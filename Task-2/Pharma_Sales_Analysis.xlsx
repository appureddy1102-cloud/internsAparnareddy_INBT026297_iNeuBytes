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12"/>
  </bookViews>
  <sheets>
    <sheet name="START_HERE" sheetId="1" r:id="rId1"/>
    <sheet name="Raw_Daily" sheetId="2" r:id="rId2"/>
    <sheet name="Clean_Daily" sheetId="3" r:id="rId3"/>
    <sheet name="Long_Daily" sheetId="4" r:id="rId4"/>
    <sheet name="Formula_Examples" sheetId="5" r:id="rId5"/>
    <sheet name="Monthly_Summary" sheetId="6" r:id="rId6"/>
    <sheet name="Category_Summary" sheetId="7" r:id="rId7"/>
    <sheet name="Weekday_Summary" sheetId="8" r:id="rId8"/>
    <sheet name="Data_Quality" sheetId="9" r:id="rId9"/>
    <sheet name="Monthly_Reconciliation" sheetId="10" r:id="rId10"/>
    <sheet name="Lists" sheetId="11" state="hidden" r:id="rId11"/>
    <sheet name="Dashboard_Data" sheetId="12" r:id="rId12"/>
    <sheet name="Dashboard" sheetId="13" r:id="rId13"/>
  </sheets>
  <calcPr calcId="124519" fullCalcOnLoad="1"/>
</workbook>
</file>

<file path=xl/sharedStrings.xml><?xml version="1.0" encoding="utf-8"?>
<sst xmlns="http://schemas.openxmlformats.org/spreadsheetml/2006/main" count="76223" uniqueCount="2298">
  <si>
    <t>PHARMACEUTICAL SALES DATA ANALYTICS</t>
  </si>
  <si>
    <t>iNeuBytes VIIP | Course DAINB10926 | Quantity analysis, not revenue</t>
  </si>
  <si>
    <t>PROJECT STATUS &amp; HOW TO USE THIS WORKBOOK</t>
  </si>
  <si>
    <t>Source rows</t>
  </si>
  <si>
    <t>2,106 daily rows | 02 Jan 2014 to 08 Oct 2019</t>
  </si>
  <si>
    <t>Main metric</t>
  </si>
  <si>
    <t>Total recorded quantity: 127,595.50; average per observed day: 60.59</t>
  </si>
  <si>
    <t>Interactive dashboard</t>
  </si>
  <si>
    <t>Open Dashboard. Change the Year and Category yellow drop-down cells; Excel recalculates KPI cards and charts.</t>
  </si>
  <si>
    <t>Native PivotTables</t>
  </si>
  <si>
    <t>Pivot-style result sheets are included. If your mentor requires actual Excel PivotTable objects, follow Excel_Step_by_Step.md and insert them from Long_Daily.</t>
  </si>
  <si>
    <t>Monthly data caution</t>
  </si>
  <si>
    <t>Monthly results are derived from daily data. The supplied monthly CSV has 33 months that do not reconcile within 0.01 across all categories.</t>
  </si>
  <si>
    <t>Partial periods</t>
  </si>
  <si>
    <t>January 2014 and October 2019 are incomplete. They are labelled and excluded from the complete-month trend.</t>
  </si>
  <si>
    <t>WORKBOOK MAP</t>
  </si>
  <si>
    <t>Raw_Daily</t>
  </si>
  <si>
    <t>Original daily fields as supplied; no source values overwritten.</t>
  </si>
  <si>
    <t>Clean_Daily</t>
  </si>
  <si>
    <t>ISO-style Excel dates, category quantities, Total_Quantity formulas, calendar fields, partial-month flag.</t>
  </si>
  <si>
    <t>Long_Daily</t>
  </si>
  <si>
    <t>Tidy one-row-per-date/category table for native PivotTables and BI practice.</t>
  </si>
  <si>
    <t>Formula_Examples</t>
  </si>
  <si>
    <t>Working SUM, AVERAGE, COUNTIF and SUMIFS examples with plain-English explanations.</t>
  </si>
  <si>
    <t>Monthly_Summary</t>
  </si>
  <si>
    <t>Monthly totals recalculated from daily data, coverage flags and month-over-month results.</t>
  </si>
  <si>
    <t>Category_Summary</t>
  </si>
  <si>
    <t>Category contribution, variability, zero days and historical demand baseline.</t>
  </si>
  <si>
    <t>Weekday_Summary</t>
  </si>
  <si>
    <t>Total and average quantity by weekday.</t>
  </si>
  <si>
    <t>Data_Quality</t>
  </si>
  <si>
    <t>Missing values, duplicates, date checks and source reconciliation notes.</t>
  </si>
  <si>
    <t>Monthly_Reconciliation</t>
  </si>
  <si>
    <t>Supplied monthly totals compared with totals derived from daily data.</t>
  </si>
  <si>
    <t>Dashboard</t>
  </si>
  <si>
    <t>Formula-driven KPI cards and charts with Year/Category selectors.</t>
  </si>
  <si>
    <t>Important: “sales” means source-recorded quantity. The dataset has no price, revenue, profit, current stock, supplier lead time, or expiry fields. Do not turn these historical values directly into purchase orders.</t>
  </si>
  <si>
    <t>Kaggle dataset source and ATC descriptions</t>
  </si>
  <si>
    <t>Student: [enter name]    Registration No.: [enter registration number]    Repository: [create using required naming rule]</t>
  </si>
  <si>
    <t>datum</t>
  </si>
  <si>
    <t>M01AB</t>
  </si>
  <si>
    <t>M01AE</t>
  </si>
  <si>
    <t>N02BA</t>
  </si>
  <si>
    <t>N02BE</t>
  </si>
  <si>
    <t>N05B</t>
  </si>
  <si>
    <t>N05C</t>
  </si>
  <si>
    <t>R03</t>
  </si>
  <si>
    <t>R06</t>
  </si>
  <si>
    <t>Year</t>
  </si>
  <si>
    <t>Month</t>
  </si>
  <si>
    <t>Hour</t>
  </si>
  <si>
    <t>Weekday Name</t>
  </si>
  <si>
    <t>1/2/2014</t>
  </si>
  <si>
    <t>Thursday</t>
  </si>
  <si>
    <t>1/3/2014</t>
  </si>
  <si>
    <t>Friday</t>
  </si>
  <si>
    <t>1/4/2014</t>
  </si>
  <si>
    <t>Saturday</t>
  </si>
  <si>
    <t>1/5/2014</t>
  </si>
  <si>
    <t>Sunday</t>
  </si>
  <si>
    <t>1/6/2014</t>
  </si>
  <si>
    <t>Monday</t>
  </si>
  <si>
    <t>1/7/2014</t>
  </si>
  <si>
    <t>Tuesday</t>
  </si>
  <si>
    <t>1/8/2014</t>
  </si>
  <si>
    <t>Wednesday</t>
  </si>
  <si>
    <t>1/9/2014</t>
  </si>
  <si>
    <t>1/10/2014</t>
  </si>
  <si>
    <t>1/11/2014</t>
  </si>
  <si>
    <t>1/12/2014</t>
  </si>
  <si>
    <t>1/13/2014</t>
  </si>
  <si>
    <t>1/14/2014</t>
  </si>
  <si>
    <t>1/15/2014</t>
  </si>
  <si>
    <t>1/16/2014</t>
  </si>
  <si>
    <t>1/17/2014</t>
  </si>
  <si>
    <t>1/18/2014</t>
  </si>
  <si>
    <t>1/19/2014</t>
  </si>
  <si>
    <t>1/20/2014</t>
  </si>
  <si>
    <t>1/21/2014</t>
  </si>
  <si>
    <t>1/22/2014</t>
  </si>
  <si>
    <t>1/23/2014</t>
  </si>
  <si>
    <t>1/24/2014</t>
  </si>
  <si>
    <t>1/25/2014</t>
  </si>
  <si>
    <t>1/26/2014</t>
  </si>
  <si>
    <t>1/27/2014</t>
  </si>
  <si>
    <t>1/28/2014</t>
  </si>
  <si>
    <t>1/29/2014</t>
  </si>
  <si>
    <t>1/30/2014</t>
  </si>
  <si>
    <t>1/31/2014</t>
  </si>
  <si>
    <t>2/1/2014</t>
  </si>
  <si>
    <t>2/2/2014</t>
  </si>
  <si>
    <t>2/3/2014</t>
  </si>
  <si>
    <t>2/4/2014</t>
  </si>
  <si>
    <t>2/5/2014</t>
  </si>
  <si>
    <t>2/6/2014</t>
  </si>
  <si>
    <t>2/7/2014</t>
  </si>
  <si>
    <t>2/8/2014</t>
  </si>
  <si>
    <t>2/9/2014</t>
  </si>
  <si>
    <t>2/10/2014</t>
  </si>
  <si>
    <t>2/11/2014</t>
  </si>
  <si>
    <t>2/12/2014</t>
  </si>
  <si>
    <t>2/13/2014</t>
  </si>
  <si>
    <t>2/14/2014</t>
  </si>
  <si>
    <t>2/15/2014</t>
  </si>
  <si>
    <t>2/16/2014</t>
  </si>
  <si>
    <t>2/17/2014</t>
  </si>
  <si>
    <t>2/18/2014</t>
  </si>
  <si>
    <t>2/19/2014</t>
  </si>
  <si>
    <t>2/20/2014</t>
  </si>
  <si>
    <t>2/21/2014</t>
  </si>
  <si>
    <t>2/22/2014</t>
  </si>
  <si>
    <t>2/23/2014</t>
  </si>
  <si>
    <t>2/24/2014</t>
  </si>
  <si>
    <t>2/25/2014</t>
  </si>
  <si>
    <t>2/26/2014</t>
  </si>
  <si>
    <t>2/27/2014</t>
  </si>
  <si>
    <t>2/28/2014</t>
  </si>
  <si>
    <t>3/1/2014</t>
  </si>
  <si>
    <t>3/2/2014</t>
  </si>
  <si>
    <t>3/3/2014</t>
  </si>
  <si>
    <t>3/4/2014</t>
  </si>
  <si>
    <t>3/5/2014</t>
  </si>
  <si>
    <t>3/6/2014</t>
  </si>
  <si>
    <t>3/7/2014</t>
  </si>
  <si>
    <t>3/8/2014</t>
  </si>
  <si>
    <t>3/9/2014</t>
  </si>
  <si>
    <t>3/10/2014</t>
  </si>
  <si>
    <t>3/11/2014</t>
  </si>
  <si>
    <t>3/12/2014</t>
  </si>
  <si>
    <t>3/13/2014</t>
  </si>
  <si>
    <t>3/14/2014</t>
  </si>
  <si>
    <t>3/15/2014</t>
  </si>
  <si>
    <t>3/16/2014</t>
  </si>
  <si>
    <t>3/17/2014</t>
  </si>
  <si>
    <t>3/18/2014</t>
  </si>
  <si>
    <t>3/19/2014</t>
  </si>
  <si>
    <t>3/20/2014</t>
  </si>
  <si>
    <t>3/21/2014</t>
  </si>
  <si>
    <t>3/22/2014</t>
  </si>
  <si>
    <t>3/23/2014</t>
  </si>
  <si>
    <t>3/24/2014</t>
  </si>
  <si>
    <t>3/25/2014</t>
  </si>
  <si>
    <t>3/26/2014</t>
  </si>
  <si>
    <t>3/27/2014</t>
  </si>
  <si>
    <t>3/28/2014</t>
  </si>
  <si>
    <t>3/29/2014</t>
  </si>
  <si>
    <t>3/30/2014</t>
  </si>
  <si>
    <t>3/31/2014</t>
  </si>
  <si>
    <t>4/1/2014</t>
  </si>
  <si>
    <t>4/2/2014</t>
  </si>
  <si>
    <t>4/3/2014</t>
  </si>
  <si>
    <t>4/4/2014</t>
  </si>
  <si>
    <t>4/5/2014</t>
  </si>
  <si>
    <t>4/6/2014</t>
  </si>
  <si>
    <t>4/7/2014</t>
  </si>
  <si>
    <t>4/8/2014</t>
  </si>
  <si>
    <t>4/9/2014</t>
  </si>
  <si>
    <t>4/10/2014</t>
  </si>
  <si>
    <t>4/11/2014</t>
  </si>
  <si>
    <t>4/12/2014</t>
  </si>
  <si>
    <t>4/13/2014</t>
  </si>
  <si>
    <t>4/14/2014</t>
  </si>
  <si>
    <t>4/15/2014</t>
  </si>
  <si>
    <t>4/16/2014</t>
  </si>
  <si>
    <t>4/17/2014</t>
  </si>
  <si>
    <t>4/18/2014</t>
  </si>
  <si>
    <t>4/19/2014</t>
  </si>
  <si>
    <t>4/20/2014</t>
  </si>
  <si>
    <t>4/21/2014</t>
  </si>
  <si>
    <t>4/22/2014</t>
  </si>
  <si>
    <t>4/23/2014</t>
  </si>
  <si>
    <t>4/24/2014</t>
  </si>
  <si>
    <t>4/25/2014</t>
  </si>
  <si>
    <t>4/26/2014</t>
  </si>
  <si>
    <t>4/27/2014</t>
  </si>
  <si>
    <t>4/28/2014</t>
  </si>
  <si>
    <t>4/29/2014</t>
  </si>
  <si>
    <t>4/30/2014</t>
  </si>
  <si>
    <t>5/1/2014</t>
  </si>
  <si>
    <t>5/2/2014</t>
  </si>
  <si>
    <t>5/3/2014</t>
  </si>
  <si>
    <t>5/4/2014</t>
  </si>
  <si>
    <t>5/5/2014</t>
  </si>
  <si>
    <t>5/6/2014</t>
  </si>
  <si>
    <t>5/7/2014</t>
  </si>
  <si>
    <t>5/8/2014</t>
  </si>
  <si>
    <t>5/9/2014</t>
  </si>
  <si>
    <t>5/10/2014</t>
  </si>
  <si>
    <t>5/11/2014</t>
  </si>
  <si>
    <t>5/12/2014</t>
  </si>
  <si>
    <t>5/13/2014</t>
  </si>
  <si>
    <t>5/14/2014</t>
  </si>
  <si>
    <t>5/15/2014</t>
  </si>
  <si>
    <t>5/16/2014</t>
  </si>
  <si>
    <t>5/17/2014</t>
  </si>
  <si>
    <t>5/18/2014</t>
  </si>
  <si>
    <t>5/19/2014</t>
  </si>
  <si>
    <t>5/20/2014</t>
  </si>
  <si>
    <t>5/21/2014</t>
  </si>
  <si>
    <t>5/22/2014</t>
  </si>
  <si>
    <t>5/23/2014</t>
  </si>
  <si>
    <t>5/24/2014</t>
  </si>
  <si>
    <t>5/25/2014</t>
  </si>
  <si>
    <t>5/26/2014</t>
  </si>
  <si>
    <t>5/27/2014</t>
  </si>
  <si>
    <t>5/28/2014</t>
  </si>
  <si>
    <t>5/29/2014</t>
  </si>
  <si>
    <t>5/30/2014</t>
  </si>
  <si>
    <t>5/31/2014</t>
  </si>
  <si>
    <t>6/1/2014</t>
  </si>
  <si>
    <t>6/2/2014</t>
  </si>
  <si>
    <t>6/3/2014</t>
  </si>
  <si>
    <t>6/4/2014</t>
  </si>
  <si>
    <t>6/5/2014</t>
  </si>
  <si>
    <t>6/6/2014</t>
  </si>
  <si>
    <t>6/7/2014</t>
  </si>
  <si>
    <t>6/8/2014</t>
  </si>
  <si>
    <t>6/9/2014</t>
  </si>
  <si>
    <t>6/10/2014</t>
  </si>
  <si>
    <t>6/11/2014</t>
  </si>
  <si>
    <t>6/12/2014</t>
  </si>
  <si>
    <t>6/13/2014</t>
  </si>
  <si>
    <t>6/14/2014</t>
  </si>
  <si>
    <t>6/15/2014</t>
  </si>
  <si>
    <t>6/16/2014</t>
  </si>
  <si>
    <t>6/17/2014</t>
  </si>
  <si>
    <t>6/18/2014</t>
  </si>
  <si>
    <t>6/19/2014</t>
  </si>
  <si>
    <t>6/20/2014</t>
  </si>
  <si>
    <t>6/21/2014</t>
  </si>
  <si>
    <t>6/22/2014</t>
  </si>
  <si>
    <t>6/23/2014</t>
  </si>
  <si>
    <t>6/24/2014</t>
  </si>
  <si>
    <t>6/25/2014</t>
  </si>
  <si>
    <t>6/26/2014</t>
  </si>
  <si>
    <t>6/27/2014</t>
  </si>
  <si>
    <t>6/28/2014</t>
  </si>
  <si>
    <t>6/29/2014</t>
  </si>
  <si>
    <t>6/30/2014</t>
  </si>
  <si>
    <t>7/1/2014</t>
  </si>
  <si>
    <t>7/2/2014</t>
  </si>
  <si>
    <t>7/3/2014</t>
  </si>
  <si>
    <t>7/4/2014</t>
  </si>
  <si>
    <t>7/5/2014</t>
  </si>
  <si>
    <t>7/6/2014</t>
  </si>
  <si>
    <t>7/7/2014</t>
  </si>
  <si>
    <t>7/8/2014</t>
  </si>
  <si>
    <t>7/9/2014</t>
  </si>
  <si>
    <t>7/10/2014</t>
  </si>
  <si>
    <t>7/11/2014</t>
  </si>
  <si>
    <t>7/12/2014</t>
  </si>
  <si>
    <t>7/13/2014</t>
  </si>
  <si>
    <t>7/14/2014</t>
  </si>
  <si>
    <t>7/15/2014</t>
  </si>
  <si>
    <t>7/16/2014</t>
  </si>
  <si>
    <t>7/17/2014</t>
  </si>
  <si>
    <t>7/18/2014</t>
  </si>
  <si>
    <t>7/19/2014</t>
  </si>
  <si>
    <t>7/20/2014</t>
  </si>
  <si>
    <t>7/21/2014</t>
  </si>
  <si>
    <t>7/22/2014</t>
  </si>
  <si>
    <t>7/23/2014</t>
  </si>
  <si>
    <t>7/24/2014</t>
  </si>
  <si>
    <t>7/25/2014</t>
  </si>
  <si>
    <t>7/26/2014</t>
  </si>
  <si>
    <t>7/27/2014</t>
  </si>
  <si>
    <t>7/28/2014</t>
  </si>
  <si>
    <t>7/29/2014</t>
  </si>
  <si>
    <t>7/30/2014</t>
  </si>
  <si>
    <t>7/31/2014</t>
  </si>
  <si>
    <t>8/1/2014</t>
  </si>
  <si>
    <t>8/2/2014</t>
  </si>
  <si>
    <t>8/3/2014</t>
  </si>
  <si>
    <t>8/4/2014</t>
  </si>
  <si>
    <t>8/5/2014</t>
  </si>
  <si>
    <t>8/6/2014</t>
  </si>
  <si>
    <t>8/7/2014</t>
  </si>
  <si>
    <t>8/8/2014</t>
  </si>
  <si>
    <t>8/9/2014</t>
  </si>
  <si>
    <t>8/10/2014</t>
  </si>
  <si>
    <t>8/11/2014</t>
  </si>
  <si>
    <t>8/12/2014</t>
  </si>
  <si>
    <t>8/13/2014</t>
  </si>
  <si>
    <t>8/14/2014</t>
  </si>
  <si>
    <t>8/15/2014</t>
  </si>
  <si>
    <t>8/16/2014</t>
  </si>
  <si>
    <t>8/17/2014</t>
  </si>
  <si>
    <t>8/18/2014</t>
  </si>
  <si>
    <t>8/19/2014</t>
  </si>
  <si>
    <t>8/20/2014</t>
  </si>
  <si>
    <t>8/21/2014</t>
  </si>
  <si>
    <t>8/22/2014</t>
  </si>
  <si>
    <t>8/23/2014</t>
  </si>
  <si>
    <t>8/24/2014</t>
  </si>
  <si>
    <t>8/25/2014</t>
  </si>
  <si>
    <t>8/26/2014</t>
  </si>
  <si>
    <t>8/27/2014</t>
  </si>
  <si>
    <t>8/28/2014</t>
  </si>
  <si>
    <t>8/29/2014</t>
  </si>
  <si>
    <t>8/30/2014</t>
  </si>
  <si>
    <t>8/31/2014</t>
  </si>
  <si>
    <t>9/1/2014</t>
  </si>
  <si>
    <t>9/2/2014</t>
  </si>
  <si>
    <t>9/3/2014</t>
  </si>
  <si>
    <t>9/4/2014</t>
  </si>
  <si>
    <t>9/5/2014</t>
  </si>
  <si>
    <t>9/6/2014</t>
  </si>
  <si>
    <t>9/7/2014</t>
  </si>
  <si>
    <t>9/8/2014</t>
  </si>
  <si>
    <t>9/9/2014</t>
  </si>
  <si>
    <t>9/10/2014</t>
  </si>
  <si>
    <t>9/11/2014</t>
  </si>
  <si>
    <t>9/12/2014</t>
  </si>
  <si>
    <t>9/13/2014</t>
  </si>
  <si>
    <t>9/14/2014</t>
  </si>
  <si>
    <t>9/15/2014</t>
  </si>
  <si>
    <t>9/16/2014</t>
  </si>
  <si>
    <t>9/17/2014</t>
  </si>
  <si>
    <t>9/18/2014</t>
  </si>
  <si>
    <t>9/19/2014</t>
  </si>
  <si>
    <t>9/20/2014</t>
  </si>
  <si>
    <t>9/21/2014</t>
  </si>
  <si>
    <t>9/22/2014</t>
  </si>
  <si>
    <t>9/23/2014</t>
  </si>
  <si>
    <t>9/24/2014</t>
  </si>
  <si>
    <t>9/25/2014</t>
  </si>
  <si>
    <t>9/26/2014</t>
  </si>
  <si>
    <t>9/27/2014</t>
  </si>
  <si>
    <t>9/28/2014</t>
  </si>
  <si>
    <t>9/29/2014</t>
  </si>
  <si>
    <t>9/30/2014</t>
  </si>
  <si>
    <t>10/1/2014</t>
  </si>
  <si>
    <t>10/2/2014</t>
  </si>
  <si>
    <t>10/3/2014</t>
  </si>
  <si>
    <t>10/4/2014</t>
  </si>
  <si>
    <t>10/5/2014</t>
  </si>
  <si>
    <t>10/6/2014</t>
  </si>
  <si>
    <t>10/7/2014</t>
  </si>
  <si>
    <t>10/8/2014</t>
  </si>
  <si>
    <t>10/9/2014</t>
  </si>
  <si>
    <t>10/10/2014</t>
  </si>
  <si>
    <t>10/11/2014</t>
  </si>
  <si>
    <t>10/12/2014</t>
  </si>
  <si>
    <t>10/13/2014</t>
  </si>
  <si>
    <t>10/14/2014</t>
  </si>
  <si>
    <t>10/15/2014</t>
  </si>
  <si>
    <t>10/16/2014</t>
  </si>
  <si>
    <t>10/17/2014</t>
  </si>
  <si>
    <t>10/18/2014</t>
  </si>
  <si>
    <t>10/19/2014</t>
  </si>
  <si>
    <t>10/20/2014</t>
  </si>
  <si>
    <t>10/21/2014</t>
  </si>
  <si>
    <t>10/22/2014</t>
  </si>
  <si>
    <t>10/23/2014</t>
  </si>
  <si>
    <t>10/24/2014</t>
  </si>
  <si>
    <t>10/25/2014</t>
  </si>
  <si>
    <t>10/26/2014</t>
  </si>
  <si>
    <t>10/27/2014</t>
  </si>
  <si>
    <t>10/28/2014</t>
  </si>
  <si>
    <t>10/29/2014</t>
  </si>
  <si>
    <t>10/30/2014</t>
  </si>
  <si>
    <t>10/31/2014</t>
  </si>
  <si>
    <t>11/1/2014</t>
  </si>
  <si>
    <t>11/2/2014</t>
  </si>
  <si>
    <t>11/3/2014</t>
  </si>
  <si>
    <t>11/4/2014</t>
  </si>
  <si>
    <t>11/5/2014</t>
  </si>
  <si>
    <t>11/6/2014</t>
  </si>
  <si>
    <t>11/7/2014</t>
  </si>
  <si>
    <t>11/8/2014</t>
  </si>
  <si>
    <t>11/9/2014</t>
  </si>
  <si>
    <t>11/10/2014</t>
  </si>
  <si>
    <t>11/11/2014</t>
  </si>
  <si>
    <t>11/12/2014</t>
  </si>
  <si>
    <t>11/13/2014</t>
  </si>
  <si>
    <t>11/14/2014</t>
  </si>
  <si>
    <t>11/15/2014</t>
  </si>
  <si>
    <t>11/16/2014</t>
  </si>
  <si>
    <t>11/17/2014</t>
  </si>
  <si>
    <t>11/18/2014</t>
  </si>
  <si>
    <t>11/19/2014</t>
  </si>
  <si>
    <t>11/20/2014</t>
  </si>
  <si>
    <t>11/21/2014</t>
  </si>
  <si>
    <t>11/22/2014</t>
  </si>
  <si>
    <t>11/23/2014</t>
  </si>
  <si>
    <t>11/24/2014</t>
  </si>
  <si>
    <t>11/25/2014</t>
  </si>
  <si>
    <t>11/26/2014</t>
  </si>
  <si>
    <t>11/27/2014</t>
  </si>
  <si>
    <t>11/28/2014</t>
  </si>
  <si>
    <t>11/29/2014</t>
  </si>
  <si>
    <t>11/30/2014</t>
  </si>
  <si>
    <t>12/1/2014</t>
  </si>
  <si>
    <t>12/2/2014</t>
  </si>
  <si>
    <t>12/3/2014</t>
  </si>
  <si>
    <t>12/4/2014</t>
  </si>
  <si>
    <t>12/5/2014</t>
  </si>
  <si>
    <t>12/6/2014</t>
  </si>
  <si>
    <t>12/7/2014</t>
  </si>
  <si>
    <t>12/8/2014</t>
  </si>
  <si>
    <t>12/9/2014</t>
  </si>
  <si>
    <t>12/10/2014</t>
  </si>
  <si>
    <t>12/11/2014</t>
  </si>
  <si>
    <t>12/12/2014</t>
  </si>
  <si>
    <t>12/13/2014</t>
  </si>
  <si>
    <t>12/14/2014</t>
  </si>
  <si>
    <t>12/15/2014</t>
  </si>
  <si>
    <t>12/16/2014</t>
  </si>
  <si>
    <t>12/17/2014</t>
  </si>
  <si>
    <t>12/18/2014</t>
  </si>
  <si>
    <t>12/19/2014</t>
  </si>
  <si>
    <t>12/20/2014</t>
  </si>
  <si>
    <t>12/21/2014</t>
  </si>
  <si>
    <t>12/22/2014</t>
  </si>
  <si>
    <t>12/23/2014</t>
  </si>
  <si>
    <t>12/24/2014</t>
  </si>
  <si>
    <t>12/25/2014</t>
  </si>
  <si>
    <t>12/26/2014</t>
  </si>
  <si>
    <t>12/27/2014</t>
  </si>
  <si>
    <t>12/28/2014</t>
  </si>
  <si>
    <t>12/29/2014</t>
  </si>
  <si>
    <t>12/30/2014</t>
  </si>
  <si>
    <t>12/31/2014</t>
  </si>
  <si>
    <t>1/1/2015</t>
  </si>
  <si>
    <t>1/2/2015</t>
  </si>
  <si>
    <t>1/3/2015</t>
  </si>
  <si>
    <t>1/4/2015</t>
  </si>
  <si>
    <t>1/5/2015</t>
  </si>
  <si>
    <t>1/6/2015</t>
  </si>
  <si>
    <t>1/7/2015</t>
  </si>
  <si>
    <t>1/8/2015</t>
  </si>
  <si>
    <t>1/9/2015</t>
  </si>
  <si>
    <t>1/10/2015</t>
  </si>
  <si>
    <t>1/11/2015</t>
  </si>
  <si>
    <t>1/12/2015</t>
  </si>
  <si>
    <t>1/13/2015</t>
  </si>
  <si>
    <t>1/14/2015</t>
  </si>
  <si>
    <t>1/15/2015</t>
  </si>
  <si>
    <t>1/16/2015</t>
  </si>
  <si>
    <t>1/17/2015</t>
  </si>
  <si>
    <t>1/18/2015</t>
  </si>
  <si>
    <t>1/19/2015</t>
  </si>
  <si>
    <t>1/20/2015</t>
  </si>
  <si>
    <t>1/21/2015</t>
  </si>
  <si>
    <t>1/22/2015</t>
  </si>
  <si>
    <t>1/23/2015</t>
  </si>
  <si>
    <t>1/24/2015</t>
  </si>
  <si>
    <t>1/25/2015</t>
  </si>
  <si>
    <t>1/26/2015</t>
  </si>
  <si>
    <t>1/27/2015</t>
  </si>
  <si>
    <t>1/28/2015</t>
  </si>
  <si>
    <t>1/29/2015</t>
  </si>
  <si>
    <t>1/30/2015</t>
  </si>
  <si>
    <t>1/31/2015</t>
  </si>
  <si>
    <t>2/1/2015</t>
  </si>
  <si>
    <t>2/2/2015</t>
  </si>
  <si>
    <t>2/3/2015</t>
  </si>
  <si>
    <t>2/4/2015</t>
  </si>
  <si>
    <t>2/5/2015</t>
  </si>
  <si>
    <t>2/6/2015</t>
  </si>
  <si>
    <t>2/7/2015</t>
  </si>
  <si>
    <t>2/8/2015</t>
  </si>
  <si>
    <t>2/9/2015</t>
  </si>
  <si>
    <t>2/10/2015</t>
  </si>
  <si>
    <t>2/11/2015</t>
  </si>
  <si>
    <t>2/12/2015</t>
  </si>
  <si>
    <t>2/13/2015</t>
  </si>
  <si>
    <t>2/14/2015</t>
  </si>
  <si>
    <t>2/15/2015</t>
  </si>
  <si>
    <t>2/16/2015</t>
  </si>
  <si>
    <t>2/17/2015</t>
  </si>
  <si>
    <t>2/18/2015</t>
  </si>
  <si>
    <t>2/19/2015</t>
  </si>
  <si>
    <t>2/20/2015</t>
  </si>
  <si>
    <t>2/21/2015</t>
  </si>
  <si>
    <t>2/22/2015</t>
  </si>
  <si>
    <t>2/23/2015</t>
  </si>
  <si>
    <t>2/24/2015</t>
  </si>
  <si>
    <t>2/25/2015</t>
  </si>
  <si>
    <t>2/26/2015</t>
  </si>
  <si>
    <t>2/27/2015</t>
  </si>
  <si>
    <t>2/28/2015</t>
  </si>
  <si>
    <t>3/1/2015</t>
  </si>
  <si>
    <t>3/2/2015</t>
  </si>
  <si>
    <t>3/3/2015</t>
  </si>
  <si>
    <t>3/4/2015</t>
  </si>
  <si>
    <t>3/5/2015</t>
  </si>
  <si>
    <t>3/6/2015</t>
  </si>
  <si>
    <t>3/7/2015</t>
  </si>
  <si>
    <t>3/8/2015</t>
  </si>
  <si>
    <t>3/9/2015</t>
  </si>
  <si>
    <t>3/10/2015</t>
  </si>
  <si>
    <t>3/11/2015</t>
  </si>
  <si>
    <t>3/12/2015</t>
  </si>
  <si>
    <t>3/13/2015</t>
  </si>
  <si>
    <t>3/14/2015</t>
  </si>
  <si>
    <t>3/15/2015</t>
  </si>
  <si>
    <t>3/16/2015</t>
  </si>
  <si>
    <t>3/17/2015</t>
  </si>
  <si>
    <t>3/18/2015</t>
  </si>
  <si>
    <t>3/19/2015</t>
  </si>
  <si>
    <t>3/20/2015</t>
  </si>
  <si>
    <t>3/21/2015</t>
  </si>
  <si>
    <t>3/22/2015</t>
  </si>
  <si>
    <t>3/23/2015</t>
  </si>
  <si>
    <t>3/24/2015</t>
  </si>
  <si>
    <t>3/25/2015</t>
  </si>
  <si>
    <t>3/26/2015</t>
  </si>
  <si>
    <t>3/27/2015</t>
  </si>
  <si>
    <t>3/28/2015</t>
  </si>
  <si>
    <t>3/29/2015</t>
  </si>
  <si>
    <t>3/30/2015</t>
  </si>
  <si>
    <t>3/31/2015</t>
  </si>
  <si>
    <t>4/1/2015</t>
  </si>
  <si>
    <t>4/2/2015</t>
  </si>
  <si>
    <t>4/3/2015</t>
  </si>
  <si>
    <t>4/4/2015</t>
  </si>
  <si>
    <t>4/5/2015</t>
  </si>
  <si>
    <t>4/6/2015</t>
  </si>
  <si>
    <t>4/7/2015</t>
  </si>
  <si>
    <t>4/8/2015</t>
  </si>
  <si>
    <t>4/9/2015</t>
  </si>
  <si>
    <t>4/10/2015</t>
  </si>
  <si>
    <t>4/11/2015</t>
  </si>
  <si>
    <t>4/12/2015</t>
  </si>
  <si>
    <t>4/13/2015</t>
  </si>
  <si>
    <t>4/14/2015</t>
  </si>
  <si>
    <t>4/15/2015</t>
  </si>
  <si>
    <t>4/16/2015</t>
  </si>
  <si>
    <t>4/17/2015</t>
  </si>
  <si>
    <t>4/18/2015</t>
  </si>
  <si>
    <t>4/19/2015</t>
  </si>
  <si>
    <t>4/20/2015</t>
  </si>
  <si>
    <t>4/21/2015</t>
  </si>
  <si>
    <t>4/22/2015</t>
  </si>
  <si>
    <t>4/23/2015</t>
  </si>
  <si>
    <t>4/24/2015</t>
  </si>
  <si>
    <t>4/25/2015</t>
  </si>
  <si>
    <t>4/26/2015</t>
  </si>
  <si>
    <t>4/27/2015</t>
  </si>
  <si>
    <t>4/28/2015</t>
  </si>
  <si>
    <t>4/29/2015</t>
  </si>
  <si>
    <t>4/30/2015</t>
  </si>
  <si>
    <t>5/1/2015</t>
  </si>
  <si>
    <t>5/2/2015</t>
  </si>
  <si>
    <t>5/3/2015</t>
  </si>
  <si>
    <t>5/4/2015</t>
  </si>
  <si>
    <t>5/5/2015</t>
  </si>
  <si>
    <t>5/6/2015</t>
  </si>
  <si>
    <t>5/7/2015</t>
  </si>
  <si>
    <t>5/8/2015</t>
  </si>
  <si>
    <t>5/9/2015</t>
  </si>
  <si>
    <t>5/10/2015</t>
  </si>
  <si>
    <t>5/11/2015</t>
  </si>
  <si>
    <t>5/12/2015</t>
  </si>
  <si>
    <t>5/13/2015</t>
  </si>
  <si>
    <t>5/14/2015</t>
  </si>
  <si>
    <t>5/15/2015</t>
  </si>
  <si>
    <t>5/16/2015</t>
  </si>
  <si>
    <t>5/17/2015</t>
  </si>
  <si>
    <t>5/18/2015</t>
  </si>
  <si>
    <t>5/19/2015</t>
  </si>
  <si>
    <t>5/20/2015</t>
  </si>
  <si>
    <t>5/21/2015</t>
  </si>
  <si>
    <t>5/22/2015</t>
  </si>
  <si>
    <t>5/23/2015</t>
  </si>
  <si>
    <t>5/24/2015</t>
  </si>
  <si>
    <t>5/25/2015</t>
  </si>
  <si>
    <t>5/26/2015</t>
  </si>
  <si>
    <t>5/27/2015</t>
  </si>
  <si>
    <t>5/28/2015</t>
  </si>
  <si>
    <t>5/29/2015</t>
  </si>
  <si>
    <t>5/30/2015</t>
  </si>
  <si>
    <t>5/31/2015</t>
  </si>
  <si>
    <t>6/1/2015</t>
  </si>
  <si>
    <t>6/2/2015</t>
  </si>
  <si>
    <t>6/3/2015</t>
  </si>
  <si>
    <t>6/4/2015</t>
  </si>
  <si>
    <t>6/5/2015</t>
  </si>
  <si>
    <t>6/6/2015</t>
  </si>
  <si>
    <t>6/7/2015</t>
  </si>
  <si>
    <t>6/8/2015</t>
  </si>
  <si>
    <t>6/9/2015</t>
  </si>
  <si>
    <t>6/10/2015</t>
  </si>
  <si>
    <t>6/11/2015</t>
  </si>
  <si>
    <t>6/12/2015</t>
  </si>
  <si>
    <t>6/13/2015</t>
  </si>
  <si>
    <t>6/14/2015</t>
  </si>
  <si>
    <t>6/15/2015</t>
  </si>
  <si>
    <t>6/16/2015</t>
  </si>
  <si>
    <t>6/17/2015</t>
  </si>
  <si>
    <t>6/18/2015</t>
  </si>
  <si>
    <t>6/19/2015</t>
  </si>
  <si>
    <t>6/20/2015</t>
  </si>
  <si>
    <t>6/21/2015</t>
  </si>
  <si>
    <t>6/22/2015</t>
  </si>
  <si>
    <t>6/23/2015</t>
  </si>
  <si>
    <t>6/24/2015</t>
  </si>
  <si>
    <t>6/25/2015</t>
  </si>
  <si>
    <t>6/26/2015</t>
  </si>
  <si>
    <t>6/27/2015</t>
  </si>
  <si>
    <t>6/28/2015</t>
  </si>
  <si>
    <t>6/29/2015</t>
  </si>
  <si>
    <t>6/30/2015</t>
  </si>
  <si>
    <t>7/1/2015</t>
  </si>
  <si>
    <t>7/2/2015</t>
  </si>
  <si>
    <t>7/3/2015</t>
  </si>
  <si>
    <t>7/4/2015</t>
  </si>
  <si>
    <t>7/5/2015</t>
  </si>
  <si>
    <t>7/6/2015</t>
  </si>
  <si>
    <t>7/7/2015</t>
  </si>
  <si>
    <t>7/8/2015</t>
  </si>
  <si>
    <t>7/9/2015</t>
  </si>
  <si>
    <t>7/10/2015</t>
  </si>
  <si>
    <t>7/11/2015</t>
  </si>
  <si>
    <t>7/12/2015</t>
  </si>
  <si>
    <t>7/13/2015</t>
  </si>
  <si>
    <t>7/14/2015</t>
  </si>
  <si>
    <t>7/15/2015</t>
  </si>
  <si>
    <t>7/16/2015</t>
  </si>
  <si>
    <t>7/17/2015</t>
  </si>
  <si>
    <t>7/18/2015</t>
  </si>
  <si>
    <t>7/19/2015</t>
  </si>
  <si>
    <t>7/20/2015</t>
  </si>
  <si>
    <t>7/21/2015</t>
  </si>
  <si>
    <t>7/22/2015</t>
  </si>
  <si>
    <t>7/23/2015</t>
  </si>
  <si>
    <t>7/24/2015</t>
  </si>
  <si>
    <t>7/25/2015</t>
  </si>
  <si>
    <t>7/26/2015</t>
  </si>
  <si>
    <t>7/27/2015</t>
  </si>
  <si>
    <t>7/28/2015</t>
  </si>
  <si>
    <t>7/29/2015</t>
  </si>
  <si>
    <t>7/30/2015</t>
  </si>
  <si>
    <t>7/31/2015</t>
  </si>
  <si>
    <t>8/1/2015</t>
  </si>
  <si>
    <t>8/2/2015</t>
  </si>
  <si>
    <t>8/3/2015</t>
  </si>
  <si>
    <t>8/4/2015</t>
  </si>
  <si>
    <t>8/5/2015</t>
  </si>
  <si>
    <t>8/6/2015</t>
  </si>
  <si>
    <t>8/7/2015</t>
  </si>
  <si>
    <t>8/8/2015</t>
  </si>
  <si>
    <t>8/9/2015</t>
  </si>
  <si>
    <t>8/10/2015</t>
  </si>
  <si>
    <t>8/11/2015</t>
  </si>
  <si>
    <t>8/12/2015</t>
  </si>
  <si>
    <t>8/13/2015</t>
  </si>
  <si>
    <t>8/14/2015</t>
  </si>
  <si>
    <t>8/15/2015</t>
  </si>
  <si>
    <t>8/16/2015</t>
  </si>
  <si>
    <t>8/17/2015</t>
  </si>
  <si>
    <t>8/18/2015</t>
  </si>
  <si>
    <t>8/19/2015</t>
  </si>
  <si>
    <t>8/20/2015</t>
  </si>
  <si>
    <t>8/21/2015</t>
  </si>
  <si>
    <t>8/22/2015</t>
  </si>
  <si>
    <t>8/23/2015</t>
  </si>
  <si>
    <t>8/24/2015</t>
  </si>
  <si>
    <t>8/25/2015</t>
  </si>
  <si>
    <t>8/26/2015</t>
  </si>
  <si>
    <t>8/27/2015</t>
  </si>
  <si>
    <t>8/28/2015</t>
  </si>
  <si>
    <t>8/29/2015</t>
  </si>
  <si>
    <t>8/30/2015</t>
  </si>
  <si>
    <t>8/31/2015</t>
  </si>
  <si>
    <t>9/1/2015</t>
  </si>
  <si>
    <t>9/2/2015</t>
  </si>
  <si>
    <t>9/3/2015</t>
  </si>
  <si>
    <t>9/4/2015</t>
  </si>
  <si>
    <t>9/5/2015</t>
  </si>
  <si>
    <t>9/6/2015</t>
  </si>
  <si>
    <t>9/7/2015</t>
  </si>
  <si>
    <t>9/8/2015</t>
  </si>
  <si>
    <t>9/9/2015</t>
  </si>
  <si>
    <t>9/10/2015</t>
  </si>
  <si>
    <t>9/11/2015</t>
  </si>
  <si>
    <t>9/12/2015</t>
  </si>
  <si>
    <t>9/13/2015</t>
  </si>
  <si>
    <t>9/14/2015</t>
  </si>
  <si>
    <t>9/15/2015</t>
  </si>
  <si>
    <t>9/16/2015</t>
  </si>
  <si>
    <t>9/17/2015</t>
  </si>
  <si>
    <t>9/18/2015</t>
  </si>
  <si>
    <t>9/19/2015</t>
  </si>
  <si>
    <t>9/20/2015</t>
  </si>
  <si>
    <t>9/21/2015</t>
  </si>
  <si>
    <t>9/22/2015</t>
  </si>
  <si>
    <t>9/23/2015</t>
  </si>
  <si>
    <t>9/24/2015</t>
  </si>
  <si>
    <t>9/25/2015</t>
  </si>
  <si>
    <t>9/26/2015</t>
  </si>
  <si>
    <t>9/27/2015</t>
  </si>
  <si>
    <t>9/28/2015</t>
  </si>
  <si>
    <t>9/29/2015</t>
  </si>
  <si>
    <t>9/30/2015</t>
  </si>
  <si>
    <t>10/1/2015</t>
  </si>
  <si>
    <t>10/2/2015</t>
  </si>
  <si>
    <t>10/3/2015</t>
  </si>
  <si>
    <t>10/4/2015</t>
  </si>
  <si>
    <t>10/5/2015</t>
  </si>
  <si>
    <t>10/6/2015</t>
  </si>
  <si>
    <t>10/7/2015</t>
  </si>
  <si>
    <t>10/8/2015</t>
  </si>
  <si>
    <t>10/9/2015</t>
  </si>
  <si>
    <t>10/10/2015</t>
  </si>
  <si>
    <t>10/11/2015</t>
  </si>
  <si>
    <t>10/12/2015</t>
  </si>
  <si>
    <t>10/13/2015</t>
  </si>
  <si>
    <t>10/14/2015</t>
  </si>
  <si>
    <t>10/15/2015</t>
  </si>
  <si>
    <t>10/16/2015</t>
  </si>
  <si>
    <t>10/17/2015</t>
  </si>
  <si>
    <t>10/18/2015</t>
  </si>
  <si>
    <t>10/19/2015</t>
  </si>
  <si>
    <t>10/20/2015</t>
  </si>
  <si>
    <t>10/21/2015</t>
  </si>
  <si>
    <t>10/22/2015</t>
  </si>
  <si>
    <t>10/23/2015</t>
  </si>
  <si>
    <t>10/24/2015</t>
  </si>
  <si>
    <t>10/25/2015</t>
  </si>
  <si>
    <t>10/26/2015</t>
  </si>
  <si>
    <t>10/27/2015</t>
  </si>
  <si>
    <t>10/28/2015</t>
  </si>
  <si>
    <t>10/29/2015</t>
  </si>
  <si>
    <t>10/30/2015</t>
  </si>
  <si>
    <t>10/31/2015</t>
  </si>
  <si>
    <t>11/1/2015</t>
  </si>
  <si>
    <t>11/2/2015</t>
  </si>
  <si>
    <t>11/3/2015</t>
  </si>
  <si>
    <t>11/4/2015</t>
  </si>
  <si>
    <t>11/5/2015</t>
  </si>
  <si>
    <t>11/6/2015</t>
  </si>
  <si>
    <t>11/7/2015</t>
  </si>
  <si>
    <t>11/8/2015</t>
  </si>
  <si>
    <t>11/9/2015</t>
  </si>
  <si>
    <t>11/10/2015</t>
  </si>
  <si>
    <t>11/11/2015</t>
  </si>
  <si>
    <t>11/12/2015</t>
  </si>
  <si>
    <t>11/13/2015</t>
  </si>
  <si>
    <t>11/14/2015</t>
  </si>
  <si>
    <t>11/15/2015</t>
  </si>
  <si>
    <t>11/16/2015</t>
  </si>
  <si>
    <t>11/17/2015</t>
  </si>
  <si>
    <t>11/18/2015</t>
  </si>
  <si>
    <t>11/19/2015</t>
  </si>
  <si>
    <t>11/20/2015</t>
  </si>
  <si>
    <t>11/21/2015</t>
  </si>
  <si>
    <t>11/22/2015</t>
  </si>
  <si>
    <t>11/23/2015</t>
  </si>
  <si>
    <t>11/24/2015</t>
  </si>
  <si>
    <t>11/25/2015</t>
  </si>
  <si>
    <t>11/26/2015</t>
  </si>
  <si>
    <t>11/27/2015</t>
  </si>
  <si>
    <t>11/28/2015</t>
  </si>
  <si>
    <t>11/29/2015</t>
  </si>
  <si>
    <t>11/30/2015</t>
  </si>
  <si>
    <t>12/1/2015</t>
  </si>
  <si>
    <t>12/2/2015</t>
  </si>
  <si>
    <t>12/3/2015</t>
  </si>
  <si>
    <t>12/4/2015</t>
  </si>
  <si>
    <t>12/5/2015</t>
  </si>
  <si>
    <t>12/6/2015</t>
  </si>
  <si>
    <t>12/7/2015</t>
  </si>
  <si>
    <t>12/8/2015</t>
  </si>
  <si>
    <t>12/9/2015</t>
  </si>
  <si>
    <t>12/10/2015</t>
  </si>
  <si>
    <t>12/11/2015</t>
  </si>
  <si>
    <t>12/12/2015</t>
  </si>
  <si>
    <t>12/13/2015</t>
  </si>
  <si>
    <t>12/14/2015</t>
  </si>
  <si>
    <t>12/15/2015</t>
  </si>
  <si>
    <t>12/16/2015</t>
  </si>
  <si>
    <t>12/17/2015</t>
  </si>
  <si>
    <t>12/18/2015</t>
  </si>
  <si>
    <t>12/19/2015</t>
  </si>
  <si>
    <t>12/20/2015</t>
  </si>
  <si>
    <t>12/21/2015</t>
  </si>
  <si>
    <t>12/22/2015</t>
  </si>
  <si>
    <t>12/23/2015</t>
  </si>
  <si>
    <t>12/24/2015</t>
  </si>
  <si>
    <t>12/25/2015</t>
  </si>
  <si>
    <t>12/26/2015</t>
  </si>
  <si>
    <t>12/27/2015</t>
  </si>
  <si>
    <t>12/28/2015</t>
  </si>
  <si>
    <t>12/29/2015</t>
  </si>
  <si>
    <t>12/30/2015</t>
  </si>
  <si>
    <t>12/31/2015</t>
  </si>
  <si>
    <t>1/1/2016</t>
  </si>
  <si>
    <t>1/2/2016</t>
  </si>
  <si>
    <t>1/3/2016</t>
  </si>
  <si>
    <t>1/4/2016</t>
  </si>
  <si>
    <t>1/5/2016</t>
  </si>
  <si>
    <t>1/6/2016</t>
  </si>
  <si>
    <t>1/7/2016</t>
  </si>
  <si>
    <t>1/8/2016</t>
  </si>
  <si>
    <t>1/9/2016</t>
  </si>
  <si>
    <t>1/10/2016</t>
  </si>
  <si>
    <t>1/11/2016</t>
  </si>
  <si>
    <t>1/12/2016</t>
  </si>
  <si>
    <t>1/13/2016</t>
  </si>
  <si>
    <t>1/14/2016</t>
  </si>
  <si>
    <t>1/15/2016</t>
  </si>
  <si>
    <t>1/16/2016</t>
  </si>
  <si>
    <t>1/17/2016</t>
  </si>
  <si>
    <t>1/18/2016</t>
  </si>
  <si>
    <t>1/19/2016</t>
  </si>
  <si>
    <t>1/20/2016</t>
  </si>
  <si>
    <t>1/21/2016</t>
  </si>
  <si>
    <t>1/22/2016</t>
  </si>
  <si>
    <t>1/23/2016</t>
  </si>
  <si>
    <t>1/24/2016</t>
  </si>
  <si>
    <t>1/25/2016</t>
  </si>
  <si>
    <t>1/26/2016</t>
  </si>
  <si>
    <t>1/27/2016</t>
  </si>
  <si>
    <t>1/28/2016</t>
  </si>
  <si>
    <t>1/29/2016</t>
  </si>
  <si>
    <t>1/30/2016</t>
  </si>
  <si>
    <t>1/31/2016</t>
  </si>
  <si>
    <t>2/1/2016</t>
  </si>
  <si>
    <t>2/2/2016</t>
  </si>
  <si>
    <t>2/3/2016</t>
  </si>
  <si>
    <t>2/4/2016</t>
  </si>
  <si>
    <t>2/5/2016</t>
  </si>
  <si>
    <t>2/6/2016</t>
  </si>
  <si>
    <t>2/7/2016</t>
  </si>
  <si>
    <t>2/8/2016</t>
  </si>
  <si>
    <t>2/9/2016</t>
  </si>
  <si>
    <t>2/10/2016</t>
  </si>
  <si>
    <t>2/11/2016</t>
  </si>
  <si>
    <t>2/12/2016</t>
  </si>
  <si>
    <t>2/13/2016</t>
  </si>
  <si>
    <t>2/14/2016</t>
  </si>
  <si>
    <t>2/15/2016</t>
  </si>
  <si>
    <t>2/16/2016</t>
  </si>
  <si>
    <t>2/17/2016</t>
  </si>
  <si>
    <t>2/18/2016</t>
  </si>
  <si>
    <t>2/19/2016</t>
  </si>
  <si>
    <t>2/20/2016</t>
  </si>
  <si>
    <t>2/21/2016</t>
  </si>
  <si>
    <t>2/22/2016</t>
  </si>
  <si>
    <t>2/23/2016</t>
  </si>
  <si>
    <t>2/24/2016</t>
  </si>
  <si>
    <t>2/25/2016</t>
  </si>
  <si>
    <t>2/26/2016</t>
  </si>
  <si>
    <t>2/27/2016</t>
  </si>
  <si>
    <t>2/28/2016</t>
  </si>
  <si>
    <t>2/29/2016</t>
  </si>
  <si>
    <t>3/1/2016</t>
  </si>
  <si>
    <t>3/2/2016</t>
  </si>
  <si>
    <t>3/3/2016</t>
  </si>
  <si>
    <t>3/4/2016</t>
  </si>
  <si>
    <t>3/5/2016</t>
  </si>
  <si>
    <t>3/6/2016</t>
  </si>
  <si>
    <t>3/7/2016</t>
  </si>
  <si>
    <t>3/8/2016</t>
  </si>
  <si>
    <t>3/9/2016</t>
  </si>
  <si>
    <t>3/10/2016</t>
  </si>
  <si>
    <t>3/11/2016</t>
  </si>
  <si>
    <t>3/12/2016</t>
  </si>
  <si>
    <t>3/13/2016</t>
  </si>
  <si>
    <t>3/14/2016</t>
  </si>
  <si>
    <t>3/15/2016</t>
  </si>
  <si>
    <t>3/16/2016</t>
  </si>
  <si>
    <t>3/17/2016</t>
  </si>
  <si>
    <t>3/18/2016</t>
  </si>
  <si>
    <t>3/19/2016</t>
  </si>
  <si>
    <t>3/20/2016</t>
  </si>
  <si>
    <t>3/21/2016</t>
  </si>
  <si>
    <t>3/22/2016</t>
  </si>
  <si>
    <t>3/23/2016</t>
  </si>
  <si>
    <t>3/24/2016</t>
  </si>
  <si>
    <t>3/25/2016</t>
  </si>
  <si>
    <t>3/26/2016</t>
  </si>
  <si>
    <t>3/27/2016</t>
  </si>
  <si>
    <t>3/28/2016</t>
  </si>
  <si>
    <t>3/29/2016</t>
  </si>
  <si>
    <t>3/30/2016</t>
  </si>
  <si>
    <t>3/31/2016</t>
  </si>
  <si>
    <t>4/1/2016</t>
  </si>
  <si>
    <t>4/2/2016</t>
  </si>
  <si>
    <t>4/3/2016</t>
  </si>
  <si>
    <t>4/4/2016</t>
  </si>
  <si>
    <t>4/5/2016</t>
  </si>
  <si>
    <t>4/6/2016</t>
  </si>
  <si>
    <t>4/7/2016</t>
  </si>
  <si>
    <t>4/8/2016</t>
  </si>
  <si>
    <t>4/9/2016</t>
  </si>
  <si>
    <t>4/10/2016</t>
  </si>
  <si>
    <t>4/11/2016</t>
  </si>
  <si>
    <t>4/12/2016</t>
  </si>
  <si>
    <t>4/13/2016</t>
  </si>
  <si>
    <t>4/14/2016</t>
  </si>
  <si>
    <t>4/15/2016</t>
  </si>
  <si>
    <t>4/16/2016</t>
  </si>
  <si>
    <t>4/17/2016</t>
  </si>
  <si>
    <t>4/18/2016</t>
  </si>
  <si>
    <t>4/19/2016</t>
  </si>
  <si>
    <t>4/20/2016</t>
  </si>
  <si>
    <t>4/21/2016</t>
  </si>
  <si>
    <t>4/22/2016</t>
  </si>
  <si>
    <t>4/23/2016</t>
  </si>
  <si>
    <t>4/24/2016</t>
  </si>
  <si>
    <t>4/25/2016</t>
  </si>
  <si>
    <t>4/26/2016</t>
  </si>
  <si>
    <t>4/27/2016</t>
  </si>
  <si>
    <t>4/28/2016</t>
  </si>
  <si>
    <t>4/29/2016</t>
  </si>
  <si>
    <t>4/30/2016</t>
  </si>
  <si>
    <t>5/1/2016</t>
  </si>
  <si>
    <t>5/2/2016</t>
  </si>
  <si>
    <t>5/3/2016</t>
  </si>
  <si>
    <t>5/4/2016</t>
  </si>
  <si>
    <t>5/5/2016</t>
  </si>
  <si>
    <t>5/6/2016</t>
  </si>
  <si>
    <t>5/7/2016</t>
  </si>
  <si>
    <t>5/8/2016</t>
  </si>
  <si>
    <t>5/9/2016</t>
  </si>
  <si>
    <t>5/10/2016</t>
  </si>
  <si>
    <t>5/11/2016</t>
  </si>
  <si>
    <t>5/12/2016</t>
  </si>
  <si>
    <t>5/13/2016</t>
  </si>
  <si>
    <t>5/14/2016</t>
  </si>
  <si>
    <t>5/15/2016</t>
  </si>
  <si>
    <t>5/16/2016</t>
  </si>
  <si>
    <t>5/17/2016</t>
  </si>
  <si>
    <t>5/18/2016</t>
  </si>
  <si>
    <t>5/19/2016</t>
  </si>
  <si>
    <t>5/20/2016</t>
  </si>
  <si>
    <t>5/21/2016</t>
  </si>
  <si>
    <t>5/22/2016</t>
  </si>
  <si>
    <t>5/23/2016</t>
  </si>
  <si>
    <t>5/24/2016</t>
  </si>
  <si>
    <t>5/25/2016</t>
  </si>
  <si>
    <t>5/26/2016</t>
  </si>
  <si>
    <t>5/27/2016</t>
  </si>
  <si>
    <t>5/28/2016</t>
  </si>
  <si>
    <t>5/29/2016</t>
  </si>
  <si>
    <t>5/30/2016</t>
  </si>
  <si>
    <t>5/31/2016</t>
  </si>
  <si>
    <t>6/1/2016</t>
  </si>
  <si>
    <t>6/2/2016</t>
  </si>
  <si>
    <t>6/3/2016</t>
  </si>
  <si>
    <t>6/4/2016</t>
  </si>
  <si>
    <t>6/5/2016</t>
  </si>
  <si>
    <t>6/6/2016</t>
  </si>
  <si>
    <t>6/7/2016</t>
  </si>
  <si>
    <t>6/8/2016</t>
  </si>
  <si>
    <t>6/9/2016</t>
  </si>
  <si>
    <t>6/10/2016</t>
  </si>
  <si>
    <t>6/11/2016</t>
  </si>
  <si>
    <t>6/12/2016</t>
  </si>
  <si>
    <t>6/13/2016</t>
  </si>
  <si>
    <t>6/14/2016</t>
  </si>
  <si>
    <t>6/15/2016</t>
  </si>
  <si>
    <t>6/16/2016</t>
  </si>
  <si>
    <t>6/17/2016</t>
  </si>
  <si>
    <t>6/18/2016</t>
  </si>
  <si>
    <t>6/19/2016</t>
  </si>
  <si>
    <t>6/20/2016</t>
  </si>
  <si>
    <t>6/21/2016</t>
  </si>
  <si>
    <t>6/22/2016</t>
  </si>
  <si>
    <t>6/23/2016</t>
  </si>
  <si>
    <t>6/24/2016</t>
  </si>
  <si>
    <t>6/25/2016</t>
  </si>
  <si>
    <t>6/26/2016</t>
  </si>
  <si>
    <t>6/27/2016</t>
  </si>
  <si>
    <t>6/28/2016</t>
  </si>
  <si>
    <t>6/29/2016</t>
  </si>
  <si>
    <t>6/30/2016</t>
  </si>
  <si>
    <t>7/1/2016</t>
  </si>
  <si>
    <t>7/2/2016</t>
  </si>
  <si>
    <t>7/3/2016</t>
  </si>
  <si>
    <t>7/4/2016</t>
  </si>
  <si>
    <t>7/5/2016</t>
  </si>
  <si>
    <t>7/6/2016</t>
  </si>
  <si>
    <t>7/7/2016</t>
  </si>
  <si>
    <t>7/8/2016</t>
  </si>
  <si>
    <t>7/9/2016</t>
  </si>
  <si>
    <t>7/10/2016</t>
  </si>
  <si>
    <t>7/11/2016</t>
  </si>
  <si>
    <t>7/12/2016</t>
  </si>
  <si>
    <t>7/13/2016</t>
  </si>
  <si>
    <t>7/14/2016</t>
  </si>
  <si>
    <t>7/15/2016</t>
  </si>
  <si>
    <t>7/16/2016</t>
  </si>
  <si>
    <t>7/17/2016</t>
  </si>
  <si>
    <t>7/18/2016</t>
  </si>
  <si>
    <t>7/19/2016</t>
  </si>
  <si>
    <t>7/20/2016</t>
  </si>
  <si>
    <t>7/21/2016</t>
  </si>
  <si>
    <t>7/22/2016</t>
  </si>
  <si>
    <t>7/23/2016</t>
  </si>
  <si>
    <t>7/24/2016</t>
  </si>
  <si>
    <t>7/25/2016</t>
  </si>
  <si>
    <t>7/26/2016</t>
  </si>
  <si>
    <t>7/27/2016</t>
  </si>
  <si>
    <t>7/28/2016</t>
  </si>
  <si>
    <t>7/29/2016</t>
  </si>
  <si>
    <t>7/30/2016</t>
  </si>
  <si>
    <t>7/31/2016</t>
  </si>
  <si>
    <t>8/1/2016</t>
  </si>
  <si>
    <t>8/2/2016</t>
  </si>
  <si>
    <t>8/3/2016</t>
  </si>
  <si>
    <t>8/4/2016</t>
  </si>
  <si>
    <t>8/5/2016</t>
  </si>
  <si>
    <t>8/6/2016</t>
  </si>
  <si>
    <t>8/7/2016</t>
  </si>
  <si>
    <t>8/8/2016</t>
  </si>
  <si>
    <t>8/9/2016</t>
  </si>
  <si>
    <t>8/10/2016</t>
  </si>
  <si>
    <t>8/11/2016</t>
  </si>
  <si>
    <t>8/12/2016</t>
  </si>
  <si>
    <t>8/13/2016</t>
  </si>
  <si>
    <t>8/14/2016</t>
  </si>
  <si>
    <t>8/15/2016</t>
  </si>
  <si>
    <t>8/16/2016</t>
  </si>
  <si>
    <t>8/17/2016</t>
  </si>
  <si>
    <t>8/18/2016</t>
  </si>
  <si>
    <t>8/19/2016</t>
  </si>
  <si>
    <t>8/20/2016</t>
  </si>
  <si>
    <t>8/21/2016</t>
  </si>
  <si>
    <t>8/22/2016</t>
  </si>
  <si>
    <t>8/23/2016</t>
  </si>
  <si>
    <t>8/24/2016</t>
  </si>
  <si>
    <t>8/25/2016</t>
  </si>
  <si>
    <t>8/26/2016</t>
  </si>
  <si>
    <t>8/27/2016</t>
  </si>
  <si>
    <t>8/28/2016</t>
  </si>
  <si>
    <t>8/29/2016</t>
  </si>
  <si>
    <t>8/30/2016</t>
  </si>
  <si>
    <t>8/31/2016</t>
  </si>
  <si>
    <t>9/1/2016</t>
  </si>
  <si>
    <t>9/2/2016</t>
  </si>
  <si>
    <t>9/3/2016</t>
  </si>
  <si>
    <t>9/4/2016</t>
  </si>
  <si>
    <t>9/5/2016</t>
  </si>
  <si>
    <t>9/6/2016</t>
  </si>
  <si>
    <t>9/7/2016</t>
  </si>
  <si>
    <t>9/8/2016</t>
  </si>
  <si>
    <t>9/9/2016</t>
  </si>
  <si>
    <t>9/10/2016</t>
  </si>
  <si>
    <t>9/11/2016</t>
  </si>
  <si>
    <t>9/12/2016</t>
  </si>
  <si>
    <t>9/13/2016</t>
  </si>
  <si>
    <t>9/14/2016</t>
  </si>
  <si>
    <t>9/15/2016</t>
  </si>
  <si>
    <t>9/16/2016</t>
  </si>
  <si>
    <t>9/17/2016</t>
  </si>
  <si>
    <t>9/18/2016</t>
  </si>
  <si>
    <t>9/19/2016</t>
  </si>
  <si>
    <t>9/20/2016</t>
  </si>
  <si>
    <t>9/21/2016</t>
  </si>
  <si>
    <t>9/22/2016</t>
  </si>
  <si>
    <t>9/23/2016</t>
  </si>
  <si>
    <t>9/24/2016</t>
  </si>
  <si>
    <t>9/25/2016</t>
  </si>
  <si>
    <t>9/26/2016</t>
  </si>
  <si>
    <t>9/27/2016</t>
  </si>
  <si>
    <t>9/28/2016</t>
  </si>
  <si>
    <t>9/29/2016</t>
  </si>
  <si>
    <t>9/30/2016</t>
  </si>
  <si>
    <t>10/1/2016</t>
  </si>
  <si>
    <t>10/2/2016</t>
  </si>
  <si>
    <t>10/3/2016</t>
  </si>
  <si>
    <t>10/4/2016</t>
  </si>
  <si>
    <t>10/5/2016</t>
  </si>
  <si>
    <t>10/6/2016</t>
  </si>
  <si>
    <t>10/7/2016</t>
  </si>
  <si>
    <t>10/8/2016</t>
  </si>
  <si>
    <t>10/9/2016</t>
  </si>
  <si>
    <t>10/10/2016</t>
  </si>
  <si>
    <t>10/11/2016</t>
  </si>
  <si>
    <t>10/12/2016</t>
  </si>
  <si>
    <t>10/13/2016</t>
  </si>
  <si>
    <t>10/14/2016</t>
  </si>
  <si>
    <t>10/15/2016</t>
  </si>
  <si>
    <t>10/16/2016</t>
  </si>
  <si>
    <t>10/17/2016</t>
  </si>
  <si>
    <t>10/18/2016</t>
  </si>
  <si>
    <t>10/19/2016</t>
  </si>
  <si>
    <t>10/20/2016</t>
  </si>
  <si>
    <t>10/21/2016</t>
  </si>
  <si>
    <t>10/22/2016</t>
  </si>
  <si>
    <t>10/23/2016</t>
  </si>
  <si>
    <t>10/24/2016</t>
  </si>
  <si>
    <t>10/25/2016</t>
  </si>
  <si>
    <t>10/26/2016</t>
  </si>
  <si>
    <t>10/27/2016</t>
  </si>
  <si>
    <t>10/28/2016</t>
  </si>
  <si>
    <t>10/29/2016</t>
  </si>
  <si>
    <t>10/30/2016</t>
  </si>
  <si>
    <t>10/31/2016</t>
  </si>
  <si>
    <t>11/1/2016</t>
  </si>
  <si>
    <t>11/2/2016</t>
  </si>
  <si>
    <t>11/3/2016</t>
  </si>
  <si>
    <t>11/4/2016</t>
  </si>
  <si>
    <t>11/5/2016</t>
  </si>
  <si>
    <t>11/6/2016</t>
  </si>
  <si>
    <t>11/7/2016</t>
  </si>
  <si>
    <t>11/8/2016</t>
  </si>
  <si>
    <t>11/9/2016</t>
  </si>
  <si>
    <t>11/10/2016</t>
  </si>
  <si>
    <t>11/11/2016</t>
  </si>
  <si>
    <t>11/12/2016</t>
  </si>
  <si>
    <t>11/13/2016</t>
  </si>
  <si>
    <t>11/14/2016</t>
  </si>
  <si>
    <t>11/15/2016</t>
  </si>
  <si>
    <t>11/16/2016</t>
  </si>
  <si>
    <t>11/17/2016</t>
  </si>
  <si>
    <t>11/18/2016</t>
  </si>
  <si>
    <t>11/19/2016</t>
  </si>
  <si>
    <t>11/20/2016</t>
  </si>
  <si>
    <t>11/21/2016</t>
  </si>
  <si>
    <t>11/22/2016</t>
  </si>
  <si>
    <t>11/23/2016</t>
  </si>
  <si>
    <t>11/24/2016</t>
  </si>
  <si>
    <t>11/25/2016</t>
  </si>
  <si>
    <t>11/26/2016</t>
  </si>
  <si>
    <t>11/27/2016</t>
  </si>
  <si>
    <t>11/28/2016</t>
  </si>
  <si>
    <t>11/29/2016</t>
  </si>
  <si>
    <t>11/30/2016</t>
  </si>
  <si>
    <t>12/1/2016</t>
  </si>
  <si>
    <t>12/2/2016</t>
  </si>
  <si>
    <t>12/3/2016</t>
  </si>
  <si>
    <t>12/4/2016</t>
  </si>
  <si>
    <t>12/5/2016</t>
  </si>
  <si>
    <t>12/6/2016</t>
  </si>
  <si>
    <t>12/7/2016</t>
  </si>
  <si>
    <t>12/8/2016</t>
  </si>
  <si>
    <t>12/9/2016</t>
  </si>
  <si>
    <t>12/10/2016</t>
  </si>
  <si>
    <t>12/11/2016</t>
  </si>
  <si>
    <t>12/12/2016</t>
  </si>
  <si>
    <t>12/13/2016</t>
  </si>
  <si>
    <t>12/14/2016</t>
  </si>
  <si>
    <t>12/15/2016</t>
  </si>
  <si>
    <t>12/16/2016</t>
  </si>
  <si>
    <t>12/17/2016</t>
  </si>
  <si>
    <t>12/18/2016</t>
  </si>
  <si>
    <t>12/19/2016</t>
  </si>
  <si>
    <t>12/20/2016</t>
  </si>
  <si>
    <t>12/21/2016</t>
  </si>
  <si>
    <t>12/22/2016</t>
  </si>
  <si>
    <t>12/23/2016</t>
  </si>
  <si>
    <t>12/24/2016</t>
  </si>
  <si>
    <t>12/25/2016</t>
  </si>
  <si>
    <t>12/26/2016</t>
  </si>
  <si>
    <t>12/27/2016</t>
  </si>
  <si>
    <t>12/28/2016</t>
  </si>
  <si>
    <t>12/29/2016</t>
  </si>
  <si>
    <t>12/30/2016</t>
  </si>
  <si>
    <t>12/31/2016</t>
  </si>
  <si>
    <t>1/1/2017</t>
  </si>
  <si>
    <t>1/2/2017</t>
  </si>
  <si>
    <t>1/3/2017</t>
  </si>
  <si>
    <t>1/4/2017</t>
  </si>
  <si>
    <t>1/5/2017</t>
  </si>
  <si>
    <t>1/6/2017</t>
  </si>
  <si>
    <t>1/7/2017</t>
  </si>
  <si>
    <t>1/8/2017</t>
  </si>
  <si>
    <t>1/9/2017</t>
  </si>
  <si>
    <t>1/10/2017</t>
  </si>
  <si>
    <t>1/11/2017</t>
  </si>
  <si>
    <t>1/12/2017</t>
  </si>
  <si>
    <t>1/13/2017</t>
  </si>
  <si>
    <t>1/14/2017</t>
  </si>
  <si>
    <t>1/15/2017</t>
  </si>
  <si>
    <t>1/16/2017</t>
  </si>
  <si>
    <t>1/17/2017</t>
  </si>
  <si>
    <t>1/18/2017</t>
  </si>
  <si>
    <t>1/19/2017</t>
  </si>
  <si>
    <t>1/20/2017</t>
  </si>
  <si>
    <t>1/21/2017</t>
  </si>
  <si>
    <t>1/22/2017</t>
  </si>
  <si>
    <t>1/23/2017</t>
  </si>
  <si>
    <t>1/24/2017</t>
  </si>
  <si>
    <t>1/25/2017</t>
  </si>
  <si>
    <t>1/26/2017</t>
  </si>
  <si>
    <t>1/27/2017</t>
  </si>
  <si>
    <t>1/28/2017</t>
  </si>
  <si>
    <t>1/29/2017</t>
  </si>
  <si>
    <t>1/30/2017</t>
  </si>
  <si>
    <t>1/31/2017</t>
  </si>
  <si>
    <t>2/1/2017</t>
  </si>
  <si>
    <t>2/2/2017</t>
  </si>
  <si>
    <t>2/3/2017</t>
  </si>
  <si>
    <t>2/4/2017</t>
  </si>
  <si>
    <t>2/5/2017</t>
  </si>
  <si>
    <t>2/6/2017</t>
  </si>
  <si>
    <t>2/7/2017</t>
  </si>
  <si>
    <t>2/8/2017</t>
  </si>
  <si>
    <t>2/9/2017</t>
  </si>
  <si>
    <t>2/10/2017</t>
  </si>
  <si>
    <t>2/11/2017</t>
  </si>
  <si>
    <t>2/12/2017</t>
  </si>
  <si>
    <t>2/13/2017</t>
  </si>
  <si>
    <t>2/14/2017</t>
  </si>
  <si>
    <t>2/15/2017</t>
  </si>
  <si>
    <t>2/16/2017</t>
  </si>
  <si>
    <t>2/17/2017</t>
  </si>
  <si>
    <t>2/18/2017</t>
  </si>
  <si>
    <t>2/19/2017</t>
  </si>
  <si>
    <t>2/20/2017</t>
  </si>
  <si>
    <t>2/21/2017</t>
  </si>
  <si>
    <t>2/22/2017</t>
  </si>
  <si>
    <t>2/23/2017</t>
  </si>
  <si>
    <t>2/24/2017</t>
  </si>
  <si>
    <t>2/25/2017</t>
  </si>
  <si>
    <t>2/26/2017</t>
  </si>
  <si>
    <t>2/27/2017</t>
  </si>
  <si>
    <t>2/28/2017</t>
  </si>
  <si>
    <t>3/1/2017</t>
  </si>
  <si>
    <t>3/2/2017</t>
  </si>
  <si>
    <t>3/3/2017</t>
  </si>
  <si>
    <t>3/4/2017</t>
  </si>
  <si>
    <t>3/5/2017</t>
  </si>
  <si>
    <t>3/6/2017</t>
  </si>
  <si>
    <t>3/7/2017</t>
  </si>
  <si>
    <t>3/8/2017</t>
  </si>
  <si>
    <t>3/9/2017</t>
  </si>
  <si>
    <t>3/10/2017</t>
  </si>
  <si>
    <t>3/11/2017</t>
  </si>
  <si>
    <t>3/12/2017</t>
  </si>
  <si>
    <t>3/13/2017</t>
  </si>
  <si>
    <t>3/14/2017</t>
  </si>
  <si>
    <t>3/15/2017</t>
  </si>
  <si>
    <t>3/16/2017</t>
  </si>
  <si>
    <t>3/17/2017</t>
  </si>
  <si>
    <t>3/18/2017</t>
  </si>
  <si>
    <t>3/19/2017</t>
  </si>
  <si>
    <t>3/20/2017</t>
  </si>
  <si>
    <t>3/21/2017</t>
  </si>
  <si>
    <t>3/22/2017</t>
  </si>
  <si>
    <t>3/23/2017</t>
  </si>
  <si>
    <t>3/24/2017</t>
  </si>
  <si>
    <t>3/25/2017</t>
  </si>
  <si>
    <t>3/26/2017</t>
  </si>
  <si>
    <t>3/27/2017</t>
  </si>
  <si>
    <t>3/28/2017</t>
  </si>
  <si>
    <t>3/29/2017</t>
  </si>
  <si>
    <t>3/30/2017</t>
  </si>
  <si>
    <t>3/31/2017</t>
  </si>
  <si>
    <t>4/1/2017</t>
  </si>
  <si>
    <t>4/2/2017</t>
  </si>
  <si>
    <t>4/3/2017</t>
  </si>
  <si>
    <t>4/4/2017</t>
  </si>
  <si>
    <t>4/5/2017</t>
  </si>
  <si>
    <t>4/6/2017</t>
  </si>
  <si>
    <t>4/7/2017</t>
  </si>
  <si>
    <t>4/8/2017</t>
  </si>
  <si>
    <t>4/9/2017</t>
  </si>
  <si>
    <t>4/10/2017</t>
  </si>
  <si>
    <t>4/11/2017</t>
  </si>
  <si>
    <t>4/12/2017</t>
  </si>
  <si>
    <t>4/13/2017</t>
  </si>
  <si>
    <t>4/14/2017</t>
  </si>
  <si>
    <t>4/15/2017</t>
  </si>
  <si>
    <t>4/16/2017</t>
  </si>
  <si>
    <t>4/17/2017</t>
  </si>
  <si>
    <t>4/18/2017</t>
  </si>
  <si>
    <t>4/19/2017</t>
  </si>
  <si>
    <t>4/20/2017</t>
  </si>
  <si>
    <t>4/21/2017</t>
  </si>
  <si>
    <t>4/22/2017</t>
  </si>
  <si>
    <t>4/23/2017</t>
  </si>
  <si>
    <t>4/24/2017</t>
  </si>
  <si>
    <t>4/25/2017</t>
  </si>
  <si>
    <t>4/26/2017</t>
  </si>
  <si>
    <t>4/27/2017</t>
  </si>
  <si>
    <t>4/28/2017</t>
  </si>
  <si>
    <t>4/29/2017</t>
  </si>
  <si>
    <t>4/30/2017</t>
  </si>
  <si>
    <t>5/1/2017</t>
  </si>
  <si>
    <t>5/2/2017</t>
  </si>
  <si>
    <t>5/3/2017</t>
  </si>
  <si>
    <t>5/4/2017</t>
  </si>
  <si>
    <t>5/5/2017</t>
  </si>
  <si>
    <t>5/6/2017</t>
  </si>
  <si>
    <t>5/7/2017</t>
  </si>
  <si>
    <t>5/8/2017</t>
  </si>
  <si>
    <t>5/9/2017</t>
  </si>
  <si>
    <t>5/10/2017</t>
  </si>
  <si>
    <t>5/11/2017</t>
  </si>
  <si>
    <t>5/12/2017</t>
  </si>
  <si>
    <t>5/13/2017</t>
  </si>
  <si>
    <t>5/14/2017</t>
  </si>
  <si>
    <t>5/15/2017</t>
  </si>
  <si>
    <t>5/16/2017</t>
  </si>
  <si>
    <t>5/17/2017</t>
  </si>
  <si>
    <t>5/18/2017</t>
  </si>
  <si>
    <t>5/19/2017</t>
  </si>
  <si>
    <t>5/20/2017</t>
  </si>
  <si>
    <t>5/21/2017</t>
  </si>
  <si>
    <t>5/22/2017</t>
  </si>
  <si>
    <t>5/23/2017</t>
  </si>
  <si>
    <t>5/24/2017</t>
  </si>
  <si>
    <t>5/25/2017</t>
  </si>
  <si>
    <t>5/26/2017</t>
  </si>
  <si>
    <t>5/27/2017</t>
  </si>
  <si>
    <t>5/28/2017</t>
  </si>
  <si>
    <t>5/29/2017</t>
  </si>
  <si>
    <t>5/30/2017</t>
  </si>
  <si>
    <t>5/31/2017</t>
  </si>
  <si>
    <t>6/1/2017</t>
  </si>
  <si>
    <t>6/2/2017</t>
  </si>
  <si>
    <t>6/3/2017</t>
  </si>
  <si>
    <t>6/4/2017</t>
  </si>
  <si>
    <t>6/5/2017</t>
  </si>
  <si>
    <t>6/6/2017</t>
  </si>
  <si>
    <t>6/7/2017</t>
  </si>
  <si>
    <t>6/8/2017</t>
  </si>
  <si>
    <t>6/9/2017</t>
  </si>
  <si>
    <t>6/10/2017</t>
  </si>
  <si>
    <t>6/11/2017</t>
  </si>
  <si>
    <t>6/12/2017</t>
  </si>
  <si>
    <t>6/13/2017</t>
  </si>
  <si>
    <t>6/14/2017</t>
  </si>
  <si>
    <t>6/15/2017</t>
  </si>
  <si>
    <t>6/16/2017</t>
  </si>
  <si>
    <t>6/17/2017</t>
  </si>
  <si>
    <t>6/18/2017</t>
  </si>
  <si>
    <t>6/19/2017</t>
  </si>
  <si>
    <t>6/20/2017</t>
  </si>
  <si>
    <t>6/21/2017</t>
  </si>
  <si>
    <t>6/22/2017</t>
  </si>
  <si>
    <t>6/23/2017</t>
  </si>
  <si>
    <t>6/24/2017</t>
  </si>
  <si>
    <t>6/25/2017</t>
  </si>
  <si>
    <t>6/26/2017</t>
  </si>
  <si>
    <t>6/27/2017</t>
  </si>
  <si>
    <t>6/28/2017</t>
  </si>
  <si>
    <t>6/29/2017</t>
  </si>
  <si>
    <t>6/30/2017</t>
  </si>
  <si>
    <t>7/1/2017</t>
  </si>
  <si>
    <t>7/2/2017</t>
  </si>
  <si>
    <t>7/3/2017</t>
  </si>
  <si>
    <t>7/4/2017</t>
  </si>
  <si>
    <t>7/5/2017</t>
  </si>
  <si>
    <t>7/6/2017</t>
  </si>
  <si>
    <t>7/7/2017</t>
  </si>
  <si>
    <t>7/8/2017</t>
  </si>
  <si>
    <t>7/9/2017</t>
  </si>
  <si>
    <t>7/10/2017</t>
  </si>
  <si>
    <t>7/11/2017</t>
  </si>
  <si>
    <t>7/12/2017</t>
  </si>
  <si>
    <t>7/13/2017</t>
  </si>
  <si>
    <t>7/14/2017</t>
  </si>
  <si>
    <t>7/15/2017</t>
  </si>
  <si>
    <t>7/16/2017</t>
  </si>
  <si>
    <t>7/17/2017</t>
  </si>
  <si>
    <t>7/18/2017</t>
  </si>
  <si>
    <t>7/19/2017</t>
  </si>
  <si>
    <t>7/20/2017</t>
  </si>
  <si>
    <t>7/21/2017</t>
  </si>
  <si>
    <t>7/22/2017</t>
  </si>
  <si>
    <t>7/23/2017</t>
  </si>
  <si>
    <t>7/24/2017</t>
  </si>
  <si>
    <t>7/25/2017</t>
  </si>
  <si>
    <t>7/26/2017</t>
  </si>
  <si>
    <t>7/27/2017</t>
  </si>
  <si>
    <t>7/28/2017</t>
  </si>
  <si>
    <t>7/29/2017</t>
  </si>
  <si>
    <t>7/30/2017</t>
  </si>
  <si>
    <t>7/31/2017</t>
  </si>
  <si>
    <t>8/1/2017</t>
  </si>
  <si>
    <t>8/2/2017</t>
  </si>
  <si>
    <t>8/3/2017</t>
  </si>
  <si>
    <t>8/4/2017</t>
  </si>
  <si>
    <t>8/5/2017</t>
  </si>
  <si>
    <t>8/6/2017</t>
  </si>
  <si>
    <t>8/7/2017</t>
  </si>
  <si>
    <t>8/8/2017</t>
  </si>
  <si>
    <t>8/9/2017</t>
  </si>
  <si>
    <t>8/10/2017</t>
  </si>
  <si>
    <t>8/11/2017</t>
  </si>
  <si>
    <t>8/12/2017</t>
  </si>
  <si>
    <t>8/13/2017</t>
  </si>
  <si>
    <t>8/14/2017</t>
  </si>
  <si>
    <t>8/15/2017</t>
  </si>
  <si>
    <t>8/16/2017</t>
  </si>
  <si>
    <t>8/17/2017</t>
  </si>
  <si>
    <t>8/18/2017</t>
  </si>
  <si>
    <t>8/19/2017</t>
  </si>
  <si>
    <t>8/20/2017</t>
  </si>
  <si>
    <t>8/21/2017</t>
  </si>
  <si>
    <t>8/22/2017</t>
  </si>
  <si>
    <t>8/23/2017</t>
  </si>
  <si>
    <t>8/24/2017</t>
  </si>
  <si>
    <t>8/25/2017</t>
  </si>
  <si>
    <t>8/26/2017</t>
  </si>
  <si>
    <t>8/27/2017</t>
  </si>
  <si>
    <t>8/28/2017</t>
  </si>
  <si>
    <t>8/29/2017</t>
  </si>
  <si>
    <t>8/30/2017</t>
  </si>
  <si>
    <t>8/31/2017</t>
  </si>
  <si>
    <t>9/1/2017</t>
  </si>
  <si>
    <t>9/2/2017</t>
  </si>
  <si>
    <t>9/3/2017</t>
  </si>
  <si>
    <t>9/4/2017</t>
  </si>
  <si>
    <t>9/5/2017</t>
  </si>
  <si>
    <t>9/6/2017</t>
  </si>
  <si>
    <t>9/7/2017</t>
  </si>
  <si>
    <t>9/8/2017</t>
  </si>
  <si>
    <t>9/9/2017</t>
  </si>
  <si>
    <t>9/10/2017</t>
  </si>
  <si>
    <t>9/11/2017</t>
  </si>
  <si>
    <t>9/12/2017</t>
  </si>
  <si>
    <t>9/13/2017</t>
  </si>
  <si>
    <t>9/14/2017</t>
  </si>
  <si>
    <t>9/15/2017</t>
  </si>
  <si>
    <t>9/16/2017</t>
  </si>
  <si>
    <t>9/17/2017</t>
  </si>
  <si>
    <t>9/18/2017</t>
  </si>
  <si>
    <t>9/19/2017</t>
  </si>
  <si>
    <t>9/20/2017</t>
  </si>
  <si>
    <t>9/21/2017</t>
  </si>
  <si>
    <t>9/22/2017</t>
  </si>
  <si>
    <t>9/23/2017</t>
  </si>
  <si>
    <t>9/24/2017</t>
  </si>
  <si>
    <t>9/25/2017</t>
  </si>
  <si>
    <t>9/26/2017</t>
  </si>
  <si>
    <t>9/27/2017</t>
  </si>
  <si>
    <t>9/28/2017</t>
  </si>
  <si>
    <t>9/29/2017</t>
  </si>
  <si>
    <t>9/30/2017</t>
  </si>
  <si>
    <t>10/1/2017</t>
  </si>
  <si>
    <t>10/2/2017</t>
  </si>
  <si>
    <t>10/3/2017</t>
  </si>
  <si>
    <t>10/4/2017</t>
  </si>
  <si>
    <t>10/5/2017</t>
  </si>
  <si>
    <t>10/6/2017</t>
  </si>
  <si>
    <t>10/7/2017</t>
  </si>
  <si>
    <t>10/8/2017</t>
  </si>
  <si>
    <t>10/9/2017</t>
  </si>
  <si>
    <t>10/10/2017</t>
  </si>
  <si>
    <t>10/11/2017</t>
  </si>
  <si>
    <t>10/12/2017</t>
  </si>
  <si>
    <t>10/13/2017</t>
  </si>
  <si>
    <t>10/14/2017</t>
  </si>
  <si>
    <t>10/15/2017</t>
  </si>
  <si>
    <t>10/16/2017</t>
  </si>
  <si>
    <t>10/17/2017</t>
  </si>
  <si>
    <t>10/18/2017</t>
  </si>
  <si>
    <t>10/19/2017</t>
  </si>
  <si>
    <t>10/20/2017</t>
  </si>
  <si>
    <t>10/21/2017</t>
  </si>
  <si>
    <t>10/22/2017</t>
  </si>
  <si>
    <t>10/23/2017</t>
  </si>
  <si>
    <t>10/24/2017</t>
  </si>
  <si>
    <t>10/25/2017</t>
  </si>
  <si>
    <t>10/26/2017</t>
  </si>
  <si>
    <t>10/27/2017</t>
  </si>
  <si>
    <t>10/28/2017</t>
  </si>
  <si>
    <t>10/29/2017</t>
  </si>
  <si>
    <t>10/30/2017</t>
  </si>
  <si>
    <t>10/31/2017</t>
  </si>
  <si>
    <t>11/1/2017</t>
  </si>
  <si>
    <t>11/2/2017</t>
  </si>
  <si>
    <t>11/3/2017</t>
  </si>
  <si>
    <t>11/4/2017</t>
  </si>
  <si>
    <t>11/5/2017</t>
  </si>
  <si>
    <t>11/6/2017</t>
  </si>
  <si>
    <t>11/7/2017</t>
  </si>
  <si>
    <t>11/8/2017</t>
  </si>
  <si>
    <t>11/9/2017</t>
  </si>
  <si>
    <t>11/10/2017</t>
  </si>
  <si>
    <t>11/11/2017</t>
  </si>
  <si>
    <t>11/12/2017</t>
  </si>
  <si>
    <t>11/13/2017</t>
  </si>
  <si>
    <t>11/14/2017</t>
  </si>
  <si>
    <t>11/15/2017</t>
  </si>
  <si>
    <t>11/16/2017</t>
  </si>
  <si>
    <t>11/17/2017</t>
  </si>
  <si>
    <t>11/18/2017</t>
  </si>
  <si>
    <t>11/19/2017</t>
  </si>
  <si>
    <t>11/20/2017</t>
  </si>
  <si>
    <t>11/21/2017</t>
  </si>
  <si>
    <t>11/22/2017</t>
  </si>
  <si>
    <t>11/23/2017</t>
  </si>
  <si>
    <t>11/24/2017</t>
  </si>
  <si>
    <t>11/25/2017</t>
  </si>
  <si>
    <t>11/26/2017</t>
  </si>
  <si>
    <t>11/27/2017</t>
  </si>
  <si>
    <t>11/28/2017</t>
  </si>
  <si>
    <t>11/29/2017</t>
  </si>
  <si>
    <t>11/30/2017</t>
  </si>
  <si>
    <t>12/1/2017</t>
  </si>
  <si>
    <t>12/2/2017</t>
  </si>
  <si>
    <t>12/3/2017</t>
  </si>
  <si>
    <t>12/4/2017</t>
  </si>
  <si>
    <t>12/5/2017</t>
  </si>
  <si>
    <t>12/6/2017</t>
  </si>
  <si>
    <t>12/7/2017</t>
  </si>
  <si>
    <t>12/8/2017</t>
  </si>
  <si>
    <t>12/9/2017</t>
  </si>
  <si>
    <t>12/10/2017</t>
  </si>
  <si>
    <t>12/11/2017</t>
  </si>
  <si>
    <t>12/12/2017</t>
  </si>
  <si>
    <t>12/13/2017</t>
  </si>
  <si>
    <t>12/14/2017</t>
  </si>
  <si>
    <t>12/15/2017</t>
  </si>
  <si>
    <t>12/16/2017</t>
  </si>
  <si>
    <t>12/17/2017</t>
  </si>
  <si>
    <t>12/18/2017</t>
  </si>
  <si>
    <t>12/19/2017</t>
  </si>
  <si>
    <t>12/20/2017</t>
  </si>
  <si>
    <t>12/21/2017</t>
  </si>
  <si>
    <t>12/22/2017</t>
  </si>
  <si>
    <t>12/23/2017</t>
  </si>
  <si>
    <t>12/24/2017</t>
  </si>
  <si>
    <t>12/25/2017</t>
  </si>
  <si>
    <t>12/26/2017</t>
  </si>
  <si>
    <t>12/27/2017</t>
  </si>
  <si>
    <t>12/28/2017</t>
  </si>
  <si>
    <t>12/29/2017</t>
  </si>
  <si>
    <t>12/30/2017</t>
  </si>
  <si>
    <t>12/31/2017</t>
  </si>
  <si>
    <t>1/1/2018</t>
  </si>
  <si>
    <t>1/2/2018</t>
  </si>
  <si>
    <t>1/3/2018</t>
  </si>
  <si>
    <t>1/4/2018</t>
  </si>
  <si>
    <t>1/5/2018</t>
  </si>
  <si>
    <t>1/6/2018</t>
  </si>
  <si>
    <t>1/7/2018</t>
  </si>
  <si>
    <t>1/8/2018</t>
  </si>
  <si>
    <t>1/9/2018</t>
  </si>
  <si>
    <t>1/10/2018</t>
  </si>
  <si>
    <t>1/11/2018</t>
  </si>
  <si>
    <t>1/12/2018</t>
  </si>
  <si>
    <t>1/13/2018</t>
  </si>
  <si>
    <t>1/14/2018</t>
  </si>
  <si>
    <t>1/15/2018</t>
  </si>
  <si>
    <t>1/16/2018</t>
  </si>
  <si>
    <t>1/17/2018</t>
  </si>
  <si>
    <t>1/18/2018</t>
  </si>
  <si>
    <t>1/19/2018</t>
  </si>
  <si>
    <t>1/20/2018</t>
  </si>
  <si>
    <t>1/21/2018</t>
  </si>
  <si>
    <t>1/22/2018</t>
  </si>
  <si>
    <t>1/23/2018</t>
  </si>
  <si>
    <t>1/24/2018</t>
  </si>
  <si>
    <t>1/25/2018</t>
  </si>
  <si>
    <t>1/26/2018</t>
  </si>
  <si>
    <t>1/27/2018</t>
  </si>
  <si>
    <t>1/28/2018</t>
  </si>
  <si>
    <t>1/29/2018</t>
  </si>
  <si>
    <t>1/30/2018</t>
  </si>
  <si>
    <t>1/31/2018</t>
  </si>
  <si>
    <t>2/1/2018</t>
  </si>
  <si>
    <t>2/2/2018</t>
  </si>
  <si>
    <t>2/3/2018</t>
  </si>
  <si>
    <t>2/4/2018</t>
  </si>
  <si>
    <t>2/5/2018</t>
  </si>
  <si>
    <t>2/6/2018</t>
  </si>
  <si>
    <t>2/7/2018</t>
  </si>
  <si>
    <t>2/8/2018</t>
  </si>
  <si>
    <t>2/9/2018</t>
  </si>
  <si>
    <t>2/10/2018</t>
  </si>
  <si>
    <t>2/11/2018</t>
  </si>
  <si>
    <t>2/12/2018</t>
  </si>
  <si>
    <t>2/13/2018</t>
  </si>
  <si>
    <t>2/14/2018</t>
  </si>
  <si>
    <t>2/15/2018</t>
  </si>
  <si>
    <t>2/16/2018</t>
  </si>
  <si>
    <t>2/17/2018</t>
  </si>
  <si>
    <t>2/18/2018</t>
  </si>
  <si>
    <t>2/19/2018</t>
  </si>
  <si>
    <t>2/20/2018</t>
  </si>
  <si>
    <t>2/21/2018</t>
  </si>
  <si>
    <t>2/22/2018</t>
  </si>
  <si>
    <t>2/23/2018</t>
  </si>
  <si>
    <t>2/24/2018</t>
  </si>
  <si>
    <t>2/25/2018</t>
  </si>
  <si>
    <t>2/26/2018</t>
  </si>
  <si>
    <t>2/27/2018</t>
  </si>
  <si>
    <t>2/28/2018</t>
  </si>
  <si>
    <t>3/1/2018</t>
  </si>
  <si>
    <t>3/2/2018</t>
  </si>
  <si>
    <t>3/3/2018</t>
  </si>
  <si>
    <t>3/4/2018</t>
  </si>
  <si>
    <t>3/5/2018</t>
  </si>
  <si>
    <t>3/6/2018</t>
  </si>
  <si>
    <t>3/7/2018</t>
  </si>
  <si>
    <t>3/8/2018</t>
  </si>
  <si>
    <t>3/9/2018</t>
  </si>
  <si>
    <t>3/10/2018</t>
  </si>
  <si>
    <t>3/11/2018</t>
  </si>
  <si>
    <t>3/12/2018</t>
  </si>
  <si>
    <t>3/13/2018</t>
  </si>
  <si>
    <t>3/14/2018</t>
  </si>
  <si>
    <t>3/15/2018</t>
  </si>
  <si>
    <t>3/16/2018</t>
  </si>
  <si>
    <t>3/17/2018</t>
  </si>
  <si>
    <t>3/18/2018</t>
  </si>
  <si>
    <t>3/19/2018</t>
  </si>
  <si>
    <t>3/20/2018</t>
  </si>
  <si>
    <t>3/21/2018</t>
  </si>
  <si>
    <t>3/22/2018</t>
  </si>
  <si>
    <t>3/23/2018</t>
  </si>
  <si>
    <t>3/24/2018</t>
  </si>
  <si>
    <t>3/25/2018</t>
  </si>
  <si>
    <t>3/26/2018</t>
  </si>
  <si>
    <t>3/27/2018</t>
  </si>
  <si>
    <t>3/28/2018</t>
  </si>
  <si>
    <t>3/29/2018</t>
  </si>
  <si>
    <t>3/30/2018</t>
  </si>
  <si>
    <t>3/31/2018</t>
  </si>
  <si>
    <t>4/1/2018</t>
  </si>
  <si>
    <t>4/2/2018</t>
  </si>
  <si>
    <t>4/3/2018</t>
  </si>
  <si>
    <t>4/4/2018</t>
  </si>
  <si>
    <t>4/5/2018</t>
  </si>
  <si>
    <t>4/6/2018</t>
  </si>
  <si>
    <t>4/7/2018</t>
  </si>
  <si>
    <t>4/8/2018</t>
  </si>
  <si>
    <t>4/9/2018</t>
  </si>
  <si>
    <t>4/10/2018</t>
  </si>
  <si>
    <t>4/11/2018</t>
  </si>
  <si>
    <t>4/12/2018</t>
  </si>
  <si>
    <t>4/13/2018</t>
  </si>
  <si>
    <t>4/14/2018</t>
  </si>
  <si>
    <t>4/15/2018</t>
  </si>
  <si>
    <t>4/16/2018</t>
  </si>
  <si>
    <t>4/17/2018</t>
  </si>
  <si>
    <t>4/18/2018</t>
  </si>
  <si>
    <t>4/19/2018</t>
  </si>
  <si>
    <t>4/20/2018</t>
  </si>
  <si>
    <t>4/21/2018</t>
  </si>
  <si>
    <t>4/22/2018</t>
  </si>
  <si>
    <t>4/23/2018</t>
  </si>
  <si>
    <t>4/24/2018</t>
  </si>
  <si>
    <t>4/25/2018</t>
  </si>
  <si>
    <t>4/26/2018</t>
  </si>
  <si>
    <t>4/27/2018</t>
  </si>
  <si>
    <t>4/28/2018</t>
  </si>
  <si>
    <t>4/29/2018</t>
  </si>
  <si>
    <t>4/30/2018</t>
  </si>
  <si>
    <t>5/1/2018</t>
  </si>
  <si>
    <t>5/2/2018</t>
  </si>
  <si>
    <t>5/3/2018</t>
  </si>
  <si>
    <t>5/4/2018</t>
  </si>
  <si>
    <t>5/5/2018</t>
  </si>
  <si>
    <t>5/6/2018</t>
  </si>
  <si>
    <t>5/7/2018</t>
  </si>
  <si>
    <t>5/8/2018</t>
  </si>
  <si>
    <t>5/9/2018</t>
  </si>
  <si>
    <t>5/10/2018</t>
  </si>
  <si>
    <t>5/11/2018</t>
  </si>
  <si>
    <t>5/12/2018</t>
  </si>
  <si>
    <t>5/13/2018</t>
  </si>
  <si>
    <t>5/14/2018</t>
  </si>
  <si>
    <t>5/15/2018</t>
  </si>
  <si>
    <t>5/16/2018</t>
  </si>
  <si>
    <t>5/17/2018</t>
  </si>
  <si>
    <t>5/18/2018</t>
  </si>
  <si>
    <t>5/19/2018</t>
  </si>
  <si>
    <t>5/20/2018</t>
  </si>
  <si>
    <t>5/21/2018</t>
  </si>
  <si>
    <t>5/22/2018</t>
  </si>
  <si>
    <t>5/23/2018</t>
  </si>
  <si>
    <t>5/24/2018</t>
  </si>
  <si>
    <t>5/25/2018</t>
  </si>
  <si>
    <t>5/26/2018</t>
  </si>
  <si>
    <t>5/27/2018</t>
  </si>
  <si>
    <t>5/28/2018</t>
  </si>
  <si>
    <t>5/29/2018</t>
  </si>
  <si>
    <t>5/30/2018</t>
  </si>
  <si>
    <t>5/31/2018</t>
  </si>
  <si>
    <t>6/1/2018</t>
  </si>
  <si>
    <t>6/2/2018</t>
  </si>
  <si>
    <t>6/3/2018</t>
  </si>
  <si>
    <t>6/4/2018</t>
  </si>
  <si>
    <t>6/5/2018</t>
  </si>
  <si>
    <t>6/6/2018</t>
  </si>
  <si>
    <t>6/7/2018</t>
  </si>
  <si>
    <t>6/8/2018</t>
  </si>
  <si>
    <t>6/9/2018</t>
  </si>
  <si>
    <t>6/10/2018</t>
  </si>
  <si>
    <t>6/11/2018</t>
  </si>
  <si>
    <t>6/12/2018</t>
  </si>
  <si>
    <t>6/13/2018</t>
  </si>
  <si>
    <t>6/14/2018</t>
  </si>
  <si>
    <t>6/15/2018</t>
  </si>
  <si>
    <t>6/16/2018</t>
  </si>
  <si>
    <t>6/17/2018</t>
  </si>
  <si>
    <t>6/18/2018</t>
  </si>
  <si>
    <t>6/19/2018</t>
  </si>
  <si>
    <t>6/20/2018</t>
  </si>
  <si>
    <t>6/21/2018</t>
  </si>
  <si>
    <t>6/22/2018</t>
  </si>
  <si>
    <t>6/23/2018</t>
  </si>
  <si>
    <t>6/24/2018</t>
  </si>
  <si>
    <t>6/25/2018</t>
  </si>
  <si>
    <t>6/26/2018</t>
  </si>
  <si>
    <t>6/27/2018</t>
  </si>
  <si>
    <t>6/28/2018</t>
  </si>
  <si>
    <t>6/29/2018</t>
  </si>
  <si>
    <t>6/30/2018</t>
  </si>
  <si>
    <t>7/1/2018</t>
  </si>
  <si>
    <t>7/2/2018</t>
  </si>
  <si>
    <t>7/3/2018</t>
  </si>
  <si>
    <t>7/4/2018</t>
  </si>
  <si>
    <t>7/5/2018</t>
  </si>
  <si>
    <t>7/6/2018</t>
  </si>
  <si>
    <t>7/7/2018</t>
  </si>
  <si>
    <t>7/8/2018</t>
  </si>
  <si>
    <t>7/9/2018</t>
  </si>
  <si>
    <t>7/10/2018</t>
  </si>
  <si>
    <t>7/11/2018</t>
  </si>
  <si>
    <t>7/12/2018</t>
  </si>
  <si>
    <t>7/13/2018</t>
  </si>
  <si>
    <t>7/14/2018</t>
  </si>
  <si>
    <t>7/15/2018</t>
  </si>
  <si>
    <t>7/16/2018</t>
  </si>
  <si>
    <t>7/17/2018</t>
  </si>
  <si>
    <t>7/18/2018</t>
  </si>
  <si>
    <t>7/19/2018</t>
  </si>
  <si>
    <t>7/20/2018</t>
  </si>
  <si>
    <t>7/21/2018</t>
  </si>
  <si>
    <t>7/22/2018</t>
  </si>
  <si>
    <t>7/23/2018</t>
  </si>
  <si>
    <t>7/24/2018</t>
  </si>
  <si>
    <t>7/25/2018</t>
  </si>
  <si>
    <t>7/26/2018</t>
  </si>
  <si>
    <t>7/27/2018</t>
  </si>
  <si>
    <t>7/28/2018</t>
  </si>
  <si>
    <t>7/29/2018</t>
  </si>
  <si>
    <t>7/30/2018</t>
  </si>
  <si>
    <t>7/31/2018</t>
  </si>
  <si>
    <t>8/1/2018</t>
  </si>
  <si>
    <t>8/2/2018</t>
  </si>
  <si>
    <t>8/3/2018</t>
  </si>
  <si>
    <t>8/4/2018</t>
  </si>
  <si>
    <t>8/5/2018</t>
  </si>
  <si>
    <t>8/6/2018</t>
  </si>
  <si>
    <t>8/7/2018</t>
  </si>
  <si>
    <t>8/8/2018</t>
  </si>
  <si>
    <t>8/9/2018</t>
  </si>
  <si>
    <t>8/10/2018</t>
  </si>
  <si>
    <t>8/11/2018</t>
  </si>
  <si>
    <t>8/12/2018</t>
  </si>
  <si>
    <t>8/13/2018</t>
  </si>
  <si>
    <t>8/14/2018</t>
  </si>
  <si>
    <t>8/15/2018</t>
  </si>
  <si>
    <t>8/16/2018</t>
  </si>
  <si>
    <t>8/17/2018</t>
  </si>
  <si>
    <t>8/18/2018</t>
  </si>
  <si>
    <t>8/19/2018</t>
  </si>
  <si>
    <t>8/20/2018</t>
  </si>
  <si>
    <t>8/21/2018</t>
  </si>
  <si>
    <t>8/22/2018</t>
  </si>
  <si>
    <t>8/23/2018</t>
  </si>
  <si>
    <t>8/24/2018</t>
  </si>
  <si>
    <t>8/25/2018</t>
  </si>
  <si>
    <t>8/26/2018</t>
  </si>
  <si>
    <t>8/27/2018</t>
  </si>
  <si>
    <t>8/28/2018</t>
  </si>
  <si>
    <t>8/29/2018</t>
  </si>
  <si>
    <t>8/30/2018</t>
  </si>
  <si>
    <t>8/31/2018</t>
  </si>
  <si>
    <t>9/1/2018</t>
  </si>
  <si>
    <t>9/2/2018</t>
  </si>
  <si>
    <t>9/3/2018</t>
  </si>
  <si>
    <t>9/4/2018</t>
  </si>
  <si>
    <t>9/5/2018</t>
  </si>
  <si>
    <t>9/6/2018</t>
  </si>
  <si>
    <t>9/7/2018</t>
  </si>
  <si>
    <t>9/8/2018</t>
  </si>
  <si>
    <t>9/9/2018</t>
  </si>
  <si>
    <t>9/10/2018</t>
  </si>
  <si>
    <t>9/11/2018</t>
  </si>
  <si>
    <t>9/12/2018</t>
  </si>
  <si>
    <t>9/13/2018</t>
  </si>
  <si>
    <t>9/14/2018</t>
  </si>
  <si>
    <t>9/15/2018</t>
  </si>
  <si>
    <t>9/16/2018</t>
  </si>
  <si>
    <t>9/17/2018</t>
  </si>
  <si>
    <t>9/18/2018</t>
  </si>
  <si>
    <t>9/19/2018</t>
  </si>
  <si>
    <t>9/20/2018</t>
  </si>
  <si>
    <t>9/21/2018</t>
  </si>
  <si>
    <t>9/22/2018</t>
  </si>
  <si>
    <t>9/23/2018</t>
  </si>
  <si>
    <t>9/24/2018</t>
  </si>
  <si>
    <t>9/25/2018</t>
  </si>
  <si>
    <t>9/26/2018</t>
  </si>
  <si>
    <t>9/27/2018</t>
  </si>
  <si>
    <t>9/28/2018</t>
  </si>
  <si>
    <t>9/29/2018</t>
  </si>
  <si>
    <t>9/30/2018</t>
  </si>
  <si>
    <t>10/1/2018</t>
  </si>
  <si>
    <t>10/2/2018</t>
  </si>
  <si>
    <t>10/3/2018</t>
  </si>
  <si>
    <t>10/4/2018</t>
  </si>
  <si>
    <t>10/5/2018</t>
  </si>
  <si>
    <t>10/6/2018</t>
  </si>
  <si>
    <t>10/7/2018</t>
  </si>
  <si>
    <t>10/8/2018</t>
  </si>
  <si>
    <t>10/9/2018</t>
  </si>
  <si>
    <t>10/10/2018</t>
  </si>
  <si>
    <t>10/11/2018</t>
  </si>
  <si>
    <t>10/12/2018</t>
  </si>
  <si>
    <t>10/13/2018</t>
  </si>
  <si>
    <t>10/14/2018</t>
  </si>
  <si>
    <t>10/15/2018</t>
  </si>
  <si>
    <t>10/16/2018</t>
  </si>
  <si>
    <t>10/17/2018</t>
  </si>
  <si>
    <t>10/18/2018</t>
  </si>
  <si>
    <t>10/19/2018</t>
  </si>
  <si>
    <t>10/20/2018</t>
  </si>
  <si>
    <t>10/21/2018</t>
  </si>
  <si>
    <t>10/22/2018</t>
  </si>
  <si>
    <t>10/23/2018</t>
  </si>
  <si>
    <t>10/24/2018</t>
  </si>
  <si>
    <t>10/25/2018</t>
  </si>
  <si>
    <t>10/26/2018</t>
  </si>
  <si>
    <t>10/27/2018</t>
  </si>
  <si>
    <t>10/28/2018</t>
  </si>
  <si>
    <t>10/29/2018</t>
  </si>
  <si>
    <t>10/30/2018</t>
  </si>
  <si>
    <t>10/31/2018</t>
  </si>
  <si>
    <t>11/1/2018</t>
  </si>
  <si>
    <t>11/2/2018</t>
  </si>
  <si>
    <t>11/3/2018</t>
  </si>
  <si>
    <t>11/4/2018</t>
  </si>
  <si>
    <t>11/5/2018</t>
  </si>
  <si>
    <t>11/6/2018</t>
  </si>
  <si>
    <t>11/7/2018</t>
  </si>
  <si>
    <t>11/8/2018</t>
  </si>
  <si>
    <t>11/9/2018</t>
  </si>
  <si>
    <t>11/10/2018</t>
  </si>
  <si>
    <t>11/11/2018</t>
  </si>
  <si>
    <t>11/12/2018</t>
  </si>
  <si>
    <t>11/13/2018</t>
  </si>
  <si>
    <t>11/14/2018</t>
  </si>
  <si>
    <t>11/15/2018</t>
  </si>
  <si>
    <t>11/16/2018</t>
  </si>
  <si>
    <t>11/17/2018</t>
  </si>
  <si>
    <t>11/18/2018</t>
  </si>
  <si>
    <t>11/19/2018</t>
  </si>
  <si>
    <t>11/20/2018</t>
  </si>
  <si>
    <t>11/21/2018</t>
  </si>
  <si>
    <t>11/22/2018</t>
  </si>
  <si>
    <t>11/23/2018</t>
  </si>
  <si>
    <t>11/24/2018</t>
  </si>
  <si>
    <t>11/25/2018</t>
  </si>
  <si>
    <t>11/26/2018</t>
  </si>
  <si>
    <t>11/27/2018</t>
  </si>
  <si>
    <t>11/28/2018</t>
  </si>
  <si>
    <t>11/29/2018</t>
  </si>
  <si>
    <t>11/30/2018</t>
  </si>
  <si>
    <t>12/1/2018</t>
  </si>
  <si>
    <t>12/2/2018</t>
  </si>
  <si>
    <t>12/3/2018</t>
  </si>
  <si>
    <t>12/4/2018</t>
  </si>
  <si>
    <t>12/5/2018</t>
  </si>
  <si>
    <t>12/6/2018</t>
  </si>
  <si>
    <t>12/7/2018</t>
  </si>
  <si>
    <t>12/8/2018</t>
  </si>
  <si>
    <t>12/9/2018</t>
  </si>
  <si>
    <t>12/10/2018</t>
  </si>
  <si>
    <t>12/11/2018</t>
  </si>
  <si>
    <t>12/12/2018</t>
  </si>
  <si>
    <t>12/13/2018</t>
  </si>
  <si>
    <t>12/14/2018</t>
  </si>
  <si>
    <t>12/15/2018</t>
  </si>
  <si>
    <t>12/16/2018</t>
  </si>
  <si>
    <t>12/17/2018</t>
  </si>
  <si>
    <t>12/18/2018</t>
  </si>
  <si>
    <t>12/19/2018</t>
  </si>
  <si>
    <t>12/20/2018</t>
  </si>
  <si>
    <t>12/21/2018</t>
  </si>
  <si>
    <t>12/22/2018</t>
  </si>
  <si>
    <t>12/23/2018</t>
  </si>
  <si>
    <t>12/24/2018</t>
  </si>
  <si>
    <t>12/25/2018</t>
  </si>
  <si>
    <t>12/26/2018</t>
  </si>
  <si>
    <t>12/27/2018</t>
  </si>
  <si>
    <t>12/28/2018</t>
  </si>
  <si>
    <t>12/29/2018</t>
  </si>
  <si>
    <t>12/30/2018</t>
  </si>
  <si>
    <t>12/31/2018</t>
  </si>
  <si>
    <t>1/1/2019</t>
  </si>
  <si>
    <t>1/2/2019</t>
  </si>
  <si>
    <t>1/3/2019</t>
  </si>
  <si>
    <t>1/4/2019</t>
  </si>
  <si>
    <t>1/5/2019</t>
  </si>
  <si>
    <t>1/6/2019</t>
  </si>
  <si>
    <t>1/7/2019</t>
  </si>
  <si>
    <t>1/8/2019</t>
  </si>
  <si>
    <t>1/9/2019</t>
  </si>
  <si>
    <t>1/10/2019</t>
  </si>
  <si>
    <t>1/11/2019</t>
  </si>
  <si>
    <t>1/12/2019</t>
  </si>
  <si>
    <t>1/13/2019</t>
  </si>
  <si>
    <t>1/14/2019</t>
  </si>
  <si>
    <t>1/15/2019</t>
  </si>
  <si>
    <t>1/16/2019</t>
  </si>
  <si>
    <t>1/17/2019</t>
  </si>
  <si>
    <t>1/18/2019</t>
  </si>
  <si>
    <t>1/19/2019</t>
  </si>
  <si>
    <t>1/20/2019</t>
  </si>
  <si>
    <t>1/21/2019</t>
  </si>
  <si>
    <t>1/22/2019</t>
  </si>
  <si>
    <t>1/23/2019</t>
  </si>
  <si>
    <t>1/24/2019</t>
  </si>
  <si>
    <t>1/25/2019</t>
  </si>
  <si>
    <t>1/26/2019</t>
  </si>
  <si>
    <t>1/27/2019</t>
  </si>
  <si>
    <t>1/28/2019</t>
  </si>
  <si>
    <t>1/29/2019</t>
  </si>
  <si>
    <t>1/30/2019</t>
  </si>
  <si>
    <t>1/31/2019</t>
  </si>
  <si>
    <t>2/1/2019</t>
  </si>
  <si>
    <t>2/2/2019</t>
  </si>
  <si>
    <t>2/3/2019</t>
  </si>
  <si>
    <t>2/4/2019</t>
  </si>
  <si>
    <t>2/5/2019</t>
  </si>
  <si>
    <t>2/6/2019</t>
  </si>
  <si>
    <t>2/7/2019</t>
  </si>
  <si>
    <t>2/8/2019</t>
  </si>
  <si>
    <t>2/9/2019</t>
  </si>
  <si>
    <t>2/10/2019</t>
  </si>
  <si>
    <t>2/11/2019</t>
  </si>
  <si>
    <t>2/12/2019</t>
  </si>
  <si>
    <t>2/13/2019</t>
  </si>
  <si>
    <t>2/14/2019</t>
  </si>
  <si>
    <t>2/15/2019</t>
  </si>
  <si>
    <t>2/16/2019</t>
  </si>
  <si>
    <t>2/17/2019</t>
  </si>
  <si>
    <t>2/18/2019</t>
  </si>
  <si>
    <t>2/19/2019</t>
  </si>
  <si>
    <t>2/20/2019</t>
  </si>
  <si>
    <t>2/21/2019</t>
  </si>
  <si>
    <t>2/22/2019</t>
  </si>
  <si>
    <t>2/23/2019</t>
  </si>
  <si>
    <t>2/24/2019</t>
  </si>
  <si>
    <t>2/25/2019</t>
  </si>
  <si>
    <t>2/26/2019</t>
  </si>
  <si>
    <t>2/27/2019</t>
  </si>
  <si>
    <t>2/28/2019</t>
  </si>
  <si>
    <t>3/1/2019</t>
  </si>
  <si>
    <t>3/2/2019</t>
  </si>
  <si>
    <t>3/3/2019</t>
  </si>
  <si>
    <t>3/4/2019</t>
  </si>
  <si>
    <t>3/5/2019</t>
  </si>
  <si>
    <t>3/6/2019</t>
  </si>
  <si>
    <t>3/7/2019</t>
  </si>
  <si>
    <t>3/8/2019</t>
  </si>
  <si>
    <t>3/9/2019</t>
  </si>
  <si>
    <t>3/10/2019</t>
  </si>
  <si>
    <t>3/11/2019</t>
  </si>
  <si>
    <t>3/12/2019</t>
  </si>
  <si>
    <t>3/13/2019</t>
  </si>
  <si>
    <t>3/14/2019</t>
  </si>
  <si>
    <t>3/15/2019</t>
  </si>
  <si>
    <t>3/16/2019</t>
  </si>
  <si>
    <t>3/17/2019</t>
  </si>
  <si>
    <t>3/18/2019</t>
  </si>
  <si>
    <t>3/19/2019</t>
  </si>
  <si>
    <t>3/20/2019</t>
  </si>
  <si>
    <t>3/21/2019</t>
  </si>
  <si>
    <t>3/22/2019</t>
  </si>
  <si>
    <t>3/23/2019</t>
  </si>
  <si>
    <t>3/24/2019</t>
  </si>
  <si>
    <t>3/25/2019</t>
  </si>
  <si>
    <t>3/26/2019</t>
  </si>
  <si>
    <t>3/27/2019</t>
  </si>
  <si>
    <t>3/28/2019</t>
  </si>
  <si>
    <t>3/29/2019</t>
  </si>
  <si>
    <t>3/30/2019</t>
  </si>
  <si>
    <t>3/31/2019</t>
  </si>
  <si>
    <t>4/1/2019</t>
  </si>
  <si>
    <t>4/2/2019</t>
  </si>
  <si>
    <t>4/3/2019</t>
  </si>
  <si>
    <t>4/4/2019</t>
  </si>
  <si>
    <t>4/5/2019</t>
  </si>
  <si>
    <t>4/6/2019</t>
  </si>
  <si>
    <t>4/7/2019</t>
  </si>
  <si>
    <t>4/8/2019</t>
  </si>
  <si>
    <t>4/9/2019</t>
  </si>
  <si>
    <t>4/10/2019</t>
  </si>
  <si>
    <t>4/11/2019</t>
  </si>
  <si>
    <t>4/12/2019</t>
  </si>
  <si>
    <t>4/13/2019</t>
  </si>
  <si>
    <t>4/14/2019</t>
  </si>
  <si>
    <t>4/15/2019</t>
  </si>
  <si>
    <t>4/16/2019</t>
  </si>
  <si>
    <t>4/17/2019</t>
  </si>
  <si>
    <t>4/18/2019</t>
  </si>
  <si>
    <t>4/19/2019</t>
  </si>
  <si>
    <t>4/20/2019</t>
  </si>
  <si>
    <t>4/21/2019</t>
  </si>
  <si>
    <t>4/22/2019</t>
  </si>
  <si>
    <t>4/23/2019</t>
  </si>
  <si>
    <t>4/24/2019</t>
  </si>
  <si>
    <t>4/25/2019</t>
  </si>
  <si>
    <t>4/26/2019</t>
  </si>
  <si>
    <t>4/27/2019</t>
  </si>
  <si>
    <t>4/28/2019</t>
  </si>
  <si>
    <t>4/29/2019</t>
  </si>
  <si>
    <t>4/30/2019</t>
  </si>
  <si>
    <t>5/1/2019</t>
  </si>
  <si>
    <t>5/2/2019</t>
  </si>
  <si>
    <t>5/3/2019</t>
  </si>
  <si>
    <t>5/4/2019</t>
  </si>
  <si>
    <t>5/5/2019</t>
  </si>
  <si>
    <t>5/6/2019</t>
  </si>
  <si>
    <t>5/7/2019</t>
  </si>
  <si>
    <t>5/8/2019</t>
  </si>
  <si>
    <t>5/9/2019</t>
  </si>
  <si>
    <t>5/10/2019</t>
  </si>
  <si>
    <t>5/11/2019</t>
  </si>
  <si>
    <t>5/12/2019</t>
  </si>
  <si>
    <t>5/13/2019</t>
  </si>
  <si>
    <t>5/14/2019</t>
  </si>
  <si>
    <t>5/15/2019</t>
  </si>
  <si>
    <t>5/16/2019</t>
  </si>
  <si>
    <t>5/17/2019</t>
  </si>
  <si>
    <t>5/18/2019</t>
  </si>
  <si>
    <t>5/19/2019</t>
  </si>
  <si>
    <t>5/20/2019</t>
  </si>
  <si>
    <t>5/21/2019</t>
  </si>
  <si>
    <t>5/22/2019</t>
  </si>
  <si>
    <t>5/23/2019</t>
  </si>
  <si>
    <t>5/24/2019</t>
  </si>
  <si>
    <t>5/25/2019</t>
  </si>
  <si>
    <t>5/26/2019</t>
  </si>
  <si>
    <t>5/27/2019</t>
  </si>
  <si>
    <t>5/28/2019</t>
  </si>
  <si>
    <t>5/29/2019</t>
  </si>
  <si>
    <t>5/30/2019</t>
  </si>
  <si>
    <t>5/31/2019</t>
  </si>
  <si>
    <t>6/1/2019</t>
  </si>
  <si>
    <t>6/2/2019</t>
  </si>
  <si>
    <t>6/3/2019</t>
  </si>
  <si>
    <t>6/4/2019</t>
  </si>
  <si>
    <t>6/5/2019</t>
  </si>
  <si>
    <t>6/6/2019</t>
  </si>
  <si>
    <t>6/7/2019</t>
  </si>
  <si>
    <t>6/8/2019</t>
  </si>
  <si>
    <t>6/9/2019</t>
  </si>
  <si>
    <t>6/10/2019</t>
  </si>
  <si>
    <t>6/11/2019</t>
  </si>
  <si>
    <t>6/12/2019</t>
  </si>
  <si>
    <t>6/13/2019</t>
  </si>
  <si>
    <t>6/14/2019</t>
  </si>
  <si>
    <t>6/15/2019</t>
  </si>
  <si>
    <t>6/16/2019</t>
  </si>
  <si>
    <t>6/17/2019</t>
  </si>
  <si>
    <t>6/18/2019</t>
  </si>
  <si>
    <t>6/19/2019</t>
  </si>
  <si>
    <t>6/20/2019</t>
  </si>
  <si>
    <t>6/21/2019</t>
  </si>
  <si>
    <t>6/22/2019</t>
  </si>
  <si>
    <t>6/23/2019</t>
  </si>
  <si>
    <t>6/24/2019</t>
  </si>
  <si>
    <t>6/25/2019</t>
  </si>
  <si>
    <t>6/26/2019</t>
  </si>
  <si>
    <t>6/27/2019</t>
  </si>
  <si>
    <t>6/28/2019</t>
  </si>
  <si>
    <t>6/29/2019</t>
  </si>
  <si>
    <t>6/30/2019</t>
  </si>
  <si>
    <t>7/1/2019</t>
  </si>
  <si>
    <t>7/2/2019</t>
  </si>
  <si>
    <t>7/3/2019</t>
  </si>
  <si>
    <t>7/4/2019</t>
  </si>
  <si>
    <t>7/5/2019</t>
  </si>
  <si>
    <t>7/6/2019</t>
  </si>
  <si>
    <t>7/7/2019</t>
  </si>
  <si>
    <t>7/8/2019</t>
  </si>
  <si>
    <t>7/9/2019</t>
  </si>
  <si>
    <t>7/10/2019</t>
  </si>
  <si>
    <t>7/11/2019</t>
  </si>
  <si>
    <t>7/12/2019</t>
  </si>
  <si>
    <t>7/13/2019</t>
  </si>
  <si>
    <t>7/14/2019</t>
  </si>
  <si>
    <t>7/15/2019</t>
  </si>
  <si>
    <t>7/16/2019</t>
  </si>
  <si>
    <t>7/17/2019</t>
  </si>
  <si>
    <t>7/18/2019</t>
  </si>
  <si>
    <t>7/19/2019</t>
  </si>
  <si>
    <t>7/20/2019</t>
  </si>
  <si>
    <t>7/21/2019</t>
  </si>
  <si>
    <t>7/22/2019</t>
  </si>
  <si>
    <t>7/23/2019</t>
  </si>
  <si>
    <t>7/24/2019</t>
  </si>
  <si>
    <t>7/25/2019</t>
  </si>
  <si>
    <t>7/26/2019</t>
  </si>
  <si>
    <t>7/27/2019</t>
  </si>
  <si>
    <t>7/28/2019</t>
  </si>
  <si>
    <t>7/29/2019</t>
  </si>
  <si>
    <t>7/30/2019</t>
  </si>
  <si>
    <t>7/31/2019</t>
  </si>
  <si>
    <t>8/1/2019</t>
  </si>
  <si>
    <t>8/2/2019</t>
  </si>
  <si>
    <t>8/3/2019</t>
  </si>
  <si>
    <t>8/4/2019</t>
  </si>
  <si>
    <t>8/5/2019</t>
  </si>
  <si>
    <t>8/6/2019</t>
  </si>
  <si>
    <t>8/7/2019</t>
  </si>
  <si>
    <t>8/8/2019</t>
  </si>
  <si>
    <t>8/9/2019</t>
  </si>
  <si>
    <t>8/10/2019</t>
  </si>
  <si>
    <t>8/11/2019</t>
  </si>
  <si>
    <t>8/12/2019</t>
  </si>
  <si>
    <t>8/13/2019</t>
  </si>
  <si>
    <t>8/14/2019</t>
  </si>
  <si>
    <t>8/15/2019</t>
  </si>
  <si>
    <t>8/16/2019</t>
  </si>
  <si>
    <t>8/17/2019</t>
  </si>
  <si>
    <t>8/18/2019</t>
  </si>
  <si>
    <t>8/19/2019</t>
  </si>
  <si>
    <t>8/20/2019</t>
  </si>
  <si>
    <t>8/21/2019</t>
  </si>
  <si>
    <t>8/22/2019</t>
  </si>
  <si>
    <t>8/23/2019</t>
  </si>
  <si>
    <t>8/24/2019</t>
  </si>
  <si>
    <t>8/25/2019</t>
  </si>
  <si>
    <t>8/26/2019</t>
  </si>
  <si>
    <t>8/27/2019</t>
  </si>
  <si>
    <t>8/28/2019</t>
  </si>
  <si>
    <t>8/29/2019</t>
  </si>
  <si>
    <t>8/30/2019</t>
  </si>
  <si>
    <t>8/31/2019</t>
  </si>
  <si>
    <t>9/1/2019</t>
  </si>
  <si>
    <t>9/2/2019</t>
  </si>
  <si>
    <t>9/3/2019</t>
  </si>
  <si>
    <t>9/4/2019</t>
  </si>
  <si>
    <t>9/5/2019</t>
  </si>
  <si>
    <t>9/6/2019</t>
  </si>
  <si>
    <t>9/7/2019</t>
  </si>
  <si>
    <t>9/8/2019</t>
  </si>
  <si>
    <t>9/9/2019</t>
  </si>
  <si>
    <t>9/10/2019</t>
  </si>
  <si>
    <t>9/11/2019</t>
  </si>
  <si>
    <t>9/12/2019</t>
  </si>
  <si>
    <t>9/13/2019</t>
  </si>
  <si>
    <t>9/14/2019</t>
  </si>
  <si>
    <t>9/15/2019</t>
  </si>
  <si>
    <t>9/16/2019</t>
  </si>
  <si>
    <t>9/17/2019</t>
  </si>
  <si>
    <t>9/18/2019</t>
  </si>
  <si>
    <t>9/19/2019</t>
  </si>
  <si>
    <t>9/20/2019</t>
  </si>
  <si>
    <t>9/21/2019</t>
  </si>
  <si>
    <t>9/22/2019</t>
  </si>
  <si>
    <t>9/23/2019</t>
  </si>
  <si>
    <t>9/24/2019</t>
  </si>
  <si>
    <t>9/25/2019</t>
  </si>
  <si>
    <t>9/26/2019</t>
  </si>
  <si>
    <t>9/27/2019</t>
  </si>
  <si>
    <t>9/28/2019</t>
  </si>
  <si>
    <t>9/29/2019</t>
  </si>
  <si>
    <t>9/30/2019</t>
  </si>
  <si>
    <t>10/1/2019</t>
  </si>
  <si>
    <t>10/2/2019</t>
  </si>
  <si>
    <t>10/3/2019</t>
  </si>
  <si>
    <t>10/4/2019</t>
  </si>
  <si>
    <t>10/5/2019</t>
  </si>
  <si>
    <t>10/6/2019</t>
  </si>
  <si>
    <t>10/7/2019</t>
  </si>
  <si>
    <t>10/8/2019</t>
  </si>
  <si>
    <t>Sale_Date</t>
  </si>
  <si>
    <t>Total_Quantity</t>
  </si>
  <si>
    <t>Month_Number</t>
  </si>
  <si>
    <t>Month_Start</t>
  </si>
  <si>
    <t>Month_Name</t>
  </si>
  <si>
    <t>Weekday_Number</t>
  </si>
  <si>
    <t>Weekday_Name</t>
  </si>
  <si>
    <t>Is_Complete_Month</t>
  </si>
  <si>
    <t>January</t>
  </si>
  <si>
    <t>February</t>
  </si>
  <si>
    <t>March</t>
  </si>
  <si>
    <t>April</t>
  </si>
  <si>
    <t>May</t>
  </si>
  <si>
    <t>June</t>
  </si>
  <si>
    <t>July</t>
  </si>
  <si>
    <t>August</t>
  </si>
  <si>
    <t>September</t>
  </si>
  <si>
    <t>October</t>
  </si>
  <si>
    <t>November</t>
  </si>
  <si>
    <t>December</t>
  </si>
  <si>
    <t>ATC_Category</t>
  </si>
  <si>
    <t>Category_Description</t>
  </si>
  <si>
    <t>Quantity</t>
  </si>
  <si>
    <t>Anti-inflammatory and antirheumatic products, non-steroids — acetic acid derivatives and related substances</t>
  </si>
  <si>
    <t>Anti-inflammatory and antirheumatic products, non-steroids — propionic acid derivatives</t>
  </si>
  <si>
    <t>Other analgesics and antipyretics — salicylic acid and derivatives</t>
  </si>
  <si>
    <t>Other analgesics and antipyretics — pyrazolones and anilides</t>
  </si>
  <si>
    <t>Psycholeptics — anxiolytic drugs</t>
  </si>
  <si>
    <t>Psycholeptics — hypnotics and sedatives</t>
  </si>
  <si>
    <t>Drugs for obstructive airway diseases</t>
  </si>
  <si>
    <t>Antihistamines for systemic use</t>
  </si>
  <si>
    <t>EXCEL FORMULAS — PRACTICAL EXAMPLES</t>
  </si>
  <si>
    <t>Metric</t>
  </si>
  <si>
    <t>Calculated value</t>
  </si>
  <si>
    <t>Formula used in column B</t>
  </si>
  <si>
    <t>What it teaches</t>
  </si>
  <si>
    <t>Total quantity</t>
  </si>
  <si>
    <t>=SUM(Clean_Daily!J2:J2107)</t>
  </si>
  <si>
    <t>SUM adds every daily total.</t>
  </si>
  <si>
    <t>Average daily quantity</t>
  </si>
  <si>
    <t>=AVERAGE(Clean_Daily!J2:J2107)</t>
  </si>
  <si>
    <t>AVERAGE gives the mean per observed day.</t>
  </si>
  <si>
    <t>Observed days</t>
  </si>
  <si>
    <t>=COUNT(Clean_Daily!A2:A2107)</t>
  </si>
  <si>
    <t>COUNT counts numeric Excel dates.</t>
  </si>
  <si>
    <t>N02BE days above 50</t>
  </si>
  <si>
    <t>=COUNTIF(Clean_Daily!E2:E2107,"&gt;50")</t>
  </si>
  <si>
    <t>COUNTIF counts rows that meet one condition.</t>
  </si>
  <si>
    <t>N02BE total</t>
  </si>
  <si>
    <t>=SUM(Clean_Daily!E2:E2107)</t>
  </si>
  <si>
    <t>SUM also works for one category column.</t>
  </si>
  <si>
    <t>N05C zero-quantity days</t>
  </si>
  <si>
    <t>=COUNTIF(Clean_Daily!G2:G2107,0)</t>
  </si>
  <si>
    <t>Useful for identifying intermittent demand.</t>
  </si>
  <si>
    <t>January 2019 total</t>
  </si>
  <si>
    <t>=SUMIFS(Clean_Daily!J2:J2107,Clean_Daily!K2:K2107,2019,Clean_Daily!L2:L2107,1)</t>
  </si>
  <si>
    <t>SUMIFS adds values only when both Year=2019 and Month=1.</t>
  </si>
  <si>
    <t>2018 total</t>
  </si>
  <si>
    <t>=SUMIFS(Clean_Daily!J2:J2107,Clean_Daily!K2:K2107,2018)</t>
  </si>
  <si>
    <t>SUMIFS with one condition.</t>
  </si>
  <si>
    <t>Saturday observed days</t>
  </si>
  <si>
    <t>=COUNTIF(Clean_Daily!P2:P2107,"Saturday")</t>
  </si>
  <si>
    <t>COUNTIF also works with text.</t>
  </si>
  <si>
    <t>Saturday total</t>
  </si>
  <si>
    <t>=SUMIFS(Clean_Daily!J2:J2107,Clean_Daily!P2:P2107,"Saturday")</t>
  </si>
  <si>
    <t>SUMIFS with a weekday condition.</t>
  </si>
  <si>
    <t>Column map used above: J = Total_Quantity, E = N02BE, G = N05C, K = Year, L = Month_Number, P = Weekday_Name. Formulas recalculate when opened in Excel. Values are cached so the initial results remain visible in file previews.</t>
  </si>
  <si>
    <t>Days_Observed</t>
  </si>
  <si>
    <t>Expected_Days</t>
  </si>
  <si>
    <t>Average_Daily_Quantity</t>
  </si>
  <si>
    <t>Previous_Month_Quantity</t>
  </si>
  <si>
    <t>MoM_Growth_Percent</t>
  </si>
  <si>
    <t>Rank_by_Total_Quantity</t>
  </si>
  <si>
    <t>Share_of_Total_Percent</t>
  </si>
  <si>
    <t>Median_Daily_Quantity</t>
  </si>
  <si>
    <t>StdDev_Daily_Quantity</t>
  </si>
  <si>
    <t>Coefficient_of_Variation</t>
  </si>
  <si>
    <t>P95_Daily_Quantity</t>
  </si>
  <si>
    <t>Maximum_Daily_Quantity</t>
  </si>
  <si>
    <t>Zero_Quantity_Days</t>
  </si>
  <si>
    <t>Zero_Day_Percent</t>
  </si>
  <si>
    <t>File</t>
  </si>
  <si>
    <t>Rows</t>
  </si>
  <si>
    <t>Columns</t>
  </si>
  <si>
    <t>Missing_Cells</t>
  </si>
  <si>
    <t>Exact_Duplicate_Rows</t>
  </si>
  <si>
    <t>Duplicate_Date_or_DateTime_Values</t>
  </si>
  <si>
    <t>Invalid_Dates</t>
  </si>
  <si>
    <t>Negative_Category_Values</t>
  </si>
  <si>
    <t>Start</t>
  </si>
  <si>
    <t>End</t>
  </si>
  <si>
    <t>Notes</t>
  </si>
  <si>
    <t>saleshourly.csv</t>
  </si>
  <si>
    <t>2014-01-02T08:00:00</t>
  </si>
  <si>
    <t>2019-10-08T19:00:00</t>
  </si>
  <si>
    <t>Continuous hourly timestamps; daily totals reconcile within floating-point tolerance.</t>
  </si>
  <si>
    <t>salesdaily.csv</t>
  </si>
  <si>
    <t>2014-01-02T00:00:00</t>
  </si>
  <si>
    <t>2019-10-08T00:00:00</t>
  </si>
  <si>
    <t>Continuous daily dates. Daily Hour is not time-of-day (only 190, 248, 276), so it is excluded from the clean table.</t>
  </si>
  <si>
    <t>salesweekly.csv</t>
  </si>
  <si>
    <t>2014-01-05T00:00:00</t>
  </si>
  <si>
    <t>2019-10-13T00:00:00</t>
  </si>
  <si>
    <t>All 302 week-ending-Sunday totals reconcile with daily data within 0.01 per category.</t>
  </si>
  <si>
    <t>salesmonthly.csv</t>
  </si>
  <si>
    <t>2014-01-31T00:00:00</t>
  </si>
  <si>
    <t>2019-10-31T00:00:00</t>
  </si>
  <si>
    <t>37 of 70 months match daily aggregation within 0.01 across all categories; derive monthly trends from daily data.</t>
  </si>
  <si>
    <t>Supplied_Monthly_Total</t>
  </si>
  <si>
    <t>Derived_From_Daily_Total</t>
  </si>
  <si>
    <t>Difference_Supplied_Minus_Derived</t>
  </si>
  <si>
    <t>Maximum_Category_Absolute_Difference</t>
  </si>
  <si>
    <t>Match_Within_0_01</t>
  </si>
  <si>
    <t>Year_List</t>
  </si>
  <si>
    <t>All</t>
  </si>
  <si>
    <t>Category_List</t>
  </si>
  <si>
    <t>Selected_Monthly_Quantity</t>
  </si>
  <si>
    <t>Selected_Year_Total</t>
  </si>
  <si>
    <t>Weekday</t>
  </si>
  <si>
    <t>Days_in_Selection</t>
  </si>
  <si>
    <t>Selected_Weekday_Average</t>
  </si>
  <si>
    <t>PHARMACEUTICAL SALES DASHBOARD</t>
  </si>
  <si>
    <t>YEAR</t>
  </si>
  <si>
    <t>CATEGORY</t>
  </si>
  <si>
    <t>Yellow cells are drop-down controls. Open in desktop Excel and allow automatic calculation.</t>
  </si>
  <si>
    <t>TOTAL QUANTITY</t>
  </si>
  <si>
    <t>AVERAGE DAILY QUANTITY</t>
  </si>
  <si>
    <t>DAYS IN SELECTION</t>
  </si>
  <si>
    <t>OVERALL LEADING CATEGORY</t>
  </si>
  <si>
    <t>N02BE
49.38% of total</t>
  </si>
  <si>
    <t>OVERALL KEY FINDINGS (ALL DATA)
• N02BE contributes 49.38% of all recorded quantity.
• The top three categories contribute 73.09%.
• January 2019 is the highest complete month: 2,875.16.
• Saturday has the highest weekday average: 65.67 per day.</t>
  </si>
  <si>
    <t>INVENTORY INTERPRETATION
Use these values as historical demand evidence only. Before ordering, add current stock, supplier lead time, minimum order quantity, expiry risk, local prescriptions and pharmacist review. N05C and R03 have many zero days, so a simple average alone is not enough.</t>
  </si>
  <si>
    <t>Native PivotTables and application screenshots still need to be created/captured in the relevant software. See the step-by-step guides in this package.</t>
  </si>
</sst>
</file>

<file path=xl/styles.xml><?xml version="1.0" encoding="utf-8"?>
<styleSheet xmlns="http://schemas.openxmlformats.org/spreadsheetml/2006/main">
  <numFmts count="6">
    <numFmt numFmtId="164" formatCode="0.000"/>
    <numFmt numFmtId="165" formatCode="mmm yyyy"/>
    <numFmt numFmtId="166" formatCode="yyyy-mm-dd"/>
    <numFmt numFmtId="167" formatCode="0.00"/>
    <numFmt numFmtId="168" formatCode="#,##0.00"/>
    <numFmt numFmtId="169" formatCode="#,##0"/>
  </numFmts>
  <fonts count="15">
    <font>
      <sz val="11"/>
      <color theme="1"/>
      <name val="Calibri"/>
      <family val="2"/>
      <scheme val="minor"/>
    </font>
    <font>
      <b/>
      <sz val="22"/>
      <color rgb="FFFFFFFF"/>
      <name val="Calibri"/>
      <family val="2"/>
      <scheme val="minor"/>
    </font>
    <font>
      <i/>
      <sz val="11"/>
      <color rgb="FF526777"/>
      <name val="Calibri"/>
      <family val="2"/>
      <scheme val="minor"/>
    </font>
    <font>
      <b/>
      <sz val="13"/>
      <color rgb="FFFFFFFF"/>
      <name val="Calibri"/>
      <family val="2"/>
      <scheme val="minor"/>
    </font>
    <font>
      <b/>
      <sz val="11"/>
      <color rgb="FF17324D"/>
      <name val="Calibri"/>
      <family val="2"/>
      <scheme val="minor"/>
    </font>
    <font>
      <sz val="11"/>
      <color rgb="FF17324D"/>
      <name val="Calibri"/>
      <family val="2"/>
      <scheme val="minor"/>
    </font>
    <font>
      <b/>
      <sz val="11"/>
      <color rgb="FF00A6A6"/>
      <name val="Calibri"/>
      <family val="2"/>
      <scheme val="minor"/>
    </font>
    <font>
      <sz val="11"/>
      <color rgb="FF9C5700"/>
      <name val="Calibri"/>
      <family val="2"/>
      <scheme val="minor"/>
    </font>
    <font>
      <u/>
      <sz val="11"/>
      <color rgb="FF0563C1"/>
      <name val="Calibri"/>
      <family val="2"/>
      <scheme val="minor"/>
    </font>
    <font>
      <b/>
      <sz val="11"/>
      <color rgb="FFFFFFFF"/>
      <name val="Calibri"/>
      <family val="2"/>
      <scheme val="minor"/>
    </font>
    <font>
      <sz val="9"/>
      <color rgb="FF7F3F00"/>
      <name val="Consolas"/>
      <family val="2"/>
    </font>
    <font>
      <sz val="11"/>
      <color rgb="FF526777"/>
      <name val="Calibri"/>
      <family val="2"/>
      <scheme val="minor"/>
    </font>
    <font>
      <b/>
      <sz val="10"/>
      <color rgb="FF526777"/>
      <name val="Calibri"/>
      <family val="2"/>
      <scheme val="minor"/>
    </font>
    <font>
      <b/>
      <sz val="20"/>
      <color rgb="FF17324D"/>
      <name val="Calibri"/>
      <family val="2"/>
      <scheme val="minor"/>
    </font>
    <font>
      <b/>
      <sz val="16"/>
      <color rgb="FF17324D"/>
      <name val="Calibri"/>
      <family val="2"/>
      <scheme val="minor"/>
    </font>
  </fonts>
  <fills count="8">
    <fill>
      <patternFill patternType="none"/>
    </fill>
    <fill>
      <patternFill patternType="gray125"/>
    </fill>
    <fill>
      <patternFill patternType="solid">
        <fgColor rgb="FF17324D"/>
        <bgColor indexed="64"/>
      </patternFill>
    </fill>
    <fill>
      <patternFill patternType="solid">
        <fgColor rgb="FF00A6A6"/>
        <bgColor indexed="64"/>
      </patternFill>
    </fill>
    <fill>
      <patternFill patternType="solid">
        <fgColor rgb="FFFFF2CC"/>
        <bgColor indexed="64"/>
      </patternFill>
    </fill>
    <fill>
      <patternFill patternType="solid">
        <fgColor rgb="FFFFF8E7"/>
        <bgColor indexed="64"/>
      </patternFill>
    </fill>
    <fill>
      <patternFill patternType="solid">
        <fgColor rgb="FFEAF1F5"/>
        <bgColor indexed="64"/>
      </patternFill>
    </fill>
    <fill>
      <patternFill patternType="solid">
        <fgColor rgb="FFFFFFFF"/>
        <bgColor indexed="64"/>
      </patternFill>
    </fill>
  </fills>
  <borders count="4">
    <border>
      <left/>
      <right/>
      <top/>
      <bottom/>
      <diagonal/>
    </border>
    <border>
      <left style="thin">
        <color rgb="FFE5C17E"/>
      </left>
      <right style="thin">
        <color rgb="FFE5C17E"/>
      </right>
      <top style="thin">
        <color rgb="FFE5C17E"/>
      </top>
      <bottom style="thin">
        <color rgb="FFE5C17E"/>
      </bottom>
      <diagonal/>
    </border>
    <border>
      <left style="thin">
        <color rgb="FFD5E0E7"/>
      </left>
      <right style="thin">
        <color rgb="FFD5E0E7"/>
      </right>
      <top style="thin">
        <color rgb="FFD5E0E7"/>
      </top>
      <bottom style="thin">
        <color rgb="FFD5E0E7"/>
      </bottom>
      <diagonal/>
    </border>
    <border>
      <left style="thin">
        <color rgb="FFF28E2B"/>
      </left>
      <right style="thin">
        <color rgb="FFF28E2B"/>
      </right>
      <top style="thin">
        <color rgb="FFF28E2B"/>
      </top>
      <bottom style="thin">
        <color rgb="FFF28E2B"/>
      </bottom>
      <diagonal/>
    </border>
  </borders>
  <cellStyleXfs count="1">
    <xf numFmtId="0" fontId="0" fillId="0" borderId="0"/>
  </cellStyleXfs>
  <cellXfs count="24">
    <xf numFmtId="0" fontId="0" fillId="0" borderId="0" xfId="0"/>
    <xf numFmtId="0" fontId="1" fillId="2" borderId="0" xfId="0" applyFont="1" applyFill="1" applyAlignment="1">
      <alignment horizontal="left" vertical="center"/>
    </xf>
    <xf numFmtId="0" fontId="2" fillId="0" borderId="0" xfId="0" applyFont="1"/>
    <xf numFmtId="0" fontId="3" fillId="3" borderId="0" xfId="0" applyFont="1" applyFill="1" applyAlignment="1">
      <alignment vertical="center"/>
    </xf>
    <xf numFmtId="0" fontId="4" fillId="0" borderId="0" xfId="0" applyFont="1" applyAlignment="1">
      <alignment vertical="top"/>
    </xf>
    <xf numFmtId="0" fontId="5" fillId="0" borderId="0" xfId="0" applyFont="1" applyAlignment="1">
      <alignment vertical="top" wrapText="1"/>
    </xf>
    <xf numFmtId="0" fontId="6" fillId="0" borderId="0" xfId="0" applyFont="1"/>
    <xf numFmtId="0" fontId="7" fillId="4" borderId="1" xfId="0" applyFont="1" applyFill="1" applyBorder="1" applyAlignment="1">
      <alignment vertical="center" wrapText="1"/>
    </xf>
    <xf numFmtId="0" fontId="8" fillId="0" borderId="0" xfId="0" applyFont="1"/>
    <xf numFmtId="0" fontId="5" fillId="0" borderId="0" xfId="0" applyFont="1" applyAlignment="1">
      <alignment vertical="top"/>
    </xf>
    <xf numFmtId="164" fontId="5" fillId="0" borderId="0" xfId="0" applyNumberFormat="1" applyFont="1"/>
    <xf numFmtId="165" fontId="5" fillId="0" borderId="0" xfId="0" applyNumberFormat="1" applyFont="1"/>
    <xf numFmtId="166" fontId="5" fillId="0" borderId="0" xfId="0" applyNumberFormat="1" applyFont="1"/>
    <xf numFmtId="0" fontId="9" fillId="2" borderId="0" xfId="0" applyFont="1" applyFill="1" applyAlignment="1">
      <alignment vertical="center" wrapText="1"/>
    </xf>
    <xf numFmtId="167" fontId="5" fillId="0" borderId="0" xfId="0" applyNumberFormat="1" applyFont="1"/>
    <xf numFmtId="0" fontId="10" fillId="5" borderId="0" xfId="0" applyFont="1" applyFill="1" applyAlignment="1">
      <alignment vertical="top" wrapText="1"/>
    </xf>
    <xf numFmtId="1" fontId="5" fillId="0" borderId="0" xfId="0" applyNumberFormat="1" applyFont="1"/>
    <xf numFmtId="0" fontId="11" fillId="6" borderId="2" xfId="0" applyFont="1" applyFill="1" applyBorder="1" applyAlignment="1">
      <alignment vertical="center" wrapText="1"/>
    </xf>
    <xf numFmtId="0" fontId="9" fillId="3" borderId="0" xfId="0" applyFont="1" applyFill="1" applyAlignment="1">
      <alignment horizontal="center" vertical="center"/>
    </xf>
    <xf numFmtId="0" fontId="4" fillId="4" borderId="3" xfId="0" applyFont="1" applyFill="1" applyBorder="1" applyAlignment="1">
      <alignment horizontal="center"/>
    </xf>
    <xf numFmtId="0" fontId="12" fillId="7" borderId="2" xfId="0" applyFont="1" applyFill="1" applyBorder="1" applyAlignment="1">
      <alignment horizontal="center" vertical="center"/>
    </xf>
    <xf numFmtId="168" fontId="13" fillId="7" borderId="2" xfId="0" applyNumberFormat="1" applyFont="1" applyFill="1" applyBorder="1" applyAlignment="1">
      <alignment horizontal="center" vertical="center"/>
    </xf>
    <xf numFmtId="169" fontId="13" fillId="7" borderId="2" xfId="0" applyNumberFormat="1" applyFont="1" applyFill="1" applyBorder="1" applyAlignment="1">
      <alignment horizontal="center" vertical="center"/>
    </xf>
    <xf numFmtId="0" fontId="14" fillId="7"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7324D"/>
                </a:solidFill>
              </a:defRPr>
            </a:pPr>
            <a:r>
              <a:rPr lang="en-US" sz="1200" b="1" baseline="0">
                <a:solidFill>
                  <a:srgbClr val="17324D"/>
                </a:solidFill>
              </a:rPr>
              <a:t>Monthly Trend | Selected Year &amp; Category</a:t>
            </a:r>
          </a:p>
        </c:rich>
      </c:tx>
      <c:layout/>
    </c:title>
    <c:plotArea>
      <c:layout/>
      <c:lineChart>
        <c:grouping val="standard"/>
        <c:ser>
          <c:idx val="0"/>
          <c:order val="0"/>
          <c:tx>
            <c:v>Monthly quantity</c:v>
          </c:tx>
          <c:spPr>
            <a:ln w="28575">
              <a:solidFill>
                <a:srgbClr val="377EB8"/>
              </a:solidFill>
            </a:ln>
          </c:spPr>
          <c:marker>
            <c:symbol val="none"/>
          </c:marker>
          <c:cat>
            <c:strRef>
              <c:f>Dashboard_Data!$A$2:$A$71</c:f>
              <c:strCache>
                <c:ptCount val="70"/>
                <c:pt idx="0">
                  <c:v>M01AB</c:v>
                </c:pt>
                <c:pt idx="1">
                  <c:v>M01AE</c:v>
                </c:pt>
                <c:pt idx="2">
                  <c:v>N02BA</c:v>
                </c:pt>
                <c:pt idx="3">
                  <c:v>N02BE</c:v>
                </c:pt>
                <c:pt idx="4">
                  <c:v>N05B</c:v>
                </c:pt>
                <c:pt idx="5">
                  <c:v>N05C</c:v>
                </c:pt>
                <c:pt idx="6">
                  <c:v>R03</c:v>
                </c:pt>
                <c:pt idx="7">
                  <c:v>R06</c:v>
                </c:pt>
                <c:pt idx="8">
                  <c:v>41883</c:v>
                </c:pt>
                <c:pt idx="9">
                  <c:v>41913</c:v>
                </c:pt>
                <c:pt idx="10">
                  <c:v>41944</c:v>
                </c:pt>
                <c:pt idx="11">
                  <c:v>41974</c:v>
                </c:pt>
                <c:pt idx="12">
                  <c:v>42005</c:v>
                </c:pt>
                <c:pt idx="13">
                  <c:v>42036</c:v>
                </c:pt>
                <c:pt idx="14">
                  <c:v>42064</c:v>
                </c:pt>
                <c:pt idx="15">
                  <c:v>42095</c:v>
                </c:pt>
                <c:pt idx="16">
                  <c:v>42125</c:v>
                </c:pt>
                <c:pt idx="17">
                  <c:v>42156</c:v>
                </c:pt>
                <c:pt idx="18">
                  <c:v>42186</c:v>
                </c:pt>
                <c:pt idx="19">
                  <c:v>42217</c:v>
                </c:pt>
                <c:pt idx="20">
                  <c:v>42248</c:v>
                </c:pt>
                <c:pt idx="21">
                  <c:v>42278</c:v>
                </c:pt>
                <c:pt idx="22">
                  <c:v>42309</c:v>
                </c:pt>
                <c:pt idx="23">
                  <c:v>42339</c:v>
                </c:pt>
                <c:pt idx="24">
                  <c:v>42370</c:v>
                </c:pt>
                <c:pt idx="25">
                  <c:v>42401</c:v>
                </c:pt>
                <c:pt idx="26">
                  <c:v>42430</c:v>
                </c:pt>
                <c:pt idx="27">
                  <c:v>42461</c:v>
                </c:pt>
                <c:pt idx="28">
                  <c:v>42491</c:v>
                </c:pt>
                <c:pt idx="29">
                  <c:v>42522</c:v>
                </c:pt>
                <c:pt idx="30">
                  <c:v>42552</c:v>
                </c:pt>
                <c:pt idx="31">
                  <c:v>42583</c:v>
                </c:pt>
                <c:pt idx="32">
                  <c:v>42614</c:v>
                </c:pt>
                <c:pt idx="33">
                  <c:v>42644</c:v>
                </c:pt>
                <c:pt idx="34">
                  <c:v>42675</c:v>
                </c:pt>
                <c:pt idx="35">
                  <c:v>42705</c:v>
                </c:pt>
                <c:pt idx="36">
                  <c:v>42736</c:v>
                </c:pt>
                <c:pt idx="37">
                  <c:v>42767</c:v>
                </c:pt>
                <c:pt idx="38">
                  <c:v>42795</c:v>
                </c:pt>
                <c:pt idx="39">
                  <c:v>42826</c:v>
                </c:pt>
                <c:pt idx="40">
                  <c:v>42856</c:v>
                </c:pt>
                <c:pt idx="41">
                  <c:v>42887</c:v>
                </c:pt>
                <c:pt idx="42">
                  <c:v>42917</c:v>
                </c:pt>
                <c:pt idx="43">
                  <c:v>42948</c:v>
                </c:pt>
                <c:pt idx="44">
                  <c:v>42979</c:v>
                </c:pt>
                <c:pt idx="45">
                  <c:v>43009</c:v>
                </c:pt>
                <c:pt idx="46">
                  <c:v>43040</c:v>
                </c:pt>
                <c:pt idx="47">
                  <c:v>43070</c:v>
                </c:pt>
                <c:pt idx="48">
                  <c:v>43101</c:v>
                </c:pt>
                <c:pt idx="49">
                  <c:v>43132</c:v>
                </c:pt>
                <c:pt idx="50">
                  <c:v>43160</c:v>
                </c:pt>
                <c:pt idx="51">
                  <c:v>43191</c:v>
                </c:pt>
                <c:pt idx="52">
                  <c:v>43221</c:v>
                </c:pt>
                <c:pt idx="53">
                  <c:v>43252</c:v>
                </c:pt>
                <c:pt idx="54">
                  <c:v>43282</c:v>
                </c:pt>
                <c:pt idx="55">
                  <c:v>43313</c:v>
                </c:pt>
                <c:pt idx="56">
                  <c:v>43344</c:v>
                </c:pt>
                <c:pt idx="57">
                  <c:v>43374</c:v>
                </c:pt>
                <c:pt idx="58">
                  <c:v>43405</c:v>
                </c:pt>
                <c:pt idx="59">
                  <c:v>43435</c:v>
                </c:pt>
                <c:pt idx="60">
                  <c:v>43466</c:v>
                </c:pt>
                <c:pt idx="61">
                  <c:v>43497</c:v>
                </c:pt>
                <c:pt idx="62">
                  <c:v>43525</c:v>
                </c:pt>
                <c:pt idx="63">
                  <c:v>43556</c:v>
                </c:pt>
                <c:pt idx="64">
                  <c:v>43586</c:v>
                </c:pt>
                <c:pt idx="65">
                  <c:v>43617</c:v>
                </c:pt>
                <c:pt idx="66">
                  <c:v>43647</c:v>
                </c:pt>
                <c:pt idx="67">
                  <c:v>43678</c:v>
                </c:pt>
                <c:pt idx="68">
                  <c:v>43709</c:v>
                </c:pt>
                <c:pt idx="69">
                  <c:v>43739</c:v>
                </c:pt>
              </c:strCache>
            </c:strRef>
          </c:cat>
          <c:val>
            <c:numRef>
              <c:f>Dashboard_Data!$C$2:$C$71</c:f>
              <c:numCache>
                <c:formatCode>General</c:formatCode>
                <c:ptCount val="70"/>
                <c:pt idx="0">
                  <c:v>0</c:v>
                </c:pt>
                <c:pt idx="1">
                  <c:v>1974.47</c:v>
                </c:pt>
                <c:pt idx="2">
                  <c:v>1606.72</c:v>
                </c:pt>
                <c:pt idx="3">
                  <c:v>1423.925</c:v>
                </c:pt>
                <c:pt idx="4">
                  <c:v>1506.303</c:v>
                </c:pt>
                <c:pt idx="5">
                  <c:v>1390.205</c:v>
                </c:pt>
                <c:pt idx="6">
                  <c:v>1332.37</c:v>
                </c:pt>
                <c:pt idx="7">
                  <c:v>1452.52</c:v>
                </c:pt>
                <c:pt idx="8">
                  <c:v>1804.594</c:v>
                </c:pt>
                <c:pt idx="9">
                  <c:v>2081.9956875000003</c:v>
                </c:pt>
                <c:pt idx="10">
                  <c:v>1770.6399999999999</c:v>
                </c:pt>
                <c:pt idx="11">
                  <c:v>2093.485</c:v>
                </c:pt>
                <c:pt idx="12">
                  <c:v>2157.749</c:v>
                </c:pt>
                <c:pt idx="13">
                  <c:v>1831.5320000000002</c:v>
                </c:pt>
                <c:pt idx="14">
                  <c:v>1949.076</c:v>
                </c:pt>
                <c:pt idx="15">
                  <c:v>1723.885</c:v>
                </c:pt>
                <c:pt idx="16">
                  <c:v>1644.577</c:v>
                </c:pt>
                <c:pt idx="17">
                  <c:v>1674.233</c:v>
                </c:pt>
                <c:pt idx="18">
                  <c:v>1523.048</c:v>
                </c:pt>
                <c:pt idx="19">
                  <c:v>1659.597</c:v>
                </c:pt>
                <c:pt idx="20">
                  <c:v>1679.367</c:v>
                </c:pt>
                <c:pt idx="21">
                  <c:v>2529.576</c:v>
                </c:pt>
                <c:pt idx="22">
                  <c:v>2106.888</c:v>
                </c:pt>
                <c:pt idx="23">
                  <c:v>2272.83</c:v>
                </c:pt>
                <c:pt idx="24">
                  <c:v>2451.376</c:v>
                </c:pt>
                <c:pt idx="25">
                  <c:v>2232.4</c:v>
                </c:pt>
                <c:pt idx="26">
                  <c:v>2235.169</c:v>
                </c:pt>
                <c:pt idx="27">
                  <c:v>2147.573</c:v>
                </c:pt>
                <c:pt idx="28">
                  <c:v>1957.021</c:v>
                </c:pt>
                <c:pt idx="29">
                  <c:v>1724.731</c:v>
                </c:pt>
                <c:pt idx="30">
                  <c:v>1599.639333333</c:v>
                </c:pt>
                <c:pt idx="31">
                  <c:v>1633.38833334</c:v>
                </c:pt>
                <c:pt idx="32">
                  <c:v>2049.877</c:v>
                </c:pt>
                <c:pt idx="33">
                  <c:v>2655.391</c:v>
                </c:pt>
                <c:pt idx="34">
                  <c:v>1942.599333337</c:v>
                </c:pt>
                <c:pt idx="35">
                  <c:v>2605.760999997</c:v>
                </c:pt>
                <c:pt idx="36">
                  <c:v>2699.597083319</c:v>
                </c:pt>
                <c:pt idx="37">
                  <c:v>1447.471583321</c:v>
                </c:pt>
                <c:pt idx="38">
                  <c:v>1376.855</c:v>
                </c:pt>
                <c:pt idx="39">
                  <c:v>1341.8</c:v>
                </c:pt>
                <c:pt idx="40">
                  <c:v>1369.485</c:v>
                </c:pt>
                <c:pt idx="41">
                  <c:v>1306.936</c:v>
                </c:pt>
                <c:pt idx="42">
                  <c:v>1251.151</c:v>
                </c:pt>
                <c:pt idx="43">
                  <c:v>1302.42</c:v>
                </c:pt>
                <c:pt idx="44">
                  <c:v>1660.841</c:v>
                </c:pt>
                <c:pt idx="45">
                  <c:v>2050.127</c:v>
                </c:pt>
                <c:pt idx="46">
                  <c:v>1705.579</c:v>
                </c:pt>
                <c:pt idx="47">
                  <c:v>1887.103</c:v>
                </c:pt>
                <c:pt idx="48">
                  <c:v>1985.701</c:v>
                </c:pt>
                <c:pt idx="49">
                  <c:v>2174.498</c:v>
                </c:pt>
                <c:pt idx="50">
                  <c:v>2156.847</c:v>
                </c:pt>
                <c:pt idx="51">
                  <c:v>1894.73</c:v>
                </c:pt>
                <c:pt idx="52">
                  <c:v>1650.13</c:v>
                </c:pt>
                <c:pt idx="53">
                  <c:v>1414.349</c:v>
                </c:pt>
                <c:pt idx="54">
                  <c:v>1563.479</c:v>
                </c:pt>
                <c:pt idx="55">
                  <c:v>1611.907</c:v>
                </c:pt>
                <c:pt idx="56">
                  <c:v>1981.374</c:v>
                </c:pt>
                <c:pt idx="57">
                  <c:v>2195.335</c:v>
                </c:pt>
                <c:pt idx="58">
                  <c:v>2008.677</c:v>
                </c:pt>
                <c:pt idx="59">
                  <c:v>2247.534</c:v>
                </c:pt>
                <c:pt idx="60">
                  <c:v>2875.158</c:v>
                </c:pt>
                <c:pt idx="61">
                  <c:v>1944.1970000000001</c:v>
                </c:pt>
                <c:pt idx="62">
                  <c:v>2038.9379999999999</c:v>
                </c:pt>
                <c:pt idx="63">
                  <c:v>1716.805</c:v>
                </c:pt>
                <c:pt idx="64">
                  <c:v>1798.4516666700001</c:v>
                </c:pt>
                <c:pt idx="65">
                  <c:v>1482.407</c:v>
                </c:pt>
                <c:pt idx="66">
                  <c:v>1488.816</c:v>
                </c:pt>
                <c:pt idx="67">
                  <c:v>1377.779</c:v>
                </c:pt>
                <c:pt idx="68">
                  <c:v>1824.803666667</c:v>
                </c:pt>
                <c:pt idx="69">
                  <c:v>0</c:v>
                </c:pt>
              </c:numCache>
            </c:numRef>
          </c:val>
        </c:ser>
        <c:marker val="1"/>
        <c:axId val="50010001"/>
        <c:axId val="50010002"/>
      </c:lineChart>
      <c:dateAx>
        <c:axId val="50010001"/>
        <c:scaling>
          <c:orientation val="minMax"/>
        </c:scaling>
        <c:axPos val="b"/>
        <c:numFmt formatCode="mmm yyyy" sourceLinked="0"/>
        <c:tickLblPos val="low"/>
        <c:txPr>
          <a:bodyPr rot="-2700000" vert="horz"/>
          <a:lstStyle/>
          <a:p>
            <a:pPr>
              <a:defRPr sz="800" baseline="0"/>
            </a:pPr>
            <a:endParaRPr lang="en-US"/>
          </a:p>
        </c:txPr>
        <c:crossAx val="50010002"/>
        <c:crosses val="autoZero"/>
        <c:auto val="1"/>
        <c:lblOffset val="100"/>
      </c:dateAx>
      <c:valAx>
        <c:axId val="50010002"/>
        <c:scaling>
          <c:orientation val="minMax"/>
        </c:scaling>
        <c:axPos val="l"/>
        <c:majorGridlines>
          <c:spPr>
            <a:ln>
              <a:solidFill>
                <a:srgbClr val="E5ECEF"/>
              </a:solidFill>
            </a:ln>
          </c:spPr>
        </c:majorGridlines>
        <c:title>
          <c:tx>
            <c:rich>
              <a:bodyPr rot="-5400000" vert="horz"/>
              <a:lstStyle/>
              <a:p>
                <a:pPr>
                  <a:defRPr/>
                </a:pPr>
                <a:r>
                  <a:rPr lang="en-US"/>
                  <a:t>Sales quantity</a:t>
                </a:r>
              </a:p>
            </c:rich>
          </c:tx>
          <c:layout/>
        </c:title>
        <c:numFmt formatCode="General" sourceLinked="1"/>
        <c:tickLblPos val="nextTo"/>
        <c:crossAx val="50010001"/>
        <c:crosses val="autoZero"/>
        <c:crossBetween val="between"/>
      </c:valAx>
      <c:spPr>
        <a:solidFill>
          <a:srgbClr val="FFFFFF"/>
        </a:solidFill>
        <a:ln>
          <a:noFill/>
        </a:ln>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7324D"/>
                </a:solidFill>
              </a:defRPr>
            </a:pPr>
            <a:r>
              <a:rPr lang="en-US" sz="1200" b="1" baseline="0">
                <a:solidFill>
                  <a:srgbClr val="17324D"/>
                </a:solidFill>
              </a:rPr>
              <a:t>Category Comparison | Selected Year</a:t>
            </a:r>
          </a:p>
        </c:rich>
      </c:tx>
      <c:layout/>
    </c:title>
    <c:plotArea>
      <c:layout/>
      <c:barChart>
        <c:barDir val="bar"/>
        <c:grouping val="clustered"/>
        <c:ser>
          <c:idx val="0"/>
          <c:order val="0"/>
          <c:tx>
            <c:v>Category quantity</c:v>
          </c:tx>
          <c:spPr>
            <a:solidFill>
              <a:srgbClr val="00A6A6"/>
            </a:solidFill>
            <a:ln>
              <a:noFill/>
            </a:ln>
          </c:spPr>
          <c:dLbls>
            <c:numFmt formatCode="#,##0" sourceLinked="0"/>
            <c:showVal val="1"/>
          </c:dLbls>
          <c:cat>
            <c:numRef>
              <c:f>Dashboard_Data!$E$2:$E$9</c:f>
              <c:numCache>
                <c:formatCode>General</c:formatCode>
                <c:ptCount val="8"/>
              </c:numCache>
            </c:numRef>
          </c:cat>
          <c:val>
            <c:numRef>
              <c:f>Dashboard_Data!$F$2:$F$9</c:f>
              <c:numCache>
                <c:formatCode>General</c:formatCode>
                <c:ptCount val="8"/>
              </c:numCache>
            </c:numRef>
          </c:val>
        </c:ser>
        <c:axId val="50020001"/>
        <c:axId val="50020002"/>
      </c:barChart>
      <c:catAx>
        <c:axId val="50020001"/>
        <c:scaling>
          <c:orientation val="minMax"/>
        </c:scaling>
        <c:axPos val="l"/>
        <c:numFmt formatCode="General" sourceLinked="1"/>
        <c:tickLblPos val="nextTo"/>
        <c:crossAx val="50020002"/>
        <c:crosses val="autoZero"/>
        <c:auto val="1"/>
        <c:lblAlgn val="ctr"/>
        <c:lblOffset val="100"/>
      </c:catAx>
      <c:valAx>
        <c:axId val="50020002"/>
        <c:scaling>
          <c:orientation val="minMax"/>
        </c:scaling>
        <c:axPos val="b"/>
        <c:majorGridlines>
          <c:spPr>
            <a:ln>
              <a:solidFill>
                <a:srgbClr val="E5ECEF"/>
              </a:solidFill>
            </a:ln>
          </c:spPr>
        </c:majorGridlines>
        <c:title>
          <c:tx>
            <c:rich>
              <a:bodyPr/>
              <a:lstStyle/>
              <a:p>
                <a:pPr>
                  <a:defRPr/>
                </a:pPr>
                <a:r>
                  <a:rPr lang="en-US"/>
                  <a:t>Sales quantity</a:t>
                </a:r>
              </a:p>
            </c:rich>
          </c:tx>
          <c:layout/>
        </c:title>
        <c:numFmt formatCode="General" sourceLinked="1"/>
        <c:tickLblPos val="nextTo"/>
        <c:crossAx val="50020001"/>
        <c:crosses val="autoZero"/>
        <c:crossBetween val="between"/>
      </c:valAx>
    </c:plotArea>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7324D"/>
                </a:solidFill>
              </a:defRPr>
            </a:pPr>
            <a:r>
              <a:rPr lang="en-US" sz="1200" b="1" baseline="0">
                <a:solidFill>
                  <a:srgbClr val="17324D"/>
                </a:solidFill>
              </a:rPr>
              <a:t>Weekday Pattern | Selected Year &amp; Category</a:t>
            </a:r>
          </a:p>
        </c:rich>
      </c:tx>
      <c:layout/>
    </c:title>
    <c:plotArea>
      <c:layout/>
      <c:barChart>
        <c:barDir val="col"/>
        <c:grouping val="clustered"/>
        <c:ser>
          <c:idx val="0"/>
          <c:order val="0"/>
          <c:tx>
            <c:v>Average daily quantity</c:v>
          </c:tx>
          <c:spPr>
            <a:solidFill>
              <a:srgbClr val="F28E2B"/>
            </a:solidFill>
            <a:ln>
              <a:noFill/>
            </a:ln>
          </c:spPr>
          <c:dLbls>
            <c:numFmt formatCode="0.00" sourceLinked="0"/>
            <c:showVal val="1"/>
          </c:dLbls>
          <c:cat>
            <c:strRef>
              <c:f>Dashboard_Data!$H$2:$H$8</c:f>
              <c:strCache>
                <c:ptCount val="7"/>
                <c:pt idx="0">
                  <c:v>Monday</c:v>
                </c:pt>
                <c:pt idx="1">
                  <c:v>Tuesday</c:v>
                </c:pt>
                <c:pt idx="2">
                  <c:v>Wednesday</c:v>
                </c:pt>
                <c:pt idx="3">
                  <c:v>Thursday</c:v>
                </c:pt>
                <c:pt idx="4">
                  <c:v>Friday</c:v>
                </c:pt>
                <c:pt idx="5">
                  <c:v>Saturday</c:v>
                </c:pt>
                <c:pt idx="6">
                  <c:v>Sunday</c:v>
                </c:pt>
              </c:strCache>
            </c:strRef>
          </c:cat>
          <c:val>
            <c:numRef>
              <c:f>Dashboard_Data!$J$2:$J$8</c:f>
              <c:numCache>
                <c:formatCode>General</c:formatCode>
                <c:ptCount val="7"/>
                <c:pt idx="0">
                  <c:v>60.607364341053156</c:v>
                </c:pt>
                <c:pt idx="1">
                  <c:v>60.017431893647846</c:v>
                </c:pt>
                <c:pt idx="2">
                  <c:v>59.23842500000333</c:v>
                </c:pt>
                <c:pt idx="3">
                  <c:v>57.18401751108638</c:v>
                </c:pt>
                <c:pt idx="4">
                  <c:v>60.24748034327574</c:v>
                </c:pt>
                <c:pt idx="5">
                  <c:v>65.67307115170432</c:v>
                </c:pt>
                <c:pt idx="6">
                  <c:v>61.134343023295685</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spPr>
            <a:ln>
              <a:solidFill>
                <a:srgbClr val="E5ECEF"/>
              </a:solidFill>
            </a:ln>
          </c:spPr>
        </c:majorGridlines>
        <c:title>
          <c:tx>
            <c:rich>
              <a:bodyPr/>
              <a:lstStyle/>
              <a:p>
                <a:pPr>
                  <a:defRPr/>
                </a:pPr>
                <a:r>
                  <a:rPr lang="en-US"/>
                  <a:t>Average quantity per day</a:t>
                </a:r>
              </a:p>
            </c:rich>
          </c:tx>
          <c:layout/>
        </c:title>
        <c:numFmt formatCode="General" sourceLinked="1"/>
        <c:tickLblPos val="nextTo"/>
        <c:crossAx val="50030001"/>
        <c:crosses val="autoZero"/>
        <c:crossBetween val="between"/>
      </c:valAx>
    </c:plotArea>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7</xdr:col>
      <xdr:colOff>533400</xdr:colOff>
      <xdr:row>26</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0</xdr:rowOff>
    </xdr:from>
    <xdr:to>
      <xdr:col>7</xdr:col>
      <xdr:colOff>533400</xdr:colOff>
      <xdr:row>44</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27</xdr:row>
      <xdr:rowOff>0</xdr:rowOff>
    </xdr:from>
    <xdr:to>
      <xdr:col>15</xdr:col>
      <xdr:colOff>533400</xdr:colOff>
      <xdr:row>44</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1" name="tblRawDaily" displayName="tblRawDaily" ref="A1:M2107" totalsRowShown="0">
  <autoFilter ref="A1:M2107"/>
  <tableColumns count="13">
    <tableColumn id="1" name="datum"/>
    <tableColumn id="2" name="M01AB"/>
    <tableColumn id="3" name="M01AE"/>
    <tableColumn id="4" name="N02BA"/>
    <tableColumn id="5" name="N02BE"/>
    <tableColumn id="6" name="N05B"/>
    <tableColumn id="7" name="N05C"/>
    <tableColumn id="8" name="R03"/>
    <tableColumn id="9" name="R06"/>
    <tableColumn id="10" name="Year"/>
    <tableColumn id="11" name="Month"/>
    <tableColumn id="12" name="Hour"/>
    <tableColumn id="13" name="Weekday Name"/>
  </tableColumns>
  <tableStyleInfo name="TableStyleMedium2" showFirstColumn="0" showLastColumn="0" showRowStripes="1" showColumnStripes="0"/>
</table>
</file>

<file path=xl/tables/table2.xml><?xml version="1.0" encoding="utf-8"?>
<table xmlns="http://schemas.openxmlformats.org/spreadsheetml/2006/main" id="2" name="tblCleanDaily" displayName="tblCleanDaily" ref="A1:Q2107" totalsRowShown="0">
  <autoFilter ref="A1:Q2107"/>
  <tableColumns count="17">
    <tableColumn id="1" name="Sale_Date"/>
    <tableColumn id="2" name="M01AB"/>
    <tableColumn id="3" name="M01AE"/>
    <tableColumn id="4" name="N02BA"/>
    <tableColumn id="5" name="N02BE"/>
    <tableColumn id="6" name="N05B"/>
    <tableColumn id="7" name="N05C"/>
    <tableColumn id="8" name="R03"/>
    <tableColumn id="9" name="R06"/>
    <tableColumn id="10" name="Total_Quantity"/>
    <tableColumn id="11" name="Year"/>
    <tableColumn id="12" name="Month_Number"/>
    <tableColumn id="13" name="Month_Start"/>
    <tableColumn id="14" name="Month_Name"/>
    <tableColumn id="15" name="Weekday_Number"/>
    <tableColumn id="16" name="Weekday_Name"/>
    <tableColumn id="17" name="Is_Complete_Month"/>
  </tableColumns>
  <tableStyleInfo name="TableStyleMedium2" showFirstColumn="0" showLastColumn="0" showRowStripes="1" showColumnStripes="0"/>
</table>
</file>

<file path=xl/tables/table3.xml><?xml version="1.0" encoding="utf-8"?>
<table xmlns="http://schemas.openxmlformats.org/spreadsheetml/2006/main" id="3" name="tblLongSales" displayName="tblLongSales" ref="A1:K16849" totalsRowShown="0">
  <autoFilter ref="A1:K16849"/>
  <tableColumns count="11">
    <tableColumn id="1" name="Sale_Date"/>
    <tableColumn id="2" name="Year"/>
    <tableColumn id="3" name="Month_Number"/>
    <tableColumn id="4" name="Month_Start"/>
    <tableColumn id="5" name="Month_Name"/>
    <tableColumn id="6" name="Weekday_Number"/>
    <tableColumn id="7" name="Weekday_Name"/>
    <tableColumn id="8" name="ATC_Category"/>
    <tableColumn id="9" name="Category_Description"/>
    <tableColumn id="10" name="Quantity"/>
    <tableColumn id="11" name="Is_Complete_Month"/>
  </tableColumns>
  <tableStyleInfo name="TableStyleMedium2" showFirstColumn="0" showLastColumn="0" showRowStripes="1" showColumnStripes="0"/>
</table>
</file>

<file path=xl/tables/table4.xml><?xml version="1.0" encoding="utf-8"?>
<table xmlns="http://schemas.openxmlformats.org/spreadsheetml/2006/main" id="4" name="tblMonthly" displayName="tblMonthly" ref="A1:K71" totalsRowShown="0">
  <autoFilter ref="A1:K71"/>
  <tableColumns count="11">
    <tableColumn id="1" name="Month_Start"/>
    <tableColumn id="2" name="Year"/>
    <tableColumn id="3" name="Month_Number"/>
    <tableColumn id="4" name="Month_Name"/>
    <tableColumn id="5" name="Days_Observed"/>
    <tableColumn id="6" name="Expected_Days"/>
    <tableColumn id="7" name="Is_Complete_Month"/>
    <tableColumn id="8" name="Total_Quantity"/>
    <tableColumn id="9" name="Average_Daily_Quantity"/>
    <tableColumn id="10" name="Previous_Month_Quantity"/>
    <tableColumn id="11" name="MoM_Growth_Percent"/>
  </tableColumns>
  <tableStyleInfo name="TableStyleMedium2" showFirstColumn="0" showLastColumn="0" showRowStripes="1" showColumnStripes="0"/>
</table>
</file>

<file path=xl/tables/table5.xml><?xml version="1.0" encoding="utf-8"?>
<table xmlns="http://schemas.openxmlformats.org/spreadsheetml/2006/main" id="5" name="tblCategory" displayName="tblCategory" ref="A1:M9" totalsRowShown="0">
  <autoFilter ref="A1:M9"/>
  <tableColumns count="13">
    <tableColumn id="1" name="Rank_by_Total_Quantity"/>
    <tableColumn id="2" name="ATC_Category"/>
    <tableColumn id="3" name="Category_Description"/>
    <tableColumn id="4" name="Total_Quantity"/>
    <tableColumn id="5" name="Share_of_Total_Percent"/>
    <tableColumn id="6" name="Average_Daily_Quantity"/>
    <tableColumn id="7" name="Median_Daily_Quantity"/>
    <tableColumn id="8" name="StdDev_Daily_Quantity"/>
    <tableColumn id="9" name="Coefficient_of_Variation"/>
    <tableColumn id="10" name="P95_Daily_Quantity"/>
    <tableColumn id="11" name="Maximum_Daily_Quantity"/>
    <tableColumn id="12" name="Zero_Quantity_Days"/>
    <tableColumn id="13" name="Zero_Day_Percent"/>
  </tableColumns>
  <tableStyleInfo name="TableStyleMedium2" showFirstColumn="0" showLastColumn="0" showRowStripes="1" showColumnStripes="0"/>
</table>
</file>

<file path=xl/tables/table6.xml><?xml version="1.0" encoding="utf-8"?>
<table xmlns="http://schemas.openxmlformats.org/spreadsheetml/2006/main" id="6" name="tblWeekday" displayName="tblWeekday" ref="A1:E8" totalsRowShown="0">
  <autoFilter ref="A1:E8"/>
  <tableColumns count="5">
    <tableColumn id="1" name="Weekday_Number"/>
    <tableColumn id="2" name="Weekday_Name"/>
    <tableColumn id="3" name="Days_Observed"/>
    <tableColumn id="4" name="Total_Quantity"/>
    <tableColumn id="5" name="Average_Daily_Quantity"/>
  </tableColumns>
  <tableStyleInfo name="TableStyleMedium2" showFirstColumn="0" showLastColumn="0" showRowStripes="1" showColumnStripes="0"/>
</table>
</file>

<file path=xl/tables/table7.xml><?xml version="1.0" encoding="utf-8"?>
<table xmlns="http://schemas.openxmlformats.org/spreadsheetml/2006/main" id="7" name="tblQuality" displayName="tblQuality" ref="A1:K5" totalsRowShown="0">
  <autoFilter ref="A1:K5"/>
  <tableColumns count="11">
    <tableColumn id="1" name="File"/>
    <tableColumn id="2" name="Rows"/>
    <tableColumn id="3" name="Columns"/>
    <tableColumn id="4" name="Missing_Cells"/>
    <tableColumn id="5" name="Exact_Duplicate_Rows"/>
    <tableColumn id="6" name="Duplicate_Date_or_DateTime_Values"/>
    <tableColumn id="7" name="Invalid_Dates"/>
    <tableColumn id="8" name="Negative_Category_Values"/>
    <tableColumn id="9" name="Start"/>
    <tableColumn id="10" name="End"/>
    <tableColumn id="11" name="Notes"/>
  </tableColumns>
  <tableStyleInfo name="TableStyleMedium2" showFirstColumn="0" showLastColumn="0" showRowStripes="1" showColumnStripes="0"/>
</table>
</file>

<file path=xl/tables/table8.xml><?xml version="1.0" encoding="utf-8"?>
<table xmlns="http://schemas.openxmlformats.org/spreadsheetml/2006/main" id="8" name="tblReconciliation" displayName="tblReconciliation" ref="A1:F71" totalsRowShown="0">
  <autoFilter ref="A1:F71"/>
  <tableColumns count="6">
    <tableColumn id="1" name="Month_Start"/>
    <tableColumn id="2" name="Supplied_Monthly_Total"/>
    <tableColumn id="3" name="Derived_From_Daily_Total"/>
    <tableColumn id="4" name="Difference_Supplied_Minus_Derived"/>
    <tableColumn id="5" name="Maximum_Category_Absolute_Difference"/>
    <tableColumn id="6" name="Match_Within_0_0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milanzdravkovic/pharma-sales-data"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H32"/>
  <sheetViews>
    <sheetView showGridLines="0" zoomScale="95" zoomScaleNormal="95" workbookViewId="0"/>
  </sheetViews>
  <sheetFormatPr defaultRowHeight="15"/>
  <cols>
    <col min="1" max="1" width="3.7109375" customWidth="1"/>
    <col min="2" max="2" width="25.7109375" customWidth="1"/>
    <col min="3" max="8" width="18.7109375" customWidth="1"/>
  </cols>
  <sheetData>
    <row r="2" spans="2:8" ht="38.25" customHeight="1">
      <c r="B2" s="1" t="s">
        <v>0</v>
      </c>
      <c r="C2" s="1"/>
      <c r="D2" s="1"/>
      <c r="E2" s="1"/>
      <c r="F2" s="1"/>
      <c r="G2" s="1"/>
      <c r="H2" s="1"/>
    </row>
    <row r="3" spans="2:8">
      <c r="B3" s="2" t="s">
        <v>1</v>
      </c>
      <c r="C3" s="2"/>
      <c r="D3" s="2"/>
      <c r="E3" s="2"/>
      <c r="F3" s="2"/>
      <c r="G3" s="2"/>
      <c r="H3" s="2"/>
    </row>
    <row r="5" spans="2:8">
      <c r="B5" s="3" t="s">
        <v>2</v>
      </c>
      <c r="C5" s="3"/>
      <c r="D5" s="3"/>
      <c r="E5" s="3"/>
      <c r="F5" s="3"/>
      <c r="G5" s="3"/>
      <c r="H5" s="3"/>
    </row>
    <row r="6" spans="2:8" ht="26.25" customHeight="1">
      <c r="B6" s="4" t="s">
        <v>3</v>
      </c>
      <c r="C6" s="5" t="s">
        <v>4</v>
      </c>
      <c r="D6" s="5"/>
      <c r="E6" s="5"/>
      <c r="F6" s="5"/>
      <c r="G6" s="5"/>
      <c r="H6" s="5"/>
    </row>
    <row r="7" spans="2:8" ht="26.25" customHeight="1">
      <c r="B7" s="4" t="s">
        <v>5</v>
      </c>
      <c r="C7" s="5" t="s">
        <v>6</v>
      </c>
      <c r="D7" s="5"/>
      <c r="E7" s="5"/>
      <c r="F7" s="5"/>
      <c r="G7" s="5"/>
      <c r="H7" s="5"/>
    </row>
    <row r="8" spans="2:8" ht="26.25" customHeight="1">
      <c r="B8" s="4" t="s">
        <v>7</v>
      </c>
      <c r="C8" s="5" t="s">
        <v>8</v>
      </c>
      <c r="D8" s="5"/>
      <c r="E8" s="5"/>
      <c r="F8" s="5"/>
      <c r="G8" s="5"/>
      <c r="H8" s="5"/>
    </row>
    <row r="9" spans="2:8" ht="33.75" customHeight="1">
      <c r="B9" s="4" t="s">
        <v>9</v>
      </c>
      <c r="C9" s="5" t="s">
        <v>10</v>
      </c>
      <c r="D9" s="5"/>
      <c r="E9" s="5"/>
      <c r="F9" s="5"/>
      <c r="G9" s="5"/>
      <c r="H9" s="5"/>
    </row>
    <row r="10" spans="2:8" ht="33.75" customHeight="1">
      <c r="B10" s="4" t="s">
        <v>11</v>
      </c>
      <c r="C10" s="5" t="s">
        <v>12</v>
      </c>
      <c r="D10" s="5"/>
      <c r="E10" s="5"/>
      <c r="F10" s="5"/>
      <c r="G10" s="5"/>
      <c r="H10" s="5"/>
    </row>
    <row r="11" spans="2:8" ht="26.25" customHeight="1">
      <c r="B11" s="4" t="s">
        <v>13</v>
      </c>
      <c r="C11" s="5" t="s">
        <v>14</v>
      </c>
      <c r="D11" s="5"/>
      <c r="E11" s="5"/>
      <c r="F11" s="5"/>
      <c r="G11" s="5"/>
      <c r="H11" s="5"/>
    </row>
    <row r="14" spans="2:8">
      <c r="B14" s="3" t="s">
        <v>15</v>
      </c>
      <c r="C14" s="3"/>
      <c r="D14" s="3"/>
      <c r="E14" s="3"/>
      <c r="F14" s="3"/>
      <c r="G14" s="3"/>
      <c r="H14" s="3"/>
    </row>
    <row r="15" spans="2:8">
      <c r="B15" s="6" t="s">
        <v>16</v>
      </c>
      <c r="C15" s="5" t="s">
        <v>17</v>
      </c>
      <c r="D15" s="5"/>
      <c r="E15" s="5"/>
      <c r="F15" s="5"/>
      <c r="G15" s="5"/>
      <c r="H15" s="5"/>
    </row>
    <row r="16" spans="2:8">
      <c r="B16" s="6" t="s">
        <v>18</v>
      </c>
      <c r="C16" s="5" t="s">
        <v>19</v>
      </c>
      <c r="D16" s="5"/>
      <c r="E16" s="5"/>
      <c r="F16" s="5"/>
      <c r="G16" s="5"/>
      <c r="H16" s="5"/>
    </row>
    <row r="17" spans="2:8">
      <c r="B17" s="6" t="s">
        <v>20</v>
      </c>
      <c r="C17" s="5" t="s">
        <v>21</v>
      </c>
      <c r="D17" s="5"/>
      <c r="E17" s="5"/>
      <c r="F17" s="5"/>
      <c r="G17" s="5"/>
      <c r="H17" s="5"/>
    </row>
    <row r="18" spans="2:8">
      <c r="B18" s="6" t="s">
        <v>22</v>
      </c>
      <c r="C18" s="5" t="s">
        <v>23</v>
      </c>
      <c r="D18" s="5"/>
      <c r="E18" s="5"/>
      <c r="F18" s="5"/>
      <c r="G18" s="5"/>
      <c r="H18" s="5"/>
    </row>
    <row r="19" spans="2:8">
      <c r="B19" s="6" t="s">
        <v>24</v>
      </c>
      <c r="C19" s="5" t="s">
        <v>25</v>
      </c>
      <c r="D19" s="5"/>
      <c r="E19" s="5"/>
      <c r="F19" s="5"/>
      <c r="G19" s="5"/>
      <c r="H19" s="5"/>
    </row>
    <row r="20" spans="2:8">
      <c r="B20" s="6" t="s">
        <v>26</v>
      </c>
      <c r="C20" s="5" t="s">
        <v>27</v>
      </c>
      <c r="D20" s="5"/>
      <c r="E20" s="5"/>
      <c r="F20" s="5"/>
      <c r="G20" s="5"/>
      <c r="H20" s="5"/>
    </row>
    <row r="21" spans="2:8">
      <c r="B21" s="6" t="s">
        <v>28</v>
      </c>
      <c r="C21" s="5" t="s">
        <v>29</v>
      </c>
      <c r="D21" s="5"/>
      <c r="E21" s="5"/>
      <c r="F21" s="5"/>
      <c r="G21" s="5"/>
      <c r="H21" s="5"/>
    </row>
    <row r="22" spans="2:8">
      <c r="B22" s="6" t="s">
        <v>30</v>
      </c>
      <c r="C22" s="5" t="s">
        <v>31</v>
      </c>
      <c r="D22" s="5"/>
      <c r="E22" s="5"/>
      <c r="F22" s="5"/>
      <c r="G22" s="5"/>
      <c r="H22" s="5"/>
    </row>
    <row r="23" spans="2:8">
      <c r="B23" s="6" t="s">
        <v>32</v>
      </c>
      <c r="C23" s="5" t="s">
        <v>33</v>
      </c>
      <c r="D23" s="5"/>
      <c r="E23" s="5"/>
      <c r="F23" s="5"/>
      <c r="G23" s="5"/>
      <c r="H23" s="5"/>
    </row>
    <row r="24" spans="2:8">
      <c r="B24" s="6" t="s">
        <v>34</v>
      </c>
      <c r="C24" s="5" t="s">
        <v>35</v>
      </c>
      <c r="D24" s="5"/>
      <c r="E24" s="5"/>
      <c r="F24" s="5"/>
      <c r="G24" s="5"/>
      <c r="H24" s="5"/>
    </row>
    <row r="27" spans="2:8">
      <c r="B27" s="7" t="s">
        <v>36</v>
      </c>
      <c r="C27" s="7"/>
      <c r="D27" s="7"/>
      <c r="E27" s="7"/>
      <c r="F27" s="7"/>
      <c r="G27" s="7"/>
      <c r="H27" s="7"/>
    </row>
    <row r="28" spans="2:8">
      <c r="B28" s="7"/>
      <c r="C28" s="7"/>
      <c r="D28" s="7"/>
      <c r="E28" s="7"/>
      <c r="F28" s="7"/>
      <c r="G28" s="7"/>
      <c r="H28" s="7"/>
    </row>
    <row r="30" spans="2:8">
      <c r="B30" s="8" t="s">
        <v>37</v>
      </c>
    </row>
    <row r="32" spans="2:8">
      <c r="B32" s="9" t="s">
        <v>38</v>
      </c>
    </row>
  </sheetData>
  <mergeCells count="21">
    <mergeCell ref="B2:H2"/>
    <mergeCell ref="B3:H3"/>
    <mergeCell ref="B5:H5"/>
    <mergeCell ref="C6:H6"/>
    <mergeCell ref="C7:H7"/>
    <mergeCell ref="C8:H8"/>
    <mergeCell ref="C9:H9"/>
    <mergeCell ref="C10:H10"/>
    <mergeCell ref="C11:H11"/>
    <mergeCell ref="B14:H14"/>
    <mergeCell ref="C15:H15"/>
    <mergeCell ref="C16:H16"/>
    <mergeCell ref="C17:H17"/>
    <mergeCell ref="C18:H18"/>
    <mergeCell ref="C19:H19"/>
    <mergeCell ref="C20:H20"/>
    <mergeCell ref="C21:H21"/>
    <mergeCell ref="C22:H22"/>
    <mergeCell ref="C23:H23"/>
    <mergeCell ref="C24:H24"/>
    <mergeCell ref="B27:H28"/>
  </mergeCells>
  <hyperlinks>
    <hyperlink ref="B30"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7F8C8D"/>
  </sheetPr>
  <dimension ref="A1:M2107"/>
  <sheetViews>
    <sheetView showGridLines="0" workbookViewId="0">
      <pane ySplit="1" topLeftCell="A2" activePane="bottomLeft" state="frozen"/>
      <selection pane="bottomLeft"/>
    </sheetView>
  </sheetViews>
  <sheetFormatPr defaultRowHeight="15"/>
  <cols>
    <col min="1" max="1" width="14.7109375" customWidth="1"/>
    <col min="2" max="9" width="11.7109375" customWidth="1"/>
    <col min="10" max="12" width="9.7109375" customWidth="1"/>
    <col min="13" max="13" width="16.7109375" customWidth="1"/>
  </cols>
  <sheetData>
    <row r="1" spans="1:13" ht="32.25" customHeight="1">
      <c r="A1" t="s">
        <v>39</v>
      </c>
      <c r="B1" t="s">
        <v>40</v>
      </c>
      <c r="C1" t="s">
        <v>41</v>
      </c>
      <c r="D1" t="s">
        <v>42</v>
      </c>
      <c r="E1" t="s">
        <v>43</v>
      </c>
      <c r="F1" t="s">
        <v>44</v>
      </c>
      <c r="G1" t="s">
        <v>45</v>
      </c>
      <c r="H1" t="s">
        <v>46</v>
      </c>
      <c r="I1" t="s">
        <v>47</v>
      </c>
      <c r="J1" t="s">
        <v>48</v>
      </c>
      <c r="K1" t="s">
        <v>49</v>
      </c>
      <c r="L1" t="s">
        <v>50</v>
      </c>
      <c r="M1" t="s">
        <v>51</v>
      </c>
    </row>
    <row r="2" spans="1:13">
      <c r="A2" t="s">
        <v>52</v>
      </c>
      <c r="B2" s="10">
        <v>0</v>
      </c>
      <c r="C2" s="10">
        <v>3.67</v>
      </c>
      <c r="D2" s="10">
        <v>3.4</v>
      </c>
      <c r="E2" s="10">
        <v>32.4</v>
      </c>
      <c r="F2" s="10">
        <v>7</v>
      </c>
      <c r="G2" s="10">
        <v>0</v>
      </c>
      <c r="H2" s="10">
        <v>0</v>
      </c>
      <c r="I2" s="10">
        <v>2</v>
      </c>
      <c r="J2">
        <v>2014</v>
      </c>
      <c r="K2">
        <v>1</v>
      </c>
      <c r="L2">
        <v>248</v>
      </c>
      <c r="M2" t="s">
        <v>53</v>
      </c>
    </row>
    <row r="3" spans="1:13">
      <c r="A3" t="s">
        <v>54</v>
      </c>
      <c r="B3" s="10">
        <v>8</v>
      </c>
      <c r="C3" s="10">
        <v>4</v>
      </c>
      <c r="D3" s="10">
        <v>4.4</v>
      </c>
      <c r="E3" s="10">
        <v>50.6</v>
      </c>
      <c r="F3" s="10">
        <v>16</v>
      </c>
      <c r="G3" s="10">
        <v>0</v>
      </c>
      <c r="H3" s="10">
        <v>20</v>
      </c>
      <c r="I3" s="10">
        <v>4</v>
      </c>
      <c r="J3">
        <v>2014</v>
      </c>
      <c r="K3">
        <v>1</v>
      </c>
      <c r="L3">
        <v>276</v>
      </c>
      <c r="M3" t="s">
        <v>55</v>
      </c>
    </row>
    <row r="4" spans="1:13">
      <c r="A4" t="s">
        <v>56</v>
      </c>
      <c r="B4" s="10">
        <v>2</v>
      </c>
      <c r="C4" s="10">
        <v>1</v>
      </c>
      <c r="D4" s="10">
        <v>6.5</v>
      </c>
      <c r="E4" s="10">
        <v>61.85</v>
      </c>
      <c r="F4" s="10">
        <v>10</v>
      </c>
      <c r="G4" s="10">
        <v>0</v>
      </c>
      <c r="H4" s="10">
        <v>9</v>
      </c>
      <c r="I4" s="10">
        <v>1</v>
      </c>
      <c r="J4">
        <v>2014</v>
      </c>
      <c r="K4">
        <v>1</v>
      </c>
      <c r="L4">
        <v>276</v>
      </c>
      <c r="M4" t="s">
        <v>57</v>
      </c>
    </row>
    <row r="5" spans="1:13">
      <c r="A5" t="s">
        <v>58</v>
      </c>
      <c r="B5" s="10">
        <v>4</v>
      </c>
      <c r="C5" s="10">
        <v>3</v>
      </c>
      <c r="D5" s="10">
        <v>7</v>
      </c>
      <c r="E5" s="10">
        <v>41.1</v>
      </c>
      <c r="F5" s="10">
        <v>8</v>
      </c>
      <c r="G5" s="10">
        <v>0</v>
      </c>
      <c r="H5" s="10">
        <v>3</v>
      </c>
      <c r="I5" s="10">
        <v>0</v>
      </c>
      <c r="J5">
        <v>2014</v>
      </c>
      <c r="K5">
        <v>1</v>
      </c>
      <c r="L5">
        <v>276</v>
      </c>
      <c r="M5" t="s">
        <v>59</v>
      </c>
    </row>
    <row r="6" spans="1:13">
      <c r="A6" t="s">
        <v>60</v>
      </c>
      <c r="B6" s="10">
        <v>5</v>
      </c>
      <c r="C6" s="10">
        <v>1</v>
      </c>
      <c r="D6" s="10">
        <v>4.5</v>
      </c>
      <c r="E6" s="10">
        <v>21.7</v>
      </c>
      <c r="F6" s="10">
        <v>16</v>
      </c>
      <c r="G6" s="10">
        <v>2</v>
      </c>
      <c r="H6" s="10">
        <v>6</v>
      </c>
      <c r="I6" s="10">
        <v>2</v>
      </c>
      <c r="J6">
        <v>2014</v>
      </c>
      <c r="K6">
        <v>1</v>
      </c>
      <c r="L6">
        <v>276</v>
      </c>
      <c r="M6" t="s">
        <v>61</v>
      </c>
    </row>
    <row r="7" spans="1:13">
      <c r="A7" t="s">
        <v>62</v>
      </c>
      <c r="B7" s="10">
        <v>0</v>
      </c>
      <c r="C7" s="10">
        <v>0</v>
      </c>
      <c r="D7" s="10">
        <v>0</v>
      </c>
      <c r="E7" s="10">
        <v>0</v>
      </c>
      <c r="F7" s="10">
        <v>0</v>
      </c>
      <c r="G7" s="10">
        <v>0</v>
      </c>
      <c r="H7" s="10">
        <v>0</v>
      </c>
      <c r="I7" s="10">
        <v>0</v>
      </c>
      <c r="J7">
        <v>2014</v>
      </c>
      <c r="K7">
        <v>1</v>
      </c>
      <c r="L7">
        <v>276</v>
      </c>
      <c r="M7" t="s">
        <v>63</v>
      </c>
    </row>
    <row r="8" spans="1:13">
      <c r="A8" t="s">
        <v>64</v>
      </c>
      <c r="B8" s="10">
        <v>5.33</v>
      </c>
      <c r="C8" s="10">
        <v>3</v>
      </c>
      <c r="D8" s="10">
        <v>10.5</v>
      </c>
      <c r="E8" s="10">
        <v>26.4</v>
      </c>
      <c r="F8" s="10">
        <v>19</v>
      </c>
      <c r="G8" s="10">
        <v>1</v>
      </c>
      <c r="H8" s="10">
        <v>10</v>
      </c>
      <c r="I8" s="10">
        <v>0</v>
      </c>
      <c r="J8">
        <v>2014</v>
      </c>
      <c r="K8">
        <v>1</v>
      </c>
      <c r="L8">
        <v>276</v>
      </c>
      <c r="M8" t="s">
        <v>65</v>
      </c>
    </row>
    <row r="9" spans="1:13">
      <c r="A9" t="s">
        <v>66</v>
      </c>
      <c r="B9" s="10">
        <v>7</v>
      </c>
      <c r="C9" s="10">
        <v>1.68</v>
      </c>
      <c r="D9" s="10">
        <v>8</v>
      </c>
      <c r="E9" s="10">
        <v>25</v>
      </c>
      <c r="F9" s="10">
        <v>16</v>
      </c>
      <c r="G9" s="10">
        <v>0</v>
      </c>
      <c r="H9" s="10">
        <v>3</v>
      </c>
      <c r="I9" s="10">
        <v>2</v>
      </c>
      <c r="J9">
        <v>2014</v>
      </c>
      <c r="K9">
        <v>1</v>
      </c>
      <c r="L9">
        <v>276</v>
      </c>
      <c r="M9" t="s">
        <v>53</v>
      </c>
    </row>
    <row r="10" spans="1:13">
      <c r="A10" t="s">
        <v>67</v>
      </c>
      <c r="B10" s="10">
        <v>5</v>
      </c>
      <c r="C10" s="10">
        <v>2</v>
      </c>
      <c r="D10" s="10">
        <v>2</v>
      </c>
      <c r="E10" s="10">
        <v>53.3</v>
      </c>
      <c r="F10" s="10">
        <v>15</v>
      </c>
      <c r="G10" s="10">
        <v>2</v>
      </c>
      <c r="H10" s="10">
        <v>0</v>
      </c>
      <c r="I10" s="10">
        <v>2</v>
      </c>
      <c r="J10">
        <v>2014</v>
      </c>
      <c r="K10">
        <v>1</v>
      </c>
      <c r="L10">
        <v>276</v>
      </c>
      <c r="M10" t="s">
        <v>55</v>
      </c>
    </row>
    <row r="11" spans="1:13">
      <c r="A11" t="s">
        <v>68</v>
      </c>
      <c r="B11" s="10">
        <v>5</v>
      </c>
      <c r="C11" s="10">
        <v>4.34</v>
      </c>
      <c r="D11" s="10">
        <v>10.4</v>
      </c>
      <c r="E11" s="10">
        <v>52.3</v>
      </c>
      <c r="F11" s="10">
        <v>14</v>
      </c>
      <c r="G11" s="10">
        <v>0</v>
      </c>
      <c r="H11" s="10">
        <v>1</v>
      </c>
      <c r="I11" s="10">
        <v>0.2</v>
      </c>
      <c r="J11">
        <v>2014</v>
      </c>
      <c r="K11">
        <v>1</v>
      </c>
      <c r="L11">
        <v>276</v>
      </c>
      <c r="M11" t="s">
        <v>57</v>
      </c>
    </row>
    <row r="12" spans="1:13">
      <c r="A12" t="s">
        <v>69</v>
      </c>
      <c r="B12" s="10">
        <v>2</v>
      </c>
      <c r="C12" s="10">
        <v>0.66</v>
      </c>
      <c r="D12" s="10">
        <v>2.5</v>
      </c>
      <c r="E12" s="10">
        <v>12</v>
      </c>
      <c r="F12" s="10">
        <v>8</v>
      </c>
      <c r="G12" s="10">
        <v>0</v>
      </c>
      <c r="H12" s="10">
        <v>1</v>
      </c>
      <c r="I12" s="10">
        <v>1</v>
      </c>
      <c r="J12">
        <v>2014</v>
      </c>
      <c r="K12">
        <v>1</v>
      </c>
      <c r="L12">
        <v>276</v>
      </c>
      <c r="M12" t="s">
        <v>59</v>
      </c>
    </row>
    <row r="13" spans="1:13">
      <c r="A13" t="s">
        <v>70</v>
      </c>
      <c r="B13" s="10">
        <v>7.34</v>
      </c>
      <c r="C13" s="10">
        <v>7.66</v>
      </c>
      <c r="D13" s="10">
        <v>6.2</v>
      </c>
      <c r="E13" s="10">
        <v>52</v>
      </c>
      <c r="F13" s="10">
        <v>9</v>
      </c>
      <c r="G13" s="10">
        <v>0</v>
      </c>
      <c r="H13" s="10">
        <v>7</v>
      </c>
      <c r="I13" s="10">
        <v>1</v>
      </c>
      <c r="J13">
        <v>2014</v>
      </c>
      <c r="K13">
        <v>1</v>
      </c>
      <c r="L13">
        <v>276</v>
      </c>
      <c r="M13" t="s">
        <v>61</v>
      </c>
    </row>
    <row r="14" spans="1:13">
      <c r="A14" t="s">
        <v>71</v>
      </c>
      <c r="B14" s="10">
        <v>6</v>
      </c>
      <c r="C14" s="10">
        <v>1.33</v>
      </c>
      <c r="D14" s="10">
        <v>12.3</v>
      </c>
      <c r="E14" s="10">
        <v>33.7</v>
      </c>
      <c r="F14" s="10">
        <v>6</v>
      </c>
      <c r="G14" s="10">
        <v>1</v>
      </c>
      <c r="H14" s="10">
        <v>0</v>
      </c>
      <c r="I14" s="10">
        <v>2</v>
      </c>
      <c r="J14">
        <v>2014</v>
      </c>
      <c r="K14">
        <v>1</v>
      </c>
      <c r="L14">
        <v>276</v>
      </c>
      <c r="M14" t="s">
        <v>63</v>
      </c>
    </row>
    <row r="15" spans="1:13">
      <c r="A15" t="s">
        <v>72</v>
      </c>
      <c r="B15" s="10">
        <v>4</v>
      </c>
      <c r="C15" s="10">
        <v>2.34</v>
      </c>
      <c r="D15" s="10">
        <v>5</v>
      </c>
      <c r="E15" s="10">
        <v>26.7</v>
      </c>
      <c r="F15" s="10">
        <v>12</v>
      </c>
      <c r="G15" s="10">
        <v>2</v>
      </c>
      <c r="H15" s="10">
        <v>3</v>
      </c>
      <c r="I15" s="10">
        <v>3</v>
      </c>
      <c r="J15">
        <v>2014</v>
      </c>
      <c r="K15">
        <v>1</v>
      </c>
      <c r="L15">
        <v>276</v>
      </c>
      <c r="M15" t="s">
        <v>65</v>
      </c>
    </row>
    <row r="16" spans="1:13">
      <c r="A16" t="s">
        <v>73</v>
      </c>
      <c r="B16" s="10">
        <v>6</v>
      </c>
      <c r="C16" s="10">
        <v>2</v>
      </c>
      <c r="D16" s="10">
        <v>4.3</v>
      </c>
      <c r="E16" s="10">
        <v>28.3</v>
      </c>
      <c r="F16" s="10">
        <v>19</v>
      </c>
      <c r="G16" s="10">
        <v>1</v>
      </c>
      <c r="H16" s="10">
        <v>5</v>
      </c>
      <c r="I16" s="10">
        <v>0</v>
      </c>
      <c r="J16">
        <v>2014</v>
      </c>
      <c r="K16">
        <v>1</v>
      </c>
      <c r="L16">
        <v>276</v>
      </c>
      <c r="M16" t="s">
        <v>53</v>
      </c>
    </row>
    <row r="17" spans="1:13">
      <c r="A17" t="s">
        <v>74</v>
      </c>
      <c r="B17" s="10">
        <v>2</v>
      </c>
      <c r="C17" s="10">
        <v>3.68</v>
      </c>
      <c r="D17" s="10">
        <v>8.300000000000001</v>
      </c>
      <c r="E17" s="10">
        <v>20.4</v>
      </c>
      <c r="F17" s="10">
        <v>15</v>
      </c>
      <c r="G17" s="10">
        <v>0</v>
      </c>
      <c r="H17" s="10">
        <v>6</v>
      </c>
      <c r="I17" s="10">
        <v>3</v>
      </c>
      <c r="J17">
        <v>2014</v>
      </c>
      <c r="K17">
        <v>1</v>
      </c>
      <c r="L17">
        <v>276</v>
      </c>
      <c r="M17" t="s">
        <v>55</v>
      </c>
    </row>
    <row r="18" spans="1:13">
      <c r="A18" t="s">
        <v>75</v>
      </c>
      <c r="B18" s="10">
        <v>1</v>
      </c>
      <c r="C18" s="10">
        <v>5.33</v>
      </c>
      <c r="D18" s="10">
        <v>5.8</v>
      </c>
      <c r="E18" s="10">
        <v>43.2</v>
      </c>
      <c r="F18" s="10">
        <v>15</v>
      </c>
      <c r="G18" s="10">
        <v>4</v>
      </c>
      <c r="H18" s="10">
        <v>7</v>
      </c>
      <c r="I18" s="10">
        <v>2</v>
      </c>
      <c r="J18">
        <v>2014</v>
      </c>
      <c r="K18">
        <v>1</v>
      </c>
      <c r="L18">
        <v>276</v>
      </c>
      <c r="M18" t="s">
        <v>57</v>
      </c>
    </row>
    <row r="19" spans="1:13">
      <c r="A19" t="s">
        <v>76</v>
      </c>
      <c r="B19" s="10">
        <v>4.33</v>
      </c>
      <c r="C19" s="10">
        <v>4</v>
      </c>
      <c r="D19" s="10">
        <v>4</v>
      </c>
      <c r="E19" s="10">
        <v>14.1</v>
      </c>
      <c r="F19" s="10">
        <v>4</v>
      </c>
      <c r="G19" s="10">
        <v>0</v>
      </c>
      <c r="H19" s="10">
        <v>1</v>
      </c>
      <c r="I19" s="10">
        <v>1</v>
      </c>
      <c r="J19">
        <v>2014</v>
      </c>
      <c r="K19">
        <v>1</v>
      </c>
      <c r="L19">
        <v>276</v>
      </c>
      <c r="M19" t="s">
        <v>59</v>
      </c>
    </row>
    <row r="20" spans="1:13">
      <c r="A20" t="s">
        <v>77</v>
      </c>
      <c r="B20" s="10">
        <v>6</v>
      </c>
      <c r="C20" s="10">
        <v>3.34</v>
      </c>
      <c r="D20" s="10">
        <v>3.3</v>
      </c>
      <c r="E20" s="10">
        <v>11.9</v>
      </c>
      <c r="F20" s="10">
        <v>18</v>
      </c>
      <c r="G20" s="10">
        <v>2</v>
      </c>
      <c r="H20" s="10">
        <v>12</v>
      </c>
      <c r="I20" s="10">
        <v>3</v>
      </c>
      <c r="J20">
        <v>2014</v>
      </c>
      <c r="K20">
        <v>1</v>
      </c>
      <c r="L20">
        <v>276</v>
      </c>
      <c r="M20" t="s">
        <v>61</v>
      </c>
    </row>
    <row r="21" spans="1:13">
      <c r="A21" t="s">
        <v>78</v>
      </c>
      <c r="B21" s="10">
        <v>2</v>
      </c>
      <c r="C21" s="10">
        <v>3.34</v>
      </c>
      <c r="D21" s="10">
        <v>4</v>
      </c>
      <c r="E21" s="10">
        <v>42</v>
      </c>
      <c r="F21" s="10">
        <v>15</v>
      </c>
      <c r="G21" s="10">
        <v>2</v>
      </c>
      <c r="H21" s="10">
        <v>0</v>
      </c>
      <c r="I21" s="10">
        <v>1</v>
      </c>
      <c r="J21">
        <v>2014</v>
      </c>
      <c r="K21">
        <v>1</v>
      </c>
      <c r="L21">
        <v>276</v>
      </c>
      <c r="M21" t="s">
        <v>63</v>
      </c>
    </row>
    <row r="22" spans="1:13">
      <c r="A22" t="s">
        <v>79</v>
      </c>
      <c r="B22" s="10">
        <v>7</v>
      </c>
      <c r="C22" s="10">
        <v>3</v>
      </c>
      <c r="D22" s="10">
        <v>7</v>
      </c>
      <c r="E22" s="10">
        <v>18.1</v>
      </c>
      <c r="F22" s="10">
        <v>10</v>
      </c>
      <c r="G22" s="10">
        <v>0</v>
      </c>
      <c r="H22" s="10">
        <v>5</v>
      </c>
      <c r="I22" s="10">
        <v>2</v>
      </c>
      <c r="J22">
        <v>2014</v>
      </c>
      <c r="K22">
        <v>1</v>
      </c>
      <c r="L22">
        <v>276</v>
      </c>
      <c r="M22" t="s">
        <v>65</v>
      </c>
    </row>
    <row r="23" spans="1:13">
      <c r="A23" t="s">
        <v>80</v>
      </c>
      <c r="B23" s="10">
        <v>4</v>
      </c>
      <c r="C23" s="10">
        <v>4.67</v>
      </c>
      <c r="D23" s="10">
        <v>5.2</v>
      </c>
      <c r="E23" s="10">
        <v>26.2</v>
      </c>
      <c r="F23" s="10">
        <v>2</v>
      </c>
      <c r="G23" s="10">
        <v>3</v>
      </c>
      <c r="H23" s="10">
        <v>1</v>
      </c>
      <c r="I23" s="10">
        <v>3</v>
      </c>
      <c r="J23">
        <v>2014</v>
      </c>
      <c r="K23">
        <v>1</v>
      </c>
      <c r="L23">
        <v>276</v>
      </c>
      <c r="M23" t="s">
        <v>53</v>
      </c>
    </row>
    <row r="24" spans="1:13">
      <c r="A24" t="s">
        <v>81</v>
      </c>
      <c r="B24" s="10">
        <v>4.67</v>
      </c>
      <c r="C24" s="10">
        <v>7.34</v>
      </c>
      <c r="D24" s="10">
        <v>7</v>
      </c>
      <c r="E24" s="10">
        <v>19.6</v>
      </c>
      <c r="F24" s="10">
        <v>13</v>
      </c>
      <c r="G24" s="10">
        <v>1</v>
      </c>
      <c r="H24" s="10">
        <v>0</v>
      </c>
      <c r="I24" s="10">
        <v>0</v>
      </c>
      <c r="J24">
        <v>2014</v>
      </c>
      <c r="K24">
        <v>1</v>
      </c>
      <c r="L24">
        <v>276</v>
      </c>
      <c r="M24" t="s">
        <v>55</v>
      </c>
    </row>
    <row r="25" spans="1:13">
      <c r="A25" t="s">
        <v>82</v>
      </c>
      <c r="B25" s="10">
        <v>6</v>
      </c>
      <c r="C25" s="10">
        <v>9</v>
      </c>
      <c r="D25" s="10">
        <v>5</v>
      </c>
      <c r="E25" s="10">
        <v>37.8</v>
      </c>
      <c r="F25" s="10">
        <v>18</v>
      </c>
      <c r="G25" s="10">
        <v>0</v>
      </c>
      <c r="H25" s="10">
        <v>5</v>
      </c>
      <c r="I25" s="10">
        <v>1</v>
      </c>
      <c r="J25">
        <v>2014</v>
      </c>
      <c r="K25">
        <v>1</v>
      </c>
      <c r="L25">
        <v>276</v>
      </c>
      <c r="M25" t="s">
        <v>57</v>
      </c>
    </row>
    <row r="26" spans="1:13">
      <c r="A26" t="s">
        <v>83</v>
      </c>
      <c r="B26" s="10">
        <v>4.33</v>
      </c>
      <c r="C26" s="10">
        <v>1.68</v>
      </c>
      <c r="D26" s="10">
        <v>0</v>
      </c>
      <c r="E26" s="10">
        <v>24</v>
      </c>
      <c r="F26" s="10">
        <v>4</v>
      </c>
      <c r="G26" s="10">
        <v>0</v>
      </c>
      <c r="H26" s="10">
        <v>0</v>
      </c>
      <c r="I26" s="10">
        <v>0</v>
      </c>
      <c r="J26">
        <v>2014</v>
      </c>
      <c r="K26">
        <v>1</v>
      </c>
      <c r="L26">
        <v>276</v>
      </c>
      <c r="M26" t="s">
        <v>59</v>
      </c>
    </row>
    <row r="27" spans="1:13">
      <c r="A27" t="s">
        <v>84</v>
      </c>
      <c r="B27" s="10">
        <v>4.34</v>
      </c>
      <c r="C27" s="10">
        <v>4.67</v>
      </c>
      <c r="D27" s="10">
        <v>1.2</v>
      </c>
      <c r="E27" s="10">
        <v>23.6</v>
      </c>
      <c r="F27" s="10">
        <v>17</v>
      </c>
      <c r="G27" s="10">
        <v>2</v>
      </c>
      <c r="H27" s="10">
        <v>1</v>
      </c>
      <c r="I27" s="10">
        <v>3</v>
      </c>
      <c r="J27">
        <v>2014</v>
      </c>
      <c r="K27">
        <v>1</v>
      </c>
      <c r="L27">
        <v>276</v>
      </c>
      <c r="M27" t="s">
        <v>61</v>
      </c>
    </row>
    <row r="28" spans="1:13">
      <c r="A28" t="s">
        <v>85</v>
      </c>
      <c r="B28" s="10">
        <v>6</v>
      </c>
      <c r="C28" s="10">
        <v>3.34</v>
      </c>
      <c r="D28" s="10">
        <v>2.8</v>
      </c>
      <c r="E28" s="10">
        <v>13.38</v>
      </c>
      <c r="F28" s="10">
        <v>22</v>
      </c>
      <c r="G28" s="10">
        <v>5</v>
      </c>
      <c r="H28" s="10">
        <v>1</v>
      </c>
      <c r="I28" s="10">
        <v>5</v>
      </c>
      <c r="J28">
        <v>2014</v>
      </c>
      <c r="K28">
        <v>1</v>
      </c>
      <c r="L28">
        <v>276</v>
      </c>
      <c r="M28" t="s">
        <v>63</v>
      </c>
    </row>
    <row r="29" spans="1:13">
      <c r="A29" t="s">
        <v>86</v>
      </c>
      <c r="B29" s="10">
        <v>5.33</v>
      </c>
      <c r="C29" s="10">
        <v>4</v>
      </c>
      <c r="D29" s="10">
        <v>2</v>
      </c>
      <c r="E29" s="10">
        <v>14</v>
      </c>
      <c r="F29" s="10">
        <v>10</v>
      </c>
      <c r="G29" s="10">
        <v>1</v>
      </c>
      <c r="H29" s="10">
        <v>1</v>
      </c>
      <c r="I29" s="10">
        <v>2</v>
      </c>
      <c r="J29">
        <v>2014</v>
      </c>
      <c r="K29">
        <v>1</v>
      </c>
      <c r="L29">
        <v>276</v>
      </c>
      <c r="M29" t="s">
        <v>65</v>
      </c>
    </row>
    <row r="30" spans="1:13">
      <c r="A30" t="s">
        <v>87</v>
      </c>
      <c r="B30" s="10">
        <v>3.02</v>
      </c>
      <c r="C30" s="10">
        <v>1.34</v>
      </c>
      <c r="D30" s="10">
        <v>2.4</v>
      </c>
      <c r="E30" s="10">
        <v>25.5</v>
      </c>
      <c r="F30" s="10">
        <v>7</v>
      </c>
      <c r="G30" s="10">
        <v>1</v>
      </c>
      <c r="H30" s="10">
        <v>3</v>
      </c>
      <c r="I30" s="10">
        <v>2</v>
      </c>
      <c r="J30">
        <v>2014</v>
      </c>
      <c r="K30">
        <v>1</v>
      </c>
      <c r="L30">
        <v>276</v>
      </c>
      <c r="M30" t="s">
        <v>53</v>
      </c>
    </row>
    <row r="31" spans="1:13">
      <c r="A31" t="s">
        <v>88</v>
      </c>
      <c r="B31" s="10">
        <v>1</v>
      </c>
      <c r="C31" s="10">
        <v>2.68</v>
      </c>
      <c r="D31" s="10">
        <v>7.1</v>
      </c>
      <c r="E31" s="10">
        <v>26.9</v>
      </c>
      <c r="F31" s="10">
        <v>9</v>
      </c>
      <c r="G31" s="10">
        <v>0</v>
      </c>
      <c r="H31" s="10">
        <v>1</v>
      </c>
      <c r="I31" s="10">
        <v>0</v>
      </c>
      <c r="J31">
        <v>2014</v>
      </c>
      <c r="K31">
        <v>1</v>
      </c>
      <c r="L31">
        <v>276</v>
      </c>
      <c r="M31" t="s">
        <v>55</v>
      </c>
    </row>
    <row r="32" spans="1:13">
      <c r="A32" t="s">
        <v>89</v>
      </c>
      <c r="B32" s="10">
        <v>4.33</v>
      </c>
      <c r="C32" s="10">
        <v>4.32</v>
      </c>
      <c r="D32" s="10">
        <v>5</v>
      </c>
      <c r="E32" s="10">
        <v>43</v>
      </c>
      <c r="F32" s="10">
        <v>13</v>
      </c>
      <c r="G32" s="10">
        <v>1</v>
      </c>
      <c r="H32" s="10">
        <v>14</v>
      </c>
      <c r="I32" s="10">
        <v>0</v>
      </c>
      <c r="J32">
        <v>2014</v>
      </c>
      <c r="K32">
        <v>2</v>
      </c>
      <c r="L32">
        <v>276</v>
      </c>
      <c r="M32" t="s">
        <v>57</v>
      </c>
    </row>
    <row r="33" spans="1:13">
      <c r="A33" t="s">
        <v>90</v>
      </c>
      <c r="B33" s="10">
        <v>7</v>
      </c>
      <c r="C33" s="10">
        <v>3</v>
      </c>
      <c r="D33" s="10">
        <v>0.2</v>
      </c>
      <c r="E33" s="10">
        <v>13.5</v>
      </c>
      <c r="F33" s="10">
        <v>6</v>
      </c>
      <c r="G33" s="10">
        <v>2</v>
      </c>
      <c r="H33" s="10">
        <v>8</v>
      </c>
      <c r="I33" s="10">
        <v>0</v>
      </c>
      <c r="J33">
        <v>2014</v>
      </c>
      <c r="K33">
        <v>2</v>
      </c>
      <c r="L33">
        <v>276</v>
      </c>
      <c r="M33" t="s">
        <v>59</v>
      </c>
    </row>
    <row r="34" spans="1:13">
      <c r="A34" t="s">
        <v>91</v>
      </c>
      <c r="B34" s="10">
        <v>5</v>
      </c>
      <c r="C34" s="10">
        <v>1</v>
      </c>
      <c r="D34" s="10">
        <v>8.5</v>
      </c>
      <c r="E34" s="10">
        <v>32.4</v>
      </c>
      <c r="F34" s="10">
        <v>16</v>
      </c>
      <c r="G34" s="10">
        <v>1</v>
      </c>
      <c r="H34" s="10">
        <v>1</v>
      </c>
      <c r="I34" s="10">
        <v>0</v>
      </c>
      <c r="J34">
        <v>2014</v>
      </c>
      <c r="K34">
        <v>2</v>
      </c>
      <c r="L34">
        <v>276</v>
      </c>
      <c r="M34" t="s">
        <v>61</v>
      </c>
    </row>
    <row r="35" spans="1:13">
      <c r="A35" t="s">
        <v>92</v>
      </c>
      <c r="B35" s="10">
        <v>1.33</v>
      </c>
      <c r="C35" s="10">
        <v>3</v>
      </c>
      <c r="D35" s="10">
        <v>7</v>
      </c>
      <c r="E35" s="10">
        <v>30.6</v>
      </c>
      <c r="F35" s="10">
        <v>8</v>
      </c>
      <c r="G35" s="10">
        <v>1</v>
      </c>
      <c r="H35" s="10">
        <v>17</v>
      </c>
      <c r="I35" s="10">
        <v>2</v>
      </c>
      <c r="J35">
        <v>2014</v>
      </c>
      <c r="K35">
        <v>2</v>
      </c>
      <c r="L35">
        <v>276</v>
      </c>
      <c r="M35" t="s">
        <v>63</v>
      </c>
    </row>
    <row r="36" spans="1:13">
      <c r="A36" t="s">
        <v>93</v>
      </c>
      <c r="B36" s="10">
        <v>3</v>
      </c>
      <c r="C36" s="10">
        <v>4.02</v>
      </c>
      <c r="D36" s="10">
        <v>6.2</v>
      </c>
      <c r="E36" s="10">
        <v>32.4</v>
      </c>
      <c r="F36" s="10">
        <v>15</v>
      </c>
      <c r="G36" s="10">
        <v>1</v>
      </c>
      <c r="H36" s="10">
        <v>1</v>
      </c>
      <c r="I36" s="10">
        <v>1</v>
      </c>
      <c r="J36">
        <v>2014</v>
      </c>
      <c r="K36">
        <v>2</v>
      </c>
      <c r="L36">
        <v>276</v>
      </c>
      <c r="M36" t="s">
        <v>65</v>
      </c>
    </row>
    <row r="37" spans="1:13">
      <c r="A37" t="s">
        <v>94</v>
      </c>
      <c r="B37" s="10">
        <v>3.33</v>
      </c>
      <c r="C37" s="10">
        <v>6.68</v>
      </c>
      <c r="D37" s="10">
        <v>3.5</v>
      </c>
      <c r="E37" s="10">
        <v>41.4</v>
      </c>
      <c r="F37" s="10">
        <v>17</v>
      </c>
      <c r="G37" s="10">
        <v>2</v>
      </c>
      <c r="H37" s="10">
        <v>5</v>
      </c>
      <c r="I37" s="10">
        <v>2</v>
      </c>
      <c r="J37">
        <v>2014</v>
      </c>
      <c r="K37">
        <v>2</v>
      </c>
      <c r="L37">
        <v>276</v>
      </c>
      <c r="M37" t="s">
        <v>53</v>
      </c>
    </row>
    <row r="38" spans="1:13">
      <c r="A38" t="s">
        <v>95</v>
      </c>
      <c r="B38" s="10">
        <v>2.66</v>
      </c>
      <c r="C38" s="10">
        <v>8.67</v>
      </c>
      <c r="D38" s="10">
        <v>11.7</v>
      </c>
      <c r="E38" s="10">
        <v>21.4</v>
      </c>
      <c r="F38" s="10">
        <v>19</v>
      </c>
      <c r="G38" s="10">
        <v>1</v>
      </c>
      <c r="H38" s="10">
        <v>0</v>
      </c>
      <c r="I38" s="10">
        <v>0</v>
      </c>
      <c r="J38">
        <v>2014</v>
      </c>
      <c r="K38">
        <v>2</v>
      </c>
      <c r="L38">
        <v>276</v>
      </c>
      <c r="M38" t="s">
        <v>55</v>
      </c>
    </row>
    <row r="39" spans="1:13">
      <c r="A39" t="s">
        <v>96</v>
      </c>
      <c r="B39" s="10">
        <v>3.33</v>
      </c>
      <c r="C39" s="10">
        <v>3.35</v>
      </c>
      <c r="D39" s="10">
        <v>14.4</v>
      </c>
      <c r="E39" s="10">
        <v>37.1</v>
      </c>
      <c r="F39" s="10">
        <v>13</v>
      </c>
      <c r="G39" s="10">
        <v>1</v>
      </c>
      <c r="H39" s="10">
        <v>1</v>
      </c>
      <c r="I39" s="10">
        <v>1</v>
      </c>
      <c r="J39">
        <v>2014</v>
      </c>
      <c r="K39">
        <v>2</v>
      </c>
      <c r="L39">
        <v>276</v>
      </c>
      <c r="M39" t="s">
        <v>57</v>
      </c>
    </row>
    <row r="40" spans="1:13">
      <c r="A40" t="s">
        <v>97</v>
      </c>
      <c r="B40" s="10">
        <v>4</v>
      </c>
      <c r="C40" s="10">
        <v>3</v>
      </c>
      <c r="D40" s="10">
        <v>2</v>
      </c>
      <c r="E40" s="10">
        <v>31.5</v>
      </c>
      <c r="F40" s="10">
        <v>10</v>
      </c>
      <c r="G40" s="10">
        <v>0</v>
      </c>
      <c r="H40" s="10">
        <v>6</v>
      </c>
      <c r="I40" s="10">
        <v>0</v>
      </c>
      <c r="J40">
        <v>2014</v>
      </c>
      <c r="K40">
        <v>2</v>
      </c>
      <c r="L40">
        <v>276</v>
      </c>
      <c r="M40" t="s">
        <v>59</v>
      </c>
    </row>
    <row r="41" spans="1:13">
      <c r="A41" t="s">
        <v>98</v>
      </c>
      <c r="B41" s="10">
        <v>5</v>
      </c>
      <c r="C41" s="10">
        <v>10.33</v>
      </c>
      <c r="D41" s="10">
        <v>8.5</v>
      </c>
      <c r="E41" s="10">
        <v>40.1</v>
      </c>
      <c r="F41" s="10">
        <v>20</v>
      </c>
      <c r="G41" s="10">
        <v>3</v>
      </c>
      <c r="H41" s="10">
        <v>3</v>
      </c>
      <c r="I41" s="10">
        <v>1</v>
      </c>
      <c r="J41">
        <v>2014</v>
      </c>
      <c r="K41">
        <v>2</v>
      </c>
      <c r="L41">
        <v>276</v>
      </c>
      <c r="M41" t="s">
        <v>61</v>
      </c>
    </row>
    <row r="42" spans="1:13">
      <c r="A42" t="s">
        <v>99</v>
      </c>
      <c r="B42" s="10">
        <v>10</v>
      </c>
      <c r="C42" s="10">
        <v>6.99</v>
      </c>
      <c r="D42" s="10">
        <v>13.3</v>
      </c>
      <c r="E42" s="10">
        <v>44.6</v>
      </c>
      <c r="F42" s="10">
        <v>20</v>
      </c>
      <c r="G42" s="10">
        <v>2</v>
      </c>
      <c r="H42" s="10">
        <v>6</v>
      </c>
      <c r="I42" s="10">
        <v>2.2</v>
      </c>
      <c r="J42">
        <v>2014</v>
      </c>
      <c r="K42">
        <v>2</v>
      </c>
      <c r="L42">
        <v>276</v>
      </c>
      <c r="M42" t="s">
        <v>63</v>
      </c>
    </row>
    <row r="43" spans="1:13">
      <c r="A43" t="s">
        <v>100</v>
      </c>
      <c r="B43" s="10">
        <v>9</v>
      </c>
      <c r="C43" s="10">
        <v>1.67</v>
      </c>
      <c r="D43" s="10">
        <v>9.1</v>
      </c>
      <c r="E43" s="10">
        <v>73.59999999999999</v>
      </c>
      <c r="F43" s="10">
        <v>9</v>
      </c>
      <c r="G43" s="10">
        <v>0</v>
      </c>
      <c r="H43" s="10">
        <v>5</v>
      </c>
      <c r="I43" s="10">
        <v>0</v>
      </c>
      <c r="J43">
        <v>2014</v>
      </c>
      <c r="K43">
        <v>2</v>
      </c>
      <c r="L43">
        <v>276</v>
      </c>
      <c r="M43" t="s">
        <v>65</v>
      </c>
    </row>
    <row r="44" spans="1:13">
      <c r="A44" t="s">
        <v>101</v>
      </c>
      <c r="B44" s="10">
        <v>4.33</v>
      </c>
      <c r="C44" s="10">
        <v>3.67</v>
      </c>
      <c r="D44" s="10">
        <v>10</v>
      </c>
      <c r="E44" s="10">
        <v>49.1</v>
      </c>
      <c r="F44" s="10">
        <v>13</v>
      </c>
      <c r="G44" s="10">
        <v>3</v>
      </c>
      <c r="H44" s="10">
        <v>0</v>
      </c>
      <c r="I44" s="10">
        <v>1</v>
      </c>
      <c r="J44">
        <v>2014</v>
      </c>
      <c r="K44">
        <v>2</v>
      </c>
      <c r="L44">
        <v>276</v>
      </c>
      <c r="M44" t="s">
        <v>53</v>
      </c>
    </row>
    <row r="45" spans="1:13">
      <c r="A45" t="s">
        <v>102</v>
      </c>
      <c r="B45" s="10">
        <v>4</v>
      </c>
      <c r="C45" s="10">
        <v>4.01</v>
      </c>
      <c r="D45" s="10">
        <v>3.2</v>
      </c>
      <c r="E45" s="10">
        <v>42.3</v>
      </c>
      <c r="F45" s="10">
        <v>13</v>
      </c>
      <c r="G45" s="10">
        <v>4</v>
      </c>
      <c r="H45" s="10">
        <v>0</v>
      </c>
      <c r="I45" s="10">
        <v>6</v>
      </c>
      <c r="J45">
        <v>2014</v>
      </c>
      <c r="K45">
        <v>2</v>
      </c>
      <c r="L45">
        <v>276</v>
      </c>
      <c r="M45" t="s">
        <v>55</v>
      </c>
    </row>
    <row r="46" spans="1:13">
      <c r="A46" t="s">
        <v>103</v>
      </c>
      <c r="B46" s="10">
        <v>1</v>
      </c>
      <c r="C46" s="10">
        <v>2.34</v>
      </c>
      <c r="D46" s="10">
        <v>2</v>
      </c>
      <c r="E46" s="10">
        <v>37</v>
      </c>
      <c r="F46" s="10">
        <v>9</v>
      </c>
      <c r="G46" s="10">
        <v>0</v>
      </c>
      <c r="H46" s="10">
        <v>1</v>
      </c>
      <c r="I46" s="10">
        <v>5</v>
      </c>
      <c r="J46">
        <v>2014</v>
      </c>
      <c r="K46">
        <v>2</v>
      </c>
      <c r="L46">
        <v>276</v>
      </c>
      <c r="M46" t="s">
        <v>57</v>
      </c>
    </row>
    <row r="47" spans="1:13">
      <c r="A47" t="s">
        <v>104</v>
      </c>
      <c r="B47" s="10">
        <v>0</v>
      </c>
      <c r="C47" s="10">
        <v>1.68</v>
      </c>
      <c r="D47" s="10">
        <v>1.2</v>
      </c>
      <c r="E47" s="10">
        <v>34</v>
      </c>
      <c r="F47" s="10">
        <v>5</v>
      </c>
      <c r="G47" s="10">
        <v>2</v>
      </c>
      <c r="H47" s="10">
        <v>3</v>
      </c>
      <c r="I47" s="10">
        <v>1</v>
      </c>
      <c r="J47">
        <v>2014</v>
      </c>
      <c r="K47">
        <v>2</v>
      </c>
      <c r="L47">
        <v>276</v>
      </c>
      <c r="M47" t="s">
        <v>59</v>
      </c>
    </row>
    <row r="48" spans="1:13">
      <c r="A48" t="s">
        <v>105</v>
      </c>
      <c r="B48" s="10">
        <v>7.34</v>
      </c>
      <c r="C48" s="10">
        <v>4</v>
      </c>
      <c r="D48" s="10">
        <v>12.7</v>
      </c>
      <c r="E48" s="10">
        <v>27</v>
      </c>
      <c r="F48" s="10">
        <v>13</v>
      </c>
      <c r="G48" s="10">
        <v>1</v>
      </c>
      <c r="H48" s="10">
        <v>7</v>
      </c>
      <c r="I48" s="10">
        <v>0</v>
      </c>
      <c r="J48">
        <v>2014</v>
      </c>
      <c r="K48">
        <v>2</v>
      </c>
      <c r="L48">
        <v>276</v>
      </c>
      <c r="M48" t="s">
        <v>61</v>
      </c>
    </row>
    <row r="49" spans="1:13">
      <c r="A49" t="s">
        <v>106</v>
      </c>
      <c r="B49" s="10">
        <v>7.34</v>
      </c>
      <c r="C49" s="10">
        <v>7.36</v>
      </c>
      <c r="D49" s="10">
        <v>6.1</v>
      </c>
      <c r="E49" s="10">
        <v>45</v>
      </c>
      <c r="F49" s="10">
        <v>14</v>
      </c>
      <c r="G49" s="10">
        <v>0</v>
      </c>
      <c r="H49" s="10">
        <v>13</v>
      </c>
      <c r="I49" s="10">
        <v>5</v>
      </c>
      <c r="J49">
        <v>2014</v>
      </c>
      <c r="K49">
        <v>2</v>
      </c>
      <c r="L49">
        <v>276</v>
      </c>
      <c r="M49" t="s">
        <v>63</v>
      </c>
    </row>
    <row r="50" spans="1:13">
      <c r="A50" t="s">
        <v>107</v>
      </c>
      <c r="B50" s="10">
        <v>3.33</v>
      </c>
      <c r="C50" s="10">
        <v>5.02</v>
      </c>
      <c r="D50" s="10">
        <v>5.5</v>
      </c>
      <c r="E50" s="10">
        <v>66.8</v>
      </c>
      <c r="F50" s="10">
        <v>17</v>
      </c>
      <c r="G50" s="10">
        <v>1</v>
      </c>
      <c r="H50" s="10">
        <v>6</v>
      </c>
      <c r="I50" s="10">
        <v>1</v>
      </c>
      <c r="J50">
        <v>2014</v>
      </c>
      <c r="K50">
        <v>2</v>
      </c>
      <c r="L50">
        <v>276</v>
      </c>
      <c r="M50" t="s">
        <v>65</v>
      </c>
    </row>
    <row r="51" spans="1:13">
      <c r="A51" t="s">
        <v>108</v>
      </c>
      <c r="B51" s="10">
        <v>7</v>
      </c>
      <c r="C51" s="10">
        <v>7.02</v>
      </c>
      <c r="D51" s="10">
        <v>3.2</v>
      </c>
      <c r="E51" s="10">
        <v>21.5</v>
      </c>
      <c r="F51" s="10">
        <v>16</v>
      </c>
      <c r="G51" s="10">
        <v>3</v>
      </c>
      <c r="H51" s="10">
        <v>8</v>
      </c>
      <c r="I51" s="10">
        <v>1</v>
      </c>
      <c r="J51">
        <v>2014</v>
      </c>
      <c r="K51">
        <v>2</v>
      </c>
      <c r="L51">
        <v>276</v>
      </c>
      <c r="M51" t="s">
        <v>53</v>
      </c>
    </row>
    <row r="52" spans="1:13">
      <c r="A52" t="s">
        <v>109</v>
      </c>
      <c r="B52" s="10">
        <v>6</v>
      </c>
      <c r="C52" s="10">
        <v>4.34</v>
      </c>
      <c r="D52" s="10">
        <v>9</v>
      </c>
      <c r="E52" s="10">
        <v>25.4</v>
      </c>
      <c r="F52" s="10">
        <v>17</v>
      </c>
      <c r="G52" s="10">
        <v>0</v>
      </c>
      <c r="H52" s="10">
        <v>0</v>
      </c>
      <c r="I52" s="10">
        <v>0</v>
      </c>
      <c r="J52">
        <v>2014</v>
      </c>
      <c r="K52">
        <v>2</v>
      </c>
      <c r="L52">
        <v>276</v>
      </c>
      <c r="M52" t="s">
        <v>55</v>
      </c>
    </row>
    <row r="53" spans="1:13">
      <c r="A53" t="s">
        <v>110</v>
      </c>
      <c r="B53" s="10">
        <v>7</v>
      </c>
      <c r="C53" s="10">
        <v>3.17</v>
      </c>
      <c r="D53" s="10">
        <v>5.7</v>
      </c>
      <c r="E53" s="10">
        <v>26</v>
      </c>
      <c r="F53" s="10">
        <v>12</v>
      </c>
      <c r="G53" s="10">
        <v>0</v>
      </c>
      <c r="H53" s="10">
        <v>1</v>
      </c>
      <c r="I53" s="10">
        <v>0</v>
      </c>
      <c r="J53">
        <v>2014</v>
      </c>
      <c r="K53">
        <v>2</v>
      </c>
      <c r="L53">
        <v>276</v>
      </c>
      <c r="M53" t="s">
        <v>57</v>
      </c>
    </row>
    <row r="54" spans="1:13">
      <c r="A54" t="s">
        <v>111</v>
      </c>
      <c r="B54" s="10">
        <v>1</v>
      </c>
      <c r="C54" s="10">
        <v>3.34</v>
      </c>
      <c r="D54" s="10">
        <v>2</v>
      </c>
      <c r="E54" s="10">
        <v>21</v>
      </c>
      <c r="F54" s="10">
        <v>10</v>
      </c>
      <c r="G54" s="10">
        <v>0</v>
      </c>
      <c r="H54" s="10">
        <v>0</v>
      </c>
      <c r="I54" s="10">
        <v>0</v>
      </c>
      <c r="J54">
        <v>2014</v>
      </c>
      <c r="K54">
        <v>2</v>
      </c>
      <c r="L54">
        <v>276</v>
      </c>
      <c r="M54" t="s">
        <v>59</v>
      </c>
    </row>
    <row r="55" spans="1:13">
      <c r="A55" t="s">
        <v>112</v>
      </c>
      <c r="B55" s="10">
        <v>7</v>
      </c>
      <c r="C55" s="10">
        <v>4.68</v>
      </c>
      <c r="D55" s="10">
        <v>5.5</v>
      </c>
      <c r="E55" s="10">
        <v>26.5</v>
      </c>
      <c r="F55" s="10">
        <v>4</v>
      </c>
      <c r="G55" s="10">
        <v>0</v>
      </c>
      <c r="H55" s="10">
        <v>0</v>
      </c>
      <c r="I55" s="10">
        <v>3</v>
      </c>
      <c r="J55">
        <v>2014</v>
      </c>
      <c r="K55">
        <v>2</v>
      </c>
      <c r="L55">
        <v>276</v>
      </c>
      <c r="M55" t="s">
        <v>61</v>
      </c>
    </row>
    <row r="56" spans="1:13">
      <c r="A56" t="s">
        <v>113</v>
      </c>
      <c r="B56" s="10">
        <v>5</v>
      </c>
      <c r="C56" s="10">
        <v>1.68</v>
      </c>
      <c r="D56" s="10">
        <v>11.2</v>
      </c>
      <c r="E56" s="10">
        <v>34.5</v>
      </c>
      <c r="F56" s="10">
        <v>13</v>
      </c>
      <c r="G56" s="10">
        <v>0</v>
      </c>
      <c r="H56" s="10">
        <v>0</v>
      </c>
      <c r="I56" s="10">
        <v>2</v>
      </c>
      <c r="J56">
        <v>2014</v>
      </c>
      <c r="K56">
        <v>2</v>
      </c>
      <c r="L56">
        <v>276</v>
      </c>
      <c r="M56" t="s">
        <v>63</v>
      </c>
    </row>
    <row r="57" spans="1:13">
      <c r="A57" t="s">
        <v>114</v>
      </c>
      <c r="B57" s="10">
        <v>5</v>
      </c>
      <c r="C57" s="10">
        <v>4.01</v>
      </c>
      <c r="D57" s="10">
        <v>1</v>
      </c>
      <c r="E57" s="10">
        <v>34</v>
      </c>
      <c r="F57" s="10">
        <v>5</v>
      </c>
      <c r="G57" s="10">
        <v>0</v>
      </c>
      <c r="H57" s="10">
        <v>12</v>
      </c>
      <c r="I57" s="10">
        <v>1</v>
      </c>
      <c r="J57">
        <v>2014</v>
      </c>
      <c r="K57">
        <v>2</v>
      </c>
      <c r="L57">
        <v>276</v>
      </c>
      <c r="M57" t="s">
        <v>65</v>
      </c>
    </row>
    <row r="58" spans="1:13">
      <c r="A58" t="s">
        <v>115</v>
      </c>
      <c r="B58" s="10">
        <v>3</v>
      </c>
      <c r="C58" s="10">
        <v>6.34</v>
      </c>
      <c r="D58" s="10">
        <v>4</v>
      </c>
      <c r="E58" s="10">
        <v>33.2</v>
      </c>
      <c r="F58" s="10">
        <v>8</v>
      </c>
      <c r="G58" s="10">
        <v>1</v>
      </c>
      <c r="H58" s="10">
        <v>2</v>
      </c>
      <c r="I58" s="10">
        <v>1</v>
      </c>
      <c r="J58">
        <v>2014</v>
      </c>
      <c r="K58">
        <v>2</v>
      </c>
      <c r="L58">
        <v>276</v>
      </c>
      <c r="M58" t="s">
        <v>53</v>
      </c>
    </row>
    <row r="59" spans="1:13">
      <c r="A59" t="s">
        <v>116</v>
      </c>
      <c r="B59" s="10">
        <v>7</v>
      </c>
      <c r="C59" s="10">
        <v>7.36</v>
      </c>
      <c r="D59" s="10">
        <v>5.3</v>
      </c>
      <c r="E59" s="10">
        <v>37</v>
      </c>
      <c r="F59" s="10">
        <v>12</v>
      </c>
      <c r="G59" s="10">
        <v>1</v>
      </c>
      <c r="H59" s="10">
        <v>2</v>
      </c>
      <c r="I59" s="10">
        <v>0</v>
      </c>
      <c r="J59">
        <v>2014</v>
      </c>
      <c r="K59">
        <v>2</v>
      </c>
      <c r="L59">
        <v>276</v>
      </c>
      <c r="M59" t="s">
        <v>55</v>
      </c>
    </row>
    <row r="60" spans="1:13">
      <c r="A60" t="s">
        <v>117</v>
      </c>
      <c r="B60" s="10">
        <v>6.34</v>
      </c>
      <c r="C60" s="10">
        <v>3.68</v>
      </c>
      <c r="D60" s="10">
        <v>11.355</v>
      </c>
      <c r="E60" s="10">
        <v>50.7</v>
      </c>
      <c r="F60" s="10">
        <v>8</v>
      </c>
      <c r="G60" s="10">
        <v>0</v>
      </c>
      <c r="H60" s="10">
        <v>0</v>
      </c>
      <c r="I60" s="10">
        <v>2.1</v>
      </c>
      <c r="J60">
        <v>2014</v>
      </c>
      <c r="K60">
        <v>3</v>
      </c>
      <c r="L60">
        <v>276</v>
      </c>
      <c r="M60" t="s">
        <v>57</v>
      </c>
    </row>
    <row r="61" spans="1:13">
      <c r="A61" t="s">
        <v>118</v>
      </c>
      <c r="B61" s="10">
        <v>3.34</v>
      </c>
      <c r="C61" s="10">
        <v>1</v>
      </c>
      <c r="D61" s="10">
        <v>2</v>
      </c>
      <c r="E61" s="10">
        <v>6.6</v>
      </c>
      <c r="F61" s="10">
        <v>2</v>
      </c>
      <c r="G61" s="10">
        <v>0</v>
      </c>
      <c r="H61" s="10">
        <v>0</v>
      </c>
      <c r="I61" s="10">
        <v>1</v>
      </c>
      <c r="J61">
        <v>2014</v>
      </c>
      <c r="K61">
        <v>3</v>
      </c>
      <c r="L61">
        <v>276</v>
      </c>
      <c r="M61" t="s">
        <v>59</v>
      </c>
    </row>
    <row r="62" spans="1:13">
      <c r="A62" t="s">
        <v>119</v>
      </c>
      <c r="B62" s="10">
        <v>4</v>
      </c>
      <c r="C62" s="10">
        <v>3.68</v>
      </c>
      <c r="D62" s="10">
        <v>1.6</v>
      </c>
      <c r="E62" s="10">
        <v>22.1</v>
      </c>
      <c r="F62" s="10">
        <v>1</v>
      </c>
      <c r="G62" s="10">
        <v>2</v>
      </c>
      <c r="H62" s="10">
        <v>0</v>
      </c>
      <c r="I62" s="10">
        <v>2.2</v>
      </c>
      <c r="J62">
        <v>2014</v>
      </c>
      <c r="K62">
        <v>3</v>
      </c>
      <c r="L62">
        <v>276</v>
      </c>
      <c r="M62" t="s">
        <v>61</v>
      </c>
    </row>
    <row r="63" spans="1:13">
      <c r="A63" t="s">
        <v>120</v>
      </c>
      <c r="B63" s="10">
        <v>5.34</v>
      </c>
      <c r="C63" s="10">
        <v>7.02</v>
      </c>
      <c r="D63" s="10">
        <v>7.2</v>
      </c>
      <c r="E63" s="10">
        <v>47.275</v>
      </c>
      <c r="F63" s="10">
        <v>9</v>
      </c>
      <c r="G63" s="10">
        <v>0</v>
      </c>
      <c r="H63" s="10">
        <v>5</v>
      </c>
      <c r="I63" s="10">
        <v>4</v>
      </c>
      <c r="J63">
        <v>2014</v>
      </c>
      <c r="K63">
        <v>3</v>
      </c>
      <c r="L63">
        <v>276</v>
      </c>
      <c r="M63" t="s">
        <v>63</v>
      </c>
    </row>
    <row r="64" spans="1:13">
      <c r="A64" t="s">
        <v>121</v>
      </c>
      <c r="B64" s="10">
        <v>3.34</v>
      </c>
      <c r="C64" s="10">
        <v>1</v>
      </c>
      <c r="D64" s="10">
        <v>3</v>
      </c>
      <c r="E64" s="10">
        <v>25</v>
      </c>
      <c r="F64" s="10">
        <v>4</v>
      </c>
      <c r="G64" s="10">
        <v>0</v>
      </c>
      <c r="H64" s="10">
        <v>1</v>
      </c>
      <c r="I64" s="10">
        <v>0</v>
      </c>
      <c r="J64">
        <v>2014</v>
      </c>
      <c r="K64">
        <v>3</v>
      </c>
      <c r="L64">
        <v>276</v>
      </c>
      <c r="M64" t="s">
        <v>65</v>
      </c>
    </row>
    <row r="65" spans="1:13">
      <c r="A65" t="s">
        <v>122</v>
      </c>
      <c r="B65" s="10">
        <v>3</v>
      </c>
      <c r="C65" s="10">
        <v>2</v>
      </c>
      <c r="D65" s="10">
        <v>5.5</v>
      </c>
      <c r="E65" s="10">
        <v>44.1</v>
      </c>
      <c r="F65" s="10">
        <v>17</v>
      </c>
      <c r="G65" s="10">
        <v>1</v>
      </c>
      <c r="H65" s="10">
        <v>5</v>
      </c>
      <c r="I65" s="10">
        <v>1</v>
      </c>
      <c r="J65">
        <v>2014</v>
      </c>
      <c r="K65">
        <v>3</v>
      </c>
      <c r="L65">
        <v>276</v>
      </c>
      <c r="M65" t="s">
        <v>53</v>
      </c>
    </row>
    <row r="66" spans="1:13">
      <c r="A66" t="s">
        <v>123</v>
      </c>
      <c r="B66" s="10">
        <v>4</v>
      </c>
      <c r="C66" s="10">
        <v>4.34</v>
      </c>
      <c r="D66" s="10">
        <v>9.5</v>
      </c>
      <c r="E66" s="10">
        <v>25</v>
      </c>
      <c r="F66" s="10">
        <v>3</v>
      </c>
      <c r="G66" s="10">
        <v>1</v>
      </c>
      <c r="H66" s="10">
        <v>0</v>
      </c>
      <c r="I66" s="10">
        <v>2</v>
      </c>
      <c r="J66">
        <v>2014</v>
      </c>
      <c r="K66">
        <v>3</v>
      </c>
      <c r="L66">
        <v>276</v>
      </c>
      <c r="M66" t="s">
        <v>55</v>
      </c>
    </row>
    <row r="67" spans="1:13">
      <c r="A67" t="s">
        <v>124</v>
      </c>
      <c r="B67" s="10">
        <v>4.34</v>
      </c>
      <c r="C67" s="10">
        <v>3.07</v>
      </c>
      <c r="D67" s="10">
        <v>1</v>
      </c>
      <c r="E67" s="10">
        <v>27.6</v>
      </c>
      <c r="F67" s="10">
        <v>11</v>
      </c>
      <c r="G67" s="10">
        <v>0</v>
      </c>
      <c r="H67" s="10">
        <v>0</v>
      </c>
      <c r="I67" s="10">
        <v>0</v>
      </c>
      <c r="J67">
        <v>2014</v>
      </c>
      <c r="K67">
        <v>3</v>
      </c>
      <c r="L67">
        <v>276</v>
      </c>
      <c r="M67" t="s">
        <v>57</v>
      </c>
    </row>
    <row r="68" spans="1:13">
      <c r="A68" t="s">
        <v>125</v>
      </c>
      <c r="B68" s="10">
        <v>1</v>
      </c>
      <c r="C68" s="10">
        <v>0</v>
      </c>
      <c r="D68" s="10">
        <v>4</v>
      </c>
      <c r="E68" s="10">
        <v>11.3</v>
      </c>
      <c r="F68" s="10">
        <v>3</v>
      </c>
      <c r="G68" s="10">
        <v>0</v>
      </c>
      <c r="H68" s="10">
        <v>5</v>
      </c>
      <c r="I68" s="10">
        <v>0</v>
      </c>
      <c r="J68">
        <v>2014</v>
      </c>
      <c r="K68">
        <v>3</v>
      </c>
      <c r="L68">
        <v>276</v>
      </c>
      <c r="M68" t="s">
        <v>59</v>
      </c>
    </row>
    <row r="69" spans="1:13">
      <c r="A69" t="s">
        <v>126</v>
      </c>
      <c r="B69" s="10">
        <v>6.68</v>
      </c>
      <c r="C69" s="10">
        <v>5.35</v>
      </c>
      <c r="D69" s="10">
        <v>3.8</v>
      </c>
      <c r="E69" s="10">
        <v>47</v>
      </c>
      <c r="F69" s="10">
        <v>11</v>
      </c>
      <c r="G69" s="10">
        <v>0</v>
      </c>
      <c r="H69" s="10">
        <v>0</v>
      </c>
      <c r="I69" s="10">
        <v>2</v>
      </c>
      <c r="J69">
        <v>2014</v>
      </c>
      <c r="K69">
        <v>3</v>
      </c>
      <c r="L69">
        <v>276</v>
      </c>
      <c r="M69" t="s">
        <v>61</v>
      </c>
    </row>
    <row r="70" spans="1:13">
      <c r="A70" t="s">
        <v>127</v>
      </c>
      <c r="B70" s="10">
        <v>6</v>
      </c>
      <c r="C70" s="10">
        <v>5.7</v>
      </c>
      <c r="D70" s="10">
        <v>7</v>
      </c>
      <c r="E70" s="10">
        <v>30.4</v>
      </c>
      <c r="F70" s="10">
        <v>12</v>
      </c>
      <c r="G70" s="10">
        <v>1</v>
      </c>
      <c r="H70" s="10">
        <v>1</v>
      </c>
      <c r="I70" s="10">
        <v>5</v>
      </c>
      <c r="J70">
        <v>2014</v>
      </c>
      <c r="K70">
        <v>3</v>
      </c>
      <c r="L70">
        <v>276</v>
      </c>
      <c r="M70" t="s">
        <v>63</v>
      </c>
    </row>
    <row r="71" spans="1:13">
      <c r="A71" t="s">
        <v>128</v>
      </c>
      <c r="B71" s="10">
        <v>6.34</v>
      </c>
      <c r="C71" s="10">
        <v>2.68</v>
      </c>
      <c r="D71" s="10">
        <v>6.5</v>
      </c>
      <c r="E71" s="10">
        <v>19.6</v>
      </c>
      <c r="F71" s="10">
        <v>22</v>
      </c>
      <c r="G71" s="10">
        <v>3</v>
      </c>
      <c r="H71" s="10">
        <v>2</v>
      </c>
      <c r="I71" s="10">
        <v>2</v>
      </c>
      <c r="J71">
        <v>2014</v>
      </c>
      <c r="K71">
        <v>3</v>
      </c>
      <c r="L71">
        <v>276</v>
      </c>
      <c r="M71" t="s">
        <v>65</v>
      </c>
    </row>
    <row r="72" spans="1:13">
      <c r="A72" t="s">
        <v>129</v>
      </c>
      <c r="B72" s="10">
        <v>2.31</v>
      </c>
      <c r="C72" s="10">
        <v>4.36</v>
      </c>
      <c r="D72" s="10">
        <v>5.3</v>
      </c>
      <c r="E72" s="10">
        <v>15.5</v>
      </c>
      <c r="F72" s="10">
        <v>10</v>
      </c>
      <c r="G72" s="10">
        <v>0</v>
      </c>
      <c r="H72" s="10">
        <v>26</v>
      </c>
      <c r="I72" s="10">
        <v>2</v>
      </c>
      <c r="J72">
        <v>2014</v>
      </c>
      <c r="K72">
        <v>3</v>
      </c>
      <c r="L72">
        <v>276</v>
      </c>
      <c r="M72" t="s">
        <v>53</v>
      </c>
    </row>
    <row r="73" spans="1:13">
      <c r="A73" t="s">
        <v>130</v>
      </c>
      <c r="B73" s="10">
        <v>4.34</v>
      </c>
      <c r="C73" s="10">
        <v>1.68</v>
      </c>
      <c r="D73" s="10">
        <v>1.2</v>
      </c>
      <c r="E73" s="10">
        <v>16</v>
      </c>
      <c r="F73" s="10">
        <v>11</v>
      </c>
      <c r="G73" s="10">
        <v>0</v>
      </c>
      <c r="H73" s="10">
        <v>1</v>
      </c>
      <c r="I73" s="10">
        <v>2</v>
      </c>
      <c r="J73">
        <v>2014</v>
      </c>
      <c r="K73">
        <v>3</v>
      </c>
      <c r="L73">
        <v>276</v>
      </c>
      <c r="M73" t="s">
        <v>55</v>
      </c>
    </row>
    <row r="74" spans="1:13">
      <c r="A74" t="s">
        <v>131</v>
      </c>
      <c r="B74" s="10">
        <v>4</v>
      </c>
      <c r="C74" s="10">
        <v>2</v>
      </c>
      <c r="D74" s="10">
        <v>11</v>
      </c>
      <c r="E74" s="10">
        <v>23.3</v>
      </c>
      <c r="F74" s="10">
        <v>18</v>
      </c>
      <c r="G74" s="10">
        <v>1</v>
      </c>
      <c r="H74" s="10">
        <v>6</v>
      </c>
      <c r="I74" s="10">
        <v>2</v>
      </c>
      <c r="J74">
        <v>2014</v>
      </c>
      <c r="K74">
        <v>3</v>
      </c>
      <c r="L74">
        <v>276</v>
      </c>
      <c r="M74" t="s">
        <v>57</v>
      </c>
    </row>
    <row r="75" spans="1:13">
      <c r="A75" t="s">
        <v>132</v>
      </c>
      <c r="B75" s="10">
        <v>2.68</v>
      </c>
      <c r="C75" s="10">
        <v>2</v>
      </c>
      <c r="D75" s="10">
        <v>1.4</v>
      </c>
      <c r="E75" s="10">
        <v>13</v>
      </c>
      <c r="F75" s="10">
        <v>6</v>
      </c>
      <c r="G75" s="10">
        <v>0</v>
      </c>
      <c r="H75" s="10">
        <v>0</v>
      </c>
      <c r="I75" s="10">
        <v>4</v>
      </c>
      <c r="J75">
        <v>2014</v>
      </c>
      <c r="K75">
        <v>3</v>
      </c>
      <c r="L75">
        <v>276</v>
      </c>
      <c r="M75" t="s">
        <v>59</v>
      </c>
    </row>
    <row r="76" spans="1:13">
      <c r="A76" t="s">
        <v>133</v>
      </c>
      <c r="B76" s="10">
        <v>8.68</v>
      </c>
      <c r="C76" s="10">
        <v>3.34</v>
      </c>
      <c r="D76" s="10">
        <v>7</v>
      </c>
      <c r="E76" s="10">
        <v>37</v>
      </c>
      <c r="F76" s="10">
        <v>6</v>
      </c>
      <c r="G76" s="10">
        <v>1</v>
      </c>
      <c r="H76" s="10">
        <v>0</v>
      </c>
      <c r="I76" s="10">
        <v>1</v>
      </c>
      <c r="J76">
        <v>2014</v>
      </c>
      <c r="K76">
        <v>3</v>
      </c>
      <c r="L76">
        <v>276</v>
      </c>
      <c r="M76" t="s">
        <v>61</v>
      </c>
    </row>
    <row r="77" spans="1:13">
      <c r="A77" t="s">
        <v>134</v>
      </c>
      <c r="B77" s="10">
        <v>8</v>
      </c>
      <c r="C77" s="10">
        <v>4</v>
      </c>
      <c r="D77" s="10">
        <v>5</v>
      </c>
      <c r="E77" s="10">
        <v>20.1</v>
      </c>
      <c r="F77" s="10">
        <v>9</v>
      </c>
      <c r="G77" s="10">
        <v>0</v>
      </c>
      <c r="H77" s="10">
        <v>0</v>
      </c>
      <c r="I77" s="10">
        <v>4</v>
      </c>
      <c r="J77">
        <v>2014</v>
      </c>
      <c r="K77">
        <v>3</v>
      </c>
      <c r="L77">
        <v>276</v>
      </c>
      <c r="M77" t="s">
        <v>63</v>
      </c>
    </row>
    <row r="78" spans="1:13">
      <c r="A78" t="s">
        <v>135</v>
      </c>
      <c r="B78" s="10">
        <v>4</v>
      </c>
      <c r="C78" s="10">
        <v>3.02</v>
      </c>
      <c r="D78" s="10">
        <v>4</v>
      </c>
      <c r="E78" s="10">
        <v>21.8</v>
      </c>
      <c r="F78" s="10">
        <v>2</v>
      </c>
      <c r="G78" s="10">
        <v>0</v>
      </c>
      <c r="H78" s="10">
        <v>0</v>
      </c>
      <c r="I78" s="10">
        <v>2</v>
      </c>
      <c r="J78">
        <v>2014</v>
      </c>
      <c r="K78">
        <v>3</v>
      </c>
      <c r="L78">
        <v>276</v>
      </c>
      <c r="M78" t="s">
        <v>65</v>
      </c>
    </row>
    <row r="79" spans="1:13">
      <c r="A79" t="s">
        <v>136</v>
      </c>
      <c r="B79" s="10">
        <v>3</v>
      </c>
      <c r="C79" s="10">
        <v>5.34</v>
      </c>
      <c r="D79" s="10">
        <v>1.6</v>
      </c>
      <c r="E79" s="10">
        <v>38.2</v>
      </c>
      <c r="F79" s="10">
        <v>5</v>
      </c>
      <c r="G79" s="10">
        <v>0</v>
      </c>
      <c r="H79" s="10">
        <v>7</v>
      </c>
      <c r="I79" s="10">
        <v>4.2</v>
      </c>
      <c r="J79">
        <v>2014</v>
      </c>
      <c r="K79">
        <v>3</v>
      </c>
      <c r="L79">
        <v>276</v>
      </c>
      <c r="M79" t="s">
        <v>53</v>
      </c>
    </row>
    <row r="80" spans="1:13">
      <c r="A80" t="s">
        <v>137</v>
      </c>
      <c r="B80" s="10">
        <v>6</v>
      </c>
      <c r="C80" s="10">
        <v>3.68</v>
      </c>
      <c r="D80" s="10">
        <v>4.5</v>
      </c>
      <c r="E80" s="10">
        <v>40</v>
      </c>
      <c r="F80" s="10">
        <v>4</v>
      </c>
      <c r="G80" s="10">
        <v>0</v>
      </c>
      <c r="H80" s="10">
        <v>2</v>
      </c>
      <c r="I80" s="10">
        <v>1</v>
      </c>
      <c r="J80">
        <v>2014</v>
      </c>
      <c r="K80">
        <v>3</v>
      </c>
      <c r="L80">
        <v>276</v>
      </c>
      <c r="M80" t="s">
        <v>55</v>
      </c>
    </row>
    <row r="81" spans="1:13">
      <c r="A81" t="s">
        <v>138</v>
      </c>
      <c r="B81" s="10">
        <v>3.34</v>
      </c>
      <c r="C81" s="10">
        <v>2.34</v>
      </c>
      <c r="D81" s="10">
        <v>0</v>
      </c>
      <c r="E81" s="10">
        <v>26.3</v>
      </c>
      <c r="F81" s="10">
        <v>10</v>
      </c>
      <c r="G81" s="10">
        <v>2</v>
      </c>
      <c r="H81" s="10">
        <v>18</v>
      </c>
      <c r="I81" s="10">
        <v>8.4</v>
      </c>
      <c r="J81">
        <v>2014</v>
      </c>
      <c r="K81">
        <v>3</v>
      </c>
      <c r="L81">
        <v>276</v>
      </c>
      <c r="M81" t="s">
        <v>57</v>
      </c>
    </row>
    <row r="82" spans="1:13">
      <c r="A82" t="s">
        <v>139</v>
      </c>
      <c r="B82" s="10">
        <v>6.34</v>
      </c>
      <c r="C82" s="10">
        <v>2</v>
      </c>
      <c r="D82" s="10">
        <v>4</v>
      </c>
      <c r="E82" s="10">
        <v>19.4</v>
      </c>
      <c r="F82" s="10">
        <v>0</v>
      </c>
      <c r="G82" s="10">
        <v>1</v>
      </c>
      <c r="H82" s="10">
        <v>0</v>
      </c>
      <c r="I82" s="10">
        <v>3</v>
      </c>
      <c r="J82">
        <v>2014</v>
      </c>
      <c r="K82">
        <v>3</v>
      </c>
      <c r="L82">
        <v>276</v>
      </c>
      <c r="M82" t="s">
        <v>59</v>
      </c>
    </row>
    <row r="83" spans="1:13">
      <c r="A83" t="s">
        <v>140</v>
      </c>
      <c r="B83" s="10">
        <v>5.68</v>
      </c>
      <c r="C83" s="10">
        <v>1</v>
      </c>
      <c r="D83" s="10">
        <v>4</v>
      </c>
      <c r="E83" s="10">
        <v>23.6</v>
      </c>
      <c r="F83" s="10">
        <v>7</v>
      </c>
      <c r="G83" s="10">
        <v>0</v>
      </c>
      <c r="H83" s="10">
        <v>6</v>
      </c>
      <c r="I83" s="10">
        <v>3.5</v>
      </c>
      <c r="J83">
        <v>2014</v>
      </c>
      <c r="K83">
        <v>3</v>
      </c>
      <c r="L83">
        <v>276</v>
      </c>
      <c r="M83" t="s">
        <v>61</v>
      </c>
    </row>
    <row r="84" spans="1:13">
      <c r="A84" t="s">
        <v>141</v>
      </c>
      <c r="B84" s="10">
        <v>4</v>
      </c>
      <c r="C84" s="10">
        <v>1.34</v>
      </c>
      <c r="D84" s="10">
        <v>9</v>
      </c>
      <c r="E84" s="10">
        <v>38.6</v>
      </c>
      <c r="F84" s="10">
        <v>7</v>
      </c>
      <c r="G84" s="10">
        <v>0</v>
      </c>
      <c r="H84" s="10">
        <v>1</v>
      </c>
      <c r="I84" s="10">
        <v>1</v>
      </c>
      <c r="J84">
        <v>2014</v>
      </c>
      <c r="K84">
        <v>3</v>
      </c>
      <c r="L84">
        <v>276</v>
      </c>
      <c r="M84" t="s">
        <v>63</v>
      </c>
    </row>
    <row r="85" spans="1:13">
      <c r="A85" t="s">
        <v>142</v>
      </c>
      <c r="B85" s="10">
        <v>2.34</v>
      </c>
      <c r="C85" s="10">
        <v>3.99</v>
      </c>
      <c r="D85" s="10">
        <v>9</v>
      </c>
      <c r="E85" s="10">
        <v>6.7</v>
      </c>
      <c r="F85" s="10">
        <v>7</v>
      </c>
      <c r="G85" s="10">
        <v>3</v>
      </c>
      <c r="H85" s="10">
        <v>3</v>
      </c>
      <c r="I85" s="10">
        <v>0</v>
      </c>
      <c r="J85">
        <v>2014</v>
      </c>
      <c r="K85">
        <v>3</v>
      </c>
      <c r="L85">
        <v>276</v>
      </c>
      <c r="M85" t="s">
        <v>65</v>
      </c>
    </row>
    <row r="86" spans="1:13">
      <c r="A86" t="s">
        <v>143</v>
      </c>
      <c r="B86" s="10">
        <v>4</v>
      </c>
      <c r="C86" s="10">
        <v>0.33</v>
      </c>
      <c r="D86" s="10">
        <v>2</v>
      </c>
      <c r="E86" s="10">
        <v>20.7</v>
      </c>
      <c r="F86" s="10">
        <v>6</v>
      </c>
      <c r="G86" s="10">
        <v>1</v>
      </c>
      <c r="H86" s="10">
        <v>1</v>
      </c>
      <c r="I86" s="10">
        <v>5</v>
      </c>
      <c r="J86">
        <v>2014</v>
      </c>
      <c r="K86">
        <v>3</v>
      </c>
      <c r="L86">
        <v>276</v>
      </c>
      <c r="M86" t="s">
        <v>53</v>
      </c>
    </row>
    <row r="87" spans="1:13">
      <c r="A87" t="s">
        <v>144</v>
      </c>
      <c r="B87" s="10">
        <v>2.67</v>
      </c>
      <c r="C87" s="10">
        <v>2</v>
      </c>
      <c r="D87" s="10">
        <v>8</v>
      </c>
      <c r="E87" s="10">
        <v>11</v>
      </c>
      <c r="F87" s="10">
        <v>3</v>
      </c>
      <c r="G87" s="10">
        <v>0</v>
      </c>
      <c r="H87" s="10">
        <v>9</v>
      </c>
      <c r="I87" s="10">
        <v>5</v>
      </c>
      <c r="J87">
        <v>2014</v>
      </c>
      <c r="K87">
        <v>3</v>
      </c>
      <c r="L87">
        <v>276</v>
      </c>
      <c r="M87" t="s">
        <v>55</v>
      </c>
    </row>
    <row r="88" spans="1:13">
      <c r="A88" t="s">
        <v>145</v>
      </c>
      <c r="B88" s="10">
        <v>4</v>
      </c>
      <c r="C88" s="10">
        <v>6.33</v>
      </c>
      <c r="D88" s="10">
        <v>4.2</v>
      </c>
      <c r="E88" s="10">
        <v>24</v>
      </c>
      <c r="F88" s="10">
        <v>8</v>
      </c>
      <c r="G88" s="10">
        <v>2</v>
      </c>
      <c r="H88" s="10">
        <v>9</v>
      </c>
      <c r="I88" s="10">
        <v>3</v>
      </c>
      <c r="J88">
        <v>2014</v>
      </c>
      <c r="K88">
        <v>3</v>
      </c>
      <c r="L88">
        <v>276</v>
      </c>
      <c r="M88" t="s">
        <v>57</v>
      </c>
    </row>
    <row r="89" spans="1:13">
      <c r="A89" t="s">
        <v>146</v>
      </c>
      <c r="B89" s="10">
        <v>3</v>
      </c>
      <c r="C89" s="10">
        <v>2.34</v>
      </c>
      <c r="D89" s="10">
        <v>0</v>
      </c>
      <c r="E89" s="10">
        <v>12</v>
      </c>
      <c r="F89" s="10">
        <v>4</v>
      </c>
      <c r="G89" s="10">
        <v>0</v>
      </c>
      <c r="H89" s="10">
        <v>0</v>
      </c>
      <c r="I89" s="10">
        <v>7</v>
      </c>
      <c r="J89">
        <v>2014</v>
      </c>
      <c r="K89">
        <v>3</v>
      </c>
      <c r="L89">
        <v>276</v>
      </c>
      <c r="M89" t="s">
        <v>59</v>
      </c>
    </row>
    <row r="90" spans="1:13">
      <c r="A90" t="s">
        <v>147</v>
      </c>
      <c r="B90" s="10">
        <v>5.34</v>
      </c>
      <c r="C90" s="10">
        <v>2.34</v>
      </c>
      <c r="D90" s="10">
        <v>4</v>
      </c>
      <c r="E90" s="10">
        <v>15.4</v>
      </c>
      <c r="F90" s="10">
        <v>6</v>
      </c>
      <c r="G90" s="10">
        <v>1</v>
      </c>
      <c r="H90" s="10">
        <v>4</v>
      </c>
      <c r="I90" s="10">
        <v>6</v>
      </c>
      <c r="J90">
        <v>2014</v>
      </c>
      <c r="K90">
        <v>3</v>
      </c>
      <c r="L90">
        <v>276</v>
      </c>
      <c r="M90" t="s">
        <v>61</v>
      </c>
    </row>
    <row r="91" spans="1:13">
      <c r="A91" t="s">
        <v>148</v>
      </c>
      <c r="B91" s="10">
        <v>4.34</v>
      </c>
      <c r="C91" s="10">
        <v>1.34</v>
      </c>
      <c r="D91" s="10">
        <v>6.5</v>
      </c>
      <c r="E91" s="10">
        <v>27.5</v>
      </c>
      <c r="F91" s="10">
        <v>5</v>
      </c>
      <c r="G91" s="10">
        <v>3</v>
      </c>
      <c r="H91" s="10">
        <v>3</v>
      </c>
      <c r="I91" s="10">
        <v>1</v>
      </c>
      <c r="J91">
        <v>2014</v>
      </c>
      <c r="K91">
        <v>4</v>
      </c>
      <c r="L91">
        <v>276</v>
      </c>
      <c r="M91" t="s">
        <v>63</v>
      </c>
    </row>
    <row r="92" spans="1:13">
      <c r="A92" t="s">
        <v>149</v>
      </c>
      <c r="B92" s="10">
        <v>2</v>
      </c>
      <c r="C92" s="10">
        <v>4.68</v>
      </c>
      <c r="D92" s="10">
        <v>8.9</v>
      </c>
      <c r="E92" s="10">
        <v>23</v>
      </c>
      <c r="F92" s="10">
        <v>1</v>
      </c>
      <c r="G92" s="10">
        <v>0</v>
      </c>
      <c r="H92" s="10">
        <v>7</v>
      </c>
      <c r="I92" s="10">
        <v>3</v>
      </c>
      <c r="J92">
        <v>2014</v>
      </c>
      <c r="K92">
        <v>4</v>
      </c>
      <c r="L92">
        <v>276</v>
      </c>
      <c r="M92" t="s">
        <v>65</v>
      </c>
    </row>
    <row r="93" spans="1:13">
      <c r="A93" t="s">
        <v>150</v>
      </c>
      <c r="B93" s="10">
        <v>1</v>
      </c>
      <c r="C93" s="10">
        <v>1.34</v>
      </c>
      <c r="D93" s="10">
        <v>3</v>
      </c>
      <c r="E93" s="10">
        <v>19.2</v>
      </c>
      <c r="F93" s="10">
        <v>4</v>
      </c>
      <c r="G93" s="10">
        <v>0</v>
      </c>
      <c r="H93" s="10">
        <v>0</v>
      </c>
      <c r="I93" s="10">
        <v>4</v>
      </c>
      <c r="J93">
        <v>2014</v>
      </c>
      <c r="K93">
        <v>4</v>
      </c>
      <c r="L93">
        <v>276</v>
      </c>
      <c r="M93" t="s">
        <v>53</v>
      </c>
    </row>
    <row r="94" spans="1:13">
      <c r="A94" t="s">
        <v>151</v>
      </c>
      <c r="B94" s="10">
        <v>3</v>
      </c>
      <c r="C94" s="10">
        <v>3.67</v>
      </c>
      <c r="D94" s="10">
        <v>3</v>
      </c>
      <c r="E94" s="10">
        <v>24</v>
      </c>
      <c r="F94" s="10">
        <v>9</v>
      </c>
      <c r="G94" s="10">
        <v>3</v>
      </c>
      <c r="H94" s="10">
        <v>8</v>
      </c>
      <c r="I94" s="10">
        <v>2</v>
      </c>
      <c r="J94">
        <v>2014</v>
      </c>
      <c r="K94">
        <v>4</v>
      </c>
      <c r="L94">
        <v>276</v>
      </c>
      <c r="M94" t="s">
        <v>55</v>
      </c>
    </row>
    <row r="95" spans="1:13">
      <c r="A95" t="s">
        <v>152</v>
      </c>
      <c r="B95" s="10">
        <v>2</v>
      </c>
      <c r="C95" s="10">
        <v>7.68</v>
      </c>
      <c r="D95" s="10">
        <v>10</v>
      </c>
      <c r="E95" s="10">
        <v>25.6</v>
      </c>
      <c r="F95" s="10">
        <v>5</v>
      </c>
      <c r="G95" s="10">
        <v>0</v>
      </c>
      <c r="H95" s="10">
        <v>5</v>
      </c>
      <c r="I95" s="10">
        <v>3</v>
      </c>
      <c r="J95">
        <v>2014</v>
      </c>
      <c r="K95">
        <v>4</v>
      </c>
      <c r="L95">
        <v>276</v>
      </c>
      <c r="M95" t="s">
        <v>57</v>
      </c>
    </row>
    <row r="96" spans="1:13">
      <c r="A96" t="s">
        <v>153</v>
      </c>
      <c r="B96" s="10">
        <v>2</v>
      </c>
      <c r="C96" s="10">
        <v>1</v>
      </c>
      <c r="D96" s="10">
        <v>1</v>
      </c>
      <c r="E96" s="10">
        <v>19</v>
      </c>
      <c r="F96" s="10">
        <v>1</v>
      </c>
      <c r="G96" s="10">
        <v>0</v>
      </c>
      <c r="H96" s="10">
        <v>0</v>
      </c>
      <c r="I96" s="10">
        <v>1</v>
      </c>
      <c r="J96">
        <v>2014</v>
      </c>
      <c r="K96">
        <v>4</v>
      </c>
      <c r="L96">
        <v>276</v>
      </c>
      <c r="M96" t="s">
        <v>59</v>
      </c>
    </row>
    <row r="97" spans="1:13">
      <c r="A97" t="s">
        <v>154</v>
      </c>
      <c r="B97" s="10">
        <v>6.34</v>
      </c>
      <c r="C97" s="10">
        <v>6</v>
      </c>
      <c r="D97" s="10">
        <v>6.5</v>
      </c>
      <c r="E97" s="10">
        <v>31.5</v>
      </c>
      <c r="F97" s="10">
        <v>4</v>
      </c>
      <c r="G97" s="10">
        <v>0</v>
      </c>
      <c r="H97" s="10">
        <v>0</v>
      </c>
      <c r="I97" s="10">
        <v>1</v>
      </c>
      <c r="J97">
        <v>2014</v>
      </c>
      <c r="K97">
        <v>4</v>
      </c>
      <c r="L97">
        <v>276</v>
      </c>
      <c r="M97" t="s">
        <v>61</v>
      </c>
    </row>
    <row r="98" spans="1:13">
      <c r="A98" t="s">
        <v>155</v>
      </c>
      <c r="B98" s="10">
        <v>4.34</v>
      </c>
      <c r="C98" s="10">
        <v>2.34</v>
      </c>
      <c r="D98" s="10">
        <v>1.7</v>
      </c>
      <c r="E98" s="10">
        <v>19</v>
      </c>
      <c r="F98" s="10">
        <v>6</v>
      </c>
      <c r="G98" s="10">
        <v>1</v>
      </c>
      <c r="H98" s="10">
        <v>0</v>
      </c>
      <c r="I98" s="10">
        <v>4.7</v>
      </c>
      <c r="J98">
        <v>2014</v>
      </c>
      <c r="K98">
        <v>4</v>
      </c>
      <c r="L98">
        <v>276</v>
      </c>
      <c r="M98" t="s">
        <v>63</v>
      </c>
    </row>
    <row r="99" spans="1:13">
      <c r="A99" t="s">
        <v>156</v>
      </c>
      <c r="B99" s="10">
        <v>6</v>
      </c>
      <c r="C99" s="10">
        <v>1.02</v>
      </c>
      <c r="D99" s="10">
        <v>1</v>
      </c>
      <c r="E99" s="10">
        <v>18</v>
      </c>
      <c r="F99" s="10">
        <v>2</v>
      </c>
      <c r="G99" s="10">
        <v>1</v>
      </c>
      <c r="H99" s="10">
        <v>2</v>
      </c>
      <c r="I99" s="10">
        <v>2.6</v>
      </c>
      <c r="J99">
        <v>2014</v>
      </c>
      <c r="K99">
        <v>4</v>
      </c>
      <c r="L99">
        <v>276</v>
      </c>
      <c r="M99" t="s">
        <v>65</v>
      </c>
    </row>
    <row r="100" spans="1:13">
      <c r="A100" t="s">
        <v>157</v>
      </c>
      <c r="B100" s="10">
        <v>3.33</v>
      </c>
      <c r="C100" s="10">
        <v>1.68</v>
      </c>
      <c r="D100" s="10">
        <v>1</v>
      </c>
      <c r="E100" s="10">
        <v>18</v>
      </c>
      <c r="F100" s="10">
        <v>10</v>
      </c>
      <c r="G100" s="10">
        <v>0</v>
      </c>
      <c r="H100" s="10">
        <v>4</v>
      </c>
      <c r="I100" s="10">
        <v>4</v>
      </c>
      <c r="J100">
        <v>2014</v>
      </c>
      <c r="K100">
        <v>4</v>
      </c>
      <c r="L100">
        <v>276</v>
      </c>
      <c r="M100" t="s">
        <v>53</v>
      </c>
    </row>
    <row r="101" spans="1:13">
      <c r="A101" t="s">
        <v>158</v>
      </c>
      <c r="B101" s="10">
        <v>6</v>
      </c>
      <c r="C101" s="10">
        <v>4</v>
      </c>
      <c r="D101" s="10">
        <v>3</v>
      </c>
      <c r="E101" s="10">
        <v>25</v>
      </c>
      <c r="F101" s="10">
        <v>2</v>
      </c>
      <c r="G101" s="10">
        <v>2</v>
      </c>
      <c r="H101" s="10">
        <v>0</v>
      </c>
      <c r="I101" s="10">
        <v>2</v>
      </c>
      <c r="J101">
        <v>2014</v>
      </c>
      <c r="K101">
        <v>4</v>
      </c>
      <c r="L101">
        <v>276</v>
      </c>
      <c r="M101" t="s">
        <v>55</v>
      </c>
    </row>
    <row r="102" spans="1:13">
      <c r="A102" t="s">
        <v>159</v>
      </c>
      <c r="B102" s="10">
        <v>7.02</v>
      </c>
      <c r="C102" s="10">
        <v>3.34</v>
      </c>
      <c r="D102" s="10">
        <v>6</v>
      </c>
      <c r="E102" s="10">
        <v>23.5</v>
      </c>
      <c r="F102" s="10">
        <v>19</v>
      </c>
      <c r="G102" s="10">
        <v>0</v>
      </c>
      <c r="H102" s="10">
        <v>11</v>
      </c>
      <c r="I102" s="10">
        <v>4</v>
      </c>
      <c r="J102">
        <v>2014</v>
      </c>
      <c r="K102">
        <v>4</v>
      </c>
      <c r="L102">
        <v>276</v>
      </c>
      <c r="M102" t="s">
        <v>57</v>
      </c>
    </row>
    <row r="103" spans="1:13">
      <c r="A103" t="s">
        <v>160</v>
      </c>
      <c r="B103" s="10">
        <v>3</v>
      </c>
      <c r="C103" s="10">
        <v>2</v>
      </c>
      <c r="D103" s="10">
        <v>2</v>
      </c>
      <c r="E103" s="10">
        <v>6</v>
      </c>
      <c r="F103" s="10">
        <v>3</v>
      </c>
      <c r="G103" s="10">
        <v>0</v>
      </c>
      <c r="H103" s="10">
        <v>5</v>
      </c>
      <c r="I103" s="10">
        <v>2</v>
      </c>
      <c r="J103">
        <v>2014</v>
      </c>
      <c r="K103">
        <v>4</v>
      </c>
      <c r="L103">
        <v>276</v>
      </c>
      <c r="M103" t="s">
        <v>59</v>
      </c>
    </row>
    <row r="104" spans="1:13">
      <c r="A104" t="s">
        <v>161</v>
      </c>
      <c r="B104" s="10">
        <v>1.34</v>
      </c>
      <c r="C104" s="10">
        <v>4.68</v>
      </c>
      <c r="D104" s="10">
        <v>5.35</v>
      </c>
      <c r="E104" s="10">
        <v>28.28</v>
      </c>
      <c r="F104" s="10">
        <v>10</v>
      </c>
      <c r="G104" s="10">
        <v>0</v>
      </c>
      <c r="H104" s="10">
        <v>5</v>
      </c>
      <c r="I104" s="10">
        <v>5</v>
      </c>
      <c r="J104">
        <v>2014</v>
      </c>
      <c r="K104">
        <v>4</v>
      </c>
      <c r="L104">
        <v>276</v>
      </c>
      <c r="M104" t="s">
        <v>61</v>
      </c>
    </row>
    <row r="105" spans="1:13">
      <c r="A105" t="s">
        <v>162</v>
      </c>
      <c r="B105" s="10">
        <v>4.34</v>
      </c>
      <c r="C105" s="10">
        <v>3</v>
      </c>
      <c r="D105" s="10">
        <v>6.4</v>
      </c>
      <c r="E105" s="10">
        <v>18.7</v>
      </c>
      <c r="F105" s="10">
        <v>12</v>
      </c>
      <c r="G105" s="10">
        <v>0</v>
      </c>
      <c r="H105" s="10">
        <v>10</v>
      </c>
      <c r="I105" s="10">
        <v>1</v>
      </c>
      <c r="J105">
        <v>2014</v>
      </c>
      <c r="K105">
        <v>4</v>
      </c>
      <c r="L105">
        <v>276</v>
      </c>
      <c r="M105" t="s">
        <v>63</v>
      </c>
    </row>
    <row r="106" spans="1:13">
      <c r="A106" t="s">
        <v>163</v>
      </c>
      <c r="B106" s="10">
        <v>2</v>
      </c>
      <c r="C106" s="10">
        <v>1.01</v>
      </c>
      <c r="D106" s="10">
        <v>4.2</v>
      </c>
      <c r="E106" s="10">
        <v>25.62</v>
      </c>
      <c r="F106" s="10">
        <v>1</v>
      </c>
      <c r="G106" s="10">
        <v>0</v>
      </c>
      <c r="H106" s="10">
        <v>6</v>
      </c>
      <c r="I106" s="10">
        <v>4</v>
      </c>
      <c r="J106">
        <v>2014</v>
      </c>
      <c r="K106">
        <v>4</v>
      </c>
      <c r="L106">
        <v>276</v>
      </c>
      <c r="M106" t="s">
        <v>65</v>
      </c>
    </row>
    <row r="107" spans="1:13">
      <c r="A107" t="s">
        <v>164</v>
      </c>
      <c r="B107" s="10">
        <v>5.34</v>
      </c>
      <c r="C107" s="10">
        <v>0.34</v>
      </c>
      <c r="D107" s="10">
        <v>7.2</v>
      </c>
      <c r="E107" s="10">
        <v>16</v>
      </c>
      <c r="F107" s="10">
        <v>19</v>
      </c>
      <c r="G107" s="10">
        <v>0</v>
      </c>
      <c r="H107" s="10">
        <v>0</v>
      </c>
      <c r="I107" s="10">
        <v>0</v>
      </c>
      <c r="J107">
        <v>2014</v>
      </c>
      <c r="K107">
        <v>4</v>
      </c>
      <c r="L107">
        <v>276</v>
      </c>
      <c r="M107" t="s">
        <v>53</v>
      </c>
    </row>
    <row r="108" spans="1:13">
      <c r="A108" t="s">
        <v>165</v>
      </c>
      <c r="B108" s="10">
        <v>7</v>
      </c>
      <c r="C108" s="10">
        <v>7</v>
      </c>
      <c r="D108" s="10">
        <v>8</v>
      </c>
      <c r="E108" s="10">
        <v>23.3</v>
      </c>
      <c r="F108" s="10">
        <v>10</v>
      </c>
      <c r="G108" s="10">
        <v>1</v>
      </c>
      <c r="H108" s="10">
        <v>0</v>
      </c>
      <c r="I108" s="10">
        <v>5</v>
      </c>
      <c r="J108">
        <v>2014</v>
      </c>
      <c r="K108">
        <v>4</v>
      </c>
      <c r="L108">
        <v>276</v>
      </c>
      <c r="M108" t="s">
        <v>55</v>
      </c>
    </row>
    <row r="109" spans="1:13">
      <c r="A109" t="s">
        <v>166</v>
      </c>
      <c r="B109" s="10">
        <v>7.34</v>
      </c>
      <c r="C109" s="10">
        <v>3.35</v>
      </c>
      <c r="D109" s="10">
        <v>4</v>
      </c>
      <c r="E109" s="10">
        <v>22.3</v>
      </c>
      <c r="F109" s="10">
        <v>7</v>
      </c>
      <c r="G109" s="10">
        <v>0</v>
      </c>
      <c r="H109" s="10">
        <v>3</v>
      </c>
      <c r="I109" s="10">
        <v>5</v>
      </c>
      <c r="J109">
        <v>2014</v>
      </c>
      <c r="K109">
        <v>4</v>
      </c>
      <c r="L109">
        <v>276</v>
      </c>
      <c r="M109" t="s">
        <v>57</v>
      </c>
    </row>
    <row r="110" spans="1:13">
      <c r="A110" t="s">
        <v>167</v>
      </c>
      <c r="B110" s="10">
        <v>0</v>
      </c>
      <c r="C110" s="10">
        <v>0</v>
      </c>
      <c r="D110" s="10">
        <v>0</v>
      </c>
      <c r="E110" s="10">
        <v>0</v>
      </c>
      <c r="F110" s="10">
        <v>0</v>
      </c>
      <c r="G110" s="10">
        <v>0</v>
      </c>
      <c r="H110" s="10">
        <v>0</v>
      </c>
      <c r="I110" s="10">
        <v>0</v>
      </c>
      <c r="J110">
        <v>2014</v>
      </c>
      <c r="K110">
        <v>4</v>
      </c>
      <c r="L110">
        <v>276</v>
      </c>
      <c r="M110" t="s">
        <v>59</v>
      </c>
    </row>
    <row r="111" spans="1:13">
      <c r="A111" t="s">
        <v>168</v>
      </c>
      <c r="B111" s="10">
        <v>1.34</v>
      </c>
      <c r="C111" s="10">
        <v>1.68</v>
      </c>
      <c r="D111" s="10">
        <v>2.1</v>
      </c>
      <c r="E111" s="10">
        <v>13.5</v>
      </c>
      <c r="F111" s="10">
        <v>8</v>
      </c>
      <c r="G111" s="10">
        <v>0</v>
      </c>
      <c r="H111" s="10">
        <v>0</v>
      </c>
      <c r="I111" s="10">
        <v>1</v>
      </c>
      <c r="J111">
        <v>2014</v>
      </c>
      <c r="K111">
        <v>4</v>
      </c>
      <c r="L111">
        <v>276</v>
      </c>
      <c r="M111" t="s">
        <v>61</v>
      </c>
    </row>
    <row r="112" spans="1:13">
      <c r="A112" t="s">
        <v>169</v>
      </c>
      <c r="B112" s="10">
        <v>5.34</v>
      </c>
      <c r="C112" s="10">
        <v>7.165</v>
      </c>
      <c r="D112" s="10">
        <v>3.3</v>
      </c>
      <c r="E112" s="10">
        <v>32</v>
      </c>
      <c r="F112" s="10">
        <v>8</v>
      </c>
      <c r="G112" s="10">
        <v>1</v>
      </c>
      <c r="H112" s="10">
        <v>0</v>
      </c>
      <c r="I112" s="10">
        <v>1</v>
      </c>
      <c r="J112">
        <v>2014</v>
      </c>
      <c r="K112">
        <v>4</v>
      </c>
      <c r="L112">
        <v>276</v>
      </c>
      <c r="M112" t="s">
        <v>63</v>
      </c>
    </row>
    <row r="113" spans="1:13">
      <c r="A113" t="s">
        <v>170</v>
      </c>
      <c r="B113" s="10">
        <v>6.34</v>
      </c>
      <c r="C113" s="10">
        <v>2.34</v>
      </c>
      <c r="D113" s="10">
        <v>3</v>
      </c>
      <c r="E113" s="10">
        <v>24.9</v>
      </c>
      <c r="F113" s="10">
        <v>8</v>
      </c>
      <c r="G113" s="10">
        <v>1</v>
      </c>
      <c r="H113" s="10">
        <v>2</v>
      </c>
      <c r="I113" s="10">
        <v>1</v>
      </c>
      <c r="J113">
        <v>2014</v>
      </c>
      <c r="K113">
        <v>4</v>
      </c>
      <c r="L113">
        <v>276</v>
      </c>
      <c r="M113" t="s">
        <v>65</v>
      </c>
    </row>
    <row r="114" spans="1:13">
      <c r="A114" t="s">
        <v>171</v>
      </c>
      <c r="B114" s="10">
        <v>2</v>
      </c>
      <c r="C114" s="10">
        <v>2</v>
      </c>
      <c r="D114" s="10">
        <v>1.1</v>
      </c>
      <c r="E114" s="10">
        <v>26</v>
      </c>
      <c r="F114" s="10">
        <v>6</v>
      </c>
      <c r="G114" s="10">
        <v>0</v>
      </c>
      <c r="H114" s="10">
        <v>6</v>
      </c>
      <c r="I114" s="10">
        <v>2</v>
      </c>
      <c r="J114">
        <v>2014</v>
      </c>
      <c r="K114">
        <v>4</v>
      </c>
      <c r="L114">
        <v>276</v>
      </c>
      <c r="M114" t="s">
        <v>53</v>
      </c>
    </row>
    <row r="115" spans="1:13">
      <c r="A115" t="s">
        <v>172</v>
      </c>
      <c r="B115" s="10">
        <v>3</v>
      </c>
      <c r="C115" s="10">
        <v>2.02</v>
      </c>
      <c r="D115" s="10">
        <v>5</v>
      </c>
      <c r="E115" s="10">
        <v>24.9</v>
      </c>
      <c r="F115" s="10">
        <v>10</v>
      </c>
      <c r="G115" s="10">
        <v>1</v>
      </c>
      <c r="H115" s="10">
        <v>1</v>
      </c>
      <c r="I115" s="10">
        <v>3</v>
      </c>
      <c r="J115">
        <v>2014</v>
      </c>
      <c r="K115">
        <v>4</v>
      </c>
      <c r="L115">
        <v>276</v>
      </c>
      <c r="M115" t="s">
        <v>55</v>
      </c>
    </row>
    <row r="116" spans="1:13">
      <c r="A116" t="s">
        <v>173</v>
      </c>
      <c r="B116" s="10">
        <v>4.34</v>
      </c>
      <c r="C116" s="10">
        <v>2.67</v>
      </c>
      <c r="D116" s="10">
        <v>5.5</v>
      </c>
      <c r="E116" s="10">
        <v>35</v>
      </c>
      <c r="F116" s="10">
        <v>12</v>
      </c>
      <c r="G116" s="10">
        <v>1</v>
      </c>
      <c r="H116" s="10">
        <v>6</v>
      </c>
      <c r="I116" s="10">
        <v>4</v>
      </c>
      <c r="J116">
        <v>2014</v>
      </c>
      <c r="K116">
        <v>4</v>
      </c>
      <c r="L116">
        <v>276</v>
      </c>
      <c r="M116" t="s">
        <v>57</v>
      </c>
    </row>
    <row r="117" spans="1:13">
      <c r="A117" t="s">
        <v>174</v>
      </c>
      <c r="B117" s="10">
        <v>4</v>
      </c>
      <c r="C117" s="10">
        <v>2.34</v>
      </c>
      <c r="D117" s="10">
        <v>2</v>
      </c>
      <c r="E117" s="10">
        <v>26.2</v>
      </c>
      <c r="F117" s="10">
        <v>2</v>
      </c>
      <c r="G117" s="10">
        <v>0</v>
      </c>
      <c r="H117" s="10">
        <v>1</v>
      </c>
      <c r="I117" s="10">
        <v>1</v>
      </c>
      <c r="J117">
        <v>2014</v>
      </c>
      <c r="K117">
        <v>4</v>
      </c>
      <c r="L117">
        <v>276</v>
      </c>
      <c r="M117" t="s">
        <v>59</v>
      </c>
    </row>
    <row r="118" spans="1:13">
      <c r="A118" t="s">
        <v>175</v>
      </c>
      <c r="B118" s="10">
        <v>1.34</v>
      </c>
      <c r="C118" s="10">
        <v>3.09</v>
      </c>
      <c r="D118" s="10">
        <v>3</v>
      </c>
      <c r="E118" s="10">
        <v>29.1</v>
      </c>
      <c r="F118" s="10">
        <v>8</v>
      </c>
      <c r="G118" s="10">
        <v>2</v>
      </c>
      <c r="H118" s="10">
        <v>0</v>
      </c>
      <c r="I118" s="10">
        <v>2</v>
      </c>
      <c r="J118">
        <v>2014</v>
      </c>
      <c r="K118">
        <v>4</v>
      </c>
      <c r="L118">
        <v>276</v>
      </c>
      <c r="M118" t="s">
        <v>61</v>
      </c>
    </row>
    <row r="119" spans="1:13">
      <c r="A119" t="s">
        <v>176</v>
      </c>
      <c r="B119" s="10">
        <v>3.33</v>
      </c>
      <c r="C119" s="10">
        <v>4.02</v>
      </c>
      <c r="D119" s="10">
        <v>4.4</v>
      </c>
      <c r="E119" s="10">
        <v>30.3</v>
      </c>
      <c r="F119" s="10">
        <v>6</v>
      </c>
      <c r="G119" s="10">
        <v>1</v>
      </c>
      <c r="H119" s="10">
        <v>5</v>
      </c>
      <c r="I119" s="10">
        <v>0.4</v>
      </c>
      <c r="J119">
        <v>2014</v>
      </c>
      <c r="K119">
        <v>4</v>
      </c>
      <c r="L119">
        <v>276</v>
      </c>
      <c r="M119" t="s">
        <v>63</v>
      </c>
    </row>
    <row r="120" spans="1:13">
      <c r="A120" t="s">
        <v>177</v>
      </c>
      <c r="B120" s="10">
        <v>4.34</v>
      </c>
      <c r="C120" s="10">
        <v>2.68</v>
      </c>
      <c r="D120" s="10">
        <v>7</v>
      </c>
      <c r="E120" s="10">
        <v>43.1</v>
      </c>
      <c r="F120" s="10">
        <v>11</v>
      </c>
      <c r="G120" s="10">
        <v>0</v>
      </c>
      <c r="H120" s="10">
        <v>7</v>
      </c>
      <c r="I120" s="10">
        <v>4</v>
      </c>
      <c r="J120">
        <v>2014</v>
      </c>
      <c r="K120">
        <v>4</v>
      </c>
      <c r="L120">
        <v>276</v>
      </c>
      <c r="M120" t="s">
        <v>65</v>
      </c>
    </row>
    <row r="121" spans="1:13">
      <c r="A121" t="s">
        <v>178</v>
      </c>
      <c r="B121" s="10">
        <v>0</v>
      </c>
      <c r="C121" s="10">
        <v>0</v>
      </c>
      <c r="D121" s="10">
        <v>0</v>
      </c>
      <c r="E121" s="10">
        <v>0</v>
      </c>
      <c r="F121" s="10">
        <v>0</v>
      </c>
      <c r="G121" s="10">
        <v>0</v>
      </c>
      <c r="H121" s="10">
        <v>0</v>
      </c>
      <c r="I121" s="10">
        <v>0</v>
      </c>
      <c r="J121">
        <v>2014</v>
      </c>
      <c r="K121">
        <v>5</v>
      </c>
      <c r="L121">
        <v>276</v>
      </c>
      <c r="M121" t="s">
        <v>53</v>
      </c>
    </row>
    <row r="122" spans="1:13">
      <c r="A122" t="s">
        <v>179</v>
      </c>
      <c r="B122" s="10">
        <v>7.34</v>
      </c>
      <c r="C122" s="10">
        <v>7.34</v>
      </c>
      <c r="D122" s="10">
        <v>6.3</v>
      </c>
      <c r="E122" s="10">
        <v>39.5</v>
      </c>
      <c r="F122" s="10">
        <v>16</v>
      </c>
      <c r="G122" s="10">
        <v>1</v>
      </c>
      <c r="H122" s="10">
        <v>12</v>
      </c>
      <c r="I122" s="10">
        <v>2</v>
      </c>
      <c r="J122">
        <v>2014</v>
      </c>
      <c r="K122">
        <v>5</v>
      </c>
      <c r="L122">
        <v>276</v>
      </c>
      <c r="M122" t="s">
        <v>55</v>
      </c>
    </row>
    <row r="123" spans="1:13">
      <c r="A123" t="s">
        <v>180</v>
      </c>
      <c r="B123" s="10">
        <v>4</v>
      </c>
      <c r="C123" s="10">
        <v>5.34</v>
      </c>
      <c r="D123" s="10">
        <v>2</v>
      </c>
      <c r="E123" s="10">
        <v>14.6</v>
      </c>
      <c r="F123" s="10">
        <v>5</v>
      </c>
      <c r="G123" s="10">
        <v>2</v>
      </c>
      <c r="H123" s="10">
        <v>0</v>
      </c>
      <c r="I123" s="10">
        <v>2.5</v>
      </c>
      <c r="J123">
        <v>2014</v>
      </c>
      <c r="K123">
        <v>5</v>
      </c>
      <c r="L123">
        <v>276</v>
      </c>
      <c r="M123" t="s">
        <v>57</v>
      </c>
    </row>
    <row r="124" spans="1:13">
      <c r="A124" t="s">
        <v>181</v>
      </c>
      <c r="B124" s="10">
        <v>1.67</v>
      </c>
      <c r="C124" s="10">
        <v>4.69</v>
      </c>
      <c r="D124" s="10">
        <v>1.2</v>
      </c>
      <c r="E124" s="10">
        <v>20</v>
      </c>
      <c r="F124" s="10">
        <v>3</v>
      </c>
      <c r="G124" s="10">
        <v>0</v>
      </c>
      <c r="H124" s="10">
        <v>0</v>
      </c>
      <c r="I124" s="10">
        <v>3</v>
      </c>
      <c r="J124">
        <v>2014</v>
      </c>
      <c r="K124">
        <v>5</v>
      </c>
      <c r="L124">
        <v>276</v>
      </c>
      <c r="M124" t="s">
        <v>59</v>
      </c>
    </row>
    <row r="125" spans="1:13">
      <c r="A125" t="s">
        <v>182</v>
      </c>
      <c r="B125" s="10">
        <v>3</v>
      </c>
      <c r="C125" s="10">
        <v>5.785</v>
      </c>
      <c r="D125" s="10">
        <v>5</v>
      </c>
      <c r="E125" s="10">
        <v>20</v>
      </c>
      <c r="F125" s="10">
        <v>7</v>
      </c>
      <c r="G125" s="10">
        <v>0</v>
      </c>
      <c r="H125" s="10">
        <v>3</v>
      </c>
      <c r="I125" s="10">
        <v>4</v>
      </c>
      <c r="J125">
        <v>2014</v>
      </c>
      <c r="K125">
        <v>5</v>
      </c>
      <c r="L125">
        <v>276</v>
      </c>
      <c r="M125" t="s">
        <v>61</v>
      </c>
    </row>
    <row r="126" spans="1:13">
      <c r="A126" t="s">
        <v>183</v>
      </c>
      <c r="B126" s="10">
        <v>7.34</v>
      </c>
      <c r="C126" s="10">
        <v>4.36</v>
      </c>
      <c r="D126" s="10">
        <v>4</v>
      </c>
      <c r="E126" s="10">
        <v>22</v>
      </c>
      <c r="F126" s="10">
        <v>10</v>
      </c>
      <c r="G126" s="10">
        <v>2</v>
      </c>
      <c r="H126" s="10">
        <v>6</v>
      </c>
      <c r="I126" s="10">
        <v>5</v>
      </c>
      <c r="J126">
        <v>2014</v>
      </c>
      <c r="K126">
        <v>5</v>
      </c>
      <c r="L126">
        <v>276</v>
      </c>
      <c r="M126" t="s">
        <v>63</v>
      </c>
    </row>
    <row r="127" spans="1:13">
      <c r="A127" t="s">
        <v>184</v>
      </c>
      <c r="B127" s="10">
        <v>3.33</v>
      </c>
      <c r="C127" s="10">
        <v>6.32</v>
      </c>
      <c r="D127" s="10">
        <v>3</v>
      </c>
      <c r="E127" s="10">
        <v>16.8</v>
      </c>
      <c r="F127" s="10">
        <v>8</v>
      </c>
      <c r="G127" s="10">
        <v>1</v>
      </c>
      <c r="H127" s="10">
        <v>3</v>
      </c>
      <c r="I127" s="10">
        <v>11</v>
      </c>
      <c r="J127">
        <v>2014</v>
      </c>
      <c r="K127">
        <v>5</v>
      </c>
      <c r="L127">
        <v>276</v>
      </c>
      <c r="M127" t="s">
        <v>65</v>
      </c>
    </row>
    <row r="128" spans="1:13">
      <c r="A128" t="s">
        <v>185</v>
      </c>
      <c r="B128" s="10">
        <v>2</v>
      </c>
      <c r="C128" s="10">
        <v>2.34</v>
      </c>
      <c r="D128" s="10">
        <v>3.4</v>
      </c>
      <c r="E128" s="10">
        <v>20.4</v>
      </c>
      <c r="F128" s="10">
        <v>10</v>
      </c>
      <c r="G128" s="10">
        <v>3</v>
      </c>
      <c r="H128" s="10">
        <v>0</v>
      </c>
      <c r="I128" s="10">
        <v>5</v>
      </c>
      <c r="J128">
        <v>2014</v>
      </c>
      <c r="K128">
        <v>5</v>
      </c>
      <c r="L128">
        <v>276</v>
      </c>
      <c r="M128" t="s">
        <v>53</v>
      </c>
    </row>
    <row r="129" spans="1:13">
      <c r="A129" t="s">
        <v>186</v>
      </c>
      <c r="B129" s="10">
        <v>2</v>
      </c>
      <c r="C129" s="10">
        <v>5</v>
      </c>
      <c r="D129" s="10">
        <v>4.2</v>
      </c>
      <c r="E129" s="10">
        <v>16</v>
      </c>
      <c r="F129" s="10">
        <v>12</v>
      </c>
      <c r="G129" s="10">
        <v>2</v>
      </c>
      <c r="H129" s="10">
        <v>1</v>
      </c>
      <c r="I129" s="10">
        <v>2</v>
      </c>
      <c r="J129">
        <v>2014</v>
      </c>
      <c r="K129">
        <v>5</v>
      </c>
      <c r="L129">
        <v>276</v>
      </c>
      <c r="M129" t="s">
        <v>55</v>
      </c>
    </row>
    <row r="130" spans="1:13">
      <c r="A130" t="s">
        <v>187</v>
      </c>
      <c r="B130" s="10">
        <v>5</v>
      </c>
      <c r="C130" s="10">
        <v>6</v>
      </c>
      <c r="D130" s="10">
        <v>9</v>
      </c>
      <c r="E130" s="10">
        <v>39.4</v>
      </c>
      <c r="F130" s="10">
        <v>15</v>
      </c>
      <c r="G130" s="10">
        <v>3</v>
      </c>
      <c r="H130" s="10">
        <v>1</v>
      </c>
      <c r="I130" s="10">
        <v>5</v>
      </c>
      <c r="J130">
        <v>2014</v>
      </c>
      <c r="K130">
        <v>5</v>
      </c>
      <c r="L130">
        <v>276</v>
      </c>
      <c r="M130" t="s">
        <v>57</v>
      </c>
    </row>
    <row r="131" spans="1:13">
      <c r="A131" t="s">
        <v>188</v>
      </c>
      <c r="B131" s="10">
        <v>2</v>
      </c>
      <c r="C131" s="10">
        <v>2.68</v>
      </c>
      <c r="D131" s="10">
        <v>1</v>
      </c>
      <c r="E131" s="10">
        <v>17</v>
      </c>
      <c r="F131" s="10">
        <v>7</v>
      </c>
      <c r="G131" s="10">
        <v>0</v>
      </c>
      <c r="H131" s="10">
        <v>1</v>
      </c>
      <c r="I131" s="10">
        <v>4</v>
      </c>
      <c r="J131">
        <v>2014</v>
      </c>
      <c r="K131">
        <v>5</v>
      </c>
      <c r="L131">
        <v>276</v>
      </c>
      <c r="M131" t="s">
        <v>59</v>
      </c>
    </row>
    <row r="132" spans="1:13">
      <c r="A132" t="s">
        <v>189</v>
      </c>
      <c r="B132" s="10">
        <v>4.34</v>
      </c>
      <c r="C132" s="10">
        <v>3.34</v>
      </c>
      <c r="D132" s="10">
        <v>9</v>
      </c>
      <c r="E132" s="10">
        <v>12</v>
      </c>
      <c r="F132" s="10">
        <v>8</v>
      </c>
      <c r="G132" s="10">
        <v>0</v>
      </c>
      <c r="H132" s="10">
        <v>5</v>
      </c>
      <c r="I132" s="10">
        <v>2</v>
      </c>
      <c r="J132">
        <v>2014</v>
      </c>
      <c r="K132">
        <v>5</v>
      </c>
      <c r="L132">
        <v>276</v>
      </c>
      <c r="M132" t="s">
        <v>61</v>
      </c>
    </row>
    <row r="133" spans="1:13">
      <c r="A133" t="s">
        <v>190</v>
      </c>
      <c r="B133" s="10">
        <v>3.68</v>
      </c>
      <c r="C133" s="10">
        <v>0.34</v>
      </c>
      <c r="D133" s="10">
        <v>6.2</v>
      </c>
      <c r="E133" s="10">
        <v>32</v>
      </c>
      <c r="F133" s="10">
        <v>7</v>
      </c>
      <c r="G133" s="10">
        <v>0</v>
      </c>
      <c r="H133" s="10">
        <v>25</v>
      </c>
      <c r="I133" s="10">
        <v>7.5</v>
      </c>
      <c r="J133">
        <v>2014</v>
      </c>
      <c r="K133">
        <v>5</v>
      </c>
      <c r="L133">
        <v>276</v>
      </c>
      <c r="M133" t="s">
        <v>63</v>
      </c>
    </row>
    <row r="134" spans="1:13">
      <c r="A134" t="s">
        <v>191</v>
      </c>
      <c r="B134" s="10">
        <v>1</v>
      </c>
      <c r="C134" s="10">
        <v>4.02</v>
      </c>
      <c r="D134" s="10">
        <v>6</v>
      </c>
      <c r="E134" s="10">
        <v>24.3</v>
      </c>
      <c r="F134" s="10">
        <v>4</v>
      </c>
      <c r="G134" s="10">
        <v>0</v>
      </c>
      <c r="H134" s="10">
        <v>0</v>
      </c>
      <c r="I134" s="10">
        <v>3</v>
      </c>
      <c r="J134">
        <v>2014</v>
      </c>
      <c r="K134">
        <v>5</v>
      </c>
      <c r="L134">
        <v>276</v>
      </c>
      <c r="M134" t="s">
        <v>65</v>
      </c>
    </row>
    <row r="135" spans="1:13">
      <c r="A135" t="s">
        <v>192</v>
      </c>
      <c r="B135" s="10">
        <v>2.34</v>
      </c>
      <c r="C135" s="10">
        <v>2.02</v>
      </c>
      <c r="D135" s="10">
        <v>3</v>
      </c>
      <c r="E135" s="10">
        <v>19.3</v>
      </c>
      <c r="F135" s="10">
        <v>7</v>
      </c>
      <c r="G135" s="10">
        <v>0</v>
      </c>
      <c r="H135" s="10">
        <v>1</v>
      </c>
      <c r="I135" s="10">
        <v>2</v>
      </c>
      <c r="J135">
        <v>2014</v>
      </c>
      <c r="K135">
        <v>5</v>
      </c>
      <c r="L135">
        <v>276</v>
      </c>
      <c r="M135" t="s">
        <v>53</v>
      </c>
    </row>
    <row r="136" spans="1:13">
      <c r="A136" t="s">
        <v>193</v>
      </c>
      <c r="B136" s="10">
        <v>5.34</v>
      </c>
      <c r="C136" s="10">
        <v>7</v>
      </c>
      <c r="D136" s="10">
        <v>3</v>
      </c>
      <c r="E136" s="10">
        <v>22</v>
      </c>
      <c r="F136" s="10">
        <v>10</v>
      </c>
      <c r="G136" s="10">
        <v>1</v>
      </c>
      <c r="H136" s="10">
        <v>11</v>
      </c>
      <c r="I136" s="10">
        <v>1</v>
      </c>
      <c r="J136">
        <v>2014</v>
      </c>
      <c r="K136">
        <v>5</v>
      </c>
      <c r="L136">
        <v>276</v>
      </c>
      <c r="M136" t="s">
        <v>55</v>
      </c>
    </row>
    <row r="137" spans="1:13">
      <c r="A137" t="s">
        <v>194</v>
      </c>
      <c r="B137" s="10">
        <v>2.34</v>
      </c>
      <c r="C137" s="10">
        <v>7.68</v>
      </c>
      <c r="D137" s="10">
        <v>3</v>
      </c>
      <c r="E137" s="10">
        <v>35</v>
      </c>
      <c r="F137" s="10">
        <v>14</v>
      </c>
      <c r="G137" s="10">
        <v>1</v>
      </c>
      <c r="H137" s="10">
        <v>0</v>
      </c>
      <c r="I137" s="10">
        <v>2</v>
      </c>
      <c r="J137">
        <v>2014</v>
      </c>
      <c r="K137">
        <v>5</v>
      </c>
      <c r="L137">
        <v>276</v>
      </c>
      <c r="M137" t="s">
        <v>57</v>
      </c>
    </row>
    <row r="138" spans="1:13">
      <c r="A138" t="s">
        <v>195</v>
      </c>
      <c r="B138" s="10">
        <v>3.34</v>
      </c>
      <c r="C138" s="10">
        <v>2</v>
      </c>
      <c r="D138" s="10">
        <v>5</v>
      </c>
      <c r="E138" s="10">
        <v>9.4</v>
      </c>
      <c r="F138" s="10">
        <v>6</v>
      </c>
      <c r="G138" s="10">
        <v>0</v>
      </c>
      <c r="H138" s="10">
        <v>0</v>
      </c>
      <c r="I138" s="10">
        <v>1</v>
      </c>
      <c r="J138">
        <v>2014</v>
      </c>
      <c r="K138">
        <v>5</v>
      </c>
      <c r="L138">
        <v>276</v>
      </c>
      <c r="M138" t="s">
        <v>59</v>
      </c>
    </row>
    <row r="139" spans="1:13">
      <c r="A139" t="s">
        <v>196</v>
      </c>
      <c r="B139" s="10">
        <v>8.34</v>
      </c>
      <c r="C139" s="10">
        <v>3.84</v>
      </c>
      <c r="D139" s="10">
        <v>6.1</v>
      </c>
      <c r="E139" s="10">
        <v>12.8</v>
      </c>
      <c r="F139" s="10">
        <v>5</v>
      </c>
      <c r="G139" s="10">
        <v>0</v>
      </c>
      <c r="H139" s="10">
        <v>3</v>
      </c>
      <c r="I139" s="10">
        <v>9</v>
      </c>
      <c r="J139">
        <v>2014</v>
      </c>
      <c r="K139">
        <v>5</v>
      </c>
      <c r="L139">
        <v>276</v>
      </c>
      <c r="M139" t="s">
        <v>61</v>
      </c>
    </row>
    <row r="140" spans="1:13">
      <c r="A140" t="s">
        <v>197</v>
      </c>
      <c r="B140" s="10">
        <v>1</v>
      </c>
      <c r="C140" s="10">
        <v>2.375</v>
      </c>
      <c r="D140" s="10">
        <v>7</v>
      </c>
      <c r="E140" s="10">
        <v>27</v>
      </c>
      <c r="F140" s="10">
        <v>10</v>
      </c>
      <c r="G140" s="10">
        <v>1</v>
      </c>
      <c r="H140" s="10">
        <v>0</v>
      </c>
      <c r="I140" s="10">
        <v>3.6</v>
      </c>
      <c r="J140">
        <v>2014</v>
      </c>
      <c r="K140">
        <v>5</v>
      </c>
      <c r="L140">
        <v>276</v>
      </c>
      <c r="M140" t="s">
        <v>63</v>
      </c>
    </row>
    <row r="141" spans="1:13">
      <c r="A141" t="s">
        <v>198</v>
      </c>
      <c r="B141" s="10">
        <v>2</v>
      </c>
      <c r="C141" s="10">
        <v>4.68</v>
      </c>
      <c r="D141" s="10">
        <v>9.5</v>
      </c>
      <c r="E141" s="10">
        <v>15.4</v>
      </c>
      <c r="F141" s="10">
        <v>6</v>
      </c>
      <c r="G141" s="10">
        <v>1</v>
      </c>
      <c r="H141" s="10">
        <v>0</v>
      </c>
      <c r="I141" s="10">
        <v>3</v>
      </c>
      <c r="J141">
        <v>2014</v>
      </c>
      <c r="K141">
        <v>5</v>
      </c>
      <c r="L141">
        <v>276</v>
      </c>
      <c r="M141" t="s">
        <v>65</v>
      </c>
    </row>
    <row r="142" spans="1:13">
      <c r="A142" t="s">
        <v>199</v>
      </c>
      <c r="B142" s="10">
        <v>3.68</v>
      </c>
      <c r="C142" s="10">
        <v>1.33</v>
      </c>
      <c r="D142" s="10">
        <v>1.2</v>
      </c>
      <c r="E142" s="10">
        <v>8</v>
      </c>
      <c r="F142" s="10">
        <v>8</v>
      </c>
      <c r="G142" s="10">
        <v>0</v>
      </c>
      <c r="H142" s="10">
        <v>2</v>
      </c>
      <c r="I142" s="10">
        <v>4</v>
      </c>
      <c r="J142">
        <v>2014</v>
      </c>
      <c r="K142">
        <v>5</v>
      </c>
      <c r="L142">
        <v>276</v>
      </c>
      <c r="M142" t="s">
        <v>53</v>
      </c>
    </row>
    <row r="143" spans="1:13">
      <c r="A143" t="s">
        <v>200</v>
      </c>
      <c r="B143" s="10">
        <v>5</v>
      </c>
      <c r="C143" s="10">
        <v>2.34</v>
      </c>
      <c r="D143" s="10">
        <v>3.9</v>
      </c>
      <c r="E143" s="10">
        <v>17.5</v>
      </c>
      <c r="F143" s="10">
        <v>8</v>
      </c>
      <c r="G143" s="10">
        <v>2</v>
      </c>
      <c r="H143" s="10">
        <v>10</v>
      </c>
      <c r="I143" s="10">
        <v>7</v>
      </c>
      <c r="J143">
        <v>2014</v>
      </c>
      <c r="K143">
        <v>5</v>
      </c>
      <c r="L143">
        <v>276</v>
      </c>
      <c r="M143" t="s">
        <v>55</v>
      </c>
    </row>
    <row r="144" spans="1:13">
      <c r="A144" t="s">
        <v>201</v>
      </c>
      <c r="B144" s="10">
        <v>3</v>
      </c>
      <c r="C144" s="10">
        <v>4.713</v>
      </c>
      <c r="D144" s="10">
        <v>5</v>
      </c>
      <c r="E144" s="10">
        <v>28</v>
      </c>
      <c r="F144" s="10">
        <v>11</v>
      </c>
      <c r="G144" s="10">
        <v>1</v>
      </c>
      <c r="H144" s="10">
        <v>0</v>
      </c>
      <c r="I144" s="10">
        <v>9</v>
      </c>
      <c r="J144">
        <v>2014</v>
      </c>
      <c r="K144">
        <v>5</v>
      </c>
      <c r="L144">
        <v>276</v>
      </c>
      <c r="M144" t="s">
        <v>57</v>
      </c>
    </row>
    <row r="145" spans="1:13">
      <c r="A145" t="s">
        <v>202</v>
      </c>
      <c r="B145" s="10">
        <v>2</v>
      </c>
      <c r="C145" s="10">
        <v>3</v>
      </c>
      <c r="D145" s="10">
        <v>1</v>
      </c>
      <c r="E145" s="10">
        <v>7</v>
      </c>
      <c r="F145" s="10">
        <v>8</v>
      </c>
      <c r="G145" s="10">
        <v>0</v>
      </c>
      <c r="H145" s="10">
        <v>5</v>
      </c>
      <c r="I145" s="10">
        <v>1</v>
      </c>
      <c r="J145">
        <v>2014</v>
      </c>
      <c r="K145">
        <v>5</v>
      </c>
      <c r="L145">
        <v>276</v>
      </c>
      <c r="M145" t="s">
        <v>59</v>
      </c>
    </row>
    <row r="146" spans="1:13">
      <c r="A146" t="s">
        <v>203</v>
      </c>
      <c r="B146" s="10">
        <v>2.68</v>
      </c>
      <c r="C146" s="10">
        <v>3.34</v>
      </c>
      <c r="D146" s="10">
        <v>7.4</v>
      </c>
      <c r="E146" s="10">
        <v>18</v>
      </c>
      <c r="F146" s="10">
        <v>7</v>
      </c>
      <c r="G146" s="10">
        <v>1</v>
      </c>
      <c r="H146" s="10">
        <v>0</v>
      </c>
      <c r="I146" s="10">
        <v>5</v>
      </c>
      <c r="J146">
        <v>2014</v>
      </c>
      <c r="K146">
        <v>5</v>
      </c>
      <c r="L146">
        <v>276</v>
      </c>
      <c r="M146" t="s">
        <v>61</v>
      </c>
    </row>
    <row r="147" spans="1:13">
      <c r="A147" t="s">
        <v>204</v>
      </c>
      <c r="B147" s="10">
        <v>0</v>
      </c>
      <c r="C147" s="10">
        <v>2.34</v>
      </c>
      <c r="D147" s="10">
        <v>5</v>
      </c>
      <c r="E147" s="10">
        <v>28.6</v>
      </c>
      <c r="F147" s="10">
        <v>12</v>
      </c>
      <c r="G147" s="10">
        <v>1</v>
      </c>
      <c r="H147" s="10">
        <v>1</v>
      </c>
      <c r="I147" s="10">
        <v>6</v>
      </c>
      <c r="J147">
        <v>2014</v>
      </c>
      <c r="K147">
        <v>5</v>
      </c>
      <c r="L147">
        <v>276</v>
      </c>
      <c r="M147" t="s">
        <v>63</v>
      </c>
    </row>
    <row r="148" spans="1:13">
      <c r="A148" t="s">
        <v>205</v>
      </c>
      <c r="B148" s="10">
        <v>1.34</v>
      </c>
      <c r="C148" s="10">
        <v>5.02</v>
      </c>
      <c r="D148" s="10">
        <v>1.4</v>
      </c>
      <c r="E148" s="10">
        <v>10.28</v>
      </c>
      <c r="F148" s="10">
        <v>9</v>
      </c>
      <c r="G148" s="10">
        <v>0</v>
      </c>
      <c r="H148" s="10">
        <v>2</v>
      </c>
      <c r="I148" s="10">
        <v>5.1</v>
      </c>
      <c r="J148">
        <v>2014</v>
      </c>
      <c r="K148">
        <v>5</v>
      </c>
      <c r="L148">
        <v>276</v>
      </c>
      <c r="M148" t="s">
        <v>65</v>
      </c>
    </row>
    <row r="149" spans="1:13">
      <c r="A149" t="s">
        <v>206</v>
      </c>
      <c r="B149" s="10">
        <v>4</v>
      </c>
      <c r="C149" s="10">
        <v>5.34</v>
      </c>
      <c r="D149" s="10">
        <v>6.3</v>
      </c>
      <c r="E149" s="10">
        <v>27</v>
      </c>
      <c r="F149" s="10">
        <v>13</v>
      </c>
      <c r="G149" s="10">
        <v>0</v>
      </c>
      <c r="H149" s="10">
        <v>0</v>
      </c>
      <c r="I149" s="10">
        <v>2</v>
      </c>
      <c r="J149">
        <v>2014</v>
      </c>
      <c r="K149">
        <v>5</v>
      </c>
      <c r="L149">
        <v>276</v>
      </c>
      <c r="M149" t="s">
        <v>53</v>
      </c>
    </row>
    <row r="150" spans="1:13">
      <c r="A150" t="s">
        <v>207</v>
      </c>
      <c r="B150" s="10">
        <v>3.02</v>
      </c>
      <c r="C150" s="10">
        <v>2.02</v>
      </c>
      <c r="D150" s="10">
        <v>2</v>
      </c>
      <c r="E150" s="10">
        <v>21.5</v>
      </c>
      <c r="F150" s="10">
        <v>14</v>
      </c>
      <c r="G150" s="10">
        <v>0</v>
      </c>
      <c r="H150" s="10">
        <v>0</v>
      </c>
      <c r="I150" s="10">
        <v>5</v>
      </c>
      <c r="J150">
        <v>2014</v>
      </c>
      <c r="K150">
        <v>5</v>
      </c>
      <c r="L150">
        <v>276</v>
      </c>
      <c r="M150" t="s">
        <v>55</v>
      </c>
    </row>
    <row r="151" spans="1:13">
      <c r="A151" t="s">
        <v>208</v>
      </c>
      <c r="B151" s="10">
        <v>5.67</v>
      </c>
      <c r="C151" s="10">
        <v>3.34</v>
      </c>
      <c r="D151" s="10">
        <v>2</v>
      </c>
      <c r="E151" s="10">
        <v>28</v>
      </c>
      <c r="F151" s="10">
        <v>10</v>
      </c>
      <c r="G151" s="10">
        <v>0</v>
      </c>
      <c r="H151" s="10">
        <v>15</v>
      </c>
      <c r="I151" s="10">
        <v>2</v>
      </c>
      <c r="J151">
        <v>2014</v>
      </c>
      <c r="K151">
        <v>5</v>
      </c>
      <c r="L151">
        <v>276</v>
      </c>
      <c r="M151" t="s">
        <v>57</v>
      </c>
    </row>
    <row r="152" spans="1:13">
      <c r="A152" t="s">
        <v>209</v>
      </c>
      <c r="B152" s="10">
        <v>1</v>
      </c>
      <c r="C152" s="10">
        <v>0.68</v>
      </c>
      <c r="D152" s="10">
        <v>1</v>
      </c>
      <c r="E152" s="10">
        <v>10</v>
      </c>
      <c r="F152" s="10">
        <v>4</v>
      </c>
      <c r="G152" s="10">
        <v>1</v>
      </c>
      <c r="H152" s="10">
        <v>1</v>
      </c>
      <c r="I152" s="10">
        <v>3</v>
      </c>
      <c r="J152">
        <v>2014</v>
      </c>
      <c r="K152">
        <v>6</v>
      </c>
      <c r="L152">
        <v>276</v>
      </c>
      <c r="M152" t="s">
        <v>59</v>
      </c>
    </row>
    <row r="153" spans="1:13">
      <c r="A153" t="s">
        <v>210</v>
      </c>
      <c r="B153" s="10">
        <v>4</v>
      </c>
      <c r="C153" s="10">
        <v>4.34</v>
      </c>
      <c r="D153" s="10">
        <v>10</v>
      </c>
      <c r="E153" s="10">
        <v>23.3</v>
      </c>
      <c r="F153" s="10">
        <v>16</v>
      </c>
      <c r="G153" s="10">
        <v>3</v>
      </c>
      <c r="H153" s="10">
        <v>0</v>
      </c>
      <c r="I153" s="10">
        <v>3</v>
      </c>
      <c r="J153">
        <v>2014</v>
      </c>
      <c r="K153">
        <v>6</v>
      </c>
      <c r="L153">
        <v>276</v>
      </c>
      <c r="M153" t="s">
        <v>61</v>
      </c>
    </row>
    <row r="154" spans="1:13">
      <c r="A154" t="s">
        <v>211</v>
      </c>
      <c r="B154" s="10">
        <v>3</v>
      </c>
      <c r="C154" s="10">
        <v>2</v>
      </c>
      <c r="D154" s="10">
        <v>2.4</v>
      </c>
      <c r="E154" s="10">
        <v>24</v>
      </c>
      <c r="F154" s="10">
        <v>7</v>
      </c>
      <c r="G154" s="10">
        <v>2</v>
      </c>
      <c r="H154" s="10">
        <v>5</v>
      </c>
      <c r="I154" s="10">
        <v>3</v>
      </c>
      <c r="J154">
        <v>2014</v>
      </c>
      <c r="K154">
        <v>6</v>
      </c>
      <c r="L154">
        <v>276</v>
      </c>
      <c r="M154" t="s">
        <v>63</v>
      </c>
    </row>
    <row r="155" spans="1:13">
      <c r="A155" t="s">
        <v>212</v>
      </c>
      <c r="B155" s="10">
        <v>1</v>
      </c>
      <c r="C155" s="10">
        <v>4.68</v>
      </c>
      <c r="D155" s="10">
        <v>3.5</v>
      </c>
      <c r="E155" s="10">
        <v>24</v>
      </c>
      <c r="F155" s="10">
        <v>6</v>
      </c>
      <c r="G155" s="10">
        <v>0</v>
      </c>
      <c r="H155" s="10">
        <v>1</v>
      </c>
      <c r="I155" s="10">
        <v>2.5</v>
      </c>
      <c r="J155">
        <v>2014</v>
      </c>
      <c r="K155">
        <v>6</v>
      </c>
      <c r="L155">
        <v>276</v>
      </c>
      <c r="M155" t="s">
        <v>65</v>
      </c>
    </row>
    <row r="156" spans="1:13">
      <c r="A156" t="s">
        <v>213</v>
      </c>
      <c r="B156" s="10">
        <v>0.34</v>
      </c>
      <c r="C156" s="10">
        <v>4.68</v>
      </c>
      <c r="D156" s="10">
        <v>4.5</v>
      </c>
      <c r="E156" s="10">
        <v>22.5</v>
      </c>
      <c r="F156" s="10">
        <v>4</v>
      </c>
      <c r="G156" s="10">
        <v>0</v>
      </c>
      <c r="H156" s="10">
        <v>0</v>
      </c>
      <c r="I156" s="10">
        <v>5</v>
      </c>
      <c r="J156">
        <v>2014</v>
      </c>
      <c r="K156">
        <v>6</v>
      </c>
      <c r="L156">
        <v>276</v>
      </c>
      <c r="M156" t="s">
        <v>53</v>
      </c>
    </row>
    <row r="157" spans="1:13">
      <c r="A157" t="s">
        <v>214</v>
      </c>
      <c r="B157" s="10">
        <v>5</v>
      </c>
      <c r="C157" s="10">
        <v>1.68</v>
      </c>
      <c r="D157" s="10">
        <v>3</v>
      </c>
      <c r="E157" s="10">
        <v>16.625</v>
      </c>
      <c r="F157" s="10">
        <v>15</v>
      </c>
      <c r="G157" s="10">
        <v>2</v>
      </c>
      <c r="H157" s="10">
        <v>1</v>
      </c>
      <c r="I157" s="10">
        <v>5</v>
      </c>
      <c r="J157">
        <v>2014</v>
      </c>
      <c r="K157">
        <v>6</v>
      </c>
      <c r="L157">
        <v>276</v>
      </c>
      <c r="M157" t="s">
        <v>55</v>
      </c>
    </row>
    <row r="158" spans="1:13">
      <c r="A158" t="s">
        <v>215</v>
      </c>
      <c r="B158" s="10">
        <v>9</v>
      </c>
      <c r="C158" s="10">
        <v>3.68</v>
      </c>
      <c r="D158" s="10">
        <v>7.5</v>
      </c>
      <c r="E158" s="10">
        <v>33</v>
      </c>
      <c r="F158" s="10">
        <v>8</v>
      </c>
      <c r="G158" s="10">
        <v>1</v>
      </c>
      <c r="H158" s="10">
        <v>6</v>
      </c>
      <c r="I158" s="10">
        <v>7</v>
      </c>
      <c r="J158">
        <v>2014</v>
      </c>
      <c r="K158">
        <v>6</v>
      </c>
      <c r="L158">
        <v>276</v>
      </c>
      <c r="M158" t="s">
        <v>57</v>
      </c>
    </row>
    <row r="159" spans="1:13">
      <c r="A159" t="s">
        <v>216</v>
      </c>
      <c r="B159" s="10">
        <v>1</v>
      </c>
      <c r="C159" s="10">
        <v>2</v>
      </c>
      <c r="D159" s="10">
        <v>3</v>
      </c>
      <c r="E159" s="10">
        <v>11</v>
      </c>
      <c r="F159" s="10">
        <v>8</v>
      </c>
      <c r="G159" s="10">
        <v>0</v>
      </c>
      <c r="H159" s="10">
        <v>6</v>
      </c>
      <c r="I159" s="10">
        <v>2</v>
      </c>
      <c r="J159">
        <v>2014</v>
      </c>
      <c r="K159">
        <v>6</v>
      </c>
      <c r="L159">
        <v>276</v>
      </c>
      <c r="M159" t="s">
        <v>59</v>
      </c>
    </row>
    <row r="160" spans="1:13">
      <c r="A160" t="s">
        <v>217</v>
      </c>
      <c r="B160" s="10">
        <v>6.33</v>
      </c>
      <c r="C160" s="10">
        <v>1.34</v>
      </c>
      <c r="D160" s="10">
        <v>5</v>
      </c>
      <c r="E160" s="10">
        <v>18</v>
      </c>
      <c r="F160" s="10">
        <v>17</v>
      </c>
      <c r="G160" s="10">
        <v>4</v>
      </c>
      <c r="H160" s="10">
        <v>0</v>
      </c>
      <c r="I160" s="10">
        <v>11</v>
      </c>
      <c r="J160">
        <v>2014</v>
      </c>
      <c r="K160">
        <v>6</v>
      </c>
      <c r="L160">
        <v>276</v>
      </c>
      <c r="M160" t="s">
        <v>61</v>
      </c>
    </row>
    <row r="161" spans="1:13">
      <c r="A161" t="s">
        <v>218</v>
      </c>
      <c r="B161" s="10">
        <v>8.68</v>
      </c>
      <c r="C161" s="10">
        <v>2.68</v>
      </c>
      <c r="D161" s="10">
        <v>4.3</v>
      </c>
      <c r="E161" s="10">
        <v>23</v>
      </c>
      <c r="F161" s="10">
        <v>16</v>
      </c>
      <c r="G161" s="10">
        <v>2</v>
      </c>
      <c r="H161" s="10">
        <v>2</v>
      </c>
      <c r="I161" s="10">
        <v>6.5</v>
      </c>
      <c r="J161">
        <v>2014</v>
      </c>
      <c r="K161">
        <v>6</v>
      </c>
      <c r="L161">
        <v>276</v>
      </c>
      <c r="M161" t="s">
        <v>63</v>
      </c>
    </row>
    <row r="162" spans="1:13">
      <c r="A162" t="s">
        <v>219</v>
      </c>
      <c r="B162" s="10">
        <v>4.34</v>
      </c>
      <c r="C162" s="10">
        <v>0.68</v>
      </c>
      <c r="D162" s="10">
        <v>2.3</v>
      </c>
      <c r="E162" s="10">
        <v>12.5</v>
      </c>
      <c r="F162" s="10">
        <v>16</v>
      </c>
      <c r="G162" s="10">
        <v>2</v>
      </c>
      <c r="H162" s="10">
        <v>12</v>
      </c>
      <c r="I162" s="10">
        <v>9</v>
      </c>
      <c r="J162">
        <v>2014</v>
      </c>
      <c r="K162">
        <v>6</v>
      </c>
      <c r="L162">
        <v>276</v>
      </c>
      <c r="M162" t="s">
        <v>65</v>
      </c>
    </row>
    <row r="163" spans="1:13">
      <c r="A163" t="s">
        <v>220</v>
      </c>
      <c r="B163" s="10">
        <v>4.34</v>
      </c>
      <c r="C163" s="10">
        <v>3</v>
      </c>
      <c r="D163" s="10">
        <v>1</v>
      </c>
      <c r="E163" s="10">
        <v>15.8</v>
      </c>
      <c r="F163" s="10">
        <v>12</v>
      </c>
      <c r="G163" s="10">
        <v>0</v>
      </c>
      <c r="H163" s="10">
        <v>2</v>
      </c>
      <c r="I163" s="10">
        <v>3</v>
      </c>
      <c r="J163">
        <v>2014</v>
      </c>
      <c r="K163">
        <v>6</v>
      </c>
      <c r="L163">
        <v>276</v>
      </c>
      <c r="M163" t="s">
        <v>53</v>
      </c>
    </row>
    <row r="164" spans="1:13">
      <c r="A164" t="s">
        <v>221</v>
      </c>
      <c r="B164" s="10">
        <v>1</v>
      </c>
      <c r="C164" s="10">
        <v>2.68</v>
      </c>
      <c r="D164" s="10">
        <v>5</v>
      </c>
      <c r="E164" s="10">
        <v>10</v>
      </c>
      <c r="F164" s="10">
        <v>11</v>
      </c>
      <c r="G164" s="10">
        <v>0</v>
      </c>
      <c r="H164" s="10">
        <v>3</v>
      </c>
      <c r="I164" s="10">
        <v>1</v>
      </c>
      <c r="J164">
        <v>2014</v>
      </c>
      <c r="K164">
        <v>6</v>
      </c>
      <c r="L164">
        <v>276</v>
      </c>
      <c r="M164" t="s">
        <v>55</v>
      </c>
    </row>
    <row r="165" spans="1:13">
      <c r="A165" t="s">
        <v>222</v>
      </c>
      <c r="B165" s="10">
        <v>4</v>
      </c>
      <c r="C165" s="10">
        <v>5.02</v>
      </c>
      <c r="D165" s="10">
        <v>6</v>
      </c>
      <c r="E165" s="10">
        <v>8</v>
      </c>
      <c r="F165" s="10">
        <v>10</v>
      </c>
      <c r="G165" s="10">
        <v>0</v>
      </c>
      <c r="H165" s="10">
        <v>1</v>
      </c>
      <c r="I165" s="10">
        <v>3</v>
      </c>
      <c r="J165">
        <v>2014</v>
      </c>
      <c r="K165">
        <v>6</v>
      </c>
      <c r="L165">
        <v>276</v>
      </c>
      <c r="M165" t="s">
        <v>57</v>
      </c>
    </row>
    <row r="166" spans="1:13">
      <c r="A166" t="s">
        <v>223</v>
      </c>
      <c r="B166" s="10">
        <v>0.34</v>
      </c>
      <c r="C166" s="10">
        <v>2</v>
      </c>
      <c r="D166" s="10">
        <v>0</v>
      </c>
      <c r="E166" s="10">
        <v>8</v>
      </c>
      <c r="F166" s="10">
        <v>5</v>
      </c>
      <c r="G166" s="10">
        <v>0</v>
      </c>
      <c r="H166" s="10">
        <v>0</v>
      </c>
      <c r="I166" s="10">
        <v>3.3</v>
      </c>
      <c r="J166">
        <v>2014</v>
      </c>
      <c r="K166">
        <v>6</v>
      </c>
      <c r="L166">
        <v>276</v>
      </c>
      <c r="M166" t="s">
        <v>59</v>
      </c>
    </row>
    <row r="167" spans="1:13">
      <c r="A167" t="s">
        <v>224</v>
      </c>
      <c r="B167" s="10">
        <v>4.34</v>
      </c>
      <c r="C167" s="10">
        <v>4.34</v>
      </c>
      <c r="D167" s="10">
        <v>7.4</v>
      </c>
      <c r="E167" s="10">
        <v>12.2</v>
      </c>
      <c r="F167" s="10">
        <v>11</v>
      </c>
      <c r="G167" s="10">
        <v>0</v>
      </c>
      <c r="H167" s="10">
        <v>5</v>
      </c>
      <c r="I167" s="10">
        <v>5</v>
      </c>
      <c r="J167">
        <v>2014</v>
      </c>
      <c r="K167">
        <v>6</v>
      </c>
      <c r="L167">
        <v>276</v>
      </c>
      <c r="M167" t="s">
        <v>61</v>
      </c>
    </row>
    <row r="168" spans="1:13">
      <c r="A168" t="s">
        <v>225</v>
      </c>
      <c r="B168" s="10">
        <v>5</v>
      </c>
      <c r="C168" s="10">
        <v>2.34</v>
      </c>
      <c r="D168" s="10">
        <v>4</v>
      </c>
      <c r="E168" s="10">
        <v>14</v>
      </c>
      <c r="F168" s="10">
        <v>12</v>
      </c>
      <c r="G168" s="10">
        <v>2</v>
      </c>
      <c r="H168" s="10">
        <v>0</v>
      </c>
      <c r="I168" s="10">
        <v>3</v>
      </c>
      <c r="J168">
        <v>2014</v>
      </c>
      <c r="K168">
        <v>6</v>
      </c>
      <c r="L168">
        <v>276</v>
      </c>
      <c r="M168" t="s">
        <v>63</v>
      </c>
    </row>
    <row r="169" spans="1:13">
      <c r="A169" t="s">
        <v>226</v>
      </c>
      <c r="B169" s="10">
        <v>2</v>
      </c>
      <c r="C169" s="10">
        <v>2</v>
      </c>
      <c r="D169" s="10">
        <v>4.7</v>
      </c>
      <c r="E169" s="10">
        <v>18</v>
      </c>
      <c r="F169" s="10">
        <v>6</v>
      </c>
      <c r="G169" s="10">
        <v>0</v>
      </c>
      <c r="H169" s="10">
        <v>1</v>
      </c>
      <c r="I169" s="10">
        <v>3</v>
      </c>
      <c r="J169">
        <v>2014</v>
      </c>
      <c r="K169">
        <v>6</v>
      </c>
      <c r="L169">
        <v>276</v>
      </c>
      <c r="M169" t="s">
        <v>65</v>
      </c>
    </row>
    <row r="170" spans="1:13">
      <c r="A170" t="s">
        <v>227</v>
      </c>
      <c r="B170" s="10">
        <v>3</v>
      </c>
      <c r="C170" s="10">
        <v>3.33</v>
      </c>
      <c r="D170" s="10">
        <v>1</v>
      </c>
      <c r="E170" s="10">
        <v>14</v>
      </c>
      <c r="F170" s="10">
        <v>8</v>
      </c>
      <c r="G170" s="10">
        <v>0</v>
      </c>
      <c r="H170" s="10">
        <v>0</v>
      </c>
      <c r="I170" s="10">
        <v>1</v>
      </c>
      <c r="J170">
        <v>2014</v>
      </c>
      <c r="K170">
        <v>6</v>
      </c>
      <c r="L170">
        <v>276</v>
      </c>
      <c r="M170" t="s">
        <v>53</v>
      </c>
    </row>
    <row r="171" spans="1:13">
      <c r="A171" t="s">
        <v>228</v>
      </c>
      <c r="B171" s="10">
        <v>7.34</v>
      </c>
      <c r="C171" s="10">
        <v>2.02</v>
      </c>
      <c r="D171" s="10">
        <v>3</v>
      </c>
      <c r="E171" s="10">
        <v>14.5</v>
      </c>
      <c r="F171" s="10">
        <v>9</v>
      </c>
      <c r="G171" s="10">
        <v>0</v>
      </c>
      <c r="H171" s="10">
        <v>3</v>
      </c>
      <c r="I171" s="10">
        <v>6</v>
      </c>
      <c r="J171">
        <v>2014</v>
      </c>
      <c r="K171">
        <v>6</v>
      </c>
      <c r="L171">
        <v>276</v>
      </c>
      <c r="M171" t="s">
        <v>55</v>
      </c>
    </row>
    <row r="172" spans="1:13">
      <c r="A172" t="s">
        <v>229</v>
      </c>
      <c r="B172" s="10">
        <v>6</v>
      </c>
      <c r="C172" s="10">
        <v>5.68</v>
      </c>
      <c r="D172" s="10">
        <v>2</v>
      </c>
      <c r="E172" s="10">
        <v>16</v>
      </c>
      <c r="F172" s="10">
        <v>12</v>
      </c>
      <c r="G172" s="10">
        <v>3</v>
      </c>
      <c r="H172" s="10">
        <v>0</v>
      </c>
      <c r="I172" s="10">
        <v>3</v>
      </c>
      <c r="J172">
        <v>2014</v>
      </c>
      <c r="K172">
        <v>6</v>
      </c>
      <c r="L172">
        <v>276</v>
      </c>
      <c r="M172" t="s">
        <v>57</v>
      </c>
    </row>
    <row r="173" spans="1:13">
      <c r="A173" t="s">
        <v>230</v>
      </c>
      <c r="B173" s="10">
        <v>4</v>
      </c>
      <c r="C173" s="10">
        <v>1.02</v>
      </c>
      <c r="D173" s="10">
        <v>4</v>
      </c>
      <c r="E173" s="10">
        <v>18</v>
      </c>
      <c r="F173" s="10">
        <v>8</v>
      </c>
      <c r="G173" s="10">
        <v>0</v>
      </c>
      <c r="H173" s="10">
        <v>2</v>
      </c>
      <c r="I173" s="10">
        <v>3</v>
      </c>
      <c r="J173">
        <v>2014</v>
      </c>
      <c r="K173">
        <v>6</v>
      </c>
      <c r="L173">
        <v>276</v>
      </c>
      <c r="M173" t="s">
        <v>59</v>
      </c>
    </row>
    <row r="174" spans="1:13">
      <c r="A174" t="s">
        <v>231</v>
      </c>
      <c r="B174" s="10">
        <v>2.34</v>
      </c>
      <c r="C174" s="10">
        <v>7.68</v>
      </c>
      <c r="D174" s="10">
        <v>3</v>
      </c>
      <c r="E174" s="10">
        <v>25.2</v>
      </c>
      <c r="F174" s="10">
        <v>12</v>
      </c>
      <c r="G174" s="10">
        <v>0</v>
      </c>
      <c r="H174" s="10">
        <v>2</v>
      </c>
      <c r="I174" s="10">
        <v>3</v>
      </c>
      <c r="J174">
        <v>2014</v>
      </c>
      <c r="K174">
        <v>6</v>
      </c>
      <c r="L174">
        <v>276</v>
      </c>
      <c r="M174" t="s">
        <v>61</v>
      </c>
    </row>
    <row r="175" spans="1:13">
      <c r="A175" t="s">
        <v>232</v>
      </c>
      <c r="B175" s="10">
        <v>3</v>
      </c>
      <c r="C175" s="10">
        <v>5.14</v>
      </c>
      <c r="D175" s="10">
        <v>4</v>
      </c>
      <c r="E175" s="10">
        <v>16.2</v>
      </c>
      <c r="F175" s="10">
        <v>23</v>
      </c>
      <c r="G175" s="10">
        <v>0</v>
      </c>
      <c r="H175" s="10">
        <v>2</v>
      </c>
      <c r="I175" s="10">
        <v>4</v>
      </c>
      <c r="J175">
        <v>2014</v>
      </c>
      <c r="K175">
        <v>6</v>
      </c>
      <c r="L175">
        <v>276</v>
      </c>
      <c r="M175" t="s">
        <v>63</v>
      </c>
    </row>
    <row r="176" spans="1:13">
      <c r="A176" t="s">
        <v>233</v>
      </c>
      <c r="B176" s="10">
        <v>8</v>
      </c>
      <c r="C176" s="10">
        <v>5.34</v>
      </c>
      <c r="D176" s="10">
        <v>7</v>
      </c>
      <c r="E176" s="10">
        <v>33.8</v>
      </c>
      <c r="F176" s="10">
        <v>19</v>
      </c>
      <c r="G176" s="10">
        <v>0</v>
      </c>
      <c r="H176" s="10">
        <v>0</v>
      </c>
      <c r="I176" s="10">
        <v>1</v>
      </c>
      <c r="J176">
        <v>2014</v>
      </c>
      <c r="K176">
        <v>6</v>
      </c>
      <c r="L176">
        <v>276</v>
      </c>
      <c r="M176" t="s">
        <v>65</v>
      </c>
    </row>
    <row r="177" spans="1:13">
      <c r="A177" t="s">
        <v>234</v>
      </c>
      <c r="B177" s="10">
        <v>3</v>
      </c>
      <c r="C177" s="10">
        <v>2</v>
      </c>
      <c r="D177" s="10">
        <v>11.3</v>
      </c>
      <c r="E177" s="10">
        <v>19.3</v>
      </c>
      <c r="F177" s="10">
        <v>14</v>
      </c>
      <c r="G177" s="10">
        <v>0</v>
      </c>
      <c r="H177" s="10">
        <v>0</v>
      </c>
      <c r="I177" s="10">
        <v>1</v>
      </c>
      <c r="J177">
        <v>2014</v>
      </c>
      <c r="K177">
        <v>6</v>
      </c>
      <c r="L177">
        <v>276</v>
      </c>
      <c r="M177" t="s">
        <v>53</v>
      </c>
    </row>
    <row r="178" spans="1:13">
      <c r="A178" t="s">
        <v>235</v>
      </c>
      <c r="B178" s="10">
        <v>4.34</v>
      </c>
      <c r="C178" s="10">
        <v>1</v>
      </c>
      <c r="D178" s="10">
        <v>6</v>
      </c>
      <c r="E178" s="10">
        <v>32.3</v>
      </c>
      <c r="F178" s="10">
        <v>13</v>
      </c>
      <c r="G178" s="10">
        <v>0</v>
      </c>
      <c r="H178" s="10">
        <v>1</v>
      </c>
      <c r="I178" s="10">
        <v>3</v>
      </c>
      <c r="J178">
        <v>2014</v>
      </c>
      <c r="K178">
        <v>6</v>
      </c>
      <c r="L178">
        <v>276</v>
      </c>
      <c r="M178" t="s">
        <v>55</v>
      </c>
    </row>
    <row r="179" spans="1:13">
      <c r="A179" t="s">
        <v>236</v>
      </c>
      <c r="B179" s="10">
        <v>0.34</v>
      </c>
      <c r="C179" s="10">
        <v>5.34</v>
      </c>
      <c r="D179" s="10">
        <v>5</v>
      </c>
      <c r="E179" s="10">
        <v>20</v>
      </c>
      <c r="F179" s="10">
        <v>14</v>
      </c>
      <c r="G179" s="10">
        <v>1</v>
      </c>
      <c r="H179" s="10">
        <v>1</v>
      </c>
      <c r="I179" s="10">
        <v>5</v>
      </c>
      <c r="J179">
        <v>2014</v>
      </c>
      <c r="K179">
        <v>6</v>
      </c>
      <c r="L179">
        <v>276</v>
      </c>
      <c r="M179" t="s">
        <v>57</v>
      </c>
    </row>
    <row r="180" spans="1:13">
      <c r="A180" t="s">
        <v>237</v>
      </c>
      <c r="B180" s="10">
        <v>0</v>
      </c>
      <c r="C180" s="10">
        <v>1</v>
      </c>
      <c r="D180" s="10">
        <v>1</v>
      </c>
      <c r="E180" s="10">
        <v>10</v>
      </c>
      <c r="F180" s="10">
        <v>1</v>
      </c>
      <c r="G180" s="10">
        <v>0</v>
      </c>
      <c r="H180" s="10">
        <v>0</v>
      </c>
      <c r="I180" s="10">
        <v>1</v>
      </c>
      <c r="J180">
        <v>2014</v>
      </c>
      <c r="K180">
        <v>6</v>
      </c>
      <c r="L180">
        <v>276</v>
      </c>
      <c r="M180" t="s">
        <v>59</v>
      </c>
    </row>
    <row r="181" spans="1:13">
      <c r="A181" t="s">
        <v>238</v>
      </c>
      <c r="B181" s="10">
        <v>6</v>
      </c>
      <c r="C181" s="10">
        <v>5.34</v>
      </c>
      <c r="D181" s="10">
        <v>1</v>
      </c>
      <c r="E181" s="10">
        <v>25</v>
      </c>
      <c r="F181" s="10">
        <v>6</v>
      </c>
      <c r="G181" s="10">
        <v>0</v>
      </c>
      <c r="H181" s="10">
        <v>0</v>
      </c>
      <c r="I181" s="10">
        <v>0</v>
      </c>
      <c r="J181">
        <v>2014</v>
      </c>
      <c r="K181">
        <v>6</v>
      </c>
      <c r="L181">
        <v>276</v>
      </c>
      <c r="M181" t="s">
        <v>61</v>
      </c>
    </row>
    <row r="182" spans="1:13">
      <c r="A182" t="s">
        <v>239</v>
      </c>
      <c r="B182" s="10">
        <v>4.34</v>
      </c>
      <c r="C182" s="10">
        <v>2.34</v>
      </c>
      <c r="D182" s="10">
        <v>2</v>
      </c>
      <c r="E182" s="10">
        <v>19</v>
      </c>
      <c r="F182" s="10">
        <v>10</v>
      </c>
      <c r="G182" s="10">
        <v>0</v>
      </c>
      <c r="H182" s="10">
        <v>0</v>
      </c>
      <c r="I182" s="10">
        <v>2</v>
      </c>
      <c r="J182">
        <v>2014</v>
      </c>
      <c r="K182">
        <v>7</v>
      </c>
      <c r="L182">
        <v>276</v>
      </c>
      <c r="M182" t="s">
        <v>63</v>
      </c>
    </row>
    <row r="183" spans="1:13">
      <c r="A183" t="s">
        <v>240</v>
      </c>
      <c r="B183" s="10">
        <v>3</v>
      </c>
      <c r="C183" s="10">
        <v>0.34</v>
      </c>
      <c r="D183" s="10">
        <v>4</v>
      </c>
      <c r="E183" s="10">
        <v>21.6</v>
      </c>
      <c r="F183" s="10">
        <v>7</v>
      </c>
      <c r="G183" s="10">
        <v>0</v>
      </c>
      <c r="H183" s="10">
        <v>6</v>
      </c>
      <c r="I183" s="10">
        <v>3</v>
      </c>
      <c r="J183">
        <v>2014</v>
      </c>
      <c r="K183">
        <v>7</v>
      </c>
      <c r="L183">
        <v>276</v>
      </c>
      <c r="M183" t="s">
        <v>65</v>
      </c>
    </row>
    <row r="184" spans="1:13">
      <c r="A184" t="s">
        <v>241</v>
      </c>
      <c r="B184" s="10">
        <v>2.33</v>
      </c>
      <c r="C184" s="10">
        <v>5.68</v>
      </c>
      <c r="D184" s="10">
        <v>7</v>
      </c>
      <c r="E184" s="10">
        <v>12.5</v>
      </c>
      <c r="F184" s="10">
        <v>7</v>
      </c>
      <c r="G184" s="10">
        <v>2</v>
      </c>
      <c r="H184" s="10">
        <v>0</v>
      </c>
      <c r="I184" s="10">
        <v>2</v>
      </c>
      <c r="J184">
        <v>2014</v>
      </c>
      <c r="K184">
        <v>7</v>
      </c>
      <c r="L184">
        <v>276</v>
      </c>
      <c r="M184" t="s">
        <v>53</v>
      </c>
    </row>
    <row r="185" spans="1:13">
      <c r="A185" t="s">
        <v>242</v>
      </c>
      <c r="B185" s="10">
        <v>4.34</v>
      </c>
      <c r="C185" s="10">
        <v>4.7</v>
      </c>
      <c r="D185" s="10">
        <v>7</v>
      </c>
      <c r="E185" s="10">
        <v>10.5</v>
      </c>
      <c r="F185" s="10">
        <v>14</v>
      </c>
      <c r="G185" s="10">
        <v>0</v>
      </c>
      <c r="H185" s="10">
        <v>2</v>
      </c>
      <c r="I185" s="10">
        <v>3</v>
      </c>
      <c r="J185">
        <v>2014</v>
      </c>
      <c r="K185">
        <v>7</v>
      </c>
      <c r="L185">
        <v>276</v>
      </c>
      <c r="M185" t="s">
        <v>55</v>
      </c>
    </row>
    <row r="186" spans="1:13">
      <c r="A186" t="s">
        <v>243</v>
      </c>
      <c r="B186" s="10">
        <v>3.34</v>
      </c>
      <c r="C186" s="10">
        <v>4.34</v>
      </c>
      <c r="D186" s="10">
        <v>6</v>
      </c>
      <c r="E186" s="10">
        <v>37</v>
      </c>
      <c r="F186" s="10">
        <v>11</v>
      </c>
      <c r="G186" s="10">
        <v>1</v>
      </c>
      <c r="H186" s="10">
        <v>0</v>
      </c>
      <c r="I186" s="10">
        <v>0</v>
      </c>
      <c r="J186">
        <v>2014</v>
      </c>
      <c r="K186">
        <v>7</v>
      </c>
      <c r="L186">
        <v>276</v>
      </c>
      <c r="M186" t="s">
        <v>57</v>
      </c>
    </row>
    <row r="187" spans="1:13">
      <c r="A187" t="s">
        <v>244</v>
      </c>
      <c r="B187" s="10">
        <v>4</v>
      </c>
      <c r="C187" s="10">
        <v>2</v>
      </c>
      <c r="D187" s="10">
        <v>3</v>
      </c>
      <c r="E187" s="10">
        <v>10.2</v>
      </c>
      <c r="F187" s="10">
        <v>9</v>
      </c>
      <c r="G187" s="10">
        <v>0</v>
      </c>
      <c r="H187" s="10">
        <v>0</v>
      </c>
      <c r="I187" s="10">
        <v>0</v>
      </c>
      <c r="J187">
        <v>2014</v>
      </c>
      <c r="K187">
        <v>7</v>
      </c>
      <c r="L187">
        <v>276</v>
      </c>
      <c r="M187" t="s">
        <v>59</v>
      </c>
    </row>
    <row r="188" spans="1:13">
      <c r="A188" t="s">
        <v>245</v>
      </c>
      <c r="B188" s="10">
        <v>2</v>
      </c>
      <c r="C188" s="10">
        <v>3.34</v>
      </c>
      <c r="D188" s="10">
        <v>4</v>
      </c>
      <c r="E188" s="10">
        <v>13</v>
      </c>
      <c r="F188" s="10">
        <v>11</v>
      </c>
      <c r="G188" s="10">
        <v>0</v>
      </c>
      <c r="H188" s="10">
        <v>0</v>
      </c>
      <c r="I188" s="10">
        <v>4</v>
      </c>
      <c r="J188">
        <v>2014</v>
      </c>
      <c r="K188">
        <v>7</v>
      </c>
      <c r="L188">
        <v>276</v>
      </c>
      <c r="M188" t="s">
        <v>61</v>
      </c>
    </row>
    <row r="189" spans="1:13">
      <c r="A189" t="s">
        <v>246</v>
      </c>
      <c r="B189" s="10">
        <v>6.34</v>
      </c>
      <c r="C189" s="10">
        <v>2.34</v>
      </c>
      <c r="D189" s="10">
        <v>3</v>
      </c>
      <c r="E189" s="10">
        <v>14</v>
      </c>
      <c r="F189" s="10">
        <v>3</v>
      </c>
      <c r="G189" s="10">
        <v>0</v>
      </c>
      <c r="H189" s="10">
        <v>5</v>
      </c>
      <c r="I189" s="10">
        <v>1</v>
      </c>
      <c r="J189">
        <v>2014</v>
      </c>
      <c r="K189">
        <v>7</v>
      </c>
      <c r="L189">
        <v>276</v>
      </c>
      <c r="M189" t="s">
        <v>63</v>
      </c>
    </row>
    <row r="190" spans="1:13">
      <c r="A190" t="s">
        <v>247</v>
      </c>
      <c r="B190" s="10">
        <v>3</v>
      </c>
      <c r="C190" s="10">
        <v>6.34</v>
      </c>
      <c r="D190" s="10">
        <v>5</v>
      </c>
      <c r="E190" s="10">
        <v>13</v>
      </c>
      <c r="F190" s="10">
        <v>6</v>
      </c>
      <c r="G190" s="10">
        <v>4</v>
      </c>
      <c r="H190" s="10">
        <v>0</v>
      </c>
      <c r="I190" s="10">
        <v>2.2</v>
      </c>
      <c r="J190">
        <v>2014</v>
      </c>
      <c r="K190">
        <v>7</v>
      </c>
      <c r="L190">
        <v>276</v>
      </c>
      <c r="M190" t="s">
        <v>65</v>
      </c>
    </row>
    <row r="191" spans="1:13">
      <c r="A191" t="s">
        <v>248</v>
      </c>
      <c r="B191" s="10">
        <v>2.33</v>
      </c>
      <c r="C191" s="10">
        <v>4.66</v>
      </c>
      <c r="D191" s="10">
        <v>8</v>
      </c>
      <c r="E191" s="10">
        <v>21.2</v>
      </c>
      <c r="F191" s="10">
        <v>32</v>
      </c>
      <c r="G191" s="10">
        <v>0</v>
      </c>
      <c r="H191" s="10">
        <v>5</v>
      </c>
      <c r="I191" s="10">
        <v>4</v>
      </c>
      <c r="J191">
        <v>2014</v>
      </c>
      <c r="K191">
        <v>7</v>
      </c>
      <c r="L191">
        <v>276</v>
      </c>
      <c r="M191" t="s">
        <v>53</v>
      </c>
    </row>
    <row r="192" spans="1:13">
      <c r="A192" t="s">
        <v>249</v>
      </c>
      <c r="B192" s="10">
        <v>2</v>
      </c>
      <c r="C192" s="10">
        <v>1.68</v>
      </c>
      <c r="D192" s="10">
        <v>3.2</v>
      </c>
      <c r="E192" s="10">
        <v>16.5</v>
      </c>
      <c r="F192" s="10">
        <v>17</v>
      </c>
      <c r="G192" s="10">
        <v>0</v>
      </c>
      <c r="H192" s="10">
        <v>5</v>
      </c>
      <c r="I192" s="10">
        <v>1</v>
      </c>
      <c r="J192">
        <v>2014</v>
      </c>
      <c r="K192">
        <v>7</v>
      </c>
      <c r="L192">
        <v>276</v>
      </c>
      <c r="M192" t="s">
        <v>55</v>
      </c>
    </row>
    <row r="193" spans="1:13">
      <c r="A193" t="s">
        <v>250</v>
      </c>
      <c r="B193" s="10">
        <v>8.34</v>
      </c>
      <c r="C193" s="10">
        <v>2.68</v>
      </c>
      <c r="D193" s="10">
        <v>10.5</v>
      </c>
      <c r="E193" s="10">
        <v>28.1</v>
      </c>
      <c r="F193" s="10">
        <v>12</v>
      </c>
      <c r="G193" s="10">
        <v>3</v>
      </c>
      <c r="H193" s="10">
        <v>12</v>
      </c>
      <c r="I193" s="10">
        <v>4</v>
      </c>
      <c r="J193">
        <v>2014</v>
      </c>
      <c r="K193">
        <v>7</v>
      </c>
      <c r="L193">
        <v>276</v>
      </c>
      <c r="M193" t="s">
        <v>57</v>
      </c>
    </row>
    <row r="194" spans="1:13">
      <c r="A194" t="s">
        <v>251</v>
      </c>
      <c r="B194" s="10">
        <v>2</v>
      </c>
      <c r="C194" s="10">
        <v>1.34</v>
      </c>
      <c r="D194" s="10">
        <v>1</v>
      </c>
      <c r="E194" s="10">
        <v>17</v>
      </c>
      <c r="F194" s="10">
        <v>2</v>
      </c>
      <c r="G194" s="10">
        <v>0</v>
      </c>
      <c r="H194" s="10">
        <v>0</v>
      </c>
      <c r="I194" s="10">
        <v>0</v>
      </c>
      <c r="J194">
        <v>2014</v>
      </c>
      <c r="K194">
        <v>7</v>
      </c>
      <c r="L194">
        <v>276</v>
      </c>
      <c r="M194" t="s">
        <v>59</v>
      </c>
    </row>
    <row r="195" spans="1:13">
      <c r="A195" t="s">
        <v>252</v>
      </c>
      <c r="B195" s="10">
        <v>5</v>
      </c>
      <c r="C195" s="10">
        <v>3.04</v>
      </c>
      <c r="D195" s="10">
        <v>3</v>
      </c>
      <c r="E195" s="10">
        <v>11.8</v>
      </c>
      <c r="F195" s="10">
        <v>19</v>
      </c>
      <c r="G195" s="10">
        <v>1</v>
      </c>
      <c r="H195" s="10">
        <v>2</v>
      </c>
      <c r="I195" s="10">
        <v>2</v>
      </c>
      <c r="J195">
        <v>2014</v>
      </c>
      <c r="K195">
        <v>7</v>
      </c>
      <c r="L195">
        <v>276</v>
      </c>
      <c r="M195" t="s">
        <v>61</v>
      </c>
    </row>
    <row r="196" spans="1:13">
      <c r="A196" t="s">
        <v>253</v>
      </c>
      <c r="B196" s="10">
        <v>3.34</v>
      </c>
      <c r="C196" s="10">
        <v>1.68</v>
      </c>
      <c r="D196" s="10">
        <v>1</v>
      </c>
      <c r="E196" s="10">
        <v>15.6</v>
      </c>
      <c r="F196" s="10">
        <v>18</v>
      </c>
      <c r="G196" s="10">
        <v>0</v>
      </c>
      <c r="H196" s="10">
        <v>0</v>
      </c>
      <c r="I196" s="10">
        <v>1.3</v>
      </c>
      <c r="J196">
        <v>2014</v>
      </c>
      <c r="K196">
        <v>7</v>
      </c>
      <c r="L196">
        <v>276</v>
      </c>
      <c r="M196" t="s">
        <v>63</v>
      </c>
    </row>
    <row r="197" spans="1:13">
      <c r="A197" t="s">
        <v>254</v>
      </c>
      <c r="B197" s="10">
        <v>4</v>
      </c>
      <c r="C197" s="10">
        <v>3.34</v>
      </c>
      <c r="D197" s="10">
        <v>3</v>
      </c>
      <c r="E197" s="10">
        <v>13</v>
      </c>
      <c r="F197" s="10">
        <v>12</v>
      </c>
      <c r="G197" s="10">
        <v>1</v>
      </c>
      <c r="H197" s="10">
        <v>4</v>
      </c>
      <c r="I197" s="10">
        <v>0</v>
      </c>
      <c r="J197">
        <v>2014</v>
      </c>
      <c r="K197">
        <v>7</v>
      </c>
      <c r="L197">
        <v>276</v>
      </c>
      <c r="M197" t="s">
        <v>65</v>
      </c>
    </row>
    <row r="198" spans="1:13">
      <c r="A198" t="s">
        <v>255</v>
      </c>
      <c r="B198" s="10">
        <v>2</v>
      </c>
      <c r="C198" s="10">
        <v>3</v>
      </c>
      <c r="D198" s="10">
        <v>5</v>
      </c>
      <c r="E198" s="10">
        <v>25</v>
      </c>
      <c r="F198" s="10">
        <v>14</v>
      </c>
      <c r="G198" s="10">
        <v>1</v>
      </c>
      <c r="H198" s="10">
        <v>0</v>
      </c>
      <c r="I198" s="10">
        <v>1</v>
      </c>
      <c r="J198">
        <v>2014</v>
      </c>
      <c r="K198">
        <v>7</v>
      </c>
      <c r="L198">
        <v>276</v>
      </c>
      <c r="M198" t="s">
        <v>53</v>
      </c>
    </row>
    <row r="199" spans="1:13">
      <c r="A199" t="s">
        <v>256</v>
      </c>
      <c r="B199" s="10">
        <v>9</v>
      </c>
      <c r="C199" s="10">
        <v>2.34</v>
      </c>
      <c r="D199" s="10">
        <v>1.5</v>
      </c>
      <c r="E199" s="10">
        <v>14.2</v>
      </c>
      <c r="F199" s="10">
        <v>6</v>
      </c>
      <c r="G199" s="10">
        <v>3</v>
      </c>
      <c r="H199" s="10">
        <v>0</v>
      </c>
      <c r="I199" s="10">
        <v>4</v>
      </c>
      <c r="J199">
        <v>2014</v>
      </c>
      <c r="K199">
        <v>7</v>
      </c>
      <c r="L199">
        <v>276</v>
      </c>
      <c r="M199" t="s">
        <v>55</v>
      </c>
    </row>
    <row r="200" spans="1:13">
      <c r="A200" t="s">
        <v>257</v>
      </c>
      <c r="B200" s="10">
        <v>7.33</v>
      </c>
      <c r="C200" s="10">
        <v>7.02</v>
      </c>
      <c r="D200" s="10">
        <v>6</v>
      </c>
      <c r="E200" s="10">
        <v>8.4</v>
      </c>
      <c r="F200" s="10">
        <v>10</v>
      </c>
      <c r="G200" s="10">
        <v>0</v>
      </c>
      <c r="H200" s="10">
        <v>6</v>
      </c>
      <c r="I200" s="10">
        <v>6</v>
      </c>
      <c r="J200">
        <v>2014</v>
      </c>
      <c r="K200">
        <v>7</v>
      </c>
      <c r="L200">
        <v>276</v>
      </c>
      <c r="M200" t="s">
        <v>57</v>
      </c>
    </row>
    <row r="201" spans="1:13">
      <c r="A201" t="s">
        <v>258</v>
      </c>
      <c r="B201" s="10">
        <v>3</v>
      </c>
      <c r="C201" s="10">
        <v>0.34</v>
      </c>
      <c r="D201" s="10">
        <v>1</v>
      </c>
      <c r="E201" s="10">
        <v>8</v>
      </c>
      <c r="F201" s="10">
        <v>5</v>
      </c>
      <c r="G201" s="10">
        <v>0</v>
      </c>
      <c r="H201" s="10">
        <v>0</v>
      </c>
      <c r="I201" s="10">
        <v>0.1</v>
      </c>
      <c r="J201">
        <v>2014</v>
      </c>
      <c r="K201">
        <v>7</v>
      </c>
      <c r="L201">
        <v>276</v>
      </c>
      <c r="M201" t="s">
        <v>59</v>
      </c>
    </row>
    <row r="202" spans="1:13">
      <c r="A202" t="s">
        <v>259</v>
      </c>
      <c r="B202" s="10">
        <v>3</v>
      </c>
      <c r="C202" s="10">
        <v>4.68</v>
      </c>
      <c r="D202" s="10">
        <v>8</v>
      </c>
      <c r="E202" s="10">
        <v>20</v>
      </c>
      <c r="F202" s="10">
        <v>13</v>
      </c>
      <c r="G202" s="10">
        <v>1</v>
      </c>
      <c r="H202" s="10">
        <v>0</v>
      </c>
      <c r="I202" s="10">
        <v>2</v>
      </c>
      <c r="J202">
        <v>2014</v>
      </c>
      <c r="K202">
        <v>7</v>
      </c>
      <c r="L202">
        <v>276</v>
      </c>
      <c r="M202" t="s">
        <v>61</v>
      </c>
    </row>
    <row r="203" spans="1:13">
      <c r="A203" t="s">
        <v>260</v>
      </c>
      <c r="B203" s="10">
        <v>5</v>
      </c>
      <c r="C203" s="10">
        <v>5.68</v>
      </c>
      <c r="D203" s="10">
        <v>3</v>
      </c>
      <c r="E203" s="10">
        <v>9</v>
      </c>
      <c r="F203" s="10">
        <v>7</v>
      </c>
      <c r="G203" s="10">
        <v>0</v>
      </c>
      <c r="H203" s="10">
        <v>1</v>
      </c>
      <c r="I203" s="10">
        <v>2</v>
      </c>
      <c r="J203">
        <v>2014</v>
      </c>
      <c r="K203">
        <v>7</v>
      </c>
      <c r="L203">
        <v>276</v>
      </c>
      <c r="M203" t="s">
        <v>63</v>
      </c>
    </row>
    <row r="204" spans="1:13">
      <c r="A204" t="s">
        <v>261</v>
      </c>
      <c r="B204" s="10">
        <v>2.67</v>
      </c>
      <c r="C204" s="10">
        <v>6.37</v>
      </c>
      <c r="D204" s="10">
        <v>2</v>
      </c>
      <c r="E204" s="10">
        <v>8</v>
      </c>
      <c r="F204" s="10">
        <v>19</v>
      </c>
      <c r="G204" s="10">
        <v>0</v>
      </c>
      <c r="H204" s="10">
        <v>0</v>
      </c>
      <c r="I204" s="10">
        <v>3</v>
      </c>
      <c r="J204">
        <v>2014</v>
      </c>
      <c r="K204">
        <v>7</v>
      </c>
      <c r="L204">
        <v>276</v>
      </c>
      <c r="M204" t="s">
        <v>65</v>
      </c>
    </row>
    <row r="205" spans="1:13">
      <c r="A205" t="s">
        <v>262</v>
      </c>
      <c r="B205" s="10">
        <v>5.34</v>
      </c>
      <c r="C205" s="10">
        <v>2</v>
      </c>
      <c r="D205" s="10">
        <v>4.4</v>
      </c>
      <c r="E205" s="10">
        <v>23</v>
      </c>
      <c r="F205" s="10">
        <v>5</v>
      </c>
      <c r="G205" s="10">
        <v>0</v>
      </c>
      <c r="H205" s="10">
        <v>0</v>
      </c>
      <c r="I205" s="10">
        <v>2</v>
      </c>
      <c r="J205">
        <v>2014</v>
      </c>
      <c r="K205">
        <v>7</v>
      </c>
      <c r="L205">
        <v>276</v>
      </c>
      <c r="M205" t="s">
        <v>53</v>
      </c>
    </row>
    <row r="206" spans="1:13">
      <c r="A206" t="s">
        <v>263</v>
      </c>
      <c r="B206" s="10">
        <v>5</v>
      </c>
      <c r="C206" s="10">
        <v>2.02</v>
      </c>
      <c r="D206" s="10">
        <v>7.5</v>
      </c>
      <c r="E206" s="10">
        <v>10</v>
      </c>
      <c r="F206" s="10">
        <v>15</v>
      </c>
      <c r="G206" s="10">
        <v>1</v>
      </c>
      <c r="H206" s="10">
        <v>1</v>
      </c>
      <c r="I206" s="10">
        <v>2</v>
      </c>
      <c r="J206">
        <v>2014</v>
      </c>
      <c r="K206">
        <v>7</v>
      </c>
      <c r="L206">
        <v>276</v>
      </c>
      <c r="M206" t="s">
        <v>55</v>
      </c>
    </row>
    <row r="207" spans="1:13">
      <c r="A207" t="s">
        <v>264</v>
      </c>
      <c r="B207" s="10">
        <v>4</v>
      </c>
      <c r="C207" s="10">
        <v>6.68</v>
      </c>
      <c r="D207" s="10">
        <v>6.2</v>
      </c>
      <c r="E207" s="10">
        <v>36.2</v>
      </c>
      <c r="F207" s="10">
        <v>13</v>
      </c>
      <c r="G207" s="10">
        <v>0</v>
      </c>
      <c r="H207" s="10">
        <v>0</v>
      </c>
      <c r="I207" s="10">
        <v>4</v>
      </c>
      <c r="J207">
        <v>2014</v>
      </c>
      <c r="K207">
        <v>7</v>
      </c>
      <c r="L207">
        <v>276</v>
      </c>
      <c r="M207" t="s">
        <v>57</v>
      </c>
    </row>
    <row r="208" spans="1:13">
      <c r="A208" t="s">
        <v>265</v>
      </c>
      <c r="B208" s="10">
        <v>3</v>
      </c>
      <c r="C208" s="10">
        <v>1.34</v>
      </c>
      <c r="D208" s="10">
        <v>2</v>
      </c>
      <c r="E208" s="10">
        <v>10</v>
      </c>
      <c r="F208" s="10">
        <v>5</v>
      </c>
      <c r="G208" s="10">
        <v>0</v>
      </c>
      <c r="H208" s="10">
        <v>6</v>
      </c>
      <c r="I208" s="10">
        <v>1</v>
      </c>
      <c r="J208">
        <v>2014</v>
      </c>
      <c r="K208">
        <v>7</v>
      </c>
      <c r="L208">
        <v>276</v>
      </c>
      <c r="M208" t="s">
        <v>59</v>
      </c>
    </row>
    <row r="209" spans="1:13">
      <c r="A209" t="s">
        <v>266</v>
      </c>
      <c r="B209" s="10">
        <v>2</v>
      </c>
      <c r="C209" s="10">
        <v>1.34</v>
      </c>
      <c r="D209" s="10">
        <v>2</v>
      </c>
      <c r="E209" s="10">
        <v>9.1</v>
      </c>
      <c r="F209" s="10">
        <v>9</v>
      </c>
      <c r="G209" s="10">
        <v>0</v>
      </c>
      <c r="H209" s="10">
        <v>0</v>
      </c>
      <c r="I209" s="10">
        <v>2</v>
      </c>
      <c r="J209">
        <v>2014</v>
      </c>
      <c r="K209">
        <v>7</v>
      </c>
      <c r="L209">
        <v>276</v>
      </c>
      <c r="M209" t="s">
        <v>61</v>
      </c>
    </row>
    <row r="210" spans="1:13">
      <c r="A210" t="s">
        <v>267</v>
      </c>
      <c r="B210" s="10">
        <v>2.34</v>
      </c>
      <c r="C210" s="10">
        <v>0.68</v>
      </c>
      <c r="D210" s="10">
        <v>1</v>
      </c>
      <c r="E210" s="10">
        <v>13</v>
      </c>
      <c r="F210" s="10">
        <v>15</v>
      </c>
      <c r="G210" s="10">
        <v>3</v>
      </c>
      <c r="H210" s="10">
        <v>0</v>
      </c>
      <c r="I210" s="10">
        <v>5</v>
      </c>
      <c r="J210">
        <v>2014</v>
      </c>
      <c r="K210">
        <v>7</v>
      </c>
      <c r="L210">
        <v>276</v>
      </c>
      <c r="M210" t="s">
        <v>63</v>
      </c>
    </row>
    <row r="211" spans="1:13">
      <c r="A211" t="s">
        <v>268</v>
      </c>
      <c r="B211" s="10">
        <v>0.68</v>
      </c>
      <c r="C211" s="10">
        <v>1.34</v>
      </c>
      <c r="D211" s="10">
        <v>5</v>
      </c>
      <c r="E211" s="10">
        <v>13.5</v>
      </c>
      <c r="F211" s="10">
        <v>14</v>
      </c>
      <c r="G211" s="10">
        <v>0</v>
      </c>
      <c r="H211" s="10">
        <v>6</v>
      </c>
      <c r="I211" s="10">
        <v>4.5</v>
      </c>
      <c r="J211">
        <v>2014</v>
      </c>
      <c r="K211">
        <v>7</v>
      </c>
      <c r="L211">
        <v>276</v>
      </c>
      <c r="M211" t="s">
        <v>65</v>
      </c>
    </row>
    <row r="212" spans="1:13">
      <c r="A212" t="s">
        <v>269</v>
      </c>
      <c r="B212" s="10">
        <v>3</v>
      </c>
      <c r="C212" s="10">
        <v>0.34</v>
      </c>
      <c r="D212" s="10">
        <v>4</v>
      </c>
      <c r="E212" s="10">
        <v>10.5</v>
      </c>
      <c r="F212" s="10">
        <v>8</v>
      </c>
      <c r="G212" s="10">
        <v>0</v>
      </c>
      <c r="H212" s="10">
        <v>0</v>
      </c>
      <c r="I212" s="10">
        <v>1</v>
      </c>
      <c r="J212">
        <v>2014</v>
      </c>
      <c r="K212">
        <v>7</v>
      </c>
      <c r="L212">
        <v>276</v>
      </c>
      <c r="M212" t="s">
        <v>53</v>
      </c>
    </row>
    <row r="213" spans="1:13">
      <c r="A213" t="s">
        <v>270</v>
      </c>
      <c r="B213" s="10">
        <v>2</v>
      </c>
      <c r="C213" s="10">
        <v>1</v>
      </c>
      <c r="D213" s="10">
        <v>2.2</v>
      </c>
      <c r="E213" s="10">
        <v>14</v>
      </c>
      <c r="F213" s="10">
        <v>17</v>
      </c>
      <c r="G213" s="10">
        <v>1</v>
      </c>
      <c r="H213" s="10">
        <v>0</v>
      </c>
      <c r="I213" s="10">
        <v>1</v>
      </c>
      <c r="J213">
        <v>2014</v>
      </c>
      <c r="K213">
        <v>8</v>
      </c>
      <c r="L213">
        <v>276</v>
      </c>
      <c r="M213" t="s">
        <v>55</v>
      </c>
    </row>
    <row r="214" spans="1:13">
      <c r="A214" t="s">
        <v>271</v>
      </c>
      <c r="B214" s="10">
        <v>5</v>
      </c>
      <c r="C214" s="10">
        <v>2.01</v>
      </c>
      <c r="D214" s="10">
        <v>6</v>
      </c>
      <c r="E214" s="10">
        <v>29</v>
      </c>
      <c r="F214" s="10">
        <v>12</v>
      </c>
      <c r="G214" s="10">
        <v>0</v>
      </c>
      <c r="H214" s="10">
        <v>5</v>
      </c>
      <c r="I214" s="10">
        <v>3</v>
      </c>
      <c r="J214">
        <v>2014</v>
      </c>
      <c r="K214">
        <v>8</v>
      </c>
      <c r="L214">
        <v>276</v>
      </c>
      <c r="M214" t="s">
        <v>57</v>
      </c>
    </row>
    <row r="215" spans="1:13">
      <c r="A215" t="s">
        <v>272</v>
      </c>
      <c r="B215" s="10">
        <v>5</v>
      </c>
      <c r="C215" s="10">
        <v>1</v>
      </c>
      <c r="D215" s="10">
        <v>3</v>
      </c>
      <c r="E215" s="10">
        <v>6</v>
      </c>
      <c r="F215" s="10">
        <v>5</v>
      </c>
      <c r="G215" s="10">
        <v>5</v>
      </c>
      <c r="H215" s="10">
        <v>0</v>
      </c>
      <c r="I215" s="10">
        <v>0</v>
      </c>
      <c r="J215">
        <v>2014</v>
      </c>
      <c r="K215">
        <v>8</v>
      </c>
      <c r="L215">
        <v>276</v>
      </c>
      <c r="M215" t="s">
        <v>59</v>
      </c>
    </row>
    <row r="216" spans="1:13">
      <c r="A216" t="s">
        <v>273</v>
      </c>
      <c r="B216" s="10">
        <v>4</v>
      </c>
      <c r="C216" s="10">
        <v>5.02</v>
      </c>
      <c r="D216" s="10">
        <v>6</v>
      </c>
      <c r="E216" s="10">
        <v>21.5</v>
      </c>
      <c r="F216" s="10">
        <v>14</v>
      </c>
      <c r="G216" s="10">
        <v>0</v>
      </c>
      <c r="H216" s="10">
        <v>0</v>
      </c>
      <c r="I216" s="10">
        <v>4</v>
      </c>
      <c r="J216">
        <v>2014</v>
      </c>
      <c r="K216">
        <v>8</v>
      </c>
      <c r="L216">
        <v>276</v>
      </c>
      <c r="M216" t="s">
        <v>61</v>
      </c>
    </row>
    <row r="217" spans="1:13">
      <c r="A217" t="s">
        <v>274</v>
      </c>
      <c r="B217" s="10">
        <v>2</v>
      </c>
      <c r="C217" s="10">
        <v>1.34</v>
      </c>
      <c r="D217" s="10">
        <v>3</v>
      </c>
      <c r="E217" s="10">
        <v>17.1</v>
      </c>
      <c r="F217" s="10">
        <v>9</v>
      </c>
      <c r="G217" s="10">
        <v>0</v>
      </c>
      <c r="H217" s="10">
        <v>0</v>
      </c>
      <c r="I217" s="10">
        <v>0</v>
      </c>
      <c r="J217">
        <v>2014</v>
      </c>
      <c r="K217">
        <v>8</v>
      </c>
      <c r="L217">
        <v>276</v>
      </c>
      <c r="M217" t="s">
        <v>63</v>
      </c>
    </row>
    <row r="218" spans="1:13">
      <c r="A218" t="s">
        <v>275</v>
      </c>
      <c r="B218" s="10">
        <v>6</v>
      </c>
      <c r="C218" s="10">
        <v>5</v>
      </c>
      <c r="D218" s="10">
        <v>1.4</v>
      </c>
      <c r="E218" s="10">
        <v>17</v>
      </c>
      <c r="F218" s="10">
        <v>7</v>
      </c>
      <c r="G218" s="10">
        <v>1</v>
      </c>
      <c r="H218" s="10">
        <v>1</v>
      </c>
      <c r="I218" s="10">
        <v>1</v>
      </c>
      <c r="J218">
        <v>2014</v>
      </c>
      <c r="K218">
        <v>8</v>
      </c>
      <c r="L218">
        <v>276</v>
      </c>
      <c r="M218" t="s">
        <v>65</v>
      </c>
    </row>
    <row r="219" spans="1:13">
      <c r="A219" t="s">
        <v>276</v>
      </c>
      <c r="B219" s="10">
        <v>3.34</v>
      </c>
      <c r="C219" s="10">
        <v>2.68</v>
      </c>
      <c r="D219" s="10">
        <v>3</v>
      </c>
      <c r="E219" s="10">
        <v>33</v>
      </c>
      <c r="F219" s="10">
        <v>13</v>
      </c>
      <c r="G219" s="10">
        <v>1</v>
      </c>
      <c r="H219" s="10">
        <v>0</v>
      </c>
      <c r="I219" s="10">
        <v>2</v>
      </c>
      <c r="J219">
        <v>2014</v>
      </c>
      <c r="K219">
        <v>8</v>
      </c>
      <c r="L219">
        <v>276</v>
      </c>
      <c r="M219" t="s">
        <v>53</v>
      </c>
    </row>
    <row r="220" spans="1:13">
      <c r="A220" t="s">
        <v>277</v>
      </c>
      <c r="B220" s="10">
        <v>5.02</v>
      </c>
      <c r="C220" s="10">
        <v>4.02</v>
      </c>
      <c r="D220" s="10">
        <v>5</v>
      </c>
      <c r="E220" s="10">
        <v>13</v>
      </c>
      <c r="F220" s="10">
        <v>12</v>
      </c>
      <c r="G220" s="10">
        <v>3</v>
      </c>
      <c r="H220" s="10">
        <v>2</v>
      </c>
      <c r="I220" s="10">
        <v>2</v>
      </c>
      <c r="J220">
        <v>2014</v>
      </c>
      <c r="K220">
        <v>8</v>
      </c>
      <c r="L220">
        <v>276</v>
      </c>
      <c r="M220" t="s">
        <v>55</v>
      </c>
    </row>
    <row r="221" spans="1:13">
      <c r="A221" t="s">
        <v>278</v>
      </c>
      <c r="B221" s="10">
        <v>4</v>
      </c>
      <c r="C221" s="10">
        <v>1.34</v>
      </c>
      <c r="D221" s="10">
        <v>6</v>
      </c>
      <c r="E221" s="10">
        <v>19</v>
      </c>
      <c r="F221" s="10">
        <v>24</v>
      </c>
      <c r="G221" s="10">
        <v>3</v>
      </c>
      <c r="H221" s="10">
        <v>0</v>
      </c>
      <c r="I221" s="10">
        <v>5.9</v>
      </c>
      <c r="J221">
        <v>2014</v>
      </c>
      <c r="K221">
        <v>8</v>
      </c>
      <c r="L221">
        <v>276</v>
      </c>
      <c r="M221" t="s">
        <v>57</v>
      </c>
    </row>
    <row r="222" spans="1:13">
      <c r="A222" t="s">
        <v>279</v>
      </c>
      <c r="B222" s="10">
        <v>4</v>
      </c>
      <c r="C222" s="10">
        <v>0.34</v>
      </c>
      <c r="D222" s="10">
        <v>4</v>
      </c>
      <c r="E222" s="10">
        <v>3</v>
      </c>
      <c r="F222" s="10">
        <v>4</v>
      </c>
      <c r="G222" s="10">
        <v>0</v>
      </c>
      <c r="H222" s="10">
        <v>0</v>
      </c>
      <c r="I222" s="10">
        <v>2</v>
      </c>
      <c r="J222">
        <v>2014</v>
      </c>
      <c r="K222">
        <v>8</v>
      </c>
      <c r="L222">
        <v>276</v>
      </c>
      <c r="M222" t="s">
        <v>59</v>
      </c>
    </row>
    <row r="223" spans="1:13">
      <c r="A223" t="s">
        <v>280</v>
      </c>
      <c r="B223" s="10">
        <v>8</v>
      </c>
      <c r="C223" s="10">
        <v>5.36</v>
      </c>
      <c r="D223" s="10">
        <v>9.199999999999999</v>
      </c>
      <c r="E223" s="10">
        <v>20</v>
      </c>
      <c r="F223" s="10">
        <v>18</v>
      </c>
      <c r="G223" s="10">
        <v>0</v>
      </c>
      <c r="H223" s="10">
        <v>0</v>
      </c>
      <c r="I223" s="10">
        <v>2</v>
      </c>
      <c r="J223">
        <v>2014</v>
      </c>
      <c r="K223">
        <v>8</v>
      </c>
      <c r="L223">
        <v>276</v>
      </c>
      <c r="M223" t="s">
        <v>61</v>
      </c>
    </row>
    <row r="224" spans="1:13">
      <c r="A224" t="s">
        <v>281</v>
      </c>
      <c r="B224" s="10">
        <v>0</v>
      </c>
      <c r="C224" s="10">
        <v>1.36</v>
      </c>
      <c r="D224" s="10">
        <v>4.5</v>
      </c>
      <c r="E224" s="10">
        <v>10</v>
      </c>
      <c r="F224" s="10">
        <v>8</v>
      </c>
      <c r="G224" s="10">
        <v>1</v>
      </c>
      <c r="H224" s="10">
        <v>0</v>
      </c>
      <c r="I224" s="10">
        <v>4.6</v>
      </c>
      <c r="J224">
        <v>2014</v>
      </c>
      <c r="K224">
        <v>8</v>
      </c>
      <c r="L224">
        <v>276</v>
      </c>
      <c r="M224" t="s">
        <v>63</v>
      </c>
    </row>
    <row r="225" spans="1:13">
      <c r="A225" t="s">
        <v>282</v>
      </c>
      <c r="B225" s="10">
        <v>1.34</v>
      </c>
      <c r="C225" s="10">
        <v>3.34</v>
      </c>
      <c r="D225" s="10">
        <v>1</v>
      </c>
      <c r="E225" s="10">
        <v>20.3</v>
      </c>
      <c r="F225" s="10">
        <v>11</v>
      </c>
      <c r="G225" s="10">
        <v>0</v>
      </c>
      <c r="H225" s="10">
        <v>0</v>
      </c>
      <c r="I225" s="10">
        <v>7</v>
      </c>
      <c r="J225">
        <v>2014</v>
      </c>
      <c r="K225">
        <v>8</v>
      </c>
      <c r="L225">
        <v>276</v>
      </c>
      <c r="M225" t="s">
        <v>65</v>
      </c>
    </row>
    <row r="226" spans="1:13">
      <c r="A226" t="s">
        <v>283</v>
      </c>
      <c r="B226" s="10">
        <v>4</v>
      </c>
      <c r="C226" s="10">
        <v>2.34</v>
      </c>
      <c r="D226" s="10">
        <v>6</v>
      </c>
      <c r="E226" s="10">
        <v>14.4</v>
      </c>
      <c r="F226" s="10">
        <v>13</v>
      </c>
      <c r="G226" s="10">
        <v>0</v>
      </c>
      <c r="H226" s="10">
        <v>0</v>
      </c>
      <c r="I226" s="10">
        <v>6</v>
      </c>
      <c r="J226">
        <v>2014</v>
      </c>
      <c r="K226">
        <v>8</v>
      </c>
      <c r="L226">
        <v>276</v>
      </c>
      <c r="M226" t="s">
        <v>53</v>
      </c>
    </row>
    <row r="227" spans="1:13">
      <c r="A227" t="s">
        <v>284</v>
      </c>
      <c r="B227" s="10">
        <v>4.34</v>
      </c>
      <c r="C227" s="10">
        <v>4.02</v>
      </c>
      <c r="D227" s="10">
        <v>7</v>
      </c>
      <c r="E227" s="10">
        <v>13.2</v>
      </c>
      <c r="F227" s="10">
        <v>15</v>
      </c>
      <c r="G227" s="10">
        <v>2</v>
      </c>
      <c r="H227" s="10">
        <v>3</v>
      </c>
      <c r="I227" s="10">
        <v>2</v>
      </c>
      <c r="J227">
        <v>2014</v>
      </c>
      <c r="K227">
        <v>8</v>
      </c>
      <c r="L227">
        <v>276</v>
      </c>
      <c r="M227" t="s">
        <v>55</v>
      </c>
    </row>
    <row r="228" spans="1:13">
      <c r="A228" t="s">
        <v>285</v>
      </c>
      <c r="B228" s="10">
        <v>8</v>
      </c>
      <c r="C228" s="10">
        <v>2.43</v>
      </c>
      <c r="D228" s="10">
        <v>5</v>
      </c>
      <c r="E228" s="10">
        <v>19</v>
      </c>
      <c r="F228" s="10">
        <v>27</v>
      </c>
      <c r="G228" s="10">
        <v>2</v>
      </c>
      <c r="H228" s="10">
        <v>0</v>
      </c>
      <c r="I228" s="10">
        <v>1</v>
      </c>
      <c r="J228">
        <v>2014</v>
      </c>
      <c r="K228">
        <v>8</v>
      </c>
      <c r="L228">
        <v>276</v>
      </c>
      <c r="M228" t="s">
        <v>57</v>
      </c>
    </row>
    <row r="229" spans="1:13">
      <c r="A229" t="s">
        <v>286</v>
      </c>
      <c r="B229" s="10">
        <v>0.34</v>
      </c>
      <c r="C229" s="10">
        <v>0.68</v>
      </c>
      <c r="D229" s="10">
        <v>2</v>
      </c>
      <c r="E229" s="10">
        <v>6.5</v>
      </c>
      <c r="F229" s="10">
        <v>7</v>
      </c>
      <c r="G229" s="10">
        <v>0</v>
      </c>
      <c r="H229" s="10">
        <v>0</v>
      </c>
      <c r="I229" s="10">
        <v>1</v>
      </c>
      <c r="J229">
        <v>2014</v>
      </c>
      <c r="K229">
        <v>8</v>
      </c>
      <c r="L229">
        <v>276</v>
      </c>
      <c r="M229" t="s">
        <v>59</v>
      </c>
    </row>
    <row r="230" spans="1:13">
      <c r="A230" t="s">
        <v>287</v>
      </c>
      <c r="B230" s="10">
        <v>4.34</v>
      </c>
      <c r="C230" s="10">
        <v>6</v>
      </c>
      <c r="D230" s="10">
        <v>3.1</v>
      </c>
      <c r="E230" s="10">
        <v>16.5</v>
      </c>
      <c r="F230" s="10">
        <v>21</v>
      </c>
      <c r="G230" s="10">
        <v>3</v>
      </c>
      <c r="H230" s="10">
        <v>10</v>
      </c>
      <c r="I230" s="10">
        <v>2</v>
      </c>
      <c r="J230">
        <v>2014</v>
      </c>
      <c r="K230">
        <v>8</v>
      </c>
      <c r="L230">
        <v>276</v>
      </c>
      <c r="M230" t="s">
        <v>61</v>
      </c>
    </row>
    <row r="231" spans="1:13">
      <c r="A231" t="s">
        <v>288</v>
      </c>
      <c r="B231" s="10">
        <v>11.34</v>
      </c>
      <c r="C231" s="10">
        <v>6.35</v>
      </c>
      <c r="D231" s="10">
        <v>5</v>
      </c>
      <c r="E231" s="10">
        <v>16.1</v>
      </c>
      <c r="F231" s="10">
        <v>13</v>
      </c>
      <c r="G231" s="10">
        <v>1</v>
      </c>
      <c r="H231" s="10">
        <v>3</v>
      </c>
      <c r="I231" s="10">
        <v>1.1</v>
      </c>
      <c r="J231">
        <v>2014</v>
      </c>
      <c r="K231">
        <v>8</v>
      </c>
      <c r="L231">
        <v>276</v>
      </c>
      <c r="M231" t="s">
        <v>63</v>
      </c>
    </row>
    <row r="232" spans="1:13">
      <c r="A232" t="s">
        <v>289</v>
      </c>
      <c r="B232" s="10">
        <v>5.34</v>
      </c>
      <c r="C232" s="10">
        <v>5.34</v>
      </c>
      <c r="D232" s="10">
        <v>1.4</v>
      </c>
      <c r="E232" s="10">
        <v>9</v>
      </c>
      <c r="F232" s="10">
        <v>10</v>
      </c>
      <c r="G232" s="10">
        <v>2</v>
      </c>
      <c r="H232" s="10">
        <v>0</v>
      </c>
      <c r="I232" s="10">
        <v>1</v>
      </c>
      <c r="J232">
        <v>2014</v>
      </c>
      <c r="K232">
        <v>8</v>
      </c>
      <c r="L232">
        <v>276</v>
      </c>
      <c r="M232" t="s">
        <v>65</v>
      </c>
    </row>
    <row r="233" spans="1:13">
      <c r="A233" t="s">
        <v>290</v>
      </c>
      <c r="B233" s="10">
        <v>3</v>
      </c>
      <c r="C233" s="10">
        <v>1</v>
      </c>
      <c r="D233" s="10">
        <v>2</v>
      </c>
      <c r="E233" s="10">
        <v>18</v>
      </c>
      <c r="F233" s="10">
        <v>16</v>
      </c>
      <c r="G233" s="10">
        <v>1</v>
      </c>
      <c r="H233" s="10">
        <v>0</v>
      </c>
      <c r="I233" s="10">
        <v>2.2</v>
      </c>
      <c r="J233">
        <v>2014</v>
      </c>
      <c r="K233">
        <v>8</v>
      </c>
      <c r="L233">
        <v>276</v>
      </c>
      <c r="M233" t="s">
        <v>53</v>
      </c>
    </row>
    <row r="234" spans="1:13">
      <c r="A234" t="s">
        <v>291</v>
      </c>
      <c r="B234" s="10">
        <v>6.34</v>
      </c>
      <c r="C234" s="10">
        <v>1.34</v>
      </c>
      <c r="D234" s="10">
        <v>5</v>
      </c>
      <c r="E234" s="10">
        <v>19</v>
      </c>
      <c r="F234" s="10">
        <v>15</v>
      </c>
      <c r="G234" s="10">
        <v>0</v>
      </c>
      <c r="H234" s="10">
        <v>0</v>
      </c>
      <c r="I234" s="10">
        <v>1</v>
      </c>
      <c r="J234">
        <v>2014</v>
      </c>
      <c r="K234">
        <v>8</v>
      </c>
      <c r="L234">
        <v>276</v>
      </c>
      <c r="M234" t="s">
        <v>55</v>
      </c>
    </row>
    <row r="235" spans="1:13">
      <c r="A235" t="s">
        <v>292</v>
      </c>
      <c r="B235" s="10">
        <v>3</v>
      </c>
      <c r="C235" s="10">
        <v>3.02</v>
      </c>
      <c r="D235" s="10">
        <v>1</v>
      </c>
      <c r="E235" s="10">
        <v>25.6</v>
      </c>
      <c r="F235" s="10">
        <v>5</v>
      </c>
      <c r="G235" s="10">
        <v>0</v>
      </c>
      <c r="H235" s="10">
        <v>0</v>
      </c>
      <c r="I235" s="10">
        <v>4</v>
      </c>
      <c r="J235">
        <v>2014</v>
      </c>
      <c r="K235">
        <v>8</v>
      </c>
      <c r="L235">
        <v>276</v>
      </c>
      <c r="M235" t="s">
        <v>57</v>
      </c>
    </row>
    <row r="236" spans="1:13">
      <c r="A236" t="s">
        <v>293</v>
      </c>
      <c r="B236" s="10">
        <v>3</v>
      </c>
      <c r="C236" s="10">
        <v>2.175</v>
      </c>
      <c r="D236" s="10">
        <v>3</v>
      </c>
      <c r="E236" s="10">
        <v>7</v>
      </c>
      <c r="F236" s="10">
        <v>12</v>
      </c>
      <c r="G236" s="10">
        <v>0</v>
      </c>
      <c r="H236" s="10">
        <v>1</v>
      </c>
      <c r="I236" s="10">
        <v>0</v>
      </c>
      <c r="J236">
        <v>2014</v>
      </c>
      <c r="K236">
        <v>8</v>
      </c>
      <c r="L236">
        <v>276</v>
      </c>
      <c r="M236" t="s">
        <v>59</v>
      </c>
    </row>
    <row r="237" spans="1:13">
      <c r="A237" t="s">
        <v>294</v>
      </c>
      <c r="B237" s="10">
        <v>4.01</v>
      </c>
      <c r="C237" s="10">
        <v>3.175</v>
      </c>
      <c r="D237" s="10">
        <v>3</v>
      </c>
      <c r="E237" s="10">
        <v>21.2</v>
      </c>
      <c r="F237" s="10">
        <v>21</v>
      </c>
      <c r="G237" s="10">
        <v>0</v>
      </c>
      <c r="H237" s="10">
        <v>0</v>
      </c>
      <c r="I237" s="10">
        <v>0</v>
      </c>
      <c r="J237">
        <v>2014</v>
      </c>
      <c r="K237">
        <v>8</v>
      </c>
      <c r="L237">
        <v>276</v>
      </c>
      <c r="M237" t="s">
        <v>61</v>
      </c>
    </row>
    <row r="238" spans="1:13">
      <c r="A238" t="s">
        <v>295</v>
      </c>
      <c r="B238" s="10">
        <v>2.34</v>
      </c>
      <c r="C238" s="10">
        <v>5.34</v>
      </c>
      <c r="D238" s="10">
        <v>3</v>
      </c>
      <c r="E238" s="10">
        <v>31</v>
      </c>
      <c r="F238" s="10">
        <v>14</v>
      </c>
      <c r="G238" s="10">
        <v>1</v>
      </c>
      <c r="H238" s="10">
        <v>1</v>
      </c>
      <c r="I238" s="10">
        <v>3</v>
      </c>
      <c r="J238">
        <v>2014</v>
      </c>
      <c r="K238">
        <v>8</v>
      </c>
      <c r="L238">
        <v>276</v>
      </c>
      <c r="M238" t="s">
        <v>63</v>
      </c>
    </row>
    <row r="239" spans="1:13">
      <c r="A239" t="s">
        <v>296</v>
      </c>
      <c r="B239" s="10">
        <v>3.34</v>
      </c>
      <c r="C239" s="10">
        <v>8.02</v>
      </c>
      <c r="D239" s="10">
        <v>4</v>
      </c>
      <c r="E239" s="10">
        <v>21</v>
      </c>
      <c r="F239" s="10">
        <v>14</v>
      </c>
      <c r="G239" s="10">
        <v>0</v>
      </c>
      <c r="H239" s="10">
        <v>0</v>
      </c>
      <c r="I239" s="10">
        <v>3</v>
      </c>
      <c r="J239">
        <v>2014</v>
      </c>
      <c r="K239">
        <v>8</v>
      </c>
      <c r="L239">
        <v>276</v>
      </c>
      <c r="M239" t="s">
        <v>65</v>
      </c>
    </row>
    <row r="240" spans="1:13">
      <c r="A240" t="s">
        <v>297</v>
      </c>
      <c r="B240" s="10">
        <v>2.34</v>
      </c>
      <c r="C240" s="10">
        <v>5.36</v>
      </c>
      <c r="D240" s="10">
        <v>6</v>
      </c>
      <c r="E240" s="10">
        <v>32.67</v>
      </c>
      <c r="F240" s="10">
        <v>19</v>
      </c>
      <c r="G240" s="10">
        <v>0</v>
      </c>
      <c r="H240" s="10">
        <v>4</v>
      </c>
      <c r="I240" s="10">
        <v>0</v>
      </c>
      <c r="J240">
        <v>2014</v>
      </c>
      <c r="K240">
        <v>8</v>
      </c>
      <c r="L240">
        <v>276</v>
      </c>
      <c r="M240" t="s">
        <v>53</v>
      </c>
    </row>
    <row r="241" spans="1:13">
      <c r="A241" t="s">
        <v>298</v>
      </c>
      <c r="B241" s="10">
        <v>6.34</v>
      </c>
      <c r="C241" s="10">
        <v>3.68</v>
      </c>
      <c r="D241" s="10">
        <v>5</v>
      </c>
      <c r="E241" s="10">
        <v>26.28</v>
      </c>
      <c r="F241" s="10">
        <v>18</v>
      </c>
      <c r="G241" s="10">
        <v>1</v>
      </c>
      <c r="H241" s="10">
        <v>0</v>
      </c>
      <c r="I241" s="10">
        <v>3</v>
      </c>
      <c r="J241">
        <v>2014</v>
      </c>
      <c r="K241">
        <v>8</v>
      </c>
      <c r="L241">
        <v>276</v>
      </c>
      <c r="M241" t="s">
        <v>55</v>
      </c>
    </row>
    <row r="242" spans="1:13">
      <c r="A242" t="s">
        <v>299</v>
      </c>
      <c r="B242" s="10">
        <v>3.68</v>
      </c>
      <c r="C242" s="10">
        <v>3.02</v>
      </c>
      <c r="D242" s="10">
        <v>7</v>
      </c>
      <c r="E242" s="10">
        <v>13</v>
      </c>
      <c r="F242" s="10">
        <v>13</v>
      </c>
      <c r="G242" s="10">
        <v>1</v>
      </c>
      <c r="H242" s="10">
        <v>0</v>
      </c>
      <c r="I242" s="10">
        <v>4</v>
      </c>
      <c r="J242">
        <v>2014</v>
      </c>
      <c r="K242">
        <v>8</v>
      </c>
      <c r="L242">
        <v>276</v>
      </c>
      <c r="M242" t="s">
        <v>57</v>
      </c>
    </row>
    <row r="243" spans="1:13">
      <c r="A243" t="s">
        <v>300</v>
      </c>
      <c r="B243" s="10">
        <v>0</v>
      </c>
      <c r="C243" s="10">
        <v>2.68</v>
      </c>
      <c r="D243" s="10">
        <v>1</v>
      </c>
      <c r="E243" s="10">
        <v>15</v>
      </c>
      <c r="F243" s="10">
        <v>13</v>
      </c>
      <c r="G243" s="10">
        <v>0</v>
      </c>
      <c r="H243" s="10">
        <v>7</v>
      </c>
      <c r="I243" s="10">
        <v>2</v>
      </c>
      <c r="J243">
        <v>2014</v>
      </c>
      <c r="K243">
        <v>8</v>
      </c>
      <c r="L243">
        <v>276</v>
      </c>
      <c r="M243" t="s">
        <v>59</v>
      </c>
    </row>
    <row r="244" spans="1:13">
      <c r="A244" t="s">
        <v>301</v>
      </c>
      <c r="B244" s="10">
        <v>3.34</v>
      </c>
      <c r="C244" s="10">
        <v>1.715</v>
      </c>
      <c r="D244" s="10">
        <v>1</v>
      </c>
      <c r="E244" s="10">
        <v>15.5</v>
      </c>
      <c r="F244" s="10">
        <v>15</v>
      </c>
      <c r="G244" s="10">
        <v>0</v>
      </c>
      <c r="H244" s="10">
        <v>0</v>
      </c>
      <c r="I244" s="10">
        <v>5.5</v>
      </c>
      <c r="J244">
        <v>2014</v>
      </c>
      <c r="K244">
        <v>9</v>
      </c>
      <c r="L244">
        <v>276</v>
      </c>
      <c r="M244" t="s">
        <v>61</v>
      </c>
    </row>
    <row r="245" spans="1:13">
      <c r="A245" t="s">
        <v>302</v>
      </c>
      <c r="B245" s="10">
        <v>2.34</v>
      </c>
      <c r="C245" s="10">
        <v>4.68</v>
      </c>
      <c r="D245" s="10">
        <v>5.2</v>
      </c>
      <c r="E245" s="10">
        <v>20.14</v>
      </c>
      <c r="F245" s="10">
        <v>7</v>
      </c>
      <c r="G245" s="10">
        <v>0</v>
      </c>
      <c r="H245" s="10">
        <v>2</v>
      </c>
      <c r="I245" s="10">
        <v>3</v>
      </c>
      <c r="J245">
        <v>2014</v>
      </c>
      <c r="K245">
        <v>9</v>
      </c>
      <c r="L245">
        <v>276</v>
      </c>
      <c r="M245" t="s">
        <v>63</v>
      </c>
    </row>
    <row r="246" spans="1:13">
      <c r="A246" t="s">
        <v>303</v>
      </c>
      <c r="B246" s="10">
        <v>7</v>
      </c>
      <c r="C246" s="10">
        <v>6.34</v>
      </c>
      <c r="D246" s="10">
        <v>4</v>
      </c>
      <c r="E246" s="10">
        <v>22.18</v>
      </c>
      <c r="F246" s="10">
        <v>12</v>
      </c>
      <c r="G246" s="10">
        <v>0</v>
      </c>
      <c r="H246" s="10">
        <v>2</v>
      </c>
      <c r="I246" s="10">
        <v>3</v>
      </c>
      <c r="J246">
        <v>2014</v>
      </c>
      <c r="K246">
        <v>9</v>
      </c>
      <c r="L246">
        <v>276</v>
      </c>
      <c r="M246" t="s">
        <v>65</v>
      </c>
    </row>
    <row r="247" spans="1:13">
      <c r="A247" t="s">
        <v>304</v>
      </c>
      <c r="B247" s="10">
        <v>5.68</v>
      </c>
      <c r="C247" s="10">
        <v>5.34</v>
      </c>
      <c r="D247" s="10">
        <v>3</v>
      </c>
      <c r="E247" s="10">
        <v>17.6</v>
      </c>
      <c r="F247" s="10">
        <v>21</v>
      </c>
      <c r="G247" s="10">
        <v>1</v>
      </c>
      <c r="H247" s="10">
        <v>0</v>
      </c>
      <c r="I247" s="10">
        <v>1</v>
      </c>
      <c r="J247">
        <v>2014</v>
      </c>
      <c r="K247">
        <v>9</v>
      </c>
      <c r="L247">
        <v>276</v>
      </c>
      <c r="M247" t="s">
        <v>53</v>
      </c>
    </row>
    <row r="248" spans="1:13">
      <c r="A248" t="s">
        <v>305</v>
      </c>
      <c r="B248" s="10">
        <v>4</v>
      </c>
      <c r="C248" s="10">
        <v>0.779</v>
      </c>
      <c r="D248" s="10">
        <v>3</v>
      </c>
      <c r="E248" s="10">
        <v>15.6</v>
      </c>
      <c r="F248" s="10">
        <v>15</v>
      </c>
      <c r="G248" s="10">
        <v>2</v>
      </c>
      <c r="H248" s="10">
        <v>0</v>
      </c>
      <c r="I248" s="10">
        <v>2</v>
      </c>
      <c r="J248">
        <v>2014</v>
      </c>
      <c r="K248">
        <v>9</v>
      </c>
      <c r="L248">
        <v>276</v>
      </c>
      <c r="M248" t="s">
        <v>55</v>
      </c>
    </row>
    <row r="249" spans="1:13">
      <c r="A249" t="s">
        <v>306</v>
      </c>
      <c r="B249" s="10">
        <v>5.34</v>
      </c>
      <c r="C249" s="10">
        <v>5</v>
      </c>
      <c r="D249" s="10">
        <v>2.4</v>
      </c>
      <c r="E249" s="10">
        <v>15.7</v>
      </c>
      <c r="F249" s="10">
        <v>30</v>
      </c>
      <c r="G249" s="10">
        <v>2</v>
      </c>
      <c r="H249" s="10">
        <v>5</v>
      </c>
      <c r="I249" s="10">
        <v>3.1</v>
      </c>
      <c r="J249">
        <v>2014</v>
      </c>
      <c r="K249">
        <v>9</v>
      </c>
      <c r="L249">
        <v>276</v>
      </c>
      <c r="M249" t="s">
        <v>57</v>
      </c>
    </row>
    <row r="250" spans="1:13">
      <c r="A250" t="s">
        <v>307</v>
      </c>
      <c r="B250" s="10">
        <v>2</v>
      </c>
      <c r="C250" s="10">
        <v>5.515</v>
      </c>
      <c r="D250" s="10">
        <v>5</v>
      </c>
      <c r="E250" s="10">
        <v>7</v>
      </c>
      <c r="F250" s="10">
        <v>9</v>
      </c>
      <c r="G250" s="10">
        <v>0</v>
      </c>
      <c r="H250" s="10">
        <v>0</v>
      </c>
      <c r="I250" s="10">
        <v>1</v>
      </c>
      <c r="J250">
        <v>2014</v>
      </c>
      <c r="K250">
        <v>9</v>
      </c>
      <c r="L250">
        <v>276</v>
      </c>
      <c r="M250" t="s">
        <v>59</v>
      </c>
    </row>
    <row r="251" spans="1:13">
      <c r="A251" t="s">
        <v>308</v>
      </c>
      <c r="B251" s="10">
        <v>1</v>
      </c>
      <c r="C251" s="10">
        <v>5.36</v>
      </c>
      <c r="D251" s="10">
        <v>3.5</v>
      </c>
      <c r="E251" s="10">
        <v>20.8</v>
      </c>
      <c r="F251" s="10">
        <v>15</v>
      </c>
      <c r="G251" s="10">
        <v>0</v>
      </c>
      <c r="H251" s="10">
        <v>1</v>
      </c>
      <c r="I251" s="10">
        <v>4</v>
      </c>
      <c r="J251">
        <v>2014</v>
      </c>
      <c r="K251">
        <v>9</v>
      </c>
      <c r="L251">
        <v>276</v>
      </c>
      <c r="M251" t="s">
        <v>61</v>
      </c>
    </row>
    <row r="252" spans="1:13">
      <c r="A252" t="s">
        <v>309</v>
      </c>
      <c r="B252" s="10">
        <v>6.34</v>
      </c>
      <c r="C252" s="10">
        <v>2.34</v>
      </c>
      <c r="D252" s="10">
        <v>4</v>
      </c>
      <c r="E252" s="10">
        <v>29.2</v>
      </c>
      <c r="F252" s="10">
        <v>17</v>
      </c>
      <c r="G252" s="10">
        <v>0</v>
      </c>
      <c r="H252" s="10">
        <v>2</v>
      </c>
      <c r="I252" s="10">
        <v>1.2</v>
      </c>
      <c r="J252">
        <v>2014</v>
      </c>
      <c r="K252">
        <v>9</v>
      </c>
      <c r="L252">
        <v>276</v>
      </c>
      <c r="M252" t="s">
        <v>63</v>
      </c>
    </row>
    <row r="253" spans="1:13">
      <c r="A253" t="s">
        <v>310</v>
      </c>
      <c r="B253" s="10">
        <v>4.34</v>
      </c>
      <c r="C253" s="10">
        <v>3.34</v>
      </c>
      <c r="D253" s="10">
        <v>3.5</v>
      </c>
      <c r="E253" s="10">
        <v>37.8</v>
      </c>
      <c r="F253" s="10">
        <v>12</v>
      </c>
      <c r="G253" s="10">
        <v>0</v>
      </c>
      <c r="H253" s="10">
        <v>0</v>
      </c>
      <c r="I253" s="10">
        <v>1</v>
      </c>
      <c r="J253">
        <v>2014</v>
      </c>
      <c r="K253">
        <v>9</v>
      </c>
      <c r="L253">
        <v>276</v>
      </c>
      <c r="M253" t="s">
        <v>65</v>
      </c>
    </row>
    <row r="254" spans="1:13">
      <c r="A254" t="s">
        <v>311</v>
      </c>
      <c r="B254" s="10">
        <v>0</v>
      </c>
      <c r="C254" s="10">
        <v>1.34</v>
      </c>
      <c r="D254" s="10">
        <v>4</v>
      </c>
      <c r="E254" s="10">
        <v>32.2</v>
      </c>
      <c r="F254" s="10">
        <v>15</v>
      </c>
      <c r="G254" s="10">
        <v>0</v>
      </c>
      <c r="H254" s="10">
        <v>10</v>
      </c>
      <c r="I254" s="10">
        <v>0</v>
      </c>
      <c r="J254">
        <v>2014</v>
      </c>
      <c r="K254">
        <v>9</v>
      </c>
      <c r="L254">
        <v>276</v>
      </c>
      <c r="M254" t="s">
        <v>53</v>
      </c>
    </row>
    <row r="255" spans="1:13">
      <c r="A255" t="s">
        <v>312</v>
      </c>
      <c r="B255" s="10">
        <v>2.68</v>
      </c>
      <c r="C255" s="10">
        <v>2.67</v>
      </c>
      <c r="D255" s="10">
        <v>1</v>
      </c>
      <c r="E255" s="10">
        <v>20</v>
      </c>
      <c r="F255" s="10">
        <v>19</v>
      </c>
      <c r="G255" s="10">
        <v>0</v>
      </c>
      <c r="H255" s="10">
        <v>8</v>
      </c>
      <c r="I255" s="10">
        <v>1</v>
      </c>
      <c r="J255">
        <v>2014</v>
      </c>
      <c r="K255">
        <v>9</v>
      </c>
      <c r="L255">
        <v>276</v>
      </c>
      <c r="M255" t="s">
        <v>55</v>
      </c>
    </row>
    <row r="256" spans="1:13">
      <c r="A256" t="s">
        <v>313</v>
      </c>
      <c r="B256" s="10">
        <v>3</v>
      </c>
      <c r="C256" s="10">
        <v>5.36</v>
      </c>
      <c r="D256" s="10">
        <v>4.4</v>
      </c>
      <c r="E256" s="10">
        <v>56.85</v>
      </c>
      <c r="F256" s="10">
        <v>20</v>
      </c>
      <c r="G256" s="10">
        <v>0</v>
      </c>
      <c r="H256" s="10">
        <v>1</v>
      </c>
      <c r="I256" s="10">
        <v>3</v>
      </c>
      <c r="J256">
        <v>2014</v>
      </c>
      <c r="K256">
        <v>9</v>
      </c>
      <c r="L256">
        <v>276</v>
      </c>
      <c r="M256" t="s">
        <v>57</v>
      </c>
    </row>
    <row r="257" spans="1:13">
      <c r="A257" t="s">
        <v>314</v>
      </c>
      <c r="B257" s="10">
        <v>1.34</v>
      </c>
      <c r="C257" s="10">
        <v>2</v>
      </c>
      <c r="D257" s="10">
        <v>2</v>
      </c>
      <c r="E257" s="10">
        <v>19.5</v>
      </c>
      <c r="F257" s="10">
        <v>6</v>
      </c>
      <c r="G257" s="10">
        <v>0</v>
      </c>
      <c r="H257" s="10">
        <v>6</v>
      </c>
      <c r="I257" s="10">
        <v>0</v>
      </c>
      <c r="J257">
        <v>2014</v>
      </c>
      <c r="K257">
        <v>9</v>
      </c>
      <c r="L257">
        <v>276</v>
      </c>
      <c r="M257" t="s">
        <v>59</v>
      </c>
    </row>
    <row r="258" spans="1:13">
      <c r="A258" t="s">
        <v>315</v>
      </c>
      <c r="B258" s="10">
        <v>1.34</v>
      </c>
      <c r="C258" s="10">
        <v>3</v>
      </c>
      <c r="D258" s="10">
        <v>5.4</v>
      </c>
      <c r="E258" s="10">
        <v>28.2</v>
      </c>
      <c r="F258" s="10">
        <v>9</v>
      </c>
      <c r="G258" s="10">
        <v>0</v>
      </c>
      <c r="H258" s="10">
        <v>1</v>
      </c>
      <c r="I258" s="10">
        <v>0</v>
      </c>
      <c r="J258">
        <v>2014</v>
      </c>
      <c r="K258">
        <v>9</v>
      </c>
      <c r="L258">
        <v>276</v>
      </c>
      <c r="M258" t="s">
        <v>61</v>
      </c>
    </row>
    <row r="259" spans="1:13">
      <c r="A259" t="s">
        <v>316</v>
      </c>
      <c r="B259" s="10">
        <v>4</v>
      </c>
      <c r="C259" s="10">
        <v>2.68</v>
      </c>
      <c r="D259" s="10">
        <v>0</v>
      </c>
      <c r="E259" s="10">
        <v>59.3</v>
      </c>
      <c r="F259" s="10">
        <v>13</v>
      </c>
      <c r="G259" s="10">
        <v>0</v>
      </c>
      <c r="H259" s="10">
        <v>0</v>
      </c>
      <c r="I259" s="10">
        <v>0</v>
      </c>
      <c r="J259">
        <v>2014</v>
      </c>
      <c r="K259">
        <v>9</v>
      </c>
      <c r="L259">
        <v>276</v>
      </c>
      <c r="M259" t="s">
        <v>63</v>
      </c>
    </row>
    <row r="260" spans="1:13">
      <c r="A260" t="s">
        <v>317</v>
      </c>
      <c r="B260" s="10">
        <v>2.34</v>
      </c>
      <c r="C260" s="10">
        <v>6</v>
      </c>
      <c r="D260" s="10">
        <v>4</v>
      </c>
      <c r="E260" s="10">
        <v>39.6</v>
      </c>
      <c r="F260" s="10">
        <v>11</v>
      </c>
      <c r="G260" s="10">
        <v>2</v>
      </c>
      <c r="H260" s="10">
        <v>19</v>
      </c>
      <c r="I260" s="10">
        <v>4</v>
      </c>
      <c r="J260">
        <v>2014</v>
      </c>
      <c r="K260">
        <v>9</v>
      </c>
      <c r="L260">
        <v>276</v>
      </c>
      <c r="M260" t="s">
        <v>65</v>
      </c>
    </row>
    <row r="261" spans="1:13">
      <c r="A261" t="s">
        <v>318</v>
      </c>
      <c r="B261" s="10">
        <v>3</v>
      </c>
      <c r="C261" s="10">
        <v>2.02</v>
      </c>
      <c r="D261" s="10">
        <v>1</v>
      </c>
      <c r="E261" s="10">
        <v>44</v>
      </c>
      <c r="F261" s="10">
        <v>7</v>
      </c>
      <c r="G261" s="10">
        <v>0</v>
      </c>
      <c r="H261" s="10">
        <v>0</v>
      </c>
      <c r="I261" s="10">
        <v>1</v>
      </c>
      <c r="J261">
        <v>2014</v>
      </c>
      <c r="K261">
        <v>9</v>
      </c>
      <c r="L261">
        <v>276</v>
      </c>
      <c r="M261" t="s">
        <v>53</v>
      </c>
    </row>
    <row r="262" spans="1:13">
      <c r="A262" t="s">
        <v>319</v>
      </c>
      <c r="B262" s="10">
        <v>2</v>
      </c>
      <c r="C262" s="10">
        <v>4.34</v>
      </c>
      <c r="D262" s="10">
        <v>7.8</v>
      </c>
      <c r="E262" s="10">
        <v>23</v>
      </c>
      <c r="F262" s="10">
        <v>8</v>
      </c>
      <c r="G262" s="10">
        <v>0</v>
      </c>
      <c r="H262" s="10">
        <v>22</v>
      </c>
      <c r="I262" s="10">
        <v>0</v>
      </c>
      <c r="J262">
        <v>2014</v>
      </c>
      <c r="K262">
        <v>9</v>
      </c>
      <c r="L262">
        <v>276</v>
      </c>
      <c r="M262" t="s">
        <v>55</v>
      </c>
    </row>
    <row r="263" spans="1:13">
      <c r="A263" t="s">
        <v>320</v>
      </c>
      <c r="B263" s="10">
        <v>4.34</v>
      </c>
      <c r="C263" s="10">
        <v>1.855</v>
      </c>
      <c r="D263" s="10">
        <v>4.5</v>
      </c>
      <c r="E263" s="10">
        <v>20.6</v>
      </c>
      <c r="F263" s="10">
        <v>14</v>
      </c>
      <c r="G263" s="10">
        <v>1</v>
      </c>
      <c r="H263" s="10">
        <v>2</v>
      </c>
      <c r="I263" s="10">
        <v>0</v>
      </c>
      <c r="J263">
        <v>2014</v>
      </c>
      <c r="K263">
        <v>9</v>
      </c>
      <c r="L263">
        <v>276</v>
      </c>
      <c r="M263" t="s">
        <v>57</v>
      </c>
    </row>
    <row r="264" spans="1:13">
      <c r="A264" t="s">
        <v>321</v>
      </c>
      <c r="B264" s="10">
        <v>1</v>
      </c>
      <c r="C264" s="10">
        <v>3.02</v>
      </c>
      <c r="D264" s="10">
        <v>6</v>
      </c>
      <c r="E264" s="10">
        <v>12.4</v>
      </c>
      <c r="F264" s="10">
        <v>7</v>
      </c>
      <c r="G264" s="10">
        <v>0</v>
      </c>
      <c r="H264" s="10">
        <v>0</v>
      </c>
      <c r="I264" s="10">
        <v>3</v>
      </c>
      <c r="J264">
        <v>2014</v>
      </c>
      <c r="K264">
        <v>9</v>
      </c>
      <c r="L264">
        <v>276</v>
      </c>
      <c r="M264" t="s">
        <v>59</v>
      </c>
    </row>
    <row r="265" spans="1:13">
      <c r="A265" t="s">
        <v>322</v>
      </c>
      <c r="B265" s="10">
        <v>3.34</v>
      </c>
      <c r="C265" s="10">
        <v>4</v>
      </c>
      <c r="D265" s="10">
        <v>5.5</v>
      </c>
      <c r="E265" s="10">
        <v>34.2</v>
      </c>
      <c r="F265" s="10">
        <v>10</v>
      </c>
      <c r="G265" s="10">
        <v>1</v>
      </c>
      <c r="H265" s="10">
        <v>0</v>
      </c>
      <c r="I265" s="10">
        <v>2</v>
      </c>
      <c r="J265">
        <v>2014</v>
      </c>
      <c r="K265">
        <v>9</v>
      </c>
      <c r="L265">
        <v>276</v>
      </c>
      <c r="M265" t="s">
        <v>61</v>
      </c>
    </row>
    <row r="266" spans="1:13">
      <c r="A266" t="s">
        <v>323</v>
      </c>
      <c r="B266" s="10">
        <v>3</v>
      </c>
      <c r="C266" s="10">
        <v>3.34</v>
      </c>
      <c r="D266" s="10">
        <v>5.5</v>
      </c>
      <c r="E266" s="10">
        <v>26</v>
      </c>
      <c r="F266" s="10">
        <v>10</v>
      </c>
      <c r="G266" s="10">
        <v>0</v>
      </c>
      <c r="H266" s="10">
        <v>1</v>
      </c>
      <c r="I266" s="10">
        <v>2</v>
      </c>
      <c r="J266">
        <v>2014</v>
      </c>
      <c r="K266">
        <v>9</v>
      </c>
      <c r="L266">
        <v>276</v>
      </c>
      <c r="M266" t="s">
        <v>63</v>
      </c>
    </row>
    <row r="267" spans="1:13">
      <c r="A267" t="s">
        <v>324</v>
      </c>
      <c r="B267" s="10">
        <v>6</v>
      </c>
      <c r="C267" s="10">
        <v>3.34</v>
      </c>
      <c r="D267" s="10">
        <v>1.4</v>
      </c>
      <c r="E267" s="10">
        <v>24.7</v>
      </c>
      <c r="F267" s="10">
        <v>14</v>
      </c>
      <c r="G267" s="10">
        <v>0</v>
      </c>
      <c r="H267" s="10">
        <v>0</v>
      </c>
      <c r="I267" s="10">
        <v>0</v>
      </c>
      <c r="J267">
        <v>2014</v>
      </c>
      <c r="K267">
        <v>9</v>
      </c>
      <c r="L267">
        <v>276</v>
      </c>
      <c r="M267" t="s">
        <v>65</v>
      </c>
    </row>
    <row r="268" spans="1:13">
      <c r="A268" t="s">
        <v>325</v>
      </c>
      <c r="B268" s="10">
        <v>4.68</v>
      </c>
      <c r="C268" s="10">
        <v>6.34</v>
      </c>
      <c r="D268" s="10">
        <v>8.199999999999999</v>
      </c>
      <c r="E268" s="10">
        <v>49.15</v>
      </c>
      <c r="F268" s="10">
        <v>15</v>
      </c>
      <c r="G268" s="10">
        <v>1</v>
      </c>
      <c r="H268" s="10">
        <v>1</v>
      </c>
      <c r="I268" s="10">
        <v>5</v>
      </c>
      <c r="J268">
        <v>2014</v>
      </c>
      <c r="K268">
        <v>9</v>
      </c>
      <c r="L268">
        <v>276</v>
      </c>
      <c r="M268" t="s">
        <v>53</v>
      </c>
    </row>
    <row r="269" spans="1:13">
      <c r="A269" t="s">
        <v>326</v>
      </c>
      <c r="B269" s="10">
        <v>4</v>
      </c>
      <c r="C269" s="10">
        <v>3.68</v>
      </c>
      <c r="D269" s="10">
        <v>3.5</v>
      </c>
      <c r="E269" s="10">
        <v>38</v>
      </c>
      <c r="F269" s="10">
        <v>22</v>
      </c>
      <c r="G269" s="10">
        <v>2</v>
      </c>
      <c r="H269" s="10">
        <v>0</v>
      </c>
      <c r="I269" s="10">
        <v>1</v>
      </c>
      <c r="J269">
        <v>2014</v>
      </c>
      <c r="K269">
        <v>9</v>
      </c>
      <c r="L269">
        <v>276</v>
      </c>
      <c r="M269" t="s">
        <v>55</v>
      </c>
    </row>
    <row r="270" spans="1:13">
      <c r="A270" t="s">
        <v>327</v>
      </c>
      <c r="B270" s="10">
        <v>4</v>
      </c>
      <c r="C270" s="10">
        <v>2</v>
      </c>
      <c r="D270" s="10">
        <v>6</v>
      </c>
      <c r="E270" s="10">
        <v>46.3</v>
      </c>
      <c r="F270" s="10">
        <v>18</v>
      </c>
      <c r="G270" s="10">
        <v>0</v>
      </c>
      <c r="H270" s="10">
        <v>0</v>
      </c>
      <c r="I270" s="10">
        <v>4</v>
      </c>
      <c r="J270">
        <v>2014</v>
      </c>
      <c r="K270">
        <v>9</v>
      </c>
      <c r="L270">
        <v>276</v>
      </c>
      <c r="M270" t="s">
        <v>57</v>
      </c>
    </row>
    <row r="271" spans="1:13">
      <c r="A271" t="s">
        <v>328</v>
      </c>
      <c r="B271" s="10">
        <v>0.34</v>
      </c>
      <c r="C271" s="10">
        <v>2.68</v>
      </c>
      <c r="D271" s="10">
        <v>1</v>
      </c>
      <c r="E271" s="10">
        <v>21.2</v>
      </c>
      <c r="F271" s="10">
        <v>6</v>
      </c>
      <c r="G271" s="10">
        <v>0</v>
      </c>
      <c r="H271" s="10">
        <v>0</v>
      </c>
      <c r="I271" s="10">
        <v>2</v>
      </c>
      <c r="J271">
        <v>2014</v>
      </c>
      <c r="K271">
        <v>9</v>
      </c>
      <c r="L271">
        <v>276</v>
      </c>
      <c r="M271" t="s">
        <v>59</v>
      </c>
    </row>
    <row r="272" spans="1:13">
      <c r="A272" t="s">
        <v>329</v>
      </c>
      <c r="B272" s="10">
        <v>7</v>
      </c>
      <c r="C272" s="10">
        <v>3.68</v>
      </c>
      <c r="D272" s="10">
        <v>2.3</v>
      </c>
      <c r="E272" s="10">
        <v>29.8</v>
      </c>
      <c r="F272" s="10">
        <v>12</v>
      </c>
      <c r="G272" s="10">
        <v>0</v>
      </c>
      <c r="H272" s="10">
        <v>10</v>
      </c>
      <c r="I272" s="10">
        <v>4</v>
      </c>
      <c r="J272">
        <v>2014</v>
      </c>
      <c r="K272">
        <v>9</v>
      </c>
      <c r="L272">
        <v>276</v>
      </c>
      <c r="M272" t="s">
        <v>61</v>
      </c>
    </row>
    <row r="273" spans="1:13">
      <c r="A273" t="s">
        <v>330</v>
      </c>
      <c r="B273" s="10">
        <v>10</v>
      </c>
      <c r="C273" s="10">
        <v>5.34</v>
      </c>
      <c r="D273" s="10">
        <v>4</v>
      </c>
      <c r="E273" s="10">
        <v>61.3</v>
      </c>
      <c r="F273" s="10">
        <v>10</v>
      </c>
      <c r="G273" s="10">
        <v>2</v>
      </c>
      <c r="H273" s="10">
        <v>22</v>
      </c>
      <c r="I273" s="10">
        <v>2</v>
      </c>
      <c r="J273">
        <v>2014</v>
      </c>
      <c r="K273">
        <v>9</v>
      </c>
      <c r="L273">
        <v>276</v>
      </c>
      <c r="M273" t="s">
        <v>63</v>
      </c>
    </row>
    <row r="274" spans="1:13">
      <c r="A274" t="s">
        <v>331</v>
      </c>
      <c r="B274" s="10">
        <v>2.34</v>
      </c>
      <c r="C274" s="10">
        <v>0</v>
      </c>
      <c r="D274" s="10">
        <v>2.4</v>
      </c>
      <c r="E274" s="10">
        <v>44</v>
      </c>
      <c r="F274" s="10">
        <v>15</v>
      </c>
      <c r="G274" s="10">
        <v>0</v>
      </c>
      <c r="H274" s="10">
        <v>11</v>
      </c>
      <c r="I274" s="10">
        <v>2</v>
      </c>
      <c r="J274">
        <v>2014</v>
      </c>
      <c r="K274">
        <v>10</v>
      </c>
      <c r="L274">
        <v>276</v>
      </c>
      <c r="M274" t="s">
        <v>65</v>
      </c>
    </row>
    <row r="275" spans="1:13">
      <c r="A275" t="s">
        <v>332</v>
      </c>
      <c r="B275" s="10">
        <v>2</v>
      </c>
      <c r="C275" s="10">
        <v>4.99</v>
      </c>
      <c r="D275" s="10">
        <v>5</v>
      </c>
      <c r="E275" s="10">
        <v>23.9</v>
      </c>
      <c r="F275" s="10">
        <v>11</v>
      </c>
      <c r="G275" s="10">
        <v>0</v>
      </c>
      <c r="H275" s="10">
        <v>2</v>
      </c>
      <c r="I275" s="10">
        <v>1</v>
      </c>
      <c r="J275">
        <v>2014</v>
      </c>
      <c r="K275">
        <v>10</v>
      </c>
      <c r="L275">
        <v>276</v>
      </c>
      <c r="M275" t="s">
        <v>53</v>
      </c>
    </row>
    <row r="276" spans="1:13">
      <c r="A276" t="s">
        <v>333</v>
      </c>
      <c r="B276" s="10">
        <v>4.33</v>
      </c>
      <c r="C276" s="10">
        <v>1.34</v>
      </c>
      <c r="D276" s="10">
        <v>5.9</v>
      </c>
      <c r="E276" s="10">
        <v>44.14</v>
      </c>
      <c r="F276" s="10">
        <v>12</v>
      </c>
      <c r="G276" s="10">
        <v>0</v>
      </c>
      <c r="H276" s="10">
        <v>11</v>
      </c>
      <c r="I276" s="10">
        <v>2</v>
      </c>
      <c r="J276">
        <v>2014</v>
      </c>
      <c r="K276">
        <v>10</v>
      </c>
      <c r="L276">
        <v>276</v>
      </c>
      <c r="M276" t="s">
        <v>55</v>
      </c>
    </row>
    <row r="277" spans="1:13">
      <c r="A277" t="s">
        <v>334</v>
      </c>
      <c r="B277" s="10">
        <v>4.68</v>
      </c>
      <c r="C277" s="10">
        <v>7.766</v>
      </c>
      <c r="D277" s="10">
        <v>8</v>
      </c>
      <c r="E277" s="10">
        <v>49.9</v>
      </c>
      <c r="F277" s="10">
        <v>12</v>
      </c>
      <c r="G277" s="10">
        <v>1</v>
      </c>
      <c r="H277" s="10">
        <v>25</v>
      </c>
      <c r="I277" s="10">
        <v>0</v>
      </c>
      <c r="J277">
        <v>2014</v>
      </c>
      <c r="K277">
        <v>10</v>
      </c>
      <c r="L277">
        <v>276</v>
      </c>
      <c r="M277" t="s">
        <v>57</v>
      </c>
    </row>
    <row r="278" spans="1:13">
      <c r="A278" t="s">
        <v>335</v>
      </c>
      <c r="B278" s="10">
        <v>2</v>
      </c>
      <c r="C278" s="10">
        <v>3.34</v>
      </c>
      <c r="D278" s="10">
        <v>3</v>
      </c>
      <c r="E278" s="10">
        <v>19</v>
      </c>
      <c r="F278" s="10">
        <v>1</v>
      </c>
      <c r="G278" s="10">
        <v>0</v>
      </c>
      <c r="H278" s="10">
        <v>0</v>
      </c>
      <c r="I278" s="10">
        <v>3</v>
      </c>
      <c r="J278">
        <v>2014</v>
      </c>
      <c r="K278">
        <v>10</v>
      </c>
      <c r="L278">
        <v>276</v>
      </c>
      <c r="M278" t="s">
        <v>59</v>
      </c>
    </row>
    <row r="279" spans="1:13">
      <c r="A279" t="s">
        <v>336</v>
      </c>
      <c r="B279" s="10">
        <v>5.34</v>
      </c>
      <c r="C279" s="10">
        <v>1.365</v>
      </c>
      <c r="D279" s="10">
        <v>2.4</v>
      </c>
      <c r="E279" s="10">
        <v>69.875</v>
      </c>
      <c r="F279" s="10">
        <v>13</v>
      </c>
      <c r="G279" s="10">
        <v>1</v>
      </c>
      <c r="H279" s="10">
        <v>0</v>
      </c>
      <c r="I279" s="10">
        <v>1</v>
      </c>
      <c r="J279">
        <v>2014</v>
      </c>
      <c r="K279">
        <v>10</v>
      </c>
      <c r="L279">
        <v>276</v>
      </c>
      <c r="M279" t="s">
        <v>61</v>
      </c>
    </row>
    <row r="280" spans="1:13">
      <c r="A280" t="s">
        <v>337</v>
      </c>
      <c r="B280" s="10">
        <v>3</v>
      </c>
      <c r="C280" s="10">
        <v>4.34</v>
      </c>
      <c r="D280" s="10">
        <v>2.2</v>
      </c>
      <c r="E280" s="10">
        <v>41.7</v>
      </c>
      <c r="F280" s="10">
        <v>17</v>
      </c>
      <c r="G280" s="10">
        <v>1</v>
      </c>
      <c r="H280" s="10">
        <v>5</v>
      </c>
      <c r="I280" s="10">
        <v>0</v>
      </c>
      <c r="J280">
        <v>2014</v>
      </c>
      <c r="K280">
        <v>10</v>
      </c>
      <c r="L280">
        <v>276</v>
      </c>
      <c r="M280" t="s">
        <v>63</v>
      </c>
    </row>
    <row r="281" spans="1:13">
      <c r="A281" t="s">
        <v>338</v>
      </c>
      <c r="B281" s="10">
        <v>3.68</v>
      </c>
      <c r="C281" s="10">
        <v>6</v>
      </c>
      <c r="D281" s="10">
        <v>7</v>
      </c>
      <c r="E281" s="10">
        <v>50</v>
      </c>
      <c r="F281" s="10">
        <v>17</v>
      </c>
      <c r="G281" s="10">
        <v>0</v>
      </c>
      <c r="H281" s="10">
        <v>0</v>
      </c>
      <c r="I281" s="10">
        <v>2</v>
      </c>
      <c r="J281">
        <v>2014</v>
      </c>
      <c r="K281">
        <v>10</v>
      </c>
      <c r="L281">
        <v>276</v>
      </c>
      <c r="M281" t="s">
        <v>65</v>
      </c>
    </row>
    <row r="282" spans="1:13">
      <c r="A282" t="s">
        <v>339</v>
      </c>
      <c r="B282" s="10">
        <v>1</v>
      </c>
      <c r="C282" s="10">
        <v>4.69</v>
      </c>
      <c r="D282" s="10">
        <v>6</v>
      </c>
      <c r="E282" s="10">
        <v>48.2</v>
      </c>
      <c r="F282" s="10">
        <v>10</v>
      </c>
      <c r="G282" s="10">
        <v>2</v>
      </c>
      <c r="H282" s="10">
        <v>5</v>
      </c>
      <c r="I282" s="10">
        <v>0</v>
      </c>
      <c r="J282">
        <v>2014</v>
      </c>
      <c r="K282">
        <v>10</v>
      </c>
      <c r="L282">
        <v>276</v>
      </c>
      <c r="M282" t="s">
        <v>53</v>
      </c>
    </row>
    <row r="283" spans="1:13">
      <c r="A283" t="s">
        <v>340</v>
      </c>
      <c r="B283" s="10">
        <v>4.34</v>
      </c>
      <c r="C283" s="10">
        <v>2.68</v>
      </c>
      <c r="D283" s="10">
        <v>9</v>
      </c>
      <c r="E283" s="10">
        <v>28.8</v>
      </c>
      <c r="F283" s="10">
        <v>24</v>
      </c>
      <c r="G283" s="10">
        <v>3</v>
      </c>
      <c r="H283" s="10">
        <v>6</v>
      </c>
      <c r="I283" s="10">
        <v>0.5</v>
      </c>
      <c r="J283">
        <v>2014</v>
      </c>
      <c r="K283">
        <v>10</v>
      </c>
      <c r="L283">
        <v>276</v>
      </c>
      <c r="M283" t="s">
        <v>55</v>
      </c>
    </row>
    <row r="284" spans="1:13">
      <c r="A284" t="s">
        <v>341</v>
      </c>
      <c r="B284" s="10">
        <v>3.34</v>
      </c>
      <c r="C284" s="10">
        <v>3.68</v>
      </c>
      <c r="D284" s="10">
        <v>5</v>
      </c>
      <c r="E284" s="10">
        <v>35.9</v>
      </c>
      <c r="F284" s="10">
        <v>15</v>
      </c>
      <c r="G284" s="10">
        <v>0</v>
      </c>
      <c r="H284" s="10">
        <v>0</v>
      </c>
      <c r="I284" s="10">
        <v>5</v>
      </c>
      <c r="J284">
        <v>2014</v>
      </c>
      <c r="K284">
        <v>10</v>
      </c>
      <c r="L284">
        <v>276</v>
      </c>
      <c r="M284" t="s">
        <v>57</v>
      </c>
    </row>
    <row r="285" spans="1:13">
      <c r="A285" t="s">
        <v>342</v>
      </c>
      <c r="B285" s="10">
        <v>3</v>
      </c>
      <c r="C285" s="10">
        <v>0.33</v>
      </c>
      <c r="D285" s="10">
        <v>1.5</v>
      </c>
      <c r="E285" s="10">
        <v>22.5</v>
      </c>
      <c r="F285" s="10">
        <v>7</v>
      </c>
      <c r="G285" s="10">
        <v>0</v>
      </c>
      <c r="H285" s="10">
        <v>5</v>
      </c>
      <c r="I285" s="10">
        <v>2</v>
      </c>
      <c r="J285">
        <v>2014</v>
      </c>
      <c r="K285">
        <v>10</v>
      </c>
      <c r="L285">
        <v>276</v>
      </c>
      <c r="M285" t="s">
        <v>59</v>
      </c>
    </row>
    <row r="286" spans="1:13">
      <c r="A286" t="s">
        <v>343</v>
      </c>
      <c r="B286" s="10">
        <v>1.68</v>
      </c>
      <c r="C286" s="10">
        <v>4</v>
      </c>
      <c r="D286" s="10">
        <v>6.2</v>
      </c>
      <c r="E286" s="10">
        <v>31.9</v>
      </c>
      <c r="F286" s="10">
        <v>11</v>
      </c>
      <c r="G286" s="10">
        <v>0</v>
      </c>
      <c r="H286" s="10">
        <v>1</v>
      </c>
      <c r="I286" s="10">
        <v>2</v>
      </c>
      <c r="J286">
        <v>2014</v>
      </c>
      <c r="K286">
        <v>10</v>
      </c>
      <c r="L286">
        <v>276</v>
      </c>
      <c r="M286" t="s">
        <v>61</v>
      </c>
    </row>
    <row r="287" spans="1:13">
      <c r="A287" t="s">
        <v>344</v>
      </c>
      <c r="B287" s="10">
        <v>3</v>
      </c>
      <c r="C287" s="10">
        <v>5.41</v>
      </c>
      <c r="D287" s="10">
        <v>4.8</v>
      </c>
      <c r="E287" s="10">
        <v>31.8</v>
      </c>
      <c r="F287" s="10">
        <v>7</v>
      </c>
      <c r="G287" s="10">
        <v>0</v>
      </c>
      <c r="H287" s="10">
        <v>11</v>
      </c>
      <c r="I287" s="10">
        <v>0</v>
      </c>
      <c r="J287">
        <v>2014</v>
      </c>
      <c r="K287">
        <v>10</v>
      </c>
      <c r="L287">
        <v>276</v>
      </c>
      <c r="M287" t="s">
        <v>63</v>
      </c>
    </row>
    <row r="288" spans="1:13">
      <c r="A288" t="s">
        <v>345</v>
      </c>
      <c r="B288" s="10">
        <v>1.33</v>
      </c>
      <c r="C288" s="10">
        <v>6.35</v>
      </c>
      <c r="D288" s="10">
        <v>3.5</v>
      </c>
      <c r="E288" s="10">
        <v>23.7</v>
      </c>
      <c r="F288" s="10">
        <v>14</v>
      </c>
      <c r="G288" s="10">
        <v>1</v>
      </c>
      <c r="H288" s="10">
        <v>2</v>
      </c>
      <c r="I288" s="10">
        <v>4</v>
      </c>
      <c r="J288">
        <v>2014</v>
      </c>
      <c r="K288">
        <v>10</v>
      </c>
      <c r="L288">
        <v>276</v>
      </c>
      <c r="M288" t="s">
        <v>65</v>
      </c>
    </row>
    <row r="289" spans="1:13">
      <c r="A289" t="s">
        <v>346</v>
      </c>
      <c r="B289" s="10">
        <v>6.775</v>
      </c>
      <c r="C289" s="10">
        <v>3.5103125</v>
      </c>
      <c r="D289" s="10">
        <v>2.9375</v>
      </c>
      <c r="E289" s="10">
        <v>58.921875</v>
      </c>
      <c r="F289" s="10">
        <v>9.0625</v>
      </c>
      <c r="G289" s="10">
        <v>0.625</v>
      </c>
      <c r="H289" s="10">
        <v>5</v>
      </c>
      <c r="I289" s="10">
        <v>2.1875</v>
      </c>
      <c r="J289">
        <v>2014</v>
      </c>
      <c r="K289">
        <v>10</v>
      </c>
      <c r="L289">
        <v>276</v>
      </c>
      <c r="M289" t="s">
        <v>53</v>
      </c>
    </row>
    <row r="290" spans="1:13">
      <c r="A290" t="s">
        <v>347</v>
      </c>
      <c r="B290" s="10">
        <v>3</v>
      </c>
      <c r="C290" s="10">
        <v>2.34</v>
      </c>
      <c r="D290" s="10">
        <v>3.4</v>
      </c>
      <c r="E290" s="10">
        <v>42</v>
      </c>
      <c r="F290" s="10">
        <v>22</v>
      </c>
      <c r="G290" s="10">
        <v>3</v>
      </c>
      <c r="H290" s="10">
        <v>0</v>
      </c>
      <c r="I290" s="10">
        <v>2</v>
      </c>
      <c r="J290">
        <v>2014</v>
      </c>
      <c r="K290">
        <v>10</v>
      </c>
      <c r="L290">
        <v>276</v>
      </c>
      <c r="M290" t="s">
        <v>55</v>
      </c>
    </row>
    <row r="291" spans="1:13">
      <c r="A291" t="s">
        <v>348</v>
      </c>
      <c r="B291" s="10">
        <v>4</v>
      </c>
      <c r="C291" s="10">
        <v>6</v>
      </c>
      <c r="D291" s="10">
        <v>5.5</v>
      </c>
      <c r="E291" s="10">
        <v>21.4</v>
      </c>
      <c r="F291" s="10">
        <v>24</v>
      </c>
      <c r="G291" s="10">
        <v>0</v>
      </c>
      <c r="H291" s="10">
        <v>3</v>
      </c>
      <c r="I291" s="10">
        <v>2</v>
      </c>
      <c r="J291">
        <v>2014</v>
      </c>
      <c r="K291">
        <v>10</v>
      </c>
      <c r="L291">
        <v>276</v>
      </c>
      <c r="M291" t="s">
        <v>57</v>
      </c>
    </row>
    <row r="292" spans="1:13">
      <c r="A292" t="s">
        <v>349</v>
      </c>
      <c r="B292" s="10">
        <v>3.33</v>
      </c>
      <c r="C292" s="10">
        <v>3</v>
      </c>
      <c r="D292" s="10">
        <v>2</v>
      </c>
      <c r="E292" s="10">
        <v>13.9</v>
      </c>
      <c r="F292" s="10">
        <v>9</v>
      </c>
      <c r="G292" s="10">
        <v>0</v>
      </c>
      <c r="H292" s="10">
        <v>6</v>
      </c>
      <c r="I292" s="10">
        <v>1</v>
      </c>
      <c r="J292">
        <v>2014</v>
      </c>
      <c r="K292">
        <v>10</v>
      </c>
      <c r="L292">
        <v>276</v>
      </c>
      <c r="M292" t="s">
        <v>59</v>
      </c>
    </row>
    <row r="293" spans="1:13">
      <c r="A293" t="s">
        <v>350</v>
      </c>
      <c r="B293" s="10">
        <v>3.34</v>
      </c>
      <c r="C293" s="10">
        <v>5.66</v>
      </c>
      <c r="D293" s="10">
        <v>7.3</v>
      </c>
      <c r="E293" s="10">
        <v>35.4</v>
      </c>
      <c r="F293" s="10">
        <v>25</v>
      </c>
      <c r="G293" s="10">
        <v>2</v>
      </c>
      <c r="H293" s="10">
        <v>0</v>
      </c>
      <c r="I293" s="10">
        <v>1</v>
      </c>
      <c r="J293">
        <v>2014</v>
      </c>
      <c r="K293">
        <v>10</v>
      </c>
      <c r="L293">
        <v>276</v>
      </c>
      <c r="M293" t="s">
        <v>61</v>
      </c>
    </row>
    <row r="294" spans="1:13">
      <c r="A294" t="s">
        <v>351</v>
      </c>
      <c r="B294" s="10">
        <v>2.34</v>
      </c>
      <c r="C294" s="10">
        <v>4.34</v>
      </c>
      <c r="D294" s="10">
        <v>6.4</v>
      </c>
      <c r="E294" s="10">
        <v>14.3</v>
      </c>
      <c r="F294" s="10">
        <v>11</v>
      </c>
      <c r="G294" s="10">
        <v>0</v>
      </c>
      <c r="H294" s="10">
        <v>20</v>
      </c>
      <c r="I294" s="10">
        <v>1</v>
      </c>
      <c r="J294">
        <v>2014</v>
      </c>
      <c r="K294">
        <v>10</v>
      </c>
      <c r="L294">
        <v>276</v>
      </c>
      <c r="M294" t="s">
        <v>63</v>
      </c>
    </row>
    <row r="295" spans="1:13">
      <c r="A295" t="s">
        <v>352</v>
      </c>
      <c r="B295" s="10">
        <v>3.33</v>
      </c>
      <c r="C295" s="10">
        <v>2</v>
      </c>
      <c r="D295" s="10">
        <v>2.6</v>
      </c>
      <c r="E295" s="10">
        <v>20.9</v>
      </c>
      <c r="F295" s="10">
        <v>7</v>
      </c>
      <c r="G295" s="10">
        <v>0</v>
      </c>
      <c r="H295" s="10">
        <v>2</v>
      </c>
      <c r="I295" s="10">
        <v>1</v>
      </c>
      <c r="J295">
        <v>2014</v>
      </c>
      <c r="K295">
        <v>10</v>
      </c>
      <c r="L295">
        <v>276</v>
      </c>
      <c r="M295" t="s">
        <v>65</v>
      </c>
    </row>
    <row r="296" spans="1:13">
      <c r="A296" t="s">
        <v>353</v>
      </c>
      <c r="B296" s="10">
        <v>1.34</v>
      </c>
      <c r="C296" s="10">
        <v>4.33</v>
      </c>
      <c r="D296" s="10">
        <v>0</v>
      </c>
      <c r="E296" s="10">
        <v>32.2</v>
      </c>
      <c r="F296" s="10">
        <v>7</v>
      </c>
      <c r="G296" s="10">
        <v>1</v>
      </c>
      <c r="H296" s="10">
        <v>0</v>
      </c>
      <c r="I296" s="10">
        <v>0</v>
      </c>
      <c r="J296">
        <v>2014</v>
      </c>
      <c r="K296">
        <v>10</v>
      </c>
      <c r="L296">
        <v>276</v>
      </c>
      <c r="M296" t="s">
        <v>53</v>
      </c>
    </row>
    <row r="297" spans="1:13">
      <c r="A297" t="s">
        <v>354</v>
      </c>
      <c r="B297" s="10">
        <v>3.67</v>
      </c>
      <c r="C297" s="10">
        <v>2.67</v>
      </c>
      <c r="D297" s="10">
        <v>6.3</v>
      </c>
      <c r="E297" s="10">
        <v>49.4</v>
      </c>
      <c r="F297" s="10">
        <v>18</v>
      </c>
      <c r="G297" s="10">
        <v>0</v>
      </c>
      <c r="H297" s="10">
        <v>5</v>
      </c>
      <c r="I297" s="10">
        <v>1</v>
      </c>
      <c r="J297">
        <v>2014</v>
      </c>
      <c r="K297">
        <v>10</v>
      </c>
      <c r="L297">
        <v>276</v>
      </c>
      <c r="M297" t="s">
        <v>55</v>
      </c>
    </row>
    <row r="298" spans="1:13">
      <c r="A298" t="s">
        <v>355</v>
      </c>
      <c r="B298" s="10">
        <v>2.33</v>
      </c>
      <c r="C298" s="10">
        <v>5.14</v>
      </c>
      <c r="D298" s="10">
        <v>1</v>
      </c>
      <c r="E298" s="10">
        <v>31</v>
      </c>
      <c r="F298" s="10">
        <v>21</v>
      </c>
      <c r="G298" s="10">
        <v>0</v>
      </c>
      <c r="H298" s="10">
        <v>2</v>
      </c>
      <c r="I298" s="10">
        <v>5</v>
      </c>
      <c r="J298">
        <v>2014</v>
      </c>
      <c r="K298">
        <v>10</v>
      </c>
      <c r="L298">
        <v>276</v>
      </c>
      <c r="M298" t="s">
        <v>57</v>
      </c>
    </row>
    <row r="299" spans="1:13">
      <c r="A299" t="s">
        <v>356</v>
      </c>
      <c r="B299" s="10">
        <v>3.34</v>
      </c>
      <c r="C299" s="10">
        <v>1</v>
      </c>
      <c r="D299" s="10">
        <v>1.6</v>
      </c>
      <c r="E299" s="10">
        <v>30.4</v>
      </c>
      <c r="F299" s="10">
        <v>6</v>
      </c>
      <c r="G299" s="10">
        <v>0</v>
      </c>
      <c r="H299" s="10">
        <v>1</v>
      </c>
      <c r="I299" s="10">
        <v>1</v>
      </c>
      <c r="J299">
        <v>2014</v>
      </c>
      <c r="K299">
        <v>10</v>
      </c>
      <c r="L299">
        <v>276</v>
      </c>
      <c r="M299" t="s">
        <v>59</v>
      </c>
    </row>
    <row r="300" spans="1:13">
      <c r="A300" t="s">
        <v>357</v>
      </c>
      <c r="B300" s="10">
        <v>8.34</v>
      </c>
      <c r="C300" s="10">
        <v>4.55</v>
      </c>
      <c r="D300" s="10">
        <v>4</v>
      </c>
      <c r="E300" s="10">
        <v>25.3</v>
      </c>
      <c r="F300" s="10">
        <v>17</v>
      </c>
      <c r="G300" s="10">
        <v>1</v>
      </c>
      <c r="H300" s="10">
        <v>3</v>
      </c>
      <c r="I300" s="10">
        <v>0</v>
      </c>
      <c r="J300">
        <v>2014</v>
      </c>
      <c r="K300">
        <v>10</v>
      </c>
      <c r="L300">
        <v>276</v>
      </c>
      <c r="M300" t="s">
        <v>61</v>
      </c>
    </row>
    <row r="301" spans="1:13">
      <c r="A301" t="s">
        <v>358</v>
      </c>
      <c r="B301" s="10">
        <v>4</v>
      </c>
      <c r="C301" s="10">
        <v>3.48</v>
      </c>
      <c r="D301" s="10">
        <v>10</v>
      </c>
      <c r="E301" s="10">
        <v>40.4</v>
      </c>
      <c r="F301" s="10">
        <v>23</v>
      </c>
      <c r="G301" s="10">
        <v>0</v>
      </c>
      <c r="H301" s="10">
        <v>0</v>
      </c>
      <c r="I301" s="10">
        <v>2</v>
      </c>
      <c r="J301">
        <v>2014</v>
      </c>
      <c r="K301">
        <v>10</v>
      </c>
      <c r="L301">
        <v>276</v>
      </c>
      <c r="M301" t="s">
        <v>63</v>
      </c>
    </row>
    <row r="302" spans="1:13">
      <c r="A302" t="s">
        <v>359</v>
      </c>
      <c r="B302" s="10">
        <v>5</v>
      </c>
      <c r="C302" s="10">
        <v>1</v>
      </c>
      <c r="D302" s="10">
        <v>6.6</v>
      </c>
      <c r="E302" s="10">
        <v>41</v>
      </c>
      <c r="F302" s="10">
        <v>20</v>
      </c>
      <c r="G302" s="10">
        <v>2</v>
      </c>
      <c r="H302" s="10">
        <v>27</v>
      </c>
      <c r="I302" s="10">
        <v>1</v>
      </c>
      <c r="J302">
        <v>2014</v>
      </c>
      <c r="K302">
        <v>10</v>
      </c>
      <c r="L302">
        <v>276</v>
      </c>
      <c r="M302" t="s">
        <v>65</v>
      </c>
    </row>
    <row r="303" spans="1:13">
      <c r="A303" t="s">
        <v>360</v>
      </c>
      <c r="B303" s="10">
        <v>0</v>
      </c>
      <c r="C303" s="10">
        <v>1</v>
      </c>
      <c r="D303" s="10">
        <v>5</v>
      </c>
      <c r="E303" s="10">
        <v>20.3</v>
      </c>
      <c r="F303" s="10">
        <v>11</v>
      </c>
      <c r="G303" s="10">
        <v>1</v>
      </c>
      <c r="H303" s="10">
        <v>2</v>
      </c>
      <c r="I303" s="10">
        <v>0</v>
      </c>
      <c r="J303">
        <v>2014</v>
      </c>
      <c r="K303">
        <v>10</v>
      </c>
      <c r="L303">
        <v>276</v>
      </c>
      <c r="M303" t="s">
        <v>53</v>
      </c>
    </row>
    <row r="304" spans="1:13">
      <c r="A304" t="s">
        <v>361</v>
      </c>
      <c r="B304" s="10">
        <v>2</v>
      </c>
      <c r="C304" s="10">
        <v>2.45</v>
      </c>
      <c r="D304" s="10">
        <v>4</v>
      </c>
      <c r="E304" s="10">
        <v>31</v>
      </c>
      <c r="F304" s="10">
        <v>16</v>
      </c>
      <c r="G304" s="10">
        <v>0</v>
      </c>
      <c r="H304" s="10">
        <v>0</v>
      </c>
      <c r="I304" s="10">
        <v>2</v>
      </c>
      <c r="J304">
        <v>2014</v>
      </c>
      <c r="K304">
        <v>10</v>
      </c>
      <c r="L304">
        <v>276</v>
      </c>
      <c r="M304" t="s">
        <v>55</v>
      </c>
    </row>
    <row r="305" spans="1:13">
      <c r="A305" t="s">
        <v>362</v>
      </c>
      <c r="B305" s="10">
        <v>2.33</v>
      </c>
      <c r="C305" s="10">
        <v>2.34</v>
      </c>
      <c r="D305" s="10">
        <v>3.5</v>
      </c>
      <c r="E305" s="10">
        <v>43.8</v>
      </c>
      <c r="F305" s="10">
        <v>22</v>
      </c>
      <c r="G305" s="10">
        <v>0</v>
      </c>
      <c r="H305" s="10">
        <v>7</v>
      </c>
      <c r="I305" s="10">
        <v>1</v>
      </c>
      <c r="J305">
        <v>2014</v>
      </c>
      <c r="K305">
        <v>11</v>
      </c>
      <c r="L305">
        <v>276</v>
      </c>
      <c r="M305" t="s">
        <v>57</v>
      </c>
    </row>
    <row r="306" spans="1:13">
      <c r="A306" t="s">
        <v>363</v>
      </c>
      <c r="B306" s="10">
        <v>4</v>
      </c>
      <c r="C306" s="10">
        <v>0</v>
      </c>
      <c r="D306" s="10">
        <v>1</v>
      </c>
      <c r="E306" s="10">
        <v>2</v>
      </c>
      <c r="F306" s="10">
        <v>3.5</v>
      </c>
      <c r="G306" s="10">
        <v>0</v>
      </c>
      <c r="H306" s="10">
        <v>0</v>
      </c>
      <c r="I306" s="10">
        <v>1</v>
      </c>
      <c r="J306">
        <v>2014</v>
      </c>
      <c r="K306">
        <v>11</v>
      </c>
      <c r="L306">
        <v>276</v>
      </c>
      <c r="M306" t="s">
        <v>59</v>
      </c>
    </row>
    <row r="307" spans="1:13">
      <c r="A307" t="s">
        <v>364</v>
      </c>
      <c r="B307" s="10">
        <v>7</v>
      </c>
      <c r="C307" s="10">
        <v>4.33</v>
      </c>
      <c r="D307" s="10">
        <v>1</v>
      </c>
      <c r="E307" s="10">
        <v>27.8</v>
      </c>
      <c r="F307" s="10">
        <v>19</v>
      </c>
      <c r="G307" s="10">
        <v>0</v>
      </c>
      <c r="H307" s="10">
        <v>5</v>
      </c>
      <c r="I307" s="10">
        <v>1</v>
      </c>
      <c r="J307">
        <v>2014</v>
      </c>
      <c r="K307">
        <v>11</v>
      </c>
      <c r="L307">
        <v>276</v>
      </c>
      <c r="M307" t="s">
        <v>61</v>
      </c>
    </row>
    <row r="308" spans="1:13">
      <c r="A308" t="s">
        <v>365</v>
      </c>
      <c r="B308" s="10">
        <v>6.33</v>
      </c>
      <c r="C308" s="10">
        <v>1</v>
      </c>
      <c r="D308" s="10">
        <v>5.2</v>
      </c>
      <c r="E308" s="10">
        <v>26.5</v>
      </c>
      <c r="F308" s="10">
        <v>15</v>
      </c>
      <c r="G308" s="10">
        <v>0</v>
      </c>
      <c r="H308" s="10">
        <v>0</v>
      </c>
      <c r="I308" s="10">
        <v>1</v>
      </c>
      <c r="J308">
        <v>2014</v>
      </c>
      <c r="K308">
        <v>11</v>
      </c>
      <c r="L308">
        <v>276</v>
      </c>
      <c r="M308" t="s">
        <v>63</v>
      </c>
    </row>
    <row r="309" spans="1:13">
      <c r="A309" t="s">
        <v>366</v>
      </c>
      <c r="B309" s="10">
        <v>0</v>
      </c>
      <c r="C309" s="10">
        <v>1.68</v>
      </c>
      <c r="D309" s="10">
        <v>4</v>
      </c>
      <c r="E309" s="10">
        <v>27</v>
      </c>
      <c r="F309" s="10">
        <v>19</v>
      </c>
      <c r="G309" s="10">
        <v>3</v>
      </c>
      <c r="H309" s="10">
        <v>1</v>
      </c>
      <c r="I309" s="10">
        <v>0</v>
      </c>
      <c r="J309">
        <v>2014</v>
      </c>
      <c r="K309">
        <v>11</v>
      </c>
      <c r="L309">
        <v>276</v>
      </c>
      <c r="M309" t="s">
        <v>65</v>
      </c>
    </row>
    <row r="310" spans="1:13">
      <c r="A310" t="s">
        <v>367</v>
      </c>
      <c r="B310" s="10">
        <v>6</v>
      </c>
      <c r="C310" s="10">
        <v>2.34</v>
      </c>
      <c r="D310" s="10">
        <v>5.2</v>
      </c>
      <c r="E310" s="10">
        <v>23.4</v>
      </c>
      <c r="F310" s="10">
        <v>23</v>
      </c>
      <c r="G310" s="10">
        <v>1</v>
      </c>
      <c r="H310" s="10">
        <v>0</v>
      </c>
      <c r="I310" s="10">
        <v>0</v>
      </c>
      <c r="J310">
        <v>2014</v>
      </c>
      <c r="K310">
        <v>11</v>
      </c>
      <c r="L310">
        <v>276</v>
      </c>
      <c r="M310" t="s">
        <v>53</v>
      </c>
    </row>
    <row r="311" spans="1:13">
      <c r="A311" t="s">
        <v>368</v>
      </c>
      <c r="B311" s="10">
        <v>6</v>
      </c>
      <c r="C311" s="10">
        <v>10.34</v>
      </c>
      <c r="D311" s="10">
        <v>5.5</v>
      </c>
      <c r="E311" s="10">
        <v>15.8</v>
      </c>
      <c r="F311" s="10">
        <v>32</v>
      </c>
      <c r="G311" s="10">
        <v>1</v>
      </c>
      <c r="H311" s="10">
        <v>0</v>
      </c>
      <c r="I311" s="10">
        <v>1</v>
      </c>
      <c r="J311">
        <v>2014</v>
      </c>
      <c r="K311">
        <v>11</v>
      </c>
      <c r="L311">
        <v>276</v>
      </c>
      <c r="M311" t="s">
        <v>55</v>
      </c>
    </row>
    <row r="312" spans="1:13">
      <c r="A312" t="s">
        <v>369</v>
      </c>
      <c r="B312" s="10">
        <v>12</v>
      </c>
      <c r="C312" s="10">
        <v>7.02</v>
      </c>
      <c r="D312" s="10">
        <v>6</v>
      </c>
      <c r="E312" s="10">
        <v>34.4</v>
      </c>
      <c r="F312" s="10">
        <v>24</v>
      </c>
      <c r="G312" s="10">
        <v>0</v>
      </c>
      <c r="H312" s="10">
        <v>17</v>
      </c>
      <c r="I312" s="10">
        <v>2.2</v>
      </c>
      <c r="J312">
        <v>2014</v>
      </c>
      <c r="K312">
        <v>11</v>
      </c>
      <c r="L312">
        <v>276</v>
      </c>
      <c r="M312" t="s">
        <v>57</v>
      </c>
    </row>
    <row r="313" spans="1:13">
      <c r="A313" t="s">
        <v>370</v>
      </c>
      <c r="B313" s="10">
        <v>3.34</v>
      </c>
      <c r="C313" s="10">
        <v>4.34</v>
      </c>
      <c r="D313" s="10">
        <v>2.9</v>
      </c>
      <c r="E313" s="10">
        <v>23</v>
      </c>
      <c r="F313" s="10">
        <v>20</v>
      </c>
      <c r="G313" s="10">
        <v>0</v>
      </c>
      <c r="H313" s="10">
        <v>2</v>
      </c>
      <c r="I313" s="10">
        <v>1</v>
      </c>
      <c r="J313">
        <v>2014</v>
      </c>
      <c r="K313">
        <v>11</v>
      </c>
      <c r="L313">
        <v>276</v>
      </c>
      <c r="M313" t="s">
        <v>59</v>
      </c>
    </row>
    <row r="314" spans="1:13">
      <c r="A314" t="s">
        <v>371</v>
      </c>
      <c r="B314" s="10">
        <v>1</v>
      </c>
      <c r="C314" s="10">
        <v>5.32</v>
      </c>
      <c r="D314" s="10">
        <v>3.3</v>
      </c>
      <c r="E314" s="10">
        <v>24.3</v>
      </c>
      <c r="F314" s="10">
        <v>13</v>
      </c>
      <c r="G314" s="10">
        <v>0</v>
      </c>
      <c r="H314" s="10">
        <v>7</v>
      </c>
      <c r="I314" s="10">
        <v>1</v>
      </c>
      <c r="J314">
        <v>2014</v>
      </c>
      <c r="K314">
        <v>11</v>
      </c>
      <c r="L314">
        <v>276</v>
      </c>
      <c r="M314" t="s">
        <v>61</v>
      </c>
    </row>
    <row r="315" spans="1:13">
      <c r="A315" t="s">
        <v>372</v>
      </c>
      <c r="B315" s="10">
        <v>8</v>
      </c>
      <c r="C315" s="10">
        <v>4</v>
      </c>
      <c r="D315" s="10">
        <v>2</v>
      </c>
      <c r="E315" s="10">
        <v>23</v>
      </c>
      <c r="F315" s="10">
        <v>18</v>
      </c>
      <c r="G315" s="10">
        <v>0</v>
      </c>
      <c r="H315" s="10">
        <v>8</v>
      </c>
      <c r="I315" s="10">
        <v>2</v>
      </c>
      <c r="J315">
        <v>2014</v>
      </c>
      <c r="K315">
        <v>11</v>
      </c>
      <c r="L315">
        <v>276</v>
      </c>
      <c r="M315" t="s">
        <v>63</v>
      </c>
    </row>
    <row r="316" spans="1:13">
      <c r="A316" t="s">
        <v>373</v>
      </c>
      <c r="B316" s="10">
        <v>3</v>
      </c>
      <c r="C316" s="10">
        <v>5</v>
      </c>
      <c r="D316" s="10">
        <v>4</v>
      </c>
      <c r="E316" s="10">
        <v>25</v>
      </c>
      <c r="F316" s="10">
        <v>16</v>
      </c>
      <c r="G316" s="10">
        <v>0</v>
      </c>
      <c r="H316" s="10">
        <v>3</v>
      </c>
      <c r="I316" s="10">
        <v>0</v>
      </c>
      <c r="J316">
        <v>2014</v>
      </c>
      <c r="K316">
        <v>11</v>
      </c>
      <c r="L316">
        <v>276</v>
      </c>
      <c r="M316" t="s">
        <v>65</v>
      </c>
    </row>
    <row r="317" spans="1:13">
      <c r="A317" t="s">
        <v>374</v>
      </c>
      <c r="B317" s="10">
        <v>8</v>
      </c>
      <c r="C317" s="10">
        <v>2</v>
      </c>
      <c r="D317" s="10">
        <v>5</v>
      </c>
      <c r="E317" s="10">
        <v>33.2</v>
      </c>
      <c r="F317" s="10">
        <v>10</v>
      </c>
      <c r="G317" s="10">
        <v>0</v>
      </c>
      <c r="H317" s="10">
        <v>0</v>
      </c>
      <c r="I317" s="10">
        <v>2.2</v>
      </c>
      <c r="J317">
        <v>2014</v>
      </c>
      <c r="K317">
        <v>11</v>
      </c>
      <c r="L317">
        <v>276</v>
      </c>
      <c r="M317" t="s">
        <v>53</v>
      </c>
    </row>
    <row r="318" spans="1:13">
      <c r="A318" t="s">
        <v>375</v>
      </c>
      <c r="B318" s="10">
        <v>5.34</v>
      </c>
      <c r="C318" s="10">
        <v>0</v>
      </c>
      <c r="D318" s="10">
        <v>6</v>
      </c>
      <c r="E318" s="10">
        <v>29.4</v>
      </c>
      <c r="F318" s="10">
        <v>20</v>
      </c>
      <c r="G318" s="10">
        <v>1</v>
      </c>
      <c r="H318" s="10">
        <v>2</v>
      </c>
      <c r="I318" s="10">
        <v>3</v>
      </c>
      <c r="J318">
        <v>2014</v>
      </c>
      <c r="K318">
        <v>11</v>
      </c>
      <c r="L318">
        <v>276</v>
      </c>
      <c r="M318" t="s">
        <v>55</v>
      </c>
    </row>
    <row r="319" spans="1:13">
      <c r="A319" t="s">
        <v>376</v>
      </c>
      <c r="B319" s="10">
        <v>4.33</v>
      </c>
      <c r="C319" s="10">
        <v>5.34</v>
      </c>
      <c r="D319" s="10">
        <v>5</v>
      </c>
      <c r="E319" s="10">
        <v>23.6</v>
      </c>
      <c r="F319" s="10">
        <v>20</v>
      </c>
      <c r="G319" s="10">
        <v>2</v>
      </c>
      <c r="H319" s="10">
        <v>2</v>
      </c>
      <c r="I319" s="10">
        <v>2</v>
      </c>
      <c r="J319">
        <v>2014</v>
      </c>
      <c r="K319">
        <v>11</v>
      </c>
      <c r="L319">
        <v>276</v>
      </c>
      <c r="M319" t="s">
        <v>57</v>
      </c>
    </row>
    <row r="320" spans="1:13">
      <c r="A320" t="s">
        <v>377</v>
      </c>
      <c r="B320" s="10">
        <v>2</v>
      </c>
      <c r="C320" s="10">
        <v>2.68</v>
      </c>
      <c r="D320" s="10">
        <v>6</v>
      </c>
      <c r="E320" s="10">
        <v>18.6</v>
      </c>
      <c r="F320" s="10">
        <v>13</v>
      </c>
      <c r="G320" s="10">
        <v>1</v>
      </c>
      <c r="H320" s="10">
        <v>0</v>
      </c>
      <c r="I320" s="10">
        <v>0</v>
      </c>
      <c r="J320">
        <v>2014</v>
      </c>
      <c r="K320">
        <v>11</v>
      </c>
      <c r="L320">
        <v>276</v>
      </c>
      <c r="M320" t="s">
        <v>59</v>
      </c>
    </row>
    <row r="321" spans="1:13">
      <c r="A321" t="s">
        <v>378</v>
      </c>
      <c r="B321" s="10">
        <v>9</v>
      </c>
      <c r="C321" s="10">
        <v>5.01</v>
      </c>
      <c r="D321" s="10">
        <v>5.5</v>
      </c>
      <c r="E321" s="10">
        <v>23</v>
      </c>
      <c r="F321" s="10">
        <v>23</v>
      </c>
      <c r="G321" s="10">
        <v>1</v>
      </c>
      <c r="H321" s="10">
        <v>10</v>
      </c>
      <c r="I321" s="10">
        <v>0.2</v>
      </c>
      <c r="J321">
        <v>2014</v>
      </c>
      <c r="K321">
        <v>11</v>
      </c>
      <c r="L321">
        <v>276</v>
      </c>
      <c r="M321" t="s">
        <v>61</v>
      </c>
    </row>
    <row r="322" spans="1:13">
      <c r="A322" t="s">
        <v>379</v>
      </c>
      <c r="B322" s="10">
        <v>2.67</v>
      </c>
      <c r="C322" s="10">
        <v>2</v>
      </c>
      <c r="D322" s="10">
        <v>5</v>
      </c>
      <c r="E322" s="10">
        <v>19.3</v>
      </c>
      <c r="F322" s="10">
        <v>10.5</v>
      </c>
      <c r="G322" s="10">
        <v>1</v>
      </c>
      <c r="H322" s="10">
        <v>0</v>
      </c>
      <c r="I322" s="10">
        <v>1</v>
      </c>
      <c r="J322">
        <v>2014</v>
      </c>
      <c r="K322">
        <v>11</v>
      </c>
      <c r="L322">
        <v>276</v>
      </c>
      <c r="M322" t="s">
        <v>63</v>
      </c>
    </row>
    <row r="323" spans="1:13">
      <c r="A323" t="s">
        <v>380</v>
      </c>
      <c r="B323" s="10">
        <v>1.34</v>
      </c>
      <c r="C323" s="10">
        <v>3.67</v>
      </c>
      <c r="D323" s="10">
        <v>10</v>
      </c>
      <c r="E323" s="10">
        <v>32</v>
      </c>
      <c r="F323" s="10">
        <v>17</v>
      </c>
      <c r="G323" s="10">
        <v>0</v>
      </c>
      <c r="H323" s="10">
        <v>10</v>
      </c>
      <c r="I323" s="10">
        <v>4</v>
      </c>
      <c r="J323">
        <v>2014</v>
      </c>
      <c r="K323">
        <v>11</v>
      </c>
      <c r="L323">
        <v>276</v>
      </c>
      <c r="M323" t="s">
        <v>65</v>
      </c>
    </row>
    <row r="324" spans="1:13">
      <c r="A324" t="s">
        <v>381</v>
      </c>
      <c r="B324" s="10">
        <v>4</v>
      </c>
      <c r="C324" s="10">
        <v>7</v>
      </c>
      <c r="D324" s="10">
        <v>5</v>
      </c>
      <c r="E324" s="10">
        <v>18.8</v>
      </c>
      <c r="F324" s="10">
        <v>13</v>
      </c>
      <c r="G324" s="10">
        <v>0</v>
      </c>
      <c r="H324" s="10">
        <v>8</v>
      </c>
      <c r="I324" s="10">
        <v>0</v>
      </c>
      <c r="J324">
        <v>2014</v>
      </c>
      <c r="K324">
        <v>11</v>
      </c>
      <c r="L324">
        <v>276</v>
      </c>
      <c r="M324" t="s">
        <v>53</v>
      </c>
    </row>
    <row r="325" spans="1:13">
      <c r="A325" t="s">
        <v>382</v>
      </c>
      <c r="B325" s="10">
        <v>1.34</v>
      </c>
      <c r="C325" s="10">
        <v>1.34</v>
      </c>
      <c r="D325" s="10">
        <v>3</v>
      </c>
      <c r="E325" s="10">
        <v>22.4</v>
      </c>
      <c r="F325" s="10">
        <v>16</v>
      </c>
      <c r="G325" s="10">
        <v>0</v>
      </c>
      <c r="H325" s="10">
        <v>2</v>
      </c>
      <c r="I325" s="10">
        <v>1</v>
      </c>
      <c r="J325">
        <v>2014</v>
      </c>
      <c r="K325">
        <v>11</v>
      </c>
      <c r="L325">
        <v>276</v>
      </c>
      <c r="M325" t="s">
        <v>55</v>
      </c>
    </row>
    <row r="326" spans="1:13">
      <c r="A326" t="s">
        <v>383</v>
      </c>
      <c r="B326" s="10">
        <v>6</v>
      </c>
      <c r="C326" s="10">
        <v>2.34</v>
      </c>
      <c r="D326" s="10">
        <v>3</v>
      </c>
      <c r="E326" s="10">
        <v>23.7</v>
      </c>
      <c r="F326" s="10">
        <v>15</v>
      </c>
      <c r="G326" s="10">
        <v>1</v>
      </c>
      <c r="H326" s="10">
        <v>8</v>
      </c>
      <c r="I326" s="10">
        <v>1.4</v>
      </c>
      <c r="J326">
        <v>2014</v>
      </c>
      <c r="K326">
        <v>11</v>
      </c>
      <c r="L326">
        <v>276</v>
      </c>
      <c r="M326" t="s">
        <v>57</v>
      </c>
    </row>
    <row r="327" spans="1:13">
      <c r="A327" t="s">
        <v>384</v>
      </c>
      <c r="B327" s="10">
        <v>4</v>
      </c>
      <c r="C327" s="10">
        <v>3.68</v>
      </c>
      <c r="D327" s="10">
        <v>6</v>
      </c>
      <c r="E327" s="10">
        <v>22.3</v>
      </c>
      <c r="F327" s="10">
        <v>11</v>
      </c>
      <c r="G327" s="10">
        <v>0</v>
      </c>
      <c r="H327" s="10">
        <v>0</v>
      </c>
      <c r="I327" s="10">
        <v>1.1</v>
      </c>
      <c r="J327">
        <v>2014</v>
      </c>
      <c r="K327">
        <v>11</v>
      </c>
      <c r="L327">
        <v>276</v>
      </c>
      <c r="M327" t="s">
        <v>59</v>
      </c>
    </row>
    <row r="328" spans="1:13">
      <c r="A328" t="s">
        <v>385</v>
      </c>
      <c r="B328" s="10">
        <v>4</v>
      </c>
      <c r="C328" s="10">
        <v>3</v>
      </c>
      <c r="D328" s="10">
        <v>6</v>
      </c>
      <c r="E328" s="10">
        <v>30.6</v>
      </c>
      <c r="F328" s="10">
        <v>19</v>
      </c>
      <c r="G328" s="10">
        <v>1</v>
      </c>
      <c r="H328" s="10">
        <v>1</v>
      </c>
      <c r="I328" s="10">
        <v>2.1</v>
      </c>
      <c r="J328">
        <v>2014</v>
      </c>
      <c r="K328">
        <v>11</v>
      </c>
      <c r="L328">
        <v>276</v>
      </c>
      <c r="M328" t="s">
        <v>61</v>
      </c>
    </row>
    <row r="329" spans="1:13">
      <c r="A329" t="s">
        <v>386</v>
      </c>
      <c r="B329" s="10">
        <v>5.36</v>
      </c>
      <c r="C329" s="10">
        <v>1.68</v>
      </c>
      <c r="D329" s="10">
        <v>2</v>
      </c>
      <c r="E329" s="10">
        <v>19.2</v>
      </c>
      <c r="F329" s="10">
        <v>18</v>
      </c>
      <c r="G329" s="10">
        <v>0</v>
      </c>
      <c r="H329" s="10">
        <v>2</v>
      </c>
      <c r="I329" s="10">
        <v>3</v>
      </c>
      <c r="J329">
        <v>2014</v>
      </c>
      <c r="K329">
        <v>11</v>
      </c>
      <c r="L329">
        <v>276</v>
      </c>
      <c r="M329" t="s">
        <v>63</v>
      </c>
    </row>
    <row r="330" spans="1:13">
      <c r="A330" t="s">
        <v>387</v>
      </c>
      <c r="B330" s="10">
        <v>3</v>
      </c>
      <c r="C330" s="10">
        <v>5</v>
      </c>
      <c r="D330" s="10">
        <v>6</v>
      </c>
      <c r="E330" s="10">
        <v>21</v>
      </c>
      <c r="F330" s="10">
        <v>13</v>
      </c>
      <c r="G330" s="10">
        <v>3</v>
      </c>
      <c r="H330" s="10">
        <v>11</v>
      </c>
      <c r="I330" s="10">
        <v>2</v>
      </c>
      <c r="J330">
        <v>2014</v>
      </c>
      <c r="K330">
        <v>11</v>
      </c>
      <c r="L330">
        <v>276</v>
      </c>
      <c r="M330" t="s">
        <v>65</v>
      </c>
    </row>
    <row r="331" spans="1:13">
      <c r="A331" t="s">
        <v>388</v>
      </c>
      <c r="B331" s="10">
        <v>7</v>
      </c>
      <c r="C331" s="10">
        <v>3.67</v>
      </c>
      <c r="D331" s="10">
        <v>2.3</v>
      </c>
      <c r="E331" s="10">
        <v>21.2</v>
      </c>
      <c r="F331" s="10">
        <v>9</v>
      </c>
      <c r="G331" s="10">
        <v>1</v>
      </c>
      <c r="H331" s="10">
        <v>4</v>
      </c>
      <c r="I331" s="10">
        <v>3</v>
      </c>
      <c r="J331">
        <v>2014</v>
      </c>
      <c r="K331">
        <v>11</v>
      </c>
      <c r="L331">
        <v>276</v>
      </c>
      <c r="M331" t="s">
        <v>53</v>
      </c>
    </row>
    <row r="332" spans="1:13">
      <c r="A332" t="s">
        <v>389</v>
      </c>
      <c r="B332" s="10">
        <v>3.02</v>
      </c>
      <c r="C332" s="10">
        <v>1.4</v>
      </c>
      <c r="D332" s="10">
        <v>15</v>
      </c>
      <c r="E332" s="10">
        <v>15.9</v>
      </c>
      <c r="F332" s="10">
        <v>12</v>
      </c>
      <c r="G332" s="10">
        <v>1</v>
      </c>
      <c r="H332" s="10">
        <v>2</v>
      </c>
      <c r="I332" s="10">
        <v>1</v>
      </c>
      <c r="J332">
        <v>2014</v>
      </c>
      <c r="K332">
        <v>11</v>
      </c>
      <c r="L332">
        <v>276</v>
      </c>
      <c r="M332" t="s">
        <v>55</v>
      </c>
    </row>
    <row r="333" spans="1:13">
      <c r="A333" t="s">
        <v>390</v>
      </c>
      <c r="B333" s="10">
        <v>3</v>
      </c>
      <c r="C333" s="10">
        <v>2.01</v>
      </c>
      <c r="D333" s="10">
        <v>3.3</v>
      </c>
      <c r="E333" s="10">
        <v>31</v>
      </c>
      <c r="F333" s="10">
        <v>16</v>
      </c>
      <c r="G333" s="10">
        <v>0</v>
      </c>
      <c r="H333" s="10">
        <v>0</v>
      </c>
      <c r="I333" s="10">
        <v>5</v>
      </c>
      <c r="J333">
        <v>2014</v>
      </c>
      <c r="K333">
        <v>11</v>
      </c>
      <c r="L333">
        <v>276</v>
      </c>
      <c r="M333" t="s">
        <v>57</v>
      </c>
    </row>
    <row r="334" spans="1:13">
      <c r="A334" t="s">
        <v>391</v>
      </c>
      <c r="B334" s="10">
        <v>5.68</v>
      </c>
      <c r="C334" s="10">
        <v>1.33</v>
      </c>
      <c r="D334" s="10">
        <v>5</v>
      </c>
      <c r="E334" s="10">
        <v>22.6</v>
      </c>
      <c r="F334" s="10">
        <v>9</v>
      </c>
      <c r="G334" s="10">
        <v>1</v>
      </c>
      <c r="H334" s="10">
        <v>0</v>
      </c>
      <c r="I334" s="10">
        <v>2</v>
      </c>
      <c r="J334">
        <v>2014</v>
      </c>
      <c r="K334">
        <v>11</v>
      </c>
      <c r="L334">
        <v>276</v>
      </c>
      <c r="M334" t="s">
        <v>59</v>
      </c>
    </row>
    <row r="335" spans="1:13">
      <c r="A335" t="s">
        <v>392</v>
      </c>
      <c r="B335" s="10">
        <v>4.34</v>
      </c>
      <c r="C335" s="10">
        <v>4.01</v>
      </c>
      <c r="D335" s="10">
        <v>0</v>
      </c>
      <c r="E335" s="10">
        <v>36.4</v>
      </c>
      <c r="F335" s="10">
        <v>19</v>
      </c>
      <c r="G335" s="10">
        <v>0</v>
      </c>
      <c r="H335" s="10">
        <v>2</v>
      </c>
      <c r="I335" s="10">
        <v>2</v>
      </c>
      <c r="J335">
        <v>2014</v>
      </c>
      <c r="K335">
        <v>12</v>
      </c>
      <c r="L335">
        <v>276</v>
      </c>
      <c r="M335" t="s">
        <v>61</v>
      </c>
    </row>
    <row r="336" spans="1:13">
      <c r="A336" t="s">
        <v>393</v>
      </c>
      <c r="B336" s="10">
        <v>6.99</v>
      </c>
      <c r="C336" s="10">
        <v>4.33</v>
      </c>
      <c r="D336" s="10">
        <v>3.7</v>
      </c>
      <c r="E336" s="10">
        <v>7.8</v>
      </c>
      <c r="F336" s="10">
        <v>26</v>
      </c>
      <c r="G336" s="10">
        <v>0</v>
      </c>
      <c r="H336" s="10">
        <v>4</v>
      </c>
      <c r="I336" s="10">
        <v>1</v>
      </c>
      <c r="J336">
        <v>2014</v>
      </c>
      <c r="K336">
        <v>12</v>
      </c>
      <c r="L336">
        <v>276</v>
      </c>
      <c r="M336" t="s">
        <v>63</v>
      </c>
    </row>
    <row r="337" spans="1:13">
      <c r="A337" t="s">
        <v>394</v>
      </c>
      <c r="B337" s="10">
        <v>4</v>
      </c>
      <c r="C337" s="10">
        <v>3.33</v>
      </c>
      <c r="D337" s="10">
        <v>5</v>
      </c>
      <c r="E337" s="10">
        <v>16.6</v>
      </c>
      <c r="F337" s="10">
        <v>23</v>
      </c>
      <c r="G337" s="10">
        <v>2</v>
      </c>
      <c r="H337" s="10">
        <v>13</v>
      </c>
      <c r="I337" s="10">
        <v>3.2</v>
      </c>
      <c r="J337">
        <v>2014</v>
      </c>
      <c r="K337">
        <v>12</v>
      </c>
      <c r="L337">
        <v>276</v>
      </c>
      <c r="M337" t="s">
        <v>65</v>
      </c>
    </row>
    <row r="338" spans="1:13">
      <c r="A338" t="s">
        <v>395</v>
      </c>
      <c r="B338" s="10">
        <v>3</v>
      </c>
      <c r="C338" s="10">
        <v>4.34</v>
      </c>
      <c r="D338" s="10">
        <v>3.6</v>
      </c>
      <c r="E338" s="10">
        <v>28.7</v>
      </c>
      <c r="F338" s="10">
        <v>16</v>
      </c>
      <c r="G338" s="10">
        <v>1</v>
      </c>
      <c r="H338" s="10">
        <v>1</v>
      </c>
      <c r="I338" s="10">
        <v>0</v>
      </c>
      <c r="J338">
        <v>2014</v>
      </c>
      <c r="K338">
        <v>12</v>
      </c>
      <c r="L338">
        <v>276</v>
      </c>
      <c r="M338" t="s">
        <v>53</v>
      </c>
    </row>
    <row r="339" spans="1:13">
      <c r="A339" t="s">
        <v>396</v>
      </c>
      <c r="B339" s="10">
        <v>2.02</v>
      </c>
      <c r="C339" s="10">
        <v>5.68</v>
      </c>
      <c r="D339" s="10">
        <v>1</v>
      </c>
      <c r="E339" s="10">
        <v>28.1</v>
      </c>
      <c r="F339" s="10">
        <v>15</v>
      </c>
      <c r="G339" s="10">
        <v>1</v>
      </c>
      <c r="H339" s="10">
        <v>1</v>
      </c>
      <c r="I339" s="10">
        <v>2.2</v>
      </c>
      <c r="J339">
        <v>2014</v>
      </c>
      <c r="K339">
        <v>12</v>
      </c>
      <c r="L339">
        <v>276</v>
      </c>
      <c r="M339" t="s">
        <v>55</v>
      </c>
    </row>
    <row r="340" spans="1:13">
      <c r="A340" t="s">
        <v>397</v>
      </c>
      <c r="B340" s="10">
        <v>3.34</v>
      </c>
      <c r="C340" s="10">
        <v>3.68</v>
      </c>
      <c r="D340" s="10">
        <v>1</v>
      </c>
      <c r="E340" s="10">
        <v>12.4</v>
      </c>
      <c r="F340" s="10">
        <v>9</v>
      </c>
      <c r="G340" s="10">
        <v>0</v>
      </c>
      <c r="H340" s="10">
        <v>7</v>
      </c>
      <c r="I340" s="10">
        <v>1</v>
      </c>
      <c r="J340">
        <v>2014</v>
      </c>
      <c r="K340">
        <v>12</v>
      </c>
      <c r="L340">
        <v>276</v>
      </c>
      <c r="M340" t="s">
        <v>57</v>
      </c>
    </row>
    <row r="341" spans="1:13">
      <c r="A341" t="s">
        <v>398</v>
      </c>
      <c r="B341" s="10">
        <v>5</v>
      </c>
      <c r="C341" s="10">
        <v>4.911</v>
      </c>
      <c r="D341" s="10">
        <v>4</v>
      </c>
      <c r="E341" s="10">
        <v>45.7</v>
      </c>
      <c r="F341" s="10">
        <v>6</v>
      </c>
      <c r="G341" s="10">
        <v>0</v>
      </c>
      <c r="H341" s="10">
        <v>12</v>
      </c>
      <c r="I341" s="10">
        <v>0</v>
      </c>
      <c r="J341">
        <v>2014</v>
      </c>
      <c r="K341">
        <v>12</v>
      </c>
      <c r="L341">
        <v>276</v>
      </c>
      <c r="M341" t="s">
        <v>59</v>
      </c>
    </row>
    <row r="342" spans="1:13">
      <c r="A342" t="s">
        <v>399</v>
      </c>
      <c r="B342" s="10">
        <v>1</v>
      </c>
      <c r="C342" s="10">
        <v>3.33</v>
      </c>
      <c r="D342" s="10">
        <v>2</v>
      </c>
      <c r="E342" s="10">
        <v>20.3</v>
      </c>
      <c r="F342" s="10">
        <v>9</v>
      </c>
      <c r="G342" s="10">
        <v>0</v>
      </c>
      <c r="H342" s="10">
        <v>0</v>
      </c>
      <c r="I342" s="10">
        <v>0</v>
      </c>
      <c r="J342">
        <v>2014</v>
      </c>
      <c r="K342">
        <v>12</v>
      </c>
      <c r="L342">
        <v>276</v>
      </c>
      <c r="M342" t="s">
        <v>61</v>
      </c>
    </row>
    <row r="343" spans="1:13">
      <c r="A343" t="s">
        <v>400</v>
      </c>
      <c r="B343" s="10">
        <v>1</v>
      </c>
      <c r="C343" s="10">
        <v>2.34</v>
      </c>
      <c r="D343" s="10">
        <v>7</v>
      </c>
      <c r="E343" s="10">
        <v>27.28</v>
      </c>
      <c r="F343" s="10">
        <v>12</v>
      </c>
      <c r="G343" s="10">
        <v>1</v>
      </c>
      <c r="H343" s="10">
        <v>0</v>
      </c>
      <c r="I343" s="10">
        <v>2</v>
      </c>
      <c r="J343">
        <v>2014</v>
      </c>
      <c r="K343">
        <v>12</v>
      </c>
      <c r="L343">
        <v>276</v>
      </c>
      <c r="M343" t="s">
        <v>63</v>
      </c>
    </row>
    <row r="344" spans="1:13">
      <c r="A344" t="s">
        <v>401</v>
      </c>
      <c r="B344" s="10">
        <v>3.34</v>
      </c>
      <c r="C344" s="10">
        <v>3</v>
      </c>
      <c r="D344" s="10">
        <v>2</v>
      </c>
      <c r="E344" s="10">
        <v>51.2</v>
      </c>
      <c r="F344" s="10">
        <v>28</v>
      </c>
      <c r="G344" s="10">
        <v>3</v>
      </c>
      <c r="H344" s="10">
        <v>6</v>
      </c>
      <c r="I344" s="10">
        <v>0</v>
      </c>
      <c r="J344">
        <v>2014</v>
      </c>
      <c r="K344">
        <v>12</v>
      </c>
      <c r="L344">
        <v>276</v>
      </c>
      <c r="M344" t="s">
        <v>65</v>
      </c>
    </row>
    <row r="345" spans="1:13">
      <c r="A345" t="s">
        <v>402</v>
      </c>
      <c r="B345" s="10">
        <v>2.34</v>
      </c>
      <c r="C345" s="10">
        <v>5.33</v>
      </c>
      <c r="D345" s="10">
        <v>7</v>
      </c>
      <c r="E345" s="10">
        <v>16.3</v>
      </c>
      <c r="F345" s="10">
        <v>21</v>
      </c>
      <c r="G345" s="10">
        <v>2</v>
      </c>
      <c r="H345" s="10">
        <v>0</v>
      </c>
      <c r="I345" s="10">
        <v>0</v>
      </c>
      <c r="J345">
        <v>2014</v>
      </c>
      <c r="K345">
        <v>12</v>
      </c>
      <c r="L345">
        <v>276</v>
      </c>
      <c r="M345" t="s">
        <v>53</v>
      </c>
    </row>
    <row r="346" spans="1:13">
      <c r="A346" t="s">
        <v>403</v>
      </c>
      <c r="B346" s="10">
        <v>6.34</v>
      </c>
      <c r="C346" s="10">
        <v>2.34</v>
      </c>
      <c r="D346" s="10">
        <v>5.6</v>
      </c>
      <c r="E346" s="10">
        <v>41.4</v>
      </c>
      <c r="F346" s="10">
        <v>18</v>
      </c>
      <c r="G346" s="10">
        <v>0</v>
      </c>
      <c r="H346" s="10">
        <v>2</v>
      </c>
      <c r="I346" s="10">
        <v>0</v>
      </c>
      <c r="J346">
        <v>2014</v>
      </c>
      <c r="K346">
        <v>12</v>
      </c>
      <c r="L346">
        <v>276</v>
      </c>
      <c r="M346" t="s">
        <v>55</v>
      </c>
    </row>
    <row r="347" spans="1:13">
      <c r="A347" t="s">
        <v>404</v>
      </c>
      <c r="B347" s="10">
        <v>1</v>
      </c>
      <c r="C347" s="10">
        <v>3.34</v>
      </c>
      <c r="D347" s="10">
        <v>2.4</v>
      </c>
      <c r="E347" s="10">
        <v>25.1</v>
      </c>
      <c r="F347" s="10">
        <v>11</v>
      </c>
      <c r="G347" s="10">
        <v>1</v>
      </c>
      <c r="H347" s="10">
        <v>7</v>
      </c>
      <c r="I347" s="10">
        <v>0</v>
      </c>
      <c r="J347">
        <v>2014</v>
      </c>
      <c r="K347">
        <v>12</v>
      </c>
      <c r="L347">
        <v>276</v>
      </c>
      <c r="M347" t="s">
        <v>57</v>
      </c>
    </row>
    <row r="348" spans="1:13">
      <c r="A348" t="s">
        <v>405</v>
      </c>
      <c r="B348" s="10">
        <v>10</v>
      </c>
      <c r="C348" s="10">
        <v>2.34</v>
      </c>
      <c r="D348" s="10">
        <v>4.4</v>
      </c>
      <c r="E348" s="10">
        <v>40</v>
      </c>
      <c r="F348" s="10">
        <v>10</v>
      </c>
      <c r="G348" s="10">
        <v>0</v>
      </c>
      <c r="H348" s="10">
        <v>6</v>
      </c>
      <c r="I348" s="10">
        <v>1</v>
      </c>
      <c r="J348">
        <v>2014</v>
      </c>
      <c r="K348">
        <v>12</v>
      </c>
      <c r="L348">
        <v>276</v>
      </c>
      <c r="M348" t="s">
        <v>59</v>
      </c>
    </row>
    <row r="349" spans="1:13">
      <c r="A349" t="s">
        <v>406</v>
      </c>
      <c r="B349" s="10">
        <v>5.34</v>
      </c>
      <c r="C349" s="10">
        <v>4.02</v>
      </c>
      <c r="D349" s="10">
        <v>7.64</v>
      </c>
      <c r="E349" s="10">
        <v>42.2</v>
      </c>
      <c r="F349" s="10">
        <v>14</v>
      </c>
      <c r="G349" s="10">
        <v>1</v>
      </c>
      <c r="H349" s="10">
        <v>9</v>
      </c>
      <c r="I349" s="10">
        <v>1</v>
      </c>
      <c r="J349">
        <v>2014</v>
      </c>
      <c r="K349">
        <v>12</v>
      </c>
      <c r="L349">
        <v>276</v>
      </c>
      <c r="M349" t="s">
        <v>61</v>
      </c>
    </row>
    <row r="350" spans="1:13">
      <c r="A350" t="s">
        <v>407</v>
      </c>
      <c r="B350" s="10">
        <v>6.34</v>
      </c>
      <c r="C350" s="10">
        <v>1.34</v>
      </c>
      <c r="D350" s="10">
        <v>6.2</v>
      </c>
      <c r="E350" s="10">
        <v>23</v>
      </c>
      <c r="F350" s="10">
        <v>23</v>
      </c>
      <c r="G350" s="10">
        <v>3</v>
      </c>
      <c r="H350" s="10">
        <v>4</v>
      </c>
      <c r="I350" s="10">
        <v>1</v>
      </c>
      <c r="J350">
        <v>2014</v>
      </c>
      <c r="K350">
        <v>12</v>
      </c>
      <c r="L350">
        <v>276</v>
      </c>
      <c r="M350" t="s">
        <v>63</v>
      </c>
    </row>
    <row r="351" spans="1:13">
      <c r="A351" t="s">
        <v>408</v>
      </c>
      <c r="B351" s="10">
        <v>3</v>
      </c>
      <c r="C351" s="10">
        <v>3.67</v>
      </c>
      <c r="D351" s="10">
        <v>3.5</v>
      </c>
      <c r="E351" s="10">
        <v>28</v>
      </c>
      <c r="F351" s="10">
        <v>17</v>
      </c>
      <c r="G351" s="10">
        <v>2</v>
      </c>
      <c r="H351" s="10">
        <v>8</v>
      </c>
      <c r="I351" s="10">
        <v>0</v>
      </c>
      <c r="J351">
        <v>2014</v>
      </c>
      <c r="K351">
        <v>12</v>
      </c>
      <c r="L351">
        <v>276</v>
      </c>
      <c r="M351" t="s">
        <v>65</v>
      </c>
    </row>
    <row r="352" spans="1:13">
      <c r="A352" t="s">
        <v>409</v>
      </c>
      <c r="B352" s="10">
        <v>5</v>
      </c>
      <c r="C352" s="10">
        <v>3.67</v>
      </c>
      <c r="D352" s="10">
        <v>3</v>
      </c>
      <c r="E352" s="10">
        <v>26.6</v>
      </c>
      <c r="F352" s="10">
        <v>9</v>
      </c>
      <c r="G352" s="10">
        <v>0</v>
      </c>
      <c r="H352" s="10">
        <v>0</v>
      </c>
      <c r="I352" s="10">
        <v>0</v>
      </c>
      <c r="J352">
        <v>2014</v>
      </c>
      <c r="K352">
        <v>12</v>
      </c>
      <c r="L352">
        <v>276</v>
      </c>
      <c r="M352" t="s">
        <v>53</v>
      </c>
    </row>
    <row r="353" spans="1:13">
      <c r="A353" t="s">
        <v>410</v>
      </c>
      <c r="B353" s="10">
        <v>0</v>
      </c>
      <c r="C353" s="10">
        <v>0</v>
      </c>
      <c r="D353" s="10">
        <v>0</v>
      </c>
      <c r="E353" s="10">
        <v>0</v>
      </c>
      <c r="F353" s="10">
        <v>0</v>
      </c>
      <c r="G353" s="10">
        <v>0</v>
      </c>
      <c r="H353" s="10">
        <v>0</v>
      </c>
      <c r="I353" s="10">
        <v>0</v>
      </c>
      <c r="J353">
        <v>2014</v>
      </c>
      <c r="K353">
        <v>12</v>
      </c>
      <c r="L353">
        <v>276</v>
      </c>
      <c r="M353" t="s">
        <v>55</v>
      </c>
    </row>
    <row r="354" spans="1:13">
      <c r="A354" t="s">
        <v>411</v>
      </c>
      <c r="B354" s="10">
        <v>1</v>
      </c>
      <c r="C354" s="10">
        <v>3.66</v>
      </c>
      <c r="D354" s="10">
        <v>2</v>
      </c>
      <c r="E354" s="10">
        <v>31.3</v>
      </c>
      <c r="F354" s="10">
        <v>9</v>
      </c>
      <c r="G354" s="10">
        <v>0</v>
      </c>
      <c r="H354" s="10">
        <v>0</v>
      </c>
      <c r="I354" s="10">
        <v>3</v>
      </c>
      <c r="J354">
        <v>2014</v>
      </c>
      <c r="K354">
        <v>12</v>
      </c>
      <c r="L354">
        <v>276</v>
      </c>
      <c r="M354" t="s">
        <v>57</v>
      </c>
    </row>
    <row r="355" spans="1:13">
      <c r="A355" t="s">
        <v>412</v>
      </c>
      <c r="B355" s="10">
        <v>4.33</v>
      </c>
      <c r="C355" s="10">
        <v>4.33</v>
      </c>
      <c r="D355" s="10">
        <v>2</v>
      </c>
      <c r="E355" s="10">
        <v>52.5</v>
      </c>
      <c r="F355" s="10">
        <v>6</v>
      </c>
      <c r="G355" s="10">
        <v>0</v>
      </c>
      <c r="H355" s="10">
        <v>10</v>
      </c>
      <c r="I355" s="10">
        <v>1</v>
      </c>
      <c r="J355">
        <v>2014</v>
      </c>
      <c r="K355">
        <v>12</v>
      </c>
      <c r="L355">
        <v>276</v>
      </c>
      <c r="M355" t="s">
        <v>59</v>
      </c>
    </row>
    <row r="356" spans="1:13">
      <c r="A356" t="s">
        <v>413</v>
      </c>
      <c r="B356" s="10">
        <v>3.34</v>
      </c>
      <c r="C356" s="10">
        <v>4.68</v>
      </c>
      <c r="D356" s="10">
        <v>2.284</v>
      </c>
      <c r="E356" s="10">
        <v>19.6</v>
      </c>
      <c r="F356" s="10">
        <v>43</v>
      </c>
      <c r="G356" s="10">
        <v>1</v>
      </c>
      <c r="H356" s="10">
        <v>13</v>
      </c>
      <c r="I356" s="10">
        <v>4</v>
      </c>
      <c r="J356">
        <v>2014</v>
      </c>
      <c r="K356">
        <v>12</v>
      </c>
      <c r="L356">
        <v>276</v>
      </c>
      <c r="M356" t="s">
        <v>61</v>
      </c>
    </row>
    <row r="357" spans="1:13">
      <c r="A357" t="s">
        <v>414</v>
      </c>
      <c r="B357" s="10">
        <v>10.5</v>
      </c>
      <c r="C357" s="10">
        <v>3</v>
      </c>
      <c r="D357" s="10">
        <v>4.6</v>
      </c>
      <c r="E357" s="10">
        <v>40.4</v>
      </c>
      <c r="F357" s="10">
        <v>13</v>
      </c>
      <c r="G357" s="10">
        <v>2</v>
      </c>
      <c r="H357" s="10">
        <v>15</v>
      </c>
      <c r="I357" s="10">
        <v>0</v>
      </c>
      <c r="J357">
        <v>2014</v>
      </c>
      <c r="K357">
        <v>12</v>
      </c>
      <c r="L357">
        <v>276</v>
      </c>
      <c r="M357" t="s">
        <v>63</v>
      </c>
    </row>
    <row r="358" spans="1:13">
      <c r="A358" t="s">
        <v>415</v>
      </c>
      <c r="B358" s="10">
        <v>1</v>
      </c>
      <c r="C358" s="10">
        <v>3</v>
      </c>
      <c r="D358" s="10">
        <v>1</v>
      </c>
      <c r="E358" s="10">
        <v>41.6</v>
      </c>
      <c r="F358" s="10">
        <v>16</v>
      </c>
      <c r="G358" s="10">
        <v>0</v>
      </c>
      <c r="H358" s="10">
        <v>2</v>
      </c>
      <c r="I358" s="10">
        <v>2</v>
      </c>
      <c r="J358">
        <v>2014</v>
      </c>
      <c r="K358">
        <v>12</v>
      </c>
      <c r="L358">
        <v>276</v>
      </c>
      <c r="M358" t="s">
        <v>65</v>
      </c>
    </row>
    <row r="359" spans="1:13">
      <c r="A359" t="s">
        <v>416</v>
      </c>
      <c r="B359" s="10">
        <v>8.34</v>
      </c>
      <c r="C359" s="10">
        <v>2</v>
      </c>
      <c r="D359" s="10">
        <v>9.5</v>
      </c>
      <c r="E359" s="10">
        <v>31</v>
      </c>
      <c r="F359" s="10">
        <v>16</v>
      </c>
      <c r="G359" s="10">
        <v>0</v>
      </c>
      <c r="H359" s="10">
        <v>2</v>
      </c>
      <c r="I359" s="10">
        <v>2</v>
      </c>
      <c r="J359">
        <v>2014</v>
      </c>
      <c r="K359">
        <v>12</v>
      </c>
      <c r="L359">
        <v>276</v>
      </c>
      <c r="M359" t="s">
        <v>53</v>
      </c>
    </row>
    <row r="360" spans="1:13">
      <c r="A360" t="s">
        <v>417</v>
      </c>
      <c r="B360" s="10">
        <v>3.33</v>
      </c>
      <c r="C360" s="10">
        <v>4.01</v>
      </c>
      <c r="D360" s="10">
        <v>3</v>
      </c>
      <c r="E360" s="10">
        <v>30.7</v>
      </c>
      <c r="F360" s="10">
        <v>25</v>
      </c>
      <c r="G360" s="10">
        <v>1</v>
      </c>
      <c r="H360" s="10">
        <v>0</v>
      </c>
      <c r="I360" s="10">
        <v>0</v>
      </c>
      <c r="J360">
        <v>2014</v>
      </c>
      <c r="K360">
        <v>12</v>
      </c>
      <c r="L360">
        <v>276</v>
      </c>
      <c r="M360" t="s">
        <v>55</v>
      </c>
    </row>
    <row r="361" spans="1:13">
      <c r="A361" t="s">
        <v>418</v>
      </c>
      <c r="B361" s="10">
        <v>7.33</v>
      </c>
      <c r="C361" s="10">
        <v>5.34</v>
      </c>
      <c r="D361" s="10">
        <v>4.4</v>
      </c>
      <c r="E361" s="10">
        <v>39</v>
      </c>
      <c r="F361" s="10">
        <v>26</v>
      </c>
      <c r="G361" s="10">
        <v>0</v>
      </c>
      <c r="H361" s="10">
        <v>9</v>
      </c>
      <c r="I361" s="10">
        <v>3</v>
      </c>
      <c r="J361">
        <v>2014</v>
      </c>
      <c r="K361">
        <v>12</v>
      </c>
      <c r="L361">
        <v>276</v>
      </c>
      <c r="M361" t="s">
        <v>57</v>
      </c>
    </row>
    <row r="362" spans="1:13">
      <c r="A362" t="s">
        <v>419</v>
      </c>
      <c r="B362" s="10">
        <v>2.34</v>
      </c>
      <c r="C362" s="10">
        <v>10.76</v>
      </c>
      <c r="D362" s="10">
        <v>3</v>
      </c>
      <c r="E362" s="10">
        <v>80.40000000000001</v>
      </c>
      <c r="F362" s="10">
        <v>15</v>
      </c>
      <c r="G362" s="10">
        <v>0</v>
      </c>
      <c r="H362" s="10">
        <v>13</v>
      </c>
      <c r="I362" s="10">
        <v>1</v>
      </c>
      <c r="J362">
        <v>2014</v>
      </c>
      <c r="K362">
        <v>12</v>
      </c>
      <c r="L362">
        <v>276</v>
      </c>
      <c r="M362" t="s">
        <v>59</v>
      </c>
    </row>
    <row r="363" spans="1:13">
      <c r="A363" t="s">
        <v>420</v>
      </c>
      <c r="B363" s="10">
        <v>2.33</v>
      </c>
      <c r="C363" s="10">
        <v>3.66</v>
      </c>
      <c r="D363" s="10">
        <v>4</v>
      </c>
      <c r="E363" s="10">
        <v>40</v>
      </c>
      <c r="F363" s="10">
        <v>5</v>
      </c>
      <c r="G363" s="10">
        <v>1</v>
      </c>
      <c r="H363" s="10">
        <v>2</v>
      </c>
      <c r="I363" s="10">
        <v>0</v>
      </c>
      <c r="J363">
        <v>2014</v>
      </c>
      <c r="K363">
        <v>12</v>
      </c>
      <c r="L363">
        <v>276</v>
      </c>
      <c r="M363" t="s">
        <v>61</v>
      </c>
    </row>
    <row r="364" spans="1:13">
      <c r="A364" t="s">
        <v>421</v>
      </c>
      <c r="B364" s="10">
        <v>9</v>
      </c>
      <c r="C364" s="10">
        <v>5.63</v>
      </c>
      <c r="D364" s="10">
        <v>3.8</v>
      </c>
      <c r="E364" s="10">
        <v>51</v>
      </c>
      <c r="F364" s="10">
        <v>18</v>
      </c>
      <c r="G364" s="10">
        <v>0</v>
      </c>
      <c r="H364" s="10">
        <v>5</v>
      </c>
      <c r="I364" s="10">
        <v>2</v>
      </c>
      <c r="J364">
        <v>2014</v>
      </c>
      <c r="K364">
        <v>12</v>
      </c>
      <c r="L364">
        <v>276</v>
      </c>
      <c r="M364" t="s">
        <v>63</v>
      </c>
    </row>
    <row r="365" spans="1:13">
      <c r="A365" t="s">
        <v>422</v>
      </c>
      <c r="B365" s="10">
        <v>5.67</v>
      </c>
      <c r="C365" s="10">
        <v>6.33</v>
      </c>
      <c r="D365" s="10">
        <v>2.5</v>
      </c>
      <c r="E365" s="10">
        <v>41.08</v>
      </c>
      <c r="F365" s="10">
        <v>14</v>
      </c>
      <c r="G365" s="10">
        <v>3</v>
      </c>
      <c r="H365" s="10">
        <v>10</v>
      </c>
      <c r="I365" s="10">
        <v>1</v>
      </c>
      <c r="J365">
        <v>2014</v>
      </c>
      <c r="K365">
        <v>12</v>
      </c>
      <c r="L365">
        <v>276</v>
      </c>
      <c r="M365" t="s">
        <v>65</v>
      </c>
    </row>
    <row r="366" spans="1:13">
      <c r="A366" t="s">
        <v>423</v>
      </c>
      <c r="B366" s="10">
        <v>0</v>
      </c>
      <c r="C366" s="10">
        <v>0</v>
      </c>
      <c r="D366" s="10">
        <v>0</v>
      </c>
      <c r="E366" s="10">
        <v>0</v>
      </c>
      <c r="F366" s="10">
        <v>0</v>
      </c>
      <c r="G366" s="10">
        <v>0</v>
      </c>
      <c r="H366" s="10">
        <v>0</v>
      </c>
      <c r="I366" s="10">
        <v>0</v>
      </c>
      <c r="J366">
        <v>2015</v>
      </c>
      <c r="K366">
        <v>1</v>
      </c>
      <c r="L366">
        <v>276</v>
      </c>
      <c r="M366" t="s">
        <v>53</v>
      </c>
    </row>
    <row r="367" spans="1:13">
      <c r="A367" t="s">
        <v>424</v>
      </c>
      <c r="B367" s="10">
        <v>6</v>
      </c>
      <c r="C367" s="10">
        <v>5.33</v>
      </c>
      <c r="D367" s="10">
        <v>4.9</v>
      </c>
      <c r="E367" s="10">
        <v>50.8</v>
      </c>
      <c r="F367" s="10">
        <v>13</v>
      </c>
      <c r="G367" s="10">
        <v>0</v>
      </c>
      <c r="H367" s="10">
        <v>6.25</v>
      </c>
      <c r="I367" s="10">
        <v>2</v>
      </c>
      <c r="J367">
        <v>2015</v>
      </c>
      <c r="K367">
        <v>1</v>
      </c>
      <c r="L367">
        <v>276</v>
      </c>
      <c r="M367" t="s">
        <v>55</v>
      </c>
    </row>
    <row r="368" spans="1:13">
      <c r="A368" t="s">
        <v>425</v>
      </c>
      <c r="B368" s="10">
        <v>9</v>
      </c>
      <c r="C368" s="10">
        <v>4.67</v>
      </c>
      <c r="D368" s="10">
        <v>6</v>
      </c>
      <c r="E368" s="10">
        <v>57.24</v>
      </c>
      <c r="F368" s="10">
        <v>11</v>
      </c>
      <c r="G368" s="10">
        <v>3</v>
      </c>
      <c r="H368" s="10">
        <v>0</v>
      </c>
      <c r="I368" s="10">
        <v>4</v>
      </c>
      <c r="J368">
        <v>2015</v>
      </c>
      <c r="K368">
        <v>1</v>
      </c>
      <c r="L368">
        <v>276</v>
      </c>
      <c r="M368" t="s">
        <v>57</v>
      </c>
    </row>
    <row r="369" spans="1:13">
      <c r="A369" t="s">
        <v>426</v>
      </c>
      <c r="B369" s="10">
        <v>4.68</v>
      </c>
      <c r="C369" s="10">
        <v>8.92</v>
      </c>
      <c r="D369" s="10">
        <v>3.5</v>
      </c>
      <c r="E369" s="10">
        <v>60.1</v>
      </c>
      <c r="F369" s="10">
        <v>4</v>
      </c>
      <c r="G369" s="10">
        <v>0</v>
      </c>
      <c r="H369" s="10">
        <v>2</v>
      </c>
      <c r="I369" s="10">
        <v>1</v>
      </c>
      <c r="J369">
        <v>2015</v>
      </c>
      <c r="K369">
        <v>1</v>
      </c>
      <c r="L369">
        <v>276</v>
      </c>
      <c r="M369" t="s">
        <v>59</v>
      </c>
    </row>
    <row r="370" spans="1:13">
      <c r="A370" t="s">
        <v>427</v>
      </c>
      <c r="B370" s="10">
        <v>2.34</v>
      </c>
      <c r="C370" s="10">
        <v>3.32</v>
      </c>
      <c r="D370" s="10">
        <v>1</v>
      </c>
      <c r="E370" s="10">
        <v>33.6</v>
      </c>
      <c r="F370" s="10">
        <v>14</v>
      </c>
      <c r="G370" s="10">
        <v>0</v>
      </c>
      <c r="H370" s="10">
        <v>16</v>
      </c>
      <c r="I370" s="10">
        <v>3</v>
      </c>
      <c r="J370">
        <v>2015</v>
      </c>
      <c r="K370">
        <v>1</v>
      </c>
      <c r="L370">
        <v>276</v>
      </c>
      <c r="M370" t="s">
        <v>61</v>
      </c>
    </row>
    <row r="371" spans="1:13">
      <c r="A371" t="s">
        <v>428</v>
      </c>
      <c r="B371" s="10">
        <v>3</v>
      </c>
      <c r="C371" s="10">
        <v>9.369999999999999</v>
      </c>
      <c r="D371" s="10">
        <v>7.3</v>
      </c>
      <c r="E371" s="10">
        <v>42</v>
      </c>
      <c r="F371" s="10">
        <v>13</v>
      </c>
      <c r="G371" s="10">
        <v>0</v>
      </c>
      <c r="H371" s="10">
        <v>3</v>
      </c>
      <c r="I371" s="10">
        <v>0</v>
      </c>
      <c r="J371">
        <v>2015</v>
      </c>
      <c r="K371">
        <v>1</v>
      </c>
      <c r="L371">
        <v>276</v>
      </c>
      <c r="M371" t="s">
        <v>63</v>
      </c>
    </row>
    <row r="372" spans="1:13">
      <c r="A372" t="s">
        <v>429</v>
      </c>
      <c r="B372" s="10">
        <v>0</v>
      </c>
      <c r="C372" s="10">
        <v>0</v>
      </c>
      <c r="D372" s="10">
        <v>0</v>
      </c>
      <c r="E372" s="10">
        <v>0</v>
      </c>
      <c r="F372" s="10">
        <v>0</v>
      </c>
      <c r="G372" s="10">
        <v>0</v>
      </c>
      <c r="H372" s="10">
        <v>0</v>
      </c>
      <c r="I372" s="10">
        <v>0</v>
      </c>
      <c r="J372">
        <v>2015</v>
      </c>
      <c r="K372">
        <v>1</v>
      </c>
      <c r="L372">
        <v>276</v>
      </c>
      <c r="M372" t="s">
        <v>65</v>
      </c>
    </row>
    <row r="373" spans="1:13">
      <c r="A373" t="s">
        <v>430</v>
      </c>
      <c r="B373" s="10">
        <v>2</v>
      </c>
      <c r="C373" s="10">
        <v>7.077</v>
      </c>
      <c r="D373" s="10">
        <v>1.2</v>
      </c>
      <c r="E373" s="10">
        <v>46.4</v>
      </c>
      <c r="F373" s="10">
        <v>13</v>
      </c>
      <c r="G373" s="10">
        <v>1</v>
      </c>
      <c r="H373" s="10">
        <v>1</v>
      </c>
      <c r="I373" s="10">
        <v>2</v>
      </c>
      <c r="J373">
        <v>2015</v>
      </c>
      <c r="K373">
        <v>1</v>
      </c>
      <c r="L373">
        <v>276</v>
      </c>
      <c r="M373" t="s">
        <v>53</v>
      </c>
    </row>
    <row r="374" spans="1:13">
      <c r="A374" t="s">
        <v>431</v>
      </c>
      <c r="B374" s="10">
        <v>3</v>
      </c>
      <c r="C374" s="10">
        <v>4.34</v>
      </c>
      <c r="D374" s="10">
        <v>9.4</v>
      </c>
      <c r="E374" s="10">
        <v>36.2</v>
      </c>
      <c r="F374" s="10">
        <v>33</v>
      </c>
      <c r="G374" s="10">
        <v>2</v>
      </c>
      <c r="H374" s="10">
        <v>7</v>
      </c>
      <c r="I374" s="10">
        <v>2</v>
      </c>
      <c r="J374">
        <v>2015</v>
      </c>
      <c r="K374">
        <v>1</v>
      </c>
      <c r="L374">
        <v>276</v>
      </c>
      <c r="M374" t="s">
        <v>55</v>
      </c>
    </row>
    <row r="375" spans="1:13">
      <c r="A375" t="s">
        <v>432</v>
      </c>
      <c r="B375" s="10">
        <v>6</v>
      </c>
      <c r="C375" s="10">
        <v>5.864</v>
      </c>
      <c r="D375" s="10">
        <v>7</v>
      </c>
      <c r="E375" s="10">
        <v>32.6</v>
      </c>
      <c r="F375" s="10">
        <v>14</v>
      </c>
      <c r="G375" s="10">
        <v>3</v>
      </c>
      <c r="H375" s="10">
        <v>1</v>
      </c>
      <c r="I375" s="10">
        <v>1</v>
      </c>
      <c r="J375">
        <v>2015</v>
      </c>
      <c r="K375">
        <v>1</v>
      </c>
      <c r="L375">
        <v>276</v>
      </c>
      <c r="M375" t="s">
        <v>57</v>
      </c>
    </row>
    <row r="376" spans="1:13">
      <c r="A376" t="s">
        <v>433</v>
      </c>
      <c r="B376" s="10">
        <v>3</v>
      </c>
      <c r="C376" s="10">
        <v>7.34</v>
      </c>
      <c r="D376" s="10">
        <v>7</v>
      </c>
      <c r="E376" s="10">
        <v>43.6</v>
      </c>
      <c r="F376" s="10">
        <v>11</v>
      </c>
      <c r="G376" s="10">
        <v>1</v>
      </c>
      <c r="H376" s="10">
        <v>11</v>
      </c>
      <c r="I376" s="10">
        <v>2</v>
      </c>
      <c r="J376">
        <v>2015</v>
      </c>
      <c r="K376">
        <v>1</v>
      </c>
      <c r="L376">
        <v>276</v>
      </c>
      <c r="M376" t="s">
        <v>59</v>
      </c>
    </row>
    <row r="377" spans="1:13">
      <c r="A377" t="s">
        <v>434</v>
      </c>
      <c r="B377" s="10">
        <v>2.33</v>
      </c>
      <c r="C377" s="10">
        <v>3.34</v>
      </c>
      <c r="D377" s="10">
        <v>7.5</v>
      </c>
      <c r="E377" s="10">
        <v>36.6</v>
      </c>
      <c r="F377" s="10">
        <v>18</v>
      </c>
      <c r="G377" s="10">
        <v>0</v>
      </c>
      <c r="H377" s="10">
        <v>6</v>
      </c>
      <c r="I377" s="10">
        <v>1</v>
      </c>
      <c r="J377">
        <v>2015</v>
      </c>
      <c r="K377">
        <v>1</v>
      </c>
      <c r="L377">
        <v>276</v>
      </c>
      <c r="M377" t="s">
        <v>61</v>
      </c>
    </row>
    <row r="378" spans="1:13">
      <c r="A378" t="s">
        <v>435</v>
      </c>
      <c r="B378" s="10">
        <v>10.34</v>
      </c>
      <c r="C378" s="10">
        <v>4.66</v>
      </c>
      <c r="D378" s="10">
        <v>10</v>
      </c>
      <c r="E378" s="10">
        <v>34</v>
      </c>
      <c r="F378" s="10">
        <v>14</v>
      </c>
      <c r="G378" s="10">
        <v>2</v>
      </c>
      <c r="H378" s="10">
        <v>4</v>
      </c>
      <c r="I378" s="10">
        <v>2</v>
      </c>
      <c r="J378">
        <v>2015</v>
      </c>
      <c r="K378">
        <v>1</v>
      </c>
      <c r="L378">
        <v>276</v>
      </c>
      <c r="M378" t="s">
        <v>63</v>
      </c>
    </row>
    <row r="379" spans="1:13">
      <c r="A379" t="s">
        <v>436</v>
      </c>
      <c r="B379" s="10">
        <v>3</v>
      </c>
      <c r="C379" s="10">
        <v>3.34</v>
      </c>
      <c r="D379" s="10">
        <v>5</v>
      </c>
      <c r="E379" s="10">
        <v>23</v>
      </c>
      <c r="F379" s="10">
        <v>20</v>
      </c>
      <c r="G379" s="10">
        <v>0</v>
      </c>
      <c r="H379" s="10">
        <v>1</v>
      </c>
      <c r="I379" s="10">
        <v>0</v>
      </c>
      <c r="J379">
        <v>2015</v>
      </c>
      <c r="K379">
        <v>1</v>
      </c>
      <c r="L379">
        <v>276</v>
      </c>
      <c r="M379" t="s">
        <v>65</v>
      </c>
    </row>
    <row r="380" spans="1:13">
      <c r="A380" t="s">
        <v>437</v>
      </c>
      <c r="B380" s="10">
        <v>6.67</v>
      </c>
      <c r="C380" s="10">
        <v>3</v>
      </c>
      <c r="D380" s="10">
        <v>1</v>
      </c>
      <c r="E380" s="10">
        <v>55.25</v>
      </c>
      <c r="F380" s="10">
        <v>13</v>
      </c>
      <c r="G380" s="10">
        <v>0</v>
      </c>
      <c r="H380" s="10">
        <v>15</v>
      </c>
      <c r="I380" s="10">
        <v>2</v>
      </c>
      <c r="J380">
        <v>2015</v>
      </c>
      <c r="K380">
        <v>1</v>
      </c>
      <c r="L380">
        <v>276</v>
      </c>
      <c r="M380" t="s">
        <v>53</v>
      </c>
    </row>
    <row r="381" spans="1:13">
      <c r="A381" t="s">
        <v>438</v>
      </c>
      <c r="B381" s="10">
        <v>6.33</v>
      </c>
      <c r="C381" s="10">
        <v>5.99</v>
      </c>
      <c r="D381" s="10">
        <v>3.8</v>
      </c>
      <c r="E381" s="10">
        <v>43</v>
      </c>
      <c r="F381" s="10">
        <v>16</v>
      </c>
      <c r="G381" s="10">
        <v>2</v>
      </c>
      <c r="H381" s="10">
        <v>6</v>
      </c>
      <c r="I381" s="10">
        <v>2</v>
      </c>
      <c r="J381">
        <v>2015</v>
      </c>
      <c r="K381">
        <v>1</v>
      </c>
      <c r="L381">
        <v>276</v>
      </c>
      <c r="M381" t="s">
        <v>55</v>
      </c>
    </row>
    <row r="382" spans="1:13">
      <c r="A382" t="s">
        <v>439</v>
      </c>
      <c r="B382" s="10">
        <v>6.68</v>
      </c>
      <c r="C382" s="10">
        <v>5.68</v>
      </c>
      <c r="D382" s="10">
        <v>7</v>
      </c>
      <c r="E382" s="10">
        <v>19.2</v>
      </c>
      <c r="F382" s="10">
        <v>18</v>
      </c>
      <c r="G382" s="10">
        <v>0</v>
      </c>
      <c r="H382" s="10">
        <v>0</v>
      </c>
      <c r="I382" s="10">
        <v>0</v>
      </c>
      <c r="J382">
        <v>2015</v>
      </c>
      <c r="K382">
        <v>1</v>
      </c>
      <c r="L382">
        <v>276</v>
      </c>
      <c r="M382" t="s">
        <v>57</v>
      </c>
    </row>
    <row r="383" spans="1:13">
      <c r="A383" t="s">
        <v>440</v>
      </c>
      <c r="B383" s="10">
        <v>4</v>
      </c>
      <c r="C383" s="10">
        <v>4.34</v>
      </c>
      <c r="D383" s="10">
        <v>4.5</v>
      </c>
      <c r="E383" s="10">
        <v>20.4</v>
      </c>
      <c r="F383" s="10">
        <v>16</v>
      </c>
      <c r="G383" s="10">
        <v>0</v>
      </c>
      <c r="H383" s="10">
        <v>0</v>
      </c>
      <c r="I383" s="10">
        <v>2</v>
      </c>
      <c r="J383">
        <v>2015</v>
      </c>
      <c r="K383">
        <v>1</v>
      </c>
      <c r="L383">
        <v>276</v>
      </c>
      <c r="M383" t="s">
        <v>59</v>
      </c>
    </row>
    <row r="384" spans="1:13">
      <c r="A384" t="s">
        <v>441</v>
      </c>
      <c r="B384" s="10">
        <v>5.34</v>
      </c>
      <c r="C384" s="10">
        <v>2.68</v>
      </c>
      <c r="D384" s="10">
        <v>1.1</v>
      </c>
      <c r="E384" s="10">
        <v>32</v>
      </c>
      <c r="F384" s="10">
        <v>12</v>
      </c>
      <c r="G384" s="10">
        <v>0</v>
      </c>
      <c r="H384" s="10">
        <v>20</v>
      </c>
      <c r="I384" s="10">
        <v>2</v>
      </c>
      <c r="J384">
        <v>2015</v>
      </c>
      <c r="K384">
        <v>1</v>
      </c>
      <c r="L384">
        <v>276</v>
      </c>
      <c r="M384" t="s">
        <v>61</v>
      </c>
    </row>
    <row r="385" spans="1:13">
      <c r="A385" t="s">
        <v>442</v>
      </c>
      <c r="B385" s="10">
        <v>4.34</v>
      </c>
      <c r="C385" s="10">
        <v>0.33</v>
      </c>
      <c r="D385" s="10">
        <v>6</v>
      </c>
      <c r="E385" s="10">
        <v>38</v>
      </c>
      <c r="F385" s="10">
        <v>24</v>
      </c>
      <c r="G385" s="10">
        <v>1</v>
      </c>
      <c r="H385" s="10">
        <v>4</v>
      </c>
      <c r="I385" s="10">
        <v>1</v>
      </c>
      <c r="J385">
        <v>2015</v>
      </c>
      <c r="K385">
        <v>1</v>
      </c>
      <c r="L385">
        <v>276</v>
      </c>
      <c r="M385" t="s">
        <v>63</v>
      </c>
    </row>
    <row r="386" spans="1:13">
      <c r="A386" t="s">
        <v>443</v>
      </c>
      <c r="B386" s="10">
        <v>4</v>
      </c>
      <c r="C386" s="10">
        <v>1</v>
      </c>
      <c r="D386" s="10">
        <v>2</v>
      </c>
      <c r="E386" s="10">
        <v>37.45</v>
      </c>
      <c r="F386" s="10">
        <v>17</v>
      </c>
      <c r="G386" s="10">
        <v>1</v>
      </c>
      <c r="H386" s="10">
        <v>0</v>
      </c>
      <c r="I386" s="10">
        <v>1</v>
      </c>
      <c r="J386">
        <v>2015</v>
      </c>
      <c r="K386">
        <v>1</v>
      </c>
      <c r="L386">
        <v>276</v>
      </c>
      <c r="M386" t="s">
        <v>65</v>
      </c>
    </row>
    <row r="387" spans="1:13">
      <c r="A387" t="s">
        <v>444</v>
      </c>
      <c r="B387" s="10">
        <v>4</v>
      </c>
      <c r="C387" s="10">
        <v>1.34</v>
      </c>
      <c r="D387" s="10">
        <v>4</v>
      </c>
      <c r="E387" s="10">
        <v>21.4</v>
      </c>
      <c r="F387" s="10">
        <v>19</v>
      </c>
      <c r="G387" s="10">
        <v>0</v>
      </c>
      <c r="H387" s="10">
        <v>0</v>
      </c>
      <c r="I387" s="10">
        <v>1</v>
      </c>
      <c r="J387">
        <v>2015</v>
      </c>
      <c r="K387">
        <v>1</v>
      </c>
      <c r="L387">
        <v>276</v>
      </c>
      <c r="M387" t="s">
        <v>53</v>
      </c>
    </row>
    <row r="388" spans="1:13">
      <c r="A388" t="s">
        <v>445</v>
      </c>
      <c r="B388" s="10">
        <v>3.67</v>
      </c>
      <c r="C388" s="10">
        <v>4.728</v>
      </c>
      <c r="D388" s="10">
        <v>8</v>
      </c>
      <c r="E388" s="10">
        <v>30</v>
      </c>
      <c r="F388" s="10">
        <v>14</v>
      </c>
      <c r="G388" s="10">
        <v>0</v>
      </c>
      <c r="H388" s="10">
        <v>7</v>
      </c>
      <c r="I388" s="10">
        <v>2</v>
      </c>
      <c r="J388">
        <v>2015</v>
      </c>
      <c r="K388">
        <v>1</v>
      </c>
      <c r="L388">
        <v>276</v>
      </c>
      <c r="M388" t="s">
        <v>55</v>
      </c>
    </row>
    <row r="389" spans="1:13">
      <c r="A389" t="s">
        <v>446</v>
      </c>
      <c r="B389" s="10">
        <v>4.34</v>
      </c>
      <c r="C389" s="10">
        <v>3.33</v>
      </c>
      <c r="D389" s="10">
        <v>9.199999999999999</v>
      </c>
      <c r="E389" s="10">
        <v>49.7</v>
      </c>
      <c r="F389" s="10">
        <v>31</v>
      </c>
      <c r="G389" s="10">
        <v>0</v>
      </c>
      <c r="H389" s="10">
        <v>22</v>
      </c>
      <c r="I389" s="10">
        <v>1</v>
      </c>
      <c r="J389">
        <v>2015</v>
      </c>
      <c r="K389">
        <v>1</v>
      </c>
      <c r="L389">
        <v>276</v>
      </c>
      <c r="M389" t="s">
        <v>57</v>
      </c>
    </row>
    <row r="390" spans="1:13">
      <c r="A390" t="s">
        <v>447</v>
      </c>
      <c r="B390" s="10">
        <v>4</v>
      </c>
      <c r="C390" s="10">
        <v>1.13</v>
      </c>
      <c r="D390" s="10">
        <v>1.9</v>
      </c>
      <c r="E390" s="10">
        <v>38</v>
      </c>
      <c r="F390" s="10">
        <v>11</v>
      </c>
      <c r="G390" s="10">
        <v>1</v>
      </c>
      <c r="H390" s="10">
        <v>5</v>
      </c>
      <c r="I390" s="10">
        <v>0</v>
      </c>
      <c r="J390">
        <v>2015</v>
      </c>
      <c r="K390">
        <v>1</v>
      </c>
      <c r="L390">
        <v>276</v>
      </c>
      <c r="M390" t="s">
        <v>59</v>
      </c>
    </row>
    <row r="391" spans="1:13">
      <c r="A391" t="s">
        <v>448</v>
      </c>
      <c r="B391" s="10">
        <v>8.5</v>
      </c>
      <c r="C391" s="10">
        <v>4.67</v>
      </c>
      <c r="D391" s="10">
        <v>4</v>
      </c>
      <c r="E391" s="10">
        <v>34.4</v>
      </c>
      <c r="F391" s="10">
        <v>15</v>
      </c>
      <c r="G391" s="10">
        <v>0</v>
      </c>
      <c r="H391" s="10">
        <v>13</v>
      </c>
      <c r="I391" s="10">
        <v>0</v>
      </c>
      <c r="J391">
        <v>2015</v>
      </c>
      <c r="K391">
        <v>1</v>
      </c>
      <c r="L391">
        <v>276</v>
      </c>
      <c r="M391" t="s">
        <v>61</v>
      </c>
    </row>
    <row r="392" spans="1:13">
      <c r="A392" t="s">
        <v>449</v>
      </c>
      <c r="B392" s="10">
        <v>2.67</v>
      </c>
      <c r="C392" s="10">
        <v>6.33</v>
      </c>
      <c r="D392" s="10">
        <v>1</v>
      </c>
      <c r="E392" s="10">
        <v>20</v>
      </c>
      <c r="F392" s="10">
        <v>14</v>
      </c>
      <c r="G392" s="10">
        <v>0</v>
      </c>
      <c r="H392" s="10">
        <v>0</v>
      </c>
      <c r="I392" s="10">
        <v>0</v>
      </c>
      <c r="J392">
        <v>2015</v>
      </c>
      <c r="K392">
        <v>1</v>
      </c>
      <c r="L392">
        <v>276</v>
      </c>
      <c r="M392" t="s">
        <v>63</v>
      </c>
    </row>
    <row r="393" spans="1:13">
      <c r="A393" t="s">
        <v>450</v>
      </c>
      <c r="B393" s="10">
        <v>3</v>
      </c>
      <c r="C393" s="10">
        <v>5.34</v>
      </c>
      <c r="D393" s="10">
        <v>3</v>
      </c>
      <c r="E393" s="10">
        <v>32</v>
      </c>
      <c r="F393" s="10">
        <v>18</v>
      </c>
      <c r="G393" s="10">
        <v>3</v>
      </c>
      <c r="H393" s="10">
        <v>5</v>
      </c>
      <c r="I393" s="10">
        <v>3</v>
      </c>
      <c r="J393">
        <v>2015</v>
      </c>
      <c r="K393">
        <v>1</v>
      </c>
      <c r="L393">
        <v>276</v>
      </c>
      <c r="M393" t="s">
        <v>65</v>
      </c>
    </row>
    <row r="394" spans="1:13">
      <c r="A394" t="s">
        <v>451</v>
      </c>
      <c r="B394" s="10">
        <v>4.34</v>
      </c>
      <c r="C394" s="10">
        <v>5.71</v>
      </c>
      <c r="D394" s="10">
        <v>8.699999999999999</v>
      </c>
      <c r="E394" s="10">
        <v>24.4</v>
      </c>
      <c r="F394" s="10">
        <v>16</v>
      </c>
      <c r="G394" s="10">
        <v>3</v>
      </c>
      <c r="H394" s="10">
        <v>11</v>
      </c>
      <c r="I394" s="10">
        <v>3</v>
      </c>
      <c r="J394">
        <v>2015</v>
      </c>
      <c r="K394">
        <v>1</v>
      </c>
      <c r="L394">
        <v>276</v>
      </c>
      <c r="M394" t="s">
        <v>53</v>
      </c>
    </row>
    <row r="395" spans="1:13">
      <c r="A395" t="s">
        <v>452</v>
      </c>
      <c r="B395" s="10">
        <v>1</v>
      </c>
      <c r="C395" s="10">
        <v>1.068</v>
      </c>
      <c r="D395" s="10">
        <v>1</v>
      </c>
      <c r="E395" s="10">
        <v>20.5</v>
      </c>
      <c r="F395" s="10">
        <v>19</v>
      </c>
      <c r="G395" s="10">
        <v>1</v>
      </c>
      <c r="H395" s="10">
        <v>0</v>
      </c>
      <c r="I395" s="10">
        <v>0</v>
      </c>
      <c r="J395">
        <v>2015</v>
      </c>
      <c r="K395">
        <v>1</v>
      </c>
      <c r="L395">
        <v>276</v>
      </c>
      <c r="M395" t="s">
        <v>55</v>
      </c>
    </row>
    <row r="396" spans="1:13">
      <c r="A396" t="s">
        <v>453</v>
      </c>
      <c r="B396" s="10">
        <v>8.34</v>
      </c>
      <c r="C396" s="10">
        <v>6.112</v>
      </c>
      <c r="D396" s="10">
        <v>5</v>
      </c>
      <c r="E396" s="10">
        <v>32.4</v>
      </c>
      <c r="F396" s="10">
        <v>12</v>
      </c>
      <c r="G396" s="10">
        <v>0</v>
      </c>
      <c r="H396" s="10">
        <v>11</v>
      </c>
      <c r="I396" s="10">
        <v>2</v>
      </c>
      <c r="J396">
        <v>2015</v>
      </c>
      <c r="K396">
        <v>1</v>
      </c>
      <c r="L396">
        <v>276</v>
      </c>
      <c r="M396" t="s">
        <v>57</v>
      </c>
    </row>
    <row r="397" spans="1:13">
      <c r="A397" t="s">
        <v>454</v>
      </c>
      <c r="B397" s="10">
        <v>4.34</v>
      </c>
      <c r="C397" s="10">
        <v>7.35</v>
      </c>
      <c r="D397" s="10">
        <v>7</v>
      </c>
      <c r="E397" s="10">
        <v>35.6</v>
      </c>
      <c r="F397" s="10">
        <v>7</v>
      </c>
      <c r="G397" s="10">
        <v>1</v>
      </c>
      <c r="H397" s="10">
        <v>0</v>
      </c>
      <c r="I397" s="10">
        <v>1</v>
      </c>
      <c r="J397">
        <v>2015</v>
      </c>
      <c r="K397">
        <v>2</v>
      </c>
      <c r="L397">
        <v>276</v>
      </c>
      <c r="M397" t="s">
        <v>59</v>
      </c>
    </row>
    <row r="398" spans="1:13">
      <c r="A398" t="s">
        <v>455</v>
      </c>
      <c r="B398" s="10">
        <v>6</v>
      </c>
      <c r="C398" s="10">
        <v>4</v>
      </c>
      <c r="D398" s="10">
        <v>5.1</v>
      </c>
      <c r="E398" s="10">
        <v>20.9</v>
      </c>
      <c r="F398" s="10">
        <v>14</v>
      </c>
      <c r="G398" s="10">
        <v>0</v>
      </c>
      <c r="H398" s="10">
        <v>3</v>
      </c>
      <c r="I398" s="10">
        <v>2</v>
      </c>
      <c r="J398">
        <v>2015</v>
      </c>
      <c r="K398">
        <v>2</v>
      </c>
      <c r="L398">
        <v>276</v>
      </c>
      <c r="M398" t="s">
        <v>61</v>
      </c>
    </row>
    <row r="399" spans="1:13">
      <c r="A399" t="s">
        <v>456</v>
      </c>
      <c r="B399" s="10">
        <v>3.33</v>
      </c>
      <c r="C399" s="10">
        <v>3</v>
      </c>
      <c r="D399" s="10">
        <v>6.2</v>
      </c>
      <c r="E399" s="10">
        <v>24.2</v>
      </c>
      <c r="F399" s="10">
        <v>18</v>
      </c>
      <c r="G399" s="10">
        <v>0</v>
      </c>
      <c r="H399" s="10">
        <v>6</v>
      </c>
      <c r="I399" s="10">
        <v>5</v>
      </c>
      <c r="J399">
        <v>2015</v>
      </c>
      <c r="K399">
        <v>2</v>
      </c>
      <c r="L399">
        <v>276</v>
      </c>
      <c r="M399" t="s">
        <v>63</v>
      </c>
    </row>
    <row r="400" spans="1:13">
      <c r="A400" t="s">
        <v>457</v>
      </c>
      <c r="B400" s="10">
        <v>2.34</v>
      </c>
      <c r="C400" s="10">
        <v>2.67</v>
      </c>
      <c r="D400" s="10">
        <v>2.4</v>
      </c>
      <c r="E400" s="10">
        <v>38.8</v>
      </c>
      <c r="F400" s="10">
        <v>6</v>
      </c>
      <c r="G400" s="10">
        <v>0</v>
      </c>
      <c r="H400" s="10">
        <v>12</v>
      </c>
      <c r="I400" s="10">
        <v>0</v>
      </c>
      <c r="J400">
        <v>2015</v>
      </c>
      <c r="K400">
        <v>2</v>
      </c>
      <c r="L400">
        <v>276</v>
      </c>
      <c r="M400" t="s">
        <v>65</v>
      </c>
    </row>
    <row r="401" spans="1:13">
      <c r="A401" t="s">
        <v>458</v>
      </c>
      <c r="B401" s="10">
        <v>2</v>
      </c>
      <c r="C401" s="10">
        <v>5.57</v>
      </c>
      <c r="D401" s="10">
        <v>3</v>
      </c>
      <c r="E401" s="10">
        <v>24.85</v>
      </c>
      <c r="F401" s="10">
        <v>12</v>
      </c>
      <c r="G401" s="10">
        <v>0</v>
      </c>
      <c r="H401" s="10">
        <v>2</v>
      </c>
      <c r="I401" s="10">
        <v>1</v>
      </c>
      <c r="J401">
        <v>2015</v>
      </c>
      <c r="K401">
        <v>2</v>
      </c>
      <c r="L401">
        <v>276</v>
      </c>
      <c r="M401" t="s">
        <v>53</v>
      </c>
    </row>
    <row r="402" spans="1:13">
      <c r="A402" t="s">
        <v>459</v>
      </c>
      <c r="B402" s="10">
        <v>3.33</v>
      </c>
      <c r="C402" s="10">
        <v>3.33</v>
      </c>
      <c r="D402" s="10">
        <v>7.3</v>
      </c>
      <c r="E402" s="10">
        <v>23</v>
      </c>
      <c r="F402" s="10">
        <v>7</v>
      </c>
      <c r="G402" s="10">
        <v>1</v>
      </c>
      <c r="H402" s="10">
        <v>13</v>
      </c>
      <c r="I402" s="10">
        <v>1</v>
      </c>
      <c r="J402">
        <v>2015</v>
      </c>
      <c r="K402">
        <v>2</v>
      </c>
      <c r="L402">
        <v>276</v>
      </c>
      <c r="M402" t="s">
        <v>55</v>
      </c>
    </row>
    <row r="403" spans="1:13">
      <c r="A403" t="s">
        <v>460</v>
      </c>
      <c r="B403" s="10">
        <v>2</v>
      </c>
      <c r="C403" s="10">
        <v>5</v>
      </c>
      <c r="D403" s="10">
        <v>1.9</v>
      </c>
      <c r="E403" s="10">
        <v>33.6</v>
      </c>
      <c r="F403" s="10">
        <v>9</v>
      </c>
      <c r="G403" s="10">
        <v>0</v>
      </c>
      <c r="H403" s="10">
        <v>0</v>
      </c>
      <c r="I403" s="10">
        <v>2</v>
      </c>
      <c r="J403">
        <v>2015</v>
      </c>
      <c r="K403">
        <v>2</v>
      </c>
      <c r="L403">
        <v>276</v>
      </c>
      <c r="M403" t="s">
        <v>57</v>
      </c>
    </row>
    <row r="404" spans="1:13">
      <c r="A404" t="s">
        <v>461</v>
      </c>
      <c r="B404" s="10">
        <v>1.34</v>
      </c>
      <c r="C404" s="10">
        <v>7.759</v>
      </c>
      <c r="D404" s="10">
        <v>5.7</v>
      </c>
      <c r="E404" s="10">
        <v>29.9</v>
      </c>
      <c r="F404" s="10">
        <v>8</v>
      </c>
      <c r="G404" s="10">
        <v>0</v>
      </c>
      <c r="H404" s="10">
        <v>0</v>
      </c>
      <c r="I404" s="10">
        <v>0</v>
      </c>
      <c r="J404">
        <v>2015</v>
      </c>
      <c r="K404">
        <v>2</v>
      </c>
      <c r="L404">
        <v>276</v>
      </c>
      <c r="M404" t="s">
        <v>59</v>
      </c>
    </row>
    <row r="405" spans="1:13">
      <c r="A405" t="s">
        <v>462</v>
      </c>
      <c r="B405" s="10">
        <v>3.33</v>
      </c>
      <c r="C405" s="10">
        <v>3.54</v>
      </c>
      <c r="D405" s="10">
        <v>9.6</v>
      </c>
      <c r="E405" s="10">
        <v>20.7</v>
      </c>
      <c r="F405" s="10">
        <v>8</v>
      </c>
      <c r="G405" s="10">
        <v>1</v>
      </c>
      <c r="H405" s="10">
        <v>0</v>
      </c>
      <c r="I405" s="10">
        <v>1</v>
      </c>
      <c r="J405">
        <v>2015</v>
      </c>
      <c r="K405">
        <v>2</v>
      </c>
      <c r="L405">
        <v>276</v>
      </c>
      <c r="M405" t="s">
        <v>61</v>
      </c>
    </row>
    <row r="406" spans="1:13">
      <c r="A406" t="s">
        <v>463</v>
      </c>
      <c r="B406" s="10">
        <v>3.66</v>
      </c>
      <c r="C406" s="10">
        <v>8.67</v>
      </c>
      <c r="D406" s="10">
        <v>7</v>
      </c>
      <c r="E406" s="10">
        <v>33</v>
      </c>
      <c r="F406" s="10">
        <v>11</v>
      </c>
      <c r="G406" s="10">
        <v>0</v>
      </c>
      <c r="H406" s="10">
        <v>6</v>
      </c>
      <c r="I406" s="10">
        <v>3</v>
      </c>
      <c r="J406">
        <v>2015</v>
      </c>
      <c r="K406">
        <v>2</v>
      </c>
      <c r="L406">
        <v>276</v>
      </c>
      <c r="M406" t="s">
        <v>63</v>
      </c>
    </row>
    <row r="407" spans="1:13">
      <c r="A407" t="s">
        <v>464</v>
      </c>
      <c r="B407" s="10">
        <v>3</v>
      </c>
      <c r="C407" s="10">
        <v>5.14</v>
      </c>
      <c r="D407" s="10">
        <v>3.6</v>
      </c>
      <c r="E407" s="10">
        <v>48.5</v>
      </c>
      <c r="F407" s="10">
        <v>16</v>
      </c>
      <c r="G407" s="10">
        <v>0</v>
      </c>
      <c r="H407" s="10">
        <v>20</v>
      </c>
      <c r="I407" s="10">
        <v>2</v>
      </c>
      <c r="J407">
        <v>2015</v>
      </c>
      <c r="K407">
        <v>2</v>
      </c>
      <c r="L407">
        <v>276</v>
      </c>
      <c r="M407" t="s">
        <v>65</v>
      </c>
    </row>
    <row r="408" spans="1:13">
      <c r="A408" t="s">
        <v>465</v>
      </c>
      <c r="B408" s="10">
        <v>3</v>
      </c>
      <c r="C408" s="10">
        <v>4</v>
      </c>
      <c r="D408" s="10">
        <v>6</v>
      </c>
      <c r="E408" s="10">
        <v>23.82</v>
      </c>
      <c r="F408" s="10">
        <v>11</v>
      </c>
      <c r="G408" s="10">
        <v>1</v>
      </c>
      <c r="H408" s="10">
        <v>5</v>
      </c>
      <c r="I408" s="10">
        <v>0</v>
      </c>
      <c r="J408">
        <v>2015</v>
      </c>
      <c r="K408">
        <v>2</v>
      </c>
      <c r="L408">
        <v>276</v>
      </c>
      <c r="M408" t="s">
        <v>53</v>
      </c>
    </row>
    <row r="409" spans="1:13">
      <c r="A409" t="s">
        <v>466</v>
      </c>
      <c r="B409" s="10">
        <v>6.01</v>
      </c>
      <c r="C409" s="10">
        <v>4.23</v>
      </c>
      <c r="D409" s="10">
        <v>7</v>
      </c>
      <c r="E409" s="10">
        <v>29.6</v>
      </c>
      <c r="F409" s="10">
        <v>11</v>
      </c>
      <c r="G409" s="10">
        <v>1</v>
      </c>
      <c r="H409" s="10">
        <v>22</v>
      </c>
      <c r="I409" s="10">
        <v>1</v>
      </c>
      <c r="J409">
        <v>2015</v>
      </c>
      <c r="K409">
        <v>2</v>
      </c>
      <c r="L409">
        <v>276</v>
      </c>
      <c r="M409" t="s">
        <v>55</v>
      </c>
    </row>
    <row r="410" spans="1:13">
      <c r="A410" t="s">
        <v>467</v>
      </c>
      <c r="B410" s="10">
        <v>4.33</v>
      </c>
      <c r="C410" s="10">
        <v>1.736</v>
      </c>
      <c r="D410" s="10">
        <v>6.7</v>
      </c>
      <c r="E410" s="10">
        <v>29.2</v>
      </c>
      <c r="F410" s="10">
        <v>13</v>
      </c>
      <c r="G410" s="10">
        <v>1</v>
      </c>
      <c r="H410" s="10">
        <v>5</v>
      </c>
      <c r="I410" s="10">
        <v>4</v>
      </c>
      <c r="J410">
        <v>2015</v>
      </c>
      <c r="K410">
        <v>2</v>
      </c>
      <c r="L410">
        <v>276</v>
      </c>
      <c r="M410" t="s">
        <v>57</v>
      </c>
    </row>
    <row r="411" spans="1:13">
      <c r="A411" t="s">
        <v>468</v>
      </c>
      <c r="B411" s="10">
        <v>11.68</v>
      </c>
      <c r="C411" s="10">
        <v>2.33</v>
      </c>
      <c r="D411" s="10">
        <v>4.3</v>
      </c>
      <c r="E411" s="10">
        <v>38</v>
      </c>
      <c r="F411" s="10">
        <v>7</v>
      </c>
      <c r="G411" s="10">
        <v>0</v>
      </c>
      <c r="H411" s="10">
        <v>7</v>
      </c>
      <c r="I411" s="10">
        <v>2</v>
      </c>
      <c r="J411">
        <v>2015</v>
      </c>
      <c r="K411">
        <v>2</v>
      </c>
      <c r="L411">
        <v>276</v>
      </c>
      <c r="M411" t="s">
        <v>59</v>
      </c>
    </row>
    <row r="412" spans="1:13">
      <c r="A412" t="s">
        <v>469</v>
      </c>
      <c r="B412" s="10">
        <v>3.01</v>
      </c>
      <c r="C412" s="10">
        <v>3.75</v>
      </c>
      <c r="D412" s="10">
        <v>4</v>
      </c>
      <c r="E412" s="10">
        <v>40.1</v>
      </c>
      <c r="F412" s="10">
        <v>4</v>
      </c>
      <c r="G412" s="10">
        <v>0</v>
      </c>
      <c r="H412" s="10">
        <v>10</v>
      </c>
      <c r="I412" s="10">
        <v>0</v>
      </c>
      <c r="J412">
        <v>2015</v>
      </c>
      <c r="K412">
        <v>2</v>
      </c>
      <c r="L412">
        <v>276</v>
      </c>
      <c r="M412" t="s">
        <v>61</v>
      </c>
    </row>
    <row r="413" spans="1:13">
      <c r="A413" t="s">
        <v>470</v>
      </c>
      <c r="B413" s="10">
        <v>5.33</v>
      </c>
      <c r="C413" s="10">
        <v>8.693</v>
      </c>
      <c r="D413" s="10">
        <v>4</v>
      </c>
      <c r="E413" s="10">
        <v>36.2</v>
      </c>
      <c r="F413" s="10">
        <v>3</v>
      </c>
      <c r="G413" s="10">
        <v>0</v>
      </c>
      <c r="H413" s="10">
        <v>6</v>
      </c>
      <c r="I413" s="10">
        <v>1</v>
      </c>
      <c r="J413">
        <v>2015</v>
      </c>
      <c r="K413">
        <v>2</v>
      </c>
      <c r="L413">
        <v>276</v>
      </c>
      <c r="M413" t="s">
        <v>63</v>
      </c>
    </row>
    <row r="414" spans="1:13">
      <c r="A414" t="s">
        <v>471</v>
      </c>
      <c r="B414" s="10">
        <v>1</v>
      </c>
      <c r="C414" s="10">
        <v>2.66</v>
      </c>
      <c r="D414" s="10">
        <v>1.33</v>
      </c>
      <c r="E414" s="10">
        <v>36.212</v>
      </c>
      <c r="F414" s="10">
        <v>4</v>
      </c>
      <c r="G414" s="10">
        <v>0</v>
      </c>
      <c r="H414" s="10">
        <v>11</v>
      </c>
      <c r="I414" s="10">
        <v>0</v>
      </c>
      <c r="J414">
        <v>2015</v>
      </c>
      <c r="K414">
        <v>2</v>
      </c>
      <c r="L414">
        <v>276</v>
      </c>
      <c r="M414" t="s">
        <v>65</v>
      </c>
    </row>
    <row r="415" spans="1:13">
      <c r="A415" t="s">
        <v>472</v>
      </c>
      <c r="B415" s="10">
        <v>2</v>
      </c>
      <c r="C415" s="10">
        <v>3.332</v>
      </c>
      <c r="D415" s="10">
        <v>4</v>
      </c>
      <c r="E415" s="10">
        <v>36.7</v>
      </c>
      <c r="F415" s="10">
        <v>2</v>
      </c>
      <c r="G415" s="10">
        <v>2</v>
      </c>
      <c r="H415" s="10">
        <v>6</v>
      </c>
      <c r="I415" s="10">
        <v>3</v>
      </c>
      <c r="J415">
        <v>2015</v>
      </c>
      <c r="K415">
        <v>2</v>
      </c>
      <c r="L415">
        <v>276</v>
      </c>
      <c r="M415" t="s">
        <v>53</v>
      </c>
    </row>
    <row r="416" spans="1:13">
      <c r="A416" t="s">
        <v>473</v>
      </c>
      <c r="B416" s="10">
        <v>5.33</v>
      </c>
      <c r="C416" s="10">
        <v>4.66</v>
      </c>
      <c r="D416" s="10">
        <v>0.5</v>
      </c>
      <c r="E416" s="10">
        <v>27</v>
      </c>
      <c r="F416" s="10">
        <v>5</v>
      </c>
      <c r="G416" s="10">
        <v>0</v>
      </c>
      <c r="H416" s="10">
        <v>25</v>
      </c>
      <c r="I416" s="10">
        <v>6</v>
      </c>
      <c r="J416">
        <v>2015</v>
      </c>
      <c r="K416">
        <v>2</v>
      </c>
      <c r="L416">
        <v>276</v>
      </c>
      <c r="M416" t="s">
        <v>55</v>
      </c>
    </row>
    <row r="417" spans="1:13">
      <c r="A417" t="s">
        <v>474</v>
      </c>
      <c r="B417" s="10">
        <v>3</v>
      </c>
      <c r="C417" s="10">
        <v>5.347</v>
      </c>
      <c r="D417" s="10">
        <v>4.8</v>
      </c>
      <c r="E417" s="10">
        <v>57</v>
      </c>
      <c r="F417" s="10">
        <v>9</v>
      </c>
      <c r="G417" s="10">
        <v>0</v>
      </c>
      <c r="H417" s="10">
        <v>0</v>
      </c>
      <c r="I417" s="10">
        <v>3</v>
      </c>
      <c r="J417">
        <v>2015</v>
      </c>
      <c r="K417">
        <v>2</v>
      </c>
      <c r="L417">
        <v>276</v>
      </c>
      <c r="M417" t="s">
        <v>57</v>
      </c>
    </row>
    <row r="418" spans="1:13">
      <c r="A418" t="s">
        <v>475</v>
      </c>
      <c r="B418" s="10">
        <v>2</v>
      </c>
      <c r="C418" s="10">
        <v>4.34</v>
      </c>
      <c r="D418" s="10">
        <v>2</v>
      </c>
      <c r="E418" s="10">
        <v>50.6</v>
      </c>
      <c r="F418" s="10">
        <v>7</v>
      </c>
      <c r="G418" s="10">
        <v>0</v>
      </c>
      <c r="H418" s="10">
        <v>11</v>
      </c>
      <c r="I418" s="10">
        <v>1</v>
      </c>
      <c r="J418">
        <v>2015</v>
      </c>
      <c r="K418">
        <v>2</v>
      </c>
      <c r="L418">
        <v>276</v>
      </c>
      <c r="M418" t="s">
        <v>59</v>
      </c>
    </row>
    <row r="419" spans="1:13">
      <c r="A419" t="s">
        <v>476</v>
      </c>
      <c r="B419" s="10">
        <v>5</v>
      </c>
      <c r="C419" s="10">
        <v>3.16</v>
      </c>
      <c r="D419" s="10">
        <v>7.5</v>
      </c>
      <c r="E419" s="10">
        <v>55.4</v>
      </c>
      <c r="F419" s="10">
        <v>9</v>
      </c>
      <c r="G419" s="10">
        <v>0</v>
      </c>
      <c r="H419" s="10">
        <v>20</v>
      </c>
      <c r="I419" s="10">
        <v>0</v>
      </c>
      <c r="J419">
        <v>2015</v>
      </c>
      <c r="K419">
        <v>2</v>
      </c>
      <c r="L419">
        <v>276</v>
      </c>
      <c r="M419" t="s">
        <v>61</v>
      </c>
    </row>
    <row r="420" spans="1:13">
      <c r="A420" t="s">
        <v>477</v>
      </c>
      <c r="B420" s="10">
        <v>3.68</v>
      </c>
      <c r="C420" s="10">
        <v>3.34</v>
      </c>
      <c r="D420" s="10">
        <v>6.2</v>
      </c>
      <c r="E420" s="10">
        <v>22.07</v>
      </c>
      <c r="F420" s="10">
        <v>11</v>
      </c>
      <c r="G420" s="10">
        <v>0</v>
      </c>
      <c r="H420" s="10">
        <v>11</v>
      </c>
      <c r="I420" s="10">
        <v>2</v>
      </c>
      <c r="J420">
        <v>2015</v>
      </c>
      <c r="K420">
        <v>2</v>
      </c>
      <c r="L420">
        <v>276</v>
      </c>
      <c r="M420" t="s">
        <v>63</v>
      </c>
    </row>
    <row r="421" spans="1:13">
      <c r="A421" t="s">
        <v>478</v>
      </c>
      <c r="B421" s="10">
        <v>7</v>
      </c>
      <c r="C421" s="10">
        <v>6.33</v>
      </c>
      <c r="D421" s="10">
        <v>6.1</v>
      </c>
      <c r="E421" s="10">
        <v>24</v>
      </c>
      <c r="F421" s="10">
        <v>8</v>
      </c>
      <c r="G421" s="10">
        <v>0</v>
      </c>
      <c r="H421" s="10">
        <v>2</v>
      </c>
      <c r="I421" s="10">
        <v>2</v>
      </c>
      <c r="J421">
        <v>2015</v>
      </c>
      <c r="K421">
        <v>2</v>
      </c>
      <c r="L421">
        <v>276</v>
      </c>
      <c r="M421" t="s">
        <v>65</v>
      </c>
    </row>
    <row r="422" spans="1:13">
      <c r="A422" t="s">
        <v>479</v>
      </c>
      <c r="B422" s="10">
        <v>6</v>
      </c>
      <c r="C422" s="10">
        <v>2</v>
      </c>
      <c r="D422" s="10">
        <v>2</v>
      </c>
      <c r="E422" s="10">
        <v>36.7</v>
      </c>
      <c r="F422" s="10">
        <v>13</v>
      </c>
      <c r="G422" s="10">
        <v>0</v>
      </c>
      <c r="H422" s="10">
        <v>1</v>
      </c>
      <c r="I422" s="10">
        <v>1</v>
      </c>
      <c r="J422">
        <v>2015</v>
      </c>
      <c r="K422">
        <v>2</v>
      </c>
      <c r="L422">
        <v>276</v>
      </c>
      <c r="M422" t="s">
        <v>53</v>
      </c>
    </row>
    <row r="423" spans="1:13">
      <c r="A423" t="s">
        <v>480</v>
      </c>
      <c r="B423" s="10">
        <v>6.33</v>
      </c>
      <c r="C423" s="10">
        <v>4.473</v>
      </c>
      <c r="D423" s="10">
        <v>5</v>
      </c>
      <c r="E423" s="10">
        <v>51</v>
      </c>
      <c r="F423" s="10">
        <v>1</v>
      </c>
      <c r="G423" s="10">
        <v>1</v>
      </c>
      <c r="H423" s="10">
        <v>0</v>
      </c>
      <c r="I423" s="10">
        <v>0</v>
      </c>
      <c r="J423">
        <v>2015</v>
      </c>
      <c r="K423">
        <v>2</v>
      </c>
      <c r="L423">
        <v>276</v>
      </c>
      <c r="M423" t="s">
        <v>55</v>
      </c>
    </row>
    <row r="424" spans="1:13">
      <c r="A424" t="s">
        <v>481</v>
      </c>
      <c r="B424" s="10">
        <v>6.34</v>
      </c>
      <c r="C424" s="10">
        <v>3.33</v>
      </c>
      <c r="D424" s="10">
        <v>1.6</v>
      </c>
      <c r="E424" s="10">
        <v>26.6</v>
      </c>
      <c r="F424" s="10">
        <v>9</v>
      </c>
      <c r="G424" s="10">
        <v>0</v>
      </c>
      <c r="H424" s="10">
        <v>4</v>
      </c>
      <c r="I424" s="10">
        <v>3</v>
      </c>
      <c r="J424">
        <v>2015</v>
      </c>
      <c r="K424">
        <v>2</v>
      </c>
      <c r="L424">
        <v>276</v>
      </c>
      <c r="M424" t="s">
        <v>57</v>
      </c>
    </row>
    <row r="425" spans="1:13">
      <c r="A425" t="s">
        <v>482</v>
      </c>
      <c r="B425" s="10">
        <v>9</v>
      </c>
      <c r="C425" s="10">
        <v>7.893</v>
      </c>
      <c r="D425" s="10">
        <v>2.7</v>
      </c>
      <c r="E425" s="10">
        <v>25.9</v>
      </c>
      <c r="F425" s="10">
        <v>3</v>
      </c>
      <c r="G425" s="10">
        <v>4</v>
      </c>
      <c r="H425" s="10">
        <v>0</v>
      </c>
      <c r="I425" s="10">
        <v>4</v>
      </c>
      <c r="J425">
        <v>2015</v>
      </c>
      <c r="K425">
        <v>3</v>
      </c>
      <c r="L425">
        <v>276</v>
      </c>
      <c r="M425" t="s">
        <v>59</v>
      </c>
    </row>
    <row r="426" spans="1:13">
      <c r="A426" t="s">
        <v>483</v>
      </c>
      <c r="B426" s="10">
        <v>6.67</v>
      </c>
      <c r="C426" s="10">
        <v>4.68</v>
      </c>
      <c r="D426" s="10">
        <v>3.5</v>
      </c>
      <c r="E426" s="10">
        <v>40.7</v>
      </c>
      <c r="F426" s="10">
        <v>6</v>
      </c>
      <c r="G426" s="10">
        <v>1</v>
      </c>
      <c r="H426" s="10">
        <v>2</v>
      </c>
      <c r="I426" s="10">
        <v>3</v>
      </c>
      <c r="J426">
        <v>2015</v>
      </c>
      <c r="K426">
        <v>3</v>
      </c>
      <c r="L426">
        <v>276</v>
      </c>
      <c r="M426" t="s">
        <v>61</v>
      </c>
    </row>
    <row r="427" spans="1:13">
      <c r="A427" t="s">
        <v>484</v>
      </c>
      <c r="B427" s="10">
        <v>8</v>
      </c>
      <c r="C427" s="10">
        <v>6.03</v>
      </c>
      <c r="D427" s="10">
        <v>4.5</v>
      </c>
      <c r="E427" s="10">
        <v>45.6</v>
      </c>
      <c r="F427" s="10">
        <v>14</v>
      </c>
      <c r="G427" s="10">
        <v>0</v>
      </c>
      <c r="H427" s="10">
        <v>1</v>
      </c>
      <c r="I427" s="10">
        <v>4</v>
      </c>
      <c r="J427">
        <v>2015</v>
      </c>
      <c r="K427">
        <v>3</v>
      </c>
      <c r="L427">
        <v>276</v>
      </c>
      <c r="M427" t="s">
        <v>63</v>
      </c>
    </row>
    <row r="428" spans="1:13">
      <c r="A428" t="s">
        <v>485</v>
      </c>
      <c r="B428" s="10">
        <v>9.68</v>
      </c>
      <c r="C428" s="10">
        <v>5.67</v>
      </c>
      <c r="D428" s="10">
        <v>3.3</v>
      </c>
      <c r="E428" s="10">
        <v>46.85</v>
      </c>
      <c r="F428" s="10">
        <v>4</v>
      </c>
      <c r="G428" s="10">
        <v>0</v>
      </c>
      <c r="H428" s="10">
        <v>11</v>
      </c>
      <c r="I428" s="10">
        <v>1</v>
      </c>
      <c r="J428">
        <v>2015</v>
      </c>
      <c r="K428">
        <v>3</v>
      </c>
      <c r="L428">
        <v>276</v>
      </c>
      <c r="M428" t="s">
        <v>65</v>
      </c>
    </row>
    <row r="429" spans="1:13">
      <c r="A429" t="s">
        <v>486</v>
      </c>
      <c r="B429" s="10">
        <v>6</v>
      </c>
      <c r="C429" s="10">
        <v>2.33</v>
      </c>
      <c r="D429" s="10">
        <v>3</v>
      </c>
      <c r="E429" s="10">
        <v>35</v>
      </c>
      <c r="F429" s="10">
        <v>2</v>
      </c>
      <c r="G429" s="10">
        <v>0</v>
      </c>
      <c r="H429" s="10">
        <v>0</v>
      </c>
      <c r="I429" s="10">
        <v>0</v>
      </c>
      <c r="J429">
        <v>2015</v>
      </c>
      <c r="K429">
        <v>3</v>
      </c>
      <c r="L429">
        <v>276</v>
      </c>
      <c r="M429" t="s">
        <v>53</v>
      </c>
    </row>
    <row r="430" spans="1:13">
      <c r="A430" t="s">
        <v>487</v>
      </c>
      <c r="B430" s="10">
        <v>2</v>
      </c>
      <c r="C430" s="10">
        <v>2.67</v>
      </c>
      <c r="D430" s="10">
        <v>6</v>
      </c>
      <c r="E430" s="10">
        <v>19.8</v>
      </c>
      <c r="F430" s="10">
        <v>4</v>
      </c>
      <c r="G430" s="10">
        <v>0</v>
      </c>
      <c r="H430" s="10">
        <v>1</v>
      </c>
      <c r="I430" s="10">
        <v>1</v>
      </c>
      <c r="J430">
        <v>2015</v>
      </c>
      <c r="K430">
        <v>3</v>
      </c>
      <c r="L430">
        <v>276</v>
      </c>
      <c r="M430" t="s">
        <v>55</v>
      </c>
    </row>
    <row r="431" spans="1:13">
      <c r="A431" t="s">
        <v>488</v>
      </c>
      <c r="B431" s="10">
        <v>3.33</v>
      </c>
      <c r="C431" s="10">
        <v>1</v>
      </c>
      <c r="D431" s="10">
        <v>1</v>
      </c>
      <c r="E431" s="10">
        <v>2</v>
      </c>
      <c r="F431" s="10">
        <v>0</v>
      </c>
      <c r="G431" s="10">
        <v>0</v>
      </c>
      <c r="H431" s="10">
        <v>0</v>
      </c>
      <c r="I431" s="10">
        <v>0</v>
      </c>
      <c r="J431">
        <v>2015</v>
      </c>
      <c r="K431">
        <v>3</v>
      </c>
      <c r="L431">
        <v>276</v>
      </c>
      <c r="M431" t="s">
        <v>57</v>
      </c>
    </row>
    <row r="432" spans="1:13">
      <c r="A432" t="s">
        <v>489</v>
      </c>
      <c r="B432" s="10">
        <v>6</v>
      </c>
      <c r="C432" s="10">
        <v>3.397</v>
      </c>
      <c r="D432" s="10">
        <v>2.4</v>
      </c>
      <c r="E432" s="10">
        <v>55.4</v>
      </c>
      <c r="F432" s="10">
        <v>9</v>
      </c>
      <c r="G432" s="10">
        <v>0</v>
      </c>
      <c r="H432" s="10">
        <v>2</v>
      </c>
      <c r="I432" s="10">
        <v>1</v>
      </c>
      <c r="J432">
        <v>2015</v>
      </c>
      <c r="K432">
        <v>3</v>
      </c>
      <c r="L432">
        <v>276</v>
      </c>
      <c r="M432" t="s">
        <v>59</v>
      </c>
    </row>
    <row r="433" spans="1:13">
      <c r="A433" t="s">
        <v>490</v>
      </c>
      <c r="B433" s="10">
        <v>2</v>
      </c>
      <c r="C433" s="10">
        <v>3</v>
      </c>
      <c r="D433" s="10">
        <v>5</v>
      </c>
      <c r="E433" s="10">
        <v>32.7</v>
      </c>
      <c r="F433" s="10">
        <v>10</v>
      </c>
      <c r="G433" s="10">
        <v>0</v>
      </c>
      <c r="H433" s="10">
        <v>1</v>
      </c>
      <c r="I433" s="10">
        <v>1</v>
      </c>
      <c r="J433">
        <v>2015</v>
      </c>
      <c r="K433">
        <v>3</v>
      </c>
      <c r="L433">
        <v>276</v>
      </c>
      <c r="M433" t="s">
        <v>61</v>
      </c>
    </row>
    <row r="434" spans="1:13">
      <c r="A434" t="s">
        <v>491</v>
      </c>
      <c r="B434" s="10">
        <v>1.34</v>
      </c>
      <c r="C434" s="10">
        <v>3.66</v>
      </c>
      <c r="D434" s="10">
        <v>5</v>
      </c>
      <c r="E434" s="10">
        <v>40.4</v>
      </c>
      <c r="F434" s="10">
        <v>6</v>
      </c>
      <c r="G434" s="10">
        <v>0</v>
      </c>
      <c r="H434" s="10">
        <v>6</v>
      </c>
      <c r="I434" s="10">
        <v>3</v>
      </c>
      <c r="J434">
        <v>2015</v>
      </c>
      <c r="K434">
        <v>3</v>
      </c>
      <c r="L434">
        <v>276</v>
      </c>
      <c r="M434" t="s">
        <v>63</v>
      </c>
    </row>
    <row r="435" spans="1:13">
      <c r="A435" t="s">
        <v>492</v>
      </c>
      <c r="B435" s="10">
        <v>11</v>
      </c>
      <c r="C435" s="10">
        <v>5</v>
      </c>
      <c r="D435" s="10">
        <v>3.2</v>
      </c>
      <c r="E435" s="10">
        <v>32</v>
      </c>
      <c r="F435" s="10">
        <v>9</v>
      </c>
      <c r="G435" s="10">
        <v>0</v>
      </c>
      <c r="H435" s="10">
        <v>4</v>
      </c>
      <c r="I435" s="10">
        <v>0</v>
      </c>
      <c r="J435">
        <v>2015</v>
      </c>
      <c r="K435">
        <v>3</v>
      </c>
      <c r="L435">
        <v>276</v>
      </c>
      <c r="M435" t="s">
        <v>65</v>
      </c>
    </row>
    <row r="436" spans="1:13">
      <c r="A436" t="s">
        <v>493</v>
      </c>
      <c r="B436" s="10">
        <v>2.68</v>
      </c>
      <c r="C436" s="10">
        <v>6.387</v>
      </c>
      <c r="D436" s="10">
        <v>6.1</v>
      </c>
      <c r="E436" s="10">
        <v>19</v>
      </c>
      <c r="F436" s="10">
        <v>5</v>
      </c>
      <c r="G436" s="10">
        <v>0</v>
      </c>
      <c r="H436" s="10">
        <v>2</v>
      </c>
      <c r="I436" s="10">
        <v>3</v>
      </c>
      <c r="J436">
        <v>2015</v>
      </c>
      <c r="K436">
        <v>3</v>
      </c>
      <c r="L436">
        <v>276</v>
      </c>
      <c r="M436" t="s">
        <v>53</v>
      </c>
    </row>
    <row r="437" spans="1:13">
      <c r="A437" t="s">
        <v>494</v>
      </c>
      <c r="B437" s="10">
        <v>4</v>
      </c>
      <c r="C437" s="10">
        <v>3.33</v>
      </c>
      <c r="D437" s="10">
        <v>6.7</v>
      </c>
      <c r="E437" s="10">
        <v>63.4</v>
      </c>
      <c r="F437" s="10">
        <v>11</v>
      </c>
      <c r="G437" s="10">
        <v>2</v>
      </c>
      <c r="H437" s="10">
        <v>1</v>
      </c>
      <c r="I437" s="10">
        <v>0</v>
      </c>
      <c r="J437">
        <v>2015</v>
      </c>
      <c r="K437">
        <v>3</v>
      </c>
      <c r="L437">
        <v>276</v>
      </c>
      <c r="M437" t="s">
        <v>55</v>
      </c>
    </row>
    <row r="438" spans="1:13">
      <c r="A438" t="s">
        <v>495</v>
      </c>
      <c r="B438" s="10">
        <v>2.66</v>
      </c>
      <c r="C438" s="10">
        <v>4.33</v>
      </c>
      <c r="D438" s="10">
        <v>4</v>
      </c>
      <c r="E438" s="10">
        <v>39.1</v>
      </c>
      <c r="F438" s="10">
        <v>9</v>
      </c>
      <c r="G438" s="10">
        <v>0</v>
      </c>
      <c r="H438" s="10">
        <v>9</v>
      </c>
      <c r="I438" s="10">
        <v>3</v>
      </c>
      <c r="J438">
        <v>2015</v>
      </c>
      <c r="K438">
        <v>3</v>
      </c>
      <c r="L438">
        <v>276</v>
      </c>
      <c r="M438" t="s">
        <v>57</v>
      </c>
    </row>
    <row r="439" spans="1:13">
      <c r="A439" t="s">
        <v>496</v>
      </c>
      <c r="B439" s="10">
        <v>3.34</v>
      </c>
      <c r="C439" s="10">
        <v>4.16</v>
      </c>
      <c r="D439" s="10">
        <v>3</v>
      </c>
      <c r="E439" s="10">
        <v>41</v>
      </c>
      <c r="F439" s="10">
        <v>3</v>
      </c>
      <c r="G439" s="10">
        <v>0</v>
      </c>
      <c r="H439" s="10">
        <v>12</v>
      </c>
      <c r="I439" s="10">
        <v>3</v>
      </c>
      <c r="J439">
        <v>2015</v>
      </c>
      <c r="K439">
        <v>3</v>
      </c>
      <c r="L439">
        <v>276</v>
      </c>
      <c r="M439" t="s">
        <v>59</v>
      </c>
    </row>
    <row r="440" spans="1:13">
      <c r="A440" t="s">
        <v>497</v>
      </c>
      <c r="B440" s="10">
        <v>8</v>
      </c>
      <c r="C440" s="10">
        <v>3.01</v>
      </c>
      <c r="D440" s="10">
        <v>4.9</v>
      </c>
      <c r="E440" s="10">
        <v>46.8</v>
      </c>
      <c r="F440" s="10">
        <v>8</v>
      </c>
      <c r="G440" s="10">
        <v>0</v>
      </c>
      <c r="H440" s="10">
        <v>0</v>
      </c>
      <c r="I440" s="10">
        <v>1</v>
      </c>
      <c r="J440">
        <v>2015</v>
      </c>
      <c r="K440">
        <v>3</v>
      </c>
      <c r="L440">
        <v>276</v>
      </c>
      <c r="M440" t="s">
        <v>61</v>
      </c>
    </row>
    <row r="441" spans="1:13">
      <c r="A441" t="s">
        <v>498</v>
      </c>
      <c r="B441" s="10">
        <v>5</v>
      </c>
      <c r="C441" s="10">
        <v>3</v>
      </c>
      <c r="D441" s="10">
        <v>4.6</v>
      </c>
      <c r="E441" s="10">
        <v>28.8</v>
      </c>
      <c r="F441" s="10">
        <v>9</v>
      </c>
      <c r="G441" s="10">
        <v>1</v>
      </c>
      <c r="H441" s="10">
        <v>2</v>
      </c>
      <c r="I441" s="10">
        <v>0</v>
      </c>
      <c r="J441">
        <v>2015</v>
      </c>
      <c r="K441">
        <v>3</v>
      </c>
      <c r="L441">
        <v>276</v>
      </c>
      <c r="M441" t="s">
        <v>63</v>
      </c>
    </row>
    <row r="442" spans="1:13">
      <c r="A442" t="s">
        <v>499</v>
      </c>
      <c r="B442" s="10">
        <v>7.33</v>
      </c>
      <c r="C442" s="10">
        <v>2</v>
      </c>
      <c r="D442" s="10">
        <v>5.3</v>
      </c>
      <c r="E442" s="10">
        <v>24.4</v>
      </c>
      <c r="F442" s="10">
        <v>5</v>
      </c>
      <c r="G442" s="10">
        <v>0</v>
      </c>
      <c r="H442" s="10">
        <v>20</v>
      </c>
      <c r="I442" s="10">
        <v>2</v>
      </c>
      <c r="J442">
        <v>2015</v>
      </c>
      <c r="K442">
        <v>3</v>
      </c>
      <c r="L442">
        <v>276</v>
      </c>
      <c r="M442" t="s">
        <v>65</v>
      </c>
    </row>
    <row r="443" spans="1:13">
      <c r="A443" t="s">
        <v>500</v>
      </c>
      <c r="B443" s="10">
        <v>2</v>
      </c>
      <c r="C443" s="10">
        <v>2.33</v>
      </c>
      <c r="D443" s="10">
        <v>1.5</v>
      </c>
      <c r="E443" s="10">
        <v>31</v>
      </c>
      <c r="F443" s="10">
        <v>7</v>
      </c>
      <c r="G443" s="10">
        <v>0</v>
      </c>
      <c r="H443" s="10">
        <v>15</v>
      </c>
      <c r="I443" s="10">
        <v>0</v>
      </c>
      <c r="J443">
        <v>2015</v>
      </c>
      <c r="K443">
        <v>3</v>
      </c>
      <c r="L443">
        <v>276</v>
      </c>
      <c r="M443" t="s">
        <v>53</v>
      </c>
    </row>
    <row r="444" spans="1:13">
      <c r="A444" t="s">
        <v>501</v>
      </c>
      <c r="B444" s="10">
        <v>1</v>
      </c>
      <c r="C444" s="10">
        <v>7</v>
      </c>
      <c r="D444" s="10">
        <v>3</v>
      </c>
      <c r="E444" s="10">
        <v>38.6</v>
      </c>
      <c r="F444" s="10">
        <v>13</v>
      </c>
      <c r="G444" s="10">
        <v>1</v>
      </c>
      <c r="H444" s="10">
        <v>5</v>
      </c>
      <c r="I444" s="10">
        <v>1</v>
      </c>
      <c r="J444">
        <v>2015</v>
      </c>
      <c r="K444">
        <v>3</v>
      </c>
      <c r="L444">
        <v>276</v>
      </c>
      <c r="M444" t="s">
        <v>55</v>
      </c>
    </row>
    <row r="445" spans="1:13">
      <c r="A445" t="s">
        <v>502</v>
      </c>
      <c r="B445" s="10">
        <v>10.33</v>
      </c>
      <c r="C445" s="10">
        <v>3.34</v>
      </c>
      <c r="D445" s="10">
        <v>3</v>
      </c>
      <c r="E445" s="10">
        <v>41.6</v>
      </c>
      <c r="F445" s="10">
        <v>4</v>
      </c>
      <c r="G445" s="10">
        <v>0</v>
      </c>
      <c r="H445" s="10">
        <v>6</v>
      </c>
      <c r="I445" s="10">
        <v>2</v>
      </c>
      <c r="J445">
        <v>2015</v>
      </c>
      <c r="K445">
        <v>3</v>
      </c>
      <c r="L445">
        <v>276</v>
      </c>
      <c r="M445" t="s">
        <v>57</v>
      </c>
    </row>
    <row r="446" spans="1:13">
      <c r="A446" t="s">
        <v>503</v>
      </c>
      <c r="B446" s="10">
        <v>8.34</v>
      </c>
      <c r="C446" s="10">
        <v>6.67</v>
      </c>
      <c r="D446" s="10">
        <v>2</v>
      </c>
      <c r="E446" s="10">
        <v>43.2</v>
      </c>
      <c r="F446" s="10">
        <v>9</v>
      </c>
      <c r="G446" s="10">
        <v>0</v>
      </c>
      <c r="H446" s="10">
        <v>10</v>
      </c>
      <c r="I446" s="10">
        <v>0</v>
      </c>
      <c r="J446">
        <v>2015</v>
      </c>
      <c r="K446">
        <v>3</v>
      </c>
      <c r="L446">
        <v>276</v>
      </c>
      <c r="M446" t="s">
        <v>59</v>
      </c>
    </row>
    <row r="447" spans="1:13">
      <c r="A447" t="s">
        <v>504</v>
      </c>
      <c r="B447" s="10">
        <v>2</v>
      </c>
      <c r="C447" s="10">
        <v>4.34</v>
      </c>
      <c r="D447" s="10">
        <v>7</v>
      </c>
      <c r="E447" s="10">
        <v>28</v>
      </c>
      <c r="F447" s="10">
        <v>5</v>
      </c>
      <c r="G447" s="10">
        <v>0</v>
      </c>
      <c r="H447" s="10">
        <v>0</v>
      </c>
      <c r="I447" s="10">
        <v>2</v>
      </c>
      <c r="J447">
        <v>2015</v>
      </c>
      <c r="K447">
        <v>3</v>
      </c>
      <c r="L447">
        <v>276</v>
      </c>
      <c r="M447" t="s">
        <v>61</v>
      </c>
    </row>
    <row r="448" spans="1:13">
      <c r="A448" t="s">
        <v>505</v>
      </c>
      <c r="B448" s="10">
        <v>4</v>
      </c>
      <c r="C448" s="10">
        <v>5.472</v>
      </c>
      <c r="D448" s="10">
        <v>5.2</v>
      </c>
      <c r="E448" s="10">
        <v>22.4</v>
      </c>
      <c r="F448" s="10">
        <v>8</v>
      </c>
      <c r="G448" s="10">
        <v>2</v>
      </c>
      <c r="H448" s="10">
        <v>9</v>
      </c>
      <c r="I448" s="10">
        <v>4</v>
      </c>
      <c r="J448">
        <v>2015</v>
      </c>
      <c r="K448">
        <v>3</v>
      </c>
      <c r="L448">
        <v>276</v>
      </c>
      <c r="M448" t="s">
        <v>63</v>
      </c>
    </row>
    <row r="449" spans="1:13">
      <c r="A449" t="s">
        <v>506</v>
      </c>
      <c r="B449" s="10">
        <v>3.68</v>
      </c>
      <c r="C449" s="10">
        <v>8.66</v>
      </c>
      <c r="D449" s="10">
        <v>6.4</v>
      </c>
      <c r="E449" s="10">
        <v>17.6</v>
      </c>
      <c r="F449" s="10">
        <v>10</v>
      </c>
      <c r="G449" s="10">
        <v>2</v>
      </c>
      <c r="H449" s="10">
        <v>13</v>
      </c>
      <c r="I449" s="10">
        <v>1</v>
      </c>
      <c r="J449">
        <v>2015</v>
      </c>
      <c r="K449">
        <v>3</v>
      </c>
      <c r="L449">
        <v>276</v>
      </c>
      <c r="M449" t="s">
        <v>65</v>
      </c>
    </row>
    <row r="450" spans="1:13">
      <c r="A450" t="s">
        <v>507</v>
      </c>
      <c r="B450" s="10">
        <v>5</v>
      </c>
      <c r="C450" s="10">
        <v>1.747</v>
      </c>
      <c r="D450" s="10">
        <v>3</v>
      </c>
      <c r="E450" s="10">
        <v>51.4</v>
      </c>
      <c r="F450" s="10">
        <v>10</v>
      </c>
      <c r="G450" s="10">
        <v>0</v>
      </c>
      <c r="H450" s="10">
        <v>6</v>
      </c>
      <c r="I450" s="10">
        <v>5</v>
      </c>
      <c r="J450">
        <v>2015</v>
      </c>
      <c r="K450">
        <v>3</v>
      </c>
      <c r="L450">
        <v>276</v>
      </c>
      <c r="M450" t="s">
        <v>53</v>
      </c>
    </row>
    <row r="451" spans="1:13">
      <c r="A451" t="s">
        <v>508</v>
      </c>
      <c r="B451" s="10">
        <v>3</v>
      </c>
      <c r="C451" s="10">
        <v>2.67</v>
      </c>
      <c r="D451" s="10">
        <v>2</v>
      </c>
      <c r="E451" s="10">
        <v>27</v>
      </c>
      <c r="F451" s="10">
        <v>3</v>
      </c>
      <c r="G451" s="10">
        <v>0</v>
      </c>
      <c r="H451" s="10">
        <v>22</v>
      </c>
      <c r="I451" s="10">
        <v>1</v>
      </c>
      <c r="J451">
        <v>2015</v>
      </c>
      <c r="K451">
        <v>3</v>
      </c>
      <c r="L451">
        <v>276</v>
      </c>
      <c r="M451" t="s">
        <v>55</v>
      </c>
    </row>
    <row r="452" spans="1:13">
      <c r="A452" t="s">
        <v>509</v>
      </c>
      <c r="B452" s="10">
        <v>1.33</v>
      </c>
      <c r="C452" s="10">
        <v>3.056</v>
      </c>
      <c r="D452" s="10">
        <v>3</v>
      </c>
      <c r="E452" s="10">
        <v>50.5</v>
      </c>
      <c r="F452" s="10">
        <v>6</v>
      </c>
      <c r="G452" s="10">
        <v>0</v>
      </c>
      <c r="H452" s="10">
        <v>0</v>
      </c>
      <c r="I452" s="10">
        <v>2</v>
      </c>
      <c r="J452">
        <v>2015</v>
      </c>
      <c r="K452">
        <v>3</v>
      </c>
      <c r="L452">
        <v>276</v>
      </c>
      <c r="M452" t="s">
        <v>57</v>
      </c>
    </row>
    <row r="453" spans="1:13">
      <c r="A453" t="s">
        <v>510</v>
      </c>
      <c r="B453" s="10">
        <v>6</v>
      </c>
      <c r="C453" s="10">
        <v>5.727</v>
      </c>
      <c r="D453" s="10">
        <v>2.3</v>
      </c>
      <c r="E453" s="10">
        <v>35.5</v>
      </c>
      <c r="F453" s="10">
        <v>7</v>
      </c>
      <c r="G453" s="10">
        <v>0</v>
      </c>
      <c r="H453" s="10">
        <v>8</v>
      </c>
      <c r="I453" s="10">
        <v>2</v>
      </c>
      <c r="J453">
        <v>2015</v>
      </c>
      <c r="K453">
        <v>3</v>
      </c>
      <c r="L453">
        <v>276</v>
      </c>
      <c r="M453" t="s">
        <v>59</v>
      </c>
    </row>
    <row r="454" spans="1:13">
      <c r="A454" t="s">
        <v>511</v>
      </c>
      <c r="B454" s="10">
        <v>6.33</v>
      </c>
      <c r="C454" s="10">
        <v>4.827</v>
      </c>
      <c r="D454" s="10">
        <v>10</v>
      </c>
      <c r="E454" s="10">
        <v>25.7</v>
      </c>
      <c r="F454" s="10">
        <v>4</v>
      </c>
      <c r="G454" s="10">
        <v>0</v>
      </c>
      <c r="H454" s="10">
        <v>0</v>
      </c>
      <c r="I454" s="10">
        <v>0</v>
      </c>
      <c r="J454">
        <v>2015</v>
      </c>
      <c r="K454">
        <v>3</v>
      </c>
      <c r="L454">
        <v>276</v>
      </c>
      <c r="M454" t="s">
        <v>61</v>
      </c>
    </row>
    <row r="455" spans="1:13">
      <c r="A455" t="s">
        <v>512</v>
      </c>
      <c r="B455" s="10">
        <v>5</v>
      </c>
      <c r="C455" s="10">
        <v>2</v>
      </c>
      <c r="D455" s="10">
        <v>11.2</v>
      </c>
      <c r="E455" s="10">
        <v>33.5</v>
      </c>
      <c r="F455" s="10">
        <v>5</v>
      </c>
      <c r="G455" s="10">
        <v>0</v>
      </c>
      <c r="H455" s="10">
        <v>2</v>
      </c>
      <c r="I455" s="10">
        <v>4</v>
      </c>
      <c r="J455">
        <v>2015</v>
      </c>
      <c r="K455">
        <v>3</v>
      </c>
      <c r="L455">
        <v>276</v>
      </c>
      <c r="M455" t="s">
        <v>63</v>
      </c>
    </row>
    <row r="456" spans="1:13">
      <c r="A456" t="s">
        <v>513</v>
      </c>
      <c r="B456" s="10">
        <v>6.34</v>
      </c>
      <c r="C456" s="10">
        <v>1.33</v>
      </c>
      <c r="D456" s="10">
        <v>1</v>
      </c>
      <c r="E456" s="10">
        <v>24.8</v>
      </c>
      <c r="F456" s="10">
        <v>7</v>
      </c>
      <c r="G456" s="10">
        <v>2</v>
      </c>
      <c r="H456" s="10">
        <v>5</v>
      </c>
      <c r="I456" s="10">
        <v>1</v>
      </c>
      <c r="J456">
        <v>2015</v>
      </c>
      <c r="K456">
        <v>4</v>
      </c>
      <c r="L456">
        <v>276</v>
      </c>
      <c r="M456" t="s">
        <v>65</v>
      </c>
    </row>
    <row r="457" spans="1:13">
      <c r="A457" t="s">
        <v>514</v>
      </c>
      <c r="B457" s="10">
        <v>5</v>
      </c>
      <c r="C457" s="10">
        <v>3.99</v>
      </c>
      <c r="D457" s="10">
        <v>5.4</v>
      </c>
      <c r="E457" s="10">
        <v>35.07</v>
      </c>
      <c r="F457" s="10">
        <v>3</v>
      </c>
      <c r="G457" s="10">
        <v>0</v>
      </c>
      <c r="H457" s="10">
        <v>3</v>
      </c>
      <c r="I457" s="10">
        <v>5</v>
      </c>
      <c r="J457">
        <v>2015</v>
      </c>
      <c r="K457">
        <v>4</v>
      </c>
      <c r="L457">
        <v>276</v>
      </c>
      <c r="M457" t="s">
        <v>53</v>
      </c>
    </row>
    <row r="458" spans="1:13">
      <c r="A458" t="s">
        <v>515</v>
      </c>
      <c r="B458" s="10">
        <v>5.33</v>
      </c>
      <c r="C458" s="10">
        <v>2.32</v>
      </c>
      <c r="D458" s="10">
        <v>4</v>
      </c>
      <c r="E458" s="10">
        <v>34.2</v>
      </c>
      <c r="F458" s="10">
        <v>12</v>
      </c>
      <c r="G458" s="10">
        <v>0</v>
      </c>
      <c r="H458" s="10">
        <v>0</v>
      </c>
      <c r="I458" s="10">
        <v>4</v>
      </c>
      <c r="J458">
        <v>2015</v>
      </c>
      <c r="K458">
        <v>4</v>
      </c>
      <c r="L458">
        <v>276</v>
      </c>
      <c r="M458" t="s">
        <v>55</v>
      </c>
    </row>
    <row r="459" spans="1:13">
      <c r="A459" t="s">
        <v>516</v>
      </c>
      <c r="B459" s="10">
        <v>3.67</v>
      </c>
      <c r="C459" s="10">
        <v>4.33</v>
      </c>
      <c r="D459" s="10">
        <v>6</v>
      </c>
      <c r="E459" s="10">
        <v>43</v>
      </c>
      <c r="F459" s="10">
        <v>7</v>
      </c>
      <c r="G459" s="10">
        <v>1</v>
      </c>
      <c r="H459" s="10">
        <v>5</v>
      </c>
      <c r="I459" s="10">
        <v>6</v>
      </c>
      <c r="J459">
        <v>2015</v>
      </c>
      <c r="K459">
        <v>4</v>
      </c>
      <c r="L459">
        <v>276</v>
      </c>
      <c r="M459" t="s">
        <v>57</v>
      </c>
    </row>
    <row r="460" spans="1:13">
      <c r="A460" t="s">
        <v>517</v>
      </c>
      <c r="B460" s="10">
        <v>3.34</v>
      </c>
      <c r="C460" s="10">
        <v>5.01</v>
      </c>
      <c r="D460" s="10">
        <v>4.5</v>
      </c>
      <c r="E460" s="10">
        <v>31.6</v>
      </c>
      <c r="F460" s="10">
        <v>4</v>
      </c>
      <c r="G460" s="10">
        <v>0</v>
      </c>
      <c r="H460" s="10">
        <v>0</v>
      </c>
      <c r="I460" s="10">
        <v>1</v>
      </c>
      <c r="J460">
        <v>2015</v>
      </c>
      <c r="K460">
        <v>4</v>
      </c>
      <c r="L460">
        <v>276</v>
      </c>
      <c r="M460" t="s">
        <v>59</v>
      </c>
    </row>
    <row r="461" spans="1:13">
      <c r="A461" t="s">
        <v>518</v>
      </c>
      <c r="B461" s="10">
        <v>7.33</v>
      </c>
      <c r="C461" s="10">
        <v>3.33</v>
      </c>
      <c r="D461" s="10">
        <v>5.3</v>
      </c>
      <c r="E461" s="10">
        <v>32.9</v>
      </c>
      <c r="F461" s="10">
        <v>4</v>
      </c>
      <c r="G461" s="10">
        <v>0</v>
      </c>
      <c r="H461" s="10">
        <v>3</v>
      </c>
      <c r="I461" s="10">
        <v>2</v>
      </c>
      <c r="J461">
        <v>2015</v>
      </c>
      <c r="K461">
        <v>4</v>
      </c>
      <c r="L461">
        <v>276</v>
      </c>
      <c r="M461" t="s">
        <v>61</v>
      </c>
    </row>
    <row r="462" spans="1:13">
      <c r="A462" t="s">
        <v>519</v>
      </c>
      <c r="B462" s="10">
        <v>6</v>
      </c>
      <c r="C462" s="10">
        <v>3.66</v>
      </c>
      <c r="D462" s="10">
        <v>6.7</v>
      </c>
      <c r="E462" s="10">
        <v>25</v>
      </c>
      <c r="F462" s="10">
        <v>8</v>
      </c>
      <c r="G462" s="10">
        <v>0</v>
      </c>
      <c r="H462" s="10">
        <v>8</v>
      </c>
      <c r="I462" s="10">
        <v>1</v>
      </c>
      <c r="J462">
        <v>2015</v>
      </c>
      <c r="K462">
        <v>4</v>
      </c>
      <c r="L462">
        <v>276</v>
      </c>
      <c r="M462" t="s">
        <v>63</v>
      </c>
    </row>
    <row r="463" spans="1:13">
      <c r="A463" t="s">
        <v>520</v>
      </c>
      <c r="B463" s="10">
        <v>4</v>
      </c>
      <c r="C463" s="10">
        <v>2.33</v>
      </c>
      <c r="D463" s="10">
        <v>3</v>
      </c>
      <c r="E463" s="10">
        <v>18</v>
      </c>
      <c r="F463" s="10">
        <v>11</v>
      </c>
      <c r="G463" s="10">
        <v>0</v>
      </c>
      <c r="H463" s="10">
        <v>10</v>
      </c>
      <c r="I463" s="10">
        <v>4</v>
      </c>
      <c r="J463">
        <v>2015</v>
      </c>
      <c r="K463">
        <v>4</v>
      </c>
      <c r="L463">
        <v>276</v>
      </c>
      <c r="M463" t="s">
        <v>65</v>
      </c>
    </row>
    <row r="464" spans="1:13">
      <c r="A464" t="s">
        <v>521</v>
      </c>
      <c r="B464" s="10">
        <v>1.33</v>
      </c>
      <c r="C464" s="10">
        <v>6</v>
      </c>
      <c r="D464" s="10">
        <v>8</v>
      </c>
      <c r="E464" s="10">
        <v>22.2</v>
      </c>
      <c r="F464" s="10">
        <v>8</v>
      </c>
      <c r="G464" s="10">
        <v>0</v>
      </c>
      <c r="H464" s="10">
        <v>6</v>
      </c>
      <c r="I464" s="10">
        <v>1</v>
      </c>
      <c r="J464">
        <v>2015</v>
      </c>
      <c r="K464">
        <v>4</v>
      </c>
      <c r="L464">
        <v>276</v>
      </c>
      <c r="M464" t="s">
        <v>53</v>
      </c>
    </row>
    <row r="465" spans="1:13">
      <c r="A465" t="s">
        <v>522</v>
      </c>
      <c r="B465" s="10">
        <v>9.84</v>
      </c>
      <c r="C465" s="10">
        <v>6.505</v>
      </c>
      <c r="D465" s="10">
        <v>4</v>
      </c>
      <c r="E465" s="10">
        <v>65.59999999999999</v>
      </c>
      <c r="F465" s="10">
        <v>5</v>
      </c>
      <c r="G465" s="10">
        <v>2</v>
      </c>
      <c r="H465" s="10">
        <v>8</v>
      </c>
      <c r="I465" s="10">
        <v>5</v>
      </c>
      <c r="J465">
        <v>2015</v>
      </c>
      <c r="K465">
        <v>4</v>
      </c>
      <c r="L465">
        <v>276</v>
      </c>
      <c r="M465" t="s">
        <v>55</v>
      </c>
    </row>
    <row r="466" spans="1:13">
      <c r="A466" t="s">
        <v>523</v>
      </c>
      <c r="B466" s="10">
        <v>11.68</v>
      </c>
      <c r="C466" s="10">
        <v>3</v>
      </c>
      <c r="D466" s="10">
        <v>3.4</v>
      </c>
      <c r="E466" s="10">
        <v>26</v>
      </c>
      <c r="F466" s="10">
        <v>9</v>
      </c>
      <c r="G466" s="10">
        <v>0</v>
      </c>
      <c r="H466" s="10">
        <v>5</v>
      </c>
      <c r="I466" s="10">
        <v>6</v>
      </c>
      <c r="J466">
        <v>2015</v>
      </c>
      <c r="K466">
        <v>4</v>
      </c>
      <c r="L466">
        <v>276</v>
      </c>
      <c r="M466" t="s">
        <v>57</v>
      </c>
    </row>
    <row r="467" spans="1:13">
      <c r="A467" t="s">
        <v>524</v>
      </c>
      <c r="B467" s="10">
        <v>0</v>
      </c>
      <c r="C467" s="10">
        <v>0</v>
      </c>
      <c r="D467" s="10">
        <v>0</v>
      </c>
      <c r="E467" s="10">
        <v>0</v>
      </c>
      <c r="F467" s="10">
        <v>0</v>
      </c>
      <c r="G467" s="10">
        <v>0</v>
      </c>
      <c r="H467" s="10">
        <v>0</v>
      </c>
      <c r="I467" s="10">
        <v>0</v>
      </c>
      <c r="J467">
        <v>2015</v>
      </c>
      <c r="K467">
        <v>4</v>
      </c>
      <c r="L467">
        <v>276</v>
      </c>
      <c r="M467" t="s">
        <v>59</v>
      </c>
    </row>
    <row r="468" spans="1:13">
      <c r="A468" t="s">
        <v>525</v>
      </c>
      <c r="B468" s="10">
        <v>6.67</v>
      </c>
      <c r="C468" s="10">
        <v>1.34</v>
      </c>
      <c r="D468" s="10">
        <v>7</v>
      </c>
      <c r="E468" s="10">
        <v>25.2</v>
      </c>
      <c r="F468" s="10">
        <v>5</v>
      </c>
      <c r="G468" s="10">
        <v>0</v>
      </c>
      <c r="H468" s="10">
        <v>3</v>
      </c>
      <c r="I468" s="10">
        <v>7</v>
      </c>
      <c r="J468">
        <v>2015</v>
      </c>
      <c r="K468">
        <v>4</v>
      </c>
      <c r="L468">
        <v>276</v>
      </c>
      <c r="M468" t="s">
        <v>61</v>
      </c>
    </row>
    <row r="469" spans="1:13">
      <c r="A469" t="s">
        <v>526</v>
      </c>
      <c r="B469" s="10">
        <v>4.66</v>
      </c>
      <c r="C469" s="10">
        <v>6.01</v>
      </c>
      <c r="D469" s="10">
        <v>7</v>
      </c>
      <c r="E469" s="10">
        <v>41.8</v>
      </c>
      <c r="F469" s="10">
        <v>5</v>
      </c>
      <c r="G469" s="10">
        <v>0</v>
      </c>
      <c r="H469" s="10">
        <v>5</v>
      </c>
      <c r="I469" s="10">
        <v>2</v>
      </c>
      <c r="J469">
        <v>2015</v>
      </c>
      <c r="K469">
        <v>4</v>
      </c>
      <c r="L469">
        <v>276</v>
      </c>
      <c r="M469" t="s">
        <v>63</v>
      </c>
    </row>
    <row r="470" spans="1:13">
      <c r="A470" t="s">
        <v>527</v>
      </c>
      <c r="B470" s="10">
        <v>2</v>
      </c>
      <c r="C470" s="10">
        <v>2.33</v>
      </c>
      <c r="D470" s="10">
        <v>3</v>
      </c>
      <c r="E470" s="10">
        <v>29.25</v>
      </c>
      <c r="F470" s="10">
        <v>15</v>
      </c>
      <c r="G470" s="10">
        <v>0</v>
      </c>
      <c r="H470" s="10">
        <v>0</v>
      </c>
      <c r="I470" s="10">
        <v>2</v>
      </c>
      <c r="J470">
        <v>2015</v>
      </c>
      <c r="K470">
        <v>4</v>
      </c>
      <c r="L470">
        <v>276</v>
      </c>
      <c r="M470" t="s">
        <v>65</v>
      </c>
    </row>
    <row r="471" spans="1:13">
      <c r="A471" t="s">
        <v>528</v>
      </c>
      <c r="B471" s="10">
        <v>2.34</v>
      </c>
      <c r="C471" s="10">
        <v>1</v>
      </c>
      <c r="D471" s="10">
        <v>7.2</v>
      </c>
      <c r="E471" s="10">
        <v>30.6</v>
      </c>
      <c r="F471" s="10">
        <v>7</v>
      </c>
      <c r="G471" s="10">
        <v>0</v>
      </c>
      <c r="H471" s="10">
        <v>9</v>
      </c>
      <c r="I471" s="10">
        <v>4</v>
      </c>
      <c r="J471">
        <v>2015</v>
      </c>
      <c r="K471">
        <v>4</v>
      </c>
      <c r="L471">
        <v>276</v>
      </c>
      <c r="M471" t="s">
        <v>53</v>
      </c>
    </row>
    <row r="472" spans="1:13">
      <c r="A472" t="s">
        <v>529</v>
      </c>
      <c r="B472" s="10">
        <v>9.33</v>
      </c>
      <c r="C472" s="10">
        <v>3.66</v>
      </c>
      <c r="D472" s="10">
        <v>3</v>
      </c>
      <c r="E472" s="10">
        <v>29.65</v>
      </c>
      <c r="F472" s="10">
        <v>6</v>
      </c>
      <c r="G472" s="10">
        <v>0</v>
      </c>
      <c r="H472" s="10">
        <v>1</v>
      </c>
      <c r="I472" s="10">
        <v>5</v>
      </c>
      <c r="J472">
        <v>2015</v>
      </c>
      <c r="K472">
        <v>4</v>
      </c>
      <c r="L472">
        <v>276</v>
      </c>
      <c r="M472" t="s">
        <v>55</v>
      </c>
    </row>
    <row r="473" spans="1:13">
      <c r="A473" t="s">
        <v>530</v>
      </c>
      <c r="B473" s="10">
        <v>7.33</v>
      </c>
      <c r="C473" s="10">
        <v>3</v>
      </c>
      <c r="D473" s="10">
        <v>1</v>
      </c>
      <c r="E473" s="10">
        <v>31.3</v>
      </c>
      <c r="F473" s="10">
        <v>1</v>
      </c>
      <c r="G473" s="10">
        <v>0</v>
      </c>
      <c r="H473" s="10">
        <v>1</v>
      </c>
      <c r="I473" s="10">
        <v>4</v>
      </c>
      <c r="J473">
        <v>2015</v>
      </c>
      <c r="K473">
        <v>4</v>
      </c>
      <c r="L473">
        <v>276</v>
      </c>
      <c r="M473" t="s">
        <v>57</v>
      </c>
    </row>
    <row r="474" spans="1:13">
      <c r="A474" t="s">
        <v>531</v>
      </c>
      <c r="B474" s="10">
        <v>9.32</v>
      </c>
      <c r="C474" s="10">
        <v>5.528</v>
      </c>
      <c r="D474" s="10">
        <v>3.8</v>
      </c>
      <c r="E474" s="10">
        <v>36.5</v>
      </c>
      <c r="F474" s="10">
        <v>3</v>
      </c>
      <c r="G474" s="10">
        <v>0</v>
      </c>
      <c r="H474" s="10">
        <v>0</v>
      </c>
      <c r="I474" s="10">
        <v>2</v>
      </c>
      <c r="J474">
        <v>2015</v>
      </c>
      <c r="K474">
        <v>4</v>
      </c>
      <c r="L474">
        <v>276</v>
      </c>
      <c r="M474" t="s">
        <v>59</v>
      </c>
    </row>
    <row r="475" spans="1:13">
      <c r="A475" t="s">
        <v>532</v>
      </c>
      <c r="B475" s="10">
        <v>3</v>
      </c>
      <c r="C475" s="10">
        <v>5.043</v>
      </c>
      <c r="D475" s="10">
        <v>3.7</v>
      </c>
      <c r="E475" s="10">
        <v>38</v>
      </c>
      <c r="F475" s="10">
        <v>13</v>
      </c>
      <c r="G475" s="10">
        <v>0</v>
      </c>
      <c r="H475" s="10">
        <v>1</v>
      </c>
      <c r="I475" s="10">
        <v>3</v>
      </c>
      <c r="J475">
        <v>2015</v>
      </c>
      <c r="K475">
        <v>4</v>
      </c>
      <c r="L475">
        <v>276</v>
      </c>
      <c r="M475" t="s">
        <v>61</v>
      </c>
    </row>
    <row r="476" spans="1:13">
      <c r="A476" t="s">
        <v>533</v>
      </c>
      <c r="B476" s="10">
        <v>6.33</v>
      </c>
      <c r="C476" s="10">
        <v>1</v>
      </c>
      <c r="D476" s="10">
        <v>2</v>
      </c>
      <c r="E476" s="10">
        <v>35.2</v>
      </c>
      <c r="F476" s="10">
        <v>9</v>
      </c>
      <c r="G476" s="10">
        <v>0</v>
      </c>
      <c r="H476" s="10">
        <v>0</v>
      </c>
      <c r="I476" s="10">
        <v>6</v>
      </c>
      <c r="J476">
        <v>2015</v>
      </c>
      <c r="K476">
        <v>4</v>
      </c>
      <c r="L476">
        <v>276</v>
      </c>
      <c r="M476" t="s">
        <v>63</v>
      </c>
    </row>
    <row r="477" spans="1:13">
      <c r="A477" t="s">
        <v>534</v>
      </c>
      <c r="B477" s="10">
        <v>1.33</v>
      </c>
      <c r="C477" s="10">
        <v>4.627</v>
      </c>
      <c r="D477" s="10">
        <v>3.2</v>
      </c>
      <c r="E477" s="10">
        <v>32</v>
      </c>
      <c r="F477" s="10">
        <v>3</v>
      </c>
      <c r="G477" s="10">
        <v>0</v>
      </c>
      <c r="H477" s="10">
        <v>1</v>
      </c>
      <c r="I477" s="10">
        <v>2</v>
      </c>
      <c r="J477">
        <v>2015</v>
      </c>
      <c r="K477">
        <v>4</v>
      </c>
      <c r="L477">
        <v>276</v>
      </c>
      <c r="M477" t="s">
        <v>65</v>
      </c>
    </row>
    <row r="478" spans="1:13">
      <c r="A478" t="s">
        <v>535</v>
      </c>
      <c r="B478" s="10">
        <v>4</v>
      </c>
      <c r="C478" s="10">
        <v>1</v>
      </c>
      <c r="D478" s="10">
        <v>1</v>
      </c>
      <c r="E478" s="10">
        <v>28.2</v>
      </c>
      <c r="F478" s="10">
        <v>8</v>
      </c>
      <c r="G478" s="10">
        <v>0</v>
      </c>
      <c r="H478" s="10">
        <v>1</v>
      </c>
      <c r="I478" s="10">
        <v>4</v>
      </c>
      <c r="J478">
        <v>2015</v>
      </c>
      <c r="K478">
        <v>4</v>
      </c>
      <c r="L478">
        <v>276</v>
      </c>
      <c r="M478" t="s">
        <v>53</v>
      </c>
    </row>
    <row r="479" spans="1:13">
      <c r="A479" t="s">
        <v>536</v>
      </c>
      <c r="B479" s="10">
        <v>10</v>
      </c>
      <c r="C479" s="10">
        <v>1</v>
      </c>
      <c r="D479" s="10">
        <v>4</v>
      </c>
      <c r="E479" s="10">
        <v>30</v>
      </c>
      <c r="F479" s="10">
        <v>5</v>
      </c>
      <c r="G479" s="10">
        <v>0</v>
      </c>
      <c r="H479" s="10">
        <v>1</v>
      </c>
      <c r="I479" s="10">
        <v>5</v>
      </c>
      <c r="J479">
        <v>2015</v>
      </c>
      <c r="K479">
        <v>4</v>
      </c>
      <c r="L479">
        <v>276</v>
      </c>
      <c r="M479" t="s">
        <v>55</v>
      </c>
    </row>
    <row r="480" spans="1:13">
      <c r="A480" t="s">
        <v>537</v>
      </c>
      <c r="B480" s="10">
        <v>5</v>
      </c>
      <c r="C480" s="10">
        <v>3.165</v>
      </c>
      <c r="D480" s="10">
        <v>8</v>
      </c>
      <c r="E480" s="10">
        <v>38.1</v>
      </c>
      <c r="F480" s="10">
        <v>3</v>
      </c>
      <c r="G480" s="10">
        <v>0</v>
      </c>
      <c r="H480" s="10">
        <v>1</v>
      </c>
      <c r="I480" s="10">
        <v>3</v>
      </c>
      <c r="J480">
        <v>2015</v>
      </c>
      <c r="K480">
        <v>4</v>
      </c>
      <c r="L480">
        <v>276</v>
      </c>
      <c r="M480" t="s">
        <v>57</v>
      </c>
    </row>
    <row r="481" spans="1:13">
      <c r="A481" t="s">
        <v>538</v>
      </c>
      <c r="B481" s="10">
        <v>7</v>
      </c>
      <c r="C481" s="10">
        <v>6</v>
      </c>
      <c r="D481" s="10">
        <v>3</v>
      </c>
      <c r="E481" s="10">
        <v>37.6</v>
      </c>
      <c r="F481" s="10">
        <v>5</v>
      </c>
      <c r="G481" s="10">
        <v>0</v>
      </c>
      <c r="H481" s="10">
        <v>1</v>
      </c>
      <c r="I481" s="10">
        <v>1</v>
      </c>
      <c r="J481">
        <v>2015</v>
      </c>
      <c r="K481">
        <v>4</v>
      </c>
      <c r="L481">
        <v>276</v>
      </c>
      <c r="M481" t="s">
        <v>59</v>
      </c>
    </row>
    <row r="482" spans="1:13">
      <c r="A482" t="s">
        <v>539</v>
      </c>
      <c r="B482" s="10">
        <v>3</v>
      </c>
      <c r="C482" s="10">
        <v>0.78</v>
      </c>
      <c r="D482" s="10">
        <v>4</v>
      </c>
      <c r="E482" s="10">
        <v>43</v>
      </c>
      <c r="F482" s="10">
        <v>10</v>
      </c>
      <c r="G482" s="10">
        <v>0</v>
      </c>
      <c r="H482" s="10">
        <v>0</v>
      </c>
      <c r="I482" s="10">
        <v>10</v>
      </c>
      <c r="J482">
        <v>2015</v>
      </c>
      <c r="K482">
        <v>4</v>
      </c>
      <c r="L482">
        <v>276</v>
      </c>
      <c r="M482" t="s">
        <v>61</v>
      </c>
    </row>
    <row r="483" spans="1:13">
      <c r="A483" t="s">
        <v>540</v>
      </c>
      <c r="B483" s="10">
        <v>4.33</v>
      </c>
      <c r="C483" s="10">
        <v>4.67</v>
      </c>
      <c r="D483" s="10">
        <v>3.1</v>
      </c>
      <c r="E483" s="10">
        <v>15.2</v>
      </c>
      <c r="F483" s="10">
        <v>7</v>
      </c>
      <c r="G483" s="10">
        <v>0</v>
      </c>
      <c r="H483" s="10">
        <v>5</v>
      </c>
      <c r="I483" s="10">
        <v>6</v>
      </c>
      <c r="J483">
        <v>2015</v>
      </c>
      <c r="K483">
        <v>4</v>
      </c>
      <c r="L483">
        <v>276</v>
      </c>
      <c r="M483" t="s">
        <v>63</v>
      </c>
    </row>
    <row r="484" spans="1:13">
      <c r="A484" t="s">
        <v>541</v>
      </c>
      <c r="B484" s="10">
        <v>2</v>
      </c>
      <c r="C484" s="10">
        <v>0.43</v>
      </c>
      <c r="D484" s="10">
        <v>4.2</v>
      </c>
      <c r="E484" s="10">
        <v>27.6</v>
      </c>
      <c r="F484" s="10">
        <v>2</v>
      </c>
      <c r="G484" s="10">
        <v>0</v>
      </c>
      <c r="H484" s="10">
        <v>11</v>
      </c>
      <c r="I484" s="10">
        <v>3</v>
      </c>
      <c r="J484">
        <v>2015</v>
      </c>
      <c r="K484">
        <v>4</v>
      </c>
      <c r="L484">
        <v>276</v>
      </c>
      <c r="M484" t="s">
        <v>65</v>
      </c>
    </row>
    <row r="485" spans="1:13">
      <c r="A485" t="s">
        <v>542</v>
      </c>
      <c r="B485" s="10">
        <v>3</v>
      </c>
      <c r="C485" s="10">
        <v>8.727</v>
      </c>
      <c r="D485" s="10">
        <v>2.6</v>
      </c>
      <c r="E485" s="10">
        <v>32.6</v>
      </c>
      <c r="F485" s="10">
        <v>7</v>
      </c>
      <c r="G485" s="10">
        <v>0</v>
      </c>
      <c r="H485" s="10">
        <v>3</v>
      </c>
      <c r="I485" s="10">
        <v>7</v>
      </c>
      <c r="J485">
        <v>2015</v>
      </c>
      <c r="K485">
        <v>4</v>
      </c>
      <c r="L485">
        <v>276</v>
      </c>
      <c r="M485" t="s">
        <v>53</v>
      </c>
    </row>
    <row r="486" spans="1:13">
      <c r="A486" t="s">
        <v>543</v>
      </c>
      <c r="B486" s="10">
        <v>5.34</v>
      </c>
      <c r="C486" s="10">
        <v>1.68</v>
      </c>
      <c r="D486" s="10">
        <v>4.94</v>
      </c>
      <c r="E486" s="10">
        <v>11.4</v>
      </c>
      <c r="F486" s="10">
        <v>4</v>
      </c>
      <c r="G486" s="10">
        <v>0</v>
      </c>
      <c r="H486" s="10">
        <v>0</v>
      </c>
      <c r="I486" s="10">
        <v>4.7</v>
      </c>
      <c r="J486">
        <v>2015</v>
      </c>
      <c r="K486">
        <v>5</v>
      </c>
      <c r="L486">
        <v>276</v>
      </c>
      <c r="M486" t="s">
        <v>55</v>
      </c>
    </row>
    <row r="487" spans="1:13">
      <c r="A487" t="s">
        <v>544</v>
      </c>
      <c r="B487" s="10">
        <v>5</v>
      </c>
      <c r="C487" s="10">
        <v>3.66</v>
      </c>
      <c r="D487" s="10">
        <v>3</v>
      </c>
      <c r="E487" s="10">
        <v>47.8</v>
      </c>
      <c r="F487" s="10">
        <v>6</v>
      </c>
      <c r="G487" s="10">
        <v>2</v>
      </c>
      <c r="H487" s="10">
        <v>0</v>
      </c>
      <c r="I487" s="10">
        <v>5</v>
      </c>
      <c r="J487">
        <v>2015</v>
      </c>
      <c r="K487">
        <v>5</v>
      </c>
      <c r="L487">
        <v>276</v>
      </c>
      <c r="M487" t="s">
        <v>57</v>
      </c>
    </row>
    <row r="488" spans="1:13">
      <c r="A488" t="s">
        <v>545</v>
      </c>
      <c r="B488" s="10">
        <v>6.67</v>
      </c>
      <c r="C488" s="10">
        <v>1.066</v>
      </c>
      <c r="D488" s="10">
        <v>2.1</v>
      </c>
      <c r="E488" s="10">
        <v>19.2</v>
      </c>
      <c r="F488" s="10">
        <v>4</v>
      </c>
      <c r="G488" s="10">
        <v>0</v>
      </c>
      <c r="H488" s="10">
        <v>1</v>
      </c>
      <c r="I488" s="10">
        <v>6</v>
      </c>
      <c r="J488">
        <v>2015</v>
      </c>
      <c r="K488">
        <v>5</v>
      </c>
      <c r="L488">
        <v>276</v>
      </c>
      <c r="M488" t="s">
        <v>59</v>
      </c>
    </row>
    <row r="489" spans="1:13">
      <c r="A489" t="s">
        <v>546</v>
      </c>
      <c r="B489" s="10">
        <v>4</v>
      </c>
      <c r="C489" s="10">
        <v>4.723</v>
      </c>
      <c r="D489" s="10">
        <v>8.6</v>
      </c>
      <c r="E489" s="10">
        <v>36</v>
      </c>
      <c r="F489" s="10">
        <v>5</v>
      </c>
      <c r="G489" s="10">
        <v>1</v>
      </c>
      <c r="H489" s="10">
        <v>10</v>
      </c>
      <c r="I489" s="10">
        <v>3.3</v>
      </c>
      <c r="J489">
        <v>2015</v>
      </c>
      <c r="K489">
        <v>5</v>
      </c>
      <c r="L489">
        <v>276</v>
      </c>
      <c r="M489" t="s">
        <v>61</v>
      </c>
    </row>
    <row r="490" spans="1:13">
      <c r="A490" t="s">
        <v>547</v>
      </c>
      <c r="B490" s="10">
        <v>3.34</v>
      </c>
      <c r="C490" s="10">
        <v>3.462</v>
      </c>
      <c r="D490" s="10">
        <v>2</v>
      </c>
      <c r="E490" s="10">
        <v>19</v>
      </c>
      <c r="F490" s="10">
        <v>6</v>
      </c>
      <c r="G490" s="10">
        <v>0</v>
      </c>
      <c r="H490" s="10">
        <v>5</v>
      </c>
      <c r="I490" s="10">
        <v>2.5</v>
      </c>
      <c r="J490">
        <v>2015</v>
      </c>
      <c r="K490">
        <v>5</v>
      </c>
      <c r="L490">
        <v>276</v>
      </c>
      <c r="M490" t="s">
        <v>63</v>
      </c>
    </row>
    <row r="491" spans="1:13">
      <c r="A491" t="s">
        <v>548</v>
      </c>
      <c r="B491" s="10">
        <v>4.66</v>
      </c>
      <c r="C491" s="10">
        <v>6.497</v>
      </c>
      <c r="D491" s="10">
        <v>2</v>
      </c>
      <c r="E491" s="10">
        <v>40.2</v>
      </c>
      <c r="F491" s="10">
        <v>11</v>
      </c>
      <c r="G491" s="10">
        <v>0</v>
      </c>
      <c r="H491" s="10">
        <v>0</v>
      </c>
      <c r="I491" s="10">
        <v>6</v>
      </c>
      <c r="J491">
        <v>2015</v>
      </c>
      <c r="K491">
        <v>5</v>
      </c>
      <c r="L491">
        <v>276</v>
      </c>
      <c r="M491" t="s">
        <v>65</v>
      </c>
    </row>
    <row r="492" spans="1:13">
      <c r="A492" t="s">
        <v>549</v>
      </c>
      <c r="B492" s="10">
        <v>2</v>
      </c>
      <c r="C492" s="10">
        <v>3.34</v>
      </c>
      <c r="D492" s="10">
        <v>2</v>
      </c>
      <c r="E492" s="10">
        <v>21</v>
      </c>
      <c r="F492" s="10">
        <v>4</v>
      </c>
      <c r="G492" s="10">
        <v>1</v>
      </c>
      <c r="H492" s="10">
        <v>5</v>
      </c>
      <c r="I492" s="10">
        <v>10</v>
      </c>
      <c r="J492">
        <v>2015</v>
      </c>
      <c r="K492">
        <v>5</v>
      </c>
      <c r="L492">
        <v>276</v>
      </c>
      <c r="M492" t="s">
        <v>53</v>
      </c>
    </row>
    <row r="493" spans="1:13">
      <c r="A493" t="s">
        <v>550</v>
      </c>
      <c r="B493" s="10">
        <v>1</v>
      </c>
      <c r="C493" s="10">
        <v>6.34</v>
      </c>
      <c r="D493" s="10">
        <v>5</v>
      </c>
      <c r="E493" s="10">
        <v>16</v>
      </c>
      <c r="F493" s="10">
        <v>8</v>
      </c>
      <c r="G493" s="10">
        <v>0</v>
      </c>
      <c r="H493" s="10">
        <v>4</v>
      </c>
      <c r="I493" s="10">
        <v>1</v>
      </c>
      <c r="J493">
        <v>2015</v>
      </c>
      <c r="K493">
        <v>5</v>
      </c>
      <c r="L493">
        <v>276</v>
      </c>
      <c r="M493" t="s">
        <v>55</v>
      </c>
    </row>
    <row r="494" spans="1:13">
      <c r="A494" t="s">
        <v>551</v>
      </c>
      <c r="B494" s="10">
        <v>3.66</v>
      </c>
      <c r="C494" s="10">
        <v>4.34</v>
      </c>
      <c r="D494" s="10">
        <v>7.4</v>
      </c>
      <c r="E494" s="10">
        <v>21</v>
      </c>
      <c r="F494" s="10">
        <v>11</v>
      </c>
      <c r="G494" s="10">
        <v>1</v>
      </c>
      <c r="H494" s="10">
        <v>1</v>
      </c>
      <c r="I494" s="10">
        <v>6</v>
      </c>
      <c r="J494">
        <v>2015</v>
      </c>
      <c r="K494">
        <v>5</v>
      </c>
      <c r="L494">
        <v>276</v>
      </c>
      <c r="M494" t="s">
        <v>57</v>
      </c>
    </row>
    <row r="495" spans="1:13">
      <c r="A495" t="s">
        <v>552</v>
      </c>
      <c r="B495" s="10">
        <v>3.34</v>
      </c>
      <c r="C495" s="10">
        <v>5.427</v>
      </c>
      <c r="D495" s="10">
        <v>3.8</v>
      </c>
      <c r="E495" s="10">
        <v>13</v>
      </c>
      <c r="F495" s="10">
        <v>3</v>
      </c>
      <c r="G495" s="10">
        <v>0</v>
      </c>
      <c r="H495" s="10">
        <v>1</v>
      </c>
      <c r="I495" s="10">
        <v>10</v>
      </c>
      <c r="J495">
        <v>2015</v>
      </c>
      <c r="K495">
        <v>5</v>
      </c>
      <c r="L495">
        <v>276</v>
      </c>
      <c r="M495" t="s">
        <v>59</v>
      </c>
    </row>
    <row r="496" spans="1:13">
      <c r="A496" t="s">
        <v>553</v>
      </c>
      <c r="B496" s="10">
        <v>3.33</v>
      </c>
      <c r="C496" s="10">
        <v>6.66</v>
      </c>
      <c r="D496" s="10">
        <v>5.9</v>
      </c>
      <c r="E496" s="10">
        <v>21</v>
      </c>
      <c r="F496" s="10">
        <v>3</v>
      </c>
      <c r="G496" s="10">
        <v>0</v>
      </c>
      <c r="H496" s="10">
        <v>6</v>
      </c>
      <c r="I496" s="10">
        <v>4</v>
      </c>
      <c r="J496">
        <v>2015</v>
      </c>
      <c r="K496">
        <v>5</v>
      </c>
      <c r="L496">
        <v>276</v>
      </c>
      <c r="M496" t="s">
        <v>61</v>
      </c>
    </row>
    <row r="497" spans="1:13">
      <c r="A497" t="s">
        <v>554</v>
      </c>
      <c r="B497" s="10">
        <v>7.33</v>
      </c>
      <c r="C497" s="10">
        <v>1.99</v>
      </c>
      <c r="D497" s="10">
        <v>8.199999999999999</v>
      </c>
      <c r="E497" s="10">
        <v>22.95</v>
      </c>
      <c r="F497" s="10">
        <v>13</v>
      </c>
      <c r="G497" s="10">
        <v>0</v>
      </c>
      <c r="H497" s="10">
        <v>0</v>
      </c>
      <c r="I497" s="10">
        <v>8</v>
      </c>
      <c r="J497">
        <v>2015</v>
      </c>
      <c r="K497">
        <v>5</v>
      </c>
      <c r="L497">
        <v>276</v>
      </c>
      <c r="M497" t="s">
        <v>63</v>
      </c>
    </row>
    <row r="498" spans="1:13">
      <c r="A498" t="s">
        <v>555</v>
      </c>
      <c r="B498" s="10">
        <v>8</v>
      </c>
      <c r="C498" s="10">
        <v>3.44</v>
      </c>
      <c r="D498" s="10">
        <v>9</v>
      </c>
      <c r="E498" s="10">
        <v>28.4</v>
      </c>
      <c r="F498" s="10">
        <v>5</v>
      </c>
      <c r="G498" s="10">
        <v>0</v>
      </c>
      <c r="H498" s="10">
        <v>2</v>
      </c>
      <c r="I498" s="10">
        <v>4.5</v>
      </c>
      <c r="J498">
        <v>2015</v>
      </c>
      <c r="K498">
        <v>5</v>
      </c>
      <c r="L498">
        <v>276</v>
      </c>
      <c r="M498" t="s">
        <v>65</v>
      </c>
    </row>
    <row r="499" spans="1:13">
      <c r="A499" t="s">
        <v>556</v>
      </c>
      <c r="B499" s="10">
        <v>3</v>
      </c>
      <c r="C499" s="10">
        <v>5.067</v>
      </c>
      <c r="D499" s="10">
        <v>3</v>
      </c>
      <c r="E499" s="10">
        <v>14</v>
      </c>
      <c r="F499" s="10">
        <v>1</v>
      </c>
      <c r="G499" s="10">
        <v>0</v>
      </c>
      <c r="H499" s="10">
        <v>0</v>
      </c>
      <c r="I499" s="10">
        <v>5</v>
      </c>
      <c r="J499">
        <v>2015</v>
      </c>
      <c r="K499">
        <v>5</v>
      </c>
      <c r="L499">
        <v>276</v>
      </c>
      <c r="M499" t="s">
        <v>53</v>
      </c>
    </row>
    <row r="500" spans="1:13">
      <c r="A500" t="s">
        <v>557</v>
      </c>
      <c r="B500" s="10">
        <v>3.34</v>
      </c>
      <c r="C500" s="10">
        <v>6.53</v>
      </c>
      <c r="D500" s="10">
        <v>4.3</v>
      </c>
      <c r="E500" s="10">
        <v>48.4</v>
      </c>
      <c r="F500" s="10">
        <v>8</v>
      </c>
      <c r="G500" s="10">
        <v>0</v>
      </c>
      <c r="H500" s="10">
        <v>4</v>
      </c>
      <c r="I500" s="10">
        <v>3.2</v>
      </c>
      <c r="J500">
        <v>2015</v>
      </c>
      <c r="K500">
        <v>5</v>
      </c>
      <c r="L500">
        <v>276</v>
      </c>
      <c r="M500" t="s">
        <v>55</v>
      </c>
    </row>
    <row r="501" spans="1:13">
      <c r="A501" t="s">
        <v>558</v>
      </c>
      <c r="B501" s="10">
        <v>5</v>
      </c>
      <c r="C501" s="10">
        <v>4.066</v>
      </c>
      <c r="D501" s="10">
        <v>4.1</v>
      </c>
      <c r="E501" s="10">
        <v>40.4</v>
      </c>
      <c r="F501" s="10">
        <v>4</v>
      </c>
      <c r="G501" s="10">
        <v>0</v>
      </c>
      <c r="H501" s="10">
        <v>0</v>
      </c>
      <c r="I501" s="10">
        <v>4</v>
      </c>
      <c r="J501">
        <v>2015</v>
      </c>
      <c r="K501">
        <v>5</v>
      </c>
      <c r="L501">
        <v>276</v>
      </c>
      <c r="M501" t="s">
        <v>57</v>
      </c>
    </row>
    <row r="502" spans="1:13">
      <c r="A502" t="s">
        <v>559</v>
      </c>
      <c r="B502" s="10">
        <v>5</v>
      </c>
      <c r="C502" s="10">
        <v>3.33</v>
      </c>
      <c r="D502" s="10">
        <v>5</v>
      </c>
      <c r="E502" s="10">
        <v>23.2</v>
      </c>
      <c r="F502" s="10">
        <v>0</v>
      </c>
      <c r="G502" s="10">
        <v>0</v>
      </c>
      <c r="H502" s="10">
        <v>0</v>
      </c>
      <c r="I502" s="10">
        <v>8</v>
      </c>
      <c r="J502">
        <v>2015</v>
      </c>
      <c r="K502">
        <v>5</v>
      </c>
      <c r="L502">
        <v>276</v>
      </c>
      <c r="M502" t="s">
        <v>59</v>
      </c>
    </row>
    <row r="503" spans="1:13">
      <c r="A503" t="s">
        <v>560</v>
      </c>
      <c r="B503" s="10">
        <v>7</v>
      </c>
      <c r="C503" s="10">
        <v>2.713</v>
      </c>
      <c r="D503" s="10">
        <v>5.2</v>
      </c>
      <c r="E503" s="10">
        <v>21.4</v>
      </c>
      <c r="F503" s="10">
        <v>6</v>
      </c>
      <c r="G503" s="10">
        <v>1</v>
      </c>
      <c r="H503" s="10">
        <v>2</v>
      </c>
      <c r="I503" s="10">
        <v>2.2</v>
      </c>
      <c r="J503">
        <v>2015</v>
      </c>
      <c r="K503">
        <v>5</v>
      </c>
      <c r="L503">
        <v>276</v>
      </c>
      <c r="M503" t="s">
        <v>61</v>
      </c>
    </row>
    <row r="504" spans="1:13">
      <c r="A504" t="s">
        <v>561</v>
      </c>
      <c r="B504" s="10">
        <v>3</v>
      </c>
      <c r="C504" s="10">
        <v>1.66</v>
      </c>
      <c r="D504" s="10">
        <v>3</v>
      </c>
      <c r="E504" s="10">
        <v>20</v>
      </c>
      <c r="F504" s="10">
        <v>8</v>
      </c>
      <c r="G504" s="10">
        <v>0</v>
      </c>
      <c r="H504" s="10">
        <v>0</v>
      </c>
      <c r="I504" s="10">
        <v>3</v>
      </c>
      <c r="J504">
        <v>2015</v>
      </c>
      <c r="K504">
        <v>5</v>
      </c>
      <c r="L504">
        <v>276</v>
      </c>
      <c r="M504" t="s">
        <v>63</v>
      </c>
    </row>
    <row r="505" spans="1:13">
      <c r="A505" t="s">
        <v>562</v>
      </c>
      <c r="B505" s="10">
        <v>5.67</v>
      </c>
      <c r="C505" s="10">
        <v>6.465</v>
      </c>
      <c r="D505" s="10">
        <v>2</v>
      </c>
      <c r="E505" s="10">
        <v>17</v>
      </c>
      <c r="F505" s="10">
        <v>12</v>
      </c>
      <c r="G505" s="10">
        <v>1</v>
      </c>
      <c r="H505" s="10">
        <v>5</v>
      </c>
      <c r="I505" s="10">
        <v>6</v>
      </c>
      <c r="J505">
        <v>2015</v>
      </c>
      <c r="K505">
        <v>5</v>
      </c>
      <c r="L505">
        <v>276</v>
      </c>
      <c r="M505" t="s">
        <v>65</v>
      </c>
    </row>
    <row r="506" spans="1:13">
      <c r="A506" t="s">
        <v>563</v>
      </c>
      <c r="B506" s="10">
        <v>6</v>
      </c>
      <c r="C506" s="10">
        <v>1.957</v>
      </c>
      <c r="D506" s="10">
        <v>3</v>
      </c>
      <c r="E506" s="10">
        <v>10</v>
      </c>
      <c r="F506" s="10">
        <v>5</v>
      </c>
      <c r="G506" s="10">
        <v>0</v>
      </c>
      <c r="H506" s="10">
        <v>1</v>
      </c>
      <c r="I506" s="10">
        <v>3.3</v>
      </c>
      <c r="J506">
        <v>2015</v>
      </c>
      <c r="K506">
        <v>5</v>
      </c>
      <c r="L506">
        <v>276</v>
      </c>
      <c r="M506" t="s">
        <v>53</v>
      </c>
    </row>
    <row r="507" spans="1:13">
      <c r="A507" t="s">
        <v>564</v>
      </c>
      <c r="B507" s="10">
        <v>3</v>
      </c>
      <c r="C507" s="10">
        <v>0.198</v>
      </c>
      <c r="D507" s="10">
        <v>2</v>
      </c>
      <c r="E507" s="10">
        <v>15</v>
      </c>
      <c r="F507" s="10">
        <v>8</v>
      </c>
      <c r="G507" s="10">
        <v>0</v>
      </c>
      <c r="H507" s="10">
        <v>0</v>
      </c>
      <c r="I507" s="10">
        <v>7</v>
      </c>
      <c r="J507">
        <v>2015</v>
      </c>
      <c r="K507">
        <v>5</v>
      </c>
      <c r="L507">
        <v>276</v>
      </c>
      <c r="M507" t="s">
        <v>55</v>
      </c>
    </row>
    <row r="508" spans="1:13">
      <c r="A508" t="s">
        <v>565</v>
      </c>
      <c r="B508" s="10">
        <v>5.68</v>
      </c>
      <c r="C508" s="10">
        <v>2.69</v>
      </c>
      <c r="D508" s="10">
        <v>5</v>
      </c>
      <c r="E508" s="10">
        <v>23.45</v>
      </c>
      <c r="F508" s="10">
        <v>10</v>
      </c>
      <c r="G508" s="10">
        <v>0</v>
      </c>
      <c r="H508" s="10">
        <v>2</v>
      </c>
      <c r="I508" s="10">
        <v>7</v>
      </c>
      <c r="J508">
        <v>2015</v>
      </c>
      <c r="K508">
        <v>5</v>
      </c>
      <c r="L508">
        <v>276</v>
      </c>
      <c r="M508" t="s">
        <v>57</v>
      </c>
    </row>
    <row r="509" spans="1:13">
      <c r="A509" t="s">
        <v>566</v>
      </c>
      <c r="B509" s="10">
        <v>5.33</v>
      </c>
      <c r="C509" s="10">
        <v>7.769</v>
      </c>
      <c r="D509" s="10">
        <v>3</v>
      </c>
      <c r="E509" s="10">
        <v>20</v>
      </c>
      <c r="F509" s="10">
        <v>5</v>
      </c>
      <c r="G509" s="10">
        <v>0</v>
      </c>
      <c r="H509" s="10">
        <v>0</v>
      </c>
      <c r="I509" s="10">
        <v>1.3</v>
      </c>
      <c r="J509">
        <v>2015</v>
      </c>
      <c r="K509">
        <v>5</v>
      </c>
      <c r="L509">
        <v>276</v>
      </c>
      <c r="M509" t="s">
        <v>59</v>
      </c>
    </row>
    <row r="510" spans="1:13">
      <c r="A510" t="s">
        <v>567</v>
      </c>
      <c r="B510" s="10">
        <v>9.66</v>
      </c>
      <c r="C510" s="10">
        <v>3.33</v>
      </c>
      <c r="D510" s="10">
        <v>4</v>
      </c>
      <c r="E510" s="10">
        <v>30</v>
      </c>
      <c r="F510" s="10">
        <v>11</v>
      </c>
      <c r="G510" s="10">
        <v>3</v>
      </c>
      <c r="H510" s="10">
        <v>0</v>
      </c>
      <c r="I510" s="10">
        <v>3</v>
      </c>
      <c r="J510">
        <v>2015</v>
      </c>
      <c r="K510">
        <v>5</v>
      </c>
      <c r="L510">
        <v>276</v>
      </c>
      <c r="M510" t="s">
        <v>61</v>
      </c>
    </row>
    <row r="511" spans="1:13">
      <c r="A511" t="s">
        <v>568</v>
      </c>
      <c r="B511" s="10">
        <v>7.34</v>
      </c>
      <c r="C511" s="10">
        <v>3.34</v>
      </c>
      <c r="D511" s="10">
        <v>4.5</v>
      </c>
      <c r="E511" s="10">
        <v>27</v>
      </c>
      <c r="F511" s="10">
        <v>11</v>
      </c>
      <c r="G511" s="10">
        <v>0</v>
      </c>
      <c r="H511" s="10">
        <v>22</v>
      </c>
      <c r="I511" s="10">
        <v>10</v>
      </c>
      <c r="J511">
        <v>2015</v>
      </c>
      <c r="K511">
        <v>5</v>
      </c>
      <c r="L511">
        <v>276</v>
      </c>
      <c r="M511" t="s">
        <v>63</v>
      </c>
    </row>
    <row r="512" spans="1:13">
      <c r="A512" t="s">
        <v>569</v>
      </c>
      <c r="B512" s="10">
        <v>4</v>
      </c>
      <c r="C512" s="10">
        <v>2.66</v>
      </c>
      <c r="D512" s="10">
        <v>2</v>
      </c>
      <c r="E512" s="10">
        <v>24.2</v>
      </c>
      <c r="F512" s="10">
        <v>7</v>
      </c>
      <c r="G512" s="10">
        <v>0</v>
      </c>
      <c r="H512" s="10">
        <v>0</v>
      </c>
      <c r="I512" s="10">
        <v>1</v>
      </c>
      <c r="J512">
        <v>2015</v>
      </c>
      <c r="K512">
        <v>5</v>
      </c>
      <c r="L512">
        <v>276</v>
      </c>
      <c r="M512" t="s">
        <v>65</v>
      </c>
    </row>
    <row r="513" spans="1:13">
      <c r="A513" t="s">
        <v>570</v>
      </c>
      <c r="B513" s="10">
        <v>6</v>
      </c>
      <c r="C513" s="10">
        <v>2.33</v>
      </c>
      <c r="D513" s="10">
        <v>6.7</v>
      </c>
      <c r="E513" s="10">
        <v>17.1</v>
      </c>
      <c r="F513" s="10">
        <v>3</v>
      </c>
      <c r="G513" s="10">
        <v>0</v>
      </c>
      <c r="H513" s="10">
        <v>20</v>
      </c>
      <c r="I513" s="10">
        <v>3</v>
      </c>
      <c r="J513">
        <v>2015</v>
      </c>
      <c r="K513">
        <v>5</v>
      </c>
      <c r="L513">
        <v>276</v>
      </c>
      <c r="M513" t="s">
        <v>53</v>
      </c>
    </row>
    <row r="514" spans="1:13">
      <c r="A514" t="s">
        <v>571</v>
      </c>
      <c r="B514" s="10">
        <v>6.33</v>
      </c>
      <c r="C514" s="10">
        <v>5.01</v>
      </c>
      <c r="D514" s="10">
        <v>3</v>
      </c>
      <c r="E514" s="10">
        <v>41.8</v>
      </c>
      <c r="F514" s="10">
        <v>6</v>
      </c>
      <c r="G514" s="10">
        <v>0</v>
      </c>
      <c r="H514" s="10">
        <v>5</v>
      </c>
      <c r="I514" s="10">
        <v>3</v>
      </c>
      <c r="J514">
        <v>2015</v>
      </c>
      <c r="K514">
        <v>5</v>
      </c>
      <c r="L514">
        <v>276</v>
      </c>
      <c r="M514" t="s">
        <v>55</v>
      </c>
    </row>
    <row r="515" spans="1:13">
      <c r="A515" t="s">
        <v>572</v>
      </c>
      <c r="B515" s="10">
        <v>14</v>
      </c>
      <c r="C515" s="10">
        <v>2.68</v>
      </c>
      <c r="D515" s="10">
        <v>6</v>
      </c>
      <c r="E515" s="10">
        <v>24.5</v>
      </c>
      <c r="F515" s="10">
        <v>4</v>
      </c>
      <c r="G515" s="10">
        <v>0</v>
      </c>
      <c r="H515" s="10">
        <v>4</v>
      </c>
      <c r="I515" s="10">
        <v>8</v>
      </c>
      <c r="J515">
        <v>2015</v>
      </c>
      <c r="K515">
        <v>5</v>
      </c>
      <c r="L515">
        <v>276</v>
      </c>
      <c r="M515" t="s">
        <v>57</v>
      </c>
    </row>
    <row r="516" spans="1:13">
      <c r="A516" t="s">
        <v>573</v>
      </c>
      <c r="B516" s="10">
        <v>3</v>
      </c>
      <c r="C516" s="10">
        <v>4.697</v>
      </c>
      <c r="D516" s="10">
        <v>6.3</v>
      </c>
      <c r="E516" s="10">
        <v>31.5</v>
      </c>
      <c r="F516" s="10">
        <v>2</v>
      </c>
      <c r="G516" s="10">
        <v>0</v>
      </c>
      <c r="H516" s="10">
        <v>0</v>
      </c>
      <c r="I516" s="10">
        <v>10.5</v>
      </c>
      <c r="J516">
        <v>2015</v>
      </c>
      <c r="K516">
        <v>5</v>
      </c>
      <c r="L516">
        <v>276</v>
      </c>
      <c r="M516" t="s">
        <v>59</v>
      </c>
    </row>
    <row r="517" spans="1:13">
      <c r="A517" t="s">
        <v>574</v>
      </c>
      <c r="B517" s="10">
        <v>4.66</v>
      </c>
      <c r="C517" s="10">
        <v>5</v>
      </c>
      <c r="D517" s="10">
        <v>2.5</v>
      </c>
      <c r="E517" s="10">
        <v>23.55</v>
      </c>
      <c r="F517" s="10">
        <v>12</v>
      </c>
      <c r="G517" s="10">
        <v>0</v>
      </c>
      <c r="H517" s="10">
        <v>2</v>
      </c>
      <c r="I517" s="10">
        <v>3</v>
      </c>
      <c r="J517">
        <v>2015</v>
      </c>
      <c r="K517">
        <v>6</v>
      </c>
      <c r="L517">
        <v>276</v>
      </c>
      <c r="M517" t="s">
        <v>61</v>
      </c>
    </row>
    <row r="518" spans="1:13">
      <c r="A518" t="s">
        <v>575</v>
      </c>
      <c r="B518" s="10">
        <v>8.33</v>
      </c>
      <c r="C518" s="10">
        <v>8</v>
      </c>
      <c r="D518" s="10">
        <v>7.9</v>
      </c>
      <c r="E518" s="10">
        <v>24</v>
      </c>
      <c r="F518" s="10">
        <v>10</v>
      </c>
      <c r="G518" s="10">
        <v>4</v>
      </c>
      <c r="H518" s="10">
        <v>3</v>
      </c>
      <c r="I518" s="10">
        <v>6</v>
      </c>
      <c r="J518">
        <v>2015</v>
      </c>
      <c r="K518">
        <v>6</v>
      </c>
      <c r="L518">
        <v>276</v>
      </c>
      <c r="M518" t="s">
        <v>63</v>
      </c>
    </row>
    <row r="519" spans="1:13">
      <c r="A519" t="s">
        <v>576</v>
      </c>
      <c r="B519" s="10">
        <v>5</v>
      </c>
      <c r="C519" s="10">
        <v>1.66</v>
      </c>
      <c r="D519" s="10">
        <v>5.3</v>
      </c>
      <c r="E519" s="10">
        <v>30</v>
      </c>
      <c r="F519" s="10">
        <v>9</v>
      </c>
      <c r="G519" s="10">
        <v>0</v>
      </c>
      <c r="H519" s="10">
        <v>6</v>
      </c>
      <c r="I519" s="10">
        <v>2</v>
      </c>
      <c r="J519">
        <v>2015</v>
      </c>
      <c r="K519">
        <v>6</v>
      </c>
      <c r="L519">
        <v>276</v>
      </c>
      <c r="M519" t="s">
        <v>65</v>
      </c>
    </row>
    <row r="520" spans="1:13">
      <c r="A520" t="s">
        <v>577</v>
      </c>
      <c r="B520" s="10">
        <v>2.33</v>
      </c>
      <c r="C520" s="10">
        <v>4</v>
      </c>
      <c r="D520" s="10">
        <v>3</v>
      </c>
      <c r="E520" s="10">
        <v>20</v>
      </c>
      <c r="F520" s="10">
        <v>5</v>
      </c>
      <c r="G520" s="10">
        <v>0</v>
      </c>
      <c r="H520" s="10">
        <v>2</v>
      </c>
      <c r="I520" s="10">
        <v>2</v>
      </c>
      <c r="J520">
        <v>2015</v>
      </c>
      <c r="K520">
        <v>6</v>
      </c>
      <c r="L520">
        <v>276</v>
      </c>
      <c r="M520" t="s">
        <v>53</v>
      </c>
    </row>
    <row r="521" spans="1:13">
      <c r="A521" t="s">
        <v>578</v>
      </c>
      <c r="B521" s="10">
        <v>5</v>
      </c>
      <c r="C521" s="10">
        <v>0.67</v>
      </c>
      <c r="D521" s="10">
        <v>5</v>
      </c>
      <c r="E521" s="10">
        <v>13</v>
      </c>
      <c r="F521" s="10">
        <v>6</v>
      </c>
      <c r="G521" s="10">
        <v>0</v>
      </c>
      <c r="H521" s="10">
        <v>1</v>
      </c>
      <c r="I521" s="10">
        <v>7</v>
      </c>
      <c r="J521">
        <v>2015</v>
      </c>
      <c r="K521">
        <v>6</v>
      </c>
      <c r="L521">
        <v>276</v>
      </c>
      <c r="M521" t="s">
        <v>55</v>
      </c>
    </row>
    <row r="522" spans="1:13">
      <c r="A522" t="s">
        <v>579</v>
      </c>
      <c r="B522" s="10">
        <v>3.68</v>
      </c>
      <c r="C522" s="10">
        <v>3.68</v>
      </c>
      <c r="D522" s="10">
        <v>2</v>
      </c>
      <c r="E522" s="10">
        <v>16</v>
      </c>
      <c r="F522" s="10">
        <v>6</v>
      </c>
      <c r="G522" s="10">
        <v>0</v>
      </c>
      <c r="H522" s="10">
        <v>17</v>
      </c>
      <c r="I522" s="10">
        <v>2</v>
      </c>
      <c r="J522">
        <v>2015</v>
      </c>
      <c r="K522">
        <v>6</v>
      </c>
      <c r="L522">
        <v>276</v>
      </c>
      <c r="M522" t="s">
        <v>57</v>
      </c>
    </row>
    <row r="523" spans="1:13">
      <c r="A523" t="s">
        <v>580</v>
      </c>
      <c r="B523" s="10">
        <v>6.34</v>
      </c>
      <c r="C523" s="10">
        <v>5.01</v>
      </c>
      <c r="D523" s="10">
        <v>2</v>
      </c>
      <c r="E523" s="10">
        <v>17</v>
      </c>
      <c r="F523" s="10">
        <v>6</v>
      </c>
      <c r="G523" s="10">
        <v>1</v>
      </c>
      <c r="H523" s="10">
        <v>22</v>
      </c>
      <c r="I523" s="10">
        <v>6</v>
      </c>
      <c r="J523">
        <v>2015</v>
      </c>
      <c r="K523">
        <v>6</v>
      </c>
      <c r="L523">
        <v>276</v>
      </c>
      <c r="M523" t="s">
        <v>59</v>
      </c>
    </row>
    <row r="524" spans="1:13">
      <c r="A524" t="s">
        <v>581</v>
      </c>
      <c r="B524" s="10">
        <v>6</v>
      </c>
      <c r="C524" s="10">
        <v>5.66</v>
      </c>
      <c r="D524" s="10">
        <v>2.5</v>
      </c>
      <c r="E524" s="10">
        <v>31</v>
      </c>
      <c r="F524" s="10">
        <v>10</v>
      </c>
      <c r="G524" s="10">
        <v>1</v>
      </c>
      <c r="H524" s="10">
        <v>3</v>
      </c>
      <c r="I524" s="10">
        <v>7</v>
      </c>
      <c r="J524">
        <v>2015</v>
      </c>
      <c r="K524">
        <v>6</v>
      </c>
      <c r="L524">
        <v>276</v>
      </c>
      <c r="M524" t="s">
        <v>61</v>
      </c>
    </row>
    <row r="525" spans="1:13">
      <c r="A525" t="s">
        <v>582</v>
      </c>
      <c r="B525" s="10">
        <v>3</v>
      </c>
      <c r="C525" s="10">
        <v>4</v>
      </c>
      <c r="D525" s="10">
        <v>4</v>
      </c>
      <c r="E525" s="10">
        <v>26.6</v>
      </c>
      <c r="F525" s="10">
        <v>14</v>
      </c>
      <c r="G525" s="10">
        <v>0</v>
      </c>
      <c r="H525" s="10">
        <v>0</v>
      </c>
      <c r="I525" s="10">
        <v>4.6</v>
      </c>
      <c r="J525">
        <v>2015</v>
      </c>
      <c r="K525">
        <v>6</v>
      </c>
      <c r="L525">
        <v>276</v>
      </c>
      <c r="M525" t="s">
        <v>63</v>
      </c>
    </row>
    <row r="526" spans="1:13">
      <c r="A526" t="s">
        <v>583</v>
      </c>
      <c r="B526" s="10">
        <v>4.34</v>
      </c>
      <c r="C526" s="10">
        <v>3.01</v>
      </c>
      <c r="D526" s="10">
        <v>8</v>
      </c>
      <c r="E526" s="10">
        <v>18.676</v>
      </c>
      <c r="F526" s="10">
        <v>6</v>
      </c>
      <c r="G526" s="10">
        <v>0</v>
      </c>
      <c r="H526" s="10">
        <v>7</v>
      </c>
      <c r="I526" s="10">
        <v>2</v>
      </c>
      <c r="J526">
        <v>2015</v>
      </c>
      <c r="K526">
        <v>6</v>
      </c>
      <c r="L526">
        <v>276</v>
      </c>
      <c r="M526" t="s">
        <v>65</v>
      </c>
    </row>
    <row r="527" spans="1:13">
      <c r="A527" t="s">
        <v>584</v>
      </c>
      <c r="B527" s="10">
        <v>6</v>
      </c>
      <c r="C527" s="10">
        <v>2.33</v>
      </c>
      <c r="D527" s="10">
        <v>5.1</v>
      </c>
      <c r="E527" s="10">
        <v>38.3</v>
      </c>
      <c r="F527" s="10">
        <v>11</v>
      </c>
      <c r="G527" s="10">
        <v>0</v>
      </c>
      <c r="H527" s="10">
        <v>1</v>
      </c>
      <c r="I527" s="10">
        <v>3</v>
      </c>
      <c r="J527">
        <v>2015</v>
      </c>
      <c r="K527">
        <v>6</v>
      </c>
      <c r="L527">
        <v>276</v>
      </c>
      <c r="M527" t="s">
        <v>53</v>
      </c>
    </row>
    <row r="528" spans="1:13">
      <c r="A528" t="s">
        <v>585</v>
      </c>
      <c r="B528" s="10">
        <v>1.67</v>
      </c>
      <c r="C528" s="10">
        <v>1.66</v>
      </c>
      <c r="D528" s="10">
        <v>2</v>
      </c>
      <c r="E528" s="10">
        <v>17.5</v>
      </c>
      <c r="F528" s="10">
        <v>2</v>
      </c>
      <c r="G528" s="10">
        <v>2</v>
      </c>
      <c r="H528" s="10">
        <v>0</v>
      </c>
      <c r="I528" s="10">
        <v>5</v>
      </c>
      <c r="J528">
        <v>2015</v>
      </c>
      <c r="K528">
        <v>6</v>
      </c>
      <c r="L528">
        <v>276</v>
      </c>
      <c r="M528" t="s">
        <v>55</v>
      </c>
    </row>
    <row r="529" spans="1:13">
      <c r="A529" t="s">
        <v>586</v>
      </c>
      <c r="B529" s="10">
        <v>2.33</v>
      </c>
      <c r="C529" s="10">
        <v>4.66</v>
      </c>
      <c r="D529" s="10">
        <v>7.3</v>
      </c>
      <c r="E529" s="10">
        <v>21.4</v>
      </c>
      <c r="F529" s="10">
        <v>6</v>
      </c>
      <c r="G529" s="10">
        <v>0</v>
      </c>
      <c r="H529" s="10">
        <v>12</v>
      </c>
      <c r="I529" s="10">
        <v>4</v>
      </c>
      <c r="J529">
        <v>2015</v>
      </c>
      <c r="K529">
        <v>6</v>
      </c>
      <c r="L529">
        <v>276</v>
      </c>
      <c r="M529" t="s">
        <v>57</v>
      </c>
    </row>
    <row r="530" spans="1:13">
      <c r="A530" t="s">
        <v>587</v>
      </c>
      <c r="B530" s="10">
        <v>5</v>
      </c>
      <c r="C530" s="10">
        <v>3.67</v>
      </c>
      <c r="D530" s="10">
        <v>1.6</v>
      </c>
      <c r="E530" s="10">
        <v>14</v>
      </c>
      <c r="F530" s="10">
        <v>6</v>
      </c>
      <c r="G530" s="10">
        <v>0</v>
      </c>
      <c r="H530" s="10">
        <v>3</v>
      </c>
      <c r="I530" s="10">
        <v>2</v>
      </c>
      <c r="J530">
        <v>2015</v>
      </c>
      <c r="K530">
        <v>6</v>
      </c>
      <c r="L530">
        <v>276</v>
      </c>
      <c r="M530" t="s">
        <v>59</v>
      </c>
    </row>
    <row r="531" spans="1:13">
      <c r="A531" t="s">
        <v>588</v>
      </c>
      <c r="B531" s="10">
        <v>4</v>
      </c>
      <c r="C531" s="10">
        <v>3.36</v>
      </c>
      <c r="D531" s="10">
        <v>5</v>
      </c>
      <c r="E531" s="10">
        <v>37</v>
      </c>
      <c r="F531" s="10">
        <v>9</v>
      </c>
      <c r="G531" s="10">
        <v>0</v>
      </c>
      <c r="H531" s="10">
        <v>6</v>
      </c>
      <c r="I531" s="10">
        <v>9</v>
      </c>
      <c r="J531">
        <v>2015</v>
      </c>
      <c r="K531">
        <v>6</v>
      </c>
      <c r="L531">
        <v>276</v>
      </c>
      <c r="M531" t="s">
        <v>61</v>
      </c>
    </row>
    <row r="532" spans="1:13">
      <c r="A532" t="s">
        <v>589</v>
      </c>
      <c r="B532" s="10">
        <v>7</v>
      </c>
      <c r="C532" s="10">
        <v>3.34</v>
      </c>
      <c r="D532" s="10">
        <v>4</v>
      </c>
      <c r="E532" s="10">
        <v>20</v>
      </c>
      <c r="F532" s="10">
        <v>6</v>
      </c>
      <c r="G532" s="10">
        <v>0</v>
      </c>
      <c r="H532" s="10">
        <v>8</v>
      </c>
      <c r="I532" s="10">
        <v>5</v>
      </c>
      <c r="J532">
        <v>2015</v>
      </c>
      <c r="K532">
        <v>6</v>
      </c>
      <c r="L532">
        <v>276</v>
      </c>
      <c r="M532" t="s">
        <v>63</v>
      </c>
    </row>
    <row r="533" spans="1:13">
      <c r="A533" t="s">
        <v>590</v>
      </c>
      <c r="B533" s="10">
        <v>3.66</v>
      </c>
      <c r="C533" s="10">
        <v>3.32</v>
      </c>
      <c r="D533" s="10">
        <v>8.66</v>
      </c>
      <c r="E533" s="10">
        <v>24</v>
      </c>
      <c r="F533" s="10">
        <v>10</v>
      </c>
      <c r="G533" s="10">
        <v>1</v>
      </c>
      <c r="H533" s="10">
        <v>20</v>
      </c>
      <c r="I533" s="10">
        <v>2</v>
      </c>
      <c r="J533">
        <v>2015</v>
      </c>
      <c r="K533">
        <v>6</v>
      </c>
      <c r="L533">
        <v>276</v>
      </c>
      <c r="M533" t="s">
        <v>65</v>
      </c>
    </row>
    <row r="534" spans="1:13">
      <c r="A534" t="s">
        <v>591</v>
      </c>
      <c r="B534" s="10">
        <v>3</v>
      </c>
      <c r="C534" s="10">
        <v>5.33</v>
      </c>
      <c r="D534" s="10">
        <v>7</v>
      </c>
      <c r="E534" s="10">
        <v>24.6</v>
      </c>
      <c r="F534" s="10">
        <v>4</v>
      </c>
      <c r="G534" s="10">
        <v>0</v>
      </c>
      <c r="H534" s="10">
        <v>23</v>
      </c>
      <c r="I534" s="10">
        <v>3.6</v>
      </c>
      <c r="J534">
        <v>2015</v>
      </c>
      <c r="K534">
        <v>6</v>
      </c>
      <c r="L534">
        <v>276</v>
      </c>
      <c r="M534" t="s">
        <v>53</v>
      </c>
    </row>
    <row r="535" spans="1:13">
      <c r="A535" t="s">
        <v>592</v>
      </c>
      <c r="B535" s="10">
        <v>5.33</v>
      </c>
      <c r="C535" s="10">
        <v>4.01</v>
      </c>
      <c r="D535" s="10">
        <v>3.1</v>
      </c>
      <c r="E535" s="10">
        <v>24</v>
      </c>
      <c r="F535" s="10">
        <v>13</v>
      </c>
      <c r="G535" s="10">
        <v>2</v>
      </c>
      <c r="H535" s="10">
        <v>10</v>
      </c>
      <c r="I535" s="10">
        <v>6.3</v>
      </c>
      <c r="J535">
        <v>2015</v>
      </c>
      <c r="K535">
        <v>6</v>
      </c>
      <c r="L535">
        <v>276</v>
      </c>
      <c r="M535" t="s">
        <v>55</v>
      </c>
    </row>
    <row r="536" spans="1:13">
      <c r="A536" t="s">
        <v>593</v>
      </c>
      <c r="B536" s="10">
        <v>9.34</v>
      </c>
      <c r="C536" s="10">
        <v>3</v>
      </c>
      <c r="D536" s="10">
        <v>3</v>
      </c>
      <c r="E536" s="10">
        <v>26.8</v>
      </c>
      <c r="F536" s="10">
        <v>5</v>
      </c>
      <c r="G536" s="10">
        <v>0</v>
      </c>
      <c r="H536" s="10">
        <v>10</v>
      </c>
      <c r="I536" s="10">
        <v>7</v>
      </c>
      <c r="J536">
        <v>2015</v>
      </c>
      <c r="K536">
        <v>6</v>
      </c>
      <c r="L536">
        <v>276</v>
      </c>
      <c r="M536" t="s">
        <v>57</v>
      </c>
    </row>
    <row r="537" spans="1:13">
      <c r="A537" t="s">
        <v>594</v>
      </c>
      <c r="B537" s="10">
        <v>9.34</v>
      </c>
      <c r="C537" s="10">
        <v>0.68</v>
      </c>
      <c r="D537" s="10">
        <v>5</v>
      </c>
      <c r="E537" s="10">
        <v>18</v>
      </c>
      <c r="F537" s="10">
        <v>5</v>
      </c>
      <c r="G537" s="10">
        <v>0</v>
      </c>
      <c r="H537" s="10">
        <v>6</v>
      </c>
      <c r="I537" s="10">
        <v>2</v>
      </c>
      <c r="J537">
        <v>2015</v>
      </c>
      <c r="K537">
        <v>6</v>
      </c>
      <c r="L537">
        <v>276</v>
      </c>
      <c r="M537" t="s">
        <v>59</v>
      </c>
    </row>
    <row r="538" spans="1:13">
      <c r="A538" t="s">
        <v>595</v>
      </c>
      <c r="B538" s="10">
        <v>5.17</v>
      </c>
      <c r="C538" s="10">
        <v>6.99</v>
      </c>
      <c r="D538" s="10">
        <v>9.6</v>
      </c>
      <c r="E538" s="10">
        <v>29.062</v>
      </c>
      <c r="F538" s="10">
        <v>0</v>
      </c>
      <c r="G538" s="10">
        <v>0</v>
      </c>
      <c r="H538" s="10">
        <v>1</v>
      </c>
      <c r="I538" s="10">
        <v>5</v>
      </c>
      <c r="J538">
        <v>2015</v>
      </c>
      <c r="K538">
        <v>6</v>
      </c>
      <c r="L538">
        <v>276</v>
      </c>
      <c r="M538" t="s">
        <v>61</v>
      </c>
    </row>
    <row r="539" spans="1:13">
      <c r="A539" t="s">
        <v>596</v>
      </c>
      <c r="B539" s="10">
        <v>4.67</v>
      </c>
      <c r="C539" s="10">
        <v>5.67</v>
      </c>
      <c r="D539" s="10">
        <v>3.5</v>
      </c>
      <c r="E539" s="10">
        <v>19</v>
      </c>
      <c r="F539" s="10">
        <v>7</v>
      </c>
      <c r="G539" s="10">
        <v>0</v>
      </c>
      <c r="H539" s="10">
        <v>5</v>
      </c>
      <c r="I539" s="10">
        <v>5</v>
      </c>
      <c r="J539">
        <v>2015</v>
      </c>
      <c r="K539">
        <v>6</v>
      </c>
      <c r="L539">
        <v>276</v>
      </c>
      <c r="M539" t="s">
        <v>63</v>
      </c>
    </row>
    <row r="540" spans="1:13">
      <c r="A540" t="s">
        <v>597</v>
      </c>
      <c r="B540" s="10">
        <v>3.83</v>
      </c>
      <c r="C540" s="10">
        <v>4</v>
      </c>
      <c r="D540" s="10">
        <v>7</v>
      </c>
      <c r="E540" s="10">
        <v>23.8</v>
      </c>
      <c r="F540" s="10">
        <v>5</v>
      </c>
      <c r="G540" s="10">
        <v>1</v>
      </c>
      <c r="H540" s="10">
        <v>4</v>
      </c>
      <c r="I540" s="10">
        <v>3</v>
      </c>
      <c r="J540">
        <v>2015</v>
      </c>
      <c r="K540">
        <v>6</v>
      </c>
      <c r="L540">
        <v>276</v>
      </c>
      <c r="M540" t="s">
        <v>65</v>
      </c>
    </row>
    <row r="541" spans="1:13">
      <c r="A541" t="s">
        <v>598</v>
      </c>
      <c r="B541" s="10">
        <v>6.33</v>
      </c>
      <c r="C541" s="10">
        <v>4.34</v>
      </c>
      <c r="D541" s="10">
        <v>6</v>
      </c>
      <c r="E541" s="10">
        <v>24.125</v>
      </c>
      <c r="F541" s="10">
        <v>4</v>
      </c>
      <c r="G541" s="10">
        <v>0</v>
      </c>
      <c r="H541" s="10">
        <v>0</v>
      </c>
      <c r="I541" s="10">
        <v>3</v>
      </c>
      <c r="J541">
        <v>2015</v>
      </c>
      <c r="K541">
        <v>6</v>
      </c>
      <c r="L541">
        <v>276</v>
      </c>
      <c r="M541" t="s">
        <v>53</v>
      </c>
    </row>
    <row r="542" spans="1:13">
      <c r="A542" t="s">
        <v>599</v>
      </c>
      <c r="B542" s="10">
        <v>7.17</v>
      </c>
      <c r="C542" s="10">
        <v>0.33</v>
      </c>
      <c r="D542" s="10">
        <v>2</v>
      </c>
      <c r="E542" s="10">
        <v>29</v>
      </c>
      <c r="F542" s="10">
        <v>3</v>
      </c>
      <c r="G542" s="10">
        <v>0</v>
      </c>
      <c r="H542" s="10">
        <v>1</v>
      </c>
      <c r="I542" s="10">
        <v>4</v>
      </c>
      <c r="J542">
        <v>2015</v>
      </c>
      <c r="K542">
        <v>6</v>
      </c>
      <c r="L542">
        <v>276</v>
      </c>
      <c r="M542" t="s">
        <v>55</v>
      </c>
    </row>
    <row r="543" spans="1:13">
      <c r="A543" t="s">
        <v>600</v>
      </c>
      <c r="B543" s="10">
        <v>7.33</v>
      </c>
      <c r="C543" s="10">
        <v>3.33</v>
      </c>
      <c r="D543" s="10">
        <v>6</v>
      </c>
      <c r="E543" s="10">
        <v>36</v>
      </c>
      <c r="F543" s="10">
        <v>10</v>
      </c>
      <c r="G543" s="10">
        <v>0</v>
      </c>
      <c r="H543" s="10">
        <v>1</v>
      </c>
      <c r="I543" s="10">
        <v>2</v>
      </c>
      <c r="J543">
        <v>2015</v>
      </c>
      <c r="K543">
        <v>6</v>
      </c>
      <c r="L543">
        <v>276</v>
      </c>
      <c r="M543" t="s">
        <v>57</v>
      </c>
    </row>
    <row r="544" spans="1:13">
      <c r="A544" t="s">
        <v>601</v>
      </c>
      <c r="B544" s="10">
        <v>5.34</v>
      </c>
      <c r="C544" s="10">
        <v>4.65</v>
      </c>
      <c r="D544" s="10">
        <v>7.4</v>
      </c>
      <c r="E544" s="10">
        <v>12</v>
      </c>
      <c r="F544" s="10">
        <v>0</v>
      </c>
      <c r="G544" s="10">
        <v>0</v>
      </c>
      <c r="H544" s="10">
        <v>6</v>
      </c>
      <c r="I544" s="10">
        <v>6</v>
      </c>
      <c r="J544">
        <v>2015</v>
      </c>
      <c r="K544">
        <v>6</v>
      </c>
      <c r="L544">
        <v>276</v>
      </c>
      <c r="M544" t="s">
        <v>59</v>
      </c>
    </row>
    <row r="545" spans="1:13">
      <c r="A545" t="s">
        <v>602</v>
      </c>
      <c r="B545" s="10">
        <v>5.68</v>
      </c>
      <c r="C545" s="10">
        <v>3.66</v>
      </c>
      <c r="D545" s="10">
        <v>4</v>
      </c>
      <c r="E545" s="10">
        <v>22</v>
      </c>
      <c r="F545" s="10">
        <v>15</v>
      </c>
      <c r="G545" s="10">
        <v>0</v>
      </c>
      <c r="H545" s="10">
        <v>11</v>
      </c>
      <c r="I545" s="10">
        <v>3</v>
      </c>
      <c r="J545">
        <v>2015</v>
      </c>
      <c r="K545">
        <v>6</v>
      </c>
      <c r="L545">
        <v>276</v>
      </c>
      <c r="M545" t="s">
        <v>61</v>
      </c>
    </row>
    <row r="546" spans="1:13">
      <c r="A546" t="s">
        <v>603</v>
      </c>
      <c r="B546" s="10">
        <v>1</v>
      </c>
      <c r="C546" s="10">
        <v>4.67</v>
      </c>
      <c r="D546" s="10">
        <v>6</v>
      </c>
      <c r="E546" s="10">
        <v>35</v>
      </c>
      <c r="F546" s="10">
        <v>12</v>
      </c>
      <c r="G546" s="10">
        <v>0</v>
      </c>
      <c r="H546" s="10">
        <v>2</v>
      </c>
      <c r="I546" s="10">
        <v>4.3</v>
      </c>
      <c r="J546">
        <v>2015</v>
      </c>
      <c r="K546">
        <v>6</v>
      </c>
      <c r="L546">
        <v>276</v>
      </c>
      <c r="M546" t="s">
        <v>63</v>
      </c>
    </row>
    <row r="547" spans="1:13">
      <c r="A547" t="s">
        <v>604</v>
      </c>
      <c r="B547" s="10">
        <v>8.83</v>
      </c>
      <c r="C547" s="10">
        <v>5.68</v>
      </c>
      <c r="D547" s="10">
        <v>5.4</v>
      </c>
      <c r="E547" s="10">
        <v>18.25</v>
      </c>
      <c r="F547" s="10">
        <v>14</v>
      </c>
      <c r="G547" s="10">
        <v>1</v>
      </c>
      <c r="H547" s="10">
        <v>12</v>
      </c>
      <c r="I547" s="10">
        <v>10</v>
      </c>
      <c r="J547">
        <v>2015</v>
      </c>
      <c r="K547">
        <v>7</v>
      </c>
      <c r="L547">
        <v>276</v>
      </c>
      <c r="M547" t="s">
        <v>65</v>
      </c>
    </row>
    <row r="548" spans="1:13">
      <c r="A548" t="s">
        <v>605</v>
      </c>
      <c r="B548" s="10">
        <v>3</v>
      </c>
      <c r="C548" s="10">
        <v>2</v>
      </c>
      <c r="D548" s="10">
        <v>1</v>
      </c>
      <c r="E548" s="10">
        <v>23.15</v>
      </c>
      <c r="F548" s="10">
        <v>3</v>
      </c>
      <c r="G548" s="10">
        <v>0</v>
      </c>
      <c r="H548" s="10">
        <v>1</v>
      </c>
      <c r="I548" s="10">
        <v>2</v>
      </c>
      <c r="J548">
        <v>2015</v>
      </c>
      <c r="K548">
        <v>7</v>
      </c>
      <c r="L548">
        <v>276</v>
      </c>
      <c r="M548" t="s">
        <v>53</v>
      </c>
    </row>
    <row r="549" spans="1:13">
      <c r="A549" t="s">
        <v>606</v>
      </c>
      <c r="B549" s="10">
        <v>5.5</v>
      </c>
      <c r="C549" s="10">
        <v>4.33</v>
      </c>
      <c r="D549" s="10">
        <v>3.5</v>
      </c>
      <c r="E549" s="10">
        <v>24.5</v>
      </c>
      <c r="F549" s="10">
        <v>10</v>
      </c>
      <c r="G549" s="10">
        <v>0</v>
      </c>
      <c r="H549" s="10">
        <v>8</v>
      </c>
      <c r="I549" s="10">
        <v>4</v>
      </c>
      <c r="J549">
        <v>2015</v>
      </c>
      <c r="K549">
        <v>7</v>
      </c>
      <c r="L549">
        <v>276</v>
      </c>
      <c r="M549" t="s">
        <v>55</v>
      </c>
    </row>
    <row r="550" spans="1:13">
      <c r="A550" t="s">
        <v>607</v>
      </c>
      <c r="B550" s="10">
        <v>7.35</v>
      </c>
      <c r="C550" s="10">
        <v>2.34</v>
      </c>
      <c r="D550" s="10">
        <v>4.2</v>
      </c>
      <c r="E550" s="10">
        <v>15.2</v>
      </c>
      <c r="F550" s="10">
        <v>2</v>
      </c>
      <c r="G550" s="10">
        <v>0</v>
      </c>
      <c r="H550" s="10">
        <v>0</v>
      </c>
      <c r="I550" s="10">
        <v>3</v>
      </c>
      <c r="J550">
        <v>2015</v>
      </c>
      <c r="K550">
        <v>7</v>
      </c>
      <c r="L550">
        <v>276</v>
      </c>
      <c r="M550" t="s">
        <v>57</v>
      </c>
    </row>
    <row r="551" spans="1:13">
      <c r="A551" t="s">
        <v>608</v>
      </c>
      <c r="B551" s="10">
        <v>5</v>
      </c>
      <c r="C551" s="10">
        <v>4.34</v>
      </c>
      <c r="D551" s="10">
        <v>4.2</v>
      </c>
      <c r="E551" s="10">
        <v>14</v>
      </c>
      <c r="F551" s="10">
        <v>10</v>
      </c>
      <c r="G551" s="10">
        <v>0</v>
      </c>
      <c r="H551" s="10">
        <v>1</v>
      </c>
      <c r="I551" s="10">
        <v>4</v>
      </c>
      <c r="J551">
        <v>2015</v>
      </c>
      <c r="K551">
        <v>7</v>
      </c>
      <c r="L551">
        <v>276</v>
      </c>
      <c r="M551" t="s">
        <v>59</v>
      </c>
    </row>
    <row r="552" spans="1:13">
      <c r="A552" t="s">
        <v>609</v>
      </c>
      <c r="B552" s="10">
        <v>5.5</v>
      </c>
      <c r="C552" s="10">
        <v>4.68</v>
      </c>
      <c r="D552" s="10">
        <v>2</v>
      </c>
      <c r="E552" s="10">
        <v>20</v>
      </c>
      <c r="F552" s="10">
        <v>8</v>
      </c>
      <c r="G552" s="10">
        <v>0</v>
      </c>
      <c r="H552" s="10">
        <v>3</v>
      </c>
      <c r="I552" s="10">
        <v>3</v>
      </c>
      <c r="J552">
        <v>2015</v>
      </c>
      <c r="K552">
        <v>7</v>
      </c>
      <c r="L552">
        <v>276</v>
      </c>
      <c r="M552" t="s">
        <v>61</v>
      </c>
    </row>
    <row r="553" spans="1:13">
      <c r="A553" t="s">
        <v>610</v>
      </c>
      <c r="B553" s="10">
        <v>4.84</v>
      </c>
      <c r="C553" s="10">
        <v>4.68</v>
      </c>
      <c r="D553" s="10">
        <v>2.3</v>
      </c>
      <c r="E553" s="10">
        <v>19.6</v>
      </c>
      <c r="F553" s="10">
        <v>5</v>
      </c>
      <c r="G553" s="10">
        <v>0</v>
      </c>
      <c r="H553" s="10">
        <v>3</v>
      </c>
      <c r="I553" s="10">
        <v>7</v>
      </c>
      <c r="J553">
        <v>2015</v>
      </c>
      <c r="K553">
        <v>7</v>
      </c>
      <c r="L553">
        <v>276</v>
      </c>
      <c r="M553" t="s">
        <v>63</v>
      </c>
    </row>
    <row r="554" spans="1:13">
      <c r="A554" t="s">
        <v>611</v>
      </c>
      <c r="B554" s="10">
        <v>2</v>
      </c>
      <c r="C554" s="10">
        <v>1.35</v>
      </c>
      <c r="D554" s="10">
        <v>3</v>
      </c>
      <c r="E554" s="10">
        <v>18.6</v>
      </c>
      <c r="F554" s="10">
        <v>6</v>
      </c>
      <c r="G554" s="10">
        <v>0</v>
      </c>
      <c r="H554" s="10">
        <v>5</v>
      </c>
      <c r="I554" s="10">
        <v>3</v>
      </c>
      <c r="J554">
        <v>2015</v>
      </c>
      <c r="K554">
        <v>7</v>
      </c>
      <c r="L554">
        <v>276</v>
      </c>
      <c r="M554" t="s">
        <v>65</v>
      </c>
    </row>
    <row r="555" spans="1:13">
      <c r="A555" t="s">
        <v>612</v>
      </c>
      <c r="B555" s="10">
        <v>2.34</v>
      </c>
      <c r="C555" s="10">
        <v>1.67</v>
      </c>
      <c r="D555" s="10">
        <v>2</v>
      </c>
      <c r="E555" s="10">
        <v>32.75</v>
      </c>
      <c r="F555" s="10">
        <v>4</v>
      </c>
      <c r="G555" s="10">
        <v>0</v>
      </c>
      <c r="H555" s="10">
        <v>0</v>
      </c>
      <c r="I555" s="10">
        <v>5</v>
      </c>
      <c r="J555">
        <v>2015</v>
      </c>
      <c r="K555">
        <v>7</v>
      </c>
      <c r="L555">
        <v>276</v>
      </c>
      <c r="M555" t="s">
        <v>53</v>
      </c>
    </row>
    <row r="556" spans="1:13">
      <c r="A556" t="s">
        <v>613</v>
      </c>
      <c r="B556" s="10">
        <v>5.5</v>
      </c>
      <c r="C556" s="10">
        <v>6.34</v>
      </c>
      <c r="D556" s="10">
        <v>5</v>
      </c>
      <c r="E556" s="10">
        <v>37</v>
      </c>
      <c r="F556" s="10">
        <v>15</v>
      </c>
      <c r="G556" s="10">
        <v>0</v>
      </c>
      <c r="H556" s="10">
        <v>8</v>
      </c>
      <c r="I556" s="10">
        <v>6</v>
      </c>
      <c r="J556">
        <v>2015</v>
      </c>
      <c r="K556">
        <v>7</v>
      </c>
      <c r="L556">
        <v>276</v>
      </c>
      <c r="M556" t="s">
        <v>55</v>
      </c>
    </row>
    <row r="557" spans="1:13">
      <c r="A557" t="s">
        <v>614</v>
      </c>
      <c r="B557" s="10">
        <v>4</v>
      </c>
      <c r="C557" s="10">
        <v>2.33</v>
      </c>
      <c r="D557" s="10">
        <v>4.9</v>
      </c>
      <c r="E557" s="10">
        <v>45</v>
      </c>
      <c r="F557" s="10">
        <v>9</v>
      </c>
      <c r="G557" s="10">
        <v>0</v>
      </c>
      <c r="H557" s="10">
        <v>2</v>
      </c>
      <c r="I557" s="10">
        <v>10</v>
      </c>
      <c r="J557">
        <v>2015</v>
      </c>
      <c r="K557">
        <v>7</v>
      </c>
      <c r="L557">
        <v>276</v>
      </c>
      <c r="M557" t="s">
        <v>57</v>
      </c>
    </row>
    <row r="558" spans="1:13">
      <c r="A558" t="s">
        <v>615</v>
      </c>
      <c r="B558" s="10">
        <v>6.33</v>
      </c>
      <c r="C558" s="10">
        <v>5.33</v>
      </c>
      <c r="D558" s="10">
        <v>5</v>
      </c>
      <c r="E558" s="10">
        <v>25.3</v>
      </c>
      <c r="F558" s="10">
        <v>5</v>
      </c>
      <c r="G558" s="10">
        <v>0</v>
      </c>
      <c r="H558" s="10">
        <v>0</v>
      </c>
      <c r="I558" s="10">
        <v>6.5</v>
      </c>
      <c r="J558">
        <v>2015</v>
      </c>
      <c r="K558">
        <v>7</v>
      </c>
      <c r="L558">
        <v>276</v>
      </c>
      <c r="M558" t="s">
        <v>59</v>
      </c>
    </row>
    <row r="559" spans="1:13">
      <c r="A559" t="s">
        <v>616</v>
      </c>
      <c r="B559" s="10">
        <v>3.68</v>
      </c>
      <c r="C559" s="10">
        <v>0.66</v>
      </c>
      <c r="D559" s="10">
        <v>8</v>
      </c>
      <c r="E559" s="10">
        <v>22.55</v>
      </c>
      <c r="F559" s="10">
        <v>5</v>
      </c>
      <c r="G559" s="10">
        <v>0</v>
      </c>
      <c r="H559" s="10">
        <v>0</v>
      </c>
      <c r="I559" s="10">
        <v>3</v>
      </c>
      <c r="J559">
        <v>2015</v>
      </c>
      <c r="K559">
        <v>7</v>
      </c>
      <c r="L559">
        <v>276</v>
      </c>
      <c r="M559" t="s">
        <v>61</v>
      </c>
    </row>
    <row r="560" spans="1:13">
      <c r="A560" t="s">
        <v>617</v>
      </c>
      <c r="B560" s="10">
        <v>0.34</v>
      </c>
      <c r="C560" s="10">
        <v>4.33</v>
      </c>
      <c r="D560" s="10">
        <v>5</v>
      </c>
      <c r="E560" s="10">
        <v>14</v>
      </c>
      <c r="F560" s="10">
        <v>1</v>
      </c>
      <c r="G560" s="10">
        <v>0</v>
      </c>
      <c r="H560" s="10">
        <v>2</v>
      </c>
      <c r="I560" s="10">
        <v>2</v>
      </c>
      <c r="J560">
        <v>2015</v>
      </c>
      <c r="K560">
        <v>7</v>
      </c>
      <c r="L560">
        <v>276</v>
      </c>
      <c r="M560" t="s">
        <v>63</v>
      </c>
    </row>
    <row r="561" spans="1:13">
      <c r="A561" t="s">
        <v>618</v>
      </c>
      <c r="B561" s="10">
        <v>8.49</v>
      </c>
      <c r="C561" s="10">
        <v>1.66</v>
      </c>
      <c r="D561" s="10">
        <v>4</v>
      </c>
      <c r="E561" s="10">
        <v>20.2</v>
      </c>
      <c r="F561" s="10">
        <v>5</v>
      </c>
      <c r="G561" s="10">
        <v>0</v>
      </c>
      <c r="H561" s="10">
        <v>1</v>
      </c>
      <c r="I561" s="10">
        <v>9</v>
      </c>
      <c r="J561">
        <v>2015</v>
      </c>
      <c r="K561">
        <v>7</v>
      </c>
      <c r="L561">
        <v>276</v>
      </c>
      <c r="M561" t="s">
        <v>65</v>
      </c>
    </row>
    <row r="562" spans="1:13">
      <c r="A562" t="s">
        <v>619</v>
      </c>
      <c r="B562" s="10">
        <v>8.34</v>
      </c>
      <c r="C562" s="10">
        <v>3.33</v>
      </c>
      <c r="D562" s="10">
        <v>1</v>
      </c>
      <c r="E562" s="10">
        <v>18</v>
      </c>
      <c r="F562" s="10">
        <v>3</v>
      </c>
      <c r="G562" s="10">
        <v>0</v>
      </c>
      <c r="H562" s="10">
        <v>2</v>
      </c>
      <c r="I562" s="10">
        <v>4</v>
      </c>
      <c r="J562">
        <v>2015</v>
      </c>
      <c r="K562">
        <v>7</v>
      </c>
      <c r="L562">
        <v>276</v>
      </c>
      <c r="M562" t="s">
        <v>53</v>
      </c>
    </row>
    <row r="563" spans="1:13">
      <c r="A563" t="s">
        <v>620</v>
      </c>
      <c r="B563" s="10">
        <v>2.5</v>
      </c>
      <c r="C563" s="10">
        <v>1.33</v>
      </c>
      <c r="D563" s="10">
        <v>1</v>
      </c>
      <c r="E563" s="10">
        <v>28</v>
      </c>
      <c r="F563" s="10">
        <v>3</v>
      </c>
      <c r="G563" s="10">
        <v>0</v>
      </c>
      <c r="H563" s="10">
        <v>0</v>
      </c>
      <c r="I563" s="10">
        <v>2.3</v>
      </c>
      <c r="J563">
        <v>2015</v>
      </c>
      <c r="K563">
        <v>7</v>
      </c>
      <c r="L563">
        <v>276</v>
      </c>
      <c r="M563" t="s">
        <v>55</v>
      </c>
    </row>
    <row r="564" spans="1:13">
      <c r="A564" t="s">
        <v>621</v>
      </c>
      <c r="B564" s="10">
        <v>3.68</v>
      </c>
      <c r="C564" s="10">
        <v>7.38</v>
      </c>
      <c r="D564" s="10">
        <v>2</v>
      </c>
      <c r="E564" s="10">
        <v>25</v>
      </c>
      <c r="F564" s="10">
        <v>8</v>
      </c>
      <c r="G564" s="10">
        <v>3</v>
      </c>
      <c r="H564" s="10">
        <v>1</v>
      </c>
      <c r="I564" s="10">
        <v>3</v>
      </c>
      <c r="J564">
        <v>2015</v>
      </c>
      <c r="K564">
        <v>7</v>
      </c>
      <c r="L564">
        <v>276</v>
      </c>
      <c r="M564" t="s">
        <v>57</v>
      </c>
    </row>
    <row r="565" spans="1:13">
      <c r="A565" t="s">
        <v>622</v>
      </c>
      <c r="B565" s="10">
        <v>11.68</v>
      </c>
      <c r="C565" s="10">
        <v>1.68</v>
      </c>
      <c r="D565" s="10">
        <v>2</v>
      </c>
      <c r="E565" s="10">
        <v>15</v>
      </c>
      <c r="F565" s="10">
        <v>1</v>
      </c>
      <c r="G565" s="10">
        <v>0</v>
      </c>
      <c r="H565" s="10">
        <v>1</v>
      </c>
      <c r="I565" s="10">
        <v>3</v>
      </c>
      <c r="J565">
        <v>2015</v>
      </c>
      <c r="K565">
        <v>7</v>
      </c>
      <c r="L565">
        <v>276</v>
      </c>
      <c r="M565" t="s">
        <v>59</v>
      </c>
    </row>
    <row r="566" spans="1:13">
      <c r="A566" t="s">
        <v>623</v>
      </c>
      <c r="B566" s="10">
        <v>5.84</v>
      </c>
      <c r="C566" s="10">
        <v>4.67</v>
      </c>
      <c r="D566" s="10">
        <v>5</v>
      </c>
      <c r="E566" s="10">
        <v>41</v>
      </c>
      <c r="F566" s="10">
        <v>4</v>
      </c>
      <c r="G566" s="10">
        <v>0</v>
      </c>
      <c r="H566" s="10">
        <v>0</v>
      </c>
      <c r="I566" s="10">
        <v>2</v>
      </c>
      <c r="J566">
        <v>2015</v>
      </c>
      <c r="K566">
        <v>7</v>
      </c>
      <c r="L566">
        <v>276</v>
      </c>
      <c r="M566" t="s">
        <v>61</v>
      </c>
    </row>
    <row r="567" spans="1:13">
      <c r="A567" t="s">
        <v>624</v>
      </c>
      <c r="B567" s="10">
        <v>4.68</v>
      </c>
      <c r="C567" s="10">
        <v>1</v>
      </c>
      <c r="D567" s="10">
        <v>3.2</v>
      </c>
      <c r="E567" s="10">
        <v>14.25</v>
      </c>
      <c r="F567" s="10">
        <v>7</v>
      </c>
      <c r="G567" s="10">
        <v>0</v>
      </c>
      <c r="H567" s="10">
        <v>1</v>
      </c>
      <c r="I567" s="10">
        <v>4</v>
      </c>
      <c r="J567">
        <v>2015</v>
      </c>
      <c r="K567">
        <v>7</v>
      </c>
      <c r="L567">
        <v>276</v>
      </c>
      <c r="M567" t="s">
        <v>63</v>
      </c>
    </row>
    <row r="568" spans="1:13">
      <c r="A568" t="s">
        <v>625</v>
      </c>
      <c r="B568" s="10">
        <v>9.33</v>
      </c>
      <c r="C568" s="10">
        <v>0.34</v>
      </c>
      <c r="D568" s="10">
        <v>5</v>
      </c>
      <c r="E568" s="10">
        <v>22</v>
      </c>
      <c r="F568" s="10">
        <v>10</v>
      </c>
      <c r="G568" s="10">
        <v>0</v>
      </c>
      <c r="H568" s="10">
        <v>5</v>
      </c>
      <c r="I568" s="10">
        <v>3</v>
      </c>
      <c r="J568">
        <v>2015</v>
      </c>
      <c r="K568">
        <v>7</v>
      </c>
      <c r="L568">
        <v>276</v>
      </c>
      <c r="M568" t="s">
        <v>65</v>
      </c>
    </row>
    <row r="569" spans="1:13">
      <c r="A569" t="s">
        <v>626</v>
      </c>
      <c r="B569" s="10">
        <v>1.5</v>
      </c>
      <c r="C569" s="10">
        <v>4</v>
      </c>
      <c r="D569" s="10">
        <v>3</v>
      </c>
      <c r="E569" s="10">
        <v>14</v>
      </c>
      <c r="F569" s="10">
        <v>3</v>
      </c>
      <c r="G569" s="10">
        <v>0</v>
      </c>
      <c r="H569" s="10">
        <v>0</v>
      </c>
      <c r="I569" s="10">
        <v>2</v>
      </c>
      <c r="J569">
        <v>2015</v>
      </c>
      <c r="K569">
        <v>7</v>
      </c>
      <c r="L569">
        <v>276</v>
      </c>
      <c r="M569" t="s">
        <v>53</v>
      </c>
    </row>
    <row r="570" spans="1:13">
      <c r="A570" t="s">
        <v>627</v>
      </c>
      <c r="B570" s="10">
        <v>6</v>
      </c>
      <c r="C570" s="10">
        <v>6.34</v>
      </c>
      <c r="D570" s="10">
        <v>3.6</v>
      </c>
      <c r="E570" s="10">
        <v>29.6</v>
      </c>
      <c r="F570" s="10">
        <v>9</v>
      </c>
      <c r="G570" s="10">
        <v>1</v>
      </c>
      <c r="H570" s="10">
        <v>1</v>
      </c>
      <c r="I570" s="10">
        <v>10</v>
      </c>
      <c r="J570">
        <v>2015</v>
      </c>
      <c r="K570">
        <v>7</v>
      </c>
      <c r="L570">
        <v>276</v>
      </c>
      <c r="M570" t="s">
        <v>55</v>
      </c>
    </row>
    <row r="571" spans="1:13">
      <c r="A571" t="s">
        <v>628</v>
      </c>
      <c r="B571" s="10">
        <v>4</v>
      </c>
      <c r="C571" s="10">
        <v>4</v>
      </c>
      <c r="D571" s="10">
        <v>5</v>
      </c>
      <c r="E571" s="10">
        <v>22</v>
      </c>
      <c r="F571" s="10">
        <v>7</v>
      </c>
      <c r="G571" s="10">
        <v>1</v>
      </c>
      <c r="H571" s="10">
        <v>0</v>
      </c>
      <c r="I571" s="10">
        <v>4</v>
      </c>
      <c r="J571">
        <v>2015</v>
      </c>
      <c r="K571">
        <v>7</v>
      </c>
      <c r="L571">
        <v>276</v>
      </c>
      <c r="M571" t="s">
        <v>57</v>
      </c>
    </row>
    <row r="572" spans="1:13">
      <c r="A572" t="s">
        <v>629</v>
      </c>
      <c r="B572" s="10">
        <v>5</v>
      </c>
      <c r="C572" s="10">
        <v>2.99</v>
      </c>
      <c r="D572" s="10">
        <v>3</v>
      </c>
      <c r="E572" s="10">
        <v>29</v>
      </c>
      <c r="F572" s="10">
        <v>4</v>
      </c>
      <c r="G572" s="10">
        <v>0</v>
      </c>
      <c r="H572" s="10">
        <v>0</v>
      </c>
      <c r="I572" s="10">
        <v>0</v>
      </c>
      <c r="J572">
        <v>2015</v>
      </c>
      <c r="K572">
        <v>7</v>
      </c>
      <c r="L572">
        <v>276</v>
      </c>
      <c r="M572" t="s">
        <v>59</v>
      </c>
    </row>
    <row r="573" spans="1:13">
      <c r="A573" t="s">
        <v>630</v>
      </c>
      <c r="B573" s="10">
        <v>7.34</v>
      </c>
      <c r="C573" s="10">
        <v>3.34</v>
      </c>
      <c r="D573" s="10">
        <v>7</v>
      </c>
      <c r="E573" s="10">
        <v>24</v>
      </c>
      <c r="F573" s="10">
        <v>9</v>
      </c>
      <c r="G573" s="10">
        <v>0</v>
      </c>
      <c r="H573" s="10">
        <v>0</v>
      </c>
      <c r="I573" s="10">
        <v>1.5</v>
      </c>
      <c r="J573">
        <v>2015</v>
      </c>
      <c r="K573">
        <v>7</v>
      </c>
      <c r="L573">
        <v>276</v>
      </c>
      <c r="M573" t="s">
        <v>61</v>
      </c>
    </row>
    <row r="574" spans="1:13">
      <c r="A574" t="s">
        <v>631</v>
      </c>
      <c r="B574" s="10">
        <v>14.18</v>
      </c>
      <c r="C574" s="10">
        <v>6.02</v>
      </c>
      <c r="D574" s="10">
        <v>1</v>
      </c>
      <c r="E574" s="10">
        <v>15.2</v>
      </c>
      <c r="F574" s="10">
        <v>14</v>
      </c>
      <c r="G574" s="10">
        <v>0</v>
      </c>
      <c r="H574" s="10">
        <v>1</v>
      </c>
      <c r="I574" s="10">
        <v>3</v>
      </c>
      <c r="J574">
        <v>2015</v>
      </c>
      <c r="K574">
        <v>7</v>
      </c>
      <c r="L574">
        <v>276</v>
      </c>
      <c r="M574" t="s">
        <v>63</v>
      </c>
    </row>
    <row r="575" spans="1:13">
      <c r="A575" t="s">
        <v>632</v>
      </c>
      <c r="B575" s="10">
        <v>10.34</v>
      </c>
      <c r="C575" s="10">
        <v>3.34</v>
      </c>
      <c r="D575" s="10">
        <v>4</v>
      </c>
      <c r="E575" s="10">
        <v>21.378</v>
      </c>
      <c r="F575" s="10">
        <v>8</v>
      </c>
      <c r="G575" s="10">
        <v>0</v>
      </c>
      <c r="H575" s="10">
        <v>2</v>
      </c>
      <c r="I575" s="10">
        <v>1</v>
      </c>
      <c r="J575">
        <v>2015</v>
      </c>
      <c r="K575">
        <v>7</v>
      </c>
      <c r="L575">
        <v>276</v>
      </c>
      <c r="M575" t="s">
        <v>65</v>
      </c>
    </row>
    <row r="576" spans="1:13">
      <c r="A576" t="s">
        <v>633</v>
      </c>
      <c r="B576" s="10">
        <v>3</v>
      </c>
      <c r="C576" s="10">
        <v>3.33</v>
      </c>
      <c r="D576" s="10">
        <v>14</v>
      </c>
      <c r="E576" s="10">
        <v>16.3</v>
      </c>
      <c r="F576" s="10">
        <v>3</v>
      </c>
      <c r="G576" s="10">
        <v>0</v>
      </c>
      <c r="H576" s="10">
        <v>0</v>
      </c>
      <c r="I576" s="10">
        <v>4</v>
      </c>
      <c r="J576">
        <v>2015</v>
      </c>
      <c r="K576">
        <v>7</v>
      </c>
      <c r="L576">
        <v>276</v>
      </c>
      <c r="M576" t="s">
        <v>53</v>
      </c>
    </row>
    <row r="577" spans="1:13">
      <c r="A577" t="s">
        <v>634</v>
      </c>
      <c r="B577" s="10">
        <v>5.5</v>
      </c>
      <c r="C577" s="10">
        <v>9</v>
      </c>
      <c r="D577" s="10">
        <v>6.2</v>
      </c>
      <c r="E577" s="10">
        <v>24</v>
      </c>
      <c r="F577" s="10">
        <v>8</v>
      </c>
      <c r="G577" s="10">
        <v>0</v>
      </c>
      <c r="H577" s="10">
        <v>0</v>
      </c>
      <c r="I577" s="10">
        <v>6</v>
      </c>
      <c r="J577">
        <v>2015</v>
      </c>
      <c r="K577">
        <v>7</v>
      </c>
      <c r="L577">
        <v>276</v>
      </c>
      <c r="M577" t="s">
        <v>55</v>
      </c>
    </row>
    <row r="578" spans="1:13">
      <c r="A578" t="s">
        <v>635</v>
      </c>
      <c r="B578" s="10">
        <v>5</v>
      </c>
      <c r="C578" s="10">
        <v>5</v>
      </c>
      <c r="D578" s="10">
        <v>4</v>
      </c>
      <c r="E578" s="10">
        <v>19</v>
      </c>
      <c r="F578" s="10">
        <v>14</v>
      </c>
      <c r="G578" s="10">
        <v>0</v>
      </c>
      <c r="H578" s="10">
        <v>0</v>
      </c>
      <c r="I578" s="10">
        <v>2</v>
      </c>
      <c r="J578">
        <v>2015</v>
      </c>
      <c r="K578">
        <v>8</v>
      </c>
      <c r="L578">
        <v>276</v>
      </c>
      <c r="M578" t="s">
        <v>57</v>
      </c>
    </row>
    <row r="579" spans="1:13">
      <c r="A579" t="s">
        <v>636</v>
      </c>
      <c r="B579" s="10">
        <v>5</v>
      </c>
      <c r="C579" s="10">
        <v>6.7</v>
      </c>
      <c r="D579" s="10">
        <v>4</v>
      </c>
      <c r="E579" s="10">
        <v>15</v>
      </c>
      <c r="F579" s="10">
        <v>9</v>
      </c>
      <c r="G579" s="10">
        <v>0</v>
      </c>
      <c r="H579" s="10">
        <v>0</v>
      </c>
      <c r="I579" s="10">
        <v>2</v>
      </c>
      <c r="J579">
        <v>2015</v>
      </c>
      <c r="K579">
        <v>8</v>
      </c>
      <c r="L579">
        <v>276</v>
      </c>
      <c r="M579" t="s">
        <v>59</v>
      </c>
    </row>
    <row r="580" spans="1:13">
      <c r="A580" t="s">
        <v>637</v>
      </c>
      <c r="B580" s="10">
        <v>1.5</v>
      </c>
      <c r="C580" s="10">
        <v>2.33</v>
      </c>
      <c r="D580" s="10">
        <v>1.5</v>
      </c>
      <c r="E580" s="10">
        <v>23</v>
      </c>
      <c r="F580" s="10">
        <v>3.5</v>
      </c>
      <c r="G580" s="10">
        <v>1</v>
      </c>
      <c r="H580" s="10">
        <v>5</v>
      </c>
      <c r="I580" s="10">
        <v>1</v>
      </c>
      <c r="J580">
        <v>2015</v>
      </c>
      <c r="K580">
        <v>8</v>
      </c>
      <c r="L580">
        <v>276</v>
      </c>
      <c r="M580" t="s">
        <v>61</v>
      </c>
    </row>
    <row r="581" spans="1:13">
      <c r="A581" t="s">
        <v>638</v>
      </c>
      <c r="B581" s="10">
        <v>6.34</v>
      </c>
      <c r="C581" s="10">
        <v>2.33</v>
      </c>
      <c r="D581" s="10">
        <v>3</v>
      </c>
      <c r="E581" s="10">
        <v>23</v>
      </c>
      <c r="F581" s="10">
        <v>5</v>
      </c>
      <c r="G581" s="10">
        <v>1</v>
      </c>
      <c r="H581" s="10">
        <v>0</v>
      </c>
      <c r="I581" s="10">
        <v>4</v>
      </c>
      <c r="J581">
        <v>2015</v>
      </c>
      <c r="K581">
        <v>8</v>
      </c>
      <c r="L581">
        <v>276</v>
      </c>
      <c r="M581" t="s">
        <v>63</v>
      </c>
    </row>
    <row r="582" spans="1:13">
      <c r="A582" t="s">
        <v>639</v>
      </c>
      <c r="B582" s="10">
        <v>5</v>
      </c>
      <c r="C582" s="10">
        <v>3.33</v>
      </c>
      <c r="D582" s="10">
        <v>4.2</v>
      </c>
      <c r="E582" s="10">
        <v>22.2</v>
      </c>
      <c r="F582" s="10">
        <v>3.5</v>
      </c>
      <c r="G582" s="10">
        <v>0</v>
      </c>
      <c r="H582" s="10">
        <v>0</v>
      </c>
      <c r="I582" s="10">
        <v>1</v>
      </c>
      <c r="J582">
        <v>2015</v>
      </c>
      <c r="K582">
        <v>8</v>
      </c>
      <c r="L582">
        <v>276</v>
      </c>
      <c r="M582" t="s">
        <v>65</v>
      </c>
    </row>
    <row r="583" spans="1:13">
      <c r="A583" t="s">
        <v>640</v>
      </c>
      <c r="B583" s="10">
        <v>5.33</v>
      </c>
      <c r="C583" s="10">
        <v>1.67</v>
      </c>
      <c r="D583" s="10">
        <v>8</v>
      </c>
      <c r="E583" s="10">
        <v>35</v>
      </c>
      <c r="F583" s="10">
        <v>11</v>
      </c>
      <c r="G583" s="10">
        <v>0</v>
      </c>
      <c r="H583" s="10">
        <v>3</v>
      </c>
      <c r="I583" s="10">
        <v>2</v>
      </c>
      <c r="J583">
        <v>2015</v>
      </c>
      <c r="K583">
        <v>8</v>
      </c>
      <c r="L583">
        <v>276</v>
      </c>
      <c r="M583" t="s">
        <v>53</v>
      </c>
    </row>
    <row r="584" spans="1:13">
      <c r="A584" t="s">
        <v>641</v>
      </c>
      <c r="B584" s="10">
        <v>4.33</v>
      </c>
      <c r="C584" s="10">
        <v>4</v>
      </c>
      <c r="D584" s="10">
        <v>6</v>
      </c>
      <c r="E584" s="10">
        <v>22</v>
      </c>
      <c r="F584" s="10">
        <v>9</v>
      </c>
      <c r="G584" s="10">
        <v>2</v>
      </c>
      <c r="H584" s="10">
        <v>1</v>
      </c>
      <c r="I584" s="10">
        <v>6</v>
      </c>
      <c r="J584">
        <v>2015</v>
      </c>
      <c r="K584">
        <v>8</v>
      </c>
      <c r="L584">
        <v>276</v>
      </c>
      <c r="M584" t="s">
        <v>55</v>
      </c>
    </row>
    <row r="585" spans="1:13">
      <c r="A585" t="s">
        <v>642</v>
      </c>
      <c r="B585" s="10">
        <v>6.33</v>
      </c>
      <c r="C585" s="10">
        <v>5.33</v>
      </c>
      <c r="D585" s="10">
        <v>7</v>
      </c>
      <c r="E585" s="10">
        <v>22</v>
      </c>
      <c r="F585" s="10">
        <v>5</v>
      </c>
      <c r="G585" s="10">
        <v>0</v>
      </c>
      <c r="H585" s="10">
        <v>0</v>
      </c>
      <c r="I585" s="10">
        <v>0.7</v>
      </c>
      <c r="J585">
        <v>2015</v>
      </c>
      <c r="K585">
        <v>8</v>
      </c>
      <c r="L585">
        <v>276</v>
      </c>
      <c r="M585" t="s">
        <v>57</v>
      </c>
    </row>
    <row r="586" spans="1:13">
      <c r="A586" t="s">
        <v>643</v>
      </c>
      <c r="B586" s="10">
        <v>5</v>
      </c>
      <c r="C586" s="10">
        <v>3.66</v>
      </c>
      <c r="D586" s="10">
        <v>2</v>
      </c>
      <c r="E586" s="10">
        <v>21</v>
      </c>
      <c r="F586" s="10">
        <v>5</v>
      </c>
      <c r="G586" s="10">
        <v>0</v>
      </c>
      <c r="H586" s="10">
        <v>2</v>
      </c>
      <c r="I586" s="10">
        <v>3</v>
      </c>
      <c r="J586">
        <v>2015</v>
      </c>
      <c r="K586">
        <v>8</v>
      </c>
      <c r="L586">
        <v>276</v>
      </c>
      <c r="M586" t="s">
        <v>59</v>
      </c>
    </row>
    <row r="587" spans="1:13">
      <c r="A587" t="s">
        <v>644</v>
      </c>
      <c r="B587" s="10">
        <v>3.67</v>
      </c>
      <c r="C587" s="10">
        <v>5.68</v>
      </c>
      <c r="D587" s="10">
        <v>4.2</v>
      </c>
      <c r="E587" s="10">
        <v>29</v>
      </c>
      <c r="F587" s="10">
        <v>12.5</v>
      </c>
      <c r="G587" s="10">
        <v>0</v>
      </c>
      <c r="H587" s="10">
        <v>1</v>
      </c>
      <c r="I587" s="10">
        <v>5</v>
      </c>
      <c r="J587">
        <v>2015</v>
      </c>
      <c r="K587">
        <v>8</v>
      </c>
      <c r="L587">
        <v>276</v>
      </c>
      <c r="M587" t="s">
        <v>61</v>
      </c>
    </row>
    <row r="588" spans="1:13">
      <c r="A588" t="s">
        <v>645</v>
      </c>
      <c r="B588" s="10">
        <v>12.33</v>
      </c>
      <c r="C588" s="10">
        <v>6.66</v>
      </c>
      <c r="D588" s="10">
        <v>7.4</v>
      </c>
      <c r="E588" s="10">
        <v>18.1</v>
      </c>
      <c r="F588" s="10">
        <v>10</v>
      </c>
      <c r="G588" s="10">
        <v>0</v>
      </c>
      <c r="H588" s="10">
        <v>0</v>
      </c>
      <c r="I588" s="10">
        <v>4</v>
      </c>
      <c r="J588">
        <v>2015</v>
      </c>
      <c r="K588">
        <v>8</v>
      </c>
      <c r="L588">
        <v>276</v>
      </c>
      <c r="M588" t="s">
        <v>63</v>
      </c>
    </row>
    <row r="589" spans="1:13">
      <c r="A589" t="s">
        <v>646</v>
      </c>
      <c r="B589" s="10">
        <v>8.67</v>
      </c>
      <c r="C589" s="10">
        <v>7.693</v>
      </c>
      <c r="D589" s="10">
        <v>4</v>
      </c>
      <c r="E589" s="10">
        <v>28.2</v>
      </c>
      <c r="F589" s="10">
        <v>9.5</v>
      </c>
      <c r="G589" s="10">
        <v>0</v>
      </c>
      <c r="H589" s="10">
        <v>1</v>
      </c>
      <c r="I589" s="10">
        <v>1</v>
      </c>
      <c r="J589">
        <v>2015</v>
      </c>
      <c r="K589">
        <v>8</v>
      </c>
      <c r="L589">
        <v>276</v>
      </c>
      <c r="M589" t="s">
        <v>65</v>
      </c>
    </row>
    <row r="590" spans="1:13">
      <c r="A590" t="s">
        <v>647</v>
      </c>
      <c r="B590" s="10">
        <v>8</v>
      </c>
      <c r="C590" s="10">
        <v>2</v>
      </c>
      <c r="D590" s="10">
        <v>6</v>
      </c>
      <c r="E590" s="10">
        <v>23.438</v>
      </c>
      <c r="F590" s="10">
        <v>9</v>
      </c>
      <c r="G590" s="10">
        <v>0</v>
      </c>
      <c r="H590" s="10">
        <v>3</v>
      </c>
      <c r="I590" s="10">
        <v>3</v>
      </c>
      <c r="J590">
        <v>2015</v>
      </c>
      <c r="K590">
        <v>8</v>
      </c>
      <c r="L590">
        <v>276</v>
      </c>
      <c r="M590" t="s">
        <v>53</v>
      </c>
    </row>
    <row r="591" spans="1:13">
      <c r="A591" t="s">
        <v>648</v>
      </c>
      <c r="B591" s="10">
        <v>3</v>
      </c>
      <c r="C591" s="10">
        <v>4.66</v>
      </c>
      <c r="D591" s="10">
        <v>4</v>
      </c>
      <c r="E591" s="10">
        <v>16.7</v>
      </c>
      <c r="F591" s="10">
        <v>5</v>
      </c>
      <c r="G591" s="10">
        <v>0</v>
      </c>
      <c r="H591" s="10">
        <v>1</v>
      </c>
      <c r="I591" s="10">
        <v>4</v>
      </c>
      <c r="J591">
        <v>2015</v>
      </c>
      <c r="K591">
        <v>8</v>
      </c>
      <c r="L591">
        <v>276</v>
      </c>
      <c r="M591" t="s">
        <v>55</v>
      </c>
    </row>
    <row r="592" spans="1:13">
      <c r="A592" t="s">
        <v>649</v>
      </c>
      <c r="B592" s="10">
        <v>3.34</v>
      </c>
      <c r="C592" s="10">
        <v>6.34</v>
      </c>
      <c r="D592" s="10">
        <v>6</v>
      </c>
      <c r="E592" s="10">
        <v>35</v>
      </c>
      <c r="F592" s="10">
        <v>14</v>
      </c>
      <c r="G592" s="10">
        <v>1</v>
      </c>
      <c r="H592" s="10">
        <v>1</v>
      </c>
      <c r="I592" s="10">
        <v>1</v>
      </c>
      <c r="J592">
        <v>2015</v>
      </c>
      <c r="K592">
        <v>8</v>
      </c>
      <c r="L592">
        <v>276</v>
      </c>
      <c r="M592" t="s">
        <v>57</v>
      </c>
    </row>
    <row r="593" spans="1:13">
      <c r="A593" t="s">
        <v>650</v>
      </c>
      <c r="B593" s="10">
        <v>2</v>
      </c>
      <c r="C593" s="10">
        <v>4.67</v>
      </c>
      <c r="D593" s="10">
        <v>2</v>
      </c>
      <c r="E593" s="10">
        <v>19.25</v>
      </c>
      <c r="F593" s="10">
        <v>4</v>
      </c>
      <c r="G593" s="10">
        <v>2</v>
      </c>
      <c r="H593" s="10">
        <v>0</v>
      </c>
      <c r="I593" s="10">
        <v>2</v>
      </c>
      <c r="J593">
        <v>2015</v>
      </c>
      <c r="K593">
        <v>8</v>
      </c>
      <c r="L593">
        <v>276</v>
      </c>
      <c r="M593" t="s">
        <v>59</v>
      </c>
    </row>
    <row r="594" spans="1:13">
      <c r="A594" t="s">
        <v>651</v>
      </c>
      <c r="B594" s="10">
        <v>8</v>
      </c>
      <c r="C594" s="10">
        <v>3</v>
      </c>
      <c r="D594" s="10">
        <v>3</v>
      </c>
      <c r="E594" s="10">
        <v>33</v>
      </c>
      <c r="F594" s="10">
        <v>6</v>
      </c>
      <c r="G594" s="10">
        <v>0</v>
      </c>
      <c r="H594" s="10">
        <v>0</v>
      </c>
      <c r="I594" s="10">
        <v>2</v>
      </c>
      <c r="J594">
        <v>2015</v>
      </c>
      <c r="K594">
        <v>8</v>
      </c>
      <c r="L594">
        <v>276</v>
      </c>
      <c r="M594" t="s">
        <v>61</v>
      </c>
    </row>
    <row r="595" spans="1:13">
      <c r="A595" t="s">
        <v>652</v>
      </c>
      <c r="B595" s="10">
        <v>6.01</v>
      </c>
      <c r="C595" s="10">
        <v>2.67</v>
      </c>
      <c r="D595" s="10">
        <v>3</v>
      </c>
      <c r="E595" s="10">
        <v>24</v>
      </c>
      <c r="F595" s="10">
        <v>16</v>
      </c>
      <c r="G595" s="10">
        <v>0</v>
      </c>
      <c r="H595" s="10">
        <v>3</v>
      </c>
      <c r="I595" s="10">
        <v>1</v>
      </c>
      <c r="J595">
        <v>2015</v>
      </c>
      <c r="K595">
        <v>8</v>
      </c>
      <c r="L595">
        <v>276</v>
      </c>
      <c r="M595" t="s">
        <v>63</v>
      </c>
    </row>
    <row r="596" spans="1:13">
      <c r="A596" t="s">
        <v>653</v>
      </c>
      <c r="B596" s="10">
        <v>6.33</v>
      </c>
      <c r="C596" s="10">
        <v>2.66</v>
      </c>
      <c r="D596" s="10">
        <v>8</v>
      </c>
      <c r="E596" s="10">
        <v>28</v>
      </c>
      <c r="F596" s="10">
        <v>15</v>
      </c>
      <c r="G596" s="10">
        <v>0</v>
      </c>
      <c r="H596" s="10">
        <v>3</v>
      </c>
      <c r="I596" s="10">
        <v>3</v>
      </c>
      <c r="J596">
        <v>2015</v>
      </c>
      <c r="K596">
        <v>8</v>
      </c>
      <c r="L596">
        <v>276</v>
      </c>
      <c r="M596" t="s">
        <v>65</v>
      </c>
    </row>
    <row r="597" spans="1:13">
      <c r="A597" t="s">
        <v>654</v>
      </c>
      <c r="B597" s="10">
        <v>3.5</v>
      </c>
      <c r="C597" s="10">
        <v>3.68</v>
      </c>
      <c r="D597" s="10">
        <v>5</v>
      </c>
      <c r="E597" s="10">
        <v>19</v>
      </c>
      <c r="F597" s="10">
        <v>6</v>
      </c>
      <c r="G597" s="10">
        <v>1</v>
      </c>
      <c r="H597" s="10">
        <v>0</v>
      </c>
      <c r="I597" s="10">
        <v>0</v>
      </c>
      <c r="J597">
        <v>2015</v>
      </c>
      <c r="K597">
        <v>8</v>
      </c>
      <c r="L597">
        <v>276</v>
      </c>
      <c r="M597" t="s">
        <v>53</v>
      </c>
    </row>
    <row r="598" spans="1:13">
      <c r="A598" t="s">
        <v>655</v>
      </c>
      <c r="B598" s="10">
        <v>6</v>
      </c>
      <c r="C598" s="10">
        <v>0.67</v>
      </c>
      <c r="D598" s="10">
        <v>3</v>
      </c>
      <c r="E598" s="10">
        <v>34</v>
      </c>
      <c r="F598" s="10">
        <v>8</v>
      </c>
      <c r="G598" s="10">
        <v>1</v>
      </c>
      <c r="H598" s="10">
        <v>1</v>
      </c>
      <c r="I598" s="10">
        <v>4</v>
      </c>
      <c r="J598">
        <v>2015</v>
      </c>
      <c r="K598">
        <v>8</v>
      </c>
      <c r="L598">
        <v>276</v>
      </c>
      <c r="M598" t="s">
        <v>55</v>
      </c>
    </row>
    <row r="599" spans="1:13">
      <c r="A599" t="s">
        <v>656</v>
      </c>
      <c r="B599" s="10">
        <v>2.34</v>
      </c>
      <c r="C599" s="10">
        <v>6.736</v>
      </c>
      <c r="D599" s="10">
        <v>4</v>
      </c>
      <c r="E599" s="10">
        <v>28</v>
      </c>
      <c r="F599" s="10">
        <v>6</v>
      </c>
      <c r="G599" s="10">
        <v>3</v>
      </c>
      <c r="H599" s="10">
        <v>1</v>
      </c>
      <c r="I599" s="10">
        <v>6</v>
      </c>
      <c r="J599">
        <v>2015</v>
      </c>
      <c r="K599">
        <v>8</v>
      </c>
      <c r="L599">
        <v>276</v>
      </c>
      <c r="M599" t="s">
        <v>57</v>
      </c>
    </row>
    <row r="600" spans="1:13">
      <c r="A600" t="s">
        <v>657</v>
      </c>
      <c r="B600" s="10">
        <v>8.99</v>
      </c>
      <c r="C600" s="10">
        <v>5.33</v>
      </c>
      <c r="D600" s="10">
        <v>3</v>
      </c>
      <c r="E600" s="10">
        <v>28</v>
      </c>
      <c r="F600" s="10">
        <v>8</v>
      </c>
      <c r="G600" s="10">
        <v>0</v>
      </c>
      <c r="H600" s="10">
        <v>2</v>
      </c>
      <c r="I600" s="10">
        <v>2</v>
      </c>
      <c r="J600">
        <v>2015</v>
      </c>
      <c r="K600">
        <v>8</v>
      </c>
      <c r="L600">
        <v>276</v>
      </c>
      <c r="M600" t="s">
        <v>59</v>
      </c>
    </row>
    <row r="601" spans="1:13">
      <c r="A601" t="s">
        <v>658</v>
      </c>
      <c r="B601" s="10">
        <v>8.5</v>
      </c>
      <c r="C601" s="10">
        <v>3.66</v>
      </c>
      <c r="D601" s="10">
        <v>3.4</v>
      </c>
      <c r="E601" s="10">
        <v>45.1</v>
      </c>
      <c r="F601" s="10">
        <v>8</v>
      </c>
      <c r="G601" s="10">
        <v>0</v>
      </c>
      <c r="H601" s="10">
        <v>0</v>
      </c>
      <c r="I601" s="10">
        <v>1</v>
      </c>
      <c r="J601">
        <v>2015</v>
      </c>
      <c r="K601">
        <v>8</v>
      </c>
      <c r="L601">
        <v>276</v>
      </c>
      <c r="M601" t="s">
        <v>61</v>
      </c>
    </row>
    <row r="602" spans="1:13">
      <c r="A602" t="s">
        <v>659</v>
      </c>
      <c r="B602" s="10">
        <v>2.34</v>
      </c>
      <c r="C602" s="10">
        <v>2.67</v>
      </c>
      <c r="D602" s="10">
        <v>4</v>
      </c>
      <c r="E602" s="10">
        <v>23.5</v>
      </c>
      <c r="F602" s="10">
        <v>20</v>
      </c>
      <c r="G602" s="10">
        <v>0</v>
      </c>
      <c r="H602" s="10">
        <v>1</v>
      </c>
      <c r="I602" s="10">
        <v>3</v>
      </c>
      <c r="J602">
        <v>2015</v>
      </c>
      <c r="K602">
        <v>8</v>
      </c>
      <c r="L602">
        <v>276</v>
      </c>
      <c r="M602" t="s">
        <v>63</v>
      </c>
    </row>
    <row r="603" spans="1:13">
      <c r="A603" t="s">
        <v>660</v>
      </c>
      <c r="B603" s="10">
        <v>2.67</v>
      </c>
      <c r="C603" s="10">
        <v>4.02</v>
      </c>
      <c r="D603" s="10">
        <v>7.3</v>
      </c>
      <c r="E603" s="10">
        <v>27</v>
      </c>
      <c r="F603" s="10">
        <v>7</v>
      </c>
      <c r="G603" s="10">
        <v>0</v>
      </c>
      <c r="H603" s="10">
        <v>1</v>
      </c>
      <c r="I603" s="10">
        <v>6</v>
      </c>
      <c r="J603">
        <v>2015</v>
      </c>
      <c r="K603">
        <v>8</v>
      </c>
      <c r="L603">
        <v>276</v>
      </c>
      <c r="M603" t="s">
        <v>65</v>
      </c>
    </row>
    <row r="604" spans="1:13">
      <c r="A604" t="s">
        <v>661</v>
      </c>
      <c r="B604" s="10">
        <v>9.33</v>
      </c>
      <c r="C604" s="10">
        <v>3</v>
      </c>
      <c r="D604" s="10">
        <v>4.5</v>
      </c>
      <c r="E604" s="10">
        <v>32</v>
      </c>
      <c r="F604" s="10">
        <v>8</v>
      </c>
      <c r="G604" s="10">
        <v>0</v>
      </c>
      <c r="H604" s="10">
        <v>0</v>
      </c>
      <c r="I604" s="10">
        <v>3</v>
      </c>
      <c r="J604">
        <v>2015</v>
      </c>
      <c r="K604">
        <v>8</v>
      </c>
      <c r="L604">
        <v>276</v>
      </c>
      <c r="M604" t="s">
        <v>53</v>
      </c>
    </row>
    <row r="605" spans="1:13">
      <c r="A605" t="s">
        <v>662</v>
      </c>
      <c r="B605" s="10">
        <v>7</v>
      </c>
      <c r="C605" s="10">
        <v>8.67</v>
      </c>
      <c r="D605" s="10">
        <v>1</v>
      </c>
      <c r="E605" s="10">
        <v>15.1</v>
      </c>
      <c r="F605" s="10">
        <v>12</v>
      </c>
      <c r="G605" s="10">
        <v>0</v>
      </c>
      <c r="H605" s="10">
        <v>0</v>
      </c>
      <c r="I605" s="10">
        <v>3</v>
      </c>
      <c r="J605">
        <v>2015</v>
      </c>
      <c r="K605">
        <v>8</v>
      </c>
      <c r="L605">
        <v>276</v>
      </c>
      <c r="M605" t="s">
        <v>55</v>
      </c>
    </row>
    <row r="606" spans="1:13">
      <c r="A606" t="s">
        <v>663</v>
      </c>
      <c r="B606" s="10">
        <v>10.84</v>
      </c>
      <c r="C606" s="10">
        <v>10.34</v>
      </c>
      <c r="D606" s="10">
        <v>4</v>
      </c>
      <c r="E606" s="10">
        <v>23.2</v>
      </c>
      <c r="F606" s="10">
        <v>4</v>
      </c>
      <c r="G606" s="10">
        <v>3</v>
      </c>
      <c r="H606" s="10">
        <v>3</v>
      </c>
      <c r="I606" s="10">
        <v>2</v>
      </c>
      <c r="J606">
        <v>2015</v>
      </c>
      <c r="K606">
        <v>8</v>
      </c>
      <c r="L606">
        <v>276</v>
      </c>
      <c r="M606" t="s">
        <v>57</v>
      </c>
    </row>
    <row r="607" spans="1:13">
      <c r="A607" t="s">
        <v>664</v>
      </c>
      <c r="B607" s="10">
        <v>11</v>
      </c>
      <c r="C607" s="10">
        <v>6.02</v>
      </c>
      <c r="D607" s="10">
        <v>3.5</v>
      </c>
      <c r="E607" s="10">
        <v>21</v>
      </c>
      <c r="F607" s="10">
        <v>3</v>
      </c>
      <c r="G607" s="10">
        <v>0</v>
      </c>
      <c r="H607" s="10">
        <v>6</v>
      </c>
      <c r="I607" s="10">
        <v>4</v>
      </c>
      <c r="J607">
        <v>2015</v>
      </c>
      <c r="K607">
        <v>8</v>
      </c>
      <c r="L607">
        <v>276</v>
      </c>
      <c r="M607" t="s">
        <v>59</v>
      </c>
    </row>
    <row r="608" spans="1:13">
      <c r="A608" t="s">
        <v>665</v>
      </c>
      <c r="B608" s="10">
        <v>4</v>
      </c>
      <c r="C608" s="10">
        <v>9.34</v>
      </c>
      <c r="D608" s="10">
        <v>3.4</v>
      </c>
      <c r="E608" s="10">
        <v>38</v>
      </c>
      <c r="F608" s="10">
        <v>9.5</v>
      </c>
      <c r="G608" s="10">
        <v>0</v>
      </c>
      <c r="H608" s="10">
        <v>6</v>
      </c>
      <c r="I608" s="10">
        <v>2</v>
      </c>
      <c r="J608">
        <v>2015</v>
      </c>
      <c r="K608">
        <v>8</v>
      </c>
      <c r="L608">
        <v>276</v>
      </c>
      <c r="M608" t="s">
        <v>61</v>
      </c>
    </row>
    <row r="609" spans="1:13">
      <c r="A609" t="s">
        <v>666</v>
      </c>
      <c r="B609" s="10">
        <v>8.18</v>
      </c>
      <c r="C609" s="10">
        <v>2.84</v>
      </c>
      <c r="D609" s="10">
        <v>4.4</v>
      </c>
      <c r="E609" s="10">
        <v>28.25</v>
      </c>
      <c r="F609" s="10">
        <v>8</v>
      </c>
      <c r="G609" s="10">
        <v>0</v>
      </c>
      <c r="H609" s="10">
        <v>0</v>
      </c>
      <c r="I609" s="10">
        <v>3</v>
      </c>
      <c r="J609">
        <v>2015</v>
      </c>
      <c r="K609">
        <v>9</v>
      </c>
      <c r="L609">
        <v>276</v>
      </c>
      <c r="M609" t="s">
        <v>63</v>
      </c>
    </row>
    <row r="610" spans="1:13">
      <c r="A610" t="s">
        <v>667</v>
      </c>
      <c r="B610" s="10">
        <v>5.33</v>
      </c>
      <c r="C610" s="10">
        <v>7</v>
      </c>
      <c r="D610" s="10">
        <v>3</v>
      </c>
      <c r="E610" s="10">
        <v>31.3</v>
      </c>
      <c r="F610" s="10">
        <v>9.5</v>
      </c>
      <c r="G610" s="10">
        <v>0</v>
      </c>
      <c r="H610" s="10">
        <v>5</v>
      </c>
      <c r="I610" s="10">
        <v>5</v>
      </c>
      <c r="J610">
        <v>2015</v>
      </c>
      <c r="K610">
        <v>9</v>
      </c>
      <c r="L610">
        <v>276</v>
      </c>
      <c r="M610" t="s">
        <v>65</v>
      </c>
    </row>
    <row r="611" spans="1:13">
      <c r="A611" t="s">
        <v>668</v>
      </c>
      <c r="B611" s="10">
        <v>1.34</v>
      </c>
      <c r="C611" s="10">
        <v>3.68</v>
      </c>
      <c r="D611" s="10">
        <v>2.2</v>
      </c>
      <c r="E611" s="10">
        <v>19</v>
      </c>
      <c r="F611" s="10">
        <v>13</v>
      </c>
      <c r="G611" s="10">
        <v>0</v>
      </c>
      <c r="H611" s="10">
        <v>4</v>
      </c>
      <c r="I611" s="10">
        <v>2</v>
      </c>
      <c r="J611">
        <v>2015</v>
      </c>
      <c r="K611">
        <v>9</v>
      </c>
      <c r="L611">
        <v>276</v>
      </c>
      <c r="M611" t="s">
        <v>53</v>
      </c>
    </row>
    <row r="612" spans="1:13">
      <c r="A612" t="s">
        <v>669</v>
      </c>
      <c r="B612" s="10">
        <v>3.34</v>
      </c>
      <c r="C612" s="10">
        <v>2.68</v>
      </c>
      <c r="D612" s="10">
        <v>3.1</v>
      </c>
      <c r="E612" s="10">
        <v>20</v>
      </c>
      <c r="F612" s="10">
        <v>8</v>
      </c>
      <c r="G612" s="10">
        <v>1</v>
      </c>
      <c r="H612" s="10">
        <v>1</v>
      </c>
      <c r="I612" s="10">
        <v>2</v>
      </c>
      <c r="J612">
        <v>2015</v>
      </c>
      <c r="K612">
        <v>9</v>
      </c>
      <c r="L612">
        <v>276</v>
      </c>
      <c r="M612" t="s">
        <v>55</v>
      </c>
    </row>
    <row r="613" spans="1:13">
      <c r="A613" t="s">
        <v>670</v>
      </c>
      <c r="B613" s="10">
        <v>8.83</v>
      </c>
      <c r="C613" s="10">
        <v>6.01</v>
      </c>
      <c r="D613" s="10">
        <v>3.2</v>
      </c>
      <c r="E613" s="10">
        <v>20</v>
      </c>
      <c r="F613" s="10">
        <v>10.5</v>
      </c>
      <c r="G613" s="10">
        <v>1</v>
      </c>
      <c r="H613" s="10">
        <v>6</v>
      </c>
      <c r="I613" s="10">
        <v>4</v>
      </c>
      <c r="J613">
        <v>2015</v>
      </c>
      <c r="K613">
        <v>9</v>
      </c>
      <c r="L613">
        <v>276</v>
      </c>
      <c r="M613" t="s">
        <v>57</v>
      </c>
    </row>
    <row r="614" spans="1:13">
      <c r="A614" t="s">
        <v>671</v>
      </c>
      <c r="B614" s="10">
        <v>8.33</v>
      </c>
      <c r="C614" s="10">
        <v>9.67</v>
      </c>
      <c r="D614" s="10">
        <v>6</v>
      </c>
      <c r="E614" s="10">
        <v>23.6</v>
      </c>
      <c r="F614" s="10">
        <v>8</v>
      </c>
      <c r="G614" s="10">
        <v>1</v>
      </c>
      <c r="H614" s="10">
        <v>0</v>
      </c>
      <c r="I614" s="10">
        <v>3</v>
      </c>
      <c r="J614">
        <v>2015</v>
      </c>
      <c r="K614">
        <v>9</v>
      </c>
      <c r="L614">
        <v>276</v>
      </c>
      <c r="M614" t="s">
        <v>59</v>
      </c>
    </row>
    <row r="615" spans="1:13">
      <c r="A615" t="s">
        <v>672</v>
      </c>
      <c r="B615" s="10">
        <v>4.34</v>
      </c>
      <c r="C615" s="10">
        <v>6.124</v>
      </c>
      <c r="D615" s="10">
        <v>2.5</v>
      </c>
      <c r="E615" s="10">
        <v>32.8</v>
      </c>
      <c r="F615" s="10">
        <v>7</v>
      </c>
      <c r="G615" s="10">
        <v>1</v>
      </c>
      <c r="H615" s="10">
        <v>5</v>
      </c>
      <c r="I615" s="10">
        <v>2</v>
      </c>
      <c r="J615">
        <v>2015</v>
      </c>
      <c r="K615">
        <v>9</v>
      </c>
      <c r="L615">
        <v>276</v>
      </c>
      <c r="M615" t="s">
        <v>61</v>
      </c>
    </row>
    <row r="616" spans="1:13">
      <c r="A616" t="s">
        <v>673</v>
      </c>
      <c r="B616" s="10">
        <v>2.67</v>
      </c>
      <c r="C616" s="10">
        <v>1.693</v>
      </c>
      <c r="D616" s="10">
        <v>5</v>
      </c>
      <c r="E616" s="10">
        <v>29.2</v>
      </c>
      <c r="F616" s="10">
        <v>4</v>
      </c>
      <c r="G616" s="10">
        <v>0</v>
      </c>
      <c r="H616" s="10">
        <v>2</v>
      </c>
      <c r="I616" s="10">
        <v>4</v>
      </c>
      <c r="J616">
        <v>2015</v>
      </c>
      <c r="K616">
        <v>9</v>
      </c>
      <c r="L616">
        <v>276</v>
      </c>
      <c r="M616" t="s">
        <v>63</v>
      </c>
    </row>
    <row r="617" spans="1:13">
      <c r="A617" t="s">
        <v>674</v>
      </c>
      <c r="B617" s="10">
        <v>2</v>
      </c>
      <c r="C617" s="10">
        <v>3</v>
      </c>
      <c r="D617" s="10">
        <v>1</v>
      </c>
      <c r="E617" s="10">
        <v>34.7</v>
      </c>
      <c r="F617" s="10">
        <v>8</v>
      </c>
      <c r="G617" s="10">
        <v>0</v>
      </c>
      <c r="H617" s="10">
        <v>2</v>
      </c>
      <c r="I617" s="10">
        <v>2</v>
      </c>
      <c r="J617">
        <v>2015</v>
      </c>
      <c r="K617">
        <v>9</v>
      </c>
      <c r="L617">
        <v>276</v>
      </c>
      <c r="M617" t="s">
        <v>65</v>
      </c>
    </row>
    <row r="618" spans="1:13">
      <c r="A618" t="s">
        <v>675</v>
      </c>
      <c r="B618" s="10">
        <v>6</v>
      </c>
      <c r="C618" s="10">
        <v>3.99</v>
      </c>
      <c r="D618" s="10">
        <v>4.2</v>
      </c>
      <c r="E618" s="10">
        <v>21.2</v>
      </c>
      <c r="F618" s="10">
        <v>18</v>
      </c>
      <c r="G618" s="10">
        <v>0</v>
      </c>
      <c r="H618" s="10">
        <v>2</v>
      </c>
      <c r="I618" s="10">
        <v>2</v>
      </c>
      <c r="J618">
        <v>2015</v>
      </c>
      <c r="K618">
        <v>9</v>
      </c>
      <c r="L618">
        <v>276</v>
      </c>
      <c r="M618" t="s">
        <v>53</v>
      </c>
    </row>
    <row r="619" spans="1:13">
      <c r="A619" t="s">
        <v>676</v>
      </c>
      <c r="B619" s="10">
        <v>11.33</v>
      </c>
      <c r="C619" s="10">
        <v>5</v>
      </c>
      <c r="D619" s="10">
        <v>9</v>
      </c>
      <c r="E619" s="10">
        <v>30</v>
      </c>
      <c r="F619" s="10">
        <v>9</v>
      </c>
      <c r="G619" s="10">
        <v>0</v>
      </c>
      <c r="H619" s="10">
        <v>2</v>
      </c>
      <c r="I619" s="10">
        <v>2</v>
      </c>
      <c r="J619">
        <v>2015</v>
      </c>
      <c r="K619">
        <v>9</v>
      </c>
      <c r="L619">
        <v>276</v>
      </c>
      <c r="M619" t="s">
        <v>55</v>
      </c>
    </row>
    <row r="620" spans="1:13">
      <c r="A620" t="s">
        <v>677</v>
      </c>
      <c r="B620" s="10">
        <v>4.66</v>
      </c>
      <c r="C620" s="10">
        <v>7.66</v>
      </c>
      <c r="D620" s="10">
        <v>5.2</v>
      </c>
      <c r="E620" s="10">
        <v>63.3</v>
      </c>
      <c r="F620" s="10">
        <v>6</v>
      </c>
      <c r="G620" s="10">
        <v>3</v>
      </c>
      <c r="H620" s="10">
        <v>0</v>
      </c>
      <c r="I620" s="10">
        <v>2</v>
      </c>
      <c r="J620">
        <v>2015</v>
      </c>
      <c r="K620">
        <v>9</v>
      </c>
      <c r="L620">
        <v>276</v>
      </c>
      <c r="M620" t="s">
        <v>57</v>
      </c>
    </row>
    <row r="621" spans="1:13">
      <c r="A621" t="s">
        <v>678</v>
      </c>
      <c r="B621" s="10">
        <v>7.33</v>
      </c>
      <c r="C621" s="10">
        <v>6.165</v>
      </c>
      <c r="D621" s="10">
        <v>7.2</v>
      </c>
      <c r="E621" s="10">
        <v>25</v>
      </c>
      <c r="F621" s="10">
        <v>4</v>
      </c>
      <c r="G621" s="10">
        <v>0</v>
      </c>
      <c r="H621" s="10">
        <v>11</v>
      </c>
      <c r="I621" s="10">
        <v>3</v>
      </c>
      <c r="J621">
        <v>2015</v>
      </c>
      <c r="K621">
        <v>9</v>
      </c>
      <c r="L621">
        <v>276</v>
      </c>
      <c r="M621" t="s">
        <v>59</v>
      </c>
    </row>
    <row r="622" spans="1:13">
      <c r="A622" t="s">
        <v>679</v>
      </c>
      <c r="B622" s="10">
        <v>4.68</v>
      </c>
      <c r="C622" s="10">
        <v>5</v>
      </c>
      <c r="D622" s="10">
        <v>1</v>
      </c>
      <c r="E622" s="10">
        <v>31.3</v>
      </c>
      <c r="F622" s="10">
        <v>14</v>
      </c>
      <c r="G622" s="10">
        <v>0</v>
      </c>
      <c r="H622" s="10">
        <v>0</v>
      </c>
      <c r="I622" s="10">
        <v>0</v>
      </c>
      <c r="J622">
        <v>2015</v>
      </c>
      <c r="K622">
        <v>9</v>
      </c>
      <c r="L622">
        <v>276</v>
      </c>
      <c r="M622" t="s">
        <v>61</v>
      </c>
    </row>
    <row r="623" spans="1:13">
      <c r="A623" t="s">
        <v>680</v>
      </c>
      <c r="B623" s="10">
        <v>3.33</v>
      </c>
      <c r="C623" s="10">
        <v>5.076</v>
      </c>
      <c r="D623" s="10">
        <v>4.2</v>
      </c>
      <c r="E623" s="10">
        <v>23.8</v>
      </c>
      <c r="F623" s="10">
        <v>7.5</v>
      </c>
      <c r="G623" s="10">
        <v>0</v>
      </c>
      <c r="H623" s="10">
        <v>6</v>
      </c>
      <c r="I623" s="10">
        <v>5</v>
      </c>
      <c r="J623">
        <v>2015</v>
      </c>
      <c r="K623">
        <v>9</v>
      </c>
      <c r="L623">
        <v>276</v>
      </c>
      <c r="M623" t="s">
        <v>63</v>
      </c>
    </row>
    <row r="624" spans="1:13">
      <c r="A624" t="s">
        <v>681</v>
      </c>
      <c r="B624" s="10">
        <v>0.67</v>
      </c>
      <c r="C624" s="10">
        <v>4.835</v>
      </c>
      <c r="D624" s="10">
        <v>2.2</v>
      </c>
      <c r="E624" s="10">
        <v>16.6</v>
      </c>
      <c r="F624" s="10">
        <v>6</v>
      </c>
      <c r="G624" s="10">
        <v>0</v>
      </c>
      <c r="H624" s="10">
        <v>2</v>
      </c>
      <c r="I624" s="10">
        <v>1</v>
      </c>
      <c r="J624">
        <v>2015</v>
      </c>
      <c r="K624">
        <v>9</v>
      </c>
      <c r="L624">
        <v>276</v>
      </c>
      <c r="M624" t="s">
        <v>65</v>
      </c>
    </row>
    <row r="625" spans="1:13">
      <c r="A625" t="s">
        <v>682</v>
      </c>
      <c r="B625" s="10">
        <v>9.83</v>
      </c>
      <c r="C625" s="10">
        <v>6.33</v>
      </c>
      <c r="D625" s="10">
        <v>0</v>
      </c>
      <c r="E625" s="10">
        <v>35.5</v>
      </c>
      <c r="F625" s="10">
        <v>3</v>
      </c>
      <c r="G625" s="10">
        <v>0</v>
      </c>
      <c r="H625" s="10">
        <v>1</v>
      </c>
      <c r="I625" s="10">
        <v>2</v>
      </c>
      <c r="J625">
        <v>2015</v>
      </c>
      <c r="K625">
        <v>9</v>
      </c>
      <c r="L625">
        <v>276</v>
      </c>
      <c r="M625" t="s">
        <v>53</v>
      </c>
    </row>
    <row r="626" spans="1:13">
      <c r="A626" t="s">
        <v>683</v>
      </c>
      <c r="B626" s="10">
        <v>3.34</v>
      </c>
      <c r="C626" s="10">
        <v>1.33</v>
      </c>
      <c r="D626" s="10">
        <v>3</v>
      </c>
      <c r="E626" s="10">
        <v>16</v>
      </c>
      <c r="F626" s="10">
        <v>4</v>
      </c>
      <c r="G626" s="10">
        <v>0</v>
      </c>
      <c r="H626" s="10">
        <v>4</v>
      </c>
      <c r="I626" s="10">
        <v>3</v>
      </c>
      <c r="J626">
        <v>2015</v>
      </c>
      <c r="K626">
        <v>9</v>
      </c>
      <c r="L626">
        <v>276</v>
      </c>
      <c r="M626" t="s">
        <v>55</v>
      </c>
    </row>
    <row r="627" spans="1:13">
      <c r="A627" t="s">
        <v>684</v>
      </c>
      <c r="B627" s="10">
        <v>6.83</v>
      </c>
      <c r="C627" s="10">
        <v>0.99</v>
      </c>
      <c r="D627" s="10">
        <v>7</v>
      </c>
      <c r="E627" s="10">
        <v>37</v>
      </c>
      <c r="F627" s="10">
        <v>7</v>
      </c>
      <c r="G627" s="10">
        <v>0</v>
      </c>
      <c r="H627" s="10">
        <v>4</v>
      </c>
      <c r="I627" s="10">
        <v>5</v>
      </c>
      <c r="J627">
        <v>2015</v>
      </c>
      <c r="K627">
        <v>9</v>
      </c>
      <c r="L627">
        <v>276</v>
      </c>
      <c r="M627" t="s">
        <v>57</v>
      </c>
    </row>
    <row r="628" spans="1:13">
      <c r="A628" t="s">
        <v>685</v>
      </c>
      <c r="B628" s="10">
        <v>9.99</v>
      </c>
      <c r="C628" s="10">
        <v>3.99</v>
      </c>
      <c r="D628" s="10">
        <v>6.5</v>
      </c>
      <c r="E628" s="10">
        <v>28.9</v>
      </c>
      <c r="F628" s="10">
        <v>15</v>
      </c>
      <c r="G628" s="10">
        <v>0</v>
      </c>
      <c r="H628" s="10">
        <v>0</v>
      </c>
      <c r="I628" s="10">
        <v>2</v>
      </c>
      <c r="J628">
        <v>2015</v>
      </c>
      <c r="K628">
        <v>9</v>
      </c>
      <c r="L628">
        <v>276</v>
      </c>
      <c r="M628" t="s">
        <v>59</v>
      </c>
    </row>
    <row r="629" spans="1:13">
      <c r="A629" t="s">
        <v>686</v>
      </c>
      <c r="B629" s="10">
        <v>2</v>
      </c>
      <c r="C629" s="10">
        <v>10</v>
      </c>
      <c r="D629" s="10">
        <v>2</v>
      </c>
      <c r="E629" s="10">
        <v>46.7</v>
      </c>
      <c r="F629" s="10">
        <v>6</v>
      </c>
      <c r="G629" s="10">
        <v>0</v>
      </c>
      <c r="H629" s="10">
        <v>0</v>
      </c>
      <c r="I629" s="10">
        <v>2</v>
      </c>
      <c r="J629">
        <v>2015</v>
      </c>
      <c r="K629">
        <v>9</v>
      </c>
      <c r="L629">
        <v>276</v>
      </c>
      <c r="M629" t="s">
        <v>61</v>
      </c>
    </row>
    <row r="630" spans="1:13">
      <c r="A630" t="s">
        <v>687</v>
      </c>
      <c r="B630" s="10">
        <v>6.99</v>
      </c>
      <c r="C630" s="10">
        <v>1.33</v>
      </c>
      <c r="D630" s="10">
        <v>4</v>
      </c>
      <c r="E630" s="10">
        <v>19.5</v>
      </c>
      <c r="F630" s="10">
        <v>10</v>
      </c>
      <c r="G630" s="10">
        <v>2</v>
      </c>
      <c r="H630" s="10">
        <v>5</v>
      </c>
      <c r="I630" s="10">
        <v>5</v>
      </c>
      <c r="J630">
        <v>2015</v>
      </c>
      <c r="K630">
        <v>9</v>
      </c>
      <c r="L630">
        <v>276</v>
      </c>
      <c r="M630" t="s">
        <v>63</v>
      </c>
    </row>
    <row r="631" spans="1:13">
      <c r="A631" t="s">
        <v>688</v>
      </c>
      <c r="B631" s="10">
        <v>6.16</v>
      </c>
      <c r="C631" s="10">
        <v>4.056</v>
      </c>
      <c r="D631" s="10">
        <v>3.3</v>
      </c>
      <c r="E631" s="10">
        <v>34.65</v>
      </c>
      <c r="F631" s="10">
        <v>7</v>
      </c>
      <c r="G631" s="10">
        <v>0</v>
      </c>
      <c r="H631" s="10">
        <v>2</v>
      </c>
      <c r="I631" s="10">
        <v>1</v>
      </c>
      <c r="J631">
        <v>2015</v>
      </c>
      <c r="K631">
        <v>9</v>
      </c>
      <c r="L631">
        <v>276</v>
      </c>
      <c r="M631" t="s">
        <v>65</v>
      </c>
    </row>
    <row r="632" spans="1:13">
      <c r="A632" t="s">
        <v>689</v>
      </c>
      <c r="B632" s="10">
        <v>2.99</v>
      </c>
      <c r="C632" s="10">
        <v>4.34</v>
      </c>
      <c r="D632" s="10">
        <v>4.2</v>
      </c>
      <c r="E632" s="10">
        <v>37.6</v>
      </c>
      <c r="F632" s="10">
        <v>7</v>
      </c>
      <c r="G632" s="10">
        <v>0</v>
      </c>
      <c r="H632" s="10">
        <v>0</v>
      </c>
      <c r="I632" s="10">
        <v>0</v>
      </c>
      <c r="J632">
        <v>2015</v>
      </c>
      <c r="K632">
        <v>9</v>
      </c>
      <c r="L632">
        <v>276</v>
      </c>
      <c r="M632" t="s">
        <v>53</v>
      </c>
    </row>
    <row r="633" spans="1:13">
      <c r="A633" t="s">
        <v>690</v>
      </c>
      <c r="B633" s="10">
        <v>4.83</v>
      </c>
      <c r="C633" s="10">
        <v>4.98</v>
      </c>
      <c r="D633" s="10">
        <v>5.2</v>
      </c>
      <c r="E633" s="10">
        <v>25.2</v>
      </c>
      <c r="F633" s="10">
        <v>11</v>
      </c>
      <c r="G633" s="10">
        <v>0</v>
      </c>
      <c r="H633" s="10">
        <v>1</v>
      </c>
      <c r="I633" s="10">
        <v>3</v>
      </c>
      <c r="J633">
        <v>2015</v>
      </c>
      <c r="K633">
        <v>9</v>
      </c>
      <c r="L633">
        <v>276</v>
      </c>
      <c r="M633" t="s">
        <v>55</v>
      </c>
    </row>
    <row r="634" spans="1:13">
      <c r="A634" t="s">
        <v>691</v>
      </c>
      <c r="B634" s="10">
        <v>12.42</v>
      </c>
      <c r="C634" s="10">
        <v>3.33</v>
      </c>
      <c r="D634" s="10">
        <v>2.5</v>
      </c>
      <c r="E634" s="10">
        <v>33</v>
      </c>
      <c r="F634" s="10">
        <v>6</v>
      </c>
      <c r="G634" s="10">
        <v>1</v>
      </c>
      <c r="H634" s="10">
        <v>7</v>
      </c>
      <c r="I634" s="10">
        <v>2</v>
      </c>
      <c r="J634">
        <v>2015</v>
      </c>
      <c r="K634">
        <v>9</v>
      </c>
      <c r="L634">
        <v>276</v>
      </c>
      <c r="M634" t="s">
        <v>57</v>
      </c>
    </row>
    <row r="635" spans="1:13">
      <c r="A635" t="s">
        <v>692</v>
      </c>
      <c r="B635" s="10">
        <v>5.83</v>
      </c>
      <c r="C635" s="10">
        <v>3</v>
      </c>
      <c r="D635" s="10">
        <v>2.3</v>
      </c>
      <c r="E635" s="10">
        <v>10.425</v>
      </c>
      <c r="F635" s="10">
        <v>3</v>
      </c>
      <c r="G635" s="10">
        <v>1</v>
      </c>
      <c r="H635" s="10">
        <v>2</v>
      </c>
      <c r="I635" s="10">
        <v>1</v>
      </c>
      <c r="J635">
        <v>2015</v>
      </c>
      <c r="K635">
        <v>9</v>
      </c>
      <c r="L635">
        <v>276</v>
      </c>
      <c r="M635" t="s">
        <v>59</v>
      </c>
    </row>
    <row r="636" spans="1:13">
      <c r="A636" t="s">
        <v>693</v>
      </c>
      <c r="B636" s="10">
        <v>1</v>
      </c>
      <c r="C636" s="10">
        <v>1.33</v>
      </c>
      <c r="D636" s="10">
        <v>2</v>
      </c>
      <c r="E636" s="10">
        <v>15.4</v>
      </c>
      <c r="F636" s="10">
        <v>8</v>
      </c>
      <c r="G636" s="10">
        <v>0</v>
      </c>
      <c r="H636" s="10">
        <v>17</v>
      </c>
      <c r="I636" s="10">
        <v>2</v>
      </c>
      <c r="J636">
        <v>2015</v>
      </c>
      <c r="K636">
        <v>9</v>
      </c>
      <c r="L636">
        <v>276</v>
      </c>
      <c r="M636" t="s">
        <v>61</v>
      </c>
    </row>
    <row r="637" spans="1:13">
      <c r="A637" t="s">
        <v>694</v>
      </c>
      <c r="B637" s="10">
        <v>6.33</v>
      </c>
      <c r="C637" s="10">
        <v>4.363</v>
      </c>
      <c r="D637" s="10">
        <v>1</v>
      </c>
      <c r="E637" s="10">
        <v>39.7</v>
      </c>
      <c r="F637" s="10">
        <v>7</v>
      </c>
      <c r="G637" s="10">
        <v>0</v>
      </c>
      <c r="H637" s="10">
        <v>0</v>
      </c>
      <c r="I637" s="10">
        <v>0</v>
      </c>
      <c r="J637">
        <v>2015</v>
      </c>
      <c r="K637">
        <v>9</v>
      </c>
      <c r="L637">
        <v>276</v>
      </c>
      <c r="M637" t="s">
        <v>63</v>
      </c>
    </row>
    <row r="638" spans="1:13">
      <c r="A638" t="s">
        <v>695</v>
      </c>
      <c r="B638" s="10">
        <v>5.32</v>
      </c>
      <c r="C638" s="10">
        <v>4.33</v>
      </c>
      <c r="D638" s="10">
        <v>4</v>
      </c>
      <c r="E638" s="10">
        <v>22.5</v>
      </c>
      <c r="F638" s="10">
        <v>9</v>
      </c>
      <c r="G638" s="10">
        <v>0</v>
      </c>
      <c r="H638" s="10">
        <v>0</v>
      </c>
      <c r="I638" s="10">
        <v>1</v>
      </c>
      <c r="J638">
        <v>2015</v>
      </c>
      <c r="K638">
        <v>9</v>
      </c>
      <c r="L638">
        <v>276</v>
      </c>
      <c r="M638" t="s">
        <v>65</v>
      </c>
    </row>
    <row r="639" spans="1:13">
      <c r="A639" t="s">
        <v>696</v>
      </c>
      <c r="B639" s="10">
        <v>9.66</v>
      </c>
      <c r="C639" s="10">
        <v>5.99</v>
      </c>
      <c r="D639" s="10">
        <v>4</v>
      </c>
      <c r="E639" s="10">
        <v>34.562</v>
      </c>
      <c r="F639" s="10">
        <v>2</v>
      </c>
      <c r="G639" s="10">
        <v>0</v>
      </c>
      <c r="H639" s="10">
        <v>5</v>
      </c>
      <c r="I639" s="10">
        <v>2</v>
      </c>
      <c r="J639">
        <v>2015</v>
      </c>
      <c r="K639">
        <v>10</v>
      </c>
      <c r="L639">
        <v>276</v>
      </c>
      <c r="M639" t="s">
        <v>53</v>
      </c>
    </row>
    <row r="640" spans="1:13">
      <c r="A640" t="s">
        <v>697</v>
      </c>
      <c r="B640" s="10">
        <v>5</v>
      </c>
      <c r="C640" s="10">
        <v>4.726</v>
      </c>
      <c r="D640" s="10">
        <v>4</v>
      </c>
      <c r="E640" s="10">
        <v>37.3</v>
      </c>
      <c r="F640" s="10">
        <v>5</v>
      </c>
      <c r="G640" s="10">
        <v>0</v>
      </c>
      <c r="H640" s="10">
        <v>5</v>
      </c>
      <c r="I640" s="10">
        <v>1</v>
      </c>
      <c r="J640">
        <v>2015</v>
      </c>
      <c r="K640">
        <v>10</v>
      </c>
      <c r="L640">
        <v>276</v>
      </c>
      <c r="M640" t="s">
        <v>55</v>
      </c>
    </row>
    <row r="641" spans="1:13">
      <c r="A641" t="s">
        <v>698</v>
      </c>
      <c r="B641" s="10">
        <v>10.34</v>
      </c>
      <c r="C641" s="10">
        <v>5.34</v>
      </c>
      <c r="D641" s="10">
        <v>3</v>
      </c>
      <c r="E641" s="10">
        <v>37.2</v>
      </c>
      <c r="F641" s="10">
        <v>7</v>
      </c>
      <c r="G641" s="10">
        <v>0</v>
      </c>
      <c r="H641" s="10">
        <v>7</v>
      </c>
      <c r="I641" s="10">
        <v>2</v>
      </c>
      <c r="J641">
        <v>2015</v>
      </c>
      <c r="K641">
        <v>10</v>
      </c>
      <c r="L641">
        <v>276</v>
      </c>
      <c r="M641" t="s">
        <v>57</v>
      </c>
    </row>
    <row r="642" spans="1:13">
      <c r="A642" t="s">
        <v>699</v>
      </c>
      <c r="B642" s="10">
        <v>7</v>
      </c>
      <c r="C642" s="10">
        <v>4</v>
      </c>
      <c r="D642" s="10">
        <v>4</v>
      </c>
      <c r="E642" s="10">
        <v>59</v>
      </c>
      <c r="F642" s="10">
        <v>3</v>
      </c>
      <c r="G642" s="10">
        <v>0</v>
      </c>
      <c r="H642" s="10">
        <v>16</v>
      </c>
      <c r="I642" s="10">
        <v>2</v>
      </c>
      <c r="J642">
        <v>2015</v>
      </c>
      <c r="K642">
        <v>10</v>
      </c>
      <c r="L642">
        <v>276</v>
      </c>
      <c r="M642" t="s">
        <v>59</v>
      </c>
    </row>
    <row r="643" spans="1:13">
      <c r="A643" t="s">
        <v>700</v>
      </c>
      <c r="B643" s="10">
        <v>5</v>
      </c>
      <c r="C643" s="10">
        <v>2.373</v>
      </c>
      <c r="D643" s="10">
        <v>2.2</v>
      </c>
      <c r="E643" s="10">
        <v>70.95</v>
      </c>
      <c r="F643" s="10">
        <v>11</v>
      </c>
      <c r="G643" s="10">
        <v>1</v>
      </c>
      <c r="H643" s="10">
        <v>7</v>
      </c>
      <c r="I643" s="10">
        <v>5</v>
      </c>
      <c r="J643">
        <v>2015</v>
      </c>
      <c r="K643">
        <v>10</v>
      </c>
      <c r="L643">
        <v>276</v>
      </c>
      <c r="M643" t="s">
        <v>61</v>
      </c>
    </row>
    <row r="644" spans="1:13">
      <c r="A644" t="s">
        <v>701</v>
      </c>
      <c r="B644" s="10">
        <v>5.69</v>
      </c>
      <c r="C644" s="10">
        <v>3.66</v>
      </c>
      <c r="D644" s="10">
        <v>5.5</v>
      </c>
      <c r="E644" s="10">
        <v>42.725</v>
      </c>
      <c r="F644" s="10">
        <v>9</v>
      </c>
      <c r="G644" s="10">
        <v>1</v>
      </c>
      <c r="H644" s="10">
        <v>5</v>
      </c>
      <c r="I644" s="10">
        <v>4</v>
      </c>
      <c r="J644">
        <v>2015</v>
      </c>
      <c r="K644">
        <v>10</v>
      </c>
      <c r="L644">
        <v>276</v>
      </c>
      <c r="M644" t="s">
        <v>63</v>
      </c>
    </row>
    <row r="645" spans="1:13">
      <c r="A645" t="s">
        <v>702</v>
      </c>
      <c r="B645" s="10">
        <v>7.33</v>
      </c>
      <c r="C645" s="10">
        <v>2.66</v>
      </c>
      <c r="D645" s="10">
        <v>6</v>
      </c>
      <c r="E645" s="10">
        <v>44.3</v>
      </c>
      <c r="F645" s="10">
        <v>8</v>
      </c>
      <c r="G645" s="10">
        <v>0</v>
      </c>
      <c r="H645" s="10">
        <v>5</v>
      </c>
      <c r="I645" s="10">
        <v>2</v>
      </c>
      <c r="J645">
        <v>2015</v>
      </c>
      <c r="K645">
        <v>10</v>
      </c>
      <c r="L645">
        <v>276</v>
      </c>
      <c r="M645" t="s">
        <v>65</v>
      </c>
    </row>
    <row r="646" spans="1:13">
      <c r="A646" t="s">
        <v>703</v>
      </c>
      <c r="B646" s="10">
        <v>8.82</v>
      </c>
      <c r="C646" s="10">
        <v>4.33</v>
      </c>
      <c r="D646" s="10">
        <v>3</v>
      </c>
      <c r="E646" s="10">
        <v>30.7</v>
      </c>
      <c r="F646" s="10">
        <v>5</v>
      </c>
      <c r="G646" s="10">
        <v>0</v>
      </c>
      <c r="H646" s="10">
        <v>20</v>
      </c>
      <c r="I646" s="10">
        <v>0</v>
      </c>
      <c r="J646">
        <v>2015</v>
      </c>
      <c r="K646">
        <v>10</v>
      </c>
      <c r="L646">
        <v>276</v>
      </c>
      <c r="M646" t="s">
        <v>53</v>
      </c>
    </row>
    <row r="647" spans="1:13">
      <c r="A647" t="s">
        <v>704</v>
      </c>
      <c r="B647" s="10">
        <v>2</v>
      </c>
      <c r="C647" s="10">
        <v>2.769</v>
      </c>
      <c r="D647" s="10">
        <v>7.6</v>
      </c>
      <c r="E647" s="10">
        <v>28.062</v>
      </c>
      <c r="F647" s="10">
        <v>13</v>
      </c>
      <c r="G647" s="10">
        <v>2</v>
      </c>
      <c r="H647" s="10">
        <v>10</v>
      </c>
      <c r="I647" s="10">
        <v>2</v>
      </c>
      <c r="J647">
        <v>2015</v>
      </c>
      <c r="K647">
        <v>10</v>
      </c>
      <c r="L647">
        <v>276</v>
      </c>
      <c r="M647" t="s">
        <v>55</v>
      </c>
    </row>
    <row r="648" spans="1:13">
      <c r="A648" t="s">
        <v>705</v>
      </c>
      <c r="B648" s="10">
        <v>6.16</v>
      </c>
      <c r="C648" s="10">
        <v>5.66</v>
      </c>
      <c r="D648" s="10">
        <v>3</v>
      </c>
      <c r="E648" s="10">
        <v>46.3</v>
      </c>
      <c r="F648" s="10">
        <v>19.5</v>
      </c>
      <c r="G648" s="10">
        <v>0</v>
      </c>
      <c r="H648" s="10">
        <v>1</v>
      </c>
      <c r="I648" s="10">
        <v>0</v>
      </c>
      <c r="J648">
        <v>2015</v>
      </c>
      <c r="K648">
        <v>10</v>
      </c>
      <c r="L648">
        <v>276</v>
      </c>
      <c r="M648" t="s">
        <v>57</v>
      </c>
    </row>
    <row r="649" spans="1:13">
      <c r="A649" t="s">
        <v>706</v>
      </c>
      <c r="B649" s="10">
        <v>10.33</v>
      </c>
      <c r="C649" s="10">
        <v>2.792</v>
      </c>
      <c r="D649" s="10">
        <v>7.1</v>
      </c>
      <c r="E649" s="10">
        <v>70.3</v>
      </c>
      <c r="F649" s="10">
        <v>8</v>
      </c>
      <c r="G649" s="10">
        <v>0</v>
      </c>
      <c r="H649" s="10">
        <v>3</v>
      </c>
      <c r="I649" s="10">
        <v>5</v>
      </c>
      <c r="J649">
        <v>2015</v>
      </c>
      <c r="K649">
        <v>10</v>
      </c>
      <c r="L649">
        <v>276</v>
      </c>
      <c r="M649" t="s">
        <v>59</v>
      </c>
    </row>
    <row r="650" spans="1:13">
      <c r="A650" t="s">
        <v>707</v>
      </c>
      <c r="B650" s="10">
        <v>9.66</v>
      </c>
      <c r="C650" s="10">
        <v>7.33</v>
      </c>
      <c r="D650" s="10">
        <v>6</v>
      </c>
      <c r="E650" s="10">
        <v>68.84999999999999</v>
      </c>
      <c r="F650" s="10">
        <v>12</v>
      </c>
      <c r="G650" s="10">
        <v>0</v>
      </c>
      <c r="H650" s="10">
        <v>5</v>
      </c>
      <c r="I650" s="10">
        <v>3</v>
      </c>
      <c r="J650">
        <v>2015</v>
      </c>
      <c r="K650">
        <v>10</v>
      </c>
      <c r="L650">
        <v>276</v>
      </c>
      <c r="M650" t="s">
        <v>61</v>
      </c>
    </row>
    <row r="651" spans="1:13">
      <c r="A651" t="s">
        <v>708</v>
      </c>
      <c r="B651" s="10">
        <v>3.83</v>
      </c>
      <c r="C651" s="10">
        <v>7</v>
      </c>
      <c r="D651" s="10">
        <v>5.2</v>
      </c>
      <c r="E651" s="10">
        <v>63.8</v>
      </c>
      <c r="F651" s="10">
        <v>5.5</v>
      </c>
      <c r="G651" s="10">
        <v>0</v>
      </c>
      <c r="H651" s="10">
        <v>5</v>
      </c>
      <c r="I651" s="10">
        <v>1</v>
      </c>
      <c r="J651">
        <v>2015</v>
      </c>
      <c r="K651">
        <v>10</v>
      </c>
      <c r="L651">
        <v>276</v>
      </c>
      <c r="M651" t="s">
        <v>63</v>
      </c>
    </row>
    <row r="652" spans="1:13">
      <c r="A652" t="s">
        <v>709</v>
      </c>
      <c r="B652" s="10">
        <v>4.66</v>
      </c>
      <c r="C652" s="10">
        <v>7.33</v>
      </c>
      <c r="D652" s="10">
        <v>3.9</v>
      </c>
      <c r="E652" s="10">
        <v>38.6</v>
      </c>
      <c r="F652" s="10">
        <v>7</v>
      </c>
      <c r="G652" s="10">
        <v>0</v>
      </c>
      <c r="H652" s="10">
        <v>0</v>
      </c>
      <c r="I652" s="10">
        <v>1</v>
      </c>
      <c r="J652">
        <v>2015</v>
      </c>
      <c r="K652">
        <v>10</v>
      </c>
      <c r="L652">
        <v>276</v>
      </c>
      <c r="M652" t="s">
        <v>65</v>
      </c>
    </row>
    <row r="653" spans="1:13">
      <c r="A653" t="s">
        <v>710</v>
      </c>
      <c r="B653" s="10">
        <v>5.16</v>
      </c>
      <c r="C653" s="10">
        <v>5.726</v>
      </c>
      <c r="D653" s="10">
        <v>7.3</v>
      </c>
      <c r="E653" s="10">
        <v>64.724</v>
      </c>
      <c r="F653" s="10">
        <v>4</v>
      </c>
      <c r="G653" s="10">
        <v>0</v>
      </c>
      <c r="H653" s="10">
        <v>9</v>
      </c>
      <c r="I653" s="10">
        <v>1</v>
      </c>
      <c r="J653">
        <v>2015</v>
      </c>
      <c r="K653">
        <v>10</v>
      </c>
      <c r="L653">
        <v>276</v>
      </c>
      <c r="M653" t="s">
        <v>53</v>
      </c>
    </row>
    <row r="654" spans="1:13">
      <c r="A654" t="s">
        <v>711</v>
      </c>
      <c r="B654" s="10">
        <v>1.67</v>
      </c>
      <c r="C654" s="10">
        <v>3.33</v>
      </c>
      <c r="D654" s="10">
        <v>5.2</v>
      </c>
      <c r="E654" s="10">
        <v>57.3</v>
      </c>
      <c r="F654" s="10">
        <v>2</v>
      </c>
      <c r="G654" s="10">
        <v>0</v>
      </c>
      <c r="H654" s="10">
        <v>5</v>
      </c>
      <c r="I654" s="10">
        <v>1</v>
      </c>
      <c r="J654">
        <v>2015</v>
      </c>
      <c r="K654">
        <v>10</v>
      </c>
      <c r="L654">
        <v>276</v>
      </c>
      <c r="M654" t="s">
        <v>55</v>
      </c>
    </row>
    <row r="655" spans="1:13">
      <c r="A655" t="s">
        <v>712</v>
      </c>
      <c r="B655" s="10">
        <v>10.34</v>
      </c>
      <c r="C655" s="10">
        <v>2.837</v>
      </c>
      <c r="D655" s="10">
        <v>3.4</v>
      </c>
      <c r="E655" s="10">
        <v>74.3</v>
      </c>
      <c r="F655" s="10">
        <v>8</v>
      </c>
      <c r="G655" s="10">
        <v>0</v>
      </c>
      <c r="H655" s="10">
        <v>0</v>
      </c>
      <c r="I655" s="10">
        <v>1</v>
      </c>
      <c r="J655">
        <v>2015</v>
      </c>
      <c r="K655">
        <v>10</v>
      </c>
      <c r="L655">
        <v>276</v>
      </c>
      <c r="M655" t="s">
        <v>57</v>
      </c>
    </row>
    <row r="656" spans="1:13">
      <c r="A656" t="s">
        <v>713</v>
      </c>
      <c r="B656" s="10">
        <v>7.34</v>
      </c>
      <c r="C656" s="10">
        <v>6.54</v>
      </c>
      <c r="D656" s="10">
        <v>4.9</v>
      </c>
      <c r="E656" s="10">
        <v>55.6</v>
      </c>
      <c r="F656" s="10">
        <v>3</v>
      </c>
      <c r="G656" s="10">
        <v>1</v>
      </c>
      <c r="H656" s="10">
        <v>8</v>
      </c>
      <c r="I656" s="10">
        <v>8</v>
      </c>
      <c r="J656">
        <v>2015</v>
      </c>
      <c r="K656">
        <v>10</v>
      </c>
      <c r="L656">
        <v>276</v>
      </c>
      <c r="M656" t="s">
        <v>59</v>
      </c>
    </row>
    <row r="657" spans="1:13">
      <c r="A657" t="s">
        <v>714</v>
      </c>
      <c r="B657" s="10">
        <v>12</v>
      </c>
      <c r="C657" s="10">
        <v>3.802</v>
      </c>
      <c r="D657" s="10">
        <v>3</v>
      </c>
      <c r="E657" s="10">
        <v>62.6</v>
      </c>
      <c r="F657" s="10">
        <v>3</v>
      </c>
      <c r="G657" s="10">
        <v>0</v>
      </c>
      <c r="H657" s="10">
        <v>17</v>
      </c>
      <c r="I657" s="10">
        <v>0</v>
      </c>
      <c r="J657">
        <v>2015</v>
      </c>
      <c r="K657">
        <v>10</v>
      </c>
      <c r="L657">
        <v>276</v>
      </c>
      <c r="M657" t="s">
        <v>61</v>
      </c>
    </row>
    <row r="658" spans="1:13">
      <c r="A658" t="s">
        <v>715</v>
      </c>
      <c r="B658" s="10">
        <v>3.34</v>
      </c>
      <c r="C658" s="10">
        <v>1.99</v>
      </c>
      <c r="D658" s="10">
        <v>2.3</v>
      </c>
      <c r="E658" s="10">
        <v>44.7</v>
      </c>
      <c r="F658" s="10">
        <v>6</v>
      </c>
      <c r="G658" s="10">
        <v>0</v>
      </c>
      <c r="H658" s="10">
        <v>10</v>
      </c>
      <c r="I658" s="10">
        <v>5</v>
      </c>
      <c r="J658">
        <v>2015</v>
      </c>
      <c r="K658">
        <v>10</v>
      </c>
      <c r="L658">
        <v>276</v>
      </c>
      <c r="M658" t="s">
        <v>63</v>
      </c>
    </row>
    <row r="659" spans="1:13">
      <c r="A659" t="s">
        <v>716</v>
      </c>
      <c r="B659" s="10">
        <v>8.66</v>
      </c>
      <c r="C659" s="10">
        <v>2.363</v>
      </c>
      <c r="D659" s="10">
        <v>3.2</v>
      </c>
      <c r="E659" s="10">
        <v>36.8</v>
      </c>
      <c r="F659" s="10">
        <v>9</v>
      </c>
      <c r="G659" s="10">
        <v>1</v>
      </c>
      <c r="H659" s="10">
        <v>1</v>
      </c>
      <c r="I659" s="10">
        <v>4</v>
      </c>
      <c r="J659">
        <v>2015</v>
      </c>
      <c r="K659">
        <v>10</v>
      </c>
      <c r="L659">
        <v>276</v>
      </c>
      <c r="M659" t="s">
        <v>65</v>
      </c>
    </row>
    <row r="660" spans="1:13">
      <c r="A660" t="s">
        <v>717</v>
      </c>
      <c r="B660" s="10">
        <v>4.33</v>
      </c>
      <c r="C660" s="10">
        <v>0.34</v>
      </c>
      <c r="D660" s="10">
        <v>0</v>
      </c>
      <c r="E660" s="10">
        <v>35.262</v>
      </c>
      <c r="F660" s="10">
        <v>9</v>
      </c>
      <c r="G660" s="10">
        <v>0</v>
      </c>
      <c r="H660" s="10">
        <v>2</v>
      </c>
      <c r="I660" s="10">
        <v>2</v>
      </c>
      <c r="J660">
        <v>2015</v>
      </c>
      <c r="K660">
        <v>10</v>
      </c>
      <c r="L660">
        <v>276</v>
      </c>
      <c r="M660" t="s">
        <v>53</v>
      </c>
    </row>
    <row r="661" spans="1:13">
      <c r="A661" t="s">
        <v>718</v>
      </c>
      <c r="B661" s="10">
        <v>7</v>
      </c>
      <c r="C661" s="10">
        <v>1.66</v>
      </c>
      <c r="D661" s="10">
        <v>10.2</v>
      </c>
      <c r="E661" s="10">
        <v>41.4</v>
      </c>
      <c r="F661" s="10">
        <v>3</v>
      </c>
      <c r="G661" s="10">
        <v>0</v>
      </c>
      <c r="H661" s="10">
        <v>6</v>
      </c>
      <c r="I661" s="10">
        <v>2</v>
      </c>
      <c r="J661">
        <v>2015</v>
      </c>
      <c r="K661">
        <v>10</v>
      </c>
      <c r="L661">
        <v>276</v>
      </c>
      <c r="M661" t="s">
        <v>55</v>
      </c>
    </row>
    <row r="662" spans="1:13">
      <c r="A662" t="s">
        <v>719</v>
      </c>
      <c r="B662" s="10">
        <v>9.84</v>
      </c>
      <c r="C662" s="10">
        <v>8.35</v>
      </c>
      <c r="D662" s="10">
        <v>9.1</v>
      </c>
      <c r="E662" s="10">
        <v>67.40000000000001</v>
      </c>
      <c r="F662" s="10">
        <v>8</v>
      </c>
      <c r="G662" s="10">
        <v>0</v>
      </c>
      <c r="H662" s="10">
        <v>4</v>
      </c>
      <c r="I662" s="10">
        <v>2</v>
      </c>
      <c r="J662">
        <v>2015</v>
      </c>
      <c r="K662">
        <v>10</v>
      </c>
      <c r="L662">
        <v>276</v>
      </c>
      <c r="M662" t="s">
        <v>57</v>
      </c>
    </row>
    <row r="663" spans="1:13">
      <c r="A663" t="s">
        <v>720</v>
      </c>
      <c r="B663" s="10">
        <v>3</v>
      </c>
      <c r="C663" s="10">
        <v>3.33</v>
      </c>
      <c r="D663" s="10">
        <v>3.1</v>
      </c>
      <c r="E663" s="10">
        <v>64.59999999999999</v>
      </c>
      <c r="F663" s="10">
        <v>4</v>
      </c>
      <c r="G663" s="10">
        <v>0</v>
      </c>
      <c r="H663" s="10">
        <v>0</v>
      </c>
      <c r="I663" s="10">
        <v>4</v>
      </c>
      <c r="J663">
        <v>2015</v>
      </c>
      <c r="K663">
        <v>10</v>
      </c>
      <c r="L663">
        <v>276</v>
      </c>
      <c r="M663" t="s">
        <v>59</v>
      </c>
    </row>
    <row r="664" spans="1:13">
      <c r="A664" t="s">
        <v>721</v>
      </c>
      <c r="B664" s="10">
        <v>9</v>
      </c>
      <c r="C664" s="10">
        <v>5.33</v>
      </c>
      <c r="D664" s="10">
        <v>8</v>
      </c>
      <c r="E664" s="10">
        <v>53.3</v>
      </c>
      <c r="F664" s="10">
        <v>8</v>
      </c>
      <c r="G664" s="10">
        <v>1</v>
      </c>
      <c r="H664" s="10">
        <v>2</v>
      </c>
      <c r="I664" s="10">
        <v>2</v>
      </c>
      <c r="J664">
        <v>2015</v>
      </c>
      <c r="K664">
        <v>10</v>
      </c>
      <c r="L664">
        <v>276</v>
      </c>
      <c r="M664" t="s">
        <v>61</v>
      </c>
    </row>
    <row r="665" spans="1:13">
      <c r="A665" t="s">
        <v>722</v>
      </c>
      <c r="B665" s="10">
        <v>4.33</v>
      </c>
      <c r="C665" s="10">
        <v>2</v>
      </c>
      <c r="D665" s="10">
        <v>8.5</v>
      </c>
      <c r="E665" s="10">
        <v>64.40000000000001</v>
      </c>
      <c r="F665" s="10">
        <v>7</v>
      </c>
      <c r="G665" s="10">
        <v>0</v>
      </c>
      <c r="H665" s="10">
        <v>8</v>
      </c>
      <c r="I665" s="10">
        <v>3</v>
      </c>
      <c r="J665">
        <v>2015</v>
      </c>
      <c r="K665">
        <v>10</v>
      </c>
      <c r="L665">
        <v>276</v>
      </c>
      <c r="M665" t="s">
        <v>63</v>
      </c>
    </row>
    <row r="666" spans="1:13">
      <c r="A666" t="s">
        <v>723</v>
      </c>
      <c r="B666" s="10">
        <v>1</v>
      </c>
      <c r="C666" s="10">
        <v>1.66</v>
      </c>
      <c r="D666" s="10">
        <v>1</v>
      </c>
      <c r="E666" s="10">
        <v>33</v>
      </c>
      <c r="F666" s="10">
        <v>11</v>
      </c>
      <c r="G666" s="10">
        <v>1</v>
      </c>
      <c r="H666" s="10">
        <v>6</v>
      </c>
      <c r="I666" s="10">
        <v>2</v>
      </c>
      <c r="J666">
        <v>2015</v>
      </c>
      <c r="K666">
        <v>10</v>
      </c>
      <c r="L666">
        <v>276</v>
      </c>
      <c r="M666" t="s">
        <v>65</v>
      </c>
    </row>
    <row r="667" spans="1:13">
      <c r="A667" t="s">
        <v>724</v>
      </c>
      <c r="B667" s="10">
        <v>2.33</v>
      </c>
      <c r="C667" s="10">
        <v>3.693</v>
      </c>
      <c r="D667" s="10">
        <v>1.3</v>
      </c>
      <c r="E667" s="10">
        <v>38.3</v>
      </c>
      <c r="F667" s="10">
        <v>8</v>
      </c>
      <c r="G667" s="10">
        <v>0</v>
      </c>
      <c r="H667" s="10">
        <v>0</v>
      </c>
      <c r="I667" s="10">
        <v>1</v>
      </c>
      <c r="J667">
        <v>2015</v>
      </c>
      <c r="K667">
        <v>10</v>
      </c>
      <c r="L667">
        <v>276</v>
      </c>
      <c r="M667" t="s">
        <v>53</v>
      </c>
    </row>
    <row r="668" spans="1:13">
      <c r="A668" t="s">
        <v>725</v>
      </c>
      <c r="B668" s="10">
        <v>5.33</v>
      </c>
      <c r="C668" s="10">
        <v>3.67</v>
      </c>
      <c r="D668" s="10">
        <v>3.2</v>
      </c>
      <c r="E668" s="10">
        <v>49.6</v>
      </c>
      <c r="F668" s="10">
        <v>8</v>
      </c>
      <c r="G668" s="10">
        <v>0</v>
      </c>
      <c r="H668" s="10">
        <v>5</v>
      </c>
      <c r="I668" s="10">
        <v>3</v>
      </c>
      <c r="J668">
        <v>2015</v>
      </c>
      <c r="K668">
        <v>10</v>
      </c>
      <c r="L668">
        <v>276</v>
      </c>
      <c r="M668" t="s">
        <v>55</v>
      </c>
    </row>
    <row r="669" spans="1:13">
      <c r="A669" t="s">
        <v>726</v>
      </c>
      <c r="B669" s="10">
        <v>5.66</v>
      </c>
      <c r="C669" s="10">
        <v>4.65</v>
      </c>
      <c r="D669" s="10">
        <v>8</v>
      </c>
      <c r="E669" s="10">
        <v>58.4</v>
      </c>
      <c r="F669" s="10">
        <v>6</v>
      </c>
      <c r="G669" s="10">
        <v>0</v>
      </c>
      <c r="H669" s="10">
        <v>7</v>
      </c>
      <c r="I669" s="10">
        <v>1</v>
      </c>
      <c r="J669">
        <v>2015</v>
      </c>
      <c r="K669">
        <v>10</v>
      </c>
      <c r="L669">
        <v>276</v>
      </c>
      <c r="M669" t="s">
        <v>57</v>
      </c>
    </row>
    <row r="670" spans="1:13">
      <c r="A670" t="s">
        <v>727</v>
      </c>
      <c r="B670" s="10">
        <v>2.33</v>
      </c>
      <c r="C670" s="10">
        <v>7.99</v>
      </c>
      <c r="D670" s="10">
        <v>5.6</v>
      </c>
      <c r="E670" s="10">
        <v>80.40000000000001</v>
      </c>
      <c r="F670" s="10">
        <v>11</v>
      </c>
      <c r="G670" s="10">
        <v>0</v>
      </c>
      <c r="H670" s="10">
        <v>5</v>
      </c>
      <c r="I670" s="10">
        <v>0</v>
      </c>
      <c r="J670">
        <v>2015</v>
      </c>
      <c r="K670">
        <v>11</v>
      </c>
      <c r="L670">
        <v>276</v>
      </c>
      <c r="M670" t="s">
        <v>59</v>
      </c>
    </row>
    <row r="671" spans="1:13">
      <c r="A671" t="s">
        <v>728</v>
      </c>
      <c r="B671" s="10">
        <v>4.66</v>
      </c>
      <c r="C671" s="10">
        <v>4.33</v>
      </c>
      <c r="D671" s="10">
        <v>4</v>
      </c>
      <c r="E671" s="10">
        <v>46.3</v>
      </c>
      <c r="F671" s="10">
        <v>7</v>
      </c>
      <c r="G671" s="10">
        <v>0</v>
      </c>
      <c r="H671" s="10">
        <v>7</v>
      </c>
      <c r="I671" s="10">
        <v>2</v>
      </c>
      <c r="J671">
        <v>2015</v>
      </c>
      <c r="K671">
        <v>11</v>
      </c>
      <c r="L671">
        <v>276</v>
      </c>
      <c r="M671" t="s">
        <v>61</v>
      </c>
    </row>
    <row r="672" spans="1:13">
      <c r="A672" t="s">
        <v>729</v>
      </c>
      <c r="B672" s="10">
        <v>1.34</v>
      </c>
      <c r="C672" s="10">
        <v>4.35</v>
      </c>
      <c r="D672" s="10">
        <v>4.3</v>
      </c>
      <c r="E672" s="10">
        <v>41.8</v>
      </c>
      <c r="F672" s="10">
        <v>5</v>
      </c>
      <c r="G672" s="10">
        <v>0</v>
      </c>
      <c r="H672" s="10">
        <v>3</v>
      </c>
      <c r="I672" s="10">
        <v>0</v>
      </c>
      <c r="J672">
        <v>2015</v>
      </c>
      <c r="K672">
        <v>11</v>
      </c>
      <c r="L672">
        <v>276</v>
      </c>
      <c r="M672" t="s">
        <v>63</v>
      </c>
    </row>
    <row r="673" spans="1:13">
      <c r="A673" t="s">
        <v>730</v>
      </c>
      <c r="B673" s="10">
        <v>8.5</v>
      </c>
      <c r="C673" s="10">
        <v>2.34</v>
      </c>
      <c r="D673" s="10">
        <v>3</v>
      </c>
      <c r="E673" s="10">
        <v>59.8</v>
      </c>
      <c r="F673" s="10">
        <v>18</v>
      </c>
      <c r="G673" s="10">
        <v>3</v>
      </c>
      <c r="H673" s="10">
        <v>3</v>
      </c>
      <c r="I673" s="10">
        <v>4</v>
      </c>
      <c r="J673">
        <v>2015</v>
      </c>
      <c r="K673">
        <v>11</v>
      </c>
      <c r="L673">
        <v>276</v>
      </c>
      <c r="M673" t="s">
        <v>65</v>
      </c>
    </row>
    <row r="674" spans="1:13">
      <c r="A674" t="s">
        <v>731</v>
      </c>
      <c r="B674" s="10">
        <v>4.33</v>
      </c>
      <c r="C674" s="10">
        <v>3.561</v>
      </c>
      <c r="D674" s="10">
        <v>7.4</v>
      </c>
      <c r="E674" s="10">
        <v>45</v>
      </c>
      <c r="F674" s="10">
        <v>3</v>
      </c>
      <c r="G674" s="10">
        <v>0</v>
      </c>
      <c r="H674" s="10">
        <v>0</v>
      </c>
      <c r="I674" s="10">
        <v>2</v>
      </c>
      <c r="J674">
        <v>2015</v>
      </c>
      <c r="K674">
        <v>11</v>
      </c>
      <c r="L674">
        <v>276</v>
      </c>
      <c r="M674" t="s">
        <v>53</v>
      </c>
    </row>
    <row r="675" spans="1:13">
      <c r="A675" t="s">
        <v>732</v>
      </c>
      <c r="B675" s="10">
        <v>3.33</v>
      </c>
      <c r="C675" s="10">
        <v>6.736</v>
      </c>
      <c r="D675" s="10">
        <v>4</v>
      </c>
      <c r="E675" s="10">
        <v>31.475</v>
      </c>
      <c r="F675" s="10">
        <v>5</v>
      </c>
      <c r="G675" s="10">
        <v>2</v>
      </c>
      <c r="H675" s="10">
        <v>1</v>
      </c>
      <c r="I675" s="10">
        <v>0</v>
      </c>
      <c r="J675">
        <v>2015</v>
      </c>
      <c r="K675">
        <v>11</v>
      </c>
      <c r="L675">
        <v>276</v>
      </c>
      <c r="M675" t="s">
        <v>55</v>
      </c>
    </row>
    <row r="676" spans="1:13">
      <c r="A676" t="s">
        <v>733</v>
      </c>
      <c r="B676" s="10">
        <v>4</v>
      </c>
      <c r="C676" s="10">
        <v>3.11</v>
      </c>
      <c r="D676" s="10">
        <v>4.8</v>
      </c>
      <c r="E676" s="10">
        <v>69.90000000000001</v>
      </c>
      <c r="F676" s="10">
        <v>15</v>
      </c>
      <c r="G676" s="10">
        <v>1</v>
      </c>
      <c r="H676" s="10">
        <v>6</v>
      </c>
      <c r="I676" s="10">
        <v>1</v>
      </c>
      <c r="J676">
        <v>2015</v>
      </c>
      <c r="K676">
        <v>11</v>
      </c>
      <c r="L676">
        <v>276</v>
      </c>
      <c r="M676" t="s">
        <v>57</v>
      </c>
    </row>
    <row r="677" spans="1:13">
      <c r="A677" t="s">
        <v>734</v>
      </c>
      <c r="B677" s="10">
        <v>6.33</v>
      </c>
      <c r="C677" s="10">
        <v>3.67</v>
      </c>
      <c r="D677" s="10">
        <v>7.2</v>
      </c>
      <c r="E677" s="10">
        <v>48.6</v>
      </c>
      <c r="F677" s="10">
        <v>7</v>
      </c>
      <c r="G677" s="10">
        <v>0</v>
      </c>
      <c r="H677" s="10">
        <v>13</v>
      </c>
      <c r="I677" s="10">
        <v>1</v>
      </c>
      <c r="J677">
        <v>2015</v>
      </c>
      <c r="K677">
        <v>11</v>
      </c>
      <c r="L677">
        <v>276</v>
      </c>
      <c r="M677" t="s">
        <v>59</v>
      </c>
    </row>
    <row r="678" spans="1:13">
      <c r="A678" t="s">
        <v>735</v>
      </c>
      <c r="B678" s="10">
        <v>3.66</v>
      </c>
      <c r="C678" s="10">
        <v>6.198</v>
      </c>
      <c r="D678" s="10">
        <v>4.2</v>
      </c>
      <c r="E678" s="10">
        <v>40.75</v>
      </c>
      <c r="F678" s="10">
        <v>3</v>
      </c>
      <c r="G678" s="10">
        <v>1</v>
      </c>
      <c r="H678" s="10">
        <v>12</v>
      </c>
      <c r="I678" s="10">
        <v>1</v>
      </c>
      <c r="J678">
        <v>2015</v>
      </c>
      <c r="K678">
        <v>11</v>
      </c>
      <c r="L678">
        <v>276</v>
      </c>
      <c r="M678" t="s">
        <v>61</v>
      </c>
    </row>
    <row r="679" spans="1:13">
      <c r="A679" t="s">
        <v>736</v>
      </c>
      <c r="B679" s="10">
        <v>6.33</v>
      </c>
      <c r="C679" s="10">
        <v>7.482</v>
      </c>
      <c r="D679" s="10">
        <v>10</v>
      </c>
      <c r="E679" s="10">
        <v>41.2</v>
      </c>
      <c r="F679" s="10">
        <v>8</v>
      </c>
      <c r="G679" s="10">
        <v>0</v>
      </c>
      <c r="H679" s="10">
        <v>9</v>
      </c>
      <c r="I679" s="10">
        <v>2</v>
      </c>
      <c r="J679">
        <v>2015</v>
      </c>
      <c r="K679">
        <v>11</v>
      </c>
      <c r="L679">
        <v>276</v>
      </c>
      <c r="M679" t="s">
        <v>63</v>
      </c>
    </row>
    <row r="680" spans="1:13">
      <c r="A680" t="s">
        <v>737</v>
      </c>
      <c r="B680" s="10">
        <v>9.66</v>
      </c>
      <c r="C680" s="10">
        <v>5.34</v>
      </c>
      <c r="D680" s="10">
        <v>7.2</v>
      </c>
      <c r="E680" s="10">
        <v>60</v>
      </c>
      <c r="F680" s="10">
        <v>4</v>
      </c>
      <c r="G680" s="10">
        <v>0</v>
      </c>
      <c r="H680" s="10">
        <v>12</v>
      </c>
      <c r="I680" s="10">
        <v>3</v>
      </c>
      <c r="J680">
        <v>2015</v>
      </c>
      <c r="K680">
        <v>11</v>
      </c>
      <c r="L680">
        <v>276</v>
      </c>
      <c r="M680" t="s">
        <v>65</v>
      </c>
    </row>
    <row r="681" spans="1:13">
      <c r="A681" t="s">
        <v>738</v>
      </c>
      <c r="B681" s="10">
        <v>6</v>
      </c>
      <c r="C681" s="10">
        <v>4.33</v>
      </c>
      <c r="D681" s="10">
        <v>6</v>
      </c>
      <c r="E681" s="10">
        <v>24</v>
      </c>
      <c r="F681" s="10">
        <v>11</v>
      </c>
      <c r="G681" s="10">
        <v>0</v>
      </c>
      <c r="H681" s="10">
        <v>20</v>
      </c>
      <c r="I681" s="10">
        <v>0</v>
      </c>
      <c r="J681">
        <v>2015</v>
      </c>
      <c r="K681">
        <v>11</v>
      </c>
      <c r="L681">
        <v>276</v>
      </c>
      <c r="M681" t="s">
        <v>53</v>
      </c>
    </row>
    <row r="682" spans="1:13">
      <c r="A682" t="s">
        <v>739</v>
      </c>
      <c r="B682" s="10">
        <v>5</v>
      </c>
      <c r="C682" s="10">
        <v>2.44</v>
      </c>
      <c r="D682" s="10">
        <v>2</v>
      </c>
      <c r="E682" s="10">
        <v>22</v>
      </c>
      <c r="F682" s="10">
        <v>13</v>
      </c>
      <c r="G682" s="10">
        <v>0</v>
      </c>
      <c r="H682" s="10">
        <v>0</v>
      </c>
      <c r="I682" s="10">
        <v>0</v>
      </c>
      <c r="J682">
        <v>2015</v>
      </c>
      <c r="K682">
        <v>11</v>
      </c>
      <c r="L682">
        <v>276</v>
      </c>
      <c r="M682" t="s">
        <v>55</v>
      </c>
    </row>
    <row r="683" spans="1:13">
      <c r="A683" t="s">
        <v>740</v>
      </c>
      <c r="B683" s="10">
        <v>4.99</v>
      </c>
      <c r="C683" s="10">
        <v>0.33</v>
      </c>
      <c r="D683" s="10">
        <v>3.7</v>
      </c>
      <c r="E683" s="10">
        <v>19</v>
      </c>
      <c r="F683" s="10">
        <v>5</v>
      </c>
      <c r="G683" s="10">
        <v>1</v>
      </c>
      <c r="H683" s="10">
        <v>0</v>
      </c>
      <c r="I683" s="10">
        <v>1</v>
      </c>
      <c r="J683">
        <v>2015</v>
      </c>
      <c r="K683">
        <v>11</v>
      </c>
      <c r="L683">
        <v>276</v>
      </c>
      <c r="M683" t="s">
        <v>57</v>
      </c>
    </row>
    <row r="684" spans="1:13">
      <c r="A684" t="s">
        <v>741</v>
      </c>
      <c r="B684" s="10">
        <v>1.33</v>
      </c>
      <c r="C684" s="10">
        <v>11.99</v>
      </c>
      <c r="D684" s="10">
        <v>9.300000000000001</v>
      </c>
      <c r="E684" s="10">
        <v>42.35</v>
      </c>
      <c r="F684" s="10">
        <v>8</v>
      </c>
      <c r="G684" s="10">
        <v>2</v>
      </c>
      <c r="H684" s="10">
        <v>17</v>
      </c>
      <c r="I684" s="10">
        <v>0</v>
      </c>
      <c r="J684">
        <v>2015</v>
      </c>
      <c r="K684">
        <v>11</v>
      </c>
      <c r="L684">
        <v>276</v>
      </c>
      <c r="M684" t="s">
        <v>59</v>
      </c>
    </row>
    <row r="685" spans="1:13">
      <c r="A685" t="s">
        <v>742</v>
      </c>
      <c r="B685" s="10">
        <v>5.67</v>
      </c>
      <c r="C685" s="10">
        <v>3.67</v>
      </c>
      <c r="D685" s="10">
        <v>6</v>
      </c>
      <c r="E685" s="10">
        <v>50.3</v>
      </c>
      <c r="F685" s="10">
        <v>9</v>
      </c>
      <c r="G685" s="10">
        <v>0</v>
      </c>
      <c r="H685" s="10">
        <v>3</v>
      </c>
      <c r="I685" s="10">
        <v>2</v>
      </c>
      <c r="J685">
        <v>2015</v>
      </c>
      <c r="K685">
        <v>11</v>
      </c>
      <c r="L685">
        <v>276</v>
      </c>
      <c r="M685" t="s">
        <v>61</v>
      </c>
    </row>
    <row r="686" spans="1:13">
      <c r="A686" t="s">
        <v>743</v>
      </c>
      <c r="B686" s="10">
        <v>6.34</v>
      </c>
      <c r="C686" s="10">
        <v>4.693</v>
      </c>
      <c r="D686" s="10">
        <v>4.7</v>
      </c>
      <c r="E686" s="10">
        <v>60</v>
      </c>
      <c r="F686" s="10">
        <v>1</v>
      </c>
      <c r="G686" s="10">
        <v>0</v>
      </c>
      <c r="H686" s="10">
        <v>0</v>
      </c>
      <c r="I686" s="10">
        <v>2</v>
      </c>
      <c r="J686">
        <v>2015</v>
      </c>
      <c r="K686">
        <v>11</v>
      </c>
      <c r="L686">
        <v>276</v>
      </c>
      <c r="M686" t="s">
        <v>63</v>
      </c>
    </row>
    <row r="687" spans="1:13">
      <c r="A687" t="s">
        <v>744</v>
      </c>
      <c r="B687" s="10">
        <v>6.34</v>
      </c>
      <c r="C687" s="10">
        <v>5.33</v>
      </c>
      <c r="D687" s="10">
        <v>5.5</v>
      </c>
      <c r="E687" s="10">
        <v>24.5</v>
      </c>
      <c r="F687" s="10">
        <v>11</v>
      </c>
      <c r="G687" s="10">
        <v>0</v>
      </c>
      <c r="H687" s="10">
        <v>0</v>
      </c>
      <c r="I687" s="10">
        <v>2</v>
      </c>
      <c r="J687">
        <v>2015</v>
      </c>
      <c r="K687">
        <v>11</v>
      </c>
      <c r="L687">
        <v>276</v>
      </c>
      <c r="M687" t="s">
        <v>65</v>
      </c>
    </row>
    <row r="688" spans="1:13">
      <c r="A688" t="s">
        <v>745</v>
      </c>
      <c r="B688" s="10">
        <v>2</v>
      </c>
      <c r="C688" s="10">
        <v>2.99</v>
      </c>
      <c r="D688" s="10">
        <v>2.1</v>
      </c>
      <c r="E688" s="10">
        <v>26.4</v>
      </c>
      <c r="F688" s="10">
        <v>22</v>
      </c>
      <c r="G688" s="10">
        <v>0</v>
      </c>
      <c r="H688" s="10">
        <v>0</v>
      </c>
      <c r="I688" s="10">
        <v>0</v>
      </c>
      <c r="J688">
        <v>2015</v>
      </c>
      <c r="K688">
        <v>11</v>
      </c>
      <c r="L688">
        <v>276</v>
      </c>
      <c r="M688" t="s">
        <v>53</v>
      </c>
    </row>
    <row r="689" spans="1:13">
      <c r="A689" t="s">
        <v>746</v>
      </c>
      <c r="B689" s="10">
        <v>5.66</v>
      </c>
      <c r="C689" s="10">
        <v>1.66</v>
      </c>
      <c r="D689" s="10">
        <v>3.8</v>
      </c>
      <c r="E689" s="10">
        <v>25.6</v>
      </c>
      <c r="F689" s="10">
        <v>2</v>
      </c>
      <c r="G689" s="10">
        <v>2</v>
      </c>
      <c r="H689" s="10">
        <v>10</v>
      </c>
      <c r="I689" s="10">
        <v>3</v>
      </c>
      <c r="J689">
        <v>2015</v>
      </c>
      <c r="K689">
        <v>11</v>
      </c>
      <c r="L689">
        <v>276</v>
      </c>
      <c r="M689" t="s">
        <v>55</v>
      </c>
    </row>
    <row r="690" spans="1:13">
      <c r="A690" t="s">
        <v>747</v>
      </c>
      <c r="B690" s="10">
        <v>4</v>
      </c>
      <c r="C690" s="10">
        <v>2.01</v>
      </c>
      <c r="D690" s="10">
        <v>5.2</v>
      </c>
      <c r="E690" s="10">
        <v>45.5</v>
      </c>
      <c r="F690" s="10">
        <v>4</v>
      </c>
      <c r="G690" s="10">
        <v>0</v>
      </c>
      <c r="H690" s="10">
        <v>17</v>
      </c>
      <c r="I690" s="10">
        <v>3</v>
      </c>
      <c r="J690">
        <v>2015</v>
      </c>
      <c r="K690">
        <v>11</v>
      </c>
      <c r="L690">
        <v>276</v>
      </c>
      <c r="M690" t="s">
        <v>57</v>
      </c>
    </row>
    <row r="691" spans="1:13">
      <c r="A691" t="s">
        <v>748</v>
      </c>
      <c r="B691" s="10">
        <v>2</v>
      </c>
      <c r="C691" s="10">
        <v>3.439</v>
      </c>
      <c r="D691" s="10">
        <v>2.6</v>
      </c>
      <c r="E691" s="10">
        <v>41.2</v>
      </c>
      <c r="F691" s="10">
        <v>6</v>
      </c>
      <c r="G691" s="10">
        <v>2</v>
      </c>
      <c r="H691" s="10">
        <v>2</v>
      </c>
      <c r="I691" s="10">
        <v>1</v>
      </c>
      <c r="J691">
        <v>2015</v>
      </c>
      <c r="K691">
        <v>11</v>
      </c>
      <c r="L691">
        <v>276</v>
      </c>
      <c r="M691" t="s">
        <v>59</v>
      </c>
    </row>
    <row r="692" spans="1:13">
      <c r="A692" t="s">
        <v>749</v>
      </c>
      <c r="B692" s="10">
        <v>3</v>
      </c>
      <c r="C692" s="10">
        <v>1</v>
      </c>
      <c r="D692" s="10">
        <v>4.7</v>
      </c>
      <c r="E692" s="10">
        <v>69</v>
      </c>
      <c r="F692" s="10">
        <v>3</v>
      </c>
      <c r="G692" s="10">
        <v>0</v>
      </c>
      <c r="H692" s="10">
        <v>1</v>
      </c>
      <c r="I692" s="10">
        <v>2</v>
      </c>
      <c r="J692">
        <v>2015</v>
      </c>
      <c r="K692">
        <v>11</v>
      </c>
      <c r="L692">
        <v>276</v>
      </c>
      <c r="M692" t="s">
        <v>61</v>
      </c>
    </row>
    <row r="693" spans="1:13">
      <c r="A693" t="s">
        <v>750</v>
      </c>
      <c r="B693" s="10">
        <v>5</v>
      </c>
      <c r="C693" s="10">
        <v>6.33</v>
      </c>
      <c r="D693" s="10">
        <v>6.4</v>
      </c>
      <c r="E693" s="10">
        <v>19.8</v>
      </c>
      <c r="F693" s="10">
        <v>12</v>
      </c>
      <c r="G693" s="10">
        <v>3</v>
      </c>
      <c r="H693" s="10">
        <v>1</v>
      </c>
      <c r="I693" s="10">
        <v>5</v>
      </c>
      <c r="J693">
        <v>2015</v>
      </c>
      <c r="K693">
        <v>11</v>
      </c>
      <c r="L693">
        <v>276</v>
      </c>
      <c r="M693" t="s">
        <v>63</v>
      </c>
    </row>
    <row r="694" spans="1:13">
      <c r="A694" t="s">
        <v>751</v>
      </c>
      <c r="B694" s="10">
        <v>5.66</v>
      </c>
      <c r="C694" s="10">
        <v>5.33</v>
      </c>
      <c r="D694" s="10">
        <v>3.2</v>
      </c>
      <c r="E694" s="10">
        <v>29</v>
      </c>
      <c r="F694" s="10">
        <v>11</v>
      </c>
      <c r="G694" s="10">
        <v>0</v>
      </c>
      <c r="H694" s="10">
        <v>3</v>
      </c>
      <c r="I694" s="10">
        <v>3</v>
      </c>
      <c r="J694">
        <v>2015</v>
      </c>
      <c r="K694">
        <v>11</v>
      </c>
      <c r="L694">
        <v>276</v>
      </c>
      <c r="M694" t="s">
        <v>65</v>
      </c>
    </row>
    <row r="695" spans="1:13">
      <c r="A695" t="s">
        <v>752</v>
      </c>
      <c r="B695" s="10">
        <v>4.33</v>
      </c>
      <c r="C695" s="10">
        <v>4</v>
      </c>
      <c r="D695" s="10">
        <v>2</v>
      </c>
      <c r="E695" s="10">
        <v>25.975</v>
      </c>
      <c r="F695" s="10">
        <v>8</v>
      </c>
      <c r="G695" s="10">
        <v>0</v>
      </c>
      <c r="H695" s="10">
        <v>0</v>
      </c>
      <c r="I695" s="10">
        <v>0</v>
      </c>
      <c r="J695">
        <v>2015</v>
      </c>
      <c r="K695">
        <v>11</v>
      </c>
      <c r="L695">
        <v>276</v>
      </c>
      <c r="M695" t="s">
        <v>53</v>
      </c>
    </row>
    <row r="696" spans="1:13">
      <c r="A696" t="s">
        <v>753</v>
      </c>
      <c r="B696" s="10">
        <v>0.67</v>
      </c>
      <c r="C696" s="10">
        <v>4.373</v>
      </c>
      <c r="D696" s="10">
        <v>2</v>
      </c>
      <c r="E696" s="10">
        <v>20.8</v>
      </c>
      <c r="F696" s="10">
        <v>7</v>
      </c>
      <c r="G696" s="10">
        <v>0</v>
      </c>
      <c r="H696" s="10">
        <v>0</v>
      </c>
      <c r="I696" s="10">
        <v>0</v>
      </c>
      <c r="J696">
        <v>2015</v>
      </c>
      <c r="K696">
        <v>11</v>
      </c>
      <c r="L696">
        <v>276</v>
      </c>
      <c r="M696" t="s">
        <v>55</v>
      </c>
    </row>
    <row r="697" spans="1:13">
      <c r="A697" t="s">
        <v>754</v>
      </c>
      <c r="B697" s="10">
        <v>6.33</v>
      </c>
      <c r="C697" s="10">
        <v>3.66</v>
      </c>
      <c r="D697" s="10">
        <v>4</v>
      </c>
      <c r="E697" s="10">
        <v>46.825</v>
      </c>
      <c r="F697" s="10">
        <v>3</v>
      </c>
      <c r="G697" s="10">
        <v>0</v>
      </c>
      <c r="H697" s="10">
        <v>10</v>
      </c>
      <c r="I697" s="10">
        <v>1</v>
      </c>
      <c r="J697">
        <v>2015</v>
      </c>
      <c r="K697">
        <v>11</v>
      </c>
      <c r="L697">
        <v>276</v>
      </c>
      <c r="M697" t="s">
        <v>57</v>
      </c>
    </row>
    <row r="698" spans="1:13">
      <c r="A698" t="s">
        <v>755</v>
      </c>
      <c r="B698" s="10">
        <v>6.66</v>
      </c>
      <c r="C698" s="10">
        <v>3.726</v>
      </c>
      <c r="D698" s="10">
        <v>6</v>
      </c>
      <c r="E698" s="10">
        <v>42.2</v>
      </c>
      <c r="F698" s="10">
        <v>1</v>
      </c>
      <c r="G698" s="10">
        <v>0</v>
      </c>
      <c r="H698" s="10">
        <v>4</v>
      </c>
      <c r="I698" s="10">
        <v>0</v>
      </c>
      <c r="J698">
        <v>2015</v>
      </c>
      <c r="K698">
        <v>11</v>
      </c>
      <c r="L698">
        <v>276</v>
      </c>
      <c r="M698" t="s">
        <v>59</v>
      </c>
    </row>
    <row r="699" spans="1:13">
      <c r="A699" t="s">
        <v>756</v>
      </c>
      <c r="B699" s="10">
        <v>7.33</v>
      </c>
      <c r="C699" s="10">
        <v>1.825</v>
      </c>
      <c r="D699" s="10">
        <v>5</v>
      </c>
      <c r="E699" s="10">
        <v>35.3</v>
      </c>
      <c r="F699" s="10">
        <v>5</v>
      </c>
      <c r="G699" s="10">
        <v>1</v>
      </c>
      <c r="H699" s="10">
        <v>6</v>
      </c>
      <c r="I699" s="10">
        <v>3</v>
      </c>
      <c r="J699">
        <v>2015</v>
      </c>
      <c r="K699">
        <v>11</v>
      </c>
      <c r="L699">
        <v>276</v>
      </c>
      <c r="M699" t="s">
        <v>61</v>
      </c>
    </row>
    <row r="700" spans="1:13">
      <c r="A700" t="s">
        <v>757</v>
      </c>
      <c r="B700" s="10">
        <v>1.99</v>
      </c>
      <c r="C700" s="10">
        <v>2.023</v>
      </c>
      <c r="D700" s="10">
        <v>6.3</v>
      </c>
      <c r="E700" s="10">
        <v>23.9</v>
      </c>
      <c r="F700" s="10">
        <v>4</v>
      </c>
      <c r="G700" s="10">
        <v>1</v>
      </c>
      <c r="H700" s="10">
        <v>5</v>
      </c>
      <c r="I700" s="10">
        <v>1</v>
      </c>
      <c r="J700">
        <v>2015</v>
      </c>
      <c r="K700">
        <v>12</v>
      </c>
      <c r="L700">
        <v>276</v>
      </c>
      <c r="M700" t="s">
        <v>63</v>
      </c>
    </row>
    <row r="701" spans="1:13">
      <c r="A701" t="s">
        <v>758</v>
      </c>
      <c r="B701" s="10">
        <v>1</v>
      </c>
      <c r="C701" s="10">
        <v>3.33</v>
      </c>
      <c r="D701" s="10">
        <v>2.4</v>
      </c>
      <c r="E701" s="10">
        <v>42</v>
      </c>
      <c r="F701" s="10">
        <v>23</v>
      </c>
      <c r="G701" s="10">
        <v>4</v>
      </c>
      <c r="H701" s="10">
        <v>0</v>
      </c>
      <c r="I701" s="10">
        <v>0</v>
      </c>
      <c r="J701">
        <v>2015</v>
      </c>
      <c r="K701">
        <v>12</v>
      </c>
      <c r="L701">
        <v>276</v>
      </c>
      <c r="M701" t="s">
        <v>65</v>
      </c>
    </row>
    <row r="702" spans="1:13">
      <c r="A702" t="s">
        <v>759</v>
      </c>
      <c r="B702" s="10">
        <v>4</v>
      </c>
      <c r="C702" s="10">
        <v>3</v>
      </c>
      <c r="D702" s="10">
        <v>5.6</v>
      </c>
      <c r="E702" s="10">
        <v>56</v>
      </c>
      <c r="F702" s="10">
        <v>6</v>
      </c>
      <c r="G702" s="10">
        <v>1</v>
      </c>
      <c r="H702" s="10">
        <v>1</v>
      </c>
      <c r="I702" s="10">
        <v>1</v>
      </c>
      <c r="J702">
        <v>2015</v>
      </c>
      <c r="K702">
        <v>12</v>
      </c>
      <c r="L702">
        <v>276</v>
      </c>
      <c r="M702" t="s">
        <v>53</v>
      </c>
    </row>
    <row r="703" spans="1:13">
      <c r="A703" t="s">
        <v>760</v>
      </c>
      <c r="B703" s="10">
        <v>3.33</v>
      </c>
      <c r="C703" s="10">
        <v>4.759</v>
      </c>
      <c r="D703" s="10">
        <v>4.7</v>
      </c>
      <c r="E703" s="10">
        <v>25.6</v>
      </c>
      <c r="F703" s="10">
        <v>9</v>
      </c>
      <c r="G703" s="10">
        <v>3</v>
      </c>
      <c r="H703" s="10">
        <v>3</v>
      </c>
      <c r="I703" s="10">
        <v>1</v>
      </c>
      <c r="J703">
        <v>2015</v>
      </c>
      <c r="K703">
        <v>12</v>
      </c>
      <c r="L703">
        <v>276</v>
      </c>
      <c r="M703" t="s">
        <v>55</v>
      </c>
    </row>
    <row r="704" spans="1:13">
      <c r="A704" t="s">
        <v>761</v>
      </c>
      <c r="B704" s="10">
        <v>8</v>
      </c>
      <c r="C704" s="10">
        <v>3.033</v>
      </c>
      <c r="D704" s="10">
        <v>2</v>
      </c>
      <c r="E704" s="10">
        <v>35.05</v>
      </c>
      <c r="F704" s="10">
        <v>2</v>
      </c>
      <c r="G704" s="10">
        <v>0</v>
      </c>
      <c r="H704" s="10">
        <v>7</v>
      </c>
      <c r="I704" s="10">
        <v>2.33</v>
      </c>
      <c r="J704">
        <v>2015</v>
      </c>
      <c r="K704">
        <v>12</v>
      </c>
      <c r="L704">
        <v>276</v>
      </c>
      <c r="M704" t="s">
        <v>57</v>
      </c>
    </row>
    <row r="705" spans="1:13">
      <c r="A705" t="s">
        <v>762</v>
      </c>
      <c r="B705" s="10">
        <v>5.67</v>
      </c>
      <c r="C705" s="10">
        <v>7</v>
      </c>
      <c r="D705" s="10">
        <v>3.4</v>
      </c>
      <c r="E705" s="10">
        <v>60.4</v>
      </c>
      <c r="F705" s="10">
        <v>5</v>
      </c>
      <c r="G705" s="10">
        <v>2</v>
      </c>
      <c r="H705" s="10">
        <v>3</v>
      </c>
      <c r="I705" s="10">
        <v>1</v>
      </c>
      <c r="J705">
        <v>2015</v>
      </c>
      <c r="K705">
        <v>12</v>
      </c>
      <c r="L705">
        <v>276</v>
      </c>
      <c r="M705" t="s">
        <v>59</v>
      </c>
    </row>
    <row r="706" spans="1:13">
      <c r="A706" t="s">
        <v>763</v>
      </c>
      <c r="B706" s="10">
        <v>3</v>
      </c>
      <c r="C706" s="10">
        <v>2.099</v>
      </c>
      <c r="D706" s="10">
        <v>2.2</v>
      </c>
      <c r="E706" s="10">
        <v>26.5</v>
      </c>
      <c r="F706" s="10">
        <v>6</v>
      </c>
      <c r="G706" s="10">
        <v>1</v>
      </c>
      <c r="H706" s="10">
        <v>11</v>
      </c>
      <c r="I706" s="10">
        <v>6</v>
      </c>
      <c r="J706">
        <v>2015</v>
      </c>
      <c r="K706">
        <v>12</v>
      </c>
      <c r="L706">
        <v>276</v>
      </c>
      <c r="M706" t="s">
        <v>61</v>
      </c>
    </row>
    <row r="707" spans="1:13">
      <c r="A707" t="s">
        <v>764</v>
      </c>
      <c r="B707" s="10">
        <v>2</v>
      </c>
      <c r="C707" s="10">
        <v>6.34</v>
      </c>
      <c r="D707" s="10">
        <v>2</v>
      </c>
      <c r="E707" s="10">
        <v>41.325</v>
      </c>
      <c r="F707" s="10">
        <v>8</v>
      </c>
      <c r="G707" s="10">
        <v>0</v>
      </c>
      <c r="H707" s="10">
        <v>0</v>
      </c>
      <c r="I707" s="10">
        <v>0</v>
      </c>
      <c r="J707">
        <v>2015</v>
      </c>
      <c r="K707">
        <v>12</v>
      </c>
      <c r="L707">
        <v>276</v>
      </c>
      <c r="M707" t="s">
        <v>63</v>
      </c>
    </row>
    <row r="708" spans="1:13">
      <c r="A708" t="s">
        <v>765</v>
      </c>
      <c r="B708" s="10">
        <v>3.34</v>
      </c>
      <c r="C708" s="10">
        <v>3.472</v>
      </c>
      <c r="D708" s="10">
        <v>7</v>
      </c>
      <c r="E708" s="10">
        <v>41.262</v>
      </c>
      <c r="F708" s="10">
        <v>16</v>
      </c>
      <c r="G708" s="10">
        <v>0</v>
      </c>
      <c r="H708" s="10">
        <v>3</v>
      </c>
      <c r="I708" s="10">
        <v>1</v>
      </c>
      <c r="J708">
        <v>2015</v>
      </c>
      <c r="K708">
        <v>12</v>
      </c>
      <c r="L708">
        <v>276</v>
      </c>
      <c r="M708" t="s">
        <v>65</v>
      </c>
    </row>
    <row r="709" spans="1:13">
      <c r="A709" t="s">
        <v>766</v>
      </c>
      <c r="B709" s="10">
        <v>11.66</v>
      </c>
      <c r="C709" s="10">
        <v>10.69</v>
      </c>
      <c r="D709" s="10">
        <v>16</v>
      </c>
      <c r="E709" s="10">
        <v>31.9</v>
      </c>
      <c r="F709" s="10">
        <v>9</v>
      </c>
      <c r="G709" s="10">
        <v>0</v>
      </c>
      <c r="H709" s="10">
        <v>9</v>
      </c>
      <c r="I709" s="10">
        <v>2.1</v>
      </c>
      <c r="J709">
        <v>2015</v>
      </c>
      <c r="K709">
        <v>12</v>
      </c>
      <c r="L709">
        <v>276</v>
      </c>
      <c r="M709" t="s">
        <v>53</v>
      </c>
    </row>
    <row r="710" spans="1:13">
      <c r="A710" t="s">
        <v>767</v>
      </c>
      <c r="B710" s="10">
        <v>5.84</v>
      </c>
      <c r="C710" s="10">
        <v>6.165</v>
      </c>
      <c r="D710" s="10">
        <v>3</v>
      </c>
      <c r="E710" s="10">
        <v>22.7</v>
      </c>
      <c r="F710" s="10">
        <v>9</v>
      </c>
      <c r="G710" s="10">
        <v>0</v>
      </c>
      <c r="H710" s="10">
        <v>16</v>
      </c>
      <c r="I710" s="10">
        <v>1</v>
      </c>
      <c r="J710">
        <v>2015</v>
      </c>
      <c r="K710">
        <v>12</v>
      </c>
      <c r="L710">
        <v>276</v>
      </c>
      <c r="M710" t="s">
        <v>55</v>
      </c>
    </row>
    <row r="711" spans="1:13">
      <c r="A711" t="s">
        <v>768</v>
      </c>
      <c r="B711" s="10">
        <v>6.34</v>
      </c>
      <c r="C711" s="10">
        <v>3.2</v>
      </c>
      <c r="D711" s="10">
        <v>3</v>
      </c>
      <c r="E711" s="10">
        <v>42.2</v>
      </c>
      <c r="F711" s="10">
        <v>5</v>
      </c>
      <c r="G711" s="10">
        <v>2</v>
      </c>
      <c r="H711" s="10">
        <v>6</v>
      </c>
      <c r="I711" s="10">
        <v>1</v>
      </c>
      <c r="J711">
        <v>2015</v>
      </c>
      <c r="K711">
        <v>12</v>
      </c>
      <c r="L711">
        <v>276</v>
      </c>
      <c r="M711" t="s">
        <v>57</v>
      </c>
    </row>
    <row r="712" spans="1:13">
      <c r="A712" t="s">
        <v>769</v>
      </c>
      <c r="B712" s="10">
        <v>9.33</v>
      </c>
      <c r="C712" s="10">
        <v>4.32</v>
      </c>
      <c r="D712" s="10">
        <v>7</v>
      </c>
      <c r="E712" s="10">
        <v>29</v>
      </c>
      <c r="F712" s="10">
        <v>5</v>
      </c>
      <c r="G712" s="10">
        <v>0</v>
      </c>
      <c r="H712" s="10">
        <v>27</v>
      </c>
      <c r="I712" s="10">
        <v>0</v>
      </c>
      <c r="J712">
        <v>2015</v>
      </c>
      <c r="K712">
        <v>12</v>
      </c>
      <c r="L712">
        <v>276</v>
      </c>
      <c r="M712" t="s">
        <v>59</v>
      </c>
    </row>
    <row r="713" spans="1:13">
      <c r="A713" t="s">
        <v>770</v>
      </c>
      <c r="B713" s="10">
        <v>5</v>
      </c>
      <c r="C713" s="10">
        <v>3</v>
      </c>
      <c r="D713" s="10">
        <v>6.6</v>
      </c>
      <c r="E713" s="10">
        <v>37.4</v>
      </c>
      <c r="F713" s="10">
        <v>11</v>
      </c>
      <c r="G713" s="10">
        <v>0</v>
      </c>
      <c r="H713" s="10">
        <v>21</v>
      </c>
      <c r="I713" s="10">
        <v>1</v>
      </c>
      <c r="J713">
        <v>2015</v>
      </c>
      <c r="K713">
        <v>12</v>
      </c>
      <c r="L713">
        <v>276</v>
      </c>
      <c r="M713" t="s">
        <v>61</v>
      </c>
    </row>
    <row r="714" spans="1:13">
      <c r="A714" t="s">
        <v>771</v>
      </c>
      <c r="B714" s="10">
        <v>4.99</v>
      </c>
      <c r="C714" s="10">
        <v>2</v>
      </c>
      <c r="D714" s="10">
        <v>5</v>
      </c>
      <c r="E714" s="10">
        <v>42</v>
      </c>
      <c r="F714" s="10">
        <v>3</v>
      </c>
      <c r="G714" s="10">
        <v>1</v>
      </c>
      <c r="H714" s="10">
        <v>2</v>
      </c>
      <c r="I714" s="10">
        <v>1</v>
      </c>
      <c r="J714">
        <v>2015</v>
      </c>
      <c r="K714">
        <v>12</v>
      </c>
      <c r="L714">
        <v>276</v>
      </c>
      <c r="M714" t="s">
        <v>63</v>
      </c>
    </row>
    <row r="715" spans="1:13">
      <c r="A715" t="s">
        <v>772</v>
      </c>
      <c r="B715" s="10">
        <v>6.67</v>
      </c>
      <c r="C715" s="10">
        <v>4</v>
      </c>
      <c r="D715" s="10">
        <v>4</v>
      </c>
      <c r="E715" s="10">
        <v>42</v>
      </c>
      <c r="F715" s="10">
        <v>11</v>
      </c>
      <c r="G715" s="10">
        <v>1</v>
      </c>
      <c r="H715" s="10">
        <v>11</v>
      </c>
      <c r="I715" s="10">
        <v>0</v>
      </c>
      <c r="J715">
        <v>2015</v>
      </c>
      <c r="K715">
        <v>12</v>
      </c>
      <c r="L715">
        <v>276</v>
      </c>
      <c r="M715" t="s">
        <v>65</v>
      </c>
    </row>
    <row r="716" spans="1:13">
      <c r="A716" t="s">
        <v>773</v>
      </c>
      <c r="B716" s="10">
        <v>9</v>
      </c>
      <c r="C716" s="10">
        <v>3.01</v>
      </c>
      <c r="D716" s="10">
        <v>3</v>
      </c>
      <c r="E716" s="10">
        <v>25</v>
      </c>
      <c r="F716" s="10">
        <v>7</v>
      </c>
      <c r="G716" s="10">
        <v>0</v>
      </c>
      <c r="H716" s="10">
        <v>0</v>
      </c>
      <c r="I716" s="10">
        <v>2</v>
      </c>
      <c r="J716">
        <v>2015</v>
      </c>
      <c r="K716">
        <v>12</v>
      </c>
      <c r="L716">
        <v>276</v>
      </c>
      <c r="M716" t="s">
        <v>53</v>
      </c>
    </row>
    <row r="717" spans="1:13">
      <c r="A717" t="s">
        <v>774</v>
      </c>
      <c r="B717" s="10">
        <v>4.33</v>
      </c>
      <c r="C717" s="10">
        <v>8.901</v>
      </c>
      <c r="D717" s="10">
        <v>4.3</v>
      </c>
      <c r="E717" s="10">
        <v>27.2</v>
      </c>
      <c r="F717" s="10">
        <v>12</v>
      </c>
      <c r="G717" s="10">
        <v>4</v>
      </c>
      <c r="H717" s="10">
        <v>2</v>
      </c>
      <c r="I717" s="10">
        <v>1</v>
      </c>
      <c r="J717">
        <v>2015</v>
      </c>
      <c r="K717">
        <v>12</v>
      </c>
      <c r="L717">
        <v>276</v>
      </c>
      <c r="M717" t="s">
        <v>55</v>
      </c>
    </row>
    <row r="718" spans="1:13">
      <c r="A718" t="s">
        <v>775</v>
      </c>
      <c r="B718" s="10">
        <v>0</v>
      </c>
      <c r="C718" s="10">
        <v>0</v>
      </c>
      <c r="D718" s="10">
        <v>0</v>
      </c>
      <c r="E718" s="10">
        <v>0</v>
      </c>
      <c r="F718" s="10">
        <v>0</v>
      </c>
      <c r="G718" s="10">
        <v>0</v>
      </c>
      <c r="H718" s="10">
        <v>0</v>
      </c>
      <c r="I718" s="10">
        <v>0</v>
      </c>
      <c r="J718">
        <v>2015</v>
      </c>
      <c r="K718">
        <v>12</v>
      </c>
      <c r="L718">
        <v>276</v>
      </c>
      <c r="M718" t="s">
        <v>57</v>
      </c>
    </row>
    <row r="719" spans="1:13">
      <c r="A719" t="s">
        <v>776</v>
      </c>
      <c r="B719" s="10">
        <v>3</v>
      </c>
      <c r="C719" s="10">
        <v>3.474</v>
      </c>
      <c r="D719" s="10">
        <v>2.2</v>
      </c>
      <c r="E719" s="10">
        <v>43</v>
      </c>
      <c r="F719" s="10">
        <v>3</v>
      </c>
      <c r="G719" s="10">
        <v>0</v>
      </c>
      <c r="H719" s="10">
        <v>16</v>
      </c>
      <c r="I719" s="10">
        <v>1</v>
      </c>
      <c r="J719">
        <v>2015</v>
      </c>
      <c r="K719">
        <v>12</v>
      </c>
      <c r="L719">
        <v>276</v>
      </c>
      <c r="M719" t="s">
        <v>59</v>
      </c>
    </row>
    <row r="720" spans="1:13">
      <c r="A720" t="s">
        <v>777</v>
      </c>
      <c r="B720" s="10">
        <v>5</v>
      </c>
      <c r="C720" s="10">
        <v>6.34</v>
      </c>
      <c r="D720" s="10">
        <v>2</v>
      </c>
      <c r="E720" s="10">
        <v>53.6</v>
      </c>
      <c r="F720" s="10">
        <v>14</v>
      </c>
      <c r="G720" s="10">
        <v>0</v>
      </c>
      <c r="H720" s="10">
        <v>6</v>
      </c>
      <c r="I720" s="10">
        <v>0.4</v>
      </c>
      <c r="J720">
        <v>2015</v>
      </c>
      <c r="K720">
        <v>12</v>
      </c>
      <c r="L720">
        <v>276</v>
      </c>
      <c r="M720" t="s">
        <v>61</v>
      </c>
    </row>
    <row r="721" spans="1:13">
      <c r="A721" t="s">
        <v>778</v>
      </c>
      <c r="B721" s="10">
        <v>5.66</v>
      </c>
      <c r="C721" s="10">
        <v>0</v>
      </c>
      <c r="D721" s="10">
        <v>5</v>
      </c>
      <c r="E721" s="10">
        <v>48</v>
      </c>
      <c r="F721" s="10">
        <v>6</v>
      </c>
      <c r="G721" s="10">
        <v>0</v>
      </c>
      <c r="H721" s="10">
        <v>13</v>
      </c>
      <c r="I721" s="10">
        <v>1</v>
      </c>
      <c r="J721">
        <v>2015</v>
      </c>
      <c r="K721">
        <v>12</v>
      </c>
      <c r="L721">
        <v>276</v>
      </c>
      <c r="M721" t="s">
        <v>63</v>
      </c>
    </row>
    <row r="722" spans="1:13">
      <c r="A722" t="s">
        <v>779</v>
      </c>
      <c r="B722" s="10">
        <v>3.33</v>
      </c>
      <c r="C722" s="10">
        <v>4.01</v>
      </c>
      <c r="D722" s="10">
        <v>2.3</v>
      </c>
      <c r="E722" s="10">
        <v>28.8</v>
      </c>
      <c r="F722" s="10">
        <v>3</v>
      </c>
      <c r="G722" s="10">
        <v>0</v>
      </c>
      <c r="H722" s="10">
        <v>0</v>
      </c>
      <c r="I722" s="10">
        <v>0</v>
      </c>
      <c r="J722">
        <v>2015</v>
      </c>
      <c r="K722">
        <v>12</v>
      </c>
      <c r="L722">
        <v>276</v>
      </c>
      <c r="M722" t="s">
        <v>65</v>
      </c>
    </row>
    <row r="723" spans="1:13">
      <c r="A723" t="s">
        <v>780</v>
      </c>
      <c r="B723" s="10">
        <v>7.33</v>
      </c>
      <c r="C723" s="10">
        <v>3.396</v>
      </c>
      <c r="D723" s="10">
        <v>5</v>
      </c>
      <c r="E723" s="10">
        <v>28.3</v>
      </c>
      <c r="F723" s="10">
        <v>5</v>
      </c>
      <c r="G723" s="10">
        <v>0</v>
      </c>
      <c r="H723" s="10">
        <v>16</v>
      </c>
      <c r="I723" s="10">
        <v>0</v>
      </c>
      <c r="J723">
        <v>2015</v>
      </c>
      <c r="K723">
        <v>12</v>
      </c>
      <c r="L723">
        <v>276</v>
      </c>
      <c r="M723" t="s">
        <v>53</v>
      </c>
    </row>
    <row r="724" spans="1:13">
      <c r="A724" t="s">
        <v>781</v>
      </c>
      <c r="B724" s="10">
        <v>0.66</v>
      </c>
      <c r="C724" s="10">
        <v>4.66</v>
      </c>
      <c r="D724" s="10">
        <v>2</v>
      </c>
      <c r="E724" s="10">
        <v>20.662</v>
      </c>
      <c r="F724" s="10">
        <v>28</v>
      </c>
      <c r="G724" s="10">
        <v>2</v>
      </c>
      <c r="H724" s="10">
        <v>1</v>
      </c>
      <c r="I724" s="10">
        <v>1</v>
      </c>
      <c r="J724">
        <v>2015</v>
      </c>
      <c r="K724">
        <v>12</v>
      </c>
      <c r="L724">
        <v>276</v>
      </c>
      <c r="M724" t="s">
        <v>55</v>
      </c>
    </row>
    <row r="725" spans="1:13">
      <c r="A725" t="s">
        <v>782</v>
      </c>
      <c r="B725" s="10">
        <v>4.67</v>
      </c>
      <c r="C725" s="10">
        <v>1.66</v>
      </c>
      <c r="D725" s="10">
        <v>5</v>
      </c>
      <c r="E725" s="10">
        <v>87.2</v>
      </c>
      <c r="F725" s="10">
        <v>15</v>
      </c>
      <c r="G725" s="10">
        <v>3</v>
      </c>
      <c r="H725" s="10">
        <v>0</v>
      </c>
      <c r="I725" s="10">
        <v>4.3</v>
      </c>
      <c r="J725">
        <v>2015</v>
      </c>
      <c r="K725">
        <v>12</v>
      </c>
      <c r="L725">
        <v>276</v>
      </c>
      <c r="M725" t="s">
        <v>57</v>
      </c>
    </row>
    <row r="726" spans="1:13">
      <c r="A726" t="s">
        <v>783</v>
      </c>
      <c r="B726" s="10">
        <v>5.33</v>
      </c>
      <c r="C726" s="10">
        <v>6.792</v>
      </c>
      <c r="D726" s="10">
        <v>5.2</v>
      </c>
      <c r="E726" s="10">
        <v>63.5</v>
      </c>
      <c r="F726" s="10">
        <v>4</v>
      </c>
      <c r="G726" s="10">
        <v>0</v>
      </c>
      <c r="H726" s="10">
        <v>14</v>
      </c>
      <c r="I726" s="10">
        <v>4.6</v>
      </c>
      <c r="J726">
        <v>2015</v>
      </c>
      <c r="K726">
        <v>12</v>
      </c>
      <c r="L726">
        <v>276</v>
      </c>
      <c r="M726" t="s">
        <v>59</v>
      </c>
    </row>
    <row r="727" spans="1:13">
      <c r="A727" t="s">
        <v>784</v>
      </c>
      <c r="B727" s="10">
        <v>4</v>
      </c>
      <c r="C727" s="10">
        <v>5.099</v>
      </c>
      <c r="D727" s="10">
        <v>9.199999999999999</v>
      </c>
      <c r="E727" s="10">
        <v>61.5</v>
      </c>
      <c r="F727" s="10">
        <v>18</v>
      </c>
      <c r="G727" s="10">
        <v>3</v>
      </c>
      <c r="H727" s="10">
        <v>26</v>
      </c>
      <c r="I727" s="10">
        <v>1</v>
      </c>
      <c r="J727">
        <v>2015</v>
      </c>
      <c r="K727">
        <v>12</v>
      </c>
      <c r="L727">
        <v>276</v>
      </c>
      <c r="M727" t="s">
        <v>61</v>
      </c>
    </row>
    <row r="728" spans="1:13">
      <c r="A728" t="s">
        <v>785</v>
      </c>
      <c r="B728" s="10">
        <v>10.67</v>
      </c>
      <c r="C728" s="10">
        <v>2.33</v>
      </c>
      <c r="D728" s="10">
        <v>2</v>
      </c>
      <c r="E728" s="10">
        <v>71.59999999999999</v>
      </c>
      <c r="F728" s="10">
        <v>9</v>
      </c>
      <c r="G728" s="10">
        <v>0</v>
      </c>
      <c r="H728" s="10">
        <v>2</v>
      </c>
      <c r="I728" s="10">
        <v>3</v>
      </c>
      <c r="J728">
        <v>2015</v>
      </c>
      <c r="K728">
        <v>12</v>
      </c>
      <c r="L728">
        <v>276</v>
      </c>
      <c r="M728" t="s">
        <v>63</v>
      </c>
    </row>
    <row r="729" spans="1:13">
      <c r="A729" t="s">
        <v>786</v>
      </c>
      <c r="B729" s="10">
        <v>6.66</v>
      </c>
      <c r="C729" s="10">
        <v>7.089</v>
      </c>
      <c r="D729" s="10">
        <v>2</v>
      </c>
      <c r="E729" s="10">
        <v>56.4</v>
      </c>
      <c r="F729" s="10">
        <v>12</v>
      </c>
      <c r="G729" s="10">
        <v>0</v>
      </c>
      <c r="H729" s="10">
        <v>4</v>
      </c>
      <c r="I729" s="10">
        <v>2</v>
      </c>
      <c r="J729">
        <v>2015</v>
      </c>
      <c r="K729">
        <v>12</v>
      </c>
      <c r="L729">
        <v>276</v>
      </c>
      <c r="M729" t="s">
        <v>65</v>
      </c>
    </row>
    <row r="730" spans="1:13">
      <c r="A730" t="s">
        <v>787</v>
      </c>
      <c r="B730" s="10">
        <v>7.66</v>
      </c>
      <c r="C730" s="10">
        <v>6.099</v>
      </c>
      <c r="D730" s="10">
        <v>7.6</v>
      </c>
      <c r="E730" s="10">
        <v>44.35</v>
      </c>
      <c r="F730" s="10">
        <v>18</v>
      </c>
      <c r="G730" s="10">
        <v>0</v>
      </c>
      <c r="H730" s="10">
        <v>6</v>
      </c>
      <c r="I730" s="10">
        <v>1</v>
      </c>
      <c r="J730">
        <v>2015</v>
      </c>
      <c r="K730">
        <v>12</v>
      </c>
      <c r="L730">
        <v>276</v>
      </c>
      <c r="M730" t="s">
        <v>53</v>
      </c>
    </row>
    <row r="731" spans="1:13">
      <c r="A731" t="s">
        <v>788</v>
      </c>
      <c r="B731" s="10">
        <v>0</v>
      </c>
      <c r="C731" s="10">
        <v>0</v>
      </c>
      <c r="D731" s="10">
        <v>0</v>
      </c>
      <c r="E731" s="10">
        <v>0</v>
      </c>
      <c r="F731" s="10">
        <v>0</v>
      </c>
      <c r="G731" s="10">
        <v>0</v>
      </c>
      <c r="H731" s="10">
        <v>0</v>
      </c>
      <c r="I731" s="10">
        <v>0</v>
      </c>
      <c r="J731">
        <v>2016</v>
      </c>
      <c r="K731">
        <v>1</v>
      </c>
      <c r="L731">
        <v>276</v>
      </c>
      <c r="M731" t="s">
        <v>55</v>
      </c>
    </row>
    <row r="732" spans="1:13">
      <c r="A732" t="s">
        <v>789</v>
      </c>
      <c r="B732" s="10">
        <v>0.34</v>
      </c>
      <c r="C732" s="10">
        <v>1.02</v>
      </c>
      <c r="D732" s="10">
        <v>1</v>
      </c>
      <c r="E732" s="10">
        <v>51.2</v>
      </c>
      <c r="F732" s="10">
        <v>0</v>
      </c>
      <c r="G732" s="10">
        <v>1</v>
      </c>
      <c r="H732" s="10">
        <v>5</v>
      </c>
      <c r="I732" s="10">
        <v>5</v>
      </c>
      <c r="J732">
        <v>2016</v>
      </c>
      <c r="K732">
        <v>1</v>
      </c>
      <c r="L732">
        <v>276</v>
      </c>
      <c r="M732" t="s">
        <v>57</v>
      </c>
    </row>
    <row r="733" spans="1:13">
      <c r="A733" t="s">
        <v>790</v>
      </c>
      <c r="B733" s="10">
        <v>4</v>
      </c>
      <c r="C733" s="10">
        <v>4</v>
      </c>
      <c r="D733" s="10">
        <v>2.5</v>
      </c>
      <c r="E733" s="10">
        <v>56.1</v>
      </c>
      <c r="F733" s="10">
        <v>1</v>
      </c>
      <c r="G733" s="10">
        <v>0</v>
      </c>
      <c r="H733" s="10">
        <v>5</v>
      </c>
      <c r="I733" s="10">
        <v>1</v>
      </c>
      <c r="J733">
        <v>2016</v>
      </c>
      <c r="K733">
        <v>1</v>
      </c>
      <c r="L733">
        <v>276</v>
      </c>
      <c r="M733" t="s">
        <v>59</v>
      </c>
    </row>
    <row r="734" spans="1:13">
      <c r="A734" t="s">
        <v>791</v>
      </c>
      <c r="B734" s="10">
        <v>7.33</v>
      </c>
      <c r="C734" s="10">
        <v>5.99</v>
      </c>
      <c r="D734" s="10">
        <v>6</v>
      </c>
      <c r="E734" s="10">
        <v>46.6</v>
      </c>
      <c r="F734" s="10">
        <v>6</v>
      </c>
      <c r="G734" s="10">
        <v>0</v>
      </c>
      <c r="H734" s="10">
        <v>12</v>
      </c>
      <c r="I734" s="10">
        <v>1</v>
      </c>
      <c r="J734">
        <v>2016</v>
      </c>
      <c r="K734">
        <v>1</v>
      </c>
      <c r="L734">
        <v>276</v>
      </c>
      <c r="M734" t="s">
        <v>61</v>
      </c>
    </row>
    <row r="735" spans="1:13">
      <c r="A735" t="s">
        <v>792</v>
      </c>
      <c r="B735" s="10">
        <v>5.33</v>
      </c>
      <c r="C735" s="10">
        <v>5.99</v>
      </c>
      <c r="D735" s="10">
        <v>4.6</v>
      </c>
      <c r="E735" s="10">
        <v>38.6</v>
      </c>
      <c r="F735" s="10">
        <v>15</v>
      </c>
      <c r="G735" s="10">
        <v>0</v>
      </c>
      <c r="H735" s="10">
        <v>5</v>
      </c>
      <c r="I735" s="10">
        <v>1</v>
      </c>
      <c r="J735">
        <v>2016</v>
      </c>
      <c r="K735">
        <v>1</v>
      </c>
      <c r="L735">
        <v>276</v>
      </c>
      <c r="M735" t="s">
        <v>63</v>
      </c>
    </row>
    <row r="736" spans="1:13">
      <c r="A736" t="s">
        <v>793</v>
      </c>
      <c r="B736" s="10">
        <v>6.66</v>
      </c>
      <c r="C736" s="10">
        <v>3</v>
      </c>
      <c r="D736" s="10">
        <v>6</v>
      </c>
      <c r="E736" s="10">
        <v>61.9</v>
      </c>
      <c r="F736" s="10">
        <v>2</v>
      </c>
      <c r="G736" s="10">
        <v>0</v>
      </c>
      <c r="H736" s="10">
        <v>12</v>
      </c>
      <c r="I736" s="10">
        <v>2</v>
      </c>
      <c r="J736">
        <v>2016</v>
      </c>
      <c r="K736">
        <v>1</v>
      </c>
      <c r="L736">
        <v>276</v>
      </c>
      <c r="M736" t="s">
        <v>65</v>
      </c>
    </row>
    <row r="737" spans="1:13">
      <c r="A737" t="s">
        <v>794</v>
      </c>
      <c r="B737" s="10">
        <v>0</v>
      </c>
      <c r="C737" s="10">
        <v>0</v>
      </c>
      <c r="D737" s="10">
        <v>0</v>
      </c>
      <c r="E737" s="10">
        <v>0</v>
      </c>
      <c r="F737" s="10">
        <v>0</v>
      </c>
      <c r="G737" s="10">
        <v>0</v>
      </c>
      <c r="H737" s="10">
        <v>0</v>
      </c>
      <c r="I737" s="10">
        <v>0</v>
      </c>
      <c r="J737">
        <v>2016</v>
      </c>
      <c r="K737">
        <v>1</v>
      </c>
      <c r="L737">
        <v>276</v>
      </c>
      <c r="M737" t="s">
        <v>53</v>
      </c>
    </row>
    <row r="738" spans="1:13">
      <c r="A738" t="s">
        <v>795</v>
      </c>
      <c r="B738" s="10">
        <v>8</v>
      </c>
      <c r="C738" s="10">
        <v>3.463</v>
      </c>
      <c r="D738" s="10">
        <v>7.7</v>
      </c>
      <c r="E738" s="10">
        <v>39.2</v>
      </c>
      <c r="F738" s="10">
        <v>8</v>
      </c>
      <c r="G738" s="10">
        <v>3</v>
      </c>
      <c r="H738" s="10">
        <v>2</v>
      </c>
      <c r="I738" s="10">
        <v>2</v>
      </c>
      <c r="J738">
        <v>2016</v>
      </c>
      <c r="K738">
        <v>1</v>
      </c>
      <c r="L738">
        <v>276</v>
      </c>
      <c r="M738" t="s">
        <v>55</v>
      </c>
    </row>
    <row r="739" spans="1:13">
      <c r="A739" t="s">
        <v>796</v>
      </c>
      <c r="B739" s="10">
        <v>7.33</v>
      </c>
      <c r="C739" s="10">
        <v>2.66</v>
      </c>
      <c r="D739" s="10">
        <v>5</v>
      </c>
      <c r="E739" s="10">
        <v>88.3</v>
      </c>
      <c r="F739" s="10">
        <v>9</v>
      </c>
      <c r="G739" s="10">
        <v>0</v>
      </c>
      <c r="H739" s="10">
        <v>3</v>
      </c>
      <c r="I739" s="10">
        <v>3</v>
      </c>
      <c r="J739">
        <v>2016</v>
      </c>
      <c r="K739">
        <v>1</v>
      </c>
      <c r="L739">
        <v>276</v>
      </c>
      <c r="M739" t="s">
        <v>57</v>
      </c>
    </row>
    <row r="740" spans="1:13">
      <c r="A740" t="s">
        <v>797</v>
      </c>
      <c r="B740" s="10">
        <v>7</v>
      </c>
      <c r="C740" s="10">
        <v>4.033</v>
      </c>
      <c r="D740" s="10">
        <v>12</v>
      </c>
      <c r="E740" s="10">
        <v>67.59999999999999</v>
      </c>
      <c r="F740" s="10">
        <v>8</v>
      </c>
      <c r="G740" s="10">
        <v>1</v>
      </c>
      <c r="H740" s="10">
        <v>1</v>
      </c>
      <c r="I740" s="10">
        <v>0</v>
      </c>
      <c r="J740">
        <v>2016</v>
      </c>
      <c r="K740">
        <v>1</v>
      </c>
      <c r="L740">
        <v>276</v>
      </c>
      <c r="M740" t="s">
        <v>59</v>
      </c>
    </row>
    <row r="741" spans="1:13">
      <c r="A741" t="s">
        <v>798</v>
      </c>
      <c r="B741" s="10">
        <v>9.34</v>
      </c>
      <c r="C741" s="10">
        <v>5.66</v>
      </c>
      <c r="D741" s="10">
        <v>7</v>
      </c>
      <c r="E741" s="10">
        <v>64.90000000000001</v>
      </c>
      <c r="F741" s="10">
        <v>18</v>
      </c>
      <c r="G741" s="10">
        <v>0</v>
      </c>
      <c r="H741" s="10">
        <v>0</v>
      </c>
      <c r="I741" s="10">
        <v>4</v>
      </c>
      <c r="J741">
        <v>2016</v>
      </c>
      <c r="K741">
        <v>1</v>
      </c>
      <c r="L741">
        <v>276</v>
      </c>
      <c r="M741" t="s">
        <v>61</v>
      </c>
    </row>
    <row r="742" spans="1:13">
      <c r="A742" t="s">
        <v>799</v>
      </c>
      <c r="B742" s="10">
        <v>12</v>
      </c>
      <c r="C742" s="10">
        <v>3.132</v>
      </c>
      <c r="D742" s="10">
        <v>12</v>
      </c>
      <c r="E742" s="10">
        <v>61.35</v>
      </c>
      <c r="F742" s="10">
        <v>8</v>
      </c>
      <c r="G742" s="10">
        <v>0</v>
      </c>
      <c r="H742" s="10">
        <v>0</v>
      </c>
      <c r="I742" s="10">
        <v>0</v>
      </c>
      <c r="J742">
        <v>2016</v>
      </c>
      <c r="K742">
        <v>1</v>
      </c>
      <c r="L742">
        <v>276</v>
      </c>
      <c r="M742" t="s">
        <v>63</v>
      </c>
    </row>
    <row r="743" spans="1:13">
      <c r="A743" t="s">
        <v>800</v>
      </c>
      <c r="B743" s="10">
        <v>9</v>
      </c>
      <c r="C743" s="10">
        <v>1.66</v>
      </c>
      <c r="D743" s="10">
        <v>5</v>
      </c>
      <c r="E743" s="10">
        <v>41.7</v>
      </c>
      <c r="F743" s="10">
        <v>15</v>
      </c>
      <c r="G743" s="10">
        <v>0</v>
      </c>
      <c r="H743" s="10">
        <v>1</v>
      </c>
      <c r="I743" s="10">
        <v>2</v>
      </c>
      <c r="J743">
        <v>2016</v>
      </c>
      <c r="K743">
        <v>1</v>
      </c>
      <c r="L743">
        <v>276</v>
      </c>
      <c r="M743" t="s">
        <v>65</v>
      </c>
    </row>
    <row r="744" spans="1:13">
      <c r="A744" t="s">
        <v>801</v>
      </c>
      <c r="B744" s="10">
        <v>2</v>
      </c>
      <c r="C744" s="10">
        <v>5.155</v>
      </c>
      <c r="D744" s="10">
        <v>6</v>
      </c>
      <c r="E744" s="10">
        <v>69</v>
      </c>
      <c r="F744" s="10">
        <v>18</v>
      </c>
      <c r="G744" s="10">
        <v>0</v>
      </c>
      <c r="H744" s="10">
        <v>8</v>
      </c>
      <c r="I744" s="10">
        <v>2</v>
      </c>
      <c r="J744">
        <v>2016</v>
      </c>
      <c r="K744">
        <v>1</v>
      </c>
      <c r="L744">
        <v>276</v>
      </c>
      <c r="M744" t="s">
        <v>53</v>
      </c>
    </row>
    <row r="745" spans="1:13">
      <c r="A745" t="s">
        <v>802</v>
      </c>
      <c r="B745" s="10">
        <v>8.98</v>
      </c>
      <c r="C745" s="10">
        <v>4.66</v>
      </c>
      <c r="D745" s="10">
        <v>10.6</v>
      </c>
      <c r="E745" s="10">
        <v>18.1</v>
      </c>
      <c r="F745" s="10">
        <v>8</v>
      </c>
      <c r="G745" s="10">
        <v>0</v>
      </c>
      <c r="H745" s="10">
        <v>10</v>
      </c>
      <c r="I745" s="10">
        <v>2</v>
      </c>
      <c r="J745">
        <v>2016</v>
      </c>
      <c r="K745">
        <v>1</v>
      </c>
      <c r="L745">
        <v>276</v>
      </c>
      <c r="M745" t="s">
        <v>55</v>
      </c>
    </row>
    <row r="746" spans="1:13">
      <c r="A746" t="s">
        <v>803</v>
      </c>
      <c r="B746" s="10">
        <v>3.34</v>
      </c>
      <c r="C746" s="10">
        <v>5.34</v>
      </c>
      <c r="D746" s="10">
        <v>6</v>
      </c>
      <c r="E746" s="10">
        <v>63.6</v>
      </c>
      <c r="F746" s="10">
        <v>11</v>
      </c>
      <c r="G746" s="10">
        <v>0</v>
      </c>
      <c r="H746" s="10">
        <v>2</v>
      </c>
      <c r="I746" s="10">
        <v>1</v>
      </c>
      <c r="J746">
        <v>2016</v>
      </c>
      <c r="K746">
        <v>1</v>
      </c>
      <c r="L746">
        <v>276</v>
      </c>
      <c r="M746" t="s">
        <v>57</v>
      </c>
    </row>
    <row r="747" spans="1:13">
      <c r="A747" t="s">
        <v>804</v>
      </c>
      <c r="B747" s="10">
        <v>7.01</v>
      </c>
      <c r="C747" s="10">
        <v>1.604</v>
      </c>
      <c r="D747" s="10">
        <v>3.9</v>
      </c>
      <c r="E747" s="10">
        <v>46.6</v>
      </c>
      <c r="F747" s="10">
        <v>4</v>
      </c>
      <c r="G747" s="10">
        <v>0</v>
      </c>
      <c r="H747" s="10">
        <v>0</v>
      </c>
      <c r="I747" s="10">
        <v>1</v>
      </c>
      <c r="J747">
        <v>2016</v>
      </c>
      <c r="K747">
        <v>1</v>
      </c>
      <c r="L747">
        <v>276</v>
      </c>
      <c r="M747" t="s">
        <v>59</v>
      </c>
    </row>
    <row r="748" spans="1:13">
      <c r="A748" t="s">
        <v>805</v>
      </c>
      <c r="B748" s="10">
        <v>3.5</v>
      </c>
      <c r="C748" s="10">
        <v>2.99</v>
      </c>
      <c r="D748" s="10">
        <v>4.3</v>
      </c>
      <c r="E748" s="10">
        <v>62.8</v>
      </c>
      <c r="F748" s="10">
        <v>3</v>
      </c>
      <c r="G748" s="10">
        <v>2</v>
      </c>
      <c r="H748" s="10">
        <v>9</v>
      </c>
      <c r="I748" s="10">
        <v>2</v>
      </c>
      <c r="J748">
        <v>2016</v>
      </c>
      <c r="K748">
        <v>1</v>
      </c>
      <c r="L748">
        <v>276</v>
      </c>
      <c r="M748" t="s">
        <v>61</v>
      </c>
    </row>
    <row r="749" spans="1:13">
      <c r="A749" t="s">
        <v>806</v>
      </c>
      <c r="B749" s="10">
        <v>6</v>
      </c>
      <c r="C749" s="10">
        <v>5.66</v>
      </c>
      <c r="D749" s="10">
        <v>6</v>
      </c>
      <c r="E749" s="10">
        <v>49.8</v>
      </c>
      <c r="F749" s="10">
        <v>7</v>
      </c>
      <c r="G749" s="10">
        <v>0</v>
      </c>
      <c r="H749" s="10">
        <v>0</v>
      </c>
      <c r="I749" s="10">
        <v>3</v>
      </c>
      <c r="J749">
        <v>2016</v>
      </c>
      <c r="K749">
        <v>1</v>
      </c>
      <c r="L749">
        <v>276</v>
      </c>
      <c r="M749" t="s">
        <v>63</v>
      </c>
    </row>
    <row r="750" spans="1:13">
      <c r="A750" t="s">
        <v>807</v>
      </c>
      <c r="B750" s="10">
        <v>2.32</v>
      </c>
      <c r="C750" s="10">
        <v>3.363</v>
      </c>
      <c r="D750" s="10">
        <v>3</v>
      </c>
      <c r="E750" s="10">
        <v>15.1</v>
      </c>
      <c r="F750" s="10">
        <v>29</v>
      </c>
      <c r="G750" s="10">
        <v>3</v>
      </c>
      <c r="H750" s="10">
        <v>3</v>
      </c>
      <c r="I750" s="10">
        <v>2</v>
      </c>
      <c r="J750">
        <v>2016</v>
      </c>
      <c r="K750">
        <v>1</v>
      </c>
      <c r="L750">
        <v>276</v>
      </c>
      <c r="M750" t="s">
        <v>65</v>
      </c>
    </row>
    <row r="751" spans="1:13">
      <c r="A751" t="s">
        <v>808</v>
      </c>
      <c r="B751" s="10">
        <v>5</v>
      </c>
      <c r="C751" s="10">
        <v>1.43</v>
      </c>
      <c r="D751" s="10">
        <v>1</v>
      </c>
      <c r="E751" s="10">
        <v>68.40000000000001</v>
      </c>
      <c r="F751" s="10">
        <v>8</v>
      </c>
      <c r="G751" s="10">
        <v>4</v>
      </c>
      <c r="H751" s="10">
        <v>6</v>
      </c>
      <c r="I751" s="10">
        <v>5</v>
      </c>
      <c r="J751">
        <v>2016</v>
      </c>
      <c r="K751">
        <v>1</v>
      </c>
      <c r="L751">
        <v>276</v>
      </c>
      <c r="M751" t="s">
        <v>53</v>
      </c>
    </row>
    <row r="752" spans="1:13">
      <c r="A752" t="s">
        <v>809</v>
      </c>
      <c r="B752" s="10">
        <v>0.83</v>
      </c>
      <c r="C752" s="10">
        <v>7.678</v>
      </c>
      <c r="D752" s="10">
        <v>7</v>
      </c>
      <c r="E752" s="10">
        <v>39.5</v>
      </c>
      <c r="F752" s="10">
        <v>11</v>
      </c>
      <c r="G752" s="10">
        <v>0</v>
      </c>
      <c r="H752" s="10">
        <v>10</v>
      </c>
      <c r="I752" s="10">
        <v>0</v>
      </c>
      <c r="J752">
        <v>2016</v>
      </c>
      <c r="K752">
        <v>1</v>
      </c>
      <c r="L752">
        <v>276</v>
      </c>
      <c r="M752" t="s">
        <v>55</v>
      </c>
    </row>
    <row r="753" spans="1:13">
      <c r="A753" t="s">
        <v>810</v>
      </c>
      <c r="B753" s="10">
        <v>6.33</v>
      </c>
      <c r="C753" s="10">
        <v>6.132</v>
      </c>
      <c r="D753" s="10">
        <v>7.1</v>
      </c>
      <c r="E753" s="10">
        <v>36.8</v>
      </c>
      <c r="F753" s="10">
        <v>4</v>
      </c>
      <c r="G753" s="10">
        <v>0</v>
      </c>
      <c r="H753" s="10">
        <v>6</v>
      </c>
      <c r="I753" s="10">
        <v>2</v>
      </c>
      <c r="J753">
        <v>2016</v>
      </c>
      <c r="K753">
        <v>1</v>
      </c>
      <c r="L753">
        <v>276</v>
      </c>
      <c r="M753" t="s">
        <v>57</v>
      </c>
    </row>
    <row r="754" spans="1:13">
      <c r="A754" t="s">
        <v>811</v>
      </c>
      <c r="B754" s="10">
        <v>4</v>
      </c>
      <c r="C754" s="10">
        <v>6.122</v>
      </c>
      <c r="D754" s="10">
        <v>11.3</v>
      </c>
      <c r="E754" s="10">
        <v>48.1</v>
      </c>
      <c r="F754" s="10">
        <v>3</v>
      </c>
      <c r="G754" s="10">
        <v>0</v>
      </c>
      <c r="H754" s="10">
        <v>12</v>
      </c>
      <c r="I754" s="10">
        <v>3</v>
      </c>
      <c r="J754">
        <v>2016</v>
      </c>
      <c r="K754">
        <v>1</v>
      </c>
      <c r="L754">
        <v>276</v>
      </c>
      <c r="M754" t="s">
        <v>59</v>
      </c>
    </row>
    <row r="755" spans="1:13">
      <c r="A755" t="s">
        <v>812</v>
      </c>
      <c r="B755" s="10">
        <v>10.33</v>
      </c>
      <c r="C755" s="10">
        <v>4.26</v>
      </c>
      <c r="D755" s="10">
        <v>4</v>
      </c>
      <c r="E755" s="10">
        <v>46.95</v>
      </c>
      <c r="F755" s="10">
        <v>12</v>
      </c>
      <c r="G755" s="10">
        <v>2</v>
      </c>
      <c r="H755" s="10">
        <v>10</v>
      </c>
      <c r="I755" s="10">
        <v>1.5</v>
      </c>
      <c r="J755">
        <v>2016</v>
      </c>
      <c r="K755">
        <v>1</v>
      </c>
      <c r="L755">
        <v>276</v>
      </c>
      <c r="M755" t="s">
        <v>61</v>
      </c>
    </row>
    <row r="756" spans="1:13">
      <c r="A756" t="s">
        <v>813</v>
      </c>
      <c r="B756" s="10">
        <v>5.68</v>
      </c>
      <c r="C756" s="10">
        <v>4.069</v>
      </c>
      <c r="D756" s="10">
        <v>8</v>
      </c>
      <c r="E756" s="10">
        <v>30.3</v>
      </c>
      <c r="F756" s="10">
        <v>9</v>
      </c>
      <c r="G756" s="10">
        <v>0</v>
      </c>
      <c r="H756" s="10">
        <v>15</v>
      </c>
      <c r="I756" s="10">
        <v>0</v>
      </c>
      <c r="J756">
        <v>2016</v>
      </c>
      <c r="K756">
        <v>1</v>
      </c>
      <c r="L756">
        <v>276</v>
      </c>
      <c r="M756" t="s">
        <v>63</v>
      </c>
    </row>
    <row r="757" spans="1:13">
      <c r="A757" t="s">
        <v>814</v>
      </c>
      <c r="B757" s="10">
        <v>4.34</v>
      </c>
      <c r="C757" s="10">
        <v>4.429</v>
      </c>
      <c r="D757" s="10">
        <v>3.4</v>
      </c>
      <c r="E757" s="10">
        <v>30.062</v>
      </c>
      <c r="F757" s="10">
        <v>18</v>
      </c>
      <c r="G757" s="10">
        <v>5</v>
      </c>
      <c r="H757" s="10">
        <v>5</v>
      </c>
      <c r="I757" s="10">
        <v>2</v>
      </c>
      <c r="J757">
        <v>2016</v>
      </c>
      <c r="K757">
        <v>1</v>
      </c>
      <c r="L757">
        <v>276</v>
      </c>
      <c r="M757" t="s">
        <v>65</v>
      </c>
    </row>
    <row r="758" spans="1:13">
      <c r="A758" t="s">
        <v>815</v>
      </c>
      <c r="B758" s="10">
        <v>7.33</v>
      </c>
      <c r="C758" s="10">
        <v>6.66</v>
      </c>
      <c r="D758" s="10">
        <v>4.4</v>
      </c>
      <c r="E758" s="10">
        <v>33</v>
      </c>
      <c r="F758" s="10">
        <v>4</v>
      </c>
      <c r="G758" s="10">
        <v>0</v>
      </c>
      <c r="H758" s="10">
        <v>4</v>
      </c>
      <c r="I758" s="10">
        <v>3</v>
      </c>
      <c r="J758">
        <v>2016</v>
      </c>
      <c r="K758">
        <v>1</v>
      </c>
      <c r="L758">
        <v>276</v>
      </c>
      <c r="M758" t="s">
        <v>53</v>
      </c>
    </row>
    <row r="759" spans="1:13">
      <c r="A759" t="s">
        <v>816</v>
      </c>
      <c r="B759" s="10">
        <v>5</v>
      </c>
      <c r="C759" s="10">
        <v>8.67</v>
      </c>
      <c r="D759" s="10">
        <v>8.6</v>
      </c>
      <c r="E759" s="10">
        <v>74.40000000000001</v>
      </c>
      <c r="F759" s="10">
        <v>3</v>
      </c>
      <c r="G759" s="10">
        <v>1</v>
      </c>
      <c r="H759" s="10">
        <v>17</v>
      </c>
      <c r="I759" s="10">
        <v>2</v>
      </c>
      <c r="J759">
        <v>2016</v>
      </c>
      <c r="K759">
        <v>1</v>
      </c>
      <c r="L759">
        <v>276</v>
      </c>
      <c r="M759" t="s">
        <v>55</v>
      </c>
    </row>
    <row r="760" spans="1:13">
      <c r="A760" t="s">
        <v>817</v>
      </c>
      <c r="B760" s="10">
        <v>9</v>
      </c>
      <c r="C760" s="10">
        <v>4.429</v>
      </c>
      <c r="D760" s="10">
        <v>5.3</v>
      </c>
      <c r="E760" s="10">
        <v>47.462</v>
      </c>
      <c r="F760" s="10">
        <v>3</v>
      </c>
      <c r="G760" s="10">
        <v>2</v>
      </c>
      <c r="H760" s="10">
        <v>5</v>
      </c>
      <c r="I760" s="10">
        <v>2</v>
      </c>
      <c r="J760">
        <v>2016</v>
      </c>
      <c r="K760">
        <v>1</v>
      </c>
      <c r="L760">
        <v>276</v>
      </c>
      <c r="M760" t="s">
        <v>57</v>
      </c>
    </row>
    <row r="761" spans="1:13">
      <c r="A761" t="s">
        <v>818</v>
      </c>
      <c r="B761" s="10">
        <v>4.33</v>
      </c>
      <c r="C761" s="10">
        <v>5.143</v>
      </c>
      <c r="D761" s="10">
        <v>3.8</v>
      </c>
      <c r="E761" s="10">
        <v>78.90000000000001</v>
      </c>
      <c r="F761" s="10">
        <v>3</v>
      </c>
      <c r="G761" s="10">
        <v>0</v>
      </c>
      <c r="H761" s="10">
        <v>6</v>
      </c>
      <c r="I761" s="10">
        <v>2</v>
      </c>
      <c r="J761">
        <v>2016</v>
      </c>
      <c r="K761">
        <v>1</v>
      </c>
      <c r="L761">
        <v>276</v>
      </c>
      <c r="M761" t="s">
        <v>59</v>
      </c>
    </row>
    <row r="762" spans="1:13">
      <c r="A762" t="s">
        <v>819</v>
      </c>
      <c r="B762" s="10">
        <v>6.34</v>
      </c>
      <c r="C762" s="10">
        <v>5</v>
      </c>
      <c r="D762" s="10">
        <v>7.1</v>
      </c>
      <c r="E762" s="10">
        <v>18</v>
      </c>
      <c r="F762" s="10">
        <v>7</v>
      </c>
      <c r="G762" s="10">
        <v>0</v>
      </c>
      <c r="H762" s="10">
        <v>6</v>
      </c>
      <c r="I762" s="10">
        <v>1</v>
      </c>
      <c r="J762">
        <v>2016</v>
      </c>
      <c r="K762">
        <v>2</v>
      </c>
      <c r="L762">
        <v>276</v>
      </c>
      <c r="M762" t="s">
        <v>61</v>
      </c>
    </row>
    <row r="763" spans="1:13">
      <c r="A763" t="s">
        <v>820</v>
      </c>
      <c r="B763" s="10">
        <v>14.33</v>
      </c>
      <c r="C763" s="10">
        <v>4.878</v>
      </c>
      <c r="D763" s="10">
        <v>1.3</v>
      </c>
      <c r="E763" s="10">
        <v>39</v>
      </c>
      <c r="F763" s="10">
        <v>6</v>
      </c>
      <c r="G763" s="10">
        <v>0</v>
      </c>
      <c r="H763" s="10">
        <v>0</v>
      </c>
      <c r="I763" s="10">
        <v>1</v>
      </c>
      <c r="J763">
        <v>2016</v>
      </c>
      <c r="K763">
        <v>2</v>
      </c>
      <c r="L763">
        <v>276</v>
      </c>
      <c r="M763" t="s">
        <v>63</v>
      </c>
    </row>
    <row r="764" spans="1:13">
      <c r="A764" t="s">
        <v>821</v>
      </c>
      <c r="B764" s="10">
        <v>8</v>
      </c>
      <c r="C764" s="10">
        <v>6.693</v>
      </c>
      <c r="D764" s="10">
        <v>11.5</v>
      </c>
      <c r="E764" s="10">
        <v>39.062</v>
      </c>
      <c r="F764" s="10">
        <v>11</v>
      </c>
      <c r="G764" s="10">
        <v>5</v>
      </c>
      <c r="H764" s="10">
        <v>0</v>
      </c>
      <c r="I764" s="10">
        <v>0</v>
      </c>
      <c r="J764">
        <v>2016</v>
      </c>
      <c r="K764">
        <v>2</v>
      </c>
      <c r="L764">
        <v>276</v>
      </c>
      <c r="M764" t="s">
        <v>65</v>
      </c>
    </row>
    <row r="765" spans="1:13">
      <c r="A765" t="s">
        <v>822</v>
      </c>
      <c r="B765" s="10">
        <v>8.34</v>
      </c>
      <c r="C765" s="10">
        <v>4</v>
      </c>
      <c r="D765" s="10">
        <v>4.2</v>
      </c>
      <c r="E765" s="10">
        <v>28.8</v>
      </c>
      <c r="F765" s="10">
        <v>5</v>
      </c>
      <c r="G765" s="10">
        <v>0</v>
      </c>
      <c r="H765" s="10">
        <v>4</v>
      </c>
      <c r="I765" s="10">
        <v>4</v>
      </c>
      <c r="J765">
        <v>2016</v>
      </c>
      <c r="K765">
        <v>2</v>
      </c>
      <c r="L765">
        <v>276</v>
      </c>
      <c r="M765" t="s">
        <v>53</v>
      </c>
    </row>
    <row r="766" spans="1:13">
      <c r="A766" t="s">
        <v>823</v>
      </c>
      <c r="B766" s="10">
        <v>5.66</v>
      </c>
      <c r="C766" s="10">
        <v>2</v>
      </c>
      <c r="D766" s="10">
        <v>3</v>
      </c>
      <c r="E766" s="10">
        <v>51.6</v>
      </c>
      <c r="F766" s="10">
        <v>7</v>
      </c>
      <c r="G766" s="10">
        <v>0</v>
      </c>
      <c r="H766" s="10">
        <v>3</v>
      </c>
      <c r="I766" s="10">
        <v>1</v>
      </c>
      <c r="J766">
        <v>2016</v>
      </c>
      <c r="K766">
        <v>2</v>
      </c>
      <c r="L766">
        <v>276</v>
      </c>
      <c r="M766" t="s">
        <v>55</v>
      </c>
    </row>
    <row r="767" spans="1:13">
      <c r="A767" t="s">
        <v>824</v>
      </c>
      <c r="B767" s="10">
        <v>5.33</v>
      </c>
      <c r="C767" s="10">
        <v>10.33</v>
      </c>
      <c r="D767" s="10">
        <v>3</v>
      </c>
      <c r="E767" s="10">
        <v>57.162</v>
      </c>
      <c r="F767" s="10">
        <v>1</v>
      </c>
      <c r="G767" s="10">
        <v>0</v>
      </c>
      <c r="H767" s="10">
        <v>11</v>
      </c>
      <c r="I767" s="10">
        <v>2</v>
      </c>
      <c r="J767">
        <v>2016</v>
      </c>
      <c r="K767">
        <v>2</v>
      </c>
      <c r="L767">
        <v>276</v>
      </c>
      <c r="M767" t="s">
        <v>57</v>
      </c>
    </row>
    <row r="768" spans="1:13">
      <c r="A768" t="s">
        <v>825</v>
      </c>
      <c r="B768" s="10">
        <v>3.66</v>
      </c>
      <c r="C768" s="10">
        <v>6.056</v>
      </c>
      <c r="D768" s="10">
        <v>4.5</v>
      </c>
      <c r="E768" s="10">
        <v>88.2</v>
      </c>
      <c r="F768" s="10">
        <v>2</v>
      </c>
      <c r="G768" s="10">
        <v>0</v>
      </c>
      <c r="H768" s="10">
        <v>13</v>
      </c>
      <c r="I768" s="10">
        <v>1</v>
      </c>
      <c r="J768">
        <v>2016</v>
      </c>
      <c r="K768">
        <v>2</v>
      </c>
      <c r="L768">
        <v>276</v>
      </c>
      <c r="M768" t="s">
        <v>59</v>
      </c>
    </row>
    <row r="769" spans="1:13">
      <c r="A769" t="s">
        <v>826</v>
      </c>
      <c r="B769" s="10">
        <v>6.33</v>
      </c>
      <c r="C769" s="10">
        <v>6.99</v>
      </c>
      <c r="D769" s="10">
        <v>5.5</v>
      </c>
      <c r="E769" s="10">
        <v>28.038</v>
      </c>
      <c r="F769" s="10">
        <v>5</v>
      </c>
      <c r="G769" s="10">
        <v>0</v>
      </c>
      <c r="H769" s="10">
        <v>23</v>
      </c>
      <c r="I769" s="10">
        <v>1</v>
      </c>
      <c r="J769">
        <v>2016</v>
      </c>
      <c r="K769">
        <v>2</v>
      </c>
      <c r="L769">
        <v>276</v>
      </c>
      <c r="M769" t="s">
        <v>61</v>
      </c>
    </row>
    <row r="770" spans="1:13">
      <c r="A770" t="s">
        <v>827</v>
      </c>
      <c r="B770" s="10">
        <v>7</v>
      </c>
      <c r="C770" s="10">
        <v>3.33</v>
      </c>
      <c r="D770" s="10">
        <v>4.4</v>
      </c>
      <c r="E770" s="10">
        <v>47.7</v>
      </c>
      <c r="F770" s="10">
        <v>16</v>
      </c>
      <c r="G770" s="10">
        <v>2</v>
      </c>
      <c r="H770" s="10">
        <v>1</v>
      </c>
      <c r="I770" s="10">
        <v>2</v>
      </c>
      <c r="J770">
        <v>2016</v>
      </c>
      <c r="K770">
        <v>2</v>
      </c>
      <c r="L770">
        <v>276</v>
      </c>
      <c r="M770" t="s">
        <v>63</v>
      </c>
    </row>
    <row r="771" spans="1:13">
      <c r="A771" t="s">
        <v>828</v>
      </c>
      <c r="B771" s="10">
        <v>4.34</v>
      </c>
      <c r="C771" s="10">
        <v>4.703</v>
      </c>
      <c r="D771" s="10">
        <v>7.2</v>
      </c>
      <c r="E771" s="10">
        <v>34.1</v>
      </c>
      <c r="F771" s="10">
        <v>29</v>
      </c>
      <c r="G771" s="10">
        <v>0</v>
      </c>
      <c r="H771" s="10">
        <v>4</v>
      </c>
      <c r="I771" s="10">
        <v>2</v>
      </c>
      <c r="J771">
        <v>2016</v>
      </c>
      <c r="K771">
        <v>2</v>
      </c>
      <c r="L771">
        <v>276</v>
      </c>
      <c r="M771" t="s">
        <v>65</v>
      </c>
    </row>
    <row r="772" spans="1:13">
      <c r="A772" t="s">
        <v>829</v>
      </c>
      <c r="B772" s="10">
        <v>1.66</v>
      </c>
      <c r="C772" s="10">
        <v>4.156</v>
      </c>
      <c r="D772" s="10">
        <v>2.7</v>
      </c>
      <c r="E772" s="10">
        <v>38.1</v>
      </c>
      <c r="F772" s="10">
        <v>10</v>
      </c>
      <c r="G772" s="10">
        <v>1</v>
      </c>
      <c r="H772" s="10">
        <v>13</v>
      </c>
      <c r="I772" s="10">
        <v>4</v>
      </c>
      <c r="J772">
        <v>2016</v>
      </c>
      <c r="K772">
        <v>2</v>
      </c>
      <c r="L772">
        <v>276</v>
      </c>
      <c r="M772" t="s">
        <v>53</v>
      </c>
    </row>
    <row r="773" spans="1:13">
      <c r="A773" t="s">
        <v>830</v>
      </c>
      <c r="B773" s="10">
        <v>5.99</v>
      </c>
      <c r="C773" s="10">
        <v>6.429</v>
      </c>
      <c r="D773" s="10">
        <v>8.5</v>
      </c>
      <c r="E773" s="10">
        <v>60.675</v>
      </c>
      <c r="F773" s="10">
        <v>4</v>
      </c>
      <c r="G773" s="10">
        <v>0</v>
      </c>
      <c r="H773" s="10">
        <v>20</v>
      </c>
      <c r="I773" s="10">
        <v>1</v>
      </c>
      <c r="J773">
        <v>2016</v>
      </c>
      <c r="K773">
        <v>2</v>
      </c>
      <c r="L773">
        <v>276</v>
      </c>
      <c r="M773" t="s">
        <v>55</v>
      </c>
    </row>
    <row r="774" spans="1:13">
      <c r="A774" t="s">
        <v>831</v>
      </c>
      <c r="B774" s="10">
        <v>2.67</v>
      </c>
      <c r="C774" s="10">
        <v>3.67</v>
      </c>
      <c r="D774" s="10">
        <v>5</v>
      </c>
      <c r="E774" s="10">
        <v>42.4</v>
      </c>
      <c r="F774" s="10">
        <v>2</v>
      </c>
      <c r="G774" s="10">
        <v>0</v>
      </c>
      <c r="H774" s="10">
        <v>10</v>
      </c>
      <c r="I774" s="10">
        <v>2</v>
      </c>
      <c r="J774">
        <v>2016</v>
      </c>
      <c r="K774">
        <v>2</v>
      </c>
      <c r="L774">
        <v>276</v>
      </c>
      <c r="M774" t="s">
        <v>57</v>
      </c>
    </row>
    <row r="775" spans="1:13">
      <c r="A775" t="s">
        <v>832</v>
      </c>
      <c r="B775" s="10">
        <v>5.84</v>
      </c>
      <c r="C775" s="10">
        <v>7.34</v>
      </c>
      <c r="D775" s="10">
        <v>3.8</v>
      </c>
      <c r="E775" s="10">
        <v>43.6</v>
      </c>
      <c r="F775" s="10">
        <v>5</v>
      </c>
      <c r="G775" s="10">
        <v>0</v>
      </c>
      <c r="H775" s="10">
        <v>7</v>
      </c>
      <c r="I775" s="10">
        <v>4</v>
      </c>
      <c r="J775">
        <v>2016</v>
      </c>
      <c r="K775">
        <v>2</v>
      </c>
      <c r="L775">
        <v>276</v>
      </c>
      <c r="M775" t="s">
        <v>59</v>
      </c>
    </row>
    <row r="776" spans="1:13">
      <c r="A776" t="s">
        <v>833</v>
      </c>
      <c r="B776" s="10">
        <v>5.33</v>
      </c>
      <c r="C776" s="10">
        <v>5.33</v>
      </c>
      <c r="D776" s="10">
        <v>5.3</v>
      </c>
      <c r="E776" s="10">
        <v>52.2</v>
      </c>
      <c r="F776" s="10">
        <v>6</v>
      </c>
      <c r="G776" s="10">
        <v>0</v>
      </c>
      <c r="H776" s="10">
        <v>0</v>
      </c>
      <c r="I776" s="10">
        <v>0</v>
      </c>
      <c r="J776">
        <v>2016</v>
      </c>
      <c r="K776">
        <v>2</v>
      </c>
      <c r="L776">
        <v>276</v>
      </c>
      <c r="M776" t="s">
        <v>61</v>
      </c>
    </row>
    <row r="777" spans="1:13">
      <c r="A777" t="s">
        <v>834</v>
      </c>
      <c r="B777" s="10">
        <v>7.33</v>
      </c>
      <c r="C777" s="10">
        <v>2.32</v>
      </c>
      <c r="D777" s="10">
        <v>3</v>
      </c>
      <c r="E777" s="10">
        <v>29</v>
      </c>
      <c r="F777" s="10">
        <v>3</v>
      </c>
      <c r="G777" s="10">
        <v>2</v>
      </c>
      <c r="H777" s="10">
        <v>9</v>
      </c>
      <c r="I777" s="10">
        <v>3</v>
      </c>
      <c r="J777">
        <v>2016</v>
      </c>
      <c r="K777">
        <v>2</v>
      </c>
      <c r="L777">
        <v>276</v>
      </c>
      <c r="M777" t="s">
        <v>63</v>
      </c>
    </row>
    <row r="778" spans="1:13">
      <c r="A778" t="s">
        <v>835</v>
      </c>
      <c r="B778" s="10">
        <v>3</v>
      </c>
      <c r="C778" s="10">
        <v>5</v>
      </c>
      <c r="D778" s="10">
        <v>4</v>
      </c>
      <c r="E778" s="10">
        <v>26.6</v>
      </c>
      <c r="F778" s="10">
        <v>12</v>
      </c>
      <c r="G778" s="10">
        <v>1</v>
      </c>
      <c r="H778" s="10">
        <v>1</v>
      </c>
      <c r="I778" s="10">
        <v>0</v>
      </c>
      <c r="J778">
        <v>2016</v>
      </c>
      <c r="K778">
        <v>2</v>
      </c>
      <c r="L778">
        <v>276</v>
      </c>
      <c r="M778" t="s">
        <v>65</v>
      </c>
    </row>
    <row r="779" spans="1:13">
      <c r="A779" t="s">
        <v>836</v>
      </c>
      <c r="B779" s="10">
        <v>2.34</v>
      </c>
      <c r="C779" s="10">
        <v>1</v>
      </c>
      <c r="D779" s="10">
        <v>4.3</v>
      </c>
      <c r="E779" s="10">
        <v>43.85</v>
      </c>
      <c r="F779" s="10">
        <v>3</v>
      </c>
      <c r="G779" s="10">
        <v>0</v>
      </c>
      <c r="H779" s="10">
        <v>9</v>
      </c>
      <c r="I779" s="10">
        <v>1</v>
      </c>
      <c r="J779">
        <v>2016</v>
      </c>
      <c r="K779">
        <v>2</v>
      </c>
      <c r="L779">
        <v>276</v>
      </c>
      <c r="M779" t="s">
        <v>53</v>
      </c>
    </row>
    <row r="780" spans="1:13">
      <c r="A780" t="s">
        <v>837</v>
      </c>
      <c r="B780" s="10">
        <v>4</v>
      </c>
      <c r="C780" s="10">
        <v>1.67</v>
      </c>
      <c r="D780" s="10">
        <v>4</v>
      </c>
      <c r="E780" s="10">
        <v>28.7</v>
      </c>
      <c r="F780" s="10">
        <v>18</v>
      </c>
      <c r="G780" s="10">
        <v>2</v>
      </c>
      <c r="H780" s="10">
        <v>26</v>
      </c>
      <c r="I780" s="10">
        <v>1</v>
      </c>
      <c r="J780">
        <v>2016</v>
      </c>
      <c r="K780">
        <v>2</v>
      </c>
      <c r="L780">
        <v>276</v>
      </c>
      <c r="M780" t="s">
        <v>55</v>
      </c>
    </row>
    <row r="781" spans="1:13">
      <c r="A781" t="s">
        <v>838</v>
      </c>
      <c r="B781" s="10">
        <v>10.33</v>
      </c>
      <c r="C781" s="10">
        <v>4.122</v>
      </c>
      <c r="D781" s="10">
        <v>4</v>
      </c>
      <c r="E781" s="10">
        <v>36.9</v>
      </c>
      <c r="F781" s="10">
        <v>5</v>
      </c>
      <c r="G781" s="10">
        <v>0</v>
      </c>
      <c r="H781" s="10">
        <v>8</v>
      </c>
      <c r="I781" s="10">
        <v>3</v>
      </c>
      <c r="J781">
        <v>2016</v>
      </c>
      <c r="K781">
        <v>2</v>
      </c>
      <c r="L781">
        <v>276</v>
      </c>
      <c r="M781" t="s">
        <v>57</v>
      </c>
    </row>
    <row r="782" spans="1:13">
      <c r="A782" t="s">
        <v>839</v>
      </c>
      <c r="B782" s="10">
        <v>6.34</v>
      </c>
      <c r="C782" s="10">
        <v>4</v>
      </c>
      <c r="D782" s="10">
        <v>0</v>
      </c>
      <c r="E782" s="10">
        <v>55.7</v>
      </c>
      <c r="F782" s="10">
        <v>5</v>
      </c>
      <c r="G782" s="10">
        <v>2</v>
      </c>
      <c r="H782" s="10">
        <v>7</v>
      </c>
      <c r="I782" s="10">
        <v>4</v>
      </c>
      <c r="J782">
        <v>2016</v>
      </c>
      <c r="K782">
        <v>2</v>
      </c>
      <c r="L782">
        <v>276</v>
      </c>
      <c r="M782" t="s">
        <v>59</v>
      </c>
    </row>
    <row r="783" spans="1:13">
      <c r="A783" t="s">
        <v>840</v>
      </c>
      <c r="B783" s="10">
        <v>3</v>
      </c>
      <c r="C783" s="10">
        <v>5.32</v>
      </c>
      <c r="D783" s="10">
        <v>3</v>
      </c>
      <c r="E783" s="10">
        <v>51.125</v>
      </c>
      <c r="F783" s="10">
        <v>10</v>
      </c>
      <c r="G783" s="10">
        <v>0</v>
      </c>
      <c r="H783" s="10">
        <v>12</v>
      </c>
      <c r="I783" s="10">
        <v>4</v>
      </c>
      <c r="J783">
        <v>2016</v>
      </c>
      <c r="K783">
        <v>2</v>
      </c>
      <c r="L783">
        <v>276</v>
      </c>
      <c r="M783" t="s">
        <v>61</v>
      </c>
    </row>
    <row r="784" spans="1:13">
      <c r="A784" t="s">
        <v>841</v>
      </c>
      <c r="B784" s="10">
        <v>3</v>
      </c>
      <c r="C784" s="10">
        <v>2.33</v>
      </c>
      <c r="D784" s="10">
        <v>2.6</v>
      </c>
      <c r="E784" s="10">
        <v>41.3</v>
      </c>
      <c r="F784" s="10">
        <v>11</v>
      </c>
      <c r="G784" s="10">
        <v>0</v>
      </c>
      <c r="H784" s="10">
        <v>15</v>
      </c>
      <c r="I784" s="10">
        <v>3</v>
      </c>
      <c r="J784">
        <v>2016</v>
      </c>
      <c r="K784">
        <v>2</v>
      </c>
      <c r="L784">
        <v>276</v>
      </c>
      <c r="M784" t="s">
        <v>63</v>
      </c>
    </row>
    <row r="785" spans="1:13">
      <c r="A785" t="s">
        <v>842</v>
      </c>
      <c r="B785" s="10">
        <v>7.66</v>
      </c>
      <c r="C785" s="10">
        <v>2.33</v>
      </c>
      <c r="D785" s="10">
        <v>2.1</v>
      </c>
      <c r="E785" s="10">
        <v>35</v>
      </c>
      <c r="F785" s="10">
        <v>6</v>
      </c>
      <c r="G785" s="10">
        <v>2</v>
      </c>
      <c r="H785" s="10">
        <v>5</v>
      </c>
      <c r="I785" s="10">
        <v>1</v>
      </c>
      <c r="J785">
        <v>2016</v>
      </c>
      <c r="K785">
        <v>2</v>
      </c>
      <c r="L785">
        <v>276</v>
      </c>
      <c r="M785" t="s">
        <v>65</v>
      </c>
    </row>
    <row r="786" spans="1:13">
      <c r="A786" t="s">
        <v>843</v>
      </c>
      <c r="B786" s="10">
        <v>7.99</v>
      </c>
      <c r="C786" s="10">
        <v>3.99</v>
      </c>
      <c r="D786" s="10">
        <v>5</v>
      </c>
      <c r="E786" s="10">
        <v>41</v>
      </c>
      <c r="F786" s="10">
        <v>22</v>
      </c>
      <c r="G786" s="10">
        <v>1</v>
      </c>
      <c r="H786" s="10">
        <v>4</v>
      </c>
      <c r="I786" s="10">
        <v>3</v>
      </c>
      <c r="J786">
        <v>2016</v>
      </c>
      <c r="K786">
        <v>2</v>
      </c>
      <c r="L786">
        <v>276</v>
      </c>
      <c r="M786" t="s">
        <v>53</v>
      </c>
    </row>
    <row r="787" spans="1:13">
      <c r="A787" t="s">
        <v>844</v>
      </c>
      <c r="B787" s="10">
        <v>5</v>
      </c>
      <c r="C787" s="10">
        <v>5.848</v>
      </c>
      <c r="D787" s="10">
        <v>4.5</v>
      </c>
      <c r="E787" s="10">
        <v>28.55</v>
      </c>
      <c r="F787" s="10">
        <v>6</v>
      </c>
      <c r="G787" s="10">
        <v>2</v>
      </c>
      <c r="H787" s="10">
        <v>0</v>
      </c>
      <c r="I787" s="10">
        <v>1</v>
      </c>
      <c r="J787">
        <v>2016</v>
      </c>
      <c r="K787">
        <v>2</v>
      </c>
      <c r="L787">
        <v>276</v>
      </c>
      <c r="M787" t="s">
        <v>55</v>
      </c>
    </row>
    <row r="788" spans="1:13">
      <c r="A788" t="s">
        <v>845</v>
      </c>
      <c r="B788" s="10">
        <v>8</v>
      </c>
      <c r="C788" s="10">
        <v>7</v>
      </c>
      <c r="D788" s="10">
        <v>6.6</v>
      </c>
      <c r="E788" s="10">
        <v>25.8</v>
      </c>
      <c r="F788" s="10">
        <v>3</v>
      </c>
      <c r="G788" s="10">
        <v>0</v>
      </c>
      <c r="H788" s="10">
        <v>5</v>
      </c>
      <c r="I788" s="10">
        <v>2</v>
      </c>
      <c r="J788">
        <v>2016</v>
      </c>
      <c r="K788">
        <v>2</v>
      </c>
      <c r="L788">
        <v>276</v>
      </c>
      <c r="M788" t="s">
        <v>57</v>
      </c>
    </row>
    <row r="789" spans="1:13">
      <c r="A789" t="s">
        <v>846</v>
      </c>
      <c r="B789" s="10">
        <v>8</v>
      </c>
      <c r="C789" s="10">
        <v>4.033</v>
      </c>
      <c r="D789" s="10">
        <v>10.1</v>
      </c>
      <c r="E789" s="10">
        <v>66.5</v>
      </c>
      <c r="F789" s="10">
        <v>6</v>
      </c>
      <c r="G789" s="10">
        <v>0</v>
      </c>
      <c r="H789" s="10">
        <v>26</v>
      </c>
      <c r="I789" s="10">
        <v>5</v>
      </c>
      <c r="J789">
        <v>2016</v>
      </c>
      <c r="K789">
        <v>2</v>
      </c>
      <c r="L789">
        <v>276</v>
      </c>
      <c r="M789" t="s">
        <v>59</v>
      </c>
    </row>
    <row r="790" spans="1:13">
      <c r="A790" t="s">
        <v>847</v>
      </c>
      <c r="B790" s="10">
        <v>7</v>
      </c>
      <c r="C790" s="10">
        <v>7.66</v>
      </c>
      <c r="D790" s="10">
        <v>4</v>
      </c>
      <c r="E790" s="10">
        <v>46.2</v>
      </c>
      <c r="F790" s="10">
        <v>13</v>
      </c>
      <c r="G790" s="10">
        <v>0</v>
      </c>
      <c r="H790" s="10">
        <v>3</v>
      </c>
      <c r="I790" s="10">
        <v>1</v>
      </c>
      <c r="J790">
        <v>2016</v>
      </c>
      <c r="K790">
        <v>2</v>
      </c>
      <c r="L790">
        <v>276</v>
      </c>
      <c r="M790" t="s">
        <v>61</v>
      </c>
    </row>
    <row r="791" spans="1:13">
      <c r="A791" t="s">
        <v>848</v>
      </c>
      <c r="B791" s="10">
        <v>10</v>
      </c>
      <c r="C791" s="10">
        <v>4</v>
      </c>
      <c r="D791" s="10">
        <v>2.2</v>
      </c>
      <c r="E791" s="10">
        <v>31</v>
      </c>
      <c r="F791" s="10">
        <v>11</v>
      </c>
      <c r="G791" s="10">
        <v>2</v>
      </c>
      <c r="H791" s="10">
        <v>0</v>
      </c>
      <c r="I791" s="10">
        <v>2</v>
      </c>
      <c r="J791">
        <v>2016</v>
      </c>
      <c r="K791">
        <v>3</v>
      </c>
      <c r="L791">
        <v>276</v>
      </c>
      <c r="M791" t="s">
        <v>63</v>
      </c>
    </row>
    <row r="792" spans="1:13">
      <c r="A792" t="s">
        <v>849</v>
      </c>
      <c r="B792" s="10">
        <v>3.33</v>
      </c>
      <c r="C792" s="10">
        <v>10.396</v>
      </c>
      <c r="D792" s="10">
        <v>5.3</v>
      </c>
      <c r="E792" s="10">
        <v>21.3</v>
      </c>
      <c r="F792" s="10">
        <v>15</v>
      </c>
      <c r="G792" s="10">
        <v>2</v>
      </c>
      <c r="H792" s="10">
        <v>1</v>
      </c>
      <c r="I792" s="10">
        <v>0</v>
      </c>
      <c r="J792">
        <v>2016</v>
      </c>
      <c r="K792">
        <v>3</v>
      </c>
      <c r="L792">
        <v>276</v>
      </c>
      <c r="M792" t="s">
        <v>65</v>
      </c>
    </row>
    <row r="793" spans="1:13">
      <c r="A793" t="s">
        <v>850</v>
      </c>
      <c r="B793" s="10">
        <v>2.83</v>
      </c>
      <c r="C793" s="10">
        <v>2</v>
      </c>
      <c r="D793" s="10">
        <v>5</v>
      </c>
      <c r="E793" s="10">
        <v>55.8</v>
      </c>
      <c r="F793" s="10">
        <v>2</v>
      </c>
      <c r="G793" s="10">
        <v>0</v>
      </c>
      <c r="H793" s="10">
        <v>9</v>
      </c>
      <c r="I793" s="10">
        <v>4</v>
      </c>
      <c r="J793">
        <v>2016</v>
      </c>
      <c r="K793">
        <v>3</v>
      </c>
      <c r="L793">
        <v>276</v>
      </c>
      <c r="M793" t="s">
        <v>53</v>
      </c>
    </row>
    <row r="794" spans="1:13">
      <c r="A794" t="s">
        <v>851</v>
      </c>
      <c r="B794" s="10">
        <v>5</v>
      </c>
      <c r="C794" s="10">
        <v>0.99</v>
      </c>
      <c r="D794" s="10">
        <v>4.4</v>
      </c>
      <c r="E794" s="10">
        <v>26.6</v>
      </c>
      <c r="F794" s="10">
        <v>3</v>
      </c>
      <c r="G794" s="10">
        <v>0</v>
      </c>
      <c r="H794" s="10">
        <v>0</v>
      </c>
      <c r="I794" s="10">
        <v>0</v>
      </c>
      <c r="J794">
        <v>2016</v>
      </c>
      <c r="K794">
        <v>3</v>
      </c>
      <c r="L794">
        <v>276</v>
      </c>
      <c r="M794" t="s">
        <v>55</v>
      </c>
    </row>
    <row r="795" spans="1:13">
      <c r="A795" t="s">
        <v>852</v>
      </c>
      <c r="B795" s="10">
        <v>5</v>
      </c>
      <c r="C795" s="10">
        <v>4.891</v>
      </c>
      <c r="D795" s="10">
        <v>8</v>
      </c>
      <c r="E795" s="10">
        <v>38</v>
      </c>
      <c r="F795" s="10">
        <v>9</v>
      </c>
      <c r="G795" s="10">
        <v>0</v>
      </c>
      <c r="H795" s="10">
        <v>10</v>
      </c>
      <c r="I795" s="10">
        <v>5</v>
      </c>
      <c r="J795">
        <v>2016</v>
      </c>
      <c r="K795">
        <v>3</v>
      </c>
      <c r="L795">
        <v>276</v>
      </c>
      <c r="M795" t="s">
        <v>57</v>
      </c>
    </row>
    <row r="796" spans="1:13">
      <c r="A796" t="s">
        <v>853</v>
      </c>
      <c r="B796" s="10">
        <v>5</v>
      </c>
      <c r="C796" s="10">
        <v>8.145</v>
      </c>
      <c r="D796" s="10">
        <v>4.9</v>
      </c>
      <c r="E796" s="10">
        <v>79.90000000000001</v>
      </c>
      <c r="F796" s="10">
        <v>2</v>
      </c>
      <c r="G796" s="10">
        <v>0</v>
      </c>
      <c r="H796" s="10">
        <v>5</v>
      </c>
      <c r="I796" s="10">
        <v>7</v>
      </c>
      <c r="J796">
        <v>2016</v>
      </c>
      <c r="K796">
        <v>3</v>
      </c>
      <c r="L796">
        <v>276</v>
      </c>
      <c r="M796" t="s">
        <v>59</v>
      </c>
    </row>
    <row r="797" spans="1:13">
      <c r="A797" t="s">
        <v>854</v>
      </c>
      <c r="B797" s="10">
        <v>5.33</v>
      </c>
      <c r="C797" s="10">
        <v>7.34</v>
      </c>
      <c r="D797" s="10">
        <v>4</v>
      </c>
      <c r="E797" s="10">
        <v>43.5</v>
      </c>
      <c r="F797" s="10">
        <v>3</v>
      </c>
      <c r="G797" s="10">
        <v>1</v>
      </c>
      <c r="H797" s="10">
        <v>6</v>
      </c>
      <c r="I797" s="10">
        <v>1</v>
      </c>
      <c r="J797">
        <v>2016</v>
      </c>
      <c r="K797">
        <v>3</v>
      </c>
      <c r="L797">
        <v>276</v>
      </c>
      <c r="M797" t="s">
        <v>61</v>
      </c>
    </row>
    <row r="798" spans="1:13">
      <c r="A798" t="s">
        <v>855</v>
      </c>
      <c r="B798" s="10">
        <v>4</v>
      </c>
      <c r="C798" s="10">
        <v>6.66</v>
      </c>
      <c r="D798" s="10">
        <v>3</v>
      </c>
      <c r="E798" s="10">
        <v>44</v>
      </c>
      <c r="F798" s="10">
        <v>7</v>
      </c>
      <c r="G798" s="10">
        <v>0</v>
      </c>
      <c r="H798" s="10">
        <v>3</v>
      </c>
      <c r="I798" s="10">
        <v>3</v>
      </c>
      <c r="J798">
        <v>2016</v>
      </c>
      <c r="K798">
        <v>3</v>
      </c>
      <c r="L798">
        <v>276</v>
      </c>
      <c r="M798" t="s">
        <v>63</v>
      </c>
    </row>
    <row r="799" spans="1:13">
      <c r="A799" t="s">
        <v>856</v>
      </c>
      <c r="B799" s="10">
        <v>4.34</v>
      </c>
      <c r="C799" s="10">
        <v>5.67</v>
      </c>
      <c r="D799" s="10">
        <v>7</v>
      </c>
      <c r="E799" s="10">
        <v>21.8</v>
      </c>
      <c r="F799" s="10">
        <v>7</v>
      </c>
      <c r="G799" s="10">
        <v>1</v>
      </c>
      <c r="H799" s="10">
        <v>6</v>
      </c>
      <c r="I799" s="10">
        <v>4</v>
      </c>
      <c r="J799">
        <v>2016</v>
      </c>
      <c r="K799">
        <v>3</v>
      </c>
      <c r="L799">
        <v>276</v>
      </c>
      <c r="M799" t="s">
        <v>65</v>
      </c>
    </row>
    <row r="800" spans="1:13">
      <c r="A800" t="s">
        <v>857</v>
      </c>
      <c r="B800" s="10">
        <v>6.33</v>
      </c>
      <c r="C800" s="10">
        <v>10.33</v>
      </c>
      <c r="D800" s="10">
        <v>2</v>
      </c>
      <c r="E800" s="10">
        <v>23.4</v>
      </c>
      <c r="F800" s="10">
        <v>8</v>
      </c>
      <c r="G800" s="10">
        <v>0</v>
      </c>
      <c r="H800" s="10">
        <v>2</v>
      </c>
      <c r="I800" s="10">
        <v>2</v>
      </c>
      <c r="J800">
        <v>2016</v>
      </c>
      <c r="K800">
        <v>3</v>
      </c>
      <c r="L800">
        <v>276</v>
      </c>
      <c r="M800" t="s">
        <v>53</v>
      </c>
    </row>
    <row r="801" spans="1:13">
      <c r="A801" t="s">
        <v>858</v>
      </c>
      <c r="B801" s="10">
        <v>3.33</v>
      </c>
      <c r="C801" s="10">
        <v>4.363</v>
      </c>
      <c r="D801" s="10">
        <v>6.2</v>
      </c>
      <c r="E801" s="10">
        <v>22</v>
      </c>
      <c r="F801" s="10">
        <v>8</v>
      </c>
      <c r="G801" s="10">
        <v>0</v>
      </c>
      <c r="H801" s="10">
        <v>18</v>
      </c>
      <c r="I801" s="10">
        <v>1</v>
      </c>
      <c r="J801">
        <v>2016</v>
      </c>
      <c r="K801">
        <v>3</v>
      </c>
      <c r="L801">
        <v>276</v>
      </c>
      <c r="M801" t="s">
        <v>55</v>
      </c>
    </row>
    <row r="802" spans="1:13">
      <c r="A802" t="s">
        <v>859</v>
      </c>
      <c r="B802" s="10">
        <v>3</v>
      </c>
      <c r="C802" s="10">
        <v>6.373</v>
      </c>
      <c r="D802" s="10">
        <v>1.4</v>
      </c>
      <c r="E802" s="10">
        <v>41.8</v>
      </c>
      <c r="F802" s="10">
        <v>4</v>
      </c>
      <c r="G802" s="10">
        <v>0</v>
      </c>
      <c r="H802" s="10">
        <v>23</v>
      </c>
      <c r="I802" s="10">
        <v>1</v>
      </c>
      <c r="J802">
        <v>2016</v>
      </c>
      <c r="K802">
        <v>3</v>
      </c>
      <c r="L802">
        <v>276</v>
      </c>
      <c r="M802" t="s">
        <v>57</v>
      </c>
    </row>
    <row r="803" spans="1:13">
      <c r="A803" t="s">
        <v>860</v>
      </c>
      <c r="B803" s="10">
        <v>2.5</v>
      </c>
      <c r="C803" s="10">
        <v>4.134</v>
      </c>
      <c r="D803" s="10">
        <v>1.5</v>
      </c>
      <c r="E803" s="10">
        <v>59.2</v>
      </c>
      <c r="F803" s="10">
        <v>4</v>
      </c>
      <c r="G803" s="10">
        <v>0</v>
      </c>
      <c r="H803" s="10">
        <v>4</v>
      </c>
      <c r="I803" s="10">
        <v>0.34</v>
      </c>
      <c r="J803">
        <v>2016</v>
      </c>
      <c r="K803">
        <v>3</v>
      </c>
      <c r="L803">
        <v>276</v>
      </c>
      <c r="M803" t="s">
        <v>59</v>
      </c>
    </row>
    <row r="804" spans="1:13">
      <c r="A804" t="s">
        <v>861</v>
      </c>
      <c r="B804" s="10">
        <v>4.33</v>
      </c>
      <c r="C804" s="10">
        <v>3.32</v>
      </c>
      <c r="D804" s="10">
        <v>10</v>
      </c>
      <c r="E804" s="10">
        <v>35.9</v>
      </c>
      <c r="F804" s="10">
        <v>12</v>
      </c>
      <c r="G804" s="10">
        <v>0</v>
      </c>
      <c r="H804" s="10">
        <v>23</v>
      </c>
      <c r="I804" s="10">
        <v>1</v>
      </c>
      <c r="J804">
        <v>2016</v>
      </c>
      <c r="K804">
        <v>3</v>
      </c>
      <c r="L804">
        <v>276</v>
      </c>
      <c r="M804" t="s">
        <v>61</v>
      </c>
    </row>
    <row r="805" spans="1:13">
      <c r="A805" t="s">
        <v>862</v>
      </c>
      <c r="B805" s="10">
        <v>5.33</v>
      </c>
      <c r="C805" s="10">
        <v>3.32</v>
      </c>
      <c r="D805" s="10">
        <v>2</v>
      </c>
      <c r="E805" s="10">
        <v>24</v>
      </c>
      <c r="F805" s="10">
        <v>7</v>
      </c>
      <c r="G805" s="10">
        <v>0</v>
      </c>
      <c r="H805" s="10">
        <v>18</v>
      </c>
      <c r="I805" s="10">
        <v>3</v>
      </c>
      <c r="J805">
        <v>2016</v>
      </c>
      <c r="K805">
        <v>3</v>
      </c>
      <c r="L805">
        <v>276</v>
      </c>
      <c r="M805" t="s">
        <v>63</v>
      </c>
    </row>
    <row r="806" spans="1:13">
      <c r="A806" t="s">
        <v>863</v>
      </c>
      <c r="B806" s="10">
        <v>5.33</v>
      </c>
      <c r="C806" s="10">
        <v>13.34</v>
      </c>
      <c r="D806" s="10">
        <v>5.7</v>
      </c>
      <c r="E806" s="10">
        <v>37.4</v>
      </c>
      <c r="F806" s="10">
        <v>16</v>
      </c>
      <c r="G806" s="10">
        <v>0</v>
      </c>
      <c r="H806" s="10">
        <v>4</v>
      </c>
      <c r="I806" s="10">
        <v>4</v>
      </c>
      <c r="J806">
        <v>2016</v>
      </c>
      <c r="K806">
        <v>3</v>
      </c>
      <c r="L806">
        <v>276</v>
      </c>
      <c r="M806" t="s">
        <v>65</v>
      </c>
    </row>
    <row r="807" spans="1:13">
      <c r="A807" t="s">
        <v>864</v>
      </c>
      <c r="B807" s="10">
        <v>5.66</v>
      </c>
      <c r="C807" s="10">
        <v>5.396</v>
      </c>
      <c r="D807" s="10">
        <v>5</v>
      </c>
      <c r="E807" s="10">
        <v>60.2</v>
      </c>
      <c r="F807" s="10">
        <v>10</v>
      </c>
      <c r="G807" s="10">
        <v>0</v>
      </c>
      <c r="H807" s="10">
        <v>8</v>
      </c>
      <c r="I807" s="10">
        <v>5</v>
      </c>
      <c r="J807">
        <v>2016</v>
      </c>
      <c r="K807">
        <v>3</v>
      </c>
      <c r="L807">
        <v>276</v>
      </c>
      <c r="M807" t="s">
        <v>53</v>
      </c>
    </row>
    <row r="808" spans="1:13">
      <c r="A808" t="s">
        <v>865</v>
      </c>
      <c r="B808" s="10">
        <v>3.34</v>
      </c>
      <c r="C808" s="10">
        <v>5.353</v>
      </c>
      <c r="D808" s="10">
        <v>5.2</v>
      </c>
      <c r="E808" s="10">
        <v>25.462</v>
      </c>
      <c r="F808" s="10">
        <v>15</v>
      </c>
      <c r="G808" s="10">
        <v>2</v>
      </c>
      <c r="H808" s="10">
        <v>8</v>
      </c>
      <c r="I808" s="10">
        <v>3</v>
      </c>
      <c r="J808">
        <v>2016</v>
      </c>
      <c r="K808">
        <v>3</v>
      </c>
      <c r="L808">
        <v>276</v>
      </c>
      <c r="M808" t="s">
        <v>55</v>
      </c>
    </row>
    <row r="809" spans="1:13">
      <c r="A809" t="s">
        <v>866</v>
      </c>
      <c r="B809" s="10">
        <v>10.66</v>
      </c>
      <c r="C809" s="10">
        <v>8.33</v>
      </c>
      <c r="D809" s="10">
        <v>2.8</v>
      </c>
      <c r="E809" s="10">
        <v>19.5</v>
      </c>
      <c r="F809" s="10">
        <v>6</v>
      </c>
      <c r="G809" s="10">
        <v>1</v>
      </c>
      <c r="H809" s="10">
        <v>5</v>
      </c>
      <c r="I809" s="10">
        <v>5</v>
      </c>
      <c r="J809">
        <v>2016</v>
      </c>
      <c r="K809">
        <v>3</v>
      </c>
      <c r="L809">
        <v>276</v>
      </c>
      <c r="M809" t="s">
        <v>57</v>
      </c>
    </row>
    <row r="810" spans="1:13">
      <c r="A810" t="s">
        <v>867</v>
      </c>
      <c r="B810" s="10">
        <v>7.99</v>
      </c>
      <c r="C810" s="10">
        <v>9.693</v>
      </c>
      <c r="D810" s="10">
        <v>2.2</v>
      </c>
      <c r="E810" s="10">
        <v>42.2</v>
      </c>
      <c r="F810" s="10">
        <v>1</v>
      </c>
      <c r="G810" s="10">
        <v>0</v>
      </c>
      <c r="H810" s="10">
        <v>15</v>
      </c>
      <c r="I810" s="10">
        <v>5</v>
      </c>
      <c r="J810">
        <v>2016</v>
      </c>
      <c r="K810">
        <v>3</v>
      </c>
      <c r="L810">
        <v>276</v>
      </c>
      <c r="M810" t="s">
        <v>59</v>
      </c>
    </row>
    <row r="811" spans="1:13">
      <c r="A811" t="s">
        <v>868</v>
      </c>
      <c r="B811" s="10">
        <v>5</v>
      </c>
      <c r="C811" s="10">
        <v>8.055999999999999</v>
      </c>
      <c r="D811" s="10">
        <v>6</v>
      </c>
      <c r="E811" s="10">
        <v>45.7</v>
      </c>
      <c r="F811" s="10">
        <v>11</v>
      </c>
      <c r="G811" s="10">
        <v>0</v>
      </c>
      <c r="H811" s="10">
        <v>36</v>
      </c>
      <c r="I811" s="10">
        <v>7</v>
      </c>
      <c r="J811">
        <v>2016</v>
      </c>
      <c r="K811">
        <v>3</v>
      </c>
      <c r="L811">
        <v>276</v>
      </c>
      <c r="M811" t="s">
        <v>61</v>
      </c>
    </row>
    <row r="812" spans="1:13">
      <c r="A812" t="s">
        <v>869</v>
      </c>
      <c r="B812" s="10">
        <v>2.33</v>
      </c>
      <c r="C812" s="10">
        <v>0</v>
      </c>
      <c r="D812" s="10">
        <v>5</v>
      </c>
      <c r="E812" s="10">
        <v>42.188</v>
      </c>
      <c r="F812" s="10">
        <v>12</v>
      </c>
      <c r="G812" s="10">
        <v>2</v>
      </c>
      <c r="H812" s="10">
        <v>4</v>
      </c>
      <c r="I812" s="10">
        <v>2</v>
      </c>
      <c r="J812">
        <v>2016</v>
      </c>
      <c r="K812">
        <v>3</v>
      </c>
      <c r="L812">
        <v>276</v>
      </c>
      <c r="M812" t="s">
        <v>63</v>
      </c>
    </row>
    <row r="813" spans="1:13">
      <c r="A813" t="s">
        <v>870</v>
      </c>
      <c r="B813" s="10">
        <v>4</v>
      </c>
      <c r="C813" s="10">
        <v>3</v>
      </c>
      <c r="D813" s="10">
        <v>6</v>
      </c>
      <c r="E813" s="10">
        <v>24.25</v>
      </c>
      <c r="F813" s="10">
        <v>22</v>
      </c>
      <c r="G813" s="10">
        <v>1</v>
      </c>
      <c r="H813" s="10">
        <v>0</v>
      </c>
      <c r="I813" s="10">
        <v>3</v>
      </c>
      <c r="J813">
        <v>2016</v>
      </c>
      <c r="K813">
        <v>3</v>
      </c>
      <c r="L813">
        <v>276</v>
      </c>
      <c r="M813" t="s">
        <v>65</v>
      </c>
    </row>
    <row r="814" spans="1:13">
      <c r="A814" t="s">
        <v>871</v>
      </c>
      <c r="B814" s="10">
        <v>6.84</v>
      </c>
      <c r="C814" s="10">
        <v>2</v>
      </c>
      <c r="D814" s="10">
        <v>3</v>
      </c>
      <c r="E814" s="10">
        <v>32</v>
      </c>
      <c r="F814" s="10">
        <v>4</v>
      </c>
      <c r="G814" s="10">
        <v>0</v>
      </c>
      <c r="H814" s="10">
        <v>8</v>
      </c>
      <c r="I814" s="10">
        <v>2</v>
      </c>
      <c r="J814">
        <v>2016</v>
      </c>
      <c r="K814">
        <v>3</v>
      </c>
      <c r="L814">
        <v>276</v>
      </c>
      <c r="M814" t="s">
        <v>53</v>
      </c>
    </row>
    <row r="815" spans="1:13">
      <c r="A815" t="s">
        <v>872</v>
      </c>
      <c r="B815" s="10">
        <v>7</v>
      </c>
      <c r="C815" s="10">
        <v>7.35</v>
      </c>
      <c r="D815" s="10">
        <v>4.2</v>
      </c>
      <c r="E815" s="10">
        <v>42.8</v>
      </c>
      <c r="F815" s="10">
        <v>8</v>
      </c>
      <c r="G815" s="10">
        <v>0</v>
      </c>
      <c r="H815" s="10">
        <v>3</v>
      </c>
      <c r="I815" s="10">
        <v>3</v>
      </c>
      <c r="J815">
        <v>2016</v>
      </c>
      <c r="K815">
        <v>3</v>
      </c>
      <c r="L815">
        <v>276</v>
      </c>
      <c r="M815" t="s">
        <v>55</v>
      </c>
    </row>
    <row r="816" spans="1:13">
      <c r="A816" t="s">
        <v>873</v>
      </c>
      <c r="B816" s="10">
        <v>2.5</v>
      </c>
      <c r="C816" s="10">
        <v>0.66</v>
      </c>
      <c r="D816" s="10">
        <v>7.5</v>
      </c>
      <c r="E816" s="10">
        <v>33.25</v>
      </c>
      <c r="F816" s="10">
        <v>4</v>
      </c>
      <c r="G816" s="10">
        <v>0</v>
      </c>
      <c r="H816" s="10">
        <v>0</v>
      </c>
      <c r="I816" s="10">
        <v>5</v>
      </c>
      <c r="J816">
        <v>2016</v>
      </c>
      <c r="K816">
        <v>3</v>
      </c>
      <c r="L816">
        <v>276</v>
      </c>
      <c r="M816" t="s">
        <v>57</v>
      </c>
    </row>
    <row r="817" spans="1:13">
      <c r="A817" t="s">
        <v>874</v>
      </c>
      <c r="B817" s="10">
        <v>7.83</v>
      </c>
      <c r="C817" s="10">
        <v>5.449</v>
      </c>
      <c r="D817" s="10">
        <v>13.7</v>
      </c>
      <c r="E817" s="10">
        <v>63.3</v>
      </c>
      <c r="F817" s="10">
        <v>11</v>
      </c>
      <c r="G817" s="10">
        <v>1</v>
      </c>
      <c r="H817" s="10">
        <v>1</v>
      </c>
      <c r="I817" s="10">
        <v>4</v>
      </c>
      <c r="J817">
        <v>2016</v>
      </c>
      <c r="K817">
        <v>3</v>
      </c>
      <c r="L817">
        <v>276</v>
      </c>
      <c r="M817" t="s">
        <v>59</v>
      </c>
    </row>
    <row r="818" spans="1:13">
      <c r="A818" t="s">
        <v>875</v>
      </c>
      <c r="B818" s="10">
        <v>3.34</v>
      </c>
      <c r="C818" s="10">
        <v>2.34</v>
      </c>
      <c r="D818" s="10">
        <v>1.7</v>
      </c>
      <c r="E818" s="10">
        <v>24.6</v>
      </c>
      <c r="F818" s="10">
        <v>20</v>
      </c>
      <c r="G818" s="10">
        <v>0</v>
      </c>
      <c r="H818" s="10">
        <v>4</v>
      </c>
      <c r="I818" s="10">
        <v>4.5</v>
      </c>
      <c r="J818">
        <v>2016</v>
      </c>
      <c r="K818">
        <v>3</v>
      </c>
      <c r="L818">
        <v>276</v>
      </c>
      <c r="M818" t="s">
        <v>61</v>
      </c>
    </row>
    <row r="819" spans="1:13">
      <c r="A819" t="s">
        <v>876</v>
      </c>
      <c r="B819" s="10">
        <v>5.68</v>
      </c>
      <c r="C819" s="10">
        <v>1.33</v>
      </c>
      <c r="D819" s="10">
        <v>3.2</v>
      </c>
      <c r="E819" s="10">
        <v>36.2</v>
      </c>
      <c r="F819" s="10">
        <v>4</v>
      </c>
      <c r="G819" s="10">
        <v>0</v>
      </c>
      <c r="H819" s="10">
        <v>12</v>
      </c>
      <c r="I819" s="10">
        <v>1</v>
      </c>
      <c r="J819">
        <v>2016</v>
      </c>
      <c r="K819">
        <v>3</v>
      </c>
      <c r="L819">
        <v>276</v>
      </c>
      <c r="M819" t="s">
        <v>63</v>
      </c>
    </row>
    <row r="820" spans="1:13">
      <c r="A820" t="s">
        <v>877</v>
      </c>
      <c r="B820" s="10">
        <v>7.16</v>
      </c>
      <c r="C820" s="10">
        <v>2.68</v>
      </c>
      <c r="D820" s="10">
        <v>7.4</v>
      </c>
      <c r="E820" s="10">
        <v>22.2</v>
      </c>
      <c r="F820" s="10">
        <v>3</v>
      </c>
      <c r="G820" s="10">
        <v>0</v>
      </c>
      <c r="H820" s="10">
        <v>12</v>
      </c>
      <c r="I820" s="10">
        <v>5</v>
      </c>
      <c r="J820">
        <v>2016</v>
      </c>
      <c r="K820">
        <v>3</v>
      </c>
      <c r="L820">
        <v>276</v>
      </c>
      <c r="M820" t="s">
        <v>65</v>
      </c>
    </row>
    <row r="821" spans="1:13">
      <c r="A821" t="s">
        <v>878</v>
      </c>
      <c r="B821" s="10">
        <v>2.33</v>
      </c>
      <c r="C821" s="10">
        <v>8.68</v>
      </c>
      <c r="D821" s="10">
        <v>2.9</v>
      </c>
      <c r="E821" s="10">
        <v>31.25</v>
      </c>
      <c r="F821" s="10">
        <v>1</v>
      </c>
      <c r="G821" s="10">
        <v>0</v>
      </c>
      <c r="H821" s="10">
        <v>5</v>
      </c>
      <c r="I821" s="10">
        <v>5</v>
      </c>
      <c r="J821">
        <v>2016</v>
      </c>
      <c r="K821">
        <v>3</v>
      </c>
      <c r="L821">
        <v>276</v>
      </c>
      <c r="M821" t="s">
        <v>53</v>
      </c>
    </row>
    <row r="822" spans="1:13">
      <c r="A822" t="s">
        <v>879</v>
      </c>
      <c r="B822" s="10">
        <v>6.33</v>
      </c>
      <c r="C822" s="10">
        <v>3.01</v>
      </c>
      <c r="D822" s="10">
        <v>2.7</v>
      </c>
      <c r="E822" s="10">
        <v>50.4</v>
      </c>
      <c r="F822" s="10">
        <v>4</v>
      </c>
      <c r="G822" s="10">
        <v>0</v>
      </c>
      <c r="H822" s="10">
        <v>16</v>
      </c>
      <c r="I822" s="10">
        <v>10.5</v>
      </c>
      <c r="J822">
        <v>2016</v>
      </c>
      <c r="K822">
        <v>4</v>
      </c>
      <c r="L822">
        <v>276</v>
      </c>
      <c r="M822" t="s">
        <v>55</v>
      </c>
    </row>
    <row r="823" spans="1:13">
      <c r="A823" t="s">
        <v>880</v>
      </c>
      <c r="B823" s="10">
        <v>3.67</v>
      </c>
      <c r="C823" s="10">
        <v>2</v>
      </c>
      <c r="D823" s="10">
        <v>7</v>
      </c>
      <c r="E823" s="10">
        <v>32.3</v>
      </c>
      <c r="F823" s="10">
        <v>4</v>
      </c>
      <c r="G823" s="10">
        <v>0</v>
      </c>
      <c r="H823" s="10">
        <v>19</v>
      </c>
      <c r="I823" s="10">
        <v>7.4</v>
      </c>
      <c r="J823">
        <v>2016</v>
      </c>
      <c r="K823">
        <v>4</v>
      </c>
      <c r="L823">
        <v>276</v>
      </c>
      <c r="M823" t="s">
        <v>57</v>
      </c>
    </row>
    <row r="824" spans="1:13">
      <c r="A824" t="s">
        <v>881</v>
      </c>
      <c r="B824" s="10">
        <v>9.67</v>
      </c>
      <c r="C824" s="10">
        <v>7.396</v>
      </c>
      <c r="D824" s="10">
        <v>5.3</v>
      </c>
      <c r="E824" s="10">
        <v>73.5</v>
      </c>
      <c r="F824" s="10">
        <v>5</v>
      </c>
      <c r="G824" s="10">
        <v>0</v>
      </c>
      <c r="H824" s="10">
        <v>6</v>
      </c>
      <c r="I824" s="10">
        <v>11</v>
      </c>
      <c r="J824">
        <v>2016</v>
      </c>
      <c r="K824">
        <v>4</v>
      </c>
      <c r="L824">
        <v>276</v>
      </c>
      <c r="M824" t="s">
        <v>59</v>
      </c>
    </row>
    <row r="825" spans="1:13">
      <c r="A825" t="s">
        <v>882</v>
      </c>
      <c r="B825" s="10">
        <v>7</v>
      </c>
      <c r="C825" s="10">
        <v>5.231</v>
      </c>
      <c r="D825" s="10">
        <v>5</v>
      </c>
      <c r="E825" s="10">
        <v>21.6</v>
      </c>
      <c r="F825" s="10">
        <v>3</v>
      </c>
      <c r="G825" s="10">
        <v>1</v>
      </c>
      <c r="H825" s="10">
        <v>11</v>
      </c>
      <c r="I825" s="10">
        <v>2</v>
      </c>
      <c r="J825">
        <v>2016</v>
      </c>
      <c r="K825">
        <v>4</v>
      </c>
      <c r="L825">
        <v>276</v>
      </c>
      <c r="M825" t="s">
        <v>61</v>
      </c>
    </row>
    <row r="826" spans="1:13">
      <c r="A826" t="s">
        <v>883</v>
      </c>
      <c r="B826" s="10">
        <v>6</v>
      </c>
      <c r="C826" s="10">
        <v>5.33</v>
      </c>
      <c r="D826" s="10">
        <v>4</v>
      </c>
      <c r="E826" s="10">
        <v>40.3</v>
      </c>
      <c r="F826" s="10">
        <v>5</v>
      </c>
      <c r="G826" s="10">
        <v>1</v>
      </c>
      <c r="H826" s="10">
        <v>11</v>
      </c>
      <c r="I826" s="10">
        <v>12</v>
      </c>
      <c r="J826">
        <v>2016</v>
      </c>
      <c r="K826">
        <v>4</v>
      </c>
      <c r="L826">
        <v>276</v>
      </c>
      <c r="M826" t="s">
        <v>63</v>
      </c>
    </row>
    <row r="827" spans="1:13">
      <c r="A827" t="s">
        <v>884</v>
      </c>
      <c r="B827" s="10">
        <v>6.66</v>
      </c>
      <c r="C827" s="10">
        <v>5.363</v>
      </c>
      <c r="D827" s="10">
        <v>2</v>
      </c>
      <c r="E827" s="10">
        <v>15.25</v>
      </c>
      <c r="F827" s="10">
        <v>7</v>
      </c>
      <c r="G827" s="10">
        <v>0</v>
      </c>
      <c r="H827" s="10">
        <v>6</v>
      </c>
      <c r="I827" s="10">
        <v>3</v>
      </c>
      <c r="J827">
        <v>2016</v>
      </c>
      <c r="K827">
        <v>4</v>
      </c>
      <c r="L827">
        <v>276</v>
      </c>
      <c r="M827" t="s">
        <v>65</v>
      </c>
    </row>
    <row r="828" spans="1:13">
      <c r="A828" t="s">
        <v>885</v>
      </c>
      <c r="B828" s="10">
        <v>6.33</v>
      </c>
      <c r="C828" s="10">
        <v>5.98</v>
      </c>
      <c r="D828" s="10">
        <v>4</v>
      </c>
      <c r="E828" s="10">
        <v>21</v>
      </c>
      <c r="F828" s="10">
        <v>7</v>
      </c>
      <c r="G828" s="10">
        <v>2</v>
      </c>
      <c r="H828" s="10">
        <v>4</v>
      </c>
      <c r="I828" s="10">
        <v>8.199999999999999</v>
      </c>
      <c r="J828">
        <v>2016</v>
      </c>
      <c r="K828">
        <v>4</v>
      </c>
      <c r="L828">
        <v>276</v>
      </c>
      <c r="M828" t="s">
        <v>53</v>
      </c>
    </row>
    <row r="829" spans="1:13">
      <c r="A829" t="s">
        <v>886</v>
      </c>
      <c r="B829" s="10">
        <v>7.67</v>
      </c>
      <c r="C829" s="10">
        <v>3.66</v>
      </c>
      <c r="D829" s="10">
        <v>5</v>
      </c>
      <c r="E829" s="10">
        <v>42.3</v>
      </c>
      <c r="F829" s="10">
        <v>2</v>
      </c>
      <c r="G829" s="10">
        <v>1</v>
      </c>
      <c r="H829" s="10">
        <v>3</v>
      </c>
      <c r="I829" s="10">
        <v>4.4</v>
      </c>
      <c r="J829">
        <v>2016</v>
      </c>
      <c r="K829">
        <v>4</v>
      </c>
      <c r="L829">
        <v>276</v>
      </c>
      <c r="M829" t="s">
        <v>55</v>
      </c>
    </row>
    <row r="830" spans="1:13">
      <c r="A830" t="s">
        <v>887</v>
      </c>
      <c r="B830" s="10">
        <v>9</v>
      </c>
      <c r="C830" s="10">
        <v>9.01</v>
      </c>
      <c r="D830" s="10">
        <v>3.1</v>
      </c>
      <c r="E830" s="10">
        <v>38.8</v>
      </c>
      <c r="F830" s="10">
        <v>7</v>
      </c>
      <c r="G830" s="10">
        <v>0</v>
      </c>
      <c r="H830" s="10">
        <v>14</v>
      </c>
      <c r="I830" s="10">
        <v>3</v>
      </c>
      <c r="J830">
        <v>2016</v>
      </c>
      <c r="K830">
        <v>4</v>
      </c>
      <c r="L830">
        <v>276</v>
      </c>
      <c r="M830" t="s">
        <v>57</v>
      </c>
    </row>
    <row r="831" spans="1:13">
      <c r="A831" t="s">
        <v>888</v>
      </c>
      <c r="B831" s="10">
        <v>5</v>
      </c>
      <c r="C831" s="10">
        <v>6.67</v>
      </c>
      <c r="D831" s="10">
        <v>5.15</v>
      </c>
      <c r="E831" s="10">
        <v>21.4</v>
      </c>
      <c r="F831" s="10">
        <v>4</v>
      </c>
      <c r="G831" s="10">
        <v>1</v>
      </c>
      <c r="H831" s="10">
        <v>11</v>
      </c>
      <c r="I831" s="10">
        <v>8</v>
      </c>
      <c r="J831">
        <v>2016</v>
      </c>
      <c r="K831">
        <v>4</v>
      </c>
      <c r="L831">
        <v>276</v>
      </c>
      <c r="M831" t="s">
        <v>59</v>
      </c>
    </row>
    <row r="832" spans="1:13">
      <c r="A832" t="s">
        <v>889</v>
      </c>
      <c r="B832" s="10">
        <v>0.33</v>
      </c>
      <c r="C832" s="10">
        <v>4.99</v>
      </c>
      <c r="D832" s="10">
        <v>3</v>
      </c>
      <c r="E832" s="10">
        <v>26</v>
      </c>
      <c r="F832" s="10">
        <v>11</v>
      </c>
      <c r="G832" s="10">
        <v>2</v>
      </c>
      <c r="H832" s="10">
        <v>17</v>
      </c>
      <c r="I832" s="10">
        <v>6</v>
      </c>
      <c r="J832">
        <v>2016</v>
      </c>
      <c r="K832">
        <v>4</v>
      </c>
      <c r="L832">
        <v>276</v>
      </c>
      <c r="M832" t="s">
        <v>61</v>
      </c>
    </row>
    <row r="833" spans="1:13">
      <c r="A833" t="s">
        <v>890</v>
      </c>
      <c r="B833" s="10">
        <v>4.34</v>
      </c>
      <c r="C833" s="10">
        <v>4.65</v>
      </c>
      <c r="D833" s="10">
        <v>6</v>
      </c>
      <c r="E833" s="10">
        <v>41.6</v>
      </c>
      <c r="F833" s="10">
        <v>19</v>
      </c>
      <c r="G833" s="10">
        <v>1</v>
      </c>
      <c r="H833" s="10">
        <v>2</v>
      </c>
      <c r="I833" s="10">
        <v>5</v>
      </c>
      <c r="J833">
        <v>2016</v>
      </c>
      <c r="K833">
        <v>4</v>
      </c>
      <c r="L833">
        <v>276</v>
      </c>
      <c r="M833" t="s">
        <v>63</v>
      </c>
    </row>
    <row r="834" spans="1:13">
      <c r="A834" t="s">
        <v>891</v>
      </c>
      <c r="B834" s="10">
        <v>6.33</v>
      </c>
      <c r="C834" s="10">
        <v>3.066</v>
      </c>
      <c r="D834" s="10">
        <v>3</v>
      </c>
      <c r="E834" s="10">
        <v>34</v>
      </c>
      <c r="F834" s="10">
        <v>22.33333333</v>
      </c>
      <c r="G834" s="10">
        <v>0</v>
      </c>
      <c r="H834" s="10">
        <v>2</v>
      </c>
      <c r="I834" s="10">
        <v>3</v>
      </c>
      <c r="J834">
        <v>2016</v>
      </c>
      <c r="K834">
        <v>4</v>
      </c>
      <c r="L834">
        <v>276</v>
      </c>
      <c r="M834" t="s">
        <v>65</v>
      </c>
    </row>
    <row r="835" spans="1:13">
      <c r="A835" t="s">
        <v>892</v>
      </c>
      <c r="B835" s="10">
        <v>2.66</v>
      </c>
      <c r="C835" s="10">
        <v>2.32</v>
      </c>
      <c r="D835" s="10">
        <v>8.5</v>
      </c>
      <c r="E835" s="10">
        <v>44.225</v>
      </c>
      <c r="F835" s="10">
        <v>9</v>
      </c>
      <c r="G835" s="10">
        <v>0</v>
      </c>
      <c r="H835" s="10">
        <v>4</v>
      </c>
      <c r="I835" s="10">
        <v>6</v>
      </c>
      <c r="J835">
        <v>2016</v>
      </c>
      <c r="K835">
        <v>4</v>
      </c>
      <c r="L835">
        <v>276</v>
      </c>
      <c r="M835" t="s">
        <v>53</v>
      </c>
    </row>
    <row r="836" spans="1:13">
      <c r="A836" t="s">
        <v>893</v>
      </c>
      <c r="B836" s="10">
        <v>4.33</v>
      </c>
      <c r="C836" s="10">
        <v>3.056</v>
      </c>
      <c r="D836" s="10">
        <v>2.7</v>
      </c>
      <c r="E836" s="10">
        <v>23.6</v>
      </c>
      <c r="F836" s="10">
        <v>6</v>
      </c>
      <c r="G836" s="10">
        <v>0</v>
      </c>
      <c r="H836" s="10">
        <v>10</v>
      </c>
      <c r="I836" s="10">
        <v>4.2</v>
      </c>
      <c r="J836">
        <v>2016</v>
      </c>
      <c r="K836">
        <v>4</v>
      </c>
      <c r="L836">
        <v>276</v>
      </c>
      <c r="M836" t="s">
        <v>55</v>
      </c>
    </row>
    <row r="837" spans="1:13">
      <c r="A837" t="s">
        <v>894</v>
      </c>
      <c r="B837" s="10">
        <v>5.34</v>
      </c>
      <c r="C837" s="10">
        <v>6.66</v>
      </c>
      <c r="D837" s="10">
        <v>5.3</v>
      </c>
      <c r="E837" s="10">
        <v>33</v>
      </c>
      <c r="F837" s="10">
        <v>11</v>
      </c>
      <c r="G837" s="10">
        <v>0</v>
      </c>
      <c r="H837" s="10">
        <v>8</v>
      </c>
      <c r="I837" s="10">
        <v>8.5</v>
      </c>
      <c r="J837">
        <v>2016</v>
      </c>
      <c r="K837">
        <v>4</v>
      </c>
      <c r="L837">
        <v>276</v>
      </c>
      <c r="M837" t="s">
        <v>57</v>
      </c>
    </row>
    <row r="838" spans="1:13">
      <c r="A838" t="s">
        <v>895</v>
      </c>
      <c r="B838" s="10">
        <v>4.33</v>
      </c>
      <c r="C838" s="10">
        <v>8.175000000000001</v>
      </c>
      <c r="D838" s="10">
        <v>3</v>
      </c>
      <c r="E838" s="10">
        <v>52.8</v>
      </c>
      <c r="F838" s="10">
        <v>2</v>
      </c>
      <c r="G838" s="10">
        <v>0</v>
      </c>
      <c r="H838" s="10">
        <v>7</v>
      </c>
      <c r="I838" s="10">
        <v>7.2</v>
      </c>
      <c r="J838">
        <v>2016</v>
      </c>
      <c r="K838">
        <v>4</v>
      </c>
      <c r="L838">
        <v>276</v>
      </c>
      <c r="M838" t="s">
        <v>59</v>
      </c>
    </row>
    <row r="839" spans="1:13">
      <c r="A839" t="s">
        <v>896</v>
      </c>
      <c r="B839" s="10">
        <v>3.66</v>
      </c>
      <c r="C839" s="10">
        <v>2</v>
      </c>
      <c r="D839" s="10">
        <v>5</v>
      </c>
      <c r="E839" s="10">
        <v>22.1</v>
      </c>
      <c r="F839" s="10">
        <v>15</v>
      </c>
      <c r="G839" s="10">
        <v>3</v>
      </c>
      <c r="H839" s="10">
        <v>7</v>
      </c>
      <c r="I839" s="10">
        <v>7</v>
      </c>
      <c r="J839">
        <v>2016</v>
      </c>
      <c r="K839">
        <v>4</v>
      </c>
      <c r="L839">
        <v>276</v>
      </c>
      <c r="M839" t="s">
        <v>61</v>
      </c>
    </row>
    <row r="840" spans="1:13">
      <c r="A840" t="s">
        <v>897</v>
      </c>
      <c r="B840" s="10">
        <v>3</v>
      </c>
      <c r="C840" s="10">
        <v>1.34</v>
      </c>
      <c r="D840" s="10">
        <v>8.300000000000001</v>
      </c>
      <c r="E840" s="10">
        <v>24.3</v>
      </c>
      <c r="F840" s="10">
        <v>7</v>
      </c>
      <c r="G840" s="10">
        <v>0</v>
      </c>
      <c r="H840" s="10">
        <v>6</v>
      </c>
      <c r="I840" s="10">
        <v>4</v>
      </c>
      <c r="J840">
        <v>2016</v>
      </c>
      <c r="K840">
        <v>4</v>
      </c>
      <c r="L840">
        <v>276</v>
      </c>
      <c r="M840" t="s">
        <v>63</v>
      </c>
    </row>
    <row r="841" spans="1:13">
      <c r="A841" t="s">
        <v>898</v>
      </c>
      <c r="B841" s="10">
        <v>2.66</v>
      </c>
      <c r="C841" s="10">
        <v>3.33</v>
      </c>
      <c r="D841" s="10">
        <v>2.4</v>
      </c>
      <c r="E841" s="10">
        <v>17.1</v>
      </c>
      <c r="F841" s="10">
        <v>11</v>
      </c>
      <c r="G841" s="10">
        <v>5</v>
      </c>
      <c r="H841" s="10">
        <v>15</v>
      </c>
      <c r="I841" s="10">
        <v>3</v>
      </c>
      <c r="J841">
        <v>2016</v>
      </c>
      <c r="K841">
        <v>4</v>
      </c>
      <c r="L841">
        <v>276</v>
      </c>
      <c r="M841" t="s">
        <v>65</v>
      </c>
    </row>
    <row r="842" spans="1:13">
      <c r="A842" t="s">
        <v>899</v>
      </c>
      <c r="B842" s="10">
        <v>3</v>
      </c>
      <c r="C842" s="10">
        <v>3.464</v>
      </c>
      <c r="D842" s="10">
        <v>3</v>
      </c>
      <c r="E842" s="10">
        <v>21.6</v>
      </c>
      <c r="F842" s="10">
        <v>6</v>
      </c>
      <c r="G842" s="10">
        <v>0</v>
      </c>
      <c r="H842" s="10">
        <v>0</v>
      </c>
      <c r="I842" s="10">
        <v>2.3</v>
      </c>
      <c r="J842">
        <v>2016</v>
      </c>
      <c r="K842">
        <v>4</v>
      </c>
      <c r="L842">
        <v>276</v>
      </c>
      <c r="M842" t="s">
        <v>53</v>
      </c>
    </row>
    <row r="843" spans="1:13">
      <c r="A843" t="s">
        <v>900</v>
      </c>
      <c r="B843" s="10">
        <v>6</v>
      </c>
      <c r="C843" s="10">
        <v>5.67</v>
      </c>
      <c r="D843" s="10">
        <v>4</v>
      </c>
      <c r="E843" s="10">
        <v>21.9</v>
      </c>
      <c r="F843" s="10">
        <v>4</v>
      </c>
      <c r="G843" s="10">
        <v>0</v>
      </c>
      <c r="H843" s="10">
        <v>6</v>
      </c>
      <c r="I843" s="10">
        <v>1</v>
      </c>
      <c r="J843">
        <v>2016</v>
      </c>
      <c r="K843">
        <v>4</v>
      </c>
      <c r="L843">
        <v>276</v>
      </c>
      <c r="M843" t="s">
        <v>55</v>
      </c>
    </row>
    <row r="844" spans="1:13">
      <c r="A844" t="s">
        <v>901</v>
      </c>
      <c r="B844" s="10">
        <v>13.66</v>
      </c>
      <c r="C844" s="10">
        <v>3.69</v>
      </c>
      <c r="D844" s="10">
        <v>8</v>
      </c>
      <c r="E844" s="10">
        <v>33.2</v>
      </c>
      <c r="F844" s="10">
        <v>8</v>
      </c>
      <c r="G844" s="10">
        <v>0</v>
      </c>
      <c r="H844" s="10">
        <v>0</v>
      </c>
      <c r="I844" s="10">
        <v>4.5</v>
      </c>
      <c r="J844">
        <v>2016</v>
      </c>
      <c r="K844">
        <v>4</v>
      </c>
      <c r="L844">
        <v>276</v>
      </c>
      <c r="M844" t="s">
        <v>57</v>
      </c>
    </row>
    <row r="845" spans="1:13">
      <c r="A845" t="s">
        <v>902</v>
      </c>
      <c r="B845" s="10">
        <v>1</v>
      </c>
      <c r="C845" s="10">
        <v>6.66</v>
      </c>
      <c r="D845" s="10">
        <v>5.5</v>
      </c>
      <c r="E845" s="10">
        <v>36.95</v>
      </c>
      <c r="F845" s="10">
        <v>3</v>
      </c>
      <c r="G845" s="10">
        <v>0</v>
      </c>
      <c r="H845" s="10">
        <v>6</v>
      </c>
      <c r="I845" s="10">
        <v>5</v>
      </c>
      <c r="J845">
        <v>2016</v>
      </c>
      <c r="K845">
        <v>4</v>
      </c>
      <c r="L845">
        <v>276</v>
      </c>
      <c r="M845" t="s">
        <v>59</v>
      </c>
    </row>
    <row r="846" spans="1:13">
      <c r="A846" t="s">
        <v>903</v>
      </c>
      <c r="B846" s="10">
        <v>6.67</v>
      </c>
      <c r="C846" s="10">
        <v>1.66</v>
      </c>
      <c r="D846" s="10">
        <v>7.25</v>
      </c>
      <c r="E846" s="10">
        <v>21.7</v>
      </c>
      <c r="F846" s="10">
        <v>20</v>
      </c>
      <c r="G846" s="10">
        <v>1</v>
      </c>
      <c r="H846" s="10">
        <v>3</v>
      </c>
      <c r="I846" s="10">
        <v>2.5</v>
      </c>
      <c r="J846">
        <v>2016</v>
      </c>
      <c r="K846">
        <v>4</v>
      </c>
      <c r="L846">
        <v>276</v>
      </c>
      <c r="M846" t="s">
        <v>61</v>
      </c>
    </row>
    <row r="847" spans="1:13">
      <c r="A847" t="s">
        <v>904</v>
      </c>
      <c r="B847" s="10">
        <v>5.33</v>
      </c>
      <c r="C847" s="10">
        <v>4.99</v>
      </c>
      <c r="D847" s="10">
        <v>7</v>
      </c>
      <c r="E847" s="10">
        <v>27.2</v>
      </c>
      <c r="F847" s="10">
        <v>19</v>
      </c>
      <c r="G847" s="10">
        <v>0</v>
      </c>
      <c r="H847" s="10">
        <v>7</v>
      </c>
      <c r="I847" s="10">
        <v>2</v>
      </c>
      <c r="J847">
        <v>2016</v>
      </c>
      <c r="K847">
        <v>4</v>
      </c>
      <c r="L847">
        <v>276</v>
      </c>
      <c r="M847" t="s">
        <v>63</v>
      </c>
    </row>
    <row r="848" spans="1:13">
      <c r="A848" t="s">
        <v>905</v>
      </c>
      <c r="B848" s="10">
        <v>5.66</v>
      </c>
      <c r="C848" s="10">
        <v>7.495</v>
      </c>
      <c r="D848" s="10">
        <v>7</v>
      </c>
      <c r="E848" s="10">
        <v>47.4</v>
      </c>
      <c r="F848" s="10">
        <v>27</v>
      </c>
      <c r="G848" s="10">
        <v>0</v>
      </c>
      <c r="H848" s="10">
        <v>1</v>
      </c>
      <c r="I848" s="10">
        <v>2</v>
      </c>
      <c r="J848">
        <v>2016</v>
      </c>
      <c r="K848">
        <v>4</v>
      </c>
      <c r="L848">
        <v>276</v>
      </c>
      <c r="M848" t="s">
        <v>65</v>
      </c>
    </row>
    <row r="849" spans="1:13">
      <c r="A849" t="s">
        <v>906</v>
      </c>
      <c r="B849" s="10">
        <v>4.66</v>
      </c>
      <c r="C849" s="10">
        <v>6.34</v>
      </c>
      <c r="D849" s="10">
        <v>6</v>
      </c>
      <c r="E849" s="10">
        <v>28</v>
      </c>
      <c r="F849" s="10">
        <v>17.66666667</v>
      </c>
      <c r="G849" s="10">
        <v>0</v>
      </c>
      <c r="H849" s="10">
        <v>12</v>
      </c>
      <c r="I849" s="10">
        <v>12</v>
      </c>
      <c r="J849">
        <v>2016</v>
      </c>
      <c r="K849">
        <v>4</v>
      </c>
      <c r="L849">
        <v>276</v>
      </c>
      <c r="M849" t="s">
        <v>53</v>
      </c>
    </row>
    <row r="850" spans="1:13">
      <c r="A850" t="s">
        <v>907</v>
      </c>
      <c r="B850" s="10">
        <v>6.66</v>
      </c>
      <c r="C850" s="10">
        <v>3</v>
      </c>
      <c r="D850" s="10">
        <v>2.5</v>
      </c>
      <c r="E850" s="10">
        <v>37</v>
      </c>
      <c r="F850" s="10">
        <v>15</v>
      </c>
      <c r="G850" s="10">
        <v>0</v>
      </c>
      <c r="H850" s="10">
        <v>1</v>
      </c>
      <c r="I850" s="10">
        <v>3.2</v>
      </c>
      <c r="J850">
        <v>2016</v>
      </c>
      <c r="K850">
        <v>4</v>
      </c>
      <c r="L850">
        <v>276</v>
      </c>
      <c r="M850" t="s">
        <v>55</v>
      </c>
    </row>
    <row r="851" spans="1:13">
      <c r="A851" t="s">
        <v>908</v>
      </c>
      <c r="B851" s="10">
        <v>9.66</v>
      </c>
      <c r="C851" s="10">
        <v>10.32</v>
      </c>
      <c r="D851" s="10">
        <v>7</v>
      </c>
      <c r="E851" s="10">
        <v>47.812</v>
      </c>
      <c r="F851" s="10">
        <v>11</v>
      </c>
      <c r="G851" s="10">
        <v>0</v>
      </c>
      <c r="H851" s="10">
        <v>1</v>
      </c>
      <c r="I851" s="10">
        <v>4.5</v>
      </c>
      <c r="J851">
        <v>2016</v>
      </c>
      <c r="K851">
        <v>4</v>
      </c>
      <c r="L851">
        <v>276</v>
      </c>
      <c r="M851" t="s">
        <v>57</v>
      </c>
    </row>
    <row r="852" spans="1:13">
      <c r="A852" t="s">
        <v>909</v>
      </c>
      <c r="B852" s="10">
        <v>0</v>
      </c>
      <c r="C852" s="10">
        <v>0</v>
      </c>
      <c r="D852" s="10">
        <v>0</v>
      </c>
      <c r="E852" s="10">
        <v>0</v>
      </c>
      <c r="F852" s="10">
        <v>0</v>
      </c>
      <c r="G852" s="10">
        <v>0</v>
      </c>
      <c r="H852" s="10">
        <v>0</v>
      </c>
      <c r="I852" s="10">
        <v>0</v>
      </c>
      <c r="J852">
        <v>2016</v>
      </c>
      <c r="K852">
        <v>5</v>
      </c>
      <c r="L852">
        <v>276</v>
      </c>
      <c r="M852" t="s">
        <v>59</v>
      </c>
    </row>
    <row r="853" spans="1:13">
      <c r="A853" t="s">
        <v>910</v>
      </c>
      <c r="B853" s="10">
        <v>4</v>
      </c>
      <c r="C853" s="10">
        <v>1.02</v>
      </c>
      <c r="D853" s="10">
        <v>1</v>
      </c>
      <c r="E853" s="10">
        <v>39.2</v>
      </c>
      <c r="F853" s="10">
        <v>7</v>
      </c>
      <c r="G853" s="10">
        <v>0</v>
      </c>
      <c r="H853" s="10">
        <v>5</v>
      </c>
      <c r="I853" s="10">
        <v>2</v>
      </c>
      <c r="J853">
        <v>2016</v>
      </c>
      <c r="K853">
        <v>5</v>
      </c>
      <c r="L853">
        <v>276</v>
      </c>
      <c r="M853" t="s">
        <v>61</v>
      </c>
    </row>
    <row r="854" spans="1:13">
      <c r="A854" t="s">
        <v>911</v>
      </c>
      <c r="B854" s="10">
        <v>6.33</v>
      </c>
      <c r="C854" s="10">
        <v>5.99</v>
      </c>
      <c r="D854" s="10">
        <v>3</v>
      </c>
      <c r="E854" s="10">
        <v>23.9</v>
      </c>
      <c r="F854" s="10">
        <v>3</v>
      </c>
      <c r="G854" s="10">
        <v>0</v>
      </c>
      <c r="H854" s="10">
        <v>0</v>
      </c>
      <c r="I854" s="10">
        <v>2</v>
      </c>
      <c r="J854">
        <v>2016</v>
      </c>
      <c r="K854">
        <v>5</v>
      </c>
      <c r="L854">
        <v>276</v>
      </c>
      <c r="M854" t="s">
        <v>63</v>
      </c>
    </row>
    <row r="855" spans="1:13">
      <c r="A855" t="s">
        <v>912</v>
      </c>
      <c r="B855" s="10">
        <v>7.34</v>
      </c>
      <c r="C855" s="10">
        <v>3</v>
      </c>
      <c r="D855" s="10">
        <v>5</v>
      </c>
      <c r="E855" s="10">
        <v>32.2</v>
      </c>
      <c r="F855" s="10">
        <v>4</v>
      </c>
      <c r="G855" s="10">
        <v>0</v>
      </c>
      <c r="H855" s="10">
        <v>1</v>
      </c>
      <c r="I855" s="10">
        <v>2</v>
      </c>
      <c r="J855">
        <v>2016</v>
      </c>
      <c r="K855">
        <v>5</v>
      </c>
      <c r="L855">
        <v>276</v>
      </c>
      <c r="M855" t="s">
        <v>65</v>
      </c>
    </row>
    <row r="856" spans="1:13">
      <c r="A856" t="s">
        <v>913</v>
      </c>
      <c r="B856" s="10">
        <v>4.66</v>
      </c>
      <c r="C856" s="10">
        <v>3</v>
      </c>
      <c r="D856" s="10">
        <v>6</v>
      </c>
      <c r="E856" s="10">
        <v>41</v>
      </c>
      <c r="F856" s="10">
        <v>16</v>
      </c>
      <c r="G856" s="10">
        <v>3</v>
      </c>
      <c r="H856" s="10">
        <v>1</v>
      </c>
      <c r="I856" s="10">
        <v>2</v>
      </c>
      <c r="J856">
        <v>2016</v>
      </c>
      <c r="K856">
        <v>5</v>
      </c>
      <c r="L856">
        <v>276</v>
      </c>
      <c r="M856" t="s">
        <v>53</v>
      </c>
    </row>
    <row r="857" spans="1:13">
      <c r="A857" t="s">
        <v>914</v>
      </c>
      <c r="B857" s="10">
        <v>4</v>
      </c>
      <c r="C857" s="10">
        <v>2.99</v>
      </c>
      <c r="D857" s="10">
        <v>1</v>
      </c>
      <c r="E857" s="10">
        <v>33.6</v>
      </c>
      <c r="F857" s="10">
        <v>7</v>
      </c>
      <c r="G857" s="10">
        <v>0</v>
      </c>
      <c r="H857" s="10">
        <v>1</v>
      </c>
      <c r="I857" s="10">
        <v>3</v>
      </c>
      <c r="J857">
        <v>2016</v>
      </c>
      <c r="K857">
        <v>5</v>
      </c>
      <c r="L857">
        <v>276</v>
      </c>
      <c r="M857" t="s">
        <v>55</v>
      </c>
    </row>
    <row r="858" spans="1:13">
      <c r="A858" t="s">
        <v>915</v>
      </c>
      <c r="B858" s="10">
        <v>3.99</v>
      </c>
      <c r="C858" s="10">
        <v>8.34</v>
      </c>
      <c r="D858" s="10">
        <v>4</v>
      </c>
      <c r="E858" s="10">
        <v>47.2</v>
      </c>
      <c r="F858" s="10">
        <v>5</v>
      </c>
      <c r="G858" s="10">
        <v>1</v>
      </c>
      <c r="H858" s="10">
        <v>0</v>
      </c>
      <c r="I858" s="10">
        <v>10</v>
      </c>
      <c r="J858">
        <v>2016</v>
      </c>
      <c r="K858">
        <v>5</v>
      </c>
      <c r="L858">
        <v>276</v>
      </c>
      <c r="M858" t="s">
        <v>57</v>
      </c>
    </row>
    <row r="859" spans="1:13">
      <c r="A859" t="s">
        <v>916</v>
      </c>
      <c r="B859" s="10">
        <v>5</v>
      </c>
      <c r="C859" s="10">
        <v>10.66</v>
      </c>
      <c r="D859" s="10">
        <v>1</v>
      </c>
      <c r="E859" s="10">
        <v>40.4</v>
      </c>
      <c r="F859" s="10">
        <v>12</v>
      </c>
      <c r="G859" s="10">
        <v>0</v>
      </c>
      <c r="H859" s="10">
        <v>1</v>
      </c>
      <c r="I859" s="10">
        <v>11</v>
      </c>
      <c r="J859">
        <v>2016</v>
      </c>
      <c r="K859">
        <v>5</v>
      </c>
      <c r="L859">
        <v>276</v>
      </c>
      <c r="M859" t="s">
        <v>59</v>
      </c>
    </row>
    <row r="860" spans="1:13">
      <c r="A860" t="s">
        <v>917</v>
      </c>
      <c r="B860" s="10">
        <v>5.67</v>
      </c>
      <c r="C860" s="10">
        <v>6.363</v>
      </c>
      <c r="D860" s="10">
        <v>5</v>
      </c>
      <c r="E860" s="10">
        <v>29.2</v>
      </c>
      <c r="F860" s="10">
        <v>3</v>
      </c>
      <c r="G860" s="10">
        <v>0</v>
      </c>
      <c r="H860" s="10">
        <v>2</v>
      </c>
      <c r="I860" s="10">
        <v>5</v>
      </c>
      <c r="J860">
        <v>2016</v>
      </c>
      <c r="K860">
        <v>5</v>
      </c>
      <c r="L860">
        <v>276</v>
      </c>
      <c r="M860" t="s">
        <v>61</v>
      </c>
    </row>
    <row r="861" spans="1:13">
      <c r="A861" t="s">
        <v>918</v>
      </c>
      <c r="B861" s="10">
        <v>7.33</v>
      </c>
      <c r="C861" s="10">
        <v>3.67</v>
      </c>
      <c r="D861" s="10">
        <v>7</v>
      </c>
      <c r="E861" s="10">
        <v>28.25</v>
      </c>
      <c r="F861" s="10">
        <v>4</v>
      </c>
      <c r="G861" s="10">
        <v>0</v>
      </c>
      <c r="H861" s="10">
        <v>2</v>
      </c>
      <c r="I861" s="10">
        <v>3.5</v>
      </c>
      <c r="J861">
        <v>2016</v>
      </c>
      <c r="K861">
        <v>5</v>
      </c>
      <c r="L861">
        <v>276</v>
      </c>
      <c r="M861" t="s">
        <v>63</v>
      </c>
    </row>
    <row r="862" spans="1:13">
      <c r="A862" t="s">
        <v>919</v>
      </c>
      <c r="B862" s="10">
        <v>5.33</v>
      </c>
      <c r="C862" s="10">
        <v>4.66</v>
      </c>
      <c r="D862" s="10">
        <v>4</v>
      </c>
      <c r="E862" s="10">
        <v>23</v>
      </c>
      <c r="F862" s="10">
        <v>13</v>
      </c>
      <c r="G862" s="10">
        <v>0</v>
      </c>
      <c r="H862" s="10">
        <v>3</v>
      </c>
      <c r="I862" s="10">
        <v>2</v>
      </c>
      <c r="J862">
        <v>2016</v>
      </c>
      <c r="K862">
        <v>5</v>
      </c>
      <c r="L862">
        <v>276</v>
      </c>
      <c r="M862" t="s">
        <v>65</v>
      </c>
    </row>
    <row r="863" spans="1:13">
      <c r="A863" t="s">
        <v>920</v>
      </c>
      <c r="B863" s="10">
        <v>3.01</v>
      </c>
      <c r="C863" s="10">
        <v>1.759</v>
      </c>
      <c r="D863" s="10">
        <v>8</v>
      </c>
      <c r="E863" s="10">
        <v>28.1</v>
      </c>
      <c r="F863" s="10">
        <v>8</v>
      </c>
      <c r="G863" s="10">
        <v>1</v>
      </c>
      <c r="H863" s="10">
        <v>2</v>
      </c>
      <c r="I863" s="10">
        <v>0</v>
      </c>
      <c r="J863">
        <v>2016</v>
      </c>
      <c r="K863">
        <v>5</v>
      </c>
      <c r="L863">
        <v>276</v>
      </c>
      <c r="M863" t="s">
        <v>53</v>
      </c>
    </row>
    <row r="864" spans="1:13">
      <c r="A864" t="s">
        <v>921</v>
      </c>
      <c r="B864" s="10">
        <v>2.33</v>
      </c>
      <c r="C864" s="10">
        <v>2.33</v>
      </c>
      <c r="D864" s="10">
        <v>3</v>
      </c>
      <c r="E864" s="10">
        <v>37</v>
      </c>
      <c r="F864" s="10">
        <v>9</v>
      </c>
      <c r="G864" s="10">
        <v>0</v>
      </c>
      <c r="H864" s="10">
        <v>0</v>
      </c>
      <c r="I864" s="10">
        <v>5</v>
      </c>
      <c r="J864">
        <v>2016</v>
      </c>
      <c r="K864">
        <v>5</v>
      </c>
      <c r="L864">
        <v>276</v>
      </c>
      <c r="M864" t="s">
        <v>55</v>
      </c>
    </row>
    <row r="865" spans="1:13">
      <c r="A865" t="s">
        <v>922</v>
      </c>
      <c r="B865" s="10">
        <v>5.34</v>
      </c>
      <c r="C865" s="10">
        <v>4.67</v>
      </c>
      <c r="D865" s="10">
        <v>5.55</v>
      </c>
      <c r="E865" s="10">
        <v>31.25</v>
      </c>
      <c r="F865" s="10">
        <v>13</v>
      </c>
      <c r="G865" s="10">
        <v>0</v>
      </c>
      <c r="H865" s="10">
        <v>21</v>
      </c>
      <c r="I865" s="10">
        <v>1</v>
      </c>
      <c r="J865">
        <v>2016</v>
      </c>
      <c r="K865">
        <v>5</v>
      </c>
      <c r="L865">
        <v>276</v>
      </c>
      <c r="M865" t="s">
        <v>57</v>
      </c>
    </row>
    <row r="866" spans="1:13">
      <c r="A866" t="s">
        <v>923</v>
      </c>
      <c r="B866" s="10">
        <v>5.33</v>
      </c>
      <c r="C866" s="10">
        <v>8.188000000000001</v>
      </c>
      <c r="D866" s="10">
        <v>1.2</v>
      </c>
      <c r="E866" s="10">
        <v>44.1</v>
      </c>
      <c r="F866" s="10">
        <v>6</v>
      </c>
      <c r="G866" s="10">
        <v>0</v>
      </c>
      <c r="H866" s="10">
        <v>5</v>
      </c>
      <c r="I866" s="10">
        <v>4</v>
      </c>
      <c r="J866">
        <v>2016</v>
      </c>
      <c r="K866">
        <v>5</v>
      </c>
      <c r="L866">
        <v>276</v>
      </c>
      <c r="M866" t="s">
        <v>59</v>
      </c>
    </row>
    <row r="867" spans="1:13">
      <c r="A867" t="s">
        <v>924</v>
      </c>
      <c r="B867" s="10">
        <v>5</v>
      </c>
      <c r="C867" s="10">
        <v>3.66</v>
      </c>
      <c r="D867" s="10">
        <v>2</v>
      </c>
      <c r="E867" s="10">
        <v>24</v>
      </c>
      <c r="F867" s="10">
        <v>17</v>
      </c>
      <c r="G867" s="10">
        <v>0</v>
      </c>
      <c r="H867" s="10">
        <v>2</v>
      </c>
      <c r="I867" s="10">
        <v>3</v>
      </c>
      <c r="J867">
        <v>2016</v>
      </c>
      <c r="K867">
        <v>5</v>
      </c>
      <c r="L867">
        <v>276</v>
      </c>
      <c r="M867" t="s">
        <v>61</v>
      </c>
    </row>
    <row r="868" spans="1:13">
      <c r="A868" t="s">
        <v>925</v>
      </c>
      <c r="B868" s="10">
        <v>4</v>
      </c>
      <c r="C868" s="10">
        <v>2.33</v>
      </c>
      <c r="D868" s="10">
        <v>7.1</v>
      </c>
      <c r="E868" s="10">
        <v>38.4</v>
      </c>
      <c r="F868" s="10">
        <v>4</v>
      </c>
      <c r="G868" s="10">
        <v>0</v>
      </c>
      <c r="H868" s="10">
        <v>1</v>
      </c>
      <c r="I868" s="10">
        <v>3.2</v>
      </c>
      <c r="J868">
        <v>2016</v>
      </c>
      <c r="K868">
        <v>5</v>
      </c>
      <c r="L868">
        <v>276</v>
      </c>
      <c r="M868" t="s">
        <v>63</v>
      </c>
    </row>
    <row r="869" spans="1:13">
      <c r="A869" t="s">
        <v>926</v>
      </c>
      <c r="B869" s="10">
        <v>4</v>
      </c>
      <c r="C869" s="10">
        <v>5.33</v>
      </c>
      <c r="D869" s="10">
        <v>5.25</v>
      </c>
      <c r="E869" s="10">
        <v>35</v>
      </c>
      <c r="F869" s="10">
        <v>7</v>
      </c>
      <c r="G869" s="10">
        <v>0</v>
      </c>
      <c r="H869" s="10">
        <v>1</v>
      </c>
      <c r="I869" s="10">
        <v>5</v>
      </c>
      <c r="J869">
        <v>2016</v>
      </c>
      <c r="K869">
        <v>5</v>
      </c>
      <c r="L869">
        <v>276</v>
      </c>
      <c r="M869" t="s">
        <v>65</v>
      </c>
    </row>
    <row r="870" spans="1:13">
      <c r="A870" t="s">
        <v>927</v>
      </c>
      <c r="B870" s="10">
        <v>6.34</v>
      </c>
      <c r="C870" s="10">
        <v>5.66</v>
      </c>
      <c r="D870" s="10">
        <v>2</v>
      </c>
      <c r="E870" s="10">
        <v>30.5</v>
      </c>
      <c r="F870" s="10">
        <v>10</v>
      </c>
      <c r="G870" s="10">
        <v>0</v>
      </c>
      <c r="H870" s="10">
        <v>16</v>
      </c>
      <c r="I870" s="10">
        <v>3</v>
      </c>
      <c r="J870">
        <v>2016</v>
      </c>
      <c r="K870">
        <v>5</v>
      </c>
      <c r="L870">
        <v>276</v>
      </c>
      <c r="M870" t="s">
        <v>53</v>
      </c>
    </row>
    <row r="871" spans="1:13">
      <c r="A871" t="s">
        <v>928</v>
      </c>
      <c r="B871" s="10">
        <v>3</v>
      </c>
      <c r="C871" s="10">
        <v>1.132</v>
      </c>
      <c r="D871" s="10">
        <v>3</v>
      </c>
      <c r="E871" s="10">
        <v>14</v>
      </c>
      <c r="F871" s="10">
        <v>14</v>
      </c>
      <c r="G871" s="10">
        <v>2</v>
      </c>
      <c r="H871" s="10">
        <v>9</v>
      </c>
      <c r="I871" s="10">
        <v>5</v>
      </c>
      <c r="J871">
        <v>2016</v>
      </c>
      <c r="K871">
        <v>5</v>
      </c>
      <c r="L871">
        <v>276</v>
      </c>
      <c r="M871" t="s">
        <v>55</v>
      </c>
    </row>
    <row r="872" spans="1:13">
      <c r="A872" t="s">
        <v>929</v>
      </c>
      <c r="B872" s="10">
        <v>2</v>
      </c>
      <c r="C872" s="10">
        <v>5.34</v>
      </c>
      <c r="D872" s="10">
        <v>5.2</v>
      </c>
      <c r="E872" s="10">
        <v>42.5</v>
      </c>
      <c r="F872" s="10">
        <v>3</v>
      </c>
      <c r="G872" s="10">
        <v>0</v>
      </c>
      <c r="H872" s="10">
        <v>17</v>
      </c>
      <c r="I872" s="10">
        <v>5</v>
      </c>
      <c r="J872">
        <v>2016</v>
      </c>
      <c r="K872">
        <v>5</v>
      </c>
      <c r="L872">
        <v>276</v>
      </c>
      <c r="M872" t="s">
        <v>57</v>
      </c>
    </row>
    <row r="873" spans="1:13">
      <c r="A873" t="s">
        <v>930</v>
      </c>
      <c r="B873" s="10">
        <v>4.34</v>
      </c>
      <c r="C873" s="10">
        <v>4.51</v>
      </c>
      <c r="D873" s="10">
        <v>9.050000000000001</v>
      </c>
      <c r="E873" s="10">
        <v>55.6</v>
      </c>
      <c r="F873" s="10">
        <v>6</v>
      </c>
      <c r="G873" s="10">
        <v>1</v>
      </c>
      <c r="H873" s="10">
        <v>0</v>
      </c>
      <c r="I873" s="10">
        <v>10</v>
      </c>
      <c r="J873">
        <v>2016</v>
      </c>
      <c r="K873">
        <v>5</v>
      </c>
      <c r="L873">
        <v>276</v>
      </c>
      <c r="M873" t="s">
        <v>59</v>
      </c>
    </row>
    <row r="874" spans="1:13">
      <c r="A874" t="s">
        <v>931</v>
      </c>
      <c r="B874" s="10">
        <v>5</v>
      </c>
      <c r="C874" s="10">
        <v>2.363</v>
      </c>
      <c r="D874" s="10">
        <v>5</v>
      </c>
      <c r="E874" s="10">
        <v>54.7</v>
      </c>
      <c r="F874" s="10">
        <v>19</v>
      </c>
      <c r="G874" s="10">
        <v>0</v>
      </c>
      <c r="H874" s="10">
        <v>7</v>
      </c>
      <c r="I874" s="10">
        <v>4</v>
      </c>
      <c r="J874">
        <v>2016</v>
      </c>
      <c r="K874">
        <v>5</v>
      </c>
      <c r="L874">
        <v>276</v>
      </c>
      <c r="M874" t="s">
        <v>61</v>
      </c>
    </row>
    <row r="875" spans="1:13">
      <c r="A875" t="s">
        <v>932</v>
      </c>
      <c r="B875" s="10">
        <v>12</v>
      </c>
      <c r="C875" s="10">
        <v>3.167</v>
      </c>
      <c r="D875" s="10">
        <v>4</v>
      </c>
      <c r="E875" s="10">
        <v>32</v>
      </c>
      <c r="F875" s="10">
        <v>3</v>
      </c>
      <c r="G875" s="10">
        <v>0</v>
      </c>
      <c r="H875" s="10">
        <v>3</v>
      </c>
      <c r="I875" s="10">
        <v>2</v>
      </c>
      <c r="J875">
        <v>2016</v>
      </c>
      <c r="K875">
        <v>5</v>
      </c>
      <c r="L875">
        <v>276</v>
      </c>
      <c r="M875" t="s">
        <v>63</v>
      </c>
    </row>
    <row r="876" spans="1:13">
      <c r="A876" t="s">
        <v>933</v>
      </c>
      <c r="B876" s="10">
        <v>8.34</v>
      </c>
      <c r="C876" s="10">
        <v>1.67</v>
      </c>
      <c r="D876" s="10">
        <v>6</v>
      </c>
      <c r="E876" s="10">
        <v>25.05</v>
      </c>
      <c r="F876" s="10">
        <v>16</v>
      </c>
      <c r="G876" s="10">
        <v>1</v>
      </c>
      <c r="H876" s="10">
        <v>0</v>
      </c>
      <c r="I876" s="10">
        <v>1.2</v>
      </c>
      <c r="J876">
        <v>2016</v>
      </c>
      <c r="K876">
        <v>5</v>
      </c>
      <c r="L876">
        <v>276</v>
      </c>
      <c r="M876" t="s">
        <v>65</v>
      </c>
    </row>
    <row r="877" spans="1:13">
      <c r="A877" t="s">
        <v>934</v>
      </c>
      <c r="B877" s="10">
        <v>4.67</v>
      </c>
      <c r="C877" s="10">
        <v>5.33</v>
      </c>
      <c r="D877" s="10">
        <v>5.35</v>
      </c>
      <c r="E877" s="10">
        <v>24.8</v>
      </c>
      <c r="F877" s="10">
        <v>20</v>
      </c>
      <c r="G877" s="10">
        <v>1</v>
      </c>
      <c r="H877" s="10">
        <v>0</v>
      </c>
      <c r="I877" s="10">
        <v>9</v>
      </c>
      <c r="J877">
        <v>2016</v>
      </c>
      <c r="K877">
        <v>5</v>
      </c>
      <c r="L877">
        <v>276</v>
      </c>
      <c r="M877" t="s">
        <v>53</v>
      </c>
    </row>
    <row r="878" spans="1:13">
      <c r="A878" t="s">
        <v>935</v>
      </c>
      <c r="B878" s="10">
        <v>8.67</v>
      </c>
      <c r="C878" s="10">
        <v>2.683</v>
      </c>
      <c r="D878" s="10">
        <v>5.25</v>
      </c>
      <c r="E878" s="10">
        <v>17</v>
      </c>
      <c r="F878" s="10">
        <v>14</v>
      </c>
      <c r="G878" s="10">
        <v>7</v>
      </c>
      <c r="H878" s="10">
        <v>2</v>
      </c>
      <c r="I878" s="10">
        <v>6</v>
      </c>
      <c r="J878">
        <v>2016</v>
      </c>
      <c r="K878">
        <v>5</v>
      </c>
      <c r="L878">
        <v>276</v>
      </c>
      <c r="M878" t="s">
        <v>55</v>
      </c>
    </row>
    <row r="879" spans="1:13">
      <c r="A879" t="s">
        <v>936</v>
      </c>
      <c r="B879" s="10">
        <v>12.33</v>
      </c>
      <c r="C879" s="10">
        <v>0.363</v>
      </c>
      <c r="D879" s="10">
        <v>3</v>
      </c>
      <c r="E879" s="10">
        <v>43</v>
      </c>
      <c r="F879" s="10">
        <v>4</v>
      </c>
      <c r="G879" s="10">
        <v>0</v>
      </c>
      <c r="H879" s="10">
        <v>4</v>
      </c>
      <c r="I879" s="10">
        <v>9</v>
      </c>
      <c r="J879">
        <v>2016</v>
      </c>
      <c r="K879">
        <v>5</v>
      </c>
      <c r="L879">
        <v>276</v>
      </c>
      <c r="M879" t="s">
        <v>57</v>
      </c>
    </row>
    <row r="880" spans="1:13">
      <c r="A880" t="s">
        <v>937</v>
      </c>
      <c r="B880" s="10">
        <v>8.67</v>
      </c>
      <c r="C880" s="10">
        <v>4.33</v>
      </c>
      <c r="D880" s="10">
        <v>6</v>
      </c>
      <c r="E880" s="10">
        <v>31.8</v>
      </c>
      <c r="F880" s="10">
        <v>2</v>
      </c>
      <c r="G880" s="10">
        <v>1</v>
      </c>
      <c r="H880" s="10">
        <v>5</v>
      </c>
      <c r="I880" s="10">
        <v>9.199999999999999</v>
      </c>
      <c r="J880">
        <v>2016</v>
      </c>
      <c r="K880">
        <v>5</v>
      </c>
      <c r="L880">
        <v>276</v>
      </c>
      <c r="M880" t="s">
        <v>59</v>
      </c>
    </row>
    <row r="881" spans="1:13">
      <c r="A881" t="s">
        <v>938</v>
      </c>
      <c r="B881" s="10">
        <v>3.34</v>
      </c>
      <c r="C881" s="10">
        <v>3.023</v>
      </c>
      <c r="D881" s="10">
        <v>4.1</v>
      </c>
      <c r="E881" s="10">
        <v>29.4</v>
      </c>
      <c r="F881" s="10">
        <v>3</v>
      </c>
      <c r="G881" s="10">
        <v>0</v>
      </c>
      <c r="H881" s="10">
        <v>7</v>
      </c>
      <c r="I881" s="10">
        <v>8</v>
      </c>
      <c r="J881">
        <v>2016</v>
      </c>
      <c r="K881">
        <v>5</v>
      </c>
      <c r="L881">
        <v>276</v>
      </c>
      <c r="M881" t="s">
        <v>61</v>
      </c>
    </row>
    <row r="882" spans="1:13">
      <c r="A882" t="s">
        <v>939</v>
      </c>
      <c r="B882" s="10">
        <v>6</v>
      </c>
      <c r="C882" s="10">
        <v>3.33</v>
      </c>
      <c r="D882" s="10">
        <v>3.5</v>
      </c>
      <c r="E882" s="10">
        <v>21</v>
      </c>
      <c r="F882" s="10">
        <v>3</v>
      </c>
      <c r="G882" s="10">
        <v>0</v>
      </c>
      <c r="H882" s="10">
        <v>13</v>
      </c>
      <c r="I882" s="10">
        <v>2</v>
      </c>
      <c r="J882">
        <v>2016</v>
      </c>
      <c r="K882">
        <v>5</v>
      </c>
      <c r="L882">
        <v>276</v>
      </c>
      <c r="M882" t="s">
        <v>63</v>
      </c>
    </row>
    <row r="883" spans="1:13">
      <c r="A883" t="s">
        <v>940</v>
      </c>
      <c r="B883" s="10">
        <v>9</v>
      </c>
      <c r="C883" s="10">
        <v>1.1</v>
      </c>
      <c r="D883" s="10">
        <v>2</v>
      </c>
      <c r="E883" s="10">
        <v>20</v>
      </c>
      <c r="F883" s="10">
        <v>11</v>
      </c>
      <c r="G883" s="10">
        <v>0</v>
      </c>
      <c r="H883" s="10">
        <v>7</v>
      </c>
      <c r="I883" s="10">
        <v>5</v>
      </c>
      <c r="J883">
        <v>2016</v>
      </c>
      <c r="K883">
        <v>6</v>
      </c>
      <c r="L883">
        <v>276</v>
      </c>
      <c r="M883" t="s">
        <v>65</v>
      </c>
    </row>
    <row r="884" spans="1:13">
      <c r="A884" t="s">
        <v>941</v>
      </c>
      <c r="B884" s="10">
        <v>2.33</v>
      </c>
      <c r="C884" s="10">
        <v>6</v>
      </c>
      <c r="D884" s="10">
        <v>1.05</v>
      </c>
      <c r="E884" s="10">
        <v>21.25</v>
      </c>
      <c r="F884" s="10">
        <v>18</v>
      </c>
      <c r="G884" s="10">
        <v>3</v>
      </c>
      <c r="H884" s="10">
        <v>4</v>
      </c>
      <c r="I884" s="10">
        <v>1</v>
      </c>
      <c r="J884">
        <v>2016</v>
      </c>
      <c r="K884">
        <v>6</v>
      </c>
      <c r="L884">
        <v>276</v>
      </c>
      <c r="M884" t="s">
        <v>53</v>
      </c>
    </row>
    <row r="885" spans="1:13">
      <c r="A885" t="s">
        <v>942</v>
      </c>
      <c r="B885" s="10">
        <v>7.33</v>
      </c>
      <c r="C885" s="10">
        <v>3</v>
      </c>
      <c r="D885" s="10">
        <v>4</v>
      </c>
      <c r="E885" s="10">
        <v>18</v>
      </c>
      <c r="F885" s="10">
        <v>8</v>
      </c>
      <c r="G885" s="10">
        <v>0</v>
      </c>
      <c r="H885" s="10">
        <v>1</v>
      </c>
      <c r="I885" s="10">
        <v>7</v>
      </c>
      <c r="J885">
        <v>2016</v>
      </c>
      <c r="K885">
        <v>6</v>
      </c>
      <c r="L885">
        <v>276</v>
      </c>
      <c r="M885" t="s">
        <v>55</v>
      </c>
    </row>
    <row r="886" spans="1:13">
      <c r="A886" t="s">
        <v>943</v>
      </c>
      <c r="B886" s="10">
        <v>3.33</v>
      </c>
      <c r="C886" s="10">
        <v>3.34</v>
      </c>
      <c r="D886" s="10">
        <v>3.3</v>
      </c>
      <c r="E886" s="10">
        <v>21</v>
      </c>
      <c r="F886" s="10">
        <v>2</v>
      </c>
      <c r="G886" s="10">
        <v>0</v>
      </c>
      <c r="H886" s="10">
        <v>0</v>
      </c>
      <c r="I886" s="10">
        <v>4</v>
      </c>
      <c r="J886">
        <v>2016</v>
      </c>
      <c r="K886">
        <v>6</v>
      </c>
      <c r="L886">
        <v>276</v>
      </c>
      <c r="M886" t="s">
        <v>57</v>
      </c>
    </row>
    <row r="887" spans="1:13">
      <c r="A887" t="s">
        <v>944</v>
      </c>
      <c r="B887" s="10">
        <v>10.34</v>
      </c>
      <c r="C887" s="10">
        <v>3.066</v>
      </c>
      <c r="D887" s="10">
        <v>4.3</v>
      </c>
      <c r="E887" s="10">
        <v>23.4</v>
      </c>
      <c r="F887" s="10">
        <v>5</v>
      </c>
      <c r="G887" s="10">
        <v>0</v>
      </c>
      <c r="H887" s="10">
        <v>3</v>
      </c>
      <c r="I887" s="10">
        <v>4</v>
      </c>
      <c r="J887">
        <v>2016</v>
      </c>
      <c r="K887">
        <v>6</v>
      </c>
      <c r="L887">
        <v>276</v>
      </c>
      <c r="M887" t="s">
        <v>59</v>
      </c>
    </row>
    <row r="888" spans="1:13">
      <c r="A888" t="s">
        <v>945</v>
      </c>
      <c r="B888" s="10">
        <v>5.33</v>
      </c>
      <c r="C888" s="10">
        <v>2.802</v>
      </c>
      <c r="D888" s="10">
        <v>4</v>
      </c>
      <c r="E888" s="10">
        <v>26.2</v>
      </c>
      <c r="F888" s="10">
        <v>5</v>
      </c>
      <c r="G888" s="10">
        <v>0</v>
      </c>
      <c r="H888" s="10">
        <v>6</v>
      </c>
      <c r="I888" s="10">
        <v>6</v>
      </c>
      <c r="J888">
        <v>2016</v>
      </c>
      <c r="K888">
        <v>6</v>
      </c>
      <c r="L888">
        <v>276</v>
      </c>
      <c r="M888" t="s">
        <v>61</v>
      </c>
    </row>
    <row r="889" spans="1:13">
      <c r="A889" t="s">
        <v>946</v>
      </c>
      <c r="B889" s="10">
        <v>6</v>
      </c>
      <c r="C889" s="10">
        <v>3.363</v>
      </c>
      <c r="D889" s="10">
        <v>4.1</v>
      </c>
      <c r="E889" s="10">
        <v>28.5</v>
      </c>
      <c r="F889" s="10">
        <v>13</v>
      </c>
      <c r="G889" s="10">
        <v>0</v>
      </c>
      <c r="H889" s="10">
        <v>10</v>
      </c>
      <c r="I889" s="10">
        <v>3</v>
      </c>
      <c r="J889">
        <v>2016</v>
      </c>
      <c r="K889">
        <v>6</v>
      </c>
      <c r="L889">
        <v>276</v>
      </c>
      <c r="M889" t="s">
        <v>63</v>
      </c>
    </row>
    <row r="890" spans="1:13">
      <c r="A890" t="s">
        <v>947</v>
      </c>
      <c r="B890" s="10">
        <v>8.66</v>
      </c>
      <c r="C890" s="10">
        <v>1.33</v>
      </c>
      <c r="D890" s="10">
        <v>5.5</v>
      </c>
      <c r="E890" s="10">
        <v>45.062</v>
      </c>
      <c r="F890" s="10">
        <v>10</v>
      </c>
      <c r="G890" s="10">
        <v>0</v>
      </c>
      <c r="H890" s="10">
        <v>5</v>
      </c>
      <c r="I890" s="10">
        <v>6</v>
      </c>
      <c r="J890">
        <v>2016</v>
      </c>
      <c r="K890">
        <v>6</v>
      </c>
      <c r="L890">
        <v>276</v>
      </c>
      <c r="M890" t="s">
        <v>65</v>
      </c>
    </row>
    <row r="891" spans="1:13">
      <c r="A891" t="s">
        <v>948</v>
      </c>
      <c r="B891" s="10">
        <v>8.67</v>
      </c>
      <c r="C891" s="10">
        <v>4.33</v>
      </c>
      <c r="D891" s="10">
        <v>2</v>
      </c>
      <c r="E891" s="10">
        <v>20.6</v>
      </c>
      <c r="F891" s="10">
        <v>7</v>
      </c>
      <c r="G891" s="10">
        <v>0</v>
      </c>
      <c r="H891" s="10">
        <v>1</v>
      </c>
      <c r="I891" s="10">
        <v>4.2</v>
      </c>
      <c r="J891">
        <v>2016</v>
      </c>
      <c r="K891">
        <v>6</v>
      </c>
      <c r="L891">
        <v>276</v>
      </c>
      <c r="M891" t="s">
        <v>53</v>
      </c>
    </row>
    <row r="892" spans="1:13">
      <c r="A892" t="s">
        <v>949</v>
      </c>
      <c r="B892" s="10">
        <v>8.33</v>
      </c>
      <c r="C892" s="10">
        <v>4</v>
      </c>
      <c r="D892" s="10">
        <v>4</v>
      </c>
      <c r="E892" s="10">
        <v>26</v>
      </c>
      <c r="F892" s="10">
        <v>11</v>
      </c>
      <c r="G892" s="10">
        <v>2</v>
      </c>
      <c r="H892" s="10">
        <v>0</v>
      </c>
      <c r="I892" s="10">
        <v>5</v>
      </c>
      <c r="J892">
        <v>2016</v>
      </c>
      <c r="K892">
        <v>6</v>
      </c>
      <c r="L892">
        <v>276</v>
      </c>
      <c r="M892" t="s">
        <v>55</v>
      </c>
    </row>
    <row r="893" spans="1:13">
      <c r="A893" t="s">
        <v>950</v>
      </c>
      <c r="B893" s="10">
        <v>10.66</v>
      </c>
      <c r="C893" s="10">
        <v>2.825</v>
      </c>
      <c r="D893" s="10">
        <v>2</v>
      </c>
      <c r="E893" s="10">
        <v>35.6</v>
      </c>
      <c r="F893" s="10">
        <v>4</v>
      </c>
      <c r="G893" s="10">
        <v>1</v>
      </c>
      <c r="H893" s="10">
        <v>10</v>
      </c>
      <c r="I893" s="10">
        <v>8</v>
      </c>
      <c r="J893">
        <v>2016</v>
      </c>
      <c r="K893">
        <v>6</v>
      </c>
      <c r="L893">
        <v>276</v>
      </c>
      <c r="M893" t="s">
        <v>57</v>
      </c>
    </row>
    <row r="894" spans="1:13">
      <c r="A894" t="s">
        <v>951</v>
      </c>
      <c r="B894" s="10">
        <v>8.34</v>
      </c>
      <c r="C894" s="10">
        <v>7.353</v>
      </c>
      <c r="D894" s="10">
        <v>3.4</v>
      </c>
      <c r="E894" s="10">
        <v>47</v>
      </c>
      <c r="F894" s="10">
        <v>8</v>
      </c>
      <c r="G894" s="10">
        <v>0</v>
      </c>
      <c r="H894" s="10">
        <v>4</v>
      </c>
      <c r="I894" s="10">
        <v>6</v>
      </c>
      <c r="J894">
        <v>2016</v>
      </c>
      <c r="K894">
        <v>6</v>
      </c>
      <c r="L894">
        <v>276</v>
      </c>
      <c r="M894" t="s">
        <v>59</v>
      </c>
    </row>
    <row r="895" spans="1:13">
      <c r="A895" t="s">
        <v>952</v>
      </c>
      <c r="B895" s="10">
        <v>5.66</v>
      </c>
      <c r="C895" s="10">
        <v>4.736</v>
      </c>
      <c r="D895" s="10">
        <v>1</v>
      </c>
      <c r="E895" s="10">
        <v>15</v>
      </c>
      <c r="F895" s="10">
        <v>7</v>
      </c>
      <c r="G895" s="10">
        <v>0</v>
      </c>
      <c r="H895" s="10">
        <v>1</v>
      </c>
      <c r="I895" s="10">
        <v>2</v>
      </c>
      <c r="J895">
        <v>2016</v>
      </c>
      <c r="K895">
        <v>6</v>
      </c>
      <c r="L895">
        <v>276</v>
      </c>
      <c r="M895" t="s">
        <v>61</v>
      </c>
    </row>
    <row r="896" spans="1:13">
      <c r="A896" t="s">
        <v>953</v>
      </c>
      <c r="B896" s="10">
        <v>2.33</v>
      </c>
      <c r="C896" s="10">
        <v>6</v>
      </c>
      <c r="D896" s="10">
        <v>6.1</v>
      </c>
      <c r="E896" s="10">
        <v>17.4</v>
      </c>
      <c r="F896" s="10">
        <v>17</v>
      </c>
      <c r="G896" s="10">
        <v>1</v>
      </c>
      <c r="H896" s="10">
        <v>2</v>
      </c>
      <c r="I896" s="10">
        <v>3</v>
      </c>
      <c r="J896">
        <v>2016</v>
      </c>
      <c r="K896">
        <v>6</v>
      </c>
      <c r="L896">
        <v>276</v>
      </c>
      <c r="M896" t="s">
        <v>63</v>
      </c>
    </row>
    <row r="897" spans="1:13">
      <c r="A897" t="s">
        <v>954</v>
      </c>
      <c r="B897" s="10">
        <v>5</v>
      </c>
      <c r="C897" s="10">
        <v>5.495</v>
      </c>
      <c r="D897" s="10">
        <v>7</v>
      </c>
      <c r="E897" s="10">
        <v>35</v>
      </c>
      <c r="F897" s="10">
        <v>22</v>
      </c>
      <c r="G897" s="10">
        <v>1</v>
      </c>
      <c r="H897" s="10">
        <v>1</v>
      </c>
      <c r="I897" s="10">
        <v>6</v>
      </c>
      <c r="J897">
        <v>2016</v>
      </c>
      <c r="K897">
        <v>6</v>
      </c>
      <c r="L897">
        <v>276</v>
      </c>
      <c r="M897" t="s">
        <v>65</v>
      </c>
    </row>
    <row r="898" spans="1:13">
      <c r="A898" t="s">
        <v>955</v>
      </c>
      <c r="B898" s="10">
        <v>4</v>
      </c>
      <c r="C898" s="10">
        <v>0.33</v>
      </c>
      <c r="D898" s="10">
        <v>1</v>
      </c>
      <c r="E898" s="10">
        <v>20.5</v>
      </c>
      <c r="F898" s="10">
        <v>4</v>
      </c>
      <c r="G898" s="10">
        <v>0</v>
      </c>
      <c r="H898" s="10">
        <v>22</v>
      </c>
      <c r="I898" s="10">
        <v>3</v>
      </c>
      <c r="J898">
        <v>2016</v>
      </c>
      <c r="K898">
        <v>6</v>
      </c>
      <c r="L898">
        <v>276</v>
      </c>
      <c r="M898" t="s">
        <v>53</v>
      </c>
    </row>
    <row r="899" spans="1:13">
      <c r="A899" t="s">
        <v>956</v>
      </c>
      <c r="B899" s="10">
        <v>3.34</v>
      </c>
      <c r="C899" s="10">
        <v>3.67</v>
      </c>
      <c r="D899" s="10">
        <v>3.65</v>
      </c>
      <c r="E899" s="10">
        <v>20</v>
      </c>
      <c r="F899" s="10">
        <v>8</v>
      </c>
      <c r="G899" s="10">
        <v>0</v>
      </c>
      <c r="H899" s="10">
        <v>4</v>
      </c>
      <c r="I899" s="10">
        <v>4</v>
      </c>
      <c r="J899">
        <v>2016</v>
      </c>
      <c r="K899">
        <v>6</v>
      </c>
      <c r="L899">
        <v>276</v>
      </c>
      <c r="M899" t="s">
        <v>55</v>
      </c>
    </row>
    <row r="900" spans="1:13">
      <c r="A900" t="s">
        <v>957</v>
      </c>
      <c r="B900" s="10">
        <v>2</v>
      </c>
      <c r="C900" s="10">
        <v>4.33</v>
      </c>
      <c r="D900" s="10">
        <v>6.5</v>
      </c>
      <c r="E900" s="10">
        <v>37.5</v>
      </c>
      <c r="F900" s="10">
        <v>1</v>
      </c>
      <c r="G900" s="10">
        <v>0</v>
      </c>
      <c r="H900" s="10">
        <v>5</v>
      </c>
      <c r="I900" s="10">
        <v>4</v>
      </c>
      <c r="J900">
        <v>2016</v>
      </c>
      <c r="K900">
        <v>6</v>
      </c>
      <c r="L900">
        <v>276</v>
      </c>
      <c r="M900" t="s">
        <v>57</v>
      </c>
    </row>
    <row r="901" spans="1:13">
      <c r="A901" t="s">
        <v>958</v>
      </c>
      <c r="B901" s="10">
        <v>6.34</v>
      </c>
      <c r="C901" s="10">
        <v>6.01</v>
      </c>
      <c r="D901" s="10">
        <v>3</v>
      </c>
      <c r="E901" s="10">
        <v>40</v>
      </c>
      <c r="F901" s="10">
        <v>1</v>
      </c>
      <c r="G901" s="10">
        <v>0</v>
      </c>
      <c r="H901" s="10">
        <v>7</v>
      </c>
      <c r="I901" s="10">
        <v>15</v>
      </c>
      <c r="J901">
        <v>2016</v>
      </c>
      <c r="K901">
        <v>6</v>
      </c>
      <c r="L901">
        <v>276</v>
      </c>
      <c r="M901" t="s">
        <v>59</v>
      </c>
    </row>
    <row r="902" spans="1:13">
      <c r="A902" t="s">
        <v>959</v>
      </c>
      <c r="B902" s="10">
        <v>7.34</v>
      </c>
      <c r="C902" s="10">
        <v>3.34</v>
      </c>
      <c r="D902" s="10">
        <v>6</v>
      </c>
      <c r="E902" s="10">
        <v>22.388</v>
      </c>
      <c r="F902" s="10">
        <v>5</v>
      </c>
      <c r="G902" s="10">
        <v>0</v>
      </c>
      <c r="H902" s="10">
        <v>8</v>
      </c>
      <c r="I902" s="10">
        <v>6</v>
      </c>
      <c r="J902">
        <v>2016</v>
      </c>
      <c r="K902">
        <v>6</v>
      </c>
      <c r="L902">
        <v>276</v>
      </c>
      <c r="M902" t="s">
        <v>61</v>
      </c>
    </row>
    <row r="903" spans="1:13">
      <c r="A903" t="s">
        <v>960</v>
      </c>
      <c r="B903" s="10">
        <v>7.33</v>
      </c>
      <c r="C903" s="10">
        <v>4.66</v>
      </c>
      <c r="D903" s="10">
        <v>9</v>
      </c>
      <c r="E903" s="10">
        <v>23</v>
      </c>
      <c r="F903" s="10">
        <v>15</v>
      </c>
      <c r="G903" s="10">
        <v>0</v>
      </c>
      <c r="H903" s="10">
        <v>7</v>
      </c>
      <c r="I903" s="10">
        <v>5.6</v>
      </c>
      <c r="J903">
        <v>2016</v>
      </c>
      <c r="K903">
        <v>6</v>
      </c>
      <c r="L903">
        <v>276</v>
      </c>
      <c r="M903" t="s">
        <v>63</v>
      </c>
    </row>
    <row r="904" spans="1:13">
      <c r="A904" t="s">
        <v>961</v>
      </c>
      <c r="B904" s="10">
        <v>2</v>
      </c>
      <c r="C904" s="10">
        <v>6.067</v>
      </c>
      <c r="D904" s="10">
        <v>2.3</v>
      </c>
      <c r="E904" s="10">
        <v>42</v>
      </c>
      <c r="F904" s="10">
        <v>6</v>
      </c>
      <c r="G904" s="10">
        <v>0</v>
      </c>
      <c r="H904" s="10">
        <v>2</v>
      </c>
      <c r="I904" s="10">
        <v>2</v>
      </c>
      <c r="J904">
        <v>2016</v>
      </c>
      <c r="K904">
        <v>6</v>
      </c>
      <c r="L904">
        <v>276</v>
      </c>
      <c r="M904" t="s">
        <v>65</v>
      </c>
    </row>
    <row r="905" spans="1:13">
      <c r="A905" t="s">
        <v>962</v>
      </c>
      <c r="B905" s="10">
        <v>3</v>
      </c>
      <c r="C905" s="10">
        <v>0.33</v>
      </c>
      <c r="D905" s="10">
        <v>2.3</v>
      </c>
      <c r="E905" s="10">
        <v>19</v>
      </c>
      <c r="F905" s="10">
        <v>5</v>
      </c>
      <c r="G905" s="10">
        <v>0</v>
      </c>
      <c r="H905" s="10">
        <v>1</v>
      </c>
      <c r="I905" s="10">
        <v>3</v>
      </c>
      <c r="J905">
        <v>2016</v>
      </c>
      <c r="K905">
        <v>6</v>
      </c>
      <c r="L905">
        <v>276</v>
      </c>
      <c r="M905" t="s">
        <v>53</v>
      </c>
    </row>
    <row r="906" spans="1:13">
      <c r="A906" t="s">
        <v>963</v>
      </c>
      <c r="B906" s="10">
        <v>6</v>
      </c>
      <c r="C906" s="10">
        <v>2.34</v>
      </c>
      <c r="D906" s="10">
        <v>3.05</v>
      </c>
      <c r="E906" s="10">
        <v>19</v>
      </c>
      <c r="F906" s="10">
        <v>15</v>
      </c>
      <c r="G906" s="10">
        <v>0</v>
      </c>
      <c r="H906" s="10">
        <v>1</v>
      </c>
      <c r="I906" s="10">
        <v>2</v>
      </c>
      <c r="J906">
        <v>2016</v>
      </c>
      <c r="K906">
        <v>6</v>
      </c>
      <c r="L906">
        <v>276</v>
      </c>
      <c r="M906" t="s">
        <v>55</v>
      </c>
    </row>
    <row r="907" spans="1:13">
      <c r="A907" t="s">
        <v>964</v>
      </c>
      <c r="B907" s="10">
        <v>5.68</v>
      </c>
      <c r="C907" s="10">
        <v>4.99</v>
      </c>
      <c r="D907" s="10">
        <v>8</v>
      </c>
      <c r="E907" s="10">
        <v>20.25</v>
      </c>
      <c r="F907" s="10">
        <v>5</v>
      </c>
      <c r="G907" s="10">
        <v>0</v>
      </c>
      <c r="H907" s="10">
        <v>1</v>
      </c>
      <c r="I907" s="10">
        <v>4</v>
      </c>
      <c r="J907">
        <v>2016</v>
      </c>
      <c r="K907">
        <v>6</v>
      </c>
      <c r="L907">
        <v>276</v>
      </c>
      <c r="M907" t="s">
        <v>57</v>
      </c>
    </row>
    <row r="908" spans="1:13">
      <c r="A908" t="s">
        <v>965</v>
      </c>
      <c r="B908" s="10">
        <v>3</v>
      </c>
      <c r="C908" s="10">
        <v>3.845</v>
      </c>
      <c r="D908" s="10">
        <v>2</v>
      </c>
      <c r="E908" s="10">
        <v>17.4</v>
      </c>
      <c r="F908" s="10">
        <v>20</v>
      </c>
      <c r="G908" s="10">
        <v>0</v>
      </c>
      <c r="H908" s="10">
        <v>2</v>
      </c>
      <c r="I908" s="10">
        <v>3</v>
      </c>
      <c r="J908">
        <v>2016</v>
      </c>
      <c r="K908">
        <v>6</v>
      </c>
      <c r="L908">
        <v>276</v>
      </c>
      <c r="M908" t="s">
        <v>59</v>
      </c>
    </row>
    <row r="909" spans="1:13">
      <c r="A909" t="s">
        <v>966</v>
      </c>
      <c r="B909" s="10">
        <v>6</v>
      </c>
      <c r="C909" s="10">
        <v>3.067</v>
      </c>
      <c r="D909" s="10">
        <v>5.25</v>
      </c>
      <c r="E909" s="10">
        <v>24</v>
      </c>
      <c r="F909" s="10">
        <v>9</v>
      </c>
      <c r="G909" s="10">
        <v>0</v>
      </c>
      <c r="H909" s="10">
        <v>9</v>
      </c>
      <c r="I909" s="10">
        <v>2</v>
      </c>
      <c r="J909">
        <v>2016</v>
      </c>
      <c r="K909">
        <v>6</v>
      </c>
      <c r="L909">
        <v>276</v>
      </c>
      <c r="M909" t="s">
        <v>61</v>
      </c>
    </row>
    <row r="910" spans="1:13">
      <c r="A910" t="s">
        <v>967</v>
      </c>
      <c r="B910" s="10">
        <v>1.33</v>
      </c>
      <c r="C910" s="10">
        <v>1.429</v>
      </c>
      <c r="D910" s="10">
        <v>2.25</v>
      </c>
      <c r="E910" s="10">
        <v>24</v>
      </c>
      <c r="F910" s="10">
        <v>20</v>
      </c>
      <c r="G910" s="10">
        <v>5</v>
      </c>
      <c r="H910" s="10">
        <v>2</v>
      </c>
      <c r="I910" s="10">
        <v>7</v>
      </c>
      <c r="J910">
        <v>2016</v>
      </c>
      <c r="K910">
        <v>6</v>
      </c>
      <c r="L910">
        <v>276</v>
      </c>
      <c r="M910" t="s">
        <v>63</v>
      </c>
    </row>
    <row r="911" spans="1:13">
      <c r="A911" t="s">
        <v>968</v>
      </c>
      <c r="B911" s="10">
        <v>7</v>
      </c>
      <c r="C911" s="10">
        <v>8.01</v>
      </c>
      <c r="D911" s="10">
        <v>6.5</v>
      </c>
      <c r="E911" s="10">
        <v>22</v>
      </c>
      <c r="F911" s="10">
        <v>12.5</v>
      </c>
      <c r="G911" s="10">
        <v>7</v>
      </c>
      <c r="H911" s="10">
        <v>1</v>
      </c>
      <c r="I911" s="10">
        <v>2</v>
      </c>
      <c r="J911">
        <v>2016</v>
      </c>
      <c r="K911">
        <v>6</v>
      </c>
      <c r="L911">
        <v>276</v>
      </c>
      <c r="M911" t="s">
        <v>65</v>
      </c>
    </row>
    <row r="912" spans="1:13">
      <c r="A912" t="s">
        <v>969</v>
      </c>
      <c r="B912" s="10">
        <v>4</v>
      </c>
      <c r="C912" s="10">
        <v>3.803</v>
      </c>
      <c r="D912" s="10">
        <v>3.2</v>
      </c>
      <c r="E912" s="10">
        <v>9</v>
      </c>
      <c r="F912" s="10">
        <v>6</v>
      </c>
      <c r="G912" s="10">
        <v>0</v>
      </c>
      <c r="H912" s="10">
        <v>0</v>
      </c>
      <c r="I912" s="10">
        <v>2</v>
      </c>
      <c r="J912">
        <v>2016</v>
      </c>
      <c r="K912">
        <v>6</v>
      </c>
      <c r="L912">
        <v>276</v>
      </c>
      <c r="M912" t="s">
        <v>53</v>
      </c>
    </row>
    <row r="913" spans="1:13">
      <c r="A913" t="s">
        <v>970</v>
      </c>
      <c r="B913" s="10">
        <v>4</v>
      </c>
      <c r="C913" s="10">
        <v>2.01</v>
      </c>
      <c r="D913" s="10">
        <v>5.5</v>
      </c>
      <c r="E913" s="10">
        <v>24</v>
      </c>
      <c r="F913" s="10">
        <v>1</v>
      </c>
      <c r="G913" s="10">
        <v>0</v>
      </c>
      <c r="H913" s="10">
        <v>20</v>
      </c>
      <c r="I913" s="10">
        <v>7</v>
      </c>
      <c r="J913">
        <v>2016</v>
      </c>
      <c r="K913">
        <v>7</v>
      </c>
      <c r="L913">
        <v>276</v>
      </c>
      <c r="M913" t="s">
        <v>55</v>
      </c>
    </row>
    <row r="914" spans="1:13">
      <c r="A914" t="s">
        <v>971</v>
      </c>
      <c r="B914" s="10">
        <v>4.66</v>
      </c>
      <c r="C914" s="10">
        <v>5.132</v>
      </c>
      <c r="D914" s="10">
        <v>6</v>
      </c>
      <c r="E914" s="10">
        <v>25.4</v>
      </c>
      <c r="F914" s="10">
        <v>9</v>
      </c>
      <c r="G914" s="10">
        <v>0</v>
      </c>
      <c r="H914" s="10">
        <v>2</v>
      </c>
      <c r="I914" s="10">
        <v>3</v>
      </c>
      <c r="J914">
        <v>2016</v>
      </c>
      <c r="K914">
        <v>7</v>
      </c>
      <c r="L914">
        <v>276</v>
      </c>
      <c r="M914" t="s">
        <v>57</v>
      </c>
    </row>
    <row r="915" spans="1:13">
      <c r="A915" t="s">
        <v>972</v>
      </c>
      <c r="B915" s="10">
        <v>6.67</v>
      </c>
      <c r="C915" s="10">
        <v>4.165</v>
      </c>
      <c r="D915" s="10">
        <v>5.4</v>
      </c>
      <c r="E915" s="10">
        <v>18.6</v>
      </c>
      <c r="F915" s="10">
        <v>4</v>
      </c>
      <c r="G915" s="10">
        <v>0</v>
      </c>
      <c r="H915" s="10">
        <v>11</v>
      </c>
      <c r="I915" s="10">
        <v>5</v>
      </c>
      <c r="J915">
        <v>2016</v>
      </c>
      <c r="K915">
        <v>7</v>
      </c>
      <c r="L915">
        <v>276</v>
      </c>
      <c r="M915" t="s">
        <v>59</v>
      </c>
    </row>
    <row r="916" spans="1:13">
      <c r="A916" t="s">
        <v>973</v>
      </c>
      <c r="B916" s="10">
        <v>8.34</v>
      </c>
      <c r="C916" s="10">
        <v>5.34</v>
      </c>
      <c r="D916" s="10">
        <v>1.15</v>
      </c>
      <c r="E916" s="10">
        <v>14</v>
      </c>
      <c r="F916" s="10">
        <v>8</v>
      </c>
      <c r="G916" s="10">
        <v>3</v>
      </c>
      <c r="H916" s="10">
        <v>7</v>
      </c>
      <c r="I916" s="10">
        <v>6</v>
      </c>
      <c r="J916">
        <v>2016</v>
      </c>
      <c r="K916">
        <v>7</v>
      </c>
      <c r="L916">
        <v>276</v>
      </c>
      <c r="M916" t="s">
        <v>61</v>
      </c>
    </row>
    <row r="917" spans="1:13">
      <c r="A917" t="s">
        <v>974</v>
      </c>
      <c r="B917" s="10">
        <v>6</v>
      </c>
      <c r="C917" s="10">
        <v>4.01</v>
      </c>
      <c r="D917" s="10">
        <v>2</v>
      </c>
      <c r="E917" s="10">
        <v>19</v>
      </c>
      <c r="F917" s="10">
        <v>10</v>
      </c>
      <c r="G917" s="10">
        <v>0</v>
      </c>
      <c r="H917" s="10">
        <v>0</v>
      </c>
      <c r="I917" s="10">
        <v>3</v>
      </c>
      <c r="J917">
        <v>2016</v>
      </c>
      <c r="K917">
        <v>7</v>
      </c>
      <c r="L917">
        <v>276</v>
      </c>
      <c r="M917" t="s">
        <v>63</v>
      </c>
    </row>
    <row r="918" spans="1:13">
      <c r="A918" t="s">
        <v>975</v>
      </c>
      <c r="B918" s="10">
        <v>9.33</v>
      </c>
      <c r="C918" s="10">
        <v>5.726</v>
      </c>
      <c r="D918" s="10">
        <v>5</v>
      </c>
      <c r="E918" s="10">
        <v>30</v>
      </c>
      <c r="F918" s="10">
        <v>5</v>
      </c>
      <c r="G918" s="10">
        <v>0</v>
      </c>
      <c r="H918" s="10">
        <v>8</v>
      </c>
      <c r="I918" s="10">
        <v>4</v>
      </c>
      <c r="J918">
        <v>2016</v>
      </c>
      <c r="K918">
        <v>7</v>
      </c>
      <c r="L918">
        <v>276</v>
      </c>
      <c r="M918" t="s">
        <v>65</v>
      </c>
    </row>
    <row r="919" spans="1:13">
      <c r="A919" t="s">
        <v>976</v>
      </c>
      <c r="B919" s="10">
        <v>7.34</v>
      </c>
      <c r="C919" s="10">
        <v>5.01</v>
      </c>
      <c r="D919" s="10">
        <v>1</v>
      </c>
      <c r="E919" s="10">
        <v>21</v>
      </c>
      <c r="F919" s="10">
        <v>11</v>
      </c>
      <c r="G919" s="10">
        <v>1</v>
      </c>
      <c r="H919" s="10">
        <v>0</v>
      </c>
      <c r="I919" s="10">
        <v>2</v>
      </c>
      <c r="J919">
        <v>2016</v>
      </c>
      <c r="K919">
        <v>7</v>
      </c>
      <c r="L919">
        <v>276</v>
      </c>
      <c r="M919" t="s">
        <v>53</v>
      </c>
    </row>
    <row r="920" spans="1:13">
      <c r="A920" t="s">
        <v>977</v>
      </c>
      <c r="B920" s="10">
        <v>1.34</v>
      </c>
      <c r="C920" s="10">
        <v>7.056</v>
      </c>
      <c r="D920" s="10">
        <v>9.199999999999999</v>
      </c>
      <c r="E920" s="10">
        <v>28</v>
      </c>
      <c r="F920" s="10">
        <v>12</v>
      </c>
      <c r="G920" s="10">
        <v>1</v>
      </c>
      <c r="H920" s="10">
        <v>0</v>
      </c>
      <c r="I920" s="10">
        <v>4.3</v>
      </c>
      <c r="J920">
        <v>2016</v>
      </c>
      <c r="K920">
        <v>7</v>
      </c>
      <c r="L920">
        <v>276</v>
      </c>
      <c r="M920" t="s">
        <v>55</v>
      </c>
    </row>
    <row r="921" spans="1:13">
      <c r="A921" t="s">
        <v>978</v>
      </c>
      <c r="B921" s="10">
        <v>3.33</v>
      </c>
      <c r="C921" s="10">
        <v>6</v>
      </c>
      <c r="D921" s="10">
        <v>4.5</v>
      </c>
      <c r="E921" s="10">
        <v>11</v>
      </c>
      <c r="F921" s="10">
        <v>12</v>
      </c>
      <c r="G921" s="10">
        <v>0</v>
      </c>
      <c r="H921" s="10">
        <v>0</v>
      </c>
      <c r="I921" s="10">
        <v>2</v>
      </c>
      <c r="J921">
        <v>2016</v>
      </c>
      <c r="K921">
        <v>7</v>
      </c>
      <c r="L921">
        <v>276</v>
      </c>
      <c r="M921" t="s">
        <v>57</v>
      </c>
    </row>
    <row r="922" spans="1:13">
      <c r="A922" t="s">
        <v>979</v>
      </c>
      <c r="B922" s="10">
        <v>5.66</v>
      </c>
      <c r="C922" s="10">
        <v>8.32</v>
      </c>
      <c r="D922" s="10">
        <v>4.2</v>
      </c>
      <c r="E922" s="10">
        <v>29</v>
      </c>
      <c r="F922" s="10">
        <v>6</v>
      </c>
      <c r="G922" s="10">
        <v>0</v>
      </c>
      <c r="H922" s="10">
        <v>0</v>
      </c>
      <c r="I922" s="10">
        <v>3</v>
      </c>
      <c r="J922">
        <v>2016</v>
      </c>
      <c r="K922">
        <v>7</v>
      </c>
      <c r="L922">
        <v>276</v>
      </c>
      <c r="M922" t="s">
        <v>59</v>
      </c>
    </row>
    <row r="923" spans="1:13">
      <c r="A923" t="s">
        <v>980</v>
      </c>
      <c r="B923" s="10">
        <v>6.33</v>
      </c>
      <c r="C923" s="10">
        <v>1.703</v>
      </c>
      <c r="D923" s="10">
        <v>3</v>
      </c>
      <c r="E923" s="10">
        <v>19.312</v>
      </c>
      <c r="F923" s="10">
        <v>9</v>
      </c>
      <c r="G923" s="10">
        <v>0</v>
      </c>
      <c r="H923" s="10">
        <v>4</v>
      </c>
      <c r="I923" s="10">
        <v>6.2</v>
      </c>
      <c r="J923">
        <v>2016</v>
      </c>
      <c r="K923">
        <v>7</v>
      </c>
      <c r="L923">
        <v>276</v>
      </c>
      <c r="M923" t="s">
        <v>61</v>
      </c>
    </row>
    <row r="924" spans="1:13">
      <c r="A924" t="s">
        <v>981</v>
      </c>
      <c r="B924" s="10">
        <v>5.67</v>
      </c>
      <c r="C924" s="10">
        <v>2.67</v>
      </c>
      <c r="D924" s="10">
        <v>4</v>
      </c>
      <c r="E924" s="10">
        <v>27.2</v>
      </c>
      <c r="F924" s="10">
        <v>14</v>
      </c>
      <c r="G924" s="10">
        <v>0</v>
      </c>
      <c r="H924" s="10">
        <v>3</v>
      </c>
      <c r="I924" s="10">
        <v>4</v>
      </c>
      <c r="J924">
        <v>2016</v>
      </c>
      <c r="K924">
        <v>7</v>
      </c>
      <c r="L924">
        <v>276</v>
      </c>
      <c r="M924" t="s">
        <v>63</v>
      </c>
    </row>
    <row r="925" spans="1:13">
      <c r="A925" t="s">
        <v>982</v>
      </c>
      <c r="B925" s="10">
        <v>6.218333333</v>
      </c>
      <c r="C925" s="10">
        <v>7</v>
      </c>
      <c r="D925" s="10">
        <v>5</v>
      </c>
      <c r="E925" s="10">
        <v>26.4</v>
      </c>
      <c r="F925" s="10">
        <v>11</v>
      </c>
      <c r="G925" s="10">
        <v>0</v>
      </c>
      <c r="H925" s="10">
        <v>3</v>
      </c>
      <c r="I925" s="10">
        <v>2</v>
      </c>
      <c r="J925">
        <v>2016</v>
      </c>
      <c r="K925">
        <v>7</v>
      </c>
      <c r="L925">
        <v>276</v>
      </c>
      <c r="M925" t="s">
        <v>65</v>
      </c>
    </row>
    <row r="926" spans="1:13">
      <c r="A926" t="s">
        <v>983</v>
      </c>
      <c r="B926" s="10">
        <v>2.34</v>
      </c>
      <c r="C926" s="10">
        <v>2.363</v>
      </c>
      <c r="D926" s="10">
        <v>5</v>
      </c>
      <c r="E926" s="10">
        <v>12.4</v>
      </c>
      <c r="F926" s="10">
        <v>3</v>
      </c>
      <c r="G926" s="10">
        <v>0</v>
      </c>
      <c r="H926" s="10">
        <v>3</v>
      </c>
      <c r="I926" s="10">
        <v>5</v>
      </c>
      <c r="J926">
        <v>2016</v>
      </c>
      <c r="K926">
        <v>7</v>
      </c>
      <c r="L926">
        <v>276</v>
      </c>
      <c r="M926" t="s">
        <v>53</v>
      </c>
    </row>
    <row r="927" spans="1:13">
      <c r="A927" t="s">
        <v>984</v>
      </c>
      <c r="B927" s="10">
        <v>3</v>
      </c>
      <c r="C927" s="10">
        <v>8</v>
      </c>
      <c r="D927" s="10">
        <v>2</v>
      </c>
      <c r="E927" s="10">
        <v>15</v>
      </c>
      <c r="F927" s="10">
        <v>4</v>
      </c>
      <c r="G927" s="10">
        <v>0</v>
      </c>
      <c r="H927" s="10">
        <v>0</v>
      </c>
      <c r="I927" s="10">
        <v>3.33</v>
      </c>
      <c r="J927">
        <v>2016</v>
      </c>
      <c r="K927">
        <v>7</v>
      </c>
      <c r="L927">
        <v>276</v>
      </c>
      <c r="M927" t="s">
        <v>55</v>
      </c>
    </row>
    <row r="928" spans="1:13">
      <c r="A928" t="s">
        <v>985</v>
      </c>
      <c r="B928" s="10">
        <v>9.33</v>
      </c>
      <c r="C928" s="10">
        <v>6.737</v>
      </c>
      <c r="D928" s="10">
        <v>3</v>
      </c>
      <c r="E928" s="10">
        <v>23.3</v>
      </c>
      <c r="F928" s="10">
        <v>6</v>
      </c>
      <c r="G928" s="10">
        <v>0</v>
      </c>
      <c r="H928" s="10">
        <v>1</v>
      </c>
      <c r="I928" s="10">
        <v>8</v>
      </c>
      <c r="J928">
        <v>2016</v>
      </c>
      <c r="K928">
        <v>7</v>
      </c>
      <c r="L928">
        <v>276</v>
      </c>
      <c r="M928" t="s">
        <v>57</v>
      </c>
    </row>
    <row r="929" spans="1:13">
      <c r="A929" t="s">
        <v>986</v>
      </c>
      <c r="B929" s="10">
        <v>9.01</v>
      </c>
      <c r="C929" s="10">
        <v>4.01</v>
      </c>
      <c r="D929" s="10">
        <v>3</v>
      </c>
      <c r="E929" s="10">
        <v>26.65</v>
      </c>
      <c r="F929" s="10">
        <v>3</v>
      </c>
      <c r="G929" s="10">
        <v>0</v>
      </c>
      <c r="H929" s="10">
        <v>7</v>
      </c>
      <c r="I929" s="10">
        <v>4</v>
      </c>
      <c r="J929">
        <v>2016</v>
      </c>
      <c r="K929">
        <v>7</v>
      </c>
      <c r="L929">
        <v>276</v>
      </c>
      <c r="M929" t="s">
        <v>59</v>
      </c>
    </row>
    <row r="930" spans="1:13">
      <c r="A930" t="s">
        <v>987</v>
      </c>
      <c r="B930" s="10">
        <v>6</v>
      </c>
      <c r="C930" s="10">
        <v>2.497</v>
      </c>
      <c r="D930" s="10">
        <v>8</v>
      </c>
      <c r="E930" s="10">
        <v>25.4</v>
      </c>
      <c r="F930" s="10">
        <v>2</v>
      </c>
      <c r="G930" s="10">
        <v>0</v>
      </c>
      <c r="H930" s="10">
        <v>3</v>
      </c>
      <c r="I930" s="10">
        <v>4</v>
      </c>
      <c r="J930">
        <v>2016</v>
      </c>
      <c r="K930">
        <v>7</v>
      </c>
      <c r="L930">
        <v>276</v>
      </c>
      <c r="M930" t="s">
        <v>61</v>
      </c>
    </row>
    <row r="931" spans="1:13">
      <c r="A931" t="s">
        <v>988</v>
      </c>
      <c r="B931" s="10">
        <v>7.34</v>
      </c>
      <c r="C931" s="10">
        <v>1.33</v>
      </c>
      <c r="D931" s="10">
        <v>6</v>
      </c>
      <c r="E931" s="10">
        <v>19</v>
      </c>
      <c r="F931" s="10">
        <v>5</v>
      </c>
      <c r="G931" s="10">
        <v>0</v>
      </c>
      <c r="H931" s="10">
        <v>1</v>
      </c>
      <c r="I931" s="10">
        <v>2</v>
      </c>
      <c r="J931">
        <v>2016</v>
      </c>
      <c r="K931">
        <v>7</v>
      </c>
      <c r="L931">
        <v>276</v>
      </c>
      <c r="M931" t="s">
        <v>63</v>
      </c>
    </row>
    <row r="932" spans="1:13">
      <c r="A932" t="s">
        <v>989</v>
      </c>
      <c r="B932" s="10">
        <v>10.33</v>
      </c>
      <c r="C932" s="10">
        <v>4.66</v>
      </c>
      <c r="D932" s="10">
        <v>7.1</v>
      </c>
      <c r="E932" s="10">
        <v>25.2</v>
      </c>
      <c r="F932" s="10">
        <v>6</v>
      </c>
      <c r="G932" s="10">
        <v>0</v>
      </c>
      <c r="H932" s="10">
        <v>5</v>
      </c>
      <c r="I932" s="10">
        <v>5</v>
      </c>
      <c r="J932">
        <v>2016</v>
      </c>
      <c r="K932">
        <v>7</v>
      </c>
      <c r="L932">
        <v>276</v>
      </c>
      <c r="M932" t="s">
        <v>65</v>
      </c>
    </row>
    <row r="933" spans="1:13">
      <c r="A933" t="s">
        <v>990</v>
      </c>
      <c r="B933" s="10">
        <v>5.66</v>
      </c>
      <c r="C933" s="10">
        <v>5.32</v>
      </c>
      <c r="D933" s="10">
        <v>4.1</v>
      </c>
      <c r="E933" s="10">
        <v>17</v>
      </c>
      <c r="F933" s="10">
        <v>15</v>
      </c>
      <c r="G933" s="10">
        <v>0</v>
      </c>
      <c r="H933" s="10">
        <v>1</v>
      </c>
      <c r="I933" s="10">
        <v>2</v>
      </c>
      <c r="J933">
        <v>2016</v>
      </c>
      <c r="K933">
        <v>7</v>
      </c>
      <c r="L933">
        <v>276</v>
      </c>
      <c r="M933" t="s">
        <v>53</v>
      </c>
    </row>
    <row r="934" spans="1:13">
      <c r="A934" t="s">
        <v>991</v>
      </c>
      <c r="B934" s="10">
        <v>3.33</v>
      </c>
      <c r="C934" s="10">
        <v>1.66</v>
      </c>
      <c r="D934" s="10">
        <v>7</v>
      </c>
      <c r="E934" s="10">
        <v>14</v>
      </c>
      <c r="F934" s="10">
        <v>4</v>
      </c>
      <c r="G934" s="10">
        <v>0</v>
      </c>
      <c r="H934" s="10">
        <v>0</v>
      </c>
      <c r="I934" s="10">
        <v>2</v>
      </c>
      <c r="J934">
        <v>2016</v>
      </c>
      <c r="K934">
        <v>7</v>
      </c>
      <c r="L934">
        <v>276</v>
      </c>
      <c r="M934" t="s">
        <v>55</v>
      </c>
    </row>
    <row r="935" spans="1:13">
      <c r="A935" t="s">
        <v>992</v>
      </c>
      <c r="B935" s="10">
        <v>4.66</v>
      </c>
      <c r="C935" s="10">
        <v>5.49</v>
      </c>
      <c r="D935" s="10">
        <v>2.1</v>
      </c>
      <c r="E935" s="10">
        <v>15</v>
      </c>
      <c r="F935" s="10">
        <v>6</v>
      </c>
      <c r="G935" s="10">
        <v>0</v>
      </c>
      <c r="H935" s="10">
        <v>0</v>
      </c>
      <c r="I935" s="10">
        <v>5</v>
      </c>
      <c r="J935">
        <v>2016</v>
      </c>
      <c r="K935">
        <v>7</v>
      </c>
      <c r="L935">
        <v>276</v>
      </c>
      <c r="M935" t="s">
        <v>57</v>
      </c>
    </row>
    <row r="936" spans="1:13">
      <c r="A936" t="s">
        <v>993</v>
      </c>
      <c r="B936" s="10">
        <v>2.33</v>
      </c>
      <c r="C936" s="10">
        <v>4.99</v>
      </c>
      <c r="D936" s="10">
        <v>4</v>
      </c>
      <c r="E936" s="10">
        <v>32</v>
      </c>
      <c r="F936" s="10">
        <v>4</v>
      </c>
      <c r="G936" s="10">
        <v>0</v>
      </c>
      <c r="H936" s="10">
        <v>0</v>
      </c>
      <c r="I936" s="10">
        <v>2</v>
      </c>
      <c r="J936">
        <v>2016</v>
      </c>
      <c r="K936">
        <v>7</v>
      </c>
      <c r="L936">
        <v>276</v>
      </c>
      <c r="M936" t="s">
        <v>59</v>
      </c>
    </row>
    <row r="937" spans="1:13">
      <c r="A937" t="s">
        <v>994</v>
      </c>
      <c r="B937" s="10">
        <v>13</v>
      </c>
      <c r="C937" s="10">
        <v>3.33</v>
      </c>
      <c r="D937" s="10">
        <v>7</v>
      </c>
      <c r="E937" s="10">
        <v>22</v>
      </c>
      <c r="F937" s="10">
        <v>9</v>
      </c>
      <c r="G937" s="10">
        <v>0</v>
      </c>
      <c r="H937" s="10">
        <v>4</v>
      </c>
      <c r="I937" s="10">
        <v>4</v>
      </c>
      <c r="J937">
        <v>2016</v>
      </c>
      <c r="K937">
        <v>7</v>
      </c>
      <c r="L937">
        <v>276</v>
      </c>
      <c r="M937" t="s">
        <v>61</v>
      </c>
    </row>
    <row r="938" spans="1:13">
      <c r="A938" t="s">
        <v>995</v>
      </c>
      <c r="B938" s="10">
        <v>8.32</v>
      </c>
      <c r="C938" s="10">
        <v>2.66</v>
      </c>
      <c r="D938" s="10">
        <v>1</v>
      </c>
      <c r="E938" s="10">
        <v>10</v>
      </c>
      <c r="F938" s="10">
        <v>16</v>
      </c>
      <c r="G938" s="10">
        <v>0</v>
      </c>
      <c r="H938" s="10">
        <v>0</v>
      </c>
      <c r="I938" s="10">
        <v>2</v>
      </c>
      <c r="J938">
        <v>2016</v>
      </c>
      <c r="K938">
        <v>7</v>
      </c>
      <c r="L938">
        <v>276</v>
      </c>
      <c r="M938" t="s">
        <v>63</v>
      </c>
    </row>
    <row r="939" spans="1:13">
      <c r="A939" t="s">
        <v>996</v>
      </c>
      <c r="B939" s="10">
        <v>3</v>
      </c>
      <c r="C939" s="10">
        <v>6.33</v>
      </c>
      <c r="D939" s="10">
        <v>4.15</v>
      </c>
      <c r="E939" s="10">
        <v>10</v>
      </c>
      <c r="F939" s="10">
        <v>4</v>
      </c>
      <c r="G939" s="10">
        <v>1</v>
      </c>
      <c r="H939" s="10">
        <v>9</v>
      </c>
      <c r="I939" s="10">
        <v>2</v>
      </c>
      <c r="J939">
        <v>2016</v>
      </c>
      <c r="K939">
        <v>7</v>
      </c>
      <c r="L939">
        <v>276</v>
      </c>
      <c r="M939" t="s">
        <v>65</v>
      </c>
    </row>
    <row r="940" spans="1:13">
      <c r="A940" t="s">
        <v>997</v>
      </c>
      <c r="B940" s="10">
        <v>9.67</v>
      </c>
      <c r="C940" s="10">
        <v>3.99</v>
      </c>
      <c r="D940" s="10">
        <v>4</v>
      </c>
      <c r="E940" s="10">
        <v>22.5</v>
      </c>
      <c r="F940" s="10">
        <v>12</v>
      </c>
      <c r="G940" s="10">
        <v>1</v>
      </c>
      <c r="H940" s="10">
        <v>5</v>
      </c>
      <c r="I940" s="10">
        <v>3</v>
      </c>
      <c r="J940">
        <v>2016</v>
      </c>
      <c r="K940">
        <v>7</v>
      </c>
      <c r="L940">
        <v>276</v>
      </c>
      <c r="M940" t="s">
        <v>53</v>
      </c>
    </row>
    <row r="941" spans="1:13">
      <c r="A941" t="s">
        <v>998</v>
      </c>
      <c r="B941" s="10">
        <v>9.99</v>
      </c>
      <c r="C941" s="10">
        <v>4.51</v>
      </c>
      <c r="D941" s="10">
        <v>6</v>
      </c>
      <c r="E941" s="10">
        <v>11</v>
      </c>
      <c r="F941" s="10">
        <v>17</v>
      </c>
      <c r="G941" s="10">
        <v>1</v>
      </c>
      <c r="H941" s="10">
        <v>11</v>
      </c>
      <c r="I941" s="10">
        <v>2</v>
      </c>
      <c r="J941">
        <v>2016</v>
      </c>
      <c r="K941">
        <v>7</v>
      </c>
      <c r="L941">
        <v>276</v>
      </c>
      <c r="M941" t="s">
        <v>55</v>
      </c>
    </row>
    <row r="942" spans="1:13">
      <c r="A942" t="s">
        <v>999</v>
      </c>
      <c r="B942" s="10">
        <v>6.33</v>
      </c>
      <c r="C942" s="10">
        <v>3.99</v>
      </c>
      <c r="D942" s="10">
        <v>4</v>
      </c>
      <c r="E942" s="10">
        <v>37</v>
      </c>
      <c r="F942" s="10">
        <v>7</v>
      </c>
      <c r="G942" s="10">
        <v>0</v>
      </c>
      <c r="H942" s="10">
        <v>1</v>
      </c>
      <c r="I942" s="10">
        <v>6</v>
      </c>
      <c r="J942">
        <v>2016</v>
      </c>
      <c r="K942">
        <v>7</v>
      </c>
      <c r="L942">
        <v>276</v>
      </c>
      <c r="M942" t="s">
        <v>57</v>
      </c>
    </row>
    <row r="943" spans="1:13">
      <c r="A943" t="s">
        <v>1000</v>
      </c>
      <c r="B943" s="10">
        <v>6</v>
      </c>
      <c r="C943" s="10">
        <v>5.01</v>
      </c>
      <c r="D943" s="10">
        <v>4.5</v>
      </c>
      <c r="E943" s="10">
        <v>22</v>
      </c>
      <c r="F943" s="10">
        <v>5</v>
      </c>
      <c r="G943" s="10">
        <v>0</v>
      </c>
      <c r="H943" s="10">
        <v>0</v>
      </c>
      <c r="I943" s="10">
        <v>4</v>
      </c>
      <c r="J943">
        <v>2016</v>
      </c>
      <c r="K943">
        <v>7</v>
      </c>
      <c r="L943">
        <v>276</v>
      </c>
      <c r="M943" t="s">
        <v>59</v>
      </c>
    </row>
    <row r="944" spans="1:13">
      <c r="A944" t="s">
        <v>1001</v>
      </c>
      <c r="B944" s="10">
        <v>8.33</v>
      </c>
      <c r="C944" s="10">
        <v>1.396</v>
      </c>
      <c r="D944" s="10">
        <v>5</v>
      </c>
      <c r="E944" s="10">
        <v>14</v>
      </c>
      <c r="F944" s="10">
        <v>7.5</v>
      </c>
      <c r="G944" s="10">
        <v>1</v>
      </c>
      <c r="H944" s="10">
        <v>1</v>
      </c>
      <c r="I944" s="10">
        <v>6</v>
      </c>
      <c r="J944">
        <v>2016</v>
      </c>
      <c r="K944">
        <v>8</v>
      </c>
      <c r="L944">
        <v>276</v>
      </c>
      <c r="M944" t="s">
        <v>61</v>
      </c>
    </row>
    <row r="945" spans="1:13">
      <c r="A945" t="s">
        <v>1002</v>
      </c>
      <c r="B945" s="10">
        <v>8.33</v>
      </c>
      <c r="C945" s="10">
        <v>7</v>
      </c>
      <c r="D945" s="10">
        <v>5</v>
      </c>
      <c r="E945" s="10">
        <v>12</v>
      </c>
      <c r="F945" s="10">
        <v>12</v>
      </c>
      <c r="G945" s="10">
        <v>0</v>
      </c>
      <c r="H945" s="10">
        <v>1</v>
      </c>
      <c r="I945" s="10">
        <v>1</v>
      </c>
      <c r="J945">
        <v>2016</v>
      </c>
      <c r="K945">
        <v>8</v>
      </c>
      <c r="L945">
        <v>276</v>
      </c>
      <c r="M945" t="s">
        <v>63</v>
      </c>
    </row>
    <row r="946" spans="1:13">
      <c r="A946" t="s">
        <v>1003</v>
      </c>
      <c r="B946" s="10">
        <v>8</v>
      </c>
      <c r="C946" s="10">
        <v>2.98</v>
      </c>
      <c r="D946" s="10">
        <v>3.5</v>
      </c>
      <c r="E946" s="10">
        <v>21</v>
      </c>
      <c r="F946" s="10">
        <v>11</v>
      </c>
      <c r="G946" s="10">
        <v>0</v>
      </c>
      <c r="H946" s="10">
        <v>13</v>
      </c>
      <c r="I946" s="10">
        <v>3</v>
      </c>
      <c r="J946">
        <v>2016</v>
      </c>
      <c r="K946">
        <v>8</v>
      </c>
      <c r="L946">
        <v>276</v>
      </c>
      <c r="M946" t="s">
        <v>65</v>
      </c>
    </row>
    <row r="947" spans="1:13">
      <c r="A947" t="s">
        <v>1004</v>
      </c>
      <c r="B947" s="10">
        <v>8</v>
      </c>
      <c r="C947" s="10">
        <v>2.693</v>
      </c>
      <c r="D947" s="10">
        <v>2</v>
      </c>
      <c r="E947" s="10">
        <v>34.4</v>
      </c>
      <c r="F947" s="10">
        <v>12</v>
      </c>
      <c r="G947" s="10">
        <v>0</v>
      </c>
      <c r="H947" s="10">
        <v>17</v>
      </c>
      <c r="I947" s="10">
        <v>4</v>
      </c>
      <c r="J947">
        <v>2016</v>
      </c>
      <c r="K947">
        <v>8</v>
      </c>
      <c r="L947">
        <v>276</v>
      </c>
      <c r="M947" t="s">
        <v>53</v>
      </c>
    </row>
    <row r="948" spans="1:13">
      <c r="A948" t="s">
        <v>1005</v>
      </c>
      <c r="B948" s="10">
        <v>10.33</v>
      </c>
      <c r="C948" s="10">
        <v>3.42</v>
      </c>
      <c r="D948" s="10">
        <v>3.7</v>
      </c>
      <c r="E948" s="10">
        <v>21</v>
      </c>
      <c r="F948" s="10">
        <v>24</v>
      </c>
      <c r="G948" s="10">
        <v>0</v>
      </c>
      <c r="H948" s="10">
        <v>24</v>
      </c>
      <c r="I948" s="10">
        <v>1.3</v>
      </c>
      <c r="J948">
        <v>2016</v>
      </c>
      <c r="K948">
        <v>8</v>
      </c>
      <c r="L948">
        <v>276</v>
      </c>
      <c r="M948" t="s">
        <v>55</v>
      </c>
    </row>
    <row r="949" spans="1:13">
      <c r="A949" t="s">
        <v>1006</v>
      </c>
      <c r="B949" s="10">
        <v>3</v>
      </c>
      <c r="C949" s="10">
        <v>3.662</v>
      </c>
      <c r="D949" s="10">
        <v>5</v>
      </c>
      <c r="E949" s="10">
        <v>20</v>
      </c>
      <c r="F949" s="10">
        <v>33</v>
      </c>
      <c r="G949" s="10">
        <v>0</v>
      </c>
      <c r="H949" s="10">
        <v>1</v>
      </c>
      <c r="I949" s="10">
        <v>2</v>
      </c>
      <c r="J949">
        <v>2016</v>
      </c>
      <c r="K949">
        <v>8</v>
      </c>
      <c r="L949">
        <v>276</v>
      </c>
      <c r="M949" t="s">
        <v>57</v>
      </c>
    </row>
    <row r="950" spans="1:13">
      <c r="A950" t="s">
        <v>1007</v>
      </c>
      <c r="B950" s="10">
        <v>8</v>
      </c>
      <c r="C950" s="10">
        <v>4.155</v>
      </c>
      <c r="D950" s="10">
        <v>8.199999999999999</v>
      </c>
      <c r="E950" s="10">
        <v>40.2</v>
      </c>
      <c r="F950" s="10">
        <v>12</v>
      </c>
      <c r="G950" s="10">
        <v>0</v>
      </c>
      <c r="H950" s="10">
        <v>5</v>
      </c>
      <c r="I950" s="10">
        <v>3</v>
      </c>
      <c r="J950">
        <v>2016</v>
      </c>
      <c r="K950">
        <v>8</v>
      </c>
      <c r="L950">
        <v>276</v>
      </c>
      <c r="M950" t="s">
        <v>59</v>
      </c>
    </row>
    <row r="951" spans="1:13">
      <c r="A951" t="s">
        <v>1008</v>
      </c>
      <c r="B951" s="10">
        <v>8.34</v>
      </c>
      <c r="C951" s="10">
        <v>5.99</v>
      </c>
      <c r="D951" s="10">
        <v>5.5</v>
      </c>
      <c r="E951" s="10">
        <v>15</v>
      </c>
      <c r="F951" s="10">
        <v>36</v>
      </c>
      <c r="G951" s="10">
        <v>0</v>
      </c>
      <c r="H951" s="10">
        <v>1</v>
      </c>
      <c r="I951" s="10">
        <v>4</v>
      </c>
      <c r="J951">
        <v>2016</v>
      </c>
      <c r="K951">
        <v>8</v>
      </c>
      <c r="L951">
        <v>276</v>
      </c>
      <c r="M951" t="s">
        <v>61</v>
      </c>
    </row>
    <row r="952" spans="1:13">
      <c r="A952" t="s">
        <v>1009</v>
      </c>
      <c r="B952" s="10">
        <v>6.33</v>
      </c>
      <c r="C952" s="10">
        <v>4.66</v>
      </c>
      <c r="D952" s="10">
        <v>7</v>
      </c>
      <c r="E952" s="10">
        <v>29</v>
      </c>
      <c r="F952" s="10">
        <v>26</v>
      </c>
      <c r="G952" s="10">
        <v>1</v>
      </c>
      <c r="H952" s="10">
        <v>2</v>
      </c>
      <c r="I952" s="10">
        <v>4</v>
      </c>
      <c r="J952">
        <v>2016</v>
      </c>
      <c r="K952">
        <v>8</v>
      </c>
      <c r="L952">
        <v>276</v>
      </c>
      <c r="M952" t="s">
        <v>63</v>
      </c>
    </row>
    <row r="953" spans="1:13">
      <c r="A953" t="s">
        <v>1010</v>
      </c>
      <c r="B953" s="10">
        <v>11.34</v>
      </c>
      <c r="C953" s="10">
        <v>2.99</v>
      </c>
      <c r="D953" s="10">
        <v>7</v>
      </c>
      <c r="E953" s="10">
        <v>24.1</v>
      </c>
      <c r="F953" s="10">
        <v>11</v>
      </c>
      <c r="G953" s="10">
        <v>0</v>
      </c>
      <c r="H953" s="10">
        <v>3</v>
      </c>
      <c r="I953" s="10">
        <v>2</v>
      </c>
      <c r="J953">
        <v>2016</v>
      </c>
      <c r="K953">
        <v>8</v>
      </c>
      <c r="L953">
        <v>276</v>
      </c>
      <c r="M953" t="s">
        <v>65</v>
      </c>
    </row>
    <row r="954" spans="1:13">
      <c r="A954" t="s">
        <v>1011</v>
      </c>
      <c r="B954" s="10">
        <v>5.67</v>
      </c>
      <c r="C954" s="10">
        <v>3.66</v>
      </c>
      <c r="D954" s="10">
        <v>0</v>
      </c>
      <c r="E954" s="10">
        <v>25</v>
      </c>
      <c r="F954" s="10">
        <v>1</v>
      </c>
      <c r="G954" s="10">
        <v>0</v>
      </c>
      <c r="H954" s="10">
        <v>0</v>
      </c>
      <c r="I954" s="10">
        <v>2</v>
      </c>
      <c r="J954">
        <v>2016</v>
      </c>
      <c r="K954">
        <v>8</v>
      </c>
      <c r="L954">
        <v>276</v>
      </c>
      <c r="M954" t="s">
        <v>53</v>
      </c>
    </row>
    <row r="955" spans="1:13">
      <c r="A955" t="s">
        <v>1012</v>
      </c>
      <c r="B955" s="10">
        <v>8.66</v>
      </c>
      <c r="C955" s="10">
        <v>5.66</v>
      </c>
      <c r="D955" s="10">
        <v>6.1</v>
      </c>
      <c r="E955" s="10">
        <v>27.6</v>
      </c>
      <c r="F955" s="10">
        <v>6</v>
      </c>
      <c r="G955" s="10">
        <v>4</v>
      </c>
      <c r="H955" s="10">
        <v>0</v>
      </c>
      <c r="I955" s="10">
        <v>2</v>
      </c>
      <c r="J955">
        <v>2016</v>
      </c>
      <c r="K955">
        <v>8</v>
      </c>
      <c r="L955">
        <v>276</v>
      </c>
      <c r="M955" t="s">
        <v>55</v>
      </c>
    </row>
    <row r="956" spans="1:13">
      <c r="A956" t="s">
        <v>1013</v>
      </c>
      <c r="B956" s="10">
        <v>8</v>
      </c>
      <c r="C956" s="10">
        <v>6.737</v>
      </c>
      <c r="D956" s="10">
        <v>5</v>
      </c>
      <c r="E956" s="10">
        <v>32</v>
      </c>
      <c r="F956" s="10">
        <v>2</v>
      </c>
      <c r="G956" s="10">
        <v>0</v>
      </c>
      <c r="H956" s="10">
        <v>0</v>
      </c>
      <c r="I956" s="10">
        <v>5</v>
      </c>
      <c r="J956">
        <v>2016</v>
      </c>
      <c r="K956">
        <v>8</v>
      </c>
      <c r="L956">
        <v>276</v>
      </c>
      <c r="M956" t="s">
        <v>57</v>
      </c>
    </row>
    <row r="957" spans="1:13">
      <c r="A957" t="s">
        <v>1014</v>
      </c>
      <c r="B957" s="10">
        <v>5</v>
      </c>
      <c r="C957" s="10">
        <v>4.857</v>
      </c>
      <c r="D957" s="10">
        <v>4.5</v>
      </c>
      <c r="E957" s="10">
        <v>18.21666667</v>
      </c>
      <c r="F957" s="10">
        <v>2</v>
      </c>
      <c r="G957" s="10">
        <v>0</v>
      </c>
      <c r="H957" s="10">
        <v>7</v>
      </c>
      <c r="I957" s="10">
        <v>0</v>
      </c>
      <c r="J957">
        <v>2016</v>
      </c>
      <c r="K957">
        <v>8</v>
      </c>
      <c r="L957">
        <v>276</v>
      </c>
      <c r="M957" t="s">
        <v>59</v>
      </c>
    </row>
    <row r="958" spans="1:13">
      <c r="A958" t="s">
        <v>1015</v>
      </c>
      <c r="B958" s="10">
        <v>5</v>
      </c>
      <c r="C958" s="10">
        <v>2.33</v>
      </c>
      <c r="D958" s="10">
        <v>2</v>
      </c>
      <c r="E958" s="10">
        <v>21</v>
      </c>
      <c r="F958" s="10">
        <v>11</v>
      </c>
      <c r="G958" s="10">
        <v>0</v>
      </c>
      <c r="H958" s="10">
        <v>0</v>
      </c>
      <c r="I958" s="10">
        <v>2</v>
      </c>
      <c r="J958">
        <v>2016</v>
      </c>
      <c r="K958">
        <v>8</v>
      </c>
      <c r="L958">
        <v>276</v>
      </c>
      <c r="M958" t="s">
        <v>61</v>
      </c>
    </row>
    <row r="959" spans="1:13">
      <c r="A959" t="s">
        <v>1016</v>
      </c>
      <c r="B959" s="10">
        <v>10</v>
      </c>
      <c r="C959" s="10">
        <v>4.66</v>
      </c>
      <c r="D959" s="10">
        <v>3</v>
      </c>
      <c r="E959" s="10">
        <v>14.45</v>
      </c>
      <c r="F959" s="10">
        <v>4</v>
      </c>
      <c r="G959" s="10">
        <v>0</v>
      </c>
      <c r="H959" s="10">
        <v>11</v>
      </c>
      <c r="I959" s="10">
        <v>3.5</v>
      </c>
      <c r="J959">
        <v>2016</v>
      </c>
      <c r="K959">
        <v>8</v>
      </c>
      <c r="L959">
        <v>276</v>
      </c>
      <c r="M959" t="s">
        <v>63</v>
      </c>
    </row>
    <row r="960" spans="1:13">
      <c r="A960" t="s">
        <v>1017</v>
      </c>
      <c r="B960" s="10">
        <v>8.66</v>
      </c>
      <c r="C960" s="10">
        <v>2.01</v>
      </c>
      <c r="D960" s="10">
        <v>4</v>
      </c>
      <c r="E960" s="10">
        <v>9.5</v>
      </c>
      <c r="F960" s="10">
        <v>7</v>
      </c>
      <c r="G960" s="10">
        <v>0</v>
      </c>
      <c r="H960" s="10">
        <v>5</v>
      </c>
      <c r="I960" s="10">
        <v>5</v>
      </c>
      <c r="J960">
        <v>2016</v>
      </c>
      <c r="K960">
        <v>8</v>
      </c>
      <c r="L960">
        <v>276</v>
      </c>
      <c r="M960" t="s">
        <v>65</v>
      </c>
    </row>
    <row r="961" spans="1:13">
      <c r="A961" t="s">
        <v>1018</v>
      </c>
      <c r="B961" s="10">
        <v>6.99</v>
      </c>
      <c r="C961" s="10">
        <v>3.363</v>
      </c>
      <c r="D961" s="10">
        <v>4</v>
      </c>
      <c r="E961" s="10">
        <v>25.6</v>
      </c>
      <c r="F961" s="10">
        <v>7</v>
      </c>
      <c r="G961" s="10">
        <v>0</v>
      </c>
      <c r="H961" s="10">
        <v>0</v>
      </c>
      <c r="I961" s="10">
        <v>1</v>
      </c>
      <c r="J961">
        <v>2016</v>
      </c>
      <c r="K961">
        <v>8</v>
      </c>
      <c r="L961">
        <v>276</v>
      </c>
      <c r="M961" t="s">
        <v>53</v>
      </c>
    </row>
    <row r="962" spans="1:13">
      <c r="A962" t="s">
        <v>1019</v>
      </c>
      <c r="B962" s="10">
        <v>1</v>
      </c>
      <c r="C962" s="10">
        <v>4.33</v>
      </c>
      <c r="D962" s="10">
        <v>0.6</v>
      </c>
      <c r="E962" s="10">
        <v>27</v>
      </c>
      <c r="F962" s="10">
        <v>12</v>
      </c>
      <c r="G962" s="10">
        <v>0</v>
      </c>
      <c r="H962" s="10">
        <v>0</v>
      </c>
      <c r="I962" s="10">
        <v>4</v>
      </c>
      <c r="J962">
        <v>2016</v>
      </c>
      <c r="K962">
        <v>8</v>
      </c>
      <c r="L962">
        <v>276</v>
      </c>
      <c r="M962" t="s">
        <v>55</v>
      </c>
    </row>
    <row r="963" spans="1:13">
      <c r="A963" t="s">
        <v>1020</v>
      </c>
      <c r="B963" s="10">
        <v>4.33</v>
      </c>
      <c r="C963" s="10">
        <v>2.99</v>
      </c>
      <c r="D963" s="10">
        <v>6</v>
      </c>
      <c r="E963" s="10">
        <v>26.2</v>
      </c>
      <c r="F963" s="10">
        <v>1</v>
      </c>
      <c r="G963" s="10">
        <v>0</v>
      </c>
      <c r="H963" s="10">
        <v>0</v>
      </c>
      <c r="I963" s="10">
        <v>6</v>
      </c>
      <c r="J963">
        <v>2016</v>
      </c>
      <c r="K963">
        <v>8</v>
      </c>
      <c r="L963">
        <v>276</v>
      </c>
      <c r="M963" t="s">
        <v>57</v>
      </c>
    </row>
    <row r="964" spans="1:13">
      <c r="A964" t="s">
        <v>1021</v>
      </c>
      <c r="B964" s="10">
        <v>8</v>
      </c>
      <c r="C964" s="10">
        <v>3.627</v>
      </c>
      <c r="D964" s="10">
        <v>7.4</v>
      </c>
      <c r="E964" s="10">
        <v>39</v>
      </c>
      <c r="F964" s="10">
        <v>3</v>
      </c>
      <c r="G964" s="10">
        <v>4</v>
      </c>
      <c r="H964" s="10">
        <v>1</v>
      </c>
      <c r="I964" s="10">
        <v>1</v>
      </c>
      <c r="J964">
        <v>2016</v>
      </c>
      <c r="K964">
        <v>8</v>
      </c>
      <c r="L964">
        <v>276</v>
      </c>
      <c r="M964" t="s">
        <v>59</v>
      </c>
    </row>
    <row r="965" spans="1:13">
      <c r="A965" t="s">
        <v>1022</v>
      </c>
      <c r="B965" s="10">
        <v>3.34</v>
      </c>
      <c r="C965" s="10">
        <v>3.386</v>
      </c>
      <c r="D965" s="10">
        <v>0</v>
      </c>
      <c r="E965" s="10">
        <v>23.2</v>
      </c>
      <c r="F965" s="10">
        <v>3</v>
      </c>
      <c r="G965" s="10">
        <v>0</v>
      </c>
      <c r="H965" s="10">
        <v>0</v>
      </c>
      <c r="I965" s="10">
        <v>6</v>
      </c>
      <c r="J965">
        <v>2016</v>
      </c>
      <c r="K965">
        <v>8</v>
      </c>
      <c r="L965">
        <v>276</v>
      </c>
      <c r="M965" t="s">
        <v>61</v>
      </c>
    </row>
    <row r="966" spans="1:13">
      <c r="A966" t="s">
        <v>1023</v>
      </c>
      <c r="B966" s="10">
        <v>3</v>
      </c>
      <c r="C966" s="10">
        <v>3.066</v>
      </c>
      <c r="D966" s="10">
        <v>4</v>
      </c>
      <c r="E966" s="10">
        <v>14.7</v>
      </c>
      <c r="F966" s="10">
        <v>7</v>
      </c>
      <c r="G966" s="10">
        <v>1</v>
      </c>
      <c r="H966" s="10">
        <v>0</v>
      </c>
      <c r="I966" s="10">
        <v>1.2</v>
      </c>
      <c r="J966">
        <v>2016</v>
      </c>
      <c r="K966">
        <v>8</v>
      </c>
      <c r="L966">
        <v>276</v>
      </c>
      <c r="M966" t="s">
        <v>63</v>
      </c>
    </row>
    <row r="967" spans="1:13">
      <c r="A967" t="s">
        <v>1024</v>
      </c>
      <c r="B967" s="10">
        <v>9.33</v>
      </c>
      <c r="C967" s="10">
        <v>3.487</v>
      </c>
      <c r="D967" s="10">
        <v>8</v>
      </c>
      <c r="E967" s="10">
        <v>11.3</v>
      </c>
      <c r="F967" s="10">
        <v>2</v>
      </c>
      <c r="G967" s="10">
        <v>0</v>
      </c>
      <c r="H967" s="10">
        <v>0</v>
      </c>
      <c r="I967" s="10">
        <v>3</v>
      </c>
      <c r="J967">
        <v>2016</v>
      </c>
      <c r="K967">
        <v>8</v>
      </c>
      <c r="L967">
        <v>276</v>
      </c>
      <c r="M967" t="s">
        <v>65</v>
      </c>
    </row>
    <row r="968" spans="1:13">
      <c r="A968" t="s">
        <v>1025</v>
      </c>
      <c r="B968" s="10">
        <v>4.33</v>
      </c>
      <c r="C968" s="10">
        <v>2.67</v>
      </c>
      <c r="D968" s="10">
        <v>8</v>
      </c>
      <c r="E968" s="10">
        <v>19.4</v>
      </c>
      <c r="F968" s="10">
        <v>4</v>
      </c>
      <c r="G968" s="10">
        <v>1</v>
      </c>
      <c r="H968" s="10">
        <v>4</v>
      </c>
      <c r="I968" s="10">
        <v>5</v>
      </c>
      <c r="J968">
        <v>2016</v>
      </c>
      <c r="K968">
        <v>8</v>
      </c>
      <c r="L968">
        <v>276</v>
      </c>
      <c r="M968" t="s">
        <v>53</v>
      </c>
    </row>
    <row r="969" spans="1:13">
      <c r="A969" t="s">
        <v>1026</v>
      </c>
      <c r="B969" s="10">
        <v>4</v>
      </c>
      <c r="C969" s="10">
        <v>2.023</v>
      </c>
      <c r="D969" s="10">
        <v>2</v>
      </c>
      <c r="E969" s="10">
        <v>20.7</v>
      </c>
      <c r="F969" s="10">
        <v>3</v>
      </c>
      <c r="G969" s="10">
        <v>0</v>
      </c>
      <c r="H969" s="10">
        <v>0</v>
      </c>
      <c r="I969" s="10">
        <v>0</v>
      </c>
      <c r="J969">
        <v>2016</v>
      </c>
      <c r="K969">
        <v>8</v>
      </c>
      <c r="L969">
        <v>276</v>
      </c>
      <c r="M969" t="s">
        <v>55</v>
      </c>
    </row>
    <row r="970" spans="1:13">
      <c r="A970" t="s">
        <v>1027</v>
      </c>
      <c r="B970" s="10">
        <v>8.83</v>
      </c>
      <c r="C970" s="10">
        <v>1.736</v>
      </c>
      <c r="D970" s="10">
        <v>1</v>
      </c>
      <c r="E970" s="10">
        <v>17.51666667</v>
      </c>
      <c r="F970" s="10">
        <v>2</v>
      </c>
      <c r="G970" s="10">
        <v>0</v>
      </c>
      <c r="H970" s="10">
        <v>11</v>
      </c>
      <c r="I970" s="10">
        <v>0</v>
      </c>
      <c r="J970">
        <v>2016</v>
      </c>
      <c r="K970">
        <v>8</v>
      </c>
      <c r="L970">
        <v>276</v>
      </c>
      <c r="M970" t="s">
        <v>57</v>
      </c>
    </row>
    <row r="971" spans="1:13">
      <c r="A971" t="s">
        <v>1028</v>
      </c>
      <c r="B971" s="10">
        <v>7.33</v>
      </c>
      <c r="C971" s="10">
        <v>7.02</v>
      </c>
      <c r="D971" s="10">
        <v>6.2</v>
      </c>
      <c r="E971" s="10">
        <v>37</v>
      </c>
      <c r="F971" s="10">
        <v>3</v>
      </c>
      <c r="G971" s="10">
        <v>0</v>
      </c>
      <c r="H971" s="10">
        <v>6</v>
      </c>
      <c r="I971" s="10">
        <v>2</v>
      </c>
      <c r="J971">
        <v>2016</v>
      </c>
      <c r="K971">
        <v>8</v>
      </c>
      <c r="L971">
        <v>276</v>
      </c>
      <c r="M971" t="s">
        <v>59</v>
      </c>
    </row>
    <row r="972" spans="1:13">
      <c r="A972" t="s">
        <v>1029</v>
      </c>
      <c r="B972" s="10">
        <v>9</v>
      </c>
      <c r="C972" s="10">
        <v>0.67</v>
      </c>
      <c r="D972" s="10">
        <v>2</v>
      </c>
      <c r="E972" s="10">
        <v>14.2</v>
      </c>
      <c r="F972" s="10">
        <v>4</v>
      </c>
      <c r="G972" s="10">
        <v>0</v>
      </c>
      <c r="H972" s="10">
        <v>1</v>
      </c>
      <c r="I972" s="10">
        <v>1.3</v>
      </c>
      <c r="J972">
        <v>2016</v>
      </c>
      <c r="K972">
        <v>8</v>
      </c>
      <c r="L972">
        <v>276</v>
      </c>
      <c r="M972" t="s">
        <v>61</v>
      </c>
    </row>
    <row r="973" spans="1:13">
      <c r="A973" t="s">
        <v>1030</v>
      </c>
      <c r="B973" s="10">
        <v>4.66</v>
      </c>
      <c r="C973" s="10">
        <v>1.32</v>
      </c>
      <c r="D973" s="10">
        <v>2</v>
      </c>
      <c r="E973" s="10">
        <v>8.9</v>
      </c>
      <c r="F973" s="10">
        <v>4</v>
      </c>
      <c r="G973" s="10">
        <v>0</v>
      </c>
      <c r="H973" s="10">
        <v>1</v>
      </c>
      <c r="I973" s="10">
        <v>0</v>
      </c>
      <c r="J973">
        <v>2016</v>
      </c>
      <c r="K973">
        <v>8</v>
      </c>
      <c r="L973">
        <v>276</v>
      </c>
      <c r="M973" t="s">
        <v>63</v>
      </c>
    </row>
    <row r="974" spans="1:13">
      <c r="A974" t="s">
        <v>1031</v>
      </c>
      <c r="B974" s="10">
        <v>6</v>
      </c>
      <c r="C974" s="10">
        <v>5.827</v>
      </c>
      <c r="D974" s="10">
        <v>5</v>
      </c>
      <c r="E974" s="10">
        <v>23.2</v>
      </c>
      <c r="F974" s="10">
        <v>3</v>
      </c>
      <c r="G974" s="10">
        <v>0</v>
      </c>
      <c r="H974" s="10">
        <v>1</v>
      </c>
      <c r="I974" s="10">
        <v>5</v>
      </c>
      <c r="J974">
        <v>2016</v>
      </c>
      <c r="K974">
        <v>8</v>
      </c>
      <c r="L974">
        <v>276</v>
      </c>
      <c r="M974" t="s">
        <v>65</v>
      </c>
    </row>
    <row r="975" spans="1:13">
      <c r="A975" t="s">
        <v>1032</v>
      </c>
      <c r="B975" s="10">
        <v>5</v>
      </c>
      <c r="C975" s="10">
        <v>3.66</v>
      </c>
      <c r="D975" s="10">
        <v>5</v>
      </c>
      <c r="E975" s="10">
        <v>31.4</v>
      </c>
      <c r="F975" s="10">
        <v>2</v>
      </c>
      <c r="G975" s="10">
        <v>0</v>
      </c>
      <c r="H975" s="10">
        <v>0</v>
      </c>
      <c r="I975" s="10">
        <v>3</v>
      </c>
      <c r="J975">
        <v>2016</v>
      </c>
      <c r="K975">
        <v>9</v>
      </c>
      <c r="L975">
        <v>276</v>
      </c>
      <c r="M975" t="s">
        <v>53</v>
      </c>
    </row>
    <row r="976" spans="1:13">
      <c r="A976" t="s">
        <v>1033</v>
      </c>
      <c r="B976" s="10">
        <v>9.34</v>
      </c>
      <c r="C976" s="10">
        <v>4.02</v>
      </c>
      <c r="D976" s="10">
        <v>5</v>
      </c>
      <c r="E976" s="10">
        <v>10</v>
      </c>
      <c r="F976" s="10">
        <v>25</v>
      </c>
      <c r="G976" s="10">
        <v>0</v>
      </c>
      <c r="H976" s="10">
        <v>5</v>
      </c>
      <c r="I976" s="10">
        <v>2</v>
      </c>
      <c r="J976">
        <v>2016</v>
      </c>
      <c r="K976">
        <v>9</v>
      </c>
      <c r="L976">
        <v>276</v>
      </c>
      <c r="M976" t="s">
        <v>55</v>
      </c>
    </row>
    <row r="977" spans="1:13">
      <c r="A977" t="s">
        <v>1034</v>
      </c>
      <c r="B977" s="10">
        <v>5.33</v>
      </c>
      <c r="C977" s="10">
        <v>4.025</v>
      </c>
      <c r="D977" s="10">
        <v>6.5</v>
      </c>
      <c r="E977" s="10">
        <v>54.2</v>
      </c>
      <c r="F977" s="10">
        <v>5</v>
      </c>
      <c r="G977" s="10">
        <v>0</v>
      </c>
      <c r="H977" s="10">
        <v>4</v>
      </c>
      <c r="I977" s="10">
        <v>4</v>
      </c>
      <c r="J977">
        <v>2016</v>
      </c>
      <c r="K977">
        <v>9</v>
      </c>
      <c r="L977">
        <v>276</v>
      </c>
      <c r="M977" t="s">
        <v>57</v>
      </c>
    </row>
    <row r="978" spans="1:13">
      <c r="A978" t="s">
        <v>1035</v>
      </c>
      <c r="B978" s="10">
        <v>8.33</v>
      </c>
      <c r="C978" s="10">
        <v>4.396</v>
      </c>
      <c r="D978" s="10">
        <v>0</v>
      </c>
      <c r="E978" s="10">
        <v>30.9</v>
      </c>
      <c r="F978" s="10">
        <v>10</v>
      </c>
      <c r="G978" s="10">
        <v>0</v>
      </c>
      <c r="H978" s="10">
        <v>4</v>
      </c>
      <c r="I978" s="10">
        <v>5</v>
      </c>
      <c r="J978">
        <v>2016</v>
      </c>
      <c r="K978">
        <v>9</v>
      </c>
      <c r="L978">
        <v>276</v>
      </c>
      <c r="M978" t="s">
        <v>59</v>
      </c>
    </row>
    <row r="979" spans="1:13">
      <c r="A979" t="s">
        <v>1036</v>
      </c>
      <c r="B979" s="10">
        <v>3.32</v>
      </c>
      <c r="C979" s="10">
        <v>4.396</v>
      </c>
      <c r="D979" s="10">
        <v>2</v>
      </c>
      <c r="E979" s="10">
        <v>34.3</v>
      </c>
      <c r="F979" s="10">
        <v>8</v>
      </c>
      <c r="G979" s="10">
        <v>2</v>
      </c>
      <c r="H979" s="10">
        <v>2</v>
      </c>
      <c r="I979" s="10">
        <v>4</v>
      </c>
      <c r="J979">
        <v>2016</v>
      </c>
      <c r="K979">
        <v>9</v>
      </c>
      <c r="L979">
        <v>276</v>
      </c>
      <c r="M979" t="s">
        <v>61</v>
      </c>
    </row>
    <row r="980" spans="1:13">
      <c r="A980" t="s">
        <v>1037</v>
      </c>
      <c r="B980" s="10">
        <v>5</v>
      </c>
      <c r="C980" s="10">
        <v>1.33</v>
      </c>
      <c r="D980" s="10">
        <v>1</v>
      </c>
      <c r="E980" s="10">
        <v>32.8</v>
      </c>
      <c r="F980" s="10">
        <v>14</v>
      </c>
      <c r="G980" s="10">
        <v>3</v>
      </c>
      <c r="H980" s="10">
        <v>0</v>
      </c>
      <c r="I980" s="10">
        <v>3</v>
      </c>
      <c r="J980">
        <v>2016</v>
      </c>
      <c r="K980">
        <v>9</v>
      </c>
      <c r="L980">
        <v>276</v>
      </c>
      <c r="M980" t="s">
        <v>63</v>
      </c>
    </row>
    <row r="981" spans="1:13">
      <c r="A981" t="s">
        <v>1038</v>
      </c>
      <c r="B981" s="10">
        <v>2.33</v>
      </c>
      <c r="C981" s="10">
        <v>2.19</v>
      </c>
      <c r="D981" s="10">
        <v>3</v>
      </c>
      <c r="E981" s="10">
        <v>37.6</v>
      </c>
      <c r="F981" s="10">
        <v>14</v>
      </c>
      <c r="G981" s="10">
        <v>0</v>
      </c>
      <c r="H981" s="10">
        <v>0</v>
      </c>
      <c r="I981" s="10">
        <v>3</v>
      </c>
      <c r="J981">
        <v>2016</v>
      </c>
      <c r="K981">
        <v>9</v>
      </c>
      <c r="L981">
        <v>276</v>
      </c>
      <c r="M981" t="s">
        <v>65</v>
      </c>
    </row>
    <row r="982" spans="1:13">
      <c r="A982" t="s">
        <v>1039</v>
      </c>
      <c r="B982" s="10">
        <v>6</v>
      </c>
      <c r="C982" s="10">
        <v>2.99</v>
      </c>
      <c r="D982" s="10">
        <v>4</v>
      </c>
      <c r="E982" s="10">
        <v>33</v>
      </c>
      <c r="F982" s="10">
        <v>8</v>
      </c>
      <c r="G982" s="10">
        <v>1</v>
      </c>
      <c r="H982" s="10">
        <v>0</v>
      </c>
      <c r="I982" s="10">
        <v>0</v>
      </c>
      <c r="J982">
        <v>2016</v>
      </c>
      <c r="K982">
        <v>9</v>
      </c>
      <c r="L982">
        <v>276</v>
      </c>
      <c r="M982" t="s">
        <v>53</v>
      </c>
    </row>
    <row r="983" spans="1:13">
      <c r="A983" t="s">
        <v>1040</v>
      </c>
      <c r="B983" s="10">
        <v>4.99</v>
      </c>
      <c r="C983" s="10">
        <v>3.99</v>
      </c>
      <c r="D983" s="10">
        <v>3.25</v>
      </c>
      <c r="E983" s="10">
        <v>26.124</v>
      </c>
      <c r="F983" s="10">
        <v>11</v>
      </c>
      <c r="G983" s="10">
        <v>2</v>
      </c>
      <c r="H983" s="10">
        <v>10</v>
      </c>
      <c r="I983" s="10">
        <v>3</v>
      </c>
      <c r="J983">
        <v>2016</v>
      </c>
      <c r="K983">
        <v>9</v>
      </c>
      <c r="L983">
        <v>276</v>
      </c>
      <c r="M983" t="s">
        <v>55</v>
      </c>
    </row>
    <row r="984" spans="1:13">
      <c r="A984" t="s">
        <v>1041</v>
      </c>
      <c r="B984" s="10">
        <v>8.33</v>
      </c>
      <c r="C984" s="10">
        <v>11.31</v>
      </c>
      <c r="D984" s="10">
        <v>10</v>
      </c>
      <c r="E984" s="10">
        <v>34</v>
      </c>
      <c r="F984" s="10">
        <v>9</v>
      </c>
      <c r="G984" s="10">
        <v>0</v>
      </c>
      <c r="H984" s="10">
        <v>4</v>
      </c>
      <c r="I984" s="10">
        <v>3</v>
      </c>
      <c r="J984">
        <v>2016</v>
      </c>
      <c r="K984">
        <v>9</v>
      </c>
      <c r="L984">
        <v>276</v>
      </c>
      <c r="M984" t="s">
        <v>57</v>
      </c>
    </row>
    <row r="985" spans="1:13">
      <c r="A985" t="s">
        <v>1042</v>
      </c>
      <c r="B985" s="10">
        <v>2.66</v>
      </c>
      <c r="C985" s="10">
        <v>6.99</v>
      </c>
      <c r="D985" s="10">
        <v>7.1</v>
      </c>
      <c r="E985" s="10">
        <v>57.2</v>
      </c>
      <c r="F985" s="10">
        <v>8</v>
      </c>
      <c r="G985" s="10">
        <v>0</v>
      </c>
      <c r="H985" s="10">
        <v>10</v>
      </c>
      <c r="I985" s="10">
        <v>4</v>
      </c>
      <c r="J985">
        <v>2016</v>
      </c>
      <c r="K985">
        <v>9</v>
      </c>
      <c r="L985">
        <v>276</v>
      </c>
      <c r="M985" t="s">
        <v>59</v>
      </c>
    </row>
    <row r="986" spans="1:13">
      <c r="A986" t="s">
        <v>1043</v>
      </c>
      <c r="B986" s="10">
        <v>7</v>
      </c>
      <c r="C986" s="10">
        <v>6</v>
      </c>
      <c r="D986" s="10">
        <v>4</v>
      </c>
      <c r="E986" s="10">
        <v>24</v>
      </c>
      <c r="F986" s="10">
        <v>10</v>
      </c>
      <c r="G986" s="10">
        <v>0</v>
      </c>
      <c r="H986" s="10">
        <v>8</v>
      </c>
      <c r="I986" s="10">
        <v>4</v>
      </c>
      <c r="J986">
        <v>2016</v>
      </c>
      <c r="K986">
        <v>9</v>
      </c>
      <c r="L986">
        <v>276</v>
      </c>
      <c r="M986" t="s">
        <v>61</v>
      </c>
    </row>
    <row r="987" spans="1:13">
      <c r="A987" t="s">
        <v>1044</v>
      </c>
      <c r="B987" s="10">
        <v>7</v>
      </c>
      <c r="C987" s="10">
        <v>5.759</v>
      </c>
      <c r="D987" s="10">
        <v>4</v>
      </c>
      <c r="E987" s="10">
        <v>32</v>
      </c>
      <c r="F987" s="10">
        <v>13</v>
      </c>
      <c r="G987" s="10">
        <v>0</v>
      </c>
      <c r="H987" s="10">
        <v>2</v>
      </c>
      <c r="I987" s="10">
        <v>0</v>
      </c>
      <c r="J987">
        <v>2016</v>
      </c>
      <c r="K987">
        <v>9</v>
      </c>
      <c r="L987">
        <v>276</v>
      </c>
      <c r="M987" t="s">
        <v>63</v>
      </c>
    </row>
    <row r="988" spans="1:13">
      <c r="A988" t="s">
        <v>1045</v>
      </c>
      <c r="B988" s="10">
        <v>6</v>
      </c>
      <c r="C988" s="10">
        <v>3.792</v>
      </c>
      <c r="D988" s="10">
        <v>2.5</v>
      </c>
      <c r="E988" s="10">
        <v>24.4</v>
      </c>
      <c r="F988" s="10">
        <v>7</v>
      </c>
      <c r="G988" s="10">
        <v>0</v>
      </c>
      <c r="H988" s="10">
        <v>8</v>
      </c>
      <c r="I988" s="10">
        <v>2</v>
      </c>
      <c r="J988">
        <v>2016</v>
      </c>
      <c r="K988">
        <v>9</v>
      </c>
      <c r="L988">
        <v>276</v>
      </c>
      <c r="M988" t="s">
        <v>65</v>
      </c>
    </row>
    <row r="989" spans="1:13">
      <c r="A989" t="s">
        <v>1046</v>
      </c>
      <c r="B989" s="10">
        <v>3</v>
      </c>
      <c r="C989" s="10">
        <v>6.628</v>
      </c>
      <c r="D989" s="10">
        <v>2</v>
      </c>
      <c r="E989" s="10">
        <v>38</v>
      </c>
      <c r="F989" s="10">
        <v>31</v>
      </c>
      <c r="G989" s="10">
        <v>0</v>
      </c>
      <c r="H989" s="10">
        <v>3</v>
      </c>
      <c r="I989" s="10">
        <v>1</v>
      </c>
      <c r="J989">
        <v>2016</v>
      </c>
      <c r="K989">
        <v>9</v>
      </c>
      <c r="L989">
        <v>276</v>
      </c>
      <c r="M989" t="s">
        <v>53</v>
      </c>
    </row>
    <row r="990" spans="1:13">
      <c r="A990" t="s">
        <v>1047</v>
      </c>
      <c r="B990" s="10">
        <v>2</v>
      </c>
      <c r="C990" s="10">
        <v>1.33</v>
      </c>
      <c r="D990" s="10">
        <v>4</v>
      </c>
      <c r="E990" s="10">
        <v>26.3</v>
      </c>
      <c r="F990" s="10">
        <v>17</v>
      </c>
      <c r="G990" s="10">
        <v>0</v>
      </c>
      <c r="H990" s="10">
        <v>3</v>
      </c>
      <c r="I990" s="10">
        <v>0</v>
      </c>
      <c r="J990">
        <v>2016</v>
      </c>
      <c r="K990">
        <v>9</v>
      </c>
      <c r="L990">
        <v>276</v>
      </c>
      <c r="M990" t="s">
        <v>55</v>
      </c>
    </row>
    <row r="991" spans="1:13">
      <c r="A991" t="s">
        <v>1048</v>
      </c>
      <c r="B991" s="10">
        <v>6.67</v>
      </c>
      <c r="C991" s="10">
        <v>3.693</v>
      </c>
      <c r="D991" s="10">
        <v>2.4</v>
      </c>
      <c r="E991" s="10">
        <v>56</v>
      </c>
      <c r="F991" s="10">
        <v>11</v>
      </c>
      <c r="G991" s="10">
        <v>0</v>
      </c>
      <c r="H991" s="10">
        <v>5</v>
      </c>
      <c r="I991" s="10">
        <v>4.1</v>
      </c>
      <c r="J991">
        <v>2016</v>
      </c>
      <c r="K991">
        <v>9</v>
      </c>
      <c r="L991">
        <v>276</v>
      </c>
      <c r="M991" t="s">
        <v>57</v>
      </c>
    </row>
    <row r="992" spans="1:13">
      <c r="A992" t="s">
        <v>1049</v>
      </c>
      <c r="B992" s="10">
        <v>5.99</v>
      </c>
      <c r="C992" s="10">
        <v>7.32</v>
      </c>
      <c r="D992" s="10">
        <v>2</v>
      </c>
      <c r="E992" s="10">
        <v>24.45</v>
      </c>
      <c r="F992" s="10">
        <v>4</v>
      </c>
      <c r="G992" s="10">
        <v>0</v>
      </c>
      <c r="H992" s="10">
        <v>8</v>
      </c>
      <c r="I992" s="10">
        <v>1</v>
      </c>
      <c r="J992">
        <v>2016</v>
      </c>
      <c r="K992">
        <v>9</v>
      </c>
      <c r="L992">
        <v>276</v>
      </c>
      <c r="M992" t="s">
        <v>59</v>
      </c>
    </row>
    <row r="993" spans="1:13">
      <c r="A993" t="s">
        <v>1050</v>
      </c>
      <c r="B993" s="10">
        <v>4</v>
      </c>
      <c r="C993" s="10">
        <v>3.396</v>
      </c>
      <c r="D993" s="10">
        <v>2.15</v>
      </c>
      <c r="E993" s="10">
        <v>31</v>
      </c>
      <c r="F993" s="10">
        <v>11</v>
      </c>
      <c r="G993" s="10">
        <v>2</v>
      </c>
      <c r="H993" s="10">
        <v>0</v>
      </c>
      <c r="I993" s="10">
        <v>1</v>
      </c>
      <c r="J993">
        <v>2016</v>
      </c>
      <c r="K993">
        <v>9</v>
      </c>
      <c r="L993">
        <v>276</v>
      </c>
      <c r="M993" t="s">
        <v>61</v>
      </c>
    </row>
    <row r="994" spans="1:13">
      <c r="A994" t="s">
        <v>1051</v>
      </c>
      <c r="B994" s="10">
        <v>4.67</v>
      </c>
      <c r="C994" s="10">
        <v>2.792</v>
      </c>
      <c r="D994" s="10">
        <v>3</v>
      </c>
      <c r="E994" s="10">
        <v>33.4</v>
      </c>
      <c r="F994" s="10">
        <v>14</v>
      </c>
      <c r="G994" s="10">
        <v>0</v>
      </c>
      <c r="H994" s="10">
        <v>4</v>
      </c>
      <c r="I994" s="10">
        <v>1</v>
      </c>
      <c r="J994">
        <v>2016</v>
      </c>
      <c r="K994">
        <v>9</v>
      </c>
      <c r="L994">
        <v>276</v>
      </c>
      <c r="M994" t="s">
        <v>63</v>
      </c>
    </row>
    <row r="995" spans="1:13">
      <c r="A995" t="s">
        <v>1052</v>
      </c>
      <c r="B995" s="10">
        <v>8.34</v>
      </c>
      <c r="C995" s="10">
        <v>4.31</v>
      </c>
      <c r="D995" s="10">
        <v>3.05</v>
      </c>
      <c r="E995" s="10">
        <v>19.7</v>
      </c>
      <c r="F995" s="10">
        <v>12</v>
      </c>
      <c r="G995" s="10">
        <v>0</v>
      </c>
      <c r="H995" s="10">
        <v>3</v>
      </c>
      <c r="I995" s="10">
        <v>2</v>
      </c>
      <c r="J995">
        <v>2016</v>
      </c>
      <c r="K995">
        <v>9</v>
      </c>
      <c r="L995">
        <v>276</v>
      </c>
      <c r="M995" t="s">
        <v>65</v>
      </c>
    </row>
    <row r="996" spans="1:13">
      <c r="A996" t="s">
        <v>1053</v>
      </c>
      <c r="B996" s="10">
        <v>6.33</v>
      </c>
      <c r="C996" s="10">
        <v>2.33</v>
      </c>
      <c r="D996" s="10">
        <v>2.1</v>
      </c>
      <c r="E996" s="10">
        <v>29.4</v>
      </c>
      <c r="F996" s="10">
        <v>6</v>
      </c>
      <c r="G996" s="10">
        <v>0</v>
      </c>
      <c r="H996" s="10">
        <v>4</v>
      </c>
      <c r="I996" s="10">
        <v>3</v>
      </c>
      <c r="J996">
        <v>2016</v>
      </c>
      <c r="K996">
        <v>9</v>
      </c>
      <c r="L996">
        <v>276</v>
      </c>
      <c r="M996" t="s">
        <v>53</v>
      </c>
    </row>
    <row r="997" spans="1:13">
      <c r="A997" t="s">
        <v>1054</v>
      </c>
      <c r="B997" s="10">
        <v>2.33</v>
      </c>
      <c r="C997" s="10">
        <v>6.99</v>
      </c>
      <c r="D997" s="10">
        <v>6</v>
      </c>
      <c r="E997" s="10">
        <v>28.4</v>
      </c>
      <c r="F997" s="10">
        <v>13</v>
      </c>
      <c r="G997" s="10">
        <v>3</v>
      </c>
      <c r="H997" s="10">
        <v>7</v>
      </c>
      <c r="I997" s="10">
        <v>1</v>
      </c>
      <c r="J997">
        <v>2016</v>
      </c>
      <c r="K997">
        <v>9</v>
      </c>
      <c r="L997">
        <v>276</v>
      </c>
      <c r="M997" t="s">
        <v>55</v>
      </c>
    </row>
    <row r="998" spans="1:13">
      <c r="A998" t="s">
        <v>1055</v>
      </c>
      <c r="B998" s="10">
        <v>2</v>
      </c>
      <c r="C998" s="10">
        <v>3.779</v>
      </c>
      <c r="D998" s="10">
        <v>6.2</v>
      </c>
      <c r="E998" s="10">
        <v>61.2</v>
      </c>
      <c r="F998" s="10">
        <v>8</v>
      </c>
      <c r="G998" s="10">
        <v>0</v>
      </c>
      <c r="H998" s="10">
        <v>1</v>
      </c>
      <c r="I998" s="10">
        <v>1</v>
      </c>
      <c r="J998">
        <v>2016</v>
      </c>
      <c r="K998">
        <v>9</v>
      </c>
      <c r="L998">
        <v>276</v>
      </c>
      <c r="M998" t="s">
        <v>57</v>
      </c>
    </row>
    <row r="999" spans="1:13">
      <c r="A999" t="s">
        <v>1056</v>
      </c>
      <c r="B999" s="10">
        <v>6</v>
      </c>
      <c r="C999" s="10">
        <v>4.33</v>
      </c>
      <c r="D999" s="10">
        <v>3</v>
      </c>
      <c r="E999" s="10">
        <v>61.125</v>
      </c>
      <c r="F999" s="10">
        <v>3</v>
      </c>
      <c r="G999" s="10">
        <v>0</v>
      </c>
      <c r="H999" s="10">
        <v>10</v>
      </c>
      <c r="I999" s="10">
        <v>2</v>
      </c>
      <c r="J999">
        <v>2016</v>
      </c>
      <c r="K999">
        <v>9</v>
      </c>
      <c r="L999">
        <v>276</v>
      </c>
      <c r="M999" t="s">
        <v>59</v>
      </c>
    </row>
    <row r="1000" spans="1:13">
      <c r="A1000" t="s">
        <v>1057</v>
      </c>
      <c r="B1000" s="10">
        <v>5.99</v>
      </c>
      <c r="C1000" s="10">
        <v>1</v>
      </c>
      <c r="D1000" s="10">
        <v>4</v>
      </c>
      <c r="E1000" s="10">
        <v>57.6</v>
      </c>
      <c r="F1000" s="10">
        <v>4</v>
      </c>
      <c r="G1000" s="10">
        <v>2</v>
      </c>
      <c r="H1000" s="10">
        <v>4</v>
      </c>
      <c r="I1000" s="10">
        <v>1</v>
      </c>
      <c r="J1000">
        <v>2016</v>
      </c>
      <c r="K1000">
        <v>9</v>
      </c>
      <c r="L1000">
        <v>276</v>
      </c>
      <c r="M1000" t="s">
        <v>61</v>
      </c>
    </row>
    <row r="1001" spans="1:13">
      <c r="A1001" t="s">
        <v>1058</v>
      </c>
      <c r="B1001" s="10">
        <v>7</v>
      </c>
      <c r="C1001" s="10">
        <v>4.67</v>
      </c>
      <c r="D1001" s="10">
        <v>7.4</v>
      </c>
      <c r="E1001" s="10">
        <v>51.7</v>
      </c>
      <c r="F1001" s="10">
        <v>17</v>
      </c>
      <c r="G1001" s="10">
        <v>3</v>
      </c>
      <c r="H1001" s="10">
        <v>1</v>
      </c>
      <c r="I1001" s="10">
        <v>3</v>
      </c>
      <c r="J1001">
        <v>2016</v>
      </c>
      <c r="K1001">
        <v>9</v>
      </c>
      <c r="L1001">
        <v>276</v>
      </c>
      <c r="M1001" t="s">
        <v>63</v>
      </c>
    </row>
    <row r="1002" spans="1:13">
      <c r="A1002" t="s">
        <v>1059</v>
      </c>
      <c r="B1002" s="10">
        <v>13.68</v>
      </c>
      <c r="C1002" s="10">
        <v>1.802</v>
      </c>
      <c r="D1002" s="10">
        <v>5.45</v>
      </c>
      <c r="E1002" s="10">
        <v>64.5</v>
      </c>
      <c r="F1002" s="10">
        <v>3</v>
      </c>
      <c r="G1002" s="10">
        <v>0</v>
      </c>
      <c r="H1002" s="10">
        <v>0</v>
      </c>
      <c r="I1002" s="10">
        <v>4</v>
      </c>
      <c r="J1002">
        <v>2016</v>
      </c>
      <c r="K1002">
        <v>9</v>
      </c>
      <c r="L1002">
        <v>276</v>
      </c>
      <c r="M1002" t="s">
        <v>65</v>
      </c>
    </row>
    <row r="1003" spans="1:13">
      <c r="A1003" t="s">
        <v>1060</v>
      </c>
      <c r="B1003" s="10">
        <v>7.33</v>
      </c>
      <c r="C1003" s="10">
        <v>2</v>
      </c>
      <c r="D1003" s="10">
        <v>4</v>
      </c>
      <c r="E1003" s="10">
        <v>50.6</v>
      </c>
      <c r="F1003" s="10">
        <v>4</v>
      </c>
      <c r="G1003" s="10">
        <v>0</v>
      </c>
      <c r="H1003" s="10">
        <v>1</v>
      </c>
      <c r="I1003" s="10">
        <v>1.2</v>
      </c>
      <c r="J1003">
        <v>2016</v>
      </c>
      <c r="K1003">
        <v>9</v>
      </c>
      <c r="L1003">
        <v>276</v>
      </c>
      <c r="M1003" t="s">
        <v>53</v>
      </c>
    </row>
    <row r="1004" spans="1:13">
      <c r="A1004" t="s">
        <v>1061</v>
      </c>
      <c r="B1004" s="10">
        <v>7</v>
      </c>
      <c r="C1004" s="10">
        <v>5</v>
      </c>
      <c r="D1004" s="10">
        <v>2.6</v>
      </c>
      <c r="E1004" s="10">
        <v>23.4</v>
      </c>
      <c r="F1004" s="10">
        <v>5</v>
      </c>
      <c r="G1004" s="10">
        <v>0</v>
      </c>
      <c r="H1004" s="10">
        <v>10</v>
      </c>
      <c r="I1004" s="10">
        <v>3</v>
      </c>
      <c r="J1004">
        <v>2016</v>
      </c>
      <c r="K1004">
        <v>9</v>
      </c>
      <c r="L1004">
        <v>276</v>
      </c>
      <c r="M1004" t="s">
        <v>55</v>
      </c>
    </row>
    <row r="1005" spans="1:13">
      <c r="A1005" t="s">
        <v>1062</v>
      </c>
      <c r="B1005" s="10">
        <v>7.33</v>
      </c>
      <c r="C1005" s="10">
        <v>7.65</v>
      </c>
      <c r="D1005" s="10">
        <v>1.2</v>
      </c>
      <c r="E1005" s="10">
        <v>54.038</v>
      </c>
      <c r="F1005" s="10">
        <v>5</v>
      </c>
      <c r="G1005" s="10">
        <v>0</v>
      </c>
      <c r="H1005" s="10">
        <v>4</v>
      </c>
      <c r="I1005" s="10">
        <v>2</v>
      </c>
      <c r="J1005">
        <v>2016</v>
      </c>
      <c r="K1005">
        <v>10</v>
      </c>
      <c r="L1005">
        <v>276</v>
      </c>
      <c r="M1005" t="s">
        <v>57</v>
      </c>
    </row>
    <row r="1006" spans="1:13">
      <c r="A1006" t="s">
        <v>1063</v>
      </c>
      <c r="B1006" s="10">
        <v>17</v>
      </c>
      <c r="C1006" s="10">
        <v>4.056</v>
      </c>
      <c r="D1006" s="10">
        <v>9.699999999999999</v>
      </c>
      <c r="E1006" s="10">
        <v>80.5</v>
      </c>
      <c r="F1006" s="10">
        <v>6</v>
      </c>
      <c r="G1006" s="10">
        <v>0</v>
      </c>
      <c r="H1006" s="10">
        <v>18</v>
      </c>
      <c r="I1006" s="10">
        <v>3</v>
      </c>
      <c r="J1006">
        <v>2016</v>
      </c>
      <c r="K1006">
        <v>10</v>
      </c>
      <c r="L1006">
        <v>276</v>
      </c>
      <c r="M1006" t="s">
        <v>59</v>
      </c>
    </row>
    <row r="1007" spans="1:13">
      <c r="A1007" t="s">
        <v>1064</v>
      </c>
      <c r="B1007" s="10">
        <v>3.33</v>
      </c>
      <c r="C1007" s="10">
        <v>5.33</v>
      </c>
      <c r="D1007" s="10">
        <v>3</v>
      </c>
      <c r="E1007" s="10">
        <v>59.662</v>
      </c>
      <c r="F1007" s="10">
        <v>2</v>
      </c>
      <c r="G1007" s="10">
        <v>2</v>
      </c>
      <c r="H1007" s="10">
        <v>17</v>
      </c>
      <c r="I1007" s="10">
        <v>3</v>
      </c>
      <c r="J1007">
        <v>2016</v>
      </c>
      <c r="K1007">
        <v>10</v>
      </c>
      <c r="L1007">
        <v>276</v>
      </c>
      <c r="M1007" t="s">
        <v>61</v>
      </c>
    </row>
    <row r="1008" spans="1:13">
      <c r="A1008" t="s">
        <v>1065</v>
      </c>
      <c r="B1008" s="10">
        <v>6.33</v>
      </c>
      <c r="C1008" s="10">
        <v>2.99</v>
      </c>
      <c r="D1008" s="10">
        <v>6</v>
      </c>
      <c r="E1008" s="10">
        <v>47.6</v>
      </c>
      <c r="F1008" s="10">
        <v>8</v>
      </c>
      <c r="G1008" s="10">
        <v>0</v>
      </c>
      <c r="H1008" s="10">
        <v>10</v>
      </c>
      <c r="I1008" s="10">
        <v>2.5</v>
      </c>
      <c r="J1008">
        <v>2016</v>
      </c>
      <c r="K1008">
        <v>10</v>
      </c>
      <c r="L1008">
        <v>276</v>
      </c>
      <c r="M1008" t="s">
        <v>63</v>
      </c>
    </row>
    <row r="1009" spans="1:13">
      <c r="A1009" t="s">
        <v>1066</v>
      </c>
      <c r="B1009" s="10">
        <v>4</v>
      </c>
      <c r="C1009" s="10">
        <v>4</v>
      </c>
      <c r="D1009" s="10">
        <v>4</v>
      </c>
      <c r="E1009" s="10">
        <v>78.2</v>
      </c>
      <c r="F1009" s="10">
        <v>8</v>
      </c>
      <c r="G1009" s="10">
        <v>0</v>
      </c>
      <c r="H1009" s="10">
        <v>1</v>
      </c>
      <c r="I1009" s="10">
        <v>1</v>
      </c>
      <c r="J1009">
        <v>2016</v>
      </c>
      <c r="K1009">
        <v>10</v>
      </c>
      <c r="L1009">
        <v>276</v>
      </c>
      <c r="M1009" t="s">
        <v>65</v>
      </c>
    </row>
    <row r="1010" spans="1:13">
      <c r="A1010" t="s">
        <v>1067</v>
      </c>
      <c r="B1010" s="10">
        <v>4.33</v>
      </c>
      <c r="C1010" s="10">
        <v>3.99</v>
      </c>
      <c r="D1010" s="10">
        <v>6</v>
      </c>
      <c r="E1010" s="10">
        <v>44</v>
      </c>
      <c r="F1010" s="10">
        <v>4</v>
      </c>
      <c r="G1010" s="10">
        <v>0</v>
      </c>
      <c r="H1010" s="10">
        <v>3</v>
      </c>
      <c r="I1010" s="10">
        <v>0</v>
      </c>
      <c r="J1010">
        <v>2016</v>
      </c>
      <c r="K1010">
        <v>10</v>
      </c>
      <c r="L1010">
        <v>276</v>
      </c>
      <c r="M1010" t="s">
        <v>53</v>
      </c>
    </row>
    <row r="1011" spans="1:13">
      <c r="A1011" t="s">
        <v>1068</v>
      </c>
      <c r="B1011" s="10">
        <v>4.34</v>
      </c>
      <c r="C1011" s="10">
        <v>4.297</v>
      </c>
      <c r="D1011" s="10">
        <v>6</v>
      </c>
      <c r="E1011" s="10">
        <v>47.625</v>
      </c>
      <c r="F1011" s="10">
        <v>4</v>
      </c>
      <c r="G1011" s="10">
        <v>0</v>
      </c>
      <c r="H1011" s="10">
        <v>0</v>
      </c>
      <c r="I1011" s="10">
        <v>1</v>
      </c>
      <c r="J1011">
        <v>2016</v>
      </c>
      <c r="K1011">
        <v>10</v>
      </c>
      <c r="L1011">
        <v>276</v>
      </c>
      <c r="M1011" t="s">
        <v>55</v>
      </c>
    </row>
    <row r="1012" spans="1:13">
      <c r="A1012" t="s">
        <v>1069</v>
      </c>
      <c r="B1012" s="10">
        <v>7.34</v>
      </c>
      <c r="C1012" s="10">
        <v>6.33</v>
      </c>
      <c r="D1012" s="10">
        <v>5</v>
      </c>
      <c r="E1012" s="10">
        <v>52.7</v>
      </c>
      <c r="F1012" s="10">
        <v>2</v>
      </c>
      <c r="G1012" s="10">
        <v>0</v>
      </c>
      <c r="H1012" s="10">
        <v>6</v>
      </c>
      <c r="I1012" s="10">
        <v>5</v>
      </c>
      <c r="J1012">
        <v>2016</v>
      </c>
      <c r="K1012">
        <v>10</v>
      </c>
      <c r="L1012">
        <v>276</v>
      </c>
      <c r="M1012" t="s">
        <v>57</v>
      </c>
    </row>
    <row r="1013" spans="1:13">
      <c r="A1013" t="s">
        <v>1070</v>
      </c>
      <c r="B1013" s="10">
        <v>6.68</v>
      </c>
      <c r="C1013" s="10">
        <v>5.02</v>
      </c>
      <c r="D1013" s="10">
        <v>5.5</v>
      </c>
      <c r="E1013" s="10">
        <v>88.40000000000001</v>
      </c>
      <c r="F1013" s="10">
        <v>2</v>
      </c>
      <c r="G1013" s="10">
        <v>0</v>
      </c>
      <c r="H1013" s="10">
        <v>9</v>
      </c>
      <c r="I1013" s="10">
        <v>1</v>
      </c>
      <c r="J1013">
        <v>2016</v>
      </c>
      <c r="K1013">
        <v>10</v>
      </c>
      <c r="L1013">
        <v>276</v>
      </c>
      <c r="M1013" t="s">
        <v>59</v>
      </c>
    </row>
    <row r="1014" spans="1:13">
      <c r="A1014" t="s">
        <v>1071</v>
      </c>
      <c r="B1014" s="10">
        <v>2</v>
      </c>
      <c r="C1014" s="10">
        <v>5.066</v>
      </c>
      <c r="D1014" s="10">
        <v>5</v>
      </c>
      <c r="E1014" s="10">
        <v>31.6</v>
      </c>
      <c r="F1014" s="10">
        <v>1</v>
      </c>
      <c r="G1014" s="10">
        <v>0</v>
      </c>
      <c r="H1014" s="10">
        <v>3</v>
      </c>
      <c r="I1014" s="10">
        <v>1</v>
      </c>
      <c r="J1014">
        <v>2016</v>
      </c>
      <c r="K1014">
        <v>10</v>
      </c>
      <c r="L1014">
        <v>276</v>
      </c>
      <c r="M1014" t="s">
        <v>61</v>
      </c>
    </row>
    <row r="1015" spans="1:13">
      <c r="A1015" t="s">
        <v>1072</v>
      </c>
      <c r="B1015" s="10">
        <v>7.33</v>
      </c>
      <c r="C1015" s="10">
        <v>2.406</v>
      </c>
      <c r="D1015" s="10">
        <v>11.65</v>
      </c>
      <c r="E1015" s="10">
        <v>52.6</v>
      </c>
      <c r="F1015" s="10">
        <v>54.83333333</v>
      </c>
      <c r="G1015" s="10">
        <v>1</v>
      </c>
      <c r="H1015" s="10">
        <v>8</v>
      </c>
      <c r="I1015" s="10">
        <v>1</v>
      </c>
      <c r="J1015">
        <v>2016</v>
      </c>
      <c r="K1015">
        <v>10</v>
      </c>
      <c r="L1015">
        <v>276</v>
      </c>
      <c r="M1015" t="s">
        <v>63</v>
      </c>
    </row>
    <row r="1016" spans="1:13">
      <c r="A1016" t="s">
        <v>1073</v>
      </c>
      <c r="B1016" s="10">
        <v>8.33</v>
      </c>
      <c r="C1016" s="10">
        <v>2.373</v>
      </c>
      <c r="D1016" s="10">
        <v>2</v>
      </c>
      <c r="E1016" s="10">
        <v>45.75</v>
      </c>
      <c r="F1016" s="10">
        <v>18</v>
      </c>
      <c r="G1016" s="10">
        <v>1</v>
      </c>
      <c r="H1016" s="10">
        <v>17</v>
      </c>
      <c r="I1016" s="10">
        <v>2</v>
      </c>
      <c r="J1016">
        <v>2016</v>
      </c>
      <c r="K1016">
        <v>10</v>
      </c>
      <c r="L1016">
        <v>276</v>
      </c>
      <c r="M1016" t="s">
        <v>65</v>
      </c>
    </row>
    <row r="1017" spans="1:13">
      <c r="A1017" t="s">
        <v>1074</v>
      </c>
      <c r="B1017" s="10">
        <v>4.66</v>
      </c>
      <c r="C1017" s="10">
        <v>4.33</v>
      </c>
      <c r="D1017" s="10">
        <v>3.2</v>
      </c>
      <c r="E1017" s="10">
        <v>42.2</v>
      </c>
      <c r="F1017" s="10">
        <v>20</v>
      </c>
      <c r="G1017" s="10">
        <v>0</v>
      </c>
      <c r="H1017" s="10">
        <v>3</v>
      </c>
      <c r="I1017" s="10">
        <v>2.3</v>
      </c>
      <c r="J1017">
        <v>2016</v>
      </c>
      <c r="K1017">
        <v>10</v>
      </c>
      <c r="L1017">
        <v>276</v>
      </c>
      <c r="M1017" t="s">
        <v>53</v>
      </c>
    </row>
    <row r="1018" spans="1:13">
      <c r="A1018" t="s">
        <v>1075</v>
      </c>
      <c r="B1018" s="10">
        <v>7</v>
      </c>
      <c r="C1018" s="10">
        <v>4</v>
      </c>
      <c r="D1018" s="10">
        <v>3</v>
      </c>
      <c r="E1018" s="10">
        <v>38.7</v>
      </c>
      <c r="F1018" s="10">
        <v>22</v>
      </c>
      <c r="G1018" s="10">
        <v>0</v>
      </c>
      <c r="H1018" s="10">
        <v>9</v>
      </c>
      <c r="I1018" s="10">
        <v>1</v>
      </c>
      <c r="J1018">
        <v>2016</v>
      </c>
      <c r="K1018">
        <v>10</v>
      </c>
      <c r="L1018">
        <v>276</v>
      </c>
      <c r="M1018" t="s">
        <v>55</v>
      </c>
    </row>
    <row r="1019" spans="1:13">
      <c r="A1019" t="s">
        <v>1076</v>
      </c>
      <c r="B1019" s="10">
        <v>4</v>
      </c>
      <c r="C1019" s="10">
        <v>5.97</v>
      </c>
      <c r="D1019" s="10">
        <v>3.35</v>
      </c>
      <c r="E1019" s="10">
        <v>47.2</v>
      </c>
      <c r="F1019" s="10">
        <v>16</v>
      </c>
      <c r="G1019" s="10">
        <v>1</v>
      </c>
      <c r="H1019" s="10">
        <v>13</v>
      </c>
      <c r="I1019" s="10">
        <v>1</v>
      </c>
      <c r="J1019">
        <v>2016</v>
      </c>
      <c r="K1019">
        <v>10</v>
      </c>
      <c r="L1019">
        <v>276</v>
      </c>
      <c r="M1019" t="s">
        <v>57</v>
      </c>
    </row>
    <row r="1020" spans="1:13">
      <c r="A1020" t="s">
        <v>1077</v>
      </c>
      <c r="B1020" s="10">
        <v>8.33</v>
      </c>
      <c r="C1020" s="10">
        <v>5.122</v>
      </c>
      <c r="D1020" s="10">
        <v>10</v>
      </c>
      <c r="E1020" s="10">
        <v>89.3</v>
      </c>
      <c r="F1020" s="10">
        <v>3</v>
      </c>
      <c r="G1020" s="10">
        <v>0</v>
      </c>
      <c r="H1020" s="10">
        <v>6</v>
      </c>
      <c r="I1020" s="10">
        <v>5</v>
      </c>
      <c r="J1020">
        <v>2016</v>
      </c>
      <c r="K1020">
        <v>10</v>
      </c>
      <c r="L1020">
        <v>276</v>
      </c>
      <c r="M1020" t="s">
        <v>59</v>
      </c>
    </row>
    <row r="1021" spans="1:13">
      <c r="A1021" t="s">
        <v>1078</v>
      </c>
      <c r="B1021" s="10">
        <v>2</v>
      </c>
      <c r="C1021" s="10">
        <v>5</v>
      </c>
      <c r="D1021" s="10">
        <v>5</v>
      </c>
      <c r="E1021" s="10">
        <v>50.8</v>
      </c>
      <c r="F1021" s="10">
        <v>1</v>
      </c>
      <c r="G1021" s="10">
        <v>0</v>
      </c>
      <c r="H1021" s="10">
        <v>9</v>
      </c>
      <c r="I1021" s="10">
        <v>1</v>
      </c>
      <c r="J1021">
        <v>2016</v>
      </c>
      <c r="K1021">
        <v>10</v>
      </c>
      <c r="L1021">
        <v>276</v>
      </c>
      <c r="M1021" t="s">
        <v>61</v>
      </c>
    </row>
    <row r="1022" spans="1:13">
      <c r="A1022" t="s">
        <v>1079</v>
      </c>
      <c r="B1022" s="10">
        <v>3</v>
      </c>
      <c r="C1022" s="10">
        <v>5.056</v>
      </c>
      <c r="D1022" s="10">
        <v>9</v>
      </c>
      <c r="E1022" s="10">
        <v>42.1</v>
      </c>
      <c r="F1022" s="10">
        <v>9</v>
      </c>
      <c r="G1022" s="10">
        <v>3</v>
      </c>
      <c r="H1022" s="10">
        <v>7</v>
      </c>
      <c r="I1022" s="10">
        <v>3.1</v>
      </c>
      <c r="J1022">
        <v>2016</v>
      </c>
      <c r="K1022">
        <v>10</v>
      </c>
      <c r="L1022">
        <v>276</v>
      </c>
      <c r="M1022" t="s">
        <v>63</v>
      </c>
    </row>
    <row r="1023" spans="1:13">
      <c r="A1023" t="s">
        <v>1080</v>
      </c>
      <c r="B1023" s="10">
        <v>4.33</v>
      </c>
      <c r="C1023" s="10">
        <v>6.66</v>
      </c>
      <c r="D1023" s="10">
        <v>5</v>
      </c>
      <c r="E1023" s="10">
        <v>26.7</v>
      </c>
      <c r="F1023" s="10">
        <v>11</v>
      </c>
      <c r="G1023" s="10">
        <v>0</v>
      </c>
      <c r="H1023" s="10">
        <v>2</v>
      </c>
      <c r="I1023" s="10">
        <v>1</v>
      </c>
      <c r="J1023">
        <v>2016</v>
      </c>
      <c r="K1023">
        <v>10</v>
      </c>
      <c r="L1023">
        <v>276</v>
      </c>
      <c r="M1023" t="s">
        <v>65</v>
      </c>
    </row>
    <row r="1024" spans="1:13">
      <c r="A1024" t="s">
        <v>1081</v>
      </c>
      <c r="B1024" s="10">
        <v>1.64</v>
      </c>
      <c r="C1024" s="10">
        <v>5.66</v>
      </c>
      <c r="D1024" s="10">
        <v>6</v>
      </c>
      <c r="E1024" s="10">
        <v>52.5</v>
      </c>
      <c r="F1024" s="10">
        <v>2</v>
      </c>
      <c r="G1024" s="10">
        <v>0</v>
      </c>
      <c r="H1024" s="10">
        <v>2</v>
      </c>
      <c r="I1024" s="10">
        <v>2</v>
      </c>
      <c r="J1024">
        <v>2016</v>
      </c>
      <c r="K1024">
        <v>10</v>
      </c>
      <c r="L1024">
        <v>276</v>
      </c>
      <c r="M1024" t="s">
        <v>53</v>
      </c>
    </row>
    <row r="1025" spans="1:13">
      <c r="A1025" t="s">
        <v>1082</v>
      </c>
      <c r="B1025" s="10">
        <v>8.66</v>
      </c>
      <c r="C1025" s="10">
        <v>3.825</v>
      </c>
      <c r="D1025" s="10">
        <v>0</v>
      </c>
      <c r="E1025" s="10">
        <v>40.8</v>
      </c>
      <c r="F1025" s="10">
        <v>5</v>
      </c>
      <c r="G1025" s="10">
        <v>0</v>
      </c>
      <c r="H1025" s="10">
        <v>6</v>
      </c>
      <c r="I1025" s="10">
        <v>2</v>
      </c>
      <c r="J1025">
        <v>2016</v>
      </c>
      <c r="K1025">
        <v>10</v>
      </c>
      <c r="L1025">
        <v>276</v>
      </c>
      <c r="M1025" t="s">
        <v>55</v>
      </c>
    </row>
    <row r="1026" spans="1:13">
      <c r="A1026" t="s">
        <v>1083</v>
      </c>
      <c r="B1026" s="10">
        <v>7</v>
      </c>
      <c r="C1026" s="10">
        <v>2.67</v>
      </c>
      <c r="D1026" s="10">
        <v>4</v>
      </c>
      <c r="E1026" s="10">
        <v>29.7</v>
      </c>
      <c r="F1026" s="10">
        <v>3</v>
      </c>
      <c r="G1026" s="10">
        <v>0</v>
      </c>
      <c r="H1026" s="10">
        <v>10</v>
      </c>
      <c r="I1026" s="10">
        <v>4</v>
      </c>
      <c r="J1026">
        <v>2016</v>
      </c>
      <c r="K1026">
        <v>10</v>
      </c>
      <c r="L1026">
        <v>276</v>
      </c>
      <c r="M1026" t="s">
        <v>57</v>
      </c>
    </row>
    <row r="1027" spans="1:13">
      <c r="A1027" t="s">
        <v>1084</v>
      </c>
      <c r="B1027" s="10">
        <v>12.33</v>
      </c>
      <c r="C1027" s="10">
        <v>5.78</v>
      </c>
      <c r="D1027" s="10">
        <v>3.8</v>
      </c>
      <c r="E1027" s="10">
        <v>51.21666667</v>
      </c>
      <c r="F1027" s="10">
        <v>10</v>
      </c>
      <c r="G1027" s="10">
        <v>0</v>
      </c>
      <c r="H1027" s="10">
        <v>11</v>
      </c>
      <c r="I1027" s="10">
        <v>2</v>
      </c>
      <c r="J1027">
        <v>2016</v>
      </c>
      <c r="K1027">
        <v>10</v>
      </c>
      <c r="L1027">
        <v>276</v>
      </c>
      <c r="M1027" t="s">
        <v>59</v>
      </c>
    </row>
    <row r="1028" spans="1:13">
      <c r="A1028" t="s">
        <v>1085</v>
      </c>
      <c r="B1028" s="10">
        <v>2.66</v>
      </c>
      <c r="C1028" s="10">
        <v>3.023</v>
      </c>
      <c r="D1028" s="10">
        <v>7.5</v>
      </c>
      <c r="E1028" s="10">
        <v>37</v>
      </c>
      <c r="F1028" s="10">
        <v>1</v>
      </c>
      <c r="G1028" s="10">
        <v>1</v>
      </c>
      <c r="H1028" s="10">
        <v>2</v>
      </c>
      <c r="I1028" s="10">
        <v>1</v>
      </c>
      <c r="J1028">
        <v>2016</v>
      </c>
      <c r="K1028">
        <v>10</v>
      </c>
      <c r="L1028">
        <v>276</v>
      </c>
      <c r="M1028" t="s">
        <v>61</v>
      </c>
    </row>
    <row r="1029" spans="1:13">
      <c r="A1029" t="s">
        <v>1086</v>
      </c>
      <c r="B1029" s="10">
        <v>4.33</v>
      </c>
      <c r="C1029" s="10">
        <v>4.572</v>
      </c>
      <c r="D1029" s="10">
        <v>5.4</v>
      </c>
      <c r="E1029" s="10">
        <v>62.4</v>
      </c>
      <c r="F1029" s="10">
        <v>10</v>
      </c>
      <c r="G1029" s="10">
        <v>0</v>
      </c>
      <c r="H1029" s="10">
        <v>7</v>
      </c>
      <c r="I1029" s="10">
        <v>0</v>
      </c>
      <c r="J1029">
        <v>2016</v>
      </c>
      <c r="K1029">
        <v>10</v>
      </c>
      <c r="L1029">
        <v>276</v>
      </c>
      <c r="M1029" t="s">
        <v>63</v>
      </c>
    </row>
    <row r="1030" spans="1:13">
      <c r="A1030" t="s">
        <v>1087</v>
      </c>
      <c r="B1030" s="10">
        <v>2.33</v>
      </c>
      <c r="C1030" s="10">
        <v>2.397</v>
      </c>
      <c r="D1030" s="10">
        <v>6</v>
      </c>
      <c r="E1030" s="10">
        <v>28.4</v>
      </c>
      <c r="F1030" s="10">
        <v>10</v>
      </c>
      <c r="G1030" s="10">
        <v>0</v>
      </c>
      <c r="H1030" s="10">
        <v>2</v>
      </c>
      <c r="I1030" s="10">
        <v>1</v>
      </c>
      <c r="J1030">
        <v>2016</v>
      </c>
      <c r="K1030">
        <v>10</v>
      </c>
      <c r="L1030">
        <v>276</v>
      </c>
      <c r="M1030" t="s">
        <v>65</v>
      </c>
    </row>
    <row r="1031" spans="1:13">
      <c r="A1031" t="s">
        <v>1088</v>
      </c>
      <c r="B1031" s="10">
        <v>6.5</v>
      </c>
      <c r="C1031" s="10">
        <v>2.023</v>
      </c>
      <c r="D1031" s="10">
        <v>3</v>
      </c>
      <c r="E1031" s="10">
        <v>32.2</v>
      </c>
      <c r="F1031" s="10">
        <v>10</v>
      </c>
      <c r="G1031" s="10">
        <v>2</v>
      </c>
      <c r="H1031" s="10">
        <v>4</v>
      </c>
      <c r="I1031" s="10">
        <v>0</v>
      </c>
      <c r="J1031">
        <v>2016</v>
      </c>
      <c r="K1031">
        <v>10</v>
      </c>
      <c r="L1031">
        <v>276</v>
      </c>
      <c r="M1031" t="s">
        <v>53</v>
      </c>
    </row>
    <row r="1032" spans="1:13">
      <c r="A1032" t="s">
        <v>1089</v>
      </c>
      <c r="B1032" s="10">
        <v>7</v>
      </c>
      <c r="C1032" s="10">
        <v>3.78</v>
      </c>
      <c r="D1032" s="10">
        <v>6</v>
      </c>
      <c r="E1032" s="10">
        <v>34.4</v>
      </c>
      <c r="F1032" s="10">
        <v>9</v>
      </c>
      <c r="G1032" s="10">
        <v>0</v>
      </c>
      <c r="H1032" s="10">
        <v>5</v>
      </c>
      <c r="I1032" s="10">
        <v>0</v>
      </c>
      <c r="J1032">
        <v>2016</v>
      </c>
      <c r="K1032">
        <v>10</v>
      </c>
      <c r="L1032">
        <v>276</v>
      </c>
      <c r="M1032" t="s">
        <v>55</v>
      </c>
    </row>
    <row r="1033" spans="1:13">
      <c r="A1033" t="s">
        <v>1090</v>
      </c>
      <c r="B1033" s="10">
        <v>15.33</v>
      </c>
      <c r="C1033" s="10">
        <v>4.54</v>
      </c>
      <c r="D1033" s="10">
        <v>6.1</v>
      </c>
      <c r="E1033" s="10">
        <v>78.5</v>
      </c>
      <c r="F1033" s="10">
        <v>23</v>
      </c>
      <c r="G1033" s="10">
        <v>0</v>
      </c>
      <c r="H1033" s="10">
        <v>9</v>
      </c>
      <c r="I1033" s="10">
        <v>5</v>
      </c>
      <c r="J1033">
        <v>2016</v>
      </c>
      <c r="K1033">
        <v>10</v>
      </c>
      <c r="L1033">
        <v>276</v>
      </c>
      <c r="M1033" t="s">
        <v>57</v>
      </c>
    </row>
    <row r="1034" spans="1:13">
      <c r="A1034" t="s">
        <v>1091</v>
      </c>
      <c r="B1034" s="10">
        <v>4.66</v>
      </c>
      <c r="C1034" s="10">
        <v>10.32</v>
      </c>
      <c r="D1034" s="10">
        <v>5.75</v>
      </c>
      <c r="E1034" s="10">
        <v>73.09999999999999</v>
      </c>
      <c r="F1034" s="10">
        <v>5</v>
      </c>
      <c r="G1034" s="10">
        <v>0</v>
      </c>
      <c r="H1034" s="10">
        <v>0</v>
      </c>
      <c r="I1034" s="10">
        <v>2</v>
      </c>
      <c r="J1034">
        <v>2016</v>
      </c>
      <c r="K1034">
        <v>10</v>
      </c>
      <c r="L1034">
        <v>276</v>
      </c>
      <c r="M1034" t="s">
        <v>59</v>
      </c>
    </row>
    <row r="1035" spans="1:13">
      <c r="A1035" t="s">
        <v>1092</v>
      </c>
      <c r="B1035" s="10">
        <v>2.66</v>
      </c>
      <c r="C1035" s="10">
        <v>3.82</v>
      </c>
      <c r="D1035" s="10">
        <v>3</v>
      </c>
      <c r="E1035" s="10">
        <v>43.8</v>
      </c>
      <c r="F1035" s="10">
        <v>6</v>
      </c>
      <c r="G1035" s="10">
        <v>0</v>
      </c>
      <c r="H1035" s="10">
        <v>17</v>
      </c>
      <c r="I1035" s="10">
        <v>5</v>
      </c>
      <c r="J1035">
        <v>2016</v>
      </c>
      <c r="K1035">
        <v>10</v>
      </c>
      <c r="L1035">
        <v>276</v>
      </c>
      <c r="M1035" t="s">
        <v>61</v>
      </c>
    </row>
    <row r="1036" spans="1:13">
      <c r="A1036" t="s">
        <v>1093</v>
      </c>
      <c r="B1036" s="10">
        <v>2.33</v>
      </c>
      <c r="C1036" s="10">
        <v>1.703</v>
      </c>
      <c r="D1036" s="10">
        <v>4</v>
      </c>
      <c r="E1036" s="10">
        <v>25.9</v>
      </c>
      <c r="F1036" s="10">
        <v>18</v>
      </c>
      <c r="G1036" s="10">
        <v>0</v>
      </c>
      <c r="H1036" s="10">
        <v>6</v>
      </c>
      <c r="I1036" s="10">
        <v>3</v>
      </c>
      <c r="J1036">
        <v>2016</v>
      </c>
      <c r="K1036">
        <v>11</v>
      </c>
      <c r="L1036">
        <v>276</v>
      </c>
      <c r="M1036" t="s">
        <v>63</v>
      </c>
    </row>
    <row r="1037" spans="1:13">
      <c r="A1037" t="s">
        <v>1094</v>
      </c>
      <c r="B1037" s="10">
        <v>4</v>
      </c>
      <c r="C1037" s="10">
        <v>3.703</v>
      </c>
      <c r="D1037" s="10">
        <v>4.1</v>
      </c>
      <c r="E1037" s="10">
        <v>42.2</v>
      </c>
      <c r="F1037" s="10">
        <v>1</v>
      </c>
      <c r="G1037" s="10">
        <v>0</v>
      </c>
      <c r="H1037" s="10">
        <v>2</v>
      </c>
      <c r="I1037" s="10">
        <v>3</v>
      </c>
      <c r="J1037">
        <v>2016</v>
      </c>
      <c r="K1037">
        <v>11</v>
      </c>
      <c r="L1037">
        <v>276</v>
      </c>
      <c r="M1037" t="s">
        <v>65</v>
      </c>
    </row>
    <row r="1038" spans="1:13">
      <c r="A1038" t="s">
        <v>1095</v>
      </c>
      <c r="B1038" s="10">
        <v>2</v>
      </c>
      <c r="C1038" s="10">
        <v>1</v>
      </c>
      <c r="D1038" s="10">
        <v>3</v>
      </c>
      <c r="E1038" s="10">
        <v>42.5</v>
      </c>
      <c r="F1038" s="10">
        <v>3</v>
      </c>
      <c r="G1038" s="10">
        <v>0</v>
      </c>
      <c r="H1038" s="10">
        <v>0</v>
      </c>
      <c r="I1038" s="10">
        <v>1</v>
      </c>
      <c r="J1038">
        <v>2016</v>
      </c>
      <c r="K1038">
        <v>11</v>
      </c>
      <c r="L1038">
        <v>276</v>
      </c>
      <c r="M1038" t="s">
        <v>53</v>
      </c>
    </row>
    <row r="1039" spans="1:13">
      <c r="A1039" t="s">
        <v>1096</v>
      </c>
      <c r="B1039" s="10">
        <v>8.33</v>
      </c>
      <c r="C1039" s="10">
        <v>4.373</v>
      </c>
      <c r="D1039" s="10">
        <v>3.6</v>
      </c>
      <c r="E1039" s="10">
        <v>24.3</v>
      </c>
      <c r="F1039" s="10">
        <v>14</v>
      </c>
      <c r="G1039" s="10">
        <v>1</v>
      </c>
      <c r="H1039" s="10">
        <v>6</v>
      </c>
      <c r="I1039" s="10">
        <v>4.2</v>
      </c>
      <c r="J1039">
        <v>2016</v>
      </c>
      <c r="K1039">
        <v>11</v>
      </c>
      <c r="L1039">
        <v>276</v>
      </c>
      <c r="M1039" t="s">
        <v>55</v>
      </c>
    </row>
    <row r="1040" spans="1:13">
      <c r="A1040" t="s">
        <v>1097</v>
      </c>
      <c r="B1040" s="10">
        <v>7.666666667</v>
      </c>
      <c r="C1040" s="10">
        <v>3.02</v>
      </c>
      <c r="D1040" s="10">
        <v>5.8</v>
      </c>
      <c r="E1040" s="10">
        <v>35.4</v>
      </c>
      <c r="F1040" s="10">
        <v>9</v>
      </c>
      <c r="G1040" s="10">
        <v>0</v>
      </c>
      <c r="H1040" s="10">
        <v>0</v>
      </c>
      <c r="I1040" s="10">
        <v>2</v>
      </c>
      <c r="J1040">
        <v>2016</v>
      </c>
      <c r="K1040">
        <v>11</v>
      </c>
      <c r="L1040">
        <v>276</v>
      </c>
      <c r="M1040" t="s">
        <v>57</v>
      </c>
    </row>
    <row r="1041" spans="1:13">
      <c r="A1041" t="s">
        <v>1098</v>
      </c>
      <c r="B1041" s="10">
        <v>8</v>
      </c>
      <c r="C1041" s="10">
        <v>4.34</v>
      </c>
      <c r="D1041" s="10">
        <v>3</v>
      </c>
      <c r="E1041" s="10">
        <v>42.45</v>
      </c>
      <c r="F1041" s="10">
        <v>3</v>
      </c>
      <c r="G1041" s="10">
        <v>2</v>
      </c>
      <c r="H1041" s="10">
        <v>11</v>
      </c>
      <c r="I1041" s="10">
        <v>5</v>
      </c>
      <c r="J1041">
        <v>2016</v>
      </c>
      <c r="K1041">
        <v>11</v>
      </c>
      <c r="L1041">
        <v>276</v>
      </c>
      <c r="M1041" t="s">
        <v>59</v>
      </c>
    </row>
    <row r="1042" spans="1:13">
      <c r="A1042" t="s">
        <v>1099</v>
      </c>
      <c r="B1042" s="10">
        <v>5</v>
      </c>
      <c r="C1042" s="10">
        <v>2.726</v>
      </c>
      <c r="D1042" s="10">
        <v>6.3</v>
      </c>
      <c r="E1042" s="10">
        <v>35</v>
      </c>
      <c r="F1042" s="10">
        <v>9</v>
      </c>
      <c r="G1042" s="10">
        <v>0</v>
      </c>
      <c r="H1042" s="10">
        <v>5</v>
      </c>
      <c r="I1042" s="10">
        <v>1</v>
      </c>
      <c r="J1042">
        <v>2016</v>
      </c>
      <c r="K1042">
        <v>11</v>
      </c>
      <c r="L1042">
        <v>276</v>
      </c>
      <c r="M1042" t="s">
        <v>61</v>
      </c>
    </row>
    <row r="1043" spans="1:13">
      <c r="A1043" t="s">
        <v>1100</v>
      </c>
      <c r="B1043" s="10">
        <v>7</v>
      </c>
      <c r="C1043" s="10">
        <v>2.35</v>
      </c>
      <c r="D1043" s="10">
        <v>8</v>
      </c>
      <c r="E1043" s="10">
        <v>20</v>
      </c>
      <c r="F1043" s="10">
        <v>19.16666667</v>
      </c>
      <c r="G1043" s="10">
        <v>2</v>
      </c>
      <c r="H1043" s="10">
        <v>8</v>
      </c>
      <c r="I1043" s="10">
        <v>3</v>
      </c>
      <c r="J1043">
        <v>2016</v>
      </c>
      <c r="K1043">
        <v>11</v>
      </c>
      <c r="L1043">
        <v>276</v>
      </c>
      <c r="M1043" t="s">
        <v>63</v>
      </c>
    </row>
    <row r="1044" spans="1:13">
      <c r="A1044" t="s">
        <v>1101</v>
      </c>
      <c r="B1044" s="10">
        <v>2.34</v>
      </c>
      <c r="C1044" s="10">
        <v>5.66</v>
      </c>
      <c r="D1044" s="10">
        <v>1.4</v>
      </c>
      <c r="E1044" s="10">
        <v>25</v>
      </c>
      <c r="F1044" s="10">
        <v>18</v>
      </c>
      <c r="G1044" s="10">
        <v>0</v>
      </c>
      <c r="H1044" s="10">
        <v>4</v>
      </c>
      <c r="I1044" s="10">
        <v>0</v>
      </c>
      <c r="J1044">
        <v>2016</v>
      </c>
      <c r="K1044">
        <v>11</v>
      </c>
      <c r="L1044">
        <v>276</v>
      </c>
      <c r="M1044" t="s">
        <v>65</v>
      </c>
    </row>
    <row r="1045" spans="1:13">
      <c r="A1045" t="s">
        <v>1102</v>
      </c>
      <c r="B1045" s="10">
        <v>7.33</v>
      </c>
      <c r="C1045" s="10">
        <v>6.33</v>
      </c>
      <c r="D1045" s="10">
        <v>7</v>
      </c>
      <c r="E1045" s="10">
        <v>31.1</v>
      </c>
      <c r="F1045" s="10">
        <v>5</v>
      </c>
      <c r="G1045" s="10">
        <v>2</v>
      </c>
      <c r="H1045" s="10">
        <v>12</v>
      </c>
      <c r="I1045" s="10">
        <v>3.4</v>
      </c>
      <c r="J1045">
        <v>2016</v>
      </c>
      <c r="K1045">
        <v>11</v>
      </c>
      <c r="L1045">
        <v>276</v>
      </c>
      <c r="M1045" t="s">
        <v>53</v>
      </c>
    </row>
    <row r="1046" spans="1:13">
      <c r="A1046" t="s">
        <v>1103</v>
      </c>
      <c r="B1046" s="10">
        <v>10.66</v>
      </c>
      <c r="C1046" s="10">
        <v>1.759</v>
      </c>
      <c r="D1046" s="10">
        <v>4</v>
      </c>
      <c r="E1046" s="10">
        <v>33</v>
      </c>
      <c r="F1046" s="10">
        <v>6</v>
      </c>
      <c r="G1046" s="10">
        <v>0</v>
      </c>
      <c r="H1046" s="10">
        <v>1</v>
      </c>
      <c r="I1046" s="10">
        <v>1</v>
      </c>
      <c r="J1046">
        <v>2016</v>
      </c>
      <c r="K1046">
        <v>11</v>
      </c>
      <c r="L1046">
        <v>276</v>
      </c>
      <c r="M1046" t="s">
        <v>55</v>
      </c>
    </row>
    <row r="1047" spans="1:13">
      <c r="A1047" t="s">
        <v>1104</v>
      </c>
      <c r="B1047" s="10">
        <v>8</v>
      </c>
      <c r="C1047" s="10">
        <v>3.825</v>
      </c>
      <c r="D1047" s="10">
        <v>7</v>
      </c>
      <c r="E1047" s="10">
        <v>56.5</v>
      </c>
      <c r="F1047" s="10">
        <v>10</v>
      </c>
      <c r="G1047" s="10">
        <v>0</v>
      </c>
      <c r="H1047" s="10">
        <v>1</v>
      </c>
      <c r="I1047" s="10">
        <v>1.2</v>
      </c>
      <c r="J1047">
        <v>2016</v>
      </c>
      <c r="K1047">
        <v>11</v>
      </c>
      <c r="L1047">
        <v>276</v>
      </c>
      <c r="M1047" t="s">
        <v>57</v>
      </c>
    </row>
    <row r="1048" spans="1:13">
      <c r="A1048" t="s">
        <v>1105</v>
      </c>
      <c r="B1048" s="10">
        <v>6</v>
      </c>
      <c r="C1048" s="10">
        <v>11.32</v>
      </c>
      <c r="D1048" s="10">
        <v>3.6</v>
      </c>
      <c r="E1048" s="10">
        <v>60.2</v>
      </c>
      <c r="F1048" s="10">
        <v>0</v>
      </c>
      <c r="G1048" s="10">
        <v>0</v>
      </c>
      <c r="H1048" s="10">
        <v>5</v>
      </c>
      <c r="I1048" s="10">
        <v>1</v>
      </c>
      <c r="J1048">
        <v>2016</v>
      </c>
      <c r="K1048">
        <v>11</v>
      </c>
      <c r="L1048">
        <v>276</v>
      </c>
      <c r="M1048" t="s">
        <v>59</v>
      </c>
    </row>
    <row r="1049" spans="1:13">
      <c r="A1049" t="s">
        <v>1106</v>
      </c>
      <c r="B1049" s="10">
        <v>10</v>
      </c>
      <c r="C1049" s="10">
        <v>4.726</v>
      </c>
      <c r="D1049" s="10">
        <v>3.8</v>
      </c>
      <c r="E1049" s="10">
        <v>50.5</v>
      </c>
      <c r="F1049" s="10">
        <v>5</v>
      </c>
      <c r="G1049" s="10">
        <v>3</v>
      </c>
      <c r="H1049" s="10">
        <v>1</v>
      </c>
      <c r="I1049" s="10">
        <v>1</v>
      </c>
      <c r="J1049">
        <v>2016</v>
      </c>
      <c r="K1049">
        <v>11</v>
      </c>
      <c r="L1049">
        <v>276</v>
      </c>
      <c r="M1049" t="s">
        <v>61</v>
      </c>
    </row>
    <row r="1050" spans="1:13">
      <c r="A1050" t="s">
        <v>1107</v>
      </c>
      <c r="B1050" s="10">
        <v>5.33</v>
      </c>
      <c r="C1050" s="10">
        <v>0.33</v>
      </c>
      <c r="D1050" s="10">
        <v>4</v>
      </c>
      <c r="E1050" s="10">
        <v>30.1</v>
      </c>
      <c r="F1050" s="10">
        <v>27</v>
      </c>
      <c r="G1050" s="10">
        <v>5</v>
      </c>
      <c r="H1050" s="10">
        <v>5</v>
      </c>
      <c r="I1050" s="10">
        <v>1</v>
      </c>
      <c r="J1050">
        <v>2016</v>
      </c>
      <c r="K1050">
        <v>11</v>
      </c>
      <c r="L1050">
        <v>276</v>
      </c>
      <c r="M1050" t="s">
        <v>63</v>
      </c>
    </row>
    <row r="1051" spans="1:13">
      <c r="A1051" t="s">
        <v>1108</v>
      </c>
      <c r="B1051" s="10">
        <v>4</v>
      </c>
      <c r="C1051" s="10">
        <v>3.167</v>
      </c>
      <c r="D1051" s="10">
        <v>4</v>
      </c>
      <c r="E1051" s="10">
        <v>38.912</v>
      </c>
      <c r="F1051" s="10">
        <v>5</v>
      </c>
      <c r="G1051" s="10">
        <v>0</v>
      </c>
      <c r="H1051" s="10">
        <v>10</v>
      </c>
      <c r="I1051" s="10">
        <v>1</v>
      </c>
      <c r="J1051">
        <v>2016</v>
      </c>
      <c r="K1051">
        <v>11</v>
      </c>
      <c r="L1051">
        <v>276</v>
      </c>
      <c r="M1051" t="s">
        <v>65</v>
      </c>
    </row>
    <row r="1052" spans="1:13">
      <c r="A1052" t="s">
        <v>1109</v>
      </c>
      <c r="B1052" s="10">
        <v>5</v>
      </c>
      <c r="C1052" s="10">
        <v>2.726</v>
      </c>
      <c r="D1052" s="10">
        <v>5.7</v>
      </c>
      <c r="E1052" s="10">
        <v>41.4</v>
      </c>
      <c r="F1052" s="10">
        <v>0</v>
      </c>
      <c r="G1052" s="10">
        <v>0</v>
      </c>
      <c r="H1052" s="10">
        <v>1</v>
      </c>
      <c r="I1052" s="10">
        <v>1.4</v>
      </c>
      <c r="J1052">
        <v>2016</v>
      </c>
      <c r="K1052">
        <v>11</v>
      </c>
      <c r="L1052">
        <v>276</v>
      </c>
      <c r="M1052" t="s">
        <v>53</v>
      </c>
    </row>
    <row r="1053" spans="1:13">
      <c r="A1053" t="s">
        <v>1110</v>
      </c>
      <c r="B1053" s="10">
        <v>1.33</v>
      </c>
      <c r="C1053" s="10">
        <v>4.33</v>
      </c>
      <c r="D1053" s="10">
        <v>6.25</v>
      </c>
      <c r="E1053" s="10">
        <v>31</v>
      </c>
      <c r="F1053" s="10">
        <v>7</v>
      </c>
      <c r="G1053" s="10">
        <v>1</v>
      </c>
      <c r="H1053" s="10">
        <v>2</v>
      </c>
      <c r="I1053" s="10">
        <v>2</v>
      </c>
      <c r="J1053">
        <v>2016</v>
      </c>
      <c r="K1053">
        <v>11</v>
      </c>
      <c r="L1053">
        <v>276</v>
      </c>
      <c r="M1053" t="s">
        <v>55</v>
      </c>
    </row>
    <row r="1054" spans="1:13">
      <c r="A1054" t="s">
        <v>1111</v>
      </c>
      <c r="B1054" s="10">
        <v>5</v>
      </c>
      <c r="C1054" s="10">
        <v>2.7</v>
      </c>
      <c r="D1054" s="10">
        <v>4</v>
      </c>
      <c r="E1054" s="10">
        <v>35.4</v>
      </c>
      <c r="F1054" s="10">
        <v>3</v>
      </c>
      <c r="G1054" s="10">
        <v>0</v>
      </c>
      <c r="H1054" s="10">
        <v>3</v>
      </c>
      <c r="I1054" s="10">
        <v>2</v>
      </c>
      <c r="J1054">
        <v>2016</v>
      </c>
      <c r="K1054">
        <v>11</v>
      </c>
      <c r="L1054">
        <v>276</v>
      </c>
      <c r="M1054" t="s">
        <v>57</v>
      </c>
    </row>
    <row r="1055" spans="1:13">
      <c r="A1055" t="s">
        <v>1112</v>
      </c>
      <c r="B1055" s="10">
        <v>7</v>
      </c>
      <c r="C1055" s="10">
        <v>4.34</v>
      </c>
      <c r="D1055" s="10">
        <v>5</v>
      </c>
      <c r="E1055" s="10">
        <v>25.5</v>
      </c>
      <c r="F1055" s="10">
        <v>3</v>
      </c>
      <c r="G1055" s="10">
        <v>0</v>
      </c>
      <c r="H1055" s="10">
        <v>0</v>
      </c>
      <c r="I1055" s="10">
        <v>2</v>
      </c>
      <c r="J1055">
        <v>2016</v>
      </c>
      <c r="K1055">
        <v>11</v>
      </c>
      <c r="L1055">
        <v>276</v>
      </c>
      <c r="M1055" t="s">
        <v>59</v>
      </c>
    </row>
    <row r="1056" spans="1:13">
      <c r="A1056" t="s">
        <v>1113</v>
      </c>
      <c r="B1056" s="10">
        <v>1.34</v>
      </c>
      <c r="C1056" s="10">
        <v>3.34</v>
      </c>
      <c r="D1056" s="10">
        <v>5.25</v>
      </c>
      <c r="E1056" s="10">
        <v>30</v>
      </c>
      <c r="F1056" s="10">
        <v>1</v>
      </c>
      <c r="G1056" s="10">
        <v>0</v>
      </c>
      <c r="H1056" s="10">
        <v>13</v>
      </c>
      <c r="I1056" s="10">
        <v>3</v>
      </c>
      <c r="J1056">
        <v>2016</v>
      </c>
      <c r="K1056">
        <v>11</v>
      </c>
      <c r="L1056">
        <v>276</v>
      </c>
      <c r="M1056" t="s">
        <v>61</v>
      </c>
    </row>
    <row r="1057" spans="1:13">
      <c r="A1057" t="s">
        <v>1114</v>
      </c>
      <c r="B1057" s="10">
        <v>4.01</v>
      </c>
      <c r="C1057" s="10">
        <v>4.703</v>
      </c>
      <c r="D1057" s="10">
        <v>1.1</v>
      </c>
      <c r="E1057" s="10">
        <v>23</v>
      </c>
      <c r="F1057" s="10">
        <v>3</v>
      </c>
      <c r="G1057" s="10">
        <v>2</v>
      </c>
      <c r="H1057" s="10">
        <v>7</v>
      </c>
      <c r="I1057" s="10">
        <v>2</v>
      </c>
      <c r="J1057">
        <v>2016</v>
      </c>
      <c r="K1057">
        <v>11</v>
      </c>
      <c r="L1057">
        <v>276</v>
      </c>
      <c r="M1057" t="s">
        <v>63</v>
      </c>
    </row>
    <row r="1058" spans="1:13">
      <c r="A1058" t="s">
        <v>1115</v>
      </c>
      <c r="B1058" s="10">
        <v>3</v>
      </c>
      <c r="C1058" s="10">
        <v>4.33</v>
      </c>
      <c r="D1058" s="10">
        <v>3.7</v>
      </c>
      <c r="E1058" s="10">
        <v>44.124</v>
      </c>
      <c r="F1058" s="10">
        <v>5</v>
      </c>
      <c r="G1058" s="10">
        <v>0</v>
      </c>
      <c r="H1058" s="10">
        <v>0</v>
      </c>
      <c r="I1058" s="10">
        <v>1</v>
      </c>
      <c r="J1058">
        <v>2016</v>
      </c>
      <c r="K1058">
        <v>11</v>
      </c>
      <c r="L1058">
        <v>276</v>
      </c>
      <c r="M1058" t="s">
        <v>65</v>
      </c>
    </row>
    <row r="1059" spans="1:13">
      <c r="A1059" t="s">
        <v>1116</v>
      </c>
      <c r="B1059" s="10">
        <v>8.67</v>
      </c>
      <c r="C1059" s="10">
        <v>4.333</v>
      </c>
      <c r="D1059" s="10">
        <v>6</v>
      </c>
      <c r="E1059" s="10">
        <v>28</v>
      </c>
      <c r="F1059" s="10">
        <v>2</v>
      </c>
      <c r="G1059" s="10">
        <v>0</v>
      </c>
      <c r="H1059" s="10">
        <v>10</v>
      </c>
      <c r="I1059" s="10">
        <v>3</v>
      </c>
      <c r="J1059">
        <v>2016</v>
      </c>
      <c r="K1059">
        <v>11</v>
      </c>
      <c r="L1059">
        <v>276</v>
      </c>
      <c r="M1059" t="s">
        <v>53</v>
      </c>
    </row>
    <row r="1060" spans="1:13">
      <c r="A1060" t="s">
        <v>1117</v>
      </c>
      <c r="B1060" s="10">
        <v>7.34</v>
      </c>
      <c r="C1060" s="10">
        <v>5</v>
      </c>
      <c r="D1060" s="10">
        <v>7</v>
      </c>
      <c r="E1060" s="10">
        <v>21</v>
      </c>
      <c r="F1060" s="10">
        <v>20</v>
      </c>
      <c r="G1060" s="10">
        <v>4</v>
      </c>
      <c r="H1060" s="10">
        <v>5</v>
      </c>
      <c r="I1060" s="10">
        <v>1</v>
      </c>
      <c r="J1060">
        <v>2016</v>
      </c>
      <c r="K1060">
        <v>11</v>
      </c>
      <c r="L1060">
        <v>276</v>
      </c>
      <c r="M1060" t="s">
        <v>55</v>
      </c>
    </row>
    <row r="1061" spans="1:13">
      <c r="A1061" t="s">
        <v>1118</v>
      </c>
      <c r="B1061" s="10">
        <v>3.33</v>
      </c>
      <c r="C1061" s="10">
        <v>5</v>
      </c>
      <c r="D1061" s="10">
        <v>4</v>
      </c>
      <c r="E1061" s="10">
        <v>36</v>
      </c>
      <c r="F1061" s="10">
        <v>9</v>
      </c>
      <c r="G1061" s="10">
        <v>3</v>
      </c>
      <c r="H1061" s="10">
        <v>12</v>
      </c>
      <c r="I1061" s="10">
        <v>2</v>
      </c>
      <c r="J1061">
        <v>2016</v>
      </c>
      <c r="K1061">
        <v>11</v>
      </c>
      <c r="L1061">
        <v>276</v>
      </c>
      <c r="M1061" t="s">
        <v>57</v>
      </c>
    </row>
    <row r="1062" spans="1:13">
      <c r="A1062" t="s">
        <v>1119</v>
      </c>
      <c r="B1062" s="10">
        <v>9.33</v>
      </c>
      <c r="C1062" s="10">
        <v>5.693</v>
      </c>
      <c r="D1062" s="10">
        <v>3.9</v>
      </c>
      <c r="E1062" s="10">
        <v>61</v>
      </c>
      <c r="F1062" s="10">
        <v>5</v>
      </c>
      <c r="G1062" s="10">
        <v>0</v>
      </c>
      <c r="H1062" s="10">
        <v>1</v>
      </c>
      <c r="I1062" s="10">
        <v>0</v>
      </c>
      <c r="J1062">
        <v>2016</v>
      </c>
      <c r="K1062">
        <v>11</v>
      </c>
      <c r="L1062">
        <v>276</v>
      </c>
      <c r="M1062" t="s">
        <v>59</v>
      </c>
    </row>
    <row r="1063" spans="1:13">
      <c r="A1063" t="s">
        <v>1120</v>
      </c>
      <c r="B1063" s="10">
        <v>4.5</v>
      </c>
      <c r="C1063" s="10">
        <v>1.363</v>
      </c>
      <c r="D1063" s="10">
        <v>2.05</v>
      </c>
      <c r="E1063" s="10">
        <v>23</v>
      </c>
      <c r="F1063" s="10">
        <v>5</v>
      </c>
      <c r="G1063" s="10">
        <v>0</v>
      </c>
      <c r="H1063" s="10">
        <v>12</v>
      </c>
      <c r="I1063" s="10">
        <v>0</v>
      </c>
      <c r="J1063">
        <v>2016</v>
      </c>
      <c r="K1063">
        <v>11</v>
      </c>
      <c r="L1063">
        <v>276</v>
      </c>
      <c r="M1063" t="s">
        <v>61</v>
      </c>
    </row>
    <row r="1064" spans="1:13">
      <c r="A1064" t="s">
        <v>1121</v>
      </c>
      <c r="B1064" s="10">
        <v>5.68</v>
      </c>
      <c r="C1064" s="10">
        <v>5.67</v>
      </c>
      <c r="D1064" s="10">
        <v>3</v>
      </c>
      <c r="E1064" s="10">
        <v>45.6</v>
      </c>
      <c r="F1064" s="10">
        <v>6</v>
      </c>
      <c r="G1064" s="10">
        <v>2</v>
      </c>
      <c r="H1064" s="10">
        <v>0</v>
      </c>
      <c r="I1064" s="10">
        <v>0</v>
      </c>
      <c r="J1064">
        <v>2016</v>
      </c>
      <c r="K1064">
        <v>11</v>
      </c>
      <c r="L1064">
        <v>276</v>
      </c>
      <c r="M1064" t="s">
        <v>63</v>
      </c>
    </row>
    <row r="1065" spans="1:13">
      <c r="A1065" t="s">
        <v>1122</v>
      </c>
      <c r="B1065" s="10">
        <v>3.33</v>
      </c>
      <c r="C1065" s="10">
        <v>2.99</v>
      </c>
      <c r="D1065" s="10">
        <v>4.3</v>
      </c>
      <c r="E1065" s="10">
        <v>24.6</v>
      </c>
      <c r="F1065" s="10">
        <v>13</v>
      </c>
      <c r="G1065" s="10">
        <v>0</v>
      </c>
      <c r="H1065" s="10">
        <v>7</v>
      </c>
      <c r="I1065" s="10">
        <v>0</v>
      </c>
      <c r="J1065">
        <v>2016</v>
      </c>
      <c r="K1065">
        <v>11</v>
      </c>
      <c r="L1065">
        <v>276</v>
      </c>
      <c r="M1065" t="s">
        <v>65</v>
      </c>
    </row>
    <row r="1066" spans="1:13">
      <c r="A1066" t="s">
        <v>1123</v>
      </c>
      <c r="B1066" s="10">
        <v>4.5</v>
      </c>
      <c r="C1066" s="10">
        <v>2.363</v>
      </c>
      <c r="D1066" s="10">
        <v>1.5</v>
      </c>
      <c r="E1066" s="10">
        <v>55.662</v>
      </c>
      <c r="F1066" s="10">
        <v>8</v>
      </c>
      <c r="G1066" s="10">
        <v>0</v>
      </c>
      <c r="H1066" s="10">
        <v>9</v>
      </c>
      <c r="I1066" s="10">
        <v>0</v>
      </c>
      <c r="J1066">
        <v>2016</v>
      </c>
      <c r="K1066">
        <v>12</v>
      </c>
      <c r="L1066">
        <v>276</v>
      </c>
      <c r="M1066" t="s">
        <v>53</v>
      </c>
    </row>
    <row r="1067" spans="1:13">
      <c r="A1067" t="s">
        <v>1124</v>
      </c>
      <c r="B1067" s="10">
        <v>6</v>
      </c>
      <c r="C1067" s="10">
        <v>1.076</v>
      </c>
      <c r="D1067" s="10">
        <v>3.2</v>
      </c>
      <c r="E1067" s="10">
        <v>43</v>
      </c>
      <c r="F1067" s="10">
        <v>14</v>
      </c>
      <c r="G1067" s="10">
        <v>0</v>
      </c>
      <c r="H1067" s="10">
        <v>26</v>
      </c>
      <c r="I1067" s="10">
        <v>0.2</v>
      </c>
      <c r="J1067">
        <v>2016</v>
      </c>
      <c r="K1067">
        <v>12</v>
      </c>
      <c r="L1067">
        <v>276</v>
      </c>
      <c r="M1067" t="s">
        <v>55</v>
      </c>
    </row>
    <row r="1068" spans="1:13">
      <c r="A1068" t="s">
        <v>1125</v>
      </c>
      <c r="B1068" s="10">
        <v>3.17</v>
      </c>
      <c r="C1068" s="10">
        <v>2.68</v>
      </c>
      <c r="D1068" s="10">
        <v>3</v>
      </c>
      <c r="E1068" s="10">
        <v>43.3</v>
      </c>
      <c r="F1068" s="10">
        <v>2</v>
      </c>
      <c r="G1068" s="10">
        <v>0</v>
      </c>
      <c r="H1068" s="10">
        <v>1</v>
      </c>
      <c r="I1068" s="10">
        <v>4</v>
      </c>
      <c r="J1068">
        <v>2016</v>
      </c>
      <c r="K1068">
        <v>12</v>
      </c>
      <c r="L1068">
        <v>276</v>
      </c>
      <c r="M1068" t="s">
        <v>57</v>
      </c>
    </row>
    <row r="1069" spans="1:13">
      <c r="A1069" t="s">
        <v>1126</v>
      </c>
      <c r="B1069" s="10">
        <v>7</v>
      </c>
      <c r="C1069" s="10">
        <v>9.122999999999999</v>
      </c>
      <c r="D1069" s="10">
        <v>2.9</v>
      </c>
      <c r="E1069" s="10">
        <v>67</v>
      </c>
      <c r="F1069" s="10">
        <v>4</v>
      </c>
      <c r="G1069" s="10">
        <v>0</v>
      </c>
      <c r="H1069" s="10">
        <v>0</v>
      </c>
      <c r="I1069" s="10">
        <v>0</v>
      </c>
      <c r="J1069">
        <v>2016</v>
      </c>
      <c r="K1069">
        <v>12</v>
      </c>
      <c r="L1069">
        <v>276</v>
      </c>
      <c r="M1069" t="s">
        <v>59</v>
      </c>
    </row>
    <row r="1070" spans="1:13">
      <c r="A1070" t="s">
        <v>1127</v>
      </c>
      <c r="B1070" s="10">
        <v>9.5</v>
      </c>
      <c r="C1070" s="10">
        <v>1.68</v>
      </c>
      <c r="D1070" s="10">
        <v>4</v>
      </c>
      <c r="E1070" s="10">
        <v>23</v>
      </c>
      <c r="F1070" s="10">
        <v>6</v>
      </c>
      <c r="G1070" s="10">
        <v>1</v>
      </c>
      <c r="H1070" s="10">
        <v>13</v>
      </c>
      <c r="I1070" s="10">
        <v>2</v>
      </c>
      <c r="J1070">
        <v>2016</v>
      </c>
      <c r="K1070">
        <v>12</v>
      </c>
      <c r="L1070">
        <v>276</v>
      </c>
      <c r="M1070" t="s">
        <v>61</v>
      </c>
    </row>
    <row r="1071" spans="1:13">
      <c r="A1071" t="s">
        <v>1128</v>
      </c>
      <c r="B1071" s="10">
        <v>6</v>
      </c>
      <c r="C1071" s="10">
        <v>5.09</v>
      </c>
      <c r="D1071" s="10">
        <v>4.4</v>
      </c>
      <c r="E1071" s="10">
        <v>27.2</v>
      </c>
      <c r="F1071" s="10">
        <v>4</v>
      </c>
      <c r="G1071" s="10">
        <v>0</v>
      </c>
      <c r="H1071" s="10">
        <v>20</v>
      </c>
      <c r="I1071" s="10">
        <v>1</v>
      </c>
      <c r="J1071">
        <v>2016</v>
      </c>
      <c r="K1071">
        <v>12</v>
      </c>
      <c r="L1071">
        <v>276</v>
      </c>
      <c r="M1071" t="s">
        <v>63</v>
      </c>
    </row>
    <row r="1072" spans="1:13">
      <c r="A1072" t="s">
        <v>1129</v>
      </c>
      <c r="B1072" s="10">
        <v>4.34</v>
      </c>
      <c r="C1072" s="10">
        <v>2.726</v>
      </c>
      <c r="D1072" s="10">
        <v>1.7</v>
      </c>
      <c r="E1072" s="10">
        <v>47</v>
      </c>
      <c r="F1072" s="10">
        <v>8</v>
      </c>
      <c r="G1072" s="10">
        <v>3</v>
      </c>
      <c r="H1072" s="10">
        <v>7</v>
      </c>
      <c r="I1072" s="10">
        <v>3</v>
      </c>
      <c r="J1072">
        <v>2016</v>
      </c>
      <c r="K1072">
        <v>12</v>
      </c>
      <c r="L1072">
        <v>276</v>
      </c>
      <c r="M1072" t="s">
        <v>65</v>
      </c>
    </row>
    <row r="1073" spans="1:13">
      <c r="A1073" t="s">
        <v>1130</v>
      </c>
      <c r="B1073" s="10">
        <v>5.67</v>
      </c>
      <c r="C1073" s="10">
        <v>1.67</v>
      </c>
      <c r="D1073" s="10">
        <v>5</v>
      </c>
      <c r="E1073" s="10">
        <v>35.7</v>
      </c>
      <c r="F1073" s="10">
        <v>9</v>
      </c>
      <c r="G1073" s="10">
        <v>0</v>
      </c>
      <c r="H1073" s="10">
        <v>2</v>
      </c>
      <c r="I1073" s="10">
        <v>0</v>
      </c>
      <c r="J1073">
        <v>2016</v>
      </c>
      <c r="K1073">
        <v>12</v>
      </c>
      <c r="L1073">
        <v>276</v>
      </c>
      <c r="M1073" t="s">
        <v>53</v>
      </c>
    </row>
    <row r="1074" spans="1:13">
      <c r="A1074" t="s">
        <v>1131</v>
      </c>
      <c r="B1074" s="10">
        <v>5.66</v>
      </c>
      <c r="C1074" s="10">
        <v>1.67</v>
      </c>
      <c r="D1074" s="10">
        <v>4</v>
      </c>
      <c r="E1074" s="10">
        <v>35.062</v>
      </c>
      <c r="F1074" s="10">
        <v>2</v>
      </c>
      <c r="G1074" s="10">
        <v>0</v>
      </c>
      <c r="H1074" s="10">
        <v>0</v>
      </c>
      <c r="I1074" s="10">
        <v>2</v>
      </c>
      <c r="J1074">
        <v>2016</v>
      </c>
      <c r="K1074">
        <v>12</v>
      </c>
      <c r="L1074">
        <v>276</v>
      </c>
      <c r="M1074" t="s">
        <v>55</v>
      </c>
    </row>
    <row r="1075" spans="1:13">
      <c r="A1075" t="s">
        <v>1132</v>
      </c>
      <c r="B1075" s="10">
        <v>7.34</v>
      </c>
      <c r="C1075" s="10">
        <v>6.33</v>
      </c>
      <c r="D1075" s="10">
        <v>10.1</v>
      </c>
      <c r="E1075" s="10">
        <v>45.4</v>
      </c>
      <c r="F1075" s="10">
        <v>1</v>
      </c>
      <c r="G1075" s="10">
        <v>0</v>
      </c>
      <c r="H1075" s="10">
        <v>15</v>
      </c>
      <c r="I1075" s="10">
        <v>2</v>
      </c>
      <c r="J1075">
        <v>2016</v>
      </c>
      <c r="K1075">
        <v>12</v>
      </c>
      <c r="L1075">
        <v>276</v>
      </c>
      <c r="M1075" t="s">
        <v>57</v>
      </c>
    </row>
    <row r="1076" spans="1:13">
      <c r="A1076" t="s">
        <v>1133</v>
      </c>
      <c r="B1076" s="10">
        <v>3.34</v>
      </c>
      <c r="C1076" s="10">
        <v>4.726</v>
      </c>
      <c r="D1076" s="10">
        <v>8.550000000000001</v>
      </c>
      <c r="E1076" s="10">
        <v>62.062</v>
      </c>
      <c r="F1076" s="10">
        <v>7</v>
      </c>
      <c r="G1076" s="10">
        <v>0</v>
      </c>
      <c r="H1076" s="10">
        <v>14</v>
      </c>
      <c r="I1076" s="10">
        <v>1</v>
      </c>
      <c r="J1076">
        <v>2016</v>
      </c>
      <c r="K1076">
        <v>12</v>
      </c>
      <c r="L1076">
        <v>276</v>
      </c>
      <c r="M1076" t="s">
        <v>59</v>
      </c>
    </row>
    <row r="1077" spans="1:13">
      <c r="A1077" t="s">
        <v>1134</v>
      </c>
      <c r="B1077" s="10">
        <v>3.66</v>
      </c>
      <c r="C1077" s="10">
        <v>2.429</v>
      </c>
      <c r="D1077" s="10">
        <v>3.1</v>
      </c>
      <c r="E1077" s="10">
        <v>44.5</v>
      </c>
      <c r="F1077" s="10">
        <v>28.33333333</v>
      </c>
      <c r="G1077" s="10">
        <v>3</v>
      </c>
      <c r="H1077" s="10">
        <v>21</v>
      </c>
      <c r="I1077" s="10">
        <v>4</v>
      </c>
      <c r="J1077">
        <v>2016</v>
      </c>
      <c r="K1077">
        <v>12</v>
      </c>
      <c r="L1077">
        <v>276</v>
      </c>
      <c r="M1077" t="s">
        <v>61</v>
      </c>
    </row>
    <row r="1078" spans="1:13">
      <c r="A1078" t="s">
        <v>1135</v>
      </c>
      <c r="B1078" s="10">
        <v>1</v>
      </c>
      <c r="C1078" s="10">
        <v>4</v>
      </c>
      <c r="D1078" s="10">
        <v>5.1</v>
      </c>
      <c r="E1078" s="10">
        <v>43.6</v>
      </c>
      <c r="F1078" s="10">
        <v>0</v>
      </c>
      <c r="G1078" s="10">
        <v>0</v>
      </c>
      <c r="H1078" s="10">
        <v>18</v>
      </c>
      <c r="I1078" s="10">
        <v>0</v>
      </c>
      <c r="J1078">
        <v>2016</v>
      </c>
      <c r="K1078">
        <v>12</v>
      </c>
      <c r="L1078">
        <v>276</v>
      </c>
      <c r="M1078" t="s">
        <v>63</v>
      </c>
    </row>
    <row r="1079" spans="1:13">
      <c r="A1079" t="s">
        <v>1136</v>
      </c>
      <c r="B1079" s="10">
        <v>5.83</v>
      </c>
      <c r="C1079" s="10">
        <v>3.78</v>
      </c>
      <c r="D1079" s="10">
        <v>5.65</v>
      </c>
      <c r="E1079" s="10">
        <v>32.2</v>
      </c>
      <c r="F1079" s="10">
        <v>21</v>
      </c>
      <c r="G1079" s="10">
        <v>0</v>
      </c>
      <c r="H1079" s="10">
        <v>10</v>
      </c>
      <c r="I1079" s="10">
        <v>1.2</v>
      </c>
      <c r="J1079">
        <v>2016</v>
      </c>
      <c r="K1079">
        <v>12</v>
      </c>
      <c r="L1079">
        <v>276</v>
      </c>
      <c r="M1079" t="s">
        <v>65</v>
      </c>
    </row>
    <row r="1080" spans="1:13">
      <c r="A1080" t="s">
        <v>1137</v>
      </c>
      <c r="B1080" s="10">
        <v>9.66</v>
      </c>
      <c r="C1080" s="10">
        <v>3.33</v>
      </c>
      <c r="D1080" s="10">
        <v>1</v>
      </c>
      <c r="E1080" s="10">
        <v>22.8</v>
      </c>
      <c r="F1080" s="10">
        <v>8</v>
      </c>
      <c r="G1080" s="10">
        <v>0</v>
      </c>
      <c r="H1080" s="10">
        <v>5</v>
      </c>
      <c r="I1080" s="10">
        <v>1</v>
      </c>
      <c r="J1080">
        <v>2016</v>
      </c>
      <c r="K1080">
        <v>12</v>
      </c>
      <c r="L1080">
        <v>276</v>
      </c>
      <c r="M1080" t="s">
        <v>53</v>
      </c>
    </row>
    <row r="1081" spans="1:13">
      <c r="A1081" t="s">
        <v>1138</v>
      </c>
      <c r="B1081" s="10">
        <v>7.33</v>
      </c>
      <c r="C1081" s="10">
        <v>6.32</v>
      </c>
      <c r="D1081" s="10">
        <v>2.2</v>
      </c>
      <c r="E1081" s="10">
        <v>39.775</v>
      </c>
      <c r="F1081" s="10">
        <v>8</v>
      </c>
      <c r="G1081" s="10">
        <v>3</v>
      </c>
      <c r="H1081" s="10">
        <v>23</v>
      </c>
      <c r="I1081" s="10">
        <v>1</v>
      </c>
      <c r="J1081">
        <v>2016</v>
      </c>
      <c r="K1081">
        <v>12</v>
      </c>
      <c r="L1081">
        <v>276</v>
      </c>
      <c r="M1081" t="s">
        <v>55</v>
      </c>
    </row>
    <row r="1082" spans="1:13">
      <c r="A1082" t="s">
        <v>1139</v>
      </c>
      <c r="B1082" s="10">
        <v>5.99</v>
      </c>
      <c r="C1082" s="10">
        <v>2.66</v>
      </c>
      <c r="D1082" s="10">
        <v>4.15</v>
      </c>
      <c r="E1082" s="10">
        <v>59.95</v>
      </c>
      <c r="F1082" s="10">
        <v>10</v>
      </c>
      <c r="G1082" s="10">
        <v>0</v>
      </c>
      <c r="H1082" s="10">
        <v>6</v>
      </c>
      <c r="I1082" s="10">
        <v>1</v>
      </c>
      <c r="J1082">
        <v>2016</v>
      </c>
      <c r="K1082">
        <v>12</v>
      </c>
      <c r="L1082">
        <v>276</v>
      </c>
      <c r="M1082" t="s">
        <v>57</v>
      </c>
    </row>
    <row r="1083" spans="1:13">
      <c r="A1083" t="s">
        <v>1140</v>
      </c>
      <c r="B1083" s="10">
        <v>1.67</v>
      </c>
      <c r="C1083" s="10">
        <v>5.02</v>
      </c>
      <c r="D1083" s="10">
        <v>4.2</v>
      </c>
      <c r="E1083" s="10">
        <v>60.7</v>
      </c>
      <c r="F1083" s="10">
        <v>13</v>
      </c>
      <c r="G1083" s="10">
        <v>0</v>
      </c>
      <c r="H1083" s="10">
        <v>5</v>
      </c>
      <c r="I1083" s="10">
        <v>1</v>
      </c>
      <c r="J1083">
        <v>2016</v>
      </c>
      <c r="K1083">
        <v>12</v>
      </c>
      <c r="L1083">
        <v>276</v>
      </c>
      <c r="M1083" t="s">
        <v>59</v>
      </c>
    </row>
    <row r="1084" spans="1:13">
      <c r="A1084" t="s">
        <v>1141</v>
      </c>
      <c r="B1084" s="10">
        <v>0</v>
      </c>
      <c r="C1084" s="10">
        <v>0</v>
      </c>
      <c r="D1084" s="10">
        <v>0</v>
      </c>
      <c r="E1084" s="10">
        <v>0</v>
      </c>
      <c r="F1084" s="10">
        <v>0</v>
      </c>
      <c r="G1084" s="10">
        <v>0</v>
      </c>
      <c r="H1084" s="10">
        <v>0</v>
      </c>
      <c r="I1084" s="10">
        <v>0</v>
      </c>
      <c r="J1084">
        <v>2016</v>
      </c>
      <c r="K1084">
        <v>12</v>
      </c>
      <c r="L1084">
        <v>276</v>
      </c>
      <c r="M1084" t="s">
        <v>61</v>
      </c>
    </row>
    <row r="1085" spans="1:13">
      <c r="A1085" t="s">
        <v>1142</v>
      </c>
      <c r="B1085" s="10">
        <v>6.33</v>
      </c>
      <c r="C1085" s="10">
        <v>3.66</v>
      </c>
      <c r="D1085" s="10">
        <v>4</v>
      </c>
      <c r="E1085" s="10">
        <v>46</v>
      </c>
      <c r="F1085" s="10">
        <v>12</v>
      </c>
      <c r="G1085" s="10">
        <v>2</v>
      </c>
      <c r="H1085" s="10">
        <v>1</v>
      </c>
      <c r="I1085" s="10">
        <v>0</v>
      </c>
      <c r="J1085">
        <v>2016</v>
      </c>
      <c r="K1085">
        <v>12</v>
      </c>
      <c r="L1085">
        <v>276</v>
      </c>
      <c r="M1085" t="s">
        <v>63</v>
      </c>
    </row>
    <row r="1086" spans="1:13">
      <c r="A1086" t="s">
        <v>1143</v>
      </c>
      <c r="B1086" s="10">
        <v>1.34</v>
      </c>
      <c r="C1086" s="10">
        <v>2.812</v>
      </c>
      <c r="D1086" s="10">
        <v>0.25</v>
      </c>
      <c r="E1086" s="10">
        <v>37</v>
      </c>
      <c r="F1086" s="10">
        <v>5</v>
      </c>
      <c r="G1086" s="10">
        <v>0</v>
      </c>
      <c r="H1086" s="10">
        <v>6</v>
      </c>
      <c r="I1086" s="10">
        <v>2.5</v>
      </c>
      <c r="J1086">
        <v>2016</v>
      </c>
      <c r="K1086">
        <v>12</v>
      </c>
      <c r="L1086">
        <v>276</v>
      </c>
      <c r="M1086" t="s">
        <v>65</v>
      </c>
    </row>
    <row r="1087" spans="1:13">
      <c r="A1087" t="s">
        <v>1144</v>
      </c>
      <c r="B1087" s="10">
        <v>4.34</v>
      </c>
      <c r="C1087" s="10">
        <v>4.165</v>
      </c>
      <c r="D1087" s="10">
        <v>3.8</v>
      </c>
      <c r="E1087" s="10">
        <v>38.4</v>
      </c>
      <c r="F1087" s="10">
        <v>1</v>
      </c>
      <c r="G1087" s="10">
        <v>0</v>
      </c>
      <c r="H1087" s="10">
        <v>5</v>
      </c>
      <c r="I1087" s="10">
        <v>0</v>
      </c>
      <c r="J1087">
        <v>2016</v>
      </c>
      <c r="K1087">
        <v>12</v>
      </c>
      <c r="L1087">
        <v>276</v>
      </c>
      <c r="M1087" t="s">
        <v>53</v>
      </c>
    </row>
    <row r="1088" spans="1:13">
      <c r="A1088" t="s">
        <v>1145</v>
      </c>
      <c r="B1088" s="10">
        <v>5.33</v>
      </c>
      <c r="C1088" s="10">
        <v>4.67</v>
      </c>
      <c r="D1088" s="10">
        <v>1.15</v>
      </c>
      <c r="E1088" s="10">
        <v>32</v>
      </c>
      <c r="F1088" s="10">
        <v>6</v>
      </c>
      <c r="G1088" s="10">
        <v>0</v>
      </c>
      <c r="H1088" s="10">
        <v>8</v>
      </c>
      <c r="I1088" s="10">
        <v>2</v>
      </c>
      <c r="J1088">
        <v>2016</v>
      </c>
      <c r="K1088">
        <v>12</v>
      </c>
      <c r="L1088">
        <v>276</v>
      </c>
      <c r="M1088" t="s">
        <v>55</v>
      </c>
    </row>
    <row r="1089" spans="1:13">
      <c r="A1089" t="s">
        <v>1146</v>
      </c>
      <c r="B1089" s="10">
        <v>6.33</v>
      </c>
      <c r="C1089" s="10">
        <v>6.7</v>
      </c>
      <c r="D1089" s="10">
        <v>4.2</v>
      </c>
      <c r="E1089" s="10">
        <v>82</v>
      </c>
      <c r="F1089" s="10">
        <v>4</v>
      </c>
      <c r="G1089" s="10">
        <v>1</v>
      </c>
      <c r="H1089" s="10">
        <v>2</v>
      </c>
      <c r="I1089" s="10">
        <v>1</v>
      </c>
      <c r="J1089">
        <v>2016</v>
      </c>
      <c r="K1089">
        <v>12</v>
      </c>
      <c r="L1089">
        <v>276</v>
      </c>
      <c r="M1089" t="s">
        <v>57</v>
      </c>
    </row>
    <row r="1090" spans="1:13">
      <c r="A1090" t="s">
        <v>1147</v>
      </c>
      <c r="B1090" s="10">
        <v>2.33</v>
      </c>
      <c r="C1090" s="10">
        <v>7.627</v>
      </c>
      <c r="D1090" s="10">
        <v>5.7</v>
      </c>
      <c r="E1090" s="10">
        <v>79.8</v>
      </c>
      <c r="F1090" s="10">
        <v>0</v>
      </c>
      <c r="G1090" s="10">
        <v>0</v>
      </c>
      <c r="H1090" s="10">
        <v>9</v>
      </c>
      <c r="I1090" s="10">
        <v>1</v>
      </c>
      <c r="J1090">
        <v>2016</v>
      </c>
      <c r="K1090">
        <v>12</v>
      </c>
      <c r="L1090">
        <v>276</v>
      </c>
      <c r="M1090" t="s">
        <v>59</v>
      </c>
    </row>
    <row r="1091" spans="1:13">
      <c r="A1091" t="s">
        <v>1148</v>
      </c>
      <c r="B1091" s="10">
        <v>10.33</v>
      </c>
      <c r="C1091" s="10">
        <v>4.66</v>
      </c>
      <c r="D1091" s="10">
        <v>2</v>
      </c>
      <c r="E1091" s="10">
        <v>58.924</v>
      </c>
      <c r="F1091" s="10">
        <v>6</v>
      </c>
      <c r="G1091" s="10">
        <v>0</v>
      </c>
      <c r="H1091" s="10">
        <v>2</v>
      </c>
      <c r="I1091" s="10">
        <v>2</v>
      </c>
      <c r="J1091">
        <v>2016</v>
      </c>
      <c r="K1091">
        <v>12</v>
      </c>
      <c r="L1091">
        <v>276</v>
      </c>
      <c r="M1091" t="s">
        <v>61</v>
      </c>
    </row>
    <row r="1092" spans="1:13">
      <c r="A1092" t="s">
        <v>1149</v>
      </c>
      <c r="B1092" s="10">
        <v>6</v>
      </c>
      <c r="C1092" s="10">
        <v>5</v>
      </c>
      <c r="D1092" s="10">
        <v>0.416666667</v>
      </c>
      <c r="E1092" s="10">
        <v>54.2</v>
      </c>
      <c r="F1092" s="10">
        <v>8</v>
      </c>
      <c r="G1092" s="10">
        <v>2</v>
      </c>
      <c r="H1092" s="10">
        <v>13</v>
      </c>
      <c r="I1092" s="10">
        <v>0</v>
      </c>
      <c r="J1092">
        <v>2016</v>
      </c>
      <c r="K1092">
        <v>12</v>
      </c>
      <c r="L1092">
        <v>276</v>
      </c>
      <c r="M1092" t="s">
        <v>63</v>
      </c>
    </row>
    <row r="1093" spans="1:13">
      <c r="A1093" t="s">
        <v>1150</v>
      </c>
      <c r="B1093" s="10">
        <v>4.34</v>
      </c>
      <c r="C1093" s="10">
        <v>6.33</v>
      </c>
      <c r="D1093" s="10">
        <v>6.45</v>
      </c>
      <c r="E1093" s="10">
        <v>57.2</v>
      </c>
      <c r="F1093" s="10">
        <v>7</v>
      </c>
      <c r="G1093" s="10">
        <v>0</v>
      </c>
      <c r="H1093" s="10">
        <v>13</v>
      </c>
      <c r="I1093" s="10">
        <v>0</v>
      </c>
      <c r="J1093">
        <v>2016</v>
      </c>
      <c r="K1093">
        <v>12</v>
      </c>
      <c r="L1093">
        <v>276</v>
      </c>
      <c r="M1093" t="s">
        <v>65</v>
      </c>
    </row>
    <row r="1094" spans="1:13">
      <c r="A1094" t="s">
        <v>1151</v>
      </c>
      <c r="B1094" s="10">
        <v>11</v>
      </c>
      <c r="C1094" s="10">
        <v>6.01</v>
      </c>
      <c r="D1094" s="10">
        <v>6.35</v>
      </c>
      <c r="E1094" s="10">
        <v>81.2</v>
      </c>
      <c r="F1094" s="10">
        <v>4</v>
      </c>
      <c r="G1094" s="10">
        <v>3</v>
      </c>
      <c r="H1094" s="10">
        <v>6</v>
      </c>
      <c r="I1094" s="10">
        <v>2</v>
      </c>
      <c r="J1094">
        <v>2016</v>
      </c>
      <c r="K1094">
        <v>12</v>
      </c>
      <c r="L1094">
        <v>276</v>
      </c>
      <c r="M1094" t="s">
        <v>53</v>
      </c>
    </row>
    <row r="1095" spans="1:13">
      <c r="A1095" t="s">
        <v>1152</v>
      </c>
      <c r="B1095" s="10">
        <v>5.66</v>
      </c>
      <c r="C1095" s="10">
        <v>8.99</v>
      </c>
      <c r="D1095" s="10">
        <v>7.3</v>
      </c>
      <c r="E1095" s="10">
        <v>161</v>
      </c>
      <c r="F1095" s="10">
        <v>13</v>
      </c>
      <c r="G1095" s="10">
        <v>0</v>
      </c>
      <c r="H1095" s="10">
        <v>3</v>
      </c>
      <c r="I1095" s="10">
        <v>0</v>
      </c>
      <c r="J1095">
        <v>2016</v>
      </c>
      <c r="K1095">
        <v>12</v>
      </c>
      <c r="L1095">
        <v>276</v>
      </c>
      <c r="M1095" t="s">
        <v>55</v>
      </c>
    </row>
    <row r="1096" spans="1:13">
      <c r="A1096" t="s">
        <v>1153</v>
      </c>
      <c r="B1096" s="10">
        <v>8.33</v>
      </c>
      <c r="C1096" s="10">
        <v>7.759</v>
      </c>
      <c r="D1096" s="10">
        <v>7.45</v>
      </c>
      <c r="E1096" s="10">
        <v>108.7</v>
      </c>
      <c r="F1096" s="10">
        <v>7</v>
      </c>
      <c r="G1096" s="10">
        <v>0</v>
      </c>
      <c r="H1096" s="10">
        <v>12</v>
      </c>
      <c r="I1096" s="10">
        <v>0</v>
      </c>
      <c r="J1096">
        <v>2016</v>
      </c>
      <c r="K1096">
        <v>12</v>
      </c>
      <c r="L1096">
        <v>276</v>
      </c>
      <c r="M1096" t="s">
        <v>57</v>
      </c>
    </row>
    <row r="1097" spans="1:13">
      <c r="A1097" t="s">
        <v>1154</v>
      </c>
      <c r="B1097" s="10">
        <v>3.54375</v>
      </c>
      <c r="C1097" s="10">
        <v>3.95625</v>
      </c>
      <c r="D1097" s="10">
        <v>1.5625</v>
      </c>
      <c r="E1097" s="10">
        <v>25.675</v>
      </c>
      <c r="F1097" s="10">
        <v>8.75</v>
      </c>
      <c r="G1097" s="10">
        <v>1.875</v>
      </c>
      <c r="H1097" s="10">
        <v>6.25</v>
      </c>
      <c r="I1097" s="10">
        <v>0.625</v>
      </c>
      <c r="J1097">
        <v>2017</v>
      </c>
      <c r="K1097">
        <v>1</v>
      </c>
      <c r="L1097">
        <v>276</v>
      </c>
      <c r="M1097" t="s">
        <v>59</v>
      </c>
    </row>
    <row r="1098" spans="1:13">
      <c r="A1098" t="s">
        <v>1155</v>
      </c>
      <c r="B1098" s="10">
        <v>0.2125</v>
      </c>
      <c r="C1098" s="10">
        <v>0.6375</v>
      </c>
      <c r="D1098" s="10">
        <v>0.625</v>
      </c>
      <c r="E1098" s="10">
        <v>32</v>
      </c>
      <c r="F1098" s="10">
        <v>0</v>
      </c>
      <c r="G1098" s="10">
        <v>0.625</v>
      </c>
      <c r="H1098" s="10">
        <v>3.125</v>
      </c>
      <c r="I1098" s="10">
        <v>3.125</v>
      </c>
      <c r="J1098">
        <v>2017</v>
      </c>
      <c r="K1098">
        <v>1</v>
      </c>
      <c r="L1098">
        <v>276</v>
      </c>
      <c r="M1098" t="s">
        <v>61</v>
      </c>
    </row>
    <row r="1099" spans="1:13">
      <c r="A1099" t="s">
        <v>1156</v>
      </c>
      <c r="B1099" s="10">
        <v>6.25</v>
      </c>
      <c r="C1099" s="10">
        <v>5.83125</v>
      </c>
      <c r="D1099" s="10">
        <v>4.625</v>
      </c>
      <c r="E1099" s="10">
        <v>66.8125</v>
      </c>
      <c r="F1099" s="10">
        <v>8.75</v>
      </c>
      <c r="G1099" s="10">
        <v>0</v>
      </c>
      <c r="H1099" s="10">
        <v>7.03125</v>
      </c>
      <c r="I1099" s="10">
        <v>1.875</v>
      </c>
      <c r="J1099">
        <v>2017</v>
      </c>
      <c r="K1099">
        <v>1</v>
      </c>
      <c r="L1099">
        <v>276</v>
      </c>
      <c r="M1099" t="s">
        <v>63</v>
      </c>
    </row>
    <row r="1100" spans="1:13">
      <c r="A1100" t="s">
        <v>1157</v>
      </c>
      <c r="B1100" s="10">
        <v>6.804166667</v>
      </c>
      <c r="C1100" s="10">
        <v>5.970833333</v>
      </c>
      <c r="D1100" s="10">
        <v>6.416666667</v>
      </c>
      <c r="E1100" s="10">
        <v>56.76666667</v>
      </c>
      <c r="F1100" s="10">
        <v>10</v>
      </c>
      <c r="G1100" s="10">
        <v>1.25</v>
      </c>
      <c r="H1100" s="10">
        <v>5</v>
      </c>
      <c r="I1100" s="10">
        <v>2.916666667</v>
      </c>
      <c r="J1100">
        <v>2017</v>
      </c>
      <c r="K1100">
        <v>1</v>
      </c>
      <c r="L1100">
        <v>276</v>
      </c>
      <c r="M1100" t="s">
        <v>65</v>
      </c>
    </row>
    <row r="1101" spans="1:13">
      <c r="A1101" t="s">
        <v>1158</v>
      </c>
      <c r="B1101" s="10">
        <v>7.504166667</v>
      </c>
      <c r="C1101" s="10">
        <v>7.879166667</v>
      </c>
      <c r="D1101" s="10">
        <v>5.208333333</v>
      </c>
      <c r="E1101" s="10">
        <v>62.20833333</v>
      </c>
      <c r="F1101" s="10">
        <v>14.58333333</v>
      </c>
      <c r="G1101" s="10">
        <v>0</v>
      </c>
      <c r="H1101" s="10">
        <v>11.25</v>
      </c>
      <c r="I1101" s="10">
        <v>2.5</v>
      </c>
      <c r="J1101">
        <v>2017</v>
      </c>
      <c r="K1101">
        <v>1</v>
      </c>
      <c r="L1101">
        <v>276</v>
      </c>
      <c r="M1101" t="s">
        <v>53</v>
      </c>
    </row>
    <row r="1102" spans="1:13">
      <c r="A1102" t="s">
        <v>1159</v>
      </c>
      <c r="B1102" s="10">
        <v>4.583333333</v>
      </c>
      <c r="C1102" s="10">
        <v>3.05</v>
      </c>
      <c r="D1102" s="10">
        <v>5.625</v>
      </c>
      <c r="E1102" s="10">
        <v>65.5625</v>
      </c>
      <c r="F1102" s="10">
        <v>10.83333333</v>
      </c>
      <c r="G1102" s="10">
        <v>0</v>
      </c>
      <c r="H1102" s="10">
        <v>15.41666667</v>
      </c>
      <c r="I1102" s="10">
        <v>2.5</v>
      </c>
      <c r="J1102">
        <v>2017</v>
      </c>
      <c r="K1102">
        <v>1</v>
      </c>
      <c r="L1102">
        <v>276</v>
      </c>
      <c r="M1102" t="s">
        <v>55</v>
      </c>
    </row>
    <row r="1103" spans="1:13">
      <c r="A1103" t="s">
        <v>1160</v>
      </c>
      <c r="B1103" s="10">
        <v>2.916666667</v>
      </c>
      <c r="C1103" s="10">
        <v>5.154166667</v>
      </c>
      <c r="D1103" s="10">
        <v>5.958333333</v>
      </c>
      <c r="E1103" s="10">
        <v>34.625</v>
      </c>
      <c r="F1103" s="10">
        <v>8.75</v>
      </c>
      <c r="G1103" s="10">
        <v>0</v>
      </c>
      <c r="H1103" s="10">
        <v>2.5</v>
      </c>
      <c r="I1103" s="10">
        <v>0</v>
      </c>
      <c r="J1103">
        <v>2017</v>
      </c>
      <c r="K1103">
        <v>1</v>
      </c>
      <c r="L1103">
        <v>276</v>
      </c>
      <c r="M1103" t="s">
        <v>57</v>
      </c>
    </row>
    <row r="1104" spans="1:13">
      <c r="A1104" t="s">
        <v>1161</v>
      </c>
      <c r="B1104" s="10">
        <v>5.416666667</v>
      </c>
      <c r="C1104" s="10">
        <v>1.859583333</v>
      </c>
      <c r="D1104" s="10">
        <v>5.083333333</v>
      </c>
      <c r="E1104" s="10">
        <v>25.375</v>
      </c>
      <c r="F1104" s="10">
        <v>10</v>
      </c>
      <c r="G1104" s="10">
        <v>2.083333333</v>
      </c>
      <c r="H1104" s="10">
        <v>3.333333333</v>
      </c>
      <c r="I1104" s="10">
        <v>1.666666667</v>
      </c>
      <c r="J1104">
        <v>2017</v>
      </c>
      <c r="K1104">
        <v>1</v>
      </c>
      <c r="L1104">
        <v>276</v>
      </c>
      <c r="M1104" t="s">
        <v>59</v>
      </c>
    </row>
    <row r="1105" spans="1:13">
      <c r="A1105" t="s">
        <v>1162</v>
      </c>
      <c r="B1105" s="10">
        <v>3.8875</v>
      </c>
      <c r="C1105" s="10">
        <v>4.057083333</v>
      </c>
      <c r="D1105" s="10">
        <v>2.583333333</v>
      </c>
      <c r="E1105" s="10">
        <v>56.125</v>
      </c>
      <c r="F1105" s="10">
        <v>9.166666666999999</v>
      </c>
      <c r="G1105" s="10">
        <v>0.416666667</v>
      </c>
      <c r="H1105" s="10">
        <v>1.666666667</v>
      </c>
      <c r="I1105" s="10">
        <v>2.083333333</v>
      </c>
      <c r="J1105">
        <v>2017</v>
      </c>
      <c r="K1105">
        <v>1</v>
      </c>
      <c r="L1105">
        <v>276</v>
      </c>
      <c r="M1105" t="s">
        <v>61</v>
      </c>
    </row>
    <row r="1106" spans="1:13">
      <c r="A1106" t="s">
        <v>1163</v>
      </c>
      <c r="B1106" s="10">
        <v>6.3875</v>
      </c>
      <c r="C1106" s="10">
        <v>4.73875</v>
      </c>
      <c r="D1106" s="10">
        <v>13.29166667</v>
      </c>
      <c r="E1106" s="10">
        <v>54.25</v>
      </c>
      <c r="F1106" s="10">
        <v>25</v>
      </c>
      <c r="G1106" s="10">
        <v>1.666666667</v>
      </c>
      <c r="H1106" s="10">
        <v>7.5</v>
      </c>
      <c r="I1106" s="10">
        <v>0.833333333</v>
      </c>
      <c r="J1106">
        <v>2017</v>
      </c>
      <c r="K1106">
        <v>1</v>
      </c>
      <c r="L1106">
        <v>276</v>
      </c>
      <c r="M1106" t="s">
        <v>63</v>
      </c>
    </row>
    <row r="1107" spans="1:13">
      <c r="A1107" t="s">
        <v>1164</v>
      </c>
      <c r="B1107" s="10">
        <v>9.308333333</v>
      </c>
      <c r="C1107" s="10">
        <v>5.501666667</v>
      </c>
      <c r="D1107" s="10">
        <v>9.166666666999999</v>
      </c>
      <c r="E1107" s="10">
        <v>51.04166667</v>
      </c>
      <c r="F1107" s="10">
        <v>20</v>
      </c>
      <c r="G1107" s="10">
        <v>1.25</v>
      </c>
      <c r="H1107" s="10">
        <v>1.666666667</v>
      </c>
      <c r="I1107" s="10">
        <v>2.916666667</v>
      </c>
      <c r="J1107">
        <v>2017</v>
      </c>
      <c r="K1107">
        <v>1</v>
      </c>
      <c r="L1107">
        <v>276</v>
      </c>
      <c r="M1107" t="s">
        <v>65</v>
      </c>
    </row>
    <row r="1108" spans="1:13">
      <c r="A1108" t="s">
        <v>1165</v>
      </c>
      <c r="B1108" s="10">
        <v>8.333333333000001</v>
      </c>
      <c r="C1108" s="10">
        <v>5.196666667</v>
      </c>
      <c r="D1108" s="10">
        <v>8.75</v>
      </c>
      <c r="E1108" s="10">
        <v>65.9375</v>
      </c>
      <c r="F1108" s="10">
        <v>14.16666667</v>
      </c>
      <c r="G1108" s="10">
        <v>1.25</v>
      </c>
      <c r="H1108" s="10">
        <v>4.583333333</v>
      </c>
      <c r="I1108" s="10">
        <v>1.666666667</v>
      </c>
      <c r="J1108">
        <v>2017</v>
      </c>
      <c r="K1108">
        <v>1</v>
      </c>
      <c r="L1108">
        <v>276</v>
      </c>
      <c r="M1108" t="s">
        <v>53</v>
      </c>
    </row>
    <row r="1109" spans="1:13">
      <c r="A1109" t="s">
        <v>1166</v>
      </c>
      <c r="B1109" s="10">
        <v>6.804166667</v>
      </c>
      <c r="C1109" s="10">
        <v>3.891666667</v>
      </c>
      <c r="D1109" s="10">
        <v>9.541666666999999</v>
      </c>
      <c r="E1109" s="10">
        <v>54.41666667</v>
      </c>
      <c r="F1109" s="10">
        <v>19.58333333</v>
      </c>
      <c r="G1109" s="10">
        <v>0</v>
      </c>
      <c r="H1109" s="10">
        <v>3.333333333</v>
      </c>
      <c r="I1109" s="10">
        <v>1.333333333</v>
      </c>
      <c r="J1109">
        <v>2017</v>
      </c>
      <c r="K1109">
        <v>1</v>
      </c>
      <c r="L1109">
        <v>276</v>
      </c>
      <c r="M1109" t="s">
        <v>55</v>
      </c>
    </row>
    <row r="1110" spans="1:13">
      <c r="A1110" t="s">
        <v>1167</v>
      </c>
      <c r="B1110" s="10">
        <v>5.975</v>
      </c>
      <c r="C1110" s="10">
        <v>4.364583333</v>
      </c>
      <c r="D1110" s="10">
        <v>7.708333333</v>
      </c>
      <c r="E1110" s="10">
        <v>47.91666667</v>
      </c>
      <c r="F1110" s="10">
        <v>16.66666667</v>
      </c>
      <c r="G1110" s="10">
        <v>0.833333333</v>
      </c>
      <c r="H1110" s="10">
        <v>5.416666667</v>
      </c>
      <c r="I1110" s="10">
        <v>2.083333333</v>
      </c>
      <c r="J1110">
        <v>2017</v>
      </c>
      <c r="K1110">
        <v>1</v>
      </c>
      <c r="L1110">
        <v>276</v>
      </c>
      <c r="M1110" t="s">
        <v>57</v>
      </c>
    </row>
    <row r="1111" spans="1:13">
      <c r="A1111" t="s">
        <v>1168</v>
      </c>
      <c r="B1111" s="10">
        <v>8.050000000000001</v>
      </c>
      <c r="C1111" s="10">
        <v>6.525</v>
      </c>
      <c r="D1111" s="10">
        <v>9.083333333000001</v>
      </c>
      <c r="E1111" s="10">
        <v>38.79166667</v>
      </c>
      <c r="F1111" s="10">
        <v>15.41666667</v>
      </c>
      <c r="G1111" s="10">
        <v>0</v>
      </c>
      <c r="H1111" s="10">
        <v>7.5</v>
      </c>
      <c r="I1111" s="10">
        <v>1.25</v>
      </c>
      <c r="J1111">
        <v>2017</v>
      </c>
      <c r="K1111">
        <v>1</v>
      </c>
      <c r="L1111">
        <v>276</v>
      </c>
      <c r="M1111" t="s">
        <v>59</v>
      </c>
    </row>
    <row r="1112" spans="1:13">
      <c r="A1112" t="s">
        <v>1169</v>
      </c>
      <c r="B1112" s="10">
        <v>6.670833333</v>
      </c>
      <c r="C1112" s="10">
        <v>4.029166667</v>
      </c>
      <c r="D1112" s="10">
        <v>8.041666666999999</v>
      </c>
      <c r="E1112" s="10">
        <v>63.5625</v>
      </c>
      <c r="F1112" s="10">
        <v>12.5</v>
      </c>
      <c r="G1112" s="10">
        <v>0.416666667</v>
      </c>
      <c r="H1112" s="10">
        <v>7.083333333</v>
      </c>
      <c r="I1112" s="10">
        <v>2.083333333</v>
      </c>
      <c r="J1112">
        <v>2017</v>
      </c>
      <c r="K1112">
        <v>1</v>
      </c>
      <c r="L1112">
        <v>276</v>
      </c>
      <c r="M1112" t="s">
        <v>61</v>
      </c>
    </row>
    <row r="1113" spans="1:13">
      <c r="A1113" t="s">
        <v>1170</v>
      </c>
      <c r="B1113" s="10">
        <v>7.225</v>
      </c>
      <c r="C1113" s="10">
        <v>4.139166667</v>
      </c>
      <c r="D1113" s="10">
        <v>5.291666667</v>
      </c>
      <c r="E1113" s="10">
        <v>48.45833333</v>
      </c>
      <c r="F1113" s="10">
        <v>13.33333333</v>
      </c>
      <c r="G1113" s="10">
        <v>1.666666667</v>
      </c>
      <c r="H1113" s="10">
        <v>3.75</v>
      </c>
      <c r="I1113" s="10">
        <v>2.5</v>
      </c>
      <c r="J1113">
        <v>2017</v>
      </c>
      <c r="K1113">
        <v>1</v>
      </c>
      <c r="L1113">
        <v>276</v>
      </c>
      <c r="M1113" t="s">
        <v>63</v>
      </c>
    </row>
    <row r="1114" spans="1:13">
      <c r="A1114" t="s">
        <v>1171</v>
      </c>
      <c r="B1114" s="10">
        <v>6.741666667</v>
      </c>
      <c r="C1114" s="10">
        <v>4.445833333</v>
      </c>
      <c r="D1114" s="10">
        <v>6.5</v>
      </c>
      <c r="E1114" s="10">
        <v>45.95833333</v>
      </c>
      <c r="F1114" s="10">
        <v>16.66666667</v>
      </c>
      <c r="G1114" s="10">
        <v>1.25</v>
      </c>
      <c r="H1114" s="10">
        <v>5.833333333</v>
      </c>
      <c r="I1114" s="10">
        <v>0.833333333</v>
      </c>
      <c r="J1114">
        <v>2017</v>
      </c>
      <c r="K1114">
        <v>1</v>
      </c>
      <c r="L1114">
        <v>276</v>
      </c>
      <c r="M1114" t="s">
        <v>65</v>
      </c>
    </row>
    <row r="1115" spans="1:13">
      <c r="A1115" t="s">
        <v>1172</v>
      </c>
      <c r="B1115" s="10">
        <v>5</v>
      </c>
      <c r="C1115" s="10">
        <v>5.7</v>
      </c>
      <c r="D1115" s="10">
        <v>7.833333333</v>
      </c>
      <c r="E1115" s="10">
        <v>37.75</v>
      </c>
      <c r="F1115" s="10">
        <v>15.83333333</v>
      </c>
      <c r="G1115" s="10">
        <v>0</v>
      </c>
      <c r="H1115" s="10">
        <v>2.5</v>
      </c>
      <c r="I1115" s="10">
        <v>3.333333333</v>
      </c>
      <c r="J1115">
        <v>2017</v>
      </c>
      <c r="K1115">
        <v>1</v>
      </c>
      <c r="L1115">
        <v>276</v>
      </c>
      <c r="M1115" t="s">
        <v>53</v>
      </c>
    </row>
    <row r="1116" spans="1:13">
      <c r="A1116" t="s">
        <v>1173</v>
      </c>
      <c r="B1116" s="10">
        <v>3.608333333</v>
      </c>
      <c r="C1116" s="10">
        <v>4.73875</v>
      </c>
      <c r="D1116" s="10">
        <v>4.125</v>
      </c>
      <c r="E1116" s="10">
        <v>37.625</v>
      </c>
      <c r="F1116" s="10">
        <v>23.33333333</v>
      </c>
      <c r="G1116" s="10">
        <v>2.916666667</v>
      </c>
      <c r="H1116" s="10">
        <v>12.5</v>
      </c>
      <c r="I1116" s="10">
        <v>2.5</v>
      </c>
      <c r="J1116">
        <v>2017</v>
      </c>
      <c r="K1116">
        <v>1</v>
      </c>
      <c r="L1116">
        <v>276</v>
      </c>
      <c r="M1116" t="s">
        <v>55</v>
      </c>
    </row>
    <row r="1117" spans="1:13">
      <c r="A1117" t="s">
        <v>1174</v>
      </c>
      <c r="B1117" s="10">
        <v>5.695833333</v>
      </c>
      <c r="C1117" s="10">
        <v>2.4</v>
      </c>
      <c r="D1117" s="10">
        <v>4.583333333</v>
      </c>
      <c r="E1117" s="10">
        <v>50.20833333</v>
      </c>
      <c r="F1117" s="10">
        <v>15</v>
      </c>
      <c r="G1117" s="10">
        <v>2.083333333</v>
      </c>
      <c r="H1117" s="10">
        <v>4.583333333</v>
      </c>
      <c r="I1117" s="10">
        <v>2.916666667</v>
      </c>
      <c r="J1117">
        <v>2017</v>
      </c>
      <c r="K1117">
        <v>1</v>
      </c>
      <c r="L1117">
        <v>276</v>
      </c>
      <c r="M1117" t="s">
        <v>57</v>
      </c>
    </row>
    <row r="1118" spans="1:13">
      <c r="A1118" t="s">
        <v>1175</v>
      </c>
      <c r="B1118" s="10">
        <v>4.5125</v>
      </c>
      <c r="C1118" s="10">
        <v>5.0075</v>
      </c>
      <c r="D1118" s="10">
        <v>5.125</v>
      </c>
      <c r="E1118" s="10">
        <v>37.02083333</v>
      </c>
      <c r="F1118" s="10">
        <v>19.16666667</v>
      </c>
      <c r="G1118" s="10">
        <v>1.25</v>
      </c>
      <c r="H1118" s="10">
        <v>9.166666666999999</v>
      </c>
      <c r="I1118" s="10">
        <v>1.666666667</v>
      </c>
      <c r="J1118">
        <v>2017</v>
      </c>
      <c r="K1118">
        <v>1</v>
      </c>
      <c r="L1118">
        <v>276</v>
      </c>
      <c r="M1118" t="s">
        <v>59</v>
      </c>
    </row>
    <row r="1119" spans="1:13">
      <c r="A1119" t="s">
        <v>1176</v>
      </c>
      <c r="B1119" s="10">
        <v>5.1375</v>
      </c>
      <c r="C1119" s="10">
        <v>4.505</v>
      </c>
      <c r="D1119" s="10">
        <v>6.291666667</v>
      </c>
      <c r="E1119" s="10">
        <v>41.75</v>
      </c>
      <c r="F1119" s="10">
        <v>15.83333333</v>
      </c>
      <c r="G1119" s="10">
        <v>0.833333333</v>
      </c>
      <c r="H1119" s="10">
        <v>2.5</v>
      </c>
      <c r="I1119" s="10">
        <v>1.666666667</v>
      </c>
      <c r="J1119">
        <v>2017</v>
      </c>
      <c r="K1119">
        <v>1</v>
      </c>
      <c r="L1119">
        <v>276</v>
      </c>
      <c r="M1119" t="s">
        <v>61</v>
      </c>
    </row>
    <row r="1120" spans="1:13">
      <c r="A1120" t="s">
        <v>1177</v>
      </c>
      <c r="B1120" s="10">
        <v>6.1125</v>
      </c>
      <c r="C1120" s="10">
        <v>5.770833333</v>
      </c>
      <c r="D1120" s="10">
        <v>10.95833333</v>
      </c>
      <c r="E1120" s="10">
        <v>40.08333333</v>
      </c>
      <c r="F1120" s="10">
        <v>11.25</v>
      </c>
      <c r="G1120" s="10">
        <v>0</v>
      </c>
      <c r="H1120" s="10">
        <v>10</v>
      </c>
      <c r="I1120" s="10">
        <v>2.916666667</v>
      </c>
      <c r="J1120">
        <v>2017</v>
      </c>
      <c r="K1120">
        <v>1</v>
      </c>
      <c r="L1120">
        <v>276</v>
      </c>
      <c r="M1120" t="s">
        <v>63</v>
      </c>
    </row>
    <row r="1121" spans="1:13">
      <c r="A1121" t="s">
        <v>1178</v>
      </c>
      <c r="B1121" s="10">
        <v>7.779166667</v>
      </c>
      <c r="C1121" s="10">
        <v>5.108333333</v>
      </c>
      <c r="D1121" s="10">
        <v>7.666666667</v>
      </c>
      <c r="E1121" s="10">
        <v>51.1875</v>
      </c>
      <c r="F1121" s="10">
        <v>18.75</v>
      </c>
      <c r="G1121" s="10">
        <v>2.083333333</v>
      </c>
      <c r="H1121" s="10">
        <v>13.75</v>
      </c>
      <c r="I1121" s="10">
        <v>2.291666667</v>
      </c>
      <c r="J1121">
        <v>2017</v>
      </c>
      <c r="K1121">
        <v>1</v>
      </c>
      <c r="L1121">
        <v>276</v>
      </c>
      <c r="M1121" t="s">
        <v>65</v>
      </c>
    </row>
    <row r="1122" spans="1:13">
      <c r="A1122" t="s">
        <v>1179</v>
      </c>
      <c r="B1122" s="10">
        <v>5.979166667</v>
      </c>
      <c r="C1122" s="10">
        <v>5.224583333</v>
      </c>
      <c r="D1122" s="10">
        <v>7.041666667</v>
      </c>
      <c r="E1122" s="10">
        <v>36.625</v>
      </c>
      <c r="F1122" s="10">
        <v>13.75</v>
      </c>
      <c r="G1122" s="10">
        <v>0.833333333</v>
      </c>
      <c r="H1122" s="10">
        <v>8.333333333000001</v>
      </c>
      <c r="I1122" s="10">
        <v>0</v>
      </c>
      <c r="J1122">
        <v>2017</v>
      </c>
      <c r="K1122">
        <v>1</v>
      </c>
      <c r="L1122">
        <v>276</v>
      </c>
      <c r="M1122" t="s">
        <v>53</v>
      </c>
    </row>
    <row r="1123" spans="1:13">
      <c r="A1123" t="s">
        <v>1180</v>
      </c>
      <c r="B1123" s="10">
        <v>7.85</v>
      </c>
      <c r="C1123" s="10">
        <v>7.54125</v>
      </c>
      <c r="D1123" s="10">
        <v>5.166666667</v>
      </c>
      <c r="E1123" s="10">
        <v>42.60916667</v>
      </c>
      <c r="F1123" s="10">
        <v>21.25</v>
      </c>
      <c r="G1123" s="10">
        <v>2.083333333</v>
      </c>
      <c r="H1123" s="10">
        <v>9.583333333000001</v>
      </c>
      <c r="I1123" s="10">
        <v>1.25</v>
      </c>
      <c r="J1123">
        <v>2017</v>
      </c>
      <c r="K1123">
        <v>1</v>
      </c>
      <c r="L1123">
        <v>276</v>
      </c>
      <c r="M1123" t="s">
        <v>55</v>
      </c>
    </row>
    <row r="1124" spans="1:13">
      <c r="A1124" t="s">
        <v>1181</v>
      </c>
      <c r="B1124" s="10">
        <v>5.970833333</v>
      </c>
      <c r="C1124" s="10">
        <v>6.1125</v>
      </c>
      <c r="D1124" s="10">
        <v>2.25</v>
      </c>
      <c r="E1124" s="10">
        <v>32.08333333</v>
      </c>
      <c r="F1124" s="10">
        <v>9.166666666999999</v>
      </c>
      <c r="G1124" s="10">
        <v>0</v>
      </c>
      <c r="H1124" s="10">
        <v>1.666666667</v>
      </c>
      <c r="I1124" s="10">
        <v>1.25</v>
      </c>
      <c r="J1124">
        <v>2017</v>
      </c>
      <c r="K1124">
        <v>1</v>
      </c>
      <c r="L1124">
        <v>276</v>
      </c>
      <c r="M1124" t="s">
        <v>57</v>
      </c>
    </row>
    <row r="1125" spans="1:13">
      <c r="A1125" t="s">
        <v>1182</v>
      </c>
      <c r="B1125" s="10">
        <v>5.141666667</v>
      </c>
      <c r="C1125" s="10">
        <v>7.783333333</v>
      </c>
      <c r="D1125" s="10">
        <v>5.333333333</v>
      </c>
      <c r="E1125" s="10">
        <v>54.16666667</v>
      </c>
      <c r="F1125" s="10">
        <v>15.83333333</v>
      </c>
      <c r="G1125" s="10">
        <v>2.5</v>
      </c>
      <c r="H1125" s="10">
        <v>9.583333333000001</v>
      </c>
      <c r="I1125" s="10">
        <v>3.333333333</v>
      </c>
      <c r="J1125">
        <v>2017</v>
      </c>
      <c r="K1125">
        <v>1</v>
      </c>
      <c r="L1125">
        <v>276</v>
      </c>
      <c r="M1125" t="s">
        <v>59</v>
      </c>
    </row>
    <row r="1126" spans="1:13">
      <c r="A1126" t="s">
        <v>1183</v>
      </c>
      <c r="B1126" s="10">
        <v>8.058333333</v>
      </c>
      <c r="C1126" s="10">
        <v>5.61625</v>
      </c>
      <c r="D1126" s="10">
        <v>7</v>
      </c>
      <c r="E1126" s="10">
        <v>35.5175</v>
      </c>
      <c r="F1126" s="10">
        <v>17.08333333</v>
      </c>
      <c r="G1126" s="10">
        <v>4.166666667</v>
      </c>
      <c r="H1126" s="10">
        <v>7.083333333</v>
      </c>
      <c r="I1126" s="10">
        <v>4.166666667</v>
      </c>
      <c r="J1126">
        <v>2017</v>
      </c>
      <c r="K1126">
        <v>1</v>
      </c>
      <c r="L1126">
        <v>276</v>
      </c>
      <c r="M1126" t="s">
        <v>61</v>
      </c>
    </row>
    <row r="1127" spans="1:13">
      <c r="A1127" t="s">
        <v>1184</v>
      </c>
      <c r="B1127" s="10">
        <v>4.441666667</v>
      </c>
      <c r="C1127" s="10">
        <v>4.254583333</v>
      </c>
      <c r="D1127" s="10">
        <v>2.833333333</v>
      </c>
      <c r="E1127" s="10">
        <v>47.25</v>
      </c>
      <c r="F1127" s="10">
        <v>13.33333333</v>
      </c>
      <c r="G1127" s="10">
        <v>0.833333333</v>
      </c>
      <c r="H1127" s="10">
        <v>2.916666667</v>
      </c>
      <c r="I1127" s="10">
        <v>1.666666667</v>
      </c>
      <c r="J1127">
        <v>2017</v>
      </c>
      <c r="K1127">
        <v>1</v>
      </c>
      <c r="L1127">
        <v>276</v>
      </c>
      <c r="M1127" t="s">
        <v>63</v>
      </c>
    </row>
    <row r="1128" spans="1:13">
      <c r="A1128" t="s">
        <v>1185</v>
      </c>
      <c r="B1128" s="10">
        <v>7.375</v>
      </c>
      <c r="C1128" s="10">
        <v>5.188333333</v>
      </c>
      <c r="D1128" s="10">
        <v>6.041666667</v>
      </c>
      <c r="E1128" s="10">
        <v>31.625</v>
      </c>
      <c r="F1128" s="10">
        <v>10.83333333</v>
      </c>
      <c r="G1128" s="10">
        <v>0.416666667</v>
      </c>
      <c r="H1128" s="10">
        <v>8.333333333000001</v>
      </c>
      <c r="I1128" s="10">
        <v>2.083333333</v>
      </c>
      <c r="J1128">
        <v>2017</v>
      </c>
      <c r="K1128">
        <v>2</v>
      </c>
      <c r="L1128">
        <v>276</v>
      </c>
      <c r="M1128" t="s">
        <v>65</v>
      </c>
    </row>
    <row r="1129" spans="1:13">
      <c r="A1129" t="s">
        <v>1186</v>
      </c>
      <c r="B1129" s="10">
        <v>8.195833332999999</v>
      </c>
      <c r="C1129" s="10">
        <v>6.211666667</v>
      </c>
      <c r="D1129" s="10">
        <v>6.416666667</v>
      </c>
      <c r="E1129" s="10">
        <v>42.29166667</v>
      </c>
      <c r="F1129" s="10">
        <v>9.166666666999999</v>
      </c>
      <c r="G1129" s="10">
        <v>0.416666667</v>
      </c>
      <c r="H1129" s="10">
        <v>0.416666667</v>
      </c>
      <c r="I1129" s="10">
        <v>0.833333333</v>
      </c>
      <c r="J1129">
        <v>2017</v>
      </c>
      <c r="K1129">
        <v>2</v>
      </c>
      <c r="L1129">
        <v>276</v>
      </c>
      <c r="M1129" t="s">
        <v>53</v>
      </c>
    </row>
    <row r="1130" spans="1:13">
      <c r="A1130" t="s">
        <v>1187</v>
      </c>
      <c r="B1130" s="10">
        <v>7.6375</v>
      </c>
      <c r="C1130" s="10">
        <v>6.255416667</v>
      </c>
      <c r="D1130" s="10">
        <v>9</v>
      </c>
      <c r="E1130" s="10">
        <v>42.90083333</v>
      </c>
      <c r="F1130" s="10">
        <v>15.83333333</v>
      </c>
      <c r="G1130" s="10">
        <v>2.5</v>
      </c>
      <c r="H1130" s="10">
        <v>7.083333333</v>
      </c>
      <c r="I1130" s="10">
        <v>0.833333333</v>
      </c>
      <c r="J1130">
        <v>2017</v>
      </c>
      <c r="K1130">
        <v>2</v>
      </c>
      <c r="L1130">
        <v>276</v>
      </c>
      <c r="M1130" t="s">
        <v>55</v>
      </c>
    </row>
    <row r="1131" spans="1:13">
      <c r="A1131" t="s">
        <v>1188</v>
      </c>
      <c r="B1131" s="10">
        <v>7.779166667</v>
      </c>
      <c r="C1131" s="10">
        <v>4.166666667</v>
      </c>
      <c r="D1131" s="10">
        <v>4.416666667</v>
      </c>
      <c r="E1131" s="10">
        <v>27.70833333</v>
      </c>
      <c r="F1131" s="10">
        <v>12.08333333</v>
      </c>
      <c r="G1131" s="10">
        <v>0.833333333</v>
      </c>
      <c r="H1131" s="10">
        <v>7.5</v>
      </c>
      <c r="I1131" s="10">
        <v>3.75</v>
      </c>
      <c r="J1131">
        <v>2017</v>
      </c>
      <c r="K1131">
        <v>2</v>
      </c>
      <c r="L1131">
        <v>276</v>
      </c>
      <c r="M1131" t="s">
        <v>57</v>
      </c>
    </row>
    <row r="1132" spans="1:13">
      <c r="A1132" t="s">
        <v>1189</v>
      </c>
      <c r="B1132" s="10">
        <v>10.67</v>
      </c>
      <c r="C1132" s="10">
        <v>10.725</v>
      </c>
      <c r="D1132" s="10">
        <v>5</v>
      </c>
      <c r="E1132" s="10">
        <v>38.6</v>
      </c>
      <c r="F1132" s="10">
        <v>1</v>
      </c>
      <c r="G1132" s="10">
        <v>0</v>
      </c>
      <c r="H1132" s="10">
        <v>11</v>
      </c>
      <c r="I1132" s="10">
        <v>1.1</v>
      </c>
      <c r="J1132">
        <v>2017</v>
      </c>
      <c r="K1132">
        <v>2</v>
      </c>
      <c r="L1132">
        <v>276</v>
      </c>
      <c r="M1132" t="s">
        <v>59</v>
      </c>
    </row>
    <row r="1133" spans="1:13">
      <c r="A1133" t="s">
        <v>1190</v>
      </c>
      <c r="B1133" s="10">
        <v>10</v>
      </c>
      <c r="C1133" s="10">
        <v>5</v>
      </c>
      <c r="D1133" s="10">
        <v>4.4</v>
      </c>
      <c r="E1133" s="10">
        <v>13</v>
      </c>
      <c r="F1133" s="10">
        <v>3</v>
      </c>
      <c r="G1133" s="10">
        <v>2</v>
      </c>
      <c r="H1133" s="10">
        <v>5</v>
      </c>
      <c r="I1133" s="10">
        <v>0</v>
      </c>
      <c r="J1133">
        <v>2017</v>
      </c>
      <c r="K1133">
        <v>2</v>
      </c>
      <c r="L1133">
        <v>276</v>
      </c>
      <c r="M1133" t="s">
        <v>61</v>
      </c>
    </row>
    <row r="1134" spans="1:13">
      <c r="A1134" t="s">
        <v>1191</v>
      </c>
      <c r="B1134" s="10">
        <v>3</v>
      </c>
      <c r="C1134" s="10">
        <v>0.33</v>
      </c>
      <c r="D1134" s="10">
        <v>3.5</v>
      </c>
      <c r="E1134" s="10">
        <v>13.8</v>
      </c>
      <c r="F1134" s="10">
        <v>3</v>
      </c>
      <c r="G1134" s="10">
        <v>0</v>
      </c>
      <c r="H1134" s="10">
        <v>7</v>
      </c>
      <c r="I1134" s="10">
        <v>2</v>
      </c>
      <c r="J1134">
        <v>2017</v>
      </c>
      <c r="K1134">
        <v>2</v>
      </c>
      <c r="L1134">
        <v>276</v>
      </c>
      <c r="M1134" t="s">
        <v>63</v>
      </c>
    </row>
    <row r="1135" spans="1:13">
      <c r="A1135" t="s">
        <v>1192</v>
      </c>
      <c r="B1135" s="10">
        <v>11</v>
      </c>
      <c r="C1135" s="10">
        <v>1.67</v>
      </c>
      <c r="D1135" s="10">
        <v>4</v>
      </c>
      <c r="E1135" s="10">
        <v>36</v>
      </c>
      <c r="F1135" s="10">
        <v>7</v>
      </c>
      <c r="G1135" s="10">
        <v>0</v>
      </c>
      <c r="H1135" s="10">
        <v>10</v>
      </c>
      <c r="I1135" s="10">
        <v>2</v>
      </c>
      <c r="J1135">
        <v>2017</v>
      </c>
      <c r="K1135">
        <v>2</v>
      </c>
      <c r="L1135">
        <v>276</v>
      </c>
      <c r="M1135" t="s">
        <v>65</v>
      </c>
    </row>
    <row r="1136" spans="1:13">
      <c r="A1136" t="s">
        <v>1193</v>
      </c>
      <c r="B1136" s="10">
        <v>3.9825</v>
      </c>
      <c r="C1136" s="10">
        <v>1.76</v>
      </c>
      <c r="D1136" s="10">
        <v>4</v>
      </c>
      <c r="E1136" s="10">
        <v>20.4</v>
      </c>
      <c r="F1136" s="10">
        <v>6</v>
      </c>
      <c r="G1136" s="10">
        <v>0</v>
      </c>
      <c r="H1136" s="10">
        <v>0</v>
      </c>
      <c r="I1136" s="10">
        <v>1</v>
      </c>
      <c r="J1136">
        <v>2017</v>
      </c>
      <c r="K1136">
        <v>2</v>
      </c>
      <c r="L1136">
        <v>276</v>
      </c>
      <c r="M1136" t="s">
        <v>53</v>
      </c>
    </row>
    <row r="1137" spans="1:13">
      <c r="A1137" t="s">
        <v>1194</v>
      </c>
      <c r="B1137" s="10">
        <v>4.01</v>
      </c>
      <c r="C1137" s="10">
        <v>3.34</v>
      </c>
      <c r="D1137" s="10">
        <v>4.75</v>
      </c>
      <c r="E1137" s="10">
        <v>23.2</v>
      </c>
      <c r="F1137" s="10">
        <v>5</v>
      </c>
      <c r="G1137" s="10">
        <v>0</v>
      </c>
      <c r="H1137" s="10">
        <v>2</v>
      </c>
      <c r="I1137" s="10">
        <v>0</v>
      </c>
      <c r="J1137">
        <v>2017</v>
      </c>
      <c r="K1137">
        <v>2</v>
      </c>
      <c r="L1137">
        <v>276</v>
      </c>
      <c r="M1137" t="s">
        <v>55</v>
      </c>
    </row>
    <row r="1138" spans="1:13">
      <c r="A1138" t="s">
        <v>1195</v>
      </c>
      <c r="B1138" s="10">
        <v>5.33</v>
      </c>
      <c r="C1138" s="10">
        <v>6.32</v>
      </c>
      <c r="D1138" s="10">
        <v>5.1</v>
      </c>
      <c r="E1138" s="10">
        <v>12.4</v>
      </c>
      <c r="F1138" s="10">
        <v>11</v>
      </c>
      <c r="G1138" s="10">
        <v>1</v>
      </c>
      <c r="H1138" s="10">
        <v>1</v>
      </c>
      <c r="I1138" s="10">
        <v>3</v>
      </c>
      <c r="J1138">
        <v>2017</v>
      </c>
      <c r="K1138">
        <v>2</v>
      </c>
      <c r="L1138">
        <v>276</v>
      </c>
      <c r="M1138" t="s">
        <v>57</v>
      </c>
    </row>
    <row r="1139" spans="1:13">
      <c r="A1139" t="s">
        <v>1196</v>
      </c>
      <c r="B1139" s="10">
        <v>10</v>
      </c>
      <c r="C1139" s="10">
        <v>10.67</v>
      </c>
      <c r="D1139" s="10">
        <v>7.8</v>
      </c>
      <c r="E1139" s="10">
        <v>27.4</v>
      </c>
      <c r="F1139" s="10">
        <v>4</v>
      </c>
      <c r="G1139" s="10">
        <v>0</v>
      </c>
      <c r="H1139" s="10">
        <v>2</v>
      </c>
      <c r="I1139" s="10">
        <v>1</v>
      </c>
      <c r="J1139">
        <v>2017</v>
      </c>
      <c r="K1139">
        <v>2</v>
      </c>
      <c r="L1139">
        <v>276</v>
      </c>
      <c r="M1139" t="s">
        <v>59</v>
      </c>
    </row>
    <row r="1140" spans="1:13">
      <c r="A1140" t="s">
        <v>1197</v>
      </c>
      <c r="B1140" s="10">
        <v>0</v>
      </c>
      <c r="C1140" s="10">
        <v>0</v>
      </c>
      <c r="D1140" s="10">
        <v>0</v>
      </c>
      <c r="E1140" s="10">
        <v>0</v>
      </c>
      <c r="F1140" s="10">
        <v>0</v>
      </c>
      <c r="G1140" s="10">
        <v>0</v>
      </c>
      <c r="H1140" s="10">
        <v>0</v>
      </c>
      <c r="I1140" s="10">
        <v>0</v>
      </c>
      <c r="J1140">
        <v>2017</v>
      </c>
      <c r="K1140">
        <v>2</v>
      </c>
      <c r="L1140">
        <v>276</v>
      </c>
      <c r="M1140" t="s">
        <v>61</v>
      </c>
    </row>
    <row r="1141" spans="1:13">
      <c r="A1141" t="s">
        <v>1198</v>
      </c>
      <c r="B1141" s="10">
        <v>4.33</v>
      </c>
      <c r="C1141" s="10">
        <v>5</v>
      </c>
      <c r="D1141" s="10">
        <v>2.1</v>
      </c>
      <c r="E1141" s="10">
        <v>22</v>
      </c>
      <c r="F1141" s="10">
        <v>0</v>
      </c>
      <c r="G1141" s="10">
        <v>0</v>
      </c>
      <c r="H1141" s="10">
        <v>1</v>
      </c>
      <c r="I1141" s="10">
        <v>1</v>
      </c>
      <c r="J1141">
        <v>2017</v>
      </c>
      <c r="K1141">
        <v>2</v>
      </c>
      <c r="L1141">
        <v>276</v>
      </c>
      <c r="M1141" t="s">
        <v>63</v>
      </c>
    </row>
    <row r="1142" spans="1:13">
      <c r="A1142" t="s">
        <v>1199</v>
      </c>
      <c r="B1142" s="10">
        <v>6</v>
      </c>
      <c r="C1142" s="10">
        <v>2.67</v>
      </c>
      <c r="D1142" s="10">
        <v>2</v>
      </c>
      <c r="E1142" s="10">
        <v>19.2</v>
      </c>
      <c r="F1142" s="10">
        <v>1</v>
      </c>
      <c r="G1142" s="10">
        <v>0</v>
      </c>
      <c r="H1142" s="10">
        <v>1</v>
      </c>
      <c r="I1142" s="10">
        <v>1</v>
      </c>
      <c r="J1142">
        <v>2017</v>
      </c>
      <c r="K1142">
        <v>2</v>
      </c>
      <c r="L1142">
        <v>276</v>
      </c>
      <c r="M1142" t="s">
        <v>65</v>
      </c>
    </row>
    <row r="1143" spans="1:13">
      <c r="A1143" t="s">
        <v>1200</v>
      </c>
      <c r="B1143" s="10">
        <v>3.66</v>
      </c>
      <c r="C1143" s="10">
        <v>4.66</v>
      </c>
      <c r="D1143" s="10">
        <v>1</v>
      </c>
      <c r="E1143" s="10">
        <v>31.6</v>
      </c>
      <c r="F1143" s="10">
        <v>2</v>
      </c>
      <c r="G1143" s="10">
        <v>0</v>
      </c>
      <c r="H1143" s="10">
        <v>0</v>
      </c>
      <c r="I1143" s="10">
        <v>3</v>
      </c>
      <c r="J1143">
        <v>2017</v>
      </c>
      <c r="K1143">
        <v>2</v>
      </c>
      <c r="L1143">
        <v>276</v>
      </c>
      <c r="M1143" t="s">
        <v>53</v>
      </c>
    </row>
    <row r="1144" spans="1:13">
      <c r="A1144" t="s">
        <v>1201</v>
      </c>
      <c r="B1144" s="10">
        <v>3</v>
      </c>
      <c r="C1144" s="10">
        <v>2.802</v>
      </c>
      <c r="D1144" s="10">
        <v>2.1</v>
      </c>
      <c r="E1144" s="10">
        <v>12.25</v>
      </c>
      <c r="F1144" s="10">
        <v>4</v>
      </c>
      <c r="G1144" s="10">
        <v>0</v>
      </c>
      <c r="H1144" s="10">
        <v>8</v>
      </c>
      <c r="I1144" s="10">
        <v>1.2</v>
      </c>
      <c r="J1144">
        <v>2017</v>
      </c>
      <c r="K1144">
        <v>2</v>
      </c>
      <c r="L1144">
        <v>276</v>
      </c>
      <c r="M1144" t="s">
        <v>55</v>
      </c>
    </row>
    <row r="1145" spans="1:13">
      <c r="A1145" t="s">
        <v>1202</v>
      </c>
      <c r="B1145" s="10">
        <v>7</v>
      </c>
      <c r="C1145" s="10">
        <v>4</v>
      </c>
      <c r="D1145" s="10">
        <v>2.35</v>
      </c>
      <c r="E1145" s="10">
        <v>30</v>
      </c>
      <c r="F1145" s="10">
        <v>10</v>
      </c>
      <c r="G1145" s="10">
        <v>0</v>
      </c>
      <c r="H1145" s="10">
        <v>0</v>
      </c>
      <c r="I1145" s="10">
        <v>3.1</v>
      </c>
      <c r="J1145">
        <v>2017</v>
      </c>
      <c r="K1145">
        <v>2</v>
      </c>
      <c r="L1145">
        <v>276</v>
      </c>
      <c r="M1145" t="s">
        <v>57</v>
      </c>
    </row>
    <row r="1146" spans="1:13">
      <c r="A1146" t="s">
        <v>1203</v>
      </c>
      <c r="B1146" s="10">
        <v>3.34</v>
      </c>
      <c r="C1146" s="10">
        <v>3.516</v>
      </c>
      <c r="D1146" s="10">
        <v>2.2</v>
      </c>
      <c r="E1146" s="10">
        <v>13</v>
      </c>
      <c r="F1146" s="10">
        <v>1</v>
      </c>
      <c r="G1146" s="10">
        <v>0</v>
      </c>
      <c r="H1146" s="10">
        <v>8</v>
      </c>
      <c r="I1146" s="10">
        <v>1</v>
      </c>
      <c r="J1146">
        <v>2017</v>
      </c>
      <c r="K1146">
        <v>2</v>
      </c>
      <c r="L1146">
        <v>276</v>
      </c>
      <c r="M1146" t="s">
        <v>59</v>
      </c>
    </row>
    <row r="1147" spans="1:13">
      <c r="A1147" t="s">
        <v>1204</v>
      </c>
      <c r="B1147" s="10">
        <v>5</v>
      </c>
      <c r="C1147" s="10">
        <v>3.76</v>
      </c>
      <c r="D1147" s="10">
        <v>4.5</v>
      </c>
      <c r="E1147" s="10">
        <v>33.1</v>
      </c>
      <c r="F1147" s="10">
        <v>2</v>
      </c>
      <c r="G1147" s="10">
        <v>0</v>
      </c>
      <c r="H1147" s="10">
        <v>1</v>
      </c>
      <c r="I1147" s="10">
        <v>3</v>
      </c>
      <c r="J1147">
        <v>2017</v>
      </c>
      <c r="K1147">
        <v>2</v>
      </c>
      <c r="L1147">
        <v>276</v>
      </c>
      <c r="M1147" t="s">
        <v>61</v>
      </c>
    </row>
    <row r="1148" spans="1:13">
      <c r="A1148" t="s">
        <v>1205</v>
      </c>
      <c r="B1148" s="10">
        <v>5</v>
      </c>
      <c r="C1148" s="10">
        <v>4.155</v>
      </c>
      <c r="D1148" s="10">
        <v>4</v>
      </c>
      <c r="E1148" s="10">
        <v>22.9</v>
      </c>
      <c r="F1148" s="10">
        <v>14</v>
      </c>
      <c r="G1148" s="10">
        <v>0</v>
      </c>
      <c r="H1148" s="10">
        <v>8</v>
      </c>
      <c r="I1148" s="10">
        <v>1</v>
      </c>
      <c r="J1148">
        <v>2017</v>
      </c>
      <c r="K1148">
        <v>2</v>
      </c>
      <c r="L1148">
        <v>276</v>
      </c>
      <c r="M1148" t="s">
        <v>63</v>
      </c>
    </row>
    <row r="1149" spans="1:13">
      <c r="A1149" t="s">
        <v>1206</v>
      </c>
      <c r="B1149" s="10">
        <v>3.67</v>
      </c>
      <c r="C1149" s="10">
        <v>2.429</v>
      </c>
      <c r="D1149" s="10">
        <v>7.2</v>
      </c>
      <c r="E1149" s="10">
        <v>21.1</v>
      </c>
      <c r="F1149" s="10">
        <v>9</v>
      </c>
      <c r="G1149" s="10">
        <v>0</v>
      </c>
      <c r="H1149" s="10">
        <v>5</v>
      </c>
      <c r="I1149" s="10">
        <v>0</v>
      </c>
      <c r="J1149">
        <v>2017</v>
      </c>
      <c r="K1149">
        <v>2</v>
      </c>
      <c r="L1149">
        <v>276</v>
      </c>
      <c r="M1149" t="s">
        <v>65</v>
      </c>
    </row>
    <row r="1150" spans="1:13">
      <c r="A1150" t="s">
        <v>1207</v>
      </c>
      <c r="B1150" s="10">
        <v>6.67</v>
      </c>
      <c r="C1150" s="10">
        <v>5.67</v>
      </c>
      <c r="D1150" s="10">
        <v>4.05</v>
      </c>
      <c r="E1150" s="10">
        <v>24.1</v>
      </c>
      <c r="F1150" s="10">
        <v>5</v>
      </c>
      <c r="G1150" s="10">
        <v>1</v>
      </c>
      <c r="H1150" s="10">
        <v>8</v>
      </c>
      <c r="I1150" s="10">
        <v>2</v>
      </c>
      <c r="J1150">
        <v>2017</v>
      </c>
      <c r="K1150">
        <v>2</v>
      </c>
      <c r="L1150">
        <v>276</v>
      </c>
      <c r="M1150" t="s">
        <v>53</v>
      </c>
    </row>
    <row r="1151" spans="1:13">
      <c r="A1151" t="s">
        <v>1208</v>
      </c>
      <c r="B1151" s="10">
        <v>1</v>
      </c>
      <c r="C1151" s="10">
        <v>4.67</v>
      </c>
      <c r="D1151" s="10">
        <v>4</v>
      </c>
      <c r="E1151" s="10">
        <v>29.8</v>
      </c>
      <c r="F1151" s="10">
        <v>10</v>
      </c>
      <c r="G1151" s="10">
        <v>1</v>
      </c>
      <c r="H1151" s="10">
        <v>7</v>
      </c>
      <c r="I1151" s="10">
        <v>1</v>
      </c>
      <c r="J1151">
        <v>2017</v>
      </c>
      <c r="K1151">
        <v>2</v>
      </c>
      <c r="L1151">
        <v>276</v>
      </c>
      <c r="M1151" t="s">
        <v>55</v>
      </c>
    </row>
    <row r="1152" spans="1:13">
      <c r="A1152" t="s">
        <v>1209</v>
      </c>
      <c r="B1152" s="10">
        <v>6</v>
      </c>
      <c r="C1152" s="10">
        <v>6.34</v>
      </c>
      <c r="D1152" s="10">
        <v>5.25</v>
      </c>
      <c r="E1152" s="10">
        <v>24</v>
      </c>
      <c r="F1152" s="10">
        <v>6.875</v>
      </c>
      <c r="G1152" s="10">
        <v>0</v>
      </c>
      <c r="H1152" s="10">
        <v>2</v>
      </c>
      <c r="I1152" s="10">
        <v>0</v>
      </c>
      <c r="J1152">
        <v>2017</v>
      </c>
      <c r="K1152">
        <v>2</v>
      </c>
      <c r="L1152">
        <v>276</v>
      </c>
      <c r="M1152" t="s">
        <v>57</v>
      </c>
    </row>
    <row r="1153" spans="1:13">
      <c r="A1153" t="s">
        <v>1210</v>
      </c>
      <c r="B1153" s="10">
        <v>5.33</v>
      </c>
      <c r="C1153" s="10">
        <v>5.33</v>
      </c>
      <c r="D1153" s="10">
        <v>3.2</v>
      </c>
      <c r="E1153" s="10">
        <v>15.7</v>
      </c>
      <c r="F1153" s="10">
        <v>3</v>
      </c>
      <c r="G1153" s="10">
        <v>0</v>
      </c>
      <c r="H1153" s="10">
        <v>5</v>
      </c>
      <c r="I1153" s="10">
        <v>1.2</v>
      </c>
      <c r="J1153">
        <v>2017</v>
      </c>
      <c r="K1153">
        <v>2</v>
      </c>
      <c r="L1153">
        <v>276</v>
      </c>
      <c r="M1153" t="s">
        <v>59</v>
      </c>
    </row>
    <row r="1154" spans="1:13">
      <c r="A1154" t="s">
        <v>1211</v>
      </c>
      <c r="B1154" s="10">
        <v>5.67</v>
      </c>
      <c r="C1154" s="10">
        <v>3.68</v>
      </c>
      <c r="D1154" s="10">
        <v>7</v>
      </c>
      <c r="E1154" s="10">
        <v>16.4</v>
      </c>
      <c r="F1154" s="10">
        <v>14</v>
      </c>
      <c r="G1154" s="10">
        <v>0</v>
      </c>
      <c r="H1154" s="10">
        <v>7</v>
      </c>
      <c r="I1154" s="10">
        <v>2</v>
      </c>
      <c r="J1154">
        <v>2017</v>
      </c>
      <c r="K1154">
        <v>2</v>
      </c>
      <c r="L1154">
        <v>276</v>
      </c>
      <c r="M1154" t="s">
        <v>61</v>
      </c>
    </row>
    <row r="1155" spans="1:13">
      <c r="A1155" t="s">
        <v>1212</v>
      </c>
      <c r="B1155" s="10">
        <v>5.34</v>
      </c>
      <c r="C1155" s="10">
        <v>5.02</v>
      </c>
      <c r="D1155" s="10">
        <v>7.5</v>
      </c>
      <c r="E1155" s="10">
        <v>26.4</v>
      </c>
      <c r="F1155" s="10">
        <v>9</v>
      </c>
      <c r="G1155" s="10">
        <v>2</v>
      </c>
      <c r="H1155" s="10">
        <v>18</v>
      </c>
      <c r="I1155" s="10">
        <v>0</v>
      </c>
      <c r="J1155">
        <v>2017</v>
      </c>
      <c r="K1155">
        <v>2</v>
      </c>
      <c r="L1155">
        <v>276</v>
      </c>
      <c r="M1155" t="s">
        <v>63</v>
      </c>
    </row>
    <row r="1156" spans="1:13">
      <c r="A1156" t="s">
        <v>1213</v>
      </c>
      <c r="B1156" s="10">
        <v>4</v>
      </c>
      <c r="C1156" s="10">
        <v>4.66</v>
      </c>
      <c r="D1156" s="10">
        <v>5</v>
      </c>
      <c r="E1156" s="10">
        <v>15.1</v>
      </c>
      <c r="F1156" s="10">
        <v>17</v>
      </c>
      <c r="G1156" s="10">
        <v>0</v>
      </c>
      <c r="H1156" s="10">
        <v>5</v>
      </c>
      <c r="I1156" s="10">
        <v>2</v>
      </c>
      <c r="J1156">
        <v>2017</v>
      </c>
      <c r="K1156">
        <v>3</v>
      </c>
      <c r="L1156">
        <v>276</v>
      </c>
      <c r="M1156" t="s">
        <v>65</v>
      </c>
    </row>
    <row r="1157" spans="1:13">
      <c r="A1157" t="s">
        <v>1214</v>
      </c>
      <c r="B1157" s="10">
        <v>5</v>
      </c>
      <c r="C1157" s="10">
        <v>7.13</v>
      </c>
      <c r="D1157" s="10">
        <v>3</v>
      </c>
      <c r="E1157" s="10">
        <v>13</v>
      </c>
      <c r="F1157" s="10">
        <v>1</v>
      </c>
      <c r="G1157" s="10">
        <v>1</v>
      </c>
      <c r="H1157" s="10">
        <v>1</v>
      </c>
      <c r="I1157" s="10">
        <v>2</v>
      </c>
      <c r="J1157">
        <v>2017</v>
      </c>
      <c r="K1157">
        <v>3</v>
      </c>
      <c r="L1157">
        <v>276</v>
      </c>
      <c r="M1157" t="s">
        <v>53</v>
      </c>
    </row>
    <row r="1158" spans="1:13">
      <c r="A1158" t="s">
        <v>1215</v>
      </c>
      <c r="B1158" s="10">
        <v>9</v>
      </c>
      <c r="C1158" s="10">
        <v>2.99</v>
      </c>
      <c r="D1158" s="10">
        <v>4</v>
      </c>
      <c r="E1158" s="10">
        <v>12.9</v>
      </c>
      <c r="F1158" s="10">
        <v>9</v>
      </c>
      <c r="G1158" s="10">
        <v>1</v>
      </c>
      <c r="H1158" s="10">
        <v>6</v>
      </c>
      <c r="I1158" s="10">
        <v>4</v>
      </c>
      <c r="J1158">
        <v>2017</v>
      </c>
      <c r="K1158">
        <v>3</v>
      </c>
      <c r="L1158">
        <v>276</v>
      </c>
      <c r="M1158" t="s">
        <v>55</v>
      </c>
    </row>
    <row r="1159" spans="1:13">
      <c r="A1159" t="s">
        <v>1216</v>
      </c>
      <c r="B1159" s="10">
        <v>5.01</v>
      </c>
      <c r="C1159" s="10">
        <v>3.67</v>
      </c>
      <c r="D1159" s="10">
        <v>3.1</v>
      </c>
      <c r="E1159" s="10">
        <v>17</v>
      </c>
      <c r="F1159" s="10">
        <v>0</v>
      </c>
      <c r="G1159" s="10">
        <v>0</v>
      </c>
      <c r="H1159" s="10">
        <v>5</v>
      </c>
      <c r="I1159" s="10">
        <v>4.5</v>
      </c>
      <c r="J1159">
        <v>2017</v>
      </c>
      <c r="K1159">
        <v>3</v>
      </c>
      <c r="L1159">
        <v>276</v>
      </c>
      <c r="M1159" t="s">
        <v>57</v>
      </c>
    </row>
    <row r="1160" spans="1:13">
      <c r="A1160" t="s">
        <v>1217</v>
      </c>
      <c r="B1160" s="10">
        <v>12.33</v>
      </c>
      <c r="C1160" s="10">
        <v>4.33</v>
      </c>
      <c r="D1160" s="10">
        <v>5</v>
      </c>
      <c r="E1160" s="10">
        <v>33.9</v>
      </c>
      <c r="F1160" s="10">
        <v>3</v>
      </c>
      <c r="G1160" s="10">
        <v>0</v>
      </c>
      <c r="H1160" s="10">
        <v>6</v>
      </c>
      <c r="I1160" s="10">
        <v>5</v>
      </c>
      <c r="J1160">
        <v>2017</v>
      </c>
      <c r="K1160">
        <v>3</v>
      </c>
      <c r="L1160">
        <v>276</v>
      </c>
      <c r="M1160" t="s">
        <v>59</v>
      </c>
    </row>
    <row r="1161" spans="1:13">
      <c r="A1161" t="s">
        <v>1218</v>
      </c>
      <c r="B1161" s="10">
        <v>6.83</v>
      </c>
      <c r="C1161" s="10">
        <v>2.33</v>
      </c>
      <c r="D1161" s="10">
        <v>1.1</v>
      </c>
      <c r="E1161" s="10">
        <v>19.6</v>
      </c>
      <c r="F1161" s="10">
        <v>1</v>
      </c>
      <c r="G1161" s="10">
        <v>0</v>
      </c>
      <c r="H1161" s="10">
        <v>0</v>
      </c>
      <c r="I1161" s="10">
        <v>3</v>
      </c>
      <c r="J1161">
        <v>2017</v>
      </c>
      <c r="K1161">
        <v>3</v>
      </c>
      <c r="L1161">
        <v>276</v>
      </c>
      <c r="M1161" t="s">
        <v>61</v>
      </c>
    </row>
    <row r="1162" spans="1:13">
      <c r="A1162" t="s">
        <v>1219</v>
      </c>
      <c r="B1162" s="10">
        <v>2.34</v>
      </c>
      <c r="C1162" s="10">
        <v>5.33</v>
      </c>
      <c r="D1162" s="10">
        <v>6.5</v>
      </c>
      <c r="E1162" s="10">
        <v>15</v>
      </c>
      <c r="F1162" s="10">
        <v>4</v>
      </c>
      <c r="G1162" s="10">
        <v>0</v>
      </c>
      <c r="H1162" s="10">
        <v>0</v>
      </c>
      <c r="I1162" s="10">
        <v>2</v>
      </c>
      <c r="J1162">
        <v>2017</v>
      </c>
      <c r="K1162">
        <v>3</v>
      </c>
      <c r="L1162">
        <v>276</v>
      </c>
      <c r="M1162" t="s">
        <v>63</v>
      </c>
    </row>
    <row r="1163" spans="1:13">
      <c r="A1163" t="s">
        <v>1220</v>
      </c>
      <c r="B1163" s="10">
        <v>1</v>
      </c>
      <c r="C1163" s="10">
        <v>2.34</v>
      </c>
      <c r="D1163" s="10">
        <v>0</v>
      </c>
      <c r="E1163" s="10">
        <v>15.2</v>
      </c>
      <c r="F1163" s="10">
        <v>4</v>
      </c>
      <c r="G1163" s="10">
        <v>0</v>
      </c>
      <c r="H1163" s="10">
        <v>0</v>
      </c>
      <c r="I1163" s="10">
        <v>3</v>
      </c>
      <c r="J1163">
        <v>2017</v>
      </c>
      <c r="K1163">
        <v>3</v>
      </c>
      <c r="L1163">
        <v>276</v>
      </c>
      <c r="M1163" t="s">
        <v>65</v>
      </c>
    </row>
    <row r="1164" spans="1:13">
      <c r="A1164" t="s">
        <v>1221</v>
      </c>
      <c r="B1164" s="10">
        <v>11.33</v>
      </c>
      <c r="C1164" s="10">
        <v>2.33</v>
      </c>
      <c r="D1164" s="10">
        <v>6</v>
      </c>
      <c r="E1164" s="10">
        <v>26.9</v>
      </c>
      <c r="F1164" s="10">
        <v>6</v>
      </c>
      <c r="G1164" s="10">
        <v>1</v>
      </c>
      <c r="H1164" s="10">
        <v>0</v>
      </c>
      <c r="I1164" s="10">
        <v>2.5</v>
      </c>
      <c r="J1164">
        <v>2017</v>
      </c>
      <c r="K1164">
        <v>3</v>
      </c>
      <c r="L1164">
        <v>276</v>
      </c>
      <c r="M1164" t="s">
        <v>53</v>
      </c>
    </row>
    <row r="1165" spans="1:13">
      <c r="A1165" t="s">
        <v>1222</v>
      </c>
      <c r="B1165" s="10">
        <v>2</v>
      </c>
      <c r="C1165" s="10">
        <v>4.33</v>
      </c>
      <c r="D1165" s="10">
        <v>4.6</v>
      </c>
      <c r="E1165" s="10">
        <v>26.3</v>
      </c>
      <c r="F1165" s="10">
        <v>8</v>
      </c>
      <c r="G1165" s="10">
        <v>1</v>
      </c>
      <c r="H1165" s="10">
        <v>0</v>
      </c>
      <c r="I1165" s="10">
        <v>1</v>
      </c>
      <c r="J1165">
        <v>2017</v>
      </c>
      <c r="K1165">
        <v>3</v>
      </c>
      <c r="L1165">
        <v>276</v>
      </c>
      <c r="M1165" t="s">
        <v>55</v>
      </c>
    </row>
    <row r="1166" spans="1:13">
      <c r="A1166" t="s">
        <v>1223</v>
      </c>
      <c r="B1166" s="10">
        <v>6.33</v>
      </c>
      <c r="C1166" s="10">
        <v>4.066</v>
      </c>
      <c r="D1166" s="10">
        <v>6</v>
      </c>
      <c r="E1166" s="10">
        <v>20.1</v>
      </c>
      <c r="F1166" s="10">
        <v>2</v>
      </c>
      <c r="G1166" s="10">
        <v>1</v>
      </c>
      <c r="H1166" s="10">
        <v>5</v>
      </c>
      <c r="I1166" s="10">
        <v>3.5</v>
      </c>
      <c r="J1166">
        <v>2017</v>
      </c>
      <c r="K1166">
        <v>3</v>
      </c>
      <c r="L1166">
        <v>276</v>
      </c>
      <c r="M1166" t="s">
        <v>57</v>
      </c>
    </row>
    <row r="1167" spans="1:13">
      <c r="A1167" t="s">
        <v>1224</v>
      </c>
      <c r="B1167" s="10">
        <v>7.68</v>
      </c>
      <c r="C1167" s="10">
        <v>7.01</v>
      </c>
      <c r="D1167" s="10">
        <v>2</v>
      </c>
      <c r="E1167" s="10">
        <v>48</v>
      </c>
      <c r="F1167" s="10">
        <v>6</v>
      </c>
      <c r="G1167" s="10">
        <v>4</v>
      </c>
      <c r="H1167" s="10">
        <v>15</v>
      </c>
      <c r="I1167" s="10">
        <v>2</v>
      </c>
      <c r="J1167">
        <v>2017</v>
      </c>
      <c r="K1167">
        <v>3</v>
      </c>
      <c r="L1167">
        <v>276</v>
      </c>
      <c r="M1167" t="s">
        <v>59</v>
      </c>
    </row>
    <row r="1168" spans="1:13">
      <c r="A1168" t="s">
        <v>1225</v>
      </c>
      <c r="B1168" s="10">
        <v>2.33</v>
      </c>
      <c r="C1168" s="10">
        <v>0.68</v>
      </c>
      <c r="D1168" s="10">
        <v>2.7</v>
      </c>
      <c r="E1168" s="10">
        <v>17.8</v>
      </c>
      <c r="F1168" s="10">
        <v>2</v>
      </c>
      <c r="G1168" s="10">
        <v>0</v>
      </c>
      <c r="H1168" s="10">
        <v>10</v>
      </c>
      <c r="I1168" s="10">
        <v>0</v>
      </c>
      <c r="J1168">
        <v>2017</v>
      </c>
      <c r="K1168">
        <v>3</v>
      </c>
      <c r="L1168">
        <v>276</v>
      </c>
      <c r="M1168" t="s">
        <v>61</v>
      </c>
    </row>
    <row r="1169" spans="1:13">
      <c r="A1169" t="s">
        <v>1226</v>
      </c>
      <c r="B1169" s="10">
        <v>2.67</v>
      </c>
      <c r="C1169" s="10">
        <v>1.34</v>
      </c>
      <c r="D1169" s="10">
        <v>3</v>
      </c>
      <c r="E1169" s="10">
        <v>15</v>
      </c>
      <c r="F1169" s="10">
        <v>5</v>
      </c>
      <c r="G1169" s="10">
        <v>0</v>
      </c>
      <c r="H1169" s="10">
        <v>5</v>
      </c>
      <c r="I1169" s="10">
        <v>1</v>
      </c>
      <c r="J1169">
        <v>2017</v>
      </c>
      <c r="K1169">
        <v>3</v>
      </c>
      <c r="L1169">
        <v>276</v>
      </c>
      <c r="M1169" t="s">
        <v>63</v>
      </c>
    </row>
    <row r="1170" spans="1:13">
      <c r="A1170" t="s">
        <v>1227</v>
      </c>
      <c r="B1170" s="10">
        <v>3.66</v>
      </c>
      <c r="C1170" s="10">
        <v>1.703</v>
      </c>
      <c r="D1170" s="10">
        <v>2.5</v>
      </c>
      <c r="E1170" s="10">
        <v>14.6</v>
      </c>
      <c r="F1170" s="10">
        <v>4</v>
      </c>
      <c r="G1170" s="10">
        <v>0</v>
      </c>
      <c r="H1170" s="10">
        <v>0</v>
      </c>
      <c r="I1170" s="10">
        <v>0</v>
      </c>
      <c r="J1170">
        <v>2017</v>
      </c>
      <c r="K1170">
        <v>3</v>
      </c>
      <c r="L1170">
        <v>276</v>
      </c>
      <c r="M1170" t="s">
        <v>65</v>
      </c>
    </row>
    <row r="1171" spans="1:13">
      <c r="A1171" t="s">
        <v>1228</v>
      </c>
      <c r="B1171" s="10">
        <v>6</v>
      </c>
      <c r="C1171" s="10">
        <v>4.056</v>
      </c>
      <c r="D1171" s="10">
        <v>4.75</v>
      </c>
      <c r="E1171" s="10">
        <v>28.2</v>
      </c>
      <c r="F1171" s="10">
        <v>4</v>
      </c>
      <c r="G1171" s="10">
        <v>0</v>
      </c>
      <c r="H1171" s="10">
        <v>1</v>
      </c>
      <c r="I1171" s="10">
        <v>3</v>
      </c>
      <c r="J1171">
        <v>2017</v>
      </c>
      <c r="K1171">
        <v>3</v>
      </c>
      <c r="L1171">
        <v>276</v>
      </c>
      <c r="M1171" t="s">
        <v>53</v>
      </c>
    </row>
    <row r="1172" spans="1:13">
      <c r="A1172" t="s">
        <v>1229</v>
      </c>
      <c r="B1172" s="10">
        <v>4.33</v>
      </c>
      <c r="C1172" s="10">
        <v>2.802</v>
      </c>
      <c r="D1172" s="10">
        <v>0</v>
      </c>
      <c r="E1172" s="10">
        <v>11</v>
      </c>
      <c r="F1172" s="10">
        <v>14</v>
      </c>
      <c r="G1172" s="10">
        <v>0</v>
      </c>
      <c r="H1172" s="10">
        <v>3</v>
      </c>
      <c r="I1172" s="10">
        <v>3</v>
      </c>
      <c r="J1172">
        <v>2017</v>
      </c>
      <c r="K1172">
        <v>3</v>
      </c>
      <c r="L1172">
        <v>276</v>
      </c>
      <c r="M1172" t="s">
        <v>55</v>
      </c>
    </row>
    <row r="1173" spans="1:13">
      <c r="A1173" t="s">
        <v>1230</v>
      </c>
      <c r="B1173" s="10">
        <v>5</v>
      </c>
      <c r="C1173" s="10">
        <v>4.38</v>
      </c>
      <c r="D1173" s="10">
        <v>4.25</v>
      </c>
      <c r="E1173" s="10">
        <v>20.4</v>
      </c>
      <c r="F1173" s="10">
        <v>3</v>
      </c>
      <c r="G1173" s="10">
        <v>0</v>
      </c>
      <c r="H1173" s="10">
        <v>1</v>
      </c>
      <c r="I1173" s="10">
        <v>1</v>
      </c>
      <c r="J1173">
        <v>2017</v>
      </c>
      <c r="K1173">
        <v>3</v>
      </c>
      <c r="L1173">
        <v>276</v>
      </c>
      <c r="M1173" t="s">
        <v>57</v>
      </c>
    </row>
    <row r="1174" spans="1:13">
      <c r="A1174" t="s">
        <v>1231</v>
      </c>
      <c r="B1174" s="10">
        <v>10</v>
      </c>
      <c r="C1174" s="10">
        <v>3.693</v>
      </c>
      <c r="D1174" s="10">
        <v>2</v>
      </c>
      <c r="E1174" s="10">
        <v>39.1</v>
      </c>
      <c r="F1174" s="10">
        <v>3</v>
      </c>
      <c r="G1174" s="10">
        <v>0</v>
      </c>
      <c r="H1174" s="10">
        <v>5</v>
      </c>
      <c r="I1174" s="10">
        <v>3</v>
      </c>
      <c r="J1174">
        <v>2017</v>
      </c>
      <c r="K1174">
        <v>3</v>
      </c>
      <c r="L1174">
        <v>276</v>
      </c>
      <c r="M1174" t="s">
        <v>59</v>
      </c>
    </row>
    <row r="1175" spans="1:13">
      <c r="A1175" t="s">
        <v>1232</v>
      </c>
      <c r="B1175" s="10">
        <v>1.66</v>
      </c>
      <c r="C1175" s="10">
        <v>6.683</v>
      </c>
      <c r="D1175" s="10">
        <v>4.7</v>
      </c>
      <c r="E1175" s="10">
        <v>16.1</v>
      </c>
      <c r="F1175" s="10">
        <v>3</v>
      </c>
      <c r="G1175" s="10">
        <v>0</v>
      </c>
      <c r="H1175" s="10">
        <v>7</v>
      </c>
      <c r="I1175" s="10">
        <v>3</v>
      </c>
      <c r="J1175">
        <v>2017</v>
      </c>
      <c r="K1175">
        <v>3</v>
      </c>
      <c r="L1175">
        <v>276</v>
      </c>
      <c r="M1175" t="s">
        <v>61</v>
      </c>
    </row>
    <row r="1176" spans="1:13">
      <c r="A1176" t="s">
        <v>1233</v>
      </c>
      <c r="B1176" s="10">
        <v>9.16</v>
      </c>
      <c r="C1176" s="10">
        <v>2.03</v>
      </c>
      <c r="D1176" s="10">
        <v>2.2</v>
      </c>
      <c r="E1176" s="10">
        <v>12.6</v>
      </c>
      <c r="F1176" s="10">
        <v>4</v>
      </c>
      <c r="G1176" s="10">
        <v>0</v>
      </c>
      <c r="H1176" s="10">
        <v>1</v>
      </c>
      <c r="I1176" s="10">
        <v>5.3</v>
      </c>
      <c r="J1176">
        <v>2017</v>
      </c>
      <c r="K1176">
        <v>3</v>
      </c>
      <c r="L1176">
        <v>276</v>
      </c>
      <c r="M1176" t="s">
        <v>63</v>
      </c>
    </row>
    <row r="1177" spans="1:13">
      <c r="A1177" t="s">
        <v>1234</v>
      </c>
      <c r="B1177" s="10">
        <v>1.66</v>
      </c>
      <c r="C1177" s="10">
        <v>5.023</v>
      </c>
      <c r="D1177" s="10">
        <v>2</v>
      </c>
      <c r="E1177" s="10">
        <v>16.4</v>
      </c>
      <c r="F1177" s="10">
        <v>7</v>
      </c>
      <c r="G1177" s="10">
        <v>0</v>
      </c>
      <c r="H1177" s="10">
        <v>2</v>
      </c>
      <c r="I1177" s="10">
        <v>2</v>
      </c>
      <c r="J1177">
        <v>2017</v>
      </c>
      <c r="K1177">
        <v>3</v>
      </c>
      <c r="L1177">
        <v>276</v>
      </c>
      <c r="M1177" t="s">
        <v>65</v>
      </c>
    </row>
    <row r="1178" spans="1:13">
      <c r="A1178" t="s">
        <v>1235</v>
      </c>
      <c r="B1178" s="10">
        <v>7.34</v>
      </c>
      <c r="C1178" s="10">
        <v>2.133</v>
      </c>
      <c r="D1178" s="10">
        <v>1</v>
      </c>
      <c r="E1178" s="10">
        <v>13.3</v>
      </c>
      <c r="F1178" s="10">
        <v>8</v>
      </c>
      <c r="G1178" s="10">
        <v>0</v>
      </c>
      <c r="H1178" s="10">
        <v>6</v>
      </c>
      <c r="I1178" s="10">
        <v>3.5</v>
      </c>
      <c r="J1178">
        <v>2017</v>
      </c>
      <c r="K1178">
        <v>3</v>
      </c>
      <c r="L1178">
        <v>276</v>
      </c>
      <c r="M1178" t="s">
        <v>53</v>
      </c>
    </row>
    <row r="1179" spans="1:13">
      <c r="A1179" t="s">
        <v>1236</v>
      </c>
      <c r="B1179" s="10">
        <v>1.67</v>
      </c>
      <c r="C1179" s="10">
        <v>3</v>
      </c>
      <c r="D1179" s="10">
        <v>4.5</v>
      </c>
      <c r="E1179" s="10">
        <v>12.3</v>
      </c>
      <c r="F1179" s="10">
        <v>7</v>
      </c>
      <c r="G1179" s="10">
        <v>0</v>
      </c>
      <c r="H1179" s="10">
        <v>5</v>
      </c>
      <c r="I1179" s="10">
        <v>6.3</v>
      </c>
      <c r="J1179">
        <v>2017</v>
      </c>
      <c r="K1179">
        <v>3</v>
      </c>
      <c r="L1179">
        <v>276</v>
      </c>
      <c r="M1179" t="s">
        <v>55</v>
      </c>
    </row>
    <row r="1180" spans="1:13">
      <c r="A1180" t="s">
        <v>1237</v>
      </c>
      <c r="B1180" s="10">
        <v>10</v>
      </c>
      <c r="C1180" s="10">
        <v>5.49</v>
      </c>
      <c r="D1180" s="10">
        <v>1</v>
      </c>
      <c r="E1180" s="10">
        <v>33.3</v>
      </c>
      <c r="F1180" s="10">
        <v>3</v>
      </c>
      <c r="G1180" s="10">
        <v>0</v>
      </c>
      <c r="H1180" s="10">
        <v>0</v>
      </c>
      <c r="I1180" s="10">
        <v>4</v>
      </c>
      <c r="J1180">
        <v>2017</v>
      </c>
      <c r="K1180">
        <v>3</v>
      </c>
      <c r="L1180">
        <v>276</v>
      </c>
      <c r="M1180" t="s">
        <v>57</v>
      </c>
    </row>
    <row r="1181" spans="1:13">
      <c r="A1181" t="s">
        <v>1238</v>
      </c>
      <c r="B1181" s="10">
        <v>5.34</v>
      </c>
      <c r="C1181" s="10">
        <v>5.36</v>
      </c>
      <c r="D1181" s="10">
        <v>3.45</v>
      </c>
      <c r="E1181" s="10">
        <v>18</v>
      </c>
      <c r="F1181" s="10">
        <v>4</v>
      </c>
      <c r="G1181" s="10">
        <v>0</v>
      </c>
      <c r="H1181" s="10">
        <v>10</v>
      </c>
      <c r="I1181" s="10">
        <v>8</v>
      </c>
      <c r="J1181">
        <v>2017</v>
      </c>
      <c r="K1181">
        <v>3</v>
      </c>
      <c r="L1181">
        <v>276</v>
      </c>
      <c r="M1181" t="s">
        <v>59</v>
      </c>
    </row>
    <row r="1182" spans="1:13">
      <c r="A1182" t="s">
        <v>1239</v>
      </c>
      <c r="B1182" s="10">
        <v>4.84</v>
      </c>
      <c r="C1182" s="10">
        <v>3.463</v>
      </c>
      <c r="D1182" s="10">
        <v>3.5</v>
      </c>
      <c r="E1182" s="10">
        <v>14.8</v>
      </c>
      <c r="F1182" s="10">
        <v>5</v>
      </c>
      <c r="G1182" s="10">
        <v>0</v>
      </c>
      <c r="H1182" s="10">
        <v>1</v>
      </c>
      <c r="I1182" s="10">
        <v>4</v>
      </c>
      <c r="J1182">
        <v>2017</v>
      </c>
      <c r="K1182">
        <v>3</v>
      </c>
      <c r="L1182">
        <v>276</v>
      </c>
      <c r="M1182" t="s">
        <v>61</v>
      </c>
    </row>
    <row r="1183" spans="1:13">
      <c r="A1183" t="s">
        <v>1240</v>
      </c>
      <c r="B1183" s="10">
        <v>2.67</v>
      </c>
      <c r="C1183" s="10">
        <v>2.67</v>
      </c>
      <c r="D1183" s="10">
        <v>7</v>
      </c>
      <c r="E1183" s="10">
        <v>22</v>
      </c>
      <c r="F1183" s="10">
        <v>14</v>
      </c>
      <c r="G1183" s="10">
        <v>0</v>
      </c>
      <c r="H1183" s="10">
        <v>0</v>
      </c>
      <c r="I1183" s="10">
        <v>6</v>
      </c>
      <c r="J1183">
        <v>2017</v>
      </c>
      <c r="K1183">
        <v>3</v>
      </c>
      <c r="L1183">
        <v>276</v>
      </c>
      <c r="M1183" t="s">
        <v>63</v>
      </c>
    </row>
    <row r="1184" spans="1:13">
      <c r="A1184" t="s">
        <v>1241</v>
      </c>
      <c r="B1184" s="10">
        <v>6.34</v>
      </c>
      <c r="C1184" s="10">
        <v>1.34</v>
      </c>
      <c r="D1184" s="10">
        <v>4</v>
      </c>
      <c r="E1184" s="10">
        <v>12.9</v>
      </c>
      <c r="F1184" s="10">
        <v>3</v>
      </c>
      <c r="G1184" s="10">
        <v>0</v>
      </c>
      <c r="H1184" s="10">
        <v>7</v>
      </c>
      <c r="I1184" s="10">
        <v>4.5</v>
      </c>
      <c r="J1184">
        <v>2017</v>
      </c>
      <c r="K1184">
        <v>3</v>
      </c>
      <c r="L1184">
        <v>276</v>
      </c>
      <c r="M1184" t="s">
        <v>65</v>
      </c>
    </row>
    <row r="1185" spans="1:13">
      <c r="A1185" t="s">
        <v>1242</v>
      </c>
      <c r="B1185" s="10">
        <v>1.33</v>
      </c>
      <c r="C1185" s="10">
        <v>2.693</v>
      </c>
      <c r="D1185" s="10">
        <v>5</v>
      </c>
      <c r="E1185" s="10">
        <v>9.5</v>
      </c>
      <c r="F1185" s="10">
        <v>9</v>
      </c>
      <c r="G1185" s="10">
        <v>0</v>
      </c>
      <c r="H1185" s="10">
        <v>0</v>
      </c>
      <c r="I1185" s="10">
        <v>2</v>
      </c>
      <c r="J1185">
        <v>2017</v>
      </c>
      <c r="K1185">
        <v>3</v>
      </c>
      <c r="L1185">
        <v>276</v>
      </c>
      <c r="M1185" t="s">
        <v>53</v>
      </c>
    </row>
    <row r="1186" spans="1:13">
      <c r="A1186" t="s">
        <v>1243</v>
      </c>
      <c r="B1186" s="10">
        <v>4</v>
      </c>
      <c r="C1186" s="10">
        <v>2</v>
      </c>
      <c r="D1186" s="10">
        <v>3.5</v>
      </c>
      <c r="E1186" s="10">
        <v>22.2</v>
      </c>
      <c r="F1186" s="10">
        <v>2</v>
      </c>
      <c r="G1186" s="10">
        <v>0</v>
      </c>
      <c r="H1186" s="10">
        <v>2</v>
      </c>
      <c r="I1186" s="10">
        <v>6</v>
      </c>
      <c r="J1186">
        <v>2017</v>
      </c>
      <c r="K1186">
        <v>3</v>
      </c>
      <c r="L1186">
        <v>276</v>
      </c>
      <c r="M1186" t="s">
        <v>55</v>
      </c>
    </row>
    <row r="1187" spans="1:13">
      <c r="A1187" t="s">
        <v>1244</v>
      </c>
      <c r="B1187" s="10">
        <v>2.33</v>
      </c>
      <c r="C1187" s="10">
        <v>2</v>
      </c>
      <c r="D1187" s="10">
        <v>2</v>
      </c>
      <c r="E1187" s="10">
        <v>34</v>
      </c>
      <c r="F1187" s="10">
        <v>2</v>
      </c>
      <c r="G1187" s="10">
        <v>0</v>
      </c>
      <c r="H1187" s="10">
        <v>1</v>
      </c>
      <c r="I1187" s="10">
        <v>3</v>
      </c>
      <c r="J1187">
        <v>2017</v>
      </c>
      <c r="K1187">
        <v>4</v>
      </c>
      <c r="L1187">
        <v>276</v>
      </c>
      <c r="M1187" t="s">
        <v>57</v>
      </c>
    </row>
    <row r="1188" spans="1:13">
      <c r="A1188" t="s">
        <v>1245</v>
      </c>
      <c r="B1188" s="10">
        <v>6.67</v>
      </c>
      <c r="C1188" s="10">
        <v>4.223</v>
      </c>
      <c r="D1188" s="10">
        <v>4</v>
      </c>
      <c r="E1188" s="10">
        <v>23</v>
      </c>
      <c r="F1188" s="10">
        <v>4</v>
      </c>
      <c r="G1188" s="10">
        <v>0</v>
      </c>
      <c r="H1188" s="10">
        <v>9</v>
      </c>
      <c r="I1188" s="10">
        <v>12.4</v>
      </c>
      <c r="J1188">
        <v>2017</v>
      </c>
      <c r="K1188">
        <v>4</v>
      </c>
      <c r="L1188">
        <v>276</v>
      </c>
      <c r="M1188" t="s">
        <v>59</v>
      </c>
    </row>
    <row r="1189" spans="1:13">
      <c r="A1189" t="s">
        <v>1246</v>
      </c>
      <c r="B1189" s="10">
        <v>6.33</v>
      </c>
      <c r="C1189" s="10">
        <v>1</v>
      </c>
      <c r="D1189" s="10">
        <v>5.6</v>
      </c>
      <c r="E1189" s="10">
        <v>25.6</v>
      </c>
      <c r="F1189" s="10">
        <v>8</v>
      </c>
      <c r="G1189" s="10">
        <v>0</v>
      </c>
      <c r="H1189" s="10">
        <v>20</v>
      </c>
      <c r="I1189" s="10">
        <v>3</v>
      </c>
      <c r="J1189">
        <v>2017</v>
      </c>
      <c r="K1189">
        <v>4</v>
      </c>
      <c r="L1189">
        <v>276</v>
      </c>
      <c r="M1189" t="s">
        <v>61</v>
      </c>
    </row>
    <row r="1190" spans="1:13">
      <c r="A1190" t="s">
        <v>1247</v>
      </c>
      <c r="B1190" s="10">
        <v>0.33</v>
      </c>
      <c r="C1190" s="10">
        <v>1.033</v>
      </c>
      <c r="D1190" s="10">
        <v>2.2</v>
      </c>
      <c r="E1190" s="10">
        <v>8</v>
      </c>
      <c r="F1190" s="10">
        <v>2</v>
      </c>
      <c r="G1190" s="10">
        <v>0</v>
      </c>
      <c r="H1190" s="10">
        <v>5</v>
      </c>
      <c r="I1190" s="10">
        <v>5.5</v>
      </c>
      <c r="J1190">
        <v>2017</v>
      </c>
      <c r="K1190">
        <v>4</v>
      </c>
      <c r="L1190">
        <v>276</v>
      </c>
      <c r="M1190" t="s">
        <v>63</v>
      </c>
    </row>
    <row r="1191" spans="1:13">
      <c r="A1191" t="s">
        <v>1248</v>
      </c>
      <c r="B1191" s="10">
        <v>5</v>
      </c>
      <c r="C1191" s="10">
        <v>0.231</v>
      </c>
      <c r="D1191" s="10">
        <v>0.2</v>
      </c>
      <c r="E1191" s="10">
        <v>13.6</v>
      </c>
      <c r="F1191" s="10">
        <v>9</v>
      </c>
      <c r="G1191" s="10">
        <v>2</v>
      </c>
      <c r="H1191" s="10">
        <v>6</v>
      </c>
      <c r="I1191" s="10">
        <v>1</v>
      </c>
      <c r="J1191">
        <v>2017</v>
      </c>
      <c r="K1191">
        <v>4</v>
      </c>
      <c r="L1191">
        <v>276</v>
      </c>
      <c r="M1191" t="s">
        <v>65</v>
      </c>
    </row>
    <row r="1192" spans="1:13">
      <c r="A1192" t="s">
        <v>1249</v>
      </c>
      <c r="B1192" s="10">
        <v>5</v>
      </c>
      <c r="C1192" s="10">
        <v>0.66</v>
      </c>
      <c r="D1192" s="10">
        <v>3.1</v>
      </c>
      <c r="E1192" s="10">
        <v>10.9</v>
      </c>
      <c r="F1192" s="10">
        <v>4</v>
      </c>
      <c r="G1192" s="10">
        <v>1</v>
      </c>
      <c r="H1192" s="10">
        <v>0</v>
      </c>
      <c r="I1192" s="10">
        <v>1</v>
      </c>
      <c r="J1192">
        <v>2017</v>
      </c>
      <c r="K1192">
        <v>4</v>
      </c>
      <c r="L1192">
        <v>276</v>
      </c>
      <c r="M1192" t="s">
        <v>53</v>
      </c>
    </row>
    <row r="1193" spans="1:13">
      <c r="A1193" t="s">
        <v>1250</v>
      </c>
      <c r="B1193" s="10">
        <v>3.5</v>
      </c>
      <c r="C1193" s="10">
        <v>4</v>
      </c>
      <c r="D1193" s="10">
        <v>2</v>
      </c>
      <c r="E1193" s="10">
        <v>16</v>
      </c>
      <c r="F1193" s="10">
        <v>5</v>
      </c>
      <c r="G1193" s="10">
        <v>0</v>
      </c>
      <c r="H1193" s="10">
        <v>5</v>
      </c>
      <c r="I1193" s="10">
        <v>5</v>
      </c>
      <c r="J1193">
        <v>2017</v>
      </c>
      <c r="K1193">
        <v>4</v>
      </c>
      <c r="L1193">
        <v>276</v>
      </c>
      <c r="M1193" t="s">
        <v>55</v>
      </c>
    </row>
    <row r="1194" spans="1:13">
      <c r="A1194" t="s">
        <v>1251</v>
      </c>
      <c r="B1194" s="10">
        <v>7.51</v>
      </c>
      <c r="C1194" s="10">
        <v>8.759</v>
      </c>
      <c r="D1194" s="10">
        <v>2.05</v>
      </c>
      <c r="E1194" s="10">
        <v>23</v>
      </c>
      <c r="F1194" s="10">
        <v>3</v>
      </c>
      <c r="G1194" s="10">
        <v>0</v>
      </c>
      <c r="H1194" s="10">
        <v>11</v>
      </c>
      <c r="I1194" s="10">
        <v>6</v>
      </c>
      <c r="J1194">
        <v>2017</v>
      </c>
      <c r="K1194">
        <v>4</v>
      </c>
      <c r="L1194">
        <v>276</v>
      </c>
      <c r="M1194" t="s">
        <v>57</v>
      </c>
    </row>
    <row r="1195" spans="1:13">
      <c r="A1195" t="s">
        <v>1252</v>
      </c>
      <c r="B1195" s="10">
        <v>4.99</v>
      </c>
      <c r="C1195" s="10">
        <v>5.34</v>
      </c>
      <c r="D1195" s="10">
        <v>8.25</v>
      </c>
      <c r="E1195" s="10">
        <v>22</v>
      </c>
      <c r="F1195" s="10">
        <v>3</v>
      </c>
      <c r="G1195" s="10">
        <v>0</v>
      </c>
      <c r="H1195" s="10">
        <v>0</v>
      </c>
      <c r="I1195" s="10">
        <v>1</v>
      </c>
      <c r="J1195">
        <v>2017</v>
      </c>
      <c r="K1195">
        <v>4</v>
      </c>
      <c r="L1195">
        <v>276</v>
      </c>
      <c r="M1195" t="s">
        <v>59</v>
      </c>
    </row>
    <row r="1196" spans="1:13">
      <c r="A1196" t="s">
        <v>1253</v>
      </c>
      <c r="B1196" s="10">
        <v>8.66</v>
      </c>
      <c r="C1196" s="10">
        <v>1.363</v>
      </c>
      <c r="D1196" s="10">
        <v>1.05</v>
      </c>
      <c r="E1196" s="10">
        <v>27.5</v>
      </c>
      <c r="F1196" s="10">
        <v>1</v>
      </c>
      <c r="G1196" s="10">
        <v>0</v>
      </c>
      <c r="H1196" s="10">
        <v>4</v>
      </c>
      <c r="I1196" s="10">
        <v>4</v>
      </c>
      <c r="J1196">
        <v>2017</v>
      </c>
      <c r="K1196">
        <v>4</v>
      </c>
      <c r="L1196">
        <v>276</v>
      </c>
      <c r="M1196" t="s">
        <v>61</v>
      </c>
    </row>
    <row r="1197" spans="1:13">
      <c r="A1197" t="s">
        <v>1254</v>
      </c>
      <c r="B1197" s="10">
        <v>4</v>
      </c>
      <c r="C1197" s="10">
        <v>2.33</v>
      </c>
      <c r="D1197" s="10">
        <v>3</v>
      </c>
      <c r="E1197" s="10">
        <v>17</v>
      </c>
      <c r="F1197" s="10">
        <v>5</v>
      </c>
      <c r="G1197" s="10">
        <v>0</v>
      </c>
      <c r="H1197" s="10">
        <v>11</v>
      </c>
      <c r="I1197" s="10">
        <v>1</v>
      </c>
      <c r="J1197">
        <v>2017</v>
      </c>
      <c r="K1197">
        <v>4</v>
      </c>
      <c r="L1197">
        <v>276</v>
      </c>
      <c r="M1197" t="s">
        <v>63</v>
      </c>
    </row>
    <row r="1198" spans="1:13">
      <c r="A1198" t="s">
        <v>1255</v>
      </c>
      <c r="B1198" s="10">
        <v>11.99</v>
      </c>
      <c r="C1198" s="10">
        <v>3.32</v>
      </c>
      <c r="D1198" s="10">
        <v>3.35</v>
      </c>
      <c r="E1198" s="10">
        <v>11</v>
      </c>
      <c r="F1198" s="10">
        <v>10</v>
      </c>
      <c r="G1198" s="10">
        <v>2</v>
      </c>
      <c r="H1198" s="10">
        <v>10</v>
      </c>
      <c r="I1198" s="10">
        <v>4</v>
      </c>
      <c r="J1198">
        <v>2017</v>
      </c>
      <c r="K1198">
        <v>4</v>
      </c>
      <c r="L1198">
        <v>276</v>
      </c>
      <c r="M1198" t="s">
        <v>65</v>
      </c>
    </row>
    <row r="1199" spans="1:13">
      <c r="A1199" t="s">
        <v>1256</v>
      </c>
      <c r="B1199" s="10">
        <v>5</v>
      </c>
      <c r="C1199" s="10">
        <v>2.439</v>
      </c>
      <c r="D1199" s="10">
        <v>2</v>
      </c>
      <c r="E1199" s="10">
        <v>30.9</v>
      </c>
      <c r="F1199" s="10">
        <v>1</v>
      </c>
      <c r="G1199" s="10">
        <v>0</v>
      </c>
      <c r="H1199" s="10">
        <v>2</v>
      </c>
      <c r="I1199" s="10">
        <v>5</v>
      </c>
      <c r="J1199">
        <v>2017</v>
      </c>
      <c r="K1199">
        <v>4</v>
      </c>
      <c r="L1199">
        <v>276</v>
      </c>
      <c r="M1199" t="s">
        <v>53</v>
      </c>
    </row>
    <row r="1200" spans="1:13">
      <c r="A1200" t="s">
        <v>1257</v>
      </c>
      <c r="B1200" s="10">
        <v>7.34</v>
      </c>
      <c r="C1200" s="10">
        <v>4.98</v>
      </c>
      <c r="D1200" s="10">
        <v>5</v>
      </c>
      <c r="E1200" s="10">
        <v>13</v>
      </c>
      <c r="F1200" s="10">
        <v>3</v>
      </c>
      <c r="G1200" s="10">
        <v>0</v>
      </c>
      <c r="H1200" s="10">
        <v>16</v>
      </c>
      <c r="I1200" s="10">
        <v>4</v>
      </c>
      <c r="J1200">
        <v>2017</v>
      </c>
      <c r="K1200">
        <v>4</v>
      </c>
      <c r="L1200">
        <v>276</v>
      </c>
      <c r="M1200" t="s">
        <v>55</v>
      </c>
    </row>
    <row r="1201" spans="1:13">
      <c r="A1201" t="s">
        <v>1258</v>
      </c>
      <c r="B1201" s="10">
        <v>11.67</v>
      </c>
      <c r="C1201" s="10">
        <v>1.472</v>
      </c>
      <c r="D1201" s="10">
        <v>4</v>
      </c>
      <c r="E1201" s="10">
        <v>27.25</v>
      </c>
      <c r="F1201" s="10">
        <v>1</v>
      </c>
      <c r="G1201" s="10">
        <v>0</v>
      </c>
      <c r="H1201" s="10">
        <v>15</v>
      </c>
      <c r="I1201" s="10">
        <v>5.2</v>
      </c>
      <c r="J1201">
        <v>2017</v>
      </c>
      <c r="K1201">
        <v>4</v>
      </c>
      <c r="L1201">
        <v>276</v>
      </c>
      <c r="M1201" t="s">
        <v>57</v>
      </c>
    </row>
    <row r="1202" spans="1:13">
      <c r="A1202" t="s">
        <v>1259</v>
      </c>
      <c r="B1202" s="10">
        <v>0</v>
      </c>
      <c r="C1202" s="10">
        <v>0</v>
      </c>
      <c r="D1202" s="10">
        <v>0</v>
      </c>
      <c r="E1202" s="10">
        <v>0</v>
      </c>
      <c r="F1202" s="10">
        <v>0</v>
      </c>
      <c r="G1202" s="10">
        <v>0</v>
      </c>
      <c r="H1202" s="10">
        <v>0</v>
      </c>
      <c r="I1202" s="10">
        <v>0</v>
      </c>
      <c r="J1202">
        <v>2017</v>
      </c>
      <c r="K1202">
        <v>4</v>
      </c>
      <c r="L1202">
        <v>276</v>
      </c>
      <c r="M1202" t="s">
        <v>59</v>
      </c>
    </row>
    <row r="1203" spans="1:13">
      <c r="A1203" t="s">
        <v>1260</v>
      </c>
      <c r="B1203" s="10">
        <v>4</v>
      </c>
      <c r="C1203" s="10">
        <v>3.99</v>
      </c>
      <c r="D1203" s="10">
        <v>1.9</v>
      </c>
      <c r="E1203" s="10">
        <v>18.4</v>
      </c>
      <c r="F1203" s="10">
        <v>1</v>
      </c>
      <c r="G1203" s="10">
        <v>0</v>
      </c>
      <c r="H1203" s="10">
        <v>5</v>
      </c>
      <c r="I1203" s="10">
        <v>1</v>
      </c>
      <c r="J1203">
        <v>2017</v>
      </c>
      <c r="K1203">
        <v>4</v>
      </c>
      <c r="L1203">
        <v>276</v>
      </c>
      <c r="M1203" t="s">
        <v>61</v>
      </c>
    </row>
    <row r="1204" spans="1:13">
      <c r="A1204" t="s">
        <v>1261</v>
      </c>
      <c r="B1204" s="10">
        <v>7.33</v>
      </c>
      <c r="C1204" s="10">
        <v>4.67</v>
      </c>
      <c r="D1204" s="10">
        <v>6.3</v>
      </c>
      <c r="E1204" s="10">
        <v>15.4</v>
      </c>
      <c r="F1204" s="10">
        <v>8</v>
      </c>
      <c r="G1204" s="10">
        <v>1</v>
      </c>
      <c r="H1204" s="10">
        <v>2</v>
      </c>
      <c r="I1204" s="10">
        <v>2</v>
      </c>
      <c r="J1204">
        <v>2017</v>
      </c>
      <c r="K1204">
        <v>4</v>
      </c>
      <c r="L1204">
        <v>276</v>
      </c>
      <c r="M1204" t="s">
        <v>63</v>
      </c>
    </row>
    <row r="1205" spans="1:13">
      <c r="A1205" t="s">
        <v>1262</v>
      </c>
      <c r="B1205" s="10">
        <v>1</v>
      </c>
      <c r="C1205" s="10">
        <v>3.406</v>
      </c>
      <c r="D1205" s="10">
        <v>5</v>
      </c>
      <c r="E1205" s="10">
        <v>14</v>
      </c>
      <c r="F1205" s="10">
        <v>2</v>
      </c>
      <c r="G1205" s="10">
        <v>0</v>
      </c>
      <c r="H1205" s="10">
        <v>0</v>
      </c>
      <c r="I1205" s="10">
        <v>1</v>
      </c>
      <c r="J1205">
        <v>2017</v>
      </c>
      <c r="K1205">
        <v>4</v>
      </c>
      <c r="L1205">
        <v>276</v>
      </c>
      <c r="M1205" t="s">
        <v>65</v>
      </c>
    </row>
    <row r="1206" spans="1:13">
      <c r="A1206" t="s">
        <v>1263</v>
      </c>
      <c r="B1206" s="10">
        <v>4.66</v>
      </c>
      <c r="C1206" s="10">
        <v>2.33</v>
      </c>
      <c r="D1206" s="10">
        <v>5</v>
      </c>
      <c r="E1206" s="10">
        <v>9.4</v>
      </c>
      <c r="F1206" s="10">
        <v>10</v>
      </c>
      <c r="G1206" s="10">
        <v>0</v>
      </c>
      <c r="H1206" s="10">
        <v>7</v>
      </c>
      <c r="I1206" s="10">
        <v>2</v>
      </c>
      <c r="J1206">
        <v>2017</v>
      </c>
      <c r="K1206">
        <v>4</v>
      </c>
      <c r="L1206">
        <v>276</v>
      </c>
      <c r="M1206" t="s">
        <v>53</v>
      </c>
    </row>
    <row r="1207" spans="1:13">
      <c r="A1207" t="s">
        <v>1264</v>
      </c>
      <c r="B1207" s="10">
        <v>3.67</v>
      </c>
      <c r="C1207" s="10">
        <v>2.34</v>
      </c>
      <c r="D1207" s="10">
        <v>2.4</v>
      </c>
      <c r="E1207" s="10">
        <v>29</v>
      </c>
      <c r="F1207" s="10">
        <v>3</v>
      </c>
      <c r="G1207" s="10">
        <v>0</v>
      </c>
      <c r="H1207" s="10">
        <v>1.875</v>
      </c>
      <c r="I1207" s="10">
        <v>3</v>
      </c>
      <c r="J1207">
        <v>2017</v>
      </c>
      <c r="K1207">
        <v>4</v>
      </c>
      <c r="L1207">
        <v>276</v>
      </c>
      <c r="M1207" t="s">
        <v>55</v>
      </c>
    </row>
    <row r="1208" spans="1:13">
      <c r="A1208" t="s">
        <v>1265</v>
      </c>
      <c r="B1208" s="10">
        <v>2.64</v>
      </c>
      <c r="C1208" s="10">
        <v>4.66</v>
      </c>
      <c r="D1208" s="10">
        <v>2.8</v>
      </c>
      <c r="E1208" s="10">
        <v>19</v>
      </c>
      <c r="F1208" s="10">
        <v>7</v>
      </c>
      <c r="G1208" s="10">
        <v>1</v>
      </c>
      <c r="H1208" s="10">
        <v>1</v>
      </c>
      <c r="I1208" s="10">
        <v>2</v>
      </c>
      <c r="J1208">
        <v>2017</v>
      </c>
      <c r="K1208">
        <v>4</v>
      </c>
      <c r="L1208">
        <v>276</v>
      </c>
      <c r="M1208" t="s">
        <v>57</v>
      </c>
    </row>
    <row r="1209" spans="1:13">
      <c r="A1209" t="s">
        <v>1266</v>
      </c>
      <c r="B1209" s="10">
        <v>9</v>
      </c>
      <c r="C1209" s="10">
        <v>5.416</v>
      </c>
      <c r="D1209" s="10">
        <v>3.6</v>
      </c>
      <c r="E1209" s="10">
        <v>25.5</v>
      </c>
      <c r="F1209" s="10">
        <v>7</v>
      </c>
      <c r="G1209" s="10">
        <v>0</v>
      </c>
      <c r="H1209" s="10">
        <v>1</v>
      </c>
      <c r="I1209" s="10">
        <v>5</v>
      </c>
      <c r="J1209">
        <v>2017</v>
      </c>
      <c r="K1209">
        <v>4</v>
      </c>
      <c r="L1209">
        <v>276</v>
      </c>
      <c r="M1209" t="s">
        <v>59</v>
      </c>
    </row>
    <row r="1210" spans="1:13">
      <c r="A1210" t="s">
        <v>1267</v>
      </c>
      <c r="B1210" s="10">
        <v>9.33</v>
      </c>
      <c r="C1210" s="10">
        <v>3.81</v>
      </c>
      <c r="D1210" s="10">
        <v>8</v>
      </c>
      <c r="E1210" s="10">
        <v>13.15</v>
      </c>
      <c r="F1210" s="10">
        <v>9</v>
      </c>
      <c r="G1210" s="10">
        <v>0</v>
      </c>
      <c r="H1210" s="10">
        <v>1</v>
      </c>
      <c r="I1210" s="10">
        <v>5</v>
      </c>
      <c r="J1210">
        <v>2017</v>
      </c>
      <c r="K1210">
        <v>4</v>
      </c>
      <c r="L1210">
        <v>276</v>
      </c>
      <c r="M1210" t="s">
        <v>61</v>
      </c>
    </row>
    <row r="1211" spans="1:13">
      <c r="A1211" t="s">
        <v>1268</v>
      </c>
      <c r="B1211" s="10">
        <v>8</v>
      </c>
      <c r="C1211" s="10">
        <v>2.99</v>
      </c>
      <c r="D1211" s="10">
        <v>2.2</v>
      </c>
      <c r="E1211" s="10">
        <v>24</v>
      </c>
      <c r="F1211" s="10">
        <v>4</v>
      </c>
      <c r="G1211" s="10">
        <v>0</v>
      </c>
      <c r="H1211" s="10">
        <v>26</v>
      </c>
      <c r="I1211" s="10">
        <v>5</v>
      </c>
      <c r="J1211">
        <v>2017</v>
      </c>
      <c r="K1211">
        <v>4</v>
      </c>
      <c r="L1211">
        <v>276</v>
      </c>
      <c r="M1211" t="s">
        <v>63</v>
      </c>
    </row>
    <row r="1212" spans="1:13">
      <c r="A1212" t="s">
        <v>1269</v>
      </c>
      <c r="B1212" s="10">
        <v>3</v>
      </c>
      <c r="C1212" s="10">
        <v>4</v>
      </c>
      <c r="D1212" s="10">
        <v>3.5</v>
      </c>
      <c r="E1212" s="10">
        <v>10.2</v>
      </c>
      <c r="F1212" s="10">
        <v>3</v>
      </c>
      <c r="G1212" s="10">
        <v>0</v>
      </c>
      <c r="H1212" s="10">
        <v>1</v>
      </c>
      <c r="I1212" s="10">
        <v>8.300000000000001</v>
      </c>
      <c r="J1212">
        <v>2017</v>
      </c>
      <c r="K1212">
        <v>4</v>
      </c>
      <c r="L1212">
        <v>276</v>
      </c>
      <c r="M1212" t="s">
        <v>65</v>
      </c>
    </row>
    <row r="1213" spans="1:13">
      <c r="A1213" t="s">
        <v>1270</v>
      </c>
      <c r="B1213" s="10">
        <v>3.33</v>
      </c>
      <c r="C1213" s="10">
        <v>3.737</v>
      </c>
      <c r="D1213" s="10">
        <v>2.3</v>
      </c>
      <c r="E1213" s="10">
        <v>11</v>
      </c>
      <c r="F1213" s="10">
        <v>10</v>
      </c>
      <c r="G1213" s="10">
        <v>1</v>
      </c>
      <c r="H1213" s="10">
        <v>0</v>
      </c>
      <c r="I1213" s="10">
        <v>10</v>
      </c>
      <c r="J1213">
        <v>2017</v>
      </c>
      <c r="K1213">
        <v>4</v>
      </c>
      <c r="L1213">
        <v>276</v>
      </c>
      <c r="M1213" t="s">
        <v>53</v>
      </c>
    </row>
    <row r="1214" spans="1:13">
      <c r="A1214" t="s">
        <v>1271</v>
      </c>
      <c r="B1214" s="10">
        <v>3.33</v>
      </c>
      <c r="C1214" s="10">
        <v>3.67</v>
      </c>
      <c r="D1214" s="10">
        <v>5.1</v>
      </c>
      <c r="E1214" s="10">
        <v>15.4</v>
      </c>
      <c r="F1214" s="10">
        <v>2</v>
      </c>
      <c r="G1214" s="10">
        <v>0</v>
      </c>
      <c r="H1214" s="10">
        <v>7</v>
      </c>
      <c r="I1214" s="10">
        <v>7</v>
      </c>
      <c r="J1214">
        <v>2017</v>
      </c>
      <c r="K1214">
        <v>4</v>
      </c>
      <c r="L1214">
        <v>276</v>
      </c>
      <c r="M1214" t="s">
        <v>55</v>
      </c>
    </row>
    <row r="1215" spans="1:13">
      <c r="A1215" t="s">
        <v>1272</v>
      </c>
      <c r="B1215" s="10">
        <v>5</v>
      </c>
      <c r="C1215" s="10">
        <v>9</v>
      </c>
      <c r="D1215" s="10">
        <v>2.3</v>
      </c>
      <c r="E1215" s="10">
        <v>15</v>
      </c>
      <c r="F1215" s="10">
        <v>3</v>
      </c>
      <c r="G1215" s="10">
        <v>1</v>
      </c>
      <c r="H1215" s="10">
        <v>1</v>
      </c>
      <c r="I1215" s="10">
        <v>8</v>
      </c>
      <c r="J1215">
        <v>2017</v>
      </c>
      <c r="K1215">
        <v>4</v>
      </c>
      <c r="L1215">
        <v>276</v>
      </c>
      <c r="M1215" t="s">
        <v>57</v>
      </c>
    </row>
    <row r="1216" spans="1:13">
      <c r="A1216" t="s">
        <v>1273</v>
      </c>
      <c r="B1216" s="10">
        <v>1</v>
      </c>
      <c r="C1216" s="10">
        <v>4.046</v>
      </c>
      <c r="D1216" s="10">
        <v>2.3</v>
      </c>
      <c r="E1216" s="10">
        <v>18</v>
      </c>
      <c r="F1216" s="10">
        <v>2</v>
      </c>
      <c r="G1216" s="10">
        <v>0</v>
      </c>
      <c r="H1216" s="10">
        <v>12</v>
      </c>
      <c r="I1216" s="10">
        <v>2</v>
      </c>
      <c r="J1216">
        <v>2017</v>
      </c>
      <c r="K1216">
        <v>4</v>
      </c>
      <c r="L1216">
        <v>276</v>
      </c>
      <c r="M1216" t="s">
        <v>59</v>
      </c>
    </row>
    <row r="1217" spans="1:13">
      <c r="A1217" t="s">
        <v>1274</v>
      </c>
      <c r="B1217" s="10">
        <v>0.34</v>
      </c>
      <c r="C1217" s="10">
        <v>1</v>
      </c>
      <c r="D1217" s="10">
        <v>1</v>
      </c>
      <c r="E1217" s="10">
        <v>1.2</v>
      </c>
      <c r="F1217" s="10">
        <v>0</v>
      </c>
      <c r="G1217" s="10">
        <v>0</v>
      </c>
      <c r="H1217" s="10">
        <v>0</v>
      </c>
      <c r="I1217" s="10">
        <v>1</v>
      </c>
      <c r="J1217">
        <v>2017</v>
      </c>
      <c r="K1217">
        <v>5</v>
      </c>
      <c r="L1217">
        <v>276</v>
      </c>
      <c r="M1217" t="s">
        <v>61</v>
      </c>
    </row>
    <row r="1218" spans="1:13">
      <c r="A1218" t="s">
        <v>1275</v>
      </c>
      <c r="B1218" s="10">
        <v>2</v>
      </c>
      <c r="C1218" s="10">
        <v>6.033</v>
      </c>
      <c r="D1218" s="10">
        <v>1</v>
      </c>
      <c r="E1218" s="10">
        <v>23</v>
      </c>
      <c r="F1218" s="10">
        <v>5</v>
      </c>
      <c r="G1218" s="10">
        <v>0</v>
      </c>
      <c r="H1218" s="10">
        <v>6</v>
      </c>
      <c r="I1218" s="10">
        <v>5</v>
      </c>
      <c r="J1218">
        <v>2017</v>
      </c>
      <c r="K1218">
        <v>5</v>
      </c>
      <c r="L1218">
        <v>276</v>
      </c>
      <c r="M1218" t="s">
        <v>63</v>
      </c>
    </row>
    <row r="1219" spans="1:13">
      <c r="A1219" t="s">
        <v>1276</v>
      </c>
      <c r="B1219" s="10">
        <v>1.33</v>
      </c>
      <c r="C1219" s="10">
        <v>3.34</v>
      </c>
      <c r="D1219" s="10">
        <v>6</v>
      </c>
      <c r="E1219" s="10">
        <v>18.2</v>
      </c>
      <c r="F1219" s="10">
        <v>6</v>
      </c>
      <c r="G1219" s="10">
        <v>0</v>
      </c>
      <c r="H1219" s="10">
        <v>20</v>
      </c>
      <c r="I1219" s="10">
        <v>2</v>
      </c>
      <c r="J1219">
        <v>2017</v>
      </c>
      <c r="K1219">
        <v>5</v>
      </c>
      <c r="L1219">
        <v>276</v>
      </c>
      <c r="M1219" t="s">
        <v>65</v>
      </c>
    </row>
    <row r="1220" spans="1:13">
      <c r="A1220" t="s">
        <v>1277</v>
      </c>
      <c r="B1220" s="10">
        <v>5.67</v>
      </c>
      <c r="C1220" s="10">
        <v>5.66</v>
      </c>
      <c r="D1220" s="10">
        <v>1</v>
      </c>
      <c r="E1220" s="10">
        <v>11.6</v>
      </c>
      <c r="F1220" s="10">
        <v>4</v>
      </c>
      <c r="G1220" s="10">
        <v>0</v>
      </c>
      <c r="H1220" s="10">
        <v>2</v>
      </c>
      <c r="I1220" s="10">
        <v>4.1</v>
      </c>
      <c r="J1220">
        <v>2017</v>
      </c>
      <c r="K1220">
        <v>5</v>
      </c>
      <c r="L1220">
        <v>276</v>
      </c>
      <c r="M1220" t="s">
        <v>53</v>
      </c>
    </row>
    <row r="1221" spans="1:13">
      <c r="A1221" t="s">
        <v>1278</v>
      </c>
      <c r="B1221" s="10">
        <v>2.34</v>
      </c>
      <c r="C1221" s="10">
        <v>5.33</v>
      </c>
      <c r="D1221" s="10">
        <v>1.15</v>
      </c>
      <c r="E1221" s="10">
        <v>6.6</v>
      </c>
      <c r="F1221" s="10">
        <v>8</v>
      </c>
      <c r="G1221" s="10">
        <v>0</v>
      </c>
      <c r="H1221" s="10">
        <v>12</v>
      </c>
      <c r="I1221" s="10">
        <v>3</v>
      </c>
      <c r="J1221">
        <v>2017</v>
      </c>
      <c r="K1221">
        <v>5</v>
      </c>
      <c r="L1221">
        <v>276</v>
      </c>
      <c r="M1221" t="s">
        <v>55</v>
      </c>
    </row>
    <row r="1222" spans="1:13">
      <c r="A1222" t="s">
        <v>1279</v>
      </c>
      <c r="B1222" s="10">
        <v>7.33</v>
      </c>
      <c r="C1222" s="10">
        <v>2.363</v>
      </c>
      <c r="D1222" s="10">
        <v>4.4</v>
      </c>
      <c r="E1222" s="10">
        <v>14</v>
      </c>
      <c r="F1222" s="10">
        <v>4</v>
      </c>
      <c r="G1222" s="10">
        <v>0</v>
      </c>
      <c r="H1222" s="10">
        <v>0</v>
      </c>
      <c r="I1222" s="10">
        <v>6</v>
      </c>
      <c r="J1222">
        <v>2017</v>
      </c>
      <c r="K1222">
        <v>5</v>
      </c>
      <c r="L1222">
        <v>276</v>
      </c>
      <c r="M1222" t="s">
        <v>57</v>
      </c>
    </row>
    <row r="1223" spans="1:13">
      <c r="A1223" t="s">
        <v>1280</v>
      </c>
      <c r="B1223" s="10">
        <v>6.33</v>
      </c>
      <c r="C1223" s="10">
        <v>3.67</v>
      </c>
      <c r="D1223" s="10">
        <v>4.5</v>
      </c>
      <c r="E1223" s="10">
        <v>18.25</v>
      </c>
      <c r="F1223" s="10">
        <v>3</v>
      </c>
      <c r="G1223" s="10">
        <v>0</v>
      </c>
      <c r="H1223" s="10">
        <v>4</v>
      </c>
      <c r="I1223" s="10">
        <v>4</v>
      </c>
      <c r="J1223">
        <v>2017</v>
      </c>
      <c r="K1223">
        <v>5</v>
      </c>
      <c r="L1223">
        <v>276</v>
      </c>
      <c r="M1223" t="s">
        <v>59</v>
      </c>
    </row>
    <row r="1224" spans="1:13">
      <c r="A1224" t="s">
        <v>1281</v>
      </c>
      <c r="B1224" s="10">
        <v>2.33</v>
      </c>
      <c r="C1224" s="10">
        <v>3.66</v>
      </c>
      <c r="D1224" s="10">
        <v>1</v>
      </c>
      <c r="E1224" s="10">
        <v>8</v>
      </c>
      <c r="F1224" s="10">
        <v>8</v>
      </c>
      <c r="G1224" s="10">
        <v>3</v>
      </c>
      <c r="H1224" s="10">
        <v>1</v>
      </c>
      <c r="I1224" s="10">
        <v>5.6</v>
      </c>
      <c r="J1224">
        <v>2017</v>
      </c>
      <c r="K1224">
        <v>5</v>
      </c>
      <c r="L1224">
        <v>276</v>
      </c>
      <c r="M1224" t="s">
        <v>61</v>
      </c>
    </row>
    <row r="1225" spans="1:13">
      <c r="A1225" t="s">
        <v>1282</v>
      </c>
      <c r="B1225" s="10">
        <v>7.33</v>
      </c>
      <c r="C1225" s="10">
        <v>4</v>
      </c>
      <c r="D1225" s="10">
        <v>4.1</v>
      </c>
      <c r="E1225" s="10">
        <v>11</v>
      </c>
      <c r="F1225" s="10">
        <v>4</v>
      </c>
      <c r="G1225" s="10">
        <v>0</v>
      </c>
      <c r="H1225" s="10">
        <v>2</v>
      </c>
      <c r="I1225" s="10">
        <v>3</v>
      </c>
      <c r="J1225">
        <v>2017</v>
      </c>
      <c r="K1225">
        <v>5</v>
      </c>
      <c r="L1225">
        <v>276</v>
      </c>
      <c r="M1225" t="s">
        <v>63</v>
      </c>
    </row>
    <row r="1226" spans="1:13">
      <c r="A1226" t="s">
        <v>1283</v>
      </c>
      <c r="B1226" s="10">
        <v>8.66</v>
      </c>
      <c r="C1226" s="10">
        <v>0.397</v>
      </c>
      <c r="D1226" s="10">
        <v>9</v>
      </c>
      <c r="E1226" s="10">
        <v>15</v>
      </c>
      <c r="F1226" s="10">
        <v>4</v>
      </c>
      <c r="G1226" s="10">
        <v>0</v>
      </c>
      <c r="H1226" s="10">
        <v>14</v>
      </c>
      <c r="I1226" s="10">
        <v>7</v>
      </c>
      <c r="J1226">
        <v>2017</v>
      </c>
      <c r="K1226">
        <v>5</v>
      </c>
      <c r="L1226">
        <v>276</v>
      </c>
      <c r="M1226" t="s">
        <v>65</v>
      </c>
    </row>
    <row r="1227" spans="1:13">
      <c r="A1227" t="s">
        <v>1284</v>
      </c>
      <c r="B1227" s="10">
        <v>6</v>
      </c>
      <c r="C1227" s="10">
        <v>6.693</v>
      </c>
      <c r="D1227" s="10">
        <v>3</v>
      </c>
      <c r="E1227" s="10">
        <v>16</v>
      </c>
      <c r="F1227" s="10">
        <v>6</v>
      </c>
      <c r="G1227" s="10">
        <v>2</v>
      </c>
      <c r="H1227" s="10">
        <v>1</v>
      </c>
      <c r="I1227" s="10">
        <v>10</v>
      </c>
      <c r="J1227">
        <v>2017</v>
      </c>
      <c r="K1227">
        <v>5</v>
      </c>
      <c r="L1227">
        <v>276</v>
      </c>
      <c r="M1227" t="s">
        <v>53</v>
      </c>
    </row>
    <row r="1228" spans="1:13">
      <c r="A1228" t="s">
        <v>1285</v>
      </c>
      <c r="B1228" s="10">
        <v>4.99</v>
      </c>
      <c r="C1228" s="10">
        <v>4.703</v>
      </c>
      <c r="D1228" s="10">
        <v>6</v>
      </c>
      <c r="E1228" s="10">
        <v>16.4</v>
      </c>
      <c r="F1228" s="10">
        <v>4</v>
      </c>
      <c r="G1228" s="10">
        <v>9</v>
      </c>
      <c r="H1228" s="10">
        <v>0</v>
      </c>
      <c r="I1228" s="10">
        <v>6</v>
      </c>
      <c r="J1228">
        <v>2017</v>
      </c>
      <c r="K1228">
        <v>5</v>
      </c>
      <c r="L1228">
        <v>276</v>
      </c>
      <c r="M1228" t="s">
        <v>55</v>
      </c>
    </row>
    <row r="1229" spans="1:13">
      <c r="A1229" t="s">
        <v>1286</v>
      </c>
      <c r="B1229" s="10">
        <v>5</v>
      </c>
      <c r="C1229" s="10">
        <v>2.363</v>
      </c>
      <c r="D1229" s="10">
        <v>6</v>
      </c>
      <c r="E1229" s="10">
        <v>12</v>
      </c>
      <c r="F1229" s="10">
        <v>4</v>
      </c>
      <c r="G1229" s="10">
        <v>0</v>
      </c>
      <c r="H1229" s="10">
        <v>1</v>
      </c>
      <c r="I1229" s="10">
        <v>7</v>
      </c>
      <c r="J1229">
        <v>2017</v>
      </c>
      <c r="K1229">
        <v>5</v>
      </c>
      <c r="L1229">
        <v>276</v>
      </c>
      <c r="M1229" t="s">
        <v>57</v>
      </c>
    </row>
    <row r="1230" spans="1:13">
      <c r="A1230" t="s">
        <v>1287</v>
      </c>
      <c r="B1230" s="10">
        <v>4.67</v>
      </c>
      <c r="C1230" s="10">
        <v>2.076</v>
      </c>
      <c r="D1230" s="10">
        <v>2.85</v>
      </c>
      <c r="E1230" s="10">
        <v>31.5</v>
      </c>
      <c r="F1230" s="10">
        <v>6</v>
      </c>
      <c r="G1230" s="10">
        <v>0</v>
      </c>
      <c r="H1230" s="10">
        <v>5</v>
      </c>
      <c r="I1230" s="10">
        <v>2.1</v>
      </c>
      <c r="J1230">
        <v>2017</v>
      </c>
      <c r="K1230">
        <v>5</v>
      </c>
      <c r="L1230">
        <v>276</v>
      </c>
      <c r="M1230" t="s">
        <v>59</v>
      </c>
    </row>
    <row r="1231" spans="1:13">
      <c r="A1231" t="s">
        <v>1288</v>
      </c>
      <c r="B1231" s="10">
        <v>5.34</v>
      </c>
      <c r="C1231" s="10">
        <v>4.703</v>
      </c>
      <c r="D1231" s="10">
        <v>2</v>
      </c>
      <c r="E1231" s="10">
        <v>17</v>
      </c>
      <c r="F1231" s="10">
        <v>0</v>
      </c>
      <c r="G1231" s="10">
        <v>3</v>
      </c>
      <c r="H1231" s="10">
        <v>3</v>
      </c>
      <c r="I1231" s="10">
        <v>7</v>
      </c>
      <c r="J1231">
        <v>2017</v>
      </c>
      <c r="K1231">
        <v>5</v>
      </c>
      <c r="L1231">
        <v>276</v>
      </c>
      <c r="M1231" t="s">
        <v>61</v>
      </c>
    </row>
    <row r="1232" spans="1:13">
      <c r="A1232" t="s">
        <v>1289</v>
      </c>
      <c r="B1232" s="10">
        <v>2.33</v>
      </c>
      <c r="C1232" s="10">
        <v>5.66</v>
      </c>
      <c r="D1232" s="10">
        <v>1.5</v>
      </c>
      <c r="E1232" s="10">
        <v>16.2</v>
      </c>
      <c r="F1232" s="10">
        <v>2</v>
      </c>
      <c r="G1232" s="10">
        <v>0</v>
      </c>
      <c r="H1232" s="10">
        <v>6</v>
      </c>
      <c r="I1232" s="10">
        <v>7</v>
      </c>
      <c r="J1232">
        <v>2017</v>
      </c>
      <c r="K1232">
        <v>5</v>
      </c>
      <c r="L1232">
        <v>276</v>
      </c>
      <c r="M1232" t="s">
        <v>63</v>
      </c>
    </row>
    <row r="1233" spans="1:13">
      <c r="A1233" t="s">
        <v>1290</v>
      </c>
      <c r="B1233" s="10">
        <v>6.34</v>
      </c>
      <c r="C1233" s="10">
        <v>4.84</v>
      </c>
      <c r="D1233" s="10">
        <v>0</v>
      </c>
      <c r="E1233" s="10">
        <v>9</v>
      </c>
      <c r="F1233" s="10">
        <v>5</v>
      </c>
      <c r="G1233" s="10">
        <v>0</v>
      </c>
      <c r="H1233" s="10">
        <v>0</v>
      </c>
      <c r="I1233" s="10">
        <v>2</v>
      </c>
      <c r="J1233">
        <v>2017</v>
      </c>
      <c r="K1233">
        <v>5</v>
      </c>
      <c r="L1233">
        <v>276</v>
      </c>
      <c r="M1233" t="s">
        <v>65</v>
      </c>
    </row>
    <row r="1234" spans="1:13">
      <c r="A1234" t="s">
        <v>1291</v>
      </c>
      <c r="B1234" s="10">
        <v>3.33</v>
      </c>
      <c r="C1234" s="10">
        <v>5.01</v>
      </c>
      <c r="D1234" s="10">
        <v>4</v>
      </c>
      <c r="E1234" s="10">
        <v>28.2</v>
      </c>
      <c r="F1234" s="10">
        <v>4</v>
      </c>
      <c r="G1234" s="10">
        <v>0</v>
      </c>
      <c r="H1234" s="10">
        <v>0</v>
      </c>
      <c r="I1234" s="10">
        <v>3</v>
      </c>
      <c r="J1234">
        <v>2017</v>
      </c>
      <c r="K1234">
        <v>5</v>
      </c>
      <c r="L1234">
        <v>276</v>
      </c>
      <c r="M1234" t="s">
        <v>53</v>
      </c>
    </row>
    <row r="1235" spans="1:13">
      <c r="A1235" t="s">
        <v>1292</v>
      </c>
      <c r="B1235" s="10">
        <v>4.34</v>
      </c>
      <c r="C1235" s="10">
        <v>3.44</v>
      </c>
      <c r="D1235" s="10">
        <v>2.2</v>
      </c>
      <c r="E1235" s="10">
        <v>31.6</v>
      </c>
      <c r="F1235" s="10">
        <v>11</v>
      </c>
      <c r="G1235" s="10">
        <v>0</v>
      </c>
      <c r="H1235" s="10">
        <v>0</v>
      </c>
      <c r="I1235" s="10">
        <v>10</v>
      </c>
      <c r="J1235">
        <v>2017</v>
      </c>
      <c r="K1235">
        <v>5</v>
      </c>
      <c r="L1235">
        <v>276</v>
      </c>
      <c r="M1235" t="s">
        <v>55</v>
      </c>
    </row>
    <row r="1236" spans="1:13">
      <c r="A1236" t="s">
        <v>1293</v>
      </c>
      <c r="B1236" s="10">
        <v>3.99</v>
      </c>
      <c r="C1236" s="10">
        <v>4.713</v>
      </c>
      <c r="D1236" s="10">
        <v>0.25</v>
      </c>
      <c r="E1236" s="10">
        <v>16.4</v>
      </c>
      <c r="F1236" s="10">
        <v>5</v>
      </c>
      <c r="G1236" s="10">
        <v>0</v>
      </c>
      <c r="H1236" s="10">
        <v>6</v>
      </c>
      <c r="I1236" s="10">
        <v>6</v>
      </c>
      <c r="J1236">
        <v>2017</v>
      </c>
      <c r="K1236">
        <v>5</v>
      </c>
      <c r="L1236">
        <v>276</v>
      </c>
      <c r="M1236" t="s">
        <v>57</v>
      </c>
    </row>
    <row r="1237" spans="1:13">
      <c r="A1237" t="s">
        <v>1294</v>
      </c>
      <c r="B1237" s="10">
        <v>6</v>
      </c>
      <c r="C1237" s="10">
        <v>3.043</v>
      </c>
      <c r="D1237" s="10">
        <v>1.25</v>
      </c>
      <c r="E1237" s="10">
        <v>32.2</v>
      </c>
      <c r="F1237" s="10">
        <v>5</v>
      </c>
      <c r="G1237" s="10">
        <v>0</v>
      </c>
      <c r="H1237" s="10">
        <v>12</v>
      </c>
      <c r="I1237" s="10">
        <v>4</v>
      </c>
      <c r="J1237">
        <v>2017</v>
      </c>
      <c r="K1237">
        <v>5</v>
      </c>
      <c r="L1237">
        <v>276</v>
      </c>
      <c r="M1237" t="s">
        <v>59</v>
      </c>
    </row>
    <row r="1238" spans="1:13">
      <c r="A1238" t="s">
        <v>1295</v>
      </c>
      <c r="B1238" s="10">
        <v>5.33</v>
      </c>
      <c r="C1238" s="10">
        <v>1.34</v>
      </c>
      <c r="D1238" s="10">
        <v>4.4</v>
      </c>
      <c r="E1238" s="10">
        <v>22.4</v>
      </c>
      <c r="F1238" s="10">
        <v>5</v>
      </c>
      <c r="G1238" s="10">
        <v>0</v>
      </c>
      <c r="H1238" s="10">
        <v>7</v>
      </c>
      <c r="I1238" s="10">
        <v>11</v>
      </c>
      <c r="J1238">
        <v>2017</v>
      </c>
      <c r="K1238">
        <v>5</v>
      </c>
      <c r="L1238">
        <v>276</v>
      </c>
      <c r="M1238" t="s">
        <v>61</v>
      </c>
    </row>
    <row r="1239" spans="1:13">
      <c r="A1239" t="s">
        <v>1296</v>
      </c>
      <c r="B1239" s="10">
        <v>3</v>
      </c>
      <c r="C1239" s="10">
        <v>2.406</v>
      </c>
      <c r="D1239" s="10">
        <v>5</v>
      </c>
      <c r="E1239" s="10">
        <v>11</v>
      </c>
      <c r="F1239" s="10">
        <v>9</v>
      </c>
      <c r="G1239" s="10">
        <v>0</v>
      </c>
      <c r="H1239" s="10">
        <v>2</v>
      </c>
      <c r="I1239" s="10">
        <v>7</v>
      </c>
      <c r="J1239">
        <v>2017</v>
      </c>
      <c r="K1239">
        <v>5</v>
      </c>
      <c r="L1239">
        <v>276</v>
      </c>
      <c r="M1239" t="s">
        <v>63</v>
      </c>
    </row>
    <row r="1240" spans="1:13">
      <c r="A1240" t="s">
        <v>1297</v>
      </c>
      <c r="B1240" s="10">
        <v>6.68</v>
      </c>
      <c r="C1240" s="10">
        <v>3.34</v>
      </c>
      <c r="D1240" s="10">
        <v>3</v>
      </c>
      <c r="E1240" s="10">
        <v>14.2</v>
      </c>
      <c r="F1240" s="10">
        <v>9</v>
      </c>
      <c r="G1240" s="10">
        <v>0</v>
      </c>
      <c r="H1240" s="10">
        <v>4</v>
      </c>
      <c r="I1240" s="10">
        <v>4.71</v>
      </c>
      <c r="J1240">
        <v>2017</v>
      </c>
      <c r="K1240">
        <v>5</v>
      </c>
      <c r="L1240">
        <v>276</v>
      </c>
      <c r="M1240" t="s">
        <v>65</v>
      </c>
    </row>
    <row r="1241" spans="1:13">
      <c r="A1241" t="s">
        <v>1298</v>
      </c>
      <c r="B1241" s="10">
        <v>5.66</v>
      </c>
      <c r="C1241" s="10">
        <v>5.36</v>
      </c>
      <c r="D1241" s="10">
        <v>2</v>
      </c>
      <c r="E1241" s="10">
        <v>18.2</v>
      </c>
      <c r="F1241" s="10">
        <v>3</v>
      </c>
      <c r="G1241" s="10">
        <v>0</v>
      </c>
      <c r="H1241" s="10">
        <v>2</v>
      </c>
      <c r="I1241" s="10">
        <v>4.3</v>
      </c>
      <c r="J1241">
        <v>2017</v>
      </c>
      <c r="K1241">
        <v>5</v>
      </c>
      <c r="L1241">
        <v>276</v>
      </c>
      <c r="M1241" t="s">
        <v>53</v>
      </c>
    </row>
    <row r="1242" spans="1:13">
      <c r="A1242" t="s">
        <v>1299</v>
      </c>
      <c r="B1242" s="10">
        <v>2.34</v>
      </c>
      <c r="C1242" s="10">
        <v>3.67</v>
      </c>
      <c r="D1242" s="10">
        <v>5</v>
      </c>
      <c r="E1242" s="10">
        <v>29</v>
      </c>
      <c r="F1242" s="10">
        <v>4</v>
      </c>
      <c r="G1242" s="10">
        <v>0</v>
      </c>
      <c r="H1242" s="10">
        <v>8</v>
      </c>
      <c r="I1242" s="10">
        <v>2</v>
      </c>
      <c r="J1242">
        <v>2017</v>
      </c>
      <c r="K1242">
        <v>5</v>
      </c>
      <c r="L1242">
        <v>276</v>
      </c>
      <c r="M1242" t="s">
        <v>55</v>
      </c>
    </row>
    <row r="1243" spans="1:13">
      <c r="A1243" t="s">
        <v>1300</v>
      </c>
      <c r="B1243" s="10">
        <v>7.33</v>
      </c>
      <c r="C1243" s="10">
        <v>3.221</v>
      </c>
      <c r="D1243" s="10">
        <v>2</v>
      </c>
      <c r="E1243" s="10">
        <v>23.4</v>
      </c>
      <c r="F1243" s="10">
        <v>5</v>
      </c>
      <c r="G1243" s="10">
        <v>0</v>
      </c>
      <c r="H1243" s="10">
        <v>0</v>
      </c>
      <c r="I1243" s="10">
        <v>10</v>
      </c>
      <c r="J1243">
        <v>2017</v>
      </c>
      <c r="K1243">
        <v>5</v>
      </c>
      <c r="L1243">
        <v>276</v>
      </c>
      <c r="M1243" t="s">
        <v>57</v>
      </c>
    </row>
    <row r="1244" spans="1:13">
      <c r="A1244" t="s">
        <v>1301</v>
      </c>
      <c r="B1244" s="10">
        <v>1.99</v>
      </c>
      <c r="C1244" s="10">
        <v>6.243</v>
      </c>
      <c r="D1244" s="10">
        <v>2.45</v>
      </c>
      <c r="E1244" s="10">
        <v>11.19</v>
      </c>
      <c r="F1244" s="10">
        <v>2</v>
      </c>
      <c r="G1244" s="10">
        <v>0</v>
      </c>
      <c r="H1244" s="10">
        <v>0</v>
      </c>
      <c r="I1244" s="10">
        <v>3</v>
      </c>
      <c r="J1244">
        <v>2017</v>
      </c>
      <c r="K1244">
        <v>5</v>
      </c>
      <c r="L1244">
        <v>276</v>
      </c>
      <c r="M1244" t="s">
        <v>59</v>
      </c>
    </row>
    <row r="1245" spans="1:13">
      <c r="A1245" t="s">
        <v>1302</v>
      </c>
      <c r="B1245" s="10">
        <v>3.34</v>
      </c>
      <c r="C1245" s="10">
        <v>4.023</v>
      </c>
      <c r="D1245" s="10">
        <v>1.6</v>
      </c>
      <c r="E1245" s="10">
        <v>28</v>
      </c>
      <c r="F1245" s="10">
        <v>4</v>
      </c>
      <c r="G1245" s="10">
        <v>2</v>
      </c>
      <c r="H1245" s="10">
        <v>4</v>
      </c>
      <c r="I1245" s="10">
        <v>5</v>
      </c>
      <c r="J1245">
        <v>2017</v>
      </c>
      <c r="K1245">
        <v>5</v>
      </c>
      <c r="L1245">
        <v>276</v>
      </c>
      <c r="M1245" t="s">
        <v>61</v>
      </c>
    </row>
    <row r="1246" spans="1:13">
      <c r="A1246" t="s">
        <v>1303</v>
      </c>
      <c r="B1246" s="10">
        <v>8</v>
      </c>
      <c r="C1246" s="10">
        <v>3.396</v>
      </c>
      <c r="D1246" s="10">
        <v>4.3</v>
      </c>
      <c r="E1246" s="10">
        <v>25</v>
      </c>
      <c r="F1246" s="10">
        <v>3</v>
      </c>
      <c r="G1246" s="10">
        <v>0</v>
      </c>
      <c r="H1246" s="10">
        <v>5</v>
      </c>
      <c r="I1246" s="10">
        <v>5</v>
      </c>
      <c r="J1246">
        <v>2017</v>
      </c>
      <c r="K1246">
        <v>5</v>
      </c>
      <c r="L1246">
        <v>276</v>
      </c>
      <c r="M1246" t="s">
        <v>63</v>
      </c>
    </row>
    <row r="1247" spans="1:13">
      <c r="A1247" t="s">
        <v>1304</v>
      </c>
      <c r="B1247" s="10">
        <v>4</v>
      </c>
      <c r="C1247" s="10">
        <v>2.429</v>
      </c>
      <c r="D1247" s="10">
        <v>7</v>
      </c>
      <c r="E1247" s="10">
        <v>12.2</v>
      </c>
      <c r="F1247" s="10">
        <v>6</v>
      </c>
      <c r="G1247" s="10">
        <v>4</v>
      </c>
      <c r="H1247" s="10">
        <v>1</v>
      </c>
      <c r="I1247" s="10">
        <v>5</v>
      </c>
      <c r="J1247">
        <v>2017</v>
      </c>
      <c r="K1247">
        <v>5</v>
      </c>
      <c r="L1247">
        <v>276</v>
      </c>
      <c r="M1247" t="s">
        <v>65</v>
      </c>
    </row>
    <row r="1248" spans="1:13">
      <c r="A1248" t="s">
        <v>1305</v>
      </c>
      <c r="B1248" s="10">
        <v>1.34</v>
      </c>
      <c r="C1248" s="10">
        <v>3.67</v>
      </c>
      <c r="D1248" s="10">
        <v>2</v>
      </c>
      <c r="E1248" s="10">
        <v>21.4</v>
      </c>
      <c r="F1248" s="10">
        <v>10</v>
      </c>
      <c r="G1248" s="10">
        <v>0</v>
      </c>
      <c r="H1248" s="10">
        <v>2</v>
      </c>
      <c r="I1248" s="10">
        <v>2</v>
      </c>
      <c r="J1248">
        <v>2017</v>
      </c>
      <c r="K1248">
        <v>6</v>
      </c>
      <c r="L1248">
        <v>276</v>
      </c>
      <c r="M1248" t="s">
        <v>53</v>
      </c>
    </row>
    <row r="1249" spans="1:13">
      <c r="A1249" t="s">
        <v>1306</v>
      </c>
      <c r="B1249" s="10">
        <v>2.33</v>
      </c>
      <c r="C1249" s="10">
        <v>4</v>
      </c>
      <c r="D1249" s="10">
        <v>4</v>
      </c>
      <c r="E1249" s="10">
        <v>17.4</v>
      </c>
      <c r="F1249" s="10">
        <v>9</v>
      </c>
      <c r="G1249" s="10">
        <v>1</v>
      </c>
      <c r="H1249" s="10">
        <v>5</v>
      </c>
      <c r="I1249" s="10">
        <v>3</v>
      </c>
      <c r="J1249">
        <v>2017</v>
      </c>
      <c r="K1249">
        <v>6</v>
      </c>
      <c r="L1249">
        <v>276</v>
      </c>
      <c r="M1249" t="s">
        <v>55</v>
      </c>
    </row>
    <row r="1250" spans="1:13">
      <c r="A1250" t="s">
        <v>1307</v>
      </c>
      <c r="B1250" s="10">
        <v>5</v>
      </c>
      <c r="C1250" s="10">
        <v>1.726</v>
      </c>
      <c r="D1250" s="10">
        <v>3</v>
      </c>
      <c r="E1250" s="10">
        <v>10</v>
      </c>
      <c r="F1250" s="10">
        <v>3</v>
      </c>
      <c r="G1250" s="10">
        <v>1</v>
      </c>
      <c r="H1250" s="10">
        <v>22</v>
      </c>
      <c r="I1250" s="10">
        <v>2</v>
      </c>
      <c r="J1250">
        <v>2017</v>
      </c>
      <c r="K1250">
        <v>6</v>
      </c>
      <c r="L1250">
        <v>276</v>
      </c>
      <c r="M1250" t="s">
        <v>57</v>
      </c>
    </row>
    <row r="1251" spans="1:13">
      <c r="A1251" t="s">
        <v>1308</v>
      </c>
      <c r="B1251" s="10">
        <v>7</v>
      </c>
      <c r="C1251" s="10">
        <v>1.747</v>
      </c>
      <c r="D1251" s="10">
        <v>2.25</v>
      </c>
      <c r="E1251" s="10">
        <v>23.4</v>
      </c>
      <c r="F1251" s="10">
        <v>3</v>
      </c>
      <c r="G1251" s="10">
        <v>1</v>
      </c>
      <c r="H1251" s="10">
        <v>5</v>
      </c>
      <c r="I1251" s="10">
        <v>4</v>
      </c>
      <c r="J1251">
        <v>2017</v>
      </c>
      <c r="K1251">
        <v>6</v>
      </c>
      <c r="L1251">
        <v>276</v>
      </c>
      <c r="M1251" t="s">
        <v>59</v>
      </c>
    </row>
    <row r="1252" spans="1:13">
      <c r="A1252" t="s">
        <v>1309</v>
      </c>
      <c r="B1252" s="10">
        <v>3.33</v>
      </c>
      <c r="C1252" s="10">
        <v>5.99</v>
      </c>
      <c r="D1252" s="10">
        <v>4.5</v>
      </c>
      <c r="E1252" s="10">
        <v>9.699999999999999</v>
      </c>
      <c r="F1252" s="10">
        <v>5</v>
      </c>
      <c r="G1252" s="10">
        <v>0</v>
      </c>
      <c r="H1252" s="10">
        <v>0</v>
      </c>
      <c r="I1252" s="10">
        <v>8</v>
      </c>
      <c r="J1252">
        <v>2017</v>
      </c>
      <c r="K1252">
        <v>6</v>
      </c>
      <c r="L1252">
        <v>276</v>
      </c>
      <c r="M1252" t="s">
        <v>61</v>
      </c>
    </row>
    <row r="1253" spans="1:13">
      <c r="A1253" t="s">
        <v>1310</v>
      </c>
      <c r="B1253" s="10">
        <v>1</v>
      </c>
      <c r="C1253" s="10">
        <v>3</v>
      </c>
      <c r="D1253" s="10">
        <v>0</v>
      </c>
      <c r="E1253" s="10">
        <v>18</v>
      </c>
      <c r="F1253" s="10">
        <v>3</v>
      </c>
      <c r="G1253" s="10">
        <v>0</v>
      </c>
      <c r="H1253" s="10">
        <v>6</v>
      </c>
      <c r="I1253" s="10">
        <v>7.5</v>
      </c>
      <c r="J1253">
        <v>2017</v>
      </c>
      <c r="K1253">
        <v>6</v>
      </c>
      <c r="L1253">
        <v>276</v>
      </c>
      <c r="M1253" t="s">
        <v>63</v>
      </c>
    </row>
    <row r="1254" spans="1:13">
      <c r="A1254" t="s">
        <v>1311</v>
      </c>
      <c r="B1254" s="10">
        <v>5.33</v>
      </c>
      <c r="C1254" s="10">
        <v>4.693</v>
      </c>
      <c r="D1254" s="10">
        <v>4</v>
      </c>
      <c r="E1254" s="10">
        <v>21</v>
      </c>
      <c r="F1254" s="10">
        <v>13</v>
      </c>
      <c r="G1254" s="10">
        <v>0</v>
      </c>
      <c r="H1254" s="10">
        <v>20</v>
      </c>
      <c r="I1254" s="10">
        <v>7</v>
      </c>
      <c r="J1254">
        <v>2017</v>
      </c>
      <c r="K1254">
        <v>6</v>
      </c>
      <c r="L1254">
        <v>276</v>
      </c>
      <c r="M1254" t="s">
        <v>65</v>
      </c>
    </row>
    <row r="1255" spans="1:13">
      <c r="A1255" t="s">
        <v>1312</v>
      </c>
      <c r="B1255" s="10">
        <v>5</v>
      </c>
      <c r="C1255" s="10">
        <v>1.823</v>
      </c>
      <c r="D1255" s="10">
        <v>3.15</v>
      </c>
      <c r="E1255" s="10">
        <v>21</v>
      </c>
      <c r="F1255" s="10">
        <v>4</v>
      </c>
      <c r="G1255" s="10">
        <v>0</v>
      </c>
      <c r="H1255" s="10">
        <v>2</v>
      </c>
      <c r="I1255" s="10">
        <v>4.2</v>
      </c>
      <c r="J1255">
        <v>2017</v>
      </c>
      <c r="K1255">
        <v>6</v>
      </c>
      <c r="L1255">
        <v>276</v>
      </c>
      <c r="M1255" t="s">
        <v>53</v>
      </c>
    </row>
    <row r="1256" spans="1:13">
      <c r="A1256" t="s">
        <v>1313</v>
      </c>
      <c r="B1256" s="10">
        <v>1.33</v>
      </c>
      <c r="C1256" s="10">
        <v>4.09</v>
      </c>
      <c r="D1256" s="10">
        <v>3.1</v>
      </c>
      <c r="E1256" s="10">
        <v>10</v>
      </c>
      <c r="F1256" s="10">
        <v>2</v>
      </c>
      <c r="G1256" s="10">
        <v>0</v>
      </c>
      <c r="H1256" s="10">
        <v>0</v>
      </c>
      <c r="I1256" s="10">
        <v>6</v>
      </c>
      <c r="J1256">
        <v>2017</v>
      </c>
      <c r="K1256">
        <v>6</v>
      </c>
      <c r="L1256">
        <v>276</v>
      </c>
      <c r="M1256" t="s">
        <v>55</v>
      </c>
    </row>
    <row r="1257" spans="1:13">
      <c r="A1257" t="s">
        <v>1314</v>
      </c>
      <c r="B1257" s="10">
        <v>9</v>
      </c>
      <c r="C1257" s="10">
        <v>7.01</v>
      </c>
      <c r="D1257" s="10">
        <v>4</v>
      </c>
      <c r="E1257" s="10">
        <v>15</v>
      </c>
      <c r="F1257" s="10">
        <v>2</v>
      </c>
      <c r="G1257" s="10">
        <v>0</v>
      </c>
      <c r="H1257" s="10">
        <v>7</v>
      </c>
      <c r="I1257" s="10">
        <v>3</v>
      </c>
      <c r="J1257">
        <v>2017</v>
      </c>
      <c r="K1257">
        <v>6</v>
      </c>
      <c r="L1257">
        <v>276</v>
      </c>
      <c r="M1257" t="s">
        <v>57</v>
      </c>
    </row>
    <row r="1258" spans="1:13">
      <c r="A1258" t="s">
        <v>1315</v>
      </c>
      <c r="B1258" s="10">
        <v>5.5</v>
      </c>
      <c r="C1258" s="10">
        <v>3.99</v>
      </c>
      <c r="D1258" s="10">
        <v>8.5</v>
      </c>
      <c r="E1258" s="10">
        <v>28.25</v>
      </c>
      <c r="F1258" s="10">
        <v>8</v>
      </c>
      <c r="G1258" s="10">
        <v>0</v>
      </c>
      <c r="H1258" s="10">
        <v>2</v>
      </c>
      <c r="I1258" s="10">
        <v>3</v>
      </c>
      <c r="J1258">
        <v>2017</v>
      </c>
      <c r="K1258">
        <v>6</v>
      </c>
      <c r="L1258">
        <v>276</v>
      </c>
      <c r="M1258" t="s">
        <v>59</v>
      </c>
    </row>
    <row r="1259" spans="1:13">
      <c r="A1259" t="s">
        <v>1316</v>
      </c>
      <c r="B1259" s="10">
        <v>4.34</v>
      </c>
      <c r="C1259" s="10">
        <v>3.34</v>
      </c>
      <c r="D1259" s="10">
        <v>1</v>
      </c>
      <c r="E1259" s="10">
        <v>13.6</v>
      </c>
      <c r="F1259" s="10">
        <v>3</v>
      </c>
      <c r="G1259" s="10">
        <v>0</v>
      </c>
      <c r="H1259" s="10">
        <v>13</v>
      </c>
      <c r="I1259" s="10">
        <v>12</v>
      </c>
      <c r="J1259">
        <v>2017</v>
      </c>
      <c r="K1259">
        <v>6</v>
      </c>
      <c r="L1259">
        <v>276</v>
      </c>
      <c r="M1259" t="s">
        <v>61</v>
      </c>
    </row>
    <row r="1260" spans="1:13">
      <c r="A1260" t="s">
        <v>1317</v>
      </c>
      <c r="B1260" s="10">
        <v>2.99</v>
      </c>
      <c r="C1260" s="10">
        <v>3.023</v>
      </c>
      <c r="D1260" s="10">
        <v>3</v>
      </c>
      <c r="E1260" s="10">
        <v>8</v>
      </c>
      <c r="F1260" s="10">
        <v>9</v>
      </c>
      <c r="G1260" s="10">
        <v>0</v>
      </c>
      <c r="H1260" s="10">
        <v>0</v>
      </c>
      <c r="I1260" s="10">
        <v>9.1</v>
      </c>
      <c r="J1260">
        <v>2017</v>
      </c>
      <c r="K1260">
        <v>6</v>
      </c>
      <c r="L1260">
        <v>276</v>
      </c>
      <c r="M1260" t="s">
        <v>63</v>
      </c>
    </row>
    <row r="1261" spans="1:13">
      <c r="A1261" t="s">
        <v>1318</v>
      </c>
      <c r="B1261" s="10">
        <v>1.33</v>
      </c>
      <c r="C1261" s="10">
        <v>1.33</v>
      </c>
      <c r="D1261" s="10">
        <v>1</v>
      </c>
      <c r="E1261" s="10">
        <v>9</v>
      </c>
      <c r="F1261" s="10">
        <v>6</v>
      </c>
      <c r="G1261" s="10">
        <v>3</v>
      </c>
      <c r="H1261" s="10">
        <v>5</v>
      </c>
      <c r="I1261" s="10">
        <v>3</v>
      </c>
      <c r="J1261">
        <v>2017</v>
      </c>
      <c r="K1261">
        <v>6</v>
      </c>
      <c r="L1261">
        <v>276</v>
      </c>
      <c r="M1261" t="s">
        <v>65</v>
      </c>
    </row>
    <row r="1262" spans="1:13">
      <c r="A1262" t="s">
        <v>1319</v>
      </c>
      <c r="B1262" s="10">
        <v>3</v>
      </c>
      <c r="C1262" s="10">
        <v>4.33</v>
      </c>
      <c r="D1262" s="10">
        <v>3.15</v>
      </c>
      <c r="E1262" s="10">
        <v>15</v>
      </c>
      <c r="F1262" s="10">
        <v>10</v>
      </c>
      <c r="G1262" s="10">
        <v>0</v>
      </c>
      <c r="H1262" s="10">
        <v>5</v>
      </c>
      <c r="I1262" s="10">
        <v>6.5</v>
      </c>
      <c r="J1262">
        <v>2017</v>
      </c>
      <c r="K1262">
        <v>6</v>
      </c>
      <c r="L1262">
        <v>276</v>
      </c>
      <c r="M1262" t="s">
        <v>53</v>
      </c>
    </row>
    <row r="1263" spans="1:13">
      <c r="A1263" t="s">
        <v>1320</v>
      </c>
      <c r="B1263" s="10">
        <v>4</v>
      </c>
      <c r="C1263" s="10">
        <v>2.01</v>
      </c>
      <c r="D1263" s="10">
        <v>0</v>
      </c>
      <c r="E1263" s="10">
        <v>12.25</v>
      </c>
      <c r="F1263" s="10">
        <v>6</v>
      </c>
      <c r="G1263" s="10">
        <v>0</v>
      </c>
      <c r="H1263" s="10">
        <v>0</v>
      </c>
      <c r="I1263" s="10">
        <v>5.44</v>
      </c>
      <c r="J1263">
        <v>2017</v>
      </c>
      <c r="K1263">
        <v>6</v>
      </c>
      <c r="L1263">
        <v>276</v>
      </c>
      <c r="M1263" t="s">
        <v>55</v>
      </c>
    </row>
    <row r="1264" spans="1:13">
      <c r="A1264" t="s">
        <v>1321</v>
      </c>
      <c r="B1264" s="10">
        <v>2</v>
      </c>
      <c r="C1264" s="10">
        <v>8.726000000000001</v>
      </c>
      <c r="D1264" s="10">
        <v>5</v>
      </c>
      <c r="E1264" s="10">
        <v>12</v>
      </c>
      <c r="F1264" s="10">
        <v>4</v>
      </c>
      <c r="G1264" s="10">
        <v>0</v>
      </c>
      <c r="H1264" s="10">
        <v>5</v>
      </c>
      <c r="I1264" s="10">
        <v>5</v>
      </c>
      <c r="J1264">
        <v>2017</v>
      </c>
      <c r="K1264">
        <v>6</v>
      </c>
      <c r="L1264">
        <v>276</v>
      </c>
      <c r="M1264" t="s">
        <v>57</v>
      </c>
    </row>
    <row r="1265" spans="1:13">
      <c r="A1265" t="s">
        <v>1322</v>
      </c>
      <c r="B1265" s="10">
        <v>4</v>
      </c>
      <c r="C1265" s="10">
        <v>7.34</v>
      </c>
      <c r="D1265" s="10">
        <v>1.1</v>
      </c>
      <c r="E1265" s="10">
        <v>26.6</v>
      </c>
      <c r="F1265" s="10">
        <v>2</v>
      </c>
      <c r="G1265" s="10">
        <v>0</v>
      </c>
      <c r="H1265" s="10">
        <v>12</v>
      </c>
      <c r="I1265" s="10">
        <v>3.33</v>
      </c>
      <c r="J1265">
        <v>2017</v>
      </c>
      <c r="K1265">
        <v>6</v>
      </c>
      <c r="L1265">
        <v>276</v>
      </c>
      <c r="M1265" t="s">
        <v>59</v>
      </c>
    </row>
    <row r="1266" spans="1:13">
      <c r="A1266" t="s">
        <v>1323</v>
      </c>
      <c r="B1266" s="10">
        <v>1.33</v>
      </c>
      <c r="C1266" s="10">
        <v>1.98</v>
      </c>
      <c r="D1266" s="10">
        <v>1</v>
      </c>
      <c r="E1266" s="10">
        <v>18</v>
      </c>
      <c r="F1266" s="10">
        <v>1</v>
      </c>
      <c r="G1266" s="10">
        <v>1</v>
      </c>
      <c r="H1266" s="10">
        <v>8</v>
      </c>
      <c r="I1266" s="10">
        <v>3</v>
      </c>
      <c r="J1266">
        <v>2017</v>
      </c>
      <c r="K1266">
        <v>6</v>
      </c>
      <c r="L1266">
        <v>276</v>
      </c>
      <c r="M1266" t="s">
        <v>61</v>
      </c>
    </row>
    <row r="1267" spans="1:13">
      <c r="A1267" t="s">
        <v>1324</v>
      </c>
      <c r="B1267" s="10">
        <v>9.33</v>
      </c>
      <c r="C1267" s="10">
        <v>1</v>
      </c>
      <c r="D1267" s="10">
        <v>5.1</v>
      </c>
      <c r="E1267" s="10">
        <v>12</v>
      </c>
      <c r="F1267" s="10">
        <v>5</v>
      </c>
      <c r="G1267" s="10">
        <v>0</v>
      </c>
      <c r="H1267" s="10">
        <v>5</v>
      </c>
      <c r="I1267" s="10">
        <v>8.630000000000001</v>
      </c>
      <c r="J1267">
        <v>2017</v>
      </c>
      <c r="K1267">
        <v>6</v>
      </c>
      <c r="L1267">
        <v>276</v>
      </c>
      <c r="M1267" t="s">
        <v>63</v>
      </c>
    </row>
    <row r="1268" spans="1:13">
      <c r="A1268" t="s">
        <v>1325</v>
      </c>
      <c r="B1268" s="10">
        <v>4</v>
      </c>
      <c r="C1268" s="10">
        <v>1.33</v>
      </c>
      <c r="D1268" s="10">
        <v>2</v>
      </c>
      <c r="E1268" s="10">
        <v>21</v>
      </c>
      <c r="F1268" s="10">
        <v>4</v>
      </c>
      <c r="G1268" s="10">
        <v>0</v>
      </c>
      <c r="H1268" s="10">
        <v>2</v>
      </c>
      <c r="I1268" s="10">
        <v>5.4</v>
      </c>
      <c r="J1268">
        <v>2017</v>
      </c>
      <c r="K1268">
        <v>6</v>
      </c>
      <c r="L1268">
        <v>276</v>
      </c>
      <c r="M1268" t="s">
        <v>65</v>
      </c>
    </row>
    <row r="1269" spans="1:13">
      <c r="A1269" t="s">
        <v>1326</v>
      </c>
      <c r="B1269" s="10">
        <v>1</v>
      </c>
      <c r="C1269" s="10">
        <v>3.34</v>
      </c>
      <c r="D1269" s="10">
        <v>0</v>
      </c>
      <c r="E1269" s="10">
        <v>7</v>
      </c>
      <c r="F1269" s="10">
        <v>4</v>
      </c>
      <c r="G1269" s="10">
        <v>0</v>
      </c>
      <c r="H1269" s="10">
        <v>8</v>
      </c>
      <c r="I1269" s="10">
        <v>11</v>
      </c>
      <c r="J1269">
        <v>2017</v>
      </c>
      <c r="K1269">
        <v>6</v>
      </c>
      <c r="L1269">
        <v>276</v>
      </c>
      <c r="M1269" t="s">
        <v>53</v>
      </c>
    </row>
    <row r="1270" spans="1:13">
      <c r="A1270" t="s">
        <v>1327</v>
      </c>
      <c r="B1270" s="10">
        <v>1</v>
      </c>
      <c r="C1270" s="10">
        <v>1.34</v>
      </c>
      <c r="D1270" s="10">
        <v>2</v>
      </c>
      <c r="E1270" s="10">
        <v>16</v>
      </c>
      <c r="F1270" s="10">
        <v>5</v>
      </c>
      <c r="G1270" s="10">
        <v>0</v>
      </c>
      <c r="H1270" s="10">
        <v>0</v>
      </c>
      <c r="I1270" s="10">
        <v>1.2</v>
      </c>
      <c r="J1270">
        <v>2017</v>
      </c>
      <c r="K1270">
        <v>6</v>
      </c>
      <c r="L1270">
        <v>276</v>
      </c>
      <c r="M1270" t="s">
        <v>55</v>
      </c>
    </row>
    <row r="1271" spans="1:13">
      <c r="A1271" t="s">
        <v>1328</v>
      </c>
      <c r="B1271" s="10">
        <v>5</v>
      </c>
      <c r="C1271" s="10">
        <v>3.65</v>
      </c>
      <c r="D1271" s="10">
        <v>6</v>
      </c>
      <c r="E1271" s="10">
        <v>32</v>
      </c>
      <c r="F1271" s="10">
        <v>8</v>
      </c>
      <c r="G1271" s="10">
        <v>1</v>
      </c>
      <c r="H1271" s="10">
        <v>0</v>
      </c>
      <c r="I1271" s="10">
        <v>1</v>
      </c>
      <c r="J1271">
        <v>2017</v>
      </c>
      <c r="K1271">
        <v>6</v>
      </c>
      <c r="L1271">
        <v>276</v>
      </c>
      <c r="M1271" t="s">
        <v>57</v>
      </c>
    </row>
    <row r="1272" spans="1:13">
      <c r="A1272" t="s">
        <v>1329</v>
      </c>
      <c r="B1272" s="10">
        <v>6.5</v>
      </c>
      <c r="C1272" s="10">
        <v>2.34</v>
      </c>
      <c r="D1272" s="10">
        <v>6</v>
      </c>
      <c r="E1272" s="10">
        <v>22</v>
      </c>
      <c r="F1272" s="10">
        <v>4</v>
      </c>
      <c r="G1272" s="10">
        <v>0</v>
      </c>
      <c r="H1272" s="10">
        <v>0</v>
      </c>
      <c r="I1272" s="10">
        <v>4.6</v>
      </c>
      <c r="J1272">
        <v>2017</v>
      </c>
      <c r="K1272">
        <v>6</v>
      </c>
      <c r="L1272">
        <v>276</v>
      </c>
      <c r="M1272" t="s">
        <v>59</v>
      </c>
    </row>
    <row r="1273" spans="1:13">
      <c r="A1273" t="s">
        <v>1330</v>
      </c>
      <c r="B1273" s="10">
        <v>7.68</v>
      </c>
      <c r="C1273" s="10">
        <v>3.033</v>
      </c>
      <c r="D1273" s="10">
        <v>6.25</v>
      </c>
      <c r="E1273" s="10">
        <v>10</v>
      </c>
      <c r="F1273" s="10">
        <v>11</v>
      </c>
      <c r="G1273" s="10">
        <v>0</v>
      </c>
      <c r="H1273" s="10">
        <v>0</v>
      </c>
      <c r="I1273" s="10">
        <v>3</v>
      </c>
      <c r="J1273">
        <v>2017</v>
      </c>
      <c r="K1273">
        <v>6</v>
      </c>
      <c r="L1273">
        <v>276</v>
      </c>
      <c r="M1273" t="s">
        <v>61</v>
      </c>
    </row>
    <row r="1274" spans="1:13">
      <c r="A1274" t="s">
        <v>1331</v>
      </c>
      <c r="B1274" s="10">
        <v>4</v>
      </c>
      <c r="C1274" s="10">
        <v>3.32</v>
      </c>
      <c r="D1274" s="10">
        <v>6</v>
      </c>
      <c r="E1274" s="10">
        <v>13.5</v>
      </c>
      <c r="F1274" s="10">
        <v>9</v>
      </c>
      <c r="G1274" s="10">
        <v>0</v>
      </c>
      <c r="H1274" s="10">
        <v>3</v>
      </c>
      <c r="I1274" s="10">
        <v>6</v>
      </c>
      <c r="J1274">
        <v>2017</v>
      </c>
      <c r="K1274">
        <v>6</v>
      </c>
      <c r="L1274">
        <v>276</v>
      </c>
      <c r="M1274" t="s">
        <v>63</v>
      </c>
    </row>
    <row r="1275" spans="1:13">
      <c r="A1275" t="s">
        <v>1332</v>
      </c>
      <c r="B1275" s="10">
        <v>4</v>
      </c>
      <c r="C1275" s="10">
        <v>4.033</v>
      </c>
      <c r="D1275" s="10">
        <v>4.5</v>
      </c>
      <c r="E1275" s="10">
        <v>18</v>
      </c>
      <c r="F1275" s="10">
        <v>7</v>
      </c>
      <c r="G1275" s="10">
        <v>0</v>
      </c>
      <c r="H1275" s="10">
        <v>5</v>
      </c>
      <c r="I1275" s="10">
        <v>3</v>
      </c>
      <c r="J1275">
        <v>2017</v>
      </c>
      <c r="K1275">
        <v>6</v>
      </c>
      <c r="L1275">
        <v>276</v>
      </c>
      <c r="M1275" t="s">
        <v>65</v>
      </c>
    </row>
    <row r="1276" spans="1:13">
      <c r="A1276" t="s">
        <v>1333</v>
      </c>
      <c r="B1276" s="10">
        <v>4</v>
      </c>
      <c r="C1276" s="10">
        <v>3.67</v>
      </c>
      <c r="D1276" s="10">
        <v>6</v>
      </c>
      <c r="E1276" s="10">
        <v>17</v>
      </c>
      <c r="F1276" s="10">
        <v>1</v>
      </c>
      <c r="G1276" s="10">
        <v>0</v>
      </c>
      <c r="H1276" s="10">
        <v>21</v>
      </c>
      <c r="I1276" s="10">
        <v>5</v>
      </c>
      <c r="J1276">
        <v>2017</v>
      </c>
      <c r="K1276">
        <v>6</v>
      </c>
      <c r="L1276">
        <v>276</v>
      </c>
      <c r="M1276" t="s">
        <v>53</v>
      </c>
    </row>
    <row r="1277" spans="1:13">
      <c r="A1277" t="s">
        <v>1334</v>
      </c>
      <c r="B1277" s="10">
        <v>6.67</v>
      </c>
      <c r="C1277" s="10">
        <v>2.132</v>
      </c>
      <c r="D1277" s="10">
        <v>2</v>
      </c>
      <c r="E1277" s="10">
        <v>18</v>
      </c>
      <c r="F1277" s="10">
        <v>2</v>
      </c>
      <c r="G1277" s="10">
        <v>0</v>
      </c>
      <c r="H1277" s="10">
        <v>0</v>
      </c>
      <c r="I1277" s="10">
        <v>6</v>
      </c>
      <c r="J1277">
        <v>2017</v>
      </c>
      <c r="K1277">
        <v>6</v>
      </c>
      <c r="L1277">
        <v>276</v>
      </c>
      <c r="M1277" t="s">
        <v>55</v>
      </c>
    </row>
    <row r="1278" spans="1:13">
      <c r="A1278" t="s">
        <v>1335</v>
      </c>
      <c r="B1278" s="10">
        <v>3.33</v>
      </c>
      <c r="C1278" s="10">
        <v>2.33</v>
      </c>
      <c r="D1278" s="10">
        <v>1</v>
      </c>
      <c r="E1278" s="10">
        <v>10</v>
      </c>
      <c r="F1278" s="10">
        <v>5</v>
      </c>
      <c r="G1278" s="10">
        <v>0</v>
      </c>
      <c r="H1278" s="10">
        <v>10</v>
      </c>
      <c r="I1278" s="10">
        <v>4</v>
      </c>
      <c r="J1278">
        <v>2017</v>
      </c>
      <c r="K1278">
        <v>7</v>
      </c>
      <c r="L1278">
        <v>276</v>
      </c>
      <c r="M1278" t="s">
        <v>57</v>
      </c>
    </row>
    <row r="1279" spans="1:13">
      <c r="A1279" t="s">
        <v>1336</v>
      </c>
      <c r="B1279" s="10">
        <v>5</v>
      </c>
      <c r="C1279" s="10">
        <v>3.68</v>
      </c>
      <c r="D1279" s="10">
        <v>2</v>
      </c>
      <c r="E1279" s="10">
        <v>9</v>
      </c>
      <c r="F1279" s="10">
        <v>6</v>
      </c>
      <c r="G1279" s="10">
        <v>0</v>
      </c>
      <c r="H1279" s="10">
        <v>0</v>
      </c>
      <c r="I1279" s="10">
        <v>4</v>
      </c>
      <c r="J1279">
        <v>2017</v>
      </c>
      <c r="K1279">
        <v>7</v>
      </c>
      <c r="L1279">
        <v>276</v>
      </c>
      <c r="M1279" t="s">
        <v>59</v>
      </c>
    </row>
    <row r="1280" spans="1:13">
      <c r="A1280" t="s">
        <v>1337</v>
      </c>
      <c r="B1280" s="10">
        <v>3.67</v>
      </c>
      <c r="C1280" s="10">
        <v>0</v>
      </c>
      <c r="D1280" s="10">
        <v>1.5</v>
      </c>
      <c r="E1280" s="10">
        <v>8</v>
      </c>
      <c r="F1280" s="10">
        <v>11</v>
      </c>
      <c r="G1280" s="10">
        <v>0</v>
      </c>
      <c r="H1280" s="10">
        <v>11</v>
      </c>
      <c r="I1280" s="10">
        <v>0</v>
      </c>
      <c r="J1280">
        <v>2017</v>
      </c>
      <c r="K1280">
        <v>7</v>
      </c>
      <c r="L1280">
        <v>276</v>
      </c>
      <c r="M1280" t="s">
        <v>61</v>
      </c>
    </row>
    <row r="1281" spans="1:13">
      <c r="A1281" t="s">
        <v>1338</v>
      </c>
      <c r="B1281" s="10">
        <v>10.67</v>
      </c>
      <c r="C1281" s="10">
        <v>2.34</v>
      </c>
      <c r="D1281" s="10">
        <v>5</v>
      </c>
      <c r="E1281" s="10">
        <v>18</v>
      </c>
      <c r="F1281" s="10">
        <v>7</v>
      </c>
      <c r="G1281" s="10">
        <v>0</v>
      </c>
      <c r="H1281" s="10">
        <v>0</v>
      </c>
      <c r="I1281" s="10">
        <v>6</v>
      </c>
      <c r="J1281">
        <v>2017</v>
      </c>
      <c r="K1281">
        <v>7</v>
      </c>
      <c r="L1281">
        <v>276</v>
      </c>
      <c r="M1281" t="s">
        <v>63</v>
      </c>
    </row>
    <row r="1282" spans="1:13">
      <c r="A1282" t="s">
        <v>1339</v>
      </c>
      <c r="B1282" s="10">
        <v>4.5</v>
      </c>
      <c r="C1282" s="10">
        <v>1.66</v>
      </c>
      <c r="D1282" s="10">
        <v>2</v>
      </c>
      <c r="E1282" s="10">
        <v>16</v>
      </c>
      <c r="F1282" s="10">
        <v>20</v>
      </c>
      <c r="G1282" s="10">
        <v>0</v>
      </c>
      <c r="H1282" s="10">
        <v>22</v>
      </c>
      <c r="I1282" s="10">
        <v>6</v>
      </c>
      <c r="J1282">
        <v>2017</v>
      </c>
      <c r="K1282">
        <v>7</v>
      </c>
      <c r="L1282">
        <v>276</v>
      </c>
      <c r="M1282" t="s">
        <v>65</v>
      </c>
    </row>
    <row r="1283" spans="1:13">
      <c r="A1283" t="s">
        <v>1340</v>
      </c>
      <c r="B1283" s="10">
        <v>4.33</v>
      </c>
      <c r="C1283" s="10">
        <v>7</v>
      </c>
      <c r="D1283" s="10">
        <v>4</v>
      </c>
      <c r="E1283" s="10">
        <v>20.6</v>
      </c>
      <c r="F1283" s="10">
        <v>3</v>
      </c>
      <c r="G1283" s="10">
        <v>1</v>
      </c>
      <c r="H1283" s="10">
        <v>1</v>
      </c>
      <c r="I1283" s="10">
        <v>1</v>
      </c>
      <c r="J1283">
        <v>2017</v>
      </c>
      <c r="K1283">
        <v>7</v>
      </c>
      <c r="L1283">
        <v>276</v>
      </c>
      <c r="M1283" t="s">
        <v>53</v>
      </c>
    </row>
    <row r="1284" spans="1:13">
      <c r="A1284" t="s">
        <v>1341</v>
      </c>
      <c r="B1284" s="10">
        <v>5</v>
      </c>
      <c r="C1284" s="10">
        <v>2</v>
      </c>
      <c r="D1284" s="10">
        <v>4.1</v>
      </c>
      <c r="E1284" s="10">
        <v>17</v>
      </c>
      <c r="F1284" s="10">
        <v>6</v>
      </c>
      <c r="G1284" s="10">
        <v>0</v>
      </c>
      <c r="H1284" s="10">
        <v>1</v>
      </c>
      <c r="I1284" s="10">
        <v>0</v>
      </c>
      <c r="J1284">
        <v>2017</v>
      </c>
      <c r="K1284">
        <v>7</v>
      </c>
      <c r="L1284">
        <v>276</v>
      </c>
      <c r="M1284" t="s">
        <v>55</v>
      </c>
    </row>
    <row r="1285" spans="1:13">
      <c r="A1285" t="s">
        <v>1342</v>
      </c>
      <c r="B1285" s="10">
        <v>4.99</v>
      </c>
      <c r="C1285" s="10">
        <v>4.089</v>
      </c>
      <c r="D1285" s="10">
        <v>5</v>
      </c>
      <c r="E1285" s="10">
        <v>16</v>
      </c>
      <c r="F1285" s="10">
        <v>12</v>
      </c>
      <c r="G1285" s="10">
        <v>0</v>
      </c>
      <c r="H1285" s="10">
        <v>1</v>
      </c>
      <c r="I1285" s="10">
        <v>3</v>
      </c>
      <c r="J1285">
        <v>2017</v>
      </c>
      <c r="K1285">
        <v>7</v>
      </c>
      <c r="L1285">
        <v>276</v>
      </c>
      <c r="M1285" t="s">
        <v>57</v>
      </c>
    </row>
    <row r="1286" spans="1:13">
      <c r="A1286" t="s">
        <v>1343</v>
      </c>
      <c r="B1286" s="10">
        <v>2.33</v>
      </c>
      <c r="C1286" s="10">
        <v>7.16</v>
      </c>
      <c r="D1286" s="10">
        <v>0.5</v>
      </c>
      <c r="E1286" s="10">
        <v>15</v>
      </c>
      <c r="F1286" s="10">
        <v>4</v>
      </c>
      <c r="G1286" s="10">
        <v>0</v>
      </c>
      <c r="H1286" s="10">
        <v>1</v>
      </c>
      <c r="I1286" s="10">
        <v>4</v>
      </c>
      <c r="J1286">
        <v>2017</v>
      </c>
      <c r="K1286">
        <v>7</v>
      </c>
      <c r="L1286">
        <v>276</v>
      </c>
      <c r="M1286" t="s">
        <v>59</v>
      </c>
    </row>
    <row r="1287" spans="1:13">
      <c r="A1287" t="s">
        <v>1344</v>
      </c>
      <c r="B1287" s="10">
        <v>2</v>
      </c>
      <c r="C1287" s="10">
        <v>4.353</v>
      </c>
      <c r="D1287" s="10">
        <v>4</v>
      </c>
      <c r="E1287" s="10">
        <v>12</v>
      </c>
      <c r="F1287" s="10">
        <v>5</v>
      </c>
      <c r="G1287" s="10">
        <v>2</v>
      </c>
      <c r="H1287" s="10">
        <v>7</v>
      </c>
      <c r="I1287" s="10">
        <v>3</v>
      </c>
      <c r="J1287">
        <v>2017</v>
      </c>
      <c r="K1287">
        <v>7</v>
      </c>
      <c r="L1287">
        <v>276</v>
      </c>
      <c r="M1287" t="s">
        <v>61</v>
      </c>
    </row>
    <row r="1288" spans="1:13">
      <c r="A1288" t="s">
        <v>1345</v>
      </c>
      <c r="B1288" s="10">
        <v>3.34</v>
      </c>
      <c r="C1288" s="10">
        <v>0.68</v>
      </c>
      <c r="D1288" s="10">
        <v>0</v>
      </c>
      <c r="E1288" s="10">
        <v>18</v>
      </c>
      <c r="F1288" s="10">
        <v>2</v>
      </c>
      <c r="G1288" s="10">
        <v>0</v>
      </c>
      <c r="H1288" s="10">
        <v>7</v>
      </c>
      <c r="I1288" s="10">
        <v>2</v>
      </c>
      <c r="J1288">
        <v>2017</v>
      </c>
      <c r="K1288">
        <v>7</v>
      </c>
      <c r="L1288">
        <v>276</v>
      </c>
      <c r="M1288" t="s">
        <v>63</v>
      </c>
    </row>
    <row r="1289" spans="1:13">
      <c r="A1289" t="s">
        <v>1346</v>
      </c>
      <c r="B1289" s="10">
        <v>2</v>
      </c>
      <c r="C1289" s="10">
        <v>5.34</v>
      </c>
      <c r="D1289" s="10">
        <v>0</v>
      </c>
      <c r="E1289" s="10">
        <v>15.4</v>
      </c>
      <c r="F1289" s="10">
        <v>12</v>
      </c>
      <c r="G1289" s="10">
        <v>0</v>
      </c>
      <c r="H1289" s="10">
        <v>3</v>
      </c>
      <c r="I1289" s="10">
        <v>0</v>
      </c>
      <c r="J1289">
        <v>2017</v>
      </c>
      <c r="K1289">
        <v>7</v>
      </c>
      <c r="L1289">
        <v>276</v>
      </c>
      <c r="M1289" t="s">
        <v>65</v>
      </c>
    </row>
    <row r="1290" spans="1:13">
      <c r="A1290" t="s">
        <v>1347</v>
      </c>
      <c r="B1290" s="10">
        <v>3.33</v>
      </c>
      <c r="C1290" s="10">
        <v>3.34</v>
      </c>
      <c r="D1290" s="10">
        <v>2.15</v>
      </c>
      <c r="E1290" s="10">
        <v>9.6</v>
      </c>
      <c r="F1290" s="10">
        <v>5</v>
      </c>
      <c r="G1290" s="10">
        <v>3</v>
      </c>
      <c r="H1290" s="10">
        <v>3</v>
      </c>
      <c r="I1290" s="10">
        <v>2</v>
      </c>
      <c r="J1290">
        <v>2017</v>
      </c>
      <c r="K1290">
        <v>7</v>
      </c>
      <c r="L1290">
        <v>276</v>
      </c>
      <c r="M1290" t="s">
        <v>53</v>
      </c>
    </row>
    <row r="1291" spans="1:13">
      <c r="A1291" t="s">
        <v>1348</v>
      </c>
      <c r="B1291" s="10">
        <v>2.33</v>
      </c>
      <c r="C1291" s="10">
        <v>3.759</v>
      </c>
      <c r="D1291" s="10">
        <v>2</v>
      </c>
      <c r="E1291" s="10">
        <v>16</v>
      </c>
      <c r="F1291" s="10">
        <v>8</v>
      </c>
      <c r="G1291" s="10">
        <v>0</v>
      </c>
      <c r="H1291" s="10">
        <v>5</v>
      </c>
      <c r="I1291" s="10">
        <v>3</v>
      </c>
      <c r="J1291">
        <v>2017</v>
      </c>
      <c r="K1291">
        <v>7</v>
      </c>
      <c r="L1291">
        <v>276</v>
      </c>
      <c r="M1291" t="s">
        <v>55</v>
      </c>
    </row>
    <row r="1292" spans="1:13">
      <c r="A1292" t="s">
        <v>1349</v>
      </c>
      <c r="B1292" s="10">
        <v>3.33</v>
      </c>
      <c r="C1292" s="10">
        <v>9.34</v>
      </c>
      <c r="D1292" s="10">
        <v>3</v>
      </c>
      <c r="E1292" s="10">
        <v>21</v>
      </c>
      <c r="F1292" s="10">
        <v>3</v>
      </c>
      <c r="G1292" s="10">
        <v>0</v>
      </c>
      <c r="H1292" s="10">
        <v>0</v>
      </c>
      <c r="I1292" s="10">
        <v>2</v>
      </c>
      <c r="J1292">
        <v>2017</v>
      </c>
      <c r="K1292">
        <v>7</v>
      </c>
      <c r="L1292">
        <v>276</v>
      </c>
      <c r="M1292" t="s">
        <v>57</v>
      </c>
    </row>
    <row r="1293" spans="1:13">
      <c r="A1293" t="s">
        <v>1350</v>
      </c>
      <c r="B1293" s="10">
        <v>11.34</v>
      </c>
      <c r="C1293" s="10">
        <v>9.34</v>
      </c>
      <c r="D1293" s="10">
        <v>3</v>
      </c>
      <c r="E1293" s="10">
        <v>19</v>
      </c>
      <c r="F1293" s="10">
        <v>6</v>
      </c>
      <c r="G1293" s="10">
        <v>0</v>
      </c>
      <c r="H1293" s="10">
        <v>0</v>
      </c>
      <c r="I1293" s="10">
        <v>1</v>
      </c>
      <c r="J1293">
        <v>2017</v>
      </c>
      <c r="K1293">
        <v>7</v>
      </c>
      <c r="L1293">
        <v>276</v>
      </c>
      <c r="M1293" t="s">
        <v>59</v>
      </c>
    </row>
    <row r="1294" spans="1:13">
      <c r="A1294" t="s">
        <v>1351</v>
      </c>
      <c r="B1294" s="10">
        <v>9</v>
      </c>
      <c r="C1294" s="10">
        <v>4.747</v>
      </c>
      <c r="D1294" s="10">
        <v>3</v>
      </c>
      <c r="E1294" s="10">
        <v>16.4</v>
      </c>
      <c r="F1294" s="10">
        <v>6</v>
      </c>
      <c r="G1294" s="10">
        <v>2</v>
      </c>
      <c r="H1294" s="10">
        <v>4</v>
      </c>
      <c r="I1294" s="10">
        <v>3</v>
      </c>
      <c r="J1294">
        <v>2017</v>
      </c>
      <c r="K1294">
        <v>7</v>
      </c>
      <c r="L1294">
        <v>276</v>
      </c>
      <c r="M1294" t="s">
        <v>61</v>
      </c>
    </row>
    <row r="1295" spans="1:13">
      <c r="A1295" t="s">
        <v>1352</v>
      </c>
      <c r="B1295" s="10">
        <v>9.67</v>
      </c>
      <c r="C1295" s="10">
        <v>5.67</v>
      </c>
      <c r="D1295" s="10">
        <v>1.5</v>
      </c>
      <c r="E1295" s="10">
        <v>14</v>
      </c>
      <c r="F1295" s="10">
        <v>8</v>
      </c>
      <c r="G1295" s="10">
        <v>0</v>
      </c>
      <c r="H1295" s="10">
        <v>20</v>
      </c>
      <c r="I1295" s="10">
        <v>4</v>
      </c>
      <c r="J1295">
        <v>2017</v>
      </c>
      <c r="K1295">
        <v>7</v>
      </c>
      <c r="L1295">
        <v>276</v>
      </c>
      <c r="M1295" t="s">
        <v>63</v>
      </c>
    </row>
    <row r="1296" spans="1:13">
      <c r="A1296" t="s">
        <v>1353</v>
      </c>
      <c r="B1296" s="10">
        <v>6.33</v>
      </c>
      <c r="C1296" s="10">
        <v>3.66</v>
      </c>
      <c r="D1296" s="10">
        <v>4</v>
      </c>
      <c r="E1296" s="10">
        <v>20.6</v>
      </c>
      <c r="F1296" s="10">
        <v>6</v>
      </c>
      <c r="G1296" s="10">
        <v>3</v>
      </c>
      <c r="H1296" s="10">
        <v>1</v>
      </c>
      <c r="I1296" s="10">
        <v>6</v>
      </c>
      <c r="J1296">
        <v>2017</v>
      </c>
      <c r="K1296">
        <v>7</v>
      </c>
      <c r="L1296">
        <v>276</v>
      </c>
      <c r="M1296" t="s">
        <v>65</v>
      </c>
    </row>
    <row r="1297" spans="1:13">
      <c r="A1297" t="s">
        <v>1354</v>
      </c>
      <c r="B1297" s="10">
        <v>5</v>
      </c>
      <c r="C1297" s="10">
        <v>4</v>
      </c>
      <c r="D1297" s="10">
        <v>3</v>
      </c>
      <c r="E1297" s="10">
        <v>18</v>
      </c>
      <c r="F1297" s="10">
        <v>11</v>
      </c>
      <c r="G1297" s="10">
        <v>2</v>
      </c>
      <c r="H1297" s="10">
        <v>2</v>
      </c>
      <c r="I1297" s="10">
        <v>2</v>
      </c>
      <c r="J1297">
        <v>2017</v>
      </c>
      <c r="K1297">
        <v>7</v>
      </c>
      <c r="L1297">
        <v>276</v>
      </c>
      <c r="M1297" t="s">
        <v>53</v>
      </c>
    </row>
    <row r="1298" spans="1:13">
      <c r="A1298" t="s">
        <v>1355</v>
      </c>
      <c r="B1298" s="10">
        <v>2.33</v>
      </c>
      <c r="C1298" s="10">
        <v>1</v>
      </c>
      <c r="D1298" s="10">
        <v>3</v>
      </c>
      <c r="E1298" s="10">
        <v>14</v>
      </c>
      <c r="F1298" s="10">
        <v>5</v>
      </c>
      <c r="G1298" s="10">
        <v>0</v>
      </c>
      <c r="H1298" s="10">
        <v>0</v>
      </c>
      <c r="I1298" s="10">
        <v>3</v>
      </c>
      <c r="J1298">
        <v>2017</v>
      </c>
      <c r="K1298">
        <v>7</v>
      </c>
      <c r="L1298">
        <v>276</v>
      </c>
      <c r="M1298" t="s">
        <v>55</v>
      </c>
    </row>
    <row r="1299" spans="1:13">
      <c r="A1299" t="s">
        <v>1356</v>
      </c>
      <c r="B1299" s="10">
        <v>3</v>
      </c>
      <c r="C1299" s="10">
        <v>5.69</v>
      </c>
      <c r="D1299" s="10">
        <v>5</v>
      </c>
      <c r="E1299" s="10">
        <v>22</v>
      </c>
      <c r="F1299" s="10">
        <v>3</v>
      </c>
      <c r="G1299" s="10">
        <v>1</v>
      </c>
      <c r="H1299" s="10">
        <v>0</v>
      </c>
      <c r="I1299" s="10">
        <v>2</v>
      </c>
      <c r="J1299">
        <v>2017</v>
      </c>
      <c r="K1299">
        <v>7</v>
      </c>
      <c r="L1299">
        <v>276</v>
      </c>
      <c r="M1299" t="s">
        <v>57</v>
      </c>
    </row>
    <row r="1300" spans="1:13">
      <c r="A1300" t="s">
        <v>1357</v>
      </c>
      <c r="B1300" s="10">
        <v>6.5</v>
      </c>
      <c r="C1300" s="10">
        <v>2.429</v>
      </c>
      <c r="D1300" s="10">
        <v>2</v>
      </c>
      <c r="E1300" s="10">
        <v>12</v>
      </c>
      <c r="F1300" s="10">
        <v>4</v>
      </c>
      <c r="G1300" s="10">
        <v>0</v>
      </c>
      <c r="H1300" s="10">
        <v>4</v>
      </c>
      <c r="I1300" s="10">
        <v>5</v>
      </c>
      <c r="J1300">
        <v>2017</v>
      </c>
      <c r="K1300">
        <v>7</v>
      </c>
      <c r="L1300">
        <v>276</v>
      </c>
      <c r="M1300" t="s">
        <v>59</v>
      </c>
    </row>
    <row r="1301" spans="1:13">
      <c r="A1301" t="s">
        <v>1358</v>
      </c>
      <c r="B1301" s="10">
        <v>3.84</v>
      </c>
      <c r="C1301" s="10">
        <v>1</v>
      </c>
      <c r="D1301" s="10">
        <v>2.1</v>
      </c>
      <c r="E1301" s="10">
        <v>15</v>
      </c>
      <c r="F1301" s="10">
        <v>6</v>
      </c>
      <c r="G1301" s="10">
        <v>0</v>
      </c>
      <c r="H1301" s="10">
        <v>0</v>
      </c>
      <c r="I1301" s="10">
        <v>3</v>
      </c>
      <c r="J1301">
        <v>2017</v>
      </c>
      <c r="K1301">
        <v>7</v>
      </c>
      <c r="L1301">
        <v>276</v>
      </c>
      <c r="M1301" t="s">
        <v>61</v>
      </c>
    </row>
    <row r="1302" spans="1:13">
      <c r="A1302" t="s">
        <v>1359</v>
      </c>
      <c r="B1302" s="10">
        <v>6.34</v>
      </c>
      <c r="C1302" s="10">
        <v>2.35</v>
      </c>
      <c r="D1302" s="10">
        <v>2</v>
      </c>
      <c r="E1302" s="10">
        <v>14</v>
      </c>
      <c r="F1302" s="10">
        <v>5</v>
      </c>
      <c r="G1302" s="10">
        <v>0</v>
      </c>
      <c r="H1302" s="10">
        <v>6</v>
      </c>
      <c r="I1302" s="10">
        <v>0.1</v>
      </c>
      <c r="J1302">
        <v>2017</v>
      </c>
      <c r="K1302">
        <v>7</v>
      </c>
      <c r="L1302">
        <v>276</v>
      </c>
      <c r="M1302" t="s">
        <v>63</v>
      </c>
    </row>
    <row r="1303" spans="1:13">
      <c r="A1303" t="s">
        <v>1360</v>
      </c>
      <c r="B1303" s="10">
        <v>3.33</v>
      </c>
      <c r="C1303" s="10">
        <v>6.779</v>
      </c>
      <c r="D1303" s="10">
        <v>3</v>
      </c>
      <c r="E1303" s="10">
        <v>15</v>
      </c>
      <c r="F1303" s="10">
        <v>11</v>
      </c>
      <c r="G1303" s="10">
        <v>1</v>
      </c>
      <c r="H1303" s="10">
        <v>1</v>
      </c>
      <c r="I1303" s="10">
        <v>1</v>
      </c>
      <c r="J1303">
        <v>2017</v>
      </c>
      <c r="K1303">
        <v>7</v>
      </c>
      <c r="L1303">
        <v>276</v>
      </c>
      <c r="M1303" t="s">
        <v>65</v>
      </c>
    </row>
    <row r="1304" spans="1:13">
      <c r="A1304" t="s">
        <v>1361</v>
      </c>
      <c r="B1304" s="10">
        <v>5</v>
      </c>
      <c r="C1304" s="10">
        <v>0.67</v>
      </c>
      <c r="D1304" s="10">
        <v>0</v>
      </c>
      <c r="E1304" s="10">
        <v>12.4</v>
      </c>
      <c r="F1304" s="10">
        <v>8</v>
      </c>
      <c r="G1304" s="10">
        <v>0</v>
      </c>
      <c r="H1304" s="10">
        <v>0</v>
      </c>
      <c r="I1304" s="10">
        <v>1</v>
      </c>
      <c r="J1304">
        <v>2017</v>
      </c>
      <c r="K1304">
        <v>7</v>
      </c>
      <c r="L1304">
        <v>276</v>
      </c>
      <c r="M1304" t="s">
        <v>53</v>
      </c>
    </row>
    <row r="1305" spans="1:13">
      <c r="A1305" t="s">
        <v>1362</v>
      </c>
      <c r="B1305" s="10">
        <v>4</v>
      </c>
      <c r="C1305" s="10">
        <v>5</v>
      </c>
      <c r="D1305" s="10">
        <v>1.1</v>
      </c>
      <c r="E1305" s="10">
        <v>17.2</v>
      </c>
      <c r="F1305" s="10">
        <v>10</v>
      </c>
      <c r="G1305" s="10">
        <v>0</v>
      </c>
      <c r="H1305" s="10">
        <v>0</v>
      </c>
      <c r="I1305" s="10">
        <v>3</v>
      </c>
      <c r="J1305">
        <v>2017</v>
      </c>
      <c r="K1305">
        <v>7</v>
      </c>
      <c r="L1305">
        <v>276</v>
      </c>
      <c r="M1305" t="s">
        <v>55</v>
      </c>
    </row>
    <row r="1306" spans="1:13">
      <c r="A1306" t="s">
        <v>1363</v>
      </c>
      <c r="B1306" s="10">
        <v>3</v>
      </c>
      <c r="C1306" s="10">
        <v>3.33</v>
      </c>
      <c r="D1306" s="10">
        <v>2</v>
      </c>
      <c r="E1306" s="10">
        <v>14.15</v>
      </c>
      <c r="F1306" s="10">
        <v>1</v>
      </c>
      <c r="G1306" s="10">
        <v>0</v>
      </c>
      <c r="H1306" s="10">
        <v>0</v>
      </c>
      <c r="I1306" s="10">
        <v>4</v>
      </c>
      <c r="J1306">
        <v>2017</v>
      </c>
      <c r="K1306">
        <v>7</v>
      </c>
      <c r="L1306">
        <v>276</v>
      </c>
      <c r="M1306" t="s">
        <v>57</v>
      </c>
    </row>
    <row r="1307" spans="1:13">
      <c r="A1307" t="s">
        <v>1364</v>
      </c>
      <c r="B1307" s="10">
        <v>4.125</v>
      </c>
      <c r="C1307" s="10">
        <v>2.66</v>
      </c>
      <c r="D1307" s="10">
        <v>2</v>
      </c>
      <c r="E1307" s="10">
        <v>13</v>
      </c>
      <c r="F1307" s="10">
        <v>11</v>
      </c>
      <c r="G1307" s="10">
        <v>0</v>
      </c>
      <c r="H1307" s="10">
        <v>0</v>
      </c>
      <c r="I1307" s="10">
        <v>1</v>
      </c>
      <c r="J1307">
        <v>2017</v>
      </c>
      <c r="K1307">
        <v>7</v>
      </c>
      <c r="L1307">
        <v>276</v>
      </c>
      <c r="M1307" t="s">
        <v>59</v>
      </c>
    </row>
    <row r="1308" spans="1:13">
      <c r="A1308" t="s">
        <v>1365</v>
      </c>
      <c r="B1308" s="10">
        <v>7.34</v>
      </c>
      <c r="C1308" s="10">
        <v>0.8100000000000001</v>
      </c>
      <c r="D1308" s="10">
        <v>2.25</v>
      </c>
      <c r="E1308" s="10">
        <v>21</v>
      </c>
      <c r="F1308" s="10">
        <v>9</v>
      </c>
      <c r="G1308" s="10">
        <v>0</v>
      </c>
      <c r="H1308" s="10">
        <v>5</v>
      </c>
      <c r="I1308" s="10">
        <v>2</v>
      </c>
      <c r="J1308">
        <v>2017</v>
      </c>
      <c r="K1308">
        <v>7</v>
      </c>
      <c r="L1308">
        <v>276</v>
      </c>
      <c r="M1308" t="s">
        <v>61</v>
      </c>
    </row>
    <row r="1309" spans="1:13">
      <c r="A1309" t="s">
        <v>1366</v>
      </c>
      <c r="B1309" s="10">
        <v>7.33</v>
      </c>
      <c r="C1309" s="10">
        <v>3.33</v>
      </c>
      <c r="D1309" s="10">
        <v>2</v>
      </c>
      <c r="E1309" s="10">
        <v>15.6</v>
      </c>
      <c r="F1309" s="10">
        <v>3</v>
      </c>
      <c r="G1309" s="10">
        <v>0</v>
      </c>
      <c r="H1309" s="10">
        <v>1</v>
      </c>
      <c r="I1309" s="10">
        <v>1</v>
      </c>
      <c r="J1309">
        <v>2017</v>
      </c>
      <c r="K1309">
        <v>8</v>
      </c>
      <c r="L1309">
        <v>276</v>
      </c>
      <c r="M1309" t="s">
        <v>63</v>
      </c>
    </row>
    <row r="1310" spans="1:13">
      <c r="A1310" t="s">
        <v>1367</v>
      </c>
      <c r="B1310" s="10">
        <v>6</v>
      </c>
      <c r="C1310" s="10">
        <v>2.66</v>
      </c>
      <c r="D1310" s="10">
        <v>1</v>
      </c>
      <c r="E1310" s="10">
        <v>25</v>
      </c>
      <c r="F1310" s="10">
        <v>2</v>
      </c>
      <c r="G1310" s="10">
        <v>0</v>
      </c>
      <c r="H1310" s="10">
        <v>1</v>
      </c>
      <c r="I1310" s="10">
        <v>4</v>
      </c>
      <c r="J1310">
        <v>2017</v>
      </c>
      <c r="K1310">
        <v>8</v>
      </c>
      <c r="L1310">
        <v>276</v>
      </c>
      <c r="M1310" t="s">
        <v>65</v>
      </c>
    </row>
    <row r="1311" spans="1:13">
      <c r="A1311" t="s">
        <v>1368</v>
      </c>
      <c r="B1311" s="10">
        <v>6.33</v>
      </c>
      <c r="C1311" s="10">
        <v>0.66</v>
      </c>
      <c r="D1311" s="10">
        <v>4</v>
      </c>
      <c r="E1311" s="10">
        <v>10</v>
      </c>
      <c r="F1311" s="10">
        <v>8</v>
      </c>
      <c r="G1311" s="10">
        <v>0</v>
      </c>
      <c r="H1311" s="10">
        <v>1</v>
      </c>
      <c r="I1311" s="10">
        <v>3</v>
      </c>
      <c r="J1311">
        <v>2017</v>
      </c>
      <c r="K1311">
        <v>8</v>
      </c>
      <c r="L1311">
        <v>276</v>
      </c>
      <c r="M1311" t="s">
        <v>53</v>
      </c>
    </row>
    <row r="1312" spans="1:13">
      <c r="A1312" t="s">
        <v>1369</v>
      </c>
      <c r="B1312" s="10">
        <v>8</v>
      </c>
      <c r="C1312" s="10">
        <v>4</v>
      </c>
      <c r="D1312" s="10">
        <v>1</v>
      </c>
      <c r="E1312" s="10">
        <v>15</v>
      </c>
      <c r="F1312" s="10">
        <v>11</v>
      </c>
      <c r="G1312" s="10">
        <v>2</v>
      </c>
      <c r="H1312" s="10">
        <v>5</v>
      </c>
      <c r="I1312" s="10">
        <v>2</v>
      </c>
      <c r="J1312">
        <v>2017</v>
      </c>
      <c r="K1312">
        <v>8</v>
      </c>
      <c r="L1312">
        <v>276</v>
      </c>
      <c r="M1312" t="s">
        <v>55</v>
      </c>
    </row>
    <row r="1313" spans="1:13">
      <c r="A1313" t="s">
        <v>1370</v>
      </c>
      <c r="B1313" s="10">
        <v>4.66</v>
      </c>
      <c r="C1313" s="10">
        <v>2.472</v>
      </c>
      <c r="D1313" s="10">
        <v>2</v>
      </c>
      <c r="E1313" s="10">
        <v>13.312</v>
      </c>
      <c r="F1313" s="10">
        <v>2</v>
      </c>
      <c r="G1313" s="10">
        <v>0</v>
      </c>
      <c r="H1313" s="10">
        <v>0</v>
      </c>
      <c r="I1313" s="10">
        <v>2</v>
      </c>
      <c r="J1313">
        <v>2017</v>
      </c>
      <c r="K1313">
        <v>8</v>
      </c>
      <c r="L1313">
        <v>276</v>
      </c>
      <c r="M1313" t="s">
        <v>57</v>
      </c>
    </row>
    <row r="1314" spans="1:13">
      <c r="A1314" t="s">
        <v>1371</v>
      </c>
      <c r="B1314" s="10">
        <v>2</v>
      </c>
      <c r="C1314" s="10">
        <v>3.429</v>
      </c>
      <c r="D1314" s="10">
        <v>1</v>
      </c>
      <c r="E1314" s="10">
        <v>13</v>
      </c>
      <c r="F1314" s="10">
        <v>6</v>
      </c>
      <c r="G1314" s="10">
        <v>0</v>
      </c>
      <c r="H1314" s="10">
        <v>0</v>
      </c>
      <c r="I1314" s="10">
        <v>3</v>
      </c>
      <c r="J1314">
        <v>2017</v>
      </c>
      <c r="K1314">
        <v>8</v>
      </c>
      <c r="L1314">
        <v>276</v>
      </c>
      <c r="M1314" t="s">
        <v>59</v>
      </c>
    </row>
    <row r="1315" spans="1:13">
      <c r="A1315" t="s">
        <v>1372</v>
      </c>
      <c r="B1315" s="10">
        <v>1</v>
      </c>
      <c r="C1315" s="10">
        <v>5.34</v>
      </c>
      <c r="D1315" s="10">
        <v>3.1</v>
      </c>
      <c r="E1315" s="10">
        <v>16</v>
      </c>
      <c r="F1315" s="10">
        <v>9</v>
      </c>
      <c r="G1315" s="10">
        <v>2</v>
      </c>
      <c r="H1315" s="10">
        <v>0</v>
      </c>
      <c r="I1315" s="10">
        <v>0</v>
      </c>
      <c r="J1315">
        <v>2017</v>
      </c>
      <c r="K1315">
        <v>8</v>
      </c>
      <c r="L1315">
        <v>276</v>
      </c>
      <c r="M1315" t="s">
        <v>61</v>
      </c>
    </row>
    <row r="1316" spans="1:13">
      <c r="A1316" t="s">
        <v>1373</v>
      </c>
      <c r="B1316" s="10">
        <v>6</v>
      </c>
      <c r="C1316" s="10">
        <v>1.703</v>
      </c>
      <c r="D1316" s="10">
        <v>2.1</v>
      </c>
      <c r="E1316" s="10">
        <v>11.188</v>
      </c>
      <c r="F1316" s="10">
        <v>8</v>
      </c>
      <c r="G1316" s="10">
        <v>0</v>
      </c>
      <c r="H1316" s="10">
        <v>0</v>
      </c>
      <c r="I1316" s="10">
        <v>4.2</v>
      </c>
      <c r="J1316">
        <v>2017</v>
      </c>
      <c r="K1316">
        <v>8</v>
      </c>
      <c r="L1316">
        <v>276</v>
      </c>
      <c r="M1316" t="s">
        <v>63</v>
      </c>
    </row>
    <row r="1317" spans="1:13">
      <c r="A1317" t="s">
        <v>1374</v>
      </c>
      <c r="B1317" s="10">
        <v>2.33</v>
      </c>
      <c r="C1317" s="10">
        <v>5.1</v>
      </c>
      <c r="D1317" s="10">
        <v>3.15</v>
      </c>
      <c r="E1317" s="10">
        <v>13</v>
      </c>
      <c r="F1317" s="10">
        <v>15</v>
      </c>
      <c r="G1317" s="10">
        <v>0</v>
      </c>
      <c r="H1317" s="10">
        <v>2</v>
      </c>
      <c r="I1317" s="10">
        <v>2.2</v>
      </c>
      <c r="J1317">
        <v>2017</v>
      </c>
      <c r="K1317">
        <v>8</v>
      </c>
      <c r="L1317">
        <v>276</v>
      </c>
      <c r="M1317" t="s">
        <v>65</v>
      </c>
    </row>
    <row r="1318" spans="1:13">
      <c r="A1318" t="s">
        <v>1375</v>
      </c>
      <c r="B1318" s="10">
        <v>0</v>
      </c>
      <c r="C1318" s="10">
        <v>3.99</v>
      </c>
      <c r="D1318" s="10">
        <v>4</v>
      </c>
      <c r="E1318" s="10">
        <v>9</v>
      </c>
      <c r="F1318" s="10">
        <v>19</v>
      </c>
      <c r="G1318" s="10">
        <v>0</v>
      </c>
      <c r="H1318" s="10">
        <v>3</v>
      </c>
      <c r="I1318" s="10">
        <v>1.1</v>
      </c>
      <c r="J1318">
        <v>2017</v>
      </c>
      <c r="K1318">
        <v>8</v>
      </c>
      <c r="L1318">
        <v>276</v>
      </c>
      <c r="M1318" t="s">
        <v>53</v>
      </c>
    </row>
    <row r="1319" spans="1:13">
      <c r="A1319" t="s">
        <v>1376</v>
      </c>
      <c r="B1319" s="10">
        <v>4.33</v>
      </c>
      <c r="C1319" s="10">
        <v>1.65</v>
      </c>
      <c r="D1319" s="10">
        <v>5.1</v>
      </c>
      <c r="E1319" s="10">
        <v>8</v>
      </c>
      <c r="F1319" s="10">
        <v>6</v>
      </c>
      <c r="G1319" s="10">
        <v>3</v>
      </c>
      <c r="H1319" s="10">
        <v>0</v>
      </c>
      <c r="I1319" s="10">
        <v>0</v>
      </c>
      <c r="J1319">
        <v>2017</v>
      </c>
      <c r="K1319">
        <v>8</v>
      </c>
      <c r="L1319">
        <v>276</v>
      </c>
      <c r="M1319" t="s">
        <v>55</v>
      </c>
    </row>
    <row r="1320" spans="1:13">
      <c r="A1320" t="s">
        <v>1377</v>
      </c>
      <c r="B1320" s="10">
        <v>2.69</v>
      </c>
      <c r="C1320" s="10">
        <v>4.939</v>
      </c>
      <c r="D1320" s="10">
        <v>2.5</v>
      </c>
      <c r="E1320" s="10">
        <v>22.6</v>
      </c>
      <c r="F1320" s="10">
        <v>4</v>
      </c>
      <c r="G1320" s="10">
        <v>0</v>
      </c>
      <c r="H1320" s="10">
        <v>6</v>
      </c>
      <c r="I1320" s="10">
        <v>2</v>
      </c>
      <c r="J1320">
        <v>2017</v>
      </c>
      <c r="K1320">
        <v>8</v>
      </c>
      <c r="L1320">
        <v>276</v>
      </c>
      <c r="M1320" t="s">
        <v>57</v>
      </c>
    </row>
    <row r="1321" spans="1:13">
      <c r="A1321" t="s">
        <v>1378</v>
      </c>
      <c r="B1321" s="10">
        <v>3.66</v>
      </c>
      <c r="C1321" s="10">
        <v>3.65</v>
      </c>
      <c r="D1321" s="10">
        <v>2.05</v>
      </c>
      <c r="E1321" s="10">
        <v>24</v>
      </c>
      <c r="F1321" s="10">
        <v>5</v>
      </c>
      <c r="G1321" s="10">
        <v>0</v>
      </c>
      <c r="H1321" s="10">
        <v>1</v>
      </c>
      <c r="I1321" s="10">
        <v>1</v>
      </c>
      <c r="J1321">
        <v>2017</v>
      </c>
      <c r="K1321">
        <v>8</v>
      </c>
      <c r="L1321">
        <v>276</v>
      </c>
      <c r="M1321" t="s">
        <v>59</v>
      </c>
    </row>
    <row r="1322" spans="1:13">
      <c r="A1322" t="s">
        <v>1379</v>
      </c>
      <c r="B1322" s="10">
        <v>11.34</v>
      </c>
      <c r="C1322" s="10">
        <v>2.067</v>
      </c>
      <c r="D1322" s="10">
        <v>4</v>
      </c>
      <c r="E1322" s="10">
        <v>13</v>
      </c>
      <c r="F1322" s="10">
        <v>4</v>
      </c>
      <c r="G1322" s="10">
        <v>0</v>
      </c>
      <c r="H1322" s="10">
        <v>0</v>
      </c>
      <c r="I1322" s="10">
        <v>2</v>
      </c>
      <c r="J1322">
        <v>2017</v>
      </c>
      <c r="K1322">
        <v>8</v>
      </c>
      <c r="L1322">
        <v>276</v>
      </c>
      <c r="M1322" t="s">
        <v>61</v>
      </c>
    </row>
    <row r="1323" spans="1:13">
      <c r="A1323" t="s">
        <v>1380</v>
      </c>
      <c r="B1323" s="10">
        <v>2.33</v>
      </c>
      <c r="C1323" s="10">
        <v>6.703</v>
      </c>
      <c r="D1323" s="10">
        <v>2.15</v>
      </c>
      <c r="E1323" s="10">
        <v>35</v>
      </c>
      <c r="F1323" s="10">
        <v>11</v>
      </c>
      <c r="G1323" s="10">
        <v>0</v>
      </c>
      <c r="H1323" s="10">
        <v>2</v>
      </c>
      <c r="I1323" s="10">
        <v>3</v>
      </c>
      <c r="J1323">
        <v>2017</v>
      </c>
      <c r="K1323">
        <v>8</v>
      </c>
      <c r="L1323">
        <v>276</v>
      </c>
      <c r="M1323" t="s">
        <v>63</v>
      </c>
    </row>
    <row r="1324" spans="1:13">
      <c r="A1324" t="s">
        <v>1381</v>
      </c>
      <c r="B1324" s="10">
        <v>5.33</v>
      </c>
      <c r="C1324" s="10">
        <v>3.67</v>
      </c>
      <c r="D1324" s="10">
        <v>1</v>
      </c>
      <c r="E1324" s="10">
        <v>10.45</v>
      </c>
      <c r="F1324" s="10">
        <v>13</v>
      </c>
      <c r="G1324" s="10">
        <v>0</v>
      </c>
      <c r="H1324" s="10">
        <v>4</v>
      </c>
      <c r="I1324" s="10">
        <v>2</v>
      </c>
      <c r="J1324">
        <v>2017</v>
      </c>
      <c r="K1324">
        <v>8</v>
      </c>
      <c r="L1324">
        <v>276</v>
      </c>
      <c r="M1324" t="s">
        <v>65</v>
      </c>
    </row>
    <row r="1325" spans="1:13">
      <c r="A1325" t="s">
        <v>1382</v>
      </c>
      <c r="B1325" s="10">
        <v>5.16</v>
      </c>
      <c r="C1325" s="10">
        <v>1.33</v>
      </c>
      <c r="D1325" s="10">
        <v>5</v>
      </c>
      <c r="E1325" s="10">
        <v>12</v>
      </c>
      <c r="F1325" s="10">
        <v>8</v>
      </c>
      <c r="G1325" s="10">
        <v>0</v>
      </c>
      <c r="H1325" s="10">
        <v>1</v>
      </c>
      <c r="I1325" s="10">
        <v>1.5</v>
      </c>
      <c r="J1325">
        <v>2017</v>
      </c>
      <c r="K1325">
        <v>8</v>
      </c>
      <c r="L1325">
        <v>276</v>
      </c>
      <c r="M1325" t="s">
        <v>53</v>
      </c>
    </row>
    <row r="1326" spans="1:13">
      <c r="A1326" t="s">
        <v>1383</v>
      </c>
      <c r="B1326" s="10">
        <v>2.33</v>
      </c>
      <c r="C1326" s="10">
        <v>3.99</v>
      </c>
      <c r="D1326" s="10">
        <v>3</v>
      </c>
      <c r="E1326" s="10">
        <v>15</v>
      </c>
      <c r="F1326" s="10">
        <v>4</v>
      </c>
      <c r="G1326" s="10">
        <v>0</v>
      </c>
      <c r="H1326" s="10">
        <v>0</v>
      </c>
      <c r="I1326" s="10">
        <v>3</v>
      </c>
      <c r="J1326">
        <v>2017</v>
      </c>
      <c r="K1326">
        <v>8</v>
      </c>
      <c r="L1326">
        <v>276</v>
      </c>
      <c r="M1326" t="s">
        <v>55</v>
      </c>
    </row>
    <row r="1327" spans="1:13">
      <c r="A1327" t="s">
        <v>1384</v>
      </c>
      <c r="B1327" s="10">
        <v>5</v>
      </c>
      <c r="C1327" s="10">
        <v>4.713</v>
      </c>
      <c r="D1327" s="10">
        <v>3</v>
      </c>
      <c r="E1327" s="10">
        <v>16</v>
      </c>
      <c r="F1327" s="10">
        <v>10</v>
      </c>
      <c r="G1327" s="10">
        <v>0</v>
      </c>
      <c r="H1327" s="10">
        <v>11</v>
      </c>
      <c r="I1327" s="10">
        <v>2</v>
      </c>
      <c r="J1327">
        <v>2017</v>
      </c>
      <c r="K1327">
        <v>8</v>
      </c>
      <c r="L1327">
        <v>276</v>
      </c>
      <c r="M1327" t="s">
        <v>57</v>
      </c>
    </row>
    <row r="1328" spans="1:13">
      <c r="A1328" t="s">
        <v>1385</v>
      </c>
      <c r="B1328" s="10">
        <v>4.33</v>
      </c>
      <c r="C1328" s="10">
        <v>2.056</v>
      </c>
      <c r="D1328" s="10">
        <v>6</v>
      </c>
      <c r="E1328" s="10">
        <v>14.4</v>
      </c>
      <c r="F1328" s="10">
        <v>6</v>
      </c>
      <c r="G1328" s="10">
        <v>0</v>
      </c>
      <c r="H1328" s="10">
        <v>2</v>
      </c>
      <c r="I1328" s="10">
        <v>1</v>
      </c>
      <c r="J1328">
        <v>2017</v>
      </c>
      <c r="K1328">
        <v>8</v>
      </c>
      <c r="L1328">
        <v>276</v>
      </c>
      <c r="M1328" t="s">
        <v>59</v>
      </c>
    </row>
    <row r="1329" spans="1:13">
      <c r="A1329" t="s">
        <v>1386</v>
      </c>
      <c r="B1329" s="10">
        <v>9.33</v>
      </c>
      <c r="C1329" s="10">
        <v>3.34</v>
      </c>
      <c r="D1329" s="10">
        <v>2.4</v>
      </c>
      <c r="E1329" s="10">
        <v>19</v>
      </c>
      <c r="F1329" s="10">
        <v>4</v>
      </c>
      <c r="G1329" s="10">
        <v>0</v>
      </c>
      <c r="H1329" s="10">
        <v>0</v>
      </c>
      <c r="I1329" s="10">
        <v>0</v>
      </c>
      <c r="J1329">
        <v>2017</v>
      </c>
      <c r="K1329">
        <v>8</v>
      </c>
      <c r="L1329">
        <v>276</v>
      </c>
      <c r="M1329" t="s">
        <v>61</v>
      </c>
    </row>
    <row r="1330" spans="1:13">
      <c r="A1330" t="s">
        <v>1387</v>
      </c>
      <c r="B1330" s="10">
        <v>6</v>
      </c>
      <c r="C1330" s="10">
        <v>1.34</v>
      </c>
      <c r="D1330" s="10">
        <v>3.15</v>
      </c>
      <c r="E1330" s="10">
        <v>22.2</v>
      </c>
      <c r="F1330" s="10">
        <v>3</v>
      </c>
      <c r="G1330" s="10">
        <v>0</v>
      </c>
      <c r="H1330" s="10">
        <v>0</v>
      </c>
      <c r="I1330" s="10">
        <v>2</v>
      </c>
      <c r="J1330">
        <v>2017</v>
      </c>
      <c r="K1330">
        <v>8</v>
      </c>
      <c r="L1330">
        <v>276</v>
      </c>
      <c r="M1330" t="s">
        <v>63</v>
      </c>
    </row>
    <row r="1331" spans="1:13">
      <c r="A1331" t="s">
        <v>1388</v>
      </c>
      <c r="B1331" s="10">
        <v>3.33</v>
      </c>
      <c r="C1331" s="10">
        <v>2.33</v>
      </c>
      <c r="D1331" s="10">
        <v>2</v>
      </c>
      <c r="E1331" s="10">
        <v>42</v>
      </c>
      <c r="F1331" s="10">
        <v>8</v>
      </c>
      <c r="G1331" s="10">
        <v>0</v>
      </c>
      <c r="H1331" s="10">
        <v>9</v>
      </c>
      <c r="I1331" s="10">
        <v>3</v>
      </c>
      <c r="J1331">
        <v>2017</v>
      </c>
      <c r="K1331">
        <v>8</v>
      </c>
      <c r="L1331">
        <v>276</v>
      </c>
      <c r="M1331" t="s">
        <v>65</v>
      </c>
    </row>
    <row r="1332" spans="1:13">
      <c r="A1332" t="s">
        <v>1389</v>
      </c>
      <c r="B1332" s="10">
        <v>8</v>
      </c>
      <c r="C1332" s="10">
        <v>9.053000000000001</v>
      </c>
      <c r="D1332" s="10">
        <v>2</v>
      </c>
      <c r="E1332" s="10">
        <v>27</v>
      </c>
      <c r="F1332" s="10">
        <v>13</v>
      </c>
      <c r="G1332" s="10">
        <v>0</v>
      </c>
      <c r="H1332" s="10">
        <v>1</v>
      </c>
      <c r="I1332" s="10">
        <v>3</v>
      </c>
      <c r="J1332">
        <v>2017</v>
      </c>
      <c r="K1332">
        <v>8</v>
      </c>
      <c r="L1332">
        <v>276</v>
      </c>
      <c r="M1332" t="s">
        <v>53</v>
      </c>
    </row>
    <row r="1333" spans="1:13">
      <c r="A1333" t="s">
        <v>1390</v>
      </c>
      <c r="B1333" s="10">
        <v>6</v>
      </c>
      <c r="C1333" s="10">
        <v>3.01</v>
      </c>
      <c r="D1333" s="10">
        <v>1</v>
      </c>
      <c r="E1333" s="10">
        <v>20.25</v>
      </c>
      <c r="F1333" s="10">
        <v>17</v>
      </c>
      <c r="G1333" s="10">
        <v>0</v>
      </c>
      <c r="H1333" s="10">
        <v>0</v>
      </c>
      <c r="I1333" s="10">
        <v>1</v>
      </c>
      <c r="J1333">
        <v>2017</v>
      </c>
      <c r="K1333">
        <v>8</v>
      </c>
      <c r="L1333">
        <v>276</v>
      </c>
      <c r="M1333" t="s">
        <v>55</v>
      </c>
    </row>
    <row r="1334" spans="1:13">
      <c r="A1334" t="s">
        <v>1391</v>
      </c>
      <c r="B1334" s="10">
        <v>4.99</v>
      </c>
      <c r="C1334" s="10">
        <v>3.516</v>
      </c>
      <c r="D1334" s="10">
        <v>1</v>
      </c>
      <c r="E1334" s="10">
        <v>19</v>
      </c>
      <c r="F1334" s="10">
        <v>10</v>
      </c>
      <c r="G1334" s="10">
        <v>0</v>
      </c>
      <c r="H1334" s="10">
        <v>6</v>
      </c>
      <c r="I1334" s="10">
        <v>2</v>
      </c>
      <c r="J1334">
        <v>2017</v>
      </c>
      <c r="K1334">
        <v>8</v>
      </c>
      <c r="L1334">
        <v>276</v>
      </c>
      <c r="M1334" t="s">
        <v>57</v>
      </c>
    </row>
    <row r="1335" spans="1:13">
      <c r="A1335" t="s">
        <v>1392</v>
      </c>
      <c r="B1335" s="10">
        <v>3</v>
      </c>
      <c r="C1335" s="10">
        <v>5.34</v>
      </c>
      <c r="D1335" s="10">
        <v>1</v>
      </c>
      <c r="E1335" s="10">
        <v>21.3</v>
      </c>
      <c r="F1335" s="10">
        <v>5</v>
      </c>
      <c r="G1335" s="10">
        <v>2</v>
      </c>
      <c r="H1335" s="10">
        <v>7</v>
      </c>
      <c r="I1335" s="10">
        <v>1</v>
      </c>
      <c r="J1335">
        <v>2017</v>
      </c>
      <c r="K1335">
        <v>8</v>
      </c>
      <c r="L1335">
        <v>276</v>
      </c>
      <c r="M1335" t="s">
        <v>59</v>
      </c>
    </row>
    <row r="1336" spans="1:13">
      <c r="A1336" t="s">
        <v>1393</v>
      </c>
      <c r="B1336" s="10">
        <v>8</v>
      </c>
      <c r="C1336" s="10">
        <v>7</v>
      </c>
      <c r="D1336" s="10">
        <v>5</v>
      </c>
      <c r="E1336" s="10">
        <v>16</v>
      </c>
      <c r="F1336" s="10">
        <v>12</v>
      </c>
      <c r="G1336" s="10">
        <v>0</v>
      </c>
      <c r="H1336" s="10">
        <v>1</v>
      </c>
      <c r="I1336" s="10">
        <v>3</v>
      </c>
      <c r="J1336">
        <v>2017</v>
      </c>
      <c r="K1336">
        <v>8</v>
      </c>
      <c r="L1336">
        <v>276</v>
      </c>
      <c r="M1336" t="s">
        <v>61</v>
      </c>
    </row>
    <row r="1337" spans="1:13">
      <c r="A1337" t="s">
        <v>1394</v>
      </c>
      <c r="B1337" s="10">
        <v>7</v>
      </c>
      <c r="C1337" s="10">
        <v>3.066</v>
      </c>
      <c r="D1337" s="10">
        <v>3.5</v>
      </c>
      <c r="E1337" s="10">
        <v>17</v>
      </c>
      <c r="F1337" s="10">
        <v>5</v>
      </c>
      <c r="G1337" s="10">
        <v>0</v>
      </c>
      <c r="H1337" s="10">
        <v>11</v>
      </c>
      <c r="I1337" s="10">
        <v>2.1</v>
      </c>
      <c r="J1337">
        <v>2017</v>
      </c>
      <c r="K1337">
        <v>8</v>
      </c>
      <c r="L1337">
        <v>276</v>
      </c>
      <c r="M1337" t="s">
        <v>63</v>
      </c>
    </row>
    <row r="1338" spans="1:13">
      <c r="A1338" t="s">
        <v>1395</v>
      </c>
      <c r="B1338" s="10">
        <v>7.67</v>
      </c>
      <c r="C1338" s="10">
        <v>3.99</v>
      </c>
      <c r="D1338" s="10">
        <v>3.15</v>
      </c>
      <c r="E1338" s="10">
        <v>17</v>
      </c>
      <c r="F1338" s="10">
        <v>4</v>
      </c>
      <c r="G1338" s="10">
        <v>3</v>
      </c>
      <c r="H1338" s="10">
        <v>0</v>
      </c>
      <c r="I1338" s="10">
        <v>2</v>
      </c>
      <c r="J1338">
        <v>2017</v>
      </c>
      <c r="K1338">
        <v>8</v>
      </c>
      <c r="L1338">
        <v>276</v>
      </c>
      <c r="M1338" t="s">
        <v>65</v>
      </c>
    </row>
    <row r="1339" spans="1:13">
      <c r="A1339" t="s">
        <v>1396</v>
      </c>
      <c r="B1339" s="10">
        <v>16.68</v>
      </c>
      <c r="C1339" s="10">
        <v>3.033</v>
      </c>
      <c r="D1339" s="10">
        <v>3.05</v>
      </c>
      <c r="E1339" s="10">
        <v>17</v>
      </c>
      <c r="F1339" s="10">
        <v>4</v>
      </c>
      <c r="G1339" s="10">
        <v>0</v>
      </c>
      <c r="H1339" s="10">
        <v>0</v>
      </c>
      <c r="I1339" s="10">
        <v>1</v>
      </c>
      <c r="J1339">
        <v>2017</v>
      </c>
      <c r="K1339">
        <v>8</v>
      </c>
      <c r="L1339">
        <v>276</v>
      </c>
      <c r="M1339" t="s">
        <v>53</v>
      </c>
    </row>
    <row r="1340" spans="1:13">
      <c r="A1340" t="s">
        <v>1397</v>
      </c>
      <c r="B1340" s="10">
        <v>3.34</v>
      </c>
      <c r="C1340" s="10">
        <v>3</v>
      </c>
      <c r="D1340" s="10">
        <v>5</v>
      </c>
      <c r="E1340" s="10">
        <v>20.6</v>
      </c>
      <c r="F1340" s="10">
        <v>8</v>
      </c>
      <c r="G1340" s="10">
        <v>0</v>
      </c>
      <c r="H1340" s="10">
        <v>2</v>
      </c>
      <c r="I1340" s="10">
        <v>0</v>
      </c>
      <c r="J1340">
        <v>2017</v>
      </c>
      <c r="K1340">
        <v>9</v>
      </c>
      <c r="L1340">
        <v>276</v>
      </c>
      <c r="M1340" t="s">
        <v>55</v>
      </c>
    </row>
    <row r="1341" spans="1:13">
      <c r="A1341" t="s">
        <v>1398</v>
      </c>
      <c r="B1341" s="10">
        <v>6.34</v>
      </c>
      <c r="C1341" s="10">
        <v>2.13</v>
      </c>
      <c r="D1341" s="10">
        <v>6</v>
      </c>
      <c r="E1341" s="10">
        <v>18.4</v>
      </c>
      <c r="F1341" s="10">
        <v>8</v>
      </c>
      <c r="G1341" s="10">
        <v>0</v>
      </c>
      <c r="H1341" s="10">
        <v>1</v>
      </c>
      <c r="I1341" s="10">
        <v>3</v>
      </c>
      <c r="J1341">
        <v>2017</v>
      </c>
      <c r="K1341">
        <v>9</v>
      </c>
      <c r="L1341">
        <v>276</v>
      </c>
      <c r="M1341" t="s">
        <v>57</v>
      </c>
    </row>
    <row r="1342" spans="1:13">
      <c r="A1342" t="s">
        <v>1399</v>
      </c>
      <c r="B1342" s="10">
        <v>6.83</v>
      </c>
      <c r="C1342" s="10">
        <v>5.462</v>
      </c>
      <c r="D1342" s="10">
        <v>2</v>
      </c>
      <c r="E1342" s="10">
        <v>18.4</v>
      </c>
      <c r="F1342" s="10">
        <v>7</v>
      </c>
      <c r="G1342" s="10">
        <v>0</v>
      </c>
      <c r="H1342" s="10">
        <v>1</v>
      </c>
      <c r="I1342" s="10">
        <v>3</v>
      </c>
      <c r="J1342">
        <v>2017</v>
      </c>
      <c r="K1342">
        <v>9</v>
      </c>
      <c r="L1342">
        <v>276</v>
      </c>
      <c r="M1342" t="s">
        <v>59</v>
      </c>
    </row>
    <row r="1343" spans="1:13">
      <c r="A1343" t="s">
        <v>1400</v>
      </c>
      <c r="B1343" s="10">
        <v>6.5</v>
      </c>
      <c r="C1343" s="10">
        <v>3.33</v>
      </c>
      <c r="D1343" s="10">
        <v>6</v>
      </c>
      <c r="E1343" s="10">
        <v>24</v>
      </c>
      <c r="F1343" s="10">
        <v>7</v>
      </c>
      <c r="G1343" s="10">
        <v>0</v>
      </c>
      <c r="H1343" s="10">
        <v>0</v>
      </c>
      <c r="I1343" s="10">
        <v>3</v>
      </c>
      <c r="J1343">
        <v>2017</v>
      </c>
      <c r="K1343">
        <v>9</v>
      </c>
      <c r="L1343">
        <v>276</v>
      </c>
      <c r="M1343" t="s">
        <v>61</v>
      </c>
    </row>
    <row r="1344" spans="1:13">
      <c r="A1344" t="s">
        <v>1401</v>
      </c>
      <c r="B1344" s="10">
        <v>6.17</v>
      </c>
      <c r="C1344" s="10">
        <v>4.02</v>
      </c>
      <c r="D1344" s="10">
        <v>4</v>
      </c>
      <c r="E1344" s="10">
        <v>19.1</v>
      </c>
      <c r="F1344" s="10">
        <v>7</v>
      </c>
      <c r="G1344" s="10">
        <v>1</v>
      </c>
      <c r="H1344" s="10">
        <v>2</v>
      </c>
      <c r="I1344" s="10">
        <v>1.3</v>
      </c>
      <c r="J1344">
        <v>2017</v>
      </c>
      <c r="K1344">
        <v>9</v>
      </c>
      <c r="L1344">
        <v>276</v>
      </c>
      <c r="M1344" t="s">
        <v>63</v>
      </c>
    </row>
    <row r="1345" spans="1:13">
      <c r="A1345" t="s">
        <v>1402</v>
      </c>
      <c r="B1345" s="10">
        <v>4.33</v>
      </c>
      <c r="C1345" s="10">
        <v>3</v>
      </c>
      <c r="D1345" s="10">
        <v>5</v>
      </c>
      <c r="E1345" s="10">
        <v>32</v>
      </c>
      <c r="F1345" s="10">
        <v>6</v>
      </c>
      <c r="G1345" s="10">
        <v>0</v>
      </c>
      <c r="H1345" s="10">
        <v>3</v>
      </c>
      <c r="I1345" s="10">
        <v>3</v>
      </c>
      <c r="J1345">
        <v>2017</v>
      </c>
      <c r="K1345">
        <v>9</v>
      </c>
      <c r="L1345">
        <v>276</v>
      </c>
      <c r="M1345" t="s">
        <v>65</v>
      </c>
    </row>
    <row r="1346" spans="1:13">
      <c r="A1346" t="s">
        <v>1403</v>
      </c>
      <c r="B1346" s="10">
        <v>3</v>
      </c>
      <c r="C1346" s="10">
        <v>1</v>
      </c>
      <c r="D1346" s="10">
        <v>3.2</v>
      </c>
      <c r="E1346" s="10">
        <v>18</v>
      </c>
      <c r="F1346" s="10">
        <v>2</v>
      </c>
      <c r="G1346" s="10">
        <v>0</v>
      </c>
      <c r="H1346" s="10">
        <v>0</v>
      </c>
      <c r="I1346" s="10">
        <v>2</v>
      </c>
      <c r="J1346">
        <v>2017</v>
      </c>
      <c r="K1346">
        <v>9</v>
      </c>
      <c r="L1346">
        <v>276</v>
      </c>
      <c r="M1346" t="s">
        <v>53</v>
      </c>
    </row>
    <row r="1347" spans="1:13">
      <c r="A1347" t="s">
        <v>1404</v>
      </c>
      <c r="B1347" s="10">
        <v>8.83</v>
      </c>
      <c r="C1347" s="10">
        <v>7.32</v>
      </c>
      <c r="D1347" s="10">
        <v>3.1</v>
      </c>
      <c r="E1347" s="10">
        <v>34</v>
      </c>
      <c r="F1347" s="10">
        <v>8</v>
      </c>
      <c r="G1347" s="10">
        <v>0</v>
      </c>
      <c r="H1347" s="10">
        <v>3</v>
      </c>
      <c r="I1347" s="10">
        <v>4</v>
      </c>
      <c r="J1347">
        <v>2017</v>
      </c>
      <c r="K1347">
        <v>9</v>
      </c>
      <c r="L1347">
        <v>276</v>
      </c>
      <c r="M1347" t="s">
        <v>55</v>
      </c>
    </row>
    <row r="1348" spans="1:13">
      <c r="A1348" t="s">
        <v>1405</v>
      </c>
      <c r="B1348" s="10">
        <v>6</v>
      </c>
      <c r="C1348" s="10">
        <v>8.34</v>
      </c>
      <c r="D1348" s="10">
        <v>2.5</v>
      </c>
      <c r="E1348" s="10">
        <v>20</v>
      </c>
      <c r="F1348" s="10">
        <v>7</v>
      </c>
      <c r="G1348" s="10">
        <v>0</v>
      </c>
      <c r="H1348" s="10">
        <v>0</v>
      </c>
      <c r="I1348" s="10">
        <v>4</v>
      </c>
      <c r="J1348">
        <v>2017</v>
      </c>
      <c r="K1348">
        <v>9</v>
      </c>
      <c r="L1348">
        <v>276</v>
      </c>
      <c r="M1348" t="s">
        <v>57</v>
      </c>
    </row>
    <row r="1349" spans="1:13">
      <c r="A1349" t="s">
        <v>1406</v>
      </c>
      <c r="B1349" s="10">
        <v>3.34</v>
      </c>
      <c r="C1349" s="10">
        <v>5.35</v>
      </c>
      <c r="D1349" s="10">
        <v>1</v>
      </c>
      <c r="E1349" s="10">
        <v>35.6</v>
      </c>
      <c r="F1349" s="10">
        <v>7</v>
      </c>
      <c r="G1349" s="10">
        <v>0</v>
      </c>
      <c r="H1349" s="10">
        <v>0</v>
      </c>
      <c r="I1349" s="10">
        <v>4.2</v>
      </c>
      <c r="J1349">
        <v>2017</v>
      </c>
      <c r="K1349">
        <v>9</v>
      </c>
      <c r="L1349">
        <v>276</v>
      </c>
      <c r="M1349" t="s">
        <v>59</v>
      </c>
    </row>
    <row r="1350" spans="1:13">
      <c r="A1350" t="s">
        <v>1407</v>
      </c>
      <c r="B1350" s="10">
        <v>2</v>
      </c>
      <c r="C1350" s="10">
        <v>3.373</v>
      </c>
      <c r="D1350" s="10">
        <v>2</v>
      </c>
      <c r="E1350" s="10">
        <v>12</v>
      </c>
      <c r="F1350" s="10">
        <v>16</v>
      </c>
      <c r="G1350" s="10">
        <v>0</v>
      </c>
      <c r="H1350" s="10">
        <v>0</v>
      </c>
      <c r="I1350" s="10">
        <v>2</v>
      </c>
      <c r="J1350">
        <v>2017</v>
      </c>
      <c r="K1350">
        <v>9</v>
      </c>
      <c r="L1350">
        <v>276</v>
      </c>
      <c r="M1350" t="s">
        <v>61</v>
      </c>
    </row>
    <row r="1351" spans="1:13">
      <c r="A1351" t="s">
        <v>1408</v>
      </c>
      <c r="B1351" s="10">
        <v>1</v>
      </c>
      <c r="C1351" s="10">
        <v>4.35</v>
      </c>
      <c r="D1351" s="10">
        <v>5.2</v>
      </c>
      <c r="E1351" s="10">
        <v>18.25</v>
      </c>
      <c r="F1351" s="10">
        <v>6</v>
      </c>
      <c r="G1351" s="10">
        <v>1</v>
      </c>
      <c r="H1351" s="10">
        <v>1</v>
      </c>
      <c r="I1351" s="10">
        <v>2.2</v>
      </c>
      <c r="J1351">
        <v>2017</v>
      </c>
      <c r="K1351">
        <v>9</v>
      </c>
      <c r="L1351">
        <v>276</v>
      </c>
      <c r="M1351" t="s">
        <v>63</v>
      </c>
    </row>
    <row r="1352" spans="1:13">
      <c r="A1352" t="s">
        <v>1409</v>
      </c>
      <c r="B1352" s="10">
        <v>4</v>
      </c>
      <c r="C1352" s="10">
        <v>0.66</v>
      </c>
      <c r="D1352" s="10">
        <v>2</v>
      </c>
      <c r="E1352" s="10">
        <v>25</v>
      </c>
      <c r="F1352" s="10">
        <v>16</v>
      </c>
      <c r="G1352" s="10">
        <v>0</v>
      </c>
      <c r="H1352" s="10">
        <v>5</v>
      </c>
      <c r="I1352" s="10">
        <v>0</v>
      </c>
      <c r="J1352">
        <v>2017</v>
      </c>
      <c r="K1352">
        <v>9</v>
      </c>
      <c r="L1352">
        <v>276</v>
      </c>
      <c r="M1352" t="s">
        <v>65</v>
      </c>
    </row>
    <row r="1353" spans="1:13">
      <c r="A1353" t="s">
        <v>1410</v>
      </c>
      <c r="B1353" s="10">
        <v>5</v>
      </c>
      <c r="C1353" s="10">
        <v>5.34</v>
      </c>
      <c r="D1353" s="10">
        <v>5</v>
      </c>
      <c r="E1353" s="10">
        <v>22.4</v>
      </c>
      <c r="F1353" s="10">
        <v>6</v>
      </c>
      <c r="G1353" s="10">
        <v>0</v>
      </c>
      <c r="H1353" s="10">
        <v>9</v>
      </c>
      <c r="I1353" s="10">
        <v>5</v>
      </c>
      <c r="J1353">
        <v>2017</v>
      </c>
      <c r="K1353">
        <v>9</v>
      </c>
      <c r="L1353">
        <v>276</v>
      </c>
      <c r="M1353" t="s">
        <v>53</v>
      </c>
    </row>
    <row r="1354" spans="1:13">
      <c r="A1354" t="s">
        <v>1411</v>
      </c>
      <c r="B1354" s="10">
        <v>3</v>
      </c>
      <c r="C1354" s="10">
        <v>3</v>
      </c>
      <c r="D1354" s="10">
        <v>3</v>
      </c>
      <c r="E1354" s="10">
        <v>16</v>
      </c>
      <c r="F1354" s="10">
        <v>12</v>
      </c>
      <c r="G1354" s="10">
        <v>1</v>
      </c>
      <c r="H1354" s="10">
        <v>8</v>
      </c>
      <c r="I1354" s="10">
        <v>3</v>
      </c>
      <c r="J1354">
        <v>2017</v>
      </c>
      <c r="K1354">
        <v>9</v>
      </c>
      <c r="L1354">
        <v>276</v>
      </c>
      <c r="M1354" t="s">
        <v>55</v>
      </c>
    </row>
    <row r="1355" spans="1:13">
      <c r="A1355" t="s">
        <v>1412</v>
      </c>
      <c r="B1355" s="10">
        <v>7</v>
      </c>
      <c r="C1355" s="10">
        <v>3</v>
      </c>
      <c r="D1355" s="10">
        <v>3.45</v>
      </c>
      <c r="E1355" s="10">
        <v>27.3</v>
      </c>
      <c r="F1355" s="10">
        <v>11</v>
      </c>
      <c r="G1355" s="10">
        <v>0</v>
      </c>
      <c r="H1355" s="10">
        <v>0</v>
      </c>
      <c r="I1355" s="10">
        <v>1.2</v>
      </c>
      <c r="J1355">
        <v>2017</v>
      </c>
      <c r="K1355">
        <v>9</v>
      </c>
      <c r="L1355">
        <v>276</v>
      </c>
      <c r="M1355" t="s">
        <v>57</v>
      </c>
    </row>
    <row r="1356" spans="1:13">
      <c r="A1356" t="s">
        <v>1413</v>
      </c>
      <c r="B1356" s="10">
        <v>5</v>
      </c>
      <c r="C1356" s="10">
        <v>4.34</v>
      </c>
      <c r="D1356" s="10">
        <v>4</v>
      </c>
      <c r="E1356" s="10">
        <v>32</v>
      </c>
      <c r="F1356" s="10">
        <v>6</v>
      </c>
      <c r="G1356" s="10">
        <v>1</v>
      </c>
      <c r="H1356" s="10">
        <v>7</v>
      </c>
      <c r="I1356" s="10">
        <v>5</v>
      </c>
      <c r="J1356">
        <v>2017</v>
      </c>
      <c r="K1356">
        <v>9</v>
      </c>
      <c r="L1356">
        <v>276</v>
      </c>
      <c r="M1356" t="s">
        <v>59</v>
      </c>
    </row>
    <row r="1357" spans="1:13">
      <c r="A1357" t="s">
        <v>1414</v>
      </c>
      <c r="B1357" s="10">
        <v>9</v>
      </c>
      <c r="C1357" s="10">
        <v>4.34</v>
      </c>
      <c r="D1357" s="10">
        <v>1</v>
      </c>
      <c r="E1357" s="10">
        <v>27</v>
      </c>
      <c r="F1357" s="10">
        <v>7</v>
      </c>
      <c r="G1357" s="10">
        <v>0</v>
      </c>
      <c r="H1357" s="10">
        <v>1</v>
      </c>
      <c r="I1357" s="10">
        <v>2</v>
      </c>
      <c r="J1357">
        <v>2017</v>
      </c>
      <c r="K1357">
        <v>9</v>
      </c>
      <c r="L1357">
        <v>276</v>
      </c>
      <c r="M1357" t="s">
        <v>61</v>
      </c>
    </row>
    <row r="1358" spans="1:13">
      <c r="A1358" t="s">
        <v>1415</v>
      </c>
      <c r="B1358" s="10">
        <v>3.33</v>
      </c>
      <c r="C1358" s="10">
        <v>6.033</v>
      </c>
      <c r="D1358" s="10">
        <v>1</v>
      </c>
      <c r="E1358" s="10">
        <v>43.25</v>
      </c>
      <c r="F1358" s="10">
        <v>6</v>
      </c>
      <c r="G1358" s="10">
        <v>2</v>
      </c>
      <c r="H1358" s="10">
        <v>6</v>
      </c>
      <c r="I1358" s="10">
        <v>9</v>
      </c>
      <c r="J1358">
        <v>2017</v>
      </c>
      <c r="K1358">
        <v>9</v>
      </c>
      <c r="L1358">
        <v>276</v>
      </c>
      <c r="M1358" t="s">
        <v>63</v>
      </c>
    </row>
    <row r="1359" spans="1:13">
      <c r="A1359" t="s">
        <v>1416</v>
      </c>
      <c r="B1359" s="10">
        <v>2</v>
      </c>
      <c r="C1359" s="10">
        <v>2.363</v>
      </c>
      <c r="D1359" s="10">
        <v>0.1</v>
      </c>
      <c r="E1359" s="10">
        <v>35.45</v>
      </c>
      <c r="F1359" s="10">
        <v>6</v>
      </c>
      <c r="G1359" s="10">
        <v>0</v>
      </c>
      <c r="H1359" s="10">
        <v>6</v>
      </c>
      <c r="I1359" s="10">
        <v>0</v>
      </c>
      <c r="J1359">
        <v>2017</v>
      </c>
      <c r="K1359">
        <v>9</v>
      </c>
      <c r="L1359">
        <v>276</v>
      </c>
      <c r="M1359" t="s">
        <v>65</v>
      </c>
    </row>
    <row r="1360" spans="1:13">
      <c r="A1360" t="s">
        <v>1417</v>
      </c>
      <c r="B1360" s="10">
        <v>7.34</v>
      </c>
      <c r="C1360" s="10">
        <v>3.696</v>
      </c>
      <c r="D1360" s="10">
        <v>1</v>
      </c>
      <c r="E1360" s="10">
        <v>19.7</v>
      </c>
      <c r="F1360" s="10">
        <v>8</v>
      </c>
      <c r="G1360" s="10">
        <v>2</v>
      </c>
      <c r="H1360" s="10">
        <v>0</v>
      </c>
      <c r="I1360" s="10">
        <v>1</v>
      </c>
      <c r="J1360">
        <v>2017</v>
      </c>
      <c r="K1360">
        <v>9</v>
      </c>
      <c r="L1360">
        <v>276</v>
      </c>
      <c r="M1360" t="s">
        <v>53</v>
      </c>
    </row>
    <row r="1361" spans="1:13">
      <c r="A1361" t="s">
        <v>1418</v>
      </c>
      <c r="B1361" s="10">
        <v>4.66</v>
      </c>
      <c r="C1361" s="10">
        <v>2.241</v>
      </c>
      <c r="D1361" s="10">
        <v>3</v>
      </c>
      <c r="E1361" s="10">
        <v>27.5</v>
      </c>
      <c r="F1361" s="10">
        <v>2</v>
      </c>
      <c r="G1361" s="10">
        <v>0</v>
      </c>
      <c r="H1361" s="10">
        <v>0</v>
      </c>
      <c r="I1361" s="10">
        <v>3</v>
      </c>
      <c r="J1361">
        <v>2017</v>
      </c>
      <c r="K1361">
        <v>9</v>
      </c>
      <c r="L1361">
        <v>276</v>
      </c>
      <c r="M1361" t="s">
        <v>55</v>
      </c>
    </row>
    <row r="1362" spans="1:13">
      <c r="A1362" t="s">
        <v>1419</v>
      </c>
      <c r="B1362" s="10">
        <v>9.99</v>
      </c>
      <c r="C1362" s="10">
        <v>6.99</v>
      </c>
      <c r="D1362" s="10">
        <v>3</v>
      </c>
      <c r="E1362" s="10">
        <v>14.45</v>
      </c>
      <c r="F1362" s="10">
        <v>12</v>
      </c>
      <c r="G1362" s="10">
        <v>2</v>
      </c>
      <c r="H1362" s="10">
        <v>0</v>
      </c>
      <c r="I1362" s="10">
        <v>2</v>
      </c>
      <c r="J1362">
        <v>2017</v>
      </c>
      <c r="K1362">
        <v>9</v>
      </c>
      <c r="L1362">
        <v>276</v>
      </c>
      <c r="M1362" t="s">
        <v>57</v>
      </c>
    </row>
    <row r="1363" spans="1:13">
      <c r="A1363" t="s">
        <v>1420</v>
      </c>
      <c r="B1363" s="10">
        <v>3.66</v>
      </c>
      <c r="C1363" s="10">
        <v>4.826</v>
      </c>
      <c r="D1363" s="10">
        <v>2</v>
      </c>
      <c r="E1363" s="10">
        <v>52.4</v>
      </c>
      <c r="F1363" s="10">
        <v>7</v>
      </c>
      <c r="G1363" s="10">
        <v>1</v>
      </c>
      <c r="H1363" s="10">
        <v>6</v>
      </c>
      <c r="I1363" s="10">
        <v>1</v>
      </c>
      <c r="J1363">
        <v>2017</v>
      </c>
      <c r="K1363">
        <v>9</v>
      </c>
      <c r="L1363">
        <v>276</v>
      </c>
      <c r="M1363" t="s">
        <v>59</v>
      </c>
    </row>
    <row r="1364" spans="1:13">
      <c r="A1364" t="s">
        <v>1421</v>
      </c>
      <c r="B1364" s="10">
        <v>1</v>
      </c>
      <c r="C1364" s="10">
        <v>2.517</v>
      </c>
      <c r="D1364" s="10">
        <v>1</v>
      </c>
      <c r="E1364" s="10">
        <v>39.2</v>
      </c>
      <c r="F1364" s="10">
        <v>7</v>
      </c>
      <c r="G1364" s="10">
        <v>3</v>
      </c>
      <c r="H1364" s="10">
        <v>26</v>
      </c>
      <c r="I1364" s="10">
        <v>1</v>
      </c>
      <c r="J1364">
        <v>2017</v>
      </c>
      <c r="K1364">
        <v>9</v>
      </c>
      <c r="L1364">
        <v>276</v>
      </c>
      <c r="M1364" t="s">
        <v>61</v>
      </c>
    </row>
    <row r="1365" spans="1:13">
      <c r="A1365" t="s">
        <v>1422</v>
      </c>
      <c r="B1365" s="10">
        <v>2</v>
      </c>
      <c r="C1365" s="10">
        <v>5.67</v>
      </c>
      <c r="D1365" s="10">
        <v>2.1</v>
      </c>
      <c r="E1365" s="10">
        <v>38.6</v>
      </c>
      <c r="F1365" s="10">
        <v>4</v>
      </c>
      <c r="G1365" s="10">
        <v>0</v>
      </c>
      <c r="H1365" s="10">
        <v>6</v>
      </c>
      <c r="I1365" s="10">
        <v>1</v>
      </c>
      <c r="J1365">
        <v>2017</v>
      </c>
      <c r="K1365">
        <v>9</v>
      </c>
      <c r="L1365">
        <v>276</v>
      </c>
      <c r="M1365" t="s">
        <v>63</v>
      </c>
    </row>
    <row r="1366" spans="1:13">
      <c r="A1366" t="s">
        <v>1423</v>
      </c>
      <c r="B1366" s="10">
        <v>4</v>
      </c>
      <c r="C1366" s="10">
        <v>2.33</v>
      </c>
      <c r="D1366" s="10">
        <v>3</v>
      </c>
      <c r="E1366" s="10">
        <v>38</v>
      </c>
      <c r="F1366" s="10">
        <v>7</v>
      </c>
      <c r="G1366" s="10">
        <v>3</v>
      </c>
      <c r="H1366" s="10">
        <v>3</v>
      </c>
      <c r="I1366" s="10">
        <v>0</v>
      </c>
      <c r="J1366">
        <v>2017</v>
      </c>
      <c r="K1366">
        <v>9</v>
      </c>
      <c r="L1366">
        <v>276</v>
      </c>
      <c r="M1366" t="s">
        <v>65</v>
      </c>
    </row>
    <row r="1367" spans="1:13">
      <c r="A1367" t="s">
        <v>1424</v>
      </c>
      <c r="B1367" s="10">
        <v>3.34</v>
      </c>
      <c r="C1367" s="10">
        <v>2.68</v>
      </c>
      <c r="D1367" s="10">
        <v>2.5</v>
      </c>
      <c r="E1367" s="10">
        <v>37.85</v>
      </c>
      <c r="F1367" s="10">
        <v>3</v>
      </c>
      <c r="G1367" s="10">
        <v>0</v>
      </c>
      <c r="H1367" s="10">
        <v>10</v>
      </c>
      <c r="I1367" s="10">
        <v>0</v>
      </c>
      <c r="J1367">
        <v>2017</v>
      </c>
      <c r="K1367">
        <v>9</v>
      </c>
      <c r="L1367">
        <v>276</v>
      </c>
      <c r="M1367" t="s">
        <v>53</v>
      </c>
    </row>
    <row r="1368" spans="1:13">
      <c r="A1368" t="s">
        <v>1425</v>
      </c>
      <c r="B1368" s="10">
        <v>1</v>
      </c>
      <c r="C1368" s="10">
        <v>5</v>
      </c>
      <c r="D1368" s="10">
        <v>3</v>
      </c>
      <c r="E1368" s="10">
        <v>35.4</v>
      </c>
      <c r="F1368" s="10">
        <v>8</v>
      </c>
      <c r="G1368" s="10">
        <v>6</v>
      </c>
      <c r="H1368" s="10">
        <v>5</v>
      </c>
      <c r="I1368" s="10">
        <v>1</v>
      </c>
      <c r="J1368">
        <v>2017</v>
      </c>
      <c r="K1368">
        <v>9</v>
      </c>
      <c r="L1368">
        <v>276</v>
      </c>
      <c r="M1368" t="s">
        <v>55</v>
      </c>
    </row>
    <row r="1369" spans="1:13">
      <c r="A1369" t="s">
        <v>1426</v>
      </c>
      <c r="B1369" s="10">
        <v>5.33</v>
      </c>
      <c r="C1369" s="10">
        <v>3.01</v>
      </c>
      <c r="D1369" s="10">
        <v>3</v>
      </c>
      <c r="E1369" s="10">
        <v>61.9</v>
      </c>
      <c r="F1369" s="10">
        <v>6</v>
      </c>
      <c r="G1369" s="10">
        <v>0</v>
      </c>
      <c r="H1369" s="10">
        <v>28</v>
      </c>
      <c r="I1369" s="10">
        <v>0</v>
      </c>
      <c r="J1369">
        <v>2017</v>
      </c>
      <c r="K1369">
        <v>9</v>
      </c>
      <c r="L1369">
        <v>276</v>
      </c>
      <c r="M1369" t="s">
        <v>57</v>
      </c>
    </row>
    <row r="1370" spans="1:13">
      <c r="A1370" t="s">
        <v>1427</v>
      </c>
      <c r="B1370" s="10">
        <v>4</v>
      </c>
      <c r="C1370" s="10">
        <v>5.891</v>
      </c>
      <c r="D1370" s="10">
        <v>3</v>
      </c>
      <c r="E1370" s="10">
        <v>72.09999999999999</v>
      </c>
      <c r="F1370" s="10">
        <v>7</v>
      </c>
      <c r="G1370" s="10">
        <v>1</v>
      </c>
      <c r="H1370" s="10">
        <v>20</v>
      </c>
      <c r="I1370" s="10">
        <v>1</v>
      </c>
      <c r="J1370">
        <v>2017</v>
      </c>
      <c r="K1370">
        <v>10</v>
      </c>
      <c r="L1370">
        <v>276</v>
      </c>
      <c r="M1370" t="s">
        <v>59</v>
      </c>
    </row>
    <row r="1371" spans="1:13">
      <c r="A1371" t="s">
        <v>1428</v>
      </c>
      <c r="B1371" s="10">
        <v>8.33</v>
      </c>
      <c r="C1371" s="10">
        <v>2</v>
      </c>
      <c r="D1371" s="10">
        <v>3.15</v>
      </c>
      <c r="E1371" s="10">
        <v>18</v>
      </c>
      <c r="F1371" s="10">
        <v>3</v>
      </c>
      <c r="G1371" s="10">
        <v>1</v>
      </c>
      <c r="H1371" s="10">
        <v>0</v>
      </c>
      <c r="I1371" s="10">
        <v>0</v>
      </c>
      <c r="J1371">
        <v>2017</v>
      </c>
      <c r="K1371">
        <v>10</v>
      </c>
      <c r="L1371">
        <v>276</v>
      </c>
      <c r="M1371" t="s">
        <v>61</v>
      </c>
    </row>
    <row r="1372" spans="1:13">
      <c r="A1372" t="s">
        <v>1429</v>
      </c>
      <c r="B1372" s="10">
        <v>0.34</v>
      </c>
      <c r="C1372" s="10">
        <v>2.1</v>
      </c>
      <c r="D1372" s="10">
        <v>3.15</v>
      </c>
      <c r="E1372" s="10">
        <v>57.2</v>
      </c>
      <c r="F1372" s="10">
        <v>21</v>
      </c>
      <c r="G1372" s="10">
        <v>3</v>
      </c>
      <c r="H1372" s="10">
        <v>5</v>
      </c>
      <c r="I1372" s="10">
        <v>2</v>
      </c>
      <c r="J1372">
        <v>2017</v>
      </c>
      <c r="K1372">
        <v>10</v>
      </c>
      <c r="L1372">
        <v>276</v>
      </c>
      <c r="M1372" t="s">
        <v>63</v>
      </c>
    </row>
    <row r="1373" spans="1:13">
      <c r="A1373" t="s">
        <v>1430</v>
      </c>
      <c r="B1373" s="10">
        <v>2</v>
      </c>
      <c r="C1373" s="10">
        <v>4.33</v>
      </c>
      <c r="D1373" s="10">
        <v>4</v>
      </c>
      <c r="E1373" s="10">
        <v>37</v>
      </c>
      <c r="F1373" s="10">
        <v>6</v>
      </c>
      <c r="G1373" s="10">
        <v>0</v>
      </c>
      <c r="H1373" s="10">
        <v>2</v>
      </c>
      <c r="I1373" s="10">
        <v>1</v>
      </c>
      <c r="J1373">
        <v>2017</v>
      </c>
      <c r="K1373">
        <v>10</v>
      </c>
      <c r="L1373">
        <v>276</v>
      </c>
      <c r="M1373" t="s">
        <v>65</v>
      </c>
    </row>
    <row r="1374" spans="1:13">
      <c r="A1374" t="s">
        <v>1431</v>
      </c>
      <c r="B1374" s="10">
        <v>5.33</v>
      </c>
      <c r="C1374" s="10">
        <v>3.99</v>
      </c>
      <c r="D1374" s="10">
        <v>5</v>
      </c>
      <c r="E1374" s="10">
        <v>40.8</v>
      </c>
      <c r="F1374" s="10">
        <v>5</v>
      </c>
      <c r="G1374" s="10">
        <v>0</v>
      </c>
      <c r="H1374" s="10">
        <v>11</v>
      </c>
      <c r="I1374" s="10">
        <v>2</v>
      </c>
      <c r="J1374">
        <v>2017</v>
      </c>
      <c r="K1374">
        <v>10</v>
      </c>
      <c r="L1374">
        <v>276</v>
      </c>
      <c r="M1374" t="s">
        <v>53</v>
      </c>
    </row>
    <row r="1375" spans="1:13">
      <c r="A1375" t="s">
        <v>1432</v>
      </c>
      <c r="B1375" s="10">
        <v>3.99</v>
      </c>
      <c r="C1375" s="10">
        <v>4.66</v>
      </c>
      <c r="D1375" s="10">
        <v>1</v>
      </c>
      <c r="E1375" s="10">
        <v>39.8</v>
      </c>
      <c r="F1375" s="10">
        <v>7</v>
      </c>
      <c r="G1375" s="10">
        <v>0</v>
      </c>
      <c r="H1375" s="10">
        <v>6</v>
      </c>
      <c r="I1375" s="10">
        <v>2</v>
      </c>
      <c r="J1375">
        <v>2017</v>
      </c>
      <c r="K1375">
        <v>10</v>
      </c>
      <c r="L1375">
        <v>276</v>
      </c>
      <c r="M1375" t="s">
        <v>55</v>
      </c>
    </row>
    <row r="1376" spans="1:13">
      <c r="A1376" t="s">
        <v>1433</v>
      </c>
      <c r="B1376" s="10">
        <v>4</v>
      </c>
      <c r="C1376" s="10">
        <v>2.023</v>
      </c>
      <c r="D1376" s="10">
        <v>2</v>
      </c>
      <c r="E1376" s="10">
        <v>35.25</v>
      </c>
      <c r="F1376" s="10">
        <v>4</v>
      </c>
      <c r="G1376" s="10">
        <v>0</v>
      </c>
      <c r="H1376" s="10">
        <v>10</v>
      </c>
      <c r="I1376" s="10">
        <v>1</v>
      </c>
      <c r="J1376">
        <v>2017</v>
      </c>
      <c r="K1376">
        <v>10</v>
      </c>
      <c r="L1376">
        <v>276</v>
      </c>
      <c r="M1376" t="s">
        <v>57</v>
      </c>
    </row>
    <row r="1377" spans="1:13">
      <c r="A1377" t="s">
        <v>1434</v>
      </c>
      <c r="B1377" s="10">
        <v>8.67</v>
      </c>
      <c r="C1377" s="10">
        <v>3.261</v>
      </c>
      <c r="D1377" s="10">
        <v>5.2</v>
      </c>
      <c r="E1377" s="10">
        <v>77.09999999999999</v>
      </c>
      <c r="F1377" s="10">
        <v>2</v>
      </c>
      <c r="G1377" s="10">
        <v>0</v>
      </c>
      <c r="H1377" s="10">
        <v>15</v>
      </c>
      <c r="I1377" s="10">
        <v>4</v>
      </c>
      <c r="J1377">
        <v>2017</v>
      </c>
      <c r="K1377">
        <v>10</v>
      </c>
      <c r="L1377">
        <v>276</v>
      </c>
      <c r="M1377" t="s">
        <v>59</v>
      </c>
    </row>
    <row r="1378" spans="1:13">
      <c r="A1378" t="s">
        <v>1435</v>
      </c>
      <c r="B1378" s="10">
        <v>0</v>
      </c>
      <c r="C1378" s="10">
        <v>0</v>
      </c>
      <c r="D1378" s="10">
        <v>0</v>
      </c>
      <c r="E1378" s="10">
        <v>0</v>
      </c>
      <c r="F1378" s="10">
        <v>0</v>
      </c>
      <c r="G1378" s="10">
        <v>0</v>
      </c>
      <c r="H1378" s="10">
        <v>0</v>
      </c>
      <c r="I1378" s="10">
        <v>0</v>
      </c>
      <c r="J1378">
        <v>2017</v>
      </c>
      <c r="K1378">
        <v>10</v>
      </c>
      <c r="L1378">
        <v>276</v>
      </c>
      <c r="M1378" t="s">
        <v>61</v>
      </c>
    </row>
    <row r="1379" spans="1:13">
      <c r="A1379" t="s">
        <v>1436</v>
      </c>
      <c r="B1379" s="10">
        <v>10</v>
      </c>
      <c r="C1379" s="10">
        <v>2.68</v>
      </c>
      <c r="D1379" s="10">
        <v>2</v>
      </c>
      <c r="E1379" s="10">
        <v>25</v>
      </c>
      <c r="F1379" s="10">
        <v>8</v>
      </c>
      <c r="G1379" s="10">
        <v>0</v>
      </c>
      <c r="H1379" s="10">
        <v>11</v>
      </c>
      <c r="I1379" s="10">
        <v>3</v>
      </c>
      <c r="J1379">
        <v>2017</v>
      </c>
      <c r="K1379">
        <v>10</v>
      </c>
      <c r="L1379">
        <v>276</v>
      </c>
      <c r="M1379" t="s">
        <v>63</v>
      </c>
    </row>
    <row r="1380" spans="1:13">
      <c r="A1380" t="s">
        <v>1437</v>
      </c>
      <c r="B1380" s="10">
        <v>3.5</v>
      </c>
      <c r="C1380" s="10">
        <v>1</v>
      </c>
      <c r="D1380" s="10">
        <v>4.6</v>
      </c>
      <c r="E1380" s="10">
        <v>39.4</v>
      </c>
      <c r="F1380" s="10">
        <v>2</v>
      </c>
      <c r="G1380" s="10">
        <v>0</v>
      </c>
      <c r="H1380" s="10">
        <v>6</v>
      </c>
      <c r="I1380" s="10">
        <v>2.5</v>
      </c>
      <c r="J1380">
        <v>2017</v>
      </c>
      <c r="K1380">
        <v>10</v>
      </c>
      <c r="L1380">
        <v>276</v>
      </c>
      <c r="M1380" t="s">
        <v>65</v>
      </c>
    </row>
    <row r="1381" spans="1:13">
      <c r="A1381" t="s">
        <v>1438</v>
      </c>
      <c r="B1381" s="10">
        <v>4</v>
      </c>
      <c r="C1381" s="10">
        <v>2.393</v>
      </c>
      <c r="D1381" s="10">
        <v>2.3</v>
      </c>
      <c r="E1381" s="10">
        <v>41</v>
      </c>
      <c r="F1381" s="10">
        <v>9</v>
      </c>
      <c r="G1381" s="10">
        <v>0</v>
      </c>
      <c r="H1381" s="10">
        <v>1</v>
      </c>
      <c r="I1381" s="10">
        <v>2</v>
      </c>
      <c r="J1381">
        <v>2017</v>
      </c>
      <c r="K1381">
        <v>10</v>
      </c>
      <c r="L1381">
        <v>276</v>
      </c>
      <c r="M1381" t="s">
        <v>53</v>
      </c>
    </row>
    <row r="1382" spans="1:13">
      <c r="A1382" t="s">
        <v>1439</v>
      </c>
      <c r="B1382" s="10">
        <v>5.33</v>
      </c>
      <c r="C1382" s="10">
        <v>1.396</v>
      </c>
      <c r="D1382" s="10">
        <v>0.6</v>
      </c>
      <c r="E1382" s="10">
        <v>38</v>
      </c>
      <c r="F1382" s="10">
        <v>8</v>
      </c>
      <c r="G1382" s="10">
        <v>2</v>
      </c>
      <c r="H1382" s="10">
        <v>3</v>
      </c>
      <c r="I1382" s="10">
        <v>4</v>
      </c>
      <c r="J1382">
        <v>2017</v>
      </c>
      <c r="K1382">
        <v>10</v>
      </c>
      <c r="L1382">
        <v>276</v>
      </c>
      <c r="M1382" t="s">
        <v>55</v>
      </c>
    </row>
    <row r="1383" spans="1:13">
      <c r="A1383" t="s">
        <v>1440</v>
      </c>
      <c r="B1383" s="10">
        <v>4.84</v>
      </c>
      <c r="C1383" s="10">
        <v>3.66</v>
      </c>
      <c r="D1383" s="10">
        <v>4</v>
      </c>
      <c r="E1383" s="10">
        <v>42.2</v>
      </c>
      <c r="F1383" s="10">
        <v>9</v>
      </c>
      <c r="G1383" s="10">
        <v>1</v>
      </c>
      <c r="H1383" s="10">
        <v>20</v>
      </c>
      <c r="I1383" s="10">
        <v>0</v>
      </c>
      <c r="J1383">
        <v>2017</v>
      </c>
      <c r="K1383">
        <v>10</v>
      </c>
      <c r="L1383">
        <v>276</v>
      </c>
      <c r="M1383" t="s">
        <v>57</v>
      </c>
    </row>
    <row r="1384" spans="1:13">
      <c r="A1384" t="s">
        <v>1441</v>
      </c>
      <c r="B1384" s="10">
        <v>6</v>
      </c>
      <c r="C1384" s="10">
        <v>6.68</v>
      </c>
      <c r="D1384" s="10">
        <v>1</v>
      </c>
      <c r="E1384" s="10">
        <v>37</v>
      </c>
      <c r="F1384" s="10">
        <v>5</v>
      </c>
      <c r="G1384" s="10">
        <v>0</v>
      </c>
      <c r="H1384" s="10">
        <v>11</v>
      </c>
      <c r="I1384" s="10">
        <v>2</v>
      </c>
      <c r="J1384">
        <v>2017</v>
      </c>
      <c r="K1384">
        <v>10</v>
      </c>
      <c r="L1384">
        <v>276</v>
      </c>
      <c r="M1384" t="s">
        <v>59</v>
      </c>
    </row>
    <row r="1385" spans="1:13">
      <c r="A1385" t="s">
        <v>1442</v>
      </c>
      <c r="B1385" s="10">
        <v>2.33</v>
      </c>
      <c r="C1385" s="10">
        <v>0.67</v>
      </c>
      <c r="D1385" s="10">
        <v>0</v>
      </c>
      <c r="E1385" s="10">
        <v>45.1</v>
      </c>
      <c r="F1385" s="10">
        <v>9</v>
      </c>
      <c r="G1385" s="10">
        <v>0</v>
      </c>
      <c r="H1385" s="10">
        <v>2</v>
      </c>
      <c r="I1385" s="10">
        <v>2</v>
      </c>
      <c r="J1385">
        <v>2017</v>
      </c>
      <c r="K1385">
        <v>10</v>
      </c>
      <c r="L1385">
        <v>276</v>
      </c>
      <c r="M1385" t="s">
        <v>61</v>
      </c>
    </row>
    <row r="1386" spans="1:13">
      <c r="A1386" t="s">
        <v>1443</v>
      </c>
      <c r="B1386" s="10">
        <v>3.34</v>
      </c>
      <c r="C1386" s="10">
        <v>1.67</v>
      </c>
      <c r="D1386" s="10">
        <v>6</v>
      </c>
      <c r="E1386" s="10">
        <v>26.2</v>
      </c>
      <c r="F1386" s="10">
        <v>9</v>
      </c>
      <c r="G1386" s="10">
        <v>2</v>
      </c>
      <c r="H1386" s="10">
        <v>6</v>
      </c>
      <c r="I1386" s="10">
        <v>1</v>
      </c>
      <c r="J1386">
        <v>2017</v>
      </c>
      <c r="K1386">
        <v>10</v>
      </c>
      <c r="L1386">
        <v>276</v>
      </c>
      <c r="M1386" t="s">
        <v>63</v>
      </c>
    </row>
    <row r="1387" spans="1:13">
      <c r="A1387" t="s">
        <v>1444</v>
      </c>
      <c r="B1387" s="10">
        <v>5.34</v>
      </c>
      <c r="C1387" s="10">
        <v>1.33</v>
      </c>
      <c r="D1387" s="10">
        <v>1</v>
      </c>
      <c r="E1387" s="10">
        <v>52.85</v>
      </c>
      <c r="F1387" s="10">
        <v>15</v>
      </c>
      <c r="G1387" s="10">
        <v>0</v>
      </c>
      <c r="H1387" s="10">
        <v>1</v>
      </c>
      <c r="I1387" s="10">
        <v>1</v>
      </c>
      <c r="J1387">
        <v>2017</v>
      </c>
      <c r="K1387">
        <v>10</v>
      </c>
      <c r="L1387">
        <v>276</v>
      </c>
      <c r="M1387" t="s">
        <v>65</v>
      </c>
    </row>
    <row r="1388" spans="1:13">
      <c r="A1388" t="s">
        <v>1445</v>
      </c>
      <c r="B1388" s="10">
        <v>4.33</v>
      </c>
      <c r="C1388" s="10">
        <v>5.99</v>
      </c>
      <c r="D1388" s="10">
        <v>4.7</v>
      </c>
      <c r="E1388" s="10">
        <v>25.5</v>
      </c>
      <c r="F1388" s="10">
        <v>8</v>
      </c>
      <c r="G1388" s="10">
        <v>0</v>
      </c>
      <c r="H1388" s="10">
        <v>13</v>
      </c>
      <c r="I1388" s="10">
        <v>0</v>
      </c>
      <c r="J1388">
        <v>2017</v>
      </c>
      <c r="K1388">
        <v>10</v>
      </c>
      <c r="L1388">
        <v>276</v>
      </c>
      <c r="M1388" t="s">
        <v>53</v>
      </c>
    </row>
    <row r="1389" spans="1:13">
      <c r="A1389" t="s">
        <v>1446</v>
      </c>
      <c r="B1389" s="10">
        <v>2.83</v>
      </c>
      <c r="C1389" s="10">
        <v>4.363</v>
      </c>
      <c r="D1389" s="10">
        <v>3</v>
      </c>
      <c r="E1389" s="10">
        <v>36.25</v>
      </c>
      <c r="F1389" s="10">
        <v>15</v>
      </c>
      <c r="G1389" s="10">
        <v>0</v>
      </c>
      <c r="H1389" s="10">
        <v>8</v>
      </c>
      <c r="I1389" s="10">
        <v>0</v>
      </c>
      <c r="J1389">
        <v>2017</v>
      </c>
      <c r="K1389">
        <v>10</v>
      </c>
      <c r="L1389">
        <v>276</v>
      </c>
      <c r="M1389" t="s">
        <v>55</v>
      </c>
    </row>
    <row r="1390" spans="1:13">
      <c r="A1390" t="s">
        <v>1447</v>
      </c>
      <c r="B1390" s="10">
        <v>3.33</v>
      </c>
      <c r="C1390" s="10">
        <v>3.769</v>
      </c>
      <c r="D1390" s="10">
        <v>3.3</v>
      </c>
      <c r="E1390" s="10">
        <v>25.2</v>
      </c>
      <c r="F1390" s="10">
        <v>9</v>
      </c>
      <c r="G1390" s="10">
        <v>3</v>
      </c>
      <c r="H1390" s="10">
        <v>5</v>
      </c>
      <c r="I1390" s="10">
        <v>4</v>
      </c>
      <c r="J1390">
        <v>2017</v>
      </c>
      <c r="K1390">
        <v>10</v>
      </c>
      <c r="L1390">
        <v>276</v>
      </c>
      <c r="M1390" t="s">
        <v>57</v>
      </c>
    </row>
    <row r="1391" spans="1:13">
      <c r="A1391" t="s">
        <v>1448</v>
      </c>
      <c r="B1391" s="10">
        <v>8</v>
      </c>
      <c r="C1391" s="10">
        <v>5</v>
      </c>
      <c r="D1391" s="10">
        <v>5</v>
      </c>
      <c r="E1391" s="10">
        <v>57.8</v>
      </c>
      <c r="F1391" s="10">
        <v>8</v>
      </c>
      <c r="G1391" s="10">
        <v>0</v>
      </c>
      <c r="H1391" s="10">
        <v>9</v>
      </c>
      <c r="I1391" s="10">
        <v>2</v>
      </c>
      <c r="J1391">
        <v>2017</v>
      </c>
      <c r="K1391">
        <v>10</v>
      </c>
      <c r="L1391">
        <v>276</v>
      </c>
      <c r="M1391" t="s">
        <v>59</v>
      </c>
    </row>
    <row r="1392" spans="1:13">
      <c r="A1392" t="s">
        <v>1449</v>
      </c>
      <c r="B1392" s="10">
        <v>3.33</v>
      </c>
      <c r="C1392" s="10">
        <v>1.363</v>
      </c>
      <c r="D1392" s="10">
        <v>2</v>
      </c>
      <c r="E1392" s="10">
        <v>28.6</v>
      </c>
      <c r="F1392" s="10">
        <v>4</v>
      </c>
      <c r="G1392" s="10">
        <v>0</v>
      </c>
      <c r="H1392" s="10">
        <v>28</v>
      </c>
      <c r="I1392" s="10">
        <v>1</v>
      </c>
      <c r="J1392">
        <v>2017</v>
      </c>
      <c r="K1392">
        <v>10</v>
      </c>
      <c r="L1392">
        <v>276</v>
      </c>
      <c r="M1392" t="s">
        <v>61</v>
      </c>
    </row>
    <row r="1393" spans="1:13">
      <c r="A1393" t="s">
        <v>1450</v>
      </c>
      <c r="B1393" s="10">
        <v>2</v>
      </c>
      <c r="C1393" s="10">
        <v>2</v>
      </c>
      <c r="D1393" s="10">
        <v>10</v>
      </c>
      <c r="E1393" s="10">
        <v>65.2</v>
      </c>
      <c r="F1393" s="10">
        <v>3</v>
      </c>
      <c r="G1393" s="10">
        <v>0</v>
      </c>
      <c r="H1393" s="10">
        <v>10</v>
      </c>
      <c r="I1393" s="10">
        <v>1</v>
      </c>
      <c r="J1393">
        <v>2017</v>
      </c>
      <c r="K1393">
        <v>10</v>
      </c>
      <c r="L1393">
        <v>276</v>
      </c>
      <c r="M1393" t="s">
        <v>63</v>
      </c>
    </row>
    <row r="1394" spans="1:13">
      <c r="A1394" t="s">
        <v>1451</v>
      </c>
      <c r="B1394" s="10">
        <v>6.34</v>
      </c>
      <c r="C1394" s="10">
        <v>3.33</v>
      </c>
      <c r="D1394" s="10">
        <v>5.35</v>
      </c>
      <c r="E1394" s="10">
        <v>26.9</v>
      </c>
      <c r="F1394" s="10">
        <v>4</v>
      </c>
      <c r="G1394" s="10">
        <v>0</v>
      </c>
      <c r="H1394" s="10">
        <v>1</v>
      </c>
      <c r="I1394" s="10">
        <v>1</v>
      </c>
      <c r="J1394">
        <v>2017</v>
      </c>
      <c r="K1394">
        <v>10</v>
      </c>
      <c r="L1394">
        <v>276</v>
      </c>
      <c r="M1394" t="s">
        <v>65</v>
      </c>
    </row>
    <row r="1395" spans="1:13">
      <c r="A1395" t="s">
        <v>1452</v>
      </c>
      <c r="B1395" s="10">
        <v>1.33</v>
      </c>
      <c r="C1395" s="10">
        <v>1.099</v>
      </c>
      <c r="D1395" s="10">
        <v>2</v>
      </c>
      <c r="E1395" s="10">
        <v>38</v>
      </c>
      <c r="F1395" s="10">
        <v>9</v>
      </c>
      <c r="G1395" s="10">
        <v>1</v>
      </c>
      <c r="H1395" s="10">
        <v>5</v>
      </c>
      <c r="I1395" s="10">
        <v>2.3</v>
      </c>
      <c r="J1395">
        <v>2017</v>
      </c>
      <c r="K1395">
        <v>10</v>
      </c>
      <c r="L1395">
        <v>276</v>
      </c>
      <c r="M1395" t="s">
        <v>53</v>
      </c>
    </row>
    <row r="1396" spans="1:13">
      <c r="A1396" t="s">
        <v>1453</v>
      </c>
      <c r="B1396" s="10">
        <v>6.32</v>
      </c>
      <c r="C1396" s="10">
        <v>2.363</v>
      </c>
      <c r="D1396" s="10">
        <v>6</v>
      </c>
      <c r="E1396" s="10">
        <v>26</v>
      </c>
      <c r="F1396" s="10">
        <v>14</v>
      </c>
      <c r="G1396" s="10">
        <v>1</v>
      </c>
      <c r="H1396" s="10">
        <v>21</v>
      </c>
      <c r="I1396" s="10">
        <v>2</v>
      </c>
      <c r="J1396">
        <v>2017</v>
      </c>
      <c r="K1396">
        <v>10</v>
      </c>
      <c r="L1396">
        <v>276</v>
      </c>
      <c r="M1396" t="s">
        <v>55</v>
      </c>
    </row>
    <row r="1397" spans="1:13">
      <c r="A1397" t="s">
        <v>1454</v>
      </c>
      <c r="B1397" s="10">
        <v>5</v>
      </c>
      <c r="C1397" s="10">
        <v>2.33</v>
      </c>
      <c r="D1397" s="10">
        <v>4</v>
      </c>
      <c r="E1397" s="10">
        <v>24.1</v>
      </c>
      <c r="F1397" s="10">
        <v>11</v>
      </c>
      <c r="G1397" s="10">
        <v>0</v>
      </c>
      <c r="H1397" s="10">
        <v>7</v>
      </c>
      <c r="I1397" s="10">
        <v>3</v>
      </c>
      <c r="J1397">
        <v>2017</v>
      </c>
      <c r="K1397">
        <v>10</v>
      </c>
      <c r="L1397">
        <v>276</v>
      </c>
      <c r="M1397" t="s">
        <v>57</v>
      </c>
    </row>
    <row r="1398" spans="1:13">
      <c r="A1398" t="s">
        <v>1455</v>
      </c>
      <c r="B1398" s="10">
        <v>7.66</v>
      </c>
      <c r="C1398" s="10">
        <v>2.373</v>
      </c>
      <c r="D1398" s="10">
        <v>1.05</v>
      </c>
      <c r="E1398" s="10">
        <v>36</v>
      </c>
      <c r="F1398" s="10">
        <v>3</v>
      </c>
      <c r="G1398" s="10">
        <v>0</v>
      </c>
      <c r="H1398" s="10">
        <v>1</v>
      </c>
      <c r="I1398" s="10">
        <v>2.2</v>
      </c>
      <c r="J1398">
        <v>2017</v>
      </c>
      <c r="K1398">
        <v>10</v>
      </c>
      <c r="L1398">
        <v>276</v>
      </c>
      <c r="M1398" t="s">
        <v>59</v>
      </c>
    </row>
    <row r="1399" spans="1:13">
      <c r="A1399" t="s">
        <v>1456</v>
      </c>
      <c r="B1399" s="10">
        <v>1.5</v>
      </c>
      <c r="C1399" s="10">
        <v>3.66</v>
      </c>
      <c r="D1399" s="10">
        <v>2</v>
      </c>
      <c r="E1399" s="10">
        <v>32.8</v>
      </c>
      <c r="F1399" s="10">
        <v>7</v>
      </c>
      <c r="G1399" s="10">
        <v>0</v>
      </c>
      <c r="H1399" s="10">
        <v>9</v>
      </c>
      <c r="I1399" s="10">
        <v>1</v>
      </c>
      <c r="J1399">
        <v>2017</v>
      </c>
      <c r="K1399">
        <v>10</v>
      </c>
      <c r="L1399">
        <v>276</v>
      </c>
      <c r="M1399" t="s">
        <v>61</v>
      </c>
    </row>
    <row r="1400" spans="1:13">
      <c r="A1400" t="s">
        <v>1457</v>
      </c>
      <c r="B1400" s="10">
        <v>4.33</v>
      </c>
      <c r="C1400" s="10">
        <v>1.363</v>
      </c>
      <c r="D1400" s="10">
        <v>4</v>
      </c>
      <c r="E1400" s="10">
        <v>38</v>
      </c>
      <c r="F1400" s="10">
        <v>2</v>
      </c>
      <c r="G1400" s="10">
        <v>0</v>
      </c>
      <c r="H1400" s="10">
        <v>0</v>
      </c>
      <c r="I1400" s="10">
        <v>1</v>
      </c>
      <c r="J1400">
        <v>2017</v>
      </c>
      <c r="K1400">
        <v>10</v>
      </c>
      <c r="L1400">
        <v>276</v>
      </c>
      <c r="M1400" t="s">
        <v>63</v>
      </c>
    </row>
    <row r="1401" spans="1:13">
      <c r="A1401" t="s">
        <v>1458</v>
      </c>
      <c r="B1401" s="10">
        <v>0.67</v>
      </c>
      <c r="C1401" s="10">
        <v>3.429</v>
      </c>
      <c r="D1401" s="10">
        <v>2</v>
      </c>
      <c r="E1401" s="10">
        <v>23</v>
      </c>
      <c r="F1401" s="10">
        <v>5</v>
      </c>
      <c r="G1401" s="10">
        <v>0</v>
      </c>
      <c r="H1401" s="10">
        <v>3</v>
      </c>
      <c r="I1401" s="10">
        <v>1</v>
      </c>
      <c r="J1401">
        <v>2017</v>
      </c>
      <c r="K1401">
        <v>11</v>
      </c>
      <c r="L1401">
        <v>276</v>
      </c>
      <c r="M1401" t="s">
        <v>65</v>
      </c>
    </row>
    <row r="1402" spans="1:13">
      <c r="A1402" t="s">
        <v>1459</v>
      </c>
      <c r="B1402" s="10">
        <v>4</v>
      </c>
      <c r="C1402" s="10">
        <v>2.066</v>
      </c>
      <c r="D1402" s="10">
        <v>1.55</v>
      </c>
      <c r="E1402" s="10">
        <v>22.1</v>
      </c>
      <c r="F1402" s="10">
        <v>5</v>
      </c>
      <c r="G1402" s="10">
        <v>0</v>
      </c>
      <c r="H1402" s="10">
        <v>11</v>
      </c>
      <c r="I1402" s="10">
        <v>3</v>
      </c>
      <c r="J1402">
        <v>2017</v>
      </c>
      <c r="K1402">
        <v>11</v>
      </c>
      <c r="L1402">
        <v>276</v>
      </c>
      <c r="M1402" t="s">
        <v>53</v>
      </c>
    </row>
    <row r="1403" spans="1:13">
      <c r="A1403" t="s">
        <v>1460</v>
      </c>
      <c r="B1403" s="10">
        <v>2.33</v>
      </c>
      <c r="C1403" s="10">
        <v>7.67</v>
      </c>
      <c r="D1403" s="10">
        <v>4.4</v>
      </c>
      <c r="E1403" s="10">
        <v>37.4</v>
      </c>
      <c r="F1403" s="10">
        <v>10</v>
      </c>
      <c r="G1403" s="10">
        <v>3</v>
      </c>
      <c r="H1403" s="10">
        <v>6</v>
      </c>
      <c r="I1403" s="10">
        <v>1</v>
      </c>
      <c r="J1403">
        <v>2017</v>
      </c>
      <c r="K1403">
        <v>11</v>
      </c>
      <c r="L1403">
        <v>276</v>
      </c>
      <c r="M1403" t="s">
        <v>55</v>
      </c>
    </row>
    <row r="1404" spans="1:13">
      <c r="A1404" t="s">
        <v>1461</v>
      </c>
      <c r="B1404" s="10">
        <v>10.34</v>
      </c>
      <c r="C1404" s="10">
        <v>7.472</v>
      </c>
      <c r="D1404" s="10">
        <v>6</v>
      </c>
      <c r="E1404" s="10">
        <v>33</v>
      </c>
      <c r="F1404" s="10">
        <v>5</v>
      </c>
      <c r="G1404" s="10">
        <v>0</v>
      </c>
      <c r="H1404" s="10">
        <v>1</v>
      </c>
      <c r="I1404" s="10">
        <v>3.2</v>
      </c>
      <c r="J1404">
        <v>2017</v>
      </c>
      <c r="K1404">
        <v>11</v>
      </c>
      <c r="L1404">
        <v>276</v>
      </c>
      <c r="M1404" t="s">
        <v>57</v>
      </c>
    </row>
    <row r="1405" spans="1:13">
      <c r="A1405" t="s">
        <v>1462</v>
      </c>
      <c r="B1405" s="10">
        <v>6.33</v>
      </c>
      <c r="C1405" s="10">
        <v>5.799</v>
      </c>
      <c r="D1405" s="10">
        <v>1.1</v>
      </c>
      <c r="E1405" s="10">
        <v>35.45</v>
      </c>
      <c r="F1405" s="10">
        <v>1</v>
      </c>
      <c r="G1405" s="10">
        <v>0</v>
      </c>
      <c r="H1405" s="10">
        <v>5</v>
      </c>
      <c r="I1405" s="10">
        <v>2</v>
      </c>
      <c r="J1405">
        <v>2017</v>
      </c>
      <c r="K1405">
        <v>11</v>
      </c>
      <c r="L1405">
        <v>276</v>
      </c>
      <c r="M1405" t="s">
        <v>59</v>
      </c>
    </row>
    <row r="1406" spans="1:13">
      <c r="A1406" t="s">
        <v>1463</v>
      </c>
      <c r="B1406" s="10">
        <v>8.34</v>
      </c>
      <c r="C1406" s="10">
        <v>3.2</v>
      </c>
      <c r="D1406" s="10">
        <v>2</v>
      </c>
      <c r="E1406" s="10">
        <v>20.2</v>
      </c>
      <c r="F1406" s="10">
        <v>11</v>
      </c>
      <c r="G1406" s="10">
        <v>3</v>
      </c>
      <c r="H1406" s="10">
        <v>8</v>
      </c>
      <c r="I1406" s="10">
        <v>1</v>
      </c>
      <c r="J1406">
        <v>2017</v>
      </c>
      <c r="K1406">
        <v>11</v>
      </c>
      <c r="L1406">
        <v>276</v>
      </c>
      <c r="M1406" t="s">
        <v>61</v>
      </c>
    </row>
    <row r="1407" spans="1:13">
      <c r="A1407" t="s">
        <v>1464</v>
      </c>
      <c r="B1407" s="10">
        <v>0.67</v>
      </c>
      <c r="C1407" s="10">
        <v>4</v>
      </c>
      <c r="D1407" s="10">
        <v>7</v>
      </c>
      <c r="E1407" s="10">
        <v>20</v>
      </c>
      <c r="F1407" s="10">
        <v>4</v>
      </c>
      <c r="G1407" s="10">
        <v>0</v>
      </c>
      <c r="H1407" s="10">
        <v>0</v>
      </c>
      <c r="I1407" s="10">
        <v>1.5</v>
      </c>
      <c r="J1407">
        <v>2017</v>
      </c>
      <c r="K1407">
        <v>11</v>
      </c>
      <c r="L1407">
        <v>276</v>
      </c>
      <c r="M1407" t="s">
        <v>63</v>
      </c>
    </row>
    <row r="1408" spans="1:13">
      <c r="A1408" t="s">
        <v>1465</v>
      </c>
      <c r="B1408" s="10">
        <v>6</v>
      </c>
      <c r="C1408" s="10">
        <v>1.1</v>
      </c>
      <c r="D1408" s="10">
        <v>2</v>
      </c>
      <c r="E1408" s="10">
        <v>9.199999999999999</v>
      </c>
      <c r="F1408" s="10">
        <v>1</v>
      </c>
      <c r="G1408" s="10">
        <v>0</v>
      </c>
      <c r="H1408" s="10">
        <v>5</v>
      </c>
      <c r="I1408" s="10">
        <v>1</v>
      </c>
      <c r="J1408">
        <v>2017</v>
      </c>
      <c r="K1408">
        <v>11</v>
      </c>
      <c r="L1408">
        <v>276</v>
      </c>
      <c r="M1408" t="s">
        <v>65</v>
      </c>
    </row>
    <row r="1409" spans="1:13">
      <c r="A1409" t="s">
        <v>1466</v>
      </c>
      <c r="B1409" s="10">
        <v>2.67</v>
      </c>
      <c r="C1409" s="10">
        <v>3.746</v>
      </c>
      <c r="D1409" s="10">
        <v>0</v>
      </c>
      <c r="E1409" s="10">
        <v>28.8</v>
      </c>
      <c r="F1409" s="10">
        <v>2</v>
      </c>
      <c r="G1409" s="10">
        <v>0</v>
      </c>
      <c r="H1409" s="10">
        <v>11</v>
      </c>
      <c r="I1409" s="10">
        <v>1</v>
      </c>
      <c r="J1409">
        <v>2017</v>
      </c>
      <c r="K1409">
        <v>11</v>
      </c>
      <c r="L1409">
        <v>276</v>
      </c>
      <c r="M1409" t="s">
        <v>53</v>
      </c>
    </row>
    <row r="1410" spans="1:13">
      <c r="A1410" t="s">
        <v>1467</v>
      </c>
      <c r="B1410" s="10">
        <v>9.34</v>
      </c>
      <c r="C1410" s="10">
        <v>6.66</v>
      </c>
      <c r="D1410" s="10">
        <v>6.2</v>
      </c>
      <c r="E1410" s="10">
        <v>34</v>
      </c>
      <c r="F1410" s="10">
        <v>9</v>
      </c>
      <c r="G1410" s="10">
        <v>0</v>
      </c>
      <c r="H1410" s="10">
        <v>22</v>
      </c>
      <c r="I1410" s="10">
        <v>2</v>
      </c>
      <c r="J1410">
        <v>2017</v>
      </c>
      <c r="K1410">
        <v>11</v>
      </c>
      <c r="L1410">
        <v>276</v>
      </c>
      <c r="M1410" t="s">
        <v>55</v>
      </c>
    </row>
    <row r="1411" spans="1:13">
      <c r="A1411" t="s">
        <v>1468</v>
      </c>
      <c r="B1411" s="10">
        <v>8.5</v>
      </c>
      <c r="C1411" s="10">
        <v>3</v>
      </c>
      <c r="D1411" s="10">
        <v>4.1</v>
      </c>
      <c r="E1411" s="10">
        <v>32</v>
      </c>
      <c r="F1411" s="10">
        <v>8</v>
      </c>
      <c r="G1411" s="10">
        <v>0</v>
      </c>
      <c r="H1411" s="10">
        <v>2</v>
      </c>
      <c r="I1411" s="10">
        <v>0</v>
      </c>
      <c r="J1411">
        <v>2017</v>
      </c>
      <c r="K1411">
        <v>11</v>
      </c>
      <c r="L1411">
        <v>276</v>
      </c>
      <c r="M1411" t="s">
        <v>57</v>
      </c>
    </row>
    <row r="1412" spans="1:13">
      <c r="A1412" t="s">
        <v>1469</v>
      </c>
      <c r="B1412" s="10">
        <v>5</v>
      </c>
      <c r="C1412" s="10">
        <v>3.65</v>
      </c>
      <c r="D1412" s="10">
        <v>6.15</v>
      </c>
      <c r="E1412" s="10">
        <v>40</v>
      </c>
      <c r="F1412" s="10">
        <v>9</v>
      </c>
      <c r="G1412" s="10">
        <v>0</v>
      </c>
      <c r="H1412" s="10">
        <v>3</v>
      </c>
      <c r="I1412" s="10">
        <v>2</v>
      </c>
      <c r="J1412">
        <v>2017</v>
      </c>
      <c r="K1412">
        <v>11</v>
      </c>
      <c r="L1412">
        <v>276</v>
      </c>
      <c r="M1412" t="s">
        <v>59</v>
      </c>
    </row>
    <row r="1413" spans="1:13">
      <c r="A1413" t="s">
        <v>1470</v>
      </c>
      <c r="B1413" s="10">
        <v>9.33</v>
      </c>
      <c r="C1413" s="10">
        <v>2.429</v>
      </c>
      <c r="D1413" s="10">
        <v>4.2</v>
      </c>
      <c r="E1413" s="10">
        <v>44.2</v>
      </c>
      <c r="F1413" s="10">
        <v>5</v>
      </c>
      <c r="G1413" s="10">
        <v>0</v>
      </c>
      <c r="H1413" s="10">
        <v>5</v>
      </c>
      <c r="I1413" s="10">
        <v>0.2</v>
      </c>
      <c r="J1413">
        <v>2017</v>
      </c>
      <c r="K1413">
        <v>11</v>
      </c>
      <c r="L1413">
        <v>276</v>
      </c>
      <c r="M1413" t="s">
        <v>61</v>
      </c>
    </row>
    <row r="1414" spans="1:13">
      <c r="A1414" t="s">
        <v>1471</v>
      </c>
      <c r="B1414" s="10">
        <v>3</v>
      </c>
      <c r="C1414" s="10">
        <v>0.859</v>
      </c>
      <c r="D1414" s="10">
        <v>2</v>
      </c>
      <c r="E1414" s="10">
        <v>6.8</v>
      </c>
      <c r="F1414" s="10">
        <v>14</v>
      </c>
      <c r="G1414" s="10">
        <v>0</v>
      </c>
      <c r="H1414" s="10">
        <v>19</v>
      </c>
      <c r="I1414" s="10">
        <v>1</v>
      </c>
      <c r="J1414">
        <v>2017</v>
      </c>
      <c r="K1414">
        <v>11</v>
      </c>
      <c r="L1414">
        <v>276</v>
      </c>
      <c r="M1414" t="s">
        <v>63</v>
      </c>
    </row>
    <row r="1415" spans="1:13">
      <c r="A1415" t="s">
        <v>1472</v>
      </c>
      <c r="B1415" s="10">
        <v>5.33</v>
      </c>
      <c r="C1415" s="10">
        <v>2.726</v>
      </c>
      <c r="D1415" s="10">
        <v>7.7</v>
      </c>
      <c r="E1415" s="10">
        <v>17</v>
      </c>
      <c r="F1415" s="10">
        <v>8</v>
      </c>
      <c r="G1415" s="10">
        <v>3</v>
      </c>
      <c r="H1415" s="10">
        <v>0</v>
      </c>
      <c r="I1415" s="10">
        <v>1</v>
      </c>
      <c r="J1415">
        <v>2017</v>
      </c>
      <c r="K1415">
        <v>11</v>
      </c>
      <c r="L1415">
        <v>276</v>
      </c>
      <c r="M1415" t="s">
        <v>65</v>
      </c>
    </row>
    <row r="1416" spans="1:13">
      <c r="A1416" t="s">
        <v>1473</v>
      </c>
      <c r="B1416" s="10">
        <v>5.33</v>
      </c>
      <c r="C1416" s="10">
        <v>2</v>
      </c>
      <c r="D1416" s="10">
        <v>3</v>
      </c>
      <c r="E1416" s="10">
        <v>17.6</v>
      </c>
      <c r="F1416" s="10">
        <v>3</v>
      </c>
      <c r="G1416" s="10">
        <v>0</v>
      </c>
      <c r="H1416" s="10">
        <v>1</v>
      </c>
      <c r="I1416" s="10">
        <v>1</v>
      </c>
      <c r="J1416">
        <v>2017</v>
      </c>
      <c r="K1416">
        <v>11</v>
      </c>
      <c r="L1416">
        <v>276</v>
      </c>
      <c r="M1416" t="s">
        <v>53</v>
      </c>
    </row>
    <row r="1417" spans="1:13">
      <c r="A1417" t="s">
        <v>1474</v>
      </c>
      <c r="B1417" s="10">
        <v>3</v>
      </c>
      <c r="C1417" s="10">
        <v>4.837</v>
      </c>
      <c r="D1417" s="10">
        <v>3</v>
      </c>
      <c r="E1417" s="10">
        <v>34</v>
      </c>
      <c r="F1417" s="10">
        <v>5</v>
      </c>
      <c r="G1417" s="10">
        <v>0</v>
      </c>
      <c r="H1417" s="10">
        <v>30</v>
      </c>
      <c r="I1417" s="10">
        <v>2</v>
      </c>
      <c r="J1417">
        <v>2017</v>
      </c>
      <c r="K1417">
        <v>11</v>
      </c>
      <c r="L1417">
        <v>276</v>
      </c>
      <c r="M1417" t="s">
        <v>55</v>
      </c>
    </row>
    <row r="1418" spans="1:13">
      <c r="A1418" t="s">
        <v>1475</v>
      </c>
      <c r="B1418" s="10">
        <v>5.33</v>
      </c>
      <c r="C1418" s="10">
        <v>8.449999999999999</v>
      </c>
      <c r="D1418" s="10">
        <v>2</v>
      </c>
      <c r="E1418" s="10">
        <v>42.5</v>
      </c>
      <c r="F1418" s="10">
        <v>2</v>
      </c>
      <c r="G1418" s="10">
        <v>0</v>
      </c>
      <c r="H1418" s="10">
        <v>8</v>
      </c>
      <c r="I1418" s="10">
        <v>1.2</v>
      </c>
      <c r="J1418">
        <v>2017</v>
      </c>
      <c r="K1418">
        <v>11</v>
      </c>
      <c r="L1418">
        <v>276</v>
      </c>
      <c r="M1418" t="s">
        <v>57</v>
      </c>
    </row>
    <row r="1419" spans="1:13">
      <c r="A1419" t="s">
        <v>1476</v>
      </c>
      <c r="B1419" s="10">
        <v>4</v>
      </c>
      <c r="C1419" s="10">
        <v>6.88</v>
      </c>
      <c r="D1419" s="10">
        <v>1</v>
      </c>
      <c r="E1419" s="10">
        <v>29</v>
      </c>
      <c r="F1419" s="10">
        <v>3</v>
      </c>
      <c r="G1419" s="10">
        <v>0</v>
      </c>
      <c r="H1419" s="10">
        <v>6</v>
      </c>
      <c r="I1419" s="10">
        <v>2.5</v>
      </c>
      <c r="J1419">
        <v>2017</v>
      </c>
      <c r="K1419">
        <v>11</v>
      </c>
      <c r="L1419">
        <v>276</v>
      </c>
      <c r="M1419" t="s">
        <v>59</v>
      </c>
    </row>
    <row r="1420" spans="1:13">
      <c r="A1420" t="s">
        <v>1477</v>
      </c>
      <c r="B1420" s="10">
        <v>2.34</v>
      </c>
      <c r="C1420" s="10">
        <v>5.34</v>
      </c>
      <c r="D1420" s="10">
        <v>2.4</v>
      </c>
      <c r="E1420" s="10">
        <v>28.8</v>
      </c>
      <c r="F1420" s="10">
        <v>10</v>
      </c>
      <c r="G1420" s="10">
        <v>0</v>
      </c>
      <c r="H1420" s="10">
        <v>2</v>
      </c>
      <c r="I1420" s="10">
        <v>0</v>
      </c>
      <c r="J1420">
        <v>2017</v>
      </c>
      <c r="K1420">
        <v>11</v>
      </c>
      <c r="L1420">
        <v>276</v>
      </c>
      <c r="M1420" t="s">
        <v>61</v>
      </c>
    </row>
    <row r="1421" spans="1:13">
      <c r="A1421" t="s">
        <v>1478</v>
      </c>
      <c r="B1421" s="10">
        <v>13.33</v>
      </c>
      <c r="C1421" s="10">
        <v>0.68</v>
      </c>
      <c r="D1421" s="10">
        <v>1</v>
      </c>
      <c r="E1421" s="10">
        <v>22.4</v>
      </c>
      <c r="F1421" s="10">
        <v>5</v>
      </c>
      <c r="G1421" s="10">
        <v>0</v>
      </c>
      <c r="H1421" s="10">
        <v>2</v>
      </c>
      <c r="I1421" s="10">
        <v>1</v>
      </c>
      <c r="J1421">
        <v>2017</v>
      </c>
      <c r="K1421">
        <v>11</v>
      </c>
      <c r="L1421">
        <v>276</v>
      </c>
      <c r="M1421" t="s">
        <v>63</v>
      </c>
    </row>
    <row r="1422" spans="1:13">
      <c r="A1422" t="s">
        <v>1479</v>
      </c>
      <c r="B1422" s="10">
        <v>2</v>
      </c>
      <c r="C1422" s="10">
        <v>4</v>
      </c>
      <c r="D1422" s="10">
        <v>1</v>
      </c>
      <c r="E1422" s="10">
        <v>26.1</v>
      </c>
      <c r="F1422" s="10">
        <v>20</v>
      </c>
      <c r="G1422" s="10">
        <v>0</v>
      </c>
      <c r="H1422" s="10">
        <v>1</v>
      </c>
      <c r="I1422" s="10">
        <v>1</v>
      </c>
      <c r="J1422">
        <v>2017</v>
      </c>
      <c r="K1422">
        <v>11</v>
      </c>
      <c r="L1422">
        <v>276</v>
      </c>
      <c r="M1422" t="s">
        <v>65</v>
      </c>
    </row>
    <row r="1423" spans="1:13">
      <c r="A1423" t="s">
        <v>1480</v>
      </c>
      <c r="B1423" s="10">
        <v>9.33</v>
      </c>
      <c r="C1423" s="10">
        <v>5.99</v>
      </c>
      <c r="D1423" s="10">
        <v>6</v>
      </c>
      <c r="E1423" s="10">
        <v>34.3</v>
      </c>
      <c r="F1423" s="10">
        <v>14</v>
      </c>
      <c r="G1423" s="10">
        <v>0</v>
      </c>
      <c r="H1423" s="10">
        <v>0</v>
      </c>
      <c r="I1423" s="10">
        <v>3</v>
      </c>
      <c r="J1423">
        <v>2017</v>
      </c>
      <c r="K1423">
        <v>11</v>
      </c>
      <c r="L1423">
        <v>276</v>
      </c>
      <c r="M1423" t="s">
        <v>53</v>
      </c>
    </row>
    <row r="1424" spans="1:13">
      <c r="A1424" t="s">
        <v>1481</v>
      </c>
      <c r="B1424" s="10">
        <v>8</v>
      </c>
      <c r="C1424" s="10">
        <v>3.132</v>
      </c>
      <c r="D1424" s="10">
        <v>5</v>
      </c>
      <c r="E1424" s="10">
        <v>34.324</v>
      </c>
      <c r="F1424" s="10">
        <v>5</v>
      </c>
      <c r="G1424" s="10">
        <v>2</v>
      </c>
      <c r="H1424" s="10">
        <v>2</v>
      </c>
      <c r="I1424" s="10">
        <v>0</v>
      </c>
      <c r="J1424">
        <v>2017</v>
      </c>
      <c r="K1424">
        <v>11</v>
      </c>
      <c r="L1424">
        <v>276</v>
      </c>
      <c r="M1424" t="s">
        <v>55</v>
      </c>
    </row>
    <row r="1425" spans="1:13">
      <c r="A1425" t="s">
        <v>1482</v>
      </c>
      <c r="B1425" s="10">
        <v>5.33</v>
      </c>
      <c r="C1425" s="10">
        <v>6.076</v>
      </c>
      <c r="D1425" s="10">
        <v>4.1</v>
      </c>
      <c r="E1425" s="10">
        <v>26.5</v>
      </c>
      <c r="F1425" s="10">
        <v>8</v>
      </c>
      <c r="G1425" s="10">
        <v>0</v>
      </c>
      <c r="H1425" s="10">
        <v>2</v>
      </c>
      <c r="I1425" s="10">
        <v>0</v>
      </c>
      <c r="J1425">
        <v>2017</v>
      </c>
      <c r="K1425">
        <v>11</v>
      </c>
      <c r="L1425">
        <v>276</v>
      </c>
      <c r="M1425" t="s">
        <v>57</v>
      </c>
    </row>
    <row r="1426" spans="1:13">
      <c r="A1426" t="s">
        <v>1483</v>
      </c>
      <c r="B1426" s="10">
        <v>5.66</v>
      </c>
      <c r="C1426" s="10">
        <v>5.786</v>
      </c>
      <c r="D1426" s="10">
        <v>1</v>
      </c>
      <c r="E1426" s="10">
        <v>31.2</v>
      </c>
      <c r="F1426" s="10">
        <v>2</v>
      </c>
      <c r="G1426" s="10">
        <v>1</v>
      </c>
      <c r="H1426" s="10">
        <v>12</v>
      </c>
      <c r="I1426" s="10">
        <v>2</v>
      </c>
      <c r="J1426">
        <v>2017</v>
      </c>
      <c r="K1426">
        <v>11</v>
      </c>
      <c r="L1426">
        <v>276</v>
      </c>
      <c r="M1426" t="s">
        <v>59</v>
      </c>
    </row>
    <row r="1427" spans="1:13">
      <c r="A1427" t="s">
        <v>1484</v>
      </c>
      <c r="B1427" s="10">
        <v>1.34</v>
      </c>
      <c r="C1427" s="10">
        <v>3.67</v>
      </c>
      <c r="D1427" s="10">
        <v>6.1</v>
      </c>
      <c r="E1427" s="10">
        <v>34.825</v>
      </c>
      <c r="F1427" s="10">
        <v>4</v>
      </c>
      <c r="G1427" s="10">
        <v>0</v>
      </c>
      <c r="H1427" s="10">
        <v>7</v>
      </c>
      <c r="I1427" s="10">
        <v>3</v>
      </c>
      <c r="J1427">
        <v>2017</v>
      </c>
      <c r="K1427">
        <v>11</v>
      </c>
      <c r="L1427">
        <v>276</v>
      </c>
      <c r="M1427" t="s">
        <v>61</v>
      </c>
    </row>
    <row r="1428" spans="1:13">
      <c r="A1428" t="s">
        <v>1485</v>
      </c>
      <c r="B1428" s="10">
        <v>5</v>
      </c>
      <c r="C1428" s="10">
        <v>1.34</v>
      </c>
      <c r="D1428" s="10">
        <v>5.35</v>
      </c>
      <c r="E1428" s="10">
        <v>40.6</v>
      </c>
      <c r="F1428" s="10">
        <v>5</v>
      </c>
      <c r="G1428" s="10">
        <v>3</v>
      </c>
      <c r="H1428" s="10">
        <v>8</v>
      </c>
      <c r="I1428" s="10">
        <v>3</v>
      </c>
      <c r="J1428">
        <v>2017</v>
      </c>
      <c r="K1428">
        <v>11</v>
      </c>
      <c r="L1428">
        <v>276</v>
      </c>
      <c r="M1428" t="s">
        <v>63</v>
      </c>
    </row>
    <row r="1429" spans="1:13">
      <c r="A1429" t="s">
        <v>1486</v>
      </c>
      <c r="B1429" s="10">
        <v>6.34</v>
      </c>
      <c r="C1429" s="10">
        <v>2.397</v>
      </c>
      <c r="D1429" s="10">
        <v>4.1</v>
      </c>
      <c r="E1429" s="10">
        <v>32.6</v>
      </c>
      <c r="F1429" s="10">
        <v>7</v>
      </c>
      <c r="G1429" s="10">
        <v>0</v>
      </c>
      <c r="H1429" s="10">
        <v>5</v>
      </c>
      <c r="I1429" s="10">
        <v>3</v>
      </c>
      <c r="J1429">
        <v>2017</v>
      </c>
      <c r="K1429">
        <v>11</v>
      </c>
      <c r="L1429">
        <v>276</v>
      </c>
      <c r="M1429" t="s">
        <v>65</v>
      </c>
    </row>
    <row r="1430" spans="1:13">
      <c r="A1430" t="s">
        <v>1487</v>
      </c>
      <c r="B1430" s="10">
        <v>5.67</v>
      </c>
      <c r="C1430" s="10">
        <v>1.396</v>
      </c>
      <c r="D1430" s="10">
        <v>3</v>
      </c>
      <c r="E1430" s="10">
        <v>30</v>
      </c>
      <c r="F1430" s="10">
        <v>2</v>
      </c>
      <c r="G1430" s="10">
        <v>0</v>
      </c>
      <c r="H1430" s="10">
        <v>9</v>
      </c>
      <c r="I1430" s="10">
        <v>3</v>
      </c>
      <c r="J1430">
        <v>2017</v>
      </c>
      <c r="K1430">
        <v>11</v>
      </c>
      <c r="L1430">
        <v>276</v>
      </c>
      <c r="M1430" t="s">
        <v>53</v>
      </c>
    </row>
    <row r="1431" spans="1:13">
      <c r="A1431" t="s">
        <v>1488</v>
      </c>
      <c r="B1431" s="10">
        <v>10.33</v>
      </c>
      <c r="C1431" s="10">
        <v>7.66</v>
      </c>
      <c r="D1431" s="10">
        <v>1</v>
      </c>
      <c r="E1431" s="10">
        <v>25.4</v>
      </c>
      <c r="F1431" s="10">
        <v>3</v>
      </c>
      <c r="G1431" s="10">
        <v>0</v>
      </c>
      <c r="H1431" s="10">
        <v>5</v>
      </c>
      <c r="I1431" s="10">
        <v>2</v>
      </c>
      <c r="J1431">
        <v>2017</v>
      </c>
      <c r="K1431">
        <v>12</v>
      </c>
      <c r="L1431">
        <v>276</v>
      </c>
      <c r="M1431" t="s">
        <v>55</v>
      </c>
    </row>
    <row r="1432" spans="1:13">
      <c r="A1432" t="s">
        <v>1489</v>
      </c>
      <c r="B1432" s="10">
        <v>4.33</v>
      </c>
      <c r="C1432" s="10">
        <v>3.67</v>
      </c>
      <c r="D1432" s="10">
        <v>5</v>
      </c>
      <c r="E1432" s="10">
        <v>22</v>
      </c>
      <c r="F1432" s="10">
        <v>11</v>
      </c>
      <c r="G1432" s="10">
        <v>0</v>
      </c>
      <c r="H1432" s="10">
        <v>0</v>
      </c>
      <c r="I1432" s="10">
        <v>1.5</v>
      </c>
      <c r="J1432">
        <v>2017</v>
      </c>
      <c r="K1432">
        <v>12</v>
      </c>
      <c r="L1432">
        <v>276</v>
      </c>
      <c r="M1432" t="s">
        <v>57</v>
      </c>
    </row>
    <row r="1433" spans="1:13">
      <c r="A1433" t="s">
        <v>1490</v>
      </c>
      <c r="B1433" s="10">
        <v>5.33</v>
      </c>
      <c r="C1433" s="10">
        <v>6.023</v>
      </c>
      <c r="D1433" s="10">
        <v>3</v>
      </c>
      <c r="E1433" s="10">
        <v>33.4</v>
      </c>
      <c r="F1433" s="10">
        <v>3</v>
      </c>
      <c r="G1433" s="10">
        <v>0</v>
      </c>
      <c r="H1433" s="10">
        <v>6</v>
      </c>
      <c r="I1433" s="10">
        <v>2</v>
      </c>
      <c r="J1433">
        <v>2017</v>
      </c>
      <c r="K1433">
        <v>12</v>
      </c>
      <c r="L1433">
        <v>276</v>
      </c>
      <c r="M1433" t="s">
        <v>59</v>
      </c>
    </row>
    <row r="1434" spans="1:13">
      <c r="A1434" t="s">
        <v>1491</v>
      </c>
      <c r="B1434" s="10">
        <v>1</v>
      </c>
      <c r="C1434" s="10">
        <v>2.363</v>
      </c>
      <c r="D1434" s="10">
        <v>4</v>
      </c>
      <c r="E1434" s="10">
        <v>15.6</v>
      </c>
      <c r="F1434" s="10">
        <v>3</v>
      </c>
      <c r="G1434" s="10">
        <v>0</v>
      </c>
      <c r="H1434" s="10">
        <v>13</v>
      </c>
      <c r="I1434" s="10">
        <v>3</v>
      </c>
      <c r="J1434">
        <v>2017</v>
      </c>
      <c r="K1434">
        <v>12</v>
      </c>
      <c r="L1434">
        <v>276</v>
      </c>
      <c r="M1434" t="s">
        <v>61</v>
      </c>
    </row>
    <row r="1435" spans="1:13">
      <c r="A1435" t="s">
        <v>1492</v>
      </c>
      <c r="B1435" s="10">
        <v>3.68</v>
      </c>
      <c r="C1435" s="10">
        <v>3.165</v>
      </c>
      <c r="D1435" s="10">
        <v>4.05</v>
      </c>
      <c r="E1435" s="10">
        <v>17.1</v>
      </c>
      <c r="F1435" s="10">
        <v>1</v>
      </c>
      <c r="G1435" s="10">
        <v>0</v>
      </c>
      <c r="H1435" s="10">
        <v>6</v>
      </c>
      <c r="I1435" s="10">
        <v>2</v>
      </c>
      <c r="J1435">
        <v>2017</v>
      </c>
      <c r="K1435">
        <v>12</v>
      </c>
      <c r="L1435">
        <v>276</v>
      </c>
      <c r="M1435" t="s">
        <v>63</v>
      </c>
    </row>
    <row r="1436" spans="1:13">
      <c r="A1436" t="s">
        <v>1493</v>
      </c>
      <c r="B1436" s="10">
        <v>4</v>
      </c>
      <c r="C1436" s="10">
        <v>4.396</v>
      </c>
      <c r="D1436" s="10">
        <v>2.1</v>
      </c>
      <c r="E1436" s="10">
        <v>29.2</v>
      </c>
      <c r="F1436" s="10">
        <v>12</v>
      </c>
      <c r="G1436" s="10">
        <v>0</v>
      </c>
      <c r="H1436" s="10">
        <v>6</v>
      </c>
      <c r="I1436" s="10">
        <v>1</v>
      </c>
      <c r="J1436">
        <v>2017</v>
      </c>
      <c r="K1436">
        <v>12</v>
      </c>
      <c r="L1436">
        <v>276</v>
      </c>
      <c r="M1436" t="s">
        <v>65</v>
      </c>
    </row>
    <row r="1437" spans="1:13">
      <c r="A1437" t="s">
        <v>1494</v>
      </c>
      <c r="B1437" s="10">
        <v>3</v>
      </c>
      <c r="C1437" s="10">
        <v>2.66</v>
      </c>
      <c r="D1437" s="10">
        <v>5.45</v>
      </c>
      <c r="E1437" s="10">
        <v>24.9</v>
      </c>
      <c r="F1437" s="10">
        <v>8</v>
      </c>
      <c r="G1437" s="10">
        <v>0</v>
      </c>
      <c r="H1437" s="10">
        <v>7</v>
      </c>
      <c r="I1437" s="10">
        <v>1</v>
      </c>
      <c r="J1437">
        <v>2017</v>
      </c>
      <c r="K1437">
        <v>12</v>
      </c>
      <c r="L1437">
        <v>276</v>
      </c>
      <c r="M1437" t="s">
        <v>53</v>
      </c>
    </row>
    <row r="1438" spans="1:13">
      <c r="A1438" t="s">
        <v>1495</v>
      </c>
      <c r="B1438" s="10">
        <v>5.33</v>
      </c>
      <c r="C1438" s="10">
        <v>2.51</v>
      </c>
      <c r="D1438" s="10">
        <v>3.5</v>
      </c>
      <c r="E1438" s="10">
        <v>44.2</v>
      </c>
      <c r="F1438" s="10">
        <v>5</v>
      </c>
      <c r="G1438" s="10">
        <v>1</v>
      </c>
      <c r="H1438" s="10">
        <v>7</v>
      </c>
      <c r="I1438" s="10">
        <v>2</v>
      </c>
      <c r="J1438">
        <v>2017</v>
      </c>
      <c r="K1438">
        <v>12</v>
      </c>
      <c r="L1438">
        <v>276</v>
      </c>
      <c r="M1438" t="s">
        <v>55</v>
      </c>
    </row>
    <row r="1439" spans="1:13">
      <c r="A1439" t="s">
        <v>1496</v>
      </c>
      <c r="B1439" s="10">
        <v>5</v>
      </c>
      <c r="C1439" s="10">
        <v>2.17</v>
      </c>
      <c r="D1439" s="10">
        <v>5.4</v>
      </c>
      <c r="E1439" s="10">
        <v>36.6</v>
      </c>
      <c r="F1439" s="10">
        <v>14</v>
      </c>
      <c r="G1439" s="10">
        <v>0</v>
      </c>
      <c r="H1439" s="10">
        <v>7</v>
      </c>
      <c r="I1439" s="10">
        <v>2</v>
      </c>
      <c r="J1439">
        <v>2017</v>
      </c>
      <c r="K1439">
        <v>12</v>
      </c>
      <c r="L1439">
        <v>276</v>
      </c>
      <c r="M1439" t="s">
        <v>57</v>
      </c>
    </row>
    <row r="1440" spans="1:13">
      <c r="A1440" t="s">
        <v>1497</v>
      </c>
      <c r="B1440" s="10">
        <v>5</v>
      </c>
      <c r="C1440" s="10">
        <v>2.802</v>
      </c>
      <c r="D1440" s="10">
        <v>5</v>
      </c>
      <c r="E1440" s="10">
        <v>48</v>
      </c>
      <c r="F1440" s="10">
        <v>7</v>
      </c>
      <c r="G1440" s="10">
        <v>0</v>
      </c>
      <c r="H1440" s="10">
        <v>18</v>
      </c>
      <c r="I1440" s="10">
        <v>2</v>
      </c>
      <c r="J1440">
        <v>2017</v>
      </c>
      <c r="K1440">
        <v>12</v>
      </c>
      <c r="L1440">
        <v>276</v>
      </c>
      <c r="M1440" t="s">
        <v>59</v>
      </c>
    </row>
    <row r="1441" spans="1:13">
      <c r="A1441" t="s">
        <v>1498</v>
      </c>
      <c r="B1441" s="10">
        <v>8</v>
      </c>
      <c r="C1441" s="10">
        <v>6</v>
      </c>
      <c r="D1441" s="10">
        <v>5.5</v>
      </c>
      <c r="E1441" s="10">
        <v>34.4</v>
      </c>
      <c r="F1441" s="10">
        <v>10</v>
      </c>
      <c r="G1441" s="10">
        <v>0</v>
      </c>
      <c r="H1441" s="10">
        <v>6</v>
      </c>
      <c r="I1441" s="10">
        <v>1</v>
      </c>
      <c r="J1441">
        <v>2017</v>
      </c>
      <c r="K1441">
        <v>12</v>
      </c>
      <c r="L1441">
        <v>276</v>
      </c>
      <c r="M1441" t="s">
        <v>61</v>
      </c>
    </row>
    <row r="1442" spans="1:13">
      <c r="A1442" t="s">
        <v>1499</v>
      </c>
      <c r="B1442" s="10">
        <v>1.33</v>
      </c>
      <c r="C1442" s="10">
        <v>5.066</v>
      </c>
      <c r="D1442" s="10">
        <v>3</v>
      </c>
      <c r="E1442" s="10">
        <v>44</v>
      </c>
      <c r="F1442" s="10">
        <v>6</v>
      </c>
      <c r="G1442" s="10">
        <v>1</v>
      </c>
      <c r="H1442" s="10">
        <v>12</v>
      </c>
      <c r="I1442" s="10">
        <v>2</v>
      </c>
      <c r="J1442">
        <v>2017</v>
      </c>
      <c r="K1442">
        <v>12</v>
      </c>
      <c r="L1442">
        <v>276</v>
      </c>
      <c r="M1442" t="s">
        <v>63</v>
      </c>
    </row>
    <row r="1443" spans="1:13">
      <c r="A1443" t="s">
        <v>1500</v>
      </c>
      <c r="B1443" s="10">
        <v>4</v>
      </c>
      <c r="C1443" s="10">
        <v>3.34</v>
      </c>
      <c r="D1443" s="10">
        <v>2.3</v>
      </c>
      <c r="E1443" s="10">
        <v>29</v>
      </c>
      <c r="F1443" s="10">
        <v>9</v>
      </c>
      <c r="G1443" s="10">
        <v>0</v>
      </c>
      <c r="H1443" s="10">
        <v>0</v>
      </c>
      <c r="I1443" s="10">
        <v>1</v>
      </c>
      <c r="J1443">
        <v>2017</v>
      </c>
      <c r="K1443">
        <v>12</v>
      </c>
      <c r="L1443">
        <v>276</v>
      </c>
      <c r="M1443" t="s">
        <v>65</v>
      </c>
    </row>
    <row r="1444" spans="1:13">
      <c r="A1444" t="s">
        <v>1501</v>
      </c>
      <c r="B1444" s="10">
        <v>3</v>
      </c>
      <c r="C1444" s="10">
        <v>3</v>
      </c>
      <c r="D1444" s="10">
        <v>3</v>
      </c>
      <c r="E1444" s="10">
        <v>30</v>
      </c>
      <c r="F1444" s="10">
        <v>5</v>
      </c>
      <c r="G1444" s="10">
        <v>0</v>
      </c>
      <c r="H1444" s="10">
        <v>0</v>
      </c>
      <c r="I1444" s="10">
        <v>3</v>
      </c>
      <c r="J1444">
        <v>2017</v>
      </c>
      <c r="K1444">
        <v>12</v>
      </c>
      <c r="L1444">
        <v>276</v>
      </c>
      <c r="M1444" t="s">
        <v>53</v>
      </c>
    </row>
    <row r="1445" spans="1:13">
      <c r="A1445" t="s">
        <v>1502</v>
      </c>
      <c r="B1445" s="10">
        <v>4.18</v>
      </c>
      <c r="C1445" s="10">
        <v>5.01</v>
      </c>
      <c r="D1445" s="10">
        <v>2.5</v>
      </c>
      <c r="E1445" s="10">
        <v>29</v>
      </c>
      <c r="F1445" s="10">
        <v>6</v>
      </c>
      <c r="G1445" s="10">
        <v>0</v>
      </c>
      <c r="H1445" s="10">
        <v>0</v>
      </c>
      <c r="I1445" s="10">
        <v>1</v>
      </c>
      <c r="J1445">
        <v>2017</v>
      </c>
      <c r="K1445">
        <v>12</v>
      </c>
      <c r="L1445">
        <v>276</v>
      </c>
      <c r="M1445" t="s">
        <v>55</v>
      </c>
    </row>
    <row r="1446" spans="1:13">
      <c r="A1446" t="s">
        <v>1503</v>
      </c>
      <c r="B1446" s="10">
        <v>11</v>
      </c>
      <c r="C1446" s="10">
        <v>6</v>
      </c>
      <c r="D1446" s="10">
        <v>3</v>
      </c>
      <c r="E1446" s="10">
        <v>36.6</v>
      </c>
      <c r="F1446" s="10">
        <v>6</v>
      </c>
      <c r="G1446" s="10">
        <v>1</v>
      </c>
      <c r="H1446" s="10">
        <v>1</v>
      </c>
      <c r="I1446" s="10">
        <v>2</v>
      </c>
      <c r="J1446">
        <v>2017</v>
      </c>
      <c r="K1446">
        <v>12</v>
      </c>
      <c r="L1446">
        <v>276</v>
      </c>
      <c r="M1446" t="s">
        <v>57</v>
      </c>
    </row>
    <row r="1447" spans="1:13">
      <c r="A1447" t="s">
        <v>1504</v>
      </c>
      <c r="B1447" s="10">
        <v>7</v>
      </c>
      <c r="C1447" s="10">
        <v>0.33</v>
      </c>
      <c r="D1447" s="10">
        <v>5.1</v>
      </c>
      <c r="E1447" s="10">
        <v>37</v>
      </c>
      <c r="F1447" s="10">
        <v>11</v>
      </c>
      <c r="G1447" s="10">
        <v>0</v>
      </c>
      <c r="H1447" s="10">
        <v>15</v>
      </c>
      <c r="I1447" s="10">
        <v>2</v>
      </c>
      <c r="J1447">
        <v>2017</v>
      </c>
      <c r="K1447">
        <v>12</v>
      </c>
      <c r="L1447">
        <v>276</v>
      </c>
      <c r="M1447" t="s">
        <v>59</v>
      </c>
    </row>
    <row r="1448" spans="1:13">
      <c r="A1448" t="s">
        <v>1505</v>
      </c>
      <c r="B1448" s="10">
        <v>0.66</v>
      </c>
      <c r="C1448" s="10">
        <v>4.67</v>
      </c>
      <c r="D1448" s="10">
        <v>6</v>
      </c>
      <c r="E1448" s="10">
        <v>31.6</v>
      </c>
      <c r="F1448" s="10">
        <v>7</v>
      </c>
      <c r="G1448" s="10">
        <v>0</v>
      </c>
      <c r="H1448" s="10">
        <v>8</v>
      </c>
      <c r="I1448" s="10">
        <v>0</v>
      </c>
      <c r="J1448">
        <v>2017</v>
      </c>
      <c r="K1448">
        <v>12</v>
      </c>
      <c r="L1448">
        <v>276</v>
      </c>
      <c r="M1448" t="s">
        <v>61</v>
      </c>
    </row>
    <row r="1449" spans="1:13">
      <c r="A1449" t="s">
        <v>1506</v>
      </c>
      <c r="B1449" s="10">
        <v>0</v>
      </c>
      <c r="C1449" s="10">
        <v>0</v>
      </c>
      <c r="D1449" s="10">
        <v>0</v>
      </c>
      <c r="E1449" s="10">
        <v>0</v>
      </c>
      <c r="F1449" s="10">
        <v>0</v>
      </c>
      <c r="G1449" s="10">
        <v>0</v>
      </c>
      <c r="H1449" s="10">
        <v>0</v>
      </c>
      <c r="I1449" s="10">
        <v>0</v>
      </c>
      <c r="J1449">
        <v>2017</v>
      </c>
      <c r="K1449">
        <v>12</v>
      </c>
      <c r="L1449">
        <v>276</v>
      </c>
      <c r="M1449" t="s">
        <v>63</v>
      </c>
    </row>
    <row r="1450" spans="1:13">
      <c r="A1450" t="s">
        <v>1507</v>
      </c>
      <c r="B1450" s="10">
        <v>2</v>
      </c>
      <c r="C1450" s="10">
        <v>3.396</v>
      </c>
      <c r="D1450" s="10">
        <v>3</v>
      </c>
      <c r="E1450" s="10">
        <v>27.2</v>
      </c>
      <c r="F1450" s="10">
        <v>3</v>
      </c>
      <c r="G1450" s="10">
        <v>0</v>
      </c>
      <c r="H1450" s="10">
        <v>11</v>
      </c>
      <c r="I1450" s="10">
        <v>2</v>
      </c>
      <c r="J1450">
        <v>2017</v>
      </c>
      <c r="K1450">
        <v>12</v>
      </c>
      <c r="L1450">
        <v>276</v>
      </c>
      <c r="M1450" t="s">
        <v>65</v>
      </c>
    </row>
    <row r="1451" spans="1:13">
      <c r="A1451" t="s">
        <v>1508</v>
      </c>
      <c r="B1451" s="10">
        <v>2.02</v>
      </c>
      <c r="C1451" s="10">
        <v>2.66</v>
      </c>
      <c r="D1451" s="10">
        <v>4</v>
      </c>
      <c r="E1451" s="10">
        <v>23.4</v>
      </c>
      <c r="F1451" s="10">
        <v>5</v>
      </c>
      <c r="G1451" s="10">
        <v>0</v>
      </c>
      <c r="H1451" s="10">
        <v>6</v>
      </c>
      <c r="I1451" s="10">
        <v>0</v>
      </c>
      <c r="J1451">
        <v>2017</v>
      </c>
      <c r="K1451">
        <v>12</v>
      </c>
      <c r="L1451">
        <v>276</v>
      </c>
      <c r="M1451" t="s">
        <v>53</v>
      </c>
    </row>
    <row r="1452" spans="1:13">
      <c r="A1452" t="s">
        <v>1509</v>
      </c>
      <c r="B1452" s="10">
        <v>5.99</v>
      </c>
      <c r="C1452" s="10">
        <v>2.769</v>
      </c>
      <c r="D1452" s="10">
        <v>1.5</v>
      </c>
      <c r="E1452" s="10">
        <v>26</v>
      </c>
      <c r="F1452" s="10">
        <v>13</v>
      </c>
      <c r="G1452" s="10">
        <v>0</v>
      </c>
      <c r="H1452" s="10">
        <v>1</v>
      </c>
      <c r="I1452" s="10">
        <v>1.6</v>
      </c>
      <c r="J1452">
        <v>2017</v>
      </c>
      <c r="K1452">
        <v>12</v>
      </c>
      <c r="L1452">
        <v>276</v>
      </c>
      <c r="M1452" t="s">
        <v>55</v>
      </c>
    </row>
    <row r="1453" spans="1:13">
      <c r="A1453" t="s">
        <v>1510</v>
      </c>
      <c r="B1453" s="10">
        <v>6</v>
      </c>
      <c r="C1453" s="10">
        <v>4.505</v>
      </c>
      <c r="D1453" s="10">
        <v>6.1</v>
      </c>
      <c r="E1453" s="10">
        <v>28.3</v>
      </c>
      <c r="F1453" s="10">
        <v>6</v>
      </c>
      <c r="G1453" s="10">
        <v>0</v>
      </c>
      <c r="H1453" s="10">
        <v>1</v>
      </c>
      <c r="I1453" s="10">
        <v>1</v>
      </c>
      <c r="J1453">
        <v>2017</v>
      </c>
      <c r="K1453">
        <v>12</v>
      </c>
      <c r="L1453">
        <v>276</v>
      </c>
      <c r="M1453" t="s">
        <v>57</v>
      </c>
    </row>
    <row r="1454" spans="1:13">
      <c r="A1454" t="s">
        <v>1511</v>
      </c>
      <c r="B1454" s="10">
        <v>7.66</v>
      </c>
      <c r="C1454" s="10">
        <v>3.46</v>
      </c>
      <c r="D1454" s="10">
        <v>2</v>
      </c>
      <c r="E1454" s="10">
        <v>32.2</v>
      </c>
      <c r="F1454" s="10">
        <v>4</v>
      </c>
      <c r="G1454" s="10">
        <v>0</v>
      </c>
      <c r="H1454" s="10">
        <v>5</v>
      </c>
      <c r="I1454" s="10">
        <v>1</v>
      </c>
      <c r="J1454">
        <v>2017</v>
      </c>
      <c r="K1454">
        <v>12</v>
      </c>
      <c r="L1454">
        <v>276</v>
      </c>
      <c r="M1454" t="s">
        <v>59</v>
      </c>
    </row>
    <row r="1455" spans="1:13">
      <c r="A1455" t="s">
        <v>1512</v>
      </c>
      <c r="B1455" s="10">
        <v>1</v>
      </c>
      <c r="C1455" s="10">
        <v>0.62</v>
      </c>
      <c r="D1455" s="10">
        <v>4.1</v>
      </c>
      <c r="E1455" s="10">
        <v>15.53</v>
      </c>
      <c r="F1455" s="10">
        <v>4</v>
      </c>
      <c r="G1455" s="10">
        <v>0</v>
      </c>
      <c r="H1455" s="10">
        <v>6</v>
      </c>
      <c r="I1455" s="10">
        <v>2</v>
      </c>
      <c r="J1455">
        <v>2017</v>
      </c>
      <c r="K1455">
        <v>12</v>
      </c>
      <c r="L1455">
        <v>276</v>
      </c>
      <c r="M1455" t="s">
        <v>61</v>
      </c>
    </row>
    <row r="1456" spans="1:13">
      <c r="A1456" t="s">
        <v>1513</v>
      </c>
      <c r="B1456" s="10">
        <v>2.99</v>
      </c>
      <c r="C1456" s="10">
        <v>4.67</v>
      </c>
      <c r="D1456" s="10">
        <v>3.5</v>
      </c>
      <c r="E1456" s="10">
        <v>56.9</v>
      </c>
      <c r="F1456" s="10">
        <v>9</v>
      </c>
      <c r="G1456" s="10">
        <v>0</v>
      </c>
      <c r="H1456" s="10">
        <v>9</v>
      </c>
      <c r="I1456" s="10">
        <v>2</v>
      </c>
      <c r="J1456">
        <v>2017</v>
      </c>
      <c r="K1456">
        <v>12</v>
      </c>
      <c r="L1456">
        <v>276</v>
      </c>
      <c r="M1456" t="s">
        <v>63</v>
      </c>
    </row>
    <row r="1457" spans="1:13">
      <c r="A1457" t="s">
        <v>1514</v>
      </c>
      <c r="B1457" s="10">
        <v>7</v>
      </c>
      <c r="C1457" s="10">
        <v>4.814</v>
      </c>
      <c r="D1457" s="10">
        <v>5.15</v>
      </c>
      <c r="E1457" s="10">
        <v>32.7</v>
      </c>
      <c r="F1457" s="10">
        <v>9</v>
      </c>
      <c r="G1457" s="10">
        <v>0</v>
      </c>
      <c r="H1457" s="10">
        <v>3</v>
      </c>
      <c r="I1457" s="10">
        <v>0</v>
      </c>
      <c r="J1457">
        <v>2017</v>
      </c>
      <c r="K1457">
        <v>12</v>
      </c>
      <c r="L1457">
        <v>276</v>
      </c>
      <c r="M1457" t="s">
        <v>65</v>
      </c>
    </row>
    <row r="1458" spans="1:13">
      <c r="A1458" t="s">
        <v>1515</v>
      </c>
      <c r="B1458" s="10">
        <v>7.33</v>
      </c>
      <c r="C1458" s="10">
        <v>3.462</v>
      </c>
      <c r="D1458" s="10">
        <v>5.1</v>
      </c>
      <c r="E1458" s="10">
        <v>35.35</v>
      </c>
      <c r="F1458" s="10">
        <v>12</v>
      </c>
      <c r="G1458" s="10">
        <v>3</v>
      </c>
      <c r="H1458" s="10">
        <v>24</v>
      </c>
      <c r="I1458" s="10">
        <v>1</v>
      </c>
      <c r="J1458">
        <v>2017</v>
      </c>
      <c r="K1458">
        <v>12</v>
      </c>
      <c r="L1458">
        <v>276</v>
      </c>
      <c r="M1458" t="s">
        <v>53</v>
      </c>
    </row>
    <row r="1459" spans="1:13">
      <c r="A1459" t="s">
        <v>1516</v>
      </c>
      <c r="B1459" s="10">
        <v>9.34</v>
      </c>
      <c r="C1459" s="10">
        <v>2.066</v>
      </c>
      <c r="D1459" s="10">
        <v>2.5</v>
      </c>
      <c r="E1459" s="10">
        <v>41.4</v>
      </c>
      <c r="F1459" s="10">
        <v>17</v>
      </c>
      <c r="G1459" s="10">
        <v>0</v>
      </c>
      <c r="H1459" s="10">
        <v>11</v>
      </c>
      <c r="I1459" s="10">
        <v>2</v>
      </c>
      <c r="J1459">
        <v>2017</v>
      </c>
      <c r="K1459">
        <v>12</v>
      </c>
      <c r="L1459">
        <v>276</v>
      </c>
      <c r="M1459" t="s">
        <v>55</v>
      </c>
    </row>
    <row r="1460" spans="1:13">
      <c r="A1460" t="s">
        <v>1517</v>
      </c>
      <c r="B1460" s="10">
        <v>8.68</v>
      </c>
      <c r="C1460" s="10">
        <v>8.363</v>
      </c>
      <c r="D1460" s="10">
        <v>4</v>
      </c>
      <c r="E1460" s="10">
        <v>50</v>
      </c>
      <c r="F1460" s="10">
        <v>8</v>
      </c>
      <c r="G1460" s="10">
        <v>0</v>
      </c>
      <c r="H1460" s="10">
        <v>10</v>
      </c>
      <c r="I1460" s="10">
        <v>3</v>
      </c>
      <c r="J1460">
        <v>2017</v>
      </c>
      <c r="K1460">
        <v>12</v>
      </c>
      <c r="L1460">
        <v>276</v>
      </c>
      <c r="M1460" t="s">
        <v>57</v>
      </c>
    </row>
    <row r="1461" spans="1:13">
      <c r="A1461" t="s">
        <v>1518</v>
      </c>
      <c r="B1461" s="10">
        <v>13.83</v>
      </c>
      <c r="C1461" s="10">
        <v>10.043</v>
      </c>
      <c r="D1461" s="10">
        <v>5.3</v>
      </c>
      <c r="E1461" s="10">
        <v>70.2</v>
      </c>
      <c r="F1461" s="10">
        <v>9</v>
      </c>
      <c r="G1461" s="10">
        <v>0</v>
      </c>
      <c r="H1461" s="10">
        <v>0</v>
      </c>
      <c r="I1461" s="10">
        <v>1</v>
      </c>
      <c r="J1461">
        <v>2017</v>
      </c>
      <c r="K1461">
        <v>12</v>
      </c>
      <c r="L1461">
        <v>276</v>
      </c>
      <c r="M1461" t="s">
        <v>59</v>
      </c>
    </row>
    <row r="1462" spans="1:13">
      <c r="A1462" t="s">
        <v>1519</v>
      </c>
      <c r="B1462" s="10">
        <v>0</v>
      </c>
      <c r="C1462" s="10">
        <v>0</v>
      </c>
      <c r="D1462" s="10">
        <v>0</v>
      </c>
      <c r="E1462" s="10">
        <v>0</v>
      </c>
      <c r="F1462" s="10">
        <v>0</v>
      </c>
      <c r="G1462" s="10">
        <v>0</v>
      </c>
      <c r="H1462" s="10">
        <v>0</v>
      </c>
      <c r="I1462" s="10">
        <v>0</v>
      </c>
      <c r="J1462">
        <v>2018</v>
      </c>
      <c r="K1462">
        <v>1</v>
      </c>
      <c r="L1462">
        <v>276</v>
      </c>
      <c r="M1462" t="s">
        <v>61</v>
      </c>
    </row>
    <row r="1463" spans="1:13">
      <c r="A1463" t="s">
        <v>1520</v>
      </c>
      <c r="B1463" s="10">
        <v>1</v>
      </c>
      <c r="C1463" s="10">
        <v>5.33</v>
      </c>
      <c r="D1463" s="10">
        <v>2.25</v>
      </c>
      <c r="E1463" s="10">
        <v>38</v>
      </c>
      <c r="F1463" s="10">
        <v>3</v>
      </c>
      <c r="G1463" s="10">
        <v>0</v>
      </c>
      <c r="H1463" s="10">
        <v>2</v>
      </c>
      <c r="I1463" s="10">
        <v>2</v>
      </c>
      <c r="J1463">
        <v>2018</v>
      </c>
      <c r="K1463">
        <v>1</v>
      </c>
      <c r="L1463">
        <v>276</v>
      </c>
      <c r="M1463" t="s">
        <v>63</v>
      </c>
    </row>
    <row r="1464" spans="1:13">
      <c r="A1464" t="s">
        <v>1521</v>
      </c>
      <c r="B1464" s="10">
        <v>4.67</v>
      </c>
      <c r="C1464" s="10">
        <v>2.397</v>
      </c>
      <c r="D1464" s="10">
        <v>3</v>
      </c>
      <c r="E1464" s="10">
        <v>54</v>
      </c>
      <c r="F1464" s="10">
        <v>4</v>
      </c>
      <c r="G1464" s="10">
        <v>0</v>
      </c>
      <c r="H1464" s="10">
        <v>10</v>
      </c>
      <c r="I1464" s="10">
        <v>3</v>
      </c>
      <c r="J1464">
        <v>2018</v>
      </c>
      <c r="K1464">
        <v>1</v>
      </c>
      <c r="L1464">
        <v>276</v>
      </c>
      <c r="M1464" t="s">
        <v>65</v>
      </c>
    </row>
    <row r="1465" spans="1:13">
      <c r="A1465" t="s">
        <v>1522</v>
      </c>
      <c r="B1465" s="10">
        <v>6</v>
      </c>
      <c r="C1465" s="10">
        <v>1.099</v>
      </c>
      <c r="D1465" s="10">
        <v>1</v>
      </c>
      <c r="E1465" s="10">
        <v>39.2</v>
      </c>
      <c r="F1465" s="10">
        <v>9</v>
      </c>
      <c r="G1465" s="10">
        <v>0</v>
      </c>
      <c r="H1465" s="10">
        <v>1</v>
      </c>
      <c r="I1465" s="10">
        <v>2</v>
      </c>
      <c r="J1465">
        <v>2018</v>
      </c>
      <c r="K1465">
        <v>1</v>
      </c>
      <c r="L1465">
        <v>276</v>
      </c>
      <c r="M1465" t="s">
        <v>53</v>
      </c>
    </row>
    <row r="1466" spans="1:13">
      <c r="A1466" t="s">
        <v>1523</v>
      </c>
      <c r="B1466" s="10">
        <v>12</v>
      </c>
      <c r="C1466" s="10">
        <v>6.825</v>
      </c>
      <c r="D1466" s="10">
        <v>3</v>
      </c>
      <c r="E1466" s="10">
        <v>26</v>
      </c>
      <c r="F1466" s="10">
        <v>11</v>
      </c>
      <c r="G1466" s="10">
        <v>0</v>
      </c>
      <c r="H1466" s="10">
        <v>21</v>
      </c>
      <c r="I1466" s="10">
        <v>1</v>
      </c>
      <c r="J1466">
        <v>2018</v>
      </c>
      <c r="K1466">
        <v>1</v>
      </c>
      <c r="L1466">
        <v>276</v>
      </c>
      <c r="M1466" t="s">
        <v>55</v>
      </c>
    </row>
    <row r="1467" spans="1:13">
      <c r="A1467" t="s">
        <v>1524</v>
      </c>
      <c r="B1467" s="10">
        <v>4.66</v>
      </c>
      <c r="C1467" s="10">
        <v>1.66</v>
      </c>
      <c r="D1467" s="10">
        <v>2.2</v>
      </c>
      <c r="E1467" s="10">
        <v>73</v>
      </c>
      <c r="F1467" s="10">
        <v>4</v>
      </c>
      <c r="G1467" s="10">
        <v>0</v>
      </c>
      <c r="H1467" s="10">
        <v>5</v>
      </c>
      <c r="I1467" s="10">
        <v>8</v>
      </c>
      <c r="J1467">
        <v>2018</v>
      </c>
      <c r="K1467">
        <v>1</v>
      </c>
      <c r="L1467">
        <v>276</v>
      </c>
      <c r="M1467" t="s">
        <v>57</v>
      </c>
    </row>
    <row r="1468" spans="1:13">
      <c r="A1468" t="s">
        <v>1525</v>
      </c>
      <c r="B1468" s="10">
        <v>0</v>
      </c>
      <c r="C1468" s="10">
        <v>0</v>
      </c>
      <c r="D1468" s="10">
        <v>0</v>
      </c>
      <c r="E1468" s="10">
        <v>0</v>
      </c>
      <c r="F1468" s="10">
        <v>0</v>
      </c>
      <c r="G1468" s="10">
        <v>0</v>
      </c>
      <c r="H1468" s="10">
        <v>0</v>
      </c>
      <c r="I1468" s="10">
        <v>0</v>
      </c>
      <c r="J1468">
        <v>2018</v>
      </c>
      <c r="K1468">
        <v>1</v>
      </c>
      <c r="L1468">
        <v>276</v>
      </c>
      <c r="M1468" t="s">
        <v>59</v>
      </c>
    </row>
    <row r="1469" spans="1:13">
      <c r="A1469" t="s">
        <v>1526</v>
      </c>
      <c r="B1469" s="10">
        <v>2.33</v>
      </c>
      <c r="C1469" s="10">
        <v>6.53</v>
      </c>
      <c r="D1469" s="10">
        <v>4.2</v>
      </c>
      <c r="E1469" s="10">
        <v>29.6</v>
      </c>
      <c r="F1469" s="10">
        <v>5</v>
      </c>
      <c r="G1469" s="10">
        <v>0</v>
      </c>
      <c r="H1469" s="10">
        <v>0</v>
      </c>
      <c r="I1469" s="10">
        <v>1</v>
      </c>
      <c r="J1469">
        <v>2018</v>
      </c>
      <c r="K1469">
        <v>1</v>
      </c>
      <c r="L1469">
        <v>276</v>
      </c>
      <c r="M1469" t="s">
        <v>61</v>
      </c>
    </row>
    <row r="1470" spans="1:13">
      <c r="A1470" t="s">
        <v>1527</v>
      </c>
      <c r="B1470" s="10">
        <v>5.33</v>
      </c>
      <c r="C1470" s="10">
        <v>2.099</v>
      </c>
      <c r="D1470" s="10">
        <v>5</v>
      </c>
      <c r="E1470" s="10">
        <v>33.825</v>
      </c>
      <c r="F1470" s="10">
        <v>9</v>
      </c>
      <c r="G1470" s="10">
        <v>6</v>
      </c>
      <c r="H1470" s="10">
        <v>10</v>
      </c>
      <c r="I1470" s="10">
        <v>1</v>
      </c>
      <c r="J1470">
        <v>2018</v>
      </c>
      <c r="K1470">
        <v>1</v>
      </c>
      <c r="L1470">
        <v>276</v>
      </c>
      <c r="M1470" t="s">
        <v>63</v>
      </c>
    </row>
    <row r="1471" spans="1:13">
      <c r="A1471" t="s">
        <v>1528</v>
      </c>
      <c r="B1471" s="10">
        <v>9.33</v>
      </c>
      <c r="C1471" s="10">
        <v>7.406</v>
      </c>
      <c r="D1471" s="10">
        <v>6</v>
      </c>
      <c r="E1471" s="10">
        <v>44.5</v>
      </c>
      <c r="F1471" s="10">
        <v>12</v>
      </c>
      <c r="G1471" s="10">
        <v>0</v>
      </c>
      <c r="H1471" s="10">
        <v>6</v>
      </c>
      <c r="I1471" s="10">
        <v>2</v>
      </c>
      <c r="J1471">
        <v>2018</v>
      </c>
      <c r="K1471">
        <v>1</v>
      </c>
      <c r="L1471">
        <v>276</v>
      </c>
      <c r="M1471" t="s">
        <v>65</v>
      </c>
    </row>
    <row r="1472" spans="1:13">
      <c r="A1472" t="s">
        <v>1529</v>
      </c>
      <c r="B1472" s="10">
        <v>4</v>
      </c>
      <c r="C1472" s="10">
        <v>4.33</v>
      </c>
      <c r="D1472" s="10">
        <v>5.5</v>
      </c>
      <c r="E1472" s="10">
        <v>37.6</v>
      </c>
      <c r="F1472" s="10">
        <v>7</v>
      </c>
      <c r="G1472" s="10">
        <v>0</v>
      </c>
      <c r="H1472" s="10">
        <v>5</v>
      </c>
      <c r="I1472" s="10">
        <v>0</v>
      </c>
      <c r="J1472">
        <v>2018</v>
      </c>
      <c r="K1472">
        <v>1</v>
      </c>
      <c r="L1472">
        <v>276</v>
      </c>
      <c r="M1472" t="s">
        <v>53</v>
      </c>
    </row>
    <row r="1473" spans="1:13">
      <c r="A1473" t="s">
        <v>1530</v>
      </c>
      <c r="B1473" s="10">
        <v>5.66</v>
      </c>
      <c r="C1473" s="10">
        <v>1.33</v>
      </c>
      <c r="D1473" s="10">
        <v>3</v>
      </c>
      <c r="E1473" s="10">
        <v>42</v>
      </c>
      <c r="F1473" s="10">
        <v>11</v>
      </c>
      <c r="G1473" s="10">
        <v>0</v>
      </c>
      <c r="H1473" s="10">
        <v>10</v>
      </c>
      <c r="I1473" s="10">
        <v>0</v>
      </c>
      <c r="J1473">
        <v>2018</v>
      </c>
      <c r="K1473">
        <v>1</v>
      </c>
      <c r="L1473">
        <v>276</v>
      </c>
      <c r="M1473" t="s">
        <v>55</v>
      </c>
    </row>
    <row r="1474" spans="1:13">
      <c r="A1474" t="s">
        <v>1531</v>
      </c>
      <c r="B1474" s="10">
        <v>3.5</v>
      </c>
      <c r="C1474" s="10">
        <v>3.495</v>
      </c>
      <c r="D1474" s="10">
        <v>3.2</v>
      </c>
      <c r="E1474" s="10">
        <v>32</v>
      </c>
      <c r="F1474" s="10">
        <v>6</v>
      </c>
      <c r="G1474" s="10">
        <v>0</v>
      </c>
      <c r="H1474" s="10">
        <v>8</v>
      </c>
      <c r="I1474" s="10">
        <v>1</v>
      </c>
      <c r="J1474">
        <v>2018</v>
      </c>
      <c r="K1474">
        <v>1</v>
      </c>
      <c r="L1474">
        <v>276</v>
      </c>
      <c r="M1474" t="s">
        <v>57</v>
      </c>
    </row>
    <row r="1475" spans="1:13">
      <c r="A1475" t="s">
        <v>1532</v>
      </c>
      <c r="B1475" s="10">
        <v>4.33</v>
      </c>
      <c r="C1475" s="10">
        <v>5.155</v>
      </c>
      <c r="D1475" s="10">
        <v>1.2</v>
      </c>
      <c r="E1475" s="10">
        <v>36</v>
      </c>
      <c r="F1475" s="10">
        <v>2</v>
      </c>
      <c r="G1475" s="10">
        <v>0</v>
      </c>
      <c r="H1475" s="10">
        <v>5</v>
      </c>
      <c r="I1475" s="10">
        <v>1</v>
      </c>
      <c r="J1475">
        <v>2018</v>
      </c>
      <c r="K1475">
        <v>1</v>
      </c>
      <c r="L1475">
        <v>276</v>
      </c>
      <c r="M1475" t="s">
        <v>59</v>
      </c>
    </row>
    <row r="1476" spans="1:13">
      <c r="A1476" t="s">
        <v>1533</v>
      </c>
      <c r="B1476" s="10">
        <v>6.99</v>
      </c>
      <c r="C1476" s="10">
        <v>2</v>
      </c>
      <c r="D1476" s="10">
        <v>5.1</v>
      </c>
      <c r="E1476" s="10">
        <v>26</v>
      </c>
      <c r="F1476" s="10">
        <v>8</v>
      </c>
      <c r="G1476" s="10">
        <v>0</v>
      </c>
      <c r="H1476" s="10">
        <v>15</v>
      </c>
      <c r="I1476" s="10">
        <v>2</v>
      </c>
      <c r="J1476">
        <v>2018</v>
      </c>
      <c r="K1476">
        <v>1</v>
      </c>
      <c r="L1476">
        <v>276</v>
      </c>
      <c r="M1476" t="s">
        <v>61</v>
      </c>
    </row>
    <row r="1477" spans="1:13">
      <c r="A1477" t="s">
        <v>1534</v>
      </c>
      <c r="B1477" s="10">
        <v>6.34</v>
      </c>
      <c r="C1477" s="10">
        <v>2.67</v>
      </c>
      <c r="D1477" s="10">
        <v>3</v>
      </c>
      <c r="E1477" s="10">
        <v>18</v>
      </c>
      <c r="F1477" s="10">
        <v>2</v>
      </c>
      <c r="G1477" s="10">
        <v>0</v>
      </c>
      <c r="H1477" s="10">
        <v>8</v>
      </c>
      <c r="I1477" s="10">
        <v>0</v>
      </c>
      <c r="J1477">
        <v>2018</v>
      </c>
      <c r="K1477">
        <v>1</v>
      </c>
      <c r="L1477">
        <v>276</v>
      </c>
      <c r="M1477" t="s">
        <v>63</v>
      </c>
    </row>
    <row r="1478" spans="1:13">
      <c r="A1478" t="s">
        <v>1535</v>
      </c>
      <c r="B1478" s="10">
        <v>6.67</v>
      </c>
      <c r="C1478" s="10">
        <v>2.85</v>
      </c>
      <c r="D1478" s="10">
        <v>2</v>
      </c>
      <c r="E1478" s="10">
        <v>30.2</v>
      </c>
      <c r="F1478" s="10">
        <v>10</v>
      </c>
      <c r="G1478" s="10">
        <v>2</v>
      </c>
      <c r="H1478" s="10">
        <v>41</v>
      </c>
      <c r="I1478" s="10">
        <v>2</v>
      </c>
      <c r="J1478">
        <v>2018</v>
      </c>
      <c r="K1478">
        <v>1</v>
      </c>
      <c r="L1478">
        <v>276</v>
      </c>
      <c r="M1478" t="s">
        <v>65</v>
      </c>
    </row>
    <row r="1479" spans="1:13">
      <c r="A1479" t="s">
        <v>1536</v>
      </c>
      <c r="B1479" s="10">
        <v>4.33</v>
      </c>
      <c r="C1479" s="10">
        <v>3.726</v>
      </c>
      <c r="D1479" s="10">
        <v>4</v>
      </c>
      <c r="E1479" s="10">
        <v>58.4</v>
      </c>
      <c r="F1479" s="10">
        <v>9</v>
      </c>
      <c r="G1479" s="10">
        <v>0</v>
      </c>
      <c r="H1479" s="10">
        <v>2</v>
      </c>
      <c r="I1479" s="10">
        <v>1</v>
      </c>
      <c r="J1479">
        <v>2018</v>
      </c>
      <c r="K1479">
        <v>1</v>
      </c>
      <c r="L1479">
        <v>276</v>
      </c>
      <c r="M1479" t="s">
        <v>53</v>
      </c>
    </row>
    <row r="1480" spans="1:13">
      <c r="A1480" t="s">
        <v>1537</v>
      </c>
      <c r="B1480" s="10">
        <v>6.33</v>
      </c>
      <c r="C1480" s="10">
        <v>2.528</v>
      </c>
      <c r="D1480" s="10">
        <v>3</v>
      </c>
      <c r="E1480" s="10">
        <v>23.4</v>
      </c>
      <c r="F1480" s="10">
        <v>12</v>
      </c>
      <c r="G1480" s="10">
        <v>0</v>
      </c>
      <c r="H1480" s="10">
        <v>3</v>
      </c>
      <c r="I1480" s="10">
        <v>1</v>
      </c>
      <c r="J1480">
        <v>2018</v>
      </c>
      <c r="K1480">
        <v>1</v>
      </c>
      <c r="L1480">
        <v>276</v>
      </c>
      <c r="M1480" t="s">
        <v>55</v>
      </c>
    </row>
    <row r="1481" spans="1:13">
      <c r="A1481" t="s">
        <v>1538</v>
      </c>
      <c r="B1481" s="10">
        <v>2.66</v>
      </c>
      <c r="C1481" s="10">
        <v>2.32</v>
      </c>
      <c r="D1481" s="10">
        <v>2</v>
      </c>
      <c r="E1481" s="10">
        <v>38</v>
      </c>
      <c r="F1481" s="10">
        <v>2</v>
      </c>
      <c r="G1481" s="10">
        <v>0</v>
      </c>
      <c r="H1481" s="10">
        <v>5</v>
      </c>
      <c r="I1481" s="10">
        <v>0</v>
      </c>
      <c r="J1481">
        <v>2018</v>
      </c>
      <c r="K1481">
        <v>1</v>
      </c>
      <c r="L1481">
        <v>276</v>
      </c>
      <c r="M1481" t="s">
        <v>57</v>
      </c>
    </row>
    <row r="1482" spans="1:13">
      <c r="A1482" t="s">
        <v>1539</v>
      </c>
      <c r="B1482" s="10">
        <v>3.33</v>
      </c>
      <c r="C1482" s="10">
        <v>3.53</v>
      </c>
      <c r="D1482" s="10">
        <v>3.4</v>
      </c>
      <c r="E1482" s="10">
        <v>32.8</v>
      </c>
      <c r="F1482" s="10">
        <v>6</v>
      </c>
      <c r="G1482" s="10">
        <v>0</v>
      </c>
      <c r="H1482" s="10">
        <v>1</v>
      </c>
      <c r="I1482" s="10">
        <v>3.5</v>
      </c>
      <c r="J1482">
        <v>2018</v>
      </c>
      <c r="K1482">
        <v>1</v>
      </c>
      <c r="L1482">
        <v>276</v>
      </c>
      <c r="M1482" t="s">
        <v>59</v>
      </c>
    </row>
    <row r="1483" spans="1:13">
      <c r="A1483" t="s">
        <v>1540</v>
      </c>
      <c r="B1483" s="10">
        <v>6</v>
      </c>
      <c r="C1483" s="10">
        <v>3.396</v>
      </c>
      <c r="D1483" s="10">
        <v>6</v>
      </c>
      <c r="E1483" s="10">
        <v>29</v>
      </c>
      <c r="F1483" s="10">
        <v>5</v>
      </c>
      <c r="G1483" s="10">
        <v>0</v>
      </c>
      <c r="H1483" s="10">
        <v>6</v>
      </c>
      <c r="I1483" s="10">
        <v>1</v>
      </c>
      <c r="J1483">
        <v>2018</v>
      </c>
      <c r="K1483">
        <v>1</v>
      </c>
      <c r="L1483">
        <v>276</v>
      </c>
      <c r="M1483" t="s">
        <v>61</v>
      </c>
    </row>
    <row r="1484" spans="1:13">
      <c r="A1484" t="s">
        <v>1541</v>
      </c>
      <c r="B1484" s="10">
        <v>1</v>
      </c>
      <c r="C1484" s="10">
        <v>1.066</v>
      </c>
      <c r="D1484" s="10">
        <v>4.6</v>
      </c>
      <c r="E1484" s="10">
        <v>38.6</v>
      </c>
      <c r="F1484" s="10">
        <v>4</v>
      </c>
      <c r="G1484" s="10">
        <v>0</v>
      </c>
      <c r="H1484" s="10">
        <v>5</v>
      </c>
      <c r="I1484" s="10">
        <v>1</v>
      </c>
      <c r="J1484">
        <v>2018</v>
      </c>
      <c r="K1484">
        <v>1</v>
      </c>
      <c r="L1484">
        <v>276</v>
      </c>
      <c r="M1484" t="s">
        <v>63</v>
      </c>
    </row>
    <row r="1485" spans="1:13">
      <c r="A1485" t="s">
        <v>1542</v>
      </c>
      <c r="B1485" s="10">
        <v>7.33</v>
      </c>
      <c r="C1485" s="10">
        <v>6.67</v>
      </c>
      <c r="D1485" s="10">
        <v>4</v>
      </c>
      <c r="E1485" s="10">
        <v>32</v>
      </c>
      <c r="F1485" s="10">
        <v>13</v>
      </c>
      <c r="G1485" s="10">
        <v>0</v>
      </c>
      <c r="H1485" s="10">
        <v>4</v>
      </c>
      <c r="I1485" s="10">
        <v>1</v>
      </c>
      <c r="J1485">
        <v>2018</v>
      </c>
      <c r="K1485">
        <v>1</v>
      </c>
      <c r="L1485">
        <v>276</v>
      </c>
      <c r="M1485" t="s">
        <v>65</v>
      </c>
    </row>
    <row r="1486" spans="1:13">
      <c r="A1486" t="s">
        <v>1543</v>
      </c>
      <c r="B1486" s="10">
        <v>3.66</v>
      </c>
      <c r="C1486" s="10">
        <v>5.132</v>
      </c>
      <c r="D1486" s="10">
        <v>4.2</v>
      </c>
      <c r="E1486" s="10">
        <v>36.8</v>
      </c>
      <c r="F1486" s="10">
        <v>15</v>
      </c>
      <c r="G1486" s="10">
        <v>0</v>
      </c>
      <c r="H1486" s="10">
        <v>7</v>
      </c>
      <c r="I1486" s="10">
        <v>3</v>
      </c>
      <c r="J1486">
        <v>2018</v>
      </c>
      <c r="K1486">
        <v>1</v>
      </c>
      <c r="L1486">
        <v>276</v>
      </c>
      <c r="M1486" t="s">
        <v>53</v>
      </c>
    </row>
    <row r="1487" spans="1:13">
      <c r="A1487" t="s">
        <v>1544</v>
      </c>
      <c r="B1487" s="10">
        <v>3</v>
      </c>
      <c r="C1487" s="10">
        <v>3.023</v>
      </c>
      <c r="D1487" s="10">
        <v>0.4</v>
      </c>
      <c r="E1487" s="10">
        <v>62.2</v>
      </c>
      <c r="F1487" s="10">
        <v>9</v>
      </c>
      <c r="G1487" s="10">
        <v>0</v>
      </c>
      <c r="H1487" s="10">
        <v>12</v>
      </c>
      <c r="I1487" s="10">
        <v>1</v>
      </c>
      <c r="J1487">
        <v>2018</v>
      </c>
      <c r="K1487">
        <v>1</v>
      </c>
      <c r="L1487">
        <v>276</v>
      </c>
      <c r="M1487" t="s">
        <v>55</v>
      </c>
    </row>
    <row r="1488" spans="1:13">
      <c r="A1488" t="s">
        <v>1545</v>
      </c>
      <c r="B1488" s="10">
        <v>3.34</v>
      </c>
      <c r="C1488" s="10">
        <v>7.33</v>
      </c>
      <c r="D1488" s="10">
        <v>3</v>
      </c>
      <c r="E1488" s="10">
        <v>52.9</v>
      </c>
      <c r="F1488" s="10">
        <v>7</v>
      </c>
      <c r="G1488" s="10">
        <v>0</v>
      </c>
      <c r="H1488" s="10">
        <v>3</v>
      </c>
      <c r="I1488" s="10">
        <v>4</v>
      </c>
      <c r="J1488">
        <v>2018</v>
      </c>
      <c r="K1488">
        <v>1</v>
      </c>
      <c r="L1488">
        <v>276</v>
      </c>
      <c r="M1488" t="s">
        <v>57</v>
      </c>
    </row>
    <row r="1489" spans="1:13">
      <c r="A1489" t="s">
        <v>1546</v>
      </c>
      <c r="B1489" s="10">
        <v>1.5</v>
      </c>
      <c r="C1489" s="10">
        <v>2.35</v>
      </c>
      <c r="D1489" s="10">
        <v>5.65</v>
      </c>
      <c r="E1489" s="10">
        <v>55</v>
      </c>
      <c r="F1489" s="10">
        <v>11</v>
      </c>
      <c r="G1489" s="10">
        <v>0</v>
      </c>
      <c r="H1489" s="10">
        <v>10</v>
      </c>
      <c r="I1489" s="10">
        <v>2</v>
      </c>
      <c r="J1489">
        <v>2018</v>
      </c>
      <c r="K1489">
        <v>1</v>
      </c>
      <c r="L1489">
        <v>276</v>
      </c>
      <c r="M1489" t="s">
        <v>59</v>
      </c>
    </row>
    <row r="1490" spans="1:13">
      <c r="A1490" t="s">
        <v>1547</v>
      </c>
      <c r="B1490" s="10">
        <v>2.33</v>
      </c>
      <c r="C1490" s="10">
        <v>4.363</v>
      </c>
      <c r="D1490" s="10">
        <v>4.25</v>
      </c>
      <c r="E1490" s="10">
        <v>47.9</v>
      </c>
      <c r="F1490" s="10">
        <v>10</v>
      </c>
      <c r="G1490" s="10">
        <v>3</v>
      </c>
      <c r="H1490" s="10">
        <v>4</v>
      </c>
      <c r="I1490" s="10">
        <v>1</v>
      </c>
      <c r="J1490">
        <v>2018</v>
      </c>
      <c r="K1490">
        <v>1</v>
      </c>
      <c r="L1490">
        <v>276</v>
      </c>
      <c r="M1490" t="s">
        <v>61</v>
      </c>
    </row>
    <row r="1491" spans="1:13">
      <c r="A1491" t="s">
        <v>1548</v>
      </c>
      <c r="B1491" s="10">
        <v>4.33</v>
      </c>
      <c r="C1491" s="10">
        <v>3.76</v>
      </c>
      <c r="D1491" s="10">
        <v>3</v>
      </c>
      <c r="E1491" s="10">
        <v>37</v>
      </c>
      <c r="F1491" s="10">
        <v>11</v>
      </c>
      <c r="G1491" s="10">
        <v>0</v>
      </c>
      <c r="H1491" s="10">
        <v>4</v>
      </c>
      <c r="I1491" s="10">
        <v>3</v>
      </c>
      <c r="J1491">
        <v>2018</v>
      </c>
      <c r="K1491">
        <v>1</v>
      </c>
      <c r="L1491">
        <v>276</v>
      </c>
      <c r="M1491" t="s">
        <v>63</v>
      </c>
    </row>
    <row r="1492" spans="1:13">
      <c r="A1492" t="s">
        <v>1549</v>
      </c>
      <c r="B1492" s="10">
        <v>0.33</v>
      </c>
      <c r="C1492" s="10">
        <v>5.076</v>
      </c>
      <c r="D1492" s="10">
        <v>4</v>
      </c>
      <c r="E1492" s="10">
        <v>30.4</v>
      </c>
      <c r="F1492" s="10">
        <v>12</v>
      </c>
      <c r="G1492" s="10">
        <v>0</v>
      </c>
      <c r="H1492" s="10">
        <v>6</v>
      </c>
      <c r="I1492" s="10">
        <v>1</v>
      </c>
      <c r="J1492">
        <v>2018</v>
      </c>
      <c r="K1492">
        <v>1</v>
      </c>
      <c r="L1492">
        <v>276</v>
      </c>
      <c r="M1492" t="s">
        <v>65</v>
      </c>
    </row>
    <row r="1493" spans="1:13">
      <c r="A1493" t="s">
        <v>1550</v>
      </c>
      <c r="B1493" s="10">
        <v>5.34</v>
      </c>
      <c r="C1493" s="10">
        <v>4.33</v>
      </c>
      <c r="D1493" s="10">
        <v>6</v>
      </c>
      <c r="E1493" s="10">
        <v>30.5</v>
      </c>
      <c r="F1493" s="10">
        <v>7</v>
      </c>
      <c r="G1493" s="10">
        <v>0</v>
      </c>
      <c r="H1493" s="10">
        <v>6</v>
      </c>
      <c r="I1493" s="10">
        <v>3</v>
      </c>
      <c r="J1493">
        <v>2018</v>
      </c>
      <c r="K1493">
        <v>2</v>
      </c>
      <c r="L1493">
        <v>276</v>
      </c>
      <c r="M1493" t="s">
        <v>53</v>
      </c>
    </row>
    <row r="1494" spans="1:13">
      <c r="A1494" t="s">
        <v>1551</v>
      </c>
      <c r="B1494" s="10">
        <v>2.33</v>
      </c>
      <c r="C1494" s="10">
        <v>4.99</v>
      </c>
      <c r="D1494" s="10">
        <v>4</v>
      </c>
      <c r="E1494" s="10">
        <v>54.6</v>
      </c>
      <c r="F1494" s="10">
        <v>6</v>
      </c>
      <c r="G1494" s="10">
        <v>0</v>
      </c>
      <c r="H1494" s="10">
        <v>6</v>
      </c>
      <c r="I1494" s="10">
        <v>4.4</v>
      </c>
      <c r="J1494">
        <v>2018</v>
      </c>
      <c r="K1494">
        <v>2</v>
      </c>
      <c r="L1494">
        <v>276</v>
      </c>
      <c r="M1494" t="s">
        <v>55</v>
      </c>
    </row>
    <row r="1495" spans="1:13">
      <c r="A1495" t="s">
        <v>1552</v>
      </c>
      <c r="B1495" s="10">
        <v>4.33</v>
      </c>
      <c r="C1495" s="10">
        <v>7.13</v>
      </c>
      <c r="D1495" s="10">
        <v>3.3</v>
      </c>
      <c r="E1495" s="10">
        <v>67.09999999999999</v>
      </c>
      <c r="F1495" s="10">
        <v>12</v>
      </c>
      <c r="G1495" s="10">
        <v>0</v>
      </c>
      <c r="H1495" s="10">
        <v>5</v>
      </c>
      <c r="I1495" s="10">
        <v>2</v>
      </c>
      <c r="J1495">
        <v>2018</v>
      </c>
      <c r="K1495">
        <v>2</v>
      </c>
      <c r="L1495">
        <v>276</v>
      </c>
      <c r="M1495" t="s">
        <v>57</v>
      </c>
    </row>
    <row r="1496" spans="1:13">
      <c r="A1496" t="s">
        <v>1553</v>
      </c>
      <c r="B1496" s="10">
        <v>7.99</v>
      </c>
      <c r="C1496" s="10">
        <v>9.066000000000001</v>
      </c>
      <c r="D1496" s="10">
        <v>2</v>
      </c>
      <c r="E1496" s="10">
        <v>50.6</v>
      </c>
      <c r="F1496" s="10">
        <v>6</v>
      </c>
      <c r="G1496" s="10">
        <v>0</v>
      </c>
      <c r="H1496" s="10">
        <v>3</v>
      </c>
      <c r="I1496" s="10">
        <v>3</v>
      </c>
      <c r="J1496">
        <v>2018</v>
      </c>
      <c r="K1496">
        <v>2</v>
      </c>
      <c r="L1496">
        <v>276</v>
      </c>
      <c r="M1496" t="s">
        <v>59</v>
      </c>
    </row>
    <row r="1497" spans="1:13">
      <c r="A1497" t="s">
        <v>1554</v>
      </c>
      <c r="B1497" s="10">
        <v>7.33</v>
      </c>
      <c r="C1497" s="10">
        <v>3.066</v>
      </c>
      <c r="D1497" s="10">
        <v>3</v>
      </c>
      <c r="E1497" s="10">
        <v>53</v>
      </c>
      <c r="F1497" s="10">
        <v>18</v>
      </c>
      <c r="G1497" s="10">
        <v>0</v>
      </c>
      <c r="H1497" s="10">
        <v>6</v>
      </c>
      <c r="I1497" s="10">
        <v>0.66</v>
      </c>
      <c r="J1497">
        <v>2018</v>
      </c>
      <c r="K1497">
        <v>2</v>
      </c>
      <c r="L1497">
        <v>276</v>
      </c>
      <c r="M1497" t="s">
        <v>61</v>
      </c>
    </row>
    <row r="1498" spans="1:13">
      <c r="A1498" t="s">
        <v>1555</v>
      </c>
      <c r="B1498" s="10">
        <v>4.34</v>
      </c>
      <c r="C1498" s="10">
        <v>1.87</v>
      </c>
      <c r="D1498" s="10">
        <v>6.85</v>
      </c>
      <c r="E1498" s="10">
        <v>51.5</v>
      </c>
      <c r="F1498" s="10">
        <v>8</v>
      </c>
      <c r="G1498" s="10">
        <v>0</v>
      </c>
      <c r="H1498" s="10">
        <v>5</v>
      </c>
      <c r="I1498" s="10">
        <v>1</v>
      </c>
      <c r="J1498">
        <v>2018</v>
      </c>
      <c r="K1498">
        <v>2</v>
      </c>
      <c r="L1498">
        <v>276</v>
      </c>
      <c r="M1498" t="s">
        <v>63</v>
      </c>
    </row>
    <row r="1499" spans="1:13">
      <c r="A1499" t="s">
        <v>1556</v>
      </c>
      <c r="B1499" s="10">
        <v>4.84</v>
      </c>
      <c r="C1499" s="10">
        <v>8.132</v>
      </c>
      <c r="D1499" s="10">
        <v>3.2</v>
      </c>
      <c r="E1499" s="10">
        <v>44.8</v>
      </c>
      <c r="F1499" s="10">
        <v>8</v>
      </c>
      <c r="G1499" s="10">
        <v>0</v>
      </c>
      <c r="H1499" s="10">
        <v>23</v>
      </c>
      <c r="I1499" s="10">
        <v>0</v>
      </c>
      <c r="J1499">
        <v>2018</v>
      </c>
      <c r="K1499">
        <v>2</v>
      </c>
      <c r="L1499">
        <v>276</v>
      </c>
      <c r="M1499" t="s">
        <v>65</v>
      </c>
    </row>
    <row r="1500" spans="1:13">
      <c r="A1500" t="s">
        <v>1557</v>
      </c>
      <c r="B1500" s="10">
        <v>6.33</v>
      </c>
      <c r="C1500" s="10">
        <v>1.34</v>
      </c>
      <c r="D1500" s="10">
        <v>3</v>
      </c>
      <c r="E1500" s="10">
        <v>47</v>
      </c>
      <c r="F1500" s="10">
        <v>7</v>
      </c>
      <c r="G1500" s="10">
        <v>0</v>
      </c>
      <c r="H1500" s="10">
        <v>1.25</v>
      </c>
      <c r="I1500" s="10">
        <v>0</v>
      </c>
      <c r="J1500">
        <v>2018</v>
      </c>
      <c r="K1500">
        <v>2</v>
      </c>
      <c r="L1500">
        <v>276</v>
      </c>
      <c r="M1500" t="s">
        <v>53</v>
      </c>
    </row>
    <row r="1501" spans="1:13">
      <c r="A1501" t="s">
        <v>1558</v>
      </c>
      <c r="B1501" s="10">
        <v>3</v>
      </c>
      <c r="C1501" s="10">
        <v>3.69</v>
      </c>
      <c r="D1501" s="10">
        <v>4.25</v>
      </c>
      <c r="E1501" s="10">
        <v>47</v>
      </c>
      <c r="F1501" s="10">
        <v>17</v>
      </c>
      <c r="G1501" s="10">
        <v>0</v>
      </c>
      <c r="H1501" s="10">
        <v>11</v>
      </c>
      <c r="I1501" s="10">
        <v>0</v>
      </c>
      <c r="J1501">
        <v>2018</v>
      </c>
      <c r="K1501">
        <v>2</v>
      </c>
      <c r="L1501">
        <v>276</v>
      </c>
      <c r="M1501" t="s">
        <v>55</v>
      </c>
    </row>
    <row r="1502" spans="1:13">
      <c r="A1502" t="s">
        <v>1559</v>
      </c>
      <c r="B1502" s="10">
        <v>10.01</v>
      </c>
      <c r="C1502" s="10">
        <v>5.231</v>
      </c>
      <c r="D1502" s="10">
        <v>3.5</v>
      </c>
      <c r="E1502" s="10">
        <v>60.4</v>
      </c>
      <c r="F1502" s="10">
        <v>6</v>
      </c>
      <c r="G1502" s="10">
        <v>0</v>
      </c>
      <c r="H1502" s="10">
        <v>15</v>
      </c>
      <c r="I1502" s="10">
        <v>3</v>
      </c>
      <c r="J1502">
        <v>2018</v>
      </c>
      <c r="K1502">
        <v>2</v>
      </c>
      <c r="L1502">
        <v>276</v>
      </c>
      <c r="M1502" t="s">
        <v>57</v>
      </c>
    </row>
    <row r="1503" spans="1:13">
      <c r="A1503" t="s">
        <v>1560</v>
      </c>
      <c r="B1503" s="10">
        <v>6.33</v>
      </c>
      <c r="C1503" s="10">
        <v>5.396</v>
      </c>
      <c r="D1503" s="10">
        <v>7.8</v>
      </c>
      <c r="E1503" s="10">
        <v>63.25</v>
      </c>
      <c r="F1503" s="10">
        <v>12</v>
      </c>
      <c r="G1503" s="10">
        <v>0</v>
      </c>
      <c r="H1503" s="10">
        <v>10</v>
      </c>
      <c r="I1503" s="10">
        <v>2</v>
      </c>
      <c r="J1503">
        <v>2018</v>
      </c>
      <c r="K1503">
        <v>2</v>
      </c>
      <c r="L1503">
        <v>276</v>
      </c>
      <c r="M1503" t="s">
        <v>59</v>
      </c>
    </row>
    <row r="1504" spans="1:13">
      <c r="A1504" t="s">
        <v>1561</v>
      </c>
      <c r="B1504" s="10">
        <v>8</v>
      </c>
      <c r="C1504" s="10">
        <v>4.769</v>
      </c>
      <c r="D1504" s="10">
        <v>10</v>
      </c>
      <c r="E1504" s="10">
        <v>36.3</v>
      </c>
      <c r="F1504" s="10">
        <v>14</v>
      </c>
      <c r="G1504" s="10">
        <v>1</v>
      </c>
      <c r="H1504" s="10">
        <v>1</v>
      </c>
      <c r="I1504" s="10">
        <v>1</v>
      </c>
      <c r="J1504">
        <v>2018</v>
      </c>
      <c r="K1504">
        <v>2</v>
      </c>
      <c r="L1504">
        <v>276</v>
      </c>
      <c r="M1504" t="s">
        <v>61</v>
      </c>
    </row>
    <row r="1505" spans="1:13">
      <c r="A1505" t="s">
        <v>1562</v>
      </c>
      <c r="B1505" s="10">
        <v>6</v>
      </c>
      <c r="C1505" s="10">
        <v>8.032999999999999</v>
      </c>
      <c r="D1505" s="10">
        <v>5</v>
      </c>
      <c r="E1505" s="10">
        <v>17.8</v>
      </c>
      <c r="F1505" s="10">
        <v>10</v>
      </c>
      <c r="G1505" s="10">
        <v>0</v>
      </c>
      <c r="H1505" s="10">
        <v>10</v>
      </c>
      <c r="I1505" s="10">
        <v>3</v>
      </c>
      <c r="J1505">
        <v>2018</v>
      </c>
      <c r="K1505">
        <v>2</v>
      </c>
      <c r="L1505">
        <v>276</v>
      </c>
      <c r="M1505" t="s">
        <v>63</v>
      </c>
    </row>
    <row r="1506" spans="1:13">
      <c r="A1506" t="s">
        <v>1563</v>
      </c>
      <c r="B1506" s="10">
        <v>1</v>
      </c>
      <c r="C1506" s="10">
        <v>6.33</v>
      </c>
      <c r="D1506" s="10">
        <v>2.1</v>
      </c>
      <c r="E1506" s="10">
        <v>50.3</v>
      </c>
      <c r="F1506" s="10">
        <v>15</v>
      </c>
      <c r="G1506" s="10">
        <v>0</v>
      </c>
      <c r="H1506" s="10">
        <v>14</v>
      </c>
      <c r="I1506" s="10">
        <v>0</v>
      </c>
      <c r="J1506">
        <v>2018</v>
      </c>
      <c r="K1506">
        <v>2</v>
      </c>
      <c r="L1506">
        <v>276</v>
      </c>
      <c r="M1506" t="s">
        <v>65</v>
      </c>
    </row>
    <row r="1507" spans="1:13">
      <c r="A1507" t="s">
        <v>1564</v>
      </c>
      <c r="B1507" s="10">
        <v>1.5</v>
      </c>
      <c r="C1507" s="10">
        <v>6.945</v>
      </c>
      <c r="D1507" s="10">
        <v>0.85</v>
      </c>
      <c r="E1507" s="10">
        <v>74.59999999999999</v>
      </c>
      <c r="F1507" s="10">
        <v>6</v>
      </c>
      <c r="G1507" s="10">
        <v>0</v>
      </c>
      <c r="H1507" s="10">
        <v>10</v>
      </c>
      <c r="I1507" s="10">
        <v>0</v>
      </c>
      <c r="J1507">
        <v>2018</v>
      </c>
      <c r="K1507">
        <v>2</v>
      </c>
      <c r="L1507">
        <v>276</v>
      </c>
      <c r="M1507" t="s">
        <v>53</v>
      </c>
    </row>
    <row r="1508" spans="1:13">
      <c r="A1508" t="s">
        <v>1565</v>
      </c>
      <c r="B1508" s="10">
        <v>7.68</v>
      </c>
      <c r="C1508" s="10">
        <v>7.175</v>
      </c>
      <c r="D1508" s="10">
        <v>1.2</v>
      </c>
      <c r="E1508" s="10">
        <v>65.16200000000001</v>
      </c>
      <c r="F1508" s="10">
        <v>10</v>
      </c>
      <c r="G1508" s="10">
        <v>0</v>
      </c>
      <c r="H1508" s="10">
        <v>0</v>
      </c>
      <c r="I1508" s="10">
        <v>1</v>
      </c>
      <c r="J1508">
        <v>2018</v>
      </c>
      <c r="K1508">
        <v>2</v>
      </c>
      <c r="L1508">
        <v>276</v>
      </c>
      <c r="M1508" t="s">
        <v>55</v>
      </c>
    </row>
    <row r="1509" spans="1:13">
      <c r="A1509" t="s">
        <v>1566</v>
      </c>
      <c r="B1509" s="10">
        <v>1.33</v>
      </c>
      <c r="C1509" s="10">
        <v>3.64</v>
      </c>
      <c r="D1509" s="10">
        <v>2</v>
      </c>
      <c r="E1509" s="10">
        <v>50.4</v>
      </c>
      <c r="F1509" s="10">
        <v>5</v>
      </c>
      <c r="G1509" s="10">
        <v>0</v>
      </c>
      <c r="H1509" s="10">
        <v>9</v>
      </c>
      <c r="I1509" s="10">
        <v>0</v>
      </c>
      <c r="J1509">
        <v>2018</v>
      </c>
      <c r="K1509">
        <v>2</v>
      </c>
      <c r="L1509">
        <v>276</v>
      </c>
      <c r="M1509" t="s">
        <v>57</v>
      </c>
    </row>
    <row r="1510" spans="1:13">
      <c r="A1510" t="s">
        <v>1567</v>
      </c>
      <c r="B1510" s="10">
        <v>6</v>
      </c>
      <c r="C1510" s="10">
        <v>6.726</v>
      </c>
      <c r="D1510" s="10">
        <v>7.55</v>
      </c>
      <c r="E1510" s="10">
        <v>44</v>
      </c>
      <c r="F1510" s="10">
        <v>2</v>
      </c>
      <c r="G1510" s="10">
        <v>0</v>
      </c>
      <c r="H1510" s="10">
        <v>4</v>
      </c>
      <c r="I1510" s="10">
        <v>1</v>
      </c>
      <c r="J1510">
        <v>2018</v>
      </c>
      <c r="K1510">
        <v>2</v>
      </c>
      <c r="L1510">
        <v>276</v>
      </c>
      <c r="M1510" t="s">
        <v>59</v>
      </c>
    </row>
    <row r="1511" spans="1:13">
      <c r="A1511" t="s">
        <v>1568</v>
      </c>
      <c r="B1511" s="10">
        <v>1</v>
      </c>
      <c r="C1511" s="10">
        <v>3.34</v>
      </c>
      <c r="D1511" s="10">
        <v>1.7</v>
      </c>
      <c r="E1511" s="10">
        <v>27</v>
      </c>
      <c r="F1511" s="10">
        <v>6</v>
      </c>
      <c r="G1511" s="10">
        <v>0</v>
      </c>
      <c r="H1511" s="10">
        <v>12</v>
      </c>
      <c r="I1511" s="10">
        <v>2</v>
      </c>
      <c r="J1511">
        <v>2018</v>
      </c>
      <c r="K1511">
        <v>2</v>
      </c>
      <c r="L1511">
        <v>276</v>
      </c>
      <c r="M1511" t="s">
        <v>61</v>
      </c>
    </row>
    <row r="1512" spans="1:13">
      <c r="A1512" t="s">
        <v>1569</v>
      </c>
      <c r="B1512" s="10">
        <v>4.18</v>
      </c>
      <c r="C1512" s="10">
        <v>2.286</v>
      </c>
      <c r="D1512" s="10">
        <v>4.2</v>
      </c>
      <c r="E1512" s="10">
        <v>30.2</v>
      </c>
      <c r="F1512" s="10">
        <v>6</v>
      </c>
      <c r="G1512" s="10">
        <v>0</v>
      </c>
      <c r="H1512" s="10">
        <v>2</v>
      </c>
      <c r="I1512" s="10">
        <v>3</v>
      </c>
      <c r="J1512">
        <v>2018</v>
      </c>
      <c r="K1512">
        <v>2</v>
      </c>
      <c r="L1512">
        <v>276</v>
      </c>
      <c r="M1512" t="s">
        <v>63</v>
      </c>
    </row>
    <row r="1513" spans="1:13">
      <c r="A1513" t="s">
        <v>1570</v>
      </c>
      <c r="B1513" s="10">
        <v>1.34</v>
      </c>
      <c r="C1513" s="10">
        <v>7.01</v>
      </c>
      <c r="D1513" s="10">
        <v>9.5</v>
      </c>
      <c r="E1513" s="10">
        <v>27.4</v>
      </c>
      <c r="F1513" s="10">
        <v>5</v>
      </c>
      <c r="G1513" s="10">
        <v>0</v>
      </c>
      <c r="H1513" s="10">
        <v>6</v>
      </c>
      <c r="I1513" s="10">
        <v>1</v>
      </c>
      <c r="J1513">
        <v>2018</v>
      </c>
      <c r="K1513">
        <v>2</v>
      </c>
      <c r="L1513">
        <v>276</v>
      </c>
      <c r="M1513" t="s">
        <v>65</v>
      </c>
    </row>
    <row r="1514" spans="1:13">
      <c r="A1514" t="s">
        <v>1571</v>
      </c>
      <c r="B1514" s="10">
        <v>5</v>
      </c>
      <c r="C1514" s="10">
        <v>6.33</v>
      </c>
      <c r="D1514" s="10">
        <v>3.15</v>
      </c>
      <c r="E1514" s="10">
        <v>30</v>
      </c>
      <c r="F1514" s="10">
        <v>6</v>
      </c>
      <c r="G1514" s="10">
        <v>0</v>
      </c>
      <c r="H1514" s="10">
        <v>20</v>
      </c>
      <c r="I1514" s="10">
        <v>0</v>
      </c>
      <c r="J1514">
        <v>2018</v>
      </c>
      <c r="K1514">
        <v>2</v>
      </c>
      <c r="L1514">
        <v>276</v>
      </c>
      <c r="M1514" t="s">
        <v>53</v>
      </c>
    </row>
    <row r="1515" spans="1:13">
      <c r="A1515" t="s">
        <v>1572</v>
      </c>
      <c r="B1515" s="10">
        <v>5.83</v>
      </c>
      <c r="C1515" s="10">
        <v>2.979</v>
      </c>
      <c r="D1515" s="10">
        <v>1</v>
      </c>
      <c r="E1515" s="10">
        <v>34.2</v>
      </c>
      <c r="F1515" s="10">
        <v>6</v>
      </c>
      <c r="G1515" s="10">
        <v>0</v>
      </c>
      <c r="H1515" s="10">
        <v>12</v>
      </c>
      <c r="I1515" s="10">
        <v>0</v>
      </c>
      <c r="J1515">
        <v>2018</v>
      </c>
      <c r="K1515">
        <v>2</v>
      </c>
      <c r="L1515">
        <v>276</v>
      </c>
      <c r="M1515" t="s">
        <v>55</v>
      </c>
    </row>
    <row r="1516" spans="1:13">
      <c r="A1516" t="s">
        <v>1573</v>
      </c>
      <c r="B1516" s="10">
        <v>8</v>
      </c>
      <c r="C1516" s="10">
        <v>5.68</v>
      </c>
      <c r="D1516" s="10">
        <v>7</v>
      </c>
      <c r="E1516" s="10">
        <v>43.5</v>
      </c>
      <c r="F1516" s="10">
        <v>10</v>
      </c>
      <c r="G1516" s="10">
        <v>0</v>
      </c>
      <c r="H1516" s="10">
        <v>8</v>
      </c>
      <c r="I1516" s="10">
        <v>3</v>
      </c>
      <c r="J1516">
        <v>2018</v>
      </c>
      <c r="K1516">
        <v>2</v>
      </c>
      <c r="L1516">
        <v>276</v>
      </c>
      <c r="M1516" t="s">
        <v>57</v>
      </c>
    </row>
    <row r="1517" spans="1:13">
      <c r="A1517" t="s">
        <v>1574</v>
      </c>
      <c r="B1517" s="10">
        <v>4</v>
      </c>
      <c r="C1517" s="10">
        <v>1.68</v>
      </c>
      <c r="D1517" s="10">
        <v>2</v>
      </c>
      <c r="E1517" s="10">
        <v>36.8</v>
      </c>
      <c r="F1517" s="10">
        <v>10</v>
      </c>
      <c r="G1517" s="10">
        <v>0</v>
      </c>
      <c r="H1517" s="10">
        <v>10</v>
      </c>
      <c r="I1517" s="10">
        <v>2</v>
      </c>
      <c r="J1517">
        <v>2018</v>
      </c>
      <c r="K1517">
        <v>2</v>
      </c>
      <c r="L1517">
        <v>276</v>
      </c>
      <c r="M1517" t="s">
        <v>59</v>
      </c>
    </row>
    <row r="1518" spans="1:13">
      <c r="A1518" t="s">
        <v>1575</v>
      </c>
      <c r="B1518" s="10">
        <v>1</v>
      </c>
      <c r="C1518" s="10">
        <v>0.66</v>
      </c>
      <c r="D1518" s="10">
        <v>2</v>
      </c>
      <c r="E1518" s="10">
        <v>46.6</v>
      </c>
      <c r="F1518" s="10">
        <v>9</v>
      </c>
      <c r="G1518" s="10">
        <v>0</v>
      </c>
      <c r="H1518" s="10">
        <v>7</v>
      </c>
      <c r="I1518" s="10">
        <v>1</v>
      </c>
      <c r="J1518">
        <v>2018</v>
      </c>
      <c r="K1518">
        <v>2</v>
      </c>
      <c r="L1518">
        <v>276</v>
      </c>
      <c r="M1518" t="s">
        <v>61</v>
      </c>
    </row>
    <row r="1519" spans="1:13">
      <c r="A1519" t="s">
        <v>1576</v>
      </c>
      <c r="B1519" s="10">
        <v>3.33</v>
      </c>
      <c r="C1519" s="10">
        <v>2.65</v>
      </c>
      <c r="D1519" s="10">
        <v>3.4</v>
      </c>
      <c r="E1519" s="10">
        <v>26.7</v>
      </c>
      <c r="F1519" s="10">
        <v>20</v>
      </c>
      <c r="G1519" s="10">
        <v>9</v>
      </c>
      <c r="H1519" s="10">
        <v>8</v>
      </c>
      <c r="I1519" s="10">
        <v>1</v>
      </c>
      <c r="J1519">
        <v>2018</v>
      </c>
      <c r="K1519">
        <v>2</v>
      </c>
      <c r="L1519">
        <v>276</v>
      </c>
      <c r="M1519" t="s">
        <v>63</v>
      </c>
    </row>
    <row r="1520" spans="1:13">
      <c r="A1520" t="s">
        <v>1577</v>
      </c>
      <c r="B1520" s="10">
        <v>1</v>
      </c>
      <c r="C1520" s="10">
        <v>2.33</v>
      </c>
      <c r="D1520" s="10">
        <v>5.1</v>
      </c>
      <c r="E1520" s="10">
        <v>44.662</v>
      </c>
      <c r="F1520" s="10">
        <v>21</v>
      </c>
      <c r="G1520" s="10">
        <v>2</v>
      </c>
      <c r="H1520" s="10">
        <v>0</v>
      </c>
      <c r="I1520" s="10">
        <v>1</v>
      </c>
      <c r="J1520">
        <v>2018</v>
      </c>
      <c r="K1520">
        <v>2</v>
      </c>
      <c r="L1520">
        <v>276</v>
      </c>
      <c r="M1520" t="s">
        <v>65</v>
      </c>
    </row>
    <row r="1521" spans="1:13">
      <c r="A1521" t="s">
        <v>1578</v>
      </c>
      <c r="B1521" s="10">
        <v>1</v>
      </c>
      <c r="C1521" s="10">
        <v>6.033</v>
      </c>
      <c r="D1521" s="10">
        <v>1.05</v>
      </c>
      <c r="E1521" s="10">
        <v>26.4</v>
      </c>
      <c r="F1521" s="10">
        <v>26</v>
      </c>
      <c r="G1521" s="10">
        <v>1</v>
      </c>
      <c r="H1521" s="10">
        <v>12</v>
      </c>
      <c r="I1521" s="10">
        <v>1</v>
      </c>
      <c r="J1521">
        <v>2018</v>
      </c>
      <c r="K1521">
        <v>3</v>
      </c>
      <c r="L1521">
        <v>276</v>
      </c>
      <c r="M1521" t="s">
        <v>53</v>
      </c>
    </row>
    <row r="1522" spans="1:13">
      <c r="A1522" t="s">
        <v>1579</v>
      </c>
      <c r="B1522" s="10">
        <v>4</v>
      </c>
      <c r="C1522" s="10">
        <v>3</v>
      </c>
      <c r="D1522" s="10">
        <v>9.5</v>
      </c>
      <c r="E1522" s="10">
        <v>38.4</v>
      </c>
      <c r="F1522" s="10">
        <v>24</v>
      </c>
      <c r="G1522" s="10">
        <v>3</v>
      </c>
      <c r="H1522" s="10">
        <v>17</v>
      </c>
      <c r="I1522" s="10">
        <v>5.5</v>
      </c>
      <c r="J1522">
        <v>2018</v>
      </c>
      <c r="K1522">
        <v>3</v>
      </c>
      <c r="L1522">
        <v>276</v>
      </c>
      <c r="M1522" t="s">
        <v>55</v>
      </c>
    </row>
    <row r="1523" spans="1:13">
      <c r="A1523" t="s">
        <v>1580</v>
      </c>
      <c r="B1523" s="10">
        <v>8</v>
      </c>
      <c r="C1523" s="10">
        <v>2.363</v>
      </c>
      <c r="D1523" s="10">
        <v>8.15</v>
      </c>
      <c r="E1523" s="10">
        <v>40.187</v>
      </c>
      <c r="F1523" s="10">
        <v>12</v>
      </c>
      <c r="G1523" s="10">
        <v>1</v>
      </c>
      <c r="H1523" s="10">
        <v>10</v>
      </c>
      <c r="I1523" s="10">
        <v>4</v>
      </c>
      <c r="J1523">
        <v>2018</v>
      </c>
      <c r="K1523">
        <v>3</v>
      </c>
      <c r="L1523">
        <v>276</v>
      </c>
      <c r="M1523" t="s">
        <v>57</v>
      </c>
    </row>
    <row r="1524" spans="1:13">
      <c r="A1524" t="s">
        <v>1581</v>
      </c>
      <c r="B1524" s="10">
        <v>1</v>
      </c>
      <c r="C1524" s="10">
        <v>3.736</v>
      </c>
      <c r="D1524" s="10">
        <v>4</v>
      </c>
      <c r="E1524" s="10">
        <v>33.6</v>
      </c>
      <c r="F1524" s="10">
        <v>3</v>
      </c>
      <c r="G1524" s="10">
        <v>0</v>
      </c>
      <c r="H1524" s="10">
        <v>14</v>
      </c>
      <c r="I1524" s="10">
        <v>1</v>
      </c>
      <c r="J1524">
        <v>2018</v>
      </c>
      <c r="K1524">
        <v>3</v>
      </c>
      <c r="L1524">
        <v>276</v>
      </c>
      <c r="M1524" t="s">
        <v>59</v>
      </c>
    </row>
    <row r="1525" spans="1:13">
      <c r="A1525" t="s">
        <v>1582</v>
      </c>
      <c r="B1525" s="10">
        <v>4.33</v>
      </c>
      <c r="C1525" s="10">
        <v>5.33</v>
      </c>
      <c r="D1525" s="10">
        <v>6.1</v>
      </c>
      <c r="E1525" s="10">
        <v>25</v>
      </c>
      <c r="F1525" s="10">
        <v>6</v>
      </c>
      <c r="G1525" s="10">
        <v>0</v>
      </c>
      <c r="H1525" s="10">
        <v>17</v>
      </c>
      <c r="I1525" s="10">
        <v>1</v>
      </c>
      <c r="J1525">
        <v>2018</v>
      </c>
      <c r="K1525">
        <v>3</v>
      </c>
      <c r="L1525">
        <v>276</v>
      </c>
      <c r="M1525" t="s">
        <v>61</v>
      </c>
    </row>
    <row r="1526" spans="1:13">
      <c r="A1526" t="s">
        <v>1583</v>
      </c>
      <c r="B1526" s="10">
        <v>9.5</v>
      </c>
      <c r="C1526" s="10">
        <v>6.33</v>
      </c>
      <c r="D1526" s="10">
        <v>5.85</v>
      </c>
      <c r="E1526" s="10">
        <v>22.2</v>
      </c>
      <c r="F1526" s="10">
        <v>22</v>
      </c>
      <c r="G1526" s="10">
        <v>8</v>
      </c>
      <c r="H1526" s="10">
        <v>2</v>
      </c>
      <c r="I1526" s="10">
        <v>1</v>
      </c>
      <c r="J1526">
        <v>2018</v>
      </c>
      <c r="K1526">
        <v>3</v>
      </c>
      <c r="L1526">
        <v>276</v>
      </c>
      <c r="M1526" t="s">
        <v>63</v>
      </c>
    </row>
    <row r="1527" spans="1:13">
      <c r="A1527" t="s">
        <v>1584</v>
      </c>
      <c r="B1527" s="10">
        <v>4.5</v>
      </c>
      <c r="C1527" s="10">
        <v>1.67</v>
      </c>
      <c r="D1527" s="10">
        <v>4</v>
      </c>
      <c r="E1527" s="10">
        <v>20.2</v>
      </c>
      <c r="F1527" s="10">
        <v>31</v>
      </c>
      <c r="G1527" s="10">
        <v>5</v>
      </c>
      <c r="H1527" s="10">
        <v>11</v>
      </c>
      <c r="I1527" s="10">
        <v>1.4</v>
      </c>
      <c r="J1527">
        <v>2018</v>
      </c>
      <c r="K1527">
        <v>3</v>
      </c>
      <c r="L1527">
        <v>276</v>
      </c>
      <c r="M1527" t="s">
        <v>65</v>
      </c>
    </row>
    <row r="1528" spans="1:13">
      <c r="A1528" t="s">
        <v>1585</v>
      </c>
      <c r="B1528" s="10">
        <v>1.33</v>
      </c>
      <c r="C1528" s="10">
        <v>2.769</v>
      </c>
      <c r="D1528" s="10">
        <v>4</v>
      </c>
      <c r="E1528" s="10">
        <v>25.8</v>
      </c>
      <c r="F1528" s="10">
        <v>10</v>
      </c>
      <c r="G1528" s="10">
        <v>0</v>
      </c>
      <c r="H1528" s="10">
        <v>0</v>
      </c>
      <c r="I1528" s="10">
        <v>4</v>
      </c>
      <c r="J1528">
        <v>2018</v>
      </c>
      <c r="K1528">
        <v>3</v>
      </c>
      <c r="L1528">
        <v>276</v>
      </c>
      <c r="M1528" t="s">
        <v>53</v>
      </c>
    </row>
    <row r="1529" spans="1:13">
      <c r="A1529" t="s">
        <v>1586</v>
      </c>
      <c r="B1529" s="10">
        <v>6.33</v>
      </c>
      <c r="C1529" s="10">
        <v>2.18</v>
      </c>
      <c r="D1529" s="10">
        <v>4.2</v>
      </c>
      <c r="E1529" s="10">
        <v>41</v>
      </c>
      <c r="F1529" s="10">
        <v>11</v>
      </c>
      <c r="G1529" s="10">
        <v>1</v>
      </c>
      <c r="H1529" s="10">
        <v>10</v>
      </c>
      <c r="I1529" s="10">
        <v>0</v>
      </c>
      <c r="J1529">
        <v>2018</v>
      </c>
      <c r="K1529">
        <v>3</v>
      </c>
      <c r="L1529">
        <v>276</v>
      </c>
      <c r="M1529" t="s">
        <v>55</v>
      </c>
    </row>
    <row r="1530" spans="1:13">
      <c r="A1530" t="s">
        <v>1587</v>
      </c>
      <c r="B1530" s="10">
        <v>6</v>
      </c>
      <c r="C1530" s="10">
        <v>4.109</v>
      </c>
      <c r="D1530" s="10">
        <v>4</v>
      </c>
      <c r="E1530" s="10">
        <v>21.7</v>
      </c>
      <c r="F1530" s="10">
        <v>11</v>
      </c>
      <c r="G1530" s="10">
        <v>3</v>
      </c>
      <c r="H1530" s="10">
        <v>17</v>
      </c>
      <c r="I1530" s="10">
        <v>6</v>
      </c>
      <c r="J1530">
        <v>2018</v>
      </c>
      <c r="K1530">
        <v>3</v>
      </c>
      <c r="L1530">
        <v>276</v>
      </c>
      <c r="M1530" t="s">
        <v>57</v>
      </c>
    </row>
    <row r="1531" spans="1:13">
      <c r="A1531" t="s">
        <v>1588</v>
      </c>
      <c r="B1531" s="10">
        <v>4.66</v>
      </c>
      <c r="C1531" s="10">
        <v>7.54</v>
      </c>
      <c r="D1531" s="10">
        <v>5.6</v>
      </c>
      <c r="E1531" s="10">
        <v>68</v>
      </c>
      <c r="F1531" s="10">
        <v>0</v>
      </c>
      <c r="G1531" s="10">
        <v>0</v>
      </c>
      <c r="H1531" s="10">
        <v>11</v>
      </c>
      <c r="I1531" s="10">
        <v>3</v>
      </c>
      <c r="J1531">
        <v>2018</v>
      </c>
      <c r="K1531">
        <v>3</v>
      </c>
      <c r="L1531">
        <v>276</v>
      </c>
      <c r="M1531" t="s">
        <v>59</v>
      </c>
    </row>
    <row r="1532" spans="1:13">
      <c r="A1532" t="s">
        <v>1589</v>
      </c>
      <c r="B1532" s="10">
        <v>9</v>
      </c>
      <c r="C1532" s="10">
        <v>4.345</v>
      </c>
      <c r="D1532" s="10">
        <v>3</v>
      </c>
      <c r="E1532" s="10">
        <v>22.2</v>
      </c>
      <c r="F1532" s="10">
        <v>9</v>
      </c>
      <c r="G1532" s="10">
        <v>0</v>
      </c>
      <c r="H1532" s="10">
        <v>13</v>
      </c>
      <c r="I1532" s="10">
        <v>8</v>
      </c>
      <c r="J1532">
        <v>2018</v>
      </c>
      <c r="K1532">
        <v>3</v>
      </c>
      <c r="L1532">
        <v>276</v>
      </c>
      <c r="M1532" t="s">
        <v>61</v>
      </c>
    </row>
    <row r="1533" spans="1:13">
      <c r="A1533" t="s">
        <v>1590</v>
      </c>
      <c r="B1533" s="10">
        <v>2</v>
      </c>
      <c r="C1533" s="10">
        <v>5.066</v>
      </c>
      <c r="D1533" s="10">
        <v>5.2</v>
      </c>
      <c r="E1533" s="10">
        <v>15.2</v>
      </c>
      <c r="F1533" s="10">
        <v>18</v>
      </c>
      <c r="G1533" s="10">
        <v>0</v>
      </c>
      <c r="H1533" s="10">
        <v>21</v>
      </c>
      <c r="I1533" s="10">
        <v>5</v>
      </c>
      <c r="J1533">
        <v>2018</v>
      </c>
      <c r="K1533">
        <v>3</v>
      </c>
      <c r="L1533">
        <v>276</v>
      </c>
      <c r="M1533" t="s">
        <v>63</v>
      </c>
    </row>
    <row r="1534" spans="1:13">
      <c r="A1534" t="s">
        <v>1591</v>
      </c>
      <c r="B1534" s="10">
        <v>2.34</v>
      </c>
      <c r="C1534" s="10">
        <v>2.34</v>
      </c>
      <c r="D1534" s="10">
        <v>0</v>
      </c>
      <c r="E1534" s="10">
        <v>31</v>
      </c>
      <c r="F1534" s="10">
        <v>14</v>
      </c>
      <c r="G1534" s="10">
        <v>2</v>
      </c>
      <c r="H1534" s="10">
        <v>8</v>
      </c>
      <c r="I1534" s="10">
        <v>4</v>
      </c>
      <c r="J1534">
        <v>2018</v>
      </c>
      <c r="K1534">
        <v>3</v>
      </c>
      <c r="L1534">
        <v>276</v>
      </c>
      <c r="M1534" t="s">
        <v>65</v>
      </c>
    </row>
    <row r="1535" spans="1:13">
      <c r="A1535" t="s">
        <v>1592</v>
      </c>
      <c r="B1535" s="10">
        <v>3.34</v>
      </c>
      <c r="C1535" s="10">
        <v>2.132</v>
      </c>
      <c r="D1535" s="10">
        <v>3</v>
      </c>
      <c r="E1535" s="10">
        <v>23.9</v>
      </c>
      <c r="F1535" s="10">
        <v>10</v>
      </c>
      <c r="G1535" s="10">
        <v>0</v>
      </c>
      <c r="H1535" s="10">
        <v>10</v>
      </c>
      <c r="I1535" s="10">
        <v>0</v>
      </c>
      <c r="J1535">
        <v>2018</v>
      </c>
      <c r="K1535">
        <v>3</v>
      </c>
      <c r="L1535">
        <v>276</v>
      </c>
      <c r="M1535" t="s">
        <v>53</v>
      </c>
    </row>
    <row r="1536" spans="1:13">
      <c r="A1536" t="s">
        <v>1593</v>
      </c>
      <c r="B1536" s="10">
        <v>3.33</v>
      </c>
      <c r="C1536" s="10">
        <v>3.066</v>
      </c>
      <c r="D1536" s="10">
        <v>1</v>
      </c>
      <c r="E1536" s="10">
        <v>29</v>
      </c>
      <c r="F1536" s="10">
        <v>7</v>
      </c>
      <c r="G1536" s="10">
        <v>0</v>
      </c>
      <c r="H1536" s="10">
        <v>2</v>
      </c>
      <c r="I1536" s="10">
        <v>1</v>
      </c>
      <c r="J1536">
        <v>2018</v>
      </c>
      <c r="K1536">
        <v>3</v>
      </c>
      <c r="L1536">
        <v>276</v>
      </c>
      <c r="M1536" t="s">
        <v>55</v>
      </c>
    </row>
    <row r="1537" spans="1:13">
      <c r="A1537" t="s">
        <v>1594</v>
      </c>
      <c r="B1537" s="10">
        <v>3.99</v>
      </c>
      <c r="C1537" s="10">
        <v>1.66</v>
      </c>
      <c r="D1537" s="10">
        <v>3.15</v>
      </c>
      <c r="E1537" s="10">
        <v>65</v>
      </c>
      <c r="F1537" s="10">
        <v>11</v>
      </c>
      <c r="G1537" s="10">
        <v>0</v>
      </c>
      <c r="H1537" s="10">
        <v>5</v>
      </c>
      <c r="I1537" s="10">
        <v>4</v>
      </c>
      <c r="J1537">
        <v>2018</v>
      </c>
      <c r="K1537">
        <v>3</v>
      </c>
      <c r="L1537">
        <v>276</v>
      </c>
      <c r="M1537" t="s">
        <v>57</v>
      </c>
    </row>
    <row r="1538" spans="1:13">
      <c r="A1538" t="s">
        <v>1595</v>
      </c>
      <c r="B1538" s="10">
        <v>7.33</v>
      </c>
      <c r="C1538" s="10">
        <v>2.929</v>
      </c>
      <c r="D1538" s="10">
        <v>4.3</v>
      </c>
      <c r="E1538" s="10">
        <v>21.5</v>
      </c>
      <c r="F1538" s="10">
        <v>8</v>
      </c>
      <c r="G1538" s="10">
        <v>0</v>
      </c>
      <c r="H1538" s="10">
        <v>2</v>
      </c>
      <c r="I1538" s="10">
        <v>2</v>
      </c>
      <c r="J1538">
        <v>2018</v>
      </c>
      <c r="K1538">
        <v>3</v>
      </c>
      <c r="L1538">
        <v>276</v>
      </c>
      <c r="M1538" t="s">
        <v>59</v>
      </c>
    </row>
    <row r="1539" spans="1:13">
      <c r="A1539" t="s">
        <v>1596</v>
      </c>
      <c r="B1539" s="10">
        <v>4.34</v>
      </c>
      <c r="C1539" s="10">
        <v>1</v>
      </c>
      <c r="D1539" s="10">
        <v>0</v>
      </c>
      <c r="E1539" s="10">
        <v>19.6</v>
      </c>
      <c r="F1539" s="10">
        <v>11</v>
      </c>
      <c r="G1539" s="10">
        <v>2</v>
      </c>
      <c r="H1539" s="10">
        <v>18</v>
      </c>
      <c r="I1539" s="10">
        <v>1</v>
      </c>
      <c r="J1539">
        <v>2018</v>
      </c>
      <c r="K1539">
        <v>3</v>
      </c>
      <c r="L1539">
        <v>276</v>
      </c>
      <c r="M1539" t="s">
        <v>61</v>
      </c>
    </row>
    <row r="1540" spans="1:13">
      <c r="A1540" t="s">
        <v>1597</v>
      </c>
      <c r="B1540" s="10">
        <v>2.67</v>
      </c>
      <c r="C1540" s="10">
        <v>3.67</v>
      </c>
      <c r="D1540" s="10">
        <v>9</v>
      </c>
      <c r="E1540" s="10">
        <v>48.6</v>
      </c>
      <c r="F1540" s="10">
        <v>7</v>
      </c>
      <c r="G1540" s="10">
        <v>0</v>
      </c>
      <c r="H1540" s="10">
        <v>15</v>
      </c>
      <c r="I1540" s="10">
        <v>5</v>
      </c>
      <c r="J1540">
        <v>2018</v>
      </c>
      <c r="K1540">
        <v>3</v>
      </c>
      <c r="L1540">
        <v>276</v>
      </c>
      <c r="M1540" t="s">
        <v>63</v>
      </c>
    </row>
    <row r="1541" spans="1:13">
      <c r="A1541" t="s">
        <v>1598</v>
      </c>
      <c r="B1541" s="10">
        <v>2</v>
      </c>
      <c r="C1541" s="10">
        <v>2</v>
      </c>
      <c r="D1541" s="10">
        <v>2</v>
      </c>
      <c r="E1541" s="10">
        <v>27</v>
      </c>
      <c r="F1541" s="10">
        <v>4</v>
      </c>
      <c r="G1541" s="10">
        <v>0</v>
      </c>
      <c r="H1541" s="10">
        <v>9</v>
      </c>
      <c r="I1541" s="10">
        <v>0</v>
      </c>
      <c r="J1541">
        <v>2018</v>
      </c>
      <c r="K1541">
        <v>3</v>
      </c>
      <c r="L1541">
        <v>276</v>
      </c>
      <c r="M1541" t="s">
        <v>65</v>
      </c>
    </row>
    <row r="1542" spans="1:13">
      <c r="A1542" t="s">
        <v>1599</v>
      </c>
      <c r="B1542" s="10">
        <v>3</v>
      </c>
      <c r="C1542" s="10">
        <v>3.67</v>
      </c>
      <c r="D1542" s="10">
        <v>1.55</v>
      </c>
      <c r="E1542" s="10">
        <v>24.6</v>
      </c>
      <c r="F1542" s="10">
        <v>4</v>
      </c>
      <c r="G1542" s="10">
        <v>0</v>
      </c>
      <c r="H1542" s="10">
        <v>0</v>
      </c>
      <c r="I1542" s="10">
        <v>1</v>
      </c>
      <c r="J1542">
        <v>2018</v>
      </c>
      <c r="K1542">
        <v>3</v>
      </c>
      <c r="L1542">
        <v>276</v>
      </c>
      <c r="M1542" t="s">
        <v>53</v>
      </c>
    </row>
    <row r="1543" spans="1:13">
      <c r="A1543" t="s">
        <v>1600</v>
      </c>
      <c r="B1543" s="10">
        <v>5</v>
      </c>
      <c r="C1543" s="10">
        <v>5.396</v>
      </c>
      <c r="D1543" s="10">
        <v>5.15</v>
      </c>
      <c r="E1543" s="10">
        <v>34</v>
      </c>
      <c r="F1543" s="10">
        <v>8</v>
      </c>
      <c r="G1543" s="10">
        <v>0</v>
      </c>
      <c r="H1543" s="10">
        <v>11</v>
      </c>
      <c r="I1543" s="10">
        <v>8.5</v>
      </c>
      <c r="J1543">
        <v>2018</v>
      </c>
      <c r="K1543">
        <v>3</v>
      </c>
      <c r="L1543">
        <v>276</v>
      </c>
      <c r="M1543" t="s">
        <v>55</v>
      </c>
    </row>
    <row r="1544" spans="1:13">
      <c r="A1544" t="s">
        <v>1601</v>
      </c>
      <c r="B1544" s="10">
        <v>7</v>
      </c>
      <c r="C1544" s="10">
        <v>2.34</v>
      </c>
      <c r="D1544" s="10">
        <v>5</v>
      </c>
      <c r="E1544" s="10">
        <v>40</v>
      </c>
      <c r="F1544" s="10">
        <v>7</v>
      </c>
      <c r="G1544" s="10">
        <v>1</v>
      </c>
      <c r="H1544" s="10">
        <v>2</v>
      </c>
      <c r="I1544" s="10">
        <v>0</v>
      </c>
      <c r="J1544">
        <v>2018</v>
      </c>
      <c r="K1544">
        <v>3</v>
      </c>
      <c r="L1544">
        <v>276</v>
      </c>
      <c r="M1544" t="s">
        <v>57</v>
      </c>
    </row>
    <row r="1545" spans="1:13">
      <c r="A1545" t="s">
        <v>1602</v>
      </c>
      <c r="B1545" s="10">
        <v>4</v>
      </c>
      <c r="C1545" s="10">
        <v>2.66</v>
      </c>
      <c r="D1545" s="10">
        <v>3.2</v>
      </c>
      <c r="E1545" s="10">
        <v>47.312</v>
      </c>
      <c r="F1545" s="10">
        <v>9</v>
      </c>
      <c r="G1545" s="10">
        <v>0</v>
      </c>
      <c r="H1545" s="10">
        <v>3</v>
      </c>
      <c r="I1545" s="10">
        <v>2</v>
      </c>
      <c r="J1545">
        <v>2018</v>
      </c>
      <c r="K1545">
        <v>3</v>
      </c>
      <c r="L1545">
        <v>276</v>
      </c>
      <c r="M1545" t="s">
        <v>59</v>
      </c>
    </row>
    <row r="1546" spans="1:13">
      <c r="A1546" t="s">
        <v>1603</v>
      </c>
      <c r="B1546" s="10">
        <v>5</v>
      </c>
      <c r="C1546" s="10">
        <v>9.66</v>
      </c>
      <c r="D1546" s="10">
        <v>0.2</v>
      </c>
      <c r="E1546" s="10">
        <v>27.6</v>
      </c>
      <c r="F1546" s="10">
        <v>15</v>
      </c>
      <c r="G1546" s="10">
        <v>4</v>
      </c>
      <c r="H1546" s="10">
        <v>5</v>
      </c>
      <c r="I1546" s="10">
        <v>3.3</v>
      </c>
      <c r="J1546">
        <v>2018</v>
      </c>
      <c r="K1546">
        <v>3</v>
      </c>
      <c r="L1546">
        <v>276</v>
      </c>
      <c r="M1546" t="s">
        <v>61</v>
      </c>
    </row>
    <row r="1547" spans="1:13">
      <c r="A1547" t="s">
        <v>1604</v>
      </c>
      <c r="B1547" s="10">
        <v>4.34</v>
      </c>
      <c r="C1547" s="10">
        <v>3.33</v>
      </c>
      <c r="D1547" s="10">
        <v>5.1</v>
      </c>
      <c r="E1547" s="10">
        <v>28</v>
      </c>
      <c r="F1547" s="10">
        <v>14</v>
      </c>
      <c r="G1547" s="10">
        <v>1</v>
      </c>
      <c r="H1547" s="10">
        <v>5</v>
      </c>
      <c r="I1547" s="10">
        <v>2</v>
      </c>
      <c r="J1547">
        <v>2018</v>
      </c>
      <c r="K1547">
        <v>3</v>
      </c>
      <c r="L1547">
        <v>276</v>
      </c>
      <c r="M1547" t="s">
        <v>63</v>
      </c>
    </row>
    <row r="1548" spans="1:13">
      <c r="A1548" t="s">
        <v>1605</v>
      </c>
      <c r="B1548" s="10">
        <v>5.5</v>
      </c>
      <c r="C1548" s="10">
        <v>1.66</v>
      </c>
      <c r="D1548" s="10">
        <v>1</v>
      </c>
      <c r="E1548" s="10">
        <v>11.924</v>
      </c>
      <c r="F1548" s="10">
        <v>23</v>
      </c>
      <c r="G1548" s="10">
        <v>2</v>
      </c>
      <c r="H1548" s="10">
        <v>6</v>
      </c>
      <c r="I1548" s="10">
        <v>1.5</v>
      </c>
      <c r="J1548">
        <v>2018</v>
      </c>
      <c r="K1548">
        <v>3</v>
      </c>
      <c r="L1548">
        <v>276</v>
      </c>
      <c r="M1548" t="s">
        <v>65</v>
      </c>
    </row>
    <row r="1549" spans="1:13">
      <c r="A1549" t="s">
        <v>1606</v>
      </c>
      <c r="B1549" s="10">
        <v>7</v>
      </c>
      <c r="C1549" s="10">
        <v>2.33</v>
      </c>
      <c r="D1549" s="10">
        <v>3</v>
      </c>
      <c r="E1549" s="10">
        <v>28.2</v>
      </c>
      <c r="F1549" s="10">
        <v>5</v>
      </c>
      <c r="G1549" s="10">
        <v>0</v>
      </c>
      <c r="H1549" s="10">
        <v>7</v>
      </c>
      <c r="I1549" s="10">
        <v>3.3</v>
      </c>
      <c r="J1549">
        <v>2018</v>
      </c>
      <c r="K1549">
        <v>3</v>
      </c>
      <c r="L1549">
        <v>276</v>
      </c>
      <c r="M1549" t="s">
        <v>53</v>
      </c>
    </row>
    <row r="1550" spans="1:13">
      <c r="A1550" t="s">
        <v>1607</v>
      </c>
      <c r="B1550" s="10">
        <v>5.33</v>
      </c>
      <c r="C1550" s="10">
        <v>4.46</v>
      </c>
      <c r="D1550" s="10">
        <v>9</v>
      </c>
      <c r="E1550" s="10">
        <v>42</v>
      </c>
      <c r="F1550" s="10">
        <v>33</v>
      </c>
      <c r="G1550" s="10">
        <v>8</v>
      </c>
      <c r="H1550" s="10">
        <v>3</v>
      </c>
      <c r="I1550" s="10">
        <v>2</v>
      </c>
      <c r="J1550">
        <v>2018</v>
      </c>
      <c r="K1550">
        <v>3</v>
      </c>
      <c r="L1550">
        <v>276</v>
      </c>
      <c r="M1550" t="s">
        <v>55</v>
      </c>
    </row>
    <row r="1551" spans="1:13">
      <c r="A1551" t="s">
        <v>1608</v>
      </c>
      <c r="B1551" s="10">
        <v>9</v>
      </c>
      <c r="C1551" s="10">
        <v>2.99</v>
      </c>
      <c r="D1551" s="10">
        <v>2</v>
      </c>
      <c r="E1551" s="10">
        <v>50</v>
      </c>
      <c r="F1551" s="10">
        <v>8</v>
      </c>
      <c r="G1551" s="10">
        <v>0</v>
      </c>
      <c r="H1551" s="10">
        <v>3</v>
      </c>
      <c r="I1551" s="10">
        <v>4</v>
      </c>
      <c r="J1551">
        <v>2018</v>
      </c>
      <c r="K1551">
        <v>3</v>
      </c>
      <c r="L1551">
        <v>276</v>
      </c>
      <c r="M1551" t="s">
        <v>57</v>
      </c>
    </row>
    <row r="1552" spans="1:13">
      <c r="A1552" t="s">
        <v>1609</v>
      </c>
      <c r="B1552" s="10">
        <v>6.83</v>
      </c>
      <c r="C1552" s="10">
        <v>3.34</v>
      </c>
      <c r="D1552" s="10">
        <v>0</v>
      </c>
      <c r="E1552" s="10">
        <v>37</v>
      </c>
      <c r="F1552" s="10">
        <v>19</v>
      </c>
      <c r="G1552" s="10">
        <v>1</v>
      </c>
      <c r="H1552" s="10">
        <v>22</v>
      </c>
      <c r="I1552" s="10">
        <v>5</v>
      </c>
      <c r="J1552">
        <v>2018</v>
      </c>
      <c r="K1552">
        <v>4</v>
      </c>
      <c r="L1552">
        <v>276</v>
      </c>
      <c r="M1552" t="s">
        <v>59</v>
      </c>
    </row>
    <row r="1553" spans="1:13">
      <c r="A1553" t="s">
        <v>1610</v>
      </c>
      <c r="B1553" s="10">
        <v>5.66</v>
      </c>
      <c r="C1553" s="10">
        <v>4.396</v>
      </c>
      <c r="D1553" s="10">
        <v>6.3</v>
      </c>
      <c r="E1553" s="10">
        <v>30</v>
      </c>
      <c r="F1553" s="10">
        <v>31</v>
      </c>
      <c r="G1553" s="10">
        <v>0</v>
      </c>
      <c r="H1553" s="10">
        <v>10</v>
      </c>
      <c r="I1553" s="10">
        <v>10</v>
      </c>
      <c r="J1553">
        <v>2018</v>
      </c>
      <c r="K1553">
        <v>4</v>
      </c>
      <c r="L1553">
        <v>276</v>
      </c>
      <c r="M1553" t="s">
        <v>61</v>
      </c>
    </row>
    <row r="1554" spans="1:13">
      <c r="A1554" t="s">
        <v>1611</v>
      </c>
      <c r="B1554" s="10">
        <v>1</v>
      </c>
      <c r="C1554" s="10">
        <v>2.529</v>
      </c>
      <c r="D1554" s="10">
        <v>2</v>
      </c>
      <c r="E1554" s="10">
        <v>38</v>
      </c>
      <c r="F1554" s="10">
        <v>10</v>
      </c>
      <c r="G1554" s="10">
        <v>6</v>
      </c>
      <c r="H1554" s="10">
        <v>5</v>
      </c>
      <c r="I1554" s="10">
        <v>3.5</v>
      </c>
      <c r="J1554">
        <v>2018</v>
      </c>
      <c r="K1554">
        <v>4</v>
      </c>
      <c r="L1554">
        <v>276</v>
      </c>
      <c r="M1554" t="s">
        <v>63</v>
      </c>
    </row>
    <row r="1555" spans="1:13">
      <c r="A1555" t="s">
        <v>1612</v>
      </c>
      <c r="B1555" s="10">
        <v>6.01</v>
      </c>
      <c r="C1555" s="10">
        <v>5.2</v>
      </c>
      <c r="D1555" s="10">
        <v>3</v>
      </c>
      <c r="E1555" s="10">
        <v>29</v>
      </c>
      <c r="F1555" s="10">
        <v>9</v>
      </c>
      <c r="G1555" s="10">
        <v>0</v>
      </c>
      <c r="H1555" s="10">
        <v>1</v>
      </c>
      <c r="I1555" s="10">
        <v>8</v>
      </c>
      <c r="J1555">
        <v>2018</v>
      </c>
      <c r="K1555">
        <v>4</v>
      </c>
      <c r="L1555">
        <v>276</v>
      </c>
      <c r="M1555" t="s">
        <v>65</v>
      </c>
    </row>
    <row r="1556" spans="1:13">
      <c r="A1556" t="s">
        <v>1613</v>
      </c>
      <c r="B1556" s="10">
        <v>6.33</v>
      </c>
      <c r="C1556" s="10">
        <v>3.67</v>
      </c>
      <c r="D1556" s="10">
        <v>5.4</v>
      </c>
      <c r="E1556" s="10">
        <v>39</v>
      </c>
      <c r="F1556" s="10">
        <v>16</v>
      </c>
      <c r="G1556" s="10">
        <v>1</v>
      </c>
      <c r="H1556" s="10">
        <v>16</v>
      </c>
      <c r="I1556" s="10">
        <v>3</v>
      </c>
      <c r="J1556">
        <v>2018</v>
      </c>
      <c r="K1556">
        <v>4</v>
      </c>
      <c r="L1556">
        <v>276</v>
      </c>
      <c r="M1556" t="s">
        <v>53</v>
      </c>
    </row>
    <row r="1557" spans="1:13">
      <c r="A1557" t="s">
        <v>1614</v>
      </c>
      <c r="B1557" s="10">
        <v>3.67</v>
      </c>
      <c r="C1557" s="10">
        <v>3</v>
      </c>
      <c r="D1557" s="10">
        <v>4.2</v>
      </c>
      <c r="E1557" s="10">
        <v>33.525</v>
      </c>
      <c r="F1557" s="10">
        <v>13</v>
      </c>
      <c r="G1557" s="10">
        <v>0</v>
      </c>
      <c r="H1557" s="10">
        <v>23</v>
      </c>
      <c r="I1557" s="10">
        <v>5</v>
      </c>
      <c r="J1557">
        <v>2018</v>
      </c>
      <c r="K1557">
        <v>4</v>
      </c>
      <c r="L1557">
        <v>276</v>
      </c>
      <c r="M1557" t="s">
        <v>55</v>
      </c>
    </row>
    <row r="1558" spans="1:13">
      <c r="A1558" t="s">
        <v>1615</v>
      </c>
      <c r="B1558" s="10">
        <v>16.18</v>
      </c>
      <c r="C1558" s="10">
        <v>4.506</v>
      </c>
      <c r="D1558" s="10">
        <v>2</v>
      </c>
      <c r="E1558" s="10">
        <v>40</v>
      </c>
      <c r="F1558" s="10">
        <v>4</v>
      </c>
      <c r="G1558" s="10">
        <v>0</v>
      </c>
      <c r="H1558" s="10">
        <v>5</v>
      </c>
      <c r="I1558" s="10">
        <v>7</v>
      </c>
      <c r="J1558">
        <v>2018</v>
      </c>
      <c r="K1558">
        <v>4</v>
      </c>
      <c r="L1558">
        <v>276</v>
      </c>
      <c r="M1558" t="s">
        <v>57</v>
      </c>
    </row>
    <row r="1559" spans="1:13">
      <c r="A1559" t="s">
        <v>1616</v>
      </c>
      <c r="B1559" s="10">
        <v>0</v>
      </c>
      <c r="C1559" s="10">
        <v>0</v>
      </c>
      <c r="D1559" s="10">
        <v>0</v>
      </c>
      <c r="E1559" s="10">
        <v>0</v>
      </c>
      <c r="F1559" s="10">
        <v>0</v>
      </c>
      <c r="G1559" s="10">
        <v>0</v>
      </c>
      <c r="H1559" s="10">
        <v>0</v>
      </c>
      <c r="I1559" s="10">
        <v>0</v>
      </c>
      <c r="J1559">
        <v>2018</v>
      </c>
      <c r="K1559">
        <v>4</v>
      </c>
      <c r="L1559">
        <v>276</v>
      </c>
      <c r="M1559" t="s">
        <v>59</v>
      </c>
    </row>
    <row r="1560" spans="1:13">
      <c r="A1560" t="s">
        <v>1617</v>
      </c>
      <c r="B1560" s="10">
        <v>5</v>
      </c>
      <c r="C1560" s="10">
        <v>3</v>
      </c>
      <c r="D1560" s="10">
        <v>6</v>
      </c>
      <c r="E1560" s="10">
        <v>25</v>
      </c>
      <c r="F1560" s="10">
        <v>6</v>
      </c>
      <c r="G1560" s="10">
        <v>0</v>
      </c>
      <c r="H1560" s="10">
        <v>10</v>
      </c>
      <c r="I1560" s="10">
        <v>6</v>
      </c>
      <c r="J1560">
        <v>2018</v>
      </c>
      <c r="K1560">
        <v>4</v>
      </c>
      <c r="L1560">
        <v>276</v>
      </c>
      <c r="M1560" t="s">
        <v>61</v>
      </c>
    </row>
    <row r="1561" spans="1:13">
      <c r="A1561" t="s">
        <v>1618</v>
      </c>
      <c r="B1561" s="10">
        <v>2</v>
      </c>
      <c r="C1561" s="10">
        <v>3.067</v>
      </c>
      <c r="D1561" s="10">
        <v>2</v>
      </c>
      <c r="E1561" s="10">
        <v>38.3</v>
      </c>
      <c r="F1561" s="10">
        <v>18</v>
      </c>
      <c r="G1561" s="10">
        <v>3</v>
      </c>
      <c r="H1561" s="10">
        <v>7</v>
      </c>
      <c r="I1561" s="10">
        <v>10</v>
      </c>
      <c r="J1561">
        <v>2018</v>
      </c>
      <c r="K1561">
        <v>4</v>
      </c>
      <c r="L1561">
        <v>276</v>
      </c>
      <c r="M1561" t="s">
        <v>63</v>
      </c>
    </row>
    <row r="1562" spans="1:13">
      <c r="A1562" t="s">
        <v>1619</v>
      </c>
      <c r="B1562" s="10">
        <v>6.67</v>
      </c>
      <c r="C1562" s="10">
        <v>3.01</v>
      </c>
      <c r="D1562" s="10">
        <v>2</v>
      </c>
      <c r="E1562" s="10">
        <v>28</v>
      </c>
      <c r="F1562" s="10">
        <v>12</v>
      </c>
      <c r="G1562" s="10">
        <v>0</v>
      </c>
      <c r="H1562" s="10">
        <v>3</v>
      </c>
      <c r="I1562" s="10">
        <v>11</v>
      </c>
      <c r="J1562">
        <v>2018</v>
      </c>
      <c r="K1562">
        <v>4</v>
      </c>
      <c r="L1562">
        <v>276</v>
      </c>
      <c r="M1562" t="s">
        <v>65</v>
      </c>
    </row>
    <row r="1563" spans="1:13">
      <c r="A1563" t="s">
        <v>1620</v>
      </c>
      <c r="B1563" s="10">
        <v>5</v>
      </c>
      <c r="C1563" s="10">
        <v>4.759</v>
      </c>
      <c r="D1563" s="10">
        <v>3.5</v>
      </c>
      <c r="E1563" s="10">
        <v>17.4</v>
      </c>
      <c r="F1563" s="10">
        <v>9</v>
      </c>
      <c r="G1563" s="10">
        <v>0</v>
      </c>
      <c r="H1563" s="10">
        <v>6</v>
      </c>
      <c r="I1563" s="10">
        <v>4.5</v>
      </c>
      <c r="J1563">
        <v>2018</v>
      </c>
      <c r="K1563">
        <v>4</v>
      </c>
      <c r="L1563">
        <v>276</v>
      </c>
      <c r="M1563" t="s">
        <v>53</v>
      </c>
    </row>
    <row r="1564" spans="1:13">
      <c r="A1564" t="s">
        <v>1621</v>
      </c>
      <c r="B1564" s="10">
        <v>4.5</v>
      </c>
      <c r="C1564" s="10">
        <v>2.033</v>
      </c>
      <c r="D1564" s="10">
        <v>5</v>
      </c>
      <c r="E1564" s="10">
        <v>23</v>
      </c>
      <c r="F1564" s="10">
        <v>12</v>
      </c>
      <c r="G1564" s="10">
        <v>0</v>
      </c>
      <c r="H1564" s="10">
        <v>23</v>
      </c>
      <c r="I1564" s="10">
        <v>4</v>
      </c>
      <c r="J1564">
        <v>2018</v>
      </c>
      <c r="K1564">
        <v>4</v>
      </c>
      <c r="L1564">
        <v>276</v>
      </c>
      <c r="M1564" t="s">
        <v>55</v>
      </c>
    </row>
    <row r="1565" spans="1:13">
      <c r="A1565" t="s">
        <v>1622</v>
      </c>
      <c r="B1565" s="10">
        <v>8</v>
      </c>
      <c r="C1565" s="10">
        <v>3.68</v>
      </c>
      <c r="D1565" s="10">
        <v>2</v>
      </c>
      <c r="E1565" s="10">
        <v>24</v>
      </c>
      <c r="F1565" s="10">
        <v>2</v>
      </c>
      <c r="G1565" s="10">
        <v>0</v>
      </c>
      <c r="H1565" s="10">
        <v>3</v>
      </c>
      <c r="I1565" s="10">
        <v>12</v>
      </c>
      <c r="J1565">
        <v>2018</v>
      </c>
      <c r="K1565">
        <v>4</v>
      </c>
      <c r="L1565">
        <v>276</v>
      </c>
      <c r="M1565" t="s">
        <v>57</v>
      </c>
    </row>
    <row r="1566" spans="1:13">
      <c r="A1566" t="s">
        <v>1623</v>
      </c>
      <c r="B1566" s="10">
        <v>7.66</v>
      </c>
      <c r="C1566" s="10">
        <v>2.759</v>
      </c>
      <c r="D1566" s="10">
        <v>3</v>
      </c>
      <c r="E1566" s="10">
        <v>20</v>
      </c>
      <c r="F1566" s="10">
        <v>5</v>
      </c>
      <c r="G1566" s="10">
        <v>0</v>
      </c>
      <c r="H1566" s="10">
        <v>0</v>
      </c>
      <c r="I1566" s="10">
        <v>6</v>
      </c>
      <c r="J1566">
        <v>2018</v>
      </c>
      <c r="K1566">
        <v>4</v>
      </c>
      <c r="L1566">
        <v>276</v>
      </c>
      <c r="M1566" t="s">
        <v>59</v>
      </c>
    </row>
    <row r="1567" spans="1:13">
      <c r="A1567" t="s">
        <v>1624</v>
      </c>
      <c r="B1567" s="10">
        <v>2</v>
      </c>
      <c r="C1567" s="10">
        <v>6.02</v>
      </c>
      <c r="D1567" s="10">
        <v>0.25</v>
      </c>
      <c r="E1567" s="10">
        <v>40.5</v>
      </c>
      <c r="F1567" s="10">
        <v>9</v>
      </c>
      <c r="G1567" s="10">
        <v>0</v>
      </c>
      <c r="H1567" s="10">
        <v>4</v>
      </c>
      <c r="I1567" s="10">
        <v>3</v>
      </c>
      <c r="J1567">
        <v>2018</v>
      </c>
      <c r="K1567">
        <v>4</v>
      </c>
      <c r="L1567">
        <v>276</v>
      </c>
      <c r="M1567" t="s">
        <v>61</v>
      </c>
    </row>
    <row r="1568" spans="1:13">
      <c r="A1568" t="s">
        <v>1625</v>
      </c>
      <c r="B1568" s="10">
        <v>3.34</v>
      </c>
      <c r="C1568" s="10">
        <v>1.406</v>
      </c>
      <c r="D1568" s="10">
        <v>0.15</v>
      </c>
      <c r="E1568" s="10">
        <v>16</v>
      </c>
      <c r="F1568" s="10">
        <v>10</v>
      </c>
      <c r="G1568" s="10">
        <v>0</v>
      </c>
      <c r="H1568" s="10">
        <v>6</v>
      </c>
      <c r="I1568" s="10">
        <v>6</v>
      </c>
      <c r="J1568">
        <v>2018</v>
      </c>
      <c r="K1568">
        <v>4</v>
      </c>
      <c r="L1568">
        <v>276</v>
      </c>
      <c r="M1568" t="s">
        <v>63</v>
      </c>
    </row>
    <row r="1569" spans="1:13">
      <c r="A1569" t="s">
        <v>1626</v>
      </c>
      <c r="B1569" s="10">
        <v>5</v>
      </c>
      <c r="C1569" s="10">
        <v>0.54</v>
      </c>
      <c r="D1569" s="10">
        <v>3.25</v>
      </c>
      <c r="E1569" s="10">
        <v>25.25</v>
      </c>
      <c r="F1569" s="10">
        <v>5</v>
      </c>
      <c r="G1569" s="10">
        <v>0</v>
      </c>
      <c r="H1569" s="10">
        <v>7</v>
      </c>
      <c r="I1569" s="10">
        <v>1</v>
      </c>
      <c r="J1569">
        <v>2018</v>
      </c>
      <c r="K1569">
        <v>4</v>
      </c>
      <c r="L1569">
        <v>276</v>
      </c>
      <c r="M1569" t="s">
        <v>65</v>
      </c>
    </row>
    <row r="1570" spans="1:13">
      <c r="A1570" t="s">
        <v>1627</v>
      </c>
      <c r="B1570" s="10">
        <v>5</v>
      </c>
      <c r="C1570" s="10">
        <v>5.67</v>
      </c>
      <c r="D1570" s="10">
        <v>1</v>
      </c>
      <c r="E1570" s="10">
        <v>31.375</v>
      </c>
      <c r="F1570" s="10">
        <v>3</v>
      </c>
      <c r="G1570" s="10">
        <v>0</v>
      </c>
      <c r="H1570" s="10">
        <v>1</v>
      </c>
      <c r="I1570" s="10">
        <v>7</v>
      </c>
      <c r="J1570">
        <v>2018</v>
      </c>
      <c r="K1570">
        <v>4</v>
      </c>
      <c r="L1570">
        <v>276</v>
      </c>
      <c r="M1570" t="s">
        <v>53</v>
      </c>
    </row>
    <row r="1571" spans="1:13">
      <c r="A1571" t="s">
        <v>1628</v>
      </c>
      <c r="B1571" s="10">
        <v>5</v>
      </c>
      <c r="C1571" s="10">
        <v>4.506</v>
      </c>
      <c r="D1571" s="10">
        <v>0</v>
      </c>
      <c r="E1571" s="10">
        <v>15</v>
      </c>
      <c r="F1571" s="10">
        <v>10</v>
      </c>
      <c r="G1571" s="10">
        <v>0</v>
      </c>
      <c r="H1571" s="10">
        <v>6</v>
      </c>
      <c r="I1571" s="10">
        <v>9</v>
      </c>
      <c r="J1571">
        <v>2018</v>
      </c>
      <c r="K1571">
        <v>4</v>
      </c>
      <c r="L1571">
        <v>276</v>
      </c>
      <c r="M1571" t="s">
        <v>55</v>
      </c>
    </row>
    <row r="1572" spans="1:13">
      <c r="A1572" t="s">
        <v>1629</v>
      </c>
      <c r="B1572" s="10">
        <v>3.5</v>
      </c>
      <c r="C1572" s="10">
        <v>3.439</v>
      </c>
      <c r="D1572" s="10">
        <v>2</v>
      </c>
      <c r="E1572" s="10">
        <v>40.4</v>
      </c>
      <c r="F1572" s="10">
        <v>7</v>
      </c>
      <c r="G1572" s="10">
        <v>0</v>
      </c>
      <c r="H1572" s="10">
        <v>4</v>
      </c>
      <c r="I1572" s="10">
        <v>6.2</v>
      </c>
      <c r="J1572">
        <v>2018</v>
      </c>
      <c r="K1572">
        <v>4</v>
      </c>
      <c r="L1572">
        <v>276</v>
      </c>
      <c r="M1572" t="s">
        <v>57</v>
      </c>
    </row>
    <row r="1573" spans="1:13">
      <c r="A1573" t="s">
        <v>1630</v>
      </c>
      <c r="B1573" s="10">
        <v>6</v>
      </c>
      <c r="C1573" s="10">
        <v>5.09</v>
      </c>
      <c r="D1573" s="10">
        <v>3.5</v>
      </c>
      <c r="E1573" s="10">
        <v>42.5</v>
      </c>
      <c r="F1573" s="10">
        <v>7</v>
      </c>
      <c r="G1573" s="10">
        <v>0</v>
      </c>
      <c r="H1573" s="10">
        <v>0</v>
      </c>
      <c r="I1573" s="10">
        <v>6.5</v>
      </c>
      <c r="J1573">
        <v>2018</v>
      </c>
      <c r="K1573">
        <v>4</v>
      </c>
      <c r="L1573">
        <v>276</v>
      </c>
      <c r="M1573" t="s">
        <v>59</v>
      </c>
    </row>
    <row r="1574" spans="1:13">
      <c r="A1574" t="s">
        <v>1631</v>
      </c>
      <c r="B1574" s="10">
        <v>7</v>
      </c>
      <c r="C1574" s="10">
        <v>0.6929999999999999</v>
      </c>
      <c r="D1574" s="10">
        <v>1</v>
      </c>
      <c r="E1574" s="10">
        <v>15.562</v>
      </c>
      <c r="F1574" s="10">
        <v>7</v>
      </c>
      <c r="G1574" s="10">
        <v>0</v>
      </c>
      <c r="H1574" s="10">
        <v>2</v>
      </c>
      <c r="I1574" s="10">
        <v>9</v>
      </c>
      <c r="J1574">
        <v>2018</v>
      </c>
      <c r="K1574">
        <v>4</v>
      </c>
      <c r="L1574">
        <v>276</v>
      </c>
      <c r="M1574" t="s">
        <v>61</v>
      </c>
    </row>
    <row r="1575" spans="1:13">
      <c r="A1575" t="s">
        <v>1632</v>
      </c>
      <c r="B1575" s="10">
        <v>6</v>
      </c>
      <c r="C1575" s="10">
        <v>4.462</v>
      </c>
      <c r="D1575" s="10">
        <v>6</v>
      </c>
      <c r="E1575" s="10">
        <v>20</v>
      </c>
      <c r="F1575" s="10">
        <v>9</v>
      </c>
      <c r="G1575" s="10">
        <v>0</v>
      </c>
      <c r="H1575" s="10">
        <v>1</v>
      </c>
      <c r="I1575" s="10">
        <v>12</v>
      </c>
      <c r="J1575">
        <v>2018</v>
      </c>
      <c r="K1575">
        <v>4</v>
      </c>
      <c r="L1575">
        <v>276</v>
      </c>
      <c r="M1575" t="s">
        <v>63</v>
      </c>
    </row>
    <row r="1576" spans="1:13">
      <c r="A1576" t="s">
        <v>1633</v>
      </c>
      <c r="B1576" s="10">
        <v>9</v>
      </c>
      <c r="C1576" s="10">
        <v>7.66</v>
      </c>
      <c r="D1576" s="10">
        <v>5</v>
      </c>
      <c r="E1576" s="10">
        <v>18.1</v>
      </c>
      <c r="F1576" s="10">
        <v>8</v>
      </c>
      <c r="G1576" s="10">
        <v>2</v>
      </c>
      <c r="H1576" s="10">
        <v>30</v>
      </c>
      <c r="I1576" s="10">
        <v>9</v>
      </c>
      <c r="J1576">
        <v>2018</v>
      </c>
      <c r="K1576">
        <v>4</v>
      </c>
      <c r="L1576">
        <v>276</v>
      </c>
      <c r="M1576" t="s">
        <v>65</v>
      </c>
    </row>
    <row r="1577" spans="1:13">
      <c r="A1577" t="s">
        <v>1634</v>
      </c>
      <c r="B1577" s="10">
        <v>5.33</v>
      </c>
      <c r="C1577" s="10">
        <v>1.099</v>
      </c>
      <c r="D1577" s="10">
        <v>2</v>
      </c>
      <c r="E1577" s="10">
        <v>18</v>
      </c>
      <c r="F1577" s="10">
        <v>8</v>
      </c>
      <c r="G1577" s="10">
        <v>0</v>
      </c>
      <c r="H1577" s="10">
        <v>7</v>
      </c>
      <c r="I1577" s="10">
        <v>5</v>
      </c>
      <c r="J1577">
        <v>2018</v>
      </c>
      <c r="K1577">
        <v>4</v>
      </c>
      <c r="L1577">
        <v>276</v>
      </c>
      <c r="M1577" t="s">
        <v>53</v>
      </c>
    </row>
    <row r="1578" spans="1:13">
      <c r="A1578" t="s">
        <v>1635</v>
      </c>
      <c r="B1578" s="10">
        <v>6.68</v>
      </c>
      <c r="C1578" s="10">
        <v>3.529</v>
      </c>
      <c r="D1578" s="10">
        <v>3</v>
      </c>
      <c r="E1578" s="10">
        <v>43</v>
      </c>
      <c r="F1578" s="10">
        <v>12</v>
      </c>
      <c r="G1578" s="10">
        <v>0</v>
      </c>
      <c r="H1578" s="10">
        <v>6</v>
      </c>
      <c r="I1578" s="10">
        <v>4</v>
      </c>
      <c r="J1578">
        <v>2018</v>
      </c>
      <c r="K1578">
        <v>4</v>
      </c>
      <c r="L1578">
        <v>276</v>
      </c>
      <c r="M1578" t="s">
        <v>55</v>
      </c>
    </row>
    <row r="1579" spans="1:13">
      <c r="A1579" t="s">
        <v>1636</v>
      </c>
      <c r="B1579" s="10">
        <v>9.33</v>
      </c>
      <c r="C1579" s="10">
        <v>2</v>
      </c>
      <c r="D1579" s="10">
        <v>2.05</v>
      </c>
      <c r="E1579" s="10">
        <v>27.25</v>
      </c>
      <c r="F1579" s="10">
        <v>11</v>
      </c>
      <c r="G1579" s="10">
        <v>1</v>
      </c>
      <c r="H1579" s="10">
        <v>6</v>
      </c>
      <c r="I1579" s="10">
        <v>7</v>
      </c>
      <c r="J1579">
        <v>2018</v>
      </c>
      <c r="K1579">
        <v>4</v>
      </c>
      <c r="L1579">
        <v>276</v>
      </c>
      <c r="M1579" t="s">
        <v>57</v>
      </c>
    </row>
    <row r="1580" spans="1:13">
      <c r="A1580" t="s">
        <v>1637</v>
      </c>
      <c r="B1580" s="10">
        <v>7.33</v>
      </c>
      <c r="C1580" s="10">
        <v>6</v>
      </c>
      <c r="D1580" s="10">
        <v>6</v>
      </c>
      <c r="E1580" s="10">
        <v>14</v>
      </c>
      <c r="F1580" s="10">
        <v>5</v>
      </c>
      <c r="G1580" s="10">
        <v>0</v>
      </c>
      <c r="H1580" s="10">
        <v>14</v>
      </c>
      <c r="I1580" s="10">
        <v>10.4</v>
      </c>
      <c r="J1580">
        <v>2018</v>
      </c>
      <c r="K1580">
        <v>4</v>
      </c>
      <c r="L1580">
        <v>276</v>
      </c>
      <c r="M1580" t="s">
        <v>59</v>
      </c>
    </row>
    <row r="1581" spans="1:13">
      <c r="A1581" t="s">
        <v>1638</v>
      </c>
      <c r="B1581" s="10">
        <v>5</v>
      </c>
      <c r="C1581" s="10">
        <v>6.66</v>
      </c>
      <c r="D1581" s="10">
        <v>3</v>
      </c>
      <c r="E1581" s="10">
        <v>14.125</v>
      </c>
      <c r="F1581" s="10">
        <v>12</v>
      </c>
      <c r="G1581" s="10">
        <v>0</v>
      </c>
      <c r="H1581" s="10">
        <v>1</v>
      </c>
      <c r="I1581" s="10">
        <v>7</v>
      </c>
      <c r="J1581">
        <v>2018</v>
      </c>
      <c r="K1581">
        <v>4</v>
      </c>
      <c r="L1581">
        <v>276</v>
      </c>
      <c r="M1581" t="s">
        <v>61</v>
      </c>
    </row>
    <row r="1582" spans="1:13">
      <c r="A1582" t="s">
        <v>1639</v>
      </c>
      <c r="B1582" s="10">
        <v>2.34</v>
      </c>
      <c r="C1582" s="10">
        <v>0</v>
      </c>
      <c r="D1582" s="10">
        <v>1</v>
      </c>
      <c r="E1582" s="10">
        <v>6.2</v>
      </c>
      <c r="F1582" s="10">
        <v>0</v>
      </c>
      <c r="G1582" s="10">
        <v>0</v>
      </c>
      <c r="H1582" s="10">
        <v>1</v>
      </c>
      <c r="I1582" s="10">
        <v>8</v>
      </c>
      <c r="J1582">
        <v>2018</v>
      </c>
      <c r="K1582">
        <v>5</v>
      </c>
      <c r="L1582">
        <v>276</v>
      </c>
      <c r="M1582" t="s">
        <v>63</v>
      </c>
    </row>
    <row r="1583" spans="1:13">
      <c r="A1583" t="s">
        <v>1640</v>
      </c>
      <c r="B1583" s="10">
        <v>6</v>
      </c>
      <c r="C1583" s="10">
        <v>3.526</v>
      </c>
      <c r="D1583" s="10">
        <v>2</v>
      </c>
      <c r="E1583" s="10">
        <v>38.2</v>
      </c>
      <c r="F1583" s="10">
        <v>7</v>
      </c>
      <c r="G1583" s="10">
        <v>0</v>
      </c>
      <c r="H1583" s="10">
        <v>3</v>
      </c>
      <c r="I1583" s="10">
        <v>9</v>
      </c>
      <c r="J1583">
        <v>2018</v>
      </c>
      <c r="K1583">
        <v>5</v>
      </c>
      <c r="L1583">
        <v>276</v>
      </c>
      <c r="M1583" t="s">
        <v>65</v>
      </c>
    </row>
    <row r="1584" spans="1:13">
      <c r="A1584" t="s">
        <v>1641</v>
      </c>
      <c r="B1584" s="10">
        <v>2.33</v>
      </c>
      <c r="C1584" s="10">
        <v>1.779</v>
      </c>
      <c r="D1584" s="10">
        <v>2</v>
      </c>
      <c r="E1584" s="10">
        <v>27.262</v>
      </c>
      <c r="F1584" s="10">
        <v>10</v>
      </c>
      <c r="G1584" s="10">
        <v>0</v>
      </c>
      <c r="H1584" s="10">
        <v>16</v>
      </c>
      <c r="I1584" s="10">
        <v>10</v>
      </c>
      <c r="J1584">
        <v>2018</v>
      </c>
      <c r="K1584">
        <v>5</v>
      </c>
      <c r="L1584">
        <v>276</v>
      </c>
      <c r="M1584" t="s">
        <v>53</v>
      </c>
    </row>
    <row r="1585" spans="1:13">
      <c r="A1585" t="s">
        <v>1642</v>
      </c>
      <c r="B1585" s="10">
        <v>1</v>
      </c>
      <c r="C1585" s="10">
        <v>2.93</v>
      </c>
      <c r="D1585" s="10">
        <v>5</v>
      </c>
      <c r="E1585" s="10">
        <v>8.75</v>
      </c>
      <c r="F1585" s="10">
        <v>6</v>
      </c>
      <c r="G1585" s="10">
        <v>0</v>
      </c>
      <c r="H1585" s="10">
        <v>2</v>
      </c>
      <c r="I1585" s="10">
        <v>10.5</v>
      </c>
      <c r="J1585">
        <v>2018</v>
      </c>
      <c r="K1585">
        <v>5</v>
      </c>
      <c r="L1585">
        <v>276</v>
      </c>
      <c r="M1585" t="s">
        <v>55</v>
      </c>
    </row>
    <row r="1586" spans="1:13">
      <c r="A1586" t="s">
        <v>1643</v>
      </c>
      <c r="B1586" s="10">
        <v>9</v>
      </c>
      <c r="C1586" s="10">
        <v>3.34</v>
      </c>
      <c r="D1586" s="10">
        <v>5</v>
      </c>
      <c r="E1586" s="10">
        <v>24</v>
      </c>
      <c r="F1586" s="10">
        <v>9</v>
      </c>
      <c r="G1586" s="10">
        <v>0</v>
      </c>
      <c r="H1586" s="10">
        <v>0</v>
      </c>
      <c r="I1586" s="10">
        <v>7</v>
      </c>
      <c r="J1586">
        <v>2018</v>
      </c>
      <c r="K1586">
        <v>5</v>
      </c>
      <c r="L1586">
        <v>276</v>
      </c>
      <c r="M1586" t="s">
        <v>57</v>
      </c>
    </row>
    <row r="1587" spans="1:13">
      <c r="A1587" t="s">
        <v>1644</v>
      </c>
      <c r="B1587" s="10">
        <v>3.34</v>
      </c>
      <c r="C1587" s="10">
        <v>10.66</v>
      </c>
      <c r="D1587" s="10">
        <v>0.25</v>
      </c>
      <c r="E1587" s="10">
        <v>18.2</v>
      </c>
      <c r="F1587" s="10">
        <v>9</v>
      </c>
      <c r="G1587" s="10">
        <v>0</v>
      </c>
      <c r="H1587" s="10">
        <v>3</v>
      </c>
      <c r="I1587" s="10">
        <v>13.5</v>
      </c>
      <c r="J1587">
        <v>2018</v>
      </c>
      <c r="K1587">
        <v>5</v>
      </c>
      <c r="L1587">
        <v>276</v>
      </c>
      <c r="M1587" t="s">
        <v>59</v>
      </c>
    </row>
    <row r="1588" spans="1:13">
      <c r="A1588" t="s">
        <v>1645</v>
      </c>
      <c r="B1588" s="10">
        <v>9.66</v>
      </c>
      <c r="C1588" s="10">
        <v>0.033</v>
      </c>
      <c r="D1588" s="10">
        <v>0</v>
      </c>
      <c r="E1588" s="10">
        <v>22</v>
      </c>
      <c r="F1588" s="10">
        <v>13</v>
      </c>
      <c r="G1588" s="10">
        <v>0</v>
      </c>
      <c r="H1588" s="10">
        <v>7</v>
      </c>
      <c r="I1588" s="10">
        <v>3</v>
      </c>
      <c r="J1588">
        <v>2018</v>
      </c>
      <c r="K1588">
        <v>5</v>
      </c>
      <c r="L1588">
        <v>276</v>
      </c>
      <c r="M1588" t="s">
        <v>61</v>
      </c>
    </row>
    <row r="1589" spans="1:13">
      <c r="A1589" t="s">
        <v>1646</v>
      </c>
      <c r="B1589" s="10">
        <v>10.5</v>
      </c>
      <c r="C1589" s="10">
        <v>5.84</v>
      </c>
      <c r="D1589" s="10">
        <v>1</v>
      </c>
      <c r="E1589" s="10">
        <v>15</v>
      </c>
      <c r="F1589" s="10">
        <v>14</v>
      </c>
      <c r="G1589" s="10">
        <v>2</v>
      </c>
      <c r="H1589" s="10">
        <v>1</v>
      </c>
      <c r="I1589" s="10">
        <v>9</v>
      </c>
      <c r="J1589">
        <v>2018</v>
      </c>
      <c r="K1589">
        <v>5</v>
      </c>
      <c r="L1589">
        <v>276</v>
      </c>
      <c r="M1589" t="s">
        <v>63</v>
      </c>
    </row>
    <row r="1590" spans="1:13">
      <c r="A1590" t="s">
        <v>1647</v>
      </c>
      <c r="B1590" s="10">
        <v>9.34</v>
      </c>
      <c r="C1590" s="10">
        <v>2.33</v>
      </c>
      <c r="D1590" s="10">
        <v>7</v>
      </c>
      <c r="E1590" s="10">
        <v>24.4</v>
      </c>
      <c r="F1590" s="10">
        <v>8</v>
      </c>
      <c r="G1590" s="10">
        <v>2</v>
      </c>
      <c r="H1590" s="10">
        <v>2</v>
      </c>
      <c r="I1590" s="10">
        <v>5</v>
      </c>
      <c r="J1590">
        <v>2018</v>
      </c>
      <c r="K1590">
        <v>5</v>
      </c>
      <c r="L1590">
        <v>276</v>
      </c>
      <c r="M1590" t="s">
        <v>65</v>
      </c>
    </row>
    <row r="1591" spans="1:13">
      <c r="A1591" t="s">
        <v>1648</v>
      </c>
      <c r="B1591" s="10">
        <v>8.5</v>
      </c>
      <c r="C1591" s="10">
        <v>5.32</v>
      </c>
      <c r="D1591" s="10">
        <v>6</v>
      </c>
      <c r="E1591" s="10">
        <v>39</v>
      </c>
      <c r="F1591" s="10">
        <v>12</v>
      </c>
      <c r="G1591" s="10">
        <v>0</v>
      </c>
      <c r="H1591" s="10">
        <v>1</v>
      </c>
      <c r="I1591" s="10">
        <v>6</v>
      </c>
      <c r="J1591">
        <v>2018</v>
      </c>
      <c r="K1591">
        <v>5</v>
      </c>
      <c r="L1591">
        <v>276</v>
      </c>
      <c r="M1591" t="s">
        <v>53</v>
      </c>
    </row>
    <row r="1592" spans="1:13">
      <c r="A1592" t="s">
        <v>1649</v>
      </c>
      <c r="B1592" s="10">
        <v>9.33</v>
      </c>
      <c r="C1592" s="10">
        <v>1.34</v>
      </c>
      <c r="D1592" s="10">
        <v>3</v>
      </c>
      <c r="E1592" s="10">
        <v>19</v>
      </c>
      <c r="F1592" s="10">
        <v>6</v>
      </c>
      <c r="G1592" s="10">
        <v>0</v>
      </c>
      <c r="H1592" s="10">
        <v>2</v>
      </c>
      <c r="I1592" s="10">
        <v>10</v>
      </c>
      <c r="J1592">
        <v>2018</v>
      </c>
      <c r="K1592">
        <v>5</v>
      </c>
      <c r="L1592">
        <v>276</v>
      </c>
      <c r="M1592" t="s">
        <v>55</v>
      </c>
    </row>
    <row r="1593" spans="1:13">
      <c r="A1593" t="s">
        <v>1650</v>
      </c>
      <c r="B1593" s="10">
        <v>1.33</v>
      </c>
      <c r="C1593" s="10">
        <v>3.66</v>
      </c>
      <c r="D1593" s="10">
        <v>5.15</v>
      </c>
      <c r="E1593" s="10">
        <v>27</v>
      </c>
      <c r="F1593" s="10">
        <v>10</v>
      </c>
      <c r="G1593" s="10">
        <v>0</v>
      </c>
      <c r="H1593" s="10">
        <v>11</v>
      </c>
      <c r="I1593" s="10">
        <v>8</v>
      </c>
      <c r="J1593">
        <v>2018</v>
      </c>
      <c r="K1593">
        <v>5</v>
      </c>
      <c r="L1593">
        <v>276</v>
      </c>
      <c r="M1593" t="s">
        <v>57</v>
      </c>
    </row>
    <row r="1594" spans="1:13">
      <c r="A1594" t="s">
        <v>1651</v>
      </c>
      <c r="B1594" s="10">
        <v>5.16</v>
      </c>
      <c r="C1594" s="10">
        <v>5.759</v>
      </c>
      <c r="D1594" s="10">
        <v>3</v>
      </c>
      <c r="E1594" s="10">
        <v>14.4</v>
      </c>
      <c r="F1594" s="10">
        <v>3</v>
      </c>
      <c r="G1594" s="10">
        <v>0</v>
      </c>
      <c r="H1594" s="10">
        <v>7</v>
      </c>
      <c r="I1594" s="10">
        <v>10</v>
      </c>
      <c r="J1594">
        <v>2018</v>
      </c>
      <c r="K1594">
        <v>5</v>
      </c>
      <c r="L1594">
        <v>276</v>
      </c>
      <c r="M1594" t="s">
        <v>59</v>
      </c>
    </row>
    <row r="1595" spans="1:13">
      <c r="A1595" t="s">
        <v>1652</v>
      </c>
      <c r="B1595" s="10">
        <v>6</v>
      </c>
      <c r="C1595" s="10">
        <v>6.539</v>
      </c>
      <c r="D1595" s="10">
        <v>1</v>
      </c>
      <c r="E1595" s="10">
        <v>20</v>
      </c>
      <c r="F1595" s="10">
        <v>4</v>
      </c>
      <c r="G1595" s="10">
        <v>1</v>
      </c>
      <c r="H1595" s="10">
        <v>37</v>
      </c>
      <c r="I1595" s="10">
        <v>3</v>
      </c>
      <c r="J1595">
        <v>2018</v>
      </c>
      <c r="K1595">
        <v>5</v>
      </c>
      <c r="L1595">
        <v>276</v>
      </c>
      <c r="M1595" t="s">
        <v>61</v>
      </c>
    </row>
    <row r="1596" spans="1:13">
      <c r="A1596" t="s">
        <v>1653</v>
      </c>
      <c r="B1596" s="10">
        <v>4</v>
      </c>
      <c r="C1596" s="10">
        <v>0.67</v>
      </c>
      <c r="D1596" s="10">
        <v>2</v>
      </c>
      <c r="E1596" s="10">
        <v>14</v>
      </c>
      <c r="F1596" s="10">
        <v>11</v>
      </c>
      <c r="G1596" s="10">
        <v>0</v>
      </c>
      <c r="H1596" s="10">
        <v>5</v>
      </c>
      <c r="I1596" s="10">
        <v>7</v>
      </c>
      <c r="J1596">
        <v>2018</v>
      </c>
      <c r="K1596">
        <v>5</v>
      </c>
      <c r="L1596">
        <v>276</v>
      </c>
      <c r="M1596" t="s">
        <v>63</v>
      </c>
    </row>
    <row r="1597" spans="1:13">
      <c r="A1597" t="s">
        <v>1654</v>
      </c>
      <c r="B1597" s="10">
        <v>4.01</v>
      </c>
      <c r="C1597" s="10">
        <v>2.33</v>
      </c>
      <c r="D1597" s="10">
        <v>2.5</v>
      </c>
      <c r="E1597" s="10">
        <v>13.4</v>
      </c>
      <c r="F1597" s="10">
        <v>9</v>
      </c>
      <c r="G1597" s="10">
        <v>0</v>
      </c>
      <c r="H1597" s="10">
        <v>2</v>
      </c>
      <c r="I1597" s="10">
        <v>8</v>
      </c>
      <c r="J1597">
        <v>2018</v>
      </c>
      <c r="K1597">
        <v>5</v>
      </c>
      <c r="L1597">
        <v>276</v>
      </c>
      <c r="M1597" t="s">
        <v>65</v>
      </c>
    </row>
    <row r="1598" spans="1:13">
      <c r="A1598" t="s">
        <v>1655</v>
      </c>
      <c r="B1598" s="10">
        <v>2</v>
      </c>
      <c r="C1598" s="10">
        <v>2.78</v>
      </c>
      <c r="D1598" s="10">
        <v>3.5</v>
      </c>
      <c r="E1598" s="10">
        <v>16</v>
      </c>
      <c r="F1598" s="10">
        <v>11</v>
      </c>
      <c r="G1598" s="10">
        <v>0</v>
      </c>
      <c r="H1598" s="10">
        <v>1</v>
      </c>
      <c r="I1598" s="10">
        <v>4</v>
      </c>
      <c r="J1598">
        <v>2018</v>
      </c>
      <c r="K1598">
        <v>5</v>
      </c>
      <c r="L1598">
        <v>276</v>
      </c>
      <c r="M1598" t="s">
        <v>53</v>
      </c>
    </row>
    <row r="1599" spans="1:13">
      <c r="A1599" t="s">
        <v>1656</v>
      </c>
      <c r="B1599" s="10">
        <v>2.34</v>
      </c>
      <c r="C1599" s="10">
        <v>1.396</v>
      </c>
      <c r="D1599" s="10">
        <v>6</v>
      </c>
      <c r="E1599" s="10">
        <v>30</v>
      </c>
      <c r="F1599" s="10">
        <v>11</v>
      </c>
      <c r="G1599" s="10">
        <v>0</v>
      </c>
      <c r="H1599" s="10">
        <v>2</v>
      </c>
      <c r="I1599" s="10">
        <v>2.4</v>
      </c>
      <c r="J1599">
        <v>2018</v>
      </c>
      <c r="K1599">
        <v>5</v>
      </c>
      <c r="L1599">
        <v>276</v>
      </c>
      <c r="M1599" t="s">
        <v>55</v>
      </c>
    </row>
    <row r="1600" spans="1:13">
      <c r="A1600" t="s">
        <v>1657</v>
      </c>
      <c r="B1600" s="10">
        <v>2.34</v>
      </c>
      <c r="C1600" s="10">
        <v>2.561</v>
      </c>
      <c r="D1600" s="10">
        <v>1</v>
      </c>
      <c r="E1600" s="10">
        <v>18.4</v>
      </c>
      <c r="F1600" s="10">
        <v>7</v>
      </c>
      <c r="G1600" s="10">
        <v>5</v>
      </c>
      <c r="H1600" s="10">
        <v>0</v>
      </c>
      <c r="I1600" s="10">
        <v>5</v>
      </c>
      <c r="J1600">
        <v>2018</v>
      </c>
      <c r="K1600">
        <v>5</v>
      </c>
      <c r="L1600">
        <v>276</v>
      </c>
      <c r="M1600" t="s">
        <v>57</v>
      </c>
    </row>
    <row r="1601" spans="1:13">
      <c r="A1601" t="s">
        <v>1658</v>
      </c>
      <c r="B1601" s="10">
        <v>7</v>
      </c>
      <c r="C1601" s="10">
        <v>8.01</v>
      </c>
      <c r="D1601" s="10">
        <v>1</v>
      </c>
      <c r="E1601" s="10">
        <v>45</v>
      </c>
      <c r="F1601" s="10">
        <v>6</v>
      </c>
      <c r="G1601" s="10">
        <v>1</v>
      </c>
      <c r="H1601" s="10">
        <v>0</v>
      </c>
      <c r="I1601" s="10">
        <v>10</v>
      </c>
      <c r="J1601">
        <v>2018</v>
      </c>
      <c r="K1601">
        <v>5</v>
      </c>
      <c r="L1601">
        <v>276</v>
      </c>
      <c r="M1601" t="s">
        <v>59</v>
      </c>
    </row>
    <row r="1602" spans="1:13">
      <c r="A1602" t="s">
        <v>1659</v>
      </c>
      <c r="B1602" s="10">
        <v>12</v>
      </c>
      <c r="C1602" s="10">
        <v>2.759</v>
      </c>
      <c r="D1602" s="10">
        <v>2.15</v>
      </c>
      <c r="E1602" s="10">
        <v>14.6</v>
      </c>
      <c r="F1602" s="10">
        <v>18</v>
      </c>
      <c r="G1602" s="10">
        <v>0</v>
      </c>
      <c r="H1602" s="10">
        <v>11</v>
      </c>
      <c r="I1602" s="10">
        <v>5</v>
      </c>
      <c r="J1602">
        <v>2018</v>
      </c>
      <c r="K1602">
        <v>5</v>
      </c>
      <c r="L1602">
        <v>276</v>
      </c>
      <c r="M1602" t="s">
        <v>61</v>
      </c>
    </row>
    <row r="1603" spans="1:13">
      <c r="A1603" t="s">
        <v>1660</v>
      </c>
      <c r="B1603" s="10">
        <v>3.67</v>
      </c>
      <c r="C1603" s="10">
        <v>2.33</v>
      </c>
      <c r="D1603" s="10">
        <v>3</v>
      </c>
      <c r="E1603" s="10">
        <v>8.061999999999999</v>
      </c>
      <c r="F1603" s="10">
        <v>7</v>
      </c>
      <c r="G1603" s="10">
        <v>0</v>
      </c>
      <c r="H1603" s="10">
        <v>6</v>
      </c>
      <c r="I1603" s="10">
        <v>6</v>
      </c>
      <c r="J1603">
        <v>2018</v>
      </c>
      <c r="K1603">
        <v>5</v>
      </c>
      <c r="L1603">
        <v>276</v>
      </c>
      <c r="M1603" t="s">
        <v>63</v>
      </c>
    </row>
    <row r="1604" spans="1:13">
      <c r="A1604" t="s">
        <v>1661</v>
      </c>
      <c r="B1604" s="10">
        <v>1.5</v>
      </c>
      <c r="C1604" s="10">
        <v>3.66</v>
      </c>
      <c r="D1604" s="10">
        <v>0</v>
      </c>
      <c r="E1604" s="10">
        <v>11</v>
      </c>
      <c r="F1604" s="10">
        <v>7</v>
      </c>
      <c r="G1604" s="10">
        <v>0</v>
      </c>
      <c r="H1604" s="10">
        <v>0</v>
      </c>
      <c r="I1604" s="10">
        <v>7</v>
      </c>
      <c r="J1604">
        <v>2018</v>
      </c>
      <c r="K1604">
        <v>5</v>
      </c>
      <c r="L1604">
        <v>276</v>
      </c>
      <c r="M1604" t="s">
        <v>65</v>
      </c>
    </row>
    <row r="1605" spans="1:13">
      <c r="A1605" t="s">
        <v>1662</v>
      </c>
      <c r="B1605" s="10">
        <v>2</v>
      </c>
      <c r="C1605" s="10">
        <v>1.99</v>
      </c>
      <c r="D1605" s="10">
        <v>5</v>
      </c>
      <c r="E1605" s="10">
        <v>20.2</v>
      </c>
      <c r="F1605" s="10">
        <v>6</v>
      </c>
      <c r="G1605" s="10">
        <v>1</v>
      </c>
      <c r="H1605" s="10">
        <v>10</v>
      </c>
      <c r="I1605" s="10">
        <v>1</v>
      </c>
      <c r="J1605">
        <v>2018</v>
      </c>
      <c r="K1605">
        <v>5</v>
      </c>
      <c r="L1605">
        <v>276</v>
      </c>
      <c r="M1605" t="s">
        <v>53</v>
      </c>
    </row>
    <row r="1606" spans="1:13">
      <c r="A1606" t="s">
        <v>1663</v>
      </c>
      <c r="B1606" s="10">
        <v>2.33</v>
      </c>
      <c r="C1606" s="10">
        <v>2.33</v>
      </c>
      <c r="D1606" s="10">
        <v>2</v>
      </c>
      <c r="E1606" s="10">
        <v>16.4</v>
      </c>
      <c r="F1606" s="10">
        <v>9</v>
      </c>
      <c r="G1606" s="10">
        <v>0</v>
      </c>
      <c r="H1606" s="10">
        <v>1</v>
      </c>
      <c r="I1606" s="10">
        <v>2</v>
      </c>
      <c r="J1606">
        <v>2018</v>
      </c>
      <c r="K1606">
        <v>5</v>
      </c>
      <c r="L1606">
        <v>276</v>
      </c>
      <c r="M1606" t="s">
        <v>55</v>
      </c>
    </row>
    <row r="1607" spans="1:13">
      <c r="A1607" t="s">
        <v>1664</v>
      </c>
      <c r="B1607" s="10">
        <v>3.33</v>
      </c>
      <c r="C1607" s="10">
        <v>2.759</v>
      </c>
      <c r="D1607" s="10">
        <v>7</v>
      </c>
      <c r="E1607" s="10">
        <v>16.262</v>
      </c>
      <c r="F1607" s="10">
        <v>7</v>
      </c>
      <c r="G1607" s="10">
        <v>0</v>
      </c>
      <c r="H1607" s="10">
        <v>3</v>
      </c>
      <c r="I1607" s="10">
        <v>5</v>
      </c>
      <c r="J1607">
        <v>2018</v>
      </c>
      <c r="K1607">
        <v>5</v>
      </c>
      <c r="L1607">
        <v>276</v>
      </c>
      <c r="M1607" t="s">
        <v>57</v>
      </c>
    </row>
    <row r="1608" spans="1:13">
      <c r="A1608" t="s">
        <v>1665</v>
      </c>
      <c r="B1608" s="10">
        <v>6.33</v>
      </c>
      <c r="C1608" s="10">
        <v>4.518</v>
      </c>
      <c r="D1608" s="10">
        <v>5</v>
      </c>
      <c r="E1608" s="10">
        <v>49.262</v>
      </c>
      <c r="F1608" s="10">
        <v>6</v>
      </c>
      <c r="G1608" s="10">
        <v>1</v>
      </c>
      <c r="H1608" s="10">
        <v>0</v>
      </c>
      <c r="I1608" s="10">
        <v>11</v>
      </c>
      <c r="J1608">
        <v>2018</v>
      </c>
      <c r="K1608">
        <v>5</v>
      </c>
      <c r="L1608">
        <v>276</v>
      </c>
      <c r="M1608" t="s">
        <v>59</v>
      </c>
    </row>
    <row r="1609" spans="1:13">
      <c r="A1609" t="s">
        <v>1666</v>
      </c>
      <c r="B1609" s="10">
        <v>7</v>
      </c>
      <c r="C1609" s="10">
        <v>3.01</v>
      </c>
      <c r="D1609" s="10">
        <v>1.2</v>
      </c>
      <c r="E1609" s="10">
        <v>19.6</v>
      </c>
      <c r="F1609" s="10">
        <v>7</v>
      </c>
      <c r="G1609" s="10">
        <v>0</v>
      </c>
      <c r="H1609" s="10">
        <v>7</v>
      </c>
      <c r="I1609" s="10">
        <v>6</v>
      </c>
      <c r="J1609">
        <v>2018</v>
      </c>
      <c r="K1609">
        <v>5</v>
      </c>
      <c r="L1609">
        <v>276</v>
      </c>
      <c r="M1609" t="s">
        <v>61</v>
      </c>
    </row>
    <row r="1610" spans="1:13">
      <c r="A1610" t="s">
        <v>1667</v>
      </c>
      <c r="B1610" s="10">
        <v>9</v>
      </c>
      <c r="C1610" s="10">
        <v>4.033</v>
      </c>
      <c r="D1610" s="10">
        <v>3.3</v>
      </c>
      <c r="E1610" s="10">
        <v>21.25</v>
      </c>
      <c r="F1610" s="10">
        <v>7</v>
      </c>
      <c r="G1610" s="10">
        <v>0</v>
      </c>
      <c r="H1610" s="10">
        <v>4</v>
      </c>
      <c r="I1610" s="10">
        <v>6</v>
      </c>
      <c r="J1610">
        <v>2018</v>
      </c>
      <c r="K1610">
        <v>5</v>
      </c>
      <c r="L1610">
        <v>276</v>
      </c>
      <c r="M1610" t="s">
        <v>63</v>
      </c>
    </row>
    <row r="1611" spans="1:13">
      <c r="A1611" t="s">
        <v>1668</v>
      </c>
      <c r="B1611" s="10">
        <v>4.34</v>
      </c>
      <c r="C1611" s="10">
        <v>1.67</v>
      </c>
      <c r="D1611" s="10">
        <v>2</v>
      </c>
      <c r="E1611" s="10">
        <v>16.4</v>
      </c>
      <c r="F1611" s="10">
        <v>9</v>
      </c>
      <c r="G1611" s="10">
        <v>0</v>
      </c>
      <c r="H1611" s="10">
        <v>14</v>
      </c>
      <c r="I1611" s="10">
        <v>10</v>
      </c>
      <c r="J1611">
        <v>2018</v>
      </c>
      <c r="K1611">
        <v>5</v>
      </c>
      <c r="L1611">
        <v>276</v>
      </c>
      <c r="M1611" t="s">
        <v>65</v>
      </c>
    </row>
    <row r="1612" spans="1:13">
      <c r="A1612" t="s">
        <v>1669</v>
      </c>
      <c r="B1612" s="10">
        <v>3.5</v>
      </c>
      <c r="C1612" s="10">
        <v>3.66</v>
      </c>
      <c r="D1612" s="10">
        <v>1.35</v>
      </c>
      <c r="E1612" s="10">
        <v>11.4</v>
      </c>
      <c r="F1612" s="10">
        <v>10</v>
      </c>
      <c r="G1612" s="10">
        <v>0</v>
      </c>
      <c r="H1612" s="10">
        <v>8</v>
      </c>
      <c r="I1612" s="10">
        <v>5.64</v>
      </c>
      <c r="J1612">
        <v>2018</v>
      </c>
      <c r="K1612">
        <v>5</v>
      </c>
      <c r="L1612">
        <v>276</v>
      </c>
      <c r="M1612" t="s">
        <v>53</v>
      </c>
    </row>
    <row r="1613" spans="1:13">
      <c r="A1613" t="s">
        <v>1670</v>
      </c>
      <c r="B1613" s="10">
        <v>12.33</v>
      </c>
      <c r="C1613" s="10">
        <v>2.18</v>
      </c>
      <c r="D1613" s="10">
        <v>4</v>
      </c>
      <c r="E1613" s="10">
        <v>29</v>
      </c>
      <c r="F1613" s="10">
        <v>9</v>
      </c>
      <c r="G1613" s="10">
        <v>0</v>
      </c>
      <c r="H1613" s="10">
        <v>5</v>
      </c>
      <c r="I1613" s="10">
        <v>3</v>
      </c>
      <c r="J1613">
        <v>2018</v>
      </c>
      <c r="K1613">
        <v>6</v>
      </c>
      <c r="L1613">
        <v>276</v>
      </c>
      <c r="M1613" t="s">
        <v>55</v>
      </c>
    </row>
    <row r="1614" spans="1:13">
      <c r="A1614" t="s">
        <v>1671</v>
      </c>
      <c r="B1614" s="10">
        <v>8</v>
      </c>
      <c r="C1614" s="10">
        <v>3.086</v>
      </c>
      <c r="D1614" s="10">
        <v>4</v>
      </c>
      <c r="E1614" s="10">
        <v>23</v>
      </c>
      <c r="F1614" s="10">
        <v>9</v>
      </c>
      <c r="G1614" s="10">
        <v>3</v>
      </c>
      <c r="H1614" s="10">
        <v>7</v>
      </c>
      <c r="I1614" s="10">
        <v>9</v>
      </c>
      <c r="J1614">
        <v>2018</v>
      </c>
      <c r="K1614">
        <v>6</v>
      </c>
      <c r="L1614">
        <v>276</v>
      </c>
      <c r="M1614" t="s">
        <v>57</v>
      </c>
    </row>
    <row r="1615" spans="1:13">
      <c r="A1615" t="s">
        <v>1672</v>
      </c>
      <c r="B1615" s="10">
        <v>5</v>
      </c>
      <c r="C1615" s="10">
        <v>2.746</v>
      </c>
      <c r="D1615" s="10">
        <v>1</v>
      </c>
      <c r="E1615" s="10">
        <v>22.4</v>
      </c>
      <c r="F1615" s="10">
        <v>8</v>
      </c>
      <c r="G1615" s="10">
        <v>1</v>
      </c>
      <c r="H1615" s="10">
        <v>0</v>
      </c>
      <c r="I1615" s="10">
        <v>2</v>
      </c>
      <c r="J1615">
        <v>2018</v>
      </c>
      <c r="K1615">
        <v>6</v>
      </c>
      <c r="L1615">
        <v>276</v>
      </c>
      <c r="M1615" t="s">
        <v>59</v>
      </c>
    </row>
    <row r="1616" spans="1:13">
      <c r="A1616" t="s">
        <v>1673</v>
      </c>
      <c r="B1616" s="10">
        <v>3.33</v>
      </c>
      <c r="C1616" s="10">
        <v>3</v>
      </c>
      <c r="D1616" s="10">
        <v>6</v>
      </c>
      <c r="E1616" s="10">
        <v>19</v>
      </c>
      <c r="F1616" s="10">
        <v>3</v>
      </c>
      <c r="G1616" s="10">
        <v>0</v>
      </c>
      <c r="H1616" s="10">
        <v>6</v>
      </c>
      <c r="I1616" s="10">
        <v>6</v>
      </c>
      <c r="J1616">
        <v>2018</v>
      </c>
      <c r="K1616">
        <v>6</v>
      </c>
      <c r="L1616">
        <v>276</v>
      </c>
      <c r="M1616" t="s">
        <v>61</v>
      </c>
    </row>
    <row r="1617" spans="1:13">
      <c r="A1617" t="s">
        <v>1674</v>
      </c>
      <c r="B1617" s="10">
        <v>4.33</v>
      </c>
      <c r="C1617" s="10">
        <v>3.67</v>
      </c>
      <c r="D1617" s="10">
        <v>1.05</v>
      </c>
      <c r="E1617" s="10">
        <v>20</v>
      </c>
      <c r="F1617" s="10">
        <v>7</v>
      </c>
      <c r="G1617" s="10">
        <v>2</v>
      </c>
      <c r="H1617" s="10">
        <v>0</v>
      </c>
      <c r="I1617" s="10">
        <v>7</v>
      </c>
      <c r="J1617">
        <v>2018</v>
      </c>
      <c r="K1617">
        <v>6</v>
      </c>
      <c r="L1617">
        <v>276</v>
      </c>
      <c r="M1617" t="s">
        <v>63</v>
      </c>
    </row>
    <row r="1618" spans="1:13">
      <c r="A1618" t="s">
        <v>1675</v>
      </c>
      <c r="B1618" s="10">
        <v>6</v>
      </c>
      <c r="C1618" s="10">
        <v>2.34</v>
      </c>
      <c r="D1618" s="10">
        <v>0.15</v>
      </c>
      <c r="E1618" s="10">
        <v>17.25</v>
      </c>
      <c r="F1618" s="10">
        <v>16</v>
      </c>
      <c r="G1618" s="10">
        <v>3</v>
      </c>
      <c r="H1618" s="10">
        <v>0</v>
      </c>
      <c r="I1618" s="10">
        <v>2</v>
      </c>
      <c r="J1618">
        <v>2018</v>
      </c>
      <c r="K1618">
        <v>6</v>
      </c>
      <c r="L1618">
        <v>276</v>
      </c>
      <c r="M1618" t="s">
        <v>65</v>
      </c>
    </row>
    <row r="1619" spans="1:13">
      <c r="A1619" t="s">
        <v>1676</v>
      </c>
      <c r="B1619" s="10">
        <v>2</v>
      </c>
      <c r="C1619" s="10">
        <v>4.528</v>
      </c>
      <c r="D1619" s="10">
        <v>0.25</v>
      </c>
      <c r="E1619" s="10">
        <v>19</v>
      </c>
      <c r="F1619" s="10">
        <v>11</v>
      </c>
      <c r="G1619" s="10">
        <v>1</v>
      </c>
      <c r="H1619" s="10">
        <v>10</v>
      </c>
      <c r="I1619" s="10">
        <v>2</v>
      </c>
      <c r="J1619">
        <v>2018</v>
      </c>
      <c r="K1619">
        <v>6</v>
      </c>
      <c r="L1619">
        <v>276</v>
      </c>
      <c r="M1619" t="s">
        <v>53</v>
      </c>
    </row>
    <row r="1620" spans="1:13">
      <c r="A1620" t="s">
        <v>1677</v>
      </c>
      <c r="B1620" s="10">
        <v>4</v>
      </c>
      <c r="C1620" s="10">
        <v>1.33</v>
      </c>
      <c r="D1620" s="10">
        <v>2</v>
      </c>
      <c r="E1620" s="10">
        <v>9</v>
      </c>
      <c r="F1620" s="10">
        <v>6</v>
      </c>
      <c r="G1620" s="10">
        <v>0</v>
      </c>
      <c r="H1620" s="10">
        <v>2</v>
      </c>
      <c r="I1620" s="10">
        <v>4.4</v>
      </c>
      <c r="J1620">
        <v>2018</v>
      </c>
      <c r="K1620">
        <v>6</v>
      </c>
      <c r="L1620">
        <v>276</v>
      </c>
      <c r="M1620" t="s">
        <v>55</v>
      </c>
    </row>
    <row r="1621" spans="1:13">
      <c r="A1621" t="s">
        <v>1678</v>
      </c>
      <c r="B1621" s="10">
        <v>8</v>
      </c>
      <c r="C1621" s="10">
        <v>6.462</v>
      </c>
      <c r="D1621" s="10">
        <v>3</v>
      </c>
      <c r="E1621" s="10">
        <v>21</v>
      </c>
      <c r="F1621" s="10">
        <v>11</v>
      </c>
      <c r="G1621" s="10">
        <v>0</v>
      </c>
      <c r="H1621" s="10">
        <v>5</v>
      </c>
      <c r="I1621" s="10">
        <v>0</v>
      </c>
      <c r="J1621">
        <v>2018</v>
      </c>
      <c r="K1621">
        <v>6</v>
      </c>
      <c r="L1621">
        <v>276</v>
      </c>
      <c r="M1621" t="s">
        <v>57</v>
      </c>
    </row>
    <row r="1622" spans="1:13">
      <c r="A1622" t="s">
        <v>1679</v>
      </c>
      <c r="B1622" s="10">
        <v>2.66</v>
      </c>
      <c r="C1622" s="10">
        <v>4.693</v>
      </c>
      <c r="D1622" s="10">
        <v>5</v>
      </c>
      <c r="E1622" s="10">
        <v>33.2</v>
      </c>
      <c r="F1622" s="10">
        <v>7</v>
      </c>
      <c r="G1622" s="10">
        <v>0</v>
      </c>
      <c r="H1622" s="10">
        <v>0</v>
      </c>
      <c r="I1622" s="10">
        <v>3</v>
      </c>
      <c r="J1622">
        <v>2018</v>
      </c>
      <c r="K1622">
        <v>6</v>
      </c>
      <c r="L1622">
        <v>276</v>
      </c>
      <c r="M1622" t="s">
        <v>59</v>
      </c>
    </row>
    <row r="1623" spans="1:13">
      <c r="A1623" t="s">
        <v>1680</v>
      </c>
      <c r="B1623" s="10">
        <v>8</v>
      </c>
      <c r="C1623" s="10">
        <v>8.33</v>
      </c>
      <c r="D1623" s="10">
        <v>3.1</v>
      </c>
      <c r="E1623" s="10">
        <v>17</v>
      </c>
      <c r="F1623" s="10">
        <v>17</v>
      </c>
      <c r="G1623" s="10">
        <v>0</v>
      </c>
      <c r="H1623" s="10">
        <v>0</v>
      </c>
      <c r="I1623" s="10">
        <v>6</v>
      </c>
      <c r="J1623">
        <v>2018</v>
      </c>
      <c r="K1623">
        <v>6</v>
      </c>
      <c r="L1623">
        <v>276</v>
      </c>
      <c r="M1623" t="s">
        <v>61</v>
      </c>
    </row>
    <row r="1624" spans="1:13">
      <c r="A1624" t="s">
        <v>1681</v>
      </c>
      <c r="B1624" s="10">
        <v>2.34</v>
      </c>
      <c r="C1624" s="10">
        <v>4.5</v>
      </c>
      <c r="D1624" s="10">
        <v>4</v>
      </c>
      <c r="E1624" s="10">
        <v>18.186</v>
      </c>
      <c r="F1624" s="10">
        <v>3</v>
      </c>
      <c r="G1624" s="10">
        <v>0</v>
      </c>
      <c r="H1624" s="10">
        <v>1</v>
      </c>
      <c r="I1624" s="10">
        <v>7.4</v>
      </c>
      <c r="J1624">
        <v>2018</v>
      </c>
      <c r="K1624">
        <v>6</v>
      </c>
      <c r="L1624">
        <v>276</v>
      </c>
      <c r="M1624" t="s">
        <v>63</v>
      </c>
    </row>
    <row r="1625" spans="1:13">
      <c r="A1625" t="s">
        <v>1682</v>
      </c>
      <c r="B1625" s="10">
        <v>12</v>
      </c>
      <c r="C1625" s="10">
        <v>4.33</v>
      </c>
      <c r="D1625" s="10">
        <v>1.2</v>
      </c>
      <c r="E1625" s="10">
        <v>22.25</v>
      </c>
      <c r="F1625" s="10">
        <v>1</v>
      </c>
      <c r="G1625" s="10">
        <v>0</v>
      </c>
      <c r="H1625" s="10">
        <v>0</v>
      </c>
      <c r="I1625" s="10">
        <v>2</v>
      </c>
      <c r="J1625">
        <v>2018</v>
      </c>
      <c r="K1625">
        <v>6</v>
      </c>
      <c r="L1625">
        <v>276</v>
      </c>
      <c r="M1625" t="s">
        <v>65</v>
      </c>
    </row>
    <row r="1626" spans="1:13">
      <c r="A1626" t="s">
        <v>1683</v>
      </c>
      <c r="B1626" s="10">
        <v>0</v>
      </c>
      <c r="C1626" s="10">
        <v>1</v>
      </c>
      <c r="D1626" s="10">
        <v>1</v>
      </c>
      <c r="E1626" s="10">
        <v>22</v>
      </c>
      <c r="F1626" s="10">
        <v>11</v>
      </c>
      <c r="G1626" s="10">
        <v>0</v>
      </c>
      <c r="H1626" s="10">
        <v>0</v>
      </c>
      <c r="I1626" s="10">
        <v>2</v>
      </c>
      <c r="J1626">
        <v>2018</v>
      </c>
      <c r="K1626">
        <v>6</v>
      </c>
      <c r="L1626">
        <v>276</v>
      </c>
      <c r="M1626" t="s">
        <v>53</v>
      </c>
    </row>
    <row r="1627" spans="1:13">
      <c r="A1627" t="s">
        <v>1684</v>
      </c>
      <c r="B1627" s="10">
        <v>1</v>
      </c>
      <c r="C1627" s="10">
        <v>0.066</v>
      </c>
      <c r="D1627" s="10">
        <v>0.3</v>
      </c>
      <c r="E1627" s="10">
        <v>11.133</v>
      </c>
      <c r="F1627" s="10">
        <v>10</v>
      </c>
      <c r="G1627" s="10">
        <v>0</v>
      </c>
      <c r="H1627" s="10">
        <v>8</v>
      </c>
      <c r="I1627" s="10">
        <v>2</v>
      </c>
      <c r="J1627">
        <v>2018</v>
      </c>
      <c r="K1627">
        <v>6</v>
      </c>
      <c r="L1627">
        <v>276</v>
      </c>
      <c r="M1627" t="s">
        <v>55</v>
      </c>
    </row>
    <row r="1628" spans="1:13">
      <c r="A1628" t="s">
        <v>1685</v>
      </c>
      <c r="B1628" s="10">
        <v>3.34</v>
      </c>
      <c r="C1628" s="10">
        <v>6.383</v>
      </c>
      <c r="D1628" s="10">
        <v>5</v>
      </c>
      <c r="E1628" s="10">
        <v>10</v>
      </c>
      <c r="F1628" s="10">
        <v>5</v>
      </c>
      <c r="G1628" s="10">
        <v>0</v>
      </c>
      <c r="H1628" s="10">
        <v>2</v>
      </c>
      <c r="I1628" s="10">
        <v>7</v>
      </c>
      <c r="J1628">
        <v>2018</v>
      </c>
      <c r="K1628">
        <v>6</v>
      </c>
      <c r="L1628">
        <v>276</v>
      </c>
      <c r="M1628" t="s">
        <v>57</v>
      </c>
    </row>
    <row r="1629" spans="1:13">
      <c r="A1629" t="s">
        <v>1686</v>
      </c>
      <c r="B1629" s="10">
        <v>4.84</v>
      </c>
      <c r="C1629" s="10">
        <v>6.586</v>
      </c>
      <c r="D1629" s="10">
        <v>6</v>
      </c>
      <c r="E1629" s="10">
        <v>24</v>
      </c>
      <c r="F1629" s="10">
        <v>10</v>
      </c>
      <c r="G1629" s="10">
        <v>0</v>
      </c>
      <c r="H1629" s="10">
        <v>5</v>
      </c>
      <c r="I1629" s="10">
        <v>4</v>
      </c>
      <c r="J1629">
        <v>2018</v>
      </c>
      <c r="K1629">
        <v>6</v>
      </c>
      <c r="L1629">
        <v>276</v>
      </c>
      <c r="M1629" t="s">
        <v>59</v>
      </c>
    </row>
    <row r="1630" spans="1:13">
      <c r="A1630" t="s">
        <v>1687</v>
      </c>
      <c r="B1630" s="10">
        <v>4.5</v>
      </c>
      <c r="C1630" s="10">
        <v>1.33</v>
      </c>
      <c r="D1630" s="10">
        <v>2.1</v>
      </c>
      <c r="E1630" s="10">
        <v>14</v>
      </c>
      <c r="F1630" s="10">
        <v>4</v>
      </c>
      <c r="G1630" s="10">
        <v>0</v>
      </c>
      <c r="H1630" s="10">
        <v>1</v>
      </c>
      <c r="I1630" s="10">
        <v>6</v>
      </c>
      <c r="J1630">
        <v>2018</v>
      </c>
      <c r="K1630">
        <v>6</v>
      </c>
      <c r="L1630">
        <v>276</v>
      </c>
      <c r="M1630" t="s">
        <v>61</v>
      </c>
    </row>
    <row r="1631" spans="1:13">
      <c r="A1631" t="s">
        <v>1688</v>
      </c>
      <c r="B1631" s="10">
        <v>4</v>
      </c>
      <c r="C1631" s="10">
        <v>3.34</v>
      </c>
      <c r="D1631" s="10">
        <v>4</v>
      </c>
      <c r="E1631" s="10">
        <v>23</v>
      </c>
      <c r="F1631" s="10">
        <v>8</v>
      </c>
      <c r="G1631" s="10">
        <v>0</v>
      </c>
      <c r="H1631" s="10">
        <v>5</v>
      </c>
      <c r="I1631" s="10">
        <v>3</v>
      </c>
      <c r="J1631">
        <v>2018</v>
      </c>
      <c r="K1631">
        <v>6</v>
      </c>
      <c r="L1631">
        <v>276</v>
      </c>
      <c r="M1631" t="s">
        <v>63</v>
      </c>
    </row>
    <row r="1632" spans="1:13">
      <c r="A1632" t="s">
        <v>1689</v>
      </c>
      <c r="B1632" s="10">
        <v>3.66</v>
      </c>
      <c r="C1632" s="10">
        <v>4.528</v>
      </c>
      <c r="D1632" s="10">
        <v>2.5</v>
      </c>
      <c r="E1632" s="10">
        <v>15.062</v>
      </c>
      <c r="F1632" s="10">
        <v>8</v>
      </c>
      <c r="G1632" s="10">
        <v>3</v>
      </c>
      <c r="H1632" s="10">
        <v>11</v>
      </c>
      <c r="I1632" s="10">
        <v>2.6</v>
      </c>
      <c r="J1632">
        <v>2018</v>
      </c>
      <c r="K1632">
        <v>6</v>
      </c>
      <c r="L1632">
        <v>276</v>
      </c>
      <c r="M1632" t="s">
        <v>65</v>
      </c>
    </row>
    <row r="1633" spans="1:13">
      <c r="A1633" t="s">
        <v>1690</v>
      </c>
      <c r="B1633" s="10">
        <v>3.35</v>
      </c>
      <c r="C1633" s="10">
        <v>2.913</v>
      </c>
      <c r="D1633" s="10">
        <v>4</v>
      </c>
      <c r="E1633" s="10">
        <v>36</v>
      </c>
      <c r="F1633" s="10">
        <v>5</v>
      </c>
      <c r="G1633" s="10">
        <v>0</v>
      </c>
      <c r="H1633" s="10">
        <v>5</v>
      </c>
      <c r="I1633" s="10">
        <v>10.5</v>
      </c>
      <c r="J1633">
        <v>2018</v>
      </c>
      <c r="K1633">
        <v>6</v>
      </c>
      <c r="L1633">
        <v>276</v>
      </c>
      <c r="M1633" t="s">
        <v>53</v>
      </c>
    </row>
    <row r="1634" spans="1:13">
      <c r="A1634" t="s">
        <v>1691</v>
      </c>
      <c r="B1634" s="10">
        <v>5</v>
      </c>
      <c r="C1634" s="10">
        <v>5.099</v>
      </c>
      <c r="D1634" s="10">
        <v>4.15</v>
      </c>
      <c r="E1634" s="10">
        <v>12</v>
      </c>
      <c r="F1634" s="10">
        <v>3</v>
      </c>
      <c r="G1634" s="10">
        <v>0</v>
      </c>
      <c r="H1634" s="10">
        <v>6</v>
      </c>
      <c r="I1634" s="10">
        <v>5.5</v>
      </c>
      <c r="J1634">
        <v>2018</v>
      </c>
      <c r="K1634">
        <v>6</v>
      </c>
      <c r="L1634">
        <v>276</v>
      </c>
      <c r="M1634" t="s">
        <v>55</v>
      </c>
    </row>
    <row r="1635" spans="1:13">
      <c r="A1635" t="s">
        <v>1692</v>
      </c>
      <c r="B1635" s="10">
        <v>5.33</v>
      </c>
      <c r="C1635" s="10">
        <v>7.343</v>
      </c>
      <c r="D1635" s="10">
        <v>2</v>
      </c>
      <c r="E1635" s="10">
        <v>14</v>
      </c>
      <c r="F1635" s="10">
        <v>7</v>
      </c>
      <c r="G1635" s="10">
        <v>0</v>
      </c>
      <c r="H1635" s="10">
        <v>1</v>
      </c>
      <c r="I1635" s="10">
        <v>2</v>
      </c>
      <c r="J1635">
        <v>2018</v>
      </c>
      <c r="K1635">
        <v>6</v>
      </c>
      <c r="L1635">
        <v>276</v>
      </c>
      <c r="M1635" t="s">
        <v>57</v>
      </c>
    </row>
    <row r="1636" spans="1:13">
      <c r="A1636" t="s">
        <v>1693</v>
      </c>
      <c r="B1636" s="10">
        <v>1.67</v>
      </c>
      <c r="C1636" s="10">
        <v>4.746</v>
      </c>
      <c r="D1636" s="10">
        <v>2</v>
      </c>
      <c r="E1636" s="10">
        <v>29</v>
      </c>
      <c r="F1636" s="10">
        <v>10</v>
      </c>
      <c r="G1636" s="10">
        <v>0</v>
      </c>
      <c r="H1636" s="10">
        <v>0</v>
      </c>
      <c r="I1636" s="10">
        <v>3</v>
      </c>
      <c r="J1636">
        <v>2018</v>
      </c>
      <c r="K1636">
        <v>6</v>
      </c>
      <c r="L1636">
        <v>276</v>
      </c>
      <c r="M1636" t="s">
        <v>59</v>
      </c>
    </row>
    <row r="1637" spans="1:13">
      <c r="A1637" t="s">
        <v>1694</v>
      </c>
      <c r="B1637" s="10">
        <v>3.33</v>
      </c>
      <c r="C1637" s="10">
        <v>3.099</v>
      </c>
      <c r="D1637" s="10">
        <v>0</v>
      </c>
      <c r="E1637" s="10">
        <v>31.062</v>
      </c>
      <c r="F1637" s="10">
        <v>12</v>
      </c>
      <c r="G1637" s="10">
        <v>3</v>
      </c>
      <c r="H1637" s="10">
        <v>5</v>
      </c>
      <c r="I1637" s="10">
        <v>2</v>
      </c>
      <c r="J1637">
        <v>2018</v>
      </c>
      <c r="K1637">
        <v>6</v>
      </c>
      <c r="L1637">
        <v>276</v>
      </c>
      <c r="M1637" t="s">
        <v>61</v>
      </c>
    </row>
    <row r="1638" spans="1:13">
      <c r="A1638" t="s">
        <v>1695</v>
      </c>
      <c r="B1638" s="10">
        <v>10.33</v>
      </c>
      <c r="C1638" s="10">
        <v>5.67</v>
      </c>
      <c r="D1638" s="10">
        <v>3</v>
      </c>
      <c r="E1638" s="10">
        <v>15</v>
      </c>
      <c r="F1638" s="10">
        <v>6</v>
      </c>
      <c r="G1638" s="10">
        <v>0</v>
      </c>
      <c r="H1638" s="10">
        <v>9</v>
      </c>
      <c r="I1638" s="10">
        <v>4.4</v>
      </c>
      <c r="J1638">
        <v>2018</v>
      </c>
      <c r="K1638">
        <v>6</v>
      </c>
      <c r="L1638">
        <v>276</v>
      </c>
      <c r="M1638" t="s">
        <v>63</v>
      </c>
    </row>
    <row r="1639" spans="1:13">
      <c r="A1639" t="s">
        <v>1696</v>
      </c>
      <c r="B1639" s="10">
        <v>2</v>
      </c>
      <c r="C1639" s="10">
        <v>2.396</v>
      </c>
      <c r="D1639" s="10">
        <v>3</v>
      </c>
      <c r="E1639" s="10">
        <v>11</v>
      </c>
      <c r="F1639" s="10">
        <v>10</v>
      </c>
      <c r="G1639" s="10">
        <v>0</v>
      </c>
      <c r="H1639" s="10">
        <v>2</v>
      </c>
      <c r="I1639" s="10">
        <v>3</v>
      </c>
      <c r="J1639">
        <v>2018</v>
      </c>
      <c r="K1639">
        <v>6</v>
      </c>
      <c r="L1639">
        <v>276</v>
      </c>
      <c r="M1639" t="s">
        <v>65</v>
      </c>
    </row>
    <row r="1640" spans="1:13">
      <c r="A1640" t="s">
        <v>1697</v>
      </c>
      <c r="B1640" s="10">
        <v>3</v>
      </c>
      <c r="C1640" s="10">
        <v>2.192</v>
      </c>
      <c r="D1640" s="10">
        <v>4</v>
      </c>
      <c r="E1640" s="10">
        <v>10</v>
      </c>
      <c r="F1640" s="10">
        <v>13</v>
      </c>
      <c r="G1640" s="10">
        <v>0</v>
      </c>
      <c r="H1640" s="10">
        <v>5</v>
      </c>
      <c r="I1640" s="10">
        <v>2</v>
      </c>
      <c r="J1640">
        <v>2018</v>
      </c>
      <c r="K1640">
        <v>6</v>
      </c>
      <c r="L1640">
        <v>276</v>
      </c>
      <c r="M1640" t="s">
        <v>53</v>
      </c>
    </row>
    <row r="1641" spans="1:13">
      <c r="A1641" t="s">
        <v>1698</v>
      </c>
      <c r="B1641" s="10">
        <v>1</v>
      </c>
      <c r="C1641" s="10">
        <v>3</v>
      </c>
      <c r="D1641" s="10">
        <v>2</v>
      </c>
      <c r="E1641" s="10">
        <v>10</v>
      </c>
      <c r="F1641" s="10">
        <v>8</v>
      </c>
      <c r="G1641" s="10">
        <v>0</v>
      </c>
      <c r="H1641" s="10">
        <v>0</v>
      </c>
      <c r="I1641" s="10">
        <v>4</v>
      </c>
      <c r="J1641">
        <v>2018</v>
      </c>
      <c r="K1641">
        <v>6</v>
      </c>
      <c r="L1641">
        <v>276</v>
      </c>
      <c r="M1641" t="s">
        <v>55</v>
      </c>
    </row>
    <row r="1642" spans="1:13">
      <c r="A1642" t="s">
        <v>1699</v>
      </c>
      <c r="B1642" s="10">
        <v>6.84</v>
      </c>
      <c r="C1642" s="10">
        <v>3.34</v>
      </c>
      <c r="D1642" s="10">
        <v>7</v>
      </c>
      <c r="E1642" s="10">
        <v>26.8</v>
      </c>
      <c r="F1642" s="10">
        <v>10</v>
      </c>
      <c r="G1642" s="10">
        <v>2</v>
      </c>
      <c r="H1642" s="10">
        <v>0</v>
      </c>
      <c r="I1642" s="10">
        <v>4</v>
      </c>
      <c r="J1642">
        <v>2018</v>
      </c>
      <c r="K1642">
        <v>6</v>
      </c>
      <c r="L1642">
        <v>276</v>
      </c>
      <c r="M1642" t="s">
        <v>57</v>
      </c>
    </row>
    <row r="1643" spans="1:13">
      <c r="A1643" t="s">
        <v>1700</v>
      </c>
      <c r="B1643" s="10">
        <v>2</v>
      </c>
      <c r="C1643" s="10">
        <v>3.693</v>
      </c>
      <c r="D1643" s="10">
        <v>1</v>
      </c>
      <c r="E1643" s="10">
        <v>22</v>
      </c>
      <c r="F1643" s="10">
        <v>7</v>
      </c>
      <c r="G1643" s="10">
        <v>0</v>
      </c>
      <c r="H1643" s="10">
        <v>10</v>
      </c>
      <c r="I1643" s="10">
        <v>4</v>
      </c>
      <c r="J1643">
        <v>2018</v>
      </c>
      <c r="K1643">
        <v>7</v>
      </c>
      <c r="L1643">
        <v>276</v>
      </c>
      <c r="M1643" t="s">
        <v>59</v>
      </c>
    </row>
    <row r="1644" spans="1:13">
      <c r="A1644" t="s">
        <v>1701</v>
      </c>
      <c r="B1644" s="10">
        <v>3.33</v>
      </c>
      <c r="C1644" s="10">
        <v>6.33</v>
      </c>
      <c r="D1644" s="10">
        <v>3</v>
      </c>
      <c r="E1644" s="10">
        <v>24.6</v>
      </c>
      <c r="F1644" s="10">
        <v>18</v>
      </c>
      <c r="G1644" s="10">
        <v>0</v>
      </c>
      <c r="H1644" s="10">
        <v>3</v>
      </c>
      <c r="I1644" s="10">
        <v>7</v>
      </c>
      <c r="J1644">
        <v>2018</v>
      </c>
      <c r="K1644">
        <v>7</v>
      </c>
      <c r="L1644">
        <v>276</v>
      </c>
      <c r="M1644" t="s">
        <v>61</v>
      </c>
    </row>
    <row r="1645" spans="1:13">
      <c r="A1645" t="s">
        <v>1702</v>
      </c>
      <c r="B1645" s="10">
        <v>6.34</v>
      </c>
      <c r="C1645" s="10">
        <v>2.33</v>
      </c>
      <c r="D1645" s="10">
        <v>1</v>
      </c>
      <c r="E1645" s="10">
        <v>13.6</v>
      </c>
      <c r="F1645" s="10">
        <v>9</v>
      </c>
      <c r="G1645" s="10">
        <v>0</v>
      </c>
      <c r="H1645" s="10">
        <v>8</v>
      </c>
      <c r="I1645" s="10">
        <v>3</v>
      </c>
      <c r="J1645">
        <v>2018</v>
      </c>
      <c r="K1645">
        <v>7</v>
      </c>
      <c r="L1645">
        <v>276</v>
      </c>
      <c r="M1645" t="s">
        <v>63</v>
      </c>
    </row>
    <row r="1646" spans="1:13">
      <c r="A1646" t="s">
        <v>1703</v>
      </c>
      <c r="B1646" s="10">
        <v>1</v>
      </c>
      <c r="C1646" s="10">
        <v>2.83</v>
      </c>
      <c r="D1646" s="10">
        <v>3.5</v>
      </c>
      <c r="E1646" s="10">
        <v>16.25</v>
      </c>
      <c r="F1646" s="10">
        <v>6</v>
      </c>
      <c r="G1646" s="10">
        <v>0</v>
      </c>
      <c r="H1646" s="10">
        <v>22</v>
      </c>
      <c r="I1646" s="10">
        <v>7</v>
      </c>
      <c r="J1646">
        <v>2018</v>
      </c>
      <c r="K1646">
        <v>7</v>
      </c>
      <c r="L1646">
        <v>276</v>
      </c>
      <c r="M1646" t="s">
        <v>65</v>
      </c>
    </row>
    <row r="1647" spans="1:13">
      <c r="A1647" t="s">
        <v>1704</v>
      </c>
      <c r="B1647" s="10">
        <v>4.33</v>
      </c>
      <c r="C1647" s="10">
        <v>2.759</v>
      </c>
      <c r="D1647" s="10">
        <v>4</v>
      </c>
      <c r="E1647" s="10">
        <v>15</v>
      </c>
      <c r="F1647" s="10">
        <v>6</v>
      </c>
      <c r="G1647" s="10">
        <v>3</v>
      </c>
      <c r="H1647" s="10">
        <v>3</v>
      </c>
      <c r="I1647" s="10">
        <v>1</v>
      </c>
      <c r="J1647">
        <v>2018</v>
      </c>
      <c r="K1647">
        <v>7</v>
      </c>
      <c r="L1647">
        <v>276</v>
      </c>
      <c r="M1647" t="s">
        <v>53</v>
      </c>
    </row>
    <row r="1648" spans="1:13">
      <c r="A1648" t="s">
        <v>1705</v>
      </c>
      <c r="B1648" s="10">
        <v>2.33</v>
      </c>
      <c r="C1648" s="10">
        <v>5.33</v>
      </c>
      <c r="D1648" s="10">
        <v>1.25</v>
      </c>
      <c r="E1648" s="10">
        <v>20</v>
      </c>
      <c r="F1648" s="10">
        <v>15</v>
      </c>
      <c r="G1648" s="10">
        <v>0</v>
      </c>
      <c r="H1648" s="10">
        <v>0</v>
      </c>
      <c r="I1648" s="10">
        <v>6</v>
      </c>
      <c r="J1648">
        <v>2018</v>
      </c>
      <c r="K1648">
        <v>7</v>
      </c>
      <c r="L1648">
        <v>276</v>
      </c>
      <c r="M1648" t="s">
        <v>55</v>
      </c>
    </row>
    <row r="1649" spans="1:13">
      <c r="A1649" t="s">
        <v>1706</v>
      </c>
      <c r="B1649" s="10">
        <v>6.33</v>
      </c>
      <c r="C1649" s="10">
        <v>8.52</v>
      </c>
      <c r="D1649" s="10">
        <v>7</v>
      </c>
      <c r="E1649" s="10">
        <v>19</v>
      </c>
      <c r="F1649" s="10">
        <v>14</v>
      </c>
      <c r="G1649" s="10">
        <v>0</v>
      </c>
      <c r="H1649" s="10">
        <v>0</v>
      </c>
      <c r="I1649" s="10">
        <v>5.5</v>
      </c>
      <c r="J1649">
        <v>2018</v>
      </c>
      <c r="K1649">
        <v>7</v>
      </c>
      <c r="L1649">
        <v>276</v>
      </c>
      <c r="M1649" t="s">
        <v>57</v>
      </c>
    </row>
    <row r="1650" spans="1:13">
      <c r="A1650" t="s">
        <v>1707</v>
      </c>
      <c r="B1650" s="10">
        <v>7.33</v>
      </c>
      <c r="C1650" s="10">
        <v>5.211</v>
      </c>
      <c r="D1650" s="10">
        <v>2</v>
      </c>
      <c r="E1650" s="10">
        <v>28</v>
      </c>
      <c r="F1650" s="10">
        <v>10</v>
      </c>
      <c r="G1650" s="10">
        <v>0</v>
      </c>
      <c r="H1650" s="10">
        <v>5</v>
      </c>
      <c r="I1650" s="10">
        <v>4</v>
      </c>
      <c r="J1650">
        <v>2018</v>
      </c>
      <c r="K1650">
        <v>7</v>
      </c>
      <c r="L1650">
        <v>276</v>
      </c>
      <c r="M1650" t="s">
        <v>59</v>
      </c>
    </row>
    <row r="1651" spans="1:13">
      <c r="A1651" t="s">
        <v>1708</v>
      </c>
      <c r="B1651" s="10">
        <v>3.33</v>
      </c>
      <c r="C1651" s="10">
        <v>2</v>
      </c>
      <c r="D1651" s="10">
        <v>4</v>
      </c>
      <c r="E1651" s="10">
        <v>31</v>
      </c>
      <c r="F1651" s="10">
        <v>12</v>
      </c>
      <c r="G1651" s="10">
        <v>3</v>
      </c>
      <c r="H1651" s="10">
        <v>0</v>
      </c>
      <c r="I1651" s="10">
        <v>3</v>
      </c>
      <c r="J1651">
        <v>2018</v>
      </c>
      <c r="K1651">
        <v>7</v>
      </c>
      <c r="L1651">
        <v>276</v>
      </c>
      <c r="M1651" t="s">
        <v>61</v>
      </c>
    </row>
    <row r="1652" spans="1:13">
      <c r="A1652" t="s">
        <v>1709</v>
      </c>
      <c r="B1652" s="10">
        <v>6</v>
      </c>
      <c r="C1652" s="10">
        <v>6.36</v>
      </c>
      <c r="D1652" s="10">
        <v>4</v>
      </c>
      <c r="E1652" s="10">
        <v>34</v>
      </c>
      <c r="F1652" s="10">
        <v>9</v>
      </c>
      <c r="G1652" s="10">
        <v>2</v>
      </c>
      <c r="H1652" s="10">
        <v>2</v>
      </c>
      <c r="I1652" s="10">
        <v>4</v>
      </c>
      <c r="J1652">
        <v>2018</v>
      </c>
      <c r="K1652">
        <v>7</v>
      </c>
      <c r="L1652">
        <v>276</v>
      </c>
      <c r="M1652" t="s">
        <v>63</v>
      </c>
    </row>
    <row r="1653" spans="1:13">
      <c r="A1653" t="s">
        <v>1710</v>
      </c>
      <c r="B1653" s="10">
        <v>10</v>
      </c>
      <c r="C1653" s="10">
        <v>3.363</v>
      </c>
      <c r="D1653" s="10">
        <v>3</v>
      </c>
      <c r="E1653" s="10">
        <v>29.4</v>
      </c>
      <c r="F1653" s="10">
        <v>13</v>
      </c>
      <c r="G1653" s="10">
        <v>0</v>
      </c>
      <c r="H1653" s="10">
        <v>6</v>
      </c>
      <c r="I1653" s="10">
        <v>2</v>
      </c>
      <c r="J1653">
        <v>2018</v>
      </c>
      <c r="K1653">
        <v>7</v>
      </c>
      <c r="L1653">
        <v>276</v>
      </c>
      <c r="M1653" t="s">
        <v>65</v>
      </c>
    </row>
    <row r="1654" spans="1:13">
      <c r="A1654" t="s">
        <v>1711</v>
      </c>
      <c r="B1654" s="10">
        <v>3</v>
      </c>
      <c r="C1654" s="10">
        <v>4.34</v>
      </c>
      <c r="D1654" s="10">
        <v>7</v>
      </c>
      <c r="E1654" s="10">
        <v>24</v>
      </c>
      <c r="F1654" s="10">
        <v>11</v>
      </c>
      <c r="G1654" s="10">
        <v>4</v>
      </c>
      <c r="H1654" s="10">
        <v>0</v>
      </c>
      <c r="I1654" s="10">
        <v>3</v>
      </c>
      <c r="J1654">
        <v>2018</v>
      </c>
      <c r="K1654">
        <v>7</v>
      </c>
      <c r="L1654">
        <v>276</v>
      </c>
      <c r="M1654" t="s">
        <v>53</v>
      </c>
    </row>
    <row r="1655" spans="1:13">
      <c r="A1655" t="s">
        <v>1712</v>
      </c>
      <c r="B1655" s="10">
        <v>1.34</v>
      </c>
      <c r="C1655" s="10">
        <v>2.67</v>
      </c>
      <c r="D1655" s="10">
        <v>1.15</v>
      </c>
      <c r="E1655" s="10">
        <v>22</v>
      </c>
      <c r="F1655" s="10">
        <v>5</v>
      </c>
      <c r="G1655" s="10">
        <v>0</v>
      </c>
      <c r="H1655" s="10">
        <v>2</v>
      </c>
      <c r="I1655" s="10">
        <v>3</v>
      </c>
      <c r="J1655">
        <v>2018</v>
      </c>
      <c r="K1655">
        <v>7</v>
      </c>
      <c r="L1655">
        <v>276</v>
      </c>
      <c r="M1655" t="s">
        <v>55</v>
      </c>
    </row>
    <row r="1656" spans="1:13">
      <c r="A1656" t="s">
        <v>1713</v>
      </c>
      <c r="B1656" s="10">
        <v>0</v>
      </c>
      <c r="C1656" s="10">
        <v>3.2</v>
      </c>
      <c r="D1656" s="10">
        <v>0</v>
      </c>
      <c r="E1656" s="10">
        <v>26</v>
      </c>
      <c r="F1656" s="10">
        <v>8</v>
      </c>
      <c r="G1656" s="10">
        <v>0</v>
      </c>
      <c r="H1656" s="10">
        <v>0</v>
      </c>
      <c r="I1656" s="10">
        <v>1.4</v>
      </c>
      <c r="J1656">
        <v>2018</v>
      </c>
      <c r="K1656">
        <v>7</v>
      </c>
      <c r="L1656">
        <v>276</v>
      </c>
      <c r="M1656" t="s">
        <v>57</v>
      </c>
    </row>
    <row r="1657" spans="1:13">
      <c r="A1657" t="s">
        <v>1714</v>
      </c>
      <c r="B1657" s="10">
        <v>10</v>
      </c>
      <c r="C1657" s="10">
        <v>9.42</v>
      </c>
      <c r="D1657" s="10">
        <v>3.5</v>
      </c>
      <c r="E1657" s="10">
        <v>23</v>
      </c>
      <c r="F1657" s="10">
        <v>4</v>
      </c>
      <c r="G1657" s="10">
        <v>0</v>
      </c>
      <c r="H1657" s="10">
        <v>1</v>
      </c>
      <c r="I1657" s="10">
        <v>7</v>
      </c>
      <c r="J1657">
        <v>2018</v>
      </c>
      <c r="K1657">
        <v>7</v>
      </c>
      <c r="L1657">
        <v>276</v>
      </c>
      <c r="M1657" t="s">
        <v>59</v>
      </c>
    </row>
    <row r="1658" spans="1:13">
      <c r="A1658" t="s">
        <v>1715</v>
      </c>
      <c r="B1658" s="10">
        <v>9.33</v>
      </c>
      <c r="C1658" s="10">
        <v>5.023</v>
      </c>
      <c r="D1658" s="10">
        <v>1</v>
      </c>
      <c r="E1658" s="10">
        <v>22</v>
      </c>
      <c r="F1658" s="10">
        <v>8</v>
      </c>
      <c r="G1658" s="10">
        <v>0</v>
      </c>
      <c r="H1658" s="10">
        <v>0</v>
      </c>
      <c r="I1658" s="10">
        <v>3</v>
      </c>
      <c r="J1658">
        <v>2018</v>
      </c>
      <c r="K1658">
        <v>7</v>
      </c>
      <c r="L1658">
        <v>276</v>
      </c>
      <c r="M1658" t="s">
        <v>61</v>
      </c>
    </row>
    <row r="1659" spans="1:13">
      <c r="A1659" t="s">
        <v>1716</v>
      </c>
      <c r="B1659" s="10">
        <v>2.33</v>
      </c>
      <c r="C1659" s="10">
        <v>3.66</v>
      </c>
      <c r="D1659" s="10">
        <v>2</v>
      </c>
      <c r="E1659" s="10">
        <v>29.4</v>
      </c>
      <c r="F1659" s="10">
        <v>13</v>
      </c>
      <c r="G1659" s="10">
        <v>0</v>
      </c>
      <c r="H1659" s="10">
        <v>0</v>
      </c>
      <c r="I1659" s="10">
        <v>6</v>
      </c>
      <c r="J1659">
        <v>2018</v>
      </c>
      <c r="K1659">
        <v>7</v>
      </c>
      <c r="L1659">
        <v>276</v>
      </c>
      <c r="M1659" t="s">
        <v>63</v>
      </c>
    </row>
    <row r="1660" spans="1:13">
      <c r="A1660" t="s">
        <v>1717</v>
      </c>
      <c r="B1660" s="10">
        <v>2.5</v>
      </c>
      <c r="C1660" s="10">
        <v>2.837</v>
      </c>
      <c r="D1660" s="10">
        <v>5</v>
      </c>
      <c r="E1660" s="10">
        <v>10</v>
      </c>
      <c r="F1660" s="10">
        <v>17</v>
      </c>
      <c r="G1660" s="10">
        <v>0</v>
      </c>
      <c r="H1660" s="10">
        <v>12</v>
      </c>
      <c r="I1660" s="10">
        <v>6</v>
      </c>
      <c r="J1660">
        <v>2018</v>
      </c>
      <c r="K1660">
        <v>7</v>
      </c>
      <c r="L1660">
        <v>276</v>
      </c>
      <c r="M1660" t="s">
        <v>65</v>
      </c>
    </row>
    <row r="1661" spans="1:13">
      <c r="A1661" t="s">
        <v>1718</v>
      </c>
      <c r="B1661" s="10">
        <v>6.84</v>
      </c>
      <c r="C1661" s="10">
        <v>4</v>
      </c>
      <c r="D1661" s="10">
        <v>3</v>
      </c>
      <c r="E1661" s="10">
        <v>16</v>
      </c>
      <c r="F1661" s="10">
        <v>14</v>
      </c>
      <c r="G1661" s="10">
        <v>1</v>
      </c>
      <c r="H1661" s="10">
        <v>0</v>
      </c>
      <c r="I1661" s="10">
        <v>3</v>
      </c>
      <c r="J1661">
        <v>2018</v>
      </c>
      <c r="K1661">
        <v>7</v>
      </c>
      <c r="L1661">
        <v>276</v>
      </c>
      <c r="M1661" t="s">
        <v>53</v>
      </c>
    </row>
    <row r="1662" spans="1:13">
      <c r="A1662" t="s">
        <v>1719</v>
      </c>
      <c r="B1662" s="10">
        <v>5</v>
      </c>
      <c r="C1662" s="10">
        <v>7.177</v>
      </c>
      <c r="D1662" s="10">
        <v>5</v>
      </c>
      <c r="E1662" s="10">
        <v>35.2</v>
      </c>
      <c r="F1662" s="10">
        <v>2</v>
      </c>
      <c r="G1662" s="10">
        <v>1</v>
      </c>
      <c r="H1662" s="10">
        <v>2</v>
      </c>
      <c r="I1662" s="10">
        <v>4</v>
      </c>
      <c r="J1662">
        <v>2018</v>
      </c>
      <c r="K1662">
        <v>7</v>
      </c>
      <c r="L1662">
        <v>276</v>
      </c>
      <c r="M1662" t="s">
        <v>55</v>
      </c>
    </row>
    <row r="1663" spans="1:13">
      <c r="A1663" t="s">
        <v>1720</v>
      </c>
      <c r="B1663" s="10">
        <v>4</v>
      </c>
      <c r="C1663" s="10">
        <v>5.02</v>
      </c>
      <c r="D1663" s="10">
        <v>0.3</v>
      </c>
      <c r="E1663" s="10">
        <v>22</v>
      </c>
      <c r="F1663" s="10">
        <v>7</v>
      </c>
      <c r="G1663" s="10">
        <v>0</v>
      </c>
      <c r="H1663" s="10">
        <v>5</v>
      </c>
      <c r="I1663" s="10">
        <v>1</v>
      </c>
      <c r="J1663">
        <v>2018</v>
      </c>
      <c r="K1663">
        <v>7</v>
      </c>
      <c r="L1663">
        <v>276</v>
      </c>
      <c r="M1663" t="s">
        <v>57</v>
      </c>
    </row>
    <row r="1664" spans="1:13">
      <c r="A1664" t="s">
        <v>1721</v>
      </c>
      <c r="B1664" s="10">
        <v>3.66</v>
      </c>
      <c r="C1664" s="10">
        <v>4.34</v>
      </c>
      <c r="D1664" s="10">
        <v>0</v>
      </c>
      <c r="E1664" s="10">
        <v>31</v>
      </c>
      <c r="F1664" s="10">
        <v>4</v>
      </c>
      <c r="G1664" s="10">
        <v>0</v>
      </c>
      <c r="H1664" s="10">
        <v>5</v>
      </c>
      <c r="I1664" s="10">
        <v>6</v>
      </c>
      <c r="J1664">
        <v>2018</v>
      </c>
      <c r="K1664">
        <v>7</v>
      </c>
      <c r="L1664">
        <v>276</v>
      </c>
      <c r="M1664" t="s">
        <v>59</v>
      </c>
    </row>
    <row r="1665" spans="1:13">
      <c r="A1665" t="s">
        <v>1722</v>
      </c>
      <c r="B1665" s="10">
        <v>8.68</v>
      </c>
      <c r="C1665" s="10">
        <v>1.863</v>
      </c>
      <c r="D1665" s="10">
        <v>2.1</v>
      </c>
      <c r="E1665" s="10">
        <v>12</v>
      </c>
      <c r="F1665" s="10">
        <v>15</v>
      </c>
      <c r="G1665" s="10">
        <v>1</v>
      </c>
      <c r="H1665" s="10">
        <v>0</v>
      </c>
      <c r="I1665" s="10">
        <v>5.3</v>
      </c>
      <c r="J1665">
        <v>2018</v>
      </c>
      <c r="K1665">
        <v>7</v>
      </c>
      <c r="L1665">
        <v>276</v>
      </c>
      <c r="M1665" t="s">
        <v>61</v>
      </c>
    </row>
    <row r="1666" spans="1:13">
      <c r="A1666" t="s">
        <v>1723</v>
      </c>
      <c r="B1666" s="10">
        <v>9.68</v>
      </c>
      <c r="C1666" s="10">
        <v>4</v>
      </c>
      <c r="D1666" s="10">
        <v>2</v>
      </c>
      <c r="E1666" s="10">
        <v>22</v>
      </c>
      <c r="F1666" s="10">
        <v>4</v>
      </c>
      <c r="G1666" s="10">
        <v>1</v>
      </c>
      <c r="H1666" s="10">
        <v>2</v>
      </c>
      <c r="I1666" s="10">
        <v>2</v>
      </c>
      <c r="J1666">
        <v>2018</v>
      </c>
      <c r="K1666">
        <v>7</v>
      </c>
      <c r="L1666">
        <v>276</v>
      </c>
      <c r="M1666" t="s">
        <v>63</v>
      </c>
    </row>
    <row r="1667" spans="1:13">
      <c r="A1667" t="s">
        <v>1724</v>
      </c>
      <c r="B1667" s="10">
        <v>5</v>
      </c>
      <c r="C1667" s="10">
        <v>2.68</v>
      </c>
      <c r="D1667" s="10">
        <v>2</v>
      </c>
      <c r="E1667" s="10">
        <v>16</v>
      </c>
      <c r="F1667" s="10">
        <v>7</v>
      </c>
      <c r="G1667" s="10">
        <v>0</v>
      </c>
      <c r="H1667" s="10">
        <v>0</v>
      </c>
      <c r="I1667" s="10">
        <v>2</v>
      </c>
      <c r="J1667">
        <v>2018</v>
      </c>
      <c r="K1667">
        <v>7</v>
      </c>
      <c r="L1667">
        <v>276</v>
      </c>
      <c r="M1667" t="s">
        <v>65</v>
      </c>
    </row>
    <row r="1668" spans="1:13">
      <c r="A1668" t="s">
        <v>1725</v>
      </c>
      <c r="B1668" s="10">
        <v>4.33</v>
      </c>
      <c r="C1668" s="10">
        <v>1.827</v>
      </c>
      <c r="D1668" s="10">
        <v>5</v>
      </c>
      <c r="E1668" s="10">
        <v>24</v>
      </c>
      <c r="F1668" s="10">
        <v>4</v>
      </c>
      <c r="G1668" s="10">
        <v>0</v>
      </c>
      <c r="H1668" s="10">
        <v>1</v>
      </c>
      <c r="I1668" s="10">
        <v>4</v>
      </c>
      <c r="J1668">
        <v>2018</v>
      </c>
      <c r="K1668">
        <v>7</v>
      </c>
      <c r="L1668">
        <v>276</v>
      </c>
      <c r="M1668" t="s">
        <v>53</v>
      </c>
    </row>
    <row r="1669" spans="1:13">
      <c r="A1669" t="s">
        <v>1726</v>
      </c>
      <c r="B1669" s="10">
        <v>2.34</v>
      </c>
      <c r="C1669" s="10">
        <v>3.34</v>
      </c>
      <c r="D1669" s="10">
        <v>3</v>
      </c>
      <c r="E1669" s="10">
        <v>19.4</v>
      </c>
      <c r="F1669" s="10">
        <v>11</v>
      </c>
      <c r="G1669" s="10">
        <v>0</v>
      </c>
      <c r="H1669" s="10">
        <v>1</v>
      </c>
      <c r="I1669" s="10">
        <v>6</v>
      </c>
      <c r="J1669">
        <v>2018</v>
      </c>
      <c r="K1669">
        <v>7</v>
      </c>
      <c r="L1669">
        <v>276</v>
      </c>
      <c r="M1669" t="s">
        <v>55</v>
      </c>
    </row>
    <row r="1670" spans="1:13">
      <c r="A1670" t="s">
        <v>1727</v>
      </c>
      <c r="B1670" s="10">
        <v>6</v>
      </c>
      <c r="C1670" s="10">
        <v>4.01</v>
      </c>
      <c r="D1670" s="10">
        <v>1</v>
      </c>
      <c r="E1670" s="10">
        <v>24.5</v>
      </c>
      <c r="F1670" s="10">
        <v>9</v>
      </c>
      <c r="G1670" s="10">
        <v>0</v>
      </c>
      <c r="H1670" s="10">
        <v>0</v>
      </c>
      <c r="I1670" s="10">
        <v>3</v>
      </c>
      <c r="J1670">
        <v>2018</v>
      </c>
      <c r="K1670">
        <v>7</v>
      </c>
      <c r="L1670">
        <v>276</v>
      </c>
      <c r="M1670" t="s">
        <v>57</v>
      </c>
    </row>
    <row r="1671" spans="1:13">
      <c r="A1671" t="s">
        <v>1728</v>
      </c>
      <c r="B1671" s="10">
        <v>3.5</v>
      </c>
      <c r="C1671" s="10">
        <v>4.35</v>
      </c>
      <c r="D1671" s="10">
        <v>2.1</v>
      </c>
      <c r="E1671" s="10">
        <v>9</v>
      </c>
      <c r="F1671" s="10">
        <v>7</v>
      </c>
      <c r="G1671" s="10">
        <v>1</v>
      </c>
      <c r="H1671" s="10">
        <v>0</v>
      </c>
      <c r="I1671" s="10">
        <v>3</v>
      </c>
      <c r="J1671">
        <v>2018</v>
      </c>
      <c r="K1671">
        <v>7</v>
      </c>
      <c r="L1671">
        <v>276</v>
      </c>
      <c r="M1671" t="s">
        <v>59</v>
      </c>
    </row>
    <row r="1672" spans="1:13">
      <c r="A1672" t="s">
        <v>1729</v>
      </c>
      <c r="B1672" s="10">
        <v>3</v>
      </c>
      <c r="C1672" s="10">
        <v>6.33</v>
      </c>
      <c r="D1672" s="10">
        <v>5.3</v>
      </c>
      <c r="E1672" s="10">
        <v>26</v>
      </c>
      <c r="F1672" s="10">
        <v>9</v>
      </c>
      <c r="G1672" s="10">
        <v>2</v>
      </c>
      <c r="H1672" s="10">
        <v>0</v>
      </c>
      <c r="I1672" s="10">
        <v>4</v>
      </c>
      <c r="J1672">
        <v>2018</v>
      </c>
      <c r="K1672">
        <v>7</v>
      </c>
      <c r="L1672">
        <v>276</v>
      </c>
      <c r="M1672" t="s">
        <v>61</v>
      </c>
    </row>
    <row r="1673" spans="1:13">
      <c r="A1673" t="s">
        <v>1730</v>
      </c>
      <c r="B1673" s="10">
        <v>7.33</v>
      </c>
      <c r="C1673" s="10">
        <v>3.736</v>
      </c>
      <c r="D1673" s="10">
        <v>3</v>
      </c>
      <c r="E1673" s="10">
        <v>13</v>
      </c>
      <c r="F1673" s="10">
        <v>5</v>
      </c>
      <c r="G1673" s="10">
        <v>0</v>
      </c>
      <c r="H1673" s="10">
        <v>0</v>
      </c>
      <c r="I1673" s="10">
        <v>3</v>
      </c>
      <c r="J1673">
        <v>2018</v>
      </c>
      <c r="K1673">
        <v>7</v>
      </c>
      <c r="L1673">
        <v>276</v>
      </c>
      <c r="M1673" t="s">
        <v>63</v>
      </c>
    </row>
    <row r="1674" spans="1:13">
      <c r="A1674" t="s">
        <v>1731</v>
      </c>
      <c r="B1674" s="10">
        <v>1</v>
      </c>
      <c r="C1674" s="10">
        <v>2.34</v>
      </c>
      <c r="D1674" s="10">
        <v>1</v>
      </c>
      <c r="E1674" s="10">
        <v>14</v>
      </c>
      <c r="F1674" s="10">
        <v>9</v>
      </c>
      <c r="G1674" s="10">
        <v>1</v>
      </c>
      <c r="H1674" s="10">
        <v>1</v>
      </c>
      <c r="I1674" s="10">
        <v>7</v>
      </c>
      <c r="J1674">
        <v>2018</v>
      </c>
      <c r="K1674">
        <v>8</v>
      </c>
      <c r="L1674">
        <v>276</v>
      </c>
      <c r="M1674" t="s">
        <v>65</v>
      </c>
    </row>
    <row r="1675" spans="1:13">
      <c r="A1675" t="s">
        <v>1732</v>
      </c>
      <c r="B1675" s="10">
        <v>0</v>
      </c>
      <c r="C1675" s="10">
        <v>1</v>
      </c>
      <c r="D1675" s="10">
        <v>0</v>
      </c>
      <c r="E1675" s="10">
        <v>11</v>
      </c>
      <c r="F1675" s="10">
        <v>11</v>
      </c>
      <c r="G1675" s="10">
        <v>0</v>
      </c>
      <c r="H1675" s="10">
        <v>2</v>
      </c>
      <c r="I1675" s="10">
        <v>5</v>
      </c>
      <c r="J1675">
        <v>2018</v>
      </c>
      <c r="K1675">
        <v>8</v>
      </c>
      <c r="L1675">
        <v>276</v>
      </c>
      <c r="M1675" t="s">
        <v>53</v>
      </c>
    </row>
    <row r="1676" spans="1:13">
      <c r="A1676" t="s">
        <v>1733</v>
      </c>
      <c r="B1676" s="10">
        <v>4.01</v>
      </c>
      <c r="C1676" s="10">
        <v>2.67</v>
      </c>
      <c r="D1676" s="10">
        <v>2</v>
      </c>
      <c r="E1676" s="10">
        <v>21</v>
      </c>
      <c r="F1676" s="10">
        <v>9</v>
      </c>
      <c r="G1676" s="10">
        <v>0</v>
      </c>
      <c r="H1676" s="10">
        <v>0</v>
      </c>
      <c r="I1676" s="10">
        <v>1</v>
      </c>
      <c r="J1676">
        <v>2018</v>
      </c>
      <c r="K1676">
        <v>8</v>
      </c>
      <c r="L1676">
        <v>276</v>
      </c>
      <c r="M1676" t="s">
        <v>55</v>
      </c>
    </row>
    <row r="1677" spans="1:13">
      <c r="A1677" t="s">
        <v>1734</v>
      </c>
      <c r="B1677" s="10">
        <v>5</v>
      </c>
      <c r="C1677" s="10">
        <v>3.87</v>
      </c>
      <c r="D1677" s="10">
        <v>2</v>
      </c>
      <c r="E1677" s="10">
        <v>8</v>
      </c>
      <c r="F1677" s="10">
        <v>11</v>
      </c>
      <c r="G1677" s="10">
        <v>3</v>
      </c>
      <c r="H1677" s="10">
        <v>0</v>
      </c>
      <c r="I1677" s="10">
        <v>8</v>
      </c>
      <c r="J1677">
        <v>2018</v>
      </c>
      <c r="K1677">
        <v>8</v>
      </c>
      <c r="L1677">
        <v>276</v>
      </c>
      <c r="M1677" t="s">
        <v>57</v>
      </c>
    </row>
    <row r="1678" spans="1:13">
      <c r="A1678" t="s">
        <v>1735</v>
      </c>
      <c r="B1678" s="10">
        <v>6</v>
      </c>
      <c r="C1678" s="10">
        <v>0.99</v>
      </c>
      <c r="D1678" s="10">
        <v>5</v>
      </c>
      <c r="E1678" s="10">
        <v>13</v>
      </c>
      <c r="F1678" s="10">
        <v>4</v>
      </c>
      <c r="G1678" s="10">
        <v>2</v>
      </c>
      <c r="H1678" s="10">
        <v>6</v>
      </c>
      <c r="I1678" s="10">
        <v>1.3</v>
      </c>
      <c r="J1678">
        <v>2018</v>
      </c>
      <c r="K1678">
        <v>8</v>
      </c>
      <c r="L1678">
        <v>276</v>
      </c>
      <c r="M1678" t="s">
        <v>59</v>
      </c>
    </row>
    <row r="1679" spans="1:13">
      <c r="A1679" t="s">
        <v>1736</v>
      </c>
      <c r="B1679" s="10">
        <v>8.33</v>
      </c>
      <c r="C1679" s="10">
        <v>6.165</v>
      </c>
      <c r="D1679" s="10">
        <v>2</v>
      </c>
      <c r="E1679" s="10">
        <v>21.388</v>
      </c>
      <c r="F1679" s="10">
        <v>7</v>
      </c>
      <c r="G1679" s="10">
        <v>0</v>
      </c>
      <c r="H1679" s="10">
        <v>6</v>
      </c>
      <c r="I1679" s="10">
        <v>2</v>
      </c>
      <c r="J1679">
        <v>2018</v>
      </c>
      <c r="K1679">
        <v>8</v>
      </c>
      <c r="L1679">
        <v>276</v>
      </c>
      <c r="M1679" t="s">
        <v>61</v>
      </c>
    </row>
    <row r="1680" spans="1:13">
      <c r="A1680" t="s">
        <v>1737</v>
      </c>
      <c r="B1680" s="10">
        <v>2.33</v>
      </c>
      <c r="C1680" s="10">
        <v>2.67</v>
      </c>
      <c r="D1680" s="10">
        <v>8</v>
      </c>
      <c r="E1680" s="10">
        <v>15</v>
      </c>
      <c r="F1680" s="10">
        <v>7</v>
      </c>
      <c r="G1680" s="10">
        <v>1</v>
      </c>
      <c r="H1680" s="10">
        <v>1</v>
      </c>
      <c r="I1680" s="10">
        <v>3</v>
      </c>
      <c r="J1680">
        <v>2018</v>
      </c>
      <c r="K1680">
        <v>8</v>
      </c>
      <c r="L1680">
        <v>276</v>
      </c>
      <c r="M1680" t="s">
        <v>63</v>
      </c>
    </row>
    <row r="1681" spans="1:13">
      <c r="A1681" t="s">
        <v>1738</v>
      </c>
      <c r="B1681" s="10">
        <v>4.33</v>
      </c>
      <c r="C1681" s="10">
        <v>2.793</v>
      </c>
      <c r="D1681" s="10">
        <v>2</v>
      </c>
      <c r="E1681" s="10">
        <v>10</v>
      </c>
      <c r="F1681" s="10">
        <v>13</v>
      </c>
      <c r="G1681" s="10">
        <v>0</v>
      </c>
      <c r="H1681" s="10">
        <v>0</v>
      </c>
      <c r="I1681" s="10">
        <v>2</v>
      </c>
      <c r="J1681">
        <v>2018</v>
      </c>
      <c r="K1681">
        <v>8</v>
      </c>
      <c r="L1681">
        <v>276</v>
      </c>
      <c r="M1681" t="s">
        <v>65</v>
      </c>
    </row>
    <row r="1682" spans="1:13">
      <c r="A1682" t="s">
        <v>1739</v>
      </c>
      <c r="B1682" s="10">
        <v>2.67</v>
      </c>
      <c r="C1682" s="10">
        <v>3.066</v>
      </c>
      <c r="D1682" s="10">
        <v>1</v>
      </c>
      <c r="E1682" s="10">
        <v>29.4</v>
      </c>
      <c r="F1682" s="10">
        <v>13</v>
      </c>
      <c r="G1682" s="10">
        <v>0</v>
      </c>
      <c r="H1682" s="10">
        <v>0</v>
      </c>
      <c r="I1682" s="10">
        <v>2</v>
      </c>
      <c r="J1682">
        <v>2018</v>
      </c>
      <c r="K1682">
        <v>8</v>
      </c>
      <c r="L1682">
        <v>276</v>
      </c>
      <c r="M1682" t="s">
        <v>53</v>
      </c>
    </row>
    <row r="1683" spans="1:13">
      <c r="A1683" t="s">
        <v>1740</v>
      </c>
      <c r="B1683" s="10">
        <v>6</v>
      </c>
      <c r="C1683" s="10">
        <v>4</v>
      </c>
      <c r="D1683" s="10">
        <v>4</v>
      </c>
      <c r="E1683" s="10">
        <v>19</v>
      </c>
      <c r="F1683" s="10">
        <v>4</v>
      </c>
      <c r="G1683" s="10">
        <v>0</v>
      </c>
      <c r="H1683" s="10">
        <v>0</v>
      </c>
      <c r="I1683" s="10">
        <v>2</v>
      </c>
      <c r="J1683">
        <v>2018</v>
      </c>
      <c r="K1683">
        <v>8</v>
      </c>
      <c r="L1683">
        <v>276</v>
      </c>
      <c r="M1683" t="s">
        <v>55</v>
      </c>
    </row>
    <row r="1684" spans="1:13">
      <c r="A1684" t="s">
        <v>1741</v>
      </c>
      <c r="B1684" s="10">
        <v>4</v>
      </c>
      <c r="C1684" s="10">
        <v>4.133</v>
      </c>
      <c r="D1684" s="10">
        <v>6</v>
      </c>
      <c r="E1684" s="10">
        <v>37</v>
      </c>
      <c r="F1684" s="10">
        <v>16</v>
      </c>
      <c r="G1684" s="10">
        <v>1</v>
      </c>
      <c r="H1684" s="10">
        <v>5</v>
      </c>
      <c r="I1684" s="10">
        <v>10</v>
      </c>
      <c r="J1684">
        <v>2018</v>
      </c>
      <c r="K1684">
        <v>8</v>
      </c>
      <c r="L1684">
        <v>276</v>
      </c>
      <c r="M1684" t="s">
        <v>57</v>
      </c>
    </row>
    <row r="1685" spans="1:13">
      <c r="A1685" t="s">
        <v>1742</v>
      </c>
      <c r="B1685" s="10">
        <v>10.99</v>
      </c>
      <c r="C1685" s="10">
        <v>4.99</v>
      </c>
      <c r="D1685" s="10">
        <v>6</v>
      </c>
      <c r="E1685" s="10">
        <v>16</v>
      </c>
      <c r="F1685" s="10">
        <v>6</v>
      </c>
      <c r="G1685" s="10">
        <v>0</v>
      </c>
      <c r="H1685" s="10">
        <v>1</v>
      </c>
      <c r="I1685" s="10">
        <v>2</v>
      </c>
      <c r="J1685">
        <v>2018</v>
      </c>
      <c r="K1685">
        <v>8</v>
      </c>
      <c r="L1685">
        <v>276</v>
      </c>
      <c r="M1685" t="s">
        <v>59</v>
      </c>
    </row>
    <row r="1686" spans="1:13">
      <c r="A1686" t="s">
        <v>1743</v>
      </c>
      <c r="B1686" s="10">
        <v>3.33</v>
      </c>
      <c r="C1686" s="10">
        <v>5.02</v>
      </c>
      <c r="D1686" s="10">
        <v>2</v>
      </c>
      <c r="E1686" s="10">
        <v>23.25</v>
      </c>
      <c r="F1686" s="10">
        <v>15</v>
      </c>
      <c r="G1686" s="10">
        <v>0</v>
      </c>
      <c r="H1686" s="10">
        <v>3</v>
      </c>
      <c r="I1686" s="10">
        <v>2</v>
      </c>
      <c r="J1686">
        <v>2018</v>
      </c>
      <c r="K1686">
        <v>8</v>
      </c>
      <c r="L1686">
        <v>276</v>
      </c>
      <c r="M1686" t="s">
        <v>61</v>
      </c>
    </row>
    <row r="1687" spans="1:13">
      <c r="A1687" t="s">
        <v>1744</v>
      </c>
      <c r="B1687" s="10">
        <v>1.33</v>
      </c>
      <c r="C1687" s="10">
        <v>2.736</v>
      </c>
      <c r="D1687" s="10">
        <v>5</v>
      </c>
      <c r="E1687" s="10">
        <v>12</v>
      </c>
      <c r="F1687" s="10">
        <v>9</v>
      </c>
      <c r="G1687" s="10">
        <v>0</v>
      </c>
      <c r="H1687" s="10">
        <v>4</v>
      </c>
      <c r="I1687" s="10">
        <v>5</v>
      </c>
      <c r="J1687">
        <v>2018</v>
      </c>
      <c r="K1687">
        <v>8</v>
      </c>
      <c r="L1687">
        <v>276</v>
      </c>
      <c r="M1687" t="s">
        <v>63</v>
      </c>
    </row>
    <row r="1688" spans="1:13">
      <c r="A1688" t="s">
        <v>1745</v>
      </c>
      <c r="B1688" s="10">
        <v>8.34</v>
      </c>
      <c r="C1688" s="10">
        <v>4.199</v>
      </c>
      <c r="D1688" s="10">
        <v>2</v>
      </c>
      <c r="E1688" s="10">
        <v>32.2</v>
      </c>
      <c r="F1688" s="10">
        <v>13</v>
      </c>
      <c r="G1688" s="10">
        <v>2</v>
      </c>
      <c r="H1688" s="10">
        <v>0</v>
      </c>
      <c r="I1688" s="10">
        <v>1</v>
      </c>
      <c r="J1688">
        <v>2018</v>
      </c>
      <c r="K1688">
        <v>8</v>
      </c>
      <c r="L1688">
        <v>276</v>
      </c>
      <c r="M1688" t="s">
        <v>65</v>
      </c>
    </row>
    <row r="1689" spans="1:13">
      <c r="A1689" t="s">
        <v>1746</v>
      </c>
      <c r="B1689" s="10">
        <v>3.33</v>
      </c>
      <c r="C1689" s="10">
        <v>8.728999999999999</v>
      </c>
      <c r="D1689" s="10">
        <v>4</v>
      </c>
      <c r="E1689" s="10">
        <v>27.4</v>
      </c>
      <c r="F1689" s="10">
        <v>6</v>
      </c>
      <c r="G1689" s="10">
        <v>3</v>
      </c>
      <c r="H1689" s="10">
        <v>5</v>
      </c>
      <c r="I1689" s="10">
        <v>5</v>
      </c>
      <c r="J1689">
        <v>2018</v>
      </c>
      <c r="K1689">
        <v>8</v>
      </c>
      <c r="L1689">
        <v>276</v>
      </c>
      <c r="M1689" t="s">
        <v>53</v>
      </c>
    </row>
    <row r="1690" spans="1:13">
      <c r="A1690" t="s">
        <v>1747</v>
      </c>
      <c r="B1690" s="10">
        <v>2.33</v>
      </c>
      <c r="C1690" s="10">
        <v>2.99</v>
      </c>
      <c r="D1690" s="10">
        <v>2.4</v>
      </c>
      <c r="E1690" s="10">
        <v>23</v>
      </c>
      <c r="F1690" s="10">
        <v>5</v>
      </c>
      <c r="G1690" s="10">
        <v>1</v>
      </c>
      <c r="H1690" s="10">
        <v>5</v>
      </c>
      <c r="I1690" s="10">
        <v>1</v>
      </c>
      <c r="J1690">
        <v>2018</v>
      </c>
      <c r="K1690">
        <v>8</v>
      </c>
      <c r="L1690">
        <v>276</v>
      </c>
      <c r="M1690" t="s">
        <v>55</v>
      </c>
    </row>
    <row r="1691" spans="1:13">
      <c r="A1691" t="s">
        <v>1748</v>
      </c>
      <c r="B1691" s="10">
        <v>6.33</v>
      </c>
      <c r="C1691" s="10">
        <v>5.34</v>
      </c>
      <c r="D1691" s="10">
        <v>0</v>
      </c>
      <c r="E1691" s="10">
        <v>32.1</v>
      </c>
      <c r="F1691" s="10">
        <v>5</v>
      </c>
      <c r="G1691" s="10">
        <v>1</v>
      </c>
      <c r="H1691" s="10">
        <v>6</v>
      </c>
      <c r="I1691" s="10">
        <v>0</v>
      </c>
      <c r="J1691">
        <v>2018</v>
      </c>
      <c r="K1691">
        <v>8</v>
      </c>
      <c r="L1691">
        <v>276</v>
      </c>
      <c r="M1691" t="s">
        <v>57</v>
      </c>
    </row>
    <row r="1692" spans="1:13">
      <c r="A1692" t="s">
        <v>1749</v>
      </c>
      <c r="B1692" s="10">
        <v>6.33</v>
      </c>
      <c r="C1692" s="10">
        <v>4.495</v>
      </c>
      <c r="D1692" s="10">
        <v>1</v>
      </c>
      <c r="E1692" s="10">
        <v>19.9</v>
      </c>
      <c r="F1692" s="10">
        <v>3</v>
      </c>
      <c r="G1692" s="10">
        <v>0</v>
      </c>
      <c r="H1692" s="10">
        <v>5</v>
      </c>
      <c r="I1692" s="10">
        <v>6</v>
      </c>
      <c r="J1692">
        <v>2018</v>
      </c>
      <c r="K1692">
        <v>8</v>
      </c>
      <c r="L1692">
        <v>276</v>
      </c>
      <c r="M1692" t="s">
        <v>59</v>
      </c>
    </row>
    <row r="1693" spans="1:13">
      <c r="A1693" t="s">
        <v>1750</v>
      </c>
      <c r="B1693" s="10">
        <v>4</v>
      </c>
      <c r="C1693" s="10">
        <v>5.68</v>
      </c>
      <c r="D1693" s="10">
        <v>4.2</v>
      </c>
      <c r="E1693" s="10">
        <v>21.4</v>
      </c>
      <c r="F1693" s="10">
        <v>7</v>
      </c>
      <c r="G1693" s="10">
        <v>0</v>
      </c>
      <c r="H1693" s="10">
        <v>20</v>
      </c>
      <c r="I1693" s="10">
        <v>3</v>
      </c>
      <c r="J1693">
        <v>2018</v>
      </c>
      <c r="K1693">
        <v>8</v>
      </c>
      <c r="L1693">
        <v>276</v>
      </c>
      <c r="M1693" t="s">
        <v>61</v>
      </c>
    </row>
    <row r="1694" spans="1:13">
      <c r="A1694" t="s">
        <v>1751</v>
      </c>
      <c r="B1694" s="10">
        <v>2.34</v>
      </c>
      <c r="C1694" s="10">
        <v>3</v>
      </c>
      <c r="D1694" s="10">
        <v>2.15</v>
      </c>
      <c r="E1694" s="10">
        <v>26.2</v>
      </c>
      <c r="F1694" s="10">
        <v>4</v>
      </c>
      <c r="G1694" s="10">
        <v>1</v>
      </c>
      <c r="H1694" s="10">
        <v>1</v>
      </c>
      <c r="I1694" s="10">
        <v>4</v>
      </c>
      <c r="J1694">
        <v>2018</v>
      </c>
      <c r="K1694">
        <v>8</v>
      </c>
      <c r="L1694">
        <v>276</v>
      </c>
      <c r="M1694" t="s">
        <v>63</v>
      </c>
    </row>
    <row r="1695" spans="1:13">
      <c r="A1695" t="s">
        <v>1752</v>
      </c>
      <c r="B1695" s="10">
        <v>5</v>
      </c>
      <c r="C1695" s="10">
        <v>4.33</v>
      </c>
      <c r="D1695" s="10">
        <v>0</v>
      </c>
      <c r="E1695" s="10">
        <v>18</v>
      </c>
      <c r="F1695" s="10">
        <v>4</v>
      </c>
      <c r="G1695" s="10">
        <v>1</v>
      </c>
      <c r="H1695" s="10">
        <v>0</v>
      </c>
      <c r="I1695" s="10">
        <v>4</v>
      </c>
      <c r="J1695">
        <v>2018</v>
      </c>
      <c r="K1695">
        <v>8</v>
      </c>
      <c r="L1695">
        <v>276</v>
      </c>
      <c r="M1695" t="s">
        <v>65</v>
      </c>
    </row>
    <row r="1696" spans="1:13">
      <c r="A1696" t="s">
        <v>1753</v>
      </c>
      <c r="B1696" s="10">
        <v>5</v>
      </c>
      <c r="C1696" s="10">
        <v>4.067</v>
      </c>
      <c r="D1696" s="10">
        <v>4</v>
      </c>
      <c r="E1696" s="10">
        <v>35</v>
      </c>
      <c r="F1696" s="10">
        <v>8</v>
      </c>
      <c r="G1696" s="10">
        <v>0</v>
      </c>
      <c r="H1696" s="10">
        <v>23</v>
      </c>
      <c r="I1696" s="10">
        <v>3</v>
      </c>
      <c r="J1696">
        <v>2018</v>
      </c>
      <c r="K1696">
        <v>8</v>
      </c>
      <c r="L1696">
        <v>276</v>
      </c>
      <c r="M1696" t="s">
        <v>53</v>
      </c>
    </row>
    <row r="1697" spans="1:13">
      <c r="A1697" t="s">
        <v>1754</v>
      </c>
      <c r="B1697" s="10">
        <v>4</v>
      </c>
      <c r="C1697" s="10">
        <v>2.34</v>
      </c>
      <c r="D1697" s="10">
        <v>1</v>
      </c>
      <c r="E1697" s="10">
        <v>38.5</v>
      </c>
      <c r="F1697" s="10">
        <v>7</v>
      </c>
      <c r="G1697" s="10">
        <v>0</v>
      </c>
      <c r="H1697" s="10">
        <v>21</v>
      </c>
      <c r="I1697" s="10">
        <v>4</v>
      </c>
      <c r="J1697">
        <v>2018</v>
      </c>
      <c r="K1697">
        <v>8</v>
      </c>
      <c r="L1697">
        <v>276</v>
      </c>
      <c r="M1697" t="s">
        <v>55</v>
      </c>
    </row>
    <row r="1698" spans="1:13">
      <c r="A1698" t="s">
        <v>1755</v>
      </c>
      <c r="B1698" s="10">
        <v>3.67</v>
      </c>
      <c r="C1698" s="10">
        <v>4.01</v>
      </c>
      <c r="D1698" s="10">
        <v>3.2</v>
      </c>
      <c r="E1698" s="10">
        <v>27</v>
      </c>
      <c r="F1698" s="10">
        <v>4</v>
      </c>
      <c r="G1698" s="10">
        <v>0</v>
      </c>
      <c r="H1698" s="10">
        <v>6</v>
      </c>
      <c r="I1698" s="10">
        <v>2.5</v>
      </c>
      <c r="J1698">
        <v>2018</v>
      </c>
      <c r="K1698">
        <v>8</v>
      </c>
      <c r="L1698">
        <v>276</v>
      </c>
      <c r="M1698" t="s">
        <v>57</v>
      </c>
    </row>
    <row r="1699" spans="1:13">
      <c r="A1699" t="s">
        <v>1756</v>
      </c>
      <c r="B1699" s="10">
        <v>11.33</v>
      </c>
      <c r="C1699" s="10">
        <v>6.67</v>
      </c>
      <c r="D1699" s="10">
        <v>4</v>
      </c>
      <c r="E1699" s="10">
        <v>57</v>
      </c>
      <c r="F1699" s="10">
        <v>10</v>
      </c>
      <c r="G1699" s="10">
        <v>0</v>
      </c>
      <c r="H1699" s="10">
        <v>8</v>
      </c>
      <c r="I1699" s="10">
        <v>4.3</v>
      </c>
      <c r="J1699">
        <v>2018</v>
      </c>
      <c r="K1699">
        <v>8</v>
      </c>
      <c r="L1699">
        <v>276</v>
      </c>
      <c r="M1699" t="s">
        <v>59</v>
      </c>
    </row>
    <row r="1700" spans="1:13">
      <c r="A1700" t="s">
        <v>1757</v>
      </c>
      <c r="B1700" s="10">
        <v>3.34</v>
      </c>
      <c r="C1700" s="10">
        <v>1</v>
      </c>
      <c r="D1700" s="10">
        <v>9</v>
      </c>
      <c r="E1700" s="10">
        <v>16</v>
      </c>
      <c r="F1700" s="10">
        <v>6</v>
      </c>
      <c r="G1700" s="10">
        <v>0</v>
      </c>
      <c r="H1700" s="10">
        <v>1</v>
      </c>
      <c r="I1700" s="10">
        <v>1</v>
      </c>
      <c r="J1700">
        <v>2018</v>
      </c>
      <c r="K1700">
        <v>8</v>
      </c>
      <c r="L1700">
        <v>276</v>
      </c>
      <c r="M1700" t="s">
        <v>61</v>
      </c>
    </row>
    <row r="1701" spans="1:13">
      <c r="A1701" t="s">
        <v>1758</v>
      </c>
      <c r="B1701" s="10">
        <v>2</v>
      </c>
      <c r="C1701" s="10">
        <v>2.68</v>
      </c>
      <c r="D1701" s="10">
        <v>1</v>
      </c>
      <c r="E1701" s="10">
        <v>26.4</v>
      </c>
      <c r="F1701" s="10">
        <v>7</v>
      </c>
      <c r="G1701" s="10">
        <v>1</v>
      </c>
      <c r="H1701" s="10">
        <v>0</v>
      </c>
      <c r="I1701" s="10">
        <v>3</v>
      </c>
      <c r="J1701">
        <v>2018</v>
      </c>
      <c r="K1701">
        <v>8</v>
      </c>
      <c r="L1701">
        <v>276</v>
      </c>
      <c r="M1701" t="s">
        <v>63</v>
      </c>
    </row>
    <row r="1702" spans="1:13">
      <c r="A1702" t="s">
        <v>1759</v>
      </c>
      <c r="B1702" s="10">
        <v>6.67</v>
      </c>
      <c r="C1702" s="10">
        <v>2.67</v>
      </c>
      <c r="D1702" s="10">
        <v>1.3</v>
      </c>
      <c r="E1702" s="10">
        <v>28.5</v>
      </c>
      <c r="F1702" s="10">
        <v>10</v>
      </c>
      <c r="G1702" s="10">
        <v>1</v>
      </c>
      <c r="H1702" s="10">
        <v>5</v>
      </c>
      <c r="I1702" s="10">
        <v>3</v>
      </c>
      <c r="J1702">
        <v>2018</v>
      </c>
      <c r="K1702">
        <v>8</v>
      </c>
      <c r="L1702">
        <v>276</v>
      </c>
      <c r="M1702" t="s">
        <v>65</v>
      </c>
    </row>
    <row r="1703" spans="1:13">
      <c r="A1703" t="s">
        <v>1760</v>
      </c>
      <c r="B1703" s="10">
        <v>2.33</v>
      </c>
      <c r="C1703" s="10">
        <v>2.736</v>
      </c>
      <c r="D1703" s="10">
        <v>3</v>
      </c>
      <c r="E1703" s="10">
        <v>38</v>
      </c>
      <c r="F1703" s="10">
        <v>7</v>
      </c>
      <c r="G1703" s="10">
        <v>0</v>
      </c>
      <c r="H1703" s="10">
        <v>4</v>
      </c>
      <c r="I1703" s="10">
        <v>2</v>
      </c>
      <c r="J1703">
        <v>2018</v>
      </c>
      <c r="K1703">
        <v>8</v>
      </c>
      <c r="L1703">
        <v>276</v>
      </c>
      <c r="M1703" t="s">
        <v>53</v>
      </c>
    </row>
    <row r="1704" spans="1:13">
      <c r="A1704" t="s">
        <v>1761</v>
      </c>
      <c r="B1704" s="10">
        <v>4.34</v>
      </c>
      <c r="C1704" s="10">
        <v>3.34</v>
      </c>
      <c r="D1704" s="10">
        <v>0</v>
      </c>
      <c r="E1704" s="10">
        <v>17.2</v>
      </c>
      <c r="F1704" s="10">
        <v>13</v>
      </c>
      <c r="G1704" s="10">
        <v>1</v>
      </c>
      <c r="H1704" s="10">
        <v>20</v>
      </c>
      <c r="I1704" s="10">
        <v>4</v>
      </c>
      <c r="J1704">
        <v>2018</v>
      </c>
      <c r="K1704">
        <v>8</v>
      </c>
      <c r="L1704">
        <v>276</v>
      </c>
      <c r="M1704" t="s">
        <v>55</v>
      </c>
    </row>
    <row r="1705" spans="1:13">
      <c r="A1705" t="s">
        <v>1762</v>
      </c>
      <c r="B1705" s="10">
        <v>2.34</v>
      </c>
      <c r="C1705" s="10">
        <v>0</v>
      </c>
      <c r="D1705" s="10">
        <v>2.2</v>
      </c>
      <c r="E1705" s="10">
        <v>19</v>
      </c>
      <c r="F1705" s="10">
        <v>6</v>
      </c>
      <c r="G1705" s="10">
        <v>1</v>
      </c>
      <c r="H1705" s="10">
        <v>1</v>
      </c>
      <c r="I1705" s="10">
        <v>2</v>
      </c>
      <c r="J1705">
        <v>2018</v>
      </c>
      <c r="K1705">
        <v>9</v>
      </c>
      <c r="L1705">
        <v>276</v>
      </c>
      <c r="M1705" t="s">
        <v>57</v>
      </c>
    </row>
    <row r="1706" spans="1:13">
      <c r="A1706" t="s">
        <v>1763</v>
      </c>
      <c r="B1706" s="10">
        <v>6.68</v>
      </c>
      <c r="C1706" s="10">
        <v>5.373</v>
      </c>
      <c r="D1706" s="10">
        <v>3</v>
      </c>
      <c r="E1706" s="10">
        <v>20</v>
      </c>
      <c r="F1706" s="10">
        <v>5</v>
      </c>
      <c r="G1706" s="10">
        <v>0</v>
      </c>
      <c r="H1706" s="10">
        <v>5</v>
      </c>
      <c r="I1706" s="10">
        <v>2</v>
      </c>
      <c r="J1706">
        <v>2018</v>
      </c>
      <c r="K1706">
        <v>9</v>
      </c>
      <c r="L1706">
        <v>276</v>
      </c>
      <c r="M1706" t="s">
        <v>59</v>
      </c>
    </row>
    <row r="1707" spans="1:13">
      <c r="A1707" t="s">
        <v>1764</v>
      </c>
      <c r="B1707" s="10">
        <v>1</v>
      </c>
      <c r="C1707" s="10">
        <v>2.02</v>
      </c>
      <c r="D1707" s="10">
        <v>2</v>
      </c>
      <c r="E1707" s="10">
        <v>27.4</v>
      </c>
      <c r="F1707" s="10">
        <v>12</v>
      </c>
      <c r="G1707" s="10">
        <v>0</v>
      </c>
      <c r="H1707" s="10">
        <v>0</v>
      </c>
      <c r="I1707" s="10">
        <v>4</v>
      </c>
      <c r="J1707">
        <v>2018</v>
      </c>
      <c r="K1707">
        <v>9</v>
      </c>
      <c r="L1707">
        <v>276</v>
      </c>
      <c r="M1707" t="s">
        <v>61</v>
      </c>
    </row>
    <row r="1708" spans="1:13">
      <c r="A1708" t="s">
        <v>1765</v>
      </c>
      <c r="B1708" s="10">
        <v>4</v>
      </c>
      <c r="C1708" s="10">
        <v>1.086</v>
      </c>
      <c r="D1708" s="10">
        <v>1</v>
      </c>
      <c r="E1708" s="10">
        <v>22</v>
      </c>
      <c r="F1708" s="10">
        <v>7</v>
      </c>
      <c r="G1708" s="10">
        <v>0</v>
      </c>
      <c r="H1708" s="10">
        <v>3</v>
      </c>
      <c r="I1708" s="10">
        <v>2</v>
      </c>
      <c r="J1708">
        <v>2018</v>
      </c>
      <c r="K1708">
        <v>9</v>
      </c>
      <c r="L1708">
        <v>276</v>
      </c>
      <c r="M1708" t="s">
        <v>63</v>
      </c>
    </row>
    <row r="1709" spans="1:13">
      <c r="A1709" t="s">
        <v>1766</v>
      </c>
      <c r="B1709" s="10">
        <v>6.5</v>
      </c>
      <c r="C1709" s="10">
        <v>3.33</v>
      </c>
      <c r="D1709" s="10">
        <v>1.5</v>
      </c>
      <c r="E1709" s="10">
        <v>28</v>
      </c>
      <c r="F1709" s="10">
        <v>11</v>
      </c>
      <c r="G1709" s="10">
        <v>0</v>
      </c>
      <c r="H1709" s="10">
        <v>3</v>
      </c>
      <c r="I1709" s="10">
        <v>2</v>
      </c>
      <c r="J1709">
        <v>2018</v>
      </c>
      <c r="K1709">
        <v>9</v>
      </c>
      <c r="L1709">
        <v>276</v>
      </c>
      <c r="M1709" t="s">
        <v>65</v>
      </c>
    </row>
    <row r="1710" spans="1:13">
      <c r="A1710" t="s">
        <v>1767</v>
      </c>
      <c r="B1710" s="10">
        <v>6.66</v>
      </c>
      <c r="C1710" s="10">
        <v>4.056</v>
      </c>
      <c r="D1710" s="10">
        <v>3</v>
      </c>
      <c r="E1710" s="10">
        <v>18.4</v>
      </c>
      <c r="F1710" s="10">
        <v>13</v>
      </c>
      <c r="G1710" s="10">
        <v>0</v>
      </c>
      <c r="H1710" s="10">
        <v>5</v>
      </c>
      <c r="I1710" s="10">
        <v>0</v>
      </c>
      <c r="J1710">
        <v>2018</v>
      </c>
      <c r="K1710">
        <v>9</v>
      </c>
      <c r="L1710">
        <v>276</v>
      </c>
      <c r="M1710" t="s">
        <v>53</v>
      </c>
    </row>
    <row r="1711" spans="1:13">
      <c r="A1711" t="s">
        <v>1768</v>
      </c>
      <c r="B1711" s="10">
        <v>2</v>
      </c>
      <c r="C1711" s="10">
        <v>1.746</v>
      </c>
      <c r="D1711" s="10">
        <v>4</v>
      </c>
      <c r="E1711" s="10">
        <v>42</v>
      </c>
      <c r="F1711" s="10">
        <v>6</v>
      </c>
      <c r="G1711" s="10">
        <v>0</v>
      </c>
      <c r="H1711" s="10">
        <v>22</v>
      </c>
      <c r="I1711" s="10">
        <v>7.7</v>
      </c>
      <c r="J1711">
        <v>2018</v>
      </c>
      <c r="K1711">
        <v>9</v>
      </c>
      <c r="L1711">
        <v>276</v>
      </c>
      <c r="M1711" t="s">
        <v>55</v>
      </c>
    </row>
    <row r="1712" spans="1:13">
      <c r="A1712" t="s">
        <v>1769</v>
      </c>
      <c r="B1712" s="10">
        <v>10</v>
      </c>
      <c r="C1712" s="10">
        <v>2.34</v>
      </c>
      <c r="D1712" s="10">
        <v>6.1</v>
      </c>
      <c r="E1712" s="10">
        <v>35.4</v>
      </c>
      <c r="F1712" s="10">
        <v>12</v>
      </c>
      <c r="G1712" s="10">
        <v>0</v>
      </c>
      <c r="H1712" s="10">
        <v>10</v>
      </c>
      <c r="I1712" s="10">
        <v>1</v>
      </c>
      <c r="J1712">
        <v>2018</v>
      </c>
      <c r="K1712">
        <v>9</v>
      </c>
      <c r="L1712">
        <v>276</v>
      </c>
      <c r="M1712" t="s">
        <v>57</v>
      </c>
    </row>
    <row r="1713" spans="1:13">
      <c r="A1713" t="s">
        <v>1770</v>
      </c>
      <c r="B1713" s="10">
        <v>4</v>
      </c>
      <c r="C1713" s="10">
        <v>5.944</v>
      </c>
      <c r="D1713" s="10">
        <v>0</v>
      </c>
      <c r="E1713" s="10">
        <v>50</v>
      </c>
      <c r="F1713" s="10">
        <v>2</v>
      </c>
      <c r="G1713" s="10">
        <v>0</v>
      </c>
      <c r="H1713" s="10">
        <v>0</v>
      </c>
      <c r="I1713" s="10">
        <v>5</v>
      </c>
      <c r="J1713">
        <v>2018</v>
      </c>
      <c r="K1713">
        <v>9</v>
      </c>
      <c r="L1713">
        <v>276</v>
      </c>
      <c r="M1713" t="s">
        <v>59</v>
      </c>
    </row>
    <row r="1714" spans="1:13">
      <c r="A1714" t="s">
        <v>1771</v>
      </c>
      <c r="B1714" s="10">
        <v>7</v>
      </c>
      <c r="C1714" s="10">
        <v>2.406</v>
      </c>
      <c r="D1714" s="10">
        <v>2</v>
      </c>
      <c r="E1714" s="10">
        <v>49.4</v>
      </c>
      <c r="F1714" s="10">
        <v>14</v>
      </c>
      <c r="G1714" s="10">
        <v>3</v>
      </c>
      <c r="H1714" s="10">
        <v>1</v>
      </c>
      <c r="I1714" s="10">
        <v>2</v>
      </c>
      <c r="J1714">
        <v>2018</v>
      </c>
      <c r="K1714">
        <v>9</v>
      </c>
      <c r="L1714">
        <v>276</v>
      </c>
      <c r="M1714" t="s">
        <v>61</v>
      </c>
    </row>
    <row r="1715" spans="1:13">
      <c r="A1715" t="s">
        <v>1772</v>
      </c>
      <c r="B1715" s="10">
        <v>9</v>
      </c>
      <c r="C1715" s="10">
        <v>2.726</v>
      </c>
      <c r="D1715" s="10">
        <v>3</v>
      </c>
      <c r="E1715" s="10">
        <v>50.6</v>
      </c>
      <c r="F1715" s="10">
        <v>15</v>
      </c>
      <c r="G1715" s="10">
        <v>0</v>
      </c>
      <c r="H1715" s="10">
        <v>6</v>
      </c>
      <c r="I1715" s="10">
        <v>4</v>
      </c>
      <c r="J1715">
        <v>2018</v>
      </c>
      <c r="K1715">
        <v>9</v>
      </c>
      <c r="L1715">
        <v>276</v>
      </c>
      <c r="M1715" t="s">
        <v>63</v>
      </c>
    </row>
    <row r="1716" spans="1:13">
      <c r="A1716" t="s">
        <v>1773</v>
      </c>
      <c r="B1716" s="10">
        <v>4</v>
      </c>
      <c r="C1716" s="10">
        <v>3</v>
      </c>
      <c r="D1716" s="10">
        <v>2</v>
      </c>
      <c r="E1716" s="10">
        <v>35</v>
      </c>
      <c r="F1716" s="10">
        <v>18</v>
      </c>
      <c r="G1716" s="10">
        <v>0</v>
      </c>
      <c r="H1716" s="10">
        <v>5</v>
      </c>
      <c r="I1716" s="10">
        <v>0</v>
      </c>
      <c r="J1716">
        <v>2018</v>
      </c>
      <c r="K1716">
        <v>9</v>
      </c>
      <c r="L1716">
        <v>276</v>
      </c>
      <c r="M1716" t="s">
        <v>65</v>
      </c>
    </row>
    <row r="1717" spans="1:13">
      <c r="A1717" t="s">
        <v>1774</v>
      </c>
      <c r="B1717" s="10">
        <v>2.83</v>
      </c>
      <c r="C1717" s="10">
        <v>3.086</v>
      </c>
      <c r="D1717" s="10">
        <v>1</v>
      </c>
      <c r="E1717" s="10">
        <v>20.6</v>
      </c>
      <c r="F1717" s="10">
        <v>5</v>
      </c>
      <c r="G1717" s="10">
        <v>2</v>
      </c>
      <c r="H1717" s="10">
        <v>12</v>
      </c>
      <c r="I1717" s="10">
        <v>2</v>
      </c>
      <c r="J1717">
        <v>2018</v>
      </c>
      <c r="K1717">
        <v>9</v>
      </c>
      <c r="L1717">
        <v>276</v>
      </c>
      <c r="M1717" t="s">
        <v>53</v>
      </c>
    </row>
    <row r="1718" spans="1:13">
      <c r="A1718" t="s">
        <v>1775</v>
      </c>
      <c r="B1718" s="10">
        <v>8</v>
      </c>
      <c r="C1718" s="10">
        <v>7.02</v>
      </c>
      <c r="D1718" s="10">
        <v>4</v>
      </c>
      <c r="E1718" s="10">
        <v>54</v>
      </c>
      <c r="F1718" s="10">
        <v>7</v>
      </c>
      <c r="G1718" s="10">
        <v>0</v>
      </c>
      <c r="H1718" s="10">
        <v>1</v>
      </c>
      <c r="I1718" s="10">
        <v>2</v>
      </c>
      <c r="J1718">
        <v>2018</v>
      </c>
      <c r="K1718">
        <v>9</v>
      </c>
      <c r="L1718">
        <v>276</v>
      </c>
      <c r="M1718" t="s">
        <v>55</v>
      </c>
    </row>
    <row r="1719" spans="1:13">
      <c r="A1719" t="s">
        <v>1776</v>
      </c>
      <c r="B1719" s="10">
        <v>6</v>
      </c>
      <c r="C1719" s="10">
        <v>2.01</v>
      </c>
      <c r="D1719" s="10">
        <v>4</v>
      </c>
      <c r="E1719" s="10">
        <v>19.7</v>
      </c>
      <c r="F1719" s="10">
        <v>6</v>
      </c>
      <c r="G1719" s="10">
        <v>0</v>
      </c>
      <c r="H1719" s="10">
        <v>10</v>
      </c>
      <c r="I1719" s="10">
        <v>4.4</v>
      </c>
      <c r="J1719">
        <v>2018</v>
      </c>
      <c r="K1719">
        <v>9</v>
      </c>
      <c r="L1719">
        <v>276</v>
      </c>
      <c r="M1719" t="s">
        <v>57</v>
      </c>
    </row>
    <row r="1720" spans="1:13">
      <c r="A1720" t="s">
        <v>1777</v>
      </c>
      <c r="B1720" s="10">
        <v>3.33</v>
      </c>
      <c r="C1720" s="10">
        <v>0.67</v>
      </c>
      <c r="D1720" s="10">
        <v>3.25</v>
      </c>
      <c r="E1720" s="10">
        <v>24.25</v>
      </c>
      <c r="F1720" s="10">
        <v>6</v>
      </c>
      <c r="G1720" s="10">
        <v>1</v>
      </c>
      <c r="H1720" s="10">
        <v>7</v>
      </c>
      <c r="I1720" s="10">
        <v>3</v>
      </c>
      <c r="J1720">
        <v>2018</v>
      </c>
      <c r="K1720">
        <v>9</v>
      </c>
      <c r="L1720">
        <v>276</v>
      </c>
      <c r="M1720" t="s">
        <v>59</v>
      </c>
    </row>
    <row r="1721" spans="1:13">
      <c r="A1721" t="s">
        <v>1778</v>
      </c>
      <c r="B1721" s="10">
        <v>3</v>
      </c>
      <c r="C1721" s="10">
        <v>2.33</v>
      </c>
      <c r="D1721" s="10">
        <v>3.75</v>
      </c>
      <c r="E1721" s="10">
        <v>44.4</v>
      </c>
      <c r="F1721" s="10">
        <v>10</v>
      </c>
      <c r="G1721" s="10">
        <v>1</v>
      </c>
      <c r="H1721" s="10">
        <v>5</v>
      </c>
      <c r="I1721" s="10">
        <v>0</v>
      </c>
      <c r="J1721">
        <v>2018</v>
      </c>
      <c r="K1721">
        <v>9</v>
      </c>
      <c r="L1721">
        <v>276</v>
      </c>
      <c r="M1721" t="s">
        <v>61</v>
      </c>
    </row>
    <row r="1722" spans="1:13">
      <c r="A1722" t="s">
        <v>1779</v>
      </c>
      <c r="B1722" s="10">
        <v>4.34</v>
      </c>
      <c r="C1722" s="10">
        <v>3</v>
      </c>
      <c r="D1722" s="10">
        <v>3.7</v>
      </c>
      <c r="E1722" s="10">
        <v>20</v>
      </c>
      <c r="F1722" s="10">
        <v>6</v>
      </c>
      <c r="G1722" s="10">
        <v>0</v>
      </c>
      <c r="H1722" s="10">
        <v>1</v>
      </c>
      <c r="I1722" s="10">
        <v>5</v>
      </c>
      <c r="J1722">
        <v>2018</v>
      </c>
      <c r="K1722">
        <v>9</v>
      </c>
      <c r="L1722">
        <v>276</v>
      </c>
      <c r="M1722" t="s">
        <v>63</v>
      </c>
    </row>
    <row r="1723" spans="1:13">
      <c r="A1723" t="s">
        <v>1780</v>
      </c>
      <c r="B1723" s="10">
        <v>6</v>
      </c>
      <c r="C1723" s="10">
        <v>3.68</v>
      </c>
      <c r="D1723" s="10">
        <v>2</v>
      </c>
      <c r="E1723" s="10">
        <v>26</v>
      </c>
      <c r="F1723" s="10">
        <v>10</v>
      </c>
      <c r="G1723" s="10">
        <v>0</v>
      </c>
      <c r="H1723" s="10">
        <v>9</v>
      </c>
      <c r="I1723" s="10">
        <v>7</v>
      </c>
      <c r="J1723">
        <v>2018</v>
      </c>
      <c r="K1723">
        <v>9</v>
      </c>
      <c r="L1723">
        <v>276</v>
      </c>
      <c r="M1723" t="s">
        <v>65</v>
      </c>
    </row>
    <row r="1724" spans="1:13">
      <c r="A1724" t="s">
        <v>1781</v>
      </c>
      <c r="B1724" s="10">
        <v>2</v>
      </c>
      <c r="C1724" s="10">
        <v>4.067</v>
      </c>
      <c r="D1724" s="10">
        <v>2</v>
      </c>
      <c r="E1724" s="10">
        <v>24.2</v>
      </c>
      <c r="F1724" s="10">
        <v>13</v>
      </c>
      <c r="G1724" s="10">
        <v>1</v>
      </c>
      <c r="H1724" s="10">
        <v>0</v>
      </c>
      <c r="I1724" s="10">
        <v>5</v>
      </c>
      <c r="J1724">
        <v>2018</v>
      </c>
      <c r="K1724">
        <v>9</v>
      </c>
      <c r="L1724">
        <v>276</v>
      </c>
      <c r="M1724" t="s">
        <v>53</v>
      </c>
    </row>
    <row r="1725" spans="1:13">
      <c r="A1725" t="s">
        <v>1782</v>
      </c>
      <c r="B1725" s="10">
        <v>4.66</v>
      </c>
      <c r="C1725" s="10">
        <v>5.837</v>
      </c>
      <c r="D1725" s="10">
        <v>1</v>
      </c>
      <c r="E1725" s="10">
        <v>33.1</v>
      </c>
      <c r="F1725" s="10">
        <v>10</v>
      </c>
      <c r="G1725" s="10">
        <v>0</v>
      </c>
      <c r="H1725" s="10">
        <v>1</v>
      </c>
      <c r="I1725" s="10">
        <v>3</v>
      </c>
      <c r="J1725">
        <v>2018</v>
      </c>
      <c r="K1725">
        <v>9</v>
      </c>
      <c r="L1725">
        <v>276</v>
      </c>
      <c r="M1725" t="s">
        <v>55</v>
      </c>
    </row>
    <row r="1726" spans="1:13">
      <c r="A1726" t="s">
        <v>1783</v>
      </c>
      <c r="B1726" s="10">
        <v>6</v>
      </c>
      <c r="C1726" s="10">
        <v>3.833</v>
      </c>
      <c r="D1726" s="10">
        <v>1.5</v>
      </c>
      <c r="E1726" s="10">
        <v>31.6</v>
      </c>
      <c r="F1726" s="10">
        <v>6</v>
      </c>
      <c r="G1726" s="10">
        <v>1</v>
      </c>
      <c r="H1726" s="10">
        <v>23</v>
      </c>
      <c r="I1726" s="10">
        <v>3</v>
      </c>
      <c r="J1726">
        <v>2018</v>
      </c>
      <c r="K1726">
        <v>9</v>
      </c>
      <c r="L1726">
        <v>276</v>
      </c>
      <c r="M1726" t="s">
        <v>57</v>
      </c>
    </row>
    <row r="1727" spans="1:13">
      <c r="A1727" t="s">
        <v>1784</v>
      </c>
      <c r="B1727" s="10">
        <v>7.34</v>
      </c>
      <c r="C1727" s="10">
        <v>9.439</v>
      </c>
      <c r="D1727" s="10">
        <v>3.25</v>
      </c>
      <c r="E1727" s="10">
        <v>42.862</v>
      </c>
      <c r="F1727" s="10">
        <v>9</v>
      </c>
      <c r="G1727" s="10">
        <v>0</v>
      </c>
      <c r="H1727" s="10">
        <v>8</v>
      </c>
      <c r="I1727" s="10">
        <v>5</v>
      </c>
      <c r="J1727">
        <v>2018</v>
      </c>
      <c r="K1727">
        <v>9</v>
      </c>
      <c r="L1727">
        <v>276</v>
      </c>
      <c r="M1727" t="s">
        <v>59</v>
      </c>
    </row>
    <row r="1728" spans="1:13">
      <c r="A1728" t="s">
        <v>1785</v>
      </c>
      <c r="B1728" s="10">
        <v>7.33</v>
      </c>
      <c r="C1728" s="10">
        <v>3.67</v>
      </c>
      <c r="D1728" s="10">
        <v>5.5</v>
      </c>
      <c r="E1728" s="10">
        <v>53.8</v>
      </c>
      <c r="F1728" s="10">
        <v>7</v>
      </c>
      <c r="G1728" s="10">
        <v>0</v>
      </c>
      <c r="H1728" s="10">
        <v>9</v>
      </c>
      <c r="I1728" s="10">
        <v>2</v>
      </c>
      <c r="J1728">
        <v>2018</v>
      </c>
      <c r="K1728">
        <v>9</v>
      </c>
      <c r="L1728">
        <v>276</v>
      </c>
      <c r="M1728" t="s">
        <v>61</v>
      </c>
    </row>
    <row r="1729" spans="1:13">
      <c r="A1729" t="s">
        <v>1786</v>
      </c>
      <c r="B1729" s="10">
        <v>6</v>
      </c>
      <c r="C1729" s="10">
        <v>4.736</v>
      </c>
      <c r="D1729" s="10">
        <v>3.3</v>
      </c>
      <c r="E1729" s="10">
        <v>53.85</v>
      </c>
      <c r="F1729" s="10">
        <v>11</v>
      </c>
      <c r="G1729" s="10">
        <v>0</v>
      </c>
      <c r="H1729" s="10">
        <v>22</v>
      </c>
      <c r="I1729" s="10">
        <v>2</v>
      </c>
      <c r="J1729">
        <v>2018</v>
      </c>
      <c r="K1729">
        <v>9</v>
      </c>
      <c r="L1729">
        <v>276</v>
      </c>
      <c r="M1729" t="s">
        <v>63</v>
      </c>
    </row>
    <row r="1730" spans="1:13">
      <c r="A1730" t="s">
        <v>1787</v>
      </c>
      <c r="B1730" s="10">
        <v>3</v>
      </c>
      <c r="C1730" s="10">
        <v>9</v>
      </c>
      <c r="D1730" s="10">
        <v>6</v>
      </c>
      <c r="E1730" s="10">
        <v>41.4</v>
      </c>
      <c r="F1730" s="10">
        <v>9</v>
      </c>
      <c r="G1730" s="10">
        <v>1</v>
      </c>
      <c r="H1730" s="10">
        <v>0</v>
      </c>
      <c r="I1730" s="10">
        <v>3</v>
      </c>
      <c r="J1730">
        <v>2018</v>
      </c>
      <c r="K1730">
        <v>9</v>
      </c>
      <c r="L1730">
        <v>276</v>
      </c>
      <c r="M1730" t="s">
        <v>65</v>
      </c>
    </row>
    <row r="1731" spans="1:13">
      <c r="A1731" t="s">
        <v>1788</v>
      </c>
      <c r="B1731" s="10">
        <v>4</v>
      </c>
      <c r="C1731" s="10">
        <v>6.567</v>
      </c>
      <c r="D1731" s="10">
        <v>4.6</v>
      </c>
      <c r="E1731" s="10">
        <v>19</v>
      </c>
      <c r="F1731" s="10">
        <v>11</v>
      </c>
      <c r="G1731" s="10">
        <v>0</v>
      </c>
      <c r="H1731" s="10">
        <v>7</v>
      </c>
      <c r="I1731" s="10">
        <v>3</v>
      </c>
      <c r="J1731">
        <v>2018</v>
      </c>
      <c r="K1731">
        <v>9</v>
      </c>
      <c r="L1731">
        <v>276</v>
      </c>
      <c r="M1731" t="s">
        <v>53</v>
      </c>
    </row>
    <row r="1732" spans="1:13">
      <c r="A1732" t="s">
        <v>1789</v>
      </c>
      <c r="B1732" s="10">
        <v>2</v>
      </c>
      <c r="C1732" s="10">
        <v>4.68</v>
      </c>
      <c r="D1732" s="10">
        <v>3.7</v>
      </c>
      <c r="E1732" s="10">
        <v>40.6</v>
      </c>
      <c r="F1732" s="10">
        <v>3</v>
      </c>
      <c r="G1732" s="10">
        <v>0</v>
      </c>
      <c r="H1732" s="10">
        <v>5</v>
      </c>
      <c r="I1732" s="10">
        <v>3</v>
      </c>
      <c r="J1732">
        <v>2018</v>
      </c>
      <c r="K1732">
        <v>9</v>
      </c>
      <c r="L1732">
        <v>276</v>
      </c>
      <c r="M1732" t="s">
        <v>55</v>
      </c>
    </row>
    <row r="1733" spans="1:13">
      <c r="A1733" t="s">
        <v>1790</v>
      </c>
      <c r="B1733" s="10">
        <v>3.5</v>
      </c>
      <c r="C1733" s="10">
        <v>5.33</v>
      </c>
      <c r="D1733" s="10">
        <v>2.15</v>
      </c>
      <c r="E1733" s="10">
        <v>57.7</v>
      </c>
      <c r="F1733" s="10">
        <v>4</v>
      </c>
      <c r="G1733" s="10">
        <v>0</v>
      </c>
      <c r="H1733" s="10">
        <v>21</v>
      </c>
      <c r="I1733" s="10">
        <v>1</v>
      </c>
      <c r="J1733">
        <v>2018</v>
      </c>
      <c r="K1733">
        <v>9</v>
      </c>
      <c r="L1733">
        <v>276</v>
      </c>
      <c r="M1733" t="s">
        <v>57</v>
      </c>
    </row>
    <row r="1734" spans="1:13">
      <c r="A1734" t="s">
        <v>1791</v>
      </c>
      <c r="B1734" s="10">
        <v>11.01</v>
      </c>
      <c r="C1734" s="10">
        <v>2.01</v>
      </c>
      <c r="D1734" s="10">
        <v>2</v>
      </c>
      <c r="E1734" s="10">
        <v>54</v>
      </c>
      <c r="F1734" s="10">
        <v>9</v>
      </c>
      <c r="G1734" s="10">
        <v>1</v>
      </c>
      <c r="H1734" s="10">
        <v>3</v>
      </c>
      <c r="I1734" s="10">
        <v>3</v>
      </c>
      <c r="J1734">
        <v>2018</v>
      </c>
      <c r="K1734">
        <v>9</v>
      </c>
      <c r="L1734">
        <v>276</v>
      </c>
      <c r="M1734" t="s">
        <v>59</v>
      </c>
    </row>
    <row r="1735" spans="1:13">
      <c r="A1735" t="s">
        <v>1792</v>
      </c>
      <c r="B1735" s="10">
        <v>3</v>
      </c>
      <c r="C1735" s="10">
        <v>4.932</v>
      </c>
      <c r="D1735" s="10">
        <v>1</v>
      </c>
      <c r="E1735" s="10">
        <v>53</v>
      </c>
      <c r="F1735" s="10">
        <v>10</v>
      </c>
      <c r="G1735" s="10">
        <v>0</v>
      </c>
      <c r="H1735" s="10">
        <v>21</v>
      </c>
      <c r="I1735" s="10">
        <v>3</v>
      </c>
      <c r="J1735">
        <v>2018</v>
      </c>
      <c r="K1735">
        <v>10</v>
      </c>
      <c r="L1735">
        <v>276</v>
      </c>
      <c r="M1735" t="s">
        <v>61</v>
      </c>
    </row>
    <row r="1736" spans="1:13">
      <c r="A1736" t="s">
        <v>1793</v>
      </c>
      <c r="B1736" s="10">
        <v>6</v>
      </c>
      <c r="C1736" s="10">
        <v>3.91</v>
      </c>
      <c r="D1736" s="10">
        <v>3.5</v>
      </c>
      <c r="E1736" s="10">
        <v>18.6</v>
      </c>
      <c r="F1736" s="10">
        <v>7</v>
      </c>
      <c r="G1736" s="10">
        <v>0</v>
      </c>
      <c r="H1736" s="10">
        <v>6</v>
      </c>
      <c r="I1736" s="10">
        <v>0</v>
      </c>
      <c r="J1736">
        <v>2018</v>
      </c>
      <c r="K1736">
        <v>10</v>
      </c>
      <c r="L1736">
        <v>276</v>
      </c>
      <c r="M1736" t="s">
        <v>63</v>
      </c>
    </row>
    <row r="1737" spans="1:13">
      <c r="A1737" t="s">
        <v>1794</v>
      </c>
      <c r="B1737" s="10">
        <v>6</v>
      </c>
      <c r="C1737" s="10">
        <v>3.33</v>
      </c>
      <c r="D1737" s="10">
        <v>3</v>
      </c>
      <c r="E1737" s="10">
        <v>34.9</v>
      </c>
      <c r="F1737" s="10">
        <v>12</v>
      </c>
      <c r="G1737" s="10">
        <v>2</v>
      </c>
      <c r="H1737" s="10">
        <v>5</v>
      </c>
      <c r="I1737" s="10">
        <v>4</v>
      </c>
      <c r="J1737">
        <v>2018</v>
      </c>
      <c r="K1737">
        <v>10</v>
      </c>
      <c r="L1737">
        <v>276</v>
      </c>
      <c r="M1737" t="s">
        <v>65</v>
      </c>
    </row>
    <row r="1738" spans="1:13">
      <c r="A1738" t="s">
        <v>1795</v>
      </c>
      <c r="B1738" s="10">
        <v>6</v>
      </c>
      <c r="C1738" s="10">
        <v>3.36</v>
      </c>
      <c r="D1738" s="10">
        <v>2</v>
      </c>
      <c r="E1738" s="10">
        <v>32</v>
      </c>
      <c r="F1738" s="10">
        <v>12</v>
      </c>
      <c r="G1738" s="10">
        <v>1</v>
      </c>
      <c r="H1738" s="10">
        <v>5</v>
      </c>
      <c r="I1738" s="10">
        <v>0</v>
      </c>
      <c r="J1738">
        <v>2018</v>
      </c>
      <c r="K1738">
        <v>10</v>
      </c>
      <c r="L1738">
        <v>276</v>
      </c>
      <c r="M1738" t="s">
        <v>53</v>
      </c>
    </row>
    <row r="1739" spans="1:13">
      <c r="A1739" t="s">
        <v>1796</v>
      </c>
      <c r="B1739" s="10">
        <v>4.84</v>
      </c>
      <c r="C1739" s="10">
        <v>3.397</v>
      </c>
      <c r="D1739" s="10">
        <v>1.1</v>
      </c>
      <c r="E1739" s="10">
        <v>22.8</v>
      </c>
      <c r="F1739" s="10">
        <v>7</v>
      </c>
      <c r="G1739" s="10">
        <v>0</v>
      </c>
      <c r="H1739" s="10">
        <v>14</v>
      </c>
      <c r="I1739" s="10">
        <v>1</v>
      </c>
      <c r="J1739">
        <v>2018</v>
      </c>
      <c r="K1739">
        <v>10</v>
      </c>
      <c r="L1739">
        <v>276</v>
      </c>
      <c r="M1739" t="s">
        <v>55</v>
      </c>
    </row>
    <row r="1740" spans="1:13">
      <c r="A1740" t="s">
        <v>1797</v>
      </c>
      <c r="B1740" s="10">
        <v>2</v>
      </c>
      <c r="C1740" s="10">
        <v>5.36</v>
      </c>
      <c r="D1740" s="10">
        <v>3.2</v>
      </c>
      <c r="E1740" s="10">
        <v>59.25</v>
      </c>
      <c r="F1740" s="10">
        <v>4</v>
      </c>
      <c r="G1740" s="10">
        <v>0</v>
      </c>
      <c r="H1740" s="10">
        <v>3</v>
      </c>
      <c r="I1740" s="10">
        <v>0.1</v>
      </c>
      <c r="J1740">
        <v>2018</v>
      </c>
      <c r="K1740">
        <v>10</v>
      </c>
      <c r="L1740">
        <v>276</v>
      </c>
      <c r="M1740" t="s">
        <v>57</v>
      </c>
    </row>
    <row r="1741" spans="1:13">
      <c r="A1741" t="s">
        <v>1798</v>
      </c>
      <c r="B1741" s="10">
        <v>2.68</v>
      </c>
      <c r="C1741" s="10">
        <v>7.35</v>
      </c>
      <c r="D1741" s="10">
        <v>2</v>
      </c>
      <c r="E1741" s="10">
        <v>42.4</v>
      </c>
      <c r="F1741" s="10">
        <v>8</v>
      </c>
      <c r="G1741" s="10">
        <v>0</v>
      </c>
      <c r="H1741" s="10">
        <v>9</v>
      </c>
      <c r="I1741" s="10">
        <v>1</v>
      </c>
      <c r="J1741">
        <v>2018</v>
      </c>
      <c r="K1741">
        <v>10</v>
      </c>
      <c r="L1741">
        <v>276</v>
      </c>
      <c r="M1741" t="s">
        <v>59</v>
      </c>
    </row>
    <row r="1742" spans="1:13">
      <c r="A1742" t="s">
        <v>1799</v>
      </c>
      <c r="B1742" s="10">
        <v>4</v>
      </c>
      <c r="C1742" s="10">
        <v>1.68</v>
      </c>
      <c r="D1742" s="10">
        <v>3</v>
      </c>
      <c r="E1742" s="10">
        <v>30</v>
      </c>
      <c r="F1742" s="10">
        <v>18</v>
      </c>
      <c r="G1742" s="10">
        <v>5</v>
      </c>
      <c r="H1742" s="10">
        <v>0</v>
      </c>
      <c r="I1742" s="10">
        <v>3</v>
      </c>
      <c r="J1742">
        <v>2018</v>
      </c>
      <c r="K1742">
        <v>10</v>
      </c>
      <c r="L1742">
        <v>276</v>
      </c>
      <c r="M1742" t="s">
        <v>61</v>
      </c>
    </row>
    <row r="1743" spans="1:13">
      <c r="A1743" t="s">
        <v>1800</v>
      </c>
      <c r="B1743" s="10">
        <v>2</v>
      </c>
      <c r="C1743" s="10">
        <v>1.67</v>
      </c>
      <c r="D1743" s="10">
        <v>1</v>
      </c>
      <c r="E1743" s="10">
        <v>30</v>
      </c>
      <c r="F1743" s="10">
        <v>18</v>
      </c>
      <c r="G1743" s="10">
        <v>0</v>
      </c>
      <c r="H1743" s="10">
        <v>29</v>
      </c>
      <c r="I1743" s="10">
        <v>1</v>
      </c>
      <c r="J1743">
        <v>2018</v>
      </c>
      <c r="K1743">
        <v>10</v>
      </c>
      <c r="L1743">
        <v>276</v>
      </c>
      <c r="M1743" t="s">
        <v>63</v>
      </c>
    </row>
    <row r="1744" spans="1:13">
      <c r="A1744" t="s">
        <v>1801</v>
      </c>
      <c r="B1744" s="10">
        <v>9</v>
      </c>
      <c r="C1744" s="10">
        <v>8.01</v>
      </c>
      <c r="D1744" s="10">
        <v>4.1</v>
      </c>
      <c r="E1744" s="10">
        <v>41.2</v>
      </c>
      <c r="F1744" s="10">
        <v>13</v>
      </c>
      <c r="G1744" s="10">
        <v>0</v>
      </c>
      <c r="H1744" s="10">
        <v>20</v>
      </c>
      <c r="I1744" s="10">
        <v>2</v>
      </c>
      <c r="J1744">
        <v>2018</v>
      </c>
      <c r="K1744">
        <v>10</v>
      </c>
      <c r="L1744">
        <v>276</v>
      </c>
      <c r="M1744" t="s">
        <v>65</v>
      </c>
    </row>
    <row r="1745" spans="1:13">
      <c r="A1745" t="s">
        <v>1802</v>
      </c>
      <c r="B1745" s="10">
        <v>2</v>
      </c>
      <c r="C1745" s="10">
        <v>2.33</v>
      </c>
      <c r="D1745" s="10">
        <v>2.1</v>
      </c>
      <c r="E1745" s="10">
        <v>31</v>
      </c>
      <c r="F1745" s="10">
        <v>15</v>
      </c>
      <c r="G1745" s="10">
        <v>0</v>
      </c>
      <c r="H1745" s="10">
        <v>0</v>
      </c>
      <c r="I1745" s="10">
        <v>1</v>
      </c>
      <c r="J1745">
        <v>2018</v>
      </c>
      <c r="K1745">
        <v>10</v>
      </c>
      <c r="L1745">
        <v>276</v>
      </c>
      <c r="M1745" t="s">
        <v>53</v>
      </c>
    </row>
    <row r="1746" spans="1:13">
      <c r="A1746" t="s">
        <v>1803</v>
      </c>
      <c r="B1746" s="10">
        <v>6.33</v>
      </c>
      <c r="C1746" s="10">
        <v>4.363</v>
      </c>
      <c r="D1746" s="10">
        <v>1</v>
      </c>
      <c r="E1746" s="10">
        <v>26</v>
      </c>
      <c r="F1746" s="10">
        <v>6</v>
      </c>
      <c r="G1746" s="10">
        <v>0</v>
      </c>
      <c r="H1746" s="10">
        <v>1</v>
      </c>
      <c r="I1746" s="10">
        <v>6</v>
      </c>
      <c r="J1746">
        <v>2018</v>
      </c>
      <c r="K1746">
        <v>10</v>
      </c>
      <c r="L1746">
        <v>276</v>
      </c>
      <c r="M1746" t="s">
        <v>55</v>
      </c>
    </row>
    <row r="1747" spans="1:13">
      <c r="A1747" t="s">
        <v>1804</v>
      </c>
      <c r="B1747" s="10">
        <v>6.99</v>
      </c>
      <c r="C1747" s="10">
        <v>4.507</v>
      </c>
      <c r="D1747" s="10">
        <v>3.25</v>
      </c>
      <c r="E1747" s="10">
        <v>29.6</v>
      </c>
      <c r="F1747" s="10">
        <v>8</v>
      </c>
      <c r="G1747" s="10">
        <v>0</v>
      </c>
      <c r="H1747" s="10">
        <v>6</v>
      </c>
      <c r="I1747" s="10">
        <v>3</v>
      </c>
      <c r="J1747">
        <v>2018</v>
      </c>
      <c r="K1747">
        <v>10</v>
      </c>
      <c r="L1747">
        <v>276</v>
      </c>
      <c r="M1747" t="s">
        <v>57</v>
      </c>
    </row>
    <row r="1748" spans="1:13">
      <c r="A1748" t="s">
        <v>1805</v>
      </c>
      <c r="B1748" s="10">
        <v>2.34</v>
      </c>
      <c r="C1748" s="10">
        <v>6.01</v>
      </c>
      <c r="D1748" s="10">
        <v>6.2</v>
      </c>
      <c r="E1748" s="10">
        <v>51.7</v>
      </c>
      <c r="F1748" s="10">
        <v>9</v>
      </c>
      <c r="G1748" s="10">
        <v>2</v>
      </c>
      <c r="H1748" s="10">
        <v>0</v>
      </c>
      <c r="I1748" s="10">
        <v>6</v>
      </c>
      <c r="J1748">
        <v>2018</v>
      </c>
      <c r="K1748">
        <v>10</v>
      </c>
      <c r="L1748">
        <v>276</v>
      </c>
      <c r="M1748" t="s">
        <v>59</v>
      </c>
    </row>
    <row r="1749" spans="1:13">
      <c r="A1749" t="s">
        <v>1806</v>
      </c>
      <c r="B1749" s="10">
        <v>7.17</v>
      </c>
      <c r="C1749" s="10">
        <v>0.066</v>
      </c>
      <c r="D1749" s="10">
        <v>3</v>
      </c>
      <c r="E1749" s="10">
        <v>47.6</v>
      </c>
      <c r="F1749" s="10">
        <v>12</v>
      </c>
      <c r="G1749" s="10">
        <v>0</v>
      </c>
      <c r="H1749" s="10">
        <v>5</v>
      </c>
      <c r="I1749" s="10">
        <v>6</v>
      </c>
      <c r="J1749">
        <v>2018</v>
      </c>
      <c r="K1749">
        <v>10</v>
      </c>
      <c r="L1749">
        <v>276</v>
      </c>
      <c r="M1749" t="s">
        <v>61</v>
      </c>
    </row>
    <row r="1750" spans="1:13">
      <c r="A1750" t="s">
        <v>1807</v>
      </c>
      <c r="B1750" s="10">
        <v>6</v>
      </c>
      <c r="C1750" s="10">
        <v>5.322</v>
      </c>
      <c r="D1750" s="10">
        <v>2</v>
      </c>
      <c r="E1750" s="10">
        <v>27.3</v>
      </c>
      <c r="F1750" s="10">
        <v>5</v>
      </c>
      <c r="G1750" s="10">
        <v>3</v>
      </c>
      <c r="H1750" s="10">
        <v>6</v>
      </c>
      <c r="I1750" s="10">
        <v>0</v>
      </c>
      <c r="J1750">
        <v>2018</v>
      </c>
      <c r="K1750">
        <v>10</v>
      </c>
      <c r="L1750">
        <v>276</v>
      </c>
      <c r="M1750" t="s">
        <v>63</v>
      </c>
    </row>
    <row r="1751" spans="1:13">
      <c r="A1751" t="s">
        <v>1808</v>
      </c>
      <c r="B1751" s="10">
        <v>2.33</v>
      </c>
      <c r="C1751" s="10">
        <v>6</v>
      </c>
      <c r="D1751" s="10">
        <v>4</v>
      </c>
      <c r="E1751" s="10">
        <v>52.2</v>
      </c>
      <c r="F1751" s="10">
        <v>5</v>
      </c>
      <c r="G1751" s="10">
        <v>0</v>
      </c>
      <c r="H1751" s="10">
        <v>1</v>
      </c>
      <c r="I1751" s="10">
        <v>4</v>
      </c>
      <c r="J1751">
        <v>2018</v>
      </c>
      <c r="K1751">
        <v>10</v>
      </c>
      <c r="L1751">
        <v>276</v>
      </c>
      <c r="M1751" t="s">
        <v>65</v>
      </c>
    </row>
    <row r="1752" spans="1:13">
      <c r="A1752" t="s">
        <v>1809</v>
      </c>
      <c r="B1752" s="10">
        <v>4.34</v>
      </c>
      <c r="C1752" s="10">
        <v>3</v>
      </c>
      <c r="D1752" s="10">
        <v>1.1</v>
      </c>
      <c r="E1752" s="10">
        <v>14</v>
      </c>
      <c r="F1752" s="10">
        <v>9</v>
      </c>
      <c r="G1752" s="10">
        <v>1</v>
      </c>
      <c r="H1752" s="10">
        <v>10</v>
      </c>
      <c r="I1752" s="10">
        <v>5</v>
      </c>
      <c r="J1752">
        <v>2018</v>
      </c>
      <c r="K1752">
        <v>10</v>
      </c>
      <c r="L1752">
        <v>276</v>
      </c>
      <c r="M1752" t="s">
        <v>53</v>
      </c>
    </row>
    <row r="1753" spans="1:13">
      <c r="A1753" t="s">
        <v>1810</v>
      </c>
      <c r="B1753" s="10">
        <v>4</v>
      </c>
      <c r="C1753" s="10">
        <v>2.066</v>
      </c>
      <c r="D1753" s="10">
        <v>0</v>
      </c>
      <c r="E1753" s="10">
        <v>10.6</v>
      </c>
      <c r="F1753" s="10">
        <v>5</v>
      </c>
      <c r="G1753" s="10">
        <v>2</v>
      </c>
      <c r="H1753" s="10">
        <v>6</v>
      </c>
      <c r="I1753" s="10">
        <v>4</v>
      </c>
      <c r="J1753">
        <v>2018</v>
      </c>
      <c r="K1753">
        <v>10</v>
      </c>
      <c r="L1753">
        <v>276</v>
      </c>
      <c r="M1753" t="s">
        <v>55</v>
      </c>
    </row>
    <row r="1754" spans="1:13">
      <c r="A1754" t="s">
        <v>1811</v>
      </c>
      <c r="B1754" s="10">
        <v>2.34</v>
      </c>
      <c r="C1754" s="10">
        <v>2.02</v>
      </c>
      <c r="D1754" s="10">
        <v>2</v>
      </c>
      <c r="E1754" s="10">
        <v>33</v>
      </c>
      <c r="F1754" s="10">
        <v>9</v>
      </c>
      <c r="G1754" s="10">
        <v>0</v>
      </c>
      <c r="H1754" s="10">
        <v>34</v>
      </c>
      <c r="I1754" s="10">
        <v>5</v>
      </c>
      <c r="J1754">
        <v>2018</v>
      </c>
      <c r="K1754">
        <v>10</v>
      </c>
      <c r="L1754">
        <v>276</v>
      </c>
      <c r="M1754" t="s">
        <v>57</v>
      </c>
    </row>
    <row r="1755" spans="1:13">
      <c r="A1755" t="s">
        <v>1812</v>
      </c>
      <c r="B1755" s="10">
        <v>6.67</v>
      </c>
      <c r="C1755" s="10">
        <v>8.69</v>
      </c>
      <c r="D1755" s="10">
        <v>1</v>
      </c>
      <c r="E1755" s="10">
        <v>56.3</v>
      </c>
      <c r="F1755" s="10">
        <v>5</v>
      </c>
      <c r="G1755" s="10">
        <v>3</v>
      </c>
      <c r="H1755" s="10">
        <v>5</v>
      </c>
      <c r="I1755" s="10">
        <v>1</v>
      </c>
      <c r="J1755">
        <v>2018</v>
      </c>
      <c r="K1755">
        <v>10</v>
      </c>
      <c r="L1755">
        <v>276</v>
      </c>
      <c r="M1755" t="s">
        <v>59</v>
      </c>
    </row>
    <row r="1756" spans="1:13">
      <c r="A1756" t="s">
        <v>1813</v>
      </c>
      <c r="B1756" s="10">
        <v>2.66</v>
      </c>
      <c r="C1756" s="10">
        <v>7.01</v>
      </c>
      <c r="D1756" s="10">
        <v>3.3</v>
      </c>
      <c r="E1756" s="10">
        <v>18.8</v>
      </c>
      <c r="F1756" s="10">
        <v>8</v>
      </c>
      <c r="G1756" s="10">
        <v>0</v>
      </c>
      <c r="H1756" s="10">
        <v>28</v>
      </c>
      <c r="I1756" s="10">
        <v>1.3</v>
      </c>
      <c r="J1756">
        <v>2018</v>
      </c>
      <c r="K1756">
        <v>10</v>
      </c>
      <c r="L1756">
        <v>276</v>
      </c>
      <c r="M1756" t="s">
        <v>61</v>
      </c>
    </row>
    <row r="1757" spans="1:13">
      <c r="A1757" t="s">
        <v>1814</v>
      </c>
      <c r="B1757" s="10">
        <v>2.34</v>
      </c>
      <c r="C1757" s="10">
        <v>2</v>
      </c>
      <c r="D1757" s="10">
        <v>0.45</v>
      </c>
      <c r="E1757" s="10">
        <v>44.8</v>
      </c>
      <c r="F1757" s="10">
        <v>9</v>
      </c>
      <c r="G1757" s="10">
        <v>1</v>
      </c>
      <c r="H1757" s="10">
        <v>11</v>
      </c>
      <c r="I1757" s="10">
        <v>3</v>
      </c>
      <c r="J1757">
        <v>2018</v>
      </c>
      <c r="K1757">
        <v>10</v>
      </c>
      <c r="L1757">
        <v>276</v>
      </c>
      <c r="M1757" t="s">
        <v>63</v>
      </c>
    </row>
    <row r="1758" spans="1:13">
      <c r="A1758" t="s">
        <v>1815</v>
      </c>
      <c r="B1758" s="10">
        <v>4</v>
      </c>
      <c r="C1758" s="10">
        <v>2.109</v>
      </c>
      <c r="D1758" s="10">
        <v>5</v>
      </c>
      <c r="E1758" s="10">
        <v>37.2</v>
      </c>
      <c r="F1758" s="10">
        <v>7</v>
      </c>
      <c r="G1758" s="10">
        <v>0</v>
      </c>
      <c r="H1758" s="10">
        <v>10</v>
      </c>
      <c r="I1758" s="10">
        <v>1.5</v>
      </c>
      <c r="J1758">
        <v>2018</v>
      </c>
      <c r="K1758">
        <v>10</v>
      </c>
      <c r="L1758">
        <v>276</v>
      </c>
      <c r="M1758" t="s">
        <v>65</v>
      </c>
    </row>
    <row r="1759" spans="1:13">
      <c r="A1759" t="s">
        <v>1816</v>
      </c>
      <c r="B1759" s="10">
        <v>5.33</v>
      </c>
      <c r="C1759" s="10">
        <v>5.429</v>
      </c>
      <c r="D1759" s="10">
        <v>3</v>
      </c>
      <c r="E1759" s="10">
        <v>52.2</v>
      </c>
      <c r="F1759" s="10">
        <v>12</v>
      </c>
      <c r="G1759" s="10">
        <v>0</v>
      </c>
      <c r="H1759" s="10">
        <v>33</v>
      </c>
      <c r="I1759" s="10">
        <v>3</v>
      </c>
      <c r="J1759">
        <v>2018</v>
      </c>
      <c r="K1759">
        <v>10</v>
      </c>
      <c r="L1759">
        <v>276</v>
      </c>
      <c r="M1759" t="s">
        <v>53</v>
      </c>
    </row>
    <row r="1760" spans="1:13">
      <c r="A1760" t="s">
        <v>1817</v>
      </c>
      <c r="B1760" s="10">
        <v>4</v>
      </c>
      <c r="C1760" s="10">
        <v>5.373</v>
      </c>
      <c r="D1760" s="10">
        <v>4.6</v>
      </c>
      <c r="E1760" s="10">
        <v>44</v>
      </c>
      <c r="F1760" s="10">
        <v>14</v>
      </c>
      <c r="G1760" s="10">
        <v>1</v>
      </c>
      <c r="H1760" s="10">
        <v>14</v>
      </c>
      <c r="I1760" s="10">
        <v>1</v>
      </c>
      <c r="J1760">
        <v>2018</v>
      </c>
      <c r="K1760">
        <v>10</v>
      </c>
      <c r="L1760">
        <v>276</v>
      </c>
      <c r="M1760" t="s">
        <v>55</v>
      </c>
    </row>
    <row r="1761" spans="1:13">
      <c r="A1761" t="s">
        <v>1818</v>
      </c>
      <c r="B1761" s="10">
        <v>8.34</v>
      </c>
      <c r="C1761" s="10">
        <v>3.426</v>
      </c>
      <c r="D1761" s="10">
        <v>2.2</v>
      </c>
      <c r="E1761" s="10">
        <v>49.975</v>
      </c>
      <c r="F1761" s="10">
        <v>12</v>
      </c>
      <c r="G1761" s="10">
        <v>1</v>
      </c>
      <c r="H1761" s="10">
        <v>7</v>
      </c>
      <c r="I1761" s="10">
        <v>2</v>
      </c>
      <c r="J1761">
        <v>2018</v>
      </c>
      <c r="K1761">
        <v>10</v>
      </c>
      <c r="L1761">
        <v>276</v>
      </c>
      <c r="M1761" t="s">
        <v>57</v>
      </c>
    </row>
    <row r="1762" spans="1:13">
      <c r="A1762" t="s">
        <v>1819</v>
      </c>
      <c r="B1762" s="10">
        <v>5.33</v>
      </c>
      <c r="C1762" s="10">
        <v>5.33</v>
      </c>
      <c r="D1762" s="10">
        <v>1.6</v>
      </c>
      <c r="E1762" s="10">
        <v>53.75</v>
      </c>
      <c r="F1762" s="10">
        <v>9</v>
      </c>
      <c r="G1762" s="10">
        <v>3</v>
      </c>
      <c r="H1762" s="10">
        <v>13</v>
      </c>
      <c r="I1762" s="10">
        <v>3</v>
      </c>
      <c r="J1762">
        <v>2018</v>
      </c>
      <c r="K1762">
        <v>10</v>
      </c>
      <c r="L1762">
        <v>276</v>
      </c>
      <c r="M1762" t="s">
        <v>59</v>
      </c>
    </row>
    <row r="1763" spans="1:13">
      <c r="A1763" t="s">
        <v>1820</v>
      </c>
      <c r="B1763" s="10">
        <v>5.35</v>
      </c>
      <c r="C1763" s="10">
        <v>2.67</v>
      </c>
      <c r="D1763" s="10">
        <v>2.35</v>
      </c>
      <c r="E1763" s="10">
        <v>32.8</v>
      </c>
      <c r="F1763" s="10">
        <v>5</v>
      </c>
      <c r="G1763" s="10">
        <v>0</v>
      </c>
      <c r="H1763" s="10">
        <v>10</v>
      </c>
      <c r="I1763" s="10">
        <v>3</v>
      </c>
      <c r="J1763">
        <v>2018</v>
      </c>
      <c r="K1763">
        <v>10</v>
      </c>
      <c r="L1763">
        <v>276</v>
      </c>
      <c r="M1763" t="s">
        <v>61</v>
      </c>
    </row>
    <row r="1764" spans="1:13">
      <c r="A1764" t="s">
        <v>1821</v>
      </c>
      <c r="B1764" s="10">
        <v>9.33</v>
      </c>
      <c r="C1764" s="10">
        <v>4</v>
      </c>
      <c r="D1764" s="10">
        <v>1</v>
      </c>
      <c r="E1764" s="10">
        <v>18.2</v>
      </c>
      <c r="F1764" s="10">
        <v>7</v>
      </c>
      <c r="G1764" s="10">
        <v>0</v>
      </c>
      <c r="H1764" s="10">
        <v>13</v>
      </c>
      <c r="I1764" s="10">
        <v>1</v>
      </c>
      <c r="J1764">
        <v>2018</v>
      </c>
      <c r="K1764">
        <v>10</v>
      </c>
      <c r="L1764">
        <v>276</v>
      </c>
      <c r="M1764" t="s">
        <v>63</v>
      </c>
    </row>
    <row r="1765" spans="1:13">
      <c r="A1765" t="s">
        <v>1822</v>
      </c>
      <c r="B1765" s="10">
        <v>2</v>
      </c>
      <c r="C1765" s="10">
        <v>4.68</v>
      </c>
      <c r="D1765" s="10">
        <v>3</v>
      </c>
      <c r="E1765" s="10">
        <v>34.1</v>
      </c>
      <c r="F1765" s="10">
        <v>7</v>
      </c>
      <c r="G1765" s="10">
        <v>0</v>
      </c>
      <c r="H1765" s="10">
        <v>2</v>
      </c>
      <c r="I1765" s="10">
        <v>2</v>
      </c>
      <c r="J1765">
        <v>2018</v>
      </c>
      <c r="K1765">
        <v>10</v>
      </c>
      <c r="L1765">
        <v>276</v>
      </c>
      <c r="M1765" t="s">
        <v>65</v>
      </c>
    </row>
    <row r="1766" spans="1:13">
      <c r="A1766" t="s">
        <v>1823</v>
      </c>
      <c r="B1766" s="10">
        <v>7.84</v>
      </c>
      <c r="C1766" s="10">
        <v>0.34</v>
      </c>
      <c r="D1766" s="10">
        <v>3</v>
      </c>
      <c r="E1766" s="10">
        <v>25</v>
      </c>
      <c r="F1766" s="10">
        <v>6</v>
      </c>
      <c r="G1766" s="10">
        <v>3</v>
      </c>
      <c r="H1766" s="10">
        <v>7</v>
      </c>
      <c r="I1766" s="10">
        <v>0</v>
      </c>
      <c r="J1766">
        <v>2018</v>
      </c>
      <c r="K1766">
        <v>11</v>
      </c>
      <c r="L1766">
        <v>276</v>
      </c>
      <c r="M1766" t="s">
        <v>53</v>
      </c>
    </row>
    <row r="1767" spans="1:13">
      <c r="A1767" t="s">
        <v>1824</v>
      </c>
      <c r="B1767" s="10">
        <v>5.14</v>
      </c>
      <c r="C1767" s="10">
        <v>1.845</v>
      </c>
      <c r="D1767" s="10">
        <v>0</v>
      </c>
      <c r="E1767" s="10">
        <v>32.6</v>
      </c>
      <c r="F1767" s="10">
        <v>8.199999999999999</v>
      </c>
      <c r="G1767" s="10">
        <v>0</v>
      </c>
      <c r="H1767" s="10">
        <v>1</v>
      </c>
      <c r="I1767" s="10">
        <v>3.3</v>
      </c>
      <c r="J1767">
        <v>2018</v>
      </c>
      <c r="K1767">
        <v>11</v>
      </c>
      <c r="L1767">
        <v>276</v>
      </c>
      <c r="M1767" t="s">
        <v>55</v>
      </c>
    </row>
    <row r="1768" spans="1:13">
      <c r="A1768" t="s">
        <v>1825</v>
      </c>
      <c r="B1768" s="10">
        <v>3</v>
      </c>
      <c r="C1768" s="10">
        <v>3</v>
      </c>
      <c r="D1768" s="10">
        <v>6.2</v>
      </c>
      <c r="E1768" s="10">
        <v>45.4</v>
      </c>
      <c r="F1768" s="10">
        <v>2</v>
      </c>
      <c r="G1768" s="10">
        <v>0</v>
      </c>
      <c r="H1768" s="10">
        <v>0</v>
      </c>
      <c r="I1768" s="10">
        <v>2</v>
      </c>
      <c r="J1768">
        <v>2018</v>
      </c>
      <c r="K1768">
        <v>11</v>
      </c>
      <c r="L1768">
        <v>276</v>
      </c>
      <c r="M1768" t="s">
        <v>57</v>
      </c>
    </row>
    <row r="1769" spans="1:13">
      <c r="A1769" t="s">
        <v>1826</v>
      </c>
      <c r="B1769" s="10">
        <v>13.99</v>
      </c>
      <c r="C1769" s="10">
        <v>4.896</v>
      </c>
      <c r="D1769" s="10">
        <v>0</v>
      </c>
      <c r="E1769" s="10">
        <v>52</v>
      </c>
      <c r="F1769" s="10">
        <v>7</v>
      </c>
      <c r="G1769" s="10">
        <v>0</v>
      </c>
      <c r="H1769" s="10">
        <v>13</v>
      </c>
      <c r="I1769" s="10">
        <v>1</v>
      </c>
      <c r="J1769">
        <v>2018</v>
      </c>
      <c r="K1769">
        <v>11</v>
      </c>
      <c r="L1769">
        <v>276</v>
      </c>
      <c r="M1769" t="s">
        <v>59</v>
      </c>
    </row>
    <row r="1770" spans="1:13">
      <c r="A1770" t="s">
        <v>1827</v>
      </c>
      <c r="B1770" s="10">
        <v>6.33</v>
      </c>
      <c r="C1770" s="10">
        <v>2.34</v>
      </c>
      <c r="D1770" s="10">
        <v>6</v>
      </c>
      <c r="E1770" s="10">
        <v>29</v>
      </c>
      <c r="F1770" s="10">
        <v>14</v>
      </c>
      <c r="G1770" s="10">
        <v>0</v>
      </c>
      <c r="H1770" s="10">
        <v>13</v>
      </c>
      <c r="I1770" s="10">
        <v>2.3</v>
      </c>
      <c r="J1770">
        <v>2018</v>
      </c>
      <c r="K1770">
        <v>11</v>
      </c>
      <c r="L1770">
        <v>276</v>
      </c>
      <c r="M1770" t="s">
        <v>61</v>
      </c>
    </row>
    <row r="1771" spans="1:13">
      <c r="A1771" t="s">
        <v>1828</v>
      </c>
      <c r="B1771" s="10">
        <v>3.33</v>
      </c>
      <c r="C1771" s="10">
        <v>6.68</v>
      </c>
      <c r="D1771" s="10">
        <v>10.55</v>
      </c>
      <c r="E1771" s="10">
        <v>37.7</v>
      </c>
      <c r="F1771" s="10">
        <v>8</v>
      </c>
      <c r="G1771" s="10">
        <v>0</v>
      </c>
      <c r="H1771" s="10">
        <v>13</v>
      </c>
      <c r="I1771" s="10">
        <v>2.5</v>
      </c>
      <c r="J1771">
        <v>2018</v>
      </c>
      <c r="K1771">
        <v>11</v>
      </c>
      <c r="L1771">
        <v>276</v>
      </c>
      <c r="M1771" t="s">
        <v>63</v>
      </c>
    </row>
    <row r="1772" spans="1:13">
      <c r="A1772" t="s">
        <v>1829</v>
      </c>
      <c r="B1772" s="10">
        <v>7</v>
      </c>
      <c r="C1772" s="10">
        <v>1.863</v>
      </c>
      <c r="D1772" s="10">
        <v>3</v>
      </c>
      <c r="E1772" s="10">
        <v>38.9</v>
      </c>
      <c r="F1772" s="10">
        <v>15</v>
      </c>
      <c r="G1772" s="10">
        <v>3</v>
      </c>
      <c r="H1772" s="10">
        <v>8</v>
      </c>
      <c r="I1772" s="10">
        <v>0</v>
      </c>
      <c r="J1772">
        <v>2018</v>
      </c>
      <c r="K1772">
        <v>11</v>
      </c>
      <c r="L1772">
        <v>276</v>
      </c>
      <c r="M1772" t="s">
        <v>65</v>
      </c>
    </row>
    <row r="1773" spans="1:13">
      <c r="A1773" t="s">
        <v>1830</v>
      </c>
      <c r="B1773" s="10">
        <v>3</v>
      </c>
      <c r="C1773" s="10">
        <v>1.573</v>
      </c>
      <c r="D1773" s="10">
        <v>6</v>
      </c>
      <c r="E1773" s="10">
        <v>38</v>
      </c>
      <c r="F1773" s="10">
        <v>5</v>
      </c>
      <c r="G1773" s="10">
        <v>0</v>
      </c>
      <c r="H1773" s="10">
        <v>16</v>
      </c>
      <c r="I1773" s="10">
        <v>2</v>
      </c>
      <c r="J1773">
        <v>2018</v>
      </c>
      <c r="K1773">
        <v>11</v>
      </c>
      <c r="L1773">
        <v>276</v>
      </c>
      <c r="M1773" t="s">
        <v>53</v>
      </c>
    </row>
    <row r="1774" spans="1:13">
      <c r="A1774" t="s">
        <v>1831</v>
      </c>
      <c r="B1774" s="10">
        <v>5</v>
      </c>
      <c r="C1774" s="10">
        <v>0.67</v>
      </c>
      <c r="D1774" s="10">
        <v>5</v>
      </c>
      <c r="E1774" s="10">
        <v>43</v>
      </c>
      <c r="F1774" s="10">
        <v>7</v>
      </c>
      <c r="G1774" s="10">
        <v>1</v>
      </c>
      <c r="H1774" s="10">
        <v>22</v>
      </c>
      <c r="I1774" s="10">
        <v>0</v>
      </c>
      <c r="J1774">
        <v>2018</v>
      </c>
      <c r="K1774">
        <v>11</v>
      </c>
      <c r="L1774">
        <v>276</v>
      </c>
      <c r="M1774" t="s">
        <v>55</v>
      </c>
    </row>
    <row r="1775" spans="1:13">
      <c r="A1775" t="s">
        <v>1832</v>
      </c>
      <c r="B1775" s="10">
        <v>4.33</v>
      </c>
      <c r="C1775" s="10">
        <v>2.417</v>
      </c>
      <c r="D1775" s="10">
        <v>2</v>
      </c>
      <c r="E1775" s="10">
        <v>35.6</v>
      </c>
      <c r="F1775" s="10">
        <v>7</v>
      </c>
      <c r="G1775" s="10">
        <v>1</v>
      </c>
      <c r="H1775" s="10">
        <v>11</v>
      </c>
      <c r="I1775" s="10">
        <v>1.1</v>
      </c>
      <c r="J1775">
        <v>2018</v>
      </c>
      <c r="K1775">
        <v>11</v>
      </c>
      <c r="L1775">
        <v>276</v>
      </c>
      <c r="M1775" t="s">
        <v>57</v>
      </c>
    </row>
    <row r="1776" spans="1:13">
      <c r="A1776" t="s">
        <v>1833</v>
      </c>
      <c r="B1776" s="10">
        <v>11</v>
      </c>
      <c r="C1776" s="10">
        <v>4.246</v>
      </c>
      <c r="D1776" s="10">
        <v>2</v>
      </c>
      <c r="E1776" s="10">
        <v>33.65</v>
      </c>
      <c r="F1776" s="10">
        <v>14</v>
      </c>
      <c r="G1776" s="10">
        <v>0</v>
      </c>
      <c r="H1776" s="10">
        <v>10</v>
      </c>
      <c r="I1776" s="10">
        <v>1</v>
      </c>
      <c r="J1776">
        <v>2018</v>
      </c>
      <c r="K1776">
        <v>11</v>
      </c>
      <c r="L1776">
        <v>276</v>
      </c>
      <c r="M1776" t="s">
        <v>59</v>
      </c>
    </row>
    <row r="1777" spans="1:13">
      <c r="A1777" t="s">
        <v>1834</v>
      </c>
      <c r="B1777" s="10">
        <v>2.34</v>
      </c>
      <c r="C1777" s="10">
        <v>2.33</v>
      </c>
      <c r="D1777" s="10">
        <v>7</v>
      </c>
      <c r="E1777" s="10">
        <v>35</v>
      </c>
      <c r="F1777" s="10">
        <v>15</v>
      </c>
      <c r="G1777" s="10">
        <v>2</v>
      </c>
      <c r="H1777" s="10">
        <v>24</v>
      </c>
      <c r="I1777" s="10">
        <v>1</v>
      </c>
      <c r="J1777">
        <v>2018</v>
      </c>
      <c r="K1777">
        <v>11</v>
      </c>
      <c r="L1777">
        <v>276</v>
      </c>
      <c r="M1777" t="s">
        <v>61</v>
      </c>
    </row>
    <row r="1778" spans="1:13">
      <c r="A1778" t="s">
        <v>1835</v>
      </c>
      <c r="B1778" s="10">
        <v>6.33</v>
      </c>
      <c r="C1778" s="10">
        <v>5.35</v>
      </c>
      <c r="D1778" s="10">
        <v>6</v>
      </c>
      <c r="E1778" s="10">
        <v>29.7</v>
      </c>
      <c r="F1778" s="10">
        <v>18</v>
      </c>
      <c r="G1778" s="10">
        <v>0</v>
      </c>
      <c r="H1778" s="10">
        <v>18</v>
      </c>
      <c r="I1778" s="10">
        <v>3</v>
      </c>
      <c r="J1778">
        <v>2018</v>
      </c>
      <c r="K1778">
        <v>11</v>
      </c>
      <c r="L1778">
        <v>276</v>
      </c>
      <c r="M1778" t="s">
        <v>63</v>
      </c>
    </row>
    <row r="1779" spans="1:13">
      <c r="A1779" t="s">
        <v>1836</v>
      </c>
      <c r="B1779" s="10">
        <v>5.66</v>
      </c>
      <c r="C1779" s="10">
        <v>4.67</v>
      </c>
      <c r="D1779" s="10">
        <v>3</v>
      </c>
      <c r="E1779" s="10">
        <v>28.4</v>
      </c>
      <c r="F1779" s="10">
        <v>9</v>
      </c>
      <c r="G1779" s="10">
        <v>0</v>
      </c>
      <c r="H1779" s="10">
        <v>0</v>
      </c>
      <c r="I1779" s="10">
        <v>0</v>
      </c>
      <c r="J1779">
        <v>2018</v>
      </c>
      <c r="K1779">
        <v>11</v>
      </c>
      <c r="L1779">
        <v>276</v>
      </c>
      <c r="M1779" t="s">
        <v>65</v>
      </c>
    </row>
    <row r="1780" spans="1:13">
      <c r="A1780" t="s">
        <v>1837</v>
      </c>
      <c r="B1780" s="10">
        <v>2</v>
      </c>
      <c r="C1780" s="10">
        <v>4.083</v>
      </c>
      <c r="D1780" s="10">
        <v>2</v>
      </c>
      <c r="E1780" s="10">
        <v>49.6</v>
      </c>
      <c r="F1780" s="10">
        <v>3</v>
      </c>
      <c r="G1780" s="10">
        <v>2</v>
      </c>
      <c r="H1780" s="10">
        <v>29</v>
      </c>
      <c r="I1780" s="10">
        <v>0</v>
      </c>
      <c r="J1780">
        <v>2018</v>
      </c>
      <c r="K1780">
        <v>11</v>
      </c>
      <c r="L1780">
        <v>276</v>
      </c>
      <c r="M1780" t="s">
        <v>53</v>
      </c>
    </row>
    <row r="1781" spans="1:13">
      <c r="A1781" t="s">
        <v>1838</v>
      </c>
      <c r="B1781" s="10">
        <v>8.33</v>
      </c>
      <c r="C1781" s="10">
        <v>2.66</v>
      </c>
      <c r="D1781" s="10">
        <v>4</v>
      </c>
      <c r="E1781" s="10">
        <v>21.5</v>
      </c>
      <c r="F1781" s="10">
        <v>6</v>
      </c>
      <c r="G1781" s="10">
        <v>0</v>
      </c>
      <c r="H1781" s="10">
        <v>6</v>
      </c>
      <c r="I1781" s="10">
        <v>0.4</v>
      </c>
      <c r="J1781">
        <v>2018</v>
      </c>
      <c r="K1781">
        <v>11</v>
      </c>
      <c r="L1781">
        <v>276</v>
      </c>
      <c r="M1781" t="s">
        <v>55</v>
      </c>
    </row>
    <row r="1782" spans="1:13">
      <c r="A1782" t="s">
        <v>1839</v>
      </c>
      <c r="B1782" s="10">
        <v>8</v>
      </c>
      <c r="C1782" s="10">
        <v>2.34</v>
      </c>
      <c r="D1782" s="10">
        <v>1</v>
      </c>
      <c r="E1782" s="10">
        <v>39</v>
      </c>
      <c r="F1782" s="10">
        <v>5</v>
      </c>
      <c r="G1782" s="10">
        <v>0</v>
      </c>
      <c r="H1782" s="10">
        <v>13</v>
      </c>
      <c r="I1782" s="10">
        <v>2</v>
      </c>
      <c r="J1782">
        <v>2018</v>
      </c>
      <c r="K1782">
        <v>11</v>
      </c>
      <c r="L1782">
        <v>276</v>
      </c>
      <c r="M1782" t="s">
        <v>57</v>
      </c>
    </row>
    <row r="1783" spans="1:13">
      <c r="A1783" t="s">
        <v>1840</v>
      </c>
      <c r="B1783" s="10">
        <v>4.68</v>
      </c>
      <c r="C1783" s="10">
        <v>4.68</v>
      </c>
      <c r="D1783" s="10">
        <v>5</v>
      </c>
      <c r="E1783" s="10">
        <v>32.9</v>
      </c>
      <c r="F1783" s="10">
        <v>7</v>
      </c>
      <c r="G1783" s="10">
        <v>1</v>
      </c>
      <c r="H1783" s="10">
        <v>10</v>
      </c>
      <c r="I1783" s="10">
        <v>1</v>
      </c>
      <c r="J1783">
        <v>2018</v>
      </c>
      <c r="K1783">
        <v>11</v>
      </c>
      <c r="L1783">
        <v>276</v>
      </c>
      <c r="M1783" t="s">
        <v>59</v>
      </c>
    </row>
    <row r="1784" spans="1:13">
      <c r="A1784" t="s">
        <v>1841</v>
      </c>
      <c r="B1784" s="10">
        <v>6.01</v>
      </c>
      <c r="C1784" s="10">
        <v>2.44</v>
      </c>
      <c r="D1784" s="10">
        <v>2</v>
      </c>
      <c r="E1784" s="10">
        <v>47.2</v>
      </c>
      <c r="F1784" s="10">
        <v>6</v>
      </c>
      <c r="G1784" s="10">
        <v>3</v>
      </c>
      <c r="H1784" s="10">
        <v>3</v>
      </c>
      <c r="I1784" s="10">
        <v>0</v>
      </c>
      <c r="J1784">
        <v>2018</v>
      </c>
      <c r="K1784">
        <v>11</v>
      </c>
      <c r="L1784">
        <v>276</v>
      </c>
      <c r="M1784" t="s">
        <v>61</v>
      </c>
    </row>
    <row r="1785" spans="1:13">
      <c r="A1785" t="s">
        <v>1842</v>
      </c>
      <c r="B1785" s="10">
        <v>5.33</v>
      </c>
      <c r="C1785" s="10">
        <v>3.803</v>
      </c>
      <c r="D1785" s="10">
        <v>4</v>
      </c>
      <c r="E1785" s="10">
        <v>31.5</v>
      </c>
      <c r="F1785" s="10">
        <v>4</v>
      </c>
      <c r="G1785" s="10">
        <v>1</v>
      </c>
      <c r="H1785" s="10">
        <v>10</v>
      </c>
      <c r="I1785" s="10">
        <v>3</v>
      </c>
      <c r="J1785">
        <v>2018</v>
      </c>
      <c r="K1785">
        <v>11</v>
      </c>
      <c r="L1785">
        <v>276</v>
      </c>
      <c r="M1785" t="s">
        <v>63</v>
      </c>
    </row>
    <row r="1786" spans="1:13">
      <c r="A1786" t="s">
        <v>1843</v>
      </c>
      <c r="B1786" s="10">
        <v>7</v>
      </c>
      <c r="C1786" s="10">
        <v>2.34</v>
      </c>
      <c r="D1786" s="10">
        <v>3.25</v>
      </c>
      <c r="E1786" s="10">
        <v>22</v>
      </c>
      <c r="F1786" s="10">
        <v>5</v>
      </c>
      <c r="G1786" s="10">
        <v>0</v>
      </c>
      <c r="H1786" s="10">
        <v>5</v>
      </c>
      <c r="I1786" s="10">
        <v>1</v>
      </c>
      <c r="J1786">
        <v>2018</v>
      </c>
      <c r="K1786">
        <v>11</v>
      </c>
      <c r="L1786">
        <v>276</v>
      </c>
      <c r="M1786" t="s">
        <v>65</v>
      </c>
    </row>
    <row r="1787" spans="1:13">
      <c r="A1787" t="s">
        <v>1844</v>
      </c>
      <c r="B1787" s="10">
        <v>8</v>
      </c>
      <c r="C1787" s="10">
        <v>7.066</v>
      </c>
      <c r="D1787" s="10">
        <v>3</v>
      </c>
      <c r="E1787" s="10">
        <v>22.4</v>
      </c>
      <c r="F1787" s="10">
        <v>9</v>
      </c>
      <c r="G1787" s="10">
        <v>0</v>
      </c>
      <c r="H1787" s="10">
        <v>15</v>
      </c>
      <c r="I1787" s="10">
        <v>2</v>
      </c>
      <c r="J1787">
        <v>2018</v>
      </c>
      <c r="K1787">
        <v>11</v>
      </c>
      <c r="L1787">
        <v>276</v>
      </c>
      <c r="M1787" t="s">
        <v>53</v>
      </c>
    </row>
    <row r="1788" spans="1:13">
      <c r="A1788" t="s">
        <v>1845</v>
      </c>
      <c r="B1788" s="10">
        <v>6</v>
      </c>
      <c r="C1788" s="10">
        <v>4.472</v>
      </c>
      <c r="D1788" s="10">
        <v>3</v>
      </c>
      <c r="E1788" s="10">
        <v>29.6</v>
      </c>
      <c r="F1788" s="10">
        <v>13</v>
      </c>
      <c r="G1788" s="10">
        <v>1</v>
      </c>
      <c r="H1788" s="10">
        <v>24</v>
      </c>
      <c r="I1788" s="10">
        <v>3</v>
      </c>
      <c r="J1788">
        <v>2018</v>
      </c>
      <c r="K1788">
        <v>11</v>
      </c>
      <c r="L1788">
        <v>276</v>
      </c>
      <c r="M1788" t="s">
        <v>55</v>
      </c>
    </row>
    <row r="1789" spans="1:13">
      <c r="A1789" t="s">
        <v>1846</v>
      </c>
      <c r="B1789" s="10">
        <v>5.66</v>
      </c>
      <c r="C1789" s="10">
        <v>5.78</v>
      </c>
      <c r="D1789" s="10">
        <v>5</v>
      </c>
      <c r="E1789" s="10">
        <v>29.2</v>
      </c>
      <c r="F1789" s="10">
        <v>11</v>
      </c>
      <c r="G1789" s="10">
        <v>0</v>
      </c>
      <c r="H1789" s="10">
        <v>7</v>
      </c>
      <c r="I1789" s="10">
        <v>0.3</v>
      </c>
      <c r="J1789">
        <v>2018</v>
      </c>
      <c r="K1789">
        <v>11</v>
      </c>
      <c r="L1789">
        <v>276</v>
      </c>
      <c r="M1789" t="s">
        <v>57</v>
      </c>
    </row>
    <row r="1790" spans="1:13">
      <c r="A1790" t="s">
        <v>1847</v>
      </c>
      <c r="B1790" s="10">
        <v>5.33</v>
      </c>
      <c r="C1790" s="10">
        <v>3.593</v>
      </c>
      <c r="D1790" s="10">
        <v>3.15</v>
      </c>
      <c r="E1790" s="10">
        <v>19.1</v>
      </c>
      <c r="F1790" s="10">
        <v>6</v>
      </c>
      <c r="G1790" s="10">
        <v>1</v>
      </c>
      <c r="H1790" s="10">
        <v>3</v>
      </c>
      <c r="I1790" s="10">
        <v>2</v>
      </c>
      <c r="J1790">
        <v>2018</v>
      </c>
      <c r="K1790">
        <v>11</v>
      </c>
      <c r="L1790">
        <v>276</v>
      </c>
      <c r="M1790" t="s">
        <v>59</v>
      </c>
    </row>
    <row r="1791" spans="1:13">
      <c r="A1791" t="s">
        <v>1848</v>
      </c>
      <c r="B1791" s="10">
        <v>5.33</v>
      </c>
      <c r="C1791" s="10">
        <v>2.34</v>
      </c>
      <c r="D1791" s="10">
        <v>2</v>
      </c>
      <c r="E1791" s="10">
        <v>36.3</v>
      </c>
      <c r="F1791" s="10">
        <v>15</v>
      </c>
      <c r="G1791" s="10">
        <v>1</v>
      </c>
      <c r="H1791" s="10">
        <v>16</v>
      </c>
      <c r="I1791" s="10">
        <v>3</v>
      </c>
      <c r="J1791">
        <v>2018</v>
      </c>
      <c r="K1791">
        <v>11</v>
      </c>
      <c r="L1791">
        <v>276</v>
      </c>
      <c r="M1791" t="s">
        <v>61</v>
      </c>
    </row>
    <row r="1792" spans="1:13">
      <c r="A1792" t="s">
        <v>1849</v>
      </c>
      <c r="B1792" s="10">
        <v>8</v>
      </c>
      <c r="C1792" s="10">
        <v>4.67</v>
      </c>
      <c r="D1792" s="10">
        <v>2</v>
      </c>
      <c r="E1792" s="10">
        <v>41.5</v>
      </c>
      <c r="F1792" s="10">
        <v>2</v>
      </c>
      <c r="G1792" s="10">
        <v>0</v>
      </c>
      <c r="H1792" s="10">
        <v>5</v>
      </c>
      <c r="I1792" s="10">
        <v>2</v>
      </c>
      <c r="J1792">
        <v>2018</v>
      </c>
      <c r="K1792">
        <v>11</v>
      </c>
      <c r="L1792">
        <v>276</v>
      </c>
      <c r="M1792" t="s">
        <v>63</v>
      </c>
    </row>
    <row r="1793" spans="1:13">
      <c r="A1793" t="s">
        <v>1850</v>
      </c>
      <c r="B1793" s="10">
        <v>3</v>
      </c>
      <c r="C1793" s="10">
        <v>5.67</v>
      </c>
      <c r="D1793" s="10">
        <v>1</v>
      </c>
      <c r="E1793" s="10">
        <v>24.4</v>
      </c>
      <c r="F1793" s="10">
        <v>15</v>
      </c>
      <c r="G1793" s="10">
        <v>2</v>
      </c>
      <c r="H1793" s="10">
        <v>8</v>
      </c>
      <c r="I1793" s="10">
        <v>4</v>
      </c>
      <c r="J1793">
        <v>2018</v>
      </c>
      <c r="K1793">
        <v>11</v>
      </c>
      <c r="L1793">
        <v>276</v>
      </c>
      <c r="M1793" t="s">
        <v>65</v>
      </c>
    </row>
    <row r="1794" spans="1:13">
      <c r="A1794" t="s">
        <v>1851</v>
      </c>
      <c r="B1794" s="10">
        <v>4.33</v>
      </c>
      <c r="C1794" s="10">
        <v>4.32</v>
      </c>
      <c r="D1794" s="10">
        <v>1</v>
      </c>
      <c r="E1794" s="10">
        <v>22.6</v>
      </c>
      <c r="F1794" s="10">
        <v>7</v>
      </c>
      <c r="G1794" s="10">
        <v>0</v>
      </c>
      <c r="H1794" s="10">
        <v>1</v>
      </c>
      <c r="I1794" s="10">
        <v>3</v>
      </c>
      <c r="J1794">
        <v>2018</v>
      </c>
      <c r="K1794">
        <v>11</v>
      </c>
      <c r="L1794">
        <v>276</v>
      </c>
      <c r="M1794" t="s">
        <v>53</v>
      </c>
    </row>
    <row r="1795" spans="1:13">
      <c r="A1795" t="s">
        <v>1852</v>
      </c>
      <c r="B1795" s="10">
        <v>1</v>
      </c>
      <c r="C1795" s="10">
        <v>3.01</v>
      </c>
      <c r="D1795" s="10">
        <v>1</v>
      </c>
      <c r="E1795" s="10">
        <v>22.4</v>
      </c>
      <c r="F1795" s="10">
        <v>3</v>
      </c>
      <c r="G1795" s="10">
        <v>0</v>
      </c>
      <c r="H1795" s="10">
        <v>0</v>
      </c>
      <c r="I1795" s="10">
        <v>2.5</v>
      </c>
      <c r="J1795">
        <v>2018</v>
      </c>
      <c r="K1795">
        <v>11</v>
      </c>
      <c r="L1795">
        <v>276</v>
      </c>
      <c r="M1795" t="s">
        <v>55</v>
      </c>
    </row>
    <row r="1796" spans="1:13">
      <c r="A1796" t="s">
        <v>1853</v>
      </c>
      <c r="B1796" s="10">
        <v>7</v>
      </c>
      <c r="C1796" s="10">
        <v>8.779</v>
      </c>
      <c r="D1796" s="10">
        <v>2.05</v>
      </c>
      <c r="E1796" s="10">
        <v>41</v>
      </c>
      <c r="F1796" s="10">
        <v>7</v>
      </c>
      <c r="G1796" s="10">
        <v>3</v>
      </c>
      <c r="H1796" s="10">
        <v>13</v>
      </c>
      <c r="I1796" s="10">
        <v>2</v>
      </c>
      <c r="J1796">
        <v>2018</v>
      </c>
      <c r="K1796">
        <v>12</v>
      </c>
      <c r="L1796">
        <v>276</v>
      </c>
      <c r="M1796" t="s">
        <v>57</v>
      </c>
    </row>
    <row r="1797" spans="1:13">
      <c r="A1797" t="s">
        <v>1854</v>
      </c>
      <c r="B1797" s="10">
        <v>3.17</v>
      </c>
      <c r="C1797" s="10">
        <v>5.779</v>
      </c>
      <c r="D1797" s="10">
        <v>10</v>
      </c>
      <c r="E1797" s="10">
        <v>65.7</v>
      </c>
      <c r="F1797" s="10">
        <v>6</v>
      </c>
      <c r="G1797" s="10">
        <v>0</v>
      </c>
      <c r="H1797" s="10">
        <v>27</v>
      </c>
      <c r="I1797" s="10">
        <v>8</v>
      </c>
      <c r="J1797">
        <v>2018</v>
      </c>
      <c r="K1797">
        <v>12</v>
      </c>
      <c r="L1797">
        <v>276</v>
      </c>
      <c r="M1797" t="s">
        <v>59</v>
      </c>
    </row>
    <row r="1798" spans="1:13">
      <c r="A1798" t="s">
        <v>1855</v>
      </c>
      <c r="B1798" s="10">
        <v>6</v>
      </c>
      <c r="C1798" s="10">
        <v>5.083</v>
      </c>
      <c r="D1798" s="10">
        <v>2.1</v>
      </c>
      <c r="E1798" s="10">
        <v>44</v>
      </c>
      <c r="F1798" s="10">
        <v>13</v>
      </c>
      <c r="G1798" s="10">
        <v>0</v>
      </c>
      <c r="H1798" s="10">
        <v>13</v>
      </c>
      <c r="I1798" s="10">
        <v>1</v>
      </c>
      <c r="J1798">
        <v>2018</v>
      </c>
      <c r="K1798">
        <v>12</v>
      </c>
      <c r="L1798">
        <v>276</v>
      </c>
      <c r="M1798" t="s">
        <v>61</v>
      </c>
    </row>
    <row r="1799" spans="1:13">
      <c r="A1799" t="s">
        <v>1856</v>
      </c>
      <c r="B1799" s="10">
        <v>2.5</v>
      </c>
      <c r="C1799" s="10">
        <v>3</v>
      </c>
      <c r="D1799" s="10">
        <v>3</v>
      </c>
      <c r="E1799" s="10">
        <v>32.2</v>
      </c>
      <c r="F1799" s="10">
        <v>11</v>
      </c>
      <c r="G1799" s="10">
        <v>0</v>
      </c>
      <c r="H1799" s="10">
        <v>5</v>
      </c>
      <c r="I1799" s="10">
        <v>3</v>
      </c>
      <c r="J1799">
        <v>2018</v>
      </c>
      <c r="K1799">
        <v>12</v>
      </c>
      <c r="L1799">
        <v>276</v>
      </c>
      <c r="M1799" t="s">
        <v>63</v>
      </c>
    </row>
    <row r="1800" spans="1:13">
      <c r="A1800" t="s">
        <v>1857</v>
      </c>
      <c r="B1800" s="10">
        <v>5.33</v>
      </c>
      <c r="C1800" s="10">
        <v>3.726</v>
      </c>
      <c r="D1800" s="10">
        <v>3.5</v>
      </c>
      <c r="E1800" s="10">
        <v>41.3</v>
      </c>
      <c r="F1800" s="10">
        <v>13</v>
      </c>
      <c r="G1800" s="10">
        <v>0</v>
      </c>
      <c r="H1800" s="10">
        <v>15</v>
      </c>
      <c r="I1800" s="10">
        <v>2</v>
      </c>
      <c r="J1800">
        <v>2018</v>
      </c>
      <c r="K1800">
        <v>12</v>
      </c>
      <c r="L1800">
        <v>276</v>
      </c>
      <c r="M1800" t="s">
        <v>65</v>
      </c>
    </row>
    <row r="1801" spans="1:13">
      <c r="A1801" t="s">
        <v>1858</v>
      </c>
      <c r="B1801" s="10">
        <v>0</v>
      </c>
      <c r="C1801" s="10">
        <v>0</v>
      </c>
      <c r="D1801" s="10">
        <v>0</v>
      </c>
      <c r="E1801" s="10">
        <v>0</v>
      </c>
      <c r="F1801" s="10">
        <v>0</v>
      </c>
      <c r="G1801" s="10">
        <v>0</v>
      </c>
      <c r="H1801" s="10">
        <v>0</v>
      </c>
      <c r="I1801" s="10">
        <v>0</v>
      </c>
      <c r="J1801">
        <v>2018</v>
      </c>
      <c r="K1801">
        <v>12</v>
      </c>
      <c r="L1801">
        <v>276</v>
      </c>
      <c r="M1801" t="s">
        <v>53</v>
      </c>
    </row>
    <row r="1802" spans="1:13">
      <c r="A1802" t="s">
        <v>1859</v>
      </c>
      <c r="B1802" s="10">
        <v>5</v>
      </c>
      <c r="C1802" s="10">
        <v>3.01</v>
      </c>
      <c r="D1802" s="10">
        <v>3</v>
      </c>
      <c r="E1802" s="10">
        <v>47.4</v>
      </c>
      <c r="F1802" s="10">
        <v>14</v>
      </c>
      <c r="G1802" s="10">
        <v>0</v>
      </c>
      <c r="H1802" s="10">
        <v>12</v>
      </c>
      <c r="I1802" s="10">
        <v>3</v>
      </c>
      <c r="J1802">
        <v>2018</v>
      </c>
      <c r="K1802">
        <v>12</v>
      </c>
      <c r="L1802">
        <v>276</v>
      </c>
      <c r="M1802" t="s">
        <v>55</v>
      </c>
    </row>
    <row r="1803" spans="1:13">
      <c r="A1803" t="s">
        <v>1860</v>
      </c>
      <c r="B1803" s="10">
        <v>0</v>
      </c>
      <c r="C1803" s="10">
        <v>0</v>
      </c>
      <c r="D1803" s="10">
        <v>0</v>
      </c>
      <c r="E1803" s="10">
        <v>0</v>
      </c>
      <c r="F1803" s="10">
        <v>0</v>
      </c>
      <c r="G1803" s="10">
        <v>0</v>
      </c>
      <c r="H1803" s="10">
        <v>0</v>
      </c>
      <c r="I1803" s="10">
        <v>0</v>
      </c>
      <c r="J1803">
        <v>2018</v>
      </c>
      <c r="K1803">
        <v>12</v>
      </c>
      <c r="L1803">
        <v>276</v>
      </c>
      <c r="M1803" t="s">
        <v>57</v>
      </c>
    </row>
    <row r="1804" spans="1:13">
      <c r="A1804" t="s">
        <v>1861</v>
      </c>
      <c r="B1804" s="10">
        <v>4.66</v>
      </c>
      <c r="C1804" s="10">
        <v>6.69</v>
      </c>
      <c r="D1804" s="10">
        <v>4.1</v>
      </c>
      <c r="E1804" s="10">
        <v>57.7</v>
      </c>
      <c r="F1804" s="10">
        <v>9</v>
      </c>
      <c r="G1804" s="10">
        <v>0</v>
      </c>
      <c r="H1804" s="10">
        <v>11</v>
      </c>
      <c r="I1804" s="10">
        <v>0</v>
      </c>
      <c r="J1804">
        <v>2018</v>
      </c>
      <c r="K1804">
        <v>12</v>
      </c>
      <c r="L1804">
        <v>276</v>
      </c>
      <c r="M1804" t="s">
        <v>59</v>
      </c>
    </row>
    <row r="1805" spans="1:13">
      <c r="A1805" t="s">
        <v>1862</v>
      </c>
      <c r="B1805" s="10">
        <v>4</v>
      </c>
      <c r="C1805" s="10">
        <v>5</v>
      </c>
      <c r="D1805" s="10">
        <v>1.5</v>
      </c>
      <c r="E1805" s="10">
        <v>23.8</v>
      </c>
      <c r="F1805" s="10">
        <v>12</v>
      </c>
      <c r="G1805" s="10">
        <v>1</v>
      </c>
      <c r="H1805" s="10">
        <v>7</v>
      </c>
      <c r="I1805" s="10">
        <v>1</v>
      </c>
      <c r="J1805">
        <v>2018</v>
      </c>
      <c r="K1805">
        <v>12</v>
      </c>
      <c r="L1805">
        <v>276</v>
      </c>
      <c r="M1805" t="s">
        <v>61</v>
      </c>
    </row>
    <row r="1806" spans="1:13">
      <c r="A1806" t="s">
        <v>1863</v>
      </c>
      <c r="B1806" s="10">
        <v>4</v>
      </c>
      <c r="C1806" s="10">
        <v>4.01</v>
      </c>
      <c r="D1806" s="10">
        <v>8.35</v>
      </c>
      <c r="E1806" s="10">
        <v>28</v>
      </c>
      <c r="F1806" s="10">
        <v>12</v>
      </c>
      <c r="G1806" s="10">
        <v>3</v>
      </c>
      <c r="H1806" s="10">
        <v>2</v>
      </c>
      <c r="I1806" s="10">
        <v>5.5</v>
      </c>
      <c r="J1806">
        <v>2018</v>
      </c>
      <c r="K1806">
        <v>12</v>
      </c>
      <c r="L1806">
        <v>276</v>
      </c>
      <c r="M1806" t="s">
        <v>63</v>
      </c>
    </row>
    <row r="1807" spans="1:13">
      <c r="A1807" t="s">
        <v>1864</v>
      </c>
      <c r="B1807" s="10">
        <v>4.33</v>
      </c>
      <c r="C1807" s="10">
        <v>2</v>
      </c>
      <c r="D1807" s="10">
        <v>3</v>
      </c>
      <c r="E1807" s="10">
        <v>37.6</v>
      </c>
      <c r="F1807" s="10">
        <v>11</v>
      </c>
      <c r="G1807" s="10">
        <v>0</v>
      </c>
      <c r="H1807" s="10">
        <v>21</v>
      </c>
      <c r="I1807" s="10">
        <v>0</v>
      </c>
      <c r="J1807">
        <v>2018</v>
      </c>
      <c r="K1807">
        <v>12</v>
      </c>
      <c r="L1807">
        <v>276</v>
      </c>
      <c r="M1807" t="s">
        <v>65</v>
      </c>
    </row>
    <row r="1808" spans="1:13">
      <c r="A1808" t="s">
        <v>1865</v>
      </c>
      <c r="B1808" s="10">
        <v>3.68</v>
      </c>
      <c r="C1808" s="10">
        <v>2.243</v>
      </c>
      <c r="D1808" s="10">
        <v>3</v>
      </c>
      <c r="E1808" s="10">
        <v>47.5</v>
      </c>
      <c r="F1808" s="10">
        <v>6</v>
      </c>
      <c r="G1808" s="10">
        <v>0</v>
      </c>
      <c r="H1808" s="10">
        <v>6</v>
      </c>
      <c r="I1808" s="10">
        <v>0</v>
      </c>
      <c r="J1808">
        <v>2018</v>
      </c>
      <c r="K1808">
        <v>12</v>
      </c>
      <c r="L1808">
        <v>276</v>
      </c>
      <c r="M1808" t="s">
        <v>53</v>
      </c>
    </row>
    <row r="1809" spans="1:13">
      <c r="A1809" t="s">
        <v>1866</v>
      </c>
      <c r="B1809" s="10">
        <v>2</v>
      </c>
      <c r="C1809" s="10">
        <v>2</v>
      </c>
      <c r="D1809" s="10">
        <v>0.2</v>
      </c>
      <c r="E1809" s="10">
        <v>23.4</v>
      </c>
      <c r="F1809" s="10">
        <v>2</v>
      </c>
      <c r="G1809" s="10">
        <v>1</v>
      </c>
      <c r="H1809" s="10">
        <v>29</v>
      </c>
      <c r="I1809" s="10">
        <v>1</v>
      </c>
      <c r="J1809">
        <v>2018</v>
      </c>
      <c r="K1809">
        <v>12</v>
      </c>
      <c r="L1809">
        <v>276</v>
      </c>
      <c r="M1809" t="s">
        <v>55</v>
      </c>
    </row>
    <row r="1810" spans="1:13">
      <c r="A1810" t="s">
        <v>1867</v>
      </c>
      <c r="B1810" s="10">
        <v>4</v>
      </c>
      <c r="C1810" s="10">
        <v>2.34</v>
      </c>
      <c r="D1810" s="10">
        <v>3.45</v>
      </c>
      <c r="E1810" s="10">
        <v>62.4</v>
      </c>
      <c r="F1810" s="10">
        <v>5</v>
      </c>
      <c r="G1810" s="10">
        <v>0</v>
      </c>
      <c r="H1810" s="10">
        <v>26</v>
      </c>
      <c r="I1810" s="10">
        <v>2.3</v>
      </c>
      <c r="J1810">
        <v>2018</v>
      </c>
      <c r="K1810">
        <v>12</v>
      </c>
      <c r="L1810">
        <v>276</v>
      </c>
      <c r="M1810" t="s">
        <v>57</v>
      </c>
    </row>
    <row r="1811" spans="1:13">
      <c r="A1811" t="s">
        <v>1868</v>
      </c>
      <c r="B1811" s="10">
        <v>1.33</v>
      </c>
      <c r="C1811" s="10">
        <v>4.32</v>
      </c>
      <c r="D1811" s="10">
        <v>0.2</v>
      </c>
      <c r="E1811" s="10">
        <v>27</v>
      </c>
      <c r="F1811" s="10">
        <v>3</v>
      </c>
      <c r="G1811" s="10">
        <v>0</v>
      </c>
      <c r="H1811" s="10">
        <v>7</v>
      </c>
      <c r="I1811" s="10">
        <v>1</v>
      </c>
      <c r="J1811">
        <v>2018</v>
      </c>
      <c r="K1811">
        <v>12</v>
      </c>
      <c r="L1811">
        <v>276</v>
      </c>
      <c r="M1811" t="s">
        <v>59</v>
      </c>
    </row>
    <row r="1812" spans="1:13">
      <c r="A1812" t="s">
        <v>1869</v>
      </c>
      <c r="B1812" s="10">
        <v>6.34</v>
      </c>
      <c r="C1812" s="10">
        <v>2.01</v>
      </c>
      <c r="D1812" s="10">
        <v>5</v>
      </c>
      <c r="E1812" s="10">
        <v>53</v>
      </c>
      <c r="F1812" s="10">
        <v>6</v>
      </c>
      <c r="G1812" s="10">
        <v>1</v>
      </c>
      <c r="H1812" s="10">
        <v>22</v>
      </c>
      <c r="I1812" s="10">
        <v>2</v>
      </c>
      <c r="J1812">
        <v>2018</v>
      </c>
      <c r="K1812">
        <v>12</v>
      </c>
      <c r="L1812">
        <v>276</v>
      </c>
      <c r="M1812" t="s">
        <v>61</v>
      </c>
    </row>
    <row r="1813" spans="1:13">
      <c r="A1813" t="s">
        <v>1870</v>
      </c>
      <c r="B1813" s="10">
        <v>0.33</v>
      </c>
      <c r="C1813" s="10">
        <v>2.473</v>
      </c>
      <c r="D1813" s="10">
        <v>1</v>
      </c>
      <c r="E1813" s="10">
        <v>34.5</v>
      </c>
      <c r="F1813" s="10">
        <v>12</v>
      </c>
      <c r="G1813" s="10">
        <v>3</v>
      </c>
      <c r="H1813" s="10">
        <v>9</v>
      </c>
      <c r="I1813" s="10">
        <v>2</v>
      </c>
      <c r="J1813">
        <v>2018</v>
      </c>
      <c r="K1813">
        <v>12</v>
      </c>
      <c r="L1813">
        <v>276</v>
      </c>
      <c r="M1813" t="s">
        <v>63</v>
      </c>
    </row>
    <row r="1814" spans="1:13">
      <c r="A1814" t="s">
        <v>1871</v>
      </c>
      <c r="B1814" s="10">
        <v>0</v>
      </c>
      <c r="C1814" s="10">
        <v>0</v>
      </c>
      <c r="D1814" s="10">
        <v>0</v>
      </c>
      <c r="E1814" s="10">
        <v>0</v>
      </c>
      <c r="F1814" s="10">
        <v>0</v>
      </c>
      <c r="G1814" s="10">
        <v>0</v>
      </c>
      <c r="H1814" s="10">
        <v>0</v>
      </c>
      <c r="I1814" s="10">
        <v>0</v>
      </c>
      <c r="J1814">
        <v>2018</v>
      </c>
      <c r="K1814">
        <v>12</v>
      </c>
      <c r="L1814">
        <v>276</v>
      </c>
      <c r="M1814" t="s">
        <v>65</v>
      </c>
    </row>
    <row r="1815" spans="1:13">
      <c r="A1815" t="s">
        <v>1872</v>
      </c>
      <c r="B1815" s="10">
        <v>8.34</v>
      </c>
      <c r="C1815" s="10">
        <v>1.66</v>
      </c>
      <c r="D1815" s="10">
        <v>1</v>
      </c>
      <c r="E1815" s="10">
        <v>27</v>
      </c>
      <c r="F1815" s="10">
        <v>12</v>
      </c>
      <c r="G1815" s="10">
        <v>3</v>
      </c>
      <c r="H1815" s="10">
        <v>1</v>
      </c>
      <c r="I1815" s="10">
        <v>0</v>
      </c>
      <c r="J1815">
        <v>2018</v>
      </c>
      <c r="K1815">
        <v>12</v>
      </c>
      <c r="L1815">
        <v>276</v>
      </c>
      <c r="M1815" t="s">
        <v>53</v>
      </c>
    </row>
    <row r="1816" spans="1:13">
      <c r="A1816" t="s">
        <v>1873</v>
      </c>
      <c r="B1816" s="10">
        <v>2</v>
      </c>
      <c r="C1816" s="10">
        <v>1.35</v>
      </c>
      <c r="D1816" s="10">
        <v>0</v>
      </c>
      <c r="E1816" s="10">
        <v>35</v>
      </c>
      <c r="F1816" s="10">
        <v>12</v>
      </c>
      <c r="G1816" s="10">
        <v>1</v>
      </c>
      <c r="H1816" s="10">
        <v>13</v>
      </c>
      <c r="I1816" s="10">
        <v>1</v>
      </c>
      <c r="J1816">
        <v>2018</v>
      </c>
      <c r="K1816">
        <v>12</v>
      </c>
      <c r="L1816">
        <v>276</v>
      </c>
      <c r="M1816" t="s">
        <v>55</v>
      </c>
    </row>
    <row r="1817" spans="1:13">
      <c r="A1817" t="s">
        <v>1874</v>
      </c>
      <c r="B1817" s="10">
        <v>8.34</v>
      </c>
      <c r="C1817" s="10">
        <v>3.34</v>
      </c>
      <c r="D1817" s="10">
        <v>4.5</v>
      </c>
      <c r="E1817" s="10">
        <v>43.4</v>
      </c>
      <c r="F1817" s="10">
        <v>3</v>
      </c>
      <c r="G1817" s="10">
        <v>1</v>
      </c>
      <c r="H1817" s="10">
        <v>0</v>
      </c>
      <c r="I1817" s="10">
        <v>0</v>
      </c>
      <c r="J1817">
        <v>2018</v>
      </c>
      <c r="K1817">
        <v>12</v>
      </c>
      <c r="L1817">
        <v>276</v>
      </c>
      <c r="M1817" t="s">
        <v>57</v>
      </c>
    </row>
    <row r="1818" spans="1:13">
      <c r="A1818" t="s">
        <v>1875</v>
      </c>
      <c r="B1818" s="10">
        <v>12.33</v>
      </c>
      <c r="C1818" s="10">
        <v>6.406</v>
      </c>
      <c r="D1818" s="10">
        <v>2.3</v>
      </c>
      <c r="E1818" s="10">
        <v>47.7</v>
      </c>
      <c r="F1818" s="10">
        <v>8</v>
      </c>
      <c r="G1818" s="10">
        <v>0</v>
      </c>
      <c r="H1818" s="10">
        <v>13</v>
      </c>
      <c r="I1818" s="10">
        <v>4</v>
      </c>
      <c r="J1818">
        <v>2018</v>
      </c>
      <c r="K1818">
        <v>12</v>
      </c>
      <c r="L1818">
        <v>276</v>
      </c>
      <c r="M1818" t="s">
        <v>59</v>
      </c>
    </row>
    <row r="1819" spans="1:13">
      <c r="A1819" t="s">
        <v>1876</v>
      </c>
      <c r="B1819" s="10">
        <v>8.67</v>
      </c>
      <c r="C1819" s="10">
        <v>4.35</v>
      </c>
      <c r="D1819" s="10">
        <v>1</v>
      </c>
      <c r="E1819" s="10">
        <v>32</v>
      </c>
      <c r="F1819" s="10">
        <v>20</v>
      </c>
      <c r="G1819" s="10">
        <v>0</v>
      </c>
      <c r="H1819" s="10">
        <v>8</v>
      </c>
      <c r="I1819" s="10">
        <v>1</v>
      </c>
      <c r="J1819">
        <v>2018</v>
      </c>
      <c r="K1819">
        <v>12</v>
      </c>
      <c r="L1819">
        <v>276</v>
      </c>
      <c r="M1819" t="s">
        <v>61</v>
      </c>
    </row>
    <row r="1820" spans="1:13">
      <c r="A1820" t="s">
        <v>1877</v>
      </c>
      <c r="B1820" s="10">
        <v>8</v>
      </c>
      <c r="C1820" s="10">
        <v>6.076</v>
      </c>
      <c r="D1820" s="10">
        <v>5.1</v>
      </c>
      <c r="E1820" s="10">
        <v>42.6</v>
      </c>
      <c r="F1820" s="10">
        <v>9</v>
      </c>
      <c r="G1820" s="10">
        <v>3</v>
      </c>
      <c r="H1820" s="10">
        <v>21</v>
      </c>
      <c r="I1820" s="10">
        <v>2</v>
      </c>
      <c r="J1820">
        <v>2018</v>
      </c>
      <c r="K1820">
        <v>12</v>
      </c>
      <c r="L1820">
        <v>276</v>
      </c>
      <c r="M1820" t="s">
        <v>63</v>
      </c>
    </row>
    <row r="1821" spans="1:13">
      <c r="A1821" t="s">
        <v>1878</v>
      </c>
      <c r="B1821" s="10">
        <v>1</v>
      </c>
      <c r="C1821" s="10">
        <v>0.66</v>
      </c>
      <c r="D1821" s="10">
        <v>2.15</v>
      </c>
      <c r="E1821" s="10">
        <v>50</v>
      </c>
      <c r="F1821" s="10">
        <v>8</v>
      </c>
      <c r="G1821" s="10">
        <v>1</v>
      </c>
      <c r="H1821" s="10">
        <v>13</v>
      </c>
      <c r="I1821" s="10">
        <v>2</v>
      </c>
      <c r="J1821">
        <v>2018</v>
      </c>
      <c r="K1821">
        <v>12</v>
      </c>
      <c r="L1821">
        <v>276</v>
      </c>
      <c r="M1821" t="s">
        <v>65</v>
      </c>
    </row>
    <row r="1822" spans="1:13">
      <c r="A1822" t="s">
        <v>1879</v>
      </c>
      <c r="B1822" s="10">
        <v>3.68</v>
      </c>
      <c r="C1822" s="10">
        <v>3.01</v>
      </c>
      <c r="D1822" s="10">
        <v>3.05</v>
      </c>
      <c r="E1822" s="10">
        <v>40.6</v>
      </c>
      <c r="F1822" s="10">
        <v>8</v>
      </c>
      <c r="G1822" s="10">
        <v>0</v>
      </c>
      <c r="H1822" s="10">
        <v>7</v>
      </c>
      <c r="I1822" s="10">
        <v>0</v>
      </c>
      <c r="J1822">
        <v>2018</v>
      </c>
      <c r="K1822">
        <v>12</v>
      </c>
      <c r="L1822">
        <v>276</v>
      </c>
      <c r="M1822" t="s">
        <v>53</v>
      </c>
    </row>
    <row r="1823" spans="1:13">
      <c r="A1823" t="s">
        <v>1880</v>
      </c>
      <c r="B1823" s="10">
        <v>11.67</v>
      </c>
      <c r="C1823" s="10">
        <v>5.845</v>
      </c>
      <c r="D1823" s="10">
        <v>1</v>
      </c>
      <c r="E1823" s="10">
        <v>56.4</v>
      </c>
      <c r="F1823" s="10">
        <v>11</v>
      </c>
      <c r="G1823" s="10">
        <v>6</v>
      </c>
      <c r="H1823" s="10">
        <v>9</v>
      </c>
      <c r="I1823" s="10">
        <v>0</v>
      </c>
      <c r="J1823">
        <v>2018</v>
      </c>
      <c r="K1823">
        <v>12</v>
      </c>
      <c r="L1823">
        <v>276</v>
      </c>
      <c r="M1823" t="s">
        <v>55</v>
      </c>
    </row>
    <row r="1824" spans="1:13">
      <c r="A1824" t="s">
        <v>1881</v>
      </c>
      <c r="B1824" s="10">
        <v>6.68</v>
      </c>
      <c r="C1824" s="10">
        <v>5.611</v>
      </c>
      <c r="D1824" s="10">
        <v>1</v>
      </c>
      <c r="E1824" s="10">
        <v>68.34999999999999</v>
      </c>
      <c r="F1824" s="10">
        <v>5</v>
      </c>
      <c r="G1824" s="10">
        <v>0</v>
      </c>
      <c r="H1824" s="10">
        <v>7</v>
      </c>
      <c r="I1824" s="10">
        <v>2</v>
      </c>
      <c r="J1824">
        <v>2018</v>
      </c>
      <c r="K1824">
        <v>12</v>
      </c>
      <c r="L1824">
        <v>276</v>
      </c>
      <c r="M1824" t="s">
        <v>57</v>
      </c>
    </row>
    <row r="1825" spans="1:13">
      <c r="A1825" t="s">
        <v>1882</v>
      </c>
      <c r="B1825" s="10">
        <v>5.33</v>
      </c>
      <c r="C1825" s="10">
        <v>7.593</v>
      </c>
      <c r="D1825" s="10">
        <v>5</v>
      </c>
      <c r="E1825" s="10">
        <v>59.9</v>
      </c>
      <c r="F1825" s="10">
        <v>6</v>
      </c>
      <c r="G1825" s="10">
        <v>0</v>
      </c>
      <c r="H1825" s="10">
        <v>31</v>
      </c>
      <c r="I1825" s="10">
        <v>3.3</v>
      </c>
      <c r="J1825">
        <v>2018</v>
      </c>
      <c r="K1825">
        <v>12</v>
      </c>
      <c r="L1825">
        <v>276</v>
      </c>
      <c r="M1825" t="s">
        <v>59</v>
      </c>
    </row>
    <row r="1826" spans="1:13">
      <c r="A1826" t="s">
        <v>1883</v>
      </c>
      <c r="B1826" s="10">
        <v>8</v>
      </c>
      <c r="C1826" s="10">
        <v>4.66</v>
      </c>
      <c r="D1826" s="10">
        <v>5.2</v>
      </c>
      <c r="E1826" s="10">
        <v>44.5</v>
      </c>
      <c r="F1826" s="10">
        <v>10</v>
      </c>
      <c r="G1826" s="10">
        <v>0</v>
      </c>
      <c r="H1826" s="10">
        <v>6</v>
      </c>
      <c r="I1826" s="10">
        <v>4</v>
      </c>
      <c r="J1826">
        <v>2018</v>
      </c>
      <c r="K1826">
        <v>12</v>
      </c>
      <c r="L1826">
        <v>276</v>
      </c>
      <c r="M1826" t="s">
        <v>61</v>
      </c>
    </row>
    <row r="1827" spans="1:13">
      <c r="A1827" t="s">
        <v>1884</v>
      </c>
      <c r="B1827" s="10">
        <v>0</v>
      </c>
      <c r="C1827" s="10">
        <v>0</v>
      </c>
      <c r="D1827" s="10">
        <v>0</v>
      </c>
      <c r="E1827" s="10">
        <v>0</v>
      </c>
      <c r="F1827" s="10">
        <v>0</v>
      </c>
      <c r="G1827" s="10">
        <v>0</v>
      </c>
      <c r="H1827" s="10">
        <v>0</v>
      </c>
      <c r="I1827" s="10">
        <v>0</v>
      </c>
      <c r="J1827">
        <v>2019</v>
      </c>
      <c r="K1827">
        <v>1</v>
      </c>
      <c r="L1827">
        <v>276</v>
      </c>
      <c r="M1827" t="s">
        <v>63</v>
      </c>
    </row>
    <row r="1828" spans="1:13">
      <c r="A1828" t="s">
        <v>1885</v>
      </c>
      <c r="B1828" s="10">
        <v>5.33</v>
      </c>
      <c r="C1828" s="10">
        <v>4.397</v>
      </c>
      <c r="D1828" s="10">
        <v>4.15</v>
      </c>
      <c r="E1828" s="10">
        <v>36.8</v>
      </c>
      <c r="F1828" s="10">
        <v>4</v>
      </c>
      <c r="G1828" s="10">
        <v>0</v>
      </c>
      <c r="H1828" s="10">
        <v>9</v>
      </c>
      <c r="I1828" s="10">
        <v>2</v>
      </c>
      <c r="J1828">
        <v>2019</v>
      </c>
      <c r="K1828">
        <v>1</v>
      </c>
      <c r="L1828">
        <v>276</v>
      </c>
      <c r="M1828" t="s">
        <v>65</v>
      </c>
    </row>
    <row r="1829" spans="1:13">
      <c r="A1829" t="s">
        <v>1886</v>
      </c>
      <c r="B1829" s="10">
        <v>4.33</v>
      </c>
      <c r="C1829" s="10">
        <v>4.836</v>
      </c>
      <c r="D1829" s="10">
        <v>6.25</v>
      </c>
      <c r="E1829" s="10">
        <v>42.4</v>
      </c>
      <c r="F1829" s="10">
        <v>6</v>
      </c>
      <c r="G1829" s="10">
        <v>0</v>
      </c>
      <c r="H1829" s="10">
        <v>9</v>
      </c>
      <c r="I1829" s="10">
        <v>0</v>
      </c>
      <c r="J1829">
        <v>2019</v>
      </c>
      <c r="K1829">
        <v>1</v>
      </c>
      <c r="L1829">
        <v>276</v>
      </c>
      <c r="M1829" t="s">
        <v>53</v>
      </c>
    </row>
    <row r="1830" spans="1:13">
      <c r="A1830" t="s">
        <v>1887</v>
      </c>
      <c r="B1830" s="10">
        <v>7</v>
      </c>
      <c r="C1830" s="10">
        <v>3.67</v>
      </c>
      <c r="D1830" s="10">
        <v>2.6</v>
      </c>
      <c r="E1830" s="10">
        <v>55.8</v>
      </c>
      <c r="F1830" s="10">
        <v>10</v>
      </c>
      <c r="G1830" s="10">
        <v>0</v>
      </c>
      <c r="H1830" s="10">
        <v>0</v>
      </c>
      <c r="I1830" s="10">
        <v>1</v>
      </c>
      <c r="J1830">
        <v>2019</v>
      </c>
      <c r="K1830">
        <v>1</v>
      </c>
      <c r="L1830">
        <v>276</v>
      </c>
      <c r="M1830" t="s">
        <v>55</v>
      </c>
    </row>
    <row r="1831" spans="1:13">
      <c r="A1831" t="s">
        <v>1888</v>
      </c>
      <c r="B1831" s="10">
        <v>8.01</v>
      </c>
      <c r="C1831" s="10">
        <v>3.69</v>
      </c>
      <c r="D1831" s="10">
        <v>3.1</v>
      </c>
      <c r="E1831" s="10">
        <v>62.75</v>
      </c>
      <c r="F1831" s="10">
        <v>10</v>
      </c>
      <c r="G1831" s="10">
        <v>0</v>
      </c>
      <c r="H1831" s="10">
        <v>30</v>
      </c>
      <c r="I1831" s="10">
        <v>1</v>
      </c>
      <c r="J1831">
        <v>2019</v>
      </c>
      <c r="K1831">
        <v>1</v>
      </c>
      <c r="L1831">
        <v>276</v>
      </c>
      <c r="M1831" t="s">
        <v>57</v>
      </c>
    </row>
    <row r="1832" spans="1:13">
      <c r="A1832" t="s">
        <v>1889</v>
      </c>
      <c r="B1832" s="10">
        <v>8.33</v>
      </c>
      <c r="C1832" s="10">
        <v>10.01</v>
      </c>
      <c r="D1832" s="10">
        <v>2.25</v>
      </c>
      <c r="E1832" s="10">
        <v>47.4</v>
      </c>
      <c r="F1832" s="10">
        <v>11</v>
      </c>
      <c r="G1832" s="10">
        <v>2</v>
      </c>
      <c r="H1832" s="10">
        <v>0</v>
      </c>
      <c r="I1832" s="10">
        <v>3</v>
      </c>
      <c r="J1832">
        <v>2019</v>
      </c>
      <c r="K1832">
        <v>1</v>
      </c>
      <c r="L1832">
        <v>276</v>
      </c>
      <c r="M1832" t="s">
        <v>59</v>
      </c>
    </row>
    <row r="1833" spans="1:13">
      <c r="A1833" t="s">
        <v>1890</v>
      </c>
      <c r="B1833" s="10">
        <v>0</v>
      </c>
      <c r="C1833" s="10">
        <v>0</v>
      </c>
      <c r="D1833" s="10">
        <v>0</v>
      </c>
      <c r="E1833" s="10">
        <v>0</v>
      </c>
      <c r="F1833" s="10">
        <v>0</v>
      </c>
      <c r="G1833" s="10">
        <v>0</v>
      </c>
      <c r="H1833" s="10">
        <v>0</v>
      </c>
      <c r="I1833" s="10">
        <v>0</v>
      </c>
      <c r="J1833">
        <v>2019</v>
      </c>
      <c r="K1833">
        <v>1</v>
      </c>
      <c r="L1833">
        <v>276</v>
      </c>
      <c r="M1833" t="s">
        <v>61</v>
      </c>
    </row>
    <row r="1834" spans="1:13">
      <c r="A1834" t="s">
        <v>1891</v>
      </c>
      <c r="B1834" s="10">
        <v>4.34</v>
      </c>
      <c r="C1834" s="10">
        <v>3.32</v>
      </c>
      <c r="D1834" s="10">
        <v>0</v>
      </c>
      <c r="E1834" s="10">
        <v>41.8</v>
      </c>
      <c r="F1834" s="10">
        <v>6</v>
      </c>
      <c r="G1834" s="10">
        <v>0</v>
      </c>
      <c r="H1834" s="10">
        <v>10</v>
      </c>
      <c r="I1834" s="10">
        <v>2</v>
      </c>
      <c r="J1834">
        <v>2019</v>
      </c>
      <c r="K1834">
        <v>1</v>
      </c>
      <c r="L1834">
        <v>276</v>
      </c>
      <c r="M1834" t="s">
        <v>63</v>
      </c>
    </row>
    <row r="1835" spans="1:13">
      <c r="A1835" t="s">
        <v>1892</v>
      </c>
      <c r="B1835" s="10">
        <v>3</v>
      </c>
      <c r="C1835" s="10">
        <v>1.33</v>
      </c>
      <c r="D1835" s="10">
        <v>2</v>
      </c>
      <c r="E1835" s="10">
        <v>64.8</v>
      </c>
      <c r="F1835" s="10">
        <v>24</v>
      </c>
      <c r="G1835" s="10">
        <v>3</v>
      </c>
      <c r="H1835" s="10">
        <v>10</v>
      </c>
      <c r="I1835" s="10">
        <v>1</v>
      </c>
      <c r="J1835">
        <v>2019</v>
      </c>
      <c r="K1835">
        <v>1</v>
      </c>
      <c r="L1835">
        <v>276</v>
      </c>
      <c r="M1835" t="s">
        <v>65</v>
      </c>
    </row>
    <row r="1836" spans="1:13">
      <c r="A1836" t="s">
        <v>1893</v>
      </c>
      <c r="B1836" s="10">
        <v>8</v>
      </c>
      <c r="C1836" s="10">
        <v>3.58</v>
      </c>
      <c r="D1836" s="10">
        <v>5.6</v>
      </c>
      <c r="E1836" s="10">
        <v>39.1</v>
      </c>
      <c r="F1836" s="10">
        <v>12</v>
      </c>
      <c r="G1836" s="10">
        <v>2</v>
      </c>
      <c r="H1836" s="10">
        <v>13</v>
      </c>
      <c r="I1836" s="10">
        <v>1</v>
      </c>
      <c r="J1836">
        <v>2019</v>
      </c>
      <c r="K1836">
        <v>1</v>
      </c>
      <c r="L1836">
        <v>276</v>
      </c>
      <c r="M1836" t="s">
        <v>53</v>
      </c>
    </row>
    <row r="1837" spans="1:13">
      <c r="A1837" t="s">
        <v>1894</v>
      </c>
      <c r="B1837" s="10">
        <v>5.33</v>
      </c>
      <c r="C1837" s="10">
        <v>7.34</v>
      </c>
      <c r="D1837" s="10">
        <v>3</v>
      </c>
      <c r="E1837" s="10">
        <v>61.6</v>
      </c>
      <c r="F1837" s="10">
        <v>12</v>
      </c>
      <c r="G1837" s="10">
        <v>0</v>
      </c>
      <c r="H1837" s="10">
        <v>6</v>
      </c>
      <c r="I1837" s="10">
        <v>0</v>
      </c>
      <c r="J1837">
        <v>2019</v>
      </c>
      <c r="K1837">
        <v>1</v>
      </c>
      <c r="L1837">
        <v>276</v>
      </c>
      <c r="M1837" t="s">
        <v>55</v>
      </c>
    </row>
    <row r="1838" spans="1:13">
      <c r="A1838" t="s">
        <v>1895</v>
      </c>
      <c r="B1838" s="10">
        <v>6.66</v>
      </c>
      <c r="C1838" s="10">
        <v>7.02</v>
      </c>
      <c r="D1838" s="10">
        <v>5</v>
      </c>
      <c r="E1838" s="10">
        <v>74.5</v>
      </c>
      <c r="F1838" s="10">
        <v>21.2</v>
      </c>
      <c r="G1838" s="10">
        <v>0</v>
      </c>
      <c r="H1838" s="10">
        <v>10</v>
      </c>
      <c r="I1838" s="10">
        <v>0</v>
      </c>
      <c r="J1838">
        <v>2019</v>
      </c>
      <c r="K1838">
        <v>1</v>
      </c>
      <c r="L1838">
        <v>276</v>
      </c>
      <c r="M1838" t="s">
        <v>57</v>
      </c>
    </row>
    <row r="1839" spans="1:13">
      <c r="A1839" t="s">
        <v>1896</v>
      </c>
      <c r="B1839" s="10">
        <v>8.33</v>
      </c>
      <c r="C1839" s="10">
        <v>5.814</v>
      </c>
      <c r="D1839" s="10">
        <v>4.6</v>
      </c>
      <c r="E1839" s="10">
        <v>73</v>
      </c>
      <c r="F1839" s="10">
        <v>4</v>
      </c>
      <c r="G1839" s="10">
        <v>1</v>
      </c>
      <c r="H1839" s="10">
        <v>1</v>
      </c>
      <c r="I1839" s="10">
        <v>2</v>
      </c>
      <c r="J1839">
        <v>2019</v>
      </c>
      <c r="K1839">
        <v>1</v>
      </c>
      <c r="L1839">
        <v>276</v>
      </c>
      <c r="M1839" t="s">
        <v>59</v>
      </c>
    </row>
    <row r="1840" spans="1:13">
      <c r="A1840" t="s">
        <v>1897</v>
      </c>
      <c r="B1840" s="10">
        <v>9</v>
      </c>
      <c r="C1840" s="10">
        <v>9.699999999999999</v>
      </c>
      <c r="D1840" s="10">
        <v>3</v>
      </c>
      <c r="E1840" s="10">
        <v>51</v>
      </c>
      <c r="F1840" s="10">
        <v>10</v>
      </c>
      <c r="G1840" s="10">
        <v>0</v>
      </c>
      <c r="H1840" s="10">
        <v>18</v>
      </c>
      <c r="I1840" s="10">
        <v>0</v>
      </c>
      <c r="J1840">
        <v>2019</v>
      </c>
      <c r="K1840">
        <v>1</v>
      </c>
      <c r="L1840">
        <v>276</v>
      </c>
      <c r="M1840" t="s">
        <v>61</v>
      </c>
    </row>
    <row r="1841" spans="1:13">
      <c r="A1841" t="s">
        <v>1898</v>
      </c>
      <c r="B1841" s="10">
        <v>4.33</v>
      </c>
      <c r="C1841" s="10">
        <v>4.33</v>
      </c>
      <c r="D1841" s="10">
        <v>3.65</v>
      </c>
      <c r="E1841" s="10">
        <v>30.4</v>
      </c>
      <c r="F1841" s="10">
        <v>9</v>
      </c>
      <c r="G1841" s="10">
        <v>0</v>
      </c>
      <c r="H1841" s="10">
        <v>19</v>
      </c>
      <c r="I1841" s="10">
        <v>1</v>
      </c>
      <c r="J1841">
        <v>2019</v>
      </c>
      <c r="K1841">
        <v>1</v>
      </c>
      <c r="L1841">
        <v>276</v>
      </c>
      <c r="M1841" t="s">
        <v>63</v>
      </c>
    </row>
    <row r="1842" spans="1:13">
      <c r="A1842" t="s">
        <v>1899</v>
      </c>
      <c r="B1842" s="10">
        <v>7.5</v>
      </c>
      <c r="C1842" s="10">
        <v>5.066</v>
      </c>
      <c r="D1842" s="10">
        <v>6</v>
      </c>
      <c r="E1842" s="10">
        <v>48.8</v>
      </c>
      <c r="F1842" s="10">
        <v>12</v>
      </c>
      <c r="G1842" s="10">
        <v>0</v>
      </c>
      <c r="H1842" s="10">
        <v>17</v>
      </c>
      <c r="I1842" s="10">
        <v>5</v>
      </c>
      <c r="J1842">
        <v>2019</v>
      </c>
      <c r="K1842">
        <v>1</v>
      </c>
      <c r="L1842">
        <v>276</v>
      </c>
      <c r="M1842" t="s">
        <v>65</v>
      </c>
    </row>
    <row r="1843" spans="1:13">
      <c r="A1843" t="s">
        <v>1900</v>
      </c>
      <c r="B1843" s="10">
        <v>5.34</v>
      </c>
      <c r="C1843" s="10">
        <v>3.68</v>
      </c>
      <c r="D1843" s="10">
        <v>3.7</v>
      </c>
      <c r="E1843" s="10">
        <v>55.6</v>
      </c>
      <c r="F1843" s="10">
        <v>10</v>
      </c>
      <c r="G1843" s="10">
        <v>3</v>
      </c>
      <c r="H1843" s="10">
        <v>8</v>
      </c>
      <c r="I1843" s="10">
        <v>1</v>
      </c>
      <c r="J1843">
        <v>2019</v>
      </c>
      <c r="K1843">
        <v>1</v>
      </c>
      <c r="L1843">
        <v>276</v>
      </c>
      <c r="M1843" t="s">
        <v>53</v>
      </c>
    </row>
    <row r="1844" spans="1:13">
      <c r="A1844" t="s">
        <v>1901</v>
      </c>
      <c r="B1844" s="10">
        <v>6.33</v>
      </c>
      <c r="C1844" s="10">
        <v>6.439</v>
      </c>
      <c r="D1844" s="10">
        <v>4</v>
      </c>
      <c r="E1844" s="10">
        <v>27.8</v>
      </c>
      <c r="F1844" s="10">
        <v>13</v>
      </c>
      <c r="G1844" s="10">
        <v>0</v>
      </c>
      <c r="H1844" s="10">
        <v>24</v>
      </c>
      <c r="I1844" s="10">
        <v>2</v>
      </c>
      <c r="J1844">
        <v>2019</v>
      </c>
      <c r="K1844">
        <v>1</v>
      </c>
      <c r="L1844">
        <v>276</v>
      </c>
      <c r="M1844" t="s">
        <v>55</v>
      </c>
    </row>
    <row r="1845" spans="1:13">
      <c r="A1845" t="s">
        <v>1902</v>
      </c>
      <c r="B1845" s="10">
        <v>7.02</v>
      </c>
      <c r="C1845" s="10">
        <v>8.391</v>
      </c>
      <c r="D1845" s="10">
        <v>5.5</v>
      </c>
      <c r="E1845" s="10">
        <v>77.40000000000001</v>
      </c>
      <c r="F1845" s="10">
        <v>9</v>
      </c>
      <c r="G1845" s="10">
        <v>0</v>
      </c>
      <c r="H1845" s="10">
        <v>1</v>
      </c>
      <c r="I1845" s="10">
        <v>3</v>
      </c>
      <c r="J1845">
        <v>2019</v>
      </c>
      <c r="K1845">
        <v>1</v>
      </c>
      <c r="L1845">
        <v>276</v>
      </c>
      <c r="M1845" t="s">
        <v>57</v>
      </c>
    </row>
    <row r="1846" spans="1:13">
      <c r="A1846" t="s">
        <v>1903</v>
      </c>
      <c r="B1846" s="10">
        <v>11.67</v>
      </c>
      <c r="C1846" s="10">
        <v>14.463</v>
      </c>
      <c r="D1846" s="10">
        <v>2.1</v>
      </c>
      <c r="E1846" s="10">
        <v>93.05</v>
      </c>
      <c r="F1846" s="10">
        <v>6</v>
      </c>
      <c r="G1846" s="10">
        <v>0</v>
      </c>
      <c r="H1846" s="10">
        <v>34</v>
      </c>
      <c r="I1846" s="10">
        <v>1</v>
      </c>
      <c r="J1846">
        <v>2019</v>
      </c>
      <c r="K1846">
        <v>1</v>
      </c>
      <c r="L1846">
        <v>276</v>
      </c>
      <c r="M1846" t="s">
        <v>59</v>
      </c>
    </row>
    <row r="1847" spans="1:13">
      <c r="A1847" t="s">
        <v>1904</v>
      </c>
      <c r="B1847" s="10">
        <v>4.34</v>
      </c>
      <c r="C1847" s="10">
        <v>5.825</v>
      </c>
      <c r="D1847" s="10">
        <v>0</v>
      </c>
      <c r="E1847" s="10">
        <v>67.15000000000001</v>
      </c>
      <c r="F1847" s="10">
        <v>11</v>
      </c>
      <c r="G1847" s="10">
        <v>0</v>
      </c>
      <c r="H1847" s="10">
        <v>31</v>
      </c>
      <c r="I1847" s="10">
        <v>0</v>
      </c>
      <c r="J1847">
        <v>2019</v>
      </c>
      <c r="K1847">
        <v>1</v>
      </c>
      <c r="L1847">
        <v>276</v>
      </c>
      <c r="M1847" t="s">
        <v>61</v>
      </c>
    </row>
    <row r="1848" spans="1:13">
      <c r="A1848" t="s">
        <v>1905</v>
      </c>
      <c r="B1848" s="10">
        <v>6.83</v>
      </c>
      <c r="C1848" s="10">
        <v>7.076</v>
      </c>
      <c r="D1848" s="10">
        <v>1</v>
      </c>
      <c r="E1848" s="10">
        <v>74.90000000000001</v>
      </c>
      <c r="F1848" s="10">
        <v>13</v>
      </c>
      <c r="G1848" s="10">
        <v>1</v>
      </c>
      <c r="H1848" s="10">
        <v>7</v>
      </c>
      <c r="I1848" s="10">
        <v>0</v>
      </c>
      <c r="J1848">
        <v>2019</v>
      </c>
      <c r="K1848">
        <v>1</v>
      </c>
      <c r="L1848">
        <v>276</v>
      </c>
      <c r="M1848" t="s">
        <v>63</v>
      </c>
    </row>
    <row r="1849" spans="1:13">
      <c r="A1849" t="s">
        <v>1906</v>
      </c>
      <c r="B1849" s="10">
        <v>3.33</v>
      </c>
      <c r="C1849" s="10">
        <v>8.462999999999999</v>
      </c>
      <c r="D1849" s="10">
        <v>7.1</v>
      </c>
      <c r="E1849" s="10">
        <v>58.4</v>
      </c>
      <c r="F1849" s="10">
        <v>4</v>
      </c>
      <c r="G1849" s="10">
        <v>0</v>
      </c>
      <c r="H1849" s="10">
        <v>23</v>
      </c>
      <c r="I1849" s="10">
        <v>2</v>
      </c>
      <c r="J1849">
        <v>2019</v>
      </c>
      <c r="K1849">
        <v>1</v>
      </c>
      <c r="L1849">
        <v>276</v>
      </c>
      <c r="M1849" t="s">
        <v>65</v>
      </c>
    </row>
    <row r="1850" spans="1:13">
      <c r="A1850" t="s">
        <v>1907</v>
      </c>
      <c r="B1850" s="10">
        <v>4</v>
      </c>
      <c r="C1850" s="10">
        <v>4.495</v>
      </c>
      <c r="D1850" s="10">
        <v>6</v>
      </c>
      <c r="E1850" s="10">
        <v>47.3</v>
      </c>
      <c r="F1850" s="10">
        <v>7</v>
      </c>
      <c r="G1850" s="10">
        <v>4</v>
      </c>
      <c r="H1850" s="10">
        <v>2</v>
      </c>
      <c r="I1850" s="10">
        <v>3</v>
      </c>
      <c r="J1850">
        <v>2019</v>
      </c>
      <c r="K1850">
        <v>1</v>
      </c>
      <c r="L1850">
        <v>276</v>
      </c>
      <c r="M1850" t="s">
        <v>53</v>
      </c>
    </row>
    <row r="1851" spans="1:13">
      <c r="A1851" t="s">
        <v>1908</v>
      </c>
      <c r="B1851" s="10">
        <v>2.33</v>
      </c>
      <c r="C1851" s="10">
        <v>7.18</v>
      </c>
      <c r="D1851" s="10">
        <v>4</v>
      </c>
      <c r="E1851" s="10">
        <v>32.65</v>
      </c>
      <c r="F1851" s="10">
        <v>11</v>
      </c>
      <c r="G1851" s="10">
        <v>2</v>
      </c>
      <c r="H1851" s="10">
        <v>11</v>
      </c>
      <c r="I1851" s="10">
        <v>1</v>
      </c>
      <c r="J1851">
        <v>2019</v>
      </c>
      <c r="K1851">
        <v>1</v>
      </c>
      <c r="L1851">
        <v>276</v>
      </c>
      <c r="M1851" t="s">
        <v>55</v>
      </c>
    </row>
    <row r="1852" spans="1:13">
      <c r="A1852" t="s">
        <v>1909</v>
      </c>
      <c r="B1852" s="10">
        <v>7</v>
      </c>
      <c r="C1852" s="10">
        <v>8.459</v>
      </c>
      <c r="D1852" s="10">
        <v>2.4</v>
      </c>
      <c r="E1852" s="10">
        <v>97.8</v>
      </c>
      <c r="F1852" s="10">
        <v>11</v>
      </c>
      <c r="G1852" s="10">
        <v>1</v>
      </c>
      <c r="H1852" s="10">
        <v>13</v>
      </c>
      <c r="I1852" s="10">
        <v>1</v>
      </c>
      <c r="J1852">
        <v>2019</v>
      </c>
      <c r="K1852">
        <v>1</v>
      </c>
      <c r="L1852">
        <v>276</v>
      </c>
      <c r="M1852" t="s">
        <v>57</v>
      </c>
    </row>
    <row r="1853" spans="1:13">
      <c r="A1853" t="s">
        <v>1910</v>
      </c>
      <c r="B1853" s="10">
        <v>10.52</v>
      </c>
      <c r="C1853" s="10">
        <v>11.745</v>
      </c>
      <c r="D1853" s="10">
        <v>2</v>
      </c>
      <c r="E1853" s="10">
        <v>100.1</v>
      </c>
      <c r="F1853" s="10">
        <v>12</v>
      </c>
      <c r="G1853" s="10">
        <v>1</v>
      </c>
      <c r="H1853" s="10">
        <v>6</v>
      </c>
      <c r="I1853" s="10">
        <v>2</v>
      </c>
      <c r="J1853">
        <v>2019</v>
      </c>
      <c r="K1853">
        <v>1</v>
      </c>
      <c r="L1853">
        <v>276</v>
      </c>
      <c r="M1853" t="s">
        <v>59</v>
      </c>
    </row>
    <row r="1854" spans="1:13">
      <c r="A1854" t="s">
        <v>1911</v>
      </c>
      <c r="B1854" s="10">
        <v>8.5</v>
      </c>
      <c r="C1854" s="10">
        <v>7.109</v>
      </c>
      <c r="D1854" s="10">
        <v>3</v>
      </c>
      <c r="E1854" s="10">
        <v>45</v>
      </c>
      <c r="F1854" s="10">
        <v>11</v>
      </c>
      <c r="G1854" s="10">
        <v>0</v>
      </c>
      <c r="H1854" s="10">
        <v>28</v>
      </c>
      <c r="I1854" s="10">
        <v>3</v>
      </c>
      <c r="J1854">
        <v>2019</v>
      </c>
      <c r="K1854">
        <v>1</v>
      </c>
      <c r="L1854">
        <v>276</v>
      </c>
      <c r="M1854" t="s">
        <v>61</v>
      </c>
    </row>
    <row r="1855" spans="1:13">
      <c r="A1855" t="s">
        <v>1912</v>
      </c>
      <c r="B1855" s="10">
        <v>5</v>
      </c>
      <c r="C1855" s="10">
        <v>5</v>
      </c>
      <c r="D1855" s="10">
        <v>3.45</v>
      </c>
      <c r="E1855" s="10">
        <v>38.8</v>
      </c>
      <c r="F1855" s="10">
        <v>10</v>
      </c>
      <c r="G1855" s="10">
        <v>2</v>
      </c>
      <c r="H1855" s="10">
        <v>15</v>
      </c>
      <c r="I1855" s="10">
        <v>0</v>
      </c>
      <c r="J1855">
        <v>2019</v>
      </c>
      <c r="K1855">
        <v>1</v>
      </c>
      <c r="L1855">
        <v>276</v>
      </c>
      <c r="M1855" t="s">
        <v>63</v>
      </c>
    </row>
    <row r="1856" spans="1:13">
      <c r="A1856" t="s">
        <v>1913</v>
      </c>
      <c r="B1856" s="10">
        <v>6.33</v>
      </c>
      <c r="C1856" s="10">
        <v>5.713</v>
      </c>
      <c r="D1856" s="10">
        <v>2.25</v>
      </c>
      <c r="E1856" s="10">
        <v>52.312</v>
      </c>
      <c r="F1856" s="10">
        <v>8</v>
      </c>
      <c r="G1856" s="10">
        <v>0</v>
      </c>
      <c r="H1856" s="10">
        <v>11</v>
      </c>
      <c r="I1856" s="10">
        <v>1.3</v>
      </c>
      <c r="J1856">
        <v>2019</v>
      </c>
      <c r="K1856">
        <v>1</v>
      </c>
      <c r="L1856">
        <v>276</v>
      </c>
      <c r="M1856" t="s">
        <v>65</v>
      </c>
    </row>
    <row r="1857" spans="1:13">
      <c r="A1857" t="s">
        <v>1914</v>
      </c>
      <c r="B1857" s="10">
        <v>1.67</v>
      </c>
      <c r="C1857" s="10">
        <v>11.505</v>
      </c>
      <c r="D1857" s="10">
        <v>2</v>
      </c>
      <c r="E1857" s="10">
        <v>62.2</v>
      </c>
      <c r="F1857" s="10">
        <v>8</v>
      </c>
      <c r="G1857" s="10">
        <v>1</v>
      </c>
      <c r="H1857" s="10">
        <v>20</v>
      </c>
      <c r="I1857" s="10">
        <v>2</v>
      </c>
      <c r="J1857">
        <v>2019</v>
      </c>
      <c r="K1857">
        <v>1</v>
      </c>
      <c r="L1857">
        <v>276</v>
      </c>
      <c r="M1857" t="s">
        <v>53</v>
      </c>
    </row>
    <row r="1858" spans="1:13">
      <c r="A1858" t="s">
        <v>1915</v>
      </c>
      <c r="B1858" s="10">
        <v>11.34</v>
      </c>
      <c r="C1858" s="10">
        <v>1.726</v>
      </c>
      <c r="D1858" s="10">
        <v>8</v>
      </c>
      <c r="E1858" s="10">
        <v>38.9</v>
      </c>
      <c r="F1858" s="10">
        <v>9</v>
      </c>
      <c r="G1858" s="10">
        <v>0</v>
      </c>
      <c r="H1858" s="10">
        <v>7</v>
      </c>
      <c r="I1858" s="10">
        <v>3</v>
      </c>
      <c r="J1858">
        <v>2019</v>
      </c>
      <c r="K1858">
        <v>2</v>
      </c>
      <c r="L1858">
        <v>276</v>
      </c>
      <c r="M1858" t="s">
        <v>55</v>
      </c>
    </row>
    <row r="1859" spans="1:13">
      <c r="A1859" t="s">
        <v>1916</v>
      </c>
      <c r="B1859" s="10">
        <v>13.34</v>
      </c>
      <c r="C1859" s="10">
        <v>12.706</v>
      </c>
      <c r="D1859" s="10">
        <v>6.2</v>
      </c>
      <c r="E1859" s="10">
        <v>64.262</v>
      </c>
      <c r="F1859" s="10">
        <v>8</v>
      </c>
      <c r="G1859" s="10">
        <v>1</v>
      </c>
      <c r="H1859" s="10">
        <v>45</v>
      </c>
      <c r="I1859" s="10">
        <v>0</v>
      </c>
      <c r="J1859">
        <v>2019</v>
      </c>
      <c r="K1859">
        <v>2</v>
      </c>
      <c r="L1859">
        <v>276</v>
      </c>
      <c r="M1859" t="s">
        <v>57</v>
      </c>
    </row>
    <row r="1860" spans="1:13">
      <c r="A1860" t="s">
        <v>1917</v>
      </c>
      <c r="B1860" s="10">
        <v>6</v>
      </c>
      <c r="C1860" s="10">
        <v>9.811999999999999</v>
      </c>
      <c r="D1860" s="10">
        <v>5.75</v>
      </c>
      <c r="E1860" s="10">
        <v>47.088</v>
      </c>
      <c r="F1860" s="10">
        <v>10</v>
      </c>
      <c r="G1860" s="10">
        <v>1</v>
      </c>
      <c r="H1860" s="10">
        <v>5</v>
      </c>
      <c r="I1860" s="10">
        <v>4.4</v>
      </c>
      <c r="J1860">
        <v>2019</v>
      </c>
      <c r="K1860">
        <v>2</v>
      </c>
      <c r="L1860">
        <v>276</v>
      </c>
      <c r="M1860" t="s">
        <v>59</v>
      </c>
    </row>
    <row r="1861" spans="1:13">
      <c r="A1861" t="s">
        <v>1918</v>
      </c>
      <c r="B1861" s="10">
        <v>6.33</v>
      </c>
      <c r="C1861" s="10">
        <v>6.68</v>
      </c>
      <c r="D1861" s="10">
        <v>3</v>
      </c>
      <c r="E1861" s="10">
        <v>47</v>
      </c>
      <c r="F1861" s="10">
        <v>5</v>
      </c>
      <c r="G1861" s="10">
        <v>1</v>
      </c>
      <c r="H1861" s="10">
        <v>12</v>
      </c>
      <c r="I1861" s="10">
        <v>2</v>
      </c>
      <c r="J1861">
        <v>2019</v>
      </c>
      <c r="K1861">
        <v>2</v>
      </c>
      <c r="L1861">
        <v>276</v>
      </c>
      <c r="M1861" t="s">
        <v>61</v>
      </c>
    </row>
    <row r="1862" spans="1:13">
      <c r="A1862" t="s">
        <v>1919</v>
      </c>
      <c r="B1862" s="10">
        <v>5.33</v>
      </c>
      <c r="C1862" s="10">
        <v>10.386</v>
      </c>
      <c r="D1862" s="10">
        <v>3.65</v>
      </c>
      <c r="E1862" s="10">
        <v>33.8</v>
      </c>
      <c r="F1862" s="10">
        <v>2</v>
      </c>
      <c r="G1862" s="10">
        <v>0</v>
      </c>
      <c r="H1862" s="10">
        <v>1</v>
      </c>
      <c r="I1862" s="10">
        <v>4</v>
      </c>
      <c r="J1862">
        <v>2019</v>
      </c>
      <c r="K1862">
        <v>2</v>
      </c>
      <c r="L1862">
        <v>276</v>
      </c>
      <c r="M1862" t="s">
        <v>63</v>
      </c>
    </row>
    <row r="1863" spans="1:13">
      <c r="A1863" t="s">
        <v>1920</v>
      </c>
      <c r="B1863" s="10">
        <v>6.34</v>
      </c>
      <c r="C1863" s="10">
        <v>4.178</v>
      </c>
      <c r="D1863" s="10">
        <v>2.2</v>
      </c>
      <c r="E1863" s="10">
        <v>29</v>
      </c>
      <c r="F1863" s="10">
        <v>4</v>
      </c>
      <c r="G1863" s="10">
        <v>0</v>
      </c>
      <c r="H1863" s="10">
        <v>4</v>
      </c>
      <c r="I1863" s="10">
        <v>1.5</v>
      </c>
      <c r="J1863">
        <v>2019</v>
      </c>
      <c r="K1863">
        <v>2</v>
      </c>
      <c r="L1863">
        <v>276</v>
      </c>
      <c r="M1863" t="s">
        <v>65</v>
      </c>
    </row>
    <row r="1864" spans="1:13">
      <c r="A1864" t="s">
        <v>1921</v>
      </c>
      <c r="B1864" s="10">
        <v>2.33</v>
      </c>
      <c r="C1864" s="10">
        <v>5.132</v>
      </c>
      <c r="D1864" s="10">
        <v>4.5</v>
      </c>
      <c r="E1864" s="10">
        <v>42.6</v>
      </c>
      <c r="F1864" s="10">
        <v>11</v>
      </c>
      <c r="G1864" s="10">
        <v>0</v>
      </c>
      <c r="H1864" s="10">
        <v>22</v>
      </c>
      <c r="I1864" s="10">
        <v>1</v>
      </c>
      <c r="J1864">
        <v>2019</v>
      </c>
      <c r="K1864">
        <v>2</v>
      </c>
      <c r="L1864">
        <v>276</v>
      </c>
      <c r="M1864" t="s">
        <v>53</v>
      </c>
    </row>
    <row r="1865" spans="1:13">
      <c r="A1865" t="s">
        <v>1922</v>
      </c>
      <c r="B1865" s="10">
        <v>2</v>
      </c>
      <c r="C1865" s="10">
        <v>6.373</v>
      </c>
      <c r="D1865" s="10">
        <v>7</v>
      </c>
      <c r="E1865" s="10">
        <v>50.2</v>
      </c>
      <c r="F1865" s="10">
        <v>9</v>
      </c>
      <c r="G1865" s="10">
        <v>3</v>
      </c>
      <c r="H1865" s="10">
        <v>12</v>
      </c>
      <c r="I1865" s="10">
        <v>5</v>
      </c>
      <c r="J1865">
        <v>2019</v>
      </c>
      <c r="K1865">
        <v>2</v>
      </c>
      <c r="L1865">
        <v>276</v>
      </c>
      <c r="M1865" t="s">
        <v>55</v>
      </c>
    </row>
    <row r="1866" spans="1:13">
      <c r="A1866" t="s">
        <v>1923</v>
      </c>
      <c r="B1866" s="10">
        <v>6.68</v>
      </c>
      <c r="C1866" s="10">
        <v>7.383</v>
      </c>
      <c r="D1866" s="10">
        <v>5</v>
      </c>
      <c r="E1866" s="10">
        <v>51.65</v>
      </c>
      <c r="F1866" s="10">
        <v>10</v>
      </c>
      <c r="G1866" s="10">
        <v>0</v>
      </c>
      <c r="H1866" s="10">
        <v>11</v>
      </c>
      <c r="I1866" s="10">
        <v>1</v>
      </c>
      <c r="J1866">
        <v>2019</v>
      </c>
      <c r="K1866">
        <v>2</v>
      </c>
      <c r="L1866">
        <v>276</v>
      </c>
      <c r="M1866" t="s">
        <v>57</v>
      </c>
    </row>
    <row r="1867" spans="1:13">
      <c r="A1867" t="s">
        <v>1924</v>
      </c>
      <c r="B1867" s="10">
        <v>3.34</v>
      </c>
      <c r="C1867" s="10">
        <v>7.119</v>
      </c>
      <c r="D1867" s="10">
        <v>3.35</v>
      </c>
      <c r="E1867" s="10">
        <v>43.2</v>
      </c>
      <c r="F1867" s="10">
        <v>9</v>
      </c>
      <c r="G1867" s="10">
        <v>0</v>
      </c>
      <c r="H1867" s="10">
        <v>0</v>
      </c>
      <c r="I1867" s="10">
        <v>1.2</v>
      </c>
      <c r="J1867">
        <v>2019</v>
      </c>
      <c r="K1867">
        <v>2</v>
      </c>
      <c r="L1867">
        <v>276</v>
      </c>
      <c r="M1867" t="s">
        <v>59</v>
      </c>
    </row>
    <row r="1868" spans="1:13">
      <c r="A1868" t="s">
        <v>1925</v>
      </c>
      <c r="B1868" s="10">
        <v>8</v>
      </c>
      <c r="C1868" s="10">
        <v>7.469</v>
      </c>
      <c r="D1868" s="10">
        <v>6.15</v>
      </c>
      <c r="E1868" s="10">
        <v>30</v>
      </c>
      <c r="F1868" s="10">
        <v>10</v>
      </c>
      <c r="G1868" s="10">
        <v>0</v>
      </c>
      <c r="H1868" s="10">
        <v>5</v>
      </c>
      <c r="I1868" s="10">
        <v>3</v>
      </c>
      <c r="J1868">
        <v>2019</v>
      </c>
      <c r="K1868">
        <v>2</v>
      </c>
      <c r="L1868">
        <v>276</v>
      </c>
      <c r="M1868" t="s">
        <v>61</v>
      </c>
    </row>
    <row r="1869" spans="1:13">
      <c r="A1869" t="s">
        <v>1926</v>
      </c>
      <c r="B1869" s="10">
        <v>6.66</v>
      </c>
      <c r="C1869" s="10">
        <v>3.34</v>
      </c>
      <c r="D1869" s="10">
        <v>0</v>
      </c>
      <c r="E1869" s="10">
        <v>34.6</v>
      </c>
      <c r="F1869" s="10">
        <v>8.199999999999999</v>
      </c>
      <c r="G1869" s="10">
        <v>0</v>
      </c>
      <c r="H1869" s="10">
        <v>6</v>
      </c>
      <c r="I1869" s="10">
        <v>0.5</v>
      </c>
      <c r="J1869">
        <v>2019</v>
      </c>
      <c r="K1869">
        <v>2</v>
      </c>
      <c r="L1869">
        <v>276</v>
      </c>
      <c r="M1869" t="s">
        <v>63</v>
      </c>
    </row>
    <row r="1870" spans="1:13">
      <c r="A1870" t="s">
        <v>1927</v>
      </c>
      <c r="B1870" s="10">
        <v>4</v>
      </c>
      <c r="C1870" s="10">
        <v>4.01</v>
      </c>
      <c r="D1870" s="10">
        <v>1</v>
      </c>
      <c r="E1870" s="10">
        <v>27.2</v>
      </c>
      <c r="F1870" s="10">
        <v>16</v>
      </c>
      <c r="G1870" s="10">
        <v>0</v>
      </c>
      <c r="H1870" s="10">
        <v>8</v>
      </c>
      <c r="I1870" s="10">
        <v>2</v>
      </c>
      <c r="J1870">
        <v>2019</v>
      </c>
      <c r="K1870">
        <v>2</v>
      </c>
      <c r="L1870">
        <v>276</v>
      </c>
      <c r="M1870" t="s">
        <v>65</v>
      </c>
    </row>
    <row r="1871" spans="1:13">
      <c r="A1871" t="s">
        <v>1928</v>
      </c>
      <c r="B1871" s="10">
        <v>2.33</v>
      </c>
      <c r="C1871" s="10">
        <v>6.517</v>
      </c>
      <c r="D1871" s="10">
        <v>3.15</v>
      </c>
      <c r="E1871" s="10">
        <v>54.5</v>
      </c>
      <c r="F1871" s="10">
        <v>9</v>
      </c>
      <c r="G1871" s="10">
        <v>0</v>
      </c>
      <c r="H1871" s="10">
        <v>7</v>
      </c>
      <c r="I1871" s="10">
        <v>3</v>
      </c>
      <c r="J1871">
        <v>2019</v>
      </c>
      <c r="K1871">
        <v>2</v>
      </c>
      <c r="L1871">
        <v>276</v>
      </c>
      <c r="M1871" t="s">
        <v>53</v>
      </c>
    </row>
    <row r="1872" spans="1:13">
      <c r="A1872" t="s">
        <v>1929</v>
      </c>
      <c r="B1872" s="10">
        <v>5.34</v>
      </c>
      <c r="C1872" s="10">
        <v>5</v>
      </c>
      <c r="D1872" s="10">
        <v>12.5</v>
      </c>
      <c r="E1872" s="10">
        <v>52.05</v>
      </c>
      <c r="F1872" s="10">
        <v>16</v>
      </c>
      <c r="G1872" s="10">
        <v>0</v>
      </c>
      <c r="H1872" s="10">
        <v>3</v>
      </c>
      <c r="I1872" s="10">
        <v>2</v>
      </c>
      <c r="J1872">
        <v>2019</v>
      </c>
      <c r="K1872">
        <v>2</v>
      </c>
      <c r="L1872">
        <v>276</v>
      </c>
      <c r="M1872" t="s">
        <v>55</v>
      </c>
    </row>
    <row r="1873" spans="1:13">
      <c r="A1873" t="s">
        <v>1930</v>
      </c>
      <c r="B1873" s="10">
        <v>6.34</v>
      </c>
      <c r="C1873" s="10">
        <v>6.02</v>
      </c>
      <c r="D1873" s="10">
        <v>5</v>
      </c>
      <c r="E1873" s="10">
        <v>36.4</v>
      </c>
      <c r="F1873" s="10">
        <v>8</v>
      </c>
      <c r="G1873" s="10">
        <v>0</v>
      </c>
      <c r="H1873" s="10">
        <v>6</v>
      </c>
      <c r="I1873" s="10">
        <v>3</v>
      </c>
      <c r="J1873">
        <v>2019</v>
      </c>
      <c r="K1873">
        <v>2</v>
      </c>
      <c r="L1873">
        <v>276</v>
      </c>
      <c r="M1873" t="s">
        <v>57</v>
      </c>
    </row>
    <row r="1874" spans="1:13">
      <c r="A1874" t="s">
        <v>1931</v>
      </c>
      <c r="B1874" s="10">
        <v>2.34</v>
      </c>
      <c r="C1874" s="10">
        <v>4.416</v>
      </c>
      <c r="D1874" s="10">
        <v>4</v>
      </c>
      <c r="E1874" s="10">
        <v>15.162</v>
      </c>
      <c r="F1874" s="10">
        <v>11.2</v>
      </c>
      <c r="G1874" s="10">
        <v>0</v>
      </c>
      <c r="H1874" s="10">
        <v>0</v>
      </c>
      <c r="I1874" s="10">
        <v>3.1</v>
      </c>
      <c r="J1874">
        <v>2019</v>
      </c>
      <c r="K1874">
        <v>2</v>
      </c>
      <c r="L1874">
        <v>276</v>
      </c>
      <c r="M1874" t="s">
        <v>59</v>
      </c>
    </row>
    <row r="1875" spans="1:13">
      <c r="A1875" t="s">
        <v>1932</v>
      </c>
      <c r="B1875" s="10">
        <v>3.34</v>
      </c>
      <c r="C1875" s="10">
        <v>2.076</v>
      </c>
      <c r="D1875" s="10">
        <v>3.6</v>
      </c>
      <c r="E1875" s="10">
        <v>27.4</v>
      </c>
      <c r="F1875" s="10">
        <v>7</v>
      </c>
      <c r="G1875" s="10">
        <v>0</v>
      </c>
      <c r="H1875" s="10">
        <v>10</v>
      </c>
      <c r="I1875" s="10">
        <v>0</v>
      </c>
      <c r="J1875">
        <v>2019</v>
      </c>
      <c r="K1875">
        <v>2</v>
      </c>
      <c r="L1875">
        <v>276</v>
      </c>
      <c r="M1875" t="s">
        <v>61</v>
      </c>
    </row>
    <row r="1876" spans="1:13">
      <c r="A1876" t="s">
        <v>1933</v>
      </c>
      <c r="B1876" s="10">
        <v>3.33</v>
      </c>
      <c r="C1876" s="10">
        <v>4.33</v>
      </c>
      <c r="D1876" s="10">
        <v>1.5</v>
      </c>
      <c r="E1876" s="10">
        <v>27.4</v>
      </c>
      <c r="F1876" s="10">
        <v>15</v>
      </c>
      <c r="G1876" s="10">
        <v>2</v>
      </c>
      <c r="H1876" s="10">
        <v>6</v>
      </c>
      <c r="I1876" s="10">
        <v>3</v>
      </c>
      <c r="J1876">
        <v>2019</v>
      </c>
      <c r="K1876">
        <v>2</v>
      </c>
      <c r="L1876">
        <v>276</v>
      </c>
      <c r="M1876" t="s">
        <v>63</v>
      </c>
    </row>
    <row r="1877" spans="1:13">
      <c r="A1877" t="s">
        <v>1934</v>
      </c>
      <c r="B1877" s="10">
        <v>2.34</v>
      </c>
      <c r="C1877" s="10">
        <v>4.779</v>
      </c>
      <c r="D1877" s="10">
        <v>3.3</v>
      </c>
      <c r="E1877" s="10">
        <v>30.6</v>
      </c>
      <c r="F1877" s="10">
        <v>14</v>
      </c>
      <c r="G1877" s="10">
        <v>0</v>
      </c>
      <c r="H1877" s="10">
        <v>7</v>
      </c>
      <c r="I1877" s="10">
        <v>3</v>
      </c>
      <c r="J1877">
        <v>2019</v>
      </c>
      <c r="K1877">
        <v>2</v>
      </c>
      <c r="L1877">
        <v>276</v>
      </c>
      <c r="M1877" t="s">
        <v>65</v>
      </c>
    </row>
    <row r="1878" spans="1:13">
      <c r="A1878" t="s">
        <v>1935</v>
      </c>
      <c r="B1878" s="10">
        <v>1.66</v>
      </c>
      <c r="C1878" s="10">
        <v>5</v>
      </c>
      <c r="D1878" s="10">
        <v>2.1</v>
      </c>
      <c r="E1878" s="10">
        <v>45.4</v>
      </c>
      <c r="F1878" s="10">
        <v>15</v>
      </c>
      <c r="G1878" s="10">
        <v>1</v>
      </c>
      <c r="H1878" s="10">
        <v>5</v>
      </c>
      <c r="I1878" s="10">
        <v>2</v>
      </c>
      <c r="J1878">
        <v>2019</v>
      </c>
      <c r="K1878">
        <v>2</v>
      </c>
      <c r="L1878">
        <v>276</v>
      </c>
      <c r="M1878" t="s">
        <v>53</v>
      </c>
    </row>
    <row r="1879" spans="1:13">
      <c r="A1879" t="s">
        <v>1936</v>
      </c>
      <c r="B1879" s="10">
        <v>2.33</v>
      </c>
      <c r="C1879" s="10">
        <v>2</v>
      </c>
      <c r="D1879" s="10">
        <v>1.2</v>
      </c>
      <c r="E1879" s="10">
        <v>16</v>
      </c>
      <c r="F1879" s="10">
        <v>5</v>
      </c>
      <c r="G1879" s="10">
        <v>0</v>
      </c>
      <c r="H1879" s="10">
        <v>1</v>
      </c>
      <c r="I1879" s="10">
        <v>2</v>
      </c>
      <c r="J1879">
        <v>2019</v>
      </c>
      <c r="K1879">
        <v>2</v>
      </c>
      <c r="L1879">
        <v>276</v>
      </c>
      <c r="M1879" t="s">
        <v>55</v>
      </c>
    </row>
    <row r="1880" spans="1:13">
      <c r="A1880" t="s">
        <v>1937</v>
      </c>
      <c r="B1880" s="10">
        <v>5.01</v>
      </c>
      <c r="C1880" s="10">
        <v>2.44</v>
      </c>
      <c r="D1880" s="10">
        <v>3.2</v>
      </c>
      <c r="E1880" s="10">
        <v>38.2</v>
      </c>
      <c r="F1880" s="10">
        <v>13</v>
      </c>
      <c r="G1880" s="10">
        <v>0</v>
      </c>
      <c r="H1880" s="10">
        <v>0</v>
      </c>
      <c r="I1880" s="10">
        <v>1.3</v>
      </c>
      <c r="J1880">
        <v>2019</v>
      </c>
      <c r="K1880">
        <v>2</v>
      </c>
      <c r="L1880">
        <v>276</v>
      </c>
      <c r="M1880" t="s">
        <v>57</v>
      </c>
    </row>
    <row r="1881" spans="1:13">
      <c r="A1881" t="s">
        <v>1938</v>
      </c>
      <c r="B1881" s="10">
        <v>4.34</v>
      </c>
      <c r="C1881" s="10">
        <v>4.01</v>
      </c>
      <c r="D1881" s="10">
        <v>1.5</v>
      </c>
      <c r="E1881" s="10">
        <v>19</v>
      </c>
      <c r="F1881" s="10">
        <v>2</v>
      </c>
      <c r="G1881" s="10">
        <v>0</v>
      </c>
      <c r="H1881" s="10">
        <v>2</v>
      </c>
      <c r="I1881" s="10">
        <v>2</v>
      </c>
      <c r="J1881">
        <v>2019</v>
      </c>
      <c r="K1881">
        <v>2</v>
      </c>
      <c r="L1881">
        <v>276</v>
      </c>
      <c r="M1881" t="s">
        <v>59</v>
      </c>
    </row>
    <row r="1882" spans="1:13">
      <c r="A1882" t="s">
        <v>1939</v>
      </c>
      <c r="B1882" s="10">
        <v>5.34</v>
      </c>
      <c r="C1882" s="10">
        <v>1.423</v>
      </c>
      <c r="D1882" s="10">
        <v>3</v>
      </c>
      <c r="E1882" s="10">
        <v>25.2</v>
      </c>
      <c r="F1882" s="10">
        <v>4</v>
      </c>
      <c r="G1882" s="10">
        <v>2</v>
      </c>
      <c r="H1882" s="10">
        <v>2</v>
      </c>
      <c r="I1882" s="10">
        <v>3</v>
      </c>
      <c r="J1882">
        <v>2019</v>
      </c>
      <c r="K1882">
        <v>2</v>
      </c>
      <c r="L1882">
        <v>276</v>
      </c>
      <c r="M1882" t="s">
        <v>61</v>
      </c>
    </row>
    <row r="1883" spans="1:13">
      <c r="A1883" t="s">
        <v>1940</v>
      </c>
      <c r="B1883" s="10">
        <v>2.33</v>
      </c>
      <c r="C1883" s="10">
        <v>3.83</v>
      </c>
      <c r="D1883" s="10">
        <v>5.15</v>
      </c>
      <c r="E1883" s="10">
        <v>27</v>
      </c>
      <c r="F1883" s="10">
        <v>8</v>
      </c>
      <c r="G1883" s="10">
        <v>0</v>
      </c>
      <c r="H1883" s="10">
        <v>3</v>
      </c>
      <c r="I1883" s="10">
        <v>3</v>
      </c>
      <c r="J1883">
        <v>2019</v>
      </c>
      <c r="K1883">
        <v>2</v>
      </c>
      <c r="L1883">
        <v>276</v>
      </c>
      <c r="M1883" t="s">
        <v>63</v>
      </c>
    </row>
    <row r="1884" spans="1:13">
      <c r="A1884" t="s">
        <v>1941</v>
      </c>
      <c r="B1884" s="10">
        <v>5</v>
      </c>
      <c r="C1884" s="10">
        <v>0.67</v>
      </c>
      <c r="D1884" s="10">
        <v>1.2</v>
      </c>
      <c r="E1884" s="10">
        <v>13.4</v>
      </c>
      <c r="F1884" s="10">
        <v>9</v>
      </c>
      <c r="G1884" s="10">
        <v>0</v>
      </c>
      <c r="H1884" s="10">
        <v>1</v>
      </c>
      <c r="I1884" s="10">
        <v>7.5</v>
      </c>
      <c r="J1884">
        <v>2019</v>
      </c>
      <c r="K1884">
        <v>2</v>
      </c>
      <c r="L1884">
        <v>276</v>
      </c>
      <c r="M1884" t="s">
        <v>65</v>
      </c>
    </row>
    <row r="1885" spans="1:13">
      <c r="A1885" t="s">
        <v>1942</v>
      </c>
      <c r="B1885" s="10">
        <v>0.67</v>
      </c>
      <c r="C1885" s="10">
        <v>3.33</v>
      </c>
      <c r="D1885" s="10">
        <v>4</v>
      </c>
      <c r="E1885" s="10">
        <v>34</v>
      </c>
      <c r="F1885" s="10">
        <v>2</v>
      </c>
      <c r="G1885" s="10">
        <v>1</v>
      </c>
      <c r="H1885" s="10">
        <v>35</v>
      </c>
      <c r="I1885" s="10">
        <v>3</v>
      </c>
      <c r="J1885">
        <v>2019</v>
      </c>
      <c r="K1885">
        <v>2</v>
      </c>
      <c r="L1885">
        <v>276</v>
      </c>
      <c r="M1885" t="s">
        <v>53</v>
      </c>
    </row>
    <row r="1886" spans="1:13">
      <c r="A1886" t="s">
        <v>1943</v>
      </c>
      <c r="B1886" s="10">
        <v>1.33</v>
      </c>
      <c r="C1886" s="10">
        <v>3.821</v>
      </c>
      <c r="D1886" s="10">
        <v>2.5</v>
      </c>
      <c r="E1886" s="10">
        <v>22.2</v>
      </c>
      <c r="F1886" s="10">
        <v>12</v>
      </c>
      <c r="G1886" s="10">
        <v>0</v>
      </c>
      <c r="H1886" s="10">
        <v>6</v>
      </c>
      <c r="I1886" s="10">
        <v>2</v>
      </c>
      <c r="J1886">
        <v>2019</v>
      </c>
      <c r="K1886">
        <v>3</v>
      </c>
      <c r="L1886">
        <v>276</v>
      </c>
      <c r="M1886" t="s">
        <v>55</v>
      </c>
    </row>
    <row r="1887" spans="1:13">
      <c r="A1887" t="s">
        <v>1944</v>
      </c>
      <c r="B1887" s="10">
        <v>4.01</v>
      </c>
      <c r="C1887" s="10">
        <v>1.33</v>
      </c>
      <c r="D1887" s="10">
        <v>4</v>
      </c>
      <c r="E1887" s="10">
        <v>46</v>
      </c>
      <c r="F1887" s="10">
        <v>9</v>
      </c>
      <c r="G1887" s="10">
        <v>3</v>
      </c>
      <c r="H1887" s="10">
        <v>0</v>
      </c>
      <c r="I1887" s="10">
        <v>5</v>
      </c>
      <c r="J1887">
        <v>2019</v>
      </c>
      <c r="K1887">
        <v>3</v>
      </c>
      <c r="L1887">
        <v>276</v>
      </c>
      <c r="M1887" t="s">
        <v>57</v>
      </c>
    </row>
    <row r="1888" spans="1:13">
      <c r="A1888" t="s">
        <v>1945</v>
      </c>
      <c r="B1888" s="10">
        <v>8</v>
      </c>
      <c r="C1888" s="10">
        <v>4.01</v>
      </c>
      <c r="D1888" s="10">
        <v>1</v>
      </c>
      <c r="E1888" s="10">
        <v>20</v>
      </c>
      <c r="F1888" s="10">
        <v>5</v>
      </c>
      <c r="G1888" s="10">
        <v>0</v>
      </c>
      <c r="H1888" s="10">
        <v>10</v>
      </c>
      <c r="I1888" s="10">
        <v>0.4</v>
      </c>
      <c r="J1888">
        <v>2019</v>
      </c>
      <c r="K1888">
        <v>3</v>
      </c>
      <c r="L1888">
        <v>276</v>
      </c>
      <c r="M1888" t="s">
        <v>59</v>
      </c>
    </row>
    <row r="1889" spans="1:13">
      <c r="A1889" t="s">
        <v>1946</v>
      </c>
      <c r="B1889" s="10">
        <v>5.33</v>
      </c>
      <c r="C1889" s="10">
        <v>2.67</v>
      </c>
      <c r="D1889" s="10">
        <v>7</v>
      </c>
      <c r="E1889" s="10">
        <v>41</v>
      </c>
      <c r="F1889" s="10">
        <v>3</v>
      </c>
      <c r="G1889" s="10">
        <v>0</v>
      </c>
      <c r="H1889" s="10">
        <v>5</v>
      </c>
      <c r="I1889" s="10">
        <v>2</v>
      </c>
      <c r="J1889">
        <v>2019</v>
      </c>
      <c r="K1889">
        <v>3</v>
      </c>
      <c r="L1889">
        <v>276</v>
      </c>
      <c r="M1889" t="s">
        <v>61</v>
      </c>
    </row>
    <row r="1890" spans="1:13">
      <c r="A1890" t="s">
        <v>1947</v>
      </c>
      <c r="B1890" s="10">
        <v>3.01</v>
      </c>
      <c r="C1890" s="10">
        <v>2.33</v>
      </c>
      <c r="D1890" s="10">
        <v>0.2</v>
      </c>
      <c r="E1890" s="10">
        <v>20</v>
      </c>
      <c r="F1890" s="10">
        <v>8</v>
      </c>
      <c r="G1890" s="10">
        <v>3</v>
      </c>
      <c r="H1890" s="10">
        <v>6</v>
      </c>
      <c r="I1890" s="10">
        <v>5.3</v>
      </c>
      <c r="J1890">
        <v>2019</v>
      </c>
      <c r="K1890">
        <v>3</v>
      </c>
      <c r="L1890">
        <v>276</v>
      </c>
      <c r="M1890" t="s">
        <v>63</v>
      </c>
    </row>
    <row r="1891" spans="1:13">
      <c r="A1891" t="s">
        <v>1948</v>
      </c>
      <c r="B1891" s="10">
        <v>0.34</v>
      </c>
      <c r="C1891" s="10">
        <v>1.396</v>
      </c>
      <c r="D1891" s="10">
        <v>0.7</v>
      </c>
      <c r="E1891" s="10">
        <v>31</v>
      </c>
      <c r="F1891" s="10">
        <v>17</v>
      </c>
      <c r="G1891" s="10">
        <v>1</v>
      </c>
      <c r="H1891" s="10">
        <v>5</v>
      </c>
      <c r="I1891" s="10">
        <v>3</v>
      </c>
      <c r="J1891">
        <v>2019</v>
      </c>
      <c r="K1891">
        <v>3</v>
      </c>
      <c r="L1891">
        <v>276</v>
      </c>
      <c r="M1891" t="s">
        <v>65</v>
      </c>
    </row>
    <row r="1892" spans="1:13">
      <c r="A1892" t="s">
        <v>1949</v>
      </c>
      <c r="B1892" s="10">
        <v>7.33</v>
      </c>
      <c r="C1892" s="10">
        <v>2.076</v>
      </c>
      <c r="D1892" s="10">
        <v>4.25</v>
      </c>
      <c r="E1892" s="10">
        <v>10</v>
      </c>
      <c r="F1892" s="10">
        <v>24</v>
      </c>
      <c r="G1892" s="10">
        <v>0</v>
      </c>
      <c r="H1892" s="10">
        <v>0</v>
      </c>
      <c r="I1892" s="10">
        <v>4</v>
      </c>
      <c r="J1892">
        <v>2019</v>
      </c>
      <c r="K1892">
        <v>3</v>
      </c>
      <c r="L1892">
        <v>276</v>
      </c>
      <c r="M1892" t="s">
        <v>53</v>
      </c>
    </row>
    <row r="1893" spans="1:13">
      <c r="A1893" t="s">
        <v>1950</v>
      </c>
      <c r="B1893" s="10">
        <v>2.33</v>
      </c>
      <c r="C1893" s="10">
        <v>3.34</v>
      </c>
      <c r="D1893" s="10">
        <v>0.2</v>
      </c>
      <c r="E1893" s="10">
        <v>33.7</v>
      </c>
      <c r="F1893" s="10">
        <v>4</v>
      </c>
      <c r="G1893" s="10">
        <v>1</v>
      </c>
      <c r="H1893" s="10">
        <v>0</v>
      </c>
      <c r="I1893" s="10">
        <v>4.3</v>
      </c>
      <c r="J1893">
        <v>2019</v>
      </c>
      <c r="K1893">
        <v>3</v>
      </c>
      <c r="L1893">
        <v>276</v>
      </c>
      <c r="M1893" t="s">
        <v>55</v>
      </c>
    </row>
    <row r="1894" spans="1:13">
      <c r="A1894" t="s">
        <v>1951</v>
      </c>
      <c r="B1894" s="10">
        <v>6.34</v>
      </c>
      <c r="C1894" s="10">
        <v>1.67</v>
      </c>
      <c r="D1894" s="10">
        <v>4</v>
      </c>
      <c r="E1894" s="10">
        <v>45.2</v>
      </c>
      <c r="F1894" s="10">
        <v>11</v>
      </c>
      <c r="G1894" s="10">
        <v>0</v>
      </c>
      <c r="H1894" s="10">
        <v>7</v>
      </c>
      <c r="I1894" s="10">
        <v>5</v>
      </c>
      <c r="J1894">
        <v>2019</v>
      </c>
      <c r="K1894">
        <v>3</v>
      </c>
      <c r="L1894">
        <v>276</v>
      </c>
      <c r="M1894" t="s">
        <v>57</v>
      </c>
    </row>
    <row r="1895" spans="1:13">
      <c r="A1895" t="s">
        <v>1952</v>
      </c>
      <c r="B1895" s="10">
        <v>5.83</v>
      </c>
      <c r="C1895" s="10">
        <v>3.087</v>
      </c>
      <c r="D1895" s="10">
        <v>5.35</v>
      </c>
      <c r="E1895" s="10">
        <v>51</v>
      </c>
      <c r="F1895" s="10">
        <v>5</v>
      </c>
      <c r="G1895" s="10">
        <v>0</v>
      </c>
      <c r="H1895" s="10">
        <v>3</v>
      </c>
      <c r="I1895" s="10">
        <v>9</v>
      </c>
      <c r="J1895">
        <v>2019</v>
      </c>
      <c r="K1895">
        <v>3</v>
      </c>
      <c r="L1895">
        <v>276</v>
      </c>
      <c r="M1895" t="s">
        <v>59</v>
      </c>
    </row>
    <row r="1896" spans="1:13">
      <c r="A1896" t="s">
        <v>1953</v>
      </c>
      <c r="B1896" s="10">
        <v>14.66</v>
      </c>
      <c r="C1896" s="10">
        <v>3.67</v>
      </c>
      <c r="D1896" s="10">
        <v>2.5</v>
      </c>
      <c r="E1896" s="10">
        <v>26.4</v>
      </c>
      <c r="F1896" s="10">
        <v>10</v>
      </c>
      <c r="G1896" s="10">
        <v>3</v>
      </c>
      <c r="H1896" s="10">
        <v>11</v>
      </c>
      <c r="I1896" s="10">
        <v>3</v>
      </c>
      <c r="J1896">
        <v>2019</v>
      </c>
      <c r="K1896">
        <v>3</v>
      </c>
      <c r="L1896">
        <v>276</v>
      </c>
      <c r="M1896" t="s">
        <v>61</v>
      </c>
    </row>
    <row r="1897" spans="1:13">
      <c r="A1897" t="s">
        <v>1954</v>
      </c>
      <c r="B1897" s="10">
        <v>4.33</v>
      </c>
      <c r="C1897" s="10">
        <v>3.373</v>
      </c>
      <c r="D1897" s="10">
        <v>1.5</v>
      </c>
      <c r="E1897" s="10">
        <v>31.85</v>
      </c>
      <c r="F1897" s="10">
        <v>12</v>
      </c>
      <c r="G1897" s="10">
        <v>0</v>
      </c>
      <c r="H1897" s="10">
        <v>7</v>
      </c>
      <c r="I1897" s="10">
        <v>2</v>
      </c>
      <c r="J1897">
        <v>2019</v>
      </c>
      <c r="K1897">
        <v>3</v>
      </c>
      <c r="L1897">
        <v>276</v>
      </c>
      <c r="M1897" t="s">
        <v>63</v>
      </c>
    </row>
    <row r="1898" spans="1:13">
      <c r="A1898" t="s">
        <v>1955</v>
      </c>
      <c r="B1898" s="10">
        <v>2.67</v>
      </c>
      <c r="C1898" s="10">
        <v>4.34</v>
      </c>
      <c r="D1898" s="10">
        <v>6</v>
      </c>
      <c r="E1898" s="10">
        <v>22</v>
      </c>
      <c r="F1898" s="10">
        <v>10</v>
      </c>
      <c r="G1898" s="10">
        <v>0</v>
      </c>
      <c r="H1898" s="10">
        <v>8</v>
      </c>
      <c r="I1898" s="10">
        <v>4</v>
      </c>
      <c r="J1898">
        <v>2019</v>
      </c>
      <c r="K1898">
        <v>3</v>
      </c>
      <c r="L1898">
        <v>276</v>
      </c>
      <c r="M1898" t="s">
        <v>65</v>
      </c>
    </row>
    <row r="1899" spans="1:13">
      <c r="A1899" t="s">
        <v>1956</v>
      </c>
      <c r="B1899" s="10">
        <v>4</v>
      </c>
      <c r="C1899" s="10">
        <v>5.67</v>
      </c>
      <c r="D1899" s="10">
        <v>0.2</v>
      </c>
      <c r="E1899" s="10">
        <v>47.2</v>
      </c>
      <c r="F1899" s="10">
        <v>12</v>
      </c>
      <c r="G1899" s="10">
        <v>1</v>
      </c>
      <c r="H1899" s="10">
        <v>27</v>
      </c>
      <c r="I1899" s="10">
        <v>6</v>
      </c>
      <c r="J1899">
        <v>2019</v>
      </c>
      <c r="K1899">
        <v>3</v>
      </c>
      <c r="L1899">
        <v>276</v>
      </c>
      <c r="M1899" t="s">
        <v>53</v>
      </c>
    </row>
    <row r="1900" spans="1:13">
      <c r="A1900" t="s">
        <v>1957</v>
      </c>
      <c r="B1900" s="10">
        <v>2.83</v>
      </c>
      <c r="C1900" s="10">
        <v>1.34</v>
      </c>
      <c r="D1900" s="10">
        <v>3</v>
      </c>
      <c r="E1900" s="10">
        <v>40</v>
      </c>
      <c r="F1900" s="10">
        <v>7</v>
      </c>
      <c r="G1900" s="10">
        <v>1</v>
      </c>
      <c r="H1900" s="10">
        <v>20</v>
      </c>
      <c r="I1900" s="10">
        <v>5</v>
      </c>
      <c r="J1900">
        <v>2019</v>
      </c>
      <c r="K1900">
        <v>3</v>
      </c>
      <c r="L1900">
        <v>276</v>
      </c>
      <c r="M1900" t="s">
        <v>55</v>
      </c>
    </row>
    <row r="1901" spans="1:13">
      <c r="A1901" t="s">
        <v>1958</v>
      </c>
      <c r="B1901" s="10">
        <v>8.34</v>
      </c>
      <c r="C1901" s="10">
        <v>0.837</v>
      </c>
      <c r="D1901" s="10">
        <v>5</v>
      </c>
      <c r="E1901" s="10">
        <v>29</v>
      </c>
      <c r="F1901" s="10">
        <v>9</v>
      </c>
      <c r="G1901" s="10">
        <v>0</v>
      </c>
      <c r="H1901" s="10">
        <v>5</v>
      </c>
      <c r="I1901" s="10">
        <v>7</v>
      </c>
      <c r="J1901">
        <v>2019</v>
      </c>
      <c r="K1901">
        <v>3</v>
      </c>
      <c r="L1901">
        <v>276</v>
      </c>
      <c r="M1901" t="s">
        <v>57</v>
      </c>
    </row>
    <row r="1902" spans="1:13">
      <c r="A1902" t="s">
        <v>1959</v>
      </c>
      <c r="B1902" s="10">
        <v>6.68</v>
      </c>
      <c r="C1902" s="10">
        <v>3.723</v>
      </c>
      <c r="D1902" s="10">
        <v>2</v>
      </c>
      <c r="E1902" s="10">
        <v>55</v>
      </c>
      <c r="F1902" s="10">
        <v>6</v>
      </c>
      <c r="G1902" s="10">
        <v>0</v>
      </c>
      <c r="H1902" s="10">
        <v>10</v>
      </c>
      <c r="I1902" s="10">
        <v>5</v>
      </c>
      <c r="J1902">
        <v>2019</v>
      </c>
      <c r="K1902">
        <v>3</v>
      </c>
      <c r="L1902">
        <v>276</v>
      </c>
      <c r="M1902" t="s">
        <v>59</v>
      </c>
    </row>
    <row r="1903" spans="1:13">
      <c r="A1903" t="s">
        <v>1960</v>
      </c>
      <c r="B1903" s="10">
        <v>2.33</v>
      </c>
      <c r="C1903" s="10">
        <v>0.835</v>
      </c>
      <c r="D1903" s="10">
        <v>2.1</v>
      </c>
      <c r="E1903" s="10">
        <v>23</v>
      </c>
      <c r="F1903" s="10">
        <v>11</v>
      </c>
      <c r="G1903" s="10">
        <v>0</v>
      </c>
      <c r="H1903" s="10">
        <v>1</v>
      </c>
      <c r="I1903" s="10">
        <v>9</v>
      </c>
      <c r="J1903">
        <v>2019</v>
      </c>
      <c r="K1903">
        <v>3</v>
      </c>
      <c r="L1903">
        <v>276</v>
      </c>
      <c r="M1903" t="s">
        <v>61</v>
      </c>
    </row>
    <row r="1904" spans="1:13">
      <c r="A1904" t="s">
        <v>1961</v>
      </c>
      <c r="B1904" s="10">
        <v>9</v>
      </c>
      <c r="C1904" s="10">
        <v>3.33</v>
      </c>
      <c r="D1904" s="10">
        <v>1.5</v>
      </c>
      <c r="E1904" s="10">
        <v>26.2</v>
      </c>
      <c r="F1904" s="10">
        <v>10</v>
      </c>
      <c r="G1904" s="10">
        <v>1</v>
      </c>
      <c r="H1904" s="10">
        <v>2</v>
      </c>
      <c r="I1904" s="10">
        <v>8</v>
      </c>
      <c r="J1904">
        <v>2019</v>
      </c>
      <c r="K1904">
        <v>3</v>
      </c>
      <c r="L1904">
        <v>276</v>
      </c>
      <c r="M1904" t="s">
        <v>63</v>
      </c>
    </row>
    <row r="1905" spans="1:13">
      <c r="A1905" t="s">
        <v>1962</v>
      </c>
      <c r="B1905" s="10">
        <v>5.67</v>
      </c>
      <c r="C1905" s="10">
        <v>2</v>
      </c>
      <c r="D1905" s="10">
        <v>2</v>
      </c>
      <c r="E1905" s="10">
        <v>28.9</v>
      </c>
      <c r="F1905" s="10">
        <v>8.199999999999999</v>
      </c>
      <c r="G1905" s="10">
        <v>0</v>
      </c>
      <c r="H1905" s="10">
        <v>19</v>
      </c>
      <c r="I1905" s="10">
        <v>5</v>
      </c>
      <c r="J1905">
        <v>2019</v>
      </c>
      <c r="K1905">
        <v>3</v>
      </c>
      <c r="L1905">
        <v>276</v>
      </c>
      <c r="M1905" t="s">
        <v>65</v>
      </c>
    </row>
    <row r="1906" spans="1:13">
      <c r="A1906" t="s">
        <v>1963</v>
      </c>
      <c r="B1906" s="10">
        <v>2.33</v>
      </c>
      <c r="C1906" s="10">
        <v>1.423</v>
      </c>
      <c r="D1906" s="10">
        <v>0</v>
      </c>
      <c r="E1906" s="10">
        <v>18.8</v>
      </c>
      <c r="F1906" s="10">
        <v>13</v>
      </c>
      <c r="G1906" s="10">
        <v>0</v>
      </c>
      <c r="H1906" s="10">
        <v>6</v>
      </c>
      <c r="I1906" s="10">
        <v>5</v>
      </c>
      <c r="J1906">
        <v>2019</v>
      </c>
      <c r="K1906">
        <v>3</v>
      </c>
      <c r="L1906">
        <v>276</v>
      </c>
      <c r="M1906" t="s">
        <v>53</v>
      </c>
    </row>
    <row r="1907" spans="1:13">
      <c r="A1907" t="s">
        <v>1964</v>
      </c>
      <c r="B1907" s="10">
        <v>4.66</v>
      </c>
      <c r="C1907" s="10">
        <v>7.043</v>
      </c>
      <c r="D1907" s="10">
        <v>1.1</v>
      </c>
      <c r="E1907" s="10">
        <v>41</v>
      </c>
      <c r="F1907" s="10">
        <v>13</v>
      </c>
      <c r="G1907" s="10">
        <v>0</v>
      </c>
      <c r="H1907" s="10">
        <v>29</v>
      </c>
      <c r="I1907" s="10">
        <v>6</v>
      </c>
      <c r="J1907">
        <v>2019</v>
      </c>
      <c r="K1907">
        <v>3</v>
      </c>
      <c r="L1907">
        <v>276</v>
      </c>
      <c r="M1907" t="s">
        <v>55</v>
      </c>
    </row>
    <row r="1908" spans="1:13">
      <c r="A1908" t="s">
        <v>1965</v>
      </c>
      <c r="B1908" s="10">
        <v>6</v>
      </c>
      <c r="C1908" s="10">
        <v>3.36</v>
      </c>
      <c r="D1908" s="10">
        <v>4.25</v>
      </c>
      <c r="E1908" s="10">
        <v>15.5</v>
      </c>
      <c r="F1908" s="10">
        <v>7</v>
      </c>
      <c r="G1908" s="10">
        <v>0</v>
      </c>
      <c r="H1908" s="10">
        <v>1</v>
      </c>
      <c r="I1908" s="10">
        <v>5</v>
      </c>
      <c r="J1908">
        <v>2019</v>
      </c>
      <c r="K1908">
        <v>3</v>
      </c>
      <c r="L1908">
        <v>276</v>
      </c>
      <c r="M1908" t="s">
        <v>57</v>
      </c>
    </row>
    <row r="1909" spans="1:13">
      <c r="A1909" t="s">
        <v>1966</v>
      </c>
      <c r="B1909" s="10">
        <v>6</v>
      </c>
      <c r="C1909" s="10">
        <v>2.67</v>
      </c>
      <c r="D1909" s="10">
        <v>3</v>
      </c>
      <c r="E1909" s="10">
        <v>43.2</v>
      </c>
      <c r="F1909" s="10">
        <v>6.2</v>
      </c>
      <c r="G1909" s="10">
        <v>1</v>
      </c>
      <c r="H1909" s="10">
        <v>16</v>
      </c>
      <c r="I1909" s="10">
        <v>10</v>
      </c>
      <c r="J1909">
        <v>2019</v>
      </c>
      <c r="K1909">
        <v>3</v>
      </c>
      <c r="L1909">
        <v>276</v>
      </c>
      <c r="M1909" t="s">
        <v>59</v>
      </c>
    </row>
    <row r="1910" spans="1:13">
      <c r="A1910" t="s">
        <v>1967</v>
      </c>
      <c r="B1910" s="10">
        <v>4.84</v>
      </c>
      <c r="C1910" s="10">
        <v>4.523</v>
      </c>
      <c r="D1910" s="10">
        <v>6</v>
      </c>
      <c r="E1910" s="10">
        <v>27</v>
      </c>
      <c r="F1910" s="10">
        <v>11</v>
      </c>
      <c r="G1910" s="10">
        <v>1</v>
      </c>
      <c r="H1910" s="10">
        <v>6</v>
      </c>
      <c r="I1910" s="10">
        <v>6</v>
      </c>
      <c r="J1910">
        <v>2019</v>
      </c>
      <c r="K1910">
        <v>3</v>
      </c>
      <c r="L1910">
        <v>276</v>
      </c>
      <c r="M1910" t="s">
        <v>61</v>
      </c>
    </row>
    <row r="1911" spans="1:13">
      <c r="A1911" t="s">
        <v>1968</v>
      </c>
      <c r="B1911" s="10">
        <v>4</v>
      </c>
      <c r="C1911" s="10">
        <v>5.51</v>
      </c>
      <c r="D1911" s="10">
        <v>3</v>
      </c>
      <c r="E1911" s="10">
        <v>36</v>
      </c>
      <c r="F1911" s="10">
        <v>11</v>
      </c>
      <c r="G1911" s="10">
        <v>0</v>
      </c>
      <c r="H1911" s="10">
        <v>19</v>
      </c>
      <c r="I1911" s="10">
        <v>9</v>
      </c>
      <c r="J1911">
        <v>2019</v>
      </c>
      <c r="K1911">
        <v>3</v>
      </c>
      <c r="L1911">
        <v>276</v>
      </c>
      <c r="M1911" t="s">
        <v>63</v>
      </c>
    </row>
    <row r="1912" spans="1:13">
      <c r="A1912" t="s">
        <v>1969</v>
      </c>
      <c r="B1912" s="10">
        <v>6.34</v>
      </c>
      <c r="C1912" s="10">
        <v>7.769</v>
      </c>
      <c r="D1912" s="10">
        <v>3</v>
      </c>
      <c r="E1912" s="10">
        <v>25.6</v>
      </c>
      <c r="F1912" s="10">
        <v>12</v>
      </c>
      <c r="G1912" s="10">
        <v>1</v>
      </c>
      <c r="H1912" s="10">
        <v>0</v>
      </c>
      <c r="I1912" s="10">
        <v>9</v>
      </c>
      <c r="J1912">
        <v>2019</v>
      </c>
      <c r="K1912">
        <v>3</v>
      </c>
      <c r="L1912">
        <v>276</v>
      </c>
      <c r="M1912" t="s">
        <v>65</v>
      </c>
    </row>
    <row r="1913" spans="1:13">
      <c r="A1913" t="s">
        <v>1970</v>
      </c>
      <c r="B1913" s="10">
        <v>1.33</v>
      </c>
      <c r="C1913" s="10">
        <v>6.43</v>
      </c>
      <c r="D1913" s="10">
        <v>1.4</v>
      </c>
      <c r="E1913" s="10">
        <v>14</v>
      </c>
      <c r="F1913" s="10">
        <v>6</v>
      </c>
      <c r="G1913" s="10">
        <v>0</v>
      </c>
      <c r="H1913" s="10">
        <v>7</v>
      </c>
      <c r="I1913" s="10">
        <v>1</v>
      </c>
      <c r="J1913">
        <v>2019</v>
      </c>
      <c r="K1913">
        <v>3</v>
      </c>
      <c r="L1913">
        <v>276</v>
      </c>
      <c r="M1913" t="s">
        <v>53</v>
      </c>
    </row>
    <row r="1914" spans="1:13">
      <c r="A1914" t="s">
        <v>1971</v>
      </c>
      <c r="B1914" s="10">
        <v>3</v>
      </c>
      <c r="C1914" s="10">
        <v>4.298</v>
      </c>
      <c r="D1914" s="10">
        <v>4</v>
      </c>
      <c r="E1914" s="10">
        <v>25.3</v>
      </c>
      <c r="F1914" s="10">
        <v>10</v>
      </c>
      <c r="G1914" s="10">
        <v>0</v>
      </c>
      <c r="H1914" s="10">
        <v>16</v>
      </c>
      <c r="I1914" s="10">
        <v>9.199999999999999</v>
      </c>
      <c r="J1914">
        <v>2019</v>
      </c>
      <c r="K1914">
        <v>3</v>
      </c>
      <c r="L1914">
        <v>276</v>
      </c>
      <c r="M1914" t="s">
        <v>55</v>
      </c>
    </row>
    <row r="1915" spans="1:13">
      <c r="A1915" t="s">
        <v>1972</v>
      </c>
      <c r="B1915" s="10">
        <v>4.66</v>
      </c>
      <c r="C1915" s="10">
        <v>10.68</v>
      </c>
      <c r="D1915" s="10">
        <v>1.1</v>
      </c>
      <c r="E1915" s="10">
        <v>18</v>
      </c>
      <c r="F1915" s="10">
        <v>11</v>
      </c>
      <c r="G1915" s="10">
        <v>1</v>
      </c>
      <c r="H1915" s="10">
        <v>0</v>
      </c>
      <c r="I1915" s="10">
        <v>6.1</v>
      </c>
      <c r="J1915">
        <v>2019</v>
      </c>
      <c r="K1915">
        <v>3</v>
      </c>
      <c r="L1915">
        <v>276</v>
      </c>
      <c r="M1915" t="s">
        <v>57</v>
      </c>
    </row>
    <row r="1916" spans="1:13">
      <c r="A1916" t="s">
        <v>1973</v>
      </c>
      <c r="B1916" s="10">
        <v>7</v>
      </c>
      <c r="C1916" s="10">
        <v>4.564</v>
      </c>
      <c r="D1916" s="10">
        <v>1.5</v>
      </c>
      <c r="E1916" s="10">
        <v>27</v>
      </c>
      <c r="F1916" s="10">
        <v>8</v>
      </c>
      <c r="G1916" s="10">
        <v>1</v>
      </c>
      <c r="H1916" s="10">
        <v>5</v>
      </c>
      <c r="I1916" s="10">
        <v>9.199999999999999</v>
      </c>
      <c r="J1916">
        <v>2019</v>
      </c>
      <c r="K1916">
        <v>3</v>
      </c>
      <c r="L1916">
        <v>276</v>
      </c>
      <c r="M1916" t="s">
        <v>59</v>
      </c>
    </row>
    <row r="1917" spans="1:13">
      <c r="A1917" t="s">
        <v>1974</v>
      </c>
      <c r="B1917" s="10">
        <v>3.01</v>
      </c>
      <c r="C1917" s="10">
        <v>1.703</v>
      </c>
      <c r="D1917" s="10">
        <v>3</v>
      </c>
      <c r="E1917" s="10">
        <v>34.65</v>
      </c>
      <c r="F1917" s="10">
        <v>12</v>
      </c>
      <c r="G1917" s="10">
        <v>0</v>
      </c>
      <c r="H1917" s="10">
        <v>5</v>
      </c>
      <c r="I1917" s="10">
        <v>5</v>
      </c>
      <c r="J1917">
        <v>2019</v>
      </c>
      <c r="K1917">
        <v>4</v>
      </c>
      <c r="L1917">
        <v>276</v>
      </c>
      <c r="M1917" t="s">
        <v>61</v>
      </c>
    </row>
    <row r="1918" spans="1:13">
      <c r="A1918" t="s">
        <v>1975</v>
      </c>
      <c r="B1918" s="10">
        <v>7.67</v>
      </c>
      <c r="C1918" s="10">
        <v>1.33</v>
      </c>
      <c r="D1918" s="10">
        <v>3</v>
      </c>
      <c r="E1918" s="10">
        <v>24</v>
      </c>
      <c r="F1918" s="10">
        <v>7</v>
      </c>
      <c r="G1918" s="10">
        <v>0</v>
      </c>
      <c r="H1918" s="10">
        <v>10</v>
      </c>
      <c r="I1918" s="10">
        <v>8</v>
      </c>
      <c r="J1918">
        <v>2019</v>
      </c>
      <c r="K1918">
        <v>4</v>
      </c>
      <c r="L1918">
        <v>276</v>
      </c>
      <c r="M1918" t="s">
        <v>63</v>
      </c>
    </row>
    <row r="1919" spans="1:13">
      <c r="A1919" t="s">
        <v>1976</v>
      </c>
      <c r="B1919" s="10">
        <v>5.33</v>
      </c>
      <c r="C1919" s="10">
        <v>5.099</v>
      </c>
      <c r="D1919" s="10">
        <v>1.5</v>
      </c>
      <c r="E1919" s="10">
        <v>18.3</v>
      </c>
      <c r="F1919" s="10">
        <v>12</v>
      </c>
      <c r="G1919" s="10">
        <v>0</v>
      </c>
      <c r="H1919" s="10">
        <v>4</v>
      </c>
      <c r="I1919" s="10">
        <v>9.300000000000001</v>
      </c>
      <c r="J1919">
        <v>2019</v>
      </c>
      <c r="K1919">
        <v>4</v>
      </c>
      <c r="L1919">
        <v>276</v>
      </c>
      <c r="M1919" t="s">
        <v>65</v>
      </c>
    </row>
    <row r="1920" spans="1:13">
      <c r="A1920" t="s">
        <v>1977</v>
      </c>
      <c r="B1920" s="10">
        <v>4.5</v>
      </c>
      <c r="C1920" s="10">
        <v>2.226</v>
      </c>
      <c r="D1920" s="10">
        <v>8</v>
      </c>
      <c r="E1920" s="10">
        <v>39</v>
      </c>
      <c r="F1920" s="10">
        <v>8</v>
      </c>
      <c r="G1920" s="10">
        <v>1</v>
      </c>
      <c r="H1920" s="10">
        <v>13</v>
      </c>
      <c r="I1920" s="10">
        <v>15</v>
      </c>
      <c r="J1920">
        <v>2019</v>
      </c>
      <c r="K1920">
        <v>4</v>
      </c>
      <c r="L1920">
        <v>276</v>
      </c>
      <c r="M1920" t="s">
        <v>53</v>
      </c>
    </row>
    <row r="1921" spans="1:13">
      <c r="A1921" t="s">
        <v>1978</v>
      </c>
      <c r="B1921" s="10">
        <v>6.34</v>
      </c>
      <c r="C1921" s="10">
        <v>4.198</v>
      </c>
      <c r="D1921" s="10">
        <v>4</v>
      </c>
      <c r="E1921" s="10">
        <v>25.2</v>
      </c>
      <c r="F1921" s="10">
        <v>7</v>
      </c>
      <c r="G1921" s="10">
        <v>0</v>
      </c>
      <c r="H1921" s="10">
        <v>3</v>
      </c>
      <c r="I1921" s="10">
        <v>4</v>
      </c>
      <c r="J1921">
        <v>2019</v>
      </c>
      <c r="K1921">
        <v>4</v>
      </c>
      <c r="L1921">
        <v>276</v>
      </c>
      <c r="M1921" t="s">
        <v>55</v>
      </c>
    </row>
    <row r="1922" spans="1:13">
      <c r="A1922" t="s">
        <v>1979</v>
      </c>
      <c r="B1922" s="10">
        <v>3.34</v>
      </c>
      <c r="C1922" s="10">
        <v>6.01</v>
      </c>
      <c r="D1922" s="10">
        <v>3</v>
      </c>
      <c r="E1922" s="10">
        <v>13.2</v>
      </c>
      <c r="F1922" s="10">
        <v>13</v>
      </c>
      <c r="G1922" s="10">
        <v>0</v>
      </c>
      <c r="H1922" s="10">
        <v>16</v>
      </c>
      <c r="I1922" s="10">
        <v>9.300000000000001</v>
      </c>
      <c r="J1922">
        <v>2019</v>
      </c>
      <c r="K1922">
        <v>4</v>
      </c>
      <c r="L1922">
        <v>276</v>
      </c>
      <c r="M1922" t="s">
        <v>57</v>
      </c>
    </row>
    <row r="1923" spans="1:13">
      <c r="A1923" t="s">
        <v>1980</v>
      </c>
      <c r="B1923" s="10">
        <v>6</v>
      </c>
      <c r="C1923" s="10">
        <v>5.119</v>
      </c>
      <c r="D1923" s="10">
        <v>4</v>
      </c>
      <c r="E1923" s="10">
        <v>19</v>
      </c>
      <c r="F1923" s="10">
        <v>3</v>
      </c>
      <c r="G1923" s="10">
        <v>0</v>
      </c>
      <c r="H1923" s="10">
        <v>0</v>
      </c>
      <c r="I1923" s="10">
        <v>7</v>
      </c>
      <c r="J1923">
        <v>2019</v>
      </c>
      <c r="K1923">
        <v>4</v>
      </c>
      <c r="L1923">
        <v>276</v>
      </c>
      <c r="M1923" t="s">
        <v>59</v>
      </c>
    </row>
    <row r="1924" spans="1:13">
      <c r="A1924" t="s">
        <v>1981</v>
      </c>
      <c r="B1924" s="10">
        <v>5</v>
      </c>
      <c r="C1924" s="10">
        <v>4.35</v>
      </c>
      <c r="D1924" s="10">
        <v>3.3</v>
      </c>
      <c r="E1924" s="10">
        <v>10</v>
      </c>
      <c r="F1924" s="10">
        <v>8.199999999999999</v>
      </c>
      <c r="G1924" s="10">
        <v>0</v>
      </c>
      <c r="H1924" s="10">
        <v>4</v>
      </c>
      <c r="I1924" s="10">
        <v>3</v>
      </c>
      <c r="J1924">
        <v>2019</v>
      </c>
      <c r="K1924">
        <v>4</v>
      </c>
      <c r="L1924">
        <v>276</v>
      </c>
      <c r="M1924" t="s">
        <v>61</v>
      </c>
    </row>
    <row r="1925" spans="1:13">
      <c r="A1925" t="s">
        <v>1982</v>
      </c>
      <c r="B1925" s="10">
        <v>2.83</v>
      </c>
      <c r="C1925" s="10">
        <v>2</v>
      </c>
      <c r="D1925" s="10">
        <v>1</v>
      </c>
      <c r="E1925" s="10">
        <v>12</v>
      </c>
      <c r="F1925" s="10">
        <v>10</v>
      </c>
      <c r="G1925" s="10">
        <v>0</v>
      </c>
      <c r="H1925" s="10">
        <v>3</v>
      </c>
      <c r="I1925" s="10">
        <v>5</v>
      </c>
      <c r="J1925">
        <v>2019</v>
      </c>
      <c r="K1925">
        <v>4</v>
      </c>
      <c r="L1925">
        <v>276</v>
      </c>
      <c r="M1925" t="s">
        <v>63</v>
      </c>
    </row>
    <row r="1926" spans="1:13">
      <c r="A1926" t="s">
        <v>1983</v>
      </c>
      <c r="B1926" s="10">
        <v>2.34</v>
      </c>
      <c r="C1926" s="10">
        <v>2.746</v>
      </c>
      <c r="D1926" s="10">
        <v>2</v>
      </c>
      <c r="E1926" s="10">
        <v>34</v>
      </c>
      <c r="F1926" s="10">
        <v>16.2</v>
      </c>
      <c r="G1926" s="10">
        <v>3</v>
      </c>
      <c r="H1926" s="10">
        <v>9</v>
      </c>
      <c r="I1926" s="10">
        <v>8</v>
      </c>
      <c r="J1926">
        <v>2019</v>
      </c>
      <c r="K1926">
        <v>4</v>
      </c>
      <c r="L1926">
        <v>276</v>
      </c>
      <c r="M1926" t="s">
        <v>65</v>
      </c>
    </row>
    <row r="1927" spans="1:13">
      <c r="A1927" t="s">
        <v>1984</v>
      </c>
      <c r="B1927" s="10">
        <v>7.33</v>
      </c>
      <c r="C1927" s="10">
        <v>6.156</v>
      </c>
      <c r="D1927" s="10">
        <v>2</v>
      </c>
      <c r="E1927" s="10">
        <v>15.9</v>
      </c>
      <c r="F1927" s="10">
        <v>15</v>
      </c>
      <c r="G1927" s="10">
        <v>0</v>
      </c>
      <c r="H1927" s="10">
        <v>7</v>
      </c>
      <c r="I1927" s="10">
        <v>8</v>
      </c>
      <c r="J1927">
        <v>2019</v>
      </c>
      <c r="K1927">
        <v>4</v>
      </c>
      <c r="L1927">
        <v>276</v>
      </c>
      <c r="M1927" t="s">
        <v>53</v>
      </c>
    </row>
    <row r="1928" spans="1:13">
      <c r="A1928" t="s">
        <v>1985</v>
      </c>
      <c r="B1928" s="10">
        <v>4.33</v>
      </c>
      <c r="C1928" s="10">
        <v>4.373</v>
      </c>
      <c r="D1928" s="10">
        <v>4.1</v>
      </c>
      <c r="E1928" s="10">
        <v>16.6</v>
      </c>
      <c r="F1928" s="10">
        <v>16</v>
      </c>
      <c r="G1928" s="10">
        <v>0</v>
      </c>
      <c r="H1928" s="10">
        <v>6</v>
      </c>
      <c r="I1928" s="10">
        <v>7</v>
      </c>
      <c r="J1928">
        <v>2019</v>
      </c>
      <c r="K1928">
        <v>4</v>
      </c>
      <c r="L1928">
        <v>276</v>
      </c>
      <c r="M1928" t="s">
        <v>55</v>
      </c>
    </row>
    <row r="1929" spans="1:13">
      <c r="A1929" t="s">
        <v>1986</v>
      </c>
      <c r="B1929" s="10">
        <v>4.5</v>
      </c>
      <c r="C1929" s="10">
        <v>4.134</v>
      </c>
      <c r="D1929" s="10">
        <v>1.1</v>
      </c>
      <c r="E1929" s="10">
        <v>14</v>
      </c>
      <c r="F1929" s="10">
        <v>4</v>
      </c>
      <c r="G1929" s="10">
        <v>0</v>
      </c>
      <c r="H1929" s="10">
        <v>6</v>
      </c>
      <c r="I1929" s="10">
        <v>4</v>
      </c>
      <c r="J1929">
        <v>2019</v>
      </c>
      <c r="K1929">
        <v>4</v>
      </c>
      <c r="L1929">
        <v>276</v>
      </c>
      <c r="M1929" t="s">
        <v>57</v>
      </c>
    </row>
    <row r="1930" spans="1:13">
      <c r="A1930" t="s">
        <v>1987</v>
      </c>
      <c r="B1930" s="10">
        <v>4</v>
      </c>
      <c r="C1930" s="10">
        <v>4.406</v>
      </c>
      <c r="D1930" s="10">
        <v>1</v>
      </c>
      <c r="E1930" s="10">
        <v>23</v>
      </c>
      <c r="F1930" s="10">
        <v>3</v>
      </c>
      <c r="G1930" s="10">
        <v>1</v>
      </c>
      <c r="H1930" s="10">
        <v>7</v>
      </c>
      <c r="I1930" s="10">
        <v>5.5</v>
      </c>
      <c r="J1930">
        <v>2019</v>
      </c>
      <c r="K1930">
        <v>4</v>
      </c>
      <c r="L1930">
        <v>276</v>
      </c>
      <c r="M1930" t="s">
        <v>59</v>
      </c>
    </row>
    <row r="1931" spans="1:13">
      <c r="A1931" t="s">
        <v>1988</v>
      </c>
      <c r="B1931" s="10">
        <v>4.66</v>
      </c>
      <c r="C1931" s="10">
        <v>6</v>
      </c>
      <c r="D1931" s="10">
        <v>5.3</v>
      </c>
      <c r="E1931" s="10">
        <v>8.800000000000001</v>
      </c>
      <c r="F1931" s="10">
        <v>17</v>
      </c>
      <c r="G1931" s="10">
        <v>2</v>
      </c>
      <c r="H1931" s="10">
        <v>3</v>
      </c>
      <c r="I1931" s="10">
        <v>5</v>
      </c>
      <c r="J1931">
        <v>2019</v>
      </c>
      <c r="K1931">
        <v>4</v>
      </c>
      <c r="L1931">
        <v>276</v>
      </c>
      <c r="M1931" t="s">
        <v>61</v>
      </c>
    </row>
    <row r="1932" spans="1:13">
      <c r="A1932" t="s">
        <v>1989</v>
      </c>
      <c r="B1932" s="10">
        <v>2</v>
      </c>
      <c r="C1932" s="10">
        <v>2.67</v>
      </c>
      <c r="D1932" s="10">
        <v>2</v>
      </c>
      <c r="E1932" s="10">
        <v>27.2</v>
      </c>
      <c r="F1932" s="10">
        <v>12</v>
      </c>
      <c r="G1932" s="10">
        <v>3</v>
      </c>
      <c r="H1932" s="10">
        <v>1</v>
      </c>
      <c r="I1932" s="10">
        <v>3</v>
      </c>
      <c r="J1932">
        <v>2019</v>
      </c>
      <c r="K1932">
        <v>4</v>
      </c>
      <c r="L1932">
        <v>276</v>
      </c>
      <c r="M1932" t="s">
        <v>63</v>
      </c>
    </row>
    <row r="1933" spans="1:13">
      <c r="A1933" t="s">
        <v>1990</v>
      </c>
      <c r="B1933" s="10">
        <v>7</v>
      </c>
      <c r="C1933" s="10">
        <v>4</v>
      </c>
      <c r="D1933" s="10">
        <v>1.25</v>
      </c>
      <c r="E1933" s="10">
        <v>13.5</v>
      </c>
      <c r="F1933" s="10">
        <v>11</v>
      </c>
      <c r="G1933" s="10">
        <v>1</v>
      </c>
      <c r="H1933" s="10">
        <v>24</v>
      </c>
      <c r="I1933" s="10">
        <v>5</v>
      </c>
      <c r="J1933">
        <v>2019</v>
      </c>
      <c r="K1933">
        <v>4</v>
      </c>
      <c r="L1933">
        <v>276</v>
      </c>
      <c r="M1933" t="s">
        <v>65</v>
      </c>
    </row>
    <row r="1934" spans="1:13">
      <c r="A1934" t="s">
        <v>1991</v>
      </c>
      <c r="B1934" s="10">
        <v>0</v>
      </c>
      <c r="C1934" s="10">
        <v>0</v>
      </c>
      <c r="D1934" s="10">
        <v>0</v>
      </c>
      <c r="E1934" s="10">
        <v>0</v>
      </c>
      <c r="F1934" s="10">
        <v>0</v>
      </c>
      <c r="G1934" s="10">
        <v>0</v>
      </c>
      <c r="H1934" s="10">
        <v>0</v>
      </c>
      <c r="I1934" s="10">
        <v>0</v>
      </c>
      <c r="J1934">
        <v>2019</v>
      </c>
      <c r="K1934">
        <v>4</v>
      </c>
      <c r="L1934">
        <v>276</v>
      </c>
      <c r="M1934" t="s">
        <v>53</v>
      </c>
    </row>
    <row r="1935" spans="1:13">
      <c r="A1935" t="s">
        <v>1992</v>
      </c>
      <c r="B1935" s="10">
        <v>3.34</v>
      </c>
      <c r="C1935" s="10">
        <v>2.743</v>
      </c>
      <c r="D1935" s="10">
        <v>1.5</v>
      </c>
      <c r="E1935" s="10">
        <v>25</v>
      </c>
      <c r="F1935" s="10">
        <v>17</v>
      </c>
      <c r="G1935" s="10">
        <v>0</v>
      </c>
      <c r="H1935" s="10">
        <v>6</v>
      </c>
      <c r="I1935" s="10">
        <v>2</v>
      </c>
      <c r="J1935">
        <v>2019</v>
      </c>
      <c r="K1935">
        <v>4</v>
      </c>
      <c r="L1935">
        <v>276</v>
      </c>
      <c r="M1935" t="s">
        <v>55</v>
      </c>
    </row>
    <row r="1936" spans="1:13">
      <c r="A1936" t="s">
        <v>1993</v>
      </c>
      <c r="B1936" s="10">
        <v>9</v>
      </c>
      <c r="C1936" s="10">
        <v>3.769</v>
      </c>
      <c r="D1936" s="10">
        <v>1.5</v>
      </c>
      <c r="E1936" s="10">
        <v>22.4</v>
      </c>
      <c r="F1936" s="10">
        <v>12</v>
      </c>
      <c r="G1936" s="10">
        <v>3</v>
      </c>
      <c r="H1936" s="10">
        <v>0</v>
      </c>
      <c r="I1936" s="10">
        <v>6</v>
      </c>
      <c r="J1936">
        <v>2019</v>
      </c>
      <c r="K1936">
        <v>4</v>
      </c>
      <c r="L1936">
        <v>276</v>
      </c>
      <c r="M1936" t="s">
        <v>57</v>
      </c>
    </row>
    <row r="1937" spans="1:13">
      <c r="A1937" t="s">
        <v>1994</v>
      </c>
      <c r="B1937" s="10">
        <v>3.84</v>
      </c>
      <c r="C1937" s="10">
        <v>4.845</v>
      </c>
      <c r="D1937" s="10">
        <v>3</v>
      </c>
      <c r="E1937" s="10">
        <v>21</v>
      </c>
      <c r="F1937" s="10">
        <v>11</v>
      </c>
      <c r="G1937" s="10">
        <v>0</v>
      </c>
      <c r="H1937" s="10">
        <v>2</v>
      </c>
      <c r="I1937" s="10">
        <v>12.2</v>
      </c>
      <c r="J1937">
        <v>2019</v>
      </c>
      <c r="K1937">
        <v>4</v>
      </c>
      <c r="L1937">
        <v>276</v>
      </c>
      <c r="M1937" t="s">
        <v>59</v>
      </c>
    </row>
    <row r="1938" spans="1:13">
      <c r="A1938" t="s">
        <v>1995</v>
      </c>
      <c r="B1938" s="10">
        <v>8.67</v>
      </c>
      <c r="C1938" s="10">
        <v>1.66</v>
      </c>
      <c r="D1938" s="10">
        <v>4.5</v>
      </c>
      <c r="E1938" s="10">
        <v>51</v>
      </c>
      <c r="F1938" s="10">
        <v>12</v>
      </c>
      <c r="G1938" s="10">
        <v>0</v>
      </c>
      <c r="H1938" s="10">
        <v>31</v>
      </c>
      <c r="I1938" s="10">
        <v>9</v>
      </c>
      <c r="J1938">
        <v>2019</v>
      </c>
      <c r="K1938">
        <v>4</v>
      </c>
      <c r="L1938">
        <v>276</v>
      </c>
      <c r="M1938" t="s">
        <v>61</v>
      </c>
    </row>
    <row r="1939" spans="1:13">
      <c r="A1939" t="s">
        <v>1996</v>
      </c>
      <c r="B1939" s="10">
        <v>9</v>
      </c>
      <c r="C1939" s="10">
        <v>0.34</v>
      </c>
      <c r="D1939" s="10">
        <v>6.1</v>
      </c>
      <c r="E1939" s="10">
        <v>18.4</v>
      </c>
      <c r="F1939" s="10">
        <v>6</v>
      </c>
      <c r="G1939" s="10">
        <v>1</v>
      </c>
      <c r="H1939" s="10">
        <v>4</v>
      </c>
      <c r="I1939" s="10">
        <v>2</v>
      </c>
      <c r="J1939">
        <v>2019</v>
      </c>
      <c r="K1939">
        <v>4</v>
      </c>
      <c r="L1939">
        <v>276</v>
      </c>
      <c r="M1939" t="s">
        <v>63</v>
      </c>
    </row>
    <row r="1940" spans="1:13">
      <c r="A1940" t="s">
        <v>1997</v>
      </c>
      <c r="B1940" s="10">
        <v>2.34</v>
      </c>
      <c r="C1940" s="10">
        <v>4.747</v>
      </c>
      <c r="D1940" s="10">
        <v>3</v>
      </c>
      <c r="E1940" s="10">
        <v>39.1</v>
      </c>
      <c r="F1940" s="10">
        <v>13</v>
      </c>
      <c r="G1940" s="10">
        <v>3</v>
      </c>
      <c r="H1940" s="10">
        <v>12</v>
      </c>
      <c r="I1940" s="10">
        <v>2</v>
      </c>
      <c r="J1940">
        <v>2019</v>
      </c>
      <c r="K1940">
        <v>4</v>
      </c>
      <c r="L1940">
        <v>276</v>
      </c>
      <c r="M1940" t="s">
        <v>65</v>
      </c>
    </row>
    <row r="1941" spans="1:13">
      <c r="A1941" t="s">
        <v>1998</v>
      </c>
      <c r="B1941" s="10">
        <v>14.01</v>
      </c>
      <c r="C1941" s="10">
        <v>3.59</v>
      </c>
      <c r="D1941" s="10">
        <v>2</v>
      </c>
      <c r="E1941" s="10">
        <v>15</v>
      </c>
      <c r="F1941" s="10">
        <v>17</v>
      </c>
      <c r="G1941" s="10">
        <v>1</v>
      </c>
      <c r="H1941" s="10">
        <v>7</v>
      </c>
      <c r="I1941" s="10">
        <v>5.4</v>
      </c>
      <c r="J1941">
        <v>2019</v>
      </c>
      <c r="K1941">
        <v>4</v>
      </c>
      <c r="L1941">
        <v>276</v>
      </c>
      <c r="M1941" t="s">
        <v>53</v>
      </c>
    </row>
    <row r="1942" spans="1:13">
      <c r="A1942" t="s">
        <v>1999</v>
      </c>
      <c r="B1942" s="10">
        <v>6.34</v>
      </c>
      <c r="C1942" s="10">
        <v>1.68</v>
      </c>
      <c r="D1942" s="10">
        <v>3.25</v>
      </c>
      <c r="E1942" s="10">
        <v>32.6</v>
      </c>
      <c r="F1942" s="10">
        <v>6</v>
      </c>
      <c r="G1942" s="10">
        <v>0</v>
      </c>
      <c r="H1942" s="10">
        <v>1</v>
      </c>
      <c r="I1942" s="10">
        <v>11</v>
      </c>
      <c r="J1942">
        <v>2019</v>
      </c>
      <c r="K1942">
        <v>4</v>
      </c>
      <c r="L1942">
        <v>276</v>
      </c>
      <c r="M1942" t="s">
        <v>55</v>
      </c>
    </row>
    <row r="1943" spans="1:13">
      <c r="A1943" t="s">
        <v>2000</v>
      </c>
      <c r="B1943" s="10">
        <v>17.34</v>
      </c>
      <c r="C1943" s="10">
        <v>2.497</v>
      </c>
      <c r="D1943" s="10">
        <v>3.1</v>
      </c>
      <c r="E1943" s="10">
        <v>25.2</v>
      </c>
      <c r="F1943" s="10">
        <v>13</v>
      </c>
      <c r="G1943" s="10">
        <v>1</v>
      </c>
      <c r="H1943" s="10">
        <v>7</v>
      </c>
      <c r="I1943" s="10">
        <v>7</v>
      </c>
      <c r="J1943">
        <v>2019</v>
      </c>
      <c r="K1943">
        <v>4</v>
      </c>
      <c r="L1943">
        <v>276</v>
      </c>
      <c r="M1943" t="s">
        <v>57</v>
      </c>
    </row>
    <row r="1944" spans="1:13">
      <c r="A1944" t="s">
        <v>2001</v>
      </c>
      <c r="B1944" s="10">
        <v>0</v>
      </c>
      <c r="C1944" s="10">
        <v>0</v>
      </c>
      <c r="D1944" s="10">
        <v>0</v>
      </c>
      <c r="E1944" s="10">
        <v>0</v>
      </c>
      <c r="F1944" s="10">
        <v>0</v>
      </c>
      <c r="G1944" s="10">
        <v>0</v>
      </c>
      <c r="H1944" s="10">
        <v>0</v>
      </c>
      <c r="I1944" s="10">
        <v>0</v>
      </c>
      <c r="J1944">
        <v>2019</v>
      </c>
      <c r="K1944">
        <v>4</v>
      </c>
      <c r="L1944">
        <v>276</v>
      </c>
      <c r="M1944" t="s">
        <v>59</v>
      </c>
    </row>
    <row r="1945" spans="1:13">
      <c r="A1945" t="s">
        <v>2002</v>
      </c>
      <c r="B1945" s="10">
        <v>5.33</v>
      </c>
      <c r="C1945" s="10">
        <v>6.367</v>
      </c>
      <c r="D1945" s="10">
        <v>2.6</v>
      </c>
      <c r="E1945" s="10">
        <v>27.6</v>
      </c>
      <c r="F1945" s="10">
        <v>5</v>
      </c>
      <c r="G1945" s="10">
        <v>0</v>
      </c>
      <c r="H1945" s="10">
        <v>0</v>
      </c>
      <c r="I1945" s="10">
        <v>3</v>
      </c>
      <c r="J1945">
        <v>2019</v>
      </c>
      <c r="K1945">
        <v>4</v>
      </c>
      <c r="L1945">
        <v>276</v>
      </c>
      <c r="M1945" t="s">
        <v>61</v>
      </c>
    </row>
    <row r="1946" spans="1:13">
      <c r="A1946" t="s">
        <v>2003</v>
      </c>
      <c r="B1946" s="10">
        <v>2</v>
      </c>
      <c r="C1946" s="10">
        <v>1.407</v>
      </c>
      <c r="D1946" s="10">
        <v>8</v>
      </c>
      <c r="E1946" s="10">
        <v>22</v>
      </c>
      <c r="F1946" s="10">
        <v>13</v>
      </c>
      <c r="G1946" s="10">
        <v>2</v>
      </c>
      <c r="H1946" s="10">
        <v>28</v>
      </c>
      <c r="I1946" s="10">
        <v>8.4</v>
      </c>
      <c r="J1946">
        <v>2019</v>
      </c>
      <c r="K1946">
        <v>4</v>
      </c>
      <c r="L1946">
        <v>276</v>
      </c>
      <c r="M1946" t="s">
        <v>63</v>
      </c>
    </row>
    <row r="1947" spans="1:13">
      <c r="A1947" t="s">
        <v>2004</v>
      </c>
      <c r="B1947" s="10">
        <v>2.34</v>
      </c>
      <c r="C1947" s="10">
        <v>4.02</v>
      </c>
      <c r="D1947" s="10">
        <v>1</v>
      </c>
      <c r="E1947" s="10">
        <v>8</v>
      </c>
      <c r="F1947" s="10">
        <v>1</v>
      </c>
      <c r="G1947" s="10">
        <v>0</v>
      </c>
      <c r="H1947" s="10">
        <v>1</v>
      </c>
      <c r="I1947" s="10">
        <v>3</v>
      </c>
      <c r="J1947">
        <v>2019</v>
      </c>
      <c r="K1947">
        <v>5</v>
      </c>
      <c r="L1947">
        <v>276</v>
      </c>
      <c r="M1947" t="s">
        <v>65</v>
      </c>
    </row>
    <row r="1948" spans="1:13">
      <c r="A1948" t="s">
        <v>2005</v>
      </c>
      <c r="B1948" s="10">
        <v>1.68</v>
      </c>
      <c r="C1948" s="10">
        <v>5.429</v>
      </c>
      <c r="D1948" s="10">
        <v>5.5</v>
      </c>
      <c r="E1948" s="10">
        <v>20</v>
      </c>
      <c r="F1948" s="10">
        <v>15</v>
      </c>
      <c r="G1948" s="10">
        <v>1</v>
      </c>
      <c r="H1948" s="10">
        <v>3</v>
      </c>
      <c r="I1948" s="10">
        <v>9</v>
      </c>
      <c r="J1948">
        <v>2019</v>
      </c>
      <c r="K1948">
        <v>5</v>
      </c>
      <c r="L1948">
        <v>276</v>
      </c>
      <c r="M1948" t="s">
        <v>53</v>
      </c>
    </row>
    <row r="1949" spans="1:13">
      <c r="A1949" t="s">
        <v>2006</v>
      </c>
      <c r="B1949" s="10">
        <v>4.01</v>
      </c>
      <c r="C1949" s="10">
        <v>2.34</v>
      </c>
      <c r="D1949" s="10">
        <v>3</v>
      </c>
      <c r="E1949" s="10">
        <v>24</v>
      </c>
      <c r="F1949" s="10">
        <v>11</v>
      </c>
      <c r="G1949" s="10">
        <v>3</v>
      </c>
      <c r="H1949" s="10">
        <v>16</v>
      </c>
      <c r="I1949" s="10">
        <v>8</v>
      </c>
      <c r="J1949">
        <v>2019</v>
      </c>
      <c r="K1949">
        <v>5</v>
      </c>
      <c r="L1949">
        <v>276</v>
      </c>
      <c r="M1949" t="s">
        <v>55</v>
      </c>
    </row>
    <row r="1950" spans="1:13">
      <c r="A1950" t="s">
        <v>2007</v>
      </c>
      <c r="B1950" s="10">
        <v>9</v>
      </c>
      <c r="C1950" s="10">
        <v>5.43</v>
      </c>
      <c r="D1950" s="10">
        <v>4.25</v>
      </c>
      <c r="E1950" s="10">
        <v>25</v>
      </c>
      <c r="F1950" s="10">
        <v>5</v>
      </c>
      <c r="G1950" s="10">
        <v>1</v>
      </c>
      <c r="H1950" s="10">
        <v>16</v>
      </c>
      <c r="I1950" s="10">
        <v>9</v>
      </c>
      <c r="J1950">
        <v>2019</v>
      </c>
      <c r="K1950">
        <v>5</v>
      </c>
      <c r="L1950">
        <v>276</v>
      </c>
      <c r="M1950" t="s">
        <v>57</v>
      </c>
    </row>
    <row r="1951" spans="1:13">
      <c r="A1951" t="s">
        <v>2008</v>
      </c>
      <c r="B1951" s="10">
        <v>7</v>
      </c>
      <c r="C1951" s="10">
        <v>2.42</v>
      </c>
      <c r="D1951" s="10">
        <v>4.2</v>
      </c>
      <c r="E1951" s="10">
        <v>31</v>
      </c>
      <c r="F1951" s="10">
        <v>2</v>
      </c>
      <c r="G1951" s="10">
        <v>0</v>
      </c>
      <c r="H1951" s="10">
        <v>0</v>
      </c>
      <c r="I1951" s="10">
        <v>5</v>
      </c>
      <c r="J1951">
        <v>2019</v>
      </c>
      <c r="K1951">
        <v>5</v>
      </c>
      <c r="L1951">
        <v>276</v>
      </c>
      <c r="M1951" t="s">
        <v>59</v>
      </c>
    </row>
    <row r="1952" spans="1:13">
      <c r="A1952" t="s">
        <v>2009</v>
      </c>
      <c r="B1952" s="10">
        <v>4.68</v>
      </c>
      <c r="C1952" s="10">
        <v>0.066</v>
      </c>
      <c r="D1952" s="10">
        <v>2</v>
      </c>
      <c r="E1952" s="10">
        <v>23</v>
      </c>
      <c r="F1952" s="10">
        <v>11</v>
      </c>
      <c r="G1952" s="10">
        <v>2</v>
      </c>
      <c r="H1952" s="10">
        <v>9</v>
      </c>
      <c r="I1952" s="10">
        <v>3</v>
      </c>
      <c r="J1952">
        <v>2019</v>
      </c>
      <c r="K1952">
        <v>5</v>
      </c>
      <c r="L1952">
        <v>276</v>
      </c>
      <c r="M1952" t="s">
        <v>61</v>
      </c>
    </row>
    <row r="1953" spans="1:13">
      <c r="A1953" t="s">
        <v>2010</v>
      </c>
      <c r="B1953" s="10">
        <v>2.66</v>
      </c>
      <c r="C1953" s="10">
        <v>5.519</v>
      </c>
      <c r="D1953" s="10">
        <v>1</v>
      </c>
      <c r="E1953" s="10">
        <v>33.4</v>
      </c>
      <c r="F1953" s="10">
        <v>19</v>
      </c>
      <c r="G1953" s="10">
        <v>0</v>
      </c>
      <c r="H1953" s="10">
        <v>6</v>
      </c>
      <c r="I1953" s="10">
        <v>5</v>
      </c>
      <c r="J1953">
        <v>2019</v>
      </c>
      <c r="K1953">
        <v>5</v>
      </c>
      <c r="L1953">
        <v>276</v>
      </c>
      <c r="M1953" t="s">
        <v>63</v>
      </c>
    </row>
    <row r="1954" spans="1:13">
      <c r="A1954" t="s">
        <v>2011</v>
      </c>
      <c r="B1954" s="10">
        <v>9</v>
      </c>
      <c r="C1954" s="10">
        <v>4.033</v>
      </c>
      <c r="D1954" s="10">
        <v>3</v>
      </c>
      <c r="E1954" s="10">
        <v>13</v>
      </c>
      <c r="F1954" s="10">
        <v>15</v>
      </c>
      <c r="G1954" s="10">
        <v>2</v>
      </c>
      <c r="H1954" s="10">
        <v>20</v>
      </c>
      <c r="I1954" s="10">
        <v>0</v>
      </c>
      <c r="J1954">
        <v>2019</v>
      </c>
      <c r="K1954">
        <v>5</v>
      </c>
      <c r="L1954">
        <v>276</v>
      </c>
      <c r="M1954" t="s">
        <v>65</v>
      </c>
    </row>
    <row r="1955" spans="1:13">
      <c r="A1955" t="s">
        <v>2012</v>
      </c>
      <c r="B1955" s="10">
        <v>5</v>
      </c>
      <c r="C1955" s="10">
        <v>2.33</v>
      </c>
      <c r="D1955" s="10">
        <v>2.1</v>
      </c>
      <c r="E1955" s="10">
        <v>12.5</v>
      </c>
      <c r="F1955" s="10">
        <v>10</v>
      </c>
      <c r="G1955" s="10">
        <v>1</v>
      </c>
      <c r="H1955" s="10">
        <v>31</v>
      </c>
      <c r="I1955" s="10">
        <v>4</v>
      </c>
      <c r="J1955">
        <v>2019</v>
      </c>
      <c r="K1955">
        <v>5</v>
      </c>
      <c r="L1955">
        <v>276</v>
      </c>
      <c r="M1955" t="s">
        <v>53</v>
      </c>
    </row>
    <row r="1956" spans="1:13">
      <c r="A1956" t="s">
        <v>2013</v>
      </c>
      <c r="B1956" s="10">
        <v>5</v>
      </c>
      <c r="C1956" s="10">
        <v>1.34</v>
      </c>
      <c r="D1956" s="10">
        <v>5.5</v>
      </c>
      <c r="E1956" s="10">
        <v>11.6</v>
      </c>
      <c r="F1956" s="10">
        <v>13</v>
      </c>
      <c r="G1956" s="10">
        <v>2</v>
      </c>
      <c r="H1956" s="10">
        <v>26</v>
      </c>
      <c r="I1956" s="10">
        <v>2</v>
      </c>
      <c r="J1956">
        <v>2019</v>
      </c>
      <c r="K1956">
        <v>5</v>
      </c>
      <c r="L1956">
        <v>276</v>
      </c>
      <c r="M1956" t="s">
        <v>55</v>
      </c>
    </row>
    <row r="1957" spans="1:13">
      <c r="A1957" t="s">
        <v>2014</v>
      </c>
      <c r="B1957" s="10">
        <v>5.34</v>
      </c>
      <c r="C1957" s="10">
        <v>5</v>
      </c>
      <c r="D1957" s="10">
        <v>5.5</v>
      </c>
      <c r="E1957" s="10">
        <v>16.8</v>
      </c>
      <c r="F1957" s="10">
        <v>9</v>
      </c>
      <c r="G1957" s="10">
        <v>0</v>
      </c>
      <c r="H1957" s="10">
        <v>12</v>
      </c>
      <c r="I1957" s="10">
        <v>5</v>
      </c>
      <c r="J1957">
        <v>2019</v>
      </c>
      <c r="K1957">
        <v>5</v>
      </c>
      <c r="L1957">
        <v>276</v>
      </c>
      <c r="M1957" t="s">
        <v>57</v>
      </c>
    </row>
    <row r="1958" spans="1:13">
      <c r="A1958" t="s">
        <v>2015</v>
      </c>
      <c r="B1958" s="10">
        <v>4.67</v>
      </c>
      <c r="C1958" s="10">
        <v>1.68</v>
      </c>
      <c r="D1958" s="10">
        <v>3.1</v>
      </c>
      <c r="E1958" s="10">
        <v>38.8</v>
      </c>
      <c r="F1958" s="10">
        <v>2</v>
      </c>
      <c r="G1958" s="10">
        <v>1</v>
      </c>
      <c r="H1958" s="10">
        <v>19</v>
      </c>
      <c r="I1958" s="10">
        <v>5</v>
      </c>
      <c r="J1958">
        <v>2019</v>
      </c>
      <c r="K1958">
        <v>5</v>
      </c>
      <c r="L1958">
        <v>276</v>
      </c>
      <c r="M1958" t="s">
        <v>59</v>
      </c>
    </row>
    <row r="1959" spans="1:13">
      <c r="A1959" t="s">
        <v>2016</v>
      </c>
      <c r="B1959" s="10">
        <v>5</v>
      </c>
      <c r="C1959" s="10">
        <v>4.527</v>
      </c>
      <c r="D1959" s="10">
        <v>2</v>
      </c>
      <c r="E1959" s="10">
        <v>26.2</v>
      </c>
      <c r="F1959" s="10">
        <v>11</v>
      </c>
      <c r="G1959" s="10">
        <v>0</v>
      </c>
      <c r="H1959" s="10">
        <v>11</v>
      </c>
      <c r="I1959" s="10">
        <v>3</v>
      </c>
      <c r="J1959">
        <v>2019</v>
      </c>
      <c r="K1959">
        <v>5</v>
      </c>
      <c r="L1959">
        <v>276</v>
      </c>
      <c r="M1959" t="s">
        <v>61</v>
      </c>
    </row>
    <row r="1960" spans="1:13">
      <c r="A1960" t="s">
        <v>2017</v>
      </c>
      <c r="B1960" s="10">
        <v>6.67</v>
      </c>
      <c r="C1960" s="10">
        <v>4.363</v>
      </c>
      <c r="D1960" s="10">
        <v>4</v>
      </c>
      <c r="E1960" s="10">
        <v>25</v>
      </c>
      <c r="F1960" s="10">
        <v>5</v>
      </c>
      <c r="G1960" s="10">
        <v>0</v>
      </c>
      <c r="H1960" s="10">
        <v>11</v>
      </c>
      <c r="I1960" s="10">
        <v>3</v>
      </c>
      <c r="J1960">
        <v>2019</v>
      </c>
      <c r="K1960">
        <v>5</v>
      </c>
      <c r="L1960">
        <v>276</v>
      </c>
      <c r="M1960" t="s">
        <v>63</v>
      </c>
    </row>
    <row r="1961" spans="1:13">
      <c r="A1961" t="s">
        <v>2018</v>
      </c>
      <c r="B1961" s="10">
        <v>4</v>
      </c>
      <c r="C1961" s="10">
        <v>1.066</v>
      </c>
      <c r="D1961" s="10">
        <v>4.15</v>
      </c>
      <c r="E1961" s="10">
        <v>28.4</v>
      </c>
      <c r="F1961" s="10">
        <v>7</v>
      </c>
      <c r="G1961" s="10">
        <v>0</v>
      </c>
      <c r="H1961" s="10">
        <v>5</v>
      </c>
      <c r="I1961" s="10">
        <v>3</v>
      </c>
      <c r="J1961">
        <v>2019</v>
      </c>
      <c r="K1961">
        <v>5</v>
      </c>
      <c r="L1961">
        <v>276</v>
      </c>
      <c r="M1961" t="s">
        <v>65</v>
      </c>
    </row>
    <row r="1962" spans="1:13">
      <c r="A1962" t="s">
        <v>2019</v>
      </c>
      <c r="B1962" s="10">
        <v>5</v>
      </c>
      <c r="C1962" s="10">
        <v>1.067</v>
      </c>
      <c r="D1962" s="10">
        <v>2</v>
      </c>
      <c r="E1962" s="10">
        <v>12</v>
      </c>
      <c r="F1962" s="10">
        <v>9</v>
      </c>
      <c r="G1962" s="10">
        <v>1</v>
      </c>
      <c r="H1962" s="10">
        <v>16.29166667</v>
      </c>
      <c r="I1962" s="10">
        <v>5</v>
      </c>
      <c r="J1962">
        <v>2019</v>
      </c>
      <c r="K1962">
        <v>5</v>
      </c>
      <c r="L1962">
        <v>276</v>
      </c>
      <c r="M1962" t="s">
        <v>53</v>
      </c>
    </row>
    <row r="1963" spans="1:13">
      <c r="A1963" t="s">
        <v>2020</v>
      </c>
      <c r="B1963" s="10">
        <v>2.66</v>
      </c>
      <c r="C1963" s="10">
        <v>1.66</v>
      </c>
      <c r="D1963" s="10">
        <v>2.4</v>
      </c>
      <c r="E1963" s="10">
        <v>28</v>
      </c>
      <c r="F1963" s="10">
        <v>18</v>
      </c>
      <c r="G1963" s="10">
        <v>2</v>
      </c>
      <c r="H1963" s="10">
        <v>4</v>
      </c>
      <c r="I1963" s="10">
        <v>2.2</v>
      </c>
      <c r="J1963">
        <v>2019</v>
      </c>
      <c r="K1963">
        <v>5</v>
      </c>
      <c r="L1963">
        <v>276</v>
      </c>
      <c r="M1963" t="s">
        <v>55</v>
      </c>
    </row>
    <row r="1964" spans="1:13">
      <c r="A1964" t="s">
        <v>2021</v>
      </c>
      <c r="B1964" s="10">
        <v>10</v>
      </c>
      <c r="C1964" s="10">
        <v>0.34</v>
      </c>
      <c r="D1964" s="10">
        <v>5.1</v>
      </c>
      <c r="E1964" s="10">
        <v>14</v>
      </c>
      <c r="F1964" s="10">
        <v>9</v>
      </c>
      <c r="G1964" s="10">
        <v>2</v>
      </c>
      <c r="H1964" s="10">
        <v>5</v>
      </c>
      <c r="I1964" s="10">
        <v>3</v>
      </c>
      <c r="J1964">
        <v>2019</v>
      </c>
      <c r="K1964">
        <v>5</v>
      </c>
      <c r="L1964">
        <v>276</v>
      </c>
      <c r="M1964" t="s">
        <v>57</v>
      </c>
    </row>
    <row r="1965" spans="1:13">
      <c r="A1965" t="s">
        <v>2022</v>
      </c>
      <c r="B1965" s="10">
        <v>6.67</v>
      </c>
      <c r="C1965" s="10">
        <v>5</v>
      </c>
      <c r="D1965" s="10">
        <v>4</v>
      </c>
      <c r="E1965" s="10">
        <v>26.4</v>
      </c>
      <c r="F1965" s="10">
        <v>9</v>
      </c>
      <c r="G1965" s="10">
        <v>0</v>
      </c>
      <c r="H1965" s="10">
        <v>9</v>
      </c>
      <c r="I1965" s="10">
        <v>4.2</v>
      </c>
      <c r="J1965">
        <v>2019</v>
      </c>
      <c r="K1965">
        <v>5</v>
      </c>
      <c r="L1965">
        <v>276</v>
      </c>
      <c r="M1965" t="s">
        <v>59</v>
      </c>
    </row>
    <row r="1966" spans="1:13">
      <c r="A1966" t="s">
        <v>2023</v>
      </c>
      <c r="B1966" s="10">
        <v>3.67</v>
      </c>
      <c r="C1966" s="10">
        <v>6.396</v>
      </c>
      <c r="D1966" s="10">
        <v>5</v>
      </c>
      <c r="E1966" s="10">
        <v>21.3</v>
      </c>
      <c r="F1966" s="10">
        <v>11</v>
      </c>
      <c r="G1966" s="10">
        <v>4</v>
      </c>
      <c r="H1966" s="10">
        <v>13</v>
      </c>
      <c r="I1966" s="10">
        <v>5</v>
      </c>
      <c r="J1966">
        <v>2019</v>
      </c>
      <c r="K1966">
        <v>5</v>
      </c>
      <c r="L1966">
        <v>276</v>
      </c>
      <c r="M1966" t="s">
        <v>61</v>
      </c>
    </row>
    <row r="1967" spans="1:13">
      <c r="A1967" t="s">
        <v>2024</v>
      </c>
      <c r="B1967" s="10">
        <v>5.34</v>
      </c>
      <c r="C1967" s="10">
        <v>4</v>
      </c>
      <c r="D1967" s="10">
        <v>5.1</v>
      </c>
      <c r="E1967" s="10">
        <v>17.6</v>
      </c>
      <c r="F1967" s="10">
        <v>12.2</v>
      </c>
      <c r="G1967" s="10">
        <v>0</v>
      </c>
      <c r="H1967" s="10">
        <v>1</v>
      </c>
      <c r="I1967" s="10">
        <v>7</v>
      </c>
      <c r="J1967">
        <v>2019</v>
      </c>
      <c r="K1967">
        <v>5</v>
      </c>
      <c r="L1967">
        <v>276</v>
      </c>
      <c r="M1967" t="s">
        <v>63</v>
      </c>
    </row>
    <row r="1968" spans="1:13">
      <c r="A1968" t="s">
        <v>2025</v>
      </c>
      <c r="B1968" s="10">
        <v>8.16</v>
      </c>
      <c r="C1968" s="10">
        <v>2.836</v>
      </c>
      <c r="D1968" s="10">
        <v>3.15</v>
      </c>
      <c r="E1968" s="10">
        <v>28.2</v>
      </c>
      <c r="F1968" s="10">
        <v>8</v>
      </c>
      <c r="G1968" s="10">
        <v>0</v>
      </c>
      <c r="H1968" s="10">
        <v>9</v>
      </c>
      <c r="I1968" s="10">
        <v>5</v>
      </c>
      <c r="J1968">
        <v>2019</v>
      </c>
      <c r="K1968">
        <v>5</v>
      </c>
      <c r="L1968">
        <v>276</v>
      </c>
      <c r="M1968" t="s">
        <v>65</v>
      </c>
    </row>
    <row r="1969" spans="1:13">
      <c r="A1969" t="s">
        <v>2026</v>
      </c>
      <c r="B1969" s="10">
        <v>2.33</v>
      </c>
      <c r="C1969" s="10">
        <v>3.34</v>
      </c>
      <c r="D1969" s="10">
        <v>2</v>
      </c>
      <c r="E1969" s="10">
        <v>26.1</v>
      </c>
      <c r="F1969" s="10">
        <v>4</v>
      </c>
      <c r="G1969" s="10">
        <v>0</v>
      </c>
      <c r="H1969" s="10">
        <v>10</v>
      </c>
      <c r="I1969" s="10">
        <v>6</v>
      </c>
      <c r="J1969">
        <v>2019</v>
      </c>
      <c r="K1969">
        <v>5</v>
      </c>
      <c r="L1969">
        <v>276</v>
      </c>
      <c r="M1969" t="s">
        <v>53</v>
      </c>
    </row>
    <row r="1970" spans="1:13">
      <c r="A1970" t="s">
        <v>2027</v>
      </c>
      <c r="B1970" s="10">
        <v>5.34</v>
      </c>
      <c r="C1970" s="10">
        <v>3.703</v>
      </c>
      <c r="D1970" s="10">
        <v>3</v>
      </c>
      <c r="E1970" s="10">
        <v>36.2</v>
      </c>
      <c r="F1970" s="10">
        <v>8</v>
      </c>
      <c r="G1970" s="10">
        <v>1</v>
      </c>
      <c r="H1970" s="10">
        <v>5</v>
      </c>
      <c r="I1970" s="10">
        <v>3</v>
      </c>
      <c r="J1970">
        <v>2019</v>
      </c>
      <c r="K1970">
        <v>5</v>
      </c>
      <c r="L1970">
        <v>276</v>
      </c>
      <c r="M1970" t="s">
        <v>55</v>
      </c>
    </row>
    <row r="1971" spans="1:13">
      <c r="A1971" t="s">
        <v>2028</v>
      </c>
      <c r="B1971" s="10">
        <v>11</v>
      </c>
      <c r="C1971" s="10">
        <v>3.34</v>
      </c>
      <c r="D1971" s="10">
        <v>4.1</v>
      </c>
      <c r="E1971" s="10">
        <v>35</v>
      </c>
      <c r="F1971" s="10">
        <v>4</v>
      </c>
      <c r="G1971" s="10">
        <v>0</v>
      </c>
      <c r="H1971" s="10">
        <v>16</v>
      </c>
      <c r="I1971" s="10">
        <v>2</v>
      </c>
      <c r="J1971">
        <v>2019</v>
      </c>
      <c r="K1971">
        <v>5</v>
      </c>
      <c r="L1971">
        <v>276</v>
      </c>
      <c r="M1971" t="s">
        <v>57</v>
      </c>
    </row>
    <row r="1972" spans="1:13">
      <c r="A1972" t="s">
        <v>2029</v>
      </c>
      <c r="B1972" s="10">
        <v>6.33</v>
      </c>
      <c r="C1972" s="10">
        <v>5.31</v>
      </c>
      <c r="D1972" s="10">
        <v>2</v>
      </c>
      <c r="E1972" s="10">
        <v>30</v>
      </c>
      <c r="F1972" s="10">
        <v>2.6</v>
      </c>
      <c r="G1972" s="10">
        <v>0</v>
      </c>
      <c r="H1972" s="10">
        <v>11</v>
      </c>
      <c r="I1972" s="10">
        <v>6</v>
      </c>
      <c r="J1972">
        <v>2019</v>
      </c>
      <c r="K1972">
        <v>5</v>
      </c>
      <c r="L1972">
        <v>276</v>
      </c>
      <c r="M1972" t="s">
        <v>59</v>
      </c>
    </row>
    <row r="1973" spans="1:13">
      <c r="A1973" t="s">
        <v>2030</v>
      </c>
      <c r="B1973" s="10">
        <v>4.67</v>
      </c>
      <c r="C1973" s="10">
        <v>0.67</v>
      </c>
      <c r="D1973" s="10">
        <v>1.2</v>
      </c>
      <c r="E1973" s="10">
        <v>19</v>
      </c>
      <c r="F1973" s="10">
        <v>8</v>
      </c>
      <c r="G1973" s="10">
        <v>0</v>
      </c>
      <c r="H1973" s="10">
        <v>0</v>
      </c>
      <c r="I1973" s="10">
        <v>2</v>
      </c>
      <c r="J1973">
        <v>2019</v>
      </c>
      <c r="K1973">
        <v>5</v>
      </c>
      <c r="L1973">
        <v>276</v>
      </c>
      <c r="M1973" t="s">
        <v>61</v>
      </c>
    </row>
    <row r="1974" spans="1:13">
      <c r="A1974" t="s">
        <v>2031</v>
      </c>
      <c r="B1974" s="10">
        <v>4.33</v>
      </c>
      <c r="C1974" s="10">
        <v>3.99</v>
      </c>
      <c r="D1974" s="10">
        <v>6.3</v>
      </c>
      <c r="E1974" s="10">
        <v>18.2</v>
      </c>
      <c r="F1974" s="10">
        <v>10</v>
      </c>
      <c r="G1974" s="10">
        <v>2</v>
      </c>
      <c r="H1974" s="10">
        <v>5</v>
      </c>
      <c r="I1974" s="10">
        <v>6</v>
      </c>
      <c r="J1974">
        <v>2019</v>
      </c>
      <c r="K1974">
        <v>5</v>
      </c>
      <c r="L1974">
        <v>276</v>
      </c>
      <c r="M1974" t="s">
        <v>63</v>
      </c>
    </row>
    <row r="1975" spans="1:13">
      <c r="A1975" t="s">
        <v>2032</v>
      </c>
      <c r="B1975" s="10">
        <v>5.5</v>
      </c>
      <c r="C1975" s="10">
        <v>2.34</v>
      </c>
      <c r="D1975" s="10">
        <v>4.05</v>
      </c>
      <c r="E1975" s="10">
        <v>15</v>
      </c>
      <c r="F1975" s="10">
        <v>10</v>
      </c>
      <c r="G1975" s="10">
        <v>1</v>
      </c>
      <c r="H1975" s="10">
        <v>0</v>
      </c>
      <c r="I1975" s="10">
        <v>3</v>
      </c>
      <c r="J1975">
        <v>2019</v>
      </c>
      <c r="K1975">
        <v>5</v>
      </c>
      <c r="L1975">
        <v>276</v>
      </c>
      <c r="M1975" t="s">
        <v>65</v>
      </c>
    </row>
    <row r="1976" spans="1:13">
      <c r="A1976" t="s">
        <v>2033</v>
      </c>
      <c r="B1976" s="10">
        <v>5</v>
      </c>
      <c r="C1976" s="10">
        <v>0.34</v>
      </c>
      <c r="D1976" s="10">
        <v>3.4</v>
      </c>
      <c r="E1976" s="10">
        <v>17.2</v>
      </c>
      <c r="F1976" s="10">
        <v>5</v>
      </c>
      <c r="G1976" s="10">
        <v>0</v>
      </c>
      <c r="H1976" s="10">
        <v>6</v>
      </c>
      <c r="I1976" s="10">
        <v>4</v>
      </c>
      <c r="J1976">
        <v>2019</v>
      </c>
      <c r="K1976">
        <v>5</v>
      </c>
      <c r="L1976">
        <v>276</v>
      </c>
      <c r="M1976" t="s">
        <v>53</v>
      </c>
    </row>
    <row r="1977" spans="1:13">
      <c r="A1977" t="s">
        <v>2034</v>
      </c>
      <c r="B1977" s="10">
        <v>5.99</v>
      </c>
      <c r="C1977" s="10">
        <v>3.363</v>
      </c>
      <c r="D1977" s="10">
        <v>1</v>
      </c>
      <c r="E1977" s="10">
        <v>22.662</v>
      </c>
      <c r="F1977" s="10">
        <v>2</v>
      </c>
      <c r="G1977" s="10">
        <v>0</v>
      </c>
      <c r="H1977" s="10">
        <v>2</v>
      </c>
      <c r="I1977" s="10">
        <v>5</v>
      </c>
      <c r="J1977">
        <v>2019</v>
      </c>
      <c r="K1977">
        <v>5</v>
      </c>
      <c r="L1977">
        <v>276</v>
      </c>
      <c r="M1977" t="s">
        <v>55</v>
      </c>
    </row>
    <row r="1978" spans="1:13">
      <c r="A1978" t="s">
        <v>2035</v>
      </c>
      <c r="B1978" s="10">
        <v>3</v>
      </c>
      <c r="C1978" s="10">
        <v>1.34</v>
      </c>
      <c r="D1978" s="10">
        <v>6</v>
      </c>
      <c r="E1978" s="10">
        <v>21.4</v>
      </c>
      <c r="F1978" s="10">
        <v>1</v>
      </c>
      <c r="G1978" s="10">
        <v>0</v>
      </c>
      <c r="H1978" s="10">
        <v>8</v>
      </c>
      <c r="I1978" s="10">
        <v>4</v>
      </c>
      <c r="J1978">
        <v>2019</v>
      </c>
      <c r="K1978">
        <v>6</v>
      </c>
      <c r="L1978">
        <v>276</v>
      </c>
      <c r="M1978" t="s">
        <v>57</v>
      </c>
    </row>
    <row r="1979" spans="1:13">
      <c r="A1979" t="s">
        <v>2036</v>
      </c>
      <c r="B1979" s="10">
        <v>4</v>
      </c>
      <c r="C1979" s="10">
        <v>2.66</v>
      </c>
      <c r="D1979" s="10">
        <v>3.05</v>
      </c>
      <c r="E1979" s="10">
        <v>28</v>
      </c>
      <c r="F1979" s="10">
        <v>4</v>
      </c>
      <c r="G1979" s="10">
        <v>1</v>
      </c>
      <c r="H1979" s="10">
        <v>6</v>
      </c>
      <c r="I1979" s="10">
        <v>4</v>
      </c>
      <c r="J1979">
        <v>2019</v>
      </c>
      <c r="K1979">
        <v>6</v>
      </c>
      <c r="L1979">
        <v>276</v>
      </c>
      <c r="M1979" t="s">
        <v>59</v>
      </c>
    </row>
    <row r="1980" spans="1:13">
      <c r="A1980" t="s">
        <v>2037</v>
      </c>
      <c r="B1980" s="10">
        <v>0.33</v>
      </c>
      <c r="C1980" s="10">
        <v>2.505</v>
      </c>
      <c r="D1980" s="10">
        <v>4</v>
      </c>
      <c r="E1980" s="10">
        <v>15.4</v>
      </c>
      <c r="F1980" s="10">
        <v>4</v>
      </c>
      <c r="G1980" s="10">
        <v>0</v>
      </c>
      <c r="H1980" s="10">
        <v>5</v>
      </c>
      <c r="I1980" s="10">
        <v>10</v>
      </c>
      <c r="J1980">
        <v>2019</v>
      </c>
      <c r="K1980">
        <v>6</v>
      </c>
      <c r="L1980">
        <v>276</v>
      </c>
      <c r="M1980" t="s">
        <v>61</v>
      </c>
    </row>
    <row r="1981" spans="1:13">
      <c r="A1981" t="s">
        <v>2038</v>
      </c>
      <c r="B1981" s="10">
        <v>6.34</v>
      </c>
      <c r="C1981" s="10">
        <v>2.823</v>
      </c>
      <c r="D1981" s="10">
        <v>5.35</v>
      </c>
      <c r="E1981" s="10">
        <v>28.2</v>
      </c>
      <c r="F1981" s="10">
        <v>9</v>
      </c>
      <c r="G1981" s="10">
        <v>1</v>
      </c>
      <c r="H1981" s="10">
        <v>12</v>
      </c>
      <c r="I1981" s="10">
        <v>5</v>
      </c>
      <c r="J1981">
        <v>2019</v>
      </c>
      <c r="K1981">
        <v>6</v>
      </c>
      <c r="L1981">
        <v>276</v>
      </c>
      <c r="M1981" t="s">
        <v>63</v>
      </c>
    </row>
    <row r="1982" spans="1:13">
      <c r="A1982" t="s">
        <v>2039</v>
      </c>
      <c r="B1982" s="10">
        <v>5</v>
      </c>
      <c r="C1982" s="10">
        <v>1.77</v>
      </c>
      <c r="D1982" s="10">
        <v>2.1</v>
      </c>
      <c r="E1982" s="10">
        <v>26.1</v>
      </c>
      <c r="F1982" s="10">
        <v>7</v>
      </c>
      <c r="G1982" s="10">
        <v>0</v>
      </c>
      <c r="H1982" s="10">
        <v>1</v>
      </c>
      <c r="I1982" s="10">
        <v>2</v>
      </c>
      <c r="J1982">
        <v>2019</v>
      </c>
      <c r="K1982">
        <v>6</v>
      </c>
      <c r="L1982">
        <v>276</v>
      </c>
      <c r="M1982" t="s">
        <v>65</v>
      </c>
    </row>
    <row r="1983" spans="1:13">
      <c r="A1983" t="s">
        <v>2040</v>
      </c>
      <c r="B1983" s="10">
        <v>7.67</v>
      </c>
      <c r="C1983" s="10">
        <v>2.076</v>
      </c>
      <c r="D1983" s="10">
        <v>6.35</v>
      </c>
      <c r="E1983" s="10">
        <v>27</v>
      </c>
      <c r="F1983" s="10">
        <v>7</v>
      </c>
      <c r="G1983" s="10">
        <v>2</v>
      </c>
      <c r="H1983" s="10">
        <v>11</v>
      </c>
      <c r="I1983" s="10">
        <v>4</v>
      </c>
      <c r="J1983">
        <v>2019</v>
      </c>
      <c r="K1983">
        <v>6</v>
      </c>
      <c r="L1983">
        <v>276</v>
      </c>
      <c r="M1983" t="s">
        <v>53</v>
      </c>
    </row>
    <row r="1984" spans="1:13">
      <c r="A1984" t="s">
        <v>2041</v>
      </c>
      <c r="B1984" s="10">
        <v>6</v>
      </c>
      <c r="C1984" s="10">
        <v>2.67</v>
      </c>
      <c r="D1984" s="10">
        <v>2</v>
      </c>
      <c r="E1984" s="10">
        <v>22</v>
      </c>
      <c r="F1984" s="10">
        <v>6</v>
      </c>
      <c r="G1984" s="10">
        <v>0</v>
      </c>
      <c r="H1984" s="10">
        <v>16</v>
      </c>
      <c r="I1984" s="10">
        <v>0</v>
      </c>
      <c r="J1984">
        <v>2019</v>
      </c>
      <c r="K1984">
        <v>6</v>
      </c>
      <c r="L1984">
        <v>276</v>
      </c>
      <c r="M1984" t="s">
        <v>55</v>
      </c>
    </row>
    <row r="1985" spans="1:13">
      <c r="A1985" t="s">
        <v>2042</v>
      </c>
      <c r="B1985" s="10">
        <v>3</v>
      </c>
      <c r="C1985" s="10">
        <v>3.66</v>
      </c>
      <c r="D1985" s="10">
        <v>1</v>
      </c>
      <c r="E1985" s="10">
        <v>22.4</v>
      </c>
      <c r="F1985" s="10">
        <v>12</v>
      </c>
      <c r="G1985" s="10">
        <v>0</v>
      </c>
      <c r="H1985" s="10">
        <v>0</v>
      </c>
      <c r="I1985" s="10">
        <v>2.1</v>
      </c>
      <c r="J1985">
        <v>2019</v>
      </c>
      <c r="K1985">
        <v>6</v>
      </c>
      <c r="L1985">
        <v>276</v>
      </c>
      <c r="M1985" t="s">
        <v>57</v>
      </c>
    </row>
    <row r="1986" spans="1:13">
      <c r="A1986" t="s">
        <v>2043</v>
      </c>
      <c r="B1986" s="10">
        <v>9.33</v>
      </c>
      <c r="C1986" s="10">
        <v>1.033</v>
      </c>
      <c r="D1986" s="10">
        <v>8</v>
      </c>
      <c r="E1986" s="10">
        <v>16.5</v>
      </c>
      <c r="F1986" s="10">
        <v>7</v>
      </c>
      <c r="G1986" s="10">
        <v>4</v>
      </c>
      <c r="H1986" s="10">
        <v>0</v>
      </c>
      <c r="I1986" s="10">
        <v>5</v>
      </c>
      <c r="J1986">
        <v>2019</v>
      </c>
      <c r="K1986">
        <v>6</v>
      </c>
      <c r="L1986">
        <v>276</v>
      </c>
      <c r="M1986" t="s">
        <v>59</v>
      </c>
    </row>
    <row r="1987" spans="1:13">
      <c r="A1987" t="s">
        <v>2044</v>
      </c>
      <c r="B1987" s="10">
        <v>3</v>
      </c>
      <c r="C1987" s="10">
        <v>1.34</v>
      </c>
      <c r="D1987" s="10">
        <v>2</v>
      </c>
      <c r="E1987" s="10">
        <v>15</v>
      </c>
      <c r="F1987" s="10">
        <v>7</v>
      </c>
      <c r="G1987" s="10">
        <v>0</v>
      </c>
      <c r="H1987" s="10">
        <v>6</v>
      </c>
      <c r="I1987" s="10">
        <v>12</v>
      </c>
      <c r="J1987">
        <v>2019</v>
      </c>
      <c r="K1987">
        <v>6</v>
      </c>
      <c r="L1987">
        <v>276</v>
      </c>
      <c r="M1987" t="s">
        <v>61</v>
      </c>
    </row>
    <row r="1988" spans="1:13">
      <c r="A1988" t="s">
        <v>2045</v>
      </c>
      <c r="B1988" s="10">
        <v>11.34</v>
      </c>
      <c r="C1988" s="10">
        <v>3.33</v>
      </c>
      <c r="D1988" s="10">
        <v>10.5</v>
      </c>
      <c r="E1988" s="10">
        <v>25</v>
      </c>
      <c r="F1988" s="10">
        <v>9</v>
      </c>
      <c r="G1988" s="10">
        <v>0</v>
      </c>
      <c r="H1988" s="10">
        <v>7</v>
      </c>
      <c r="I1988" s="10">
        <v>6</v>
      </c>
      <c r="J1988">
        <v>2019</v>
      </c>
      <c r="K1988">
        <v>6</v>
      </c>
      <c r="L1988">
        <v>276</v>
      </c>
      <c r="M1988" t="s">
        <v>63</v>
      </c>
    </row>
    <row r="1989" spans="1:13">
      <c r="A1989" t="s">
        <v>2046</v>
      </c>
      <c r="B1989" s="10">
        <v>8</v>
      </c>
      <c r="C1989" s="10">
        <v>3.406</v>
      </c>
      <c r="D1989" s="10">
        <v>1</v>
      </c>
      <c r="E1989" s="10">
        <v>16.2</v>
      </c>
      <c r="F1989" s="10">
        <v>11</v>
      </c>
      <c r="G1989" s="10">
        <v>0</v>
      </c>
      <c r="H1989" s="10">
        <v>1</v>
      </c>
      <c r="I1989" s="10">
        <v>7</v>
      </c>
      <c r="J1989">
        <v>2019</v>
      </c>
      <c r="K1989">
        <v>6</v>
      </c>
      <c r="L1989">
        <v>276</v>
      </c>
      <c r="M1989" t="s">
        <v>65</v>
      </c>
    </row>
    <row r="1990" spans="1:13">
      <c r="A1990" t="s">
        <v>2047</v>
      </c>
      <c r="B1990" s="10">
        <v>0.68</v>
      </c>
      <c r="C1990" s="10">
        <v>3.02</v>
      </c>
      <c r="D1990" s="10">
        <v>0.25</v>
      </c>
      <c r="E1990" s="10">
        <v>19.4</v>
      </c>
      <c r="F1990" s="10">
        <v>2</v>
      </c>
      <c r="G1990" s="10">
        <v>0</v>
      </c>
      <c r="H1990" s="10">
        <v>2</v>
      </c>
      <c r="I1990" s="10">
        <v>9</v>
      </c>
      <c r="J1990">
        <v>2019</v>
      </c>
      <c r="K1990">
        <v>6</v>
      </c>
      <c r="L1990">
        <v>276</v>
      </c>
      <c r="M1990" t="s">
        <v>53</v>
      </c>
    </row>
    <row r="1991" spans="1:13">
      <c r="A1991" t="s">
        <v>2048</v>
      </c>
      <c r="B1991" s="10">
        <v>3.18</v>
      </c>
      <c r="C1991" s="10">
        <v>3.35</v>
      </c>
      <c r="D1991" s="10">
        <v>3</v>
      </c>
      <c r="E1991" s="10">
        <v>15</v>
      </c>
      <c r="F1991" s="10">
        <v>2</v>
      </c>
      <c r="G1991" s="10">
        <v>1</v>
      </c>
      <c r="H1991" s="10">
        <v>0</v>
      </c>
      <c r="I1991" s="10">
        <v>6</v>
      </c>
      <c r="J1991">
        <v>2019</v>
      </c>
      <c r="K1991">
        <v>6</v>
      </c>
      <c r="L1991">
        <v>276</v>
      </c>
      <c r="M1991" t="s">
        <v>55</v>
      </c>
    </row>
    <row r="1992" spans="1:13">
      <c r="A1992" t="s">
        <v>2049</v>
      </c>
      <c r="B1992" s="10">
        <v>7</v>
      </c>
      <c r="C1992" s="10">
        <v>3.463</v>
      </c>
      <c r="D1992" s="10">
        <v>5</v>
      </c>
      <c r="E1992" s="10">
        <v>15</v>
      </c>
      <c r="F1992" s="10">
        <v>13</v>
      </c>
      <c r="G1992" s="10">
        <v>0</v>
      </c>
      <c r="H1992" s="10">
        <v>7</v>
      </c>
      <c r="I1992" s="10">
        <v>8</v>
      </c>
      <c r="J1992">
        <v>2019</v>
      </c>
      <c r="K1992">
        <v>6</v>
      </c>
      <c r="L1992">
        <v>276</v>
      </c>
      <c r="M1992" t="s">
        <v>57</v>
      </c>
    </row>
    <row r="1993" spans="1:13">
      <c r="A1993" t="s">
        <v>2050</v>
      </c>
      <c r="B1993" s="10">
        <v>4</v>
      </c>
      <c r="C1993" s="10">
        <v>5.35</v>
      </c>
      <c r="D1993" s="10">
        <v>3</v>
      </c>
      <c r="E1993" s="10">
        <v>18</v>
      </c>
      <c r="F1993" s="10">
        <v>2</v>
      </c>
      <c r="G1993" s="10">
        <v>0</v>
      </c>
      <c r="H1993" s="10">
        <v>0</v>
      </c>
      <c r="I1993" s="10">
        <v>9</v>
      </c>
      <c r="J1993">
        <v>2019</v>
      </c>
      <c r="K1993">
        <v>6</v>
      </c>
      <c r="L1993">
        <v>276</v>
      </c>
      <c r="M1993" t="s">
        <v>59</v>
      </c>
    </row>
    <row r="1994" spans="1:13">
      <c r="A1994" t="s">
        <v>2051</v>
      </c>
      <c r="B1994" s="10">
        <v>6.66</v>
      </c>
      <c r="C1994" s="10">
        <v>4.66</v>
      </c>
      <c r="D1994" s="10">
        <v>3</v>
      </c>
      <c r="E1994" s="10">
        <v>18</v>
      </c>
      <c r="F1994" s="10">
        <v>6</v>
      </c>
      <c r="G1994" s="10">
        <v>0</v>
      </c>
      <c r="H1994" s="10">
        <v>2</v>
      </c>
      <c r="I1994" s="10">
        <v>2.34</v>
      </c>
      <c r="J1994">
        <v>2019</v>
      </c>
      <c r="K1994">
        <v>6</v>
      </c>
      <c r="L1994">
        <v>276</v>
      </c>
      <c r="M1994" t="s">
        <v>61</v>
      </c>
    </row>
    <row r="1995" spans="1:13">
      <c r="A1995" t="s">
        <v>2052</v>
      </c>
      <c r="B1995" s="10">
        <v>5</v>
      </c>
      <c r="C1995" s="10">
        <v>4.21</v>
      </c>
      <c r="D1995" s="10">
        <v>3</v>
      </c>
      <c r="E1995" s="10">
        <v>29.5</v>
      </c>
      <c r="F1995" s="10">
        <v>8</v>
      </c>
      <c r="G1995" s="10">
        <v>0</v>
      </c>
      <c r="H1995" s="10">
        <v>2</v>
      </c>
      <c r="I1995" s="10">
        <v>12.1</v>
      </c>
      <c r="J1995">
        <v>2019</v>
      </c>
      <c r="K1995">
        <v>6</v>
      </c>
      <c r="L1995">
        <v>276</v>
      </c>
      <c r="M1995" t="s">
        <v>63</v>
      </c>
    </row>
    <row r="1996" spans="1:13">
      <c r="A1996" t="s">
        <v>2053</v>
      </c>
      <c r="B1996" s="10">
        <v>3.67</v>
      </c>
      <c r="C1996" s="10">
        <v>3.033</v>
      </c>
      <c r="D1996" s="10">
        <v>3</v>
      </c>
      <c r="E1996" s="10">
        <v>18</v>
      </c>
      <c r="F1996" s="10">
        <v>6</v>
      </c>
      <c r="G1996" s="10">
        <v>1</v>
      </c>
      <c r="H1996" s="10">
        <v>2</v>
      </c>
      <c r="I1996" s="10">
        <v>5.5</v>
      </c>
      <c r="J1996">
        <v>2019</v>
      </c>
      <c r="K1996">
        <v>6</v>
      </c>
      <c r="L1996">
        <v>276</v>
      </c>
      <c r="M1996" t="s">
        <v>65</v>
      </c>
    </row>
    <row r="1997" spans="1:13">
      <c r="A1997" t="s">
        <v>2054</v>
      </c>
      <c r="B1997" s="10">
        <v>5</v>
      </c>
      <c r="C1997" s="10">
        <v>4.363</v>
      </c>
      <c r="D1997" s="10">
        <v>3</v>
      </c>
      <c r="E1997" s="10">
        <v>15</v>
      </c>
      <c r="F1997" s="10">
        <v>9</v>
      </c>
      <c r="G1997" s="10">
        <v>4</v>
      </c>
      <c r="H1997" s="10">
        <v>0</v>
      </c>
      <c r="I1997" s="10">
        <v>4</v>
      </c>
      <c r="J1997">
        <v>2019</v>
      </c>
      <c r="K1997">
        <v>6</v>
      </c>
      <c r="L1997">
        <v>276</v>
      </c>
      <c r="M1997" t="s">
        <v>53</v>
      </c>
    </row>
    <row r="1998" spans="1:13">
      <c r="A1998" t="s">
        <v>2055</v>
      </c>
      <c r="B1998" s="10">
        <v>3</v>
      </c>
      <c r="C1998" s="10">
        <v>2.33</v>
      </c>
      <c r="D1998" s="10">
        <v>3</v>
      </c>
      <c r="E1998" s="10">
        <v>24.8</v>
      </c>
      <c r="F1998" s="10">
        <v>8</v>
      </c>
      <c r="G1998" s="10">
        <v>3</v>
      </c>
      <c r="H1998" s="10">
        <v>4</v>
      </c>
      <c r="I1998" s="10">
        <v>6</v>
      </c>
      <c r="J1998">
        <v>2019</v>
      </c>
      <c r="K1998">
        <v>6</v>
      </c>
      <c r="L1998">
        <v>276</v>
      </c>
      <c r="M1998" t="s">
        <v>55</v>
      </c>
    </row>
    <row r="1999" spans="1:13">
      <c r="A1999" t="s">
        <v>2056</v>
      </c>
      <c r="B1999" s="10">
        <v>3</v>
      </c>
      <c r="C1999" s="10">
        <v>4</v>
      </c>
      <c r="D1999" s="10">
        <v>0</v>
      </c>
      <c r="E1999" s="10">
        <v>25</v>
      </c>
      <c r="F1999" s="10">
        <v>11</v>
      </c>
      <c r="G1999" s="10">
        <v>2</v>
      </c>
      <c r="H1999" s="10">
        <v>12</v>
      </c>
      <c r="I1999" s="10">
        <v>5</v>
      </c>
      <c r="J1999">
        <v>2019</v>
      </c>
      <c r="K1999">
        <v>6</v>
      </c>
      <c r="L1999">
        <v>276</v>
      </c>
      <c r="M1999" t="s">
        <v>57</v>
      </c>
    </row>
    <row r="2000" spans="1:13">
      <c r="A2000" t="s">
        <v>2057</v>
      </c>
      <c r="B2000" s="10">
        <v>9.33</v>
      </c>
      <c r="C2000" s="10">
        <v>4.792</v>
      </c>
      <c r="D2000" s="10">
        <v>5.5</v>
      </c>
      <c r="E2000" s="10">
        <v>18.2</v>
      </c>
      <c r="F2000" s="10">
        <v>1</v>
      </c>
      <c r="G2000" s="10">
        <v>0</v>
      </c>
      <c r="H2000" s="10">
        <v>10</v>
      </c>
      <c r="I2000" s="10">
        <v>1</v>
      </c>
      <c r="J2000">
        <v>2019</v>
      </c>
      <c r="K2000">
        <v>6</v>
      </c>
      <c r="L2000">
        <v>276</v>
      </c>
      <c r="M2000" t="s">
        <v>59</v>
      </c>
    </row>
    <row r="2001" spans="1:13">
      <c r="A2001" t="s">
        <v>2058</v>
      </c>
      <c r="B2001" s="10">
        <v>10</v>
      </c>
      <c r="C2001" s="10">
        <v>4.68</v>
      </c>
      <c r="D2001" s="10">
        <v>3.1</v>
      </c>
      <c r="E2001" s="10">
        <v>19</v>
      </c>
      <c r="F2001" s="10">
        <v>9</v>
      </c>
      <c r="G2001" s="10">
        <v>3</v>
      </c>
      <c r="H2001" s="10">
        <v>3</v>
      </c>
      <c r="I2001" s="10">
        <v>7</v>
      </c>
      <c r="J2001">
        <v>2019</v>
      </c>
      <c r="K2001">
        <v>6</v>
      </c>
      <c r="L2001">
        <v>276</v>
      </c>
      <c r="M2001" t="s">
        <v>61</v>
      </c>
    </row>
    <row r="2002" spans="1:13">
      <c r="A2002" t="s">
        <v>2059</v>
      </c>
      <c r="B2002" s="10">
        <v>2.34</v>
      </c>
      <c r="C2002" s="10">
        <v>2.638</v>
      </c>
      <c r="D2002" s="10">
        <v>5</v>
      </c>
      <c r="E2002" s="10">
        <v>12</v>
      </c>
      <c r="F2002" s="10">
        <v>10</v>
      </c>
      <c r="G2002" s="10">
        <v>1</v>
      </c>
      <c r="H2002" s="10">
        <v>0</v>
      </c>
      <c r="I2002" s="10">
        <v>3</v>
      </c>
      <c r="J2002">
        <v>2019</v>
      </c>
      <c r="K2002">
        <v>6</v>
      </c>
      <c r="L2002">
        <v>276</v>
      </c>
      <c r="M2002" t="s">
        <v>63</v>
      </c>
    </row>
    <row r="2003" spans="1:13">
      <c r="A2003" t="s">
        <v>2060</v>
      </c>
      <c r="B2003" s="10">
        <v>2</v>
      </c>
      <c r="C2003" s="10">
        <v>3.44</v>
      </c>
      <c r="D2003" s="10">
        <v>1</v>
      </c>
      <c r="E2003" s="10">
        <v>11.6</v>
      </c>
      <c r="F2003" s="10">
        <v>5</v>
      </c>
      <c r="G2003" s="10">
        <v>1</v>
      </c>
      <c r="H2003" s="10">
        <v>0</v>
      </c>
      <c r="I2003" s="10">
        <v>5</v>
      </c>
      <c r="J2003">
        <v>2019</v>
      </c>
      <c r="K2003">
        <v>6</v>
      </c>
      <c r="L2003">
        <v>276</v>
      </c>
      <c r="M2003" t="s">
        <v>65</v>
      </c>
    </row>
    <row r="2004" spans="1:13">
      <c r="A2004" t="s">
        <v>2061</v>
      </c>
      <c r="B2004" s="10">
        <v>8.16</v>
      </c>
      <c r="C2004" s="10">
        <v>6.33</v>
      </c>
      <c r="D2004" s="10">
        <v>4</v>
      </c>
      <c r="E2004" s="10">
        <v>15</v>
      </c>
      <c r="F2004" s="10">
        <v>5</v>
      </c>
      <c r="G2004" s="10">
        <v>1</v>
      </c>
      <c r="H2004" s="10">
        <v>7</v>
      </c>
      <c r="I2004" s="10">
        <v>2</v>
      </c>
      <c r="J2004">
        <v>2019</v>
      </c>
      <c r="K2004">
        <v>6</v>
      </c>
      <c r="L2004">
        <v>276</v>
      </c>
      <c r="M2004" t="s">
        <v>53</v>
      </c>
    </row>
    <row r="2005" spans="1:13">
      <c r="A2005" t="s">
        <v>2062</v>
      </c>
      <c r="B2005" s="10">
        <v>4.33</v>
      </c>
      <c r="C2005" s="10">
        <v>1.496</v>
      </c>
      <c r="D2005" s="10">
        <v>2</v>
      </c>
      <c r="E2005" s="10">
        <v>15</v>
      </c>
      <c r="F2005" s="10">
        <v>5</v>
      </c>
      <c r="G2005" s="10">
        <v>0</v>
      </c>
      <c r="H2005" s="10">
        <v>2</v>
      </c>
      <c r="I2005" s="10">
        <v>3</v>
      </c>
      <c r="J2005">
        <v>2019</v>
      </c>
      <c r="K2005">
        <v>6</v>
      </c>
      <c r="L2005">
        <v>276</v>
      </c>
      <c r="M2005" t="s">
        <v>55</v>
      </c>
    </row>
    <row r="2006" spans="1:13">
      <c r="A2006" t="s">
        <v>2063</v>
      </c>
      <c r="B2006" s="10">
        <v>1.18</v>
      </c>
      <c r="C2006" s="10">
        <v>5.7</v>
      </c>
      <c r="D2006" s="10">
        <v>5</v>
      </c>
      <c r="E2006" s="10">
        <v>18.3</v>
      </c>
      <c r="F2006" s="10">
        <v>2</v>
      </c>
      <c r="G2006" s="10">
        <v>0</v>
      </c>
      <c r="H2006" s="10">
        <v>5</v>
      </c>
      <c r="I2006" s="10">
        <v>2</v>
      </c>
      <c r="J2006">
        <v>2019</v>
      </c>
      <c r="K2006">
        <v>6</v>
      </c>
      <c r="L2006">
        <v>276</v>
      </c>
      <c r="M2006" t="s">
        <v>57</v>
      </c>
    </row>
    <row r="2007" spans="1:13">
      <c r="A2007" t="s">
        <v>2064</v>
      </c>
      <c r="B2007" s="10">
        <v>6</v>
      </c>
      <c r="C2007" s="10">
        <v>6.159</v>
      </c>
      <c r="D2007" s="10">
        <v>0</v>
      </c>
      <c r="E2007" s="10">
        <v>40</v>
      </c>
      <c r="F2007" s="10">
        <v>5</v>
      </c>
      <c r="G2007" s="10">
        <v>0</v>
      </c>
      <c r="H2007" s="10">
        <v>11</v>
      </c>
      <c r="I2007" s="10">
        <v>5</v>
      </c>
      <c r="J2007">
        <v>2019</v>
      </c>
      <c r="K2007">
        <v>6</v>
      </c>
      <c r="L2007">
        <v>276</v>
      </c>
      <c r="M2007" t="s">
        <v>59</v>
      </c>
    </row>
    <row r="2008" spans="1:13">
      <c r="A2008" t="s">
        <v>2065</v>
      </c>
      <c r="B2008" s="10">
        <v>5.33</v>
      </c>
      <c r="C2008" s="10">
        <v>2</v>
      </c>
      <c r="D2008" s="10">
        <v>1</v>
      </c>
      <c r="E2008" s="10">
        <v>14</v>
      </c>
      <c r="F2008" s="10">
        <v>7</v>
      </c>
      <c r="G2008" s="10">
        <v>0</v>
      </c>
      <c r="H2008" s="10">
        <v>8</v>
      </c>
      <c r="I2008" s="10">
        <v>4</v>
      </c>
      <c r="J2008">
        <v>2019</v>
      </c>
      <c r="K2008">
        <v>7</v>
      </c>
      <c r="L2008">
        <v>276</v>
      </c>
      <c r="M2008" t="s">
        <v>61</v>
      </c>
    </row>
    <row r="2009" spans="1:13">
      <c r="A2009" t="s">
        <v>2066</v>
      </c>
      <c r="B2009" s="10">
        <v>5.66</v>
      </c>
      <c r="C2009" s="10">
        <v>3.012</v>
      </c>
      <c r="D2009" s="10">
        <v>4</v>
      </c>
      <c r="E2009" s="10">
        <v>14</v>
      </c>
      <c r="F2009" s="10">
        <v>9</v>
      </c>
      <c r="G2009" s="10">
        <v>0</v>
      </c>
      <c r="H2009" s="10">
        <v>1</v>
      </c>
      <c r="I2009" s="10">
        <v>4.3</v>
      </c>
      <c r="J2009">
        <v>2019</v>
      </c>
      <c r="K2009">
        <v>7</v>
      </c>
      <c r="L2009">
        <v>276</v>
      </c>
      <c r="M2009" t="s">
        <v>63</v>
      </c>
    </row>
    <row r="2010" spans="1:13">
      <c r="A2010" t="s">
        <v>2067</v>
      </c>
      <c r="B2010" s="10">
        <v>4</v>
      </c>
      <c r="C2010" s="10">
        <v>2.849</v>
      </c>
      <c r="D2010" s="10">
        <v>4</v>
      </c>
      <c r="E2010" s="10">
        <v>30.05</v>
      </c>
      <c r="F2010" s="10">
        <v>9</v>
      </c>
      <c r="G2010" s="10">
        <v>0</v>
      </c>
      <c r="H2010" s="10">
        <v>1</v>
      </c>
      <c r="I2010" s="10">
        <v>4</v>
      </c>
      <c r="J2010">
        <v>2019</v>
      </c>
      <c r="K2010">
        <v>7</v>
      </c>
      <c r="L2010">
        <v>276</v>
      </c>
      <c r="M2010" t="s">
        <v>65</v>
      </c>
    </row>
    <row r="2011" spans="1:13">
      <c r="A2011" t="s">
        <v>2068</v>
      </c>
      <c r="B2011" s="10">
        <v>5.33</v>
      </c>
      <c r="C2011" s="10">
        <v>1.67</v>
      </c>
      <c r="D2011" s="10">
        <v>0</v>
      </c>
      <c r="E2011" s="10">
        <v>13</v>
      </c>
      <c r="F2011" s="10">
        <v>7</v>
      </c>
      <c r="G2011" s="10">
        <v>1</v>
      </c>
      <c r="H2011" s="10">
        <v>3</v>
      </c>
      <c r="I2011" s="10">
        <v>6.5</v>
      </c>
      <c r="J2011">
        <v>2019</v>
      </c>
      <c r="K2011">
        <v>7</v>
      </c>
      <c r="L2011">
        <v>276</v>
      </c>
      <c r="M2011" t="s">
        <v>53</v>
      </c>
    </row>
    <row r="2012" spans="1:13">
      <c r="A2012" t="s">
        <v>2069</v>
      </c>
      <c r="B2012" s="10">
        <v>4.33</v>
      </c>
      <c r="C2012" s="10">
        <v>3.08</v>
      </c>
      <c r="D2012" s="10">
        <v>4</v>
      </c>
      <c r="E2012" s="10">
        <v>20</v>
      </c>
      <c r="F2012" s="10">
        <v>11</v>
      </c>
      <c r="G2012" s="10">
        <v>0</v>
      </c>
      <c r="H2012" s="10">
        <v>0</v>
      </c>
      <c r="I2012" s="10">
        <v>2</v>
      </c>
      <c r="J2012">
        <v>2019</v>
      </c>
      <c r="K2012">
        <v>7</v>
      </c>
      <c r="L2012">
        <v>276</v>
      </c>
      <c r="M2012" t="s">
        <v>55</v>
      </c>
    </row>
    <row r="2013" spans="1:13">
      <c r="A2013" t="s">
        <v>2070</v>
      </c>
      <c r="B2013" s="10">
        <v>4.34</v>
      </c>
      <c r="C2013" s="10">
        <v>1.703</v>
      </c>
      <c r="D2013" s="10">
        <v>3</v>
      </c>
      <c r="E2013" s="10">
        <v>16</v>
      </c>
      <c r="F2013" s="10">
        <v>2</v>
      </c>
      <c r="G2013" s="10">
        <v>0</v>
      </c>
      <c r="H2013" s="10">
        <v>1</v>
      </c>
      <c r="I2013" s="10">
        <v>3</v>
      </c>
      <c r="J2013">
        <v>2019</v>
      </c>
      <c r="K2013">
        <v>7</v>
      </c>
      <c r="L2013">
        <v>276</v>
      </c>
      <c r="M2013" t="s">
        <v>57</v>
      </c>
    </row>
    <row r="2014" spans="1:13">
      <c r="A2014" t="s">
        <v>2071</v>
      </c>
      <c r="B2014" s="10">
        <v>5.66</v>
      </c>
      <c r="C2014" s="10">
        <v>6.463</v>
      </c>
      <c r="D2014" s="10">
        <v>3</v>
      </c>
      <c r="E2014" s="10">
        <v>25</v>
      </c>
      <c r="F2014" s="10">
        <v>2</v>
      </c>
      <c r="G2014" s="10">
        <v>0</v>
      </c>
      <c r="H2014" s="10">
        <v>3</v>
      </c>
      <c r="I2014" s="10">
        <v>5</v>
      </c>
      <c r="J2014">
        <v>2019</v>
      </c>
      <c r="K2014">
        <v>7</v>
      </c>
      <c r="L2014">
        <v>276</v>
      </c>
      <c r="M2014" t="s">
        <v>59</v>
      </c>
    </row>
    <row r="2015" spans="1:13">
      <c r="A2015" t="s">
        <v>2072</v>
      </c>
      <c r="B2015" s="10">
        <v>6</v>
      </c>
      <c r="C2015" s="10">
        <v>4.373</v>
      </c>
      <c r="D2015" s="10">
        <v>2</v>
      </c>
      <c r="E2015" s="10">
        <v>21.4</v>
      </c>
      <c r="F2015" s="10">
        <v>9.199999999999999</v>
      </c>
      <c r="G2015" s="10">
        <v>1</v>
      </c>
      <c r="H2015" s="10">
        <v>4</v>
      </c>
      <c r="I2015" s="10">
        <v>4</v>
      </c>
      <c r="J2015">
        <v>2019</v>
      </c>
      <c r="K2015">
        <v>7</v>
      </c>
      <c r="L2015">
        <v>276</v>
      </c>
      <c r="M2015" t="s">
        <v>61</v>
      </c>
    </row>
    <row r="2016" spans="1:13">
      <c r="A2016" t="s">
        <v>2073</v>
      </c>
      <c r="B2016" s="10">
        <v>2.67</v>
      </c>
      <c r="C2016" s="10">
        <v>2.703</v>
      </c>
      <c r="D2016" s="10">
        <v>8</v>
      </c>
      <c r="E2016" s="10">
        <v>15</v>
      </c>
      <c r="F2016" s="10">
        <v>12</v>
      </c>
      <c r="G2016" s="10">
        <v>4</v>
      </c>
      <c r="H2016" s="10">
        <v>3</v>
      </c>
      <c r="I2016" s="10">
        <v>2</v>
      </c>
      <c r="J2016">
        <v>2019</v>
      </c>
      <c r="K2016">
        <v>7</v>
      </c>
      <c r="L2016">
        <v>276</v>
      </c>
      <c r="M2016" t="s">
        <v>63</v>
      </c>
    </row>
    <row r="2017" spans="1:13">
      <c r="A2017" t="s">
        <v>2074</v>
      </c>
      <c r="B2017" s="10">
        <v>10</v>
      </c>
      <c r="C2017" s="10">
        <v>5.67</v>
      </c>
      <c r="D2017" s="10">
        <v>5</v>
      </c>
      <c r="E2017" s="10">
        <v>19.6</v>
      </c>
      <c r="F2017" s="10">
        <v>10.2</v>
      </c>
      <c r="G2017" s="10">
        <v>0</v>
      </c>
      <c r="H2017" s="10">
        <v>1</v>
      </c>
      <c r="I2017" s="10">
        <v>4</v>
      </c>
      <c r="J2017">
        <v>2019</v>
      </c>
      <c r="K2017">
        <v>7</v>
      </c>
      <c r="L2017">
        <v>276</v>
      </c>
      <c r="M2017" t="s">
        <v>65</v>
      </c>
    </row>
    <row r="2018" spans="1:13">
      <c r="A2018" t="s">
        <v>2075</v>
      </c>
      <c r="B2018" s="10">
        <v>3.33</v>
      </c>
      <c r="C2018" s="10">
        <v>4.726</v>
      </c>
      <c r="D2018" s="10">
        <v>4</v>
      </c>
      <c r="E2018" s="10">
        <v>19</v>
      </c>
      <c r="F2018" s="10">
        <v>7</v>
      </c>
      <c r="G2018" s="10">
        <v>0</v>
      </c>
      <c r="H2018" s="10">
        <v>0</v>
      </c>
      <c r="I2018" s="10">
        <v>3</v>
      </c>
      <c r="J2018">
        <v>2019</v>
      </c>
      <c r="K2018">
        <v>7</v>
      </c>
      <c r="L2018">
        <v>276</v>
      </c>
      <c r="M2018" t="s">
        <v>53</v>
      </c>
    </row>
    <row r="2019" spans="1:13">
      <c r="A2019" t="s">
        <v>2076</v>
      </c>
      <c r="B2019" s="10">
        <v>11</v>
      </c>
      <c r="C2019" s="10">
        <v>5.09</v>
      </c>
      <c r="D2019" s="10">
        <v>4.05</v>
      </c>
      <c r="E2019" s="10">
        <v>34</v>
      </c>
      <c r="F2019" s="10">
        <v>7.2</v>
      </c>
      <c r="G2019" s="10">
        <v>0</v>
      </c>
      <c r="H2019" s="10">
        <v>2</v>
      </c>
      <c r="I2019" s="10">
        <v>2</v>
      </c>
      <c r="J2019">
        <v>2019</v>
      </c>
      <c r="K2019">
        <v>7</v>
      </c>
      <c r="L2019">
        <v>276</v>
      </c>
      <c r="M2019" t="s">
        <v>55</v>
      </c>
    </row>
    <row r="2020" spans="1:13">
      <c r="A2020" t="s">
        <v>2077</v>
      </c>
      <c r="B2020" s="10">
        <v>5</v>
      </c>
      <c r="C2020" s="10">
        <v>3.417</v>
      </c>
      <c r="D2020" s="10">
        <v>1</v>
      </c>
      <c r="E2020" s="10">
        <v>17.6</v>
      </c>
      <c r="F2020" s="10">
        <v>5</v>
      </c>
      <c r="G2020" s="10">
        <v>3</v>
      </c>
      <c r="H2020" s="10">
        <v>0</v>
      </c>
      <c r="I2020" s="10">
        <v>5</v>
      </c>
      <c r="J2020">
        <v>2019</v>
      </c>
      <c r="K2020">
        <v>7</v>
      </c>
      <c r="L2020">
        <v>276</v>
      </c>
      <c r="M2020" t="s">
        <v>57</v>
      </c>
    </row>
    <row r="2021" spans="1:13">
      <c r="A2021" t="s">
        <v>2078</v>
      </c>
      <c r="B2021" s="10">
        <v>6</v>
      </c>
      <c r="C2021" s="10">
        <v>5.34</v>
      </c>
      <c r="D2021" s="10">
        <v>4</v>
      </c>
      <c r="E2021" s="10">
        <v>23</v>
      </c>
      <c r="F2021" s="10">
        <v>3</v>
      </c>
      <c r="G2021" s="10">
        <v>0</v>
      </c>
      <c r="H2021" s="10">
        <v>5</v>
      </c>
      <c r="I2021" s="10">
        <v>1</v>
      </c>
      <c r="J2021">
        <v>2019</v>
      </c>
      <c r="K2021">
        <v>7</v>
      </c>
      <c r="L2021">
        <v>276</v>
      </c>
      <c r="M2021" t="s">
        <v>59</v>
      </c>
    </row>
    <row r="2022" spans="1:13">
      <c r="A2022" t="s">
        <v>2079</v>
      </c>
      <c r="B2022" s="10">
        <v>7.33</v>
      </c>
      <c r="C2022" s="10">
        <v>1.67</v>
      </c>
      <c r="D2022" s="10">
        <v>4.55</v>
      </c>
      <c r="E2022" s="10">
        <v>24</v>
      </c>
      <c r="F2022" s="10">
        <v>6</v>
      </c>
      <c r="G2022" s="10">
        <v>1</v>
      </c>
      <c r="H2022" s="10">
        <v>0</v>
      </c>
      <c r="I2022" s="10">
        <v>7</v>
      </c>
      <c r="J2022">
        <v>2019</v>
      </c>
      <c r="K2022">
        <v>7</v>
      </c>
      <c r="L2022">
        <v>276</v>
      </c>
      <c r="M2022" t="s">
        <v>61</v>
      </c>
    </row>
    <row r="2023" spans="1:13">
      <c r="A2023" t="s">
        <v>2080</v>
      </c>
      <c r="B2023" s="10">
        <v>7</v>
      </c>
      <c r="C2023" s="10">
        <v>3.34</v>
      </c>
      <c r="D2023" s="10">
        <v>3</v>
      </c>
      <c r="E2023" s="10">
        <v>14</v>
      </c>
      <c r="F2023" s="10">
        <v>7</v>
      </c>
      <c r="G2023" s="10">
        <v>0</v>
      </c>
      <c r="H2023" s="10">
        <v>2</v>
      </c>
      <c r="I2023" s="10">
        <v>4</v>
      </c>
      <c r="J2023">
        <v>2019</v>
      </c>
      <c r="K2023">
        <v>7</v>
      </c>
      <c r="L2023">
        <v>276</v>
      </c>
      <c r="M2023" t="s">
        <v>63</v>
      </c>
    </row>
    <row r="2024" spans="1:13">
      <c r="A2024" t="s">
        <v>2081</v>
      </c>
      <c r="B2024" s="10">
        <v>3.99</v>
      </c>
      <c r="C2024" s="10">
        <v>0.157</v>
      </c>
      <c r="D2024" s="10">
        <v>2.5</v>
      </c>
      <c r="E2024" s="10">
        <v>26</v>
      </c>
      <c r="F2024" s="10">
        <v>7</v>
      </c>
      <c r="G2024" s="10">
        <v>1</v>
      </c>
      <c r="H2024" s="10">
        <v>0</v>
      </c>
      <c r="I2024" s="10">
        <v>2</v>
      </c>
      <c r="J2024">
        <v>2019</v>
      </c>
      <c r="K2024">
        <v>7</v>
      </c>
      <c r="L2024">
        <v>276</v>
      </c>
      <c r="M2024" t="s">
        <v>65</v>
      </c>
    </row>
    <row r="2025" spans="1:13">
      <c r="A2025" t="s">
        <v>2082</v>
      </c>
      <c r="B2025" s="10">
        <v>11</v>
      </c>
      <c r="C2025" s="10">
        <v>3.33</v>
      </c>
      <c r="D2025" s="10">
        <v>1.3</v>
      </c>
      <c r="E2025" s="10">
        <v>24</v>
      </c>
      <c r="F2025" s="10">
        <v>11</v>
      </c>
      <c r="G2025" s="10">
        <v>0</v>
      </c>
      <c r="H2025" s="10">
        <v>3</v>
      </c>
      <c r="I2025" s="10">
        <v>3</v>
      </c>
      <c r="J2025">
        <v>2019</v>
      </c>
      <c r="K2025">
        <v>7</v>
      </c>
      <c r="L2025">
        <v>276</v>
      </c>
      <c r="M2025" t="s">
        <v>53</v>
      </c>
    </row>
    <row r="2026" spans="1:13">
      <c r="A2026" t="s">
        <v>2083</v>
      </c>
      <c r="B2026" s="10">
        <v>7.33</v>
      </c>
      <c r="C2026" s="10">
        <v>5.34</v>
      </c>
      <c r="D2026" s="10">
        <v>4</v>
      </c>
      <c r="E2026" s="10">
        <v>28</v>
      </c>
      <c r="F2026" s="10">
        <v>15</v>
      </c>
      <c r="G2026" s="10">
        <v>0</v>
      </c>
      <c r="H2026" s="10">
        <v>3</v>
      </c>
      <c r="I2026" s="10">
        <v>7</v>
      </c>
      <c r="J2026">
        <v>2019</v>
      </c>
      <c r="K2026">
        <v>7</v>
      </c>
      <c r="L2026">
        <v>276</v>
      </c>
      <c r="M2026" t="s">
        <v>55</v>
      </c>
    </row>
    <row r="2027" spans="1:13">
      <c r="A2027" t="s">
        <v>2084</v>
      </c>
      <c r="B2027" s="10">
        <v>4.34</v>
      </c>
      <c r="C2027" s="10">
        <v>4.449</v>
      </c>
      <c r="D2027" s="10">
        <v>1</v>
      </c>
      <c r="E2027" s="10">
        <v>17.2</v>
      </c>
      <c r="F2027" s="10">
        <v>4</v>
      </c>
      <c r="G2027" s="10">
        <v>0</v>
      </c>
      <c r="H2027" s="10">
        <v>6</v>
      </c>
      <c r="I2027" s="10">
        <v>2</v>
      </c>
      <c r="J2027">
        <v>2019</v>
      </c>
      <c r="K2027">
        <v>7</v>
      </c>
      <c r="L2027">
        <v>276</v>
      </c>
      <c r="M2027" t="s">
        <v>57</v>
      </c>
    </row>
    <row r="2028" spans="1:13">
      <c r="A2028" t="s">
        <v>2085</v>
      </c>
      <c r="B2028" s="10">
        <v>6.34</v>
      </c>
      <c r="C2028" s="10">
        <v>0.363</v>
      </c>
      <c r="D2028" s="10">
        <v>1.1</v>
      </c>
      <c r="E2028" s="10">
        <v>16</v>
      </c>
      <c r="F2028" s="10">
        <v>5</v>
      </c>
      <c r="G2028" s="10">
        <v>0</v>
      </c>
      <c r="H2028" s="10">
        <v>1</v>
      </c>
      <c r="I2028" s="10">
        <v>3</v>
      </c>
      <c r="J2028">
        <v>2019</v>
      </c>
      <c r="K2028">
        <v>7</v>
      </c>
      <c r="L2028">
        <v>276</v>
      </c>
      <c r="M2028" t="s">
        <v>59</v>
      </c>
    </row>
    <row r="2029" spans="1:13">
      <c r="A2029" t="s">
        <v>2086</v>
      </c>
      <c r="B2029" s="10">
        <v>1</v>
      </c>
      <c r="C2029" s="10">
        <v>2.66</v>
      </c>
      <c r="D2029" s="10">
        <v>2</v>
      </c>
      <c r="E2029" s="10">
        <v>14.25</v>
      </c>
      <c r="F2029" s="10">
        <v>10</v>
      </c>
      <c r="G2029" s="10">
        <v>0</v>
      </c>
      <c r="H2029" s="10">
        <v>0</v>
      </c>
      <c r="I2029" s="10">
        <v>6</v>
      </c>
      <c r="J2029">
        <v>2019</v>
      </c>
      <c r="K2029">
        <v>7</v>
      </c>
      <c r="L2029">
        <v>276</v>
      </c>
      <c r="M2029" t="s">
        <v>61</v>
      </c>
    </row>
    <row r="2030" spans="1:13">
      <c r="A2030" t="s">
        <v>2087</v>
      </c>
      <c r="B2030" s="10">
        <v>1.34</v>
      </c>
      <c r="C2030" s="10">
        <v>0.67</v>
      </c>
      <c r="D2030" s="10">
        <v>5.2</v>
      </c>
      <c r="E2030" s="10">
        <v>7.25</v>
      </c>
      <c r="F2030" s="10">
        <v>11</v>
      </c>
      <c r="G2030" s="10">
        <v>0</v>
      </c>
      <c r="H2030" s="10">
        <v>7</v>
      </c>
      <c r="I2030" s="10">
        <v>2.4</v>
      </c>
      <c r="J2030">
        <v>2019</v>
      </c>
      <c r="K2030">
        <v>7</v>
      </c>
      <c r="L2030">
        <v>276</v>
      </c>
      <c r="M2030" t="s">
        <v>63</v>
      </c>
    </row>
    <row r="2031" spans="1:13">
      <c r="A2031" t="s">
        <v>2088</v>
      </c>
      <c r="B2031" s="10">
        <v>8</v>
      </c>
      <c r="C2031" s="10">
        <v>3.769</v>
      </c>
      <c r="D2031" s="10">
        <v>2</v>
      </c>
      <c r="E2031" s="10">
        <v>30.875</v>
      </c>
      <c r="F2031" s="10">
        <v>19</v>
      </c>
      <c r="G2031" s="10">
        <v>0</v>
      </c>
      <c r="H2031" s="10">
        <v>2</v>
      </c>
      <c r="I2031" s="10">
        <v>1</v>
      </c>
      <c r="J2031">
        <v>2019</v>
      </c>
      <c r="K2031">
        <v>7</v>
      </c>
      <c r="L2031">
        <v>276</v>
      </c>
      <c r="M2031" t="s">
        <v>65</v>
      </c>
    </row>
    <row r="2032" spans="1:13">
      <c r="A2032" t="s">
        <v>2089</v>
      </c>
      <c r="B2032" s="10">
        <v>6</v>
      </c>
      <c r="C2032" s="10">
        <v>7</v>
      </c>
      <c r="D2032" s="10">
        <v>5</v>
      </c>
      <c r="E2032" s="10">
        <v>20</v>
      </c>
      <c r="F2032" s="10">
        <v>9</v>
      </c>
      <c r="G2032" s="10">
        <v>1</v>
      </c>
      <c r="H2032" s="10">
        <v>11</v>
      </c>
      <c r="I2032" s="10">
        <v>2</v>
      </c>
      <c r="J2032">
        <v>2019</v>
      </c>
      <c r="K2032">
        <v>7</v>
      </c>
      <c r="L2032">
        <v>276</v>
      </c>
      <c r="M2032" t="s">
        <v>53</v>
      </c>
    </row>
    <row r="2033" spans="1:13">
      <c r="A2033" t="s">
        <v>2090</v>
      </c>
      <c r="B2033" s="10">
        <v>12.5</v>
      </c>
      <c r="C2033" s="10">
        <v>4</v>
      </c>
      <c r="D2033" s="10">
        <v>0.1</v>
      </c>
      <c r="E2033" s="10">
        <v>17</v>
      </c>
      <c r="F2033" s="10">
        <v>12</v>
      </c>
      <c r="G2033" s="10">
        <v>0</v>
      </c>
      <c r="H2033" s="10">
        <v>8</v>
      </c>
      <c r="I2033" s="10">
        <v>3</v>
      </c>
      <c r="J2033">
        <v>2019</v>
      </c>
      <c r="K2033">
        <v>7</v>
      </c>
      <c r="L2033">
        <v>276</v>
      </c>
      <c r="M2033" t="s">
        <v>55</v>
      </c>
    </row>
    <row r="2034" spans="1:13">
      <c r="A2034" t="s">
        <v>2091</v>
      </c>
      <c r="B2034" s="10">
        <v>3.34</v>
      </c>
      <c r="C2034" s="10">
        <v>0</v>
      </c>
      <c r="D2034" s="10">
        <v>1</v>
      </c>
      <c r="E2034" s="10">
        <v>22</v>
      </c>
      <c r="F2034" s="10">
        <v>6</v>
      </c>
      <c r="G2034" s="10">
        <v>3</v>
      </c>
      <c r="H2034" s="10">
        <v>2</v>
      </c>
      <c r="I2034" s="10">
        <v>3.4</v>
      </c>
      <c r="J2034">
        <v>2019</v>
      </c>
      <c r="K2034">
        <v>7</v>
      </c>
      <c r="L2034">
        <v>276</v>
      </c>
      <c r="M2034" t="s">
        <v>57</v>
      </c>
    </row>
    <row r="2035" spans="1:13">
      <c r="A2035" t="s">
        <v>2092</v>
      </c>
      <c r="B2035" s="10">
        <v>4.34</v>
      </c>
      <c r="C2035" s="10">
        <v>1.34</v>
      </c>
      <c r="D2035" s="10">
        <v>4</v>
      </c>
      <c r="E2035" s="10">
        <v>13</v>
      </c>
      <c r="F2035" s="10">
        <v>3</v>
      </c>
      <c r="G2035" s="10">
        <v>1</v>
      </c>
      <c r="H2035" s="10">
        <v>0</v>
      </c>
      <c r="I2035" s="10">
        <v>0.6</v>
      </c>
      <c r="J2035">
        <v>2019</v>
      </c>
      <c r="K2035">
        <v>7</v>
      </c>
      <c r="L2035">
        <v>276</v>
      </c>
      <c r="M2035" t="s">
        <v>59</v>
      </c>
    </row>
    <row r="2036" spans="1:13">
      <c r="A2036" t="s">
        <v>2093</v>
      </c>
      <c r="B2036" s="10">
        <v>9</v>
      </c>
      <c r="C2036" s="10">
        <v>4.33</v>
      </c>
      <c r="D2036" s="10">
        <v>2</v>
      </c>
      <c r="E2036" s="10">
        <v>25.45</v>
      </c>
      <c r="F2036" s="10">
        <v>12</v>
      </c>
      <c r="G2036" s="10">
        <v>0</v>
      </c>
      <c r="H2036" s="10">
        <v>1</v>
      </c>
      <c r="I2036" s="10">
        <v>2</v>
      </c>
      <c r="J2036">
        <v>2019</v>
      </c>
      <c r="K2036">
        <v>7</v>
      </c>
      <c r="L2036">
        <v>276</v>
      </c>
      <c r="M2036" t="s">
        <v>61</v>
      </c>
    </row>
    <row r="2037" spans="1:13">
      <c r="A2037" t="s">
        <v>2094</v>
      </c>
      <c r="B2037" s="10">
        <v>9.5</v>
      </c>
      <c r="C2037" s="10">
        <v>6.187</v>
      </c>
      <c r="D2037" s="10">
        <v>5</v>
      </c>
      <c r="E2037" s="10">
        <v>19</v>
      </c>
      <c r="F2037" s="10">
        <v>9</v>
      </c>
      <c r="G2037" s="10">
        <v>4</v>
      </c>
      <c r="H2037" s="10">
        <v>33</v>
      </c>
      <c r="I2037" s="10">
        <v>5</v>
      </c>
      <c r="J2037">
        <v>2019</v>
      </c>
      <c r="K2037">
        <v>7</v>
      </c>
      <c r="L2037">
        <v>276</v>
      </c>
      <c r="M2037" t="s">
        <v>63</v>
      </c>
    </row>
    <row r="2038" spans="1:13">
      <c r="A2038" t="s">
        <v>2095</v>
      </c>
      <c r="B2038" s="10">
        <v>0</v>
      </c>
      <c r="C2038" s="10">
        <v>2.84</v>
      </c>
      <c r="D2038" s="10">
        <v>2</v>
      </c>
      <c r="E2038" s="10">
        <v>21</v>
      </c>
      <c r="F2038" s="10">
        <v>4</v>
      </c>
      <c r="G2038" s="10">
        <v>0</v>
      </c>
      <c r="H2038" s="10">
        <v>4</v>
      </c>
      <c r="I2038" s="10">
        <v>2</v>
      </c>
      <c r="J2038">
        <v>2019</v>
      </c>
      <c r="K2038">
        <v>7</v>
      </c>
      <c r="L2038">
        <v>276</v>
      </c>
      <c r="M2038" t="s">
        <v>65</v>
      </c>
    </row>
    <row r="2039" spans="1:13">
      <c r="A2039" t="s">
        <v>2096</v>
      </c>
      <c r="B2039" s="10">
        <v>8.67</v>
      </c>
      <c r="C2039" s="10">
        <v>0.913</v>
      </c>
      <c r="D2039" s="10">
        <v>2</v>
      </c>
      <c r="E2039" s="10">
        <v>37</v>
      </c>
      <c r="F2039" s="10">
        <v>6</v>
      </c>
      <c r="G2039" s="10">
        <v>0</v>
      </c>
      <c r="H2039" s="10">
        <v>1</v>
      </c>
      <c r="I2039" s="10">
        <v>2</v>
      </c>
      <c r="J2039">
        <v>2019</v>
      </c>
      <c r="K2039">
        <v>8</v>
      </c>
      <c r="L2039">
        <v>276</v>
      </c>
      <c r="M2039" t="s">
        <v>53</v>
      </c>
    </row>
    <row r="2040" spans="1:13">
      <c r="A2040" t="s">
        <v>2097</v>
      </c>
      <c r="B2040" s="10">
        <v>5</v>
      </c>
      <c r="C2040" s="10">
        <v>1.68</v>
      </c>
      <c r="D2040" s="10">
        <v>3</v>
      </c>
      <c r="E2040" s="10">
        <v>18</v>
      </c>
      <c r="F2040" s="10">
        <v>7</v>
      </c>
      <c r="G2040" s="10">
        <v>2</v>
      </c>
      <c r="H2040" s="10">
        <v>6</v>
      </c>
      <c r="I2040" s="10">
        <v>1</v>
      </c>
      <c r="J2040">
        <v>2019</v>
      </c>
      <c r="K2040">
        <v>8</v>
      </c>
      <c r="L2040">
        <v>276</v>
      </c>
      <c r="M2040" t="s">
        <v>55</v>
      </c>
    </row>
    <row r="2041" spans="1:13">
      <c r="A2041" t="s">
        <v>2098</v>
      </c>
      <c r="B2041" s="10">
        <v>5.34</v>
      </c>
      <c r="C2041" s="10">
        <v>4.68</v>
      </c>
      <c r="D2041" s="10">
        <v>2.3</v>
      </c>
      <c r="E2041" s="10">
        <v>12</v>
      </c>
      <c r="F2041" s="10">
        <v>6</v>
      </c>
      <c r="G2041" s="10">
        <v>5</v>
      </c>
      <c r="H2041" s="10">
        <v>1</v>
      </c>
      <c r="I2041" s="10">
        <v>3.4</v>
      </c>
      <c r="J2041">
        <v>2019</v>
      </c>
      <c r="K2041">
        <v>8</v>
      </c>
      <c r="L2041">
        <v>276</v>
      </c>
      <c r="M2041" t="s">
        <v>57</v>
      </c>
    </row>
    <row r="2042" spans="1:13">
      <c r="A2042" t="s">
        <v>2099</v>
      </c>
      <c r="B2042" s="10">
        <v>6.5</v>
      </c>
      <c r="C2042" s="10">
        <v>2.67</v>
      </c>
      <c r="D2042" s="10">
        <v>5</v>
      </c>
      <c r="E2042" s="10">
        <v>24</v>
      </c>
      <c r="F2042" s="10">
        <v>10</v>
      </c>
      <c r="G2042" s="10">
        <v>0</v>
      </c>
      <c r="H2042" s="10">
        <v>2</v>
      </c>
      <c r="I2042" s="10">
        <v>4.3</v>
      </c>
      <c r="J2042">
        <v>2019</v>
      </c>
      <c r="K2042">
        <v>8</v>
      </c>
      <c r="L2042">
        <v>276</v>
      </c>
      <c r="M2042" t="s">
        <v>59</v>
      </c>
    </row>
    <row r="2043" spans="1:13">
      <c r="A2043" t="s">
        <v>2100</v>
      </c>
      <c r="B2043" s="10">
        <v>4</v>
      </c>
      <c r="C2043" s="10">
        <v>1</v>
      </c>
      <c r="D2043" s="10">
        <v>4.3</v>
      </c>
      <c r="E2043" s="10">
        <v>6</v>
      </c>
      <c r="F2043" s="10">
        <v>7</v>
      </c>
      <c r="G2043" s="10">
        <v>1</v>
      </c>
      <c r="H2043" s="10">
        <v>5</v>
      </c>
      <c r="I2043" s="10">
        <v>0</v>
      </c>
      <c r="J2043">
        <v>2019</v>
      </c>
      <c r="K2043">
        <v>8</v>
      </c>
      <c r="L2043">
        <v>276</v>
      </c>
      <c r="M2043" t="s">
        <v>61</v>
      </c>
    </row>
    <row r="2044" spans="1:13">
      <c r="A2044" t="s">
        <v>2101</v>
      </c>
      <c r="B2044" s="10">
        <v>10</v>
      </c>
      <c r="C2044" s="10">
        <v>4.67</v>
      </c>
      <c r="D2044" s="10">
        <v>2</v>
      </c>
      <c r="E2044" s="10">
        <v>17.25</v>
      </c>
      <c r="F2044" s="10">
        <v>4</v>
      </c>
      <c r="G2044" s="10">
        <v>0</v>
      </c>
      <c r="H2044" s="10">
        <v>6</v>
      </c>
      <c r="I2044" s="10">
        <v>6</v>
      </c>
      <c r="J2044">
        <v>2019</v>
      </c>
      <c r="K2044">
        <v>8</v>
      </c>
      <c r="L2044">
        <v>276</v>
      </c>
      <c r="M2044" t="s">
        <v>63</v>
      </c>
    </row>
    <row r="2045" spans="1:13">
      <c r="A2045" t="s">
        <v>2102</v>
      </c>
      <c r="B2045" s="10">
        <v>6</v>
      </c>
      <c r="C2045" s="10">
        <v>1.759</v>
      </c>
      <c r="D2045" s="10">
        <v>2</v>
      </c>
      <c r="E2045" s="10">
        <v>9</v>
      </c>
      <c r="F2045" s="10">
        <v>7</v>
      </c>
      <c r="G2045" s="10">
        <v>0</v>
      </c>
      <c r="H2045" s="10">
        <v>21</v>
      </c>
      <c r="I2045" s="10">
        <v>3</v>
      </c>
      <c r="J2045">
        <v>2019</v>
      </c>
      <c r="K2045">
        <v>8</v>
      </c>
      <c r="L2045">
        <v>276</v>
      </c>
      <c r="M2045" t="s">
        <v>65</v>
      </c>
    </row>
    <row r="2046" spans="1:13">
      <c r="A2046" t="s">
        <v>2103</v>
      </c>
      <c r="B2046" s="10">
        <v>7.66</v>
      </c>
      <c r="C2046" s="10">
        <v>1.01</v>
      </c>
      <c r="D2046" s="10">
        <v>3</v>
      </c>
      <c r="E2046" s="10">
        <v>15</v>
      </c>
      <c r="F2046" s="10">
        <v>10</v>
      </c>
      <c r="G2046" s="10">
        <v>0</v>
      </c>
      <c r="H2046" s="10">
        <v>31</v>
      </c>
      <c r="I2046" s="10">
        <v>3</v>
      </c>
      <c r="J2046">
        <v>2019</v>
      </c>
      <c r="K2046">
        <v>8</v>
      </c>
      <c r="L2046">
        <v>276</v>
      </c>
      <c r="M2046" t="s">
        <v>53</v>
      </c>
    </row>
    <row r="2047" spans="1:13">
      <c r="A2047" t="s">
        <v>2104</v>
      </c>
      <c r="B2047" s="10">
        <v>3</v>
      </c>
      <c r="C2047" s="10">
        <v>3.25</v>
      </c>
      <c r="D2047" s="10">
        <v>0</v>
      </c>
      <c r="E2047" s="10">
        <v>8</v>
      </c>
      <c r="F2047" s="10">
        <v>13</v>
      </c>
      <c r="G2047" s="10">
        <v>5</v>
      </c>
      <c r="H2047" s="10">
        <v>1</v>
      </c>
      <c r="I2047" s="10">
        <v>5</v>
      </c>
      <c r="J2047">
        <v>2019</v>
      </c>
      <c r="K2047">
        <v>8</v>
      </c>
      <c r="L2047">
        <v>276</v>
      </c>
      <c r="M2047" t="s">
        <v>55</v>
      </c>
    </row>
    <row r="2048" spans="1:13">
      <c r="A2048" t="s">
        <v>2105</v>
      </c>
      <c r="B2048" s="10">
        <v>3.33</v>
      </c>
      <c r="C2048" s="10">
        <v>0.68</v>
      </c>
      <c r="D2048" s="10">
        <v>6</v>
      </c>
      <c r="E2048" s="10">
        <v>15</v>
      </c>
      <c r="F2048" s="10">
        <v>11</v>
      </c>
      <c r="G2048" s="10">
        <v>0</v>
      </c>
      <c r="H2048" s="10">
        <v>0</v>
      </c>
      <c r="I2048" s="10">
        <v>0</v>
      </c>
      <c r="J2048">
        <v>2019</v>
      </c>
      <c r="K2048">
        <v>8</v>
      </c>
      <c r="L2048">
        <v>276</v>
      </c>
      <c r="M2048" t="s">
        <v>57</v>
      </c>
    </row>
    <row r="2049" spans="1:13">
      <c r="A2049" t="s">
        <v>2106</v>
      </c>
      <c r="B2049" s="10">
        <v>7</v>
      </c>
      <c r="C2049" s="10">
        <v>6.85</v>
      </c>
      <c r="D2049" s="10">
        <v>4</v>
      </c>
      <c r="E2049" s="10">
        <v>16</v>
      </c>
      <c r="F2049" s="10">
        <v>5</v>
      </c>
      <c r="G2049" s="10">
        <v>2</v>
      </c>
      <c r="H2049" s="10">
        <v>2</v>
      </c>
      <c r="I2049" s="10">
        <v>3</v>
      </c>
      <c r="J2049">
        <v>2019</v>
      </c>
      <c r="K2049">
        <v>8</v>
      </c>
      <c r="L2049">
        <v>276</v>
      </c>
      <c r="M2049" t="s">
        <v>59</v>
      </c>
    </row>
    <row r="2050" spans="1:13">
      <c r="A2050" t="s">
        <v>2107</v>
      </c>
      <c r="B2050" s="10">
        <v>8.33</v>
      </c>
      <c r="C2050" s="10">
        <v>4.496</v>
      </c>
      <c r="D2050" s="10">
        <v>1</v>
      </c>
      <c r="E2050" s="10">
        <v>36</v>
      </c>
      <c r="F2050" s="10">
        <v>11</v>
      </c>
      <c r="G2050" s="10">
        <v>1</v>
      </c>
      <c r="H2050" s="10">
        <v>5</v>
      </c>
      <c r="I2050" s="10">
        <v>3.5</v>
      </c>
      <c r="J2050">
        <v>2019</v>
      </c>
      <c r="K2050">
        <v>8</v>
      </c>
      <c r="L2050">
        <v>276</v>
      </c>
      <c r="M2050" t="s">
        <v>61</v>
      </c>
    </row>
    <row r="2051" spans="1:13">
      <c r="A2051" t="s">
        <v>2108</v>
      </c>
      <c r="B2051" s="10">
        <v>8</v>
      </c>
      <c r="C2051" s="10">
        <v>1.896</v>
      </c>
      <c r="D2051" s="10">
        <v>2</v>
      </c>
      <c r="E2051" s="10">
        <v>15</v>
      </c>
      <c r="F2051" s="10">
        <v>3</v>
      </c>
      <c r="G2051" s="10">
        <v>0</v>
      </c>
      <c r="H2051" s="10">
        <v>2</v>
      </c>
      <c r="I2051" s="10">
        <v>1</v>
      </c>
      <c r="J2051">
        <v>2019</v>
      </c>
      <c r="K2051">
        <v>8</v>
      </c>
      <c r="L2051">
        <v>276</v>
      </c>
      <c r="M2051" t="s">
        <v>63</v>
      </c>
    </row>
    <row r="2052" spans="1:13">
      <c r="A2052" t="s">
        <v>2109</v>
      </c>
      <c r="B2052" s="10">
        <v>4.34</v>
      </c>
      <c r="C2052" s="10">
        <v>0.67</v>
      </c>
      <c r="D2052" s="10">
        <v>3.1</v>
      </c>
      <c r="E2052" s="10">
        <v>20</v>
      </c>
      <c r="F2052" s="10">
        <v>6</v>
      </c>
      <c r="G2052" s="10">
        <v>0</v>
      </c>
      <c r="H2052" s="10">
        <v>0</v>
      </c>
      <c r="I2052" s="10">
        <v>3</v>
      </c>
      <c r="J2052">
        <v>2019</v>
      </c>
      <c r="K2052">
        <v>8</v>
      </c>
      <c r="L2052">
        <v>276</v>
      </c>
      <c r="M2052" t="s">
        <v>65</v>
      </c>
    </row>
    <row r="2053" spans="1:13">
      <c r="A2053" t="s">
        <v>2110</v>
      </c>
      <c r="B2053" s="10">
        <v>8.67</v>
      </c>
      <c r="C2053" s="10">
        <v>1.99</v>
      </c>
      <c r="D2053" s="10">
        <v>2</v>
      </c>
      <c r="E2053" s="10">
        <v>12</v>
      </c>
      <c r="F2053" s="10">
        <v>9</v>
      </c>
      <c r="G2053" s="10">
        <v>0</v>
      </c>
      <c r="H2053" s="10">
        <v>11</v>
      </c>
      <c r="I2053" s="10">
        <v>2</v>
      </c>
      <c r="J2053">
        <v>2019</v>
      </c>
      <c r="K2053">
        <v>8</v>
      </c>
      <c r="L2053">
        <v>276</v>
      </c>
      <c r="M2053" t="s">
        <v>53</v>
      </c>
    </row>
    <row r="2054" spans="1:13">
      <c r="A2054" t="s">
        <v>2111</v>
      </c>
      <c r="B2054" s="10">
        <v>3.33</v>
      </c>
      <c r="C2054" s="10">
        <v>2.68</v>
      </c>
      <c r="D2054" s="10">
        <v>2</v>
      </c>
      <c r="E2054" s="10">
        <v>13</v>
      </c>
      <c r="F2054" s="10">
        <v>15</v>
      </c>
      <c r="G2054" s="10">
        <v>0</v>
      </c>
      <c r="H2054" s="10">
        <v>10</v>
      </c>
      <c r="I2054" s="10">
        <v>7</v>
      </c>
      <c r="J2054">
        <v>2019</v>
      </c>
      <c r="K2054">
        <v>8</v>
      </c>
      <c r="L2054">
        <v>276</v>
      </c>
      <c r="M2054" t="s">
        <v>55</v>
      </c>
    </row>
    <row r="2055" spans="1:13">
      <c r="A2055" t="s">
        <v>2112</v>
      </c>
      <c r="B2055" s="10">
        <v>7.67</v>
      </c>
      <c r="C2055" s="10">
        <v>4.531</v>
      </c>
      <c r="D2055" s="10">
        <v>2.45</v>
      </c>
      <c r="E2055" s="10">
        <v>18</v>
      </c>
      <c r="F2055" s="10">
        <v>5</v>
      </c>
      <c r="G2055" s="10">
        <v>1</v>
      </c>
      <c r="H2055" s="10">
        <v>0</v>
      </c>
      <c r="I2055" s="10">
        <v>2.5</v>
      </c>
      <c r="J2055">
        <v>2019</v>
      </c>
      <c r="K2055">
        <v>8</v>
      </c>
      <c r="L2055">
        <v>276</v>
      </c>
      <c r="M2055" t="s">
        <v>57</v>
      </c>
    </row>
    <row r="2056" spans="1:13">
      <c r="A2056" t="s">
        <v>2113</v>
      </c>
      <c r="B2056" s="10">
        <v>4.84</v>
      </c>
      <c r="C2056" s="10">
        <v>2.846</v>
      </c>
      <c r="D2056" s="10">
        <v>1</v>
      </c>
      <c r="E2056" s="10">
        <v>11</v>
      </c>
      <c r="F2056" s="10">
        <v>4</v>
      </c>
      <c r="G2056" s="10">
        <v>0</v>
      </c>
      <c r="H2056" s="10">
        <v>7</v>
      </c>
      <c r="I2056" s="10">
        <v>4</v>
      </c>
      <c r="J2056">
        <v>2019</v>
      </c>
      <c r="K2056">
        <v>8</v>
      </c>
      <c r="L2056">
        <v>276</v>
      </c>
      <c r="M2056" t="s">
        <v>59</v>
      </c>
    </row>
    <row r="2057" spans="1:13">
      <c r="A2057" t="s">
        <v>2114</v>
      </c>
      <c r="B2057" s="10">
        <v>3.68</v>
      </c>
      <c r="C2057" s="10">
        <v>3.67</v>
      </c>
      <c r="D2057" s="10">
        <v>4</v>
      </c>
      <c r="E2057" s="10">
        <v>9</v>
      </c>
      <c r="F2057" s="10">
        <v>11</v>
      </c>
      <c r="G2057" s="10">
        <v>2</v>
      </c>
      <c r="H2057" s="10">
        <v>0</v>
      </c>
      <c r="I2057" s="10">
        <v>4</v>
      </c>
      <c r="J2057">
        <v>2019</v>
      </c>
      <c r="K2057">
        <v>8</v>
      </c>
      <c r="L2057">
        <v>276</v>
      </c>
      <c r="M2057" t="s">
        <v>61</v>
      </c>
    </row>
    <row r="2058" spans="1:13">
      <c r="A2058" t="s">
        <v>2115</v>
      </c>
      <c r="B2058" s="10">
        <v>2</v>
      </c>
      <c r="C2058" s="10">
        <v>1.32</v>
      </c>
      <c r="D2058" s="10">
        <v>2</v>
      </c>
      <c r="E2058" s="10">
        <v>13.4</v>
      </c>
      <c r="F2058" s="10">
        <v>8</v>
      </c>
      <c r="G2058" s="10">
        <v>0</v>
      </c>
      <c r="H2058" s="10">
        <v>2</v>
      </c>
      <c r="I2058" s="10">
        <v>3</v>
      </c>
      <c r="J2058">
        <v>2019</v>
      </c>
      <c r="K2058">
        <v>8</v>
      </c>
      <c r="L2058">
        <v>276</v>
      </c>
      <c r="M2058" t="s">
        <v>63</v>
      </c>
    </row>
    <row r="2059" spans="1:13">
      <c r="A2059" t="s">
        <v>2116</v>
      </c>
      <c r="B2059" s="10">
        <v>4.34</v>
      </c>
      <c r="C2059" s="10">
        <v>4</v>
      </c>
      <c r="D2059" s="10">
        <v>0</v>
      </c>
      <c r="E2059" s="10">
        <v>19.45</v>
      </c>
      <c r="F2059" s="10">
        <v>10</v>
      </c>
      <c r="G2059" s="10">
        <v>0</v>
      </c>
      <c r="H2059" s="10">
        <v>5</v>
      </c>
      <c r="I2059" s="10">
        <v>3</v>
      </c>
      <c r="J2059">
        <v>2019</v>
      </c>
      <c r="K2059">
        <v>8</v>
      </c>
      <c r="L2059">
        <v>276</v>
      </c>
      <c r="M2059" t="s">
        <v>65</v>
      </c>
    </row>
    <row r="2060" spans="1:13">
      <c r="A2060" t="s">
        <v>2117</v>
      </c>
      <c r="B2060" s="10">
        <v>5.34</v>
      </c>
      <c r="C2060" s="10">
        <v>4</v>
      </c>
      <c r="D2060" s="10">
        <v>2</v>
      </c>
      <c r="E2060" s="10">
        <v>20</v>
      </c>
      <c r="F2060" s="10">
        <v>8</v>
      </c>
      <c r="G2060" s="10">
        <v>2</v>
      </c>
      <c r="H2060" s="10">
        <v>10</v>
      </c>
      <c r="I2060" s="10">
        <v>3</v>
      </c>
      <c r="J2060">
        <v>2019</v>
      </c>
      <c r="K2060">
        <v>8</v>
      </c>
      <c r="L2060">
        <v>276</v>
      </c>
      <c r="M2060" t="s">
        <v>53</v>
      </c>
    </row>
    <row r="2061" spans="1:13">
      <c r="A2061" t="s">
        <v>2118</v>
      </c>
      <c r="B2061" s="10">
        <v>9.67</v>
      </c>
      <c r="C2061" s="10">
        <v>5.156</v>
      </c>
      <c r="D2061" s="10">
        <v>4.05</v>
      </c>
      <c r="E2061" s="10">
        <v>12</v>
      </c>
      <c r="F2061" s="10">
        <v>11</v>
      </c>
      <c r="G2061" s="10">
        <v>2</v>
      </c>
      <c r="H2061" s="10">
        <v>4</v>
      </c>
      <c r="I2061" s="10">
        <v>2</v>
      </c>
      <c r="J2061">
        <v>2019</v>
      </c>
      <c r="K2061">
        <v>8</v>
      </c>
      <c r="L2061">
        <v>276</v>
      </c>
      <c r="M2061" t="s">
        <v>55</v>
      </c>
    </row>
    <row r="2062" spans="1:13">
      <c r="A2062" t="s">
        <v>2119</v>
      </c>
      <c r="B2062" s="10">
        <v>13.84</v>
      </c>
      <c r="C2062" s="10">
        <v>6.02</v>
      </c>
      <c r="D2062" s="10">
        <v>3</v>
      </c>
      <c r="E2062" s="10">
        <v>24.6</v>
      </c>
      <c r="F2062" s="10">
        <v>9</v>
      </c>
      <c r="G2062" s="10">
        <v>0</v>
      </c>
      <c r="H2062" s="10">
        <v>0</v>
      </c>
      <c r="I2062" s="10">
        <v>5.5</v>
      </c>
      <c r="J2062">
        <v>2019</v>
      </c>
      <c r="K2062">
        <v>8</v>
      </c>
      <c r="L2062">
        <v>276</v>
      </c>
      <c r="M2062" t="s">
        <v>57</v>
      </c>
    </row>
    <row r="2063" spans="1:13">
      <c r="A2063" t="s">
        <v>2120</v>
      </c>
      <c r="B2063" s="10">
        <v>3</v>
      </c>
      <c r="C2063" s="10">
        <v>3.35</v>
      </c>
      <c r="D2063" s="10">
        <v>2</v>
      </c>
      <c r="E2063" s="10">
        <v>17</v>
      </c>
      <c r="F2063" s="10">
        <v>4</v>
      </c>
      <c r="G2063" s="10">
        <v>0</v>
      </c>
      <c r="H2063" s="10">
        <v>3</v>
      </c>
      <c r="I2063" s="10">
        <v>0</v>
      </c>
      <c r="J2063">
        <v>2019</v>
      </c>
      <c r="K2063">
        <v>8</v>
      </c>
      <c r="L2063">
        <v>276</v>
      </c>
      <c r="M2063" t="s">
        <v>59</v>
      </c>
    </row>
    <row r="2064" spans="1:13">
      <c r="A2064" t="s">
        <v>2121</v>
      </c>
      <c r="B2064" s="10">
        <v>2.67</v>
      </c>
      <c r="C2064" s="10">
        <v>2.373</v>
      </c>
      <c r="D2064" s="10">
        <v>3</v>
      </c>
      <c r="E2064" s="10">
        <v>18</v>
      </c>
      <c r="F2064" s="10">
        <v>11</v>
      </c>
      <c r="G2064" s="10">
        <v>0</v>
      </c>
      <c r="H2064" s="10">
        <v>3</v>
      </c>
      <c r="I2064" s="10">
        <v>3</v>
      </c>
      <c r="J2064">
        <v>2019</v>
      </c>
      <c r="K2064">
        <v>8</v>
      </c>
      <c r="L2064">
        <v>276</v>
      </c>
      <c r="M2064" t="s">
        <v>61</v>
      </c>
    </row>
    <row r="2065" spans="1:13">
      <c r="A2065" t="s">
        <v>2122</v>
      </c>
      <c r="B2065" s="10">
        <v>2.34</v>
      </c>
      <c r="C2065" s="10">
        <v>2.01</v>
      </c>
      <c r="D2065" s="10">
        <v>3</v>
      </c>
      <c r="E2065" s="10">
        <v>21</v>
      </c>
      <c r="F2065" s="10">
        <v>3</v>
      </c>
      <c r="G2065" s="10">
        <v>0</v>
      </c>
      <c r="H2065" s="10">
        <v>0</v>
      </c>
      <c r="I2065" s="10">
        <v>5</v>
      </c>
      <c r="J2065">
        <v>2019</v>
      </c>
      <c r="K2065">
        <v>8</v>
      </c>
      <c r="L2065">
        <v>276</v>
      </c>
      <c r="M2065" t="s">
        <v>63</v>
      </c>
    </row>
    <row r="2066" spans="1:13">
      <c r="A2066" t="s">
        <v>2123</v>
      </c>
      <c r="B2066" s="10">
        <v>3.33</v>
      </c>
      <c r="C2066" s="10">
        <v>1.427</v>
      </c>
      <c r="D2066" s="10">
        <v>5</v>
      </c>
      <c r="E2066" s="10">
        <v>10</v>
      </c>
      <c r="F2066" s="10">
        <v>6</v>
      </c>
      <c r="G2066" s="10">
        <v>1</v>
      </c>
      <c r="H2066" s="10">
        <v>0</v>
      </c>
      <c r="I2066" s="10">
        <v>2</v>
      </c>
      <c r="J2066">
        <v>2019</v>
      </c>
      <c r="K2066">
        <v>8</v>
      </c>
      <c r="L2066">
        <v>276</v>
      </c>
      <c r="M2066" t="s">
        <v>65</v>
      </c>
    </row>
    <row r="2067" spans="1:13">
      <c r="A2067" t="s">
        <v>2124</v>
      </c>
      <c r="B2067" s="10">
        <v>9</v>
      </c>
      <c r="C2067" s="10">
        <v>1.68</v>
      </c>
      <c r="D2067" s="10">
        <v>5</v>
      </c>
      <c r="E2067" s="10">
        <v>17.4</v>
      </c>
      <c r="F2067" s="10">
        <v>9</v>
      </c>
      <c r="G2067" s="10">
        <v>1</v>
      </c>
      <c r="H2067" s="10">
        <v>1</v>
      </c>
      <c r="I2067" s="10">
        <v>2</v>
      </c>
      <c r="J2067">
        <v>2019</v>
      </c>
      <c r="K2067">
        <v>8</v>
      </c>
      <c r="L2067">
        <v>276</v>
      </c>
      <c r="M2067" t="s">
        <v>53</v>
      </c>
    </row>
    <row r="2068" spans="1:13">
      <c r="A2068" t="s">
        <v>2125</v>
      </c>
      <c r="B2068" s="10">
        <v>6.34</v>
      </c>
      <c r="C2068" s="10">
        <v>1.056</v>
      </c>
      <c r="D2068" s="10">
        <v>2</v>
      </c>
      <c r="E2068" s="10">
        <v>19</v>
      </c>
      <c r="F2068" s="10">
        <v>3</v>
      </c>
      <c r="G2068" s="10">
        <v>0</v>
      </c>
      <c r="H2068" s="10">
        <v>2</v>
      </c>
      <c r="I2068" s="10">
        <v>5.1</v>
      </c>
      <c r="J2068">
        <v>2019</v>
      </c>
      <c r="K2068">
        <v>8</v>
      </c>
      <c r="L2068">
        <v>276</v>
      </c>
      <c r="M2068" t="s">
        <v>55</v>
      </c>
    </row>
    <row r="2069" spans="1:13">
      <c r="A2069" t="s">
        <v>2126</v>
      </c>
      <c r="B2069" s="10">
        <v>4.68</v>
      </c>
      <c r="C2069" s="10">
        <v>3.936</v>
      </c>
      <c r="D2069" s="10">
        <v>2</v>
      </c>
      <c r="E2069" s="10">
        <v>15</v>
      </c>
      <c r="F2069" s="10">
        <v>5</v>
      </c>
      <c r="G2069" s="10">
        <v>1</v>
      </c>
      <c r="H2069" s="10">
        <v>4</v>
      </c>
      <c r="I2069" s="10">
        <v>6</v>
      </c>
      <c r="J2069">
        <v>2019</v>
      </c>
      <c r="K2069">
        <v>8</v>
      </c>
      <c r="L2069">
        <v>276</v>
      </c>
      <c r="M2069" t="s">
        <v>57</v>
      </c>
    </row>
    <row r="2070" spans="1:13">
      <c r="A2070" t="s">
        <v>2127</v>
      </c>
      <c r="B2070" s="10">
        <v>2</v>
      </c>
      <c r="C2070" s="10">
        <v>4.36</v>
      </c>
      <c r="D2070" s="10">
        <v>5</v>
      </c>
      <c r="E2070" s="10">
        <v>17</v>
      </c>
      <c r="F2070" s="10">
        <v>8.199999999999999</v>
      </c>
      <c r="G2070" s="10">
        <v>1</v>
      </c>
      <c r="H2070" s="10">
        <v>5</v>
      </c>
      <c r="I2070" s="10">
        <v>4</v>
      </c>
      <c r="J2070">
        <v>2019</v>
      </c>
      <c r="K2070">
        <v>9</v>
      </c>
      <c r="L2070">
        <v>276</v>
      </c>
      <c r="M2070" t="s">
        <v>59</v>
      </c>
    </row>
    <row r="2071" spans="1:13">
      <c r="A2071" t="s">
        <v>2128</v>
      </c>
      <c r="B2071" s="10">
        <v>5.33</v>
      </c>
      <c r="C2071" s="10">
        <v>2.087</v>
      </c>
      <c r="D2071" s="10">
        <v>2.5</v>
      </c>
      <c r="E2071" s="10">
        <v>18</v>
      </c>
      <c r="F2071" s="10">
        <v>7</v>
      </c>
      <c r="G2071" s="10">
        <v>0</v>
      </c>
      <c r="H2071" s="10">
        <v>1</v>
      </c>
      <c r="I2071" s="10">
        <v>9</v>
      </c>
      <c r="J2071">
        <v>2019</v>
      </c>
      <c r="K2071">
        <v>9</v>
      </c>
      <c r="L2071">
        <v>276</v>
      </c>
      <c r="M2071" t="s">
        <v>61</v>
      </c>
    </row>
    <row r="2072" spans="1:13">
      <c r="A2072" t="s">
        <v>2129</v>
      </c>
      <c r="B2072" s="10">
        <v>9.359999999999999</v>
      </c>
      <c r="C2072" s="10">
        <v>2.35</v>
      </c>
      <c r="D2072" s="10">
        <v>3.1</v>
      </c>
      <c r="E2072" s="10">
        <v>12.125</v>
      </c>
      <c r="F2072" s="10">
        <v>8</v>
      </c>
      <c r="G2072" s="10">
        <v>3</v>
      </c>
      <c r="H2072" s="10">
        <v>1</v>
      </c>
      <c r="I2072" s="10">
        <v>2</v>
      </c>
      <c r="J2072">
        <v>2019</v>
      </c>
      <c r="K2072">
        <v>9</v>
      </c>
      <c r="L2072">
        <v>276</v>
      </c>
      <c r="M2072" t="s">
        <v>63</v>
      </c>
    </row>
    <row r="2073" spans="1:13">
      <c r="A2073" t="s">
        <v>2130</v>
      </c>
      <c r="B2073" s="10">
        <v>2</v>
      </c>
      <c r="C2073" s="10">
        <v>0.373</v>
      </c>
      <c r="D2073" s="10">
        <v>2.15</v>
      </c>
      <c r="E2073" s="10">
        <v>29.23</v>
      </c>
      <c r="F2073" s="10">
        <v>7</v>
      </c>
      <c r="G2073" s="10">
        <v>0</v>
      </c>
      <c r="H2073" s="10">
        <v>3</v>
      </c>
      <c r="I2073" s="10">
        <v>3</v>
      </c>
      <c r="J2073">
        <v>2019</v>
      </c>
      <c r="K2073">
        <v>9</v>
      </c>
      <c r="L2073">
        <v>276</v>
      </c>
      <c r="M2073" t="s">
        <v>65</v>
      </c>
    </row>
    <row r="2074" spans="1:13">
      <c r="A2074" t="s">
        <v>2131</v>
      </c>
      <c r="B2074" s="10">
        <v>7</v>
      </c>
      <c r="C2074" s="10">
        <v>9.529999999999999</v>
      </c>
      <c r="D2074" s="10">
        <v>2</v>
      </c>
      <c r="E2074" s="10">
        <v>14</v>
      </c>
      <c r="F2074" s="10">
        <v>1</v>
      </c>
      <c r="G2074" s="10">
        <v>0</v>
      </c>
      <c r="H2074" s="10">
        <v>1</v>
      </c>
      <c r="I2074" s="10">
        <v>8</v>
      </c>
      <c r="J2074">
        <v>2019</v>
      </c>
      <c r="K2074">
        <v>9</v>
      </c>
      <c r="L2074">
        <v>276</v>
      </c>
      <c r="M2074" t="s">
        <v>53</v>
      </c>
    </row>
    <row r="2075" spans="1:13">
      <c r="A2075" t="s">
        <v>2132</v>
      </c>
      <c r="B2075" s="10">
        <v>1.68</v>
      </c>
      <c r="C2075" s="10">
        <v>2.67</v>
      </c>
      <c r="D2075" s="10">
        <v>1</v>
      </c>
      <c r="E2075" s="10">
        <v>28.4</v>
      </c>
      <c r="F2075" s="10">
        <v>7</v>
      </c>
      <c r="G2075" s="10">
        <v>0</v>
      </c>
      <c r="H2075" s="10">
        <v>0</v>
      </c>
      <c r="I2075" s="10">
        <v>1.5</v>
      </c>
      <c r="J2075">
        <v>2019</v>
      </c>
      <c r="K2075">
        <v>9</v>
      </c>
      <c r="L2075">
        <v>276</v>
      </c>
      <c r="M2075" t="s">
        <v>55</v>
      </c>
    </row>
    <row r="2076" spans="1:13">
      <c r="A2076" t="s">
        <v>2133</v>
      </c>
      <c r="B2076" s="10">
        <v>8.33</v>
      </c>
      <c r="C2076" s="10">
        <v>3.67</v>
      </c>
      <c r="D2076" s="10">
        <v>2</v>
      </c>
      <c r="E2076" s="10">
        <v>27</v>
      </c>
      <c r="F2076" s="10">
        <v>14</v>
      </c>
      <c r="G2076" s="10">
        <v>3</v>
      </c>
      <c r="H2076" s="10">
        <v>6</v>
      </c>
      <c r="I2076" s="10">
        <v>2</v>
      </c>
      <c r="J2076">
        <v>2019</v>
      </c>
      <c r="K2076">
        <v>9</v>
      </c>
      <c r="L2076">
        <v>276</v>
      </c>
      <c r="M2076" t="s">
        <v>57</v>
      </c>
    </row>
    <row r="2077" spans="1:13">
      <c r="A2077" t="s">
        <v>2134</v>
      </c>
      <c r="B2077" s="10">
        <v>7.01</v>
      </c>
      <c r="C2077" s="10">
        <v>6.087</v>
      </c>
      <c r="D2077" s="10">
        <v>3</v>
      </c>
      <c r="E2077" s="10">
        <v>26</v>
      </c>
      <c r="F2077" s="10">
        <v>7</v>
      </c>
      <c r="G2077" s="10">
        <v>0</v>
      </c>
      <c r="H2077" s="10">
        <v>3</v>
      </c>
      <c r="I2077" s="10">
        <v>3</v>
      </c>
      <c r="J2077">
        <v>2019</v>
      </c>
      <c r="K2077">
        <v>9</v>
      </c>
      <c r="L2077">
        <v>276</v>
      </c>
      <c r="M2077" t="s">
        <v>59</v>
      </c>
    </row>
    <row r="2078" spans="1:13">
      <c r="A2078" t="s">
        <v>2135</v>
      </c>
      <c r="B2078" s="10">
        <v>1.18</v>
      </c>
      <c r="C2078" s="10">
        <v>2.124</v>
      </c>
      <c r="D2078" s="10">
        <v>3</v>
      </c>
      <c r="E2078" s="10">
        <v>26</v>
      </c>
      <c r="F2078" s="10">
        <v>4</v>
      </c>
      <c r="G2078" s="10">
        <v>3</v>
      </c>
      <c r="H2078" s="10">
        <v>5</v>
      </c>
      <c r="I2078" s="10">
        <v>2</v>
      </c>
      <c r="J2078">
        <v>2019</v>
      </c>
      <c r="K2078">
        <v>9</v>
      </c>
      <c r="L2078">
        <v>276</v>
      </c>
      <c r="M2078" t="s">
        <v>61</v>
      </c>
    </row>
    <row r="2079" spans="1:13">
      <c r="A2079" t="s">
        <v>2136</v>
      </c>
      <c r="B2079" s="10">
        <v>8.66</v>
      </c>
      <c r="C2079" s="10">
        <v>6.68</v>
      </c>
      <c r="D2079" s="10">
        <v>4.2</v>
      </c>
      <c r="E2079" s="10">
        <v>22</v>
      </c>
      <c r="F2079" s="10">
        <v>17</v>
      </c>
      <c r="G2079" s="10">
        <v>0</v>
      </c>
      <c r="H2079" s="10">
        <v>1</v>
      </c>
      <c r="I2079" s="10">
        <v>1</v>
      </c>
      <c r="J2079">
        <v>2019</v>
      </c>
      <c r="K2079">
        <v>9</v>
      </c>
      <c r="L2079">
        <v>276</v>
      </c>
      <c r="M2079" t="s">
        <v>63</v>
      </c>
    </row>
    <row r="2080" spans="1:13">
      <c r="A2080" t="s">
        <v>2137</v>
      </c>
      <c r="B2080" s="10">
        <v>2.67</v>
      </c>
      <c r="C2080" s="10">
        <v>5.076</v>
      </c>
      <c r="D2080" s="10">
        <v>3</v>
      </c>
      <c r="E2080" s="10">
        <v>42</v>
      </c>
      <c r="F2080" s="10">
        <v>5</v>
      </c>
      <c r="G2080" s="10">
        <v>0</v>
      </c>
      <c r="H2080" s="10">
        <v>5</v>
      </c>
      <c r="I2080" s="10">
        <v>2.5</v>
      </c>
      <c r="J2080">
        <v>2019</v>
      </c>
      <c r="K2080">
        <v>9</v>
      </c>
      <c r="L2080">
        <v>276</v>
      </c>
      <c r="M2080" t="s">
        <v>65</v>
      </c>
    </row>
    <row r="2081" spans="1:13">
      <c r="A2081" t="s">
        <v>2138</v>
      </c>
      <c r="B2081" s="10">
        <v>2.33</v>
      </c>
      <c r="C2081" s="10">
        <v>1.34</v>
      </c>
      <c r="D2081" s="10">
        <v>2</v>
      </c>
      <c r="E2081" s="10">
        <v>21.975</v>
      </c>
      <c r="F2081" s="10">
        <v>11.2</v>
      </c>
      <c r="G2081" s="10">
        <v>0</v>
      </c>
      <c r="H2081" s="10">
        <v>10</v>
      </c>
      <c r="I2081" s="10">
        <v>4</v>
      </c>
      <c r="J2081">
        <v>2019</v>
      </c>
      <c r="K2081">
        <v>9</v>
      </c>
      <c r="L2081">
        <v>276</v>
      </c>
      <c r="M2081" t="s">
        <v>53</v>
      </c>
    </row>
    <row r="2082" spans="1:13">
      <c r="A2082" t="s">
        <v>2139</v>
      </c>
      <c r="B2082" s="10">
        <v>6.34</v>
      </c>
      <c r="C2082" s="10">
        <v>3.35</v>
      </c>
      <c r="D2082" s="10">
        <v>2</v>
      </c>
      <c r="E2082" s="10">
        <v>17</v>
      </c>
      <c r="F2082" s="10">
        <v>12</v>
      </c>
      <c r="G2082" s="10">
        <v>2</v>
      </c>
      <c r="H2082" s="10">
        <v>5</v>
      </c>
      <c r="I2082" s="10">
        <v>5</v>
      </c>
      <c r="J2082">
        <v>2019</v>
      </c>
      <c r="K2082">
        <v>9</v>
      </c>
      <c r="L2082">
        <v>276</v>
      </c>
      <c r="M2082" t="s">
        <v>55</v>
      </c>
    </row>
    <row r="2083" spans="1:13">
      <c r="A2083" t="s">
        <v>2140</v>
      </c>
      <c r="B2083" s="10">
        <v>8.99</v>
      </c>
      <c r="C2083" s="10">
        <v>6.397</v>
      </c>
      <c r="D2083" s="10">
        <v>3.45</v>
      </c>
      <c r="E2083" s="10">
        <v>24</v>
      </c>
      <c r="F2083" s="10">
        <v>12</v>
      </c>
      <c r="G2083" s="10">
        <v>0</v>
      </c>
      <c r="H2083" s="10">
        <v>2</v>
      </c>
      <c r="I2083" s="10">
        <v>10</v>
      </c>
      <c r="J2083">
        <v>2019</v>
      </c>
      <c r="K2083">
        <v>9</v>
      </c>
      <c r="L2083">
        <v>276</v>
      </c>
      <c r="M2083" t="s">
        <v>57</v>
      </c>
    </row>
    <row r="2084" spans="1:13">
      <c r="A2084" t="s">
        <v>2141</v>
      </c>
      <c r="B2084" s="10">
        <v>5.34</v>
      </c>
      <c r="C2084" s="10">
        <v>6.01</v>
      </c>
      <c r="D2084" s="10">
        <v>2</v>
      </c>
      <c r="E2084" s="10">
        <v>25.4</v>
      </c>
      <c r="F2084" s="10">
        <v>6</v>
      </c>
      <c r="G2084" s="10">
        <v>0</v>
      </c>
      <c r="H2084" s="10">
        <v>2</v>
      </c>
      <c r="I2084" s="10">
        <v>6</v>
      </c>
      <c r="J2084">
        <v>2019</v>
      </c>
      <c r="K2084">
        <v>9</v>
      </c>
      <c r="L2084">
        <v>276</v>
      </c>
      <c r="M2084" t="s">
        <v>59</v>
      </c>
    </row>
    <row r="2085" spans="1:13">
      <c r="A2085" t="s">
        <v>2142</v>
      </c>
      <c r="B2085" s="10">
        <v>9.33</v>
      </c>
      <c r="C2085" s="10">
        <v>2.316</v>
      </c>
      <c r="D2085" s="10">
        <v>3</v>
      </c>
      <c r="E2085" s="10">
        <v>22</v>
      </c>
      <c r="F2085" s="10">
        <v>5</v>
      </c>
      <c r="G2085" s="10">
        <v>1</v>
      </c>
      <c r="H2085" s="10">
        <v>0</v>
      </c>
      <c r="I2085" s="10">
        <v>2</v>
      </c>
      <c r="J2085">
        <v>2019</v>
      </c>
      <c r="K2085">
        <v>9</v>
      </c>
      <c r="L2085">
        <v>276</v>
      </c>
      <c r="M2085" t="s">
        <v>61</v>
      </c>
    </row>
    <row r="2086" spans="1:13">
      <c r="A2086" t="s">
        <v>2143</v>
      </c>
      <c r="B2086" s="10">
        <v>4.5</v>
      </c>
      <c r="C2086" s="10">
        <v>3.007</v>
      </c>
      <c r="D2086" s="10">
        <v>6.5</v>
      </c>
      <c r="E2086" s="10">
        <v>19.2</v>
      </c>
      <c r="F2086" s="10">
        <v>8.199999999999999</v>
      </c>
      <c r="G2086" s="10">
        <v>0</v>
      </c>
      <c r="H2086" s="10">
        <v>6</v>
      </c>
      <c r="I2086" s="10">
        <v>2</v>
      </c>
      <c r="J2086">
        <v>2019</v>
      </c>
      <c r="K2086">
        <v>9</v>
      </c>
      <c r="L2086">
        <v>276</v>
      </c>
      <c r="M2086" t="s">
        <v>63</v>
      </c>
    </row>
    <row r="2087" spans="1:13">
      <c r="A2087" t="s">
        <v>2144</v>
      </c>
      <c r="B2087" s="10">
        <v>6.33</v>
      </c>
      <c r="C2087" s="10">
        <v>4.33</v>
      </c>
      <c r="D2087" s="10">
        <v>7</v>
      </c>
      <c r="E2087" s="10">
        <v>22</v>
      </c>
      <c r="F2087" s="10">
        <v>4</v>
      </c>
      <c r="G2087" s="10">
        <v>0</v>
      </c>
      <c r="H2087" s="10">
        <v>2</v>
      </c>
      <c r="I2087" s="10">
        <v>2</v>
      </c>
      <c r="J2087">
        <v>2019</v>
      </c>
      <c r="K2087">
        <v>9</v>
      </c>
      <c r="L2087">
        <v>276</v>
      </c>
      <c r="M2087" t="s">
        <v>65</v>
      </c>
    </row>
    <row r="2088" spans="1:13">
      <c r="A2088" t="s">
        <v>2145</v>
      </c>
      <c r="B2088" s="10">
        <v>7.33</v>
      </c>
      <c r="C2088" s="10">
        <v>3.34</v>
      </c>
      <c r="D2088" s="10">
        <v>3</v>
      </c>
      <c r="E2088" s="10">
        <v>33</v>
      </c>
      <c r="F2088" s="10">
        <v>5</v>
      </c>
      <c r="G2088" s="10">
        <v>2</v>
      </c>
      <c r="H2088" s="10">
        <v>3</v>
      </c>
      <c r="I2088" s="10">
        <v>4</v>
      </c>
      <c r="J2088">
        <v>2019</v>
      </c>
      <c r="K2088">
        <v>9</v>
      </c>
      <c r="L2088">
        <v>276</v>
      </c>
      <c r="M2088" t="s">
        <v>53</v>
      </c>
    </row>
    <row r="2089" spans="1:13">
      <c r="A2089" t="s">
        <v>2146</v>
      </c>
      <c r="B2089" s="10">
        <v>5.34</v>
      </c>
      <c r="C2089" s="10">
        <v>3.383</v>
      </c>
      <c r="D2089" s="10">
        <v>2</v>
      </c>
      <c r="E2089" s="10">
        <v>51.3</v>
      </c>
      <c r="F2089" s="10">
        <v>3</v>
      </c>
      <c r="G2089" s="10">
        <v>0</v>
      </c>
      <c r="H2089" s="10">
        <v>1</v>
      </c>
      <c r="I2089" s="10">
        <v>3</v>
      </c>
      <c r="J2089">
        <v>2019</v>
      </c>
      <c r="K2089">
        <v>9</v>
      </c>
      <c r="L2089">
        <v>276</v>
      </c>
      <c r="M2089" t="s">
        <v>55</v>
      </c>
    </row>
    <row r="2090" spans="1:13">
      <c r="A2090" t="s">
        <v>2147</v>
      </c>
      <c r="B2090" s="10">
        <v>10.68</v>
      </c>
      <c r="C2090" s="10">
        <v>5.68</v>
      </c>
      <c r="D2090" s="10">
        <v>1</v>
      </c>
      <c r="E2090" s="10">
        <v>44.25</v>
      </c>
      <c r="F2090" s="10">
        <v>3</v>
      </c>
      <c r="G2090" s="10">
        <v>0</v>
      </c>
      <c r="H2090" s="10">
        <v>6</v>
      </c>
      <c r="I2090" s="10">
        <v>4</v>
      </c>
      <c r="J2090">
        <v>2019</v>
      </c>
      <c r="K2090">
        <v>9</v>
      </c>
      <c r="L2090">
        <v>276</v>
      </c>
      <c r="M2090" t="s">
        <v>57</v>
      </c>
    </row>
    <row r="2091" spans="1:13">
      <c r="A2091" t="s">
        <v>2148</v>
      </c>
      <c r="B2091" s="10">
        <v>3.33</v>
      </c>
      <c r="C2091" s="10">
        <v>3.34</v>
      </c>
      <c r="D2091" s="10">
        <v>1.9</v>
      </c>
      <c r="E2091" s="10">
        <v>56.5</v>
      </c>
      <c r="F2091" s="10">
        <v>3</v>
      </c>
      <c r="G2091" s="10">
        <v>0</v>
      </c>
      <c r="H2091" s="10">
        <v>8</v>
      </c>
      <c r="I2091" s="10">
        <v>4</v>
      </c>
      <c r="J2091">
        <v>2019</v>
      </c>
      <c r="K2091">
        <v>9</v>
      </c>
      <c r="L2091">
        <v>276</v>
      </c>
      <c r="M2091" t="s">
        <v>59</v>
      </c>
    </row>
    <row r="2092" spans="1:13">
      <c r="A2092" t="s">
        <v>2149</v>
      </c>
      <c r="B2092" s="10">
        <v>5.34</v>
      </c>
      <c r="C2092" s="10">
        <v>4.549</v>
      </c>
      <c r="D2092" s="10">
        <v>3.3</v>
      </c>
      <c r="E2092" s="10">
        <v>55</v>
      </c>
      <c r="F2092" s="10">
        <v>6</v>
      </c>
      <c r="G2092" s="10">
        <v>0</v>
      </c>
      <c r="H2092" s="10">
        <v>1</v>
      </c>
      <c r="I2092" s="10">
        <v>4</v>
      </c>
      <c r="J2092">
        <v>2019</v>
      </c>
      <c r="K2092">
        <v>9</v>
      </c>
      <c r="L2092">
        <v>276</v>
      </c>
      <c r="M2092" t="s">
        <v>61</v>
      </c>
    </row>
    <row r="2093" spans="1:13">
      <c r="A2093" t="s">
        <v>2150</v>
      </c>
      <c r="B2093" s="10">
        <v>2</v>
      </c>
      <c r="C2093" s="10">
        <v>1.34</v>
      </c>
      <c r="D2093" s="10">
        <v>6</v>
      </c>
      <c r="E2093" s="10">
        <v>61.3</v>
      </c>
      <c r="F2093" s="10">
        <v>12</v>
      </c>
      <c r="G2093" s="10">
        <v>0</v>
      </c>
      <c r="H2093" s="10">
        <v>1</v>
      </c>
      <c r="I2093" s="10">
        <v>6</v>
      </c>
      <c r="J2093">
        <v>2019</v>
      </c>
      <c r="K2093">
        <v>9</v>
      </c>
      <c r="L2093">
        <v>276</v>
      </c>
      <c r="M2093" t="s">
        <v>63</v>
      </c>
    </row>
    <row r="2094" spans="1:13">
      <c r="A2094" t="s">
        <v>2151</v>
      </c>
      <c r="B2094" s="10">
        <v>6</v>
      </c>
      <c r="C2094" s="10">
        <v>3.67</v>
      </c>
      <c r="D2094" s="10">
        <v>4.2</v>
      </c>
      <c r="E2094" s="10">
        <v>32.5</v>
      </c>
      <c r="F2094" s="10">
        <v>14</v>
      </c>
      <c r="G2094" s="10">
        <v>1</v>
      </c>
      <c r="H2094" s="10">
        <v>1.416666667</v>
      </c>
      <c r="I2094" s="10">
        <v>4</v>
      </c>
      <c r="J2094">
        <v>2019</v>
      </c>
      <c r="K2094">
        <v>9</v>
      </c>
      <c r="L2094">
        <v>276</v>
      </c>
      <c r="M2094" t="s">
        <v>65</v>
      </c>
    </row>
    <row r="2095" spans="1:13">
      <c r="A2095" t="s">
        <v>2152</v>
      </c>
      <c r="B2095" s="10">
        <v>5.5</v>
      </c>
      <c r="C2095" s="10">
        <v>3.033</v>
      </c>
      <c r="D2095" s="10">
        <v>2</v>
      </c>
      <c r="E2095" s="10">
        <v>31</v>
      </c>
      <c r="F2095" s="10">
        <v>13</v>
      </c>
      <c r="G2095" s="10">
        <v>0</v>
      </c>
      <c r="H2095" s="10">
        <v>31</v>
      </c>
      <c r="I2095" s="10">
        <v>0</v>
      </c>
      <c r="J2095">
        <v>2019</v>
      </c>
      <c r="K2095">
        <v>9</v>
      </c>
      <c r="L2095">
        <v>276</v>
      </c>
      <c r="M2095" t="s">
        <v>53</v>
      </c>
    </row>
    <row r="2096" spans="1:13">
      <c r="A2096" t="s">
        <v>2153</v>
      </c>
      <c r="B2096" s="10">
        <v>4.66</v>
      </c>
      <c r="C2096" s="10">
        <v>4.359</v>
      </c>
      <c r="D2096" s="10">
        <v>4</v>
      </c>
      <c r="E2096" s="10">
        <v>41.1</v>
      </c>
      <c r="F2096" s="10">
        <v>4</v>
      </c>
      <c r="G2096" s="10">
        <v>0</v>
      </c>
      <c r="H2096" s="10">
        <v>2</v>
      </c>
      <c r="I2096" s="10">
        <v>4</v>
      </c>
      <c r="J2096">
        <v>2019</v>
      </c>
      <c r="K2096">
        <v>9</v>
      </c>
      <c r="L2096">
        <v>276</v>
      </c>
      <c r="M2096" t="s">
        <v>55</v>
      </c>
    </row>
    <row r="2097" spans="1:13">
      <c r="A2097" t="s">
        <v>2154</v>
      </c>
      <c r="B2097" s="10">
        <v>7</v>
      </c>
      <c r="C2097" s="10">
        <v>1.68</v>
      </c>
      <c r="D2097" s="10">
        <v>4.1</v>
      </c>
      <c r="E2097" s="10">
        <v>48</v>
      </c>
      <c r="F2097" s="10">
        <v>6.2</v>
      </c>
      <c r="G2097" s="10">
        <v>0</v>
      </c>
      <c r="H2097" s="10">
        <v>1</v>
      </c>
      <c r="I2097" s="10">
        <v>3</v>
      </c>
      <c r="J2097">
        <v>2019</v>
      </c>
      <c r="K2097">
        <v>9</v>
      </c>
      <c r="L2097">
        <v>276</v>
      </c>
      <c r="M2097" t="s">
        <v>57</v>
      </c>
    </row>
    <row r="2098" spans="1:13">
      <c r="A2098" t="s">
        <v>2155</v>
      </c>
      <c r="B2098" s="10">
        <v>3.51</v>
      </c>
      <c r="C2098" s="10">
        <v>3.867</v>
      </c>
      <c r="D2098" s="10">
        <v>3</v>
      </c>
      <c r="E2098" s="10">
        <v>67.8</v>
      </c>
      <c r="F2098" s="10">
        <v>6</v>
      </c>
      <c r="G2098" s="10">
        <v>0</v>
      </c>
      <c r="H2098" s="10">
        <v>3</v>
      </c>
      <c r="I2098" s="10">
        <v>2.1</v>
      </c>
      <c r="J2098">
        <v>2019</v>
      </c>
      <c r="K2098">
        <v>9</v>
      </c>
      <c r="L2098">
        <v>276</v>
      </c>
      <c r="M2098" t="s">
        <v>59</v>
      </c>
    </row>
    <row r="2099" spans="1:13">
      <c r="A2099" t="s">
        <v>2156</v>
      </c>
      <c r="B2099" s="10">
        <v>2</v>
      </c>
      <c r="C2099" s="10">
        <v>1.439</v>
      </c>
      <c r="D2099" s="10">
        <v>2.1</v>
      </c>
      <c r="E2099" s="10">
        <v>49.4</v>
      </c>
      <c r="F2099" s="10">
        <v>9</v>
      </c>
      <c r="G2099" s="10">
        <v>0</v>
      </c>
      <c r="H2099" s="10">
        <v>5</v>
      </c>
      <c r="I2099" s="10">
        <v>2</v>
      </c>
      <c r="J2099">
        <v>2019</v>
      </c>
      <c r="K2099">
        <v>9</v>
      </c>
      <c r="L2099">
        <v>276</v>
      </c>
      <c r="M2099" t="s">
        <v>61</v>
      </c>
    </row>
    <row r="2100" spans="1:13">
      <c r="A2100" t="s">
        <v>2157</v>
      </c>
      <c r="B2100" s="10">
        <v>11.34</v>
      </c>
      <c r="C2100" s="10">
        <v>2.406</v>
      </c>
      <c r="D2100" s="10">
        <v>0.1</v>
      </c>
      <c r="E2100" s="10">
        <v>47</v>
      </c>
      <c r="F2100" s="10">
        <v>15</v>
      </c>
      <c r="G2100" s="10">
        <v>4</v>
      </c>
      <c r="H2100" s="10">
        <v>17</v>
      </c>
      <c r="I2100" s="10">
        <v>1.5</v>
      </c>
      <c r="J2100">
        <v>2019</v>
      </c>
      <c r="K2100">
        <v>10</v>
      </c>
      <c r="L2100">
        <v>276</v>
      </c>
      <c r="M2100" t="s">
        <v>63</v>
      </c>
    </row>
    <row r="2101" spans="1:13">
      <c r="A2101" t="s">
        <v>2158</v>
      </c>
      <c r="B2101" s="10">
        <v>5.18</v>
      </c>
      <c r="C2101" s="10">
        <v>3.274</v>
      </c>
      <c r="D2101" s="10">
        <v>2.8</v>
      </c>
      <c r="E2101" s="10">
        <v>30.2</v>
      </c>
      <c r="F2101" s="10">
        <v>9</v>
      </c>
      <c r="G2101" s="10">
        <v>1</v>
      </c>
      <c r="H2101" s="10">
        <v>0</v>
      </c>
      <c r="I2101" s="10">
        <v>1.1</v>
      </c>
      <c r="J2101">
        <v>2019</v>
      </c>
      <c r="K2101">
        <v>10</v>
      </c>
      <c r="L2101">
        <v>276</v>
      </c>
      <c r="M2101" t="s">
        <v>65</v>
      </c>
    </row>
    <row r="2102" spans="1:13">
      <c r="A2102" t="s">
        <v>2159</v>
      </c>
      <c r="B2102" s="10">
        <v>5</v>
      </c>
      <c r="C2102" s="10">
        <v>3</v>
      </c>
      <c r="D2102" s="10">
        <v>4</v>
      </c>
      <c r="E2102" s="10">
        <v>40.4</v>
      </c>
      <c r="F2102" s="10">
        <v>10</v>
      </c>
      <c r="G2102" s="10">
        <v>0</v>
      </c>
      <c r="H2102" s="10">
        <v>2</v>
      </c>
      <c r="I2102" s="10">
        <v>2</v>
      </c>
      <c r="J2102">
        <v>2019</v>
      </c>
      <c r="K2102">
        <v>10</v>
      </c>
      <c r="L2102">
        <v>276</v>
      </c>
      <c r="M2102" t="s">
        <v>53</v>
      </c>
    </row>
    <row r="2103" spans="1:13">
      <c r="A2103" t="s">
        <v>2160</v>
      </c>
      <c r="B2103" s="10">
        <v>7.34</v>
      </c>
      <c r="C2103" s="10">
        <v>5.683</v>
      </c>
      <c r="D2103" s="10">
        <v>2.25</v>
      </c>
      <c r="E2103" s="10">
        <v>22.45</v>
      </c>
      <c r="F2103" s="10">
        <v>13</v>
      </c>
      <c r="G2103" s="10">
        <v>0</v>
      </c>
      <c r="H2103" s="10">
        <v>1</v>
      </c>
      <c r="I2103" s="10">
        <v>1</v>
      </c>
      <c r="J2103">
        <v>2019</v>
      </c>
      <c r="K2103">
        <v>10</v>
      </c>
      <c r="L2103">
        <v>276</v>
      </c>
      <c r="M2103" t="s">
        <v>55</v>
      </c>
    </row>
    <row r="2104" spans="1:13">
      <c r="A2104" t="s">
        <v>2161</v>
      </c>
      <c r="B2104" s="10">
        <v>3.84</v>
      </c>
      <c r="C2104" s="10">
        <v>5.01</v>
      </c>
      <c r="D2104" s="10">
        <v>6</v>
      </c>
      <c r="E2104" s="10">
        <v>25.4</v>
      </c>
      <c r="F2104" s="10">
        <v>7</v>
      </c>
      <c r="G2104" s="10">
        <v>0</v>
      </c>
      <c r="H2104" s="10">
        <v>0</v>
      </c>
      <c r="I2104" s="10">
        <v>0.33</v>
      </c>
      <c r="J2104">
        <v>2019</v>
      </c>
      <c r="K2104">
        <v>10</v>
      </c>
      <c r="L2104">
        <v>276</v>
      </c>
      <c r="M2104" t="s">
        <v>57</v>
      </c>
    </row>
    <row r="2105" spans="1:13">
      <c r="A2105" t="s">
        <v>2162</v>
      </c>
      <c r="B2105" s="10">
        <v>4</v>
      </c>
      <c r="C2105" s="10">
        <v>11.69</v>
      </c>
      <c r="D2105" s="10">
        <v>2</v>
      </c>
      <c r="E2105" s="10">
        <v>34.6</v>
      </c>
      <c r="F2105" s="10">
        <v>6</v>
      </c>
      <c r="G2105" s="10">
        <v>0</v>
      </c>
      <c r="H2105" s="10">
        <v>5</v>
      </c>
      <c r="I2105" s="10">
        <v>4.2</v>
      </c>
      <c r="J2105">
        <v>2019</v>
      </c>
      <c r="K2105">
        <v>10</v>
      </c>
      <c r="L2105">
        <v>276</v>
      </c>
      <c r="M2105" t="s">
        <v>59</v>
      </c>
    </row>
    <row r="2106" spans="1:13">
      <c r="A2106" t="s">
        <v>2163</v>
      </c>
      <c r="B2106" s="10">
        <v>7.34</v>
      </c>
      <c r="C2106" s="10">
        <v>4.507</v>
      </c>
      <c r="D2106" s="10">
        <v>3</v>
      </c>
      <c r="E2106" s="10">
        <v>50.8</v>
      </c>
      <c r="F2106" s="10">
        <v>6</v>
      </c>
      <c r="G2106" s="10">
        <v>0</v>
      </c>
      <c r="H2106" s="10">
        <v>10</v>
      </c>
      <c r="I2106" s="10">
        <v>1</v>
      </c>
      <c r="J2106">
        <v>2019</v>
      </c>
      <c r="K2106">
        <v>10</v>
      </c>
      <c r="L2106">
        <v>276</v>
      </c>
      <c r="M2106" t="s">
        <v>61</v>
      </c>
    </row>
    <row r="2107" spans="1:13">
      <c r="A2107" t="s">
        <v>2164</v>
      </c>
      <c r="B2107" s="10">
        <v>0.33</v>
      </c>
      <c r="C2107" s="10">
        <v>1.73</v>
      </c>
      <c r="D2107" s="10">
        <v>0.5</v>
      </c>
      <c r="E2107" s="10">
        <v>44.3</v>
      </c>
      <c r="F2107" s="10">
        <v>20</v>
      </c>
      <c r="G2107" s="10">
        <v>2</v>
      </c>
      <c r="H2107" s="10">
        <v>2</v>
      </c>
      <c r="I2107" s="10">
        <v>0</v>
      </c>
      <c r="J2107">
        <v>2019</v>
      </c>
      <c r="K2107">
        <v>10</v>
      </c>
      <c r="L2107">
        <v>190</v>
      </c>
      <c r="M2107" t="s">
        <v>63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sheetPr>
    <tabColor rgb="FF00A6A6"/>
  </sheetPr>
  <dimension ref="A1:Q2107"/>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0" width="13.7109375" customWidth="1"/>
    <col min="11" max="12" width="11.7109375" customWidth="1"/>
    <col min="13" max="13" width="13.7109375" style="11" customWidth="1"/>
    <col min="14" max="17" width="17.7109375" customWidth="1"/>
  </cols>
  <sheetData>
    <row r="1" spans="1:17" ht="33.75" customHeight="1">
      <c r="A1" t="s">
        <v>2165</v>
      </c>
      <c r="B1" t="s">
        <v>40</v>
      </c>
      <c r="C1" t="s">
        <v>41</v>
      </c>
      <c r="D1" t="s">
        <v>42</v>
      </c>
      <c r="E1" t="s">
        <v>43</v>
      </c>
      <c r="F1" t="s">
        <v>44</v>
      </c>
      <c r="G1" t="s">
        <v>45</v>
      </c>
      <c r="H1" t="s">
        <v>46</v>
      </c>
      <c r="I1" t="s">
        <v>47</v>
      </c>
      <c r="J1" t="s">
        <v>2166</v>
      </c>
      <c r="K1" t="s">
        <v>48</v>
      </c>
      <c r="L1" t="s">
        <v>2167</v>
      </c>
      <c r="M1" s="11" t="s">
        <v>2168</v>
      </c>
      <c r="N1" t="s">
        <v>2169</v>
      </c>
      <c r="O1" t="s">
        <v>2170</v>
      </c>
      <c r="P1" t="s">
        <v>2171</v>
      </c>
      <c r="Q1" t="s">
        <v>2172</v>
      </c>
    </row>
    <row r="2" spans="1:17">
      <c r="A2" s="12">
        <v>41641</v>
      </c>
      <c r="B2" s="10">
        <v>0</v>
      </c>
      <c r="C2" s="10">
        <v>3.67</v>
      </c>
      <c r="D2" s="10">
        <v>3.4</v>
      </c>
      <c r="E2" s="10">
        <v>32.4</v>
      </c>
      <c r="F2" s="10">
        <v>7</v>
      </c>
      <c r="G2" s="10">
        <v>0</v>
      </c>
      <c r="H2" s="10">
        <v>0</v>
      </c>
      <c r="I2" s="10">
        <v>2</v>
      </c>
      <c r="J2" s="10">
        <f>SUM(B2:I2)</f>
        <v>48.47</v>
      </c>
      <c r="K2">
        <v>2014</v>
      </c>
      <c r="L2">
        <v>1</v>
      </c>
      <c r="M2" s="11">
        <v>41640</v>
      </c>
      <c r="N2" t="s">
        <v>2173</v>
      </c>
      <c r="O2">
        <v>4</v>
      </c>
      <c r="P2" t="s">
        <v>53</v>
      </c>
      <c r="Q2" t="b">
        <v>0</v>
      </c>
    </row>
    <row r="3" spans="1:17">
      <c r="A3" s="12">
        <v>41642</v>
      </c>
      <c r="B3" s="10">
        <v>8</v>
      </c>
      <c r="C3" s="10">
        <v>4</v>
      </c>
      <c r="D3" s="10">
        <v>4.4</v>
      </c>
      <c r="E3" s="10">
        <v>50.6</v>
      </c>
      <c r="F3" s="10">
        <v>16</v>
      </c>
      <c r="G3" s="10">
        <v>0</v>
      </c>
      <c r="H3" s="10">
        <v>20</v>
      </c>
      <c r="I3" s="10">
        <v>4</v>
      </c>
      <c r="J3" s="10">
        <f>SUM(B3:I3)</f>
        <v>107.0</v>
      </c>
      <c r="K3">
        <v>2014</v>
      </c>
      <c r="L3">
        <v>1</v>
      </c>
      <c r="M3" s="11">
        <v>41640</v>
      </c>
      <c r="N3" t="s">
        <v>2173</v>
      </c>
      <c r="O3">
        <v>5</v>
      </c>
      <c r="P3" t="s">
        <v>55</v>
      </c>
      <c r="Q3" t="b">
        <v>0</v>
      </c>
    </row>
    <row r="4" spans="1:17">
      <c r="A4" s="12">
        <v>41643</v>
      </c>
      <c r="B4" s="10">
        <v>2</v>
      </c>
      <c r="C4" s="10">
        <v>1</v>
      </c>
      <c r="D4" s="10">
        <v>6.5</v>
      </c>
      <c r="E4" s="10">
        <v>61.85</v>
      </c>
      <c r="F4" s="10">
        <v>10</v>
      </c>
      <c r="G4" s="10">
        <v>0</v>
      </c>
      <c r="H4" s="10">
        <v>9</v>
      </c>
      <c r="I4" s="10">
        <v>1</v>
      </c>
      <c r="J4" s="10">
        <f>SUM(B4:I4)</f>
        <v>91.35</v>
      </c>
      <c r="K4">
        <v>2014</v>
      </c>
      <c r="L4">
        <v>1</v>
      </c>
      <c r="M4" s="11">
        <v>41640</v>
      </c>
      <c r="N4" t="s">
        <v>2173</v>
      </c>
      <c r="O4">
        <v>6</v>
      </c>
      <c r="P4" t="s">
        <v>57</v>
      </c>
      <c r="Q4" t="b">
        <v>0</v>
      </c>
    </row>
    <row r="5" spans="1:17">
      <c r="A5" s="12">
        <v>41644</v>
      </c>
      <c r="B5" s="10">
        <v>4</v>
      </c>
      <c r="C5" s="10">
        <v>3</v>
      </c>
      <c r="D5" s="10">
        <v>7</v>
      </c>
      <c r="E5" s="10">
        <v>41.1</v>
      </c>
      <c r="F5" s="10">
        <v>8</v>
      </c>
      <c r="G5" s="10">
        <v>0</v>
      </c>
      <c r="H5" s="10">
        <v>3</v>
      </c>
      <c r="I5" s="10">
        <v>0</v>
      </c>
      <c r="J5" s="10">
        <f>SUM(B5:I5)</f>
        <v>66.1</v>
      </c>
      <c r="K5">
        <v>2014</v>
      </c>
      <c r="L5">
        <v>1</v>
      </c>
      <c r="M5" s="11">
        <v>41640</v>
      </c>
      <c r="N5" t="s">
        <v>2173</v>
      </c>
      <c r="O5">
        <v>7</v>
      </c>
      <c r="P5" t="s">
        <v>59</v>
      </c>
      <c r="Q5" t="b">
        <v>0</v>
      </c>
    </row>
    <row r="6" spans="1:17">
      <c r="A6" s="12">
        <v>41645</v>
      </c>
      <c r="B6" s="10">
        <v>5</v>
      </c>
      <c r="C6" s="10">
        <v>1</v>
      </c>
      <c r="D6" s="10">
        <v>4.5</v>
      </c>
      <c r="E6" s="10">
        <v>21.7</v>
      </c>
      <c r="F6" s="10">
        <v>16</v>
      </c>
      <c r="G6" s="10">
        <v>2</v>
      </c>
      <c r="H6" s="10">
        <v>6</v>
      </c>
      <c r="I6" s="10">
        <v>2</v>
      </c>
      <c r="J6" s="10">
        <f>SUM(B6:I6)</f>
        <v>58.2</v>
      </c>
      <c r="K6">
        <v>2014</v>
      </c>
      <c r="L6">
        <v>1</v>
      </c>
      <c r="M6" s="11">
        <v>41640</v>
      </c>
      <c r="N6" t="s">
        <v>2173</v>
      </c>
      <c r="O6">
        <v>1</v>
      </c>
      <c r="P6" t="s">
        <v>61</v>
      </c>
      <c r="Q6" t="b">
        <v>0</v>
      </c>
    </row>
    <row r="7" spans="1:17">
      <c r="A7" s="12">
        <v>41646</v>
      </c>
      <c r="B7" s="10">
        <v>0</v>
      </c>
      <c r="C7" s="10">
        <v>0</v>
      </c>
      <c r="D7" s="10">
        <v>0</v>
      </c>
      <c r="E7" s="10">
        <v>0</v>
      </c>
      <c r="F7" s="10">
        <v>0</v>
      </c>
      <c r="G7" s="10">
        <v>0</v>
      </c>
      <c r="H7" s="10">
        <v>0</v>
      </c>
      <c r="I7" s="10">
        <v>0</v>
      </c>
      <c r="J7" s="10">
        <f>SUM(B7:I7)</f>
        <v>0.0</v>
      </c>
      <c r="K7">
        <v>2014</v>
      </c>
      <c r="L7">
        <v>1</v>
      </c>
      <c r="M7" s="11">
        <v>41640</v>
      </c>
      <c r="N7" t="s">
        <v>2173</v>
      </c>
      <c r="O7">
        <v>2</v>
      </c>
      <c r="P7" t="s">
        <v>63</v>
      </c>
      <c r="Q7" t="b">
        <v>0</v>
      </c>
    </row>
    <row r="8" spans="1:17">
      <c r="A8" s="12">
        <v>41647</v>
      </c>
      <c r="B8" s="10">
        <v>5.33</v>
      </c>
      <c r="C8" s="10">
        <v>3</v>
      </c>
      <c r="D8" s="10">
        <v>10.5</v>
      </c>
      <c r="E8" s="10">
        <v>26.4</v>
      </c>
      <c r="F8" s="10">
        <v>19</v>
      </c>
      <c r="G8" s="10">
        <v>1</v>
      </c>
      <c r="H8" s="10">
        <v>10</v>
      </c>
      <c r="I8" s="10">
        <v>0</v>
      </c>
      <c r="J8" s="10">
        <f>SUM(B8:I8)</f>
        <v>75.22999999999999</v>
      </c>
      <c r="K8">
        <v>2014</v>
      </c>
      <c r="L8">
        <v>1</v>
      </c>
      <c r="M8" s="11">
        <v>41640</v>
      </c>
      <c r="N8" t="s">
        <v>2173</v>
      </c>
      <c r="O8">
        <v>3</v>
      </c>
      <c r="P8" t="s">
        <v>65</v>
      </c>
      <c r="Q8" t="b">
        <v>0</v>
      </c>
    </row>
    <row r="9" spans="1:17">
      <c r="A9" s="12">
        <v>41648</v>
      </c>
      <c r="B9" s="10">
        <v>7</v>
      </c>
      <c r="C9" s="10">
        <v>1.68</v>
      </c>
      <c r="D9" s="10">
        <v>8</v>
      </c>
      <c r="E9" s="10">
        <v>25</v>
      </c>
      <c r="F9" s="10">
        <v>16</v>
      </c>
      <c r="G9" s="10">
        <v>0</v>
      </c>
      <c r="H9" s="10">
        <v>3</v>
      </c>
      <c r="I9" s="10">
        <v>2</v>
      </c>
      <c r="J9" s="10">
        <f>SUM(B9:I9)</f>
        <v>62.68</v>
      </c>
      <c r="K9">
        <v>2014</v>
      </c>
      <c r="L9">
        <v>1</v>
      </c>
      <c r="M9" s="11">
        <v>41640</v>
      </c>
      <c r="N9" t="s">
        <v>2173</v>
      </c>
      <c r="O9">
        <v>4</v>
      </c>
      <c r="P9" t="s">
        <v>53</v>
      </c>
      <c r="Q9" t="b">
        <v>0</v>
      </c>
    </row>
    <row r="10" spans="1:17">
      <c r="A10" s="12">
        <v>41649</v>
      </c>
      <c r="B10" s="10">
        <v>5</v>
      </c>
      <c r="C10" s="10">
        <v>2</v>
      </c>
      <c r="D10" s="10">
        <v>2</v>
      </c>
      <c r="E10" s="10">
        <v>53.3</v>
      </c>
      <c r="F10" s="10">
        <v>15</v>
      </c>
      <c r="G10" s="10">
        <v>2</v>
      </c>
      <c r="H10" s="10">
        <v>0</v>
      </c>
      <c r="I10" s="10">
        <v>2</v>
      </c>
      <c r="J10" s="10">
        <f>SUM(B10:I10)</f>
        <v>81.3</v>
      </c>
      <c r="K10">
        <v>2014</v>
      </c>
      <c r="L10">
        <v>1</v>
      </c>
      <c r="M10" s="11">
        <v>41640</v>
      </c>
      <c r="N10" t="s">
        <v>2173</v>
      </c>
      <c r="O10">
        <v>5</v>
      </c>
      <c r="P10" t="s">
        <v>55</v>
      </c>
      <c r="Q10" t="b">
        <v>0</v>
      </c>
    </row>
    <row r="11" spans="1:17">
      <c r="A11" s="12">
        <v>41650</v>
      </c>
      <c r="B11" s="10">
        <v>5</v>
      </c>
      <c r="C11" s="10">
        <v>4.34</v>
      </c>
      <c r="D11" s="10">
        <v>10.4</v>
      </c>
      <c r="E11" s="10">
        <v>52.3</v>
      </c>
      <c r="F11" s="10">
        <v>14</v>
      </c>
      <c r="G11" s="10">
        <v>0</v>
      </c>
      <c r="H11" s="10">
        <v>1</v>
      </c>
      <c r="I11" s="10">
        <v>0.2</v>
      </c>
      <c r="J11" s="10">
        <f>SUM(B11:I11)</f>
        <v>87.24</v>
      </c>
      <c r="K11">
        <v>2014</v>
      </c>
      <c r="L11">
        <v>1</v>
      </c>
      <c r="M11" s="11">
        <v>41640</v>
      </c>
      <c r="N11" t="s">
        <v>2173</v>
      </c>
      <c r="O11">
        <v>6</v>
      </c>
      <c r="P11" t="s">
        <v>57</v>
      </c>
      <c r="Q11" t="b">
        <v>0</v>
      </c>
    </row>
    <row r="12" spans="1:17">
      <c r="A12" s="12">
        <v>41651</v>
      </c>
      <c r="B12" s="10">
        <v>2</v>
      </c>
      <c r="C12" s="10">
        <v>0.66</v>
      </c>
      <c r="D12" s="10">
        <v>2.5</v>
      </c>
      <c r="E12" s="10">
        <v>12</v>
      </c>
      <c r="F12" s="10">
        <v>8</v>
      </c>
      <c r="G12" s="10">
        <v>0</v>
      </c>
      <c r="H12" s="10">
        <v>1</v>
      </c>
      <c r="I12" s="10">
        <v>1</v>
      </c>
      <c r="J12" s="10">
        <f>SUM(B12:I12)</f>
        <v>27.16</v>
      </c>
      <c r="K12">
        <v>2014</v>
      </c>
      <c r="L12">
        <v>1</v>
      </c>
      <c r="M12" s="11">
        <v>41640</v>
      </c>
      <c r="N12" t="s">
        <v>2173</v>
      </c>
      <c r="O12">
        <v>7</v>
      </c>
      <c r="P12" t="s">
        <v>59</v>
      </c>
      <c r="Q12" t="b">
        <v>0</v>
      </c>
    </row>
    <row r="13" spans="1:17">
      <c r="A13" s="12">
        <v>41652</v>
      </c>
      <c r="B13" s="10">
        <v>7.34</v>
      </c>
      <c r="C13" s="10">
        <v>7.66</v>
      </c>
      <c r="D13" s="10">
        <v>6.2</v>
      </c>
      <c r="E13" s="10">
        <v>52</v>
      </c>
      <c r="F13" s="10">
        <v>9</v>
      </c>
      <c r="G13" s="10">
        <v>0</v>
      </c>
      <c r="H13" s="10">
        <v>7</v>
      </c>
      <c r="I13" s="10">
        <v>1</v>
      </c>
      <c r="J13" s="10">
        <f>SUM(B13:I13)</f>
        <v>90.2</v>
      </c>
      <c r="K13">
        <v>2014</v>
      </c>
      <c r="L13">
        <v>1</v>
      </c>
      <c r="M13" s="11">
        <v>41640</v>
      </c>
      <c r="N13" t="s">
        <v>2173</v>
      </c>
      <c r="O13">
        <v>1</v>
      </c>
      <c r="P13" t="s">
        <v>61</v>
      </c>
      <c r="Q13" t="b">
        <v>0</v>
      </c>
    </row>
    <row r="14" spans="1:17">
      <c r="A14" s="12">
        <v>41653</v>
      </c>
      <c r="B14" s="10">
        <v>6</v>
      </c>
      <c r="C14" s="10">
        <v>1.33</v>
      </c>
      <c r="D14" s="10">
        <v>12.3</v>
      </c>
      <c r="E14" s="10">
        <v>33.7</v>
      </c>
      <c r="F14" s="10">
        <v>6</v>
      </c>
      <c r="G14" s="10">
        <v>1</v>
      </c>
      <c r="H14" s="10">
        <v>0</v>
      </c>
      <c r="I14" s="10">
        <v>2</v>
      </c>
      <c r="J14" s="10">
        <f>SUM(B14:I14)</f>
        <v>62.330000000000005</v>
      </c>
      <c r="K14">
        <v>2014</v>
      </c>
      <c r="L14">
        <v>1</v>
      </c>
      <c r="M14" s="11">
        <v>41640</v>
      </c>
      <c r="N14" t="s">
        <v>2173</v>
      </c>
      <c r="O14">
        <v>2</v>
      </c>
      <c r="P14" t="s">
        <v>63</v>
      </c>
      <c r="Q14" t="b">
        <v>0</v>
      </c>
    </row>
    <row r="15" spans="1:17">
      <c r="A15" s="12">
        <v>41654</v>
      </c>
      <c r="B15" s="10">
        <v>4</v>
      </c>
      <c r="C15" s="10">
        <v>2.34</v>
      </c>
      <c r="D15" s="10">
        <v>5</v>
      </c>
      <c r="E15" s="10">
        <v>26.7</v>
      </c>
      <c r="F15" s="10">
        <v>12</v>
      </c>
      <c r="G15" s="10">
        <v>2</v>
      </c>
      <c r="H15" s="10">
        <v>3</v>
      </c>
      <c r="I15" s="10">
        <v>3</v>
      </c>
      <c r="J15" s="10">
        <f>SUM(B15:I15)</f>
        <v>58.04</v>
      </c>
      <c r="K15">
        <v>2014</v>
      </c>
      <c r="L15">
        <v>1</v>
      </c>
      <c r="M15" s="11">
        <v>41640</v>
      </c>
      <c r="N15" t="s">
        <v>2173</v>
      </c>
      <c r="O15">
        <v>3</v>
      </c>
      <c r="P15" t="s">
        <v>65</v>
      </c>
      <c r="Q15" t="b">
        <v>0</v>
      </c>
    </row>
    <row r="16" spans="1:17">
      <c r="A16" s="12">
        <v>41655</v>
      </c>
      <c r="B16" s="10">
        <v>6</v>
      </c>
      <c r="C16" s="10">
        <v>2</v>
      </c>
      <c r="D16" s="10">
        <v>4.3</v>
      </c>
      <c r="E16" s="10">
        <v>28.3</v>
      </c>
      <c r="F16" s="10">
        <v>19</v>
      </c>
      <c r="G16" s="10">
        <v>1</v>
      </c>
      <c r="H16" s="10">
        <v>5</v>
      </c>
      <c r="I16" s="10">
        <v>0</v>
      </c>
      <c r="J16" s="10">
        <f>SUM(B16:I16)</f>
        <v>65.6</v>
      </c>
      <c r="K16">
        <v>2014</v>
      </c>
      <c r="L16">
        <v>1</v>
      </c>
      <c r="M16" s="11">
        <v>41640</v>
      </c>
      <c r="N16" t="s">
        <v>2173</v>
      </c>
      <c r="O16">
        <v>4</v>
      </c>
      <c r="P16" t="s">
        <v>53</v>
      </c>
      <c r="Q16" t="b">
        <v>0</v>
      </c>
    </row>
    <row r="17" spans="1:17">
      <c r="A17" s="12">
        <v>41656</v>
      </c>
      <c r="B17" s="10">
        <v>2</v>
      </c>
      <c r="C17" s="10">
        <v>3.68</v>
      </c>
      <c r="D17" s="10">
        <v>8.300000000000001</v>
      </c>
      <c r="E17" s="10">
        <v>20.4</v>
      </c>
      <c r="F17" s="10">
        <v>15</v>
      </c>
      <c r="G17" s="10">
        <v>0</v>
      </c>
      <c r="H17" s="10">
        <v>6</v>
      </c>
      <c r="I17" s="10">
        <v>3</v>
      </c>
      <c r="J17" s="10">
        <f>SUM(B17:I17)</f>
        <v>58.379999999999995</v>
      </c>
      <c r="K17">
        <v>2014</v>
      </c>
      <c r="L17">
        <v>1</v>
      </c>
      <c r="M17" s="11">
        <v>41640</v>
      </c>
      <c r="N17" t="s">
        <v>2173</v>
      </c>
      <c r="O17">
        <v>5</v>
      </c>
      <c r="P17" t="s">
        <v>55</v>
      </c>
      <c r="Q17" t="b">
        <v>0</v>
      </c>
    </row>
    <row r="18" spans="1:17">
      <c r="A18" s="12">
        <v>41657</v>
      </c>
      <c r="B18" s="10">
        <v>1</v>
      </c>
      <c r="C18" s="10">
        <v>5.33</v>
      </c>
      <c r="D18" s="10">
        <v>5.8</v>
      </c>
      <c r="E18" s="10">
        <v>43.2</v>
      </c>
      <c r="F18" s="10">
        <v>15</v>
      </c>
      <c r="G18" s="10">
        <v>4</v>
      </c>
      <c r="H18" s="10">
        <v>7</v>
      </c>
      <c r="I18" s="10">
        <v>2</v>
      </c>
      <c r="J18" s="10">
        <f>SUM(B18:I18)</f>
        <v>83.33</v>
      </c>
      <c r="K18">
        <v>2014</v>
      </c>
      <c r="L18">
        <v>1</v>
      </c>
      <c r="M18" s="11">
        <v>41640</v>
      </c>
      <c r="N18" t="s">
        <v>2173</v>
      </c>
      <c r="O18">
        <v>6</v>
      </c>
      <c r="P18" t="s">
        <v>57</v>
      </c>
      <c r="Q18" t="b">
        <v>0</v>
      </c>
    </row>
    <row r="19" spans="1:17">
      <c r="A19" s="12">
        <v>41658</v>
      </c>
      <c r="B19" s="10">
        <v>4.33</v>
      </c>
      <c r="C19" s="10">
        <v>4</v>
      </c>
      <c r="D19" s="10">
        <v>4</v>
      </c>
      <c r="E19" s="10">
        <v>14.1</v>
      </c>
      <c r="F19" s="10">
        <v>4</v>
      </c>
      <c r="G19" s="10">
        <v>0</v>
      </c>
      <c r="H19" s="10">
        <v>1</v>
      </c>
      <c r="I19" s="10">
        <v>1</v>
      </c>
      <c r="J19" s="10">
        <f>SUM(B19:I19)</f>
        <v>32.43</v>
      </c>
      <c r="K19">
        <v>2014</v>
      </c>
      <c r="L19">
        <v>1</v>
      </c>
      <c r="M19" s="11">
        <v>41640</v>
      </c>
      <c r="N19" t="s">
        <v>2173</v>
      </c>
      <c r="O19">
        <v>7</v>
      </c>
      <c r="P19" t="s">
        <v>59</v>
      </c>
      <c r="Q19" t="b">
        <v>0</v>
      </c>
    </row>
    <row r="20" spans="1:17">
      <c r="A20" s="12">
        <v>41659</v>
      </c>
      <c r="B20" s="10">
        <v>6</v>
      </c>
      <c r="C20" s="10">
        <v>3.34</v>
      </c>
      <c r="D20" s="10">
        <v>3.3</v>
      </c>
      <c r="E20" s="10">
        <v>11.9</v>
      </c>
      <c r="F20" s="10">
        <v>18</v>
      </c>
      <c r="G20" s="10">
        <v>2</v>
      </c>
      <c r="H20" s="10">
        <v>12</v>
      </c>
      <c r="I20" s="10">
        <v>3</v>
      </c>
      <c r="J20" s="10">
        <f>SUM(B20:I20)</f>
        <v>59.54</v>
      </c>
      <c r="K20">
        <v>2014</v>
      </c>
      <c r="L20">
        <v>1</v>
      </c>
      <c r="M20" s="11">
        <v>41640</v>
      </c>
      <c r="N20" t="s">
        <v>2173</v>
      </c>
      <c r="O20">
        <v>1</v>
      </c>
      <c r="P20" t="s">
        <v>61</v>
      </c>
      <c r="Q20" t="b">
        <v>0</v>
      </c>
    </row>
    <row r="21" spans="1:17">
      <c r="A21" s="12">
        <v>41660</v>
      </c>
      <c r="B21" s="10">
        <v>2</v>
      </c>
      <c r="C21" s="10">
        <v>3.34</v>
      </c>
      <c r="D21" s="10">
        <v>4</v>
      </c>
      <c r="E21" s="10">
        <v>42</v>
      </c>
      <c r="F21" s="10">
        <v>15</v>
      </c>
      <c r="G21" s="10">
        <v>2</v>
      </c>
      <c r="H21" s="10">
        <v>0</v>
      </c>
      <c r="I21" s="10">
        <v>1</v>
      </c>
      <c r="J21" s="10">
        <f>SUM(B21:I21)</f>
        <v>69.34</v>
      </c>
      <c r="K21">
        <v>2014</v>
      </c>
      <c r="L21">
        <v>1</v>
      </c>
      <c r="M21" s="11">
        <v>41640</v>
      </c>
      <c r="N21" t="s">
        <v>2173</v>
      </c>
      <c r="O21">
        <v>2</v>
      </c>
      <c r="P21" t="s">
        <v>63</v>
      </c>
      <c r="Q21" t="b">
        <v>0</v>
      </c>
    </row>
    <row r="22" spans="1:17">
      <c r="A22" s="12">
        <v>41661</v>
      </c>
      <c r="B22" s="10">
        <v>7</v>
      </c>
      <c r="C22" s="10">
        <v>3</v>
      </c>
      <c r="D22" s="10">
        <v>7</v>
      </c>
      <c r="E22" s="10">
        <v>18.1</v>
      </c>
      <c r="F22" s="10">
        <v>10</v>
      </c>
      <c r="G22" s="10">
        <v>0</v>
      </c>
      <c r="H22" s="10">
        <v>5</v>
      </c>
      <c r="I22" s="10">
        <v>2</v>
      </c>
      <c r="J22" s="10">
        <f>SUM(B22:I22)</f>
        <v>52.1</v>
      </c>
      <c r="K22">
        <v>2014</v>
      </c>
      <c r="L22">
        <v>1</v>
      </c>
      <c r="M22" s="11">
        <v>41640</v>
      </c>
      <c r="N22" t="s">
        <v>2173</v>
      </c>
      <c r="O22">
        <v>3</v>
      </c>
      <c r="P22" t="s">
        <v>65</v>
      </c>
      <c r="Q22" t="b">
        <v>0</v>
      </c>
    </row>
    <row r="23" spans="1:17">
      <c r="A23" s="12">
        <v>41662</v>
      </c>
      <c r="B23" s="10">
        <v>4</v>
      </c>
      <c r="C23" s="10">
        <v>4.67</v>
      </c>
      <c r="D23" s="10">
        <v>5.2</v>
      </c>
      <c r="E23" s="10">
        <v>26.2</v>
      </c>
      <c r="F23" s="10">
        <v>2</v>
      </c>
      <c r="G23" s="10">
        <v>3</v>
      </c>
      <c r="H23" s="10">
        <v>1</v>
      </c>
      <c r="I23" s="10">
        <v>3</v>
      </c>
      <c r="J23" s="10">
        <f>SUM(B23:I23)</f>
        <v>49.07</v>
      </c>
      <c r="K23">
        <v>2014</v>
      </c>
      <c r="L23">
        <v>1</v>
      </c>
      <c r="M23" s="11">
        <v>41640</v>
      </c>
      <c r="N23" t="s">
        <v>2173</v>
      </c>
      <c r="O23">
        <v>4</v>
      </c>
      <c r="P23" t="s">
        <v>53</v>
      </c>
      <c r="Q23" t="b">
        <v>0</v>
      </c>
    </row>
    <row r="24" spans="1:17">
      <c r="A24" s="12">
        <v>41663</v>
      </c>
      <c r="B24" s="10">
        <v>4.67</v>
      </c>
      <c r="C24" s="10">
        <v>7.34</v>
      </c>
      <c r="D24" s="10">
        <v>7</v>
      </c>
      <c r="E24" s="10">
        <v>19.6</v>
      </c>
      <c r="F24" s="10">
        <v>13</v>
      </c>
      <c r="G24" s="10">
        <v>1</v>
      </c>
      <c r="H24" s="10">
        <v>0</v>
      </c>
      <c r="I24" s="10">
        <v>0</v>
      </c>
      <c r="J24" s="10">
        <f>SUM(B24:I24)</f>
        <v>52.61</v>
      </c>
      <c r="K24">
        <v>2014</v>
      </c>
      <c r="L24">
        <v>1</v>
      </c>
      <c r="M24" s="11">
        <v>41640</v>
      </c>
      <c r="N24" t="s">
        <v>2173</v>
      </c>
      <c r="O24">
        <v>5</v>
      </c>
      <c r="P24" t="s">
        <v>55</v>
      </c>
      <c r="Q24" t="b">
        <v>0</v>
      </c>
    </row>
    <row r="25" spans="1:17">
      <c r="A25" s="12">
        <v>41664</v>
      </c>
      <c r="B25" s="10">
        <v>6</v>
      </c>
      <c r="C25" s="10">
        <v>9</v>
      </c>
      <c r="D25" s="10">
        <v>5</v>
      </c>
      <c r="E25" s="10">
        <v>37.8</v>
      </c>
      <c r="F25" s="10">
        <v>18</v>
      </c>
      <c r="G25" s="10">
        <v>0</v>
      </c>
      <c r="H25" s="10">
        <v>5</v>
      </c>
      <c r="I25" s="10">
        <v>1</v>
      </c>
      <c r="J25" s="10">
        <f>SUM(B25:I25)</f>
        <v>81.8</v>
      </c>
      <c r="K25">
        <v>2014</v>
      </c>
      <c r="L25">
        <v>1</v>
      </c>
      <c r="M25" s="11">
        <v>41640</v>
      </c>
      <c r="N25" t="s">
        <v>2173</v>
      </c>
      <c r="O25">
        <v>6</v>
      </c>
      <c r="P25" t="s">
        <v>57</v>
      </c>
      <c r="Q25" t="b">
        <v>0</v>
      </c>
    </row>
    <row r="26" spans="1:17">
      <c r="A26" s="12">
        <v>41665</v>
      </c>
      <c r="B26" s="10">
        <v>4.33</v>
      </c>
      <c r="C26" s="10">
        <v>1.68</v>
      </c>
      <c r="D26" s="10">
        <v>0</v>
      </c>
      <c r="E26" s="10">
        <v>24</v>
      </c>
      <c r="F26" s="10">
        <v>4</v>
      </c>
      <c r="G26" s="10">
        <v>0</v>
      </c>
      <c r="H26" s="10">
        <v>0</v>
      </c>
      <c r="I26" s="10">
        <v>0</v>
      </c>
      <c r="J26" s="10">
        <f>SUM(B26:I26)</f>
        <v>34.01</v>
      </c>
      <c r="K26">
        <v>2014</v>
      </c>
      <c r="L26">
        <v>1</v>
      </c>
      <c r="M26" s="11">
        <v>41640</v>
      </c>
      <c r="N26" t="s">
        <v>2173</v>
      </c>
      <c r="O26">
        <v>7</v>
      </c>
      <c r="P26" t="s">
        <v>59</v>
      </c>
      <c r="Q26" t="b">
        <v>0</v>
      </c>
    </row>
    <row r="27" spans="1:17">
      <c r="A27" s="12">
        <v>41666</v>
      </c>
      <c r="B27" s="10">
        <v>4.34</v>
      </c>
      <c r="C27" s="10">
        <v>4.67</v>
      </c>
      <c r="D27" s="10">
        <v>1.2</v>
      </c>
      <c r="E27" s="10">
        <v>23.6</v>
      </c>
      <c r="F27" s="10">
        <v>17</v>
      </c>
      <c r="G27" s="10">
        <v>2</v>
      </c>
      <c r="H27" s="10">
        <v>1</v>
      </c>
      <c r="I27" s="10">
        <v>3</v>
      </c>
      <c r="J27" s="10">
        <f>SUM(B27:I27)</f>
        <v>56.81</v>
      </c>
      <c r="K27">
        <v>2014</v>
      </c>
      <c r="L27">
        <v>1</v>
      </c>
      <c r="M27" s="11">
        <v>41640</v>
      </c>
      <c r="N27" t="s">
        <v>2173</v>
      </c>
      <c r="O27">
        <v>1</v>
      </c>
      <c r="P27" t="s">
        <v>61</v>
      </c>
      <c r="Q27" t="b">
        <v>0</v>
      </c>
    </row>
    <row r="28" spans="1:17">
      <c r="A28" s="12">
        <v>41667</v>
      </c>
      <c r="B28" s="10">
        <v>6</v>
      </c>
      <c r="C28" s="10">
        <v>3.34</v>
      </c>
      <c r="D28" s="10">
        <v>2.8</v>
      </c>
      <c r="E28" s="10">
        <v>13.38</v>
      </c>
      <c r="F28" s="10">
        <v>22</v>
      </c>
      <c r="G28" s="10">
        <v>5</v>
      </c>
      <c r="H28" s="10">
        <v>1</v>
      </c>
      <c r="I28" s="10">
        <v>5</v>
      </c>
      <c r="J28" s="10">
        <f>SUM(B28:I28)</f>
        <v>58.52</v>
      </c>
      <c r="K28">
        <v>2014</v>
      </c>
      <c r="L28">
        <v>1</v>
      </c>
      <c r="M28" s="11">
        <v>41640</v>
      </c>
      <c r="N28" t="s">
        <v>2173</v>
      </c>
      <c r="O28">
        <v>2</v>
      </c>
      <c r="P28" t="s">
        <v>63</v>
      </c>
      <c r="Q28" t="b">
        <v>0</v>
      </c>
    </row>
    <row r="29" spans="1:17">
      <c r="A29" s="12">
        <v>41668</v>
      </c>
      <c r="B29" s="10">
        <v>5.33</v>
      </c>
      <c r="C29" s="10">
        <v>4</v>
      </c>
      <c r="D29" s="10">
        <v>2</v>
      </c>
      <c r="E29" s="10">
        <v>14</v>
      </c>
      <c r="F29" s="10">
        <v>10</v>
      </c>
      <c r="G29" s="10">
        <v>1</v>
      </c>
      <c r="H29" s="10">
        <v>1</v>
      </c>
      <c r="I29" s="10">
        <v>2</v>
      </c>
      <c r="J29" s="10">
        <f>SUM(B29:I29)</f>
        <v>39.33</v>
      </c>
      <c r="K29">
        <v>2014</v>
      </c>
      <c r="L29">
        <v>1</v>
      </c>
      <c r="M29" s="11">
        <v>41640</v>
      </c>
      <c r="N29" t="s">
        <v>2173</v>
      </c>
      <c r="O29">
        <v>3</v>
      </c>
      <c r="P29" t="s">
        <v>65</v>
      </c>
      <c r="Q29" t="b">
        <v>0</v>
      </c>
    </row>
    <row r="30" spans="1:17">
      <c r="A30" s="12">
        <v>41669</v>
      </c>
      <c r="B30" s="10">
        <v>3.02</v>
      </c>
      <c r="C30" s="10">
        <v>1.34</v>
      </c>
      <c r="D30" s="10">
        <v>2.4</v>
      </c>
      <c r="E30" s="10">
        <v>25.5</v>
      </c>
      <c r="F30" s="10">
        <v>7</v>
      </c>
      <c r="G30" s="10">
        <v>1</v>
      </c>
      <c r="H30" s="10">
        <v>3</v>
      </c>
      <c r="I30" s="10">
        <v>2</v>
      </c>
      <c r="J30" s="10">
        <f>SUM(B30:I30)</f>
        <v>45.26</v>
      </c>
      <c r="K30">
        <v>2014</v>
      </c>
      <c r="L30">
        <v>1</v>
      </c>
      <c r="M30" s="11">
        <v>41640</v>
      </c>
      <c r="N30" t="s">
        <v>2173</v>
      </c>
      <c r="O30">
        <v>4</v>
      </c>
      <c r="P30" t="s">
        <v>53</v>
      </c>
      <c r="Q30" t="b">
        <v>0</v>
      </c>
    </row>
    <row r="31" spans="1:17">
      <c r="A31" s="12">
        <v>41670</v>
      </c>
      <c r="B31" s="10">
        <v>1</v>
      </c>
      <c r="C31" s="10">
        <v>2.68</v>
      </c>
      <c r="D31" s="10">
        <v>7.1</v>
      </c>
      <c r="E31" s="10">
        <v>26.9</v>
      </c>
      <c r="F31" s="10">
        <v>9</v>
      </c>
      <c r="G31" s="10">
        <v>0</v>
      </c>
      <c r="H31" s="10">
        <v>1</v>
      </c>
      <c r="I31" s="10">
        <v>0</v>
      </c>
      <c r="J31" s="10">
        <f>SUM(B31:I31)</f>
        <v>47.68</v>
      </c>
      <c r="K31">
        <v>2014</v>
      </c>
      <c r="L31">
        <v>1</v>
      </c>
      <c r="M31" s="11">
        <v>41640</v>
      </c>
      <c r="N31" t="s">
        <v>2173</v>
      </c>
      <c r="O31">
        <v>5</v>
      </c>
      <c r="P31" t="s">
        <v>55</v>
      </c>
      <c r="Q31" t="b">
        <v>0</v>
      </c>
    </row>
    <row r="32" spans="1:17">
      <c r="A32" s="12">
        <v>41671</v>
      </c>
      <c r="B32" s="10">
        <v>4.33</v>
      </c>
      <c r="C32" s="10">
        <v>4.32</v>
      </c>
      <c r="D32" s="10">
        <v>5</v>
      </c>
      <c r="E32" s="10">
        <v>43</v>
      </c>
      <c r="F32" s="10">
        <v>13</v>
      </c>
      <c r="G32" s="10">
        <v>1</v>
      </c>
      <c r="H32" s="10">
        <v>14</v>
      </c>
      <c r="I32" s="10">
        <v>0</v>
      </c>
      <c r="J32" s="10">
        <f>SUM(B32:I32)</f>
        <v>84.65</v>
      </c>
      <c r="K32">
        <v>2014</v>
      </c>
      <c r="L32">
        <v>2</v>
      </c>
      <c r="M32" s="11">
        <v>41671</v>
      </c>
      <c r="N32" t="s">
        <v>2174</v>
      </c>
      <c r="O32">
        <v>6</v>
      </c>
      <c r="P32" t="s">
        <v>57</v>
      </c>
      <c r="Q32" t="b">
        <v>1</v>
      </c>
    </row>
    <row r="33" spans="1:17">
      <c r="A33" s="12">
        <v>41672</v>
      </c>
      <c r="B33" s="10">
        <v>7</v>
      </c>
      <c r="C33" s="10">
        <v>3</v>
      </c>
      <c r="D33" s="10">
        <v>0.2</v>
      </c>
      <c r="E33" s="10">
        <v>13.5</v>
      </c>
      <c r="F33" s="10">
        <v>6</v>
      </c>
      <c r="G33" s="10">
        <v>2</v>
      </c>
      <c r="H33" s="10">
        <v>8</v>
      </c>
      <c r="I33" s="10">
        <v>0</v>
      </c>
      <c r="J33" s="10">
        <f>SUM(B33:I33)</f>
        <v>39.7</v>
      </c>
      <c r="K33">
        <v>2014</v>
      </c>
      <c r="L33">
        <v>2</v>
      </c>
      <c r="M33" s="11">
        <v>41671</v>
      </c>
      <c r="N33" t="s">
        <v>2174</v>
      </c>
      <c r="O33">
        <v>7</v>
      </c>
      <c r="P33" t="s">
        <v>59</v>
      </c>
      <c r="Q33" t="b">
        <v>1</v>
      </c>
    </row>
    <row r="34" spans="1:17">
      <c r="A34" s="12">
        <v>41673</v>
      </c>
      <c r="B34" s="10">
        <v>5</v>
      </c>
      <c r="C34" s="10">
        <v>1</v>
      </c>
      <c r="D34" s="10">
        <v>8.5</v>
      </c>
      <c r="E34" s="10">
        <v>32.4</v>
      </c>
      <c r="F34" s="10">
        <v>16</v>
      </c>
      <c r="G34" s="10">
        <v>1</v>
      </c>
      <c r="H34" s="10">
        <v>1</v>
      </c>
      <c r="I34" s="10">
        <v>0</v>
      </c>
      <c r="J34" s="10">
        <f>SUM(B34:I34)</f>
        <v>64.9</v>
      </c>
      <c r="K34">
        <v>2014</v>
      </c>
      <c r="L34">
        <v>2</v>
      </c>
      <c r="M34" s="11">
        <v>41671</v>
      </c>
      <c r="N34" t="s">
        <v>2174</v>
      </c>
      <c r="O34">
        <v>1</v>
      </c>
      <c r="P34" t="s">
        <v>61</v>
      </c>
      <c r="Q34" t="b">
        <v>1</v>
      </c>
    </row>
    <row r="35" spans="1:17">
      <c r="A35" s="12">
        <v>41674</v>
      </c>
      <c r="B35" s="10">
        <v>1.33</v>
      </c>
      <c r="C35" s="10">
        <v>3</v>
      </c>
      <c r="D35" s="10">
        <v>7</v>
      </c>
      <c r="E35" s="10">
        <v>30.6</v>
      </c>
      <c r="F35" s="10">
        <v>8</v>
      </c>
      <c r="G35" s="10">
        <v>1</v>
      </c>
      <c r="H35" s="10">
        <v>17</v>
      </c>
      <c r="I35" s="10">
        <v>2</v>
      </c>
      <c r="J35" s="10">
        <f>SUM(B35:I35)</f>
        <v>69.93</v>
      </c>
      <c r="K35">
        <v>2014</v>
      </c>
      <c r="L35">
        <v>2</v>
      </c>
      <c r="M35" s="11">
        <v>41671</v>
      </c>
      <c r="N35" t="s">
        <v>2174</v>
      </c>
      <c r="O35">
        <v>2</v>
      </c>
      <c r="P35" t="s">
        <v>63</v>
      </c>
      <c r="Q35" t="b">
        <v>1</v>
      </c>
    </row>
    <row r="36" spans="1:17">
      <c r="A36" s="12">
        <v>41675</v>
      </c>
      <c r="B36" s="10">
        <v>3</v>
      </c>
      <c r="C36" s="10">
        <v>4.02</v>
      </c>
      <c r="D36" s="10">
        <v>6.2</v>
      </c>
      <c r="E36" s="10">
        <v>32.4</v>
      </c>
      <c r="F36" s="10">
        <v>15</v>
      </c>
      <c r="G36" s="10">
        <v>1</v>
      </c>
      <c r="H36" s="10">
        <v>1</v>
      </c>
      <c r="I36" s="10">
        <v>1</v>
      </c>
      <c r="J36" s="10">
        <f>SUM(B36:I36)</f>
        <v>63.62</v>
      </c>
      <c r="K36">
        <v>2014</v>
      </c>
      <c r="L36">
        <v>2</v>
      </c>
      <c r="M36" s="11">
        <v>41671</v>
      </c>
      <c r="N36" t="s">
        <v>2174</v>
      </c>
      <c r="O36">
        <v>3</v>
      </c>
      <c r="P36" t="s">
        <v>65</v>
      </c>
      <c r="Q36" t="b">
        <v>1</v>
      </c>
    </row>
    <row r="37" spans="1:17">
      <c r="A37" s="12">
        <v>41676</v>
      </c>
      <c r="B37" s="10">
        <v>3.33</v>
      </c>
      <c r="C37" s="10">
        <v>6.68</v>
      </c>
      <c r="D37" s="10">
        <v>3.5</v>
      </c>
      <c r="E37" s="10">
        <v>41.4</v>
      </c>
      <c r="F37" s="10">
        <v>17</v>
      </c>
      <c r="G37" s="10">
        <v>2</v>
      </c>
      <c r="H37" s="10">
        <v>5</v>
      </c>
      <c r="I37" s="10">
        <v>2</v>
      </c>
      <c r="J37" s="10">
        <f>SUM(B37:I37)</f>
        <v>80.91</v>
      </c>
      <c r="K37">
        <v>2014</v>
      </c>
      <c r="L37">
        <v>2</v>
      </c>
      <c r="M37" s="11">
        <v>41671</v>
      </c>
      <c r="N37" t="s">
        <v>2174</v>
      </c>
      <c r="O37">
        <v>4</v>
      </c>
      <c r="P37" t="s">
        <v>53</v>
      </c>
      <c r="Q37" t="b">
        <v>1</v>
      </c>
    </row>
    <row r="38" spans="1:17">
      <c r="A38" s="12">
        <v>41677</v>
      </c>
      <c r="B38" s="10">
        <v>2.66</v>
      </c>
      <c r="C38" s="10">
        <v>8.67</v>
      </c>
      <c r="D38" s="10">
        <v>11.7</v>
      </c>
      <c r="E38" s="10">
        <v>21.4</v>
      </c>
      <c r="F38" s="10">
        <v>19</v>
      </c>
      <c r="G38" s="10">
        <v>1</v>
      </c>
      <c r="H38" s="10">
        <v>0</v>
      </c>
      <c r="I38" s="10">
        <v>0</v>
      </c>
      <c r="J38" s="10">
        <f>SUM(B38:I38)</f>
        <v>64.43</v>
      </c>
      <c r="K38">
        <v>2014</v>
      </c>
      <c r="L38">
        <v>2</v>
      </c>
      <c r="M38" s="11">
        <v>41671</v>
      </c>
      <c r="N38" t="s">
        <v>2174</v>
      </c>
      <c r="O38">
        <v>5</v>
      </c>
      <c r="P38" t="s">
        <v>55</v>
      </c>
      <c r="Q38" t="b">
        <v>1</v>
      </c>
    </row>
    <row r="39" spans="1:17">
      <c r="A39" s="12">
        <v>41678</v>
      </c>
      <c r="B39" s="10">
        <v>3.33</v>
      </c>
      <c r="C39" s="10">
        <v>3.35</v>
      </c>
      <c r="D39" s="10">
        <v>14.4</v>
      </c>
      <c r="E39" s="10">
        <v>37.1</v>
      </c>
      <c r="F39" s="10">
        <v>13</v>
      </c>
      <c r="G39" s="10">
        <v>1</v>
      </c>
      <c r="H39" s="10">
        <v>1</v>
      </c>
      <c r="I39" s="10">
        <v>1</v>
      </c>
      <c r="J39" s="10">
        <f>SUM(B39:I39)</f>
        <v>74.18</v>
      </c>
      <c r="K39">
        <v>2014</v>
      </c>
      <c r="L39">
        <v>2</v>
      </c>
      <c r="M39" s="11">
        <v>41671</v>
      </c>
      <c r="N39" t="s">
        <v>2174</v>
      </c>
      <c r="O39">
        <v>6</v>
      </c>
      <c r="P39" t="s">
        <v>57</v>
      </c>
      <c r="Q39" t="b">
        <v>1</v>
      </c>
    </row>
    <row r="40" spans="1:17">
      <c r="A40" s="12">
        <v>41679</v>
      </c>
      <c r="B40" s="10">
        <v>4</v>
      </c>
      <c r="C40" s="10">
        <v>3</v>
      </c>
      <c r="D40" s="10">
        <v>2</v>
      </c>
      <c r="E40" s="10">
        <v>31.5</v>
      </c>
      <c r="F40" s="10">
        <v>10</v>
      </c>
      <c r="G40" s="10">
        <v>0</v>
      </c>
      <c r="H40" s="10">
        <v>6</v>
      </c>
      <c r="I40" s="10">
        <v>0</v>
      </c>
      <c r="J40" s="10">
        <f>SUM(B40:I40)</f>
        <v>56.5</v>
      </c>
      <c r="K40">
        <v>2014</v>
      </c>
      <c r="L40">
        <v>2</v>
      </c>
      <c r="M40" s="11">
        <v>41671</v>
      </c>
      <c r="N40" t="s">
        <v>2174</v>
      </c>
      <c r="O40">
        <v>7</v>
      </c>
      <c r="P40" t="s">
        <v>59</v>
      </c>
      <c r="Q40" t="b">
        <v>1</v>
      </c>
    </row>
    <row r="41" spans="1:17">
      <c r="A41" s="12">
        <v>41680</v>
      </c>
      <c r="B41" s="10">
        <v>5</v>
      </c>
      <c r="C41" s="10">
        <v>10.33</v>
      </c>
      <c r="D41" s="10">
        <v>8.5</v>
      </c>
      <c r="E41" s="10">
        <v>40.1</v>
      </c>
      <c r="F41" s="10">
        <v>20</v>
      </c>
      <c r="G41" s="10">
        <v>3</v>
      </c>
      <c r="H41" s="10">
        <v>3</v>
      </c>
      <c r="I41" s="10">
        <v>1</v>
      </c>
      <c r="J41" s="10">
        <f>SUM(B41:I41)</f>
        <v>90.93</v>
      </c>
      <c r="K41">
        <v>2014</v>
      </c>
      <c r="L41">
        <v>2</v>
      </c>
      <c r="M41" s="11">
        <v>41671</v>
      </c>
      <c r="N41" t="s">
        <v>2174</v>
      </c>
      <c r="O41">
        <v>1</v>
      </c>
      <c r="P41" t="s">
        <v>61</v>
      </c>
      <c r="Q41" t="b">
        <v>1</v>
      </c>
    </row>
    <row r="42" spans="1:17">
      <c r="A42" s="12">
        <v>41681</v>
      </c>
      <c r="B42" s="10">
        <v>10</v>
      </c>
      <c r="C42" s="10">
        <v>6.99</v>
      </c>
      <c r="D42" s="10">
        <v>13.3</v>
      </c>
      <c r="E42" s="10">
        <v>44.6</v>
      </c>
      <c r="F42" s="10">
        <v>20</v>
      </c>
      <c r="G42" s="10">
        <v>2</v>
      </c>
      <c r="H42" s="10">
        <v>6</v>
      </c>
      <c r="I42" s="10">
        <v>2.2</v>
      </c>
      <c r="J42" s="10">
        <f>SUM(B42:I42)</f>
        <v>105.09</v>
      </c>
      <c r="K42">
        <v>2014</v>
      </c>
      <c r="L42">
        <v>2</v>
      </c>
      <c r="M42" s="11">
        <v>41671</v>
      </c>
      <c r="N42" t="s">
        <v>2174</v>
      </c>
      <c r="O42">
        <v>2</v>
      </c>
      <c r="P42" t="s">
        <v>63</v>
      </c>
      <c r="Q42" t="b">
        <v>1</v>
      </c>
    </row>
    <row r="43" spans="1:17">
      <c r="A43" s="12">
        <v>41682</v>
      </c>
      <c r="B43" s="10">
        <v>9</v>
      </c>
      <c r="C43" s="10">
        <v>1.67</v>
      </c>
      <c r="D43" s="10">
        <v>9.1</v>
      </c>
      <c r="E43" s="10">
        <v>73.59999999999999</v>
      </c>
      <c r="F43" s="10">
        <v>9</v>
      </c>
      <c r="G43" s="10">
        <v>0</v>
      </c>
      <c r="H43" s="10">
        <v>5</v>
      </c>
      <c r="I43" s="10">
        <v>0</v>
      </c>
      <c r="J43" s="10">
        <f>SUM(B43:I43)</f>
        <v>107.36999999999999</v>
      </c>
      <c r="K43">
        <v>2014</v>
      </c>
      <c r="L43">
        <v>2</v>
      </c>
      <c r="M43" s="11">
        <v>41671</v>
      </c>
      <c r="N43" t="s">
        <v>2174</v>
      </c>
      <c r="O43">
        <v>3</v>
      </c>
      <c r="P43" t="s">
        <v>65</v>
      </c>
      <c r="Q43" t="b">
        <v>1</v>
      </c>
    </row>
    <row r="44" spans="1:17">
      <c r="A44" s="12">
        <v>41683</v>
      </c>
      <c r="B44" s="10">
        <v>4.33</v>
      </c>
      <c r="C44" s="10">
        <v>3.67</v>
      </c>
      <c r="D44" s="10">
        <v>10</v>
      </c>
      <c r="E44" s="10">
        <v>49.1</v>
      </c>
      <c r="F44" s="10">
        <v>13</v>
      </c>
      <c r="G44" s="10">
        <v>3</v>
      </c>
      <c r="H44" s="10">
        <v>0</v>
      </c>
      <c r="I44" s="10">
        <v>1</v>
      </c>
      <c r="J44" s="10">
        <f>SUM(B44:I44)</f>
        <v>84.1</v>
      </c>
      <c r="K44">
        <v>2014</v>
      </c>
      <c r="L44">
        <v>2</v>
      </c>
      <c r="M44" s="11">
        <v>41671</v>
      </c>
      <c r="N44" t="s">
        <v>2174</v>
      </c>
      <c r="O44">
        <v>4</v>
      </c>
      <c r="P44" t="s">
        <v>53</v>
      </c>
      <c r="Q44" t="b">
        <v>1</v>
      </c>
    </row>
    <row r="45" spans="1:17">
      <c r="A45" s="12">
        <v>41684</v>
      </c>
      <c r="B45" s="10">
        <v>4</v>
      </c>
      <c r="C45" s="10">
        <v>4.01</v>
      </c>
      <c r="D45" s="10">
        <v>3.2</v>
      </c>
      <c r="E45" s="10">
        <v>42.3</v>
      </c>
      <c r="F45" s="10">
        <v>13</v>
      </c>
      <c r="G45" s="10">
        <v>4</v>
      </c>
      <c r="H45" s="10">
        <v>0</v>
      </c>
      <c r="I45" s="10">
        <v>6</v>
      </c>
      <c r="J45" s="10">
        <f>SUM(B45:I45)</f>
        <v>76.50999999999999</v>
      </c>
      <c r="K45">
        <v>2014</v>
      </c>
      <c r="L45">
        <v>2</v>
      </c>
      <c r="M45" s="11">
        <v>41671</v>
      </c>
      <c r="N45" t="s">
        <v>2174</v>
      </c>
      <c r="O45">
        <v>5</v>
      </c>
      <c r="P45" t="s">
        <v>55</v>
      </c>
      <c r="Q45" t="b">
        <v>1</v>
      </c>
    </row>
    <row r="46" spans="1:17">
      <c r="A46" s="12">
        <v>41685</v>
      </c>
      <c r="B46" s="10">
        <v>1</v>
      </c>
      <c r="C46" s="10">
        <v>2.34</v>
      </c>
      <c r="D46" s="10">
        <v>2</v>
      </c>
      <c r="E46" s="10">
        <v>37</v>
      </c>
      <c r="F46" s="10">
        <v>9</v>
      </c>
      <c r="G46" s="10">
        <v>0</v>
      </c>
      <c r="H46" s="10">
        <v>1</v>
      </c>
      <c r="I46" s="10">
        <v>5</v>
      </c>
      <c r="J46" s="10">
        <f>SUM(B46:I46)</f>
        <v>57.34</v>
      </c>
      <c r="K46">
        <v>2014</v>
      </c>
      <c r="L46">
        <v>2</v>
      </c>
      <c r="M46" s="11">
        <v>41671</v>
      </c>
      <c r="N46" t="s">
        <v>2174</v>
      </c>
      <c r="O46">
        <v>6</v>
      </c>
      <c r="P46" t="s">
        <v>57</v>
      </c>
      <c r="Q46" t="b">
        <v>1</v>
      </c>
    </row>
    <row r="47" spans="1:17">
      <c r="A47" s="12">
        <v>41686</v>
      </c>
      <c r="B47" s="10">
        <v>0</v>
      </c>
      <c r="C47" s="10">
        <v>1.68</v>
      </c>
      <c r="D47" s="10">
        <v>1.2</v>
      </c>
      <c r="E47" s="10">
        <v>34</v>
      </c>
      <c r="F47" s="10">
        <v>5</v>
      </c>
      <c r="G47" s="10">
        <v>2</v>
      </c>
      <c r="H47" s="10">
        <v>3</v>
      </c>
      <c r="I47" s="10">
        <v>1</v>
      </c>
      <c r="J47" s="10">
        <f>SUM(B47:I47)</f>
        <v>47.88</v>
      </c>
      <c r="K47">
        <v>2014</v>
      </c>
      <c r="L47">
        <v>2</v>
      </c>
      <c r="M47" s="11">
        <v>41671</v>
      </c>
      <c r="N47" t="s">
        <v>2174</v>
      </c>
      <c r="O47">
        <v>7</v>
      </c>
      <c r="P47" t="s">
        <v>59</v>
      </c>
      <c r="Q47" t="b">
        <v>1</v>
      </c>
    </row>
    <row r="48" spans="1:17">
      <c r="A48" s="12">
        <v>41687</v>
      </c>
      <c r="B48" s="10">
        <v>7.34</v>
      </c>
      <c r="C48" s="10">
        <v>4</v>
      </c>
      <c r="D48" s="10">
        <v>12.7</v>
      </c>
      <c r="E48" s="10">
        <v>27</v>
      </c>
      <c r="F48" s="10">
        <v>13</v>
      </c>
      <c r="G48" s="10">
        <v>1</v>
      </c>
      <c r="H48" s="10">
        <v>7</v>
      </c>
      <c r="I48" s="10">
        <v>0</v>
      </c>
      <c r="J48" s="10">
        <f>SUM(B48:I48)</f>
        <v>72.03999999999999</v>
      </c>
      <c r="K48">
        <v>2014</v>
      </c>
      <c r="L48">
        <v>2</v>
      </c>
      <c r="M48" s="11">
        <v>41671</v>
      </c>
      <c r="N48" t="s">
        <v>2174</v>
      </c>
      <c r="O48">
        <v>1</v>
      </c>
      <c r="P48" t="s">
        <v>61</v>
      </c>
      <c r="Q48" t="b">
        <v>1</v>
      </c>
    </row>
    <row r="49" spans="1:17">
      <c r="A49" s="12">
        <v>41688</v>
      </c>
      <c r="B49" s="10">
        <v>7.34</v>
      </c>
      <c r="C49" s="10">
        <v>7.36</v>
      </c>
      <c r="D49" s="10">
        <v>6.1</v>
      </c>
      <c r="E49" s="10">
        <v>45</v>
      </c>
      <c r="F49" s="10">
        <v>14</v>
      </c>
      <c r="G49" s="10">
        <v>0</v>
      </c>
      <c r="H49" s="10">
        <v>13</v>
      </c>
      <c r="I49" s="10">
        <v>5</v>
      </c>
      <c r="J49" s="10">
        <f>SUM(B49:I49)</f>
        <v>97.8</v>
      </c>
      <c r="K49">
        <v>2014</v>
      </c>
      <c r="L49">
        <v>2</v>
      </c>
      <c r="M49" s="11">
        <v>41671</v>
      </c>
      <c r="N49" t="s">
        <v>2174</v>
      </c>
      <c r="O49">
        <v>2</v>
      </c>
      <c r="P49" t="s">
        <v>63</v>
      </c>
      <c r="Q49" t="b">
        <v>1</v>
      </c>
    </row>
    <row r="50" spans="1:17">
      <c r="A50" s="12">
        <v>41689</v>
      </c>
      <c r="B50" s="10">
        <v>3.33</v>
      </c>
      <c r="C50" s="10">
        <v>5.02</v>
      </c>
      <c r="D50" s="10">
        <v>5.5</v>
      </c>
      <c r="E50" s="10">
        <v>66.8</v>
      </c>
      <c r="F50" s="10">
        <v>17</v>
      </c>
      <c r="G50" s="10">
        <v>1</v>
      </c>
      <c r="H50" s="10">
        <v>6</v>
      </c>
      <c r="I50" s="10">
        <v>1</v>
      </c>
      <c r="J50" s="10">
        <f>SUM(B50:I50)</f>
        <v>105.64999999999999</v>
      </c>
      <c r="K50">
        <v>2014</v>
      </c>
      <c r="L50">
        <v>2</v>
      </c>
      <c r="M50" s="11">
        <v>41671</v>
      </c>
      <c r="N50" t="s">
        <v>2174</v>
      </c>
      <c r="O50">
        <v>3</v>
      </c>
      <c r="P50" t="s">
        <v>65</v>
      </c>
      <c r="Q50" t="b">
        <v>1</v>
      </c>
    </row>
    <row r="51" spans="1:17">
      <c r="A51" s="12">
        <v>41690</v>
      </c>
      <c r="B51" s="10">
        <v>7</v>
      </c>
      <c r="C51" s="10">
        <v>7.02</v>
      </c>
      <c r="D51" s="10">
        <v>3.2</v>
      </c>
      <c r="E51" s="10">
        <v>21.5</v>
      </c>
      <c r="F51" s="10">
        <v>16</v>
      </c>
      <c r="G51" s="10">
        <v>3</v>
      </c>
      <c r="H51" s="10">
        <v>8</v>
      </c>
      <c r="I51" s="10">
        <v>1</v>
      </c>
      <c r="J51" s="10">
        <f>SUM(B51:I51)</f>
        <v>66.72</v>
      </c>
      <c r="K51">
        <v>2014</v>
      </c>
      <c r="L51">
        <v>2</v>
      </c>
      <c r="M51" s="11">
        <v>41671</v>
      </c>
      <c r="N51" t="s">
        <v>2174</v>
      </c>
      <c r="O51">
        <v>4</v>
      </c>
      <c r="P51" t="s">
        <v>53</v>
      </c>
      <c r="Q51" t="b">
        <v>1</v>
      </c>
    </row>
    <row r="52" spans="1:17">
      <c r="A52" s="12">
        <v>41691</v>
      </c>
      <c r="B52" s="10">
        <v>6</v>
      </c>
      <c r="C52" s="10">
        <v>4.34</v>
      </c>
      <c r="D52" s="10">
        <v>9</v>
      </c>
      <c r="E52" s="10">
        <v>25.4</v>
      </c>
      <c r="F52" s="10">
        <v>17</v>
      </c>
      <c r="G52" s="10">
        <v>0</v>
      </c>
      <c r="H52" s="10">
        <v>0</v>
      </c>
      <c r="I52" s="10">
        <v>0</v>
      </c>
      <c r="J52" s="10">
        <f>SUM(B52:I52)</f>
        <v>61.739999999999995</v>
      </c>
      <c r="K52">
        <v>2014</v>
      </c>
      <c r="L52">
        <v>2</v>
      </c>
      <c r="M52" s="11">
        <v>41671</v>
      </c>
      <c r="N52" t="s">
        <v>2174</v>
      </c>
      <c r="O52">
        <v>5</v>
      </c>
      <c r="P52" t="s">
        <v>55</v>
      </c>
      <c r="Q52" t="b">
        <v>1</v>
      </c>
    </row>
    <row r="53" spans="1:17">
      <c r="A53" s="12">
        <v>41692</v>
      </c>
      <c r="B53" s="10">
        <v>7</v>
      </c>
      <c r="C53" s="10">
        <v>3.17</v>
      </c>
      <c r="D53" s="10">
        <v>5.7</v>
      </c>
      <c r="E53" s="10">
        <v>26</v>
      </c>
      <c r="F53" s="10">
        <v>12</v>
      </c>
      <c r="G53" s="10">
        <v>0</v>
      </c>
      <c r="H53" s="10">
        <v>1</v>
      </c>
      <c r="I53" s="10">
        <v>0</v>
      </c>
      <c r="J53" s="10">
        <f>SUM(B53:I53)</f>
        <v>54.870000000000005</v>
      </c>
      <c r="K53">
        <v>2014</v>
      </c>
      <c r="L53">
        <v>2</v>
      </c>
      <c r="M53" s="11">
        <v>41671</v>
      </c>
      <c r="N53" t="s">
        <v>2174</v>
      </c>
      <c r="O53">
        <v>6</v>
      </c>
      <c r="P53" t="s">
        <v>57</v>
      </c>
      <c r="Q53" t="b">
        <v>1</v>
      </c>
    </row>
    <row r="54" spans="1:17">
      <c r="A54" s="12">
        <v>41693</v>
      </c>
      <c r="B54" s="10">
        <v>1</v>
      </c>
      <c r="C54" s="10">
        <v>3.34</v>
      </c>
      <c r="D54" s="10">
        <v>2</v>
      </c>
      <c r="E54" s="10">
        <v>21</v>
      </c>
      <c r="F54" s="10">
        <v>10</v>
      </c>
      <c r="G54" s="10">
        <v>0</v>
      </c>
      <c r="H54" s="10">
        <v>0</v>
      </c>
      <c r="I54" s="10">
        <v>0</v>
      </c>
      <c r="J54" s="10">
        <f>SUM(B54:I54)</f>
        <v>37.34</v>
      </c>
      <c r="K54">
        <v>2014</v>
      </c>
      <c r="L54">
        <v>2</v>
      </c>
      <c r="M54" s="11">
        <v>41671</v>
      </c>
      <c r="N54" t="s">
        <v>2174</v>
      </c>
      <c r="O54">
        <v>7</v>
      </c>
      <c r="P54" t="s">
        <v>59</v>
      </c>
      <c r="Q54" t="b">
        <v>1</v>
      </c>
    </row>
    <row r="55" spans="1:17">
      <c r="A55" s="12">
        <v>41694</v>
      </c>
      <c r="B55" s="10">
        <v>7</v>
      </c>
      <c r="C55" s="10">
        <v>4.68</v>
      </c>
      <c r="D55" s="10">
        <v>5.5</v>
      </c>
      <c r="E55" s="10">
        <v>26.5</v>
      </c>
      <c r="F55" s="10">
        <v>4</v>
      </c>
      <c r="G55" s="10">
        <v>0</v>
      </c>
      <c r="H55" s="10">
        <v>0</v>
      </c>
      <c r="I55" s="10">
        <v>3</v>
      </c>
      <c r="J55" s="10">
        <f>SUM(B55:I55)</f>
        <v>50.68</v>
      </c>
      <c r="K55">
        <v>2014</v>
      </c>
      <c r="L55">
        <v>2</v>
      </c>
      <c r="M55" s="11">
        <v>41671</v>
      </c>
      <c r="N55" t="s">
        <v>2174</v>
      </c>
      <c r="O55">
        <v>1</v>
      </c>
      <c r="P55" t="s">
        <v>61</v>
      </c>
      <c r="Q55" t="b">
        <v>1</v>
      </c>
    </row>
    <row r="56" spans="1:17">
      <c r="A56" s="12">
        <v>41695</v>
      </c>
      <c r="B56" s="10">
        <v>5</v>
      </c>
      <c r="C56" s="10">
        <v>1.68</v>
      </c>
      <c r="D56" s="10">
        <v>11.2</v>
      </c>
      <c r="E56" s="10">
        <v>34.5</v>
      </c>
      <c r="F56" s="10">
        <v>13</v>
      </c>
      <c r="G56" s="10">
        <v>0</v>
      </c>
      <c r="H56" s="10">
        <v>0</v>
      </c>
      <c r="I56" s="10">
        <v>2</v>
      </c>
      <c r="J56" s="10">
        <f>SUM(B56:I56)</f>
        <v>67.38</v>
      </c>
      <c r="K56">
        <v>2014</v>
      </c>
      <c r="L56">
        <v>2</v>
      </c>
      <c r="M56" s="11">
        <v>41671</v>
      </c>
      <c r="N56" t="s">
        <v>2174</v>
      </c>
      <c r="O56">
        <v>2</v>
      </c>
      <c r="P56" t="s">
        <v>63</v>
      </c>
      <c r="Q56" t="b">
        <v>1</v>
      </c>
    </row>
    <row r="57" spans="1:17">
      <c r="A57" s="12">
        <v>41696</v>
      </c>
      <c r="B57" s="10">
        <v>5</v>
      </c>
      <c r="C57" s="10">
        <v>4.01</v>
      </c>
      <c r="D57" s="10">
        <v>1</v>
      </c>
      <c r="E57" s="10">
        <v>34</v>
      </c>
      <c r="F57" s="10">
        <v>5</v>
      </c>
      <c r="G57" s="10">
        <v>0</v>
      </c>
      <c r="H57" s="10">
        <v>12</v>
      </c>
      <c r="I57" s="10">
        <v>1</v>
      </c>
      <c r="J57" s="10">
        <f>SUM(B57:I57)</f>
        <v>62.01</v>
      </c>
      <c r="K57">
        <v>2014</v>
      </c>
      <c r="L57">
        <v>2</v>
      </c>
      <c r="M57" s="11">
        <v>41671</v>
      </c>
      <c r="N57" t="s">
        <v>2174</v>
      </c>
      <c r="O57">
        <v>3</v>
      </c>
      <c r="P57" t="s">
        <v>65</v>
      </c>
      <c r="Q57" t="b">
        <v>1</v>
      </c>
    </row>
    <row r="58" spans="1:17">
      <c r="A58" s="12">
        <v>41697</v>
      </c>
      <c r="B58" s="10">
        <v>3</v>
      </c>
      <c r="C58" s="10">
        <v>6.34</v>
      </c>
      <c r="D58" s="10">
        <v>4</v>
      </c>
      <c r="E58" s="10">
        <v>33.2</v>
      </c>
      <c r="F58" s="10">
        <v>8</v>
      </c>
      <c r="G58" s="10">
        <v>1</v>
      </c>
      <c r="H58" s="10">
        <v>2</v>
      </c>
      <c r="I58" s="10">
        <v>1</v>
      </c>
      <c r="J58" s="10">
        <f>SUM(B58:I58)</f>
        <v>58.540000000000006</v>
      </c>
      <c r="K58">
        <v>2014</v>
      </c>
      <c r="L58">
        <v>2</v>
      </c>
      <c r="M58" s="11">
        <v>41671</v>
      </c>
      <c r="N58" t="s">
        <v>2174</v>
      </c>
      <c r="O58">
        <v>4</v>
      </c>
      <c r="P58" t="s">
        <v>53</v>
      </c>
      <c r="Q58" t="b">
        <v>1</v>
      </c>
    </row>
    <row r="59" spans="1:17">
      <c r="A59" s="12">
        <v>41698</v>
      </c>
      <c r="B59" s="10">
        <v>7</v>
      </c>
      <c r="C59" s="10">
        <v>7.36</v>
      </c>
      <c r="D59" s="10">
        <v>5.3</v>
      </c>
      <c r="E59" s="10">
        <v>37</v>
      </c>
      <c r="F59" s="10">
        <v>12</v>
      </c>
      <c r="G59" s="10">
        <v>1</v>
      </c>
      <c r="H59" s="10">
        <v>2</v>
      </c>
      <c r="I59" s="10">
        <v>0</v>
      </c>
      <c r="J59" s="10">
        <f>SUM(B59:I59)</f>
        <v>71.66</v>
      </c>
      <c r="K59">
        <v>2014</v>
      </c>
      <c r="L59">
        <v>2</v>
      </c>
      <c r="M59" s="11">
        <v>41671</v>
      </c>
      <c r="N59" t="s">
        <v>2174</v>
      </c>
      <c r="O59">
        <v>5</v>
      </c>
      <c r="P59" t="s">
        <v>55</v>
      </c>
      <c r="Q59" t="b">
        <v>1</v>
      </c>
    </row>
    <row r="60" spans="1:17">
      <c r="A60" s="12">
        <v>41699</v>
      </c>
      <c r="B60" s="10">
        <v>6.34</v>
      </c>
      <c r="C60" s="10">
        <v>3.68</v>
      </c>
      <c r="D60" s="10">
        <v>11.355</v>
      </c>
      <c r="E60" s="10">
        <v>50.7</v>
      </c>
      <c r="F60" s="10">
        <v>8</v>
      </c>
      <c r="G60" s="10">
        <v>0</v>
      </c>
      <c r="H60" s="10">
        <v>0</v>
      </c>
      <c r="I60" s="10">
        <v>2.1</v>
      </c>
      <c r="J60" s="10">
        <f>SUM(B60:I60)</f>
        <v>82.175</v>
      </c>
      <c r="K60">
        <v>2014</v>
      </c>
      <c r="L60">
        <v>3</v>
      </c>
      <c r="M60" s="11">
        <v>41699</v>
      </c>
      <c r="N60" t="s">
        <v>2175</v>
      </c>
      <c r="O60">
        <v>6</v>
      </c>
      <c r="P60" t="s">
        <v>57</v>
      </c>
      <c r="Q60" t="b">
        <v>1</v>
      </c>
    </row>
    <row r="61" spans="1:17">
      <c r="A61" s="12">
        <v>41700</v>
      </c>
      <c r="B61" s="10">
        <v>3.34</v>
      </c>
      <c r="C61" s="10">
        <v>1</v>
      </c>
      <c r="D61" s="10">
        <v>2</v>
      </c>
      <c r="E61" s="10">
        <v>6.6</v>
      </c>
      <c r="F61" s="10">
        <v>2</v>
      </c>
      <c r="G61" s="10">
        <v>0</v>
      </c>
      <c r="H61" s="10">
        <v>0</v>
      </c>
      <c r="I61" s="10">
        <v>1</v>
      </c>
      <c r="J61" s="10">
        <f>SUM(B61:I61)</f>
        <v>15.94</v>
      </c>
      <c r="K61">
        <v>2014</v>
      </c>
      <c r="L61">
        <v>3</v>
      </c>
      <c r="M61" s="11">
        <v>41699</v>
      </c>
      <c r="N61" t="s">
        <v>2175</v>
      </c>
      <c r="O61">
        <v>7</v>
      </c>
      <c r="P61" t="s">
        <v>59</v>
      </c>
      <c r="Q61" t="b">
        <v>1</v>
      </c>
    </row>
    <row r="62" spans="1:17">
      <c r="A62" s="12">
        <v>41701</v>
      </c>
      <c r="B62" s="10">
        <v>4</v>
      </c>
      <c r="C62" s="10">
        <v>3.68</v>
      </c>
      <c r="D62" s="10">
        <v>1.6</v>
      </c>
      <c r="E62" s="10">
        <v>22.1</v>
      </c>
      <c r="F62" s="10">
        <v>1</v>
      </c>
      <c r="G62" s="10">
        <v>2</v>
      </c>
      <c r="H62" s="10">
        <v>0</v>
      </c>
      <c r="I62" s="10">
        <v>2.2</v>
      </c>
      <c r="J62" s="10">
        <f>SUM(B62:I62)</f>
        <v>36.580000000000005</v>
      </c>
      <c r="K62">
        <v>2014</v>
      </c>
      <c r="L62">
        <v>3</v>
      </c>
      <c r="M62" s="11">
        <v>41699</v>
      </c>
      <c r="N62" t="s">
        <v>2175</v>
      </c>
      <c r="O62">
        <v>1</v>
      </c>
      <c r="P62" t="s">
        <v>61</v>
      </c>
      <c r="Q62" t="b">
        <v>1</v>
      </c>
    </row>
    <row r="63" spans="1:17">
      <c r="A63" s="12">
        <v>41702</v>
      </c>
      <c r="B63" s="10">
        <v>5.34</v>
      </c>
      <c r="C63" s="10">
        <v>7.02</v>
      </c>
      <c r="D63" s="10">
        <v>7.2</v>
      </c>
      <c r="E63" s="10">
        <v>47.275</v>
      </c>
      <c r="F63" s="10">
        <v>9</v>
      </c>
      <c r="G63" s="10">
        <v>0</v>
      </c>
      <c r="H63" s="10">
        <v>5</v>
      </c>
      <c r="I63" s="10">
        <v>4</v>
      </c>
      <c r="J63" s="10">
        <f>SUM(B63:I63)</f>
        <v>84.835</v>
      </c>
      <c r="K63">
        <v>2014</v>
      </c>
      <c r="L63">
        <v>3</v>
      </c>
      <c r="M63" s="11">
        <v>41699</v>
      </c>
      <c r="N63" t="s">
        <v>2175</v>
      </c>
      <c r="O63">
        <v>2</v>
      </c>
      <c r="P63" t="s">
        <v>63</v>
      </c>
      <c r="Q63" t="b">
        <v>1</v>
      </c>
    </row>
    <row r="64" spans="1:17">
      <c r="A64" s="12">
        <v>41703</v>
      </c>
      <c r="B64" s="10">
        <v>3.34</v>
      </c>
      <c r="C64" s="10">
        <v>1</v>
      </c>
      <c r="D64" s="10">
        <v>3</v>
      </c>
      <c r="E64" s="10">
        <v>25</v>
      </c>
      <c r="F64" s="10">
        <v>4</v>
      </c>
      <c r="G64" s="10">
        <v>0</v>
      </c>
      <c r="H64" s="10">
        <v>1</v>
      </c>
      <c r="I64" s="10">
        <v>0</v>
      </c>
      <c r="J64" s="10">
        <f>SUM(B64:I64)</f>
        <v>37.34</v>
      </c>
      <c r="K64">
        <v>2014</v>
      </c>
      <c r="L64">
        <v>3</v>
      </c>
      <c r="M64" s="11">
        <v>41699</v>
      </c>
      <c r="N64" t="s">
        <v>2175</v>
      </c>
      <c r="O64">
        <v>3</v>
      </c>
      <c r="P64" t="s">
        <v>65</v>
      </c>
      <c r="Q64" t="b">
        <v>1</v>
      </c>
    </row>
    <row r="65" spans="1:17">
      <c r="A65" s="12">
        <v>41704</v>
      </c>
      <c r="B65" s="10">
        <v>3</v>
      </c>
      <c r="C65" s="10">
        <v>2</v>
      </c>
      <c r="D65" s="10">
        <v>5.5</v>
      </c>
      <c r="E65" s="10">
        <v>44.1</v>
      </c>
      <c r="F65" s="10">
        <v>17</v>
      </c>
      <c r="G65" s="10">
        <v>1</v>
      </c>
      <c r="H65" s="10">
        <v>5</v>
      </c>
      <c r="I65" s="10">
        <v>1</v>
      </c>
      <c r="J65" s="10">
        <f>SUM(B65:I65)</f>
        <v>78.6</v>
      </c>
      <c r="K65">
        <v>2014</v>
      </c>
      <c r="L65">
        <v>3</v>
      </c>
      <c r="M65" s="11">
        <v>41699</v>
      </c>
      <c r="N65" t="s">
        <v>2175</v>
      </c>
      <c r="O65">
        <v>4</v>
      </c>
      <c r="P65" t="s">
        <v>53</v>
      </c>
      <c r="Q65" t="b">
        <v>1</v>
      </c>
    </row>
    <row r="66" spans="1:17">
      <c r="A66" s="12">
        <v>41705</v>
      </c>
      <c r="B66" s="10">
        <v>4</v>
      </c>
      <c r="C66" s="10">
        <v>4.34</v>
      </c>
      <c r="D66" s="10">
        <v>9.5</v>
      </c>
      <c r="E66" s="10">
        <v>25</v>
      </c>
      <c r="F66" s="10">
        <v>3</v>
      </c>
      <c r="G66" s="10">
        <v>1</v>
      </c>
      <c r="H66" s="10">
        <v>0</v>
      </c>
      <c r="I66" s="10">
        <v>2</v>
      </c>
      <c r="J66" s="10">
        <f>SUM(B66:I66)</f>
        <v>48.84</v>
      </c>
      <c r="K66">
        <v>2014</v>
      </c>
      <c r="L66">
        <v>3</v>
      </c>
      <c r="M66" s="11">
        <v>41699</v>
      </c>
      <c r="N66" t="s">
        <v>2175</v>
      </c>
      <c r="O66">
        <v>5</v>
      </c>
      <c r="P66" t="s">
        <v>55</v>
      </c>
      <c r="Q66" t="b">
        <v>1</v>
      </c>
    </row>
    <row r="67" spans="1:17">
      <c r="A67" s="12">
        <v>41706</v>
      </c>
      <c r="B67" s="10">
        <v>4.34</v>
      </c>
      <c r="C67" s="10">
        <v>3.07</v>
      </c>
      <c r="D67" s="10">
        <v>1</v>
      </c>
      <c r="E67" s="10">
        <v>27.6</v>
      </c>
      <c r="F67" s="10">
        <v>11</v>
      </c>
      <c r="G67" s="10">
        <v>0</v>
      </c>
      <c r="H67" s="10">
        <v>0</v>
      </c>
      <c r="I67" s="10">
        <v>0</v>
      </c>
      <c r="J67" s="10">
        <f>SUM(B67:I67)</f>
        <v>47.010000000000005</v>
      </c>
      <c r="K67">
        <v>2014</v>
      </c>
      <c r="L67">
        <v>3</v>
      </c>
      <c r="M67" s="11">
        <v>41699</v>
      </c>
      <c r="N67" t="s">
        <v>2175</v>
      </c>
      <c r="O67">
        <v>6</v>
      </c>
      <c r="P67" t="s">
        <v>57</v>
      </c>
      <c r="Q67" t="b">
        <v>1</v>
      </c>
    </row>
    <row r="68" spans="1:17">
      <c r="A68" s="12">
        <v>41707</v>
      </c>
      <c r="B68" s="10">
        <v>1</v>
      </c>
      <c r="C68" s="10">
        <v>0</v>
      </c>
      <c r="D68" s="10">
        <v>4</v>
      </c>
      <c r="E68" s="10">
        <v>11.3</v>
      </c>
      <c r="F68" s="10">
        <v>3</v>
      </c>
      <c r="G68" s="10">
        <v>0</v>
      </c>
      <c r="H68" s="10">
        <v>5</v>
      </c>
      <c r="I68" s="10">
        <v>0</v>
      </c>
      <c r="J68" s="10">
        <f>SUM(B68:I68)</f>
        <v>24.3</v>
      </c>
      <c r="K68">
        <v>2014</v>
      </c>
      <c r="L68">
        <v>3</v>
      </c>
      <c r="M68" s="11">
        <v>41699</v>
      </c>
      <c r="N68" t="s">
        <v>2175</v>
      </c>
      <c r="O68">
        <v>7</v>
      </c>
      <c r="P68" t="s">
        <v>59</v>
      </c>
      <c r="Q68" t="b">
        <v>1</v>
      </c>
    </row>
    <row r="69" spans="1:17">
      <c r="A69" s="12">
        <v>41708</v>
      </c>
      <c r="B69" s="10">
        <v>6.68</v>
      </c>
      <c r="C69" s="10">
        <v>5.35</v>
      </c>
      <c r="D69" s="10">
        <v>3.8</v>
      </c>
      <c r="E69" s="10">
        <v>47</v>
      </c>
      <c r="F69" s="10">
        <v>11</v>
      </c>
      <c r="G69" s="10">
        <v>0</v>
      </c>
      <c r="H69" s="10">
        <v>0</v>
      </c>
      <c r="I69" s="10">
        <v>2</v>
      </c>
      <c r="J69" s="10">
        <f>SUM(B69:I69)</f>
        <v>75.83</v>
      </c>
      <c r="K69">
        <v>2014</v>
      </c>
      <c r="L69">
        <v>3</v>
      </c>
      <c r="M69" s="11">
        <v>41699</v>
      </c>
      <c r="N69" t="s">
        <v>2175</v>
      </c>
      <c r="O69">
        <v>1</v>
      </c>
      <c r="P69" t="s">
        <v>61</v>
      </c>
      <c r="Q69" t="b">
        <v>1</v>
      </c>
    </row>
    <row r="70" spans="1:17">
      <c r="A70" s="12">
        <v>41709</v>
      </c>
      <c r="B70" s="10">
        <v>6</v>
      </c>
      <c r="C70" s="10">
        <v>5.7</v>
      </c>
      <c r="D70" s="10">
        <v>7</v>
      </c>
      <c r="E70" s="10">
        <v>30.4</v>
      </c>
      <c r="F70" s="10">
        <v>12</v>
      </c>
      <c r="G70" s="10">
        <v>1</v>
      </c>
      <c r="H70" s="10">
        <v>1</v>
      </c>
      <c r="I70" s="10">
        <v>5</v>
      </c>
      <c r="J70" s="10">
        <f>SUM(B70:I70)</f>
        <v>68.1</v>
      </c>
      <c r="K70">
        <v>2014</v>
      </c>
      <c r="L70">
        <v>3</v>
      </c>
      <c r="M70" s="11">
        <v>41699</v>
      </c>
      <c r="N70" t="s">
        <v>2175</v>
      </c>
      <c r="O70">
        <v>2</v>
      </c>
      <c r="P70" t="s">
        <v>63</v>
      </c>
      <c r="Q70" t="b">
        <v>1</v>
      </c>
    </row>
    <row r="71" spans="1:17">
      <c r="A71" s="12">
        <v>41710</v>
      </c>
      <c r="B71" s="10">
        <v>6.34</v>
      </c>
      <c r="C71" s="10">
        <v>2.68</v>
      </c>
      <c r="D71" s="10">
        <v>6.5</v>
      </c>
      <c r="E71" s="10">
        <v>19.6</v>
      </c>
      <c r="F71" s="10">
        <v>22</v>
      </c>
      <c r="G71" s="10">
        <v>3</v>
      </c>
      <c r="H71" s="10">
        <v>2</v>
      </c>
      <c r="I71" s="10">
        <v>2</v>
      </c>
      <c r="J71" s="10">
        <f>SUM(B71:I71)</f>
        <v>64.12</v>
      </c>
      <c r="K71">
        <v>2014</v>
      </c>
      <c r="L71">
        <v>3</v>
      </c>
      <c r="M71" s="11">
        <v>41699</v>
      </c>
      <c r="N71" t="s">
        <v>2175</v>
      </c>
      <c r="O71">
        <v>3</v>
      </c>
      <c r="P71" t="s">
        <v>65</v>
      </c>
      <c r="Q71" t="b">
        <v>1</v>
      </c>
    </row>
    <row r="72" spans="1:17">
      <c r="A72" s="12">
        <v>41711</v>
      </c>
      <c r="B72" s="10">
        <v>2.31</v>
      </c>
      <c r="C72" s="10">
        <v>4.36</v>
      </c>
      <c r="D72" s="10">
        <v>5.3</v>
      </c>
      <c r="E72" s="10">
        <v>15.5</v>
      </c>
      <c r="F72" s="10">
        <v>10</v>
      </c>
      <c r="G72" s="10">
        <v>0</v>
      </c>
      <c r="H72" s="10">
        <v>26</v>
      </c>
      <c r="I72" s="10">
        <v>2</v>
      </c>
      <c r="J72" s="10">
        <f>SUM(B72:I72)</f>
        <v>65.47</v>
      </c>
      <c r="K72">
        <v>2014</v>
      </c>
      <c r="L72">
        <v>3</v>
      </c>
      <c r="M72" s="11">
        <v>41699</v>
      </c>
      <c r="N72" t="s">
        <v>2175</v>
      </c>
      <c r="O72">
        <v>4</v>
      </c>
      <c r="P72" t="s">
        <v>53</v>
      </c>
      <c r="Q72" t="b">
        <v>1</v>
      </c>
    </row>
    <row r="73" spans="1:17">
      <c r="A73" s="12">
        <v>41712</v>
      </c>
      <c r="B73" s="10">
        <v>4.34</v>
      </c>
      <c r="C73" s="10">
        <v>1.68</v>
      </c>
      <c r="D73" s="10">
        <v>1.2</v>
      </c>
      <c r="E73" s="10">
        <v>16</v>
      </c>
      <c r="F73" s="10">
        <v>11</v>
      </c>
      <c r="G73" s="10">
        <v>0</v>
      </c>
      <c r="H73" s="10">
        <v>1</v>
      </c>
      <c r="I73" s="10">
        <v>2</v>
      </c>
      <c r="J73" s="10">
        <f>SUM(B73:I73)</f>
        <v>37.22</v>
      </c>
      <c r="K73">
        <v>2014</v>
      </c>
      <c r="L73">
        <v>3</v>
      </c>
      <c r="M73" s="11">
        <v>41699</v>
      </c>
      <c r="N73" t="s">
        <v>2175</v>
      </c>
      <c r="O73">
        <v>5</v>
      </c>
      <c r="P73" t="s">
        <v>55</v>
      </c>
      <c r="Q73" t="b">
        <v>1</v>
      </c>
    </row>
    <row r="74" spans="1:17">
      <c r="A74" s="12">
        <v>41713</v>
      </c>
      <c r="B74" s="10">
        <v>4</v>
      </c>
      <c r="C74" s="10">
        <v>2</v>
      </c>
      <c r="D74" s="10">
        <v>11</v>
      </c>
      <c r="E74" s="10">
        <v>23.3</v>
      </c>
      <c r="F74" s="10">
        <v>18</v>
      </c>
      <c r="G74" s="10">
        <v>1</v>
      </c>
      <c r="H74" s="10">
        <v>6</v>
      </c>
      <c r="I74" s="10">
        <v>2</v>
      </c>
      <c r="J74" s="10">
        <f>SUM(B74:I74)</f>
        <v>67.3</v>
      </c>
      <c r="K74">
        <v>2014</v>
      </c>
      <c r="L74">
        <v>3</v>
      </c>
      <c r="M74" s="11">
        <v>41699</v>
      </c>
      <c r="N74" t="s">
        <v>2175</v>
      </c>
      <c r="O74">
        <v>6</v>
      </c>
      <c r="P74" t="s">
        <v>57</v>
      </c>
      <c r="Q74" t="b">
        <v>1</v>
      </c>
    </row>
    <row r="75" spans="1:17">
      <c r="A75" s="12">
        <v>41714</v>
      </c>
      <c r="B75" s="10">
        <v>2.68</v>
      </c>
      <c r="C75" s="10">
        <v>2</v>
      </c>
      <c r="D75" s="10">
        <v>1.4</v>
      </c>
      <c r="E75" s="10">
        <v>13</v>
      </c>
      <c r="F75" s="10">
        <v>6</v>
      </c>
      <c r="G75" s="10">
        <v>0</v>
      </c>
      <c r="H75" s="10">
        <v>0</v>
      </c>
      <c r="I75" s="10">
        <v>4</v>
      </c>
      <c r="J75" s="10">
        <f>SUM(B75:I75)</f>
        <v>29.08</v>
      </c>
      <c r="K75">
        <v>2014</v>
      </c>
      <c r="L75">
        <v>3</v>
      </c>
      <c r="M75" s="11">
        <v>41699</v>
      </c>
      <c r="N75" t="s">
        <v>2175</v>
      </c>
      <c r="O75">
        <v>7</v>
      </c>
      <c r="P75" t="s">
        <v>59</v>
      </c>
      <c r="Q75" t="b">
        <v>1</v>
      </c>
    </row>
    <row r="76" spans="1:17">
      <c r="A76" s="12">
        <v>41715</v>
      </c>
      <c r="B76" s="10">
        <v>8.68</v>
      </c>
      <c r="C76" s="10">
        <v>3.34</v>
      </c>
      <c r="D76" s="10">
        <v>7</v>
      </c>
      <c r="E76" s="10">
        <v>37</v>
      </c>
      <c r="F76" s="10">
        <v>6</v>
      </c>
      <c r="G76" s="10">
        <v>1</v>
      </c>
      <c r="H76" s="10">
        <v>0</v>
      </c>
      <c r="I76" s="10">
        <v>1</v>
      </c>
      <c r="J76" s="10">
        <f>SUM(B76:I76)</f>
        <v>64.02</v>
      </c>
      <c r="K76">
        <v>2014</v>
      </c>
      <c r="L76">
        <v>3</v>
      </c>
      <c r="M76" s="11">
        <v>41699</v>
      </c>
      <c r="N76" t="s">
        <v>2175</v>
      </c>
      <c r="O76">
        <v>1</v>
      </c>
      <c r="P76" t="s">
        <v>61</v>
      </c>
      <c r="Q76" t="b">
        <v>1</v>
      </c>
    </row>
    <row r="77" spans="1:17">
      <c r="A77" s="12">
        <v>41716</v>
      </c>
      <c r="B77" s="10">
        <v>8</v>
      </c>
      <c r="C77" s="10">
        <v>4</v>
      </c>
      <c r="D77" s="10">
        <v>5</v>
      </c>
      <c r="E77" s="10">
        <v>20.1</v>
      </c>
      <c r="F77" s="10">
        <v>9</v>
      </c>
      <c r="G77" s="10">
        <v>0</v>
      </c>
      <c r="H77" s="10">
        <v>0</v>
      </c>
      <c r="I77" s="10">
        <v>4</v>
      </c>
      <c r="J77" s="10">
        <f>SUM(B77:I77)</f>
        <v>50.1</v>
      </c>
      <c r="K77">
        <v>2014</v>
      </c>
      <c r="L77">
        <v>3</v>
      </c>
      <c r="M77" s="11">
        <v>41699</v>
      </c>
      <c r="N77" t="s">
        <v>2175</v>
      </c>
      <c r="O77">
        <v>2</v>
      </c>
      <c r="P77" t="s">
        <v>63</v>
      </c>
      <c r="Q77" t="b">
        <v>1</v>
      </c>
    </row>
    <row r="78" spans="1:17">
      <c r="A78" s="12">
        <v>41717</v>
      </c>
      <c r="B78" s="10">
        <v>4</v>
      </c>
      <c r="C78" s="10">
        <v>3.02</v>
      </c>
      <c r="D78" s="10">
        <v>4</v>
      </c>
      <c r="E78" s="10">
        <v>21.8</v>
      </c>
      <c r="F78" s="10">
        <v>2</v>
      </c>
      <c r="G78" s="10">
        <v>0</v>
      </c>
      <c r="H78" s="10">
        <v>0</v>
      </c>
      <c r="I78" s="10">
        <v>2</v>
      </c>
      <c r="J78" s="10">
        <f>SUM(B78:I78)</f>
        <v>36.82</v>
      </c>
      <c r="K78">
        <v>2014</v>
      </c>
      <c r="L78">
        <v>3</v>
      </c>
      <c r="M78" s="11">
        <v>41699</v>
      </c>
      <c r="N78" t="s">
        <v>2175</v>
      </c>
      <c r="O78">
        <v>3</v>
      </c>
      <c r="P78" t="s">
        <v>65</v>
      </c>
      <c r="Q78" t="b">
        <v>1</v>
      </c>
    </row>
    <row r="79" spans="1:17">
      <c r="A79" s="12">
        <v>41718</v>
      </c>
      <c r="B79" s="10">
        <v>3</v>
      </c>
      <c r="C79" s="10">
        <v>5.34</v>
      </c>
      <c r="D79" s="10">
        <v>1.6</v>
      </c>
      <c r="E79" s="10">
        <v>38.2</v>
      </c>
      <c r="F79" s="10">
        <v>5</v>
      </c>
      <c r="G79" s="10">
        <v>0</v>
      </c>
      <c r="H79" s="10">
        <v>7</v>
      </c>
      <c r="I79" s="10">
        <v>4.2</v>
      </c>
      <c r="J79" s="10">
        <f>SUM(B79:I79)</f>
        <v>64.34</v>
      </c>
      <c r="K79">
        <v>2014</v>
      </c>
      <c r="L79">
        <v>3</v>
      </c>
      <c r="M79" s="11">
        <v>41699</v>
      </c>
      <c r="N79" t="s">
        <v>2175</v>
      </c>
      <c r="O79">
        <v>4</v>
      </c>
      <c r="P79" t="s">
        <v>53</v>
      </c>
      <c r="Q79" t="b">
        <v>1</v>
      </c>
    </row>
    <row r="80" spans="1:17">
      <c r="A80" s="12">
        <v>41719</v>
      </c>
      <c r="B80" s="10">
        <v>6</v>
      </c>
      <c r="C80" s="10">
        <v>3.68</v>
      </c>
      <c r="D80" s="10">
        <v>4.5</v>
      </c>
      <c r="E80" s="10">
        <v>40</v>
      </c>
      <c r="F80" s="10">
        <v>4</v>
      </c>
      <c r="G80" s="10">
        <v>0</v>
      </c>
      <c r="H80" s="10">
        <v>2</v>
      </c>
      <c r="I80" s="10">
        <v>1</v>
      </c>
      <c r="J80" s="10">
        <f>SUM(B80:I80)</f>
        <v>61.18</v>
      </c>
      <c r="K80">
        <v>2014</v>
      </c>
      <c r="L80">
        <v>3</v>
      </c>
      <c r="M80" s="11">
        <v>41699</v>
      </c>
      <c r="N80" t="s">
        <v>2175</v>
      </c>
      <c r="O80">
        <v>5</v>
      </c>
      <c r="P80" t="s">
        <v>55</v>
      </c>
      <c r="Q80" t="b">
        <v>1</v>
      </c>
    </row>
    <row r="81" spans="1:17">
      <c r="A81" s="12">
        <v>41720</v>
      </c>
      <c r="B81" s="10">
        <v>3.34</v>
      </c>
      <c r="C81" s="10">
        <v>2.34</v>
      </c>
      <c r="D81" s="10">
        <v>0</v>
      </c>
      <c r="E81" s="10">
        <v>26.3</v>
      </c>
      <c r="F81" s="10">
        <v>10</v>
      </c>
      <c r="G81" s="10">
        <v>2</v>
      </c>
      <c r="H81" s="10">
        <v>18</v>
      </c>
      <c r="I81" s="10">
        <v>8.4</v>
      </c>
      <c r="J81" s="10">
        <f>SUM(B81:I81)</f>
        <v>70.38000000000001</v>
      </c>
      <c r="K81">
        <v>2014</v>
      </c>
      <c r="L81">
        <v>3</v>
      </c>
      <c r="M81" s="11">
        <v>41699</v>
      </c>
      <c r="N81" t="s">
        <v>2175</v>
      </c>
      <c r="O81">
        <v>6</v>
      </c>
      <c r="P81" t="s">
        <v>57</v>
      </c>
      <c r="Q81" t="b">
        <v>1</v>
      </c>
    </row>
    <row r="82" spans="1:17">
      <c r="A82" s="12">
        <v>41721</v>
      </c>
      <c r="B82" s="10">
        <v>6.34</v>
      </c>
      <c r="C82" s="10">
        <v>2</v>
      </c>
      <c r="D82" s="10">
        <v>4</v>
      </c>
      <c r="E82" s="10">
        <v>19.4</v>
      </c>
      <c r="F82" s="10">
        <v>0</v>
      </c>
      <c r="G82" s="10">
        <v>1</v>
      </c>
      <c r="H82" s="10">
        <v>0</v>
      </c>
      <c r="I82" s="10">
        <v>3</v>
      </c>
      <c r="J82" s="10">
        <f>SUM(B82:I82)</f>
        <v>35.739999999999995</v>
      </c>
      <c r="K82">
        <v>2014</v>
      </c>
      <c r="L82">
        <v>3</v>
      </c>
      <c r="M82" s="11">
        <v>41699</v>
      </c>
      <c r="N82" t="s">
        <v>2175</v>
      </c>
      <c r="O82">
        <v>7</v>
      </c>
      <c r="P82" t="s">
        <v>59</v>
      </c>
      <c r="Q82" t="b">
        <v>1</v>
      </c>
    </row>
    <row r="83" spans="1:17">
      <c r="A83" s="12">
        <v>41722</v>
      </c>
      <c r="B83" s="10">
        <v>5.68</v>
      </c>
      <c r="C83" s="10">
        <v>1</v>
      </c>
      <c r="D83" s="10">
        <v>4</v>
      </c>
      <c r="E83" s="10">
        <v>23.6</v>
      </c>
      <c r="F83" s="10">
        <v>7</v>
      </c>
      <c r="G83" s="10">
        <v>0</v>
      </c>
      <c r="H83" s="10">
        <v>6</v>
      </c>
      <c r="I83" s="10">
        <v>3.5</v>
      </c>
      <c r="J83" s="10">
        <f>SUM(B83:I83)</f>
        <v>50.78</v>
      </c>
      <c r="K83">
        <v>2014</v>
      </c>
      <c r="L83">
        <v>3</v>
      </c>
      <c r="M83" s="11">
        <v>41699</v>
      </c>
      <c r="N83" t="s">
        <v>2175</v>
      </c>
      <c r="O83">
        <v>1</v>
      </c>
      <c r="P83" t="s">
        <v>61</v>
      </c>
      <c r="Q83" t="b">
        <v>1</v>
      </c>
    </row>
    <row r="84" spans="1:17">
      <c r="A84" s="12">
        <v>41723</v>
      </c>
      <c r="B84" s="10">
        <v>4</v>
      </c>
      <c r="C84" s="10">
        <v>1.34</v>
      </c>
      <c r="D84" s="10">
        <v>9</v>
      </c>
      <c r="E84" s="10">
        <v>38.6</v>
      </c>
      <c r="F84" s="10">
        <v>7</v>
      </c>
      <c r="G84" s="10">
        <v>0</v>
      </c>
      <c r="H84" s="10">
        <v>1</v>
      </c>
      <c r="I84" s="10">
        <v>1</v>
      </c>
      <c r="J84" s="10">
        <f>SUM(B84:I84)</f>
        <v>61.94</v>
      </c>
      <c r="K84">
        <v>2014</v>
      </c>
      <c r="L84">
        <v>3</v>
      </c>
      <c r="M84" s="11">
        <v>41699</v>
      </c>
      <c r="N84" t="s">
        <v>2175</v>
      </c>
      <c r="O84">
        <v>2</v>
      </c>
      <c r="P84" t="s">
        <v>63</v>
      </c>
      <c r="Q84" t="b">
        <v>1</v>
      </c>
    </row>
    <row r="85" spans="1:17">
      <c r="A85" s="12">
        <v>41724</v>
      </c>
      <c r="B85" s="10">
        <v>2.34</v>
      </c>
      <c r="C85" s="10">
        <v>3.99</v>
      </c>
      <c r="D85" s="10">
        <v>9</v>
      </c>
      <c r="E85" s="10">
        <v>6.7</v>
      </c>
      <c r="F85" s="10">
        <v>7</v>
      </c>
      <c r="G85" s="10">
        <v>3</v>
      </c>
      <c r="H85" s="10">
        <v>3</v>
      </c>
      <c r="I85" s="10">
        <v>0</v>
      </c>
      <c r="J85" s="10">
        <f>SUM(B85:I85)</f>
        <v>35.03</v>
      </c>
      <c r="K85">
        <v>2014</v>
      </c>
      <c r="L85">
        <v>3</v>
      </c>
      <c r="M85" s="11">
        <v>41699</v>
      </c>
      <c r="N85" t="s">
        <v>2175</v>
      </c>
      <c r="O85">
        <v>3</v>
      </c>
      <c r="P85" t="s">
        <v>65</v>
      </c>
      <c r="Q85" t="b">
        <v>1</v>
      </c>
    </row>
    <row r="86" spans="1:17">
      <c r="A86" s="12">
        <v>41725</v>
      </c>
      <c r="B86" s="10">
        <v>4</v>
      </c>
      <c r="C86" s="10">
        <v>0.33</v>
      </c>
      <c r="D86" s="10">
        <v>2</v>
      </c>
      <c r="E86" s="10">
        <v>20.7</v>
      </c>
      <c r="F86" s="10">
        <v>6</v>
      </c>
      <c r="G86" s="10">
        <v>1</v>
      </c>
      <c r="H86" s="10">
        <v>1</v>
      </c>
      <c r="I86" s="10">
        <v>5</v>
      </c>
      <c r="J86" s="10">
        <f>SUM(B86:I86)</f>
        <v>40.03</v>
      </c>
      <c r="K86">
        <v>2014</v>
      </c>
      <c r="L86">
        <v>3</v>
      </c>
      <c r="M86" s="11">
        <v>41699</v>
      </c>
      <c r="N86" t="s">
        <v>2175</v>
      </c>
      <c r="O86">
        <v>4</v>
      </c>
      <c r="P86" t="s">
        <v>53</v>
      </c>
      <c r="Q86" t="b">
        <v>1</v>
      </c>
    </row>
    <row r="87" spans="1:17">
      <c r="A87" s="12">
        <v>41726</v>
      </c>
      <c r="B87" s="10">
        <v>2.67</v>
      </c>
      <c r="C87" s="10">
        <v>2</v>
      </c>
      <c r="D87" s="10">
        <v>8</v>
      </c>
      <c r="E87" s="10">
        <v>11</v>
      </c>
      <c r="F87" s="10">
        <v>3</v>
      </c>
      <c r="G87" s="10">
        <v>0</v>
      </c>
      <c r="H87" s="10">
        <v>9</v>
      </c>
      <c r="I87" s="10">
        <v>5</v>
      </c>
      <c r="J87" s="10">
        <f>SUM(B87:I87)</f>
        <v>40.67</v>
      </c>
      <c r="K87">
        <v>2014</v>
      </c>
      <c r="L87">
        <v>3</v>
      </c>
      <c r="M87" s="11">
        <v>41699</v>
      </c>
      <c r="N87" t="s">
        <v>2175</v>
      </c>
      <c r="O87">
        <v>5</v>
      </c>
      <c r="P87" t="s">
        <v>55</v>
      </c>
      <c r="Q87" t="b">
        <v>1</v>
      </c>
    </row>
    <row r="88" spans="1:17">
      <c r="A88" s="12">
        <v>41727</v>
      </c>
      <c r="B88" s="10">
        <v>4</v>
      </c>
      <c r="C88" s="10">
        <v>6.33</v>
      </c>
      <c r="D88" s="10">
        <v>4.2</v>
      </c>
      <c r="E88" s="10">
        <v>24</v>
      </c>
      <c r="F88" s="10">
        <v>8</v>
      </c>
      <c r="G88" s="10">
        <v>2</v>
      </c>
      <c r="H88" s="10">
        <v>9</v>
      </c>
      <c r="I88" s="10">
        <v>3</v>
      </c>
      <c r="J88" s="10">
        <f>SUM(B88:I88)</f>
        <v>60.53</v>
      </c>
      <c r="K88">
        <v>2014</v>
      </c>
      <c r="L88">
        <v>3</v>
      </c>
      <c r="M88" s="11">
        <v>41699</v>
      </c>
      <c r="N88" t="s">
        <v>2175</v>
      </c>
      <c r="O88">
        <v>6</v>
      </c>
      <c r="P88" t="s">
        <v>57</v>
      </c>
      <c r="Q88" t="b">
        <v>1</v>
      </c>
    </row>
    <row r="89" spans="1:17">
      <c r="A89" s="12">
        <v>41728</v>
      </c>
      <c r="B89" s="10">
        <v>3</v>
      </c>
      <c r="C89" s="10">
        <v>2.34</v>
      </c>
      <c r="D89" s="10">
        <v>0</v>
      </c>
      <c r="E89" s="10">
        <v>12</v>
      </c>
      <c r="F89" s="10">
        <v>4</v>
      </c>
      <c r="G89" s="10">
        <v>0</v>
      </c>
      <c r="H89" s="10">
        <v>0</v>
      </c>
      <c r="I89" s="10">
        <v>7</v>
      </c>
      <c r="J89" s="10">
        <f>SUM(B89:I89)</f>
        <v>28.34</v>
      </c>
      <c r="K89">
        <v>2014</v>
      </c>
      <c r="L89">
        <v>3</v>
      </c>
      <c r="M89" s="11">
        <v>41699</v>
      </c>
      <c r="N89" t="s">
        <v>2175</v>
      </c>
      <c r="O89">
        <v>7</v>
      </c>
      <c r="P89" t="s">
        <v>59</v>
      </c>
      <c r="Q89" t="b">
        <v>1</v>
      </c>
    </row>
    <row r="90" spans="1:17">
      <c r="A90" s="12">
        <v>41729</v>
      </c>
      <c r="B90" s="10">
        <v>5.34</v>
      </c>
      <c r="C90" s="10">
        <v>2.34</v>
      </c>
      <c r="D90" s="10">
        <v>4</v>
      </c>
      <c r="E90" s="10">
        <v>15.4</v>
      </c>
      <c r="F90" s="10">
        <v>6</v>
      </c>
      <c r="G90" s="10">
        <v>1</v>
      </c>
      <c r="H90" s="10">
        <v>4</v>
      </c>
      <c r="I90" s="10">
        <v>6</v>
      </c>
      <c r="J90" s="10">
        <f>SUM(B90:I90)</f>
        <v>44.08</v>
      </c>
      <c r="K90">
        <v>2014</v>
      </c>
      <c r="L90">
        <v>3</v>
      </c>
      <c r="M90" s="11">
        <v>41699</v>
      </c>
      <c r="N90" t="s">
        <v>2175</v>
      </c>
      <c r="O90">
        <v>1</v>
      </c>
      <c r="P90" t="s">
        <v>61</v>
      </c>
      <c r="Q90" t="b">
        <v>1</v>
      </c>
    </row>
    <row r="91" spans="1:17">
      <c r="A91" s="12">
        <v>41730</v>
      </c>
      <c r="B91" s="10">
        <v>4.34</v>
      </c>
      <c r="C91" s="10">
        <v>1.34</v>
      </c>
      <c r="D91" s="10">
        <v>6.5</v>
      </c>
      <c r="E91" s="10">
        <v>27.5</v>
      </c>
      <c r="F91" s="10">
        <v>5</v>
      </c>
      <c r="G91" s="10">
        <v>3</v>
      </c>
      <c r="H91" s="10">
        <v>3</v>
      </c>
      <c r="I91" s="10">
        <v>1</v>
      </c>
      <c r="J91" s="10">
        <f>SUM(B91:I91)</f>
        <v>51.68</v>
      </c>
      <c r="K91">
        <v>2014</v>
      </c>
      <c r="L91">
        <v>4</v>
      </c>
      <c r="M91" s="11">
        <v>41730</v>
      </c>
      <c r="N91" t="s">
        <v>2176</v>
      </c>
      <c r="O91">
        <v>2</v>
      </c>
      <c r="P91" t="s">
        <v>63</v>
      </c>
      <c r="Q91" t="b">
        <v>1</v>
      </c>
    </row>
    <row r="92" spans="1:17">
      <c r="A92" s="12">
        <v>41731</v>
      </c>
      <c r="B92" s="10">
        <v>2</v>
      </c>
      <c r="C92" s="10">
        <v>4.68</v>
      </c>
      <c r="D92" s="10">
        <v>8.9</v>
      </c>
      <c r="E92" s="10">
        <v>23</v>
      </c>
      <c r="F92" s="10">
        <v>1</v>
      </c>
      <c r="G92" s="10">
        <v>0</v>
      </c>
      <c r="H92" s="10">
        <v>7</v>
      </c>
      <c r="I92" s="10">
        <v>3</v>
      </c>
      <c r="J92" s="10">
        <f>SUM(B92:I92)</f>
        <v>49.58</v>
      </c>
      <c r="K92">
        <v>2014</v>
      </c>
      <c r="L92">
        <v>4</v>
      </c>
      <c r="M92" s="11">
        <v>41730</v>
      </c>
      <c r="N92" t="s">
        <v>2176</v>
      </c>
      <c r="O92">
        <v>3</v>
      </c>
      <c r="P92" t="s">
        <v>65</v>
      </c>
      <c r="Q92" t="b">
        <v>1</v>
      </c>
    </row>
    <row r="93" spans="1:17">
      <c r="A93" s="12">
        <v>41732</v>
      </c>
      <c r="B93" s="10">
        <v>1</v>
      </c>
      <c r="C93" s="10">
        <v>1.34</v>
      </c>
      <c r="D93" s="10">
        <v>3</v>
      </c>
      <c r="E93" s="10">
        <v>19.2</v>
      </c>
      <c r="F93" s="10">
        <v>4</v>
      </c>
      <c r="G93" s="10">
        <v>0</v>
      </c>
      <c r="H93" s="10">
        <v>0</v>
      </c>
      <c r="I93" s="10">
        <v>4</v>
      </c>
      <c r="J93" s="10">
        <f>SUM(B93:I93)</f>
        <v>32.54</v>
      </c>
      <c r="K93">
        <v>2014</v>
      </c>
      <c r="L93">
        <v>4</v>
      </c>
      <c r="M93" s="11">
        <v>41730</v>
      </c>
      <c r="N93" t="s">
        <v>2176</v>
      </c>
      <c r="O93">
        <v>4</v>
      </c>
      <c r="P93" t="s">
        <v>53</v>
      </c>
      <c r="Q93" t="b">
        <v>1</v>
      </c>
    </row>
    <row r="94" spans="1:17">
      <c r="A94" s="12">
        <v>41733</v>
      </c>
      <c r="B94" s="10">
        <v>3</v>
      </c>
      <c r="C94" s="10">
        <v>3.67</v>
      </c>
      <c r="D94" s="10">
        <v>3</v>
      </c>
      <c r="E94" s="10">
        <v>24</v>
      </c>
      <c r="F94" s="10">
        <v>9</v>
      </c>
      <c r="G94" s="10">
        <v>3</v>
      </c>
      <c r="H94" s="10">
        <v>8</v>
      </c>
      <c r="I94" s="10">
        <v>2</v>
      </c>
      <c r="J94" s="10">
        <f>SUM(B94:I94)</f>
        <v>55.67</v>
      </c>
      <c r="K94">
        <v>2014</v>
      </c>
      <c r="L94">
        <v>4</v>
      </c>
      <c r="M94" s="11">
        <v>41730</v>
      </c>
      <c r="N94" t="s">
        <v>2176</v>
      </c>
      <c r="O94">
        <v>5</v>
      </c>
      <c r="P94" t="s">
        <v>55</v>
      </c>
      <c r="Q94" t="b">
        <v>1</v>
      </c>
    </row>
    <row r="95" spans="1:17">
      <c r="A95" s="12">
        <v>41734</v>
      </c>
      <c r="B95" s="10">
        <v>2</v>
      </c>
      <c r="C95" s="10">
        <v>7.68</v>
      </c>
      <c r="D95" s="10">
        <v>10</v>
      </c>
      <c r="E95" s="10">
        <v>25.6</v>
      </c>
      <c r="F95" s="10">
        <v>5</v>
      </c>
      <c r="G95" s="10">
        <v>0</v>
      </c>
      <c r="H95" s="10">
        <v>5</v>
      </c>
      <c r="I95" s="10">
        <v>3</v>
      </c>
      <c r="J95" s="10">
        <f>SUM(B95:I95)</f>
        <v>58.28</v>
      </c>
      <c r="K95">
        <v>2014</v>
      </c>
      <c r="L95">
        <v>4</v>
      </c>
      <c r="M95" s="11">
        <v>41730</v>
      </c>
      <c r="N95" t="s">
        <v>2176</v>
      </c>
      <c r="O95">
        <v>6</v>
      </c>
      <c r="P95" t="s">
        <v>57</v>
      </c>
      <c r="Q95" t="b">
        <v>1</v>
      </c>
    </row>
    <row r="96" spans="1:17">
      <c r="A96" s="12">
        <v>41735</v>
      </c>
      <c r="B96" s="10">
        <v>2</v>
      </c>
      <c r="C96" s="10">
        <v>1</v>
      </c>
      <c r="D96" s="10">
        <v>1</v>
      </c>
      <c r="E96" s="10">
        <v>19</v>
      </c>
      <c r="F96" s="10">
        <v>1</v>
      </c>
      <c r="G96" s="10">
        <v>0</v>
      </c>
      <c r="H96" s="10">
        <v>0</v>
      </c>
      <c r="I96" s="10">
        <v>1</v>
      </c>
      <c r="J96" s="10">
        <f>SUM(B96:I96)</f>
        <v>25.0</v>
      </c>
      <c r="K96">
        <v>2014</v>
      </c>
      <c r="L96">
        <v>4</v>
      </c>
      <c r="M96" s="11">
        <v>41730</v>
      </c>
      <c r="N96" t="s">
        <v>2176</v>
      </c>
      <c r="O96">
        <v>7</v>
      </c>
      <c r="P96" t="s">
        <v>59</v>
      </c>
      <c r="Q96" t="b">
        <v>1</v>
      </c>
    </row>
    <row r="97" spans="1:17">
      <c r="A97" s="12">
        <v>41736</v>
      </c>
      <c r="B97" s="10">
        <v>6.34</v>
      </c>
      <c r="C97" s="10">
        <v>6</v>
      </c>
      <c r="D97" s="10">
        <v>6.5</v>
      </c>
      <c r="E97" s="10">
        <v>31.5</v>
      </c>
      <c r="F97" s="10">
        <v>4</v>
      </c>
      <c r="G97" s="10">
        <v>0</v>
      </c>
      <c r="H97" s="10">
        <v>0</v>
      </c>
      <c r="I97" s="10">
        <v>1</v>
      </c>
      <c r="J97" s="10">
        <f>SUM(B97:I97)</f>
        <v>55.34</v>
      </c>
      <c r="K97">
        <v>2014</v>
      </c>
      <c r="L97">
        <v>4</v>
      </c>
      <c r="M97" s="11">
        <v>41730</v>
      </c>
      <c r="N97" t="s">
        <v>2176</v>
      </c>
      <c r="O97">
        <v>1</v>
      </c>
      <c r="P97" t="s">
        <v>61</v>
      </c>
      <c r="Q97" t="b">
        <v>1</v>
      </c>
    </row>
    <row r="98" spans="1:17">
      <c r="A98" s="12">
        <v>41737</v>
      </c>
      <c r="B98" s="10">
        <v>4.34</v>
      </c>
      <c r="C98" s="10">
        <v>2.34</v>
      </c>
      <c r="D98" s="10">
        <v>1.7</v>
      </c>
      <c r="E98" s="10">
        <v>19</v>
      </c>
      <c r="F98" s="10">
        <v>6</v>
      </c>
      <c r="G98" s="10">
        <v>1</v>
      </c>
      <c r="H98" s="10">
        <v>0</v>
      </c>
      <c r="I98" s="10">
        <v>4.7</v>
      </c>
      <c r="J98" s="10">
        <f>SUM(B98:I98)</f>
        <v>39.08</v>
      </c>
      <c r="K98">
        <v>2014</v>
      </c>
      <c r="L98">
        <v>4</v>
      </c>
      <c r="M98" s="11">
        <v>41730</v>
      </c>
      <c r="N98" t="s">
        <v>2176</v>
      </c>
      <c r="O98">
        <v>2</v>
      </c>
      <c r="P98" t="s">
        <v>63</v>
      </c>
      <c r="Q98" t="b">
        <v>1</v>
      </c>
    </row>
    <row r="99" spans="1:17">
      <c r="A99" s="12">
        <v>41738</v>
      </c>
      <c r="B99" s="10">
        <v>6</v>
      </c>
      <c r="C99" s="10">
        <v>1.02</v>
      </c>
      <c r="D99" s="10">
        <v>1</v>
      </c>
      <c r="E99" s="10">
        <v>18</v>
      </c>
      <c r="F99" s="10">
        <v>2</v>
      </c>
      <c r="G99" s="10">
        <v>1</v>
      </c>
      <c r="H99" s="10">
        <v>2</v>
      </c>
      <c r="I99" s="10">
        <v>2.6</v>
      </c>
      <c r="J99" s="10">
        <f>SUM(B99:I99)</f>
        <v>33.62</v>
      </c>
      <c r="K99">
        <v>2014</v>
      </c>
      <c r="L99">
        <v>4</v>
      </c>
      <c r="M99" s="11">
        <v>41730</v>
      </c>
      <c r="N99" t="s">
        <v>2176</v>
      </c>
      <c r="O99">
        <v>3</v>
      </c>
      <c r="P99" t="s">
        <v>65</v>
      </c>
      <c r="Q99" t="b">
        <v>1</v>
      </c>
    </row>
    <row r="100" spans="1:17">
      <c r="A100" s="12">
        <v>41739</v>
      </c>
      <c r="B100" s="10">
        <v>3.33</v>
      </c>
      <c r="C100" s="10">
        <v>1.68</v>
      </c>
      <c r="D100" s="10">
        <v>1</v>
      </c>
      <c r="E100" s="10">
        <v>18</v>
      </c>
      <c r="F100" s="10">
        <v>10</v>
      </c>
      <c r="G100" s="10">
        <v>0</v>
      </c>
      <c r="H100" s="10">
        <v>4</v>
      </c>
      <c r="I100" s="10">
        <v>4</v>
      </c>
      <c r="J100" s="10">
        <f>SUM(B100:I100)</f>
        <v>42.01</v>
      </c>
      <c r="K100">
        <v>2014</v>
      </c>
      <c r="L100">
        <v>4</v>
      </c>
      <c r="M100" s="11">
        <v>41730</v>
      </c>
      <c r="N100" t="s">
        <v>2176</v>
      </c>
      <c r="O100">
        <v>4</v>
      </c>
      <c r="P100" t="s">
        <v>53</v>
      </c>
      <c r="Q100" t="b">
        <v>1</v>
      </c>
    </row>
    <row r="101" spans="1:17">
      <c r="A101" s="12">
        <v>41740</v>
      </c>
      <c r="B101" s="10">
        <v>6</v>
      </c>
      <c r="C101" s="10">
        <v>4</v>
      </c>
      <c r="D101" s="10">
        <v>3</v>
      </c>
      <c r="E101" s="10">
        <v>25</v>
      </c>
      <c r="F101" s="10">
        <v>2</v>
      </c>
      <c r="G101" s="10">
        <v>2</v>
      </c>
      <c r="H101" s="10">
        <v>0</v>
      </c>
      <c r="I101" s="10">
        <v>2</v>
      </c>
      <c r="J101" s="10">
        <f>SUM(B101:I101)</f>
        <v>44.0</v>
      </c>
      <c r="K101">
        <v>2014</v>
      </c>
      <c r="L101">
        <v>4</v>
      </c>
      <c r="M101" s="11">
        <v>41730</v>
      </c>
      <c r="N101" t="s">
        <v>2176</v>
      </c>
      <c r="O101">
        <v>5</v>
      </c>
      <c r="P101" t="s">
        <v>55</v>
      </c>
      <c r="Q101" t="b">
        <v>1</v>
      </c>
    </row>
    <row r="102" spans="1:17">
      <c r="A102" s="12">
        <v>41741</v>
      </c>
      <c r="B102" s="10">
        <v>7.02</v>
      </c>
      <c r="C102" s="10">
        <v>3.34</v>
      </c>
      <c r="D102" s="10">
        <v>6</v>
      </c>
      <c r="E102" s="10">
        <v>23.5</v>
      </c>
      <c r="F102" s="10">
        <v>19</v>
      </c>
      <c r="G102" s="10">
        <v>0</v>
      </c>
      <c r="H102" s="10">
        <v>11</v>
      </c>
      <c r="I102" s="10">
        <v>4</v>
      </c>
      <c r="J102" s="10">
        <f>SUM(B102:I102)</f>
        <v>73.86</v>
      </c>
      <c r="K102">
        <v>2014</v>
      </c>
      <c r="L102">
        <v>4</v>
      </c>
      <c r="M102" s="11">
        <v>41730</v>
      </c>
      <c r="N102" t="s">
        <v>2176</v>
      </c>
      <c r="O102">
        <v>6</v>
      </c>
      <c r="P102" t="s">
        <v>57</v>
      </c>
      <c r="Q102" t="b">
        <v>1</v>
      </c>
    </row>
    <row r="103" spans="1:17">
      <c r="A103" s="12">
        <v>41742</v>
      </c>
      <c r="B103" s="10">
        <v>3</v>
      </c>
      <c r="C103" s="10">
        <v>2</v>
      </c>
      <c r="D103" s="10">
        <v>2</v>
      </c>
      <c r="E103" s="10">
        <v>6</v>
      </c>
      <c r="F103" s="10">
        <v>3</v>
      </c>
      <c r="G103" s="10">
        <v>0</v>
      </c>
      <c r="H103" s="10">
        <v>5</v>
      </c>
      <c r="I103" s="10">
        <v>2</v>
      </c>
      <c r="J103" s="10">
        <f>SUM(B103:I103)</f>
        <v>23.0</v>
      </c>
      <c r="K103">
        <v>2014</v>
      </c>
      <c r="L103">
        <v>4</v>
      </c>
      <c r="M103" s="11">
        <v>41730</v>
      </c>
      <c r="N103" t="s">
        <v>2176</v>
      </c>
      <c r="O103">
        <v>7</v>
      </c>
      <c r="P103" t="s">
        <v>59</v>
      </c>
      <c r="Q103" t="b">
        <v>1</v>
      </c>
    </row>
    <row r="104" spans="1:17">
      <c r="A104" s="12">
        <v>41743</v>
      </c>
      <c r="B104" s="10">
        <v>1.34</v>
      </c>
      <c r="C104" s="10">
        <v>4.68</v>
      </c>
      <c r="D104" s="10">
        <v>5.35</v>
      </c>
      <c r="E104" s="10">
        <v>28.28</v>
      </c>
      <c r="F104" s="10">
        <v>10</v>
      </c>
      <c r="G104" s="10">
        <v>0</v>
      </c>
      <c r="H104" s="10">
        <v>5</v>
      </c>
      <c r="I104" s="10">
        <v>5</v>
      </c>
      <c r="J104" s="10">
        <f>SUM(B104:I104)</f>
        <v>59.65</v>
      </c>
      <c r="K104">
        <v>2014</v>
      </c>
      <c r="L104">
        <v>4</v>
      </c>
      <c r="M104" s="11">
        <v>41730</v>
      </c>
      <c r="N104" t="s">
        <v>2176</v>
      </c>
      <c r="O104">
        <v>1</v>
      </c>
      <c r="P104" t="s">
        <v>61</v>
      </c>
      <c r="Q104" t="b">
        <v>1</v>
      </c>
    </row>
    <row r="105" spans="1:17">
      <c r="A105" s="12">
        <v>41744</v>
      </c>
      <c r="B105" s="10">
        <v>4.34</v>
      </c>
      <c r="C105" s="10">
        <v>3</v>
      </c>
      <c r="D105" s="10">
        <v>6.4</v>
      </c>
      <c r="E105" s="10">
        <v>18.7</v>
      </c>
      <c r="F105" s="10">
        <v>12</v>
      </c>
      <c r="G105" s="10">
        <v>0</v>
      </c>
      <c r="H105" s="10">
        <v>10</v>
      </c>
      <c r="I105" s="10">
        <v>1</v>
      </c>
      <c r="J105" s="10">
        <f>SUM(B105:I105)</f>
        <v>55.44</v>
      </c>
      <c r="K105">
        <v>2014</v>
      </c>
      <c r="L105">
        <v>4</v>
      </c>
      <c r="M105" s="11">
        <v>41730</v>
      </c>
      <c r="N105" t="s">
        <v>2176</v>
      </c>
      <c r="O105">
        <v>2</v>
      </c>
      <c r="P105" t="s">
        <v>63</v>
      </c>
      <c r="Q105" t="b">
        <v>1</v>
      </c>
    </row>
    <row r="106" spans="1:17">
      <c r="A106" s="12">
        <v>41745</v>
      </c>
      <c r="B106" s="10">
        <v>2</v>
      </c>
      <c r="C106" s="10">
        <v>1.01</v>
      </c>
      <c r="D106" s="10">
        <v>4.2</v>
      </c>
      <c r="E106" s="10">
        <v>25.62</v>
      </c>
      <c r="F106" s="10">
        <v>1</v>
      </c>
      <c r="G106" s="10">
        <v>0</v>
      </c>
      <c r="H106" s="10">
        <v>6</v>
      </c>
      <c r="I106" s="10">
        <v>4</v>
      </c>
      <c r="J106" s="10">
        <f>SUM(B106:I106)</f>
        <v>43.83</v>
      </c>
      <c r="K106">
        <v>2014</v>
      </c>
      <c r="L106">
        <v>4</v>
      </c>
      <c r="M106" s="11">
        <v>41730</v>
      </c>
      <c r="N106" t="s">
        <v>2176</v>
      </c>
      <c r="O106">
        <v>3</v>
      </c>
      <c r="P106" t="s">
        <v>65</v>
      </c>
      <c r="Q106" t="b">
        <v>1</v>
      </c>
    </row>
    <row r="107" spans="1:17">
      <c r="A107" s="12">
        <v>41746</v>
      </c>
      <c r="B107" s="10">
        <v>5.34</v>
      </c>
      <c r="C107" s="10">
        <v>0.34</v>
      </c>
      <c r="D107" s="10">
        <v>7.2</v>
      </c>
      <c r="E107" s="10">
        <v>16</v>
      </c>
      <c r="F107" s="10">
        <v>19</v>
      </c>
      <c r="G107" s="10">
        <v>0</v>
      </c>
      <c r="H107" s="10">
        <v>0</v>
      </c>
      <c r="I107" s="10">
        <v>0</v>
      </c>
      <c r="J107" s="10">
        <f>SUM(B107:I107)</f>
        <v>47.879999999999995</v>
      </c>
      <c r="K107">
        <v>2014</v>
      </c>
      <c r="L107">
        <v>4</v>
      </c>
      <c r="M107" s="11">
        <v>41730</v>
      </c>
      <c r="N107" t="s">
        <v>2176</v>
      </c>
      <c r="O107">
        <v>4</v>
      </c>
      <c r="P107" t="s">
        <v>53</v>
      </c>
      <c r="Q107" t="b">
        <v>1</v>
      </c>
    </row>
    <row r="108" spans="1:17">
      <c r="A108" s="12">
        <v>41747</v>
      </c>
      <c r="B108" s="10">
        <v>7</v>
      </c>
      <c r="C108" s="10">
        <v>7</v>
      </c>
      <c r="D108" s="10">
        <v>8</v>
      </c>
      <c r="E108" s="10">
        <v>23.3</v>
      </c>
      <c r="F108" s="10">
        <v>10</v>
      </c>
      <c r="G108" s="10">
        <v>1</v>
      </c>
      <c r="H108" s="10">
        <v>0</v>
      </c>
      <c r="I108" s="10">
        <v>5</v>
      </c>
      <c r="J108" s="10">
        <f>SUM(B108:I108)</f>
        <v>61.3</v>
      </c>
      <c r="K108">
        <v>2014</v>
      </c>
      <c r="L108">
        <v>4</v>
      </c>
      <c r="M108" s="11">
        <v>41730</v>
      </c>
      <c r="N108" t="s">
        <v>2176</v>
      </c>
      <c r="O108">
        <v>5</v>
      </c>
      <c r="P108" t="s">
        <v>55</v>
      </c>
      <c r="Q108" t="b">
        <v>1</v>
      </c>
    </row>
    <row r="109" spans="1:17">
      <c r="A109" s="12">
        <v>41748</v>
      </c>
      <c r="B109" s="10">
        <v>7.34</v>
      </c>
      <c r="C109" s="10">
        <v>3.35</v>
      </c>
      <c r="D109" s="10">
        <v>4</v>
      </c>
      <c r="E109" s="10">
        <v>22.3</v>
      </c>
      <c r="F109" s="10">
        <v>7</v>
      </c>
      <c r="G109" s="10">
        <v>0</v>
      </c>
      <c r="H109" s="10">
        <v>3</v>
      </c>
      <c r="I109" s="10">
        <v>5</v>
      </c>
      <c r="J109" s="10">
        <f>SUM(B109:I109)</f>
        <v>51.99</v>
      </c>
      <c r="K109">
        <v>2014</v>
      </c>
      <c r="L109">
        <v>4</v>
      </c>
      <c r="M109" s="11">
        <v>41730</v>
      </c>
      <c r="N109" t="s">
        <v>2176</v>
      </c>
      <c r="O109">
        <v>6</v>
      </c>
      <c r="P109" t="s">
        <v>57</v>
      </c>
      <c r="Q109" t="b">
        <v>1</v>
      </c>
    </row>
    <row r="110" spans="1:17">
      <c r="A110" s="12">
        <v>41749</v>
      </c>
      <c r="B110" s="10">
        <v>0</v>
      </c>
      <c r="C110" s="10">
        <v>0</v>
      </c>
      <c r="D110" s="10">
        <v>0</v>
      </c>
      <c r="E110" s="10">
        <v>0</v>
      </c>
      <c r="F110" s="10">
        <v>0</v>
      </c>
      <c r="G110" s="10">
        <v>0</v>
      </c>
      <c r="H110" s="10">
        <v>0</v>
      </c>
      <c r="I110" s="10">
        <v>0</v>
      </c>
      <c r="J110" s="10">
        <f>SUM(B110:I110)</f>
        <v>0.0</v>
      </c>
      <c r="K110">
        <v>2014</v>
      </c>
      <c r="L110">
        <v>4</v>
      </c>
      <c r="M110" s="11">
        <v>41730</v>
      </c>
      <c r="N110" t="s">
        <v>2176</v>
      </c>
      <c r="O110">
        <v>7</v>
      </c>
      <c r="P110" t="s">
        <v>59</v>
      </c>
      <c r="Q110" t="b">
        <v>1</v>
      </c>
    </row>
    <row r="111" spans="1:17">
      <c r="A111" s="12">
        <v>41750</v>
      </c>
      <c r="B111" s="10">
        <v>1.34</v>
      </c>
      <c r="C111" s="10">
        <v>1.68</v>
      </c>
      <c r="D111" s="10">
        <v>2.1</v>
      </c>
      <c r="E111" s="10">
        <v>13.5</v>
      </c>
      <c r="F111" s="10">
        <v>8</v>
      </c>
      <c r="G111" s="10">
        <v>0</v>
      </c>
      <c r="H111" s="10">
        <v>0</v>
      </c>
      <c r="I111" s="10">
        <v>1</v>
      </c>
      <c r="J111" s="10">
        <f>SUM(B111:I111)</f>
        <v>27.62</v>
      </c>
      <c r="K111">
        <v>2014</v>
      </c>
      <c r="L111">
        <v>4</v>
      </c>
      <c r="M111" s="11">
        <v>41730</v>
      </c>
      <c r="N111" t="s">
        <v>2176</v>
      </c>
      <c r="O111">
        <v>1</v>
      </c>
      <c r="P111" t="s">
        <v>61</v>
      </c>
      <c r="Q111" t="b">
        <v>1</v>
      </c>
    </row>
    <row r="112" spans="1:17">
      <c r="A112" s="12">
        <v>41751</v>
      </c>
      <c r="B112" s="10">
        <v>5.34</v>
      </c>
      <c r="C112" s="10">
        <v>7.165</v>
      </c>
      <c r="D112" s="10">
        <v>3.3</v>
      </c>
      <c r="E112" s="10">
        <v>32</v>
      </c>
      <c r="F112" s="10">
        <v>8</v>
      </c>
      <c r="G112" s="10">
        <v>1</v>
      </c>
      <c r="H112" s="10">
        <v>0</v>
      </c>
      <c r="I112" s="10">
        <v>1</v>
      </c>
      <c r="J112" s="10">
        <f>SUM(B112:I112)</f>
        <v>57.805</v>
      </c>
      <c r="K112">
        <v>2014</v>
      </c>
      <c r="L112">
        <v>4</v>
      </c>
      <c r="M112" s="11">
        <v>41730</v>
      </c>
      <c r="N112" t="s">
        <v>2176</v>
      </c>
      <c r="O112">
        <v>2</v>
      </c>
      <c r="P112" t="s">
        <v>63</v>
      </c>
      <c r="Q112" t="b">
        <v>1</v>
      </c>
    </row>
    <row r="113" spans="1:17">
      <c r="A113" s="12">
        <v>41752</v>
      </c>
      <c r="B113" s="10">
        <v>6.34</v>
      </c>
      <c r="C113" s="10">
        <v>2.34</v>
      </c>
      <c r="D113" s="10">
        <v>3</v>
      </c>
      <c r="E113" s="10">
        <v>24.9</v>
      </c>
      <c r="F113" s="10">
        <v>8</v>
      </c>
      <c r="G113" s="10">
        <v>1</v>
      </c>
      <c r="H113" s="10">
        <v>2</v>
      </c>
      <c r="I113" s="10">
        <v>1</v>
      </c>
      <c r="J113" s="10">
        <f>SUM(B113:I113)</f>
        <v>48.58</v>
      </c>
      <c r="K113">
        <v>2014</v>
      </c>
      <c r="L113">
        <v>4</v>
      </c>
      <c r="M113" s="11">
        <v>41730</v>
      </c>
      <c r="N113" t="s">
        <v>2176</v>
      </c>
      <c r="O113">
        <v>3</v>
      </c>
      <c r="P113" t="s">
        <v>65</v>
      </c>
      <c r="Q113" t="b">
        <v>1</v>
      </c>
    </row>
    <row r="114" spans="1:17">
      <c r="A114" s="12">
        <v>41753</v>
      </c>
      <c r="B114" s="10">
        <v>2</v>
      </c>
      <c r="C114" s="10">
        <v>2</v>
      </c>
      <c r="D114" s="10">
        <v>1.1</v>
      </c>
      <c r="E114" s="10">
        <v>26</v>
      </c>
      <c r="F114" s="10">
        <v>6</v>
      </c>
      <c r="G114" s="10">
        <v>0</v>
      </c>
      <c r="H114" s="10">
        <v>6</v>
      </c>
      <c r="I114" s="10">
        <v>2</v>
      </c>
      <c r="J114" s="10">
        <f>SUM(B114:I114)</f>
        <v>45.1</v>
      </c>
      <c r="K114">
        <v>2014</v>
      </c>
      <c r="L114">
        <v>4</v>
      </c>
      <c r="M114" s="11">
        <v>41730</v>
      </c>
      <c r="N114" t="s">
        <v>2176</v>
      </c>
      <c r="O114">
        <v>4</v>
      </c>
      <c r="P114" t="s">
        <v>53</v>
      </c>
      <c r="Q114" t="b">
        <v>1</v>
      </c>
    </row>
    <row r="115" spans="1:17">
      <c r="A115" s="12">
        <v>41754</v>
      </c>
      <c r="B115" s="10">
        <v>3</v>
      </c>
      <c r="C115" s="10">
        <v>2.02</v>
      </c>
      <c r="D115" s="10">
        <v>5</v>
      </c>
      <c r="E115" s="10">
        <v>24.9</v>
      </c>
      <c r="F115" s="10">
        <v>10</v>
      </c>
      <c r="G115" s="10">
        <v>1</v>
      </c>
      <c r="H115" s="10">
        <v>1</v>
      </c>
      <c r="I115" s="10">
        <v>3</v>
      </c>
      <c r="J115" s="10">
        <f>SUM(B115:I115)</f>
        <v>49.92</v>
      </c>
      <c r="K115">
        <v>2014</v>
      </c>
      <c r="L115">
        <v>4</v>
      </c>
      <c r="M115" s="11">
        <v>41730</v>
      </c>
      <c r="N115" t="s">
        <v>2176</v>
      </c>
      <c r="O115">
        <v>5</v>
      </c>
      <c r="P115" t="s">
        <v>55</v>
      </c>
      <c r="Q115" t="b">
        <v>1</v>
      </c>
    </row>
    <row r="116" spans="1:17">
      <c r="A116" s="12">
        <v>41755</v>
      </c>
      <c r="B116" s="10">
        <v>4.34</v>
      </c>
      <c r="C116" s="10">
        <v>2.67</v>
      </c>
      <c r="D116" s="10">
        <v>5.5</v>
      </c>
      <c r="E116" s="10">
        <v>35</v>
      </c>
      <c r="F116" s="10">
        <v>12</v>
      </c>
      <c r="G116" s="10">
        <v>1</v>
      </c>
      <c r="H116" s="10">
        <v>6</v>
      </c>
      <c r="I116" s="10">
        <v>4</v>
      </c>
      <c r="J116" s="10">
        <f>SUM(B116:I116)</f>
        <v>70.50999999999999</v>
      </c>
      <c r="K116">
        <v>2014</v>
      </c>
      <c r="L116">
        <v>4</v>
      </c>
      <c r="M116" s="11">
        <v>41730</v>
      </c>
      <c r="N116" t="s">
        <v>2176</v>
      </c>
      <c r="O116">
        <v>6</v>
      </c>
      <c r="P116" t="s">
        <v>57</v>
      </c>
      <c r="Q116" t="b">
        <v>1</v>
      </c>
    </row>
    <row r="117" spans="1:17">
      <c r="A117" s="12">
        <v>41756</v>
      </c>
      <c r="B117" s="10">
        <v>4</v>
      </c>
      <c r="C117" s="10">
        <v>2.34</v>
      </c>
      <c r="D117" s="10">
        <v>2</v>
      </c>
      <c r="E117" s="10">
        <v>26.2</v>
      </c>
      <c r="F117" s="10">
        <v>2</v>
      </c>
      <c r="G117" s="10">
        <v>0</v>
      </c>
      <c r="H117" s="10">
        <v>1</v>
      </c>
      <c r="I117" s="10">
        <v>1</v>
      </c>
      <c r="J117" s="10">
        <f>SUM(B117:I117)</f>
        <v>38.54</v>
      </c>
      <c r="K117">
        <v>2014</v>
      </c>
      <c r="L117">
        <v>4</v>
      </c>
      <c r="M117" s="11">
        <v>41730</v>
      </c>
      <c r="N117" t="s">
        <v>2176</v>
      </c>
      <c r="O117">
        <v>7</v>
      </c>
      <c r="P117" t="s">
        <v>59</v>
      </c>
      <c r="Q117" t="b">
        <v>1</v>
      </c>
    </row>
    <row r="118" spans="1:17">
      <c r="A118" s="12">
        <v>41757</v>
      </c>
      <c r="B118" s="10">
        <v>1.34</v>
      </c>
      <c r="C118" s="10">
        <v>3.09</v>
      </c>
      <c r="D118" s="10">
        <v>3</v>
      </c>
      <c r="E118" s="10">
        <v>29.1</v>
      </c>
      <c r="F118" s="10">
        <v>8</v>
      </c>
      <c r="G118" s="10">
        <v>2</v>
      </c>
      <c r="H118" s="10">
        <v>0</v>
      </c>
      <c r="I118" s="10">
        <v>2</v>
      </c>
      <c r="J118" s="10">
        <f>SUM(B118:I118)</f>
        <v>48.53</v>
      </c>
      <c r="K118">
        <v>2014</v>
      </c>
      <c r="L118">
        <v>4</v>
      </c>
      <c r="M118" s="11">
        <v>41730</v>
      </c>
      <c r="N118" t="s">
        <v>2176</v>
      </c>
      <c r="O118">
        <v>1</v>
      </c>
      <c r="P118" t="s">
        <v>61</v>
      </c>
      <c r="Q118" t="b">
        <v>1</v>
      </c>
    </row>
    <row r="119" spans="1:17">
      <c r="A119" s="12">
        <v>41758</v>
      </c>
      <c r="B119" s="10">
        <v>3.33</v>
      </c>
      <c r="C119" s="10">
        <v>4.02</v>
      </c>
      <c r="D119" s="10">
        <v>4.4</v>
      </c>
      <c r="E119" s="10">
        <v>30.3</v>
      </c>
      <c r="F119" s="10">
        <v>6</v>
      </c>
      <c r="G119" s="10">
        <v>1</v>
      </c>
      <c r="H119" s="10">
        <v>5</v>
      </c>
      <c r="I119" s="10">
        <v>0.4</v>
      </c>
      <c r="J119" s="10">
        <f>SUM(B119:I119)</f>
        <v>54.449999999999996</v>
      </c>
      <c r="K119">
        <v>2014</v>
      </c>
      <c r="L119">
        <v>4</v>
      </c>
      <c r="M119" s="11">
        <v>41730</v>
      </c>
      <c r="N119" t="s">
        <v>2176</v>
      </c>
      <c r="O119">
        <v>2</v>
      </c>
      <c r="P119" t="s">
        <v>63</v>
      </c>
      <c r="Q119" t="b">
        <v>1</v>
      </c>
    </row>
    <row r="120" spans="1:17">
      <c r="A120" s="12">
        <v>41759</v>
      </c>
      <c r="B120" s="10">
        <v>4.34</v>
      </c>
      <c r="C120" s="10">
        <v>2.68</v>
      </c>
      <c r="D120" s="10">
        <v>7</v>
      </c>
      <c r="E120" s="10">
        <v>43.1</v>
      </c>
      <c r="F120" s="10">
        <v>11</v>
      </c>
      <c r="G120" s="10">
        <v>0</v>
      </c>
      <c r="H120" s="10">
        <v>7</v>
      </c>
      <c r="I120" s="10">
        <v>4</v>
      </c>
      <c r="J120" s="10">
        <f>SUM(B120:I120)</f>
        <v>79.12</v>
      </c>
      <c r="K120">
        <v>2014</v>
      </c>
      <c r="L120">
        <v>4</v>
      </c>
      <c r="M120" s="11">
        <v>41730</v>
      </c>
      <c r="N120" t="s">
        <v>2176</v>
      </c>
      <c r="O120">
        <v>3</v>
      </c>
      <c r="P120" t="s">
        <v>65</v>
      </c>
      <c r="Q120" t="b">
        <v>1</v>
      </c>
    </row>
    <row r="121" spans="1:17">
      <c r="A121" s="12">
        <v>41760</v>
      </c>
      <c r="B121" s="10">
        <v>0</v>
      </c>
      <c r="C121" s="10">
        <v>0</v>
      </c>
      <c r="D121" s="10">
        <v>0</v>
      </c>
      <c r="E121" s="10">
        <v>0</v>
      </c>
      <c r="F121" s="10">
        <v>0</v>
      </c>
      <c r="G121" s="10">
        <v>0</v>
      </c>
      <c r="H121" s="10">
        <v>0</v>
      </c>
      <c r="I121" s="10">
        <v>0</v>
      </c>
      <c r="J121" s="10">
        <f>SUM(B121:I121)</f>
        <v>0.0</v>
      </c>
      <c r="K121">
        <v>2014</v>
      </c>
      <c r="L121">
        <v>5</v>
      </c>
      <c r="M121" s="11">
        <v>41760</v>
      </c>
      <c r="N121" t="s">
        <v>2177</v>
      </c>
      <c r="O121">
        <v>4</v>
      </c>
      <c r="P121" t="s">
        <v>53</v>
      </c>
      <c r="Q121" t="b">
        <v>1</v>
      </c>
    </row>
    <row r="122" spans="1:17">
      <c r="A122" s="12">
        <v>41761</v>
      </c>
      <c r="B122" s="10">
        <v>7.34</v>
      </c>
      <c r="C122" s="10">
        <v>7.34</v>
      </c>
      <c r="D122" s="10">
        <v>6.3</v>
      </c>
      <c r="E122" s="10">
        <v>39.5</v>
      </c>
      <c r="F122" s="10">
        <v>16</v>
      </c>
      <c r="G122" s="10">
        <v>1</v>
      </c>
      <c r="H122" s="10">
        <v>12</v>
      </c>
      <c r="I122" s="10">
        <v>2</v>
      </c>
      <c r="J122" s="10">
        <f>SUM(B122:I122)</f>
        <v>91.48</v>
      </c>
      <c r="K122">
        <v>2014</v>
      </c>
      <c r="L122">
        <v>5</v>
      </c>
      <c r="M122" s="11">
        <v>41760</v>
      </c>
      <c r="N122" t="s">
        <v>2177</v>
      </c>
      <c r="O122">
        <v>5</v>
      </c>
      <c r="P122" t="s">
        <v>55</v>
      </c>
      <c r="Q122" t="b">
        <v>1</v>
      </c>
    </row>
    <row r="123" spans="1:17">
      <c r="A123" s="12">
        <v>41762</v>
      </c>
      <c r="B123" s="10">
        <v>4</v>
      </c>
      <c r="C123" s="10">
        <v>5.34</v>
      </c>
      <c r="D123" s="10">
        <v>2</v>
      </c>
      <c r="E123" s="10">
        <v>14.6</v>
      </c>
      <c r="F123" s="10">
        <v>5</v>
      </c>
      <c r="G123" s="10">
        <v>2</v>
      </c>
      <c r="H123" s="10">
        <v>0</v>
      </c>
      <c r="I123" s="10">
        <v>2.5</v>
      </c>
      <c r="J123" s="10">
        <f>SUM(B123:I123)</f>
        <v>35.44</v>
      </c>
      <c r="K123">
        <v>2014</v>
      </c>
      <c r="L123">
        <v>5</v>
      </c>
      <c r="M123" s="11">
        <v>41760</v>
      </c>
      <c r="N123" t="s">
        <v>2177</v>
      </c>
      <c r="O123">
        <v>6</v>
      </c>
      <c r="P123" t="s">
        <v>57</v>
      </c>
      <c r="Q123" t="b">
        <v>1</v>
      </c>
    </row>
    <row r="124" spans="1:17">
      <c r="A124" s="12">
        <v>41763</v>
      </c>
      <c r="B124" s="10">
        <v>1.67</v>
      </c>
      <c r="C124" s="10">
        <v>4.69</v>
      </c>
      <c r="D124" s="10">
        <v>1.2</v>
      </c>
      <c r="E124" s="10">
        <v>20</v>
      </c>
      <c r="F124" s="10">
        <v>3</v>
      </c>
      <c r="G124" s="10">
        <v>0</v>
      </c>
      <c r="H124" s="10">
        <v>0</v>
      </c>
      <c r="I124" s="10">
        <v>3</v>
      </c>
      <c r="J124" s="10">
        <f>SUM(B124:I124)</f>
        <v>33.56</v>
      </c>
      <c r="K124">
        <v>2014</v>
      </c>
      <c r="L124">
        <v>5</v>
      </c>
      <c r="M124" s="11">
        <v>41760</v>
      </c>
      <c r="N124" t="s">
        <v>2177</v>
      </c>
      <c r="O124">
        <v>7</v>
      </c>
      <c r="P124" t="s">
        <v>59</v>
      </c>
      <c r="Q124" t="b">
        <v>1</v>
      </c>
    </row>
    <row r="125" spans="1:17">
      <c r="A125" s="12">
        <v>41764</v>
      </c>
      <c r="B125" s="10">
        <v>3</v>
      </c>
      <c r="C125" s="10">
        <v>5.785</v>
      </c>
      <c r="D125" s="10">
        <v>5</v>
      </c>
      <c r="E125" s="10">
        <v>20</v>
      </c>
      <c r="F125" s="10">
        <v>7</v>
      </c>
      <c r="G125" s="10">
        <v>0</v>
      </c>
      <c r="H125" s="10">
        <v>3</v>
      </c>
      <c r="I125" s="10">
        <v>4</v>
      </c>
      <c r="J125" s="10">
        <f>SUM(B125:I125)</f>
        <v>47.785</v>
      </c>
      <c r="K125">
        <v>2014</v>
      </c>
      <c r="L125">
        <v>5</v>
      </c>
      <c r="M125" s="11">
        <v>41760</v>
      </c>
      <c r="N125" t="s">
        <v>2177</v>
      </c>
      <c r="O125">
        <v>1</v>
      </c>
      <c r="P125" t="s">
        <v>61</v>
      </c>
      <c r="Q125" t="b">
        <v>1</v>
      </c>
    </row>
    <row r="126" spans="1:17">
      <c r="A126" s="12">
        <v>41765</v>
      </c>
      <c r="B126" s="10">
        <v>7.34</v>
      </c>
      <c r="C126" s="10">
        <v>4.36</v>
      </c>
      <c r="D126" s="10">
        <v>4</v>
      </c>
      <c r="E126" s="10">
        <v>22</v>
      </c>
      <c r="F126" s="10">
        <v>10</v>
      </c>
      <c r="G126" s="10">
        <v>2</v>
      </c>
      <c r="H126" s="10">
        <v>6</v>
      </c>
      <c r="I126" s="10">
        <v>5</v>
      </c>
      <c r="J126" s="10">
        <f>SUM(B126:I126)</f>
        <v>60.7</v>
      </c>
      <c r="K126">
        <v>2014</v>
      </c>
      <c r="L126">
        <v>5</v>
      </c>
      <c r="M126" s="11">
        <v>41760</v>
      </c>
      <c r="N126" t="s">
        <v>2177</v>
      </c>
      <c r="O126">
        <v>2</v>
      </c>
      <c r="P126" t="s">
        <v>63</v>
      </c>
      <c r="Q126" t="b">
        <v>1</v>
      </c>
    </row>
    <row r="127" spans="1:17">
      <c r="A127" s="12">
        <v>41766</v>
      </c>
      <c r="B127" s="10">
        <v>3.33</v>
      </c>
      <c r="C127" s="10">
        <v>6.32</v>
      </c>
      <c r="D127" s="10">
        <v>3</v>
      </c>
      <c r="E127" s="10">
        <v>16.8</v>
      </c>
      <c r="F127" s="10">
        <v>8</v>
      </c>
      <c r="G127" s="10">
        <v>1</v>
      </c>
      <c r="H127" s="10">
        <v>3</v>
      </c>
      <c r="I127" s="10">
        <v>11</v>
      </c>
      <c r="J127" s="10">
        <f>SUM(B127:I127)</f>
        <v>52.45</v>
      </c>
      <c r="K127">
        <v>2014</v>
      </c>
      <c r="L127">
        <v>5</v>
      </c>
      <c r="M127" s="11">
        <v>41760</v>
      </c>
      <c r="N127" t="s">
        <v>2177</v>
      </c>
      <c r="O127">
        <v>3</v>
      </c>
      <c r="P127" t="s">
        <v>65</v>
      </c>
      <c r="Q127" t="b">
        <v>1</v>
      </c>
    </row>
    <row r="128" spans="1:17">
      <c r="A128" s="12">
        <v>41767</v>
      </c>
      <c r="B128" s="10">
        <v>2</v>
      </c>
      <c r="C128" s="10">
        <v>2.34</v>
      </c>
      <c r="D128" s="10">
        <v>3.4</v>
      </c>
      <c r="E128" s="10">
        <v>20.4</v>
      </c>
      <c r="F128" s="10">
        <v>10</v>
      </c>
      <c r="G128" s="10">
        <v>3</v>
      </c>
      <c r="H128" s="10">
        <v>0</v>
      </c>
      <c r="I128" s="10">
        <v>5</v>
      </c>
      <c r="J128" s="10">
        <f>SUM(B128:I128)</f>
        <v>46.14</v>
      </c>
      <c r="K128">
        <v>2014</v>
      </c>
      <c r="L128">
        <v>5</v>
      </c>
      <c r="M128" s="11">
        <v>41760</v>
      </c>
      <c r="N128" t="s">
        <v>2177</v>
      </c>
      <c r="O128">
        <v>4</v>
      </c>
      <c r="P128" t="s">
        <v>53</v>
      </c>
      <c r="Q128" t="b">
        <v>1</v>
      </c>
    </row>
    <row r="129" spans="1:17">
      <c r="A129" s="12">
        <v>41768</v>
      </c>
      <c r="B129" s="10">
        <v>2</v>
      </c>
      <c r="C129" s="10">
        <v>5</v>
      </c>
      <c r="D129" s="10">
        <v>4.2</v>
      </c>
      <c r="E129" s="10">
        <v>16</v>
      </c>
      <c r="F129" s="10">
        <v>12</v>
      </c>
      <c r="G129" s="10">
        <v>2</v>
      </c>
      <c r="H129" s="10">
        <v>1</v>
      </c>
      <c r="I129" s="10">
        <v>2</v>
      </c>
      <c r="J129" s="10">
        <f>SUM(B129:I129)</f>
        <v>44.2</v>
      </c>
      <c r="K129">
        <v>2014</v>
      </c>
      <c r="L129">
        <v>5</v>
      </c>
      <c r="M129" s="11">
        <v>41760</v>
      </c>
      <c r="N129" t="s">
        <v>2177</v>
      </c>
      <c r="O129">
        <v>5</v>
      </c>
      <c r="P129" t="s">
        <v>55</v>
      </c>
      <c r="Q129" t="b">
        <v>1</v>
      </c>
    </row>
    <row r="130" spans="1:17">
      <c r="A130" s="12">
        <v>41769</v>
      </c>
      <c r="B130" s="10">
        <v>5</v>
      </c>
      <c r="C130" s="10">
        <v>6</v>
      </c>
      <c r="D130" s="10">
        <v>9</v>
      </c>
      <c r="E130" s="10">
        <v>39.4</v>
      </c>
      <c r="F130" s="10">
        <v>15</v>
      </c>
      <c r="G130" s="10">
        <v>3</v>
      </c>
      <c r="H130" s="10">
        <v>1</v>
      </c>
      <c r="I130" s="10">
        <v>5</v>
      </c>
      <c r="J130" s="10">
        <f>SUM(B130:I130)</f>
        <v>83.4</v>
      </c>
      <c r="K130">
        <v>2014</v>
      </c>
      <c r="L130">
        <v>5</v>
      </c>
      <c r="M130" s="11">
        <v>41760</v>
      </c>
      <c r="N130" t="s">
        <v>2177</v>
      </c>
      <c r="O130">
        <v>6</v>
      </c>
      <c r="P130" t="s">
        <v>57</v>
      </c>
      <c r="Q130" t="b">
        <v>1</v>
      </c>
    </row>
    <row r="131" spans="1:17">
      <c r="A131" s="12">
        <v>41770</v>
      </c>
      <c r="B131" s="10">
        <v>2</v>
      </c>
      <c r="C131" s="10">
        <v>2.68</v>
      </c>
      <c r="D131" s="10">
        <v>1</v>
      </c>
      <c r="E131" s="10">
        <v>17</v>
      </c>
      <c r="F131" s="10">
        <v>7</v>
      </c>
      <c r="G131" s="10">
        <v>0</v>
      </c>
      <c r="H131" s="10">
        <v>1</v>
      </c>
      <c r="I131" s="10">
        <v>4</v>
      </c>
      <c r="J131" s="10">
        <f>SUM(B131:I131)</f>
        <v>34.68</v>
      </c>
      <c r="K131">
        <v>2014</v>
      </c>
      <c r="L131">
        <v>5</v>
      </c>
      <c r="M131" s="11">
        <v>41760</v>
      </c>
      <c r="N131" t="s">
        <v>2177</v>
      </c>
      <c r="O131">
        <v>7</v>
      </c>
      <c r="P131" t="s">
        <v>59</v>
      </c>
      <c r="Q131" t="b">
        <v>1</v>
      </c>
    </row>
    <row r="132" spans="1:17">
      <c r="A132" s="12">
        <v>41771</v>
      </c>
      <c r="B132" s="10">
        <v>4.34</v>
      </c>
      <c r="C132" s="10">
        <v>3.34</v>
      </c>
      <c r="D132" s="10">
        <v>9</v>
      </c>
      <c r="E132" s="10">
        <v>12</v>
      </c>
      <c r="F132" s="10">
        <v>8</v>
      </c>
      <c r="G132" s="10">
        <v>0</v>
      </c>
      <c r="H132" s="10">
        <v>5</v>
      </c>
      <c r="I132" s="10">
        <v>2</v>
      </c>
      <c r="J132" s="10">
        <f>SUM(B132:I132)</f>
        <v>43.68</v>
      </c>
      <c r="K132">
        <v>2014</v>
      </c>
      <c r="L132">
        <v>5</v>
      </c>
      <c r="M132" s="11">
        <v>41760</v>
      </c>
      <c r="N132" t="s">
        <v>2177</v>
      </c>
      <c r="O132">
        <v>1</v>
      </c>
      <c r="P132" t="s">
        <v>61</v>
      </c>
      <c r="Q132" t="b">
        <v>1</v>
      </c>
    </row>
    <row r="133" spans="1:17">
      <c r="A133" s="12">
        <v>41772</v>
      </c>
      <c r="B133" s="10">
        <v>3.68</v>
      </c>
      <c r="C133" s="10">
        <v>0.34</v>
      </c>
      <c r="D133" s="10">
        <v>6.2</v>
      </c>
      <c r="E133" s="10">
        <v>32</v>
      </c>
      <c r="F133" s="10">
        <v>7</v>
      </c>
      <c r="G133" s="10">
        <v>0</v>
      </c>
      <c r="H133" s="10">
        <v>25</v>
      </c>
      <c r="I133" s="10">
        <v>7.5</v>
      </c>
      <c r="J133" s="10">
        <f>SUM(B133:I133)</f>
        <v>81.72</v>
      </c>
      <c r="K133">
        <v>2014</v>
      </c>
      <c r="L133">
        <v>5</v>
      </c>
      <c r="M133" s="11">
        <v>41760</v>
      </c>
      <c r="N133" t="s">
        <v>2177</v>
      </c>
      <c r="O133">
        <v>2</v>
      </c>
      <c r="P133" t="s">
        <v>63</v>
      </c>
      <c r="Q133" t="b">
        <v>1</v>
      </c>
    </row>
    <row r="134" spans="1:17">
      <c r="A134" s="12">
        <v>41773</v>
      </c>
      <c r="B134" s="10">
        <v>1</v>
      </c>
      <c r="C134" s="10">
        <v>4.02</v>
      </c>
      <c r="D134" s="10">
        <v>6</v>
      </c>
      <c r="E134" s="10">
        <v>24.3</v>
      </c>
      <c r="F134" s="10">
        <v>4</v>
      </c>
      <c r="G134" s="10">
        <v>0</v>
      </c>
      <c r="H134" s="10">
        <v>0</v>
      </c>
      <c r="I134" s="10">
        <v>3</v>
      </c>
      <c r="J134" s="10">
        <f>SUM(B134:I134)</f>
        <v>42.32</v>
      </c>
      <c r="K134">
        <v>2014</v>
      </c>
      <c r="L134">
        <v>5</v>
      </c>
      <c r="M134" s="11">
        <v>41760</v>
      </c>
      <c r="N134" t="s">
        <v>2177</v>
      </c>
      <c r="O134">
        <v>3</v>
      </c>
      <c r="P134" t="s">
        <v>65</v>
      </c>
      <c r="Q134" t="b">
        <v>1</v>
      </c>
    </row>
    <row r="135" spans="1:17">
      <c r="A135" s="12">
        <v>41774</v>
      </c>
      <c r="B135" s="10">
        <v>2.34</v>
      </c>
      <c r="C135" s="10">
        <v>2.02</v>
      </c>
      <c r="D135" s="10">
        <v>3</v>
      </c>
      <c r="E135" s="10">
        <v>19.3</v>
      </c>
      <c r="F135" s="10">
        <v>7</v>
      </c>
      <c r="G135" s="10">
        <v>0</v>
      </c>
      <c r="H135" s="10">
        <v>1</v>
      </c>
      <c r="I135" s="10">
        <v>2</v>
      </c>
      <c r="J135" s="10">
        <f>SUM(B135:I135)</f>
        <v>36.66</v>
      </c>
      <c r="K135">
        <v>2014</v>
      </c>
      <c r="L135">
        <v>5</v>
      </c>
      <c r="M135" s="11">
        <v>41760</v>
      </c>
      <c r="N135" t="s">
        <v>2177</v>
      </c>
      <c r="O135">
        <v>4</v>
      </c>
      <c r="P135" t="s">
        <v>53</v>
      </c>
      <c r="Q135" t="b">
        <v>1</v>
      </c>
    </row>
    <row r="136" spans="1:17">
      <c r="A136" s="12">
        <v>41775</v>
      </c>
      <c r="B136" s="10">
        <v>5.34</v>
      </c>
      <c r="C136" s="10">
        <v>7</v>
      </c>
      <c r="D136" s="10">
        <v>3</v>
      </c>
      <c r="E136" s="10">
        <v>22</v>
      </c>
      <c r="F136" s="10">
        <v>10</v>
      </c>
      <c r="G136" s="10">
        <v>1</v>
      </c>
      <c r="H136" s="10">
        <v>11</v>
      </c>
      <c r="I136" s="10">
        <v>1</v>
      </c>
      <c r="J136" s="10">
        <f>SUM(B136:I136)</f>
        <v>60.34</v>
      </c>
      <c r="K136">
        <v>2014</v>
      </c>
      <c r="L136">
        <v>5</v>
      </c>
      <c r="M136" s="11">
        <v>41760</v>
      </c>
      <c r="N136" t="s">
        <v>2177</v>
      </c>
      <c r="O136">
        <v>5</v>
      </c>
      <c r="P136" t="s">
        <v>55</v>
      </c>
      <c r="Q136" t="b">
        <v>1</v>
      </c>
    </row>
    <row r="137" spans="1:17">
      <c r="A137" s="12">
        <v>41776</v>
      </c>
      <c r="B137" s="10">
        <v>2.34</v>
      </c>
      <c r="C137" s="10">
        <v>7.68</v>
      </c>
      <c r="D137" s="10">
        <v>3</v>
      </c>
      <c r="E137" s="10">
        <v>35</v>
      </c>
      <c r="F137" s="10">
        <v>14</v>
      </c>
      <c r="G137" s="10">
        <v>1</v>
      </c>
      <c r="H137" s="10">
        <v>0</v>
      </c>
      <c r="I137" s="10">
        <v>2</v>
      </c>
      <c r="J137" s="10">
        <f>SUM(B137:I137)</f>
        <v>65.02</v>
      </c>
      <c r="K137">
        <v>2014</v>
      </c>
      <c r="L137">
        <v>5</v>
      </c>
      <c r="M137" s="11">
        <v>41760</v>
      </c>
      <c r="N137" t="s">
        <v>2177</v>
      </c>
      <c r="O137">
        <v>6</v>
      </c>
      <c r="P137" t="s">
        <v>57</v>
      </c>
      <c r="Q137" t="b">
        <v>1</v>
      </c>
    </row>
    <row r="138" spans="1:17">
      <c r="A138" s="12">
        <v>41777</v>
      </c>
      <c r="B138" s="10">
        <v>3.34</v>
      </c>
      <c r="C138" s="10">
        <v>2</v>
      </c>
      <c r="D138" s="10">
        <v>5</v>
      </c>
      <c r="E138" s="10">
        <v>9.4</v>
      </c>
      <c r="F138" s="10">
        <v>6</v>
      </c>
      <c r="G138" s="10">
        <v>0</v>
      </c>
      <c r="H138" s="10">
        <v>0</v>
      </c>
      <c r="I138" s="10">
        <v>1</v>
      </c>
      <c r="J138" s="10">
        <f>SUM(B138:I138)</f>
        <v>26.740000000000002</v>
      </c>
      <c r="K138">
        <v>2014</v>
      </c>
      <c r="L138">
        <v>5</v>
      </c>
      <c r="M138" s="11">
        <v>41760</v>
      </c>
      <c r="N138" t="s">
        <v>2177</v>
      </c>
      <c r="O138">
        <v>7</v>
      </c>
      <c r="P138" t="s">
        <v>59</v>
      </c>
      <c r="Q138" t="b">
        <v>1</v>
      </c>
    </row>
    <row r="139" spans="1:17">
      <c r="A139" s="12">
        <v>41778</v>
      </c>
      <c r="B139" s="10">
        <v>8.34</v>
      </c>
      <c r="C139" s="10">
        <v>3.84</v>
      </c>
      <c r="D139" s="10">
        <v>6.1</v>
      </c>
      <c r="E139" s="10">
        <v>12.8</v>
      </c>
      <c r="F139" s="10">
        <v>5</v>
      </c>
      <c r="G139" s="10">
        <v>0</v>
      </c>
      <c r="H139" s="10">
        <v>3</v>
      </c>
      <c r="I139" s="10">
        <v>9</v>
      </c>
      <c r="J139" s="10">
        <f>SUM(B139:I139)</f>
        <v>48.08</v>
      </c>
      <c r="K139">
        <v>2014</v>
      </c>
      <c r="L139">
        <v>5</v>
      </c>
      <c r="M139" s="11">
        <v>41760</v>
      </c>
      <c r="N139" t="s">
        <v>2177</v>
      </c>
      <c r="O139">
        <v>1</v>
      </c>
      <c r="P139" t="s">
        <v>61</v>
      </c>
      <c r="Q139" t="b">
        <v>1</v>
      </c>
    </row>
    <row r="140" spans="1:17">
      <c r="A140" s="12">
        <v>41779</v>
      </c>
      <c r="B140" s="10">
        <v>1</v>
      </c>
      <c r="C140" s="10">
        <v>2.375</v>
      </c>
      <c r="D140" s="10">
        <v>7</v>
      </c>
      <c r="E140" s="10">
        <v>27</v>
      </c>
      <c r="F140" s="10">
        <v>10</v>
      </c>
      <c r="G140" s="10">
        <v>1</v>
      </c>
      <c r="H140" s="10">
        <v>0</v>
      </c>
      <c r="I140" s="10">
        <v>3.6</v>
      </c>
      <c r="J140" s="10">
        <f>SUM(B140:I140)</f>
        <v>51.975</v>
      </c>
      <c r="K140">
        <v>2014</v>
      </c>
      <c r="L140">
        <v>5</v>
      </c>
      <c r="M140" s="11">
        <v>41760</v>
      </c>
      <c r="N140" t="s">
        <v>2177</v>
      </c>
      <c r="O140">
        <v>2</v>
      </c>
      <c r="P140" t="s">
        <v>63</v>
      </c>
      <c r="Q140" t="b">
        <v>1</v>
      </c>
    </row>
    <row r="141" spans="1:17">
      <c r="A141" s="12">
        <v>41780</v>
      </c>
      <c r="B141" s="10">
        <v>2</v>
      </c>
      <c r="C141" s="10">
        <v>4.68</v>
      </c>
      <c r="D141" s="10">
        <v>9.5</v>
      </c>
      <c r="E141" s="10">
        <v>15.4</v>
      </c>
      <c r="F141" s="10">
        <v>6</v>
      </c>
      <c r="G141" s="10">
        <v>1</v>
      </c>
      <c r="H141" s="10">
        <v>0</v>
      </c>
      <c r="I141" s="10">
        <v>3</v>
      </c>
      <c r="J141" s="10">
        <f>SUM(B141:I141)</f>
        <v>41.58</v>
      </c>
      <c r="K141">
        <v>2014</v>
      </c>
      <c r="L141">
        <v>5</v>
      </c>
      <c r="M141" s="11">
        <v>41760</v>
      </c>
      <c r="N141" t="s">
        <v>2177</v>
      </c>
      <c r="O141">
        <v>3</v>
      </c>
      <c r="P141" t="s">
        <v>65</v>
      </c>
      <c r="Q141" t="b">
        <v>1</v>
      </c>
    </row>
    <row r="142" spans="1:17">
      <c r="A142" s="12">
        <v>41781</v>
      </c>
      <c r="B142" s="10">
        <v>3.68</v>
      </c>
      <c r="C142" s="10">
        <v>1.33</v>
      </c>
      <c r="D142" s="10">
        <v>1.2</v>
      </c>
      <c r="E142" s="10">
        <v>8</v>
      </c>
      <c r="F142" s="10">
        <v>8</v>
      </c>
      <c r="G142" s="10">
        <v>0</v>
      </c>
      <c r="H142" s="10">
        <v>2</v>
      </c>
      <c r="I142" s="10">
        <v>4</v>
      </c>
      <c r="J142" s="10">
        <f>SUM(B142:I142)</f>
        <v>28.21</v>
      </c>
      <c r="K142">
        <v>2014</v>
      </c>
      <c r="L142">
        <v>5</v>
      </c>
      <c r="M142" s="11">
        <v>41760</v>
      </c>
      <c r="N142" t="s">
        <v>2177</v>
      </c>
      <c r="O142">
        <v>4</v>
      </c>
      <c r="P142" t="s">
        <v>53</v>
      </c>
      <c r="Q142" t="b">
        <v>1</v>
      </c>
    </row>
    <row r="143" spans="1:17">
      <c r="A143" s="12">
        <v>41782</v>
      </c>
      <c r="B143" s="10">
        <v>5</v>
      </c>
      <c r="C143" s="10">
        <v>2.34</v>
      </c>
      <c r="D143" s="10">
        <v>3.9</v>
      </c>
      <c r="E143" s="10">
        <v>17.5</v>
      </c>
      <c r="F143" s="10">
        <v>8</v>
      </c>
      <c r="G143" s="10">
        <v>2</v>
      </c>
      <c r="H143" s="10">
        <v>10</v>
      </c>
      <c r="I143" s="10">
        <v>7</v>
      </c>
      <c r="J143" s="10">
        <f>SUM(B143:I143)</f>
        <v>55.74</v>
      </c>
      <c r="K143">
        <v>2014</v>
      </c>
      <c r="L143">
        <v>5</v>
      </c>
      <c r="M143" s="11">
        <v>41760</v>
      </c>
      <c r="N143" t="s">
        <v>2177</v>
      </c>
      <c r="O143">
        <v>5</v>
      </c>
      <c r="P143" t="s">
        <v>55</v>
      </c>
      <c r="Q143" t="b">
        <v>1</v>
      </c>
    </row>
    <row r="144" spans="1:17">
      <c r="A144" s="12">
        <v>41783</v>
      </c>
      <c r="B144" s="10">
        <v>3</v>
      </c>
      <c r="C144" s="10">
        <v>4.713</v>
      </c>
      <c r="D144" s="10">
        <v>5</v>
      </c>
      <c r="E144" s="10">
        <v>28</v>
      </c>
      <c r="F144" s="10">
        <v>11</v>
      </c>
      <c r="G144" s="10">
        <v>1</v>
      </c>
      <c r="H144" s="10">
        <v>0</v>
      </c>
      <c r="I144" s="10">
        <v>9</v>
      </c>
      <c r="J144" s="10">
        <f>SUM(B144:I144)</f>
        <v>61.713</v>
      </c>
      <c r="K144">
        <v>2014</v>
      </c>
      <c r="L144">
        <v>5</v>
      </c>
      <c r="M144" s="11">
        <v>41760</v>
      </c>
      <c r="N144" t="s">
        <v>2177</v>
      </c>
      <c r="O144">
        <v>6</v>
      </c>
      <c r="P144" t="s">
        <v>57</v>
      </c>
      <c r="Q144" t="b">
        <v>1</v>
      </c>
    </row>
    <row r="145" spans="1:17">
      <c r="A145" s="12">
        <v>41784</v>
      </c>
      <c r="B145" s="10">
        <v>2</v>
      </c>
      <c r="C145" s="10">
        <v>3</v>
      </c>
      <c r="D145" s="10">
        <v>1</v>
      </c>
      <c r="E145" s="10">
        <v>7</v>
      </c>
      <c r="F145" s="10">
        <v>8</v>
      </c>
      <c r="G145" s="10">
        <v>0</v>
      </c>
      <c r="H145" s="10">
        <v>5</v>
      </c>
      <c r="I145" s="10">
        <v>1</v>
      </c>
      <c r="J145" s="10">
        <f>SUM(B145:I145)</f>
        <v>27.0</v>
      </c>
      <c r="K145">
        <v>2014</v>
      </c>
      <c r="L145">
        <v>5</v>
      </c>
      <c r="M145" s="11">
        <v>41760</v>
      </c>
      <c r="N145" t="s">
        <v>2177</v>
      </c>
      <c r="O145">
        <v>7</v>
      </c>
      <c r="P145" t="s">
        <v>59</v>
      </c>
      <c r="Q145" t="b">
        <v>1</v>
      </c>
    </row>
    <row r="146" spans="1:17">
      <c r="A146" s="12">
        <v>41785</v>
      </c>
      <c r="B146" s="10">
        <v>2.68</v>
      </c>
      <c r="C146" s="10">
        <v>3.34</v>
      </c>
      <c r="D146" s="10">
        <v>7.4</v>
      </c>
      <c r="E146" s="10">
        <v>18</v>
      </c>
      <c r="F146" s="10">
        <v>7</v>
      </c>
      <c r="G146" s="10">
        <v>1</v>
      </c>
      <c r="H146" s="10">
        <v>0</v>
      </c>
      <c r="I146" s="10">
        <v>5</v>
      </c>
      <c r="J146" s="10">
        <f>SUM(B146:I146)</f>
        <v>44.42</v>
      </c>
      <c r="K146">
        <v>2014</v>
      </c>
      <c r="L146">
        <v>5</v>
      </c>
      <c r="M146" s="11">
        <v>41760</v>
      </c>
      <c r="N146" t="s">
        <v>2177</v>
      </c>
      <c r="O146">
        <v>1</v>
      </c>
      <c r="P146" t="s">
        <v>61</v>
      </c>
      <c r="Q146" t="b">
        <v>1</v>
      </c>
    </row>
    <row r="147" spans="1:17">
      <c r="A147" s="12">
        <v>41786</v>
      </c>
      <c r="B147" s="10">
        <v>0</v>
      </c>
      <c r="C147" s="10">
        <v>2.34</v>
      </c>
      <c r="D147" s="10">
        <v>5</v>
      </c>
      <c r="E147" s="10">
        <v>28.6</v>
      </c>
      <c r="F147" s="10">
        <v>12</v>
      </c>
      <c r="G147" s="10">
        <v>1</v>
      </c>
      <c r="H147" s="10">
        <v>1</v>
      </c>
      <c r="I147" s="10">
        <v>6</v>
      </c>
      <c r="J147" s="10">
        <f>SUM(B147:I147)</f>
        <v>55.94</v>
      </c>
      <c r="K147">
        <v>2014</v>
      </c>
      <c r="L147">
        <v>5</v>
      </c>
      <c r="M147" s="11">
        <v>41760</v>
      </c>
      <c r="N147" t="s">
        <v>2177</v>
      </c>
      <c r="O147">
        <v>2</v>
      </c>
      <c r="P147" t="s">
        <v>63</v>
      </c>
      <c r="Q147" t="b">
        <v>1</v>
      </c>
    </row>
    <row r="148" spans="1:17">
      <c r="A148" s="12">
        <v>41787</v>
      </c>
      <c r="B148" s="10">
        <v>1.34</v>
      </c>
      <c r="C148" s="10">
        <v>5.02</v>
      </c>
      <c r="D148" s="10">
        <v>1.4</v>
      </c>
      <c r="E148" s="10">
        <v>10.28</v>
      </c>
      <c r="F148" s="10">
        <v>9</v>
      </c>
      <c r="G148" s="10">
        <v>0</v>
      </c>
      <c r="H148" s="10">
        <v>2</v>
      </c>
      <c r="I148" s="10">
        <v>5.1</v>
      </c>
      <c r="J148" s="10">
        <f>SUM(B148:I148)</f>
        <v>34.14</v>
      </c>
      <c r="K148">
        <v>2014</v>
      </c>
      <c r="L148">
        <v>5</v>
      </c>
      <c r="M148" s="11">
        <v>41760</v>
      </c>
      <c r="N148" t="s">
        <v>2177</v>
      </c>
      <c r="O148">
        <v>3</v>
      </c>
      <c r="P148" t="s">
        <v>65</v>
      </c>
      <c r="Q148" t="b">
        <v>1</v>
      </c>
    </row>
    <row r="149" spans="1:17">
      <c r="A149" s="12">
        <v>41788</v>
      </c>
      <c r="B149" s="10">
        <v>4</v>
      </c>
      <c r="C149" s="10">
        <v>5.34</v>
      </c>
      <c r="D149" s="10">
        <v>6.3</v>
      </c>
      <c r="E149" s="10">
        <v>27</v>
      </c>
      <c r="F149" s="10">
        <v>13</v>
      </c>
      <c r="G149" s="10">
        <v>0</v>
      </c>
      <c r="H149" s="10">
        <v>0</v>
      </c>
      <c r="I149" s="10">
        <v>2</v>
      </c>
      <c r="J149" s="10">
        <f>SUM(B149:I149)</f>
        <v>57.64</v>
      </c>
      <c r="K149">
        <v>2014</v>
      </c>
      <c r="L149">
        <v>5</v>
      </c>
      <c r="M149" s="11">
        <v>41760</v>
      </c>
      <c r="N149" t="s">
        <v>2177</v>
      </c>
      <c r="O149">
        <v>4</v>
      </c>
      <c r="P149" t="s">
        <v>53</v>
      </c>
      <c r="Q149" t="b">
        <v>1</v>
      </c>
    </row>
    <row r="150" spans="1:17">
      <c r="A150" s="12">
        <v>41789</v>
      </c>
      <c r="B150" s="10">
        <v>3.02</v>
      </c>
      <c r="C150" s="10">
        <v>2.02</v>
      </c>
      <c r="D150" s="10">
        <v>2</v>
      </c>
      <c r="E150" s="10">
        <v>21.5</v>
      </c>
      <c r="F150" s="10">
        <v>14</v>
      </c>
      <c r="G150" s="10">
        <v>0</v>
      </c>
      <c r="H150" s="10">
        <v>0</v>
      </c>
      <c r="I150" s="10">
        <v>5</v>
      </c>
      <c r="J150" s="10">
        <f>SUM(B150:I150)</f>
        <v>47.54</v>
      </c>
      <c r="K150">
        <v>2014</v>
      </c>
      <c r="L150">
        <v>5</v>
      </c>
      <c r="M150" s="11">
        <v>41760</v>
      </c>
      <c r="N150" t="s">
        <v>2177</v>
      </c>
      <c r="O150">
        <v>5</v>
      </c>
      <c r="P150" t="s">
        <v>55</v>
      </c>
      <c r="Q150" t="b">
        <v>1</v>
      </c>
    </row>
    <row r="151" spans="1:17">
      <c r="A151" s="12">
        <v>41790</v>
      </c>
      <c r="B151" s="10">
        <v>5.67</v>
      </c>
      <c r="C151" s="10">
        <v>3.34</v>
      </c>
      <c r="D151" s="10">
        <v>2</v>
      </c>
      <c r="E151" s="10">
        <v>28</v>
      </c>
      <c r="F151" s="10">
        <v>10</v>
      </c>
      <c r="G151" s="10">
        <v>0</v>
      </c>
      <c r="H151" s="10">
        <v>15</v>
      </c>
      <c r="I151" s="10">
        <v>2</v>
      </c>
      <c r="J151" s="10">
        <f>SUM(B151:I151)</f>
        <v>66.00999999999999</v>
      </c>
      <c r="K151">
        <v>2014</v>
      </c>
      <c r="L151">
        <v>5</v>
      </c>
      <c r="M151" s="11">
        <v>41760</v>
      </c>
      <c r="N151" t="s">
        <v>2177</v>
      </c>
      <c r="O151">
        <v>6</v>
      </c>
      <c r="P151" t="s">
        <v>57</v>
      </c>
      <c r="Q151" t="b">
        <v>1</v>
      </c>
    </row>
    <row r="152" spans="1:17">
      <c r="A152" s="12">
        <v>41791</v>
      </c>
      <c r="B152" s="10">
        <v>1</v>
      </c>
      <c r="C152" s="10">
        <v>0.68</v>
      </c>
      <c r="D152" s="10">
        <v>1</v>
      </c>
      <c r="E152" s="10">
        <v>10</v>
      </c>
      <c r="F152" s="10">
        <v>4</v>
      </c>
      <c r="G152" s="10">
        <v>1</v>
      </c>
      <c r="H152" s="10">
        <v>1</v>
      </c>
      <c r="I152" s="10">
        <v>3</v>
      </c>
      <c r="J152" s="10">
        <f>SUM(B152:I152)</f>
        <v>21.68</v>
      </c>
      <c r="K152">
        <v>2014</v>
      </c>
      <c r="L152">
        <v>6</v>
      </c>
      <c r="M152" s="11">
        <v>41791</v>
      </c>
      <c r="N152" t="s">
        <v>2178</v>
      </c>
      <c r="O152">
        <v>7</v>
      </c>
      <c r="P152" t="s">
        <v>59</v>
      </c>
      <c r="Q152" t="b">
        <v>1</v>
      </c>
    </row>
    <row r="153" spans="1:17">
      <c r="A153" s="12">
        <v>41792</v>
      </c>
      <c r="B153" s="10">
        <v>4</v>
      </c>
      <c r="C153" s="10">
        <v>4.34</v>
      </c>
      <c r="D153" s="10">
        <v>10</v>
      </c>
      <c r="E153" s="10">
        <v>23.3</v>
      </c>
      <c r="F153" s="10">
        <v>16</v>
      </c>
      <c r="G153" s="10">
        <v>3</v>
      </c>
      <c r="H153" s="10">
        <v>0</v>
      </c>
      <c r="I153" s="10">
        <v>3</v>
      </c>
      <c r="J153" s="10">
        <f>SUM(B153:I153)</f>
        <v>63.64</v>
      </c>
      <c r="K153">
        <v>2014</v>
      </c>
      <c r="L153">
        <v>6</v>
      </c>
      <c r="M153" s="11">
        <v>41791</v>
      </c>
      <c r="N153" t="s">
        <v>2178</v>
      </c>
      <c r="O153">
        <v>1</v>
      </c>
      <c r="P153" t="s">
        <v>61</v>
      </c>
      <c r="Q153" t="b">
        <v>1</v>
      </c>
    </row>
    <row r="154" spans="1:17">
      <c r="A154" s="12">
        <v>41793</v>
      </c>
      <c r="B154" s="10">
        <v>3</v>
      </c>
      <c r="C154" s="10">
        <v>2</v>
      </c>
      <c r="D154" s="10">
        <v>2.4</v>
      </c>
      <c r="E154" s="10">
        <v>24</v>
      </c>
      <c r="F154" s="10">
        <v>7</v>
      </c>
      <c r="G154" s="10">
        <v>2</v>
      </c>
      <c r="H154" s="10">
        <v>5</v>
      </c>
      <c r="I154" s="10">
        <v>3</v>
      </c>
      <c r="J154" s="10">
        <f>SUM(B154:I154)</f>
        <v>48.4</v>
      </c>
      <c r="K154">
        <v>2014</v>
      </c>
      <c r="L154">
        <v>6</v>
      </c>
      <c r="M154" s="11">
        <v>41791</v>
      </c>
      <c r="N154" t="s">
        <v>2178</v>
      </c>
      <c r="O154">
        <v>2</v>
      </c>
      <c r="P154" t="s">
        <v>63</v>
      </c>
      <c r="Q154" t="b">
        <v>1</v>
      </c>
    </row>
    <row r="155" spans="1:17">
      <c r="A155" s="12">
        <v>41794</v>
      </c>
      <c r="B155" s="10">
        <v>1</v>
      </c>
      <c r="C155" s="10">
        <v>4.68</v>
      </c>
      <c r="D155" s="10">
        <v>3.5</v>
      </c>
      <c r="E155" s="10">
        <v>24</v>
      </c>
      <c r="F155" s="10">
        <v>6</v>
      </c>
      <c r="G155" s="10">
        <v>0</v>
      </c>
      <c r="H155" s="10">
        <v>1</v>
      </c>
      <c r="I155" s="10">
        <v>2.5</v>
      </c>
      <c r="J155" s="10">
        <f>SUM(B155:I155)</f>
        <v>42.68</v>
      </c>
      <c r="K155">
        <v>2014</v>
      </c>
      <c r="L155">
        <v>6</v>
      </c>
      <c r="M155" s="11">
        <v>41791</v>
      </c>
      <c r="N155" t="s">
        <v>2178</v>
      </c>
      <c r="O155">
        <v>3</v>
      </c>
      <c r="P155" t="s">
        <v>65</v>
      </c>
      <c r="Q155" t="b">
        <v>1</v>
      </c>
    </row>
    <row r="156" spans="1:17">
      <c r="A156" s="12">
        <v>41795</v>
      </c>
      <c r="B156" s="10">
        <v>0.34</v>
      </c>
      <c r="C156" s="10">
        <v>4.68</v>
      </c>
      <c r="D156" s="10">
        <v>4.5</v>
      </c>
      <c r="E156" s="10">
        <v>22.5</v>
      </c>
      <c r="F156" s="10">
        <v>4</v>
      </c>
      <c r="G156" s="10">
        <v>0</v>
      </c>
      <c r="H156" s="10">
        <v>0</v>
      </c>
      <c r="I156" s="10">
        <v>5</v>
      </c>
      <c r="J156" s="10">
        <f>SUM(B156:I156)</f>
        <v>41.019999999999996</v>
      </c>
      <c r="K156">
        <v>2014</v>
      </c>
      <c r="L156">
        <v>6</v>
      </c>
      <c r="M156" s="11">
        <v>41791</v>
      </c>
      <c r="N156" t="s">
        <v>2178</v>
      </c>
      <c r="O156">
        <v>4</v>
      </c>
      <c r="P156" t="s">
        <v>53</v>
      </c>
      <c r="Q156" t="b">
        <v>1</v>
      </c>
    </row>
    <row r="157" spans="1:17">
      <c r="A157" s="12">
        <v>41796</v>
      </c>
      <c r="B157" s="10">
        <v>5</v>
      </c>
      <c r="C157" s="10">
        <v>1.68</v>
      </c>
      <c r="D157" s="10">
        <v>3</v>
      </c>
      <c r="E157" s="10">
        <v>16.625</v>
      </c>
      <c r="F157" s="10">
        <v>15</v>
      </c>
      <c r="G157" s="10">
        <v>2</v>
      </c>
      <c r="H157" s="10">
        <v>1</v>
      </c>
      <c r="I157" s="10">
        <v>5</v>
      </c>
      <c r="J157" s="10">
        <f>SUM(B157:I157)</f>
        <v>49.305</v>
      </c>
      <c r="K157">
        <v>2014</v>
      </c>
      <c r="L157">
        <v>6</v>
      </c>
      <c r="M157" s="11">
        <v>41791</v>
      </c>
      <c r="N157" t="s">
        <v>2178</v>
      </c>
      <c r="O157">
        <v>5</v>
      </c>
      <c r="P157" t="s">
        <v>55</v>
      </c>
      <c r="Q157" t="b">
        <v>1</v>
      </c>
    </row>
    <row r="158" spans="1:17">
      <c r="A158" s="12">
        <v>41797</v>
      </c>
      <c r="B158" s="10">
        <v>9</v>
      </c>
      <c r="C158" s="10">
        <v>3.68</v>
      </c>
      <c r="D158" s="10">
        <v>7.5</v>
      </c>
      <c r="E158" s="10">
        <v>33</v>
      </c>
      <c r="F158" s="10">
        <v>8</v>
      </c>
      <c r="G158" s="10">
        <v>1</v>
      </c>
      <c r="H158" s="10">
        <v>6</v>
      </c>
      <c r="I158" s="10">
        <v>7</v>
      </c>
      <c r="J158" s="10">
        <f>SUM(B158:I158)</f>
        <v>75.18</v>
      </c>
      <c r="K158">
        <v>2014</v>
      </c>
      <c r="L158">
        <v>6</v>
      </c>
      <c r="M158" s="11">
        <v>41791</v>
      </c>
      <c r="N158" t="s">
        <v>2178</v>
      </c>
      <c r="O158">
        <v>6</v>
      </c>
      <c r="P158" t="s">
        <v>57</v>
      </c>
      <c r="Q158" t="b">
        <v>1</v>
      </c>
    </row>
    <row r="159" spans="1:17">
      <c r="A159" s="12">
        <v>41798</v>
      </c>
      <c r="B159" s="10">
        <v>1</v>
      </c>
      <c r="C159" s="10">
        <v>2</v>
      </c>
      <c r="D159" s="10">
        <v>3</v>
      </c>
      <c r="E159" s="10">
        <v>11</v>
      </c>
      <c r="F159" s="10">
        <v>8</v>
      </c>
      <c r="G159" s="10">
        <v>0</v>
      </c>
      <c r="H159" s="10">
        <v>6</v>
      </c>
      <c r="I159" s="10">
        <v>2</v>
      </c>
      <c r="J159" s="10">
        <f>SUM(B159:I159)</f>
        <v>33.0</v>
      </c>
      <c r="K159">
        <v>2014</v>
      </c>
      <c r="L159">
        <v>6</v>
      </c>
      <c r="M159" s="11">
        <v>41791</v>
      </c>
      <c r="N159" t="s">
        <v>2178</v>
      </c>
      <c r="O159">
        <v>7</v>
      </c>
      <c r="P159" t="s">
        <v>59</v>
      </c>
      <c r="Q159" t="b">
        <v>1</v>
      </c>
    </row>
    <row r="160" spans="1:17">
      <c r="A160" s="12">
        <v>41799</v>
      </c>
      <c r="B160" s="10">
        <v>6.33</v>
      </c>
      <c r="C160" s="10">
        <v>1.34</v>
      </c>
      <c r="D160" s="10">
        <v>5</v>
      </c>
      <c r="E160" s="10">
        <v>18</v>
      </c>
      <c r="F160" s="10">
        <v>17</v>
      </c>
      <c r="G160" s="10">
        <v>4</v>
      </c>
      <c r="H160" s="10">
        <v>0</v>
      </c>
      <c r="I160" s="10">
        <v>11</v>
      </c>
      <c r="J160" s="10">
        <f>SUM(B160:I160)</f>
        <v>62.67</v>
      </c>
      <c r="K160">
        <v>2014</v>
      </c>
      <c r="L160">
        <v>6</v>
      </c>
      <c r="M160" s="11">
        <v>41791</v>
      </c>
      <c r="N160" t="s">
        <v>2178</v>
      </c>
      <c r="O160">
        <v>1</v>
      </c>
      <c r="P160" t="s">
        <v>61</v>
      </c>
      <c r="Q160" t="b">
        <v>1</v>
      </c>
    </row>
    <row r="161" spans="1:17">
      <c r="A161" s="12">
        <v>41800</v>
      </c>
      <c r="B161" s="10">
        <v>8.68</v>
      </c>
      <c r="C161" s="10">
        <v>2.68</v>
      </c>
      <c r="D161" s="10">
        <v>4.3</v>
      </c>
      <c r="E161" s="10">
        <v>23</v>
      </c>
      <c r="F161" s="10">
        <v>16</v>
      </c>
      <c r="G161" s="10">
        <v>2</v>
      </c>
      <c r="H161" s="10">
        <v>2</v>
      </c>
      <c r="I161" s="10">
        <v>6.5</v>
      </c>
      <c r="J161" s="10">
        <f>SUM(B161:I161)</f>
        <v>65.16</v>
      </c>
      <c r="K161">
        <v>2014</v>
      </c>
      <c r="L161">
        <v>6</v>
      </c>
      <c r="M161" s="11">
        <v>41791</v>
      </c>
      <c r="N161" t="s">
        <v>2178</v>
      </c>
      <c r="O161">
        <v>2</v>
      </c>
      <c r="P161" t="s">
        <v>63</v>
      </c>
      <c r="Q161" t="b">
        <v>1</v>
      </c>
    </row>
    <row r="162" spans="1:17">
      <c r="A162" s="12">
        <v>41801</v>
      </c>
      <c r="B162" s="10">
        <v>4.34</v>
      </c>
      <c r="C162" s="10">
        <v>0.68</v>
      </c>
      <c r="D162" s="10">
        <v>2.3</v>
      </c>
      <c r="E162" s="10">
        <v>12.5</v>
      </c>
      <c r="F162" s="10">
        <v>16</v>
      </c>
      <c r="G162" s="10">
        <v>2</v>
      </c>
      <c r="H162" s="10">
        <v>12</v>
      </c>
      <c r="I162" s="10">
        <v>9</v>
      </c>
      <c r="J162" s="10">
        <f>SUM(B162:I162)</f>
        <v>58.82</v>
      </c>
      <c r="K162">
        <v>2014</v>
      </c>
      <c r="L162">
        <v>6</v>
      </c>
      <c r="M162" s="11">
        <v>41791</v>
      </c>
      <c r="N162" t="s">
        <v>2178</v>
      </c>
      <c r="O162">
        <v>3</v>
      </c>
      <c r="P162" t="s">
        <v>65</v>
      </c>
      <c r="Q162" t="b">
        <v>1</v>
      </c>
    </row>
    <row r="163" spans="1:17">
      <c r="A163" s="12">
        <v>41802</v>
      </c>
      <c r="B163" s="10">
        <v>4.34</v>
      </c>
      <c r="C163" s="10">
        <v>3</v>
      </c>
      <c r="D163" s="10">
        <v>1</v>
      </c>
      <c r="E163" s="10">
        <v>15.8</v>
      </c>
      <c r="F163" s="10">
        <v>12</v>
      </c>
      <c r="G163" s="10">
        <v>0</v>
      </c>
      <c r="H163" s="10">
        <v>2</v>
      </c>
      <c r="I163" s="10">
        <v>3</v>
      </c>
      <c r="J163" s="10">
        <f>SUM(B163:I163)</f>
        <v>41.14</v>
      </c>
      <c r="K163">
        <v>2014</v>
      </c>
      <c r="L163">
        <v>6</v>
      </c>
      <c r="M163" s="11">
        <v>41791</v>
      </c>
      <c r="N163" t="s">
        <v>2178</v>
      </c>
      <c r="O163">
        <v>4</v>
      </c>
      <c r="P163" t="s">
        <v>53</v>
      </c>
      <c r="Q163" t="b">
        <v>1</v>
      </c>
    </row>
    <row r="164" spans="1:17">
      <c r="A164" s="12">
        <v>41803</v>
      </c>
      <c r="B164" s="10">
        <v>1</v>
      </c>
      <c r="C164" s="10">
        <v>2.68</v>
      </c>
      <c r="D164" s="10">
        <v>5</v>
      </c>
      <c r="E164" s="10">
        <v>10</v>
      </c>
      <c r="F164" s="10">
        <v>11</v>
      </c>
      <c r="G164" s="10">
        <v>0</v>
      </c>
      <c r="H164" s="10">
        <v>3</v>
      </c>
      <c r="I164" s="10">
        <v>1</v>
      </c>
      <c r="J164" s="10">
        <f>SUM(B164:I164)</f>
        <v>33.68</v>
      </c>
      <c r="K164">
        <v>2014</v>
      </c>
      <c r="L164">
        <v>6</v>
      </c>
      <c r="M164" s="11">
        <v>41791</v>
      </c>
      <c r="N164" t="s">
        <v>2178</v>
      </c>
      <c r="O164">
        <v>5</v>
      </c>
      <c r="P164" t="s">
        <v>55</v>
      </c>
      <c r="Q164" t="b">
        <v>1</v>
      </c>
    </row>
    <row r="165" spans="1:17">
      <c r="A165" s="12">
        <v>41804</v>
      </c>
      <c r="B165" s="10">
        <v>4</v>
      </c>
      <c r="C165" s="10">
        <v>5.02</v>
      </c>
      <c r="D165" s="10">
        <v>6</v>
      </c>
      <c r="E165" s="10">
        <v>8</v>
      </c>
      <c r="F165" s="10">
        <v>10</v>
      </c>
      <c r="G165" s="10">
        <v>0</v>
      </c>
      <c r="H165" s="10">
        <v>1</v>
      </c>
      <c r="I165" s="10">
        <v>3</v>
      </c>
      <c r="J165" s="10">
        <f>SUM(B165:I165)</f>
        <v>37.019999999999996</v>
      </c>
      <c r="K165">
        <v>2014</v>
      </c>
      <c r="L165">
        <v>6</v>
      </c>
      <c r="M165" s="11">
        <v>41791</v>
      </c>
      <c r="N165" t="s">
        <v>2178</v>
      </c>
      <c r="O165">
        <v>6</v>
      </c>
      <c r="P165" t="s">
        <v>57</v>
      </c>
      <c r="Q165" t="b">
        <v>1</v>
      </c>
    </row>
    <row r="166" spans="1:17">
      <c r="A166" s="12">
        <v>41805</v>
      </c>
      <c r="B166" s="10">
        <v>0.34</v>
      </c>
      <c r="C166" s="10">
        <v>2</v>
      </c>
      <c r="D166" s="10">
        <v>0</v>
      </c>
      <c r="E166" s="10">
        <v>8</v>
      </c>
      <c r="F166" s="10">
        <v>5</v>
      </c>
      <c r="G166" s="10">
        <v>0</v>
      </c>
      <c r="H166" s="10">
        <v>0</v>
      </c>
      <c r="I166" s="10">
        <v>3.3</v>
      </c>
      <c r="J166" s="10">
        <f>SUM(B166:I166)</f>
        <v>18.64</v>
      </c>
      <c r="K166">
        <v>2014</v>
      </c>
      <c r="L166">
        <v>6</v>
      </c>
      <c r="M166" s="11">
        <v>41791</v>
      </c>
      <c r="N166" t="s">
        <v>2178</v>
      </c>
      <c r="O166">
        <v>7</v>
      </c>
      <c r="P166" t="s">
        <v>59</v>
      </c>
      <c r="Q166" t="b">
        <v>1</v>
      </c>
    </row>
    <row r="167" spans="1:17">
      <c r="A167" s="12">
        <v>41806</v>
      </c>
      <c r="B167" s="10">
        <v>4.34</v>
      </c>
      <c r="C167" s="10">
        <v>4.34</v>
      </c>
      <c r="D167" s="10">
        <v>7.4</v>
      </c>
      <c r="E167" s="10">
        <v>12.2</v>
      </c>
      <c r="F167" s="10">
        <v>11</v>
      </c>
      <c r="G167" s="10">
        <v>0</v>
      </c>
      <c r="H167" s="10">
        <v>5</v>
      </c>
      <c r="I167" s="10">
        <v>5</v>
      </c>
      <c r="J167" s="10">
        <f>SUM(B167:I167)</f>
        <v>49.28</v>
      </c>
      <c r="K167">
        <v>2014</v>
      </c>
      <c r="L167">
        <v>6</v>
      </c>
      <c r="M167" s="11">
        <v>41791</v>
      </c>
      <c r="N167" t="s">
        <v>2178</v>
      </c>
      <c r="O167">
        <v>1</v>
      </c>
      <c r="P167" t="s">
        <v>61</v>
      </c>
      <c r="Q167" t="b">
        <v>1</v>
      </c>
    </row>
    <row r="168" spans="1:17">
      <c r="A168" s="12">
        <v>41807</v>
      </c>
      <c r="B168" s="10">
        <v>5</v>
      </c>
      <c r="C168" s="10">
        <v>2.34</v>
      </c>
      <c r="D168" s="10">
        <v>4</v>
      </c>
      <c r="E168" s="10">
        <v>14</v>
      </c>
      <c r="F168" s="10">
        <v>12</v>
      </c>
      <c r="G168" s="10">
        <v>2</v>
      </c>
      <c r="H168" s="10">
        <v>0</v>
      </c>
      <c r="I168" s="10">
        <v>3</v>
      </c>
      <c r="J168" s="10">
        <f>SUM(B168:I168)</f>
        <v>42.34</v>
      </c>
      <c r="K168">
        <v>2014</v>
      </c>
      <c r="L168">
        <v>6</v>
      </c>
      <c r="M168" s="11">
        <v>41791</v>
      </c>
      <c r="N168" t="s">
        <v>2178</v>
      </c>
      <c r="O168">
        <v>2</v>
      </c>
      <c r="P168" t="s">
        <v>63</v>
      </c>
      <c r="Q168" t="b">
        <v>1</v>
      </c>
    </row>
    <row r="169" spans="1:17">
      <c r="A169" s="12">
        <v>41808</v>
      </c>
      <c r="B169" s="10">
        <v>2</v>
      </c>
      <c r="C169" s="10">
        <v>2</v>
      </c>
      <c r="D169" s="10">
        <v>4.7</v>
      </c>
      <c r="E169" s="10">
        <v>18</v>
      </c>
      <c r="F169" s="10">
        <v>6</v>
      </c>
      <c r="G169" s="10">
        <v>0</v>
      </c>
      <c r="H169" s="10">
        <v>1</v>
      </c>
      <c r="I169" s="10">
        <v>3</v>
      </c>
      <c r="J169" s="10">
        <f>SUM(B169:I169)</f>
        <v>36.7</v>
      </c>
      <c r="K169">
        <v>2014</v>
      </c>
      <c r="L169">
        <v>6</v>
      </c>
      <c r="M169" s="11">
        <v>41791</v>
      </c>
      <c r="N169" t="s">
        <v>2178</v>
      </c>
      <c r="O169">
        <v>3</v>
      </c>
      <c r="P169" t="s">
        <v>65</v>
      </c>
      <c r="Q169" t="b">
        <v>1</v>
      </c>
    </row>
    <row r="170" spans="1:17">
      <c r="A170" s="12">
        <v>41809</v>
      </c>
      <c r="B170" s="10">
        <v>3</v>
      </c>
      <c r="C170" s="10">
        <v>3.33</v>
      </c>
      <c r="D170" s="10">
        <v>1</v>
      </c>
      <c r="E170" s="10">
        <v>14</v>
      </c>
      <c r="F170" s="10">
        <v>8</v>
      </c>
      <c r="G170" s="10">
        <v>0</v>
      </c>
      <c r="H170" s="10">
        <v>0</v>
      </c>
      <c r="I170" s="10">
        <v>1</v>
      </c>
      <c r="J170" s="10">
        <f>SUM(B170:I170)</f>
        <v>30.33</v>
      </c>
      <c r="K170">
        <v>2014</v>
      </c>
      <c r="L170">
        <v>6</v>
      </c>
      <c r="M170" s="11">
        <v>41791</v>
      </c>
      <c r="N170" t="s">
        <v>2178</v>
      </c>
      <c r="O170">
        <v>4</v>
      </c>
      <c r="P170" t="s">
        <v>53</v>
      </c>
      <c r="Q170" t="b">
        <v>1</v>
      </c>
    </row>
    <row r="171" spans="1:17">
      <c r="A171" s="12">
        <v>41810</v>
      </c>
      <c r="B171" s="10">
        <v>7.34</v>
      </c>
      <c r="C171" s="10">
        <v>2.02</v>
      </c>
      <c r="D171" s="10">
        <v>3</v>
      </c>
      <c r="E171" s="10">
        <v>14.5</v>
      </c>
      <c r="F171" s="10">
        <v>9</v>
      </c>
      <c r="G171" s="10">
        <v>0</v>
      </c>
      <c r="H171" s="10">
        <v>3</v>
      </c>
      <c r="I171" s="10">
        <v>6</v>
      </c>
      <c r="J171" s="10">
        <f>SUM(B171:I171)</f>
        <v>44.86</v>
      </c>
      <c r="K171">
        <v>2014</v>
      </c>
      <c r="L171">
        <v>6</v>
      </c>
      <c r="M171" s="11">
        <v>41791</v>
      </c>
      <c r="N171" t="s">
        <v>2178</v>
      </c>
      <c r="O171">
        <v>5</v>
      </c>
      <c r="P171" t="s">
        <v>55</v>
      </c>
      <c r="Q171" t="b">
        <v>1</v>
      </c>
    </row>
    <row r="172" spans="1:17">
      <c r="A172" s="12">
        <v>41811</v>
      </c>
      <c r="B172" s="10">
        <v>6</v>
      </c>
      <c r="C172" s="10">
        <v>5.68</v>
      </c>
      <c r="D172" s="10">
        <v>2</v>
      </c>
      <c r="E172" s="10">
        <v>16</v>
      </c>
      <c r="F172" s="10">
        <v>12</v>
      </c>
      <c r="G172" s="10">
        <v>3</v>
      </c>
      <c r="H172" s="10">
        <v>0</v>
      </c>
      <c r="I172" s="10">
        <v>3</v>
      </c>
      <c r="J172" s="10">
        <f>SUM(B172:I172)</f>
        <v>47.68</v>
      </c>
      <c r="K172">
        <v>2014</v>
      </c>
      <c r="L172">
        <v>6</v>
      </c>
      <c r="M172" s="11">
        <v>41791</v>
      </c>
      <c r="N172" t="s">
        <v>2178</v>
      </c>
      <c r="O172">
        <v>6</v>
      </c>
      <c r="P172" t="s">
        <v>57</v>
      </c>
      <c r="Q172" t="b">
        <v>1</v>
      </c>
    </row>
    <row r="173" spans="1:17">
      <c r="A173" s="12">
        <v>41812</v>
      </c>
      <c r="B173" s="10">
        <v>4</v>
      </c>
      <c r="C173" s="10">
        <v>1.02</v>
      </c>
      <c r="D173" s="10">
        <v>4</v>
      </c>
      <c r="E173" s="10">
        <v>18</v>
      </c>
      <c r="F173" s="10">
        <v>8</v>
      </c>
      <c r="G173" s="10">
        <v>0</v>
      </c>
      <c r="H173" s="10">
        <v>2</v>
      </c>
      <c r="I173" s="10">
        <v>3</v>
      </c>
      <c r="J173" s="10">
        <f>SUM(B173:I173)</f>
        <v>40.019999999999996</v>
      </c>
      <c r="K173">
        <v>2014</v>
      </c>
      <c r="L173">
        <v>6</v>
      </c>
      <c r="M173" s="11">
        <v>41791</v>
      </c>
      <c r="N173" t="s">
        <v>2178</v>
      </c>
      <c r="O173">
        <v>7</v>
      </c>
      <c r="P173" t="s">
        <v>59</v>
      </c>
      <c r="Q173" t="b">
        <v>1</v>
      </c>
    </row>
    <row r="174" spans="1:17">
      <c r="A174" s="12">
        <v>41813</v>
      </c>
      <c r="B174" s="10">
        <v>2.34</v>
      </c>
      <c r="C174" s="10">
        <v>7.68</v>
      </c>
      <c r="D174" s="10">
        <v>3</v>
      </c>
      <c r="E174" s="10">
        <v>25.2</v>
      </c>
      <c r="F174" s="10">
        <v>12</v>
      </c>
      <c r="G174" s="10">
        <v>0</v>
      </c>
      <c r="H174" s="10">
        <v>2</v>
      </c>
      <c r="I174" s="10">
        <v>3</v>
      </c>
      <c r="J174" s="10">
        <f>SUM(B174:I174)</f>
        <v>55.22</v>
      </c>
      <c r="K174">
        <v>2014</v>
      </c>
      <c r="L174">
        <v>6</v>
      </c>
      <c r="M174" s="11">
        <v>41791</v>
      </c>
      <c r="N174" t="s">
        <v>2178</v>
      </c>
      <c r="O174">
        <v>1</v>
      </c>
      <c r="P174" t="s">
        <v>61</v>
      </c>
      <c r="Q174" t="b">
        <v>1</v>
      </c>
    </row>
    <row r="175" spans="1:17">
      <c r="A175" s="12">
        <v>41814</v>
      </c>
      <c r="B175" s="10">
        <v>3</v>
      </c>
      <c r="C175" s="10">
        <v>5.14</v>
      </c>
      <c r="D175" s="10">
        <v>4</v>
      </c>
      <c r="E175" s="10">
        <v>16.2</v>
      </c>
      <c r="F175" s="10">
        <v>23</v>
      </c>
      <c r="G175" s="10">
        <v>0</v>
      </c>
      <c r="H175" s="10">
        <v>2</v>
      </c>
      <c r="I175" s="10">
        <v>4</v>
      </c>
      <c r="J175" s="10">
        <f>SUM(B175:I175)</f>
        <v>57.34</v>
      </c>
      <c r="K175">
        <v>2014</v>
      </c>
      <c r="L175">
        <v>6</v>
      </c>
      <c r="M175" s="11">
        <v>41791</v>
      </c>
      <c r="N175" t="s">
        <v>2178</v>
      </c>
      <c r="O175">
        <v>2</v>
      </c>
      <c r="P175" t="s">
        <v>63</v>
      </c>
      <c r="Q175" t="b">
        <v>1</v>
      </c>
    </row>
    <row r="176" spans="1:17">
      <c r="A176" s="12">
        <v>41815</v>
      </c>
      <c r="B176" s="10">
        <v>8</v>
      </c>
      <c r="C176" s="10">
        <v>5.34</v>
      </c>
      <c r="D176" s="10">
        <v>7</v>
      </c>
      <c r="E176" s="10">
        <v>33.8</v>
      </c>
      <c r="F176" s="10">
        <v>19</v>
      </c>
      <c r="G176" s="10">
        <v>0</v>
      </c>
      <c r="H176" s="10">
        <v>0</v>
      </c>
      <c r="I176" s="10">
        <v>1</v>
      </c>
      <c r="J176" s="10">
        <f>SUM(B176:I176)</f>
        <v>74.14</v>
      </c>
      <c r="K176">
        <v>2014</v>
      </c>
      <c r="L176">
        <v>6</v>
      </c>
      <c r="M176" s="11">
        <v>41791</v>
      </c>
      <c r="N176" t="s">
        <v>2178</v>
      </c>
      <c r="O176">
        <v>3</v>
      </c>
      <c r="P176" t="s">
        <v>65</v>
      </c>
      <c r="Q176" t="b">
        <v>1</v>
      </c>
    </row>
    <row r="177" spans="1:17">
      <c r="A177" s="12">
        <v>41816</v>
      </c>
      <c r="B177" s="10">
        <v>3</v>
      </c>
      <c r="C177" s="10">
        <v>2</v>
      </c>
      <c r="D177" s="10">
        <v>11.3</v>
      </c>
      <c r="E177" s="10">
        <v>19.3</v>
      </c>
      <c r="F177" s="10">
        <v>14</v>
      </c>
      <c r="G177" s="10">
        <v>0</v>
      </c>
      <c r="H177" s="10">
        <v>0</v>
      </c>
      <c r="I177" s="10">
        <v>1</v>
      </c>
      <c r="J177" s="10">
        <f>SUM(B177:I177)</f>
        <v>50.6</v>
      </c>
      <c r="K177">
        <v>2014</v>
      </c>
      <c r="L177">
        <v>6</v>
      </c>
      <c r="M177" s="11">
        <v>41791</v>
      </c>
      <c r="N177" t="s">
        <v>2178</v>
      </c>
      <c r="O177">
        <v>4</v>
      </c>
      <c r="P177" t="s">
        <v>53</v>
      </c>
      <c r="Q177" t="b">
        <v>1</v>
      </c>
    </row>
    <row r="178" spans="1:17">
      <c r="A178" s="12">
        <v>41817</v>
      </c>
      <c r="B178" s="10">
        <v>4.34</v>
      </c>
      <c r="C178" s="10">
        <v>1</v>
      </c>
      <c r="D178" s="10">
        <v>6</v>
      </c>
      <c r="E178" s="10">
        <v>32.3</v>
      </c>
      <c r="F178" s="10">
        <v>13</v>
      </c>
      <c r="G178" s="10">
        <v>0</v>
      </c>
      <c r="H178" s="10">
        <v>1</v>
      </c>
      <c r="I178" s="10">
        <v>3</v>
      </c>
      <c r="J178" s="10">
        <f>SUM(B178:I178)</f>
        <v>60.64</v>
      </c>
      <c r="K178">
        <v>2014</v>
      </c>
      <c r="L178">
        <v>6</v>
      </c>
      <c r="M178" s="11">
        <v>41791</v>
      </c>
      <c r="N178" t="s">
        <v>2178</v>
      </c>
      <c r="O178">
        <v>5</v>
      </c>
      <c r="P178" t="s">
        <v>55</v>
      </c>
      <c r="Q178" t="b">
        <v>1</v>
      </c>
    </row>
    <row r="179" spans="1:17">
      <c r="A179" s="12">
        <v>41818</v>
      </c>
      <c r="B179" s="10">
        <v>0.34</v>
      </c>
      <c r="C179" s="10">
        <v>5.34</v>
      </c>
      <c r="D179" s="10">
        <v>5</v>
      </c>
      <c r="E179" s="10">
        <v>20</v>
      </c>
      <c r="F179" s="10">
        <v>14</v>
      </c>
      <c r="G179" s="10">
        <v>1</v>
      </c>
      <c r="H179" s="10">
        <v>1</v>
      </c>
      <c r="I179" s="10">
        <v>5</v>
      </c>
      <c r="J179" s="10">
        <f>SUM(B179:I179)</f>
        <v>51.68</v>
      </c>
      <c r="K179">
        <v>2014</v>
      </c>
      <c r="L179">
        <v>6</v>
      </c>
      <c r="M179" s="11">
        <v>41791</v>
      </c>
      <c r="N179" t="s">
        <v>2178</v>
      </c>
      <c r="O179">
        <v>6</v>
      </c>
      <c r="P179" t="s">
        <v>57</v>
      </c>
      <c r="Q179" t="b">
        <v>1</v>
      </c>
    </row>
    <row r="180" spans="1:17">
      <c r="A180" s="12">
        <v>41819</v>
      </c>
      <c r="B180" s="10">
        <v>0</v>
      </c>
      <c r="C180" s="10">
        <v>1</v>
      </c>
      <c r="D180" s="10">
        <v>1</v>
      </c>
      <c r="E180" s="10">
        <v>10</v>
      </c>
      <c r="F180" s="10">
        <v>1</v>
      </c>
      <c r="G180" s="10">
        <v>0</v>
      </c>
      <c r="H180" s="10">
        <v>0</v>
      </c>
      <c r="I180" s="10">
        <v>1</v>
      </c>
      <c r="J180" s="10">
        <f>SUM(B180:I180)</f>
        <v>14.0</v>
      </c>
      <c r="K180">
        <v>2014</v>
      </c>
      <c r="L180">
        <v>6</v>
      </c>
      <c r="M180" s="11">
        <v>41791</v>
      </c>
      <c r="N180" t="s">
        <v>2178</v>
      </c>
      <c r="O180">
        <v>7</v>
      </c>
      <c r="P180" t="s">
        <v>59</v>
      </c>
      <c r="Q180" t="b">
        <v>1</v>
      </c>
    </row>
    <row r="181" spans="1:17">
      <c r="A181" s="12">
        <v>41820</v>
      </c>
      <c r="B181" s="10">
        <v>6</v>
      </c>
      <c r="C181" s="10">
        <v>5.34</v>
      </c>
      <c r="D181" s="10">
        <v>1</v>
      </c>
      <c r="E181" s="10">
        <v>25</v>
      </c>
      <c r="F181" s="10">
        <v>6</v>
      </c>
      <c r="G181" s="10">
        <v>0</v>
      </c>
      <c r="H181" s="10">
        <v>0</v>
      </c>
      <c r="I181" s="10">
        <v>0</v>
      </c>
      <c r="J181" s="10">
        <f>SUM(B181:I181)</f>
        <v>43.34</v>
      </c>
      <c r="K181">
        <v>2014</v>
      </c>
      <c r="L181">
        <v>6</v>
      </c>
      <c r="M181" s="11">
        <v>41791</v>
      </c>
      <c r="N181" t="s">
        <v>2178</v>
      </c>
      <c r="O181">
        <v>1</v>
      </c>
      <c r="P181" t="s">
        <v>61</v>
      </c>
      <c r="Q181" t="b">
        <v>1</v>
      </c>
    </row>
    <row r="182" spans="1:17">
      <c r="A182" s="12">
        <v>41821</v>
      </c>
      <c r="B182" s="10">
        <v>4.34</v>
      </c>
      <c r="C182" s="10">
        <v>2.34</v>
      </c>
      <c r="D182" s="10">
        <v>2</v>
      </c>
      <c r="E182" s="10">
        <v>19</v>
      </c>
      <c r="F182" s="10">
        <v>10</v>
      </c>
      <c r="G182" s="10">
        <v>0</v>
      </c>
      <c r="H182" s="10">
        <v>0</v>
      </c>
      <c r="I182" s="10">
        <v>2</v>
      </c>
      <c r="J182" s="10">
        <f>SUM(B182:I182)</f>
        <v>39.68</v>
      </c>
      <c r="K182">
        <v>2014</v>
      </c>
      <c r="L182">
        <v>7</v>
      </c>
      <c r="M182" s="11">
        <v>41821</v>
      </c>
      <c r="N182" t="s">
        <v>2179</v>
      </c>
      <c r="O182">
        <v>2</v>
      </c>
      <c r="P182" t="s">
        <v>63</v>
      </c>
      <c r="Q182" t="b">
        <v>1</v>
      </c>
    </row>
    <row r="183" spans="1:17">
      <c r="A183" s="12">
        <v>41822</v>
      </c>
      <c r="B183" s="10">
        <v>3</v>
      </c>
      <c r="C183" s="10">
        <v>0.34</v>
      </c>
      <c r="D183" s="10">
        <v>4</v>
      </c>
      <c r="E183" s="10">
        <v>21.6</v>
      </c>
      <c r="F183" s="10">
        <v>7</v>
      </c>
      <c r="G183" s="10">
        <v>0</v>
      </c>
      <c r="H183" s="10">
        <v>6</v>
      </c>
      <c r="I183" s="10">
        <v>3</v>
      </c>
      <c r="J183" s="10">
        <f>SUM(B183:I183)</f>
        <v>44.94</v>
      </c>
      <c r="K183">
        <v>2014</v>
      </c>
      <c r="L183">
        <v>7</v>
      </c>
      <c r="M183" s="11">
        <v>41821</v>
      </c>
      <c r="N183" t="s">
        <v>2179</v>
      </c>
      <c r="O183">
        <v>3</v>
      </c>
      <c r="P183" t="s">
        <v>65</v>
      </c>
      <c r="Q183" t="b">
        <v>1</v>
      </c>
    </row>
    <row r="184" spans="1:17">
      <c r="A184" s="12">
        <v>41823</v>
      </c>
      <c r="B184" s="10">
        <v>2.33</v>
      </c>
      <c r="C184" s="10">
        <v>5.68</v>
      </c>
      <c r="D184" s="10">
        <v>7</v>
      </c>
      <c r="E184" s="10">
        <v>12.5</v>
      </c>
      <c r="F184" s="10">
        <v>7</v>
      </c>
      <c r="G184" s="10">
        <v>2</v>
      </c>
      <c r="H184" s="10">
        <v>0</v>
      </c>
      <c r="I184" s="10">
        <v>2</v>
      </c>
      <c r="J184" s="10">
        <f>SUM(B184:I184)</f>
        <v>38.51</v>
      </c>
      <c r="K184">
        <v>2014</v>
      </c>
      <c r="L184">
        <v>7</v>
      </c>
      <c r="M184" s="11">
        <v>41821</v>
      </c>
      <c r="N184" t="s">
        <v>2179</v>
      </c>
      <c r="O184">
        <v>4</v>
      </c>
      <c r="P184" t="s">
        <v>53</v>
      </c>
      <c r="Q184" t="b">
        <v>1</v>
      </c>
    </row>
    <row r="185" spans="1:17">
      <c r="A185" s="12">
        <v>41824</v>
      </c>
      <c r="B185" s="10">
        <v>4.34</v>
      </c>
      <c r="C185" s="10">
        <v>4.7</v>
      </c>
      <c r="D185" s="10">
        <v>7</v>
      </c>
      <c r="E185" s="10">
        <v>10.5</v>
      </c>
      <c r="F185" s="10">
        <v>14</v>
      </c>
      <c r="G185" s="10">
        <v>0</v>
      </c>
      <c r="H185" s="10">
        <v>2</v>
      </c>
      <c r="I185" s="10">
        <v>3</v>
      </c>
      <c r="J185" s="10">
        <f>SUM(B185:I185)</f>
        <v>45.54</v>
      </c>
      <c r="K185">
        <v>2014</v>
      </c>
      <c r="L185">
        <v>7</v>
      </c>
      <c r="M185" s="11">
        <v>41821</v>
      </c>
      <c r="N185" t="s">
        <v>2179</v>
      </c>
      <c r="O185">
        <v>5</v>
      </c>
      <c r="P185" t="s">
        <v>55</v>
      </c>
      <c r="Q185" t="b">
        <v>1</v>
      </c>
    </row>
    <row r="186" spans="1:17">
      <c r="A186" s="12">
        <v>41825</v>
      </c>
      <c r="B186" s="10">
        <v>3.34</v>
      </c>
      <c r="C186" s="10">
        <v>4.34</v>
      </c>
      <c r="D186" s="10">
        <v>6</v>
      </c>
      <c r="E186" s="10">
        <v>37</v>
      </c>
      <c r="F186" s="10">
        <v>11</v>
      </c>
      <c r="G186" s="10">
        <v>1</v>
      </c>
      <c r="H186" s="10">
        <v>0</v>
      </c>
      <c r="I186" s="10">
        <v>0</v>
      </c>
      <c r="J186" s="10">
        <f>SUM(B186:I186)</f>
        <v>62.68</v>
      </c>
      <c r="K186">
        <v>2014</v>
      </c>
      <c r="L186">
        <v>7</v>
      </c>
      <c r="M186" s="11">
        <v>41821</v>
      </c>
      <c r="N186" t="s">
        <v>2179</v>
      </c>
      <c r="O186">
        <v>6</v>
      </c>
      <c r="P186" t="s">
        <v>57</v>
      </c>
      <c r="Q186" t="b">
        <v>1</v>
      </c>
    </row>
    <row r="187" spans="1:17">
      <c r="A187" s="12">
        <v>41826</v>
      </c>
      <c r="B187" s="10">
        <v>4</v>
      </c>
      <c r="C187" s="10">
        <v>2</v>
      </c>
      <c r="D187" s="10">
        <v>3</v>
      </c>
      <c r="E187" s="10">
        <v>10.2</v>
      </c>
      <c r="F187" s="10">
        <v>9</v>
      </c>
      <c r="G187" s="10">
        <v>0</v>
      </c>
      <c r="H187" s="10">
        <v>0</v>
      </c>
      <c r="I187" s="10">
        <v>0</v>
      </c>
      <c r="J187" s="10">
        <f>SUM(B187:I187)</f>
        <v>28.2</v>
      </c>
      <c r="K187">
        <v>2014</v>
      </c>
      <c r="L187">
        <v>7</v>
      </c>
      <c r="M187" s="11">
        <v>41821</v>
      </c>
      <c r="N187" t="s">
        <v>2179</v>
      </c>
      <c r="O187">
        <v>7</v>
      </c>
      <c r="P187" t="s">
        <v>59</v>
      </c>
      <c r="Q187" t="b">
        <v>1</v>
      </c>
    </row>
    <row r="188" spans="1:17">
      <c r="A188" s="12">
        <v>41827</v>
      </c>
      <c r="B188" s="10">
        <v>2</v>
      </c>
      <c r="C188" s="10">
        <v>3.34</v>
      </c>
      <c r="D188" s="10">
        <v>4</v>
      </c>
      <c r="E188" s="10">
        <v>13</v>
      </c>
      <c r="F188" s="10">
        <v>11</v>
      </c>
      <c r="G188" s="10">
        <v>0</v>
      </c>
      <c r="H188" s="10">
        <v>0</v>
      </c>
      <c r="I188" s="10">
        <v>4</v>
      </c>
      <c r="J188" s="10">
        <f>SUM(B188:I188)</f>
        <v>37.34</v>
      </c>
      <c r="K188">
        <v>2014</v>
      </c>
      <c r="L188">
        <v>7</v>
      </c>
      <c r="M188" s="11">
        <v>41821</v>
      </c>
      <c r="N188" t="s">
        <v>2179</v>
      </c>
      <c r="O188">
        <v>1</v>
      </c>
      <c r="P188" t="s">
        <v>61</v>
      </c>
      <c r="Q188" t="b">
        <v>1</v>
      </c>
    </row>
    <row r="189" spans="1:17">
      <c r="A189" s="12">
        <v>41828</v>
      </c>
      <c r="B189" s="10">
        <v>6.34</v>
      </c>
      <c r="C189" s="10">
        <v>2.34</v>
      </c>
      <c r="D189" s="10">
        <v>3</v>
      </c>
      <c r="E189" s="10">
        <v>14</v>
      </c>
      <c r="F189" s="10">
        <v>3</v>
      </c>
      <c r="G189" s="10">
        <v>0</v>
      </c>
      <c r="H189" s="10">
        <v>5</v>
      </c>
      <c r="I189" s="10">
        <v>1</v>
      </c>
      <c r="J189" s="10">
        <f>SUM(B189:I189)</f>
        <v>34.68</v>
      </c>
      <c r="K189">
        <v>2014</v>
      </c>
      <c r="L189">
        <v>7</v>
      </c>
      <c r="M189" s="11">
        <v>41821</v>
      </c>
      <c r="N189" t="s">
        <v>2179</v>
      </c>
      <c r="O189">
        <v>2</v>
      </c>
      <c r="P189" t="s">
        <v>63</v>
      </c>
      <c r="Q189" t="b">
        <v>1</v>
      </c>
    </row>
    <row r="190" spans="1:17">
      <c r="A190" s="12">
        <v>41829</v>
      </c>
      <c r="B190" s="10">
        <v>3</v>
      </c>
      <c r="C190" s="10">
        <v>6.34</v>
      </c>
      <c r="D190" s="10">
        <v>5</v>
      </c>
      <c r="E190" s="10">
        <v>13</v>
      </c>
      <c r="F190" s="10">
        <v>6</v>
      </c>
      <c r="G190" s="10">
        <v>4</v>
      </c>
      <c r="H190" s="10">
        <v>0</v>
      </c>
      <c r="I190" s="10">
        <v>2.2</v>
      </c>
      <c r="J190" s="10">
        <f>SUM(B190:I190)</f>
        <v>39.540000000000006</v>
      </c>
      <c r="K190">
        <v>2014</v>
      </c>
      <c r="L190">
        <v>7</v>
      </c>
      <c r="M190" s="11">
        <v>41821</v>
      </c>
      <c r="N190" t="s">
        <v>2179</v>
      </c>
      <c r="O190">
        <v>3</v>
      </c>
      <c r="P190" t="s">
        <v>65</v>
      </c>
      <c r="Q190" t="b">
        <v>1</v>
      </c>
    </row>
    <row r="191" spans="1:17">
      <c r="A191" s="12">
        <v>41830</v>
      </c>
      <c r="B191" s="10">
        <v>2.33</v>
      </c>
      <c r="C191" s="10">
        <v>4.66</v>
      </c>
      <c r="D191" s="10">
        <v>8</v>
      </c>
      <c r="E191" s="10">
        <v>21.2</v>
      </c>
      <c r="F191" s="10">
        <v>32</v>
      </c>
      <c r="G191" s="10">
        <v>0</v>
      </c>
      <c r="H191" s="10">
        <v>5</v>
      </c>
      <c r="I191" s="10">
        <v>4</v>
      </c>
      <c r="J191" s="10">
        <f>SUM(B191:I191)</f>
        <v>77.19</v>
      </c>
      <c r="K191">
        <v>2014</v>
      </c>
      <c r="L191">
        <v>7</v>
      </c>
      <c r="M191" s="11">
        <v>41821</v>
      </c>
      <c r="N191" t="s">
        <v>2179</v>
      </c>
      <c r="O191">
        <v>4</v>
      </c>
      <c r="P191" t="s">
        <v>53</v>
      </c>
      <c r="Q191" t="b">
        <v>1</v>
      </c>
    </row>
    <row r="192" spans="1:17">
      <c r="A192" s="12">
        <v>41831</v>
      </c>
      <c r="B192" s="10">
        <v>2</v>
      </c>
      <c r="C192" s="10">
        <v>1.68</v>
      </c>
      <c r="D192" s="10">
        <v>3.2</v>
      </c>
      <c r="E192" s="10">
        <v>16.5</v>
      </c>
      <c r="F192" s="10">
        <v>17</v>
      </c>
      <c r="G192" s="10">
        <v>0</v>
      </c>
      <c r="H192" s="10">
        <v>5</v>
      </c>
      <c r="I192" s="10">
        <v>1</v>
      </c>
      <c r="J192" s="10">
        <f>SUM(B192:I192)</f>
        <v>46.379999999999995</v>
      </c>
      <c r="K192">
        <v>2014</v>
      </c>
      <c r="L192">
        <v>7</v>
      </c>
      <c r="M192" s="11">
        <v>41821</v>
      </c>
      <c r="N192" t="s">
        <v>2179</v>
      </c>
      <c r="O192">
        <v>5</v>
      </c>
      <c r="P192" t="s">
        <v>55</v>
      </c>
      <c r="Q192" t="b">
        <v>1</v>
      </c>
    </row>
    <row r="193" spans="1:17">
      <c r="A193" s="12">
        <v>41832</v>
      </c>
      <c r="B193" s="10">
        <v>8.34</v>
      </c>
      <c r="C193" s="10">
        <v>2.68</v>
      </c>
      <c r="D193" s="10">
        <v>10.5</v>
      </c>
      <c r="E193" s="10">
        <v>28.1</v>
      </c>
      <c r="F193" s="10">
        <v>12</v>
      </c>
      <c r="G193" s="10">
        <v>3</v>
      </c>
      <c r="H193" s="10">
        <v>12</v>
      </c>
      <c r="I193" s="10">
        <v>4</v>
      </c>
      <c r="J193" s="10">
        <f>SUM(B193:I193)</f>
        <v>80.62</v>
      </c>
      <c r="K193">
        <v>2014</v>
      </c>
      <c r="L193">
        <v>7</v>
      </c>
      <c r="M193" s="11">
        <v>41821</v>
      </c>
      <c r="N193" t="s">
        <v>2179</v>
      </c>
      <c r="O193">
        <v>6</v>
      </c>
      <c r="P193" t="s">
        <v>57</v>
      </c>
      <c r="Q193" t="b">
        <v>1</v>
      </c>
    </row>
    <row r="194" spans="1:17">
      <c r="A194" s="12">
        <v>41833</v>
      </c>
      <c r="B194" s="10">
        <v>2</v>
      </c>
      <c r="C194" s="10">
        <v>1.34</v>
      </c>
      <c r="D194" s="10">
        <v>1</v>
      </c>
      <c r="E194" s="10">
        <v>17</v>
      </c>
      <c r="F194" s="10">
        <v>2</v>
      </c>
      <c r="G194" s="10">
        <v>0</v>
      </c>
      <c r="H194" s="10">
        <v>0</v>
      </c>
      <c r="I194" s="10">
        <v>0</v>
      </c>
      <c r="J194" s="10">
        <f>SUM(B194:I194)</f>
        <v>23.34</v>
      </c>
      <c r="K194">
        <v>2014</v>
      </c>
      <c r="L194">
        <v>7</v>
      </c>
      <c r="M194" s="11">
        <v>41821</v>
      </c>
      <c r="N194" t="s">
        <v>2179</v>
      </c>
      <c r="O194">
        <v>7</v>
      </c>
      <c r="P194" t="s">
        <v>59</v>
      </c>
      <c r="Q194" t="b">
        <v>1</v>
      </c>
    </row>
    <row r="195" spans="1:17">
      <c r="A195" s="12">
        <v>41834</v>
      </c>
      <c r="B195" s="10">
        <v>5</v>
      </c>
      <c r="C195" s="10">
        <v>3.04</v>
      </c>
      <c r="D195" s="10">
        <v>3</v>
      </c>
      <c r="E195" s="10">
        <v>11.8</v>
      </c>
      <c r="F195" s="10">
        <v>19</v>
      </c>
      <c r="G195" s="10">
        <v>1</v>
      </c>
      <c r="H195" s="10">
        <v>2</v>
      </c>
      <c r="I195" s="10">
        <v>2</v>
      </c>
      <c r="J195" s="10">
        <f>SUM(B195:I195)</f>
        <v>46.84</v>
      </c>
      <c r="K195">
        <v>2014</v>
      </c>
      <c r="L195">
        <v>7</v>
      </c>
      <c r="M195" s="11">
        <v>41821</v>
      </c>
      <c r="N195" t="s">
        <v>2179</v>
      </c>
      <c r="O195">
        <v>1</v>
      </c>
      <c r="P195" t="s">
        <v>61</v>
      </c>
      <c r="Q195" t="b">
        <v>1</v>
      </c>
    </row>
    <row r="196" spans="1:17">
      <c r="A196" s="12">
        <v>41835</v>
      </c>
      <c r="B196" s="10">
        <v>3.34</v>
      </c>
      <c r="C196" s="10">
        <v>1.68</v>
      </c>
      <c r="D196" s="10">
        <v>1</v>
      </c>
      <c r="E196" s="10">
        <v>15.6</v>
      </c>
      <c r="F196" s="10">
        <v>18</v>
      </c>
      <c r="G196" s="10">
        <v>0</v>
      </c>
      <c r="H196" s="10">
        <v>0</v>
      </c>
      <c r="I196" s="10">
        <v>1.3</v>
      </c>
      <c r="J196" s="10">
        <f>SUM(B196:I196)</f>
        <v>40.919999999999995</v>
      </c>
      <c r="K196">
        <v>2014</v>
      </c>
      <c r="L196">
        <v>7</v>
      </c>
      <c r="M196" s="11">
        <v>41821</v>
      </c>
      <c r="N196" t="s">
        <v>2179</v>
      </c>
      <c r="O196">
        <v>2</v>
      </c>
      <c r="P196" t="s">
        <v>63</v>
      </c>
      <c r="Q196" t="b">
        <v>1</v>
      </c>
    </row>
    <row r="197" spans="1:17">
      <c r="A197" s="12">
        <v>41836</v>
      </c>
      <c r="B197" s="10">
        <v>4</v>
      </c>
      <c r="C197" s="10">
        <v>3.34</v>
      </c>
      <c r="D197" s="10">
        <v>3</v>
      </c>
      <c r="E197" s="10">
        <v>13</v>
      </c>
      <c r="F197" s="10">
        <v>12</v>
      </c>
      <c r="G197" s="10">
        <v>1</v>
      </c>
      <c r="H197" s="10">
        <v>4</v>
      </c>
      <c r="I197" s="10">
        <v>0</v>
      </c>
      <c r="J197" s="10">
        <f>SUM(B197:I197)</f>
        <v>40.34</v>
      </c>
      <c r="K197">
        <v>2014</v>
      </c>
      <c r="L197">
        <v>7</v>
      </c>
      <c r="M197" s="11">
        <v>41821</v>
      </c>
      <c r="N197" t="s">
        <v>2179</v>
      </c>
      <c r="O197">
        <v>3</v>
      </c>
      <c r="P197" t="s">
        <v>65</v>
      </c>
      <c r="Q197" t="b">
        <v>1</v>
      </c>
    </row>
    <row r="198" spans="1:17">
      <c r="A198" s="12">
        <v>41837</v>
      </c>
      <c r="B198" s="10">
        <v>2</v>
      </c>
      <c r="C198" s="10">
        <v>3</v>
      </c>
      <c r="D198" s="10">
        <v>5</v>
      </c>
      <c r="E198" s="10">
        <v>25</v>
      </c>
      <c r="F198" s="10">
        <v>14</v>
      </c>
      <c r="G198" s="10">
        <v>1</v>
      </c>
      <c r="H198" s="10">
        <v>0</v>
      </c>
      <c r="I198" s="10">
        <v>1</v>
      </c>
      <c r="J198" s="10">
        <f>SUM(B198:I198)</f>
        <v>51.0</v>
      </c>
      <c r="K198">
        <v>2014</v>
      </c>
      <c r="L198">
        <v>7</v>
      </c>
      <c r="M198" s="11">
        <v>41821</v>
      </c>
      <c r="N198" t="s">
        <v>2179</v>
      </c>
      <c r="O198">
        <v>4</v>
      </c>
      <c r="P198" t="s">
        <v>53</v>
      </c>
      <c r="Q198" t="b">
        <v>1</v>
      </c>
    </row>
    <row r="199" spans="1:17">
      <c r="A199" s="12">
        <v>41838</v>
      </c>
      <c r="B199" s="10">
        <v>9</v>
      </c>
      <c r="C199" s="10">
        <v>2.34</v>
      </c>
      <c r="D199" s="10">
        <v>1.5</v>
      </c>
      <c r="E199" s="10">
        <v>14.2</v>
      </c>
      <c r="F199" s="10">
        <v>6</v>
      </c>
      <c r="G199" s="10">
        <v>3</v>
      </c>
      <c r="H199" s="10">
        <v>0</v>
      </c>
      <c r="I199" s="10">
        <v>4</v>
      </c>
      <c r="J199" s="10">
        <f>SUM(B199:I199)</f>
        <v>40.04</v>
      </c>
      <c r="K199">
        <v>2014</v>
      </c>
      <c r="L199">
        <v>7</v>
      </c>
      <c r="M199" s="11">
        <v>41821</v>
      </c>
      <c r="N199" t="s">
        <v>2179</v>
      </c>
      <c r="O199">
        <v>5</v>
      </c>
      <c r="P199" t="s">
        <v>55</v>
      </c>
      <c r="Q199" t="b">
        <v>1</v>
      </c>
    </row>
    <row r="200" spans="1:17">
      <c r="A200" s="12">
        <v>41839</v>
      </c>
      <c r="B200" s="10">
        <v>7.33</v>
      </c>
      <c r="C200" s="10">
        <v>7.02</v>
      </c>
      <c r="D200" s="10">
        <v>6</v>
      </c>
      <c r="E200" s="10">
        <v>8.4</v>
      </c>
      <c r="F200" s="10">
        <v>10</v>
      </c>
      <c r="G200" s="10">
        <v>0</v>
      </c>
      <c r="H200" s="10">
        <v>6</v>
      </c>
      <c r="I200" s="10">
        <v>6</v>
      </c>
      <c r="J200" s="10">
        <f>SUM(B200:I200)</f>
        <v>50.75</v>
      </c>
      <c r="K200">
        <v>2014</v>
      </c>
      <c r="L200">
        <v>7</v>
      </c>
      <c r="M200" s="11">
        <v>41821</v>
      </c>
      <c r="N200" t="s">
        <v>2179</v>
      </c>
      <c r="O200">
        <v>6</v>
      </c>
      <c r="P200" t="s">
        <v>57</v>
      </c>
      <c r="Q200" t="b">
        <v>1</v>
      </c>
    </row>
    <row r="201" spans="1:17">
      <c r="A201" s="12">
        <v>41840</v>
      </c>
      <c r="B201" s="10">
        <v>3</v>
      </c>
      <c r="C201" s="10">
        <v>0.34</v>
      </c>
      <c r="D201" s="10">
        <v>1</v>
      </c>
      <c r="E201" s="10">
        <v>8</v>
      </c>
      <c r="F201" s="10">
        <v>5</v>
      </c>
      <c r="G201" s="10">
        <v>0</v>
      </c>
      <c r="H201" s="10">
        <v>0</v>
      </c>
      <c r="I201" s="10">
        <v>0.1</v>
      </c>
      <c r="J201" s="10">
        <f>SUM(B201:I201)</f>
        <v>17.44</v>
      </c>
      <c r="K201">
        <v>2014</v>
      </c>
      <c r="L201">
        <v>7</v>
      </c>
      <c r="M201" s="11">
        <v>41821</v>
      </c>
      <c r="N201" t="s">
        <v>2179</v>
      </c>
      <c r="O201">
        <v>7</v>
      </c>
      <c r="P201" t="s">
        <v>59</v>
      </c>
      <c r="Q201" t="b">
        <v>1</v>
      </c>
    </row>
    <row r="202" spans="1:17">
      <c r="A202" s="12">
        <v>41841</v>
      </c>
      <c r="B202" s="10">
        <v>3</v>
      </c>
      <c r="C202" s="10">
        <v>4.68</v>
      </c>
      <c r="D202" s="10">
        <v>8</v>
      </c>
      <c r="E202" s="10">
        <v>20</v>
      </c>
      <c r="F202" s="10">
        <v>13</v>
      </c>
      <c r="G202" s="10">
        <v>1</v>
      </c>
      <c r="H202" s="10">
        <v>0</v>
      </c>
      <c r="I202" s="10">
        <v>2</v>
      </c>
      <c r="J202" s="10">
        <f>SUM(B202:I202)</f>
        <v>51.68</v>
      </c>
      <c r="K202">
        <v>2014</v>
      </c>
      <c r="L202">
        <v>7</v>
      </c>
      <c r="M202" s="11">
        <v>41821</v>
      </c>
      <c r="N202" t="s">
        <v>2179</v>
      </c>
      <c r="O202">
        <v>1</v>
      </c>
      <c r="P202" t="s">
        <v>61</v>
      </c>
      <c r="Q202" t="b">
        <v>1</v>
      </c>
    </row>
    <row r="203" spans="1:17">
      <c r="A203" s="12">
        <v>41842</v>
      </c>
      <c r="B203" s="10">
        <v>5</v>
      </c>
      <c r="C203" s="10">
        <v>5.68</v>
      </c>
      <c r="D203" s="10">
        <v>3</v>
      </c>
      <c r="E203" s="10">
        <v>9</v>
      </c>
      <c r="F203" s="10">
        <v>7</v>
      </c>
      <c r="G203" s="10">
        <v>0</v>
      </c>
      <c r="H203" s="10">
        <v>1</v>
      </c>
      <c r="I203" s="10">
        <v>2</v>
      </c>
      <c r="J203" s="10">
        <f>SUM(B203:I203)</f>
        <v>32.68</v>
      </c>
      <c r="K203">
        <v>2014</v>
      </c>
      <c r="L203">
        <v>7</v>
      </c>
      <c r="M203" s="11">
        <v>41821</v>
      </c>
      <c r="N203" t="s">
        <v>2179</v>
      </c>
      <c r="O203">
        <v>2</v>
      </c>
      <c r="P203" t="s">
        <v>63</v>
      </c>
      <c r="Q203" t="b">
        <v>1</v>
      </c>
    </row>
    <row r="204" spans="1:17">
      <c r="A204" s="12">
        <v>41843</v>
      </c>
      <c r="B204" s="10">
        <v>2.67</v>
      </c>
      <c r="C204" s="10">
        <v>6.37</v>
      </c>
      <c r="D204" s="10">
        <v>2</v>
      </c>
      <c r="E204" s="10">
        <v>8</v>
      </c>
      <c r="F204" s="10">
        <v>19</v>
      </c>
      <c r="G204" s="10">
        <v>0</v>
      </c>
      <c r="H204" s="10">
        <v>0</v>
      </c>
      <c r="I204" s="10">
        <v>3</v>
      </c>
      <c r="J204" s="10">
        <f>SUM(B204:I204)</f>
        <v>41.04</v>
      </c>
      <c r="K204">
        <v>2014</v>
      </c>
      <c r="L204">
        <v>7</v>
      </c>
      <c r="M204" s="11">
        <v>41821</v>
      </c>
      <c r="N204" t="s">
        <v>2179</v>
      </c>
      <c r="O204">
        <v>3</v>
      </c>
      <c r="P204" t="s">
        <v>65</v>
      </c>
      <c r="Q204" t="b">
        <v>1</v>
      </c>
    </row>
    <row r="205" spans="1:17">
      <c r="A205" s="12">
        <v>41844</v>
      </c>
      <c r="B205" s="10">
        <v>5.34</v>
      </c>
      <c r="C205" s="10">
        <v>2</v>
      </c>
      <c r="D205" s="10">
        <v>4.4</v>
      </c>
      <c r="E205" s="10">
        <v>23</v>
      </c>
      <c r="F205" s="10">
        <v>5</v>
      </c>
      <c r="G205" s="10">
        <v>0</v>
      </c>
      <c r="H205" s="10">
        <v>0</v>
      </c>
      <c r="I205" s="10">
        <v>2</v>
      </c>
      <c r="J205" s="10">
        <f>SUM(B205:I205)</f>
        <v>41.74</v>
      </c>
      <c r="K205">
        <v>2014</v>
      </c>
      <c r="L205">
        <v>7</v>
      </c>
      <c r="M205" s="11">
        <v>41821</v>
      </c>
      <c r="N205" t="s">
        <v>2179</v>
      </c>
      <c r="O205">
        <v>4</v>
      </c>
      <c r="P205" t="s">
        <v>53</v>
      </c>
      <c r="Q205" t="b">
        <v>1</v>
      </c>
    </row>
    <row r="206" spans="1:17">
      <c r="A206" s="12">
        <v>41845</v>
      </c>
      <c r="B206" s="10">
        <v>5</v>
      </c>
      <c r="C206" s="10">
        <v>2.02</v>
      </c>
      <c r="D206" s="10">
        <v>7.5</v>
      </c>
      <c r="E206" s="10">
        <v>10</v>
      </c>
      <c r="F206" s="10">
        <v>15</v>
      </c>
      <c r="G206" s="10">
        <v>1</v>
      </c>
      <c r="H206" s="10">
        <v>1</v>
      </c>
      <c r="I206" s="10">
        <v>2</v>
      </c>
      <c r="J206" s="10">
        <f>SUM(B206:I206)</f>
        <v>43.519999999999996</v>
      </c>
      <c r="K206">
        <v>2014</v>
      </c>
      <c r="L206">
        <v>7</v>
      </c>
      <c r="M206" s="11">
        <v>41821</v>
      </c>
      <c r="N206" t="s">
        <v>2179</v>
      </c>
      <c r="O206">
        <v>5</v>
      </c>
      <c r="P206" t="s">
        <v>55</v>
      </c>
      <c r="Q206" t="b">
        <v>1</v>
      </c>
    </row>
    <row r="207" spans="1:17">
      <c r="A207" s="12">
        <v>41846</v>
      </c>
      <c r="B207" s="10">
        <v>4</v>
      </c>
      <c r="C207" s="10">
        <v>6.68</v>
      </c>
      <c r="D207" s="10">
        <v>6.2</v>
      </c>
      <c r="E207" s="10">
        <v>36.2</v>
      </c>
      <c r="F207" s="10">
        <v>13</v>
      </c>
      <c r="G207" s="10">
        <v>0</v>
      </c>
      <c r="H207" s="10">
        <v>0</v>
      </c>
      <c r="I207" s="10">
        <v>4</v>
      </c>
      <c r="J207" s="10">
        <f>SUM(B207:I207)</f>
        <v>70.08</v>
      </c>
      <c r="K207">
        <v>2014</v>
      </c>
      <c r="L207">
        <v>7</v>
      </c>
      <c r="M207" s="11">
        <v>41821</v>
      </c>
      <c r="N207" t="s">
        <v>2179</v>
      </c>
      <c r="O207">
        <v>6</v>
      </c>
      <c r="P207" t="s">
        <v>57</v>
      </c>
      <c r="Q207" t="b">
        <v>1</v>
      </c>
    </row>
    <row r="208" spans="1:17">
      <c r="A208" s="12">
        <v>41847</v>
      </c>
      <c r="B208" s="10">
        <v>3</v>
      </c>
      <c r="C208" s="10">
        <v>1.34</v>
      </c>
      <c r="D208" s="10">
        <v>2</v>
      </c>
      <c r="E208" s="10">
        <v>10</v>
      </c>
      <c r="F208" s="10">
        <v>5</v>
      </c>
      <c r="G208" s="10">
        <v>0</v>
      </c>
      <c r="H208" s="10">
        <v>6</v>
      </c>
      <c r="I208" s="10">
        <v>1</v>
      </c>
      <c r="J208" s="10">
        <f>SUM(B208:I208)</f>
        <v>28.34</v>
      </c>
      <c r="K208">
        <v>2014</v>
      </c>
      <c r="L208">
        <v>7</v>
      </c>
      <c r="M208" s="11">
        <v>41821</v>
      </c>
      <c r="N208" t="s">
        <v>2179</v>
      </c>
      <c r="O208">
        <v>7</v>
      </c>
      <c r="P208" t="s">
        <v>59</v>
      </c>
      <c r="Q208" t="b">
        <v>1</v>
      </c>
    </row>
    <row r="209" spans="1:17">
      <c r="A209" s="12">
        <v>41848</v>
      </c>
      <c r="B209" s="10">
        <v>2</v>
      </c>
      <c r="C209" s="10">
        <v>1.34</v>
      </c>
      <c r="D209" s="10">
        <v>2</v>
      </c>
      <c r="E209" s="10">
        <v>9.1</v>
      </c>
      <c r="F209" s="10">
        <v>9</v>
      </c>
      <c r="G209" s="10">
        <v>0</v>
      </c>
      <c r="H209" s="10">
        <v>0</v>
      </c>
      <c r="I209" s="10">
        <v>2</v>
      </c>
      <c r="J209" s="10">
        <f>SUM(B209:I209)</f>
        <v>25.439999999999998</v>
      </c>
      <c r="K209">
        <v>2014</v>
      </c>
      <c r="L209">
        <v>7</v>
      </c>
      <c r="M209" s="11">
        <v>41821</v>
      </c>
      <c r="N209" t="s">
        <v>2179</v>
      </c>
      <c r="O209">
        <v>1</v>
      </c>
      <c r="P209" t="s">
        <v>61</v>
      </c>
      <c r="Q209" t="b">
        <v>1</v>
      </c>
    </row>
    <row r="210" spans="1:17">
      <c r="A210" s="12">
        <v>41849</v>
      </c>
      <c r="B210" s="10">
        <v>2.34</v>
      </c>
      <c r="C210" s="10">
        <v>0.68</v>
      </c>
      <c r="D210" s="10">
        <v>1</v>
      </c>
      <c r="E210" s="10">
        <v>13</v>
      </c>
      <c r="F210" s="10">
        <v>15</v>
      </c>
      <c r="G210" s="10">
        <v>3</v>
      </c>
      <c r="H210" s="10">
        <v>0</v>
      </c>
      <c r="I210" s="10">
        <v>5</v>
      </c>
      <c r="J210" s="10">
        <f>SUM(B210:I210)</f>
        <v>40.019999999999996</v>
      </c>
      <c r="K210">
        <v>2014</v>
      </c>
      <c r="L210">
        <v>7</v>
      </c>
      <c r="M210" s="11">
        <v>41821</v>
      </c>
      <c r="N210" t="s">
        <v>2179</v>
      </c>
      <c r="O210">
        <v>2</v>
      </c>
      <c r="P210" t="s">
        <v>63</v>
      </c>
      <c r="Q210" t="b">
        <v>1</v>
      </c>
    </row>
    <row r="211" spans="1:17">
      <c r="A211" s="12">
        <v>41850</v>
      </c>
      <c r="B211" s="10">
        <v>0.68</v>
      </c>
      <c r="C211" s="10">
        <v>1.34</v>
      </c>
      <c r="D211" s="10">
        <v>5</v>
      </c>
      <c r="E211" s="10">
        <v>13.5</v>
      </c>
      <c r="F211" s="10">
        <v>14</v>
      </c>
      <c r="G211" s="10">
        <v>0</v>
      </c>
      <c r="H211" s="10">
        <v>6</v>
      </c>
      <c r="I211" s="10">
        <v>4.5</v>
      </c>
      <c r="J211" s="10">
        <f>SUM(B211:I211)</f>
        <v>45.019999999999996</v>
      </c>
      <c r="K211">
        <v>2014</v>
      </c>
      <c r="L211">
        <v>7</v>
      </c>
      <c r="M211" s="11">
        <v>41821</v>
      </c>
      <c r="N211" t="s">
        <v>2179</v>
      </c>
      <c r="O211">
        <v>3</v>
      </c>
      <c r="P211" t="s">
        <v>65</v>
      </c>
      <c r="Q211" t="b">
        <v>1</v>
      </c>
    </row>
    <row r="212" spans="1:17">
      <c r="A212" s="12">
        <v>41851</v>
      </c>
      <c r="B212" s="10">
        <v>3</v>
      </c>
      <c r="C212" s="10">
        <v>0.34</v>
      </c>
      <c r="D212" s="10">
        <v>4</v>
      </c>
      <c r="E212" s="10">
        <v>10.5</v>
      </c>
      <c r="F212" s="10">
        <v>8</v>
      </c>
      <c r="G212" s="10">
        <v>0</v>
      </c>
      <c r="H212" s="10">
        <v>0</v>
      </c>
      <c r="I212" s="10">
        <v>1</v>
      </c>
      <c r="J212" s="10">
        <f>SUM(B212:I212)</f>
        <v>26.84</v>
      </c>
      <c r="K212">
        <v>2014</v>
      </c>
      <c r="L212">
        <v>7</v>
      </c>
      <c r="M212" s="11">
        <v>41821</v>
      </c>
      <c r="N212" t="s">
        <v>2179</v>
      </c>
      <c r="O212">
        <v>4</v>
      </c>
      <c r="P212" t="s">
        <v>53</v>
      </c>
      <c r="Q212" t="b">
        <v>1</v>
      </c>
    </row>
    <row r="213" spans="1:17">
      <c r="A213" s="12">
        <v>41852</v>
      </c>
      <c r="B213" s="10">
        <v>2</v>
      </c>
      <c r="C213" s="10">
        <v>1</v>
      </c>
      <c r="D213" s="10">
        <v>2.2</v>
      </c>
      <c r="E213" s="10">
        <v>14</v>
      </c>
      <c r="F213" s="10">
        <v>17</v>
      </c>
      <c r="G213" s="10">
        <v>1</v>
      </c>
      <c r="H213" s="10">
        <v>0</v>
      </c>
      <c r="I213" s="10">
        <v>1</v>
      </c>
      <c r="J213" s="10">
        <f>SUM(B213:I213)</f>
        <v>38.2</v>
      </c>
      <c r="K213">
        <v>2014</v>
      </c>
      <c r="L213">
        <v>8</v>
      </c>
      <c r="M213" s="11">
        <v>41852</v>
      </c>
      <c r="N213" t="s">
        <v>2180</v>
      </c>
      <c r="O213">
        <v>5</v>
      </c>
      <c r="P213" t="s">
        <v>55</v>
      </c>
      <c r="Q213" t="b">
        <v>1</v>
      </c>
    </row>
    <row r="214" spans="1:17">
      <c r="A214" s="12">
        <v>41853</v>
      </c>
      <c r="B214" s="10">
        <v>5</v>
      </c>
      <c r="C214" s="10">
        <v>2.01</v>
      </c>
      <c r="D214" s="10">
        <v>6</v>
      </c>
      <c r="E214" s="10">
        <v>29</v>
      </c>
      <c r="F214" s="10">
        <v>12</v>
      </c>
      <c r="G214" s="10">
        <v>0</v>
      </c>
      <c r="H214" s="10">
        <v>5</v>
      </c>
      <c r="I214" s="10">
        <v>3</v>
      </c>
      <c r="J214" s="10">
        <f>SUM(B214:I214)</f>
        <v>62.01</v>
      </c>
      <c r="K214">
        <v>2014</v>
      </c>
      <c r="L214">
        <v>8</v>
      </c>
      <c r="M214" s="11">
        <v>41852</v>
      </c>
      <c r="N214" t="s">
        <v>2180</v>
      </c>
      <c r="O214">
        <v>6</v>
      </c>
      <c r="P214" t="s">
        <v>57</v>
      </c>
      <c r="Q214" t="b">
        <v>1</v>
      </c>
    </row>
    <row r="215" spans="1:17">
      <c r="A215" s="12">
        <v>41854</v>
      </c>
      <c r="B215" s="10">
        <v>5</v>
      </c>
      <c r="C215" s="10">
        <v>1</v>
      </c>
      <c r="D215" s="10">
        <v>3</v>
      </c>
      <c r="E215" s="10">
        <v>6</v>
      </c>
      <c r="F215" s="10">
        <v>5</v>
      </c>
      <c r="G215" s="10">
        <v>5</v>
      </c>
      <c r="H215" s="10">
        <v>0</v>
      </c>
      <c r="I215" s="10">
        <v>0</v>
      </c>
      <c r="J215" s="10">
        <f>SUM(B215:I215)</f>
        <v>25.0</v>
      </c>
      <c r="K215">
        <v>2014</v>
      </c>
      <c r="L215">
        <v>8</v>
      </c>
      <c r="M215" s="11">
        <v>41852</v>
      </c>
      <c r="N215" t="s">
        <v>2180</v>
      </c>
      <c r="O215">
        <v>7</v>
      </c>
      <c r="P215" t="s">
        <v>59</v>
      </c>
      <c r="Q215" t="b">
        <v>1</v>
      </c>
    </row>
    <row r="216" spans="1:17">
      <c r="A216" s="12">
        <v>41855</v>
      </c>
      <c r="B216" s="10">
        <v>4</v>
      </c>
      <c r="C216" s="10">
        <v>5.02</v>
      </c>
      <c r="D216" s="10">
        <v>6</v>
      </c>
      <c r="E216" s="10">
        <v>21.5</v>
      </c>
      <c r="F216" s="10">
        <v>14</v>
      </c>
      <c r="G216" s="10">
        <v>0</v>
      </c>
      <c r="H216" s="10">
        <v>0</v>
      </c>
      <c r="I216" s="10">
        <v>4</v>
      </c>
      <c r="J216" s="10">
        <f>SUM(B216:I216)</f>
        <v>54.519999999999996</v>
      </c>
      <c r="K216">
        <v>2014</v>
      </c>
      <c r="L216">
        <v>8</v>
      </c>
      <c r="M216" s="11">
        <v>41852</v>
      </c>
      <c r="N216" t="s">
        <v>2180</v>
      </c>
      <c r="O216">
        <v>1</v>
      </c>
      <c r="P216" t="s">
        <v>61</v>
      </c>
      <c r="Q216" t="b">
        <v>1</v>
      </c>
    </row>
    <row r="217" spans="1:17">
      <c r="A217" s="12">
        <v>41856</v>
      </c>
      <c r="B217" s="10">
        <v>2</v>
      </c>
      <c r="C217" s="10">
        <v>1.34</v>
      </c>
      <c r="D217" s="10">
        <v>3</v>
      </c>
      <c r="E217" s="10">
        <v>17.1</v>
      </c>
      <c r="F217" s="10">
        <v>9</v>
      </c>
      <c r="G217" s="10">
        <v>0</v>
      </c>
      <c r="H217" s="10">
        <v>0</v>
      </c>
      <c r="I217" s="10">
        <v>0</v>
      </c>
      <c r="J217" s="10">
        <f>SUM(B217:I217)</f>
        <v>32.44</v>
      </c>
      <c r="K217">
        <v>2014</v>
      </c>
      <c r="L217">
        <v>8</v>
      </c>
      <c r="M217" s="11">
        <v>41852</v>
      </c>
      <c r="N217" t="s">
        <v>2180</v>
      </c>
      <c r="O217">
        <v>2</v>
      </c>
      <c r="P217" t="s">
        <v>63</v>
      </c>
      <c r="Q217" t="b">
        <v>1</v>
      </c>
    </row>
    <row r="218" spans="1:17">
      <c r="A218" s="12">
        <v>41857</v>
      </c>
      <c r="B218" s="10">
        <v>6</v>
      </c>
      <c r="C218" s="10">
        <v>5</v>
      </c>
      <c r="D218" s="10">
        <v>1.4</v>
      </c>
      <c r="E218" s="10">
        <v>17</v>
      </c>
      <c r="F218" s="10">
        <v>7</v>
      </c>
      <c r="G218" s="10">
        <v>1</v>
      </c>
      <c r="H218" s="10">
        <v>1</v>
      </c>
      <c r="I218" s="10">
        <v>1</v>
      </c>
      <c r="J218" s="10">
        <f>SUM(B218:I218)</f>
        <v>39.4</v>
      </c>
      <c r="K218">
        <v>2014</v>
      </c>
      <c r="L218">
        <v>8</v>
      </c>
      <c r="M218" s="11">
        <v>41852</v>
      </c>
      <c r="N218" t="s">
        <v>2180</v>
      </c>
      <c r="O218">
        <v>3</v>
      </c>
      <c r="P218" t="s">
        <v>65</v>
      </c>
      <c r="Q218" t="b">
        <v>1</v>
      </c>
    </row>
    <row r="219" spans="1:17">
      <c r="A219" s="12">
        <v>41858</v>
      </c>
      <c r="B219" s="10">
        <v>3.34</v>
      </c>
      <c r="C219" s="10">
        <v>2.68</v>
      </c>
      <c r="D219" s="10">
        <v>3</v>
      </c>
      <c r="E219" s="10">
        <v>33</v>
      </c>
      <c r="F219" s="10">
        <v>13</v>
      </c>
      <c r="G219" s="10">
        <v>1</v>
      </c>
      <c r="H219" s="10">
        <v>0</v>
      </c>
      <c r="I219" s="10">
        <v>2</v>
      </c>
      <c r="J219" s="10">
        <f>SUM(B219:I219)</f>
        <v>58.019999999999996</v>
      </c>
      <c r="K219">
        <v>2014</v>
      </c>
      <c r="L219">
        <v>8</v>
      </c>
      <c r="M219" s="11">
        <v>41852</v>
      </c>
      <c r="N219" t="s">
        <v>2180</v>
      </c>
      <c r="O219">
        <v>4</v>
      </c>
      <c r="P219" t="s">
        <v>53</v>
      </c>
      <c r="Q219" t="b">
        <v>1</v>
      </c>
    </row>
    <row r="220" spans="1:17">
      <c r="A220" s="12">
        <v>41859</v>
      </c>
      <c r="B220" s="10">
        <v>5.02</v>
      </c>
      <c r="C220" s="10">
        <v>4.02</v>
      </c>
      <c r="D220" s="10">
        <v>5</v>
      </c>
      <c r="E220" s="10">
        <v>13</v>
      </c>
      <c r="F220" s="10">
        <v>12</v>
      </c>
      <c r="G220" s="10">
        <v>3</v>
      </c>
      <c r="H220" s="10">
        <v>2</v>
      </c>
      <c r="I220" s="10">
        <v>2</v>
      </c>
      <c r="J220" s="10">
        <f>SUM(B220:I220)</f>
        <v>46.04</v>
      </c>
      <c r="K220">
        <v>2014</v>
      </c>
      <c r="L220">
        <v>8</v>
      </c>
      <c r="M220" s="11">
        <v>41852</v>
      </c>
      <c r="N220" t="s">
        <v>2180</v>
      </c>
      <c r="O220">
        <v>5</v>
      </c>
      <c r="P220" t="s">
        <v>55</v>
      </c>
      <c r="Q220" t="b">
        <v>1</v>
      </c>
    </row>
    <row r="221" spans="1:17">
      <c r="A221" s="12">
        <v>41860</v>
      </c>
      <c r="B221" s="10">
        <v>4</v>
      </c>
      <c r="C221" s="10">
        <v>1.34</v>
      </c>
      <c r="D221" s="10">
        <v>6</v>
      </c>
      <c r="E221" s="10">
        <v>19</v>
      </c>
      <c r="F221" s="10">
        <v>24</v>
      </c>
      <c r="G221" s="10">
        <v>3</v>
      </c>
      <c r="H221" s="10">
        <v>0</v>
      </c>
      <c r="I221" s="10">
        <v>5.9</v>
      </c>
      <c r="J221" s="10">
        <f>SUM(B221:I221)</f>
        <v>63.24</v>
      </c>
      <c r="K221">
        <v>2014</v>
      </c>
      <c r="L221">
        <v>8</v>
      </c>
      <c r="M221" s="11">
        <v>41852</v>
      </c>
      <c r="N221" t="s">
        <v>2180</v>
      </c>
      <c r="O221">
        <v>6</v>
      </c>
      <c r="P221" t="s">
        <v>57</v>
      </c>
      <c r="Q221" t="b">
        <v>1</v>
      </c>
    </row>
    <row r="222" spans="1:17">
      <c r="A222" s="12">
        <v>41861</v>
      </c>
      <c r="B222" s="10">
        <v>4</v>
      </c>
      <c r="C222" s="10">
        <v>0.34</v>
      </c>
      <c r="D222" s="10">
        <v>4</v>
      </c>
      <c r="E222" s="10">
        <v>3</v>
      </c>
      <c r="F222" s="10">
        <v>4</v>
      </c>
      <c r="G222" s="10">
        <v>0</v>
      </c>
      <c r="H222" s="10">
        <v>0</v>
      </c>
      <c r="I222" s="10">
        <v>2</v>
      </c>
      <c r="J222" s="10">
        <f>SUM(B222:I222)</f>
        <v>17.34</v>
      </c>
      <c r="K222">
        <v>2014</v>
      </c>
      <c r="L222">
        <v>8</v>
      </c>
      <c r="M222" s="11">
        <v>41852</v>
      </c>
      <c r="N222" t="s">
        <v>2180</v>
      </c>
      <c r="O222">
        <v>7</v>
      </c>
      <c r="P222" t="s">
        <v>59</v>
      </c>
      <c r="Q222" t="b">
        <v>1</v>
      </c>
    </row>
    <row r="223" spans="1:17">
      <c r="A223" s="12">
        <v>41862</v>
      </c>
      <c r="B223" s="10">
        <v>8</v>
      </c>
      <c r="C223" s="10">
        <v>5.36</v>
      </c>
      <c r="D223" s="10">
        <v>9.199999999999999</v>
      </c>
      <c r="E223" s="10">
        <v>20</v>
      </c>
      <c r="F223" s="10">
        <v>18</v>
      </c>
      <c r="G223" s="10">
        <v>0</v>
      </c>
      <c r="H223" s="10">
        <v>0</v>
      </c>
      <c r="I223" s="10">
        <v>2</v>
      </c>
      <c r="J223" s="10">
        <f>SUM(B223:I223)</f>
        <v>62.56</v>
      </c>
      <c r="K223">
        <v>2014</v>
      </c>
      <c r="L223">
        <v>8</v>
      </c>
      <c r="M223" s="11">
        <v>41852</v>
      </c>
      <c r="N223" t="s">
        <v>2180</v>
      </c>
      <c r="O223">
        <v>1</v>
      </c>
      <c r="P223" t="s">
        <v>61</v>
      </c>
      <c r="Q223" t="b">
        <v>1</v>
      </c>
    </row>
    <row r="224" spans="1:17">
      <c r="A224" s="12">
        <v>41863</v>
      </c>
      <c r="B224" s="10">
        <v>0</v>
      </c>
      <c r="C224" s="10">
        <v>1.36</v>
      </c>
      <c r="D224" s="10">
        <v>4.5</v>
      </c>
      <c r="E224" s="10">
        <v>10</v>
      </c>
      <c r="F224" s="10">
        <v>8</v>
      </c>
      <c r="G224" s="10">
        <v>1</v>
      </c>
      <c r="H224" s="10">
        <v>0</v>
      </c>
      <c r="I224" s="10">
        <v>4.6</v>
      </c>
      <c r="J224" s="10">
        <f>SUM(B224:I224)</f>
        <v>29.46</v>
      </c>
      <c r="K224">
        <v>2014</v>
      </c>
      <c r="L224">
        <v>8</v>
      </c>
      <c r="M224" s="11">
        <v>41852</v>
      </c>
      <c r="N224" t="s">
        <v>2180</v>
      </c>
      <c r="O224">
        <v>2</v>
      </c>
      <c r="P224" t="s">
        <v>63</v>
      </c>
      <c r="Q224" t="b">
        <v>1</v>
      </c>
    </row>
    <row r="225" spans="1:17">
      <c r="A225" s="12">
        <v>41864</v>
      </c>
      <c r="B225" s="10">
        <v>1.34</v>
      </c>
      <c r="C225" s="10">
        <v>3.34</v>
      </c>
      <c r="D225" s="10">
        <v>1</v>
      </c>
      <c r="E225" s="10">
        <v>20.3</v>
      </c>
      <c r="F225" s="10">
        <v>11</v>
      </c>
      <c r="G225" s="10">
        <v>0</v>
      </c>
      <c r="H225" s="10">
        <v>0</v>
      </c>
      <c r="I225" s="10">
        <v>7</v>
      </c>
      <c r="J225" s="10">
        <f>SUM(B225:I225)</f>
        <v>43.980000000000004</v>
      </c>
      <c r="K225">
        <v>2014</v>
      </c>
      <c r="L225">
        <v>8</v>
      </c>
      <c r="M225" s="11">
        <v>41852</v>
      </c>
      <c r="N225" t="s">
        <v>2180</v>
      </c>
      <c r="O225">
        <v>3</v>
      </c>
      <c r="P225" t="s">
        <v>65</v>
      </c>
      <c r="Q225" t="b">
        <v>1</v>
      </c>
    </row>
    <row r="226" spans="1:17">
      <c r="A226" s="12">
        <v>41865</v>
      </c>
      <c r="B226" s="10">
        <v>4</v>
      </c>
      <c r="C226" s="10">
        <v>2.34</v>
      </c>
      <c r="D226" s="10">
        <v>6</v>
      </c>
      <c r="E226" s="10">
        <v>14.4</v>
      </c>
      <c r="F226" s="10">
        <v>13</v>
      </c>
      <c r="G226" s="10">
        <v>0</v>
      </c>
      <c r="H226" s="10">
        <v>0</v>
      </c>
      <c r="I226" s="10">
        <v>6</v>
      </c>
      <c r="J226" s="10">
        <f>SUM(B226:I226)</f>
        <v>45.74</v>
      </c>
      <c r="K226">
        <v>2014</v>
      </c>
      <c r="L226">
        <v>8</v>
      </c>
      <c r="M226" s="11">
        <v>41852</v>
      </c>
      <c r="N226" t="s">
        <v>2180</v>
      </c>
      <c r="O226">
        <v>4</v>
      </c>
      <c r="P226" t="s">
        <v>53</v>
      </c>
      <c r="Q226" t="b">
        <v>1</v>
      </c>
    </row>
    <row r="227" spans="1:17">
      <c r="A227" s="12">
        <v>41866</v>
      </c>
      <c r="B227" s="10">
        <v>4.34</v>
      </c>
      <c r="C227" s="10">
        <v>4.02</v>
      </c>
      <c r="D227" s="10">
        <v>7</v>
      </c>
      <c r="E227" s="10">
        <v>13.2</v>
      </c>
      <c r="F227" s="10">
        <v>15</v>
      </c>
      <c r="G227" s="10">
        <v>2</v>
      </c>
      <c r="H227" s="10">
        <v>3</v>
      </c>
      <c r="I227" s="10">
        <v>2</v>
      </c>
      <c r="J227" s="10">
        <f>SUM(B227:I227)</f>
        <v>50.56</v>
      </c>
      <c r="K227">
        <v>2014</v>
      </c>
      <c r="L227">
        <v>8</v>
      </c>
      <c r="M227" s="11">
        <v>41852</v>
      </c>
      <c r="N227" t="s">
        <v>2180</v>
      </c>
      <c r="O227">
        <v>5</v>
      </c>
      <c r="P227" t="s">
        <v>55</v>
      </c>
      <c r="Q227" t="b">
        <v>1</v>
      </c>
    </row>
    <row r="228" spans="1:17">
      <c r="A228" s="12">
        <v>41867</v>
      </c>
      <c r="B228" s="10">
        <v>8</v>
      </c>
      <c r="C228" s="10">
        <v>2.43</v>
      </c>
      <c r="D228" s="10">
        <v>5</v>
      </c>
      <c r="E228" s="10">
        <v>19</v>
      </c>
      <c r="F228" s="10">
        <v>27</v>
      </c>
      <c r="G228" s="10">
        <v>2</v>
      </c>
      <c r="H228" s="10">
        <v>0</v>
      </c>
      <c r="I228" s="10">
        <v>1</v>
      </c>
      <c r="J228" s="10">
        <f>SUM(B228:I228)</f>
        <v>64.43</v>
      </c>
      <c r="K228">
        <v>2014</v>
      </c>
      <c r="L228">
        <v>8</v>
      </c>
      <c r="M228" s="11">
        <v>41852</v>
      </c>
      <c r="N228" t="s">
        <v>2180</v>
      </c>
      <c r="O228">
        <v>6</v>
      </c>
      <c r="P228" t="s">
        <v>57</v>
      </c>
      <c r="Q228" t="b">
        <v>1</v>
      </c>
    </row>
    <row r="229" spans="1:17">
      <c r="A229" s="12">
        <v>41868</v>
      </c>
      <c r="B229" s="10">
        <v>0.34</v>
      </c>
      <c r="C229" s="10">
        <v>0.68</v>
      </c>
      <c r="D229" s="10">
        <v>2</v>
      </c>
      <c r="E229" s="10">
        <v>6.5</v>
      </c>
      <c r="F229" s="10">
        <v>7</v>
      </c>
      <c r="G229" s="10">
        <v>0</v>
      </c>
      <c r="H229" s="10">
        <v>0</v>
      </c>
      <c r="I229" s="10">
        <v>1</v>
      </c>
      <c r="J229" s="10">
        <f>SUM(B229:I229)</f>
        <v>17.52</v>
      </c>
      <c r="K229">
        <v>2014</v>
      </c>
      <c r="L229">
        <v>8</v>
      </c>
      <c r="M229" s="11">
        <v>41852</v>
      </c>
      <c r="N229" t="s">
        <v>2180</v>
      </c>
      <c r="O229">
        <v>7</v>
      </c>
      <c r="P229" t="s">
        <v>59</v>
      </c>
      <c r="Q229" t="b">
        <v>1</v>
      </c>
    </row>
    <row r="230" spans="1:17">
      <c r="A230" s="12">
        <v>41869</v>
      </c>
      <c r="B230" s="10">
        <v>4.34</v>
      </c>
      <c r="C230" s="10">
        <v>6</v>
      </c>
      <c r="D230" s="10">
        <v>3.1</v>
      </c>
      <c r="E230" s="10">
        <v>16.5</v>
      </c>
      <c r="F230" s="10">
        <v>21</v>
      </c>
      <c r="G230" s="10">
        <v>3</v>
      </c>
      <c r="H230" s="10">
        <v>10</v>
      </c>
      <c r="I230" s="10">
        <v>2</v>
      </c>
      <c r="J230" s="10">
        <f>SUM(B230:I230)</f>
        <v>65.94</v>
      </c>
      <c r="K230">
        <v>2014</v>
      </c>
      <c r="L230">
        <v>8</v>
      </c>
      <c r="M230" s="11">
        <v>41852</v>
      </c>
      <c r="N230" t="s">
        <v>2180</v>
      </c>
      <c r="O230">
        <v>1</v>
      </c>
      <c r="P230" t="s">
        <v>61</v>
      </c>
      <c r="Q230" t="b">
        <v>1</v>
      </c>
    </row>
    <row r="231" spans="1:17">
      <c r="A231" s="12">
        <v>41870</v>
      </c>
      <c r="B231" s="10">
        <v>11.34</v>
      </c>
      <c r="C231" s="10">
        <v>6.35</v>
      </c>
      <c r="D231" s="10">
        <v>5</v>
      </c>
      <c r="E231" s="10">
        <v>16.1</v>
      </c>
      <c r="F231" s="10">
        <v>13</v>
      </c>
      <c r="G231" s="10">
        <v>1</v>
      </c>
      <c r="H231" s="10">
        <v>3</v>
      </c>
      <c r="I231" s="10">
        <v>1.1</v>
      </c>
      <c r="J231" s="10">
        <f>SUM(B231:I231)</f>
        <v>56.89</v>
      </c>
      <c r="K231">
        <v>2014</v>
      </c>
      <c r="L231">
        <v>8</v>
      </c>
      <c r="M231" s="11">
        <v>41852</v>
      </c>
      <c r="N231" t="s">
        <v>2180</v>
      </c>
      <c r="O231">
        <v>2</v>
      </c>
      <c r="P231" t="s">
        <v>63</v>
      </c>
      <c r="Q231" t="b">
        <v>1</v>
      </c>
    </row>
    <row r="232" spans="1:17">
      <c r="A232" s="12">
        <v>41871</v>
      </c>
      <c r="B232" s="10">
        <v>5.34</v>
      </c>
      <c r="C232" s="10">
        <v>5.34</v>
      </c>
      <c r="D232" s="10">
        <v>1.4</v>
      </c>
      <c r="E232" s="10">
        <v>9</v>
      </c>
      <c r="F232" s="10">
        <v>10</v>
      </c>
      <c r="G232" s="10">
        <v>2</v>
      </c>
      <c r="H232" s="10">
        <v>0</v>
      </c>
      <c r="I232" s="10">
        <v>1</v>
      </c>
      <c r="J232" s="10">
        <f>SUM(B232:I232)</f>
        <v>34.08</v>
      </c>
      <c r="K232">
        <v>2014</v>
      </c>
      <c r="L232">
        <v>8</v>
      </c>
      <c r="M232" s="11">
        <v>41852</v>
      </c>
      <c r="N232" t="s">
        <v>2180</v>
      </c>
      <c r="O232">
        <v>3</v>
      </c>
      <c r="P232" t="s">
        <v>65</v>
      </c>
      <c r="Q232" t="b">
        <v>1</v>
      </c>
    </row>
    <row r="233" spans="1:17">
      <c r="A233" s="12">
        <v>41872</v>
      </c>
      <c r="B233" s="10">
        <v>3</v>
      </c>
      <c r="C233" s="10">
        <v>1</v>
      </c>
      <c r="D233" s="10">
        <v>2</v>
      </c>
      <c r="E233" s="10">
        <v>18</v>
      </c>
      <c r="F233" s="10">
        <v>16</v>
      </c>
      <c r="G233" s="10">
        <v>1</v>
      </c>
      <c r="H233" s="10">
        <v>0</v>
      </c>
      <c r="I233" s="10">
        <v>2.2</v>
      </c>
      <c r="J233" s="10">
        <f>SUM(B233:I233)</f>
        <v>43.2</v>
      </c>
      <c r="K233">
        <v>2014</v>
      </c>
      <c r="L233">
        <v>8</v>
      </c>
      <c r="M233" s="11">
        <v>41852</v>
      </c>
      <c r="N233" t="s">
        <v>2180</v>
      </c>
      <c r="O233">
        <v>4</v>
      </c>
      <c r="P233" t="s">
        <v>53</v>
      </c>
      <c r="Q233" t="b">
        <v>1</v>
      </c>
    </row>
    <row r="234" spans="1:17">
      <c r="A234" s="12">
        <v>41873</v>
      </c>
      <c r="B234" s="10">
        <v>6.34</v>
      </c>
      <c r="C234" s="10">
        <v>1.34</v>
      </c>
      <c r="D234" s="10">
        <v>5</v>
      </c>
      <c r="E234" s="10">
        <v>19</v>
      </c>
      <c r="F234" s="10">
        <v>15</v>
      </c>
      <c r="G234" s="10">
        <v>0</v>
      </c>
      <c r="H234" s="10">
        <v>0</v>
      </c>
      <c r="I234" s="10">
        <v>1</v>
      </c>
      <c r="J234" s="10">
        <f>SUM(B234:I234)</f>
        <v>47.68</v>
      </c>
      <c r="K234">
        <v>2014</v>
      </c>
      <c r="L234">
        <v>8</v>
      </c>
      <c r="M234" s="11">
        <v>41852</v>
      </c>
      <c r="N234" t="s">
        <v>2180</v>
      </c>
      <c r="O234">
        <v>5</v>
      </c>
      <c r="P234" t="s">
        <v>55</v>
      </c>
      <c r="Q234" t="b">
        <v>1</v>
      </c>
    </row>
    <row r="235" spans="1:17">
      <c r="A235" s="12">
        <v>41874</v>
      </c>
      <c r="B235" s="10">
        <v>3</v>
      </c>
      <c r="C235" s="10">
        <v>3.02</v>
      </c>
      <c r="D235" s="10">
        <v>1</v>
      </c>
      <c r="E235" s="10">
        <v>25.6</v>
      </c>
      <c r="F235" s="10">
        <v>5</v>
      </c>
      <c r="G235" s="10">
        <v>0</v>
      </c>
      <c r="H235" s="10">
        <v>0</v>
      </c>
      <c r="I235" s="10">
        <v>4</v>
      </c>
      <c r="J235" s="10">
        <f>SUM(B235:I235)</f>
        <v>41.620000000000005</v>
      </c>
      <c r="K235">
        <v>2014</v>
      </c>
      <c r="L235">
        <v>8</v>
      </c>
      <c r="M235" s="11">
        <v>41852</v>
      </c>
      <c r="N235" t="s">
        <v>2180</v>
      </c>
      <c r="O235">
        <v>6</v>
      </c>
      <c r="P235" t="s">
        <v>57</v>
      </c>
      <c r="Q235" t="b">
        <v>1</v>
      </c>
    </row>
    <row r="236" spans="1:17">
      <c r="A236" s="12">
        <v>41875</v>
      </c>
      <c r="B236" s="10">
        <v>3</v>
      </c>
      <c r="C236" s="10">
        <v>2.175</v>
      </c>
      <c r="D236" s="10">
        <v>3</v>
      </c>
      <c r="E236" s="10">
        <v>7</v>
      </c>
      <c r="F236" s="10">
        <v>12</v>
      </c>
      <c r="G236" s="10">
        <v>0</v>
      </c>
      <c r="H236" s="10">
        <v>1</v>
      </c>
      <c r="I236" s="10">
        <v>0</v>
      </c>
      <c r="J236" s="10">
        <f>SUM(B236:I236)</f>
        <v>28.175</v>
      </c>
      <c r="K236">
        <v>2014</v>
      </c>
      <c r="L236">
        <v>8</v>
      </c>
      <c r="M236" s="11">
        <v>41852</v>
      </c>
      <c r="N236" t="s">
        <v>2180</v>
      </c>
      <c r="O236">
        <v>7</v>
      </c>
      <c r="P236" t="s">
        <v>59</v>
      </c>
      <c r="Q236" t="b">
        <v>1</v>
      </c>
    </row>
    <row r="237" spans="1:17">
      <c r="A237" s="12">
        <v>41876</v>
      </c>
      <c r="B237" s="10">
        <v>4.01</v>
      </c>
      <c r="C237" s="10">
        <v>3.175</v>
      </c>
      <c r="D237" s="10">
        <v>3</v>
      </c>
      <c r="E237" s="10">
        <v>21.2</v>
      </c>
      <c r="F237" s="10">
        <v>21</v>
      </c>
      <c r="G237" s="10">
        <v>0</v>
      </c>
      <c r="H237" s="10">
        <v>0</v>
      </c>
      <c r="I237" s="10">
        <v>0</v>
      </c>
      <c r="J237" s="10">
        <f>SUM(B237:I237)</f>
        <v>52.385</v>
      </c>
      <c r="K237">
        <v>2014</v>
      </c>
      <c r="L237">
        <v>8</v>
      </c>
      <c r="M237" s="11">
        <v>41852</v>
      </c>
      <c r="N237" t="s">
        <v>2180</v>
      </c>
      <c r="O237">
        <v>1</v>
      </c>
      <c r="P237" t="s">
        <v>61</v>
      </c>
      <c r="Q237" t="b">
        <v>1</v>
      </c>
    </row>
    <row r="238" spans="1:17">
      <c r="A238" s="12">
        <v>41877</v>
      </c>
      <c r="B238" s="10">
        <v>2.34</v>
      </c>
      <c r="C238" s="10">
        <v>5.34</v>
      </c>
      <c r="D238" s="10">
        <v>3</v>
      </c>
      <c r="E238" s="10">
        <v>31</v>
      </c>
      <c r="F238" s="10">
        <v>14</v>
      </c>
      <c r="G238" s="10">
        <v>1</v>
      </c>
      <c r="H238" s="10">
        <v>1</v>
      </c>
      <c r="I238" s="10">
        <v>3</v>
      </c>
      <c r="J238" s="10">
        <f>SUM(B238:I238)</f>
        <v>60.68</v>
      </c>
      <c r="K238">
        <v>2014</v>
      </c>
      <c r="L238">
        <v>8</v>
      </c>
      <c r="M238" s="11">
        <v>41852</v>
      </c>
      <c r="N238" t="s">
        <v>2180</v>
      </c>
      <c r="O238">
        <v>2</v>
      </c>
      <c r="P238" t="s">
        <v>63</v>
      </c>
      <c r="Q238" t="b">
        <v>1</v>
      </c>
    </row>
    <row r="239" spans="1:17">
      <c r="A239" s="12">
        <v>41878</v>
      </c>
      <c r="B239" s="10">
        <v>3.34</v>
      </c>
      <c r="C239" s="10">
        <v>8.02</v>
      </c>
      <c r="D239" s="10">
        <v>4</v>
      </c>
      <c r="E239" s="10">
        <v>21</v>
      </c>
      <c r="F239" s="10">
        <v>14</v>
      </c>
      <c r="G239" s="10">
        <v>0</v>
      </c>
      <c r="H239" s="10">
        <v>0</v>
      </c>
      <c r="I239" s="10">
        <v>3</v>
      </c>
      <c r="J239" s="10">
        <f>SUM(B239:I239)</f>
        <v>53.36</v>
      </c>
      <c r="K239">
        <v>2014</v>
      </c>
      <c r="L239">
        <v>8</v>
      </c>
      <c r="M239" s="11">
        <v>41852</v>
      </c>
      <c r="N239" t="s">
        <v>2180</v>
      </c>
      <c r="O239">
        <v>3</v>
      </c>
      <c r="P239" t="s">
        <v>65</v>
      </c>
      <c r="Q239" t="b">
        <v>1</v>
      </c>
    </row>
    <row r="240" spans="1:17">
      <c r="A240" s="12">
        <v>41879</v>
      </c>
      <c r="B240" s="10">
        <v>2.34</v>
      </c>
      <c r="C240" s="10">
        <v>5.36</v>
      </c>
      <c r="D240" s="10">
        <v>6</v>
      </c>
      <c r="E240" s="10">
        <v>32.67</v>
      </c>
      <c r="F240" s="10">
        <v>19</v>
      </c>
      <c r="G240" s="10">
        <v>0</v>
      </c>
      <c r="H240" s="10">
        <v>4</v>
      </c>
      <c r="I240" s="10">
        <v>0</v>
      </c>
      <c r="J240" s="10">
        <f>SUM(B240:I240)</f>
        <v>69.37</v>
      </c>
      <c r="K240">
        <v>2014</v>
      </c>
      <c r="L240">
        <v>8</v>
      </c>
      <c r="M240" s="11">
        <v>41852</v>
      </c>
      <c r="N240" t="s">
        <v>2180</v>
      </c>
      <c r="O240">
        <v>4</v>
      </c>
      <c r="P240" t="s">
        <v>53</v>
      </c>
      <c r="Q240" t="b">
        <v>1</v>
      </c>
    </row>
    <row r="241" spans="1:17">
      <c r="A241" s="12">
        <v>41880</v>
      </c>
      <c r="B241" s="10">
        <v>6.34</v>
      </c>
      <c r="C241" s="10">
        <v>3.68</v>
      </c>
      <c r="D241" s="10">
        <v>5</v>
      </c>
      <c r="E241" s="10">
        <v>26.28</v>
      </c>
      <c r="F241" s="10">
        <v>18</v>
      </c>
      <c r="G241" s="10">
        <v>1</v>
      </c>
      <c r="H241" s="10">
        <v>0</v>
      </c>
      <c r="I241" s="10">
        <v>3</v>
      </c>
      <c r="J241" s="10">
        <f>SUM(B241:I241)</f>
        <v>63.3</v>
      </c>
      <c r="K241">
        <v>2014</v>
      </c>
      <c r="L241">
        <v>8</v>
      </c>
      <c r="M241" s="11">
        <v>41852</v>
      </c>
      <c r="N241" t="s">
        <v>2180</v>
      </c>
      <c r="O241">
        <v>5</v>
      </c>
      <c r="P241" t="s">
        <v>55</v>
      </c>
      <c r="Q241" t="b">
        <v>1</v>
      </c>
    </row>
    <row r="242" spans="1:17">
      <c r="A242" s="12">
        <v>41881</v>
      </c>
      <c r="B242" s="10">
        <v>3.68</v>
      </c>
      <c r="C242" s="10">
        <v>3.02</v>
      </c>
      <c r="D242" s="10">
        <v>7</v>
      </c>
      <c r="E242" s="10">
        <v>13</v>
      </c>
      <c r="F242" s="10">
        <v>13</v>
      </c>
      <c r="G242" s="10">
        <v>1</v>
      </c>
      <c r="H242" s="10">
        <v>0</v>
      </c>
      <c r="I242" s="10">
        <v>4</v>
      </c>
      <c r="J242" s="10">
        <f>SUM(B242:I242)</f>
        <v>44.7</v>
      </c>
      <c r="K242">
        <v>2014</v>
      </c>
      <c r="L242">
        <v>8</v>
      </c>
      <c r="M242" s="11">
        <v>41852</v>
      </c>
      <c r="N242" t="s">
        <v>2180</v>
      </c>
      <c r="O242">
        <v>6</v>
      </c>
      <c r="P242" t="s">
        <v>57</v>
      </c>
      <c r="Q242" t="b">
        <v>1</v>
      </c>
    </row>
    <row r="243" spans="1:17">
      <c r="A243" s="12">
        <v>41882</v>
      </c>
      <c r="B243" s="10">
        <v>0</v>
      </c>
      <c r="C243" s="10">
        <v>2.68</v>
      </c>
      <c r="D243" s="10">
        <v>1</v>
      </c>
      <c r="E243" s="10">
        <v>15</v>
      </c>
      <c r="F243" s="10">
        <v>13</v>
      </c>
      <c r="G243" s="10">
        <v>0</v>
      </c>
      <c r="H243" s="10">
        <v>7</v>
      </c>
      <c r="I243" s="10">
        <v>2</v>
      </c>
      <c r="J243" s="10">
        <f>SUM(B243:I243)</f>
        <v>40.68</v>
      </c>
      <c r="K243">
        <v>2014</v>
      </c>
      <c r="L243">
        <v>8</v>
      </c>
      <c r="M243" s="11">
        <v>41852</v>
      </c>
      <c r="N243" t="s">
        <v>2180</v>
      </c>
      <c r="O243">
        <v>7</v>
      </c>
      <c r="P243" t="s">
        <v>59</v>
      </c>
      <c r="Q243" t="b">
        <v>1</v>
      </c>
    </row>
    <row r="244" spans="1:17">
      <c r="A244" s="12">
        <v>41883</v>
      </c>
      <c r="B244" s="10">
        <v>3.34</v>
      </c>
      <c r="C244" s="10">
        <v>1.715</v>
      </c>
      <c r="D244" s="10">
        <v>1</v>
      </c>
      <c r="E244" s="10">
        <v>15.5</v>
      </c>
      <c r="F244" s="10">
        <v>15</v>
      </c>
      <c r="G244" s="10">
        <v>0</v>
      </c>
      <c r="H244" s="10">
        <v>0</v>
      </c>
      <c r="I244" s="10">
        <v>5.5</v>
      </c>
      <c r="J244" s="10">
        <f>SUM(B244:I244)</f>
        <v>42.055</v>
      </c>
      <c r="K244">
        <v>2014</v>
      </c>
      <c r="L244">
        <v>9</v>
      </c>
      <c r="M244" s="11">
        <v>41883</v>
      </c>
      <c r="N244" t="s">
        <v>2181</v>
      </c>
      <c r="O244">
        <v>1</v>
      </c>
      <c r="P244" t="s">
        <v>61</v>
      </c>
      <c r="Q244" t="b">
        <v>1</v>
      </c>
    </row>
    <row r="245" spans="1:17">
      <c r="A245" s="12">
        <v>41884</v>
      </c>
      <c r="B245" s="10">
        <v>2.34</v>
      </c>
      <c r="C245" s="10">
        <v>4.68</v>
      </c>
      <c r="D245" s="10">
        <v>5.2</v>
      </c>
      <c r="E245" s="10">
        <v>20.14</v>
      </c>
      <c r="F245" s="10">
        <v>7</v>
      </c>
      <c r="G245" s="10">
        <v>0</v>
      </c>
      <c r="H245" s="10">
        <v>2</v>
      </c>
      <c r="I245" s="10">
        <v>3</v>
      </c>
      <c r="J245" s="10">
        <f>SUM(B245:I245)</f>
        <v>44.36</v>
      </c>
      <c r="K245">
        <v>2014</v>
      </c>
      <c r="L245">
        <v>9</v>
      </c>
      <c r="M245" s="11">
        <v>41883</v>
      </c>
      <c r="N245" t="s">
        <v>2181</v>
      </c>
      <c r="O245">
        <v>2</v>
      </c>
      <c r="P245" t="s">
        <v>63</v>
      </c>
      <c r="Q245" t="b">
        <v>1</v>
      </c>
    </row>
    <row r="246" spans="1:17">
      <c r="A246" s="12">
        <v>41885</v>
      </c>
      <c r="B246" s="10">
        <v>7</v>
      </c>
      <c r="C246" s="10">
        <v>6.34</v>
      </c>
      <c r="D246" s="10">
        <v>4</v>
      </c>
      <c r="E246" s="10">
        <v>22.18</v>
      </c>
      <c r="F246" s="10">
        <v>12</v>
      </c>
      <c r="G246" s="10">
        <v>0</v>
      </c>
      <c r="H246" s="10">
        <v>2</v>
      </c>
      <c r="I246" s="10">
        <v>3</v>
      </c>
      <c r="J246" s="10">
        <f>SUM(B246:I246)</f>
        <v>56.519999999999996</v>
      </c>
      <c r="K246">
        <v>2014</v>
      </c>
      <c r="L246">
        <v>9</v>
      </c>
      <c r="M246" s="11">
        <v>41883</v>
      </c>
      <c r="N246" t="s">
        <v>2181</v>
      </c>
      <c r="O246">
        <v>3</v>
      </c>
      <c r="P246" t="s">
        <v>65</v>
      </c>
      <c r="Q246" t="b">
        <v>1</v>
      </c>
    </row>
    <row r="247" spans="1:17">
      <c r="A247" s="12">
        <v>41886</v>
      </c>
      <c r="B247" s="10">
        <v>5.68</v>
      </c>
      <c r="C247" s="10">
        <v>5.34</v>
      </c>
      <c r="D247" s="10">
        <v>3</v>
      </c>
      <c r="E247" s="10">
        <v>17.6</v>
      </c>
      <c r="F247" s="10">
        <v>21</v>
      </c>
      <c r="G247" s="10">
        <v>1</v>
      </c>
      <c r="H247" s="10">
        <v>0</v>
      </c>
      <c r="I247" s="10">
        <v>1</v>
      </c>
      <c r="J247" s="10">
        <f>SUM(B247:I247)</f>
        <v>54.620000000000005</v>
      </c>
      <c r="K247">
        <v>2014</v>
      </c>
      <c r="L247">
        <v>9</v>
      </c>
      <c r="M247" s="11">
        <v>41883</v>
      </c>
      <c r="N247" t="s">
        <v>2181</v>
      </c>
      <c r="O247">
        <v>4</v>
      </c>
      <c r="P247" t="s">
        <v>53</v>
      </c>
      <c r="Q247" t="b">
        <v>1</v>
      </c>
    </row>
    <row r="248" spans="1:17">
      <c r="A248" s="12">
        <v>41887</v>
      </c>
      <c r="B248" s="10">
        <v>4</v>
      </c>
      <c r="C248" s="10">
        <v>0.779</v>
      </c>
      <c r="D248" s="10">
        <v>3</v>
      </c>
      <c r="E248" s="10">
        <v>15.6</v>
      </c>
      <c r="F248" s="10">
        <v>15</v>
      </c>
      <c r="G248" s="10">
        <v>2</v>
      </c>
      <c r="H248" s="10">
        <v>0</v>
      </c>
      <c r="I248" s="10">
        <v>2</v>
      </c>
      <c r="J248" s="10">
        <f>SUM(B248:I248)</f>
        <v>42.379</v>
      </c>
      <c r="K248">
        <v>2014</v>
      </c>
      <c r="L248">
        <v>9</v>
      </c>
      <c r="M248" s="11">
        <v>41883</v>
      </c>
      <c r="N248" t="s">
        <v>2181</v>
      </c>
      <c r="O248">
        <v>5</v>
      </c>
      <c r="P248" t="s">
        <v>55</v>
      </c>
      <c r="Q248" t="b">
        <v>1</v>
      </c>
    </row>
    <row r="249" spans="1:17">
      <c r="A249" s="12">
        <v>41888</v>
      </c>
      <c r="B249" s="10">
        <v>5.34</v>
      </c>
      <c r="C249" s="10">
        <v>5</v>
      </c>
      <c r="D249" s="10">
        <v>2.4</v>
      </c>
      <c r="E249" s="10">
        <v>15.7</v>
      </c>
      <c r="F249" s="10">
        <v>30</v>
      </c>
      <c r="G249" s="10">
        <v>2</v>
      </c>
      <c r="H249" s="10">
        <v>5</v>
      </c>
      <c r="I249" s="10">
        <v>3.1</v>
      </c>
      <c r="J249" s="10">
        <f>SUM(B249:I249)</f>
        <v>68.53999999999999</v>
      </c>
      <c r="K249">
        <v>2014</v>
      </c>
      <c r="L249">
        <v>9</v>
      </c>
      <c r="M249" s="11">
        <v>41883</v>
      </c>
      <c r="N249" t="s">
        <v>2181</v>
      </c>
      <c r="O249">
        <v>6</v>
      </c>
      <c r="P249" t="s">
        <v>57</v>
      </c>
      <c r="Q249" t="b">
        <v>1</v>
      </c>
    </row>
    <row r="250" spans="1:17">
      <c r="A250" s="12">
        <v>41889</v>
      </c>
      <c r="B250" s="10">
        <v>2</v>
      </c>
      <c r="C250" s="10">
        <v>5.515</v>
      </c>
      <c r="D250" s="10">
        <v>5</v>
      </c>
      <c r="E250" s="10">
        <v>7</v>
      </c>
      <c r="F250" s="10">
        <v>9</v>
      </c>
      <c r="G250" s="10">
        <v>0</v>
      </c>
      <c r="H250" s="10">
        <v>0</v>
      </c>
      <c r="I250" s="10">
        <v>1</v>
      </c>
      <c r="J250" s="10">
        <f>SUM(B250:I250)</f>
        <v>29.515</v>
      </c>
      <c r="K250">
        <v>2014</v>
      </c>
      <c r="L250">
        <v>9</v>
      </c>
      <c r="M250" s="11">
        <v>41883</v>
      </c>
      <c r="N250" t="s">
        <v>2181</v>
      </c>
      <c r="O250">
        <v>7</v>
      </c>
      <c r="P250" t="s">
        <v>59</v>
      </c>
      <c r="Q250" t="b">
        <v>1</v>
      </c>
    </row>
    <row r="251" spans="1:17">
      <c r="A251" s="12">
        <v>41890</v>
      </c>
      <c r="B251" s="10">
        <v>1</v>
      </c>
      <c r="C251" s="10">
        <v>5.36</v>
      </c>
      <c r="D251" s="10">
        <v>3.5</v>
      </c>
      <c r="E251" s="10">
        <v>20.8</v>
      </c>
      <c r="F251" s="10">
        <v>15</v>
      </c>
      <c r="G251" s="10">
        <v>0</v>
      </c>
      <c r="H251" s="10">
        <v>1</v>
      </c>
      <c r="I251" s="10">
        <v>4</v>
      </c>
      <c r="J251" s="10">
        <f>SUM(B251:I251)</f>
        <v>50.66</v>
      </c>
      <c r="K251">
        <v>2014</v>
      </c>
      <c r="L251">
        <v>9</v>
      </c>
      <c r="M251" s="11">
        <v>41883</v>
      </c>
      <c r="N251" t="s">
        <v>2181</v>
      </c>
      <c r="O251">
        <v>1</v>
      </c>
      <c r="P251" t="s">
        <v>61</v>
      </c>
      <c r="Q251" t="b">
        <v>1</v>
      </c>
    </row>
    <row r="252" spans="1:17">
      <c r="A252" s="12">
        <v>41891</v>
      </c>
      <c r="B252" s="10">
        <v>6.34</v>
      </c>
      <c r="C252" s="10">
        <v>2.34</v>
      </c>
      <c r="D252" s="10">
        <v>4</v>
      </c>
      <c r="E252" s="10">
        <v>29.2</v>
      </c>
      <c r="F252" s="10">
        <v>17</v>
      </c>
      <c r="G252" s="10">
        <v>0</v>
      </c>
      <c r="H252" s="10">
        <v>2</v>
      </c>
      <c r="I252" s="10">
        <v>1.2</v>
      </c>
      <c r="J252" s="10">
        <f>SUM(B252:I252)</f>
        <v>62.08</v>
      </c>
      <c r="K252">
        <v>2014</v>
      </c>
      <c r="L252">
        <v>9</v>
      </c>
      <c r="M252" s="11">
        <v>41883</v>
      </c>
      <c r="N252" t="s">
        <v>2181</v>
      </c>
      <c r="O252">
        <v>2</v>
      </c>
      <c r="P252" t="s">
        <v>63</v>
      </c>
      <c r="Q252" t="b">
        <v>1</v>
      </c>
    </row>
    <row r="253" spans="1:17">
      <c r="A253" s="12">
        <v>41892</v>
      </c>
      <c r="B253" s="10">
        <v>4.34</v>
      </c>
      <c r="C253" s="10">
        <v>3.34</v>
      </c>
      <c r="D253" s="10">
        <v>3.5</v>
      </c>
      <c r="E253" s="10">
        <v>37.8</v>
      </c>
      <c r="F253" s="10">
        <v>12</v>
      </c>
      <c r="G253" s="10">
        <v>0</v>
      </c>
      <c r="H253" s="10">
        <v>0</v>
      </c>
      <c r="I253" s="10">
        <v>1</v>
      </c>
      <c r="J253" s="10">
        <f>SUM(B253:I253)</f>
        <v>61.98</v>
      </c>
      <c r="K253">
        <v>2014</v>
      </c>
      <c r="L253">
        <v>9</v>
      </c>
      <c r="M253" s="11">
        <v>41883</v>
      </c>
      <c r="N253" t="s">
        <v>2181</v>
      </c>
      <c r="O253">
        <v>3</v>
      </c>
      <c r="P253" t="s">
        <v>65</v>
      </c>
      <c r="Q253" t="b">
        <v>1</v>
      </c>
    </row>
    <row r="254" spans="1:17">
      <c r="A254" s="12">
        <v>41893</v>
      </c>
      <c r="B254" s="10">
        <v>0</v>
      </c>
      <c r="C254" s="10">
        <v>1.34</v>
      </c>
      <c r="D254" s="10">
        <v>4</v>
      </c>
      <c r="E254" s="10">
        <v>32.2</v>
      </c>
      <c r="F254" s="10">
        <v>15</v>
      </c>
      <c r="G254" s="10">
        <v>0</v>
      </c>
      <c r="H254" s="10">
        <v>10</v>
      </c>
      <c r="I254" s="10">
        <v>0</v>
      </c>
      <c r="J254" s="10">
        <f>SUM(B254:I254)</f>
        <v>62.540000000000006</v>
      </c>
      <c r="K254">
        <v>2014</v>
      </c>
      <c r="L254">
        <v>9</v>
      </c>
      <c r="M254" s="11">
        <v>41883</v>
      </c>
      <c r="N254" t="s">
        <v>2181</v>
      </c>
      <c r="O254">
        <v>4</v>
      </c>
      <c r="P254" t="s">
        <v>53</v>
      </c>
      <c r="Q254" t="b">
        <v>1</v>
      </c>
    </row>
    <row r="255" spans="1:17">
      <c r="A255" s="12">
        <v>41894</v>
      </c>
      <c r="B255" s="10">
        <v>2.68</v>
      </c>
      <c r="C255" s="10">
        <v>2.67</v>
      </c>
      <c r="D255" s="10">
        <v>1</v>
      </c>
      <c r="E255" s="10">
        <v>20</v>
      </c>
      <c r="F255" s="10">
        <v>19</v>
      </c>
      <c r="G255" s="10">
        <v>0</v>
      </c>
      <c r="H255" s="10">
        <v>8</v>
      </c>
      <c r="I255" s="10">
        <v>1</v>
      </c>
      <c r="J255" s="10">
        <f>SUM(B255:I255)</f>
        <v>54.35</v>
      </c>
      <c r="K255">
        <v>2014</v>
      </c>
      <c r="L255">
        <v>9</v>
      </c>
      <c r="M255" s="11">
        <v>41883</v>
      </c>
      <c r="N255" t="s">
        <v>2181</v>
      </c>
      <c r="O255">
        <v>5</v>
      </c>
      <c r="P255" t="s">
        <v>55</v>
      </c>
      <c r="Q255" t="b">
        <v>1</v>
      </c>
    </row>
    <row r="256" spans="1:17">
      <c r="A256" s="12">
        <v>41895</v>
      </c>
      <c r="B256" s="10">
        <v>3</v>
      </c>
      <c r="C256" s="10">
        <v>5.36</v>
      </c>
      <c r="D256" s="10">
        <v>4.4</v>
      </c>
      <c r="E256" s="10">
        <v>56.85</v>
      </c>
      <c r="F256" s="10">
        <v>20</v>
      </c>
      <c r="G256" s="10">
        <v>0</v>
      </c>
      <c r="H256" s="10">
        <v>1</v>
      </c>
      <c r="I256" s="10">
        <v>3</v>
      </c>
      <c r="J256" s="10">
        <f>SUM(B256:I256)</f>
        <v>93.61</v>
      </c>
      <c r="K256">
        <v>2014</v>
      </c>
      <c r="L256">
        <v>9</v>
      </c>
      <c r="M256" s="11">
        <v>41883</v>
      </c>
      <c r="N256" t="s">
        <v>2181</v>
      </c>
      <c r="O256">
        <v>6</v>
      </c>
      <c r="P256" t="s">
        <v>57</v>
      </c>
      <c r="Q256" t="b">
        <v>1</v>
      </c>
    </row>
    <row r="257" spans="1:17">
      <c r="A257" s="12">
        <v>41896</v>
      </c>
      <c r="B257" s="10">
        <v>1.34</v>
      </c>
      <c r="C257" s="10">
        <v>2</v>
      </c>
      <c r="D257" s="10">
        <v>2</v>
      </c>
      <c r="E257" s="10">
        <v>19.5</v>
      </c>
      <c r="F257" s="10">
        <v>6</v>
      </c>
      <c r="G257" s="10">
        <v>0</v>
      </c>
      <c r="H257" s="10">
        <v>6</v>
      </c>
      <c r="I257" s="10">
        <v>0</v>
      </c>
      <c r="J257" s="10">
        <f>SUM(B257:I257)</f>
        <v>36.84</v>
      </c>
      <c r="K257">
        <v>2014</v>
      </c>
      <c r="L257">
        <v>9</v>
      </c>
      <c r="M257" s="11">
        <v>41883</v>
      </c>
      <c r="N257" t="s">
        <v>2181</v>
      </c>
      <c r="O257">
        <v>7</v>
      </c>
      <c r="P257" t="s">
        <v>59</v>
      </c>
      <c r="Q257" t="b">
        <v>1</v>
      </c>
    </row>
    <row r="258" spans="1:17">
      <c r="A258" s="12">
        <v>41897</v>
      </c>
      <c r="B258" s="10">
        <v>1.34</v>
      </c>
      <c r="C258" s="10">
        <v>3</v>
      </c>
      <c r="D258" s="10">
        <v>5.4</v>
      </c>
      <c r="E258" s="10">
        <v>28.2</v>
      </c>
      <c r="F258" s="10">
        <v>9</v>
      </c>
      <c r="G258" s="10">
        <v>0</v>
      </c>
      <c r="H258" s="10">
        <v>1</v>
      </c>
      <c r="I258" s="10">
        <v>0</v>
      </c>
      <c r="J258" s="10">
        <f>SUM(B258:I258)</f>
        <v>47.94</v>
      </c>
      <c r="K258">
        <v>2014</v>
      </c>
      <c r="L258">
        <v>9</v>
      </c>
      <c r="M258" s="11">
        <v>41883</v>
      </c>
      <c r="N258" t="s">
        <v>2181</v>
      </c>
      <c r="O258">
        <v>1</v>
      </c>
      <c r="P258" t="s">
        <v>61</v>
      </c>
      <c r="Q258" t="b">
        <v>1</v>
      </c>
    </row>
    <row r="259" spans="1:17">
      <c r="A259" s="12">
        <v>41898</v>
      </c>
      <c r="B259" s="10">
        <v>4</v>
      </c>
      <c r="C259" s="10">
        <v>2.68</v>
      </c>
      <c r="D259" s="10">
        <v>0</v>
      </c>
      <c r="E259" s="10">
        <v>59.3</v>
      </c>
      <c r="F259" s="10">
        <v>13</v>
      </c>
      <c r="G259" s="10">
        <v>0</v>
      </c>
      <c r="H259" s="10">
        <v>0</v>
      </c>
      <c r="I259" s="10">
        <v>0</v>
      </c>
      <c r="J259" s="10">
        <f>SUM(B259:I259)</f>
        <v>78.97999999999999</v>
      </c>
      <c r="K259">
        <v>2014</v>
      </c>
      <c r="L259">
        <v>9</v>
      </c>
      <c r="M259" s="11">
        <v>41883</v>
      </c>
      <c r="N259" t="s">
        <v>2181</v>
      </c>
      <c r="O259">
        <v>2</v>
      </c>
      <c r="P259" t="s">
        <v>63</v>
      </c>
      <c r="Q259" t="b">
        <v>1</v>
      </c>
    </row>
    <row r="260" spans="1:17">
      <c r="A260" s="12">
        <v>41899</v>
      </c>
      <c r="B260" s="10">
        <v>2.34</v>
      </c>
      <c r="C260" s="10">
        <v>6</v>
      </c>
      <c r="D260" s="10">
        <v>4</v>
      </c>
      <c r="E260" s="10">
        <v>39.6</v>
      </c>
      <c r="F260" s="10">
        <v>11</v>
      </c>
      <c r="G260" s="10">
        <v>2</v>
      </c>
      <c r="H260" s="10">
        <v>19</v>
      </c>
      <c r="I260" s="10">
        <v>4</v>
      </c>
      <c r="J260" s="10">
        <f>SUM(B260:I260)</f>
        <v>87.94</v>
      </c>
      <c r="K260">
        <v>2014</v>
      </c>
      <c r="L260">
        <v>9</v>
      </c>
      <c r="M260" s="11">
        <v>41883</v>
      </c>
      <c r="N260" t="s">
        <v>2181</v>
      </c>
      <c r="O260">
        <v>3</v>
      </c>
      <c r="P260" t="s">
        <v>65</v>
      </c>
      <c r="Q260" t="b">
        <v>1</v>
      </c>
    </row>
    <row r="261" spans="1:17">
      <c r="A261" s="12">
        <v>41900</v>
      </c>
      <c r="B261" s="10">
        <v>3</v>
      </c>
      <c r="C261" s="10">
        <v>2.02</v>
      </c>
      <c r="D261" s="10">
        <v>1</v>
      </c>
      <c r="E261" s="10">
        <v>44</v>
      </c>
      <c r="F261" s="10">
        <v>7</v>
      </c>
      <c r="G261" s="10">
        <v>0</v>
      </c>
      <c r="H261" s="10">
        <v>0</v>
      </c>
      <c r="I261" s="10">
        <v>1</v>
      </c>
      <c r="J261" s="10">
        <f>SUM(B261:I261)</f>
        <v>58.019999999999996</v>
      </c>
      <c r="K261">
        <v>2014</v>
      </c>
      <c r="L261">
        <v>9</v>
      </c>
      <c r="M261" s="11">
        <v>41883</v>
      </c>
      <c r="N261" t="s">
        <v>2181</v>
      </c>
      <c r="O261">
        <v>4</v>
      </c>
      <c r="P261" t="s">
        <v>53</v>
      </c>
      <c r="Q261" t="b">
        <v>1</v>
      </c>
    </row>
    <row r="262" spans="1:17">
      <c r="A262" s="12">
        <v>41901</v>
      </c>
      <c r="B262" s="10">
        <v>2</v>
      </c>
      <c r="C262" s="10">
        <v>4.34</v>
      </c>
      <c r="D262" s="10">
        <v>7.8</v>
      </c>
      <c r="E262" s="10">
        <v>23</v>
      </c>
      <c r="F262" s="10">
        <v>8</v>
      </c>
      <c r="G262" s="10">
        <v>0</v>
      </c>
      <c r="H262" s="10">
        <v>22</v>
      </c>
      <c r="I262" s="10">
        <v>0</v>
      </c>
      <c r="J262" s="10">
        <f>SUM(B262:I262)</f>
        <v>67.14</v>
      </c>
      <c r="K262">
        <v>2014</v>
      </c>
      <c r="L262">
        <v>9</v>
      </c>
      <c r="M262" s="11">
        <v>41883</v>
      </c>
      <c r="N262" t="s">
        <v>2181</v>
      </c>
      <c r="O262">
        <v>5</v>
      </c>
      <c r="P262" t="s">
        <v>55</v>
      </c>
      <c r="Q262" t="b">
        <v>1</v>
      </c>
    </row>
    <row r="263" spans="1:17">
      <c r="A263" s="12">
        <v>41902</v>
      </c>
      <c r="B263" s="10">
        <v>4.34</v>
      </c>
      <c r="C263" s="10">
        <v>1.855</v>
      </c>
      <c r="D263" s="10">
        <v>4.5</v>
      </c>
      <c r="E263" s="10">
        <v>20.6</v>
      </c>
      <c r="F263" s="10">
        <v>14</v>
      </c>
      <c r="G263" s="10">
        <v>1</v>
      </c>
      <c r="H263" s="10">
        <v>2</v>
      </c>
      <c r="I263" s="10">
        <v>0</v>
      </c>
      <c r="J263" s="10">
        <f>SUM(B263:I263)</f>
        <v>48.295</v>
      </c>
      <c r="K263">
        <v>2014</v>
      </c>
      <c r="L263">
        <v>9</v>
      </c>
      <c r="M263" s="11">
        <v>41883</v>
      </c>
      <c r="N263" t="s">
        <v>2181</v>
      </c>
      <c r="O263">
        <v>6</v>
      </c>
      <c r="P263" t="s">
        <v>57</v>
      </c>
      <c r="Q263" t="b">
        <v>1</v>
      </c>
    </row>
    <row r="264" spans="1:17">
      <c r="A264" s="12">
        <v>41903</v>
      </c>
      <c r="B264" s="10">
        <v>1</v>
      </c>
      <c r="C264" s="10">
        <v>3.02</v>
      </c>
      <c r="D264" s="10">
        <v>6</v>
      </c>
      <c r="E264" s="10">
        <v>12.4</v>
      </c>
      <c r="F264" s="10">
        <v>7</v>
      </c>
      <c r="G264" s="10">
        <v>0</v>
      </c>
      <c r="H264" s="10">
        <v>0</v>
      </c>
      <c r="I264" s="10">
        <v>3</v>
      </c>
      <c r="J264" s="10">
        <f>SUM(B264:I264)</f>
        <v>32.42</v>
      </c>
      <c r="K264">
        <v>2014</v>
      </c>
      <c r="L264">
        <v>9</v>
      </c>
      <c r="M264" s="11">
        <v>41883</v>
      </c>
      <c r="N264" t="s">
        <v>2181</v>
      </c>
      <c r="O264">
        <v>7</v>
      </c>
      <c r="P264" t="s">
        <v>59</v>
      </c>
      <c r="Q264" t="b">
        <v>1</v>
      </c>
    </row>
    <row r="265" spans="1:17">
      <c r="A265" s="12">
        <v>41904</v>
      </c>
      <c r="B265" s="10">
        <v>3.34</v>
      </c>
      <c r="C265" s="10">
        <v>4</v>
      </c>
      <c r="D265" s="10">
        <v>5.5</v>
      </c>
      <c r="E265" s="10">
        <v>34.2</v>
      </c>
      <c r="F265" s="10">
        <v>10</v>
      </c>
      <c r="G265" s="10">
        <v>1</v>
      </c>
      <c r="H265" s="10">
        <v>0</v>
      </c>
      <c r="I265" s="10">
        <v>2</v>
      </c>
      <c r="J265" s="10">
        <f>SUM(B265:I265)</f>
        <v>60.040000000000006</v>
      </c>
      <c r="K265">
        <v>2014</v>
      </c>
      <c r="L265">
        <v>9</v>
      </c>
      <c r="M265" s="11">
        <v>41883</v>
      </c>
      <c r="N265" t="s">
        <v>2181</v>
      </c>
      <c r="O265">
        <v>1</v>
      </c>
      <c r="P265" t="s">
        <v>61</v>
      </c>
      <c r="Q265" t="b">
        <v>1</v>
      </c>
    </row>
    <row r="266" spans="1:17">
      <c r="A266" s="12">
        <v>41905</v>
      </c>
      <c r="B266" s="10">
        <v>3</v>
      </c>
      <c r="C266" s="10">
        <v>3.34</v>
      </c>
      <c r="D266" s="10">
        <v>5.5</v>
      </c>
      <c r="E266" s="10">
        <v>26</v>
      </c>
      <c r="F266" s="10">
        <v>10</v>
      </c>
      <c r="G266" s="10">
        <v>0</v>
      </c>
      <c r="H266" s="10">
        <v>1</v>
      </c>
      <c r="I266" s="10">
        <v>2</v>
      </c>
      <c r="J266" s="10">
        <f>SUM(B266:I266)</f>
        <v>50.84</v>
      </c>
      <c r="K266">
        <v>2014</v>
      </c>
      <c r="L266">
        <v>9</v>
      </c>
      <c r="M266" s="11">
        <v>41883</v>
      </c>
      <c r="N266" t="s">
        <v>2181</v>
      </c>
      <c r="O266">
        <v>2</v>
      </c>
      <c r="P266" t="s">
        <v>63</v>
      </c>
      <c r="Q266" t="b">
        <v>1</v>
      </c>
    </row>
    <row r="267" spans="1:17">
      <c r="A267" s="12">
        <v>41906</v>
      </c>
      <c r="B267" s="10">
        <v>6</v>
      </c>
      <c r="C267" s="10">
        <v>3.34</v>
      </c>
      <c r="D267" s="10">
        <v>1.4</v>
      </c>
      <c r="E267" s="10">
        <v>24.7</v>
      </c>
      <c r="F267" s="10">
        <v>14</v>
      </c>
      <c r="G267" s="10">
        <v>0</v>
      </c>
      <c r="H267" s="10">
        <v>0</v>
      </c>
      <c r="I267" s="10">
        <v>0</v>
      </c>
      <c r="J267" s="10">
        <f>SUM(B267:I267)</f>
        <v>49.44</v>
      </c>
      <c r="K267">
        <v>2014</v>
      </c>
      <c r="L267">
        <v>9</v>
      </c>
      <c r="M267" s="11">
        <v>41883</v>
      </c>
      <c r="N267" t="s">
        <v>2181</v>
      </c>
      <c r="O267">
        <v>3</v>
      </c>
      <c r="P267" t="s">
        <v>65</v>
      </c>
      <c r="Q267" t="b">
        <v>1</v>
      </c>
    </row>
    <row r="268" spans="1:17">
      <c r="A268" s="12">
        <v>41907</v>
      </c>
      <c r="B268" s="10">
        <v>4.68</v>
      </c>
      <c r="C268" s="10">
        <v>6.34</v>
      </c>
      <c r="D268" s="10">
        <v>8.199999999999999</v>
      </c>
      <c r="E268" s="10">
        <v>49.15</v>
      </c>
      <c r="F268" s="10">
        <v>15</v>
      </c>
      <c r="G268" s="10">
        <v>1</v>
      </c>
      <c r="H268" s="10">
        <v>1</v>
      </c>
      <c r="I268" s="10">
        <v>5</v>
      </c>
      <c r="J268" s="10">
        <f>SUM(B268:I268)</f>
        <v>90.37</v>
      </c>
      <c r="K268">
        <v>2014</v>
      </c>
      <c r="L268">
        <v>9</v>
      </c>
      <c r="M268" s="11">
        <v>41883</v>
      </c>
      <c r="N268" t="s">
        <v>2181</v>
      </c>
      <c r="O268">
        <v>4</v>
      </c>
      <c r="P268" t="s">
        <v>53</v>
      </c>
      <c r="Q268" t="b">
        <v>1</v>
      </c>
    </row>
    <row r="269" spans="1:17">
      <c r="A269" s="12">
        <v>41908</v>
      </c>
      <c r="B269" s="10">
        <v>4</v>
      </c>
      <c r="C269" s="10">
        <v>3.68</v>
      </c>
      <c r="D269" s="10">
        <v>3.5</v>
      </c>
      <c r="E269" s="10">
        <v>38</v>
      </c>
      <c r="F269" s="10">
        <v>22</v>
      </c>
      <c r="G269" s="10">
        <v>2</v>
      </c>
      <c r="H269" s="10">
        <v>0</v>
      </c>
      <c r="I269" s="10">
        <v>1</v>
      </c>
      <c r="J269" s="10">
        <f>SUM(B269:I269)</f>
        <v>74.18</v>
      </c>
      <c r="K269">
        <v>2014</v>
      </c>
      <c r="L269">
        <v>9</v>
      </c>
      <c r="M269" s="11">
        <v>41883</v>
      </c>
      <c r="N269" t="s">
        <v>2181</v>
      </c>
      <c r="O269">
        <v>5</v>
      </c>
      <c r="P269" t="s">
        <v>55</v>
      </c>
      <c r="Q269" t="b">
        <v>1</v>
      </c>
    </row>
    <row r="270" spans="1:17">
      <c r="A270" s="12">
        <v>41909</v>
      </c>
      <c r="B270" s="10">
        <v>4</v>
      </c>
      <c r="C270" s="10">
        <v>2</v>
      </c>
      <c r="D270" s="10">
        <v>6</v>
      </c>
      <c r="E270" s="10">
        <v>46.3</v>
      </c>
      <c r="F270" s="10">
        <v>18</v>
      </c>
      <c r="G270" s="10">
        <v>0</v>
      </c>
      <c r="H270" s="10">
        <v>0</v>
      </c>
      <c r="I270" s="10">
        <v>4</v>
      </c>
      <c r="J270" s="10">
        <f>SUM(B270:I270)</f>
        <v>80.3</v>
      </c>
      <c r="K270">
        <v>2014</v>
      </c>
      <c r="L270">
        <v>9</v>
      </c>
      <c r="M270" s="11">
        <v>41883</v>
      </c>
      <c r="N270" t="s">
        <v>2181</v>
      </c>
      <c r="O270">
        <v>6</v>
      </c>
      <c r="P270" t="s">
        <v>57</v>
      </c>
      <c r="Q270" t="b">
        <v>1</v>
      </c>
    </row>
    <row r="271" spans="1:17">
      <c r="A271" s="12">
        <v>41910</v>
      </c>
      <c r="B271" s="10">
        <v>0.34</v>
      </c>
      <c r="C271" s="10">
        <v>2.68</v>
      </c>
      <c r="D271" s="10">
        <v>1</v>
      </c>
      <c r="E271" s="10">
        <v>21.2</v>
      </c>
      <c r="F271" s="10">
        <v>6</v>
      </c>
      <c r="G271" s="10">
        <v>0</v>
      </c>
      <c r="H271" s="10">
        <v>0</v>
      </c>
      <c r="I271" s="10">
        <v>2</v>
      </c>
      <c r="J271" s="10">
        <f>SUM(B271:I271)</f>
        <v>33.22</v>
      </c>
      <c r="K271">
        <v>2014</v>
      </c>
      <c r="L271">
        <v>9</v>
      </c>
      <c r="M271" s="11">
        <v>41883</v>
      </c>
      <c r="N271" t="s">
        <v>2181</v>
      </c>
      <c r="O271">
        <v>7</v>
      </c>
      <c r="P271" t="s">
        <v>59</v>
      </c>
      <c r="Q271" t="b">
        <v>1</v>
      </c>
    </row>
    <row r="272" spans="1:17">
      <c r="A272" s="12">
        <v>41911</v>
      </c>
      <c r="B272" s="10">
        <v>7</v>
      </c>
      <c r="C272" s="10">
        <v>3.68</v>
      </c>
      <c r="D272" s="10">
        <v>2.3</v>
      </c>
      <c r="E272" s="10">
        <v>29.8</v>
      </c>
      <c r="F272" s="10">
        <v>12</v>
      </c>
      <c r="G272" s="10">
        <v>0</v>
      </c>
      <c r="H272" s="10">
        <v>10</v>
      </c>
      <c r="I272" s="10">
        <v>4</v>
      </c>
      <c r="J272" s="10">
        <f>SUM(B272:I272)</f>
        <v>68.78</v>
      </c>
      <c r="K272">
        <v>2014</v>
      </c>
      <c r="L272">
        <v>9</v>
      </c>
      <c r="M272" s="11">
        <v>41883</v>
      </c>
      <c r="N272" t="s">
        <v>2181</v>
      </c>
      <c r="O272">
        <v>1</v>
      </c>
      <c r="P272" t="s">
        <v>61</v>
      </c>
      <c r="Q272" t="b">
        <v>1</v>
      </c>
    </row>
    <row r="273" spans="1:17">
      <c r="A273" s="12">
        <v>41912</v>
      </c>
      <c r="B273" s="10">
        <v>10</v>
      </c>
      <c r="C273" s="10">
        <v>5.34</v>
      </c>
      <c r="D273" s="10">
        <v>4</v>
      </c>
      <c r="E273" s="10">
        <v>61.3</v>
      </c>
      <c r="F273" s="10">
        <v>10</v>
      </c>
      <c r="G273" s="10">
        <v>2</v>
      </c>
      <c r="H273" s="10">
        <v>22</v>
      </c>
      <c r="I273" s="10">
        <v>2</v>
      </c>
      <c r="J273" s="10">
        <f>SUM(B273:I273)</f>
        <v>116.64</v>
      </c>
      <c r="K273">
        <v>2014</v>
      </c>
      <c r="L273">
        <v>9</v>
      </c>
      <c r="M273" s="11">
        <v>41883</v>
      </c>
      <c r="N273" t="s">
        <v>2181</v>
      </c>
      <c r="O273">
        <v>2</v>
      </c>
      <c r="P273" t="s">
        <v>63</v>
      </c>
      <c r="Q273" t="b">
        <v>1</v>
      </c>
    </row>
    <row r="274" spans="1:17">
      <c r="A274" s="12">
        <v>41913</v>
      </c>
      <c r="B274" s="10">
        <v>2.34</v>
      </c>
      <c r="C274" s="10">
        <v>0</v>
      </c>
      <c r="D274" s="10">
        <v>2.4</v>
      </c>
      <c r="E274" s="10">
        <v>44</v>
      </c>
      <c r="F274" s="10">
        <v>15</v>
      </c>
      <c r="G274" s="10">
        <v>0</v>
      </c>
      <c r="H274" s="10">
        <v>11</v>
      </c>
      <c r="I274" s="10">
        <v>2</v>
      </c>
      <c r="J274" s="10">
        <f>SUM(B274:I274)</f>
        <v>76.74000000000001</v>
      </c>
      <c r="K274">
        <v>2014</v>
      </c>
      <c r="L274">
        <v>10</v>
      </c>
      <c r="M274" s="11">
        <v>41913</v>
      </c>
      <c r="N274" t="s">
        <v>2182</v>
      </c>
      <c r="O274">
        <v>3</v>
      </c>
      <c r="P274" t="s">
        <v>65</v>
      </c>
      <c r="Q274" t="b">
        <v>1</v>
      </c>
    </row>
    <row r="275" spans="1:17">
      <c r="A275" s="12">
        <v>41914</v>
      </c>
      <c r="B275" s="10">
        <v>2</v>
      </c>
      <c r="C275" s="10">
        <v>4.99</v>
      </c>
      <c r="D275" s="10">
        <v>5</v>
      </c>
      <c r="E275" s="10">
        <v>23.9</v>
      </c>
      <c r="F275" s="10">
        <v>11</v>
      </c>
      <c r="G275" s="10">
        <v>0</v>
      </c>
      <c r="H275" s="10">
        <v>2</v>
      </c>
      <c r="I275" s="10">
        <v>1</v>
      </c>
      <c r="J275" s="10">
        <f>SUM(B275:I275)</f>
        <v>49.89</v>
      </c>
      <c r="K275">
        <v>2014</v>
      </c>
      <c r="L275">
        <v>10</v>
      </c>
      <c r="M275" s="11">
        <v>41913</v>
      </c>
      <c r="N275" t="s">
        <v>2182</v>
      </c>
      <c r="O275">
        <v>4</v>
      </c>
      <c r="P275" t="s">
        <v>53</v>
      </c>
      <c r="Q275" t="b">
        <v>1</v>
      </c>
    </row>
    <row r="276" spans="1:17">
      <c r="A276" s="12">
        <v>41915</v>
      </c>
      <c r="B276" s="10">
        <v>4.33</v>
      </c>
      <c r="C276" s="10">
        <v>1.34</v>
      </c>
      <c r="D276" s="10">
        <v>5.9</v>
      </c>
      <c r="E276" s="10">
        <v>44.14</v>
      </c>
      <c r="F276" s="10">
        <v>12</v>
      </c>
      <c r="G276" s="10">
        <v>0</v>
      </c>
      <c r="H276" s="10">
        <v>11</v>
      </c>
      <c r="I276" s="10">
        <v>2</v>
      </c>
      <c r="J276" s="10">
        <f>SUM(B276:I276)</f>
        <v>80.71000000000001</v>
      </c>
      <c r="K276">
        <v>2014</v>
      </c>
      <c r="L276">
        <v>10</v>
      </c>
      <c r="M276" s="11">
        <v>41913</v>
      </c>
      <c r="N276" t="s">
        <v>2182</v>
      </c>
      <c r="O276">
        <v>5</v>
      </c>
      <c r="P276" t="s">
        <v>55</v>
      </c>
      <c r="Q276" t="b">
        <v>1</v>
      </c>
    </row>
    <row r="277" spans="1:17">
      <c r="A277" s="12">
        <v>41916</v>
      </c>
      <c r="B277" s="10">
        <v>4.68</v>
      </c>
      <c r="C277" s="10">
        <v>7.766</v>
      </c>
      <c r="D277" s="10">
        <v>8</v>
      </c>
      <c r="E277" s="10">
        <v>49.9</v>
      </c>
      <c r="F277" s="10">
        <v>12</v>
      </c>
      <c r="G277" s="10">
        <v>1</v>
      </c>
      <c r="H277" s="10">
        <v>25</v>
      </c>
      <c r="I277" s="10">
        <v>0</v>
      </c>
      <c r="J277" s="10">
        <f>SUM(B277:I277)</f>
        <v>108.346</v>
      </c>
      <c r="K277">
        <v>2014</v>
      </c>
      <c r="L277">
        <v>10</v>
      </c>
      <c r="M277" s="11">
        <v>41913</v>
      </c>
      <c r="N277" t="s">
        <v>2182</v>
      </c>
      <c r="O277">
        <v>6</v>
      </c>
      <c r="P277" t="s">
        <v>57</v>
      </c>
      <c r="Q277" t="b">
        <v>1</v>
      </c>
    </row>
    <row r="278" spans="1:17">
      <c r="A278" s="12">
        <v>41917</v>
      </c>
      <c r="B278" s="10">
        <v>2</v>
      </c>
      <c r="C278" s="10">
        <v>3.34</v>
      </c>
      <c r="D278" s="10">
        <v>3</v>
      </c>
      <c r="E278" s="10">
        <v>19</v>
      </c>
      <c r="F278" s="10">
        <v>1</v>
      </c>
      <c r="G278" s="10">
        <v>0</v>
      </c>
      <c r="H278" s="10">
        <v>0</v>
      </c>
      <c r="I278" s="10">
        <v>3</v>
      </c>
      <c r="J278" s="10">
        <f>SUM(B278:I278)</f>
        <v>31.34</v>
      </c>
      <c r="K278">
        <v>2014</v>
      </c>
      <c r="L278">
        <v>10</v>
      </c>
      <c r="M278" s="11">
        <v>41913</v>
      </c>
      <c r="N278" t="s">
        <v>2182</v>
      </c>
      <c r="O278">
        <v>7</v>
      </c>
      <c r="P278" t="s">
        <v>59</v>
      </c>
      <c r="Q278" t="b">
        <v>1</v>
      </c>
    </row>
    <row r="279" spans="1:17">
      <c r="A279" s="12">
        <v>41918</v>
      </c>
      <c r="B279" s="10">
        <v>5.34</v>
      </c>
      <c r="C279" s="10">
        <v>1.365</v>
      </c>
      <c r="D279" s="10">
        <v>2.4</v>
      </c>
      <c r="E279" s="10">
        <v>69.875</v>
      </c>
      <c r="F279" s="10">
        <v>13</v>
      </c>
      <c r="G279" s="10">
        <v>1</v>
      </c>
      <c r="H279" s="10">
        <v>0</v>
      </c>
      <c r="I279" s="10">
        <v>1</v>
      </c>
      <c r="J279" s="10">
        <f>SUM(B279:I279)</f>
        <v>93.98</v>
      </c>
      <c r="K279">
        <v>2014</v>
      </c>
      <c r="L279">
        <v>10</v>
      </c>
      <c r="M279" s="11">
        <v>41913</v>
      </c>
      <c r="N279" t="s">
        <v>2182</v>
      </c>
      <c r="O279">
        <v>1</v>
      </c>
      <c r="P279" t="s">
        <v>61</v>
      </c>
      <c r="Q279" t="b">
        <v>1</v>
      </c>
    </row>
    <row r="280" spans="1:17">
      <c r="A280" s="12">
        <v>41919</v>
      </c>
      <c r="B280" s="10">
        <v>3</v>
      </c>
      <c r="C280" s="10">
        <v>4.34</v>
      </c>
      <c r="D280" s="10">
        <v>2.2</v>
      </c>
      <c r="E280" s="10">
        <v>41.7</v>
      </c>
      <c r="F280" s="10">
        <v>17</v>
      </c>
      <c r="G280" s="10">
        <v>1</v>
      </c>
      <c r="H280" s="10">
        <v>5</v>
      </c>
      <c r="I280" s="10">
        <v>0</v>
      </c>
      <c r="J280" s="10">
        <f>SUM(B280:I280)</f>
        <v>74.24000000000001</v>
      </c>
      <c r="K280">
        <v>2014</v>
      </c>
      <c r="L280">
        <v>10</v>
      </c>
      <c r="M280" s="11">
        <v>41913</v>
      </c>
      <c r="N280" t="s">
        <v>2182</v>
      </c>
      <c r="O280">
        <v>2</v>
      </c>
      <c r="P280" t="s">
        <v>63</v>
      </c>
      <c r="Q280" t="b">
        <v>1</v>
      </c>
    </row>
    <row r="281" spans="1:17">
      <c r="A281" s="12">
        <v>41920</v>
      </c>
      <c r="B281" s="10">
        <v>3.68</v>
      </c>
      <c r="C281" s="10">
        <v>6</v>
      </c>
      <c r="D281" s="10">
        <v>7</v>
      </c>
      <c r="E281" s="10">
        <v>50</v>
      </c>
      <c r="F281" s="10">
        <v>17</v>
      </c>
      <c r="G281" s="10">
        <v>0</v>
      </c>
      <c r="H281" s="10">
        <v>0</v>
      </c>
      <c r="I281" s="10">
        <v>2</v>
      </c>
      <c r="J281" s="10">
        <f>SUM(B281:I281)</f>
        <v>85.68</v>
      </c>
      <c r="K281">
        <v>2014</v>
      </c>
      <c r="L281">
        <v>10</v>
      </c>
      <c r="M281" s="11">
        <v>41913</v>
      </c>
      <c r="N281" t="s">
        <v>2182</v>
      </c>
      <c r="O281">
        <v>3</v>
      </c>
      <c r="P281" t="s">
        <v>65</v>
      </c>
      <c r="Q281" t="b">
        <v>1</v>
      </c>
    </row>
    <row r="282" spans="1:17">
      <c r="A282" s="12">
        <v>41921</v>
      </c>
      <c r="B282" s="10">
        <v>1</v>
      </c>
      <c r="C282" s="10">
        <v>4.69</v>
      </c>
      <c r="D282" s="10">
        <v>6</v>
      </c>
      <c r="E282" s="10">
        <v>48.2</v>
      </c>
      <c r="F282" s="10">
        <v>10</v>
      </c>
      <c r="G282" s="10">
        <v>2</v>
      </c>
      <c r="H282" s="10">
        <v>5</v>
      </c>
      <c r="I282" s="10">
        <v>0</v>
      </c>
      <c r="J282" s="10">
        <f>SUM(B282:I282)</f>
        <v>76.89</v>
      </c>
      <c r="K282">
        <v>2014</v>
      </c>
      <c r="L282">
        <v>10</v>
      </c>
      <c r="M282" s="11">
        <v>41913</v>
      </c>
      <c r="N282" t="s">
        <v>2182</v>
      </c>
      <c r="O282">
        <v>4</v>
      </c>
      <c r="P282" t="s">
        <v>53</v>
      </c>
      <c r="Q282" t="b">
        <v>1</v>
      </c>
    </row>
    <row r="283" spans="1:17">
      <c r="A283" s="12">
        <v>41922</v>
      </c>
      <c r="B283" s="10">
        <v>4.34</v>
      </c>
      <c r="C283" s="10">
        <v>2.68</v>
      </c>
      <c r="D283" s="10">
        <v>9</v>
      </c>
      <c r="E283" s="10">
        <v>28.8</v>
      </c>
      <c r="F283" s="10">
        <v>24</v>
      </c>
      <c r="G283" s="10">
        <v>3</v>
      </c>
      <c r="H283" s="10">
        <v>6</v>
      </c>
      <c r="I283" s="10">
        <v>0.5</v>
      </c>
      <c r="J283" s="10">
        <f>SUM(B283:I283)</f>
        <v>78.32</v>
      </c>
      <c r="K283">
        <v>2014</v>
      </c>
      <c r="L283">
        <v>10</v>
      </c>
      <c r="M283" s="11">
        <v>41913</v>
      </c>
      <c r="N283" t="s">
        <v>2182</v>
      </c>
      <c r="O283">
        <v>5</v>
      </c>
      <c r="P283" t="s">
        <v>55</v>
      </c>
      <c r="Q283" t="b">
        <v>1</v>
      </c>
    </row>
    <row r="284" spans="1:17">
      <c r="A284" s="12">
        <v>41923</v>
      </c>
      <c r="B284" s="10">
        <v>3.34</v>
      </c>
      <c r="C284" s="10">
        <v>3.68</v>
      </c>
      <c r="D284" s="10">
        <v>5</v>
      </c>
      <c r="E284" s="10">
        <v>35.9</v>
      </c>
      <c r="F284" s="10">
        <v>15</v>
      </c>
      <c r="G284" s="10">
        <v>0</v>
      </c>
      <c r="H284" s="10">
        <v>0</v>
      </c>
      <c r="I284" s="10">
        <v>5</v>
      </c>
      <c r="J284" s="10">
        <f>SUM(B284:I284)</f>
        <v>67.92</v>
      </c>
      <c r="K284">
        <v>2014</v>
      </c>
      <c r="L284">
        <v>10</v>
      </c>
      <c r="M284" s="11">
        <v>41913</v>
      </c>
      <c r="N284" t="s">
        <v>2182</v>
      </c>
      <c r="O284">
        <v>6</v>
      </c>
      <c r="P284" t="s">
        <v>57</v>
      </c>
      <c r="Q284" t="b">
        <v>1</v>
      </c>
    </row>
    <row r="285" spans="1:17">
      <c r="A285" s="12">
        <v>41924</v>
      </c>
      <c r="B285" s="10">
        <v>3</v>
      </c>
      <c r="C285" s="10">
        <v>0.33</v>
      </c>
      <c r="D285" s="10">
        <v>1.5</v>
      </c>
      <c r="E285" s="10">
        <v>22.5</v>
      </c>
      <c r="F285" s="10">
        <v>7</v>
      </c>
      <c r="G285" s="10">
        <v>0</v>
      </c>
      <c r="H285" s="10">
        <v>5</v>
      </c>
      <c r="I285" s="10">
        <v>2</v>
      </c>
      <c r="J285" s="10">
        <f>SUM(B285:I285)</f>
        <v>41.33</v>
      </c>
      <c r="K285">
        <v>2014</v>
      </c>
      <c r="L285">
        <v>10</v>
      </c>
      <c r="M285" s="11">
        <v>41913</v>
      </c>
      <c r="N285" t="s">
        <v>2182</v>
      </c>
      <c r="O285">
        <v>7</v>
      </c>
      <c r="P285" t="s">
        <v>59</v>
      </c>
      <c r="Q285" t="b">
        <v>1</v>
      </c>
    </row>
    <row r="286" spans="1:17">
      <c r="A286" s="12">
        <v>41925</v>
      </c>
      <c r="B286" s="10">
        <v>1.68</v>
      </c>
      <c r="C286" s="10">
        <v>4</v>
      </c>
      <c r="D286" s="10">
        <v>6.2</v>
      </c>
      <c r="E286" s="10">
        <v>31.9</v>
      </c>
      <c r="F286" s="10">
        <v>11</v>
      </c>
      <c r="G286" s="10">
        <v>0</v>
      </c>
      <c r="H286" s="10">
        <v>1</v>
      </c>
      <c r="I286" s="10">
        <v>2</v>
      </c>
      <c r="J286" s="10">
        <f>SUM(B286:I286)</f>
        <v>57.78</v>
      </c>
      <c r="K286">
        <v>2014</v>
      </c>
      <c r="L286">
        <v>10</v>
      </c>
      <c r="M286" s="11">
        <v>41913</v>
      </c>
      <c r="N286" t="s">
        <v>2182</v>
      </c>
      <c r="O286">
        <v>1</v>
      </c>
      <c r="P286" t="s">
        <v>61</v>
      </c>
      <c r="Q286" t="b">
        <v>1</v>
      </c>
    </row>
    <row r="287" spans="1:17">
      <c r="A287" s="12">
        <v>41926</v>
      </c>
      <c r="B287" s="10">
        <v>3</v>
      </c>
      <c r="C287" s="10">
        <v>5.41</v>
      </c>
      <c r="D287" s="10">
        <v>4.8</v>
      </c>
      <c r="E287" s="10">
        <v>31.8</v>
      </c>
      <c r="F287" s="10">
        <v>7</v>
      </c>
      <c r="G287" s="10">
        <v>0</v>
      </c>
      <c r="H287" s="10">
        <v>11</v>
      </c>
      <c r="I287" s="10">
        <v>0</v>
      </c>
      <c r="J287" s="10">
        <f>SUM(B287:I287)</f>
        <v>63.010000000000005</v>
      </c>
      <c r="K287">
        <v>2014</v>
      </c>
      <c r="L287">
        <v>10</v>
      </c>
      <c r="M287" s="11">
        <v>41913</v>
      </c>
      <c r="N287" t="s">
        <v>2182</v>
      </c>
      <c r="O287">
        <v>2</v>
      </c>
      <c r="P287" t="s">
        <v>63</v>
      </c>
      <c r="Q287" t="b">
        <v>1</v>
      </c>
    </row>
    <row r="288" spans="1:17">
      <c r="A288" s="12">
        <v>41927</v>
      </c>
      <c r="B288" s="10">
        <v>1.33</v>
      </c>
      <c r="C288" s="10">
        <v>6.35</v>
      </c>
      <c r="D288" s="10">
        <v>3.5</v>
      </c>
      <c r="E288" s="10">
        <v>23.7</v>
      </c>
      <c r="F288" s="10">
        <v>14</v>
      </c>
      <c r="G288" s="10">
        <v>1</v>
      </c>
      <c r="H288" s="10">
        <v>2</v>
      </c>
      <c r="I288" s="10">
        <v>4</v>
      </c>
      <c r="J288" s="10">
        <f>SUM(B288:I288)</f>
        <v>55.879999999999995</v>
      </c>
      <c r="K288">
        <v>2014</v>
      </c>
      <c r="L288">
        <v>10</v>
      </c>
      <c r="M288" s="11">
        <v>41913</v>
      </c>
      <c r="N288" t="s">
        <v>2182</v>
      </c>
      <c r="O288">
        <v>3</v>
      </c>
      <c r="P288" t="s">
        <v>65</v>
      </c>
      <c r="Q288" t="b">
        <v>1</v>
      </c>
    </row>
    <row r="289" spans="1:17">
      <c r="A289" s="12">
        <v>41928</v>
      </c>
      <c r="B289" s="10">
        <v>6.775</v>
      </c>
      <c r="C289" s="10">
        <v>3.5103125</v>
      </c>
      <c r="D289" s="10">
        <v>2.9375</v>
      </c>
      <c r="E289" s="10">
        <v>58.921875</v>
      </c>
      <c r="F289" s="10">
        <v>9.0625</v>
      </c>
      <c r="G289" s="10">
        <v>0.625</v>
      </c>
      <c r="H289" s="10">
        <v>5</v>
      </c>
      <c r="I289" s="10">
        <v>2.1875</v>
      </c>
      <c r="J289" s="10">
        <f>SUM(B289:I289)</f>
        <v>89.0196875</v>
      </c>
      <c r="K289">
        <v>2014</v>
      </c>
      <c r="L289">
        <v>10</v>
      </c>
      <c r="M289" s="11">
        <v>41913</v>
      </c>
      <c r="N289" t="s">
        <v>2182</v>
      </c>
      <c r="O289">
        <v>4</v>
      </c>
      <c r="P289" t="s">
        <v>53</v>
      </c>
      <c r="Q289" t="b">
        <v>1</v>
      </c>
    </row>
    <row r="290" spans="1:17">
      <c r="A290" s="12">
        <v>41929</v>
      </c>
      <c r="B290" s="10">
        <v>3</v>
      </c>
      <c r="C290" s="10">
        <v>2.34</v>
      </c>
      <c r="D290" s="10">
        <v>3.4</v>
      </c>
      <c r="E290" s="10">
        <v>42</v>
      </c>
      <c r="F290" s="10">
        <v>22</v>
      </c>
      <c r="G290" s="10">
        <v>3</v>
      </c>
      <c r="H290" s="10">
        <v>0</v>
      </c>
      <c r="I290" s="10">
        <v>2</v>
      </c>
      <c r="J290" s="10">
        <f>SUM(B290:I290)</f>
        <v>77.74000000000001</v>
      </c>
      <c r="K290">
        <v>2014</v>
      </c>
      <c r="L290">
        <v>10</v>
      </c>
      <c r="M290" s="11">
        <v>41913</v>
      </c>
      <c r="N290" t="s">
        <v>2182</v>
      </c>
      <c r="O290">
        <v>5</v>
      </c>
      <c r="P290" t="s">
        <v>55</v>
      </c>
      <c r="Q290" t="b">
        <v>1</v>
      </c>
    </row>
    <row r="291" spans="1:17">
      <c r="A291" s="12">
        <v>41930</v>
      </c>
      <c r="B291" s="10">
        <v>4</v>
      </c>
      <c r="C291" s="10">
        <v>6</v>
      </c>
      <c r="D291" s="10">
        <v>5.5</v>
      </c>
      <c r="E291" s="10">
        <v>21.4</v>
      </c>
      <c r="F291" s="10">
        <v>24</v>
      </c>
      <c r="G291" s="10">
        <v>0</v>
      </c>
      <c r="H291" s="10">
        <v>3</v>
      </c>
      <c r="I291" s="10">
        <v>2</v>
      </c>
      <c r="J291" s="10">
        <f>SUM(B291:I291)</f>
        <v>65.9</v>
      </c>
      <c r="K291">
        <v>2014</v>
      </c>
      <c r="L291">
        <v>10</v>
      </c>
      <c r="M291" s="11">
        <v>41913</v>
      </c>
      <c r="N291" t="s">
        <v>2182</v>
      </c>
      <c r="O291">
        <v>6</v>
      </c>
      <c r="P291" t="s">
        <v>57</v>
      </c>
      <c r="Q291" t="b">
        <v>1</v>
      </c>
    </row>
    <row r="292" spans="1:17">
      <c r="A292" s="12">
        <v>41931</v>
      </c>
      <c r="B292" s="10">
        <v>3.33</v>
      </c>
      <c r="C292" s="10">
        <v>3</v>
      </c>
      <c r="D292" s="10">
        <v>2</v>
      </c>
      <c r="E292" s="10">
        <v>13.9</v>
      </c>
      <c r="F292" s="10">
        <v>9</v>
      </c>
      <c r="G292" s="10">
        <v>0</v>
      </c>
      <c r="H292" s="10">
        <v>6</v>
      </c>
      <c r="I292" s="10">
        <v>1</v>
      </c>
      <c r="J292" s="10">
        <f>SUM(B292:I292)</f>
        <v>38.230000000000004</v>
      </c>
      <c r="K292">
        <v>2014</v>
      </c>
      <c r="L292">
        <v>10</v>
      </c>
      <c r="M292" s="11">
        <v>41913</v>
      </c>
      <c r="N292" t="s">
        <v>2182</v>
      </c>
      <c r="O292">
        <v>7</v>
      </c>
      <c r="P292" t="s">
        <v>59</v>
      </c>
      <c r="Q292" t="b">
        <v>1</v>
      </c>
    </row>
    <row r="293" spans="1:17">
      <c r="A293" s="12">
        <v>41932</v>
      </c>
      <c r="B293" s="10">
        <v>3.34</v>
      </c>
      <c r="C293" s="10">
        <v>5.66</v>
      </c>
      <c r="D293" s="10">
        <v>7.3</v>
      </c>
      <c r="E293" s="10">
        <v>35.4</v>
      </c>
      <c r="F293" s="10">
        <v>25</v>
      </c>
      <c r="G293" s="10">
        <v>2</v>
      </c>
      <c r="H293" s="10">
        <v>0</v>
      </c>
      <c r="I293" s="10">
        <v>1</v>
      </c>
      <c r="J293" s="10">
        <f>SUM(B293:I293)</f>
        <v>79.7</v>
      </c>
      <c r="K293">
        <v>2014</v>
      </c>
      <c r="L293">
        <v>10</v>
      </c>
      <c r="M293" s="11">
        <v>41913</v>
      </c>
      <c r="N293" t="s">
        <v>2182</v>
      </c>
      <c r="O293">
        <v>1</v>
      </c>
      <c r="P293" t="s">
        <v>61</v>
      </c>
      <c r="Q293" t="b">
        <v>1</v>
      </c>
    </row>
    <row r="294" spans="1:17">
      <c r="A294" s="12">
        <v>41933</v>
      </c>
      <c r="B294" s="10">
        <v>2.34</v>
      </c>
      <c r="C294" s="10">
        <v>4.34</v>
      </c>
      <c r="D294" s="10">
        <v>6.4</v>
      </c>
      <c r="E294" s="10">
        <v>14.3</v>
      </c>
      <c r="F294" s="10">
        <v>11</v>
      </c>
      <c r="G294" s="10">
        <v>0</v>
      </c>
      <c r="H294" s="10">
        <v>20</v>
      </c>
      <c r="I294" s="10">
        <v>1</v>
      </c>
      <c r="J294" s="10">
        <f>SUM(B294:I294)</f>
        <v>59.38</v>
      </c>
      <c r="K294">
        <v>2014</v>
      </c>
      <c r="L294">
        <v>10</v>
      </c>
      <c r="M294" s="11">
        <v>41913</v>
      </c>
      <c r="N294" t="s">
        <v>2182</v>
      </c>
      <c r="O294">
        <v>2</v>
      </c>
      <c r="P294" t="s">
        <v>63</v>
      </c>
      <c r="Q294" t="b">
        <v>1</v>
      </c>
    </row>
    <row r="295" spans="1:17">
      <c r="A295" s="12">
        <v>41934</v>
      </c>
      <c r="B295" s="10">
        <v>3.33</v>
      </c>
      <c r="C295" s="10">
        <v>2</v>
      </c>
      <c r="D295" s="10">
        <v>2.6</v>
      </c>
      <c r="E295" s="10">
        <v>20.9</v>
      </c>
      <c r="F295" s="10">
        <v>7</v>
      </c>
      <c r="G295" s="10">
        <v>0</v>
      </c>
      <c r="H295" s="10">
        <v>2</v>
      </c>
      <c r="I295" s="10">
        <v>1</v>
      </c>
      <c r="J295" s="10">
        <f>SUM(B295:I295)</f>
        <v>38.83</v>
      </c>
      <c r="K295">
        <v>2014</v>
      </c>
      <c r="L295">
        <v>10</v>
      </c>
      <c r="M295" s="11">
        <v>41913</v>
      </c>
      <c r="N295" t="s">
        <v>2182</v>
      </c>
      <c r="O295">
        <v>3</v>
      </c>
      <c r="P295" t="s">
        <v>65</v>
      </c>
      <c r="Q295" t="b">
        <v>1</v>
      </c>
    </row>
    <row r="296" spans="1:17">
      <c r="A296" s="12">
        <v>41935</v>
      </c>
      <c r="B296" s="10">
        <v>1.34</v>
      </c>
      <c r="C296" s="10">
        <v>4.33</v>
      </c>
      <c r="D296" s="10">
        <v>0</v>
      </c>
      <c r="E296" s="10">
        <v>32.2</v>
      </c>
      <c r="F296" s="10">
        <v>7</v>
      </c>
      <c r="G296" s="10">
        <v>1</v>
      </c>
      <c r="H296" s="10">
        <v>0</v>
      </c>
      <c r="I296" s="10">
        <v>0</v>
      </c>
      <c r="J296" s="10">
        <f>SUM(B296:I296)</f>
        <v>45.870000000000005</v>
      </c>
      <c r="K296">
        <v>2014</v>
      </c>
      <c r="L296">
        <v>10</v>
      </c>
      <c r="M296" s="11">
        <v>41913</v>
      </c>
      <c r="N296" t="s">
        <v>2182</v>
      </c>
      <c r="O296">
        <v>4</v>
      </c>
      <c r="P296" t="s">
        <v>53</v>
      </c>
      <c r="Q296" t="b">
        <v>1</v>
      </c>
    </row>
    <row r="297" spans="1:17">
      <c r="A297" s="12">
        <v>41936</v>
      </c>
      <c r="B297" s="10">
        <v>3.67</v>
      </c>
      <c r="C297" s="10">
        <v>2.67</v>
      </c>
      <c r="D297" s="10">
        <v>6.3</v>
      </c>
      <c r="E297" s="10">
        <v>49.4</v>
      </c>
      <c r="F297" s="10">
        <v>18</v>
      </c>
      <c r="G297" s="10">
        <v>0</v>
      </c>
      <c r="H297" s="10">
        <v>5</v>
      </c>
      <c r="I297" s="10">
        <v>1</v>
      </c>
      <c r="J297" s="10">
        <f>SUM(B297:I297)</f>
        <v>86.03999999999999</v>
      </c>
      <c r="K297">
        <v>2014</v>
      </c>
      <c r="L297">
        <v>10</v>
      </c>
      <c r="M297" s="11">
        <v>41913</v>
      </c>
      <c r="N297" t="s">
        <v>2182</v>
      </c>
      <c r="O297">
        <v>5</v>
      </c>
      <c r="P297" t="s">
        <v>55</v>
      </c>
      <c r="Q297" t="b">
        <v>1</v>
      </c>
    </row>
    <row r="298" spans="1:17">
      <c r="A298" s="12">
        <v>41937</v>
      </c>
      <c r="B298" s="10">
        <v>2.33</v>
      </c>
      <c r="C298" s="10">
        <v>5.14</v>
      </c>
      <c r="D298" s="10">
        <v>1</v>
      </c>
      <c r="E298" s="10">
        <v>31</v>
      </c>
      <c r="F298" s="10">
        <v>21</v>
      </c>
      <c r="G298" s="10">
        <v>0</v>
      </c>
      <c r="H298" s="10">
        <v>2</v>
      </c>
      <c r="I298" s="10">
        <v>5</v>
      </c>
      <c r="J298" s="10">
        <f>SUM(B298:I298)</f>
        <v>67.47</v>
      </c>
      <c r="K298">
        <v>2014</v>
      </c>
      <c r="L298">
        <v>10</v>
      </c>
      <c r="M298" s="11">
        <v>41913</v>
      </c>
      <c r="N298" t="s">
        <v>2182</v>
      </c>
      <c r="O298">
        <v>6</v>
      </c>
      <c r="P298" t="s">
        <v>57</v>
      </c>
      <c r="Q298" t="b">
        <v>1</v>
      </c>
    </row>
    <row r="299" spans="1:17">
      <c r="A299" s="12">
        <v>41938</v>
      </c>
      <c r="B299" s="10">
        <v>3.34</v>
      </c>
      <c r="C299" s="10">
        <v>1</v>
      </c>
      <c r="D299" s="10">
        <v>1.6</v>
      </c>
      <c r="E299" s="10">
        <v>30.4</v>
      </c>
      <c r="F299" s="10">
        <v>6</v>
      </c>
      <c r="G299" s="10">
        <v>0</v>
      </c>
      <c r="H299" s="10">
        <v>1</v>
      </c>
      <c r="I299" s="10">
        <v>1</v>
      </c>
      <c r="J299" s="10">
        <f>SUM(B299:I299)</f>
        <v>44.339999999999996</v>
      </c>
      <c r="K299">
        <v>2014</v>
      </c>
      <c r="L299">
        <v>10</v>
      </c>
      <c r="M299" s="11">
        <v>41913</v>
      </c>
      <c r="N299" t="s">
        <v>2182</v>
      </c>
      <c r="O299">
        <v>7</v>
      </c>
      <c r="P299" t="s">
        <v>59</v>
      </c>
      <c r="Q299" t="b">
        <v>1</v>
      </c>
    </row>
    <row r="300" spans="1:17">
      <c r="A300" s="12">
        <v>41939</v>
      </c>
      <c r="B300" s="10">
        <v>8.34</v>
      </c>
      <c r="C300" s="10">
        <v>4.55</v>
      </c>
      <c r="D300" s="10">
        <v>4</v>
      </c>
      <c r="E300" s="10">
        <v>25.3</v>
      </c>
      <c r="F300" s="10">
        <v>17</v>
      </c>
      <c r="G300" s="10">
        <v>1</v>
      </c>
      <c r="H300" s="10">
        <v>3</v>
      </c>
      <c r="I300" s="10">
        <v>0</v>
      </c>
      <c r="J300" s="10">
        <f>SUM(B300:I300)</f>
        <v>63.19</v>
      </c>
      <c r="K300">
        <v>2014</v>
      </c>
      <c r="L300">
        <v>10</v>
      </c>
      <c r="M300" s="11">
        <v>41913</v>
      </c>
      <c r="N300" t="s">
        <v>2182</v>
      </c>
      <c r="O300">
        <v>1</v>
      </c>
      <c r="P300" t="s">
        <v>61</v>
      </c>
      <c r="Q300" t="b">
        <v>1</v>
      </c>
    </row>
    <row r="301" spans="1:17">
      <c r="A301" s="12">
        <v>41940</v>
      </c>
      <c r="B301" s="10">
        <v>4</v>
      </c>
      <c r="C301" s="10">
        <v>3.48</v>
      </c>
      <c r="D301" s="10">
        <v>10</v>
      </c>
      <c r="E301" s="10">
        <v>40.4</v>
      </c>
      <c r="F301" s="10">
        <v>23</v>
      </c>
      <c r="G301" s="10">
        <v>0</v>
      </c>
      <c r="H301" s="10">
        <v>0</v>
      </c>
      <c r="I301" s="10">
        <v>2</v>
      </c>
      <c r="J301" s="10">
        <f>SUM(B301:I301)</f>
        <v>82.88</v>
      </c>
      <c r="K301">
        <v>2014</v>
      </c>
      <c r="L301">
        <v>10</v>
      </c>
      <c r="M301" s="11">
        <v>41913</v>
      </c>
      <c r="N301" t="s">
        <v>2182</v>
      </c>
      <c r="O301">
        <v>2</v>
      </c>
      <c r="P301" t="s">
        <v>63</v>
      </c>
      <c r="Q301" t="b">
        <v>1</v>
      </c>
    </row>
    <row r="302" spans="1:17">
      <c r="A302" s="12">
        <v>41941</v>
      </c>
      <c r="B302" s="10">
        <v>5</v>
      </c>
      <c r="C302" s="10">
        <v>1</v>
      </c>
      <c r="D302" s="10">
        <v>6.6</v>
      </c>
      <c r="E302" s="10">
        <v>41</v>
      </c>
      <c r="F302" s="10">
        <v>20</v>
      </c>
      <c r="G302" s="10">
        <v>2</v>
      </c>
      <c r="H302" s="10">
        <v>27</v>
      </c>
      <c r="I302" s="10">
        <v>1</v>
      </c>
      <c r="J302" s="10">
        <f>SUM(B302:I302)</f>
        <v>103.6</v>
      </c>
      <c r="K302">
        <v>2014</v>
      </c>
      <c r="L302">
        <v>10</v>
      </c>
      <c r="M302" s="11">
        <v>41913</v>
      </c>
      <c r="N302" t="s">
        <v>2182</v>
      </c>
      <c r="O302">
        <v>3</v>
      </c>
      <c r="P302" t="s">
        <v>65</v>
      </c>
      <c r="Q302" t="b">
        <v>1</v>
      </c>
    </row>
    <row r="303" spans="1:17">
      <c r="A303" s="12">
        <v>41942</v>
      </c>
      <c r="B303" s="10">
        <v>0</v>
      </c>
      <c r="C303" s="10">
        <v>1</v>
      </c>
      <c r="D303" s="10">
        <v>5</v>
      </c>
      <c r="E303" s="10">
        <v>20.3</v>
      </c>
      <c r="F303" s="10">
        <v>11</v>
      </c>
      <c r="G303" s="10">
        <v>1</v>
      </c>
      <c r="H303" s="10">
        <v>2</v>
      </c>
      <c r="I303" s="10">
        <v>0</v>
      </c>
      <c r="J303" s="10">
        <f>SUM(B303:I303)</f>
        <v>40.3</v>
      </c>
      <c r="K303">
        <v>2014</v>
      </c>
      <c r="L303">
        <v>10</v>
      </c>
      <c r="M303" s="11">
        <v>41913</v>
      </c>
      <c r="N303" t="s">
        <v>2182</v>
      </c>
      <c r="O303">
        <v>4</v>
      </c>
      <c r="P303" t="s">
        <v>53</v>
      </c>
      <c r="Q303" t="b">
        <v>1</v>
      </c>
    </row>
    <row r="304" spans="1:17">
      <c r="A304" s="12">
        <v>41943</v>
      </c>
      <c r="B304" s="10">
        <v>2</v>
      </c>
      <c r="C304" s="10">
        <v>2.45</v>
      </c>
      <c r="D304" s="10">
        <v>4</v>
      </c>
      <c r="E304" s="10">
        <v>31</v>
      </c>
      <c r="F304" s="10">
        <v>16</v>
      </c>
      <c r="G304" s="10">
        <v>0</v>
      </c>
      <c r="H304" s="10">
        <v>0</v>
      </c>
      <c r="I304" s="10">
        <v>2</v>
      </c>
      <c r="J304" s="10">
        <f>SUM(B304:I304)</f>
        <v>57.45</v>
      </c>
      <c r="K304">
        <v>2014</v>
      </c>
      <c r="L304">
        <v>10</v>
      </c>
      <c r="M304" s="11">
        <v>41913</v>
      </c>
      <c r="N304" t="s">
        <v>2182</v>
      </c>
      <c r="O304">
        <v>5</v>
      </c>
      <c r="P304" t="s">
        <v>55</v>
      </c>
      <c r="Q304" t="b">
        <v>1</v>
      </c>
    </row>
    <row r="305" spans="1:17">
      <c r="A305" s="12">
        <v>41944</v>
      </c>
      <c r="B305" s="10">
        <v>2.33</v>
      </c>
      <c r="C305" s="10">
        <v>2.34</v>
      </c>
      <c r="D305" s="10">
        <v>3.5</v>
      </c>
      <c r="E305" s="10">
        <v>43.8</v>
      </c>
      <c r="F305" s="10">
        <v>22</v>
      </c>
      <c r="G305" s="10">
        <v>0</v>
      </c>
      <c r="H305" s="10">
        <v>7</v>
      </c>
      <c r="I305" s="10">
        <v>1</v>
      </c>
      <c r="J305" s="10">
        <f>SUM(B305:I305)</f>
        <v>81.97</v>
      </c>
      <c r="K305">
        <v>2014</v>
      </c>
      <c r="L305">
        <v>11</v>
      </c>
      <c r="M305" s="11">
        <v>41944</v>
      </c>
      <c r="N305" t="s">
        <v>2183</v>
      </c>
      <c r="O305">
        <v>6</v>
      </c>
      <c r="P305" t="s">
        <v>57</v>
      </c>
      <c r="Q305" t="b">
        <v>1</v>
      </c>
    </row>
    <row r="306" spans="1:17">
      <c r="A306" s="12">
        <v>41945</v>
      </c>
      <c r="B306" s="10">
        <v>4</v>
      </c>
      <c r="C306" s="10">
        <v>0</v>
      </c>
      <c r="D306" s="10">
        <v>1</v>
      </c>
      <c r="E306" s="10">
        <v>2</v>
      </c>
      <c r="F306" s="10">
        <v>3.5</v>
      </c>
      <c r="G306" s="10">
        <v>0</v>
      </c>
      <c r="H306" s="10">
        <v>0</v>
      </c>
      <c r="I306" s="10">
        <v>1</v>
      </c>
      <c r="J306" s="10">
        <f>SUM(B306:I306)</f>
        <v>11.5</v>
      </c>
      <c r="K306">
        <v>2014</v>
      </c>
      <c r="L306">
        <v>11</v>
      </c>
      <c r="M306" s="11">
        <v>41944</v>
      </c>
      <c r="N306" t="s">
        <v>2183</v>
      </c>
      <c r="O306">
        <v>7</v>
      </c>
      <c r="P306" t="s">
        <v>59</v>
      </c>
      <c r="Q306" t="b">
        <v>1</v>
      </c>
    </row>
    <row r="307" spans="1:17">
      <c r="A307" s="12">
        <v>41946</v>
      </c>
      <c r="B307" s="10">
        <v>7</v>
      </c>
      <c r="C307" s="10">
        <v>4.33</v>
      </c>
      <c r="D307" s="10">
        <v>1</v>
      </c>
      <c r="E307" s="10">
        <v>27.8</v>
      </c>
      <c r="F307" s="10">
        <v>19</v>
      </c>
      <c r="G307" s="10">
        <v>0</v>
      </c>
      <c r="H307" s="10">
        <v>5</v>
      </c>
      <c r="I307" s="10">
        <v>1</v>
      </c>
      <c r="J307" s="10">
        <f>SUM(B307:I307)</f>
        <v>65.13</v>
      </c>
      <c r="K307">
        <v>2014</v>
      </c>
      <c r="L307">
        <v>11</v>
      </c>
      <c r="M307" s="11">
        <v>41944</v>
      </c>
      <c r="N307" t="s">
        <v>2183</v>
      </c>
      <c r="O307">
        <v>1</v>
      </c>
      <c r="P307" t="s">
        <v>61</v>
      </c>
      <c r="Q307" t="b">
        <v>1</v>
      </c>
    </row>
    <row r="308" spans="1:17">
      <c r="A308" s="12">
        <v>41947</v>
      </c>
      <c r="B308" s="10">
        <v>6.33</v>
      </c>
      <c r="C308" s="10">
        <v>1</v>
      </c>
      <c r="D308" s="10">
        <v>5.2</v>
      </c>
      <c r="E308" s="10">
        <v>26.5</v>
      </c>
      <c r="F308" s="10">
        <v>15</v>
      </c>
      <c r="G308" s="10">
        <v>0</v>
      </c>
      <c r="H308" s="10">
        <v>0</v>
      </c>
      <c r="I308" s="10">
        <v>1</v>
      </c>
      <c r="J308" s="10">
        <f>SUM(B308:I308)</f>
        <v>55.03</v>
      </c>
      <c r="K308">
        <v>2014</v>
      </c>
      <c r="L308">
        <v>11</v>
      </c>
      <c r="M308" s="11">
        <v>41944</v>
      </c>
      <c r="N308" t="s">
        <v>2183</v>
      </c>
      <c r="O308">
        <v>2</v>
      </c>
      <c r="P308" t="s">
        <v>63</v>
      </c>
      <c r="Q308" t="b">
        <v>1</v>
      </c>
    </row>
    <row r="309" spans="1:17">
      <c r="A309" s="12">
        <v>41948</v>
      </c>
      <c r="B309" s="10">
        <v>0</v>
      </c>
      <c r="C309" s="10">
        <v>1.68</v>
      </c>
      <c r="D309" s="10">
        <v>4</v>
      </c>
      <c r="E309" s="10">
        <v>27</v>
      </c>
      <c r="F309" s="10">
        <v>19</v>
      </c>
      <c r="G309" s="10">
        <v>3</v>
      </c>
      <c r="H309" s="10">
        <v>1</v>
      </c>
      <c r="I309" s="10">
        <v>0</v>
      </c>
      <c r="J309" s="10">
        <f>SUM(B309:I309)</f>
        <v>55.68</v>
      </c>
      <c r="K309">
        <v>2014</v>
      </c>
      <c r="L309">
        <v>11</v>
      </c>
      <c r="M309" s="11">
        <v>41944</v>
      </c>
      <c r="N309" t="s">
        <v>2183</v>
      </c>
      <c r="O309">
        <v>3</v>
      </c>
      <c r="P309" t="s">
        <v>65</v>
      </c>
      <c r="Q309" t="b">
        <v>1</v>
      </c>
    </row>
    <row r="310" spans="1:17">
      <c r="A310" s="12">
        <v>41949</v>
      </c>
      <c r="B310" s="10">
        <v>6</v>
      </c>
      <c r="C310" s="10">
        <v>2.34</v>
      </c>
      <c r="D310" s="10">
        <v>5.2</v>
      </c>
      <c r="E310" s="10">
        <v>23.4</v>
      </c>
      <c r="F310" s="10">
        <v>23</v>
      </c>
      <c r="G310" s="10">
        <v>1</v>
      </c>
      <c r="H310" s="10">
        <v>0</v>
      </c>
      <c r="I310" s="10">
        <v>0</v>
      </c>
      <c r="J310" s="10">
        <f>SUM(B310:I310)</f>
        <v>60.94</v>
      </c>
      <c r="K310">
        <v>2014</v>
      </c>
      <c r="L310">
        <v>11</v>
      </c>
      <c r="M310" s="11">
        <v>41944</v>
      </c>
      <c r="N310" t="s">
        <v>2183</v>
      </c>
      <c r="O310">
        <v>4</v>
      </c>
      <c r="P310" t="s">
        <v>53</v>
      </c>
      <c r="Q310" t="b">
        <v>1</v>
      </c>
    </row>
    <row r="311" spans="1:17">
      <c r="A311" s="12">
        <v>41950</v>
      </c>
      <c r="B311" s="10">
        <v>6</v>
      </c>
      <c r="C311" s="10">
        <v>10.34</v>
      </c>
      <c r="D311" s="10">
        <v>5.5</v>
      </c>
      <c r="E311" s="10">
        <v>15.8</v>
      </c>
      <c r="F311" s="10">
        <v>32</v>
      </c>
      <c r="G311" s="10">
        <v>1</v>
      </c>
      <c r="H311" s="10">
        <v>0</v>
      </c>
      <c r="I311" s="10">
        <v>1</v>
      </c>
      <c r="J311" s="10">
        <f>SUM(B311:I311)</f>
        <v>71.64</v>
      </c>
      <c r="K311">
        <v>2014</v>
      </c>
      <c r="L311">
        <v>11</v>
      </c>
      <c r="M311" s="11">
        <v>41944</v>
      </c>
      <c r="N311" t="s">
        <v>2183</v>
      </c>
      <c r="O311">
        <v>5</v>
      </c>
      <c r="P311" t="s">
        <v>55</v>
      </c>
      <c r="Q311" t="b">
        <v>1</v>
      </c>
    </row>
    <row r="312" spans="1:17">
      <c r="A312" s="12">
        <v>41951</v>
      </c>
      <c r="B312" s="10">
        <v>12</v>
      </c>
      <c r="C312" s="10">
        <v>7.02</v>
      </c>
      <c r="D312" s="10">
        <v>6</v>
      </c>
      <c r="E312" s="10">
        <v>34.4</v>
      </c>
      <c r="F312" s="10">
        <v>24</v>
      </c>
      <c r="G312" s="10">
        <v>0</v>
      </c>
      <c r="H312" s="10">
        <v>17</v>
      </c>
      <c r="I312" s="10">
        <v>2.2</v>
      </c>
      <c r="J312" s="10">
        <f>SUM(B312:I312)</f>
        <v>102.62</v>
      </c>
      <c r="K312">
        <v>2014</v>
      </c>
      <c r="L312">
        <v>11</v>
      </c>
      <c r="M312" s="11">
        <v>41944</v>
      </c>
      <c r="N312" t="s">
        <v>2183</v>
      </c>
      <c r="O312">
        <v>6</v>
      </c>
      <c r="P312" t="s">
        <v>57</v>
      </c>
      <c r="Q312" t="b">
        <v>1</v>
      </c>
    </row>
    <row r="313" spans="1:17">
      <c r="A313" s="12">
        <v>41952</v>
      </c>
      <c r="B313" s="10">
        <v>3.34</v>
      </c>
      <c r="C313" s="10">
        <v>4.34</v>
      </c>
      <c r="D313" s="10">
        <v>2.9</v>
      </c>
      <c r="E313" s="10">
        <v>23</v>
      </c>
      <c r="F313" s="10">
        <v>20</v>
      </c>
      <c r="G313" s="10">
        <v>0</v>
      </c>
      <c r="H313" s="10">
        <v>2</v>
      </c>
      <c r="I313" s="10">
        <v>1</v>
      </c>
      <c r="J313" s="10">
        <f>SUM(B313:I313)</f>
        <v>56.58</v>
      </c>
      <c r="K313">
        <v>2014</v>
      </c>
      <c r="L313">
        <v>11</v>
      </c>
      <c r="M313" s="11">
        <v>41944</v>
      </c>
      <c r="N313" t="s">
        <v>2183</v>
      </c>
      <c r="O313">
        <v>7</v>
      </c>
      <c r="P313" t="s">
        <v>59</v>
      </c>
      <c r="Q313" t="b">
        <v>1</v>
      </c>
    </row>
    <row r="314" spans="1:17">
      <c r="A314" s="12">
        <v>41953</v>
      </c>
      <c r="B314" s="10">
        <v>1</v>
      </c>
      <c r="C314" s="10">
        <v>5.32</v>
      </c>
      <c r="D314" s="10">
        <v>3.3</v>
      </c>
      <c r="E314" s="10">
        <v>24.3</v>
      </c>
      <c r="F314" s="10">
        <v>13</v>
      </c>
      <c r="G314" s="10">
        <v>0</v>
      </c>
      <c r="H314" s="10">
        <v>7</v>
      </c>
      <c r="I314" s="10">
        <v>1</v>
      </c>
      <c r="J314" s="10">
        <f>SUM(B314:I314)</f>
        <v>54.92</v>
      </c>
      <c r="K314">
        <v>2014</v>
      </c>
      <c r="L314">
        <v>11</v>
      </c>
      <c r="M314" s="11">
        <v>41944</v>
      </c>
      <c r="N314" t="s">
        <v>2183</v>
      </c>
      <c r="O314">
        <v>1</v>
      </c>
      <c r="P314" t="s">
        <v>61</v>
      </c>
      <c r="Q314" t="b">
        <v>1</v>
      </c>
    </row>
    <row r="315" spans="1:17">
      <c r="A315" s="12">
        <v>41954</v>
      </c>
      <c r="B315" s="10">
        <v>8</v>
      </c>
      <c r="C315" s="10">
        <v>4</v>
      </c>
      <c r="D315" s="10">
        <v>2</v>
      </c>
      <c r="E315" s="10">
        <v>23</v>
      </c>
      <c r="F315" s="10">
        <v>18</v>
      </c>
      <c r="G315" s="10">
        <v>0</v>
      </c>
      <c r="H315" s="10">
        <v>8</v>
      </c>
      <c r="I315" s="10">
        <v>2</v>
      </c>
      <c r="J315" s="10">
        <f>SUM(B315:I315)</f>
        <v>65.0</v>
      </c>
      <c r="K315">
        <v>2014</v>
      </c>
      <c r="L315">
        <v>11</v>
      </c>
      <c r="M315" s="11">
        <v>41944</v>
      </c>
      <c r="N315" t="s">
        <v>2183</v>
      </c>
      <c r="O315">
        <v>2</v>
      </c>
      <c r="P315" t="s">
        <v>63</v>
      </c>
      <c r="Q315" t="b">
        <v>1</v>
      </c>
    </row>
    <row r="316" spans="1:17">
      <c r="A316" s="12">
        <v>41955</v>
      </c>
      <c r="B316" s="10">
        <v>3</v>
      </c>
      <c r="C316" s="10">
        <v>5</v>
      </c>
      <c r="D316" s="10">
        <v>4</v>
      </c>
      <c r="E316" s="10">
        <v>25</v>
      </c>
      <c r="F316" s="10">
        <v>16</v>
      </c>
      <c r="G316" s="10">
        <v>0</v>
      </c>
      <c r="H316" s="10">
        <v>3</v>
      </c>
      <c r="I316" s="10">
        <v>0</v>
      </c>
      <c r="J316" s="10">
        <f>SUM(B316:I316)</f>
        <v>56.0</v>
      </c>
      <c r="K316">
        <v>2014</v>
      </c>
      <c r="L316">
        <v>11</v>
      </c>
      <c r="M316" s="11">
        <v>41944</v>
      </c>
      <c r="N316" t="s">
        <v>2183</v>
      </c>
      <c r="O316">
        <v>3</v>
      </c>
      <c r="P316" t="s">
        <v>65</v>
      </c>
      <c r="Q316" t="b">
        <v>1</v>
      </c>
    </row>
    <row r="317" spans="1:17">
      <c r="A317" s="12">
        <v>41956</v>
      </c>
      <c r="B317" s="10">
        <v>8</v>
      </c>
      <c r="C317" s="10">
        <v>2</v>
      </c>
      <c r="D317" s="10">
        <v>5</v>
      </c>
      <c r="E317" s="10">
        <v>33.2</v>
      </c>
      <c r="F317" s="10">
        <v>10</v>
      </c>
      <c r="G317" s="10">
        <v>0</v>
      </c>
      <c r="H317" s="10">
        <v>0</v>
      </c>
      <c r="I317" s="10">
        <v>2.2</v>
      </c>
      <c r="J317" s="10">
        <f>SUM(B317:I317)</f>
        <v>60.400000000000006</v>
      </c>
      <c r="K317">
        <v>2014</v>
      </c>
      <c r="L317">
        <v>11</v>
      </c>
      <c r="M317" s="11">
        <v>41944</v>
      </c>
      <c r="N317" t="s">
        <v>2183</v>
      </c>
      <c r="O317">
        <v>4</v>
      </c>
      <c r="P317" t="s">
        <v>53</v>
      </c>
      <c r="Q317" t="b">
        <v>1</v>
      </c>
    </row>
    <row r="318" spans="1:17">
      <c r="A318" s="12">
        <v>41957</v>
      </c>
      <c r="B318" s="10">
        <v>5.34</v>
      </c>
      <c r="C318" s="10">
        <v>0</v>
      </c>
      <c r="D318" s="10">
        <v>6</v>
      </c>
      <c r="E318" s="10">
        <v>29.4</v>
      </c>
      <c r="F318" s="10">
        <v>20</v>
      </c>
      <c r="G318" s="10">
        <v>1</v>
      </c>
      <c r="H318" s="10">
        <v>2</v>
      </c>
      <c r="I318" s="10">
        <v>3</v>
      </c>
      <c r="J318" s="10">
        <f>SUM(B318:I318)</f>
        <v>66.74</v>
      </c>
      <c r="K318">
        <v>2014</v>
      </c>
      <c r="L318">
        <v>11</v>
      </c>
      <c r="M318" s="11">
        <v>41944</v>
      </c>
      <c r="N318" t="s">
        <v>2183</v>
      </c>
      <c r="O318">
        <v>5</v>
      </c>
      <c r="P318" t="s">
        <v>55</v>
      </c>
      <c r="Q318" t="b">
        <v>1</v>
      </c>
    </row>
    <row r="319" spans="1:17">
      <c r="A319" s="12">
        <v>41958</v>
      </c>
      <c r="B319" s="10">
        <v>4.33</v>
      </c>
      <c r="C319" s="10">
        <v>5.34</v>
      </c>
      <c r="D319" s="10">
        <v>5</v>
      </c>
      <c r="E319" s="10">
        <v>23.6</v>
      </c>
      <c r="F319" s="10">
        <v>20</v>
      </c>
      <c r="G319" s="10">
        <v>2</v>
      </c>
      <c r="H319" s="10">
        <v>2</v>
      </c>
      <c r="I319" s="10">
        <v>2</v>
      </c>
      <c r="J319" s="10">
        <f>SUM(B319:I319)</f>
        <v>64.27000000000001</v>
      </c>
      <c r="K319">
        <v>2014</v>
      </c>
      <c r="L319">
        <v>11</v>
      </c>
      <c r="M319" s="11">
        <v>41944</v>
      </c>
      <c r="N319" t="s">
        <v>2183</v>
      </c>
      <c r="O319">
        <v>6</v>
      </c>
      <c r="P319" t="s">
        <v>57</v>
      </c>
      <c r="Q319" t="b">
        <v>1</v>
      </c>
    </row>
    <row r="320" spans="1:17">
      <c r="A320" s="12">
        <v>41959</v>
      </c>
      <c r="B320" s="10">
        <v>2</v>
      </c>
      <c r="C320" s="10">
        <v>2.68</v>
      </c>
      <c r="D320" s="10">
        <v>6</v>
      </c>
      <c r="E320" s="10">
        <v>18.6</v>
      </c>
      <c r="F320" s="10">
        <v>13</v>
      </c>
      <c r="G320" s="10">
        <v>1</v>
      </c>
      <c r="H320" s="10">
        <v>0</v>
      </c>
      <c r="I320" s="10">
        <v>0</v>
      </c>
      <c r="J320" s="10">
        <f>SUM(B320:I320)</f>
        <v>43.28</v>
      </c>
      <c r="K320">
        <v>2014</v>
      </c>
      <c r="L320">
        <v>11</v>
      </c>
      <c r="M320" s="11">
        <v>41944</v>
      </c>
      <c r="N320" t="s">
        <v>2183</v>
      </c>
      <c r="O320">
        <v>7</v>
      </c>
      <c r="P320" t="s">
        <v>59</v>
      </c>
      <c r="Q320" t="b">
        <v>1</v>
      </c>
    </row>
    <row r="321" spans="1:17">
      <c r="A321" s="12">
        <v>41960</v>
      </c>
      <c r="B321" s="10">
        <v>9</v>
      </c>
      <c r="C321" s="10">
        <v>5.01</v>
      </c>
      <c r="D321" s="10">
        <v>5.5</v>
      </c>
      <c r="E321" s="10">
        <v>23</v>
      </c>
      <c r="F321" s="10">
        <v>23</v>
      </c>
      <c r="G321" s="10">
        <v>1</v>
      </c>
      <c r="H321" s="10">
        <v>10</v>
      </c>
      <c r="I321" s="10">
        <v>0.2</v>
      </c>
      <c r="J321" s="10">
        <f>SUM(B321:I321)</f>
        <v>76.71</v>
      </c>
      <c r="K321">
        <v>2014</v>
      </c>
      <c r="L321">
        <v>11</v>
      </c>
      <c r="M321" s="11">
        <v>41944</v>
      </c>
      <c r="N321" t="s">
        <v>2183</v>
      </c>
      <c r="O321">
        <v>1</v>
      </c>
      <c r="P321" t="s">
        <v>61</v>
      </c>
      <c r="Q321" t="b">
        <v>1</v>
      </c>
    </row>
    <row r="322" spans="1:17">
      <c r="A322" s="12">
        <v>41961</v>
      </c>
      <c r="B322" s="10">
        <v>2.67</v>
      </c>
      <c r="C322" s="10">
        <v>2</v>
      </c>
      <c r="D322" s="10">
        <v>5</v>
      </c>
      <c r="E322" s="10">
        <v>19.3</v>
      </c>
      <c r="F322" s="10">
        <v>10.5</v>
      </c>
      <c r="G322" s="10">
        <v>1</v>
      </c>
      <c r="H322" s="10">
        <v>0</v>
      </c>
      <c r="I322" s="10">
        <v>1</v>
      </c>
      <c r="J322" s="10">
        <f>SUM(B322:I322)</f>
        <v>41.47</v>
      </c>
      <c r="K322">
        <v>2014</v>
      </c>
      <c r="L322">
        <v>11</v>
      </c>
      <c r="M322" s="11">
        <v>41944</v>
      </c>
      <c r="N322" t="s">
        <v>2183</v>
      </c>
      <c r="O322">
        <v>2</v>
      </c>
      <c r="P322" t="s">
        <v>63</v>
      </c>
      <c r="Q322" t="b">
        <v>1</v>
      </c>
    </row>
    <row r="323" spans="1:17">
      <c r="A323" s="12">
        <v>41962</v>
      </c>
      <c r="B323" s="10">
        <v>1.34</v>
      </c>
      <c r="C323" s="10">
        <v>3.67</v>
      </c>
      <c r="D323" s="10">
        <v>10</v>
      </c>
      <c r="E323" s="10">
        <v>32</v>
      </c>
      <c r="F323" s="10">
        <v>17</v>
      </c>
      <c r="G323" s="10">
        <v>0</v>
      </c>
      <c r="H323" s="10">
        <v>10</v>
      </c>
      <c r="I323" s="10">
        <v>4</v>
      </c>
      <c r="J323" s="10">
        <f>SUM(B323:I323)</f>
        <v>78.00999999999999</v>
      </c>
      <c r="K323">
        <v>2014</v>
      </c>
      <c r="L323">
        <v>11</v>
      </c>
      <c r="M323" s="11">
        <v>41944</v>
      </c>
      <c r="N323" t="s">
        <v>2183</v>
      </c>
      <c r="O323">
        <v>3</v>
      </c>
      <c r="P323" t="s">
        <v>65</v>
      </c>
      <c r="Q323" t="b">
        <v>1</v>
      </c>
    </row>
    <row r="324" spans="1:17">
      <c r="A324" s="12">
        <v>41963</v>
      </c>
      <c r="B324" s="10">
        <v>4</v>
      </c>
      <c r="C324" s="10">
        <v>7</v>
      </c>
      <c r="D324" s="10">
        <v>5</v>
      </c>
      <c r="E324" s="10">
        <v>18.8</v>
      </c>
      <c r="F324" s="10">
        <v>13</v>
      </c>
      <c r="G324" s="10">
        <v>0</v>
      </c>
      <c r="H324" s="10">
        <v>8</v>
      </c>
      <c r="I324" s="10">
        <v>0</v>
      </c>
      <c r="J324" s="10">
        <f>SUM(B324:I324)</f>
        <v>55.8</v>
      </c>
      <c r="K324">
        <v>2014</v>
      </c>
      <c r="L324">
        <v>11</v>
      </c>
      <c r="M324" s="11">
        <v>41944</v>
      </c>
      <c r="N324" t="s">
        <v>2183</v>
      </c>
      <c r="O324">
        <v>4</v>
      </c>
      <c r="P324" t="s">
        <v>53</v>
      </c>
      <c r="Q324" t="b">
        <v>1</v>
      </c>
    </row>
    <row r="325" spans="1:17">
      <c r="A325" s="12">
        <v>41964</v>
      </c>
      <c r="B325" s="10">
        <v>1.34</v>
      </c>
      <c r="C325" s="10">
        <v>1.34</v>
      </c>
      <c r="D325" s="10">
        <v>3</v>
      </c>
      <c r="E325" s="10">
        <v>22.4</v>
      </c>
      <c r="F325" s="10">
        <v>16</v>
      </c>
      <c r="G325" s="10">
        <v>0</v>
      </c>
      <c r="H325" s="10">
        <v>2</v>
      </c>
      <c r="I325" s="10">
        <v>1</v>
      </c>
      <c r="J325" s="10">
        <f>SUM(B325:I325)</f>
        <v>47.08</v>
      </c>
      <c r="K325">
        <v>2014</v>
      </c>
      <c r="L325">
        <v>11</v>
      </c>
      <c r="M325" s="11">
        <v>41944</v>
      </c>
      <c r="N325" t="s">
        <v>2183</v>
      </c>
      <c r="O325">
        <v>5</v>
      </c>
      <c r="P325" t="s">
        <v>55</v>
      </c>
      <c r="Q325" t="b">
        <v>1</v>
      </c>
    </row>
    <row r="326" spans="1:17">
      <c r="A326" s="12">
        <v>41965</v>
      </c>
      <c r="B326" s="10">
        <v>6</v>
      </c>
      <c r="C326" s="10">
        <v>2.34</v>
      </c>
      <c r="D326" s="10">
        <v>3</v>
      </c>
      <c r="E326" s="10">
        <v>23.7</v>
      </c>
      <c r="F326" s="10">
        <v>15</v>
      </c>
      <c r="G326" s="10">
        <v>1</v>
      </c>
      <c r="H326" s="10">
        <v>8</v>
      </c>
      <c r="I326" s="10">
        <v>1.4</v>
      </c>
      <c r="J326" s="10">
        <f>SUM(B326:I326)</f>
        <v>60.44</v>
      </c>
      <c r="K326">
        <v>2014</v>
      </c>
      <c r="L326">
        <v>11</v>
      </c>
      <c r="M326" s="11">
        <v>41944</v>
      </c>
      <c r="N326" t="s">
        <v>2183</v>
      </c>
      <c r="O326">
        <v>6</v>
      </c>
      <c r="P326" t="s">
        <v>57</v>
      </c>
      <c r="Q326" t="b">
        <v>1</v>
      </c>
    </row>
    <row r="327" spans="1:17">
      <c r="A327" s="12">
        <v>41966</v>
      </c>
      <c r="B327" s="10">
        <v>4</v>
      </c>
      <c r="C327" s="10">
        <v>3.68</v>
      </c>
      <c r="D327" s="10">
        <v>6</v>
      </c>
      <c r="E327" s="10">
        <v>22.3</v>
      </c>
      <c r="F327" s="10">
        <v>11</v>
      </c>
      <c r="G327" s="10">
        <v>0</v>
      </c>
      <c r="H327" s="10">
        <v>0</v>
      </c>
      <c r="I327" s="10">
        <v>1.1</v>
      </c>
      <c r="J327" s="10">
        <f>SUM(B327:I327)</f>
        <v>48.080000000000005</v>
      </c>
      <c r="K327">
        <v>2014</v>
      </c>
      <c r="L327">
        <v>11</v>
      </c>
      <c r="M327" s="11">
        <v>41944</v>
      </c>
      <c r="N327" t="s">
        <v>2183</v>
      </c>
      <c r="O327">
        <v>7</v>
      </c>
      <c r="P327" t="s">
        <v>59</v>
      </c>
      <c r="Q327" t="b">
        <v>1</v>
      </c>
    </row>
    <row r="328" spans="1:17">
      <c r="A328" s="12">
        <v>41967</v>
      </c>
      <c r="B328" s="10">
        <v>4</v>
      </c>
      <c r="C328" s="10">
        <v>3</v>
      </c>
      <c r="D328" s="10">
        <v>6</v>
      </c>
      <c r="E328" s="10">
        <v>30.6</v>
      </c>
      <c r="F328" s="10">
        <v>19</v>
      </c>
      <c r="G328" s="10">
        <v>1</v>
      </c>
      <c r="H328" s="10">
        <v>1</v>
      </c>
      <c r="I328" s="10">
        <v>2.1</v>
      </c>
      <c r="J328" s="10">
        <f>SUM(B328:I328)</f>
        <v>66.69999999999999</v>
      </c>
      <c r="K328">
        <v>2014</v>
      </c>
      <c r="L328">
        <v>11</v>
      </c>
      <c r="M328" s="11">
        <v>41944</v>
      </c>
      <c r="N328" t="s">
        <v>2183</v>
      </c>
      <c r="O328">
        <v>1</v>
      </c>
      <c r="P328" t="s">
        <v>61</v>
      </c>
      <c r="Q328" t="b">
        <v>1</v>
      </c>
    </row>
    <row r="329" spans="1:17">
      <c r="A329" s="12">
        <v>41968</v>
      </c>
      <c r="B329" s="10">
        <v>5.36</v>
      </c>
      <c r="C329" s="10">
        <v>1.68</v>
      </c>
      <c r="D329" s="10">
        <v>2</v>
      </c>
      <c r="E329" s="10">
        <v>19.2</v>
      </c>
      <c r="F329" s="10">
        <v>18</v>
      </c>
      <c r="G329" s="10">
        <v>0</v>
      </c>
      <c r="H329" s="10">
        <v>2</v>
      </c>
      <c r="I329" s="10">
        <v>3</v>
      </c>
      <c r="J329" s="10">
        <f>SUM(B329:I329)</f>
        <v>51.239999999999995</v>
      </c>
      <c r="K329">
        <v>2014</v>
      </c>
      <c r="L329">
        <v>11</v>
      </c>
      <c r="M329" s="11">
        <v>41944</v>
      </c>
      <c r="N329" t="s">
        <v>2183</v>
      </c>
      <c r="O329">
        <v>2</v>
      </c>
      <c r="P329" t="s">
        <v>63</v>
      </c>
      <c r="Q329" t="b">
        <v>1</v>
      </c>
    </row>
    <row r="330" spans="1:17">
      <c r="A330" s="12">
        <v>41969</v>
      </c>
      <c r="B330" s="10">
        <v>3</v>
      </c>
      <c r="C330" s="10">
        <v>5</v>
      </c>
      <c r="D330" s="10">
        <v>6</v>
      </c>
      <c r="E330" s="10">
        <v>21</v>
      </c>
      <c r="F330" s="10">
        <v>13</v>
      </c>
      <c r="G330" s="10">
        <v>3</v>
      </c>
      <c r="H330" s="10">
        <v>11</v>
      </c>
      <c r="I330" s="10">
        <v>2</v>
      </c>
      <c r="J330" s="10">
        <f>SUM(B330:I330)</f>
        <v>64.0</v>
      </c>
      <c r="K330">
        <v>2014</v>
      </c>
      <c r="L330">
        <v>11</v>
      </c>
      <c r="M330" s="11">
        <v>41944</v>
      </c>
      <c r="N330" t="s">
        <v>2183</v>
      </c>
      <c r="O330">
        <v>3</v>
      </c>
      <c r="P330" t="s">
        <v>65</v>
      </c>
      <c r="Q330" t="b">
        <v>1</v>
      </c>
    </row>
    <row r="331" spans="1:17">
      <c r="A331" s="12">
        <v>41970</v>
      </c>
      <c r="B331" s="10">
        <v>7</v>
      </c>
      <c r="C331" s="10">
        <v>3.67</v>
      </c>
      <c r="D331" s="10">
        <v>2.3</v>
      </c>
      <c r="E331" s="10">
        <v>21.2</v>
      </c>
      <c r="F331" s="10">
        <v>9</v>
      </c>
      <c r="G331" s="10">
        <v>1</v>
      </c>
      <c r="H331" s="10">
        <v>4</v>
      </c>
      <c r="I331" s="10">
        <v>3</v>
      </c>
      <c r="J331" s="10">
        <f>SUM(B331:I331)</f>
        <v>51.17</v>
      </c>
      <c r="K331">
        <v>2014</v>
      </c>
      <c r="L331">
        <v>11</v>
      </c>
      <c r="M331" s="11">
        <v>41944</v>
      </c>
      <c r="N331" t="s">
        <v>2183</v>
      </c>
      <c r="O331">
        <v>4</v>
      </c>
      <c r="P331" t="s">
        <v>53</v>
      </c>
      <c r="Q331" t="b">
        <v>1</v>
      </c>
    </row>
    <row r="332" spans="1:17">
      <c r="A332" s="12">
        <v>41971</v>
      </c>
      <c r="B332" s="10">
        <v>3.02</v>
      </c>
      <c r="C332" s="10">
        <v>1.4</v>
      </c>
      <c r="D332" s="10">
        <v>15</v>
      </c>
      <c r="E332" s="10">
        <v>15.9</v>
      </c>
      <c r="F332" s="10">
        <v>12</v>
      </c>
      <c r="G332" s="10">
        <v>1</v>
      </c>
      <c r="H332" s="10">
        <v>2</v>
      </c>
      <c r="I332" s="10">
        <v>1</v>
      </c>
      <c r="J332" s="10">
        <f>SUM(B332:I332)</f>
        <v>51.32</v>
      </c>
      <c r="K332">
        <v>2014</v>
      </c>
      <c r="L332">
        <v>11</v>
      </c>
      <c r="M332" s="11">
        <v>41944</v>
      </c>
      <c r="N332" t="s">
        <v>2183</v>
      </c>
      <c r="O332">
        <v>5</v>
      </c>
      <c r="P332" t="s">
        <v>55</v>
      </c>
      <c r="Q332" t="b">
        <v>1</v>
      </c>
    </row>
    <row r="333" spans="1:17">
      <c r="A333" s="12">
        <v>41972</v>
      </c>
      <c r="B333" s="10">
        <v>3</v>
      </c>
      <c r="C333" s="10">
        <v>2.01</v>
      </c>
      <c r="D333" s="10">
        <v>3.3</v>
      </c>
      <c r="E333" s="10">
        <v>31</v>
      </c>
      <c r="F333" s="10">
        <v>16</v>
      </c>
      <c r="G333" s="10">
        <v>0</v>
      </c>
      <c r="H333" s="10">
        <v>0</v>
      </c>
      <c r="I333" s="10">
        <v>5</v>
      </c>
      <c r="J333" s="10">
        <f>SUM(B333:I333)</f>
        <v>60.31</v>
      </c>
      <c r="K333">
        <v>2014</v>
      </c>
      <c r="L333">
        <v>11</v>
      </c>
      <c r="M333" s="11">
        <v>41944</v>
      </c>
      <c r="N333" t="s">
        <v>2183</v>
      </c>
      <c r="O333">
        <v>6</v>
      </c>
      <c r="P333" t="s">
        <v>57</v>
      </c>
      <c r="Q333" t="b">
        <v>1</v>
      </c>
    </row>
    <row r="334" spans="1:17">
      <c r="A334" s="12">
        <v>41973</v>
      </c>
      <c r="B334" s="10">
        <v>5.68</v>
      </c>
      <c r="C334" s="10">
        <v>1.33</v>
      </c>
      <c r="D334" s="10">
        <v>5</v>
      </c>
      <c r="E334" s="10">
        <v>22.6</v>
      </c>
      <c r="F334" s="10">
        <v>9</v>
      </c>
      <c r="G334" s="10">
        <v>1</v>
      </c>
      <c r="H334" s="10">
        <v>0</v>
      </c>
      <c r="I334" s="10">
        <v>2</v>
      </c>
      <c r="J334" s="10">
        <f>SUM(B334:I334)</f>
        <v>46.61</v>
      </c>
      <c r="K334">
        <v>2014</v>
      </c>
      <c r="L334">
        <v>11</v>
      </c>
      <c r="M334" s="11">
        <v>41944</v>
      </c>
      <c r="N334" t="s">
        <v>2183</v>
      </c>
      <c r="O334">
        <v>7</v>
      </c>
      <c r="P334" t="s">
        <v>59</v>
      </c>
      <c r="Q334" t="b">
        <v>1</v>
      </c>
    </row>
    <row r="335" spans="1:17">
      <c r="A335" s="12">
        <v>41974</v>
      </c>
      <c r="B335" s="10">
        <v>4.34</v>
      </c>
      <c r="C335" s="10">
        <v>4.01</v>
      </c>
      <c r="D335" s="10">
        <v>0</v>
      </c>
      <c r="E335" s="10">
        <v>36.4</v>
      </c>
      <c r="F335" s="10">
        <v>19</v>
      </c>
      <c r="G335" s="10">
        <v>0</v>
      </c>
      <c r="H335" s="10">
        <v>2</v>
      </c>
      <c r="I335" s="10">
        <v>2</v>
      </c>
      <c r="J335" s="10">
        <f>SUM(B335:I335)</f>
        <v>67.75</v>
      </c>
      <c r="K335">
        <v>2014</v>
      </c>
      <c r="L335">
        <v>12</v>
      </c>
      <c r="M335" s="11">
        <v>41974</v>
      </c>
      <c r="N335" t="s">
        <v>2184</v>
      </c>
      <c r="O335">
        <v>1</v>
      </c>
      <c r="P335" t="s">
        <v>61</v>
      </c>
      <c r="Q335" t="b">
        <v>1</v>
      </c>
    </row>
    <row r="336" spans="1:17">
      <c r="A336" s="12">
        <v>41975</v>
      </c>
      <c r="B336" s="10">
        <v>6.99</v>
      </c>
      <c r="C336" s="10">
        <v>4.33</v>
      </c>
      <c r="D336" s="10">
        <v>3.7</v>
      </c>
      <c r="E336" s="10">
        <v>7.8</v>
      </c>
      <c r="F336" s="10">
        <v>26</v>
      </c>
      <c r="G336" s="10">
        <v>0</v>
      </c>
      <c r="H336" s="10">
        <v>4</v>
      </c>
      <c r="I336" s="10">
        <v>1</v>
      </c>
      <c r="J336" s="10">
        <f>SUM(B336:I336)</f>
        <v>53.82</v>
      </c>
      <c r="K336">
        <v>2014</v>
      </c>
      <c r="L336">
        <v>12</v>
      </c>
      <c r="M336" s="11">
        <v>41974</v>
      </c>
      <c r="N336" t="s">
        <v>2184</v>
      </c>
      <c r="O336">
        <v>2</v>
      </c>
      <c r="P336" t="s">
        <v>63</v>
      </c>
      <c r="Q336" t="b">
        <v>1</v>
      </c>
    </row>
    <row r="337" spans="1:17">
      <c r="A337" s="12">
        <v>41976</v>
      </c>
      <c r="B337" s="10">
        <v>4</v>
      </c>
      <c r="C337" s="10">
        <v>3.33</v>
      </c>
      <c r="D337" s="10">
        <v>5</v>
      </c>
      <c r="E337" s="10">
        <v>16.6</v>
      </c>
      <c r="F337" s="10">
        <v>23</v>
      </c>
      <c r="G337" s="10">
        <v>2</v>
      </c>
      <c r="H337" s="10">
        <v>13</v>
      </c>
      <c r="I337" s="10">
        <v>3.2</v>
      </c>
      <c r="J337" s="10">
        <f>SUM(B337:I337)</f>
        <v>70.13000000000001</v>
      </c>
      <c r="K337">
        <v>2014</v>
      </c>
      <c r="L337">
        <v>12</v>
      </c>
      <c r="M337" s="11">
        <v>41974</v>
      </c>
      <c r="N337" t="s">
        <v>2184</v>
      </c>
      <c r="O337">
        <v>3</v>
      </c>
      <c r="P337" t="s">
        <v>65</v>
      </c>
      <c r="Q337" t="b">
        <v>1</v>
      </c>
    </row>
    <row r="338" spans="1:17">
      <c r="A338" s="12">
        <v>41977</v>
      </c>
      <c r="B338" s="10">
        <v>3</v>
      </c>
      <c r="C338" s="10">
        <v>4.34</v>
      </c>
      <c r="D338" s="10">
        <v>3.6</v>
      </c>
      <c r="E338" s="10">
        <v>28.7</v>
      </c>
      <c r="F338" s="10">
        <v>16</v>
      </c>
      <c r="G338" s="10">
        <v>1</v>
      </c>
      <c r="H338" s="10">
        <v>1</v>
      </c>
      <c r="I338" s="10">
        <v>0</v>
      </c>
      <c r="J338" s="10">
        <f>SUM(B338:I338)</f>
        <v>57.64</v>
      </c>
      <c r="K338">
        <v>2014</v>
      </c>
      <c r="L338">
        <v>12</v>
      </c>
      <c r="M338" s="11">
        <v>41974</v>
      </c>
      <c r="N338" t="s">
        <v>2184</v>
      </c>
      <c r="O338">
        <v>4</v>
      </c>
      <c r="P338" t="s">
        <v>53</v>
      </c>
      <c r="Q338" t="b">
        <v>1</v>
      </c>
    </row>
    <row r="339" spans="1:17">
      <c r="A339" s="12">
        <v>41978</v>
      </c>
      <c r="B339" s="10">
        <v>2.02</v>
      </c>
      <c r="C339" s="10">
        <v>5.68</v>
      </c>
      <c r="D339" s="10">
        <v>1</v>
      </c>
      <c r="E339" s="10">
        <v>28.1</v>
      </c>
      <c r="F339" s="10">
        <v>15</v>
      </c>
      <c r="G339" s="10">
        <v>1</v>
      </c>
      <c r="H339" s="10">
        <v>1</v>
      </c>
      <c r="I339" s="10">
        <v>2.2</v>
      </c>
      <c r="J339" s="10">
        <f>SUM(B339:I339)</f>
        <v>56.0</v>
      </c>
      <c r="K339">
        <v>2014</v>
      </c>
      <c r="L339">
        <v>12</v>
      </c>
      <c r="M339" s="11">
        <v>41974</v>
      </c>
      <c r="N339" t="s">
        <v>2184</v>
      </c>
      <c r="O339">
        <v>5</v>
      </c>
      <c r="P339" t="s">
        <v>55</v>
      </c>
      <c r="Q339" t="b">
        <v>1</v>
      </c>
    </row>
    <row r="340" spans="1:17">
      <c r="A340" s="12">
        <v>41979</v>
      </c>
      <c r="B340" s="10">
        <v>3.34</v>
      </c>
      <c r="C340" s="10">
        <v>3.68</v>
      </c>
      <c r="D340" s="10">
        <v>1</v>
      </c>
      <c r="E340" s="10">
        <v>12.4</v>
      </c>
      <c r="F340" s="10">
        <v>9</v>
      </c>
      <c r="G340" s="10">
        <v>0</v>
      </c>
      <c r="H340" s="10">
        <v>7</v>
      </c>
      <c r="I340" s="10">
        <v>1</v>
      </c>
      <c r="J340" s="10">
        <f>SUM(B340:I340)</f>
        <v>37.42</v>
      </c>
      <c r="K340">
        <v>2014</v>
      </c>
      <c r="L340">
        <v>12</v>
      </c>
      <c r="M340" s="11">
        <v>41974</v>
      </c>
      <c r="N340" t="s">
        <v>2184</v>
      </c>
      <c r="O340">
        <v>6</v>
      </c>
      <c r="P340" t="s">
        <v>57</v>
      </c>
      <c r="Q340" t="b">
        <v>1</v>
      </c>
    </row>
    <row r="341" spans="1:17">
      <c r="A341" s="12">
        <v>41980</v>
      </c>
      <c r="B341" s="10">
        <v>5</v>
      </c>
      <c r="C341" s="10">
        <v>4.911</v>
      </c>
      <c r="D341" s="10">
        <v>4</v>
      </c>
      <c r="E341" s="10">
        <v>45.7</v>
      </c>
      <c r="F341" s="10">
        <v>6</v>
      </c>
      <c r="G341" s="10">
        <v>0</v>
      </c>
      <c r="H341" s="10">
        <v>12</v>
      </c>
      <c r="I341" s="10">
        <v>0</v>
      </c>
      <c r="J341" s="10">
        <f>SUM(B341:I341)</f>
        <v>77.611</v>
      </c>
      <c r="K341">
        <v>2014</v>
      </c>
      <c r="L341">
        <v>12</v>
      </c>
      <c r="M341" s="11">
        <v>41974</v>
      </c>
      <c r="N341" t="s">
        <v>2184</v>
      </c>
      <c r="O341">
        <v>7</v>
      </c>
      <c r="P341" t="s">
        <v>59</v>
      </c>
      <c r="Q341" t="b">
        <v>1</v>
      </c>
    </row>
    <row r="342" spans="1:17">
      <c r="A342" s="12">
        <v>41981</v>
      </c>
      <c r="B342" s="10">
        <v>1</v>
      </c>
      <c r="C342" s="10">
        <v>3.33</v>
      </c>
      <c r="D342" s="10">
        <v>2</v>
      </c>
      <c r="E342" s="10">
        <v>20.3</v>
      </c>
      <c r="F342" s="10">
        <v>9</v>
      </c>
      <c r="G342" s="10">
        <v>0</v>
      </c>
      <c r="H342" s="10">
        <v>0</v>
      </c>
      <c r="I342" s="10">
        <v>0</v>
      </c>
      <c r="J342" s="10">
        <f>SUM(B342:I342)</f>
        <v>35.63</v>
      </c>
      <c r="K342">
        <v>2014</v>
      </c>
      <c r="L342">
        <v>12</v>
      </c>
      <c r="M342" s="11">
        <v>41974</v>
      </c>
      <c r="N342" t="s">
        <v>2184</v>
      </c>
      <c r="O342">
        <v>1</v>
      </c>
      <c r="P342" t="s">
        <v>61</v>
      </c>
      <c r="Q342" t="b">
        <v>1</v>
      </c>
    </row>
    <row r="343" spans="1:17">
      <c r="A343" s="12">
        <v>41982</v>
      </c>
      <c r="B343" s="10">
        <v>1</v>
      </c>
      <c r="C343" s="10">
        <v>2.34</v>
      </c>
      <c r="D343" s="10">
        <v>7</v>
      </c>
      <c r="E343" s="10">
        <v>27.28</v>
      </c>
      <c r="F343" s="10">
        <v>12</v>
      </c>
      <c r="G343" s="10">
        <v>1</v>
      </c>
      <c r="H343" s="10">
        <v>0</v>
      </c>
      <c r="I343" s="10">
        <v>2</v>
      </c>
      <c r="J343" s="10">
        <f>SUM(B343:I343)</f>
        <v>52.620000000000005</v>
      </c>
      <c r="K343">
        <v>2014</v>
      </c>
      <c r="L343">
        <v>12</v>
      </c>
      <c r="M343" s="11">
        <v>41974</v>
      </c>
      <c r="N343" t="s">
        <v>2184</v>
      </c>
      <c r="O343">
        <v>2</v>
      </c>
      <c r="P343" t="s">
        <v>63</v>
      </c>
      <c r="Q343" t="b">
        <v>1</v>
      </c>
    </row>
    <row r="344" spans="1:17">
      <c r="A344" s="12">
        <v>41983</v>
      </c>
      <c r="B344" s="10">
        <v>3.34</v>
      </c>
      <c r="C344" s="10">
        <v>3</v>
      </c>
      <c r="D344" s="10">
        <v>2</v>
      </c>
      <c r="E344" s="10">
        <v>51.2</v>
      </c>
      <c r="F344" s="10">
        <v>28</v>
      </c>
      <c r="G344" s="10">
        <v>3</v>
      </c>
      <c r="H344" s="10">
        <v>6</v>
      </c>
      <c r="I344" s="10">
        <v>0</v>
      </c>
      <c r="J344" s="10">
        <f>SUM(B344:I344)</f>
        <v>96.54</v>
      </c>
      <c r="K344">
        <v>2014</v>
      </c>
      <c r="L344">
        <v>12</v>
      </c>
      <c r="M344" s="11">
        <v>41974</v>
      </c>
      <c r="N344" t="s">
        <v>2184</v>
      </c>
      <c r="O344">
        <v>3</v>
      </c>
      <c r="P344" t="s">
        <v>65</v>
      </c>
      <c r="Q344" t="b">
        <v>1</v>
      </c>
    </row>
    <row r="345" spans="1:17">
      <c r="A345" s="12">
        <v>41984</v>
      </c>
      <c r="B345" s="10">
        <v>2.34</v>
      </c>
      <c r="C345" s="10">
        <v>5.33</v>
      </c>
      <c r="D345" s="10">
        <v>7</v>
      </c>
      <c r="E345" s="10">
        <v>16.3</v>
      </c>
      <c r="F345" s="10">
        <v>21</v>
      </c>
      <c r="G345" s="10">
        <v>2</v>
      </c>
      <c r="H345" s="10">
        <v>0</v>
      </c>
      <c r="I345" s="10">
        <v>0</v>
      </c>
      <c r="J345" s="10">
        <f>SUM(B345:I345)</f>
        <v>53.97</v>
      </c>
      <c r="K345">
        <v>2014</v>
      </c>
      <c r="L345">
        <v>12</v>
      </c>
      <c r="M345" s="11">
        <v>41974</v>
      </c>
      <c r="N345" t="s">
        <v>2184</v>
      </c>
      <c r="O345">
        <v>4</v>
      </c>
      <c r="P345" t="s">
        <v>53</v>
      </c>
      <c r="Q345" t="b">
        <v>1</v>
      </c>
    </row>
    <row r="346" spans="1:17">
      <c r="A346" s="12">
        <v>41985</v>
      </c>
      <c r="B346" s="10">
        <v>6.34</v>
      </c>
      <c r="C346" s="10">
        <v>2.34</v>
      </c>
      <c r="D346" s="10">
        <v>5.6</v>
      </c>
      <c r="E346" s="10">
        <v>41.4</v>
      </c>
      <c r="F346" s="10">
        <v>18</v>
      </c>
      <c r="G346" s="10">
        <v>0</v>
      </c>
      <c r="H346" s="10">
        <v>2</v>
      </c>
      <c r="I346" s="10">
        <v>0</v>
      </c>
      <c r="J346" s="10">
        <f>SUM(B346:I346)</f>
        <v>75.68</v>
      </c>
      <c r="K346">
        <v>2014</v>
      </c>
      <c r="L346">
        <v>12</v>
      </c>
      <c r="M346" s="11">
        <v>41974</v>
      </c>
      <c r="N346" t="s">
        <v>2184</v>
      </c>
      <c r="O346">
        <v>5</v>
      </c>
      <c r="P346" t="s">
        <v>55</v>
      </c>
      <c r="Q346" t="b">
        <v>1</v>
      </c>
    </row>
    <row r="347" spans="1:17">
      <c r="A347" s="12">
        <v>41986</v>
      </c>
      <c r="B347" s="10">
        <v>1</v>
      </c>
      <c r="C347" s="10">
        <v>3.34</v>
      </c>
      <c r="D347" s="10">
        <v>2.4</v>
      </c>
      <c r="E347" s="10">
        <v>25.1</v>
      </c>
      <c r="F347" s="10">
        <v>11</v>
      </c>
      <c r="G347" s="10">
        <v>1</v>
      </c>
      <c r="H347" s="10">
        <v>7</v>
      </c>
      <c r="I347" s="10">
        <v>0</v>
      </c>
      <c r="J347" s="10">
        <f>SUM(B347:I347)</f>
        <v>50.84</v>
      </c>
      <c r="K347">
        <v>2014</v>
      </c>
      <c r="L347">
        <v>12</v>
      </c>
      <c r="M347" s="11">
        <v>41974</v>
      </c>
      <c r="N347" t="s">
        <v>2184</v>
      </c>
      <c r="O347">
        <v>6</v>
      </c>
      <c r="P347" t="s">
        <v>57</v>
      </c>
      <c r="Q347" t="b">
        <v>1</v>
      </c>
    </row>
    <row r="348" spans="1:17">
      <c r="A348" s="12">
        <v>41987</v>
      </c>
      <c r="B348" s="10">
        <v>10</v>
      </c>
      <c r="C348" s="10">
        <v>2.34</v>
      </c>
      <c r="D348" s="10">
        <v>4.4</v>
      </c>
      <c r="E348" s="10">
        <v>40</v>
      </c>
      <c r="F348" s="10">
        <v>10</v>
      </c>
      <c r="G348" s="10">
        <v>0</v>
      </c>
      <c r="H348" s="10">
        <v>6</v>
      </c>
      <c r="I348" s="10">
        <v>1</v>
      </c>
      <c r="J348" s="10">
        <f>SUM(B348:I348)</f>
        <v>73.74000000000001</v>
      </c>
      <c r="K348">
        <v>2014</v>
      </c>
      <c r="L348">
        <v>12</v>
      </c>
      <c r="M348" s="11">
        <v>41974</v>
      </c>
      <c r="N348" t="s">
        <v>2184</v>
      </c>
      <c r="O348">
        <v>7</v>
      </c>
      <c r="P348" t="s">
        <v>59</v>
      </c>
      <c r="Q348" t="b">
        <v>1</v>
      </c>
    </row>
    <row r="349" spans="1:17">
      <c r="A349" s="12">
        <v>41988</v>
      </c>
      <c r="B349" s="10">
        <v>5.34</v>
      </c>
      <c r="C349" s="10">
        <v>4.02</v>
      </c>
      <c r="D349" s="10">
        <v>7.64</v>
      </c>
      <c r="E349" s="10">
        <v>42.2</v>
      </c>
      <c r="F349" s="10">
        <v>14</v>
      </c>
      <c r="G349" s="10">
        <v>1</v>
      </c>
      <c r="H349" s="10">
        <v>9</v>
      </c>
      <c r="I349" s="10">
        <v>1</v>
      </c>
      <c r="J349" s="10">
        <f>SUM(B349:I349)</f>
        <v>84.2</v>
      </c>
      <c r="K349">
        <v>2014</v>
      </c>
      <c r="L349">
        <v>12</v>
      </c>
      <c r="M349" s="11">
        <v>41974</v>
      </c>
      <c r="N349" t="s">
        <v>2184</v>
      </c>
      <c r="O349">
        <v>1</v>
      </c>
      <c r="P349" t="s">
        <v>61</v>
      </c>
      <c r="Q349" t="b">
        <v>1</v>
      </c>
    </row>
    <row r="350" spans="1:17">
      <c r="A350" s="12">
        <v>41989</v>
      </c>
      <c r="B350" s="10">
        <v>6.34</v>
      </c>
      <c r="C350" s="10">
        <v>1.34</v>
      </c>
      <c r="D350" s="10">
        <v>6.2</v>
      </c>
      <c r="E350" s="10">
        <v>23</v>
      </c>
      <c r="F350" s="10">
        <v>23</v>
      </c>
      <c r="G350" s="10">
        <v>3</v>
      </c>
      <c r="H350" s="10">
        <v>4</v>
      </c>
      <c r="I350" s="10">
        <v>1</v>
      </c>
      <c r="J350" s="10">
        <f>SUM(B350:I350)</f>
        <v>67.88</v>
      </c>
      <c r="K350">
        <v>2014</v>
      </c>
      <c r="L350">
        <v>12</v>
      </c>
      <c r="M350" s="11">
        <v>41974</v>
      </c>
      <c r="N350" t="s">
        <v>2184</v>
      </c>
      <c r="O350">
        <v>2</v>
      </c>
      <c r="P350" t="s">
        <v>63</v>
      </c>
      <c r="Q350" t="b">
        <v>1</v>
      </c>
    </row>
    <row r="351" spans="1:17">
      <c r="A351" s="12">
        <v>41990</v>
      </c>
      <c r="B351" s="10">
        <v>3</v>
      </c>
      <c r="C351" s="10">
        <v>3.67</v>
      </c>
      <c r="D351" s="10">
        <v>3.5</v>
      </c>
      <c r="E351" s="10">
        <v>28</v>
      </c>
      <c r="F351" s="10">
        <v>17</v>
      </c>
      <c r="G351" s="10">
        <v>2</v>
      </c>
      <c r="H351" s="10">
        <v>8</v>
      </c>
      <c r="I351" s="10">
        <v>0</v>
      </c>
      <c r="J351" s="10">
        <f>SUM(B351:I351)</f>
        <v>65.17</v>
      </c>
      <c r="K351">
        <v>2014</v>
      </c>
      <c r="L351">
        <v>12</v>
      </c>
      <c r="M351" s="11">
        <v>41974</v>
      </c>
      <c r="N351" t="s">
        <v>2184</v>
      </c>
      <c r="O351">
        <v>3</v>
      </c>
      <c r="P351" t="s">
        <v>65</v>
      </c>
      <c r="Q351" t="b">
        <v>1</v>
      </c>
    </row>
    <row r="352" spans="1:17">
      <c r="A352" s="12">
        <v>41991</v>
      </c>
      <c r="B352" s="10">
        <v>5</v>
      </c>
      <c r="C352" s="10">
        <v>3.67</v>
      </c>
      <c r="D352" s="10">
        <v>3</v>
      </c>
      <c r="E352" s="10">
        <v>26.6</v>
      </c>
      <c r="F352" s="10">
        <v>9</v>
      </c>
      <c r="G352" s="10">
        <v>0</v>
      </c>
      <c r="H352" s="10">
        <v>0</v>
      </c>
      <c r="I352" s="10">
        <v>0</v>
      </c>
      <c r="J352" s="10">
        <f>SUM(B352:I352)</f>
        <v>47.27</v>
      </c>
      <c r="K352">
        <v>2014</v>
      </c>
      <c r="L352">
        <v>12</v>
      </c>
      <c r="M352" s="11">
        <v>41974</v>
      </c>
      <c r="N352" t="s">
        <v>2184</v>
      </c>
      <c r="O352">
        <v>4</v>
      </c>
      <c r="P352" t="s">
        <v>53</v>
      </c>
      <c r="Q352" t="b">
        <v>1</v>
      </c>
    </row>
    <row r="353" spans="1:17">
      <c r="A353" s="12">
        <v>41992</v>
      </c>
      <c r="B353" s="10">
        <v>0</v>
      </c>
      <c r="C353" s="10">
        <v>0</v>
      </c>
      <c r="D353" s="10">
        <v>0</v>
      </c>
      <c r="E353" s="10">
        <v>0</v>
      </c>
      <c r="F353" s="10">
        <v>0</v>
      </c>
      <c r="G353" s="10">
        <v>0</v>
      </c>
      <c r="H353" s="10">
        <v>0</v>
      </c>
      <c r="I353" s="10">
        <v>0</v>
      </c>
      <c r="J353" s="10">
        <f>SUM(B353:I353)</f>
        <v>0.0</v>
      </c>
      <c r="K353">
        <v>2014</v>
      </c>
      <c r="L353">
        <v>12</v>
      </c>
      <c r="M353" s="11">
        <v>41974</v>
      </c>
      <c r="N353" t="s">
        <v>2184</v>
      </c>
      <c r="O353">
        <v>5</v>
      </c>
      <c r="P353" t="s">
        <v>55</v>
      </c>
      <c r="Q353" t="b">
        <v>1</v>
      </c>
    </row>
    <row r="354" spans="1:17">
      <c r="A354" s="12">
        <v>41993</v>
      </c>
      <c r="B354" s="10">
        <v>1</v>
      </c>
      <c r="C354" s="10">
        <v>3.66</v>
      </c>
      <c r="D354" s="10">
        <v>2</v>
      </c>
      <c r="E354" s="10">
        <v>31.3</v>
      </c>
      <c r="F354" s="10">
        <v>9</v>
      </c>
      <c r="G354" s="10">
        <v>0</v>
      </c>
      <c r="H354" s="10">
        <v>0</v>
      </c>
      <c r="I354" s="10">
        <v>3</v>
      </c>
      <c r="J354" s="10">
        <f>SUM(B354:I354)</f>
        <v>49.96</v>
      </c>
      <c r="K354">
        <v>2014</v>
      </c>
      <c r="L354">
        <v>12</v>
      </c>
      <c r="M354" s="11">
        <v>41974</v>
      </c>
      <c r="N354" t="s">
        <v>2184</v>
      </c>
      <c r="O354">
        <v>6</v>
      </c>
      <c r="P354" t="s">
        <v>57</v>
      </c>
      <c r="Q354" t="b">
        <v>1</v>
      </c>
    </row>
    <row r="355" spans="1:17">
      <c r="A355" s="12">
        <v>41994</v>
      </c>
      <c r="B355" s="10">
        <v>4.33</v>
      </c>
      <c r="C355" s="10">
        <v>4.33</v>
      </c>
      <c r="D355" s="10">
        <v>2</v>
      </c>
      <c r="E355" s="10">
        <v>52.5</v>
      </c>
      <c r="F355" s="10">
        <v>6</v>
      </c>
      <c r="G355" s="10">
        <v>0</v>
      </c>
      <c r="H355" s="10">
        <v>10</v>
      </c>
      <c r="I355" s="10">
        <v>1</v>
      </c>
      <c r="J355" s="10">
        <f>SUM(B355:I355)</f>
        <v>80.16</v>
      </c>
      <c r="K355">
        <v>2014</v>
      </c>
      <c r="L355">
        <v>12</v>
      </c>
      <c r="M355" s="11">
        <v>41974</v>
      </c>
      <c r="N355" t="s">
        <v>2184</v>
      </c>
      <c r="O355">
        <v>7</v>
      </c>
      <c r="P355" t="s">
        <v>59</v>
      </c>
      <c r="Q355" t="b">
        <v>1</v>
      </c>
    </row>
    <row r="356" spans="1:17">
      <c r="A356" s="12">
        <v>41995</v>
      </c>
      <c r="B356" s="10">
        <v>3.34</v>
      </c>
      <c r="C356" s="10">
        <v>4.68</v>
      </c>
      <c r="D356" s="10">
        <v>2.284</v>
      </c>
      <c r="E356" s="10">
        <v>19.6</v>
      </c>
      <c r="F356" s="10">
        <v>43</v>
      </c>
      <c r="G356" s="10">
        <v>1</v>
      </c>
      <c r="H356" s="10">
        <v>13</v>
      </c>
      <c r="I356" s="10">
        <v>4</v>
      </c>
      <c r="J356" s="10">
        <f>SUM(B356:I356)</f>
        <v>90.904</v>
      </c>
      <c r="K356">
        <v>2014</v>
      </c>
      <c r="L356">
        <v>12</v>
      </c>
      <c r="M356" s="11">
        <v>41974</v>
      </c>
      <c r="N356" t="s">
        <v>2184</v>
      </c>
      <c r="O356">
        <v>1</v>
      </c>
      <c r="P356" t="s">
        <v>61</v>
      </c>
      <c r="Q356" t="b">
        <v>1</v>
      </c>
    </row>
    <row r="357" spans="1:17">
      <c r="A357" s="12">
        <v>41996</v>
      </c>
      <c r="B357" s="10">
        <v>10.5</v>
      </c>
      <c r="C357" s="10">
        <v>3</v>
      </c>
      <c r="D357" s="10">
        <v>4.6</v>
      </c>
      <c r="E357" s="10">
        <v>40.4</v>
      </c>
      <c r="F357" s="10">
        <v>13</v>
      </c>
      <c r="G357" s="10">
        <v>2</v>
      </c>
      <c r="H357" s="10">
        <v>15</v>
      </c>
      <c r="I357" s="10">
        <v>0</v>
      </c>
      <c r="J357" s="10">
        <f>SUM(B357:I357)</f>
        <v>88.5</v>
      </c>
      <c r="K357">
        <v>2014</v>
      </c>
      <c r="L357">
        <v>12</v>
      </c>
      <c r="M357" s="11">
        <v>41974</v>
      </c>
      <c r="N357" t="s">
        <v>2184</v>
      </c>
      <c r="O357">
        <v>2</v>
      </c>
      <c r="P357" t="s">
        <v>63</v>
      </c>
      <c r="Q357" t="b">
        <v>1</v>
      </c>
    </row>
    <row r="358" spans="1:17">
      <c r="A358" s="12">
        <v>41997</v>
      </c>
      <c r="B358" s="10">
        <v>1</v>
      </c>
      <c r="C358" s="10">
        <v>3</v>
      </c>
      <c r="D358" s="10">
        <v>1</v>
      </c>
      <c r="E358" s="10">
        <v>41.6</v>
      </c>
      <c r="F358" s="10">
        <v>16</v>
      </c>
      <c r="G358" s="10">
        <v>0</v>
      </c>
      <c r="H358" s="10">
        <v>2</v>
      </c>
      <c r="I358" s="10">
        <v>2</v>
      </c>
      <c r="J358" s="10">
        <f>SUM(B358:I358)</f>
        <v>66.6</v>
      </c>
      <c r="K358">
        <v>2014</v>
      </c>
      <c r="L358">
        <v>12</v>
      </c>
      <c r="M358" s="11">
        <v>41974</v>
      </c>
      <c r="N358" t="s">
        <v>2184</v>
      </c>
      <c r="O358">
        <v>3</v>
      </c>
      <c r="P358" t="s">
        <v>65</v>
      </c>
      <c r="Q358" t="b">
        <v>1</v>
      </c>
    </row>
    <row r="359" spans="1:17">
      <c r="A359" s="12">
        <v>41998</v>
      </c>
      <c r="B359" s="10">
        <v>8.34</v>
      </c>
      <c r="C359" s="10">
        <v>2</v>
      </c>
      <c r="D359" s="10">
        <v>9.5</v>
      </c>
      <c r="E359" s="10">
        <v>31</v>
      </c>
      <c r="F359" s="10">
        <v>16</v>
      </c>
      <c r="G359" s="10">
        <v>0</v>
      </c>
      <c r="H359" s="10">
        <v>2</v>
      </c>
      <c r="I359" s="10">
        <v>2</v>
      </c>
      <c r="J359" s="10">
        <f>SUM(B359:I359)</f>
        <v>70.84</v>
      </c>
      <c r="K359">
        <v>2014</v>
      </c>
      <c r="L359">
        <v>12</v>
      </c>
      <c r="M359" s="11">
        <v>41974</v>
      </c>
      <c r="N359" t="s">
        <v>2184</v>
      </c>
      <c r="O359">
        <v>4</v>
      </c>
      <c r="P359" t="s">
        <v>53</v>
      </c>
      <c r="Q359" t="b">
        <v>1</v>
      </c>
    </row>
    <row r="360" spans="1:17">
      <c r="A360" s="12">
        <v>41999</v>
      </c>
      <c r="B360" s="10">
        <v>3.33</v>
      </c>
      <c r="C360" s="10">
        <v>4.01</v>
      </c>
      <c r="D360" s="10">
        <v>3</v>
      </c>
      <c r="E360" s="10">
        <v>30.7</v>
      </c>
      <c r="F360" s="10">
        <v>25</v>
      </c>
      <c r="G360" s="10">
        <v>1</v>
      </c>
      <c r="H360" s="10">
        <v>0</v>
      </c>
      <c r="I360" s="10">
        <v>0</v>
      </c>
      <c r="J360" s="10">
        <f>SUM(B360:I360)</f>
        <v>67.03999999999999</v>
      </c>
      <c r="K360">
        <v>2014</v>
      </c>
      <c r="L360">
        <v>12</v>
      </c>
      <c r="M360" s="11">
        <v>41974</v>
      </c>
      <c r="N360" t="s">
        <v>2184</v>
      </c>
      <c r="O360">
        <v>5</v>
      </c>
      <c r="P360" t="s">
        <v>55</v>
      </c>
      <c r="Q360" t="b">
        <v>1</v>
      </c>
    </row>
    <row r="361" spans="1:17">
      <c r="A361" s="12">
        <v>42000</v>
      </c>
      <c r="B361" s="10">
        <v>7.33</v>
      </c>
      <c r="C361" s="10">
        <v>5.34</v>
      </c>
      <c r="D361" s="10">
        <v>4.4</v>
      </c>
      <c r="E361" s="10">
        <v>39</v>
      </c>
      <c r="F361" s="10">
        <v>26</v>
      </c>
      <c r="G361" s="10">
        <v>0</v>
      </c>
      <c r="H361" s="10">
        <v>9</v>
      </c>
      <c r="I361" s="10">
        <v>3</v>
      </c>
      <c r="J361" s="10">
        <f>SUM(B361:I361)</f>
        <v>94.07</v>
      </c>
      <c r="K361">
        <v>2014</v>
      </c>
      <c r="L361">
        <v>12</v>
      </c>
      <c r="M361" s="11">
        <v>41974</v>
      </c>
      <c r="N361" t="s">
        <v>2184</v>
      </c>
      <c r="O361">
        <v>6</v>
      </c>
      <c r="P361" t="s">
        <v>57</v>
      </c>
      <c r="Q361" t="b">
        <v>1</v>
      </c>
    </row>
    <row r="362" spans="1:17">
      <c r="A362" s="12">
        <v>42001</v>
      </c>
      <c r="B362" s="10">
        <v>2.34</v>
      </c>
      <c r="C362" s="10">
        <v>10.76</v>
      </c>
      <c r="D362" s="10">
        <v>3</v>
      </c>
      <c r="E362" s="10">
        <v>80.40000000000001</v>
      </c>
      <c r="F362" s="10">
        <v>15</v>
      </c>
      <c r="G362" s="10">
        <v>0</v>
      </c>
      <c r="H362" s="10">
        <v>13</v>
      </c>
      <c r="I362" s="10">
        <v>1</v>
      </c>
      <c r="J362" s="10">
        <f>SUM(B362:I362)</f>
        <v>125.5</v>
      </c>
      <c r="K362">
        <v>2014</v>
      </c>
      <c r="L362">
        <v>12</v>
      </c>
      <c r="M362" s="11">
        <v>41974</v>
      </c>
      <c r="N362" t="s">
        <v>2184</v>
      </c>
      <c r="O362">
        <v>7</v>
      </c>
      <c r="P362" t="s">
        <v>59</v>
      </c>
      <c r="Q362" t="b">
        <v>1</v>
      </c>
    </row>
    <row r="363" spans="1:17">
      <c r="A363" s="12">
        <v>42002</v>
      </c>
      <c r="B363" s="10">
        <v>2.33</v>
      </c>
      <c r="C363" s="10">
        <v>3.66</v>
      </c>
      <c r="D363" s="10">
        <v>4</v>
      </c>
      <c r="E363" s="10">
        <v>40</v>
      </c>
      <c r="F363" s="10">
        <v>5</v>
      </c>
      <c r="G363" s="10">
        <v>1</v>
      </c>
      <c r="H363" s="10">
        <v>2</v>
      </c>
      <c r="I363" s="10">
        <v>0</v>
      </c>
      <c r="J363" s="10">
        <f>SUM(B363:I363)</f>
        <v>57.99</v>
      </c>
      <c r="K363">
        <v>2014</v>
      </c>
      <c r="L363">
        <v>12</v>
      </c>
      <c r="M363" s="11">
        <v>41974</v>
      </c>
      <c r="N363" t="s">
        <v>2184</v>
      </c>
      <c r="O363">
        <v>1</v>
      </c>
      <c r="P363" t="s">
        <v>61</v>
      </c>
      <c r="Q363" t="b">
        <v>1</v>
      </c>
    </row>
    <row r="364" spans="1:17">
      <c r="A364" s="12">
        <v>42003</v>
      </c>
      <c r="B364" s="10">
        <v>9</v>
      </c>
      <c r="C364" s="10">
        <v>5.63</v>
      </c>
      <c r="D364" s="10">
        <v>3.8</v>
      </c>
      <c r="E364" s="10">
        <v>51</v>
      </c>
      <c r="F364" s="10">
        <v>18</v>
      </c>
      <c r="G364" s="10">
        <v>0</v>
      </c>
      <c r="H364" s="10">
        <v>5</v>
      </c>
      <c r="I364" s="10">
        <v>2</v>
      </c>
      <c r="J364" s="10">
        <f>SUM(B364:I364)</f>
        <v>94.43</v>
      </c>
      <c r="K364">
        <v>2014</v>
      </c>
      <c r="L364">
        <v>12</v>
      </c>
      <c r="M364" s="11">
        <v>41974</v>
      </c>
      <c r="N364" t="s">
        <v>2184</v>
      </c>
      <c r="O364">
        <v>2</v>
      </c>
      <c r="P364" t="s">
        <v>63</v>
      </c>
      <c r="Q364" t="b">
        <v>1</v>
      </c>
    </row>
    <row r="365" spans="1:17">
      <c r="A365" s="12">
        <v>42004</v>
      </c>
      <c r="B365" s="10">
        <v>5.67</v>
      </c>
      <c r="C365" s="10">
        <v>6.33</v>
      </c>
      <c r="D365" s="10">
        <v>2.5</v>
      </c>
      <c r="E365" s="10">
        <v>41.08</v>
      </c>
      <c r="F365" s="10">
        <v>14</v>
      </c>
      <c r="G365" s="10">
        <v>3</v>
      </c>
      <c r="H365" s="10">
        <v>10</v>
      </c>
      <c r="I365" s="10">
        <v>1</v>
      </c>
      <c r="J365" s="10">
        <f>SUM(B365:I365)</f>
        <v>83.58</v>
      </c>
      <c r="K365">
        <v>2014</v>
      </c>
      <c r="L365">
        <v>12</v>
      </c>
      <c r="M365" s="11">
        <v>41974</v>
      </c>
      <c r="N365" t="s">
        <v>2184</v>
      </c>
      <c r="O365">
        <v>3</v>
      </c>
      <c r="P365" t="s">
        <v>65</v>
      </c>
      <c r="Q365" t="b">
        <v>1</v>
      </c>
    </row>
    <row r="366" spans="1:17">
      <c r="A366" s="12">
        <v>42005</v>
      </c>
      <c r="B366" s="10">
        <v>0</v>
      </c>
      <c r="C366" s="10">
        <v>0</v>
      </c>
      <c r="D366" s="10">
        <v>0</v>
      </c>
      <c r="E366" s="10">
        <v>0</v>
      </c>
      <c r="F366" s="10">
        <v>0</v>
      </c>
      <c r="G366" s="10">
        <v>0</v>
      </c>
      <c r="H366" s="10">
        <v>0</v>
      </c>
      <c r="I366" s="10">
        <v>0</v>
      </c>
      <c r="J366" s="10">
        <f>SUM(B366:I366)</f>
        <v>0.0</v>
      </c>
      <c r="K366">
        <v>2015</v>
      </c>
      <c r="L366">
        <v>1</v>
      </c>
      <c r="M366" s="11">
        <v>42005</v>
      </c>
      <c r="N366" t="s">
        <v>2173</v>
      </c>
      <c r="O366">
        <v>4</v>
      </c>
      <c r="P366" t="s">
        <v>53</v>
      </c>
      <c r="Q366" t="b">
        <v>1</v>
      </c>
    </row>
    <row r="367" spans="1:17">
      <c r="A367" s="12">
        <v>42006</v>
      </c>
      <c r="B367" s="10">
        <v>6</v>
      </c>
      <c r="C367" s="10">
        <v>5.33</v>
      </c>
      <c r="D367" s="10">
        <v>4.9</v>
      </c>
      <c r="E367" s="10">
        <v>50.8</v>
      </c>
      <c r="F367" s="10">
        <v>13</v>
      </c>
      <c r="G367" s="10">
        <v>0</v>
      </c>
      <c r="H367" s="10">
        <v>6.25</v>
      </c>
      <c r="I367" s="10">
        <v>2</v>
      </c>
      <c r="J367" s="10">
        <f>SUM(B367:I367)</f>
        <v>88.28</v>
      </c>
      <c r="K367">
        <v>2015</v>
      </c>
      <c r="L367">
        <v>1</v>
      </c>
      <c r="M367" s="11">
        <v>42005</v>
      </c>
      <c r="N367" t="s">
        <v>2173</v>
      </c>
      <c r="O367">
        <v>5</v>
      </c>
      <c r="P367" t="s">
        <v>55</v>
      </c>
      <c r="Q367" t="b">
        <v>1</v>
      </c>
    </row>
    <row r="368" spans="1:17">
      <c r="A368" s="12">
        <v>42007</v>
      </c>
      <c r="B368" s="10">
        <v>9</v>
      </c>
      <c r="C368" s="10">
        <v>4.67</v>
      </c>
      <c r="D368" s="10">
        <v>6</v>
      </c>
      <c r="E368" s="10">
        <v>57.24</v>
      </c>
      <c r="F368" s="10">
        <v>11</v>
      </c>
      <c r="G368" s="10">
        <v>3</v>
      </c>
      <c r="H368" s="10">
        <v>0</v>
      </c>
      <c r="I368" s="10">
        <v>4</v>
      </c>
      <c r="J368" s="10">
        <f>SUM(B368:I368)</f>
        <v>94.91</v>
      </c>
      <c r="K368">
        <v>2015</v>
      </c>
      <c r="L368">
        <v>1</v>
      </c>
      <c r="M368" s="11">
        <v>42005</v>
      </c>
      <c r="N368" t="s">
        <v>2173</v>
      </c>
      <c r="O368">
        <v>6</v>
      </c>
      <c r="P368" t="s">
        <v>57</v>
      </c>
      <c r="Q368" t="b">
        <v>1</v>
      </c>
    </row>
    <row r="369" spans="1:17">
      <c r="A369" s="12">
        <v>42008</v>
      </c>
      <c r="B369" s="10">
        <v>4.68</v>
      </c>
      <c r="C369" s="10">
        <v>8.92</v>
      </c>
      <c r="D369" s="10">
        <v>3.5</v>
      </c>
      <c r="E369" s="10">
        <v>60.1</v>
      </c>
      <c r="F369" s="10">
        <v>4</v>
      </c>
      <c r="G369" s="10">
        <v>0</v>
      </c>
      <c r="H369" s="10">
        <v>2</v>
      </c>
      <c r="I369" s="10">
        <v>1</v>
      </c>
      <c r="J369" s="10">
        <f>SUM(B369:I369)</f>
        <v>84.2</v>
      </c>
      <c r="K369">
        <v>2015</v>
      </c>
      <c r="L369">
        <v>1</v>
      </c>
      <c r="M369" s="11">
        <v>42005</v>
      </c>
      <c r="N369" t="s">
        <v>2173</v>
      </c>
      <c r="O369">
        <v>7</v>
      </c>
      <c r="P369" t="s">
        <v>59</v>
      </c>
      <c r="Q369" t="b">
        <v>1</v>
      </c>
    </row>
    <row r="370" spans="1:17">
      <c r="A370" s="12">
        <v>42009</v>
      </c>
      <c r="B370" s="10">
        <v>2.34</v>
      </c>
      <c r="C370" s="10">
        <v>3.32</v>
      </c>
      <c r="D370" s="10">
        <v>1</v>
      </c>
      <c r="E370" s="10">
        <v>33.6</v>
      </c>
      <c r="F370" s="10">
        <v>14</v>
      </c>
      <c r="G370" s="10">
        <v>0</v>
      </c>
      <c r="H370" s="10">
        <v>16</v>
      </c>
      <c r="I370" s="10">
        <v>3</v>
      </c>
      <c r="J370" s="10">
        <f>SUM(B370:I370)</f>
        <v>73.26</v>
      </c>
      <c r="K370">
        <v>2015</v>
      </c>
      <c r="L370">
        <v>1</v>
      </c>
      <c r="M370" s="11">
        <v>42005</v>
      </c>
      <c r="N370" t="s">
        <v>2173</v>
      </c>
      <c r="O370">
        <v>1</v>
      </c>
      <c r="P370" t="s">
        <v>61</v>
      </c>
      <c r="Q370" t="b">
        <v>1</v>
      </c>
    </row>
    <row r="371" spans="1:17">
      <c r="A371" s="12">
        <v>42010</v>
      </c>
      <c r="B371" s="10">
        <v>3</v>
      </c>
      <c r="C371" s="10">
        <v>9.369999999999999</v>
      </c>
      <c r="D371" s="10">
        <v>7.3</v>
      </c>
      <c r="E371" s="10">
        <v>42</v>
      </c>
      <c r="F371" s="10">
        <v>13</v>
      </c>
      <c r="G371" s="10">
        <v>0</v>
      </c>
      <c r="H371" s="10">
        <v>3</v>
      </c>
      <c r="I371" s="10">
        <v>0</v>
      </c>
      <c r="J371" s="10">
        <f>SUM(B371:I371)</f>
        <v>77.67</v>
      </c>
      <c r="K371">
        <v>2015</v>
      </c>
      <c r="L371">
        <v>1</v>
      </c>
      <c r="M371" s="11">
        <v>42005</v>
      </c>
      <c r="N371" t="s">
        <v>2173</v>
      </c>
      <c r="O371">
        <v>2</v>
      </c>
      <c r="P371" t="s">
        <v>63</v>
      </c>
      <c r="Q371" t="b">
        <v>1</v>
      </c>
    </row>
    <row r="372" spans="1:17">
      <c r="A372" s="12">
        <v>42011</v>
      </c>
      <c r="B372" s="10">
        <v>0</v>
      </c>
      <c r="C372" s="10">
        <v>0</v>
      </c>
      <c r="D372" s="10">
        <v>0</v>
      </c>
      <c r="E372" s="10">
        <v>0</v>
      </c>
      <c r="F372" s="10">
        <v>0</v>
      </c>
      <c r="G372" s="10">
        <v>0</v>
      </c>
      <c r="H372" s="10">
        <v>0</v>
      </c>
      <c r="I372" s="10">
        <v>0</v>
      </c>
      <c r="J372" s="10">
        <f>SUM(B372:I372)</f>
        <v>0.0</v>
      </c>
      <c r="K372">
        <v>2015</v>
      </c>
      <c r="L372">
        <v>1</v>
      </c>
      <c r="M372" s="11">
        <v>42005</v>
      </c>
      <c r="N372" t="s">
        <v>2173</v>
      </c>
      <c r="O372">
        <v>3</v>
      </c>
      <c r="P372" t="s">
        <v>65</v>
      </c>
      <c r="Q372" t="b">
        <v>1</v>
      </c>
    </row>
    <row r="373" spans="1:17">
      <c r="A373" s="12">
        <v>42012</v>
      </c>
      <c r="B373" s="10">
        <v>2</v>
      </c>
      <c r="C373" s="10">
        <v>7.077</v>
      </c>
      <c r="D373" s="10">
        <v>1.2</v>
      </c>
      <c r="E373" s="10">
        <v>46.4</v>
      </c>
      <c r="F373" s="10">
        <v>13</v>
      </c>
      <c r="G373" s="10">
        <v>1</v>
      </c>
      <c r="H373" s="10">
        <v>1</v>
      </c>
      <c r="I373" s="10">
        <v>2</v>
      </c>
      <c r="J373" s="10">
        <f>SUM(B373:I373)</f>
        <v>73.67699999999999</v>
      </c>
      <c r="K373">
        <v>2015</v>
      </c>
      <c r="L373">
        <v>1</v>
      </c>
      <c r="M373" s="11">
        <v>42005</v>
      </c>
      <c r="N373" t="s">
        <v>2173</v>
      </c>
      <c r="O373">
        <v>4</v>
      </c>
      <c r="P373" t="s">
        <v>53</v>
      </c>
      <c r="Q373" t="b">
        <v>1</v>
      </c>
    </row>
    <row r="374" spans="1:17">
      <c r="A374" s="12">
        <v>42013</v>
      </c>
      <c r="B374" s="10">
        <v>3</v>
      </c>
      <c r="C374" s="10">
        <v>4.34</v>
      </c>
      <c r="D374" s="10">
        <v>9.4</v>
      </c>
      <c r="E374" s="10">
        <v>36.2</v>
      </c>
      <c r="F374" s="10">
        <v>33</v>
      </c>
      <c r="G374" s="10">
        <v>2</v>
      </c>
      <c r="H374" s="10">
        <v>7</v>
      </c>
      <c r="I374" s="10">
        <v>2</v>
      </c>
      <c r="J374" s="10">
        <f>SUM(B374:I374)</f>
        <v>96.94</v>
      </c>
      <c r="K374">
        <v>2015</v>
      </c>
      <c r="L374">
        <v>1</v>
      </c>
      <c r="M374" s="11">
        <v>42005</v>
      </c>
      <c r="N374" t="s">
        <v>2173</v>
      </c>
      <c r="O374">
        <v>5</v>
      </c>
      <c r="P374" t="s">
        <v>55</v>
      </c>
      <c r="Q374" t="b">
        <v>1</v>
      </c>
    </row>
    <row r="375" spans="1:17">
      <c r="A375" s="12">
        <v>42014</v>
      </c>
      <c r="B375" s="10">
        <v>6</v>
      </c>
      <c r="C375" s="10">
        <v>5.864</v>
      </c>
      <c r="D375" s="10">
        <v>7</v>
      </c>
      <c r="E375" s="10">
        <v>32.6</v>
      </c>
      <c r="F375" s="10">
        <v>14</v>
      </c>
      <c r="G375" s="10">
        <v>3</v>
      </c>
      <c r="H375" s="10">
        <v>1</v>
      </c>
      <c r="I375" s="10">
        <v>1</v>
      </c>
      <c r="J375" s="10">
        <f>SUM(B375:I375)</f>
        <v>70.464</v>
      </c>
      <c r="K375">
        <v>2015</v>
      </c>
      <c r="L375">
        <v>1</v>
      </c>
      <c r="M375" s="11">
        <v>42005</v>
      </c>
      <c r="N375" t="s">
        <v>2173</v>
      </c>
      <c r="O375">
        <v>6</v>
      </c>
      <c r="P375" t="s">
        <v>57</v>
      </c>
      <c r="Q375" t="b">
        <v>1</v>
      </c>
    </row>
    <row r="376" spans="1:17">
      <c r="A376" s="12">
        <v>42015</v>
      </c>
      <c r="B376" s="10">
        <v>3</v>
      </c>
      <c r="C376" s="10">
        <v>7.34</v>
      </c>
      <c r="D376" s="10">
        <v>7</v>
      </c>
      <c r="E376" s="10">
        <v>43.6</v>
      </c>
      <c r="F376" s="10">
        <v>11</v>
      </c>
      <c r="G376" s="10">
        <v>1</v>
      </c>
      <c r="H376" s="10">
        <v>11</v>
      </c>
      <c r="I376" s="10">
        <v>2</v>
      </c>
      <c r="J376" s="10">
        <f>SUM(B376:I376)</f>
        <v>85.94</v>
      </c>
      <c r="K376">
        <v>2015</v>
      </c>
      <c r="L376">
        <v>1</v>
      </c>
      <c r="M376" s="11">
        <v>42005</v>
      </c>
      <c r="N376" t="s">
        <v>2173</v>
      </c>
      <c r="O376">
        <v>7</v>
      </c>
      <c r="P376" t="s">
        <v>59</v>
      </c>
      <c r="Q376" t="b">
        <v>1</v>
      </c>
    </row>
    <row r="377" spans="1:17">
      <c r="A377" s="12">
        <v>42016</v>
      </c>
      <c r="B377" s="10">
        <v>2.33</v>
      </c>
      <c r="C377" s="10">
        <v>3.34</v>
      </c>
      <c r="D377" s="10">
        <v>7.5</v>
      </c>
      <c r="E377" s="10">
        <v>36.6</v>
      </c>
      <c r="F377" s="10">
        <v>18</v>
      </c>
      <c r="G377" s="10">
        <v>0</v>
      </c>
      <c r="H377" s="10">
        <v>6</v>
      </c>
      <c r="I377" s="10">
        <v>1</v>
      </c>
      <c r="J377" s="10">
        <f>SUM(B377:I377)</f>
        <v>74.77000000000001</v>
      </c>
      <c r="K377">
        <v>2015</v>
      </c>
      <c r="L377">
        <v>1</v>
      </c>
      <c r="M377" s="11">
        <v>42005</v>
      </c>
      <c r="N377" t="s">
        <v>2173</v>
      </c>
      <c r="O377">
        <v>1</v>
      </c>
      <c r="P377" t="s">
        <v>61</v>
      </c>
      <c r="Q377" t="b">
        <v>1</v>
      </c>
    </row>
    <row r="378" spans="1:17">
      <c r="A378" s="12">
        <v>42017</v>
      </c>
      <c r="B378" s="10">
        <v>10.34</v>
      </c>
      <c r="C378" s="10">
        <v>4.66</v>
      </c>
      <c r="D378" s="10">
        <v>10</v>
      </c>
      <c r="E378" s="10">
        <v>34</v>
      </c>
      <c r="F378" s="10">
        <v>14</v>
      </c>
      <c r="G378" s="10">
        <v>2</v>
      </c>
      <c r="H378" s="10">
        <v>4</v>
      </c>
      <c r="I378" s="10">
        <v>2</v>
      </c>
      <c r="J378" s="10">
        <f>SUM(B378:I378)</f>
        <v>81.0</v>
      </c>
      <c r="K378">
        <v>2015</v>
      </c>
      <c r="L378">
        <v>1</v>
      </c>
      <c r="M378" s="11">
        <v>42005</v>
      </c>
      <c r="N378" t="s">
        <v>2173</v>
      </c>
      <c r="O378">
        <v>2</v>
      </c>
      <c r="P378" t="s">
        <v>63</v>
      </c>
      <c r="Q378" t="b">
        <v>1</v>
      </c>
    </row>
    <row r="379" spans="1:17">
      <c r="A379" s="12">
        <v>42018</v>
      </c>
      <c r="B379" s="10">
        <v>3</v>
      </c>
      <c r="C379" s="10">
        <v>3.34</v>
      </c>
      <c r="D379" s="10">
        <v>5</v>
      </c>
      <c r="E379" s="10">
        <v>23</v>
      </c>
      <c r="F379" s="10">
        <v>20</v>
      </c>
      <c r="G379" s="10">
        <v>0</v>
      </c>
      <c r="H379" s="10">
        <v>1</v>
      </c>
      <c r="I379" s="10">
        <v>0</v>
      </c>
      <c r="J379" s="10">
        <f>SUM(B379:I379)</f>
        <v>55.34</v>
      </c>
      <c r="K379">
        <v>2015</v>
      </c>
      <c r="L379">
        <v>1</v>
      </c>
      <c r="M379" s="11">
        <v>42005</v>
      </c>
      <c r="N379" t="s">
        <v>2173</v>
      </c>
      <c r="O379">
        <v>3</v>
      </c>
      <c r="P379" t="s">
        <v>65</v>
      </c>
      <c r="Q379" t="b">
        <v>1</v>
      </c>
    </row>
    <row r="380" spans="1:17">
      <c r="A380" s="12">
        <v>42019</v>
      </c>
      <c r="B380" s="10">
        <v>6.67</v>
      </c>
      <c r="C380" s="10">
        <v>3</v>
      </c>
      <c r="D380" s="10">
        <v>1</v>
      </c>
      <c r="E380" s="10">
        <v>55.25</v>
      </c>
      <c r="F380" s="10">
        <v>13</v>
      </c>
      <c r="G380" s="10">
        <v>0</v>
      </c>
      <c r="H380" s="10">
        <v>15</v>
      </c>
      <c r="I380" s="10">
        <v>2</v>
      </c>
      <c r="J380" s="10">
        <f>SUM(B380:I380)</f>
        <v>95.92</v>
      </c>
      <c r="K380">
        <v>2015</v>
      </c>
      <c r="L380">
        <v>1</v>
      </c>
      <c r="M380" s="11">
        <v>42005</v>
      </c>
      <c r="N380" t="s">
        <v>2173</v>
      </c>
      <c r="O380">
        <v>4</v>
      </c>
      <c r="P380" t="s">
        <v>53</v>
      </c>
      <c r="Q380" t="b">
        <v>1</v>
      </c>
    </row>
    <row r="381" spans="1:17">
      <c r="A381" s="12">
        <v>42020</v>
      </c>
      <c r="B381" s="10">
        <v>6.33</v>
      </c>
      <c r="C381" s="10">
        <v>5.99</v>
      </c>
      <c r="D381" s="10">
        <v>3.8</v>
      </c>
      <c r="E381" s="10">
        <v>43</v>
      </c>
      <c r="F381" s="10">
        <v>16</v>
      </c>
      <c r="G381" s="10">
        <v>2</v>
      </c>
      <c r="H381" s="10">
        <v>6</v>
      </c>
      <c r="I381" s="10">
        <v>2</v>
      </c>
      <c r="J381" s="10">
        <f>SUM(B381:I381)</f>
        <v>85.12</v>
      </c>
      <c r="K381">
        <v>2015</v>
      </c>
      <c r="L381">
        <v>1</v>
      </c>
      <c r="M381" s="11">
        <v>42005</v>
      </c>
      <c r="N381" t="s">
        <v>2173</v>
      </c>
      <c r="O381">
        <v>5</v>
      </c>
      <c r="P381" t="s">
        <v>55</v>
      </c>
      <c r="Q381" t="b">
        <v>1</v>
      </c>
    </row>
    <row r="382" spans="1:17">
      <c r="A382" s="12">
        <v>42021</v>
      </c>
      <c r="B382" s="10">
        <v>6.68</v>
      </c>
      <c r="C382" s="10">
        <v>5.68</v>
      </c>
      <c r="D382" s="10">
        <v>7</v>
      </c>
      <c r="E382" s="10">
        <v>19.2</v>
      </c>
      <c r="F382" s="10">
        <v>18</v>
      </c>
      <c r="G382" s="10">
        <v>0</v>
      </c>
      <c r="H382" s="10">
        <v>0</v>
      </c>
      <c r="I382" s="10">
        <v>0</v>
      </c>
      <c r="J382" s="10">
        <f>SUM(B382:I382)</f>
        <v>56.56</v>
      </c>
      <c r="K382">
        <v>2015</v>
      </c>
      <c r="L382">
        <v>1</v>
      </c>
      <c r="M382" s="11">
        <v>42005</v>
      </c>
      <c r="N382" t="s">
        <v>2173</v>
      </c>
      <c r="O382">
        <v>6</v>
      </c>
      <c r="P382" t="s">
        <v>57</v>
      </c>
      <c r="Q382" t="b">
        <v>1</v>
      </c>
    </row>
    <row r="383" spans="1:17">
      <c r="A383" s="12">
        <v>42022</v>
      </c>
      <c r="B383" s="10">
        <v>4</v>
      </c>
      <c r="C383" s="10">
        <v>4.34</v>
      </c>
      <c r="D383" s="10">
        <v>4.5</v>
      </c>
      <c r="E383" s="10">
        <v>20.4</v>
      </c>
      <c r="F383" s="10">
        <v>16</v>
      </c>
      <c r="G383" s="10">
        <v>0</v>
      </c>
      <c r="H383" s="10">
        <v>0</v>
      </c>
      <c r="I383" s="10">
        <v>2</v>
      </c>
      <c r="J383" s="10">
        <f>SUM(B383:I383)</f>
        <v>51.239999999999995</v>
      </c>
      <c r="K383">
        <v>2015</v>
      </c>
      <c r="L383">
        <v>1</v>
      </c>
      <c r="M383" s="11">
        <v>42005</v>
      </c>
      <c r="N383" t="s">
        <v>2173</v>
      </c>
      <c r="O383">
        <v>7</v>
      </c>
      <c r="P383" t="s">
        <v>59</v>
      </c>
      <c r="Q383" t="b">
        <v>1</v>
      </c>
    </row>
    <row r="384" spans="1:17">
      <c r="A384" s="12">
        <v>42023</v>
      </c>
      <c r="B384" s="10">
        <v>5.34</v>
      </c>
      <c r="C384" s="10">
        <v>2.68</v>
      </c>
      <c r="D384" s="10">
        <v>1.1</v>
      </c>
      <c r="E384" s="10">
        <v>32</v>
      </c>
      <c r="F384" s="10">
        <v>12</v>
      </c>
      <c r="G384" s="10">
        <v>0</v>
      </c>
      <c r="H384" s="10">
        <v>20</v>
      </c>
      <c r="I384" s="10">
        <v>2</v>
      </c>
      <c r="J384" s="10">
        <f>SUM(B384:I384)</f>
        <v>75.12</v>
      </c>
      <c r="K384">
        <v>2015</v>
      </c>
      <c r="L384">
        <v>1</v>
      </c>
      <c r="M384" s="11">
        <v>42005</v>
      </c>
      <c r="N384" t="s">
        <v>2173</v>
      </c>
      <c r="O384">
        <v>1</v>
      </c>
      <c r="P384" t="s">
        <v>61</v>
      </c>
      <c r="Q384" t="b">
        <v>1</v>
      </c>
    </row>
    <row r="385" spans="1:17">
      <c r="A385" s="12">
        <v>42024</v>
      </c>
      <c r="B385" s="10">
        <v>4.34</v>
      </c>
      <c r="C385" s="10">
        <v>0.33</v>
      </c>
      <c r="D385" s="10">
        <v>6</v>
      </c>
      <c r="E385" s="10">
        <v>38</v>
      </c>
      <c r="F385" s="10">
        <v>24</v>
      </c>
      <c r="G385" s="10">
        <v>1</v>
      </c>
      <c r="H385" s="10">
        <v>4</v>
      </c>
      <c r="I385" s="10">
        <v>1</v>
      </c>
      <c r="J385" s="10">
        <f>SUM(B385:I385)</f>
        <v>78.67</v>
      </c>
      <c r="K385">
        <v>2015</v>
      </c>
      <c r="L385">
        <v>1</v>
      </c>
      <c r="M385" s="11">
        <v>42005</v>
      </c>
      <c r="N385" t="s">
        <v>2173</v>
      </c>
      <c r="O385">
        <v>2</v>
      </c>
      <c r="P385" t="s">
        <v>63</v>
      </c>
      <c r="Q385" t="b">
        <v>1</v>
      </c>
    </row>
    <row r="386" spans="1:17">
      <c r="A386" s="12">
        <v>42025</v>
      </c>
      <c r="B386" s="10">
        <v>4</v>
      </c>
      <c r="C386" s="10">
        <v>1</v>
      </c>
      <c r="D386" s="10">
        <v>2</v>
      </c>
      <c r="E386" s="10">
        <v>37.45</v>
      </c>
      <c r="F386" s="10">
        <v>17</v>
      </c>
      <c r="G386" s="10">
        <v>1</v>
      </c>
      <c r="H386" s="10">
        <v>0</v>
      </c>
      <c r="I386" s="10">
        <v>1</v>
      </c>
      <c r="J386" s="10">
        <f>SUM(B386:I386)</f>
        <v>63.45</v>
      </c>
      <c r="K386">
        <v>2015</v>
      </c>
      <c r="L386">
        <v>1</v>
      </c>
      <c r="M386" s="11">
        <v>42005</v>
      </c>
      <c r="N386" t="s">
        <v>2173</v>
      </c>
      <c r="O386">
        <v>3</v>
      </c>
      <c r="P386" t="s">
        <v>65</v>
      </c>
      <c r="Q386" t="b">
        <v>1</v>
      </c>
    </row>
    <row r="387" spans="1:17">
      <c r="A387" s="12">
        <v>42026</v>
      </c>
      <c r="B387" s="10">
        <v>4</v>
      </c>
      <c r="C387" s="10">
        <v>1.34</v>
      </c>
      <c r="D387" s="10">
        <v>4</v>
      </c>
      <c r="E387" s="10">
        <v>21.4</v>
      </c>
      <c r="F387" s="10">
        <v>19</v>
      </c>
      <c r="G387" s="10">
        <v>0</v>
      </c>
      <c r="H387" s="10">
        <v>0</v>
      </c>
      <c r="I387" s="10">
        <v>1</v>
      </c>
      <c r="J387" s="10">
        <f>SUM(B387:I387)</f>
        <v>50.739999999999995</v>
      </c>
      <c r="K387">
        <v>2015</v>
      </c>
      <c r="L387">
        <v>1</v>
      </c>
      <c r="M387" s="11">
        <v>42005</v>
      </c>
      <c r="N387" t="s">
        <v>2173</v>
      </c>
      <c r="O387">
        <v>4</v>
      </c>
      <c r="P387" t="s">
        <v>53</v>
      </c>
      <c r="Q387" t="b">
        <v>1</v>
      </c>
    </row>
    <row r="388" spans="1:17">
      <c r="A388" s="12">
        <v>42027</v>
      </c>
      <c r="B388" s="10">
        <v>3.67</v>
      </c>
      <c r="C388" s="10">
        <v>4.728</v>
      </c>
      <c r="D388" s="10">
        <v>8</v>
      </c>
      <c r="E388" s="10">
        <v>30</v>
      </c>
      <c r="F388" s="10">
        <v>14</v>
      </c>
      <c r="G388" s="10">
        <v>0</v>
      </c>
      <c r="H388" s="10">
        <v>7</v>
      </c>
      <c r="I388" s="10">
        <v>2</v>
      </c>
      <c r="J388" s="10">
        <f>SUM(B388:I388)</f>
        <v>69.398</v>
      </c>
      <c r="K388">
        <v>2015</v>
      </c>
      <c r="L388">
        <v>1</v>
      </c>
      <c r="M388" s="11">
        <v>42005</v>
      </c>
      <c r="N388" t="s">
        <v>2173</v>
      </c>
      <c r="O388">
        <v>5</v>
      </c>
      <c r="P388" t="s">
        <v>55</v>
      </c>
      <c r="Q388" t="b">
        <v>1</v>
      </c>
    </row>
    <row r="389" spans="1:17">
      <c r="A389" s="12">
        <v>42028</v>
      </c>
      <c r="B389" s="10">
        <v>4.34</v>
      </c>
      <c r="C389" s="10">
        <v>3.33</v>
      </c>
      <c r="D389" s="10">
        <v>9.199999999999999</v>
      </c>
      <c r="E389" s="10">
        <v>49.7</v>
      </c>
      <c r="F389" s="10">
        <v>31</v>
      </c>
      <c r="G389" s="10">
        <v>0</v>
      </c>
      <c r="H389" s="10">
        <v>22</v>
      </c>
      <c r="I389" s="10">
        <v>1</v>
      </c>
      <c r="J389" s="10">
        <f>SUM(B389:I389)</f>
        <v>120.57</v>
      </c>
      <c r="K389">
        <v>2015</v>
      </c>
      <c r="L389">
        <v>1</v>
      </c>
      <c r="M389" s="11">
        <v>42005</v>
      </c>
      <c r="N389" t="s">
        <v>2173</v>
      </c>
      <c r="O389">
        <v>6</v>
      </c>
      <c r="P389" t="s">
        <v>57</v>
      </c>
      <c r="Q389" t="b">
        <v>1</v>
      </c>
    </row>
    <row r="390" spans="1:17">
      <c r="A390" s="12">
        <v>42029</v>
      </c>
      <c r="B390" s="10">
        <v>4</v>
      </c>
      <c r="C390" s="10">
        <v>1.13</v>
      </c>
      <c r="D390" s="10">
        <v>1.9</v>
      </c>
      <c r="E390" s="10">
        <v>38</v>
      </c>
      <c r="F390" s="10">
        <v>11</v>
      </c>
      <c r="G390" s="10">
        <v>1</v>
      </c>
      <c r="H390" s="10">
        <v>5</v>
      </c>
      <c r="I390" s="10">
        <v>0</v>
      </c>
      <c r="J390" s="10">
        <f>SUM(B390:I390)</f>
        <v>62.03</v>
      </c>
      <c r="K390">
        <v>2015</v>
      </c>
      <c r="L390">
        <v>1</v>
      </c>
      <c r="M390" s="11">
        <v>42005</v>
      </c>
      <c r="N390" t="s">
        <v>2173</v>
      </c>
      <c r="O390">
        <v>7</v>
      </c>
      <c r="P390" t="s">
        <v>59</v>
      </c>
      <c r="Q390" t="b">
        <v>1</v>
      </c>
    </row>
    <row r="391" spans="1:17">
      <c r="A391" s="12">
        <v>42030</v>
      </c>
      <c r="B391" s="10">
        <v>8.5</v>
      </c>
      <c r="C391" s="10">
        <v>4.67</v>
      </c>
      <c r="D391" s="10">
        <v>4</v>
      </c>
      <c r="E391" s="10">
        <v>34.4</v>
      </c>
      <c r="F391" s="10">
        <v>15</v>
      </c>
      <c r="G391" s="10">
        <v>0</v>
      </c>
      <c r="H391" s="10">
        <v>13</v>
      </c>
      <c r="I391" s="10">
        <v>0</v>
      </c>
      <c r="J391" s="10">
        <f>SUM(B391:I391)</f>
        <v>79.57</v>
      </c>
      <c r="K391">
        <v>2015</v>
      </c>
      <c r="L391">
        <v>1</v>
      </c>
      <c r="M391" s="11">
        <v>42005</v>
      </c>
      <c r="N391" t="s">
        <v>2173</v>
      </c>
      <c r="O391">
        <v>1</v>
      </c>
      <c r="P391" t="s">
        <v>61</v>
      </c>
      <c r="Q391" t="b">
        <v>1</v>
      </c>
    </row>
    <row r="392" spans="1:17">
      <c r="A392" s="12">
        <v>42031</v>
      </c>
      <c r="B392" s="10">
        <v>2.67</v>
      </c>
      <c r="C392" s="10">
        <v>6.33</v>
      </c>
      <c r="D392" s="10">
        <v>1</v>
      </c>
      <c r="E392" s="10">
        <v>20</v>
      </c>
      <c r="F392" s="10">
        <v>14</v>
      </c>
      <c r="G392" s="10">
        <v>0</v>
      </c>
      <c r="H392" s="10">
        <v>0</v>
      </c>
      <c r="I392" s="10">
        <v>0</v>
      </c>
      <c r="J392" s="10">
        <f>SUM(B392:I392)</f>
        <v>44.0</v>
      </c>
      <c r="K392">
        <v>2015</v>
      </c>
      <c r="L392">
        <v>1</v>
      </c>
      <c r="M392" s="11">
        <v>42005</v>
      </c>
      <c r="N392" t="s">
        <v>2173</v>
      </c>
      <c r="O392">
        <v>2</v>
      </c>
      <c r="P392" t="s">
        <v>63</v>
      </c>
      <c r="Q392" t="b">
        <v>1</v>
      </c>
    </row>
    <row r="393" spans="1:17">
      <c r="A393" s="12">
        <v>42032</v>
      </c>
      <c r="B393" s="10">
        <v>3</v>
      </c>
      <c r="C393" s="10">
        <v>5.34</v>
      </c>
      <c r="D393" s="10">
        <v>3</v>
      </c>
      <c r="E393" s="10">
        <v>32</v>
      </c>
      <c r="F393" s="10">
        <v>18</v>
      </c>
      <c r="G393" s="10">
        <v>3</v>
      </c>
      <c r="H393" s="10">
        <v>5</v>
      </c>
      <c r="I393" s="10">
        <v>3</v>
      </c>
      <c r="J393" s="10">
        <f>SUM(B393:I393)</f>
        <v>72.34</v>
      </c>
      <c r="K393">
        <v>2015</v>
      </c>
      <c r="L393">
        <v>1</v>
      </c>
      <c r="M393" s="11">
        <v>42005</v>
      </c>
      <c r="N393" t="s">
        <v>2173</v>
      </c>
      <c r="O393">
        <v>3</v>
      </c>
      <c r="P393" t="s">
        <v>65</v>
      </c>
      <c r="Q393" t="b">
        <v>1</v>
      </c>
    </row>
    <row r="394" spans="1:17">
      <c r="A394" s="12">
        <v>42033</v>
      </c>
      <c r="B394" s="10">
        <v>4.34</v>
      </c>
      <c r="C394" s="10">
        <v>5.71</v>
      </c>
      <c r="D394" s="10">
        <v>8.699999999999999</v>
      </c>
      <c r="E394" s="10">
        <v>24.4</v>
      </c>
      <c r="F394" s="10">
        <v>16</v>
      </c>
      <c r="G394" s="10">
        <v>3</v>
      </c>
      <c r="H394" s="10">
        <v>11</v>
      </c>
      <c r="I394" s="10">
        <v>3</v>
      </c>
      <c r="J394" s="10">
        <f>SUM(B394:I394)</f>
        <v>76.15</v>
      </c>
      <c r="K394">
        <v>2015</v>
      </c>
      <c r="L394">
        <v>1</v>
      </c>
      <c r="M394" s="11">
        <v>42005</v>
      </c>
      <c r="N394" t="s">
        <v>2173</v>
      </c>
      <c r="O394">
        <v>4</v>
      </c>
      <c r="P394" t="s">
        <v>53</v>
      </c>
      <c r="Q394" t="b">
        <v>1</v>
      </c>
    </row>
    <row r="395" spans="1:17">
      <c r="A395" s="12">
        <v>42034</v>
      </c>
      <c r="B395" s="10">
        <v>1</v>
      </c>
      <c r="C395" s="10">
        <v>1.068</v>
      </c>
      <c r="D395" s="10">
        <v>1</v>
      </c>
      <c r="E395" s="10">
        <v>20.5</v>
      </c>
      <c r="F395" s="10">
        <v>19</v>
      </c>
      <c r="G395" s="10">
        <v>1</v>
      </c>
      <c r="H395" s="10">
        <v>0</v>
      </c>
      <c r="I395" s="10">
        <v>0</v>
      </c>
      <c r="J395" s="10">
        <f>SUM(B395:I395)</f>
        <v>43.568</v>
      </c>
      <c r="K395">
        <v>2015</v>
      </c>
      <c r="L395">
        <v>1</v>
      </c>
      <c r="M395" s="11">
        <v>42005</v>
      </c>
      <c r="N395" t="s">
        <v>2173</v>
      </c>
      <c r="O395">
        <v>5</v>
      </c>
      <c r="P395" t="s">
        <v>55</v>
      </c>
      <c r="Q395" t="b">
        <v>1</v>
      </c>
    </row>
    <row r="396" spans="1:17">
      <c r="A396" s="12">
        <v>42035</v>
      </c>
      <c r="B396" s="10">
        <v>8.34</v>
      </c>
      <c r="C396" s="10">
        <v>6.112</v>
      </c>
      <c r="D396" s="10">
        <v>5</v>
      </c>
      <c r="E396" s="10">
        <v>32.4</v>
      </c>
      <c r="F396" s="10">
        <v>12</v>
      </c>
      <c r="G396" s="10">
        <v>0</v>
      </c>
      <c r="H396" s="10">
        <v>11</v>
      </c>
      <c r="I396" s="10">
        <v>2</v>
      </c>
      <c r="J396" s="10">
        <f>SUM(B396:I396)</f>
        <v>76.852</v>
      </c>
      <c r="K396">
        <v>2015</v>
      </c>
      <c r="L396">
        <v>1</v>
      </c>
      <c r="M396" s="11">
        <v>42005</v>
      </c>
      <c r="N396" t="s">
        <v>2173</v>
      </c>
      <c r="O396">
        <v>6</v>
      </c>
      <c r="P396" t="s">
        <v>57</v>
      </c>
      <c r="Q396" t="b">
        <v>1</v>
      </c>
    </row>
    <row r="397" spans="1:17">
      <c r="A397" s="12">
        <v>42036</v>
      </c>
      <c r="B397" s="10">
        <v>4.34</v>
      </c>
      <c r="C397" s="10">
        <v>7.35</v>
      </c>
      <c r="D397" s="10">
        <v>7</v>
      </c>
      <c r="E397" s="10">
        <v>35.6</v>
      </c>
      <c r="F397" s="10">
        <v>7</v>
      </c>
      <c r="G397" s="10">
        <v>1</v>
      </c>
      <c r="H397" s="10">
        <v>0</v>
      </c>
      <c r="I397" s="10">
        <v>1</v>
      </c>
      <c r="J397" s="10">
        <f>SUM(B397:I397)</f>
        <v>63.29</v>
      </c>
      <c r="K397">
        <v>2015</v>
      </c>
      <c r="L397">
        <v>2</v>
      </c>
      <c r="M397" s="11">
        <v>42036</v>
      </c>
      <c r="N397" t="s">
        <v>2174</v>
      </c>
      <c r="O397">
        <v>7</v>
      </c>
      <c r="P397" t="s">
        <v>59</v>
      </c>
      <c r="Q397" t="b">
        <v>1</v>
      </c>
    </row>
    <row r="398" spans="1:17">
      <c r="A398" s="12">
        <v>42037</v>
      </c>
      <c r="B398" s="10">
        <v>6</v>
      </c>
      <c r="C398" s="10">
        <v>4</v>
      </c>
      <c r="D398" s="10">
        <v>5.1</v>
      </c>
      <c r="E398" s="10">
        <v>20.9</v>
      </c>
      <c r="F398" s="10">
        <v>14</v>
      </c>
      <c r="G398" s="10">
        <v>0</v>
      </c>
      <c r="H398" s="10">
        <v>3</v>
      </c>
      <c r="I398" s="10">
        <v>2</v>
      </c>
      <c r="J398" s="10">
        <f>SUM(B398:I398)</f>
        <v>55.0</v>
      </c>
      <c r="K398">
        <v>2015</v>
      </c>
      <c r="L398">
        <v>2</v>
      </c>
      <c r="M398" s="11">
        <v>42036</v>
      </c>
      <c r="N398" t="s">
        <v>2174</v>
      </c>
      <c r="O398">
        <v>1</v>
      </c>
      <c r="P398" t="s">
        <v>61</v>
      </c>
      <c r="Q398" t="b">
        <v>1</v>
      </c>
    </row>
    <row r="399" spans="1:17">
      <c r="A399" s="12">
        <v>42038</v>
      </c>
      <c r="B399" s="10">
        <v>3.33</v>
      </c>
      <c r="C399" s="10">
        <v>3</v>
      </c>
      <c r="D399" s="10">
        <v>6.2</v>
      </c>
      <c r="E399" s="10">
        <v>24.2</v>
      </c>
      <c r="F399" s="10">
        <v>18</v>
      </c>
      <c r="G399" s="10">
        <v>0</v>
      </c>
      <c r="H399" s="10">
        <v>6</v>
      </c>
      <c r="I399" s="10">
        <v>5</v>
      </c>
      <c r="J399" s="10">
        <f>SUM(B399:I399)</f>
        <v>65.73</v>
      </c>
      <c r="K399">
        <v>2015</v>
      </c>
      <c r="L399">
        <v>2</v>
      </c>
      <c r="M399" s="11">
        <v>42036</v>
      </c>
      <c r="N399" t="s">
        <v>2174</v>
      </c>
      <c r="O399">
        <v>2</v>
      </c>
      <c r="P399" t="s">
        <v>63</v>
      </c>
      <c r="Q399" t="b">
        <v>1</v>
      </c>
    </row>
    <row r="400" spans="1:17">
      <c r="A400" s="12">
        <v>42039</v>
      </c>
      <c r="B400" s="10">
        <v>2.34</v>
      </c>
      <c r="C400" s="10">
        <v>2.67</v>
      </c>
      <c r="D400" s="10">
        <v>2.4</v>
      </c>
      <c r="E400" s="10">
        <v>38.8</v>
      </c>
      <c r="F400" s="10">
        <v>6</v>
      </c>
      <c r="G400" s="10">
        <v>0</v>
      </c>
      <c r="H400" s="10">
        <v>12</v>
      </c>
      <c r="I400" s="10">
        <v>0</v>
      </c>
      <c r="J400" s="10">
        <f>SUM(B400:I400)</f>
        <v>64.21</v>
      </c>
      <c r="K400">
        <v>2015</v>
      </c>
      <c r="L400">
        <v>2</v>
      </c>
      <c r="M400" s="11">
        <v>42036</v>
      </c>
      <c r="N400" t="s">
        <v>2174</v>
      </c>
      <c r="O400">
        <v>3</v>
      </c>
      <c r="P400" t="s">
        <v>65</v>
      </c>
      <c r="Q400" t="b">
        <v>1</v>
      </c>
    </row>
    <row r="401" spans="1:17">
      <c r="A401" s="12">
        <v>42040</v>
      </c>
      <c r="B401" s="10">
        <v>2</v>
      </c>
      <c r="C401" s="10">
        <v>5.57</v>
      </c>
      <c r="D401" s="10">
        <v>3</v>
      </c>
      <c r="E401" s="10">
        <v>24.85</v>
      </c>
      <c r="F401" s="10">
        <v>12</v>
      </c>
      <c r="G401" s="10">
        <v>0</v>
      </c>
      <c r="H401" s="10">
        <v>2</v>
      </c>
      <c r="I401" s="10">
        <v>1</v>
      </c>
      <c r="J401" s="10">
        <f>SUM(B401:I401)</f>
        <v>50.42</v>
      </c>
      <c r="K401">
        <v>2015</v>
      </c>
      <c r="L401">
        <v>2</v>
      </c>
      <c r="M401" s="11">
        <v>42036</v>
      </c>
      <c r="N401" t="s">
        <v>2174</v>
      </c>
      <c r="O401">
        <v>4</v>
      </c>
      <c r="P401" t="s">
        <v>53</v>
      </c>
      <c r="Q401" t="b">
        <v>1</v>
      </c>
    </row>
    <row r="402" spans="1:17">
      <c r="A402" s="12">
        <v>42041</v>
      </c>
      <c r="B402" s="10">
        <v>3.33</v>
      </c>
      <c r="C402" s="10">
        <v>3.33</v>
      </c>
      <c r="D402" s="10">
        <v>7.3</v>
      </c>
      <c r="E402" s="10">
        <v>23</v>
      </c>
      <c r="F402" s="10">
        <v>7</v>
      </c>
      <c r="G402" s="10">
        <v>1</v>
      </c>
      <c r="H402" s="10">
        <v>13</v>
      </c>
      <c r="I402" s="10">
        <v>1</v>
      </c>
      <c r="J402" s="10">
        <f>SUM(B402:I402)</f>
        <v>58.96</v>
      </c>
      <c r="K402">
        <v>2015</v>
      </c>
      <c r="L402">
        <v>2</v>
      </c>
      <c r="M402" s="11">
        <v>42036</v>
      </c>
      <c r="N402" t="s">
        <v>2174</v>
      </c>
      <c r="O402">
        <v>5</v>
      </c>
      <c r="P402" t="s">
        <v>55</v>
      </c>
      <c r="Q402" t="b">
        <v>1</v>
      </c>
    </row>
    <row r="403" spans="1:17">
      <c r="A403" s="12">
        <v>42042</v>
      </c>
      <c r="B403" s="10">
        <v>2</v>
      </c>
      <c r="C403" s="10">
        <v>5</v>
      </c>
      <c r="D403" s="10">
        <v>1.9</v>
      </c>
      <c r="E403" s="10">
        <v>33.6</v>
      </c>
      <c r="F403" s="10">
        <v>9</v>
      </c>
      <c r="G403" s="10">
        <v>0</v>
      </c>
      <c r="H403" s="10">
        <v>0</v>
      </c>
      <c r="I403" s="10">
        <v>2</v>
      </c>
      <c r="J403" s="10">
        <f>SUM(B403:I403)</f>
        <v>53.5</v>
      </c>
      <c r="K403">
        <v>2015</v>
      </c>
      <c r="L403">
        <v>2</v>
      </c>
      <c r="M403" s="11">
        <v>42036</v>
      </c>
      <c r="N403" t="s">
        <v>2174</v>
      </c>
      <c r="O403">
        <v>6</v>
      </c>
      <c r="P403" t="s">
        <v>57</v>
      </c>
      <c r="Q403" t="b">
        <v>1</v>
      </c>
    </row>
    <row r="404" spans="1:17">
      <c r="A404" s="12">
        <v>42043</v>
      </c>
      <c r="B404" s="10">
        <v>1.34</v>
      </c>
      <c r="C404" s="10">
        <v>7.759</v>
      </c>
      <c r="D404" s="10">
        <v>5.7</v>
      </c>
      <c r="E404" s="10">
        <v>29.9</v>
      </c>
      <c r="F404" s="10">
        <v>8</v>
      </c>
      <c r="G404" s="10">
        <v>0</v>
      </c>
      <c r="H404" s="10">
        <v>0</v>
      </c>
      <c r="I404" s="10">
        <v>0</v>
      </c>
      <c r="J404" s="10">
        <f>SUM(B404:I404)</f>
        <v>52.699</v>
      </c>
      <c r="K404">
        <v>2015</v>
      </c>
      <c r="L404">
        <v>2</v>
      </c>
      <c r="M404" s="11">
        <v>42036</v>
      </c>
      <c r="N404" t="s">
        <v>2174</v>
      </c>
      <c r="O404">
        <v>7</v>
      </c>
      <c r="P404" t="s">
        <v>59</v>
      </c>
      <c r="Q404" t="b">
        <v>1</v>
      </c>
    </row>
    <row r="405" spans="1:17">
      <c r="A405" s="12">
        <v>42044</v>
      </c>
      <c r="B405" s="10">
        <v>3.33</v>
      </c>
      <c r="C405" s="10">
        <v>3.54</v>
      </c>
      <c r="D405" s="10">
        <v>9.6</v>
      </c>
      <c r="E405" s="10">
        <v>20.7</v>
      </c>
      <c r="F405" s="10">
        <v>8</v>
      </c>
      <c r="G405" s="10">
        <v>1</v>
      </c>
      <c r="H405" s="10">
        <v>0</v>
      </c>
      <c r="I405" s="10">
        <v>1</v>
      </c>
      <c r="J405" s="10">
        <f>SUM(B405:I405)</f>
        <v>47.17</v>
      </c>
      <c r="K405">
        <v>2015</v>
      </c>
      <c r="L405">
        <v>2</v>
      </c>
      <c r="M405" s="11">
        <v>42036</v>
      </c>
      <c r="N405" t="s">
        <v>2174</v>
      </c>
      <c r="O405">
        <v>1</v>
      </c>
      <c r="P405" t="s">
        <v>61</v>
      </c>
      <c r="Q405" t="b">
        <v>1</v>
      </c>
    </row>
    <row r="406" spans="1:17">
      <c r="A406" s="12">
        <v>42045</v>
      </c>
      <c r="B406" s="10">
        <v>3.66</v>
      </c>
      <c r="C406" s="10">
        <v>8.67</v>
      </c>
      <c r="D406" s="10">
        <v>7</v>
      </c>
      <c r="E406" s="10">
        <v>33</v>
      </c>
      <c r="F406" s="10">
        <v>11</v>
      </c>
      <c r="G406" s="10">
        <v>0</v>
      </c>
      <c r="H406" s="10">
        <v>6</v>
      </c>
      <c r="I406" s="10">
        <v>3</v>
      </c>
      <c r="J406" s="10">
        <f>SUM(B406:I406)</f>
        <v>72.33</v>
      </c>
      <c r="K406">
        <v>2015</v>
      </c>
      <c r="L406">
        <v>2</v>
      </c>
      <c r="M406" s="11">
        <v>42036</v>
      </c>
      <c r="N406" t="s">
        <v>2174</v>
      </c>
      <c r="O406">
        <v>2</v>
      </c>
      <c r="P406" t="s">
        <v>63</v>
      </c>
      <c r="Q406" t="b">
        <v>1</v>
      </c>
    </row>
    <row r="407" spans="1:17">
      <c r="A407" s="12">
        <v>42046</v>
      </c>
      <c r="B407" s="10">
        <v>3</v>
      </c>
      <c r="C407" s="10">
        <v>5.14</v>
      </c>
      <c r="D407" s="10">
        <v>3.6</v>
      </c>
      <c r="E407" s="10">
        <v>48.5</v>
      </c>
      <c r="F407" s="10">
        <v>16</v>
      </c>
      <c r="G407" s="10">
        <v>0</v>
      </c>
      <c r="H407" s="10">
        <v>20</v>
      </c>
      <c r="I407" s="10">
        <v>2</v>
      </c>
      <c r="J407" s="10">
        <f>SUM(B407:I407)</f>
        <v>98.24000000000001</v>
      </c>
      <c r="K407">
        <v>2015</v>
      </c>
      <c r="L407">
        <v>2</v>
      </c>
      <c r="M407" s="11">
        <v>42036</v>
      </c>
      <c r="N407" t="s">
        <v>2174</v>
      </c>
      <c r="O407">
        <v>3</v>
      </c>
      <c r="P407" t="s">
        <v>65</v>
      </c>
      <c r="Q407" t="b">
        <v>1</v>
      </c>
    </row>
    <row r="408" spans="1:17">
      <c r="A408" s="12">
        <v>42047</v>
      </c>
      <c r="B408" s="10">
        <v>3</v>
      </c>
      <c r="C408" s="10">
        <v>4</v>
      </c>
      <c r="D408" s="10">
        <v>6</v>
      </c>
      <c r="E408" s="10">
        <v>23.82</v>
      </c>
      <c r="F408" s="10">
        <v>11</v>
      </c>
      <c r="G408" s="10">
        <v>1</v>
      </c>
      <c r="H408" s="10">
        <v>5</v>
      </c>
      <c r="I408" s="10">
        <v>0</v>
      </c>
      <c r="J408" s="10">
        <f>SUM(B408:I408)</f>
        <v>53.82</v>
      </c>
      <c r="K408">
        <v>2015</v>
      </c>
      <c r="L408">
        <v>2</v>
      </c>
      <c r="M408" s="11">
        <v>42036</v>
      </c>
      <c r="N408" t="s">
        <v>2174</v>
      </c>
      <c r="O408">
        <v>4</v>
      </c>
      <c r="P408" t="s">
        <v>53</v>
      </c>
      <c r="Q408" t="b">
        <v>1</v>
      </c>
    </row>
    <row r="409" spans="1:17">
      <c r="A409" s="12">
        <v>42048</v>
      </c>
      <c r="B409" s="10">
        <v>6.01</v>
      </c>
      <c r="C409" s="10">
        <v>4.23</v>
      </c>
      <c r="D409" s="10">
        <v>7</v>
      </c>
      <c r="E409" s="10">
        <v>29.6</v>
      </c>
      <c r="F409" s="10">
        <v>11</v>
      </c>
      <c r="G409" s="10">
        <v>1</v>
      </c>
      <c r="H409" s="10">
        <v>22</v>
      </c>
      <c r="I409" s="10">
        <v>1</v>
      </c>
      <c r="J409" s="10">
        <f>SUM(B409:I409)</f>
        <v>81.84</v>
      </c>
      <c r="K409">
        <v>2015</v>
      </c>
      <c r="L409">
        <v>2</v>
      </c>
      <c r="M409" s="11">
        <v>42036</v>
      </c>
      <c r="N409" t="s">
        <v>2174</v>
      </c>
      <c r="O409">
        <v>5</v>
      </c>
      <c r="P409" t="s">
        <v>55</v>
      </c>
      <c r="Q409" t="b">
        <v>1</v>
      </c>
    </row>
    <row r="410" spans="1:17">
      <c r="A410" s="12">
        <v>42049</v>
      </c>
      <c r="B410" s="10">
        <v>4.33</v>
      </c>
      <c r="C410" s="10">
        <v>1.736</v>
      </c>
      <c r="D410" s="10">
        <v>6.7</v>
      </c>
      <c r="E410" s="10">
        <v>29.2</v>
      </c>
      <c r="F410" s="10">
        <v>13</v>
      </c>
      <c r="G410" s="10">
        <v>1</v>
      </c>
      <c r="H410" s="10">
        <v>5</v>
      </c>
      <c r="I410" s="10">
        <v>4</v>
      </c>
      <c r="J410" s="10">
        <f>SUM(B410:I410)</f>
        <v>64.96600000000001</v>
      </c>
      <c r="K410">
        <v>2015</v>
      </c>
      <c r="L410">
        <v>2</v>
      </c>
      <c r="M410" s="11">
        <v>42036</v>
      </c>
      <c r="N410" t="s">
        <v>2174</v>
      </c>
      <c r="O410">
        <v>6</v>
      </c>
      <c r="P410" t="s">
        <v>57</v>
      </c>
      <c r="Q410" t="b">
        <v>1</v>
      </c>
    </row>
    <row r="411" spans="1:17">
      <c r="A411" s="12">
        <v>42050</v>
      </c>
      <c r="B411" s="10">
        <v>11.68</v>
      </c>
      <c r="C411" s="10">
        <v>2.33</v>
      </c>
      <c r="D411" s="10">
        <v>4.3</v>
      </c>
      <c r="E411" s="10">
        <v>38</v>
      </c>
      <c r="F411" s="10">
        <v>7</v>
      </c>
      <c r="G411" s="10">
        <v>0</v>
      </c>
      <c r="H411" s="10">
        <v>7</v>
      </c>
      <c r="I411" s="10">
        <v>2</v>
      </c>
      <c r="J411" s="10">
        <f>SUM(B411:I411)</f>
        <v>72.31</v>
      </c>
      <c r="K411">
        <v>2015</v>
      </c>
      <c r="L411">
        <v>2</v>
      </c>
      <c r="M411" s="11">
        <v>42036</v>
      </c>
      <c r="N411" t="s">
        <v>2174</v>
      </c>
      <c r="O411">
        <v>7</v>
      </c>
      <c r="P411" t="s">
        <v>59</v>
      </c>
      <c r="Q411" t="b">
        <v>1</v>
      </c>
    </row>
    <row r="412" spans="1:17">
      <c r="A412" s="12">
        <v>42051</v>
      </c>
      <c r="B412" s="10">
        <v>3.01</v>
      </c>
      <c r="C412" s="10">
        <v>3.75</v>
      </c>
      <c r="D412" s="10">
        <v>4</v>
      </c>
      <c r="E412" s="10">
        <v>40.1</v>
      </c>
      <c r="F412" s="10">
        <v>4</v>
      </c>
      <c r="G412" s="10">
        <v>0</v>
      </c>
      <c r="H412" s="10">
        <v>10</v>
      </c>
      <c r="I412" s="10">
        <v>0</v>
      </c>
      <c r="J412" s="10">
        <f>SUM(B412:I412)</f>
        <v>64.86</v>
      </c>
      <c r="K412">
        <v>2015</v>
      </c>
      <c r="L412">
        <v>2</v>
      </c>
      <c r="M412" s="11">
        <v>42036</v>
      </c>
      <c r="N412" t="s">
        <v>2174</v>
      </c>
      <c r="O412">
        <v>1</v>
      </c>
      <c r="P412" t="s">
        <v>61</v>
      </c>
      <c r="Q412" t="b">
        <v>1</v>
      </c>
    </row>
    <row r="413" spans="1:17">
      <c r="A413" s="12">
        <v>42052</v>
      </c>
      <c r="B413" s="10">
        <v>5.33</v>
      </c>
      <c r="C413" s="10">
        <v>8.693</v>
      </c>
      <c r="D413" s="10">
        <v>4</v>
      </c>
      <c r="E413" s="10">
        <v>36.2</v>
      </c>
      <c r="F413" s="10">
        <v>3</v>
      </c>
      <c r="G413" s="10">
        <v>0</v>
      </c>
      <c r="H413" s="10">
        <v>6</v>
      </c>
      <c r="I413" s="10">
        <v>1</v>
      </c>
      <c r="J413" s="10">
        <f>SUM(B413:I413)</f>
        <v>64.223</v>
      </c>
      <c r="K413">
        <v>2015</v>
      </c>
      <c r="L413">
        <v>2</v>
      </c>
      <c r="M413" s="11">
        <v>42036</v>
      </c>
      <c r="N413" t="s">
        <v>2174</v>
      </c>
      <c r="O413">
        <v>2</v>
      </c>
      <c r="P413" t="s">
        <v>63</v>
      </c>
      <c r="Q413" t="b">
        <v>1</v>
      </c>
    </row>
    <row r="414" spans="1:17">
      <c r="A414" s="12">
        <v>42053</v>
      </c>
      <c r="B414" s="10">
        <v>1</v>
      </c>
      <c r="C414" s="10">
        <v>2.66</v>
      </c>
      <c r="D414" s="10">
        <v>1.33</v>
      </c>
      <c r="E414" s="10">
        <v>36.212</v>
      </c>
      <c r="F414" s="10">
        <v>4</v>
      </c>
      <c r="G414" s="10">
        <v>0</v>
      </c>
      <c r="H414" s="10">
        <v>11</v>
      </c>
      <c r="I414" s="10">
        <v>0</v>
      </c>
      <c r="J414" s="10">
        <f>SUM(B414:I414)</f>
        <v>56.202000000000005</v>
      </c>
      <c r="K414">
        <v>2015</v>
      </c>
      <c r="L414">
        <v>2</v>
      </c>
      <c r="M414" s="11">
        <v>42036</v>
      </c>
      <c r="N414" t="s">
        <v>2174</v>
      </c>
      <c r="O414">
        <v>3</v>
      </c>
      <c r="P414" t="s">
        <v>65</v>
      </c>
      <c r="Q414" t="b">
        <v>1</v>
      </c>
    </row>
    <row r="415" spans="1:17">
      <c r="A415" s="12">
        <v>42054</v>
      </c>
      <c r="B415" s="10">
        <v>2</v>
      </c>
      <c r="C415" s="10">
        <v>3.332</v>
      </c>
      <c r="D415" s="10">
        <v>4</v>
      </c>
      <c r="E415" s="10">
        <v>36.7</v>
      </c>
      <c r="F415" s="10">
        <v>2</v>
      </c>
      <c r="G415" s="10">
        <v>2</v>
      </c>
      <c r="H415" s="10">
        <v>6</v>
      </c>
      <c r="I415" s="10">
        <v>3</v>
      </c>
      <c r="J415" s="10">
        <f>SUM(B415:I415)</f>
        <v>59.032000000000004</v>
      </c>
      <c r="K415">
        <v>2015</v>
      </c>
      <c r="L415">
        <v>2</v>
      </c>
      <c r="M415" s="11">
        <v>42036</v>
      </c>
      <c r="N415" t="s">
        <v>2174</v>
      </c>
      <c r="O415">
        <v>4</v>
      </c>
      <c r="P415" t="s">
        <v>53</v>
      </c>
      <c r="Q415" t="b">
        <v>1</v>
      </c>
    </row>
    <row r="416" spans="1:17">
      <c r="A416" s="12">
        <v>42055</v>
      </c>
      <c r="B416" s="10">
        <v>5.33</v>
      </c>
      <c r="C416" s="10">
        <v>4.66</v>
      </c>
      <c r="D416" s="10">
        <v>0.5</v>
      </c>
      <c r="E416" s="10">
        <v>27</v>
      </c>
      <c r="F416" s="10">
        <v>5</v>
      </c>
      <c r="G416" s="10">
        <v>0</v>
      </c>
      <c r="H416" s="10">
        <v>25</v>
      </c>
      <c r="I416" s="10">
        <v>6</v>
      </c>
      <c r="J416" s="10">
        <f>SUM(B416:I416)</f>
        <v>73.49000000000001</v>
      </c>
      <c r="K416">
        <v>2015</v>
      </c>
      <c r="L416">
        <v>2</v>
      </c>
      <c r="M416" s="11">
        <v>42036</v>
      </c>
      <c r="N416" t="s">
        <v>2174</v>
      </c>
      <c r="O416">
        <v>5</v>
      </c>
      <c r="P416" t="s">
        <v>55</v>
      </c>
      <c r="Q416" t="b">
        <v>1</v>
      </c>
    </row>
    <row r="417" spans="1:17">
      <c r="A417" s="12">
        <v>42056</v>
      </c>
      <c r="B417" s="10">
        <v>3</v>
      </c>
      <c r="C417" s="10">
        <v>5.347</v>
      </c>
      <c r="D417" s="10">
        <v>4.8</v>
      </c>
      <c r="E417" s="10">
        <v>57</v>
      </c>
      <c r="F417" s="10">
        <v>9</v>
      </c>
      <c r="G417" s="10">
        <v>0</v>
      </c>
      <c r="H417" s="10">
        <v>0</v>
      </c>
      <c r="I417" s="10">
        <v>3</v>
      </c>
      <c r="J417" s="10">
        <f>SUM(B417:I417)</f>
        <v>82.147</v>
      </c>
      <c r="K417">
        <v>2015</v>
      </c>
      <c r="L417">
        <v>2</v>
      </c>
      <c r="M417" s="11">
        <v>42036</v>
      </c>
      <c r="N417" t="s">
        <v>2174</v>
      </c>
      <c r="O417">
        <v>6</v>
      </c>
      <c r="P417" t="s">
        <v>57</v>
      </c>
      <c r="Q417" t="b">
        <v>1</v>
      </c>
    </row>
    <row r="418" spans="1:17">
      <c r="A418" s="12">
        <v>42057</v>
      </c>
      <c r="B418" s="10">
        <v>2</v>
      </c>
      <c r="C418" s="10">
        <v>4.34</v>
      </c>
      <c r="D418" s="10">
        <v>2</v>
      </c>
      <c r="E418" s="10">
        <v>50.6</v>
      </c>
      <c r="F418" s="10">
        <v>7</v>
      </c>
      <c r="G418" s="10">
        <v>0</v>
      </c>
      <c r="H418" s="10">
        <v>11</v>
      </c>
      <c r="I418" s="10">
        <v>1</v>
      </c>
      <c r="J418" s="10">
        <f>SUM(B418:I418)</f>
        <v>77.94</v>
      </c>
      <c r="K418">
        <v>2015</v>
      </c>
      <c r="L418">
        <v>2</v>
      </c>
      <c r="M418" s="11">
        <v>42036</v>
      </c>
      <c r="N418" t="s">
        <v>2174</v>
      </c>
      <c r="O418">
        <v>7</v>
      </c>
      <c r="P418" t="s">
        <v>59</v>
      </c>
      <c r="Q418" t="b">
        <v>1</v>
      </c>
    </row>
    <row r="419" spans="1:17">
      <c r="A419" s="12">
        <v>42058</v>
      </c>
      <c r="B419" s="10">
        <v>5</v>
      </c>
      <c r="C419" s="10">
        <v>3.16</v>
      </c>
      <c r="D419" s="10">
        <v>7.5</v>
      </c>
      <c r="E419" s="10">
        <v>55.4</v>
      </c>
      <c r="F419" s="10">
        <v>9</v>
      </c>
      <c r="G419" s="10">
        <v>0</v>
      </c>
      <c r="H419" s="10">
        <v>20</v>
      </c>
      <c r="I419" s="10">
        <v>0</v>
      </c>
      <c r="J419" s="10">
        <f>SUM(B419:I419)</f>
        <v>100.06</v>
      </c>
      <c r="K419">
        <v>2015</v>
      </c>
      <c r="L419">
        <v>2</v>
      </c>
      <c r="M419" s="11">
        <v>42036</v>
      </c>
      <c r="N419" t="s">
        <v>2174</v>
      </c>
      <c r="O419">
        <v>1</v>
      </c>
      <c r="P419" t="s">
        <v>61</v>
      </c>
      <c r="Q419" t="b">
        <v>1</v>
      </c>
    </row>
    <row r="420" spans="1:17">
      <c r="A420" s="12">
        <v>42059</v>
      </c>
      <c r="B420" s="10">
        <v>3.68</v>
      </c>
      <c r="C420" s="10">
        <v>3.34</v>
      </c>
      <c r="D420" s="10">
        <v>6.2</v>
      </c>
      <c r="E420" s="10">
        <v>22.07</v>
      </c>
      <c r="F420" s="10">
        <v>11</v>
      </c>
      <c r="G420" s="10">
        <v>0</v>
      </c>
      <c r="H420" s="10">
        <v>11</v>
      </c>
      <c r="I420" s="10">
        <v>2</v>
      </c>
      <c r="J420" s="10">
        <f>SUM(B420:I420)</f>
        <v>59.29</v>
      </c>
      <c r="K420">
        <v>2015</v>
      </c>
      <c r="L420">
        <v>2</v>
      </c>
      <c r="M420" s="11">
        <v>42036</v>
      </c>
      <c r="N420" t="s">
        <v>2174</v>
      </c>
      <c r="O420">
        <v>2</v>
      </c>
      <c r="P420" t="s">
        <v>63</v>
      </c>
      <c r="Q420" t="b">
        <v>1</v>
      </c>
    </row>
    <row r="421" spans="1:17">
      <c r="A421" s="12">
        <v>42060</v>
      </c>
      <c r="B421" s="10">
        <v>7</v>
      </c>
      <c r="C421" s="10">
        <v>6.33</v>
      </c>
      <c r="D421" s="10">
        <v>6.1</v>
      </c>
      <c r="E421" s="10">
        <v>24</v>
      </c>
      <c r="F421" s="10">
        <v>8</v>
      </c>
      <c r="G421" s="10">
        <v>0</v>
      </c>
      <c r="H421" s="10">
        <v>2</v>
      </c>
      <c r="I421" s="10">
        <v>2</v>
      </c>
      <c r="J421" s="10">
        <f>SUM(B421:I421)</f>
        <v>55.43</v>
      </c>
      <c r="K421">
        <v>2015</v>
      </c>
      <c r="L421">
        <v>2</v>
      </c>
      <c r="M421" s="11">
        <v>42036</v>
      </c>
      <c r="N421" t="s">
        <v>2174</v>
      </c>
      <c r="O421">
        <v>3</v>
      </c>
      <c r="P421" t="s">
        <v>65</v>
      </c>
      <c r="Q421" t="b">
        <v>1</v>
      </c>
    </row>
    <row r="422" spans="1:17">
      <c r="A422" s="12">
        <v>42061</v>
      </c>
      <c r="B422" s="10">
        <v>6</v>
      </c>
      <c r="C422" s="10">
        <v>2</v>
      </c>
      <c r="D422" s="10">
        <v>2</v>
      </c>
      <c r="E422" s="10">
        <v>36.7</v>
      </c>
      <c r="F422" s="10">
        <v>13</v>
      </c>
      <c r="G422" s="10">
        <v>0</v>
      </c>
      <c r="H422" s="10">
        <v>1</v>
      </c>
      <c r="I422" s="10">
        <v>1</v>
      </c>
      <c r="J422" s="10">
        <f>SUM(B422:I422)</f>
        <v>61.7</v>
      </c>
      <c r="K422">
        <v>2015</v>
      </c>
      <c r="L422">
        <v>2</v>
      </c>
      <c r="M422" s="11">
        <v>42036</v>
      </c>
      <c r="N422" t="s">
        <v>2174</v>
      </c>
      <c r="O422">
        <v>4</v>
      </c>
      <c r="P422" t="s">
        <v>53</v>
      </c>
      <c r="Q422" t="b">
        <v>1</v>
      </c>
    </row>
    <row r="423" spans="1:17">
      <c r="A423" s="12">
        <v>42062</v>
      </c>
      <c r="B423" s="10">
        <v>6.33</v>
      </c>
      <c r="C423" s="10">
        <v>4.473</v>
      </c>
      <c r="D423" s="10">
        <v>5</v>
      </c>
      <c r="E423" s="10">
        <v>51</v>
      </c>
      <c r="F423" s="10">
        <v>1</v>
      </c>
      <c r="G423" s="10">
        <v>1</v>
      </c>
      <c r="H423" s="10">
        <v>0</v>
      </c>
      <c r="I423" s="10">
        <v>0</v>
      </c>
      <c r="J423" s="10">
        <f>SUM(B423:I423)</f>
        <v>68.803</v>
      </c>
      <c r="K423">
        <v>2015</v>
      </c>
      <c r="L423">
        <v>2</v>
      </c>
      <c r="M423" s="11">
        <v>42036</v>
      </c>
      <c r="N423" t="s">
        <v>2174</v>
      </c>
      <c r="O423">
        <v>5</v>
      </c>
      <c r="P423" t="s">
        <v>55</v>
      </c>
      <c r="Q423" t="b">
        <v>1</v>
      </c>
    </row>
    <row r="424" spans="1:17">
      <c r="A424" s="12">
        <v>42063</v>
      </c>
      <c r="B424" s="10">
        <v>6.34</v>
      </c>
      <c r="C424" s="10">
        <v>3.33</v>
      </c>
      <c r="D424" s="10">
        <v>1.6</v>
      </c>
      <c r="E424" s="10">
        <v>26.6</v>
      </c>
      <c r="F424" s="10">
        <v>9</v>
      </c>
      <c r="G424" s="10">
        <v>0</v>
      </c>
      <c r="H424" s="10">
        <v>4</v>
      </c>
      <c r="I424" s="10">
        <v>3</v>
      </c>
      <c r="J424" s="10">
        <f>SUM(B424:I424)</f>
        <v>53.870000000000005</v>
      </c>
      <c r="K424">
        <v>2015</v>
      </c>
      <c r="L424">
        <v>2</v>
      </c>
      <c r="M424" s="11">
        <v>42036</v>
      </c>
      <c r="N424" t="s">
        <v>2174</v>
      </c>
      <c r="O424">
        <v>6</v>
      </c>
      <c r="P424" t="s">
        <v>57</v>
      </c>
      <c r="Q424" t="b">
        <v>1</v>
      </c>
    </row>
    <row r="425" spans="1:17">
      <c r="A425" s="12">
        <v>42064</v>
      </c>
      <c r="B425" s="10">
        <v>9</v>
      </c>
      <c r="C425" s="10">
        <v>7.893</v>
      </c>
      <c r="D425" s="10">
        <v>2.7</v>
      </c>
      <c r="E425" s="10">
        <v>25.9</v>
      </c>
      <c r="F425" s="10">
        <v>3</v>
      </c>
      <c r="G425" s="10">
        <v>4</v>
      </c>
      <c r="H425" s="10">
        <v>0</v>
      </c>
      <c r="I425" s="10">
        <v>4</v>
      </c>
      <c r="J425" s="10">
        <f>SUM(B425:I425)</f>
        <v>56.492999999999995</v>
      </c>
      <c r="K425">
        <v>2015</v>
      </c>
      <c r="L425">
        <v>3</v>
      </c>
      <c r="M425" s="11">
        <v>42064</v>
      </c>
      <c r="N425" t="s">
        <v>2175</v>
      </c>
      <c r="O425">
        <v>7</v>
      </c>
      <c r="P425" t="s">
        <v>59</v>
      </c>
      <c r="Q425" t="b">
        <v>1</v>
      </c>
    </row>
    <row r="426" spans="1:17">
      <c r="A426" s="12">
        <v>42065</v>
      </c>
      <c r="B426" s="10">
        <v>6.67</v>
      </c>
      <c r="C426" s="10">
        <v>4.68</v>
      </c>
      <c r="D426" s="10">
        <v>3.5</v>
      </c>
      <c r="E426" s="10">
        <v>40.7</v>
      </c>
      <c r="F426" s="10">
        <v>6</v>
      </c>
      <c r="G426" s="10">
        <v>1</v>
      </c>
      <c r="H426" s="10">
        <v>2</v>
      </c>
      <c r="I426" s="10">
        <v>3</v>
      </c>
      <c r="J426" s="10">
        <f>SUM(B426:I426)</f>
        <v>67.55000000000001</v>
      </c>
      <c r="K426">
        <v>2015</v>
      </c>
      <c r="L426">
        <v>3</v>
      </c>
      <c r="M426" s="11">
        <v>42064</v>
      </c>
      <c r="N426" t="s">
        <v>2175</v>
      </c>
      <c r="O426">
        <v>1</v>
      </c>
      <c r="P426" t="s">
        <v>61</v>
      </c>
      <c r="Q426" t="b">
        <v>1</v>
      </c>
    </row>
    <row r="427" spans="1:17">
      <c r="A427" s="12">
        <v>42066</v>
      </c>
      <c r="B427" s="10">
        <v>8</v>
      </c>
      <c r="C427" s="10">
        <v>6.03</v>
      </c>
      <c r="D427" s="10">
        <v>4.5</v>
      </c>
      <c r="E427" s="10">
        <v>45.6</v>
      </c>
      <c r="F427" s="10">
        <v>14</v>
      </c>
      <c r="G427" s="10">
        <v>0</v>
      </c>
      <c r="H427" s="10">
        <v>1</v>
      </c>
      <c r="I427" s="10">
        <v>4</v>
      </c>
      <c r="J427" s="10">
        <f>SUM(B427:I427)</f>
        <v>83.13</v>
      </c>
      <c r="K427">
        <v>2015</v>
      </c>
      <c r="L427">
        <v>3</v>
      </c>
      <c r="M427" s="11">
        <v>42064</v>
      </c>
      <c r="N427" t="s">
        <v>2175</v>
      </c>
      <c r="O427">
        <v>2</v>
      </c>
      <c r="P427" t="s">
        <v>63</v>
      </c>
      <c r="Q427" t="b">
        <v>1</v>
      </c>
    </row>
    <row r="428" spans="1:17">
      <c r="A428" s="12">
        <v>42067</v>
      </c>
      <c r="B428" s="10">
        <v>9.68</v>
      </c>
      <c r="C428" s="10">
        <v>5.67</v>
      </c>
      <c r="D428" s="10">
        <v>3.3</v>
      </c>
      <c r="E428" s="10">
        <v>46.85</v>
      </c>
      <c r="F428" s="10">
        <v>4</v>
      </c>
      <c r="G428" s="10">
        <v>0</v>
      </c>
      <c r="H428" s="10">
        <v>11</v>
      </c>
      <c r="I428" s="10">
        <v>1</v>
      </c>
      <c r="J428" s="10">
        <f>SUM(B428:I428)</f>
        <v>81.5</v>
      </c>
      <c r="K428">
        <v>2015</v>
      </c>
      <c r="L428">
        <v>3</v>
      </c>
      <c r="M428" s="11">
        <v>42064</v>
      </c>
      <c r="N428" t="s">
        <v>2175</v>
      </c>
      <c r="O428">
        <v>3</v>
      </c>
      <c r="P428" t="s">
        <v>65</v>
      </c>
      <c r="Q428" t="b">
        <v>1</v>
      </c>
    </row>
    <row r="429" spans="1:17">
      <c r="A429" s="12">
        <v>42068</v>
      </c>
      <c r="B429" s="10">
        <v>6</v>
      </c>
      <c r="C429" s="10">
        <v>2.33</v>
      </c>
      <c r="D429" s="10">
        <v>3</v>
      </c>
      <c r="E429" s="10">
        <v>35</v>
      </c>
      <c r="F429" s="10">
        <v>2</v>
      </c>
      <c r="G429" s="10">
        <v>0</v>
      </c>
      <c r="H429" s="10">
        <v>0</v>
      </c>
      <c r="I429" s="10">
        <v>0</v>
      </c>
      <c r="J429" s="10">
        <f>SUM(B429:I429)</f>
        <v>48.33</v>
      </c>
      <c r="K429">
        <v>2015</v>
      </c>
      <c r="L429">
        <v>3</v>
      </c>
      <c r="M429" s="11">
        <v>42064</v>
      </c>
      <c r="N429" t="s">
        <v>2175</v>
      </c>
      <c r="O429">
        <v>4</v>
      </c>
      <c r="P429" t="s">
        <v>53</v>
      </c>
      <c r="Q429" t="b">
        <v>1</v>
      </c>
    </row>
    <row r="430" spans="1:17">
      <c r="A430" s="12">
        <v>42069</v>
      </c>
      <c r="B430" s="10">
        <v>2</v>
      </c>
      <c r="C430" s="10">
        <v>2.67</v>
      </c>
      <c r="D430" s="10">
        <v>6</v>
      </c>
      <c r="E430" s="10">
        <v>19.8</v>
      </c>
      <c r="F430" s="10">
        <v>4</v>
      </c>
      <c r="G430" s="10">
        <v>0</v>
      </c>
      <c r="H430" s="10">
        <v>1</v>
      </c>
      <c r="I430" s="10">
        <v>1</v>
      </c>
      <c r="J430" s="10">
        <f>SUM(B430:I430)</f>
        <v>36.47</v>
      </c>
      <c r="K430">
        <v>2015</v>
      </c>
      <c r="L430">
        <v>3</v>
      </c>
      <c r="M430" s="11">
        <v>42064</v>
      </c>
      <c r="N430" t="s">
        <v>2175</v>
      </c>
      <c r="O430">
        <v>5</v>
      </c>
      <c r="P430" t="s">
        <v>55</v>
      </c>
      <c r="Q430" t="b">
        <v>1</v>
      </c>
    </row>
    <row r="431" spans="1:17">
      <c r="A431" s="12">
        <v>42070</v>
      </c>
      <c r="B431" s="10">
        <v>3.33</v>
      </c>
      <c r="C431" s="10">
        <v>1</v>
      </c>
      <c r="D431" s="10">
        <v>1</v>
      </c>
      <c r="E431" s="10">
        <v>2</v>
      </c>
      <c r="F431" s="10">
        <v>0</v>
      </c>
      <c r="G431" s="10">
        <v>0</v>
      </c>
      <c r="H431" s="10">
        <v>0</v>
      </c>
      <c r="I431" s="10">
        <v>0</v>
      </c>
      <c r="J431" s="10">
        <f>SUM(B431:I431)</f>
        <v>7.33</v>
      </c>
      <c r="K431">
        <v>2015</v>
      </c>
      <c r="L431">
        <v>3</v>
      </c>
      <c r="M431" s="11">
        <v>42064</v>
      </c>
      <c r="N431" t="s">
        <v>2175</v>
      </c>
      <c r="O431">
        <v>6</v>
      </c>
      <c r="P431" t="s">
        <v>57</v>
      </c>
      <c r="Q431" t="b">
        <v>1</v>
      </c>
    </row>
    <row r="432" spans="1:17">
      <c r="A432" s="12">
        <v>42071</v>
      </c>
      <c r="B432" s="10">
        <v>6</v>
      </c>
      <c r="C432" s="10">
        <v>3.397</v>
      </c>
      <c r="D432" s="10">
        <v>2.4</v>
      </c>
      <c r="E432" s="10">
        <v>55.4</v>
      </c>
      <c r="F432" s="10">
        <v>9</v>
      </c>
      <c r="G432" s="10">
        <v>0</v>
      </c>
      <c r="H432" s="10">
        <v>2</v>
      </c>
      <c r="I432" s="10">
        <v>1</v>
      </c>
      <c r="J432" s="10">
        <f>SUM(B432:I432)</f>
        <v>79.197</v>
      </c>
      <c r="K432">
        <v>2015</v>
      </c>
      <c r="L432">
        <v>3</v>
      </c>
      <c r="M432" s="11">
        <v>42064</v>
      </c>
      <c r="N432" t="s">
        <v>2175</v>
      </c>
      <c r="O432">
        <v>7</v>
      </c>
      <c r="P432" t="s">
        <v>59</v>
      </c>
      <c r="Q432" t="b">
        <v>1</v>
      </c>
    </row>
    <row r="433" spans="1:17">
      <c r="A433" s="12">
        <v>42072</v>
      </c>
      <c r="B433" s="10">
        <v>2</v>
      </c>
      <c r="C433" s="10">
        <v>3</v>
      </c>
      <c r="D433" s="10">
        <v>5</v>
      </c>
      <c r="E433" s="10">
        <v>32.7</v>
      </c>
      <c r="F433" s="10">
        <v>10</v>
      </c>
      <c r="G433" s="10">
        <v>0</v>
      </c>
      <c r="H433" s="10">
        <v>1</v>
      </c>
      <c r="I433" s="10">
        <v>1</v>
      </c>
      <c r="J433" s="10">
        <f>SUM(B433:I433)</f>
        <v>54.7</v>
      </c>
      <c r="K433">
        <v>2015</v>
      </c>
      <c r="L433">
        <v>3</v>
      </c>
      <c r="M433" s="11">
        <v>42064</v>
      </c>
      <c r="N433" t="s">
        <v>2175</v>
      </c>
      <c r="O433">
        <v>1</v>
      </c>
      <c r="P433" t="s">
        <v>61</v>
      </c>
      <c r="Q433" t="b">
        <v>1</v>
      </c>
    </row>
    <row r="434" spans="1:17">
      <c r="A434" s="12">
        <v>42073</v>
      </c>
      <c r="B434" s="10">
        <v>1.34</v>
      </c>
      <c r="C434" s="10">
        <v>3.66</v>
      </c>
      <c r="D434" s="10">
        <v>5</v>
      </c>
      <c r="E434" s="10">
        <v>40.4</v>
      </c>
      <c r="F434" s="10">
        <v>6</v>
      </c>
      <c r="G434" s="10">
        <v>0</v>
      </c>
      <c r="H434" s="10">
        <v>6</v>
      </c>
      <c r="I434" s="10">
        <v>3</v>
      </c>
      <c r="J434" s="10">
        <f>SUM(B434:I434)</f>
        <v>65.4</v>
      </c>
      <c r="K434">
        <v>2015</v>
      </c>
      <c r="L434">
        <v>3</v>
      </c>
      <c r="M434" s="11">
        <v>42064</v>
      </c>
      <c r="N434" t="s">
        <v>2175</v>
      </c>
      <c r="O434">
        <v>2</v>
      </c>
      <c r="P434" t="s">
        <v>63</v>
      </c>
      <c r="Q434" t="b">
        <v>1</v>
      </c>
    </row>
    <row r="435" spans="1:17">
      <c r="A435" s="12">
        <v>42074</v>
      </c>
      <c r="B435" s="10">
        <v>11</v>
      </c>
      <c r="C435" s="10">
        <v>5</v>
      </c>
      <c r="D435" s="10">
        <v>3.2</v>
      </c>
      <c r="E435" s="10">
        <v>32</v>
      </c>
      <c r="F435" s="10">
        <v>9</v>
      </c>
      <c r="G435" s="10">
        <v>0</v>
      </c>
      <c r="H435" s="10">
        <v>4</v>
      </c>
      <c r="I435" s="10">
        <v>0</v>
      </c>
      <c r="J435" s="10">
        <f>SUM(B435:I435)</f>
        <v>64.2</v>
      </c>
      <c r="K435">
        <v>2015</v>
      </c>
      <c r="L435">
        <v>3</v>
      </c>
      <c r="M435" s="11">
        <v>42064</v>
      </c>
      <c r="N435" t="s">
        <v>2175</v>
      </c>
      <c r="O435">
        <v>3</v>
      </c>
      <c r="P435" t="s">
        <v>65</v>
      </c>
      <c r="Q435" t="b">
        <v>1</v>
      </c>
    </row>
    <row r="436" spans="1:17">
      <c r="A436" s="12">
        <v>42075</v>
      </c>
      <c r="B436" s="10">
        <v>2.68</v>
      </c>
      <c r="C436" s="10">
        <v>6.387</v>
      </c>
      <c r="D436" s="10">
        <v>6.1</v>
      </c>
      <c r="E436" s="10">
        <v>19</v>
      </c>
      <c r="F436" s="10">
        <v>5</v>
      </c>
      <c r="G436" s="10">
        <v>0</v>
      </c>
      <c r="H436" s="10">
        <v>2</v>
      </c>
      <c r="I436" s="10">
        <v>3</v>
      </c>
      <c r="J436" s="10">
        <f>SUM(B436:I436)</f>
        <v>44.167</v>
      </c>
      <c r="K436">
        <v>2015</v>
      </c>
      <c r="L436">
        <v>3</v>
      </c>
      <c r="M436" s="11">
        <v>42064</v>
      </c>
      <c r="N436" t="s">
        <v>2175</v>
      </c>
      <c r="O436">
        <v>4</v>
      </c>
      <c r="P436" t="s">
        <v>53</v>
      </c>
      <c r="Q436" t="b">
        <v>1</v>
      </c>
    </row>
    <row r="437" spans="1:17">
      <c r="A437" s="12">
        <v>42076</v>
      </c>
      <c r="B437" s="10">
        <v>4</v>
      </c>
      <c r="C437" s="10">
        <v>3.33</v>
      </c>
      <c r="D437" s="10">
        <v>6.7</v>
      </c>
      <c r="E437" s="10">
        <v>63.4</v>
      </c>
      <c r="F437" s="10">
        <v>11</v>
      </c>
      <c r="G437" s="10">
        <v>2</v>
      </c>
      <c r="H437" s="10">
        <v>1</v>
      </c>
      <c r="I437" s="10">
        <v>0</v>
      </c>
      <c r="J437" s="10">
        <f>SUM(B437:I437)</f>
        <v>91.43</v>
      </c>
      <c r="K437">
        <v>2015</v>
      </c>
      <c r="L437">
        <v>3</v>
      </c>
      <c r="M437" s="11">
        <v>42064</v>
      </c>
      <c r="N437" t="s">
        <v>2175</v>
      </c>
      <c r="O437">
        <v>5</v>
      </c>
      <c r="P437" t="s">
        <v>55</v>
      </c>
      <c r="Q437" t="b">
        <v>1</v>
      </c>
    </row>
    <row r="438" spans="1:17">
      <c r="A438" s="12">
        <v>42077</v>
      </c>
      <c r="B438" s="10">
        <v>2.66</v>
      </c>
      <c r="C438" s="10">
        <v>4.33</v>
      </c>
      <c r="D438" s="10">
        <v>4</v>
      </c>
      <c r="E438" s="10">
        <v>39.1</v>
      </c>
      <c r="F438" s="10">
        <v>9</v>
      </c>
      <c r="G438" s="10">
        <v>0</v>
      </c>
      <c r="H438" s="10">
        <v>9</v>
      </c>
      <c r="I438" s="10">
        <v>3</v>
      </c>
      <c r="J438" s="10">
        <f>SUM(B438:I438)</f>
        <v>71.09</v>
      </c>
      <c r="K438">
        <v>2015</v>
      </c>
      <c r="L438">
        <v>3</v>
      </c>
      <c r="M438" s="11">
        <v>42064</v>
      </c>
      <c r="N438" t="s">
        <v>2175</v>
      </c>
      <c r="O438">
        <v>6</v>
      </c>
      <c r="P438" t="s">
        <v>57</v>
      </c>
      <c r="Q438" t="b">
        <v>1</v>
      </c>
    </row>
    <row r="439" spans="1:17">
      <c r="A439" s="12">
        <v>42078</v>
      </c>
      <c r="B439" s="10">
        <v>3.34</v>
      </c>
      <c r="C439" s="10">
        <v>4.16</v>
      </c>
      <c r="D439" s="10">
        <v>3</v>
      </c>
      <c r="E439" s="10">
        <v>41</v>
      </c>
      <c r="F439" s="10">
        <v>3</v>
      </c>
      <c r="G439" s="10">
        <v>0</v>
      </c>
      <c r="H439" s="10">
        <v>12</v>
      </c>
      <c r="I439" s="10">
        <v>3</v>
      </c>
      <c r="J439" s="10">
        <f>SUM(B439:I439)</f>
        <v>69.5</v>
      </c>
      <c r="K439">
        <v>2015</v>
      </c>
      <c r="L439">
        <v>3</v>
      </c>
      <c r="M439" s="11">
        <v>42064</v>
      </c>
      <c r="N439" t="s">
        <v>2175</v>
      </c>
      <c r="O439">
        <v>7</v>
      </c>
      <c r="P439" t="s">
        <v>59</v>
      </c>
      <c r="Q439" t="b">
        <v>1</v>
      </c>
    </row>
    <row r="440" spans="1:17">
      <c r="A440" s="12">
        <v>42079</v>
      </c>
      <c r="B440" s="10">
        <v>8</v>
      </c>
      <c r="C440" s="10">
        <v>3.01</v>
      </c>
      <c r="D440" s="10">
        <v>4.9</v>
      </c>
      <c r="E440" s="10">
        <v>46.8</v>
      </c>
      <c r="F440" s="10">
        <v>8</v>
      </c>
      <c r="G440" s="10">
        <v>0</v>
      </c>
      <c r="H440" s="10">
        <v>0</v>
      </c>
      <c r="I440" s="10">
        <v>1</v>
      </c>
      <c r="J440" s="10">
        <f>SUM(B440:I440)</f>
        <v>71.71</v>
      </c>
      <c r="K440">
        <v>2015</v>
      </c>
      <c r="L440">
        <v>3</v>
      </c>
      <c r="M440" s="11">
        <v>42064</v>
      </c>
      <c r="N440" t="s">
        <v>2175</v>
      </c>
      <c r="O440">
        <v>1</v>
      </c>
      <c r="P440" t="s">
        <v>61</v>
      </c>
      <c r="Q440" t="b">
        <v>1</v>
      </c>
    </row>
    <row r="441" spans="1:17">
      <c r="A441" s="12">
        <v>42080</v>
      </c>
      <c r="B441" s="10">
        <v>5</v>
      </c>
      <c r="C441" s="10">
        <v>3</v>
      </c>
      <c r="D441" s="10">
        <v>4.6</v>
      </c>
      <c r="E441" s="10">
        <v>28.8</v>
      </c>
      <c r="F441" s="10">
        <v>9</v>
      </c>
      <c r="G441" s="10">
        <v>1</v>
      </c>
      <c r="H441" s="10">
        <v>2</v>
      </c>
      <c r="I441" s="10">
        <v>0</v>
      </c>
      <c r="J441" s="10">
        <f>SUM(B441:I441)</f>
        <v>53.4</v>
      </c>
      <c r="K441">
        <v>2015</v>
      </c>
      <c r="L441">
        <v>3</v>
      </c>
      <c r="M441" s="11">
        <v>42064</v>
      </c>
      <c r="N441" t="s">
        <v>2175</v>
      </c>
      <c r="O441">
        <v>2</v>
      </c>
      <c r="P441" t="s">
        <v>63</v>
      </c>
      <c r="Q441" t="b">
        <v>1</v>
      </c>
    </row>
    <row r="442" spans="1:17">
      <c r="A442" s="12">
        <v>42081</v>
      </c>
      <c r="B442" s="10">
        <v>7.33</v>
      </c>
      <c r="C442" s="10">
        <v>2</v>
      </c>
      <c r="D442" s="10">
        <v>5.3</v>
      </c>
      <c r="E442" s="10">
        <v>24.4</v>
      </c>
      <c r="F442" s="10">
        <v>5</v>
      </c>
      <c r="G442" s="10">
        <v>0</v>
      </c>
      <c r="H442" s="10">
        <v>20</v>
      </c>
      <c r="I442" s="10">
        <v>2</v>
      </c>
      <c r="J442" s="10">
        <f>SUM(B442:I442)</f>
        <v>66.03</v>
      </c>
      <c r="K442">
        <v>2015</v>
      </c>
      <c r="L442">
        <v>3</v>
      </c>
      <c r="M442" s="11">
        <v>42064</v>
      </c>
      <c r="N442" t="s">
        <v>2175</v>
      </c>
      <c r="O442">
        <v>3</v>
      </c>
      <c r="P442" t="s">
        <v>65</v>
      </c>
      <c r="Q442" t="b">
        <v>1</v>
      </c>
    </row>
    <row r="443" spans="1:17">
      <c r="A443" s="12">
        <v>42082</v>
      </c>
      <c r="B443" s="10">
        <v>2</v>
      </c>
      <c r="C443" s="10">
        <v>2.33</v>
      </c>
      <c r="D443" s="10">
        <v>1.5</v>
      </c>
      <c r="E443" s="10">
        <v>31</v>
      </c>
      <c r="F443" s="10">
        <v>7</v>
      </c>
      <c r="G443" s="10">
        <v>0</v>
      </c>
      <c r="H443" s="10">
        <v>15</v>
      </c>
      <c r="I443" s="10">
        <v>0</v>
      </c>
      <c r="J443" s="10">
        <f>SUM(B443:I443)</f>
        <v>58.83</v>
      </c>
      <c r="K443">
        <v>2015</v>
      </c>
      <c r="L443">
        <v>3</v>
      </c>
      <c r="M443" s="11">
        <v>42064</v>
      </c>
      <c r="N443" t="s">
        <v>2175</v>
      </c>
      <c r="O443">
        <v>4</v>
      </c>
      <c r="P443" t="s">
        <v>53</v>
      </c>
      <c r="Q443" t="b">
        <v>1</v>
      </c>
    </row>
    <row r="444" spans="1:17">
      <c r="A444" s="12">
        <v>42083</v>
      </c>
      <c r="B444" s="10">
        <v>1</v>
      </c>
      <c r="C444" s="10">
        <v>7</v>
      </c>
      <c r="D444" s="10">
        <v>3</v>
      </c>
      <c r="E444" s="10">
        <v>38.6</v>
      </c>
      <c r="F444" s="10">
        <v>13</v>
      </c>
      <c r="G444" s="10">
        <v>1</v>
      </c>
      <c r="H444" s="10">
        <v>5</v>
      </c>
      <c r="I444" s="10">
        <v>1</v>
      </c>
      <c r="J444" s="10">
        <f>SUM(B444:I444)</f>
        <v>69.6</v>
      </c>
      <c r="K444">
        <v>2015</v>
      </c>
      <c r="L444">
        <v>3</v>
      </c>
      <c r="M444" s="11">
        <v>42064</v>
      </c>
      <c r="N444" t="s">
        <v>2175</v>
      </c>
      <c r="O444">
        <v>5</v>
      </c>
      <c r="P444" t="s">
        <v>55</v>
      </c>
      <c r="Q444" t="b">
        <v>1</v>
      </c>
    </row>
    <row r="445" spans="1:17">
      <c r="A445" s="12">
        <v>42084</v>
      </c>
      <c r="B445" s="10">
        <v>10.33</v>
      </c>
      <c r="C445" s="10">
        <v>3.34</v>
      </c>
      <c r="D445" s="10">
        <v>3</v>
      </c>
      <c r="E445" s="10">
        <v>41.6</v>
      </c>
      <c r="F445" s="10">
        <v>4</v>
      </c>
      <c r="G445" s="10">
        <v>0</v>
      </c>
      <c r="H445" s="10">
        <v>6</v>
      </c>
      <c r="I445" s="10">
        <v>2</v>
      </c>
      <c r="J445" s="10">
        <f>SUM(B445:I445)</f>
        <v>70.27000000000001</v>
      </c>
      <c r="K445">
        <v>2015</v>
      </c>
      <c r="L445">
        <v>3</v>
      </c>
      <c r="M445" s="11">
        <v>42064</v>
      </c>
      <c r="N445" t="s">
        <v>2175</v>
      </c>
      <c r="O445">
        <v>6</v>
      </c>
      <c r="P445" t="s">
        <v>57</v>
      </c>
      <c r="Q445" t="b">
        <v>1</v>
      </c>
    </row>
    <row r="446" spans="1:17">
      <c r="A446" s="12">
        <v>42085</v>
      </c>
      <c r="B446" s="10">
        <v>8.34</v>
      </c>
      <c r="C446" s="10">
        <v>6.67</v>
      </c>
      <c r="D446" s="10">
        <v>2</v>
      </c>
      <c r="E446" s="10">
        <v>43.2</v>
      </c>
      <c r="F446" s="10">
        <v>9</v>
      </c>
      <c r="G446" s="10">
        <v>0</v>
      </c>
      <c r="H446" s="10">
        <v>10</v>
      </c>
      <c r="I446" s="10">
        <v>0</v>
      </c>
      <c r="J446" s="10">
        <f>SUM(B446:I446)</f>
        <v>79.21000000000001</v>
      </c>
      <c r="K446">
        <v>2015</v>
      </c>
      <c r="L446">
        <v>3</v>
      </c>
      <c r="M446" s="11">
        <v>42064</v>
      </c>
      <c r="N446" t="s">
        <v>2175</v>
      </c>
      <c r="O446">
        <v>7</v>
      </c>
      <c r="P446" t="s">
        <v>59</v>
      </c>
      <c r="Q446" t="b">
        <v>1</v>
      </c>
    </row>
    <row r="447" spans="1:17">
      <c r="A447" s="12">
        <v>42086</v>
      </c>
      <c r="B447" s="10">
        <v>2</v>
      </c>
      <c r="C447" s="10">
        <v>4.34</v>
      </c>
      <c r="D447" s="10">
        <v>7</v>
      </c>
      <c r="E447" s="10">
        <v>28</v>
      </c>
      <c r="F447" s="10">
        <v>5</v>
      </c>
      <c r="G447" s="10">
        <v>0</v>
      </c>
      <c r="H447" s="10">
        <v>0</v>
      </c>
      <c r="I447" s="10">
        <v>2</v>
      </c>
      <c r="J447" s="10">
        <f>SUM(B447:I447)</f>
        <v>48.34</v>
      </c>
      <c r="K447">
        <v>2015</v>
      </c>
      <c r="L447">
        <v>3</v>
      </c>
      <c r="M447" s="11">
        <v>42064</v>
      </c>
      <c r="N447" t="s">
        <v>2175</v>
      </c>
      <c r="O447">
        <v>1</v>
      </c>
      <c r="P447" t="s">
        <v>61</v>
      </c>
      <c r="Q447" t="b">
        <v>1</v>
      </c>
    </row>
    <row r="448" spans="1:17">
      <c r="A448" s="12">
        <v>42087</v>
      </c>
      <c r="B448" s="10">
        <v>4</v>
      </c>
      <c r="C448" s="10">
        <v>5.472</v>
      </c>
      <c r="D448" s="10">
        <v>5.2</v>
      </c>
      <c r="E448" s="10">
        <v>22.4</v>
      </c>
      <c r="F448" s="10">
        <v>8</v>
      </c>
      <c r="G448" s="10">
        <v>2</v>
      </c>
      <c r="H448" s="10">
        <v>9</v>
      </c>
      <c r="I448" s="10">
        <v>4</v>
      </c>
      <c r="J448" s="10">
        <f>SUM(B448:I448)</f>
        <v>60.072</v>
      </c>
      <c r="K448">
        <v>2015</v>
      </c>
      <c r="L448">
        <v>3</v>
      </c>
      <c r="M448" s="11">
        <v>42064</v>
      </c>
      <c r="N448" t="s">
        <v>2175</v>
      </c>
      <c r="O448">
        <v>2</v>
      </c>
      <c r="P448" t="s">
        <v>63</v>
      </c>
      <c r="Q448" t="b">
        <v>1</v>
      </c>
    </row>
    <row r="449" spans="1:17">
      <c r="A449" s="12">
        <v>42088</v>
      </c>
      <c r="B449" s="10">
        <v>3.68</v>
      </c>
      <c r="C449" s="10">
        <v>8.66</v>
      </c>
      <c r="D449" s="10">
        <v>6.4</v>
      </c>
      <c r="E449" s="10">
        <v>17.6</v>
      </c>
      <c r="F449" s="10">
        <v>10</v>
      </c>
      <c r="G449" s="10">
        <v>2</v>
      </c>
      <c r="H449" s="10">
        <v>13</v>
      </c>
      <c r="I449" s="10">
        <v>1</v>
      </c>
      <c r="J449" s="10">
        <f>SUM(B449:I449)</f>
        <v>62.34</v>
      </c>
      <c r="K449">
        <v>2015</v>
      </c>
      <c r="L449">
        <v>3</v>
      </c>
      <c r="M449" s="11">
        <v>42064</v>
      </c>
      <c r="N449" t="s">
        <v>2175</v>
      </c>
      <c r="O449">
        <v>3</v>
      </c>
      <c r="P449" t="s">
        <v>65</v>
      </c>
      <c r="Q449" t="b">
        <v>1</v>
      </c>
    </row>
    <row r="450" spans="1:17">
      <c r="A450" s="12">
        <v>42089</v>
      </c>
      <c r="B450" s="10">
        <v>5</v>
      </c>
      <c r="C450" s="10">
        <v>1.747</v>
      </c>
      <c r="D450" s="10">
        <v>3</v>
      </c>
      <c r="E450" s="10">
        <v>51.4</v>
      </c>
      <c r="F450" s="10">
        <v>10</v>
      </c>
      <c r="G450" s="10">
        <v>0</v>
      </c>
      <c r="H450" s="10">
        <v>6</v>
      </c>
      <c r="I450" s="10">
        <v>5</v>
      </c>
      <c r="J450" s="10">
        <f>SUM(B450:I450)</f>
        <v>82.14699999999999</v>
      </c>
      <c r="K450">
        <v>2015</v>
      </c>
      <c r="L450">
        <v>3</v>
      </c>
      <c r="M450" s="11">
        <v>42064</v>
      </c>
      <c r="N450" t="s">
        <v>2175</v>
      </c>
      <c r="O450">
        <v>4</v>
      </c>
      <c r="P450" t="s">
        <v>53</v>
      </c>
      <c r="Q450" t="b">
        <v>1</v>
      </c>
    </row>
    <row r="451" spans="1:17">
      <c r="A451" s="12">
        <v>42090</v>
      </c>
      <c r="B451" s="10">
        <v>3</v>
      </c>
      <c r="C451" s="10">
        <v>2.67</v>
      </c>
      <c r="D451" s="10">
        <v>2</v>
      </c>
      <c r="E451" s="10">
        <v>27</v>
      </c>
      <c r="F451" s="10">
        <v>3</v>
      </c>
      <c r="G451" s="10">
        <v>0</v>
      </c>
      <c r="H451" s="10">
        <v>22</v>
      </c>
      <c r="I451" s="10">
        <v>1</v>
      </c>
      <c r="J451" s="10">
        <f>SUM(B451:I451)</f>
        <v>60.67</v>
      </c>
      <c r="K451">
        <v>2015</v>
      </c>
      <c r="L451">
        <v>3</v>
      </c>
      <c r="M451" s="11">
        <v>42064</v>
      </c>
      <c r="N451" t="s">
        <v>2175</v>
      </c>
      <c r="O451">
        <v>5</v>
      </c>
      <c r="P451" t="s">
        <v>55</v>
      </c>
      <c r="Q451" t="b">
        <v>1</v>
      </c>
    </row>
    <row r="452" spans="1:17">
      <c r="A452" s="12">
        <v>42091</v>
      </c>
      <c r="B452" s="10">
        <v>1.33</v>
      </c>
      <c r="C452" s="10">
        <v>3.056</v>
      </c>
      <c r="D452" s="10">
        <v>3</v>
      </c>
      <c r="E452" s="10">
        <v>50.5</v>
      </c>
      <c r="F452" s="10">
        <v>6</v>
      </c>
      <c r="G452" s="10">
        <v>0</v>
      </c>
      <c r="H452" s="10">
        <v>0</v>
      </c>
      <c r="I452" s="10">
        <v>2</v>
      </c>
      <c r="J452" s="10">
        <f>SUM(B452:I452)</f>
        <v>65.886</v>
      </c>
      <c r="K452">
        <v>2015</v>
      </c>
      <c r="L452">
        <v>3</v>
      </c>
      <c r="M452" s="11">
        <v>42064</v>
      </c>
      <c r="N452" t="s">
        <v>2175</v>
      </c>
      <c r="O452">
        <v>6</v>
      </c>
      <c r="P452" t="s">
        <v>57</v>
      </c>
      <c r="Q452" t="b">
        <v>1</v>
      </c>
    </row>
    <row r="453" spans="1:17">
      <c r="A453" s="12">
        <v>42092</v>
      </c>
      <c r="B453" s="10">
        <v>6</v>
      </c>
      <c r="C453" s="10">
        <v>5.727</v>
      </c>
      <c r="D453" s="10">
        <v>2.3</v>
      </c>
      <c r="E453" s="10">
        <v>35.5</v>
      </c>
      <c r="F453" s="10">
        <v>7</v>
      </c>
      <c r="G453" s="10">
        <v>0</v>
      </c>
      <c r="H453" s="10">
        <v>8</v>
      </c>
      <c r="I453" s="10">
        <v>2</v>
      </c>
      <c r="J453" s="10">
        <f>SUM(B453:I453)</f>
        <v>66.527</v>
      </c>
      <c r="K453">
        <v>2015</v>
      </c>
      <c r="L453">
        <v>3</v>
      </c>
      <c r="M453" s="11">
        <v>42064</v>
      </c>
      <c r="N453" t="s">
        <v>2175</v>
      </c>
      <c r="O453">
        <v>7</v>
      </c>
      <c r="P453" t="s">
        <v>59</v>
      </c>
      <c r="Q453" t="b">
        <v>1</v>
      </c>
    </row>
    <row r="454" spans="1:17">
      <c r="A454" s="12">
        <v>42093</v>
      </c>
      <c r="B454" s="10">
        <v>6.33</v>
      </c>
      <c r="C454" s="10">
        <v>4.827</v>
      </c>
      <c r="D454" s="10">
        <v>10</v>
      </c>
      <c r="E454" s="10">
        <v>25.7</v>
      </c>
      <c r="F454" s="10">
        <v>4</v>
      </c>
      <c r="G454" s="10">
        <v>0</v>
      </c>
      <c r="H454" s="10">
        <v>0</v>
      </c>
      <c r="I454" s="10">
        <v>0</v>
      </c>
      <c r="J454" s="10">
        <f>SUM(B454:I454)</f>
        <v>50.857</v>
      </c>
      <c r="K454">
        <v>2015</v>
      </c>
      <c r="L454">
        <v>3</v>
      </c>
      <c r="M454" s="11">
        <v>42064</v>
      </c>
      <c r="N454" t="s">
        <v>2175</v>
      </c>
      <c r="O454">
        <v>1</v>
      </c>
      <c r="P454" t="s">
        <v>61</v>
      </c>
      <c r="Q454" t="b">
        <v>1</v>
      </c>
    </row>
    <row r="455" spans="1:17">
      <c r="A455" s="12">
        <v>42094</v>
      </c>
      <c r="B455" s="10">
        <v>5</v>
      </c>
      <c r="C455" s="10">
        <v>2</v>
      </c>
      <c r="D455" s="10">
        <v>11.2</v>
      </c>
      <c r="E455" s="10">
        <v>33.5</v>
      </c>
      <c r="F455" s="10">
        <v>5</v>
      </c>
      <c r="G455" s="10">
        <v>0</v>
      </c>
      <c r="H455" s="10">
        <v>2</v>
      </c>
      <c r="I455" s="10">
        <v>4</v>
      </c>
      <c r="J455" s="10">
        <f>SUM(B455:I455)</f>
        <v>62.7</v>
      </c>
      <c r="K455">
        <v>2015</v>
      </c>
      <c r="L455">
        <v>3</v>
      </c>
      <c r="M455" s="11">
        <v>42064</v>
      </c>
      <c r="N455" t="s">
        <v>2175</v>
      </c>
      <c r="O455">
        <v>2</v>
      </c>
      <c r="P455" t="s">
        <v>63</v>
      </c>
      <c r="Q455" t="b">
        <v>1</v>
      </c>
    </row>
    <row r="456" spans="1:17">
      <c r="A456" s="12">
        <v>42095</v>
      </c>
      <c r="B456" s="10">
        <v>6.34</v>
      </c>
      <c r="C456" s="10">
        <v>1.33</v>
      </c>
      <c r="D456" s="10">
        <v>1</v>
      </c>
      <c r="E456" s="10">
        <v>24.8</v>
      </c>
      <c r="F456" s="10">
        <v>7</v>
      </c>
      <c r="G456" s="10">
        <v>2</v>
      </c>
      <c r="H456" s="10">
        <v>5</v>
      </c>
      <c r="I456" s="10">
        <v>1</v>
      </c>
      <c r="J456" s="10">
        <f>SUM(B456:I456)</f>
        <v>48.47</v>
      </c>
      <c r="K456">
        <v>2015</v>
      </c>
      <c r="L456">
        <v>4</v>
      </c>
      <c r="M456" s="11">
        <v>42095</v>
      </c>
      <c r="N456" t="s">
        <v>2176</v>
      </c>
      <c r="O456">
        <v>3</v>
      </c>
      <c r="P456" t="s">
        <v>65</v>
      </c>
      <c r="Q456" t="b">
        <v>1</v>
      </c>
    </row>
    <row r="457" spans="1:17">
      <c r="A457" s="12">
        <v>42096</v>
      </c>
      <c r="B457" s="10">
        <v>5</v>
      </c>
      <c r="C457" s="10">
        <v>3.99</v>
      </c>
      <c r="D457" s="10">
        <v>5.4</v>
      </c>
      <c r="E457" s="10">
        <v>35.07</v>
      </c>
      <c r="F457" s="10">
        <v>3</v>
      </c>
      <c r="G457" s="10">
        <v>0</v>
      </c>
      <c r="H457" s="10">
        <v>3</v>
      </c>
      <c r="I457" s="10">
        <v>5</v>
      </c>
      <c r="J457" s="10">
        <f>SUM(B457:I457)</f>
        <v>60.46</v>
      </c>
      <c r="K457">
        <v>2015</v>
      </c>
      <c r="L457">
        <v>4</v>
      </c>
      <c r="M457" s="11">
        <v>42095</v>
      </c>
      <c r="N457" t="s">
        <v>2176</v>
      </c>
      <c r="O457">
        <v>4</v>
      </c>
      <c r="P457" t="s">
        <v>53</v>
      </c>
      <c r="Q457" t="b">
        <v>1</v>
      </c>
    </row>
    <row r="458" spans="1:17">
      <c r="A458" s="12">
        <v>42097</v>
      </c>
      <c r="B458" s="10">
        <v>5.33</v>
      </c>
      <c r="C458" s="10">
        <v>2.32</v>
      </c>
      <c r="D458" s="10">
        <v>4</v>
      </c>
      <c r="E458" s="10">
        <v>34.2</v>
      </c>
      <c r="F458" s="10">
        <v>12</v>
      </c>
      <c r="G458" s="10">
        <v>0</v>
      </c>
      <c r="H458" s="10">
        <v>0</v>
      </c>
      <c r="I458" s="10">
        <v>4</v>
      </c>
      <c r="J458" s="10">
        <f>SUM(B458:I458)</f>
        <v>61.85</v>
      </c>
      <c r="K458">
        <v>2015</v>
      </c>
      <c r="L458">
        <v>4</v>
      </c>
      <c r="M458" s="11">
        <v>42095</v>
      </c>
      <c r="N458" t="s">
        <v>2176</v>
      </c>
      <c r="O458">
        <v>5</v>
      </c>
      <c r="P458" t="s">
        <v>55</v>
      </c>
      <c r="Q458" t="b">
        <v>1</v>
      </c>
    </row>
    <row r="459" spans="1:17">
      <c r="A459" s="12">
        <v>42098</v>
      </c>
      <c r="B459" s="10">
        <v>3.67</v>
      </c>
      <c r="C459" s="10">
        <v>4.33</v>
      </c>
      <c r="D459" s="10">
        <v>6</v>
      </c>
      <c r="E459" s="10">
        <v>43</v>
      </c>
      <c r="F459" s="10">
        <v>7</v>
      </c>
      <c r="G459" s="10">
        <v>1</v>
      </c>
      <c r="H459" s="10">
        <v>5</v>
      </c>
      <c r="I459" s="10">
        <v>6</v>
      </c>
      <c r="J459" s="10">
        <f>SUM(B459:I459)</f>
        <v>76.0</v>
      </c>
      <c r="K459">
        <v>2015</v>
      </c>
      <c r="L459">
        <v>4</v>
      </c>
      <c r="M459" s="11">
        <v>42095</v>
      </c>
      <c r="N459" t="s">
        <v>2176</v>
      </c>
      <c r="O459">
        <v>6</v>
      </c>
      <c r="P459" t="s">
        <v>57</v>
      </c>
      <c r="Q459" t="b">
        <v>1</v>
      </c>
    </row>
    <row r="460" spans="1:17">
      <c r="A460" s="12">
        <v>42099</v>
      </c>
      <c r="B460" s="10">
        <v>3.34</v>
      </c>
      <c r="C460" s="10">
        <v>5.01</v>
      </c>
      <c r="D460" s="10">
        <v>4.5</v>
      </c>
      <c r="E460" s="10">
        <v>31.6</v>
      </c>
      <c r="F460" s="10">
        <v>4</v>
      </c>
      <c r="G460" s="10">
        <v>0</v>
      </c>
      <c r="H460" s="10">
        <v>0</v>
      </c>
      <c r="I460" s="10">
        <v>1</v>
      </c>
      <c r="J460" s="10">
        <f>SUM(B460:I460)</f>
        <v>49.45</v>
      </c>
      <c r="K460">
        <v>2015</v>
      </c>
      <c r="L460">
        <v>4</v>
      </c>
      <c r="M460" s="11">
        <v>42095</v>
      </c>
      <c r="N460" t="s">
        <v>2176</v>
      </c>
      <c r="O460">
        <v>7</v>
      </c>
      <c r="P460" t="s">
        <v>59</v>
      </c>
      <c r="Q460" t="b">
        <v>1</v>
      </c>
    </row>
    <row r="461" spans="1:17">
      <c r="A461" s="12">
        <v>42100</v>
      </c>
      <c r="B461" s="10">
        <v>7.33</v>
      </c>
      <c r="C461" s="10">
        <v>3.33</v>
      </c>
      <c r="D461" s="10">
        <v>5.3</v>
      </c>
      <c r="E461" s="10">
        <v>32.9</v>
      </c>
      <c r="F461" s="10">
        <v>4</v>
      </c>
      <c r="G461" s="10">
        <v>0</v>
      </c>
      <c r="H461" s="10">
        <v>3</v>
      </c>
      <c r="I461" s="10">
        <v>2</v>
      </c>
      <c r="J461" s="10">
        <f>SUM(B461:I461)</f>
        <v>57.86</v>
      </c>
      <c r="K461">
        <v>2015</v>
      </c>
      <c r="L461">
        <v>4</v>
      </c>
      <c r="M461" s="11">
        <v>42095</v>
      </c>
      <c r="N461" t="s">
        <v>2176</v>
      </c>
      <c r="O461">
        <v>1</v>
      </c>
      <c r="P461" t="s">
        <v>61</v>
      </c>
      <c r="Q461" t="b">
        <v>1</v>
      </c>
    </row>
    <row r="462" spans="1:17">
      <c r="A462" s="12">
        <v>42101</v>
      </c>
      <c r="B462" s="10">
        <v>6</v>
      </c>
      <c r="C462" s="10">
        <v>3.66</v>
      </c>
      <c r="D462" s="10">
        <v>6.7</v>
      </c>
      <c r="E462" s="10">
        <v>25</v>
      </c>
      <c r="F462" s="10">
        <v>8</v>
      </c>
      <c r="G462" s="10">
        <v>0</v>
      </c>
      <c r="H462" s="10">
        <v>8</v>
      </c>
      <c r="I462" s="10">
        <v>1</v>
      </c>
      <c r="J462" s="10">
        <f>SUM(B462:I462)</f>
        <v>58.36</v>
      </c>
      <c r="K462">
        <v>2015</v>
      </c>
      <c r="L462">
        <v>4</v>
      </c>
      <c r="M462" s="11">
        <v>42095</v>
      </c>
      <c r="N462" t="s">
        <v>2176</v>
      </c>
      <c r="O462">
        <v>2</v>
      </c>
      <c r="P462" t="s">
        <v>63</v>
      </c>
      <c r="Q462" t="b">
        <v>1</v>
      </c>
    </row>
    <row r="463" spans="1:17">
      <c r="A463" s="12">
        <v>42102</v>
      </c>
      <c r="B463" s="10">
        <v>4</v>
      </c>
      <c r="C463" s="10">
        <v>2.33</v>
      </c>
      <c r="D463" s="10">
        <v>3</v>
      </c>
      <c r="E463" s="10">
        <v>18</v>
      </c>
      <c r="F463" s="10">
        <v>11</v>
      </c>
      <c r="G463" s="10">
        <v>0</v>
      </c>
      <c r="H463" s="10">
        <v>10</v>
      </c>
      <c r="I463" s="10">
        <v>4</v>
      </c>
      <c r="J463" s="10">
        <f>SUM(B463:I463)</f>
        <v>52.33</v>
      </c>
      <c r="K463">
        <v>2015</v>
      </c>
      <c r="L463">
        <v>4</v>
      </c>
      <c r="M463" s="11">
        <v>42095</v>
      </c>
      <c r="N463" t="s">
        <v>2176</v>
      </c>
      <c r="O463">
        <v>3</v>
      </c>
      <c r="P463" t="s">
        <v>65</v>
      </c>
      <c r="Q463" t="b">
        <v>1</v>
      </c>
    </row>
    <row r="464" spans="1:17">
      <c r="A464" s="12">
        <v>42103</v>
      </c>
      <c r="B464" s="10">
        <v>1.33</v>
      </c>
      <c r="C464" s="10">
        <v>6</v>
      </c>
      <c r="D464" s="10">
        <v>8</v>
      </c>
      <c r="E464" s="10">
        <v>22.2</v>
      </c>
      <c r="F464" s="10">
        <v>8</v>
      </c>
      <c r="G464" s="10">
        <v>0</v>
      </c>
      <c r="H464" s="10">
        <v>6</v>
      </c>
      <c r="I464" s="10">
        <v>1</v>
      </c>
      <c r="J464" s="10">
        <f>SUM(B464:I464)</f>
        <v>52.53</v>
      </c>
      <c r="K464">
        <v>2015</v>
      </c>
      <c r="L464">
        <v>4</v>
      </c>
      <c r="M464" s="11">
        <v>42095</v>
      </c>
      <c r="N464" t="s">
        <v>2176</v>
      </c>
      <c r="O464">
        <v>4</v>
      </c>
      <c r="P464" t="s">
        <v>53</v>
      </c>
      <c r="Q464" t="b">
        <v>1</v>
      </c>
    </row>
    <row r="465" spans="1:17">
      <c r="A465" s="12">
        <v>42104</v>
      </c>
      <c r="B465" s="10">
        <v>9.84</v>
      </c>
      <c r="C465" s="10">
        <v>6.505</v>
      </c>
      <c r="D465" s="10">
        <v>4</v>
      </c>
      <c r="E465" s="10">
        <v>65.59999999999999</v>
      </c>
      <c r="F465" s="10">
        <v>5</v>
      </c>
      <c r="G465" s="10">
        <v>2</v>
      </c>
      <c r="H465" s="10">
        <v>8</v>
      </c>
      <c r="I465" s="10">
        <v>5</v>
      </c>
      <c r="J465" s="10">
        <f>SUM(B465:I465)</f>
        <v>105.945</v>
      </c>
      <c r="K465">
        <v>2015</v>
      </c>
      <c r="L465">
        <v>4</v>
      </c>
      <c r="M465" s="11">
        <v>42095</v>
      </c>
      <c r="N465" t="s">
        <v>2176</v>
      </c>
      <c r="O465">
        <v>5</v>
      </c>
      <c r="P465" t="s">
        <v>55</v>
      </c>
      <c r="Q465" t="b">
        <v>1</v>
      </c>
    </row>
    <row r="466" spans="1:17">
      <c r="A466" s="12">
        <v>42105</v>
      </c>
      <c r="B466" s="10">
        <v>11.68</v>
      </c>
      <c r="C466" s="10">
        <v>3</v>
      </c>
      <c r="D466" s="10">
        <v>3.4</v>
      </c>
      <c r="E466" s="10">
        <v>26</v>
      </c>
      <c r="F466" s="10">
        <v>9</v>
      </c>
      <c r="G466" s="10">
        <v>0</v>
      </c>
      <c r="H466" s="10">
        <v>5</v>
      </c>
      <c r="I466" s="10">
        <v>6</v>
      </c>
      <c r="J466" s="10">
        <f>SUM(B466:I466)</f>
        <v>64.08</v>
      </c>
      <c r="K466">
        <v>2015</v>
      </c>
      <c r="L466">
        <v>4</v>
      </c>
      <c r="M466" s="11">
        <v>42095</v>
      </c>
      <c r="N466" t="s">
        <v>2176</v>
      </c>
      <c r="O466">
        <v>6</v>
      </c>
      <c r="P466" t="s">
        <v>57</v>
      </c>
      <c r="Q466" t="b">
        <v>1</v>
      </c>
    </row>
    <row r="467" spans="1:17">
      <c r="A467" s="12">
        <v>42106</v>
      </c>
      <c r="B467" s="10">
        <v>0</v>
      </c>
      <c r="C467" s="10">
        <v>0</v>
      </c>
      <c r="D467" s="10">
        <v>0</v>
      </c>
      <c r="E467" s="10">
        <v>0</v>
      </c>
      <c r="F467" s="10">
        <v>0</v>
      </c>
      <c r="G467" s="10">
        <v>0</v>
      </c>
      <c r="H467" s="10">
        <v>0</v>
      </c>
      <c r="I467" s="10">
        <v>0</v>
      </c>
      <c r="J467" s="10">
        <f>SUM(B467:I467)</f>
        <v>0.0</v>
      </c>
      <c r="K467">
        <v>2015</v>
      </c>
      <c r="L467">
        <v>4</v>
      </c>
      <c r="M467" s="11">
        <v>42095</v>
      </c>
      <c r="N467" t="s">
        <v>2176</v>
      </c>
      <c r="O467">
        <v>7</v>
      </c>
      <c r="P467" t="s">
        <v>59</v>
      </c>
      <c r="Q467" t="b">
        <v>1</v>
      </c>
    </row>
    <row r="468" spans="1:17">
      <c r="A468" s="12">
        <v>42107</v>
      </c>
      <c r="B468" s="10">
        <v>6.67</v>
      </c>
      <c r="C468" s="10">
        <v>1.34</v>
      </c>
      <c r="D468" s="10">
        <v>7</v>
      </c>
      <c r="E468" s="10">
        <v>25.2</v>
      </c>
      <c r="F468" s="10">
        <v>5</v>
      </c>
      <c r="G468" s="10">
        <v>0</v>
      </c>
      <c r="H468" s="10">
        <v>3</v>
      </c>
      <c r="I468" s="10">
        <v>7</v>
      </c>
      <c r="J468" s="10">
        <f>SUM(B468:I468)</f>
        <v>55.21</v>
      </c>
      <c r="K468">
        <v>2015</v>
      </c>
      <c r="L468">
        <v>4</v>
      </c>
      <c r="M468" s="11">
        <v>42095</v>
      </c>
      <c r="N468" t="s">
        <v>2176</v>
      </c>
      <c r="O468">
        <v>1</v>
      </c>
      <c r="P468" t="s">
        <v>61</v>
      </c>
      <c r="Q468" t="b">
        <v>1</v>
      </c>
    </row>
    <row r="469" spans="1:17">
      <c r="A469" s="12">
        <v>42108</v>
      </c>
      <c r="B469" s="10">
        <v>4.66</v>
      </c>
      <c r="C469" s="10">
        <v>6.01</v>
      </c>
      <c r="D469" s="10">
        <v>7</v>
      </c>
      <c r="E469" s="10">
        <v>41.8</v>
      </c>
      <c r="F469" s="10">
        <v>5</v>
      </c>
      <c r="G469" s="10">
        <v>0</v>
      </c>
      <c r="H469" s="10">
        <v>5</v>
      </c>
      <c r="I469" s="10">
        <v>2</v>
      </c>
      <c r="J469" s="10">
        <f>SUM(B469:I469)</f>
        <v>71.47</v>
      </c>
      <c r="K469">
        <v>2015</v>
      </c>
      <c r="L469">
        <v>4</v>
      </c>
      <c r="M469" s="11">
        <v>42095</v>
      </c>
      <c r="N469" t="s">
        <v>2176</v>
      </c>
      <c r="O469">
        <v>2</v>
      </c>
      <c r="P469" t="s">
        <v>63</v>
      </c>
      <c r="Q469" t="b">
        <v>1</v>
      </c>
    </row>
    <row r="470" spans="1:17">
      <c r="A470" s="12">
        <v>42109</v>
      </c>
      <c r="B470" s="10">
        <v>2</v>
      </c>
      <c r="C470" s="10">
        <v>2.33</v>
      </c>
      <c r="D470" s="10">
        <v>3</v>
      </c>
      <c r="E470" s="10">
        <v>29.25</v>
      </c>
      <c r="F470" s="10">
        <v>15</v>
      </c>
      <c r="G470" s="10">
        <v>0</v>
      </c>
      <c r="H470" s="10">
        <v>0</v>
      </c>
      <c r="I470" s="10">
        <v>2</v>
      </c>
      <c r="J470" s="10">
        <f>SUM(B470:I470)</f>
        <v>53.58</v>
      </c>
      <c r="K470">
        <v>2015</v>
      </c>
      <c r="L470">
        <v>4</v>
      </c>
      <c r="M470" s="11">
        <v>42095</v>
      </c>
      <c r="N470" t="s">
        <v>2176</v>
      </c>
      <c r="O470">
        <v>3</v>
      </c>
      <c r="P470" t="s">
        <v>65</v>
      </c>
      <c r="Q470" t="b">
        <v>1</v>
      </c>
    </row>
    <row r="471" spans="1:17">
      <c r="A471" s="12">
        <v>42110</v>
      </c>
      <c r="B471" s="10">
        <v>2.34</v>
      </c>
      <c r="C471" s="10">
        <v>1</v>
      </c>
      <c r="D471" s="10">
        <v>7.2</v>
      </c>
      <c r="E471" s="10">
        <v>30.6</v>
      </c>
      <c r="F471" s="10">
        <v>7</v>
      </c>
      <c r="G471" s="10">
        <v>0</v>
      </c>
      <c r="H471" s="10">
        <v>9</v>
      </c>
      <c r="I471" s="10">
        <v>4</v>
      </c>
      <c r="J471" s="10">
        <f>SUM(B471:I471)</f>
        <v>61.14</v>
      </c>
      <c r="K471">
        <v>2015</v>
      </c>
      <c r="L471">
        <v>4</v>
      </c>
      <c r="M471" s="11">
        <v>42095</v>
      </c>
      <c r="N471" t="s">
        <v>2176</v>
      </c>
      <c r="O471">
        <v>4</v>
      </c>
      <c r="P471" t="s">
        <v>53</v>
      </c>
      <c r="Q471" t="b">
        <v>1</v>
      </c>
    </row>
    <row r="472" spans="1:17">
      <c r="A472" s="12">
        <v>42111</v>
      </c>
      <c r="B472" s="10">
        <v>9.33</v>
      </c>
      <c r="C472" s="10">
        <v>3.66</v>
      </c>
      <c r="D472" s="10">
        <v>3</v>
      </c>
      <c r="E472" s="10">
        <v>29.65</v>
      </c>
      <c r="F472" s="10">
        <v>6</v>
      </c>
      <c r="G472" s="10">
        <v>0</v>
      </c>
      <c r="H472" s="10">
        <v>1</v>
      </c>
      <c r="I472" s="10">
        <v>5</v>
      </c>
      <c r="J472" s="10">
        <f>SUM(B472:I472)</f>
        <v>57.64</v>
      </c>
      <c r="K472">
        <v>2015</v>
      </c>
      <c r="L472">
        <v>4</v>
      </c>
      <c r="M472" s="11">
        <v>42095</v>
      </c>
      <c r="N472" t="s">
        <v>2176</v>
      </c>
      <c r="O472">
        <v>5</v>
      </c>
      <c r="P472" t="s">
        <v>55</v>
      </c>
      <c r="Q472" t="b">
        <v>1</v>
      </c>
    </row>
    <row r="473" spans="1:17">
      <c r="A473" s="12">
        <v>42112</v>
      </c>
      <c r="B473" s="10">
        <v>7.33</v>
      </c>
      <c r="C473" s="10">
        <v>3</v>
      </c>
      <c r="D473" s="10">
        <v>1</v>
      </c>
      <c r="E473" s="10">
        <v>31.3</v>
      </c>
      <c r="F473" s="10">
        <v>1</v>
      </c>
      <c r="G473" s="10">
        <v>0</v>
      </c>
      <c r="H473" s="10">
        <v>1</v>
      </c>
      <c r="I473" s="10">
        <v>4</v>
      </c>
      <c r="J473" s="10">
        <f>SUM(B473:I473)</f>
        <v>48.63</v>
      </c>
      <c r="K473">
        <v>2015</v>
      </c>
      <c r="L473">
        <v>4</v>
      </c>
      <c r="M473" s="11">
        <v>42095</v>
      </c>
      <c r="N473" t="s">
        <v>2176</v>
      </c>
      <c r="O473">
        <v>6</v>
      </c>
      <c r="P473" t="s">
        <v>57</v>
      </c>
      <c r="Q473" t="b">
        <v>1</v>
      </c>
    </row>
    <row r="474" spans="1:17">
      <c r="A474" s="12">
        <v>42113</v>
      </c>
      <c r="B474" s="10">
        <v>9.32</v>
      </c>
      <c r="C474" s="10">
        <v>5.528</v>
      </c>
      <c r="D474" s="10">
        <v>3.8</v>
      </c>
      <c r="E474" s="10">
        <v>36.5</v>
      </c>
      <c r="F474" s="10">
        <v>3</v>
      </c>
      <c r="G474" s="10">
        <v>0</v>
      </c>
      <c r="H474" s="10">
        <v>0</v>
      </c>
      <c r="I474" s="10">
        <v>2</v>
      </c>
      <c r="J474" s="10">
        <f>SUM(B474:I474)</f>
        <v>60.147999999999996</v>
      </c>
      <c r="K474">
        <v>2015</v>
      </c>
      <c r="L474">
        <v>4</v>
      </c>
      <c r="M474" s="11">
        <v>42095</v>
      </c>
      <c r="N474" t="s">
        <v>2176</v>
      </c>
      <c r="O474">
        <v>7</v>
      </c>
      <c r="P474" t="s">
        <v>59</v>
      </c>
      <c r="Q474" t="b">
        <v>1</v>
      </c>
    </row>
    <row r="475" spans="1:17">
      <c r="A475" s="12">
        <v>42114</v>
      </c>
      <c r="B475" s="10">
        <v>3</v>
      </c>
      <c r="C475" s="10">
        <v>5.043</v>
      </c>
      <c r="D475" s="10">
        <v>3.7</v>
      </c>
      <c r="E475" s="10">
        <v>38</v>
      </c>
      <c r="F475" s="10">
        <v>13</v>
      </c>
      <c r="G475" s="10">
        <v>0</v>
      </c>
      <c r="H475" s="10">
        <v>1</v>
      </c>
      <c r="I475" s="10">
        <v>3</v>
      </c>
      <c r="J475" s="10">
        <f>SUM(B475:I475)</f>
        <v>66.743</v>
      </c>
      <c r="K475">
        <v>2015</v>
      </c>
      <c r="L475">
        <v>4</v>
      </c>
      <c r="M475" s="11">
        <v>42095</v>
      </c>
      <c r="N475" t="s">
        <v>2176</v>
      </c>
      <c r="O475">
        <v>1</v>
      </c>
      <c r="P475" t="s">
        <v>61</v>
      </c>
      <c r="Q475" t="b">
        <v>1</v>
      </c>
    </row>
    <row r="476" spans="1:17">
      <c r="A476" s="12">
        <v>42115</v>
      </c>
      <c r="B476" s="10">
        <v>6.33</v>
      </c>
      <c r="C476" s="10">
        <v>1</v>
      </c>
      <c r="D476" s="10">
        <v>2</v>
      </c>
      <c r="E476" s="10">
        <v>35.2</v>
      </c>
      <c r="F476" s="10">
        <v>9</v>
      </c>
      <c r="G476" s="10">
        <v>0</v>
      </c>
      <c r="H476" s="10">
        <v>0</v>
      </c>
      <c r="I476" s="10">
        <v>6</v>
      </c>
      <c r="J476" s="10">
        <f>SUM(B476:I476)</f>
        <v>59.53</v>
      </c>
      <c r="K476">
        <v>2015</v>
      </c>
      <c r="L476">
        <v>4</v>
      </c>
      <c r="M476" s="11">
        <v>42095</v>
      </c>
      <c r="N476" t="s">
        <v>2176</v>
      </c>
      <c r="O476">
        <v>2</v>
      </c>
      <c r="P476" t="s">
        <v>63</v>
      </c>
      <c r="Q476" t="b">
        <v>1</v>
      </c>
    </row>
    <row r="477" spans="1:17">
      <c r="A477" s="12">
        <v>42116</v>
      </c>
      <c r="B477" s="10">
        <v>1.33</v>
      </c>
      <c r="C477" s="10">
        <v>4.627</v>
      </c>
      <c r="D477" s="10">
        <v>3.2</v>
      </c>
      <c r="E477" s="10">
        <v>32</v>
      </c>
      <c r="F477" s="10">
        <v>3</v>
      </c>
      <c r="G477" s="10">
        <v>0</v>
      </c>
      <c r="H477" s="10">
        <v>1</v>
      </c>
      <c r="I477" s="10">
        <v>2</v>
      </c>
      <c r="J477" s="10">
        <f>SUM(B477:I477)</f>
        <v>47.157</v>
      </c>
      <c r="K477">
        <v>2015</v>
      </c>
      <c r="L477">
        <v>4</v>
      </c>
      <c r="M477" s="11">
        <v>42095</v>
      </c>
      <c r="N477" t="s">
        <v>2176</v>
      </c>
      <c r="O477">
        <v>3</v>
      </c>
      <c r="P477" t="s">
        <v>65</v>
      </c>
      <c r="Q477" t="b">
        <v>1</v>
      </c>
    </row>
    <row r="478" spans="1:17">
      <c r="A478" s="12">
        <v>42117</v>
      </c>
      <c r="B478" s="10">
        <v>4</v>
      </c>
      <c r="C478" s="10">
        <v>1</v>
      </c>
      <c r="D478" s="10">
        <v>1</v>
      </c>
      <c r="E478" s="10">
        <v>28.2</v>
      </c>
      <c r="F478" s="10">
        <v>8</v>
      </c>
      <c r="G478" s="10">
        <v>0</v>
      </c>
      <c r="H478" s="10">
        <v>1</v>
      </c>
      <c r="I478" s="10">
        <v>4</v>
      </c>
      <c r="J478" s="10">
        <f>SUM(B478:I478)</f>
        <v>47.2</v>
      </c>
      <c r="K478">
        <v>2015</v>
      </c>
      <c r="L478">
        <v>4</v>
      </c>
      <c r="M478" s="11">
        <v>42095</v>
      </c>
      <c r="N478" t="s">
        <v>2176</v>
      </c>
      <c r="O478">
        <v>4</v>
      </c>
      <c r="P478" t="s">
        <v>53</v>
      </c>
      <c r="Q478" t="b">
        <v>1</v>
      </c>
    </row>
    <row r="479" spans="1:17">
      <c r="A479" s="12">
        <v>42118</v>
      </c>
      <c r="B479" s="10">
        <v>10</v>
      </c>
      <c r="C479" s="10">
        <v>1</v>
      </c>
      <c r="D479" s="10">
        <v>4</v>
      </c>
      <c r="E479" s="10">
        <v>30</v>
      </c>
      <c r="F479" s="10">
        <v>5</v>
      </c>
      <c r="G479" s="10">
        <v>0</v>
      </c>
      <c r="H479" s="10">
        <v>1</v>
      </c>
      <c r="I479" s="10">
        <v>5</v>
      </c>
      <c r="J479" s="10">
        <f>SUM(B479:I479)</f>
        <v>56.0</v>
      </c>
      <c r="K479">
        <v>2015</v>
      </c>
      <c r="L479">
        <v>4</v>
      </c>
      <c r="M479" s="11">
        <v>42095</v>
      </c>
      <c r="N479" t="s">
        <v>2176</v>
      </c>
      <c r="O479">
        <v>5</v>
      </c>
      <c r="P479" t="s">
        <v>55</v>
      </c>
      <c r="Q479" t="b">
        <v>1</v>
      </c>
    </row>
    <row r="480" spans="1:17">
      <c r="A480" s="12">
        <v>42119</v>
      </c>
      <c r="B480" s="10">
        <v>5</v>
      </c>
      <c r="C480" s="10">
        <v>3.165</v>
      </c>
      <c r="D480" s="10">
        <v>8</v>
      </c>
      <c r="E480" s="10">
        <v>38.1</v>
      </c>
      <c r="F480" s="10">
        <v>3</v>
      </c>
      <c r="G480" s="10">
        <v>0</v>
      </c>
      <c r="H480" s="10">
        <v>1</v>
      </c>
      <c r="I480" s="10">
        <v>3</v>
      </c>
      <c r="J480" s="10">
        <f>SUM(B480:I480)</f>
        <v>61.265</v>
      </c>
      <c r="K480">
        <v>2015</v>
      </c>
      <c r="L480">
        <v>4</v>
      </c>
      <c r="M480" s="11">
        <v>42095</v>
      </c>
      <c r="N480" t="s">
        <v>2176</v>
      </c>
      <c r="O480">
        <v>6</v>
      </c>
      <c r="P480" t="s">
        <v>57</v>
      </c>
      <c r="Q480" t="b">
        <v>1</v>
      </c>
    </row>
    <row r="481" spans="1:17">
      <c r="A481" s="12">
        <v>42120</v>
      </c>
      <c r="B481" s="10">
        <v>7</v>
      </c>
      <c r="C481" s="10">
        <v>6</v>
      </c>
      <c r="D481" s="10">
        <v>3</v>
      </c>
      <c r="E481" s="10">
        <v>37.6</v>
      </c>
      <c r="F481" s="10">
        <v>5</v>
      </c>
      <c r="G481" s="10">
        <v>0</v>
      </c>
      <c r="H481" s="10">
        <v>1</v>
      </c>
      <c r="I481" s="10">
        <v>1</v>
      </c>
      <c r="J481" s="10">
        <f>SUM(B481:I481)</f>
        <v>60.6</v>
      </c>
      <c r="K481">
        <v>2015</v>
      </c>
      <c r="L481">
        <v>4</v>
      </c>
      <c r="M481" s="11">
        <v>42095</v>
      </c>
      <c r="N481" t="s">
        <v>2176</v>
      </c>
      <c r="O481">
        <v>7</v>
      </c>
      <c r="P481" t="s">
        <v>59</v>
      </c>
      <c r="Q481" t="b">
        <v>1</v>
      </c>
    </row>
    <row r="482" spans="1:17">
      <c r="A482" s="12">
        <v>42121</v>
      </c>
      <c r="B482" s="10">
        <v>3</v>
      </c>
      <c r="C482" s="10">
        <v>0.78</v>
      </c>
      <c r="D482" s="10">
        <v>4</v>
      </c>
      <c r="E482" s="10">
        <v>43</v>
      </c>
      <c r="F482" s="10">
        <v>10</v>
      </c>
      <c r="G482" s="10">
        <v>0</v>
      </c>
      <c r="H482" s="10">
        <v>0</v>
      </c>
      <c r="I482" s="10">
        <v>10</v>
      </c>
      <c r="J482" s="10">
        <f>SUM(B482:I482)</f>
        <v>70.78</v>
      </c>
      <c r="K482">
        <v>2015</v>
      </c>
      <c r="L482">
        <v>4</v>
      </c>
      <c r="M482" s="11">
        <v>42095</v>
      </c>
      <c r="N482" t="s">
        <v>2176</v>
      </c>
      <c r="O482">
        <v>1</v>
      </c>
      <c r="P482" t="s">
        <v>61</v>
      </c>
      <c r="Q482" t="b">
        <v>1</v>
      </c>
    </row>
    <row r="483" spans="1:17">
      <c r="A483" s="12">
        <v>42122</v>
      </c>
      <c r="B483" s="10">
        <v>4.33</v>
      </c>
      <c r="C483" s="10">
        <v>4.67</v>
      </c>
      <c r="D483" s="10">
        <v>3.1</v>
      </c>
      <c r="E483" s="10">
        <v>15.2</v>
      </c>
      <c r="F483" s="10">
        <v>7</v>
      </c>
      <c r="G483" s="10">
        <v>0</v>
      </c>
      <c r="H483" s="10">
        <v>5</v>
      </c>
      <c r="I483" s="10">
        <v>6</v>
      </c>
      <c r="J483" s="10">
        <f>SUM(B483:I483)</f>
        <v>45.3</v>
      </c>
      <c r="K483">
        <v>2015</v>
      </c>
      <c r="L483">
        <v>4</v>
      </c>
      <c r="M483" s="11">
        <v>42095</v>
      </c>
      <c r="N483" t="s">
        <v>2176</v>
      </c>
      <c r="O483">
        <v>2</v>
      </c>
      <c r="P483" t="s">
        <v>63</v>
      </c>
      <c r="Q483" t="b">
        <v>1</v>
      </c>
    </row>
    <row r="484" spans="1:17">
      <c r="A484" s="12">
        <v>42123</v>
      </c>
      <c r="B484" s="10">
        <v>2</v>
      </c>
      <c r="C484" s="10">
        <v>0.43</v>
      </c>
      <c r="D484" s="10">
        <v>4.2</v>
      </c>
      <c r="E484" s="10">
        <v>27.6</v>
      </c>
      <c r="F484" s="10">
        <v>2</v>
      </c>
      <c r="G484" s="10">
        <v>0</v>
      </c>
      <c r="H484" s="10">
        <v>11</v>
      </c>
      <c r="I484" s="10">
        <v>3</v>
      </c>
      <c r="J484" s="10">
        <f>SUM(B484:I484)</f>
        <v>50.230000000000004</v>
      </c>
      <c r="K484">
        <v>2015</v>
      </c>
      <c r="L484">
        <v>4</v>
      </c>
      <c r="M484" s="11">
        <v>42095</v>
      </c>
      <c r="N484" t="s">
        <v>2176</v>
      </c>
      <c r="O484">
        <v>3</v>
      </c>
      <c r="P484" t="s">
        <v>65</v>
      </c>
      <c r="Q484" t="b">
        <v>1</v>
      </c>
    </row>
    <row r="485" spans="1:17">
      <c r="A485" s="12">
        <v>42124</v>
      </c>
      <c r="B485" s="10">
        <v>3</v>
      </c>
      <c r="C485" s="10">
        <v>8.727</v>
      </c>
      <c r="D485" s="10">
        <v>2.6</v>
      </c>
      <c r="E485" s="10">
        <v>32.6</v>
      </c>
      <c r="F485" s="10">
        <v>7</v>
      </c>
      <c r="G485" s="10">
        <v>0</v>
      </c>
      <c r="H485" s="10">
        <v>3</v>
      </c>
      <c r="I485" s="10">
        <v>7</v>
      </c>
      <c r="J485" s="10">
        <f>SUM(B485:I485)</f>
        <v>63.927</v>
      </c>
      <c r="K485">
        <v>2015</v>
      </c>
      <c r="L485">
        <v>4</v>
      </c>
      <c r="M485" s="11">
        <v>42095</v>
      </c>
      <c r="N485" t="s">
        <v>2176</v>
      </c>
      <c r="O485">
        <v>4</v>
      </c>
      <c r="P485" t="s">
        <v>53</v>
      </c>
      <c r="Q485" t="b">
        <v>1</v>
      </c>
    </row>
    <row r="486" spans="1:17">
      <c r="A486" s="12">
        <v>42125</v>
      </c>
      <c r="B486" s="10">
        <v>5.34</v>
      </c>
      <c r="C486" s="10">
        <v>1.68</v>
      </c>
      <c r="D486" s="10">
        <v>4.94</v>
      </c>
      <c r="E486" s="10">
        <v>11.4</v>
      </c>
      <c r="F486" s="10">
        <v>4</v>
      </c>
      <c r="G486" s="10">
        <v>0</v>
      </c>
      <c r="H486" s="10">
        <v>0</v>
      </c>
      <c r="I486" s="10">
        <v>4.7</v>
      </c>
      <c r="J486" s="10">
        <f>SUM(B486:I486)</f>
        <v>32.06</v>
      </c>
      <c r="K486">
        <v>2015</v>
      </c>
      <c r="L486">
        <v>5</v>
      </c>
      <c r="M486" s="11">
        <v>42125</v>
      </c>
      <c r="N486" t="s">
        <v>2177</v>
      </c>
      <c r="O486">
        <v>5</v>
      </c>
      <c r="P486" t="s">
        <v>55</v>
      </c>
      <c r="Q486" t="b">
        <v>1</v>
      </c>
    </row>
    <row r="487" spans="1:17">
      <c r="A487" s="12">
        <v>42126</v>
      </c>
      <c r="B487" s="10">
        <v>5</v>
      </c>
      <c r="C487" s="10">
        <v>3.66</v>
      </c>
      <c r="D487" s="10">
        <v>3</v>
      </c>
      <c r="E487" s="10">
        <v>47.8</v>
      </c>
      <c r="F487" s="10">
        <v>6</v>
      </c>
      <c r="G487" s="10">
        <v>2</v>
      </c>
      <c r="H487" s="10">
        <v>0</v>
      </c>
      <c r="I487" s="10">
        <v>5</v>
      </c>
      <c r="J487" s="10">
        <f>SUM(B487:I487)</f>
        <v>72.46</v>
      </c>
      <c r="K487">
        <v>2015</v>
      </c>
      <c r="L487">
        <v>5</v>
      </c>
      <c r="M487" s="11">
        <v>42125</v>
      </c>
      <c r="N487" t="s">
        <v>2177</v>
      </c>
      <c r="O487">
        <v>6</v>
      </c>
      <c r="P487" t="s">
        <v>57</v>
      </c>
      <c r="Q487" t="b">
        <v>1</v>
      </c>
    </row>
    <row r="488" spans="1:17">
      <c r="A488" s="12">
        <v>42127</v>
      </c>
      <c r="B488" s="10">
        <v>6.67</v>
      </c>
      <c r="C488" s="10">
        <v>1.066</v>
      </c>
      <c r="D488" s="10">
        <v>2.1</v>
      </c>
      <c r="E488" s="10">
        <v>19.2</v>
      </c>
      <c r="F488" s="10">
        <v>4</v>
      </c>
      <c r="G488" s="10">
        <v>0</v>
      </c>
      <c r="H488" s="10">
        <v>1</v>
      </c>
      <c r="I488" s="10">
        <v>6</v>
      </c>
      <c r="J488" s="10">
        <f>SUM(B488:I488)</f>
        <v>40.036</v>
      </c>
      <c r="K488">
        <v>2015</v>
      </c>
      <c r="L488">
        <v>5</v>
      </c>
      <c r="M488" s="11">
        <v>42125</v>
      </c>
      <c r="N488" t="s">
        <v>2177</v>
      </c>
      <c r="O488">
        <v>7</v>
      </c>
      <c r="P488" t="s">
        <v>59</v>
      </c>
      <c r="Q488" t="b">
        <v>1</v>
      </c>
    </row>
    <row r="489" spans="1:17">
      <c r="A489" s="12">
        <v>42128</v>
      </c>
      <c r="B489" s="10">
        <v>4</v>
      </c>
      <c r="C489" s="10">
        <v>4.723</v>
      </c>
      <c r="D489" s="10">
        <v>8.6</v>
      </c>
      <c r="E489" s="10">
        <v>36</v>
      </c>
      <c r="F489" s="10">
        <v>5</v>
      </c>
      <c r="G489" s="10">
        <v>1</v>
      </c>
      <c r="H489" s="10">
        <v>10</v>
      </c>
      <c r="I489" s="10">
        <v>3.3</v>
      </c>
      <c r="J489" s="10">
        <f>SUM(B489:I489)</f>
        <v>72.623</v>
      </c>
      <c r="K489">
        <v>2015</v>
      </c>
      <c r="L489">
        <v>5</v>
      </c>
      <c r="M489" s="11">
        <v>42125</v>
      </c>
      <c r="N489" t="s">
        <v>2177</v>
      </c>
      <c r="O489">
        <v>1</v>
      </c>
      <c r="P489" t="s">
        <v>61</v>
      </c>
      <c r="Q489" t="b">
        <v>1</v>
      </c>
    </row>
    <row r="490" spans="1:17">
      <c r="A490" s="12">
        <v>42129</v>
      </c>
      <c r="B490" s="10">
        <v>3.34</v>
      </c>
      <c r="C490" s="10">
        <v>3.462</v>
      </c>
      <c r="D490" s="10">
        <v>2</v>
      </c>
      <c r="E490" s="10">
        <v>19</v>
      </c>
      <c r="F490" s="10">
        <v>6</v>
      </c>
      <c r="G490" s="10">
        <v>0</v>
      </c>
      <c r="H490" s="10">
        <v>5</v>
      </c>
      <c r="I490" s="10">
        <v>2.5</v>
      </c>
      <c r="J490" s="10">
        <f>SUM(B490:I490)</f>
        <v>41.302</v>
      </c>
      <c r="K490">
        <v>2015</v>
      </c>
      <c r="L490">
        <v>5</v>
      </c>
      <c r="M490" s="11">
        <v>42125</v>
      </c>
      <c r="N490" t="s">
        <v>2177</v>
      </c>
      <c r="O490">
        <v>2</v>
      </c>
      <c r="P490" t="s">
        <v>63</v>
      </c>
      <c r="Q490" t="b">
        <v>1</v>
      </c>
    </row>
    <row r="491" spans="1:17">
      <c r="A491" s="12">
        <v>42130</v>
      </c>
      <c r="B491" s="10">
        <v>4.66</v>
      </c>
      <c r="C491" s="10">
        <v>6.497</v>
      </c>
      <c r="D491" s="10">
        <v>2</v>
      </c>
      <c r="E491" s="10">
        <v>40.2</v>
      </c>
      <c r="F491" s="10">
        <v>11</v>
      </c>
      <c r="G491" s="10">
        <v>0</v>
      </c>
      <c r="H491" s="10">
        <v>0</v>
      </c>
      <c r="I491" s="10">
        <v>6</v>
      </c>
      <c r="J491" s="10">
        <f>SUM(B491:I491)</f>
        <v>70.357</v>
      </c>
      <c r="K491">
        <v>2015</v>
      </c>
      <c r="L491">
        <v>5</v>
      </c>
      <c r="M491" s="11">
        <v>42125</v>
      </c>
      <c r="N491" t="s">
        <v>2177</v>
      </c>
      <c r="O491">
        <v>3</v>
      </c>
      <c r="P491" t="s">
        <v>65</v>
      </c>
      <c r="Q491" t="b">
        <v>1</v>
      </c>
    </row>
    <row r="492" spans="1:17">
      <c r="A492" s="12">
        <v>42131</v>
      </c>
      <c r="B492" s="10">
        <v>2</v>
      </c>
      <c r="C492" s="10">
        <v>3.34</v>
      </c>
      <c r="D492" s="10">
        <v>2</v>
      </c>
      <c r="E492" s="10">
        <v>21</v>
      </c>
      <c r="F492" s="10">
        <v>4</v>
      </c>
      <c r="G492" s="10">
        <v>1</v>
      </c>
      <c r="H492" s="10">
        <v>5</v>
      </c>
      <c r="I492" s="10">
        <v>10</v>
      </c>
      <c r="J492" s="10">
        <f>SUM(B492:I492)</f>
        <v>48.34</v>
      </c>
      <c r="K492">
        <v>2015</v>
      </c>
      <c r="L492">
        <v>5</v>
      </c>
      <c r="M492" s="11">
        <v>42125</v>
      </c>
      <c r="N492" t="s">
        <v>2177</v>
      </c>
      <c r="O492">
        <v>4</v>
      </c>
      <c r="P492" t="s">
        <v>53</v>
      </c>
      <c r="Q492" t="b">
        <v>1</v>
      </c>
    </row>
    <row r="493" spans="1:17">
      <c r="A493" s="12">
        <v>42132</v>
      </c>
      <c r="B493" s="10">
        <v>1</v>
      </c>
      <c r="C493" s="10">
        <v>6.34</v>
      </c>
      <c r="D493" s="10">
        <v>5</v>
      </c>
      <c r="E493" s="10">
        <v>16</v>
      </c>
      <c r="F493" s="10">
        <v>8</v>
      </c>
      <c r="G493" s="10">
        <v>0</v>
      </c>
      <c r="H493" s="10">
        <v>4</v>
      </c>
      <c r="I493" s="10">
        <v>1</v>
      </c>
      <c r="J493" s="10">
        <f>SUM(B493:I493)</f>
        <v>41.34</v>
      </c>
      <c r="K493">
        <v>2015</v>
      </c>
      <c r="L493">
        <v>5</v>
      </c>
      <c r="M493" s="11">
        <v>42125</v>
      </c>
      <c r="N493" t="s">
        <v>2177</v>
      </c>
      <c r="O493">
        <v>5</v>
      </c>
      <c r="P493" t="s">
        <v>55</v>
      </c>
      <c r="Q493" t="b">
        <v>1</v>
      </c>
    </row>
    <row r="494" spans="1:17">
      <c r="A494" s="12">
        <v>42133</v>
      </c>
      <c r="B494" s="10">
        <v>3.66</v>
      </c>
      <c r="C494" s="10">
        <v>4.34</v>
      </c>
      <c r="D494" s="10">
        <v>7.4</v>
      </c>
      <c r="E494" s="10">
        <v>21</v>
      </c>
      <c r="F494" s="10">
        <v>11</v>
      </c>
      <c r="G494" s="10">
        <v>1</v>
      </c>
      <c r="H494" s="10">
        <v>1</v>
      </c>
      <c r="I494" s="10">
        <v>6</v>
      </c>
      <c r="J494" s="10">
        <f>SUM(B494:I494)</f>
        <v>55.4</v>
      </c>
      <c r="K494">
        <v>2015</v>
      </c>
      <c r="L494">
        <v>5</v>
      </c>
      <c r="M494" s="11">
        <v>42125</v>
      </c>
      <c r="N494" t="s">
        <v>2177</v>
      </c>
      <c r="O494">
        <v>6</v>
      </c>
      <c r="P494" t="s">
        <v>57</v>
      </c>
      <c r="Q494" t="b">
        <v>1</v>
      </c>
    </row>
    <row r="495" spans="1:17">
      <c r="A495" s="12">
        <v>42134</v>
      </c>
      <c r="B495" s="10">
        <v>3.34</v>
      </c>
      <c r="C495" s="10">
        <v>5.427</v>
      </c>
      <c r="D495" s="10">
        <v>3.8</v>
      </c>
      <c r="E495" s="10">
        <v>13</v>
      </c>
      <c r="F495" s="10">
        <v>3</v>
      </c>
      <c r="G495" s="10">
        <v>0</v>
      </c>
      <c r="H495" s="10">
        <v>1</v>
      </c>
      <c r="I495" s="10">
        <v>10</v>
      </c>
      <c r="J495" s="10">
        <f>SUM(B495:I495)</f>
        <v>39.567</v>
      </c>
      <c r="K495">
        <v>2015</v>
      </c>
      <c r="L495">
        <v>5</v>
      </c>
      <c r="M495" s="11">
        <v>42125</v>
      </c>
      <c r="N495" t="s">
        <v>2177</v>
      </c>
      <c r="O495">
        <v>7</v>
      </c>
      <c r="P495" t="s">
        <v>59</v>
      </c>
      <c r="Q495" t="b">
        <v>1</v>
      </c>
    </row>
    <row r="496" spans="1:17">
      <c r="A496" s="12">
        <v>42135</v>
      </c>
      <c r="B496" s="10">
        <v>3.33</v>
      </c>
      <c r="C496" s="10">
        <v>6.66</v>
      </c>
      <c r="D496" s="10">
        <v>5.9</v>
      </c>
      <c r="E496" s="10">
        <v>21</v>
      </c>
      <c r="F496" s="10">
        <v>3</v>
      </c>
      <c r="G496" s="10">
        <v>0</v>
      </c>
      <c r="H496" s="10">
        <v>6</v>
      </c>
      <c r="I496" s="10">
        <v>4</v>
      </c>
      <c r="J496" s="10">
        <f>SUM(B496:I496)</f>
        <v>49.89</v>
      </c>
      <c r="K496">
        <v>2015</v>
      </c>
      <c r="L496">
        <v>5</v>
      </c>
      <c r="M496" s="11">
        <v>42125</v>
      </c>
      <c r="N496" t="s">
        <v>2177</v>
      </c>
      <c r="O496">
        <v>1</v>
      </c>
      <c r="P496" t="s">
        <v>61</v>
      </c>
      <c r="Q496" t="b">
        <v>1</v>
      </c>
    </row>
    <row r="497" spans="1:17">
      <c r="A497" s="12">
        <v>42136</v>
      </c>
      <c r="B497" s="10">
        <v>7.33</v>
      </c>
      <c r="C497" s="10">
        <v>1.99</v>
      </c>
      <c r="D497" s="10">
        <v>8.199999999999999</v>
      </c>
      <c r="E497" s="10">
        <v>22.95</v>
      </c>
      <c r="F497" s="10">
        <v>13</v>
      </c>
      <c r="G497" s="10">
        <v>0</v>
      </c>
      <c r="H497" s="10">
        <v>0</v>
      </c>
      <c r="I497" s="10">
        <v>8</v>
      </c>
      <c r="J497" s="10">
        <f>SUM(B497:I497)</f>
        <v>61.47</v>
      </c>
      <c r="K497">
        <v>2015</v>
      </c>
      <c r="L497">
        <v>5</v>
      </c>
      <c r="M497" s="11">
        <v>42125</v>
      </c>
      <c r="N497" t="s">
        <v>2177</v>
      </c>
      <c r="O497">
        <v>2</v>
      </c>
      <c r="P497" t="s">
        <v>63</v>
      </c>
      <c r="Q497" t="b">
        <v>1</v>
      </c>
    </row>
    <row r="498" spans="1:17">
      <c r="A498" s="12">
        <v>42137</v>
      </c>
      <c r="B498" s="10">
        <v>8</v>
      </c>
      <c r="C498" s="10">
        <v>3.44</v>
      </c>
      <c r="D498" s="10">
        <v>9</v>
      </c>
      <c r="E498" s="10">
        <v>28.4</v>
      </c>
      <c r="F498" s="10">
        <v>5</v>
      </c>
      <c r="G498" s="10">
        <v>0</v>
      </c>
      <c r="H498" s="10">
        <v>2</v>
      </c>
      <c r="I498" s="10">
        <v>4.5</v>
      </c>
      <c r="J498" s="10">
        <f>SUM(B498:I498)</f>
        <v>60.339999999999996</v>
      </c>
      <c r="K498">
        <v>2015</v>
      </c>
      <c r="L498">
        <v>5</v>
      </c>
      <c r="M498" s="11">
        <v>42125</v>
      </c>
      <c r="N498" t="s">
        <v>2177</v>
      </c>
      <c r="O498">
        <v>3</v>
      </c>
      <c r="P498" t="s">
        <v>65</v>
      </c>
      <c r="Q498" t="b">
        <v>1</v>
      </c>
    </row>
    <row r="499" spans="1:17">
      <c r="A499" s="12">
        <v>42138</v>
      </c>
      <c r="B499" s="10">
        <v>3</v>
      </c>
      <c r="C499" s="10">
        <v>5.067</v>
      </c>
      <c r="D499" s="10">
        <v>3</v>
      </c>
      <c r="E499" s="10">
        <v>14</v>
      </c>
      <c r="F499" s="10">
        <v>1</v>
      </c>
      <c r="G499" s="10">
        <v>0</v>
      </c>
      <c r="H499" s="10">
        <v>0</v>
      </c>
      <c r="I499" s="10">
        <v>5</v>
      </c>
      <c r="J499" s="10">
        <f>SUM(B499:I499)</f>
        <v>31.067</v>
      </c>
      <c r="K499">
        <v>2015</v>
      </c>
      <c r="L499">
        <v>5</v>
      </c>
      <c r="M499" s="11">
        <v>42125</v>
      </c>
      <c r="N499" t="s">
        <v>2177</v>
      </c>
      <c r="O499">
        <v>4</v>
      </c>
      <c r="P499" t="s">
        <v>53</v>
      </c>
      <c r="Q499" t="b">
        <v>1</v>
      </c>
    </row>
    <row r="500" spans="1:17">
      <c r="A500" s="12">
        <v>42139</v>
      </c>
      <c r="B500" s="10">
        <v>3.34</v>
      </c>
      <c r="C500" s="10">
        <v>6.53</v>
      </c>
      <c r="D500" s="10">
        <v>4.3</v>
      </c>
      <c r="E500" s="10">
        <v>48.4</v>
      </c>
      <c r="F500" s="10">
        <v>8</v>
      </c>
      <c r="G500" s="10">
        <v>0</v>
      </c>
      <c r="H500" s="10">
        <v>4</v>
      </c>
      <c r="I500" s="10">
        <v>3.2</v>
      </c>
      <c r="J500" s="10">
        <f>SUM(B500:I500)</f>
        <v>77.77</v>
      </c>
      <c r="K500">
        <v>2015</v>
      </c>
      <c r="L500">
        <v>5</v>
      </c>
      <c r="M500" s="11">
        <v>42125</v>
      </c>
      <c r="N500" t="s">
        <v>2177</v>
      </c>
      <c r="O500">
        <v>5</v>
      </c>
      <c r="P500" t="s">
        <v>55</v>
      </c>
      <c r="Q500" t="b">
        <v>1</v>
      </c>
    </row>
    <row r="501" spans="1:17">
      <c r="A501" s="12">
        <v>42140</v>
      </c>
      <c r="B501" s="10">
        <v>5</v>
      </c>
      <c r="C501" s="10">
        <v>4.066</v>
      </c>
      <c r="D501" s="10">
        <v>4.1</v>
      </c>
      <c r="E501" s="10">
        <v>40.4</v>
      </c>
      <c r="F501" s="10">
        <v>4</v>
      </c>
      <c r="G501" s="10">
        <v>0</v>
      </c>
      <c r="H501" s="10">
        <v>0</v>
      </c>
      <c r="I501" s="10">
        <v>4</v>
      </c>
      <c r="J501" s="10">
        <f>SUM(B501:I501)</f>
        <v>61.565999999999995</v>
      </c>
      <c r="K501">
        <v>2015</v>
      </c>
      <c r="L501">
        <v>5</v>
      </c>
      <c r="M501" s="11">
        <v>42125</v>
      </c>
      <c r="N501" t="s">
        <v>2177</v>
      </c>
      <c r="O501">
        <v>6</v>
      </c>
      <c r="P501" t="s">
        <v>57</v>
      </c>
      <c r="Q501" t="b">
        <v>1</v>
      </c>
    </row>
    <row r="502" spans="1:17">
      <c r="A502" s="12">
        <v>42141</v>
      </c>
      <c r="B502" s="10">
        <v>5</v>
      </c>
      <c r="C502" s="10">
        <v>3.33</v>
      </c>
      <c r="D502" s="10">
        <v>5</v>
      </c>
      <c r="E502" s="10">
        <v>23.2</v>
      </c>
      <c r="F502" s="10">
        <v>0</v>
      </c>
      <c r="G502" s="10">
        <v>0</v>
      </c>
      <c r="H502" s="10">
        <v>0</v>
      </c>
      <c r="I502" s="10">
        <v>8</v>
      </c>
      <c r="J502" s="10">
        <f>SUM(B502:I502)</f>
        <v>44.53</v>
      </c>
      <c r="K502">
        <v>2015</v>
      </c>
      <c r="L502">
        <v>5</v>
      </c>
      <c r="M502" s="11">
        <v>42125</v>
      </c>
      <c r="N502" t="s">
        <v>2177</v>
      </c>
      <c r="O502">
        <v>7</v>
      </c>
      <c r="P502" t="s">
        <v>59</v>
      </c>
      <c r="Q502" t="b">
        <v>1</v>
      </c>
    </row>
    <row r="503" spans="1:17">
      <c r="A503" s="12">
        <v>42142</v>
      </c>
      <c r="B503" s="10">
        <v>7</v>
      </c>
      <c r="C503" s="10">
        <v>2.713</v>
      </c>
      <c r="D503" s="10">
        <v>5.2</v>
      </c>
      <c r="E503" s="10">
        <v>21.4</v>
      </c>
      <c r="F503" s="10">
        <v>6</v>
      </c>
      <c r="G503" s="10">
        <v>1</v>
      </c>
      <c r="H503" s="10">
        <v>2</v>
      </c>
      <c r="I503" s="10">
        <v>2.2</v>
      </c>
      <c r="J503" s="10">
        <f>SUM(B503:I503)</f>
        <v>47.513000000000005</v>
      </c>
      <c r="K503">
        <v>2015</v>
      </c>
      <c r="L503">
        <v>5</v>
      </c>
      <c r="M503" s="11">
        <v>42125</v>
      </c>
      <c r="N503" t="s">
        <v>2177</v>
      </c>
      <c r="O503">
        <v>1</v>
      </c>
      <c r="P503" t="s">
        <v>61</v>
      </c>
      <c r="Q503" t="b">
        <v>1</v>
      </c>
    </row>
    <row r="504" spans="1:17">
      <c r="A504" s="12">
        <v>42143</v>
      </c>
      <c r="B504" s="10">
        <v>3</v>
      </c>
      <c r="C504" s="10">
        <v>1.66</v>
      </c>
      <c r="D504" s="10">
        <v>3</v>
      </c>
      <c r="E504" s="10">
        <v>20</v>
      </c>
      <c r="F504" s="10">
        <v>8</v>
      </c>
      <c r="G504" s="10">
        <v>0</v>
      </c>
      <c r="H504" s="10">
        <v>0</v>
      </c>
      <c r="I504" s="10">
        <v>3</v>
      </c>
      <c r="J504" s="10">
        <f>SUM(B504:I504)</f>
        <v>38.66</v>
      </c>
      <c r="K504">
        <v>2015</v>
      </c>
      <c r="L504">
        <v>5</v>
      </c>
      <c r="M504" s="11">
        <v>42125</v>
      </c>
      <c r="N504" t="s">
        <v>2177</v>
      </c>
      <c r="O504">
        <v>2</v>
      </c>
      <c r="P504" t="s">
        <v>63</v>
      </c>
      <c r="Q504" t="b">
        <v>1</v>
      </c>
    </row>
    <row r="505" spans="1:17">
      <c r="A505" s="12">
        <v>42144</v>
      </c>
      <c r="B505" s="10">
        <v>5.67</v>
      </c>
      <c r="C505" s="10">
        <v>6.465</v>
      </c>
      <c r="D505" s="10">
        <v>2</v>
      </c>
      <c r="E505" s="10">
        <v>17</v>
      </c>
      <c r="F505" s="10">
        <v>12</v>
      </c>
      <c r="G505" s="10">
        <v>1</v>
      </c>
      <c r="H505" s="10">
        <v>5</v>
      </c>
      <c r="I505" s="10">
        <v>6</v>
      </c>
      <c r="J505" s="10">
        <f>SUM(B505:I505)</f>
        <v>55.135</v>
      </c>
      <c r="K505">
        <v>2015</v>
      </c>
      <c r="L505">
        <v>5</v>
      </c>
      <c r="M505" s="11">
        <v>42125</v>
      </c>
      <c r="N505" t="s">
        <v>2177</v>
      </c>
      <c r="O505">
        <v>3</v>
      </c>
      <c r="P505" t="s">
        <v>65</v>
      </c>
      <c r="Q505" t="b">
        <v>1</v>
      </c>
    </row>
    <row r="506" spans="1:17">
      <c r="A506" s="12">
        <v>42145</v>
      </c>
      <c r="B506" s="10">
        <v>6</v>
      </c>
      <c r="C506" s="10">
        <v>1.957</v>
      </c>
      <c r="D506" s="10">
        <v>3</v>
      </c>
      <c r="E506" s="10">
        <v>10</v>
      </c>
      <c r="F506" s="10">
        <v>5</v>
      </c>
      <c r="G506" s="10">
        <v>0</v>
      </c>
      <c r="H506" s="10">
        <v>1</v>
      </c>
      <c r="I506" s="10">
        <v>3.3</v>
      </c>
      <c r="J506" s="10">
        <f>SUM(B506:I506)</f>
        <v>30.257</v>
      </c>
      <c r="K506">
        <v>2015</v>
      </c>
      <c r="L506">
        <v>5</v>
      </c>
      <c r="M506" s="11">
        <v>42125</v>
      </c>
      <c r="N506" t="s">
        <v>2177</v>
      </c>
      <c r="O506">
        <v>4</v>
      </c>
      <c r="P506" t="s">
        <v>53</v>
      </c>
      <c r="Q506" t="b">
        <v>1</v>
      </c>
    </row>
    <row r="507" spans="1:17">
      <c r="A507" s="12">
        <v>42146</v>
      </c>
      <c r="B507" s="10">
        <v>3</v>
      </c>
      <c r="C507" s="10">
        <v>0.198</v>
      </c>
      <c r="D507" s="10">
        <v>2</v>
      </c>
      <c r="E507" s="10">
        <v>15</v>
      </c>
      <c r="F507" s="10">
        <v>8</v>
      </c>
      <c r="G507" s="10">
        <v>0</v>
      </c>
      <c r="H507" s="10">
        <v>0</v>
      </c>
      <c r="I507" s="10">
        <v>7</v>
      </c>
      <c r="J507" s="10">
        <f>SUM(B507:I507)</f>
        <v>35.198</v>
      </c>
      <c r="K507">
        <v>2015</v>
      </c>
      <c r="L507">
        <v>5</v>
      </c>
      <c r="M507" s="11">
        <v>42125</v>
      </c>
      <c r="N507" t="s">
        <v>2177</v>
      </c>
      <c r="O507">
        <v>5</v>
      </c>
      <c r="P507" t="s">
        <v>55</v>
      </c>
      <c r="Q507" t="b">
        <v>1</v>
      </c>
    </row>
    <row r="508" spans="1:17">
      <c r="A508" s="12">
        <v>42147</v>
      </c>
      <c r="B508" s="10">
        <v>5.68</v>
      </c>
      <c r="C508" s="10">
        <v>2.69</v>
      </c>
      <c r="D508" s="10">
        <v>5</v>
      </c>
      <c r="E508" s="10">
        <v>23.45</v>
      </c>
      <c r="F508" s="10">
        <v>10</v>
      </c>
      <c r="G508" s="10">
        <v>0</v>
      </c>
      <c r="H508" s="10">
        <v>2</v>
      </c>
      <c r="I508" s="10">
        <v>7</v>
      </c>
      <c r="J508" s="10">
        <f>SUM(B508:I508)</f>
        <v>55.82</v>
      </c>
      <c r="K508">
        <v>2015</v>
      </c>
      <c r="L508">
        <v>5</v>
      </c>
      <c r="M508" s="11">
        <v>42125</v>
      </c>
      <c r="N508" t="s">
        <v>2177</v>
      </c>
      <c r="O508">
        <v>6</v>
      </c>
      <c r="P508" t="s">
        <v>57</v>
      </c>
      <c r="Q508" t="b">
        <v>1</v>
      </c>
    </row>
    <row r="509" spans="1:17">
      <c r="A509" s="12">
        <v>42148</v>
      </c>
      <c r="B509" s="10">
        <v>5.33</v>
      </c>
      <c r="C509" s="10">
        <v>7.769</v>
      </c>
      <c r="D509" s="10">
        <v>3</v>
      </c>
      <c r="E509" s="10">
        <v>20</v>
      </c>
      <c r="F509" s="10">
        <v>5</v>
      </c>
      <c r="G509" s="10">
        <v>0</v>
      </c>
      <c r="H509" s="10">
        <v>0</v>
      </c>
      <c r="I509" s="10">
        <v>1.3</v>
      </c>
      <c r="J509" s="10">
        <f>SUM(B509:I509)</f>
        <v>42.399</v>
      </c>
      <c r="K509">
        <v>2015</v>
      </c>
      <c r="L509">
        <v>5</v>
      </c>
      <c r="M509" s="11">
        <v>42125</v>
      </c>
      <c r="N509" t="s">
        <v>2177</v>
      </c>
      <c r="O509">
        <v>7</v>
      </c>
      <c r="P509" t="s">
        <v>59</v>
      </c>
      <c r="Q509" t="b">
        <v>1</v>
      </c>
    </row>
    <row r="510" spans="1:17">
      <c r="A510" s="12">
        <v>42149</v>
      </c>
      <c r="B510" s="10">
        <v>9.66</v>
      </c>
      <c r="C510" s="10">
        <v>3.33</v>
      </c>
      <c r="D510" s="10">
        <v>4</v>
      </c>
      <c r="E510" s="10">
        <v>30</v>
      </c>
      <c r="F510" s="10">
        <v>11</v>
      </c>
      <c r="G510" s="10">
        <v>3</v>
      </c>
      <c r="H510" s="10">
        <v>0</v>
      </c>
      <c r="I510" s="10">
        <v>3</v>
      </c>
      <c r="J510" s="10">
        <f>SUM(B510:I510)</f>
        <v>63.99</v>
      </c>
      <c r="K510">
        <v>2015</v>
      </c>
      <c r="L510">
        <v>5</v>
      </c>
      <c r="M510" s="11">
        <v>42125</v>
      </c>
      <c r="N510" t="s">
        <v>2177</v>
      </c>
      <c r="O510">
        <v>1</v>
      </c>
      <c r="P510" t="s">
        <v>61</v>
      </c>
      <c r="Q510" t="b">
        <v>1</v>
      </c>
    </row>
    <row r="511" spans="1:17">
      <c r="A511" s="12">
        <v>42150</v>
      </c>
      <c r="B511" s="10">
        <v>7.34</v>
      </c>
      <c r="C511" s="10">
        <v>3.34</v>
      </c>
      <c r="D511" s="10">
        <v>4.5</v>
      </c>
      <c r="E511" s="10">
        <v>27</v>
      </c>
      <c r="F511" s="10">
        <v>11</v>
      </c>
      <c r="G511" s="10">
        <v>0</v>
      </c>
      <c r="H511" s="10">
        <v>22</v>
      </c>
      <c r="I511" s="10">
        <v>10</v>
      </c>
      <c r="J511" s="10">
        <f>SUM(B511:I511)</f>
        <v>85.18</v>
      </c>
      <c r="K511">
        <v>2015</v>
      </c>
      <c r="L511">
        <v>5</v>
      </c>
      <c r="M511" s="11">
        <v>42125</v>
      </c>
      <c r="N511" t="s">
        <v>2177</v>
      </c>
      <c r="O511">
        <v>2</v>
      </c>
      <c r="P511" t="s">
        <v>63</v>
      </c>
      <c r="Q511" t="b">
        <v>1</v>
      </c>
    </row>
    <row r="512" spans="1:17">
      <c r="A512" s="12">
        <v>42151</v>
      </c>
      <c r="B512" s="10">
        <v>4</v>
      </c>
      <c r="C512" s="10">
        <v>2.66</v>
      </c>
      <c r="D512" s="10">
        <v>2</v>
      </c>
      <c r="E512" s="10">
        <v>24.2</v>
      </c>
      <c r="F512" s="10">
        <v>7</v>
      </c>
      <c r="G512" s="10">
        <v>0</v>
      </c>
      <c r="H512" s="10">
        <v>0</v>
      </c>
      <c r="I512" s="10">
        <v>1</v>
      </c>
      <c r="J512" s="10">
        <f>SUM(B512:I512)</f>
        <v>40.86</v>
      </c>
      <c r="K512">
        <v>2015</v>
      </c>
      <c r="L512">
        <v>5</v>
      </c>
      <c r="M512" s="11">
        <v>42125</v>
      </c>
      <c r="N512" t="s">
        <v>2177</v>
      </c>
      <c r="O512">
        <v>3</v>
      </c>
      <c r="P512" t="s">
        <v>65</v>
      </c>
      <c r="Q512" t="b">
        <v>1</v>
      </c>
    </row>
    <row r="513" spans="1:17">
      <c r="A513" s="12">
        <v>42152</v>
      </c>
      <c r="B513" s="10">
        <v>6</v>
      </c>
      <c r="C513" s="10">
        <v>2.33</v>
      </c>
      <c r="D513" s="10">
        <v>6.7</v>
      </c>
      <c r="E513" s="10">
        <v>17.1</v>
      </c>
      <c r="F513" s="10">
        <v>3</v>
      </c>
      <c r="G513" s="10">
        <v>0</v>
      </c>
      <c r="H513" s="10">
        <v>20</v>
      </c>
      <c r="I513" s="10">
        <v>3</v>
      </c>
      <c r="J513" s="10">
        <f>SUM(B513:I513)</f>
        <v>58.13</v>
      </c>
      <c r="K513">
        <v>2015</v>
      </c>
      <c r="L513">
        <v>5</v>
      </c>
      <c r="M513" s="11">
        <v>42125</v>
      </c>
      <c r="N513" t="s">
        <v>2177</v>
      </c>
      <c r="O513">
        <v>4</v>
      </c>
      <c r="P513" t="s">
        <v>53</v>
      </c>
      <c r="Q513" t="b">
        <v>1</v>
      </c>
    </row>
    <row r="514" spans="1:17">
      <c r="A514" s="12">
        <v>42153</v>
      </c>
      <c r="B514" s="10">
        <v>6.33</v>
      </c>
      <c r="C514" s="10">
        <v>5.01</v>
      </c>
      <c r="D514" s="10">
        <v>3</v>
      </c>
      <c r="E514" s="10">
        <v>41.8</v>
      </c>
      <c r="F514" s="10">
        <v>6</v>
      </c>
      <c r="G514" s="10">
        <v>0</v>
      </c>
      <c r="H514" s="10">
        <v>5</v>
      </c>
      <c r="I514" s="10">
        <v>3</v>
      </c>
      <c r="J514" s="10">
        <f>SUM(B514:I514)</f>
        <v>70.14</v>
      </c>
      <c r="K514">
        <v>2015</v>
      </c>
      <c r="L514">
        <v>5</v>
      </c>
      <c r="M514" s="11">
        <v>42125</v>
      </c>
      <c r="N514" t="s">
        <v>2177</v>
      </c>
      <c r="O514">
        <v>5</v>
      </c>
      <c r="P514" t="s">
        <v>55</v>
      </c>
      <c r="Q514" t="b">
        <v>1</v>
      </c>
    </row>
    <row r="515" spans="1:17">
      <c r="A515" s="12">
        <v>42154</v>
      </c>
      <c r="B515" s="10">
        <v>14</v>
      </c>
      <c r="C515" s="10">
        <v>2.68</v>
      </c>
      <c r="D515" s="10">
        <v>6</v>
      </c>
      <c r="E515" s="10">
        <v>24.5</v>
      </c>
      <c r="F515" s="10">
        <v>4</v>
      </c>
      <c r="G515" s="10">
        <v>0</v>
      </c>
      <c r="H515" s="10">
        <v>4</v>
      </c>
      <c r="I515" s="10">
        <v>8</v>
      </c>
      <c r="J515" s="10">
        <f>SUM(B515:I515)</f>
        <v>63.18</v>
      </c>
      <c r="K515">
        <v>2015</v>
      </c>
      <c r="L515">
        <v>5</v>
      </c>
      <c r="M515" s="11">
        <v>42125</v>
      </c>
      <c r="N515" t="s">
        <v>2177</v>
      </c>
      <c r="O515">
        <v>6</v>
      </c>
      <c r="P515" t="s">
        <v>57</v>
      </c>
      <c r="Q515" t="b">
        <v>1</v>
      </c>
    </row>
    <row r="516" spans="1:17">
      <c r="A516" s="12">
        <v>42155</v>
      </c>
      <c r="B516" s="10">
        <v>3</v>
      </c>
      <c r="C516" s="10">
        <v>4.697</v>
      </c>
      <c r="D516" s="10">
        <v>6.3</v>
      </c>
      <c r="E516" s="10">
        <v>31.5</v>
      </c>
      <c r="F516" s="10">
        <v>2</v>
      </c>
      <c r="G516" s="10">
        <v>0</v>
      </c>
      <c r="H516" s="10">
        <v>0</v>
      </c>
      <c r="I516" s="10">
        <v>10.5</v>
      </c>
      <c r="J516" s="10">
        <f>SUM(B516:I516)</f>
        <v>57.997</v>
      </c>
      <c r="K516">
        <v>2015</v>
      </c>
      <c r="L516">
        <v>5</v>
      </c>
      <c r="M516" s="11">
        <v>42125</v>
      </c>
      <c r="N516" t="s">
        <v>2177</v>
      </c>
      <c r="O516">
        <v>7</v>
      </c>
      <c r="P516" t="s">
        <v>59</v>
      </c>
      <c r="Q516" t="b">
        <v>1</v>
      </c>
    </row>
    <row r="517" spans="1:17">
      <c r="A517" s="12">
        <v>42156</v>
      </c>
      <c r="B517" s="10">
        <v>4.66</v>
      </c>
      <c r="C517" s="10">
        <v>5</v>
      </c>
      <c r="D517" s="10">
        <v>2.5</v>
      </c>
      <c r="E517" s="10">
        <v>23.55</v>
      </c>
      <c r="F517" s="10">
        <v>12</v>
      </c>
      <c r="G517" s="10">
        <v>0</v>
      </c>
      <c r="H517" s="10">
        <v>2</v>
      </c>
      <c r="I517" s="10">
        <v>3</v>
      </c>
      <c r="J517" s="10">
        <f>SUM(B517:I517)</f>
        <v>52.71</v>
      </c>
      <c r="K517">
        <v>2015</v>
      </c>
      <c r="L517">
        <v>6</v>
      </c>
      <c r="M517" s="11">
        <v>42156</v>
      </c>
      <c r="N517" t="s">
        <v>2178</v>
      </c>
      <c r="O517">
        <v>1</v>
      </c>
      <c r="P517" t="s">
        <v>61</v>
      </c>
      <c r="Q517" t="b">
        <v>1</v>
      </c>
    </row>
    <row r="518" spans="1:17">
      <c r="A518" s="12">
        <v>42157</v>
      </c>
      <c r="B518" s="10">
        <v>8.33</v>
      </c>
      <c r="C518" s="10">
        <v>8</v>
      </c>
      <c r="D518" s="10">
        <v>7.9</v>
      </c>
      <c r="E518" s="10">
        <v>24</v>
      </c>
      <c r="F518" s="10">
        <v>10</v>
      </c>
      <c r="G518" s="10">
        <v>4</v>
      </c>
      <c r="H518" s="10">
        <v>3</v>
      </c>
      <c r="I518" s="10">
        <v>6</v>
      </c>
      <c r="J518" s="10">
        <f>SUM(B518:I518)</f>
        <v>71.22999999999999</v>
      </c>
      <c r="K518">
        <v>2015</v>
      </c>
      <c r="L518">
        <v>6</v>
      </c>
      <c r="M518" s="11">
        <v>42156</v>
      </c>
      <c r="N518" t="s">
        <v>2178</v>
      </c>
      <c r="O518">
        <v>2</v>
      </c>
      <c r="P518" t="s">
        <v>63</v>
      </c>
      <c r="Q518" t="b">
        <v>1</v>
      </c>
    </row>
    <row r="519" spans="1:17">
      <c r="A519" s="12">
        <v>42158</v>
      </c>
      <c r="B519" s="10">
        <v>5</v>
      </c>
      <c r="C519" s="10">
        <v>1.66</v>
      </c>
      <c r="D519" s="10">
        <v>5.3</v>
      </c>
      <c r="E519" s="10">
        <v>30</v>
      </c>
      <c r="F519" s="10">
        <v>9</v>
      </c>
      <c r="G519" s="10">
        <v>0</v>
      </c>
      <c r="H519" s="10">
        <v>6</v>
      </c>
      <c r="I519" s="10">
        <v>2</v>
      </c>
      <c r="J519" s="10">
        <f>SUM(B519:I519)</f>
        <v>58.96</v>
      </c>
      <c r="K519">
        <v>2015</v>
      </c>
      <c r="L519">
        <v>6</v>
      </c>
      <c r="M519" s="11">
        <v>42156</v>
      </c>
      <c r="N519" t="s">
        <v>2178</v>
      </c>
      <c r="O519">
        <v>3</v>
      </c>
      <c r="P519" t="s">
        <v>65</v>
      </c>
      <c r="Q519" t="b">
        <v>1</v>
      </c>
    </row>
    <row r="520" spans="1:17">
      <c r="A520" s="12">
        <v>42159</v>
      </c>
      <c r="B520" s="10">
        <v>2.33</v>
      </c>
      <c r="C520" s="10">
        <v>4</v>
      </c>
      <c r="D520" s="10">
        <v>3</v>
      </c>
      <c r="E520" s="10">
        <v>20</v>
      </c>
      <c r="F520" s="10">
        <v>5</v>
      </c>
      <c r="G520" s="10">
        <v>0</v>
      </c>
      <c r="H520" s="10">
        <v>2</v>
      </c>
      <c r="I520" s="10">
        <v>2</v>
      </c>
      <c r="J520" s="10">
        <f>SUM(B520:I520)</f>
        <v>38.33</v>
      </c>
      <c r="K520">
        <v>2015</v>
      </c>
      <c r="L520">
        <v>6</v>
      </c>
      <c r="M520" s="11">
        <v>42156</v>
      </c>
      <c r="N520" t="s">
        <v>2178</v>
      </c>
      <c r="O520">
        <v>4</v>
      </c>
      <c r="P520" t="s">
        <v>53</v>
      </c>
      <c r="Q520" t="b">
        <v>1</v>
      </c>
    </row>
    <row r="521" spans="1:17">
      <c r="A521" s="12">
        <v>42160</v>
      </c>
      <c r="B521" s="10">
        <v>5</v>
      </c>
      <c r="C521" s="10">
        <v>0.67</v>
      </c>
      <c r="D521" s="10">
        <v>5</v>
      </c>
      <c r="E521" s="10">
        <v>13</v>
      </c>
      <c r="F521" s="10">
        <v>6</v>
      </c>
      <c r="G521" s="10">
        <v>0</v>
      </c>
      <c r="H521" s="10">
        <v>1</v>
      </c>
      <c r="I521" s="10">
        <v>7</v>
      </c>
      <c r="J521" s="10">
        <f>SUM(B521:I521)</f>
        <v>37.67</v>
      </c>
      <c r="K521">
        <v>2015</v>
      </c>
      <c r="L521">
        <v>6</v>
      </c>
      <c r="M521" s="11">
        <v>42156</v>
      </c>
      <c r="N521" t="s">
        <v>2178</v>
      </c>
      <c r="O521">
        <v>5</v>
      </c>
      <c r="P521" t="s">
        <v>55</v>
      </c>
      <c r="Q521" t="b">
        <v>1</v>
      </c>
    </row>
    <row r="522" spans="1:17">
      <c r="A522" s="12">
        <v>42161</v>
      </c>
      <c r="B522" s="10">
        <v>3.68</v>
      </c>
      <c r="C522" s="10">
        <v>3.68</v>
      </c>
      <c r="D522" s="10">
        <v>2</v>
      </c>
      <c r="E522" s="10">
        <v>16</v>
      </c>
      <c r="F522" s="10">
        <v>6</v>
      </c>
      <c r="G522" s="10">
        <v>0</v>
      </c>
      <c r="H522" s="10">
        <v>17</v>
      </c>
      <c r="I522" s="10">
        <v>2</v>
      </c>
      <c r="J522" s="10">
        <f>SUM(B522:I522)</f>
        <v>50.36</v>
      </c>
      <c r="K522">
        <v>2015</v>
      </c>
      <c r="L522">
        <v>6</v>
      </c>
      <c r="M522" s="11">
        <v>42156</v>
      </c>
      <c r="N522" t="s">
        <v>2178</v>
      </c>
      <c r="O522">
        <v>6</v>
      </c>
      <c r="P522" t="s">
        <v>57</v>
      </c>
      <c r="Q522" t="b">
        <v>1</v>
      </c>
    </row>
    <row r="523" spans="1:17">
      <c r="A523" s="12">
        <v>42162</v>
      </c>
      <c r="B523" s="10">
        <v>6.34</v>
      </c>
      <c r="C523" s="10">
        <v>5.01</v>
      </c>
      <c r="D523" s="10">
        <v>2</v>
      </c>
      <c r="E523" s="10">
        <v>17</v>
      </c>
      <c r="F523" s="10">
        <v>6</v>
      </c>
      <c r="G523" s="10">
        <v>1</v>
      </c>
      <c r="H523" s="10">
        <v>22</v>
      </c>
      <c r="I523" s="10">
        <v>6</v>
      </c>
      <c r="J523" s="10">
        <f>SUM(B523:I523)</f>
        <v>65.35</v>
      </c>
      <c r="K523">
        <v>2015</v>
      </c>
      <c r="L523">
        <v>6</v>
      </c>
      <c r="M523" s="11">
        <v>42156</v>
      </c>
      <c r="N523" t="s">
        <v>2178</v>
      </c>
      <c r="O523">
        <v>7</v>
      </c>
      <c r="P523" t="s">
        <v>59</v>
      </c>
      <c r="Q523" t="b">
        <v>1</v>
      </c>
    </row>
    <row r="524" spans="1:17">
      <c r="A524" s="12">
        <v>42163</v>
      </c>
      <c r="B524" s="10">
        <v>6</v>
      </c>
      <c r="C524" s="10">
        <v>5.66</v>
      </c>
      <c r="D524" s="10">
        <v>2.5</v>
      </c>
      <c r="E524" s="10">
        <v>31</v>
      </c>
      <c r="F524" s="10">
        <v>10</v>
      </c>
      <c r="G524" s="10">
        <v>1</v>
      </c>
      <c r="H524" s="10">
        <v>3</v>
      </c>
      <c r="I524" s="10">
        <v>7</v>
      </c>
      <c r="J524" s="10">
        <f>SUM(B524:I524)</f>
        <v>66.16</v>
      </c>
      <c r="K524">
        <v>2015</v>
      </c>
      <c r="L524">
        <v>6</v>
      </c>
      <c r="M524" s="11">
        <v>42156</v>
      </c>
      <c r="N524" t="s">
        <v>2178</v>
      </c>
      <c r="O524">
        <v>1</v>
      </c>
      <c r="P524" t="s">
        <v>61</v>
      </c>
      <c r="Q524" t="b">
        <v>1</v>
      </c>
    </row>
    <row r="525" spans="1:17">
      <c r="A525" s="12">
        <v>42164</v>
      </c>
      <c r="B525" s="10">
        <v>3</v>
      </c>
      <c r="C525" s="10">
        <v>4</v>
      </c>
      <c r="D525" s="10">
        <v>4</v>
      </c>
      <c r="E525" s="10">
        <v>26.6</v>
      </c>
      <c r="F525" s="10">
        <v>14</v>
      </c>
      <c r="G525" s="10">
        <v>0</v>
      </c>
      <c r="H525" s="10">
        <v>0</v>
      </c>
      <c r="I525" s="10">
        <v>4.6</v>
      </c>
      <c r="J525" s="10">
        <f>SUM(B525:I525)</f>
        <v>56.2</v>
      </c>
      <c r="K525">
        <v>2015</v>
      </c>
      <c r="L525">
        <v>6</v>
      </c>
      <c r="M525" s="11">
        <v>42156</v>
      </c>
      <c r="N525" t="s">
        <v>2178</v>
      </c>
      <c r="O525">
        <v>2</v>
      </c>
      <c r="P525" t="s">
        <v>63</v>
      </c>
      <c r="Q525" t="b">
        <v>1</v>
      </c>
    </row>
    <row r="526" spans="1:17">
      <c r="A526" s="12">
        <v>42165</v>
      </c>
      <c r="B526" s="10">
        <v>4.34</v>
      </c>
      <c r="C526" s="10">
        <v>3.01</v>
      </c>
      <c r="D526" s="10">
        <v>8</v>
      </c>
      <c r="E526" s="10">
        <v>18.676</v>
      </c>
      <c r="F526" s="10">
        <v>6</v>
      </c>
      <c r="G526" s="10">
        <v>0</v>
      </c>
      <c r="H526" s="10">
        <v>7</v>
      </c>
      <c r="I526" s="10">
        <v>2</v>
      </c>
      <c r="J526" s="10">
        <f>SUM(B526:I526)</f>
        <v>49.025999999999996</v>
      </c>
      <c r="K526">
        <v>2015</v>
      </c>
      <c r="L526">
        <v>6</v>
      </c>
      <c r="M526" s="11">
        <v>42156</v>
      </c>
      <c r="N526" t="s">
        <v>2178</v>
      </c>
      <c r="O526">
        <v>3</v>
      </c>
      <c r="P526" t="s">
        <v>65</v>
      </c>
      <c r="Q526" t="b">
        <v>1</v>
      </c>
    </row>
    <row r="527" spans="1:17">
      <c r="A527" s="12">
        <v>42166</v>
      </c>
      <c r="B527" s="10">
        <v>6</v>
      </c>
      <c r="C527" s="10">
        <v>2.33</v>
      </c>
      <c r="D527" s="10">
        <v>5.1</v>
      </c>
      <c r="E527" s="10">
        <v>38.3</v>
      </c>
      <c r="F527" s="10">
        <v>11</v>
      </c>
      <c r="G527" s="10">
        <v>0</v>
      </c>
      <c r="H527" s="10">
        <v>1</v>
      </c>
      <c r="I527" s="10">
        <v>3</v>
      </c>
      <c r="J527" s="10">
        <f>SUM(B527:I527)</f>
        <v>66.72999999999999</v>
      </c>
      <c r="K527">
        <v>2015</v>
      </c>
      <c r="L527">
        <v>6</v>
      </c>
      <c r="M527" s="11">
        <v>42156</v>
      </c>
      <c r="N527" t="s">
        <v>2178</v>
      </c>
      <c r="O527">
        <v>4</v>
      </c>
      <c r="P527" t="s">
        <v>53</v>
      </c>
      <c r="Q527" t="b">
        <v>1</v>
      </c>
    </row>
    <row r="528" spans="1:17">
      <c r="A528" s="12">
        <v>42167</v>
      </c>
      <c r="B528" s="10">
        <v>1.67</v>
      </c>
      <c r="C528" s="10">
        <v>1.66</v>
      </c>
      <c r="D528" s="10">
        <v>2</v>
      </c>
      <c r="E528" s="10">
        <v>17.5</v>
      </c>
      <c r="F528" s="10">
        <v>2</v>
      </c>
      <c r="G528" s="10">
        <v>2</v>
      </c>
      <c r="H528" s="10">
        <v>0</v>
      </c>
      <c r="I528" s="10">
        <v>5</v>
      </c>
      <c r="J528" s="10">
        <f>SUM(B528:I528)</f>
        <v>31.83</v>
      </c>
      <c r="K528">
        <v>2015</v>
      </c>
      <c r="L528">
        <v>6</v>
      </c>
      <c r="M528" s="11">
        <v>42156</v>
      </c>
      <c r="N528" t="s">
        <v>2178</v>
      </c>
      <c r="O528">
        <v>5</v>
      </c>
      <c r="P528" t="s">
        <v>55</v>
      </c>
      <c r="Q528" t="b">
        <v>1</v>
      </c>
    </row>
    <row r="529" spans="1:17">
      <c r="A529" s="12">
        <v>42168</v>
      </c>
      <c r="B529" s="10">
        <v>2.33</v>
      </c>
      <c r="C529" s="10">
        <v>4.66</v>
      </c>
      <c r="D529" s="10">
        <v>7.3</v>
      </c>
      <c r="E529" s="10">
        <v>21.4</v>
      </c>
      <c r="F529" s="10">
        <v>6</v>
      </c>
      <c r="G529" s="10">
        <v>0</v>
      </c>
      <c r="H529" s="10">
        <v>12</v>
      </c>
      <c r="I529" s="10">
        <v>4</v>
      </c>
      <c r="J529" s="10">
        <f>SUM(B529:I529)</f>
        <v>57.69</v>
      </c>
      <c r="K529">
        <v>2015</v>
      </c>
      <c r="L529">
        <v>6</v>
      </c>
      <c r="M529" s="11">
        <v>42156</v>
      </c>
      <c r="N529" t="s">
        <v>2178</v>
      </c>
      <c r="O529">
        <v>6</v>
      </c>
      <c r="P529" t="s">
        <v>57</v>
      </c>
      <c r="Q529" t="b">
        <v>1</v>
      </c>
    </row>
    <row r="530" spans="1:17">
      <c r="A530" s="12">
        <v>42169</v>
      </c>
      <c r="B530" s="10">
        <v>5</v>
      </c>
      <c r="C530" s="10">
        <v>3.67</v>
      </c>
      <c r="D530" s="10">
        <v>1.6</v>
      </c>
      <c r="E530" s="10">
        <v>14</v>
      </c>
      <c r="F530" s="10">
        <v>6</v>
      </c>
      <c r="G530" s="10">
        <v>0</v>
      </c>
      <c r="H530" s="10">
        <v>3</v>
      </c>
      <c r="I530" s="10">
        <v>2</v>
      </c>
      <c r="J530" s="10">
        <f>SUM(B530:I530)</f>
        <v>35.269999999999996</v>
      </c>
      <c r="K530">
        <v>2015</v>
      </c>
      <c r="L530">
        <v>6</v>
      </c>
      <c r="M530" s="11">
        <v>42156</v>
      </c>
      <c r="N530" t="s">
        <v>2178</v>
      </c>
      <c r="O530">
        <v>7</v>
      </c>
      <c r="P530" t="s">
        <v>59</v>
      </c>
      <c r="Q530" t="b">
        <v>1</v>
      </c>
    </row>
    <row r="531" spans="1:17">
      <c r="A531" s="12">
        <v>42170</v>
      </c>
      <c r="B531" s="10">
        <v>4</v>
      </c>
      <c r="C531" s="10">
        <v>3.36</v>
      </c>
      <c r="D531" s="10">
        <v>5</v>
      </c>
      <c r="E531" s="10">
        <v>37</v>
      </c>
      <c r="F531" s="10">
        <v>9</v>
      </c>
      <c r="G531" s="10">
        <v>0</v>
      </c>
      <c r="H531" s="10">
        <v>6</v>
      </c>
      <c r="I531" s="10">
        <v>9</v>
      </c>
      <c r="J531" s="10">
        <f>SUM(B531:I531)</f>
        <v>73.36</v>
      </c>
      <c r="K531">
        <v>2015</v>
      </c>
      <c r="L531">
        <v>6</v>
      </c>
      <c r="M531" s="11">
        <v>42156</v>
      </c>
      <c r="N531" t="s">
        <v>2178</v>
      </c>
      <c r="O531">
        <v>1</v>
      </c>
      <c r="P531" t="s">
        <v>61</v>
      </c>
      <c r="Q531" t="b">
        <v>1</v>
      </c>
    </row>
    <row r="532" spans="1:17">
      <c r="A532" s="12">
        <v>42171</v>
      </c>
      <c r="B532" s="10">
        <v>7</v>
      </c>
      <c r="C532" s="10">
        <v>3.34</v>
      </c>
      <c r="D532" s="10">
        <v>4</v>
      </c>
      <c r="E532" s="10">
        <v>20</v>
      </c>
      <c r="F532" s="10">
        <v>6</v>
      </c>
      <c r="G532" s="10">
        <v>0</v>
      </c>
      <c r="H532" s="10">
        <v>8</v>
      </c>
      <c r="I532" s="10">
        <v>5</v>
      </c>
      <c r="J532" s="10">
        <f>SUM(B532:I532)</f>
        <v>53.34</v>
      </c>
      <c r="K532">
        <v>2015</v>
      </c>
      <c r="L532">
        <v>6</v>
      </c>
      <c r="M532" s="11">
        <v>42156</v>
      </c>
      <c r="N532" t="s">
        <v>2178</v>
      </c>
      <c r="O532">
        <v>2</v>
      </c>
      <c r="P532" t="s">
        <v>63</v>
      </c>
      <c r="Q532" t="b">
        <v>1</v>
      </c>
    </row>
    <row r="533" spans="1:17">
      <c r="A533" s="12">
        <v>42172</v>
      </c>
      <c r="B533" s="10">
        <v>3.66</v>
      </c>
      <c r="C533" s="10">
        <v>3.32</v>
      </c>
      <c r="D533" s="10">
        <v>8.66</v>
      </c>
      <c r="E533" s="10">
        <v>24</v>
      </c>
      <c r="F533" s="10">
        <v>10</v>
      </c>
      <c r="G533" s="10">
        <v>1</v>
      </c>
      <c r="H533" s="10">
        <v>20</v>
      </c>
      <c r="I533" s="10">
        <v>2</v>
      </c>
      <c r="J533" s="10">
        <f>SUM(B533:I533)</f>
        <v>72.64</v>
      </c>
      <c r="K533">
        <v>2015</v>
      </c>
      <c r="L533">
        <v>6</v>
      </c>
      <c r="M533" s="11">
        <v>42156</v>
      </c>
      <c r="N533" t="s">
        <v>2178</v>
      </c>
      <c r="O533">
        <v>3</v>
      </c>
      <c r="P533" t="s">
        <v>65</v>
      </c>
      <c r="Q533" t="b">
        <v>1</v>
      </c>
    </row>
    <row r="534" spans="1:17">
      <c r="A534" s="12">
        <v>42173</v>
      </c>
      <c r="B534" s="10">
        <v>3</v>
      </c>
      <c r="C534" s="10">
        <v>5.33</v>
      </c>
      <c r="D534" s="10">
        <v>7</v>
      </c>
      <c r="E534" s="10">
        <v>24.6</v>
      </c>
      <c r="F534" s="10">
        <v>4</v>
      </c>
      <c r="G534" s="10">
        <v>0</v>
      </c>
      <c r="H534" s="10">
        <v>23</v>
      </c>
      <c r="I534" s="10">
        <v>3.6</v>
      </c>
      <c r="J534" s="10">
        <f>SUM(B534:I534)</f>
        <v>70.53</v>
      </c>
      <c r="K534">
        <v>2015</v>
      </c>
      <c r="L534">
        <v>6</v>
      </c>
      <c r="M534" s="11">
        <v>42156</v>
      </c>
      <c r="N534" t="s">
        <v>2178</v>
      </c>
      <c r="O534">
        <v>4</v>
      </c>
      <c r="P534" t="s">
        <v>53</v>
      </c>
      <c r="Q534" t="b">
        <v>1</v>
      </c>
    </row>
    <row r="535" spans="1:17">
      <c r="A535" s="12">
        <v>42174</v>
      </c>
      <c r="B535" s="10">
        <v>5.33</v>
      </c>
      <c r="C535" s="10">
        <v>4.01</v>
      </c>
      <c r="D535" s="10">
        <v>3.1</v>
      </c>
      <c r="E535" s="10">
        <v>24</v>
      </c>
      <c r="F535" s="10">
        <v>13</v>
      </c>
      <c r="G535" s="10">
        <v>2</v>
      </c>
      <c r="H535" s="10">
        <v>10</v>
      </c>
      <c r="I535" s="10">
        <v>6.3</v>
      </c>
      <c r="J535" s="10">
        <f>SUM(B535:I535)</f>
        <v>67.74</v>
      </c>
      <c r="K535">
        <v>2015</v>
      </c>
      <c r="L535">
        <v>6</v>
      </c>
      <c r="M535" s="11">
        <v>42156</v>
      </c>
      <c r="N535" t="s">
        <v>2178</v>
      </c>
      <c r="O535">
        <v>5</v>
      </c>
      <c r="P535" t="s">
        <v>55</v>
      </c>
      <c r="Q535" t="b">
        <v>1</v>
      </c>
    </row>
    <row r="536" spans="1:17">
      <c r="A536" s="12">
        <v>42175</v>
      </c>
      <c r="B536" s="10">
        <v>9.34</v>
      </c>
      <c r="C536" s="10">
        <v>3</v>
      </c>
      <c r="D536" s="10">
        <v>3</v>
      </c>
      <c r="E536" s="10">
        <v>26.8</v>
      </c>
      <c r="F536" s="10">
        <v>5</v>
      </c>
      <c r="G536" s="10">
        <v>0</v>
      </c>
      <c r="H536" s="10">
        <v>10</v>
      </c>
      <c r="I536" s="10">
        <v>7</v>
      </c>
      <c r="J536" s="10">
        <f>SUM(B536:I536)</f>
        <v>64.14</v>
      </c>
      <c r="K536">
        <v>2015</v>
      </c>
      <c r="L536">
        <v>6</v>
      </c>
      <c r="M536" s="11">
        <v>42156</v>
      </c>
      <c r="N536" t="s">
        <v>2178</v>
      </c>
      <c r="O536">
        <v>6</v>
      </c>
      <c r="P536" t="s">
        <v>57</v>
      </c>
      <c r="Q536" t="b">
        <v>1</v>
      </c>
    </row>
    <row r="537" spans="1:17">
      <c r="A537" s="12">
        <v>42176</v>
      </c>
      <c r="B537" s="10">
        <v>9.34</v>
      </c>
      <c r="C537" s="10">
        <v>0.68</v>
      </c>
      <c r="D537" s="10">
        <v>5</v>
      </c>
      <c r="E537" s="10">
        <v>18</v>
      </c>
      <c r="F537" s="10">
        <v>5</v>
      </c>
      <c r="G537" s="10">
        <v>0</v>
      </c>
      <c r="H537" s="10">
        <v>6</v>
      </c>
      <c r="I537" s="10">
        <v>2</v>
      </c>
      <c r="J537" s="10">
        <f>SUM(B537:I537)</f>
        <v>46.019999999999996</v>
      </c>
      <c r="K537">
        <v>2015</v>
      </c>
      <c r="L537">
        <v>6</v>
      </c>
      <c r="M537" s="11">
        <v>42156</v>
      </c>
      <c r="N537" t="s">
        <v>2178</v>
      </c>
      <c r="O537">
        <v>7</v>
      </c>
      <c r="P537" t="s">
        <v>59</v>
      </c>
      <c r="Q537" t="b">
        <v>1</v>
      </c>
    </row>
    <row r="538" spans="1:17">
      <c r="A538" s="12">
        <v>42177</v>
      </c>
      <c r="B538" s="10">
        <v>5.17</v>
      </c>
      <c r="C538" s="10">
        <v>6.99</v>
      </c>
      <c r="D538" s="10">
        <v>9.6</v>
      </c>
      <c r="E538" s="10">
        <v>29.062</v>
      </c>
      <c r="F538" s="10">
        <v>0</v>
      </c>
      <c r="G538" s="10">
        <v>0</v>
      </c>
      <c r="H538" s="10">
        <v>1</v>
      </c>
      <c r="I538" s="10">
        <v>5</v>
      </c>
      <c r="J538" s="10">
        <f>SUM(B538:I538)</f>
        <v>56.822</v>
      </c>
      <c r="K538">
        <v>2015</v>
      </c>
      <c r="L538">
        <v>6</v>
      </c>
      <c r="M538" s="11">
        <v>42156</v>
      </c>
      <c r="N538" t="s">
        <v>2178</v>
      </c>
      <c r="O538">
        <v>1</v>
      </c>
      <c r="P538" t="s">
        <v>61</v>
      </c>
      <c r="Q538" t="b">
        <v>1</v>
      </c>
    </row>
    <row r="539" spans="1:17">
      <c r="A539" s="12">
        <v>42178</v>
      </c>
      <c r="B539" s="10">
        <v>4.67</v>
      </c>
      <c r="C539" s="10">
        <v>5.67</v>
      </c>
      <c r="D539" s="10">
        <v>3.5</v>
      </c>
      <c r="E539" s="10">
        <v>19</v>
      </c>
      <c r="F539" s="10">
        <v>7</v>
      </c>
      <c r="G539" s="10">
        <v>0</v>
      </c>
      <c r="H539" s="10">
        <v>5</v>
      </c>
      <c r="I539" s="10">
        <v>5</v>
      </c>
      <c r="J539" s="10">
        <f>SUM(B539:I539)</f>
        <v>49.84</v>
      </c>
      <c r="K539">
        <v>2015</v>
      </c>
      <c r="L539">
        <v>6</v>
      </c>
      <c r="M539" s="11">
        <v>42156</v>
      </c>
      <c r="N539" t="s">
        <v>2178</v>
      </c>
      <c r="O539">
        <v>2</v>
      </c>
      <c r="P539" t="s">
        <v>63</v>
      </c>
      <c r="Q539" t="b">
        <v>1</v>
      </c>
    </row>
    <row r="540" spans="1:17">
      <c r="A540" s="12">
        <v>42179</v>
      </c>
      <c r="B540" s="10">
        <v>3.83</v>
      </c>
      <c r="C540" s="10">
        <v>4</v>
      </c>
      <c r="D540" s="10">
        <v>7</v>
      </c>
      <c r="E540" s="10">
        <v>23.8</v>
      </c>
      <c r="F540" s="10">
        <v>5</v>
      </c>
      <c r="G540" s="10">
        <v>1</v>
      </c>
      <c r="H540" s="10">
        <v>4</v>
      </c>
      <c r="I540" s="10">
        <v>3</v>
      </c>
      <c r="J540" s="10">
        <f>SUM(B540:I540)</f>
        <v>51.63</v>
      </c>
      <c r="K540">
        <v>2015</v>
      </c>
      <c r="L540">
        <v>6</v>
      </c>
      <c r="M540" s="11">
        <v>42156</v>
      </c>
      <c r="N540" t="s">
        <v>2178</v>
      </c>
      <c r="O540">
        <v>3</v>
      </c>
      <c r="P540" t="s">
        <v>65</v>
      </c>
      <c r="Q540" t="b">
        <v>1</v>
      </c>
    </row>
    <row r="541" spans="1:17">
      <c r="A541" s="12">
        <v>42180</v>
      </c>
      <c r="B541" s="10">
        <v>6.33</v>
      </c>
      <c r="C541" s="10">
        <v>4.34</v>
      </c>
      <c r="D541" s="10">
        <v>6</v>
      </c>
      <c r="E541" s="10">
        <v>24.125</v>
      </c>
      <c r="F541" s="10">
        <v>4</v>
      </c>
      <c r="G541" s="10">
        <v>0</v>
      </c>
      <c r="H541" s="10">
        <v>0</v>
      </c>
      <c r="I541" s="10">
        <v>3</v>
      </c>
      <c r="J541" s="10">
        <f>SUM(B541:I541)</f>
        <v>47.795</v>
      </c>
      <c r="K541">
        <v>2015</v>
      </c>
      <c r="L541">
        <v>6</v>
      </c>
      <c r="M541" s="11">
        <v>42156</v>
      </c>
      <c r="N541" t="s">
        <v>2178</v>
      </c>
      <c r="O541">
        <v>4</v>
      </c>
      <c r="P541" t="s">
        <v>53</v>
      </c>
      <c r="Q541" t="b">
        <v>1</v>
      </c>
    </row>
    <row r="542" spans="1:17">
      <c r="A542" s="12">
        <v>42181</v>
      </c>
      <c r="B542" s="10">
        <v>7.17</v>
      </c>
      <c r="C542" s="10">
        <v>0.33</v>
      </c>
      <c r="D542" s="10">
        <v>2</v>
      </c>
      <c r="E542" s="10">
        <v>29</v>
      </c>
      <c r="F542" s="10">
        <v>3</v>
      </c>
      <c r="G542" s="10">
        <v>0</v>
      </c>
      <c r="H542" s="10">
        <v>1</v>
      </c>
      <c r="I542" s="10">
        <v>4</v>
      </c>
      <c r="J542" s="10">
        <f>SUM(B542:I542)</f>
        <v>46.5</v>
      </c>
      <c r="K542">
        <v>2015</v>
      </c>
      <c r="L542">
        <v>6</v>
      </c>
      <c r="M542" s="11">
        <v>42156</v>
      </c>
      <c r="N542" t="s">
        <v>2178</v>
      </c>
      <c r="O542">
        <v>5</v>
      </c>
      <c r="P542" t="s">
        <v>55</v>
      </c>
      <c r="Q542" t="b">
        <v>1</v>
      </c>
    </row>
    <row r="543" spans="1:17">
      <c r="A543" s="12">
        <v>42182</v>
      </c>
      <c r="B543" s="10">
        <v>7.33</v>
      </c>
      <c r="C543" s="10">
        <v>3.33</v>
      </c>
      <c r="D543" s="10">
        <v>6</v>
      </c>
      <c r="E543" s="10">
        <v>36</v>
      </c>
      <c r="F543" s="10">
        <v>10</v>
      </c>
      <c r="G543" s="10">
        <v>0</v>
      </c>
      <c r="H543" s="10">
        <v>1</v>
      </c>
      <c r="I543" s="10">
        <v>2</v>
      </c>
      <c r="J543" s="10">
        <f>SUM(B543:I543)</f>
        <v>65.66</v>
      </c>
      <c r="K543">
        <v>2015</v>
      </c>
      <c r="L543">
        <v>6</v>
      </c>
      <c r="M543" s="11">
        <v>42156</v>
      </c>
      <c r="N543" t="s">
        <v>2178</v>
      </c>
      <c r="O543">
        <v>6</v>
      </c>
      <c r="P543" t="s">
        <v>57</v>
      </c>
      <c r="Q543" t="b">
        <v>1</v>
      </c>
    </row>
    <row r="544" spans="1:17">
      <c r="A544" s="12">
        <v>42183</v>
      </c>
      <c r="B544" s="10">
        <v>5.34</v>
      </c>
      <c r="C544" s="10">
        <v>4.65</v>
      </c>
      <c r="D544" s="10">
        <v>7.4</v>
      </c>
      <c r="E544" s="10">
        <v>12</v>
      </c>
      <c r="F544" s="10">
        <v>0</v>
      </c>
      <c r="G544" s="10">
        <v>0</v>
      </c>
      <c r="H544" s="10">
        <v>6</v>
      </c>
      <c r="I544" s="10">
        <v>6</v>
      </c>
      <c r="J544" s="10">
        <f>SUM(B544:I544)</f>
        <v>41.39</v>
      </c>
      <c r="K544">
        <v>2015</v>
      </c>
      <c r="L544">
        <v>6</v>
      </c>
      <c r="M544" s="11">
        <v>42156</v>
      </c>
      <c r="N544" t="s">
        <v>2178</v>
      </c>
      <c r="O544">
        <v>7</v>
      </c>
      <c r="P544" t="s">
        <v>59</v>
      </c>
      <c r="Q544" t="b">
        <v>1</v>
      </c>
    </row>
    <row r="545" spans="1:17">
      <c r="A545" s="12">
        <v>42184</v>
      </c>
      <c r="B545" s="10">
        <v>5.68</v>
      </c>
      <c r="C545" s="10">
        <v>3.66</v>
      </c>
      <c r="D545" s="10">
        <v>4</v>
      </c>
      <c r="E545" s="10">
        <v>22</v>
      </c>
      <c r="F545" s="10">
        <v>15</v>
      </c>
      <c r="G545" s="10">
        <v>0</v>
      </c>
      <c r="H545" s="10">
        <v>11</v>
      </c>
      <c r="I545" s="10">
        <v>3</v>
      </c>
      <c r="J545" s="10">
        <f>SUM(B545:I545)</f>
        <v>64.34</v>
      </c>
      <c r="K545">
        <v>2015</v>
      </c>
      <c r="L545">
        <v>6</v>
      </c>
      <c r="M545" s="11">
        <v>42156</v>
      </c>
      <c r="N545" t="s">
        <v>2178</v>
      </c>
      <c r="O545">
        <v>1</v>
      </c>
      <c r="P545" t="s">
        <v>61</v>
      </c>
      <c r="Q545" t="b">
        <v>1</v>
      </c>
    </row>
    <row r="546" spans="1:17">
      <c r="A546" s="12">
        <v>42185</v>
      </c>
      <c r="B546" s="10">
        <v>1</v>
      </c>
      <c r="C546" s="10">
        <v>4.67</v>
      </c>
      <c r="D546" s="10">
        <v>6</v>
      </c>
      <c r="E546" s="10">
        <v>35</v>
      </c>
      <c r="F546" s="10">
        <v>12</v>
      </c>
      <c r="G546" s="10">
        <v>0</v>
      </c>
      <c r="H546" s="10">
        <v>2</v>
      </c>
      <c r="I546" s="10">
        <v>4.3</v>
      </c>
      <c r="J546" s="10">
        <f>SUM(B546:I546)</f>
        <v>64.97</v>
      </c>
      <c r="K546">
        <v>2015</v>
      </c>
      <c r="L546">
        <v>6</v>
      </c>
      <c r="M546" s="11">
        <v>42156</v>
      </c>
      <c r="N546" t="s">
        <v>2178</v>
      </c>
      <c r="O546">
        <v>2</v>
      </c>
      <c r="P546" t="s">
        <v>63</v>
      </c>
      <c r="Q546" t="b">
        <v>1</v>
      </c>
    </row>
    <row r="547" spans="1:17">
      <c r="A547" s="12">
        <v>42186</v>
      </c>
      <c r="B547" s="10">
        <v>8.83</v>
      </c>
      <c r="C547" s="10">
        <v>5.68</v>
      </c>
      <c r="D547" s="10">
        <v>5.4</v>
      </c>
      <c r="E547" s="10">
        <v>18.25</v>
      </c>
      <c r="F547" s="10">
        <v>14</v>
      </c>
      <c r="G547" s="10">
        <v>1</v>
      </c>
      <c r="H547" s="10">
        <v>12</v>
      </c>
      <c r="I547" s="10">
        <v>10</v>
      </c>
      <c r="J547" s="10">
        <f>SUM(B547:I547)</f>
        <v>75.16</v>
      </c>
      <c r="K547">
        <v>2015</v>
      </c>
      <c r="L547">
        <v>7</v>
      </c>
      <c r="M547" s="11">
        <v>42186</v>
      </c>
      <c r="N547" t="s">
        <v>2179</v>
      </c>
      <c r="O547">
        <v>3</v>
      </c>
      <c r="P547" t="s">
        <v>65</v>
      </c>
      <c r="Q547" t="b">
        <v>1</v>
      </c>
    </row>
    <row r="548" spans="1:17">
      <c r="A548" s="12">
        <v>42187</v>
      </c>
      <c r="B548" s="10">
        <v>3</v>
      </c>
      <c r="C548" s="10">
        <v>2</v>
      </c>
      <c r="D548" s="10">
        <v>1</v>
      </c>
      <c r="E548" s="10">
        <v>23.15</v>
      </c>
      <c r="F548" s="10">
        <v>3</v>
      </c>
      <c r="G548" s="10">
        <v>0</v>
      </c>
      <c r="H548" s="10">
        <v>1</v>
      </c>
      <c r="I548" s="10">
        <v>2</v>
      </c>
      <c r="J548" s="10">
        <f>SUM(B548:I548)</f>
        <v>35.15</v>
      </c>
      <c r="K548">
        <v>2015</v>
      </c>
      <c r="L548">
        <v>7</v>
      </c>
      <c r="M548" s="11">
        <v>42186</v>
      </c>
      <c r="N548" t="s">
        <v>2179</v>
      </c>
      <c r="O548">
        <v>4</v>
      </c>
      <c r="P548" t="s">
        <v>53</v>
      </c>
      <c r="Q548" t="b">
        <v>1</v>
      </c>
    </row>
    <row r="549" spans="1:17">
      <c r="A549" s="12">
        <v>42188</v>
      </c>
      <c r="B549" s="10">
        <v>5.5</v>
      </c>
      <c r="C549" s="10">
        <v>4.33</v>
      </c>
      <c r="D549" s="10">
        <v>3.5</v>
      </c>
      <c r="E549" s="10">
        <v>24.5</v>
      </c>
      <c r="F549" s="10">
        <v>10</v>
      </c>
      <c r="G549" s="10">
        <v>0</v>
      </c>
      <c r="H549" s="10">
        <v>8</v>
      </c>
      <c r="I549" s="10">
        <v>4</v>
      </c>
      <c r="J549" s="10">
        <f>SUM(B549:I549)</f>
        <v>59.83</v>
      </c>
      <c r="K549">
        <v>2015</v>
      </c>
      <c r="L549">
        <v>7</v>
      </c>
      <c r="M549" s="11">
        <v>42186</v>
      </c>
      <c r="N549" t="s">
        <v>2179</v>
      </c>
      <c r="O549">
        <v>5</v>
      </c>
      <c r="P549" t="s">
        <v>55</v>
      </c>
      <c r="Q549" t="b">
        <v>1</v>
      </c>
    </row>
    <row r="550" spans="1:17">
      <c r="A550" s="12">
        <v>42189</v>
      </c>
      <c r="B550" s="10">
        <v>7.35</v>
      </c>
      <c r="C550" s="10">
        <v>2.34</v>
      </c>
      <c r="D550" s="10">
        <v>4.2</v>
      </c>
      <c r="E550" s="10">
        <v>15.2</v>
      </c>
      <c r="F550" s="10">
        <v>2</v>
      </c>
      <c r="G550" s="10">
        <v>0</v>
      </c>
      <c r="H550" s="10">
        <v>0</v>
      </c>
      <c r="I550" s="10">
        <v>3</v>
      </c>
      <c r="J550" s="10">
        <f>SUM(B550:I550)</f>
        <v>34.09</v>
      </c>
      <c r="K550">
        <v>2015</v>
      </c>
      <c r="L550">
        <v>7</v>
      </c>
      <c r="M550" s="11">
        <v>42186</v>
      </c>
      <c r="N550" t="s">
        <v>2179</v>
      </c>
      <c r="O550">
        <v>6</v>
      </c>
      <c r="P550" t="s">
        <v>57</v>
      </c>
      <c r="Q550" t="b">
        <v>1</v>
      </c>
    </row>
    <row r="551" spans="1:17">
      <c r="A551" s="12">
        <v>42190</v>
      </c>
      <c r="B551" s="10">
        <v>5</v>
      </c>
      <c r="C551" s="10">
        <v>4.34</v>
      </c>
      <c r="D551" s="10">
        <v>4.2</v>
      </c>
      <c r="E551" s="10">
        <v>14</v>
      </c>
      <c r="F551" s="10">
        <v>10</v>
      </c>
      <c r="G551" s="10">
        <v>0</v>
      </c>
      <c r="H551" s="10">
        <v>1</v>
      </c>
      <c r="I551" s="10">
        <v>4</v>
      </c>
      <c r="J551" s="10">
        <f>SUM(B551:I551)</f>
        <v>42.54</v>
      </c>
      <c r="K551">
        <v>2015</v>
      </c>
      <c r="L551">
        <v>7</v>
      </c>
      <c r="M551" s="11">
        <v>42186</v>
      </c>
      <c r="N551" t="s">
        <v>2179</v>
      </c>
      <c r="O551">
        <v>7</v>
      </c>
      <c r="P551" t="s">
        <v>59</v>
      </c>
      <c r="Q551" t="b">
        <v>1</v>
      </c>
    </row>
    <row r="552" spans="1:17">
      <c r="A552" s="12">
        <v>42191</v>
      </c>
      <c r="B552" s="10">
        <v>5.5</v>
      </c>
      <c r="C552" s="10">
        <v>4.68</v>
      </c>
      <c r="D552" s="10">
        <v>2</v>
      </c>
      <c r="E552" s="10">
        <v>20</v>
      </c>
      <c r="F552" s="10">
        <v>8</v>
      </c>
      <c r="G552" s="10">
        <v>0</v>
      </c>
      <c r="H552" s="10">
        <v>3</v>
      </c>
      <c r="I552" s="10">
        <v>3</v>
      </c>
      <c r="J552" s="10">
        <f>SUM(B552:I552)</f>
        <v>46.18</v>
      </c>
      <c r="K552">
        <v>2015</v>
      </c>
      <c r="L552">
        <v>7</v>
      </c>
      <c r="M552" s="11">
        <v>42186</v>
      </c>
      <c r="N552" t="s">
        <v>2179</v>
      </c>
      <c r="O552">
        <v>1</v>
      </c>
      <c r="P552" t="s">
        <v>61</v>
      </c>
      <c r="Q552" t="b">
        <v>1</v>
      </c>
    </row>
    <row r="553" spans="1:17">
      <c r="A553" s="12">
        <v>42192</v>
      </c>
      <c r="B553" s="10">
        <v>4.84</v>
      </c>
      <c r="C553" s="10">
        <v>4.68</v>
      </c>
      <c r="D553" s="10">
        <v>2.3</v>
      </c>
      <c r="E553" s="10">
        <v>19.6</v>
      </c>
      <c r="F553" s="10">
        <v>5</v>
      </c>
      <c r="G553" s="10">
        <v>0</v>
      </c>
      <c r="H553" s="10">
        <v>3</v>
      </c>
      <c r="I553" s="10">
        <v>7</v>
      </c>
      <c r="J553" s="10">
        <f>SUM(B553:I553)</f>
        <v>46.42</v>
      </c>
      <c r="K553">
        <v>2015</v>
      </c>
      <c r="L553">
        <v>7</v>
      </c>
      <c r="M553" s="11">
        <v>42186</v>
      </c>
      <c r="N553" t="s">
        <v>2179</v>
      </c>
      <c r="O553">
        <v>2</v>
      </c>
      <c r="P553" t="s">
        <v>63</v>
      </c>
      <c r="Q553" t="b">
        <v>1</v>
      </c>
    </row>
    <row r="554" spans="1:17">
      <c r="A554" s="12">
        <v>42193</v>
      </c>
      <c r="B554" s="10">
        <v>2</v>
      </c>
      <c r="C554" s="10">
        <v>1.35</v>
      </c>
      <c r="D554" s="10">
        <v>3</v>
      </c>
      <c r="E554" s="10">
        <v>18.6</v>
      </c>
      <c r="F554" s="10">
        <v>6</v>
      </c>
      <c r="G554" s="10">
        <v>0</v>
      </c>
      <c r="H554" s="10">
        <v>5</v>
      </c>
      <c r="I554" s="10">
        <v>3</v>
      </c>
      <c r="J554" s="10">
        <f>SUM(B554:I554)</f>
        <v>38.95</v>
      </c>
      <c r="K554">
        <v>2015</v>
      </c>
      <c r="L554">
        <v>7</v>
      </c>
      <c r="M554" s="11">
        <v>42186</v>
      </c>
      <c r="N554" t="s">
        <v>2179</v>
      </c>
      <c r="O554">
        <v>3</v>
      </c>
      <c r="P554" t="s">
        <v>65</v>
      </c>
      <c r="Q554" t="b">
        <v>1</v>
      </c>
    </row>
    <row r="555" spans="1:17">
      <c r="A555" s="12">
        <v>42194</v>
      </c>
      <c r="B555" s="10">
        <v>2.34</v>
      </c>
      <c r="C555" s="10">
        <v>1.67</v>
      </c>
      <c r="D555" s="10">
        <v>2</v>
      </c>
      <c r="E555" s="10">
        <v>32.75</v>
      </c>
      <c r="F555" s="10">
        <v>4</v>
      </c>
      <c r="G555" s="10">
        <v>0</v>
      </c>
      <c r="H555" s="10">
        <v>0</v>
      </c>
      <c r="I555" s="10">
        <v>5</v>
      </c>
      <c r="J555" s="10">
        <f>SUM(B555:I555)</f>
        <v>47.76</v>
      </c>
      <c r="K555">
        <v>2015</v>
      </c>
      <c r="L555">
        <v>7</v>
      </c>
      <c r="M555" s="11">
        <v>42186</v>
      </c>
      <c r="N555" t="s">
        <v>2179</v>
      </c>
      <c r="O555">
        <v>4</v>
      </c>
      <c r="P555" t="s">
        <v>53</v>
      </c>
      <c r="Q555" t="b">
        <v>1</v>
      </c>
    </row>
    <row r="556" spans="1:17">
      <c r="A556" s="12">
        <v>42195</v>
      </c>
      <c r="B556" s="10">
        <v>5.5</v>
      </c>
      <c r="C556" s="10">
        <v>6.34</v>
      </c>
      <c r="D556" s="10">
        <v>5</v>
      </c>
      <c r="E556" s="10">
        <v>37</v>
      </c>
      <c r="F556" s="10">
        <v>15</v>
      </c>
      <c r="G556" s="10">
        <v>0</v>
      </c>
      <c r="H556" s="10">
        <v>8</v>
      </c>
      <c r="I556" s="10">
        <v>6</v>
      </c>
      <c r="J556" s="10">
        <f>SUM(B556:I556)</f>
        <v>82.84</v>
      </c>
      <c r="K556">
        <v>2015</v>
      </c>
      <c r="L556">
        <v>7</v>
      </c>
      <c r="M556" s="11">
        <v>42186</v>
      </c>
      <c r="N556" t="s">
        <v>2179</v>
      </c>
      <c r="O556">
        <v>5</v>
      </c>
      <c r="P556" t="s">
        <v>55</v>
      </c>
      <c r="Q556" t="b">
        <v>1</v>
      </c>
    </row>
    <row r="557" spans="1:17">
      <c r="A557" s="12">
        <v>42196</v>
      </c>
      <c r="B557" s="10">
        <v>4</v>
      </c>
      <c r="C557" s="10">
        <v>2.33</v>
      </c>
      <c r="D557" s="10">
        <v>4.9</v>
      </c>
      <c r="E557" s="10">
        <v>45</v>
      </c>
      <c r="F557" s="10">
        <v>9</v>
      </c>
      <c r="G557" s="10">
        <v>0</v>
      </c>
      <c r="H557" s="10">
        <v>2</v>
      </c>
      <c r="I557" s="10">
        <v>10</v>
      </c>
      <c r="J557" s="10">
        <f>SUM(B557:I557)</f>
        <v>77.23</v>
      </c>
      <c r="K557">
        <v>2015</v>
      </c>
      <c r="L557">
        <v>7</v>
      </c>
      <c r="M557" s="11">
        <v>42186</v>
      </c>
      <c r="N557" t="s">
        <v>2179</v>
      </c>
      <c r="O557">
        <v>6</v>
      </c>
      <c r="P557" t="s">
        <v>57</v>
      </c>
      <c r="Q557" t="b">
        <v>1</v>
      </c>
    </row>
    <row r="558" spans="1:17">
      <c r="A558" s="12">
        <v>42197</v>
      </c>
      <c r="B558" s="10">
        <v>6.33</v>
      </c>
      <c r="C558" s="10">
        <v>5.33</v>
      </c>
      <c r="D558" s="10">
        <v>5</v>
      </c>
      <c r="E558" s="10">
        <v>25.3</v>
      </c>
      <c r="F558" s="10">
        <v>5</v>
      </c>
      <c r="G558" s="10">
        <v>0</v>
      </c>
      <c r="H558" s="10">
        <v>0</v>
      </c>
      <c r="I558" s="10">
        <v>6.5</v>
      </c>
      <c r="J558" s="10">
        <f>SUM(B558:I558)</f>
        <v>53.46</v>
      </c>
      <c r="K558">
        <v>2015</v>
      </c>
      <c r="L558">
        <v>7</v>
      </c>
      <c r="M558" s="11">
        <v>42186</v>
      </c>
      <c r="N558" t="s">
        <v>2179</v>
      </c>
      <c r="O558">
        <v>7</v>
      </c>
      <c r="P558" t="s">
        <v>59</v>
      </c>
      <c r="Q558" t="b">
        <v>1</v>
      </c>
    </row>
    <row r="559" spans="1:17">
      <c r="A559" s="12">
        <v>42198</v>
      </c>
      <c r="B559" s="10">
        <v>3.68</v>
      </c>
      <c r="C559" s="10">
        <v>0.66</v>
      </c>
      <c r="D559" s="10">
        <v>8</v>
      </c>
      <c r="E559" s="10">
        <v>22.55</v>
      </c>
      <c r="F559" s="10">
        <v>5</v>
      </c>
      <c r="G559" s="10">
        <v>0</v>
      </c>
      <c r="H559" s="10">
        <v>0</v>
      </c>
      <c r="I559" s="10">
        <v>3</v>
      </c>
      <c r="J559" s="10">
        <f>SUM(B559:I559)</f>
        <v>42.89</v>
      </c>
      <c r="K559">
        <v>2015</v>
      </c>
      <c r="L559">
        <v>7</v>
      </c>
      <c r="M559" s="11">
        <v>42186</v>
      </c>
      <c r="N559" t="s">
        <v>2179</v>
      </c>
      <c r="O559">
        <v>1</v>
      </c>
      <c r="P559" t="s">
        <v>61</v>
      </c>
      <c r="Q559" t="b">
        <v>1</v>
      </c>
    </row>
    <row r="560" spans="1:17">
      <c r="A560" s="12">
        <v>42199</v>
      </c>
      <c r="B560" s="10">
        <v>0.34</v>
      </c>
      <c r="C560" s="10">
        <v>4.33</v>
      </c>
      <c r="D560" s="10">
        <v>5</v>
      </c>
      <c r="E560" s="10">
        <v>14</v>
      </c>
      <c r="F560" s="10">
        <v>1</v>
      </c>
      <c r="G560" s="10">
        <v>0</v>
      </c>
      <c r="H560" s="10">
        <v>2</v>
      </c>
      <c r="I560" s="10">
        <v>2</v>
      </c>
      <c r="J560" s="10">
        <f>SUM(B560:I560)</f>
        <v>28.67</v>
      </c>
      <c r="K560">
        <v>2015</v>
      </c>
      <c r="L560">
        <v>7</v>
      </c>
      <c r="M560" s="11">
        <v>42186</v>
      </c>
      <c r="N560" t="s">
        <v>2179</v>
      </c>
      <c r="O560">
        <v>2</v>
      </c>
      <c r="P560" t="s">
        <v>63</v>
      </c>
      <c r="Q560" t="b">
        <v>1</v>
      </c>
    </row>
    <row r="561" spans="1:17">
      <c r="A561" s="12">
        <v>42200</v>
      </c>
      <c r="B561" s="10">
        <v>8.49</v>
      </c>
      <c r="C561" s="10">
        <v>1.66</v>
      </c>
      <c r="D561" s="10">
        <v>4</v>
      </c>
      <c r="E561" s="10">
        <v>20.2</v>
      </c>
      <c r="F561" s="10">
        <v>5</v>
      </c>
      <c r="G561" s="10">
        <v>0</v>
      </c>
      <c r="H561" s="10">
        <v>1</v>
      </c>
      <c r="I561" s="10">
        <v>9</v>
      </c>
      <c r="J561" s="10">
        <f>SUM(B561:I561)</f>
        <v>49.35</v>
      </c>
      <c r="K561">
        <v>2015</v>
      </c>
      <c r="L561">
        <v>7</v>
      </c>
      <c r="M561" s="11">
        <v>42186</v>
      </c>
      <c r="N561" t="s">
        <v>2179</v>
      </c>
      <c r="O561">
        <v>3</v>
      </c>
      <c r="P561" t="s">
        <v>65</v>
      </c>
      <c r="Q561" t="b">
        <v>1</v>
      </c>
    </row>
    <row r="562" spans="1:17">
      <c r="A562" s="12">
        <v>42201</v>
      </c>
      <c r="B562" s="10">
        <v>8.34</v>
      </c>
      <c r="C562" s="10">
        <v>3.33</v>
      </c>
      <c r="D562" s="10">
        <v>1</v>
      </c>
      <c r="E562" s="10">
        <v>18</v>
      </c>
      <c r="F562" s="10">
        <v>3</v>
      </c>
      <c r="G562" s="10">
        <v>0</v>
      </c>
      <c r="H562" s="10">
        <v>2</v>
      </c>
      <c r="I562" s="10">
        <v>4</v>
      </c>
      <c r="J562" s="10">
        <f>SUM(B562:I562)</f>
        <v>39.67</v>
      </c>
      <c r="K562">
        <v>2015</v>
      </c>
      <c r="L562">
        <v>7</v>
      </c>
      <c r="M562" s="11">
        <v>42186</v>
      </c>
      <c r="N562" t="s">
        <v>2179</v>
      </c>
      <c r="O562">
        <v>4</v>
      </c>
      <c r="P562" t="s">
        <v>53</v>
      </c>
      <c r="Q562" t="b">
        <v>1</v>
      </c>
    </row>
    <row r="563" spans="1:17">
      <c r="A563" s="12">
        <v>42202</v>
      </c>
      <c r="B563" s="10">
        <v>2.5</v>
      </c>
      <c r="C563" s="10">
        <v>1.33</v>
      </c>
      <c r="D563" s="10">
        <v>1</v>
      </c>
      <c r="E563" s="10">
        <v>28</v>
      </c>
      <c r="F563" s="10">
        <v>3</v>
      </c>
      <c r="G563" s="10">
        <v>0</v>
      </c>
      <c r="H563" s="10">
        <v>0</v>
      </c>
      <c r="I563" s="10">
        <v>2.3</v>
      </c>
      <c r="J563" s="10">
        <f>SUM(B563:I563)</f>
        <v>38.129999999999995</v>
      </c>
      <c r="K563">
        <v>2015</v>
      </c>
      <c r="L563">
        <v>7</v>
      </c>
      <c r="M563" s="11">
        <v>42186</v>
      </c>
      <c r="N563" t="s">
        <v>2179</v>
      </c>
      <c r="O563">
        <v>5</v>
      </c>
      <c r="P563" t="s">
        <v>55</v>
      </c>
      <c r="Q563" t="b">
        <v>1</v>
      </c>
    </row>
    <row r="564" spans="1:17">
      <c r="A564" s="12">
        <v>42203</v>
      </c>
      <c r="B564" s="10">
        <v>3.68</v>
      </c>
      <c r="C564" s="10">
        <v>7.38</v>
      </c>
      <c r="D564" s="10">
        <v>2</v>
      </c>
      <c r="E564" s="10">
        <v>25</v>
      </c>
      <c r="F564" s="10">
        <v>8</v>
      </c>
      <c r="G564" s="10">
        <v>3</v>
      </c>
      <c r="H564" s="10">
        <v>1</v>
      </c>
      <c r="I564" s="10">
        <v>3</v>
      </c>
      <c r="J564" s="10">
        <f>SUM(B564:I564)</f>
        <v>53.06</v>
      </c>
      <c r="K564">
        <v>2015</v>
      </c>
      <c r="L564">
        <v>7</v>
      </c>
      <c r="M564" s="11">
        <v>42186</v>
      </c>
      <c r="N564" t="s">
        <v>2179</v>
      </c>
      <c r="O564">
        <v>6</v>
      </c>
      <c r="P564" t="s">
        <v>57</v>
      </c>
      <c r="Q564" t="b">
        <v>1</v>
      </c>
    </row>
    <row r="565" spans="1:17">
      <c r="A565" s="12">
        <v>42204</v>
      </c>
      <c r="B565" s="10">
        <v>11.68</v>
      </c>
      <c r="C565" s="10">
        <v>1.68</v>
      </c>
      <c r="D565" s="10">
        <v>2</v>
      </c>
      <c r="E565" s="10">
        <v>15</v>
      </c>
      <c r="F565" s="10">
        <v>1</v>
      </c>
      <c r="G565" s="10">
        <v>0</v>
      </c>
      <c r="H565" s="10">
        <v>1</v>
      </c>
      <c r="I565" s="10">
        <v>3</v>
      </c>
      <c r="J565" s="10">
        <f>SUM(B565:I565)</f>
        <v>35.36</v>
      </c>
      <c r="K565">
        <v>2015</v>
      </c>
      <c r="L565">
        <v>7</v>
      </c>
      <c r="M565" s="11">
        <v>42186</v>
      </c>
      <c r="N565" t="s">
        <v>2179</v>
      </c>
      <c r="O565">
        <v>7</v>
      </c>
      <c r="P565" t="s">
        <v>59</v>
      </c>
      <c r="Q565" t="b">
        <v>1</v>
      </c>
    </row>
    <row r="566" spans="1:17">
      <c r="A566" s="12">
        <v>42205</v>
      </c>
      <c r="B566" s="10">
        <v>5.84</v>
      </c>
      <c r="C566" s="10">
        <v>4.67</v>
      </c>
      <c r="D566" s="10">
        <v>5</v>
      </c>
      <c r="E566" s="10">
        <v>41</v>
      </c>
      <c r="F566" s="10">
        <v>4</v>
      </c>
      <c r="G566" s="10">
        <v>0</v>
      </c>
      <c r="H566" s="10">
        <v>0</v>
      </c>
      <c r="I566" s="10">
        <v>2</v>
      </c>
      <c r="J566" s="10">
        <f>SUM(B566:I566)</f>
        <v>62.51</v>
      </c>
      <c r="K566">
        <v>2015</v>
      </c>
      <c r="L566">
        <v>7</v>
      </c>
      <c r="M566" s="11">
        <v>42186</v>
      </c>
      <c r="N566" t="s">
        <v>2179</v>
      </c>
      <c r="O566">
        <v>1</v>
      </c>
      <c r="P566" t="s">
        <v>61</v>
      </c>
      <c r="Q566" t="b">
        <v>1</v>
      </c>
    </row>
    <row r="567" spans="1:17">
      <c r="A567" s="12">
        <v>42206</v>
      </c>
      <c r="B567" s="10">
        <v>4.68</v>
      </c>
      <c r="C567" s="10">
        <v>1</v>
      </c>
      <c r="D567" s="10">
        <v>3.2</v>
      </c>
      <c r="E567" s="10">
        <v>14.25</v>
      </c>
      <c r="F567" s="10">
        <v>7</v>
      </c>
      <c r="G567" s="10">
        <v>0</v>
      </c>
      <c r="H567" s="10">
        <v>1</v>
      </c>
      <c r="I567" s="10">
        <v>4</v>
      </c>
      <c r="J567" s="10">
        <f>SUM(B567:I567)</f>
        <v>35.129999999999995</v>
      </c>
      <c r="K567">
        <v>2015</v>
      </c>
      <c r="L567">
        <v>7</v>
      </c>
      <c r="M567" s="11">
        <v>42186</v>
      </c>
      <c r="N567" t="s">
        <v>2179</v>
      </c>
      <c r="O567">
        <v>2</v>
      </c>
      <c r="P567" t="s">
        <v>63</v>
      </c>
      <c r="Q567" t="b">
        <v>1</v>
      </c>
    </row>
    <row r="568" spans="1:17">
      <c r="A568" s="12">
        <v>42207</v>
      </c>
      <c r="B568" s="10">
        <v>9.33</v>
      </c>
      <c r="C568" s="10">
        <v>0.34</v>
      </c>
      <c r="D568" s="10">
        <v>5</v>
      </c>
      <c r="E568" s="10">
        <v>22</v>
      </c>
      <c r="F568" s="10">
        <v>10</v>
      </c>
      <c r="G568" s="10">
        <v>0</v>
      </c>
      <c r="H568" s="10">
        <v>5</v>
      </c>
      <c r="I568" s="10">
        <v>3</v>
      </c>
      <c r="J568" s="10">
        <f>SUM(B568:I568)</f>
        <v>54.67</v>
      </c>
      <c r="K568">
        <v>2015</v>
      </c>
      <c r="L568">
        <v>7</v>
      </c>
      <c r="M568" s="11">
        <v>42186</v>
      </c>
      <c r="N568" t="s">
        <v>2179</v>
      </c>
      <c r="O568">
        <v>3</v>
      </c>
      <c r="P568" t="s">
        <v>65</v>
      </c>
      <c r="Q568" t="b">
        <v>1</v>
      </c>
    </row>
    <row r="569" spans="1:17">
      <c r="A569" s="12">
        <v>42208</v>
      </c>
      <c r="B569" s="10">
        <v>1.5</v>
      </c>
      <c r="C569" s="10">
        <v>4</v>
      </c>
      <c r="D569" s="10">
        <v>3</v>
      </c>
      <c r="E569" s="10">
        <v>14</v>
      </c>
      <c r="F569" s="10">
        <v>3</v>
      </c>
      <c r="G569" s="10">
        <v>0</v>
      </c>
      <c r="H569" s="10">
        <v>0</v>
      </c>
      <c r="I569" s="10">
        <v>2</v>
      </c>
      <c r="J569" s="10">
        <f>SUM(B569:I569)</f>
        <v>27.5</v>
      </c>
      <c r="K569">
        <v>2015</v>
      </c>
      <c r="L569">
        <v>7</v>
      </c>
      <c r="M569" s="11">
        <v>42186</v>
      </c>
      <c r="N569" t="s">
        <v>2179</v>
      </c>
      <c r="O569">
        <v>4</v>
      </c>
      <c r="P569" t="s">
        <v>53</v>
      </c>
      <c r="Q569" t="b">
        <v>1</v>
      </c>
    </row>
    <row r="570" spans="1:17">
      <c r="A570" s="12">
        <v>42209</v>
      </c>
      <c r="B570" s="10">
        <v>6</v>
      </c>
      <c r="C570" s="10">
        <v>6.34</v>
      </c>
      <c r="D570" s="10">
        <v>3.6</v>
      </c>
      <c r="E570" s="10">
        <v>29.6</v>
      </c>
      <c r="F570" s="10">
        <v>9</v>
      </c>
      <c r="G570" s="10">
        <v>1</v>
      </c>
      <c r="H570" s="10">
        <v>1</v>
      </c>
      <c r="I570" s="10">
        <v>10</v>
      </c>
      <c r="J570" s="10">
        <f>SUM(B570:I570)</f>
        <v>66.53999999999999</v>
      </c>
      <c r="K570">
        <v>2015</v>
      </c>
      <c r="L570">
        <v>7</v>
      </c>
      <c r="M570" s="11">
        <v>42186</v>
      </c>
      <c r="N570" t="s">
        <v>2179</v>
      </c>
      <c r="O570">
        <v>5</v>
      </c>
      <c r="P570" t="s">
        <v>55</v>
      </c>
      <c r="Q570" t="b">
        <v>1</v>
      </c>
    </row>
    <row r="571" spans="1:17">
      <c r="A571" s="12">
        <v>42210</v>
      </c>
      <c r="B571" s="10">
        <v>4</v>
      </c>
      <c r="C571" s="10">
        <v>4</v>
      </c>
      <c r="D571" s="10">
        <v>5</v>
      </c>
      <c r="E571" s="10">
        <v>22</v>
      </c>
      <c r="F571" s="10">
        <v>7</v>
      </c>
      <c r="G571" s="10">
        <v>1</v>
      </c>
      <c r="H571" s="10">
        <v>0</v>
      </c>
      <c r="I571" s="10">
        <v>4</v>
      </c>
      <c r="J571" s="10">
        <f>SUM(B571:I571)</f>
        <v>47.0</v>
      </c>
      <c r="K571">
        <v>2015</v>
      </c>
      <c r="L571">
        <v>7</v>
      </c>
      <c r="M571" s="11">
        <v>42186</v>
      </c>
      <c r="N571" t="s">
        <v>2179</v>
      </c>
      <c r="O571">
        <v>6</v>
      </c>
      <c r="P571" t="s">
        <v>57</v>
      </c>
      <c r="Q571" t="b">
        <v>1</v>
      </c>
    </row>
    <row r="572" spans="1:17">
      <c r="A572" s="12">
        <v>42211</v>
      </c>
      <c r="B572" s="10">
        <v>5</v>
      </c>
      <c r="C572" s="10">
        <v>2.99</v>
      </c>
      <c r="D572" s="10">
        <v>3</v>
      </c>
      <c r="E572" s="10">
        <v>29</v>
      </c>
      <c r="F572" s="10">
        <v>4</v>
      </c>
      <c r="G572" s="10">
        <v>0</v>
      </c>
      <c r="H572" s="10">
        <v>0</v>
      </c>
      <c r="I572" s="10">
        <v>0</v>
      </c>
      <c r="J572" s="10">
        <f>SUM(B572:I572)</f>
        <v>43.99</v>
      </c>
      <c r="K572">
        <v>2015</v>
      </c>
      <c r="L572">
        <v>7</v>
      </c>
      <c r="M572" s="11">
        <v>42186</v>
      </c>
      <c r="N572" t="s">
        <v>2179</v>
      </c>
      <c r="O572">
        <v>7</v>
      </c>
      <c r="P572" t="s">
        <v>59</v>
      </c>
      <c r="Q572" t="b">
        <v>1</v>
      </c>
    </row>
    <row r="573" spans="1:17">
      <c r="A573" s="12">
        <v>42212</v>
      </c>
      <c r="B573" s="10">
        <v>7.34</v>
      </c>
      <c r="C573" s="10">
        <v>3.34</v>
      </c>
      <c r="D573" s="10">
        <v>7</v>
      </c>
      <c r="E573" s="10">
        <v>24</v>
      </c>
      <c r="F573" s="10">
        <v>9</v>
      </c>
      <c r="G573" s="10">
        <v>0</v>
      </c>
      <c r="H573" s="10">
        <v>0</v>
      </c>
      <c r="I573" s="10">
        <v>1.5</v>
      </c>
      <c r="J573" s="10">
        <f>SUM(B573:I573)</f>
        <v>52.18</v>
      </c>
      <c r="K573">
        <v>2015</v>
      </c>
      <c r="L573">
        <v>7</v>
      </c>
      <c r="M573" s="11">
        <v>42186</v>
      </c>
      <c r="N573" t="s">
        <v>2179</v>
      </c>
      <c r="O573">
        <v>1</v>
      </c>
      <c r="P573" t="s">
        <v>61</v>
      </c>
      <c r="Q573" t="b">
        <v>1</v>
      </c>
    </row>
    <row r="574" spans="1:17">
      <c r="A574" s="12">
        <v>42213</v>
      </c>
      <c r="B574" s="10">
        <v>14.18</v>
      </c>
      <c r="C574" s="10">
        <v>6.02</v>
      </c>
      <c r="D574" s="10">
        <v>1</v>
      </c>
      <c r="E574" s="10">
        <v>15.2</v>
      </c>
      <c r="F574" s="10">
        <v>14</v>
      </c>
      <c r="G574" s="10">
        <v>0</v>
      </c>
      <c r="H574" s="10">
        <v>1</v>
      </c>
      <c r="I574" s="10">
        <v>3</v>
      </c>
      <c r="J574" s="10">
        <f>SUM(B574:I574)</f>
        <v>54.4</v>
      </c>
      <c r="K574">
        <v>2015</v>
      </c>
      <c r="L574">
        <v>7</v>
      </c>
      <c r="M574" s="11">
        <v>42186</v>
      </c>
      <c r="N574" t="s">
        <v>2179</v>
      </c>
      <c r="O574">
        <v>2</v>
      </c>
      <c r="P574" t="s">
        <v>63</v>
      </c>
      <c r="Q574" t="b">
        <v>1</v>
      </c>
    </row>
    <row r="575" spans="1:17">
      <c r="A575" s="12">
        <v>42214</v>
      </c>
      <c r="B575" s="10">
        <v>10.34</v>
      </c>
      <c r="C575" s="10">
        <v>3.34</v>
      </c>
      <c r="D575" s="10">
        <v>4</v>
      </c>
      <c r="E575" s="10">
        <v>21.378</v>
      </c>
      <c r="F575" s="10">
        <v>8</v>
      </c>
      <c r="G575" s="10">
        <v>0</v>
      </c>
      <c r="H575" s="10">
        <v>2</v>
      </c>
      <c r="I575" s="10">
        <v>1</v>
      </c>
      <c r="J575" s="10">
        <f>SUM(B575:I575)</f>
        <v>50.058</v>
      </c>
      <c r="K575">
        <v>2015</v>
      </c>
      <c r="L575">
        <v>7</v>
      </c>
      <c r="M575" s="11">
        <v>42186</v>
      </c>
      <c r="N575" t="s">
        <v>2179</v>
      </c>
      <c r="O575">
        <v>3</v>
      </c>
      <c r="P575" t="s">
        <v>65</v>
      </c>
      <c r="Q575" t="b">
        <v>1</v>
      </c>
    </row>
    <row r="576" spans="1:17">
      <c r="A576" s="12">
        <v>42215</v>
      </c>
      <c r="B576" s="10">
        <v>3</v>
      </c>
      <c r="C576" s="10">
        <v>3.33</v>
      </c>
      <c r="D576" s="10">
        <v>14</v>
      </c>
      <c r="E576" s="10">
        <v>16.3</v>
      </c>
      <c r="F576" s="10">
        <v>3</v>
      </c>
      <c r="G576" s="10">
        <v>0</v>
      </c>
      <c r="H576" s="10">
        <v>0</v>
      </c>
      <c r="I576" s="10">
        <v>4</v>
      </c>
      <c r="J576" s="10">
        <f>SUM(B576:I576)</f>
        <v>43.629999999999995</v>
      </c>
      <c r="K576">
        <v>2015</v>
      </c>
      <c r="L576">
        <v>7</v>
      </c>
      <c r="M576" s="11">
        <v>42186</v>
      </c>
      <c r="N576" t="s">
        <v>2179</v>
      </c>
      <c r="O576">
        <v>4</v>
      </c>
      <c r="P576" t="s">
        <v>53</v>
      </c>
      <c r="Q576" t="b">
        <v>1</v>
      </c>
    </row>
    <row r="577" spans="1:17">
      <c r="A577" s="12">
        <v>42216</v>
      </c>
      <c r="B577" s="10">
        <v>5.5</v>
      </c>
      <c r="C577" s="10">
        <v>9</v>
      </c>
      <c r="D577" s="10">
        <v>6.2</v>
      </c>
      <c r="E577" s="10">
        <v>24</v>
      </c>
      <c r="F577" s="10">
        <v>8</v>
      </c>
      <c r="G577" s="10">
        <v>0</v>
      </c>
      <c r="H577" s="10">
        <v>0</v>
      </c>
      <c r="I577" s="10">
        <v>6</v>
      </c>
      <c r="J577" s="10">
        <f>SUM(B577:I577)</f>
        <v>58.7</v>
      </c>
      <c r="K577">
        <v>2015</v>
      </c>
      <c r="L577">
        <v>7</v>
      </c>
      <c r="M577" s="11">
        <v>42186</v>
      </c>
      <c r="N577" t="s">
        <v>2179</v>
      </c>
      <c r="O577">
        <v>5</v>
      </c>
      <c r="P577" t="s">
        <v>55</v>
      </c>
      <c r="Q577" t="b">
        <v>1</v>
      </c>
    </row>
    <row r="578" spans="1:17">
      <c r="A578" s="12">
        <v>42217</v>
      </c>
      <c r="B578" s="10">
        <v>5</v>
      </c>
      <c r="C578" s="10">
        <v>5</v>
      </c>
      <c r="D578" s="10">
        <v>4</v>
      </c>
      <c r="E578" s="10">
        <v>19</v>
      </c>
      <c r="F578" s="10">
        <v>14</v>
      </c>
      <c r="G578" s="10">
        <v>0</v>
      </c>
      <c r="H578" s="10">
        <v>0</v>
      </c>
      <c r="I578" s="10">
        <v>2</v>
      </c>
      <c r="J578" s="10">
        <f>SUM(B578:I578)</f>
        <v>49.0</v>
      </c>
      <c r="K578">
        <v>2015</v>
      </c>
      <c r="L578">
        <v>8</v>
      </c>
      <c r="M578" s="11">
        <v>42217</v>
      </c>
      <c r="N578" t="s">
        <v>2180</v>
      </c>
      <c r="O578">
        <v>6</v>
      </c>
      <c r="P578" t="s">
        <v>57</v>
      </c>
      <c r="Q578" t="b">
        <v>1</v>
      </c>
    </row>
    <row r="579" spans="1:17">
      <c r="A579" s="12">
        <v>42218</v>
      </c>
      <c r="B579" s="10">
        <v>5</v>
      </c>
      <c r="C579" s="10">
        <v>6.7</v>
      </c>
      <c r="D579" s="10">
        <v>4</v>
      </c>
      <c r="E579" s="10">
        <v>15</v>
      </c>
      <c r="F579" s="10">
        <v>9</v>
      </c>
      <c r="G579" s="10">
        <v>0</v>
      </c>
      <c r="H579" s="10">
        <v>0</v>
      </c>
      <c r="I579" s="10">
        <v>2</v>
      </c>
      <c r="J579" s="10">
        <f>SUM(B579:I579)</f>
        <v>41.7</v>
      </c>
      <c r="K579">
        <v>2015</v>
      </c>
      <c r="L579">
        <v>8</v>
      </c>
      <c r="M579" s="11">
        <v>42217</v>
      </c>
      <c r="N579" t="s">
        <v>2180</v>
      </c>
      <c r="O579">
        <v>7</v>
      </c>
      <c r="P579" t="s">
        <v>59</v>
      </c>
      <c r="Q579" t="b">
        <v>1</v>
      </c>
    </row>
    <row r="580" spans="1:17">
      <c r="A580" s="12">
        <v>42219</v>
      </c>
      <c r="B580" s="10">
        <v>1.5</v>
      </c>
      <c r="C580" s="10">
        <v>2.33</v>
      </c>
      <c r="D580" s="10">
        <v>1.5</v>
      </c>
      <c r="E580" s="10">
        <v>23</v>
      </c>
      <c r="F580" s="10">
        <v>3.5</v>
      </c>
      <c r="G580" s="10">
        <v>1</v>
      </c>
      <c r="H580" s="10">
        <v>5</v>
      </c>
      <c r="I580" s="10">
        <v>1</v>
      </c>
      <c r="J580" s="10">
        <f>SUM(B580:I580)</f>
        <v>38.83</v>
      </c>
      <c r="K580">
        <v>2015</v>
      </c>
      <c r="L580">
        <v>8</v>
      </c>
      <c r="M580" s="11">
        <v>42217</v>
      </c>
      <c r="N580" t="s">
        <v>2180</v>
      </c>
      <c r="O580">
        <v>1</v>
      </c>
      <c r="P580" t="s">
        <v>61</v>
      </c>
      <c r="Q580" t="b">
        <v>1</v>
      </c>
    </row>
    <row r="581" spans="1:17">
      <c r="A581" s="12">
        <v>42220</v>
      </c>
      <c r="B581" s="10">
        <v>6.34</v>
      </c>
      <c r="C581" s="10">
        <v>2.33</v>
      </c>
      <c r="D581" s="10">
        <v>3</v>
      </c>
      <c r="E581" s="10">
        <v>23</v>
      </c>
      <c r="F581" s="10">
        <v>5</v>
      </c>
      <c r="G581" s="10">
        <v>1</v>
      </c>
      <c r="H581" s="10">
        <v>0</v>
      </c>
      <c r="I581" s="10">
        <v>4</v>
      </c>
      <c r="J581" s="10">
        <f>SUM(B581:I581)</f>
        <v>44.67</v>
      </c>
      <c r="K581">
        <v>2015</v>
      </c>
      <c r="L581">
        <v>8</v>
      </c>
      <c r="M581" s="11">
        <v>42217</v>
      </c>
      <c r="N581" t="s">
        <v>2180</v>
      </c>
      <c r="O581">
        <v>2</v>
      </c>
      <c r="P581" t="s">
        <v>63</v>
      </c>
      <c r="Q581" t="b">
        <v>1</v>
      </c>
    </row>
    <row r="582" spans="1:17">
      <c r="A582" s="12">
        <v>42221</v>
      </c>
      <c r="B582" s="10">
        <v>5</v>
      </c>
      <c r="C582" s="10">
        <v>3.33</v>
      </c>
      <c r="D582" s="10">
        <v>4.2</v>
      </c>
      <c r="E582" s="10">
        <v>22.2</v>
      </c>
      <c r="F582" s="10">
        <v>3.5</v>
      </c>
      <c r="G582" s="10">
        <v>0</v>
      </c>
      <c r="H582" s="10">
        <v>0</v>
      </c>
      <c r="I582" s="10">
        <v>1</v>
      </c>
      <c r="J582" s="10">
        <f>SUM(B582:I582)</f>
        <v>39.230000000000004</v>
      </c>
      <c r="K582">
        <v>2015</v>
      </c>
      <c r="L582">
        <v>8</v>
      </c>
      <c r="M582" s="11">
        <v>42217</v>
      </c>
      <c r="N582" t="s">
        <v>2180</v>
      </c>
      <c r="O582">
        <v>3</v>
      </c>
      <c r="P582" t="s">
        <v>65</v>
      </c>
      <c r="Q582" t="b">
        <v>1</v>
      </c>
    </row>
    <row r="583" spans="1:17">
      <c r="A583" s="12">
        <v>42222</v>
      </c>
      <c r="B583" s="10">
        <v>5.33</v>
      </c>
      <c r="C583" s="10">
        <v>1.67</v>
      </c>
      <c r="D583" s="10">
        <v>8</v>
      </c>
      <c r="E583" s="10">
        <v>35</v>
      </c>
      <c r="F583" s="10">
        <v>11</v>
      </c>
      <c r="G583" s="10">
        <v>0</v>
      </c>
      <c r="H583" s="10">
        <v>3</v>
      </c>
      <c r="I583" s="10">
        <v>2</v>
      </c>
      <c r="J583" s="10">
        <f>SUM(B583:I583)</f>
        <v>66.0</v>
      </c>
      <c r="K583">
        <v>2015</v>
      </c>
      <c r="L583">
        <v>8</v>
      </c>
      <c r="M583" s="11">
        <v>42217</v>
      </c>
      <c r="N583" t="s">
        <v>2180</v>
      </c>
      <c r="O583">
        <v>4</v>
      </c>
      <c r="P583" t="s">
        <v>53</v>
      </c>
      <c r="Q583" t="b">
        <v>1</v>
      </c>
    </row>
    <row r="584" spans="1:17">
      <c r="A584" s="12">
        <v>42223</v>
      </c>
      <c r="B584" s="10">
        <v>4.33</v>
      </c>
      <c r="C584" s="10">
        <v>4</v>
      </c>
      <c r="D584" s="10">
        <v>6</v>
      </c>
      <c r="E584" s="10">
        <v>22</v>
      </c>
      <c r="F584" s="10">
        <v>9</v>
      </c>
      <c r="G584" s="10">
        <v>2</v>
      </c>
      <c r="H584" s="10">
        <v>1</v>
      </c>
      <c r="I584" s="10">
        <v>6</v>
      </c>
      <c r="J584" s="10">
        <f>SUM(B584:I584)</f>
        <v>54.33</v>
      </c>
      <c r="K584">
        <v>2015</v>
      </c>
      <c r="L584">
        <v>8</v>
      </c>
      <c r="M584" s="11">
        <v>42217</v>
      </c>
      <c r="N584" t="s">
        <v>2180</v>
      </c>
      <c r="O584">
        <v>5</v>
      </c>
      <c r="P584" t="s">
        <v>55</v>
      </c>
      <c r="Q584" t="b">
        <v>1</v>
      </c>
    </row>
    <row r="585" spans="1:17">
      <c r="A585" s="12">
        <v>42224</v>
      </c>
      <c r="B585" s="10">
        <v>6.33</v>
      </c>
      <c r="C585" s="10">
        <v>5.33</v>
      </c>
      <c r="D585" s="10">
        <v>7</v>
      </c>
      <c r="E585" s="10">
        <v>22</v>
      </c>
      <c r="F585" s="10">
        <v>5</v>
      </c>
      <c r="G585" s="10">
        <v>0</v>
      </c>
      <c r="H585" s="10">
        <v>0</v>
      </c>
      <c r="I585" s="10">
        <v>0.7</v>
      </c>
      <c r="J585" s="10">
        <f>SUM(B585:I585)</f>
        <v>46.36</v>
      </c>
      <c r="K585">
        <v>2015</v>
      </c>
      <c r="L585">
        <v>8</v>
      </c>
      <c r="M585" s="11">
        <v>42217</v>
      </c>
      <c r="N585" t="s">
        <v>2180</v>
      </c>
      <c r="O585">
        <v>6</v>
      </c>
      <c r="P585" t="s">
        <v>57</v>
      </c>
      <c r="Q585" t="b">
        <v>1</v>
      </c>
    </row>
    <row r="586" spans="1:17">
      <c r="A586" s="12">
        <v>42225</v>
      </c>
      <c r="B586" s="10">
        <v>5</v>
      </c>
      <c r="C586" s="10">
        <v>3.66</v>
      </c>
      <c r="D586" s="10">
        <v>2</v>
      </c>
      <c r="E586" s="10">
        <v>21</v>
      </c>
      <c r="F586" s="10">
        <v>5</v>
      </c>
      <c r="G586" s="10">
        <v>0</v>
      </c>
      <c r="H586" s="10">
        <v>2</v>
      </c>
      <c r="I586" s="10">
        <v>3</v>
      </c>
      <c r="J586" s="10">
        <f>SUM(B586:I586)</f>
        <v>41.66</v>
      </c>
      <c r="K586">
        <v>2015</v>
      </c>
      <c r="L586">
        <v>8</v>
      </c>
      <c r="M586" s="11">
        <v>42217</v>
      </c>
      <c r="N586" t="s">
        <v>2180</v>
      </c>
      <c r="O586">
        <v>7</v>
      </c>
      <c r="P586" t="s">
        <v>59</v>
      </c>
      <c r="Q586" t="b">
        <v>1</v>
      </c>
    </row>
    <row r="587" spans="1:17">
      <c r="A587" s="12">
        <v>42226</v>
      </c>
      <c r="B587" s="10">
        <v>3.67</v>
      </c>
      <c r="C587" s="10">
        <v>5.68</v>
      </c>
      <c r="D587" s="10">
        <v>4.2</v>
      </c>
      <c r="E587" s="10">
        <v>29</v>
      </c>
      <c r="F587" s="10">
        <v>12.5</v>
      </c>
      <c r="G587" s="10">
        <v>0</v>
      </c>
      <c r="H587" s="10">
        <v>1</v>
      </c>
      <c r="I587" s="10">
        <v>5</v>
      </c>
      <c r="J587" s="10">
        <f>SUM(B587:I587)</f>
        <v>61.05</v>
      </c>
      <c r="K587">
        <v>2015</v>
      </c>
      <c r="L587">
        <v>8</v>
      </c>
      <c r="M587" s="11">
        <v>42217</v>
      </c>
      <c r="N587" t="s">
        <v>2180</v>
      </c>
      <c r="O587">
        <v>1</v>
      </c>
      <c r="P587" t="s">
        <v>61</v>
      </c>
      <c r="Q587" t="b">
        <v>1</v>
      </c>
    </row>
    <row r="588" spans="1:17">
      <c r="A588" s="12">
        <v>42227</v>
      </c>
      <c r="B588" s="10">
        <v>12.33</v>
      </c>
      <c r="C588" s="10">
        <v>6.66</v>
      </c>
      <c r="D588" s="10">
        <v>7.4</v>
      </c>
      <c r="E588" s="10">
        <v>18.1</v>
      </c>
      <c r="F588" s="10">
        <v>10</v>
      </c>
      <c r="G588" s="10">
        <v>0</v>
      </c>
      <c r="H588" s="10">
        <v>0</v>
      </c>
      <c r="I588" s="10">
        <v>4</v>
      </c>
      <c r="J588" s="10">
        <f>SUM(B588:I588)</f>
        <v>58.49</v>
      </c>
      <c r="K588">
        <v>2015</v>
      </c>
      <c r="L588">
        <v>8</v>
      </c>
      <c r="M588" s="11">
        <v>42217</v>
      </c>
      <c r="N588" t="s">
        <v>2180</v>
      </c>
      <c r="O588">
        <v>2</v>
      </c>
      <c r="P588" t="s">
        <v>63</v>
      </c>
      <c r="Q588" t="b">
        <v>1</v>
      </c>
    </row>
    <row r="589" spans="1:17">
      <c r="A589" s="12">
        <v>42228</v>
      </c>
      <c r="B589" s="10">
        <v>8.67</v>
      </c>
      <c r="C589" s="10">
        <v>7.693</v>
      </c>
      <c r="D589" s="10">
        <v>4</v>
      </c>
      <c r="E589" s="10">
        <v>28.2</v>
      </c>
      <c r="F589" s="10">
        <v>9.5</v>
      </c>
      <c r="G589" s="10">
        <v>0</v>
      </c>
      <c r="H589" s="10">
        <v>1</v>
      </c>
      <c r="I589" s="10">
        <v>1</v>
      </c>
      <c r="J589" s="10">
        <f>SUM(B589:I589)</f>
        <v>60.063</v>
      </c>
      <c r="K589">
        <v>2015</v>
      </c>
      <c r="L589">
        <v>8</v>
      </c>
      <c r="M589" s="11">
        <v>42217</v>
      </c>
      <c r="N589" t="s">
        <v>2180</v>
      </c>
      <c r="O589">
        <v>3</v>
      </c>
      <c r="P589" t="s">
        <v>65</v>
      </c>
      <c r="Q589" t="b">
        <v>1</v>
      </c>
    </row>
    <row r="590" spans="1:17">
      <c r="A590" s="12">
        <v>42229</v>
      </c>
      <c r="B590" s="10">
        <v>8</v>
      </c>
      <c r="C590" s="10">
        <v>2</v>
      </c>
      <c r="D590" s="10">
        <v>6</v>
      </c>
      <c r="E590" s="10">
        <v>23.438</v>
      </c>
      <c r="F590" s="10">
        <v>9</v>
      </c>
      <c r="G590" s="10">
        <v>0</v>
      </c>
      <c r="H590" s="10">
        <v>3</v>
      </c>
      <c r="I590" s="10">
        <v>3</v>
      </c>
      <c r="J590" s="10">
        <f>SUM(B590:I590)</f>
        <v>54.438</v>
      </c>
      <c r="K590">
        <v>2015</v>
      </c>
      <c r="L590">
        <v>8</v>
      </c>
      <c r="M590" s="11">
        <v>42217</v>
      </c>
      <c r="N590" t="s">
        <v>2180</v>
      </c>
      <c r="O590">
        <v>4</v>
      </c>
      <c r="P590" t="s">
        <v>53</v>
      </c>
      <c r="Q590" t="b">
        <v>1</v>
      </c>
    </row>
    <row r="591" spans="1:17">
      <c r="A591" s="12">
        <v>42230</v>
      </c>
      <c r="B591" s="10">
        <v>3</v>
      </c>
      <c r="C591" s="10">
        <v>4.66</v>
      </c>
      <c r="D591" s="10">
        <v>4</v>
      </c>
      <c r="E591" s="10">
        <v>16.7</v>
      </c>
      <c r="F591" s="10">
        <v>5</v>
      </c>
      <c r="G591" s="10">
        <v>0</v>
      </c>
      <c r="H591" s="10">
        <v>1</v>
      </c>
      <c r="I591" s="10">
        <v>4</v>
      </c>
      <c r="J591" s="10">
        <f>SUM(B591:I591)</f>
        <v>38.36</v>
      </c>
      <c r="K591">
        <v>2015</v>
      </c>
      <c r="L591">
        <v>8</v>
      </c>
      <c r="M591" s="11">
        <v>42217</v>
      </c>
      <c r="N591" t="s">
        <v>2180</v>
      </c>
      <c r="O591">
        <v>5</v>
      </c>
      <c r="P591" t="s">
        <v>55</v>
      </c>
      <c r="Q591" t="b">
        <v>1</v>
      </c>
    </row>
    <row r="592" spans="1:17">
      <c r="A592" s="12">
        <v>42231</v>
      </c>
      <c r="B592" s="10">
        <v>3.34</v>
      </c>
      <c r="C592" s="10">
        <v>6.34</v>
      </c>
      <c r="D592" s="10">
        <v>6</v>
      </c>
      <c r="E592" s="10">
        <v>35</v>
      </c>
      <c r="F592" s="10">
        <v>14</v>
      </c>
      <c r="G592" s="10">
        <v>1</v>
      </c>
      <c r="H592" s="10">
        <v>1</v>
      </c>
      <c r="I592" s="10">
        <v>1</v>
      </c>
      <c r="J592" s="10">
        <f>SUM(B592:I592)</f>
        <v>67.68</v>
      </c>
      <c r="K592">
        <v>2015</v>
      </c>
      <c r="L592">
        <v>8</v>
      </c>
      <c r="M592" s="11">
        <v>42217</v>
      </c>
      <c r="N592" t="s">
        <v>2180</v>
      </c>
      <c r="O592">
        <v>6</v>
      </c>
      <c r="P592" t="s">
        <v>57</v>
      </c>
      <c r="Q592" t="b">
        <v>1</v>
      </c>
    </row>
    <row r="593" spans="1:17">
      <c r="A593" s="12">
        <v>42232</v>
      </c>
      <c r="B593" s="10">
        <v>2</v>
      </c>
      <c r="C593" s="10">
        <v>4.67</v>
      </c>
      <c r="D593" s="10">
        <v>2</v>
      </c>
      <c r="E593" s="10">
        <v>19.25</v>
      </c>
      <c r="F593" s="10">
        <v>4</v>
      </c>
      <c r="G593" s="10">
        <v>2</v>
      </c>
      <c r="H593" s="10">
        <v>0</v>
      </c>
      <c r="I593" s="10">
        <v>2</v>
      </c>
      <c r="J593" s="10">
        <f>SUM(B593:I593)</f>
        <v>35.92</v>
      </c>
      <c r="K593">
        <v>2015</v>
      </c>
      <c r="L593">
        <v>8</v>
      </c>
      <c r="M593" s="11">
        <v>42217</v>
      </c>
      <c r="N593" t="s">
        <v>2180</v>
      </c>
      <c r="O593">
        <v>7</v>
      </c>
      <c r="P593" t="s">
        <v>59</v>
      </c>
      <c r="Q593" t="b">
        <v>1</v>
      </c>
    </row>
    <row r="594" spans="1:17">
      <c r="A594" s="12">
        <v>42233</v>
      </c>
      <c r="B594" s="10">
        <v>8</v>
      </c>
      <c r="C594" s="10">
        <v>3</v>
      </c>
      <c r="D594" s="10">
        <v>3</v>
      </c>
      <c r="E594" s="10">
        <v>33</v>
      </c>
      <c r="F594" s="10">
        <v>6</v>
      </c>
      <c r="G594" s="10">
        <v>0</v>
      </c>
      <c r="H594" s="10">
        <v>0</v>
      </c>
      <c r="I594" s="10">
        <v>2</v>
      </c>
      <c r="J594" s="10">
        <f>SUM(B594:I594)</f>
        <v>55.0</v>
      </c>
      <c r="K594">
        <v>2015</v>
      </c>
      <c r="L594">
        <v>8</v>
      </c>
      <c r="M594" s="11">
        <v>42217</v>
      </c>
      <c r="N594" t="s">
        <v>2180</v>
      </c>
      <c r="O594">
        <v>1</v>
      </c>
      <c r="P594" t="s">
        <v>61</v>
      </c>
      <c r="Q594" t="b">
        <v>1</v>
      </c>
    </row>
    <row r="595" spans="1:17">
      <c r="A595" s="12">
        <v>42234</v>
      </c>
      <c r="B595" s="10">
        <v>6.01</v>
      </c>
      <c r="C595" s="10">
        <v>2.67</v>
      </c>
      <c r="D595" s="10">
        <v>3</v>
      </c>
      <c r="E595" s="10">
        <v>24</v>
      </c>
      <c r="F595" s="10">
        <v>16</v>
      </c>
      <c r="G595" s="10">
        <v>0</v>
      </c>
      <c r="H595" s="10">
        <v>3</v>
      </c>
      <c r="I595" s="10">
        <v>1</v>
      </c>
      <c r="J595" s="10">
        <f>SUM(B595:I595)</f>
        <v>55.68</v>
      </c>
      <c r="K595">
        <v>2015</v>
      </c>
      <c r="L595">
        <v>8</v>
      </c>
      <c r="M595" s="11">
        <v>42217</v>
      </c>
      <c r="N595" t="s">
        <v>2180</v>
      </c>
      <c r="O595">
        <v>2</v>
      </c>
      <c r="P595" t="s">
        <v>63</v>
      </c>
      <c r="Q595" t="b">
        <v>1</v>
      </c>
    </row>
    <row r="596" spans="1:17">
      <c r="A596" s="12">
        <v>42235</v>
      </c>
      <c r="B596" s="10">
        <v>6.33</v>
      </c>
      <c r="C596" s="10">
        <v>2.66</v>
      </c>
      <c r="D596" s="10">
        <v>8</v>
      </c>
      <c r="E596" s="10">
        <v>28</v>
      </c>
      <c r="F596" s="10">
        <v>15</v>
      </c>
      <c r="G596" s="10">
        <v>0</v>
      </c>
      <c r="H596" s="10">
        <v>3</v>
      </c>
      <c r="I596" s="10">
        <v>3</v>
      </c>
      <c r="J596" s="10">
        <f>SUM(B596:I596)</f>
        <v>65.99000000000001</v>
      </c>
      <c r="K596">
        <v>2015</v>
      </c>
      <c r="L596">
        <v>8</v>
      </c>
      <c r="M596" s="11">
        <v>42217</v>
      </c>
      <c r="N596" t="s">
        <v>2180</v>
      </c>
      <c r="O596">
        <v>3</v>
      </c>
      <c r="P596" t="s">
        <v>65</v>
      </c>
      <c r="Q596" t="b">
        <v>1</v>
      </c>
    </row>
    <row r="597" spans="1:17">
      <c r="A597" s="12">
        <v>42236</v>
      </c>
      <c r="B597" s="10">
        <v>3.5</v>
      </c>
      <c r="C597" s="10">
        <v>3.68</v>
      </c>
      <c r="D597" s="10">
        <v>5</v>
      </c>
      <c r="E597" s="10">
        <v>19</v>
      </c>
      <c r="F597" s="10">
        <v>6</v>
      </c>
      <c r="G597" s="10">
        <v>1</v>
      </c>
      <c r="H597" s="10">
        <v>0</v>
      </c>
      <c r="I597" s="10">
        <v>0</v>
      </c>
      <c r="J597" s="10">
        <f>SUM(B597:I597)</f>
        <v>38.18</v>
      </c>
      <c r="K597">
        <v>2015</v>
      </c>
      <c r="L597">
        <v>8</v>
      </c>
      <c r="M597" s="11">
        <v>42217</v>
      </c>
      <c r="N597" t="s">
        <v>2180</v>
      </c>
      <c r="O597">
        <v>4</v>
      </c>
      <c r="P597" t="s">
        <v>53</v>
      </c>
      <c r="Q597" t="b">
        <v>1</v>
      </c>
    </row>
    <row r="598" spans="1:17">
      <c r="A598" s="12">
        <v>42237</v>
      </c>
      <c r="B598" s="10">
        <v>6</v>
      </c>
      <c r="C598" s="10">
        <v>0.67</v>
      </c>
      <c r="D598" s="10">
        <v>3</v>
      </c>
      <c r="E598" s="10">
        <v>34</v>
      </c>
      <c r="F598" s="10">
        <v>8</v>
      </c>
      <c r="G598" s="10">
        <v>1</v>
      </c>
      <c r="H598" s="10">
        <v>1</v>
      </c>
      <c r="I598" s="10">
        <v>4</v>
      </c>
      <c r="J598" s="10">
        <f>SUM(B598:I598)</f>
        <v>57.67</v>
      </c>
      <c r="K598">
        <v>2015</v>
      </c>
      <c r="L598">
        <v>8</v>
      </c>
      <c r="M598" s="11">
        <v>42217</v>
      </c>
      <c r="N598" t="s">
        <v>2180</v>
      </c>
      <c r="O598">
        <v>5</v>
      </c>
      <c r="P598" t="s">
        <v>55</v>
      </c>
      <c r="Q598" t="b">
        <v>1</v>
      </c>
    </row>
    <row r="599" spans="1:17">
      <c r="A599" s="12">
        <v>42238</v>
      </c>
      <c r="B599" s="10">
        <v>2.34</v>
      </c>
      <c r="C599" s="10">
        <v>6.736</v>
      </c>
      <c r="D599" s="10">
        <v>4</v>
      </c>
      <c r="E599" s="10">
        <v>28</v>
      </c>
      <c r="F599" s="10">
        <v>6</v>
      </c>
      <c r="G599" s="10">
        <v>3</v>
      </c>
      <c r="H599" s="10">
        <v>1</v>
      </c>
      <c r="I599" s="10">
        <v>6</v>
      </c>
      <c r="J599" s="10">
        <f>SUM(B599:I599)</f>
        <v>57.076</v>
      </c>
      <c r="K599">
        <v>2015</v>
      </c>
      <c r="L599">
        <v>8</v>
      </c>
      <c r="M599" s="11">
        <v>42217</v>
      </c>
      <c r="N599" t="s">
        <v>2180</v>
      </c>
      <c r="O599">
        <v>6</v>
      </c>
      <c r="P599" t="s">
        <v>57</v>
      </c>
      <c r="Q599" t="b">
        <v>1</v>
      </c>
    </row>
    <row r="600" spans="1:17">
      <c r="A600" s="12">
        <v>42239</v>
      </c>
      <c r="B600" s="10">
        <v>8.99</v>
      </c>
      <c r="C600" s="10">
        <v>5.33</v>
      </c>
      <c r="D600" s="10">
        <v>3</v>
      </c>
      <c r="E600" s="10">
        <v>28</v>
      </c>
      <c r="F600" s="10">
        <v>8</v>
      </c>
      <c r="G600" s="10">
        <v>0</v>
      </c>
      <c r="H600" s="10">
        <v>2</v>
      </c>
      <c r="I600" s="10">
        <v>2</v>
      </c>
      <c r="J600" s="10">
        <f>SUM(B600:I600)</f>
        <v>57.32</v>
      </c>
      <c r="K600">
        <v>2015</v>
      </c>
      <c r="L600">
        <v>8</v>
      </c>
      <c r="M600" s="11">
        <v>42217</v>
      </c>
      <c r="N600" t="s">
        <v>2180</v>
      </c>
      <c r="O600">
        <v>7</v>
      </c>
      <c r="P600" t="s">
        <v>59</v>
      </c>
      <c r="Q600" t="b">
        <v>1</v>
      </c>
    </row>
    <row r="601" spans="1:17">
      <c r="A601" s="12">
        <v>42240</v>
      </c>
      <c r="B601" s="10">
        <v>8.5</v>
      </c>
      <c r="C601" s="10">
        <v>3.66</v>
      </c>
      <c r="D601" s="10">
        <v>3.4</v>
      </c>
      <c r="E601" s="10">
        <v>45.1</v>
      </c>
      <c r="F601" s="10">
        <v>8</v>
      </c>
      <c r="G601" s="10">
        <v>0</v>
      </c>
      <c r="H601" s="10">
        <v>0</v>
      </c>
      <c r="I601" s="10">
        <v>1</v>
      </c>
      <c r="J601" s="10">
        <f>SUM(B601:I601)</f>
        <v>69.66</v>
      </c>
      <c r="K601">
        <v>2015</v>
      </c>
      <c r="L601">
        <v>8</v>
      </c>
      <c r="M601" s="11">
        <v>42217</v>
      </c>
      <c r="N601" t="s">
        <v>2180</v>
      </c>
      <c r="O601">
        <v>1</v>
      </c>
      <c r="P601" t="s">
        <v>61</v>
      </c>
      <c r="Q601" t="b">
        <v>1</v>
      </c>
    </row>
    <row r="602" spans="1:17">
      <c r="A602" s="12">
        <v>42241</v>
      </c>
      <c r="B602" s="10">
        <v>2.34</v>
      </c>
      <c r="C602" s="10">
        <v>2.67</v>
      </c>
      <c r="D602" s="10">
        <v>4</v>
      </c>
      <c r="E602" s="10">
        <v>23.5</v>
      </c>
      <c r="F602" s="10">
        <v>20</v>
      </c>
      <c r="G602" s="10">
        <v>0</v>
      </c>
      <c r="H602" s="10">
        <v>1</v>
      </c>
      <c r="I602" s="10">
        <v>3</v>
      </c>
      <c r="J602" s="10">
        <f>SUM(B602:I602)</f>
        <v>56.51</v>
      </c>
      <c r="K602">
        <v>2015</v>
      </c>
      <c r="L602">
        <v>8</v>
      </c>
      <c r="M602" s="11">
        <v>42217</v>
      </c>
      <c r="N602" t="s">
        <v>2180</v>
      </c>
      <c r="O602">
        <v>2</v>
      </c>
      <c r="P602" t="s">
        <v>63</v>
      </c>
      <c r="Q602" t="b">
        <v>1</v>
      </c>
    </row>
    <row r="603" spans="1:17">
      <c r="A603" s="12">
        <v>42242</v>
      </c>
      <c r="B603" s="10">
        <v>2.67</v>
      </c>
      <c r="C603" s="10">
        <v>4.02</v>
      </c>
      <c r="D603" s="10">
        <v>7.3</v>
      </c>
      <c r="E603" s="10">
        <v>27</v>
      </c>
      <c r="F603" s="10">
        <v>7</v>
      </c>
      <c r="G603" s="10">
        <v>0</v>
      </c>
      <c r="H603" s="10">
        <v>1</v>
      </c>
      <c r="I603" s="10">
        <v>6</v>
      </c>
      <c r="J603" s="10">
        <f>SUM(B603:I603)</f>
        <v>54.989999999999995</v>
      </c>
      <c r="K603">
        <v>2015</v>
      </c>
      <c r="L603">
        <v>8</v>
      </c>
      <c r="M603" s="11">
        <v>42217</v>
      </c>
      <c r="N603" t="s">
        <v>2180</v>
      </c>
      <c r="O603">
        <v>3</v>
      </c>
      <c r="P603" t="s">
        <v>65</v>
      </c>
      <c r="Q603" t="b">
        <v>1</v>
      </c>
    </row>
    <row r="604" spans="1:17">
      <c r="A604" s="12">
        <v>42243</v>
      </c>
      <c r="B604" s="10">
        <v>9.33</v>
      </c>
      <c r="C604" s="10">
        <v>3</v>
      </c>
      <c r="D604" s="10">
        <v>4.5</v>
      </c>
      <c r="E604" s="10">
        <v>32</v>
      </c>
      <c r="F604" s="10">
        <v>8</v>
      </c>
      <c r="G604" s="10">
        <v>0</v>
      </c>
      <c r="H604" s="10">
        <v>0</v>
      </c>
      <c r="I604" s="10">
        <v>3</v>
      </c>
      <c r="J604" s="10">
        <f>SUM(B604:I604)</f>
        <v>59.83</v>
      </c>
      <c r="K604">
        <v>2015</v>
      </c>
      <c r="L604">
        <v>8</v>
      </c>
      <c r="M604" s="11">
        <v>42217</v>
      </c>
      <c r="N604" t="s">
        <v>2180</v>
      </c>
      <c r="O604">
        <v>4</v>
      </c>
      <c r="P604" t="s">
        <v>53</v>
      </c>
      <c r="Q604" t="b">
        <v>1</v>
      </c>
    </row>
    <row r="605" spans="1:17">
      <c r="A605" s="12">
        <v>42244</v>
      </c>
      <c r="B605" s="10">
        <v>7</v>
      </c>
      <c r="C605" s="10">
        <v>8.67</v>
      </c>
      <c r="D605" s="10">
        <v>1</v>
      </c>
      <c r="E605" s="10">
        <v>15.1</v>
      </c>
      <c r="F605" s="10">
        <v>12</v>
      </c>
      <c r="G605" s="10">
        <v>0</v>
      </c>
      <c r="H605" s="10">
        <v>0</v>
      </c>
      <c r="I605" s="10">
        <v>3</v>
      </c>
      <c r="J605" s="10">
        <f>SUM(B605:I605)</f>
        <v>46.77</v>
      </c>
      <c r="K605">
        <v>2015</v>
      </c>
      <c r="L605">
        <v>8</v>
      </c>
      <c r="M605" s="11">
        <v>42217</v>
      </c>
      <c r="N605" t="s">
        <v>2180</v>
      </c>
      <c r="O605">
        <v>5</v>
      </c>
      <c r="P605" t="s">
        <v>55</v>
      </c>
      <c r="Q605" t="b">
        <v>1</v>
      </c>
    </row>
    <row r="606" spans="1:17">
      <c r="A606" s="12">
        <v>42245</v>
      </c>
      <c r="B606" s="10">
        <v>10.84</v>
      </c>
      <c r="C606" s="10">
        <v>10.34</v>
      </c>
      <c r="D606" s="10">
        <v>4</v>
      </c>
      <c r="E606" s="10">
        <v>23.2</v>
      </c>
      <c r="F606" s="10">
        <v>4</v>
      </c>
      <c r="G606" s="10">
        <v>3</v>
      </c>
      <c r="H606" s="10">
        <v>3</v>
      </c>
      <c r="I606" s="10">
        <v>2</v>
      </c>
      <c r="J606" s="10">
        <f>SUM(B606:I606)</f>
        <v>60.379999999999995</v>
      </c>
      <c r="K606">
        <v>2015</v>
      </c>
      <c r="L606">
        <v>8</v>
      </c>
      <c r="M606" s="11">
        <v>42217</v>
      </c>
      <c r="N606" t="s">
        <v>2180</v>
      </c>
      <c r="O606">
        <v>6</v>
      </c>
      <c r="P606" t="s">
        <v>57</v>
      </c>
      <c r="Q606" t="b">
        <v>1</v>
      </c>
    </row>
    <row r="607" spans="1:17">
      <c r="A607" s="12">
        <v>42246</v>
      </c>
      <c r="B607" s="10">
        <v>11</v>
      </c>
      <c r="C607" s="10">
        <v>6.02</v>
      </c>
      <c r="D607" s="10">
        <v>3.5</v>
      </c>
      <c r="E607" s="10">
        <v>21</v>
      </c>
      <c r="F607" s="10">
        <v>3</v>
      </c>
      <c r="G607" s="10">
        <v>0</v>
      </c>
      <c r="H607" s="10">
        <v>6</v>
      </c>
      <c r="I607" s="10">
        <v>4</v>
      </c>
      <c r="J607" s="10">
        <f>SUM(B607:I607)</f>
        <v>54.519999999999996</v>
      </c>
      <c r="K607">
        <v>2015</v>
      </c>
      <c r="L607">
        <v>8</v>
      </c>
      <c r="M607" s="11">
        <v>42217</v>
      </c>
      <c r="N607" t="s">
        <v>2180</v>
      </c>
      <c r="O607">
        <v>7</v>
      </c>
      <c r="P607" t="s">
        <v>59</v>
      </c>
      <c r="Q607" t="b">
        <v>1</v>
      </c>
    </row>
    <row r="608" spans="1:17">
      <c r="A608" s="12">
        <v>42247</v>
      </c>
      <c r="B608" s="10">
        <v>4</v>
      </c>
      <c r="C608" s="10">
        <v>9.34</v>
      </c>
      <c r="D608" s="10">
        <v>3.4</v>
      </c>
      <c r="E608" s="10">
        <v>38</v>
      </c>
      <c r="F608" s="10">
        <v>9.5</v>
      </c>
      <c r="G608" s="10">
        <v>0</v>
      </c>
      <c r="H608" s="10">
        <v>6</v>
      </c>
      <c r="I608" s="10">
        <v>2</v>
      </c>
      <c r="J608" s="10">
        <f>SUM(B608:I608)</f>
        <v>72.24</v>
      </c>
      <c r="K608">
        <v>2015</v>
      </c>
      <c r="L608">
        <v>8</v>
      </c>
      <c r="M608" s="11">
        <v>42217</v>
      </c>
      <c r="N608" t="s">
        <v>2180</v>
      </c>
      <c r="O608">
        <v>1</v>
      </c>
      <c r="P608" t="s">
        <v>61</v>
      </c>
      <c r="Q608" t="b">
        <v>1</v>
      </c>
    </row>
    <row r="609" spans="1:17">
      <c r="A609" s="12">
        <v>42248</v>
      </c>
      <c r="B609" s="10">
        <v>8.18</v>
      </c>
      <c r="C609" s="10">
        <v>2.84</v>
      </c>
      <c r="D609" s="10">
        <v>4.4</v>
      </c>
      <c r="E609" s="10">
        <v>28.25</v>
      </c>
      <c r="F609" s="10">
        <v>8</v>
      </c>
      <c r="G609" s="10">
        <v>0</v>
      </c>
      <c r="H609" s="10">
        <v>0</v>
      </c>
      <c r="I609" s="10">
        <v>3</v>
      </c>
      <c r="J609" s="10">
        <f>SUM(B609:I609)</f>
        <v>54.67</v>
      </c>
      <c r="K609">
        <v>2015</v>
      </c>
      <c r="L609">
        <v>9</v>
      </c>
      <c r="M609" s="11">
        <v>42248</v>
      </c>
      <c r="N609" t="s">
        <v>2181</v>
      </c>
      <c r="O609">
        <v>2</v>
      </c>
      <c r="P609" t="s">
        <v>63</v>
      </c>
      <c r="Q609" t="b">
        <v>1</v>
      </c>
    </row>
    <row r="610" spans="1:17">
      <c r="A610" s="12">
        <v>42249</v>
      </c>
      <c r="B610" s="10">
        <v>5.33</v>
      </c>
      <c r="C610" s="10">
        <v>7</v>
      </c>
      <c r="D610" s="10">
        <v>3</v>
      </c>
      <c r="E610" s="10">
        <v>31.3</v>
      </c>
      <c r="F610" s="10">
        <v>9.5</v>
      </c>
      <c r="G610" s="10">
        <v>0</v>
      </c>
      <c r="H610" s="10">
        <v>5</v>
      </c>
      <c r="I610" s="10">
        <v>5</v>
      </c>
      <c r="J610" s="10">
        <f>SUM(B610:I610)</f>
        <v>66.13</v>
      </c>
      <c r="K610">
        <v>2015</v>
      </c>
      <c r="L610">
        <v>9</v>
      </c>
      <c r="M610" s="11">
        <v>42248</v>
      </c>
      <c r="N610" t="s">
        <v>2181</v>
      </c>
      <c r="O610">
        <v>3</v>
      </c>
      <c r="P610" t="s">
        <v>65</v>
      </c>
      <c r="Q610" t="b">
        <v>1</v>
      </c>
    </row>
    <row r="611" spans="1:17">
      <c r="A611" s="12">
        <v>42250</v>
      </c>
      <c r="B611" s="10">
        <v>1.34</v>
      </c>
      <c r="C611" s="10">
        <v>3.68</v>
      </c>
      <c r="D611" s="10">
        <v>2.2</v>
      </c>
      <c r="E611" s="10">
        <v>19</v>
      </c>
      <c r="F611" s="10">
        <v>13</v>
      </c>
      <c r="G611" s="10">
        <v>0</v>
      </c>
      <c r="H611" s="10">
        <v>4</v>
      </c>
      <c r="I611" s="10">
        <v>2</v>
      </c>
      <c r="J611" s="10">
        <f>SUM(B611:I611)</f>
        <v>45.22</v>
      </c>
      <c r="K611">
        <v>2015</v>
      </c>
      <c r="L611">
        <v>9</v>
      </c>
      <c r="M611" s="11">
        <v>42248</v>
      </c>
      <c r="N611" t="s">
        <v>2181</v>
      </c>
      <c r="O611">
        <v>4</v>
      </c>
      <c r="P611" t="s">
        <v>53</v>
      </c>
      <c r="Q611" t="b">
        <v>1</v>
      </c>
    </row>
    <row r="612" spans="1:17">
      <c r="A612" s="12">
        <v>42251</v>
      </c>
      <c r="B612" s="10">
        <v>3.34</v>
      </c>
      <c r="C612" s="10">
        <v>2.68</v>
      </c>
      <c r="D612" s="10">
        <v>3.1</v>
      </c>
      <c r="E612" s="10">
        <v>20</v>
      </c>
      <c r="F612" s="10">
        <v>8</v>
      </c>
      <c r="G612" s="10">
        <v>1</v>
      </c>
      <c r="H612" s="10">
        <v>1</v>
      </c>
      <c r="I612" s="10">
        <v>2</v>
      </c>
      <c r="J612" s="10">
        <f>SUM(B612:I612)</f>
        <v>41.12</v>
      </c>
      <c r="K612">
        <v>2015</v>
      </c>
      <c r="L612">
        <v>9</v>
      </c>
      <c r="M612" s="11">
        <v>42248</v>
      </c>
      <c r="N612" t="s">
        <v>2181</v>
      </c>
      <c r="O612">
        <v>5</v>
      </c>
      <c r="P612" t="s">
        <v>55</v>
      </c>
      <c r="Q612" t="b">
        <v>1</v>
      </c>
    </row>
    <row r="613" spans="1:17">
      <c r="A613" s="12">
        <v>42252</v>
      </c>
      <c r="B613" s="10">
        <v>8.83</v>
      </c>
      <c r="C613" s="10">
        <v>6.01</v>
      </c>
      <c r="D613" s="10">
        <v>3.2</v>
      </c>
      <c r="E613" s="10">
        <v>20</v>
      </c>
      <c r="F613" s="10">
        <v>10.5</v>
      </c>
      <c r="G613" s="10">
        <v>1</v>
      </c>
      <c r="H613" s="10">
        <v>6</v>
      </c>
      <c r="I613" s="10">
        <v>4</v>
      </c>
      <c r="J613" s="10">
        <f>SUM(B613:I613)</f>
        <v>59.54</v>
      </c>
      <c r="K613">
        <v>2015</v>
      </c>
      <c r="L613">
        <v>9</v>
      </c>
      <c r="M613" s="11">
        <v>42248</v>
      </c>
      <c r="N613" t="s">
        <v>2181</v>
      </c>
      <c r="O613">
        <v>6</v>
      </c>
      <c r="P613" t="s">
        <v>57</v>
      </c>
      <c r="Q613" t="b">
        <v>1</v>
      </c>
    </row>
    <row r="614" spans="1:17">
      <c r="A614" s="12">
        <v>42253</v>
      </c>
      <c r="B614" s="10">
        <v>8.33</v>
      </c>
      <c r="C614" s="10">
        <v>9.67</v>
      </c>
      <c r="D614" s="10">
        <v>6</v>
      </c>
      <c r="E614" s="10">
        <v>23.6</v>
      </c>
      <c r="F614" s="10">
        <v>8</v>
      </c>
      <c r="G614" s="10">
        <v>1</v>
      </c>
      <c r="H614" s="10">
        <v>0</v>
      </c>
      <c r="I614" s="10">
        <v>3</v>
      </c>
      <c r="J614" s="10">
        <f>SUM(B614:I614)</f>
        <v>59.6</v>
      </c>
      <c r="K614">
        <v>2015</v>
      </c>
      <c r="L614">
        <v>9</v>
      </c>
      <c r="M614" s="11">
        <v>42248</v>
      </c>
      <c r="N614" t="s">
        <v>2181</v>
      </c>
      <c r="O614">
        <v>7</v>
      </c>
      <c r="P614" t="s">
        <v>59</v>
      </c>
      <c r="Q614" t="b">
        <v>1</v>
      </c>
    </row>
    <row r="615" spans="1:17">
      <c r="A615" s="12">
        <v>42254</v>
      </c>
      <c r="B615" s="10">
        <v>4.34</v>
      </c>
      <c r="C615" s="10">
        <v>6.124</v>
      </c>
      <c r="D615" s="10">
        <v>2.5</v>
      </c>
      <c r="E615" s="10">
        <v>32.8</v>
      </c>
      <c r="F615" s="10">
        <v>7</v>
      </c>
      <c r="G615" s="10">
        <v>1</v>
      </c>
      <c r="H615" s="10">
        <v>5</v>
      </c>
      <c r="I615" s="10">
        <v>2</v>
      </c>
      <c r="J615" s="10">
        <f>SUM(B615:I615)</f>
        <v>60.763999999999996</v>
      </c>
      <c r="K615">
        <v>2015</v>
      </c>
      <c r="L615">
        <v>9</v>
      </c>
      <c r="M615" s="11">
        <v>42248</v>
      </c>
      <c r="N615" t="s">
        <v>2181</v>
      </c>
      <c r="O615">
        <v>1</v>
      </c>
      <c r="P615" t="s">
        <v>61</v>
      </c>
      <c r="Q615" t="b">
        <v>1</v>
      </c>
    </row>
    <row r="616" spans="1:17">
      <c r="A616" s="12">
        <v>42255</v>
      </c>
      <c r="B616" s="10">
        <v>2.67</v>
      </c>
      <c r="C616" s="10">
        <v>1.693</v>
      </c>
      <c r="D616" s="10">
        <v>5</v>
      </c>
      <c r="E616" s="10">
        <v>29.2</v>
      </c>
      <c r="F616" s="10">
        <v>4</v>
      </c>
      <c r="G616" s="10">
        <v>0</v>
      </c>
      <c r="H616" s="10">
        <v>2</v>
      </c>
      <c r="I616" s="10">
        <v>4</v>
      </c>
      <c r="J616" s="10">
        <f>SUM(B616:I616)</f>
        <v>48.563</v>
      </c>
      <c r="K616">
        <v>2015</v>
      </c>
      <c r="L616">
        <v>9</v>
      </c>
      <c r="M616" s="11">
        <v>42248</v>
      </c>
      <c r="N616" t="s">
        <v>2181</v>
      </c>
      <c r="O616">
        <v>2</v>
      </c>
      <c r="P616" t="s">
        <v>63</v>
      </c>
      <c r="Q616" t="b">
        <v>1</v>
      </c>
    </row>
    <row r="617" spans="1:17">
      <c r="A617" s="12">
        <v>42256</v>
      </c>
      <c r="B617" s="10">
        <v>2</v>
      </c>
      <c r="C617" s="10">
        <v>3</v>
      </c>
      <c r="D617" s="10">
        <v>1</v>
      </c>
      <c r="E617" s="10">
        <v>34.7</v>
      </c>
      <c r="F617" s="10">
        <v>8</v>
      </c>
      <c r="G617" s="10">
        <v>0</v>
      </c>
      <c r="H617" s="10">
        <v>2</v>
      </c>
      <c r="I617" s="10">
        <v>2</v>
      </c>
      <c r="J617" s="10">
        <f>SUM(B617:I617)</f>
        <v>52.7</v>
      </c>
      <c r="K617">
        <v>2015</v>
      </c>
      <c r="L617">
        <v>9</v>
      </c>
      <c r="M617" s="11">
        <v>42248</v>
      </c>
      <c r="N617" t="s">
        <v>2181</v>
      </c>
      <c r="O617">
        <v>3</v>
      </c>
      <c r="P617" t="s">
        <v>65</v>
      </c>
      <c r="Q617" t="b">
        <v>1</v>
      </c>
    </row>
    <row r="618" spans="1:17">
      <c r="A618" s="12">
        <v>42257</v>
      </c>
      <c r="B618" s="10">
        <v>6</v>
      </c>
      <c r="C618" s="10">
        <v>3.99</v>
      </c>
      <c r="D618" s="10">
        <v>4.2</v>
      </c>
      <c r="E618" s="10">
        <v>21.2</v>
      </c>
      <c r="F618" s="10">
        <v>18</v>
      </c>
      <c r="G618" s="10">
        <v>0</v>
      </c>
      <c r="H618" s="10">
        <v>2</v>
      </c>
      <c r="I618" s="10">
        <v>2</v>
      </c>
      <c r="J618" s="10">
        <f>SUM(B618:I618)</f>
        <v>57.39</v>
      </c>
      <c r="K618">
        <v>2015</v>
      </c>
      <c r="L618">
        <v>9</v>
      </c>
      <c r="M618" s="11">
        <v>42248</v>
      </c>
      <c r="N618" t="s">
        <v>2181</v>
      </c>
      <c r="O618">
        <v>4</v>
      </c>
      <c r="P618" t="s">
        <v>53</v>
      </c>
      <c r="Q618" t="b">
        <v>1</v>
      </c>
    </row>
    <row r="619" spans="1:17">
      <c r="A619" s="12">
        <v>42258</v>
      </c>
      <c r="B619" s="10">
        <v>11.33</v>
      </c>
      <c r="C619" s="10">
        <v>5</v>
      </c>
      <c r="D619" s="10">
        <v>9</v>
      </c>
      <c r="E619" s="10">
        <v>30</v>
      </c>
      <c r="F619" s="10">
        <v>9</v>
      </c>
      <c r="G619" s="10">
        <v>0</v>
      </c>
      <c r="H619" s="10">
        <v>2</v>
      </c>
      <c r="I619" s="10">
        <v>2</v>
      </c>
      <c r="J619" s="10">
        <f>SUM(B619:I619)</f>
        <v>68.33</v>
      </c>
      <c r="K619">
        <v>2015</v>
      </c>
      <c r="L619">
        <v>9</v>
      </c>
      <c r="M619" s="11">
        <v>42248</v>
      </c>
      <c r="N619" t="s">
        <v>2181</v>
      </c>
      <c r="O619">
        <v>5</v>
      </c>
      <c r="P619" t="s">
        <v>55</v>
      </c>
      <c r="Q619" t="b">
        <v>1</v>
      </c>
    </row>
    <row r="620" spans="1:17">
      <c r="A620" s="12">
        <v>42259</v>
      </c>
      <c r="B620" s="10">
        <v>4.66</v>
      </c>
      <c r="C620" s="10">
        <v>7.66</v>
      </c>
      <c r="D620" s="10">
        <v>5.2</v>
      </c>
      <c r="E620" s="10">
        <v>63.3</v>
      </c>
      <c r="F620" s="10">
        <v>6</v>
      </c>
      <c r="G620" s="10">
        <v>3</v>
      </c>
      <c r="H620" s="10">
        <v>0</v>
      </c>
      <c r="I620" s="10">
        <v>2</v>
      </c>
      <c r="J620" s="10">
        <f>SUM(B620:I620)</f>
        <v>91.82</v>
      </c>
      <c r="K620">
        <v>2015</v>
      </c>
      <c r="L620">
        <v>9</v>
      </c>
      <c r="M620" s="11">
        <v>42248</v>
      </c>
      <c r="N620" t="s">
        <v>2181</v>
      </c>
      <c r="O620">
        <v>6</v>
      </c>
      <c r="P620" t="s">
        <v>57</v>
      </c>
      <c r="Q620" t="b">
        <v>1</v>
      </c>
    </row>
    <row r="621" spans="1:17">
      <c r="A621" s="12">
        <v>42260</v>
      </c>
      <c r="B621" s="10">
        <v>7.33</v>
      </c>
      <c r="C621" s="10">
        <v>6.165</v>
      </c>
      <c r="D621" s="10">
        <v>7.2</v>
      </c>
      <c r="E621" s="10">
        <v>25</v>
      </c>
      <c r="F621" s="10">
        <v>4</v>
      </c>
      <c r="G621" s="10">
        <v>0</v>
      </c>
      <c r="H621" s="10">
        <v>11</v>
      </c>
      <c r="I621" s="10">
        <v>3</v>
      </c>
      <c r="J621" s="10">
        <f>SUM(B621:I621)</f>
        <v>63.695</v>
      </c>
      <c r="K621">
        <v>2015</v>
      </c>
      <c r="L621">
        <v>9</v>
      </c>
      <c r="M621" s="11">
        <v>42248</v>
      </c>
      <c r="N621" t="s">
        <v>2181</v>
      </c>
      <c r="O621">
        <v>7</v>
      </c>
      <c r="P621" t="s">
        <v>59</v>
      </c>
      <c r="Q621" t="b">
        <v>1</v>
      </c>
    </row>
    <row r="622" spans="1:17">
      <c r="A622" s="12">
        <v>42261</v>
      </c>
      <c r="B622" s="10">
        <v>4.68</v>
      </c>
      <c r="C622" s="10">
        <v>5</v>
      </c>
      <c r="D622" s="10">
        <v>1</v>
      </c>
      <c r="E622" s="10">
        <v>31.3</v>
      </c>
      <c r="F622" s="10">
        <v>14</v>
      </c>
      <c r="G622" s="10">
        <v>0</v>
      </c>
      <c r="H622" s="10">
        <v>0</v>
      </c>
      <c r="I622" s="10">
        <v>0</v>
      </c>
      <c r="J622" s="10">
        <f>SUM(B622:I622)</f>
        <v>55.980000000000004</v>
      </c>
      <c r="K622">
        <v>2015</v>
      </c>
      <c r="L622">
        <v>9</v>
      </c>
      <c r="M622" s="11">
        <v>42248</v>
      </c>
      <c r="N622" t="s">
        <v>2181</v>
      </c>
      <c r="O622">
        <v>1</v>
      </c>
      <c r="P622" t="s">
        <v>61</v>
      </c>
      <c r="Q622" t="b">
        <v>1</v>
      </c>
    </row>
    <row r="623" spans="1:17">
      <c r="A623" s="12">
        <v>42262</v>
      </c>
      <c r="B623" s="10">
        <v>3.33</v>
      </c>
      <c r="C623" s="10">
        <v>5.076</v>
      </c>
      <c r="D623" s="10">
        <v>4.2</v>
      </c>
      <c r="E623" s="10">
        <v>23.8</v>
      </c>
      <c r="F623" s="10">
        <v>7.5</v>
      </c>
      <c r="G623" s="10">
        <v>0</v>
      </c>
      <c r="H623" s="10">
        <v>6</v>
      </c>
      <c r="I623" s="10">
        <v>5</v>
      </c>
      <c r="J623" s="10">
        <f>SUM(B623:I623)</f>
        <v>54.906</v>
      </c>
      <c r="K623">
        <v>2015</v>
      </c>
      <c r="L623">
        <v>9</v>
      </c>
      <c r="M623" s="11">
        <v>42248</v>
      </c>
      <c r="N623" t="s">
        <v>2181</v>
      </c>
      <c r="O623">
        <v>2</v>
      </c>
      <c r="P623" t="s">
        <v>63</v>
      </c>
      <c r="Q623" t="b">
        <v>1</v>
      </c>
    </row>
    <row r="624" spans="1:17">
      <c r="A624" s="12">
        <v>42263</v>
      </c>
      <c r="B624" s="10">
        <v>0.67</v>
      </c>
      <c r="C624" s="10">
        <v>4.835</v>
      </c>
      <c r="D624" s="10">
        <v>2.2</v>
      </c>
      <c r="E624" s="10">
        <v>16.6</v>
      </c>
      <c r="F624" s="10">
        <v>6</v>
      </c>
      <c r="G624" s="10">
        <v>0</v>
      </c>
      <c r="H624" s="10">
        <v>2</v>
      </c>
      <c r="I624" s="10">
        <v>1</v>
      </c>
      <c r="J624" s="10">
        <f>SUM(B624:I624)</f>
        <v>33.305</v>
      </c>
      <c r="K624">
        <v>2015</v>
      </c>
      <c r="L624">
        <v>9</v>
      </c>
      <c r="M624" s="11">
        <v>42248</v>
      </c>
      <c r="N624" t="s">
        <v>2181</v>
      </c>
      <c r="O624">
        <v>3</v>
      </c>
      <c r="P624" t="s">
        <v>65</v>
      </c>
      <c r="Q624" t="b">
        <v>1</v>
      </c>
    </row>
    <row r="625" spans="1:17">
      <c r="A625" s="12">
        <v>42264</v>
      </c>
      <c r="B625" s="10">
        <v>9.83</v>
      </c>
      <c r="C625" s="10">
        <v>6.33</v>
      </c>
      <c r="D625" s="10">
        <v>0</v>
      </c>
      <c r="E625" s="10">
        <v>35.5</v>
      </c>
      <c r="F625" s="10">
        <v>3</v>
      </c>
      <c r="G625" s="10">
        <v>0</v>
      </c>
      <c r="H625" s="10">
        <v>1</v>
      </c>
      <c r="I625" s="10">
        <v>2</v>
      </c>
      <c r="J625" s="10">
        <f>SUM(B625:I625)</f>
        <v>57.66</v>
      </c>
      <c r="K625">
        <v>2015</v>
      </c>
      <c r="L625">
        <v>9</v>
      </c>
      <c r="M625" s="11">
        <v>42248</v>
      </c>
      <c r="N625" t="s">
        <v>2181</v>
      </c>
      <c r="O625">
        <v>4</v>
      </c>
      <c r="P625" t="s">
        <v>53</v>
      </c>
      <c r="Q625" t="b">
        <v>1</v>
      </c>
    </row>
    <row r="626" spans="1:17">
      <c r="A626" s="12">
        <v>42265</v>
      </c>
      <c r="B626" s="10">
        <v>3.34</v>
      </c>
      <c r="C626" s="10">
        <v>1.33</v>
      </c>
      <c r="D626" s="10">
        <v>3</v>
      </c>
      <c r="E626" s="10">
        <v>16</v>
      </c>
      <c r="F626" s="10">
        <v>4</v>
      </c>
      <c r="G626" s="10">
        <v>0</v>
      </c>
      <c r="H626" s="10">
        <v>4</v>
      </c>
      <c r="I626" s="10">
        <v>3</v>
      </c>
      <c r="J626" s="10">
        <f>SUM(B626:I626)</f>
        <v>34.67</v>
      </c>
      <c r="K626">
        <v>2015</v>
      </c>
      <c r="L626">
        <v>9</v>
      </c>
      <c r="M626" s="11">
        <v>42248</v>
      </c>
      <c r="N626" t="s">
        <v>2181</v>
      </c>
      <c r="O626">
        <v>5</v>
      </c>
      <c r="P626" t="s">
        <v>55</v>
      </c>
      <c r="Q626" t="b">
        <v>1</v>
      </c>
    </row>
    <row r="627" spans="1:17">
      <c r="A627" s="12">
        <v>42266</v>
      </c>
      <c r="B627" s="10">
        <v>6.83</v>
      </c>
      <c r="C627" s="10">
        <v>0.99</v>
      </c>
      <c r="D627" s="10">
        <v>7</v>
      </c>
      <c r="E627" s="10">
        <v>37</v>
      </c>
      <c r="F627" s="10">
        <v>7</v>
      </c>
      <c r="G627" s="10">
        <v>0</v>
      </c>
      <c r="H627" s="10">
        <v>4</v>
      </c>
      <c r="I627" s="10">
        <v>5</v>
      </c>
      <c r="J627" s="10">
        <f>SUM(B627:I627)</f>
        <v>67.82</v>
      </c>
      <c r="K627">
        <v>2015</v>
      </c>
      <c r="L627">
        <v>9</v>
      </c>
      <c r="M627" s="11">
        <v>42248</v>
      </c>
      <c r="N627" t="s">
        <v>2181</v>
      </c>
      <c r="O627">
        <v>6</v>
      </c>
      <c r="P627" t="s">
        <v>57</v>
      </c>
      <c r="Q627" t="b">
        <v>1</v>
      </c>
    </row>
    <row r="628" spans="1:17">
      <c r="A628" s="12">
        <v>42267</v>
      </c>
      <c r="B628" s="10">
        <v>9.99</v>
      </c>
      <c r="C628" s="10">
        <v>3.99</v>
      </c>
      <c r="D628" s="10">
        <v>6.5</v>
      </c>
      <c r="E628" s="10">
        <v>28.9</v>
      </c>
      <c r="F628" s="10">
        <v>15</v>
      </c>
      <c r="G628" s="10">
        <v>0</v>
      </c>
      <c r="H628" s="10">
        <v>0</v>
      </c>
      <c r="I628" s="10">
        <v>2</v>
      </c>
      <c r="J628" s="10">
        <f>SUM(B628:I628)</f>
        <v>66.38</v>
      </c>
      <c r="K628">
        <v>2015</v>
      </c>
      <c r="L628">
        <v>9</v>
      </c>
      <c r="M628" s="11">
        <v>42248</v>
      </c>
      <c r="N628" t="s">
        <v>2181</v>
      </c>
      <c r="O628">
        <v>7</v>
      </c>
      <c r="P628" t="s">
        <v>59</v>
      </c>
      <c r="Q628" t="b">
        <v>1</v>
      </c>
    </row>
    <row r="629" spans="1:17">
      <c r="A629" s="12">
        <v>42268</v>
      </c>
      <c r="B629" s="10">
        <v>2</v>
      </c>
      <c r="C629" s="10">
        <v>10</v>
      </c>
      <c r="D629" s="10">
        <v>2</v>
      </c>
      <c r="E629" s="10">
        <v>46.7</v>
      </c>
      <c r="F629" s="10">
        <v>6</v>
      </c>
      <c r="G629" s="10">
        <v>0</v>
      </c>
      <c r="H629" s="10">
        <v>0</v>
      </c>
      <c r="I629" s="10">
        <v>2</v>
      </c>
      <c r="J629" s="10">
        <f>SUM(B629:I629)</f>
        <v>68.7</v>
      </c>
      <c r="K629">
        <v>2015</v>
      </c>
      <c r="L629">
        <v>9</v>
      </c>
      <c r="M629" s="11">
        <v>42248</v>
      </c>
      <c r="N629" t="s">
        <v>2181</v>
      </c>
      <c r="O629">
        <v>1</v>
      </c>
      <c r="P629" t="s">
        <v>61</v>
      </c>
      <c r="Q629" t="b">
        <v>1</v>
      </c>
    </row>
    <row r="630" spans="1:17">
      <c r="A630" s="12">
        <v>42269</v>
      </c>
      <c r="B630" s="10">
        <v>6.99</v>
      </c>
      <c r="C630" s="10">
        <v>1.33</v>
      </c>
      <c r="D630" s="10">
        <v>4</v>
      </c>
      <c r="E630" s="10">
        <v>19.5</v>
      </c>
      <c r="F630" s="10">
        <v>10</v>
      </c>
      <c r="G630" s="10">
        <v>2</v>
      </c>
      <c r="H630" s="10">
        <v>5</v>
      </c>
      <c r="I630" s="10">
        <v>5</v>
      </c>
      <c r="J630" s="10">
        <f>SUM(B630:I630)</f>
        <v>53.82</v>
      </c>
      <c r="K630">
        <v>2015</v>
      </c>
      <c r="L630">
        <v>9</v>
      </c>
      <c r="M630" s="11">
        <v>42248</v>
      </c>
      <c r="N630" t="s">
        <v>2181</v>
      </c>
      <c r="O630">
        <v>2</v>
      </c>
      <c r="P630" t="s">
        <v>63</v>
      </c>
      <c r="Q630" t="b">
        <v>1</v>
      </c>
    </row>
    <row r="631" spans="1:17">
      <c r="A631" s="12">
        <v>42270</v>
      </c>
      <c r="B631" s="10">
        <v>6.16</v>
      </c>
      <c r="C631" s="10">
        <v>4.056</v>
      </c>
      <c r="D631" s="10">
        <v>3.3</v>
      </c>
      <c r="E631" s="10">
        <v>34.65</v>
      </c>
      <c r="F631" s="10">
        <v>7</v>
      </c>
      <c r="G631" s="10">
        <v>0</v>
      </c>
      <c r="H631" s="10">
        <v>2</v>
      </c>
      <c r="I631" s="10">
        <v>1</v>
      </c>
      <c r="J631" s="10">
        <f>SUM(B631:I631)</f>
        <v>58.166</v>
      </c>
      <c r="K631">
        <v>2015</v>
      </c>
      <c r="L631">
        <v>9</v>
      </c>
      <c r="M631" s="11">
        <v>42248</v>
      </c>
      <c r="N631" t="s">
        <v>2181</v>
      </c>
      <c r="O631">
        <v>3</v>
      </c>
      <c r="P631" t="s">
        <v>65</v>
      </c>
      <c r="Q631" t="b">
        <v>1</v>
      </c>
    </row>
    <row r="632" spans="1:17">
      <c r="A632" s="12">
        <v>42271</v>
      </c>
      <c r="B632" s="10">
        <v>2.99</v>
      </c>
      <c r="C632" s="10">
        <v>4.34</v>
      </c>
      <c r="D632" s="10">
        <v>4.2</v>
      </c>
      <c r="E632" s="10">
        <v>37.6</v>
      </c>
      <c r="F632" s="10">
        <v>7</v>
      </c>
      <c r="G632" s="10">
        <v>0</v>
      </c>
      <c r="H632" s="10">
        <v>0</v>
      </c>
      <c r="I632" s="10">
        <v>0</v>
      </c>
      <c r="J632" s="10">
        <f>SUM(B632:I632)</f>
        <v>56.13</v>
      </c>
      <c r="K632">
        <v>2015</v>
      </c>
      <c r="L632">
        <v>9</v>
      </c>
      <c r="M632" s="11">
        <v>42248</v>
      </c>
      <c r="N632" t="s">
        <v>2181</v>
      </c>
      <c r="O632">
        <v>4</v>
      </c>
      <c r="P632" t="s">
        <v>53</v>
      </c>
      <c r="Q632" t="b">
        <v>1</v>
      </c>
    </row>
    <row r="633" spans="1:17">
      <c r="A633" s="12">
        <v>42272</v>
      </c>
      <c r="B633" s="10">
        <v>4.83</v>
      </c>
      <c r="C633" s="10">
        <v>4.98</v>
      </c>
      <c r="D633" s="10">
        <v>5.2</v>
      </c>
      <c r="E633" s="10">
        <v>25.2</v>
      </c>
      <c r="F633" s="10">
        <v>11</v>
      </c>
      <c r="G633" s="10">
        <v>0</v>
      </c>
      <c r="H633" s="10">
        <v>1</v>
      </c>
      <c r="I633" s="10">
        <v>3</v>
      </c>
      <c r="J633" s="10">
        <f>SUM(B633:I633)</f>
        <v>55.21</v>
      </c>
      <c r="K633">
        <v>2015</v>
      </c>
      <c r="L633">
        <v>9</v>
      </c>
      <c r="M633" s="11">
        <v>42248</v>
      </c>
      <c r="N633" t="s">
        <v>2181</v>
      </c>
      <c r="O633">
        <v>5</v>
      </c>
      <c r="P633" t="s">
        <v>55</v>
      </c>
      <c r="Q633" t="b">
        <v>1</v>
      </c>
    </row>
    <row r="634" spans="1:17">
      <c r="A634" s="12">
        <v>42273</v>
      </c>
      <c r="B634" s="10">
        <v>12.42</v>
      </c>
      <c r="C634" s="10">
        <v>3.33</v>
      </c>
      <c r="D634" s="10">
        <v>2.5</v>
      </c>
      <c r="E634" s="10">
        <v>33</v>
      </c>
      <c r="F634" s="10">
        <v>6</v>
      </c>
      <c r="G634" s="10">
        <v>1</v>
      </c>
      <c r="H634" s="10">
        <v>7</v>
      </c>
      <c r="I634" s="10">
        <v>2</v>
      </c>
      <c r="J634" s="10">
        <f>SUM(B634:I634)</f>
        <v>67.25</v>
      </c>
      <c r="K634">
        <v>2015</v>
      </c>
      <c r="L634">
        <v>9</v>
      </c>
      <c r="M634" s="11">
        <v>42248</v>
      </c>
      <c r="N634" t="s">
        <v>2181</v>
      </c>
      <c r="O634">
        <v>6</v>
      </c>
      <c r="P634" t="s">
        <v>57</v>
      </c>
      <c r="Q634" t="b">
        <v>1</v>
      </c>
    </row>
    <row r="635" spans="1:17">
      <c r="A635" s="12">
        <v>42274</v>
      </c>
      <c r="B635" s="10">
        <v>5.83</v>
      </c>
      <c r="C635" s="10">
        <v>3</v>
      </c>
      <c r="D635" s="10">
        <v>2.3</v>
      </c>
      <c r="E635" s="10">
        <v>10.425</v>
      </c>
      <c r="F635" s="10">
        <v>3</v>
      </c>
      <c r="G635" s="10">
        <v>1</v>
      </c>
      <c r="H635" s="10">
        <v>2</v>
      </c>
      <c r="I635" s="10">
        <v>1</v>
      </c>
      <c r="J635" s="10">
        <f>SUM(B635:I635)</f>
        <v>28.555</v>
      </c>
      <c r="K635">
        <v>2015</v>
      </c>
      <c r="L635">
        <v>9</v>
      </c>
      <c r="M635" s="11">
        <v>42248</v>
      </c>
      <c r="N635" t="s">
        <v>2181</v>
      </c>
      <c r="O635">
        <v>7</v>
      </c>
      <c r="P635" t="s">
        <v>59</v>
      </c>
      <c r="Q635" t="b">
        <v>1</v>
      </c>
    </row>
    <row r="636" spans="1:17">
      <c r="A636" s="12">
        <v>42275</v>
      </c>
      <c r="B636" s="10">
        <v>1</v>
      </c>
      <c r="C636" s="10">
        <v>1.33</v>
      </c>
      <c r="D636" s="10">
        <v>2</v>
      </c>
      <c r="E636" s="10">
        <v>15.4</v>
      </c>
      <c r="F636" s="10">
        <v>8</v>
      </c>
      <c r="G636" s="10">
        <v>0</v>
      </c>
      <c r="H636" s="10">
        <v>17</v>
      </c>
      <c r="I636" s="10">
        <v>2</v>
      </c>
      <c r="J636" s="10">
        <f>SUM(B636:I636)</f>
        <v>46.730000000000004</v>
      </c>
      <c r="K636">
        <v>2015</v>
      </c>
      <c r="L636">
        <v>9</v>
      </c>
      <c r="M636" s="11">
        <v>42248</v>
      </c>
      <c r="N636" t="s">
        <v>2181</v>
      </c>
      <c r="O636">
        <v>1</v>
      </c>
      <c r="P636" t="s">
        <v>61</v>
      </c>
      <c r="Q636" t="b">
        <v>1</v>
      </c>
    </row>
    <row r="637" spans="1:17">
      <c r="A637" s="12">
        <v>42276</v>
      </c>
      <c r="B637" s="10">
        <v>6.33</v>
      </c>
      <c r="C637" s="10">
        <v>4.363</v>
      </c>
      <c r="D637" s="10">
        <v>1</v>
      </c>
      <c r="E637" s="10">
        <v>39.7</v>
      </c>
      <c r="F637" s="10">
        <v>7</v>
      </c>
      <c r="G637" s="10">
        <v>0</v>
      </c>
      <c r="H637" s="10">
        <v>0</v>
      </c>
      <c r="I637" s="10">
        <v>0</v>
      </c>
      <c r="J637" s="10">
        <f>SUM(B637:I637)</f>
        <v>58.393</v>
      </c>
      <c r="K637">
        <v>2015</v>
      </c>
      <c r="L637">
        <v>9</v>
      </c>
      <c r="M637" s="11">
        <v>42248</v>
      </c>
      <c r="N637" t="s">
        <v>2181</v>
      </c>
      <c r="O637">
        <v>2</v>
      </c>
      <c r="P637" t="s">
        <v>63</v>
      </c>
      <c r="Q637" t="b">
        <v>1</v>
      </c>
    </row>
    <row r="638" spans="1:17">
      <c r="A638" s="12">
        <v>42277</v>
      </c>
      <c r="B638" s="10">
        <v>5.32</v>
      </c>
      <c r="C638" s="10">
        <v>4.33</v>
      </c>
      <c r="D638" s="10">
        <v>4</v>
      </c>
      <c r="E638" s="10">
        <v>22.5</v>
      </c>
      <c r="F638" s="10">
        <v>9</v>
      </c>
      <c r="G638" s="10">
        <v>0</v>
      </c>
      <c r="H638" s="10">
        <v>0</v>
      </c>
      <c r="I638" s="10">
        <v>1</v>
      </c>
      <c r="J638" s="10">
        <f>SUM(B638:I638)</f>
        <v>46.15</v>
      </c>
      <c r="K638">
        <v>2015</v>
      </c>
      <c r="L638">
        <v>9</v>
      </c>
      <c r="M638" s="11">
        <v>42248</v>
      </c>
      <c r="N638" t="s">
        <v>2181</v>
      </c>
      <c r="O638">
        <v>3</v>
      </c>
      <c r="P638" t="s">
        <v>65</v>
      </c>
      <c r="Q638" t="b">
        <v>1</v>
      </c>
    </row>
    <row r="639" spans="1:17">
      <c r="A639" s="12">
        <v>42278</v>
      </c>
      <c r="B639" s="10">
        <v>9.66</v>
      </c>
      <c r="C639" s="10">
        <v>5.99</v>
      </c>
      <c r="D639" s="10">
        <v>4</v>
      </c>
      <c r="E639" s="10">
        <v>34.562</v>
      </c>
      <c r="F639" s="10">
        <v>2</v>
      </c>
      <c r="G639" s="10">
        <v>0</v>
      </c>
      <c r="H639" s="10">
        <v>5</v>
      </c>
      <c r="I639" s="10">
        <v>2</v>
      </c>
      <c r="J639" s="10">
        <f>SUM(B639:I639)</f>
        <v>63.211999999999996</v>
      </c>
      <c r="K639">
        <v>2015</v>
      </c>
      <c r="L639">
        <v>10</v>
      </c>
      <c r="M639" s="11">
        <v>42278</v>
      </c>
      <c r="N639" t="s">
        <v>2182</v>
      </c>
      <c r="O639">
        <v>4</v>
      </c>
      <c r="P639" t="s">
        <v>53</v>
      </c>
      <c r="Q639" t="b">
        <v>1</v>
      </c>
    </row>
    <row r="640" spans="1:17">
      <c r="A640" s="12">
        <v>42279</v>
      </c>
      <c r="B640" s="10">
        <v>5</v>
      </c>
      <c r="C640" s="10">
        <v>4.726</v>
      </c>
      <c r="D640" s="10">
        <v>4</v>
      </c>
      <c r="E640" s="10">
        <v>37.3</v>
      </c>
      <c r="F640" s="10">
        <v>5</v>
      </c>
      <c r="G640" s="10">
        <v>0</v>
      </c>
      <c r="H640" s="10">
        <v>5</v>
      </c>
      <c r="I640" s="10">
        <v>1</v>
      </c>
      <c r="J640" s="10">
        <f>SUM(B640:I640)</f>
        <v>62.025999999999996</v>
      </c>
      <c r="K640">
        <v>2015</v>
      </c>
      <c r="L640">
        <v>10</v>
      </c>
      <c r="M640" s="11">
        <v>42278</v>
      </c>
      <c r="N640" t="s">
        <v>2182</v>
      </c>
      <c r="O640">
        <v>5</v>
      </c>
      <c r="P640" t="s">
        <v>55</v>
      </c>
      <c r="Q640" t="b">
        <v>1</v>
      </c>
    </row>
    <row r="641" spans="1:17">
      <c r="A641" s="12">
        <v>42280</v>
      </c>
      <c r="B641" s="10">
        <v>10.34</v>
      </c>
      <c r="C641" s="10">
        <v>5.34</v>
      </c>
      <c r="D641" s="10">
        <v>3</v>
      </c>
      <c r="E641" s="10">
        <v>37.2</v>
      </c>
      <c r="F641" s="10">
        <v>7</v>
      </c>
      <c r="G641" s="10">
        <v>0</v>
      </c>
      <c r="H641" s="10">
        <v>7</v>
      </c>
      <c r="I641" s="10">
        <v>2</v>
      </c>
      <c r="J641" s="10">
        <f>SUM(B641:I641)</f>
        <v>71.88</v>
      </c>
      <c r="K641">
        <v>2015</v>
      </c>
      <c r="L641">
        <v>10</v>
      </c>
      <c r="M641" s="11">
        <v>42278</v>
      </c>
      <c r="N641" t="s">
        <v>2182</v>
      </c>
      <c r="O641">
        <v>6</v>
      </c>
      <c r="P641" t="s">
        <v>57</v>
      </c>
      <c r="Q641" t="b">
        <v>1</v>
      </c>
    </row>
    <row r="642" spans="1:17">
      <c r="A642" s="12">
        <v>42281</v>
      </c>
      <c r="B642" s="10">
        <v>7</v>
      </c>
      <c r="C642" s="10">
        <v>4</v>
      </c>
      <c r="D642" s="10">
        <v>4</v>
      </c>
      <c r="E642" s="10">
        <v>59</v>
      </c>
      <c r="F642" s="10">
        <v>3</v>
      </c>
      <c r="G642" s="10">
        <v>0</v>
      </c>
      <c r="H642" s="10">
        <v>16</v>
      </c>
      <c r="I642" s="10">
        <v>2</v>
      </c>
      <c r="J642" s="10">
        <f>SUM(B642:I642)</f>
        <v>95.0</v>
      </c>
      <c r="K642">
        <v>2015</v>
      </c>
      <c r="L642">
        <v>10</v>
      </c>
      <c r="M642" s="11">
        <v>42278</v>
      </c>
      <c r="N642" t="s">
        <v>2182</v>
      </c>
      <c r="O642">
        <v>7</v>
      </c>
      <c r="P642" t="s">
        <v>59</v>
      </c>
      <c r="Q642" t="b">
        <v>1</v>
      </c>
    </row>
    <row r="643" spans="1:17">
      <c r="A643" s="12">
        <v>42282</v>
      </c>
      <c r="B643" s="10">
        <v>5</v>
      </c>
      <c r="C643" s="10">
        <v>2.373</v>
      </c>
      <c r="D643" s="10">
        <v>2.2</v>
      </c>
      <c r="E643" s="10">
        <v>70.95</v>
      </c>
      <c r="F643" s="10">
        <v>11</v>
      </c>
      <c r="G643" s="10">
        <v>1</v>
      </c>
      <c r="H643" s="10">
        <v>7</v>
      </c>
      <c r="I643" s="10">
        <v>5</v>
      </c>
      <c r="J643" s="10">
        <f>SUM(B643:I643)</f>
        <v>104.523</v>
      </c>
      <c r="K643">
        <v>2015</v>
      </c>
      <c r="L643">
        <v>10</v>
      </c>
      <c r="M643" s="11">
        <v>42278</v>
      </c>
      <c r="N643" t="s">
        <v>2182</v>
      </c>
      <c r="O643">
        <v>1</v>
      </c>
      <c r="P643" t="s">
        <v>61</v>
      </c>
      <c r="Q643" t="b">
        <v>1</v>
      </c>
    </row>
    <row r="644" spans="1:17">
      <c r="A644" s="12">
        <v>42283</v>
      </c>
      <c r="B644" s="10">
        <v>5.69</v>
      </c>
      <c r="C644" s="10">
        <v>3.66</v>
      </c>
      <c r="D644" s="10">
        <v>5.5</v>
      </c>
      <c r="E644" s="10">
        <v>42.725</v>
      </c>
      <c r="F644" s="10">
        <v>9</v>
      </c>
      <c r="G644" s="10">
        <v>1</v>
      </c>
      <c r="H644" s="10">
        <v>5</v>
      </c>
      <c r="I644" s="10">
        <v>4</v>
      </c>
      <c r="J644" s="10">
        <f>SUM(B644:I644)</f>
        <v>76.575</v>
      </c>
      <c r="K644">
        <v>2015</v>
      </c>
      <c r="L644">
        <v>10</v>
      </c>
      <c r="M644" s="11">
        <v>42278</v>
      </c>
      <c r="N644" t="s">
        <v>2182</v>
      </c>
      <c r="O644">
        <v>2</v>
      </c>
      <c r="P644" t="s">
        <v>63</v>
      </c>
      <c r="Q644" t="b">
        <v>1</v>
      </c>
    </row>
    <row r="645" spans="1:17">
      <c r="A645" s="12">
        <v>42284</v>
      </c>
      <c r="B645" s="10">
        <v>7.33</v>
      </c>
      <c r="C645" s="10">
        <v>2.66</v>
      </c>
      <c r="D645" s="10">
        <v>6</v>
      </c>
      <c r="E645" s="10">
        <v>44.3</v>
      </c>
      <c r="F645" s="10">
        <v>8</v>
      </c>
      <c r="G645" s="10">
        <v>0</v>
      </c>
      <c r="H645" s="10">
        <v>5</v>
      </c>
      <c r="I645" s="10">
        <v>2</v>
      </c>
      <c r="J645" s="10">
        <f>SUM(B645:I645)</f>
        <v>75.28999999999999</v>
      </c>
      <c r="K645">
        <v>2015</v>
      </c>
      <c r="L645">
        <v>10</v>
      </c>
      <c r="M645" s="11">
        <v>42278</v>
      </c>
      <c r="N645" t="s">
        <v>2182</v>
      </c>
      <c r="O645">
        <v>3</v>
      </c>
      <c r="P645" t="s">
        <v>65</v>
      </c>
      <c r="Q645" t="b">
        <v>1</v>
      </c>
    </row>
    <row r="646" spans="1:17">
      <c r="A646" s="12">
        <v>42285</v>
      </c>
      <c r="B646" s="10">
        <v>8.82</v>
      </c>
      <c r="C646" s="10">
        <v>4.33</v>
      </c>
      <c r="D646" s="10">
        <v>3</v>
      </c>
      <c r="E646" s="10">
        <v>30.7</v>
      </c>
      <c r="F646" s="10">
        <v>5</v>
      </c>
      <c r="G646" s="10">
        <v>0</v>
      </c>
      <c r="H646" s="10">
        <v>20</v>
      </c>
      <c r="I646" s="10">
        <v>0</v>
      </c>
      <c r="J646" s="10">
        <f>SUM(B646:I646)</f>
        <v>71.85</v>
      </c>
      <c r="K646">
        <v>2015</v>
      </c>
      <c r="L646">
        <v>10</v>
      </c>
      <c r="M646" s="11">
        <v>42278</v>
      </c>
      <c r="N646" t="s">
        <v>2182</v>
      </c>
      <c r="O646">
        <v>4</v>
      </c>
      <c r="P646" t="s">
        <v>53</v>
      </c>
      <c r="Q646" t="b">
        <v>1</v>
      </c>
    </row>
    <row r="647" spans="1:17">
      <c r="A647" s="12">
        <v>42286</v>
      </c>
      <c r="B647" s="10">
        <v>2</v>
      </c>
      <c r="C647" s="10">
        <v>2.769</v>
      </c>
      <c r="D647" s="10">
        <v>7.6</v>
      </c>
      <c r="E647" s="10">
        <v>28.062</v>
      </c>
      <c r="F647" s="10">
        <v>13</v>
      </c>
      <c r="G647" s="10">
        <v>2</v>
      </c>
      <c r="H647" s="10">
        <v>10</v>
      </c>
      <c r="I647" s="10">
        <v>2</v>
      </c>
      <c r="J647" s="10">
        <f>SUM(B647:I647)</f>
        <v>67.431</v>
      </c>
      <c r="K647">
        <v>2015</v>
      </c>
      <c r="L647">
        <v>10</v>
      </c>
      <c r="M647" s="11">
        <v>42278</v>
      </c>
      <c r="N647" t="s">
        <v>2182</v>
      </c>
      <c r="O647">
        <v>5</v>
      </c>
      <c r="P647" t="s">
        <v>55</v>
      </c>
      <c r="Q647" t="b">
        <v>1</v>
      </c>
    </row>
    <row r="648" spans="1:17">
      <c r="A648" s="12">
        <v>42287</v>
      </c>
      <c r="B648" s="10">
        <v>6.16</v>
      </c>
      <c r="C648" s="10">
        <v>5.66</v>
      </c>
      <c r="D648" s="10">
        <v>3</v>
      </c>
      <c r="E648" s="10">
        <v>46.3</v>
      </c>
      <c r="F648" s="10">
        <v>19.5</v>
      </c>
      <c r="G648" s="10">
        <v>0</v>
      </c>
      <c r="H648" s="10">
        <v>1</v>
      </c>
      <c r="I648" s="10">
        <v>0</v>
      </c>
      <c r="J648" s="10">
        <f>SUM(B648:I648)</f>
        <v>81.62</v>
      </c>
      <c r="K648">
        <v>2015</v>
      </c>
      <c r="L648">
        <v>10</v>
      </c>
      <c r="M648" s="11">
        <v>42278</v>
      </c>
      <c r="N648" t="s">
        <v>2182</v>
      </c>
      <c r="O648">
        <v>6</v>
      </c>
      <c r="P648" t="s">
        <v>57</v>
      </c>
      <c r="Q648" t="b">
        <v>1</v>
      </c>
    </row>
    <row r="649" spans="1:17">
      <c r="A649" s="12">
        <v>42288</v>
      </c>
      <c r="B649" s="10">
        <v>10.33</v>
      </c>
      <c r="C649" s="10">
        <v>2.792</v>
      </c>
      <c r="D649" s="10">
        <v>7.1</v>
      </c>
      <c r="E649" s="10">
        <v>70.3</v>
      </c>
      <c r="F649" s="10">
        <v>8</v>
      </c>
      <c r="G649" s="10">
        <v>0</v>
      </c>
      <c r="H649" s="10">
        <v>3</v>
      </c>
      <c r="I649" s="10">
        <v>5</v>
      </c>
      <c r="J649" s="10">
        <f>SUM(B649:I649)</f>
        <v>106.52199999999999</v>
      </c>
      <c r="K649">
        <v>2015</v>
      </c>
      <c r="L649">
        <v>10</v>
      </c>
      <c r="M649" s="11">
        <v>42278</v>
      </c>
      <c r="N649" t="s">
        <v>2182</v>
      </c>
      <c r="O649">
        <v>7</v>
      </c>
      <c r="P649" t="s">
        <v>59</v>
      </c>
      <c r="Q649" t="b">
        <v>1</v>
      </c>
    </row>
    <row r="650" spans="1:17">
      <c r="A650" s="12">
        <v>42289</v>
      </c>
      <c r="B650" s="10">
        <v>9.66</v>
      </c>
      <c r="C650" s="10">
        <v>7.33</v>
      </c>
      <c r="D650" s="10">
        <v>6</v>
      </c>
      <c r="E650" s="10">
        <v>68.84999999999999</v>
      </c>
      <c r="F650" s="10">
        <v>12</v>
      </c>
      <c r="G650" s="10">
        <v>0</v>
      </c>
      <c r="H650" s="10">
        <v>5</v>
      </c>
      <c r="I650" s="10">
        <v>3</v>
      </c>
      <c r="J650" s="10">
        <f>SUM(B650:I650)</f>
        <v>111.84</v>
      </c>
      <c r="K650">
        <v>2015</v>
      </c>
      <c r="L650">
        <v>10</v>
      </c>
      <c r="M650" s="11">
        <v>42278</v>
      </c>
      <c r="N650" t="s">
        <v>2182</v>
      </c>
      <c r="O650">
        <v>1</v>
      </c>
      <c r="P650" t="s">
        <v>61</v>
      </c>
      <c r="Q650" t="b">
        <v>1</v>
      </c>
    </row>
    <row r="651" spans="1:17">
      <c r="A651" s="12">
        <v>42290</v>
      </c>
      <c r="B651" s="10">
        <v>3.83</v>
      </c>
      <c r="C651" s="10">
        <v>7</v>
      </c>
      <c r="D651" s="10">
        <v>5.2</v>
      </c>
      <c r="E651" s="10">
        <v>63.8</v>
      </c>
      <c r="F651" s="10">
        <v>5.5</v>
      </c>
      <c r="G651" s="10">
        <v>0</v>
      </c>
      <c r="H651" s="10">
        <v>5</v>
      </c>
      <c r="I651" s="10">
        <v>1</v>
      </c>
      <c r="J651" s="10">
        <f>SUM(B651:I651)</f>
        <v>91.33</v>
      </c>
      <c r="K651">
        <v>2015</v>
      </c>
      <c r="L651">
        <v>10</v>
      </c>
      <c r="M651" s="11">
        <v>42278</v>
      </c>
      <c r="N651" t="s">
        <v>2182</v>
      </c>
      <c r="O651">
        <v>2</v>
      </c>
      <c r="P651" t="s">
        <v>63</v>
      </c>
      <c r="Q651" t="b">
        <v>1</v>
      </c>
    </row>
    <row r="652" spans="1:17">
      <c r="A652" s="12">
        <v>42291</v>
      </c>
      <c r="B652" s="10">
        <v>4.66</v>
      </c>
      <c r="C652" s="10">
        <v>7.33</v>
      </c>
      <c r="D652" s="10">
        <v>3.9</v>
      </c>
      <c r="E652" s="10">
        <v>38.6</v>
      </c>
      <c r="F652" s="10">
        <v>7</v>
      </c>
      <c r="G652" s="10">
        <v>0</v>
      </c>
      <c r="H652" s="10">
        <v>0</v>
      </c>
      <c r="I652" s="10">
        <v>1</v>
      </c>
      <c r="J652" s="10">
        <f>SUM(B652:I652)</f>
        <v>62.49</v>
      </c>
      <c r="K652">
        <v>2015</v>
      </c>
      <c r="L652">
        <v>10</v>
      </c>
      <c r="M652" s="11">
        <v>42278</v>
      </c>
      <c r="N652" t="s">
        <v>2182</v>
      </c>
      <c r="O652">
        <v>3</v>
      </c>
      <c r="P652" t="s">
        <v>65</v>
      </c>
      <c r="Q652" t="b">
        <v>1</v>
      </c>
    </row>
    <row r="653" spans="1:17">
      <c r="A653" s="12">
        <v>42292</v>
      </c>
      <c r="B653" s="10">
        <v>5.16</v>
      </c>
      <c r="C653" s="10">
        <v>5.726</v>
      </c>
      <c r="D653" s="10">
        <v>7.3</v>
      </c>
      <c r="E653" s="10">
        <v>64.724</v>
      </c>
      <c r="F653" s="10">
        <v>4</v>
      </c>
      <c r="G653" s="10">
        <v>0</v>
      </c>
      <c r="H653" s="10">
        <v>9</v>
      </c>
      <c r="I653" s="10">
        <v>1</v>
      </c>
      <c r="J653" s="10">
        <f>SUM(B653:I653)</f>
        <v>96.91</v>
      </c>
      <c r="K653">
        <v>2015</v>
      </c>
      <c r="L653">
        <v>10</v>
      </c>
      <c r="M653" s="11">
        <v>42278</v>
      </c>
      <c r="N653" t="s">
        <v>2182</v>
      </c>
      <c r="O653">
        <v>4</v>
      </c>
      <c r="P653" t="s">
        <v>53</v>
      </c>
      <c r="Q653" t="b">
        <v>1</v>
      </c>
    </row>
    <row r="654" spans="1:17">
      <c r="A654" s="12">
        <v>42293</v>
      </c>
      <c r="B654" s="10">
        <v>1.67</v>
      </c>
      <c r="C654" s="10">
        <v>3.33</v>
      </c>
      <c r="D654" s="10">
        <v>5.2</v>
      </c>
      <c r="E654" s="10">
        <v>57.3</v>
      </c>
      <c r="F654" s="10">
        <v>2</v>
      </c>
      <c r="G654" s="10">
        <v>0</v>
      </c>
      <c r="H654" s="10">
        <v>5</v>
      </c>
      <c r="I654" s="10">
        <v>1</v>
      </c>
      <c r="J654" s="10">
        <f>SUM(B654:I654)</f>
        <v>75.5</v>
      </c>
      <c r="K654">
        <v>2015</v>
      </c>
      <c r="L654">
        <v>10</v>
      </c>
      <c r="M654" s="11">
        <v>42278</v>
      </c>
      <c r="N654" t="s">
        <v>2182</v>
      </c>
      <c r="O654">
        <v>5</v>
      </c>
      <c r="P654" t="s">
        <v>55</v>
      </c>
      <c r="Q654" t="b">
        <v>1</v>
      </c>
    </row>
    <row r="655" spans="1:17">
      <c r="A655" s="12">
        <v>42294</v>
      </c>
      <c r="B655" s="10">
        <v>10.34</v>
      </c>
      <c r="C655" s="10">
        <v>2.837</v>
      </c>
      <c r="D655" s="10">
        <v>3.4</v>
      </c>
      <c r="E655" s="10">
        <v>74.3</v>
      </c>
      <c r="F655" s="10">
        <v>8</v>
      </c>
      <c r="G655" s="10">
        <v>0</v>
      </c>
      <c r="H655" s="10">
        <v>0</v>
      </c>
      <c r="I655" s="10">
        <v>1</v>
      </c>
      <c r="J655" s="10">
        <f>SUM(B655:I655)</f>
        <v>99.877</v>
      </c>
      <c r="K655">
        <v>2015</v>
      </c>
      <c r="L655">
        <v>10</v>
      </c>
      <c r="M655" s="11">
        <v>42278</v>
      </c>
      <c r="N655" t="s">
        <v>2182</v>
      </c>
      <c r="O655">
        <v>6</v>
      </c>
      <c r="P655" t="s">
        <v>57</v>
      </c>
      <c r="Q655" t="b">
        <v>1</v>
      </c>
    </row>
    <row r="656" spans="1:17">
      <c r="A656" s="12">
        <v>42295</v>
      </c>
      <c r="B656" s="10">
        <v>7.34</v>
      </c>
      <c r="C656" s="10">
        <v>6.54</v>
      </c>
      <c r="D656" s="10">
        <v>4.9</v>
      </c>
      <c r="E656" s="10">
        <v>55.6</v>
      </c>
      <c r="F656" s="10">
        <v>3</v>
      </c>
      <c r="G656" s="10">
        <v>1</v>
      </c>
      <c r="H656" s="10">
        <v>8</v>
      </c>
      <c r="I656" s="10">
        <v>8</v>
      </c>
      <c r="J656" s="10">
        <f>SUM(B656:I656)</f>
        <v>94.38</v>
      </c>
      <c r="K656">
        <v>2015</v>
      </c>
      <c r="L656">
        <v>10</v>
      </c>
      <c r="M656" s="11">
        <v>42278</v>
      </c>
      <c r="N656" t="s">
        <v>2182</v>
      </c>
      <c r="O656">
        <v>7</v>
      </c>
      <c r="P656" t="s">
        <v>59</v>
      </c>
      <c r="Q656" t="b">
        <v>1</v>
      </c>
    </row>
    <row r="657" spans="1:17">
      <c r="A657" s="12">
        <v>42296</v>
      </c>
      <c r="B657" s="10">
        <v>12</v>
      </c>
      <c r="C657" s="10">
        <v>3.802</v>
      </c>
      <c r="D657" s="10">
        <v>3</v>
      </c>
      <c r="E657" s="10">
        <v>62.6</v>
      </c>
      <c r="F657" s="10">
        <v>3</v>
      </c>
      <c r="G657" s="10">
        <v>0</v>
      </c>
      <c r="H657" s="10">
        <v>17</v>
      </c>
      <c r="I657" s="10">
        <v>0</v>
      </c>
      <c r="J657" s="10">
        <f>SUM(B657:I657)</f>
        <v>101.402</v>
      </c>
      <c r="K657">
        <v>2015</v>
      </c>
      <c r="L657">
        <v>10</v>
      </c>
      <c r="M657" s="11">
        <v>42278</v>
      </c>
      <c r="N657" t="s">
        <v>2182</v>
      </c>
      <c r="O657">
        <v>1</v>
      </c>
      <c r="P657" t="s">
        <v>61</v>
      </c>
      <c r="Q657" t="b">
        <v>1</v>
      </c>
    </row>
    <row r="658" spans="1:17">
      <c r="A658" s="12">
        <v>42297</v>
      </c>
      <c r="B658" s="10">
        <v>3.34</v>
      </c>
      <c r="C658" s="10">
        <v>1.99</v>
      </c>
      <c r="D658" s="10">
        <v>2.3</v>
      </c>
      <c r="E658" s="10">
        <v>44.7</v>
      </c>
      <c r="F658" s="10">
        <v>6</v>
      </c>
      <c r="G658" s="10">
        <v>0</v>
      </c>
      <c r="H658" s="10">
        <v>10</v>
      </c>
      <c r="I658" s="10">
        <v>5</v>
      </c>
      <c r="J658" s="10">
        <f>SUM(B658:I658)</f>
        <v>73.33000000000001</v>
      </c>
      <c r="K658">
        <v>2015</v>
      </c>
      <c r="L658">
        <v>10</v>
      </c>
      <c r="M658" s="11">
        <v>42278</v>
      </c>
      <c r="N658" t="s">
        <v>2182</v>
      </c>
      <c r="O658">
        <v>2</v>
      </c>
      <c r="P658" t="s">
        <v>63</v>
      </c>
      <c r="Q658" t="b">
        <v>1</v>
      </c>
    </row>
    <row r="659" spans="1:17">
      <c r="A659" s="12">
        <v>42298</v>
      </c>
      <c r="B659" s="10">
        <v>8.66</v>
      </c>
      <c r="C659" s="10">
        <v>2.363</v>
      </c>
      <c r="D659" s="10">
        <v>3.2</v>
      </c>
      <c r="E659" s="10">
        <v>36.8</v>
      </c>
      <c r="F659" s="10">
        <v>9</v>
      </c>
      <c r="G659" s="10">
        <v>1</v>
      </c>
      <c r="H659" s="10">
        <v>1</v>
      </c>
      <c r="I659" s="10">
        <v>4</v>
      </c>
      <c r="J659" s="10">
        <f>SUM(B659:I659)</f>
        <v>66.023</v>
      </c>
      <c r="K659">
        <v>2015</v>
      </c>
      <c r="L659">
        <v>10</v>
      </c>
      <c r="M659" s="11">
        <v>42278</v>
      </c>
      <c r="N659" t="s">
        <v>2182</v>
      </c>
      <c r="O659">
        <v>3</v>
      </c>
      <c r="P659" t="s">
        <v>65</v>
      </c>
      <c r="Q659" t="b">
        <v>1</v>
      </c>
    </row>
    <row r="660" spans="1:17">
      <c r="A660" s="12">
        <v>42299</v>
      </c>
      <c r="B660" s="10">
        <v>4.33</v>
      </c>
      <c r="C660" s="10">
        <v>0.34</v>
      </c>
      <c r="D660" s="10">
        <v>0</v>
      </c>
      <c r="E660" s="10">
        <v>35.262</v>
      </c>
      <c r="F660" s="10">
        <v>9</v>
      </c>
      <c r="G660" s="10">
        <v>0</v>
      </c>
      <c r="H660" s="10">
        <v>2</v>
      </c>
      <c r="I660" s="10">
        <v>2</v>
      </c>
      <c r="J660" s="10">
        <f>SUM(B660:I660)</f>
        <v>52.932</v>
      </c>
      <c r="K660">
        <v>2015</v>
      </c>
      <c r="L660">
        <v>10</v>
      </c>
      <c r="M660" s="11">
        <v>42278</v>
      </c>
      <c r="N660" t="s">
        <v>2182</v>
      </c>
      <c r="O660">
        <v>4</v>
      </c>
      <c r="P660" t="s">
        <v>53</v>
      </c>
      <c r="Q660" t="b">
        <v>1</v>
      </c>
    </row>
    <row r="661" spans="1:17">
      <c r="A661" s="12">
        <v>42300</v>
      </c>
      <c r="B661" s="10">
        <v>7</v>
      </c>
      <c r="C661" s="10">
        <v>1.66</v>
      </c>
      <c r="D661" s="10">
        <v>10.2</v>
      </c>
      <c r="E661" s="10">
        <v>41.4</v>
      </c>
      <c r="F661" s="10">
        <v>3</v>
      </c>
      <c r="G661" s="10">
        <v>0</v>
      </c>
      <c r="H661" s="10">
        <v>6</v>
      </c>
      <c r="I661" s="10">
        <v>2</v>
      </c>
      <c r="J661" s="10">
        <f>SUM(B661:I661)</f>
        <v>71.25999999999999</v>
      </c>
      <c r="K661">
        <v>2015</v>
      </c>
      <c r="L661">
        <v>10</v>
      </c>
      <c r="M661" s="11">
        <v>42278</v>
      </c>
      <c r="N661" t="s">
        <v>2182</v>
      </c>
      <c r="O661">
        <v>5</v>
      </c>
      <c r="P661" t="s">
        <v>55</v>
      </c>
      <c r="Q661" t="b">
        <v>1</v>
      </c>
    </row>
    <row r="662" spans="1:17">
      <c r="A662" s="12">
        <v>42301</v>
      </c>
      <c r="B662" s="10">
        <v>9.84</v>
      </c>
      <c r="C662" s="10">
        <v>8.35</v>
      </c>
      <c r="D662" s="10">
        <v>9.1</v>
      </c>
      <c r="E662" s="10">
        <v>67.40000000000001</v>
      </c>
      <c r="F662" s="10">
        <v>8</v>
      </c>
      <c r="G662" s="10">
        <v>0</v>
      </c>
      <c r="H662" s="10">
        <v>4</v>
      </c>
      <c r="I662" s="10">
        <v>2</v>
      </c>
      <c r="J662" s="10">
        <f>SUM(B662:I662)</f>
        <v>108.69</v>
      </c>
      <c r="K662">
        <v>2015</v>
      </c>
      <c r="L662">
        <v>10</v>
      </c>
      <c r="M662" s="11">
        <v>42278</v>
      </c>
      <c r="N662" t="s">
        <v>2182</v>
      </c>
      <c r="O662">
        <v>6</v>
      </c>
      <c r="P662" t="s">
        <v>57</v>
      </c>
      <c r="Q662" t="b">
        <v>1</v>
      </c>
    </row>
    <row r="663" spans="1:17">
      <c r="A663" s="12">
        <v>42302</v>
      </c>
      <c r="B663" s="10">
        <v>3</v>
      </c>
      <c r="C663" s="10">
        <v>3.33</v>
      </c>
      <c r="D663" s="10">
        <v>3.1</v>
      </c>
      <c r="E663" s="10">
        <v>64.59999999999999</v>
      </c>
      <c r="F663" s="10">
        <v>4</v>
      </c>
      <c r="G663" s="10">
        <v>0</v>
      </c>
      <c r="H663" s="10">
        <v>0</v>
      </c>
      <c r="I663" s="10">
        <v>4</v>
      </c>
      <c r="J663" s="10">
        <f>SUM(B663:I663)</f>
        <v>82.03</v>
      </c>
      <c r="K663">
        <v>2015</v>
      </c>
      <c r="L663">
        <v>10</v>
      </c>
      <c r="M663" s="11">
        <v>42278</v>
      </c>
      <c r="N663" t="s">
        <v>2182</v>
      </c>
      <c r="O663">
        <v>7</v>
      </c>
      <c r="P663" t="s">
        <v>59</v>
      </c>
      <c r="Q663" t="b">
        <v>1</v>
      </c>
    </row>
    <row r="664" spans="1:17">
      <c r="A664" s="12">
        <v>42303</v>
      </c>
      <c r="B664" s="10">
        <v>9</v>
      </c>
      <c r="C664" s="10">
        <v>5.33</v>
      </c>
      <c r="D664" s="10">
        <v>8</v>
      </c>
      <c r="E664" s="10">
        <v>53.3</v>
      </c>
      <c r="F664" s="10">
        <v>8</v>
      </c>
      <c r="G664" s="10">
        <v>1</v>
      </c>
      <c r="H664" s="10">
        <v>2</v>
      </c>
      <c r="I664" s="10">
        <v>2</v>
      </c>
      <c r="J664" s="10">
        <f>SUM(B664:I664)</f>
        <v>88.63</v>
      </c>
      <c r="K664">
        <v>2015</v>
      </c>
      <c r="L664">
        <v>10</v>
      </c>
      <c r="M664" s="11">
        <v>42278</v>
      </c>
      <c r="N664" t="s">
        <v>2182</v>
      </c>
      <c r="O664">
        <v>1</v>
      </c>
      <c r="P664" t="s">
        <v>61</v>
      </c>
      <c r="Q664" t="b">
        <v>1</v>
      </c>
    </row>
    <row r="665" spans="1:17">
      <c r="A665" s="12">
        <v>42304</v>
      </c>
      <c r="B665" s="10">
        <v>4.33</v>
      </c>
      <c r="C665" s="10">
        <v>2</v>
      </c>
      <c r="D665" s="10">
        <v>8.5</v>
      </c>
      <c r="E665" s="10">
        <v>64.40000000000001</v>
      </c>
      <c r="F665" s="10">
        <v>7</v>
      </c>
      <c r="G665" s="10">
        <v>0</v>
      </c>
      <c r="H665" s="10">
        <v>8</v>
      </c>
      <c r="I665" s="10">
        <v>3</v>
      </c>
      <c r="J665" s="10">
        <f>SUM(B665:I665)</f>
        <v>97.23</v>
      </c>
      <c r="K665">
        <v>2015</v>
      </c>
      <c r="L665">
        <v>10</v>
      </c>
      <c r="M665" s="11">
        <v>42278</v>
      </c>
      <c r="N665" t="s">
        <v>2182</v>
      </c>
      <c r="O665">
        <v>2</v>
      </c>
      <c r="P665" t="s">
        <v>63</v>
      </c>
      <c r="Q665" t="b">
        <v>1</v>
      </c>
    </row>
    <row r="666" spans="1:17">
      <c r="A666" s="12">
        <v>42305</v>
      </c>
      <c r="B666" s="10">
        <v>1</v>
      </c>
      <c r="C666" s="10">
        <v>1.66</v>
      </c>
      <c r="D666" s="10">
        <v>1</v>
      </c>
      <c r="E666" s="10">
        <v>33</v>
      </c>
      <c r="F666" s="10">
        <v>11</v>
      </c>
      <c r="G666" s="10">
        <v>1</v>
      </c>
      <c r="H666" s="10">
        <v>6</v>
      </c>
      <c r="I666" s="10">
        <v>2</v>
      </c>
      <c r="J666" s="10">
        <f>SUM(B666:I666)</f>
        <v>56.66</v>
      </c>
      <c r="K666">
        <v>2015</v>
      </c>
      <c r="L666">
        <v>10</v>
      </c>
      <c r="M666" s="11">
        <v>42278</v>
      </c>
      <c r="N666" t="s">
        <v>2182</v>
      </c>
      <c r="O666">
        <v>3</v>
      </c>
      <c r="P666" t="s">
        <v>65</v>
      </c>
      <c r="Q666" t="b">
        <v>1</v>
      </c>
    </row>
    <row r="667" spans="1:17">
      <c r="A667" s="12">
        <v>42306</v>
      </c>
      <c r="B667" s="10">
        <v>2.33</v>
      </c>
      <c r="C667" s="10">
        <v>3.693</v>
      </c>
      <c r="D667" s="10">
        <v>1.3</v>
      </c>
      <c r="E667" s="10">
        <v>38.3</v>
      </c>
      <c r="F667" s="10">
        <v>8</v>
      </c>
      <c r="G667" s="10">
        <v>0</v>
      </c>
      <c r="H667" s="10">
        <v>0</v>
      </c>
      <c r="I667" s="10">
        <v>1</v>
      </c>
      <c r="J667" s="10">
        <f>SUM(B667:I667)</f>
        <v>54.623</v>
      </c>
      <c r="K667">
        <v>2015</v>
      </c>
      <c r="L667">
        <v>10</v>
      </c>
      <c r="M667" s="11">
        <v>42278</v>
      </c>
      <c r="N667" t="s">
        <v>2182</v>
      </c>
      <c r="O667">
        <v>4</v>
      </c>
      <c r="P667" t="s">
        <v>53</v>
      </c>
      <c r="Q667" t="b">
        <v>1</v>
      </c>
    </row>
    <row r="668" spans="1:17">
      <c r="A668" s="12">
        <v>42307</v>
      </c>
      <c r="B668" s="10">
        <v>5.33</v>
      </c>
      <c r="C668" s="10">
        <v>3.67</v>
      </c>
      <c r="D668" s="10">
        <v>3.2</v>
      </c>
      <c r="E668" s="10">
        <v>49.6</v>
      </c>
      <c r="F668" s="10">
        <v>8</v>
      </c>
      <c r="G668" s="10">
        <v>0</v>
      </c>
      <c r="H668" s="10">
        <v>5</v>
      </c>
      <c r="I668" s="10">
        <v>3</v>
      </c>
      <c r="J668" s="10">
        <f>SUM(B668:I668)</f>
        <v>77.8</v>
      </c>
      <c r="K668">
        <v>2015</v>
      </c>
      <c r="L668">
        <v>10</v>
      </c>
      <c r="M668" s="11">
        <v>42278</v>
      </c>
      <c r="N668" t="s">
        <v>2182</v>
      </c>
      <c r="O668">
        <v>5</v>
      </c>
      <c r="P668" t="s">
        <v>55</v>
      </c>
      <c r="Q668" t="b">
        <v>1</v>
      </c>
    </row>
    <row r="669" spans="1:17">
      <c r="A669" s="12">
        <v>42308</v>
      </c>
      <c r="B669" s="10">
        <v>5.66</v>
      </c>
      <c r="C669" s="10">
        <v>4.65</v>
      </c>
      <c r="D669" s="10">
        <v>8</v>
      </c>
      <c r="E669" s="10">
        <v>58.4</v>
      </c>
      <c r="F669" s="10">
        <v>6</v>
      </c>
      <c r="G669" s="10">
        <v>0</v>
      </c>
      <c r="H669" s="10">
        <v>7</v>
      </c>
      <c r="I669" s="10">
        <v>1</v>
      </c>
      <c r="J669" s="10">
        <f>SUM(B669:I669)</f>
        <v>90.71000000000001</v>
      </c>
      <c r="K669">
        <v>2015</v>
      </c>
      <c r="L669">
        <v>10</v>
      </c>
      <c r="M669" s="11">
        <v>42278</v>
      </c>
      <c r="N669" t="s">
        <v>2182</v>
      </c>
      <c r="O669">
        <v>6</v>
      </c>
      <c r="P669" t="s">
        <v>57</v>
      </c>
      <c r="Q669" t="b">
        <v>1</v>
      </c>
    </row>
    <row r="670" spans="1:17">
      <c r="A670" s="12">
        <v>42309</v>
      </c>
      <c r="B670" s="10">
        <v>2.33</v>
      </c>
      <c r="C670" s="10">
        <v>7.99</v>
      </c>
      <c r="D670" s="10">
        <v>5.6</v>
      </c>
      <c r="E670" s="10">
        <v>80.40000000000001</v>
      </c>
      <c r="F670" s="10">
        <v>11</v>
      </c>
      <c r="G670" s="10">
        <v>0</v>
      </c>
      <c r="H670" s="10">
        <v>5</v>
      </c>
      <c r="I670" s="10">
        <v>0</v>
      </c>
      <c r="J670" s="10">
        <f>SUM(B670:I670)</f>
        <v>112.32000000000001</v>
      </c>
      <c r="K670">
        <v>2015</v>
      </c>
      <c r="L670">
        <v>11</v>
      </c>
      <c r="M670" s="11">
        <v>42309</v>
      </c>
      <c r="N670" t="s">
        <v>2183</v>
      </c>
      <c r="O670">
        <v>7</v>
      </c>
      <c r="P670" t="s">
        <v>59</v>
      </c>
      <c r="Q670" t="b">
        <v>1</v>
      </c>
    </row>
    <row r="671" spans="1:17">
      <c r="A671" s="12">
        <v>42310</v>
      </c>
      <c r="B671" s="10">
        <v>4.66</v>
      </c>
      <c r="C671" s="10">
        <v>4.33</v>
      </c>
      <c r="D671" s="10">
        <v>4</v>
      </c>
      <c r="E671" s="10">
        <v>46.3</v>
      </c>
      <c r="F671" s="10">
        <v>7</v>
      </c>
      <c r="G671" s="10">
        <v>0</v>
      </c>
      <c r="H671" s="10">
        <v>7</v>
      </c>
      <c r="I671" s="10">
        <v>2</v>
      </c>
      <c r="J671" s="10">
        <f>SUM(B671:I671)</f>
        <v>75.28999999999999</v>
      </c>
      <c r="K671">
        <v>2015</v>
      </c>
      <c r="L671">
        <v>11</v>
      </c>
      <c r="M671" s="11">
        <v>42309</v>
      </c>
      <c r="N671" t="s">
        <v>2183</v>
      </c>
      <c r="O671">
        <v>1</v>
      </c>
      <c r="P671" t="s">
        <v>61</v>
      </c>
      <c r="Q671" t="b">
        <v>1</v>
      </c>
    </row>
    <row r="672" spans="1:17">
      <c r="A672" s="12">
        <v>42311</v>
      </c>
      <c r="B672" s="10">
        <v>1.34</v>
      </c>
      <c r="C672" s="10">
        <v>4.35</v>
      </c>
      <c r="D672" s="10">
        <v>4.3</v>
      </c>
      <c r="E672" s="10">
        <v>41.8</v>
      </c>
      <c r="F672" s="10">
        <v>5</v>
      </c>
      <c r="G672" s="10">
        <v>0</v>
      </c>
      <c r="H672" s="10">
        <v>3</v>
      </c>
      <c r="I672" s="10">
        <v>0</v>
      </c>
      <c r="J672" s="10">
        <f>SUM(B672:I672)</f>
        <v>59.78999999999999</v>
      </c>
      <c r="K672">
        <v>2015</v>
      </c>
      <c r="L672">
        <v>11</v>
      </c>
      <c r="M672" s="11">
        <v>42309</v>
      </c>
      <c r="N672" t="s">
        <v>2183</v>
      </c>
      <c r="O672">
        <v>2</v>
      </c>
      <c r="P672" t="s">
        <v>63</v>
      </c>
      <c r="Q672" t="b">
        <v>1</v>
      </c>
    </row>
    <row r="673" spans="1:17">
      <c r="A673" s="12">
        <v>42312</v>
      </c>
      <c r="B673" s="10">
        <v>8.5</v>
      </c>
      <c r="C673" s="10">
        <v>2.34</v>
      </c>
      <c r="D673" s="10">
        <v>3</v>
      </c>
      <c r="E673" s="10">
        <v>59.8</v>
      </c>
      <c r="F673" s="10">
        <v>18</v>
      </c>
      <c r="G673" s="10">
        <v>3</v>
      </c>
      <c r="H673" s="10">
        <v>3</v>
      </c>
      <c r="I673" s="10">
        <v>4</v>
      </c>
      <c r="J673" s="10">
        <f>SUM(B673:I673)</f>
        <v>101.64</v>
      </c>
      <c r="K673">
        <v>2015</v>
      </c>
      <c r="L673">
        <v>11</v>
      </c>
      <c r="M673" s="11">
        <v>42309</v>
      </c>
      <c r="N673" t="s">
        <v>2183</v>
      </c>
      <c r="O673">
        <v>3</v>
      </c>
      <c r="P673" t="s">
        <v>65</v>
      </c>
      <c r="Q673" t="b">
        <v>1</v>
      </c>
    </row>
    <row r="674" spans="1:17">
      <c r="A674" s="12">
        <v>42313</v>
      </c>
      <c r="B674" s="10">
        <v>4.33</v>
      </c>
      <c r="C674" s="10">
        <v>3.561</v>
      </c>
      <c r="D674" s="10">
        <v>7.4</v>
      </c>
      <c r="E674" s="10">
        <v>45</v>
      </c>
      <c r="F674" s="10">
        <v>3</v>
      </c>
      <c r="G674" s="10">
        <v>0</v>
      </c>
      <c r="H674" s="10">
        <v>0</v>
      </c>
      <c r="I674" s="10">
        <v>2</v>
      </c>
      <c r="J674" s="10">
        <f>SUM(B674:I674)</f>
        <v>65.291</v>
      </c>
      <c r="K674">
        <v>2015</v>
      </c>
      <c r="L674">
        <v>11</v>
      </c>
      <c r="M674" s="11">
        <v>42309</v>
      </c>
      <c r="N674" t="s">
        <v>2183</v>
      </c>
      <c r="O674">
        <v>4</v>
      </c>
      <c r="P674" t="s">
        <v>53</v>
      </c>
      <c r="Q674" t="b">
        <v>1</v>
      </c>
    </row>
    <row r="675" spans="1:17">
      <c r="A675" s="12">
        <v>42314</v>
      </c>
      <c r="B675" s="10">
        <v>3.33</v>
      </c>
      <c r="C675" s="10">
        <v>6.736</v>
      </c>
      <c r="D675" s="10">
        <v>4</v>
      </c>
      <c r="E675" s="10">
        <v>31.475</v>
      </c>
      <c r="F675" s="10">
        <v>5</v>
      </c>
      <c r="G675" s="10">
        <v>2</v>
      </c>
      <c r="H675" s="10">
        <v>1</v>
      </c>
      <c r="I675" s="10">
        <v>0</v>
      </c>
      <c r="J675" s="10">
        <f>SUM(B675:I675)</f>
        <v>53.541</v>
      </c>
      <c r="K675">
        <v>2015</v>
      </c>
      <c r="L675">
        <v>11</v>
      </c>
      <c r="M675" s="11">
        <v>42309</v>
      </c>
      <c r="N675" t="s">
        <v>2183</v>
      </c>
      <c r="O675">
        <v>5</v>
      </c>
      <c r="P675" t="s">
        <v>55</v>
      </c>
      <c r="Q675" t="b">
        <v>1</v>
      </c>
    </row>
    <row r="676" spans="1:17">
      <c r="A676" s="12">
        <v>42315</v>
      </c>
      <c r="B676" s="10">
        <v>4</v>
      </c>
      <c r="C676" s="10">
        <v>3.11</v>
      </c>
      <c r="D676" s="10">
        <v>4.8</v>
      </c>
      <c r="E676" s="10">
        <v>69.90000000000001</v>
      </c>
      <c r="F676" s="10">
        <v>15</v>
      </c>
      <c r="G676" s="10">
        <v>1</v>
      </c>
      <c r="H676" s="10">
        <v>6</v>
      </c>
      <c r="I676" s="10">
        <v>1</v>
      </c>
      <c r="J676" s="10">
        <f>SUM(B676:I676)</f>
        <v>104.81</v>
      </c>
      <c r="K676">
        <v>2015</v>
      </c>
      <c r="L676">
        <v>11</v>
      </c>
      <c r="M676" s="11">
        <v>42309</v>
      </c>
      <c r="N676" t="s">
        <v>2183</v>
      </c>
      <c r="O676">
        <v>6</v>
      </c>
      <c r="P676" t="s">
        <v>57</v>
      </c>
      <c r="Q676" t="b">
        <v>1</v>
      </c>
    </row>
    <row r="677" spans="1:17">
      <c r="A677" s="12">
        <v>42316</v>
      </c>
      <c r="B677" s="10">
        <v>6.33</v>
      </c>
      <c r="C677" s="10">
        <v>3.67</v>
      </c>
      <c r="D677" s="10">
        <v>7.2</v>
      </c>
      <c r="E677" s="10">
        <v>48.6</v>
      </c>
      <c r="F677" s="10">
        <v>7</v>
      </c>
      <c r="G677" s="10">
        <v>0</v>
      </c>
      <c r="H677" s="10">
        <v>13</v>
      </c>
      <c r="I677" s="10">
        <v>1</v>
      </c>
      <c r="J677" s="10">
        <f>SUM(B677:I677)</f>
        <v>86.8</v>
      </c>
      <c r="K677">
        <v>2015</v>
      </c>
      <c r="L677">
        <v>11</v>
      </c>
      <c r="M677" s="11">
        <v>42309</v>
      </c>
      <c r="N677" t="s">
        <v>2183</v>
      </c>
      <c r="O677">
        <v>7</v>
      </c>
      <c r="P677" t="s">
        <v>59</v>
      </c>
      <c r="Q677" t="b">
        <v>1</v>
      </c>
    </row>
    <row r="678" spans="1:17">
      <c r="A678" s="12">
        <v>42317</v>
      </c>
      <c r="B678" s="10">
        <v>3.66</v>
      </c>
      <c r="C678" s="10">
        <v>6.198</v>
      </c>
      <c r="D678" s="10">
        <v>4.2</v>
      </c>
      <c r="E678" s="10">
        <v>40.75</v>
      </c>
      <c r="F678" s="10">
        <v>3</v>
      </c>
      <c r="G678" s="10">
        <v>1</v>
      </c>
      <c r="H678" s="10">
        <v>12</v>
      </c>
      <c r="I678" s="10">
        <v>1</v>
      </c>
      <c r="J678" s="10">
        <f>SUM(B678:I678)</f>
        <v>71.80799999999999</v>
      </c>
      <c r="K678">
        <v>2015</v>
      </c>
      <c r="L678">
        <v>11</v>
      </c>
      <c r="M678" s="11">
        <v>42309</v>
      </c>
      <c r="N678" t="s">
        <v>2183</v>
      </c>
      <c r="O678">
        <v>1</v>
      </c>
      <c r="P678" t="s">
        <v>61</v>
      </c>
      <c r="Q678" t="b">
        <v>1</v>
      </c>
    </row>
    <row r="679" spans="1:17">
      <c r="A679" s="12">
        <v>42318</v>
      </c>
      <c r="B679" s="10">
        <v>6.33</v>
      </c>
      <c r="C679" s="10">
        <v>7.482</v>
      </c>
      <c r="D679" s="10">
        <v>10</v>
      </c>
      <c r="E679" s="10">
        <v>41.2</v>
      </c>
      <c r="F679" s="10">
        <v>8</v>
      </c>
      <c r="G679" s="10">
        <v>0</v>
      </c>
      <c r="H679" s="10">
        <v>9</v>
      </c>
      <c r="I679" s="10">
        <v>2</v>
      </c>
      <c r="J679" s="10">
        <f>SUM(B679:I679)</f>
        <v>84.012</v>
      </c>
      <c r="K679">
        <v>2015</v>
      </c>
      <c r="L679">
        <v>11</v>
      </c>
      <c r="M679" s="11">
        <v>42309</v>
      </c>
      <c r="N679" t="s">
        <v>2183</v>
      </c>
      <c r="O679">
        <v>2</v>
      </c>
      <c r="P679" t="s">
        <v>63</v>
      </c>
      <c r="Q679" t="b">
        <v>1</v>
      </c>
    </row>
    <row r="680" spans="1:17">
      <c r="A680" s="12">
        <v>42319</v>
      </c>
      <c r="B680" s="10">
        <v>9.66</v>
      </c>
      <c r="C680" s="10">
        <v>5.34</v>
      </c>
      <c r="D680" s="10">
        <v>7.2</v>
      </c>
      <c r="E680" s="10">
        <v>60</v>
      </c>
      <c r="F680" s="10">
        <v>4</v>
      </c>
      <c r="G680" s="10">
        <v>0</v>
      </c>
      <c r="H680" s="10">
        <v>12</v>
      </c>
      <c r="I680" s="10">
        <v>3</v>
      </c>
      <c r="J680" s="10">
        <f>SUM(B680:I680)</f>
        <v>101.2</v>
      </c>
      <c r="K680">
        <v>2015</v>
      </c>
      <c r="L680">
        <v>11</v>
      </c>
      <c r="M680" s="11">
        <v>42309</v>
      </c>
      <c r="N680" t="s">
        <v>2183</v>
      </c>
      <c r="O680">
        <v>3</v>
      </c>
      <c r="P680" t="s">
        <v>65</v>
      </c>
      <c r="Q680" t="b">
        <v>1</v>
      </c>
    </row>
    <row r="681" spans="1:17">
      <c r="A681" s="12">
        <v>42320</v>
      </c>
      <c r="B681" s="10">
        <v>6</v>
      </c>
      <c r="C681" s="10">
        <v>4.33</v>
      </c>
      <c r="D681" s="10">
        <v>6</v>
      </c>
      <c r="E681" s="10">
        <v>24</v>
      </c>
      <c r="F681" s="10">
        <v>11</v>
      </c>
      <c r="G681" s="10">
        <v>0</v>
      </c>
      <c r="H681" s="10">
        <v>20</v>
      </c>
      <c r="I681" s="10">
        <v>0</v>
      </c>
      <c r="J681" s="10">
        <f>SUM(B681:I681)</f>
        <v>71.33</v>
      </c>
      <c r="K681">
        <v>2015</v>
      </c>
      <c r="L681">
        <v>11</v>
      </c>
      <c r="M681" s="11">
        <v>42309</v>
      </c>
      <c r="N681" t="s">
        <v>2183</v>
      </c>
      <c r="O681">
        <v>4</v>
      </c>
      <c r="P681" t="s">
        <v>53</v>
      </c>
      <c r="Q681" t="b">
        <v>1</v>
      </c>
    </row>
    <row r="682" spans="1:17">
      <c r="A682" s="12">
        <v>42321</v>
      </c>
      <c r="B682" s="10">
        <v>5</v>
      </c>
      <c r="C682" s="10">
        <v>2.44</v>
      </c>
      <c r="D682" s="10">
        <v>2</v>
      </c>
      <c r="E682" s="10">
        <v>22</v>
      </c>
      <c r="F682" s="10">
        <v>13</v>
      </c>
      <c r="G682" s="10">
        <v>0</v>
      </c>
      <c r="H682" s="10">
        <v>0</v>
      </c>
      <c r="I682" s="10">
        <v>0</v>
      </c>
      <c r="J682" s="10">
        <f>SUM(B682:I682)</f>
        <v>44.44</v>
      </c>
      <c r="K682">
        <v>2015</v>
      </c>
      <c r="L682">
        <v>11</v>
      </c>
      <c r="M682" s="11">
        <v>42309</v>
      </c>
      <c r="N682" t="s">
        <v>2183</v>
      </c>
      <c r="O682">
        <v>5</v>
      </c>
      <c r="P682" t="s">
        <v>55</v>
      </c>
      <c r="Q682" t="b">
        <v>1</v>
      </c>
    </row>
    <row r="683" spans="1:17">
      <c r="A683" s="12">
        <v>42322</v>
      </c>
      <c r="B683" s="10">
        <v>4.99</v>
      </c>
      <c r="C683" s="10">
        <v>0.33</v>
      </c>
      <c r="D683" s="10">
        <v>3.7</v>
      </c>
      <c r="E683" s="10">
        <v>19</v>
      </c>
      <c r="F683" s="10">
        <v>5</v>
      </c>
      <c r="G683" s="10">
        <v>1</v>
      </c>
      <c r="H683" s="10">
        <v>0</v>
      </c>
      <c r="I683" s="10">
        <v>1</v>
      </c>
      <c r="J683" s="10">
        <f>SUM(B683:I683)</f>
        <v>35.019999999999996</v>
      </c>
      <c r="K683">
        <v>2015</v>
      </c>
      <c r="L683">
        <v>11</v>
      </c>
      <c r="M683" s="11">
        <v>42309</v>
      </c>
      <c r="N683" t="s">
        <v>2183</v>
      </c>
      <c r="O683">
        <v>6</v>
      </c>
      <c r="P683" t="s">
        <v>57</v>
      </c>
      <c r="Q683" t="b">
        <v>1</v>
      </c>
    </row>
    <row r="684" spans="1:17">
      <c r="A684" s="12">
        <v>42323</v>
      </c>
      <c r="B684" s="10">
        <v>1.33</v>
      </c>
      <c r="C684" s="10">
        <v>11.99</v>
      </c>
      <c r="D684" s="10">
        <v>9.300000000000001</v>
      </c>
      <c r="E684" s="10">
        <v>42.35</v>
      </c>
      <c r="F684" s="10">
        <v>8</v>
      </c>
      <c r="G684" s="10">
        <v>2</v>
      </c>
      <c r="H684" s="10">
        <v>17</v>
      </c>
      <c r="I684" s="10">
        <v>0</v>
      </c>
      <c r="J684" s="10">
        <f>SUM(B684:I684)</f>
        <v>91.97</v>
      </c>
      <c r="K684">
        <v>2015</v>
      </c>
      <c r="L684">
        <v>11</v>
      </c>
      <c r="M684" s="11">
        <v>42309</v>
      </c>
      <c r="N684" t="s">
        <v>2183</v>
      </c>
      <c r="O684">
        <v>7</v>
      </c>
      <c r="P684" t="s">
        <v>59</v>
      </c>
      <c r="Q684" t="b">
        <v>1</v>
      </c>
    </row>
    <row r="685" spans="1:17">
      <c r="A685" s="12">
        <v>42324</v>
      </c>
      <c r="B685" s="10">
        <v>5.67</v>
      </c>
      <c r="C685" s="10">
        <v>3.67</v>
      </c>
      <c r="D685" s="10">
        <v>6</v>
      </c>
      <c r="E685" s="10">
        <v>50.3</v>
      </c>
      <c r="F685" s="10">
        <v>9</v>
      </c>
      <c r="G685" s="10">
        <v>0</v>
      </c>
      <c r="H685" s="10">
        <v>3</v>
      </c>
      <c r="I685" s="10">
        <v>2</v>
      </c>
      <c r="J685" s="10">
        <f>SUM(B685:I685)</f>
        <v>79.64</v>
      </c>
      <c r="K685">
        <v>2015</v>
      </c>
      <c r="L685">
        <v>11</v>
      </c>
      <c r="M685" s="11">
        <v>42309</v>
      </c>
      <c r="N685" t="s">
        <v>2183</v>
      </c>
      <c r="O685">
        <v>1</v>
      </c>
      <c r="P685" t="s">
        <v>61</v>
      </c>
      <c r="Q685" t="b">
        <v>1</v>
      </c>
    </row>
    <row r="686" spans="1:17">
      <c r="A686" s="12">
        <v>42325</v>
      </c>
      <c r="B686" s="10">
        <v>6.34</v>
      </c>
      <c r="C686" s="10">
        <v>4.693</v>
      </c>
      <c r="D686" s="10">
        <v>4.7</v>
      </c>
      <c r="E686" s="10">
        <v>60</v>
      </c>
      <c r="F686" s="10">
        <v>1</v>
      </c>
      <c r="G686" s="10">
        <v>0</v>
      </c>
      <c r="H686" s="10">
        <v>0</v>
      </c>
      <c r="I686" s="10">
        <v>2</v>
      </c>
      <c r="J686" s="10">
        <f>SUM(B686:I686)</f>
        <v>78.733</v>
      </c>
      <c r="K686">
        <v>2015</v>
      </c>
      <c r="L686">
        <v>11</v>
      </c>
      <c r="M686" s="11">
        <v>42309</v>
      </c>
      <c r="N686" t="s">
        <v>2183</v>
      </c>
      <c r="O686">
        <v>2</v>
      </c>
      <c r="P686" t="s">
        <v>63</v>
      </c>
      <c r="Q686" t="b">
        <v>1</v>
      </c>
    </row>
    <row r="687" spans="1:17">
      <c r="A687" s="12">
        <v>42326</v>
      </c>
      <c r="B687" s="10">
        <v>6.34</v>
      </c>
      <c r="C687" s="10">
        <v>5.33</v>
      </c>
      <c r="D687" s="10">
        <v>5.5</v>
      </c>
      <c r="E687" s="10">
        <v>24.5</v>
      </c>
      <c r="F687" s="10">
        <v>11</v>
      </c>
      <c r="G687" s="10">
        <v>0</v>
      </c>
      <c r="H687" s="10">
        <v>0</v>
      </c>
      <c r="I687" s="10">
        <v>2</v>
      </c>
      <c r="J687" s="10">
        <f>SUM(B687:I687)</f>
        <v>54.67</v>
      </c>
      <c r="K687">
        <v>2015</v>
      </c>
      <c r="L687">
        <v>11</v>
      </c>
      <c r="M687" s="11">
        <v>42309</v>
      </c>
      <c r="N687" t="s">
        <v>2183</v>
      </c>
      <c r="O687">
        <v>3</v>
      </c>
      <c r="P687" t="s">
        <v>65</v>
      </c>
      <c r="Q687" t="b">
        <v>1</v>
      </c>
    </row>
    <row r="688" spans="1:17">
      <c r="A688" s="12">
        <v>42327</v>
      </c>
      <c r="B688" s="10">
        <v>2</v>
      </c>
      <c r="C688" s="10">
        <v>2.99</v>
      </c>
      <c r="D688" s="10">
        <v>2.1</v>
      </c>
      <c r="E688" s="10">
        <v>26.4</v>
      </c>
      <c r="F688" s="10">
        <v>22</v>
      </c>
      <c r="G688" s="10">
        <v>0</v>
      </c>
      <c r="H688" s="10">
        <v>0</v>
      </c>
      <c r="I688" s="10">
        <v>0</v>
      </c>
      <c r="J688" s="10">
        <f>SUM(B688:I688)</f>
        <v>55.489999999999995</v>
      </c>
      <c r="K688">
        <v>2015</v>
      </c>
      <c r="L688">
        <v>11</v>
      </c>
      <c r="M688" s="11">
        <v>42309</v>
      </c>
      <c r="N688" t="s">
        <v>2183</v>
      </c>
      <c r="O688">
        <v>4</v>
      </c>
      <c r="P688" t="s">
        <v>53</v>
      </c>
      <c r="Q688" t="b">
        <v>1</v>
      </c>
    </row>
    <row r="689" spans="1:17">
      <c r="A689" s="12">
        <v>42328</v>
      </c>
      <c r="B689" s="10">
        <v>5.66</v>
      </c>
      <c r="C689" s="10">
        <v>1.66</v>
      </c>
      <c r="D689" s="10">
        <v>3.8</v>
      </c>
      <c r="E689" s="10">
        <v>25.6</v>
      </c>
      <c r="F689" s="10">
        <v>2</v>
      </c>
      <c r="G689" s="10">
        <v>2</v>
      </c>
      <c r="H689" s="10">
        <v>10</v>
      </c>
      <c r="I689" s="10">
        <v>3</v>
      </c>
      <c r="J689" s="10">
        <f>SUM(B689:I689)</f>
        <v>53.72</v>
      </c>
      <c r="K689">
        <v>2015</v>
      </c>
      <c r="L689">
        <v>11</v>
      </c>
      <c r="M689" s="11">
        <v>42309</v>
      </c>
      <c r="N689" t="s">
        <v>2183</v>
      </c>
      <c r="O689">
        <v>5</v>
      </c>
      <c r="P689" t="s">
        <v>55</v>
      </c>
      <c r="Q689" t="b">
        <v>1</v>
      </c>
    </row>
    <row r="690" spans="1:17">
      <c r="A690" s="12">
        <v>42329</v>
      </c>
      <c r="B690" s="10">
        <v>4</v>
      </c>
      <c r="C690" s="10">
        <v>2.01</v>
      </c>
      <c r="D690" s="10">
        <v>5.2</v>
      </c>
      <c r="E690" s="10">
        <v>45.5</v>
      </c>
      <c r="F690" s="10">
        <v>4</v>
      </c>
      <c r="G690" s="10">
        <v>0</v>
      </c>
      <c r="H690" s="10">
        <v>17</v>
      </c>
      <c r="I690" s="10">
        <v>3</v>
      </c>
      <c r="J690" s="10">
        <f>SUM(B690:I690)</f>
        <v>80.71000000000001</v>
      </c>
      <c r="K690">
        <v>2015</v>
      </c>
      <c r="L690">
        <v>11</v>
      </c>
      <c r="M690" s="11">
        <v>42309</v>
      </c>
      <c r="N690" t="s">
        <v>2183</v>
      </c>
      <c r="O690">
        <v>6</v>
      </c>
      <c r="P690" t="s">
        <v>57</v>
      </c>
      <c r="Q690" t="b">
        <v>1</v>
      </c>
    </row>
    <row r="691" spans="1:17">
      <c r="A691" s="12">
        <v>42330</v>
      </c>
      <c r="B691" s="10">
        <v>2</v>
      </c>
      <c r="C691" s="10">
        <v>3.439</v>
      </c>
      <c r="D691" s="10">
        <v>2.6</v>
      </c>
      <c r="E691" s="10">
        <v>41.2</v>
      </c>
      <c r="F691" s="10">
        <v>6</v>
      </c>
      <c r="G691" s="10">
        <v>2</v>
      </c>
      <c r="H691" s="10">
        <v>2</v>
      </c>
      <c r="I691" s="10">
        <v>1</v>
      </c>
      <c r="J691" s="10">
        <f>SUM(B691:I691)</f>
        <v>60.239000000000004</v>
      </c>
      <c r="K691">
        <v>2015</v>
      </c>
      <c r="L691">
        <v>11</v>
      </c>
      <c r="M691" s="11">
        <v>42309</v>
      </c>
      <c r="N691" t="s">
        <v>2183</v>
      </c>
      <c r="O691">
        <v>7</v>
      </c>
      <c r="P691" t="s">
        <v>59</v>
      </c>
      <c r="Q691" t="b">
        <v>1</v>
      </c>
    </row>
    <row r="692" spans="1:17">
      <c r="A692" s="12">
        <v>42331</v>
      </c>
      <c r="B692" s="10">
        <v>3</v>
      </c>
      <c r="C692" s="10">
        <v>1</v>
      </c>
      <c r="D692" s="10">
        <v>4.7</v>
      </c>
      <c r="E692" s="10">
        <v>69</v>
      </c>
      <c r="F692" s="10">
        <v>3</v>
      </c>
      <c r="G692" s="10">
        <v>0</v>
      </c>
      <c r="H692" s="10">
        <v>1</v>
      </c>
      <c r="I692" s="10">
        <v>2</v>
      </c>
      <c r="J692" s="10">
        <f>SUM(B692:I692)</f>
        <v>83.7</v>
      </c>
      <c r="K692">
        <v>2015</v>
      </c>
      <c r="L692">
        <v>11</v>
      </c>
      <c r="M692" s="11">
        <v>42309</v>
      </c>
      <c r="N692" t="s">
        <v>2183</v>
      </c>
      <c r="O692">
        <v>1</v>
      </c>
      <c r="P692" t="s">
        <v>61</v>
      </c>
      <c r="Q692" t="b">
        <v>1</v>
      </c>
    </row>
    <row r="693" spans="1:17">
      <c r="A693" s="12">
        <v>42332</v>
      </c>
      <c r="B693" s="10">
        <v>5</v>
      </c>
      <c r="C693" s="10">
        <v>6.33</v>
      </c>
      <c r="D693" s="10">
        <v>6.4</v>
      </c>
      <c r="E693" s="10">
        <v>19.8</v>
      </c>
      <c r="F693" s="10">
        <v>12</v>
      </c>
      <c r="G693" s="10">
        <v>3</v>
      </c>
      <c r="H693" s="10">
        <v>1</v>
      </c>
      <c r="I693" s="10">
        <v>5</v>
      </c>
      <c r="J693" s="10">
        <f>SUM(B693:I693)</f>
        <v>58.53</v>
      </c>
      <c r="K693">
        <v>2015</v>
      </c>
      <c r="L693">
        <v>11</v>
      </c>
      <c r="M693" s="11">
        <v>42309</v>
      </c>
      <c r="N693" t="s">
        <v>2183</v>
      </c>
      <c r="O693">
        <v>2</v>
      </c>
      <c r="P693" t="s">
        <v>63</v>
      </c>
      <c r="Q693" t="b">
        <v>1</v>
      </c>
    </row>
    <row r="694" spans="1:17">
      <c r="A694" s="12">
        <v>42333</v>
      </c>
      <c r="B694" s="10">
        <v>5.66</v>
      </c>
      <c r="C694" s="10">
        <v>5.33</v>
      </c>
      <c r="D694" s="10">
        <v>3.2</v>
      </c>
      <c r="E694" s="10">
        <v>29</v>
      </c>
      <c r="F694" s="10">
        <v>11</v>
      </c>
      <c r="G694" s="10">
        <v>0</v>
      </c>
      <c r="H694" s="10">
        <v>3</v>
      </c>
      <c r="I694" s="10">
        <v>3</v>
      </c>
      <c r="J694" s="10">
        <f>SUM(B694:I694)</f>
        <v>60.19</v>
      </c>
      <c r="K694">
        <v>2015</v>
      </c>
      <c r="L694">
        <v>11</v>
      </c>
      <c r="M694" s="11">
        <v>42309</v>
      </c>
      <c r="N694" t="s">
        <v>2183</v>
      </c>
      <c r="O694">
        <v>3</v>
      </c>
      <c r="P694" t="s">
        <v>65</v>
      </c>
      <c r="Q694" t="b">
        <v>1</v>
      </c>
    </row>
    <row r="695" spans="1:17">
      <c r="A695" s="12">
        <v>42334</v>
      </c>
      <c r="B695" s="10">
        <v>4.33</v>
      </c>
      <c r="C695" s="10">
        <v>4</v>
      </c>
      <c r="D695" s="10">
        <v>2</v>
      </c>
      <c r="E695" s="10">
        <v>25.975</v>
      </c>
      <c r="F695" s="10">
        <v>8</v>
      </c>
      <c r="G695" s="10">
        <v>0</v>
      </c>
      <c r="H695" s="10">
        <v>0</v>
      </c>
      <c r="I695" s="10">
        <v>0</v>
      </c>
      <c r="J695" s="10">
        <f>SUM(B695:I695)</f>
        <v>44.305</v>
      </c>
      <c r="K695">
        <v>2015</v>
      </c>
      <c r="L695">
        <v>11</v>
      </c>
      <c r="M695" s="11">
        <v>42309</v>
      </c>
      <c r="N695" t="s">
        <v>2183</v>
      </c>
      <c r="O695">
        <v>4</v>
      </c>
      <c r="P695" t="s">
        <v>53</v>
      </c>
      <c r="Q695" t="b">
        <v>1</v>
      </c>
    </row>
    <row r="696" spans="1:17">
      <c r="A696" s="12">
        <v>42335</v>
      </c>
      <c r="B696" s="10">
        <v>0.67</v>
      </c>
      <c r="C696" s="10">
        <v>4.373</v>
      </c>
      <c r="D696" s="10">
        <v>2</v>
      </c>
      <c r="E696" s="10">
        <v>20.8</v>
      </c>
      <c r="F696" s="10">
        <v>7</v>
      </c>
      <c r="G696" s="10">
        <v>0</v>
      </c>
      <c r="H696" s="10">
        <v>0</v>
      </c>
      <c r="I696" s="10">
        <v>0</v>
      </c>
      <c r="J696" s="10">
        <f>SUM(B696:I696)</f>
        <v>34.843</v>
      </c>
      <c r="K696">
        <v>2015</v>
      </c>
      <c r="L696">
        <v>11</v>
      </c>
      <c r="M696" s="11">
        <v>42309</v>
      </c>
      <c r="N696" t="s">
        <v>2183</v>
      </c>
      <c r="O696">
        <v>5</v>
      </c>
      <c r="P696" t="s">
        <v>55</v>
      </c>
      <c r="Q696" t="b">
        <v>1</v>
      </c>
    </row>
    <row r="697" spans="1:17">
      <c r="A697" s="12">
        <v>42336</v>
      </c>
      <c r="B697" s="10">
        <v>6.33</v>
      </c>
      <c r="C697" s="10">
        <v>3.66</v>
      </c>
      <c r="D697" s="10">
        <v>4</v>
      </c>
      <c r="E697" s="10">
        <v>46.825</v>
      </c>
      <c r="F697" s="10">
        <v>3</v>
      </c>
      <c r="G697" s="10">
        <v>0</v>
      </c>
      <c r="H697" s="10">
        <v>10</v>
      </c>
      <c r="I697" s="10">
        <v>1</v>
      </c>
      <c r="J697" s="10">
        <f>SUM(B697:I697)</f>
        <v>74.815</v>
      </c>
      <c r="K697">
        <v>2015</v>
      </c>
      <c r="L697">
        <v>11</v>
      </c>
      <c r="M697" s="11">
        <v>42309</v>
      </c>
      <c r="N697" t="s">
        <v>2183</v>
      </c>
      <c r="O697">
        <v>6</v>
      </c>
      <c r="P697" t="s">
        <v>57</v>
      </c>
      <c r="Q697" t="b">
        <v>1</v>
      </c>
    </row>
    <row r="698" spans="1:17">
      <c r="A698" s="12">
        <v>42337</v>
      </c>
      <c r="B698" s="10">
        <v>6.66</v>
      </c>
      <c r="C698" s="10">
        <v>3.726</v>
      </c>
      <c r="D698" s="10">
        <v>6</v>
      </c>
      <c r="E698" s="10">
        <v>42.2</v>
      </c>
      <c r="F698" s="10">
        <v>1</v>
      </c>
      <c r="G698" s="10">
        <v>0</v>
      </c>
      <c r="H698" s="10">
        <v>4</v>
      </c>
      <c r="I698" s="10">
        <v>0</v>
      </c>
      <c r="J698" s="10">
        <f>SUM(B698:I698)</f>
        <v>63.586</v>
      </c>
      <c r="K698">
        <v>2015</v>
      </c>
      <c r="L698">
        <v>11</v>
      </c>
      <c r="M698" s="11">
        <v>42309</v>
      </c>
      <c r="N698" t="s">
        <v>2183</v>
      </c>
      <c r="O698">
        <v>7</v>
      </c>
      <c r="P698" t="s">
        <v>59</v>
      </c>
      <c r="Q698" t="b">
        <v>1</v>
      </c>
    </row>
    <row r="699" spans="1:17">
      <c r="A699" s="12">
        <v>42338</v>
      </c>
      <c r="B699" s="10">
        <v>7.33</v>
      </c>
      <c r="C699" s="10">
        <v>1.825</v>
      </c>
      <c r="D699" s="10">
        <v>5</v>
      </c>
      <c r="E699" s="10">
        <v>35.3</v>
      </c>
      <c r="F699" s="10">
        <v>5</v>
      </c>
      <c r="G699" s="10">
        <v>1</v>
      </c>
      <c r="H699" s="10">
        <v>6</v>
      </c>
      <c r="I699" s="10">
        <v>3</v>
      </c>
      <c r="J699" s="10">
        <f>SUM(B699:I699)</f>
        <v>64.455</v>
      </c>
      <c r="K699">
        <v>2015</v>
      </c>
      <c r="L699">
        <v>11</v>
      </c>
      <c r="M699" s="11">
        <v>42309</v>
      </c>
      <c r="N699" t="s">
        <v>2183</v>
      </c>
      <c r="O699">
        <v>1</v>
      </c>
      <c r="P699" t="s">
        <v>61</v>
      </c>
      <c r="Q699" t="b">
        <v>1</v>
      </c>
    </row>
    <row r="700" spans="1:17">
      <c r="A700" s="12">
        <v>42339</v>
      </c>
      <c r="B700" s="10">
        <v>1.99</v>
      </c>
      <c r="C700" s="10">
        <v>2.023</v>
      </c>
      <c r="D700" s="10">
        <v>6.3</v>
      </c>
      <c r="E700" s="10">
        <v>23.9</v>
      </c>
      <c r="F700" s="10">
        <v>4</v>
      </c>
      <c r="G700" s="10">
        <v>1</v>
      </c>
      <c r="H700" s="10">
        <v>5</v>
      </c>
      <c r="I700" s="10">
        <v>1</v>
      </c>
      <c r="J700" s="10">
        <f>SUM(B700:I700)</f>
        <v>45.212999999999994</v>
      </c>
      <c r="K700">
        <v>2015</v>
      </c>
      <c r="L700">
        <v>12</v>
      </c>
      <c r="M700" s="11">
        <v>42339</v>
      </c>
      <c r="N700" t="s">
        <v>2184</v>
      </c>
      <c r="O700">
        <v>2</v>
      </c>
      <c r="P700" t="s">
        <v>63</v>
      </c>
      <c r="Q700" t="b">
        <v>1</v>
      </c>
    </row>
    <row r="701" spans="1:17">
      <c r="A701" s="12">
        <v>42340</v>
      </c>
      <c r="B701" s="10">
        <v>1</v>
      </c>
      <c r="C701" s="10">
        <v>3.33</v>
      </c>
      <c r="D701" s="10">
        <v>2.4</v>
      </c>
      <c r="E701" s="10">
        <v>42</v>
      </c>
      <c r="F701" s="10">
        <v>23</v>
      </c>
      <c r="G701" s="10">
        <v>4</v>
      </c>
      <c r="H701" s="10">
        <v>0</v>
      </c>
      <c r="I701" s="10">
        <v>0</v>
      </c>
      <c r="J701" s="10">
        <f>SUM(B701:I701)</f>
        <v>75.73</v>
      </c>
      <c r="K701">
        <v>2015</v>
      </c>
      <c r="L701">
        <v>12</v>
      </c>
      <c r="M701" s="11">
        <v>42339</v>
      </c>
      <c r="N701" t="s">
        <v>2184</v>
      </c>
      <c r="O701">
        <v>3</v>
      </c>
      <c r="P701" t="s">
        <v>65</v>
      </c>
      <c r="Q701" t="b">
        <v>1</v>
      </c>
    </row>
    <row r="702" spans="1:17">
      <c r="A702" s="12">
        <v>42341</v>
      </c>
      <c r="B702" s="10">
        <v>4</v>
      </c>
      <c r="C702" s="10">
        <v>3</v>
      </c>
      <c r="D702" s="10">
        <v>5.6</v>
      </c>
      <c r="E702" s="10">
        <v>56</v>
      </c>
      <c r="F702" s="10">
        <v>6</v>
      </c>
      <c r="G702" s="10">
        <v>1</v>
      </c>
      <c r="H702" s="10">
        <v>1</v>
      </c>
      <c r="I702" s="10">
        <v>1</v>
      </c>
      <c r="J702" s="10">
        <f>SUM(B702:I702)</f>
        <v>77.6</v>
      </c>
      <c r="K702">
        <v>2015</v>
      </c>
      <c r="L702">
        <v>12</v>
      </c>
      <c r="M702" s="11">
        <v>42339</v>
      </c>
      <c r="N702" t="s">
        <v>2184</v>
      </c>
      <c r="O702">
        <v>4</v>
      </c>
      <c r="P702" t="s">
        <v>53</v>
      </c>
      <c r="Q702" t="b">
        <v>1</v>
      </c>
    </row>
    <row r="703" spans="1:17">
      <c r="A703" s="12">
        <v>42342</v>
      </c>
      <c r="B703" s="10">
        <v>3.33</v>
      </c>
      <c r="C703" s="10">
        <v>4.759</v>
      </c>
      <c r="D703" s="10">
        <v>4.7</v>
      </c>
      <c r="E703" s="10">
        <v>25.6</v>
      </c>
      <c r="F703" s="10">
        <v>9</v>
      </c>
      <c r="G703" s="10">
        <v>3</v>
      </c>
      <c r="H703" s="10">
        <v>3</v>
      </c>
      <c r="I703" s="10">
        <v>1</v>
      </c>
      <c r="J703" s="10">
        <f>SUM(B703:I703)</f>
        <v>54.389</v>
      </c>
      <c r="K703">
        <v>2015</v>
      </c>
      <c r="L703">
        <v>12</v>
      </c>
      <c r="M703" s="11">
        <v>42339</v>
      </c>
      <c r="N703" t="s">
        <v>2184</v>
      </c>
      <c r="O703">
        <v>5</v>
      </c>
      <c r="P703" t="s">
        <v>55</v>
      </c>
      <c r="Q703" t="b">
        <v>1</v>
      </c>
    </row>
    <row r="704" spans="1:17">
      <c r="A704" s="12">
        <v>42343</v>
      </c>
      <c r="B704" s="10">
        <v>8</v>
      </c>
      <c r="C704" s="10">
        <v>3.033</v>
      </c>
      <c r="D704" s="10">
        <v>2</v>
      </c>
      <c r="E704" s="10">
        <v>35.05</v>
      </c>
      <c r="F704" s="10">
        <v>2</v>
      </c>
      <c r="G704" s="10">
        <v>0</v>
      </c>
      <c r="H704" s="10">
        <v>7</v>
      </c>
      <c r="I704" s="10">
        <v>2.33</v>
      </c>
      <c r="J704" s="10">
        <f>SUM(B704:I704)</f>
        <v>59.413</v>
      </c>
      <c r="K704">
        <v>2015</v>
      </c>
      <c r="L704">
        <v>12</v>
      </c>
      <c r="M704" s="11">
        <v>42339</v>
      </c>
      <c r="N704" t="s">
        <v>2184</v>
      </c>
      <c r="O704">
        <v>6</v>
      </c>
      <c r="P704" t="s">
        <v>57</v>
      </c>
      <c r="Q704" t="b">
        <v>1</v>
      </c>
    </row>
    <row r="705" spans="1:17">
      <c r="A705" s="12">
        <v>42344</v>
      </c>
      <c r="B705" s="10">
        <v>5.67</v>
      </c>
      <c r="C705" s="10">
        <v>7</v>
      </c>
      <c r="D705" s="10">
        <v>3.4</v>
      </c>
      <c r="E705" s="10">
        <v>60.4</v>
      </c>
      <c r="F705" s="10">
        <v>5</v>
      </c>
      <c r="G705" s="10">
        <v>2</v>
      </c>
      <c r="H705" s="10">
        <v>3</v>
      </c>
      <c r="I705" s="10">
        <v>1</v>
      </c>
      <c r="J705" s="10">
        <f>SUM(B705:I705)</f>
        <v>87.47</v>
      </c>
      <c r="K705">
        <v>2015</v>
      </c>
      <c r="L705">
        <v>12</v>
      </c>
      <c r="M705" s="11">
        <v>42339</v>
      </c>
      <c r="N705" t="s">
        <v>2184</v>
      </c>
      <c r="O705">
        <v>7</v>
      </c>
      <c r="P705" t="s">
        <v>59</v>
      </c>
      <c r="Q705" t="b">
        <v>1</v>
      </c>
    </row>
    <row r="706" spans="1:17">
      <c r="A706" s="12">
        <v>42345</v>
      </c>
      <c r="B706" s="10">
        <v>3</v>
      </c>
      <c r="C706" s="10">
        <v>2.099</v>
      </c>
      <c r="D706" s="10">
        <v>2.2</v>
      </c>
      <c r="E706" s="10">
        <v>26.5</v>
      </c>
      <c r="F706" s="10">
        <v>6</v>
      </c>
      <c r="G706" s="10">
        <v>1</v>
      </c>
      <c r="H706" s="10">
        <v>11</v>
      </c>
      <c r="I706" s="10">
        <v>6</v>
      </c>
      <c r="J706" s="10">
        <f>SUM(B706:I706)</f>
        <v>57.799</v>
      </c>
      <c r="K706">
        <v>2015</v>
      </c>
      <c r="L706">
        <v>12</v>
      </c>
      <c r="M706" s="11">
        <v>42339</v>
      </c>
      <c r="N706" t="s">
        <v>2184</v>
      </c>
      <c r="O706">
        <v>1</v>
      </c>
      <c r="P706" t="s">
        <v>61</v>
      </c>
      <c r="Q706" t="b">
        <v>1</v>
      </c>
    </row>
    <row r="707" spans="1:17">
      <c r="A707" s="12">
        <v>42346</v>
      </c>
      <c r="B707" s="10">
        <v>2</v>
      </c>
      <c r="C707" s="10">
        <v>6.34</v>
      </c>
      <c r="D707" s="10">
        <v>2</v>
      </c>
      <c r="E707" s="10">
        <v>41.325</v>
      </c>
      <c r="F707" s="10">
        <v>8</v>
      </c>
      <c r="G707" s="10">
        <v>0</v>
      </c>
      <c r="H707" s="10">
        <v>0</v>
      </c>
      <c r="I707" s="10">
        <v>0</v>
      </c>
      <c r="J707" s="10">
        <f>SUM(B707:I707)</f>
        <v>59.665000000000006</v>
      </c>
      <c r="K707">
        <v>2015</v>
      </c>
      <c r="L707">
        <v>12</v>
      </c>
      <c r="M707" s="11">
        <v>42339</v>
      </c>
      <c r="N707" t="s">
        <v>2184</v>
      </c>
      <c r="O707">
        <v>2</v>
      </c>
      <c r="P707" t="s">
        <v>63</v>
      </c>
      <c r="Q707" t="b">
        <v>1</v>
      </c>
    </row>
    <row r="708" spans="1:17">
      <c r="A708" s="12">
        <v>42347</v>
      </c>
      <c r="B708" s="10">
        <v>3.34</v>
      </c>
      <c r="C708" s="10">
        <v>3.472</v>
      </c>
      <c r="D708" s="10">
        <v>7</v>
      </c>
      <c r="E708" s="10">
        <v>41.262</v>
      </c>
      <c r="F708" s="10">
        <v>16</v>
      </c>
      <c r="G708" s="10">
        <v>0</v>
      </c>
      <c r="H708" s="10">
        <v>3</v>
      </c>
      <c r="I708" s="10">
        <v>1</v>
      </c>
      <c r="J708" s="10">
        <f>SUM(B708:I708)</f>
        <v>75.074</v>
      </c>
      <c r="K708">
        <v>2015</v>
      </c>
      <c r="L708">
        <v>12</v>
      </c>
      <c r="M708" s="11">
        <v>42339</v>
      </c>
      <c r="N708" t="s">
        <v>2184</v>
      </c>
      <c r="O708">
        <v>3</v>
      </c>
      <c r="P708" t="s">
        <v>65</v>
      </c>
      <c r="Q708" t="b">
        <v>1</v>
      </c>
    </row>
    <row r="709" spans="1:17">
      <c r="A709" s="12">
        <v>42348</v>
      </c>
      <c r="B709" s="10">
        <v>11.66</v>
      </c>
      <c r="C709" s="10">
        <v>10.69</v>
      </c>
      <c r="D709" s="10">
        <v>16</v>
      </c>
      <c r="E709" s="10">
        <v>31.9</v>
      </c>
      <c r="F709" s="10">
        <v>9</v>
      </c>
      <c r="G709" s="10">
        <v>0</v>
      </c>
      <c r="H709" s="10">
        <v>9</v>
      </c>
      <c r="I709" s="10">
        <v>2.1</v>
      </c>
      <c r="J709" s="10">
        <f>SUM(B709:I709)</f>
        <v>90.35</v>
      </c>
      <c r="K709">
        <v>2015</v>
      </c>
      <c r="L709">
        <v>12</v>
      </c>
      <c r="M709" s="11">
        <v>42339</v>
      </c>
      <c r="N709" t="s">
        <v>2184</v>
      </c>
      <c r="O709">
        <v>4</v>
      </c>
      <c r="P709" t="s">
        <v>53</v>
      </c>
      <c r="Q709" t="b">
        <v>1</v>
      </c>
    </row>
    <row r="710" spans="1:17">
      <c r="A710" s="12">
        <v>42349</v>
      </c>
      <c r="B710" s="10">
        <v>5.84</v>
      </c>
      <c r="C710" s="10">
        <v>6.165</v>
      </c>
      <c r="D710" s="10">
        <v>3</v>
      </c>
      <c r="E710" s="10">
        <v>22.7</v>
      </c>
      <c r="F710" s="10">
        <v>9</v>
      </c>
      <c r="G710" s="10">
        <v>0</v>
      </c>
      <c r="H710" s="10">
        <v>16</v>
      </c>
      <c r="I710" s="10">
        <v>1</v>
      </c>
      <c r="J710" s="10">
        <f>SUM(B710:I710)</f>
        <v>63.705</v>
      </c>
      <c r="K710">
        <v>2015</v>
      </c>
      <c r="L710">
        <v>12</v>
      </c>
      <c r="M710" s="11">
        <v>42339</v>
      </c>
      <c r="N710" t="s">
        <v>2184</v>
      </c>
      <c r="O710">
        <v>5</v>
      </c>
      <c r="P710" t="s">
        <v>55</v>
      </c>
      <c r="Q710" t="b">
        <v>1</v>
      </c>
    </row>
    <row r="711" spans="1:17">
      <c r="A711" s="12">
        <v>42350</v>
      </c>
      <c r="B711" s="10">
        <v>6.34</v>
      </c>
      <c r="C711" s="10">
        <v>3.2</v>
      </c>
      <c r="D711" s="10">
        <v>3</v>
      </c>
      <c r="E711" s="10">
        <v>42.2</v>
      </c>
      <c r="F711" s="10">
        <v>5</v>
      </c>
      <c r="G711" s="10">
        <v>2</v>
      </c>
      <c r="H711" s="10">
        <v>6</v>
      </c>
      <c r="I711" s="10">
        <v>1</v>
      </c>
      <c r="J711" s="10">
        <f>SUM(B711:I711)</f>
        <v>68.74000000000001</v>
      </c>
      <c r="K711">
        <v>2015</v>
      </c>
      <c r="L711">
        <v>12</v>
      </c>
      <c r="M711" s="11">
        <v>42339</v>
      </c>
      <c r="N711" t="s">
        <v>2184</v>
      </c>
      <c r="O711">
        <v>6</v>
      </c>
      <c r="P711" t="s">
        <v>57</v>
      </c>
      <c r="Q711" t="b">
        <v>1</v>
      </c>
    </row>
    <row r="712" spans="1:17">
      <c r="A712" s="12">
        <v>42351</v>
      </c>
      <c r="B712" s="10">
        <v>9.33</v>
      </c>
      <c r="C712" s="10">
        <v>4.32</v>
      </c>
      <c r="D712" s="10">
        <v>7</v>
      </c>
      <c r="E712" s="10">
        <v>29</v>
      </c>
      <c r="F712" s="10">
        <v>5</v>
      </c>
      <c r="G712" s="10">
        <v>0</v>
      </c>
      <c r="H712" s="10">
        <v>27</v>
      </c>
      <c r="I712" s="10">
        <v>0</v>
      </c>
      <c r="J712" s="10">
        <f>SUM(B712:I712)</f>
        <v>81.65</v>
      </c>
      <c r="K712">
        <v>2015</v>
      </c>
      <c r="L712">
        <v>12</v>
      </c>
      <c r="M712" s="11">
        <v>42339</v>
      </c>
      <c r="N712" t="s">
        <v>2184</v>
      </c>
      <c r="O712">
        <v>7</v>
      </c>
      <c r="P712" t="s">
        <v>59</v>
      </c>
      <c r="Q712" t="b">
        <v>1</v>
      </c>
    </row>
    <row r="713" spans="1:17">
      <c r="A713" s="12">
        <v>42352</v>
      </c>
      <c r="B713" s="10">
        <v>5</v>
      </c>
      <c r="C713" s="10">
        <v>3</v>
      </c>
      <c r="D713" s="10">
        <v>6.6</v>
      </c>
      <c r="E713" s="10">
        <v>37.4</v>
      </c>
      <c r="F713" s="10">
        <v>11</v>
      </c>
      <c r="G713" s="10">
        <v>0</v>
      </c>
      <c r="H713" s="10">
        <v>21</v>
      </c>
      <c r="I713" s="10">
        <v>1</v>
      </c>
      <c r="J713" s="10">
        <f>SUM(B713:I713)</f>
        <v>85.0</v>
      </c>
      <c r="K713">
        <v>2015</v>
      </c>
      <c r="L713">
        <v>12</v>
      </c>
      <c r="M713" s="11">
        <v>42339</v>
      </c>
      <c r="N713" t="s">
        <v>2184</v>
      </c>
      <c r="O713">
        <v>1</v>
      </c>
      <c r="P713" t="s">
        <v>61</v>
      </c>
      <c r="Q713" t="b">
        <v>1</v>
      </c>
    </row>
    <row r="714" spans="1:17">
      <c r="A714" s="12">
        <v>42353</v>
      </c>
      <c r="B714" s="10">
        <v>4.99</v>
      </c>
      <c r="C714" s="10">
        <v>2</v>
      </c>
      <c r="D714" s="10">
        <v>5</v>
      </c>
      <c r="E714" s="10">
        <v>42</v>
      </c>
      <c r="F714" s="10">
        <v>3</v>
      </c>
      <c r="G714" s="10">
        <v>1</v>
      </c>
      <c r="H714" s="10">
        <v>2</v>
      </c>
      <c r="I714" s="10">
        <v>1</v>
      </c>
      <c r="J714" s="10">
        <f>SUM(B714:I714)</f>
        <v>60.99</v>
      </c>
      <c r="K714">
        <v>2015</v>
      </c>
      <c r="L714">
        <v>12</v>
      </c>
      <c r="M714" s="11">
        <v>42339</v>
      </c>
      <c r="N714" t="s">
        <v>2184</v>
      </c>
      <c r="O714">
        <v>2</v>
      </c>
      <c r="P714" t="s">
        <v>63</v>
      </c>
      <c r="Q714" t="b">
        <v>1</v>
      </c>
    </row>
    <row r="715" spans="1:17">
      <c r="A715" s="12">
        <v>42354</v>
      </c>
      <c r="B715" s="10">
        <v>6.67</v>
      </c>
      <c r="C715" s="10">
        <v>4</v>
      </c>
      <c r="D715" s="10">
        <v>4</v>
      </c>
      <c r="E715" s="10">
        <v>42</v>
      </c>
      <c r="F715" s="10">
        <v>11</v>
      </c>
      <c r="G715" s="10">
        <v>1</v>
      </c>
      <c r="H715" s="10">
        <v>11</v>
      </c>
      <c r="I715" s="10">
        <v>0</v>
      </c>
      <c r="J715" s="10">
        <f>SUM(B715:I715)</f>
        <v>79.67</v>
      </c>
      <c r="K715">
        <v>2015</v>
      </c>
      <c r="L715">
        <v>12</v>
      </c>
      <c r="M715" s="11">
        <v>42339</v>
      </c>
      <c r="N715" t="s">
        <v>2184</v>
      </c>
      <c r="O715">
        <v>3</v>
      </c>
      <c r="P715" t="s">
        <v>65</v>
      </c>
      <c r="Q715" t="b">
        <v>1</v>
      </c>
    </row>
    <row r="716" spans="1:17">
      <c r="A716" s="12">
        <v>42355</v>
      </c>
      <c r="B716" s="10">
        <v>9</v>
      </c>
      <c r="C716" s="10">
        <v>3.01</v>
      </c>
      <c r="D716" s="10">
        <v>3</v>
      </c>
      <c r="E716" s="10">
        <v>25</v>
      </c>
      <c r="F716" s="10">
        <v>7</v>
      </c>
      <c r="G716" s="10">
        <v>0</v>
      </c>
      <c r="H716" s="10">
        <v>0</v>
      </c>
      <c r="I716" s="10">
        <v>2</v>
      </c>
      <c r="J716" s="10">
        <f>SUM(B716:I716)</f>
        <v>49.01</v>
      </c>
      <c r="K716">
        <v>2015</v>
      </c>
      <c r="L716">
        <v>12</v>
      </c>
      <c r="M716" s="11">
        <v>42339</v>
      </c>
      <c r="N716" t="s">
        <v>2184</v>
      </c>
      <c r="O716">
        <v>4</v>
      </c>
      <c r="P716" t="s">
        <v>53</v>
      </c>
      <c r="Q716" t="b">
        <v>1</v>
      </c>
    </row>
    <row r="717" spans="1:17">
      <c r="A717" s="12">
        <v>42356</v>
      </c>
      <c r="B717" s="10">
        <v>4.33</v>
      </c>
      <c r="C717" s="10">
        <v>8.901</v>
      </c>
      <c r="D717" s="10">
        <v>4.3</v>
      </c>
      <c r="E717" s="10">
        <v>27.2</v>
      </c>
      <c r="F717" s="10">
        <v>12</v>
      </c>
      <c r="G717" s="10">
        <v>4</v>
      </c>
      <c r="H717" s="10">
        <v>2</v>
      </c>
      <c r="I717" s="10">
        <v>1</v>
      </c>
      <c r="J717" s="10">
        <f>SUM(B717:I717)</f>
        <v>63.730999999999995</v>
      </c>
      <c r="K717">
        <v>2015</v>
      </c>
      <c r="L717">
        <v>12</v>
      </c>
      <c r="M717" s="11">
        <v>42339</v>
      </c>
      <c r="N717" t="s">
        <v>2184</v>
      </c>
      <c r="O717">
        <v>5</v>
      </c>
      <c r="P717" t="s">
        <v>55</v>
      </c>
      <c r="Q717" t="b">
        <v>1</v>
      </c>
    </row>
    <row r="718" spans="1:17">
      <c r="A718" s="12">
        <v>42357</v>
      </c>
      <c r="B718" s="10">
        <v>0</v>
      </c>
      <c r="C718" s="10">
        <v>0</v>
      </c>
      <c r="D718" s="10">
        <v>0</v>
      </c>
      <c r="E718" s="10">
        <v>0</v>
      </c>
      <c r="F718" s="10">
        <v>0</v>
      </c>
      <c r="G718" s="10">
        <v>0</v>
      </c>
      <c r="H718" s="10">
        <v>0</v>
      </c>
      <c r="I718" s="10">
        <v>0</v>
      </c>
      <c r="J718" s="10">
        <f>SUM(B718:I718)</f>
        <v>0.0</v>
      </c>
      <c r="K718">
        <v>2015</v>
      </c>
      <c r="L718">
        <v>12</v>
      </c>
      <c r="M718" s="11">
        <v>42339</v>
      </c>
      <c r="N718" t="s">
        <v>2184</v>
      </c>
      <c r="O718">
        <v>6</v>
      </c>
      <c r="P718" t="s">
        <v>57</v>
      </c>
      <c r="Q718" t="b">
        <v>1</v>
      </c>
    </row>
    <row r="719" spans="1:17">
      <c r="A719" s="12">
        <v>42358</v>
      </c>
      <c r="B719" s="10">
        <v>3</v>
      </c>
      <c r="C719" s="10">
        <v>3.474</v>
      </c>
      <c r="D719" s="10">
        <v>2.2</v>
      </c>
      <c r="E719" s="10">
        <v>43</v>
      </c>
      <c r="F719" s="10">
        <v>3</v>
      </c>
      <c r="G719" s="10">
        <v>0</v>
      </c>
      <c r="H719" s="10">
        <v>16</v>
      </c>
      <c r="I719" s="10">
        <v>1</v>
      </c>
      <c r="J719" s="10">
        <f>SUM(B719:I719)</f>
        <v>71.674</v>
      </c>
      <c r="K719">
        <v>2015</v>
      </c>
      <c r="L719">
        <v>12</v>
      </c>
      <c r="M719" s="11">
        <v>42339</v>
      </c>
      <c r="N719" t="s">
        <v>2184</v>
      </c>
      <c r="O719">
        <v>7</v>
      </c>
      <c r="P719" t="s">
        <v>59</v>
      </c>
      <c r="Q719" t="b">
        <v>1</v>
      </c>
    </row>
    <row r="720" spans="1:17">
      <c r="A720" s="12">
        <v>42359</v>
      </c>
      <c r="B720" s="10">
        <v>5</v>
      </c>
      <c r="C720" s="10">
        <v>6.34</v>
      </c>
      <c r="D720" s="10">
        <v>2</v>
      </c>
      <c r="E720" s="10">
        <v>53.6</v>
      </c>
      <c r="F720" s="10">
        <v>14</v>
      </c>
      <c r="G720" s="10">
        <v>0</v>
      </c>
      <c r="H720" s="10">
        <v>6</v>
      </c>
      <c r="I720" s="10">
        <v>0.4</v>
      </c>
      <c r="J720" s="10">
        <f>SUM(B720:I720)</f>
        <v>87.34</v>
      </c>
      <c r="K720">
        <v>2015</v>
      </c>
      <c r="L720">
        <v>12</v>
      </c>
      <c r="M720" s="11">
        <v>42339</v>
      </c>
      <c r="N720" t="s">
        <v>2184</v>
      </c>
      <c r="O720">
        <v>1</v>
      </c>
      <c r="P720" t="s">
        <v>61</v>
      </c>
      <c r="Q720" t="b">
        <v>1</v>
      </c>
    </row>
    <row r="721" spans="1:17">
      <c r="A721" s="12">
        <v>42360</v>
      </c>
      <c r="B721" s="10">
        <v>5.66</v>
      </c>
      <c r="C721" s="10">
        <v>0</v>
      </c>
      <c r="D721" s="10">
        <v>5</v>
      </c>
      <c r="E721" s="10">
        <v>48</v>
      </c>
      <c r="F721" s="10">
        <v>6</v>
      </c>
      <c r="G721" s="10">
        <v>0</v>
      </c>
      <c r="H721" s="10">
        <v>13</v>
      </c>
      <c r="I721" s="10">
        <v>1</v>
      </c>
      <c r="J721" s="10">
        <f>SUM(B721:I721)</f>
        <v>78.66</v>
      </c>
      <c r="K721">
        <v>2015</v>
      </c>
      <c r="L721">
        <v>12</v>
      </c>
      <c r="M721" s="11">
        <v>42339</v>
      </c>
      <c r="N721" t="s">
        <v>2184</v>
      </c>
      <c r="O721">
        <v>2</v>
      </c>
      <c r="P721" t="s">
        <v>63</v>
      </c>
      <c r="Q721" t="b">
        <v>1</v>
      </c>
    </row>
    <row r="722" spans="1:17">
      <c r="A722" s="12">
        <v>42361</v>
      </c>
      <c r="B722" s="10">
        <v>3.33</v>
      </c>
      <c r="C722" s="10">
        <v>4.01</v>
      </c>
      <c r="D722" s="10">
        <v>2.3</v>
      </c>
      <c r="E722" s="10">
        <v>28.8</v>
      </c>
      <c r="F722" s="10">
        <v>3</v>
      </c>
      <c r="G722" s="10">
        <v>0</v>
      </c>
      <c r="H722" s="10">
        <v>0</v>
      </c>
      <c r="I722" s="10">
        <v>0</v>
      </c>
      <c r="J722" s="10">
        <f>SUM(B722:I722)</f>
        <v>41.44</v>
      </c>
      <c r="K722">
        <v>2015</v>
      </c>
      <c r="L722">
        <v>12</v>
      </c>
      <c r="M722" s="11">
        <v>42339</v>
      </c>
      <c r="N722" t="s">
        <v>2184</v>
      </c>
      <c r="O722">
        <v>3</v>
      </c>
      <c r="P722" t="s">
        <v>65</v>
      </c>
      <c r="Q722" t="b">
        <v>1</v>
      </c>
    </row>
    <row r="723" spans="1:17">
      <c r="A723" s="12">
        <v>42362</v>
      </c>
      <c r="B723" s="10">
        <v>7.33</v>
      </c>
      <c r="C723" s="10">
        <v>3.396</v>
      </c>
      <c r="D723" s="10">
        <v>5</v>
      </c>
      <c r="E723" s="10">
        <v>28.3</v>
      </c>
      <c r="F723" s="10">
        <v>5</v>
      </c>
      <c r="G723" s="10">
        <v>0</v>
      </c>
      <c r="H723" s="10">
        <v>16</v>
      </c>
      <c r="I723" s="10">
        <v>0</v>
      </c>
      <c r="J723" s="10">
        <f>SUM(B723:I723)</f>
        <v>65.026</v>
      </c>
      <c r="K723">
        <v>2015</v>
      </c>
      <c r="L723">
        <v>12</v>
      </c>
      <c r="M723" s="11">
        <v>42339</v>
      </c>
      <c r="N723" t="s">
        <v>2184</v>
      </c>
      <c r="O723">
        <v>4</v>
      </c>
      <c r="P723" t="s">
        <v>53</v>
      </c>
      <c r="Q723" t="b">
        <v>1</v>
      </c>
    </row>
    <row r="724" spans="1:17">
      <c r="A724" s="12">
        <v>42363</v>
      </c>
      <c r="B724" s="10">
        <v>0.66</v>
      </c>
      <c r="C724" s="10">
        <v>4.66</v>
      </c>
      <c r="D724" s="10">
        <v>2</v>
      </c>
      <c r="E724" s="10">
        <v>20.662</v>
      </c>
      <c r="F724" s="10">
        <v>28</v>
      </c>
      <c r="G724" s="10">
        <v>2</v>
      </c>
      <c r="H724" s="10">
        <v>1</v>
      </c>
      <c r="I724" s="10">
        <v>1</v>
      </c>
      <c r="J724" s="10">
        <f>SUM(B724:I724)</f>
        <v>59.982</v>
      </c>
      <c r="K724">
        <v>2015</v>
      </c>
      <c r="L724">
        <v>12</v>
      </c>
      <c r="M724" s="11">
        <v>42339</v>
      </c>
      <c r="N724" t="s">
        <v>2184</v>
      </c>
      <c r="O724">
        <v>5</v>
      </c>
      <c r="P724" t="s">
        <v>55</v>
      </c>
      <c r="Q724" t="b">
        <v>1</v>
      </c>
    </row>
    <row r="725" spans="1:17">
      <c r="A725" s="12">
        <v>42364</v>
      </c>
      <c r="B725" s="10">
        <v>4.67</v>
      </c>
      <c r="C725" s="10">
        <v>1.66</v>
      </c>
      <c r="D725" s="10">
        <v>5</v>
      </c>
      <c r="E725" s="10">
        <v>87.2</v>
      </c>
      <c r="F725" s="10">
        <v>15</v>
      </c>
      <c r="G725" s="10">
        <v>3</v>
      </c>
      <c r="H725" s="10">
        <v>0</v>
      </c>
      <c r="I725" s="10">
        <v>4.3</v>
      </c>
      <c r="J725" s="10">
        <f>SUM(B725:I725)</f>
        <v>120.83</v>
      </c>
      <c r="K725">
        <v>2015</v>
      </c>
      <c r="L725">
        <v>12</v>
      </c>
      <c r="M725" s="11">
        <v>42339</v>
      </c>
      <c r="N725" t="s">
        <v>2184</v>
      </c>
      <c r="O725">
        <v>6</v>
      </c>
      <c r="P725" t="s">
        <v>57</v>
      </c>
      <c r="Q725" t="b">
        <v>1</v>
      </c>
    </row>
    <row r="726" spans="1:17">
      <c r="A726" s="12">
        <v>42365</v>
      </c>
      <c r="B726" s="10">
        <v>5.33</v>
      </c>
      <c r="C726" s="10">
        <v>6.792</v>
      </c>
      <c r="D726" s="10">
        <v>5.2</v>
      </c>
      <c r="E726" s="10">
        <v>63.5</v>
      </c>
      <c r="F726" s="10">
        <v>4</v>
      </c>
      <c r="G726" s="10">
        <v>0</v>
      </c>
      <c r="H726" s="10">
        <v>14</v>
      </c>
      <c r="I726" s="10">
        <v>4.6</v>
      </c>
      <c r="J726" s="10">
        <f>SUM(B726:I726)</f>
        <v>103.422</v>
      </c>
      <c r="K726">
        <v>2015</v>
      </c>
      <c r="L726">
        <v>12</v>
      </c>
      <c r="M726" s="11">
        <v>42339</v>
      </c>
      <c r="N726" t="s">
        <v>2184</v>
      </c>
      <c r="O726">
        <v>7</v>
      </c>
      <c r="P726" t="s">
        <v>59</v>
      </c>
      <c r="Q726" t="b">
        <v>1</v>
      </c>
    </row>
    <row r="727" spans="1:17">
      <c r="A727" s="12">
        <v>42366</v>
      </c>
      <c r="B727" s="10">
        <v>4</v>
      </c>
      <c r="C727" s="10">
        <v>5.099</v>
      </c>
      <c r="D727" s="10">
        <v>9.199999999999999</v>
      </c>
      <c r="E727" s="10">
        <v>61.5</v>
      </c>
      <c r="F727" s="10">
        <v>18</v>
      </c>
      <c r="G727" s="10">
        <v>3</v>
      </c>
      <c r="H727" s="10">
        <v>26</v>
      </c>
      <c r="I727" s="10">
        <v>1</v>
      </c>
      <c r="J727" s="10">
        <f>SUM(B727:I727)</f>
        <v>127.799</v>
      </c>
      <c r="K727">
        <v>2015</v>
      </c>
      <c r="L727">
        <v>12</v>
      </c>
      <c r="M727" s="11">
        <v>42339</v>
      </c>
      <c r="N727" t="s">
        <v>2184</v>
      </c>
      <c r="O727">
        <v>1</v>
      </c>
      <c r="P727" t="s">
        <v>61</v>
      </c>
      <c r="Q727" t="b">
        <v>1</v>
      </c>
    </row>
    <row r="728" spans="1:17">
      <c r="A728" s="12">
        <v>42367</v>
      </c>
      <c r="B728" s="10">
        <v>10.67</v>
      </c>
      <c r="C728" s="10">
        <v>2.33</v>
      </c>
      <c r="D728" s="10">
        <v>2</v>
      </c>
      <c r="E728" s="10">
        <v>71.59999999999999</v>
      </c>
      <c r="F728" s="10">
        <v>9</v>
      </c>
      <c r="G728" s="10">
        <v>0</v>
      </c>
      <c r="H728" s="10">
        <v>2</v>
      </c>
      <c r="I728" s="10">
        <v>3</v>
      </c>
      <c r="J728" s="10">
        <f>SUM(B728:I728)</f>
        <v>100.6</v>
      </c>
      <c r="K728">
        <v>2015</v>
      </c>
      <c r="L728">
        <v>12</v>
      </c>
      <c r="M728" s="11">
        <v>42339</v>
      </c>
      <c r="N728" t="s">
        <v>2184</v>
      </c>
      <c r="O728">
        <v>2</v>
      </c>
      <c r="P728" t="s">
        <v>63</v>
      </c>
      <c r="Q728" t="b">
        <v>1</v>
      </c>
    </row>
    <row r="729" spans="1:17">
      <c r="A729" s="12">
        <v>42368</v>
      </c>
      <c r="B729" s="10">
        <v>6.66</v>
      </c>
      <c r="C729" s="10">
        <v>7.089</v>
      </c>
      <c r="D729" s="10">
        <v>2</v>
      </c>
      <c r="E729" s="10">
        <v>56.4</v>
      </c>
      <c r="F729" s="10">
        <v>12</v>
      </c>
      <c r="G729" s="10">
        <v>0</v>
      </c>
      <c r="H729" s="10">
        <v>4</v>
      </c>
      <c r="I729" s="10">
        <v>2</v>
      </c>
      <c r="J729" s="10">
        <f>SUM(B729:I729)</f>
        <v>90.149</v>
      </c>
      <c r="K729">
        <v>2015</v>
      </c>
      <c r="L729">
        <v>12</v>
      </c>
      <c r="M729" s="11">
        <v>42339</v>
      </c>
      <c r="N729" t="s">
        <v>2184</v>
      </c>
      <c r="O729">
        <v>3</v>
      </c>
      <c r="P729" t="s">
        <v>65</v>
      </c>
      <c r="Q729" t="b">
        <v>1</v>
      </c>
    </row>
    <row r="730" spans="1:17">
      <c r="A730" s="12">
        <v>42369</v>
      </c>
      <c r="B730" s="10">
        <v>7.66</v>
      </c>
      <c r="C730" s="10">
        <v>6.099</v>
      </c>
      <c r="D730" s="10">
        <v>7.6</v>
      </c>
      <c r="E730" s="10">
        <v>44.35</v>
      </c>
      <c r="F730" s="10">
        <v>18</v>
      </c>
      <c r="G730" s="10">
        <v>0</v>
      </c>
      <c r="H730" s="10">
        <v>6</v>
      </c>
      <c r="I730" s="10">
        <v>1</v>
      </c>
      <c r="J730" s="10">
        <f>SUM(B730:I730)</f>
        <v>90.709</v>
      </c>
      <c r="K730">
        <v>2015</v>
      </c>
      <c r="L730">
        <v>12</v>
      </c>
      <c r="M730" s="11">
        <v>42339</v>
      </c>
      <c r="N730" t="s">
        <v>2184</v>
      </c>
      <c r="O730">
        <v>4</v>
      </c>
      <c r="P730" t="s">
        <v>53</v>
      </c>
      <c r="Q730" t="b">
        <v>1</v>
      </c>
    </row>
    <row r="731" spans="1:17">
      <c r="A731" s="12">
        <v>42370</v>
      </c>
      <c r="B731" s="10">
        <v>0</v>
      </c>
      <c r="C731" s="10">
        <v>0</v>
      </c>
      <c r="D731" s="10">
        <v>0</v>
      </c>
      <c r="E731" s="10">
        <v>0</v>
      </c>
      <c r="F731" s="10">
        <v>0</v>
      </c>
      <c r="G731" s="10">
        <v>0</v>
      </c>
      <c r="H731" s="10">
        <v>0</v>
      </c>
      <c r="I731" s="10">
        <v>0</v>
      </c>
      <c r="J731" s="10">
        <f>SUM(B731:I731)</f>
        <v>0.0</v>
      </c>
      <c r="K731">
        <v>2016</v>
      </c>
      <c r="L731">
        <v>1</v>
      </c>
      <c r="M731" s="11">
        <v>42370</v>
      </c>
      <c r="N731" t="s">
        <v>2173</v>
      </c>
      <c r="O731">
        <v>5</v>
      </c>
      <c r="P731" t="s">
        <v>55</v>
      </c>
      <c r="Q731" t="b">
        <v>1</v>
      </c>
    </row>
    <row r="732" spans="1:17">
      <c r="A732" s="12">
        <v>42371</v>
      </c>
      <c r="B732" s="10">
        <v>0.34</v>
      </c>
      <c r="C732" s="10">
        <v>1.02</v>
      </c>
      <c r="D732" s="10">
        <v>1</v>
      </c>
      <c r="E732" s="10">
        <v>51.2</v>
      </c>
      <c r="F732" s="10">
        <v>0</v>
      </c>
      <c r="G732" s="10">
        <v>1</v>
      </c>
      <c r="H732" s="10">
        <v>5</v>
      </c>
      <c r="I732" s="10">
        <v>5</v>
      </c>
      <c r="J732" s="10">
        <f>SUM(B732:I732)</f>
        <v>64.56</v>
      </c>
      <c r="K732">
        <v>2016</v>
      </c>
      <c r="L732">
        <v>1</v>
      </c>
      <c r="M732" s="11">
        <v>42370</v>
      </c>
      <c r="N732" t="s">
        <v>2173</v>
      </c>
      <c r="O732">
        <v>6</v>
      </c>
      <c r="P732" t="s">
        <v>57</v>
      </c>
      <c r="Q732" t="b">
        <v>1</v>
      </c>
    </row>
    <row r="733" spans="1:17">
      <c r="A733" s="12">
        <v>42372</v>
      </c>
      <c r="B733" s="10">
        <v>4</v>
      </c>
      <c r="C733" s="10">
        <v>4</v>
      </c>
      <c r="D733" s="10">
        <v>2.5</v>
      </c>
      <c r="E733" s="10">
        <v>56.1</v>
      </c>
      <c r="F733" s="10">
        <v>1</v>
      </c>
      <c r="G733" s="10">
        <v>0</v>
      </c>
      <c r="H733" s="10">
        <v>5</v>
      </c>
      <c r="I733" s="10">
        <v>1</v>
      </c>
      <c r="J733" s="10">
        <f>SUM(B733:I733)</f>
        <v>73.6</v>
      </c>
      <c r="K733">
        <v>2016</v>
      </c>
      <c r="L733">
        <v>1</v>
      </c>
      <c r="M733" s="11">
        <v>42370</v>
      </c>
      <c r="N733" t="s">
        <v>2173</v>
      </c>
      <c r="O733">
        <v>7</v>
      </c>
      <c r="P733" t="s">
        <v>59</v>
      </c>
      <c r="Q733" t="b">
        <v>1</v>
      </c>
    </row>
    <row r="734" spans="1:17">
      <c r="A734" s="12">
        <v>42373</v>
      </c>
      <c r="B734" s="10">
        <v>7.33</v>
      </c>
      <c r="C734" s="10">
        <v>5.99</v>
      </c>
      <c r="D734" s="10">
        <v>6</v>
      </c>
      <c r="E734" s="10">
        <v>46.6</v>
      </c>
      <c r="F734" s="10">
        <v>6</v>
      </c>
      <c r="G734" s="10">
        <v>0</v>
      </c>
      <c r="H734" s="10">
        <v>12</v>
      </c>
      <c r="I734" s="10">
        <v>1</v>
      </c>
      <c r="J734" s="10">
        <f>SUM(B734:I734)</f>
        <v>84.92</v>
      </c>
      <c r="K734">
        <v>2016</v>
      </c>
      <c r="L734">
        <v>1</v>
      </c>
      <c r="M734" s="11">
        <v>42370</v>
      </c>
      <c r="N734" t="s">
        <v>2173</v>
      </c>
      <c r="O734">
        <v>1</v>
      </c>
      <c r="P734" t="s">
        <v>61</v>
      </c>
      <c r="Q734" t="b">
        <v>1</v>
      </c>
    </row>
    <row r="735" spans="1:17">
      <c r="A735" s="12">
        <v>42374</v>
      </c>
      <c r="B735" s="10">
        <v>5.33</v>
      </c>
      <c r="C735" s="10">
        <v>5.99</v>
      </c>
      <c r="D735" s="10">
        <v>4.6</v>
      </c>
      <c r="E735" s="10">
        <v>38.6</v>
      </c>
      <c r="F735" s="10">
        <v>15</v>
      </c>
      <c r="G735" s="10">
        <v>0</v>
      </c>
      <c r="H735" s="10">
        <v>5</v>
      </c>
      <c r="I735" s="10">
        <v>1</v>
      </c>
      <c r="J735" s="10">
        <f>SUM(B735:I735)</f>
        <v>75.52000000000001</v>
      </c>
      <c r="K735">
        <v>2016</v>
      </c>
      <c r="L735">
        <v>1</v>
      </c>
      <c r="M735" s="11">
        <v>42370</v>
      </c>
      <c r="N735" t="s">
        <v>2173</v>
      </c>
      <c r="O735">
        <v>2</v>
      </c>
      <c r="P735" t="s">
        <v>63</v>
      </c>
      <c r="Q735" t="b">
        <v>1</v>
      </c>
    </row>
    <row r="736" spans="1:17">
      <c r="A736" s="12">
        <v>42375</v>
      </c>
      <c r="B736" s="10">
        <v>6.66</v>
      </c>
      <c r="C736" s="10">
        <v>3</v>
      </c>
      <c r="D736" s="10">
        <v>6</v>
      </c>
      <c r="E736" s="10">
        <v>61.9</v>
      </c>
      <c r="F736" s="10">
        <v>2</v>
      </c>
      <c r="G736" s="10">
        <v>0</v>
      </c>
      <c r="H736" s="10">
        <v>12</v>
      </c>
      <c r="I736" s="10">
        <v>2</v>
      </c>
      <c r="J736" s="10">
        <f>SUM(B736:I736)</f>
        <v>93.56</v>
      </c>
      <c r="K736">
        <v>2016</v>
      </c>
      <c r="L736">
        <v>1</v>
      </c>
      <c r="M736" s="11">
        <v>42370</v>
      </c>
      <c r="N736" t="s">
        <v>2173</v>
      </c>
      <c r="O736">
        <v>3</v>
      </c>
      <c r="P736" t="s">
        <v>65</v>
      </c>
      <c r="Q736" t="b">
        <v>1</v>
      </c>
    </row>
    <row r="737" spans="1:17">
      <c r="A737" s="12">
        <v>42376</v>
      </c>
      <c r="B737" s="10">
        <v>0</v>
      </c>
      <c r="C737" s="10">
        <v>0</v>
      </c>
      <c r="D737" s="10">
        <v>0</v>
      </c>
      <c r="E737" s="10">
        <v>0</v>
      </c>
      <c r="F737" s="10">
        <v>0</v>
      </c>
      <c r="G737" s="10">
        <v>0</v>
      </c>
      <c r="H737" s="10">
        <v>0</v>
      </c>
      <c r="I737" s="10">
        <v>0</v>
      </c>
      <c r="J737" s="10">
        <f>SUM(B737:I737)</f>
        <v>0.0</v>
      </c>
      <c r="K737">
        <v>2016</v>
      </c>
      <c r="L737">
        <v>1</v>
      </c>
      <c r="M737" s="11">
        <v>42370</v>
      </c>
      <c r="N737" t="s">
        <v>2173</v>
      </c>
      <c r="O737">
        <v>4</v>
      </c>
      <c r="P737" t="s">
        <v>53</v>
      </c>
      <c r="Q737" t="b">
        <v>1</v>
      </c>
    </row>
    <row r="738" spans="1:17">
      <c r="A738" s="12">
        <v>42377</v>
      </c>
      <c r="B738" s="10">
        <v>8</v>
      </c>
      <c r="C738" s="10">
        <v>3.463</v>
      </c>
      <c r="D738" s="10">
        <v>7.7</v>
      </c>
      <c r="E738" s="10">
        <v>39.2</v>
      </c>
      <c r="F738" s="10">
        <v>8</v>
      </c>
      <c r="G738" s="10">
        <v>3</v>
      </c>
      <c r="H738" s="10">
        <v>2</v>
      </c>
      <c r="I738" s="10">
        <v>2</v>
      </c>
      <c r="J738" s="10">
        <f>SUM(B738:I738)</f>
        <v>73.363</v>
      </c>
      <c r="K738">
        <v>2016</v>
      </c>
      <c r="L738">
        <v>1</v>
      </c>
      <c r="M738" s="11">
        <v>42370</v>
      </c>
      <c r="N738" t="s">
        <v>2173</v>
      </c>
      <c r="O738">
        <v>5</v>
      </c>
      <c r="P738" t="s">
        <v>55</v>
      </c>
      <c r="Q738" t="b">
        <v>1</v>
      </c>
    </row>
    <row r="739" spans="1:17">
      <c r="A739" s="12">
        <v>42378</v>
      </c>
      <c r="B739" s="10">
        <v>7.33</v>
      </c>
      <c r="C739" s="10">
        <v>2.66</v>
      </c>
      <c r="D739" s="10">
        <v>5</v>
      </c>
      <c r="E739" s="10">
        <v>88.3</v>
      </c>
      <c r="F739" s="10">
        <v>9</v>
      </c>
      <c r="G739" s="10">
        <v>0</v>
      </c>
      <c r="H739" s="10">
        <v>3</v>
      </c>
      <c r="I739" s="10">
        <v>3</v>
      </c>
      <c r="J739" s="10">
        <f>SUM(B739:I739)</f>
        <v>118.28999999999999</v>
      </c>
      <c r="K739">
        <v>2016</v>
      </c>
      <c r="L739">
        <v>1</v>
      </c>
      <c r="M739" s="11">
        <v>42370</v>
      </c>
      <c r="N739" t="s">
        <v>2173</v>
      </c>
      <c r="O739">
        <v>6</v>
      </c>
      <c r="P739" t="s">
        <v>57</v>
      </c>
      <c r="Q739" t="b">
        <v>1</v>
      </c>
    </row>
    <row r="740" spans="1:17">
      <c r="A740" s="12">
        <v>42379</v>
      </c>
      <c r="B740" s="10">
        <v>7</v>
      </c>
      <c r="C740" s="10">
        <v>4.033</v>
      </c>
      <c r="D740" s="10">
        <v>12</v>
      </c>
      <c r="E740" s="10">
        <v>67.59999999999999</v>
      </c>
      <c r="F740" s="10">
        <v>8</v>
      </c>
      <c r="G740" s="10">
        <v>1</v>
      </c>
      <c r="H740" s="10">
        <v>1</v>
      </c>
      <c r="I740" s="10">
        <v>0</v>
      </c>
      <c r="J740" s="10">
        <f>SUM(B740:I740)</f>
        <v>100.633</v>
      </c>
      <c r="K740">
        <v>2016</v>
      </c>
      <c r="L740">
        <v>1</v>
      </c>
      <c r="M740" s="11">
        <v>42370</v>
      </c>
      <c r="N740" t="s">
        <v>2173</v>
      </c>
      <c r="O740">
        <v>7</v>
      </c>
      <c r="P740" t="s">
        <v>59</v>
      </c>
      <c r="Q740" t="b">
        <v>1</v>
      </c>
    </row>
    <row r="741" spans="1:17">
      <c r="A741" s="12">
        <v>42380</v>
      </c>
      <c r="B741" s="10">
        <v>9.34</v>
      </c>
      <c r="C741" s="10">
        <v>5.66</v>
      </c>
      <c r="D741" s="10">
        <v>7</v>
      </c>
      <c r="E741" s="10">
        <v>64.90000000000001</v>
      </c>
      <c r="F741" s="10">
        <v>18</v>
      </c>
      <c r="G741" s="10">
        <v>0</v>
      </c>
      <c r="H741" s="10">
        <v>0</v>
      </c>
      <c r="I741" s="10">
        <v>4</v>
      </c>
      <c r="J741" s="10">
        <f>SUM(B741:I741)</f>
        <v>108.9</v>
      </c>
      <c r="K741">
        <v>2016</v>
      </c>
      <c r="L741">
        <v>1</v>
      </c>
      <c r="M741" s="11">
        <v>42370</v>
      </c>
      <c r="N741" t="s">
        <v>2173</v>
      </c>
      <c r="O741">
        <v>1</v>
      </c>
      <c r="P741" t="s">
        <v>61</v>
      </c>
      <c r="Q741" t="b">
        <v>1</v>
      </c>
    </row>
    <row r="742" spans="1:17">
      <c r="A742" s="12">
        <v>42381</v>
      </c>
      <c r="B742" s="10">
        <v>12</v>
      </c>
      <c r="C742" s="10">
        <v>3.132</v>
      </c>
      <c r="D742" s="10">
        <v>12</v>
      </c>
      <c r="E742" s="10">
        <v>61.35</v>
      </c>
      <c r="F742" s="10">
        <v>8</v>
      </c>
      <c r="G742" s="10">
        <v>0</v>
      </c>
      <c r="H742" s="10">
        <v>0</v>
      </c>
      <c r="I742" s="10">
        <v>0</v>
      </c>
      <c r="J742" s="10">
        <f>SUM(B742:I742)</f>
        <v>96.482</v>
      </c>
      <c r="K742">
        <v>2016</v>
      </c>
      <c r="L742">
        <v>1</v>
      </c>
      <c r="M742" s="11">
        <v>42370</v>
      </c>
      <c r="N742" t="s">
        <v>2173</v>
      </c>
      <c r="O742">
        <v>2</v>
      </c>
      <c r="P742" t="s">
        <v>63</v>
      </c>
      <c r="Q742" t="b">
        <v>1</v>
      </c>
    </row>
    <row r="743" spans="1:17">
      <c r="A743" s="12">
        <v>42382</v>
      </c>
      <c r="B743" s="10">
        <v>9</v>
      </c>
      <c r="C743" s="10">
        <v>1.66</v>
      </c>
      <c r="D743" s="10">
        <v>5</v>
      </c>
      <c r="E743" s="10">
        <v>41.7</v>
      </c>
      <c r="F743" s="10">
        <v>15</v>
      </c>
      <c r="G743" s="10">
        <v>0</v>
      </c>
      <c r="H743" s="10">
        <v>1</v>
      </c>
      <c r="I743" s="10">
        <v>2</v>
      </c>
      <c r="J743" s="10">
        <f>SUM(B743:I743)</f>
        <v>75.36</v>
      </c>
      <c r="K743">
        <v>2016</v>
      </c>
      <c r="L743">
        <v>1</v>
      </c>
      <c r="M743" s="11">
        <v>42370</v>
      </c>
      <c r="N743" t="s">
        <v>2173</v>
      </c>
      <c r="O743">
        <v>3</v>
      </c>
      <c r="P743" t="s">
        <v>65</v>
      </c>
      <c r="Q743" t="b">
        <v>1</v>
      </c>
    </row>
    <row r="744" spans="1:17">
      <c r="A744" s="12">
        <v>42383</v>
      </c>
      <c r="B744" s="10">
        <v>2</v>
      </c>
      <c r="C744" s="10">
        <v>5.155</v>
      </c>
      <c r="D744" s="10">
        <v>6</v>
      </c>
      <c r="E744" s="10">
        <v>69</v>
      </c>
      <c r="F744" s="10">
        <v>18</v>
      </c>
      <c r="G744" s="10">
        <v>0</v>
      </c>
      <c r="H744" s="10">
        <v>8</v>
      </c>
      <c r="I744" s="10">
        <v>2</v>
      </c>
      <c r="J744" s="10">
        <f>SUM(B744:I744)</f>
        <v>110.155</v>
      </c>
      <c r="K744">
        <v>2016</v>
      </c>
      <c r="L744">
        <v>1</v>
      </c>
      <c r="M744" s="11">
        <v>42370</v>
      </c>
      <c r="N744" t="s">
        <v>2173</v>
      </c>
      <c r="O744">
        <v>4</v>
      </c>
      <c r="P744" t="s">
        <v>53</v>
      </c>
      <c r="Q744" t="b">
        <v>1</v>
      </c>
    </row>
    <row r="745" spans="1:17">
      <c r="A745" s="12">
        <v>42384</v>
      </c>
      <c r="B745" s="10">
        <v>8.98</v>
      </c>
      <c r="C745" s="10">
        <v>4.66</v>
      </c>
      <c r="D745" s="10">
        <v>10.6</v>
      </c>
      <c r="E745" s="10">
        <v>18.1</v>
      </c>
      <c r="F745" s="10">
        <v>8</v>
      </c>
      <c r="G745" s="10">
        <v>0</v>
      </c>
      <c r="H745" s="10">
        <v>10</v>
      </c>
      <c r="I745" s="10">
        <v>2</v>
      </c>
      <c r="J745" s="10">
        <f>SUM(B745:I745)</f>
        <v>62.34</v>
      </c>
      <c r="K745">
        <v>2016</v>
      </c>
      <c r="L745">
        <v>1</v>
      </c>
      <c r="M745" s="11">
        <v>42370</v>
      </c>
      <c r="N745" t="s">
        <v>2173</v>
      </c>
      <c r="O745">
        <v>5</v>
      </c>
      <c r="P745" t="s">
        <v>55</v>
      </c>
      <c r="Q745" t="b">
        <v>1</v>
      </c>
    </row>
    <row r="746" spans="1:17">
      <c r="A746" s="12">
        <v>42385</v>
      </c>
      <c r="B746" s="10">
        <v>3.34</v>
      </c>
      <c r="C746" s="10">
        <v>5.34</v>
      </c>
      <c r="D746" s="10">
        <v>6</v>
      </c>
      <c r="E746" s="10">
        <v>63.6</v>
      </c>
      <c r="F746" s="10">
        <v>11</v>
      </c>
      <c r="G746" s="10">
        <v>0</v>
      </c>
      <c r="H746" s="10">
        <v>2</v>
      </c>
      <c r="I746" s="10">
        <v>1</v>
      </c>
      <c r="J746" s="10">
        <f>SUM(B746:I746)</f>
        <v>92.28</v>
      </c>
      <c r="K746">
        <v>2016</v>
      </c>
      <c r="L746">
        <v>1</v>
      </c>
      <c r="M746" s="11">
        <v>42370</v>
      </c>
      <c r="N746" t="s">
        <v>2173</v>
      </c>
      <c r="O746">
        <v>6</v>
      </c>
      <c r="P746" t="s">
        <v>57</v>
      </c>
      <c r="Q746" t="b">
        <v>1</v>
      </c>
    </row>
    <row r="747" spans="1:17">
      <c r="A747" s="12">
        <v>42386</v>
      </c>
      <c r="B747" s="10">
        <v>7.01</v>
      </c>
      <c r="C747" s="10">
        <v>1.604</v>
      </c>
      <c r="D747" s="10">
        <v>3.9</v>
      </c>
      <c r="E747" s="10">
        <v>46.6</v>
      </c>
      <c r="F747" s="10">
        <v>4</v>
      </c>
      <c r="G747" s="10">
        <v>0</v>
      </c>
      <c r="H747" s="10">
        <v>0</v>
      </c>
      <c r="I747" s="10">
        <v>1</v>
      </c>
      <c r="J747" s="10">
        <f>SUM(B747:I747)</f>
        <v>64.114</v>
      </c>
      <c r="K747">
        <v>2016</v>
      </c>
      <c r="L747">
        <v>1</v>
      </c>
      <c r="M747" s="11">
        <v>42370</v>
      </c>
      <c r="N747" t="s">
        <v>2173</v>
      </c>
      <c r="O747">
        <v>7</v>
      </c>
      <c r="P747" t="s">
        <v>59</v>
      </c>
      <c r="Q747" t="b">
        <v>1</v>
      </c>
    </row>
    <row r="748" spans="1:17">
      <c r="A748" s="12">
        <v>42387</v>
      </c>
      <c r="B748" s="10">
        <v>3.5</v>
      </c>
      <c r="C748" s="10">
        <v>2.99</v>
      </c>
      <c r="D748" s="10">
        <v>4.3</v>
      </c>
      <c r="E748" s="10">
        <v>62.8</v>
      </c>
      <c r="F748" s="10">
        <v>3</v>
      </c>
      <c r="G748" s="10">
        <v>2</v>
      </c>
      <c r="H748" s="10">
        <v>9</v>
      </c>
      <c r="I748" s="10">
        <v>2</v>
      </c>
      <c r="J748" s="10">
        <f>SUM(B748:I748)</f>
        <v>89.59</v>
      </c>
      <c r="K748">
        <v>2016</v>
      </c>
      <c r="L748">
        <v>1</v>
      </c>
      <c r="M748" s="11">
        <v>42370</v>
      </c>
      <c r="N748" t="s">
        <v>2173</v>
      </c>
      <c r="O748">
        <v>1</v>
      </c>
      <c r="P748" t="s">
        <v>61</v>
      </c>
      <c r="Q748" t="b">
        <v>1</v>
      </c>
    </row>
    <row r="749" spans="1:17">
      <c r="A749" s="12">
        <v>42388</v>
      </c>
      <c r="B749" s="10">
        <v>6</v>
      </c>
      <c r="C749" s="10">
        <v>5.66</v>
      </c>
      <c r="D749" s="10">
        <v>6</v>
      </c>
      <c r="E749" s="10">
        <v>49.8</v>
      </c>
      <c r="F749" s="10">
        <v>7</v>
      </c>
      <c r="G749" s="10">
        <v>0</v>
      </c>
      <c r="H749" s="10">
        <v>0</v>
      </c>
      <c r="I749" s="10">
        <v>3</v>
      </c>
      <c r="J749" s="10">
        <f>SUM(B749:I749)</f>
        <v>77.46</v>
      </c>
      <c r="K749">
        <v>2016</v>
      </c>
      <c r="L749">
        <v>1</v>
      </c>
      <c r="M749" s="11">
        <v>42370</v>
      </c>
      <c r="N749" t="s">
        <v>2173</v>
      </c>
      <c r="O749">
        <v>2</v>
      </c>
      <c r="P749" t="s">
        <v>63</v>
      </c>
      <c r="Q749" t="b">
        <v>1</v>
      </c>
    </row>
    <row r="750" spans="1:17">
      <c r="A750" s="12">
        <v>42389</v>
      </c>
      <c r="B750" s="10">
        <v>2.32</v>
      </c>
      <c r="C750" s="10">
        <v>3.363</v>
      </c>
      <c r="D750" s="10">
        <v>3</v>
      </c>
      <c r="E750" s="10">
        <v>15.1</v>
      </c>
      <c r="F750" s="10">
        <v>29</v>
      </c>
      <c r="G750" s="10">
        <v>3</v>
      </c>
      <c r="H750" s="10">
        <v>3</v>
      </c>
      <c r="I750" s="10">
        <v>2</v>
      </c>
      <c r="J750" s="10">
        <f>SUM(B750:I750)</f>
        <v>60.783</v>
      </c>
      <c r="K750">
        <v>2016</v>
      </c>
      <c r="L750">
        <v>1</v>
      </c>
      <c r="M750" s="11">
        <v>42370</v>
      </c>
      <c r="N750" t="s">
        <v>2173</v>
      </c>
      <c r="O750">
        <v>3</v>
      </c>
      <c r="P750" t="s">
        <v>65</v>
      </c>
      <c r="Q750" t="b">
        <v>1</v>
      </c>
    </row>
    <row r="751" spans="1:17">
      <c r="A751" s="12">
        <v>42390</v>
      </c>
      <c r="B751" s="10">
        <v>5</v>
      </c>
      <c r="C751" s="10">
        <v>1.43</v>
      </c>
      <c r="D751" s="10">
        <v>1</v>
      </c>
      <c r="E751" s="10">
        <v>68.40000000000001</v>
      </c>
      <c r="F751" s="10">
        <v>8</v>
      </c>
      <c r="G751" s="10">
        <v>4</v>
      </c>
      <c r="H751" s="10">
        <v>6</v>
      </c>
      <c r="I751" s="10">
        <v>5</v>
      </c>
      <c r="J751" s="10">
        <f>SUM(B751:I751)</f>
        <v>98.83000000000001</v>
      </c>
      <c r="K751">
        <v>2016</v>
      </c>
      <c r="L751">
        <v>1</v>
      </c>
      <c r="M751" s="11">
        <v>42370</v>
      </c>
      <c r="N751" t="s">
        <v>2173</v>
      </c>
      <c r="O751">
        <v>4</v>
      </c>
      <c r="P751" t="s">
        <v>53</v>
      </c>
      <c r="Q751" t="b">
        <v>1</v>
      </c>
    </row>
    <row r="752" spans="1:17">
      <c r="A752" s="12">
        <v>42391</v>
      </c>
      <c r="B752" s="10">
        <v>0.83</v>
      </c>
      <c r="C752" s="10">
        <v>7.678</v>
      </c>
      <c r="D752" s="10">
        <v>7</v>
      </c>
      <c r="E752" s="10">
        <v>39.5</v>
      </c>
      <c r="F752" s="10">
        <v>11</v>
      </c>
      <c r="G752" s="10">
        <v>0</v>
      </c>
      <c r="H752" s="10">
        <v>10</v>
      </c>
      <c r="I752" s="10">
        <v>0</v>
      </c>
      <c r="J752" s="10">
        <f>SUM(B752:I752)</f>
        <v>76.008</v>
      </c>
      <c r="K752">
        <v>2016</v>
      </c>
      <c r="L752">
        <v>1</v>
      </c>
      <c r="M752" s="11">
        <v>42370</v>
      </c>
      <c r="N752" t="s">
        <v>2173</v>
      </c>
      <c r="O752">
        <v>5</v>
      </c>
      <c r="P752" t="s">
        <v>55</v>
      </c>
      <c r="Q752" t="b">
        <v>1</v>
      </c>
    </row>
    <row r="753" spans="1:17">
      <c r="A753" s="12">
        <v>42392</v>
      </c>
      <c r="B753" s="10">
        <v>6.33</v>
      </c>
      <c r="C753" s="10">
        <v>6.132</v>
      </c>
      <c r="D753" s="10">
        <v>7.1</v>
      </c>
      <c r="E753" s="10">
        <v>36.8</v>
      </c>
      <c r="F753" s="10">
        <v>4</v>
      </c>
      <c r="G753" s="10">
        <v>0</v>
      </c>
      <c r="H753" s="10">
        <v>6</v>
      </c>
      <c r="I753" s="10">
        <v>2</v>
      </c>
      <c r="J753" s="10">
        <f>SUM(B753:I753)</f>
        <v>68.362</v>
      </c>
      <c r="K753">
        <v>2016</v>
      </c>
      <c r="L753">
        <v>1</v>
      </c>
      <c r="M753" s="11">
        <v>42370</v>
      </c>
      <c r="N753" t="s">
        <v>2173</v>
      </c>
      <c r="O753">
        <v>6</v>
      </c>
      <c r="P753" t="s">
        <v>57</v>
      </c>
      <c r="Q753" t="b">
        <v>1</v>
      </c>
    </row>
    <row r="754" spans="1:17">
      <c r="A754" s="12">
        <v>42393</v>
      </c>
      <c r="B754" s="10">
        <v>4</v>
      </c>
      <c r="C754" s="10">
        <v>6.122</v>
      </c>
      <c r="D754" s="10">
        <v>11.3</v>
      </c>
      <c r="E754" s="10">
        <v>48.1</v>
      </c>
      <c r="F754" s="10">
        <v>3</v>
      </c>
      <c r="G754" s="10">
        <v>0</v>
      </c>
      <c r="H754" s="10">
        <v>12</v>
      </c>
      <c r="I754" s="10">
        <v>3</v>
      </c>
      <c r="J754" s="10">
        <f>SUM(B754:I754)</f>
        <v>87.522</v>
      </c>
      <c r="K754">
        <v>2016</v>
      </c>
      <c r="L754">
        <v>1</v>
      </c>
      <c r="M754" s="11">
        <v>42370</v>
      </c>
      <c r="N754" t="s">
        <v>2173</v>
      </c>
      <c r="O754">
        <v>7</v>
      </c>
      <c r="P754" t="s">
        <v>59</v>
      </c>
      <c r="Q754" t="b">
        <v>1</v>
      </c>
    </row>
    <row r="755" spans="1:17">
      <c r="A755" s="12">
        <v>42394</v>
      </c>
      <c r="B755" s="10">
        <v>10.33</v>
      </c>
      <c r="C755" s="10">
        <v>4.26</v>
      </c>
      <c r="D755" s="10">
        <v>4</v>
      </c>
      <c r="E755" s="10">
        <v>46.95</v>
      </c>
      <c r="F755" s="10">
        <v>12</v>
      </c>
      <c r="G755" s="10">
        <v>2</v>
      </c>
      <c r="H755" s="10">
        <v>10</v>
      </c>
      <c r="I755" s="10">
        <v>1.5</v>
      </c>
      <c r="J755" s="10">
        <f>SUM(B755:I755)</f>
        <v>91.04</v>
      </c>
      <c r="K755">
        <v>2016</v>
      </c>
      <c r="L755">
        <v>1</v>
      </c>
      <c r="M755" s="11">
        <v>42370</v>
      </c>
      <c r="N755" t="s">
        <v>2173</v>
      </c>
      <c r="O755">
        <v>1</v>
      </c>
      <c r="P755" t="s">
        <v>61</v>
      </c>
      <c r="Q755" t="b">
        <v>1</v>
      </c>
    </row>
    <row r="756" spans="1:17">
      <c r="A756" s="12">
        <v>42395</v>
      </c>
      <c r="B756" s="10">
        <v>5.68</v>
      </c>
      <c r="C756" s="10">
        <v>4.069</v>
      </c>
      <c r="D756" s="10">
        <v>8</v>
      </c>
      <c r="E756" s="10">
        <v>30.3</v>
      </c>
      <c r="F756" s="10">
        <v>9</v>
      </c>
      <c r="G756" s="10">
        <v>0</v>
      </c>
      <c r="H756" s="10">
        <v>15</v>
      </c>
      <c r="I756" s="10">
        <v>0</v>
      </c>
      <c r="J756" s="10">
        <f>SUM(B756:I756)</f>
        <v>72.049</v>
      </c>
      <c r="K756">
        <v>2016</v>
      </c>
      <c r="L756">
        <v>1</v>
      </c>
      <c r="M756" s="11">
        <v>42370</v>
      </c>
      <c r="N756" t="s">
        <v>2173</v>
      </c>
      <c r="O756">
        <v>2</v>
      </c>
      <c r="P756" t="s">
        <v>63</v>
      </c>
      <c r="Q756" t="b">
        <v>1</v>
      </c>
    </row>
    <row r="757" spans="1:17">
      <c r="A757" s="12">
        <v>42396</v>
      </c>
      <c r="B757" s="10">
        <v>4.34</v>
      </c>
      <c r="C757" s="10">
        <v>4.429</v>
      </c>
      <c r="D757" s="10">
        <v>3.4</v>
      </c>
      <c r="E757" s="10">
        <v>30.062</v>
      </c>
      <c r="F757" s="10">
        <v>18</v>
      </c>
      <c r="G757" s="10">
        <v>5</v>
      </c>
      <c r="H757" s="10">
        <v>5</v>
      </c>
      <c r="I757" s="10">
        <v>2</v>
      </c>
      <c r="J757" s="10">
        <f>SUM(B757:I757)</f>
        <v>72.231</v>
      </c>
      <c r="K757">
        <v>2016</v>
      </c>
      <c r="L757">
        <v>1</v>
      </c>
      <c r="M757" s="11">
        <v>42370</v>
      </c>
      <c r="N757" t="s">
        <v>2173</v>
      </c>
      <c r="O757">
        <v>3</v>
      </c>
      <c r="P757" t="s">
        <v>65</v>
      </c>
      <c r="Q757" t="b">
        <v>1</v>
      </c>
    </row>
    <row r="758" spans="1:17">
      <c r="A758" s="12">
        <v>42397</v>
      </c>
      <c r="B758" s="10">
        <v>7.33</v>
      </c>
      <c r="C758" s="10">
        <v>6.66</v>
      </c>
      <c r="D758" s="10">
        <v>4.4</v>
      </c>
      <c r="E758" s="10">
        <v>33</v>
      </c>
      <c r="F758" s="10">
        <v>4</v>
      </c>
      <c r="G758" s="10">
        <v>0</v>
      </c>
      <c r="H758" s="10">
        <v>4</v>
      </c>
      <c r="I758" s="10">
        <v>3</v>
      </c>
      <c r="J758" s="10">
        <f>SUM(B758:I758)</f>
        <v>62.39</v>
      </c>
      <c r="K758">
        <v>2016</v>
      </c>
      <c r="L758">
        <v>1</v>
      </c>
      <c r="M758" s="11">
        <v>42370</v>
      </c>
      <c r="N758" t="s">
        <v>2173</v>
      </c>
      <c r="O758">
        <v>4</v>
      </c>
      <c r="P758" t="s">
        <v>53</v>
      </c>
      <c r="Q758" t="b">
        <v>1</v>
      </c>
    </row>
    <row r="759" spans="1:17">
      <c r="A759" s="12">
        <v>42398</v>
      </c>
      <c r="B759" s="10">
        <v>5</v>
      </c>
      <c r="C759" s="10">
        <v>8.67</v>
      </c>
      <c r="D759" s="10">
        <v>8.6</v>
      </c>
      <c r="E759" s="10">
        <v>74.40000000000001</v>
      </c>
      <c r="F759" s="10">
        <v>3</v>
      </c>
      <c r="G759" s="10">
        <v>1</v>
      </c>
      <c r="H759" s="10">
        <v>17</v>
      </c>
      <c r="I759" s="10">
        <v>2</v>
      </c>
      <c r="J759" s="10">
        <f>SUM(B759:I759)</f>
        <v>119.67</v>
      </c>
      <c r="K759">
        <v>2016</v>
      </c>
      <c r="L759">
        <v>1</v>
      </c>
      <c r="M759" s="11">
        <v>42370</v>
      </c>
      <c r="N759" t="s">
        <v>2173</v>
      </c>
      <c r="O759">
        <v>5</v>
      </c>
      <c r="P759" t="s">
        <v>55</v>
      </c>
      <c r="Q759" t="b">
        <v>1</v>
      </c>
    </row>
    <row r="760" spans="1:17">
      <c r="A760" s="12">
        <v>42399</v>
      </c>
      <c r="B760" s="10">
        <v>9</v>
      </c>
      <c r="C760" s="10">
        <v>4.429</v>
      </c>
      <c r="D760" s="10">
        <v>5.3</v>
      </c>
      <c r="E760" s="10">
        <v>47.462</v>
      </c>
      <c r="F760" s="10">
        <v>3</v>
      </c>
      <c r="G760" s="10">
        <v>2</v>
      </c>
      <c r="H760" s="10">
        <v>5</v>
      </c>
      <c r="I760" s="10">
        <v>2</v>
      </c>
      <c r="J760" s="10">
        <f>SUM(B760:I760)</f>
        <v>78.191</v>
      </c>
      <c r="K760">
        <v>2016</v>
      </c>
      <c r="L760">
        <v>1</v>
      </c>
      <c r="M760" s="11">
        <v>42370</v>
      </c>
      <c r="N760" t="s">
        <v>2173</v>
      </c>
      <c r="O760">
        <v>6</v>
      </c>
      <c r="P760" t="s">
        <v>57</v>
      </c>
      <c r="Q760" t="b">
        <v>1</v>
      </c>
    </row>
    <row r="761" spans="1:17">
      <c r="A761" s="12">
        <v>42400</v>
      </c>
      <c r="B761" s="10">
        <v>4.33</v>
      </c>
      <c r="C761" s="10">
        <v>5.143</v>
      </c>
      <c r="D761" s="10">
        <v>3.8</v>
      </c>
      <c r="E761" s="10">
        <v>78.90000000000001</v>
      </c>
      <c r="F761" s="10">
        <v>3</v>
      </c>
      <c r="G761" s="10">
        <v>0</v>
      </c>
      <c r="H761" s="10">
        <v>6</v>
      </c>
      <c r="I761" s="10">
        <v>2</v>
      </c>
      <c r="J761" s="10">
        <f>SUM(B761:I761)</f>
        <v>103.173</v>
      </c>
      <c r="K761">
        <v>2016</v>
      </c>
      <c r="L761">
        <v>1</v>
      </c>
      <c r="M761" s="11">
        <v>42370</v>
      </c>
      <c r="N761" t="s">
        <v>2173</v>
      </c>
      <c r="O761">
        <v>7</v>
      </c>
      <c r="P761" t="s">
        <v>59</v>
      </c>
      <c r="Q761" t="b">
        <v>1</v>
      </c>
    </row>
    <row r="762" spans="1:17">
      <c r="A762" s="12">
        <v>42401</v>
      </c>
      <c r="B762" s="10">
        <v>6.34</v>
      </c>
      <c r="C762" s="10">
        <v>5</v>
      </c>
      <c r="D762" s="10">
        <v>7.1</v>
      </c>
      <c r="E762" s="10">
        <v>18</v>
      </c>
      <c r="F762" s="10">
        <v>7</v>
      </c>
      <c r="G762" s="10">
        <v>0</v>
      </c>
      <c r="H762" s="10">
        <v>6</v>
      </c>
      <c r="I762" s="10">
        <v>1</v>
      </c>
      <c r="J762" s="10">
        <f>SUM(B762:I762)</f>
        <v>50.44</v>
      </c>
      <c r="K762">
        <v>2016</v>
      </c>
      <c r="L762">
        <v>2</v>
      </c>
      <c r="M762" s="11">
        <v>42401</v>
      </c>
      <c r="N762" t="s">
        <v>2174</v>
      </c>
      <c r="O762">
        <v>1</v>
      </c>
      <c r="P762" t="s">
        <v>61</v>
      </c>
      <c r="Q762" t="b">
        <v>1</v>
      </c>
    </row>
    <row r="763" spans="1:17">
      <c r="A763" s="12">
        <v>42402</v>
      </c>
      <c r="B763" s="10">
        <v>14.33</v>
      </c>
      <c r="C763" s="10">
        <v>4.878</v>
      </c>
      <c r="D763" s="10">
        <v>1.3</v>
      </c>
      <c r="E763" s="10">
        <v>39</v>
      </c>
      <c r="F763" s="10">
        <v>6</v>
      </c>
      <c r="G763" s="10">
        <v>0</v>
      </c>
      <c r="H763" s="10">
        <v>0</v>
      </c>
      <c r="I763" s="10">
        <v>1</v>
      </c>
      <c r="J763" s="10">
        <f>SUM(B763:I763)</f>
        <v>66.508</v>
      </c>
      <c r="K763">
        <v>2016</v>
      </c>
      <c r="L763">
        <v>2</v>
      </c>
      <c r="M763" s="11">
        <v>42401</v>
      </c>
      <c r="N763" t="s">
        <v>2174</v>
      </c>
      <c r="O763">
        <v>2</v>
      </c>
      <c r="P763" t="s">
        <v>63</v>
      </c>
      <c r="Q763" t="b">
        <v>1</v>
      </c>
    </row>
    <row r="764" spans="1:17">
      <c r="A764" s="12">
        <v>42403</v>
      </c>
      <c r="B764" s="10">
        <v>8</v>
      </c>
      <c r="C764" s="10">
        <v>6.693</v>
      </c>
      <c r="D764" s="10">
        <v>11.5</v>
      </c>
      <c r="E764" s="10">
        <v>39.062</v>
      </c>
      <c r="F764" s="10">
        <v>11</v>
      </c>
      <c r="G764" s="10">
        <v>5</v>
      </c>
      <c r="H764" s="10">
        <v>0</v>
      </c>
      <c r="I764" s="10">
        <v>0</v>
      </c>
      <c r="J764" s="10">
        <f>SUM(B764:I764)</f>
        <v>81.255</v>
      </c>
      <c r="K764">
        <v>2016</v>
      </c>
      <c r="L764">
        <v>2</v>
      </c>
      <c r="M764" s="11">
        <v>42401</v>
      </c>
      <c r="N764" t="s">
        <v>2174</v>
      </c>
      <c r="O764">
        <v>3</v>
      </c>
      <c r="P764" t="s">
        <v>65</v>
      </c>
      <c r="Q764" t="b">
        <v>1</v>
      </c>
    </row>
    <row r="765" spans="1:17">
      <c r="A765" s="12">
        <v>42404</v>
      </c>
      <c r="B765" s="10">
        <v>8.34</v>
      </c>
      <c r="C765" s="10">
        <v>4</v>
      </c>
      <c r="D765" s="10">
        <v>4.2</v>
      </c>
      <c r="E765" s="10">
        <v>28.8</v>
      </c>
      <c r="F765" s="10">
        <v>5</v>
      </c>
      <c r="G765" s="10">
        <v>0</v>
      </c>
      <c r="H765" s="10">
        <v>4</v>
      </c>
      <c r="I765" s="10">
        <v>4</v>
      </c>
      <c r="J765" s="10">
        <f>SUM(B765:I765)</f>
        <v>58.34</v>
      </c>
      <c r="K765">
        <v>2016</v>
      </c>
      <c r="L765">
        <v>2</v>
      </c>
      <c r="M765" s="11">
        <v>42401</v>
      </c>
      <c r="N765" t="s">
        <v>2174</v>
      </c>
      <c r="O765">
        <v>4</v>
      </c>
      <c r="P765" t="s">
        <v>53</v>
      </c>
      <c r="Q765" t="b">
        <v>1</v>
      </c>
    </row>
    <row r="766" spans="1:17">
      <c r="A766" s="12">
        <v>42405</v>
      </c>
      <c r="B766" s="10">
        <v>5.66</v>
      </c>
      <c r="C766" s="10">
        <v>2</v>
      </c>
      <c r="D766" s="10">
        <v>3</v>
      </c>
      <c r="E766" s="10">
        <v>51.6</v>
      </c>
      <c r="F766" s="10">
        <v>7</v>
      </c>
      <c r="G766" s="10">
        <v>0</v>
      </c>
      <c r="H766" s="10">
        <v>3</v>
      </c>
      <c r="I766" s="10">
        <v>1</v>
      </c>
      <c r="J766" s="10">
        <f>SUM(B766:I766)</f>
        <v>73.26</v>
      </c>
      <c r="K766">
        <v>2016</v>
      </c>
      <c r="L766">
        <v>2</v>
      </c>
      <c r="M766" s="11">
        <v>42401</v>
      </c>
      <c r="N766" t="s">
        <v>2174</v>
      </c>
      <c r="O766">
        <v>5</v>
      </c>
      <c r="P766" t="s">
        <v>55</v>
      </c>
      <c r="Q766" t="b">
        <v>1</v>
      </c>
    </row>
    <row r="767" spans="1:17">
      <c r="A767" s="12">
        <v>42406</v>
      </c>
      <c r="B767" s="10">
        <v>5.33</v>
      </c>
      <c r="C767" s="10">
        <v>10.33</v>
      </c>
      <c r="D767" s="10">
        <v>3</v>
      </c>
      <c r="E767" s="10">
        <v>57.162</v>
      </c>
      <c r="F767" s="10">
        <v>1</v>
      </c>
      <c r="G767" s="10">
        <v>0</v>
      </c>
      <c r="H767" s="10">
        <v>11</v>
      </c>
      <c r="I767" s="10">
        <v>2</v>
      </c>
      <c r="J767" s="10">
        <f>SUM(B767:I767)</f>
        <v>89.822</v>
      </c>
      <c r="K767">
        <v>2016</v>
      </c>
      <c r="L767">
        <v>2</v>
      </c>
      <c r="M767" s="11">
        <v>42401</v>
      </c>
      <c r="N767" t="s">
        <v>2174</v>
      </c>
      <c r="O767">
        <v>6</v>
      </c>
      <c r="P767" t="s">
        <v>57</v>
      </c>
      <c r="Q767" t="b">
        <v>1</v>
      </c>
    </row>
    <row r="768" spans="1:17">
      <c r="A768" s="12">
        <v>42407</v>
      </c>
      <c r="B768" s="10">
        <v>3.66</v>
      </c>
      <c r="C768" s="10">
        <v>6.056</v>
      </c>
      <c r="D768" s="10">
        <v>4.5</v>
      </c>
      <c r="E768" s="10">
        <v>88.2</v>
      </c>
      <c r="F768" s="10">
        <v>2</v>
      </c>
      <c r="G768" s="10">
        <v>0</v>
      </c>
      <c r="H768" s="10">
        <v>13</v>
      </c>
      <c r="I768" s="10">
        <v>1</v>
      </c>
      <c r="J768" s="10">
        <f>SUM(B768:I768)</f>
        <v>118.416</v>
      </c>
      <c r="K768">
        <v>2016</v>
      </c>
      <c r="L768">
        <v>2</v>
      </c>
      <c r="M768" s="11">
        <v>42401</v>
      </c>
      <c r="N768" t="s">
        <v>2174</v>
      </c>
      <c r="O768">
        <v>7</v>
      </c>
      <c r="P768" t="s">
        <v>59</v>
      </c>
      <c r="Q768" t="b">
        <v>1</v>
      </c>
    </row>
    <row r="769" spans="1:17">
      <c r="A769" s="12">
        <v>42408</v>
      </c>
      <c r="B769" s="10">
        <v>6.33</v>
      </c>
      <c r="C769" s="10">
        <v>6.99</v>
      </c>
      <c r="D769" s="10">
        <v>5.5</v>
      </c>
      <c r="E769" s="10">
        <v>28.038</v>
      </c>
      <c r="F769" s="10">
        <v>5</v>
      </c>
      <c r="G769" s="10">
        <v>0</v>
      </c>
      <c r="H769" s="10">
        <v>23</v>
      </c>
      <c r="I769" s="10">
        <v>1</v>
      </c>
      <c r="J769" s="10">
        <f>SUM(B769:I769)</f>
        <v>75.858</v>
      </c>
      <c r="K769">
        <v>2016</v>
      </c>
      <c r="L769">
        <v>2</v>
      </c>
      <c r="M769" s="11">
        <v>42401</v>
      </c>
      <c r="N769" t="s">
        <v>2174</v>
      </c>
      <c r="O769">
        <v>1</v>
      </c>
      <c r="P769" t="s">
        <v>61</v>
      </c>
      <c r="Q769" t="b">
        <v>1</v>
      </c>
    </row>
    <row r="770" spans="1:17">
      <c r="A770" s="12">
        <v>42409</v>
      </c>
      <c r="B770" s="10">
        <v>7</v>
      </c>
      <c r="C770" s="10">
        <v>3.33</v>
      </c>
      <c r="D770" s="10">
        <v>4.4</v>
      </c>
      <c r="E770" s="10">
        <v>47.7</v>
      </c>
      <c r="F770" s="10">
        <v>16</v>
      </c>
      <c r="G770" s="10">
        <v>2</v>
      </c>
      <c r="H770" s="10">
        <v>1</v>
      </c>
      <c r="I770" s="10">
        <v>2</v>
      </c>
      <c r="J770" s="10">
        <f>SUM(B770:I770)</f>
        <v>83.43</v>
      </c>
      <c r="K770">
        <v>2016</v>
      </c>
      <c r="L770">
        <v>2</v>
      </c>
      <c r="M770" s="11">
        <v>42401</v>
      </c>
      <c r="N770" t="s">
        <v>2174</v>
      </c>
      <c r="O770">
        <v>2</v>
      </c>
      <c r="P770" t="s">
        <v>63</v>
      </c>
      <c r="Q770" t="b">
        <v>1</v>
      </c>
    </row>
    <row r="771" spans="1:17">
      <c r="A771" s="12">
        <v>42410</v>
      </c>
      <c r="B771" s="10">
        <v>4.34</v>
      </c>
      <c r="C771" s="10">
        <v>4.703</v>
      </c>
      <c r="D771" s="10">
        <v>7.2</v>
      </c>
      <c r="E771" s="10">
        <v>34.1</v>
      </c>
      <c r="F771" s="10">
        <v>29</v>
      </c>
      <c r="G771" s="10">
        <v>0</v>
      </c>
      <c r="H771" s="10">
        <v>4</v>
      </c>
      <c r="I771" s="10">
        <v>2</v>
      </c>
      <c r="J771" s="10">
        <f>SUM(B771:I771)</f>
        <v>85.343</v>
      </c>
      <c r="K771">
        <v>2016</v>
      </c>
      <c r="L771">
        <v>2</v>
      </c>
      <c r="M771" s="11">
        <v>42401</v>
      </c>
      <c r="N771" t="s">
        <v>2174</v>
      </c>
      <c r="O771">
        <v>3</v>
      </c>
      <c r="P771" t="s">
        <v>65</v>
      </c>
      <c r="Q771" t="b">
        <v>1</v>
      </c>
    </row>
    <row r="772" spans="1:17">
      <c r="A772" s="12">
        <v>42411</v>
      </c>
      <c r="B772" s="10">
        <v>1.66</v>
      </c>
      <c r="C772" s="10">
        <v>4.156</v>
      </c>
      <c r="D772" s="10">
        <v>2.7</v>
      </c>
      <c r="E772" s="10">
        <v>38.1</v>
      </c>
      <c r="F772" s="10">
        <v>10</v>
      </c>
      <c r="G772" s="10">
        <v>1</v>
      </c>
      <c r="H772" s="10">
        <v>13</v>
      </c>
      <c r="I772" s="10">
        <v>4</v>
      </c>
      <c r="J772" s="10">
        <f>SUM(B772:I772)</f>
        <v>74.616</v>
      </c>
      <c r="K772">
        <v>2016</v>
      </c>
      <c r="L772">
        <v>2</v>
      </c>
      <c r="M772" s="11">
        <v>42401</v>
      </c>
      <c r="N772" t="s">
        <v>2174</v>
      </c>
      <c r="O772">
        <v>4</v>
      </c>
      <c r="P772" t="s">
        <v>53</v>
      </c>
      <c r="Q772" t="b">
        <v>1</v>
      </c>
    </row>
    <row r="773" spans="1:17">
      <c r="A773" s="12">
        <v>42412</v>
      </c>
      <c r="B773" s="10">
        <v>5.99</v>
      </c>
      <c r="C773" s="10">
        <v>6.429</v>
      </c>
      <c r="D773" s="10">
        <v>8.5</v>
      </c>
      <c r="E773" s="10">
        <v>60.675</v>
      </c>
      <c r="F773" s="10">
        <v>4</v>
      </c>
      <c r="G773" s="10">
        <v>0</v>
      </c>
      <c r="H773" s="10">
        <v>20</v>
      </c>
      <c r="I773" s="10">
        <v>1</v>
      </c>
      <c r="J773" s="10">
        <f>SUM(B773:I773)</f>
        <v>106.594</v>
      </c>
      <c r="K773">
        <v>2016</v>
      </c>
      <c r="L773">
        <v>2</v>
      </c>
      <c r="M773" s="11">
        <v>42401</v>
      </c>
      <c r="N773" t="s">
        <v>2174</v>
      </c>
      <c r="O773">
        <v>5</v>
      </c>
      <c r="P773" t="s">
        <v>55</v>
      </c>
      <c r="Q773" t="b">
        <v>1</v>
      </c>
    </row>
    <row r="774" spans="1:17">
      <c r="A774" s="12">
        <v>42413</v>
      </c>
      <c r="B774" s="10">
        <v>2.67</v>
      </c>
      <c r="C774" s="10">
        <v>3.67</v>
      </c>
      <c r="D774" s="10">
        <v>5</v>
      </c>
      <c r="E774" s="10">
        <v>42.4</v>
      </c>
      <c r="F774" s="10">
        <v>2</v>
      </c>
      <c r="G774" s="10">
        <v>0</v>
      </c>
      <c r="H774" s="10">
        <v>10</v>
      </c>
      <c r="I774" s="10">
        <v>2</v>
      </c>
      <c r="J774" s="10">
        <f>SUM(B774:I774)</f>
        <v>67.74</v>
      </c>
      <c r="K774">
        <v>2016</v>
      </c>
      <c r="L774">
        <v>2</v>
      </c>
      <c r="M774" s="11">
        <v>42401</v>
      </c>
      <c r="N774" t="s">
        <v>2174</v>
      </c>
      <c r="O774">
        <v>6</v>
      </c>
      <c r="P774" t="s">
        <v>57</v>
      </c>
      <c r="Q774" t="b">
        <v>1</v>
      </c>
    </row>
    <row r="775" spans="1:17">
      <c r="A775" s="12">
        <v>42414</v>
      </c>
      <c r="B775" s="10">
        <v>5.84</v>
      </c>
      <c r="C775" s="10">
        <v>7.34</v>
      </c>
      <c r="D775" s="10">
        <v>3.8</v>
      </c>
      <c r="E775" s="10">
        <v>43.6</v>
      </c>
      <c r="F775" s="10">
        <v>5</v>
      </c>
      <c r="G775" s="10">
        <v>0</v>
      </c>
      <c r="H775" s="10">
        <v>7</v>
      </c>
      <c r="I775" s="10">
        <v>4</v>
      </c>
      <c r="J775" s="10">
        <f>SUM(B775:I775)</f>
        <v>76.58</v>
      </c>
      <c r="K775">
        <v>2016</v>
      </c>
      <c r="L775">
        <v>2</v>
      </c>
      <c r="M775" s="11">
        <v>42401</v>
      </c>
      <c r="N775" t="s">
        <v>2174</v>
      </c>
      <c r="O775">
        <v>7</v>
      </c>
      <c r="P775" t="s">
        <v>59</v>
      </c>
      <c r="Q775" t="b">
        <v>1</v>
      </c>
    </row>
    <row r="776" spans="1:17">
      <c r="A776" s="12">
        <v>42415</v>
      </c>
      <c r="B776" s="10">
        <v>5.33</v>
      </c>
      <c r="C776" s="10">
        <v>5.33</v>
      </c>
      <c r="D776" s="10">
        <v>5.3</v>
      </c>
      <c r="E776" s="10">
        <v>52.2</v>
      </c>
      <c r="F776" s="10">
        <v>6</v>
      </c>
      <c r="G776" s="10">
        <v>0</v>
      </c>
      <c r="H776" s="10">
        <v>0</v>
      </c>
      <c r="I776" s="10">
        <v>0</v>
      </c>
      <c r="J776" s="10">
        <f>SUM(B776:I776)</f>
        <v>74.16</v>
      </c>
      <c r="K776">
        <v>2016</v>
      </c>
      <c r="L776">
        <v>2</v>
      </c>
      <c r="M776" s="11">
        <v>42401</v>
      </c>
      <c r="N776" t="s">
        <v>2174</v>
      </c>
      <c r="O776">
        <v>1</v>
      </c>
      <c r="P776" t="s">
        <v>61</v>
      </c>
      <c r="Q776" t="b">
        <v>1</v>
      </c>
    </row>
    <row r="777" spans="1:17">
      <c r="A777" s="12">
        <v>42416</v>
      </c>
      <c r="B777" s="10">
        <v>7.33</v>
      </c>
      <c r="C777" s="10">
        <v>2.32</v>
      </c>
      <c r="D777" s="10">
        <v>3</v>
      </c>
      <c r="E777" s="10">
        <v>29</v>
      </c>
      <c r="F777" s="10">
        <v>3</v>
      </c>
      <c r="G777" s="10">
        <v>2</v>
      </c>
      <c r="H777" s="10">
        <v>9</v>
      </c>
      <c r="I777" s="10">
        <v>3</v>
      </c>
      <c r="J777" s="10">
        <f>SUM(B777:I777)</f>
        <v>58.65</v>
      </c>
      <c r="K777">
        <v>2016</v>
      </c>
      <c r="L777">
        <v>2</v>
      </c>
      <c r="M777" s="11">
        <v>42401</v>
      </c>
      <c r="N777" t="s">
        <v>2174</v>
      </c>
      <c r="O777">
        <v>2</v>
      </c>
      <c r="P777" t="s">
        <v>63</v>
      </c>
      <c r="Q777" t="b">
        <v>1</v>
      </c>
    </row>
    <row r="778" spans="1:17">
      <c r="A778" s="12">
        <v>42417</v>
      </c>
      <c r="B778" s="10">
        <v>3</v>
      </c>
      <c r="C778" s="10">
        <v>5</v>
      </c>
      <c r="D778" s="10">
        <v>4</v>
      </c>
      <c r="E778" s="10">
        <v>26.6</v>
      </c>
      <c r="F778" s="10">
        <v>12</v>
      </c>
      <c r="G778" s="10">
        <v>1</v>
      </c>
      <c r="H778" s="10">
        <v>1</v>
      </c>
      <c r="I778" s="10">
        <v>0</v>
      </c>
      <c r="J778" s="10">
        <f>SUM(B778:I778)</f>
        <v>52.6</v>
      </c>
      <c r="K778">
        <v>2016</v>
      </c>
      <c r="L778">
        <v>2</v>
      </c>
      <c r="M778" s="11">
        <v>42401</v>
      </c>
      <c r="N778" t="s">
        <v>2174</v>
      </c>
      <c r="O778">
        <v>3</v>
      </c>
      <c r="P778" t="s">
        <v>65</v>
      </c>
      <c r="Q778" t="b">
        <v>1</v>
      </c>
    </row>
    <row r="779" spans="1:17">
      <c r="A779" s="12">
        <v>42418</v>
      </c>
      <c r="B779" s="10">
        <v>2.34</v>
      </c>
      <c r="C779" s="10">
        <v>1</v>
      </c>
      <c r="D779" s="10">
        <v>4.3</v>
      </c>
      <c r="E779" s="10">
        <v>43.85</v>
      </c>
      <c r="F779" s="10">
        <v>3</v>
      </c>
      <c r="G779" s="10">
        <v>0</v>
      </c>
      <c r="H779" s="10">
        <v>9</v>
      </c>
      <c r="I779" s="10">
        <v>1</v>
      </c>
      <c r="J779" s="10">
        <f>SUM(B779:I779)</f>
        <v>64.49000000000001</v>
      </c>
      <c r="K779">
        <v>2016</v>
      </c>
      <c r="L779">
        <v>2</v>
      </c>
      <c r="M779" s="11">
        <v>42401</v>
      </c>
      <c r="N779" t="s">
        <v>2174</v>
      </c>
      <c r="O779">
        <v>4</v>
      </c>
      <c r="P779" t="s">
        <v>53</v>
      </c>
      <c r="Q779" t="b">
        <v>1</v>
      </c>
    </row>
    <row r="780" spans="1:17">
      <c r="A780" s="12">
        <v>42419</v>
      </c>
      <c r="B780" s="10">
        <v>4</v>
      </c>
      <c r="C780" s="10">
        <v>1.67</v>
      </c>
      <c r="D780" s="10">
        <v>4</v>
      </c>
      <c r="E780" s="10">
        <v>28.7</v>
      </c>
      <c r="F780" s="10">
        <v>18</v>
      </c>
      <c r="G780" s="10">
        <v>2</v>
      </c>
      <c r="H780" s="10">
        <v>26</v>
      </c>
      <c r="I780" s="10">
        <v>1</v>
      </c>
      <c r="J780" s="10">
        <f>SUM(B780:I780)</f>
        <v>85.37</v>
      </c>
      <c r="K780">
        <v>2016</v>
      </c>
      <c r="L780">
        <v>2</v>
      </c>
      <c r="M780" s="11">
        <v>42401</v>
      </c>
      <c r="N780" t="s">
        <v>2174</v>
      </c>
      <c r="O780">
        <v>5</v>
      </c>
      <c r="P780" t="s">
        <v>55</v>
      </c>
      <c r="Q780" t="b">
        <v>1</v>
      </c>
    </row>
    <row r="781" spans="1:17">
      <c r="A781" s="12">
        <v>42420</v>
      </c>
      <c r="B781" s="10">
        <v>10.33</v>
      </c>
      <c r="C781" s="10">
        <v>4.122</v>
      </c>
      <c r="D781" s="10">
        <v>4</v>
      </c>
      <c r="E781" s="10">
        <v>36.9</v>
      </c>
      <c r="F781" s="10">
        <v>5</v>
      </c>
      <c r="G781" s="10">
        <v>0</v>
      </c>
      <c r="H781" s="10">
        <v>8</v>
      </c>
      <c r="I781" s="10">
        <v>3</v>
      </c>
      <c r="J781" s="10">
        <f>SUM(B781:I781)</f>
        <v>71.352</v>
      </c>
      <c r="K781">
        <v>2016</v>
      </c>
      <c r="L781">
        <v>2</v>
      </c>
      <c r="M781" s="11">
        <v>42401</v>
      </c>
      <c r="N781" t="s">
        <v>2174</v>
      </c>
      <c r="O781">
        <v>6</v>
      </c>
      <c r="P781" t="s">
        <v>57</v>
      </c>
      <c r="Q781" t="b">
        <v>1</v>
      </c>
    </row>
    <row r="782" spans="1:17">
      <c r="A782" s="12">
        <v>42421</v>
      </c>
      <c r="B782" s="10">
        <v>6.34</v>
      </c>
      <c r="C782" s="10">
        <v>4</v>
      </c>
      <c r="D782" s="10">
        <v>0</v>
      </c>
      <c r="E782" s="10">
        <v>55.7</v>
      </c>
      <c r="F782" s="10">
        <v>5</v>
      </c>
      <c r="G782" s="10">
        <v>2</v>
      </c>
      <c r="H782" s="10">
        <v>7</v>
      </c>
      <c r="I782" s="10">
        <v>4</v>
      </c>
      <c r="J782" s="10">
        <f>SUM(B782:I782)</f>
        <v>84.04</v>
      </c>
      <c r="K782">
        <v>2016</v>
      </c>
      <c r="L782">
        <v>2</v>
      </c>
      <c r="M782" s="11">
        <v>42401</v>
      </c>
      <c r="N782" t="s">
        <v>2174</v>
      </c>
      <c r="O782">
        <v>7</v>
      </c>
      <c r="P782" t="s">
        <v>59</v>
      </c>
      <c r="Q782" t="b">
        <v>1</v>
      </c>
    </row>
    <row r="783" spans="1:17">
      <c r="A783" s="12">
        <v>42422</v>
      </c>
      <c r="B783" s="10">
        <v>3</v>
      </c>
      <c r="C783" s="10">
        <v>5.32</v>
      </c>
      <c r="D783" s="10">
        <v>3</v>
      </c>
      <c r="E783" s="10">
        <v>51.125</v>
      </c>
      <c r="F783" s="10">
        <v>10</v>
      </c>
      <c r="G783" s="10">
        <v>0</v>
      </c>
      <c r="H783" s="10">
        <v>12</v>
      </c>
      <c r="I783" s="10">
        <v>4</v>
      </c>
      <c r="J783" s="10">
        <f>SUM(B783:I783)</f>
        <v>88.445</v>
      </c>
      <c r="K783">
        <v>2016</v>
      </c>
      <c r="L783">
        <v>2</v>
      </c>
      <c r="M783" s="11">
        <v>42401</v>
      </c>
      <c r="N783" t="s">
        <v>2174</v>
      </c>
      <c r="O783">
        <v>1</v>
      </c>
      <c r="P783" t="s">
        <v>61</v>
      </c>
      <c r="Q783" t="b">
        <v>1</v>
      </c>
    </row>
    <row r="784" spans="1:17">
      <c r="A784" s="12">
        <v>42423</v>
      </c>
      <c r="B784" s="10">
        <v>3</v>
      </c>
      <c r="C784" s="10">
        <v>2.33</v>
      </c>
      <c r="D784" s="10">
        <v>2.6</v>
      </c>
      <c r="E784" s="10">
        <v>41.3</v>
      </c>
      <c r="F784" s="10">
        <v>11</v>
      </c>
      <c r="G784" s="10">
        <v>0</v>
      </c>
      <c r="H784" s="10">
        <v>15</v>
      </c>
      <c r="I784" s="10">
        <v>3</v>
      </c>
      <c r="J784" s="10">
        <f>SUM(B784:I784)</f>
        <v>78.22999999999999</v>
      </c>
      <c r="K784">
        <v>2016</v>
      </c>
      <c r="L784">
        <v>2</v>
      </c>
      <c r="M784" s="11">
        <v>42401</v>
      </c>
      <c r="N784" t="s">
        <v>2174</v>
      </c>
      <c r="O784">
        <v>2</v>
      </c>
      <c r="P784" t="s">
        <v>63</v>
      </c>
      <c r="Q784" t="b">
        <v>1</v>
      </c>
    </row>
    <row r="785" spans="1:17">
      <c r="A785" s="12">
        <v>42424</v>
      </c>
      <c r="B785" s="10">
        <v>7.66</v>
      </c>
      <c r="C785" s="10">
        <v>2.33</v>
      </c>
      <c r="D785" s="10">
        <v>2.1</v>
      </c>
      <c r="E785" s="10">
        <v>35</v>
      </c>
      <c r="F785" s="10">
        <v>6</v>
      </c>
      <c r="G785" s="10">
        <v>2</v>
      </c>
      <c r="H785" s="10">
        <v>5</v>
      </c>
      <c r="I785" s="10">
        <v>1</v>
      </c>
      <c r="J785" s="10">
        <f>SUM(B785:I785)</f>
        <v>61.09</v>
      </c>
      <c r="K785">
        <v>2016</v>
      </c>
      <c r="L785">
        <v>2</v>
      </c>
      <c r="M785" s="11">
        <v>42401</v>
      </c>
      <c r="N785" t="s">
        <v>2174</v>
      </c>
      <c r="O785">
        <v>3</v>
      </c>
      <c r="P785" t="s">
        <v>65</v>
      </c>
      <c r="Q785" t="b">
        <v>1</v>
      </c>
    </row>
    <row r="786" spans="1:17">
      <c r="A786" s="12">
        <v>42425</v>
      </c>
      <c r="B786" s="10">
        <v>7.99</v>
      </c>
      <c r="C786" s="10">
        <v>3.99</v>
      </c>
      <c r="D786" s="10">
        <v>5</v>
      </c>
      <c r="E786" s="10">
        <v>41</v>
      </c>
      <c r="F786" s="10">
        <v>22</v>
      </c>
      <c r="G786" s="10">
        <v>1</v>
      </c>
      <c r="H786" s="10">
        <v>4</v>
      </c>
      <c r="I786" s="10">
        <v>3</v>
      </c>
      <c r="J786" s="10">
        <f>SUM(B786:I786)</f>
        <v>87.98</v>
      </c>
      <c r="K786">
        <v>2016</v>
      </c>
      <c r="L786">
        <v>2</v>
      </c>
      <c r="M786" s="11">
        <v>42401</v>
      </c>
      <c r="N786" t="s">
        <v>2174</v>
      </c>
      <c r="O786">
        <v>4</v>
      </c>
      <c r="P786" t="s">
        <v>53</v>
      </c>
      <c r="Q786" t="b">
        <v>1</v>
      </c>
    </row>
    <row r="787" spans="1:17">
      <c r="A787" s="12">
        <v>42426</v>
      </c>
      <c r="B787" s="10">
        <v>5</v>
      </c>
      <c r="C787" s="10">
        <v>5.848</v>
      </c>
      <c r="D787" s="10">
        <v>4.5</v>
      </c>
      <c r="E787" s="10">
        <v>28.55</v>
      </c>
      <c r="F787" s="10">
        <v>6</v>
      </c>
      <c r="G787" s="10">
        <v>2</v>
      </c>
      <c r="H787" s="10">
        <v>0</v>
      </c>
      <c r="I787" s="10">
        <v>1</v>
      </c>
      <c r="J787" s="10">
        <f>SUM(B787:I787)</f>
        <v>52.897999999999996</v>
      </c>
      <c r="K787">
        <v>2016</v>
      </c>
      <c r="L787">
        <v>2</v>
      </c>
      <c r="M787" s="11">
        <v>42401</v>
      </c>
      <c r="N787" t="s">
        <v>2174</v>
      </c>
      <c r="O787">
        <v>5</v>
      </c>
      <c r="P787" t="s">
        <v>55</v>
      </c>
      <c r="Q787" t="b">
        <v>1</v>
      </c>
    </row>
    <row r="788" spans="1:17">
      <c r="A788" s="12">
        <v>42427</v>
      </c>
      <c r="B788" s="10">
        <v>8</v>
      </c>
      <c r="C788" s="10">
        <v>7</v>
      </c>
      <c r="D788" s="10">
        <v>6.6</v>
      </c>
      <c r="E788" s="10">
        <v>25.8</v>
      </c>
      <c r="F788" s="10">
        <v>3</v>
      </c>
      <c r="G788" s="10">
        <v>0</v>
      </c>
      <c r="H788" s="10">
        <v>5</v>
      </c>
      <c r="I788" s="10">
        <v>2</v>
      </c>
      <c r="J788" s="10">
        <f>SUM(B788:I788)</f>
        <v>57.400000000000006</v>
      </c>
      <c r="K788">
        <v>2016</v>
      </c>
      <c r="L788">
        <v>2</v>
      </c>
      <c r="M788" s="11">
        <v>42401</v>
      </c>
      <c r="N788" t="s">
        <v>2174</v>
      </c>
      <c r="O788">
        <v>6</v>
      </c>
      <c r="P788" t="s">
        <v>57</v>
      </c>
      <c r="Q788" t="b">
        <v>1</v>
      </c>
    </row>
    <row r="789" spans="1:17">
      <c r="A789" s="12">
        <v>42428</v>
      </c>
      <c r="B789" s="10">
        <v>8</v>
      </c>
      <c r="C789" s="10">
        <v>4.033</v>
      </c>
      <c r="D789" s="10">
        <v>10.1</v>
      </c>
      <c r="E789" s="10">
        <v>66.5</v>
      </c>
      <c r="F789" s="10">
        <v>6</v>
      </c>
      <c r="G789" s="10">
        <v>0</v>
      </c>
      <c r="H789" s="10">
        <v>26</v>
      </c>
      <c r="I789" s="10">
        <v>5</v>
      </c>
      <c r="J789" s="10">
        <f>SUM(B789:I789)</f>
        <v>125.63300000000001</v>
      </c>
      <c r="K789">
        <v>2016</v>
      </c>
      <c r="L789">
        <v>2</v>
      </c>
      <c r="M789" s="11">
        <v>42401</v>
      </c>
      <c r="N789" t="s">
        <v>2174</v>
      </c>
      <c r="O789">
        <v>7</v>
      </c>
      <c r="P789" t="s">
        <v>59</v>
      </c>
      <c r="Q789" t="b">
        <v>1</v>
      </c>
    </row>
    <row r="790" spans="1:17">
      <c r="A790" s="12">
        <v>42429</v>
      </c>
      <c r="B790" s="10">
        <v>7</v>
      </c>
      <c r="C790" s="10">
        <v>7.66</v>
      </c>
      <c r="D790" s="10">
        <v>4</v>
      </c>
      <c r="E790" s="10">
        <v>46.2</v>
      </c>
      <c r="F790" s="10">
        <v>13</v>
      </c>
      <c r="G790" s="10">
        <v>0</v>
      </c>
      <c r="H790" s="10">
        <v>3</v>
      </c>
      <c r="I790" s="10">
        <v>1</v>
      </c>
      <c r="J790" s="10">
        <f>SUM(B790:I790)</f>
        <v>81.86</v>
      </c>
      <c r="K790">
        <v>2016</v>
      </c>
      <c r="L790">
        <v>2</v>
      </c>
      <c r="M790" s="11">
        <v>42401</v>
      </c>
      <c r="N790" t="s">
        <v>2174</v>
      </c>
      <c r="O790">
        <v>1</v>
      </c>
      <c r="P790" t="s">
        <v>61</v>
      </c>
      <c r="Q790" t="b">
        <v>1</v>
      </c>
    </row>
    <row r="791" spans="1:17">
      <c r="A791" s="12">
        <v>42430</v>
      </c>
      <c r="B791" s="10">
        <v>10</v>
      </c>
      <c r="C791" s="10">
        <v>4</v>
      </c>
      <c r="D791" s="10">
        <v>2.2</v>
      </c>
      <c r="E791" s="10">
        <v>31</v>
      </c>
      <c r="F791" s="10">
        <v>11</v>
      </c>
      <c r="G791" s="10">
        <v>2</v>
      </c>
      <c r="H791" s="10">
        <v>0</v>
      </c>
      <c r="I791" s="10">
        <v>2</v>
      </c>
      <c r="J791" s="10">
        <f>SUM(B791:I791)</f>
        <v>62.2</v>
      </c>
      <c r="K791">
        <v>2016</v>
      </c>
      <c r="L791">
        <v>3</v>
      </c>
      <c r="M791" s="11">
        <v>42430</v>
      </c>
      <c r="N791" t="s">
        <v>2175</v>
      </c>
      <c r="O791">
        <v>2</v>
      </c>
      <c r="P791" t="s">
        <v>63</v>
      </c>
      <c r="Q791" t="b">
        <v>1</v>
      </c>
    </row>
    <row r="792" spans="1:17">
      <c r="A792" s="12">
        <v>42431</v>
      </c>
      <c r="B792" s="10">
        <v>3.33</v>
      </c>
      <c r="C792" s="10">
        <v>10.396</v>
      </c>
      <c r="D792" s="10">
        <v>5.3</v>
      </c>
      <c r="E792" s="10">
        <v>21.3</v>
      </c>
      <c r="F792" s="10">
        <v>15</v>
      </c>
      <c r="G792" s="10">
        <v>2</v>
      </c>
      <c r="H792" s="10">
        <v>1</v>
      </c>
      <c r="I792" s="10">
        <v>0</v>
      </c>
      <c r="J792" s="10">
        <f>SUM(B792:I792)</f>
        <v>58.326</v>
      </c>
      <c r="K792">
        <v>2016</v>
      </c>
      <c r="L792">
        <v>3</v>
      </c>
      <c r="M792" s="11">
        <v>42430</v>
      </c>
      <c r="N792" t="s">
        <v>2175</v>
      </c>
      <c r="O792">
        <v>3</v>
      </c>
      <c r="P792" t="s">
        <v>65</v>
      </c>
      <c r="Q792" t="b">
        <v>1</v>
      </c>
    </row>
    <row r="793" spans="1:17">
      <c r="A793" s="12">
        <v>42432</v>
      </c>
      <c r="B793" s="10">
        <v>2.83</v>
      </c>
      <c r="C793" s="10">
        <v>2</v>
      </c>
      <c r="D793" s="10">
        <v>5</v>
      </c>
      <c r="E793" s="10">
        <v>55.8</v>
      </c>
      <c r="F793" s="10">
        <v>2</v>
      </c>
      <c r="G793" s="10">
        <v>0</v>
      </c>
      <c r="H793" s="10">
        <v>9</v>
      </c>
      <c r="I793" s="10">
        <v>4</v>
      </c>
      <c r="J793" s="10">
        <f>SUM(B793:I793)</f>
        <v>80.63</v>
      </c>
      <c r="K793">
        <v>2016</v>
      </c>
      <c r="L793">
        <v>3</v>
      </c>
      <c r="M793" s="11">
        <v>42430</v>
      </c>
      <c r="N793" t="s">
        <v>2175</v>
      </c>
      <c r="O793">
        <v>4</v>
      </c>
      <c r="P793" t="s">
        <v>53</v>
      </c>
      <c r="Q793" t="b">
        <v>1</v>
      </c>
    </row>
    <row r="794" spans="1:17">
      <c r="A794" s="12">
        <v>42433</v>
      </c>
      <c r="B794" s="10">
        <v>5</v>
      </c>
      <c r="C794" s="10">
        <v>0.99</v>
      </c>
      <c r="D794" s="10">
        <v>4.4</v>
      </c>
      <c r="E794" s="10">
        <v>26.6</v>
      </c>
      <c r="F794" s="10">
        <v>3</v>
      </c>
      <c r="G794" s="10">
        <v>0</v>
      </c>
      <c r="H794" s="10">
        <v>0</v>
      </c>
      <c r="I794" s="10">
        <v>0</v>
      </c>
      <c r="J794" s="10">
        <f>SUM(B794:I794)</f>
        <v>39.99</v>
      </c>
      <c r="K794">
        <v>2016</v>
      </c>
      <c r="L794">
        <v>3</v>
      </c>
      <c r="M794" s="11">
        <v>42430</v>
      </c>
      <c r="N794" t="s">
        <v>2175</v>
      </c>
      <c r="O794">
        <v>5</v>
      </c>
      <c r="P794" t="s">
        <v>55</v>
      </c>
      <c r="Q794" t="b">
        <v>1</v>
      </c>
    </row>
    <row r="795" spans="1:17">
      <c r="A795" s="12">
        <v>42434</v>
      </c>
      <c r="B795" s="10">
        <v>5</v>
      </c>
      <c r="C795" s="10">
        <v>4.891</v>
      </c>
      <c r="D795" s="10">
        <v>8</v>
      </c>
      <c r="E795" s="10">
        <v>38</v>
      </c>
      <c r="F795" s="10">
        <v>9</v>
      </c>
      <c r="G795" s="10">
        <v>0</v>
      </c>
      <c r="H795" s="10">
        <v>10</v>
      </c>
      <c r="I795" s="10">
        <v>5</v>
      </c>
      <c r="J795" s="10">
        <f>SUM(B795:I795)</f>
        <v>79.89099999999999</v>
      </c>
      <c r="K795">
        <v>2016</v>
      </c>
      <c r="L795">
        <v>3</v>
      </c>
      <c r="M795" s="11">
        <v>42430</v>
      </c>
      <c r="N795" t="s">
        <v>2175</v>
      </c>
      <c r="O795">
        <v>6</v>
      </c>
      <c r="P795" t="s">
        <v>57</v>
      </c>
      <c r="Q795" t="b">
        <v>1</v>
      </c>
    </row>
    <row r="796" spans="1:17">
      <c r="A796" s="12">
        <v>42435</v>
      </c>
      <c r="B796" s="10">
        <v>5</v>
      </c>
      <c r="C796" s="10">
        <v>8.145</v>
      </c>
      <c r="D796" s="10">
        <v>4.9</v>
      </c>
      <c r="E796" s="10">
        <v>79.90000000000001</v>
      </c>
      <c r="F796" s="10">
        <v>2</v>
      </c>
      <c r="G796" s="10">
        <v>0</v>
      </c>
      <c r="H796" s="10">
        <v>5</v>
      </c>
      <c r="I796" s="10">
        <v>7</v>
      </c>
      <c r="J796" s="10">
        <f>SUM(B796:I796)</f>
        <v>111.94500000000001</v>
      </c>
      <c r="K796">
        <v>2016</v>
      </c>
      <c r="L796">
        <v>3</v>
      </c>
      <c r="M796" s="11">
        <v>42430</v>
      </c>
      <c r="N796" t="s">
        <v>2175</v>
      </c>
      <c r="O796">
        <v>7</v>
      </c>
      <c r="P796" t="s">
        <v>59</v>
      </c>
      <c r="Q796" t="b">
        <v>1</v>
      </c>
    </row>
    <row r="797" spans="1:17">
      <c r="A797" s="12">
        <v>42436</v>
      </c>
      <c r="B797" s="10">
        <v>5.33</v>
      </c>
      <c r="C797" s="10">
        <v>7.34</v>
      </c>
      <c r="D797" s="10">
        <v>4</v>
      </c>
      <c r="E797" s="10">
        <v>43.5</v>
      </c>
      <c r="F797" s="10">
        <v>3</v>
      </c>
      <c r="G797" s="10">
        <v>1</v>
      </c>
      <c r="H797" s="10">
        <v>6</v>
      </c>
      <c r="I797" s="10">
        <v>1</v>
      </c>
      <c r="J797" s="10">
        <f>SUM(B797:I797)</f>
        <v>71.17</v>
      </c>
      <c r="K797">
        <v>2016</v>
      </c>
      <c r="L797">
        <v>3</v>
      </c>
      <c r="M797" s="11">
        <v>42430</v>
      </c>
      <c r="N797" t="s">
        <v>2175</v>
      </c>
      <c r="O797">
        <v>1</v>
      </c>
      <c r="P797" t="s">
        <v>61</v>
      </c>
      <c r="Q797" t="b">
        <v>1</v>
      </c>
    </row>
    <row r="798" spans="1:17">
      <c r="A798" s="12">
        <v>42437</v>
      </c>
      <c r="B798" s="10">
        <v>4</v>
      </c>
      <c r="C798" s="10">
        <v>6.66</v>
      </c>
      <c r="D798" s="10">
        <v>3</v>
      </c>
      <c r="E798" s="10">
        <v>44</v>
      </c>
      <c r="F798" s="10">
        <v>7</v>
      </c>
      <c r="G798" s="10">
        <v>0</v>
      </c>
      <c r="H798" s="10">
        <v>3</v>
      </c>
      <c r="I798" s="10">
        <v>3</v>
      </c>
      <c r="J798" s="10">
        <f>SUM(B798:I798)</f>
        <v>70.66</v>
      </c>
      <c r="K798">
        <v>2016</v>
      </c>
      <c r="L798">
        <v>3</v>
      </c>
      <c r="M798" s="11">
        <v>42430</v>
      </c>
      <c r="N798" t="s">
        <v>2175</v>
      </c>
      <c r="O798">
        <v>2</v>
      </c>
      <c r="P798" t="s">
        <v>63</v>
      </c>
      <c r="Q798" t="b">
        <v>1</v>
      </c>
    </row>
    <row r="799" spans="1:17">
      <c r="A799" s="12">
        <v>42438</v>
      </c>
      <c r="B799" s="10">
        <v>4.34</v>
      </c>
      <c r="C799" s="10">
        <v>5.67</v>
      </c>
      <c r="D799" s="10">
        <v>7</v>
      </c>
      <c r="E799" s="10">
        <v>21.8</v>
      </c>
      <c r="F799" s="10">
        <v>7</v>
      </c>
      <c r="G799" s="10">
        <v>1</v>
      </c>
      <c r="H799" s="10">
        <v>6</v>
      </c>
      <c r="I799" s="10">
        <v>4</v>
      </c>
      <c r="J799" s="10">
        <f>SUM(B799:I799)</f>
        <v>56.81</v>
      </c>
      <c r="K799">
        <v>2016</v>
      </c>
      <c r="L799">
        <v>3</v>
      </c>
      <c r="M799" s="11">
        <v>42430</v>
      </c>
      <c r="N799" t="s">
        <v>2175</v>
      </c>
      <c r="O799">
        <v>3</v>
      </c>
      <c r="P799" t="s">
        <v>65</v>
      </c>
      <c r="Q799" t="b">
        <v>1</v>
      </c>
    </row>
    <row r="800" spans="1:17">
      <c r="A800" s="12">
        <v>42439</v>
      </c>
      <c r="B800" s="10">
        <v>6.33</v>
      </c>
      <c r="C800" s="10">
        <v>10.33</v>
      </c>
      <c r="D800" s="10">
        <v>2</v>
      </c>
      <c r="E800" s="10">
        <v>23.4</v>
      </c>
      <c r="F800" s="10">
        <v>8</v>
      </c>
      <c r="G800" s="10">
        <v>0</v>
      </c>
      <c r="H800" s="10">
        <v>2</v>
      </c>
      <c r="I800" s="10">
        <v>2</v>
      </c>
      <c r="J800" s="10">
        <f>SUM(B800:I800)</f>
        <v>54.06</v>
      </c>
      <c r="K800">
        <v>2016</v>
      </c>
      <c r="L800">
        <v>3</v>
      </c>
      <c r="M800" s="11">
        <v>42430</v>
      </c>
      <c r="N800" t="s">
        <v>2175</v>
      </c>
      <c r="O800">
        <v>4</v>
      </c>
      <c r="P800" t="s">
        <v>53</v>
      </c>
      <c r="Q800" t="b">
        <v>1</v>
      </c>
    </row>
    <row r="801" spans="1:17">
      <c r="A801" s="12">
        <v>42440</v>
      </c>
      <c r="B801" s="10">
        <v>3.33</v>
      </c>
      <c r="C801" s="10">
        <v>4.363</v>
      </c>
      <c r="D801" s="10">
        <v>6.2</v>
      </c>
      <c r="E801" s="10">
        <v>22</v>
      </c>
      <c r="F801" s="10">
        <v>8</v>
      </c>
      <c r="G801" s="10">
        <v>0</v>
      </c>
      <c r="H801" s="10">
        <v>18</v>
      </c>
      <c r="I801" s="10">
        <v>1</v>
      </c>
      <c r="J801" s="10">
        <f>SUM(B801:I801)</f>
        <v>62.893</v>
      </c>
      <c r="K801">
        <v>2016</v>
      </c>
      <c r="L801">
        <v>3</v>
      </c>
      <c r="M801" s="11">
        <v>42430</v>
      </c>
      <c r="N801" t="s">
        <v>2175</v>
      </c>
      <c r="O801">
        <v>5</v>
      </c>
      <c r="P801" t="s">
        <v>55</v>
      </c>
      <c r="Q801" t="b">
        <v>1</v>
      </c>
    </row>
    <row r="802" spans="1:17">
      <c r="A802" s="12">
        <v>42441</v>
      </c>
      <c r="B802" s="10">
        <v>3</v>
      </c>
      <c r="C802" s="10">
        <v>6.373</v>
      </c>
      <c r="D802" s="10">
        <v>1.4</v>
      </c>
      <c r="E802" s="10">
        <v>41.8</v>
      </c>
      <c r="F802" s="10">
        <v>4</v>
      </c>
      <c r="G802" s="10">
        <v>0</v>
      </c>
      <c r="H802" s="10">
        <v>23</v>
      </c>
      <c r="I802" s="10">
        <v>1</v>
      </c>
      <c r="J802" s="10">
        <f>SUM(B802:I802)</f>
        <v>80.57300000000001</v>
      </c>
      <c r="K802">
        <v>2016</v>
      </c>
      <c r="L802">
        <v>3</v>
      </c>
      <c r="M802" s="11">
        <v>42430</v>
      </c>
      <c r="N802" t="s">
        <v>2175</v>
      </c>
      <c r="O802">
        <v>6</v>
      </c>
      <c r="P802" t="s">
        <v>57</v>
      </c>
      <c r="Q802" t="b">
        <v>1</v>
      </c>
    </row>
    <row r="803" spans="1:17">
      <c r="A803" s="12">
        <v>42442</v>
      </c>
      <c r="B803" s="10">
        <v>2.5</v>
      </c>
      <c r="C803" s="10">
        <v>4.134</v>
      </c>
      <c r="D803" s="10">
        <v>1.5</v>
      </c>
      <c r="E803" s="10">
        <v>59.2</v>
      </c>
      <c r="F803" s="10">
        <v>4</v>
      </c>
      <c r="G803" s="10">
        <v>0</v>
      </c>
      <c r="H803" s="10">
        <v>4</v>
      </c>
      <c r="I803" s="10">
        <v>0.34</v>
      </c>
      <c r="J803" s="10">
        <f>SUM(B803:I803)</f>
        <v>75.674</v>
      </c>
      <c r="K803">
        <v>2016</v>
      </c>
      <c r="L803">
        <v>3</v>
      </c>
      <c r="M803" s="11">
        <v>42430</v>
      </c>
      <c r="N803" t="s">
        <v>2175</v>
      </c>
      <c r="O803">
        <v>7</v>
      </c>
      <c r="P803" t="s">
        <v>59</v>
      </c>
      <c r="Q803" t="b">
        <v>1</v>
      </c>
    </row>
    <row r="804" spans="1:17">
      <c r="A804" s="12">
        <v>42443</v>
      </c>
      <c r="B804" s="10">
        <v>4.33</v>
      </c>
      <c r="C804" s="10">
        <v>3.32</v>
      </c>
      <c r="D804" s="10">
        <v>10</v>
      </c>
      <c r="E804" s="10">
        <v>35.9</v>
      </c>
      <c r="F804" s="10">
        <v>12</v>
      </c>
      <c r="G804" s="10">
        <v>0</v>
      </c>
      <c r="H804" s="10">
        <v>23</v>
      </c>
      <c r="I804" s="10">
        <v>1</v>
      </c>
      <c r="J804" s="10">
        <f>SUM(B804:I804)</f>
        <v>89.55</v>
      </c>
      <c r="K804">
        <v>2016</v>
      </c>
      <c r="L804">
        <v>3</v>
      </c>
      <c r="M804" s="11">
        <v>42430</v>
      </c>
      <c r="N804" t="s">
        <v>2175</v>
      </c>
      <c r="O804">
        <v>1</v>
      </c>
      <c r="P804" t="s">
        <v>61</v>
      </c>
      <c r="Q804" t="b">
        <v>1</v>
      </c>
    </row>
    <row r="805" spans="1:17">
      <c r="A805" s="12">
        <v>42444</v>
      </c>
      <c r="B805" s="10">
        <v>5.33</v>
      </c>
      <c r="C805" s="10">
        <v>3.32</v>
      </c>
      <c r="D805" s="10">
        <v>2</v>
      </c>
      <c r="E805" s="10">
        <v>24</v>
      </c>
      <c r="F805" s="10">
        <v>7</v>
      </c>
      <c r="G805" s="10">
        <v>0</v>
      </c>
      <c r="H805" s="10">
        <v>18</v>
      </c>
      <c r="I805" s="10">
        <v>3</v>
      </c>
      <c r="J805" s="10">
        <f>SUM(B805:I805)</f>
        <v>62.65</v>
      </c>
      <c r="K805">
        <v>2016</v>
      </c>
      <c r="L805">
        <v>3</v>
      </c>
      <c r="M805" s="11">
        <v>42430</v>
      </c>
      <c r="N805" t="s">
        <v>2175</v>
      </c>
      <c r="O805">
        <v>2</v>
      </c>
      <c r="P805" t="s">
        <v>63</v>
      </c>
      <c r="Q805" t="b">
        <v>1</v>
      </c>
    </row>
    <row r="806" spans="1:17">
      <c r="A806" s="12">
        <v>42445</v>
      </c>
      <c r="B806" s="10">
        <v>5.33</v>
      </c>
      <c r="C806" s="10">
        <v>13.34</v>
      </c>
      <c r="D806" s="10">
        <v>5.7</v>
      </c>
      <c r="E806" s="10">
        <v>37.4</v>
      </c>
      <c r="F806" s="10">
        <v>16</v>
      </c>
      <c r="G806" s="10">
        <v>0</v>
      </c>
      <c r="H806" s="10">
        <v>4</v>
      </c>
      <c r="I806" s="10">
        <v>4</v>
      </c>
      <c r="J806" s="10">
        <f>SUM(B806:I806)</f>
        <v>85.77</v>
      </c>
      <c r="K806">
        <v>2016</v>
      </c>
      <c r="L806">
        <v>3</v>
      </c>
      <c r="M806" s="11">
        <v>42430</v>
      </c>
      <c r="N806" t="s">
        <v>2175</v>
      </c>
      <c r="O806">
        <v>3</v>
      </c>
      <c r="P806" t="s">
        <v>65</v>
      </c>
      <c r="Q806" t="b">
        <v>1</v>
      </c>
    </row>
    <row r="807" spans="1:17">
      <c r="A807" s="12">
        <v>42446</v>
      </c>
      <c r="B807" s="10">
        <v>5.66</v>
      </c>
      <c r="C807" s="10">
        <v>5.396</v>
      </c>
      <c r="D807" s="10">
        <v>5</v>
      </c>
      <c r="E807" s="10">
        <v>60.2</v>
      </c>
      <c r="F807" s="10">
        <v>10</v>
      </c>
      <c r="G807" s="10">
        <v>0</v>
      </c>
      <c r="H807" s="10">
        <v>8</v>
      </c>
      <c r="I807" s="10">
        <v>5</v>
      </c>
      <c r="J807" s="10">
        <f>SUM(B807:I807)</f>
        <v>99.256</v>
      </c>
      <c r="K807">
        <v>2016</v>
      </c>
      <c r="L807">
        <v>3</v>
      </c>
      <c r="M807" s="11">
        <v>42430</v>
      </c>
      <c r="N807" t="s">
        <v>2175</v>
      </c>
      <c r="O807">
        <v>4</v>
      </c>
      <c r="P807" t="s">
        <v>53</v>
      </c>
      <c r="Q807" t="b">
        <v>1</v>
      </c>
    </row>
    <row r="808" spans="1:17">
      <c r="A808" s="12">
        <v>42447</v>
      </c>
      <c r="B808" s="10">
        <v>3.34</v>
      </c>
      <c r="C808" s="10">
        <v>5.353</v>
      </c>
      <c r="D808" s="10">
        <v>5.2</v>
      </c>
      <c r="E808" s="10">
        <v>25.462</v>
      </c>
      <c r="F808" s="10">
        <v>15</v>
      </c>
      <c r="G808" s="10">
        <v>2</v>
      </c>
      <c r="H808" s="10">
        <v>8</v>
      </c>
      <c r="I808" s="10">
        <v>3</v>
      </c>
      <c r="J808" s="10">
        <f>SUM(B808:I808)</f>
        <v>67.355</v>
      </c>
      <c r="K808">
        <v>2016</v>
      </c>
      <c r="L808">
        <v>3</v>
      </c>
      <c r="M808" s="11">
        <v>42430</v>
      </c>
      <c r="N808" t="s">
        <v>2175</v>
      </c>
      <c r="O808">
        <v>5</v>
      </c>
      <c r="P808" t="s">
        <v>55</v>
      </c>
      <c r="Q808" t="b">
        <v>1</v>
      </c>
    </row>
    <row r="809" spans="1:17">
      <c r="A809" s="12">
        <v>42448</v>
      </c>
      <c r="B809" s="10">
        <v>10.66</v>
      </c>
      <c r="C809" s="10">
        <v>8.33</v>
      </c>
      <c r="D809" s="10">
        <v>2.8</v>
      </c>
      <c r="E809" s="10">
        <v>19.5</v>
      </c>
      <c r="F809" s="10">
        <v>6</v>
      </c>
      <c r="G809" s="10">
        <v>1</v>
      </c>
      <c r="H809" s="10">
        <v>5</v>
      </c>
      <c r="I809" s="10">
        <v>5</v>
      </c>
      <c r="J809" s="10">
        <f>SUM(B809:I809)</f>
        <v>58.290000000000006</v>
      </c>
      <c r="K809">
        <v>2016</v>
      </c>
      <c r="L809">
        <v>3</v>
      </c>
      <c r="M809" s="11">
        <v>42430</v>
      </c>
      <c r="N809" t="s">
        <v>2175</v>
      </c>
      <c r="O809">
        <v>6</v>
      </c>
      <c r="P809" t="s">
        <v>57</v>
      </c>
      <c r="Q809" t="b">
        <v>1</v>
      </c>
    </row>
    <row r="810" spans="1:17">
      <c r="A810" s="12">
        <v>42449</v>
      </c>
      <c r="B810" s="10">
        <v>7.99</v>
      </c>
      <c r="C810" s="10">
        <v>9.693</v>
      </c>
      <c r="D810" s="10">
        <v>2.2</v>
      </c>
      <c r="E810" s="10">
        <v>42.2</v>
      </c>
      <c r="F810" s="10">
        <v>1</v>
      </c>
      <c r="G810" s="10">
        <v>0</v>
      </c>
      <c r="H810" s="10">
        <v>15</v>
      </c>
      <c r="I810" s="10">
        <v>5</v>
      </c>
      <c r="J810" s="10">
        <f>SUM(B810:I810)</f>
        <v>83.083</v>
      </c>
      <c r="K810">
        <v>2016</v>
      </c>
      <c r="L810">
        <v>3</v>
      </c>
      <c r="M810" s="11">
        <v>42430</v>
      </c>
      <c r="N810" t="s">
        <v>2175</v>
      </c>
      <c r="O810">
        <v>7</v>
      </c>
      <c r="P810" t="s">
        <v>59</v>
      </c>
      <c r="Q810" t="b">
        <v>1</v>
      </c>
    </row>
    <row r="811" spans="1:17">
      <c r="A811" s="12">
        <v>42450</v>
      </c>
      <c r="B811" s="10">
        <v>5</v>
      </c>
      <c r="C811" s="10">
        <v>8.055999999999999</v>
      </c>
      <c r="D811" s="10">
        <v>6</v>
      </c>
      <c r="E811" s="10">
        <v>45.7</v>
      </c>
      <c r="F811" s="10">
        <v>11</v>
      </c>
      <c r="G811" s="10">
        <v>0</v>
      </c>
      <c r="H811" s="10">
        <v>36</v>
      </c>
      <c r="I811" s="10">
        <v>7</v>
      </c>
      <c r="J811" s="10">
        <f>SUM(B811:I811)</f>
        <v>118.756</v>
      </c>
      <c r="K811">
        <v>2016</v>
      </c>
      <c r="L811">
        <v>3</v>
      </c>
      <c r="M811" s="11">
        <v>42430</v>
      </c>
      <c r="N811" t="s">
        <v>2175</v>
      </c>
      <c r="O811">
        <v>1</v>
      </c>
      <c r="P811" t="s">
        <v>61</v>
      </c>
      <c r="Q811" t="b">
        <v>1</v>
      </c>
    </row>
    <row r="812" spans="1:17">
      <c r="A812" s="12">
        <v>42451</v>
      </c>
      <c r="B812" s="10">
        <v>2.33</v>
      </c>
      <c r="C812" s="10">
        <v>0</v>
      </c>
      <c r="D812" s="10">
        <v>5</v>
      </c>
      <c r="E812" s="10">
        <v>42.188</v>
      </c>
      <c r="F812" s="10">
        <v>12</v>
      </c>
      <c r="G812" s="10">
        <v>2</v>
      </c>
      <c r="H812" s="10">
        <v>4</v>
      </c>
      <c r="I812" s="10">
        <v>2</v>
      </c>
      <c r="J812" s="10">
        <f>SUM(B812:I812)</f>
        <v>69.518</v>
      </c>
      <c r="K812">
        <v>2016</v>
      </c>
      <c r="L812">
        <v>3</v>
      </c>
      <c r="M812" s="11">
        <v>42430</v>
      </c>
      <c r="N812" t="s">
        <v>2175</v>
      </c>
      <c r="O812">
        <v>2</v>
      </c>
      <c r="P812" t="s">
        <v>63</v>
      </c>
      <c r="Q812" t="b">
        <v>1</v>
      </c>
    </row>
    <row r="813" spans="1:17">
      <c r="A813" s="12">
        <v>42452</v>
      </c>
      <c r="B813" s="10">
        <v>4</v>
      </c>
      <c r="C813" s="10">
        <v>3</v>
      </c>
      <c r="D813" s="10">
        <v>6</v>
      </c>
      <c r="E813" s="10">
        <v>24.25</v>
      </c>
      <c r="F813" s="10">
        <v>22</v>
      </c>
      <c r="G813" s="10">
        <v>1</v>
      </c>
      <c r="H813" s="10">
        <v>0</v>
      </c>
      <c r="I813" s="10">
        <v>3</v>
      </c>
      <c r="J813" s="10">
        <f>SUM(B813:I813)</f>
        <v>63.25</v>
      </c>
      <c r="K813">
        <v>2016</v>
      </c>
      <c r="L813">
        <v>3</v>
      </c>
      <c r="M813" s="11">
        <v>42430</v>
      </c>
      <c r="N813" t="s">
        <v>2175</v>
      </c>
      <c r="O813">
        <v>3</v>
      </c>
      <c r="P813" t="s">
        <v>65</v>
      </c>
      <c r="Q813" t="b">
        <v>1</v>
      </c>
    </row>
    <row r="814" spans="1:17">
      <c r="A814" s="12">
        <v>42453</v>
      </c>
      <c r="B814" s="10">
        <v>6.84</v>
      </c>
      <c r="C814" s="10">
        <v>2</v>
      </c>
      <c r="D814" s="10">
        <v>3</v>
      </c>
      <c r="E814" s="10">
        <v>32</v>
      </c>
      <c r="F814" s="10">
        <v>4</v>
      </c>
      <c r="G814" s="10">
        <v>0</v>
      </c>
      <c r="H814" s="10">
        <v>8</v>
      </c>
      <c r="I814" s="10">
        <v>2</v>
      </c>
      <c r="J814" s="10">
        <f>SUM(B814:I814)</f>
        <v>57.84</v>
      </c>
      <c r="K814">
        <v>2016</v>
      </c>
      <c r="L814">
        <v>3</v>
      </c>
      <c r="M814" s="11">
        <v>42430</v>
      </c>
      <c r="N814" t="s">
        <v>2175</v>
      </c>
      <c r="O814">
        <v>4</v>
      </c>
      <c r="P814" t="s">
        <v>53</v>
      </c>
      <c r="Q814" t="b">
        <v>1</v>
      </c>
    </row>
    <row r="815" spans="1:17">
      <c r="A815" s="12">
        <v>42454</v>
      </c>
      <c r="B815" s="10">
        <v>7</v>
      </c>
      <c r="C815" s="10">
        <v>7.35</v>
      </c>
      <c r="D815" s="10">
        <v>4.2</v>
      </c>
      <c r="E815" s="10">
        <v>42.8</v>
      </c>
      <c r="F815" s="10">
        <v>8</v>
      </c>
      <c r="G815" s="10">
        <v>0</v>
      </c>
      <c r="H815" s="10">
        <v>3</v>
      </c>
      <c r="I815" s="10">
        <v>3</v>
      </c>
      <c r="J815" s="10">
        <f>SUM(B815:I815)</f>
        <v>75.35</v>
      </c>
      <c r="K815">
        <v>2016</v>
      </c>
      <c r="L815">
        <v>3</v>
      </c>
      <c r="M815" s="11">
        <v>42430</v>
      </c>
      <c r="N815" t="s">
        <v>2175</v>
      </c>
      <c r="O815">
        <v>5</v>
      </c>
      <c r="P815" t="s">
        <v>55</v>
      </c>
      <c r="Q815" t="b">
        <v>1</v>
      </c>
    </row>
    <row r="816" spans="1:17">
      <c r="A816" s="12">
        <v>42455</v>
      </c>
      <c r="B816" s="10">
        <v>2.5</v>
      </c>
      <c r="C816" s="10">
        <v>0.66</v>
      </c>
      <c r="D816" s="10">
        <v>7.5</v>
      </c>
      <c r="E816" s="10">
        <v>33.25</v>
      </c>
      <c r="F816" s="10">
        <v>4</v>
      </c>
      <c r="G816" s="10">
        <v>0</v>
      </c>
      <c r="H816" s="10">
        <v>0</v>
      </c>
      <c r="I816" s="10">
        <v>5</v>
      </c>
      <c r="J816" s="10">
        <f>SUM(B816:I816)</f>
        <v>52.91</v>
      </c>
      <c r="K816">
        <v>2016</v>
      </c>
      <c r="L816">
        <v>3</v>
      </c>
      <c r="M816" s="11">
        <v>42430</v>
      </c>
      <c r="N816" t="s">
        <v>2175</v>
      </c>
      <c r="O816">
        <v>6</v>
      </c>
      <c r="P816" t="s">
        <v>57</v>
      </c>
      <c r="Q816" t="b">
        <v>1</v>
      </c>
    </row>
    <row r="817" spans="1:17">
      <c r="A817" s="12">
        <v>42456</v>
      </c>
      <c r="B817" s="10">
        <v>7.83</v>
      </c>
      <c r="C817" s="10">
        <v>5.449</v>
      </c>
      <c r="D817" s="10">
        <v>13.7</v>
      </c>
      <c r="E817" s="10">
        <v>63.3</v>
      </c>
      <c r="F817" s="10">
        <v>11</v>
      </c>
      <c r="G817" s="10">
        <v>1</v>
      </c>
      <c r="H817" s="10">
        <v>1</v>
      </c>
      <c r="I817" s="10">
        <v>4</v>
      </c>
      <c r="J817" s="10">
        <f>SUM(B817:I817)</f>
        <v>107.279</v>
      </c>
      <c r="K817">
        <v>2016</v>
      </c>
      <c r="L817">
        <v>3</v>
      </c>
      <c r="M817" s="11">
        <v>42430</v>
      </c>
      <c r="N817" t="s">
        <v>2175</v>
      </c>
      <c r="O817">
        <v>7</v>
      </c>
      <c r="P817" t="s">
        <v>59</v>
      </c>
      <c r="Q817" t="b">
        <v>1</v>
      </c>
    </row>
    <row r="818" spans="1:17">
      <c r="A818" s="12">
        <v>42457</v>
      </c>
      <c r="B818" s="10">
        <v>3.34</v>
      </c>
      <c r="C818" s="10">
        <v>2.34</v>
      </c>
      <c r="D818" s="10">
        <v>1.7</v>
      </c>
      <c r="E818" s="10">
        <v>24.6</v>
      </c>
      <c r="F818" s="10">
        <v>20</v>
      </c>
      <c r="G818" s="10">
        <v>0</v>
      </c>
      <c r="H818" s="10">
        <v>4</v>
      </c>
      <c r="I818" s="10">
        <v>4.5</v>
      </c>
      <c r="J818" s="10">
        <f>SUM(B818:I818)</f>
        <v>60.480000000000004</v>
      </c>
      <c r="K818">
        <v>2016</v>
      </c>
      <c r="L818">
        <v>3</v>
      </c>
      <c r="M818" s="11">
        <v>42430</v>
      </c>
      <c r="N818" t="s">
        <v>2175</v>
      </c>
      <c r="O818">
        <v>1</v>
      </c>
      <c r="P818" t="s">
        <v>61</v>
      </c>
      <c r="Q818" t="b">
        <v>1</v>
      </c>
    </row>
    <row r="819" spans="1:17">
      <c r="A819" s="12">
        <v>42458</v>
      </c>
      <c r="B819" s="10">
        <v>5.68</v>
      </c>
      <c r="C819" s="10">
        <v>1.33</v>
      </c>
      <c r="D819" s="10">
        <v>3.2</v>
      </c>
      <c r="E819" s="10">
        <v>36.2</v>
      </c>
      <c r="F819" s="10">
        <v>4</v>
      </c>
      <c r="G819" s="10">
        <v>0</v>
      </c>
      <c r="H819" s="10">
        <v>12</v>
      </c>
      <c r="I819" s="10">
        <v>1</v>
      </c>
      <c r="J819" s="10">
        <f>SUM(B819:I819)</f>
        <v>63.410000000000004</v>
      </c>
      <c r="K819">
        <v>2016</v>
      </c>
      <c r="L819">
        <v>3</v>
      </c>
      <c r="M819" s="11">
        <v>42430</v>
      </c>
      <c r="N819" t="s">
        <v>2175</v>
      </c>
      <c r="O819">
        <v>2</v>
      </c>
      <c r="P819" t="s">
        <v>63</v>
      </c>
      <c r="Q819" t="b">
        <v>1</v>
      </c>
    </row>
    <row r="820" spans="1:17">
      <c r="A820" s="12">
        <v>42459</v>
      </c>
      <c r="B820" s="10">
        <v>7.16</v>
      </c>
      <c r="C820" s="10">
        <v>2.68</v>
      </c>
      <c r="D820" s="10">
        <v>7.4</v>
      </c>
      <c r="E820" s="10">
        <v>22.2</v>
      </c>
      <c r="F820" s="10">
        <v>3</v>
      </c>
      <c r="G820" s="10">
        <v>0</v>
      </c>
      <c r="H820" s="10">
        <v>12</v>
      </c>
      <c r="I820" s="10">
        <v>5</v>
      </c>
      <c r="J820" s="10">
        <f>SUM(B820:I820)</f>
        <v>59.44</v>
      </c>
      <c r="K820">
        <v>2016</v>
      </c>
      <c r="L820">
        <v>3</v>
      </c>
      <c r="M820" s="11">
        <v>42430</v>
      </c>
      <c r="N820" t="s">
        <v>2175</v>
      </c>
      <c r="O820">
        <v>3</v>
      </c>
      <c r="P820" t="s">
        <v>65</v>
      </c>
      <c r="Q820" t="b">
        <v>1</v>
      </c>
    </row>
    <row r="821" spans="1:17">
      <c r="A821" s="12">
        <v>42460</v>
      </c>
      <c r="B821" s="10">
        <v>2.33</v>
      </c>
      <c r="C821" s="10">
        <v>8.68</v>
      </c>
      <c r="D821" s="10">
        <v>2.9</v>
      </c>
      <c r="E821" s="10">
        <v>31.25</v>
      </c>
      <c r="F821" s="10">
        <v>1</v>
      </c>
      <c r="G821" s="10">
        <v>0</v>
      </c>
      <c r="H821" s="10">
        <v>5</v>
      </c>
      <c r="I821" s="10">
        <v>5</v>
      </c>
      <c r="J821" s="10">
        <f>SUM(B821:I821)</f>
        <v>56.16</v>
      </c>
      <c r="K821">
        <v>2016</v>
      </c>
      <c r="L821">
        <v>3</v>
      </c>
      <c r="M821" s="11">
        <v>42430</v>
      </c>
      <c r="N821" t="s">
        <v>2175</v>
      </c>
      <c r="O821">
        <v>4</v>
      </c>
      <c r="P821" t="s">
        <v>53</v>
      </c>
      <c r="Q821" t="b">
        <v>1</v>
      </c>
    </row>
    <row r="822" spans="1:17">
      <c r="A822" s="12">
        <v>42461</v>
      </c>
      <c r="B822" s="10">
        <v>6.33</v>
      </c>
      <c r="C822" s="10">
        <v>3.01</v>
      </c>
      <c r="D822" s="10">
        <v>2.7</v>
      </c>
      <c r="E822" s="10">
        <v>50.4</v>
      </c>
      <c r="F822" s="10">
        <v>4</v>
      </c>
      <c r="G822" s="10">
        <v>0</v>
      </c>
      <c r="H822" s="10">
        <v>16</v>
      </c>
      <c r="I822" s="10">
        <v>10.5</v>
      </c>
      <c r="J822" s="10">
        <f>SUM(B822:I822)</f>
        <v>92.94</v>
      </c>
      <c r="K822">
        <v>2016</v>
      </c>
      <c r="L822">
        <v>4</v>
      </c>
      <c r="M822" s="11">
        <v>42461</v>
      </c>
      <c r="N822" t="s">
        <v>2176</v>
      </c>
      <c r="O822">
        <v>5</v>
      </c>
      <c r="P822" t="s">
        <v>55</v>
      </c>
      <c r="Q822" t="b">
        <v>1</v>
      </c>
    </row>
    <row r="823" spans="1:17">
      <c r="A823" s="12">
        <v>42462</v>
      </c>
      <c r="B823" s="10">
        <v>3.67</v>
      </c>
      <c r="C823" s="10">
        <v>2</v>
      </c>
      <c r="D823" s="10">
        <v>7</v>
      </c>
      <c r="E823" s="10">
        <v>32.3</v>
      </c>
      <c r="F823" s="10">
        <v>4</v>
      </c>
      <c r="G823" s="10">
        <v>0</v>
      </c>
      <c r="H823" s="10">
        <v>19</v>
      </c>
      <c r="I823" s="10">
        <v>7.4</v>
      </c>
      <c r="J823" s="10">
        <f>SUM(B823:I823)</f>
        <v>75.37</v>
      </c>
      <c r="K823">
        <v>2016</v>
      </c>
      <c r="L823">
        <v>4</v>
      </c>
      <c r="M823" s="11">
        <v>42461</v>
      </c>
      <c r="N823" t="s">
        <v>2176</v>
      </c>
      <c r="O823">
        <v>6</v>
      </c>
      <c r="P823" t="s">
        <v>57</v>
      </c>
      <c r="Q823" t="b">
        <v>1</v>
      </c>
    </row>
    <row r="824" spans="1:17">
      <c r="A824" s="12">
        <v>42463</v>
      </c>
      <c r="B824" s="10">
        <v>9.67</v>
      </c>
      <c r="C824" s="10">
        <v>7.396</v>
      </c>
      <c r="D824" s="10">
        <v>5.3</v>
      </c>
      <c r="E824" s="10">
        <v>73.5</v>
      </c>
      <c r="F824" s="10">
        <v>5</v>
      </c>
      <c r="G824" s="10">
        <v>0</v>
      </c>
      <c r="H824" s="10">
        <v>6</v>
      </c>
      <c r="I824" s="10">
        <v>11</v>
      </c>
      <c r="J824" s="10">
        <f>SUM(B824:I824)</f>
        <v>117.866</v>
      </c>
      <c r="K824">
        <v>2016</v>
      </c>
      <c r="L824">
        <v>4</v>
      </c>
      <c r="M824" s="11">
        <v>42461</v>
      </c>
      <c r="N824" t="s">
        <v>2176</v>
      </c>
      <c r="O824">
        <v>7</v>
      </c>
      <c r="P824" t="s">
        <v>59</v>
      </c>
      <c r="Q824" t="b">
        <v>1</v>
      </c>
    </row>
    <row r="825" spans="1:17">
      <c r="A825" s="12">
        <v>42464</v>
      </c>
      <c r="B825" s="10">
        <v>7</v>
      </c>
      <c r="C825" s="10">
        <v>5.231</v>
      </c>
      <c r="D825" s="10">
        <v>5</v>
      </c>
      <c r="E825" s="10">
        <v>21.6</v>
      </c>
      <c r="F825" s="10">
        <v>3</v>
      </c>
      <c r="G825" s="10">
        <v>1</v>
      </c>
      <c r="H825" s="10">
        <v>11</v>
      </c>
      <c r="I825" s="10">
        <v>2</v>
      </c>
      <c r="J825" s="10">
        <f>SUM(B825:I825)</f>
        <v>55.831</v>
      </c>
      <c r="K825">
        <v>2016</v>
      </c>
      <c r="L825">
        <v>4</v>
      </c>
      <c r="M825" s="11">
        <v>42461</v>
      </c>
      <c r="N825" t="s">
        <v>2176</v>
      </c>
      <c r="O825">
        <v>1</v>
      </c>
      <c r="P825" t="s">
        <v>61</v>
      </c>
      <c r="Q825" t="b">
        <v>1</v>
      </c>
    </row>
    <row r="826" spans="1:17">
      <c r="A826" s="12">
        <v>42465</v>
      </c>
      <c r="B826" s="10">
        <v>6</v>
      </c>
      <c r="C826" s="10">
        <v>5.33</v>
      </c>
      <c r="D826" s="10">
        <v>4</v>
      </c>
      <c r="E826" s="10">
        <v>40.3</v>
      </c>
      <c r="F826" s="10">
        <v>5</v>
      </c>
      <c r="G826" s="10">
        <v>1</v>
      </c>
      <c r="H826" s="10">
        <v>11</v>
      </c>
      <c r="I826" s="10">
        <v>12</v>
      </c>
      <c r="J826" s="10">
        <f>SUM(B826:I826)</f>
        <v>84.63</v>
      </c>
      <c r="K826">
        <v>2016</v>
      </c>
      <c r="L826">
        <v>4</v>
      </c>
      <c r="M826" s="11">
        <v>42461</v>
      </c>
      <c r="N826" t="s">
        <v>2176</v>
      </c>
      <c r="O826">
        <v>2</v>
      </c>
      <c r="P826" t="s">
        <v>63</v>
      </c>
      <c r="Q826" t="b">
        <v>1</v>
      </c>
    </row>
    <row r="827" spans="1:17">
      <c r="A827" s="12">
        <v>42466</v>
      </c>
      <c r="B827" s="10">
        <v>6.66</v>
      </c>
      <c r="C827" s="10">
        <v>5.363</v>
      </c>
      <c r="D827" s="10">
        <v>2</v>
      </c>
      <c r="E827" s="10">
        <v>15.25</v>
      </c>
      <c r="F827" s="10">
        <v>7</v>
      </c>
      <c r="G827" s="10">
        <v>0</v>
      </c>
      <c r="H827" s="10">
        <v>6</v>
      </c>
      <c r="I827" s="10">
        <v>3</v>
      </c>
      <c r="J827" s="10">
        <f>SUM(B827:I827)</f>
        <v>45.272999999999996</v>
      </c>
      <c r="K827">
        <v>2016</v>
      </c>
      <c r="L827">
        <v>4</v>
      </c>
      <c r="M827" s="11">
        <v>42461</v>
      </c>
      <c r="N827" t="s">
        <v>2176</v>
      </c>
      <c r="O827">
        <v>3</v>
      </c>
      <c r="P827" t="s">
        <v>65</v>
      </c>
      <c r="Q827" t="b">
        <v>1</v>
      </c>
    </row>
    <row r="828" spans="1:17">
      <c r="A828" s="12">
        <v>42467</v>
      </c>
      <c r="B828" s="10">
        <v>6.33</v>
      </c>
      <c r="C828" s="10">
        <v>5.98</v>
      </c>
      <c r="D828" s="10">
        <v>4</v>
      </c>
      <c r="E828" s="10">
        <v>21</v>
      </c>
      <c r="F828" s="10">
        <v>7</v>
      </c>
      <c r="G828" s="10">
        <v>2</v>
      </c>
      <c r="H828" s="10">
        <v>4</v>
      </c>
      <c r="I828" s="10">
        <v>8.199999999999999</v>
      </c>
      <c r="J828" s="10">
        <f>SUM(B828:I828)</f>
        <v>58.510000000000005</v>
      </c>
      <c r="K828">
        <v>2016</v>
      </c>
      <c r="L828">
        <v>4</v>
      </c>
      <c r="M828" s="11">
        <v>42461</v>
      </c>
      <c r="N828" t="s">
        <v>2176</v>
      </c>
      <c r="O828">
        <v>4</v>
      </c>
      <c r="P828" t="s">
        <v>53</v>
      </c>
      <c r="Q828" t="b">
        <v>1</v>
      </c>
    </row>
    <row r="829" spans="1:17">
      <c r="A829" s="12">
        <v>42468</v>
      </c>
      <c r="B829" s="10">
        <v>7.67</v>
      </c>
      <c r="C829" s="10">
        <v>3.66</v>
      </c>
      <c r="D829" s="10">
        <v>5</v>
      </c>
      <c r="E829" s="10">
        <v>42.3</v>
      </c>
      <c r="F829" s="10">
        <v>2</v>
      </c>
      <c r="G829" s="10">
        <v>1</v>
      </c>
      <c r="H829" s="10">
        <v>3</v>
      </c>
      <c r="I829" s="10">
        <v>4.4</v>
      </c>
      <c r="J829" s="10">
        <f>SUM(B829:I829)</f>
        <v>69.03</v>
      </c>
      <c r="K829">
        <v>2016</v>
      </c>
      <c r="L829">
        <v>4</v>
      </c>
      <c r="M829" s="11">
        <v>42461</v>
      </c>
      <c r="N829" t="s">
        <v>2176</v>
      </c>
      <c r="O829">
        <v>5</v>
      </c>
      <c r="P829" t="s">
        <v>55</v>
      </c>
      <c r="Q829" t="b">
        <v>1</v>
      </c>
    </row>
    <row r="830" spans="1:17">
      <c r="A830" s="12">
        <v>42469</v>
      </c>
      <c r="B830" s="10">
        <v>9</v>
      </c>
      <c r="C830" s="10">
        <v>9.01</v>
      </c>
      <c r="D830" s="10">
        <v>3.1</v>
      </c>
      <c r="E830" s="10">
        <v>38.8</v>
      </c>
      <c r="F830" s="10">
        <v>7</v>
      </c>
      <c r="G830" s="10">
        <v>0</v>
      </c>
      <c r="H830" s="10">
        <v>14</v>
      </c>
      <c r="I830" s="10">
        <v>3</v>
      </c>
      <c r="J830" s="10">
        <f>SUM(B830:I830)</f>
        <v>83.91</v>
      </c>
      <c r="K830">
        <v>2016</v>
      </c>
      <c r="L830">
        <v>4</v>
      </c>
      <c r="M830" s="11">
        <v>42461</v>
      </c>
      <c r="N830" t="s">
        <v>2176</v>
      </c>
      <c r="O830">
        <v>6</v>
      </c>
      <c r="P830" t="s">
        <v>57</v>
      </c>
      <c r="Q830" t="b">
        <v>1</v>
      </c>
    </row>
    <row r="831" spans="1:17">
      <c r="A831" s="12">
        <v>42470</v>
      </c>
      <c r="B831" s="10">
        <v>5</v>
      </c>
      <c r="C831" s="10">
        <v>6.67</v>
      </c>
      <c r="D831" s="10">
        <v>5.15</v>
      </c>
      <c r="E831" s="10">
        <v>21.4</v>
      </c>
      <c r="F831" s="10">
        <v>4</v>
      </c>
      <c r="G831" s="10">
        <v>1</v>
      </c>
      <c r="H831" s="10">
        <v>11</v>
      </c>
      <c r="I831" s="10">
        <v>8</v>
      </c>
      <c r="J831" s="10">
        <f>SUM(B831:I831)</f>
        <v>62.22</v>
      </c>
      <c r="K831">
        <v>2016</v>
      </c>
      <c r="L831">
        <v>4</v>
      </c>
      <c r="M831" s="11">
        <v>42461</v>
      </c>
      <c r="N831" t="s">
        <v>2176</v>
      </c>
      <c r="O831">
        <v>7</v>
      </c>
      <c r="P831" t="s">
        <v>59</v>
      </c>
      <c r="Q831" t="b">
        <v>1</v>
      </c>
    </row>
    <row r="832" spans="1:17">
      <c r="A832" s="12">
        <v>42471</v>
      </c>
      <c r="B832" s="10">
        <v>0.33</v>
      </c>
      <c r="C832" s="10">
        <v>4.99</v>
      </c>
      <c r="D832" s="10">
        <v>3</v>
      </c>
      <c r="E832" s="10">
        <v>26</v>
      </c>
      <c r="F832" s="10">
        <v>11</v>
      </c>
      <c r="G832" s="10">
        <v>2</v>
      </c>
      <c r="H832" s="10">
        <v>17</v>
      </c>
      <c r="I832" s="10">
        <v>6</v>
      </c>
      <c r="J832" s="10">
        <f>SUM(B832:I832)</f>
        <v>70.32</v>
      </c>
      <c r="K832">
        <v>2016</v>
      </c>
      <c r="L832">
        <v>4</v>
      </c>
      <c r="M832" s="11">
        <v>42461</v>
      </c>
      <c r="N832" t="s">
        <v>2176</v>
      </c>
      <c r="O832">
        <v>1</v>
      </c>
      <c r="P832" t="s">
        <v>61</v>
      </c>
      <c r="Q832" t="b">
        <v>1</v>
      </c>
    </row>
    <row r="833" spans="1:17">
      <c r="A833" s="12">
        <v>42472</v>
      </c>
      <c r="B833" s="10">
        <v>4.34</v>
      </c>
      <c r="C833" s="10">
        <v>4.65</v>
      </c>
      <c r="D833" s="10">
        <v>6</v>
      </c>
      <c r="E833" s="10">
        <v>41.6</v>
      </c>
      <c r="F833" s="10">
        <v>19</v>
      </c>
      <c r="G833" s="10">
        <v>1</v>
      </c>
      <c r="H833" s="10">
        <v>2</v>
      </c>
      <c r="I833" s="10">
        <v>5</v>
      </c>
      <c r="J833" s="10">
        <f>SUM(B833:I833)</f>
        <v>83.59</v>
      </c>
      <c r="K833">
        <v>2016</v>
      </c>
      <c r="L833">
        <v>4</v>
      </c>
      <c r="M833" s="11">
        <v>42461</v>
      </c>
      <c r="N833" t="s">
        <v>2176</v>
      </c>
      <c r="O833">
        <v>2</v>
      </c>
      <c r="P833" t="s">
        <v>63</v>
      </c>
      <c r="Q833" t="b">
        <v>1</v>
      </c>
    </row>
    <row r="834" spans="1:17">
      <c r="A834" s="12">
        <v>42473</v>
      </c>
      <c r="B834" s="10">
        <v>6.33</v>
      </c>
      <c r="C834" s="10">
        <v>3.066</v>
      </c>
      <c r="D834" s="10">
        <v>3</v>
      </c>
      <c r="E834" s="10">
        <v>34</v>
      </c>
      <c r="F834" s="10">
        <v>22.33333333</v>
      </c>
      <c r="G834" s="10">
        <v>0</v>
      </c>
      <c r="H834" s="10">
        <v>2</v>
      </c>
      <c r="I834" s="10">
        <v>3</v>
      </c>
      <c r="J834" s="10">
        <f>SUM(B834:I834)</f>
        <v>73.72933333</v>
      </c>
      <c r="K834">
        <v>2016</v>
      </c>
      <c r="L834">
        <v>4</v>
      </c>
      <c r="M834" s="11">
        <v>42461</v>
      </c>
      <c r="N834" t="s">
        <v>2176</v>
      </c>
      <c r="O834">
        <v>3</v>
      </c>
      <c r="P834" t="s">
        <v>65</v>
      </c>
      <c r="Q834" t="b">
        <v>1</v>
      </c>
    </row>
    <row r="835" spans="1:17">
      <c r="A835" s="12">
        <v>42474</v>
      </c>
      <c r="B835" s="10">
        <v>2.66</v>
      </c>
      <c r="C835" s="10">
        <v>2.32</v>
      </c>
      <c r="D835" s="10">
        <v>8.5</v>
      </c>
      <c r="E835" s="10">
        <v>44.225</v>
      </c>
      <c r="F835" s="10">
        <v>9</v>
      </c>
      <c r="G835" s="10">
        <v>0</v>
      </c>
      <c r="H835" s="10">
        <v>4</v>
      </c>
      <c r="I835" s="10">
        <v>6</v>
      </c>
      <c r="J835" s="10">
        <f>SUM(B835:I835)</f>
        <v>76.705</v>
      </c>
      <c r="K835">
        <v>2016</v>
      </c>
      <c r="L835">
        <v>4</v>
      </c>
      <c r="M835" s="11">
        <v>42461</v>
      </c>
      <c r="N835" t="s">
        <v>2176</v>
      </c>
      <c r="O835">
        <v>4</v>
      </c>
      <c r="P835" t="s">
        <v>53</v>
      </c>
      <c r="Q835" t="b">
        <v>1</v>
      </c>
    </row>
    <row r="836" spans="1:17">
      <c r="A836" s="12">
        <v>42475</v>
      </c>
      <c r="B836" s="10">
        <v>4.33</v>
      </c>
      <c r="C836" s="10">
        <v>3.056</v>
      </c>
      <c r="D836" s="10">
        <v>2.7</v>
      </c>
      <c r="E836" s="10">
        <v>23.6</v>
      </c>
      <c r="F836" s="10">
        <v>6</v>
      </c>
      <c r="G836" s="10">
        <v>0</v>
      </c>
      <c r="H836" s="10">
        <v>10</v>
      </c>
      <c r="I836" s="10">
        <v>4.2</v>
      </c>
      <c r="J836" s="10">
        <f>SUM(B836:I836)</f>
        <v>53.886</v>
      </c>
      <c r="K836">
        <v>2016</v>
      </c>
      <c r="L836">
        <v>4</v>
      </c>
      <c r="M836" s="11">
        <v>42461</v>
      </c>
      <c r="N836" t="s">
        <v>2176</v>
      </c>
      <c r="O836">
        <v>5</v>
      </c>
      <c r="P836" t="s">
        <v>55</v>
      </c>
      <c r="Q836" t="b">
        <v>1</v>
      </c>
    </row>
    <row r="837" spans="1:17">
      <c r="A837" s="12">
        <v>42476</v>
      </c>
      <c r="B837" s="10">
        <v>5.34</v>
      </c>
      <c r="C837" s="10">
        <v>6.66</v>
      </c>
      <c r="D837" s="10">
        <v>5.3</v>
      </c>
      <c r="E837" s="10">
        <v>33</v>
      </c>
      <c r="F837" s="10">
        <v>11</v>
      </c>
      <c r="G837" s="10">
        <v>0</v>
      </c>
      <c r="H837" s="10">
        <v>8</v>
      </c>
      <c r="I837" s="10">
        <v>8.5</v>
      </c>
      <c r="J837" s="10">
        <f>SUM(B837:I837)</f>
        <v>77.8</v>
      </c>
      <c r="K837">
        <v>2016</v>
      </c>
      <c r="L837">
        <v>4</v>
      </c>
      <c r="M837" s="11">
        <v>42461</v>
      </c>
      <c r="N837" t="s">
        <v>2176</v>
      </c>
      <c r="O837">
        <v>6</v>
      </c>
      <c r="P837" t="s">
        <v>57</v>
      </c>
      <c r="Q837" t="b">
        <v>1</v>
      </c>
    </row>
    <row r="838" spans="1:17">
      <c r="A838" s="12">
        <v>42477</v>
      </c>
      <c r="B838" s="10">
        <v>4.33</v>
      </c>
      <c r="C838" s="10">
        <v>8.175000000000001</v>
      </c>
      <c r="D838" s="10">
        <v>3</v>
      </c>
      <c r="E838" s="10">
        <v>52.8</v>
      </c>
      <c r="F838" s="10">
        <v>2</v>
      </c>
      <c r="G838" s="10">
        <v>0</v>
      </c>
      <c r="H838" s="10">
        <v>7</v>
      </c>
      <c r="I838" s="10">
        <v>7.2</v>
      </c>
      <c r="J838" s="10">
        <f>SUM(B838:I838)</f>
        <v>84.505</v>
      </c>
      <c r="K838">
        <v>2016</v>
      </c>
      <c r="L838">
        <v>4</v>
      </c>
      <c r="M838" s="11">
        <v>42461</v>
      </c>
      <c r="N838" t="s">
        <v>2176</v>
      </c>
      <c r="O838">
        <v>7</v>
      </c>
      <c r="P838" t="s">
        <v>59</v>
      </c>
      <c r="Q838" t="b">
        <v>1</v>
      </c>
    </row>
    <row r="839" spans="1:17">
      <c r="A839" s="12">
        <v>42478</v>
      </c>
      <c r="B839" s="10">
        <v>3.66</v>
      </c>
      <c r="C839" s="10">
        <v>2</v>
      </c>
      <c r="D839" s="10">
        <v>5</v>
      </c>
      <c r="E839" s="10">
        <v>22.1</v>
      </c>
      <c r="F839" s="10">
        <v>15</v>
      </c>
      <c r="G839" s="10">
        <v>3</v>
      </c>
      <c r="H839" s="10">
        <v>7</v>
      </c>
      <c r="I839" s="10">
        <v>7</v>
      </c>
      <c r="J839" s="10">
        <f>SUM(B839:I839)</f>
        <v>64.76</v>
      </c>
      <c r="K839">
        <v>2016</v>
      </c>
      <c r="L839">
        <v>4</v>
      </c>
      <c r="M839" s="11">
        <v>42461</v>
      </c>
      <c r="N839" t="s">
        <v>2176</v>
      </c>
      <c r="O839">
        <v>1</v>
      </c>
      <c r="P839" t="s">
        <v>61</v>
      </c>
      <c r="Q839" t="b">
        <v>1</v>
      </c>
    </row>
    <row r="840" spans="1:17">
      <c r="A840" s="12">
        <v>42479</v>
      </c>
      <c r="B840" s="10">
        <v>3</v>
      </c>
      <c r="C840" s="10">
        <v>1.34</v>
      </c>
      <c r="D840" s="10">
        <v>8.300000000000001</v>
      </c>
      <c r="E840" s="10">
        <v>24.3</v>
      </c>
      <c r="F840" s="10">
        <v>7</v>
      </c>
      <c r="G840" s="10">
        <v>0</v>
      </c>
      <c r="H840" s="10">
        <v>6</v>
      </c>
      <c r="I840" s="10">
        <v>4</v>
      </c>
      <c r="J840" s="10">
        <f>SUM(B840:I840)</f>
        <v>53.94</v>
      </c>
      <c r="K840">
        <v>2016</v>
      </c>
      <c r="L840">
        <v>4</v>
      </c>
      <c r="M840" s="11">
        <v>42461</v>
      </c>
      <c r="N840" t="s">
        <v>2176</v>
      </c>
      <c r="O840">
        <v>2</v>
      </c>
      <c r="P840" t="s">
        <v>63</v>
      </c>
      <c r="Q840" t="b">
        <v>1</v>
      </c>
    </row>
    <row r="841" spans="1:17">
      <c r="A841" s="12">
        <v>42480</v>
      </c>
      <c r="B841" s="10">
        <v>2.66</v>
      </c>
      <c r="C841" s="10">
        <v>3.33</v>
      </c>
      <c r="D841" s="10">
        <v>2.4</v>
      </c>
      <c r="E841" s="10">
        <v>17.1</v>
      </c>
      <c r="F841" s="10">
        <v>11</v>
      </c>
      <c r="G841" s="10">
        <v>5</v>
      </c>
      <c r="H841" s="10">
        <v>15</v>
      </c>
      <c r="I841" s="10">
        <v>3</v>
      </c>
      <c r="J841" s="10">
        <f>SUM(B841:I841)</f>
        <v>59.49</v>
      </c>
      <c r="K841">
        <v>2016</v>
      </c>
      <c r="L841">
        <v>4</v>
      </c>
      <c r="M841" s="11">
        <v>42461</v>
      </c>
      <c r="N841" t="s">
        <v>2176</v>
      </c>
      <c r="O841">
        <v>3</v>
      </c>
      <c r="P841" t="s">
        <v>65</v>
      </c>
      <c r="Q841" t="b">
        <v>1</v>
      </c>
    </row>
    <row r="842" spans="1:17">
      <c r="A842" s="12">
        <v>42481</v>
      </c>
      <c r="B842" s="10">
        <v>3</v>
      </c>
      <c r="C842" s="10">
        <v>3.464</v>
      </c>
      <c r="D842" s="10">
        <v>3</v>
      </c>
      <c r="E842" s="10">
        <v>21.6</v>
      </c>
      <c r="F842" s="10">
        <v>6</v>
      </c>
      <c r="G842" s="10">
        <v>0</v>
      </c>
      <c r="H842" s="10">
        <v>0</v>
      </c>
      <c r="I842" s="10">
        <v>2.3</v>
      </c>
      <c r="J842" s="10">
        <f>SUM(B842:I842)</f>
        <v>39.364</v>
      </c>
      <c r="K842">
        <v>2016</v>
      </c>
      <c r="L842">
        <v>4</v>
      </c>
      <c r="M842" s="11">
        <v>42461</v>
      </c>
      <c r="N842" t="s">
        <v>2176</v>
      </c>
      <c r="O842">
        <v>4</v>
      </c>
      <c r="P842" t="s">
        <v>53</v>
      </c>
      <c r="Q842" t="b">
        <v>1</v>
      </c>
    </row>
    <row r="843" spans="1:17">
      <c r="A843" s="12">
        <v>42482</v>
      </c>
      <c r="B843" s="10">
        <v>6</v>
      </c>
      <c r="C843" s="10">
        <v>5.67</v>
      </c>
      <c r="D843" s="10">
        <v>4</v>
      </c>
      <c r="E843" s="10">
        <v>21.9</v>
      </c>
      <c r="F843" s="10">
        <v>4</v>
      </c>
      <c r="G843" s="10">
        <v>0</v>
      </c>
      <c r="H843" s="10">
        <v>6</v>
      </c>
      <c r="I843" s="10">
        <v>1</v>
      </c>
      <c r="J843" s="10">
        <f>SUM(B843:I843)</f>
        <v>48.57</v>
      </c>
      <c r="K843">
        <v>2016</v>
      </c>
      <c r="L843">
        <v>4</v>
      </c>
      <c r="M843" s="11">
        <v>42461</v>
      </c>
      <c r="N843" t="s">
        <v>2176</v>
      </c>
      <c r="O843">
        <v>5</v>
      </c>
      <c r="P843" t="s">
        <v>55</v>
      </c>
      <c r="Q843" t="b">
        <v>1</v>
      </c>
    </row>
    <row r="844" spans="1:17">
      <c r="A844" s="12">
        <v>42483</v>
      </c>
      <c r="B844" s="10">
        <v>13.66</v>
      </c>
      <c r="C844" s="10">
        <v>3.69</v>
      </c>
      <c r="D844" s="10">
        <v>8</v>
      </c>
      <c r="E844" s="10">
        <v>33.2</v>
      </c>
      <c r="F844" s="10">
        <v>8</v>
      </c>
      <c r="G844" s="10">
        <v>0</v>
      </c>
      <c r="H844" s="10">
        <v>0</v>
      </c>
      <c r="I844" s="10">
        <v>4.5</v>
      </c>
      <c r="J844" s="10">
        <f>SUM(B844:I844)</f>
        <v>71.05000000000001</v>
      </c>
      <c r="K844">
        <v>2016</v>
      </c>
      <c r="L844">
        <v>4</v>
      </c>
      <c r="M844" s="11">
        <v>42461</v>
      </c>
      <c r="N844" t="s">
        <v>2176</v>
      </c>
      <c r="O844">
        <v>6</v>
      </c>
      <c r="P844" t="s">
        <v>57</v>
      </c>
      <c r="Q844" t="b">
        <v>1</v>
      </c>
    </row>
    <row r="845" spans="1:17">
      <c r="A845" s="12">
        <v>42484</v>
      </c>
      <c r="B845" s="10">
        <v>1</v>
      </c>
      <c r="C845" s="10">
        <v>6.66</v>
      </c>
      <c r="D845" s="10">
        <v>5.5</v>
      </c>
      <c r="E845" s="10">
        <v>36.95</v>
      </c>
      <c r="F845" s="10">
        <v>3</v>
      </c>
      <c r="G845" s="10">
        <v>0</v>
      </c>
      <c r="H845" s="10">
        <v>6</v>
      </c>
      <c r="I845" s="10">
        <v>5</v>
      </c>
      <c r="J845" s="10">
        <f>SUM(B845:I845)</f>
        <v>64.11</v>
      </c>
      <c r="K845">
        <v>2016</v>
      </c>
      <c r="L845">
        <v>4</v>
      </c>
      <c r="M845" s="11">
        <v>42461</v>
      </c>
      <c r="N845" t="s">
        <v>2176</v>
      </c>
      <c r="O845">
        <v>7</v>
      </c>
      <c r="P845" t="s">
        <v>59</v>
      </c>
      <c r="Q845" t="b">
        <v>1</v>
      </c>
    </row>
    <row r="846" spans="1:17">
      <c r="A846" s="12">
        <v>42485</v>
      </c>
      <c r="B846" s="10">
        <v>6.67</v>
      </c>
      <c r="C846" s="10">
        <v>1.66</v>
      </c>
      <c r="D846" s="10">
        <v>7.25</v>
      </c>
      <c r="E846" s="10">
        <v>21.7</v>
      </c>
      <c r="F846" s="10">
        <v>20</v>
      </c>
      <c r="G846" s="10">
        <v>1</v>
      </c>
      <c r="H846" s="10">
        <v>3</v>
      </c>
      <c r="I846" s="10">
        <v>2.5</v>
      </c>
      <c r="J846" s="10">
        <f>SUM(B846:I846)</f>
        <v>63.78</v>
      </c>
      <c r="K846">
        <v>2016</v>
      </c>
      <c r="L846">
        <v>4</v>
      </c>
      <c r="M846" s="11">
        <v>42461</v>
      </c>
      <c r="N846" t="s">
        <v>2176</v>
      </c>
      <c r="O846">
        <v>1</v>
      </c>
      <c r="P846" t="s">
        <v>61</v>
      </c>
      <c r="Q846" t="b">
        <v>1</v>
      </c>
    </row>
    <row r="847" spans="1:17">
      <c r="A847" s="12">
        <v>42486</v>
      </c>
      <c r="B847" s="10">
        <v>5.33</v>
      </c>
      <c r="C847" s="10">
        <v>4.99</v>
      </c>
      <c r="D847" s="10">
        <v>7</v>
      </c>
      <c r="E847" s="10">
        <v>27.2</v>
      </c>
      <c r="F847" s="10">
        <v>19</v>
      </c>
      <c r="G847" s="10">
        <v>0</v>
      </c>
      <c r="H847" s="10">
        <v>7</v>
      </c>
      <c r="I847" s="10">
        <v>2</v>
      </c>
      <c r="J847" s="10">
        <f>SUM(B847:I847)</f>
        <v>72.52</v>
      </c>
      <c r="K847">
        <v>2016</v>
      </c>
      <c r="L847">
        <v>4</v>
      </c>
      <c r="M847" s="11">
        <v>42461</v>
      </c>
      <c r="N847" t="s">
        <v>2176</v>
      </c>
      <c r="O847">
        <v>2</v>
      </c>
      <c r="P847" t="s">
        <v>63</v>
      </c>
      <c r="Q847" t="b">
        <v>1</v>
      </c>
    </row>
    <row r="848" spans="1:17">
      <c r="A848" s="12">
        <v>42487</v>
      </c>
      <c r="B848" s="10">
        <v>5.66</v>
      </c>
      <c r="C848" s="10">
        <v>7.495</v>
      </c>
      <c r="D848" s="10">
        <v>7</v>
      </c>
      <c r="E848" s="10">
        <v>47.4</v>
      </c>
      <c r="F848" s="10">
        <v>27</v>
      </c>
      <c r="G848" s="10">
        <v>0</v>
      </c>
      <c r="H848" s="10">
        <v>1</v>
      </c>
      <c r="I848" s="10">
        <v>2</v>
      </c>
      <c r="J848" s="10">
        <f>SUM(B848:I848)</f>
        <v>97.555</v>
      </c>
      <c r="K848">
        <v>2016</v>
      </c>
      <c r="L848">
        <v>4</v>
      </c>
      <c r="M848" s="11">
        <v>42461</v>
      </c>
      <c r="N848" t="s">
        <v>2176</v>
      </c>
      <c r="O848">
        <v>3</v>
      </c>
      <c r="P848" t="s">
        <v>65</v>
      </c>
      <c r="Q848" t="b">
        <v>1</v>
      </c>
    </row>
    <row r="849" spans="1:17">
      <c r="A849" s="12">
        <v>42488</v>
      </c>
      <c r="B849" s="10">
        <v>4.66</v>
      </c>
      <c r="C849" s="10">
        <v>6.34</v>
      </c>
      <c r="D849" s="10">
        <v>6</v>
      </c>
      <c r="E849" s="10">
        <v>28</v>
      </c>
      <c r="F849" s="10">
        <v>17.66666667</v>
      </c>
      <c r="G849" s="10">
        <v>0</v>
      </c>
      <c r="H849" s="10">
        <v>12</v>
      </c>
      <c r="I849" s="10">
        <v>12</v>
      </c>
      <c r="J849" s="10">
        <f>SUM(B849:I849)</f>
        <v>86.66666667</v>
      </c>
      <c r="K849">
        <v>2016</v>
      </c>
      <c r="L849">
        <v>4</v>
      </c>
      <c r="M849" s="11">
        <v>42461</v>
      </c>
      <c r="N849" t="s">
        <v>2176</v>
      </c>
      <c r="O849">
        <v>4</v>
      </c>
      <c r="P849" t="s">
        <v>53</v>
      </c>
      <c r="Q849" t="b">
        <v>1</v>
      </c>
    </row>
    <row r="850" spans="1:17">
      <c r="A850" s="12">
        <v>42489</v>
      </c>
      <c r="B850" s="10">
        <v>6.66</v>
      </c>
      <c r="C850" s="10">
        <v>3</v>
      </c>
      <c r="D850" s="10">
        <v>2.5</v>
      </c>
      <c r="E850" s="10">
        <v>37</v>
      </c>
      <c r="F850" s="10">
        <v>15</v>
      </c>
      <c r="G850" s="10">
        <v>0</v>
      </c>
      <c r="H850" s="10">
        <v>1</v>
      </c>
      <c r="I850" s="10">
        <v>3.2</v>
      </c>
      <c r="J850" s="10">
        <f>SUM(B850:I850)</f>
        <v>68.36</v>
      </c>
      <c r="K850">
        <v>2016</v>
      </c>
      <c r="L850">
        <v>4</v>
      </c>
      <c r="M850" s="11">
        <v>42461</v>
      </c>
      <c r="N850" t="s">
        <v>2176</v>
      </c>
      <c r="O850">
        <v>5</v>
      </c>
      <c r="P850" t="s">
        <v>55</v>
      </c>
      <c r="Q850" t="b">
        <v>1</v>
      </c>
    </row>
    <row r="851" spans="1:17">
      <c r="A851" s="12">
        <v>42490</v>
      </c>
      <c r="B851" s="10">
        <v>9.66</v>
      </c>
      <c r="C851" s="10">
        <v>10.32</v>
      </c>
      <c r="D851" s="10">
        <v>7</v>
      </c>
      <c r="E851" s="10">
        <v>47.812</v>
      </c>
      <c r="F851" s="10">
        <v>11</v>
      </c>
      <c r="G851" s="10">
        <v>0</v>
      </c>
      <c r="H851" s="10">
        <v>1</v>
      </c>
      <c r="I851" s="10">
        <v>4.5</v>
      </c>
      <c r="J851" s="10">
        <f>SUM(B851:I851)</f>
        <v>91.292</v>
      </c>
      <c r="K851">
        <v>2016</v>
      </c>
      <c r="L851">
        <v>4</v>
      </c>
      <c r="M851" s="11">
        <v>42461</v>
      </c>
      <c r="N851" t="s">
        <v>2176</v>
      </c>
      <c r="O851">
        <v>6</v>
      </c>
      <c r="P851" t="s">
        <v>57</v>
      </c>
      <c r="Q851" t="b">
        <v>1</v>
      </c>
    </row>
    <row r="852" spans="1:17">
      <c r="A852" s="12">
        <v>42491</v>
      </c>
      <c r="B852" s="10">
        <v>0</v>
      </c>
      <c r="C852" s="10">
        <v>0</v>
      </c>
      <c r="D852" s="10">
        <v>0</v>
      </c>
      <c r="E852" s="10">
        <v>0</v>
      </c>
      <c r="F852" s="10">
        <v>0</v>
      </c>
      <c r="G852" s="10">
        <v>0</v>
      </c>
      <c r="H852" s="10">
        <v>0</v>
      </c>
      <c r="I852" s="10">
        <v>0</v>
      </c>
      <c r="J852" s="10">
        <f>SUM(B852:I852)</f>
        <v>0.0</v>
      </c>
      <c r="K852">
        <v>2016</v>
      </c>
      <c r="L852">
        <v>5</v>
      </c>
      <c r="M852" s="11">
        <v>42491</v>
      </c>
      <c r="N852" t="s">
        <v>2177</v>
      </c>
      <c r="O852">
        <v>7</v>
      </c>
      <c r="P852" t="s">
        <v>59</v>
      </c>
      <c r="Q852" t="b">
        <v>1</v>
      </c>
    </row>
    <row r="853" spans="1:17">
      <c r="A853" s="12">
        <v>42492</v>
      </c>
      <c r="B853" s="10">
        <v>4</v>
      </c>
      <c r="C853" s="10">
        <v>1.02</v>
      </c>
      <c r="D853" s="10">
        <v>1</v>
      </c>
      <c r="E853" s="10">
        <v>39.2</v>
      </c>
      <c r="F853" s="10">
        <v>7</v>
      </c>
      <c r="G853" s="10">
        <v>0</v>
      </c>
      <c r="H853" s="10">
        <v>5</v>
      </c>
      <c r="I853" s="10">
        <v>2</v>
      </c>
      <c r="J853" s="10">
        <f>SUM(B853:I853)</f>
        <v>59.22</v>
      </c>
      <c r="K853">
        <v>2016</v>
      </c>
      <c r="L853">
        <v>5</v>
      </c>
      <c r="M853" s="11">
        <v>42491</v>
      </c>
      <c r="N853" t="s">
        <v>2177</v>
      </c>
      <c r="O853">
        <v>1</v>
      </c>
      <c r="P853" t="s">
        <v>61</v>
      </c>
      <c r="Q853" t="b">
        <v>1</v>
      </c>
    </row>
    <row r="854" spans="1:17">
      <c r="A854" s="12">
        <v>42493</v>
      </c>
      <c r="B854" s="10">
        <v>6.33</v>
      </c>
      <c r="C854" s="10">
        <v>5.99</v>
      </c>
      <c r="D854" s="10">
        <v>3</v>
      </c>
      <c r="E854" s="10">
        <v>23.9</v>
      </c>
      <c r="F854" s="10">
        <v>3</v>
      </c>
      <c r="G854" s="10">
        <v>0</v>
      </c>
      <c r="H854" s="10">
        <v>0</v>
      </c>
      <c r="I854" s="10">
        <v>2</v>
      </c>
      <c r="J854" s="10">
        <f>SUM(B854:I854)</f>
        <v>44.22</v>
      </c>
      <c r="K854">
        <v>2016</v>
      </c>
      <c r="L854">
        <v>5</v>
      </c>
      <c r="M854" s="11">
        <v>42491</v>
      </c>
      <c r="N854" t="s">
        <v>2177</v>
      </c>
      <c r="O854">
        <v>2</v>
      </c>
      <c r="P854" t="s">
        <v>63</v>
      </c>
      <c r="Q854" t="b">
        <v>1</v>
      </c>
    </row>
    <row r="855" spans="1:17">
      <c r="A855" s="12">
        <v>42494</v>
      </c>
      <c r="B855" s="10">
        <v>7.34</v>
      </c>
      <c r="C855" s="10">
        <v>3</v>
      </c>
      <c r="D855" s="10">
        <v>5</v>
      </c>
      <c r="E855" s="10">
        <v>32.2</v>
      </c>
      <c r="F855" s="10">
        <v>4</v>
      </c>
      <c r="G855" s="10">
        <v>0</v>
      </c>
      <c r="H855" s="10">
        <v>1</v>
      </c>
      <c r="I855" s="10">
        <v>2</v>
      </c>
      <c r="J855" s="10">
        <f>SUM(B855:I855)</f>
        <v>54.540000000000006</v>
      </c>
      <c r="K855">
        <v>2016</v>
      </c>
      <c r="L855">
        <v>5</v>
      </c>
      <c r="M855" s="11">
        <v>42491</v>
      </c>
      <c r="N855" t="s">
        <v>2177</v>
      </c>
      <c r="O855">
        <v>3</v>
      </c>
      <c r="P855" t="s">
        <v>65</v>
      </c>
      <c r="Q855" t="b">
        <v>1</v>
      </c>
    </row>
    <row r="856" spans="1:17">
      <c r="A856" s="12">
        <v>42495</v>
      </c>
      <c r="B856" s="10">
        <v>4.66</v>
      </c>
      <c r="C856" s="10">
        <v>3</v>
      </c>
      <c r="D856" s="10">
        <v>6</v>
      </c>
      <c r="E856" s="10">
        <v>41</v>
      </c>
      <c r="F856" s="10">
        <v>16</v>
      </c>
      <c r="G856" s="10">
        <v>3</v>
      </c>
      <c r="H856" s="10">
        <v>1</v>
      </c>
      <c r="I856" s="10">
        <v>2</v>
      </c>
      <c r="J856" s="10">
        <f>SUM(B856:I856)</f>
        <v>76.66</v>
      </c>
      <c r="K856">
        <v>2016</v>
      </c>
      <c r="L856">
        <v>5</v>
      </c>
      <c r="M856" s="11">
        <v>42491</v>
      </c>
      <c r="N856" t="s">
        <v>2177</v>
      </c>
      <c r="O856">
        <v>4</v>
      </c>
      <c r="P856" t="s">
        <v>53</v>
      </c>
      <c r="Q856" t="b">
        <v>1</v>
      </c>
    </row>
    <row r="857" spans="1:17">
      <c r="A857" s="12">
        <v>42496</v>
      </c>
      <c r="B857" s="10">
        <v>4</v>
      </c>
      <c r="C857" s="10">
        <v>2.99</v>
      </c>
      <c r="D857" s="10">
        <v>1</v>
      </c>
      <c r="E857" s="10">
        <v>33.6</v>
      </c>
      <c r="F857" s="10">
        <v>7</v>
      </c>
      <c r="G857" s="10">
        <v>0</v>
      </c>
      <c r="H857" s="10">
        <v>1</v>
      </c>
      <c r="I857" s="10">
        <v>3</v>
      </c>
      <c r="J857" s="10">
        <f>SUM(B857:I857)</f>
        <v>52.59</v>
      </c>
      <c r="K857">
        <v>2016</v>
      </c>
      <c r="L857">
        <v>5</v>
      </c>
      <c r="M857" s="11">
        <v>42491</v>
      </c>
      <c r="N857" t="s">
        <v>2177</v>
      </c>
      <c r="O857">
        <v>5</v>
      </c>
      <c r="P857" t="s">
        <v>55</v>
      </c>
      <c r="Q857" t="b">
        <v>1</v>
      </c>
    </row>
    <row r="858" spans="1:17">
      <c r="A858" s="12">
        <v>42497</v>
      </c>
      <c r="B858" s="10">
        <v>3.99</v>
      </c>
      <c r="C858" s="10">
        <v>8.34</v>
      </c>
      <c r="D858" s="10">
        <v>4</v>
      </c>
      <c r="E858" s="10">
        <v>47.2</v>
      </c>
      <c r="F858" s="10">
        <v>5</v>
      </c>
      <c r="G858" s="10">
        <v>1</v>
      </c>
      <c r="H858" s="10">
        <v>0</v>
      </c>
      <c r="I858" s="10">
        <v>10</v>
      </c>
      <c r="J858" s="10">
        <f>SUM(B858:I858)</f>
        <v>79.53</v>
      </c>
      <c r="K858">
        <v>2016</v>
      </c>
      <c r="L858">
        <v>5</v>
      </c>
      <c r="M858" s="11">
        <v>42491</v>
      </c>
      <c r="N858" t="s">
        <v>2177</v>
      </c>
      <c r="O858">
        <v>6</v>
      </c>
      <c r="P858" t="s">
        <v>57</v>
      </c>
      <c r="Q858" t="b">
        <v>1</v>
      </c>
    </row>
    <row r="859" spans="1:17">
      <c r="A859" s="12">
        <v>42498</v>
      </c>
      <c r="B859" s="10">
        <v>5</v>
      </c>
      <c r="C859" s="10">
        <v>10.66</v>
      </c>
      <c r="D859" s="10">
        <v>1</v>
      </c>
      <c r="E859" s="10">
        <v>40.4</v>
      </c>
      <c r="F859" s="10">
        <v>12</v>
      </c>
      <c r="G859" s="10">
        <v>0</v>
      </c>
      <c r="H859" s="10">
        <v>1</v>
      </c>
      <c r="I859" s="10">
        <v>11</v>
      </c>
      <c r="J859" s="10">
        <f>SUM(B859:I859)</f>
        <v>81.06</v>
      </c>
      <c r="K859">
        <v>2016</v>
      </c>
      <c r="L859">
        <v>5</v>
      </c>
      <c r="M859" s="11">
        <v>42491</v>
      </c>
      <c r="N859" t="s">
        <v>2177</v>
      </c>
      <c r="O859">
        <v>7</v>
      </c>
      <c r="P859" t="s">
        <v>59</v>
      </c>
      <c r="Q859" t="b">
        <v>1</v>
      </c>
    </row>
    <row r="860" spans="1:17">
      <c r="A860" s="12">
        <v>42499</v>
      </c>
      <c r="B860" s="10">
        <v>5.67</v>
      </c>
      <c r="C860" s="10">
        <v>6.363</v>
      </c>
      <c r="D860" s="10">
        <v>5</v>
      </c>
      <c r="E860" s="10">
        <v>29.2</v>
      </c>
      <c r="F860" s="10">
        <v>3</v>
      </c>
      <c r="G860" s="10">
        <v>0</v>
      </c>
      <c r="H860" s="10">
        <v>2</v>
      </c>
      <c r="I860" s="10">
        <v>5</v>
      </c>
      <c r="J860" s="10">
        <f>SUM(B860:I860)</f>
        <v>56.233000000000004</v>
      </c>
      <c r="K860">
        <v>2016</v>
      </c>
      <c r="L860">
        <v>5</v>
      </c>
      <c r="M860" s="11">
        <v>42491</v>
      </c>
      <c r="N860" t="s">
        <v>2177</v>
      </c>
      <c r="O860">
        <v>1</v>
      </c>
      <c r="P860" t="s">
        <v>61</v>
      </c>
      <c r="Q860" t="b">
        <v>1</v>
      </c>
    </row>
    <row r="861" spans="1:17">
      <c r="A861" s="12">
        <v>42500</v>
      </c>
      <c r="B861" s="10">
        <v>7.33</v>
      </c>
      <c r="C861" s="10">
        <v>3.67</v>
      </c>
      <c r="D861" s="10">
        <v>7</v>
      </c>
      <c r="E861" s="10">
        <v>28.25</v>
      </c>
      <c r="F861" s="10">
        <v>4</v>
      </c>
      <c r="G861" s="10">
        <v>0</v>
      </c>
      <c r="H861" s="10">
        <v>2</v>
      </c>
      <c r="I861" s="10">
        <v>3.5</v>
      </c>
      <c r="J861" s="10">
        <f>SUM(B861:I861)</f>
        <v>55.75</v>
      </c>
      <c r="K861">
        <v>2016</v>
      </c>
      <c r="L861">
        <v>5</v>
      </c>
      <c r="M861" s="11">
        <v>42491</v>
      </c>
      <c r="N861" t="s">
        <v>2177</v>
      </c>
      <c r="O861">
        <v>2</v>
      </c>
      <c r="P861" t="s">
        <v>63</v>
      </c>
      <c r="Q861" t="b">
        <v>1</v>
      </c>
    </row>
    <row r="862" spans="1:17">
      <c r="A862" s="12">
        <v>42501</v>
      </c>
      <c r="B862" s="10">
        <v>5.33</v>
      </c>
      <c r="C862" s="10">
        <v>4.66</v>
      </c>
      <c r="D862" s="10">
        <v>4</v>
      </c>
      <c r="E862" s="10">
        <v>23</v>
      </c>
      <c r="F862" s="10">
        <v>13</v>
      </c>
      <c r="G862" s="10">
        <v>0</v>
      </c>
      <c r="H862" s="10">
        <v>3</v>
      </c>
      <c r="I862" s="10">
        <v>2</v>
      </c>
      <c r="J862" s="10">
        <f>SUM(B862:I862)</f>
        <v>54.99</v>
      </c>
      <c r="K862">
        <v>2016</v>
      </c>
      <c r="L862">
        <v>5</v>
      </c>
      <c r="M862" s="11">
        <v>42491</v>
      </c>
      <c r="N862" t="s">
        <v>2177</v>
      </c>
      <c r="O862">
        <v>3</v>
      </c>
      <c r="P862" t="s">
        <v>65</v>
      </c>
      <c r="Q862" t="b">
        <v>1</v>
      </c>
    </row>
    <row r="863" spans="1:17">
      <c r="A863" s="12">
        <v>42502</v>
      </c>
      <c r="B863" s="10">
        <v>3.01</v>
      </c>
      <c r="C863" s="10">
        <v>1.759</v>
      </c>
      <c r="D863" s="10">
        <v>8</v>
      </c>
      <c r="E863" s="10">
        <v>28.1</v>
      </c>
      <c r="F863" s="10">
        <v>8</v>
      </c>
      <c r="G863" s="10">
        <v>1</v>
      </c>
      <c r="H863" s="10">
        <v>2</v>
      </c>
      <c r="I863" s="10">
        <v>0</v>
      </c>
      <c r="J863" s="10">
        <f>SUM(B863:I863)</f>
        <v>51.869</v>
      </c>
      <c r="K863">
        <v>2016</v>
      </c>
      <c r="L863">
        <v>5</v>
      </c>
      <c r="M863" s="11">
        <v>42491</v>
      </c>
      <c r="N863" t="s">
        <v>2177</v>
      </c>
      <c r="O863">
        <v>4</v>
      </c>
      <c r="P863" t="s">
        <v>53</v>
      </c>
      <c r="Q863" t="b">
        <v>1</v>
      </c>
    </row>
    <row r="864" spans="1:17">
      <c r="A864" s="12">
        <v>42503</v>
      </c>
      <c r="B864" s="10">
        <v>2.33</v>
      </c>
      <c r="C864" s="10">
        <v>2.33</v>
      </c>
      <c r="D864" s="10">
        <v>3</v>
      </c>
      <c r="E864" s="10">
        <v>37</v>
      </c>
      <c r="F864" s="10">
        <v>9</v>
      </c>
      <c r="G864" s="10">
        <v>0</v>
      </c>
      <c r="H864" s="10">
        <v>0</v>
      </c>
      <c r="I864" s="10">
        <v>5</v>
      </c>
      <c r="J864" s="10">
        <f>SUM(B864:I864)</f>
        <v>58.66</v>
      </c>
      <c r="K864">
        <v>2016</v>
      </c>
      <c r="L864">
        <v>5</v>
      </c>
      <c r="M864" s="11">
        <v>42491</v>
      </c>
      <c r="N864" t="s">
        <v>2177</v>
      </c>
      <c r="O864">
        <v>5</v>
      </c>
      <c r="P864" t="s">
        <v>55</v>
      </c>
      <c r="Q864" t="b">
        <v>1</v>
      </c>
    </row>
    <row r="865" spans="1:17">
      <c r="A865" s="12">
        <v>42504</v>
      </c>
      <c r="B865" s="10">
        <v>5.34</v>
      </c>
      <c r="C865" s="10">
        <v>4.67</v>
      </c>
      <c r="D865" s="10">
        <v>5.55</v>
      </c>
      <c r="E865" s="10">
        <v>31.25</v>
      </c>
      <c r="F865" s="10">
        <v>13</v>
      </c>
      <c r="G865" s="10">
        <v>0</v>
      </c>
      <c r="H865" s="10">
        <v>21</v>
      </c>
      <c r="I865" s="10">
        <v>1</v>
      </c>
      <c r="J865" s="10">
        <f>SUM(B865:I865)</f>
        <v>81.81</v>
      </c>
      <c r="K865">
        <v>2016</v>
      </c>
      <c r="L865">
        <v>5</v>
      </c>
      <c r="M865" s="11">
        <v>42491</v>
      </c>
      <c r="N865" t="s">
        <v>2177</v>
      </c>
      <c r="O865">
        <v>6</v>
      </c>
      <c r="P865" t="s">
        <v>57</v>
      </c>
      <c r="Q865" t="b">
        <v>1</v>
      </c>
    </row>
    <row r="866" spans="1:17">
      <c r="A866" s="12">
        <v>42505</v>
      </c>
      <c r="B866" s="10">
        <v>5.33</v>
      </c>
      <c r="C866" s="10">
        <v>8.188000000000001</v>
      </c>
      <c r="D866" s="10">
        <v>1.2</v>
      </c>
      <c r="E866" s="10">
        <v>44.1</v>
      </c>
      <c r="F866" s="10">
        <v>6</v>
      </c>
      <c r="G866" s="10">
        <v>0</v>
      </c>
      <c r="H866" s="10">
        <v>5</v>
      </c>
      <c r="I866" s="10">
        <v>4</v>
      </c>
      <c r="J866" s="10">
        <f>SUM(B866:I866)</f>
        <v>73.818</v>
      </c>
      <c r="K866">
        <v>2016</v>
      </c>
      <c r="L866">
        <v>5</v>
      </c>
      <c r="M866" s="11">
        <v>42491</v>
      </c>
      <c r="N866" t="s">
        <v>2177</v>
      </c>
      <c r="O866">
        <v>7</v>
      </c>
      <c r="P866" t="s">
        <v>59</v>
      </c>
      <c r="Q866" t="b">
        <v>1</v>
      </c>
    </row>
    <row r="867" spans="1:17">
      <c r="A867" s="12">
        <v>42506</v>
      </c>
      <c r="B867" s="10">
        <v>5</v>
      </c>
      <c r="C867" s="10">
        <v>3.66</v>
      </c>
      <c r="D867" s="10">
        <v>2</v>
      </c>
      <c r="E867" s="10">
        <v>24</v>
      </c>
      <c r="F867" s="10">
        <v>17</v>
      </c>
      <c r="G867" s="10">
        <v>0</v>
      </c>
      <c r="H867" s="10">
        <v>2</v>
      </c>
      <c r="I867" s="10">
        <v>3</v>
      </c>
      <c r="J867" s="10">
        <f>SUM(B867:I867)</f>
        <v>56.66</v>
      </c>
      <c r="K867">
        <v>2016</v>
      </c>
      <c r="L867">
        <v>5</v>
      </c>
      <c r="M867" s="11">
        <v>42491</v>
      </c>
      <c r="N867" t="s">
        <v>2177</v>
      </c>
      <c r="O867">
        <v>1</v>
      </c>
      <c r="P867" t="s">
        <v>61</v>
      </c>
      <c r="Q867" t="b">
        <v>1</v>
      </c>
    </row>
    <row r="868" spans="1:17">
      <c r="A868" s="12">
        <v>42507</v>
      </c>
      <c r="B868" s="10">
        <v>4</v>
      </c>
      <c r="C868" s="10">
        <v>2.33</v>
      </c>
      <c r="D868" s="10">
        <v>7.1</v>
      </c>
      <c r="E868" s="10">
        <v>38.4</v>
      </c>
      <c r="F868" s="10">
        <v>4</v>
      </c>
      <c r="G868" s="10">
        <v>0</v>
      </c>
      <c r="H868" s="10">
        <v>1</v>
      </c>
      <c r="I868" s="10">
        <v>3.2</v>
      </c>
      <c r="J868" s="10">
        <f>SUM(B868:I868)</f>
        <v>60.03</v>
      </c>
      <c r="K868">
        <v>2016</v>
      </c>
      <c r="L868">
        <v>5</v>
      </c>
      <c r="M868" s="11">
        <v>42491</v>
      </c>
      <c r="N868" t="s">
        <v>2177</v>
      </c>
      <c r="O868">
        <v>2</v>
      </c>
      <c r="P868" t="s">
        <v>63</v>
      </c>
      <c r="Q868" t="b">
        <v>1</v>
      </c>
    </row>
    <row r="869" spans="1:17">
      <c r="A869" s="12">
        <v>42508</v>
      </c>
      <c r="B869" s="10">
        <v>4</v>
      </c>
      <c r="C869" s="10">
        <v>5.33</v>
      </c>
      <c r="D869" s="10">
        <v>5.25</v>
      </c>
      <c r="E869" s="10">
        <v>35</v>
      </c>
      <c r="F869" s="10">
        <v>7</v>
      </c>
      <c r="G869" s="10">
        <v>0</v>
      </c>
      <c r="H869" s="10">
        <v>1</v>
      </c>
      <c r="I869" s="10">
        <v>5</v>
      </c>
      <c r="J869" s="10">
        <f>SUM(B869:I869)</f>
        <v>62.58</v>
      </c>
      <c r="K869">
        <v>2016</v>
      </c>
      <c r="L869">
        <v>5</v>
      </c>
      <c r="M869" s="11">
        <v>42491</v>
      </c>
      <c r="N869" t="s">
        <v>2177</v>
      </c>
      <c r="O869">
        <v>3</v>
      </c>
      <c r="P869" t="s">
        <v>65</v>
      </c>
      <c r="Q869" t="b">
        <v>1</v>
      </c>
    </row>
    <row r="870" spans="1:17">
      <c r="A870" s="12">
        <v>42509</v>
      </c>
      <c r="B870" s="10">
        <v>6.34</v>
      </c>
      <c r="C870" s="10">
        <v>5.66</v>
      </c>
      <c r="D870" s="10">
        <v>2</v>
      </c>
      <c r="E870" s="10">
        <v>30.5</v>
      </c>
      <c r="F870" s="10">
        <v>10</v>
      </c>
      <c r="G870" s="10">
        <v>0</v>
      </c>
      <c r="H870" s="10">
        <v>16</v>
      </c>
      <c r="I870" s="10">
        <v>3</v>
      </c>
      <c r="J870" s="10">
        <f>SUM(B870:I870)</f>
        <v>73.5</v>
      </c>
      <c r="K870">
        <v>2016</v>
      </c>
      <c r="L870">
        <v>5</v>
      </c>
      <c r="M870" s="11">
        <v>42491</v>
      </c>
      <c r="N870" t="s">
        <v>2177</v>
      </c>
      <c r="O870">
        <v>4</v>
      </c>
      <c r="P870" t="s">
        <v>53</v>
      </c>
      <c r="Q870" t="b">
        <v>1</v>
      </c>
    </row>
    <row r="871" spans="1:17">
      <c r="A871" s="12">
        <v>42510</v>
      </c>
      <c r="B871" s="10">
        <v>3</v>
      </c>
      <c r="C871" s="10">
        <v>1.132</v>
      </c>
      <c r="D871" s="10">
        <v>3</v>
      </c>
      <c r="E871" s="10">
        <v>14</v>
      </c>
      <c r="F871" s="10">
        <v>14</v>
      </c>
      <c r="G871" s="10">
        <v>2</v>
      </c>
      <c r="H871" s="10">
        <v>9</v>
      </c>
      <c r="I871" s="10">
        <v>5</v>
      </c>
      <c r="J871" s="10">
        <f>SUM(B871:I871)</f>
        <v>51.132</v>
      </c>
      <c r="K871">
        <v>2016</v>
      </c>
      <c r="L871">
        <v>5</v>
      </c>
      <c r="M871" s="11">
        <v>42491</v>
      </c>
      <c r="N871" t="s">
        <v>2177</v>
      </c>
      <c r="O871">
        <v>5</v>
      </c>
      <c r="P871" t="s">
        <v>55</v>
      </c>
      <c r="Q871" t="b">
        <v>1</v>
      </c>
    </row>
    <row r="872" spans="1:17">
      <c r="A872" s="12">
        <v>42511</v>
      </c>
      <c r="B872" s="10">
        <v>2</v>
      </c>
      <c r="C872" s="10">
        <v>5.34</v>
      </c>
      <c r="D872" s="10">
        <v>5.2</v>
      </c>
      <c r="E872" s="10">
        <v>42.5</v>
      </c>
      <c r="F872" s="10">
        <v>3</v>
      </c>
      <c r="G872" s="10">
        <v>0</v>
      </c>
      <c r="H872" s="10">
        <v>17</v>
      </c>
      <c r="I872" s="10">
        <v>5</v>
      </c>
      <c r="J872" s="10">
        <f>SUM(B872:I872)</f>
        <v>80.03999999999999</v>
      </c>
      <c r="K872">
        <v>2016</v>
      </c>
      <c r="L872">
        <v>5</v>
      </c>
      <c r="M872" s="11">
        <v>42491</v>
      </c>
      <c r="N872" t="s">
        <v>2177</v>
      </c>
      <c r="O872">
        <v>6</v>
      </c>
      <c r="P872" t="s">
        <v>57</v>
      </c>
      <c r="Q872" t="b">
        <v>1</v>
      </c>
    </row>
    <row r="873" spans="1:17">
      <c r="A873" s="12">
        <v>42512</v>
      </c>
      <c r="B873" s="10">
        <v>4.34</v>
      </c>
      <c r="C873" s="10">
        <v>4.51</v>
      </c>
      <c r="D873" s="10">
        <v>9.050000000000001</v>
      </c>
      <c r="E873" s="10">
        <v>55.6</v>
      </c>
      <c r="F873" s="10">
        <v>6</v>
      </c>
      <c r="G873" s="10">
        <v>1</v>
      </c>
      <c r="H873" s="10">
        <v>0</v>
      </c>
      <c r="I873" s="10">
        <v>10</v>
      </c>
      <c r="J873" s="10">
        <f>SUM(B873:I873)</f>
        <v>90.5</v>
      </c>
      <c r="K873">
        <v>2016</v>
      </c>
      <c r="L873">
        <v>5</v>
      </c>
      <c r="M873" s="11">
        <v>42491</v>
      </c>
      <c r="N873" t="s">
        <v>2177</v>
      </c>
      <c r="O873">
        <v>7</v>
      </c>
      <c r="P873" t="s">
        <v>59</v>
      </c>
      <c r="Q873" t="b">
        <v>1</v>
      </c>
    </row>
    <row r="874" spans="1:17">
      <c r="A874" s="12">
        <v>42513</v>
      </c>
      <c r="B874" s="10">
        <v>5</v>
      </c>
      <c r="C874" s="10">
        <v>2.363</v>
      </c>
      <c r="D874" s="10">
        <v>5</v>
      </c>
      <c r="E874" s="10">
        <v>54.7</v>
      </c>
      <c r="F874" s="10">
        <v>19</v>
      </c>
      <c r="G874" s="10">
        <v>0</v>
      </c>
      <c r="H874" s="10">
        <v>7</v>
      </c>
      <c r="I874" s="10">
        <v>4</v>
      </c>
      <c r="J874" s="10">
        <f>SUM(B874:I874)</f>
        <v>97.063</v>
      </c>
      <c r="K874">
        <v>2016</v>
      </c>
      <c r="L874">
        <v>5</v>
      </c>
      <c r="M874" s="11">
        <v>42491</v>
      </c>
      <c r="N874" t="s">
        <v>2177</v>
      </c>
      <c r="O874">
        <v>1</v>
      </c>
      <c r="P874" t="s">
        <v>61</v>
      </c>
      <c r="Q874" t="b">
        <v>1</v>
      </c>
    </row>
    <row r="875" spans="1:17">
      <c r="A875" s="12">
        <v>42514</v>
      </c>
      <c r="B875" s="10">
        <v>12</v>
      </c>
      <c r="C875" s="10">
        <v>3.167</v>
      </c>
      <c r="D875" s="10">
        <v>4</v>
      </c>
      <c r="E875" s="10">
        <v>32</v>
      </c>
      <c r="F875" s="10">
        <v>3</v>
      </c>
      <c r="G875" s="10">
        <v>0</v>
      </c>
      <c r="H875" s="10">
        <v>3</v>
      </c>
      <c r="I875" s="10">
        <v>2</v>
      </c>
      <c r="J875" s="10">
        <f>SUM(B875:I875)</f>
        <v>59.167</v>
      </c>
      <c r="K875">
        <v>2016</v>
      </c>
      <c r="L875">
        <v>5</v>
      </c>
      <c r="M875" s="11">
        <v>42491</v>
      </c>
      <c r="N875" t="s">
        <v>2177</v>
      </c>
      <c r="O875">
        <v>2</v>
      </c>
      <c r="P875" t="s">
        <v>63</v>
      </c>
      <c r="Q875" t="b">
        <v>1</v>
      </c>
    </row>
    <row r="876" spans="1:17">
      <c r="A876" s="12">
        <v>42515</v>
      </c>
      <c r="B876" s="10">
        <v>8.34</v>
      </c>
      <c r="C876" s="10">
        <v>1.67</v>
      </c>
      <c r="D876" s="10">
        <v>6</v>
      </c>
      <c r="E876" s="10">
        <v>25.05</v>
      </c>
      <c r="F876" s="10">
        <v>16</v>
      </c>
      <c r="G876" s="10">
        <v>1</v>
      </c>
      <c r="H876" s="10">
        <v>0</v>
      </c>
      <c r="I876" s="10">
        <v>1.2</v>
      </c>
      <c r="J876" s="10">
        <f>SUM(B876:I876)</f>
        <v>59.260000000000005</v>
      </c>
      <c r="K876">
        <v>2016</v>
      </c>
      <c r="L876">
        <v>5</v>
      </c>
      <c r="M876" s="11">
        <v>42491</v>
      </c>
      <c r="N876" t="s">
        <v>2177</v>
      </c>
      <c r="O876">
        <v>3</v>
      </c>
      <c r="P876" t="s">
        <v>65</v>
      </c>
      <c r="Q876" t="b">
        <v>1</v>
      </c>
    </row>
    <row r="877" spans="1:17">
      <c r="A877" s="12">
        <v>42516</v>
      </c>
      <c r="B877" s="10">
        <v>4.67</v>
      </c>
      <c r="C877" s="10">
        <v>5.33</v>
      </c>
      <c r="D877" s="10">
        <v>5.35</v>
      </c>
      <c r="E877" s="10">
        <v>24.8</v>
      </c>
      <c r="F877" s="10">
        <v>20</v>
      </c>
      <c r="G877" s="10">
        <v>1</v>
      </c>
      <c r="H877" s="10">
        <v>0</v>
      </c>
      <c r="I877" s="10">
        <v>9</v>
      </c>
      <c r="J877" s="10">
        <f>SUM(B877:I877)</f>
        <v>70.15</v>
      </c>
      <c r="K877">
        <v>2016</v>
      </c>
      <c r="L877">
        <v>5</v>
      </c>
      <c r="M877" s="11">
        <v>42491</v>
      </c>
      <c r="N877" t="s">
        <v>2177</v>
      </c>
      <c r="O877">
        <v>4</v>
      </c>
      <c r="P877" t="s">
        <v>53</v>
      </c>
      <c r="Q877" t="b">
        <v>1</v>
      </c>
    </row>
    <row r="878" spans="1:17">
      <c r="A878" s="12">
        <v>42517</v>
      </c>
      <c r="B878" s="10">
        <v>8.67</v>
      </c>
      <c r="C878" s="10">
        <v>2.683</v>
      </c>
      <c r="D878" s="10">
        <v>5.25</v>
      </c>
      <c r="E878" s="10">
        <v>17</v>
      </c>
      <c r="F878" s="10">
        <v>14</v>
      </c>
      <c r="G878" s="10">
        <v>7</v>
      </c>
      <c r="H878" s="10">
        <v>2</v>
      </c>
      <c r="I878" s="10">
        <v>6</v>
      </c>
      <c r="J878" s="10">
        <f>SUM(B878:I878)</f>
        <v>62.603</v>
      </c>
      <c r="K878">
        <v>2016</v>
      </c>
      <c r="L878">
        <v>5</v>
      </c>
      <c r="M878" s="11">
        <v>42491</v>
      </c>
      <c r="N878" t="s">
        <v>2177</v>
      </c>
      <c r="O878">
        <v>5</v>
      </c>
      <c r="P878" t="s">
        <v>55</v>
      </c>
      <c r="Q878" t="b">
        <v>1</v>
      </c>
    </row>
    <row r="879" spans="1:17">
      <c r="A879" s="12">
        <v>42518</v>
      </c>
      <c r="B879" s="10">
        <v>12.33</v>
      </c>
      <c r="C879" s="10">
        <v>0.363</v>
      </c>
      <c r="D879" s="10">
        <v>3</v>
      </c>
      <c r="E879" s="10">
        <v>43</v>
      </c>
      <c r="F879" s="10">
        <v>4</v>
      </c>
      <c r="G879" s="10">
        <v>0</v>
      </c>
      <c r="H879" s="10">
        <v>4</v>
      </c>
      <c r="I879" s="10">
        <v>9</v>
      </c>
      <c r="J879" s="10">
        <f>SUM(B879:I879)</f>
        <v>75.693</v>
      </c>
      <c r="K879">
        <v>2016</v>
      </c>
      <c r="L879">
        <v>5</v>
      </c>
      <c r="M879" s="11">
        <v>42491</v>
      </c>
      <c r="N879" t="s">
        <v>2177</v>
      </c>
      <c r="O879">
        <v>6</v>
      </c>
      <c r="P879" t="s">
        <v>57</v>
      </c>
      <c r="Q879" t="b">
        <v>1</v>
      </c>
    </row>
    <row r="880" spans="1:17">
      <c r="A880" s="12">
        <v>42519</v>
      </c>
      <c r="B880" s="10">
        <v>8.67</v>
      </c>
      <c r="C880" s="10">
        <v>4.33</v>
      </c>
      <c r="D880" s="10">
        <v>6</v>
      </c>
      <c r="E880" s="10">
        <v>31.8</v>
      </c>
      <c r="F880" s="10">
        <v>2</v>
      </c>
      <c r="G880" s="10">
        <v>1</v>
      </c>
      <c r="H880" s="10">
        <v>5</v>
      </c>
      <c r="I880" s="10">
        <v>9.199999999999999</v>
      </c>
      <c r="J880" s="10">
        <f>SUM(B880:I880)</f>
        <v>68.0</v>
      </c>
      <c r="K880">
        <v>2016</v>
      </c>
      <c r="L880">
        <v>5</v>
      </c>
      <c r="M880" s="11">
        <v>42491</v>
      </c>
      <c r="N880" t="s">
        <v>2177</v>
      </c>
      <c r="O880">
        <v>7</v>
      </c>
      <c r="P880" t="s">
        <v>59</v>
      </c>
      <c r="Q880" t="b">
        <v>1</v>
      </c>
    </row>
    <row r="881" spans="1:17">
      <c r="A881" s="12">
        <v>42520</v>
      </c>
      <c r="B881" s="10">
        <v>3.34</v>
      </c>
      <c r="C881" s="10">
        <v>3.023</v>
      </c>
      <c r="D881" s="10">
        <v>4.1</v>
      </c>
      <c r="E881" s="10">
        <v>29.4</v>
      </c>
      <c r="F881" s="10">
        <v>3</v>
      </c>
      <c r="G881" s="10">
        <v>0</v>
      </c>
      <c r="H881" s="10">
        <v>7</v>
      </c>
      <c r="I881" s="10">
        <v>8</v>
      </c>
      <c r="J881" s="10">
        <f>SUM(B881:I881)</f>
        <v>57.863</v>
      </c>
      <c r="K881">
        <v>2016</v>
      </c>
      <c r="L881">
        <v>5</v>
      </c>
      <c r="M881" s="11">
        <v>42491</v>
      </c>
      <c r="N881" t="s">
        <v>2177</v>
      </c>
      <c r="O881">
        <v>1</v>
      </c>
      <c r="P881" t="s">
        <v>61</v>
      </c>
      <c r="Q881" t="b">
        <v>1</v>
      </c>
    </row>
    <row r="882" spans="1:17">
      <c r="A882" s="12">
        <v>42521</v>
      </c>
      <c r="B882" s="10">
        <v>6</v>
      </c>
      <c r="C882" s="10">
        <v>3.33</v>
      </c>
      <c r="D882" s="10">
        <v>3.5</v>
      </c>
      <c r="E882" s="10">
        <v>21</v>
      </c>
      <c r="F882" s="10">
        <v>3</v>
      </c>
      <c r="G882" s="10">
        <v>0</v>
      </c>
      <c r="H882" s="10">
        <v>13</v>
      </c>
      <c r="I882" s="10">
        <v>2</v>
      </c>
      <c r="J882" s="10">
        <f>SUM(B882:I882)</f>
        <v>51.83</v>
      </c>
      <c r="K882">
        <v>2016</v>
      </c>
      <c r="L882">
        <v>5</v>
      </c>
      <c r="M882" s="11">
        <v>42491</v>
      </c>
      <c r="N882" t="s">
        <v>2177</v>
      </c>
      <c r="O882">
        <v>2</v>
      </c>
      <c r="P882" t="s">
        <v>63</v>
      </c>
      <c r="Q882" t="b">
        <v>1</v>
      </c>
    </row>
    <row r="883" spans="1:17">
      <c r="A883" s="12">
        <v>42522</v>
      </c>
      <c r="B883" s="10">
        <v>9</v>
      </c>
      <c r="C883" s="10">
        <v>1.1</v>
      </c>
      <c r="D883" s="10">
        <v>2</v>
      </c>
      <c r="E883" s="10">
        <v>20</v>
      </c>
      <c r="F883" s="10">
        <v>11</v>
      </c>
      <c r="G883" s="10">
        <v>0</v>
      </c>
      <c r="H883" s="10">
        <v>7</v>
      </c>
      <c r="I883" s="10">
        <v>5</v>
      </c>
      <c r="J883" s="10">
        <f>SUM(B883:I883)</f>
        <v>55.1</v>
      </c>
      <c r="K883">
        <v>2016</v>
      </c>
      <c r="L883">
        <v>6</v>
      </c>
      <c r="M883" s="11">
        <v>42522</v>
      </c>
      <c r="N883" t="s">
        <v>2178</v>
      </c>
      <c r="O883">
        <v>3</v>
      </c>
      <c r="P883" t="s">
        <v>65</v>
      </c>
      <c r="Q883" t="b">
        <v>1</v>
      </c>
    </row>
    <row r="884" spans="1:17">
      <c r="A884" s="12">
        <v>42523</v>
      </c>
      <c r="B884" s="10">
        <v>2.33</v>
      </c>
      <c r="C884" s="10">
        <v>6</v>
      </c>
      <c r="D884" s="10">
        <v>1.05</v>
      </c>
      <c r="E884" s="10">
        <v>21.25</v>
      </c>
      <c r="F884" s="10">
        <v>18</v>
      </c>
      <c r="G884" s="10">
        <v>3</v>
      </c>
      <c r="H884" s="10">
        <v>4</v>
      </c>
      <c r="I884" s="10">
        <v>1</v>
      </c>
      <c r="J884" s="10">
        <f>SUM(B884:I884)</f>
        <v>56.63</v>
      </c>
      <c r="K884">
        <v>2016</v>
      </c>
      <c r="L884">
        <v>6</v>
      </c>
      <c r="M884" s="11">
        <v>42522</v>
      </c>
      <c r="N884" t="s">
        <v>2178</v>
      </c>
      <c r="O884">
        <v>4</v>
      </c>
      <c r="P884" t="s">
        <v>53</v>
      </c>
      <c r="Q884" t="b">
        <v>1</v>
      </c>
    </row>
    <row r="885" spans="1:17">
      <c r="A885" s="12">
        <v>42524</v>
      </c>
      <c r="B885" s="10">
        <v>7.33</v>
      </c>
      <c r="C885" s="10">
        <v>3</v>
      </c>
      <c r="D885" s="10">
        <v>4</v>
      </c>
      <c r="E885" s="10">
        <v>18</v>
      </c>
      <c r="F885" s="10">
        <v>8</v>
      </c>
      <c r="G885" s="10">
        <v>0</v>
      </c>
      <c r="H885" s="10">
        <v>1</v>
      </c>
      <c r="I885" s="10">
        <v>7</v>
      </c>
      <c r="J885" s="10">
        <f>SUM(B885:I885)</f>
        <v>48.33</v>
      </c>
      <c r="K885">
        <v>2016</v>
      </c>
      <c r="L885">
        <v>6</v>
      </c>
      <c r="M885" s="11">
        <v>42522</v>
      </c>
      <c r="N885" t="s">
        <v>2178</v>
      </c>
      <c r="O885">
        <v>5</v>
      </c>
      <c r="P885" t="s">
        <v>55</v>
      </c>
      <c r="Q885" t="b">
        <v>1</v>
      </c>
    </row>
    <row r="886" spans="1:17">
      <c r="A886" s="12">
        <v>42525</v>
      </c>
      <c r="B886" s="10">
        <v>3.33</v>
      </c>
      <c r="C886" s="10">
        <v>3.34</v>
      </c>
      <c r="D886" s="10">
        <v>3.3</v>
      </c>
      <c r="E886" s="10">
        <v>21</v>
      </c>
      <c r="F886" s="10">
        <v>2</v>
      </c>
      <c r="G886" s="10">
        <v>0</v>
      </c>
      <c r="H886" s="10">
        <v>0</v>
      </c>
      <c r="I886" s="10">
        <v>4</v>
      </c>
      <c r="J886" s="10">
        <f>SUM(B886:I886)</f>
        <v>36.97</v>
      </c>
      <c r="K886">
        <v>2016</v>
      </c>
      <c r="L886">
        <v>6</v>
      </c>
      <c r="M886" s="11">
        <v>42522</v>
      </c>
      <c r="N886" t="s">
        <v>2178</v>
      </c>
      <c r="O886">
        <v>6</v>
      </c>
      <c r="P886" t="s">
        <v>57</v>
      </c>
      <c r="Q886" t="b">
        <v>1</v>
      </c>
    </row>
    <row r="887" spans="1:17">
      <c r="A887" s="12">
        <v>42526</v>
      </c>
      <c r="B887" s="10">
        <v>10.34</v>
      </c>
      <c r="C887" s="10">
        <v>3.066</v>
      </c>
      <c r="D887" s="10">
        <v>4.3</v>
      </c>
      <c r="E887" s="10">
        <v>23.4</v>
      </c>
      <c r="F887" s="10">
        <v>5</v>
      </c>
      <c r="G887" s="10">
        <v>0</v>
      </c>
      <c r="H887" s="10">
        <v>3</v>
      </c>
      <c r="I887" s="10">
        <v>4</v>
      </c>
      <c r="J887" s="10">
        <f>SUM(B887:I887)</f>
        <v>53.105999999999995</v>
      </c>
      <c r="K887">
        <v>2016</v>
      </c>
      <c r="L887">
        <v>6</v>
      </c>
      <c r="M887" s="11">
        <v>42522</v>
      </c>
      <c r="N887" t="s">
        <v>2178</v>
      </c>
      <c r="O887">
        <v>7</v>
      </c>
      <c r="P887" t="s">
        <v>59</v>
      </c>
      <c r="Q887" t="b">
        <v>1</v>
      </c>
    </row>
    <row r="888" spans="1:17">
      <c r="A888" s="12">
        <v>42527</v>
      </c>
      <c r="B888" s="10">
        <v>5.33</v>
      </c>
      <c r="C888" s="10">
        <v>2.802</v>
      </c>
      <c r="D888" s="10">
        <v>4</v>
      </c>
      <c r="E888" s="10">
        <v>26.2</v>
      </c>
      <c r="F888" s="10">
        <v>5</v>
      </c>
      <c r="G888" s="10">
        <v>0</v>
      </c>
      <c r="H888" s="10">
        <v>6</v>
      </c>
      <c r="I888" s="10">
        <v>6</v>
      </c>
      <c r="J888" s="10">
        <f>SUM(B888:I888)</f>
        <v>55.332</v>
      </c>
      <c r="K888">
        <v>2016</v>
      </c>
      <c r="L888">
        <v>6</v>
      </c>
      <c r="M888" s="11">
        <v>42522</v>
      </c>
      <c r="N888" t="s">
        <v>2178</v>
      </c>
      <c r="O888">
        <v>1</v>
      </c>
      <c r="P888" t="s">
        <v>61</v>
      </c>
      <c r="Q888" t="b">
        <v>1</v>
      </c>
    </row>
    <row r="889" spans="1:17">
      <c r="A889" s="12">
        <v>42528</v>
      </c>
      <c r="B889" s="10">
        <v>6</v>
      </c>
      <c r="C889" s="10">
        <v>3.363</v>
      </c>
      <c r="D889" s="10">
        <v>4.1</v>
      </c>
      <c r="E889" s="10">
        <v>28.5</v>
      </c>
      <c r="F889" s="10">
        <v>13</v>
      </c>
      <c r="G889" s="10">
        <v>0</v>
      </c>
      <c r="H889" s="10">
        <v>10</v>
      </c>
      <c r="I889" s="10">
        <v>3</v>
      </c>
      <c r="J889" s="10">
        <f>SUM(B889:I889)</f>
        <v>67.963</v>
      </c>
      <c r="K889">
        <v>2016</v>
      </c>
      <c r="L889">
        <v>6</v>
      </c>
      <c r="M889" s="11">
        <v>42522</v>
      </c>
      <c r="N889" t="s">
        <v>2178</v>
      </c>
      <c r="O889">
        <v>2</v>
      </c>
      <c r="P889" t="s">
        <v>63</v>
      </c>
      <c r="Q889" t="b">
        <v>1</v>
      </c>
    </row>
    <row r="890" spans="1:17">
      <c r="A890" s="12">
        <v>42529</v>
      </c>
      <c r="B890" s="10">
        <v>8.66</v>
      </c>
      <c r="C890" s="10">
        <v>1.33</v>
      </c>
      <c r="D890" s="10">
        <v>5.5</v>
      </c>
      <c r="E890" s="10">
        <v>45.062</v>
      </c>
      <c r="F890" s="10">
        <v>10</v>
      </c>
      <c r="G890" s="10">
        <v>0</v>
      </c>
      <c r="H890" s="10">
        <v>5</v>
      </c>
      <c r="I890" s="10">
        <v>6</v>
      </c>
      <c r="J890" s="10">
        <f>SUM(B890:I890)</f>
        <v>81.55199999999999</v>
      </c>
      <c r="K890">
        <v>2016</v>
      </c>
      <c r="L890">
        <v>6</v>
      </c>
      <c r="M890" s="11">
        <v>42522</v>
      </c>
      <c r="N890" t="s">
        <v>2178</v>
      </c>
      <c r="O890">
        <v>3</v>
      </c>
      <c r="P890" t="s">
        <v>65</v>
      </c>
      <c r="Q890" t="b">
        <v>1</v>
      </c>
    </row>
    <row r="891" spans="1:17">
      <c r="A891" s="12">
        <v>42530</v>
      </c>
      <c r="B891" s="10">
        <v>8.67</v>
      </c>
      <c r="C891" s="10">
        <v>4.33</v>
      </c>
      <c r="D891" s="10">
        <v>2</v>
      </c>
      <c r="E891" s="10">
        <v>20.6</v>
      </c>
      <c r="F891" s="10">
        <v>7</v>
      </c>
      <c r="G891" s="10">
        <v>0</v>
      </c>
      <c r="H891" s="10">
        <v>1</v>
      </c>
      <c r="I891" s="10">
        <v>4.2</v>
      </c>
      <c r="J891" s="10">
        <f>SUM(B891:I891)</f>
        <v>47.800000000000004</v>
      </c>
      <c r="K891">
        <v>2016</v>
      </c>
      <c r="L891">
        <v>6</v>
      </c>
      <c r="M891" s="11">
        <v>42522</v>
      </c>
      <c r="N891" t="s">
        <v>2178</v>
      </c>
      <c r="O891">
        <v>4</v>
      </c>
      <c r="P891" t="s">
        <v>53</v>
      </c>
      <c r="Q891" t="b">
        <v>1</v>
      </c>
    </row>
    <row r="892" spans="1:17">
      <c r="A892" s="12">
        <v>42531</v>
      </c>
      <c r="B892" s="10">
        <v>8.33</v>
      </c>
      <c r="C892" s="10">
        <v>4</v>
      </c>
      <c r="D892" s="10">
        <v>4</v>
      </c>
      <c r="E892" s="10">
        <v>26</v>
      </c>
      <c r="F892" s="10">
        <v>11</v>
      </c>
      <c r="G892" s="10">
        <v>2</v>
      </c>
      <c r="H892" s="10">
        <v>0</v>
      </c>
      <c r="I892" s="10">
        <v>5</v>
      </c>
      <c r="J892" s="10">
        <f>SUM(B892:I892)</f>
        <v>60.33</v>
      </c>
      <c r="K892">
        <v>2016</v>
      </c>
      <c r="L892">
        <v>6</v>
      </c>
      <c r="M892" s="11">
        <v>42522</v>
      </c>
      <c r="N892" t="s">
        <v>2178</v>
      </c>
      <c r="O892">
        <v>5</v>
      </c>
      <c r="P892" t="s">
        <v>55</v>
      </c>
      <c r="Q892" t="b">
        <v>1</v>
      </c>
    </row>
    <row r="893" spans="1:17">
      <c r="A893" s="12">
        <v>42532</v>
      </c>
      <c r="B893" s="10">
        <v>10.66</v>
      </c>
      <c r="C893" s="10">
        <v>2.825</v>
      </c>
      <c r="D893" s="10">
        <v>2</v>
      </c>
      <c r="E893" s="10">
        <v>35.6</v>
      </c>
      <c r="F893" s="10">
        <v>4</v>
      </c>
      <c r="G893" s="10">
        <v>1</v>
      </c>
      <c r="H893" s="10">
        <v>10</v>
      </c>
      <c r="I893" s="10">
        <v>8</v>
      </c>
      <c r="J893" s="10">
        <f>SUM(B893:I893)</f>
        <v>74.08500000000001</v>
      </c>
      <c r="K893">
        <v>2016</v>
      </c>
      <c r="L893">
        <v>6</v>
      </c>
      <c r="M893" s="11">
        <v>42522</v>
      </c>
      <c r="N893" t="s">
        <v>2178</v>
      </c>
      <c r="O893">
        <v>6</v>
      </c>
      <c r="P893" t="s">
        <v>57</v>
      </c>
      <c r="Q893" t="b">
        <v>1</v>
      </c>
    </row>
    <row r="894" spans="1:17">
      <c r="A894" s="12">
        <v>42533</v>
      </c>
      <c r="B894" s="10">
        <v>8.34</v>
      </c>
      <c r="C894" s="10">
        <v>7.353</v>
      </c>
      <c r="D894" s="10">
        <v>3.4</v>
      </c>
      <c r="E894" s="10">
        <v>47</v>
      </c>
      <c r="F894" s="10">
        <v>8</v>
      </c>
      <c r="G894" s="10">
        <v>0</v>
      </c>
      <c r="H894" s="10">
        <v>4</v>
      </c>
      <c r="I894" s="10">
        <v>6</v>
      </c>
      <c r="J894" s="10">
        <f>SUM(B894:I894)</f>
        <v>84.093</v>
      </c>
      <c r="K894">
        <v>2016</v>
      </c>
      <c r="L894">
        <v>6</v>
      </c>
      <c r="M894" s="11">
        <v>42522</v>
      </c>
      <c r="N894" t="s">
        <v>2178</v>
      </c>
      <c r="O894">
        <v>7</v>
      </c>
      <c r="P894" t="s">
        <v>59</v>
      </c>
      <c r="Q894" t="b">
        <v>1</v>
      </c>
    </row>
    <row r="895" spans="1:17">
      <c r="A895" s="12">
        <v>42534</v>
      </c>
      <c r="B895" s="10">
        <v>5.66</v>
      </c>
      <c r="C895" s="10">
        <v>4.736</v>
      </c>
      <c r="D895" s="10">
        <v>1</v>
      </c>
      <c r="E895" s="10">
        <v>15</v>
      </c>
      <c r="F895" s="10">
        <v>7</v>
      </c>
      <c r="G895" s="10">
        <v>0</v>
      </c>
      <c r="H895" s="10">
        <v>1</v>
      </c>
      <c r="I895" s="10">
        <v>2</v>
      </c>
      <c r="J895" s="10">
        <f>SUM(B895:I895)</f>
        <v>36.396</v>
      </c>
      <c r="K895">
        <v>2016</v>
      </c>
      <c r="L895">
        <v>6</v>
      </c>
      <c r="M895" s="11">
        <v>42522</v>
      </c>
      <c r="N895" t="s">
        <v>2178</v>
      </c>
      <c r="O895">
        <v>1</v>
      </c>
      <c r="P895" t="s">
        <v>61</v>
      </c>
      <c r="Q895" t="b">
        <v>1</v>
      </c>
    </row>
    <row r="896" spans="1:17">
      <c r="A896" s="12">
        <v>42535</v>
      </c>
      <c r="B896" s="10">
        <v>2.33</v>
      </c>
      <c r="C896" s="10">
        <v>6</v>
      </c>
      <c r="D896" s="10">
        <v>6.1</v>
      </c>
      <c r="E896" s="10">
        <v>17.4</v>
      </c>
      <c r="F896" s="10">
        <v>17</v>
      </c>
      <c r="G896" s="10">
        <v>1</v>
      </c>
      <c r="H896" s="10">
        <v>2</v>
      </c>
      <c r="I896" s="10">
        <v>3</v>
      </c>
      <c r="J896" s="10">
        <f>SUM(B896:I896)</f>
        <v>54.83</v>
      </c>
      <c r="K896">
        <v>2016</v>
      </c>
      <c r="L896">
        <v>6</v>
      </c>
      <c r="M896" s="11">
        <v>42522</v>
      </c>
      <c r="N896" t="s">
        <v>2178</v>
      </c>
      <c r="O896">
        <v>2</v>
      </c>
      <c r="P896" t="s">
        <v>63</v>
      </c>
      <c r="Q896" t="b">
        <v>1</v>
      </c>
    </row>
    <row r="897" spans="1:17">
      <c r="A897" s="12">
        <v>42536</v>
      </c>
      <c r="B897" s="10">
        <v>5</v>
      </c>
      <c r="C897" s="10">
        <v>5.495</v>
      </c>
      <c r="D897" s="10">
        <v>7</v>
      </c>
      <c r="E897" s="10">
        <v>35</v>
      </c>
      <c r="F897" s="10">
        <v>22</v>
      </c>
      <c r="G897" s="10">
        <v>1</v>
      </c>
      <c r="H897" s="10">
        <v>1</v>
      </c>
      <c r="I897" s="10">
        <v>6</v>
      </c>
      <c r="J897" s="10">
        <f>SUM(B897:I897)</f>
        <v>82.495</v>
      </c>
      <c r="K897">
        <v>2016</v>
      </c>
      <c r="L897">
        <v>6</v>
      </c>
      <c r="M897" s="11">
        <v>42522</v>
      </c>
      <c r="N897" t="s">
        <v>2178</v>
      </c>
      <c r="O897">
        <v>3</v>
      </c>
      <c r="P897" t="s">
        <v>65</v>
      </c>
      <c r="Q897" t="b">
        <v>1</v>
      </c>
    </row>
    <row r="898" spans="1:17">
      <c r="A898" s="12">
        <v>42537</v>
      </c>
      <c r="B898" s="10">
        <v>4</v>
      </c>
      <c r="C898" s="10">
        <v>0.33</v>
      </c>
      <c r="D898" s="10">
        <v>1</v>
      </c>
      <c r="E898" s="10">
        <v>20.5</v>
      </c>
      <c r="F898" s="10">
        <v>4</v>
      </c>
      <c r="G898" s="10">
        <v>0</v>
      </c>
      <c r="H898" s="10">
        <v>22</v>
      </c>
      <c r="I898" s="10">
        <v>3</v>
      </c>
      <c r="J898" s="10">
        <f>SUM(B898:I898)</f>
        <v>54.83</v>
      </c>
      <c r="K898">
        <v>2016</v>
      </c>
      <c r="L898">
        <v>6</v>
      </c>
      <c r="M898" s="11">
        <v>42522</v>
      </c>
      <c r="N898" t="s">
        <v>2178</v>
      </c>
      <c r="O898">
        <v>4</v>
      </c>
      <c r="P898" t="s">
        <v>53</v>
      </c>
      <c r="Q898" t="b">
        <v>1</v>
      </c>
    </row>
    <row r="899" spans="1:17">
      <c r="A899" s="12">
        <v>42538</v>
      </c>
      <c r="B899" s="10">
        <v>3.34</v>
      </c>
      <c r="C899" s="10">
        <v>3.67</v>
      </c>
      <c r="D899" s="10">
        <v>3.65</v>
      </c>
      <c r="E899" s="10">
        <v>20</v>
      </c>
      <c r="F899" s="10">
        <v>8</v>
      </c>
      <c r="G899" s="10">
        <v>0</v>
      </c>
      <c r="H899" s="10">
        <v>4</v>
      </c>
      <c r="I899" s="10">
        <v>4</v>
      </c>
      <c r="J899" s="10">
        <f>SUM(B899:I899)</f>
        <v>46.66</v>
      </c>
      <c r="K899">
        <v>2016</v>
      </c>
      <c r="L899">
        <v>6</v>
      </c>
      <c r="M899" s="11">
        <v>42522</v>
      </c>
      <c r="N899" t="s">
        <v>2178</v>
      </c>
      <c r="O899">
        <v>5</v>
      </c>
      <c r="P899" t="s">
        <v>55</v>
      </c>
      <c r="Q899" t="b">
        <v>1</v>
      </c>
    </row>
    <row r="900" spans="1:17">
      <c r="A900" s="12">
        <v>42539</v>
      </c>
      <c r="B900" s="10">
        <v>2</v>
      </c>
      <c r="C900" s="10">
        <v>4.33</v>
      </c>
      <c r="D900" s="10">
        <v>6.5</v>
      </c>
      <c r="E900" s="10">
        <v>37.5</v>
      </c>
      <c r="F900" s="10">
        <v>1</v>
      </c>
      <c r="G900" s="10">
        <v>0</v>
      </c>
      <c r="H900" s="10">
        <v>5</v>
      </c>
      <c r="I900" s="10">
        <v>4</v>
      </c>
      <c r="J900" s="10">
        <f>SUM(B900:I900)</f>
        <v>60.33</v>
      </c>
      <c r="K900">
        <v>2016</v>
      </c>
      <c r="L900">
        <v>6</v>
      </c>
      <c r="M900" s="11">
        <v>42522</v>
      </c>
      <c r="N900" t="s">
        <v>2178</v>
      </c>
      <c r="O900">
        <v>6</v>
      </c>
      <c r="P900" t="s">
        <v>57</v>
      </c>
      <c r="Q900" t="b">
        <v>1</v>
      </c>
    </row>
    <row r="901" spans="1:17">
      <c r="A901" s="12">
        <v>42540</v>
      </c>
      <c r="B901" s="10">
        <v>6.34</v>
      </c>
      <c r="C901" s="10">
        <v>6.01</v>
      </c>
      <c r="D901" s="10">
        <v>3</v>
      </c>
      <c r="E901" s="10">
        <v>40</v>
      </c>
      <c r="F901" s="10">
        <v>1</v>
      </c>
      <c r="G901" s="10">
        <v>0</v>
      </c>
      <c r="H901" s="10">
        <v>7</v>
      </c>
      <c r="I901" s="10">
        <v>15</v>
      </c>
      <c r="J901" s="10">
        <f>SUM(B901:I901)</f>
        <v>78.35</v>
      </c>
      <c r="K901">
        <v>2016</v>
      </c>
      <c r="L901">
        <v>6</v>
      </c>
      <c r="M901" s="11">
        <v>42522</v>
      </c>
      <c r="N901" t="s">
        <v>2178</v>
      </c>
      <c r="O901">
        <v>7</v>
      </c>
      <c r="P901" t="s">
        <v>59</v>
      </c>
      <c r="Q901" t="b">
        <v>1</v>
      </c>
    </row>
    <row r="902" spans="1:17">
      <c r="A902" s="12">
        <v>42541</v>
      </c>
      <c r="B902" s="10">
        <v>7.34</v>
      </c>
      <c r="C902" s="10">
        <v>3.34</v>
      </c>
      <c r="D902" s="10">
        <v>6</v>
      </c>
      <c r="E902" s="10">
        <v>22.388</v>
      </c>
      <c r="F902" s="10">
        <v>5</v>
      </c>
      <c r="G902" s="10">
        <v>0</v>
      </c>
      <c r="H902" s="10">
        <v>8</v>
      </c>
      <c r="I902" s="10">
        <v>6</v>
      </c>
      <c r="J902" s="10">
        <f>SUM(B902:I902)</f>
        <v>58.068</v>
      </c>
      <c r="K902">
        <v>2016</v>
      </c>
      <c r="L902">
        <v>6</v>
      </c>
      <c r="M902" s="11">
        <v>42522</v>
      </c>
      <c r="N902" t="s">
        <v>2178</v>
      </c>
      <c r="O902">
        <v>1</v>
      </c>
      <c r="P902" t="s">
        <v>61</v>
      </c>
      <c r="Q902" t="b">
        <v>1</v>
      </c>
    </row>
    <row r="903" spans="1:17">
      <c r="A903" s="12">
        <v>42542</v>
      </c>
      <c r="B903" s="10">
        <v>7.33</v>
      </c>
      <c r="C903" s="10">
        <v>4.66</v>
      </c>
      <c r="D903" s="10">
        <v>9</v>
      </c>
      <c r="E903" s="10">
        <v>23</v>
      </c>
      <c r="F903" s="10">
        <v>15</v>
      </c>
      <c r="G903" s="10">
        <v>0</v>
      </c>
      <c r="H903" s="10">
        <v>7</v>
      </c>
      <c r="I903" s="10">
        <v>5.6</v>
      </c>
      <c r="J903" s="10">
        <f>SUM(B903:I903)</f>
        <v>71.59</v>
      </c>
      <c r="K903">
        <v>2016</v>
      </c>
      <c r="L903">
        <v>6</v>
      </c>
      <c r="M903" s="11">
        <v>42522</v>
      </c>
      <c r="N903" t="s">
        <v>2178</v>
      </c>
      <c r="O903">
        <v>2</v>
      </c>
      <c r="P903" t="s">
        <v>63</v>
      </c>
      <c r="Q903" t="b">
        <v>1</v>
      </c>
    </row>
    <row r="904" spans="1:17">
      <c r="A904" s="12">
        <v>42543</v>
      </c>
      <c r="B904" s="10">
        <v>2</v>
      </c>
      <c r="C904" s="10">
        <v>6.067</v>
      </c>
      <c r="D904" s="10">
        <v>2.3</v>
      </c>
      <c r="E904" s="10">
        <v>42</v>
      </c>
      <c r="F904" s="10">
        <v>6</v>
      </c>
      <c r="G904" s="10">
        <v>0</v>
      </c>
      <c r="H904" s="10">
        <v>2</v>
      </c>
      <c r="I904" s="10">
        <v>2</v>
      </c>
      <c r="J904" s="10">
        <f>SUM(B904:I904)</f>
        <v>62.367000000000004</v>
      </c>
      <c r="K904">
        <v>2016</v>
      </c>
      <c r="L904">
        <v>6</v>
      </c>
      <c r="M904" s="11">
        <v>42522</v>
      </c>
      <c r="N904" t="s">
        <v>2178</v>
      </c>
      <c r="O904">
        <v>3</v>
      </c>
      <c r="P904" t="s">
        <v>65</v>
      </c>
      <c r="Q904" t="b">
        <v>1</v>
      </c>
    </row>
    <row r="905" spans="1:17">
      <c r="A905" s="12">
        <v>42544</v>
      </c>
      <c r="B905" s="10">
        <v>3</v>
      </c>
      <c r="C905" s="10">
        <v>0.33</v>
      </c>
      <c r="D905" s="10">
        <v>2.3</v>
      </c>
      <c r="E905" s="10">
        <v>19</v>
      </c>
      <c r="F905" s="10">
        <v>5</v>
      </c>
      <c r="G905" s="10">
        <v>0</v>
      </c>
      <c r="H905" s="10">
        <v>1</v>
      </c>
      <c r="I905" s="10">
        <v>3</v>
      </c>
      <c r="J905" s="10">
        <f>SUM(B905:I905)</f>
        <v>33.629999999999995</v>
      </c>
      <c r="K905">
        <v>2016</v>
      </c>
      <c r="L905">
        <v>6</v>
      </c>
      <c r="M905" s="11">
        <v>42522</v>
      </c>
      <c r="N905" t="s">
        <v>2178</v>
      </c>
      <c r="O905">
        <v>4</v>
      </c>
      <c r="P905" t="s">
        <v>53</v>
      </c>
      <c r="Q905" t="b">
        <v>1</v>
      </c>
    </row>
    <row r="906" spans="1:17">
      <c r="A906" s="12">
        <v>42545</v>
      </c>
      <c r="B906" s="10">
        <v>6</v>
      </c>
      <c r="C906" s="10">
        <v>2.34</v>
      </c>
      <c r="D906" s="10">
        <v>3.05</v>
      </c>
      <c r="E906" s="10">
        <v>19</v>
      </c>
      <c r="F906" s="10">
        <v>15</v>
      </c>
      <c r="G906" s="10">
        <v>0</v>
      </c>
      <c r="H906" s="10">
        <v>1</v>
      </c>
      <c r="I906" s="10">
        <v>2</v>
      </c>
      <c r="J906" s="10">
        <f>SUM(B906:I906)</f>
        <v>48.39</v>
      </c>
      <c r="K906">
        <v>2016</v>
      </c>
      <c r="L906">
        <v>6</v>
      </c>
      <c r="M906" s="11">
        <v>42522</v>
      </c>
      <c r="N906" t="s">
        <v>2178</v>
      </c>
      <c r="O906">
        <v>5</v>
      </c>
      <c r="P906" t="s">
        <v>55</v>
      </c>
      <c r="Q906" t="b">
        <v>1</v>
      </c>
    </row>
    <row r="907" spans="1:17">
      <c r="A907" s="12">
        <v>42546</v>
      </c>
      <c r="B907" s="10">
        <v>5.68</v>
      </c>
      <c r="C907" s="10">
        <v>4.99</v>
      </c>
      <c r="D907" s="10">
        <v>8</v>
      </c>
      <c r="E907" s="10">
        <v>20.25</v>
      </c>
      <c r="F907" s="10">
        <v>5</v>
      </c>
      <c r="G907" s="10">
        <v>0</v>
      </c>
      <c r="H907" s="10">
        <v>1</v>
      </c>
      <c r="I907" s="10">
        <v>4</v>
      </c>
      <c r="J907" s="10">
        <f>SUM(B907:I907)</f>
        <v>48.92</v>
      </c>
      <c r="K907">
        <v>2016</v>
      </c>
      <c r="L907">
        <v>6</v>
      </c>
      <c r="M907" s="11">
        <v>42522</v>
      </c>
      <c r="N907" t="s">
        <v>2178</v>
      </c>
      <c r="O907">
        <v>6</v>
      </c>
      <c r="P907" t="s">
        <v>57</v>
      </c>
      <c r="Q907" t="b">
        <v>1</v>
      </c>
    </row>
    <row r="908" spans="1:17">
      <c r="A908" s="12">
        <v>42547</v>
      </c>
      <c r="B908" s="10">
        <v>3</v>
      </c>
      <c r="C908" s="10">
        <v>3.845</v>
      </c>
      <c r="D908" s="10">
        <v>2</v>
      </c>
      <c r="E908" s="10">
        <v>17.4</v>
      </c>
      <c r="F908" s="10">
        <v>20</v>
      </c>
      <c r="G908" s="10">
        <v>0</v>
      </c>
      <c r="H908" s="10">
        <v>2</v>
      </c>
      <c r="I908" s="10">
        <v>3</v>
      </c>
      <c r="J908" s="10">
        <f>SUM(B908:I908)</f>
        <v>51.245</v>
      </c>
      <c r="K908">
        <v>2016</v>
      </c>
      <c r="L908">
        <v>6</v>
      </c>
      <c r="M908" s="11">
        <v>42522</v>
      </c>
      <c r="N908" t="s">
        <v>2178</v>
      </c>
      <c r="O908">
        <v>7</v>
      </c>
      <c r="P908" t="s">
        <v>59</v>
      </c>
      <c r="Q908" t="b">
        <v>1</v>
      </c>
    </row>
    <row r="909" spans="1:17">
      <c r="A909" s="12">
        <v>42548</v>
      </c>
      <c r="B909" s="10">
        <v>6</v>
      </c>
      <c r="C909" s="10">
        <v>3.067</v>
      </c>
      <c r="D909" s="10">
        <v>5.25</v>
      </c>
      <c r="E909" s="10">
        <v>24</v>
      </c>
      <c r="F909" s="10">
        <v>9</v>
      </c>
      <c r="G909" s="10">
        <v>0</v>
      </c>
      <c r="H909" s="10">
        <v>9</v>
      </c>
      <c r="I909" s="10">
        <v>2</v>
      </c>
      <c r="J909" s="10">
        <f>SUM(B909:I909)</f>
        <v>58.317</v>
      </c>
      <c r="K909">
        <v>2016</v>
      </c>
      <c r="L909">
        <v>6</v>
      </c>
      <c r="M909" s="11">
        <v>42522</v>
      </c>
      <c r="N909" t="s">
        <v>2178</v>
      </c>
      <c r="O909">
        <v>1</v>
      </c>
      <c r="P909" t="s">
        <v>61</v>
      </c>
      <c r="Q909" t="b">
        <v>1</v>
      </c>
    </row>
    <row r="910" spans="1:17">
      <c r="A910" s="12">
        <v>42549</v>
      </c>
      <c r="B910" s="10">
        <v>1.33</v>
      </c>
      <c r="C910" s="10">
        <v>1.429</v>
      </c>
      <c r="D910" s="10">
        <v>2.25</v>
      </c>
      <c r="E910" s="10">
        <v>24</v>
      </c>
      <c r="F910" s="10">
        <v>20</v>
      </c>
      <c r="G910" s="10">
        <v>5</v>
      </c>
      <c r="H910" s="10">
        <v>2</v>
      </c>
      <c r="I910" s="10">
        <v>7</v>
      </c>
      <c r="J910" s="10">
        <f>SUM(B910:I910)</f>
        <v>63.009</v>
      </c>
      <c r="K910">
        <v>2016</v>
      </c>
      <c r="L910">
        <v>6</v>
      </c>
      <c r="M910" s="11">
        <v>42522</v>
      </c>
      <c r="N910" t="s">
        <v>2178</v>
      </c>
      <c r="O910">
        <v>2</v>
      </c>
      <c r="P910" t="s">
        <v>63</v>
      </c>
      <c r="Q910" t="b">
        <v>1</v>
      </c>
    </row>
    <row r="911" spans="1:17">
      <c r="A911" s="12">
        <v>42550</v>
      </c>
      <c r="B911" s="10">
        <v>7</v>
      </c>
      <c r="C911" s="10">
        <v>8.01</v>
      </c>
      <c r="D911" s="10">
        <v>6.5</v>
      </c>
      <c r="E911" s="10">
        <v>22</v>
      </c>
      <c r="F911" s="10">
        <v>12.5</v>
      </c>
      <c r="G911" s="10">
        <v>7</v>
      </c>
      <c r="H911" s="10">
        <v>1</v>
      </c>
      <c r="I911" s="10">
        <v>2</v>
      </c>
      <c r="J911" s="10">
        <f>SUM(B911:I911)</f>
        <v>66.00999999999999</v>
      </c>
      <c r="K911">
        <v>2016</v>
      </c>
      <c r="L911">
        <v>6</v>
      </c>
      <c r="M911" s="11">
        <v>42522</v>
      </c>
      <c r="N911" t="s">
        <v>2178</v>
      </c>
      <c r="O911">
        <v>3</v>
      </c>
      <c r="P911" t="s">
        <v>65</v>
      </c>
      <c r="Q911" t="b">
        <v>1</v>
      </c>
    </row>
    <row r="912" spans="1:17">
      <c r="A912" s="12">
        <v>42551</v>
      </c>
      <c r="B912" s="10">
        <v>4</v>
      </c>
      <c r="C912" s="10">
        <v>3.803</v>
      </c>
      <c r="D912" s="10">
        <v>3.2</v>
      </c>
      <c r="E912" s="10">
        <v>9</v>
      </c>
      <c r="F912" s="10">
        <v>6</v>
      </c>
      <c r="G912" s="10">
        <v>0</v>
      </c>
      <c r="H912" s="10">
        <v>0</v>
      </c>
      <c r="I912" s="10">
        <v>2</v>
      </c>
      <c r="J912" s="10">
        <f>SUM(B912:I912)</f>
        <v>28.003</v>
      </c>
      <c r="K912">
        <v>2016</v>
      </c>
      <c r="L912">
        <v>6</v>
      </c>
      <c r="M912" s="11">
        <v>42522</v>
      </c>
      <c r="N912" t="s">
        <v>2178</v>
      </c>
      <c r="O912">
        <v>4</v>
      </c>
      <c r="P912" t="s">
        <v>53</v>
      </c>
      <c r="Q912" t="b">
        <v>1</v>
      </c>
    </row>
    <row r="913" spans="1:17">
      <c r="A913" s="12">
        <v>42552</v>
      </c>
      <c r="B913" s="10">
        <v>4</v>
      </c>
      <c r="C913" s="10">
        <v>2.01</v>
      </c>
      <c r="D913" s="10">
        <v>5.5</v>
      </c>
      <c r="E913" s="10">
        <v>24</v>
      </c>
      <c r="F913" s="10">
        <v>1</v>
      </c>
      <c r="G913" s="10">
        <v>0</v>
      </c>
      <c r="H913" s="10">
        <v>20</v>
      </c>
      <c r="I913" s="10">
        <v>7</v>
      </c>
      <c r="J913" s="10">
        <f>SUM(B913:I913)</f>
        <v>63.51</v>
      </c>
      <c r="K913">
        <v>2016</v>
      </c>
      <c r="L913">
        <v>7</v>
      </c>
      <c r="M913" s="11">
        <v>42552</v>
      </c>
      <c r="N913" t="s">
        <v>2179</v>
      </c>
      <c r="O913">
        <v>5</v>
      </c>
      <c r="P913" t="s">
        <v>55</v>
      </c>
      <c r="Q913" t="b">
        <v>1</v>
      </c>
    </row>
    <row r="914" spans="1:17">
      <c r="A914" s="12">
        <v>42553</v>
      </c>
      <c r="B914" s="10">
        <v>4.66</v>
      </c>
      <c r="C914" s="10">
        <v>5.132</v>
      </c>
      <c r="D914" s="10">
        <v>6</v>
      </c>
      <c r="E914" s="10">
        <v>25.4</v>
      </c>
      <c r="F914" s="10">
        <v>9</v>
      </c>
      <c r="G914" s="10">
        <v>0</v>
      </c>
      <c r="H914" s="10">
        <v>2</v>
      </c>
      <c r="I914" s="10">
        <v>3</v>
      </c>
      <c r="J914" s="10">
        <f>SUM(B914:I914)</f>
        <v>55.192</v>
      </c>
      <c r="K914">
        <v>2016</v>
      </c>
      <c r="L914">
        <v>7</v>
      </c>
      <c r="M914" s="11">
        <v>42552</v>
      </c>
      <c r="N914" t="s">
        <v>2179</v>
      </c>
      <c r="O914">
        <v>6</v>
      </c>
      <c r="P914" t="s">
        <v>57</v>
      </c>
      <c r="Q914" t="b">
        <v>1</v>
      </c>
    </row>
    <row r="915" spans="1:17">
      <c r="A915" s="12">
        <v>42554</v>
      </c>
      <c r="B915" s="10">
        <v>6.67</v>
      </c>
      <c r="C915" s="10">
        <v>4.165</v>
      </c>
      <c r="D915" s="10">
        <v>5.4</v>
      </c>
      <c r="E915" s="10">
        <v>18.6</v>
      </c>
      <c r="F915" s="10">
        <v>4</v>
      </c>
      <c r="G915" s="10">
        <v>0</v>
      </c>
      <c r="H915" s="10">
        <v>11</v>
      </c>
      <c r="I915" s="10">
        <v>5</v>
      </c>
      <c r="J915" s="10">
        <f>SUM(B915:I915)</f>
        <v>54.835</v>
      </c>
      <c r="K915">
        <v>2016</v>
      </c>
      <c r="L915">
        <v>7</v>
      </c>
      <c r="M915" s="11">
        <v>42552</v>
      </c>
      <c r="N915" t="s">
        <v>2179</v>
      </c>
      <c r="O915">
        <v>7</v>
      </c>
      <c r="P915" t="s">
        <v>59</v>
      </c>
      <c r="Q915" t="b">
        <v>1</v>
      </c>
    </row>
    <row r="916" spans="1:17">
      <c r="A916" s="12">
        <v>42555</v>
      </c>
      <c r="B916" s="10">
        <v>8.34</v>
      </c>
      <c r="C916" s="10">
        <v>5.34</v>
      </c>
      <c r="D916" s="10">
        <v>1.15</v>
      </c>
      <c r="E916" s="10">
        <v>14</v>
      </c>
      <c r="F916" s="10">
        <v>8</v>
      </c>
      <c r="G916" s="10">
        <v>3</v>
      </c>
      <c r="H916" s="10">
        <v>7</v>
      </c>
      <c r="I916" s="10">
        <v>6</v>
      </c>
      <c r="J916" s="10">
        <f>SUM(B916:I916)</f>
        <v>52.83</v>
      </c>
      <c r="K916">
        <v>2016</v>
      </c>
      <c r="L916">
        <v>7</v>
      </c>
      <c r="M916" s="11">
        <v>42552</v>
      </c>
      <c r="N916" t="s">
        <v>2179</v>
      </c>
      <c r="O916">
        <v>1</v>
      </c>
      <c r="P916" t="s">
        <v>61</v>
      </c>
      <c r="Q916" t="b">
        <v>1</v>
      </c>
    </row>
    <row r="917" spans="1:17">
      <c r="A917" s="12">
        <v>42556</v>
      </c>
      <c r="B917" s="10">
        <v>6</v>
      </c>
      <c r="C917" s="10">
        <v>4.01</v>
      </c>
      <c r="D917" s="10">
        <v>2</v>
      </c>
      <c r="E917" s="10">
        <v>19</v>
      </c>
      <c r="F917" s="10">
        <v>10</v>
      </c>
      <c r="G917" s="10">
        <v>0</v>
      </c>
      <c r="H917" s="10">
        <v>0</v>
      </c>
      <c r="I917" s="10">
        <v>3</v>
      </c>
      <c r="J917" s="10">
        <f>SUM(B917:I917)</f>
        <v>44.01</v>
      </c>
      <c r="K917">
        <v>2016</v>
      </c>
      <c r="L917">
        <v>7</v>
      </c>
      <c r="M917" s="11">
        <v>42552</v>
      </c>
      <c r="N917" t="s">
        <v>2179</v>
      </c>
      <c r="O917">
        <v>2</v>
      </c>
      <c r="P917" t="s">
        <v>63</v>
      </c>
      <c r="Q917" t="b">
        <v>1</v>
      </c>
    </row>
    <row r="918" spans="1:17">
      <c r="A918" s="12">
        <v>42557</v>
      </c>
      <c r="B918" s="10">
        <v>9.33</v>
      </c>
      <c r="C918" s="10">
        <v>5.726</v>
      </c>
      <c r="D918" s="10">
        <v>5</v>
      </c>
      <c r="E918" s="10">
        <v>30</v>
      </c>
      <c r="F918" s="10">
        <v>5</v>
      </c>
      <c r="G918" s="10">
        <v>0</v>
      </c>
      <c r="H918" s="10">
        <v>8</v>
      </c>
      <c r="I918" s="10">
        <v>4</v>
      </c>
      <c r="J918" s="10">
        <f>SUM(B918:I918)</f>
        <v>67.056</v>
      </c>
      <c r="K918">
        <v>2016</v>
      </c>
      <c r="L918">
        <v>7</v>
      </c>
      <c r="M918" s="11">
        <v>42552</v>
      </c>
      <c r="N918" t="s">
        <v>2179</v>
      </c>
      <c r="O918">
        <v>3</v>
      </c>
      <c r="P918" t="s">
        <v>65</v>
      </c>
      <c r="Q918" t="b">
        <v>1</v>
      </c>
    </row>
    <row r="919" spans="1:17">
      <c r="A919" s="12">
        <v>42558</v>
      </c>
      <c r="B919" s="10">
        <v>7.34</v>
      </c>
      <c r="C919" s="10">
        <v>5.01</v>
      </c>
      <c r="D919" s="10">
        <v>1</v>
      </c>
      <c r="E919" s="10">
        <v>21</v>
      </c>
      <c r="F919" s="10">
        <v>11</v>
      </c>
      <c r="G919" s="10">
        <v>1</v>
      </c>
      <c r="H919" s="10">
        <v>0</v>
      </c>
      <c r="I919" s="10">
        <v>2</v>
      </c>
      <c r="J919" s="10">
        <f>SUM(B919:I919)</f>
        <v>48.35</v>
      </c>
      <c r="K919">
        <v>2016</v>
      </c>
      <c r="L919">
        <v>7</v>
      </c>
      <c r="M919" s="11">
        <v>42552</v>
      </c>
      <c r="N919" t="s">
        <v>2179</v>
      </c>
      <c r="O919">
        <v>4</v>
      </c>
      <c r="P919" t="s">
        <v>53</v>
      </c>
      <c r="Q919" t="b">
        <v>1</v>
      </c>
    </row>
    <row r="920" spans="1:17">
      <c r="A920" s="12">
        <v>42559</v>
      </c>
      <c r="B920" s="10">
        <v>1.34</v>
      </c>
      <c r="C920" s="10">
        <v>7.056</v>
      </c>
      <c r="D920" s="10">
        <v>9.199999999999999</v>
      </c>
      <c r="E920" s="10">
        <v>28</v>
      </c>
      <c r="F920" s="10">
        <v>12</v>
      </c>
      <c r="G920" s="10">
        <v>1</v>
      </c>
      <c r="H920" s="10">
        <v>0</v>
      </c>
      <c r="I920" s="10">
        <v>4.3</v>
      </c>
      <c r="J920" s="10">
        <f>SUM(B920:I920)</f>
        <v>62.896</v>
      </c>
      <c r="K920">
        <v>2016</v>
      </c>
      <c r="L920">
        <v>7</v>
      </c>
      <c r="M920" s="11">
        <v>42552</v>
      </c>
      <c r="N920" t="s">
        <v>2179</v>
      </c>
      <c r="O920">
        <v>5</v>
      </c>
      <c r="P920" t="s">
        <v>55</v>
      </c>
      <c r="Q920" t="b">
        <v>1</v>
      </c>
    </row>
    <row r="921" spans="1:17">
      <c r="A921" s="12">
        <v>42560</v>
      </c>
      <c r="B921" s="10">
        <v>3.33</v>
      </c>
      <c r="C921" s="10">
        <v>6</v>
      </c>
      <c r="D921" s="10">
        <v>4.5</v>
      </c>
      <c r="E921" s="10">
        <v>11</v>
      </c>
      <c r="F921" s="10">
        <v>12</v>
      </c>
      <c r="G921" s="10">
        <v>0</v>
      </c>
      <c r="H921" s="10">
        <v>0</v>
      </c>
      <c r="I921" s="10">
        <v>2</v>
      </c>
      <c r="J921" s="10">
        <f>SUM(B921:I921)</f>
        <v>38.83</v>
      </c>
      <c r="K921">
        <v>2016</v>
      </c>
      <c r="L921">
        <v>7</v>
      </c>
      <c r="M921" s="11">
        <v>42552</v>
      </c>
      <c r="N921" t="s">
        <v>2179</v>
      </c>
      <c r="O921">
        <v>6</v>
      </c>
      <c r="P921" t="s">
        <v>57</v>
      </c>
      <c r="Q921" t="b">
        <v>1</v>
      </c>
    </row>
    <row r="922" spans="1:17">
      <c r="A922" s="12">
        <v>42561</v>
      </c>
      <c r="B922" s="10">
        <v>5.66</v>
      </c>
      <c r="C922" s="10">
        <v>8.32</v>
      </c>
      <c r="D922" s="10">
        <v>4.2</v>
      </c>
      <c r="E922" s="10">
        <v>29</v>
      </c>
      <c r="F922" s="10">
        <v>6</v>
      </c>
      <c r="G922" s="10">
        <v>0</v>
      </c>
      <c r="H922" s="10">
        <v>0</v>
      </c>
      <c r="I922" s="10">
        <v>3</v>
      </c>
      <c r="J922" s="10">
        <f>SUM(B922:I922)</f>
        <v>56.18</v>
      </c>
      <c r="K922">
        <v>2016</v>
      </c>
      <c r="L922">
        <v>7</v>
      </c>
      <c r="M922" s="11">
        <v>42552</v>
      </c>
      <c r="N922" t="s">
        <v>2179</v>
      </c>
      <c r="O922">
        <v>7</v>
      </c>
      <c r="P922" t="s">
        <v>59</v>
      </c>
      <c r="Q922" t="b">
        <v>1</v>
      </c>
    </row>
    <row r="923" spans="1:17">
      <c r="A923" s="12">
        <v>42562</v>
      </c>
      <c r="B923" s="10">
        <v>6.33</v>
      </c>
      <c r="C923" s="10">
        <v>1.703</v>
      </c>
      <c r="D923" s="10">
        <v>3</v>
      </c>
      <c r="E923" s="10">
        <v>19.312</v>
      </c>
      <c r="F923" s="10">
        <v>9</v>
      </c>
      <c r="G923" s="10">
        <v>0</v>
      </c>
      <c r="H923" s="10">
        <v>4</v>
      </c>
      <c r="I923" s="10">
        <v>6.2</v>
      </c>
      <c r="J923" s="10">
        <f>SUM(B923:I923)</f>
        <v>49.545</v>
      </c>
      <c r="K923">
        <v>2016</v>
      </c>
      <c r="L923">
        <v>7</v>
      </c>
      <c r="M923" s="11">
        <v>42552</v>
      </c>
      <c r="N923" t="s">
        <v>2179</v>
      </c>
      <c r="O923">
        <v>1</v>
      </c>
      <c r="P923" t="s">
        <v>61</v>
      </c>
      <c r="Q923" t="b">
        <v>1</v>
      </c>
    </row>
    <row r="924" spans="1:17">
      <c r="A924" s="12">
        <v>42563</v>
      </c>
      <c r="B924" s="10">
        <v>5.67</v>
      </c>
      <c r="C924" s="10">
        <v>2.67</v>
      </c>
      <c r="D924" s="10">
        <v>4</v>
      </c>
      <c r="E924" s="10">
        <v>27.2</v>
      </c>
      <c r="F924" s="10">
        <v>14</v>
      </c>
      <c r="G924" s="10">
        <v>0</v>
      </c>
      <c r="H924" s="10">
        <v>3</v>
      </c>
      <c r="I924" s="10">
        <v>4</v>
      </c>
      <c r="J924" s="10">
        <f>SUM(B924:I924)</f>
        <v>60.54</v>
      </c>
      <c r="K924">
        <v>2016</v>
      </c>
      <c r="L924">
        <v>7</v>
      </c>
      <c r="M924" s="11">
        <v>42552</v>
      </c>
      <c r="N924" t="s">
        <v>2179</v>
      </c>
      <c r="O924">
        <v>2</v>
      </c>
      <c r="P924" t="s">
        <v>63</v>
      </c>
      <c r="Q924" t="b">
        <v>1</v>
      </c>
    </row>
    <row r="925" spans="1:17">
      <c r="A925" s="12">
        <v>42564</v>
      </c>
      <c r="B925" s="10">
        <v>6.218333333</v>
      </c>
      <c r="C925" s="10">
        <v>7</v>
      </c>
      <c r="D925" s="10">
        <v>5</v>
      </c>
      <c r="E925" s="10">
        <v>26.4</v>
      </c>
      <c r="F925" s="10">
        <v>11</v>
      </c>
      <c r="G925" s="10">
        <v>0</v>
      </c>
      <c r="H925" s="10">
        <v>3</v>
      </c>
      <c r="I925" s="10">
        <v>2</v>
      </c>
      <c r="J925" s="10">
        <f>SUM(B925:I925)</f>
        <v>60.618333332999995</v>
      </c>
      <c r="K925">
        <v>2016</v>
      </c>
      <c r="L925">
        <v>7</v>
      </c>
      <c r="M925" s="11">
        <v>42552</v>
      </c>
      <c r="N925" t="s">
        <v>2179</v>
      </c>
      <c r="O925">
        <v>3</v>
      </c>
      <c r="P925" t="s">
        <v>65</v>
      </c>
      <c r="Q925" t="b">
        <v>1</v>
      </c>
    </row>
    <row r="926" spans="1:17">
      <c r="A926" s="12">
        <v>42565</v>
      </c>
      <c r="B926" s="10">
        <v>2.34</v>
      </c>
      <c r="C926" s="10">
        <v>2.363</v>
      </c>
      <c r="D926" s="10">
        <v>5</v>
      </c>
      <c r="E926" s="10">
        <v>12.4</v>
      </c>
      <c r="F926" s="10">
        <v>3</v>
      </c>
      <c r="G926" s="10">
        <v>0</v>
      </c>
      <c r="H926" s="10">
        <v>3</v>
      </c>
      <c r="I926" s="10">
        <v>5</v>
      </c>
      <c r="J926" s="10">
        <f>SUM(B926:I926)</f>
        <v>33.103</v>
      </c>
      <c r="K926">
        <v>2016</v>
      </c>
      <c r="L926">
        <v>7</v>
      </c>
      <c r="M926" s="11">
        <v>42552</v>
      </c>
      <c r="N926" t="s">
        <v>2179</v>
      </c>
      <c r="O926">
        <v>4</v>
      </c>
      <c r="P926" t="s">
        <v>53</v>
      </c>
      <c r="Q926" t="b">
        <v>1</v>
      </c>
    </row>
    <row r="927" spans="1:17">
      <c r="A927" s="12">
        <v>42566</v>
      </c>
      <c r="B927" s="10">
        <v>3</v>
      </c>
      <c r="C927" s="10">
        <v>8</v>
      </c>
      <c r="D927" s="10">
        <v>2</v>
      </c>
      <c r="E927" s="10">
        <v>15</v>
      </c>
      <c r="F927" s="10">
        <v>4</v>
      </c>
      <c r="G927" s="10">
        <v>0</v>
      </c>
      <c r="H927" s="10">
        <v>0</v>
      </c>
      <c r="I927" s="10">
        <v>3.33</v>
      </c>
      <c r="J927" s="10">
        <f>SUM(B927:I927)</f>
        <v>35.33</v>
      </c>
      <c r="K927">
        <v>2016</v>
      </c>
      <c r="L927">
        <v>7</v>
      </c>
      <c r="M927" s="11">
        <v>42552</v>
      </c>
      <c r="N927" t="s">
        <v>2179</v>
      </c>
      <c r="O927">
        <v>5</v>
      </c>
      <c r="P927" t="s">
        <v>55</v>
      </c>
      <c r="Q927" t="b">
        <v>1</v>
      </c>
    </row>
    <row r="928" spans="1:17">
      <c r="A928" s="12">
        <v>42567</v>
      </c>
      <c r="B928" s="10">
        <v>9.33</v>
      </c>
      <c r="C928" s="10">
        <v>6.737</v>
      </c>
      <c r="D928" s="10">
        <v>3</v>
      </c>
      <c r="E928" s="10">
        <v>23.3</v>
      </c>
      <c r="F928" s="10">
        <v>6</v>
      </c>
      <c r="G928" s="10">
        <v>0</v>
      </c>
      <c r="H928" s="10">
        <v>1</v>
      </c>
      <c r="I928" s="10">
        <v>8</v>
      </c>
      <c r="J928" s="10">
        <f>SUM(B928:I928)</f>
        <v>57.367000000000004</v>
      </c>
      <c r="K928">
        <v>2016</v>
      </c>
      <c r="L928">
        <v>7</v>
      </c>
      <c r="M928" s="11">
        <v>42552</v>
      </c>
      <c r="N928" t="s">
        <v>2179</v>
      </c>
      <c r="O928">
        <v>6</v>
      </c>
      <c r="P928" t="s">
        <v>57</v>
      </c>
      <c r="Q928" t="b">
        <v>1</v>
      </c>
    </row>
    <row r="929" spans="1:17">
      <c r="A929" s="12">
        <v>42568</v>
      </c>
      <c r="B929" s="10">
        <v>9.01</v>
      </c>
      <c r="C929" s="10">
        <v>4.01</v>
      </c>
      <c r="D929" s="10">
        <v>3</v>
      </c>
      <c r="E929" s="10">
        <v>26.65</v>
      </c>
      <c r="F929" s="10">
        <v>3</v>
      </c>
      <c r="G929" s="10">
        <v>0</v>
      </c>
      <c r="H929" s="10">
        <v>7</v>
      </c>
      <c r="I929" s="10">
        <v>4</v>
      </c>
      <c r="J929" s="10">
        <f>SUM(B929:I929)</f>
        <v>56.67</v>
      </c>
      <c r="K929">
        <v>2016</v>
      </c>
      <c r="L929">
        <v>7</v>
      </c>
      <c r="M929" s="11">
        <v>42552</v>
      </c>
      <c r="N929" t="s">
        <v>2179</v>
      </c>
      <c r="O929">
        <v>7</v>
      </c>
      <c r="P929" t="s">
        <v>59</v>
      </c>
      <c r="Q929" t="b">
        <v>1</v>
      </c>
    </row>
    <row r="930" spans="1:17">
      <c r="A930" s="12">
        <v>42569</v>
      </c>
      <c r="B930" s="10">
        <v>6</v>
      </c>
      <c r="C930" s="10">
        <v>2.497</v>
      </c>
      <c r="D930" s="10">
        <v>8</v>
      </c>
      <c r="E930" s="10">
        <v>25.4</v>
      </c>
      <c r="F930" s="10">
        <v>2</v>
      </c>
      <c r="G930" s="10">
        <v>0</v>
      </c>
      <c r="H930" s="10">
        <v>3</v>
      </c>
      <c r="I930" s="10">
        <v>4</v>
      </c>
      <c r="J930" s="10">
        <f>SUM(B930:I930)</f>
        <v>50.897</v>
      </c>
      <c r="K930">
        <v>2016</v>
      </c>
      <c r="L930">
        <v>7</v>
      </c>
      <c r="M930" s="11">
        <v>42552</v>
      </c>
      <c r="N930" t="s">
        <v>2179</v>
      </c>
      <c r="O930">
        <v>1</v>
      </c>
      <c r="P930" t="s">
        <v>61</v>
      </c>
      <c r="Q930" t="b">
        <v>1</v>
      </c>
    </row>
    <row r="931" spans="1:17">
      <c r="A931" s="12">
        <v>42570</v>
      </c>
      <c r="B931" s="10">
        <v>7.34</v>
      </c>
      <c r="C931" s="10">
        <v>1.33</v>
      </c>
      <c r="D931" s="10">
        <v>6</v>
      </c>
      <c r="E931" s="10">
        <v>19</v>
      </c>
      <c r="F931" s="10">
        <v>5</v>
      </c>
      <c r="G931" s="10">
        <v>0</v>
      </c>
      <c r="H931" s="10">
        <v>1</v>
      </c>
      <c r="I931" s="10">
        <v>2</v>
      </c>
      <c r="J931" s="10">
        <f>SUM(B931:I931)</f>
        <v>41.67</v>
      </c>
      <c r="K931">
        <v>2016</v>
      </c>
      <c r="L931">
        <v>7</v>
      </c>
      <c r="M931" s="11">
        <v>42552</v>
      </c>
      <c r="N931" t="s">
        <v>2179</v>
      </c>
      <c r="O931">
        <v>2</v>
      </c>
      <c r="P931" t="s">
        <v>63</v>
      </c>
      <c r="Q931" t="b">
        <v>1</v>
      </c>
    </row>
    <row r="932" spans="1:17">
      <c r="A932" s="12">
        <v>42571</v>
      </c>
      <c r="B932" s="10">
        <v>10.33</v>
      </c>
      <c r="C932" s="10">
        <v>4.66</v>
      </c>
      <c r="D932" s="10">
        <v>7.1</v>
      </c>
      <c r="E932" s="10">
        <v>25.2</v>
      </c>
      <c r="F932" s="10">
        <v>6</v>
      </c>
      <c r="G932" s="10">
        <v>0</v>
      </c>
      <c r="H932" s="10">
        <v>5</v>
      </c>
      <c r="I932" s="10">
        <v>5</v>
      </c>
      <c r="J932" s="10">
        <f>SUM(B932:I932)</f>
        <v>63.29</v>
      </c>
      <c r="K932">
        <v>2016</v>
      </c>
      <c r="L932">
        <v>7</v>
      </c>
      <c r="M932" s="11">
        <v>42552</v>
      </c>
      <c r="N932" t="s">
        <v>2179</v>
      </c>
      <c r="O932">
        <v>3</v>
      </c>
      <c r="P932" t="s">
        <v>65</v>
      </c>
      <c r="Q932" t="b">
        <v>1</v>
      </c>
    </row>
    <row r="933" spans="1:17">
      <c r="A933" s="12">
        <v>42572</v>
      </c>
      <c r="B933" s="10">
        <v>5.66</v>
      </c>
      <c r="C933" s="10">
        <v>5.32</v>
      </c>
      <c r="D933" s="10">
        <v>4.1</v>
      </c>
      <c r="E933" s="10">
        <v>17</v>
      </c>
      <c r="F933" s="10">
        <v>15</v>
      </c>
      <c r="G933" s="10">
        <v>0</v>
      </c>
      <c r="H933" s="10">
        <v>1</v>
      </c>
      <c r="I933" s="10">
        <v>2</v>
      </c>
      <c r="J933" s="10">
        <f>SUM(B933:I933)</f>
        <v>50.08</v>
      </c>
      <c r="K933">
        <v>2016</v>
      </c>
      <c r="L933">
        <v>7</v>
      </c>
      <c r="M933" s="11">
        <v>42552</v>
      </c>
      <c r="N933" t="s">
        <v>2179</v>
      </c>
      <c r="O933">
        <v>4</v>
      </c>
      <c r="P933" t="s">
        <v>53</v>
      </c>
      <c r="Q933" t="b">
        <v>1</v>
      </c>
    </row>
    <row r="934" spans="1:17">
      <c r="A934" s="12">
        <v>42573</v>
      </c>
      <c r="B934" s="10">
        <v>3.33</v>
      </c>
      <c r="C934" s="10">
        <v>1.66</v>
      </c>
      <c r="D934" s="10">
        <v>7</v>
      </c>
      <c r="E934" s="10">
        <v>14</v>
      </c>
      <c r="F934" s="10">
        <v>4</v>
      </c>
      <c r="G934" s="10">
        <v>0</v>
      </c>
      <c r="H934" s="10">
        <v>0</v>
      </c>
      <c r="I934" s="10">
        <v>2</v>
      </c>
      <c r="J934" s="10">
        <f>SUM(B934:I934)</f>
        <v>31.990000000000002</v>
      </c>
      <c r="K934">
        <v>2016</v>
      </c>
      <c r="L934">
        <v>7</v>
      </c>
      <c r="M934" s="11">
        <v>42552</v>
      </c>
      <c r="N934" t="s">
        <v>2179</v>
      </c>
      <c r="O934">
        <v>5</v>
      </c>
      <c r="P934" t="s">
        <v>55</v>
      </c>
      <c r="Q934" t="b">
        <v>1</v>
      </c>
    </row>
    <row r="935" spans="1:17">
      <c r="A935" s="12">
        <v>42574</v>
      </c>
      <c r="B935" s="10">
        <v>4.66</v>
      </c>
      <c r="C935" s="10">
        <v>5.49</v>
      </c>
      <c r="D935" s="10">
        <v>2.1</v>
      </c>
      <c r="E935" s="10">
        <v>15</v>
      </c>
      <c r="F935" s="10">
        <v>6</v>
      </c>
      <c r="G935" s="10">
        <v>0</v>
      </c>
      <c r="H935" s="10">
        <v>0</v>
      </c>
      <c r="I935" s="10">
        <v>5</v>
      </c>
      <c r="J935" s="10">
        <f>SUM(B935:I935)</f>
        <v>38.25</v>
      </c>
      <c r="K935">
        <v>2016</v>
      </c>
      <c r="L935">
        <v>7</v>
      </c>
      <c r="M935" s="11">
        <v>42552</v>
      </c>
      <c r="N935" t="s">
        <v>2179</v>
      </c>
      <c r="O935">
        <v>6</v>
      </c>
      <c r="P935" t="s">
        <v>57</v>
      </c>
      <c r="Q935" t="b">
        <v>1</v>
      </c>
    </row>
    <row r="936" spans="1:17">
      <c r="A936" s="12">
        <v>42575</v>
      </c>
      <c r="B936" s="10">
        <v>2.33</v>
      </c>
      <c r="C936" s="10">
        <v>4.99</v>
      </c>
      <c r="D936" s="10">
        <v>4</v>
      </c>
      <c r="E936" s="10">
        <v>32</v>
      </c>
      <c r="F936" s="10">
        <v>4</v>
      </c>
      <c r="G936" s="10">
        <v>0</v>
      </c>
      <c r="H936" s="10">
        <v>0</v>
      </c>
      <c r="I936" s="10">
        <v>2</v>
      </c>
      <c r="J936" s="10">
        <f>SUM(B936:I936)</f>
        <v>49.32</v>
      </c>
      <c r="K936">
        <v>2016</v>
      </c>
      <c r="L936">
        <v>7</v>
      </c>
      <c r="M936" s="11">
        <v>42552</v>
      </c>
      <c r="N936" t="s">
        <v>2179</v>
      </c>
      <c r="O936">
        <v>7</v>
      </c>
      <c r="P936" t="s">
        <v>59</v>
      </c>
      <c r="Q936" t="b">
        <v>1</v>
      </c>
    </row>
    <row r="937" spans="1:17">
      <c r="A937" s="12">
        <v>42576</v>
      </c>
      <c r="B937" s="10">
        <v>13</v>
      </c>
      <c r="C937" s="10">
        <v>3.33</v>
      </c>
      <c r="D937" s="10">
        <v>7</v>
      </c>
      <c r="E937" s="10">
        <v>22</v>
      </c>
      <c r="F937" s="10">
        <v>9</v>
      </c>
      <c r="G937" s="10">
        <v>0</v>
      </c>
      <c r="H937" s="10">
        <v>4</v>
      </c>
      <c r="I937" s="10">
        <v>4</v>
      </c>
      <c r="J937" s="10">
        <f>SUM(B937:I937)</f>
        <v>62.33</v>
      </c>
      <c r="K937">
        <v>2016</v>
      </c>
      <c r="L937">
        <v>7</v>
      </c>
      <c r="M937" s="11">
        <v>42552</v>
      </c>
      <c r="N937" t="s">
        <v>2179</v>
      </c>
      <c r="O937">
        <v>1</v>
      </c>
      <c r="P937" t="s">
        <v>61</v>
      </c>
      <c r="Q937" t="b">
        <v>1</v>
      </c>
    </row>
    <row r="938" spans="1:17">
      <c r="A938" s="12">
        <v>42577</v>
      </c>
      <c r="B938" s="10">
        <v>8.32</v>
      </c>
      <c r="C938" s="10">
        <v>2.66</v>
      </c>
      <c r="D938" s="10">
        <v>1</v>
      </c>
      <c r="E938" s="10">
        <v>10</v>
      </c>
      <c r="F938" s="10">
        <v>16</v>
      </c>
      <c r="G938" s="10">
        <v>0</v>
      </c>
      <c r="H938" s="10">
        <v>0</v>
      </c>
      <c r="I938" s="10">
        <v>2</v>
      </c>
      <c r="J938" s="10">
        <f>SUM(B938:I938)</f>
        <v>39.980000000000004</v>
      </c>
      <c r="K938">
        <v>2016</v>
      </c>
      <c r="L938">
        <v>7</v>
      </c>
      <c r="M938" s="11">
        <v>42552</v>
      </c>
      <c r="N938" t="s">
        <v>2179</v>
      </c>
      <c r="O938">
        <v>2</v>
      </c>
      <c r="P938" t="s">
        <v>63</v>
      </c>
      <c r="Q938" t="b">
        <v>1</v>
      </c>
    </row>
    <row r="939" spans="1:17">
      <c r="A939" s="12">
        <v>42578</v>
      </c>
      <c r="B939" s="10">
        <v>3</v>
      </c>
      <c r="C939" s="10">
        <v>6.33</v>
      </c>
      <c r="D939" s="10">
        <v>4.15</v>
      </c>
      <c r="E939" s="10">
        <v>10</v>
      </c>
      <c r="F939" s="10">
        <v>4</v>
      </c>
      <c r="G939" s="10">
        <v>1</v>
      </c>
      <c r="H939" s="10">
        <v>9</v>
      </c>
      <c r="I939" s="10">
        <v>2</v>
      </c>
      <c r="J939" s="10">
        <f>SUM(B939:I939)</f>
        <v>39.480000000000004</v>
      </c>
      <c r="K939">
        <v>2016</v>
      </c>
      <c r="L939">
        <v>7</v>
      </c>
      <c r="M939" s="11">
        <v>42552</v>
      </c>
      <c r="N939" t="s">
        <v>2179</v>
      </c>
      <c r="O939">
        <v>3</v>
      </c>
      <c r="P939" t="s">
        <v>65</v>
      </c>
      <c r="Q939" t="b">
        <v>1</v>
      </c>
    </row>
    <row r="940" spans="1:17">
      <c r="A940" s="12">
        <v>42579</v>
      </c>
      <c r="B940" s="10">
        <v>9.67</v>
      </c>
      <c r="C940" s="10">
        <v>3.99</v>
      </c>
      <c r="D940" s="10">
        <v>4</v>
      </c>
      <c r="E940" s="10">
        <v>22.5</v>
      </c>
      <c r="F940" s="10">
        <v>12</v>
      </c>
      <c r="G940" s="10">
        <v>1</v>
      </c>
      <c r="H940" s="10">
        <v>5</v>
      </c>
      <c r="I940" s="10">
        <v>3</v>
      </c>
      <c r="J940" s="10">
        <f>SUM(B940:I940)</f>
        <v>61.16</v>
      </c>
      <c r="K940">
        <v>2016</v>
      </c>
      <c r="L940">
        <v>7</v>
      </c>
      <c r="M940" s="11">
        <v>42552</v>
      </c>
      <c r="N940" t="s">
        <v>2179</v>
      </c>
      <c r="O940">
        <v>4</v>
      </c>
      <c r="P940" t="s">
        <v>53</v>
      </c>
      <c r="Q940" t="b">
        <v>1</v>
      </c>
    </row>
    <row r="941" spans="1:17">
      <c r="A941" s="12">
        <v>42580</v>
      </c>
      <c r="B941" s="10">
        <v>9.99</v>
      </c>
      <c r="C941" s="10">
        <v>4.51</v>
      </c>
      <c r="D941" s="10">
        <v>6</v>
      </c>
      <c r="E941" s="10">
        <v>11</v>
      </c>
      <c r="F941" s="10">
        <v>17</v>
      </c>
      <c r="G941" s="10">
        <v>1</v>
      </c>
      <c r="H941" s="10">
        <v>11</v>
      </c>
      <c r="I941" s="10">
        <v>2</v>
      </c>
      <c r="J941" s="10">
        <f>SUM(B941:I941)</f>
        <v>62.5</v>
      </c>
      <c r="K941">
        <v>2016</v>
      </c>
      <c r="L941">
        <v>7</v>
      </c>
      <c r="M941" s="11">
        <v>42552</v>
      </c>
      <c r="N941" t="s">
        <v>2179</v>
      </c>
      <c r="O941">
        <v>5</v>
      </c>
      <c r="P941" t="s">
        <v>55</v>
      </c>
      <c r="Q941" t="b">
        <v>1</v>
      </c>
    </row>
    <row r="942" spans="1:17">
      <c r="A942" s="12">
        <v>42581</v>
      </c>
      <c r="B942" s="10">
        <v>6.33</v>
      </c>
      <c r="C942" s="10">
        <v>3.99</v>
      </c>
      <c r="D942" s="10">
        <v>4</v>
      </c>
      <c r="E942" s="10">
        <v>37</v>
      </c>
      <c r="F942" s="10">
        <v>7</v>
      </c>
      <c r="G942" s="10">
        <v>0</v>
      </c>
      <c r="H942" s="10">
        <v>1</v>
      </c>
      <c r="I942" s="10">
        <v>6</v>
      </c>
      <c r="J942" s="10">
        <f>SUM(B942:I942)</f>
        <v>65.32</v>
      </c>
      <c r="K942">
        <v>2016</v>
      </c>
      <c r="L942">
        <v>7</v>
      </c>
      <c r="M942" s="11">
        <v>42552</v>
      </c>
      <c r="N942" t="s">
        <v>2179</v>
      </c>
      <c r="O942">
        <v>6</v>
      </c>
      <c r="P942" t="s">
        <v>57</v>
      </c>
      <c r="Q942" t="b">
        <v>1</v>
      </c>
    </row>
    <row r="943" spans="1:17">
      <c r="A943" s="12">
        <v>42582</v>
      </c>
      <c r="B943" s="10">
        <v>6</v>
      </c>
      <c r="C943" s="10">
        <v>5.01</v>
      </c>
      <c r="D943" s="10">
        <v>4.5</v>
      </c>
      <c r="E943" s="10">
        <v>22</v>
      </c>
      <c r="F943" s="10">
        <v>5</v>
      </c>
      <c r="G943" s="10">
        <v>0</v>
      </c>
      <c r="H943" s="10">
        <v>0</v>
      </c>
      <c r="I943" s="10">
        <v>4</v>
      </c>
      <c r="J943" s="10">
        <f>SUM(B943:I943)</f>
        <v>46.51</v>
      </c>
      <c r="K943">
        <v>2016</v>
      </c>
      <c r="L943">
        <v>7</v>
      </c>
      <c r="M943" s="11">
        <v>42552</v>
      </c>
      <c r="N943" t="s">
        <v>2179</v>
      </c>
      <c r="O943">
        <v>7</v>
      </c>
      <c r="P943" t="s">
        <v>59</v>
      </c>
      <c r="Q943" t="b">
        <v>1</v>
      </c>
    </row>
    <row r="944" spans="1:17">
      <c r="A944" s="12">
        <v>42583</v>
      </c>
      <c r="B944" s="10">
        <v>8.33</v>
      </c>
      <c r="C944" s="10">
        <v>1.396</v>
      </c>
      <c r="D944" s="10">
        <v>5</v>
      </c>
      <c r="E944" s="10">
        <v>14</v>
      </c>
      <c r="F944" s="10">
        <v>7.5</v>
      </c>
      <c r="G944" s="10">
        <v>1</v>
      </c>
      <c r="H944" s="10">
        <v>1</v>
      </c>
      <c r="I944" s="10">
        <v>6</v>
      </c>
      <c r="J944" s="10">
        <f>SUM(B944:I944)</f>
        <v>44.226</v>
      </c>
      <c r="K944">
        <v>2016</v>
      </c>
      <c r="L944">
        <v>8</v>
      </c>
      <c r="M944" s="11">
        <v>42583</v>
      </c>
      <c r="N944" t="s">
        <v>2180</v>
      </c>
      <c r="O944">
        <v>1</v>
      </c>
      <c r="P944" t="s">
        <v>61</v>
      </c>
      <c r="Q944" t="b">
        <v>1</v>
      </c>
    </row>
    <row r="945" spans="1:17">
      <c r="A945" s="12">
        <v>42584</v>
      </c>
      <c r="B945" s="10">
        <v>8.33</v>
      </c>
      <c r="C945" s="10">
        <v>7</v>
      </c>
      <c r="D945" s="10">
        <v>5</v>
      </c>
      <c r="E945" s="10">
        <v>12</v>
      </c>
      <c r="F945" s="10">
        <v>12</v>
      </c>
      <c r="G945" s="10">
        <v>0</v>
      </c>
      <c r="H945" s="10">
        <v>1</v>
      </c>
      <c r="I945" s="10">
        <v>1</v>
      </c>
      <c r="J945" s="10">
        <f>SUM(B945:I945)</f>
        <v>46.33</v>
      </c>
      <c r="K945">
        <v>2016</v>
      </c>
      <c r="L945">
        <v>8</v>
      </c>
      <c r="M945" s="11">
        <v>42583</v>
      </c>
      <c r="N945" t="s">
        <v>2180</v>
      </c>
      <c r="O945">
        <v>2</v>
      </c>
      <c r="P945" t="s">
        <v>63</v>
      </c>
      <c r="Q945" t="b">
        <v>1</v>
      </c>
    </row>
    <row r="946" spans="1:17">
      <c r="A946" s="12">
        <v>42585</v>
      </c>
      <c r="B946" s="10">
        <v>8</v>
      </c>
      <c r="C946" s="10">
        <v>2.98</v>
      </c>
      <c r="D946" s="10">
        <v>3.5</v>
      </c>
      <c r="E946" s="10">
        <v>21</v>
      </c>
      <c r="F946" s="10">
        <v>11</v>
      </c>
      <c r="G946" s="10">
        <v>0</v>
      </c>
      <c r="H946" s="10">
        <v>13</v>
      </c>
      <c r="I946" s="10">
        <v>3</v>
      </c>
      <c r="J946" s="10">
        <f>SUM(B946:I946)</f>
        <v>62.480000000000004</v>
      </c>
      <c r="K946">
        <v>2016</v>
      </c>
      <c r="L946">
        <v>8</v>
      </c>
      <c r="M946" s="11">
        <v>42583</v>
      </c>
      <c r="N946" t="s">
        <v>2180</v>
      </c>
      <c r="O946">
        <v>3</v>
      </c>
      <c r="P946" t="s">
        <v>65</v>
      </c>
      <c r="Q946" t="b">
        <v>1</v>
      </c>
    </row>
    <row r="947" spans="1:17">
      <c r="A947" s="12">
        <v>42586</v>
      </c>
      <c r="B947" s="10">
        <v>8</v>
      </c>
      <c r="C947" s="10">
        <v>2.693</v>
      </c>
      <c r="D947" s="10">
        <v>2</v>
      </c>
      <c r="E947" s="10">
        <v>34.4</v>
      </c>
      <c r="F947" s="10">
        <v>12</v>
      </c>
      <c r="G947" s="10">
        <v>0</v>
      </c>
      <c r="H947" s="10">
        <v>17</v>
      </c>
      <c r="I947" s="10">
        <v>4</v>
      </c>
      <c r="J947" s="10">
        <f>SUM(B947:I947)</f>
        <v>80.09299999999999</v>
      </c>
      <c r="K947">
        <v>2016</v>
      </c>
      <c r="L947">
        <v>8</v>
      </c>
      <c r="M947" s="11">
        <v>42583</v>
      </c>
      <c r="N947" t="s">
        <v>2180</v>
      </c>
      <c r="O947">
        <v>4</v>
      </c>
      <c r="P947" t="s">
        <v>53</v>
      </c>
      <c r="Q947" t="b">
        <v>1</v>
      </c>
    </row>
    <row r="948" spans="1:17">
      <c r="A948" s="12">
        <v>42587</v>
      </c>
      <c r="B948" s="10">
        <v>10.33</v>
      </c>
      <c r="C948" s="10">
        <v>3.42</v>
      </c>
      <c r="D948" s="10">
        <v>3.7</v>
      </c>
      <c r="E948" s="10">
        <v>21</v>
      </c>
      <c r="F948" s="10">
        <v>24</v>
      </c>
      <c r="G948" s="10">
        <v>0</v>
      </c>
      <c r="H948" s="10">
        <v>24</v>
      </c>
      <c r="I948" s="10">
        <v>1.3</v>
      </c>
      <c r="J948" s="10">
        <f>SUM(B948:I948)</f>
        <v>87.75</v>
      </c>
      <c r="K948">
        <v>2016</v>
      </c>
      <c r="L948">
        <v>8</v>
      </c>
      <c r="M948" s="11">
        <v>42583</v>
      </c>
      <c r="N948" t="s">
        <v>2180</v>
      </c>
      <c r="O948">
        <v>5</v>
      </c>
      <c r="P948" t="s">
        <v>55</v>
      </c>
      <c r="Q948" t="b">
        <v>1</v>
      </c>
    </row>
    <row r="949" spans="1:17">
      <c r="A949" s="12">
        <v>42588</v>
      </c>
      <c r="B949" s="10">
        <v>3</v>
      </c>
      <c r="C949" s="10">
        <v>3.662</v>
      </c>
      <c r="D949" s="10">
        <v>5</v>
      </c>
      <c r="E949" s="10">
        <v>20</v>
      </c>
      <c r="F949" s="10">
        <v>33</v>
      </c>
      <c r="G949" s="10">
        <v>0</v>
      </c>
      <c r="H949" s="10">
        <v>1</v>
      </c>
      <c r="I949" s="10">
        <v>2</v>
      </c>
      <c r="J949" s="10">
        <f>SUM(B949:I949)</f>
        <v>67.662</v>
      </c>
      <c r="K949">
        <v>2016</v>
      </c>
      <c r="L949">
        <v>8</v>
      </c>
      <c r="M949" s="11">
        <v>42583</v>
      </c>
      <c r="N949" t="s">
        <v>2180</v>
      </c>
      <c r="O949">
        <v>6</v>
      </c>
      <c r="P949" t="s">
        <v>57</v>
      </c>
      <c r="Q949" t="b">
        <v>1</v>
      </c>
    </row>
    <row r="950" spans="1:17">
      <c r="A950" s="12">
        <v>42589</v>
      </c>
      <c r="B950" s="10">
        <v>8</v>
      </c>
      <c r="C950" s="10">
        <v>4.155</v>
      </c>
      <c r="D950" s="10">
        <v>8.199999999999999</v>
      </c>
      <c r="E950" s="10">
        <v>40.2</v>
      </c>
      <c r="F950" s="10">
        <v>12</v>
      </c>
      <c r="G950" s="10">
        <v>0</v>
      </c>
      <c r="H950" s="10">
        <v>5</v>
      </c>
      <c r="I950" s="10">
        <v>3</v>
      </c>
      <c r="J950" s="10">
        <f>SUM(B950:I950)</f>
        <v>80.555</v>
      </c>
      <c r="K950">
        <v>2016</v>
      </c>
      <c r="L950">
        <v>8</v>
      </c>
      <c r="M950" s="11">
        <v>42583</v>
      </c>
      <c r="N950" t="s">
        <v>2180</v>
      </c>
      <c r="O950">
        <v>7</v>
      </c>
      <c r="P950" t="s">
        <v>59</v>
      </c>
      <c r="Q950" t="b">
        <v>1</v>
      </c>
    </row>
    <row r="951" spans="1:17">
      <c r="A951" s="12">
        <v>42590</v>
      </c>
      <c r="B951" s="10">
        <v>8.34</v>
      </c>
      <c r="C951" s="10">
        <v>5.99</v>
      </c>
      <c r="D951" s="10">
        <v>5.5</v>
      </c>
      <c r="E951" s="10">
        <v>15</v>
      </c>
      <c r="F951" s="10">
        <v>36</v>
      </c>
      <c r="G951" s="10">
        <v>0</v>
      </c>
      <c r="H951" s="10">
        <v>1</v>
      </c>
      <c r="I951" s="10">
        <v>4</v>
      </c>
      <c r="J951" s="10">
        <f>SUM(B951:I951)</f>
        <v>75.83</v>
      </c>
      <c r="K951">
        <v>2016</v>
      </c>
      <c r="L951">
        <v>8</v>
      </c>
      <c r="M951" s="11">
        <v>42583</v>
      </c>
      <c r="N951" t="s">
        <v>2180</v>
      </c>
      <c r="O951">
        <v>1</v>
      </c>
      <c r="P951" t="s">
        <v>61</v>
      </c>
      <c r="Q951" t="b">
        <v>1</v>
      </c>
    </row>
    <row r="952" spans="1:17">
      <c r="A952" s="12">
        <v>42591</v>
      </c>
      <c r="B952" s="10">
        <v>6.33</v>
      </c>
      <c r="C952" s="10">
        <v>4.66</v>
      </c>
      <c r="D952" s="10">
        <v>7</v>
      </c>
      <c r="E952" s="10">
        <v>29</v>
      </c>
      <c r="F952" s="10">
        <v>26</v>
      </c>
      <c r="G952" s="10">
        <v>1</v>
      </c>
      <c r="H952" s="10">
        <v>2</v>
      </c>
      <c r="I952" s="10">
        <v>4</v>
      </c>
      <c r="J952" s="10">
        <f>SUM(B952:I952)</f>
        <v>79.99000000000001</v>
      </c>
      <c r="K952">
        <v>2016</v>
      </c>
      <c r="L952">
        <v>8</v>
      </c>
      <c r="M952" s="11">
        <v>42583</v>
      </c>
      <c r="N952" t="s">
        <v>2180</v>
      </c>
      <c r="O952">
        <v>2</v>
      </c>
      <c r="P952" t="s">
        <v>63</v>
      </c>
      <c r="Q952" t="b">
        <v>1</v>
      </c>
    </row>
    <row r="953" spans="1:17">
      <c r="A953" s="12">
        <v>42592</v>
      </c>
      <c r="B953" s="10">
        <v>11.34</v>
      </c>
      <c r="C953" s="10">
        <v>2.99</v>
      </c>
      <c r="D953" s="10">
        <v>7</v>
      </c>
      <c r="E953" s="10">
        <v>24.1</v>
      </c>
      <c r="F953" s="10">
        <v>11</v>
      </c>
      <c r="G953" s="10">
        <v>0</v>
      </c>
      <c r="H953" s="10">
        <v>3</v>
      </c>
      <c r="I953" s="10">
        <v>2</v>
      </c>
      <c r="J953" s="10">
        <f>SUM(B953:I953)</f>
        <v>61.43</v>
      </c>
      <c r="K953">
        <v>2016</v>
      </c>
      <c r="L953">
        <v>8</v>
      </c>
      <c r="M953" s="11">
        <v>42583</v>
      </c>
      <c r="N953" t="s">
        <v>2180</v>
      </c>
      <c r="O953">
        <v>3</v>
      </c>
      <c r="P953" t="s">
        <v>65</v>
      </c>
      <c r="Q953" t="b">
        <v>1</v>
      </c>
    </row>
    <row r="954" spans="1:17">
      <c r="A954" s="12">
        <v>42593</v>
      </c>
      <c r="B954" s="10">
        <v>5.67</v>
      </c>
      <c r="C954" s="10">
        <v>3.66</v>
      </c>
      <c r="D954" s="10">
        <v>0</v>
      </c>
      <c r="E954" s="10">
        <v>25</v>
      </c>
      <c r="F954" s="10">
        <v>1</v>
      </c>
      <c r="G954" s="10">
        <v>0</v>
      </c>
      <c r="H954" s="10">
        <v>0</v>
      </c>
      <c r="I954" s="10">
        <v>2</v>
      </c>
      <c r="J954" s="10">
        <f>SUM(B954:I954)</f>
        <v>37.33</v>
      </c>
      <c r="K954">
        <v>2016</v>
      </c>
      <c r="L954">
        <v>8</v>
      </c>
      <c r="M954" s="11">
        <v>42583</v>
      </c>
      <c r="N954" t="s">
        <v>2180</v>
      </c>
      <c r="O954">
        <v>4</v>
      </c>
      <c r="P954" t="s">
        <v>53</v>
      </c>
      <c r="Q954" t="b">
        <v>1</v>
      </c>
    </row>
    <row r="955" spans="1:17">
      <c r="A955" s="12">
        <v>42594</v>
      </c>
      <c r="B955" s="10">
        <v>8.66</v>
      </c>
      <c r="C955" s="10">
        <v>5.66</v>
      </c>
      <c r="D955" s="10">
        <v>6.1</v>
      </c>
      <c r="E955" s="10">
        <v>27.6</v>
      </c>
      <c r="F955" s="10">
        <v>6</v>
      </c>
      <c r="G955" s="10">
        <v>4</v>
      </c>
      <c r="H955" s="10">
        <v>0</v>
      </c>
      <c r="I955" s="10">
        <v>2</v>
      </c>
      <c r="J955" s="10">
        <f>SUM(B955:I955)</f>
        <v>60.02</v>
      </c>
      <c r="K955">
        <v>2016</v>
      </c>
      <c r="L955">
        <v>8</v>
      </c>
      <c r="M955" s="11">
        <v>42583</v>
      </c>
      <c r="N955" t="s">
        <v>2180</v>
      </c>
      <c r="O955">
        <v>5</v>
      </c>
      <c r="P955" t="s">
        <v>55</v>
      </c>
      <c r="Q955" t="b">
        <v>1</v>
      </c>
    </row>
    <row r="956" spans="1:17">
      <c r="A956" s="12">
        <v>42595</v>
      </c>
      <c r="B956" s="10">
        <v>8</v>
      </c>
      <c r="C956" s="10">
        <v>6.737</v>
      </c>
      <c r="D956" s="10">
        <v>5</v>
      </c>
      <c r="E956" s="10">
        <v>32</v>
      </c>
      <c r="F956" s="10">
        <v>2</v>
      </c>
      <c r="G956" s="10">
        <v>0</v>
      </c>
      <c r="H956" s="10">
        <v>0</v>
      </c>
      <c r="I956" s="10">
        <v>5</v>
      </c>
      <c r="J956" s="10">
        <f>SUM(B956:I956)</f>
        <v>58.737</v>
      </c>
      <c r="K956">
        <v>2016</v>
      </c>
      <c r="L956">
        <v>8</v>
      </c>
      <c r="M956" s="11">
        <v>42583</v>
      </c>
      <c r="N956" t="s">
        <v>2180</v>
      </c>
      <c r="O956">
        <v>6</v>
      </c>
      <c r="P956" t="s">
        <v>57</v>
      </c>
      <c r="Q956" t="b">
        <v>1</v>
      </c>
    </row>
    <row r="957" spans="1:17">
      <c r="A957" s="12">
        <v>42596</v>
      </c>
      <c r="B957" s="10">
        <v>5</v>
      </c>
      <c r="C957" s="10">
        <v>4.857</v>
      </c>
      <c r="D957" s="10">
        <v>4.5</v>
      </c>
      <c r="E957" s="10">
        <v>18.21666667</v>
      </c>
      <c r="F957" s="10">
        <v>2</v>
      </c>
      <c r="G957" s="10">
        <v>0</v>
      </c>
      <c r="H957" s="10">
        <v>7</v>
      </c>
      <c r="I957" s="10">
        <v>0</v>
      </c>
      <c r="J957" s="10">
        <f>SUM(B957:I957)</f>
        <v>41.573666669999994</v>
      </c>
      <c r="K957">
        <v>2016</v>
      </c>
      <c r="L957">
        <v>8</v>
      </c>
      <c r="M957" s="11">
        <v>42583</v>
      </c>
      <c r="N957" t="s">
        <v>2180</v>
      </c>
      <c r="O957">
        <v>7</v>
      </c>
      <c r="P957" t="s">
        <v>59</v>
      </c>
      <c r="Q957" t="b">
        <v>1</v>
      </c>
    </row>
    <row r="958" spans="1:17">
      <c r="A958" s="12">
        <v>42597</v>
      </c>
      <c r="B958" s="10">
        <v>5</v>
      </c>
      <c r="C958" s="10">
        <v>2.33</v>
      </c>
      <c r="D958" s="10">
        <v>2</v>
      </c>
      <c r="E958" s="10">
        <v>21</v>
      </c>
      <c r="F958" s="10">
        <v>11</v>
      </c>
      <c r="G958" s="10">
        <v>0</v>
      </c>
      <c r="H958" s="10">
        <v>0</v>
      </c>
      <c r="I958" s="10">
        <v>2</v>
      </c>
      <c r="J958" s="10">
        <f>SUM(B958:I958)</f>
        <v>43.33</v>
      </c>
      <c r="K958">
        <v>2016</v>
      </c>
      <c r="L958">
        <v>8</v>
      </c>
      <c r="M958" s="11">
        <v>42583</v>
      </c>
      <c r="N958" t="s">
        <v>2180</v>
      </c>
      <c r="O958">
        <v>1</v>
      </c>
      <c r="P958" t="s">
        <v>61</v>
      </c>
      <c r="Q958" t="b">
        <v>1</v>
      </c>
    </row>
    <row r="959" spans="1:17">
      <c r="A959" s="12">
        <v>42598</v>
      </c>
      <c r="B959" s="10">
        <v>10</v>
      </c>
      <c r="C959" s="10">
        <v>4.66</v>
      </c>
      <c r="D959" s="10">
        <v>3</v>
      </c>
      <c r="E959" s="10">
        <v>14.45</v>
      </c>
      <c r="F959" s="10">
        <v>4</v>
      </c>
      <c r="G959" s="10">
        <v>0</v>
      </c>
      <c r="H959" s="10">
        <v>11</v>
      </c>
      <c r="I959" s="10">
        <v>3.5</v>
      </c>
      <c r="J959" s="10">
        <f>SUM(B959:I959)</f>
        <v>50.61</v>
      </c>
      <c r="K959">
        <v>2016</v>
      </c>
      <c r="L959">
        <v>8</v>
      </c>
      <c r="M959" s="11">
        <v>42583</v>
      </c>
      <c r="N959" t="s">
        <v>2180</v>
      </c>
      <c r="O959">
        <v>2</v>
      </c>
      <c r="P959" t="s">
        <v>63</v>
      </c>
      <c r="Q959" t="b">
        <v>1</v>
      </c>
    </row>
    <row r="960" spans="1:17">
      <c r="A960" s="12">
        <v>42599</v>
      </c>
      <c r="B960" s="10">
        <v>8.66</v>
      </c>
      <c r="C960" s="10">
        <v>2.01</v>
      </c>
      <c r="D960" s="10">
        <v>4</v>
      </c>
      <c r="E960" s="10">
        <v>9.5</v>
      </c>
      <c r="F960" s="10">
        <v>7</v>
      </c>
      <c r="G960" s="10">
        <v>0</v>
      </c>
      <c r="H960" s="10">
        <v>5</v>
      </c>
      <c r="I960" s="10">
        <v>5</v>
      </c>
      <c r="J960" s="10">
        <f>SUM(B960:I960)</f>
        <v>41.17</v>
      </c>
      <c r="K960">
        <v>2016</v>
      </c>
      <c r="L960">
        <v>8</v>
      </c>
      <c r="M960" s="11">
        <v>42583</v>
      </c>
      <c r="N960" t="s">
        <v>2180</v>
      </c>
      <c r="O960">
        <v>3</v>
      </c>
      <c r="P960" t="s">
        <v>65</v>
      </c>
      <c r="Q960" t="b">
        <v>1</v>
      </c>
    </row>
    <row r="961" spans="1:17">
      <c r="A961" s="12">
        <v>42600</v>
      </c>
      <c r="B961" s="10">
        <v>6.99</v>
      </c>
      <c r="C961" s="10">
        <v>3.363</v>
      </c>
      <c r="D961" s="10">
        <v>4</v>
      </c>
      <c r="E961" s="10">
        <v>25.6</v>
      </c>
      <c r="F961" s="10">
        <v>7</v>
      </c>
      <c r="G961" s="10">
        <v>0</v>
      </c>
      <c r="H961" s="10">
        <v>0</v>
      </c>
      <c r="I961" s="10">
        <v>1</v>
      </c>
      <c r="J961" s="10">
        <f>SUM(B961:I961)</f>
        <v>47.953</v>
      </c>
      <c r="K961">
        <v>2016</v>
      </c>
      <c r="L961">
        <v>8</v>
      </c>
      <c r="M961" s="11">
        <v>42583</v>
      </c>
      <c r="N961" t="s">
        <v>2180</v>
      </c>
      <c r="O961">
        <v>4</v>
      </c>
      <c r="P961" t="s">
        <v>53</v>
      </c>
      <c r="Q961" t="b">
        <v>1</v>
      </c>
    </row>
    <row r="962" spans="1:17">
      <c r="A962" s="12">
        <v>42601</v>
      </c>
      <c r="B962" s="10">
        <v>1</v>
      </c>
      <c r="C962" s="10">
        <v>4.33</v>
      </c>
      <c r="D962" s="10">
        <v>0.6</v>
      </c>
      <c r="E962" s="10">
        <v>27</v>
      </c>
      <c r="F962" s="10">
        <v>12</v>
      </c>
      <c r="G962" s="10">
        <v>0</v>
      </c>
      <c r="H962" s="10">
        <v>0</v>
      </c>
      <c r="I962" s="10">
        <v>4</v>
      </c>
      <c r="J962" s="10">
        <f>SUM(B962:I962)</f>
        <v>48.93</v>
      </c>
      <c r="K962">
        <v>2016</v>
      </c>
      <c r="L962">
        <v>8</v>
      </c>
      <c r="M962" s="11">
        <v>42583</v>
      </c>
      <c r="N962" t="s">
        <v>2180</v>
      </c>
      <c r="O962">
        <v>5</v>
      </c>
      <c r="P962" t="s">
        <v>55</v>
      </c>
      <c r="Q962" t="b">
        <v>1</v>
      </c>
    </row>
    <row r="963" spans="1:17">
      <c r="A963" s="12">
        <v>42602</v>
      </c>
      <c r="B963" s="10">
        <v>4.33</v>
      </c>
      <c r="C963" s="10">
        <v>2.99</v>
      </c>
      <c r="D963" s="10">
        <v>6</v>
      </c>
      <c r="E963" s="10">
        <v>26.2</v>
      </c>
      <c r="F963" s="10">
        <v>1</v>
      </c>
      <c r="G963" s="10">
        <v>0</v>
      </c>
      <c r="H963" s="10">
        <v>0</v>
      </c>
      <c r="I963" s="10">
        <v>6</v>
      </c>
      <c r="J963" s="10">
        <f>SUM(B963:I963)</f>
        <v>46.519999999999996</v>
      </c>
      <c r="K963">
        <v>2016</v>
      </c>
      <c r="L963">
        <v>8</v>
      </c>
      <c r="M963" s="11">
        <v>42583</v>
      </c>
      <c r="N963" t="s">
        <v>2180</v>
      </c>
      <c r="O963">
        <v>6</v>
      </c>
      <c r="P963" t="s">
        <v>57</v>
      </c>
      <c r="Q963" t="b">
        <v>1</v>
      </c>
    </row>
    <row r="964" spans="1:17">
      <c r="A964" s="12">
        <v>42603</v>
      </c>
      <c r="B964" s="10">
        <v>8</v>
      </c>
      <c r="C964" s="10">
        <v>3.627</v>
      </c>
      <c r="D964" s="10">
        <v>7.4</v>
      </c>
      <c r="E964" s="10">
        <v>39</v>
      </c>
      <c r="F964" s="10">
        <v>3</v>
      </c>
      <c r="G964" s="10">
        <v>4</v>
      </c>
      <c r="H964" s="10">
        <v>1</v>
      </c>
      <c r="I964" s="10">
        <v>1</v>
      </c>
      <c r="J964" s="10">
        <f>SUM(B964:I964)</f>
        <v>67.027</v>
      </c>
      <c r="K964">
        <v>2016</v>
      </c>
      <c r="L964">
        <v>8</v>
      </c>
      <c r="M964" s="11">
        <v>42583</v>
      </c>
      <c r="N964" t="s">
        <v>2180</v>
      </c>
      <c r="O964">
        <v>7</v>
      </c>
      <c r="P964" t="s">
        <v>59</v>
      </c>
      <c r="Q964" t="b">
        <v>1</v>
      </c>
    </row>
    <row r="965" spans="1:17">
      <c r="A965" s="12">
        <v>42604</v>
      </c>
      <c r="B965" s="10">
        <v>3.34</v>
      </c>
      <c r="C965" s="10">
        <v>3.386</v>
      </c>
      <c r="D965" s="10">
        <v>0</v>
      </c>
      <c r="E965" s="10">
        <v>23.2</v>
      </c>
      <c r="F965" s="10">
        <v>3</v>
      </c>
      <c r="G965" s="10">
        <v>0</v>
      </c>
      <c r="H965" s="10">
        <v>0</v>
      </c>
      <c r="I965" s="10">
        <v>6</v>
      </c>
      <c r="J965" s="10">
        <f>SUM(B965:I965)</f>
        <v>38.926</v>
      </c>
      <c r="K965">
        <v>2016</v>
      </c>
      <c r="L965">
        <v>8</v>
      </c>
      <c r="M965" s="11">
        <v>42583</v>
      </c>
      <c r="N965" t="s">
        <v>2180</v>
      </c>
      <c r="O965">
        <v>1</v>
      </c>
      <c r="P965" t="s">
        <v>61</v>
      </c>
      <c r="Q965" t="b">
        <v>1</v>
      </c>
    </row>
    <row r="966" spans="1:17">
      <c r="A966" s="12">
        <v>42605</v>
      </c>
      <c r="B966" s="10">
        <v>3</v>
      </c>
      <c r="C966" s="10">
        <v>3.066</v>
      </c>
      <c r="D966" s="10">
        <v>4</v>
      </c>
      <c r="E966" s="10">
        <v>14.7</v>
      </c>
      <c r="F966" s="10">
        <v>7</v>
      </c>
      <c r="G966" s="10">
        <v>1</v>
      </c>
      <c r="H966" s="10">
        <v>0</v>
      </c>
      <c r="I966" s="10">
        <v>1.2</v>
      </c>
      <c r="J966" s="10">
        <f>SUM(B966:I966)</f>
        <v>33.966</v>
      </c>
      <c r="K966">
        <v>2016</v>
      </c>
      <c r="L966">
        <v>8</v>
      </c>
      <c r="M966" s="11">
        <v>42583</v>
      </c>
      <c r="N966" t="s">
        <v>2180</v>
      </c>
      <c r="O966">
        <v>2</v>
      </c>
      <c r="P966" t="s">
        <v>63</v>
      </c>
      <c r="Q966" t="b">
        <v>1</v>
      </c>
    </row>
    <row r="967" spans="1:17">
      <c r="A967" s="12">
        <v>42606</v>
      </c>
      <c r="B967" s="10">
        <v>9.33</v>
      </c>
      <c r="C967" s="10">
        <v>3.487</v>
      </c>
      <c r="D967" s="10">
        <v>8</v>
      </c>
      <c r="E967" s="10">
        <v>11.3</v>
      </c>
      <c r="F967" s="10">
        <v>2</v>
      </c>
      <c r="G967" s="10">
        <v>0</v>
      </c>
      <c r="H967" s="10">
        <v>0</v>
      </c>
      <c r="I967" s="10">
        <v>3</v>
      </c>
      <c r="J967" s="10">
        <f>SUM(B967:I967)</f>
        <v>37.117000000000004</v>
      </c>
      <c r="K967">
        <v>2016</v>
      </c>
      <c r="L967">
        <v>8</v>
      </c>
      <c r="M967" s="11">
        <v>42583</v>
      </c>
      <c r="N967" t="s">
        <v>2180</v>
      </c>
      <c r="O967">
        <v>3</v>
      </c>
      <c r="P967" t="s">
        <v>65</v>
      </c>
      <c r="Q967" t="b">
        <v>1</v>
      </c>
    </row>
    <row r="968" spans="1:17">
      <c r="A968" s="12">
        <v>42607</v>
      </c>
      <c r="B968" s="10">
        <v>4.33</v>
      </c>
      <c r="C968" s="10">
        <v>2.67</v>
      </c>
      <c r="D968" s="10">
        <v>8</v>
      </c>
      <c r="E968" s="10">
        <v>19.4</v>
      </c>
      <c r="F968" s="10">
        <v>4</v>
      </c>
      <c r="G968" s="10">
        <v>1</v>
      </c>
      <c r="H968" s="10">
        <v>4</v>
      </c>
      <c r="I968" s="10">
        <v>5</v>
      </c>
      <c r="J968" s="10">
        <f>SUM(B968:I968)</f>
        <v>48.4</v>
      </c>
      <c r="K968">
        <v>2016</v>
      </c>
      <c r="L968">
        <v>8</v>
      </c>
      <c r="M968" s="11">
        <v>42583</v>
      </c>
      <c r="N968" t="s">
        <v>2180</v>
      </c>
      <c r="O968">
        <v>4</v>
      </c>
      <c r="P968" t="s">
        <v>53</v>
      </c>
      <c r="Q968" t="b">
        <v>1</v>
      </c>
    </row>
    <row r="969" spans="1:17">
      <c r="A969" s="12">
        <v>42608</v>
      </c>
      <c r="B969" s="10">
        <v>4</v>
      </c>
      <c r="C969" s="10">
        <v>2.023</v>
      </c>
      <c r="D969" s="10">
        <v>2</v>
      </c>
      <c r="E969" s="10">
        <v>20.7</v>
      </c>
      <c r="F969" s="10">
        <v>3</v>
      </c>
      <c r="G969" s="10">
        <v>0</v>
      </c>
      <c r="H969" s="10">
        <v>0</v>
      </c>
      <c r="I969" s="10">
        <v>0</v>
      </c>
      <c r="J969" s="10">
        <f>SUM(B969:I969)</f>
        <v>31.723</v>
      </c>
      <c r="K969">
        <v>2016</v>
      </c>
      <c r="L969">
        <v>8</v>
      </c>
      <c r="M969" s="11">
        <v>42583</v>
      </c>
      <c r="N969" t="s">
        <v>2180</v>
      </c>
      <c r="O969">
        <v>5</v>
      </c>
      <c r="P969" t="s">
        <v>55</v>
      </c>
      <c r="Q969" t="b">
        <v>1</v>
      </c>
    </row>
    <row r="970" spans="1:17">
      <c r="A970" s="12">
        <v>42609</v>
      </c>
      <c r="B970" s="10">
        <v>8.83</v>
      </c>
      <c r="C970" s="10">
        <v>1.736</v>
      </c>
      <c r="D970" s="10">
        <v>1</v>
      </c>
      <c r="E970" s="10">
        <v>17.51666667</v>
      </c>
      <c r="F970" s="10">
        <v>2</v>
      </c>
      <c r="G970" s="10">
        <v>0</v>
      </c>
      <c r="H970" s="10">
        <v>11</v>
      </c>
      <c r="I970" s="10">
        <v>0</v>
      </c>
      <c r="J970" s="10">
        <f>SUM(B970:I970)</f>
        <v>42.08266667</v>
      </c>
      <c r="K970">
        <v>2016</v>
      </c>
      <c r="L970">
        <v>8</v>
      </c>
      <c r="M970" s="11">
        <v>42583</v>
      </c>
      <c r="N970" t="s">
        <v>2180</v>
      </c>
      <c r="O970">
        <v>6</v>
      </c>
      <c r="P970" t="s">
        <v>57</v>
      </c>
      <c r="Q970" t="b">
        <v>1</v>
      </c>
    </row>
    <row r="971" spans="1:17">
      <c r="A971" s="12">
        <v>42610</v>
      </c>
      <c r="B971" s="10">
        <v>7.33</v>
      </c>
      <c r="C971" s="10">
        <v>7.02</v>
      </c>
      <c r="D971" s="10">
        <v>6.2</v>
      </c>
      <c r="E971" s="10">
        <v>37</v>
      </c>
      <c r="F971" s="10">
        <v>3</v>
      </c>
      <c r="G971" s="10">
        <v>0</v>
      </c>
      <c r="H971" s="10">
        <v>6</v>
      </c>
      <c r="I971" s="10">
        <v>2</v>
      </c>
      <c r="J971" s="10">
        <f>SUM(B971:I971)</f>
        <v>68.55</v>
      </c>
      <c r="K971">
        <v>2016</v>
      </c>
      <c r="L971">
        <v>8</v>
      </c>
      <c r="M971" s="11">
        <v>42583</v>
      </c>
      <c r="N971" t="s">
        <v>2180</v>
      </c>
      <c r="O971">
        <v>7</v>
      </c>
      <c r="P971" t="s">
        <v>59</v>
      </c>
      <c r="Q971" t="b">
        <v>1</v>
      </c>
    </row>
    <row r="972" spans="1:17">
      <c r="A972" s="12">
        <v>42611</v>
      </c>
      <c r="B972" s="10">
        <v>9</v>
      </c>
      <c r="C972" s="10">
        <v>0.67</v>
      </c>
      <c r="D972" s="10">
        <v>2</v>
      </c>
      <c r="E972" s="10">
        <v>14.2</v>
      </c>
      <c r="F972" s="10">
        <v>4</v>
      </c>
      <c r="G972" s="10">
        <v>0</v>
      </c>
      <c r="H972" s="10">
        <v>1</v>
      </c>
      <c r="I972" s="10">
        <v>1.3</v>
      </c>
      <c r="J972" s="10">
        <f>SUM(B972:I972)</f>
        <v>32.169999999999995</v>
      </c>
      <c r="K972">
        <v>2016</v>
      </c>
      <c r="L972">
        <v>8</v>
      </c>
      <c r="M972" s="11">
        <v>42583</v>
      </c>
      <c r="N972" t="s">
        <v>2180</v>
      </c>
      <c r="O972">
        <v>1</v>
      </c>
      <c r="P972" t="s">
        <v>61</v>
      </c>
      <c r="Q972" t="b">
        <v>1</v>
      </c>
    </row>
    <row r="973" spans="1:17">
      <c r="A973" s="12">
        <v>42612</v>
      </c>
      <c r="B973" s="10">
        <v>4.66</v>
      </c>
      <c r="C973" s="10">
        <v>1.32</v>
      </c>
      <c r="D973" s="10">
        <v>2</v>
      </c>
      <c r="E973" s="10">
        <v>8.9</v>
      </c>
      <c r="F973" s="10">
        <v>4</v>
      </c>
      <c r="G973" s="10">
        <v>0</v>
      </c>
      <c r="H973" s="10">
        <v>1</v>
      </c>
      <c r="I973" s="10">
        <v>0</v>
      </c>
      <c r="J973" s="10">
        <f>SUM(B973:I973)</f>
        <v>21.880000000000003</v>
      </c>
      <c r="K973">
        <v>2016</v>
      </c>
      <c r="L973">
        <v>8</v>
      </c>
      <c r="M973" s="11">
        <v>42583</v>
      </c>
      <c r="N973" t="s">
        <v>2180</v>
      </c>
      <c r="O973">
        <v>2</v>
      </c>
      <c r="P973" t="s">
        <v>63</v>
      </c>
      <c r="Q973" t="b">
        <v>1</v>
      </c>
    </row>
    <row r="974" spans="1:17">
      <c r="A974" s="12">
        <v>42613</v>
      </c>
      <c r="B974" s="10">
        <v>6</v>
      </c>
      <c r="C974" s="10">
        <v>5.827</v>
      </c>
      <c r="D974" s="10">
        <v>5</v>
      </c>
      <c r="E974" s="10">
        <v>23.2</v>
      </c>
      <c r="F974" s="10">
        <v>3</v>
      </c>
      <c r="G974" s="10">
        <v>0</v>
      </c>
      <c r="H974" s="10">
        <v>1</v>
      </c>
      <c r="I974" s="10">
        <v>5</v>
      </c>
      <c r="J974" s="10">
        <f>SUM(B974:I974)</f>
        <v>49.027</v>
      </c>
      <c r="K974">
        <v>2016</v>
      </c>
      <c r="L974">
        <v>8</v>
      </c>
      <c r="M974" s="11">
        <v>42583</v>
      </c>
      <c r="N974" t="s">
        <v>2180</v>
      </c>
      <c r="O974">
        <v>3</v>
      </c>
      <c r="P974" t="s">
        <v>65</v>
      </c>
      <c r="Q974" t="b">
        <v>1</v>
      </c>
    </row>
    <row r="975" spans="1:17">
      <c r="A975" s="12">
        <v>42614</v>
      </c>
      <c r="B975" s="10">
        <v>5</v>
      </c>
      <c r="C975" s="10">
        <v>3.66</v>
      </c>
      <c r="D975" s="10">
        <v>5</v>
      </c>
      <c r="E975" s="10">
        <v>31.4</v>
      </c>
      <c r="F975" s="10">
        <v>2</v>
      </c>
      <c r="G975" s="10">
        <v>0</v>
      </c>
      <c r="H975" s="10">
        <v>0</v>
      </c>
      <c r="I975" s="10">
        <v>3</v>
      </c>
      <c r="J975" s="10">
        <f>SUM(B975:I975)</f>
        <v>50.06</v>
      </c>
      <c r="K975">
        <v>2016</v>
      </c>
      <c r="L975">
        <v>9</v>
      </c>
      <c r="M975" s="11">
        <v>42614</v>
      </c>
      <c r="N975" t="s">
        <v>2181</v>
      </c>
      <c r="O975">
        <v>4</v>
      </c>
      <c r="P975" t="s">
        <v>53</v>
      </c>
      <c r="Q975" t="b">
        <v>1</v>
      </c>
    </row>
    <row r="976" spans="1:17">
      <c r="A976" s="12">
        <v>42615</v>
      </c>
      <c r="B976" s="10">
        <v>9.34</v>
      </c>
      <c r="C976" s="10">
        <v>4.02</v>
      </c>
      <c r="D976" s="10">
        <v>5</v>
      </c>
      <c r="E976" s="10">
        <v>10</v>
      </c>
      <c r="F976" s="10">
        <v>25</v>
      </c>
      <c r="G976" s="10">
        <v>0</v>
      </c>
      <c r="H976" s="10">
        <v>5</v>
      </c>
      <c r="I976" s="10">
        <v>2</v>
      </c>
      <c r="J976" s="10">
        <f>SUM(B976:I976)</f>
        <v>60.36</v>
      </c>
      <c r="K976">
        <v>2016</v>
      </c>
      <c r="L976">
        <v>9</v>
      </c>
      <c r="M976" s="11">
        <v>42614</v>
      </c>
      <c r="N976" t="s">
        <v>2181</v>
      </c>
      <c r="O976">
        <v>5</v>
      </c>
      <c r="P976" t="s">
        <v>55</v>
      </c>
      <c r="Q976" t="b">
        <v>1</v>
      </c>
    </row>
    <row r="977" spans="1:17">
      <c r="A977" s="12">
        <v>42616</v>
      </c>
      <c r="B977" s="10">
        <v>5.33</v>
      </c>
      <c r="C977" s="10">
        <v>4.025</v>
      </c>
      <c r="D977" s="10">
        <v>6.5</v>
      </c>
      <c r="E977" s="10">
        <v>54.2</v>
      </c>
      <c r="F977" s="10">
        <v>5</v>
      </c>
      <c r="G977" s="10">
        <v>0</v>
      </c>
      <c r="H977" s="10">
        <v>4</v>
      </c>
      <c r="I977" s="10">
        <v>4</v>
      </c>
      <c r="J977" s="10">
        <f>SUM(B977:I977)</f>
        <v>83.055</v>
      </c>
      <c r="K977">
        <v>2016</v>
      </c>
      <c r="L977">
        <v>9</v>
      </c>
      <c r="M977" s="11">
        <v>42614</v>
      </c>
      <c r="N977" t="s">
        <v>2181</v>
      </c>
      <c r="O977">
        <v>6</v>
      </c>
      <c r="P977" t="s">
        <v>57</v>
      </c>
      <c r="Q977" t="b">
        <v>1</v>
      </c>
    </row>
    <row r="978" spans="1:17">
      <c r="A978" s="12">
        <v>42617</v>
      </c>
      <c r="B978" s="10">
        <v>8.33</v>
      </c>
      <c r="C978" s="10">
        <v>4.396</v>
      </c>
      <c r="D978" s="10">
        <v>0</v>
      </c>
      <c r="E978" s="10">
        <v>30.9</v>
      </c>
      <c r="F978" s="10">
        <v>10</v>
      </c>
      <c r="G978" s="10">
        <v>0</v>
      </c>
      <c r="H978" s="10">
        <v>4</v>
      </c>
      <c r="I978" s="10">
        <v>5</v>
      </c>
      <c r="J978" s="10">
        <f>SUM(B978:I978)</f>
        <v>62.626</v>
      </c>
      <c r="K978">
        <v>2016</v>
      </c>
      <c r="L978">
        <v>9</v>
      </c>
      <c r="M978" s="11">
        <v>42614</v>
      </c>
      <c r="N978" t="s">
        <v>2181</v>
      </c>
      <c r="O978">
        <v>7</v>
      </c>
      <c r="P978" t="s">
        <v>59</v>
      </c>
      <c r="Q978" t="b">
        <v>1</v>
      </c>
    </row>
    <row r="979" spans="1:17">
      <c r="A979" s="12">
        <v>42618</v>
      </c>
      <c r="B979" s="10">
        <v>3.32</v>
      </c>
      <c r="C979" s="10">
        <v>4.396</v>
      </c>
      <c r="D979" s="10">
        <v>2</v>
      </c>
      <c r="E979" s="10">
        <v>34.3</v>
      </c>
      <c r="F979" s="10">
        <v>8</v>
      </c>
      <c r="G979" s="10">
        <v>2</v>
      </c>
      <c r="H979" s="10">
        <v>2</v>
      </c>
      <c r="I979" s="10">
        <v>4</v>
      </c>
      <c r="J979" s="10">
        <f>SUM(B979:I979)</f>
        <v>60.016</v>
      </c>
      <c r="K979">
        <v>2016</v>
      </c>
      <c r="L979">
        <v>9</v>
      </c>
      <c r="M979" s="11">
        <v>42614</v>
      </c>
      <c r="N979" t="s">
        <v>2181</v>
      </c>
      <c r="O979">
        <v>1</v>
      </c>
      <c r="P979" t="s">
        <v>61</v>
      </c>
      <c r="Q979" t="b">
        <v>1</v>
      </c>
    </row>
    <row r="980" spans="1:17">
      <c r="A980" s="12">
        <v>42619</v>
      </c>
      <c r="B980" s="10">
        <v>5</v>
      </c>
      <c r="C980" s="10">
        <v>1.33</v>
      </c>
      <c r="D980" s="10">
        <v>1</v>
      </c>
      <c r="E980" s="10">
        <v>32.8</v>
      </c>
      <c r="F980" s="10">
        <v>14</v>
      </c>
      <c r="G980" s="10">
        <v>3</v>
      </c>
      <c r="H980" s="10">
        <v>0</v>
      </c>
      <c r="I980" s="10">
        <v>3</v>
      </c>
      <c r="J980" s="10">
        <f>SUM(B980:I980)</f>
        <v>60.129999999999995</v>
      </c>
      <c r="K980">
        <v>2016</v>
      </c>
      <c r="L980">
        <v>9</v>
      </c>
      <c r="M980" s="11">
        <v>42614</v>
      </c>
      <c r="N980" t="s">
        <v>2181</v>
      </c>
      <c r="O980">
        <v>2</v>
      </c>
      <c r="P980" t="s">
        <v>63</v>
      </c>
      <c r="Q980" t="b">
        <v>1</v>
      </c>
    </row>
    <row r="981" spans="1:17">
      <c r="A981" s="12">
        <v>42620</v>
      </c>
      <c r="B981" s="10">
        <v>2.33</v>
      </c>
      <c r="C981" s="10">
        <v>2.19</v>
      </c>
      <c r="D981" s="10">
        <v>3</v>
      </c>
      <c r="E981" s="10">
        <v>37.6</v>
      </c>
      <c r="F981" s="10">
        <v>14</v>
      </c>
      <c r="G981" s="10">
        <v>0</v>
      </c>
      <c r="H981" s="10">
        <v>0</v>
      </c>
      <c r="I981" s="10">
        <v>3</v>
      </c>
      <c r="J981" s="10">
        <f>SUM(B981:I981)</f>
        <v>62.120000000000005</v>
      </c>
      <c r="K981">
        <v>2016</v>
      </c>
      <c r="L981">
        <v>9</v>
      </c>
      <c r="M981" s="11">
        <v>42614</v>
      </c>
      <c r="N981" t="s">
        <v>2181</v>
      </c>
      <c r="O981">
        <v>3</v>
      </c>
      <c r="P981" t="s">
        <v>65</v>
      </c>
      <c r="Q981" t="b">
        <v>1</v>
      </c>
    </row>
    <row r="982" spans="1:17">
      <c r="A982" s="12">
        <v>42621</v>
      </c>
      <c r="B982" s="10">
        <v>6</v>
      </c>
      <c r="C982" s="10">
        <v>2.99</v>
      </c>
      <c r="D982" s="10">
        <v>4</v>
      </c>
      <c r="E982" s="10">
        <v>33</v>
      </c>
      <c r="F982" s="10">
        <v>8</v>
      </c>
      <c r="G982" s="10">
        <v>1</v>
      </c>
      <c r="H982" s="10">
        <v>0</v>
      </c>
      <c r="I982" s="10">
        <v>0</v>
      </c>
      <c r="J982" s="10">
        <f>SUM(B982:I982)</f>
        <v>54.99</v>
      </c>
      <c r="K982">
        <v>2016</v>
      </c>
      <c r="L982">
        <v>9</v>
      </c>
      <c r="M982" s="11">
        <v>42614</v>
      </c>
      <c r="N982" t="s">
        <v>2181</v>
      </c>
      <c r="O982">
        <v>4</v>
      </c>
      <c r="P982" t="s">
        <v>53</v>
      </c>
      <c r="Q982" t="b">
        <v>1</v>
      </c>
    </row>
    <row r="983" spans="1:17">
      <c r="A983" s="12">
        <v>42622</v>
      </c>
      <c r="B983" s="10">
        <v>4.99</v>
      </c>
      <c r="C983" s="10">
        <v>3.99</v>
      </c>
      <c r="D983" s="10">
        <v>3.25</v>
      </c>
      <c r="E983" s="10">
        <v>26.124</v>
      </c>
      <c r="F983" s="10">
        <v>11</v>
      </c>
      <c r="G983" s="10">
        <v>2</v>
      </c>
      <c r="H983" s="10">
        <v>10</v>
      </c>
      <c r="I983" s="10">
        <v>3</v>
      </c>
      <c r="J983" s="10">
        <f>SUM(B983:I983)</f>
        <v>64.354</v>
      </c>
      <c r="K983">
        <v>2016</v>
      </c>
      <c r="L983">
        <v>9</v>
      </c>
      <c r="M983" s="11">
        <v>42614</v>
      </c>
      <c r="N983" t="s">
        <v>2181</v>
      </c>
      <c r="O983">
        <v>5</v>
      </c>
      <c r="P983" t="s">
        <v>55</v>
      </c>
      <c r="Q983" t="b">
        <v>1</v>
      </c>
    </row>
    <row r="984" spans="1:17">
      <c r="A984" s="12">
        <v>42623</v>
      </c>
      <c r="B984" s="10">
        <v>8.33</v>
      </c>
      <c r="C984" s="10">
        <v>11.31</v>
      </c>
      <c r="D984" s="10">
        <v>10</v>
      </c>
      <c r="E984" s="10">
        <v>34</v>
      </c>
      <c r="F984" s="10">
        <v>9</v>
      </c>
      <c r="G984" s="10">
        <v>0</v>
      </c>
      <c r="H984" s="10">
        <v>4</v>
      </c>
      <c r="I984" s="10">
        <v>3</v>
      </c>
      <c r="J984" s="10">
        <f>SUM(B984:I984)</f>
        <v>79.64</v>
      </c>
      <c r="K984">
        <v>2016</v>
      </c>
      <c r="L984">
        <v>9</v>
      </c>
      <c r="M984" s="11">
        <v>42614</v>
      </c>
      <c r="N984" t="s">
        <v>2181</v>
      </c>
      <c r="O984">
        <v>6</v>
      </c>
      <c r="P984" t="s">
        <v>57</v>
      </c>
      <c r="Q984" t="b">
        <v>1</v>
      </c>
    </row>
    <row r="985" spans="1:17">
      <c r="A985" s="12">
        <v>42624</v>
      </c>
      <c r="B985" s="10">
        <v>2.66</v>
      </c>
      <c r="C985" s="10">
        <v>6.99</v>
      </c>
      <c r="D985" s="10">
        <v>7.1</v>
      </c>
      <c r="E985" s="10">
        <v>57.2</v>
      </c>
      <c r="F985" s="10">
        <v>8</v>
      </c>
      <c r="G985" s="10">
        <v>0</v>
      </c>
      <c r="H985" s="10">
        <v>10</v>
      </c>
      <c r="I985" s="10">
        <v>4</v>
      </c>
      <c r="J985" s="10">
        <f>SUM(B985:I985)</f>
        <v>95.95</v>
      </c>
      <c r="K985">
        <v>2016</v>
      </c>
      <c r="L985">
        <v>9</v>
      </c>
      <c r="M985" s="11">
        <v>42614</v>
      </c>
      <c r="N985" t="s">
        <v>2181</v>
      </c>
      <c r="O985">
        <v>7</v>
      </c>
      <c r="P985" t="s">
        <v>59</v>
      </c>
      <c r="Q985" t="b">
        <v>1</v>
      </c>
    </row>
    <row r="986" spans="1:17">
      <c r="A986" s="12">
        <v>42625</v>
      </c>
      <c r="B986" s="10">
        <v>7</v>
      </c>
      <c r="C986" s="10">
        <v>6</v>
      </c>
      <c r="D986" s="10">
        <v>4</v>
      </c>
      <c r="E986" s="10">
        <v>24</v>
      </c>
      <c r="F986" s="10">
        <v>10</v>
      </c>
      <c r="G986" s="10">
        <v>0</v>
      </c>
      <c r="H986" s="10">
        <v>8</v>
      </c>
      <c r="I986" s="10">
        <v>4</v>
      </c>
      <c r="J986" s="10">
        <f>SUM(B986:I986)</f>
        <v>63.0</v>
      </c>
      <c r="K986">
        <v>2016</v>
      </c>
      <c r="L986">
        <v>9</v>
      </c>
      <c r="M986" s="11">
        <v>42614</v>
      </c>
      <c r="N986" t="s">
        <v>2181</v>
      </c>
      <c r="O986">
        <v>1</v>
      </c>
      <c r="P986" t="s">
        <v>61</v>
      </c>
      <c r="Q986" t="b">
        <v>1</v>
      </c>
    </row>
    <row r="987" spans="1:17">
      <c r="A987" s="12">
        <v>42626</v>
      </c>
      <c r="B987" s="10">
        <v>7</v>
      </c>
      <c r="C987" s="10">
        <v>5.759</v>
      </c>
      <c r="D987" s="10">
        <v>4</v>
      </c>
      <c r="E987" s="10">
        <v>32</v>
      </c>
      <c r="F987" s="10">
        <v>13</v>
      </c>
      <c r="G987" s="10">
        <v>0</v>
      </c>
      <c r="H987" s="10">
        <v>2</v>
      </c>
      <c r="I987" s="10">
        <v>0</v>
      </c>
      <c r="J987" s="10">
        <f>SUM(B987:I987)</f>
        <v>63.759</v>
      </c>
      <c r="K987">
        <v>2016</v>
      </c>
      <c r="L987">
        <v>9</v>
      </c>
      <c r="M987" s="11">
        <v>42614</v>
      </c>
      <c r="N987" t="s">
        <v>2181</v>
      </c>
      <c r="O987">
        <v>2</v>
      </c>
      <c r="P987" t="s">
        <v>63</v>
      </c>
      <c r="Q987" t="b">
        <v>1</v>
      </c>
    </row>
    <row r="988" spans="1:17">
      <c r="A988" s="12">
        <v>42627</v>
      </c>
      <c r="B988" s="10">
        <v>6</v>
      </c>
      <c r="C988" s="10">
        <v>3.792</v>
      </c>
      <c r="D988" s="10">
        <v>2.5</v>
      </c>
      <c r="E988" s="10">
        <v>24.4</v>
      </c>
      <c r="F988" s="10">
        <v>7</v>
      </c>
      <c r="G988" s="10">
        <v>0</v>
      </c>
      <c r="H988" s="10">
        <v>8</v>
      </c>
      <c r="I988" s="10">
        <v>2</v>
      </c>
      <c r="J988" s="10">
        <f>SUM(B988:I988)</f>
        <v>53.692</v>
      </c>
      <c r="K988">
        <v>2016</v>
      </c>
      <c r="L988">
        <v>9</v>
      </c>
      <c r="M988" s="11">
        <v>42614</v>
      </c>
      <c r="N988" t="s">
        <v>2181</v>
      </c>
      <c r="O988">
        <v>3</v>
      </c>
      <c r="P988" t="s">
        <v>65</v>
      </c>
      <c r="Q988" t="b">
        <v>1</v>
      </c>
    </row>
    <row r="989" spans="1:17">
      <c r="A989" s="12">
        <v>42628</v>
      </c>
      <c r="B989" s="10">
        <v>3</v>
      </c>
      <c r="C989" s="10">
        <v>6.628</v>
      </c>
      <c r="D989" s="10">
        <v>2</v>
      </c>
      <c r="E989" s="10">
        <v>38</v>
      </c>
      <c r="F989" s="10">
        <v>31</v>
      </c>
      <c r="G989" s="10">
        <v>0</v>
      </c>
      <c r="H989" s="10">
        <v>3</v>
      </c>
      <c r="I989" s="10">
        <v>1</v>
      </c>
      <c r="J989" s="10">
        <f>SUM(B989:I989)</f>
        <v>84.628</v>
      </c>
      <c r="K989">
        <v>2016</v>
      </c>
      <c r="L989">
        <v>9</v>
      </c>
      <c r="M989" s="11">
        <v>42614</v>
      </c>
      <c r="N989" t="s">
        <v>2181</v>
      </c>
      <c r="O989">
        <v>4</v>
      </c>
      <c r="P989" t="s">
        <v>53</v>
      </c>
      <c r="Q989" t="b">
        <v>1</v>
      </c>
    </row>
    <row r="990" spans="1:17">
      <c r="A990" s="12">
        <v>42629</v>
      </c>
      <c r="B990" s="10">
        <v>2</v>
      </c>
      <c r="C990" s="10">
        <v>1.33</v>
      </c>
      <c r="D990" s="10">
        <v>4</v>
      </c>
      <c r="E990" s="10">
        <v>26.3</v>
      </c>
      <c r="F990" s="10">
        <v>17</v>
      </c>
      <c r="G990" s="10">
        <v>0</v>
      </c>
      <c r="H990" s="10">
        <v>3</v>
      </c>
      <c r="I990" s="10">
        <v>0</v>
      </c>
      <c r="J990" s="10">
        <f>SUM(B990:I990)</f>
        <v>53.63</v>
      </c>
      <c r="K990">
        <v>2016</v>
      </c>
      <c r="L990">
        <v>9</v>
      </c>
      <c r="M990" s="11">
        <v>42614</v>
      </c>
      <c r="N990" t="s">
        <v>2181</v>
      </c>
      <c r="O990">
        <v>5</v>
      </c>
      <c r="P990" t="s">
        <v>55</v>
      </c>
      <c r="Q990" t="b">
        <v>1</v>
      </c>
    </row>
    <row r="991" spans="1:17">
      <c r="A991" s="12">
        <v>42630</v>
      </c>
      <c r="B991" s="10">
        <v>6.67</v>
      </c>
      <c r="C991" s="10">
        <v>3.693</v>
      </c>
      <c r="D991" s="10">
        <v>2.4</v>
      </c>
      <c r="E991" s="10">
        <v>56</v>
      </c>
      <c r="F991" s="10">
        <v>11</v>
      </c>
      <c r="G991" s="10">
        <v>0</v>
      </c>
      <c r="H991" s="10">
        <v>5</v>
      </c>
      <c r="I991" s="10">
        <v>4.1</v>
      </c>
      <c r="J991" s="10">
        <f>SUM(B991:I991)</f>
        <v>88.863</v>
      </c>
      <c r="K991">
        <v>2016</v>
      </c>
      <c r="L991">
        <v>9</v>
      </c>
      <c r="M991" s="11">
        <v>42614</v>
      </c>
      <c r="N991" t="s">
        <v>2181</v>
      </c>
      <c r="O991">
        <v>6</v>
      </c>
      <c r="P991" t="s">
        <v>57</v>
      </c>
      <c r="Q991" t="b">
        <v>1</v>
      </c>
    </row>
    <row r="992" spans="1:17">
      <c r="A992" s="12">
        <v>42631</v>
      </c>
      <c r="B992" s="10">
        <v>5.99</v>
      </c>
      <c r="C992" s="10">
        <v>7.32</v>
      </c>
      <c r="D992" s="10">
        <v>2</v>
      </c>
      <c r="E992" s="10">
        <v>24.45</v>
      </c>
      <c r="F992" s="10">
        <v>4</v>
      </c>
      <c r="G992" s="10">
        <v>0</v>
      </c>
      <c r="H992" s="10">
        <v>8</v>
      </c>
      <c r="I992" s="10">
        <v>1</v>
      </c>
      <c r="J992" s="10">
        <f>SUM(B992:I992)</f>
        <v>52.76</v>
      </c>
      <c r="K992">
        <v>2016</v>
      </c>
      <c r="L992">
        <v>9</v>
      </c>
      <c r="M992" s="11">
        <v>42614</v>
      </c>
      <c r="N992" t="s">
        <v>2181</v>
      </c>
      <c r="O992">
        <v>7</v>
      </c>
      <c r="P992" t="s">
        <v>59</v>
      </c>
      <c r="Q992" t="b">
        <v>1</v>
      </c>
    </row>
    <row r="993" spans="1:17">
      <c r="A993" s="12">
        <v>42632</v>
      </c>
      <c r="B993" s="10">
        <v>4</v>
      </c>
      <c r="C993" s="10">
        <v>3.396</v>
      </c>
      <c r="D993" s="10">
        <v>2.15</v>
      </c>
      <c r="E993" s="10">
        <v>31</v>
      </c>
      <c r="F993" s="10">
        <v>11</v>
      </c>
      <c r="G993" s="10">
        <v>2</v>
      </c>
      <c r="H993" s="10">
        <v>0</v>
      </c>
      <c r="I993" s="10">
        <v>1</v>
      </c>
      <c r="J993" s="10">
        <f>SUM(B993:I993)</f>
        <v>54.546</v>
      </c>
      <c r="K993">
        <v>2016</v>
      </c>
      <c r="L993">
        <v>9</v>
      </c>
      <c r="M993" s="11">
        <v>42614</v>
      </c>
      <c r="N993" t="s">
        <v>2181</v>
      </c>
      <c r="O993">
        <v>1</v>
      </c>
      <c r="P993" t="s">
        <v>61</v>
      </c>
      <c r="Q993" t="b">
        <v>1</v>
      </c>
    </row>
    <row r="994" spans="1:17">
      <c r="A994" s="12">
        <v>42633</v>
      </c>
      <c r="B994" s="10">
        <v>4.67</v>
      </c>
      <c r="C994" s="10">
        <v>2.792</v>
      </c>
      <c r="D994" s="10">
        <v>3</v>
      </c>
      <c r="E994" s="10">
        <v>33.4</v>
      </c>
      <c r="F994" s="10">
        <v>14</v>
      </c>
      <c r="G994" s="10">
        <v>0</v>
      </c>
      <c r="H994" s="10">
        <v>4</v>
      </c>
      <c r="I994" s="10">
        <v>1</v>
      </c>
      <c r="J994" s="10">
        <f>SUM(B994:I994)</f>
        <v>62.861999999999995</v>
      </c>
      <c r="K994">
        <v>2016</v>
      </c>
      <c r="L994">
        <v>9</v>
      </c>
      <c r="M994" s="11">
        <v>42614</v>
      </c>
      <c r="N994" t="s">
        <v>2181</v>
      </c>
      <c r="O994">
        <v>2</v>
      </c>
      <c r="P994" t="s">
        <v>63</v>
      </c>
      <c r="Q994" t="b">
        <v>1</v>
      </c>
    </row>
    <row r="995" spans="1:17">
      <c r="A995" s="12">
        <v>42634</v>
      </c>
      <c r="B995" s="10">
        <v>8.34</v>
      </c>
      <c r="C995" s="10">
        <v>4.31</v>
      </c>
      <c r="D995" s="10">
        <v>3.05</v>
      </c>
      <c r="E995" s="10">
        <v>19.7</v>
      </c>
      <c r="F995" s="10">
        <v>12</v>
      </c>
      <c r="G995" s="10">
        <v>0</v>
      </c>
      <c r="H995" s="10">
        <v>3</v>
      </c>
      <c r="I995" s="10">
        <v>2</v>
      </c>
      <c r="J995" s="10">
        <f>SUM(B995:I995)</f>
        <v>52.4</v>
      </c>
      <c r="K995">
        <v>2016</v>
      </c>
      <c r="L995">
        <v>9</v>
      </c>
      <c r="M995" s="11">
        <v>42614</v>
      </c>
      <c r="N995" t="s">
        <v>2181</v>
      </c>
      <c r="O995">
        <v>3</v>
      </c>
      <c r="P995" t="s">
        <v>65</v>
      </c>
      <c r="Q995" t="b">
        <v>1</v>
      </c>
    </row>
    <row r="996" spans="1:17">
      <c r="A996" s="12">
        <v>42635</v>
      </c>
      <c r="B996" s="10">
        <v>6.33</v>
      </c>
      <c r="C996" s="10">
        <v>2.33</v>
      </c>
      <c r="D996" s="10">
        <v>2.1</v>
      </c>
      <c r="E996" s="10">
        <v>29.4</v>
      </c>
      <c r="F996" s="10">
        <v>6</v>
      </c>
      <c r="G996" s="10">
        <v>0</v>
      </c>
      <c r="H996" s="10">
        <v>4</v>
      </c>
      <c r="I996" s="10">
        <v>3</v>
      </c>
      <c r="J996" s="10">
        <f>SUM(B996:I996)</f>
        <v>53.16</v>
      </c>
      <c r="K996">
        <v>2016</v>
      </c>
      <c r="L996">
        <v>9</v>
      </c>
      <c r="M996" s="11">
        <v>42614</v>
      </c>
      <c r="N996" t="s">
        <v>2181</v>
      </c>
      <c r="O996">
        <v>4</v>
      </c>
      <c r="P996" t="s">
        <v>53</v>
      </c>
      <c r="Q996" t="b">
        <v>1</v>
      </c>
    </row>
    <row r="997" spans="1:17">
      <c r="A997" s="12">
        <v>42636</v>
      </c>
      <c r="B997" s="10">
        <v>2.33</v>
      </c>
      <c r="C997" s="10">
        <v>6.99</v>
      </c>
      <c r="D997" s="10">
        <v>6</v>
      </c>
      <c r="E997" s="10">
        <v>28.4</v>
      </c>
      <c r="F997" s="10">
        <v>13</v>
      </c>
      <c r="G997" s="10">
        <v>3</v>
      </c>
      <c r="H997" s="10">
        <v>7</v>
      </c>
      <c r="I997" s="10">
        <v>1</v>
      </c>
      <c r="J997" s="10">
        <f>SUM(B997:I997)</f>
        <v>67.72</v>
      </c>
      <c r="K997">
        <v>2016</v>
      </c>
      <c r="L997">
        <v>9</v>
      </c>
      <c r="M997" s="11">
        <v>42614</v>
      </c>
      <c r="N997" t="s">
        <v>2181</v>
      </c>
      <c r="O997">
        <v>5</v>
      </c>
      <c r="P997" t="s">
        <v>55</v>
      </c>
      <c r="Q997" t="b">
        <v>1</v>
      </c>
    </row>
    <row r="998" spans="1:17">
      <c r="A998" s="12">
        <v>42637</v>
      </c>
      <c r="B998" s="10">
        <v>2</v>
      </c>
      <c r="C998" s="10">
        <v>3.779</v>
      </c>
      <c r="D998" s="10">
        <v>6.2</v>
      </c>
      <c r="E998" s="10">
        <v>61.2</v>
      </c>
      <c r="F998" s="10">
        <v>8</v>
      </c>
      <c r="G998" s="10">
        <v>0</v>
      </c>
      <c r="H998" s="10">
        <v>1</v>
      </c>
      <c r="I998" s="10">
        <v>1</v>
      </c>
      <c r="J998" s="10">
        <f>SUM(B998:I998)</f>
        <v>83.179</v>
      </c>
      <c r="K998">
        <v>2016</v>
      </c>
      <c r="L998">
        <v>9</v>
      </c>
      <c r="M998" s="11">
        <v>42614</v>
      </c>
      <c r="N998" t="s">
        <v>2181</v>
      </c>
      <c r="O998">
        <v>6</v>
      </c>
      <c r="P998" t="s">
        <v>57</v>
      </c>
      <c r="Q998" t="b">
        <v>1</v>
      </c>
    </row>
    <row r="999" spans="1:17">
      <c r="A999" s="12">
        <v>42638</v>
      </c>
      <c r="B999" s="10">
        <v>6</v>
      </c>
      <c r="C999" s="10">
        <v>4.33</v>
      </c>
      <c r="D999" s="10">
        <v>3</v>
      </c>
      <c r="E999" s="10">
        <v>61.125</v>
      </c>
      <c r="F999" s="10">
        <v>3</v>
      </c>
      <c r="G999" s="10">
        <v>0</v>
      </c>
      <c r="H999" s="10">
        <v>10</v>
      </c>
      <c r="I999" s="10">
        <v>2</v>
      </c>
      <c r="J999" s="10">
        <f>SUM(B999:I999)</f>
        <v>89.455</v>
      </c>
      <c r="K999">
        <v>2016</v>
      </c>
      <c r="L999">
        <v>9</v>
      </c>
      <c r="M999" s="11">
        <v>42614</v>
      </c>
      <c r="N999" t="s">
        <v>2181</v>
      </c>
      <c r="O999">
        <v>7</v>
      </c>
      <c r="P999" t="s">
        <v>59</v>
      </c>
      <c r="Q999" t="b">
        <v>1</v>
      </c>
    </row>
    <row r="1000" spans="1:17">
      <c r="A1000" s="12">
        <v>42639</v>
      </c>
      <c r="B1000" s="10">
        <v>5.99</v>
      </c>
      <c r="C1000" s="10">
        <v>1</v>
      </c>
      <c r="D1000" s="10">
        <v>4</v>
      </c>
      <c r="E1000" s="10">
        <v>57.6</v>
      </c>
      <c r="F1000" s="10">
        <v>4</v>
      </c>
      <c r="G1000" s="10">
        <v>2</v>
      </c>
      <c r="H1000" s="10">
        <v>4</v>
      </c>
      <c r="I1000" s="10">
        <v>1</v>
      </c>
      <c r="J1000" s="10">
        <f>SUM(B1000:I1000)</f>
        <v>79.59</v>
      </c>
      <c r="K1000">
        <v>2016</v>
      </c>
      <c r="L1000">
        <v>9</v>
      </c>
      <c r="M1000" s="11">
        <v>42614</v>
      </c>
      <c r="N1000" t="s">
        <v>2181</v>
      </c>
      <c r="O1000">
        <v>1</v>
      </c>
      <c r="P1000" t="s">
        <v>61</v>
      </c>
      <c r="Q1000" t="b">
        <v>1</v>
      </c>
    </row>
    <row r="1001" spans="1:17">
      <c r="A1001" s="12">
        <v>42640</v>
      </c>
      <c r="B1001" s="10">
        <v>7</v>
      </c>
      <c r="C1001" s="10">
        <v>4.67</v>
      </c>
      <c r="D1001" s="10">
        <v>7.4</v>
      </c>
      <c r="E1001" s="10">
        <v>51.7</v>
      </c>
      <c r="F1001" s="10">
        <v>17</v>
      </c>
      <c r="G1001" s="10">
        <v>3</v>
      </c>
      <c r="H1001" s="10">
        <v>1</v>
      </c>
      <c r="I1001" s="10">
        <v>3</v>
      </c>
      <c r="J1001" s="10">
        <f>SUM(B1001:I1001)</f>
        <v>94.77000000000001</v>
      </c>
      <c r="K1001">
        <v>2016</v>
      </c>
      <c r="L1001">
        <v>9</v>
      </c>
      <c r="M1001" s="11">
        <v>42614</v>
      </c>
      <c r="N1001" t="s">
        <v>2181</v>
      </c>
      <c r="O1001">
        <v>2</v>
      </c>
      <c r="P1001" t="s">
        <v>63</v>
      </c>
      <c r="Q1001" t="b">
        <v>1</v>
      </c>
    </row>
    <row r="1002" spans="1:17">
      <c r="A1002" s="12">
        <v>42641</v>
      </c>
      <c r="B1002" s="10">
        <v>13.68</v>
      </c>
      <c r="C1002" s="10">
        <v>1.802</v>
      </c>
      <c r="D1002" s="10">
        <v>5.45</v>
      </c>
      <c r="E1002" s="10">
        <v>64.5</v>
      </c>
      <c r="F1002" s="10">
        <v>3</v>
      </c>
      <c r="G1002" s="10">
        <v>0</v>
      </c>
      <c r="H1002" s="10">
        <v>0</v>
      </c>
      <c r="I1002" s="10">
        <v>4</v>
      </c>
      <c r="J1002" s="10">
        <f>SUM(B1002:I1002)</f>
        <v>92.432</v>
      </c>
      <c r="K1002">
        <v>2016</v>
      </c>
      <c r="L1002">
        <v>9</v>
      </c>
      <c r="M1002" s="11">
        <v>42614</v>
      </c>
      <c r="N1002" t="s">
        <v>2181</v>
      </c>
      <c r="O1002">
        <v>3</v>
      </c>
      <c r="P1002" t="s">
        <v>65</v>
      </c>
      <c r="Q1002" t="b">
        <v>1</v>
      </c>
    </row>
    <row r="1003" spans="1:17">
      <c r="A1003" s="12">
        <v>42642</v>
      </c>
      <c r="B1003" s="10">
        <v>7.33</v>
      </c>
      <c r="C1003" s="10">
        <v>2</v>
      </c>
      <c r="D1003" s="10">
        <v>4</v>
      </c>
      <c r="E1003" s="10">
        <v>50.6</v>
      </c>
      <c r="F1003" s="10">
        <v>4</v>
      </c>
      <c r="G1003" s="10">
        <v>0</v>
      </c>
      <c r="H1003" s="10">
        <v>1</v>
      </c>
      <c r="I1003" s="10">
        <v>1.2</v>
      </c>
      <c r="J1003" s="10">
        <f>SUM(B1003:I1003)</f>
        <v>70.13000000000001</v>
      </c>
      <c r="K1003">
        <v>2016</v>
      </c>
      <c r="L1003">
        <v>9</v>
      </c>
      <c r="M1003" s="11">
        <v>42614</v>
      </c>
      <c r="N1003" t="s">
        <v>2181</v>
      </c>
      <c r="O1003">
        <v>4</v>
      </c>
      <c r="P1003" t="s">
        <v>53</v>
      </c>
      <c r="Q1003" t="b">
        <v>1</v>
      </c>
    </row>
    <row r="1004" spans="1:17">
      <c r="A1004" s="12">
        <v>42643</v>
      </c>
      <c r="B1004" s="10">
        <v>7</v>
      </c>
      <c r="C1004" s="10">
        <v>5</v>
      </c>
      <c r="D1004" s="10">
        <v>2.6</v>
      </c>
      <c r="E1004" s="10">
        <v>23.4</v>
      </c>
      <c r="F1004" s="10">
        <v>5</v>
      </c>
      <c r="G1004" s="10">
        <v>0</v>
      </c>
      <c r="H1004" s="10">
        <v>10</v>
      </c>
      <c r="I1004" s="10">
        <v>3</v>
      </c>
      <c r="J1004" s="10">
        <f>SUM(B1004:I1004)</f>
        <v>56.0</v>
      </c>
      <c r="K1004">
        <v>2016</v>
      </c>
      <c r="L1004">
        <v>9</v>
      </c>
      <c r="M1004" s="11">
        <v>42614</v>
      </c>
      <c r="N1004" t="s">
        <v>2181</v>
      </c>
      <c r="O1004">
        <v>5</v>
      </c>
      <c r="P1004" t="s">
        <v>55</v>
      </c>
      <c r="Q1004" t="b">
        <v>1</v>
      </c>
    </row>
    <row r="1005" spans="1:17">
      <c r="A1005" s="12">
        <v>42644</v>
      </c>
      <c r="B1005" s="10">
        <v>7.33</v>
      </c>
      <c r="C1005" s="10">
        <v>7.65</v>
      </c>
      <c r="D1005" s="10">
        <v>1.2</v>
      </c>
      <c r="E1005" s="10">
        <v>54.038</v>
      </c>
      <c r="F1005" s="10">
        <v>5</v>
      </c>
      <c r="G1005" s="10">
        <v>0</v>
      </c>
      <c r="H1005" s="10">
        <v>4</v>
      </c>
      <c r="I1005" s="10">
        <v>2</v>
      </c>
      <c r="J1005" s="10">
        <f>SUM(B1005:I1005)</f>
        <v>81.21799999999999</v>
      </c>
      <c r="K1005">
        <v>2016</v>
      </c>
      <c r="L1005">
        <v>10</v>
      </c>
      <c r="M1005" s="11">
        <v>42644</v>
      </c>
      <c r="N1005" t="s">
        <v>2182</v>
      </c>
      <c r="O1005">
        <v>6</v>
      </c>
      <c r="P1005" t="s">
        <v>57</v>
      </c>
      <c r="Q1005" t="b">
        <v>1</v>
      </c>
    </row>
    <row r="1006" spans="1:17">
      <c r="A1006" s="12">
        <v>42645</v>
      </c>
      <c r="B1006" s="10">
        <v>17</v>
      </c>
      <c r="C1006" s="10">
        <v>4.056</v>
      </c>
      <c r="D1006" s="10">
        <v>9.699999999999999</v>
      </c>
      <c r="E1006" s="10">
        <v>80.5</v>
      </c>
      <c r="F1006" s="10">
        <v>6</v>
      </c>
      <c r="G1006" s="10">
        <v>0</v>
      </c>
      <c r="H1006" s="10">
        <v>18</v>
      </c>
      <c r="I1006" s="10">
        <v>3</v>
      </c>
      <c r="J1006" s="10">
        <f>SUM(B1006:I1006)</f>
        <v>138.256</v>
      </c>
      <c r="K1006">
        <v>2016</v>
      </c>
      <c r="L1006">
        <v>10</v>
      </c>
      <c r="M1006" s="11">
        <v>42644</v>
      </c>
      <c r="N1006" t="s">
        <v>2182</v>
      </c>
      <c r="O1006">
        <v>7</v>
      </c>
      <c r="P1006" t="s">
        <v>59</v>
      </c>
      <c r="Q1006" t="b">
        <v>1</v>
      </c>
    </row>
    <row r="1007" spans="1:17">
      <c r="A1007" s="12">
        <v>42646</v>
      </c>
      <c r="B1007" s="10">
        <v>3.33</v>
      </c>
      <c r="C1007" s="10">
        <v>5.33</v>
      </c>
      <c r="D1007" s="10">
        <v>3</v>
      </c>
      <c r="E1007" s="10">
        <v>59.662</v>
      </c>
      <c r="F1007" s="10">
        <v>2</v>
      </c>
      <c r="G1007" s="10">
        <v>2</v>
      </c>
      <c r="H1007" s="10">
        <v>17</v>
      </c>
      <c r="I1007" s="10">
        <v>3</v>
      </c>
      <c r="J1007" s="10">
        <f>SUM(B1007:I1007)</f>
        <v>95.322</v>
      </c>
      <c r="K1007">
        <v>2016</v>
      </c>
      <c r="L1007">
        <v>10</v>
      </c>
      <c r="M1007" s="11">
        <v>42644</v>
      </c>
      <c r="N1007" t="s">
        <v>2182</v>
      </c>
      <c r="O1007">
        <v>1</v>
      </c>
      <c r="P1007" t="s">
        <v>61</v>
      </c>
      <c r="Q1007" t="b">
        <v>1</v>
      </c>
    </row>
    <row r="1008" spans="1:17">
      <c r="A1008" s="12">
        <v>42647</v>
      </c>
      <c r="B1008" s="10">
        <v>6.33</v>
      </c>
      <c r="C1008" s="10">
        <v>2.99</v>
      </c>
      <c r="D1008" s="10">
        <v>6</v>
      </c>
      <c r="E1008" s="10">
        <v>47.6</v>
      </c>
      <c r="F1008" s="10">
        <v>8</v>
      </c>
      <c r="G1008" s="10">
        <v>0</v>
      </c>
      <c r="H1008" s="10">
        <v>10</v>
      </c>
      <c r="I1008" s="10">
        <v>2.5</v>
      </c>
      <c r="J1008" s="10">
        <f>SUM(B1008:I1008)</f>
        <v>83.42</v>
      </c>
      <c r="K1008">
        <v>2016</v>
      </c>
      <c r="L1008">
        <v>10</v>
      </c>
      <c r="M1008" s="11">
        <v>42644</v>
      </c>
      <c r="N1008" t="s">
        <v>2182</v>
      </c>
      <c r="O1008">
        <v>2</v>
      </c>
      <c r="P1008" t="s">
        <v>63</v>
      </c>
      <c r="Q1008" t="b">
        <v>1</v>
      </c>
    </row>
    <row r="1009" spans="1:17">
      <c r="A1009" s="12">
        <v>42648</v>
      </c>
      <c r="B1009" s="10">
        <v>4</v>
      </c>
      <c r="C1009" s="10">
        <v>4</v>
      </c>
      <c r="D1009" s="10">
        <v>4</v>
      </c>
      <c r="E1009" s="10">
        <v>78.2</v>
      </c>
      <c r="F1009" s="10">
        <v>8</v>
      </c>
      <c r="G1009" s="10">
        <v>0</v>
      </c>
      <c r="H1009" s="10">
        <v>1</v>
      </c>
      <c r="I1009" s="10">
        <v>1</v>
      </c>
      <c r="J1009" s="10">
        <f>SUM(B1009:I1009)</f>
        <v>100.2</v>
      </c>
      <c r="K1009">
        <v>2016</v>
      </c>
      <c r="L1009">
        <v>10</v>
      </c>
      <c r="M1009" s="11">
        <v>42644</v>
      </c>
      <c r="N1009" t="s">
        <v>2182</v>
      </c>
      <c r="O1009">
        <v>3</v>
      </c>
      <c r="P1009" t="s">
        <v>65</v>
      </c>
      <c r="Q1009" t="b">
        <v>1</v>
      </c>
    </row>
    <row r="1010" spans="1:17">
      <c r="A1010" s="12">
        <v>42649</v>
      </c>
      <c r="B1010" s="10">
        <v>4.33</v>
      </c>
      <c r="C1010" s="10">
        <v>3.99</v>
      </c>
      <c r="D1010" s="10">
        <v>6</v>
      </c>
      <c r="E1010" s="10">
        <v>44</v>
      </c>
      <c r="F1010" s="10">
        <v>4</v>
      </c>
      <c r="G1010" s="10">
        <v>0</v>
      </c>
      <c r="H1010" s="10">
        <v>3</v>
      </c>
      <c r="I1010" s="10">
        <v>0</v>
      </c>
      <c r="J1010" s="10">
        <f>SUM(B1010:I1010)</f>
        <v>65.32</v>
      </c>
      <c r="K1010">
        <v>2016</v>
      </c>
      <c r="L1010">
        <v>10</v>
      </c>
      <c r="M1010" s="11">
        <v>42644</v>
      </c>
      <c r="N1010" t="s">
        <v>2182</v>
      </c>
      <c r="O1010">
        <v>4</v>
      </c>
      <c r="P1010" t="s">
        <v>53</v>
      </c>
      <c r="Q1010" t="b">
        <v>1</v>
      </c>
    </row>
    <row r="1011" spans="1:17">
      <c r="A1011" s="12">
        <v>42650</v>
      </c>
      <c r="B1011" s="10">
        <v>4.34</v>
      </c>
      <c r="C1011" s="10">
        <v>4.297</v>
      </c>
      <c r="D1011" s="10">
        <v>6</v>
      </c>
      <c r="E1011" s="10">
        <v>47.625</v>
      </c>
      <c r="F1011" s="10">
        <v>4</v>
      </c>
      <c r="G1011" s="10">
        <v>0</v>
      </c>
      <c r="H1011" s="10">
        <v>0</v>
      </c>
      <c r="I1011" s="10">
        <v>1</v>
      </c>
      <c r="J1011" s="10">
        <f>SUM(B1011:I1011)</f>
        <v>67.262</v>
      </c>
      <c r="K1011">
        <v>2016</v>
      </c>
      <c r="L1011">
        <v>10</v>
      </c>
      <c r="M1011" s="11">
        <v>42644</v>
      </c>
      <c r="N1011" t="s">
        <v>2182</v>
      </c>
      <c r="O1011">
        <v>5</v>
      </c>
      <c r="P1011" t="s">
        <v>55</v>
      </c>
      <c r="Q1011" t="b">
        <v>1</v>
      </c>
    </row>
    <row r="1012" spans="1:17">
      <c r="A1012" s="12">
        <v>42651</v>
      </c>
      <c r="B1012" s="10">
        <v>7.34</v>
      </c>
      <c r="C1012" s="10">
        <v>6.33</v>
      </c>
      <c r="D1012" s="10">
        <v>5</v>
      </c>
      <c r="E1012" s="10">
        <v>52.7</v>
      </c>
      <c r="F1012" s="10">
        <v>2</v>
      </c>
      <c r="G1012" s="10">
        <v>0</v>
      </c>
      <c r="H1012" s="10">
        <v>6</v>
      </c>
      <c r="I1012" s="10">
        <v>5</v>
      </c>
      <c r="J1012" s="10">
        <f>SUM(B1012:I1012)</f>
        <v>84.37</v>
      </c>
      <c r="K1012">
        <v>2016</v>
      </c>
      <c r="L1012">
        <v>10</v>
      </c>
      <c r="M1012" s="11">
        <v>42644</v>
      </c>
      <c r="N1012" t="s">
        <v>2182</v>
      </c>
      <c r="O1012">
        <v>6</v>
      </c>
      <c r="P1012" t="s">
        <v>57</v>
      </c>
      <c r="Q1012" t="b">
        <v>1</v>
      </c>
    </row>
    <row r="1013" spans="1:17">
      <c r="A1013" s="12">
        <v>42652</v>
      </c>
      <c r="B1013" s="10">
        <v>6.68</v>
      </c>
      <c r="C1013" s="10">
        <v>5.02</v>
      </c>
      <c r="D1013" s="10">
        <v>5.5</v>
      </c>
      <c r="E1013" s="10">
        <v>88.40000000000001</v>
      </c>
      <c r="F1013" s="10">
        <v>2</v>
      </c>
      <c r="G1013" s="10">
        <v>0</v>
      </c>
      <c r="H1013" s="10">
        <v>9</v>
      </c>
      <c r="I1013" s="10">
        <v>1</v>
      </c>
      <c r="J1013" s="10">
        <f>SUM(B1013:I1013)</f>
        <v>117.60000000000001</v>
      </c>
      <c r="K1013">
        <v>2016</v>
      </c>
      <c r="L1013">
        <v>10</v>
      </c>
      <c r="M1013" s="11">
        <v>42644</v>
      </c>
      <c r="N1013" t="s">
        <v>2182</v>
      </c>
      <c r="O1013">
        <v>7</v>
      </c>
      <c r="P1013" t="s">
        <v>59</v>
      </c>
      <c r="Q1013" t="b">
        <v>1</v>
      </c>
    </row>
    <row r="1014" spans="1:17">
      <c r="A1014" s="12">
        <v>42653</v>
      </c>
      <c r="B1014" s="10">
        <v>2</v>
      </c>
      <c r="C1014" s="10">
        <v>5.066</v>
      </c>
      <c r="D1014" s="10">
        <v>5</v>
      </c>
      <c r="E1014" s="10">
        <v>31.6</v>
      </c>
      <c r="F1014" s="10">
        <v>1</v>
      </c>
      <c r="G1014" s="10">
        <v>0</v>
      </c>
      <c r="H1014" s="10">
        <v>3</v>
      </c>
      <c r="I1014" s="10">
        <v>1</v>
      </c>
      <c r="J1014" s="10">
        <f>SUM(B1014:I1014)</f>
        <v>48.666</v>
      </c>
      <c r="K1014">
        <v>2016</v>
      </c>
      <c r="L1014">
        <v>10</v>
      </c>
      <c r="M1014" s="11">
        <v>42644</v>
      </c>
      <c r="N1014" t="s">
        <v>2182</v>
      </c>
      <c r="O1014">
        <v>1</v>
      </c>
      <c r="P1014" t="s">
        <v>61</v>
      </c>
      <c r="Q1014" t="b">
        <v>1</v>
      </c>
    </row>
    <row r="1015" spans="1:17">
      <c r="A1015" s="12">
        <v>42654</v>
      </c>
      <c r="B1015" s="10">
        <v>7.33</v>
      </c>
      <c r="C1015" s="10">
        <v>2.406</v>
      </c>
      <c r="D1015" s="10">
        <v>11.65</v>
      </c>
      <c r="E1015" s="10">
        <v>52.6</v>
      </c>
      <c r="F1015" s="10">
        <v>54.83333333</v>
      </c>
      <c r="G1015" s="10">
        <v>1</v>
      </c>
      <c r="H1015" s="10">
        <v>8</v>
      </c>
      <c r="I1015" s="10">
        <v>1</v>
      </c>
      <c r="J1015" s="10">
        <f>SUM(B1015:I1015)</f>
        <v>138.81933333</v>
      </c>
      <c r="K1015">
        <v>2016</v>
      </c>
      <c r="L1015">
        <v>10</v>
      </c>
      <c r="M1015" s="11">
        <v>42644</v>
      </c>
      <c r="N1015" t="s">
        <v>2182</v>
      </c>
      <c r="O1015">
        <v>2</v>
      </c>
      <c r="P1015" t="s">
        <v>63</v>
      </c>
      <c r="Q1015" t="b">
        <v>1</v>
      </c>
    </row>
    <row r="1016" spans="1:17">
      <c r="A1016" s="12">
        <v>42655</v>
      </c>
      <c r="B1016" s="10">
        <v>8.33</v>
      </c>
      <c r="C1016" s="10">
        <v>2.373</v>
      </c>
      <c r="D1016" s="10">
        <v>2</v>
      </c>
      <c r="E1016" s="10">
        <v>45.75</v>
      </c>
      <c r="F1016" s="10">
        <v>18</v>
      </c>
      <c r="G1016" s="10">
        <v>1</v>
      </c>
      <c r="H1016" s="10">
        <v>17</v>
      </c>
      <c r="I1016" s="10">
        <v>2</v>
      </c>
      <c r="J1016" s="10">
        <f>SUM(B1016:I1016)</f>
        <v>96.453</v>
      </c>
      <c r="K1016">
        <v>2016</v>
      </c>
      <c r="L1016">
        <v>10</v>
      </c>
      <c r="M1016" s="11">
        <v>42644</v>
      </c>
      <c r="N1016" t="s">
        <v>2182</v>
      </c>
      <c r="O1016">
        <v>3</v>
      </c>
      <c r="P1016" t="s">
        <v>65</v>
      </c>
      <c r="Q1016" t="b">
        <v>1</v>
      </c>
    </row>
    <row r="1017" spans="1:17">
      <c r="A1017" s="12">
        <v>42656</v>
      </c>
      <c r="B1017" s="10">
        <v>4.66</v>
      </c>
      <c r="C1017" s="10">
        <v>4.33</v>
      </c>
      <c r="D1017" s="10">
        <v>3.2</v>
      </c>
      <c r="E1017" s="10">
        <v>42.2</v>
      </c>
      <c r="F1017" s="10">
        <v>20</v>
      </c>
      <c r="G1017" s="10">
        <v>0</v>
      </c>
      <c r="H1017" s="10">
        <v>3</v>
      </c>
      <c r="I1017" s="10">
        <v>2.3</v>
      </c>
      <c r="J1017" s="10">
        <f>SUM(B1017:I1017)</f>
        <v>79.69</v>
      </c>
      <c r="K1017">
        <v>2016</v>
      </c>
      <c r="L1017">
        <v>10</v>
      </c>
      <c r="M1017" s="11">
        <v>42644</v>
      </c>
      <c r="N1017" t="s">
        <v>2182</v>
      </c>
      <c r="O1017">
        <v>4</v>
      </c>
      <c r="P1017" t="s">
        <v>53</v>
      </c>
      <c r="Q1017" t="b">
        <v>1</v>
      </c>
    </row>
    <row r="1018" spans="1:17">
      <c r="A1018" s="12">
        <v>42657</v>
      </c>
      <c r="B1018" s="10">
        <v>7</v>
      </c>
      <c r="C1018" s="10">
        <v>4</v>
      </c>
      <c r="D1018" s="10">
        <v>3</v>
      </c>
      <c r="E1018" s="10">
        <v>38.7</v>
      </c>
      <c r="F1018" s="10">
        <v>22</v>
      </c>
      <c r="G1018" s="10">
        <v>0</v>
      </c>
      <c r="H1018" s="10">
        <v>9</v>
      </c>
      <c r="I1018" s="10">
        <v>1</v>
      </c>
      <c r="J1018" s="10">
        <f>SUM(B1018:I1018)</f>
        <v>84.7</v>
      </c>
      <c r="K1018">
        <v>2016</v>
      </c>
      <c r="L1018">
        <v>10</v>
      </c>
      <c r="M1018" s="11">
        <v>42644</v>
      </c>
      <c r="N1018" t="s">
        <v>2182</v>
      </c>
      <c r="O1018">
        <v>5</v>
      </c>
      <c r="P1018" t="s">
        <v>55</v>
      </c>
      <c r="Q1018" t="b">
        <v>1</v>
      </c>
    </row>
    <row r="1019" spans="1:17">
      <c r="A1019" s="12">
        <v>42658</v>
      </c>
      <c r="B1019" s="10">
        <v>4</v>
      </c>
      <c r="C1019" s="10">
        <v>5.97</v>
      </c>
      <c r="D1019" s="10">
        <v>3.35</v>
      </c>
      <c r="E1019" s="10">
        <v>47.2</v>
      </c>
      <c r="F1019" s="10">
        <v>16</v>
      </c>
      <c r="G1019" s="10">
        <v>1</v>
      </c>
      <c r="H1019" s="10">
        <v>13</v>
      </c>
      <c r="I1019" s="10">
        <v>1</v>
      </c>
      <c r="J1019" s="10">
        <f>SUM(B1019:I1019)</f>
        <v>91.52000000000001</v>
      </c>
      <c r="K1019">
        <v>2016</v>
      </c>
      <c r="L1019">
        <v>10</v>
      </c>
      <c r="M1019" s="11">
        <v>42644</v>
      </c>
      <c r="N1019" t="s">
        <v>2182</v>
      </c>
      <c r="O1019">
        <v>6</v>
      </c>
      <c r="P1019" t="s">
        <v>57</v>
      </c>
      <c r="Q1019" t="b">
        <v>1</v>
      </c>
    </row>
    <row r="1020" spans="1:17">
      <c r="A1020" s="12">
        <v>42659</v>
      </c>
      <c r="B1020" s="10">
        <v>8.33</v>
      </c>
      <c r="C1020" s="10">
        <v>5.122</v>
      </c>
      <c r="D1020" s="10">
        <v>10</v>
      </c>
      <c r="E1020" s="10">
        <v>89.3</v>
      </c>
      <c r="F1020" s="10">
        <v>3</v>
      </c>
      <c r="G1020" s="10">
        <v>0</v>
      </c>
      <c r="H1020" s="10">
        <v>6</v>
      </c>
      <c r="I1020" s="10">
        <v>5</v>
      </c>
      <c r="J1020" s="10">
        <f>SUM(B1020:I1020)</f>
        <v>126.752</v>
      </c>
      <c r="K1020">
        <v>2016</v>
      </c>
      <c r="L1020">
        <v>10</v>
      </c>
      <c r="M1020" s="11">
        <v>42644</v>
      </c>
      <c r="N1020" t="s">
        <v>2182</v>
      </c>
      <c r="O1020">
        <v>7</v>
      </c>
      <c r="P1020" t="s">
        <v>59</v>
      </c>
      <c r="Q1020" t="b">
        <v>1</v>
      </c>
    </row>
    <row r="1021" spans="1:17">
      <c r="A1021" s="12">
        <v>42660</v>
      </c>
      <c r="B1021" s="10">
        <v>2</v>
      </c>
      <c r="C1021" s="10">
        <v>5</v>
      </c>
      <c r="D1021" s="10">
        <v>5</v>
      </c>
      <c r="E1021" s="10">
        <v>50.8</v>
      </c>
      <c r="F1021" s="10">
        <v>1</v>
      </c>
      <c r="G1021" s="10">
        <v>0</v>
      </c>
      <c r="H1021" s="10">
        <v>9</v>
      </c>
      <c r="I1021" s="10">
        <v>1</v>
      </c>
      <c r="J1021" s="10">
        <f>SUM(B1021:I1021)</f>
        <v>73.8</v>
      </c>
      <c r="K1021">
        <v>2016</v>
      </c>
      <c r="L1021">
        <v>10</v>
      </c>
      <c r="M1021" s="11">
        <v>42644</v>
      </c>
      <c r="N1021" t="s">
        <v>2182</v>
      </c>
      <c r="O1021">
        <v>1</v>
      </c>
      <c r="P1021" t="s">
        <v>61</v>
      </c>
      <c r="Q1021" t="b">
        <v>1</v>
      </c>
    </row>
    <row r="1022" spans="1:17">
      <c r="A1022" s="12">
        <v>42661</v>
      </c>
      <c r="B1022" s="10">
        <v>3</v>
      </c>
      <c r="C1022" s="10">
        <v>5.056</v>
      </c>
      <c r="D1022" s="10">
        <v>9</v>
      </c>
      <c r="E1022" s="10">
        <v>42.1</v>
      </c>
      <c r="F1022" s="10">
        <v>9</v>
      </c>
      <c r="G1022" s="10">
        <v>3</v>
      </c>
      <c r="H1022" s="10">
        <v>7</v>
      </c>
      <c r="I1022" s="10">
        <v>3.1</v>
      </c>
      <c r="J1022" s="10">
        <f>SUM(B1022:I1022)</f>
        <v>81.256</v>
      </c>
      <c r="K1022">
        <v>2016</v>
      </c>
      <c r="L1022">
        <v>10</v>
      </c>
      <c r="M1022" s="11">
        <v>42644</v>
      </c>
      <c r="N1022" t="s">
        <v>2182</v>
      </c>
      <c r="O1022">
        <v>2</v>
      </c>
      <c r="P1022" t="s">
        <v>63</v>
      </c>
      <c r="Q1022" t="b">
        <v>1</v>
      </c>
    </row>
    <row r="1023" spans="1:17">
      <c r="A1023" s="12">
        <v>42662</v>
      </c>
      <c r="B1023" s="10">
        <v>4.33</v>
      </c>
      <c r="C1023" s="10">
        <v>6.66</v>
      </c>
      <c r="D1023" s="10">
        <v>5</v>
      </c>
      <c r="E1023" s="10">
        <v>26.7</v>
      </c>
      <c r="F1023" s="10">
        <v>11</v>
      </c>
      <c r="G1023" s="10">
        <v>0</v>
      </c>
      <c r="H1023" s="10">
        <v>2</v>
      </c>
      <c r="I1023" s="10">
        <v>1</v>
      </c>
      <c r="J1023" s="10">
        <f>SUM(B1023:I1023)</f>
        <v>56.69</v>
      </c>
      <c r="K1023">
        <v>2016</v>
      </c>
      <c r="L1023">
        <v>10</v>
      </c>
      <c r="M1023" s="11">
        <v>42644</v>
      </c>
      <c r="N1023" t="s">
        <v>2182</v>
      </c>
      <c r="O1023">
        <v>3</v>
      </c>
      <c r="P1023" t="s">
        <v>65</v>
      </c>
      <c r="Q1023" t="b">
        <v>1</v>
      </c>
    </row>
    <row r="1024" spans="1:17">
      <c r="A1024" s="12">
        <v>42663</v>
      </c>
      <c r="B1024" s="10">
        <v>1.64</v>
      </c>
      <c r="C1024" s="10">
        <v>5.66</v>
      </c>
      <c r="D1024" s="10">
        <v>6</v>
      </c>
      <c r="E1024" s="10">
        <v>52.5</v>
      </c>
      <c r="F1024" s="10">
        <v>2</v>
      </c>
      <c r="G1024" s="10">
        <v>0</v>
      </c>
      <c r="H1024" s="10">
        <v>2</v>
      </c>
      <c r="I1024" s="10">
        <v>2</v>
      </c>
      <c r="J1024" s="10">
        <f>SUM(B1024:I1024)</f>
        <v>71.8</v>
      </c>
      <c r="K1024">
        <v>2016</v>
      </c>
      <c r="L1024">
        <v>10</v>
      </c>
      <c r="M1024" s="11">
        <v>42644</v>
      </c>
      <c r="N1024" t="s">
        <v>2182</v>
      </c>
      <c r="O1024">
        <v>4</v>
      </c>
      <c r="P1024" t="s">
        <v>53</v>
      </c>
      <c r="Q1024" t="b">
        <v>1</v>
      </c>
    </row>
    <row r="1025" spans="1:17">
      <c r="A1025" s="12">
        <v>42664</v>
      </c>
      <c r="B1025" s="10">
        <v>8.66</v>
      </c>
      <c r="C1025" s="10">
        <v>3.825</v>
      </c>
      <c r="D1025" s="10">
        <v>0</v>
      </c>
      <c r="E1025" s="10">
        <v>40.8</v>
      </c>
      <c r="F1025" s="10">
        <v>5</v>
      </c>
      <c r="G1025" s="10">
        <v>0</v>
      </c>
      <c r="H1025" s="10">
        <v>6</v>
      </c>
      <c r="I1025" s="10">
        <v>2</v>
      </c>
      <c r="J1025" s="10">
        <f>SUM(B1025:I1025)</f>
        <v>66.285</v>
      </c>
      <c r="K1025">
        <v>2016</v>
      </c>
      <c r="L1025">
        <v>10</v>
      </c>
      <c r="M1025" s="11">
        <v>42644</v>
      </c>
      <c r="N1025" t="s">
        <v>2182</v>
      </c>
      <c r="O1025">
        <v>5</v>
      </c>
      <c r="P1025" t="s">
        <v>55</v>
      </c>
      <c r="Q1025" t="b">
        <v>1</v>
      </c>
    </row>
    <row r="1026" spans="1:17">
      <c r="A1026" s="12">
        <v>42665</v>
      </c>
      <c r="B1026" s="10">
        <v>7</v>
      </c>
      <c r="C1026" s="10">
        <v>2.67</v>
      </c>
      <c r="D1026" s="10">
        <v>4</v>
      </c>
      <c r="E1026" s="10">
        <v>29.7</v>
      </c>
      <c r="F1026" s="10">
        <v>3</v>
      </c>
      <c r="G1026" s="10">
        <v>0</v>
      </c>
      <c r="H1026" s="10">
        <v>10</v>
      </c>
      <c r="I1026" s="10">
        <v>4</v>
      </c>
      <c r="J1026" s="10">
        <f>SUM(B1026:I1026)</f>
        <v>60.37</v>
      </c>
      <c r="K1026">
        <v>2016</v>
      </c>
      <c r="L1026">
        <v>10</v>
      </c>
      <c r="M1026" s="11">
        <v>42644</v>
      </c>
      <c r="N1026" t="s">
        <v>2182</v>
      </c>
      <c r="O1026">
        <v>6</v>
      </c>
      <c r="P1026" t="s">
        <v>57</v>
      </c>
      <c r="Q1026" t="b">
        <v>1</v>
      </c>
    </row>
    <row r="1027" spans="1:17">
      <c r="A1027" s="12">
        <v>42666</v>
      </c>
      <c r="B1027" s="10">
        <v>12.33</v>
      </c>
      <c r="C1027" s="10">
        <v>5.78</v>
      </c>
      <c r="D1027" s="10">
        <v>3.8</v>
      </c>
      <c r="E1027" s="10">
        <v>51.21666667</v>
      </c>
      <c r="F1027" s="10">
        <v>10</v>
      </c>
      <c r="G1027" s="10">
        <v>0</v>
      </c>
      <c r="H1027" s="10">
        <v>11</v>
      </c>
      <c r="I1027" s="10">
        <v>2</v>
      </c>
      <c r="J1027" s="10">
        <f>SUM(B1027:I1027)</f>
        <v>96.12666667</v>
      </c>
      <c r="K1027">
        <v>2016</v>
      </c>
      <c r="L1027">
        <v>10</v>
      </c>
      <c r="M1027" s="11">
        <v>42644</v>
      </c>
      <c r="N1027" t="s">
        <v>2182</v>
      </c>
      <c r="O1027">
        <v>7</v>
      </c>
      <c r="P1027" t="s">
        <v>59</v>
      </c>
      <c r="Q1027" t="b">
        <v>1</v>
      </c>
    </row>
    <row r="1028" spans="1:17">
      <c r="A1028" s="12">
        <v>42667</v>
      </c>
      <c r="B1028" s="10">
        <v>2.66</v>
      </c>
      <c r="C1028" s="10">
        <v>3.023</v>
      </c>
      <c r="D1028" s="10">
        <v>7.5</v>
      </c>
      <c r="E1028" s="10">
        <v>37</v>
      </c>
      <c r="F1028" s="10">
        <v>1</v>
      </c>
      <c r="G1028" s="10">
        <v>1</v>
      </c>
      <c r="H1028" s="10">
        <v>2</v>
      </c>
      <c r="I1028" s="10">
        <v>1</v>
      </c>
      <c r="J1028" s="10">
        <f>SUM(B1028:I1028)</f>
        <v>55.183</v>
      </c>
      <c r="K1028">
        <v>2016</v>
      </c>
      <c r="L1028">
        <v>10</v>
      </c>
      <c r="M1028" s="11">
        <v>42644</v>
      </c>
      <c r="N1028" t="s">
        <v>2182</v>
      </c>
      <c r="O1028">
        <v>1</v>
      </c>
      <c r="P1028" t="s">
        <v>61</v>
      </c>
      <c r="Q1028" t="b">
        <v>1</v>
      </c>
    </row>
    <row r="1029" spans="1:17">
      <c r="A1029" s="12">
        <v>42668</v>
      </c>
      <c r="B1029" s="10">
        <v>4.33</v>
      </c>
      <c r="C1029" s="10">
        <v>4.572</v>
      </c>
      <c r="D1029" s="10">
        <v>5.4</v>
      </c>
      <c r="E1029" s="10">
        <v>62.4</v>
      </c>
      <c r="F1029" s="10">
        <v>10</v>
      </c>
      <c r="G1029" s="10">
        <v>0</v>
      </c>
      <c r="H1029" s="10">
        <v>7</v>
      </c>
      <c r="I1029" s="10">
        <v>0</v>
      </c>
      <c r="J1029" s="10">
        <f>SUM(B1029:I1029)</f>
        <v>93.702</v>
      </c>
      <c r="K1029">
        <v>2016</v>
      </c>
      <c r="L1029">
        <v>10</v>
      </c>
      <c r="M1029" s="11">
        <v>42644</v>
      </c>
      <c r="N1029" t="s">
        <v>2182</v>
      </c>
      <c r="O1029">
        <v>2</v>
      </c>
      <c r="P1029" t="s">
        <v>63</v>
      </c>
      <c r="Q1029" t="b">
        <v>1</v>
      </c>
    </row>
    <row r="1030" spans="1:17">
      <c r="A1030" s="12">
        <v>42669</v>
      </c>
      <c r="B1030" s="10">
        <v>2.33</v>
      </c>
      <c r="C1030" s="10">
        <v>2.397</v>
      </c>
      <c r="D1030" s="10">
        <v>6</v>
      </c>
      <c r="E1030" s="10">
        <v>28.4</v>
      </c>
      <c r="F1030" s="10">
        <v>10</v>
      </c>
      <c r="G1030" s="10">
        <v>0</v>
      </c>
      <c r="H1030" s="10">
        <v>2</v>
      </c>
      <c r="I1030" s="10">
        <v>1</v>
      </c>
      <c r="J1030" s="10">
        <f>SUM(B1030:I1030)</f>
        <v>52.126999999999995</v>
      </c>
      <c r="K1030">
        <v>2016</v>
      </c>
      <c r="L1030">
        <v>10</v>
      </c>
      <c r="M1030" s="11">
        <v>42644</v>
      </c>
      <c r="N1030" t="s">
        <v>2182</v>
      </c>
      <c r="O1030">
        <v>3</v>
      </c>
      <c r="P1030" t="s">
        <v>65</v>
      </c>
      <c r="Q1030" t="b">
        <v>1</v>
      </c>
    </row>
    <row r="1031" spans="1:17">
      <c r="A1031" s="12">
        <v>42670</v>
      </c>
      <c r="B1031" s="10">
        <v>6.5</v>
      </c>
      <c r="C1031" s="10">
        <v>2.023</v>
      </c>
      <c r="D1031" s="10">
        <v>3</v>
      </c>
      <c r="E1031" s="10">
        <v>32.2</v>
      </c>
      <c r="F1031" s="10">
        <v>10</v>
      </c>
      <c r="G1031" s="10">
        <v>2</v>
      </c>
      <c r="H1031" s="10">
        <v>4</v>
      </c>
      <c r="I1031" s="10">
        <v>0</v>
      </c>
      <c r="J1031" s="10">
        <f>SUM(B1031:I1031)</f>
        <v>59.723</v>
      </c>
      <c r="K1031">
        <v>2016</v>
      </c>
      <c r="L1031">
        <v>10</v>
      </c>
      <c r="M1031" s="11">
        <v>42644</v>
      </c>
      <c r="N1031" t="s">
        <v>2182</v>
      </c>
      <c r="O1031">
        <v>4</v>
      </c>
      <c r="P1031" t="s">
        <v>53</v>
      </c>
      <c r="Q1031" t="b">
        <v>1</v>
      </c>
    </row>
    <row r="1032" spans="1:17">
      <c r="A1032" s="12">
        <v>42671</v>
      </c>
      <c r="B1032" s="10">
        <v>7</v>
      </c>
      <c r="C1032" s="10">
        <v>3.78</v>
      </c>
      <c r="D1032" s="10">
        <v>6</v>
      </c>
      <c r="E1032" s="10">
        <v>34.4</v>
      </c>
      <c r="F1032" s="10">
        <v>9</v>
      </c>
      <c r="G1032" s="10">
        <v>0</v>
      </c>
      <c r="H1032" s="10">
        <v>5</v>
      </c>
      <c r="I1032" s="10">
        <v>0</v>
      </c>
      <c r="J1032" s="10">
        <f>SUM(B1032:I1032)</f>
        <v>65.18</v>
      </c>
      <c r="K1032">
        <v>2016</v>
      </c>
      <c r="L1032">
        <v>10</v>
      </c>
      <c r="M1032" s="11">
        <v>42644</v>
      </c>
      <c r="N1032" t="s">
        <v>2182</v>
      </c>
      <c r="O1032">
        <v>5</v>
      </c>
      <c r="P1032" t="s">
        <v>55</v>
      </c>
      <c r="Q1032" t="b">
        <v>1</v>
      </c>
    </row>
    <row r="1033" spans="1:17">
      <c r="A1033" s="12">
        <v>42672</v>
      </c>
      <c r="B1033" s="10">
        <v>15.33</v>
      </c>
      <c r="C1033" s="10">
        <v>4.54</v>
      </c>
      <c r="D1033" s="10">
        <v>6.1</v>
      </c>
      <c r="E1033" s="10">
        <v>78.5</v>
      </c>
      <c r="F1033" s="10">
        <v>23</v>
      </c>
      <c r="G1033" s="10">
        <v>0</v>
      </c>
      <c r="H1033" s="10">
        <v>9</v>
      </c>
      <c r="I1033" s="10">
        <v>5</v>
      </c>
      <c r="J1033" s="10">
        <f>SUM(B1033:I1033)</f>
        <v>141.47</v>
      </c>
      <c r="K1033">
        <v>2016</v>
      </c>
      <c r="L1033">
        <v>10</v>
      </c>
      <c r="M1033" s="11">
        <v>42644</v>
      </c>
      <c r="N1033" t="s">
        <v>2182</v>
      </c>
      <c r="O1033">
        <v>6</v>
      </c>
      <c r="P1033" t="s">
        <v>57</v>
      </c>
      <c r="Q1033" t="b">
        <v>1</v>
      </c>
    </row>
    <row r="1034" spans="1:17">
      <c r="A1034" s="12">
        <v>42673</v>
      </c>
      <c r="B1034" s="10">
        <v>4.66</v>
      </c>
      <c r="C1034" s="10">
        <v>10.32</v>
      </c>
      <c r="D1034" s="10">
        <v>5.75</v>
      </c>
      <c r="E1034" s="10">
        <v>73.09999999999999</v>
      </c>
      <c r="F1034" s="10">
        <v>5</v>
      </c>
      <c r="G1034" s="10">
        <v>0</v>
      </c>
      <c r="H1034" s="10">
        <v>0</v>
      </c>
      <c r="I1034" s="10">
        <v>2</v>
      </c>
      <c r="J1034" s="10">
        <f>SUM(B1034:I1034)</f>
        <v>100.83</v>
      </c>
      <c r="K1034">
        <v>2016</v>
      </c>
      <c r="L1034">
        <v>10</v>
      </c>
      <c r="M1034" s="11">
        <v>42644</v>
      </c>
      <c r="N1034" t="s">
        <v>2182</v>
      </c>
      <c r="O1034">
        <v>7</v>
      </c>
      <c r="P1034" t="s">
        <v>59</v>
      </c>
      <c r="Q1034" t="b">
        <v>1</v>
      </c>
    </row>
    <row r="1035" spans="1:17">
      <c r="A1035" s="12">
        <v>42674</v>
      </c>
      <c r="B1035" s="10">
        <v>2.66</v>
      </c>
      <c r="C1035" s="10">
        <v>3.82</v>
      </c>
      <c r="D1035" s="10">
        <v>3</v>
      </c>
      <c r="E1035" s="10">
        <v>43.8</v>
      </c>
      <c r="F1035" s="10">
        <v>6</v>
      </c>
      <c r="G1035" s="10">
        <v>0</v>
      </c>
      <c r="H1035" s="10">
        <v>17</v>
      </c>
      <c r="I1035" s="10">
        <v>5</v>
      </c>
      <c r="J1035" s="10">
        <f>SUM(B1035:I1035)</f>
        <v>81.28</v>
      </c>
      <c r="K1035">
        <v>2016</v>
      </c>
      <c r="L1035">
        <v>10</v>
      </c>
      <c r="M1035" s="11">
        <v>42644</v>
      </c>
      <c r="N1035" t="s">
        <v>2182</v>
      </c>
      <c r="O1035">
        <v>1</v>
      </c>
      <c r="P1035" t="s">
        <v>61</v>
      </c>
      <c r="Q1035" t="b">
        <v>1</v>
      </c>
    </row>
    <row r="1036" spans="1:17">
      <c r="A1036" s="12">
        <v>42675</v>
      </c>
      <c r="B1036" s="10">
        <v>2.33</v>
      </c>
      <c r="C1036" s="10">
        <v>1.703</v>
      </c>
      <c r="D1036" s="10">
        <v>4</v>
      </c>
      <c r="E1036" s="10">
        <v>25.9</v>
      </c>
      <c r="F1036" s="10">
        <v>18</v>
      </c>
      <c r="G1036" s="10">
        <v>0</v>
      </c>
      <c r="H1036" s="10">
        <v>6</v>
      </c>
      <c r="I1036" s="10">
        <v>3</v>
      </c>
      <c r="J1036" s="10">
        <f>SUM(B1036:I1036)</f>
        <v>60.933</v>
      </c>
      <c r="K1036">
        <v>2016</v>
      </c>
      <c r="L1036">
        <v>11</v>
      </c>
      <c r="M1036" s="11">
        <v>42675</v>
      </c>
      <c r="N1036" t="s">
        <v>2183</v>
      </c>
      <c r="O1036">
        <v>2</v>
      </c>
      <c r="P1036" t="s">
        <v>63</v>
      </c>
      <c r="Q1036" t="b">
        <v>1</v>
      </c>
    </row>
    <row r="1037" spans="1:17">
      <c r="A1037" s="12">
        <v>42676</v>
      </c>
      <c r="B1037" s="10">
        <v>4</v>
      </c>
      <c r="C1037" s="10">
        <v>3.703</v>
      </c>
      <c r="D1037" s="10">
        <v>4.1</v>
      </c>
      <c r="E1037" s="10">
        <v>42.2</v>
      </c>
      <c r="F1037" s="10">
        <v>1</v>
      </c>
      <c r="G1037" s="10">
        <v>0</v>
      </c>
      <c r="H1037" s="10">
        <v>2</v>
      </c>
      <c r="I1037" s="10">
        <v>3</v>
      </c>
      <c r="J1037" s="10">
        <f>SUM(B1037:I1037)</f>
        <v>60.003</v>
      </c>
      <c r="K1037">
        <v>2016</v>
      </c>
      <c r="L1037">
        <v>11</v>
      </c>
      <c r="M1037" s="11">
        <v>42675</v>
      </c>
      <c r="N1037" t="s">
        <v>2183</v>
      </c>
      <c r="O1037">
        <v>3</v>
      </c>
      <c r="P1037" t="s">
        <v>65</v>
      </c>
      <c r="Q1037" t="b">
        <v>1</v>
      </c>
    </row>
    <row r="1038" spans="1:17">
      <c r="A1038" s="12">
        <v>42677</v>
      </c>
      <c r="B1038" s="10">
        <v>2</v>
      </c>
      <c r="C1038" s="10">
        <v>1</v>
      </c>
      <c r="D1038" s="10">
        <v>3</v>
      </c>
      <c r="E1038" s="10">
        <v>42.5</v>
      </c>
      <c r="F1038" s="10">
        <v>3</v>
      </c>
      <c r="G1038" s="10">
        <v>0</v>
      </c>
      <c r="H1038" s="10">
        <v>0</v>
      </c>
      <c r="I1038" s="10">
        <v>1</v>
      </c>
      <c r="J1038" s="10">
        <f>SUM(B1038:I1038)</f>
        <v>52.5</v>
      </c>
      <c r="K1038">
        <v>2016</v>
      </c>
      <c r="L1038">
        <v>11</v>
      </c>
      <c r="M1038" s="11">
        <v>42675</v>
      </c>
      <c r="N1038" t="s">
        <v>2183</v>
      </c>
      <c r="O1038">
        <v>4</v>
      </c>
      <c r="P1038" t="s">
        <v>53</v>
      </c>
      <c r="Q1038" t="b">
        <v>1</v>
      </c>
    </row>
    <row r="1039" spans="1:17">
      <c r="A1039" s="12">
        <v>42678</v>
      </c>
      <c r="B1039" s="10">
        <v>8.33</v>
      </c>
      <c r="C1039" s="10">
        <v>4.373</v>
      </c>
      <c r="D1039" s="10">
        <v>3.6</v>
      </c>
      <c r="E1039" s="10">
        <v>24.3</v>
      </c>
      <c r="F1039" s="10">
        <v>14</v>
      </c>
      <c r="G1039" s="10">
        <v>1</v>
      </c>
      <c r="H1039" s="10">
        <v>6</v>
      </c>
      <c r="I1039" s="10">
        <v>4.2</v>
      </c>
      <c r="J1039" s="10">
        <f>SUM(B1039:I1039)</f>
        <v>65.803</v>
      </c>
      <c r="K1039">
        <v>2016</v>
      </c>
      <c r="L1039">
        <v>11</v>
      </c>
      <c r="M1039" s="11">
        <v>42675</v>
      </c>
      <c r="N1039" t="s">
        <v>2183</v>
      </c>
      <c r="O1039">
        <v>5</v>
      </c>
      <c r="P1039" t="s">
        <v>55</v>
      </c>
      <c r="Q1039" t="b">
        <v>1</v>
      </c>
    </row>
    <row r="1040" spans="1:17">
      <c r="A1040" s="12">
        <v>42679</v>
      </c>
      <c r="B1040" s="10">
        <v>7.666666667</v>
      </c>
      <c r="C1040" s="10">
        <v>3.02</v>
      </c>
      <c r="D1040" s="10">
        <v>5.8</v>
      </c>
      <c r="E1040" s="10">
        <v>35.4</v>
      </c>
      <c r="F1040" s="10">
        <v>9</v>
      </c>
      <c r="G1040" s="10">
        <v>0</v>
      </c>
      <c r="H1040" s="10">
        <v>0</v>
      </c>
      <c r="I1040" s="10">
        <v>2</v>
      </c>
      <c r="J1040" s="10">
        <f>SUM(B1040:I1040)</f>
        <v>62.886666667</v>
      </c>
      <c r="K1040">
        <v>2016</v>
      </c>
      <c r="L1040">
        <v>11</v>
      </c>
      <c r="M1040" s="11">
        <v>42675</v>
      </c>
      <c r="N1040" t="s">
        <v>2183</v>
      </c>
      <c r="O1040">
        <v>6</v>
      </c>
      <c r="P1040" t="s">
        <v>57</v>
      </c>
      <c r="Q1040" t="b">
        <v>1</v>
      </c>
    </row>
    <row r="1041" spans="1:17">
      <c r="A1041" s="12">
        <v>42680</v>
      </c>
      <c r="B1041" s="10">
        <v>8</v>
      </c>
      <c r="C1041" s="10">
        <v>4.34</v>
      </c>
      <c r="D1041" s="10">
        <v>3</v>
      </c>
      <c r="E1041" s="10">
        <v>42.45</v>
      </c>
      <c r="F1041" s="10">
        <v>3</v>
      </c>
      <c r="G1041" s="10">
        <v>2</v>
      </c>
      <c r="H1041" s="10">
        <v>11</v>
      </c>
      <c r="I1041" s="10">
        <v>5</v>
      </c>
      <c r="J1041" s="10">
        <f>SUM(B1041:I1041)</f>
        <v>78.79</v>
      </c>
      <c r="K1041">
        <v>2016</v>
      </c>
      <c r="L1041">
        <v>11</v>
      </c>
      <c r="M1041" s="11">
        <v>42675</v>
      </c>
      <c r="N1041" t="s">
        <v>2183</v>
      </c>
      <c r="O1041">
        <v>7</v>
      </c>
      <c r="P1041" t="s">
        <v>59</v>
      </c>
      <c r="Q1041" t="b">
        <v>1</v>
      </c>
    </row>
    <row r="1042" spans="1:17">
      <c r="A1042" s="12">
        <v>42681</v>
      </c>
      <c r="B1042" s="10">
        <v>5</v>
      </c>
      <c r="C1042" s="10">
        <v>2.726</v>
      </c>
      <c r="D1042" s="10">
        <v>6.3</v>
      </c>
      <c r="E1042" s="10">
        <v>35</v>
      </c>
      <c r="F1042" s="10">
        <v>9</v>
      </c>
      <c r="G1042" s="10">
        <v>0</v>
      </c>
      <c r="H1042" s="10">
        <v>5</v>
      </c>
      <c r="I1042" s="10">
        <v>1</v>
      </c>
      <c r="J1042" s="10">
        <f>SUM(B1042:I1042)</f>
        <v>64.026</v>
      </c>
      <c r="K1042">
        <v>2016</v>
      </c>
      <c r="L1042">
        <v>11</v>
      </c>
      <c r="M1042" s="11">
        <v>42675</v>
      </c>
      <c r="N1042" t="s">
        <v>2183</v>
      </c>
      <c r="O1042">
        <v>1</v>
      </c>
      <c r="P1042" t="s">
        <v>61</v>
      </c>
      <c r="Q1042" t="b">
        <v>1</v>
      </c>
    </row>
    <row r="1043" spans="1:17">
      <c r="A1043" s="12">
        <v>42682</v>
      </c>
      <c r="B1043" s="10">
        <v>7</v>
      </c>
      <c r="C1043" s="10">
        <v>2.35</v>
      </c>
      <c r="D1043" s="10">
        <v>8</v>
      </c>
      <c r="E1043" s="10">
        <v>20</v>
      </c>
      <c r="F1043" s="10">
        <v>19.16666667</v>
      </c>
      <c r="G1043" s="10">
        <v>2</v>
      </c>
      <c r="H1043" s="10">
        <v>8</v>
      </c>
      <c r="I1043" s="10">
        <v>3</v>
      </c>
      <c r="J1043" s="10">
        <f>SUM(B1043:I1043)</f>
        <v>69.51666667</v>
      </c>
      <c r="K1043">
        <v>2016</v>
      </c>
      <c r="L1043">
        <v>11</v>
      </c>
      <c r="M1043" s="11">
        <v>42675</v>
      </c>
      <c r="N1043" t="s">
        <v>2183</v>
      </c>
      <c r="O1043">
        <v>2</v>
      </c>
      <c r="P1043" t="s">
        <v>63</v>
      </c>
      <c r="Q1043" t="b">
        <v>1</v>
      </c>
    </row>
    <row r="1044" spans="1:17">
      <c r="A1044" s="12">
        <v>42683</v>
      </c>
      <c r="B1044" s="10">
        <v>2.34</v>
      </c>
      <c r="C1044" s="10">
        <v>5.66</v>
      </c>
      <c r="D1044" s="10">
        <v>1.4</v>
      </c>
      <c r="E1044" s="10">
        <v>25</v>
      </c>
      <c r="F1044" s="10">
        <v>18</v>
      </c>
      <c r="G1044" s="10">
        <v>0</v>
      </c>
      <c r="H1044" s="10">
        <v>4</v>
      </c>
      <c r="I1044" s="10">
        <v>0</v>
      </c>
      <c r="J1044" s="10">
        <f>SUM(B1044:I1044)</f>
        <v>56.4</v>
      </c>
      <c r="K1044">
        <v>2016</v>
      </c>
      <c r="L1044">
        <v>11</v>
      </c>
      <c r="M1044" s="11">
        <v>42675</v>
      </c>
      <c r="N1044" t="s">
        <v>2183</v>
      </c>
      <c r="O1044">
        <v>3</v>
      </c>
      <c r="P1044" t="s">
        <v>65</v>
      </c>
      <c r="Q1044" t="b">
        <v>1</v>
      </c>
    </row>
    <row r="1045" spans="1:17">
      <c r="A1045" s="12">
        <v>42684</v>
      </c>
      <c r="B1045" s="10">
        <v>7.33</v>
      </c>
      <c r="C1045" s="10">
        <v>6.33</v>
      </c>
      <c r="D1045" s="10">
        <v>7</v>
      </c>
      <c r="E1045" s="10">
        <v>31.1</v>
      </c>
      <c r="F1045" s="10">
        <v>5</v>
      </c>
      <c r="G1045" s="10">
        <v>2</v>
      </c>
      <c r="H1045" s="10">
        <v>12</v>
      </c>
      <c r="I1045" s="10">
        <v>3.4</v>
      </c>
      <c r="J1045" s="10">
        <f>SUM(B1045:I1045)</f>
        <v>74.16000000000001</v>
      </c>
      <c r="K1045">
        <v>2016</v>
      </c>
      <c r="L1045">
        <v>11</v>
      </c>
      <c r="M1045" s="11">
        <v>42675</v>
      </c>
      <c r="N1045" t="s">
        <v>2183</v>
      </c>
      <c r="O1045">
        <v>4</v>
      </c>
      <c r="P1045" t="s">
        <v>53</v>
      </c>
      <c r="Q1045" t="b">
        <v>1</v>
      </c>
    </row>
    <row r="1046" spans="1:17">
      <c r="A1046" s="12">
        <v>42685</v>
      </c>
      <c r="B1046" s="10">
        <v>10.66</v>
      </c>
      <c r="C1046" s="10">
        <v>1.759</v>
      </c>
      <c r="D1046" s="10">
        <v>4</v>
      </c>
      <c r="E1046" s="10">
        <v>33</v>
      </c>
      <c r="F1046" s="10">
        <v>6</v>
      </c>
      <c r="G1046" s="10">
        <v>0</v>
      </c>
      <c r="H1046" s="10">
        <v>1</v>
      </c>
      <c r="I1046" s="10">
        <v>1</v>
      </c>
      <c r="J1046" s="10">
        <f>SUM(B1046:I1046)</f>
        <v>57.419</v>
      </c>
      <c r="K1046">
        <v>2016</v>
      </c>
      <c r="L1046">
        <v>11</v>
      </c>
      <c r="M1046" s="11">
        <v>42675</v>
      </c>
      <c r="N1046" t="s">
        <v>2183</v>
      </c>
      <c r="O1046">
        <v>5</v>
      </c>
      <c r="P1046" t="s">
        <v>55</v>
      </c>
      <c r="Q1046" t="b">
        <v>1</v>
      </c>
    </row>
    <row r="1047" spans="1:17">
      <c r="A1047" s="12">
        <v>42686</v>
      </c>
      <c r="B1047" s="10">
        <v>8</v>
      </c>
      <c r="C1047" s="10">
        <v>3.825</v>
      </c>
      <c r="D1047" s="10">
        <v>7</v>
      </c>
      <c r="E1047" s="10">
        <v>56.5</v>
      </c>
      <c r="F1047" s="10">
        <v>10</v>
      </c>
      <c r="G1047" s="10">
        <v>0</v>
      </c>
      <c r="H1047" s="10">
        <v>1</v>
      </c>
      <c r="I1047" s="10">
        <v>1.2</v>
      </c>
      <c r="J1047" s="10">
        <f>SUM(B1047:I1047)</f>
        <v>87.525</v>
      </c>
      <c r="K1047">
        <v>2016</v>
      </c>
      <c r="L1047">
        <v>11</v>
      </c>
      <c r="M1047" s="11">
        <v>42675</v>
      </c>
      <c r="N1047" t="s">
        <v>2183</v>
      </c>
      <c r="O1047">
        <v>6</v>
      </c>
      <c r="P1047" t="s">
        <v>57</v>
      </c>
      <c r="Q1047" t="b">
        <v>1</v>
      </c>
    </row>
    <row r="1048" spans="1:17">
      <c r="A1048" s="12">
        <v>42687</v>
      </c>
      <c r="B1048" s="10">
        <v>6</v>
      </c>
      <c r="C1048" s="10">
        <v>11.32</v>
      </c>
      <c r="D1048" s="10">
        <v>3.6</v>
      </c>
      <c r="E1048" s="10">
        <v>60.2</v>
      </c>
      <c r="F1048" s="10">
        <v>0</v>
      </c>
      <c r="G1048" s="10">
        <v>0</v>
      </c>
      <c r="H1048" s="10">
        <v>5</v>
      </c>
      <c r="I1048" s="10">
        <v>1</v>
      </c>
      <c r="J1048" s="10">
        <f>SUM(B1048:I1048)</f>
        <v>87.12</v>
      </c>
      <c r="K1048">
        <v>2016</v>
      </c>
      <c r="L1048">
        <v>11</v>
      </c>
      <c r="M1048" s="11">
        <v>42675</v>
      </c>
      <c r="N1048" t="s">
        <v>2183</v>
      </c>
      <c r="O1048">
        <v>7</v>
      </c>
      <c r="P1048" t="s">
        <v>59</v>
      </c>
      <c r="Q1048" t="b">
        <v>1</v>
      </c>
    </row>
    <row r="1049" spans="1:17">
      <c r="A1049" s="12">
        <v>42688</v>
      </c>
      <c r="B1049" s="10">
        <v>10</v>
      </c>
      <c r="C1049" s="10">
        <v>4.726</v>
      </c>
      <c r="D1049" s="10">
        <v>3.8</v>
      </c>
      <c r="E1049" s="10">
        <v>50.5</v>
      </c>
      <c r="F1049" s="10">
        <v>5</v>
      </c>
      <c r="G1049" s="10">
        <v>3</v>
      </c>
      <c r="H1049" s="10">
        <v>1</v>
      </c>
      <c r="I1049" s="10">
        <v>1</v>
      </c>
      <c r="J1049" s="10">
        <f>SUM(B1049:I1049)</f>
        <v>79.026</v>
      </c>
      <c r="K1049">
        <v>2016</v>
      </c>
      <c r="L1049">
        <v>11</v>
      </c>
      <c r="M1049" s="11">
        <v>42675</v>
      </c>
      <c r="N1049" t="s">
        <v>2183</v>
      </c>
      <c r="O1049">
        <v>1</v>
      </c>
      <c r="P1049" t="s">
        <v>61</v>
      </c>
      <c r="Q1049" t="b">
        <v>1</v>
      </c>
    </row>
    <row r="1050" spans="1:17">
      <c r="A1050" s="12">
        <v>42689</v>
      </c>
      <c r="B1050" s="10">
        <v>5.33</v>
      </c>
      <c r="C1050" s="10">
        <v>0.33</v>
      </c>
      <c r="D1050" s="10">
        <v>4</v>
      </c>
      <c r="E1050" s="10">
        <v>30.1</v>
      </c>
      <c r="F1050" s="10">
        <v>27</v>
      </c>
      <c r="G1050" s="10">
        <v>5</v>
      </c>
      <c r="H1050" s="10">
        <v>5</v>
      </c>
      <c r="I1050" s="10">
        <v>1</v>
      </c>
      <c r="J1050" s="10">
        <f>SUM(B1050:I1050)</f>
        <v>77.76</v>
      </c>
      <c r="K1050">
        <v>2016</v>
      </c>
      <c r="L1050">
        <v>11</v>
      </c>
      <c r="M1050" s="11">
        <v>42675</v>
      </c>
      <c r="N1050" t="s">
        <v>2183</v>
      </c>
      <c r="O1050">
        <v>2</v>
      </c>
      <c r="P1050" t="s">
        <v>63</v>
      </c>
      <c r="Q1050" t="b">
        <v>1</v>
      </c>
    </row>
    <row r="1051" spans="1:17">
      <c r="A1051" s="12">
        <v>42690</v>
      </c>
      <c r="B1051" s="10">
        <v>4</v>
      </c>
      <c r="C1051" s="10">
        <v>3.167</v>
      </c>
      <c r="D1051" s="10">
        <v>4</v>
      </c>
      <c r="E1051" s="10">
        <v>38.912</v>
      </c>
      <c r="F1051" s="10">
        <v>5</v>
      </c>
      <c r="G1051" s="10">
        <v>0</v>
      </c>
      <c r="H1051" s="10">
        <v>10</v>
      </c>
      <c r="I1051" s="10">
        <v>1</v>
      </c>
      <c r="J1051" s="10">
        <f>SUM(B1051:I1051)</f>
        <v>66.07900000000001</v>
      </c>
      <c r="K1051">
        <v>2016</v>
      </c>
      <c r="L1051">
        <v>11</v>
      </c>
      <c r="M1051" s="11">
        <v>42675</v>
      </c>
      <c r="N1051" t="s">
        <v>2183</v>
      </c>
      <c r="O1051">
        <v>3</v>
      </c>
      <c r="P1051" t="s">
        <v>65</v>
      </c>
      <c r="Q1051" t="b">
        <v>1</v>
      </c>
    </row>
    <row r="1052" spans="1:17">
      <c r="A1052" s="12">
        <v>42691</v>
      </c>
      <c r="B1052" s="10">
        <v>5</v>
      </c>
      <c r="C1052" s="10">
        <v>2.726</v>
      </c>
      <c r="D1052" s="10">
        <v>5.7</v>
      </c>
      <c r="E1052" s="10">
        <v>41.4</v>
      </c>
      <c r="F1052" s="10">
        <v>0</v>
      </c>
      <c r="G1052" s="10">
        <v>0</v>
      </c>
      <c r="H1052" s="10">
        <v>1</v>
      </c>
      <c r="I1052" s="10">
        <v>1.4</v>
      </c>
      <c r="J1052" s="10">
        <f>SUM(B1052:I1052)</f>
        <v>57.226</v>
      </c>
      <c r="K1052">
        <v>2016</v>
      </c>
      <c r="L1052">
        <v>11</v>
      </c>
      <c r="M1052" s="11">
        <v>42675</v>
      </c>
      <c r="N1052" t="s">
        <v>2183</v>
      </c>
      <c r="O1052">
        <v>4</v>
      </c>
      <c r="P1052" t="s">
        <v>53</v>
      </c>
      <c r="Q1052" t="b">
        <v>1</v>
      </c>
    </row>
    <row r="1053" spans="1:17">
      <c r="A1053" s="12">
        <v>42692</v>
      </c>
      <c r="B1053" s="10">
        <v>1.33</v>
      </c>
      <c r="C1053" s="10">
        <v>4.33</v>
      </c>
      <c r="D1053" s="10">
        <v>6.25</v>
      </c>
      <c r="E1053" s="10">
        <v>31</v>
      </c>
      <c r="F1053" s="10">
        <v>7</v>
      </c>
      <c r="G1053" s="10">
        <v>1</v>
      </c>
      <c r="H1053" s="10">
        <v>2</v>
      </c>
      <c r="I1053" s="10">
        <v>2</v>
      </c>
      <c r="J1053" s="10">
        <f>SUM(B1053:I1053)</f>
        <v>54.91</v>
      </c>
      <c r="K1053">
        <v>2016</v>
      </c>
      <c r="L1053">
        <v>11</v>
      </c>
      <c r="M1053" s="11">
        <v>42675</v>
      </c>
      <c r="N1053" t="s">
        <v>2183</v>
      </c>
      <c r="O1053">
        <v>5</v>
      </c>
      <c r="P1053" t="s">
        <v>55</v>
      </c>
      <c r="Q1053" t="b">
        <v>1</v>
      </c>
    </row>
    <row r="1054" spans="1:17">
      <c r="A1054" s="12">
        <v>42693</v>
      </c>
      <c r="B1054" s="10">
        <v>5</v>
      </c>
      <c r="C1054" s="10">
        <v>2.7</v>
      </c>
      <c r="D1054" s="10">
        <v>4</v>
      </c>
      <c r="E1054" s="10">
        <v>35.4</v>
      </c>
      <c r="F1054" s="10">
        <v>3</v>
      </c>
      <c r="G1054" s="10">
        <v>0</v>
      </c>
      <c r="H1054" s="10">
        <v>3</v>
      </c>
      <c r="I1054" s="10">
        <v>2</v>
      </c>
      <c r="J1054" s="10">
        <f>SUM(B1054:I1054)</f>
        <v>55.099999999999994</v>
      </c>
      <c r="K1054">
        <v>2016</v>
      </c>
      <c r="L1054">
        <v>11</v>
      </c>
      <c r="M1054" s="11">
        <v>42675</v>
      </c>
      <c r="N1054" t="s">
        <v>2183</v>
      </c>
      <c r="O1054">
        <v>6</v>
      </c>
      <c r="P1054" t="s">
        <v>57</v>
      </c>
      <c r="Q1054" t="b">
        <v>1</v>
      </c>
    </row>
    <row r="1055" spans="1:17">
      <c r="A1055" s="12">
        <v>42694</v>
      </c>
      <c r="B1055" s="10">
        <v>7</v>
      </c>
      <c r="C1055" s="10">
        <v>4.34</v>
      </c>
      <c r="D1055" s="10">
        <v>5</v>
      </c>
      <c r="E1055" s="10">
        <v>25.5</v>
      </c>
      <c r="F1055" s="10">
        <v>3</v>
      </c>
      <c r="G1055" s="10">
        <v>0</v>
      </c>
      <c r="H1055" s="10">
        <v>0</v>
      </c>
      <c r="I1055" s="10">
        <v>2</v>
      </c>
      <c r="J1055" s="10">
        <f>SUM(B1055:I1055)</f>
        <v>46.84</v>
      </c>
      <c r="K1055">
        <v>2016</v>
      </c>
      <c r="L1055">
        <v>11</v>
      </c>
      <c r="M1055" s="11">
        <v>42675</v>
      </c>
      <c r="N1055" t="s">
        <v>2183</v>
      </c>
      <c r="O1055">
        <v>7</v>
      </c>
      <c r="P1055" t="s">
        <v>59</v>
      </c>
      <c r="Q1055" t="b">
        <v>1</v>
      </c>
    </row>
    <row r="1056" spans="1:17">
      <c r="A1056" s="12">
        <v>42695</v>
      </c>
      <c r="B1056" s="10">
        <v>1.34</v>
      </c>
      <c r="C1056" s="10">
        <v>3.34</v>
      </c>
      <c r="D1056" s="10">
        <v>5.25</v>
      </c>
      <c r="E1056" s="10">
        <v>30</v>
      </c>
      <c r="F1056" s="10">
        <v>1</v>
      </c>
      <c r="G1056" s="10">
        <v>0</v>
      </c>
      <c r="H1056" s="10">
        <v>13</v>
      </c>
      <c r="I1056" s="10">
        <v>3</v>
      </c>
      <c r="J1056" s="10">
        <f>SUM(B1056:I1056)</f>
        <v>56.93</v>
      </c>
      <c r="K1056">
        <v>2016</v>
      </c>
      <c r="L1056">
        <v>11</v>
      </c>
      <c r="M1056" s="11">
        <v>42675</v>
      </c>
      <c r="N1056" t="s">
        <v>2183</v>
      </c>
      <c r="O1056">
        <v>1</v>
      </c>
      <c r="P1056" t="s">
        <v>61</v>
      </c>
      <c r="Q1056" t="b">
        <v>1</v>
      </c>
    </row>
    <row r="1057" spans="1:17">
      <c r="A1057" s="12">
        <v>42696</v>
      </c>
      <c r="B1057" s="10">
        <v>4.01</v>
      </c>
      <c r="C1057" s="10">
        <v>4.703</v>
      </c>
      <c r="D1057" s="10">
        <v>1.1</v>
      </c>
      <c r="E1057" s="10">
        <v>23</v>
      </c>
      <c r="F1057" s="10">
        <v>3</v>
      </c>
      <c r="G1057" s="10">
        <v>2</v>
      </c>
      <c r="H1057" s="10">
        <v>7</v>
      </c>
      <c r="I1057" s="10">
        <v>2</v>
      </c>
      <c r="J1057" s="10">
        <f>SUM(B1057:I1057)</f>
        <v>46.813</v>
      </c>
      <c r="K1057">
        <v>2016</v>
      </c>
      <c r="L1057">
        <v>11</v>
      </c>
      <c r="M1057" s="11">
        <v>42675</v>
      </c>
      <c r="N1057" t="s">
        <v>2183</v>
      </c>
      <c r="O1057">
        <v>2</v>
      </c>
      <c r="P1057" t="s">
        <v>63</v>
      </c>
      <c r="Q1057" t="b">
        <v>1</v>
      </c>
    </row>
    <row r="1058" spans="1:17">
      <c r="A1058" s="12">
        <v>42697</v>
      </c>
      <c r="B1058" s="10">
        <v>3</v>
      </c>
      <c r="C1058" s="10">
        <v>4.33</v>
      </c>
      <c r="D1058" s="10">
        <v>3.7</v>
      </c>
      <c r="E1058" s="10">
        <v>44.124</v>
      </c>
      <c r="F1058" s="10">
        <v>5</v>
      </c>
      <c r="G1058" s="10">
        <v>0</v>
      </c>
      <c r="H1058" s="10">
        <v>0</v>
      </c>
      <c r="I1058" s="10">
        <v>1</v>
      </c>
      <c r="J1058" s="10">
        <f>SUM(B1058:I1058)</f>
        <v>61.154</v>
      </c>
      <c r="K1058">
        <v>2016</v>
      </c>
      <c r="L1058">
        <v>11</v>
      </c>
      <c r="M1058" s="11">
        <v>42675</v>
      </c>
      <c r="N1058" t="s">
        <v>2183</v>
      </c>
      <c r="O1058">
        <v>3</v>
      </c>
      <c r="P1058" t="s">
        <v>65</v>
      </c>
      <c r="Q1058" t="b">
        <v>1</v>
      </c>
    </row>
    <row r="1059" spans="1:17">
      <c r="A1059" s="12">
        <v>42698</v>
      </c>
      <c r="B1059" s="10">
        <v>8.67</v>
      </c>
      <c r="C1059" s="10">
        <v>4.333</v>
      </c>
      <c r="D1059" s="10">
        <v>6</v>
      </c>
      <c r="E1059" s="10">
        <v>28</v>
      </c>
      <c r="F1059" s="10">
        <v>2</v>
      </c>
      <c r="G1059" s="10">
        <v>0</v>
      </c>
      <c r="H1059" s="10">
        <v>10</v>
      </c>
      <c r="I1059" s="10">
        <v>3</v>
      </c>
      <c r="J1059" s="10">
        <f>SUM(B1059:I1059)</f>
        <v>62.003</v>
      </c>
      <c r="K1059">
        <v>2016</v>
      </c>
      <c r="L1059">
        <v>11</v>
      </c>
      <c r="M1059" s="11">
        <v>42675</v>
      </c>
      <c r="N1059" t="s">
        <v>2183</v>
      </c>
      <c r="O1059">
        <v>4</v>
      </c>
      <c r="P1059" t="s">
        <v>53</v>
      </c>
      <c r="Q1059" t="b">
        <v>1</v>
      </c>
    </row>
    <row r="1060" spans="1:17">
      <c r="A1060" s="12">
        <v>42699</v>
      </c>
      <c r="B1060" s="10">
        <v>7.34</v>
      </c>
      <c r="C1060" s="10">
        <v>5</v>
      </c>
      <c r="D1060" s="10">
        <v>7</v>
      </c>
      <c r="E1060" s="10">
        <v>21</v>
      </c>
      <c r="F1060" s="10">
        <v>20</v>
      </c>
      <c r="G1060" s="10">
        <v>4</v>
      </c>
      <c r="H1060" s="10">
        <v>5</v>
      </c>
      <c r="I1060" s="10">
        <v>1</v>
      </c>
      <c r="J1060" s="10">
        <f>SUM(B1060:I1060)</f>
        <v>70.34</v>
      </c>
      <c r="K1060">
        <v>2016</v>
      </c>
      <c r="L1060">
        <v>11</v>
      </c>
      <c r="M1060" s="11">
        <v>42675</v>
      </c>
      <c r="N1060" t="s">
        <v>2183</v>
      </c>
      <c r="O1060">
        <v>5</v>
      </c>
      <c r="P1060" t="s">
        <v>55</v>
      </c>
      <c r="Q1060" t="b">
        <v>1</v>
      </c>
    </row>
    <row r="1061" spans="1:17">
      <c r="A1061" s="12">
        <v>42700</v>
      </c>
      <c r="B1061" s="10">
        <v>3.33</v>
      </c>
      <c r="C1061" s="10">
        <v>5</v>
      </c>
      <c r="D1061" s="10">
        <v>4</v>
      </c>
      <c r="E1061" s="10">
        <v>36</v>
      </c>
      <c r="F1061" s="10">
        <v>9</v>
      </c>
      <c r="G1061" s="10">
        <v>3</v>
      </c>
      <c r="H1061" s="10">
        <v>12</v>
      </c>
      <c r="I1061" s="10">
        <v>2</v>
      </c>
      <c r="J1061" s="10">
        <f>SUM(B1061:I1061)</f>
        <v>74.33</v>
      </c>
      <c r="K1061">
        <v>2016</v>
      </c>
      <c r="L1061">
        <v>11</v>
      </c>
      <c r="M1061" s="11">
        <v>42675</v>
      </c>
      <c r="N1061" t="s">
        <v>2183</v>
      </c>
      <c r="O1061">
        <v>6</v>
      </c>
      <c r="P1061" t="s">
        <v>57</v>
      </c>
      <c r="Q1061" t="b">
        <v>1</v>
      </c>
    </row>
    <row r="1062" spans="1:17">
      <c r="A1062" s="12">
        <v>42701</v>
      </c>
      <c r="B1062" s="10">
        <v>9.33</v>
      </c>
      <c r="C1062" s="10">
        <v>5.693</v>
      </c>
      <c r="D1062" s="10">
        <v>3.9</v>
      </c>
      <c r="E1062" s="10">
        <v>61</v>
      </c>
      <c r="F1062" s="10">
        <v>5</v>
      </c>
      <c r="G1062" s="10">
        <v>0</v>
      </c>
      <c r="H1062" s="10">
        <v>1</v>
      </c>
      <c r="I1062" s="10">
        <v>0</v>
      </c>
      <c r="J1062" s="10">
        <f>SUM(B1062:I1062)</f>
        <v>85.923</v>
      </c>
      <c r="K1062">
        <v>2016</v>
      </c>
      <c r="L1062">
        <v>11</v>
      </c>
      <c r="M1062" s="11">
        <v>42675</v>
      </c>
      <c r="N1062" t="s">
        <v>2183</v>
      </c>
      <c r="O1062">
        <v>7</v>
      </c>
      <c r="P1062" t="s">
        <v>59</v>
      </c>
      <c r="Q1062" t="b">
        <v>1</v>
      </c>
    </row>
    <row r="1063" spans="1:17">
      <c r="A1063" s="12">
        <v>42702</v>
      </c>
      <c r="B1063" s="10">
        <v>4.5</v>
      </c>
      <c r="C1063" s="10">
        <v>1.363</v>
      </c>
      <c r="D1063" s="10">
        <v>2.05</v>
      </c>
      <c r="E1063" s="10">
        <v>23</v>
      </c>
      <c r="F1063" s="10">
        <v>5</v>
      </c>
      <c r="G1063" s="10">
        <v>0</v>
      </c>
      <c r="H1063" s="10">
        <v>12</v>
      </c>
      <c r="I1063" s="10">
        <v>0</v>
      </c>
      <c r="J1063" s="10">
        <f>SUM(B1063:I1063)</f>
        <v>47.913</v>
      </c>
      <c r="K1063">
        <v>2016</v>
      </c>
      <c r="L1063">
        <v>11</v>
      </c>
      <c r="M1063" s="11">
        <v>42675</v>
      </c>
      <c r="N1063" t="s">
        <v>2183</v>
      </c>
      <c r="O1063">
        <v>1</v>
      </c>
      <c r="P1063" t="s">
        <v>61</v>
      </c>
      <c r="Q1063" t="b">
        <v>1</v>
      </c>
    </row>
    <row r="1064" spans="1:17">
      <c r="A1064" s="12">
        <v>42703</v>
      </c>
      <c r="B1064" s="10">
        <v>5.68</v>
      </c>
      <c r="C1064" s="10">
        <v>5.67</v>
      </c>
      <c r="D1064" s="10">
        <v>3</v>
      </c>
      <c r="E1064" s="10">
        <v>45.6</v>
      </c>
      <c r="F1064" s="10">
        <v>6</v>
      </c>
      <c r="G1064" s="10">
        <v>2</v>
      </c>
      <c r="H1064" s="10">
        <v>0</v>
      </c>
      <c r="I1064" s="10">
        <v>0</v>
      </c>
      <c r="J1064" s="10">
        <f>SUM(B1064:I1064)</f>
        <v>67.95</v>
      </c>
      <c r="K1064">
        <v>2016</v>
      </c>
      <c r="L1064">
        <v>11</v>
      </c>
      <c r="M1064" s="11">
        <v>42675</v>
      </c>
      <c r="N1064" t="s">
        <v>2183</v>
      </c>
      <c r="O1064">
        <v>2</v>
      </c>
      <c r="P1064" t="s">
        <v>63</v>
      </c>
      <c r="Q1064" t="b">
        <v>1</v>
      </c>
    </row>
    <row r="1065" spans="1:17">
      <c r="A1065" s="12">
        <v>42704</v>
      </c>
      <c r="B1065" s="10">
        <v>3.33</v>
      </c>
      <c r="C1065" s="10">
        <v>2.99</v>
      </c>
      <c r="D1065" s="10">
        <v>4.3</v>
      </c>
      <c r="E1065" s="10">
        <v>24.6</v>
      </c>
      <c r="F1065" s="10">
        <v>13</v>
      </c>
      <c r="G1065" s="10">
        <v>0</v>
      </c>
      <c r="H1065" s="10">
        <v>7</v>
      </c>
      <c r="I1065" s="10">
        <v>0</v>
      </c>
      <c r="J1065" s="10">
        <f>SUM(B1065:I1065)</f>
        <v>55.22</v>
      </c>
      <c r="K1065">
        <v>2016</v>
      </c>
      <c r="L1065">
        <v>11</v>
      </c>
      <c r="M1065" s="11">
        <v>42675</v>
      </c>
      <c r="N1065" t="s">
        <v>2183</v>
      </c>
      <c r="O1065">
        <v>3</v>
      </c>
      <c r="P1065" t="s">
        <v>65</v>
      </c>
      <c r="Q1065" t="b">
        <v>1</v>
      </c>
    </row>
    <row r="1066" spans="1:17">
      <c r="A1066" s="12">
        <v>42705</v>
      </c>
      <c r="B1066" s="10">
        <v>4.5</v>
      </c>
      <c r="C1066" s="10">
        <v>2.363</v>
      </c>
      <c r="D1066" s="10">
        <v>1.5</v>
      </c>
      <c r="E1066" s="10">
        <v>55.662</v>
      </c>
      <c r="F1066" s="10">
        <v>8</v>
      </c>
      <c r="G1066" s="10">
        <v>0</v>
      </c>
      <c r="H1066" s="10">
        <v>9</v>
      </c>
      <c r="I1066" s="10">
        <v>0</v>
      </c>
      <c r="J1066" s="10">
        <f>SUM(B1066:I1066)</f>
        <v>81.025</v>
      </c>
      <c r="K1066">
        <v>2016</v>
      </c>
      <c r="L1066">
        <v>12</v>
      </c>
      <c r="M1066" s="11">
        <v>42705</v>
      </c>
      <c r="N1066" t="s">
        <v>2184</v>
      </c>
      <c r="O1066">
        <v>4</v>
      </c>
      <c r="P1066" t="s">
        <v>53</v>
      </c>
      <c r="Q1066" t="b">
        <v>1</v>
      </c>
    </row>
    <row r="1067" spans="1:17">
      <c r="A1067" s="12">
        <v>42706</v>
      </c>
      <c r="B1067" s="10">
        <v>6</v>
      </c>
      <c r="C1067" s="10">
        <v>1.076</v>
      </c>
      <c r="D1067" s="10">
        <v>3.2</v>
      </c>
      <c r="E1067" s="10">
        <v>43</v>
      </c>
      <c r="F1067" s="10">
        <v>14</v>
      </c>
      <c r="G1067" s="10">
        <v>0</v>
      </c>
      <c r="H1067" s="10">
        <v>26</v>
      </c>
      <c r="I1067" s="10">
        <v>0.2</v>
      </c>
      <c r="J1067" s="10">
        <f>SUM(B1067:I1067)</f>
        <v>93.476</v>
      </c>
      <c r="K1067">
        <v>2016</v>
      </c>
      <c r="L1067">
        <v>12</v>
      </c>
      <c r="M1067" s="11">
        <v>42705</v>
      </c>
      <c r="N1067" t="s">
        <v>2184</v>
      </c>
      <c r="O1067">
        <v>5</v>
      </c>
      <c r="P1067" t="s">
        <v>55</v>
      </c>
      <c r="Q1067" t="b">
        <v>1</v>
      </c>
    </row>
    <row r="1068" spans="1:17">
      <c r="A1068" s="12">
        <v>42707</v>
      </c>
      <c r="B1068" s="10">
        <v>3.17</v>
      </c>
      <c r="C1068" s="10">
        <v>2.68</v>
      </c>
      <c r="D1068" s="10">
        <v>3</v>
      </c>
      <c r="E1068" s="10">
        <v>43.3</v>
      </c>
      <c r="F1068" s="10">
        <v>2</v>
      </c>
      <c r="G1068" s="10">
        <v>0</v>
      </c>
      <c r="H1068" s="10">
        <v>1</v>
      </c>
      <c r="I1068" s="10">
        <v>4</v>
      </c>
      <c r="J1068" s="10">
        <f>SUM(B1068:I1068)</f>
        <v>59.15</v>
      </c>
      <c r="K1068">
        <v>2016</v>
      </c>
      <c r="L1068">
        <v>12</v>
      </c>
      <c r="M1068" s="11">
        <v>42705</v>
      </c>
      <c r="N1068" t="s">
        <v>2184</v>
      </c>
      <c r="O1068">
        <v>6</v>
      </c>
      <c r="P1068" t="s">
        <v>57</v>
      </c>
      <c r="Q1068" t="b">
        <v>1</v>
      </c>
    </row>
    <row r="1069" spans="1:17">
      <c r="A1069" s="12">
        <v>42708</v>
      </c>
      <c r="B1069" s="10">
        <v>7</v>
      </c>
      <c r="C1069" s="10">
        <v>9.122999999999999</v>
      </c>
      <c r="D1069" s="10">
        <v>2.9</v>
      </c>
      <c r="E1069" s="10">
        <v>67</v>
      </c>
      <c r="F1069" s="10">
        <v>4</v>
      </c>
      <c r="G1069" s="10">
        <v>0</v>
      </c>
      <c r="H1069" s="10">
        <v>0</v>
      </c>
      <c r="I1069" s="10">
        <v>0</v>
      </c>
      <c r="J1069" s="10">
        <f>SUM(B1069:I1069)</f>
        <v>90.023</v>
      </c>
      <c r="K1069">
        <v>2016</v>
      </c>
      <c r="L1069">
        <v>12</v>
      </c>
      <c r="M1069" s="11">
        <v>42705</v>
      </c>
      <c r="N1069" t="s">
        <v>2184</v>
      </c>
      <c r="O1069">
        <v>7</v>
      </c>
      <c r="P1069" t="s">
        <v>59</v>
      </c>
      <c r="Q1069" t="b">
        <v>1</v>
      </c>
    </row>
    <row r="1070" spans="1:17">
      <c r="A1070" s="12">
        <v>42709</v>
      </c>
      <c r="B1070" s="10">
        <v>9.5</v>
      </c>
      <c r="C1070" s="10">
        <v>1.68</v>
      </c>
      <c r="D1070" s="10">
        <v>4</v>
      </c>
      <c r="E1070" s="10">
        <v>23</v>
      </c>
      <c r="F1070" s="10">
        <v>6</v>
      </c>
      <c r="G1070" s="10">
        <v>1</v>
      </c>
      <c r="H1070" s="10">
        <v>13</v>
      </c>
      <c r="I1070" s="10">
        <v>2</v>
      </c>
      <c r="J1070" s="10">
        <f>SUM(B1070:I1070)</f>
        <v>60.18</v>
      </c>
      <c r="K1070">
        <v>2016</v>
      </c>
      <c r="L1070">
        <v>12</v>
      </c>
      <c r="M1070" s="11">
        <v>42705</v>
      </c>
      <c r="N1070" t="s">
        <v>2184</v>
      </c>
      <c r="O1070">
        <v>1</v>
      </c>
      <c r="P1070" t="s">
        <v>61</v>
      </c>
      <c r="Q1070" t="b">
        <v>1</v>
      </c>
    </row>
    <row r="1071" spans="1:17">
      <c r="A1071" s="12">
        <v>42710</v>
      </c>
      <c r="B1071" s="10">
        <v>6</v>
      </c>
      <c r="C1071" s="10">
        <v>5.09</v>
      </c>
      <c r="D1071" s="10">
        <v>4.4</v>
      </c>
      <c r="E1071" s="10">
        <v>27.2</v>
      </c>
      <c r="F1071" s="10">
        <v>4</v>
      </c>
      <c r="G1071" s="10">
        <v>0</v>
      </c>
      <c r="H1071" s="10">
        <v>20</v>
      </c>
      <c r="I1071" s="10">
        <v>1</v>
      </c>
      <c r="J1071" s="10">
        <f>SUM(B1071:I1071)</f>
        <v>67.69</v>
      </c>
      <c r="K1071">
        <v>2016</v>
      </c>
      <c r="L1071">
        <v>12</v>
      </c>
      <c r="M1071" s="11">
        <v>42705</v>
      </c>
      <c r="N1071" t="s">
        <v>2184</v>
      </c>
      <c r="O1071">
        <v>2</v>
      </c>
      <c r="P1071" t="s">
        <v>63</v>
      </c>
      <c r="Q1071" t="b">
        <v>1</v>
      </c>
    </row>
    <row r="1072" spans="1:17">
      <c r="A1072" s="12">
        <v>42711</v>
      </c>
      <c r="B1072" s="10">
        <v>4.34</v>
      </c>
      <c r="C1072" s="10">
        <v>2.726</v>
      </c>
      <c r="D1072" s="10">
        <v>1.7</v>
      </c>
      <c r="E1072" s="10">
        <v>47</v>
      </c>
      <c r="F1072" s="10">
        <v>8</v>
      </c>
      <c r="G1072" s="10">
        <v>3</v>
      </c>
      <c r="H1072" s="10">
        <v>7</v>
      </c>
      <c r="I1072" s="10">
        <v>3</v>
      </c>
      <c r="J1072" s="10">
        <f>SUM(B1072:I1072)</f>
        <v>76.76599999999999</v>
      </c>
      <c r="K1072">
        <v>2016</v>
      </c>
      <c r="L1072">
        <v>12</v>
      </c>
      <c r="M1072" s="11">
        <v>42705</v>
      </c>
      <c r="N1072" t="s">
        <v>2184</v>
      </c>
      <c r="O1072">
        <v>3</v>
      </c>
      <c r="P1072" t="s">
        <v>65</v>
      </c>
      <c r="Q1072" t="b">
        <v>1</v>
      </c>
    </row>
    <row r="1073" spans="1:17">
      <c r="A1073" s="12">
        <v>42712</v>
      </c>
      <c r="B1073" s="10">
        <v>5.67</v>
      </c>
      <c r="C1073" s="10">
        <v>1.67</v>
      </c>
      <c r="D1073" s="10">
        <v>5</v>
      </c>
      <c r="E1073" s="10">
        <v>35.7</v>
      </c>
      <c r="F1073" s="10">
        <v>9</v>
      </c>
      <c r="G1073" s="10">
        <v>0</v>
      </c>
      <c r="H1073" s="10">
        <v>2</v>
      </c>
      <c r="I1073" s="10">
        <v>0</v>
      </c>
      <c r="J1073" s="10">
        <f>SUM(B1073:I1073)</f>
        <v>59.040000000000006</v>
      </c>
      <c r="K1073">
        <v>2016</v>
      </c>
      <c r="L1073">
        <v>12</v>
      </c>
      <c r="M1073" s="11">
        <v>42705</v>
      </c>
      <c r="N1073" t="s">
        <v>2184</v>
      </c>
      <c r="O1073">
        <v>4</v>
      </c>
      <c r="P1073" t="s">
        <v>53</v>
      </c>
      <c r="Q1073" t="b">
        <v>1</v>
      </c>
    </row>
    <row r="1074" spans="1:17">
      <c r="A1074" s="12">
        <v>42713</v>
      </c>
      <c r="B1074" s="10">
        <v>5.66</v>
      </c>
      <c r="C1074" s="10">
        <v>1.67</v>
      </c>
      <c r="D1074" s="10">
        <v>4</v>
      </c>
      <c r="E1074" s="10">
        <v>35.062</v>
      </c>
      <c r="F1074" s="10">
        <v>2</v>
      </c>
      <c r="G1074" s="10">
        <v>0</v>
      </c>
      <c r="H1074" s="10">
        <v>0</v>
      </c>
      <c r="I1074" s="10">
        <v>2</v>
      </c>
      <c r="J1074" s="10">
        <f>SUM(B1074:I1074)</f>
        <v>50.391999999999996</v>
      </c>
      <c r="K1074">
        <v>2016</v>
      </c>
      <c r="L1074">
        <v>12</v>
      </c>
      <c r="M1074" s="11">
        <v>42705</v>
      </c>
      <c r="N1074" t="s">
        <v>2184</v>
      </c>
      <c r="O1074">
        <v>5</v>
      </c>
      <c r="P1074" t="s">
        <v>55</v>
      </c>
      <c r="Q1074" t="b">
        <v>1</v>
      </c>
    </row>
    <row r="1075" spans="1:17">
      <c r="A1075" s="12">
        <v>42714</v>
      </c>
      <c r="B1075" s="10">
        <v>7.34</v>
      </c>
      <c r="C1075" s="10">
        <v>6.33</v>
      </c>
      <c r="D1075" s="10">
        <v>10.1</v>
      </c>
      <c r="E1075" s="10">
        <v>45.4</v>
      </c>
      <c r="F1075" s="10">
        <v>1</v>
      </c>
      <c r="G1075" s="10">
        <v>0</v>
      </c>
      <c r="H1075" s="10">
        <v>15</v>
      </c>
      <c r="I1075" s="10">
        <v>2</v>
      </c>
      <c r="J1075" s="10">
        <f>SUM(B1075:I1075)</f>
        <v>87.17</v>
      </c>
      <c r="K1075">
        <v>2016</v>
      </c>
      <c r="L1075">
        <v>12</v>
      </c>
      <c r="M1075" s="11">
        <v>42705</v>
      </c>
      <c r="N1075" t="s">
        <v>2184</v>
      </c>
      <c r="O1075">
        <v>6</v>
      </c>
      <c r="P1075" t="s">
        <v>57</v>
      </c>
      <c r="Q1075" t="b">
        <v>1</v>
      </c>
    </row>
    <row r="1076" spans="1:17">
      <c r="A1076" s="12">
        <v>42715</v>
      </c>
      <c r="B1076" s="10">
        <v>3.34</v>
      </c>
      <c r="C1076" s="10">
        <v>4.726</v>
      </c>
      <c r="D1076" s="10">
        <v>8.550000000000001</v>
      </c>
      <c r="E1076" s="10">
        <v>62.062</v>
      </c>
      <c r="F1076" s="10">
        <v>7</v>
      </c>
      <c r="G1076" s="10">
        <v>0</v>
      </c>
      <c r="H1076" s="10">
        <v>14</v>
      </c>
      <c r="I1076" s="10">
        <v>1</v>
      </c>
      <c r="J1076" s="10">
        <f>SUM(B1076:I1076)</f>
        <v>100.678</v>
      </c>
      <c r="K1076">
        <v>2016</v>
      </c>
      <c r="L1076">
        <v>12</v>
      </c>
      <c r="M1076" s="11">
        <v>42705</v>
      </c>
      <c r="N1076" t="s">
        <v>2184</v>
      </c>
      <c r="O1076">
        <v>7</v>
      </c>
      <c r="P1076" t="s">
        <v>59</v>
      </c>
      <c r="Q1076" t="b">
        <v>1</v>
      </c>
    </row>
    <row r="1077" spans="1:17">
      <c r="A1077" s="12">
        <v>42716</v>
      </c>
      <c r="B1077" s="10">
        <v>3.66</v>
      </c>
      <c r="C1077" s="10">
        <v>2.429</v>
      </c>
      <c r="D1077" s="10">
        <v>3.1</v>
      </c>
      <c r="E1077" s="10">
        <v>44.5</v>
      </c>
      <c r="F1077" s="10">
        <v>28.33333333</v>
      </c>
      <c r="G1077" s="10">
        <v>3</v>
      </c>
      <c r="H1077" s="10">
        <v>21</v>
      </c>
      <c r="I1077" s="10">
        <v>4</v>
      </c>
      <c r="J1077" s="10">
        <f>SUM(B1077:I1077)</f>
        <v>110.02233333</v>
      </c>
      <c r="K1077">
        <v>2016</v>
      </c>
      <c r="L1077">
        <v>12</v>
      </c>
      <c r="M1077" s="11">
        <v>42705</v>
      </c>
      <c r="N1077" t="s">
        <v>2184</v>
      </c>
      <c r="O1077">
        <v>1</v>
      </c>
      <c r="P1077" t="s">
        <v>61</v>
      </c>
      <c r="Q1077" t="b">
        <v>1</v>
      </c>
    </row>
    <row r="1078" spans="1:17">
      <c r="A1078" s="12">
        <v>42717</v>
      </c>
      <c r="B1078" s="10">
        <v>1</v>
      </c>
      <c r="C1078" s="10">
        <v>4</v>
      </c>
      <c r="D1078" s="10">
        <v>5.1</v>
      </c>
      <c r="E1078" s="10">
        <v>43.6</v>
      </c>
      <c r="F1078" s="10">
        <v>0</v>
      </c>
      <c r="G1078" s="10">
        <v>0</v>
      </c>
      <c r="H1078" s="10">
        <v>18</v>
      </c>
      <c r="I1078" s="10">
        <v>0</v>
      </c>
      <c r="J1078" s="10">
        <f>SUM(B1078:I1078)</f>
        <v>71.7</v>
      </c>
      <c r="K1078">
        <v>2016</v>
      </c>
      <c r="L1078">
        <v>12</v>
      </c>
      <c r="M1078" s="11">
        <v>42705</v>
      </c>
      <c r="N1078" t="s">
        <v>2184</v>
      </c>
      <c r="O1078">
        <v>2</v>
      </c>
      <c r="P1078" t="s">
        <v>63</v>
      </c>
      <c r="Q1078" t="b">
        <v>1</v>
      </c>
    </row>
    <row r="1079" spans="1:17">
      <c r="A1079" s="12">
        <v>42718</v>
      </c>
      <c r="B1079" s="10">
        <v>5.83</v>
      </c>
      <c r="C1079" s="10">
        <v>3.78</v>
      </c>
      <c r="D1079" s="10">
        <v>5.65</v>
      </c>
      <c r="E1079" s="10">
        <v>32.2</v>
      </c>
      <c r="F1079" s="10">
        <v>21</v>
      </c>
      <c r="G1079" s="10">
        <v>0</v>
      </c>
      <c r="H1079" s="10">
        <v>10</v>
      </c>
      <c r="I1079" s="10">
        <v>1.2</v>
      </c>
      <c r="J1079" s="10">
        <f>SUM(B1079:I1079)</f>
        <v>79.66000000000001</v>
      </c>
      <c r="K1079">
        <v>2016</v>
      </c>
      <c r="L1079">
        <v>12</v>
      </c>
      <c r="M1079" s="11">
        <v>42705</v>
      </c>
      <c r="N1079" t="s">
        <v>2184</v>
      </c>
      <c r="O1079">
        <v>3</v>
      </c>
      <c r="P1079" t="s">
        <v>65</v>
      </c>
      <c r="Q1079" t="b">
        <v>1</v>
      </c>
    </row>
    <row r="1080" spans="1:17">
      <c r="A1080" s="12">
        <v>42719</v>
      </c>
      <c r="B1080" s="10">
        <v>9.66</v>
      </c>
      <c r="C1080" s="10">
        <v>3.33</v>
      </c>
      <c r="D1080" s="10">
        <v>1</v>
      </c>
      <c r="E1080" s="10">
        <v>22.8</v>
      </c>
      <c r="F1080" s="10">
        <v>8</v>
      </c>
      <c r="G1080" s="10">
        <v>0</v>
      </c>
      <c r="H1080" s="10">
        <v>5</v>
      </c>
      <c r="I1080" s="10">
        <v>1</v>
      </c>
      <c r="J1080" s="10">
        <f>SUM(B1080:I1080)</f>
        <v>50.79</v>
      </c>
      <c r="K1080">
        <v>2016</v>
      </c>
      <c r="L1080">
        <v>12</v>
      </c>
      <c r="M1080" s="11">
        <v>42705</v>
      </c>
      <c r="N1080" t="s">
        <v>2184</v>
      </c>
      <c r="O1080">
        <v>4</v>
      </c>
      <c r="P1080" t="s">
        <v>53</v>
      </c>
      <c r="Q1080" t="b">
        <v>1</v>
      </c>
    </row>
    <row r="1081" spans="1:17">
      <c r="A1081" s="12">
        <v>42720</v>
      </c>
      <c r="B1081" s="10">
        <v>7.33</v>
      </c>
      <c r="C1081" s="10">
        <v>6.32</v>
      </c>
      <c r="D1081" s="10">
        <v>2.2</v>
      </c>
      <c r="E1081" s="10">
        <v>39.775</v>
      </c>
      <c r="F1081" s="10">
        <v>8</v>
      </c>
      <c r="G1081" s="10">
        <v>3</v>
      </c>
      <c r="H1081" s="10">
        <v>23</v>
      </c>
      <c r="I1081" s="10">
        <v>1</v>
      </c>
      <c r="J1081" s="10">
        <f>SUM(B1081:I1081)</f>
        <v>90.625</v>
      </c>
      <c r="K1081">
        <v>2016</v>
      </c>
      <c r="L1081">
        <v>12</v>
      </c>
      <c r="M1081" s="11">
        <v>42705</v>
      </c>
      <c r="N1081" t="s">
        <v>2184</v>
      </c>
      <c r="O1081">
        <v>5</v>
      </c>
      <c r="P1081" t="s">
        <v>55</v>
      </c>
      <c r="Q1081" t="b">
        <v>1</v>
      </c>
    </row>
    <row r="1082" spans="1:17">
      <c r="A1082" s="12">
        <v>42721</v>
      </c>
      <c r="B1082" s="10">
        <v>5.99</v>
      </c>
      <c r="C1082" s="10">
        <v>2.66</v>
      </c>
      <c r="D1082" s="10">
        <v>4.15</v>
      </c>
      <c r="E1082" s="10">
        <v>59.95</v>
      </c>
      <c r="F1082" s="10">
        <v>10</v>
      </c>
      <c r="G1082" s="10">
        <v>0</v>
      </c>
      <c r="H1082" s="10">
        <v>6</v>
      </c>
      <c r="I1082" s="10">
        <v>1</v>
      </c>
      <c r="J1082" s="10">
        <f>SUM(B1082:I1082)</f>
        <v>89.75</v>
      </c>
      <c r="K1082">
        <v>2016</v>
      </c>
      <c r="L1082">
        <v>12</v>
      </c>
      <c r="M1082" s="11">
        <v>42705</v>
      </c>
      <c r="N1082" t="s">
        <v>2184</v>
      </c>
      <c r="O1082">
        <v>6</v>
      </c>
      <c r="P1082" t="s">
        <v>57</v>
      </c>
      <c r="Q1082" t="b">
        <v>1</v>
      </c>
    </row>
    <row r="1083" spans="1:17">
      <c r="A1083" s="12">
        <v>42722</v>
      </c>
      <c r="B1083" s="10">
        <v>1.67</v>
      </c>
      <c r="C1083" s="10">
        <v>5.02</v>
      </c>
      <c r="D1083" s="10">
        <v>4.2</v>
      </c>
      <c r="E1083" s="10">
        <v>60.7</v>
      </c>
      <c r="F1083" s="10">
        <v>13</v>
      </c>
      <c r="G1083" s="10">
        <v>0</v>
      </c>
      <c r="H1083" s="10">
        <v>5</v>
      </c>
      <c r="I1083" s="10">
        <v>1</v>
      </c>
      <c r="J1083" s="10">
        <f>SUM(B1083:I1083)</f>
        <v>90.59</v>
      </c>
      <c r="K1083">
        <v>2016</v>
      </c>
      <c r="L1083">
        <v>12</v>
      </c>
      <c r="M1083" s="11">
        <v>42705</v>
      </c>
      <c r="N1083" t="s">
        <v>2184</v>
      </c>
      <c r="O1083">
        <v>7</v>
      </c>
      <c r="P1083" t="s">
        <v>59</v>
      </c>
      <c r="Q1083" t="b">
        <v>1</v>
      </c>
    </row>
    <row r="1084" spans="1:17">
      <c r="A1084" s="12">
        <v>42723</v>
      </c>
      <c r="B1084" s="10">
        <v>0</v>
      </c>
      <c r="C1084" s="10">
        <v>0</v>
      </c>
      <c r="D1084" s="10">
        <v>0</v>
      </c>
      <c r="E1084" s="10">
        <v>0</v>
      </c>
      <c r="F1084" s="10">
        <v>0</v>
      </c>
      <c r="G1084" s="10">
        <v>0</v>
      </c>
      <c r="H1084" s="10">
        <v>0</v>
      </c>
      <c r="I1084" s="10">
        <v>0</v>
      </c>
      <c r="J1084" s="10">
        <f>SUM(B1084:I1084)</f>
        <v>0.0</v>
      </c>
      <c r="K1084">
        <v>2016</v>
      </c>
      <c r="L1084">
        <v>12</v>
      </c>
      <c r="M1084" s="11">
        <v>42705</v>
      </c>
      <c r="N1084" t="s">
        <v>2184</v>
      </c>
      <c r="O1084">
        <v>1</v>
      </c>
      <c r="P1084" t="s">
        <v>61</v>
      </c>
      <c r="Q1084" t="b">
        <v>1</v>
      </c>
    </row>
    <row r="1085" spans="1:17">
      <c r="A1085" s="12">
        <v>42724</v>
      </c>
      <c r="B1085" s="10">
        <v>6.33</v>
      </c>
      <c r="C1085" s="10">
        <v>3.66</v>
      </c>
      <c r="D1085" s="10">
        <v>4</v>
      </c>
      <c r="E1085" s="10">
        <v>46</v>
      </c>
      <c r="F1085" s="10">
        <v>12</v>
      </c>
      <c r="G1085" s="10">
        <v>2</v>
      </c>
      <c r="H1085" s="10">
        <v>1</v>
      </c>
      <c r="I1085" s="10">
        <v>0</v>
      </c>
      <c r="J1085" s="10">
        <f>SUM(B1085:I1085)</f>
        <v>74.99000000000001</v>
      </c>
      <c r="K1085">
        <v>2016</v>
      </c>
      <c r="L1085">
        <v>12</v>
      </c>
      <c r="M1085" s="11">
        <v>42705</v>
      </c>
      <c r="N1085" t="s">
        <v>2184</v>
      </c>
      <c r="O1085">
        <v>2</v>
      </c>
      <c r="P1085" t="s">
        <v>63</v>
      </c>
      <c r="Q1085" t="b">
        <v>1</v>
      </c>
    </row>
    <row r="1086" spans="1:17">
      <c r="A1086" s="12">
        <v>42725</v>
      </c>
      <c r="B1086" s="10">
        <v>1.34</v>
      </c>
      <c r="C1086" s="10">
        <v>2.812</v>
      </c>
      <c r="D1086" s="10">
        <v>0.25</v>
      </c>
      <c r="E1086" s="10">
        <v>37</v>
      </c>
      <c r="F1086" s="10">
        <v>5</v>
      </c>
      <c r="G1086" s="10">
        <v>0</v>
      </c>
      <c r="H1086" s="10">
        <v>6</v>
      </c>
      <c r="I1086" s="10">
        <v>2.5</v>
      </c>
      <c r="J1086" s="10">
        <f>SUM(B1086:I1086)</f>
        <v>54.902</v>
      </c>
      <c r="K1086">
        <v>2016</v>
      </c>
      <c r="L1086">
        <v>12</v>
      </c>
      <c r="M1086" s="11">
        <v>42705</v>
      </c>
      <c r="N1086" t="s">
        <v>2184</v>
      </c>
      <c r="O1086">
        <v>3</v>
      </c>
      <c r="P1086" t="s">
        <v>65</v>
      </c>
      <c r="Q1086" t="b">
        <v>1</v>
      </c>
    </row>
    <row r="1087" spans="1:17">
      <c r="A1087" s="12">
        <v>42726</v>
      </c>
      <c r="B1087" s="10">
        <v>4.34</v>
      </c>
      <c r="C1087" s="10">
        <v>4.165</v>
      </c>
      <c r="D1087" s="10">
        <v>3.8</v>
      </c>
      <c r="E1087" s="10">
        <v>38.4</v>
      </c>
      <c r="F1087" s="10">
        <v>1</v>
      </c>
      <c r="G1087" s="10">
        <v>0</v>
      </c>
      <c r="H1087" s="10">
        <v>5</v>
      </c>
      <c r="I1087" s="10">
        <v>0</v>
      </c>
      <c r="J1087" s="10">
        <f>SUM(B1087:I1087)</f>
        <v>56.705</v>
      </c>
      <c r="K1087">
        <v>2016</v>
      </c>
      <c r="L1087">
        <v>12</v>
      </c>
      <c r="M1087" s="11">
        <v>42705</v>
      </c>
      <c r="N1087" t="s">
        <v>2184</v>
      </c>
      <c r="O1087">
        <v>4</v>
      </c>
      <c r="P1087" t="s">
        <v>53</v>
      </c>
      <c r="Q1087" t="b">
        <v>1</v>
      </c>
    </row>
    <row r="1088" spans="1:17">
      <c r="A1088" s="12">
        <v>42727</v>
      </c>
      <c r="B1088" s="10">
        <v>5.33</v>
      </c>
      <c r="C1088" s="10">
        <v>4.67</v>
      </c>
      <c r="D1088" s="10">
        <v>1.15</v>
      </c>
      <c r="E1088" s="10">
        <v>32</v>
      </c>
      <c r="F1088" s="10">
        <v>6</v>
      </c>
      <c r="G1088" s="10">
        <v>0</v>
      </c>
      <c r="H1088" s="10">
        <v>8</v>
      </c>
      <c r="I1088" s="10">
        <v>2</v>
      </c>
      <c r="J1088" s="10">
        <f>SUM(B1088:I1088)</f>
        <v>59.15</v>
      </c>
      <c r="K1088">
        <v>2016</v>
      </c>
      <c r="L1088">
        <v>12</v>
      </c>
      <c r="M1088" s="11">
        <v>42705</v>
      </c>
      <c r="N1088" t="s">
        <v>2184</v>
      </c>
      <c r="O1088">
        <v>5</v>
      </c>
      <c r="P1088" t="s">
        <v>55</v>
      </c>
      <c r="Q1088" t="b">
        <v>1</v>
      </c>
    </row>
    <row r="1089" spans="1:17">
      <c r="A1089" s="12">
        <v>42728</v>
      </c>
      <c r="B1089" s="10">
        <v>6.33</v>
      </c>
      <c r="C1089" s="10">
        <v>6.7</v>
      </c>
      <c r="D1089" s="10">
        <v>4.2</v>
      </c>
      <c r="E1089" s="10">
        <v>82</v>
      </c>
      <c r="F1089" s="10">
        <v>4</v>
      </c>
      <c r="G1089" s="10">
        <v>1</v>
      </c>
      <c r="H1089" s="10">
        <v>2</v>
      </c>
      <c r="I1089" s="10">
        <v>1</v>
      </c>
      <c r="J1089" s="10">
        <f>SUM(B1089:I1089)</f>
        <v>107.23</v>
      </c>
      <c r="K1089">
        <v>2016</v>
      </c>
      <c r="L1089">
        <v>12</v>
      </c>
      <c r="M1089" s="11">
        <v>42705</v>
      </c>
      <c r="N1089" t="s">
        <v>2184</v>
      </c>
      <c r="O1089">
        <v>6</v>
      </c>
      <c r="P1089" t="s">
        <v>57</v>
      </c>
      <c r="Q1089" t="b">
        <v>1</v>
      </c>
    </row>
    <row r="1090" spans="1:17">
      <c r="A1090" s="12">
        <v>42729</v>
      </c>
      <c r="B1090" s="10">
        <v>2.33</v>
      </c>
      <c r="C1090" s="10">
        <v>7.627</v>
      </c>
      <c r="D1090" s="10">
        <v>5.7</v>
      </c>
      <c r="E1090" s="10">
        <v>79.8</v>
      </c>
      <c r="F1090" s="10">
        <v>0</v>
      </c>
      <c r="G1090" s="10">
        <v>0</v>
      </c>
      <c r="H1090" s="10">
        <v>9</v>
      </c>
      <c r="I1090" s="10">
        <v>1</v>
      </c>
      <c r="J1090" s="10">
        <f>SUM(B1090:I1090)</f>
        <v>105.457</v>
      </c>
      <c r="K1090">
        <v>2016</v>
      </c>
      <c r="L1090">
        <v>12</v>
      </c>
      <c r="M1090" s="11">
        <v>42705</v>
      </c>
      <c r="N1090" t="s">
        <v>2184</v>
      </c>
      <c r="O1090">
        <v>7</v>
      </c>
      <c r="P1090" t="s">
        <v>59</v>
      </c>
      <c r="Q1090" t="b">
        <v>1</v>
      </c>
    </row>
    <row r="1091" spans="1:17">
      <c r="A1091" s="12">
        <v>42730</v>
      </c>
      <c r="B1091" s="10">
        <v>10.33</v>
      </c>
      <c r="C1091" s="10">
        <v>4.66</v>
      </c>
      <c r="D1091" s="10">
        <v>2</v>
      </c>
      <c r="E1091" s="10">
        <v>58.924</v>
      </c>
      <c r="F1091" s="10">
        <v>6</v>
      </c>
      <c r="G1091" s="10">
        <v>0</v>
      </c>
      <c r="H1091" s="10">
        <v>2</v>
      </c>
      <c r="I1091" s="10">
        <v>2</v>
      </c>
      <c r="J1091" s="10">
        <f>SUM(B1091:I1091)</f>
        <v>85.914</v>
      </c>
      <c r="K1091">
        <v>2016</v>
      </c>
      <c r="L1091">
        <v>12</v>
      </c>
      <c r="M1091" s="11">
        <v>42705</v>
      </c>
      <c r="N1091" t="s">
        <v>2184</v>
      </c>
      <c r="O1091">
        <v>1</v>
      </c>
      <c r="P1091" t="s">
        <v>61</v>
      </c>
      <c r="Q1091" t="b">
        <v>1</v>
      </c>
    </row>
    <row r="1092" spans="1:17">
      <c r="A1092" s="12">
        <v>42731</v>
      </c>
      <c r="B1092" s="10">
        <v>6</v>
      </c>
      <c r="C1092" s="10">
        <v>5</v>
      </c>
      <c r="D1092" s="10">
        <v>0.416666667</v>
      </c>
      <c r="E1092" s="10">
        <v>54.2</v>
      </c>
      <c r="F1092" s="10">
        <v>8</v>
      </c>
      <c r="G1092" s="10">
        <v>2</v>
      </c>
      <c r="H1092" s="10">
        <v>13</v>
      </c>
      <c r="I1092" s="10">
        <v>0</v>
      </c>
      <c r="J1092" s="10">
        <f>SUM(B1092:I1092)</f>
        <v>88.616666667</v>
      </c>
      <c r="K1092">
        <v>2016</v>
      </c>
      <c r="L1092">
        <v>12</v>
      </c>
      <c r="M1092" s="11">
        <v>42705</v>
      </c>
      <c r="N1092" t="s">
        <v>2184</v>
      </c>
      <c r="O1092">
        <v>2</v>
      </c>
      <c r="P1092" t="s">
        <v>63</v>
      </c>
      <c r="Q1092" t="b">
        <v>1</v>
      </c>
    </row>
    <row r="1093" spans="1:17">
      <c r="A1093" s="12">
        <v>42732</v>
      </c>
      <c r="B1093" s="10">
        <v>4.34</v>
      </c>
      <c r="C1093" s="10">
        <v>6.33</v>
      </c>
      <c r="D1093" s="10">
        <v>6.45</v>
      </c>
      <c r="E1093" s="10">
        <v>57.2</v>
      </c>
      <c r="F1093" s="10">
        <v>7</v>
      </c>
      <c r="G1093" s="10">
        <v>0</v>
      </c>
      <c r="H1093" s="10">
        <v>13</v>
      </c>
      <c r="I1093" s="10">
        <v>0</v>
      </c>
      <c r="J1093" s="10">
        <f>SUM(B1093:I1093)</f>
        <v>94.32000000000001</v>
      </c>
      <c r="K1093">
        <v>2016</v>
      </c>
      <c r="L1093">
        <v>12</v>
      </c>
      <c r="M1093" s="11">
        <v>42705</v>
      </c>
      <c r="N1093" t="s">
        <v>2184</v>
      </c>
      <c r="O1093">
        <v>3</v>
      </c>
      <c r="P1093" t="s">
        <v>65</v>
      </c>
      <c r="Q1093" t="b">
        <v>1</v>
      </c>
    </row>
    <row r="1094" spans="1:17">
      <c r="A1094" s="12">
        <v>42733</v>
      </c>
      <c r="B1094" s="10">
        <v>11</v>
      </c>
      <c r="C1094" s="10">
        <v>6.01</v>
      </c>
      <c r="D1094" s="10">
        <v>6.35</v>
      </c>
      <c r="E1094" s="10">
        <v>81.2</v>
      </c>
      <c r="F1094" s="10">
        <v>4</v>
      </c>
      <c r="G1094" s="10">
        <v>3</v>
      </c>
      <c r="H1094" s="10">
        <v>6</v>
      </c>
      <c r="I1094" s="10">
        <v>2</v>
      </c>
      <c r="J1094" s="10">
        <f>SUM(B1094:I1094)</f>
        <v>119.56</v>
      </c>
      <c r="K1094">
        <v>2016</v>
      </c>
      <c r="L1094">
        <v>12</v>
      </c>
      <c r="M1094" s="11">
        <v>42705</v>
      </c>
      <c r="N1094" t="s">
        <v>2184</v>
      </c>
      <c r="O1094">
        <v>4</v>
      </c>
      <c r="P1094" t="s">
        <v>53</v>
      </c>
      <c r="Q1094" t="b">
        <v>1</v>
      </c>
    </row>
    <row r="1095" spans="1:17">
      <c r="A1095" s="12">
        <v>42734</v>
      </c>
      <c r="B1095" s="10">
        <v>5.66</v>
      </c>
      <c r="C1095" s="10">
        <v>8.99</v>
      </c>
      <c r="D1095" s="10">
        <v>7.3</v>
      </c>
      <c r="E1095" s="10">
        <v>161</v>
      </c>
      <c r="F1095" s="10">
        <v>13</v>
      </c>
      <c r="G1095" s="10">
        <v>0</v>
      </c>
      <c r="H1095" s="10">
        <v>3</v>
      </c>
      <c r="I1095" s="10">
        <v>0</v>
      </c>
      <c r="J1095" s="10">
        <f>SUM(B1095:I1095)</f>
        <v>198.95</v>
      </c>
      <c r="K1095">
        <v>2016</v>
      </c>
      <c r="L1095">
        <v>12</v>
      </c>
      <c r="M1095" s="11">
        <v>42705</v>
      </c>
      <c r="N1095" t="s">
        <v>2184</v>
      </c>
      <c r="O1095">
        <v>5</v>
      </c>
      <c r="P1095" t="s">
        <v>55</v>
      </c>
      <c r="Q1095" t="b">
        <v>1</v>
      </c>
    </row>
    <row r="1096" spans="1:17">
      <c r="A1096" s="12">
        <v>42735</v>
      </c>
      <c r="B1096" s="10">
        <v>8.33</v>
      </c>
      <c r="C1096" s="10">
        <v>7.759</v>
      </c>
      <c r="D1096" s="10">
        <v>7.45</v>
      </c>
      <c r="E1096" s="10">
        <v>108.7</v>
      </c>
      <c r="F1096" s="10">
        <v>7</v>
      </c>
      <c r="G1096" s="10">
        <v>0</v>
      </c>
      <c r="H1096" s="10">
        <v>12</v>
      </c>
      <c r="I1096" s="10">
        <v>0</v>
      </c>
      <c r="J1096" s="10">
        <f>SUM(B1096:I1096)</f>
        <v>151.239</v>
      </c>
      <c r="K1096">
        <v>2016</v>
      </c>
      <c r="L1096">
        <v>12</v>
      </c>
      <c r="M1096" s="11">
        <v>42705</v>
      </c>
      <c r="N1096" t="s">
        <v>2184</v>
      </c>
      <c r="O1096">
        <v>6</v>
      </c>
      <c r="P1096" t="s">
        <v>57</v>
      </c>
      <c r="Q1096" t="b">
        <v>1</v>
      </c>
    </row>
    <row r="1097" spans="1:17">
      <c r="A1097" s="12">
        <v>42736</v>
      </c>
      <c r="B1097" s="10">
        <v>3.54375</v>
      </c>
      <c r="C1097" s="10">
        <v>3.95625</v>
      </c>
      <c r="D1097" s="10">
        <v>1.5625</v>
      </c>
      <c r="E1097" s="10">
        <v>25.675</v>
      </c>
      <c r="F1097" s="10">
        <v>8.75</v>
      </c>
      <c r="G1097" s="10">
        <v>1.875</v>
      </c>
      <c r="H1097" s="10">
        <v>6.25</v>
      </c>
      <c r="I1097" s="10">
        <v>0.625</v>
      </c>
      <c r="J1097" s="10">
        <f>SUM(B1097:I1097)</f>
        <v>52.2375</v>
      </c>
      <c r="K1097">
        <v>2017</v>
      </c>
      <c r="L1097">
        <v>1</v>
      </c>
      <c r="M1097" s="11">
        <v>42736</v>
      </c>
      <c r="N1097" t="s">
        <v>2173</v>
      </c>
      <c r="O1097">
        <v>7</v>
      </c>
      <c r="P1097" t="s">
        <v>59</v>
      </c>
      <c r="Q1097" t="b">
        <v>1</v>
      </c>
    </row>
    <row r="1098" spans="1:17">
      <c r="A1098" s="12">
        <v>42737</v>
      </c>
      <c r="B1098" s="10">
        <v>0.2125</v>
      </c>
      <c r="C1098" s="10">
        <v>0.6375</v>
      </c>
      <c r="D1098" s="10">
        <v>0.625</v>
      </c>
      <c r="E1098" s="10">
        <v>32</v>
      </c>
      <c r="F1098" s="10">
        <v>0</v>
      </c>
      <c r="G1098" s="10">
        <v>0.625</v>
      </c>
      <c r="H1098" s="10">
        <v>3.125</v>
      </c>
      <c r="I1098" s="10">
        <v>3.125</v>
      </c>
      <c r="J1098" s="10">
        <f>SUM(B1098:I1098)</f>
        <v>40.35</v>
      </c>
      <c r="K1098">
        <v>2017</v>
      </c>
      <c r="L1098">
        <v>1</v>
      </c>
      <c r="M1098" s="11">
        <v>42736</v>
      </c>
      <c r="N1098" t="s">
        <v>2173</v>
      </c>
      <c r="O1098">
        <v>1</v>
      </c>
      <c r="P1098" t="s">
        <v>61</v>
      </c>
      <c r="Q1098" t="b">
        <v>1</v>
      </c>
    </row>
    <row r="1099" spans="1:17">
      <c r="A1099" s="12">
        <v>42738</v>
      </c>
      <c r="B1099" s="10">
        <v>6.25</v>
      </c>
      <c r="C1099" s="10">
        <v>5.83125</v>
      </c>
      <c r="D1099" s="10">
        <v>4.625</v>
      </c>
      <c r="E1099" s="10">
        <v>66.8125</v>
      </c>
      <c r="F1099" s="10">
        <v>8.75</v>
      </c>
      <c r="G1099" s="10">
        <v>0</v>
      </c>
      <c r="H1099" s="10">
        <v>7.03125</v>
      </c>
      <c r="I1099" s="10">
        <v>1.875</v>
      </c>
      <c r="J1099" s="10">
        <f>SUM(B1099:I1099)</f>
        <v>101.175</v>
      </c>
      <c r="K1099">
        <v>2017</v>
      </c>
      <c r="L1099">
        <v>1</v>
      </c>
      <c r="M1099" s="11">
        <v>42736</v>
      </c>
      <c r="N1099" t="s">
        <v>2173</v>
      </c>
      <c r="O1099">
        <v>2</v>
      </c>
      <c r="P1099" t="s">
        <v>63</v>
      </c>
      <c r="Q1099" t="b">
        <v>1</v>
      </c>
    </row>
    <row r="1100" spans="1:17">
      <c r="A1100" s="12">
        <v>42739</v>
      </c>
      <c r="B1100" s="10">
        <v>6.804166667</v>
      </c>
      <c r="C1100" s="10">
        <v>5.970833333</v>
      </c>
      <c r="D1100" s="10">
        <v>6.416666667</v>
      </c>
      <c r="E1100" s="10">
        <v>56.76666667</v>
      </c>
      <c r="F1100" s="10">
        <v>10</v>
      </c>
      <c r="G1100" s="10">
        <v>1.25</v>
      </c>
      <c r="H1100" s="10">
        <v>5</v>
      </c>
      <c r="I1100" s="10">
        <v>2.916666667</v>
      </c>
      <c r="J1100" s="10">
        <f>SUM(B1100:I1100)</f>
        <v>95.125000004</v>
      </c>
      <c r="K1100">
        <v>2017</v>
      </c>
      <c r="L1100">
        <v>1</v>
      </c>
      <c r="M1100" s="11">
        <v>42736</v>
      </c>
      <c r="N1100" t="s">
        <v>2173</v>
      </c>
      <c r="O1100">
        <v>3</v>
      </c>
      <c r="P1100" t="s">
        <v>65</v>
      </c>
      <c r="Q1100" t="b">
        <v>1</v>
      </c>
    </row>
    <row r="1101" spans="1:17">
      <c r="A1101" s="12">
        <v>42740</v>
      </c>
      <c r="B1101" s="10">
        <v>7.504166667</v>
      </c>
      <c r="C1101" s="10">
        <v>7.879166667</v>
      </c>
      <c r="D1101" s="10">
        <v>5.208333333</v>
      </c>
      <c r="E1101" s="10">
        <v>62.20833333</v>
      </c>
      <c r="F1101" s="10">
        <v>14.58333333</v>
      </c>
      <c r="G1101" s="10">
        <v>0</v>
      </c>
      <c r="H1101" s="10">
        <v>11.25</v>
      </c>
      <c r="I1101" s="10">
        <v>2.5</v>
      </c>
      <c r="J1101" s="10">
        <f>SUM(B1101:I1101)</f>
        <v>111.133333327</v>
      </c>
      <c r="K1101">
        <v>2017</v>
      </c>
      <c r="L1101">
        <v>1</v>
      </c>
      <c r="M1101" s="11">
        <v>42736</v>
      </c>
      <c r="N1101" t="s">
        <v>2173</v>
      </c>
      <c r="O1101">
        <v>4</v>
      </c>
      <c r="P1101" t="s">
        <v>53</v>
      </c>
      <c r="Q1101" t="b">
        <v>1</v>
      </c>
    </row>
    <row r="1102" spans="1:17">
      <c r="A1102" s="12">
        <v>42741</v>
      </c>
      <c r="B1102" s="10">
        <v>4.583333333</v>
      </c>
      <c r="C1102" s="10">
        <v>3.05</v>
      </c>
      <c r="D1102" s="10">
        <v>5.625</v>
      </c>
      <c r="E1102" s="10">
        <v>65.5625</v>
      </c>
      <c r="F1102" s="10">
        <v>10.83333333</v>
      </c>
      <c r="G1102" s="10">
        <v>0</v>
      </c>
      <c r="H1102" s="10">
        <v>15.41666667</v>
      </c>
      <c r="I1102" s="10">
        <v>2.5</v>
      </c>
      <c r="J1102" s="10">
        <f>SUM(B1102:I1102)</f>
        <v>107.570833333</v>
      </c>
      <c r="K1102">
        <v>2017</v>
      </c>
      <c r="L1102">
        <v>1</v>
      </c>
      <c r="M1102" s="11">
        <v>42736</v>
      </c>
      <c r="N1102" t="s">
        <v>2173</v>
      </c>
      <c r="O1102">
        <v>5</v>
      </c>
      <c r="P1102" t="s">
        <v>55</v>
      </c>
      <c r="Q1102" t="b">
        <v>1</v>
      </c>
    </row>
    <row r="1103" spans="1:17">
      <c r="A1103" s="12">
        <v>42742</v>
      </c>
      <c r="B1103" s="10">
        <v>2.916666667</v>
      </c>
      <c r="C1103" s="10">
        <v>5.154166667</v>
      </c>
      <c r="D1103" s="10">
        <v>5.958333333</v>
      </c>
      <c r="E1103" s="10">
        <v>34.625</v>
      </c>
      <c r="F1103" s="10">
        <v>8.75</v>
      </c>
      <c r="G1103" s="10">
        <v>0</v>
      </c>
      <c r="H1103" s="10">
        <v>2.5</v>
      </c>
      <c r="I1103" s="10">
        <v>0</v>
      </c>
      <c r="J1103" s="10">
        <f>SUM(B1103:I1103)</f>
        <v>59.904166667</v>
      </c>
      <c r="K1103">
        <v>2017</v>
      </c>
      <c r="L1103">
        <v>1</v>
      </c>
      <c r="M1103" s="11">
        <v>42736</v>
      </c>
      <c r="N1103" t="s">
        <v>2173</v>
      </c>
      <c r="O1103">
        <v>6</v>
      </c>
      <c r="P1103" t="s">
        <v>57</v>
      </c>
      <c r="Q1103" t="b">
        <v>1</v>
      </c>
    </row>
    <row r="1104" spans="1:17">
      <c r="A1104" s="12">
        <v>42743</v>
      </c>
      <c r="B1104" s="10">
        <v>5.416666667</v>
      </c>
      <c r="C1104" s="10">
        <v>1.859583333</v>
      </c>
      <c r="D1104" s="10">
        <v>5.083333333</v>
      </c>
      <c r="E1104" s="10">
        <v>25.375</v>
      </c>
      <c r="F1104" s="10">
        <v>10</v>
      </c>
      <c r="G1104" s="10">
        <v>2.083333333</v>
      </c>
      <c r="H1104" s="10">
        <v>3.333333333</v>
      </c>
      <c r="I1104" s="10">
        <v>1.666666667</v>
      </c>
      <c r="J1104" s="10">
        <f>SUM(B1104:I1104)</f>
        <v>54.817916666</v>
      </c>
      <c r="K1104">
        <v>2017</v>
      </c>
      <c r="L1104">
        <v>1</v>
      </c>
      <c r="M1104" s="11">
        <v>42736</v>
      </c>
      <c r="N1104" t="s">
        <v>2173</v>
      </c>
      <c r="O1104">
        <v>7</v>
      </c>
      <c r="P1104" t="s">
        <v>59</v>
      </c>
      <c r="Q1104" t="b">
        <v>1</v>
      </c>
    </row>
    <row r="1105" spans="1:17">
      <c r="A1105" s="12">
        <v>42744</v>
      </c>
      <c r="B1105" s="10">
        <v>3.8875</v>
      </c>
      <c r="C1105" s="10">
        <v>4.057083333</v>
      </c>
      <c r="D1105" s="10">
        <v>2.583333333</v>
      </c>
      <c r="E1105" s="10">
        <v>56.125</v>
      </c>
      <c r="F1105" s="10">
        <v>9.166666666999999</v>
      </c>
      <c r="G1105" s="10">
        <v>0.416666667</v>
      </c>
      <c r="H1105" s="10">
        <v>1.666666667</v>
      </c>
      <c r="I1105" s="10">
        <v>2.083333333</v>
      </c>
      <c r="J1105" s="10">
        <f>SUM(B1105:I1105)</f>
        <v>79.98625</v>
      </c>
      <c r="K1105">
        <v>2017</v>
      </c>
      <c r="L1105">
        <v>1</v>
      </c>
      <c r="M1105" s="11">
        <v>42736</v>
      </c>
      <c r="N1105" t="s">
        <v>2173</v>
      </c>
      <c r="O1105">
        <v>1</v>
      </c>
      <c r="P1105" t="s">
        <v>61</v>
      </c>
      <c r="Q1105" t="b">
        <v>1</v>
      </c>
    </row>
    <row r="1106" spans="1:17">
      <c r="A1106" s="12">
        <v>42745</v>
      </c>
      <c r="B1106" s="10">
        <v>6.3875</v>
      </c>
      <c r="C1106" s="10">
        <v>4.73875</v>
      </c>
      <c r="D1106" s="10">
        <v>13.29166667</v>
      </c>
      <c r="E1106" s="10">
        <v>54.25</v>
      </c>
      <c r="F1106" s="10">
        <v>25</v>
      </c>
      <c r="G1106" s="10">
        <v>1.666666667</v>
      </c>
      <c r="H1106" s="10">
        <v>7.5</v>
      </c>
      <c r="I1106" s="10">
        <v>0.833333333</v>
      </c>
      <c r="J1106" s="10">
        <f>SUM(B1106:I1106)</f>
        <v>113.66791667</v>
      </c>
      <c r="K1106">
        <v>2017</v>
      </c>
      <c r="L1106">
        <v>1</v>
      </c>
      <c r="M1106" s="11">
        <v>42736</v>
      </c>
      <c r="N1106" t="s">
        <v>2173</v>
      </c>
      <c r="O1106">
        <v>2</v>
      </c>
      <c r="P1106" t="s">
        <v>63</v>
      </c>
      <c r="Q1106" t="b">
        <v>1</v>
      </c>
    </row>
    <row r="1107" spans="1:17">
      <c r="A1107" s="12">
        <v>42746</v>
      </c>
      <c r="B1107" s="10">
        <v>9.308333333</v>
      </c>
      <c r="C1107" s="10">
        <v>5.501666667</v>
      </c>
      <c r="D1107" s="10">
        <v>9.166666666999999</v>
      </c>
      <c r="E1107" s="10">
        <v>51.04166667</v>
      </c>
      <c r="F1107" s="10">
        <v>20</v>
      </c>
      <c r="G1107" s="10">
        <v>1.25</v>
      </c>
      <c r="H1107" s="10">
        <v>1.666666667</v>
      </c>
      <c r="I1107" s="10">
        <v>2.916666667</v>
      </c>
      <c r="J1107" s="10">
        <f>SUM(B1107:I1107)</f>
        <v>100.851666671</v>
      </c>
      <c r="K1107">
        <v>2017</v>
      </c>
      <c r="L1107">
        <v>1</v>
      </c>
      <c r="M1107" s="11">
        <v>42736</v>
      </c>
      <c r="N1107" t="s">
        <v>2173</v>
      </c>
      <c r="O1107">
        <v>3</v>
      </c>
      <c r="P1107" t="s">
        <v>65</v>
      </c>
      <c r="Q1107" t="b">
        <v>1</v>
      </c>
    </row>
    <row r="1108" spans="1:17">
      <c r="A1108" s="12">
        <v>42747</v>
      </c>
      <c r="B1108" s="10">
        <v>8.333333333000001</v>
      </c>
      <c r="C1108" s="10">
        <v>5.196666667</v>
      </c>
      <c r="D1108" s="10">
        <v>8.75</v>
      </c>
      <c r="E1108" s="10">
        <v>65.9375</v>
      </c>
      <c r="F1108" s="10">
        <v>14.16666667</v>
      </c>
      <c r="G1108" s="10">
        <v>1.25</v>
      </c>
      <c r="H1108" s="10">
        <v>4.583333333</v>
      </c>
      <c r="I1108" s="10">
        <v>1.666666667</v>
      </c>
      <c r="J1108" s="10">
        <f>SUM(B1108:I1108)</f>
        <v>109.88416667</v>
      </c>
      <c r="K1108">
        <v>2017</v>
      </c>
      <c r="L1108">
        <v>1</v>
      </c>
      <c r="M1108" s="11">
        <v>42736</v>
      </c>
      <c r="N1108" t="s">
        <v>2173</v>
      </c>
      <c r="O1108">
        <v>4</v>
      </c>
      <c r="P1108" t="s">
        <v>53</v>
      </c>
      <c r="Q1108" t="b">
        <v>1</v>
      </c>
    </row>
    <row r="1109" spans="1:17">
      <c r="A1109" s="12">
        <v>42748</v>
      </c>
      <c r="B1109" s="10">
        <v>6.804166667</v>
      </c>
      <c r="C1109" s="10">
        <v>3.891666667</v>
      </c>
      <c r="D1109" s="10">
        <v>9.541666666999999</v>
      </c>
      <c r="E1109" s="10">
        <v>54.41666667</v>
      </c>
      <c r="F1109" s="10">
        <v>19.58333333</v>
      </c>
      <c r="G1109" s="10">
        <v>0</v>
      </c>
      <c r="H1109" s="10">
        <v>3.333333333</v>
      </c>
      <c r="I1109" s="10">
        <v>1.333333333</v>
      </c>
      <c r="J1109" s="10">
        <f>SUM(B1109:I1109)</f>
        <v>98.904166667</v>
      </c>
      <c r="K1109">
        <v>2017</v>
      </c>
      <c r="L1109">
        <v>1</v>
      </c>
      <c r="M1109" s="11">
        <v>42736</v>
      </c>
      <c r="N1109" t="s">
        <v>2173</v>
      </c>
      <c r="O1109">
        <v>5</v>
      </c>
      <c r="P1109" t="s">
        <v>55</v>
      </c>
      <c r="Q1109" t="b">
        <v>1</v>
      </c>
    </row>
    <row r="1110" spans="1:17">
      <c r="A1110" s="12">
        <v>42749</v>
      </c>
      <c r="B1110" s="10">
        <v>5.975</v>
      </c>
      <c r="C1110" s="10">
        <v>4.364583333</v>
      </c>
      <c r="D1110" s="10">
        <v>7.708333333</v>
      </c>
      <c r="E1110" s="10">
        <v>47.91666667</v>
      </c>
      <c r="F1110" s="10">
        <v>16.66666667</v>
      </c>
      <c r="G1110" s="10">
        <v>0.833333333</v>
      </c>
      <c r="H1110" s="10">
        <v>5.416666667</v>
      </c>
      <c r="I1110" s="10">
        <v>2.083333333</v>
      </c>
      <c r="J1110" s="10">
        <f>SUM(B1110:I1110)</f>
        <v>90.964583339</v>
      </c>
      <c r="K1110">
        <v>2017</v>
      </c>
      <c r="L1110">
        <v>1</v>
      </c>
      <c r="M1110" s="11">
        <v>42736</v>
      </c>
      <c r="N1110" t="s">
        <v>2173</v>
      </c>
      <c r="O1110">
        <v>6</v>
      </c>
      <c r="P1110" t="s">
        <v>57</v>
      </c>
      <c r="Q1110" t="b">
        <v>1</v>
      </c>
    </row>
    <row r="1111" spans="1:17">
      <c r="A1111" s="12">
        <v>42750</v>
      </c>
      <c r="B1111" s="10">
        <v>8.050000000000001</v>
      </c>
      <c r="C1111" s="10">
        <v>6.525</v>
      </c>
      <c r="D1111" s="10">
        <v>9.083333333000001</v>
      </c>
      <c r="E1111" s="10">
        <v>38.79166667</v>
      </c>
      <c r="F1111" s="10">
        <v>15.41666667</v>
      </c>
      <c r="G1111" s="10">
        <v>0</v>
      </c>
      <c r="H1111" s="10">
        <v>7.5</v>
      </c>
      <c r="I1111" s="10">
        <v>1.25</v>
      </c>
      <c r="J1111" s="10">
        <f>SUM(B1111:I1111)</f>
        <v>86.616666673</v>
      </c>
      <c r="K1111">
        <v>2017</v>
      </c>
      <c r="L1111">
        <v>1</v>
      </c>
      <c r="M1111" s="11">
        <v>42736</v>
      </c>
      <c r="N1111" t="s">
        <v>2173</v>
      </c>
      <c r="O1111">
        <v>7</v>
      </c>
      <c r="P1111" t="s">
        <v>59</v>
      </c>
      <c r="Q1111" t="b">
        <v>1</v>
      </c>
    </row>
    <row r="1112" spans="1:17">
      <c r="A1112" s="12">
        <v>42751</v>
      </c>
      <c r="B1112" s="10">
        <v>6.670833333</v>
      </c>
      <c r="C1112" s="10">
        <v>4.029166667</v>
      </c>
      <c r="D1112" s="10">
        <v>8.041666666999999</v>
      </c>
      <c r="E1112" s="10">
        <v>63.5625</v>
      </c>
      <c r="F1112" s="10">
        <v>12.5</v>
      </c>
      <c r="G1112" s="10">
        <v>0.416666667</v>
      </c>
      <c r="H1112" s="10">
        <v>7.083333333</v>
      </c>
      <c r="I1112" s="10">
        <v>2.083333333</v>
      </c>
      <c r="J1112" s="10">
        <f>SUM(B1112:I1112)</f>
        <v>104.3875</v>
      </c>
      <c r="K1112">
        <v>2017</v>
      </c>
      <c r="L1112">
        <v>1</v>
      </c>
      <c r="M1112" s="11">
        <v>42736</v>
      </c>
      <c r="N1112" t="s">
        <v>2173</v>
      </c>
      <c r="O1112">
        <v>1</v>
      </c>
      <c r="P1112" t="s">
        <v>61</v>
      </c>
      <c r="Q1112" t="b">
        <v>1</v>
      </c>
    </row>
    <row r="1113" spans="1:17">
      <c r="A1113" s="12">
        <v>42752</v>
      </c>
      <c r="B1113" s="10">
        <v>7.225</v>
      </c>
      <c r="C1113" s="10">
        <v>4.139166667</v>
      </c>
      <c r="D1113" s="10">
        <v>5.291666667</v>
      </c>
      <c r="E1113" s="10">
        <v>48.45833333</v>
      </c>
      <c r="F1113" s="10">
        <v>13.33333333</v>
      </c>
      <c r="G1113" s="10">
        <v>1.666666667</v>
      </c>
      <c r="H1113" s="10">
        <v>3.75</v>
      </c>
      <c r="I1113" s="10">
        <v>2.5</v>
      </c>
      <c r="J1113" s="10">
        <f>SUM(B1113:I1113)</f>
        <v>86.36416666100001</v>
      </c>
      <c r="K1113">
        <v>2017</v>
      </c>
      <c r="L1113">
        <v>1</v>
      </c>
      <c r="M1113" s="11">
        <v>42736</v>
      </c>
      <c r="N1113" t="s">
        <v>2173</v>
      </c>
      <c r="O1113">
        <v>2</v>
      </c>
      <c r="P1113" t="s">
        <v>63</v>
      </c>
      <c r="Q1113" t="b">
        <v>1</v>
      </c>
    </row>
    <row r="1114" spans="1:17">
      <c r="A1114" s="12">
        <v>42753</v>
      </c>
      <c r="B1114" s="10">
        <v>6.741666667</v>
      </c>
      <c r="C1114" s="10">
        <v>4.445833333</v>
      </c>
      <c r="D1114" s="10">
        <v>6.5</v>
      </c>
      <c r="E1114" s="10">
        <v>45.95833333</v>
      </c>
      <c r="F1114" s="10">
        <v>16.66666667</v>
      </c>
      <c r="G1114" s="10">
        <v>1.25</v>
      </c>
      <c r="H1114" s="10">
        <v>5.833333333</v>
      </c>
      <c r="I1114" s="10">
        <v>0.833333333</v>
      </c>
      <c r="J1114" s="10">
        <f>SUM(B1114:I1114)</f>
        <v>88.229166666</v>
      </c>
      <c r="K1114">
        <v>2017</v>
      </c>
      <c r="L1114">
        <v>1</v>
      </c>
      <c r="M1114" s="11">
        <v>42736</v>
      </c>
      <c r="N1114" t="s">
        <v>2173</v>
      </c>
      <c r="O1114">
        <v>3</v>
      </c>
      <c r="P1114" t="s">
        <v>65</v>
      </c>
      <c r="Q1114" t="b">
        <v>1</v>
      </c>
    </row>
    <row r="1115" spans="1:17">
      <c r="A1115" s="12">
        <v>42754</v>
      </c>
      <c r="B1115" s="10">
        <v>5</v>
      </c>
      <c r="C1115" s="10">
        <v>5.7</v>
      </c>
      <c r="D1115" s="10">
        <v>7.833333333</v>
      </c>
      <c r="E1115" s="10">
        <v>37.75</v>
      </c>
      <c r="F1115" s="10">
        <v>15.83333333</v>
      </c>
      <c r="G1115" s="10">
        <v>0</v>
      </c>
      <c r="H1115" s="10">
        <v>2.5</v>
      </c>
      <c r="I1115" s="10">
        <v>3.333333333</v>
      </c>
      <c r="J1115" s="10">
        <f>SUM(B1115:I1115)</f>
        <v>77.949999996</v>
      </c>
      <c r="K1115">
        <v>2017</v>
      </c>
      <c r="L1115">
        <v>1</v>
      </c>
      <c r="M1115" s="11">
        <v>42736</v>
      </c>
      <c r="N1115" t="s">
        <v>2173</v>
      </c>
      <c r="O1115">
        <v>4</v>
      </c>
      <c r="P1115" t="s">
        <v>53</v>
      </c>
      <c r="Q1115" t="b">
        <v>1</v>
      </c>
    </row>
    <row r="1116" spans="1:17">
      <c r="A1116" s="12">
        <v>42755</v>
      </c>
      <c r="B1116" s="10">
        <v>3.608333333</v>
      </c>
      <c r="C1116" s="10">
        <v>4.73875</v>
      </c>
      <c r="D1116" s="10">
        <v>4.125</v>
      </c>
      <c r="E1116" s="10">
        <v>37.625</v>
      </c>
      <c r="F1116" s="10">
        <v>23.33333333</v>
      </c>
      <c r="G1116" s="10">
        <v>2.916666667</v>
      </c>
      <c r="H1116" s="10">
        <v>12.5</v>
      </c>
      <c r="I1116" s="10">
        <v>2.5</v>
      </c>
      <c r="J1116" s="10">
        <f>SUM(B1116:I1116)</f>
        <v>91.34708333</v>
      </c>
      <c r="K1116">
        <v>2017</v>
      </c>
      <c r="L1116">
        <v>1</v>
      </c>
      <c r="M1116" s="11">
        <v>42736</v>
      </c>
      <c r="N1116" t="s">
        <v>2173</v>
      </c>
      <c r="O1116">
        <v>5</v>
      </c>
      <c r="P1116" t="s">
        <v>55</v>
      </c>
      <c r="Q1116" t="b">
        <v>1</v>
      </c>
    </row>
    <row r="1117" spans="1:17">
      <c r="A1117" s="12">
        <v>42756</v>
      </c>
      <c r="B1117" s="10">
        <v>5.695833333</v>
      </c>
      <c r="C1117" s="10">
        <v>2.4</v>
      </c>
      <c r="D1117" s="10">
        <v>4.583333333</v>
      </c>
      <c r="E1117" s="10">
        <v>50.20833333</v>
      </c>
      <c r="F1117" s="10">
        <v>15</v>
      </c>
      <c r="G1117" s="10">
        <v>2.083333333</v>
      </c>
      <c r="H1117" s="10">
        <v>4.583333333</v>
      </c>
      <c r="I1117" s="10">
        <v>2.916666667</v>
      </c>
      <c r="J1117" s="10">
        <f>SUM(B1117:I1117)</f>
        <v>87.470833329</v>
      </c>
      <c r="K1117">
        <v>2017</v>
      </c>
      <c r="L1117">
        <v>1</v>
      </c>
      <c r="M1117" s="11">
        <v>42736</v>
      </c>
      <c r="N1117" t="s">
        <v>2173</v>
      </c>
      <c r="O1117">
        <v>6</v>
      </c>
      <c r="P1117" t="s">
        <v>57</v>
      </c>
      <c r="Q1117" t="b">
        <v>1</v>
      </c>
    </row>
    <row r="1118" spans="1:17">
      <c r="A1118" s="12">
        <v>42757</v>
      </c>
      <c r="B1118" s="10">
        <v>4.5125</v>
      </c>
      <c r="C1118" s="10">
        <v>5.0075</v>
      </c>
      <c r="D1118" s="10">
        <v>5.125</v>
      </c>
      <c r="E1118" s="10">
        <v>37.02083333</v>
      </c>
      <c r="F1118" s="10">
        <v>19.16666667</v>
      </c>
      <c r="G1118" s="10">
        <v>1.25</v>
      </c>
      <c r="H1118" s="10">
        <v>9.166666666999999</v>
      </c>
      <c r="I1118" s="10">
        <v>1.666666667</v>
      </c>
      <c r="J1118" s="10">
        <f>SUM(B1118:I1118)</f>
        <v>82.915833334</v>
      </c>
      <c r="K1118">
        <v>2017</v>
      </c>
      <c r="L1118">
        <v>1</v>
      </c>
      <c r="M1118" s="11">
        <v>42736</v>
      </c>
      <c r="N1118" t="s">
        <v>2173</v>
      </c>
      <c r="O1118">
        <v>7</v>
      </c>
      <c r="P1118" t="s">
        <v>59</v>
      </c>
      <c r="Q1118" t="b">
        <v>1</v>
      </c>
    </row>
    <row r="1119" spans="1:17">
      <c r="A1119" s="12">
        <v>42758</v>
      </c>
      <c r="B1119" s="10">
        <v>5.1375</v>
      </c>
      <c r="C1119" s="10">
        <v>4.505</v>
      </c>
      <c r="D1119" s="10">
        <v>6.291666667</v>
      </c>
      <c r="E1119" s="10">
        <v>41.75</v>
      </c>
      <c r="F1119" s="10">
        <v>15.83333333</v>
      </c>
      <c r="G1119" s="10">
        <v>0.833333333</v>
      </c>
      <c r="H1119" s="10">
        <v>2.5</v>
      </c>
      <c r="I1119" s="10">
        <v>1.666666667</v>
      </c>
      <c r="J1119" s="10">
        <f>SUM(B1119:I1119)</f>
        <v>78.517499997</v>
      </c>
      <c r="K1119">
        <v>2017</v>
      </c>
      <c r="L1119">
        <v>1</v>
      </c>
      <c r="M1119" s="11">
        <v>42736</v>
      </c>
      <c r="N1119" t="s">
        <v>2173</v>
      </c>
      <c r="O1119">
        <v>1</v>
      </c>
      <c r="P1119" t="s">
        <v>61</v>
      </c>
      <c r="Q1119" t="b">
        <v>1</v>
      </c>
    </row>
    <row r="1120" spans="1:17">
      <c r="A1120" s="12">
        <v>42759</v>
      </c>
      <c r="B1120" s="10">
        <v>6.1125</v>
      </c>
      <c r="C1120" s="10">
        <v>5.770833333</v>
      </c>
      <c r="D1120" s="10">
        <v>10.95833333</v>
      </c>
      <c r="E1120" s="10">
        <v>40.08333333</v>
      </c>
      <c r="F1120" s="10">
        <v>11.25</v>
      </c>
      <c r="G1120" s="10">
        <v>0</v>
      </c>
      <c r="H1120" s="10">
        <v>10</v>
      </c>
      <c r="I1120" s="10">
        <v>2.916666667</v>
      </c>
      <c r="J1120" s="10">
        <f>SUM(B1120:I1120)</f>
        <v>87.09166666</v>
      </c>
      <c r="K1120">
        <v>2017</v>
      </c>
      <c r="L1120">
        <v>1</v>
      </c>
      <c r="M1120" s="11">
        <v>42736</v>
      </c>
      <c r="N1120" t="s">
        <v>2173</v>
      </c>
      <c r="O1120">
        <v>2</v>
      </c>
      <c r="P1120" t="s">
        <v>63</v>
      </c>
      <c r="Q1120" t="b">
        <v>1</v>
      </c>
    </row>
    <row r="1121" spans="1:17">
      <c r="A1121" s="12">
        <v>42760</v>
      </c>
      <c r="B1121" s="10">
        <v>7.779166667</v>
      </c>
      <c r="C1121" s="10">
        <v>5.108333333</v>
      </c>
      <c r="D1121" s="10">
        <v>7.666666667</v>
      </c>
      <c r="E1121" s="10">
        <v>51.1875</v>
      </c>
      <c r="F1121" s="10">
        <v>18.75</v>
      </c>
      <c r="G1121" s="10">
        <v>2.083333333</v>
      </c>
      <c r="H1121" s="10">
        <v>13.75</v>
      </c>
      <c r="I1121" s="10">
        <v>2.291666667</v>
      </c>
      <c r="J1121" s="10">
        <f>SUM(B1121:I1121)</f>
        <v>108.616666667</v>
      </c>
      <c r="K1121">
        <v>2017</v>
      </c>
      <c r="L1121">
        <v>1</v>
      </c>
      <c r="M1121" s="11">
        <v>42736</v>
      </c>
      <c r="N1121" t="s">
        <v>2173</v>
      </c>
      <c r="O1121">
        <v>3</v>
      </c>
      <c r="P1121" t="s">
        <v>65</v>
      </c>
      <c r="Q1121" t="b">
        <v>1</v>
      </c>
    </row>
    <row r="1122" spans="1:17">
      <c r="A1122" s="12">
        <v>42761</v>
      </c>
      <c r="B1122" s="10">
        <v>5.979166667</v>
      </c>
      <c r="C1122" s="10">
        <v>5.224583333</v>
      </c>
      <c r="D1122" s="10">
        <v>7.041666667</v>
      </c>
      <c r="E1122" s="10">
        <v>36.625</v>
      </c>
      <c r="F1122" s="10">
        <v>13.75</v>
      </c>
      <c r="G1122" s="10">
        <v>0.833333333</v>
      </c>
      <c r="H1122" s="10">
        <v>8.333333333000001</v>
      </c>
      <c r="I1122" s="10">
        <v>0</v>
      </c>
      <c r="J1122" s="10">
        <f>SUM(B1122:I1122)</f>
        <v>77.787083333</v>
      </c>
      <c r="K1122">
        <v>2017</v>
      </c>
      <c r="L1122">
        <v>1</v>
      </c>
      <c r="M1122" s="11">
        <v>42736</v>
      </c>
      <c r="N1122" t="s">
        <v>2173</v>
      </c>
      <c r="O1122">
        <v>4</v>
      </c>
      <c r="P1122" t="s">
        <v>53</v>
      </c>
      <c r="Q1122" t="b">
        <v>1</v>
      </c>
    </row>
    <row r="1123" spans="1:17">
      <c r="A1123" s="12">
        <v>42762</v>
      </c>
      <c r="B1123" s="10">
        <v>7.85</v>
      </c>
      <c r="C1123" s="10">
        <v>7.54125</v>
      </c>
      <c r="D1123" s="10">
        <v>5.166666667</v>
      </c>
      <c r="E1123" s="10">
        <v>42.60916667</v>
      </c>
      <c r="F1123" s="10">
        <v>21.25</v>
      </c>
      <c r="G1123" s="10">
        <v>2.083333333</v>
      </c>
      <c r="H1123" s="10">
        <v>9.583333333000001</v>
      </c>
      <c r="I1123" s="10">
        <v>1.25</v>
      </c>
      <c r="J1123" s="10">
        <f>SUM(B1123:I1123)</f>
        <v>97.333750003</v>
      </c>
      <c r="K1123">
        <v>2017</v>
      </c>
      <c r="L1123">
        <v>1</v>
      </c>
      <c r="M1123" s="11">
        <v>42736</v>
      </c>
      <c r="N1123" t="s">
        <v>2173</v>
      </c>
      <c r="O1123">
        <v>5</v>
      </c>
      <c r="P1123" t="s">
        <v>55</v>
      </c>
      <c r="Q1123" t="b">
        <v>1</v>
      </c>
    </row>
    <row r="1124" spans="1:17">
      <c r="A1124" s="12">
        <v>42763</v>
      </c>
      <c r="B1124" s="10">
        <v>5.970833333</v>
      </c>
      <c r="C1124" s="10">
        <v>6.1125</v>
      </c>
      <c r="D1124" s="10">
        <v>2.25</v>
      </c>
      <c r="E1124" s="10">
        <v>32.08333333</v>
      </c>
      <c r="F1124" s="10">
        <v>9.166666666999999</v>
      </c>
      <c r="G1124" s="10">
        <v>0</v>
      </c>
      <c r="H1124" s="10">
        <v>1.666666667</v>
      </c>
      <c r="I1124" s="10">
        <v>1.25</v>
      </c>
      <c r="J1124" s="10">
        <f>SUM(B1124:I1124)</f>
        <v>58.499999997</v>
      </c>
      <c r="K1124">
        <v>2017</v>
      </c>
      <c r="L1124">
        <v>1</v>
      </c>
      <c r="M1124" s="11">
        <v>42736</v>
      </c>
      <c r="N1124" t="s">
        <v>2173</v>
      </c>
      <c r="O1124">
        <v>6</v>
      </c>
      <c r="P1124" t="s">
        <v>57</v>
      </c>
      <c r="Q1124" t="b">
        <v>1</v>
      </c>
    </row>
    <row r="1125" spans="1:17">
      <c r="A1125" s="12">
        <v>42764</v>
      </c>
      <c r="B1125" s="10">
        <v>5.141666667</v>
      </c>
      <c r="C1125" s="10">
        <v>7.783333333</v>
      </c>
      <c r="D1125" s="10">
        <v>5.333333333</v>
      </c>
      <c r="E1125" s="10">
        <v>54.16666667</v>
      </c>
      <c r="F1125" s="10">
        <v>15.83333333</v>
      </c>
      <c r="G1125" s="10">
        <v>2.5</v>
      </c>
      <c r="H1125" s="10">
        <v>9.583333333000001</v>
      </c>
      <c r="I1125" s="10">
        <v>3.333333333</v>
      </c>
      <c r="J1125" s="10">
        <f>SUM(B1125:I1125)</f>
        <v>103.674999999</v>
      </c>
      <c r="K1125">
        <v>2017</v>
      </c>
      <c r="L1125">
        <v>1</v>
      </c>
      <c r="M1125" s="11">
        <v>42736</v>
      </c>
      <c r="N1125" t="s">
        <v>2173</v>
      </c>
      <c r="O1125">
        <v>7</v>
      </c>
      <c r="P1125" t="s">
        <v>59</v>
      </c>
      <c r="Q1125" t="b">
        <v>1</v>
      </c>
    </row>
    <row r="1126" spans="1:17">
      <c r="A1126" s="12">
        <v>42765</v>
      </c>
      <c r="B1126" s="10">
        <v>8.058333333</v>
      </c>
      <c r="C1126" s="10">
        <v>5.61625</v>
      </c>
      <c r="D1126" s="10">
        <v>7</v>
      </c>
      <c r="E1126" s="10">
        <v>35.5175</v>
      </c>
      <c r="F1126" s="10">
        <v>17.08333333</v>
      </c>
      <c r="G1126" s="10">
        <v>4.166666667</v>
      </c>
      <c r="H1126" s="10">
        <v>7.083333333</v>
      </c>
      <c r="I1126" s="10">
        <v>4.166666667</v>
      </c>
      <c r="J1126" s="10">
        <f>SUM(B1126:I1126)</f>
        <v>88.69208333</v>
      </c>
      <c r="K1126">
        <v>2017</v>
      </c>
      <c r="L1126">
        <v>1</v>
      </c>
      <c r="M1126" s="11">
        <v>42736</v>
      </c>
      <c r="N1126" t="s">
        <v>2173</v>
      </c>
      <c r="O1126">
        <v>1</v>
      </c>
      <c r="P1126" t="s">
        <v>61</v>
      </c>
      <c r="Q1126" t="b">
        <v>1</v>
      </c>
    </row>
    <row r="1127" spans="1:17">
      <c r="A1127" s="12">
        <v>42766</v>
      </c>
      <c r="B1127" s="10">
        <v>4.441666667</v>
      </c>
      <c r="C1127" s="10">
        <v>4.254583333</v>
      </c>
      <c r="D1127" s="10">
        <v>2.833333333</v>
      </c>
      <c r="E1127" s="10">
        <v>47.25</v>
      </c>
      <c r="F1127" s="10">
        <v>13.33333333</v>
      </c>
      <c r="G1127" s="10">
        <v>0.833333333</v>
      </c>
      <c r="H1127" s="10">
        <v>2.916666667</v>
      </c>
      <c r="I1127" s="10">
        <v>1.666666667</v>
      </c>
      <c r="J1127" s="10">
        <f>SUM(B1127:I1127)</f>
        <v>77.52958333</v>
      </c>
      <c r="K1127">
        <v>2017</v>
      </c>
      <c r="L1127">
        <v>1</v>
      </c>
      <c r="M1127" s="11">
        <v>42736</v>
      </c>
      <c r="N1127" t="s">
        <v>2173</v>
      </c>
      <c r="O1127">
        <v>2</v>
      </c>
      <c r="P1127" t="s">
        <v>63</v>
      </c>
      <c r="Q1127" t="b">
        <v>1</v>
      </c>
    </row>
    <row r="1128" spans="1:17">
      <c r="A1128" s="12">
        <v>42767</v>
      </c>
      <c r="B1128" s="10">
        <v>7.375</v>
      </c>
      <c r="C1128" s="10">
        <v>5.188333333</v>
      </c>
      <c r="D1128" s="10">
        <v>6.041666667</v>
      </c>
      <c r="E1128" s="10">
        <v>31.625</v>
      </c>
      <c r="F1128" s="10">
        <v>10.83333333</v>
      </c>
      <c r="G1128" s="10">
        <v>0.416666667</v>
      </c>
      <c r="H1128" s="10">
        <v>8.333333333000001</v>
      </c>
      <c r="I1128" s="10">
        <v>2.083333333</v>
      </c>
      <c r="J1128" s="10">
        <f>SUM(B1128:I1128)</f>
        <v>71.896666663</v>
      </c>
      <c r="K1128">
        <v>2017</v>
      </c>
      <c r="L1128">
        <v>2</v>
      </c>
      <c r="M1128" s="11">
        <v>42767</v>
      </c>
      <c r="N1128" t="s">
        <v>2174</v>
      </c>
      <c r="O1128">
        <v>3</v>
      </c>
      <c r="P1128" t="s">
        <v>65</v>
      </c>
      <c r="Q1128" t="b">
        <v>1</v>
      </c>
    </row>
    <row r="1129" spans="1:17">
      <c r="A1129" s="12">
        <v>42768</v>
      </c>
      <c r="B1129" s="10">
        <v>8.195833332999999</v>
      </c>
      <c r="C1129" s="10">
        <v>6.211666667</v>
      </c>
      <c r="D1129" s="10">
        <v>6.416666667</v>
      </c>
      <c r="E1129" s="10">
        <v>42.29166667</v>
      </c>
      <c r="F1129" s="10">
        <v>9.166666666999999</v>
      </c>
      <c r="G1129" s="10">
        <v>0.416666667</v>
      </c>
      <c r="H1129" s="10">
        <v>0.416666667</v>
      </c>
      <c r="I1129" s="10">
        <v>0.833333333</v>
      </c>
      <c r="J1129" s="10">
        <f>SUM(B1129:I1129)</f>
        <v>73.949166671</v>
      </c>
      <c r="K1129">
        <v>2017</v>
      </c>
      <c r="L1129">
        <v>2</v>
      </c>
      <c r="M1129" s="11">
        <v>42767</v>
      </c>
      <c r="N1129" t="s">
        <v>2174</v>
      </c>
      <c r="O1129">
        <v>4</v>
      </c>
      <c r="P1129" t="s">
        <v>53</v>
      </c>
      <c r="Q1129" t="b">
        <v>1</v>
      </c>
    </row>
    <row r="1130" spans="1:17">
      <c r="A1130" s="12">
        <v>42769</v>
      </c>
      <c r="B1130" s="10">
        <v>7.6375</v>
      </c>
      <c r="C1130" s="10">
        <v>6.255416667</v>
      </c>
      <c r="D1130" s="10">
        <v>9</v>
      </c>
      <c r="E1130" s="10">
        <v>42.90083333</v>
      </c>
      <c r="F1130" s="10">
        <v>15.83333333</v>
      </c>
      <c r="G1130" s="10">
        <v>2.5</v>
      </c>
      <c r="H1130" s="10">
        <v>7.083333333</v>
      </c>
      <c r="I1130" s="10">
        <v>0.833333333</v>
      </c>
      <c r="J1130" s="10">
        <f>SUM(B1130:I1130)</f>
        <v>92.04374999299999</v>
      </c>
      <c r="K1130">
        <v>2017</v>
      </c>
      <c r="L1130">
        <v>2</v>
      </c>
      <c r="M1130" s="11">
        <v>42767</v>
      </c>
      <c r="N1130" t="s">
        <v>2174</v>
      </c>
      <c r="O1130">
        <v>5</v>
      </c>
      <c r="P1130" t="s">
        <v>55</v>
      </c>
      <c r="Q1130" t="b">
        <v>1</v>
      </c>
    </row>
    <row r="1131" spans="1:17">
      <c r="A1131" s="12">
        <v>42770</v>
      </c>
      <c r="B1131" s="10">
        <v>7.779166667</v>
      </c>
      <c r="C1131" s="10">
        <v>4.166666667</v>
      </c>
      <c r="D1131" s="10">
        <v>4.416666667</v>
      </c>
      <c r="E1131" s="10">
        <v>27.70833333</v>
      </c>
      <c r="F1131" s="10">
        <v>12.08333333</v>
      </c>
      <c r="G1131" s="10">
        <v>0.833333333</v>
      </c>
      <c r="H1131" s="10">
        <v>7.5</v>
      </c>
      <c r="I1131" s="10">
        <v>3.75</v>
      </c>
      <c r="J1131" s="10">
        <f>SUM(B1131:I1131)</f>
        <v>68.237499994</v>
      </c>
      <c r="K1131">
        <v>2017</v>
      </c>
      <c r="L1131">
        <v>2</v>
      </c>
      <c r="M1131" s="11">
        <v>42767</v>
      </c>
      <c r="N1131" t="s">
        <v>2174</v>
      </c>
      <c r="O1131">
        <v>6</v>
      </c>
      <c r="P1131" t="s">
        <v>57</v>
      </c>
      <c r="Q1131" t="b">
        <v>1</v>
      </c>
    </row>
    <row r="1132" spans="1:17">
      <c r="A1132" s="12">
        <v>42771</v>
      </c>
      <c r="B1132" s="10">
        <v>10.67</v>
      </c>
      <c r="C1132" s="10">
        <v>10.725</v>
      </c>
      <c r="D1132" s="10">
        <v>5</v>
      </c>
      <c r="E1132" s="10">
        <v>38.6</v>
      </c>
      <c r="F1132" s="10">
        <v>1</v>
      </c>
      <c r="G1132" s="10">
        <v>0</v>
      </c>
      <c r="H1132" s="10">
        <v>11</v>
      </c>
      <c r="I1132" s="10">
        <v>1.1</v>
      </c>
      <c r="J1132" s="10">
        <f>SUM(B1132:I1132)</f>
        <v>78.095</v>
      </c>
      <c r="K1132">
        <v>2017</v>
      </c>
      <c r="L1132">
        <v>2</v>
      </c>
      <c r="M1132" s="11">
        <v>42767</v>
      </c>
      <c r="N1132" t="s">
        <v>2174</v>
      </c>
      <c r="O1132">
        <v>7</v>
      </c>
      <c r="P1132" t="s">
        <v>59</v>
      </c>
      <c r="Q1132" t="b">
        <v>1</v>
      </c>
    </row>
    <row r="1133" spans="1:17">
      <c r="A1133" s="12">
        <v>42772</v>
      </c>
      <c r="B1133" s="10">
        <v>10</v>
      </c>
      <c r="C1133" s="10">
        <v>5</v>
      </c>
      <c r="D1133" s="10">
        <v>4.4</v>
      </c>
      <c r="E1133" s="10">
        <v>13</v>
      </c>
      <c r="F1133" s="10">
        <v>3</v>
      </c>
      <c r="G1133" s="10">
        <v>2</v>
      </c>
      <c r="H1133" s="10">
        <v>5</v>
      </c>
      <c r="I1133" s="10">
        <v>0</v>
      </c>
      <c r="J1133" s="10">
        <f>SUM(B1133:I1133)</f>
        <v>42.4</v>
      </c>
      <c r="K1133">
        <v>2017</v>
      </c>
      <c r="L1133">
        <v>2</v>
      </c>
      <c r="M1133" s="11">
        <v>42767</v>
      </c>
      <c r="N1133" t="s">
        <v>2174</v>
      </c>
      <c r="O1133">
        <v>1</v>
      </c>
      <c r="P1133" t="s">
        <v>61</v>
      </c>
      <c r="Q1133" t="b">
        <v>1</v>
      </c>
    </row>
    <row r="1134" spans="1:17">
      <c r="A1134" s="12">
        <v>42773</v>
      </c>
      <c r="B1134" s="10">
        <v>3</v>
      </c>
      <c r="C1134" s="10">
        <v>0.33</v>
      </c>
      <c r="D1134" s="10">
        <v>3.5</v>
      </c>
      <c r="E1134" s="10">
        <v>13.8</v>
      </c>
      <c r="F1134" s="10">
        <v>3</v>
      </c>
      <c r="G1134" s="10">
        <v>0</v>
      </c>
      <c r="H1134" s="10">
        <v>7</v>
      </c>
      <c r="I1134" s="10">
        <v>2</v>
      </c>
      <c r="J1134" s="10">
        <f>SUM(B1134:I1134)</f>
        <v>32.63</v>
      </c>
      <c r="K1134">
        <v>2017</v>
      </c>
      <c r="L1134">
        <v>2</v>
      </c>
      <c r="M1134" s="11">
        <v>42767</v>
      </c>
      <c r="N1134" t="s">
        <v>2174</v>
      </c>
      <c r="O1134">
        <v>2</v>
      </c>
      <c r="P1134" t="s">
        <v>63</v>
      </c>
      <c r="Q1134" t="b">
        <v>1</v>
      </c>
    </row>
    <row r="1135" spans="1:17">
      <c r="A1135" s="12">
        <v>42774</v>
      </c>
      <c r="B1135" s="10">
        <v>11</v>
      </c>
      <c r="C1135" s="10">
        <v>1.67</v>
      </c>
      <c r="D1135" s="10">
        <v>4</v>
      </c>
      <c r="E1135" s="10">
        <v>36</v>
      </c>
      <c r="F1135" s="10">
        <v>7</v>
      </c>
      <c r="G1135" s="10">
        <v>0</v>
      </c>
      <c r="H1135" s="10">
        <v>10</v>
      </c>
      <c r="I1135" s="10">
        <v>2</v>
      </c>
      <c r="J1135" s="10">
        <f>SUM(B1135:I1135)</f>
        <v>71.67</v>
      </c>
      <c r="K1135">
        <v>2017</v>
      </c>
      <c r="L1135">
        <v>2</v>
      </c>
      <c r="M1135" s="11">
        <v>42767</v>
      </c>
      <c r="N1135" t="s">
        <v>2174</v>
      </c>
      <c r="O1135">
        <v>3</v>
      </c>
      <c r="P1135" t="s">
        <v>65</v>
      </c>
      <c r="Q1135" t="b">
        <v>1</v>
      </c>
    </row>
    <row r="1136" spans="1:17">
      <c r="A1136" s="12">
        <v>42775</v>
      </c>
      <c r="B1136" s="10">
        <v>3.9825</v>
      </c>
      <c r="C1136" s="10">
        <v>1.76</v>
      </c>
      <c r="D1136" s="10">
        <v>4</v>
      </c>
      <c r="E1136" s="10">
        <v>20.4</v>
      </c>
      <c r="F1136" s="10">
        <v>6</v>
      </c>
      <c r="G1136" s="10">
        <v>0</v>
      </c>
      <c r="H1136" s="10">
        <v>0</v>
      </c>
      <c r="I1136" s="10">
        <v>1</v>
      </c>
      <c r="J1136" s="10">
        <f>SUM(B1136:I1136)</f>
        <v>37.1425</v>
      </c>
      <c r="K1136">
        <v>2017</v>
      </c>
      <c r="L1136">
        <v>2</v>
      </c>
      <c r="M1136" s="11">
        <v>42767</v>
      </c>
      <c r="N1136" t="s">
        <v>2174</v>
      </c>
      <c r="O1136">
        <v>4</v>
      </c>
      <c r="P1136" t="s">
        <v>53</v>
      </c>
      <c r="Q1136" t="b">
        <v>1</v>
      </c>
    </row>
    <row r="1137" spans="1:17">
      <c r="A1137" s="12">
        <v>42776</v>
      </c>
      <c r="B1137" s="10">
        <v>4.01</v>
      </c>
      <c r="C1137" s="10">
        <v>3.34</v>
      </c>
      <c r="D1137" s="10">
        <v>4.75</v>
      </c>
      <c r="E1137" s="10">
        <v>23.2</v>
      </c>
      <c r="F1137" s="10">
        <v>5</v>
      </c>
      <c r="G1137" s="10">
        <v>0</v>
      </c>
      <c r="H1137" s="10">
        <v>2</v>
      </c>
      <c r="I1137" s="10">
        <v>0</v>
      </c>
      <c r="J1137" s="10">
        <f>SUM(B1137:I1137)</f>
        <v>42.3</v>
      </c>
      <c r="K1137">
        <v>2017</v>
      </c>
      <c r="L1137">
        <v>2</v>
      </c>
      <c r="M1137" s="11">
        <v>42767</v>
      </c>
      <c r="N1137" t="s">
        <v>2174</v>
      </c>
      <c r="O1137">
        <v>5</v>
      </c>
      <c r="P1137" t="s">
        <v>55</v>
      </c>
      <c r="Q1137" t="b">
        <v>1</v>
      </c>
    </row>
    <row r="1138" spans="1:17">
      <c r="A1138" s="12">
        <v>42777</v>
      </c>
      <c r="B1138" s="10">
        <v>5.33</v>
      </c>
      <c r="C1138" s="10">
        <v>6.32</v>
      </c>
      <c r="D1138" s="10">
        <v>5.1</v>
      </c>
      <c r="E1138" s="10">
        <v>12.4</v>
      </c>
      <c r="F1138" s="10">
        <v>11</v>
      </c>
      <c r="G1138" s="10">
        <v>1</v>
      </c>
      <c r="H1138" s="10">
        <v>1</v>
      </c>
      <c r="I1138" s="10">
        <v>3</v>
      </c>
      <c r="J1138" s="10">
        <f>SUM(B1138:I1138)</f>
        <v>45.15</v>
      </c>
      <c r="K1138">
        <v>2017</v>
      </c>
      <c r="L1138">
        <v>2</v>
      </c>
      <c r="M1138" s="11">
        <v>42767</v>
      </c>
      <c r="N1138" t="s">
        <v>2174</v>
      </c>
      <c r="O1138">
        <v>6</v>
      </c>
      <c r="P1138" t="s">
        <v>57</v>
      </c>
      <c r="Q1138" t="b">
        <v>1</v>
      </c>
    </row>
    <row r="1139" spans="1:17">
      <c r="A1139" s="12">
        <v>42778</v>
      </c>
      <c r="B1139" s="10">
        <v>10</v>
      </c>
      <c r="C1139" s="10">
        <v>10.67</v>
      </c>
      <c r="D1139" s="10">
        <v>7.8</v>
      </c>
      <c r="E1139" s="10">
        <v>27.4</v>
      </c>
      <c r="F1139" s="10">
        <v>4</v>
      </c>
      <c r="G1139" s="10">
        <v>0</v>
      </c>
      <c r="H1139" s="10">
        <v>2</v>
      </c>
      <c r="I1139" s="10">
        <v>1</v>
      </c>
      <c r="J1139" s="10">
        <f>SUM(B1139:I1139)</f>
        <v>62.870000000000005</v>
      </c>
      <c r="K1139">
        <v>2017</v>
      </c>
      <c r="L1139">
        <v>2</v>
      </c>
      <c r="M1139" s="11">
        <v>42767</v>
      </c>
      <c r="N1139" t="s">
        <v>2174</v>
      </c>
      <c r="O1139">
        <v>7</v>
      </c>
      <c r="P1139" t="s">
        <v>59</v>
      </c>
      <c r="Q1139" t="b">
        <v>1</v>
      </c>
    </row>
    <row r="1140" spans="1:17">
      <c r="A1140" s="12">
        <v>42779</v>
      </c>
      <c r="B1140" s="10">
        <v>0</v>
      </c>
      <c r="C1140" s="10">
        <v>0</v>
      </c>
      <c r="D1140" s="10">
        <v>0</v>
      </c>
      <c r="E1140" s="10">
        <v>0</v>
      </c>
      <c r="F1140" s="10">
        <v>0</v>
      </c>
      <c r="G1140" s="10">
        <v>0</v>
      </c>
      <c r="H1140" s="10">
        <v>0</v>
      </c>
      <c r="I1140" s="10">
        <v>0</v>
      </c>
      <c r="J1140" s="10">
        <f>SUM(B1140:I1140)</f>
        <v>0.0</v>
      </c>
      <c r="K1140">
        <v>2017</v>
      </c>
      <c r="L1140">
        <v>2</v>
      </c>
      <c r="M1140" s="11">
        <v>42767</v>
      </c>
      <c r="N1140" t="s">
        <v>2174</v>
      </c>
      <c r="O1140">
        <v>1</v>
      </c>
      <c r="P1140" t="s">
        <v>61</v>
      </c>
      <c r="Q1140" t="b">
        <v>1</v>
      </c>
    </row>
    <row r="1141" spans="1:17">
      <c r="A1141" s="12">
        <v>42780</v>
      </c>
      <c r="B1141" s="10">
        <v>4.33</v>
      </c>
      <c r="C1141" s="10">
        <v>5</v>
      </c>
      <c r="D1141" s="10">
        <v>2.1</v>
      </c>
      <c r="E1141" s="10">
        <v>22</v>
      </c>
      <c r="F1141" s="10">
        <v>0</v>
      </c>
      <c r="G1141" s="10">
        <v>0</v>
      </c>
      <c r="H1141" s="10">
        <v>1</v>
      </c>
      <c r="I1141" s="10">
        <v>1</v>
      </c>
      <c r="J1141" s="10">
        <f>SUM(B1141:I1141)</f>
        <v>35.43</v>
      </c>
      <c r="K1141">
        <v>2017</v>
      </c>
      <c r="L1141">
        <v>2</v>
      </c>
      <c r="M1141" s="11">
        <v>42767</v>
      </c>
      <c r="N1141" t="s">
        <v>2174</v>
      </c>
      <c r="O1141">
        <v>2</v>
      </c>
      <c r="P1141" t="s">
        <v>63</v>
      </c>
      <c r="Q1141" t="b">
        <v>1</v>
      </c>
    </row>
    <row r="1142" spans="1:17">
      <c r="A1142" s="12">
        <v>42781</v>
      </c>
      <c r="B1142" s="10">
        <v>6</v>
      </c>
      <c r="C1142" s="10">
        <v>2.67</v>
      </c>
      <c r="D1142" s="10">
        <v>2</v>
      </c>
      <c r="E1142" s="10">
        <v>19.2</v>
      </c>
      <c r="F1142" s="10">
        <v>1</v>
      </c>
      <c r="G1142" s="10">
        <v>0</v>
      </c>
      <c r="H1142" s="10">
        <v>1</v>
      </c>
      <c r="I1142" s="10">
        <v>1</v>
      </c>
      <c r="J1142" s="10">
        <f>SUM(B1142:I1142)</f>
        <v>32.87</v>
      </c>
      <c r="K1142">
        <v>2017</v>
      </c>
      <c r="L1142">
        <v>2</v>
      </c>
      <c r="M1142" s="11">
        <v>42767</v>
      </c>
      <c r="N1142" t="s">
        <v>2174</v>
      </c>
      <c r="O1142">
        <v>3</v>
      </c>
      <c r="P1142" t="s">
        <v>65</v>
      </c>
      <c r="Q1142" t="b">
        <v>1</v>
      </c>
    </row>
    <row r="1143" spans="1:17">
      <c r="A1143" s="12">
        <v>42782</v>
      </c>
      <c r="B1143" s="10">
        <v>3.66</v>
      </c>
      <c r="C1143" s="10">
        <v>4.66</v>
      </c>
      <c r="D1143" s="10">
        <v>1</v>
      </c>
      <c r="E1143" s="10">
        <v>31.6</v>
      </c>
      <c r="F1143" s="10">
        <v>2</v>
      </c>
      <c r="G1143" s="10">
        <v>0</v>
      </c>
      <c r="H1143" s="10">
        <v>0</v>
      </c>
      <c r="I1143" s="10">
        <v>3</v>
      </c>
      <c r="J1143" s="10">
        <f>SUM(B1143:I1143)</f>
        <v>45.92</v>
      </c>
      <c r="K1143">
        <v>2017</v>
      </c>
      <c r="L1143">
        <v>2</v>
      </c>
      <c r="M1143" s="11">
        <v>42767</v>
      </c>
      <c r="N1143" t="s">
        <v>2174</v>
      </c>
      <c r="O1143">
        <v>4</v>
      </c>
      <c r="P1143" t="s">
        <v>53</v>
      </c>
      <c r="Q1143" t="b">
        <v>1</v>
      </c>
    </row>
    <row r="1144" spans="1:17">
      <c r="A1144" s="12">
        <v>42783</v>
      </c>
      <c r="B1144" s="10">
        <v>3</v>
      </c>
      <c r="C1144" s="10">
        <v>2.802</v>
      </c>
      <c r="D1144" s="10">
        <v>2.1</v>
      </c>
      <c r="E1144" s="10">
        <v>12.25</v>
      </c>
      <c r="F1144" s="10">
        <v>4</v>
      </c>
      <c r="G1144" s="10">
        <v>0</v>
      </c>
      <c r="H1144" s="10">
        <v>8</v>
      </c>
      <c r="I1144" s="10">
        <v>1.2</v>
      </c>
      <c r="J1144" s="10">
        <f>SUM(B1144:I1144)</f>
        <v>33.352000000000004</v>
      </c>
      <c r="K1144">
        <v>2017</v>
      </c>
      <c r="L1144">
        <v>2</v>
      </c>
      <c r="M1144" s="11">
        <v>42767</v>
      </c>
      <c r="N1144" t="s">
        <v>2174</v>
      </c>
      <c r="O1144">
        <v>5</v>
      </c>
      <c r="P1144" t="s">
        <v>55</v>
      </c>
      <c r="Q1144" t="b">
        <v>1</v>
      </c>
    </row>
    <row r="1145" spans="1:17">
      <c r="A1145" s="12">
        <v>42784</v>
      </c>
      <c r="B1145" s="10">
        <v>7</v>
      </c>
      <c r="C1145" s="10">
        <v>4</v>
      </c>
      <c r="D1145" s="10">
        <v>2.35</v>
      </c>
      <c r="E1145" s="10">
        <v>30</v>
      </c>
      <c r="F1145" s="10">
        <v>10</v>
      </c>
      <c r="G1145" s="10">
        <v>0</v>
      </c>
      <c r="H1145" s="10">
        <v>0</v>
      </c>
      <c r="I1145" s="10">
        <v>3.1</v>
      </c>
      <c r="J1145" s="10">
        <f>SUM(B1145:I1145)</f>
        <v>56.45</v>
      </c>
      <c r="K1145">
        <v>2017</v>
      </c>
      <c r="L1145">
        <v>2</v>
      </c>
      <c r="M1145" s="11">
        <v>42767</v>
      </c>
      <c r="N1145" t="s">
        <v>2174</v>
      </c>
      <c r="O1145">
        <v>6</v>
      </c>
      <c r="P1145" t="s">
        <v>57</v>
      </c>
      <c r="Q1145" t="b">
        <v>1</v>
      </c>
    </row>
    <row r="1146" spans="1:17">
      <c r="A1146" s="12">
        <v>42785</v>
      </c>
      <c r="B1146" s="10">
        <v>3.34</v>
      </c>
      <c r="C1146" s="10">
        <v>3.516</v>
      </c>
      <c r="D1146" s="10">
        <v>2.2</v>
      </c>
      <c r="E1146" s="10">
        <v>13</v>
      </c>
      <c r="F1146" s="10">
        <v>1</v>
      </c>
      <c r="G1146" s="10">
        <v>0</v>
      </c>
      <c r="H1146" s="10">
        <v>8</v>
      </c>
      <c r="I1146" s="10">
        <v>1</v>
      </c>
      <c r="J1146" s="10">
        <f>SUM(B1146:I1146)</f>
        <v>32.056</v>
      </c>
      <c r="K1146">
        <v>2017</v>
      </c>
      <c r="L1146">
        <v>2</v>
      </c>
      <c r="M1146" s="11">
        <v>42767</v>
      </c>
      <c r="N1146" t="s">
        <v>2174</v>
      </c>
      <c r="O1146">
        <v>7</v>
      </c>
      <c r="P1146" t="s">
        <v>59</v>
      </c>
      <c r="Q1146" t="b">
        <v>1</v>
      </c>
    </row>
    <row r="1147" spans="1:17">
      <c r="A1147" s="12">
        <v>42786</v>
      </c>
      <c r="B1147" s="10">
        <v>5</v>
      </c>
      <c r="C1147" s="10">
        <v>3.76</v>
      </c>
      <c r="D1147" s="10">
        <v>4.5</v>
      </c>
      <c r="E1147" s="10">
        <v>33.1</v>
      </c>
      <c r="F1147" s="10">
        <v>2</v>
      </c>
      <c r="G1147" s="10">
        <v>0</v>
      </c>
      <c r="H1147" s="10">
        <v>1</v>
      </c>
      <c r="I1147" s="10">
        <v>3</v>
      </c>
      <c r="J1147" s="10">
        <f>SUM(B1147:I1147)</f>
        <v>52.36</v>
      </c>
      <c r="K1147">
        <v>2017</v>
      </c>
      <c r="L1147">
        <v>2</v>
      </c>
      <c r="M1147" s="11">
        <v>42767</v>
      </c>
      <c r="N1147" t="s">
        <v>2174</v>
      </c>
      <c r="O1147">
        <v>1</v>
      </c>
      <c r="P1147" t="s">
        <v>61</v>
      </c>
      <c r="Q1147" t="b">
        <v>1</v>
      </c>
    </row>
    <row r="1148" spans="1:17">
      <c r="A1148" s="12">
        <v>42787</v>
      </c>
      <c r="B1148" s="10">
        <v>5</v>
      </c>
      <c r="C1148" s="10">
        <v>4.155</v>
      </c>
      <c r="D1148" s="10">
        <v>4</v>
      </c>
      <c r="E1148" s="10">
        <v>22.9</v>
      </c>
      <c r="F1148" s="10">
        <v>14</v>
      </c>
      <c r="G1148" s="10">
        <v>0</v>
      </c>
      <c r="H1148" s="10">
        <v>8</v>
      </c>
      <c r="I1148" s="10">
        <v>1</v>
      </c>
      <c r="J1148" s="10">
        <f>SUM(B1148:I1148)</f>
        <v>59.055</v>
      </c>
      <c r="K1148">
        <v>2017</v>
      </c>
      <c r="L1148">
        <v>2</v>
      </c>
      <c r="M1148" s="11">
        <v>42767</v>
      </c>
      <c r="N1148" t="s">
        <v>2174</v>
      </c>
      <c r="O1148">
        <v>2</v>
      </c>
      <c r="P1148" t="s">
        <v>63</v>
      </c>
      <c r="Q1148" t="b">
        <v>1</v>
      </c>
    </row>
    <row r="1149" spans="1:17">
      <c r="A1149" s="12">
        <v>42788</v>
      </c>
      <c r="B1149" s="10">
        <v>3.67</v>
      </c>
      <c r="C1149" s="10">
        <v>2.429</v>
      </c>
      <c r="D1149" s="10">
        <v>7.2</v>
      </c>
      <c r="E1149" s="10">
        <v>21.1</v>
      </c>
      <c r="F1149" s="10">
        <v>9</v>
      </c>
      <c r="G1149" s="10">
        <v>0</v>
      </c>
      <c r="H1149" s="10">
        <v>5</v>
      </c>
      <c r="I1149" s="10">
        <v>0</v>
      </c>
      <c r="J1149" s="10">
        <f>SUM(B1149:I1149)</f>
        <v>48.399</v>
      </c>
      <c r="K1149">
        <v>2017</v>
      </c>
      <c r="L1149">
        <v>2</v>
      </c>
      <c r="M1149" s="11">
        <v>42767</v>
      </c>
      <c r="N1149" t="s">
        <v>2174</v>
      </c>
      <c r="O1149">
        <v>3</v>
      </c>
      <c r="P1149" t="s">
        <v>65</v>
      </c>
      <c r="Q1149" t="b">
        <v>1</v>
      </c>
    </row>
    <row r="1150" spans="1:17">
      <c r="A1150" s="12">
        <v>42789</v>
      </c>
      <c r="B1150" s="10">
        <v>6.67</v>
      </c>
      <c r="C1150" s="10">
        <v>5.67</v>
      </c>
      <c r="D1150" s="10">
        <v>4.05</v>
      </c>
      <c r="E1150" s="10">
        <v>24.1</v>
      </c>
      <c r="F1150" s="10">
        <v>5</v>
      </c>
      <c r="G1150" s="10">
        <v>1</v>
      </c>
      <c r="H1150" s="10">
        <v>8</v>
      </c>
      <c r="I1150" s="10">
        <v>2</v>
      </c>
      <c r="J1150" s="10">
        <f>SUM(B1150:I1150)</f>
        <v>56.49</v>
      </c>
      <c r="K1150">
        <v>2017</v>
      </c>
      <c r="L1150">
        <v>2</v>
      </c>
      <c r="M1150" s="11">
        <v>42767</v>
      </c>
      <c r="N1150" t="s">
        <v>2174</v>
      </c>
      <c r="O1150">
        <v>4</v>
      </c>
      <c r="P1150" t="s">
        <v>53</v>
      </c>
      <c r="Q1150" t="b">
        <v>1</v>
      </c>
    </row>
    <row r="1151" spans="1:17">
      <c r="A1151" s="12">
        <v>42790</v>
      </c>
      <c r="B1151" s="10">
        <v>1</v>
      </c>
      <c r="C1151" s="10">
        <v>4.67</v>
      </c>
      <c r="D1151" s="10">
        <v>4</v>
      </c>
      <c r="E1151" s="10">
        <v>29.8</v>
      </c>
      <c r="F1151" s="10">
        <v>10</v>
      </c>
      <c r="G1151" s="10">
        <v>1</v>
      </c>
      <c r="H1151" s="10">
        <v>7</v>
      </c>
      <c r="I1151" s="10">
        <v>1</v>
      </c>
      <c r="J1151" s="10">
        <f>SUM(B1151:I1151)</f>
        <v>58.47</v>
      </c>
      <c r="K1151">
        <v>2017</v>
      </c>
      <c r="L1151">
        <v>2</v>
      </c>
      <c r="M1151" s="11">
        <v>42767</v>
      </c>
      <c r="N1151" t="s">
        <v>2174</v>
      </c>
      <c r="O1151">
        <v>5</v>
      </c>
      <c r="P1151" t="s">
        <v>55</v>
      </c>
      <c r="Q1151" t="b">
        <v>1</v>
      </c>
    </row>
    <row r="1152" spans="1:17">
      <c r="A1152" s="12">
        <v>42791</v>
      </c>
      <c r="B1152" s="10">
        <v>6</v>
      </c>
      <c r="C1152" s="10">
        <v>6.34</v>
      </c>
      <c r="D1152" s="10">
        <v>5.25</v>
      </c>
      <c r="E1152" s="10">
        <v>24</v>
      </c>
      <c r="F1152" s="10">
        <v>6.875</v>
      </c>
      <c r="G1152" s="10">
        <v>0</v>
      </c>
      <c r="H1152" s="10">
        <v>2</v>
      </c>
      <c r="I1152" s="10">
        <v>0</v>
      </c>
      <c r="J1152" s="10">
        <f>SUM(B1152:I1152)</f>
        <v>50.465</v>
      </c>
      <c r="K1152">
        <v>2017</v>
      </c>
      <c r="L1152">
        <v>2</v>
      </c>
      <c r="M1152" s="11">
        <v>42767</v>
      </c>
      <c r="N1152" t="s">
        <v>2174</v>
      </c>
      <c r="O1152">
        <v>6</v>
      </c>
      <c r="P1152" t="s">
        <v>57</v>
      </c>
      <c r="Q1152" t="b">
        <v>1</v>
      </c>
    </row>
    <row r="1153" spans="1:17">
      <c r="A1153" s="12">
        <v>42792</v>
      </c>
      <c r="B1153" s="10">
        <v>5.33</v>
      </c>
      <c r="C1153" s="10">
        <v>5.33</v>
      </c>
      <c r="D1153" s="10">
        <v>3.2</v>
      </c>
      <c r="E1153" s="10">
        <v>15.7</v>
      </c>
      <c r="F1153" s="10">
        <v>3</v>
      </c>
      <c r="G1153" s="10">
        <v>0</v>
      </c>
      <c r="H1153" s="10">
        <v>5</v>
      </c>
      <c r="I1153" s="10">
        <v>1.2</v>
      </c>
      <c r="J1153" s="10">
        <f>SUM(B1153:I1153)</f>
        <v>38.760000000000005</v>
      </c>
      <c r="K1153">
        <v>2017</v>
      </c>
      <c r="L1153">
        <v>2</v>
      </c>
      <c r="M1153" s="11">
        <v>42767</v>
      </c>
      <c r="N1153" t="s">
        <v>2174</v>
      </c>
      <c r="O1153">
        <v>7</v>
      </c>
      <c r="P1153" t="s">
        <v>59</v>
      </c>
      <c r="Q1153" t="b">
        <v>1</v>
      </c>
    </row>
    <row r="1154" spans="1:17">
      <c r="A1154" s="12">
        <v>42793</v>
      </c>
      <c r="B1154" s="10">
        <v>5.67</v>
      </c>
      <c r="C1154" s="10">
        <v>3.68</v>
      </c>
      <c r="D1154" s="10">
        <v>7</v>
      </c>
      <c r="E1154" s="10">
        <v>16.4</v>
      </c>
      <c r="F1154" s="10">
        <v>14</v>
      </c>
      <c r="G1154" s="10">
        <v>0</v>
      </c>
      <c r="H1154" s="10">
        <v>7</v>
      </c>
      <c r="I1154" s="10">
        <v>2</v>
      </c>
      <c r="J1154" s="10">
        <f>SUM(B1154:I1154)</f>
        <v>55.75</v>
      </c>
      <c r="K1154">
        <v>2017</v>
      </c>
      <c r="L1154">
        <v>2</v>
      </c>
      <c r="M1154" s="11">
        <v>42767</v>
      </c>
      <c r="N1154" t="s">
        <v>2174</v>
      </c>
      <c r="O1154">
        <v>1</v>
      </c>
      <c r="P1154" t="s">
        <v>61</v>
      </c>
      <c r="Q1154" t="b">
        <v>1</v>
      </c>
    </row>
    <row r="1155" spans="1:17">
      <c r="A1155" s="12">
        <v>42794</v>
      </c>
      <c r="B1155" s="10">
        <v>5.34</v>
      </c>
      <c r="C1155" s="10">
        <v>5.02</v>
      </c>
      <c r="D1155" s="10">
        <v>7.5</v>
      </c>
      <c r="E1155" s="10">
        <v>26.4</v>
      </c>
      <c r="F1155" s="10">
        <v>9</v>
      </c>
      <c r="G1155" s="10">
        <v>2</v>
      </c>
      <c r="H1155" s="10">
        <v>18</v>
      </c>
      <c r="I1155" s="10">
        <v>0</v>
      </c>
      <c r="J1155" s="10">
        <f>SUM(B1155:I1155)</f>
        <v>73.25999999999999</v>
      </c>
      <c r="K1155">
        <v>2017</v>
      </c>
      <c r="L1155">
        <v>2</v>
      </c>
      <c r="M1155" s="11">
        <v>42767</v>
      </c>
      <c r="N1155" t="s">
        <v>2174</v>
      </c>
      <c r="O1155">
        <v>2</v>
      </c>
      <c r="P1155" t="s">
        <v>63</v>
      </c>
      <c r="Q1155" t="b">
        <v>1</v>
      </c>
    </row>
    <row r="1156" spans="1:17">
      <c r="A1156" s="12">
        <v>42795</v>
      </c>
      <c r="B1156" s="10">
        <v>4</v>
      </c>
      <c r="C1156" s="10">
        <v>4.66</v>
      </c>
      <c r="D1156" s="10">
        <v>5</v>
      </c>
      <c r="E1156" s="10">
        <v>15.1</v>
      </c>
      <c r="F1156" s="10">
        <v>17</v>
      </c>
      <c r="G1156" s="10">
        <v>0</v>
      </c>
      <c r="H1156" s="10">
        <v>5</v>
      </c>
      <c r="I1156" s="10">
        <v>2</v>
      </c>
      <c r="J1156" s="10">
        <f>SUM(B1156:I1156)</f>
        <v>52.76</v>
      </c>
      <c r="K1156">
        <v>2017</v>
      </c>
      <c r="L1156">
        <v>3</v>
      </c>
      <c r="M1156" s="11">
        <v>42795</v>
      </c>
      <c r="N1156" t="s">
        <v>2175</v>
      </c>
      <c r="O1156">
        <v>3</v>
      </c>
      <c r="P1156" t="s">
        <v>65</v>
      </c>
      <c r="Q1156" t="b">
        <v>1</v>
      </c>
    </row>
    <row r="1157" spans="1:17">
      <c r="A1157" s="12">
        <v>42796</v>
      </c>
      <c r="B1157" s="10">
        <v>5</v>
      </c>
      <c r="C1157" s="10">
        <v>7.13</v>
      </c>
      <c r="D1157" s="10">
        <v>3</v>
      </c>
      <c r="E1157" s="10">
        <v>13</v>
      </c>
      <c r="F1157" s="10">
        <v>1</v>
      </c>
      <c r="G1157" s="10">
        <v>1</v>
      </c>
      <c r="H1157" s="10">
        <v>1</v>
      </c>
      <c r="I1157" s="10">
        <v>2</v>
      </c>
      <c r="J1157" s="10">
        <f>SUM(B1157:I1157)</f>
        <v>33.129999999999995</v>
      </c>
      <c r="K1157">
        <v>2017</v>
      </c>
      <c r="L1157">
        <v>3</v>
      </c>
      <c r="M1157" s="11">
        <v>42795</v>
      </c>
      <c r="N1157" t="s">
        <v>2175</v>
      </c>
      <c r="O1157">
        <v>4</v>
      </c>
      <c r="P1157" t="s">
        <v>53</v>
      </c>
      <c r="Q1157" t="b">
        <v>1</v>
      </c>
    </row>
    <row r="1158" spans="1:17">
      <c r="A1158" s="12">
        <v>42797</v>
      </c>
      <c r="B1158" s="10">
        <v>9</v>
      </c>
      <c r="C1158" s="10">
        <v>2.99</v>
      </c>
      <c r="D1158" s="10">
        <v>4</v>
      </c>
      <c r="E1158" s="10">
        <v>12.9</v>
      </c>
      <c r="F1158" s="10">
        <v>9</v>
      </c>
      <c r="G1158" s="10">
        <v>1</v>
      </c>
      <c r="H1158" s="10">
        <v>6</v>
      </c>
      <c r="I1158" s="10">
        <v>4</v>
      </c>
      <c r="J1158" s="10">
        <f>SUM(B1158:I1158)</f>
        <v>48.89</v>
      </c>
      <c r="K1158">
        <v>2017</v>
      </c>
      <c r="L1158">
        <v>3</v>
      </c>
      <c r="M1158" s="11">
        <v>42795</v>
      </c>
      <c r="N1158" t="s">
        <v>2175</v>
      </c>
      <c r="O1158">
        <v>5</v>
      </c>
      <c r="P1158" t="s">
        <v>55</v>
      </c>
      <c r="Q1158" t="b">
        <v>1</v>
      </c>
    </row>
    <row r="1159" spans="1:17">
      <c r="A1159" s="12">
        <v>42798</v>
      </c>
      <c r="B1159" s="10">
        <v>5.01</v>
      </c>
      <c r="C1159" s="10">
        <v>3.67</v>
      </c>
      <c r="D1159" s="10">
        <v>3.1</v>
      </c>
      <c r="E1159" s="10">
        <v>17</v>
      </c>
      <c r="F1159" s="10">
        <v>0</v>
      </c>
      <c r="G1159" s="10">
        <v>0</v>
      </c>
      <c r="H1159" s="10">
        <v>5</v>
      </c>
      <c r="I1159" s="10">
        <v>4.5</v>
      </c>
      <c r="J1159" s="10">
        <f>SUM(B1159:I1159)</f>
        <v>38.28</v>
      </c>
      <c r="K1159">
        <v>2017</v>
      </c>
      <c r="L1159">
        <v>3</v>
      </c>
      <c r="M1159" s="11">
        <v>42795</v>
      </c>
      <c r="N1159" t="s">
        <v>2175</v>
      </c>
      <c r="O1159">
        <v>6</v>
      </c>
      <c r="P1159" t="s">
        <v>57</v>
      </c>
      <c r="Q1159" t="b">
        <v>1</v>
      </c>
    </row>
    <row r="1160" spans="1:17">
      <c r="A1160" s="12">
        <v>42799</v>
      </c>
      <c r="B1160" s="10">
        <v>12.33</v>
      </c>
      <c r="C1160" s="10">
        <v>4.33</v>
      </c>
      <c r="D1160" s="10">
        <v>5</v>
      </c>
      <c r="E1160" s="10">
        <v>33.9</v>
      </c>
      <c r="F1160" s="10">
        <v>3</v>
      </c>
      <c r="G1160" s="10">
        <v>0</v>
      </c>
      <c r="H1160" s="10">
        <v>6</v>
      </c>
      <c r="I1160" s="10">
        <v>5</v>
      </c>
      <c r="J1160" s="10">
        <f>SUM(B1160:I1160)</f>
        <v>69.56</v>
      </c>
      <c r="K1160">
        <v>2017</v>
      </c>
      <c r="L1160">
        <v>3</v>
      </c>
      <c r="M1160" s="11">
        <v>42795</v>
      </c>
      <c r="N1160" t="s">
        <v>2175</v>
      </c>
      <c r="O1160">
        <v>7</v>
      </c>
      <c r="P1160" t="s">
        <v>59</v>
      </c>
      <c r="Q1160" t="b">
        <v>1</v>
      </c>
    </row>
    <row r="1161" spans="1:17">
      <c r="A1161" s="12">
        <v>42800</v>
      </c>
      <c r="B1161" s="10">
        <v>6.83</v>
      </c>
      <c r="C1161" s="10">
        <v>2.33</v>
      </c>
      <c r="D1161" s="10">
        <v>1.1</v>
      </c>
      <c r="E1161" s="10">
        <v>19.6</v>
      </c>
      <c r="F1161" s="10">
        <v>1</v>
      </c>
      <c r="G1161" s="10">
        <v>0</v>
      </c>
      <c r="H1161" s="10">
        <v>0</v>
      </c>
      <c r="I1161" s="10">
        <v>3</v>
      </c>
      <c r="J1161" s="10">
        <f>SUM(B1161:I1161)</f>
        <v>33.86</v>
      </c>
      <c r="K1161">
        <v>2017</v>
      </c>
      <c r="L1161">
        <v>3</v>
      </c>
      <c r="M1161" s="11">
        <v>42795</v>
      </c>
      <c r="N1161" t="s">
        <v>2175</v>
      </c>
      <c r="O1161">
        <v>1</v>
      </c>
      <c r="P1161" t="s">
        <v>61</v>
      </c>
      <c r="Q1161" t="b">
        <v>1</v>
      </c>
    </row>
    <row r="1162" spans="1:17">
      <c r="A1162" s="12">
        <v>42801</v>
      </c>
      <c r="B1162" s="10">
        <v>2.34</v>
      </c>
      <c r="C1162" s="10">
        <v>5.33</v>
      </c>
      <c r="D1162" s="10">
        <v>6.5</v>
      </c>
      <c r="E1162" s="10">
        <v>15</v>
      </c>
      <c r="F1162" s="10">
        <v>4</v>
      </c>
      <c r="G1162" s="10">
        <v>0</v>
      </c>
      <c r="H1162" s="10">
        <v>0</v>
      </c>
      <c r="I1162" s="10">
        <v>2</v>
      </c>
      <c r="J1162" s="10">
        <f>SUM(B1162:I1162)</f>
        <v>35.17</v>
      </c>
      <c r="K1162">
        <v>2017</v>
      </c>
      <c r="L1162">
        <v>3</v>
      </c>
      <c r="M1162" s="11">
        <v>42795</v>
      </c>
      <c r="N1162" t="s">
        <v>2175</v>
      </c>
      <c r="O1162">
        <v>2</v>
      </c>
      <c r="P1162" t="s">
        <v>63</v>
      </c>
      <c r="Q1162" t="b">
        <v>1</v>
      </c>
    </row>
    <row r="1163" spans="1:17">
      <c r="A1163" s="12">
        <v>42802</v>
      </c>
      <c r="B1163" s="10">
        <v>1</v>
      </c>
      <c r="C1163" s="10">
        <v>2.34</v>
      </c>
      <c r="D1163" s="10">
        <v>0</v>
      </c>
      <c r="E1163" s="10">
        <v>15.2</v>
      </c>
      <c r="F1163" s="10">
        <v>4</v>
      </c>
      <c r="G1163" s="10">
        <v>0</v>
      </c>
      <c r="H1163" s="10">
        <v>0</v>
      </c>
      <c r="I1163" s="10">
        <v>3</v>
      </c>
      <c r="J1163" s="10">
        <f>SUM(B1163:I1163)</f>
        <v>25.54</v>
      </c>
      <c r="K1163">
        <v>2017</v>
      </c>
      <c r="L1163">
        <v>3</v>
      </c>
      <c r="M1163" s="11">
        <v>42795</v>
      </c>
      <c r="N1163" t="s">
        <v>2175</v>
      </c>
      <c r="O1163">
        <v>3</v>
      </c>
      <c r="P1163" t="s">
        <v>65</v>
      </c>
      <c r="Q1163" t="b">
        <v>1</v>
      </c>
    </row>
    <row r="1164" spans="1:17">
      <c r="A1164" s="12">
        <v>42803</v>
      </c>
      <c r="B1164" s="10">
        <v>11.33</v>
      </c>
      <c r="C1164" s="10">
        <v>2.33</v>
      </c>
      <c r="D1164" s="10">
        <v>6</v>
      </c>
      <c r="E1164" s="10">
        <v>26.9</v>
      </c>
      <c r="F1164" s="10">
        <v>6</v>
      </c>
      <c r="G1164" s="10">
        <v>1</v>
      </c>
      <c r="H1164" s="10">
        <v>0</v>
      </c>
      <c r="I1164" s="10">
        <v>2.5</v>
      </c>
      <c r="J1164" s="10">
        <f>SUM(B1164:I1164)</f>
        <v>56.06</v>
      </c>
      <c r="K1164">
        <v>2017</v>
      </c>
      <c r="L1164">
        <v>3</v>
      </c>
      <c r="M1164" s="11">
        <v>42795</v>
      </c>
      <c r="N1164" t="s">
        <v>2175</v>
      </c>
      <c r="O1164">
        <v>4</v>
      </c>
      <c r="P1164" t="s">
        <v>53</v>
      </c>
      <c r="Q1164" t="b">
        <v>1</v>
      </c>
    </row>
    <row r="1165" spans="1:17">
      <c r="A1165" s="12">
        <v>42804</v>
      </c>
      <c r="B1165" s="10">
        <v>2</v>
      </c>
      <c r="C1165" s="10">
        <v>4.33</v>
      </c>
      <c r="D1165" s="10">
        <v>4.6</v>
      </c>
      <c r="E1165" s="10">
        <v>26.3</v>
      </c>
      <c r="F1165" s="10">
        <v>8</v>
      </c>
      <c r="G1165" s="10">
        <v>1</v>
      </c>
      <c r="H1165" s="10">
        <v>0</v>
      </c>
      <c r="I1165" s="10">
        <v>1</v>
      </c>
      <c r="J1165" s="10">
        <f>SUM(B1165:I1165)</f>
        <v>47.230000000000004</v>
      </c>
      <c r="K1165">
        <v>2017</v>
      </c>
      <c r="L1165">
        <v>3</v>
      </c>
      <c r="M1165" s="11">
        <v>42795</v>
      </c>
      <c r="N1165" t="s">
        <v>2175</v>
      </c>
      <c r="O1165">
        <v>5</v>
      </c>
      <c r="P1165" t="s">
        <v>55</v>
      </c>
      <c r="Q1165" t="b">
        <v>1</v>
      </c>
    </row>
    <row r="1166" spans="1:17">
      <c r="A1166" s="12">
        <v>42805</v>
      </c>
      <c r="B1166" s="10">
        <v>6.33</v>
      </c>
      <c r="C1166" s="10">
        <v>4.066</v>
      </c>
      <c r="D1166" s="10">
        <v>6</v>
      </c>
      <c r="E1166" s="10">
        <v>20.1</v>
      </c>
      <c r="F1166" s="10">
        <v>2</v>
      </c>
      <c r="G1166" s="10">
        <v>1</v>
      </c>
      <c r="H1166" s="10">
        <v>5</v>
      </c>
      <c r="I1166" s="10">
        <v>3.5</v>
      </c>
      <c r="J1166" s="10">
        <f>SUM(B1166:I1166)</f>
        <v>47.996</v>
      </c>
      <c r="K1166">
        <v>2017</v>
      </c>
      <c r="L1166">
        <v>3</v>
      </c>
      <c r="M1166" s="11">
        <v>42795</v>
      </c>
      <c r="N1166" t="s">
        <v>2175</v>
      </c>
      <c r="O1166">
        <v>6</v>
      </c>
      <c r="P1166" t="s">
        <v>57</v>
      </c>
      <c r="Q1166" t="b">
        <v>1</v>
      </c>
    </row>
    <row r="1167" spans="1:17">
      <c r="A1167" s="12">
        <v>42806</v>
      </c>
      <c r="B1167" s="10">
        <v>7.68</v>
      </c>
      <c r="C1167" s="10">
        <v>7.01</v>
      </c>
      <c r="D1167" s="10">
        <v>2</v>
      </c>
      <c r="E1167" s="10">
        <v>48</v>
      </c>
      <c r="F1167" s="10">
        <v>6</v>
      </c>
      <c r="G1167" s="10">
        <v>4</v>
      </c>
      <c r="H1167" s="10">
        <v>15</v>
      </c>
      <c r="I1167" s="10">
        <v>2</v>
      </c>
      <c r="J1167" s="10">
        <f>SUM(B1167:I1167)</f>
        <v>91.69</v>
      </c>
      <c r="K1167">
        <v>2017</v>
      </c>
      <c r="L1167">
        <v>3</v>
      </c>
      <c r="M1167" s="11">
        <v>42795</v>
      </c>
      <c r="N1167" t="s">
        <v>2175</v>
      </c>
      <c r="O1167">
        <v>7</v>
      </c>
      <c r="P1167" t="s">
        <v>59</v>
      </c>
      <c r="Q1167" t="b">
        <v>1</v>
      </c>
    </row>
    <row r="1168" spans="1:17">
      <c r="A1168" s="12">
        <v>42807</v>
      </c>
      <c r="B1168" s="10">
        <v>2.33</v>
      </c>
      <c r="C1168" s="10">
        <v>0.68</v>
      </c>
      <c r="D1168" s="10">
        <v>2.7</v>
      </c>
      <c r="E1168" s="10">
        <v>17.8</v>
      </c>
      <c r="F1168" s="10">
        <v>2</v>
      </c>
      <c r="G1168" s="10">
        <v>0</v>
      </c>
      <c r="H1168" s="10">
        <v>10</v>
      </c>
      <c r="I1168" s="10">
        <v>0</v>
      </c>
      <c r="J1168" s="10">
        <f>SUM(B1168:I1168)</f>
        <v>35.510000000000005</v>
      </c>
      <c r="K1168">
        <v>2017</v>
      </c>
      <c r="L1168">
        <v>3</v>
      </c>
      <c r="M1168" s="11">
        <v>42795</v>
      </c>
      <c r="N1168" t="s">
        <v>2175</v>
      </c>
      <c r="O1168">
        <v>1</v>
      </c>
      <c r="P1168" t="s">
        <v>61</v>
      </c>
      <c r="Q1168" t="b">
        <v>1</v>
      </c>
    </row>
    <row r="1169" spans="1:17">
      <c r="A1169" s="12">
        <v>42808</v>
      </c>
      <c r="B1169" s="10">
        <v>2.67</v>
      </c>
      <c r="C1169" s="10">
        <v>1.34</v>
      </c>
      <c r="D1169" s="10">
        <v>3</v>
      </c>
      <c r="E1169" s="10">
        <v>15</v>
      </c>
      <c r="F1169" s="10">
        <v>5</v>
      </c>
      <c r="G1169" s="10">
        <v>0</v>
      </c>
      <c r="H1169" s="10">
        <v>5</v>
      </c>
      <c r="I1169" s="10">
        <v>1</v>
      </c>
      <c r="J1169" s="10">
        <f>SUM(B1169:I1169)</f>
        <v>33.01</v>
      </c>
      <c r="K1169">
        <v>2017</v>
      </c>
      <c r="L1169">
        <v>3</v>
      </c>
      <c r="M1169" s="11">
        <v>42795</v>
      </c>
      <c r="N1169" t="s">
        <v>2175</v>
      </c>
      <c r="O1169">
        <v>2</v>
      </c>
      <c r="P1169" t="s">
        <v>63</v>
      </c>
      <c r="Q1169" t="b">
        <v>1</v>
      </c>
    </row>
    <row r="1170" spans="1:17">
      <c r="A1170" s="12">
        <v>42809</v>
      </c>
      <c r="B1170" s="10">
        <v>3.66</v>
      </c>
      <c r="C1170" s="10">
        <v>1.703</v>
      </c>
      <c r="D1170" s="10">
        <v>2.5</v>
      </c>
      <c r="E1170" s="10">
        <v>14.6</v>
      </c>
      <c r="F1170" s="10">
        <v>4</v>
      </c>
      <c r="G1170" s="10">
        <v>0</v>
      </c>
      <c r="H1170" s="10">
        <v>0</v>
      </c>
      <c r="I1170" s="10">
        <v>0</v>
      </c>
      <c r="J1170" s="10">
        <f>SUM(B1170:I1170)</f>
        <v>26.463</v>
      </c>
      <c r="K1170">
        <v>2017</v>
      </c>
      <c r="L1170">
        <v>3</v>
      </c>
      <c r="M1170" s="11">
        <v>42795</v>
      </c>
      <c r="N1170" t="s">
        <v>2175</v>
      </c>
      <c r="O1170">
        <v>3</v>
      </c>
      <c r="P1170" t="s">
        <v>65</v>
      </c>
      <c r="Q1170" t="b">
        <v>1</v>
      </c>
    </row>
    <row r="1171" spans="1:17">
      <c r="A1171" s="12">
        <v>42810</v>
      </c>
      <c r="B1171" s="10">
        <v>6</v>
      </c>
      <c r="C1171" s="10">
        <v>4.056</v>
      </c>
      <c r="D1171" s="10">
        <v>4.75</v>
      </c>
      <c r="E1171" s="10">
        <v>28.2</v>
      </c>
      <c r="F1171" s="10">
        <v>4</v>
      </c>
      <c r="G1171" s="10">
        <v>0</v>
      </c>
      <c r="H1171" s="10">
        <v>1</v>
      </c>
      <c r="I1171" s="10">
        <v>3</v>
      </c>
      <c r="J1171" s="10">
        <f>SUM(B1171:I1171)</f>
        <v>51.006</v>
      </c>
      <c r="K1171">
        <v>2017</v>
      </c>
      <c r="L1171">
        <v>3</v>
      </c>
      <c r="M1171" s="11">
        <v>42795</v>
      </c>
      <c r="N1171" t="s">
        <v>2175</v>
      </c>
      <c r="O1171">
        <v>4</v>
      </c>
      <c r="P1171" t="s">
        <v>53</v>
      </c>
      <c r="Q1171" t="b">
        <v>1</v>
      </c>
    </row>
    <row r="1172" spans="1:17">
      <c r="A1172" s="12">
        <v>42811</v>
      </c>
      <c r="B1172" s="10">
        <v>4.33</v>
      </c>
      <c r="C1172" s="10">
        <v>2.802</v>
      </c>
      <c r="D1172" s="10">
        <v>0</v>
      </c>
      <c r="E1172" s="10">
        <v>11</v>
      </c>
      <c r="F1172" s="10">
        <v>14</v>
      </c>
      <c r="G1172" s="10">
        <v>0</v>
      </c>
      <c r="H1172" s="10">
        <v>3</v>
      </c>
      <c r="I1172" s="10">
        <v>3</v>
      </c>
      <c r="J1172" s="10">
        <f>SUM(B1172:I1172)</f>
        <v>38.132</v>
      </c>
      <c r="K1172">
        <v>2017</v>
      </c>
      <c r="L1172">
        <v>3</v>
      </c>
      <c r="M1172" s="11">
        <v>42795</v>
      </c>
      <c r="N1172" t="s">
        <v>2175</v>
      </c>
      <c r="O1172">
        <v>5</v>
      </c>
      <c r="P1172" t="s">
        <v>55</v>
      </c>
      <c r="Q1172" t="b">
        <v>1</v>
      </c>
    </row>
    <row r="1173" spans="1:17">
      <c r="A1173" s="12">
        <v>42812</v>
      </c>
      <c r="B1173" s="10">
        <v>5</v>
      </c>
      <c r="C1173" s="10">
        <v>4.38</v>
      </c>
      <c r="D1173" s="10">
        <v>4.25</v>
      </c>
      <c r="E1173" s="10">
        <v>20.4</v>
      </c>
      <c r="F1173" s="10">
        <v>3</v>
      </c>
      <c r="G1173" s="10">
        <v>0</v>
      </c>
      <c r="H1173" s="10">
        <v>1</v>
      </c>
      <c r="I1173" s="10">
        <v>1</v>
      </c>
      <c r="J1173" s="10">
        <f>SUM(B1173:I1173)</f>
        <v>39.03</v>
      </c>
      <c r="K1173">
        <v>2017</v>
      </c>
      <c r="L1173">
        <v>3</v>
      </c>
      <c r="M1173" s="11">
        <v>42795</v>
      </c>
      <c r="N1173" t="s">
        <v>2175</v>
      </c>
      <c r="O1173">
        <v>6</v>
      </c>
      <c r="P1173" t="s">
        <v>57</v>
      </c>
      <c r="Q1173" t="b">
        <v>1</v>
      </c>
    </row>
    <row r="1174" spans="1:17">
      <c r="A1174" s="12">
        <v>42813</v>
      </c>
      <c r="B1174" s="10">
        <v>10</v>
      </c>
      <c r="C1174" s="10">
        <v>3.693</v>
      </c>
      <c r="D1174" s="10">
        <v>2</v>
      </c>
      <c r="E1174" s="10">
        <v>39.1</v>
      </c>
      <c r="F1174" s="10">
        <v>3</v>
      </c>
      <c r="G1174" s="10">
        <v>0</v>
      </c>
      <c r="H1174" s="10">
        <v>5</v>
      </c>
      <c r="I1174" s="10">
        <v>3</v>
      </c>
      <c r="J1174" s="10">
        <f>SUM(B1174:I1174)</f>
        <v>65.793</v>
      </c>
      <c r="K1174">
        <v>2017</v>
      </c>
      <c r="L1174">
        <v>3</v>
      </c>
      <c r="M1174" s="11">
        <v>42795</v>
      </c>
      <c r="N1174" t="s">
        <v>2175</v>
      </c>
      <c r="O1174">
        <v>7</v>
      </c>
      <c r="P1174" t="s">
        <v>59</v>
      </c>
      <c r="Q1174" t="b">
        <v>1</v>
      </c>
    </row>
    <row r="1175" spans="1:17">
      <c r="A1175" s="12">
        <v>42814</v>
      </c>
      <c r="B1175" s="10">
        <v>1.66</v>
      </c>
      <c r="C1175" s="10">
        <v>6.683</v>
      </c>
      <c r="D1175" s="10">
        <v>4.7</v>
      </c>
      <c r="E1175" s="10">
        <v>16.1</v>
      </c>
      <c r="F1175" s="10">
        <v>3</v>
      </c>
      <c r="G1175" s="10">
        <v>0</v>
      </c>
      <c r="H1175" s="10">
        <v>7</v>
      </c>
      <c r="I1175" s="10">
        <v>3</v>
      </c>
      <c r="J1175" s="10">
        <f>SUM(B1175:I1175)</f>
        <v>42.143</v>
      </c>
      <c r="K1175">
        <v>2017</v>
      </c>
      <c r="L1175">
        <v>3</v>
      </c>
      <c r="M1175" s="11">
        <v>42795</v>
      </c>
      <c r="N1175" t="s">
        <v>2175</v>
      </c>
      <c r="O1175">
        <v>1</v>
      </c>
      <c r="P1175" t="s">
        <v>61</v>
      </c>
      <c r="Q1175" t="b">
        <v>1</v>
      </c>
    </row>
    <row r="1176" spans="1:17">
      <c r="A1176" s="12">
        <v>42815</v>
      </c>
      <c r="B1176" s="10">
        <v>9.16</v>
      </c>
      <c r="C1176" s="10">
        <v>2.03</v>
      </c>
      <c r="D1176" s="10">
        <v>2.2</v>
      </c>
      <c r="E1176" s="10">
        <v>12.6</v>
      </c>
      <c r="F1176" s="10">
        <v>4</v>
      </c>
      <c r="G1176" s="10">
        <v>0</v>
      </c>
      <c r="H1176" s="10">
        <v>1</v>
      </c>
      <c r="I1176" s="10">
        <v>5.3</v>
      </c>
      <c r="J1176" s="10">
        <f>SUM(B1176:I1176)</f>
        <v>36.29</v>
      </c>
      <c r="K1176">
        <v>2017</v>
      </c>
      <c r="L1176">
        <v>3</v>
      </c>
      <c r="M1176" s="11">
        <v>42795</v>
      </c>
      <c r="N1176" t="s">
        <v>2175</v>
      </c>
      <c r="O1176">
        <v>2</v>
      </c>
      <c r="P1176" t="s">
        <v>63</v>
      </c>
      <c r="Q1176" t="b">
        <v>1</v>
      </c>
    </row>
    <row r="1177" spans="1:17">
      <c r="A1177" s="12">
        <v>42816</v>
      </c>
      <c r="B1177" s="10">
        <v>1.66</v>
      </c>
      <c r="C1177" s="10">
        <v>5.023</v>
      </c>
      <c r="D1177" s="10">
        <v>2</v>
      </c>
      <c r="E1177" s="10">
        <v>16.4</v>
      </c>
      <c r="F1177" s="10">
        <v>7</v>
      </c>
      <c r="G1177" s="10">
        <v>0</v>
      </c>
      <c r="H1177" s="10">
        <v>2</v>
      </c>
      <c r="I1177" s="10">
        <v>2</v>
      </c>
      <c r="J1177" s="10">
        <f>SUM(B1177:I1177)</f>
        <v>36.083</v>
      </c>
      <c r="K1177">
        <v>2017</v>
      </c>
      <c r="L1177">
        <v>3</v>
      </c>
      <c r="M1177" s="11">
        <v>42795</v>
      </c>
      <c r="N1177" t="s">
        <v>2175</v>
      </c>
      <c r="O1177">
        <v>3</v>
      </c>
      <c r="P1177" t="s">
        <v>65</v>
      </c>
      <c r="Q1177" t="b">
        <v>1</v>
      </c>
    </row>
    <row r="1178" spans="1:17">
      <c r="A1178" s="12">
        <v>42817</v>
      </c>
      <c r="B1178" s="10">
        <v>7.34</v>
      </c>
      <c r="C1178" s="10">
        <v>2.133</v>
      </c>
      <c r="D1178" s="10">
        <v>1</v>
      </c>
      <c r="E1178" s="10">
        <v>13.3</v>
      </c>
      <c r="F1178" s="10">
        <v>8</v>
      </c>
      <c r="G1178" s="10">
        <v>0</v>
      </c>
      <c r="H1178" s="10">
        <v>6</v>
      </c>
      <c r="I1178" s="10">
        <v>3.5</v>
      </c>
      <c r="J1178" s="10">
        <f>SUM(B1178:I1178)</f>
        <v>41.272999999999996</v>
      </c>
      <c r="K1178">
        <v>2017</v>
      </c>
      <c r="L1178">
        <v>3</v>
      </c>
      <c r="M1178" s="11">
        <v>42795</v>
      </c>
      <c r="N1178" t="s">
        <v>2175</v>
      </c>
      <c r="O1178">
        <v>4</v>
      </c>
      <c r="P1178" t="s">
        <v>53</v>
      </c>
      <c r="Q1178" t="b">
        <v>1</v>
      </c>
    </row>
    <row r="1179" spans="1:17">
      <c r="A1179" s="12">
        <v>42818</v>
      </c>
      <c r="B1179" s="10">
        <v>1.67</v>
      </c>
      <c r="C1179" s="10">
        <v>3</v>
      </c>
      <c r="D1179" s="10">
        <v>4.5</v>
      </c>
      <c r="E1179" s="10">
        <v>12.3</v>
      </c>
      <c r="F1179" s="10">
        <v>7</v>
      </c>
      <c r="G1179" s="10">
        <v>0</v>
      </c>
      <c r="H1179" s="10">
        <v>5</v>
      </c>
      <c r="I1179" s="10">
        <v>6.3</v>
      </c>
      <c r="J1179" s="10">
        <f>SUM(B1179:I1179)</f>
        <v>39.769999999999996</v>
      </c>
      <c r="K1179">
        <v>2017</v>
      </c>
      <c r="L1179">
        <v>3</v>
      </c>
      <c r="M1179" s="11">
        <v>42795</v>
      </c>
      <c r="N1179" t="s">
        <v>2175</v>
      </c>
      <c r="O1179">
        <v>5</v>
      </c>
      <c r="P1179" t="s">
        <v>55</v>
      </c>
      <c r="Q1179" t="b">
        <v>1</v>
      </c>
    </row>
    <row r="1180" spans="1:17">
      <c r="A1180" s="12">
        <v>42819</v>
      </c>
      <c r="B1180" s="10">
        <v>10</v>
      </c>
      <c r="C1180" s="10">
        <v>5.49</v>
      </c>
      <c r="D1180" s="10">
        <v>1</v>
      </c>
      <c r="E1180" s="10">
        <v>33.3</v>
      </c>
      <c r="F1180" s="10">
        <v>3</v>
      </c>
      <c r="G1180" s="10">
        <v>0</v>
      </c>
      <c r="H1180" s="10">
        <v>0</v>
      </c>
      <c r="I1180" s="10">
        <v>4</v>
      </c>
      <c r="J1180" s="10">
        <f>SUM(B1180:I1180)</f>
        <v>56.79</v>
      </c>
      <c r="K1180">
        <v>2017</v>
      </c>
      <c r="L1180">
        <v>3</v>
      </c>
      <c r="M1180" s="11">
        <v>42795</v>
      </c>
      <c r="N1180" t="s">
        <v>2175</v>
      </c>
      <c r="O1180">
        <v>6</v>
      </c>
      <c r="P1180" t="s">
        <v>57</v>
      </c>
      <c r="Q1180" t="b">
        <v>1</v>
      </c>
    </row>
    <row r="1181" spans="1:17">
      <c r="A1181" s="12">
        <v>42820</v>
      </c>
      <c r="B1181" s="10">
        <v>5.34</v>
      </c>
      <c r="C1181" s="10">
        <v>5.36</v>
      </c>
      <c r="D1181" s="10">
        <v>3.45</v>
      </c>
      <c r="E1181" s="10">
        <v>18</v>
      </c>
      <c r="F1181" s="10">
        <v>4</v>
      </c>
      <c r="G1181" s="10">
        <v>0</v>
      </c>
      <c r="H1181" s="10">
        <v>10</v>
      </c>
      <c r="I1181" s="10">
        <v>8</v>
      </c>
      <c r="J1181" s="10">
        <f>SUM(B1181:I1181)</f>
        <v>54.15</v>
      </c>
      <c r="K1181">
        <v>2017</v>
      </c>
      <c r="L1181">
        <v>3</v>
      </c>
      <c r="M1181" s="11">
        <v>42795</v>
      </c>
      <c r="N1181" t="s">
        <v>2175</v>
      </c>
      <c r="O1181">
        <v>7</v>
      </c>
      <c r="P1181" t="s">
        <v>59</v>
      </c>
      <c r="Q1181" t="b">
        <v>1</v>
      </c>
    </row>
    <row r="1182" spans="1:17">
      <c r="A1182" s="12">
        <v>42821</v>
      </c>
      <c r="B1182" s="10">
        <v>4.84</v>
      </c>
      <c r="C1182" s="10">
        <v>3.463</v>
      </c>
      <c r="D1182" s="10">
        <v>3.5</v>
      </c>
      <c r="E1182" s="10">
        <v>14.8</v>
      </c>
      <c r="F1182" s="10">
        <v>5</v>
      </c>
      <c r="G1182" s="10">
        <v>0</v>
      </c>
      <c r="H1182" s="10">
        <v>1</v>
      </c>
      <c r="I1182" s="10">
        <v>4</v>
      </c>
      <c r="J1182" s="10">
        <f>SUM(B1182:I1182)</f>
        <v>36.603</v>
      </c>
      <c r="K1182">
        <v>2017</v>
      </c>
      <c r="L1182">
        <v>3</v>
      </c>
      <c r="M1182" s="11">
        <v>42795</v>
      </c>
      <c r="N1182" t="s">
        <v>2175</v>
      </c>
      <c r="O1182">
        <v>1</v>
      </c>
      <c r="P1182" t="s">
        <v>61</v>
      </c>
      <c r="Q1182" t="b">
        <v>1</v>
      </c>
    </row>
    <row r="1183" spans="1:17">
      <c r="A1183" s="12">
        <v>42822</v>
      </c>
      <c r="B1183" s="10">
        <v>2.67</v>
      </c>
      <c r="C1183" s="10">
        <v>2.67</v>
      </c>
      <c r="D1183" s="10">
        <v>7</v>
      </c>
      <c r="E1183" s="10">
        <v>22</v>
      </c>
      <c r="F1183" s="10">
        <v>14</v>
      </c>
      <c r="G1183" s="10">
        <v>0</v>
      </c>
      <c r="H1183" s="10">
        <v>0</v>
      </c>
      <c r="I1183" s="10">
        <v>6</v>
      </c>
      <c r="J1183" s="10">
        <f>SUM(B1183:I1183)</f>
        <v>54.34</v>
      </c>
      <c r="K1183">
        <v>2017</v>
      </c>
      <c r="L1183">
        <v>3</v>
      </c>
      <c r="M1183" s="11">
        <v>42795</v>
      </c>
      <c r="N1183" t="s">
        <v>2175</v>
      </c>
      <c r="O1183">
        <v>2</v>
      </c>
      <c r="P1183" t="s">
        <v>63</v>
      </c>
      <c r="Q1183" t="b">
        <v>1</v>
      </c>
    </row>
    <row r="1184" spans="1:17">
      <c r="A1184" s="12">
        <v>42823</v>
      </c>
      <c r="B1184" s="10">
        <v>6.34</v>
      </c>
      <c r="C1184" s="10">
        <v>1.34</v>
      </c>
      <c r="D1184" s="10">
        <v>4</v>
      </c>
      <c r="E1184" s="10">
        <v>12.9</v>
      </c>
      <c r="F1184" s="10">
        <v>3</v>
      </c>
      <c r="G1184" s="10">
        <v>0</v>
      </c>
      <c r="H1184" s="10">
        <v>7</v>
      </c>
      <c r="I1184" s="10">
        <v>4.5</v>
      </c>
      <c r="J1184" s="10">
        <f>SUM(B1184:I1184)</f>
        <v>39.08</v>
      </c>
      <c r="K1184">
        <v>2017</v>
      </c>
      <c r="L1184">
        <v>3</v>
      </c>
      <c r="M1184" s="11">
        <v>42795</v>
      </c>
      <c r="N1184" t="s">
        <v>2175</v>
      </c>
      <c r="O1184">
        <v>3</v>
      </c>
      <c r="P1184" t="s">
        <v>65</v>
      </c>
      <c r="Q1184" t="b">
        <v>1</v>
      </c>
    </row>
    <row r="1185" spans="1:17">
      <c r="A1185" s="12">
        <v>42824</v>
      </c>
      <c r="B1185" s="10">
        <v>1.33</v>
      </c>
      <c r="C1185" s="10">
        <v>2.693</v>
      </c>
      <c r="D1185" s="10">
        <v>5</v>
      </c>
      <c r="E1185" s="10">
        <v>9.5</v>
      </c>
      <c r="F1185" s="10">
        <v>9</v>
      </c>
      <c r="G1185" s="10">
        <v>0</v>
      </c>
      <c r="H1185" s="10">
        <v>0</v>
      </c>
      <c r="I1185" s="10">
        <v>2</v>
      </c>
      <c r="J1185" s="10">
        <f>SUM(B1185:I1185)</f>
        <v>29.523</v>
      </c>
      <c r="K1185">
        <v>2017</v>
      </c>
      <c r="L1185">
        <v>3</v>
      </c>
      <c r="M1185" s="11">
        <v>42795</v>
      </c>
      <c r="N1185" t="s">
        <v>2175</v>
      </c>
      <c r="O1185">
        <v>4</v>
      </c>
      <c r="P1185" t="s">
        <v>53</v>
      </c>
      <c r="Q1185" t="b">
        <v>1</v>
      </c>
    </row>
    <row r="1186" spans="1:17">
      <c r="A1186" s="12">
        <v>42825</v>
      </c>
      <c r="B1186" s="10">
        <v>4</v>
      </c>
      <c r="C1186" s="10">
        <v>2</v>
      </c>
      <c r="D1186" s="10">
        <v>3.5</v>
      </c>
      <c r="E1186" s="10">
        <v>22.2</v>
      </c>
      <c r="F1186" s="10">
        <v>2</v>
      </c>
      <c r="G1186" s="10">
        <v>0</v>
      </c>
      <c r="H1186" s="10">
        <v>2</v>
      </c>
      <c r="I1186" s="10">
        <v>6</v>
      </c>
      <c r="J1186" s="10">
        <f>SUM(B1186:I1186)</f>
        <v>41.7</v>
      </c>
      <c r="K1186">
        <v>2017</v>
      </c>
      <c r="L1186">
        <v>3</v>
      </c>
      <c r="M1186" s="11">
        <v>42795</v>
      </c>
      <c r="N1186" t="s">
        <v>2175</v>
      </c>
      <c r="O1186">
        <v>5</v>
      </c>
      <c r="P1186" t="s">
        <v>55</v>
      </c>
      <c r="Q1186" t="b">
        <v>1</v>
      </c>
    </row>
    <row r="1187" spans="1:17">
      <c r="A1187" s="12">
        <v>42826</v>
      </c>
      <c r="B1187" s="10">
        <v>2.33</v>
      </c>
      <c r="C1187" s="10">
        <v>2</v>
      </c>
      <c r="D1187" s="10">
        <v>2</v>
      </c>
      <c r="E1187" s="10">
        <v>34</v>
      </c>
      <c r="F1187" s="10">
        <v>2</v>
      </c>
      <c r="G1187" s="10">
        <v>0</v>
      </c>
      <c r="H1187" s="10">
        <v>1</v>
      </c>
      <c r="I1187" s="10">
        <v>3</v>
      </c>
      <c r="J1187" s="10">
        <f>SUM(B1187:I1187)</f>
        <v>46.33</v>
      </c>
      <c r="K1187">
        <v>2017</v>
      </c>
      <c r="L1187">
        <v>4</v>
      </c>
      <c r="M1187" s="11">
        <v>42826</v>
      </c>
      <c r="N1187" t="s">
        <v>2176</v>
      </c>
      <c r="O1187">
        <v>6</v>
      </c>
      <c r="P1187" t="s">
        <v>57</v>
      </c>
      <c r="Q1187" t="b">
        <v>1</v>
      </c>
    </row>
    <row r="1188" spans="1:17">
      <c r="A1188" s="12">
        <v>42827</v>
      </c>
      <c r="B1188" s="10">
        <v>6.67</v>
      </c>
      <c r="C1188" s="10">
        <v>4.223</v>
      </c>
      <c r="D1188" s="10">
        <v>4</v>
      </c>
      <c r="E1188" s="10">
        <v>23</v>
      </c>
      <c r="F1188" s="10">
        <v>4</v>
      </c>
      <c r="G1188" s="10">
        <v>0</v>
      </c>
      <c r="H1188" s="10">
        <v>9</v>
      </c>
      <c r="I1188" s="10">
        <v>12.4</v>
      </c>
      <c r="J1188" s="10">
        <f>SUM(B1188:I1188)</f>
        <v>63.293</v>
      </c>
      <c r="K1188">
        <v>2017</v>
      </c>
      <c r="L1188">
        <v>4</v>
      </c>
      <c r="M1188" s="11">
        <v>42826</v>
      </c>
      <c r="N1188" t="s">
        <v>2176</v>
      </c>
      <c r="O1188">
        <v>7</v>
      </c>
      <c r="P1188" t="s">
        <v>59</v>
      </c>
      <c r="Q1188" t="b">
        <v>1</v>
      </c>
    </row>
    <row r="1189" spans="1:17">
      <c r="A1189" s="12">
        <v>42828</v>
      </c>
      <c r="B1189" s="10">
        <v>6.33</v>
      </c>
      <c r="C1189" s="10">
        <v>1</v>
      </c>
      <c r="D1189" s="10">
        <v>5.6</v>
      </c>
      <c r="E1189" s="10">
        <v>25.6</v>
      </c>
      <c r="F1189" s="10">
        <v>8</v>
      </c>
      <c r="G1189" s="10">
        <v>0</v>
      </c>
      <c r="H1189" s="10">
        <v>20</v>
      </c>
      <c r="I1189" s="10">
        <v>3</v>
      </c>
      <c r="J1189" s="10">
        <f>SUM(B1189:I1189)</f>
        <v>69.53</v>
      </c>
      <c r="K1189">
        <v>2017</v>
      </c>
      <c r="L1189">
        <v>4</v>
      </c>
      <c r="M1189" s="11">
        <v>42826</v>
      </c>
      <c r="N1189" t="s">
        <v>2176</v>
      </c>
      <c r="O1189">
        <v>1</v>
      </c>
      <c r="P1189" t="s">
        <v>61</v>
      </c>
      <c r="Q1189" t="b">
        <v>1</v>
      </c>
    </row>
    <row r="1190" spans="1:17">
      <c r="A1190" s="12">
        <v>42829</v>
      </c>
      <c r="B1190" s="10">
        <v>0.33</v>
      </c>
      <c r="C1190" s="10">
        <v>1.033</v>
      </c>
      <c r="D1190" s="10">
        <v>2.2</v>
      </c>
      <c r="E1190" s="10">
        <v>8</v>
      </c>
      <c r="F1190" s="10">
        <v>2</v>
      </c>
      <c r="G1190" s="10">
        <v>0</v>
      </c>
      <c r="H1190" s="10">
        <v>5</v>
      </c>
      <c r="I1190" s="10">
        <v>5.5</v>
      </c>
      <c r="J1190" s="10">
        <f>SUM(B1190:I1190)</f>
        <v>24.063000000000002</v>
      </c>
      <c r="K1190">
        <v>2017</v>
      </c>
      <c r="L1190">
        <v>4</v>
      </c>
      <c r="M1190" s="11">
        <v>42826</v>
      </c>
      <c r="N1190" t="s">
        <v>2176</v>
      </c>
      <c r="O1190">
        <v>2</v>
      </c>
      <c r="P1190" t="s">
        <v>63</v>
      </c>
      <c r="Q1190" t="b">
        <v>1</v>
      </c>
    </row>
    <row r="1191" spans="1:17">
      <c r="A1191" s="12">
        <v>42830</v>
      </c>
      <c r="B1191" s="10">
        <v>5</v>
      </c>
      <c r="C1191" s="10">
        <v>0.231</v>
      </c>
      <c r="D1191" s="10">
        <v>0.2</v>
      </c>
      <c r="E1191" s="10">
        <v>13.6</v>
      </c>
      <c r="F1191" s="10">
        <v>9</v>
      </c>
      <c r="G1191" s="10">
        <v>2</v>
      </c>
      <c r="H1191" s="10">
        <v>6</v>
      </c>
      <c r="I1191" s="10">
        <v>1</v>
      </c>
      <c r="J1191" s="10">
        <f>SUM(B1191:I1191)</f>
        <v>37.031</v>
      </c>
      <c r="K1191">
        <v>2017</v>
      </c>
      <c r="L1191">
        <v>4</v>
      </c>
      <c r="M1191" s="11">
        <v>42826</v>
      </c>
      <c r="N1191" t="s">
        <v>2176</v>
      </c>
      <c r="O1191">
        <v>3</v>
      </c>
      <c r="P1191" t="s">
        <v>65</v>
      </c>
      <c r="Q1191" t="b">
        <v>1</v>
      </c>
    </row>
    <row r="1192" spans="1:17">
      <c r="A1192" s="12">
        <v>42831</v>
      </c>
      <c r="B1192" s="10">
        <v>5</v>
      </c>
      <c r="C1192" s="10">
        <v>0.66</v>
      </c>
      <c r="D1192" s="10">
        <v>3.1</v>
      </c>
      <c r="E1192" s="10">
        <v>10.9</v>
      </c>
      <c r="F1192" s="10">
        <v>4</v>
      </c>
      <c r="G1192" s="10">
        <v>1</v>
      </c>
      <c r="H1192" s="10">
        <v>0</v>
      </c>
      <c r="I1192" s="10">
        <v>1</v>
      </c>
      <c r="J1192" s="10">
        <f>SUM(B1192:I1192)</f>
        <v>25.66</v>
      </c>
      <c r="K1192">
        <v>2017</v>
      </c>
      <c r="L1192">
        <v>4</v>
      </c>
      <c r="M1192" s="11">
        <v>42826</v>
      </c>
      <c r="N1192" t="s">
        <v>2176</v>
      </c>
      <c r="O1192">
        <v>4</v>
      </c>
      <c r="P1192" t="s">
        <v>53</v>
      </c>
      <c r="Q1192" t="b">
        <v>1</v>
      </c>
    </row>
    <row r="1193" spans="1:17">
      <c r="A1193" s="12">
        <v>42832</v>
      </c>
      <c r="B1193" s="10">
        <v>3.5</v>
      </c>
      <c r="C1193" s="10">
        <v>4</v>
      </c>
      <c r="D1193" s="10">
        <v>2</v>
      </c>
      <c r="E1193" s="10">
        <v>16</v>
      </c>
      <c r="F1193" s="10">
        <v>5</v>
      </c>
      <c r="G1193" s="10">
        <v>0</v>
      </c>
      <c r="H1193" s="10">
        <v>5</v>
      </c>
      <c r="I1193" s="10">
        <v>5</v>
      </c>
      <c r="J1193" s="10">
        <f>SUM(B1193:I1193)</f>
        <v>40.5</v>
      </c>
      <c r="K1193">
        <v>2017</v>
      </c>
      <c r="L1193">
        <v>4</v>
      </c>
      <c r="M1193" s="11">
        <v>42826</v>
      </c>
      <c r="N1193" t="s">
        <v>2176</v>
      </c>
      <c r="O1193">
        <v>5</v>
      </c>
      <c r="P1193" t="s">
        <v>55</v>
      </c>
      <c r="Q1193" t="b">
        <v>1</v>
      </c>
    </row>
    <row r="1194" spans="1:17">
      <c r="A1194" s="12">
        <v>42833</v>
      </c>
      <c r="B1194" s="10">
        <v>7.51</v>
      </c>
      <c r="C1194" s="10">
        <v>8.759</v>
      </c>
      <c r="D1194" s="10">
        <v>2.05</v>
      </c>
      <c r="E1194" s="10">
        <v>23</v>
      </c>
      <c r="F1194" s="10">
        <v>3</v>
      </c>
      <c r="G1194" s="10">
        <v>0</v>
      </c>
      <c r="H1194" s="10">
        <v>11</v>
      </c>
      <c r="I1194" s="10">
        <v>6</v>
      </c>
      <c r="J1194" s="10">
        <f>SUM(B1194:I1194)</f>
        <v>61.319</v>
      </c>
      <c r="K1194">
        <v>2017</v>
      </c>
      <c r="L1194">
        <v>4</v>
      </c>
      <c r="M1194" s="11">
        <v>42826</v>
      </c>
      <c r="N1194" t="s">
        <v>2176</v>
      </c>
      <c r="O1194">
        <v>6</v>
      </c>
      <c r="P1194" t="s">
        <v>57</v>
      </c>
      <c r="Q1194" t="b">
        <v>1</v>
      </c>
    </row>
    <row r="1195" spans="1:17">
      <c r="A1195" s="12">
        <v>42834</v>
      </c>
      <c r="B1195" s="10">
        <v>4.99</v>
      </c>
      <c r="C1195" s="10">
        <v>5.34</v>
      </c>
      <c r="D1195" s="10">
        <v>8.25</v>
      </c>
      <c r="E1195" s="10">
        <v>22</v>
      </c>
      <c r="F1195" s="10">
        <v>3</v>
      </c>
      <c r="G1195" s="10">
        <v>0</v>
      </c>
      <c r="H1195" s="10">
        <v>0</v>
      </c>
      <c r="I1195" s="10">
        <v>1</v>
      </c>
      <c r="J1195" s="10">
        <f>SUM(B1195:I1195)</f>
        <v>44.58</v>
      </c>
      <c r="K1195">
        <v>2017</v>
      </c>
      <c r="L1195">
        <v>4</v>
      </c>
      <c r="M1195" s="11">
        <v>42826</v>
      </c>
      <c r="N1195" t="s">
        <v>2176</v>
      </c>
      <c r="O1195">
        <v>7</v>
      </c>
      <c r="P1195" t="s">
        <v>59</v>
      </c>
      <c r="Q1195" t="b">
        <v>1</v>
      </c>
    </row>
    <row r="1196" spans="1:17">
      <c r="A1196" s="12">
        <v>42835</v>
      </c>
      <c r="B1196" s="10">
        <v>8.66</v>
      </c>
      <c r="C1196" s="10">
        <v>1.363</v>
      </c>
      <c r="D1196" s="10">
        <v>1.05</v>
      </c>
      <c r="E1196" s="10">
        <v>27.5</v>
      </c>
      <c r="F1196" s="10">
        <v>1</v>
      </c>
      <c r="G1196" s="10">
        <v>0</v>
      </c>
      <c r="H1196" s="10">
        <v>4</v>
      </c>
      <c r="I1196" s="10">
        <v>4</v>
      </c>
      <c r="J1196" s="10">
        <f>SUM(B1196:I1196)</f>
        <v>47.573</v>
      </c>
      <c r="K1196">
        <v>2017</v>
      </c>
      <c r="L1196">
        <v>4</v>
      </c>
      <c r="M1196" s="11">
        <v>42826</v>
      </c>
      <c r="N1196" t="s">
        <v>2176</v>
      </c>
      <c r="O1196">
        <v>1</v>
      </c>
      <c r="P1196" t="s">
        <v>61</v>
      </c>
      <c r="Q1196" t="b">
        <v>1</v>
      </c>
    </row>
    <row r="1197" spans="1:17">
      <c r="A1197" s="12">
        <v>42836</v>
      </c>
      <c r="B1197" s="10">
        <v>4</v>
      </c>
      <c r="C1197" s="10">
        <v>2.33</v>
      </c>
      <c r="D1197" s="10">
        <v>3</v>
      </c>
      <c r="E1197" s="10">
        <v>17</v>
      </c>
      <c r="F1197" s="10">
        <v>5</v>
      </c>
      <c r="G1197" s="10">
        <v>0</v>
      </c>
      <c r="H1197" s="10">
        <v>11</v>
      </c>
      <c r="I1197" s="10">
        <v>1</v>
      </c>
      <c r="J1197" s="10">
        <f>SUM(B1197:I1197)</f>
        <v>43.33</v>
      </c>
      <c r="K1197">
        <v>2017</v>
      </c>
      <c r="L1197">
        <v>4</v>
      </c>
      <c r="M1197" s="11">
        <v>42826</v>
      </c>
      <c r="N1197" t="s">
        <v>2176</v>
      </c>
      <c r="O1197">
        <v>2</v>
      </c>
      <c r="P1197" t="s">
        <v>63</v>
      </c>
      <c r="Q1197" t="b">
        <v>1</v>
      </c>
    </row>
    <row r="1198" spans="1:17">
      <c r="A1198" s="12">
        <v>42837</v>
      </c>
      <c r="B1198" s="10">
        <v>11.99</v>
      </c>
      <c r="C1198" s="10">
        <v>3.32</v>
      </c>
      <c r="D1198" s="10">
        <v>3.35</v>
      </c>
      <c r="E1198" s="10">
        <v>11</v>
      </c>
      <c r="F1198" s="10">
        <v>10</v>
      </c>
      <c r="G1198" s="10">
        <v>2</v>
      </c>
      <c r="H1198" s="10">
        <v>10</v>
      </c>
      <c r="I1198" s="10">
        <v>4</v>
      </c>
      <c r="J1198" s="10">
        <f>SUM(B1198:I1198)</f>
        <v>55.66</v>
      </c>
      <c r="K1198">
        <v>2017</v>
      </c>
      <c r="L1198">
        <v>4</v>
      </c>
      <c r="M1198" s="11">
        <v>42826</v>
      </c>
      <c r="N1198" t="s">
        <v>2176</v>
      </c>
      <c r="O1198">
        <v>3</v>
      </c>
      <c r="P1198" t="s">
        <v>65</v>
      </c>
      <c r="Q1198" t="b">
        <v>1</v>
      </c>
    </row>
    <row r="1199" spans="1:17">
      <c r="A1199" s="12">
        <v>42838</v>
      </c>
      <c r="B1199" s="10">
        <v>5</v>
      </c>
      <c r="C1199" s="10">
        <v>2.439</v>
      </c>
      <c r="D1199" s="10">
        <v>2</v>
      </c>
      <c r="E1199" s="10">
        <v>30.9</v>
      </c>
      <c r="F1199" s="10">
        <v>1</v>
      </c>
      <c r="G1199" s="10">
        <v>0</v>
      </c>
      <c r="H1199" s="10">
        <v>2</v>
      </c>
      <c r="I1199" s="10">
        <v>5</v>
      </c>
      <c r="J1199" s="10">
        <f>SUM(B1199:I1199)</f>
        <v>48.339</v>
      </c>
      <c r="K1199">
        <v>2017</v>
      </c>
      <c r="L1199">
        <v>4</v>
      </c>
      <c r="M1199" s="11">
        <v>42826</v>
      </c>
      <c r="N1199" t="s">
        <v>2176</v>
      </c>
      <c r="O1199">
        <v>4</v>
      </c>
      <c r="P1199" t="s">
        <v>53</v>
      </c>
      <c r="Q1199" t="b">
        <v>1</v>
      </c>
    </row>
    <row r="1200" spans="1:17">
      <c r="A1200" s="12">
        <v>42839</v>
      </c>
      <c r="B1200" s="10">
        <v>7.34</v>
      </c>
      <c r="C1200" s="10">
        <v>4.98</v>
      </c>
      <c r="D1200" s="10">
        <v>5</v>
      </c>
      <c r="E1200" s="10">
        <v>13</v>
      </c>
      <c r="F1200" s="10">
        <v>3</v>
      </c>
      <c r="G1200" s="10">
        <v>0</v>
      </c>
      <c r="H1200" s="10">
        <v>16</v>
      </c>
      <c r="I1200" s="10">
        <v>4</v>
      </c>
      <c r="J1200" s="10">
        <f>SUM(B1200:I1200)</f>
        <v>53.32</v>
      </c>
      <c r="K1200">
        <v>2017</v>
      </c>
      <c r="L1200">
        <v>4</v>
      </c>
      <c r="M1200" s="11">
        <v>42826</v>
      </c>
      <c r="N1200" t="s">
        <v>2176</v>
      </c>
      <c r="O1200">
        <v>5</v>
      </c>
      <c r="P1200" t="s">
        <v>55</v>
      </c>
      <c r="Q1200" t="b">
        <v>1</v>
      </c>
    </row>
    <row r="1201" spans="1:17">
      <c r="A1201" s="12">
        <v>42840</v>
      </c>
      <c r="B1201" s="10">
        <v>11.67</v>
      </c>
      <c r="C1201" s="10">
        <v>1.472</v>
      </c>
      <c r="D1201" s="10">
        <v>4</v>
      </c>
      <c r="E1201" s="10">
        <v>27.25</v>
      </c>
      <c r="F1201" s="10">
        <v>1</v>
      </c>
      <c r="G1201" s="10">
        <v>0</v>
      </c>
      <c r="H1201" s="10">
        <v>15</v>
      </c>
      <c r="I1201" s="10">
        <v>5.2</v>
      </c>
      <c r="J1201" s="10">
        <f>SUM(B1201:I1201)</f>
        <v>65.592</v>
      </c>
      <c r="K1201">
        <v>2017</v>
      </c>
      <c r="L1201">
        <v>4</v>
      </c>
      <c r="M1201" s="11">
        <v>42826</v>
      </c>
      <c r="N1201" t="s">
        <v>2176</v>
      </c>
      <c r="O1201">
        <v>6</v>
      </c>
      <c r="P1201" t="s">
        <v>57</v>
      </c>
      <c r="Q1201" t="b">
        <v>1</v>
      </c>
    </row>
    <row r="1202" spans="1:17">
      <c r="A1202" s="12">
        <v>42841</v>
      </c>
      <c r="B1202" s="10">
        <v>0</v>
      </c>
      <c r="C1202" s="10">
        <v>0</v>
      </c>
      <c r="D1202" s="10">
        <v>0</v>
      </c>
      <c r="E1202" s="10">
        <v>0</v>
      </c>
      <c r="F1202" s="10">
        <v>0</v>
      </c>
      <c r="G1202" s="10">
        <v>0</v>
      </c>
      <c r="H1202" s="10">
        <v>0</v>
      </c>
      <c r="I1202" s="10">
        <v>0</v>
      </c>
      <c r="J1202" s="10">
        <f>SUM(B1202:I1202)</f>
        <v>0.0</v>
      </c>
      <c r="K1202">
        <v>2017</v>
      </c>
      <c r="L1202">
        <v>4</v>
      </c>
      <c r="M1202" s="11">
        <v>42826</v>
      </c>
      <c r="N1202" t="s">
        <v>2176</v>
      </c>
      <c r="O1202">
        <v>7</v>
      </c>
      <c r="P1202" t="s">
        <v>59</v>
      </c>
      <c r="Q1202" t="b">
        <v>1</v>
      </c>
    </row>
    <row r="1203" spans="1:17">
      <c r="A1203" s="12">
        <v>42842</v>
      </c>
      <c r="B1203" s="10">
        <v>4</v>
      </c>
      <c r="C1203" s="10">
        <v>3.99</v>
      </c>
      <c r="D1203" s="10">
        <v>1.9</v>
      </c>
      <c r="E1203" s="10">
        <v>18.4</v>
      </c>
      <c r="F1203" s="10">
        <v>1</v>
      </c>
      <c r="G1203" s="10">
        <v>0</v>
      </c>
      <c r="H1203" s="10">
        <v>5</v>
      </c>
      <c r="I1203" s="10">
        <v>1</v>
      </c>
      <c r="J1203" s="10">
        <f>SUM(B1203:I1203)</f>
        <v>35.29</v>
      </c>
      <c r="K1203">
        <v>2017</v>
      </c>
      <c r="L1203">
        <v>4</v>
      </c>
      <c r="M1203" s="11">
        <v>42826</v>
      </c>
      <c r="N1203" t="s">
        <v>2176</v>
      </c>
      <c r="O1203">
        <v>1</v>
      </c>
      <c r="P1203" t="s">
        <v>61</v>
      </c>
      <c r="Q1203" t="b">
        <v>1</v>
      </c>
    </row>
    <row r="1204" spans="1:17">
      <c r="A1204" s="12">
        <v>42843</v>
      </c>
      <c r="B1204" s="10">
        <v>7.33</v>
      </c>
      <c r="C1204" s="10">
        <v>4.67</v>
      </c>
      <c r="D1204" s="10">
        <v>6.3</v>
      </c>
      <c r="E1204" s="10">
        <v>15.4</v>
      </c>
      <c r="F1204" s="10">
        <v>8</v>
      </c>
      <c r="G1204" s="10">
        <v>1</v>
      </c>
      <c r="H1204" s="10">
        <v>2</v>
      </c>
      <c r="I1204" s="10">
        <v>2</v>
      </c>
      <c r="J1204" s="10">
        <f>SUM(B1204:I1204)</f>
        <v>46.7</v>
      </c>
      <c r="K1204">
        <v>2017</v>
      </c>
      <c r="L1204">
        <v>4</v>
      </c>
      <c r="M1204" s="11">
        <v>42826</v>
      </c>
      <c r="N1204" t="s">
        <v>2176</v>
      </c>
      <c r="O1204">
        <v>2</v>
      </c>
      <c r="P1204" t="s">
        <v>63</v>
      </c>
      <c r="Q1204" t="b">
        <v>1</v>
      </c>
    </row>
    <row r="1205" spans="1:17">
      <c r="A1205" s="12">
        <v>42844</v>
      </c>
      <c r="B1205" s="10">
        <v>1</v>
      </c>
      <c r="C1205" s="10">
        <v>3.406</v>
      </c>
      <c r="D1205" s="10">
        <v>5</v>
      </c>
      <c r="E1205" s="10">
        <v>14</v>
      </c>
      <c r="F1205" s="10">
        <v>2</v>
      </c>
      <c r="G1205" s="10">
        <v>0</v>
      </c>
      <c r="H1205" s="10">
        <v>0</v>
      </c>
      <c r="I1205" s="10">
        <v>1</v>
      </c>
      <c r="J1205" s="10">
        <f>SUM(B1205:I1205)</f>
        <v>26.406</v>
      </c>
      <c r="K1205">
        <v>2017</v>
      </c>
      <c r="L1205">
        <v>4</v>
      </c>
      <c r="M1205" s="11">
        <v>42826</v>
      </c>
      <c r="N1205" t="s">
        <v>2176</v>
      </c>
      <c r="O1205">
        <v>3</v>
      </c>
      <c r="P1205" t="s">
        <v>65</v>
      </c>
      <c r="Q1205" t="b">
        <v>1</v>
      </c>
    </row>
    <row r="1206" spans="1:17">
      <c r="A1206" s="12">
        <v>42845</v>
      </c>
      <c r="B1206" s="10">
        <v>4.66</v>
      </c>
      <c r="C1206" s="10">
        <v>2.33</v>
      </c>
      <c r="D1206" s="10">
        <v>5</v>
      </c>
      <c r="E1206" s="10">
        <v>9.4</v>
      </c>
      <c r="F1206" s="10">
        <v>10</v>
      </c>
      <c r="G1206" s="10">
        <v>0</v>
      </c>
      <c r="H1206" s="10">
        <v>7</v>
      </c>
      <c r="I1206" s="10">
        <v>2</v>
      </c>
      <c r="J1206" s="10">
        <f>SUM(B1206:I1206)</f>
        <v>40.39</v>
      </c>
      <c r="K1206">
        <v>2017</v>
      </c>
      <c r="L1206">
        <v>4</v>
      </c>
      <c r="M1206" s="11">
        <v>42826</v>
      </c>
      <c r="N1206" t="s">
        <v>2176</v>
      </c>
      <c r="O1206">
        <v>4</v>
      </c>
      <c r="P1206" t="s">
        <v>53</v>
      </c>
      <c r="Q1206" t="b">
        <v>1</v>
      </c>
    </row>
    <row r="1207" spans="1:17">
      <c r="A1207" s="12">
        <v>42846</v>
      </c>
      <c r="B1207" s="10">
        <v>3.67</v>
      </c>
      <c r="C1207" s="10">
        <v>2.34</v>
      </c>
      <c r="D1207" s="10">
        <v>2.4</v>
      </c>
      <c r="E1207" s="10">
        <v>29</v>
      </c>
      <c r="F1207" s="10">
        <v>3</v>
      </c>
      <c r="G1207" s="10">
        <v>0</v>
      </c>
      <c r="H1207" s="10">
        <v>1.875</v>
      </c>
      <c r="I1207" s="10">
        <v>3</v>
      </c>
      <c r="J1207" s="10">
        <f>SUM(B1207:I1207)</f>
        <v>45.285</v>
      </c>
      <c r="K1207">
        <v>2017</v>
      </c>
      <c r="L1207">
        <v>4</v>
      </c>
      <c r="M1207" s="11">
        <v>42826</v>
      </c>
      <c r="N1207" t="s">
        <v>2176</v>
      </c>
      <c r="O1207">
        <v>5</v>
      </c>
      <c r="P1207" t="s">
        <v>55</v>
      </c>
      <c r="Q1207" t="b">
        <v>1</v>
      </c>
    </row>
    <row r="1208" spans="1:17">
      <c r="A1208" s="12">
        <v>42847</v>
      </c>
      <c r="B1208" s="10">
        <v>2.64</v>
      </c>
      <c r="C1208" s="10">
        <v>4.66</v>
      </c>
      <c r="D1208" s="10">
        <v>2.8</v>
      </c>
      <c r="E1208" s="10">
        <v>19</v>
      </c>
      <c r="F1208" s="10">
        <v>7</v>
      </c>
      <c r="G1208" s="10">
        <v>1</v>
      </c>
      <c r="H1208" s="10">
        <v>1</v>
      </c>
      <c r="I1208" s="10">
        <v>2</v>
      </c>
      <c r="J1208" s="10">
        <f>SUM(B1208:I1208)</f>
        <v>40.1</v>
      </c>
      <c r="K1208">
        <v>2017</v>
      </c>
      <c r="L1208">
        <v>4</v>
      </c>
      <c r="M1208" s="11">
        <v>42826</v>
      </c>
      <c r="N1208" t="s">
        <v>2176</v>
      </c>
      <c r="O1208">
        <v>6</v>
      </c>
      <c r="P1208" t="s">
        <v>57</v>
      </c>
      <c r="Q1208" t="b">
        <v>1</v>
      </c>
    </row>
    <row r="1209" spans="1:17">
      <c r="A1209" s="12">
        <v>42848</v>
      </c>
      <c r="B1209" s="10">
        <v>9</v>
      </c>
      <c r="C1209" s="10">
        <v>5.416</v>
      </c>
      <c r="D1209" s="10">
        <v>3.6</v>
      </c>
      <c r="E1209" s="10">
        <v>25.5</v>
      </c>
      <c r="F1209" s="10">
        <v>7</v>
      </c>
      <c r="G1209" s="10">
        <v>0</v>
      </c>
      <c r="H1209" s="10">
        <v>1</v>
      </c>
      <c r="I1209" s="10">
        <v>5</v>
      </c>
      <c r="J1209" s="10">
        <f>SUM(B1209:I1209)</f>
        <v>56.516000000000005</v>
      </c>
      <c r="K1209">
        <v>2017</v>
      </c>
      <c r="L1209">
        <v>4</v>
      </c>
      <c r="M1209" s="11">
        <v>42826</v>
      </c>
      <c r="N1209" t="s">
        <v>2176</v>
      </c>
      <c r="O1209">
        <v>7</v>
      </c>
      <c r="P1209" t="s">
        <v>59</v>
      </c>
      <c r="Q1209" t="b">
        <v>1</v>
      </c>
    </row>
    <row r="1210" spans="1:17">
      <c r="A1210" s="12">
        <v>42849</v>
      </c>
      <c r="B1210" s="10">
        <v>9.33</v>
      </c>
      <c r="C1210" s="10">
        <v>3.81</v>
      </c>
      <c r="D1210" s="10">
        <v>8</v>
      </c>
      <c r="E1210" s="10">
        <v>13.15</v>
      </c>
      <c r="F1210" s="10">
        <v>9</v>
      </c>
      <c r="G1210" s="10">
        <v>0</v>
      </c>
      <c r="H1210" s="10">
        <v>1</v>
      </c>
      <c r="I1210" s="10">
        <v>5</v>
      </c>
      <c r="J1210" s="10">
        <f>SUM(B1210:I1210)</f>
        <v>49.29</v>
      </c>
      <c r="K1210">
        <v>2017</v>
      </c>
      <c r="L1210">
        <v>4</v>
      </c>
      <c r="M1210" s="11">
        <v>42826</v>
      </c>
      <c r="N1210" t="s">
        <v>2176</v>
      </c>
      <c r="O1210">
        <v>1</v>
      </c>
      <c r="P1210" t="s">
        <v>61</v>
      </c>
      <c r="Q1210" t="b">
        <v>1</v>
      </c>
    </row>
    <row r="1211" spans="1:17">
      <c r="A1211" s="12">
        <v>42850</v>
      </c>
      <c r="B1211" s="10">
        <v>8</v>
      </c>
      <c r="C1211" s="10">
        <v>2.99</v>
      </c>
      <c r="D1211" s="10">
        <v>2.2</v>
      </c>
      <c r="E1211" s="10">
        <v>24</v>
      </c>
      <c r="F1211" s="10">
        <v>4</v>
      </c>
      <c r="G1211" s="10">
        <v>0</v>
      </c>
      <c r="H1211" s="10">
        <v>26</v>
      </c>
      <c r="I1211" s="10">
        <v>5</v>
      </c>
      <c r="J1211" s="10">
        <f>SUM(B1211:I1211)</f>
        <v>72.19</v>
      </c>
      <c r="K1211">
        <v>2017</v>
      </c>
      <c r="L1211">
        <v>4</v>
      </c>
      <c r="M1211" s="11">
        <v>42826</v>
      </c>
      <c r="N1211" t="s">
        <v>2176</v>
      </c>
      <c r="O1211">
        <v>2</v>
      </c>
      <c r="P1211" t="s">
        <v>63</v>
      </c>
      <c r="Q1211" t="b">
        <v>1</v>
      </c>
    </row>
    <row r="1212" spans="1:17">
      <c r="A1212" s="12">
        <v>42851</v>
      </c>
      <c r="B1212" s="10">
        <v>3</v>
      </c>
      <c r="C1212" s="10">
        <v>4</v>
      </c>
      <c r="D1212" s="10">
        <v>3.5</v>
      </c>
      <c r="E1212" s="10">
        <v>10.2</v>
      </c>
      <c r="F1212" s="10">
        <v>3</v>
      </c>
      <c r="G1212" s="10">
        <v>0</v>
      </c>
      <c r="H1212" s="10">
        <v>1</v>
      </c>
      <c r="I1212" s="10">
        <v>8.300000000000001</v>
      </c>
      <c r="J1212" s="10">
        <f>SUM(B1212:I1212)</f>
        <v>33.0</v>
      </c>
      <c r="K1212">
        <v>2017</v>
      </c>
      <c r="L1212">
        <v>4</v>
      </c>
      <c r="M1212" s="11">
        <v>42826</v>
      </c>
      <c r="N1212" t="s">
        <v>2176</v>
      </c>
      <c r="O1212">
        <v>3</v>
      </c>
      <c r="P1212" t="s">
        <v>65</v>
      </c>
      <c r="Q1212" t="b">
        <v>1</v>
      </c>
    </row>
    <row r="1213" spans="1:17">
      <c r="A1213" s="12">
        <v>42852</v>
      </c>
      <c r="B1213" s="10">
        <v>3.33</v>
      </c>
      <c r="C1213" s="10">
        <v>3.737</v>
      </c>
      <c r="D1213" s="10">
        <v>2.3</v>
      </c>
      <c r="E1213" s="10">
        <v>11</v>
      </c>
      <c r="F1213" s="10">
        <v>10</v>
      </c>
      <c r="G1213" s="10">
        <v>1</v>
      </c>
      <c r="H1213" s="10">
        <v>0</v>
      </c>
      <c r="I1213" s="10">
        <v>10</v>
      </c>
      <c r="J1213" s="10">
        <f>SUM(B1213:I1213)</f>
        <v>41.367000000000004</v>
      </c>
      <c r="K1213">
        <v>2017</v>
      </c>
      <c r="L1213">
        <v>4</v>
      </c>
      <c r="M1213" s="11">
        <v>42826</v>
      </c>
      <c r="N1213" t="s">
        <v>2176</v>
      </c>
      <c r="O1213">
        <v>4</v>
      </c>
      <c r="P1213" t="s">
        <v>53</v>
      </c>
      <c r="Q1213" t="b">
        <v>1</v>
      </c>
    </row>
    <row r="1214" spans="1:17">
      <c r="A1214" s="12">
        <v>42853</v>
      </c>
      <c r="B1214" s="10">
        <v>3.33</v>
      </c>
      <c r="C1214" s="10">
        <v>3.67</v>
      </c>
      <c r="D1214" s="10">
        <v>5.1</v>
      </c>
      <c r="E1214" s="10">
        <v>15.4</v>
      </c>
      <c r="F1214" s="10">
        <v>2</v>
      </c>
      <c r="G1214" s="10">
        <v>0</v>
      </c>
      <c r="H1214" s="10">
        <v>7</v>
      </c>
      <c r="I1214" s="10">
        <v>7</v>
      </c>
      <c r="J1214" s="10">
        <f>SUM(B1214:I1214)</f>
        <v>43.5</v>
      </c>
      <c r="K1214">
        <v>2017</v>
      </c>
      <c r="L1214">
        <v>4</v>
      </c>
      <c r="M1214" s="11">
        <v>42826</v>
      </c>
      <c r="N1214" t="s">
        <v>2176</v>
      </c>
      <c r="O1214">
        <v>5</v>
      </c>
      <c r="P1214" t="s">
        <v>55</v>
      </c>
      <c r="Q1214" t="b">
        <v>1</v>
      </c>
    </row>
    <row r="1215" spans="1:17">
      <c r="A1215" s="12">
        <v>42854</v>
      </c>
      <c r="B1215" s="10">
        <v>5</v>
      </c>
      <c r="C1215" s="10">
        <v>9</v>
      </c>
      <c r="D1215" s="10">
        <v>2.3</v>
      </c>
      <c r="E1215" s="10">
        <v>15</v>
      </c>
      <c r="F1215" s="10">
        <v>3</v>
      </c>
      <c r="G1215" s="10">
        <v>1</v>
      </c>
      <c r="H1215" s="10">
        <v>1</v>
      </c>
      <c r="I1215" s="10">
        <v>8</v>
      </c>
      <c r="J1215" s="10">
        <f>SUM(B1215:I1215)</f>
        <v>44.3</v>
      </c>
      <c r="K1215">
        <v>2017</v>
      </c>
      <c r="L1215">
        <v>4</v>
      </c>
      <c r="M1215" s="11">
        <v>42826</v>
      </c>
      <c r="N1215" t="s">
        <v>2176</v>
      </c>
      <c r="O1215">
        <v>6</v>
      </c>
      <c r="P1215" t="s">
        <v>57</v>
      </c>
      <c r="Q1215" t="b">
        <v>1</v>
      </c>
    </row>
    <row r="1216" spans="1:17">
      <c r="A1216" s="12">
        <v>42855</v>
      </c>
      <c r="B1216" s="10">
        <v>1</v>
      </c>
      <c r="C1216" s="10">
        <v>4.046</v>
      </c>
      <c r="D1216" s="10">
        <v>2.3</v>
      </c>
      <c r="E1216" s="10">
        <v>18</v>
      </c>
      <c r="F1216" s="10">
        <v>2</v>
      </c>
      <c r="G1216" s="10">
        <v>0</v>
      </c>
      <c r="H1216" s="10">
        <v>12</v>
      </c>
      <c r="I1216" s="10">
        <v>2</v>
      </c>
      <c r="J1216" s="10">
        <f>SUM(B1216:I1216)</f>
        <v>41.346000000000004</v>
      </c>
      <c r="K1216">
        <v>2017</v>
      </c>
      <c r="L1216">
        <v>4</v>
      </c>
      <c r="M1216" s="11">
        <v>42826</v>
      </c>
      <c r="N1216" t="s">
        <v>2176</v>
      </c>
      <c r="O1216">
        <v>7</v>
      </c>
      <c r="P1216" t="s">
        <v>59</v>
      </c>
      <c r="Q1216" t="b">
        <v>1</v>
      </c>
    </row>
    <row r="1217" spans="1:17">
      <c r="A1217" s="12">
        <v>42856</v>
      </c>
      <c r="B1217" s="10">
        <v>0.34</v>
      </c>
      <c r="C1217" s="10">
        <v>1</v>
      </c>
      <c r="D1217" s="10">
        <v>1</v>
      </c>
      <c r="E1217" s="10">
        <v>1.2</v>
      </c>
      <c r="F1217" s="10">
        <v>0</v>
      </c>
      <c r="G1217" s="10">
        <v>0</v>
      </c>
      <c r="H1217" s="10">
        <v>0</v>
      </c>
      <c r="I1217" s="10">
        <v>1</v>
      </c>
      <c r="J1217" s="10">
        <f>SUM(B1217:I1217)</f>
        <v>4.54</v>
      </c>
      <c r="K1217">
        <v>2017</v>
      </c>
      <c r="L1217">
        <v>5</v>
      </c>
      <c r="M1217" s="11">
        <v>42856</v>
      </c>
      <c r="N1217" t="s">
        <v>2177</v>
      </c>
      <c r="O1217">
        <v>1</v>
      </c>
      <c r="P1217" t="s">
        <v>61</v>
      </c>
      <c r="Q1217" t="b">
        <v>1</v>
      </c>
    </row>
    <row r="1218" spans="1:17">
      <c r="A1218" s="12">
        <v>42857</v>
      </c>
      <c r="B1218" s="10">
        <v>2</v>
      </c>
      <c r="C1218" s="10">
        <v>6.033</v>
      </c>
      <c r="D1218" s="10">
        <v>1</v>
      </c>
      <c r="E1218" s="10">
        <v>23</v>
      </c>
      <c r="F1218" s="10">
        <v>5</v>
      </c>
      <c r="G1218" s="10">
        <v>0</v>
      </c>
      <c r="H1218" s="10">
        <v>6</v>
      </c>
      <c r="I1218" s="10">
        <v>5</v>
      </c>
      <c r="J1218" s="10">
        <f>SUM(B1218:I1218)</f>
        <v>48.033</v>
      </c>
      <c r="K1218">
        <v>2017</v>
      </c>
      <c r="L1218">
        <v>5</v>
      </c>
      <c r="M1218" s="11">
        <v>42856</v>
      </c>
      <c r="N1218" t="s">
        <v>2177</v>
      </c>
      <c r="O1218">
        <v>2</v>
      </c>
      <c r="P1218" t="s">
        <v>63</v>
      </c>
      <c r="Q1218" t="b">
        <v>1</v>
      </c>
    </row>
    <row r="1219" spans="1:17">
      <c r="A1219" s="12">
        <v>42858</v>
      </c>
      <c r="B1219" s="10">
        <v>1.33</v>
      </c>
      <c r="C1219" s="10">
        <v>3.34</v>
      </c>
      <c r="D1219" s="10">
        <v>6</v>
      </c>
      <c r="E1219" s="10">
        <v>18.2</v>
      </c>
      <c r="F1219" s="10">
        <v>6</v>
      </c>
      <c r="G1219" s="10">
        <v>0</v>
      </c>
      <c r="H1219" s="10">
        <v>20</v>
      </c>
      <c r="I1219" s="10">
        <v>2</v>
      </c>
      <c r="J1219" s="10">
        <f>SUM(B1219:I1219)</f>
        <v>56.87</v>
      </c>
      <c r="K1219">
        <v>2017</v>
      </c>
      <c r="L1219">
        <v>5</v>
      </c>
      <c r="M1219" s="11">
        <v>42856</v>
      </c>
      <c r="N1219" t="s">
        <v>2177</v>
      </c>
      <c r="O1219">
        <v>3</v>
      </c>
      <c r="P1219" t="s">
        <v>65</v>
      </c>
      <c r="Q1219" t="b">
        <v>1</v>
      </c>
    </row>
    <row r="1220" spans="1:17">
      <c r="A1220" s="12">
        <v>42859</v>
      </c>
      <c r="B1220" s="10">
        <v>5.67</v>
      </c>
      <c r="C1220" s="10">
        <v>5.66</v>
      </c>
      <c r="D1220" s="10">
        <v>1</v>
      </c>
      <c r="E1220" s="10">
        <v>11.6</v>
      </c>
      <c r="F1220" s="10">
        <v>4</v>
      </c>
      <c r="G1220" s="10">
        <v>0</v>
      </c>
      <c r="H1220" s="10">
        <v>2</v>
      </c>
      <c r="I1220" s="10">
        <v>4.1</v>
      </c>
      <c r="J1220" s="10">
        <f>SUM(B1220:I1220)</f>
        <v>34.03</v>
      </c>
      <c r="K1220">
        <v>2017</v>
      </c>
      <c r="L1220">
        <v>5</v>
      </c>
      <c r="M1220" s="11">
        <v>42856</v>
      </c>
      <c r="N1220" t="s">
        <v>2177</v>
      </c>
      <c r="O1220">
        <v>4</v>
      </c>
      <c r="P1220" t="s">
        <v>53</v>
      </c>
      <c r="Q1220" t="b">
        <v>1</v>
      </c>
    </row>
    <row r="1221" spans="1:17">
      <c r="A1221" s="12">
        <v>42860</v>
      </c>
      <c r="B1221" s="10">
        <v>2.34</v>
      </c>
      <c r="C1221" s="10">
        <v>5.33</v>
      </c>
      <c r="D1221" s="10">
        <v>1.15</v>
      </c>
      <c r="E1221" s="10">
        <v>6.6</v>
      </c>
      <c r="F1221" s="10">
        <v>8</v>
      </c>
      <c r="G1221" s="10">
        <v>0</v>
      </c>
      <c r="H1221" s="10">
        <v>12</v>
      </c>
      <c r="I1221" s="10">
        <v>3</v>
      </c>
      <c r="J1221" s="10">
        <f>SUM(B1221:I1221)</f>
        <v>38.42</v>
      </c>
      <c r="K1221">
        <v>2017</v>
      </c>
      <c r="L1221">
        <v>5</v>
      </c>
      <c r="M1221" s="11">
        <v>42856</v>
      </c>
      <c r="N1221" t="s">
        <v>2177</v>
      </c>
      <c r="O1221">
        <v>5</v>
      </c>
      <c r="P1221" t="s">
        <v>55</v>
      </c>
      <c r="Q1221" t="b">
        <v>1</v>
      </c>
    </row>
    <row r="1222" spans="1:17">
      <c r="A1222" s="12">
        <v>42861</v>
      </c>
      <c r="B1222" s="10">
        <v>7.33</v>
      </c>
      <c r="C1222" s="10">
        <v>2.363</v>
      </c>
      <c r="D1222" s="10">
        <v>4.4</v>
      </c>
      <c r="E1222" s="10">
        <v>14</v>
      </c>
      <c r="F1222" s="10">
        <v>4</v>
      </c>
      <c r="G1222" s="10">
        <v>0</v>
      </c>
      <c r="H1222" s="10">
        <v>0</v>
      </c>
      <c r="I1222" s="10">
        <v>6</v>
      </c>
      <c r="J1222" s="10">
        <f>SUM(B1222:I1222)</f>
        <v>38.093</v>
      </c>
      <c r="K1222">
        <v>2017</v>
      </c>
      <c r="L1222">
        <v>5</v>
      </c>
      <c r="M1222" s="11">
        <v>42856</v>
      </c>
      <c r="N1222" t="s">
        <v>2177</v>
      </c>
      <c r="O1222">
        <v>6</v>
      </c>
      <c r="P1222" t="s">
        <v>57</v>
      </c>
      <c r="Q1222" t="b">
        <v>1</v>
      </c>
    </row>
    <row r="1223" spans="1:17">
      <c r="A1223" s="12">
        <v>42862</v>
      </c>
      <c r="B1223" s="10">
        <v>6.33</v>
      </c>
      <c r="C1223" s="10">
        <v>3.67</v>
      </c>
      <c r="D1223" s="10">
        <v>4.5</v>
      </c>
      <c r="E1223" s="10">
        <v>18.25</v>
      </c>
      <c r="F1223" s="10">
        <v>3</v>
      </c>
      <c r="G1223" s="10">
        <v>0</v>
      </c>
      <c r="H1223" s="10">
        <v>4</v>
      </c>
      <c r="I1223" s="10">
        <v>4</v>
      </c>
      <c r="J1223" s="10">
        <f>SUM(B1223:I1223)</f>
        <v>43.75</v>
      </c>
      <c r="K1223">
        <v>2017</v>
      </c>
      <c r="L1223">
        <v>5</v>
      </c>
      <c r="M1223" s="11">
        <v>42856</v>
      </c>
      <c r="N1223" t="s">
        <v>2177</v>
      </c>
      <c r="O1223">
        <v>7</v>
      </c>
      <c r="P1223" t="s">
        <v>59</v>
      </c>
      <c r="Q1223" t="b">
        <v>1</v>
      </c>
    </row>
    <row r="1224" spans="1:17">
      <c r="A1224" s="12">
        <v>42863</v>
      </c>
      <c r="B1224" s="10">
        <v>2.33</v>
      </c>
      <c r="C1224" s="10">
        <v>3.66</v>
      </c>
      <c r="D1224" s="10">
        <v>1</v>
      </c>
      <c r="E1224" s="10">
        <v>8</v>
      </c>
      <c r="F1224" s="10">
        <v>8</v>
      </c>
      <c r="G1224" s="10">
        <v>3</v>
      </c>
      <c r="H1224" s="10">
        <v>1</v>
      </c>
      <c r="I1224" s="10">
        <v>5.6</v>
      </c>
      <c r="J1224" s="10">
        <f>SUM(B1224:I1224)</f>
        <v>32.59</v>
      </c>
      <c r="K1224">
        <v>2017</v>
      </c>
      <c r="L1224">
        <v>5</v>
      </c>
      <c r="M1224" s="11">
        <v>42856</v>
      </c>
      <c r="N1224" t="s">
        <v>2177</v>
      </c>
      <c r="O1224">
        <v>1</v>
      </c>
      <c r="P1224" t="s">
        <v>61</v>
      </c>
      <c r="Q1224" t="b">
        <v>1</v>
      </c>
    </row>
    <row r="1225" spans="1:17">
      <c r="A1225" s="12">
        <v>42864</v>
      </c>
      <c r="B1225" s="10">
        <v>7.33</v>
      </c>
      <c r="C1225" s="10">
        <v>4</v>
      </c>
      <c r="D1225" s="10">
        <v>4.1</v>
      </c>
      <c r="E1225" s="10">
        <v>11</v>
      </c>
      <c r="F1225" s="10">
        <v>4</v>
      </c>
      <c r="G1225" s="10">
        <v>0</v>
      </c>
      <c r="H1225" s="10">
        <v>2</v>
      </c>
      <c r="I1225" s="10">
        <v>3</v>
      </c>
      <c r="J1225" s="10">
        <f>SUM(B1225:I1225)</f>
        <v>35.43</v>
      </c>
      <c r="K1225">
        <v>2017</v>
      </c>
      <c r="L1225">
        <v>5</v>
      </c>
      <c r="M1225" s="11">
        <v>42856</v>
      </c>
      <c r="N1225" t="s">
        <v>2177</v>
      </c>
      <c r="O1225">
        <v>2</v>
      </c>
      <c r="P1225" t="s">
        <v>63</v>
      </c>
      <c r="Q1225" t="b">
        <v>1</v>
      </c>
    </row>
    <row r="1226" spans="1:17">
      <c r="A1226" s="12">
        <v>42865</v>
      </c>
      <c r="B1226" s="10">
        <v>8.66</v>
      </c>
      <c r="C1226" s="10">
        <v>0.397</v>
      </c>
      <c r="D1226" s="10">
        <v>9</v>
      </c>
      <c r="E1226" s="10">
        <v>15</v>
      </c>
      <c r="F1226" s="10">
        <v>4</v>
      </c>
      <c r="G1226" s="10">
        <v>0</v>
      </c>
      <c r="H1226" s="10">
        <v>14</v>
      </c>
      <c r="I1226" s="10">
        <v>7</v>
      </c>
      <c r="J1226" s="10">
        <f>SUM(B1226:I1226)</f>
        <v>58.057</v>
      </c>
      <c r="K1226">
        <v>2017</v>
      </c>
      <c r="L1226">
        <v>5</v>
      </c>
      <c r="M1226" s="11">
        <v>42856</v>
      </c>
      <c r="N1226" t="s">
        <v>2177</v>
      </c>
      <c r="O1226">
        <v>3</v>
      </c>
      <c r="P1226" t="s">
        <v>65</v>
      </c>
      <c r="Q1226" t="b">
        <v>1</v>
      </c>
    </row>
    <row r="1227" spans="1:17">
      <c r="A1227" s="12">
        <v>42866</v>
      </c>
      <c r="B1227" s="10">
        <v>6</v>
      </c>
      <c r="C1227" s="10">
        <v>6.693</v>
      </c>
      <c r="D1227" s="10">
        <v>3</v>
      </c>
      <c r="E1227" s="10">
        <v>16</v>
      </c>
      <c r="F1227" s="10">
        <v>6</v>
      </c>
      <c r="G1227" s="10">
        <v>2</v>
      </c>
      <c r="H1227" s="10">
        <v>1</v>
      </c>
      <c r="I1227" s="10">
        <v>10</v>
      </c>
      <c r="J1227" s="10">
        <f>SUM(B1227:I1227)</f>
        <v>50.693</v>
      </c>
      <c r="K1227">
        <v>2017</v>
      </c>
      <c r="L1227">
        <v>5</v>
      </c>
      <c r="M1227" s="11">
        <v>42856</v>
      </c>
      <c r="N1227" t="s">
        <v>2177</v>
      </c>
      <c r="O1227">
        <v>4</v>
      </c>
      <c r="P1227" t="s">
        <v>53</v>
      </c>
      <c r="Q1227" t="b">
        <v>1</v>
      </c>
    </row>
    <row r="1228" spans="1:17">
      <c r="A1228" s="12">
        <v>42867</v>
      </c>
      <c r="B1228" s="10">
        <v>4.99</v>
      </c>
      <c r="C1228" s="10">
        <v>4.703</v>
      </c>
      <c r="D1228" s="10">
        <v>6</v>
      </c>
      <c r="E1228" s="10">
        <v>16.4</v>
      </c>
      <c r="F1228" s="10">
        <v>4</v>
      </c>
      <c r="G1228" s="10">
        <v>9</v>
      </c>
      <c r="H1228" s="10">
        <v>0</v>
      </c>
      <c r="I1228" s="10">
        <v>6</v>
      </c>
      <c r="J1228" s="10">
        <f>SUM(B1228:I1228)</f>
        <v>51.093</v>
      </c>
      <c r="K1228">
        <v>2017</v>
      </c>
      <c r="L1228">
        <v>5</v>
      </c>
      <c r="M1228" s="11">
        <v>42856</v>
      </c>
      <c r="N1228" t="s">
        <v>2177</v>
      </c>
      <c r="O1228">
        <v>5</v>
      </c>
      <c r="P1228" t="s">
        <v>55</v>
      </c>
      <c r="Q1228" t="b">
        <v>1</v>
      </c>
    </row>
    <row r="1229" spans="1:17">
      <c r="A1229" s="12">
        <v>42868</v>
      </c>
      <c r="B1229" s="10">
        <v>5</v>
      </c>
      <c r="C1229" s="10">
        <v>2.363</v>
      </c>
      <c r="D1229" s="10">
        <v>6</v>
      </c>
      <c r="E1229" s="10">
        <v>12</v>
      </c>
      <c r="F1229" s="10">
        <v>4</v>
      </c>
      <c r="G1229" s="10">
        <v>0</v>
      </c>
      <c r="H1229" s="10">
        <v>1</v>
      </c>
      <c r="I1229" s="10">
        <v>7</v>
      </c>
      <c r="J1229" s="10">
        <f>SUM(B1229:I1229)</f>
        <v>37.363</v>
      </c>
      <c r="K1229">
        <v>2017</v>
      </c>
      <c r="L1229">
        <v>5</v>
      </c>
      <c r="M1229" s="11">
        <v>42856</v>
      </c>
      <c r="N1229" t="s">
        <v>2177</v>
      </c>
      <c r="O1229">
        <v>6</v>
      </c>
      <c r="P1229" t="s">
        <v>57</v>
      </c>
      <c r="Q1229" t="b">
        <v>1</v>
      </c>
    </row>
    <row r="1230" spans="1:17">
      <c r="A1230" s="12">
        <v>42869</v>
      </c>
      <c r="B1230" s="10">
        <v>4.67</v>
      </c>
      <c r="C1230" s="10">
        <v>2.076</v>
      </c>
      <c r="D1230" s="10">
        <v>2.85</v>
      </c>
      <c r="E1230" s="10">
        <v>31.5</v>
      </c>
      <c r="F1230" s="10">
        <v>6</v>
      </c>
      <c r="G1230" s="10">
        <v>0</v>
      </c>
      <c r="H1230" s="10">
        <v>5</v>
      </c>
      <c r="I1230" s="10">
        <v>2.1</v>
      </c>
      <c r="J1230" s="10">
        <f>SUM(B1230:I1230)</f>
        <v>54.196000000000005</v>
      </c>
      <c r="K1230">
        <v>2017</v>
      </c>
      <c r="L1230">
        <v>5</v>
      </c>
      <c r="M1230" s="11">
        <v>42856</v>
      </c>
      <c r="N1230" t="s">
        <v>2177</v>
      </c>
      <c r="O1230">
        <v>7</v>
      </c>
      <c r="P1230" t="s">
        <v>59</v>
      </c>
      <c r="Q1230" t="b">
        <v>1</v>
      </c>
    </row>
    <row r="1231" spans="1:17">
      <c r="A1231" s="12">
        <v>42870</v>
      </c>
      <c r="B1231" s="10">
        <v>5.34</v>
      </c>
      <c r="C1231" s="10">
        <v>4.703</v>
      </c>
      <c r="D1231" s="10">
        <v>2</v>
      </c>
      <c r="E1231" s="10">
        <v>17</v>
      </c>
      <c r="F1231" s="10">
        <v>0</v>
      </c>
      <c r="G1231" s="10">
        <v>3</v>
      </c>
      <c r="H1231" s="10">
        <v>3</v>
      </c>
      <c r="I1231" s="10">
        <v>7</v>
      </c>
      <c r="J1231" s="10">
        <f>SUM(B1231:I1231)</f>
        <v>42.043</v>
      </c>
      <c r="K1231">
        <v>2017</v>
      </c>
      <c r="L1231">
        <v>5</v>
      </c>
      <c r="M1231" s="11">
        <v>42856</v>
      </c>
      <c r="N1231" t="s">
        <v>2177</v>
      </c>
      <c r="O1231">
        <v>1</v>
      </c>
      <c r="P1231" t="s">
        <v>61</v>
      </c>
      <c r="Q1231" t="b">
        <v>1</v>
      </c>
    </row>
    <row r="1232" spans="1:17">
      <c r="A1232" s="12">
        <v>42871</v>
      </c>
      <c r="B1232" s="10">
        <v>2.33</v>
      </c>
      <c r="C1232" s="10">
        <v>5.66</v>
      </c>
      <c r="D1232" s="10">
        <v>1.5</v>
      </c>
      <c r="E1232" s="10">
        <v>16.2</v>
      </c>
      <c r="F1232" s="10">
        <v>2</v>
      </c>
      <c r="G1232" s="10">
        <v>0</v>
      </c>
      <c r="H1232" s="10">
        <v>6</v>
      </c>
      <c r="I1232" s="10">
        <v>7</v>
      </c>
      <c r="J1232" s="10">
        <f>SUM(B1232:I1232)</f>
        <v>40.69</v>
      </c>
      <c r="K1232">
        <v>2017</v>
      </c>
      <c r="L1232">
        <v>5</v>
      </c>
      <c r="M1232" s="11">
        <v>42856</v>
      </c>
      <c r="N1232" t="s">
        <v>2177</v>
      </c>
      <c r="O1232">
        <v>2</v>
      </c>
      <c r="P1232" t="s">
        <v>63</v>
      </c>
      <c r="Q1232" t="b">
        <v>1</v>
      </c>
    </row>
    <row r="1233" spans="1:17">
      <c r="A1233" s="12">
        <v>42872</v>
      </c>
      <c r="B1233" s="10">
        <v>6.34</v>
      </c>
      <c r="C1233" s="10">
        <v>4.84</v>
      </c>
      <c r="D1233" s="10">
        <v>0</v>
      </c>
      <c r="E1233" s="10">
        <v>9</v>
      </c>
      <c r="F1233" s="10">
        <v>5</v>
      </c>
      <c r="G1233" s="10">
        <v>0</v>
      </c>
      <c r="H1233" s="10">
        <v>0</v>
      </c>
      <c r="I1233" s="10">
        <v>2</v>
      </c>
      <c r="J1233" s="10">
        <f>SUM(B1233:I1233)</f>
        <v>27.18</v>
      </c>
      <c r="K1233">
        <v>2017</v>
      </c>
      <c r="L1233">
        <v>5</v>
      </c>
      <c r="M1233" s="11">
        <v>42856</v>
      </c>
      <c r="N1233" t="s">
        <v>2177</v>
      </c>
      <c r="O1233">
        <v>3</v>
      </c>
      <c r="P1233" t="s">
        <v>65</v>
      </c>
      <c r="Q1233" t="b">
        <v>1</v>
      </c>
    </row>
    <row r="1234" spans="1:17">
      <c r="A1234" s="12">
        <v>42873</v>
      </c>
      <c r="B1234" s="10">
        <v>3.33</v>
      </c>
      <c r="C1234" s="10">
        <v>5.01</v>
      </c>
      <c r="D1234" s="10">
        <v>4</v>
      </c>
      <c r="E1234" s="10">
        <v>28.2</v>
      </c>
      <c r="F1234" s="10">
        <v>4</v>
      </c>
      <c r="G1234" s="10">
        <v>0</v>
      </c>
      <c r="H1234" s="10">
        <v>0</v>
      </c>
      <c r="I1234" s="10">
        <v>3</v>
      </c>
      <c r="J1234" s="10">
        <f>SUM(B1234:I1234)</f>
        <v>47.54</v>
      </c>
      <c r="K1234">
        <v>2017</v>
      </c>
      <c r="L1234">
        <v>5</v>
      </c>
      <c r="M1234" s="11">
        <v>42856</v>
      </c>
      <c r="N1234" t="s">
        <v>2177</v>
      </c>
      <c r="O1234">
        <v>4</v>
      </c>
      <c r="P1234" t="s">
        <v>53</v>
      </c>
      <c r="Q1234" t="b">
        <v>1</v>
      </c>
    </row>
    <row r="1235" spans="1:17">
      <c r="A1235" s="12">
        <v>42874</v>
      </c>
      <c r="B1235" s="10">
        <v>4.34</v>
      </c>
      <c r="C1235" s="10">
        <v>3.44</v>
      </c>
      <c r="D1235" s="10">
        <v>2.2</v>
      </c>
      <c r="E1235" s="10">
        <v>31.6</v>
      </c>
      <c r="F1235" s="10">
        <v>11</v>
      </c>
      <c r="G1235" s="10">
        <v>0</v>
      </c>
      <c r="H1235" s="10">
        <v>0</v>
      </c>
      <c r="I1235" s="10">
        <v>10</v>
      </c>
      <c r="J1235" s="10">
        <f>SUM(B1235:I1235)</f>
        <v>62.58</v>
      </c>
      <c r="K1235">
        <v>2017</v>
      </c>
      <c r="L1235">
        <v>5</v>
      </c>
      <c r="M1235" s="11">
        <v>42856</v>
      </c>
      <c r="N1235" t="s">
        <v>2177</v>
      </c>
      <c r="O1235">
        <v>5</v>
      </c>
      <c r="P1235" t="s">
        <v>55</v>
      </c>
      <c r="Q1235" t="b">
        <v>1</v>
      </c>
    </row>
    <row r="1236" spans="1:17">
      <c r="A1236" s="12">
        <v>42875</v>
      </c>
      <c r="B1236" s="10">
        <v>3.99</v>
      </c>
      <c r="C1236" s="10">
        <v>4.713</v>
      </c>
      <c r="D1236" s="10">
        <v>0.25</v>
      </c>
      <c r="E1236" s="10">
        <v>16.4</v>
      </c>
      <c r="F1236" s="10">
        <v>5</v>
      </c>
      <c r="G1236" s="10">
        <v>0</v>
      </c>
      <c r="H1236" s="10">
        <v>6</v>
      </c>
      <c r="I1236" s="10">
        <v>6</v>
      </c>
      <c r="J1236" s="10">
        <f>SUM(B1236:I1236)</f>
        <v>42.352999999999994</v>
      </c>
      <c r="K1236">
        <v>2017</v>
      </c>
      <c r="L1236">
        <v>5</v>
      </c>
      <c r="M1236" s="11">
        <v>42856</v>
      </c>
      <c r="N1236" t="s">
        <v>2177</v>
      </c>
      <c r="O1236">
        <v>6</v>
      </c>
      <c r="P1236" t="s">
        <v>57</v>
      </c>
      <c r="Q1236" t="b">
        <v>1</v>
      </c>
    </row>
    <row r="1237" spans="1:17">
      <c r="A1237" s="12">
        <v>42876</v>
      </c>
      <c r="B1237" s="10">
        <v>6</v>
      </c>
      <c r="C1237" s="10">
        <v>3.043</v>
      </c>
      <c r="D1237" s="10">
        <v>1.25</v>
      </c>
      <c r="E1237" s="10">
        <v>32.2</v>
      </c>
      <c r="F1237" s="10">
        <v>5</v>
      </c>
      <c r="G1237" s="10">
        <v>0</v>
      </c>
      <c r="H1237" s="10">
        <v>12</v>
      </c>
      <c r="I1237" s="10">
        <v>4</v>
      </c>
      <c r="J1237" s="10">
        <f>SUM(B1237:I1237)</f>
        <v>63.493</v>
      </c>
      <c r="K1237">
        <v>2017</v>
      </c>
      <c r="L1237">
        <v>5</v>
      </c>
      <c r="M1237" s="11">
        <v>42856</v>
      </c>
      <c r="N1237" t="s">
        <v>2177</v>
      </c>
      <c r="O1237">
        <v>7</v>
      </c>
      <c r="P1237" t="s">
        <v>59</v>
      </c>
      <c r="Q1237" t="b">
        <v>1</v>
      </c>
    </row>
    <row r="1238" spans="1:17">
      <c r="A1238" s="12">
        <v>42877</v>
      </c>
      <c r="B1238" s="10">
        <v>5.33</v>
      </c>
      <c r="C1238" s="10">
        <v>1.34</v>
      </c>
      <c r="D1238" s="10">
        <v>4.4</v>
      </c>
      <c r="E1238" s="10">
        <v>22.4</v>
      </c>
      <c r="F1238" s="10">
        <v>5</v>
      </c>
      <c r="G1238" s="10">
        <v>0</v>
      </c>
      <c r="H1238" s="10">
        <v>7</v>
      </c>
      <c r="I1238" s="10">
        <v>11</v>
      </c>
      <c r="J1238" s="10">
        <f>SUM(B1238:I1238)</f>
        <v>56.47</v>
      </c>
      <c r="K1238">
        <v>2017</v>
      </c>
      <c r="L1238">
        <v>5</v>
      </c>
      <c r="M1238" s="11">
        <v>42856</v>
      </c>
      <c r="N1238" t="s">
        <v>2177</v>
      </c>
      <c r="O1238">
        <v>1</v>
      </c>
      <c r="P1238" t="s">
        <v>61</v>
      </c>
      <c r="Q1238" t="b">
        <v>1</v>
      </c>
    </row>
    <row r="1239" spans="1:17">
      <c r="A1239" s="12">
        <v>42878</v>
      </c>
      <c r="B1239" s="10">
        <v>3</v>
      </c>
      <c r="C1239" s="10">
        <v>2.406</v>
      </c>
      <c r="D1239" s="10">
        <v>5</v>
      </c>
      <c r="E1239" s="10">
        <v>11</v>
      </c>
      <c r="F1239" s="10">
        <v>9</v>
      </c>
      <c r="G1239" s="10">
        <v>0</v>
      </c>
      <c r="H1239" s="10">
        <v>2</v>
      </c>
      <c r="I1239" s="10">
        <v>7</v>
      </c>
      <c r="J1239" s="10">
        <f>SUM(B1239:I1239)</f>
        <v>39.406</v>
      </c>
      <c r="K1239">
        <v>2017</v>
      </c>
      <c r="L1239">
        <v>5</v>
      </c>
      <c r="M1239" s="11">
        <v>42856</v>
      </c>
      <c r="N1239" t="s">
        <v>2177</v>
      </c>
      <c r="O1239">
        <v>2</v>
      </c>
      <c r="P1239" t="s">
        <v>63</v>
      </c>
      <c r="Q1239" t="b">
        <v>1</v>
      </c>
    </row>
    <row r="1240" spans="1:17">
      <c r="A1240" s="12">
        <v>42879</v>
      </c>
      <c r="B1240" s="10">
        <v>6.68</v>
      </c>
      <c r="C1240" s="10">
        <v>3.34</v>
      </c>
      <c r="D1240" s="10">
        <v>3</v>
      </c>
      <c r="E1240" s="10">
        <v>14.2</v>
      </c>
      <c r="F1240" s="10">
        <v>9</v>
      </c>
      <c r="G1240" s="10">
        <v>0</v>
      </c>
      <c r="H1240" s="10">
        <v>4</v>
      </c>
      <c r="I1240" s="10">
        <v>4.71</v>
      </c>
      <c r="J1240" s="10">
        <f>SUM(B1240:I1240)</f>
        <v>44.93</v>
      </c>
      <c r="K1240">
        <v>2017</v>
      </c>
      <c r="L1240">
        <v>5</v>
      </c>
      <c r="M1240" s="11">
        <v>42856</v>
      </c>
      <c r="N1240" t="s">
        <v>2177</v>
      </c>
      <c r="O1240">
        <v>3</v>
      </c>
      <c r="P1240" t="s">
        <v>65</v>
      </c>
      <c r="Q1240" t="b">
        <v>1</v>
      </c>
    </row>
    <row r="1241" spans="1:17">
      <c r="A1241" s="12">
        <v>42880</v>
      </c>
      <c r="B1241" s="10">
        <v>5.66</v>
      </c>
      <c r="C1241" s="10">
        <v>5.36</v>
      </c>
      <c r="D1241" s="10">
        <v>2</v>
      </c>
      <c r="E1241" s="10">
        <v>18.2</v>
      </c>
      <c r="F1241" s="10">
        <v>3</v>
      </c>
      <c r="G1241" s="10">
        <v>0</v>
      </c>
      <c r="H1241" s="10">
        <v>2</v>
      </c>
      <c r="I1241" s="10">
        <v>4.3</v>
      </c>
      <c r="J1241" s="10">
        <f>SUM(B1241:I1241)</f>
        <v>40.519999999999996</v>
      </c>
      <c r="K1241">
        <v>2017</v>
      </c>
      <c r="L1241">
        <v>5</v>
      </c>
      <c r="M1241" s="11">
        <v>42856</v>
      </c>
      <c r="N1241" t="s">
        <v>2177</v>
      </c>
      <c r="O1241">
        <v>4</v>
      </c>
      <c r="P1241" t="s">
        <v>53</v>
      </c>
      <c r="Q1241" t="b">
        <v>1</v>
      </c>
    </row>
    <row r="1242" spans="1:17">
      <c r="A1242" s="12">
        <v>42881</v>
      </c>
      <c r="B1242" s="10">
        <v>2.34</v>
      </c>
      <c r="C1242" s="10">
        <v>3.67</v>
      </c>
      <c r="D1242" s="10">
        <v>5</v>
      </c>
      <c r="E1242" s="10">
        <v>29</v>
      </c>
      <c r="F1242" s="10">
        <v>4</v>
      </c>
      <c r="G1242" s="10">
        <v>0</v>
      </c>
      <c r="H1242" s="10">
        <v>8</v>
      </c>
      <c r="I1242" s="10">
        <v>2</v>
      </c>
      <c r="J1242" s="10">
        <f>SUM(B1242:I1242)</f>
        <v>54.01</v>
      </c>
      <c r="K1242">
        <v>2017</v>
      </c>
      <c r="L1242">
        <v>5</v>
      </c>
      <c r="M1242" s="11">
        <v>42856</v>
      </c>
      <c r="N1242" t="s">
        <v>2177</v>
      </c>
      <c r="O1242">
        <v>5</v>
      </c>
      <c r="P1242" t="s">
        <v>55</v>
      </c>
      <c r="Q1242" t="b">
        <v>1</v>
      </c>
    </row>
    <row r="1243" spans="1:17">
      <c r="A1243" s="12">
        <v>42882</v>
      </c>
      <c r="B1243" s="10">
        <v>7.33</v>
      </c>
      <c r="C1243" s="10">
        <v>3.221</v>
      </c>
      <c r="D1243" s="10">
        <v>2</v>
      </c>
      <c r="E1243" s="10">
        <v>23.4</v>
      </c>
      <c r="F1243" s="10">
        <v>5</v>
      </c>
      <c r="G1243" s="10">
        <v>0</v>
      </c>
      <c r="H1243" s="10">
        <v>0</v>
      </c>
      <c r="I1243" s="10">
        <v>10</v>
      </c>
      <c r="J1243" s="10">
        <f>SUM(B1243:I1243)</f>
        <v>50.951</v>
      </c>
      <c r="K1243">
        <v>2017</v>
      </c>
      <c r="L1243">
        <v>5</v>
      </c>
      <c r="M1243" s="11">
        <v>42856</v>
      </c>
      <c r="N1243" t="s">
        <v>2177</v>
      </c>
      <c r="O1243">
        <v>6</v>
      </c>
      <c r="P1243" t="s">
        <v>57</v>
      </c>
      <c r="Q1243" t="b">
        <v>1</v>
      </c>
    </row>
    <row r="1244" spans="1:17">
      <c r="A1244" s="12">
        <v>42883</v>
      </c>
      <c r="B1244" s="10">
        <v>1.99</v>
      </c>
      <c r="C1244" s="10">
        <v>6.243</v>
      </c>
      <c r="D1244" s="10">
        <v>2.45</v>
      </c>
      <c r="E1244" s="10">
        <v>11.19</v>
      </c>
      <c r="F1244" s="10">
        <v>2</v>
      </c>
      <c r="G1244" s="10">
        <v>0</v>
      </c>
      <c r="H1244" s="10">
        <v>0</v>
      </c>
      <c r="I1244" s="10">
        <v>3</v>
      </c>
      <c r="J1244" s="10">
        <f>SUM(B1244:I1244)</f>
        <v>26.872999999999998</v>
      </c>
      <c r="K1244">
        <v>2017</v>
      </c>
      <c r="L1244">
        <v>5</v>
      </c>
      <c r="M1244" s="11">
        <v>42856</v>
      </c>
      <c r="N1244" t="s">
        <v>2177</v>
      </c>
      <c r="O1244">
        <v>7</v>
      </c>
      <c r="P1244" t="s">
        <v>59</v>
      </c>
      <c r="Q1244" t="b">
        <v>1</v>
      </c>
    </row>
    <row r="1245" spans="1:17">
      <c r="A1245" s="12">
        <v>42884</v>
      </c>
      <c r="B1245" s="10">
        <v>3.34</v>
      </c>
      <c r="C1245" s="10">
        <v>4.023</v>
      </c>
      <c r="D1245" s="10">
        <v>1.6</v>
      </c>
      <c r="E1245" s="10">
        <v>28</v>
      </c>
      <c r="F1245" s="10">
        <v>4</v>
      </c>
      <c r="G1245" s="10">
        <v>2</v>
      </c>
      <c r="H1245" s="10">
        <v>4</v>
      </c>
      <c r="I1245" s="10">
        <v>5</v>
      </c>
      <c r="J1245" s="10">
        <f>SUM(B1245:I1245)</f>
        <v>51.963</v>
      </c>
      <c r="K1245">
        <v>2017</v>
      </c>
      <c r="L1245">
        <v>5</v>
      </c>
      <c r="M1245" s="11">
        <v>42856</v>
      </c>
      <c r="N1245" t="s">
        <v>2177</v>
      </c>
      <c r="O1245">
        <v>1</v>
      </c>
      <c r="P1245" t="s">
        <v>61</v>
      </c>
      <c r="Q1245" t="b">
        <v>1</v>
      </c>
    </row>
    <row r="1246" spans="1:17">
      <c r="A1246" s="12">
        <v>42885</v>
      </c>
      <c r="B1246" s="10">
        <v>8</v>
      </c>
      <c r="C1246" s="10">
        <v>3.396</v>
      </c>
      <c r="D1246" s="10">
        <v>4.3</v>
      </c>
      <c r="E1246" s="10">
        <v>25</v>
      </c>
      <c r="F1246" s="10">
        <v>3</v>
      </c>
      <c r="G1246" s="10">
        <v>0</v>
      </c>
      <c r="H1246" s="10">
        <v>5</v>
      </c>
      <c r="I1246" s="10">
        <v>5</v>
      </c>
      <c r="J1246" s="10">
        <f>SUM(B1246:I1246)</f>
        <v>53.696</v>
      </c>
      <c r="K1246">
        <v>2017</v>
      </c>
      <c r="L1246">
        <v>5</v>
      </c>
      <c r="M1246" s="11">
        <v>42856</v>
      </c>
      <c r="N1246" t="s">
        <v>2177</v>
      </c>
      <c r="O1246">
        <v>2</v>
      </c>
      <c r="P1246" t="s">
        <v>63</v>
      </c>
      <c r="Q1246" t="b">
        <v>1</v>
      </c>
    </row>
    <row r="1247" spans="1:17">
      <c r="A1247" s="12">
        <v>42886</v>
      </c>
      <c r="B1247" s="10">
        <v>4</v>
      </c>
      <c r="C1247" s="10">
        <v>2.429</v>
      </c>
      <c r="D1247" s="10">
        <v>7</v>
      </c>
      <c r="E1247" s="10">
        <v>12.2</v>
      </c>
      <c r="F1247" s="10">
        <v>6</v>
      </c>
      <c r="G1247" s="10">
        <v>4</v>
      </c>
      <c r="H1247" s="10">
        <v>1</v>
      </c>
      <c r="I1247" s="10">
        <v>5</v>
      </c>
      <c r="J1247" s="10">
        <f>SUM(B1247:I1247)</f>
        <v>41.629</v>
      </c>
      <c r="K1247">
        <v>2017</v>
      </c>
      <c r="L1247">
        <v>5</v>
      </c>
      <c r="M1247" s="11">
        <v>42856</v>
      </c>
      <c r="N1247" t="s">
        <v>2177</v>
      </c>
      <c r="O1247">
        <v>3</v>
      </c>
      <c r="P1247" t="s">
        <v>65</v>
      </c>
      <c r="Q1247" t="b">
        <v>1</v>
      </c>
    </row>
    <row r="1248" spans="1:17">
      <c r="A1248" s="12">
        <v>42887</v>
      </c>
      <c r="B1248" s="10">
        <v>1.34</v>
      </c>
      <c r="C1248" s="10">
        <v>3.67</v>
      </c>
      <c r="D1248" s="10">
        <v>2</v>
      </c>
      <c r="E1248" s="10">
        <v>21.4</v>
      </c>
      <c r="F1248" s="10">
        <v>10</v>
      </c>
      <c r="G1248" s="10">
        <v>0</v>
      </c>
      <c r="H1248" s="10">
        <v>2</v>
      </c>
      <c r="I1248" s="10">
        <v>2</v>
      </c>
      <c r="J1248" s="10">
        <f>SUM(B1248:I1248)</f>
        <v>42.41</v>
      </c>
      <c r="K1248">
        <v>2017</v>
      </c>
      <c r="L1248">
        <v>6</v>
      </c>
      <c r="M1248" s="11">
        <v>42887</v>
      </c>
      <c r="N1248" t="s">
        <v>2178</v>
      </c>
      <c r="O1248">
        <v>4</v>
      </c>
      <c r="P1248" t="s">
        <v>53</v>
      </c>
      <c r="Q1248" t="b">
        <v>1</v>
      </c>
    </row>
    <row r="1249" spans="1:17">
      <c r="A1249" s="12">
        <v>42888</v>
      </c>
      <c r="B1249" s="10">
        <v>2.33</v>
      </c>
      <c r="C1249" s="10">
        <v>4</v>
      </c>
      <c r="D1249" s="10">
        <v>4</v>
      </c>
      <c r="E1249" s="10">
        <v>17.4</v>
      </c>
      <c r="F1249" s="10">
        <v>9</v>
      </c>
      <c r="G1249" s="10">
        <v>1</v>
      </c>
      <c r="H1249" s="10">
        <v>5</v>
      </c>
      <c r="I1249" s="10">
        <v>3</v>
      </c>
      <c r="J1249" s="10">
        <f>SUM(B1249:I1249)</f>
        <v>45.73</v>
      </c>
      <c r="K1249">
        <v>2017</v>
      </c>
      <c r="L1249">
        <v>6</v>
      </c>
      <c r="M1249" s="11">
        <v>42887</v>
      </c>
      <c r="N1249" t="s">
        <v>2178</v>
      </c>
      <c r="O1249">
        <v>5</v>
      </c>
      <c r="P1249" t="s">
        <v>55</v>
      </c>
      <c r="Q1249" t="b">
        <v>1</v>
      </c>
    </row>
    <row r="1250" spans="1:17">
      <c r="A1250" s="12">
        <v>42889</v>
      </c>
      <c r="B1250" s="10">
        <v>5</v>
      </c>
      <c r="C1250" s="10">
        <v>1.726</v>
      </c>
      <c r="D1250" s="10">
        <v>3</v>
      </c>
      <c r="E1250" s="10">
        <v>10</v>
      </c>
      <c r="F1250" s="10">
        <v>3</v>
      </c>
      <c r="G1250" s="10">
        <v>1</v>
      </c>
      <c r="H1250" s="10">
        <v>22</v>
      </c>
      <c r="I1250" s="10">
        <v>2</v>
      </c>
      <c r="J1250" s="10">
        <f>SUM(B1250:I1250)</f>
        <v>47.726</v>
      </c>
      <c r="K1250">
        <v>2017</v>
      </c>
      <c r="L1250">
        <v>6</v>
      </c>
      <c r="M1250" s="11">
        <v>42887</v>
      </c>
      <c r="N1250" t="s">
        <v>2178</v>
      </c>
      <c r="O1250">
        <v>6</v>
      </c>
      <c r="P1250" t="s">
        <v>57</v>
      </c>
      <c r="Q1250" t="b">
        <v>1</v>
      </c>
    </row>
    <row r="1251" spans="1:17">
      <c r="A1251" s="12">
        <v>42890</v>
      </c>
      <c r="B1251" s="10">
        <v>7</v>
      </c>
      <c r="C1251" s="10">
        <v>1.747</v>
      </c>
      <c r="D1251" s="10">
        <v>2.25</v>
      </c>
      <c r="E1251" s="10">
        <v>23.4</v>
      </c>
      <c r="F1251" s="10">
        <v>3</v>
      </c>
      <c r="G1251" s="10">
        <v>1</v>
      </c>
      <c r="H1251" s="10">
        <v>5</v>
      </c>
      <c r="I1251" s="10">
        <v>4</v>
      </c>
      <c r="J1251" s="10">
        <f>SUM(B1251:I1251)</f>
        <v>47.397</v>
      </c>
      <c r="K1251">
        <v>2017</v>
      </c>
      <c r="L1251">
        <v>6</v>
      </c>
      <c r="M1251" s="11">
        <v>42887</v>
      </c>
      <c r="N1251" t="s">
        <v>2178</v>
      </c>
      <c r="O1251">
        <v>7</v>
      </c>
      <c r="P1251" t="s">
        <v>59</v>
      </c>
      <c r="Q1251" t="b">
        <v>1</v>
      </c>
    </row>
    <row r="1252" spans="1:17">
      <c r="A1252" s="12">
        <v>42891</v>
      </c>
      <c r="B1252" s="10">
        <v>3.33</v>
      </c>
      <c r="C1252" s="10">
        <v>5.99</v>
      </c>
      <c r="D1252" s="10">
        <v>4.5</v>
      </c>
      <c r="E1252" s="10">
        <v>9.699999999999999</v>
      </c>
      <c r="F1252" s="10">
        <v>5</v>
      </c>
      <c r="G1252" s="10">
        <v>0</v>
      </c>
      <c r="H1252" s="10">
        <v>0</v>
      </c>
      <c r="I1252" s="10">
        <v>8</v>
      </c>
      <c r="J1252" s="10">
        <f>SUM(B1252:I1252)</f>
        <v>36.519999999999996</v>
      </c>
      <c r="K1252">
        <v>2017</v>
      </c>
      <c r="L1252">
        <v>6</v>
      </c>
      <c r="M1252" s="11">
        <v>42887</v>
      </c>
      <c r="N1252" t="s">
        <v>2178</v>
      </c>
      <c r="O1252">
        <v>1</v>
      </c>
      <c r="P1252" t="s">
        <v>61</v>
      </c>
      <c r="Q1252" t="b">
        <v>1</v>
      </c>
    </row>
    <row r="1253" spans="1:17">
      <c r="A1253" s="12">
        <v>42892</v>
      </c>
      <c r="B1253" s="10">
        <v>1</v>
      </c>
      <c r="C1253" s="10">
        <v>3</v>
      </c>
      <c r="D1253" s="10">
        <v>0</v>
      </c>
      <c r="E1253" s="10">
        <v>18</v>
      </c>
      <c r="F1253" s="10">
        <v>3</v>
      </c>
      <c r="G1253" s="10">
        <v>0</v>
      </c>
      <c r="H1253" s="10">
        <v>6</v>
      </c>
      <c r="I1253" s="10">
        <v>7.5</v>
      </c>
      <c r="J1253" s="10">
        <f>SUM(B1253:I1253)</f>
        <v>38.5</v>
      </c>
      <c r="K1253">
        <v>2017</v>
      </c>
      <c r="L1253">
        <v>6</v>
      </c>
      <c r="M1253" s="11">
        <v>42887</v>
      </c>
      <c r="N1253" t="s">
        <v>2178</v>
      </c>
      <c r="O1253">
        <v>2</v>
      </c>
      <c r="P1253" t="s">
        <v>63</v>
      </c>
      <c r="Q1253" t="b">
        <v>1</v>
      </c>
    </row>
    <row r="1254" spans="1:17">
      <c r="A1254" s="12">
        <v>42893</v>
      </c>
      <c r="B1254" s="10">
        <v>5.33</v>
      </c>
      <c r="C1254" s="10">
        <v>4.693</v>
      </c>
      <c r="D1254" s="10">
        <v>4</v>
      </c>
      <c r="E1254" s="10">
        <v>21</v>
      </c>
      <c r="F1254" s="10">
        <v>13</v>
      </c>
      <c r="G1254" s="10">
        <v>0</v>
      </c>
      <c r="H1254" s="10">
        <v>20</v>
      </c>
      <c r="I1254" s="10">
        <v>7</v>
      </c>
      <c r="J1254" s="10">
        <f>SUM(B1254:I1254)</f>
        <v>75.023</v>
      </c>
      <c r="K1254">
        <v>2017</v>
      </c>
      <c r="L1254">
        <v>6</v>
      </c>
      <c r="M1254" s="11">
        <v>42887</v>
      </c>
      <c r="N1254" t="s">
        <v>2178</v>
      </c>
      <c r="O1254">
        <v>3</v>
      </c>
      <c r="P1254" t="s">
        <v>65</v>
      </c>
      <c r="Q1254" t="b">
        <v>1</v>
      </c>
    </row>
    <row r="1255" spans="1:17">
      <c r="A1255" s="12">
        <v>42894</v>
      </c>
      <c r="B1255" s="10">
        <v>5</v>
      </c>
      <c r="C1255" s="10">
        <v>1.823</v>
      </c>
      <c r="D1255" s="10">
        <v>3.15</v>
      </c>
      <c r="E1255" s="10">
        <v>21</v>
      </c>
      <c r="F1255" s="10">
        <v>4</v>
      </c>
      <c r="G1255" s="10">
        <v>0</v>
      </c>
      <c r="H1255" s="10">
        <v>2</v>
      </c>
      <c r="I1255" s="10">
        <v>4.2</v>
      </c>
      <c r="J1255" s="10">
        <f>SUM(B1255:I1255)</f>
        <v>41.173</v>
      </c>
      <c r="K1255">
        <v>2017</v>
      </c>
      <c r="L1255">
        <v>6</v>
      </c>
      <c r="M1255" s="11">
        <v>42887</v>
      </c>
      <c r="N1255" t="s">
        <v>2178</v>
      </c>
      <c r="O1255">
        <v>4</v>
      </c>
      <c r="P1255" t="s">
        <v>53</v>
      </c>
      <c r="Q1255" t="b">
        <v>1</v>
      </c>
    </row>
    <row r="1256" spans="1:17">
      <c r="A1256" s="12">
        <v>42895</v>
      </c>
      <c r="B1256" s="10">
        <v>1.33</v>
      </c>
      <c r="C1256" s="10">
        <v>4.09</v>
      </c>
      <c r="D1256" s="10">
        <v>3.1</v>
      </c>
      <c r="E1256" s="10">
        <v>10</v>
      </c>
      <c r="F1256" s="10">
        <v>2</v>
      </c>
      <c r="G1256" s="10">
        <v>0</v>
      </c>
      <c r="H1256" s="10">
        <v>0</v>
      </c>
      <c r="I1256" s="10">
        <v>6</v>
      </c>
      <c r="J1256" s="10">
        <f>SUM(B1256:I1256)</f>
        <v>26.52</v>
      </c>
      <c r="K1256">
        <v>2017</v>
      </c>
      <c r="L1256">
        <v>6</v>
      </c>
      <c r="M1256" s="11">
        <v>42887</v>
      </c>
      <c r="N1256" t="s">
        <v>2178</v>
      </c>
      <c r="O1256">
        <v>5</v>
      </c>
      <c r="P1256" t="s">
        <v>55</v>
      </c>
      <c r="Q1256" t="b">
        <v>1</v>
      </c>
    </row>
    <row r="1257" spans="1:17">
      <c r="A1257" s="12">
        <v>42896</v>
      </c>
      <c r="B1257" s="10">
        <v>9</v>
      </c>
      <c r="C1257" s="10">
        <v>7.01</v>
      </c>
      <c r="D1257" s="10">
        <v>4</v>
      </c>
      <c r="E1257" s="10">
        <v>15</v>
      </c>
      <c r="F1257" s="10">
        <v>2</v>
      </c>
      <c r="G1257" s="10">
        <v>0</v>
      </c>
      <c r="H1257" s="10">
        <v>7</v>
      </c>
      <c r="I1257" s="10">
        <v>3</v>
      </c>
      <c r="J1257" s="10">
        <f>SUM(B1257:I1257)</f>
        <v>47.01</v>
      </c>
      <c r="K1257">
        <v>2017</v>
      </c>
      <c r="L1257">
        <v>6</v>
      </c>
      <c r="M1257" s="11">
        <v>42887</v>
      </c>
      <c r="N1257" t="s">
        <v>2178</v>
      </c>
      <c r="O1257">
        <v>6</v>
      </c>
      <c r="P1257" t="s">
        <v>57</v>
      </c>
      <c r="Q1257" t="b">
        <v>1</v>
      </c>
    </row>
    <row r="1258" spans="1:17">
      <c r="A1258" s="12">
        <v>42897</v>
      </c>
      <c r="B1258" s="10">
        <v>5.5</v>
      </c>
      <c r="C1258" s="10">
        <v>3.99</v>
      </c>
      <c r="D1258" s="10">
        <v>8.5</v>
      </c>
      <c r="E1258" s="10">
        <v>28.25</v>
      </c>
      <c r="F1258" s="10">
        <v>8</v>
      </c>
      <c r="G1258" s="10">
        <v>0</v>
      </c>
      <c r="H1258" s="10">
        <v>2</v>
      </c>
      <c r="I1258" s="10">
        <v>3</v>
      </c>
      <c r="J1258" s="10">
        <f>SUM(B1258:I1258)</f>
        <v>59.24</v>
      </c>
      <c r="K1258">
        <v>2017</v>
      </c>
      <c r="L1258">
        <v>6</v>
      </c>
      <c r="M1258" s="11">
        <v>42887</v>
      </c>
      <c r="N1258" t="s">
        <v>2178</v>
      </c>
      <c r="O1258">
        <v>7</v>
      </c>
      <c r="P1258" t="s">
        <v>59</v>
      </c>
      <c r="Q1258" t="b">
        <v>1</v>
      </c>
    </row>
    <row r="1259" spans="1:17">
      <c r="A1259" s="12">
        <v>42898</v>
      </c>
      <c r="B1259" s="10">
        <v>4.34</v>
      </c>
      <c r="C1259" s="10">
        <v>3.34</v>
      </c>
      <c r="D1259" s="10">
        <v>1</v>
      </c>
      <c r="E1259" s="10">
        <v>13.6</v>
      </c>
      <c r="F1259" s="10">
        <v>3</v>
      </c>
      <c r="G1259" s="10">
        <v>0</v>
      </c>
      <c r="H1259" s="10">
        <v>13</v>
      </c>
      <c r="I1259" s="10">
        <v>12</v>
      </c>
      <c r="J1259" s="10">
        <f>SUM(B1259:I1259)</f>
        <v>50.28</v>
      </c>
      <c r="K1259">
        <v>2017</v>
      </c>
      <c r="L1259">
        <v>6</v>
      </c>
      <c r="M1259" s="11">
        <v>42887</v>
      </c>
      <c r="N1259" t="s">
        <v>2178</v>
      </c>
      <c r="O1259">
        <v>1</v>
      </c>
      <c r="P1259" t="s">
        <v>61</v>
      </c>
      <c r="Q1259" t="b">
        <v>1</v>
      </c>
    </row>
    <row r="1260" spans="1:17">
      <c r="A1260" s="12">
        <v>42899</v>
      </c>
      <c r="B1260" s="10">
        <v>2.99</v>
      </c>
      <c r="C1260" s="10">
        <v>3.023</v>
      </c>
      <c r="D1260" s="10">
        <v>3</v>
      </c>
      <c r="E1260" s="10">
        <v>8</v>
      </c>
      <c r="F1260" s="10">
        <v>9</v>
      </c>
      <c r="G1260" s="10">
        <v>0</v>
      </c>
      <c r="H1260" s="10">
        <v>0</v>
      </c>
      <c r="I1260" s="10">
        <v>9.1</v>
      </c>
      <c r="J1260" s="10">
        <f>SUM(B1260:I1260)</f>
        <v>35.113</v>
      </c>
      <c r="K1260">
        <v>2017</v>
      </c>
      <c r="L1260">
        <v>6</v>
      </c>
      <c r="M1260" s="11">
        <v>42887</v>
      </c>
      <c r="N1260" t="s">
        <v>2178</v>
      </c>
      <c r="O1260">
        <v>2</v>
      </c>
      <c r="P1260" t="s">
        <v>63</v>
      </c>
      <c r="Q1260" t="b">
        <v>1</v>
      </c>
    </row>
    <row r="1261" spans="1:17">
      <c r="A1261" s="12">
        <v>42900</v>
      </c>
      <c r="B1261" s="10">
        <v>1.33</v>
      </c>
      <c r="C1261" s="10">
        <v>1.33</v>
      </c>
      <c r="D1261" s="10">
        <v>1</v>
      </c>
      <c r="E1261" s="10">
        <v>9</v>
      </c>
      <c r="F1261" s="10">
        <v>6</v>
      </c>
      <c r="G1261" s="10">
        <v>3</v>
      </c>
      <c r="H1261" s="10">
        <v>5</v>
      </c>
      <c r="I1261" s="10">
        <v>3</v>
      </c>
      <c r="J1261" s="10">
        <f>SUM(B1261:I1261)</f>
        <v>29.66</v>
      </c>
      <c r="K1261">
        <v>2017</v>
      </c>
      <c r="L1261">
        <v>6</v>
      </c>
      <c r="M1261" s="11">
        <v>42887</v>
      </c>
      <c r="N1261" t="s">
        <v>2178</v>
      </c>
      <c r="O1261">
        <v>3</v>
      </c>
      <c r="P1261" t="s">
        <v>65</v>
      </c>
      <c r="Q1261" t="b">
        <v>1</v>
      </c>
    </row>
    <row r="1262" spans="1:17">
      <c r="A1262" s="12">
        <v>42901</v>
      </c>
      <c r="B1262" s="10">
        <v>3</v>
      </c>
      <c r="C1262" s="10">
        <v>4.33</v>
      </c>
      <c r="D1262" s="10">
        <v>3.15</v>
      </c>
      <c r="E1262" s="10">
        <v>15</v>
      </c>
      <c r="F1262" s="10">
        <v>10</v>
      </c>
      <c r="G1262" s="10">
        <v>0</v>
      </c>
      <c r="H1262" s="10">
        <v>5</v>
      </c>
      <c r="I1262" s="10">
        <v>6.5</v>
      </c>
      <c r="J1262" s="10">
        <f>SUM(B1262:I1262)</f>
        <v>46.980000000000004</v>
      </c>
      <c r="K1262">
        <v>2017</v>
      </c>
      <c r="L1262">
        <v>6</v>
      </c>
      <c r="M1262" s="11">
        <v>42887</v>
      </c>
      <c r="N1262" t="s">
        <v>2178</v>
      </c>
      <c r="O1262">
        <v>4</v>
      </c>
      <c r="P1262" t="s">
        <v>53</v>
      </c>
      <c r="Q1262" t="b">
        <v>1</v>
      </c>
    </row>
    <row r="1263" spans="1:17">
      <c r="A1263" s="12">
        <v>42902</v>
      </c>
      <c r="B1263" s="10">
        <v>4</v>
      </c>
      <c r="C1263" s="10">
        <v>2.01</v>
      </c>
      <c r="D1263" s="10">
        <v>0</v>
      </c>
      <c r="E1263" s="10">
        <v>12.25</v>
      </c>
      <c r="F1263" s="10">
        <v>6</v>
      </c>
      <c r="G1263" s="10">
        <v>0</v>
      </c>
      <c r="H1263" s="10">
        <v>0</v>
      </c>
      <c r="I1263" s="10">
        <v>5.44</v>
      </c>
      <c r="J1263" s="10">
        <f>SUM(B1263:I1263)</f>
        <v>29.7</v>
      </c>
      <c r="K1263">
        <v>2017</v>
      </c>
      <c r="L1263">
        <v>6</v>
      </c>
      <c r="M1263" s="11">
        <v>42887</v>
      </c>
      <c r="N1263" t="s">
        <v>2178</v>
      </c>
      <c r="O1263">
        <v>5</v>
      </c>
      <c r="P1263" t="s">
        <v>55</v>
      </c>
      <c r="Q1263" t="b">
        <v>1</v>
      </c>
    </row>
    <row r="1264" spans="1:17">
      <c r="A1264" s="12">
        <v>42903</v>
      </c>
      <c r="B1264" s="10">
        <v>2</v>
      </c>
      <c r="C1264" s="10">
        <v>8.726000000000001</v>
      </c>
      <c r="D1264" s="10">
        <v>5</v>
      </c>
      <c r="E1264" s="10">
        <v>12</v>
      </c>
      <c r="F1264" s="10">
        <v>4</v>
      </c>
      <c r="G1264" s="10">
        <v>0</v>
      </c>
      <c r="H1264" s="10">
        <v>5</v>
      </c>
      <c r="I1264" s="10">
        <v>5</v>
      </c>
      <c r="J1264" s="10">
        <f>SUM(B1264:I1264)</f>
        <v>41.726</v>
      </c>
      <c r="K1264">
        <v>2017</v>
      </c>
      <c r="L1264">
        <v>6</v>
      </c>
      <c r="M1264" s="11">
        <v>42887</v>
      </c>
      <c r="N1264" t="s">
        <v>2178</v>
      </c>
      <c r="O1264">
        <v>6</v>
      </c>
      <c r="P1264" t="s">
        <v>57</v>
      </c>
      <c r="Q1264" t="b">
        <v>1</v>
      </c>
    </row>
    <row r="1265" spans="1:17">
      <c r="A1265" s="12">
        <v>42904</v>
      </c>
      <c r="B1265" s="10">
        <v>4</v>
      </c>
      <c r="C1265" s="10">
        <v>7.34</v>
      </c>
      <c r="D1265" s="10">
        <v>1.1</v>
      </c>
      <c r="E1265" s="10">
        <v>26.6</v>
      </c>
      <c r="F1265" s="10">
        <v>2</v>
      </c>
      <c r="G1265" s="10">
        <v>0</v>
      </c>
      <c r="H1265" s="10">
        <v>12</v>
      </c>
      <c r="I1265" s="10">
        <v>3.33</v>
      </c>
      <c r="J1265" s="10">
        <f>SUM(B1265:I1265)</f>
        <v>56.37</v>
      </c>
      <c r="K1265">
        <v>2017</v>
      </c>
      <c r="L1265">
        <v>6</v>
      </c>
      <c r="M1265" s="11">
        <v>42887</v>
      </c>
      <c r="N1265" t="s">
        <v>2178</v>
      </c>
      <c r="O1265">
        <v>7</v>
      </c>
      <c r="P1265" t="s">
        <v>59</v>
      </c>
      <c r="Q1265" t="b">
        <v>1</v>
      </c>
    </row>
    <row r="1266" spans="1:17">
      <c r="A1266" s="12">
        <v>42905</v>
      </c>
      <c r="B1266" s="10">
        <v>1.33</v>
      </c>
      <c r="C1266" s="10">
        <v>1.98</v>
      </c>
      <c r="D1266" s="10">
        <v>1</v>
      </c>
      <c r="E1266" s="10">
        <v>18</v>
      </c>
      <c r="F1266" s="10">
        <v>1</v>
      </c>
      <c r="G1266" s="10">
        <v>1</v>
      </c>
      <c r="H1266" s="10">
        <v>8</v>
      </c>
      <c r="I1266" s="10">
        <v>3</v>
      </c>
      <c r="J1266" s="10">
        <f>SUM(B1266:I1266)</f>
        <v>35.31</v>
      </c>
      <c r="K1266">
        <v>2017</v>
      </c>
      <c r="L1266">
        <v>6</v>
      </c>
      <c r="M1266" s="11">
        <v>42887</v>
      </c>
      <c r="N1266" t="s">
        <v>2178</v>
      </c>
      <c r="O1266">
        <v>1</v>
      </c>
      <c r="P1266" t="s">
        <v>61</v>
      </c>
      <c r="Q1266" t="b">
        <v>1</v>
      </c>
    </row>
    <row r="1267" spans="1:17">
      <c r="A1267" s="12">
        <v>42906</v>
      </c>
      <c r="B1267" s="10">
        <v>9.33</v>
      </c>
      <c r="C1267" s="10">
        <v>1</v>
      </c>
      <c r="D1267" s="10">
        <v>5.1</v>
      </c>
      <c r="E1267" s="10">
        <v>12</v>
      </c>
      <c r="F1267" s="10">
        <v>5</v>
      </c>
      <c r="G1267" s="10">
        <v>0</v>
      </c>
      <c r="H1267" s="10">
        <v>5</v>
      </c>
      <c r="I1267" s="10">
        <v>8.630000000000001</v>
      </c>
      <c r="J1267" s="10">
        <f>SUM(B1267:I1267)</f>
        <v>46.06</v>
      </c>
      <c r="K1267">
        <v>2017</v>
      </c>
      <c r="L1267">
        <v>6</v>
      </c>
      <c r="M1267" s="11">
        <v>42887</v>
      </c>
      <c r="N1267" t="s">
        <v>2178</v>
      </c>
      <c r="O1267">
        <v>2</v>
      </c>
      <c r="P1267" t="s">
        <v>63</v>
      </c>
      <c r="Q1267" t="b">
        <v>1</v>
      </c>
    </row>
    <row r="1268" spans="1:17">
      <c r="A1268" s="12">
        <v>42907</v>
      </c>
      <c r="B1268" s="10">
        <v>4</v>
      </c>
      <c r="C1268" s="10">
        <v>1.33</v>
      </c>
      <c r="D1268" s="10">
        <v>2</v>
      </c>
      <c r="E1268" s="10">
        <v>21</v>
      </c>
      <c r="F1268" s="10">
        <v>4</v>
      </c>
      <c r="G1268" s="10">
        <v>0</v>
      </c>
      <c r="H1268" s="10">
        <v>2</v>
      </c>
      <c r="I1268" s="10">
        <v>5.4</v>
      </c>
      <c r="J1268" s="10">
        <f>SUM(B1268:I1268)</f>
        <v>39.73</v>
      </c>
      <c r="K1268">
        <v>2017</v>
      </c>
      <c r="L1268">
        <v>6</v>
      </c>
      <c r="M1268" s="11">
        <v>42887</v>
      </c>
      <c r="N1268" t="s">
        <v>2178</v>
      </c>
      <c r="O1268">
        <v>3</v>
      </c>
      <c r="P1268" t="s">
        <v>65</v>
      </c>
      <c r="Q1268" t="b">
        <v>1</v>
      </c>
    </row>
    <row r="1269" spans="1:17">
      <c r="A1269" s="12">
        <v>42908</v>
      </c>
      <c r="B1269" s="10">
        <v>1</v>
      </c>
      <c r="C1269" s="10">
        <v>3.34</v>
      </c>
      <c r="D1269" s="10">
        <v>0</v>
      </c>
      <c r="E1269" s="10">
        <v>7</v>
      </c>
      <c r="F1269" s="10">
        <v>4</v>
      </c>
      <c r="G1269" s="10">
        <v>0</v>
      </c>
      <c r="H1269" s="10">
        <v>8</v>
      </c>
      <c r="I1269" s="10">
        <v>11</v>
      </c>
      <c r="J1269" s="10">
        <f>SUM(B1269:I1269)</f>
        <v>34.34</v>
      </c>
      <c r="K1269">
        <v>2017</v>
      </c>
      <c r="L1269">
        <v>6</v>
      </c>
      <c r="M1269" s="11">
        <v>42887</v>
      </c>
      <c r="N1269" t="s">
        <v>2178</v>
      </c>
      <c r="O1269">
        <v>4</v>
      </c>
      <c r="P1269" t="s">
        <v>53</v>
      </c>
      <c r="Q1269" t="b">
        <v>1</v>
      </c>
    </row>
    <row r="1270" spans="1:17">
      <c r="A1270" s="12">
        <v>42909</v>
      </c>
      <c r="B1270" s="10">
        <v>1</v>
      </c>
      <c r="C1270" s="10">
        <v>1.34</v>
      </c>
      <c r="D1270" s="10">
        <v>2</v>
      </c>
      <c r="E1270" s="10">
        <v>16</v>
      </c>
      <c r="F1270" s="10">
        <v>5</v>
      </c>
      <c r="G1270" s="10">
        <v>0</v>
      </c>
      <c r="H1270" s="10">
        <v>0</v>
      </c>
      <c r="I1270" s="10">
        <v>1.2</v>
      </c>
      <c r="J1270" s="10">
        <f>SUM(B1270:I1270)</f>
        <v>26.54</v>
      </c>
      <c r="K1270">
        <v>2017</v>
      </c>
      <c r="L1270">
        <v>6</v>
      </c>
      <c r="M1270" s="11">
        <v>42887</v>
      </c>
      <c r="N1270" t="s">
        <v>2178</v>
      </c>
      <c r="O1270">
        <v>5</v>
      </c>
      <c r="P1270" t="s">
        <v>55</v>
      </c>
      <c r="Q1270" t="b">
        <v>1</v>
      </c>
    </row>
    <row r="1271" spans="1:17">
      <c r="A1271" s="12">
        <v>42910</v>
      </c>
      <c r="B1271" s="10">
        <v>5</v>
      </c>
      <c r="C1271" s="10">
        <v>3.65</v>
      </c>
      <c r="D1271" s="10">
        <v>6</v>
      </c>
      <c r="E1271" s="10">
        <v>32</v>
      </c>
      <c r="F1271" s="10">
        <v>8</v>
      </c>
      <c r="G1271" s="10">
        <v>1</v>
      </c>
      <c r="H1271" s="10">
        <v>0</v>
      </c>
      <c r="I1271" s="10">
        <v>1</v>
      </c>
      <c r="J1271" s="10">
        <f>SUM(B1271:I1271)</f>
        <v>56.65</v>
      </c>
      <c r="K1271">
        <v>2017</v>
      </c>
      <c r="L1271">
        <v>6</v>
      </c>
      <c r="M1271" s="11">
        <v>42887</v>
      </c>
      <c r="N1271" t="s">
        <v>2178</v>
      </c>
      <c r="O1271">
        <v>6</v>
      </c>
      <c r="P1271" t="s">
        <v>57</v>
      </c>
      <c r="Q1271" t="b">
        <v>1</v>
      </c>
    </row>
    <row r="1272" spans="1:17">
      <c r="A1272" s="12">
        <v>42911</v>
      </c>
      <c r="B1272" s="10">
        <v>6.5</v>
      </c>
      <c r="C1272" s="10">
        <v>2.34</v>
      </c>
      <c r="D1272" s="10">
        <v>6</v>
      </c>
      <c r="E1272" s="10">
        <v>22</v>
      </c>
      <c r="F1272" s="10">
        <v>4</v>
      </c>
      <c r="G1272" s="10">
        <v>0</v>
      </c>
      <c r="H1272" s="10">
        <v>0</v>
      </c>
      <c r="I1272" s="10">
        <v>4.6</v>
      </c>
      <c r="J1272" s="10">
        <f>SUM(B1272:I1272)</f>
        <v>45.440000000000005</v>
      </c>
      <c r="K1272">
        <v>2017</v>
      </c>
      <c r="L1272">
        <v>6</v>
      </c>
      <c r="M1272" s="11">
        <v>42887</v>
      </c>
      <c r="N1272" t="s">
        <v>2178</v>
      </c>
      <c r="O1272">
        <v>7</v>
      </c>
      <c r="P1272" t="s">
        <v>59</v>
      </c>
      <c r="Q1272" t="b">
        <v>1</v>
      </c>
    </row>
    <row r="1273" spans="1:17">
      <c r="A1273" s="12">
        <v>42912</v>
      </c>
      <c r="B1273" s="10">
        <v>7.68</v>
      </c>
      <c r="C1273" s="10">
        <v>3.033</v>
      </c>
      <c r="D1273" s="10">
        <v>6.25</v>
      </c>
      <c r="E1273" s="10">
        <v>10</v>
      </c>
      <c r="F1273" s="10">
        <v>11</v>
      </c>
      <c r="G1273" s="10">
        <v>0</v>
      </c>
      <c r="H1273" s="10">
        <v>0</v>
      </c>
      <c r="I1273" s="10">
        <v>3</v>
      </c>
      <c r="J1273" s="10">
        <f>SUM(B1273:I1273)</f>
        <v>40.963</v>
      </c>
      <c r="K1273">
        <v>2017</v>
      </c>
      <c r="L1273">
        <v>6</v>
      </c>
      <c r="M1273" s="11">
        <v>42887</v>
      </c>
      <c r="N1273" t="s">
        <v>2178</v>
      </c>
      <c r="O1273">
        <v>1</v>
      </c>
      <c r="P1273" t="s">
        <v>61</v>
      </c>
      <c r="Q1273" t="b">
        <v>1</v>
      </c>
    </row>
    <row r="1274" spans="1:17">
      <c r="A1274" s="12">
        <v>42913</v>
      </c>
      <c r="B1274" s="10">
        <v>4</v>
      </c>
      <c r="C1274" s="10">
        <v>3.32</v>
      </c>
      <c r="D1274" s="10">
        <v>6</v>
      </c>
      <c r="E1274" s="10">
        <v>13.5</v>
      </c>
      <c r="F1274" s="10">
        <v>9</v>
      </c>
      <c r="G1274" s="10">
        <v>0</v>
      </c>
      <c r="H1274" s="10">
        <v>3</v>
      </c>
      <c r="I1274" s="10">
        <v>6</v>
      </c>
      <c r="J1274" s="10">
        <f>SUM(B1274:I1274)</f>
        <v>44.82</v>
      </c>
      <c r="K1274">
        <v>2017</v>
      </c>
      <c r="L1274">
        <v>6</v>
      </c>
      <c r="M1274" s="11">
        <v>42887</v>
      </c>
      <c r="N1274" t="s">
        <v>2178</v>
      </c>
      <c r="O1274">
        <v>2</v>
      </c>
      <c r="P1274" t="s">
        <v>63</v>
      </c>
      <c r="Q1274" t="b">
        <v>1</v>
      </c>
    </row>
    <row r="1275" spans="1:17">
      <c r="A1275" s="12">
        <v>42914</v>
      </c>
      <c r="B1275" s="10">
        <v>4</v>
      </c>
      <c r="C1275" s="10">
        <v>4.033</v>
      </c>
      <c r="D1275" s="10">
        <v>4.5</v>
      </c>
      <c r="E1275" s="10">
        <v>18</v>
      </c>
      <c r="F1275" s="10">
        <v>7</v>
      </c>
      <c r="G1275" s="10">
        <v>0</v>
      </c>
      <c r="H1275" s="10">
        <v>5</v>
      </c>
      <c r="I1275" s="10">
        <v>3</v>
      </c>
      <c r="J1275" s="10">
        <f>SUM(B1275:I1275)</f>
        <v>45.533</v>
      </c>
      <c r="K1275">
        <v>2017</v>
      </c>
      <c r="L1275">
        <v>6</v>
      </c>
      <c r="M1275" s="11">
        <v>42887</v>
      </c>
      <c r="N1275" t="s">
        <v>2178</v>
      </c>
      <c r="O1275">
        <v>3</v>
      </c>
      <c r="P1275" t="s">
        <v>65</v>
      </c>
      <c r="Q1275" t="b">
        <v>1</v>
      </c>
    </row>
    <row r="1276" spans="1:17">
      <c r="A1276" s="12">
        <v>42915</v>
      </c>
      <c r="B1276" s="10">
        <v>4</v>
      </c>
      <c r="C1276" s="10">
        <v>3.67</v>
      </c>
      <c r="D1276" s="10">
        <v>6</v>
      </c>
      <c r="E1276" s="10">
        <v>17</v>
      </c>
      <c r="F1276" s="10">
        <v>1</v>
      </c>
      <c r="G1276" s="10">
        <v>0</v>
      </c>
      <c r="H1276" s="10">
        <v>21</v>
      </c>
      <c r="I1276" s="10">
        <v>5</v>
      </c>
      <c r="J1276" s="10">
        <f>SUM(B1276:I1276)</f>
        <v>57.67</v>
      </c>
      <c r="K1276">
        <v>2017</v>
      </c>
      <c r="L1276">
        <v>6</v>
      </c>
      <c r="M1276" s="11">
        <v>42887</v>
      </c>
      <c r="N1276" t="s">
        <v>2178</v>
      </c>
      <c r="O1276">
        <v>4</v>
      </c>
      <c r="P1276" t="s">
        <v>53</v>
      </c>
      <c r="Q1276" t="b">
        <v>1</v>
      </c>
    </row>
    <row r="1277" spans="1:17">
      <c r="A1277" s="12">
        <v>42916</v>
      </c>
      <c r="B1277" s="10">
        <v>6.67</v>
      </c>
      <c r="C1277" s="10">
        <v>2.132</v>
      </c>
      <c r="D1277" s="10">
        <v>2</v>
      </c>
      <c r="E1277" s="10">
        <v>18</v>
      </c>
      <c r="F1277" s="10">
        <v>2</v>
      </c>
      <c r="G1277" s="10">
        <v>0</v>
      </c>
      <c r="H1277" s="10">
        <v>0</v>
      </c>
      <c r="I1277" s="10">
        <v>6</v>
      </c>
      <c r="J1277" s="10">
        <f>SUM(B1277:I1277)</f>
        <v>36.802</v>
      </c>
      <c r="K1277">
        <v>2017</v>
      </c>
      <c r="L1277">
        <v>6</v>
      </c>
      <c r="M1277" s="11">
        <v>42887</v>
      </c>
      <c r="N1277" t="s">
        <v>2178</v>
      </c>
      <c r="O1277">
        <v>5</v>
      </c>
      <c r="P1277" t="s">
        <v>55</v>
      </c>
      <c r="Q1277" t="b">
        <v>1</v>
      </c>
    </row>
    <row r="1278" spans="1:17">
      <c r="A1278" s="12">
        <v>42917</v>
      </c>
      <c r="B1278" s="10">
        <v>3.33</v>
      </c>
      <c r="C1278" s="10">
        <v>2.33</v>
      </c>
      <c r="D1278" s="10">
        <v>1</v>
      </c>
      <c r="E1278" s="10">
        <v>10</v>
      </c>
      <c r="F1278" s="10">
        <v>5</v>
      </c>
      <c r="G1278" s="10">
        <v>0</v>
      </c>
      <c r="H1278" s="10">
        <v>10</v>
      </c>
      <c r="I1278" s="10">
        <v>4</v>
      </c>
      <c r="J1278" s="10">
        <f>SUM(B1278:I1278)</f>
        <v>35.66</v>
      </c>
      <c r="K1278">
        <v>2017</v>
      </c>
      <c r="L1278">
        <v>7</v>
      </c>
      <c r="M1278" s="11">
        <v>42917</v>
      </c>
      <c r="N1278" t="s">
        <v>2179</v>
      </c>
      <c r="O1278">
        <v>6</v>
      </c>
      <c r="P1278" t="s">
        <v>57</v>
      </c>
      <c r="Q1278" t="b">
        <v>1</v>
      </c>
    </row>
    <row r="1279" spans="1:17">
      <c r="A1279" s="12">
        <v>42918</v>
      </c>
      <c r="B1279" s="10">
        <v>5</v>
      </c>
      <c r="C1279" s="10">
        <v>3.68</v>
      </c>
      <c r="D1279" s="10">
        <v>2</v>
      </c>
      <c r="E1279" s="10">
        <v>9</v>
      </c>
      <c r="F1279" s="10">
        <v>6</v>
      </c>
      <c r="G1279" s="10">
        <v>0</v>
      </c>
      <c r="H1279" s="10">
        <v>0</v>
      </c>
      <c r="I1279" s="10">
        <v>4</v>
      </c>
      <c r="J1279" s="10">
        <f>SUM(B1279:I1279)</f>
        <v>29.68</v>
      </c>
      <c r="K1279">
        <v>2017</v>
      </c>
      <c r="L1279">
        <v>7</v>
      </c>
      <c r="M1279" s="11">
        <v>42917</v>
      </c>
      <c r="N1279" t="s">
        <v>2179</v>
      </c>
      <c r="O1279">
        <v>7</v>
      </c>
      <c r="P1279" t="s">
        <v>59</v>
      </c>
      <c r="Q1279" t="b">
        <v>1</v>
      </c>
    </row>
    <row r="1280" spans="1:17">
      <c r="A1280" s="12">
        <v>42919</v>
      </c>
      <c r="B1280" s="10">
        <v>3.67</v>
      </c>
      <c r="C1280" s="10">
        <v>0</v>
      </c>
      <c r="D1280" s="10">
        <v>1.5</v>
      </c>
      <c r="E1280" s="10">
        <v>8</v>
      </c>
      <c r="F1280" s="10">
        <v>11</v>
      </c>
      <c r="G1280" s="10">
        <v>0</v>
      </c>
      <c r="H1280" s="10">
        <v>11</v>
      </c>
      <c r="I1280" s="10">
        <v>0</v>
      </c>
      <c r="J1280" s="10">
        <f>SUM(B1280:I1280)</f>
        <v>35.17</v>
      </c>
      <c r="K1280">
        <v>2017</v>
      </c>
      <c r="L1280">
        <v>7</v>
      </c>
      <c r="M1280" s="11">
        <v>42917</v>
      </c>
      <c r="N1280" t="s">
        <v>2179</v>
      </c>
      <c r="O1280">
        <v>1</v>
      </c>
      <c r="P1280" t="s">
        <v>61</v>
      </c>
      <c r="Q1280" t="b">
        <v>1</v>
      </c>
    </row>
    <row r="1281" spans="1:17">
      <c r="A1281" s="12">
        <v>42920</v>
      </c>
      <c r="B1281" s="10">
        <v>10.67</v>
      </c>
      <c r="C1281" s="10">
        <v>2.34</v>
      </c>
      <c r="D1281" s="10">
        <v>5</v>
      </c>
      <c r="E1281" s="10">
        <v>18</v>
      </c>
      <c r="F1281" s="10">
        <v>7</v>
      </c>
      <c r="G1281" s="10">
        <v>0</v>
      </c>
      <c r="H1281" s="10">
        <v>0</v>
      </c>
      <c r="I1281" s="10">
        <v>6</v>
      </c>
      <c r="J1281" s="10">
        <f>SUM(B1281:I1281)</f>
        <v>49.01</v>
      </c>
      <c r="K1281">
        <v>2017</v>
      </c>
      <c r="L1281">
        <v>7</v>
      </c>
      <c r="M1281" s="11">
        <v>42917</v>
      </c>
      <c r="N1281" t="s">
        <v>2179</v>
      </c>
      <c r="O1281">
        <v>2</v>
      </c>
      <c r="P1281" t="s">
        <v>63</v>
      </c>
      <c r="Q1281" t="b">
        <v>1</v>
      </c>
    </row>
    <row r="1282" spans="1:17">
      <c r="A1282" s="12">
        <v>42921</v>
      </c>
      <c r="B1282" s="10">
        <v>4.5</v>
      </c>
      <c r="C1282" s="10">
        <v>1.66</v>
      </c>
      <c r="D1282" s="10">
        <v>2</v>
      </c>
      <c r="E1282" s="10">
        <v>16</v>
      </c>
      <c r="F1282" s="10">
        <v>20</v>
      </c>
      <c r="G1282" s="10">
        <v>0</v>
      </c>
      <c r="H1282" s="10">
        <v>22</v>
      </c>
      <c r="I1282" s="10">
        <v>6</v>
      </c>
      <c r="J1282" s="10">
        <f>SUM(B1282:I1282)</f>
        <v>72.16</v>
      </c>
      <c r="K1282">
        <v>2017</v>
      </c>
      <c r="L1282">
        <v>7</v>
      </c>
      <c r="M1282" s="11">
        <v>42917</v>
      </c>
      <c r="N1282" t="s">
        <v>2179</v>
      </c>
      <c r="O1282">
        <v>3</v>
      </c>
      <c r="P1282" t="s">
        <v>65</v>
      </c>
      <c r="Q1282" t="b">
        <v>1</v>
      </c>
    </row>
    <row r="1283" spans="1:17">
      <c r="A1283" s="12">
        <v>42922</v>
      </c>
      <c r="B1283" s="10">
        <v>4.33</v>
      </c>
      <c r="C1283" s="10">
        <v>7</v>
      </c>
      <c r="D1283" s="10">
        <v>4</v>
      </c>
      <c r="E1283" s="10">
        <v>20.6</v>
      </c>
      <c r="F1283" s="10">
        <v>3</v>
      </c>
      <c r="G1283" s="10">
        <v>1</v>
      </c>
      <c r="H1283" s="10">
        <v>1</v>
      </c>
      <c r="I1283" s="10">
        <v>1</v>
      </c>
      <c r="J1283" s="10">
        <f>SUM(B1283:I1283)</f>
        <v>41.93</v>
      </c>
      <c r="K1283">
        <v>2017</v>
      </c>
      <c r="L1283">
        <v>7</v>
      </c>
      <c r="M1283" s="11">
        <v>42917</v>
      </c>
      <c r="N1283" t="s">
        <v>2179</v>
      </c>
      <c r="O1283">
        <v>4</v>
      </c>
      <c r="P1283" t="s">
        <v>53</v>
      </c>
      <c r="Q1283" t="b">
        <v>1</v>
      </c>
    </row>
    <row r="1284" spans="1:17">
      <c r="A1284" s="12">
        <v>42923</v>
      </c>
      <c r="B1284" s="10">
        <v>5</v>
      </c>
      <c r="C1284" s="10">
        <v>2</v>
      </c>
      <c r="D1284" s="10">
        <v>4.1</v>
      </c>
      <c r="E1284" s="10">
        <v>17</v>
      </c>
      <c r="F1284" s="10">
        <v>6</v>
      </c>
      <c r="G1284" s="10">
        <v>0</v>
      </c>
      <c r="H1284" s="10">
        <v>1</v>
      </c>
      <c r="I1284" s="10">
        <v>0</v>
      </c>
      <c r="J1284" s="10">
        <f>SUM(B1284:I1284)</f>
        <v>35.1</v>
      </c>
      <c r="K1284">
        <v>2017</v>
      </c>
      <c r="L1284">
        <v>7</v>
      </c>
      <c r="M1284" s="11">
        <v>42917</v>
      </c>
      <c r="N1284" t="s">
        <v>2179</v>
      </c>
      <c r="O1284">
        <v>5</v>
      </c>
      <c r="P1284" t="s">
        <v>55</v>
      </c>
      <c r="Q1284" t="b">
        <v>1</v>
      </c>
    </row>
    <row r="1285" spans="1:17">
      <c r="A1285" s="12">
        <v>42924</v>
      </c>
      <c r="B1285" s="10">
        <v>4.99</v>
      </c>
      <c r="C1285" s="10">
        <v>4.089</v>
      </c>
      <c r="D1285" s="10">
        <v>5</v>
      </c>
      <c r="E1285" s="10">
        <v>16</v>
      </c>
      <c r="F1285" s="10">
        <v>12</v>
      </c>
      <c r="G1285" s="10">
        <v>0</v>
      </c>
      <c r="H1285" s="10">
        <v>1</v>
      </c>
      <c r="I1285" s="10">
        <v>3</v>
      </c>
      <c r="J1285" s="10">
        <f>SUM(B1285:I1285)</f>
        <v>46.079</v>
      </c>
      <c r="K1285">
        <v>2017</v>
      </c>
      <c r="L1285">
        <v>7</v>
      </c>
      <c r="M1285" s="11">
        <v>42917</v>
      </c>
      <c r="N1285" t="s">
        <v>2179</v>
      </c>
      <c r="O1285">
        <v>6</v>
      </c>
      <c r="P1285" t="s">
        <v>57</v>
      </c>
      <c r="Q1285" t="b">
        <v>1</v>
      </c>
    </row>
    <row r="1286" spans="1:17">
      <c r="A1286" s="12">
        <v>42925</v>
      </c>
      <c r="B1286" s="10">
        <v>2.33</v>
      </c>
      <c r="C1286" s="10">
        <v>7.16</v>
      </c>
      <c r="D1286" s="10">
        <v>0.5</v>
      </c>
      <c r="E1286" s="10">
        <v>15</v>
      </c>
      <c r="F1286" s="10">
        <v>4</v>
      </c>
      <c r="G1286" s="10">
        <v>0</v>
      </c>
      <c r="H1286" s="10">
        <v>1</v>
      </c>
      <c r="I1286" s="10">
        <v>4</v>
      </c>
      <c r="J1286" s="10">
        <f>SUM(B1286:I1286)</f>
        <v>33.99</v>
      </c>
      <c r="K1286">
        <v>2017</v>
      </c>
      <c r="L1286">
        <v>7</v>
      </c>
      <c r="M1286" s="11">
        <v>42917</v>
      </c>
      <c r="N1286" t="s">
        <v>2179</v>
      </c>
      <c r="O1286">
        <v>7</v>
      </c>
      <c r="P1286" t="s">
        <v>59</v>
      </c>
      <c r="Q1286" t="b">
        <v>1</v>
      </c>
    </row>
    <row r="1287" spans="1:17">
      <c r="A1287" s="12">
        <v>42926</v>
      </c>
      <c r="B1287" s="10">
        <v>2</v>
      </c>
      <c r="C1287" s="10">
        <v>4.353</v>
      </c>
      <c r="D1287" s="10">
        <v>4</v>
      </c>
      <c r="E1287" s="10">
        <v>12</v>
      </c>
      <c r="F1287" s="10">
        <v>5</v>
      </c>
      <c r="G1287" s="10">
        <v>2</v>
      </c>
      <c r="H1287" s="10">
        <v>7</v>
      </c>
      <c r="I1287" s="10">
        <v>3</v>
      </c>
      <c r="J1287" s="10">
        <f>SUM(B1287:I1287)</f>
        <v>39.353</v>
      </c>
      <c r="K1287">
        <v>2017</v>
      </c>
      <c r="L1287">
        <v>7</v>
      </c>
      <c r="M1287" s="11">
        <v>42917</v>
      </c>
      <c r="N1287" t="s">
        <v>2179</v>
      </c>
      <c r="O1287">
        <v>1</v>
      </c>
      <c r="P1287" t="s">
        <v>61</v>
      </c>
      <c r="Q1287" t="b">
        <v>1</v>
      </c>
    </row>
    <row r="1288" spans="1:17">
      <c r="A1288" s="12">
        <v>42927</v>
      </c>
      <c r="B1288" s="10">
        <v>3.34</v>
      </c>
      <c r="C1288" s="10">
        <v>0.68</v>
      </c>
      <c r="D1288" s="10">
        <v>0</v>
      </c>
      <c r="E1288" s="10">
        <v>18</v>
      </c>
      <c r="F1288" s="10">
        <v>2</v>
      </c>
      <c r="G1288" s="10">
        <v>0</v>
      </c>
      <c r="H1288" s="10">
        <v>7</v>
      </c>
      <c r="I1288" s="10">
        <v>2</v>
      </c>
      <c r="J1288" s="10">
        <f>SUM(B1288:I1288)</f>
        <v>33.019999999999996</v>
      </c>
      <c r="K1288">
        <v>2017</v>
      </c>
      <c r="L1288">
        <v>7</v>
      </c>
      <c r="M1288" s="11">
        <v>42917</v>
      </c>
      <c r="N1288" t="s">
        <v>2179</v>
      </c>
      <c r="O1288">
        <v>2</v>
      </c>
      <c r="P1288" t="s">
        <v>63</v>
      </c>
      <c r="Q1288" t="b">
        <v>1</v>
      </c>
    </row>
    <row r="1289" spans="1:17">
      <c r="A1289" s="12">
        <v>42928</v>
      </c>
      <c r="B1289" s="10">
        <v>2</v>
      </c>
      <c r="C1289" s="10">
        <v>5.34</v>
      </c>
      <c r="D1289" s="10">
        <v>0</v>
      </c>
      <c r="E1289" s="10">
        <v>15.4</v>
      </c>
      <c r="F1289" s="10">
        <v>12</v>
      </c>
      <c r="G1289" s="10">
        <v>0</v>
      </c>
      <c r="H1289" s="10">
        <v>3</v>
      </c>
      <c r="I1289" s="10">
        <v>0</v>
      </c>
      <c r="J1289" s="10">
        <f>SUM(B1289:I1289)</f>
        <v>37.74</v>
      </c>
      <c r="K1289">
        <v>2017</v>
      </c>
      <c r="L1289">
        <v>7</v>
      </c>
      <c r="M1289" s="11">
        <v>42917</v>
      </c>
      <c r="N1289" t="s">
        <v>2179</v>
      </c>
      <c r="O1289">
        <v>3</v>
      </c>
      <c r="P1289" t="s">
        <v>65</v>
      </c>
      <c r="Q1289" t="b">
        <v>1</v>
      </c>
    </row>
    <row r="1290" spans="1:17">
      <c r="A1290" s="12">
        <v>42929</v>
      </c>
      <c r="B1290" s="10">
        <v>3.33</v>
      </c>
      <c r="C1290" s="10">
        <v>3.34</v>
      </c>
      <c r="D1290" s="10">
        <v>2.15</v>
      </c>
      <c r="E1290" s="10">
        <v>9.6</v>
      </c>
      <c r="F1290" s="10">
        <v>5</v>
      </c>
      <c r="G1290" s="10">
        <v>3</v>
      </c>
      <c r="H1290" s="10">
        <v>3</v>
      </c>
      <c r="I1290" s="10">
        <v>2</v>
      </c>
      <c r="J1290" s="10">
        <f>SUM(B1290:I1290)</f>
        <v>31.42</v>
      </c>
      <c r="K1290">
        <v>2017</v>
      </c>
      <c r="L1290">
        <v>7</v>
      </c>
      <c r="M1290" s="11">
        <v>42917</v>
      </c>
      <c r="N1290" t="s">
        <v>2179</v>
      </c>
      <c r="O1290">
        <v>4</v>
      </c>
      <c r="P1290" t="s">
        <v>53</v>
      </c>
      <c r="Q1290" t="b">
        <v>1</v>
      </c>
    </row>
    <row r="1291" spans="1:17">
      <c r="A1291" s="12">
        <v>42930</v>
      </c>
      <c r="B1291" s="10">
        <v>2.33</v>
      </c>
      <c r="C1291" s="10">
        <v>3.759</v>
      </c>
      <c r="D1291" s="10">
        <v>2</v>
      </c>
      <c r="E1291" s="10">
        <v>16</v>
      </c>
      <c r="F1291" s="10">
        <v>8</v>
      </c>
      <c r="G1291" s="10">
        <v>0</v>
      </c>
      <c r="H1291" s="10">
        <v>5</v>
      </c>
      <c r="I1291" s="10">
        <v>3</v>
      </c>
      <c r="J1291" s="10">
        <f>SUM(B1291:I1291)</f>
        <v>40.089</v>
      </c>
      <c r="K1291">
        <v>2017</v>
      </c>
      <c r="L1291">
        <v>7</v>
      </c>
      <c r="M1291" s="11">
        <v>42917</v>
      </c>
      <c r="N1291" t="s">
        <v>2179</v>
      </c>
      <c r="O1291">
        <v>5</v>
      </c>
      <c r="P1291" t="s">
        <v>55</v>
      </c>
      <c r="Q1291" t="b">
        <v>1</v>
      </c>
    </row>
    <row r="1292" spans="1:17">
      <c r="A1292" s="12">
        <v>42931</v>
      </c>
      <c r="B1292" s="10">
        <v>3.33</v>
      </c>
      <c r="C1292" s="10">
        <v>9.34</v>
      </c>
      <c r="D1292" s="10">
        <v>3</v>
      </c>
      <c r="E1292" s="10">
        <v>21</v>
      </c>
      <c r="F1292" s="10">
        <v>3</v>
      </c>
      <c r="G1292" s="10">
        <v>0</v>
      </c>
      <c r="H1292" s="10">
        <v>0</v>
      </c>
      <c r="I1292" s="10">
        <v>2</v>
      </c>
      <c r="J1292" s="10">
        <f>SUM(B1292:I1292)</f>
        <v>41.67</v>
      </c>
      <c r="K1292">
        <v>2017</v>
      </c>
      <c r="L1292">
        <v>7</v>
      </c>
      <c r="M1292" s="11">
        <v>42917</v>
      </c>
      <c r="N1292" t="s">
        <v>2179</v>
      </c>
      <c r="O1292">
        <v>6</v>
      </c>
      <c r="P1292" t="s">
        <v>57</v>
      </c>
      <c r="Q1292" t="b">
        <v>1</v>
      </c>
    </row>
    <row r="1293" spans="1:17">
      <c r="A1293" s="12">
        <v>42932</v>
      </c>
      <c r="B1293" s="10">
        <v>11.34</v>
      </c>
      <c r="C1293" s="10">
        <v>9.34</v>
      </c>
      <c r="D1293" s="10">
        <v>3</v>
      </c>
      <c r="E1293" s="10">
        <v>19</v>
      </c>
      <c r="F1293" s="10">
        <v>6</v>
      </c>
      <c r="G1293" s="10">
        <v>0</v>
      </c>
      <c r="H1293" s="10">
        <v>0</v>
      </c>
      <c r="I1293" s="10">
        <v>1</v>
      </c>
      <c r="J1293" s="10">
        <f>SUM(B1293:I1293)</f>
        <v>49.68</v>
      </c>
      <c r="K1293">
        <v>2017</v>
      </c>
      <c r="L1293">
        <v>7</v>
      </c>
      <c r="M1293" s="11">
        <v>42917</v>
      </c>
      <c r="N1293" t="s">
        <v>2179</v>
      </c>
      <c r="O1293">
        <v>7</v>
      </c>
      <c r="P1293" t="s">
        <v>59</v>
      </c>
      <c r="Q1293" t="b">
        <v>1</v>
      </c>
    </row>
    <row r="1294" spans="1:17">
      <c r="A1294" s="12">
        <v>42933</v>
      </c>
      <c r="B1294" s="10">
        <v>9</v>
      </c>
      <c r="C1294" s="10">
        <v>4.747</v>
      </c>
      <c r="D1294" s="10">
        <v>3</v>
      </c>
      <c r="E1294" s="10">
        <v>16.4</v>
      </c>
      <c r="F1294" s="10">
        <v>6</v>
      </c>
      <c r="G1294" s="10">
        <v>2</v>
      </c>
      <c r="H1294" s="10">
        <v>4</v>
      </c>
      <c r="I1294" s="10">
        <v>3</v>
      </c>
      <c r="J1294" s="10">
        <f>SUM(B1294:I1294)</f>
        <v>48.147</v>
      </c>
      <c r="K1294">
        <v>2017</v>
      </c>
      <c r="L1294">
        <v>7</v>
      </c>
      <c r="M1294" s="11">
        <v>42917</v>
      </c>
      <c r="N1294" t="s">
        <v>2179</v>
      </c>
      <c r="O1294">
        <v>1</v>
      </c>
      <c r="P1294" t="s">
        <v>61</v>
      </c>
      <c r="Q1294" t="b">
        <v>1</v>
      </c>
    </row>
    <row r="1295" spans="1:17">
      <c r="A1295" s="12">
        <v>42934</v>
      </c>
      <c r="B1295" s="10">
        <v>9.67</v>
      </c>
      <c r="C1295" s="10">
        <v>5.67</v>
      </c>
      <c r="D1295" s="10">
        <v>1.5</v>
      </c>
      <c r="E1295" s="10">
        <v>14</v>
      </c>
      <c r="F1295" s="10">
        <v>8</v>
      </c>
      <c r="G1295" s="10">
        <v>0</v>
      </c>
      <c r="H1295" s="10">
        <v>20</v>
      </c>
      <c r="I1295" s="10">
        <v>4</v>
      </c>
      <c r="J1295" s="10">
        <f>SUM(B1295:I1295)</f>
        <v>62.84</v>
      </c>
      <c r="K1295">
        <v>2017</v>
      </c>
      <c r="L1295">
        <v>7</v>
      </c>
      <c r="M1295" s="11">
        <v>42917</v>
      </c>
      <c r="N1295" t="s">
        <v>2179</v>
      </c>
      <c r="O1295">
        <v>2</v>
      </c>
      <c r="P1295" t="s">
        <v>63</v>
      </c>
      <c r="Q1295" t="b">
        <v>1</v>
      </c>
    </row>
    <row r="1296" spans="1:17">
      <c r="A1296" s="12">
        <v>42935</v>
      </c>
      <c r="B1296" s="10">
        <v>6.33</v>
      </c>
      <c r="C1296" s="10">
        <v>3.66</v>
      </c>
      <c r="D1296" s="10">
        <v>4</v>
      </c>
      <c r="E1296" s="10">
        <v>20.6</v>
      </c>
      <c r="F1296" s="10">
        <v>6</v>
      </c>
      <c r="G1296" s="10">
        <v>3</v>
      </c>
      <c r="H1296" s="10">
        <v>1</v>
      </c>
      <c r="I1296" s="10">
        <v>6</v>
      </c>
      <c r="J1296" s="10">
        <f>SUM(B1296:I1296)</f>
        <v>50.59</v>
      </c>
      <c r="K1296">
        <v>2017</v>
      </c>
      <c r="L1296">
        <v>7</v>
      </c>
      <c r="M1296" s="11">
        <v>42917</v>
      </c>
      <c r="N1296" t="s">
        <v>2179</v>
      </c>
      <c r="O1296">
        <v>3</v>
      </c>
      <c r="P1296" t="s">
        <v>65</v>
      </c>
      <c r="Q1296" t="b">
        <v>1</v>
      </c>
    </row>
    <row r="1297" spans="1:17">
      <c r="A1297" s="12">
        <v>42936</v>
      </c>
      <c r="B1297" s="10">
        <v>5</v>
      </c>
      <c r="C1297" s="10">
        <v>4</v>
      </c>
      <c r="D1297" s="10">
        <v>3</v>
      </c>
      <c r="E1297" s="10">
        <v>18</v>
      </c>
      <c r="F1297" s="10">
        <v>11</v>
      </c>
      <c r="G1297" s="10">
        <v>2</v>
      </c>
      <c r="H1297" s="10">
        <v>2</v>
      </c>
      <c r="I1297" s="10">
        <v>2</v>
      </c>
      <c r="J1297" s="10">
        <f>SUM(B1297:I1297)</f>
        <v>47.0</v>
      </c>
      <c r="K1297">
        <v>2017</v>
      </c>
      <c r="L1297">
        <v>7</v>
      </c>
      <c r="M1297" s="11">
        <v>42917</v>
      </c>
      <c r="N1297" t="s">
        <v>2179</v>
      </c>
      <c r="O1297">
        <v>4</v>
      </c>
      <c r="P1297" t="s">
        <v>53</v>
      </c>
      <c r="Q1297" t="b">
        <v>1</v>
      </c>
    </row>
    <row r="1298" spans="1:17">
      <c r="A1298" s="12">
        <v>42937</v>
      </c>
      <c r="B1298" s="10">
        <v>2.33</v>
      </c>
      <c r="C1298" s="10">
        <v>1</v>
      </c>
      <c r="D1298" s="10">
        <v>3</v>
      </c>
      <c r="E1298" s="10">
        <v>14</v>
      </c>
      <c r="F1298" s="10">
        <v>5</v>
      </c>
      <c r="G1298" s="10">
        <v>0</v>
      </c>
      <c r="H1298" s="10">
        <v>0</v>
      </c>
      <c r="I1298" s="10">
        <v>3</v>
      </c>
      <c r="J1298" s="10">
        <f>SUM(B1298:I1298)</f>
        <v>28.33</v>
      </c>
      <c r="K1298">
        <v>2017</v>
      </c>
      <c r="L1298">
        <v>7</v>
      </c>
      <c r="M1298" s="11">
        <v>42917</v>
      </c>
      <c r="N1298" t="s">
        <v>2179</v>
      </c>
      <c r="O1298">
        <v>5</v>
      </c>
      <c r="P1298" t="s">
        <v>55</v>
      </c>
      <c r="Q1298" t="b">
        <v>1</v>
      </c>
    </row>
    <row r="1299" spans="1:17">
      <c r="A1299" s="12">
        <v>42938</v>
      </c>
      <c r="B1299" s="10">
        <v>3</v>
      </c>
      <c r="C1299" s="10">
        <v>5.69</v>
      </c>
      <c r="D1299" s="10">
        <v>5</v>
      </c>
      <c r="E1299" s="10">
        <v>22</v>
      </c>
      <c r="F1299" s="10">
        <v>3</v>
      </c>
      <c r="G1299" s="10">
        <v>1</v>
      </c>
      <c r="H1299" s="10">
        <v>0</v>
      </c>
      <c r="I1299" s="10">
        <v>2</v>
      </c>
      <c r="J1299" s="10">
        <f>SUM(B1299:I1299)</f>
        <v>41.69</v>
      </c>
      <c r="K1299">
        <v>2017</v>
      </c>
      <c r="L1299">
        <v>7</v>
      </c>
      <c r="M1299" s="11">
        <v>42917</v>
      </c>
      <c r="N1299" t="s">
        <v>2179</v>
      </c>
      <c r="O1299">
        <v>6</v>
      </c>
      <c r="P1299" t="s">
        <v>57</v>
      </c>
      <c r="Q1299" t="b">
        <v>1</v>
      </c>
    </row>
    <row r="1300" spans="1:17">
      <c r="A1300" s="12">
        <v>42939</v>
      </c>
      <c r="B1300" s="10">
        <v>6.5</v>
      </c>
      <c r="C1300" s="10">
        <v>2.429</v>
      </c>
      <c r="D1300" s="10">
        <v>2</v>
      </c>
      <c r="E1300" s="10">
        <v>12</v>
      </c>
      <c r="F1300" s="10">
        <v>4</v>
      </c>
      <c r="G1300" s="10">
        <v>0</v>
      </c>
      <c r="H1300" s="10">
        <v>4</v>
      </c>
      <c r="I1300" s="10">
        <v>5</v>
      </c>
      <c r="J1300" s="10">
        <f>SUM(B1300:I1300)</f>
        <v>35.929</v>
      </c>
      <c r="K1300">
        <v>2017</v>
      </c>
      <c r="L1300">
        <v>7</v>
      </c>
      <c r="M1300" s="11">
        <v>42917</v>
      </c>
      <c r="N1300" t="s">
        <v>2179</v>
      </c>
      <c r="O1300">
        <v>7</v>
      </c>
      <c r="P1300" t="s">
        <v>59</v>
      </c>
      <c r="Q1300" t="b">
        <v>1</v>
      </c>
    </row>
    <row r="1301" spans="1:17">
      <c r="A1301" s="12">
        <v>42940</v>
      </c>
      <c r="B1301" s="10">
        <v>3.84</v>
      </c>
      <c r="C1301" s="10">
        <v>1</v>
      </c>
      <c r="D1301" s="10">
        <v>2.1</v>
      </c>
      <c r="E1301" s="10">
        <v>15</v>
      </c>
      <c r="F1301" s="10">
        <v>6</v>
      </c>
      <c r="G1301" s="10">
        <v>0</v>
      </c>
      <c r="H1301" s="10">
        <v>0</v>
      </c>
      <c r="I1301" s="10">
        <v>3</v>
      </c>
      <c r="J1301" s="10">
        <f>SUM(B1301:I1301)</f>
        <v>30.939999999999998</v>
      </c>
      <c r="K1301">
        <v>2017</v>
      </c>
      <c r="L1301">
        <v>7</v>
      </c>
      <c r="M1301" s="11">
        <v>42917</v>
      </c>
      <c r="N1301" t="s">
        <v>2179</v>
      </c>
      <c r="O1301">
        <v>1</v>
      </c>
      <c r="P1301" t="s">
        <v>61</v>
      </c>
      <c r="Q1301" t="b">
        <v>1</v>
      </c>
    </row>
    <row r="1302" spans="1:17">
      <c r="A1302" s="12">
        <v>42941</v>
      </c>
      <c r="B1302" s="10">
        <v>6.34</v>
      </c>
      <c r="C1302" s="10">
        <v>2.35</v>
      </c>
      <c r="D1302" s="10">
        <v>2</v>
      </c>
      <c r="E1302" s="10">
        <v>14</v>
      </c>
      <c r="F1302" s="10">
        <v>5</v>
      </c>
      <c r="G1302" s="10">
        <v>0</v>
      </c>
      <c r="H1302" s="10">
        <v>6</v>
      </c>
      <c r="I1302" s="10">
        <v>0.1</v>
      </c>
      <c r="J1302" s="10">
        <f>SUM(B1302:I1302)</f>
        <v>35.79</v>
      </c>
      <c r="K1302">
        <v>2017</v>
      </c>
      <c r="L1302">
        <v>7</v>
      </c>
      <c r="M1302" s="11">
        <v>42917</v>
      </c>
      <c r="N1302" t="s">
        <v>2179</v>
      </c>
      <c r="O1302">
        <v>2</v>
      </c>
      <c r="P1302" t="s">
        <v>63</v>
      </c>
      <c r="Q1302" t="b">
        <v>1</v>
      </c>
    </row>
    <row r="1303" spans="1:17">
      <c r="A1303" s="12">
        <v>42942</v>
      </c>
      <c r="B1303" s="10">
        <v>3.33</v>
      </c>
      <c r="C1303" s="10">
        <v>6.779</v>
      </c>
      <c r="D1303" s="10">
        <v>3</v>
      </c>
      <c r="E1303" s="10">
        <v>15</v>
      </c>
      <c r="F1303" s="10">
        <v>11</v>
      </c>
      <c r="G1303" s="10">
        <v>1</v>
      </c>
      <c r="H1303" s="10">
        <v>1</v>
      </c>
      <c r="I1303" s="10">
        <v>1</v>
      </c>
      <c r="J1303" s="10">
        <f>SUM(B1303:I1303)</f>
        <v>42.109</v>
      </c>
      <c r="K1303">
        <v>2017</v>
      </c>
      <c r="L1303">
        <v>7</v>
      </c>
      <c r="M1303" s="11">
        <v>42917</v>
      </c>
      <c r="N1303" t="s">
        <v>2179</v>
      </c>
      <c r="O1303">
        <v>3</v>
      </c>
      <c r="P1303" t="s">
        <v>65</v>
      </c>
      <c r="Q1303" t="b">
        <v>1</v>
      </c>
    </row>
    <row r="1304" spans="1:17">
      <c r="A1304" s="12">
        <v>42943</v>
      </c>
      <c r="B1304" s="10">
        <v>5</v>
      </c>
      <c r="C1304" s="10">
        <v>0.67</v>
      </c>
      <c r="D1304" s="10">
        <v>0</v>
      </c>
      <c r="E1304" s="10">
        <v>12.4</v>
      </c>
      <c r="F1304" s="10">
        <v>8</v>
      </c>
      <c r="G1304" s="10">
        <v>0</v>
      </c>
      <c r="H1304" s="10">
        <v>0</v>
      </c>
      <c r="I1304" s="10">
        <v>1</v>
      </c>
      <c r="J1304" s="10">
        <f>SUM(B1304:I1304)</f>
        <v>27.07</v>
      </c>
      <c r="K1304">
        <v>2017</v>
      </c>
      <c r="L1304">
        <v>7</v>
      </c>
      <c r="M1304" s="11">
        <v>42917</v>
      </c>
      <c r="N1304" t="s">
        <v>2179</v>
      </c>
      <c r="O1304">
        <v>4</v>
      </c>
      <c r="P1304" t="s">
        <v>53</v>
      </c>
      <c r="Q1304" t="b">
        <v>1</v>
      </c>
    </row>
    <row r="1305" spans="1:17">
      <c r="A1305" s="12">
        <v>42944</v>
      </c>
      <c r="B1305" s="10">
        <v>4</v>
      </c>
      <c r="C1305" s="10">
        <v>5</v>
      </c>
      <c r="D1305" s="10">
        <v>1.1</v>
      </c>
      <c r="E1305" s="10">
        <v>17.2</v>
      </c>
      <c r="F1305" s="10">
        <v>10</v>
      </c>
      <c r="G1305" s="10">
        <v>0</v>
      </c>
      <c r="H1305" s="10">
        <v>0</v>
      </c>
      <c r="I1305" s="10">
        <v>3</v>
      </c>
      <c r="J1305" s="10">
        <f>SUM(B1305:I1305)</f>
        <v>40.3</v>
      </c>
      <c r="K1305">
        <v>2017</v>
      </c>
      <c r="L1305">
        <v>7</v>
      </c>
      <c r="M1305" s="11">
        <v>42917</v>
      </c>
      <c r="N1305" t="s">
        <v>2179</v>
      </c>
      <c r="O1305">
        <v>5</v>
      </c>
      <c r="P1305" t="s">
        <v>55</v>
      </c>
      <c r="Q1305" t="b">
        <v>1</v>
      </c>
    </row>
    <row r="1306" spans="1:17">
      <c r="A1306" s="12">
        <v>42945</v>
      </c>
      <c r="B1306" s="10">
        <v>3</v>
      </c>
      <c r="C1306" s="10">
        <v>3.33</v>
      </c>
      <c r="D1306" s="10">
        <v>2</v>
      </c>
      <c r="E1306" s="10">
        <v>14.15</v>
      </c>
      <c r="F1306" s="10">
        <v>1</v>
      </c>
      <c r="G1306" s="10">
        <v>0</v>
      </c>
      <c r="H1306" s="10">
        <v>0</v>
      </c>
      <c r="I1306" s="10">
        <v>4</v>
      </c>
      <c r="J1306" s="10">
        <f>SUM(B1306:I1306)</f>
        <v>27.48</v>
      </c>
      <c r="K1306">
        <v>2017</v>
      </c>
      <c r="L1306">
        <v>7</v>
      </c>
      <c r="M1306" s="11">
        <v>42917</v>
      </c>
      <c r="N1306" t="s">
        <v>2179</v>
      </c>
      <c r="O1306">
        <v>6</v>
      </c>
      <c r="P1306" t="s">
        <v>57</v>
      </c>
      <c r="Q1306" t="b">
        <v>1</v>
      </c>
    </row>
    <row r="1307" spans="1:17">
      <c r="A1307" s="12">
        <v>42946</v>
      </c>
      <c r="B1307" s="10">
        <v>4.125</v>
      </c>
      <c r="C1307" s="10">
        <v>2.66</v>
      </c>
      <c r="D1307" s="10">
        <v>2</v>
      </c>
      <c r="E1307" s="10">
        <v>13</v>
      </c>
      <c r="F1307" s="10">
        <v>11</v>
      </c>
      <c r="G1307" s="10">
        <v>0</v>
      </c>
      <c r="H1307" s="10">
        <v>0</v>
      </c>
      <c r="I1307" s="10">
        <v>1</v>
      </c>
      <c r="J1307" s="10">
        <f>SUM(B1307:I1307)</f>
        <v>33.785</v>
      </c>
      <c r="K1307">
        <v>2017</v>
      </c>
      <c r="L1307">
        <v>7</v>
      </c>
      <c r="M1307" s="11">
        <v>42917</v>
      </c>
      <c r="N1307" t="s">
        <v>2179</v>
      </c>
      <c r="O1307">
        <v>7</v>
      </c>
      <c r="P1307" t="s">
        <v>59</v>
      </c>
      <c r="Q1307" t="b">
        <v>1</v>
      </c>
    </row>
    <row r="1308" spans="1:17">
      <c r="A1308" s="12">
        <v>42947</v>
      </c>
      <c r="B1308" s="10">
        <v>7.34</v>
      </c>
      <c r="C1308" s="10">
        <v>0.8100000000000001</v>
      </c>
      <c r="D1308" s="10">
        <v>2.25</v>
      </c>
      <c r="E1308" s="10">
        <v>21</v>
      </c>
      <c r="F1308" s="10">
        <v>9</v>
      </c>
      <c r="G1308" s="10">
        <v>0</v>
      </c>
      <c r="H1308" s="10">
        <v>5</v>
      </c>
      <c r="I1308" s="10">
        <v>2</v>
      </c>
      <c r="J1308" s="10">
        <f>SUM(B1308:I1308)</f>
        <v>47.4</v>
      </c>
      <c r="K1308">
        <v>2017</v>
      </c>
      <c r="L1308">
        <v>7</v>
      </c>
      <c r="M1308" s="11">
        <v>42917</v>
      </c>
      <c r="N1308" t="s">
        <v>2179</v>
      </c>
      <c r="O1308">
        <v>1</v>
      </c>
      <c r="P1308" t="s">
        <v>61</v>
      </c>
      <c r="Q1308" t="b">
        <v>1</v>
      </c>
    </row>
    <row r="1309" spans="1:17">
      <c r="A1309" s="12">
        <v>42948</v>
      </c>
      <c r="B1309" s="10">
        <v>7.33</v>
      </c>
      <c r="C1309" s="10">
        <v>3.33</v>
      </c>
      <c r="D1309" s="10">
        <v>2</v>
      </c>
      <c r="E1309" s="10">
        <v>15.6</v>
      </c>
      <c r="F1309" s="10">
        <v>3</v>
      </c>
      <c r="G1309" s="10">
        <v>0</v>
      </c>
      <c r="H1309" s="10">
        <v>1</v>
      </c>
      <c r="I1309" s="10">
        <v>1</v>
      </c>
      <c r="J1309" s="10">
        <f>SUM(B1309:I1309)</f>
        <v>33.26</v>
      </c>
      <c r="K1309">
        <v>2017</v>
      </c>
      <c r="L1309">
        <v>8</v>
      </c>
      <c r="M1309" s="11">
        <v>42948</v>
      </c>
      <c r="N1309" t="s">
        <v>2180</v>
      </c>
      <c r="O1309">
        <v>2</v>
      </c>
      <c r="P1309" t="s">
        <v>63</v>
      </c>
      <c r="Q1309" t="b">
        <v>1</v>
      </c>
    </row>
    <row r="1310" spans="1:17">
      <c r="A1310" s="12">
        <v>42949</v>
      </c>
      <c r="B1310" s="10">
        <v>6</v>
      </c>
      <c r="C1310" s="10">
        <v>2.66</v>
      </c>
      <c r="D1310" s="10">
        <v>1</v>
      </c>
      <c r="E1310" s="10">
        <v>25</v>
      </c>
      <c r="F1310" s="10">
        <v>2</v>
      </c>
      <c r="G1310" s="10">
        <v>0</v>
      </c>
      <c r="H1310" s="10">
        <v>1</v>
      </c>
      <c r="I1310" s="10">
        <v>4</v>
      </c>
      <c r="J1310" s="10">
        <f>SUM(B1310:I1310)</f>
        <v>41.66</v>
      </c>
      <c r="K1310">
        <v>2017</v>
      </c>
      <c r="L1310">
        <v>8</v>
      </c>
      <c r="M1310" s="11">
        <v>42948</v>
      </c>
      <c r="N1310" t="s">
        <v>2180</v>
      </c>
      <c r="O1310">
        <v>3</v>
      </c>
      <c r="P1310" t="s">
        <v>65</v>
      </c>
      <c r="Q1310" t="b">
        <v>1</v>
      </c>
    </row>
    <row r="1311" spans="1:17">
      <c r="A1311" s="12">
        <v>42950</v>
      </c>
      <c r="B1311" s="10">
        <v>6.33</v>
      </c>
      <c r="C1311" s="10">
        <v>0.66</v>
      </c>
      <c r="D1311" s="10">
        <v>4</v>
      </c>
      <c r="E1311" s="10">
        <v>10</v>
      </c>
      <c r="F1311" s="10">
        <v>8</v>
      </c>
      <c r="G1311" s="10">
        <v>0</v>
      </c>
      <c r="H1311" s="10">
        <v>1</v>
      </c>
      <c r="I1311" s="10">
        <v>3</v>
      </c>
      <c r="J1311" s="10">
        <f>SUM(B1311:I1311)</f>
        <v>32.99</v>
      </c>
      <c r="K1311">
        <v>2017</v>
      </c>
      <c r="L1311">
        <v>8</v>
      </c>
      <c r="M1311" s="11">
        <v>42948</v>
      </c>
      <c r="N1311" t="s">
        <v>2180</v>
      </c>
      <c r="O1311">
        <v>4</v>
      </c>
      <c r="P1311" t="s">
        <v>53</v>
      </c>
      <c r="Q1311" t="b">
        <v>1</v>
      </c>
    </row>
    <row r="1312" spans="1:17">
      <c r="A1312" s="12">
        <v>42951</v>
      </c>
      <c r="B1312" s="10">
        <v>8</v>
      </c>
      <c r="C1312" s="10">
        <v>4</v>
      </c>
      <c r="D1312" s="10">
        <v>1</v>
      </c>
      <c r="E1312" s="10">
        <v>15</v>
      </c>
      <c r="F1312" s="10">
        <v>11</v>
      </c>
      <c r="G1312" s="10">
        <v>2</v>
      </c>
      <c r="H1312" s="10">
        <v>5</v>
      </c>
      <c r="I1312" s="10">
        <v>2</v>
      </c>
      <c r="J1312" s="10">
        <f>SUM(B1312:I1312)</f>
        <v>48.0</v>
      </c>
      <c r="K1312">
        <v>2017</v>
      </c>
      <c r="L1312">
        <v>8</v>
      </c>
      <c r="M1312" s="11">
        <v>42948</v>
      </c>
      <c r="N1312" t="s">
        <v>2180</v>
      </c>
      <c r="O1312">
        <v>5</v>
      </c>
      <c r="P1312" t="s">
        <v>55</v>
      </c>
      <c r="Q1312" t="b">
        <v>1</v>
      </c>
    </row>
    <row r="1313" spans="1:17">
      <c r="A1313" s="12">
        <v>42952</v>
      </c>
      <c r="B1313" s="10">
        <v>4.66</v>
      </c>
      <c r="C1313" s="10">
        <v>2.472</v>
      </c>
      <c r="D1313" s="10">
        <v>2</v>
      </c>
      <c r="E1313" s="10">
        <v>13.312</v>
      </c>
      <c r="F1313" s="10">
        <v>2</v>
      </c>
      <c r="G1313" s="10">
        <v>0</v>
      </c>
      <c r="H1313" s="10">
        <v>0</v>
      </c>
      <c r="I1313" s="10">
        <v>2</v>
      </c>
      <c r="J1313" s="10">
        <f>SUM(B1313:I1313)</f>
        <v>26.444</v>
      </c>
      <c r="K1313">
        <v>2017</v>
      </c>
      <c r="L1313">
        <v>8</v>
      </c>
      <c r="M1313" s="11">
        <v>42948</v>
      </c>
      <c r="N1313" t="s">
        <v>2180</v>
      </c>
      <c r="O1313">
        <v>6</v>
      </c>
      <c r="P1313" t="s">
        <v>57</v>
      </c>
      <c r="Q1313" t="b">
        <v>1</v>
      </c>
    </row>
    <row r="1314" spans="1:17">
      <c r="A1314" s="12">
        <v>42953</v>
      </c>
      <c r="B1314" s="10">
        <v>2</v>
      </c>
      <c r="C1314" s="10">
        <v>3.429</v>
      </c>
      <c r="D1314" s="10">
        <v>1</v>
      </c>
      <c r="E1314" s="10">
        <v>13</v>
      </c>
      <c r="F1314" s="10">
        <v>6</v>
      </c>
      <c r="G1314" s="10">
        <v>0</v>
      </c>
      <c r="H1314" s="10">
        <v>0</v>
      </c>
      <c r="I1314" s="10">
        <v>3</v>
      </c>
      <c r="J1314" s="10">
        <f>SUM(B1314:I1314)</f>
        <v>28.429000000000002</v>
      </c>
      <c r="K1314">
        <v>2017</v>
      </c>
      <c r="L1314">
        <v>8</v>
      </c>
      <c r="M1314" s="11">
        <v>42948</v>
      </c>
      <c r="N1314" t="s">
        <v>2180</v>
      </c>
      <c r="O1314">
        <v>7</v>
      </c>
      <c r="P1314" t="s">
        <v>59</v>
      </c>
      <c r="Q1314" t="b">
        <v>1</v>
      </c>
    </row>
    <row r="1315" spans="1:17">
      <c r="A1315" s="12">
        <v>42954</v>
      </c>
      <c r="B1315" s="10">
        <v>1</v>
      </c>
      <c r="C1315" s="10">
        <v>5.34</v>
      </c>
      <c r="D1315" s="10">
        <v>3.1</v>
      </c>
      <c r="E1315" s="10">
        <v>16</v>
      </c>
      <c r="F1315" s="10">
        <v>9</v>
      </c>
      <c r="G1315" s="10">
        <v>2</v>
      </c>
      <c r="H1315" s="10">
        <v>0</v>
      </c>
      <c r="I1315" s="10">
        <v>0</v>
      </c>
      <c r="J1315" s="10">
        <f>SUM(B1315:I1315)</f>
        <v>36.44</v>
      </c>
      <c r="K1315">
        <v>2017</v>
      </c>
      <c r="L1315">
        <v>8</v>
      </c>
      <c r="M1315" s="11">
        <v>42948</v>
      </c>
      <c r="N1315" t="s">
        <v>2180</v>
      </c>
      <c r="O1315">
        <v>1</v>
      </c>
      <c r="P1315" t="s">
        <v>61</v>
      </c>
      <c r="Q1315" t="b">
        <v>1</v>
      </c>
    </row>
    <row r="1316" spans="1:17">
      <c r="A1316" s="12">
        <v>42955</v>
      </c>
      <c r="B1316" s="10">
        <v>6</v>
      </c>
      <c r="C1316" s="10">
        <v>1.703</v>
      </c>
      <c r="D1316" s="10">
        <v>2.1</v>
      </c>
      <c r="E1316" s="10">
        <v>11.188</v>
      </c>
      <c r="F1316" s="10">
        <v>8</v>
      </c>
      <c r="G1316" s="10">
        <v>0</v>
      </c>
      <c r="H1316" s="10">
        <v>0</v>
      </c>
      <c r="I1316" s="10">
        <v>4.2</v>
      </c>
      <c r="J1316" s="10">
        <f>SUM(B1316:I1316)</f>
        <v>33.191</v>
      </c>
      <c r="K1316">
        <v>2017</v>
      </c>
      <c r="L1316">
        <v>8</v>
      </c>
      <c r="M1316" s="11">
        <v>42948</v>
      </c>
      <c r="N1316" t="s">
        <v>2180</v>
      </c>
      <c r="O1316">
        <v>2</v>
      </c>
      <c r="P1316" t="s">
        <v>63</v>
      </c>
      <c r="Q1316" t="b">
        <v>1</v>
      </c>
    </row>
    <row r="1317" spans="1:17">
      <c r="A1317" s="12">
        <v>42956</v>
      </c>
      <c r="B1317" s="10">
        <v>2.33</v>
      </c>
      <c r="C1317" s="10">
        <v>5.1</v>
      </c>
      <c r="D1317" s="10">
        <v>3.15</v>
      </c>
      <c r="E1317" s="10">
        <v>13</v>
      </c>
      <c r="F1317" s="10">
        <v>15</v>
      </c>
      <c r="G1317" s="10">
        <v>0</v>
      </c>
      <c r="H1317" s="10">
        <v>2</v>
      </c>
      <c r="I1317" s="10">
        <v>2.2</v>
      </c>
      <c r="J1317" s="10">
        <f>SUM(B1317:I1317)</f>
        <v>42.78</v>
      </c>
      <c r="K1317">
        <v>2017</v>
      </c>
      <c r="L1317">
        <v>8</v>
      </c>
      <c r="M1317" s="11">
        <v>42948</v>
      </c>
      <c r="N1317" t="s">
        <v>2180</v>
      </c>
      <c r="O1317">
        <v>3</v>
      </c>
      <c r="P1317" t="s">
        <v>65</v>
      </c>
      <c r="Q1317" t="b">
        <v>1</v>
      </c>
    </row>
    <row r="1318" spans="1:17">
      <c r="A1318" s="12">
        <v>42957</v>
      </c>
      <c r="B1318" s="10">
        <v>0</v>
      </c>
      <c r="C1318" s="10">
        <v>3.99</v>
      </c>
      <c r="D1318" s="10">
        <v>4</v>
      </c>
      <c r="E1318" s="10">
        <v>9</v>
      </c>
      <c r="F1318" s="10">
        <v>19</v>
      </c>
      <c r="G1318" s="10">
        <v>0</v>
      </c>
      <c r="H1318" s="10">
        <v>3</v>
      </c>
      <c r="I1318" s="10">
        <v>1.1</v>
      </c>
      <c r="J1318" s="10">
        <f>SUM(B1318:I1318)</f>
        <v>40.09</v>
      </c>
      <c r="K1318">
        <v>2017</v>
      </c>
      <c r="L1318">
        <v>8</v>
      </c>
      <c r="M1318" s="11">
        <v>42948</v>
      </c>
      <c r="N1318" t="s">
        <v>2180</v>
      </c>
      <c r="O1318">
        <v>4</v>
      </c>
      <c r="P1318" t="s">
        <v>53</v>
      </c>
      <c r="Q1318" t="b">
        <v>1</v>
      </c>
    </row>
    <row r="1319" spans="1:17">
      <c r="A1319" s="12">
        <v>42958</v>
      </c>
      <c r="B1319" s="10">
        <v>4.33</v>
      </c>
      <c r="C1319" s="10">
        <v>1.65</v>
      </c>
      <c r="D1319" s="10">
        <v>5.1</v>
      </c>
      <c r="E1319" s="10">
        <v>8</v>
      </c>
      <c r="F1319" s="10">
        <v>6</v>
      </c>
      <c r="G1319" s="10">
        <v>3</v>
      </c>
      <c r="H1319" s="10">
        <v>0</v>
      </c>
      <c r="I1319" s="10">
        <v>0</v>
      </c>
      <c r="J1319" s="10">
        <f>SUM(B1319:I1319)</f>
        <v>28.08</v>
      </c>
      <c r="K1319">
        <v>2017</v>
      </c>
      <c r="L1319">
        <v>8</v>
      </c>
      <c r="M1319" s="11">
        <v>42948</v>
      </c>
      <c r="N1319" t="s">
        <v>2180</v>
      </c>
      <c r="O1319">
        <v>5</v>
      </c>
      <c r="P1319" t="s">
        <v>55</v>
      </c>
      <c r="Q1319" t="b">
        <v>1</v>
      </c>
    </row>
    <row r="1320" spans="1:17">
      <c r="A1320" s="12">
        <v>42959</v>
      </c>
      <c r="B1320" s="10">
        <v>2.69</v>
      </c>
      <c r="C1320" s="10">
        <v>4.939</v>
      </c>
      <c r="D1320" s="10">
        <v>2.5</v>
      </c>
      <c r="E1320" s="10">
        <v>22.6</v>
      </c>
      <c r="F1320" s="10">
        <v>4</v>
      </c>
      <c r="G1320" s="10">
        <v>0</v>
      </c>
      <c r="H1320" s="10">
        <v>6</v>
      </c>
      <c r="I1320" s="10">
        <v>2</v>
      </c>
      <c r="J1320" s="10">
        <f>SUM(B1320:I1320)</f>
        <v>44.729</v>
      </c>
      <c r="K1320">
        <v>2017</v>
      </c>
      <c r="L1320">
        <v>8</v>
      </c>
      <c r="M1320" s="11">
        <v>42948</v>
      </c>
      <c r="N1320" t="s">
        <v>2180</v>
      </c>
      <c r="O1320">
        <v>6</v>
      </c>
      <c r="P1320" t="s">
        <v>57</v>
      </c>
      <c r="Q1320" t="b">
        <v>1</v>
      </c>
    </row>
    <row r="1321" spans="1:17">
      <c r="A1321" s="12">
        <v>42960</v>
      </c>
      <c r="B1321" s="10">
        <v>3.66</v>
      </c>
      <c r="C1321" s="10">
        <v>3.65</v>
      </c>
      <c r="D1321" s="10">
        <v>2.05</v>
      </c>
      <c r="E1321" s="10">
        <v>24</v>
      </c>
      <c r="F1321" s="10">
        <v>5</v>
      </c>
      <c r="G1321" s="10">
        <v>0</v>
      </c>
      <c r="H1321" s="10">
        <v>1</v>
      </c>
      <c r="I1321" s="10">
        <v>1</v>
      </c>
      <c r="J1321" s="10">
        <f>SUM(B1321:I1321)</f>
        <v>40.36</v>
      </c>
      <c r="K1321">
        <v>2017</v>
      </c>
      <c r="L1321">
        <v>8</v>
      </c>
      <c r="M1321" s="11">
        <v>42948</v>
      </c>
      <c r="N1321" t="s">
        <v>2180</v>
      </c>
      <c r="O1321">
        <v>7</v>
      </c>
      <c r="P1321" t="s">
        <v>59</v>
      </c>
      <c r="Q1321" t="b">
        <v>1</v>
      </c>
    </row>
    <row r="1322" spans="1:17">
      <c r="A1322" s="12">
        <v>42961</v>
      </c>
      <c r="B1322" s="10">
        <v>11.34</v>
      </c>
      <c r="C1322" s="10">
        <v>2.067</v>
      </c>
      <c r="D1322" s="10">
        <v>4</v>
      </c>
      <c r="E1322" s="10">
        <v>13</v>
      </c>
      <c r="F1322" s="10">
        <v>4</v>
      </c>
      <c r="G1322" s="10">
        <v>0</v>
      </c>
      <c r="H1322" s="10">
        <v>0</v>
      </c>
      <c r="I1322" s="10">
        <v>2</v>
      </c>
      <c r="J1322" s="10">
        <f>SUM(B1322:I1322)</f>
        <v>36.407</v>
      </c>
      <c r="K1322">
        <v>2017</v>
      </c>
      <c r="L1322">
        <v>8</v>
      </c>
      <c r="M1322" s="11">
        <v>42948</v>
      </c>
      <c r="N1322" t="s">
        <v>2180</v>
      </c>
      <c r="O1322">
        <v>1</v>
      </c>
      <c r="P1322" t="s">
        <v>61</v>
      </c>
      <c r="Q1322" t="b">
        <v>1</v>
      </c>
    </row>
    <row r="1323" spans="1:17">
      <c r="A1323" s="12">
        <v>42962</v>
      </c>
      <c r="B1323" s="10">
        <v>2.33</v>
      </c>
      <c r="C1323" s="10">
        <v>6.703</v>
      </c>
      <c r="D1323" s="10">
        <v>2.15</v>
      </c>
      <c r="E1323" s="10">
        <v>35</v>
      </c>
      <c r="F1323" s="10">
        <v>11</v>
      </c>
      <c r="G1323" s="10">
        <v>0</v>
      </c>
      <c r="H1323" s="10">
        <v>2</v>
      </c>
      <c r="I1323" s="10">
        <v>3</v>
      </c>
      <c r="J1323" s="10">
        <f>SUM(B1323:I1323)</f>
        <v>62.183</v>
      </c>
      <c r="K1323">
        <v>2017</v>
      </c>
      <c r="L1323">
        <v>8</v>
      </c>
      <c r="M1323" s="11">
        <v>42948</v>
      </c>
      <c r="N1323" t="s">
        <v>2180</v>
      </c>
      <c r="O1323">
        <v>2</v>
      </c>
      <c r="P1323" t="s">
        <v>63</v>
      </c>
      <c r="Q1323" t="b">
        <v>1</v>
      </c>
    </row>
    <row r="1324" spans="1:17">
      <c r="A1324" s="12">
        <v>42963</v>
      </c>
      <c r="B1324" s="10">
        <v>5.33</v>
      </c>
      <c r="C1324" s="10">
        <v>3.67</v>
      </c>
      <c r="D1324" s="10">
        <v>1</v>
      </c>
      <c r="E1324" s="10">
        <v>10.45</v>
      </c>
      <c r="F1324" s="10">
        <v>13</v>
      </c>
      <c r="G1324" s="10">
        <v>0</v>
      </c>
      <c r="H1324" s="10">
        <v>4</v>
      </c>
      <c r="I1324" s="10">
        <v>2</v>
      </c>
      <c r="J1324" s="10">
        <f>SUM(B1324:I1324)</f>
        <v>39.45</v>
      </c>
      <c r="K1324">
        <v>2017</v>
      </c>
      <c r="L1324">
        <v>8</v>
      </c>
      <c r="M1324" s="11">
        <v>42948</v>
      </c>
      <c r="N1324" t="s">
        <v>2180</v>
      </c>
      <c r="O1324">
        <v>3</v>
      </c>
      <c r="P1324" t="s">
        <v>65</v>
      </c>
      <c r="Q1324" t="b">
        <v>1</v>
      </c>
    </row>
    <row r="1325" spans="1:17">
      <c r="A1325" s="12">
        <v>42964</v>
      </c>
      <c r="B1325" s="10">
        <v>5.16</v>
      </c>
      <c r="C1325" s="10">
        <v>1.33</v>
      </c>
      <c r="D1325" s="10">
        <v>5</v>
      </c>
      <c r="E1325" s="10">
        <v>12</v>
      </c>
      <c r="F1325" s="10">
        <v>8</v>
      </c>
      <c r="G1325" s="10">
        <v>0</v>
      </c>
      <c r="H1325" s="10">
        <v>1</v>
      </c>
      <c r="I1325" s="10">
        <v>1.5</v>
      </c>
      <c r="J1325" s="10">
        <f>SUM(B1325:I1325)</f>
        <v>33.99</v>
      </c>
      <c r="K1325">
        <v>2017</v>
      </c>
      <c r="L1325">
        <v>8</v>
      </c>
      <c r="M1325" s="11">
        <v>42948</v>
      </c>
      <c r="N1325" t="s">
        <v>2180</v>
      </c>
      <c r="O1325">
        <v>4</v>
      </c>
      <c r="P1325" t="s">
        <v>53</v>
      </c>
      <c r="Q1325" t="b">
        <v>1</v>
      </c>
    </row>
    <row r="1326" spans="1:17">
      <c r="A1326" s="12">
        <v>42965</v>
      </c>
      <c r="B1326" s="10">
        <v>2.33</v>
      </c>
      <c r="C1326" s="10">
        <v>3.99</v>
      </c>
      <c r="D1326" s="10">
        <v>3</v>
      </c>
      <c r="E1326" s="10">
        <v>15</v>
      </c>
      <c r="F1326" s="10">
        <v>4</v>
      </c>
      <c r="G1326" s="10">
        <v>0</v>
      </c>
      <c r="H1326" s="10">
        <v>0</v>
      </c>
      <c r="I1326" s="10">
        <v>3</v>
      </c>
      <c r="J1326" s="10">
        <f>SUM(B1326:I1326)</f>
        <v>31.32</v>
      </c>
      <c r="K1326">
        <v>2017</v>
      </c>
      <c r="L1326">
        <v>8</v>
      </c>
      <c r="M1326" s="11">
        <v>42948</v>
      </c>
      <c r="N1326" t="s">
        <v>2180</v>
      </c>
      <c r="O1326">
        <v>5</v>
      </c>
      <c r="P1326" t="s">
        <v>55</v>
      </c>
      <c r="Q1326" t="b">
        <v>1</v>
      </c>
    </row>
    <row r="1327" spans="1:17">
      <c r="A1327" s="12">
        <v>42966</v>
      </c>
      <c r="B1327" s="10">
        <v>5</v>
      </c>
      <c r="C1327" s="10">
        <v>4.713</v>
      </c>
      <c r="D1327" s="10">
        <v>3</v>
      </c>
      <c r="E1327" s="10">
        <v>16</v>
      </c>
      <c r="F1327" s="10">
        <v>10</v>
      </c>
      <c r="G1327" s="10">
        <v>0</v>
      </c>
      <c r="H1327" s="10">
        <v>11</v>
      </c>
      <c r="I1327" s="10">
        <v>2</v>
      </c>
      <c r="J1327" s="10">
        <f>SUM(B1327:I1327)</f>
        <v>51.713</v>
      </c>
      <c r="K1327">
        <v>2017</v>
      </c>
      <c r="L1327">
        <v>8</v>
      </c>
      <c r="M1327" s="11">
        <v>42948</v>
      </c>
      <c r="N1327" t="s">
        <v>2180</v>
      </c>
      <c r="O1327">
        <v>6</v>
      </c>
      <c r="P1327" t="s">
        <v>57</v>
      </c>
      <c r="Q1327" t="b">
        <v>1</v>
      </c>
    </row>
    <row r="1328" spans="1:17">
      <c r="A1328" s="12">
        <v>42967</v>
      </c>
      <c r="B1328" s="10">
        <v>4.33</v>
      </c>
      <c r="C1328" s="10">
        <v>2.056</v>
      </c>
      <c r="D1328" s="10">
        <v>6</v>
      </c>
      <c r="E1328" s="10">
        <v>14.4</v>
      </c>
      <c r="F1328" s="10">
        <v>6</v>
      </c>
      <c r="G1328" s="10">
        <v>0</v>
      </c>
      <c r="H1328" s="10">
        <v>2</v>
      </c>
      <c r="I1328" s="10">
        <v>1</v>
      </c>
      <c r="J1328" s="10">
        <f>SUM(B1328:I1328)</f>
        <v>35.786</v>
      </c>
      <c r="K1328">
        <v>2017</v>
      </c>
      <c r="L1328">
        <v>8</v>
      </c>
      <c r="M1328" s="11">
        <v>42948</v>
      </c>
      <c r="N1328" t="s">
        <v>2180</v>
      </c>
      <c r="O1328">
        <v>7</v>
      </c>
      <c r="P1328" t="s">
        <v>59</v>
      </c>
      <c r="Q1328" t="b">
        <v>1</v>
      </c>
    </row>
    <row r="1329" spans="1:17">
      <c r="A1329" s="12">
        <v>42968</v>
      </c>
      <c r="B1329" s="10">
        <v>9.33</v>
      </c>
      <c r="C1329" s="10">
        <v>3.34</v>
      </c>
      <c r="D1329" s="10">
        <v>2.4</v>
      </c>
      <c r="E1329" s="10">
        <v>19</v>
      </c>
      <c r="F1329" s="10">
        <v>4</v>
      </c>
      <c r="G1329" s="10">
        <v>0</v>
      </c>
      <c r="H1329" s="10">
        <v>0</v>
      </c>
      <c r="I1329" s="10">
        <v>0</v>
      </c>
      <c r="J1329" s="10">
        <f>SUM(B1329:I1329)</f>
        <v>38.07</v>
      </c>
      <c r="K1329">
        <v>2017</v>
      </c>
      <c r="L1329">
        <v>8</v>
      </c>
      <c r="M1329" s="11">
        <v>42948</v>
      </c>
      <c r="N1329" t="s">
        <v>2180</v>
      </c>
      <c r="O1329">
        <v>1</v>
      </c>
      <c r="P1329" t="s">
        <v>61</v>
      </c>
      <c r="Q1329" t="b">
        <v>1</v>
      </c>
    </row>
    <row r="1330" spans="1:17">
      <c r="A1330" s="12">
        <v>42969</v>
      </c>
      <c r="B1330" s="10">
        <v>6</v>
      </c>
      <c r="C1330" s="10">
        <v>1.34</v>
      </c>
      <c r="D1330" s="10">
        <v>3.15</v>
      </c>
      <c r="E1330" s="10">
        <v>22.2</v>
      </c>
      <c r="F1330" s="10">
        <v>3</v>
      </c>
      <c r="G1330" s="10">
        <v>0</v>
      </c>
      <c r="H1330" s="10">
        <v>0</v>
      </c>
      <c r="I1330" s="10">
        <v>2</v>
      </c>
      <c r="J1330" s="10">
        <f>SUM(B1330:I1330)</f>
        <v>37.69</v>
      </c>
      <c r="K1330">
        <v>2017</v>
      </c>
      <c r="L1330">
        <v>8</v>
      </c>
      <c r="M1330" s="11">
        <v>42948</v>
      </c>
      <c r="N1330" t="s">
        <v>2180</v>
      </c>
      <c r="O1330">
        <v>2</v>
      </c>
      <c r="P1330" t="s">
        <v>63</v>
      </c>
      <c r="Q1330" t="b">
        <v>1</v>
      </c>
    </row>
    <row r="1331" spans="1:17">
      <c r="A1331" s="12">
        <v>42970</v>
      </c>
      <c r="B1331" s="10">
        <v>3.33</v>
      </c>
      <c r="C1331" s="10">
        <v>2.33</v>
      </c>
      <c r="D1331" s="10">
        <v>2</v>
      </c>
      <c r="E1331" s="10">
        <v>42</v>
      </c>
      <c r="F1331" s="10">
        <v>8</v>
      </c>
      <c r="G1331" s="10">
        <v>0</v>
      </c>
      <c r="H1331" s="10">
        <v>9</v>
      </c>
      <c r="I1331" s="10">
        <v>3</v>
      </c>
      <c r="J1331" s="10">
        <f>SUM(B1331:I1331)</f>
        <v>69.66</v>
      </c>
      <c r="K1331">
        <v>2017</v>
      </c>
      <c r="L1331">
        <v>8</v>
      </c>
      <c r="M1331" s="11">
        <v>42948</v>
      </c>
      <c r="N1331" t="s">
        <v>2180</v>
      </c>
      <c r="O1331">
        <v>3</v>
      </c>
      <c r="P1331" t="s">
        <v>65</v>
      </c>
      <c r="Q1331" t="b">
        <v>1</v>
      </c>
    </row>
    <row r="1332" spans="1:17">
      <c r="A1332" s="12">
        <v>42971</v>
      </c>
      <c r="B1332" s="10">
        <v>8</v>
      </c>
      <c r="C1332" s="10">
        <v>9.053000000000001</v>
      </c>
      <c r="D1332" s="10">
        <v>2</v>
      </c>
      <c r="E1332" s="10">
        <v>27</v>
      </c>
      <c r="F1332" s="10">
        <v>13</v>
      </c>
      <c r="G1332" s="10">
        <v>0</v>
      </c>
      <c r="H1332" s="10">
        <v>1</v>
      </c>
      <c r="I1332" s="10">
        <v>3</v>
      </c>
      <c r="J1332" s="10">
        <f>SUM(B1332:I1332)</f>
        <v>63.053</v>
      </c>
      <c r="K1332">
        <v>2017</v>
      </c>
      <c r="L1332">
        <v>8</v>
      </c>
      <c r="M1332" s="11">
        <v>42948</v>
      </c>
      <c r="N1332" t="s">
        <v>2180</v>
      </c>
      <c r="O1332">
        <v>4</v>
      </c>
      <c r="P1332" t="s">
        <v>53</v>
      </c>
      <c r="Q1332" t="b">
        <v>1</v>
      </c>
    </row>
    <row r="1333" spans="1:17">
      <c r="A1333" s="12">
        <v>42972</v>
      </c>
      <c r="B1333" s="10">
        <v>6</v>
      </c>
      <c r="C1333" s="10">
        <v>3.01</v>
      </c>
      <c r="D1333" s="10">
        <v>1</v>
      </c>
      <c r="E1333" s="10">
        <v>20.25</v>
      </c>
      <c r="F1333" s="10">
        <v>17</v>
      </c>
      <c r="G1333" s="10">
        <v>0</v>
      </c>
      <c r="H1333" s="10">
        <v>0</v>
      </c>
      <c r="I1333" s="10">
        <v>1</v>
      </c>
      <c r="J1333" s="10">
        <f>SUM(B1333:I1333)</f>
        <v>48.26</v>
      </c>
      <c r="K1333">
        <v>2017</v>
      </c>
      <c r="L1333">
        <v>8</v>
      </c>
      <c r="M1333" s="11">
        <v>42948</v>
      </c>
      <c r="N1333" t="s">
        <v>2180</v>
      </c>
      <c r="O1333">
        <v>5</v>
      </c>
      <c r="P1333" t="s">
        <v>55</v>
      </c>
      <c r="Q1333" t="b">
        <v>1</v>
      </c>
    </row>
    <row r="1334" spans="1:17">
      <c r="A1334" s="12">
        <v>42973</v>
      </c>
      <c r="B1334" s="10">
        <v>4.99</v>
      </c>
      <c r="C1334" s="10">
        <v>3.516</v>
      </c>
      <c r="D1334" s="10">
        <v>1</v>
      </c>
      <c r="E1334" s="10">
        <v>19</v>
      </c>
      <c r="F1334" s="10">
        <v>10</v>
      </c>
      <c r="G1334" s="10">
        <v>0</v>
      </c>
      <c r="H1334" s="10">
        <v>6</v>
      </c>
      <c r="I1334" s="10">
        <v>2</v>
      </c>
      <c r="J1334" s="10">
        <f>SUM(B1334:I1334)</f>
        <v>46.506</v>
      </c>
      <c r="K1334">
        <v>2017</v>
      </c>
      <c r="L1334">
        <v>8</v>
      </c>
      <c r="M1334" s="11">
        <v>42948</v>
      </c>
      <c r="N1334" t="s">
        <v>2180</v>
      </c>
      <c r="O1334">
        <v>6</v>
      </c>
      <c r="P1334" t="s">
        <v>57</v>
      </c>
      <c r="Q1334" t="b">
        <v>1</v>
      </c>
    </row>
    <row r="1335" spans="1:17">
      <c r="A1335" s="12">
        <v>42974</v>
      </c>
      <c r="B1335" s="10">
        <v>3</v>
      </c>
      <c r="C1335" s="10">
        <v>5.34</v>
      </c>
      <c r="D1335" s="10">
        <v>1</v>
      </c>
      <c r="E1335" s="10">
        <v>21.3</v>
      </c>
      <c r="F1335" s="10">
        <v>5</v>
      </c>
      <c r="G1335" s="10">
        <v>2</v>
      </c>
      <c r="H1335" s="10">
        <v>7</v>
      </c>
      <c r="I1335" s="10">
        <v>1</v>
      </c>
      <c r="J1335" s="10">
        <f>SUM(B1335:I1335)</f>
        <v>45.64</v>
      </c>
      <c r="K1335">
        <v>2017</v>
      </c>
      <c r="L1335">
        <v>8</v>
      </c>
      <c r="M1335" s="11">
        <v>42948</v>
      </c>
      <c r="N1335" t="s">
        <v>2180</v>
      </c>
      <c r="O1335">
        <v>7</v>
      </c>
      <c r="P1335" t="s">
        <v>59</v>
      </c>
      <c r="Q1335" t="b">
        <v>1</v>
      </c>
    </row>
    <row r="1336" spans="1:17">
      <c r="A1336" s="12">
        <v>42975</v>
      </c>
      <c r="B1336" s="10">
        <v>8</v>
      </c>
      <c r="C1336" s="10">
        <v>7</v>
      </c>
      <c r="D1336" s="10">
        <v>5</v>
      </c>
      <c r="E1336" s="10">
        <v>16</v>
      </c>
      <c r="F1336" s="10">
        <v>12</v>
      </c>
      <c r="G1336" s="10">
        <v>0</v>
      </c>
      <c r="H1336" s="10">
        <v>1</v>
      </c>
      <c r="I1336" s="10">
        <v>3</v>
      </c>
      <c r="J1336" s="10">
        <f>SUM(B1336:I1336)</f>
        <v>52.0</v>
      </c>
      <c r="K1336">
        <v>2017</v>
      </c>
      <c r="L1336">
        <v>8</v>
      </c>
      <c r="M1336" s="11">
        <v>42948</v>
      </c>
      <c r="N1336" t="s">
        <v>2180</v>
      </c>
      <c r="O1336">
        <v>1</v>
      </c>
      <c r="P1336" t="s">
        <v>61</v>
      </c>
      <c r="Q1336" t="b">
        <v>1</v>
      </c>
    </row>
    <row r="1337" spans="1:17">
      <c r="A1337" s="12">
        <v>42976</v>
      </c>
      <c r="B1337" s="10">
        <v>7</v>
      </c>
      <c r="C1337" s="10">
        <v>3.066</v>
      </c>
      <c r="D1337" s="10">
        <v>3.5</v>
      </c>
      <c r="E1337" s="10">
        <v>17</v>
      </c>
      <c r="F1337" s="10">
        <v>5</v>
      </c>
      <c r="G1337" s="10">
        <v>0</v>
      </c>
      <c r="H1337" s="10">
        <v>11</v>
      </c>
      <c r="I1337" s="10">
        <v>2.1</v>
      </c>
      <c r="J1337" s="10">
        <f>SUM(B1337:I1337)</f>
        <v>48.666000000000004</v>
      </c>
      <c r="K1337">
        <v>2017</v>
      </c>
      <c r="L1337">
        <v>8</v>
      </c>
      <c r="M1337" s="11">
        <v>42948</v>
      </c>
      <c r="N1337" t="s">
        <v>2180</v>
      </c>
      <c r="O1337">
        <v>2</v>
      </c>
      <c r="P1337" t="s">
        <v>63</v>
      </c>
      <c r="Q1337" t="b">
        <v>1</v>
      </c>
    </row>
    <row r="1338" spans="1:17">
      <c r="A1338" s="12">
        <v>42977</v>
      </c>
      <c r="B1338" s="10">
        <v>7.67</v>
      </c>
      <c r="C1338" s="10">
        <v>3.99</v>
      </c>
      <c r="D1338" s="10">
        <v>3.15</v>
      </c>
      <c r="E1338" s="10">
        <v>17</v>
      </c>
      <c r="F1338" s="10">
        <v>4</v>
      </c>
      <c r="G1338" s="10">
        <v>3</v>
      </c>
      <c r="H1338" s="10">
        <v>0</v>
      </c>
      <c r="I1338" s="10">
        <v>2</v>
      </c>
      <c r="J1338" s="10">
        <f>SUM(B1338:I1338)</f>
        <v>40.81</v>
      </c>
      <c r="K1338">
        <v>2017</v>
      </c>
      <c r="L1338">
        <v>8</v>
      </c>
      <c r="M1338" s="11">
        <v>42948</v>
      </c>
      <c r="N1338" t="s">
        <v>2180</v>
      </c>
      <c r="O1338">
        <v>3</v>
      </c>
      <c r="P1338" t="s">
        <v>65</v>
      </c>
      <c r="Q1338" t="b">
        <v>1</v>
      </c>
    </row>
    <row r="1339" spans="1:17">
      <c r="A1339" s="12">
        <v>42978</v>
      </c>
      <c r="B1339" s="10">
        <v>16.68</v>
      </c>
      <c r="C1339" s="10">
        <v>3.033</v>
      </c>
      <c r="D1339" s="10">
        <v>3.05</v>
      </c>
      <c r="E1339" s="10">
        <v>17</v>
      </c>
      <c r="F1339" s="10">
        <v>4</v>
      </c>
      <c r="G1339" s="10">
        <v>0</v>
      </c>
      <c r="H1339" s="10">
        <v>0</v>
      </c>
      <c r="I1339" s="10">
        <v>1</v>
      </c>
      <c r="J1339" s="10">
        <f>SUM(B1339:I1339)</f>
        <v>44.763000000000005</v>
      </c>
      <c r="K1339">
        <v>2017</v>
      </c>
      <c r="L1339">
        <v>8</v>
      </c>
      <c r="M1339" s="11">
        <v>42948</v>
      </c>
      <c r="N1339" t="s">
        <v>2180</v>
      </c>
      <c r="O1339">
        <v>4</v>
      </c>
      <c r="P1339" t="s">
        <v>53</v>
      </c>
      <c r="Q1339" t="b">
        <v>1</v>
      </c>
    </row>
    <row r="1340" spans="1:17">
      <c r="A1340" s="12">
        <v>42979</v>
      </c>
      <c r="B1340" s="10">
        <v>3.34</v>
      </c>
      <c r="C1340" s="10">
        <v>3</v>
      </c>
      <c r="D1340" s="10">
        <v>5</v>
      </c>
      <c r="E1340" s="10">
        <v>20.6</v>
      </c>
      <c r="F1340" s="10">
        <v>8</v>
      </c>
      <c r="G1340" s="10">
        <v>0</v>
      </c>
      <c r="H1340" s="10">
        <v>2</v>
      </c>
      <c r="I1340" s="10">
        <v>0</v>
      </c>
      <c r="J1340" s="10">
        <f>SUM(B1340:I1340)</f>
        <v>41.94</v>
      </c>
      <c r="K1340">
        <v>2017</v>
      </c>
      <c r="L1340">
        <v>9</v>
      </c>
      <c r="M1340" s="11">
        <v>42979</v>
      </c>
      <c r="N1340" t="s">
        <v>2181</v>
      </c>
      <c r="O1340">
        <v>5</v>
      </c>
      <c r="P1340" t="s">
        <v>55</v>
      </c>
      <c r="Q1340" t="b">
        <v>1</v>
      </c>
    </row>
    <row r="1341" spans="1:17">
      <c r="A1341" s="12">
        <v>42980</v>
      </c>
      <c r="B1341" s="10">
        <v>6.34</v>
      </c>
      <c r="C1341" s="10">
        <v>2.13</v>
      </c>
      <c r="D1341" s="10">
        <v>6</v>
      </c>
      <c r="E1341" s="10">
        <v>18.4</v>
      </c>
      <c r="F1341" s="10">
        <v>8</v>
      </c>
      <c r="G1341" s="10">
        <v>0</v>
      </c>
      <c r="H1341" s="10">
        <v>1</v>
      </c>
      <c r="I1341" s="10">
        <v>3</v>
      </c>
      <c r="J1341" s="10">
        <f>SUM(B1341:I1341)</f>
        <v>44.87</v>
      </c>
      <c r="K1341">
        <v>2017</v>
      </c>
      <c r="L1341">
        <v>9</v>
      </c>
      <c r="M1341" s="11">
        <v>42979</v>
      </c>
      <c r="N1341" t="s">
        <v>2181</v>
      </c>
      <c r="O1341">
        <v>6</v>
      </c>
      <c r="P1341" t="s">
        <v>57</v>
      </c>
      <c r="Q1341" t="b">
        <v>1</v>
      </c>
    </row>
    <row r="1342" spans="1:17">
      <c r="A1342" s="12">
        <v>42981</v>
      </c>
      <c r="B1342" s="10">
        <v>6.83</v>
      </c>
      <c r="C1342" s="10">
        <v>5.462</v>
      </c>
      <c r="D1342" s="10">
        <v>2</v>
      </c>
      <c r="E1342" s="10">
        <v>18.4</v>
      </c>
      <c r="F1342" s="10">
        <v>7</v>
      </c>
      <c r="G1342" s="10">
        <v>0</v>
      </c>
      <c r="H1342" s="10">
        <v>1</v>
      </c>
      <c r="I1342" s="10">
        <v>3</v>
      </c>
      <c r="J1342" s="10">
        <f>SUM(B1342:I1342)</f>
        <v>43.692</v>
      </c>
      <c r="K1342">
        <v>2017</v>
      </c>
      <c r="L1342">
        <v>9</v>
      </c>
      <c r="M1342" s="11">
        <v>42979</v>
      </c>
      <c r="N1342" t="s">
        <v>2181</v>
      </c>
      <c r="O1342">
        <v>7</v>
      </c>
      <c r="P1342" t="s">
        <v>59</v>
      </c>
      <c r="Q1342" t="b">
        <v>1</v>
      </c>
    </row>
    <row r="1343" spans="1:17">
      <c r="A1343" s="12">
        <v>42982</v>
      </c>
      <c r="B1343" s="10">
        <v>6.5</v>
      </c>
      <c r="C1343" s="10">
        <v>3.33</v>
      </c>
      <c r="D1343" s="10">
        <v>6</v>
      </c>
      <c r="E1343" s="10">
        <v>24</v>
      </c>
      <c r="F1343" s="10">
        <v>7</v>
      </c>
      <c r="G1343" s="10">
        <v>0</v>
      </c>
      <c r="H1343" s="10">
        <v>0</v>
      </c>
      <c r="I1343" s="10">
        <v>3</v>
      </c>
      <c r="J1343" s="10">
        <f>SUM(B1343:I1343)</f>
        <v>49.83</v>
      </c>
      <c r="K1343">
        <v>2017</v>
      </c>
      <c r="L1343">
        <v>9</v>
      </c>
      <c r="M1343" s="11">
        <v>42979</v>
      </c>
      <c r="N1343" t="s">
        <v>2181</v>
      </c>
      <c r="O1343">
        <v>1</v>
      </c>
      <c r="P1343" t="s">
        <v>61</v>
      </c>
      <c r="Q1343" t="b">
        <v>1</v>
      </c>
    </row>
    <row r="1344" spans="1:17">
      <c r="A1344" s="12">
        <v>42983</v>
      </c>
      <c r="B1344" s="10">
        <v>6.17</v>
      </c>
      <c r="C1344" s="10">
        <v>4.02</v>
      </c>
      <c r="D1344" s="10">
        <v>4</v>
      </c>
      <c r="E1344" s="10">
        <v>19.1</v>
      </c>
      <c r="F1344" s="10">
        <v>7</v>
      </c>
      <c r="G1344" s="10">
        <v>1</v>
      </c>
      <c r="H1344" s="10">
        <v>2</v>
      </c>
      <c r="I1344" s="10">
        <v>1.3</v>
      </c>
      <c r="J1344" s="10">
        <f>SUM(B1344:I1344)</f>
        <v>44.589999999999996</v>
      </c>
      <c r="K1344">
        <v>2017</v>
      </c>
      <c r="L1344">
        <v>9</v>
      </c>
      <c r="M1344" s="11">
        <v>42979</v>
      </c>
      <c r="N1344" t="s">
        <v>2181</v>
      </c>
      <c r="O1344">
        <v>2</v>
      </c>
      <c r="P1344" t="s">
        <v>63</v>
      </c>
      <c r="Q1344" t="b">
        <v>1</v>
      </c>
    </row>
    <row r="1345" spans="1:17">
      <c r="A1345" s="12">
        <v>42984</v>
      </c>
      <c r="B1345" s="10">
        <v>4.33</v>
      </c>
      <c r="C1345" s="10">
        <v>3</v>
      </c>
      <c r="D1345" s="10">
        <v>5</v>
      </c>
      <c r="E1345" s="10">
        <v>32</v>
      </c>
      <c r="F1345" s="10">
        <v>6</v>
      </c>
      <c r="G1345" s="10">
        <v>0</v>
      </c>
      <c r="H1345" s="10">
        <v>3</v>
      </c>
      <c r="I1345" s="10">
        <v>3</v>
      </c>
      <c r="J1345" s="10">
        <f>SUM(B1345:I1345)</f>
        <v>56.33</v>
      </c>
      <c r="K1345">
        <v>2017</v>
      </c>
      <c r="L1345">
        <v>9</v>
      </c>
      <c r="M1345" s="11">
        <v>42979</v>
      </c>
      <c r="N1345" t="s">
        <v>2181</v>
      </c>
      <c r="O1345">
        <v>3</v>
      </c>
      <c r="P1345" t="s">
        <v>65</v>
      </c>
      <c r="Q1345" t="b">
        <v>1</v>
      </c>
    </row>
    <row r="1346" spans="1:17">
      <c r="A1346" s="12">
        <v>42985</v>
      </c>
      <c r="B1346" s="10">
        <v>3</v>
      </c>
      <c r="C1346" s="10">
        <v>1</v>
      </c>
      <c r="D1346" s="10">
        <v>3.2</v>
      </c>
      <c r="E1346" s="10">
        <v>18</v>
      </c>
      <c r="F1346" s="10">
        <v>2</v>
      </c>
      <c r="G1346" s="10">
        <v>0</v>
      </c>
      <c r="H1346" s="10">
        <v>0</v>
      </c>
      <c r="I1346" s="10">
        <v>2</v>
      </c>
      <c r="J1346" s="10">
        <f>SUM(B1346:I1346)</f>
        <v>29.2</v>
      </c>
      <c r="K1346">
        <v>2017</v>
      </c>
      <c r="L1346">
        <v>9</v>
      </c>
      <c r="M1346" s="11">
        <v>42979</v>
      </c>
      <c r="N1346" t="s">
        <v>2181</v>
      </c>
      <c r="O1346">
        <v>4</v>
      </c>
      <c r="P1346" t="s">
        <v>53</v>
      </c>
      <c r="Q1346" t="b">
        <v>1</v>
      </c>
    </row>
    <row r="1347" spans="1:17">
      <c r="A1347" s="12">
        <v>42986</v>
      </c>
      <c r="B1347" s="10">
        <v>8.83</v>
      </c>
      <c r="C1347" s="10">
        <v>7.32</v>
      </c>
      <c r="D1347" s="10">
        <v>3.1</v>
      </c>
      <c r="E1347" s="10">
        <v>34</v>
      </c>
      <c r="F1347" s="10">
        <v>8</v>
      </c>
      <c r="G1347" s="10">
        <v>0</v>
      </c>
      <c r="H1347" s="10">
        <v>3</v>
      </c>
      <c r="I1347" s="10">
        <v>4</v>
      </c>
      <c r="J1347" s="10">
        <f>SUM(B1347:I1347)</f>
        <v>68.25</v>
      </c>
      <c r="K1347">
        <v>2017</v>
      </c>
      <c r="L1347">
        <v>9</v>
      </c>
      <c r="M1347" s="11">
        <v>42979</v>
      </c>
      <c r="N1347" t="s">
        <v>2181</v>
      </c>
      <c r="O1347">
        <v>5</v>
      </c>
      <c r="P1347" t="s">
        <v>55</v>
      </c>
      <c r="Q1347" t="b">
        <v>1</v>
      </c>
    </row>
    <row r="1348" spans="1:17">
      <c r="A1348" s="12">
        <v>42987</v>
      </c>
      <c r="B1348" s="10">
        <v>6</v>
      </c>
      <c r="C1348" s="10">
        <v>8.34</v>
      </c>
      <c r="D1348" s="10">
        <v>2.5</v>
      </c>
      <c r="E1348" s="10">
        <v>20</v>
      </c>
      <c r="F1348" s="10">
        <v>7</v>
      </c>
      <c r="G1348" s="10">
        <v>0</v>
      </c>
      <c r="H1348" s="10">
        <v>0</v>
      </c>
      <c r="I1348" s="10">
        <v>4</v>
      </c>
      <c r="J1348" s="10">
        <f>SUM(B1348:I1348)</f>
        <v>47.84</v>
      </c>
      <c r="K1348">
        <v>2017</v>
      </c>
      <c r="L1348">
        <v>9</v>
      </c>
      <c r="M1348" s="11">
        <v>42979</v>
      </c>
      <c r="N1348" t="s">
        <v>2181</v>
      </c>
      <c r="O1348">
        <v>6</v>
      </c>
      <c r="P1348" t="s">
        <v>57</v>
      </c>
      <c r="Q1348" t="b">
        <v>1</v>
      </c>
    </row>
    <row r="1349" spans="1:17">
      <c r="A1349" s="12">
        <v>42988</v>
      </c>
      <c r="B1349" s="10">
        <v>3.34</v>
      </c>
      <c r="C1349" s="10">
        <v>5.35</v>
      </c>
      <c r="D1349" s="10">
        <v>1</v>
      </c>
      <c r="E1349" s="10">
        <v>35.6</v>
      </c>
      <c r="F1349" s="10">
        <v>7</v>
      </c>
      <c r="G1349" s="10">
        <v>0</v>
      </c>
      <c r="H1349" s="10">
        <v>0</v>
      </c>
      <c r="I1349" s="10">
        <v>4.2</v>
      </c>
      <c r="J1349" s="10">
        <f>SUM(B1349:I1349)</f>
        <v>56.49</v>
      </c>
      <c r="K1349">
        <v>2017</v>
      </c>
      <c r="L1349">
        <v>9</v>
      </c>
      <c r="M1349" s="11">
        <v>42979</v>
      </c>
      <c r="N1349" t="s">
        <v>2181</v>
      </c>
      <c r="O1349">
        <v>7</v>
      </c>
      <c r="P1349" t="s">
        <v>59</v>
      </c>
      <c r="Q1349" t="b">
        <v>1</v>
      </c>
    </row>
    <row r="1350" spans="1:17">
      <c r="A1350" s="12">
        <v>42989</v>
      </c>
      <c r="B1350" s="10">
        <v>2</v>
      </c>
      <c r="C1350" s="10">
        <v>3.373</v>
      </c>
      <c r="D1350" s="10">
        <v>2</v>
      </c>
      <c r="E1350" s="10">
        <v>12</v>
      </c>
      <c r="F1350" s="10">
        <v>16</v>
      </c>
      <c r="G1350" s="10">
        <v>0</v>
      </c>
      <c r="H1350" s="10">
        <v>0</v>
      </c>
      <c r="I1350" s="10">
        <v>2</v>
      </c>
      <c r="J1350" s="10">
        <f>SUM(B1350:I1350)</f>
        <v>37.373000000000005</v>
      </c>
      <c r="K1350">
        <v>2017</v>
      </c>
      <c r="L1350">
        <v>9</v>
      </c>
      <c r="M1350" s="11">
        <v>42979</v>
      </c>
      <c r="N1350" t="s">
        <v>2181</v>
      </c>
      <c r="O1350">
        <v>1</v>
      </c>
      <c r="P1350" t="s">
        <v>61</v>
      </c>
      <c r="Q1350" t="b">
        <v>1</v>
      </c>
    </row>
    <row r="1351" spans="1:17">
      <c r="A1351" s="12">
        <v>42990</v>
      </c>
      <c r="B1351" s="10">
        <v>1</v>
      </c>
      <c r="C1351" s="10">
        <v>4.35</v>
      </c>
      <c r="D1351" s="10">
        <v>5.2</v>
      </c>
      <c r="E1351" s="10">
        <v>18.25</v>
      </c>
      <c r="F1351" s="10">
        <v>6</v>
      </c>
      <c r="G1351" s="10">
        <v>1</v>
      </c>
      <c r="H1351" s="10">
        <v>1</v>
      </c>
      <c r="I1351" s="10">
        <v>2.2</v>
      </c>
      <c r="J1351" s="10">
        <f>SUM(B1351:I1351)</f>
        <v>39.0</v>
      </c>
      <c r="K1351">
        <v>2017</v>
      </c>
      <c r="L1351">
        <v>9</v>
      </c>
      <c r="M1351" s="11">
        <v>42979</v>
      </c>
      <c r="N1351" t="s">
        <v>2181</v>
      </c>
      <c r="O1351">
        <v>2</v>
      </c>
      <c r="P1351" t="s">
        <v>63</v>
      </c>
      <c r="Q1351" t="b">
        <v>1</v>
      </c>
    </row>
    <row r="1352" spans="1:17">
      <c r="A1352" s="12">
        <v>42991</v>
      </c>
      <c r="B1352" s="10">
        <v>4</v>
      </c>
      <c r="C1352" s="10">
        <v>0.66</v>
      </c>
      <c r="D1352" s="10">
        <v>2</v>
      </c>
      <c r="E1352" s="10">
        <v>25</v>
      </c>
      <c r="F1352" s="10">
        <v>16</v>
      </c>
      <c r="G1352" s="10">
        <v>0</v>
      </c>
      <c r="H1352" s="10">
        <v>5</v>
      </c>
      <c r="I1352" s="10">
        <v>0</v>
      </c>
      <c r="J1352" s="10">
        <f>SUM(B1352:I1352)</f>
        <v>52.66</v>
      </c>
      <c r="K1352">
        <v>2017</v>
      </c>
      <c r="L1352">
        <v>9</v>
      </c>
      <c r="M1352" s="11">
        <v>42979</v>
      </c>
      <c r="N1352" t="s">
        <v>2181</v>
      </c>
      <c r="O1352">
        <v>3</v>
      </c>
      <c r="P1352" t="s">
        <v>65</v>
      </c>
      <c r="Q1352" t="b">
        <v>1</v>
      </c>
    </row>
    <row r="1353" spans="1:17">
      <c r="A1353" s="12">
        <v>42992</v>
      </c>
      <c r="B1353" s="10">
        <v>5</v>
      </c>
      <c r="C1353" s="10">
        <v>5.34</v>
      </c>
      <c r="D1353" s="10">
        <v>5</v>
      </c>
      <c r="E1353" s="10">
        <v>22.4</v>
      </c>
      <c r="F1353" s="10">
        <v>6</v>
      </c>
      <c r="G1353" s="10">
        <v>0</v>
      </c>
      <c r="H1353" s="10">
        <v>9</v>
      </c>
      <c r="I1353" s="10">
        <v>5</v>
      </c>
      <c r="J1353" s="10">
        <f>SUM(B1353:I1353)</f>
        <v>57.739999999999995</v>
      </c>
      <c r="K1353">
        <v>2017</v>
      </c>
      <c r="L1353">
        <v>9</v>
      </c>
      <c r="M1353" s="11">
        <v>42979</v>
      </c>
      <c r="N1353" t="s">
        <v>2181</v>
      </c>
      <c r="O1353">
        <v>4</v>
      </c>
      <c r="P1353" t="s">
        <v>53</v>
      </c>
      <c r="Q1353" t="b">
        <v>1</v>
      </c>
    </row>
    <row r="1354" spans="1:17">
      <c r="A1354" s="12">
        <v>42993</v>
      </c>
      <c r="B1354" s="10">
        <v>3</v>
      </c>
      <c r="C1354" s="10">
        <v>3</v>
      </c>
      <c r="D1354" s="10">
        <v>3</v>
      </c>
      <c r="E1354" s="10">
        <v>16</v>
      </c>
      <c r="F1354" s="10">
        <v>12</v>
      </c>
      <c r="G1354" s="10">
        <v>1</v>
      </c>
      <c r="H1354" s="10">
        <v>8</v>
      </c>
      <c r="I1354" s="10">
        <v>3</v>
      </c>
      <c r="J1354" s="10">
        <f>SUM(B1354:I1354)</f>
        <v>49.0</v>
      </c>
      <c r="K1354">
        <v>2017</v>
      </c>
      <c r="L1354">
        <v>9</v>
      </c>
      <c r="M1354" s="11">
        <v>42979</v>
      </c>
      <c r="N1354" t="s">
        <v>2181</v>
      </c>
      <c r="O1354">
        <v>5</v>
      </c>
      <c r="P1354" t="s">
        <v>55</v>
      </c>
      <c r="Q1354" t="b">
        <v>1</v>
      </c>
    </row>
    <row r="1355" spans="1:17">
      <c r="A1355" s="12">
        <v>42994</v>
      </c>
      <c r="B1355" s="10">
        <v>7</v>
      </c>
      <c r="C1355" s="10">
        <v>3</v>
      </c>
      <c r="D1355" s="10">
        <v>3.45</v>
      </c>
      <c r="E1355" s="10">
        <v>27.3</v>
      </c>
      <c r="F1355" s="10">
        <v>11</v>
      </c>
      <c r="G1355" s="10">
        <v>0</v>
      </c>
      <c r="H1355" s="10">
        <v>0</v>
      </c>
      <c r="I1355" s="10">
        <v>1.2</v>
      </c>
      <c r="J1355" s="10">
        <f>SUM(B1355:I1355)</f>
        <v>52.95</v>
      </c>
      <c r="K1355">
        <v>2017</v>
      </c>
      <c r="L1355">
        <v>9</v>
      </c>
      <c r="M1355" s="11">
        <v>42979</v>
      </c>
      <c r="N1355" t="s">
        <v>2181</v>
      </c>
      <c r="O1355">
        <v>6</v>
      </c>
      <c r="P1355" t="s">
        <v>57</v>
      </c>
      <c r="Q1355" t="b">
        <v>1</v>
      </c>
    </row>
    <row r="1356" spans="1:17">
      <c r="A1356" s="12">
        <v>42995</v>
      </c>
      <c r="B1356" s="10">
        <v>5</v>
      </c>
      <c r="C1356" s="10">
        <v>4.34</v>
      </c>
      <c r="D1356" s="10">
        <v>4</v>
      </c>
      <c r="E1356" s="10">
        <v>32</v>
      </c>
      <c r="F1356" s="10">
        <v>6</v>
      </c>
      <c r="G1356" s="10">
        <v>1</v>
      </c>
      <c r="H1356" s="10">
        <v>7</v>
      </c>
      <c r="I1356" s="10">
        <v>5</v>
      </c>
      <c r="J1356" s="10">
        <f>SUM(B1356:I1356)</f>
        <v>64.34</v>
      </c>
      <c r="K1356">
        <v>2017</v>
      </c>
      <c r="L1356">
        <v>9</v>
      </c>
      <c r="M1356" s="11">
        <v>42979</v>
      </c>
      <c r="N1356" t="s">
        <v>2181</v>
      </c>
      <c r="O1356">
        <v>7</v>
      </c>
      <c r="P1356" t="s">
        <v>59</v>
      </c>
      <c r="Q1356" t="b">
        <v>1</v>
      </c>
    </row>
    <row r="1357" spans="1:17">
      <c r="A1357" s="12">
        <v>42996</v>
      </c>
      <c r="B1357" s="10">
        <v>9</v>
      </c>
      <c r="C1357" s="10">
        <v>4.34</v>
      </c>
      <c r="D1357" s="10">
        <v>1</v>
      </c>
      <c r="E1357" s="10">
        <v>27</v>
      </c>
      <c r="F1357" s="10">
        <v>7</v>
      </c>
      <c r="G1357" s="10">
        <v>0</v>
      </c>
      <c r="H1357" s="10">
        <v>1</v>
      </c>
      <c r="I1357" s="10">
        <v>2</v>
      </c>
      <c r="J1357" s="10">
        <f>SUM(B1357:I1357)</f>
        <v>51.34</v>
      </c>
      <c r="K1357">
        <v>2017</v>
      </c>
      <c r="L1357">
        <v>9</v>
      </c>
      <c r="M1357" s="11">
        <v>42979</v>
      </c>
      <c r="N1357" t="s">
        <v>2181</v>
      </c>
      <c r="O1357">
        <v>1</v>
      </c>
      <c r="P1357" t="s">
        <v>61</v>
      </c>
      <c r="Q1357" t="b">
        <v>1</v>
      </c>
    </row>
    <row r="1358" spans="1:17">
      <c r="A1358" s="12">
        <v>42997</v>
      </c>
      <c r="B1358" s="10">
        <v>3.33</v>
      </c>
      <c r="C1358" s="10">
        <v>6.033</v>
      </c>
      <c r="D1358" s="10">
        <v>1</v>
      </c>
      <c r="E1358" s="10">
        <v>43.25</v>
      </c>
      <c r="F1358" s="10">
        <v>6</v>
      </c>
      <c r="G1358" s="10">
        <v>2</v>
      </c>
      <c r="H1358" s="10">
        <v>6</v>
      </c>
      <c r="I1358" s="10">
        <v>9</v>
      </c>
      <c r="J1358" s="10">
        <f>SUM(B1358:I1358)</f>
        <v>76.613</v>
      </c>
      <c r="K1358">
        <v>2017</v>
      </c>
      <c r="L1358">
        <v>9</v>
      </c>
      <c r="M1358" s="11">
        <v>42979</v>
      </c>
      <c r="N1358" t="s">
        <v>2181</v>
      </c>
      <c r="O1358">
        <v>2</v>
      </c>
      <c r="P1358" t="s">
        <v>63</v>
      </c>
      <c r="Q1358" t="b">
        <v>1</v>
      </c>
    </row>
    <row r="1359" spans="1:17">
      <c r="A1359" s="12">
        <v>42998</v>
      </c>
      <c r="B1359" s="10">
        <v>2</v>
      </c>
      <c r="C1359" s="10">
        <v>2.363</v>
      </c>
      <c r="D1359" s="10">
        <v>0.1</v>
      </c>
      <c r="E1359" s="10">
        <v>35.45</v>
      </c>
      <c r="F1359" s="10">
        <v>6</v>
      </c>
      <c r="G1359" s="10">
        <v>0</v>
      </c>
      <c r="H1359" s="10">
        <v>6</v>
      </c>
      <c r="I1359" s="10">
        <v>0</v>
      </c>
      <c r="J1359" s="10">
        <f>SUM(B1359:I1359)</f>
        <v>51.913000000000004</v>
      </c>
      <c r="K1359">
        <v>2017</v>
      </c>
      <c r="L1359">
        <v>9</v>
      </c>
      <c r="M1359" s="11">
        <v>42979</v>
      </c>
      <c r="N1359" t="s">
        <v>2181</v>
      </c>
      <c r="O1359">
        <v>3</v>
      </c>
      <c r="P1359" t="s">
        <v>65</v>
      </c>
      <c r="Q1359" t="b">
        <v>1</v>
      </c>
    </row>
    <row r="1360" spans="1:17">
      <c r="A1360" s="12">
        <v>42999</v>
      </c>
      <c r="B1360" s="10">
        <v>7.34</v>
      </c>
      <c r="C1360" s="10">
        <v>3.696</v>
      </c>
      <c r="D1360" s="10">
        <v>1</v>
      </c>
      <c r="E1360" s="10">
        <v>19.7</v>
      </c>
      <c r="F1360" s="10">
        <v>8</v>
      </c>
      <c r="G1360" s="10">
        <v>2</v>
      </c>
      <c r="H1360" s="10">
        <v>0</v>
      </c>
      <c r="I1360" s="10">
        <v>1</v>
      </c>
      <c r="J1360" s="10">
        <f>SUM(B1360:I1360)</f>
        <v>42.736</v>
      </c>
      <c r="K1360">
        <v>2017</v>
      </c>
      <c r="L1360">
        <v>9</v>
      </c>
      <c r="M1360" s="11">
        <v>42979</v>
      </c>
      <c r="N1360" t="s">
        <v>2181</v>
      </c>
      <c r="O1360">
        <v>4</v>
      </c>
      <c r="P1360" t="s">
        <v>53</v>
      </c>
      <c r="Q1360" t="b">
        <v>1</v>
      </c>
    </row>
    <row r="1361" spans="1:17">
      <c r="A1361" s="12">
        <v>43000</v>
      </c>
      <c r="B1361" s="10">
        <v>4.66</v>
      </c>
      <c r="C1361" s="10">
        <v>2.241</v>
      </c>
      <c r="D1361" s="10">
        <v>3</v>
      </c>
      <c r="E1361" s="10">
        <v>27.5</v>
      </c>
      <c r="F1361" s="10">
        <v>2</v>
      </c>
      <c r="G1361" s="10">
        <v>0</v>
      </c>
      <c r="H1361" s="10">
        <v>0</v>
      </c>
      <c r="I1361" s="10">
        <v>3</v>
      </c>
      <c r="J1361" s="10">
        <f>SUM(B1361:I1361)</f>
        <v>42.400999999999996</v>
      </c>
      <c r="K1361">
        <v>2017</v>
      </c>
      <c r="L1361">
        <v>9</v>
      </c>
      <c r="M1361" s="11">
        <v>42979</v>
      </c>
      <c r="N1361" t="s">
        <v>2181</v>
      </c>
      <c r="O1361">
        <v>5</v>
      </c>
      <c r="P1361" t="s">
        <v>55</v>
      </c>
      <c r="Q1361" t="b">
        <v>1</v>
      </c>
    </row>
    <row r="1362" spans="1:17">
      <c r="A1362" s="12">
        <v>43001</v>
      </c>
      <c r="B1362" s="10">
        <v>9.99</v>
      </c>
      <c r="C1362" s="10">
        <v>6.99</v>
      </c>
      <c r="D1362" s="10">
        <v>3</v>
      </c>
      <c r="E1362" s="10">
        <v>14.45</v>
      </c>
      <c r="F1362" s="10">
        <v>12</v>
      </c>
      <c r="G1362" s="10">
        <v>2</v>
      </c>
      <c r="H1362" s="10">
        <v>0</v>
      </c>
      <c r="I1362" s="10">
        <v>2</v>
      </c>
      <c r="J1362" s="10">
        <f>SUM(B1362:I1362)</f>
        <v>50.43</v>
      </c>
      <c r="K1362">
        <v>2017</v>
      </c>
      <c r="L1362">
        <v>9</v>
      </c>
      <c r="M1362" s="11">
        <v>42979</v>
      </c>
      <c r="N1362" t="s">
        <v>2181</v>
      </c>
      <c r="O1362">
        <v>6</v>
      </c>
      <c r="P1362" t="s">
        <v>57</v>
      </c>
      <c r="Q1362" t="b">
        <v>1</v>
      </c>
    </row>
    <row r="1363" spans="1:17">
      <c r="A1363" s="12">
        <v>43002</v>
      </c>
      <c r="B1363" s="10">
        <v>3.66</v>
      </c>
      <c r="C1363" s="10">
        <v>4.826</v>
      </c>
      <c r="D1363" s="10">
        <v>2</v>
      </c>
      <c r="E1363" s="10">
        <v>52.4</v>
      </c>
      <c r="F1363" s="10">
        <v>7</v>
      </c>
      <c r="G1363" s="10">
        <v>1</v>
      </c>
      <c r="H1363" s="10">
        <v>6</v>
      </c>
      <c r="I1363" s="10">
        <v>1</v>
      </c>
      <c r="J1363" s="10">
        <f>SUM(B1363:I1363)</f>
        <v>77.886</v>
      </c>
      <c r="K1363">
        <v>2017</v>
      </c>
      <c r="L1363">
        <v>9</v>
      </c>
      <c r="M1363" s="11">
        <v>42979</v>
      </c>
      <c r="N1363" t="s">
        <v>2181</v>
      </c>
      <c r="O1363">
        <v>7</v>
      </c>
      <c r="P1363" t="s">
        <v>59</v>
      </c>
      <c r="Q1363" t="b">
        <v>1</v>
      </c>
    </row>
    <row r="1364" spans="1:17">
      <c r="A1364" s="12">
        <v>43003</v>
      </c>
      <c r="B1364" s="10">
        <v>1</v>
      </c>
      <c r="C1364" s="10">
        <v>2.517</v>
      </c>
      <c r="D1364" s="10">
        <v>1</v>
      </c>
      <c r="E1364" s="10">
        <v>39.2</v>
      </c>
      <c r="F1364" s="10">
        <v>7</v>
      </c>
      <c r="G1364" s="10">
        <v>3</v>
      </c>
      <c r="H1364" s="10">
        <v>26</v>
      </c>
      <c r="I1364" s="10">
        <v>1</v>
      </c>
      <c r="J1364" s="10">
        <f>SUM(B1364:I1364)</f>
        <v>80.717</v>
      </c>
      <c r="K1364">
        <v>2017</v>
      </c>
      <c r="L1364">
        <v>9</v>
      </c>
      <c r="M1364" s="11">
        <v>42979</v>
      </c>
      <c r="N1364" t="s">
        <v>2181</v>
      </c>
      <c r="O1364">
        <v>1</v>
      </c>
      <c r="P1364" t="s">
        <v>61</v>
      </c>
      <c r="Q1364" t="b">
        <v>1</v>
      </c>
    </row>
    <row r="1365" spans="1:17">
      <c r="A1365" s="12">
        <v>43004</v>
      </c>
      <c r="B1365" s="10">
        <v>2</v>
      </c>
      <c r="C1365" s="10">
        <v>5.67</v>
      </c>
      <c r="D1365" s="10">
        <v>2.1</v>
      </c>
      <c r="E1365" s="10">
        <v>38.6</v>
      </c>
      <c r="F1365" s="10">
        <v>4</v>
      </c>
      <c r="G1365" s="10">
        <v>0</v>
      </c>
      <c r="H1365" s="10">
        <v>6</v>
      </c>
      <c r="I1365" s="10">
        <v>1</v>
      </c>
      <c r="J1365" s="10">
        <f>SUM(B1365:I1365)</f>
        <v>59.370000000000005</v>
      </c>
      <c r="K1365">
        <v>2017</v>
      </c>
      <c r="L1365">
        <v>9</v>
      </c>
      <c r="M1365" s="11">
        <v>42979</v>
      </c>
      <c r="N1365" t="s">
        <v>2181</v>
      </c>
      <c r="O1365">
        <v>2</v>
      </c>
      <c r="P1365" t="s">
        <v>63</v>
      </c>
      <c r="Q1365" t="b">
        <v>1</v>
      </c>
    </row>
    <row r="1366" spans="1:17">
      <c r="A1366" s="12">
        <v>43005</v>
      </c>
      <c r="B1366" s="10">
        <v>4</v>
      </c>
      <c r="C1366" s="10">
        <v>2.33</v>
      </c>
      <c r="D1366" s="10">
        <v>3</v>
      </c>
      <c r="E1366" s="10">
        <v>38</v>
      </c>
      <c r="F1366" s="10">
        <v>7</v>
      </c>
      <c r="G1366" s="10">
        <v>3</v>
      </c>
      <c r="H1366" s="10">
        <v>3</v>
      </c>
      <c r="I1366" s="10">
        <v>0</v>
      </c>
      <c r="J1366" s="10">
        <f>SUM(B1366:I1366)</f>
        <v>60.33</v>
      </c>
      <c r="K1366">
        <v>2017</v>
      </c>
      <c r="L1366">
        <v>9</v>
      </c>
      <c r="M1366" s="11">
        <v>42979</v>
      </c>
      <c r="N1366" t="s">
        <v>2181</v>
      </c>
      <c r="O1366">
        <v>3</v>
      </c>
      <c r="P1366" t="s">
        <v>65</v>
      </c>
      <c r="Q1366" t="b">
        <v>1</v>
      </c>
    </row>
    <row r="1367" spans="1:17">
      <c r="A1367" s="12">
        <v>43006</v>
      </c>
      <c r="B1367" s="10">
        <v>3.34</v>
      </c>
      <c r="C1367" s="10">
        <v>2.68</v>
      </c>
      <c r="D1367" s="10">
        <v>2.5</v>
      </c>
      <c r="E1367" s="10">
        <v>37.85</v>
      </c>
      <c r="F1367" s="10">
        <v>3</v>
      </c>
      <c r="G1367" s="10">
        <v>0</v>
      </c>
      <c r="H1367" s="10">
        <v>10</v>
      </c>
      <c r="I1367" s="10">
        <v>0</v>
      </c>
      <c r="J1367" s="10">
        <f>SUM(B1367:I1367)</f>
        <v>59.370000000000005</v>
      </c>
      <c r="K1367">
        <v>2017</v>
      </c>
      <c r="L1367">
        <v>9</v>
      </c>
      <c r="M1367" s="11">
        <v>42979</v>
      </c>
      <c r="N1367" t="s">
        <v>2181</v>
      </c>
      <c r="O1367">
        <v>4</v>
      </c>
      <c r="P1367" t="s">
        <v>53</v>
      </c>
      <c r="Q1367" t="b">
        <v>1</v>
      </c>
    </row>
    <row r="1368" spans="1:17">
      <c r="A1368" s="12">
        <v>43007</v>
      </c>
      <c r="B1368" s="10">
        <v>1</v>
      </c>
      <c r="C1368" s="10">
        <v>5</v>
      </c>
      <c r="D1368" s="10">
        <v>3</v>
      </c>
      <c r="E1368" s="10">
        <v>35.4</v>
      </c>
      <c r="F1368" s="10">
        <v>8</v>
      </c>
      <c r="G1368" s="10">
        <v>6</v>
      </c>
      <c r="H1368" s="10">
        <v>5</v>
      </c>
      <c r="I1368" s="10">
        <v>1</v>
      </c>
      <c r="J1368" s="10">
        <f>SUM(B1368:I1368)</f>
        <v>64.4</v>
      </c>
      <c r="K1368">
        <v>2017</v>
      </c>
      <c r="L1368">
        <v>9</v>
      </c>
      <c r="M1368" s="11">
        <v>42979</v>
      </c>
      <c r="N1368" t="s">
        <v>2181</v>
      </c>
      <c r="O1368">
        <v>5</v>
      </c>
      <c r="P1368" t="s">
        <v>55</v>
      </c>
      <c r="Q1368" t="b">
        <v>1</v>
      </c>
    </row>
    <row r="1369" spans="1:17">
      <c r="A1369" s="12">
        <v>43008</v>
      </c>
      <c r="B1369" s="10">
        <v>5.33</v>
      </c>
      <c r="C1369" s="10">
        <v>3.01</v>
      </c>
      <c r="D1369" s="10">
        <v>3</v>
      </c>
      <c r="E1369" s="10">
        <v>61.9</v>
      </c>
      <c r="F1369" s="10">
        <v>6</v>
      </c>
      <c r="G1369" s="10">
        <v>0</v>
      </c>
      <c r="H1369" s="10">
        <v>28</v>
      </c>
      <c r="I1369" s="10">
        <v>0</v>
      </c>
      <c r="J1369" s="10">
        <f>SUM(B1369:I1369)</f>
        <v>107.24</v>
      </c>
      <c r="K1369">
        <v>2017</v>
      </c>
      <c r="L1369">
        <v>9</v>
      </c>
      <c r="M1369" s="11">
        <v>42979</v>
      </c>
      <c r="N1369" t="s">
        <v>2181</v>
      </c>
      <c r="O1369">
        <v>6</v>
      </c>
      <c r="P1369" t="s">
        <v>57</v>
      </c>
      <c r="Q1369" t="b">
        <v>1</v>
      </c>
    </row>
    <row r="1370" spans="1:17">
      <c r="A1370" s="12">
        <v>43009</v>
      </c>
      <c r="B1370" s="10">
        <v>4</v>
      </c>
      <c r="C1370" s="10">
        <v>5.891</v>
      </c>
      <c r="D1370" s="10">
        <v>3</v>
      </c>
      <c r="E1370" s="10">
        <v>72.09999999999999</v>
      </c>
      <c r="F1370" s="10">
        <v>7</v>
      </c>
      <c r="G1370" s="10">
        <v>1</v>
      </c>
      <c r="H1370" s="10">
        <v>20</v>
      </c>
      <c r="I1370" s="10">
        <v>1</v>
      </c>
      <c r="J1370" s="10">
        <f>SUM(B1370:I1370)</f>
        <v>113.991</v>
      </c>
      <c r="K1370">
        <v>2017</v>
      </c>
      <c r="L1370">
        <v>10</v>
      </c>
      <c r="M1370" s="11">
        <v>43009</v>
      </c>
      <c r="N1370" t="s">
        <v>2182</v>
      </c>
      <c r="O1370">
        <v>7</v>
      </c>
      <c r="P1370" t="s">
        <v>59</v>
      </c>
      <c r="Q1370" t="b">
        <v>1</v>
      </c>
    </row>
    <row r="1371" spans="1:17">
      <c r="A1371" s="12">
        <v>43010</v>
      </c>
      <c r="B1371" s="10">
        <v>8.33</v>
      </c>
      <c r="C1371" s="10">
        <v>2</v>
      </c>
      <c r="D1371" s="10">
        <v>3.15</v>
      </c>
      <c r="E1371" s="10">
        <v>18</v>
      </c>
      <c r="F1371" s="10">
        <v>3</v>
      </c>
      <c r="G1371" s="10">
        <v>1</v>
      </c>
      <c r="H1371" s="10">
        <v>0</v>
      </c>
      <c r="I1371" s="10">
        <v>0</v>
      </c>
      <c r="J1371" s="10">
        <f>SUM(B1371:I1371)</f>
        <v>35.480000000000004</v>
      </c>
      <c r="K1371">
        <v>2017</v>
      </c>
      <c r="L1371">
        <v>10</v>
      </c>
      <c r="M1371" s="11">
        <v>43009</v>
      </c>
      <c r="N1371" t="s">
        <v>2182</v>
      </c>
      <c r="O1371">
        <v>1</v>
      </c>
      <c r="P1371" t="s">
        <v>61</v>
      </c>
      <c r="Q1371" t="b">
        <v>1</v>
      </c>
    </row>
    <row r="1372" spans="1:17">
      <c r="A1372" s="12">
        <v>43011</v>
      </c>
      <c r="B1372" s="10">
        <v>0.34</v>
      </c>
      <c r="C1372" s="10">
        <v>2.1</v>
      </c>
      <c r="D1372" s="10">
        <v>3.15</v>
      </c>
      <c r="E1372" s="10">
        <v>57.2</v>
      </c>
      <c r="F1372" s="10">
        <v>21</v>
      </c>
      <c r="G1372" s="10">
        <v>3</v>
      </c>
      <c r="H1372" s="10">
        <v>5</v>
      </c>
      <c r="I1372" s="10">
        <v>2</v>
      </c>
      <c r="J1372" s="10">
        <f>SUM(B1372:I1372)</f>
        <v>93.79</v>
      </c>
      <c r="K1372">
        <v>2017</v>
      </c>
      <c r="L1372">
        <v>10</v>
      </c>
      <c r="M1372" s="11">
        <v>43009</v>
      </c>
      <c r="N1372" t="s">
        <v>2182</v>
      </c>
      <c r="O1372">
        <v>2</v>
      </c>
      <c r="P1372" t="s">
        <v>63</v>
      </c>
      <c r="Q1372" t="b">
        <v>1</v>
      </c>
    </row>
    <row r="1373" spans="1:17">
      <c r="A1373" s="12">
        <v>43012</v>
      </c>
      <c r="B1373" s="10">
        <v>2</v>
      </c>
      <c r="C1373" s="10">
        <v>4.33</v>
      </c>
      <c r="D1373" s="10">
        <v>4</v>
      </c>
      <c r="E1373" s="10">
        <v>37</v>
      </c>
      <c r="F1373" s="10">
        <v>6</v>
      </c>
      <c r="G1373" s="10">
        <v>0</v>
      </c>
      <c r="H1373" s="10">
        <v>2</v>
      </c>
      <c r="I1373" s="10">
        <v>1</v>
      </c>
      <c r="J1373" s="10">
        <f>SUM(B1373:I1373)</f>
        <v>56.33</v>
      </c>
      <c r="K1373">
        <v>2017</v>
      </c>
      <c r="L1373">
        <v>10</v>
      </c>
      <c r="M1373" s="11">
        <v>43009</v>
      </c>
      <c r="N1373" t="s">
        <v>2182</v>
      </c>
      <c r="O1373">
        <v>3</v>
      </c>
      <c r="P1373" t="s">
        <v>65</v>
      </c>
      <c r="Q1373" t="b">
        <v>1</v>
      </c>
    </row>
    <row r="1374" spans="1:17">
      <c r="A1374" s="12">
        <v>43013</v>
      </c>
      <c r="B1374" s="10">
        <v>5.33</v>
      </c>
      <c r="C1374" s="10">
        <v>3.99</v>
      </c>
      <c r="D1374" s="10">
        <v>5</v>
      </c>
      <c r="E1374" s="10">
        <v>40.8</v>
      </c>
      <c r="F1374" s="10">
        <v>5</v>
      </c>
      <c r="G1374" s="10">
        <v>0</v>
      </c>
      <c r="H1374" s="10">
        <v>11</v>
      </c>
      <c r="I1374" s="10">
        <v>2</v>
      </c>
      <c r="J1374" s="10">
        <f>SUM(B1374:I1374)</f>
        <v>73.12</v>
      </c>
      <c r="K1374">
        <v>2017</v>
      </c>
      <c r="L1374">
        <v>10</v>
      </c>
      <c r="M1374" s="11">
        <v>43009</v>
      </c>
      <c r="N1374" t="s">
        <v>2182</v>
      </c>
      <c r="O1374">
        <v>4</v>
      </c>
      <c r="P1374" t="s">
        <v>53</v>
      </c>
      <c r="Q1374" t="b">
        <v>1</v>
      </c>
    </row>
    <row r="1375" spans="1:17">
      <c r="A1375" s="12">
        <v>43014</v>
      </c>
      <c r="B1375" s="10">
        <v>3.99</v>
      </c>
      <c r="C1375" s="10">
        <v>4.66</v>
      </c>
      <c r="D1375" s="10">
        <v>1</v>
      </c>
      <c r="E1375" s="10">
        <v>39.8</v>
      </c>
      <c r="F1375" s="10">
        <v>7</v>
      </c>
      <c r="G1375" s="10">
        <v>0</v>
      </c>
      <c r="H1375" s="10">
        <v>6</v>
      </c>
      <c r="I1375" s="10">
        <v>2</v>
      </c>
      <c r="J1375" s="10">
        <f>SUM(B1375:I1375)</f>
        <v>64.44999999999999</v>
      </c>
      <c r="K1375">
        <v>2017</v>
      </c>
      <c r="L1375">
        <v>10</v>
      </c>
      <c r="M1375" s="11">
        <v>43009</v>
      </c>
      <c r="N1375" t="s">
        <v>2182</v>
      </c>
      <c r="O1375">
        <v>5</v>
      </c>
      <c r="P1375" t="s">
        <v>55</v>
      </c>
      <c r="Q1375" t="b">
        <v>1</v>
      </c>
    </row>
    <row r="1376" spans="1:17">
      <c r="A1376" s="12">
        <v>43015</v>
      </c>
      <c r="B1376" s="10">
        <v>4</v>
      </c>
      <c r="C1376" s="10">
        <v>2.023</v>
      </c>
      <c r="D1376" s="10">
        <v>2</v>
      </c>
      <c r="E1376" s="10">
        <v>35.25</v>
      </c>
      <c r="F1376" s="10">
        <v>4</v>
      </c>
      <c r="G1376" s="10">
        <v>0</v>
      </c>
      <c r="H1376" s="10">
        <v>10</v>
      </c>
      <c r="I1376" s="10">
        <v>1</v>
      </c>
      <c r="J1376" s="10">
        <f>SUM(B1376:I1376)</f>
        <v>58.272999999999996</v>
      </c>
      <c r="K1376">
        <v>2017</v>
      </c>
      <c r="L1376">
        <v>10</v>
      </c>
      <c r="M1376" s="11">
        <v>43009</v>
      </c>
      <c r="N1376" t="s">
        <v>2182</v>
      </c>
      <c r="O1376">
        <v>6</v>
      </c>
      <c r="P1376" t="s">
        <v>57</v>
      </c>
      <c r="Q1376" t="b">
        <v>1</v>
      </c>
    </row>
    <row r="1377" spans="1:17">
      <c r="A1377" s="12">
        <v>43016</v>
      </c>
      <c r="B1377" s="10">
        <v>8.67</v>
      </c>
      <c r="C1377" s="10">
        <v>3.261</v>
      </c>
      <c r="D1377" s="10">
        <v>5.2</v>
      </c>
      <c r="E1377" s="10">
        <v>77.09999999999999</v>
      </c>
      <c r="F1377" s="10">
        <v>2</v>
      </c>
      <c r="G1377" s="10">
        <v>0</v>
      </c>
      <c r="H1377" s="10">
        <v>15</v>
      </c>
      <c r="I1377" s="10">
        <v>4</v>
      </c>
      <c r="J1377" s="10">
        <f>SUM(B1377:I1377)</f>
        <v>115.231</v>
      </c>
      <c r="K1377">
        <v>2017</v>
      </c>
      <c r="L1377">
        <v>10</v>
      </c>
      <c r="M1377" s="11">
        <v>43009</v>
      </c>
      <c r="N1377" t="s">
        <v>2182</v>
      </c>
      <c r="O1377">
        <v>7</v>
      </c>
      <c r="P1377" t="s">
        <v>59</v>
      </c>
      <c r="Q1377" t="b">
        <v>1</v>
      </c>
    </row>
    <row r="1378" spans="1:17">
      <c r="A1378" s="12">
        <v>43017</v>
      </c>
      <c r="B1378" s="10">
        <v>0</v>
      </c>
      <c r="C1378" s="10">
        <v>0</v>
      </c>
      <c r="D1378" s="10">
        <v>0</v>
      </c>
      <c r="E1378" s="10">
        <v>0</v>
      </c>
      <c r="F1378" s="10">
        <v>0</v>
      </c>
      <c r="G1378" s="10">
        <v>0</v>
      </c>
      <c r="H1378" s="10">
        <v>0</v>
      </c>
      <c r="I1378" s="10">
        <v>0</v>
      </c>
      <c r="J1378" s="10">
        <f>SUM(B1378:I1378)</f>
        <v>0.0</v>
      </c>
      <c r="K1378">
        <v>2017</v>
      </c>
      <c r="L1378">
        <v>10</v>
      </c>
      <c r="M1378" s="11">
        <v>43009</v>
      </c>
      <c r="N1378" t="s">
        <v>2182</v>
      </c>
      <c r="O1378">
        <v>1</v>
      </c>
      <c r="P1378" t="s">
        <v>61</v>
      </c>
      <c r="Q1378" t="b">
        <v>1</v>
      </c>
    </row>
    <row r="1379" spans="1:17">
      <c r="A1379" s="12">
        <v>43018</v>
      </c>
      <c r="B1379" s="10">
        <v>10</v>
      </c>
      <c r="C1379" s="10">
        <v>2.68</v>
      </c>
      <c r="D1379" s="10">
        <v>2</v>
      </c>
      <c r="E1379" s="10">
        <v>25</v>
      </c>
      <c r="F1379" s="10">
        <v>8</v>
      </c>
      <c r="G1379" s="10">
        <v>0</v>
      </c>
      <c r="H1379" s="10">
        <v>11</v>
      </c>
      <c r="I1379" s="10">
        <v>3</v>
      </c>
      <c r="J1379" s="10">
        <f>SUM(B1379:I1379)</f>
        <v>61.68</v>
      </c>
      <c r="K1379">
        <v>2017</v>
      </c>
      <c r="L1379">
        <v>10</v>
      </c>
      <c r="M1379" s="11">
        <v>43009</v>
      </c>
      <c r="N1379" t="s">
        <v>2182</v>
      </c>
      <c r="O1379">
        <v>2</v>
      </c>
      <c r="P1379" t="s">
        <v>63</v>
      </c>
      <c r="Q1379" t="b">
        <v>1</v>
      </c>
    </row>
    <row r="1380" spans="1:17">
      <c r="A1380" s="12">
        <v>43019</v>
      </c>
      <c r="B1380" s="10">
        <v>3.5</v>
      </c>
      <c r="C1380" s="10">
        <v>1</v>
      </c>
      <c r="D1380" s="10">
        <v>4.6</v>
      </c>
      <c r="E1380" s="10">
        <v>39.4</v>
      </c>
      <c r="F1380" s="10">
        <v>2</v>
      </c>
      <c r="G1380" s="10">
        <v>0</v>
      </c>
      <c r="H1380" s="10">
        <v>6</v>
      </c>
      <c r="I1380" s="10">
        <v>2.5</v>
      </c>
      <c r="J1380" s="10">
        <f>SUM(B1380:I1380)</f>
        <v>59.0</v>
      </c>
      <c r="K1380">
        <v>2017</v>
      </c>
      <c r="L1380">
        <v>10</v>
      </c>
      <c r="M1380" s="11">
        <v>43009</v>
      </c>
      <c r="N1380" t="s">
        <v>2182</v>
      </c>
      <c r="O1380">
        <v>3</v>
      </c>
      <c r="P1380" t="s">
        <v>65</v>
      </c>
      <c r="Q1380" t="b">
        <v>1</v>
      </c>
    </row>
    <row r="1381" spans="1:17">
      <c r="A1381" s="12">
        <v>43020</v>
      </c>
      <c r="B1381" s="10">
        <v>4</v>
      </c>
      <c r="C1381" s="10">
        <v>2.393</v>
      </c>
      <c r="D1381" s="10">
        <v>2.3</v>
      </c>
      <c r="E1381" s="10">
        <v>41</v>
      </c>
      <c r="F1381" s="10">
        <v>9</v>
      </c>
      <c r="G1381" s="10">
        <v>0</v>
      </c>
      <c r="H1381" s="10">
        <v>1</v>
      </c>
      <c r="I1381" s="10">
        <v>2</v>
      </c>
      <c r="J1381" s="10">
        <f>SUM(B1381:I1381)</f>
        <v>61.693</v>
      </c>
      <c r="K1381">
        <v>2017</v>
      </c>
      <c r="L1381">
        <v>10</v>
      </c>
      <c r="M1381" s="11">
        <v>43009</v>
      </c>
      <c r="N1381" t="s">
        <v>2182</v>
      </c>
      <c r="O1381">
        <v>4</v>
      </c>
      <c r="P1381" t="s">
        <v>53</v>
      </c>
      <c r="Q1381" t="b">
        <v>1</v>
      </c>
    </row>
    <row r="1382" spans="1:17">
      <c r="A1382" s="12">
        <v>43021</v>
      </c>
      <c r="B1382" s="10">
        <v>5.33</v>
      </c>
      <c r="C1382" s="10">
        <v>1.396</v>
      </c>
      <c r="D1382" s="10">
        <v>0.6</v>
      </c>
      <c r="E1382" s="10">
        <v>38</v>
      </c>
      <c r="F1382" s="10">
        <v>8</v>
      </c>
      <c r="G1382" s="10">
        <v>2</v>
      </c>
      <c r="H1382" s="10">
        <v>3</v>
      </c>
      <c r="I1382" s="10">
        <v>4</v>
      </c>
      <c r="J1382" s="10">
        <f>SUM(B1382:I1382)</f>
        <v>62.326</v>
      </c>
      <c r="K1382">
        <v>2017</v>
      </c>
      <c r="L1382">
        <v>10</v>
      </c>
      <c r="M1382" s="11">
        <v>43009</v>
      </c>
      <c r="N1382" t="s">
        <v>2182</v>
      </c>
      <c r="O1382">
        <v>5</v>
      </c>
      <c r="P1382" t="s">
        <v>55</v>
      </c>
      <c r="Q1382" t="b">
        <v>1</v>
      </c>
    </row>
    <row r="1383" spans="1:17">
      <c r="A1383" s="12">
        <v>43022</v>
      </c>
      <c r="B1383" s="10">
        <v>4.84</v>
      </c>
      <c r="C1383" s="10">
        <v>3.66</v>
      </c>
      <c r="D1383" s="10">
        <v>4</v>
      </c>
      <c r="E1383" s="10">
        <v>42.2</v>
      </c>
      <c r="F1383" s="10">
        <v>9</v>
      </c>
      <c r="G1383" s="10">
        <v>1</v>
      </c>
      <c r="H1383" s="10">
        <v>20</v>
      </c>
      <c r="I1383" s="10">
        <v>0</v>
      </c>
      <c r="J1383" s="10">
        <f>SUM(B1383:I1383)</f>
        <v>84.7</v>
      </c>
      <c r="K1383">
        <v>2017</v>
      </c>
      <c r="L1383">
        <v>10</v>
      </c>
      <c r="M1383" s="11">
        <v>43009</v>
      </c>
      <c r="N1383" t="s">
        <v>2182</v>
      </c>
      <c r="O1383">
        <v>6</v>
      </c>
      <c r="P1383" t="s">
        <v>57</v>
      </c>
      <c r="Q1383" t="b">
        <v>1</v>
      </c>
    </row>
    <row r="1384" spans="1:17">
      <c r="A1384" s="12">
        <v>43023</v>
      </c>
      <c r="B1384" s="10">
        <v>6</v>
      </c>
      <c r="C1384" s="10">
        <v>6.68</v>
      </c>
      <c r="D1384" s="10">
        <v>1</v>
      </c>
      <c r="E1384" s="10">
        <v>37</v>
      </c>
      <c r="F1384" s="10">
        <v>5</v>
      </c>
      <c r="G1384" s="10">
        <v>0</v>
      </c>
      <c r="H1384" s="10">
        <v>11</v>
      </c>
      <c r="I1384" s="10">
        <v>2</v>
      </c>
      <c r="J1384" s="10">
        <f>SUM(B1384:I1384)</f>
        <v>68.68</v>
      </c>
      <c r="K1384">
        <v>2017</v>
      </c>
      <c r="L1384">
        <v>10</v>
      </c>
      <c r="M1384" s="11">
        <v>43009</v>
      </c>
      <c r="N1384" t="s">
        <v>2182</v>
      </c>
      <c r="O1384">
        <v>7</v>
      </c>
      <c r="P1384" t="s">
        <v>59</v>
      </c>
      <c r="Q1384" t="b">
        <v>1</v>
      </c>
    </row>
    <row r="1385" spans="1:17">
      <c r="A1385" s="12">
        <v>43024</v>
      </c>
      <c r="B1385" s="10">
        <v>2.33</v>
      </c>
      <c r="C1385" s="10">
        <v>0.67</v>
      </c>
      <c r="D1385" s="10">
        <v>0</v>
      </c>
      <c r="E1385" s="10">
        <v>45.1</v>
      </c>
      <c r="F1385" s="10">
        <v>9</v>
      </c>
      <c r="G1385" s="10">
        <v>0</v>
      </c>
      <c r="H1385" s="10">
        <v>2</v>
      </c>
      <c r="I1385" s="10">
        <v>2</v>
      </c>
      <c r="J1385" s="10">
        <f>SUM(B1385:I1385)</f>
        <v>61.1</v>
      </c>
      <c r="K1385">
        <v>2017</v>
      </c>
      <c r="L1385">
        <v>10</v>
      </c>
      <c r="M1385" s="11">
        <v>43009</v>
      </c>
      <c r="N1385" t="s">
        <v>2182</v>
      </c>
      <c r="O1385">
        <v>1</v>
      </c>
      <c r="P1385" t="s">
        <v>61</v>
      </c>
      <c r="Q1385" t="b">
        <v>1</v>
      </c>
    </row>
    <row r="1386" spans="1:17">
      <c r="A1386" s="12">
        <v>43025</v>
      </c>
      <c r="B1386" s="10">
        <v>3.34</v>
      </c>
      <c r="C1386" s="10">
        <v>1.67</v>
      </c>
      <c r="D1386" s="10">
        <v>6</v>
      </c>
      <c r="E1386" s="10">
        <v>26.2</v>
      </c>
      <c r="F1386" s="10">
        <v>9</v>
      </c>
      <c r="G1386" s="10">
        <v>2</v>
      </c>
      <c r="H1386" s="10">
        <v>6</v>
      </c>
      <c r="I1386" s="10">
        <v>1</v>
      </c>
      <c r="J1386" s="10">
        <f>SUM(B1386:I1386)</f>
        <v>55.21</v>
      </c>
      <c r="K1386">
        <v>2017</v>
      </c>
      <c r="L1386">
        <v>10</v>
      </c>
      <c r="M1386" s="11">
        <v>43009</v>
      </c>
      <c r="N1386" t="s">
        <v>2182</v>
      </c>
      <c r="O1386">
        <v>2</v>
      </c>
      <c r="P1386" t="s">
        <v>63</v>
      </c>
      <c r="Q1386" t="b">
        <v>1</v>
      </c>
    </row>
    <row r="1387" spans="1:17">
      <c r="A1387" s="12">
        <v>43026</v>
      </c>
      <c r="B1387" s="10">
        <v>5.34</v>
      </c>
      <c r="C1387" s="10">
        <v>1.33</v>
      </c>
      <c r="D1387" s="10">
        <v>1</v>
      </c>
      <c r="E1387" s="10">
        <v>52.85</v>
      </c>
      <c r="F1387" s="10">
        <v>15</v>
      </c>
      <c r="G1387" s="10">
        <v>0</v>
      </c>
      <c r="H1387" s="10">
        <v>1</v>
      </c>
      <c r="I1387" s="10">
        <v>1</v>
      </c>
      <c r="J1387" s="10">
        <f>SUM(B1387:I1387)</f>
        <v>77.52000000000001</v>
      </c>
      <c r="K1387">
        <v>2017</v>
      </c>
      <c r="L1387">
        <v>10</v>
      </c>
      <c r="M1387" s="11">
        <v>43009</v>
      </c>
      <c r="N1387" t="s">
        <v>2182</v>
      </c>
      <c r="O1387">
        <v>3</v>
      </c>
      <c r="P1387" t="s">
        <v>65</v>
      </c>
      <c r="Q1387" t="b">
        <v>1</v>
      </c>
    </row>
    <row r="1388" spans="1:17">
      <c r="A1388" s="12">
        <v>43027</v>
      </c>
      <c r="B1388" s="10">
        <v>4.33</v>
      </c>
      <c r="C1388" s="10">
        <v>5.99</v>
      </c>
      <c r="D1388" s="10">
        <v>4.7</v>
      </c>
      <c r="E1388" s="10">
        <v>25.5</v>
      </c>
      <c r="F1388" s="10">
        <v>8</v>
      </c>
      <c r="G1388" s="10">
        <v>0</v>
      </c>
      <c r="H1388" s="10">
        <v>13</v>
      </c>
      <c r="I1388" s="10">
        <v>0</v>
      </c>
      <c r="J1388" s="10">
        <f>SUM(B1388:I1388)</f>
        <v>61.519999999999996</v>
      </c>
      <c r="K1388">
        <v>2017</v>
      </c>
      <c r="L1388">
        <v>10</v>
      </c>
      <c r="M1388" s="11">
        <v>43009</v>
      </c>
      <c r="N1388" t="s">
        <v>2182</v>
      </c>
      <c r="O1388">
        <v>4</v>
      </c>
      <c r="P1388" t="s">
        <v>53</v>
      </c>
      <c r="Q1388" t="b">
        <v>1</v>
      </c>
    </row>
    <row r="1389" spans="1:17">
      <c r="A1389" s="12">
        <v>43028</v>
      </c>
      <c r="B1389" s="10">
        <v>2.83</v>
      </c>
      <c r="C1389" s="10">
        <v>4.363</v>
      </c>
      <c r="D1389" s="10">
        <v>3</v>
      </c>
      <c r="E1389" s="10">
        <v>36.25</v>
      </c>
      <c r="F1389" s="10">
        <v>15</v>
      </c>
      <c r="G1389" s="10">
        <v>0</v>
      </c>
      <c r="H1389" s="10">
        <v>8</v>
      </c>
      <c r="I1389" s="10">
        <v>0</v>
      </c>
      <c r="J1389" s="10">
        <f>SUM(B1389:I1389)</f>
        <v>69.443</v>
      </c>
      <c r="K1389">
        <v>2017</v>
      </c>
      <c r="L1389">
        <v>10</v>
      </c>
      <c r="M1389" s="11">
        <v>43009</v>
      </c>
      <c r="N1389" t="s">
        <v>2182</v>
      </c>
      <c r="O1389">
        <v>5</v>
      </c>
      <c r="P1389" t="s">
        <v>55</v>
      </c>
      <c r="Q1389" t="b">
        <v>1</v>
      </c>
    </row>
    <row r="1390" spans="1:17">
      <c r="A1390" s="12">
        <v>43029</v>
      </c>
      <c r="B1390" s="10">
        <v>3.33</v>
      </c>
      <c r="C1390" s="10">
        <v>3.769</v>
      </c>
      <c r="D1390" s="10">
        <v>3.3</v>
      </c>
      <c r="E1390" s="10">
        <v>25.2</v>
      </c>
      <c r="F1390" s="10">
        <v>9</v>
      </c>
      <c r="G1390" s="10">
        <v>3</v>
      </c>
      <c r="H1390" s="10">
        <v>5</v>
      </c>
      <c r="I1390" s="10">
        <v>4</v>
      </c>
      <c r="J1390" s="10">
        <f>SUM(B1390:I1390)</f>
        <v>56.599000000000004</v>
      </c>
      <c r="K1390">
        <v>2017</v>
      </c>
      <c r="L1390">
        <v>10</v>
      </c>
      <c r="M1390" s="11">
        <v>43009</v>
      </c>
      <c r="N1390" t="s">
        <v>2182</v>
      </c>
      <c r="O1390">
        <v>6</v>
      </c>
      <c r="P1390" t="s">
        <v>57</v>
      </c>
      <c r="Q1390" t="b">
        <v>1</v>
      </c>
    </row>
    <row r="1391" spans="1:17">
      <c r="A1391" s="12">
        <v>43030</v>
      </c>
      <c r="B1391" s="10">
        <v>8</v>
      </c>
      <c r="C1391" s="10">
        <v>5</v>
      </c>
      <c r="D1391" s="10">
        <v>5</v>
      </c>
      <c r="E1391" s="10">
        <v>57.8</v>
      </c>
      <c r="F1391" s="10">
        <v>8</v>
      </c>
      <c r="G1391" s="10">
        <v>0</v>
      </c>
      <c r="H1391" s="10">
        <v>9</v>
      </c>
      <c r="I1391" s="10">
        <v>2</v>
      </c>
      <c r="J1391" s="10">
        <f>SUM(B1391:I1391)</f>
        <v>94.8</v>
      </c>
      <c r="K1391">
        <v>2017</v>
      </c>
      <c r="L1391">
        <v>10</v>
      </c>
      <c r="M1391" s="11">
        <v>43009</v>
      </c>
      <c r="N1391" t="s">
        <v>2182</v>
      </c>
      <c r="O1391">
        <v>7</v>
      </c>
      <c r="P1391" t="s">
        <v>59</v>
      </c>
      <c r="Q1391" t="b">
        <v>1</v>
      </c>
    </row>
    <row r="1392" spans="1:17">
      <c r="A1392" s="12">
        <v>43031</v>
      </c>
      <c r="B1392" s="10">
        <v>3.33</v>
      </c>
      <c r="C1392" s="10">
        <v>1.363</v>
      </c>
      <c r="D1392" s="10">
        <v>2</v>
      </c>
      <c r="E1392" s="10">
        <v>28.6</v>
      </c>
      <c r="F1392" s="10">
        <v>4</v>
      </c>
      <c r="G1392" s="10">
        <v>0</v>
      </c>
      <c r="H1392" s="10">
        <v>28</v>
      </c>
      <c r="I1392" s="10">
        <v>1</v>
      </c>
      <c r="J1392" s="10">
        <f>SUM(B1392:I1392)</f>
        <v>68.293</v>
      </c>
      <c r="K1392">
        <v>2017</v>
      </c>
      <c r="L1392">
        <v>10</v>
      </c>
      <c r="M1392" s="11">
        <v>43009</v>
      </c>
      <c r="N1392" t="s">
        <v>2182</v>
      </c>
      <c r="O1392">
        <v>1</v>
      </c>
      <c r="P1392" t="s">
        <v>61</v>
      </c>
      <c r="Q1392" t="b">
        <v>1</v>
      </c>
    </row>
    <row r="1393" spans="1:17">
      <c r="A1393" s="12">
        <v>43032</v>
      </c>
      <c r="B1393" s="10">
        <v>2</v>
      </c>
      <c r="C1393" s="10">
        <v>2</v>
      </c>
      <c r="D1393" s="10">
        <v>10</v>
      </c>
      <c r="E1393" s="10">
        <v>65.2</v>
      </c>
      <c r="F1393" s="10">
        <v>3</v>
      </c>
      <c r="G1393" s="10">
        <v>0</v>
      </c>
      <c r="H1393" s="10">
        <v>10</v>
      </c>
      <c r="I1393" s="10">
        <v>1</v>
      </c>
      <c r="J1393" s="10">
        <f>SUM(B1393:I1393)</f>
        <v>93.2</v>
      </c>
      <c r="K1393">
        <v>2017</v>
      </c>
      <c r="L1393">
        <v>10</v>
      </c>
      <c r="M1393" s="11">
        <v>43009</v>
      </c>
      <c r="N1393" t="s">
        <v>2182</v>
      </c>
      <c r="O1393">
        <v>2</v>
      </c>
      <c r="P1393" t="s">
        <v>63</v>
      </c>
      <c r="Q1393" t="b">
        <v>1</v>
      </c>
    </row>
    <row r="1394" spans="1:17">
      <c r="A1394" s="12">
        <v>43033</v>
      </c>
      <c r="B1394" s="10">
        <v>6.34</v>
      </c>
      <c r="C1394" s="10">
        <v>3.33</v>
      </c>
      <c r="D1394" s="10">
        <v>5.35</v>
      </c>
      <c r="E1394" s="10">
        <v>26.9</v>
      </c>
      <c r="F1394" s="10">
        <v>4</v>
      </c>
      <c r="G1394" s="10">
        <v>0</v>
      </c>
      <c r="H1394" s="10">
        <v>1</v>
      </c>
      <c r="I1394" s="10">
        <v>1</v>
      </c>
      <c r="J1394" s="10">
        <f>SUM(B1394:I1394)</f>
        <v>47.92</v>
      </c>
      <c r="K1394">
        <v>2017</v>
      </c>
      <c r="L1394">
        <v>10</v>
      </c>
      <c r="M1394" s="11">
        <v>43009</v>
      </c>
      <c r="N1394" t="s">
        <v>2182</v>
      </c>
      <c r="O1394">
        <v>3</v>
      </c>
      <c r="P1394" t="s">
        <v>65</v>
      </c>
      <c r="Q1394" t="b">
        <v>1</v>
      </c>
    </row>
    <row r="1395" spans="1:17">
      <c r="A1395" s="12">
        <v>43034</v>
      </c>
      <c r="B1395" s="10">
        <v>1.33</v>
      </c>
      <c r="C1395" s="10">
        <v>1.099</v>
      </c>
      <c r="D1395" s="10">
        <v>2</v>
      </c>
      <c r="E1395" s="10">
        <v>38</v>
      </c>
      <c r="F1395" s="10">
        <v>9</v>
      </c>
      <c r="G1395" s="10">
        <v>1</v>
      </c>
      <c r="H1395" s="10">
        <v>5</v>
      </c>
      <c r="I1395" s="10">
        <v>2.3</v>
      </c>
      <c r="J1395" s="10">
        <f>SUM(B1395:I1395)</f>
        <v>59.729</v>
      </c>
      <c r="K1395">
        <v>2017</v>
      </c>
      <c r="L1395">
        <v>10</v>
      </c>
      <c r="M1395" s="11">
        <v>43009</v>
      </c>
      <c r="N1395" t="s">
        <v>2182</v>
      </c>
      <c r="O1395">
        <v>4</v>
      </c>
      <c r="P1395" t="s">
        <v>53</v>
      </c>
      <c r="Q1395" t="b">
        <v>1</v>
      </c>
    </row>
    <row r="1396" spans="1:17">
      <c r="A1396" s="12">
        <v>43035</v>
      </c>
      <c r="B1396" s="10">
        <v>6.32</v>
      </c>
      <c r="C1396" s="10">
        <v>2.363</v>
      </c>
      <c r="D1396" s="10">
        <v>6</v>
      </c>
      <c r="E1396" s="10">
        <v>26</v>
      </c>
      <c r="F1396" s="10">
        <v>14</v>
      </c>
      <c r="G1396" s="10">
        <v>1</v>
      </c>
      <c r="H1396" s="10">
        <v>21</v>
      </c>
      <c r="I1396" s="10">
        <v>2</v>
      </c>
      <c r="J1396" s="10">
        <f>SUM(B1396:I1396)</f>
        <v>78.68299999999999</v>
      </c>
      <c r="K1396">
        <v>2017</v>
      </c>
      <c r="L1396">
        <v>10</v>
      </c>
      <c r="M1396" s="11">
        <v>43009</v>
      </c>
      <c r="N1396" t="s">
        <v>2182</v>
      </c>
      <c r="O1396">
        <v>5</v>
      </c>
      <c r="P1396" t="s">
        <v>55</v>
      </c>
      <c r="Q1396" t="b">
        <v>1</v>
      </c>
    </row>
    <row r="1397" spans="1:17">
      <c r="A1397" s="12">
        <v>43036</v>
      </c>
      <c r="B1397" s="10">
        <v>5</v>
      </c>
      <c r="C1397" s="10">
        <v>2.33</v>
      </c>
      <c r="D1397" s="10">
        <v>4</v>
      </c>
      <c r="E1397" s="10">
        <v>24.1</v>
      </c>
      <c r="F1397" s="10">
        <v>11</v>
      </c>
      <c r="G1397" s="10">
        <v>0</v>
      </c>
      <c r="H1397" s="10">
        <v>7</v>
      </c>
      <c r="I1397" s="10">
        <v>3</v>
      </c>
      <c r="J1397" s="10">
        <f>SUM(B1397:I1397)</f>
        <v>56.43</v>
      </c>
      <c r="K1397">
        <v>2017</v>
      </c>
      <c r="L1397">
        <v>10</v>
      </c>
      <c r="M1397" s="11">
        <v>43009</v>
      </c>
      <c r="N1397" t="s">
        <v>2182</v>
      </c>
      <c r="O1397">
        <v>6</v>
      </c>
      <c r="P1397" t="s">
        <v>57</v>
      </c>
      <c r="Q1397" t="b">
        <v>1</v>
      </c>
    </row>
    <row r="1398" spans="1:17">
      <c r="A1398" s="12">
        <v>43037</v>
      </c>
      <c r="B1398" s="10">
        <v>7.66</v>
      </c>
      <c r="C1398" s="10">
        <v>2.373</v>
      </c>
      <c r="D1398" s="10">
        <v>1.05</v>
      </c>
      <c r="E1398" s="10">
        <v>36</v>
      </c>
      <c r="F1398" s="10">
        <v>3</v>
      </c>
      <c r="G1398" s="10">
        <v>0</v>
      </c>
      <c r="H1398" s="10">
        <v>1</v>
      </c>
      <c r="I1398" s="10">
        <v>2.2</v>
      </c>
      <c r="J1398" s="10">
        <f>SUM(B1398:I1398)</f>
        <v>53.283</v>
      </c>
      <c r="K1398">
        <v>2017</v>
      </c>
      <c r="L1398">
        <v>10</v>
      </c>
      <c r="M1398" s="11">
        <v>43009</v>
      </c>
      <c r="N1398" t="s">
        <v>2182</v>
      </c>
      <c r="O1398">
        <v>7</v>
      </c>
      <c r="P1398" t="s">
        <v>59</v>
      </c>
      <c r="Q1398" t="b">
        <v>1</v>
      </c>
    </row>
    <row r="1399" spans="1:17">
      <c r="A1399" s="12">
        <v>43038</v>
      </c>
      <c r="B1399" s="10">
        <v>1.5</v>
      </c>
      <c r="C1399" s="10">
        <v>3.66</v>
      </c>
      <c r="D1399" s="10">
        <v>2</v>
      </c>
      <c r="E1399" s="10">
        <v>32.8</v>
      </c>
      <c r="F1399" s="10">
        <v>7</v>
      </c>
      <c r="G1399" s="10">
        <v>0</v>
      </c>
      <c r="H1399" s="10">
        <v>9</v>
      </c>
      <c r="I1399" s="10">
        <v>1</v>
      </c>
      <c r="J1399" s="10">
        <f>SUM(B1399:I1399)</f>
        <v>56.959999999999994</v>
      </c>
      <c r="K1399">
        <v>2017</v>
      </c>
      <c r="L1399">
        <v>10</v>
      </c>
      <c r="M1399" s="11">
        <v>43009</v>
      </c>
      <c r="N1399" t="s">
        <v>2182</v>
      </c>
      <c r="O1399">
        <v>1</v>
      </c>
      <c r="P1399" t="s">
        <v>61</v>
      </c>
      <c r="Q1399" t="b">
        <v>1</v>
      </c>
    </row>
    <row r="1400" spans="1:17">
      <c r="A1400" s="12">
        <v>43039</v>
      </c>
      <c r="B1400" s="10">
        <v>4.33</v>
      </c>
      <c r="C1400" s="10">
        <v>1.363</v>
      </c>
      <c r="D1400" s="10">
        <v>4</v>
      </c>
      <c r="E1400" s="10">
        <v>38</v>
      </c>
      <c r="F1400" s="10">
        <v>2</v>
      </c>
      <c r="G1400" s="10">
        <v>0</v>
      </c>
      <c r="H1400" s="10">
        <v>0</v>
      </c>
      <c r="I1400" s="10">
        <v>1</v>
      </c>
      <c r="J1400" s="10">
        <f>SUM(B1400:I1400)</f>
        <v>50.693</v>
      </c>
      <c r="K1400">
        <v>2017</v>
      </c>
      <c r="L1400">
        <v>10</v>
      </c>
      <c r="M1400" s="11">
        <v>43009</v>
      </c>
      <c r="N1400" t="s">
        <v>2182</v>
      </c>
      <c r="O1400">
        <v>2</v>
      </c>
      <c r="P1400" t="s">
        <v>63</v>
      </c>
      <c r="Q1400" t="b">
        <v>1</v>
      </c>
    </row>
    <row r="1401" spans="1:17">
      <c r="A1401" s="12">
        <v>43040</v>
      </c>
      <c r="B1401" s="10">
        <v>0.67</v>
      </c>
      <c r="C1401" s="10">
        <v>3.429</v>
      </c>
      <c r="D1401" s="10">
        <v>2</v>
      </c>
      <c r="E1401" s="10">
        <v>23</v>
      </c>
      <c r="F1401" s="10">
        <v>5</v>
      </c>
      <c r="G1401" s="10">
        <v>0</v>
      </c>
      <c r="H1401" s="10">
        <v>3</v>
      </c>
      <c r="I1401" s="10">
        <v>1</v>
      </c>
      <c r="J1401" s="10">
        <f>SUM(B1401:I1401)</f>
        <v>38.099000000000004</v>
      </c>
      <c r="K1401">
        <v>2017</v>
      </c>
      <c r="L1401">
        <v>11</v>
      </c>
      <c r="M1401" s="11">
        <v>43040</v>
      </c>
      <c r="N1401" t="s">
        <v>2183</v>
      </c>
      <c r="O1401">
        <v>3</v>
      </c>
      <c r="P1401" t="s">
        <v>65</v>
      </c>
      <c r="Q1401" t="b">
        <v>1</v>
      </c>
    </row>
    <row r="1402" spans="1:17">
      <c r="A1402" s="12">
        <v>43041</v>
      </c>
      <c r="B1402" s="10">
        <v>4</v>
      </c>
      <c r="C1402" s="10">
        <v>2.066</v>
      </c>
      <c r="D1402" s="10">
        <v>1.55</v>
      </c>
      <c r="E1402" s="10">
        <v>22.1</v>
      </c>
      <c r="F1402" s="10">
        <v>5</v>
      </c>
      <c r="G1402" s="10">
        <v>0</v>
      </c>
      <c r="H1402" s="10">
        <v>11</v>
      </c>
      <c r="I1402" s="10">
        <v>3</v>
      </c>
      <c r="J1402" s="10">
        <f>SUM(B1402:I1402)</f>
        <v>48.716</v>
      </c>
      <c r="K1402">
        <v>2017</v>
      </c>
      <c r="L1402">
        <v>11</v>
      </c>
      <c r="M1402" s="11">
        <v>43040</v>
      </c>
      <c r="N1402" t="s">
        <v>2183</v>
      </c>
      <c r="O1402">
        <v>4</v>
      </c>
      <c r="P1402" t="s">
        <v>53</v>
      </c>
      <c r="Q1402" t="b">
        <v>1</v>
      </c>
    </row>
    <row r="1403" spans="1:17">
      <c r="A1403" s="12">
        <v>43042</v>
      </c>
      <c r="B1403" s="10">
        <v>2.33</v>
      </c>
      <c r="C1403" s="10">
        <v>7.67</v>
      </c>
      <c r="D1403" s="10">
        <v>4.4</v>
      </c>
      <c r="E1403" s="10">
        <v>37.4</v>
      </c>
      <c r="F1403" s="10">
        <v>10</v>
      </c>
      <c r="G1403" s="10">
        <v>3</v>
      </c>
      <c r="H1403" s="10">
        <v>6</v>
      </c>
      <c r="I1403" s="10">
        <v>1</v>
      </c>
      <c r="J1403" s="10">
        <f>SUM(B1403:I1403)</f>
        <v>71.8</v>
      </c>
      <c r="K1403">
        <v>2017</v>
      </c>
      <c r="L1403">
        <v>11</v>
      </c>
      <c r="M1403" s="11">
        <v>43040</v>
      </c>
      <c r="N1403" t="s">
        <v>2183</v>
      </c>
      <c r="O1403">
        <v>5</v>
      </c>
      <c r="P1403" t="s">
        <v>55</v>
      </c>
      <c r="Q1403" t="b">
        <v>1</v>
      </c>
    </row>
    <row r="1404" spans="1:17">
      <c r="A1404" s="12">
        <v>43043</v>
      </c>
      <c r="B1404" s="10">
        <v>10.34</v>
      </c>
      <c r="C1404" s="10">
        <v>7.472</v>
      </c>
      <c r="D1404" s="10">
        <v>6</v>
      </c>
      <c r="E1404" s="10">
        <v>33</v>
      </c>
      <c r="F1404" s="10">
        <v>5</v>
      </c>
      <c r="G1404" s="10">
        <v>0</v>
      </c>
      <c r="H1404" s="10">
        <v>1</v>
      </c>
      <c r="I1404" s="10">
        <v>3.2</v>
      </c>
      <c r="J1404" s="10">
        <f>SUM(B1404:I1404)</f>
        <v>66.012</v>
      </c>
      <c r="K1404">
        <v>2017</v>
      </c>
      <c r="L1404">
        <v>11</v>
      </c>
      <c r="M1404" s="11">
        <v>43040</v>
      </c>
      <c r="N1404" t="s">
        <v>2183</v>
      </c>
      <c r="O1404">
        <v>6</v>
      </c>
      <c r="P1404" t="s">
        <v>57</v>
      </c>
      <c r="Q1404" t="b">
        <v>1</v>
      </c>
    </row>
    <row r="1405" spans="1:17">
      <c r="A1405" s="12">
        <v>43044</v>
      </c>
      <c r="B1405" s="10">
        <v>6.33</v>
      </c>
      <c r="C1405" s="10">
        <v>5.799</v>
      </c>
      <c r="D1405" s="10">
        <v>1.1</v>
      </c>
      <c r="E1405" s="10">
        <v>35.45</v>
      </c>
      <c r="F1405" s="10">
        <v>1</v>
      </c>
      <c r="G1405" s="10">
        <v>0</v>
      </c>
      <c r="H1405" s="10">
        <v>5</v>
      </c>
      <c r="I1405" s="10">
        <v>2</v>
      </c>
      <c r="J1405" s="10">
        <f>SUM(B1405:I1405)</f>
        <v>56.679</v>
      </c>
      <c r="K1405">
        <v>2017</v>
      </c>
      <c r="L1405">
        <v>11</v>
      </c>
      <c r="M1405" s="11">
        <v>43040</v>
      </c>
      <c r="N1405" t="s">
        <v>2183</v>
      </c>
      <c r="O1405">
        <v>7</v>
      </c>
      <c r="P1405" t="s">
        <v>59</v>
      </c>
      <c r="Q1405" t="b">
        <v>1</v>
      </c>
    </row>
    <row r="1406" spans="1:17">
      <c r="A1406" s="12">
        <v>43045</v>
      </c>
      <c r="B1406" s="10">
        <v>8.34</v>
      </c>
      <c r="C1406" s="10">
        <v>3.2</v>
      </c>
      <c r="D1406" s="10">
        <v>2</v>
      </c>
      <c r="E1406" s="10">
        <v>20.2</v>
      </c>
      <c r="F1406" s="10">
        <v>11</v>
      </c>
      <c r="G1406" s="10">
        <v>3</v>
      </c>
      <c r="H1406" s="10">
        <v>8</v>
      </c>
      <c r="I1406" s="10">
        <v>1</v>
      </c>
      <c r="J1406" s="10">
        <f>SUM(B1406:I1406)</f>
        <v>56.739999999999995</v>
      </c>
      <c r="K1406">
        <v>2017</v>
      </c>
      <c r="L1406">
        <v>11</v>
      </c>
      <c r="M1406" s="11">
        <v>43040</v>
      </c>
      <c r="N1406" t="s">
        <v>2183</v>
      </c>
      <c r="O1406">
        <v>1</v>
      </c>
      <c r="P1406" t="s">
        <v>61</v>
      </c>
      <c r="Q1406" t="b">
        <v>1</v>
      </c>
    </row>
    <row r="1407" spans="1:17">
      <c r="A1407" s="12">
        <v>43046</v>
      </c>
      <c r="B1407" s="10">
        <v>0.67</v>
      </c>
      <c r="C1407" s="10">
        <v>4</v>
      </c>
      <c r="D1407" s="10">
        <v>7</v>
      </c>
      <c r="E1407" s="10">
        <v>20</v>
      </c>
      <c r="F1407" s="10">
        <v>4</v>
      </c>
      <c r="G1407" s="10">
        <v>0</v>
      </c>
      <c r="H1407" s="10">
        <v>0</v>
      </c>
      <c r="I1407" s="10">
        <v>1.5</v>
      </c>
      <c r="J1407" s="10">
        <f>SUM(B1407:I1407)</f>
        <v>37.17</v>
      </c>
      <c r="K1407">
        <v>2017</v>
      </c>
      <c r="L1407">
        <v>11</v>
      </c>
      <c r="M1407" s="11">
        <v>43040</v>
      </c>
      <c r="N1407" t="s">
        <v>2183</v>
      </c>
      <c r="O1407">
        <v>2</v>
      </c>
      <c r="P1407" t="s">
        <v>63</v>
      </c>
      <c r="Q1407" t="b">
        <v>1</v>
      </c>
    </row>
    <row r="1408" spans="1:17">
      <c r="A1408" s="12">
        <v>43047</v>
      </c>
      <c r="B1408" s="10">
        <v>6</v>
      </c>
      <c r="C1408" s="10">
        <v>1.1</v>
      </c>
      <c r="D1408" s="10">
        <v>2</v>
      </c>
      <c r="E1408" s="10">
        <v>9.199999999999999</v>
      </c>
      <c r="F1408" s="10">
        <v>1</v>
      </c>
      <c r="G1408" s="10">
        <v>0</v>
      </c>
      <c r="H1408" s="10">
        <v>5</v>
      </c>
      <c r="I1408" s="10">
        <v>1</v>
      </c>
      <c r="J1408" s="10">
        <f>SUM(B1408:I1408)</f>
        <v>25.299999999999997</v>
      </c>
      <c r="K1408">
        <v>2017</v>
      </c>
      <c r="L1408">
        <v>11</v>
      </c>
      <c r="M1408" s="11">
        <v>43040</v>
      </c>
      <c r="N1408" t="s">
        <v>2183</v>
      </c>
      <c r="O1408">
        <v>3</v>
      </c>
      <c r="P1408" t="s">
        <v>65</v>
      </c>
      <c r="Q1408" t="b">
        <v>1</v>
      </c>
    </row>
    <row r="1409" spans="1:17">
      <c r="A1409" s="12">
        <v>43048</v>
      </c>
      <c r="B1409" s="10">
        <v>2.67</v>
      </c>
      <c r="C1409" s="10">
        <v>3.746</v>
      </c>
      <c r="D1409" s="10">
        <v>0</v>
      </c>
      <c r="E1409" s="10">
        <v>28.8</v>
      </c>
      <c r="F1409" s="10">
        <v>2</v>
      </c>
      <c r="G1409" s="10">
        <v>0</v>
      </c>
      <c r="H1409" s="10">
        <v>11</v>
      </c>
      <c r="I1409" s="10">
        <v>1</v>
      </c>
      <c r="J1409" s="10">
        <f>SUM(B1409:I1409)</f>
        <v>49.216</v>
      </c>
      <c r="K1409">
        <v>2017</v>
      </c>
      <c r="L1409">
        <v>11</v>
      </c>
      <c r="M1409" s="11">
        <v>43040</v>
      </c>
      <c r="N1409" t="s">
        <v>2183</v>
      </c>
      <c r="O1409">
        <v>4</v>
      </c>
      <c r="P1409" t="s">
        <v>53</v>
      </c>
      <c r="Q1409" t="b">
        <v>1</v>
      </c>
    </row>
    <row r="1410" spans="1:17">
      <c r="A1410" s="12">
        <v>43049</v>
      </c>
      <c r="B1410" s="10">
        <v>9.34</v>
      </c>
      <c r="C1410" s="10">
        <v>6.66</v>
      </c>
      <c r="D1410" s="10">
        <v>6.2</v>
      </c>
      <c r="E1410" s="10">
        <v>34</v>
      </c>
      <c r="F1410" s="10">
        <v>9</v>
      </c>
      <c r="G1410" s="10">
        <v>0</v>
      </c>
      <c r="H1410" s="10">
        <v>22</v>
      </c>
      <c r="I1410" s="10">
        <v>2</v>
      </c>
      <c r="J1410" s="10">
        <f>SUM(B1410:I1410)</f>
        <v>89.2</v>
      </c>
      <c r="K1410">
        <v>2017</v>
      </c>
      <c r="L1410">
        <v>11</v>
      </c>
      <c r="M1410" s="11">
        <v>43040</v>
      </c>
      <c r="N1410" t="s">
        <v>2183</v>
      </c>
      <c r="O1410">
        <v>5</v>
      </c>
      <c r="P1410" t="s">
        <v>55</v>
      </c>
      <c r="Q1410" t="b">
        <v>1</v>
      </c>
    </row>
    <row r="1411" spans="1:17">
      <c r="A1411" s="12">
        <v>43050</v>
      </c>
      <c r="B1411" s="10">
        <v>8.5</v>
      </c>
      <c r="C1411" s="10">
        <v>3</v>
      </c>
      <c r="D1411" s="10">
        <v>4.1</v>
      </c>
      <c r="E1411" s="10">
        <v>32</v>
      </c>
      <c r="F1411" s="10">
        <v>8</v>
      </c>
      <c r="G1411" s="10">
        <v>0</v>
      </c>
      <c r="H1411" s="10">
        <v>2</v>
      </c>
      <c r="I1411" s="10">
        <v>0</v>
      </c>
      <c r="J1411" s="10">
        <f>SUM(B1411:I1411)</f>
        <v>57.6</v>
      </c>
      <c r="K1411">
        <v>2017</v>
      </c>
      <c r="L1411">
        <v>11</v>
      </c>
      <c r="M1411" s="11">
        <v>43040</v>
      </c>
      <c r="N1411" t="s">
        <v>2183</v>
      </c>
      <c r="O1411">
        <v>6</v>
      </c>
      <c r="P1411" t="s">
        <v>57</v>
      </c>
      <c r="Q1411" t="b">
        <v>1</v>
      </c>
    </row>
    <row r="1412" spans="1:17">
      <c r="A1412" s="12">
        <v>43051</v>
      </c>
      <c r="B1412" s="10">
        <v>5</v>
      </c>
      <c r="C1412" s="10">
        <v>3.65</v>
      </c>
      <c r="D1412" s="10">
        <v>6.15</v>
      </c>
      <c r="E1412" s="10">
        <v>40</v>
      </c>
      <c r="F1412" s="10">
        <v>9</v>
      </c>
      <c r="G1412" s="10">
        <v>0</v>
      </c>
      <c r="H1412" s="10">
        <v>3</v>
      </c>
      <c r="I1412" s="10">
        <v>2</v>
      </c>
      <c r="J1412" s="10">
        <f>SUM(B1412:I1412)</f>
        <v>68.8</v>
      </c>
      <c r="K1412">
        <v>2017</v>
      </c>
      <c r="L1412">
        <v>11</v>
      </c>
      <c r="M1412" s="11">
        <v>43040</v>
      </c>
      <c r="N1412" t="s">
        <v>2183</v>
      </c>
      <c r="O1412">
        <v>7</v>
      </c>
      <c r="P1412" t="s">
        <v>59</v>
      </c>
      <c r="Q1412" t="b">
        <v>1</v>
      </c>
    </row>
    <row r="1413" spans="1:17">
      <c r="A1413" s="12">
        <v>43052</v>
      </c>
      <c r="B1413" s="10">
        <v>9.33</v>
      </c>
      <c r="C1413" s="10">
        <v>2.429</v>
      </c>
      <c r="D1413" s="10">
        <v>4.2</v>
      </c>
      <c r="E1413" s="10">
        <v>44.2</v>
      </c>
      <c r="F1413" s="10">
        <v>5</v>
      </c>
      <c r="G1413" s="10">
        <v>0</v>
      </c>
      <c r="H1413" s="10">
        <v>5</v>
      </c>
      <c r="I1413" s="10">
        <v>0.2</v>
      </c>
      <c r="J1413" s="10">
        <f>SUM(B1413:I1413)</f>
        <v>70.35900000000001</v>
      </c>
      <c r="K1413">
        <v>2017</v>
      </c>
      <c r="L1413">
        <v>11</v>
      </c>
      <c r="M1413" s="11">
        <v>43040</v>
      </c>
      <c r="N1413" t="s">
        <v>2183</v>
      </c>
      <c r="O1413">
        <v>1</v>
      </c>
      <c r="P1413" t="s">
        <v>61</v>
      </c>
      <c r="Q1413" t="b">
        <v>1</v>
      </c>
    </row>
    <row r="1414" spans="1:17">
      <c r="A1414" s="12">
        <v>43053</v>
      </c>
      <c r="B1414" s="10">
        <v>3</v>
      </c>
      <c r="C1414" s="10">
        <v>0.859</v>
      </c>
      <c r="D1414" s="10">
        <v>2</v>
      </c>
      <c r="E1414" s="10">
        <v>6.8</v>
      </c>
      <c r="F1414" s="10">
        <v>14</v>
      </c>
      <c r="G1414" s="10">
        <v>0</v>
      </c>
      <c r="H1414" s="10">
        <v>19</v>
      </c>
      <c r="I1414" s="10">
        <v>1</v>
      </c>
      <c r="J1414" s="10">
        <f>SUM(B1414:I1414)</f>
        <v>46.659</v>
      </c>
      <c r="K1414">
        <v>2017</v>
      </c>
      <c r="L1414">
        <v>11</v>
      </c>
      <c r="M1414" s="11">
        <v>43040</v>
      </c>
      <c r="N1414" t="s">
        <v>2183</v>
      </c>
      <c r="O1414">
        <v>2</v>
      </c>
      <c r="P1414" t="s">
        <v>63</v>
      </c>
      <c r="Q1414" t="b">
        <v>1</v>
      </c>
    </row>
    <row r="1415" spans="1:17">
      <c r="A1415" s="12">
        <v>43054</v>
      </c>
      <c r="B1415" s="10">
        <v>5.33</v>
      </c>
      <c r="C1415" s="10">
        <v>2.726</v>
      </c>
      <c r="D1415" s="10">
        <v>7.7</v>
      </c>
      <c r="E1415" s="10">
        <v>17</v>
      </c>
      <c r="F1415" s="10">
        <v>8</v>
      </c>
      <c r="G1415" s="10">
        <v>3</v>
      </c>
      <c r="H1415" s="10">
        <v>0</v>
      </c>
      <c r="I1415" s="10">
        <v>1</v>
      </c>
      <c r="J1415" s="10">
        <f>SUM(B1415:I1415)</f>
        <v>44.756</v>
      </c>
      <c r="K1415">
        <v>2017</v>
      </c>
      <c r="L1415">
        <v>11</v>
      </c>
      <c r="M1415" s="11">
        <v>43040</v>
      </c>
      <c r="N1415" t="s">
        <v>2183</v>
      </c>
      <c r="O1415">
        <v>3</v>
      </c>
      <c r="P1415" t="s">
        <v>65</v>
      </c>
      <c r="Q1415" t="b">
        <v>1</v>
      </c>
    </row>
    <row r="1416" spans="1:17">
      <c r="A1416" s="12">
        <v>43055</v>
      </c>
      <c r="B1416" s="10">
        <v>5.33</v>
      </c>
      <c r="C1416" s="10">
        <v>2</v>
      </c>
      <c r="D1416" s="10">
        <v>3</v>
      </c>
      <c r="E1416" s="10">
        <v>17.6</v>
      </c>
      <c r="F1416" s="10">
        <v>3</v>
      </c>
      <c r="G1416" s="10">
        <v>0</v>
      </c>
      <c r="H1416" s="10">
        <v>1</v>
      </c>
      <c r="I1416" s="10">
        <v>1</v>
      </c>
      <c r="J1416" s="10">
        <f>SUM(B1416:I1416)</f>
        <v>32.93</v>
      </c>
      <c r="K1416">
        <v>2017</v>
      </c>
      <c r="L1416">
        <v>11</v>
      </c>
      <c r="M1416" s="11">
        <v>43040</v>
      </c>
      <c r="N1416" t="s">
        <v>2183</v>
      </c>
      <c r="O1416">
        <v>4</v>
      </c>
      <c r="P1416" t="s">
        <v>53</v>
      </c>
      <c r="Q1416" t="b">
        <v>1</v>
      </c>
    </row>
    <row r="1417" spans="1:17">
      <c r="A1417" s="12">
        <v>43056</v>
      </c>
      <c r="B1417" s="10">
        <v>3</v>
      </c>
      <c r="C1417" s="10">
        <v>4.837</v>
      </c>
      <c r="D1417" s="10">
        <v>3</v>
      </c>
      <c r="E1417" s="10">
        <v>34</v>
      </c>
      <c r="F1417" s="10">
        <v>5</v>
      </c>
      <c r="G1417" s="10">
        <v>0</v>
      </c>
      <c r="H1417" s="10">
        <v>30</v>
      </c>
      <c r="I1417" s="10">
        <v>2</v>
      </c>
      <c r="J1417" s="10">
        <f>SUM(B1417:I1417)</f>
        <v>81.837</v>
      </c>
      <c r="K1417">
        <v>2017</v>
      </c>
      <c r="L1417">
        <v>11</v>
      </c>
      <c r="M1417" s="11">
        <v>43040</v>
      </c>
      <c r="N1417" t="s">
        <v>2183</v>
      </c>
      <c r="O1417">
        <v>5</v>
      </c>
      <c r="P1417" t="s">
        <v>55</v>
      </c>
      <c r="Q1417" t="b">
        <v>1</v>
      </c>
    </row>
    <row r="1418" spans="1:17">
      <c r="A1418" s="12">
        <v>43057</v>
      </c>
      <c r="B1418" s="10">
        <v>5.33</v>
      </c>
      <c r="C1418" s="10">
        <v>8.449999999999999</v>
      </c>
      <c r="D1418" s="10">
        <v>2</v>
      </c>
      <c r="E1418" s="10">
        <v>42.5</v>
      </c>
      <c r="F1418" s="10">
        <v>2</v>
      </c>
      <c r="G1418" s="10">
        <v>0</v>
      </c>
      <c r="H1418" s="10">
        <v>8</v>
      </c>
      <c r="I1418" s="10">
        <v>1.2</v>
      </c>
      <c r="J1418" s="10">
        <f>SUM(B1418:I1418)</f>
        <v>69.48</v>
      </c>
      <c r="K1418">
        <v>2017</v>
      </c>
      <c r="L1418">
        <v>11</v>
      </c>
      <c r="M1418" s="11">
        <v>43040</v>
      </c>
      <c r="N1418" t="s">
        <v>2183</v>
      </c>
      <c r="O1418">
        <v>6</v>
      </c>
      <c r="P1418" t="s">
        <v>57</v>
      </c>
      <c r="Q1418" t="b">
        <v>1</v>
      </c>
    </row>
    <row r="1419" spans="1:17">
      <c r="A1419" s="12">
        <v>43058</v>
      </c>
      <c r="B1419" s="10">
        <v>4</v>
      </c>
      <c r="C1419" s="10">
        <v>6.88</v>
      </c>
      <c r="D1419" s="10">
        <v>1</v>
      </c>
      <c r="E1419" s="10">
        <v>29</v>
      </c>
      <c r="F1419" s="10">
        <v>3</v>
      </c>
      <c r="G1419" s="10">
        <v>0</v>
      </c>
      <c r="H1419" s="10">
        <v>6</v>
      </c>
      <c r="I1419" s="10">
        <v>2.5</v>
      </c>
      <c r="J1419" s="10">
        <f>SUM(B1419:I1419)</f>
        <v>52.379999999999995</v>
      </c>
      <c r="K1419">
        <v>2017</v>
      </c>
      <c r="L1419">
        <v>11</v>
      </c>
      <c r="M1419" s="11">
        <v>43040</v>
      </c>
      <c r="N1419" t="s">
        <v>2183</v>
      </c>
      <c r="O1419">
        <v>7</v>
      </c>
      <c r="P1419" t="s">
        <v>59</v>
      </c>
      <c r="Q1419" t="b">
        <v>1</v>
      </c>
    </row>
    <row r="1420" spans="1:17">
      <c r="A1420" s="12">
        <v>43059</v>
      </c>
      <c r="B1420" s="10">
        <v>2.34</v>
      </c>
      <c r="C1420" s="10">
        <v>5.34</v>
      </c>
      <c r="D1420" s="10">
        <v>2.4</v>
      </c>
      <c r="E1420" s="10">
        <v>28.8</v>
      </c>
      <c r="F1420" s="10">
        <v>10</v>
      </c>
      <c r="G1420" s="10">
        <v>0</v>
      </c>
      <c r="H1420" s="10">
        <v>2</v>
      </c>
      <c r="I1420" s="10">
        <v>0</v>
      </c>
      <c r="J1420" s="10">
        <f>SUM(B1420:I1420)</f>
        <v>50.88</v>
      </c>
      <c r="K1420">
        <v>2017</v>
      </c>
      <c r="L1420">
        <v>11</v>
      </c>
      <c r="M1420" s="11">
        <v>43040</v>
      </c>
      <c r="N1420" t="s">
        <v>2183</v>
      </c>
      <c r="O1420">
        <v>1</v>
      </c>
      <c r="P1420" t="s">
        <v>61</v>
      </c>
      <c r="Q1420" t="b">
        <v>1</v>
      </c>
    </row>
    <row r="1421" spans="1:17">
      <c r="A1421" s="12">
        <v>43060</v>
      </c>
      <c r="B1421" s="10">
        <v>13.33</v>
      </c>
      <c r="C1421" s="10">
        <v>0.68</v>
      </c>
      <c r="D1421" s="10">
        <v>1</v>
      </c>
      <c r="E1421" s="10">
        <v>22.4</v>
      </c>
      <c r="F1421" s="10">
        <v>5</v>
      </c>
      <c r="G1421" s="10">
        <v>0</v>
      </c>
      <c r="H1421" s="10">
        <v>2</v>
      </c>
      <c r="I1421" s="10">
        <v>1</v>
      </c>
      <c r="J1421" s="10">
        <f>SUM(B1421:I1421)</f>
        <v>45.41</v>
      </c>
      <c r="K1421">
        <v>2017</v>
      </c>
      <c r="L1421">
        <v>11</v>
      </c>
      <c r="M1421" s="11">
        <v>43040</v>
      </c>
      <c r="N1421" t="s">
        <v>2183</v>
      </c>
      <c r="O1421">
        <v>2</v>
      </c>
      <c r="P1421" t="s">
        <v>63</v>
      </c>
      <c r="Q1421" t="b">
        <v>1</v>
      </c>
    </row>
    <row r="1422" spans="1:17">
      <c r="A1422" s="12">
        <v>43061</v>
      </c>
      <c r="B1422" s="10">
        <v>2</v>
      </c>
      <c r="C1422" s="10">
        <v>4</v>
      </c>
      <c r="D1422" s="10">
        <v>1</v>
      </c>
      <c r="E1422" s="10">
        <v>26.1</v>
      </c>
      <c r="F1422" s="10">
        <v>20</v>
      </c>
      <c r="G1422" s="10">
        <v>0</v>
      </c>
      <c r="H1422" s="10">
        <v>1</v>
      </c>
      <c r="I1422" s="10">
        <v>1</v>
      </c>
      <c r="J1422" s="10">
        <f>SUM(B1422:I1422)</f>
        <v>55.1</v>
      </c>
      <c r="K1422">
        <v>2017</v>
      </c>
      <c r="L1422">
        <v>11</v>
      </c>
      <c r="M1422" s="11">
        <v>43040</v>
      </c>
      <c r="N1422" t="s">
        <v>2183</v>
      </c>
      <c r="O1422">
        <v>3</v>
      </c>
      <c r="P1422" t="s">
        <v>65</v>
      </c>
      <c r="Q1422" t="b">
        <v>1</v>
      </c>
    </row>
    <row r="1423" spans="1:17">
      <c r="A1423" s="12">
        <v>43062</v>
      </c>
      <c r="B1423" s="10">
        <v>9.33</v>
      </c>
      <c r="C1423" s="10">
        <v>5.99</v>
      </c>
      <c r="D1423" s="10">
        <v>6</v>
      </c>
      <c r="E1423" s="10">
        <v>34.3</v>
      </c>
      <c r="F1423" s="10">
        <v>14</v>
      </c>
      <c r="G1423" s="10">
        <v>0</v>
      </c>
      <c r="H1423" s="10">
        <v>0</v>
      </c>
      <c r="I1423" s="10">
        <v>3</v>
      </c>
      <c r="J1423" s="10">
        <f>SUM(B1423:I1423)</f>
        <v>72.62</v>
      </c>
      <c r="K1423">
        <v>2017</v>
      </c>
      <c r="L1423">
        <v>11</v>
      </c>
      <c r="M1423" s="11">
        <v>43040</v>
      </c>
      <c r="N1423" t="s">
        <v>2183</v>
      </c>
      <c r="O1423">
        <v>4</v>
      </c>
      <c r="P1423" t="s">
        <v>53</v>
      </c>
      <c r="Q1423" t="b">
        <v>1</v>
      </c>
    </row>
    <row r="1424" spans="1:17">
      <c r="A1424" s="12">
        <v>43063</v>
      </c>
      <c r="B1424" s="10">
        <v>8</v>
      </c>
      <c r="C1424" s="10">
        <v>3.132</v>
      </c>
      <c r="D1424" s="10">
        <v>5</v>
      </c>
      <c r="E1424" s="10">
        <v>34.324</v>
      </c>
      <c r="F1424" s="10">
        <v>5</v>
      </c>
      <c r="G1424" s="10">
        <v>2</v>
      </c>
      <c r="H1424" s="10">
        <v>2</v>
      </c>
      <c r="I1424" s="10">
        <v>0</v>
      </c>
      <c r="J1424" s="10">
        <f>SUM(B1424:I1424)</f>
        <v>59.455999999999996</v>
      </c>
      <c r="K1424">
        <v>2017</v>
      </c>
      <c r="L1424">
        <v>11</v>
      </c>
      <c r="M1424" s="11">
        <v>43040</v>
      </c>
      <c r="N1424" t="s">
        <v>2183</v>
      </c>
      <c r="O1424">
        <v>5</v>
      </c>
      <c r="P1424" t="s">
        <v>55</v>
      </c>
      <c r="Q1424" t="b">
        <v>1</v>
      </c>
    </row>
    <row r="1425" spans="1:17">
      <c r="A1425" s="12">
        <v>43064</v>
      </c>
      <c r="B1425" s="10">
        <v>5.33</v>
      </c>
      <c r="C1425" s="10">
        <v>6.076</v>
      </c>
      <c r="D1425" s="10">
        <v>4.1</v>
      </c>
      <c r="E1425" s="10">
        <v>26.5</v>
      </c>
      <c r="F1425" s="10">
        <v>8</v>
      </c>
      <c r="G1425" s="10">
        <v>0</v>
      </c>
      <c r="H1425" s="10">
        <v>2</v>
      </c>
      <c r="I1425" s="10">
        <v>0</v>
      </c>
      <c r="J1425" s="10">
        <f>SUM(B1425:I1425)</f>
        <v>52.006</v>
      </c>
      <c r="K1425">
        <v>2017</v>
      </c>
      <c r="L1425">
        <v>11</v>
      </c>
      <c r="M1425" s="11">
        <v>43040</v>
      </c>
      <c r="N1425" t="s">
        <v>2183</v>
      </c>
      <c r="O1425">
        <v>6</v>
      </c>
      <c r="P1425" t="s">
        <v>57</v>
      </c>
      <c r="Q1425" t="b">
        <v>1</v>
      </c>
    </row>
    <row r="1426" spans="1:17">
      <c r="A1426" s="12">
        <v>43065</v>
      </c>
      <c r="B1426" s="10">
        <v>5.66</v>
      </c>
      <c r="C1426" s="10">
        <v>5.786</v>
      </c>
      <c r="D1426" s="10">
        <v>1</v>
      </c>
      <c r="E1426" s="10">
        <v>31.2</v>
      </c>
      <c r="F1426" s="10">
        <v>2</v>
      </c>
      <c r="G1426" s="10">
        <v>1</v>
      </c>
      <c r="H1426" s="10">
        <v>12</v>
      </c>
      <c r="I1426" s="10">
        <v>2</v>
      </c>
      <c r="J1426" s="10">
        <f>SUM(B1426:I1426)</f>
        <v>60.646</v>
      </c>
      <c r="K1426">
        <v>2017</v>
      </c>
      <c r="L1426">
        <v>11</v>
      </c>
      <c r="M1426" s="11">
        <v>43040</v>
      </c>
      <c r="N1426" t="s">
        <v>2183</v>
      </c>
      <c r="O1426">
        <v>7</v>
      </c>
      <c r="P1426" t="s">
        <v>59</v>
      </c>
      <c r="Q1426" t="b">
        <v>1</v>
      </c>
    </row>
    <row r="1427" spans="1:17">
      <c r="A1427" s="12">
        <v>43066</v>
      </c>
      <c r="B1427" s="10">
        <v>1.34</v>
      </c>
      <c r="C1427" s="10">
        <v>3.67</v>
      </c>
      <c r="D1427" s="10">
        <v>6.1</v>
      </c>
      <c r="E1427" s="10">
        <v>34.825</v>
      </c>
      <c r="F1427" s="10">
        <v>4</v>
      </c>
      <c r="G1427" s="10">
        <v>0</v>
      </c>
      <c r="H1427" s="10">
        <v>7</v>
      </c>
      <c r="I1427" s="10">
        <v>3</v>
      </c>
      <c r="J1427" s="10">
        <f>SUM(B1427:I1427)</f>
        <v>59.935</v>
      </c>
      <c r="K1427">
        <v>2017</v>
      </c>
      <c r="L1427">
        <v>11</v>
      </c>
      <c r="M1427" s="11">
        <v>43040</v>
      </c>
      <c r="N1427" t="s">
        <v>2183</v>
      </c>
      <c r="O1427">
        <v>1</v>
      </c>
      <c r="P1427" t="s">
        <v>61</v>
      </c>
      <c r="Q1427" t="b">
        <v>1</v>
      </c>
    </row>
    <row r="1428" spans="1:17">
      <c r="A1428" s="12">
        <v>43067</v>
      </c>
      <c r="B1428" s="10">
        <v>5</v>
      </c>
      <c r="C1428" s="10">
        <v>1.34</v>
      </c>
      <c r="D1428" s="10">
        <v>5.35</v>
      </c>
      <c r="E1428" s="10">
        <v>40.6</v>
      </c>
      <c r="F1428" s="10">
        <v>5</v>
      </c>
      <c r="G1428" s="10">
        <v>3</v>
      </c>
      <c r="H1428" s="10">
        <v>8</v>
      </c>
      <c r="I1428" s="10">
        <v>3</v>
      </c>
      <c r="J1428" s="10">
        <f>SUM(B1428:I1428)</f>
        <v>71.28999999999999</v>
      </c>
      <c r="K1428">
        <v>2017</v>
      </c>
      <c r="L1428">
        <v>11</v>
      </c>
      <c r="M1428" s="11">
        <v>43040</v>
      </c>
      <c r="N1428" t="s">
        <v>2183</v>
      </c>
      <c r="O1428">
        <v>2</v>
      </c>
      <c r="P1428" t="s">
        <v>63</v>
      </c>
      <c r="Q1428" t="b">
        <v>1</v>
      </c>
    </row>
    <row r="1429" spans="1:17">
      <c r="A1429" s="12">
        <v>43068</v>
      </c>
      <c r="B1429" s="10">
        <v>6.34</v>
      </c>
      <c r="C1429" s="10">
        <v>2.397</v>
      </c>
      <c r="D1429" s="10">
        <v>4.1</v>
      </c>
      <c r="E1429" s="10">
        <v>32.6</v>
      </c>
      <c r="F1429" s="10">
        <v>7</v>
      </c>
      <c r="G1429" s="10">
        <v>0</v>
      </c>
      <c r="H1429" s="10">
        <v>5</v>
      </c>
      <c r="I1429" s="10">
        <v>3</v>
      </c>
      <c r="J1429" s="10">
        <f>SUM(B1429:I1429)</f>
        <v>60.437</v>
      </c>
      <c r="K1429">
        <v>2017</v>
      </c>
      <c r="L1429">
        <v>11</v>
      </c>
      <c r="M1429" s="11">
        <v>43040</v>
      </c>
      <c r="N1429" t="s">
        <v>2183</v>
      </c>
      <c r="O1429">
        <v>3</v>
      </c>
      <c r="P1429" t="s">
        <v>65</v>
      </c>
      <c r="Q1429" t="b">
        <v>1</v>
      </c>
    </row>
    <row r="1430" spans="1:17">
      <c r="A1430" s="12">
        <v>43069</v>
      </c>
      <c r="B1430" s="10">
        <v>5.67</v>
      </c>
      <c r="C1430" s="10">
        <v>1.396</v>
      </c>
      <c r="D1430" s="10">
        <v>3</v>
      </c>
      <c r="E1430" s="10">
        <v>30</v>
      </c>
      <c r="F1430" s="10">
        <v>2</v>
      </c>
      <c r="G1430" s="10">
        <v>0</v>
      </c>
      <c r="H1430" s="10">
        <v>9</v>
      </c>
      <c r="I1430" s="10">
        <v>3</v>
      </c>
      <c r="J1430" s="10">
        <f>SUM(B1430:I1430)</f>
        <v>54.066</v>
      </c>
      <c r="K1430">
        <v>2017</v>
      </c>
      <c r="L1430">
        <v>11</v>
      </c>
      <c r="M1430" s="11">
        <v>43040</v>
      </c>
      <c r="N1430" t="s">
        <v>2183</v>
      </c>
      <c r="O1430">
        <v>4</v>
      </c>
      <c r="P1430" t="s">
        <v>53</v>
      </c>
      <c r="Q1430" t="b">
        <v>1</v>
      </c>
    </row>
    <row r="1431" spans="1:17">
      <c r="A1431" s="12">
        <v>43070</v>
      </c>
      <c r="B1431" s="10">
        <v>10.33</v>
      </c>
      <c r="C1431" s="10">
        <v>7.66</v>
      </c>
      <c r="D1431" s="10">
        <v>1</v>
      </c>
      <c r="E1431" s="10">
        <v>25.4</v>
      </c>
      <c r="F1431" s="10">
        <v>3</v>
      </c>
      <c r="G1431" s="10">
        <v>0</v>
      </c>
      <c r="H1431" s="10">
        <v>5</v>
      </c>
      <c r="I1431" s="10">
        <v>2</v>
      </c>
      <c r="J1431" s="10">
        <f>SUM(B1431:I1431)</f>
        <v>54.39</v>
      </c>
      <c r="K1431">
        <v>2017</v>
      </c>
      <c r="L1431">
        <v>12</v>
      </c>
      <c r="M1431" s="11">
        <v>43070</v>
      </c>
      <c r="N1431" t="s">
        <v>2184</v>
      </c>
      <c r="O1431">
        <v>5</v>
      </c>
      <c r="P1431" t="s">
        <v>55</v>
      </c>
      <c r="Q1431" t="b">
        <v>1</v>
      </c>
    </row>
    <row r="1432" spans="1:17">
      <c r="A1432" s="12">
        <v>43071</v>
      </c>
      <c r="B1432" s="10">
        <v>4.33</v>
      </c>
      <c r="C1432" s="10">
        <v>3.67</v>
      </c>
      <c r="D1432" s="10">
        <v>5</v>
      </c>
      <c r="E1432" s="10">
        <v>22</v>
      </c>
      <c r="F1432" s="10">
        <v>11</v>
      </c>
      <c r="G1432" s="10">
        <v>0</v>
      </c>
      <c r="H1432" s="10">
        <v>0</v>
      </c>
      <c r="I1432" s="10">
        <v>1.5</v>
      </c>
      <c r="J1432" s="10">
        <f>SUM(B1432:I1432)</f>
        <v>47.5</v>
      </c>
      <c r="K1432">
        <v>2017</v>
      </c>
      <c r="L1432">
        <v>12</v>
      </c>
      <c r="M1432" s="11">
        <v>43070</v>
      </c>
      <c r="N1432" t="s">
        <v>2184</v>
      </c>
      <c r="O1432">
        <v>6</v>
      </c>
      <c r="P1432" t="s">
        <v>57</v>
      </c>
      <c r="Q1432" t="b">
        <v>1</v>
      </c>
    </row>
    <row r="1433" spans="1:17">
      <c r="A1433" s="12">
        <v>43072</v>
      </c>
      <c r="B1433" s="10">
        <v>5.33</v>
      </c>
      <c r="C1433" s="10">
        <v>6.023</v>
      </c>
      <c r="D1433" s="10">
        <v>3</v>
      </c>
      <c r="E1433" s="10">
        <v>33.4</v>
      </c>
      <c r="F1433" s="10">
        <v>3</v>
      </c>
      <c r="G1433" s="10">
        <v>0</v>
      </c>
      <c r="H1433" s="10">
        <v>6</v>
      </c>
      <c r="I1433" s="10">
        <v>2</v>
      </c>
      <c r="J1433" s="10">
        <f>SUM(B1433:I1433)</f>
        <v>58.753</v>
      </c>
      <c r="K1433">
        <v>2017</v>
      </c>
      <c r="L1433">
        <v>12</v>
      </c>
      <c r="M1433" s="11">
        <v>43070</v>
      </c>
      <c r="N1433" t="s">
        <v>2184</v>
      </c>
      <c r="O1433">
        <v>7</v>
      </c>
      <c r="P1433" t="s">
        <v>59</v>
      </c>
      <c r="Q1433" t="b">
        <v>1</v>
      </c>
    </row>
    <row r="1434" spans="1:17">
      <c r="A1434" s="12">
        <v>43073</v>
      </c>
      <c r="B1434" s="10">
        <v>1</v>
      </c>
      <c r="C1434" s="10">
        <v>2.363</v>
      </c>
      <c r="D1434" s="10">
        <v>4</v>
      </c>
      <c r="E1434" s="10">
        <v>15.6</v>
      </c>
      <c r="F1434" s="10">
        <v>3</v>
      </c>
      <c r="G1434" s="10">
        <v>0</v>
      </c>
      <c r="H1434" s="10">
        <v>13</v>
      </c>
      <c r="I1434" s="10">
        <v>3</v>
      </c>
      <c r="J1434" s="10">
        <f>SUM(B1434:I1434)</f>
        <v>41.963</v>
      </c>
      <c r="K1434">
        <v>2017</v>
      </c>
      <c r="L1434">
        <v>12</v>
      </c>
      <c r="M1434" s="11">
        <v>43070</v>
      </c>
      <c r="N1434" t="s">
        <v>2184</v>
      </c>
      <c r="O1434">
        <v>1</v>
      </c>
      <c r="P1434" t="s">
        <v>61</v>
      </c>
      <c r="Q1434" t="b">
        <v>1</v>
      </c>
    </row>
    <row r="1435" spans="1:17">
      <c r="A1435" s="12">
        <v>43074</v>
      </c>
      <c r="B1435" s="10">
        <v>3.68</v>
      </c>
      <c r="C1435" s="10">
        <v>3.165</v>
      </c>
      <c r="D1435" s="10">
        <v>4.05</v>
      </c>
      <c r="E1435" s="10">
        <v>17.1</v>
      </c>
      <c r="F1435" s="10">
        <v>1</v>
      </c>
      <c r="G1435" s="10">
        <v>0</v>
      </c>
      <c r="H1435" s="10">
        <v>6</v>
      </c>
      <c r="I1435" s="10">
        <v>2</v>
      </c>
      <c r="J1435" s="10">
        <f>SUM(B1435:I1435)</f>
        <v>36.995000000000005</v>
      </c>
      <c r="K1435">
        <v>2017</v>
      </c>
      <c r="L1435">
        <v>12</v>
      </c>
      <c r="M1435" s="11">
        <v>43070</v>
      </c>
      <c r="N1435" t="s">
        <v>2184</v>
      </c>
      <c r="O1435">
        <v>2</v>
      </c>
      <c r="P1435" t="s">
        <v>63</v>
      </c>
      <c r="Q1435" t="b">
        <v>1</v>
      </c>
    </row>
    <row r="1436" spans="1:17">
      <c r="A1436" s="12">
        <v>43075</v>
      </c>
      <c r="B1436" s="10">
        <v>4</v>
      </c>
      <c r="C1436" s="10">
        <v>4.396</v>
      </c>
      <c r="D1436" s="10">
        <v>2.1</v>
      </c>
      <c r="E1436" s="10">
        <v>29.2</v>
      </c>
      <c r="F1436" s="10">
        <v>12</v>
      </c>
      <c r="G1436" s="10">
        <v>0</v>
      </c>
      <c r="H1436" s="10">
        <v>6</v>
      </c>
      <c r="I1436" s="10">
        <v>1</v>
      </c>
      <c r="J1436" s="10">
        <f>SUM(B1436:I1436)</f>
        <v>58.696</v>
      </c>
      <c r="K1436">
        <v>2017</v>
      </c>
      <c r="L1436">
        <v>12</v>
      </c>
      <c r="M1436" s="11">
        <v>43070</v>
      </c>
      <c r="N1436" t="s">
        <v>2184</v>
      </c>
      <c r="O1436">
        <v>3</v>
      </c>
      <c r="P1436" t="s">
        <v>65</v>
      </c>
      <c r="Q1436" t="b">
        <v>1</v>
      </c>
    </row>
    <row r="1437" spans="1:17">
      <c r="A1437" s="12">
        <v>43076</v>
      </c>
      <c r="B1437" s="10">
        <v>3</v>
      </c>
      <c r="C1437" s="10">
        <v>2.66</v>
      </c>
      <c r="D1437" s="10">
        <v>5.45</v>
      </c>
      <c r="E1437" s="10">
        <v>24.9</v>
      </c>
      <c r="F1437" s="10">
        <v>8</v>
      </c>
      <c r="G1437" s="10">
        <v>0</v>
      </c>
      <c r="H1437" s="10">
        <v>7</v>
      </c>
      <c r="I1437" s="10">
        <v>1</v>
      </c>
      <c r="J1437" s="10">
        <f>SUM(B1437:I1437)</f>
        <v>52.01</v>
      </c>
      <c r="K1437">
        <v>2017</v>
      </c>
      <c r="L1437">
        <v>12</v>
      </c>
      <c r="M1437" s="11">
        <v>43070</v>
      </c>
      <c r="N1437" t="s">
        <v>2184</v>
      </c>
      <c r="O1437">
        <v>4</v>
      </c>
      <c r="P1437" t="s">
        <v>53</v>
      </c>
      <c r="Q1437" t="b">
        <v>1</v>
      </c>
    </row>
    <row r="1438" spans="1:17">
      <c r="A1438" s="12">
        <v>43077</v>
      </c>
      <c r="B1438" s="10">
        <v>5.33</v>
      </c>
      <c r="C1438" s="10">
        <v>2.51</v>
      </c>
      <c r="D1438" s="10">
        <v>3.5</v>
      </c>
      <c r="E1438" s="10">
        <v>44.2</v>
      </c>
      <c r="F1438" s="10">
        <v>5</v>
      </c>
      <c r="G1438" s="10">
        <v>1</v>
      </c>
      <c r="H1438" s="10">
        <v>7</v>
      </c>
      <c r="I1438" s="10">
        <v>2</v>
      </c>
      <c r="J1438" s="10">
        <f>SUM(B1438:I1438)</f>
        <v>70.54</v>
      </c>
      <c r="K1438">
        <v>2017</v>
      </c>
      <c r="L1438">
        <v>12</v>
      </c>
      <c r="M1438" s="11">
        <v>43070</v>
      </c>
      <c r="N1438" t="s">
        <v>2184</v>
      </c>
      <c r="O1438">
        <v>5</v>
      </c>
      <c r="P1438" t="s">
        <v>55</v>
      </c>
      <c r="Q1438" t="b">
        <v>1</v>
      </c>
    </row>
    <row r="1439" spans="1:17">
      <c r="A1439" s="12">
        <v>43078</v>
      </c>
      <c r="B1439" s="10">
        <v>5</v>
      </c>
      <c r="C1439" s="10">
        <v>2.17</v>
      </c>
      <c r="D1439" s="10">
        <v>5.4</v>
      </c>
      <c r="E1439" s="10">
        <v>36.6</v>
      </c>
      <c r="F1439" s="10">
        <v>14</v>
      </c>
      <c r="G1439" s="10">
        <v>0</v>
      </c>
      <c r="H1439" s="10">
        <v>7</v>
      </c>
      <c r="I1439" s="10">
        <v>2</v>
      </c>
      <c r="J1439" s="10">
        <f>SUM(B1439:I1439)</f>
        <v>72.17</v>
      </c>
      <c r="K1439">
        <v>2017</v>
      </c>
      <c r="L1439">
        <v>12</v>
      </c>
      <c r="M1439" s="11">
        <v>43070</v>
      </c>
      <c r="N1439" t="s">
        <v>2184</v>
      </c>
      <c r="O1439">
        <v>6</v>
      </c>
      <c r="P1439" t="s">
        <v>57</v>
      </c>
      <c r="Q1439" t="b">
        <v>1</v>
      </c>
    </row>
    <row r="1440" spans="1:17">
      <c r="A1440" s="12">
        <v>43079</v>
      </c>
      <c r="B1440" s="10">
        <v>5</v>
      </c>
      <c r="C1440" s="10">
        <v>2.802</v>
      </c>
      <c r="D1440" s="10">
        <v>5</v>
      </c>
      <c r="E1440" s="10">
        <v>48</v>
      </c>
      <c r="F1440" s="10">
        <v>7</v>
      </c>
      <c r="G1440" s="10">
        <v>0</v>
      </c>
      <c r="H1440" s="10">
        <v>18</v>
      </c>
      <c r="I1440" s="10">
        <v>2</v>
      </c>
      <c r="J1440" s="10">
        <f>SUM(B1440:I1440)</f>
        <v>87.80199999999999</v>
      </c>
      <c r="K1440">
        <v>2017</v>
      </c>
      <c r="L1440">
        <v>12</v>
      </c>
      <c r="M1440" s="11">
        <v>43070</v>
      </c>
      <c r="N1440" t="s">
        <v>2184</v>
      </c>
      <c r="O1440">
        <v>7</v>
      </c>
      <c r="P1440" t="s">
        <v>59</v>
      </c>
      <c r="Q1440" t="b">
        <v>1</v>
      </c>
    </row>
    <row r="1441" spans="1:17">
      <c r="A1441" s="12">
        <v>43080</v>
      </c>
      <c r="B1441" s="10">
        <v>8</v>
      </c>
      <c r="C1441" s="10">
        <v>6</v>
      </c>
      <c r="D1441" s="10">
        <v>5.5</v>
      </c>
      <c r="E1441" s="10">
        <v>34.4</v>
      </c>
      <c r="F1441" s="10">
        <v>10</v>
      </c>
      <c r="G1441" s="10">
        <v>0</v>
      </c>
      <c r="H1441" s="10">
        <v>6</v>
      </c>
      <c r="I1441" s="10">
        <v>1</v>
      </c>
      <c r="J1441" s="10">
        <f>SUM(B1441:I1441)</f>
        <v>70.9</v>
      </c>
      <c r="K1441">
        <v>2017</v>
      </c>
      <c r="L1441">
        <v>12</v>
      </c>
      <c r="M1441" s="11">
        <v>43070</v>
      </c>
      <c r="N1441" t="s">
        <v>2184</v>
      </c>
      <c r="O1441">
        <v>1</v>
      </c>
      <c r="P1441" t="s">
        <v>61</v>
      </c>
      <c r="Q1441" t="b">
        <v>1</v>
      </c>
    </row>
    <row r="1442" spans="1:17">
      <c r="A1442" s="12">
        <v>43081</v>
      </c>
      <c r="B1442" s="10">
        <v>1.33</v>
      </c>
      <c r="C1442" s="10">
        <v>5.066</v>
      </c>
      <c r="D1442" s="10">
        <v>3</v>
      </c>
      <c r="E1442" s="10">
        <v>44</v>
      </c>
      <c r="F1442" s="10">
        <v>6</v>
      </c>
      <c r="G1442" s="10">
        <v>1</v>
      </c>
      <c r="H1442" s="10">
        <v>12</v>
      </c>
      <c r="I1442" s="10">
        <v>2</v>
      </c>
      <c r="J1442" s="10">
        <f>SUM(B1442:I1442)</f>
        <v>74.396</v>
      </c>
      <c r="K1442">
        <v>2017</v>
      </c>
      <c r="L1442">
        <v>12</v>
      </c>
      <c r="M1442" s="11">
        <v>43070</v>
      </c>
      <c r="N1442" t="s">
        <v>2184</v>
      </c>
      <c r="O1442">
        <v>2</v>
      </c>
      <c r="P1442" t="s">
        <v>63</v>
      </c>
      <c r="Q1442" t="b">
        <v>1</v>
      </c>
    </row>
    <row r="1443" spans="1:17">
      <c r="A1443" s="12">
        <v>43082</v>
      </c>
      <c r="B1443" s="10">
        <v>4</v>
      </c>
      <c r="C1443" s="10">
        <v>3.34</v>
      </c>
      <c r="D1443" s="10">
        <v>2.3</v>
      </c>
      <c r="E1443" s="10">
        <v>29</v>
      </c>
      <c r="F1443" s="10">
        <v>9</v>
      </c>
      <c r="G1443" s="10">
        <v>0</v>
      </c>
      <c r="H1443" s="10">
        <v>0</v>
      </c>
      <c r="I1443" s="10">
        <v>1</v>
      </c>
      <c r="J1443" s="10">
        <f>SUM(B1443:I1443)</f>
        <v>48.64</v>
      </c>
      <c r="K1443">
        <v>2017</v>
      </c>
      <c r="L1443">
        <v>12</v>
      </c>
      <c r="M1443" s="11">
        <v>43070</v>
      </c>
      <c r="N1443" t="s">
        <v>2184</v>
      </c>
      <c r="O1443">
        <v>3</v>
      </c>
      <c r="P1443" t="s">
        <v>65</v>
      </c>
      <c r="Q1443" t="b">
        <v>1</v>
      </c>
    </row>
    <row r="1444" spans="1:17">
      <c r="A1444" s="12">
        <v>43083</v>
      </c>
      <c r="B1444" s="10">
        <v>3</v>
      </c>
      <c r="C1444" s="10">
        <v>3</v>
      </c>
      <c r="D1444" s="10">
        <v>3</v>
      </c>
      <c r="E1444" s="10">
        <v>30</v>
      </c>
      <c r="F1444" s="10">
        <v>5</v>
      </c>
      <c r="G1444" s="10">
        <v>0</v>
      </c>
      <c r="H1444" s="10">
        <v>0</v>
      </c>
      <c r="I1444" s="10">
        <v>3</v>
      </c>
      <c r="J1444" s="10">
        <f>SUM(B1444:I1444)</f>
        <v>47.0</v>
      </c>
      <c r="K1444">
        <v>2017</v>
      </c>
      <c r="L1444">
        <v>12</v>
      </c>
      <c r="M1444" s="11">
        <v>43070</v>
      </c>
      <c r="N1444" t="s">
        <v>2184</v>
      </c>
      <c r="O1444">
        <v>4</v>
      </c>
      <c r="P1444" t="s">
        <v>53</v>
      </c>
      <c r="Q1444" t="b">
        <v>1</v>
      </c>
    </row>
    <row r="1445" spans="1:17">
      <c r="A1445" s="12">
        <v>43084</v>
      </c>
      <c r="B1445" s="10">
        <v>4.18</v>
      </c>
      <c r="C1445" s="10">
        <v>5.01</v>
      </c>
      <c r="D1445" s="10">
        <v>2.5</v>
      </c>
      <c r="E1445" s="10">
        <v>29</v>
      </c>
      <c r="F1445" s="10">
        <v>6</v>
      </c>
      <c r="G1445" s="10">
        <v>0</v>
      </c>
      <c r="H1445" s="10">
        <v>0</v>
      </c>
      <c r="I1445" s="10">
        <v>1</v>
      </c>
      <c r="J1445" s="10">
        <f>SUM(B1445:I1445)</f>
        <v>47.69</v>
      </c>
      <c r="K1445">
        <v>2017</v>
      </c>
      <c r="L1445">
        <v>12</v>
      </c>
      <c r="M1445" s="11">
        <v>43070</v>
      </c>
      <c r="N1445" t="s">
        <v>2184</v>
      </c>
      <c r="O1445">
        <v>5</v>
      </c>
      <c r="P1445" t="s">
        <v>55</v>
      </c>
      <c r="Q1445" t="b">
        <v>1</v>
      </c>
    </row>
    <row r="1446" spans="1:17">
      <c r="A1446" s="12">
        <v>43085</v>
      </c>
      <c r="B1446" s="10">
        <v>11</v>
      </c>
      <c r="C1446" s="10">
        <v>6</v>
      </c>
      <c r="D1446" s="10">
        <v>3</v>
      </c>
      <c r="E1446" s="10">
        <v>36.6</v>
      </c>
      <c r="F1446" s="10">
        <v>6</v>
      </c>
      <c r="G1446" s="10">
        <v>1</v>
      </c>
      <c r="H1446" s="10">
        <v>1</v>
      </c>
      <c r="I1446" s="10">
        <v>2</v>
      </c>
      <c r="J1446" s="10">
        <f>SUM(B1446:I1446)</f>
        <v>66.6</v>
      </c>
      <c r="K1446">
        <v>2017</v>
      </c>
      <c r="L1446">
        <v>12</v>
      </c>
      <c r="M1446" s="11">
        <v>43070</v>
      </c>
      <c r="N1446" t="s">
        <v>2184</v>
      </c>
      <c r="O1446">
        <v>6</v>
      </c>
      <c r="P1446" t="s">
        <v>57</v>
      </c>
      <c r="Q1446" t="b">
        <v>1</v>
      </c>
    </row>
    <row r="1447" spans="1:17">
      <c r="A1447" s="12">
        <v>43086</v>
      </c>
      <c r="B1447" s="10">
        <v>7</v>
      </c>
      <c r="C1447" s="10">
        <v>0.33</v>
      </c>
      <c r="D1447" s="10">
        <v>5.1</v>
      </c>
      <c r="E1447" s="10">
        <v>37</v>
      </c>
      <c r="F1447" s="10">
        <v>11</v>
      </c>
      <c r="G1447" s="10">
        <v>0</v>
      </c>
      <c r="H1447" s="10">
        <v>15</v>
      </c>
      <c r="I1447" s="10">
        <v>2</v>
      </c>
      <c r="J1447" s="10">
        <f>SUM(B1447:I1447)</f>
        <v>77.43</v>
      </c>
      <c r="K1447">
        <v>2017</v>
      </c>
      <c r="L1447">
        <v>12</v>
      </c>
      <c r="M1447" s="11">
        <v>43070</v>
      </c>
      <c r="N1447" t="s">
        <v>2184</v>
      </c>
      <c r="O1447">
        <v>7</v>
      </c>
      <c r="P1447" t="s">
        <v>59</v>
      </c>
      <c r="Q1447" t="b">
        <v>1</v>
      </c>
    </row>
    <row r="1448" spans="1:17">
      <c r="A1448" s="12">
        <v>43087</v>
      </c>
      <c r="B1448" s="10">
        <v>0.66</v>
      </c>
      <c r="C1448" s="10">
        <v>4.67</v>
      </c>
      <c r="D1448" s="10">
        <v>6</v>
      </c>
      <c r="E1448" s="10">
        <v>31.6</v>
      </c>
      <c r="F1448" s="10">
        <v>7</v>
      </c>
      <c r="G1448" s="10">
        <v>0</v>
      </c>
      <c r="H1448" s="10">
        <v>8</v>
      </c>
      <c r="I1448" s="10">
        <v>0</v>
      </c>
      <c r="J1448" s="10">
        <f>SUM(B1448:I1448)</f>
        <v>57.93</v>
      </c>
      <c r="K1448">
        <v>2017</v>
      </c>
      <c r="L1448">
        <v>12</v>
      </c>
      <c r="M1448" s="11">
        <v>43070</v>
      </c>
      <c r="N1448" t="s">
        <v>2184</v>
      </c>
      <c r="O1448">
        <v>1</v>
      </c>
      <c r="P1448" t="s">
        <v>61</v>
      </c>
      <c r="Q1448" t="b">
        <v>1</v>
      </c>
    </row>
    <row r="1449" spans="1:17">
      <c r="A1449" s="12">
        <v>43088</v>
      </c>
      <c r="B1449" s="10">
        <v>0</v>
      </c>
      <c r="C1449" s="10">
        <v>0</v>
      </c>
      <c r="D1449" s="10">
        <v>0</v>
      </c>
      <c r="E1449" s="10">
        <v>0</v>
      </c>
      <c r="F1449" s="10">
        <v>0</v>
      </c>
      <c r="G1449" s="10">
        <v>0</v>
      </c>
      <c r="H1449" s="10">
        <v>0</v>
      </c>
      <c r="I1449" s="10">
        <v>0</v>
      </c>
      <c r="J1449" s="10">
        <f>SUM(B1449:I1449)</f>
        <v>0.0</v>
      </c>
      <c r="K1449">
        <v>2017</v>
      </c>
      <c r="L1449">
        <v>12</v>
      </c>
      <c r="M1449" s="11">
        <v>43070</v>
      </c>
      <c r="N1449" t="s">
        <v>2184</v>
      </c>
      <c r="O1449">
        <v>2</v>
      </c>
      <c r="P1449" t="s">
        <v>63</v>
      </c>
      <c r="Q1449" t="b">
        <v>1</v>
      </c>
    </row>
    <row r="1450" spans="1:17">
      <c r="A1450" s="12">
        <v>43089</v>
      </c>
      <c r="B1450" s="10">
        <v>2</v>
      </c>
      <c r="C1450" s="10">
        <v>3.396</v>
      </c>
      <c r="D1450" s="10">
        <v>3</v>
      </c>
      <c r="E1450" s="10">
        <v>27.2</v>
      </c>
      <c r="F1450" s="10">
        <v>3</v>
      </c>
      <c r="G1450" s="10">
        <v>0</v>
      </c>
      <c r="H1450" s="10">
        <v>11</v>
      </c>
      <c r="I1450" s="10">
        <v>2</v>
      </c>
      <c r="J1450" s="10">
        <f>SUM(B1450:I1450)</f>
        <v>51.596000000000004</v>
      </c>
      <c r="K1450">
        <v>2017</v>
      </c>
      <c r="L1450">
        <v>12</v>
      </c>
      <c r="M1450" s="11">
        <v>43070</v>
      </c>
      <c r="N1450" t="s">
        <v>2184</v>
      </c>
      <c r="O1450">
        <v>3</v>
      </c>
      <c r="P1450" t="s">
        <v>65</v>
      </c>
      <c r="Q1450" t="b">
        <v>1</v>
      </c>
    </row>
    <row r="1451" spans="1:17">
      <c r="A1451" s="12">
        <v>43090</v>
      </c>
      <c r="B1451" s="10">
        <v>2.02</v>
      </c>
      <c r="C1451" s="10">
        <v>2.66</v>
      </c>
      <c r="D1451" s="10">
        <v>4</v>
      </c>
      <c r="E1451" s="10">
        <v>23.4</v>
      </c>
      <c r="F1451" s="10">
        <v>5</v>
      </c>
      <c r="G1451" s="10">
        <v>0</v>
      </c>
      <c r="H1451" s="10">
        <v>6</v>
      </c>
      <c r="I1451" s="10">
        <v>0</v>
      </c>
      <c r="J1451" s="10">
        <f>SUM(B1451:I1451)</f>
        <v>43.08</v>
      </c>
      <c r="K1451">
        <v>2017</v>
      </c>
      <c r="L1451">
        <v>12</v>
      </c>
      <c r="M1451" s="11">
        <v>43070</v>
      </c>
      <c r="N1451" t="s">
        <v>2184</v>
      </c>
      <c r="O1451">
        <v>4</v>
      </c>
      <c r="P1451" t="s">
        <v>53</v>
      </c>
      <c r="Q1451" t="b">
        <v>1</v>
      </c>
    </row>
    <row r="1452" spans="1:17">
      <c r="A1452" s="12">
        <v>43091</v>
      </c>
      <c r="B1452" s="10">
        <v>5.99</v>
      </c>
      <c r="C1452" s="10">
        <v>2.769</v>
      </c>
      <c r="D1452" s="10">
        <v>1.5</v>
      </c>
      <c r="E1452" s="10">
        <v>26</v>
      </c>
      <c r="F1452" s="10">
        <v>13</v>
      </c>
      <c r="G1452" s="10">
        <v>0</v>
      </c>
      <c r="H1452" s="10">
        <v>1</v>
      </c>
      <c r="I1452" s="10">
        <v>1.6</v>
      </c>
      <c r="J1452" s="10">
        <f>SUM(B1452:I1452)</f>
        <v>51.859</v>
      </c>
      <c r="K1452">
        <v>2017</v>
      </c>
      <c r="L1452">
        <v>12</v>
      </c>
      <c r="M1452" s="11">
        <v>43070</v>
      </c>
      <c r="N1452" t="s">
        <v>2184</v>
      </c>
      <c r="O1452">
        <v>5</v>
      </c>
      <c r="P1452" t="s">
        <v>55</v>
      </c>
      <c r="Q1452" t="b">
        <v>1</v>
      </c>
    </row>
    <row r="1453" spans="1:17">
      <c r="A1453" s="12">
        <v>43092</v>
      </c>
      <c r="B1453" s="10">
        <v>6</v>
      </c>
      <c r="C1453" s="10">
        <v>4.505</v>
      </c>
      <c r="D1453" s="10">
        <v>6.1</v>
      </c>
      <c r="E1453" s="10">
        <v>28.3</v>
      </c>
      <c r="F1453" s="10">
        <v>6</v>
      </c>
      <c r="G1453" s="10">
        <v>0</v>
      </c>
      <c r="H1453" s="10">
        <v>1</v>
      </c>
      <c r="I1453" s="10">
        <v>1</v>
      </c>
      <c r="J1453" s="10">
        <f>SUM(B1453:I1453)</f>
        <v>52.905</v>
      </c>
      <c r="K1453">
        <v>2017</v>
      </c>
      <c r="L1453">
        <v>12</v>
      </c>
      <c r="M1453" s="11">
        <v>43070</v>
      </c>
      <c r="N1453" t="s">
        <v>2184</v>
      </c>
      <c r="O1453">
        <v>6</v>
      </c>
      <c r="P1453" t="s">
        <v>57</v>
      </c>
      <c r="Q1453" t="b">
        <v>1</v>
      </c>
    </row>
    <row r="1454" spans="1:17">
      <c r="A1454" s="12">
        <v>43093</v>
      </c>
      <c r="B1454" s="10">
        <v>7.66</v>
      </c>
      <c r="C1454" s="10">
        <v>3.46</v>
      </c>
      <c r="D1454" s="10">
        <v>2</v>
      </c>
      <c r="E1454" s="10">
        <v>32.2</v>
      </c>
      <c r="F1454" s="10">
        <v>4</v>
      </c>
      <c r="G1454" s="10">
        <v>0</v>
      </c>
      <c r="H1454" s="10">
        <v>5</v>
      </c>
      <c r="I1454" s="10">
        <v>1</v>
      </c>
      <c r="J1454" s="10">
        <f>SUM(B1454:I1454)</f>
        <v>55.32000000000001</v>
      </c>
      <c r="K1454">
        <v>2017</v>
      </c>
      <c r="L1454">
        <v>12</v>
      </c>
      <c r="M1454" s="11">
        <v>43070</v>
      </c>
      <c r="N1454" t="s">
        <v>2184</v>
      </c>
      <c r="O1454">
        <v>7</v>
      </c>
      <c r="P1454" t="s">
        <v>59</v>
      </c>
      <c r="Q1454" t="b">
        <v>1</v>
      </c>
    </row>
    <row r="1455" spans="1:17">
      <c r="A1455" s="12">
        <v>43094</v>
      </c>
      <c r="B1455" s="10">
        <v>1</v>
      </c>
      <c r="C1455" s="10">
        <v>0.62</v>
      </c>
      <c r="D1455" s="10">
        <v>4.1</v>
      </c>
      <c r="E1455" s="10">
        <v>15.53</v>
      </c>
      <c r="F1455" s="10">
        <v>4</v>
      </c>
      <c r="G1455" s="10">
        <v>0</v>
      </c>
      <c r="H1455" s="10">
        <v>6</v>
      </c>
      <c r="I1455" s="10">
        <v>2</v>
      </c>
      <c r="J1455" s="10">
        <f>SUM(B1455:I1455)</f>
        <v>33.25</v>
      </c>
      <c r="K1455">
        <v>2017</v>
      </c>
      <c r="L1455">
        <v>12</v>
      </c>
      <c r="M1455" s="11">
        <v>43070</v>
      </c>
      <c r="N1455" t="s">
        <v>2184</v>
      </c>
      <c r="O1455">
        <v>1</v>
      </c>
      <c r="P1455" t="s">
        <v>61</v>
      </c>
      <c r="Q1455" t="b">
        <v>1</v>
      </c>
    </row>
    <row r="1456" spans="1:17">
      <c r="A1456" s="12">
        <v>43095</v>
      </c>
      <c r="B1456" s="10">
        <v>2.99</v>
      </c>
      <c r="C1456" s="10">
        <v>4.67</v>
      </c>
      <c r="D1456" s="10">
        <v>3.5</v>
      </c>
      <c r="E1456" s="10">
        <v>56.9</v>
      </c>
      <c r="F1456" s="10">
        <v>9</v>
      </c>
      <c r="G1456" s="10">
        <v>0</v>
      </c>
      <c r="H1456" s="10">
        <v>9</v>
      </c>
      <c r="I1456" s="10">
        <v>2</v>
      </c>
      <c r="J1456" s="10">
        <f>SUM(B1456:I1456)</f>
        <v>88.06</v>
      </c>
      <c r="K1456">
        <v>2017</v>
      </c>
      <c r="L1456">
        <v>12</v>
      </c>
      <c r="M1456" s="11">
        <v>43070</v>
      </c>
      <c r="N1456" t="s">
        <v>2184</v>
      </c>
      <c r="O1456">
        <v>2</v>
      </c>
      <c r="P1456" t="s">
        <v>63</v>
      </c>
      <c r="Q1456" t="b">
        <v>1</v>
      </c>
    </row>
    <row r="1457" spans="1:17">
      <c r="A1457" s="12">
        <v>43096</v>
      </c>
      <c r="B1457" s="10">
        <v>7</v>
      </c>
      <c r="C1457" s="10">
        <v>4.814</v>
      </c>
      <c r="D1457" s="10">
        <v>5.15</v>
      </c>
      <c r="E1457" s="10">
        <v>32.7</v>
      </c>
      <c r="F1457" s="10">
        <v>9</v>
      </c>
      <c r="G1457" s="10">
        <v>0</v>
      </c>
      <c r="H1457" s="10">
        <v>3</v>
      </c>
      <c r="I1457" s="10">
        <v>0</v>
      </c>
      <c r="J1457" s="10">
        <f>SUM(B1457:I1457)</f>
        <v>61.664</v>
      </c>
      <c r="K1457">
        <v>2017</v>
      </c>
      <c r="L1457">
        <v>12</v>
      </c>
      <c r="M1457" s="11">
        <v>43070</v>
      </c>
      <c r="N1457" t="s">
        <v>2184</v>
      </c>
      <c r="O1457">
        <v>3</v>
      </c>
      <c r="P1457" t="s">
        <v>65</v>
      </c>
      <c r="Q1457" t="b">
        <v>1</v>
      </c>
    </row>
    <row r="1458" spans="1:17">
      <c r="A1458" s="12">
        <v>43097</v>
      </c>
      <c r="B1458" s="10">
        <v>7.33</v>
      </c>
      <c r="C1458" s="10">
        <v>3.462</v>
      </c>
      <c r="D1458" s="10">
        <v>5.1</v>
      </c>
      <c r="E1458" s="10">
        <v>35.35</v>
      </c>
      <c r="F1458" s="10">
        <v>12</v>
      </c>
      <c r="G1458" s="10">
        <v>3</v>
      </c>
      <c r="H1458" s="10">
        <v>24</v>
      </c>
      <c r="I1458" s="10">
        <v>1</v>
      </c>
      <c r="J1458" s="10">
        <f>SUM(B1458:I1458)</f>
        <v>91.242</v>
      </c>
      <c r="K1458">
        <v>2017</v>
      </c>
      <c r="L1458">
        <v>12</v>
      </c>
      <c r="M1458" s="11">
        <v>43070</v>
      </c>
      <c r="N1458" t="s">
        <v>2184</v>
      </c>
      <c r="O1458">
        <v>4</v>
      </c>
      <c r="P1458" t="s">
        <v>53</v>
      </c>
      <c r="Q1458" t="b">
        <v>1</v>
      </c>
    </row>
    <row r="1459" spans="1:17">
      <c r="A1459" s="12">
        <v>43098</v>
      </c>
      <c r="B1459" s="10">
        <v>9.34</v>
      </c>
      <c r="C1459" s="10">
        <v>2.066</v>
      </c>
      <c r="D1459" s="10">
        <v>2.5</v>
      </c>
      <c r="E1459" s="10">
        <v>41.4</v>
      </c>
      <c r="F1459" s="10">
        <v>17</v>
      </c>
      <c r="G1459" s="10">
        <v>0</v>
      </c>
      <c r="H1459" s="10">
        <v>11</v>
      </c>
      <c r="I1459" s="10">
        <v>2</v>
      </c>
      <c r="J1459" s="10">
        <f>SUM(B1459:I1459)</f>
        <v>85.306</v>
      </c>
      <c r="K1459">
        <v>2017</v>
      </c>
      <c r="L1459">
        <v>12</v>
      </c>
      <c r="M1459" s="11">
        <v>43070</v>
      </c>
      <c r="N1459" t="s">
        <v>2184</v>
      </c>
      <c r="O1459">
        <v>5</v>
      </c>
      <c r="P1459" t="s">
        <v>55</v>
      </c>
      <c r="Q1459" t="b">
        <v>1</v>
      </c>
    </row>
    <row r="1460" spans="1:17">
      <c r="A1460" s="12">
        <v>43099</v>
      </c>
      <c r="B1460" s="10">
        <v>8.68</v>
      </c>
      <c r="C1460" s="10">
        <v>8.363</v>
      </c>
      <c r="D1460" s="10">
        <v>4</v>
      </c>
      <c r="E1460" s="10">
        <v>50</v>
      </c>
      <c r="F1460" s="10">
        <v>8</v>
      </c>
      <c r="G1460" s="10">
        <v>0</v>
      </c>
      <c r="H1460" s="10">
        <v>10</v>
      </c>
      <c r="I1460" s="10">
        <v>3</v>
      </c>
      <c r="J1460" s="10">
        <f>SUM(B1460:I1460)</f>
        <v>92.043</v>
      </c>
      <c r="K1460">
        <v>2017</v>
      </c>
      <c r="L1460">
        <v>12</v>
      </c>
      <c r="M1460" s="11">
        <v>43070</v>
      </c>
      <c r="N1460" t="s">
        <v>2184</v>
      </c>
      <c r="O1460">
        <v>6</v>
      </c>
      <c r="P1460" t="s">
        <v>57</v>
      </c>
      <c r="Q1460" t="b">
        <v>1</v>
      </c>
    </row>
    <row r="1461" spans="1:17">
      <c r="A1461" s="12">
        <v>43100</v>
      </c>
      <c r="B1461" s="10">
        <v>13.83</v>
      </c>
      <c r="C1461" s="10">
        <v>10.043</v>
      </c>
      <c r="D1461" s="10">
        <v>5.3</v>
      </c>
      <c r="E1461" s="10">
        <v>70.2</v>
      </c>
      <c r="F1461" s="10">
        <v>9</v>
      </c>
      <c r="G1461" s="10">
        <v>0</v>
      </c>
      <c r="H1461" s="10">
        <v>0</v>
      </c>
      <c r="I1461" s="10">
        <v>1</v>
      </c>
      <c r="J1461" s="10">
        <f>SUM(B1461:I1461)</f>
        <v>109.373</v>
      </c>
      <c r="K1461">
        <v>2017</v>
      </c>
      <c r="L1461">
        <v>12</v>
      </c>
      <c r="M1461" s="11">
        <v>43070</v>
      </c>
      <c r="N1461" t="s">
        <v>2184</v>
      </c>
      <c r="O1461">
        <v>7</v>
      </c>
      <c r="P1461" t="s">
        <v>59</v>
      </c>
      <c r="Q1461" t="b">
        <v>1</v>
      </c>
    </row>
    <row r="1462" spans="1:17">
      <c r="A1462" s="12">
        <v>43101</v>
      </c>
      <c r="B1462" s="10">
        <v>0</v>
      </c>
      <c r="C1462" s="10">
        <v>0</v>
      </c>
      <c r="D1462" s="10">
        <v>0</v>
      </c>
      <c r="E1462" s="10">
        <v>0</v>
      </c>
      <c r="F1462" s="10">
        <v>0</v>
      </c>
      <c r="G1462" s="10">
        <v>0</v>
      </c>
      <c r="H1462" s="10">
        <v>0</v>
      </c>
      <c r="I1462" s="10">
        <v>0</v>
      </c>
      <c r="J1462" s="10">
        <f>SUM(B1462:I1462)</f>
        <v>0.0</v>
      </c>
      <c r="K1462">
        <v>2018</v>
      </c>
      <c r="L1462">
        <v>1</v>
      </c>
      <c r="M1462" s="11">
        <v>43101</v>
      </c>
      <c r="N1462" t="s">
        <v>2173</v>
      </c>
      <c r="O1462">
        <v>1</v>
      </c>
      <c r="P1462" t="s">
        <v>61</v>
      </c>
      <c r="Q1462" t="b">
        <v>1</v>
      </c>
    </row>
    <row r="1463" spans="1:17">
      <c r="A1463" s="12">
        <v>43102</v>
      </c>
      <c r="B1463" s="10">
        <v>1</v>
      </c>
      <c r="C1463" s="10">
        <v>5.33</v>
      </c>
      <c r="D1463" s="10">
        <v>2.25</v>
      </c>
      <c r="E1463" s="10">
        <v>38</v>
      </c>
      <c r="F1463" s="10">
        <v>3</v>
      </c>
      <c r="G1463" s="10">
        <v>0</v>
      </c>
      <c r="H1463" s="10">
        <v>2</v>
      </c>
      <c r="I1463" s="10">
        <v>2</v>
      </c>
      <c r="J1463" s="10">
        <f>SUM(B1463:I1463)</f>
        <v>53.58</v>
      </c>
      <c r="K1463">
        <v>2018</v>
      </c>
      <c r="L1463">
        <v>1</v>
      </c>
      <c r="M1463" s="11">
        <v>43101</v>
      </c>
      <c r="N1463" t="s">
        <v>2173</v>
      </c>
      <c r="O1463">
        <v>2</v>
      </c>
      <c r="P1463" t="s">
        <v>63</v>
      </c>
      <c r="Q1463" t="b">
        <v>1</v>
      </c>
    </row>
    <row r="1464" spans="1:17">
      <c r="A1464" s="12">
        <v>43103</v>
      </c>
      <c r="B1464" s="10">
        <v>4.67</v>
      </c>
      <c r="C1464" s="10">
        <v>2.397</v>
      </c>
      <c r="D1464" s="10">
        <v>3</v>
      </c>
      <c r="E1464" s="10">
        <v>54</v>
      </c>
      <c r="F1464" s="10">
        <v>4</v>
      </c>
      <c r="G1464" s="10">
        <v>0</v>
      </c>
      <c r="H1464" s="10">
        <v>10</v>
      </c>
      <c r="I1464" s="10">
        <v>3</v>
      </c>
      <c r="J1464" s="10">
        <f>SUM(B1464:I1464)</f>
        <v>81.06700000000001</v>
      </c>
      <c r="K1464">
        <v>2018</v>
      </c>
      <c r="L1464">
        <v>1</v>
      </c>
      <c r="M1464" s="11">
        <v>43101</v>
      </c>
      <c r="N1464" t="s">
        <v>2173</v>
      </c>
      <c r="O1464">
        <v>3</v>
      </c>
      <c r="P1464" t="s">
        <v>65</v>
      </c>
      <c r="Q1464" t="b">
        <v>1</v>
      </c>
    </row>
    <row r="1465" spans="1:17">
      <c r="A1465" s="12">
        <v>43104</v>
      </c>
      <c r="B1465" s="10">
        <v>6</v>
      </c>
      <c r="C1465" s="10">
        <v>1.099</v>
      </c>
      <c r="D1465" s="10">
        <v>1</v>
      </c>
      <c r="E1465" s="10">
        <v>39.2</v>
      </c>
      <c r="F1465" s="10">
        <v>9</v>
      </c>
      <c r="G1465" s="10">
        <v>0</v>
      </c>
      <c r="H1465" s="10">
        <v>1</v>
      </c>
      <c r="I1465" s="10">
        <v>2</v>
      </c>
      <c r="J1465" s="10">
        <f>SUM(B1465:I1465)</f>
        <v>59.29900000000001</v>
      </c>
      <c r="K1465">
        <v>2018</v>
      </c>
      <c r="L1465">
        <v>1</v>
      </c>
      <c r="M1465" s="11">
        <v>43101</v>
      </c>
      <c r="N1465" t="s">
        <v>2173</v>
      </c>
      <c r="O1465">
        <v>4</v>
      </c>
      <c r="P1465" t="s">
        <v>53</v>
      </c>
      <c r="Q1465" t="b">
        <v>1</v>
      </c>
    </row>
    <row r="1466" spans="1:17">
      <c r="A1466" s="12">
        <v>43105</v>
      </c>
      <c r="B1466" s="10">
        <v>12</v>
      </c>
      <c r="C1466" s="10">
        <v>6.825</v>
      </c>
      <c r="D1466" s="10">
        <v>3</v>
      </c>
      <c r="E1466" s="10">
        <v>26</v>
      </c>
      <c r="F1466" s="10">
        <v>11</v>
      </c>
      <c r="G1466" s="10">
        <v>0</v>
      </c>
      <c r="H1466" s="10">
        <v>21</v>
      </c>
      <c r="I1466" s="10">
        <v>1</v>
      </c>
      <c r="J1466" s="10">
        <f>SUM(B1466:I1466)</f>
        <v>80.825</v>
      </c>
      <c r="K1466">
        <v>2018</v>
      </c>
      <c r="L1466">
        <v>1</v>
      </c>
      <c r="M1466" s="11">
        <v>43101</v>
      </c>
      <c r="N1466" t="s">
        <v>2173</v>
      </c>
      <c r="O1466">
        <v>5</v>
      </c>
      <c r="P1466" t="s">
        <v>55</v>
      </c>
      <c r="Q1466" t="b">
        <v>1</v>
      </c>
    </row>
    <row r="1467" spans="1:17">
      <c r="A1467" s="12">
        <v>43106</v>
      </c>
      <c r="B1467" s="10">
        <v>4.66</v>
      </c>
      <c r="C1467" s="10">
        <v>1.66</v>
      </c>
      <c r="D1467" s="10">
        <v>2.2</v>
      </c>
      <c r="E1467" s="10">
        <v>73</v>
      </c>
      <c r="F1467" s="10">
        <v>4</v>
      </c>
      <c r="G1467" s="10">
        <v>0</v>
      </c>
      <c r="H1467" s="10">
        <v>5</v>
      </c>
      <c r="I1467" s="10">
        <v>8</v>
      </c>
      <c r="J1467" s="10">
        <f>SUM(B1467:I1467)</f>
        <v>98.52</v>
      </c>
      <c r="K1467">
        <v>2018</v>
      </c>
      <c r="L1467">
        <v>1</v>
      </c>
      <c r="M1467" s="11">
        <v>43101</v>
      </c>
      <c r="N1467" t="s">
        <v>2173</v>
      </c>
      <c r="O1467">
        <v>6</v>
      </c>
      <c r="P1467" t="s">
        <v>57</v>
      </c>
      <c r="Q1467" t="b">
        <v>1</v>
      </c>
    </row>
    <row r="1468" spans="1:17">
      <c r="A1468" s="12">
        <v>43107</v>
      </c>
      <c r="B1468" s="10">
        <v>0</v>
      </c>
      <c r="C1468" s="10">
        <v>0</v>
      </c>
      <c r="D1468" s="10">
        <v>0</v>
      </c>
      <c r="E1468" s="10">
        <v>0</v>
      </c>
      <c r="F1468" s="10">
        <v>0</v>
      </c>
      <c r="G1468" s="10">
        <v>0</v>
      </c>
      <c r="H1468" s="10">
        <v>0</v>
      </c>
      <c r="I1468" s="10">
        <v>0</v>
      </c>
      <c r="J1468" s="10">
        <f>SUM(B1468:I1468)</f>
        <v>0.0</v>
      </c>
      <c r="K1468">
        <v>2018</v>
      </c>
      <c r="L1468">
        <v>1</v>
      </c>
      <c r="M1468" s="11">
        <v>43101</v>
      </c>
      <c r="N1468" t="s">
        <v>2173</v>
      </c>
      <c r="O1468">
        <v>7</v>
      </c>
      <c r="P1468" t="s">
        <v>59</v>
      </c>
      <c r="Q1468" t="b">
        <v>1</v>
      </c>
    </row>
    <row r="1469" spans="1:17">
      <c r="A1469" s="12">
        <v>43108</v>
      </c>
      <c r="B1469" s="10">
        <v>2.33</v>
      </c>
      <c r="C1469" s="10">
        <v>6.53</v>
      </c>
      <c r="D1469" s="10">
        <v>4.2</v>
      </c>
      <c r="E1469" s="10">
        <v>29.6</v>
      </c>
      <c r="F1469" s="10">
        <v>5</v>
      </c>
      <c r="G1469" s="10">
        <v>0</v>
      </c>
      <c r="H1469" s="10">
        <v>0</v>
      </c>
      <c r="I1469" s="10">
        <v>1</v>
      </c>
      <c r="J1469" s="10">
        <f>SUM(B1469:I1469)</f>
        <v>48.66</v>
      </c>
      <c r="K1469">
        <v>2018</v>
      </c>
      <c r="L1469">
        <v>1</v>
      </c>
      <c r="M1469" s="11">
        <v>43101</v>
      </c>
      <c r="N1469" t="s">
        <v>2173</v>
      </c>
      <c r="O1469">
        <v>1</v>
      </c>
      <c r="P1469" t="s">
        <v>61</v>
      </c>
      <c r="Q1469" t="b">
        <v>1</v>
      </c>
    </row>
    <row r="1470" spans="1:17">
      <c r="A1470" s="12">
        <v>43109</v>
      </c>
      <c r="B1470" s="10">
        <v>5.33</v>
      </c>
      <c r="C1470" s="10">
        <v>2.099</v>
      </c>
      <c r="D1470" s="10">
        <v>5</v>
      </c>
      <c r="E1470" s="10">
        <v>33.825</v>
      </c>
      <c r="F1470" s="10">
        <v>9</v>
      </c>
      <c r="G1470" s="10">
        <v>6</v>
      </c>
      <c r="H1470" s="10">
        <v>10</v>
      </c>
      <c r="I1470" s="10">
        <v>1</v>
      </c>
      <c r="J1470" s="10">
        <f>SUM(B1470:I1470)</f>
        <v>72.254</v>
      </c>
      <c r="K1470">
        <v>2018</v>
      </c>
      <c r="L1470">
        <v>1</v>
      </c>
      <c r="M1470" s="11">
        <v>43101</v>
      </c>
      <c r="N1470" t="s">
        <v>2173</v>
      </c>
      <c r="O1470">
        <v>2</v>
      </c>
      <c r="P1470" t="s">
        <v>63</v>
      </c>
      <c r="Q1470" t="b">
        <v>1</v>
      </c>
    </row>
    <row r="1471" spans="1:17">
      <c r="A1471" s="12">
        <v>43110</v>
      </c>
      <c r="B1471" s="10">
        <v>9.33</v>
      </c>
      <c r="C1471" s="10">
        <v>7.406</v>
      </c>
      <c r="D1471" s="10">
        <v>6</v>
      </c>
      <c r="E1471" s="10">
        <v>44.5</v>
      </c>
      <c r="F1471" s="10">
        <v>12</v>
      </c>
      <c r="G1471" s="10">
        <v>0</v>
      </c>
      <c r="H1471" s="10">
        <v>6</v>
      </c>
      <c r="I1471" s="10">
        <v>2</v>
      </c>
      <c r="J1471" s="10">
        <f>SUM(B1471:I1471)</f>
        <v>87.236</v>
      </c>
      <c r="K1471">
        <v>2018</v>
      </c>
      <c r="L1471">
        <v>1</v>
      </c>
      <c r="M1471" s="11">
        <v>43101</v>
      </c>
      <c r="N1471" t="s">
        <v>2173</v>
      </c>
      <c r="O1471">
        <v>3</v>
      </c>
      <c r="P1471" t="s">
        <v>65</v>
      </c>
      <c r="Q1471" t="b">
        <v>1</v>
      </c>
    </row>
    <row r="1472" spans="1:17">
      <c r="A1472" s="12">
        <v>43111</v>
      </c>
      <c r="B1472" s="10">
        <v>4</v>
      </c>
      <c r="C1472" s="10">
        <v>4.33</v>
      </c>
      <c r="D1472" s="10">
        <v>5.5</v>
      </c>
      <c r="E1472" s="10">
        <v>37.6</v>
      </c>
      <c r="F1472" s="10">
        <v>7</v>
      </c>
      <c r="G1472" s="10">
        <v>0</v>
      </c>
      <c r="H1472" s="10">
        <v>5</v>
      </c>
      <c r="I1472" s="10">
        <v>0</v>
      </c>
      <c r="J1472" s="10">
        <f>SUM(B1472:I1472)</f>
        <v>63.43</v>
      </c>
      <c r="K1472">
        <v>2018</v>
      </c>
      <c r="L1472">
        <v>1</v>
      </c>
      <c r="M1472" s="11">
        <v>43101</v>
      </c>
      <c r="N1472" t="s">
        <v>2173</v>
      </c>
      <c r="O1472">
        <v>4</v>
      </c>
      <c r="P1472" t="s">
        <v>53</v>
      </c>
      <c r="Q1472" t="b">
        <v>1</v>
      </c>
    </row>
    <row r="1473" spans="1:17">
      <c r="A1473" s="12">
        <v>43112</v>
      </c>
      <c r="B1473" s="10">
        <v>5.66</v>
      </c>
      <c r="C1473" s="10">
        <v>1.33</v>
      </c>
      <c r="D1473" s="10">
        <v>3</v>
      </c>
      <c r="E1473" s="10">
        <v>42</v>
      </c>
      <c r="F1473" s="10">
        <v>11</v>
      </c>
      <c r="G1473" s="10">
        <v>0</v>
      </c>
      <c r="H1473" s="10">
        <v>10</v>
      </c>
      <c r="I1473" s="10">
        <v>0</v>
      </c>
      <c r="J1473" s="10">
        <f>SUM(B1473:I1473)</f>
        <v>72.99000000000001</v>
      </c>
      <c r="K1473">
        <v>2018</v>
      </c>
      <c r="L1473">
        <v>1</v>
      </c>
      <c r="M1473" s="11">
        <v>43101</v>
      </c>
      <c r="N1473" t="s">
        <v>2173</v>
      </c>
      <c r="O1473">
        <v>5</v>
      </c>
      <c r="P1473" t="s">
        <v>55</v>
      </c>
      <c r="Q1473" t="b">
        <v>1</v>
      </c>
    </row>
    <row r="1474" spans="1:17">
      <c r="A1474" s="12">
        <v>43113</v>
      </c>
      <c r="B1474" s="10">
        <v>3.5</v>
      </c>
      <c r="C1474" s="10">
        <v>3.495</v>
      </c>
      <c r="D1474" s="10">
        <v>3.2</v>
      </c>
      <c r="E1474" s="10">
        <v>32</v>
      </c>
      <c r="F1474" s="10">
        <v>6</v>
      </c>
      <c r="G1474" s="10">
        <v>0</v>
      </c>
      <c r="H1474" s="10">
        <v>8</v>
      </c>
      <c r="I1474" s="10">
        <v>1</v>
      </c>
      <c r="J1474" s="10">
        <f>SUM(B1474:I1474)</f>
        <v>57.195</v>
      </c>
      <c r="K1474">
        <v>2018</v>
      </c>
      <c r="L1474">
        <v>1</v>
      </c>
      <c r="M1474" s="11">
        <v>43101</v>
      </c>
      <c r="N1474" t="s">
        <v>2173</v>
      </c>
      <c r="O1474">
        <v>6</v>
      </c>
      <c r="P1474" t="s">
        <v>57</v>
      </c>
      <c r="Q1474" t="b">
        <v>1</v>
      </c>
    </row>
    <row r="1475" spans="1:17">
      <c r="A1475" s="12">
        <v>43114</v>
      </c>
      <c r="B1475" s="10">
        <v>4.33</v>
      </c>
      <c r="C1475" s="10">
        <v>5.155</v>
      </c>
      <c r="D1475" s="10">
        <v>1.2</v>
      </c>
      <c r="E1475" s="10">
        <v>36</v>
      </c>
      <c r="F1475" s="10">
        <v>2</v>
      </c>
      <c r="G1475" s="10">
        <v>0</v>
      </c>
      <c r="H1475" s="10">
        <v>5</v>
      </c>
      <c r="I1475" s="10">
        <v>1</v>
      </c>
      <c r="J1475" s="10">
        <f>SUM(B1475:I1475)</f>
        <v>54.685</v>
      </c>
      <c r="K1475">
        <v>2018</v>
      </c>
      <c r="L1475">
        <v>1</v>
      </c>
      <c r="M1475" s="11">
        <v>43101</v>
      </c>
      <c r="N1475" t="s">
        <v>2173</v>
      </c>
      <c r="O1475">
        <v>7</v>
      </c>
      <c r="P1475" t="s">
        <v>59</v>
      </c>
      <c r="Q1475" t="b">
        <v>1</v>
      </c>
    </row>
    <row r="1476" spans="1:17">
      <c r="A1476" s="12">
        <v>43115</v>
      </c>
      <c r="B1476" s="10">
        <v>6.99</v>
      </c>
      <c r="C1476" s="10">
        <v>2</v>
      </c>
      <c r="D1476" s="10">
        <v>5.1</v>
      </c>
      <c r="E1476" s="10">
        <v>26</v>
      </c>
      <c r="F1476" s="10">
        <v>8</v>
      </c>
      <c r="G1476" s="10">
        <v>0</v>
      </c>
      <c r="H1476" s="10">
        <v>15</v>
      </c>
      <c r="I1476" s="10">
        <v>2</v>
      </c>
      <c r="J1476" s="10">
        <f>SUM(B1476:I1476)</f>
        <v>65.09</v>
      </c>
      <c r="K1476">
        <v>2018</v>
      </c>
      <c r="L1476">
        <v>1</v>
      </c>
      <c r="M1476" s="11">
        <v>43101</v>
      </c>
      <c r="N1476" t="s">
        <v>2173</v>
      </c>
      <c r="O1476">
        <v>1</v>
      </c>
      <c r="P1476" t="s">
        <v>61</v>
      </c>
      <c r="Q1476" t="b">
        <v>1</v>
      </c>
    </row>
    <row r="1477" spans="1:17">
      <c r="A1477" s="12">
        <v>43116</v>
      </c>
      <c r="B1477" s="10">
        <v>6.34</v>
      </c>
      <c r="C1477" s="10">
        <v>2.67</v>
      </c>
      <c r="D1477" s="10">
        <v>3</v>
      </c>
      <c r="E1477" s="10">
        <v>18</v>
      </c>
      <c r="F1477" s="10">
        <v>2</v>
      </c>
      <c r="G1477" s="10">
        <v>0</v>
      </c>
      <c r="H1477" s="10">
        <v>8</v>
      </c>
      <c r="I1477" s="10">
        <v>0</v>
      </c>
      <c r="J1477" s="10">
        <f>SUM(B1477:I1477)</f>
        <v>40.01</v>
      </c>
      <c r="K1477">
        <v>2018</v>
      </c>
      <c r="L1477">
        <v>1</v>
      </c>
      <c r="M1477" s="11">
        <v>43101</v>
      </c>
      <c r="N1477" t="s">
        <v>2173</v>
      </c>
      <c r="O1477">
        <v>2</v>
      </c>
      <c r="P1477" t="s">
        <v>63</v>
      </c>
      <c r="Q1477" t="b">
        <v>1</v>
      </c>
    </row>
    <row r="1478" spans="1:17">
      <c r="A1478" s="12">
        <v>43117</v>
      </c>
      <c r="B1478" s="10">
        <v>6.67</v>
      </c>
      <c r="C1478" s="10">
        <v>2.85</v>
      </c>
      <c r="D1478" s="10">
        <v>2</v>
      </c>
      <c r="E1478" s="10">
        <v>30.2</v>
      </c>
      <c r="F1478" s="10">
        <v>10</v>
      </c>
      <c r="G1478" s="10">
        <v>2</v>
      </c>
      <c r="H1478" s="10">
        <v>41</v>
      </c>
      <c r="I1478" s="10">
        <v>2</v>
      </c>
      <c r="J1478" s="10">
        <f>SUM(B1478:I1478)</f>
        <v>96.72</v>
      </c>
      <c r="K1478">
        <v>2018</v>
      </c>
      <c r="L1478">
        <v>1</v>
      </c>
      <c r="M1478" s="11">
        <v>43101</v>
      </c>
      <c r="N1478" t="s">
        <v>2173</v>
      </c>
      <c r="O1478">
        <v>3</v>
      </c>
      <c r="P1478" t="s">
        <v>65</v>
      </c>
      <c r="Q1478" t="b">
        <v>1</v>
      </c>
    </row>
    <row r="1479" spans="1:17">
      <c r="A1479" s="12">
        <v>43118</v>
      </c>
      <c r="B1479" s="10">
        <v>4.33</v>
      </c>
      <c r="C1479" s="10">
        <v>3.726</v>
      </c>
      <c r="D1479" s="10">
        <v>4</v>
      </c>
      <c r="E1479" s="10">
        <v>58.4</v>
      </c>
      <c r="F1479" s="10">
        <v>9</v>
      </c>
      <c r="G1479" s="10">
        <v>0</v>
      </c>
      <c r="H1479" s="10">
        <v>2</v>
      </c>
      <c r="I1479" s="10">
        <v>1</v>
      </c>
      <c r="J1479" s="10">
        <f>SUM(B1479:I1479)</f>
        <v>82.456</v>
      </c>
      <c r="K1479">
        <v>2018</v>
      </c>
      <c r="L1479">
        <v>1</v>
      </c>
      <c r="M1479" s="11">
        <v>43101</v>
      </c>
      <c r="N1479" t="s">
        <v>2173</v>
      </c>
      <c r="O1479">
        <v>4</v>
      </c>
      <c r="P1479" t="s">
        <v>53</v>
      </c>
      <c r="Q1479" t="b">
        <v>1</v>
      </c>
    </row>
    <row r="1480" spans="1:17">
      <c r="A1480" s="12">
        <v>43119</v>
      </c>
      <c r="B1480" s="10">
        <v>6.33</v>
      </c>
      <c r="C1480" s="10">
        <v>2.528</v>
      </c>
      <c r="D1480" s="10">
        <v>3</v>
      </c>
      <c r="E1480" s="10">
        <v>23.4</v>
      </c>
      <c r="F1480" s="10">
        <v>12</v>
      </c>
      <c r="G1480" s="10">
        <v>0</v>
      </c>
      <c r="H1480" s="10">
        <v>3</v>
      </c>
      <c r="I1480" s="10">
        <v>1</v>
      </c>
      <c r="J1480" s="10">
        <f>SUM(B1480:I1480)</f>
        <v>51.257999999999996</v>
      </c>
      <c r="K1480">
        <v>2018</v>
      </c>
      <c r="L1480">
        <v>1</v>
      </c>
      <c r="M1480" s="11">
        <v>43101</v>
      </c>
      <c r="N1480" t="s">
        <v>2173</v>
      </c>
      <c r="O1480">
        <v>5</v>
      </c>
      <c r="P1480" t="s">
        <v>55</v>
      </c>
      <c r="Q1480" t="b">
        <v>1</v>
      </c>
    </row>
    <row r="1481" spans="1:17">
      <c r="A1481" s="12">
        <v>43120</v>
      </c>
      <c r="B1481" s="10">
        <v>2.66</v>
      </c>
      <c r="C1481" s="10">
        <v>2.32</v>
      </c>
      <c r="D1481" s="10">
        <v>2</v>
      </c>
      <c r="E1481" s="10">
        <v>38</v>
      </c>
      <c r="F1481" s="10">
        <v>2</v>
      </c>
      <c r="G1481" s="10">
        <v>0</v>
      </c>
      <c r="H1481" s="10">
        <v>5</v>
      </c>
      <c r="I1481" s="10">
        <v>0</v>
      </c>
      <c r="J1481" s="10">
        <f>SUM(B1481:I1481)</f>
        <v>51.980000000000004</v>
      </c>
      <c r="K1481">
        <v>2018</v>
      </c>
      <c r="L1481">
        <v>1</v>
      </c>
      <c r="M1481" s="11">
        <v>43101</v>
      </c>
      <c r="N1481" t="s">
        <v>2173</v>
      </c>
      <c r="O1481">
        <v>6</v>
      </c>
      <c r="P1481" t="s">
        <v>57</v>
      </c>
      <c r="Q1481" t="b">
        <v>1</v>
      </c>
    </row>
    <row r="1482" spans="1:17">
      <c r="A1482" s="12">
        <v>43121</v>
      </c>
      <c r="B1482" s="10">
        <v>3.33</v>
      </c>
      <c r="C1482" s="10">
        <v>3.53</v>
      </c>
      <c r="D1482" s="10">
        <v>3.4</v>
      </c>
      <c r="E1482" s="10">
        <v>32.8</v>
      </c>
      <c r="F1482" s="10">
        <v>6</v>
      </c>
      <c r="G1482" s="10">
        <v>0</v>
      </c>
      <c r="H1482" s="10">
        <v>1</v>
      </c>
      <c r="I1482" s="10">
        <v>3.5</v>
      </c>
      <c r="J1482" s="10">
        <f>SUM(B1482:I1482)</f>
        <v>53.559999999999995</v>
      </c>
      <c r="K1482">
        <v>2018</v>
      </c>
      <c r="L1482">
        <v>1</v>
      </c>
      <c r="M1482" s="11">
        <v>43101</v>
      </c>
      <c r="N1482" t="s">
        <v>2173</v>
      </c>
      <c r="O1482">
        <v>7</v>
      </c>
      <c r="P1482" t="s">
        <v>59</v>
      </c>
      <c r="Q1482" t="b">
        <v>1</v>
      </c>
    </row>
    <row r="1483" spans="1:17">
      <c r="A1483" s="12">
        <v>43122</v>
      </c>
      <c r="B1483" s="10">
        <v>6</v>
      </c>
      <c r="C1483" s="10">
        <v>3.396</v>
      </c>
      <c r="D1483" s="10">
        <v>6</v>
      </c>
      <c r="E1483" s="10">
        <v>29</v>
      </c>
      <c r="F1483" s="10">
        <v>5</v>
      </c>
      <c r="G1483" s="10">
        <v>0</v>
      </c>
      <c r="H1483" s="10">
        <v>6</v>
      </c>
      <c r="I1483" s="10">
        <v>1</v>
      </c>
      <c r="J1483" s="10">
        <f>SUM(B1483:I1483)</f>
        <v>56.396</v>
      </c>
      <c r="K1483">
        <v>2018</v>
      </c>
      <c r="L1483">
        <v>1</v>
      </c>
      <c r="M1483" s="11">
        <v>43101</v>
      </c>
      <c r="N1483" t="s">
        <v>2173</v>
      </c>
      <c r="O1483">
        <v>1</v>
      </c>
      <c r="P1483" t="s">
        <v>61</v>
      </c>
      <c r="Q1483" t="b">
        <v>1</v>
      </c>
    </row>
    <row r="1484" spans="1:17">
      <c r="A1484" s="12">
        <v>43123</v>
      </c>
      <c r="B1484" s="10">
        <v>1</v>
      </c>
      <c r="C1484" s="10">
        <v>1.066</v>
      </c>
      <c r="D1484" s="10">
        <v>4.6</v>
      </c>
      <c r="E1484" s="10">
        <v>38.6</v>
      </c>
      <c r="F1484" s="10">
        <v>4</v>
      </c>
      <c r="G1484" s="10">
        <v>0</v>
      </c>
      <c r="H1484" s="10">
        <v>5</v>
      </c>
      <c r="I1484" s="10">
        <v>1</v>
      </c>
      <c r="J1484" s="10">
        <f>SUM(B1484:I1484)</f>
        <v>55.266</v>
      </c>
      <c r="K1484">
        <v>2018</v>
      </c>
      <c r="L1484">
        <v>1</v>
      </c>
      <c r="M1484" s="11">
        <v>43101</v>
      </c>
      <c r="N1484" t="s">
        <v>2173</v>
      </c>
      <c r="O1484">
        <v>2</v>
      </c>
      <c r="P1484" t="s">
        <v>63</v>
      </c>
      <c r="Q1484" t="b">
        <v>1</v>
      </c>
    </row>
    <row r="1485" spans="1:17">
      <c r="A1485" s="12">
        <v>43124</v>
      </c>
      <c r="B1485" s="10">
        <v>7.33</v>
      </c>
      <c r="C1485" s="10">
        <v>6.67</v>
      </c>
      <c r="D1485" s="10">
        <v>4</v>
      </c>
      <c r="E1485" s="10">
        <v>32</v>
      </c>
      <c r="F1485" s="10">
        <v>13</v>
      </c>
      <c r="G1485" s="10">
        <v>0</v>
      </c>
      <c r="H1485" s="10">
        <v>4</v>
      </c>
      <c r="I1485" s="10">
        <v>1</v>
      </c>
      <c r="J1485" s="10">
        <f>SUM(B1485:I1485)</f>
        <v>68.0</v>
      </c>
      <c r="K1485">
        <v>2018</v>
      </c>
      <c r="L1485">
        <v>1</v>
      </c>
      <c r="M1485" s="11">
        <v>43101</v>
      </c>
      <c r="N1485" t="s">
        <v>2173</v>
      </c>
      <c r="O1485">
        <v>3</v>
      </c>
      <c r="P1485" t="s">
        <v>65</v>
      </c>
      <c r="Q1485" t="b">
        <v>1</v>
      </c>
    </row>
    <row r="1486" spans="1:17">
      <c r="A1486" s="12">
        <v>43125</v>
      </c>
      <c r="B1486" s="10">
        <v>3.66</v>
      </c>
      <c r="C1486" s="10">
        <v>5.132</v>
      </c>
      <c r="D1486" s="10">
        <v>4.2</v>
      </c>
      <c r="E1486" s="10">
        <v>36.8</v>
      </c>
      <c r="F1486" s="10">
        <v>15</v>
      </c>
      <c r="G1486" s="10">
        <v>0</v>
      </c>
      <c r="H1486" s="10">
        <v>7</v>
      </c>
      <c r="I1486" s="10">
        <v>3</v>
      </c>
      <c r="J1486" s="10">
        <f>SUM(B1486:I1486)</f>
        <v>74.792</v>
      </c>
      <c r="K1486">
        <v>2018</v>
      </c>
      <c r="L1486">
        <v>1</v>
      </c>
      <c r="M1486" s="11">
        <v>43101</v>
      </c>
      <c r="N1486" t="s">
        <v>2173</v>
      </c>
      <c r="O1486">
        <v>4</v>
      </c>
      <c r="P1486" t="s">
        <v>53</v>
      </c>
      <c r="Q1486" t="b">
        <v>1</v>
      </c>
    </row>
    <row r="1487" spans="1:17">
      <c r="A1487" s="12">
        <v>43126</v>
      </c>
      <c r="B1487" s="10">
        <v>3</v>
      </c>
      <c r="C1487" s="10">
        <v>3.023</v>
      </c>
      <c r="D1487" s="10">
        <v>0.4</v>
      </c>
      <c r="E1487" s="10">
        <v>62.2</v>
      </c>
      <c r="F1487" s="10">
        <v>9</v>
      </c>
      <c r="G1487" s="10">
        <v>0</v>
      </c>
      <c r="H1487" s="10">
        <v>12</v>
      </c>
      <c r="I1487" s="10">
        <v>1</v>
      </c>
      <c r="J1487" s="10">
        <f>SUM(B1487:I1487)</f>
        <v>90.623</v>
      </c>
      <c r="K1487">
        <v>2018</v>
      </c>
      <c r="L1487">
        <v>1</v>
      </c>
      <c r="M1487" s="11">
        <v>43101</v>
      </c>
      <c r="N1487" t="s">
        <v>2173</v>
      </c>
      <c r="O1487">
        <v>5</v>
      </c>
      <c r="P1487" t="s">
        <v>55</v>
      </c>
      <c r="Q1487" t="b">
        <v>1</v>
      </c>
    </row>
    <row r="1488" spans="1:17">
      <c r="A1488" s="12">
        <v>43127</v>
      </c>
      <c r="B1488" s="10">
        <v>3.34</v>
      </c>
      <c r="C1488" s="10">
        <v>7.33</v>
      </c>
      <c r="D1488" s="10">
        <v>3</v>
      </c>
      <c r="E1488" s="10">
        <v>52.9</v>
      </c>
      <c r="F1488" s="10">
        <v>7</v>
      </c>
      <c r="G1488" s="10">
        <v>0</v>
      </c>
      <c r="H1488" s="10">
        <v>3</v>
      </c>
      <c r="I1488" s="10">
        <v>4</v>
      </c>
      <c r="J1488" s="10">
        <f>SUM(B1488:I1488)</f>
        <v>80.57</v>
      </c>
      <c r="K1488">
        <v>2018</v>
      </c>
      <c r="L1488">
        <v>1</v>
      </c>
      <c r="M1488" s="11">
        <v>43101</v>
      </c>
      <c r="N1488" t="s">
        <v>2173</v>
      </c>
      <c r="O1488">
        <v>6</v>
      </c>
      <c r="P1488" t="s">
        <v>57</v>
      </c>
      <c r="Q1488" t="b">
        <v>1</v>
      </c>
    </row>
    <row r="1489" spans="1:17">
      <c r="A1489" s="12">
        <v>43128</v>
      </c>
      <c r="B1489" s="10">
        <v>1.5</v>
      </c>
      <c r="C1489" s="10">
        <v>2.35</v>
      </c>
      <c r="D1489" s="10">
        <v>5.65</v>
      </c>
      <c r="E1489" s="10">
        <v>55</v>
      </c>
      <c r="F1489" s="10">
        <v>11</v>
      </c>
      <c r="G1489" s="10">
        <v>0</v>
      </c>
      <c r="H1489" s="10">
        <v>10</v>
      </c>
      <c r="I1489" s="10">
        <v>2</v>
      </c>
      <c r="J1489" s="10">
        <f>SUM(B1489:I1489)</f>
        <v>87.5</v>
      </c>
      <c r="K1489">
        <v>2018</v>
      </c>
      <c r="L1489">
        <v>1</v>
      </c>
      <c r="M1489" s="11">
        <v>43101</v>
      </c>
      <c r="N1489" t="s">
        <v>2173</v>
      </c>
      <c r="O1489">
        <v>7</v>
      </c>
      <c r="P1489" t="s">
        <v>59</v>
      </c>
      <c r="Q1489" t="b">
        <v>1</v>
      </c>
    </row>
    <row r="1490" spans="1:17">
      <c r="A1490" s="12">
        <v>43129</v>
      </c>
      <c r="B1490" s="10">
        <v>2.33</v>
      </c>
      <c r="C1490" s="10">
        <v>4.363</v>
      </c>
      <c r="D1490" s="10">
        <v>4.25</v>
      </c>
      <c r="E1490" s="10">
        <v>47.9</v>
      </c>
      <c r="F1490" s="10">
        <v>10</v>
      </c>
      <c r="G1490" s="10">
        <v>3</v>
      </c>
      <c r="H1490" s="10">
        <v>4</v>
      </c>
      <c r="I1490" s="10">
        <v>1</v>
      </c>
      <c r="J1490" s="10">
        <f>SUM(B1490:I1490)</f>
        <v>76.843</v>
      </c>
      <c r="K1490">
        <v>2018</v>
      </c>
      <c r="L1490">
        <v>1</v>
      </c>
      <c r="M1490" s="11">
        <v>43101</v>
      </c>
      <c r="N1490" t="s">
        <v>2173</v>
      </c>
      <c r="O1490">
        <v>1</v>
      </c>
      <c r="P1490" t="s">
        <v>61</v>
      </c>
      <c r="Q1490" t="b">
        <v>1</v>
      </c>
    </row>
    <row r="1491" spans="1:17">
      <c r="A1491" s="12">
        <v>43130</v>
      </c>
      <c r="B1491" s="10">
        <v>4.33</v>
      </c>
      <c r="C1491" s="10">
        <v>3.76</v>
      </c>
      <c r="D1491" s="10">
        <v>3</v>
      </c>
      <c r="E1491" s="10">
        <v>37</v>
      </c>
      <c r="F1491" s="10">
        <v>11</v>
      </c>
      <c r="G1491" s="10">
        <v>0</v>
      </c>
      <c r="H1491" s="10">
        <v>4</v>
      </c>
      <c r="I1491" s="10">
        <v>3</v>
      </c>
      <c r="J1491" s="10">
        <f>SUM(B1491:I1491)</f>
        <v>66.09</v>
      </c>
      <c r="K1491">
        <v>2018</v>
      </c>
      <c r="L1491">
        <v>1</v>
      </c>
      <c r="M1491" s="11">
        <v>43101</v>
      </c>
      <c r="N1491" t="s">
        <v>2173</v>
      </c>
      <c r="O1491">
        <v>2</v>
      </c>
      <c r="P1491" t="s">
        <v>63</v>
      </c>
      <c r="Q1491" t="b">
        <v>1</v>
      </c>
    </row>
    <row r="1492" spans="1:17">
      <c r="A1492" s="12">
        <v>43131</v>
      </c>
      <c r="B1492" s="10">
        <v>0.33</v>
      </c>
      <c r="C1492" s="10">
        <v>5.076</v>
      </c>
      <c r="D1492" s="10">
        <v>4</v>
      </c>
      <c r="E1492" s="10">
        <v>30.4</v>
      </c>
      <c r="F1492" s="10">
        <v>12</v>
      </c>
      <c r="G1492" s="10">
        <v>0</v>
      </c>
      <c r="H1492" s="10">
        <v>6</v>
      </c>
      <c r="I1492" s="10">
        <v>1</v>
      </c>
      <c r="J1492" s="10">
        <f>SUM(B1492:I1492)</f>
        <v>58.806</v>
      </c>
      <c r="K1492">
        <v>2018</v>
      </c>
      <c r="L1492">
        <v>1</v>
      </c>
      <c r="M1492" s="11">
        <v>43101</v>
      </c>
      <c r="N1492" t="s">
        <v>2173</v>
      </c>
      <c r="O1492">
        <v>3</v>
      </c>
      <c r="P1492" t="s">
        <v>65</v>
      </c>
      <c r="Q1492" t="b">
        <v>1</v>
      </c>
    </row>
    <row r="1493" spans="1:17">
      <c r="A1493" s="12">
        <v>43132</v>
      </c>
      <c r="B1493" s="10">
        <v>5.34</v>
      </c>
      <c r="C1493" s="10">
        <v>4.33</v>
      </c>
      <c r="D1493" s="10">
        <v>6</v>
      </c>
      <c r="E1493" s="10">
        <v>30.5</v>
      </c>
      <c r="F1493" s="10">
        <v>7</v>
      </c>
      <c r="G1493" s="10">
        <v>0</v>
      </c>
      <c r="H1493" s="10">
        <v>6</v>
      </c>
      <c r="I1493" s="10">
        <v>3</v>
      </c>
      <c r="J1493" s="10">
        <f>SUM(B1493:I1493)</f>
        <v>62.17</v>
      </c>
      <c r="K1493">
        <v>2018</v>
      </c>
      <c r="L1493">
        <v>2</v>
      </c>
      <c r="M1493" s="11">
        <v>43132</v>
      </c>
      <c r="N1493" t="s">
        <v>2174</v>
      </c>
      <c r="O1493">
        <v>4</v>
      </c>
      <c r="P1493" t="s">
        <v>53</v>
      </c>
      <c r="Q1493" t="b">
        <v>1</v>
      </c>
    </row>
    <row r="1494" spans="1:17">
      <c r="A1494" s="12">
        <v>43133</v>
      </c>
      <c r="B1494" s="10">
        <v>2.33</v>
      </c>
      <c r="C1494" s="10">
        <v>4.99</v>
      </c>
      <c r="D1494" s="10">
        <v>4</v>
      </c>
      <c r="E1494" s="10">
        <v>54.6</v>
      </c>
      <c r="F1494" s="10">
        <v>6</v>
      </c>
      <c r="G1494" s="10">
        <v>0</v>
      </c>
      <c r="H1494" s="10">
        <v>6</v>
      </c>
      <c r="I1494" s="10">
        <v>4.4</v>
      </c>
      <c r="J1494" s="10">
        <f>SUM(B1494:I1494)</f>
        <v>82.32000000000001</v>
      </c>
      <c r="K1494">
        <v>2018</v>
      </c>
      <c r="L1494">
        <v>2</v>
      </c>
      <c r="M1494" s="11">
        <v>43132</v>
      </c>
      <c r="N1494" t="s">
        <v>2174</v>
      </c>
      <c r="O1494">
        <v>5</v>
      </c>
      <c r="P1494" t="s">
        <v>55</v>
      </c>
      <c r="Q1494" t="b">
        <v>1</v>
      </c>
    </row>
    <row r="1495" spans="1:17">
      <c r="A1495" s="12">
        <v>43134</v>
      </c>
      <c r="B1495" s="10">
        <v>4.33</v>
      </c>
      <c r="C1495" s="10">
        <v>7.13</v>
      </c>
      <c r="D1495" s="10">
        <v>3.3</v>
      </c>
      <c r="E1495" s="10">
        <v>67.09999999999999</v>
      </c>
      <c r="F1495" s="10">
        <v>12</v>
      </c>
      <c r="G1495" s="10">
        <v>0</v>
      </c>
      <c r="H1495" s="10">
        <v>5</v>
      </c>
      <c r="I1495" s="10">
        <v>2</v>
      </c>
      <c r="J1495" s="10">
        <f>SUM(B1495:I1495)</f>
        <v>100.86</v>
      </c>
      <c r="K1495">
        <v>2018</v>
      </c>
      <c r="L1495">
        <v>2</v>
      </c>
      <c r="M1495" s="11">
        <v>43132</v>
      </c>
      <c r="N1495" t="s">
        <v>2174</v>
      </c>
      <c r="O1495">
        <v>6</v>
      </c>
      <c r="P1495" t="s">
        <v>57</v>
      </c>
      <c r="Q1495" t="b">
        <v>1</v>
      </c>
    </row>
    <row r="1496" spans="1:17">
      <c r="A1496" s="12">
        <v>43135</v>
      </c>
      <c r="B1496" s="10">
        <v>7.99</v>
      </c>
      <c r="C1496" s="10">
        <v>9.066000000000001</v>
      </c>
      <c r="D1496" s="10">
        <v>2</v>
      </c>
      <c r="E1496" s="10">
        <v>50.6</v>
      </c>
      <c r="F1496" s="10">
        <v>6</v>
      </c>
      <c r="G1496" s="10">
        <v>0</v>
      </c>
      <c r="H1496" s="10">
        <v>3</v>
      </c>
      <c r="I1496" s="10">
        <v>3</v>
      </c>
      <c r="J1496" s="10">
        <f>SUM(B1496:I1496)</f>
        <v>81.656</v>
      </c>
      <c r="K1496">
        <v>2018</v>
      </c>
      <c r="L1496">
        <v>2</v>
      </c>
      <c r="M1496" s="11">
        <v>43132</v>
      </c>
      <c r="N1496" t="s">
        <v>2174</v>
      </c>
      <c r="O1496">
        <v>7</v>
      </c>
      <c r="P1496" t="s">
        <v>59</v>
      </c>
      <c r="Q1496" t="b">
        <v>1</v>
      </c>
    </row>
    <row r="1497" spans="1:17">
      <c r="A1497" s="12">
        <v>43136</v>
      </c>
      <c r="B1497" s="10">
        <v>7.33</v>
      </c>
      <c r="C1497" s="10">
        <v>3.066</v>
      </c>
      <c r="D1497" s="10">
        <v>3</v>
      </c>
      <c r="E1497" s="10">
        <v>53</v>
      </c>
      <c r="F1497" s="10">
        <v>18</v>
      </c>
      <c r="G1497" s="10">
        <v>0</v>
      </c>
      <c r="H1497" s="10">
        <v>6</v>
      </c>
      <c r="I1497" s="10">
        <v>0.66</v>
      </c>
      <c r="J1497" s="10">
        <f>SUM(B1497:I1497)</f>
        <v>91.056</v>
      </c>
      <c r="K1497">
        <v>2018</v>
      </c>
      <c r="L1497">
        <v>2</v>
      </c>
      <c r="M1497" s="11">
        <v>43132</v>
      </c>
      <c r="N1497" t="s">
        <v>2174</v>
      </c>
      <c r="O1497">
        <v>1</v>
      </c>
      <c r="P1497" t="s">
        <v>61</v>
      </c>
      <c r="Q1497" t="b">
        <v>1</v>
      </c>
    </row>
    <row r="1498" spans="1:17">
      <c r="A1498" s="12">
        <v>43137</v>
      </c>
      <c r="B1498" s="10">
        <v>4.34</v>
      </c>
      <c r="C1498" s="10">
        <v>1.87</v>
      </c>
      <c r="D1498" s="10">
        <v>6.85</v>
      </c>
      <c r="E1498" s="10">
        <v>51.5</v>
      </c>
      <c r="F1498" s="10">
        <v>8</v>
      </c>
      <c r="G1498" s="10">
        <v>0</v>
      </c>
      <c r="H1498" s="10">
        <v>5</v>
      </c>
      <c r="I1498" s="10">
        <v>1</v>
      </c>
      <c r="J1498" s="10">
        <f>SUM(B1498:I1498)</f>
        <v>78.56</v>
      </c>
      <c r="K1498">
        <v>2018</v>
      </c>
      <c r="L1498">
        <v>2</v>
      </c>
      <c r="M1498" s="11">
        <v>43132</v>
      </c>
      <c r="N1498" t="s">
        <v>2174</v>
      </c>
      <c r="O1498">
        <v>2</v>
      </c>
      <c r="P1498" t="s">
        <v>63</v>
      </c>
      <c r="Q1498" t="b">
        <v>1</v>
      </c>
    </row>
    <row r="1499" spans="1:17">
      <c r="A1499" s="12">
        <v>43138</v>
      </c>
      <c r="B1499" s="10">
        <v>4.84</v>
      </c>
      <c r="C1499" s="10">
        <v>8.132</v>
      </c>
      <c r="D1499" s="10">
        <v>3.2</v>
      </c>
      <c r="E1499" s="10">
        <v>44.8</v>
      </c>
      <c r="F1499" s="10">
        <v>8</v>
      </c>
      <c r="G1499" s="10">
        <v>0</v>
      </c>
      <c r="H1499" s="10">
        <v>23</v>
      </c>
      <c r="I1499" s="10">
        <v>0</v>
      </c>
      <c r="J1499" s="10">
        <f>SUM(B1499:I1499)</f>
        <v>91.972</v>
      </c>
      <c r="K1499">
        <v>2018</v>
      </c>
      <c r="L1499">
        <v>2</v>
      </c>
      <c r="M1499" s="11">
        <v>43132</v>
      </c>
      <c r="N1499" t="s">
        <v>2174</v>
      </c>
      <c r="O1499">
        <v>3</v>
      </c>
      <c r="P1499" t="s">
        <v>65</v>
      </c>
      <c r="Q1499" t="b">
        <v>1</v>
      </c>
    </row>
    <row r="1500" spans="1:17">
      <c r="A1500" s="12">
        <v>43139</v>
      </c>
      <c r="B1500" s="10">
        <v>6.33</v>
      </c>
      <c r="C1500" s="10">
        <v>1.34</v>
      </c>
      <c r="D1500" s="10">
        <v>3</v>
      </c>
      <c r="E1500" s="10">
        <v>47</v>
      </c>
      <c r="F1500" s="10">
        <v>7</v>
      </c>
      <c r="G1500" s="10">
        <v>0</v>
      </c>
      <c r="H1500" s="10">
        <v>1.25</v>
      </c>
      <c r="I1500" s="10">
        <v>0</v>
      </c>
      <c r="J1500" s="10">
        <f>SUM(B1500:I1500)</f>
        <v>65.92</v>
      </c>
      <c r="K1500">
        <v>2018</v>
      </c>
      <c r="L1500">
        <v>2</v>
      </c>
      <c r="M1500" s="11">
        <v>43132</v>
      </c>
      <c r="N1500" t="s">
        <v>2174</v>
      </c>
      <c r="O1500">
        <v>4</v>
      </c>
      <c r="P1500" t="s">
        <v>53</v>
      </c>
      <c r="Q1500" t="b">
        <v>1</v>
      </c>
    </row>
    <row r="1501" spans="1:17">
      <c r="A1501" s="12">
        <v>43140</v>
      </c>
      <c r="B1501" s="10">
        <v>3</v>
      </c>
      <c r="C1501" s="10">
        <v>3.69</v>
      </c>
      <c r="D1501" s="10">
        <v>4.25</v>
      </c>
      <c r="E1501" s="10">
        <v>47</v>
      </c>
      <c r="F1501" s="10">
        <v>17</v>
      </c>
      <c r="G1501" s="10">
        <v>0</v>
      </c>
      <c r="H1501" s="10">
        <v>11</v>
      </c>
      <c r="I1501" s="10">
        <v>0</v>
      </c>
      <c r="J1501" s="10">
        <f>SUM(B1501:I1501)</f>
        <v>85.94</v>
      </c>
      <c r="K1501">
        <v>2018</v>
      </c>
      <c r="L1501">
        <v>2</v>
      </c>
      <c r="M1501" s="11">
        <v>43132</v>
      </c>
      <c r="N1501" t="s">
        <v>2174</v>
      </c>
      <c r="O1501">
        <v>5</v>
      </c>
      <c r="P1501" t="s">
        <v>55</v>
      </c>
      <c r="Q1501" t="b">
        <v>1</v>
      </c>
    </row>
    <row r="1502" spans="1:17">
      <c r="A1502" s="12">
        <v>43141</v>
      </c>
      <c r="B1502" s="10">
        <v>10.01</v>
      </c>
      <c r="C1502" s="10">
        <v>5.231</v>
      </c>
      <c r="D1502" s="10">
        <v>3.5</v>
      </c>
      <c r="E1502" s="10">
        <v>60.4</v>
      </c>
      <c r="F1502" s="10">
        <v>6</v>
      </c>
      <c r="G1502" s="10">
        <v>0</v>
      </c>
      <c r="H1502" s="10">
        <v>15</v>
      </c>
      <c r="I1502" s="10">
        <v>3</v>
      </c>
      <c r="J1502" s="10">
        <f>SUM(B1502:I1502)</f>
        <v>103.14099999999999</v>
      </c>
      <c r="K1502">
        <v>2018</v>
      </c>
      <c r="L1502">
        <v>2</v>
      </c>
      <c r="M1502" s="11">
        <v>43132</v>
      </c>
      <c r="N1502" t="s">
        <v>2174</v>
      </c>
      <c r="O1502">
        <v>6</v>
      </c>
      <c r="P1502" t="s">
        <v>57</v>
      </c>
      <c r="Q1502" t="b">
        <v>1</v>
      </c>
    </row>
    <row r="1503" spans="1:17">
      <c r="A1503" s="12">
        <v>43142</v>
      </c>
      <c r="B1503" s="10">
        <v>6.33</v>
      </c>
      <c r="C1503" s="10">
        <v>5.396</v>
      </c>
      <c r="D1503" s="10">
        <v>7.8</v>
      </c>
      <c r="E1503" s="10">
        <v>63.25</v>
      </c>
      <c r="F1503" s="10">
        <v>12</v>
      </c>
      <c r="G1503" s="10">
        <v>0</v>
      </c>
      <c r="H1503" s="10">
        <v>10</v>
      </c>
      <c r="I1503" s="10">
        <v>2</v>
      </c>
      <c r="J1503" s="10">
        <f>SUM(B1503:I1503)</f>
        <v>106.776</v>
      </c>
      <c r="K1503">
        <v>2018</v>
      </c>
      <c r="L1503">
        <v>2</v>
      </c>
      <c r="M1503" s="11">
        <v>43132</v>
      </c>
      <c r="N1503" t="s">
        <v>2174</v>
      </c>
      <c r="O1503">
        <v>7</v>
      </c>
      <c r="P1503" t="s">
        <v>59</v>
      </c>
      <c r="Q1503" t="b">
        <v>1</v>
      </c>
    </row>
    <row r="1504" spans="1:17">
      <c r="A1504" s="12">
        <v>43143</v>
      </c>
      <c r="B1504" s="10">
        <v>8</v>
      </c>
      <c r="C1504" s="10">
        <v>4.769</v>
      </c>
      <c r="D1504" s="10">
        <v>10</v>
      </c>
      <c r="E1504" s="10">
        <v>36.3</v>
      </c>
      <c r="F1504" s="10">
        <v>14</v>
      </c>
      <c r="G1504" s="10">
        <v>1</v>
      </c>
      <c r="H1504" s="10">
        <v>1</v>
      </c>
      <c r="I1504" s="10">
        <v>1</v>
      </c>
      <c r="J1504" s="10">
        <f>SUM(B1504:I1504)</f>
        <v>76.06899999999999</v>
      </c>
      <c r="K1504">
        <v>2018</v>
      </c>
      <c r="L1504">
        <v>2</v>
      </c>
      <c r="M1504" s="11">
        <v>43132</v>
      </c>
      <c r="N1504" t="s">
        <v>2174</v>
      </c>
      <c r="O1504">
        <v>1</v>
      </c>
      <c r="P1504" t="s">
        <v>61</v>
      </c>
      <c r="Q1504" t="b">
        <v>1</v>
      </c>
    </row>
    <row r="1505" spans="1:17">
      <c r="A1505" s="12">
        <v>43144</v>
      </c>
      <c r="B1505" s="10">
        <v>6</v>
      </c>
      <c r="C1505" s="10">
        <v>8.032999999999999</v>
      </c>
      <c r="D1505" s="10">
        <v>5</v>
      </c>
      <c r="E1505" s="10">
        <v>17.8</v>
      </c>
      <c r="F1505" s="10">
        <v>10</v>
      </c>
      <c r="G1505" s="10">
        <v>0</v>
      </c>
      <c r="H1505" s="10">
        <v>10</v>
      </c>
      <c r="I1505" s="10">
        <v>3</v>
      </c>
      <c r="J1505" s="10">
        <f>SUM(B1505:I1505)</f>
        <v>59.833</v>
      </c>
      <c r="K1505">
        <v>2018</v>
      </c>
      <c r="L1505">
        <v>2</v>
      </c>
      <c r="M1505" s="11">
        <v>43132</v>
      </c>
      <c r="N1505" t="s">
        <v>2174</v>
      </c>
      <c r="O1505">
        <v>2</v>
      </c>
      <c r="P1505" t="s">
        <v>63</v>
      </c>
      <c r="Q1505" t="b">
        <v>1</v>
      </c>
    </row>
    <row r="1506" spans="1:17">
      <c r="A1506" s="12">
        <v>43145</v>
      </c>
      <c r="B1506" s="10">
        <v>1</v>
      </c>
      <c r="C1506" s="10">
        <v>6.33</v>
      </c>
      <c r="D1506" s="10">
        <v>2.1</v>
      </c>
      <c r="E1506" s="10">
        <v>50.3</v>
      </c>
      <c r="F1506" s="10">
        <v>15</v>
      </c>
      <c r="G1506" s="10">
        <v>0</v>
      </c>
      <c r="H1506" s="10">
        <v>14</v>
      </c>
      <c r="I1506" s="10">
        <v>0</v>
      </c>
      <c r="J1506" s="10">
        <f>SUM(B1506:I1506)</f>
        <v>88.72999999999999</v>
      </c>
      <c r="K1506">
        <v>2018</v>
      </c>
      <c r="L1506">
        <v>2</v>
      </c>
      <c r="M1506" s="11">
        <v>43132</v>
      </c>
      <c r="N1506" t="s">
        <v>2174</v>
      </c>
      <c r="O1506">
        <v>3</v>
      </c>
      <c r="P1506" t="s">
        <v>65</v>
      </c>
      <c r="Q1506" t="b">
        <v>1</v>
      </c>
    </row>
    <row r="1507" spans="1:17">
      <c r="A1507" s="12">
        <v>43146</v>
      </c>
      <c r="B1507" s="10">
        <v>1.5</v>
      </c>
      <c r="C1507" s="10">
        <v>6.945</v>
      </c>
      <c r="D1507" s="10">
        <v>0.85</v>
      </c>
      <c r="E1507" s="10">
        <v>74.59999999999999</v>
      </c>
      <c r="F1507" s="10">
        <v>6</v>
      </c>
      <c r="G1507" s="10">
        <v>0</v>
      </c>
      <c r="H1507" s="10">
        <v>10</v>
      </c>
      <c r="I1507" s="10">
        <v>0</v>
      </c>
      <c r="J1507" s="10">
        <f>SUM(B1507:I1507)</f>
        <v>99.895</v>
      </c>
      <c r="K1507">
        <v>2018</v>
      </c>
      <c r="L1507">
        <v>2</v>
      </c>
      <c r="M1507" s="11">
        <v>43132</v>
      </c>
      <c r="N1507" t="s">
        <v>2174</v>
      </c>
      <c r="O1507">
        <v>4</v>
      </c>
      <c r="P1507" t="s">
        <v>53</v>
      </c>
      <c r="Q1507" t="b">
        <v>1</v>
      </c>
    </row>
    <row r="1508" spans="1:17">
      <c r="A1508" s="12">
        <v>43147</v>
      </c>
      <c r="B1508" s="10">
        <v>7.68</v>
      </c>
      <c r="C1508" s="10">
        <v>7.175</v>
      </c>
      <c r="D1508" s="10">
        <v>1.2</v>
      </c>
      <c r="E1508" s="10">
        <v>65.16200000000001</v>
      </c>
      <c r="F1508" s="10">
        <v>10</v>
      </c>
      <c r="G1508" s="10">
        <v>0</v>
      </c>
      <c r="H1508" s="10">
        <v>0</v>
      </c>
      <c r="I1508" s="10">
        <v>1</v>
      </c>
      <c r="J1508" s="10">
        <f>SUM(B1508:I1508)</f>
        <v>92.21700000000001</v>
      </c>
      <c r="K1508">
        <v>2018</v>
      </c>
      <c r="L1508">
        <v>2</v>
      </c>
      <c r="M1508" s="11">
        <v>43132</v>
      </c>
      <c r="N1508" t="s">
        <v>2174</v>
      </c>
      <c r="O1508">
        <v>5</v>
      </c>
      <c r="P1508" t="s">
        <v>55</v>
      </c>
      <c r="Q1508" t="b">
        <v>1</v>
      </c>
    </row>
    <row r="1509" spans="1:17">
      <c r="A1509" s="12">
        <v>43148</v>
      </c>
      <c r="B1509" s="10">
        <v>1.33</v>
      </c>
      <c r="C1509" s="10">
        <v>3.64</v>
      </c>
      <c r="D1509" s="10">
        <v>2</v>
      </c>
      <c r="E1509" s="10">
        <v>50.4</v>
      </c>
      <c r="F1509" s="10">
        <v>5</v>
      </c>
      <c r="G1509" s="10">
        <v>0</v>
      </c>
      <c r="H1509" s="10">
        <v>9</v>
      </c>
      <c r="I1509" s="10">
        <v>0</v>
      </c>
      <c r="J1509" s="10">
        <f>SUM(B1509:I1509)</f>
        <v>71.37</v>
      </c>
      <c r="K1509">
        <v>2018</v>
      </c>
      <c r="L1509">
        <v>2</v>
      </c>
      <c r="M1509" s="11">
        <v>43132</v>
      </c>
      <c r="N1509" t="s">
        <v>2174</v>
      </c>
      <c r="O1509">
        <v>6</v>
      </c>
      <c r="P1509" t="s">
        <v>57</v>
      </c>
      <c r="Q1509" t="b">
        <v>1</v>
      </c>
    </row>
    <row r="1510" spans="1:17">
      <c r="A1510" s="12">
        <v>43149</v>
      </c>
      <c r="B1510" s="10">
        <v>6</v>
      </c>
      <c r="C1510" s="10">
        <v>6.726</v>
      </c>
      <c r="D1510" s="10">
        <v>7.55</v>
      </c>
      <c r="E1510" s="10">
        <v>44</v>
      </c>
      <c r="F1510" s="10">
        <v>2</v>
      </c>
      <c r="G1510" s="10">
        <v>0</v>
      </c>
      <c r="H1510" s="10">
        <v>4</v>
      </c>
      <c r="I1510" s="10">
        <v>1</v>
      </c>
      <c r="J1510" s="10">
        <f>SUM(B1510:I1510)</f>
        <v>71.276</v>
      </c>
      <c r="K1510">
        <v>2018</v>
      </c>
      <c r="L1510">
        <v>2</v>
      </c>
      <c r="M1510" s="11">
        <v>43132</v>
      </c>
      <c r="N1510" t="s">
        <v>2174</v>
      </c>
      <c r="O1510">
        <v>7</v>
      </c>
      <c r="P1510" t="s">
        <v>59</v>
      </c>
      <c r="Q1510" t="b">
        <v>1</v>
      </c>
    </row>
    <row r="1511" spans="1:17">
      <c r="A1511" s="12">
        <v>43150</v>
      </c>
      <c r="B1511" s="10">
        <v>1</v>
      </c>
      <c r="C1511" s="10">
        <v>3.34</v>
      </c>
      <c r="D1511" s="10">
        <v>1.7</v>
      </c>
      <c r="E1511" s="10">
        <v>27</v>
      </c>
      <c r="F1511" s="10">
        <v>6</v>
      </c>
      <c r="G1511" s="10">
        <v>0</v>
      </c>
      <c r="H1511" s="10">
        <v>12</v>
      </c>
      <c r="I1511" s="10">
        <v>2</v>
      </c>
      <c r="J1511" s="10">
        <f>SUM(B1511:I1511)</f>
        <v>53.04</v>
      </c>
      <c r="K1511">
        <v>2018</v>
      </c>
      <c r="L1511">
        <v>2</v>
      </c>
      <c r="M1511" s="11">
        <v>43132</v>
      </c>
      <c r="N1511" t="s">
        <v>2174</v>
      </c>
      <c r="O1511">
        <v>1</v>
      </c>
      <c r="P1511" t="s">
        <v>61</v>
      </c>
      <c r="Q1511" t="b">
        <v>1</v>
      </c>
    </row>
    <row r="1512" spans="1:17">
      <c r="A1512" s="12">
        <v>43151</v>
      </c>
      <c r="B1512" s="10">
        <v>4.18</v>
      </c>
      <c r="C1512" s="10">
        <v>2.286</v>
      </c>
      <c r="D1512" s="10">
        <v>4.2</v>
      </c>
      <c r="E1512" s="10">
        <v>30.2</v>
      </c>
      <c r="F1512" s="10">
        <v>6</v>
      </c>
      <c r="G1512" s="10">
        <v>0</v>
      </c>
      <c r="H1512" s="10">
        <v>2</v>
      </c>
      <c r="I1512" s="10">
        <v>3</v>
      </c>
      <c r="J1512" s="10">
        <f>SUM(B1512:I1512)</f>
        <v>51.866</v>
      </c>
      <c r="K1512">
        <v>2018</v>
      </c>
      <c r="L1512">
        <v>2</v>
      </c>
      <c r="M1512" s="11">
        <v>43132</v>
      </c>
      <c r="N1512" t="s">
        <v>2174</v>
      </c>
      <c r="O1512">
        <v>2</v>
      </c>
      <c r="P1512" t="s">
        <v>63</v>
      </c>
      <c r="Q1512" t="b">
        <v>1</v>
      </c>
    </row>
    <row r="1513" spans="1:17">
      <c r="A1513" s="12">
        <v>43152</v>
      </c>
      <c r="B1513" s="10">
        <v>1.34</v>
      </c>
      <c r="C1513" s="10">
        <v>7.01</v>
      </c>
      <c r="D1513" s="10">
        <v>9.5</v>
      </c>
      <c r="E1513" s="10">
        <v>27.4</v>
      </c>
      <c r="F1513" s="10">
        <v>5</v>
      </c>
      <c r="G1513" s="10">
        <v>0</v>
      </c>
      <c r="H1513" s="10">
        <v>6</v>
      </c>
      <c r="I1513" s="10">
        <v>1</v>
      </c>
      <c r="J1513" s="10">
        <f>SUM(B1513:I1513)</f>
        <v>57.25</v>
      </c>
      <c r="K1513">
        <v>2018</v>
      </c>
      <c r="L1513">
        <v>2</v>
      </c>
      <c r="M1513" s="11">
        <v>43132</v>
      </c>
      <c r="N1513" t="s">
        <v>2174</v>
      </c>
      <c r="O1513">
        <v>3</v>
      </c>
      <c r="P1513" t="s">
        <v>65</v>
      </c>
      <c r="Q1513" t="b">
        <v>1</v>
      </c>
    </row>
    <row r="1514" spans="1:17">
      <c r="A1514" s="12">
        <v>43153</v>
      </c>
      <c r="B1514" s="10">
        <v>5</v>
      </c>
      <c r="C1514" s="10">
        <v>6.33</v>
      </c>
      <c r="D1514" s="10">
        <v>3.15</v>
      </c>
      <c r="E1514" s="10">
        <v>30</v>
      </c>
      <c r="F1514" s="10">
        <v>6</v>
      </c>
      <c r="G1514" s="10">
        <v>0</v>
      </c>
      <c r="H1514" s="10">
        <v>20</v>
      </c>
      <c r="I1514" s="10">
        <v>0</v>
      </c>
      <c r="J1514" s="10">
        <f>SUM(B1514:I1514)</f>
        <v>70.48</v>
      </c>
      <c r="K1514">
        <v>2018</v>
      </c>
      <c r="L1514">
        <v>2</v>
      </c>
      <c r="M1514" s="11">
        <v>43132</v>
      </c>
      <c r="N1514" t="s">
        <v>2174</v>
      </c>
      <c r="O1514">
        <v>4</v>
      </c>
      <c r="P1514" t="s">
        <v>53</v>
      </c>
      <c r="Q1514" t="b">
        <v>1</v>
      </c>
    </row>
    <row r="1515" spans="1:17">
      <c r="A1515" s="12">
        <v>43154</v>
      </c>
      <c r="B1515" s="10">
        <v>5.83</v>
      </c>
      <c r="C1515" s="10">
        <v>2.979</v>
      </c>
      <c r="D1515" s="10">
        <v>1</v>
      </c>
      <c r="E1515" s="10">
        <v>34.2</v>
      </c>
      <c r="F1515" s="10">
        <v>6</v>
      </c>
      <c r="G1515" s="10">
        <v>0</v>
      </c>
      <c r="H1515" s="10">
        <v>12</v>
      </c>
      <c r="I1515" s="10">
        <v>0</v>
      </c>
      <c r="J1515" s="10">
        <f>SUM(B1515:I1515)</f>
        <v>62.009</v>
      </c>
      <c r="K1515">
        <v>2018</v>
      </c>
      <c r="L1515">
        <v>2</v>
      </c>
      <c r="M1515" s="11">
        <v>43132</v>
      </c>
      <c r="N1515" t="s">
        <v>2174</v>
      </c>
      <c r="O1515">
        <v>5</v>
      </c>
      <c r="P1515" t="s">
        <v>55</v>
      </c>
      <c r="Q1515" t="b">
        <v>1</v>
      </c>
    </row>
    <row r="1516" spans="1:17">
      <c r="A1516" s="12">
        <v>43155</v>
      </c>
      <c r="B1516" s="10">
        <v>8</v>
      </c>
      <c r="C1516" s="10">
        <v>5.68</v>
      </c>
      <c r="D1516" s="10">
        <v>7</v>
      </c>
      <c r="E1516" s="10">
        <v>43.5</v>
      </c>
      <c r="F1516" s="10">
        <v>10</v>
      </c>
      <c r="G1516" s="10">
        <v>0</v>
      </c>
      <c r="H1516" s="10">
        <v>8</v>
      </c>
      <c r="I1516" s="10">
        <v>3</v>
      </c>
      <c r="J1516" s="10">
        <f>SUM(B1516:I1516)</f>
        <v>85.18</v>
      </c>
      <c r="K1516">
        <v>2018</v>
      </c>
      <c r="L1516">
        <v>2</v>
      </c>
      <c r="M1516" s="11">
        <v>43132</v>
      </c>
      <c r="N1516" t="s">
        <v>2174</v>
      </c>
      <c r="O1516">
        <v>6</v>
      </c>
      <c r="P1516" t="s">
        <v>57</v>
      </c>
      <c r="Q1516" t="b">
        <v>1</v>
      </c>
    </row>
    <row r="1517" spans="1:17">
      <c r="A1517" s="12">
        <v>43156</v>
      </c>
      <c r="B1517" s="10">
        <v>4</v>
      </c>
      <c r="C1517" s="10">
        <v>1.68</v>
      </c>
      <c r="D1517" s="10">
        <v>2</v>
      </c>
      <c r="E1517" s="10">
        <v>36.8</v>
      </c>
      <c r="F1517" s="10">
        <v>10</v>
      </c>
      <c r="G1517" s="10">
        <v>0</v>
      </c>
      <c r="H1517" s="10">
        <v>10</v>
      </c>
      <c r="I1517" s="10">
        <v>2</v>
      </c>
      <c r="J1517" s="10">
        <f>SUM(B1517:I1517)</f>
        <v>66.47999999999999</v>
      </c>
      <c r="K1517">
        <v>2018</v>
      </c>
      <c r="L1517">
        <v>2</v>
      </c>
      <c r="M1517" s="11">
        <v>43132</v>
      </c>
      <c r="N1517" t="s">
        <v>2174</v>
      </c>
      <c r="O1517">
        <v>7</v>
      </c>
      <c r="P1517" t="s">
        <v>59</v>
      </c>
      <c r="Q1517" t="b">
        <v>1</v>
      </c>
    </row>
    <row r="1518" spans="1:17">
      <c r="A1518" s="12">
        <v>43157</v>
      </c>
      <c r="B1518" s="10">
        <v>1</v>
      </c>
      <c r="C1518" s="10">
        <v>0.66</v>
      </c>
      <c r="D1518" s="10">
        <v>2</v>
      </c>
      <c r="E1518" s="10">
        <v>46.6</v>
      </c>
      <c r="F1518" s="10">
        <v>9</v>
      </c>
      <c r="G1518" s="10">
        <v>0</v>
      </c>
      <c r="H1518" s="10">
        <v>7</v>
      </c>
      <c r="I1518" s="10">
        <v>1</v>
      </c>
      <c r="J1518" s="10">
        <f>SUM(B1518:I1518)</f>
        <v>67.26</v>
      </c>
      <c r="K1518">
        <v>2018</v>
      </c>
      <c r="L1518">
        <v>2</v>
      </c>
      <c r="M1518" s="11">
        <v>43132</v>
      </c>
      <c r="N1518" t="s">
        <v>2174</v>
      </c>
      <c r="O1518">
        <v>1</v>
      </c>
      <c r="P1518" t="s">
        <v>61</v>
      </c>
      <c r="Q1518" t="b">
        <v>1</v>
      </c>
    </row>
    <row r="1519" spans="1:17">
      <c r="A1519" s="12">
        <v>43158</v>
      </c>
      <c r="B1519" s="10">
        <v>3.33</v>
      </c>
      <c r="C1519" s="10">
        <v>2.65</v>
      </c>
      <c r="D1519" s="10">
        <v>3.4</v>
      </c>
      <c r="E1519" s="10">
        <v>26.7</v>
      </c>
      <c r="F1519" s="10">
        <v>20</v>
      </c>
      <c r="G1519" s="10">
        <v>9</v>
      </c>
      <c r="H1519" s="10">
        <v>8</v>
      </c>
      <c r="I1519" s="10">
        <v>1</v>
      </c>
      <c r="J1519" s="10">
        <f>SUM(B1519:I1519)</f>
        <v>74.08</v>
      </c>
      <c r="K1519">
        <v>2018</v>
      </c>
      <c r="L1519">
        <v>2</v>
      </c>
      <c r="M1519" s="11">
        <v>43132</v>
      </c>
      <c r="N1519" t="s">
        <v>2174</v>
      </c>
      <c r="O1519">
        <v>2</v>
      </c>
      <c r="P1519" t="s">
        <v>63</v>
      </c>
      <c r="Q1519" t="b">
        <v>1</v>
      </c>
    </row>
    <row r="1520" spans="1:17">
      <c r="A1520" s="12">
        <v>43159</v>
      </c>
      <c r="B1520" s="10">
        <v>1</v>
      </c>
      <c r="C1520" s="10">
        <v>2.33</v>
      </c>
      <c r="D1520" s="10">
        <v>5.1</v>
      </c>
      <c r="E1520" s="10">
        <v>44.662</v>
      </c>
      <c r="F1520" s="10">
        <v>21</v>
      </c>
      <c r="G1520" s="10">
        <v>2</v>
      </c>
      <c r="H1520" s="10">
        <v>0</v>
      </c>
      <c r="I1520" s="10">
        <v>1</v>
      </c>
      <c r="J1520" s="10">
        <f>SUM(B1520:I1520)</f>
        <v>77.092</v>
      </c>
      <c r="K1520">
        <v>2018</v>
      </c>
      <c r="L1520">
        <v>2</v>
      </c>
      <c r="M1520" s="11">
        <v>43132</v>
      </c>
      <c r="N1520" t="s">
        <v>2174</v>
      </c>
      <c r="O1520">
        <v>3</v>
      </c>
      <c r="P1520" t="s">
        <v>65</v>
      </c>
      <c r="Q1520" t="b">
        <v>1</v>
      </c>
    </row>
    <row r="1521" spans="1:17">
      <c r="A1521" s="12">
        <v>43160</v>
      </c>
      <c r="B1521" s="10">
        <v>1</v>
      </c>
      <c r="C1521" s="10">
        <v>6.033</v>
      </c>
      <c r="D1521" s="10">
        <v>1.05</v>
      </c>
      <c r="E1521" s="10">
        <v>26.4</v>
      </c>
      <c r="F1521" s="10">
        <v>26</v>
      </c>
      <c r="G1521" s="10">
        <v>1</v>
      </c>
      <c r="H1521" s="10">
        <v>12</v>
      </c>
      <c r="I1521" s="10">
        <v>1</v>
      </c>
      <c r="J1521" s="10">
        <f>SUM(B1521:I1521)</f>
        <v>74.483</v>
      </c>
      <c r="K1521">
        <v>2018</v>
      </c>
      <c r="L1521">
        <v>3</v>
      </c>
      <c r="M1521" s="11">
        <v>43160</v>
      </c>
      <c r="N1521" t="s">
        <v>2175</v>
      </c>
      <c r="O1521">
        <v>4</v>
      </c>
      <c r="P1521" t="s">
        <v>53</v>
      </c>
      <c r="Q1521" t="b">
        <v>1</v>
      </c>
    </row>
    <row r="1522" spans="1:17">
      <c r="A1522" s="12">
        <v>43161</v>
      </c>
      <c r="B1522" s="10">
        <v>4</v>
      </c>
      <c r="C1522" s="10">
        <v>3</v>
      </c>
      <c r="D1522" s="10">
        <v>9.5</v>
      </c>
      <c r="E1522" s="10">
        <v>38.4</v>
      </c>
      <c r="F1522" s="10">
        <v>24</v>
      </c>
      <c r="G1522" s="10">
        <v>3</v>
      </c>
      <c r="H1522" s="10">
        <v>17</v>
      </c>
      <c r="I1522" s="10">
        <v>5.5</v>
      </c>
      <c r="J1522" s="10">
        <f>SUM(B1522:I1522)</f>
        <v>104.4</v>
      </c>
      <c r="K1522">
        <v>2018</v>
      </c>
      <c r="L1522">
        <v>3</v>
      </c>
      <c r="M1522" s="11">
        <v>43160</v>
      </c>
      <c r="N1522" t="s">
        <v>2175</v>
      </c>
      <c r="O1522">
        <v>5</v>
      </c>
      <c r="P1522" t="s">
        <v>55</v>
      </c>
      <c r="Q1522" t="b">
        <v>1</v>
      </c>
    </row>
    <row r="1523" spans="1:17">
      <c r="A1523" s="12">
        <v>43162</v>
      </c>
      <c r="B1523" s="10">
        <v>8</v>
      </c>
      <c r="C1523" s="10">
        <v>2.363</v>
      </c>
      <c r="D1523" s="10">
        <v>8.15</v>
      </c>
      <c r="E1523" s="10">
        <v>40.187</v>
      </c>
      <c r="F1523" s="10">
        <v>12</v>
      </c>
      <c r="G1523" s="10">
        <v>1</v>
      </c>
      <c r="H1523" s="10">
        <v>10</v>
      </c>
      <c r="I1523" s="10">
        <v>4</v>
      </c>
      <c r="J1523" s="10">
        <f>SUM(B1523:I1523)</f>
        <v>85.69999999999999</v>
      </c>
      <c r="K1523">
        <v>2018</v>
      </c>
      <c r="L1523">
        <v>3</v>
      </c>
      <c r="M1523" s="11">
        <v>43160</v>
      </c>
      <c r="N1523" t="s">
        <v>2175</v>
      </c>
      <c r="O1523">
        <v>6</v>
      </c>
      <c r="P1523" t="s">
        <v>57</v>
      </c>
      <c r="Q1523" t="b">
        <v>1</v>
      </c>
    </row>
    <row r="1524" spans="1:17">
      <c r="A1524" s="12">
        <v>43163</v>
      </c>
      <c r="B1524" s="10">
        <v>1</v>
      </c>
      <c r="C1524" s="10">
        <v>3.736</v>
      </c>
      <c r="D1524" s="10">
        <v>4</v>
      </c>
      <c r="E1524" s="10">
        <v>33.6</v>
      </c>
      <c r="F1524" s="10">
        <v>3</v>
      </c>
      <c r="G1524" s="10">
        <v>0</v>
      </c>
      <c r="H1524" s="10">
        <v>14</v>
      </c>
      <c r="I1524" s="10">
        <v>1</v>
      </c>
      <c r="J1524" s="10">
        <f>SUM(B1524:I1524)</f>
        <v>60.336</v>
      </c>
      <c r="K1524">
        <v>2018</v>
      </c>
      <c r="L1524">
        <v>3</v>
      </c>
      <c r="M1524" s="11">
        <v>43160</v>
      </c>
      <c r="N1524" t="s">
        <v>2175</v>
      </c>
      <c r="O1524">
        <v>7</v>
      </c>
      <c r="P1524" t="s">
        <v>59</v>
      </c>
      <c r="Q1524" t="b">
        <v>1</v>
      </c>
    </row>
    <row r="1525" spans="1:17">
      <c r="A1525" s="12">
        <v>43164</v>
      </c>
      <c r="B1525" s="10">
        <v>4.33</v>
      </c>
      <c r="C1525" s="10">
        <v>5.33</v>
      </c>
      <c r="D1525" s="10">
        <v>6.1</v>
      </c>
      <c r="E1525" s="10">
        <v>25</v>
      </c>
      <c r="F1525" s="10">
        <v>6</v>
      </c>
      <c r="G1525" s="10">
        <v>0</v>
      </c>
      <c r="H1525" s="10">
        <v>17</v>
      </c>
      <c r="I1525" s="10">
        <v>1</v>
      </c>
      <c r="J1525" s="10">
        <f>SUM(B1525:I1525)</f>
        <v>64.75999999999999</v>
      </c>
      <c r="K1525">
        <v>2018</v>
      </c>
      <c r="L1525">
        <v>3</v>
      </c>
      <c r="M1525" s="11">
        <v>43160</v>
      </c>
      <c r="N1525" t="s">
        <v>2175</v>
      </c>
      <c r="O1525">
        <v>1</v>
      </c>
      <c r="P1525" t="s">
        <v>61</v>
      </c>
      <c r="Q1525" t="b">
        <v>1</v>
      </c>
    </row>
    <row r="1526" spans="1:17">
      <c r="A1526" s="12">
        <v>43165</v>
      </c>
      <c r="B1526" s="10">
        <v>9.5</v>
      </c>
      <c r="C1526" s="10">
        <v>6.33</v>
      </c>
      <c r="D1526" s="10">
        <v>5.85</v>
      </c>
      <c r="E1526" s="10">
        <v>22.2</v>
      </c>
      <c r="F1526" s="10">
        <v>22</v>
      </c>
      <c r="G1526" s="10">
        <v>8</v>
      </c>
      <c r="H1526" s="10">
        <v>2</v>
      </c>
      <c r="I1526" s="10">
        <v>1</v>
      </c>
      <c r="J1526" s="10">
        <f>SUM(B1526:I1526)</f>
        <v>76.88</v>
      </c>
      <c r="K1526">
        <v>2018</v>
      </c>
      <c r="L1526">
        <v>3</v>
      </c>
      <c r="M1526" s="11">
        <v>43160</v>
      </c>
      <c r="N1526" t="s">
        <v>2175</v>
      </c>
      <c r="O1526">
        <v>2</v>
      </c>
      <c r="P1526" t="s">
        <v>63</v>
      </c>
      <c r="Q1526" t="b">
        <v>1</v>
      </c>
    </row>
    <row r="1527" spans="1:17">
      <c r="A1527" s="12">
        <v>43166</v>
      </c>
      <c r="B1527" s="10">
        <v>4.5</v>
      </c>
      <c r="C1527" s="10">
        <v>1.67</v>
      </c>
      <c r="D1527" s="10">
        <v>4</v>
      </c>
      <c r="E1527" s="10">
        <v>20.2</v>
      </c>
      <c r="F1527" s="10">
        <v>31</v>
      </c>
      <c r="G1527" s="10">
        <v>5</v>
      </c>
      <c r="H1527" s="10">
        <v>11</v>
      </c>
      <c r="I1527" s="10">
        <v>1.4</v>
      </c>
      <c r="J1527" s="10">
        <f>SUM(B1527:I1527)</f>
        <v>78.77000000000001</v>
      </c>
      <c r="K1527">
        <v>2018</v>
      </c>
      <c r="L1527">
        <v>3</v>
      </c>
      <c r="M1527" s="11">
        <v>43160</v>
      </c>
      <c r="N1527" t="s">
        <v>2175</v>
      </c>
      <c r="O1527">
        <v>3</v>
      </c>
      <c r="P1527" t="s">
        <v>65</v>
      </c>
      <c r="Q1527" t="b">
        <v>1</v>
      </c>
    </row>
    <row r="1528" spans="1:17">
      <c r="A1528" s="12">
        <v>43167</v>
      </c>
      <c r="B1528" s="10">
        <v>1.33</v>
      </c>
      <c r="C1528" s="10">
        <v>2.769</v>
      </c>
      <c r="D1528" s="10">
        <v>4</v>
      </c>
      <c r="E1528" s="10">
        <v>25.8</v>
      </c>
      <c r="F1528" s="10">
        <v>10</v>
      </c>
      <c r="G1528" s="10">
        <v>0</v>
      </c>
      <c r="H1528" s="10">
        <v>0</v>
      </c>
      <c r="I1528" s="10">
        <v>4</v>
      </c>
      <c r="J1528" s="10">
        <f>SUM(B1528:I1528)</f>
        <v>47.899</v>
      </c>
      <c r="K1528">
        <v>2018</v>
      </c>
      <c r="L1528">
        <v>3</v>
      </c>
      <c r="M1528" s="11">
        <v>43160</v>
      </c>
      <c r="N1528" t="s">
        <v>2175</v>
      </c>
      <c r="O1528">
        <v>4</v>
      </c>
      <c r="P1528" t="s">
        <v>53</v>
      </c>
      <c r="Q1528" t="b">
        <v>1</v>
      </c>
    </row>
    <row r="1529" spans="1:17">
      <c r="A1529" s="12">
        <v>43168</v>
      </c>
      <c r="B1529" s="10">
        <v>6.33</v>
      </c>
      <c r="C1529" s="10">
        <v>2.18</v>
      </c>
      <c r="D1529" s="10">
        <v>4.2</v>
      </c>
      <c r="E1529" s="10">
        <v>41</v>
      </c>
      <c r="F1529" s="10">
        <v>11</v>
      </c>
      <c r="G1529" s="10">
        <v>1</v>
      </c>
      <c r="H1529" s="10">
        <v>10</v>
      </c>
      <c r="I1529" s="10">
        <v>0</v>
      </c>
      <c r="J1529" s="10">
        <f>SUM(B1529:I1529)</f>
        <v>75.71000000000001</v>
      </c>
      <c r="K1529">
        <v>2018</v>
      </c>
      <c r="L1529">
        <v>3</v>
      </c>
      <c r="M1529" s="11">
        <v>43160</v>
      </c>
      <c r="N1529" t="s">
        <v>2175</v>
      </c>
      <c r="O1529">
        <v>5</v>
      </c>
      <c r="P1529" t="s">
        <v>55</v>
      </c>
      <c r="Q1529" t="b">
        <v>1</v>
      </c>
    </row>
    <row r="1530" spans="1:17">
      <c r="A1530" s="12">
        <v>43169</v>
      </c>
      <c r="B1530" s="10">
        <v>6</v>
      </c>
      <c r="C1530" s="10">
        <v>4.109</v>
      </c>
      <c r="D1530" s="10">
        <v>4</v>
      </c>
      <c r="E1530" s="10">
        <v>21.7</v>
      </c>
      <c r="F1530" s="10">
        <v>11</v>
      </c>
      <c r="G1530" s="10">
        <v>3</v>
      </c>
      <c r="H1530" s="10">
        <v>17</v>
      </c>
      <c r="I1530" s="10">
        <v>6</v>
      </c>
      <c r="J1530" s="10">
        <f>SUM(B1530:I1530)</f>
        <v>72.809</v>
      </c>
      <c r="K1530">
        <v>2018</v>
      </c>
      <c r="L1530">
        <v>3</v>
      </c>
      <c r="M1530" s="11">
        <v>43160</v>
      </c>
      <c r="N1530" t="s">
        <v>2175</v>
      </c>
      <c r="O1530">
        <v>6</v>
      </c>
      <c r="P1530" t="s">
        <v>57</v>
      </c>
      <c r="Q1530" t="b">
        <v>1</v>
      </c>
    </row>
    <row r="1531" spans="1:17">
      <c r="A1531" s="12">
        <v>43170</v>
      </c>
      <c r="B1531" s="10">
        <v>4.66</v>
      </c>
      <c r="C1531" s="10">
        <v>7.54</v>
      </c>
      <c r="D1531" s="10">
        <v>5.6</v>
      </c>
      <c r="E1531" s="10">
        <v>68</v>
      </c>
      <c r="F1531" s="10">
        <v>0</v>
      </c>
      <c r="G1531" s="10">
        <v>0</v>
      </c>
      <c r="H1531" s="10">
        <v>11</v>
      </c>
      <c r="I1531" s="10">
        <v>3</v>
      </c>
      <c r="J1531" s="10">
        <f>SUM(B1531:I1531)</f>
        <v>99.8</v>
      </c>
      <c r="K1531">
        <v>2018</v>
      </c>
      <c r="L1531">
        <v>3</v>
      </c>
      <c r="M1531" s="11">
        <v>43160</v>
      </c>
      <c r="N1531" t="s">
        <v>2175</v>
      </c>
      <c r="O1531">
        <v>7</v>
      </c>
      <c r="P1531" t="s">
        <v>59</v>
      </c>
      <c r="Q1531" t="b">
        <v>1</v>
      </c>
    </row>
    <row r="1532" spans="1:17">
      <c r="A1532" s="12">
        <v>43171</v>
      </c>
      <c r="B1532" s="10">
        <v>9</v>
      </c>
      <c r="C1532" s="10">
        <v>4.345</v>
      </c>
      <c r="D1532" s="10">
        <v>3</v>
      </c>
      <c r="E1532" s="10">
        <v>22.2</v>
      </c>
      <c r="F1532" s="10">
        <v>9</v>
      </c>
      <c r="G1532" s="10">
        <v>0</v>
      </c>
      <c r="H1532" s="10">
        <v>13</v>
      </c>
      <c r="I1532" s="10">
        <v>8</v>
      </c>
      <c r="J1532" s="10">
        <f>SUM(B1532:I1532)</f>
        <v>68.545</v>
      </c>
      <c r="K1532">
        <v>2018</v>
      </c>
      <c r="L1532">
        <v>3</v>
      </c>
      <c r="M1532" s="11">
        <v>43160</v>
      </c>
      <c r="N1532" t="s">
        <v>2175</v>
      </c>
      <c r="O1532">
        <v>1</v>
      </c>
      <c r="P1532" t="s">
        <v>61</v>
      </c>
      <c r="Q1532" t="b">
        <v>1</v>
      </c>
    </row>
    <row r="1533" spans="1:17">
      <c r="A1533" s="12">
        <v>43172</v>
      </c>
      <c r="B1533" s="10">
        <v>2</v>
      </c>
      <c r="C1533" s="10">
        <v>5.066</v>
      </c>
      <c r="D1533" s="10">
        <v>5.2</v>
      </c>
      <c r="E1533" s="10">
        <v>15.2</v>
      </c>
      <c r="F1533" s="10">
        <v>18</v>
      </c>
      <c r="G1533" s="10">
        <v>0</v>
      </c>
      <c r="H1533" s="10">
        <v>21</v>
      </c>
      <c r="I1533" s="10">
        <v>5</v>
      </c>
      <c r="J1533" s="10">
        <f>SUM(B1533:I1533)</f>
        <v>71.46600000000001</v>
      </c>
      <c r="K1533">
        <v>2018</v>
      </c>
      <c r="L1533">
        <v>3</v>
      </c>
      <c r="M1533" s="11">
        <v>43160</v>
      </c>
      <c r="N1533" t="s">
        <v>2175</v>
      </c>
      <c r="O1533">
        <v>2</v>
      </c>
      <c r="P1533" t="s">
        <v>63</v>
      </c>
      <c r="Q1533" t="b">
        <v>1</v>
      </c>
    </row>
    <row r="1534" spans="1:17">
      <c r="A1534" s="12">
        <v>43173</v>
      </c>
      <c r="B1534" s="10">
        <v>2.34</v>
      </c>
      <c r="C1534" s="10">
        <v>2.34</v>
      </c>
      <c r="D1534" s="10">
        <v>0</v>
      </c>
      <c r="E1534" s="10">
        <v>31</v>
      </c>
      <c r="F1534" s="10">
        <v>14</v>
      </c>
      <c r="G1534" s="10">
        <v>2</v>
      </c>
      <c r="H1534" s="10">
        <v>8</v>
      </c>
      <c r="I1534" s="10">
        <v>4</v>
      </c>
      <c r="J1534" s="10">
        <f>SUM(B1534:I1534)</f>
        <v>63.68</v>
      </c>
      <c r="K1534">
        <v>2018</v>
      </c>
      <c r="L1534">
        <v>3</v>
      </c>
      <c r="M1534" s="11">
        <v>43160</v>
      </c>
      <c r="N1534" t="s">
        <v>2175</v>
      </c>
      <c r="O1534">
        <v>3</v>
      </c>
      <c r="P1534" t="s">
        <v>65</v>
      </c>
      <c r="Q1534" t="b">
        <v>1</v>
      </c>
    </row>
    <row r="1535" spans="1:17">
      <c r="A1535" s="12">
        <v>43174</v>
      </c>
      <c r="B1535" s="10">
        <v>3.34</v>
      </c>
      <c r="C1535" s="10">
        <v>2.132</v>
      </c>
      <c r="D1535" s="10">
        <v>3</v>
      </c>
      <c r="E1535" s="10">
        <v>23.9</v>
      </c>
      <c r="F1535" s="10">
        <v>10</v>
      </c>
      <c r="G1535" s="10">
        <v>0</v>
      </c>
      <c r="H1535" s="10">
        <v>10</v>
      </c>
      <c r="I1535" s="10">
        <v>0</v>
      </c>
      <c r="J1535" s="10">
        <f>SUM(B1535:I1535)</f>
        <v>52.372</v>
      </c>
      <c r="K1535">
        <v>2018</v>
      </c>
      <c r="L1535">
        <v>3</v>
      </c>
      <c r="M1535" s="11">
        <v>43160</v>
      </c>
      <c r="N1535" t="s">
        <v>2175</v>
      </c>
      <c r="O1535">
        <v>4</v>
      </c>
      <c r="P1535" t="s">
        <v>53</v>
      </c>
      <c r="Q1535" t="b">
        <v>1</v>
      </c>
    </row>
    <row r="1536" spans="1:17">
      <c r="A1536" s="12">
        <v>43175</v>
      </c>
      <c r="B1536" s="10">
        <v>3.33</v>
      </c>
      <c r="C1536" s="10">
        <v>3.066</v>
      </c>
      <c r="D1536" s="10">
        <v>1</v>
      </c>
      <c r="E1536" s="10">
        <v>29</v>
      </c>
      <c r="F1536" s="10">
        <v>7</v>
      </c>
      <c r="G1536" s="10">
        <v>0</v>
      </c>
      <c r="H1536" s="10">
        <v>2</v>
      </c>
      <c r="I1536" s="10">
        <v>1</v>
      </c>
      <c r="J1536" s="10">
        <f>SUM(B1536:I1536)</f>
        <v>46.396</v>
      </c>
      <c r="K1536">
        <v>2018</v>
      </c>
      <c r="L1536">
        <v>3</v>
      </c>
      <c r="M1536" s="11">
        <v>43160</v>
      </c>
      <c r="N1536" t="s">
        <v>2175</v>
      </c>
      <c r="O1536">
        <v>5</v>
      </c>
      <c r="P1536" t="s">
        <v>55</v>
      </c>
      <c r="Q1536" t="b">
        <v>1</v>
      </c>
    </row>
    <row r="1537" spans="1:17">
      <c r="A1537" s="12">
        <v>43176</v>
      </c>
      <c r="B1537" s="10">
        <v>3.99</v>
      </c>
      <c r="C1537" s="10">
        <v>1.66</v>
      </c>
      <c r="D1537" s="10">
        <v>3.15</v>
      </c>
      <c r="E1537" s="10">
        <v>65</v>
      </c>
      <c r="F1537" s="10">
        <v>11</v>
      </c>
      <c r="G1537" s="10">
        <v>0</v>
      </c>
      <c r="H1537" s="10">
        <v>5</v>
      </c>
      <c r="I1537" s="10">
        <v>4</v>
      </c>
      <c r="J1537" s="10">
        <f>SUM(B1537:I1537)</f>
        <v>93.8</v>
      </c>
      <c r="K1537">
        <v>2018</v>
      </c>
      <c r="L1537">
        <v>3</v>
      </c>
      <c r="M1537" s="11">
        <v>43160</v>
      </c>
      <c r="N1537" t="s">
        <v>2175</v>
      </c>
      <c r="O1537">
        <v>6</v>
      </c>
      <c r="P1537" t="s">
        <v>57</v>
      </c>
      <c r="Q1537" t="b">
        <v>1</v>
      </c>
    </row>
    <row r="1538" spans="1:17">
      <c r="A1538" s="12">
        <v>43177</v>
      </c>
      <c r="B1538" s="10">
        <v>7.33</v>
      </c>
      <c r="C1538" s="10">
        <v>2.929</v>
      </c>
      <c r="D1538" s="10">
        <v>4.3</v>
      </c>
      <c r="E1538" s="10">
        <v>21.5</v>
      </c>
      <c r="F1538" s="10">
        <v>8</v>
      </c>
      <c r="G1538" s="10">
        <v>0</v>
      </c>
      <c r="H1538" s="10">
        <v>2</v>
      </c>
      <c r="I1538" s="10">
        <v>2</v>
      </c>
      <c r="J1538" s="10">
        <f>SUM(B1538:I1538)</f>
        <v>48.059</v>
      </c>
      <c r="K1538">
        <v>2018</v>
      </c>
      <c r="L1538">
        <v>3</v>
      </c>
      <c r="M1538" s="11">
        <v>43160</v>
      </c>
      <c r="N1538" t="s">
        <v>2175</v>
      </c>
      <c r="O1538">
        <v>7</v>
      </c>
      <c r="P1538" t="s">
        <v>59</v>
      </c>
      <c r="Q1538" t="b">
        <v>1</v>
      </c>
    </row>
    <row r="1539" spans="1:17">
      <c r="A1539" s="12">
        <v>43178</v>
      </c>
      <c r="B1539" s="10">
        <v>4.34</v>
      </c>
      <c r="C1539" s="10">
        <v>1</v>
      </c>
      <c r="D1539" s="10">
        <v>0</v>
      </c>
      <c r="E1539" s="10">
        <v>19.6</v>
      </c>
      <c r="F1539" s="10">
        <v>11</v>
      </c>
      <c r="G1539" s="10">
        <v>2</v>
      </c>
      <c r="H1539" s="10">
        <v>18</v>
      </c>
      <c r="I1539" s="10">
        <v>1</v>
      </c>
      <c r="J1539" s="10">
        <f>SUM(B1539:I1539)</f>
        <v>56.94</v>
      </c>
      <c r="K1539">
        <v>2018</v>
      </c>
      <c r="L1539">
        <v>3</v>
      </c>
      <c r="M1539" s="11">
        <v>43160</v>
      </c>
      <c r="N1539" t="s">
        <v>2175</v>
      </c>
      <c r="O1539">
        <v>1</v>
      </c>
      <c r="P1539" t="s">
        <v>61</v>
      </c>
      <c r="Q1539" t="b">
        <v>1</v>
      </c>
    </row>
    <row r="1540" spans="1:17">
      <c r="A1540" s="12">
        <v>43179</v>
      </c>
      <c r="B1540" s="10">
        <v>2.67</v>
      </c>
      <c r="C1540" s="10">
        <v>3.67</v>
      </c>
      <c r="D1540" s="10">
        <v>9</v>
      </c>
      <c r="E1540" s="10">
        <v>48.6</v>
      </c>
      <c r="F1540" s="10">
        <v>7</v>
      </c>
      <c r="G1540" s="10">
        <v>0</v>
      </c>
      <c r="H1540" s="10">
        <v>15</v>
      </c>
      <c r="I1540" s="10">
        <v>5</v>
      </c>
      <c r="J1540" s="10">
        <f>SUM(B1540:I1540)</f>
        <v>90.94</v>
      </c>
      <c r="K1540">
        <v>2018</v>
      </c>
      <c r="L1540">
        <v>3</v>
      </c>
      <c r="M1540" s="11">
        <v>43160</v>
      </c>
      <c r="N1540" t="s">
        <v>2175</v>
      </c>
      <c r="O1540">
        <v>2</v>
      </c>
      <c r="P1540" t="s">
        <v>63</v>
      </c>
      <c r="Q1540" t="b">
        <v>1</v>
      </c>
    </row>
    <row r="1541" spans="1:17">
      <c r="A1541" s="12">
        <v>43180</v>
      </c>
      <c r="B1541" s="10">
        <v>2</v>
      </c>
      <c r="C1541" s="10">
        <v>2</v>
      </c>
      <c r="D1541" s="10">
        <v>2</v>
      </c>
      <c r="E1541" s="10">
        <v>27</v>
      </c>
      <c r="F1541" s="10">
        <v>4</v>
      </c>
      <c r="G1541" s="10">
        <v>0</v>
      </c>
      <c r="H1541" s="10">
        <v>9</v>
      </c>
      <c r="I1541" s="10">
        <v>0</v>
      </c>
      <c r="J1541" s="10">
        <f>SUM(B1541:I1541)</f>
        <v>46.0</v>
      </c>
      <c r="K1541">
        <v>2018</v>
      </c>
      <c r="L1541">
        <v>3</v>
      </c>
      <c r="M1541" s="11">
        <v>43160</v>
      </c>
      <c r="N1541" t="s">
        <v>2175</v>
      </c>
      <c r="O1541">
        <v>3</v>
      </c>
      <c r="P1541" t="s">
        <v>65</v>
      </c>
      <c r="Q1541" t="b">
        <v>1</v>
      </c>
    </row>
    <row r="1542" spans="1:17">
      <c r="A1542" s="12">
        <v>43181</v>
      </c>
      <c r="B1542" s="10">
        <v>3</v>
      </c>
      <c r="C1542" s="10">
        <v>3.67</v>
      </c>
      <c r="D1542" s="10">
        <v>1.55</v>
      </c>
      <c r="E1542" s="10">
        <v>24.6</v>
      </c>
      <c r="F1542" s="10">
        <v>4</v>
      </c>
      <c r="G1542" s="10">
        <v>0</v>
      </c>
      <c r="H1542" s="10">
        <v>0</v>
      </c>
      <c r="I1542" s="10">
        <v>1</v>
      </c>
      <c r="J1542" s="10">
        <f>SUM(B1542:I1542)</f>
        <v>37.82</v>
      </c>
      <c r="K1542">
        <v>2018</v>
      </c>
      <c r="L1542">
        <v>3</v>
      </c>
      <c r="M1542" s="11">
        <v>43160</v>
      </c>
      <c r="N1542" t="s">
        <v>2175</v>
      </c>
      <c r="O1542">
        <v>4</v>
      </c>
      <c r="P1542" t="s">
        <v>53</v>
      </c>
      <c r="Q1542" t="b">
        <v>1</v>
      </c>
    </row>
    <row r="1543" spans="1:17">
      <c r="A1543" s="12">
        <v>43182</v>
      </c>
      <c r="B1543" s="10">
        <v>5</v>
      </c>
      <c r="C1543" s="10">
        <v>5.396</v>
      </c>
      <c r="D1543" s="10">
        <v>5.15</v>
      </c>
      <c r="E1543" s="10">
        <v>34</v>
      </c>
      <c r="F1543" s="10">
        <v>8</v>
      </c>
      <c r="G1543" s="10">
        <v>0</v>
      </c>
      <c r="H1543" s="10">
        <v>11</v>
      </c>
      <c r="I1543" s="10">
        <v>8.5</v>
      </c>
      <c r="J1543" s="10">
        <f>SUM(B1543:I1543)</f>
        <v>77.04599999999999</v>
      </c>
      <c r="K1543">
        <v>2018</v>
      </c>
      <c r="L1543">
        <v>3</v>
      </c>
      <c r="M1543" s="11">
        <v>43160</v>
      </c>
      <c r="N1543" t="s">
        <v>2175</v>
      </c>
      <c r="O1543">
        <v>5</v>
      </c>
      <c r="P1543" t="s">
        <v>55</v>
      </c>
      <c r="Q1543" t="b">
        <v>1</v>
      </c>
    </row>
    <row r="1544" spans="1:17">
      <c r="A1544" s="12">
        <v>43183</v>
      </c>
      <c r="B1544" s="10">
        <v>7</v>
      </c>
      <c r="C1544" s="10">
        <v>2.34</v>
      </c>
      <c r="D1544" s="10">
        <v>5</v>
      </c>
      <c r="E1544" s="10">
        <v>40</v>
      </c>
      <c r="F1544" s="10">
        <v>7</v>
      </c>
      <c r="G1544" s="10">
        <v>1</v>
      </c>
      <c r="H1544" s="10">
        <v>2</v>
      </c>
      <c r="I1544" s="10">
        <v>0</v>
      </c>
      <c r="J1544" s="10">
        <f>SUM(B1544:I1544)</f>
        <v>64.34</v>
      </c>
      <c r="K1544">
        <v>2018</v>
      </c>
      <c r="L1544">
        <v>3</v>
      </c>
      <c r="M1544" s="11">
        <v>43160</v>
      </c>
      <c r="N1544" t="s">
        <v>2175</v>
      </c>
      <c r="O1544">
        <v>6</v>
      </c>
      <c r="P1544" t="s">
        <v>57</v>
      </c>
      <c r="Q1544" t="b">
        <v>1</v>
      </c>
    </row>
    <row r="1545" spans="1:17">
      <c r="A1545" s="12">
        <v>43184</v>
      </c>
      <c r="B1545" s="10">
        <v>4</v>
      </c>
      <c r="C1545" s="10">
        <v>2.66</v>
      </c>
      <c r="D1545" s="10">
        <v>3.2</v>
      </c>
      <c r="E1545" s="10">
        <v>47.312</v>
      </c>
      <c r="F1545" s="10">
        <v>9</v>
      </c>
      <c r="G1545" s="10">
        <v>0</v>
      </c>
      <c r="H1545" s="10">
        <v>3</v>
      </c>
      <c r="I1545" s="10">
        <v>2</v>
      </c>
      <c r="J1545" s="10">
        <f>SUM(B1545:I1545)</f>
        <v>71.172</v>
      </c>
      <c r="K1545">
        <v>2018</v>
      </c>
      <c r="L1545">
        <v>3</v>
      </c>
      <c r="M1545" s="11">
        <v>43160</v>
      </c>
      <c r="N1545" t="s">
        <v>2175</v>
      </c>
      <c r="O1545">
        <v>7</v>
      </c>
      <c r="P1545" t="s">
        <v>59</v>
      </c>
      <c r="Q1545" t="b">
        <v>1</v>
      </c>
    </row>
    <row r="1546" spans="1:17">
      <c r="A1546" s="12">
        <v>43185</v>
      </c>
      <c r="B1546" s="10">
        <v>5</v>
      </c>
      <c r="C1546" s="10">
        <v>9.66</v>
      </c>
      <c r="D1546" s="10">
        <v>0.2</v>
      </c>
      <c r="E1546" s="10">
        <v>27.6</v>
      </c>
      <c r="F1546" s="10">
        <v>15</v>
      </c>
      <c r="G1546" s="10">
        <v>4</v>
      </c>
      <c r="H1546" s="10">
        <v>5</v>
      </c>
      <c r="I1546" s="10">
        <v>3.3</v>
      </c>
      <c r="J1546" s="10">
        <f>SUM(B1546:I1546)</f>
        <v>69.76</v>
      </c>
      <c r="K1546">
        <v>2018</v>
      </c>
      <c r="L1546">
        <v>3</v>
      </c>
      <c r="M1546" s="11">
        <v>43160</v>
      </c>
      <c r="N1546" t="s">
        <v>2175</v>
      </c>
      <c r="O1546">
        <v>1</v>
      </c>
      <c r="P1546" t="s">
        <v>61</v>
      </c>
      <c r="Q1546" t="b">
        <v>1</v>
      </c>
    </row>
    <row r="1547" spans="1:17">
      <c r="A1547" s="12">
        <v>43186</v>
      </c>
      <c r="B1547" s="10">
        <v>4.34</v>
      </c>
      <c r="C1547" s="10">
        <v>3.33</v>
      </c>
      <c r="D1547" s="10">
        <v>5.1</v>
      </c>
      <c r="E1547" s="10">
        <v>28</v>
      </c>
      <c r="F1547" s="10">
        <v>14</v>
      </c>
      <c r="G1547" s="10">
        <v>1</v>
      </c>
      <c r="H1547" s="10">
        <v>5</v>
      </c>
      <c r="I1547" s="10">
        <v>2</v>
      </c>
      <c r="J1547" s="10">
        <f>SUM(B1547:I1547)</f>
        <v>62.769999999999996</v>
      </c>
      <c r="K1547">
        <v>2018</v>
      </c>
      <c r="L1547">
        <v>3</v>
      </c>
      <c r="M1547" s="11">
        <v>43160</v>
      </c>
      <c r="N1547" t="s">
        <v>2175</v>
      </c>
      <c r="O1547">
        <v>2</v>
      </c>
      <c r="P1547" t="s">
        <v>63</v>
      </c>
      <c r="Q1547" t="b">
        <v>1</v>
      </c>
    </row>
    <row r="1548" spans="1:17">
      <c r="A1548" s="12">
        <v>43187</v>
      </c>
      <c r="B1548" s="10">
        <v>5.5</v>
      </c>
      <c r="C1548" s="10">
        <v>1.66</v>
      </c>
      <c r="D1548" s="10">
        <v>1</v>
      </c>
      <c r="E1548" s="10">
        <v>11.924</v>
      </c>
      <c r="F1548" s="10">
        <v>23</v>
      </c>
      <c r="G1548" s="10">
        <v>2</v>
      </c>
      <c r="H1548" s="10">
        <v>6</v>
      </c>
      <c r="I1548" s="10">
        <v>1.5</v>
      </c>
      <c r="J1548" s="10">
        <f>SUM(B1548:I1548)</f>
        <v>52.584</v>
      </c>
      <c r="K1548">
        <v>2018</v>
      </c>
      <c r="L1548">
        <v>3</v>
      </c>
      <c r="M1548" s="11">
        <v>43160</v>
      </c>
      <c r="N1548" t="s">
        <v>2175</v>
      </c>
      <c r="O1548">
        <v>3</v>
      </c>
      <c r="P1548" t="s">
        <v>65</v>
      </c>
      <c r="Q1548" t="b">
        <v>1</v>
      </c>
    </row>
    <row r="1549" spans="1:17">
      <c r="A1549" s="12">
        <v>43188</v>
      </c>
      <c r="B1549" s="10">
        <v>7</v>
      </c>
      <c r="C1549" s="10">
        <v>2.33</v>
      </c>
      <c r="D1549" s="10">
        <v>3</v>
      </c>
      <c r="E1549" s="10">
        <v>28.2</v>
      </c>
      <c r="F1549" s="10">
        <v>5</v>
      </c>
      <c r="G1549" s="10">
        <v>0</v>
      </c>
      <c r="H1549" s="10">
        <v>7</v>
      </c>
      <c r="I1549" s="10">
        <v>3.3</v>
      </c>
      <c r="J1549" s="10">
        <f>SUM(B1549:I1549)</f>
        <v>55.83</v>
      </c>
      <c r="K1549">
        <v>2018</v>
      </c>
      <c r="L1549">
        <v>3</v>
      </c>
      <c r="M1549" s="11">
        <v>43160</v>
      </c>
      <c r="N1549" t="s">
        <v>2175</v>
      </c>
      <c r="O1549">
        <v>4</v>
      </c>
      <c r="P1549" t="s">
        <v>53</v>
      </c>
      <c r="Q1549" t="b">
        <v>1</v>
      </c>
    </row>
    <row r="1550" spans="1:17">
      <c r="A1550" s="12">
        <v>43189</v>
      </c>
      <c r="B1550" s="10">
        <v>5.33</v>
      </c>
      <c r="C1550" s="10">
        <v>4.46</v>
      </c>
      <c r="D1550" s="10">
        <v>9</v>
      </c>
      <c r="E1550" s="10">
        <v>42</v>
      </c>
      <c r="F1550" s="10">
        <v>33</v>
      </c>
      <c r="G1550" s="10">
        <v>8</v>
      </c>
      <c r="H1550" s="10">
        <v>3</v>
      </c>
      <c r="I1550" s="10">
        <v>2</v>
      </c>
      <c r="J1550" s="10">
        <f>SUM(B1550:I1550)</f>
        <v>106.78999999999999</v>
      </c>
      <c r="K1550">
        <v>2018</v>
      </c>
      <c r="L1550">
        <v>3</v>
      </c>
      <c r="M1550" s="11">
        <v>43160</v>
      </c>
      <c r="N1550" t="s">
        <v>2175</v>
      </c>
      <c r="O1550">
        <v>5</v>
      </c>
      <c r="P1550" t="s">
        <v>55</v>
      </c>
      <c r="Q1550" t="b">
        <v>1</v>
      </c>
    </row>
    <row r="1551" spans="1:17">
      <c r="A1551" s="12">
        <v>43190</v>
      </c>
      <c r="B1551" s="10">
        <v>9</v>
      </c>
      <c r="C1551" s="10">
        <v>2.99</v>
      </c>
      <c r="D1551" s="10">
        <v>2</v>
      </c>
      <c r="E1551" s="10">
        <v>50</v>
      </c>
      <c r="F1551" s="10">
        <v>8</v>
      </c>
      <c r="G1551" s="10">
        <v>0</v>
      </c>
      <c r="H1551" s="10">
        <v>3</v>
      </c>
      <c r="I1551" s="10">
        <v>4</v>
      </c>
      <c r="J1551" s="10">
        <f>SUM(B1551:I1551)</f>
        <v>78.99000000000001</v>
      </c>
      <c r="K1551">
        <v>2018</v>
      </c>
      <c r="L1551">
        <v>3</v>
      </c>
      <c r="M1551" s="11">
        <v>43160</v>
      </c>
      <c r="N1551" t="s">
        <v>2175</v>
      </c>
      <c r="O1551">
        <v>6</v>
      </c>
      <c r="P1551" t="s">
        <v>57</v>
      </c>
      <c r="Q1551" t="b">
        <v>1</v>
      </c>
    </row>
    <row r="1552" spans="1:17">
      <c r="A1552" s="12">
        <v>43191</v>
      </c>
      <c r="B1552" s="10">
        <v>6.83</v>
      </c>
      <c r="C1552" s="10">
        <v>3.34</v>
      </c>
      <c r="D1552" s="10">
        <v>0</v>
      </c>
      <c r="E1552" s="10">
        <v>37</v>
      </c>
      <c r="F1552" s="10">
        <v>19</v>
      </c>
      <c r="G1552" s="10">
        <v>1</v>
      </c>
      <c r="H1552" s="10">
        <v>22</v>
      </c>
      <c r="I1552" s="10">
        <v>5</v>
      </c>
      <c r="J1552" s="10">
        <f>SUM(B1552:I1552)</f>
        <v>94.17</v>
      </c>
      <c r="K1552">
        <v>2018</v>
      </c>
      <c r="L1552">
        <v>4</v>
      </c>
      <c r="M1552" s="11">
        <v>43191</v>
      </c>
      <c r="N1552" t="s">
        <v>2176</v>
      </c>
      <c r="O1552">
        <v>7</v>
      </c>
      <c r="P1552" t="s">
        <v>59</v>
      </c>
      <c r="Q1552" t="b">
        <v>1</v>
      </c>
    </row>
    <row r="1553" spans="1:17">
      <c r="A1553" s="12">
        <v>43192</v>
      </c>
      <c r="B1553" s="10">
        <v>5.66</v>
      </c>
      <c r="C1553" s="10">
        <v>4.396</v>
      </c>
      <c r="D1553" s="10">
        <v>6.3</v>
      </c>
      <c r="E1553" s="10">
        <v>30</v>
      </c>
      <c r="F1553" s="10">
        <v>31</v>
      </c>
      <c r="G1553" s="10">
        <v>0</v>
      </c>
      <c r="H1553" s="10">
        <v>10</v>
      </c>
      <c r="I1553" s="10">
        <v>10</v>
      </c>
      <c r="J1553" s="10">
        <f>SUM(B1553:I1553)</f>
        <v>97.356</v>
      </c>
      <c r="K1553">
        <v>2018</v>
      </c>
      <c r="L1553">
        <v>4</v>
      </c>
      <c r="M1553" s="11">
        <v>43191</v>
      </c>
      <c r="N1553" t="s">
        <v>2176</v>
      </c>
      <c r="O1553">
        <v>1</v>
      </c>
      <c r="P1553" t="s">
        <v>61</v>
      </c>
      <c r="Q1553" t="b">
        <v>1</v>
      </c>
    </row>
    <row r="1554" spans="1:17">
      <c r="A1554" s="12">
        <v>43193</v>
      </c>
      <c r="B1554" s="10">
        <v>1</v>
      </c>
      <c r="C1554" s="10">
        <v>2.529</v>
      </c>
      <c r="D1554" s="10">
        <v>2</v>
      </c>
      <c r="E1554" s="10">
        <v>38</v>
      </c>
      <c r="F1554" s="10">
        <v>10</v>
      </c>
      <c r="G1554" s="10">
        <v>6</v>
      </c>
      <c r="H1554" s="10">
        <v>5</v>
      </c>
      <c r="I1554" s="10">
        <v>3.5</v>
      </c>
      <c r="J1554" s="10">
        <f>SUM(B1554:I1554)</f>
        <v>68.029</v>
      </c>
      <c r="K1554">
        <v>2018</v>
      </c>
      <c r="L1554">
        <v>4</v>
      </c>
      <c r="M1554" s="11">
        <v>43191</v>
      </c>
      <c r="N1554" t="s">
        <v>2176</v>
      </c>
      <c r="O1554">
        <v>2</v>
      </c>
      <c r="P1554" t="s">
        <v>63</v>
      </c>
      <c r="Q1554" t="b">
        <v>1</v>
      </c>
    </row>
    <row r="1555" spans="1:17">
      <c r="A1555" s="12">
        <v>43194</v>
      </c>
      <c r="B1555" s="10">
        <v>6.01</v>
      </c>
      <c r="C1555" s="10">
        <v>5.2</v>
      </c>
      <c r="D1555" s="10">
        <v>3</v>
      </c>
      <c r="E1555" s="10">
        <v>29</v>
      </c>
      <c r="F1555" s="10">
        <v>9</v>
      </c>
      <c r="G1555" s="10">
        <v>0</v>
      </c>
      <c r="H1555" s="10">
        <v>1</v>
      </c>
      <c r="I1555" s="10">
        <v>8</v>
      </c>
      <c r="J1555" s="10">
        <f>SUM(B1555:I1555)</f>
        <v>61.21</v>
      </c>
      <c r="K1555">
        <v>2018</v>
      </c>
      <c r="L1555">
        <v>4</v>
      </c>
      <c r="M1555" s="11">
        <v>43191</v>
      </c>
      <c r="N1555" t="s">
        <v>2176</v>
      </c>
      <c r="O1555">
        <v>3</v>
      </c>
      <c r="P1555" t="s">
        <v>65</v>
      </c>
      <c r="Q1555" t="b">
        <v>1</v>
      </c>
    </row>
    <row r="1556" spans="1:17">
      <c r="A1556" s="12">
        <v>43195</v>
      </c>
      <c r="B1556" s="10">
        <v>6.33</v>
      </c>
      <c r="C1556" s="10">
        <v>3.67</v>
      </c>
      <c r="D1556" s="10">
        <v>5.4</v>
      </c>
      <c r="E1556" s="10">
        <v>39</v>
      </c>
      <c r="F1556" s="10">
        <v>16</v>
      </c>
      <c r="G1556" s="10">
        <v>1</v>
      </c>
      <c r="H1556" s="10">
        <v>16</v>
      </c>
      <c r="I1556" s="10">
        <v>3</v>
      </c>
      <c r="J1556" s="10">
        <f>SUM(B1556:I1556)</f>
        <v>90.4</v>
      </c>
      <c r="K1556">
        <v>2018</v>
      </c>
      <c r="L1556">
        <v>4</v>
      </c>
      <c r="M1556" s="11">
        <v>43191</v>
      </c>
      <c r="N1556" t="s">
        <v>2176</v>
      </c>
      <c r="O1556">
        <v>4</v>
      </c>
      <c r="P1556" t="s">
        <v>53</v>
      </c>
      <c r="Q1556" t="b">
        <v>1</v>
      </c>
    </row>
    <row r="1557" spans="1:17">
      <c r="A1557" s="12">
        <v>43196</v>
      </c>
      <c r="B1557" s="10">
        <v>3.67</v>
      </c>
      <c r="C1557" s="10">
        <v>3</v>
      </c>
      <c r="D1557" s="10">
        <v>4.2</v>
      </c>
      <c r="E1557" s="10">
        <v>33.525</v>
      </c>
      <c r="F1557" s="10">
        <v>13</v>
      </c>
      <c r="G1557" s="10">
        <v>0</v>
      </c>
      <c r="H1557" s="10">
        <v>23</v>
      </c>
      <c r="I1557" s="10">
        <v>5</v>
      </c>
      <c r="J1557" s="10">
        <f>SUM(B1557:I1557)</f>
        <v>85.395</v>
      </c>
      <c r="K1557">
        <v>2018</v>
      </c>
      <c r="L1557">
        <v>4</v>
      </c>
      <c r="M1557" s="11">
        <v>43191</v>
      </c>
      <c r="N1557" t="s">
        <v>2176</v>
      </c>
      <c r="O1557">
        <v>5</v>
      </c>
      <c r="P1557" t="s">
        <v>55</v>
      </c>
      <c r="Q1557" t="b">
        <v>1</v>
      </c>
    </row>
    <row r="1558" spans="1:17">
      <c r="A1558" s="12">
        <v>43197</v>
      </c>
      <c r="B1558" s="10">
        <v>16.18</v>
      </c>
      <c r="C1558" s="10">
        <v>4.506</v>
      </c>
      <c r="D1558" s="10">
        <v>2</v>
      </c>
      <c r="E1558" s="10">
        <v>40</v>
      </c>
      <c r="F1558" s="10">
        <v>4</v>
      </c>
      <c r="G1558" s="10">
        <v>0</v>
      </c>
      <c r="H1558" s="10">
        <v>5</v>
      </c>
      <c r="I1558" s="10">
        <v>7</v>
      </c>
      <c r="J1558" s="10">
        <f>SUM(B1558:I1558)</f>
        <v>78.686</v>
      </c>
      <c r="K1558">
        <v>2018</v>
      </c>
      <c r="L1558">
        <v>4</v>
      </c>
      <c r="M1558" s="11">
        <v>43191</v>
      </c>
      <c r="N1558" t="s">
        <v>2176</v>
      </c>
      <c r="O1558">
        <v>6</v>
      </c>
      <c r="P1558" t="s">
        <v>57</v>
      </c>
      <c r="Q1558" t="b">
        <v>1</v>
      </c>
    </row>
    <row r="1559" spans="1:17">
      <c r="A1559" s="12">
        <v>43198</v>
      </c>
      <c r="B1559" s="10">
        <v>0</v>
      </c>
      <c r="C1559" s="10">
        <v>0</v>
      </c>
      <c r="D1559" s="10">
        <v>0</v>
      </c>
      <c r="E1559" s="10">
        <v>0</v>
      </c>
      <c r="F1559" s="10">
        <v>0</v>
      </c>
      <c r="G1559" s="10">
        <v>0</v>
      </c>
      <c r="H1559" s="10">
        <v>0</v>
      </c>
      <c r="I1559" s="10">
        <v>0</v>
      </c>
      <c r="J1559" s="10">
        <f>SUM(B1559:I1559)</f>
        <v>0.0</v>
      </c>
      <c r="K1559">
        <v>2018</v>
      </c>
      <c r="L1559">
        <v>4</v>
      </c>
      <c r="M1559" s="11">
        <v>43191</v>
      </c>
      <c r="N1559" t="s">
        <v>2176</v>
      </c>
      <c r="O1559">
        <v>7</v>
      </c>
      <c r="P1559" t="s">
        <v>59</v>
      </c>
      <c r="Q1559" t="b">
        <v>1</v>
      </c>
    </row>
    <row r="1560" spans="1:17">
      <c r="A1560" s="12">
        <v>43199</v>
      </c>
      <c r="B1560" s="10">
        <v>5</v>
      </c>
      <c r="C1560" s="10">
        <v>3</v>
      </c>
      <c r="D1560" s="10">
        <v>6</v>
      </c>
      <c r="E1560" s="10">
        <v>25</v>
      </c>
      <c r="F1560" s="10">
        <v>6</v>
      </c>
      <c r="G1560" s="10">
        <v>0</v>
      </c>
      <c r="H1560" s="10">
        <v>10</v>
      </c>
      <c r="I1560" s="10">
        <v>6</v>
      </c>
      <c r="J1560" s="10">
        <f>SUM(B1560:I1560)</f>
        <v>61.0</v>
      </c>
      <c r="K1560">
        <v>2018</v>
      </c>
      <c r="L1560">
        <v>4</v>
      </c>
      <c r="M1560" s="11">
        <v>43191</v>
      </c>
      <c r="N1560" t="s">
        <v>2176</v>
      </c>
      <c r="O1560">
        <v>1</v>
      </c>
      <c r="P1560" t="s">
        <v>61</v>
      </c>
      <c r="Q1560" t="b">
        <v>1</v>
      </c>
    </row>
    <row r="1561" spans="1:17">
      <c r="A1561" s="12">
        <v>43200</v>
      </c>
      <c r="B1561" s="10">
        <v>2</v>
      </c>
      <c r="C1561" s="10">
        <v>3.067</v>
      </c>
      <c r="D1561" s="10">
        <v>2</v>
      </c>
      <c r="E1561" s="10">
        <v>38.3</v>
      </c>
      <c r="F1561" s="10">
        <v>18</v>
      </c>
      <c r="G1561" s="10">
        <v>3</v>
      </c>
      <c r="H1561" s="10">
        <v>7</v>
      </c>
      <c r="I1561" s="10">
        <v>10</v>
      </c>
      <c r="J1561" s="10">
        <f>SUM(B1561:I1561)</f>
        <v>83.36699999999999</v>
      </c>
      <c r="K1561">
        <v>2018</v>
      </c>
      <c r="L1561">
        <v>4</v>
      </c>
      <c r="M1561" s="11">
        <v>43191</v>
      </c>
      <c r="N1561" t="s">
        <v>2176</v>
      </c>
      <c r="O1561">
        <v>2</v>
      </c>
      <c r="P1561" t="s">
        <v>63</v>
      </c>
      <c r="Q1561" t="b">
        <v>1</v>
      </c>
    </row>
    <row r="1562" spans="1:17">
      <c r="A1562" s="12">
        <v>43201</v>
      </c>
      <c r="B1562" s="10">
        <v>6.67</v>
      </c>
      <c r="C1562" s="10">
        <v>3.01</v>
      </c>
      <c r="D1562" s="10">
        <v>2</v>
      </c>
      <c r="E1562" s="10">
        <v>28</v>
      </c>
      <c r="F1562" s="10">
        <v>12</v>
      </c>
      <c r="G1562" s="10">
        <v>0</v>
      </c>
      <c r="H1562" s="10">
        <v>3</v>
      </c>
      <c r="I1562" s="10">
        <v>11</v>
      </c>
      <c r="J1562" s="10">
        <f>SUM(B1562:I1562)</f>
        <v>65.68</v>
      </c>
      <c r="K1562">
        <v>2018</v>
      </c>
      <c r="L1562">
        <v>4</v>
      </c>
      <c r="M1562" s="11">
        <v>43191</v>
      </c>
      <c r="N1562" t="s">
        <v>2176</v>
      </c>
      <c r="O1562">
        <v>3</v>
      </c>
      <c r="P1562" t="s">
        <v>65</v>
      </c>
      <c r="Q1562" t="b">
        <v>1</v>
      </c>
    </row>
    <row r="1563" spans="1:17">
      <c r="A1563" s="12">
        <v>43202</v>
      </c>
      <c r="B1563" s="10">
        <v>5</v>
      </c>
      <c r="C1563" s="10">
        <v>4.759</v>
      </c>
      <c r="D1563" s="10">
        <v>3.5</v>
      </c>
      <c r="E1563" s="10">
        <v>17.4</v>
      </c>
      <c r="F1563" s="10">
        <v>9</v>
      </c>
      <c r="G1563" s="10">
        <v>0</v>
      </c>
      <c r="H1563" s="10">
        <v>6</v>
      </c>
      <c r="I1563" s="10">
        <v>4.5</v>
      </c>
      <c r="J1563" s="10">
        <f>SUM(B1563:I1563)</f>
        <v>50.159</v>
      </c>
      <c r="K1563">
        <v>2018</v>
      </c>
      <c r="L1563">
        <v>4</v>
      </c>
      <c r="M1563" s="11">
        <v>43191</v>
      </c>
      <c r="N1563" t="s">
        <v>2176</v>
      </c>
      <c r="O1563">
        <v>4</v>
      </c>
      <c r="P1563" t="s">
        <v>53</v>
      </c>
      <c r="Q1563" t="b">
        <v>1</v>
      </c>
    </row>
    <row r="1564" spans="1:17">
      <c r="A1564" s="12">
        <v>43203</v>
      </c>
      <c r="B1564" s="10">
        <v>4.5</v>
      </c>
      <c r="C1564" s="10">
        <v>2.033</v>
      </c>
      <c r="D1564" s="10">
        <v>5</v>
      </c>
      <c r="E1564" s="10">
        <v>23</v>
      </c>
      <c r="F1564" s="10">
        <v>12</v>
      </c>
      <c r="G1564" s="10">
        <v>0</v>
      </c>
      <c r="H1564" s="10">
        <v>23</v>
      </c>
      <c r="I1564" s="10">
        <v>4</v>
      </c>
      <c r="J1564" s="10">
        <f>SUM(B1564:I1564)</f>
        <v>73.533</v>
      </c>
      <c r="K1564">
        <v>2018</v>
      </c>
      <c r="L1564">
        <v>4</v>
      </c>
      <c r="M1564" s="11">
        <v>43191</v>
      </c>
      <c r="N1564" t="s">
        <v>2176</v>
      </c>
      <c r="O1564">
        <v>5</v>
      </c>
      <c r="P1564" t="s">
        <v>55</v>
      </c>
      <c r="Q1564" t="b">
        <v>1</v>
      </c>
    </row>
    <row r="1565" spans="1:17">
      <c r="A1565" s="12">
        <v>43204</v>
      </c>
      <c r="B1565" s="10">
        <v>8</v>
      </c>
      <c r="C1565" s="10">
        <v>3.68</v>
      </c>
      <c r="D1565" s="10">
        <v>2</v>
      </c>
      <c r="E1565" s="10">
        <v>24</v>
      </c>
      <c r="F1565" s="10">
        <v>2</v>
      </c>
      <c r="G1565" s="10">
        <v>0</v>
      </c>
      <c r="H1565" s="10">
        <v>3</v>
      </c>
      <c r="I1565" s="10">
        <v>12</v>
      </c>
      <c r="J1565" s="10">
        <f>SUM(B1565:I1565)</f>
        <v>54.68</v>
      </c>
      <c r="K1565">
        <v>2018</v>
      </c>
      <c r="L1565">
        <v>4</v>
      </c>
      <c r="M1565" s="11">
        <v>43191</v>
      </c>
      <c r="N1565" t="s">
        <v>2176</v>
      </c>
      <c r="O1565">
        <v>6</v>
      </c>
      <c r="P1565" t="s">
        <v>57</v>
      </c>
      <c r="Q1565" t="b">
        <v>1</v>
      </c>
    </row>
    <row r="1566" spans="1:17">
      <c r="A1566" s="12">
        <v>43205</v>
      </c>
      <c r="B1566" s="10">
        <v>7.66</v>
      </c>
      <c r="C1566" s="10">
        <v>2.759</v>
      </c>
      <c r="D1566" s="10">
        <v>3</v>
      </c>
      <c r="E1566" s="10">
        <v>20</v>
      </c>
      <c r="F1566" s="10">
        <v>5</v>
      </c>
      <c r="G1566" s="10">
        <v>0</v>
      </c>
      <c r="H1566" s="10">
        <v>0</v>
      </c>
      <c r="I1566" s="10">
        <v>6</v>
      </c>
      <c r="J1566" s="10">
        <f>SUM(B1566:I1566)</f>
        <v>44.419</v>
      </c>
      <c r="K1566">
        <v>2018</v>
      </c>
      <c r="L1566">
        <v>4</v>
      </c>
      <c r="M1566" s="11">
        <v>43191</v>
      </c>
      <c r="N1566" t="s">
        <v>2176</v>
      </c>
      <c r="O1566">
        <v>7</v>
      </c>
      <c r="P1566" t="s">
        <v>59</v>
      </c>
      <c r="Q1566" t="b">
        <v>1</v>
      </c>
    </row>
    <row r="1567" spans="1:17">
      <c r="A1567" s="12">
        <v>43206</v>
      </c>
      <c r="B1567" s="10">
        <v>2</v>
      </c>
      <c r="C1567" s="10">
        <v>6.02</v>
      </c>
      <c r="D1567" s="10">
        <v>0.25</v>
      </c>
      <c r="E1567" s="10">
        <v>40.5</v>
      </c>
      <c r="F1567" s="10">
        <v>9</v>
      </c>
      <c r="G1567" s="10">
        <v>0</v>
      </c>
      <c r="H1567" s="10">
        <v>4</v>
      </c>
      <c r="I1567" s="10">
        <v>3</v>
      </c>
      <c r="J1567" s="10">
        <f>SUM(B1567:I1567)</f>
        <v>64.77</v>
      </c>
      <c r="K1567">
        <v>2018</v>
      </c>
      <c r="L1567">
        <v>4</v>
      </c>
      <c r="M1567" s="11">
        <v>43191</v>
      </c>
      <c r="N1567" t="s">
        <v>2176</v>
      </c>
      <c r="O1567">
        <v>1</v>
      </c>
      <c r="P1567" t="s">
        <v>61</v>
      </c>
      <c r="Q1567" t="b">
        <v>1</v>
      </c>
    </row>
    <row r="1568" spans="1:17">
      <c r="A1568" s="12">
        <v>43207</v>
      </c>
      <c r="B1568" s="10">
        <v>3.34</v>
      </c>
      <c r="C1568" s="10">
        <v>1.406</v>
      </c>
      <c r="D1568" s="10">
        <v>0.15</v>
      </c>
      <c r="E1568" s="10">
        <v>16</v>
      </c>
      <c r="F1568" s="10">
        <v>10</v>
      </c>
      <c r="G1568" s="10">
        <v>0</v>
      </c>
      <c r="H1568" s="10">
        <v>6</v>
      </c>
      <c r="I1568" s="10">
        <v>6</v>
      </c>
      <c r="J1568" s="10">
        <f>SUM(B1568:I1568)</f>
        <v>42.896</v>
      </c>
      <c r="K1568">
        <v>2018</v>
      </c>
      <c r="L1568">
        <v>4</v>
      </c>
      <c r="M1568" s="11">
        <v>43191</v>
      </c>
      <c r="N1568" t="s">
        <v>2176</v>
      </c>
      <c r="O1568">
        <v>2</v>
      </c>
      <c r="P1568" t="s">
        <v>63</v>
      </c>
      <c r="Q1568" t="b">
        <v>1</v>
      </c>
    </row>
    <row r="1569" spans="1:17">
      <c r="A1569" s="12">
        <v>43208</v>
      </c>
      <c r="B1569" s="10">
        <v>5</v>
      </c>
      <c r="C1569" s="10">
        <v>0.54</v>
      </c>
      <c r="D1569" s="10">
        <v>3.25</v>
      </c>
      <c r="E1569" s="10">
        <v>25.25</v>
      </c>
      <c r="F1569" s="10">
        <v>5</v>
      </c>
      <c r="G1569" s="10">
        <v>0</v>
      </c>
      <c r="H1569" s="10">
        <v>7</v>
      </c>
      <c r="I1569" s="10">
        <v>1</v>
      </c>
      <c r="J1569" s="10">
        <f>SUM(B1569:I1569)</f>
        <v>47.04</v>
      </c>
      <c r="K1569">
        <v>2018</v>
      </c>
      <c r="L1569">
        <v>4</v>
      </c>
      <c r="M1569" s="11">
        <v>43191</v>
      </c>
      <c r="N1569" t="s">
        <v>2176</v>
      </c>
      <c r="O1569">
        <v>3</v>
      </c>
      <c r="P1569" t="s">
        <v>65</v>
      </c>
      <c r="Q1569" t="b">
        <v>1</v>
      </c>
    </row>
    <row r="1570" spans="1:17">
      <c r="A1570" s="12">
        <v>43209</v>
      </c>
      <c r="B1570" s="10">
        <v>5</v>
      </c>
      <c r="C1570" s="10">
        <v>5.67</v>
      </c>
      <c r="D1570" s="10">
        <v>1</v>
      </c>
      <c r="E1570" s="10">
        <v>31.375</v>
      </c>
      <c r="F1570" s="10">
        <v>3</v>
      </c>
      <c r="G1570" s="10">
        <v>0</v>
      </c>
      <c r="H1570" s="10">
        <v>1</v>
      </c>
      <c r="I1570" s="10">
        <v>7</v>
      </c>
      <c r="J1570" s="10">
        <f>SUM(B1570:I1570)</f>
        <v>54.045</v>
      </c>
      <c r="K1570">
        <v>2018</v>
      </c>
      <c r="L1570">
        <v>4</v>
      </c>
      <c r="M1570" s="11">
        <v>43191</v>
      </c>
      <c r="N1570" t="s">
        <v>2176</v>
      </c>
      <c r="O1570">
        <v>4</v>
      </c>
      <c r="P1570" t="s">
        <v>53</v>
      </c>
      <c r="Q1570" t="b">
        <v>1</v>
      </c>
    </row>
    <row r="1571" spans="1:17">
      <c r="A1571" s="12">
        <v>43210</v>
      </c>
      <c r="B1571" s="10">
        <v>5</v>
      </c>
      <c r="C1571" s="10">
        <v>4.506</v>
      </c>
      <c r="D1571" s="10">
        <v>0</v>
      </c>
      <c r="E1571" s="10">
        <v>15</v>
      </c>
      <c r="F1571" s="10">
        <v>10</v>
      </c>
      <c r="G1571" s="10">
        <v>0</v>
      </c>
      <c r="H1571" s="10">
        <v>6</v>
      </c>
      <c r="I1571" s="10">
        <v>9</v>
      </c>
      <c r="J1571" s="10">
        <f>SUM(B1571:I1571)</f>
        <v>49.506</v>
      </c>
      <c r="K1571">
        <v>2018</v>
      </c>
      <c r="L1571">
        <v>4</v>
      </c>
      <c r="M1571" s="11">
        <v>43191</v>
      </c>
      <c r="N1571" t="s">
        <v>2176</v>
      </c>
      <c r="O1571">
        <v>5</v>
      </c>
      <c r="P1571" t="s">
        <v>55</v>
      </c>
      <c r="Q1571" t="b">
        <v>1</v>
      </c>
    </row>
    <row r="1572" spans="1:17">
      <c r="A1572" s="12">
        <v>43211</v>
      </c>
      <c r="B1572" s="10">
        <v>3.5</v>
      </c>
      <c r="C1572" s="10">
        <v>3.439</v>
      </c>
      <c r="D1572" s="10">
        <v>2</v>
      </c>
      <c r="E1572" s="10">
        <v>40.4</v>
      </c>
      <c r="F1572" s="10">
        <v>7</v>
      </c>
      <c r="G1572" s="10">
        <v>0</v>
      </c>
      <c r="H1572" s="10">
        <v>4</v>
      </c>
      <c r="I1572" s="10">
        <v>6.2</v>
      </c>
      <c r="J1572" s="10">
        <f>SUM(B1572:I1572)</f>
        <v>66.539</v>
      </c>
      <c r="K1572">
        <v>2018</v>
      </c>
      <c r="L1572">
        <v>4</v>
      </c>
      <c r="M1572" s="11">
        <v>43191</v>
      </c>
      <c r="N1572" t="s">
        <v>2176</v>
      </c>
      <c r="O1572">
        <v>6</v>
      </c>
      <c r="P1572" t="s">
        <v>57</v>
      </c>
      <c r="Q1572" t="b">
        <v>1</v>
      </c>
    </row>
    <row r="1573" spans="1:17">
      <c r="A1573" s="12">
        <v>43212</v>
      </c>
      <c r="B1573" s="10">
        <v>6</v>
      </c>
      <c r="C1573" s="10">
        <v>5.09</v>
      </c>
      <c r="D1573" s="10">
        <v>3.5</v>
      </c>
      <c r="E1573" s="10">
        <v>42.5</v>
      </c>
      <c r="F1573" s="10">
        <v>7</v>
      </c>
      <c r="G1573" s="10">
        <v>0</v>
      </c>
      <c r="H1573" s="10">
        <v>0</v>
      </c>
      <c r="I1573" s="10">
        <v>6.5</v>
      </c>
      <c r="J1573" s="10">
        <f>SUM(B1573:I1573)</f>
        <v>70.59</v>
      </c>
      <c r="K1573">
        <v>2018</v>
      </c>
      <c r="L1573">
        <v>4</v>
      </c>
      <c r="M1573" s="11">
        <v>43191</v>
      </c>
      <c r="N1573" t="s">
        <v>2176</v>
      </c>
      <c r="O1573">
        <v>7</v>
      </c>
      <c r="P1573" t="s">
        <v>59</v>
      </c>
      <c r="Q1573" t="b">
        <v>1</v>
      </c>
    </row>
    <row r="1574" spans="1:17">
      <c r="A1574" s="12">
        <v>43213</v>
      </c>
      <c r="B1574" s="10">
        <v>7</v>
      </c>
      <c r="C1574" s="10">
        <v>0.6929999999999999</v>
      </c>
      <c r="D1574" s="10">
        <v>1</v>
      </c>
      <c r="E1574" s="10">
        <v>15.562</v>
      </c>
      <c r="F1574" s="10">
        <v>7</v>
      </c>
      <c r="G1574" s="10">
        <v>0</v>
      </c>
      <c r="H1574" s="10">
        <v>2</v>
      </c>
      <c r="I1574" s="10">
        <v>9</v>
      </c>
      <c r="J1574" s="10">
        <f>SUM(B1574:I1574)</f>
        <v>42.254999999999995</v>
      </c>
      <c r="K1574">
        <v>2018</v>
      </c>
      <c r="L1574">
        <v>4</v>
      </c>
      <c r="M1574" s="11">
        <v>43191</v>
      </c>
      <c r="N1574" t="s">
        <v>2176</v>
      </c>
      <c r="O1574">
        <v>1</v>
      </c>
      <c r="P1574" t="s">
        <v>61</v>
      </c>
      <c r="Q1574" t="b">
        <v>1</v>
      </c>
    </row>
    <row r="1575" spans="1:17">
      <c r="A1575" s="12">
        <v>43214</v>
      </c>
      <c r="B1575" s="10">
        <v>6</v>
      </c>
      <c r="C1575" s="10">
        <v>4.462</v>
      </c>
      <c r="D1575" s="10">
        <v>6</v>
      </c>
      <c r="E1575" s="10">
        <v>20</v>
      </c>
      <c r="F1575" s="10">
        <v>9</v>
      </c>
      <c r="G1575" s="10">
        <v>0</v>
      </c>
      <c r="H1575" s="10">
        <v>1</v>
      </c>
      <c r="I1575" s="10">
        <v>12</v>
      </c>
      <c r="J1575" s="10">
        <f>SUM(B1575:I1575)</f>
        <v>58.462</v>
      </c>
      <c r="K1575">
        <v>2018</v>
      </c>
      <c r="L1575">
        <v>4</v>
      </c>
      <c r="M1575" s="11">
        <v>43191</v>
      </c>
      <c r="N1575" t="s">
        <v>2176</v>
      </c>
      <c r="O1575">
        <v>2</v>
      </c>
      <c r="P1575" t="s">
        <v>63</v>
      </c>
      <c r="Q1575" t="b">
        <v>1</v>
      </c>
    </row>
    <row r="1576" spans="1:17">
      <c r="A1576" s="12">
        <v>43215</v>
      </c>
      <c r="B1576" s="10">
        <v>9</v>
      </c>
      <c r="C1576" s="10">
        <v>7.66</v>
      </c>
      <c r="D1576" s="10">
        <v>5</v>
      </c>
      <c r="E1576" s="10">
        <v>18.1</v>
      </c>
      <c r="F1576" s="10">
        <v>8</v>
      </c>
      <c r="G1576" s="10">
        <v>2</v>
      </c>
      <c r="H1576" s="10">
        <v>30</v>
      </c>
      <c r="I1576" s="10">
        <v>9</v>
      </c>
      <c r="J1576" s="10">
        <f>SUM(B1576:I1576)</f>
        <v>88.76</v>
      </c>
      <c r="K1576">
        <v>2018</v>
      </c>
      <c r="L1576">
        <v>4</v>
      </c>
      <c r="M1576" s="11">
        <v>43191</v>
      </c>
      <c r="N1576" t="s">
        <v>2176</v>
      </c>
      <c r="O1576">
        <v>3</v>
      </c>
      <c r="P1576" t="s">
        <v>65</v>
      </c>
      <c r="Q1576" t="b">
        <v>1</v>
      </c>
    </row>
    <row r="1577" spans="1:17">
      <c r="A1577" s="12">
        <v>43216</v>
      </c>
      <c r="B1577" s="10">
        <v>5.33</v>
      </c>
      <c r="C1577" s="10">
        <v>1.099</v>
      </c>
      <c r="D1577" s="10">
        <v>2</v>
      </c>
      <c r="E1577" s="10">
        <v>18</v>
      </c>
      <c r="F1577" s="10">
        <v>8</v>
      </c>
      <c r="G1577" s="10">
        <v>0</v>
      </c>
      <c r="H1577" s="10">
        <v>7</v>
      </c>
      <c r="I1577" s="10">
        <v>5</v>
      </c>
      <c r="J1577" s="10">
        <f>SUM(B1577:I1577)</f>
        <v>46.429</v>
      </c>
      <c r="K1577">
        <v>2018</v>
      </c>
      <c r="L1577">
        <v>4</v>
      </c>
      <c r="M1577" s="11">
        <v>43191</v>
      </c>
      <c r="N1577" t="s">
        <v>2176</v>
      </c>
      <c r="O1577">
        <v>4</v>
      </c>
      <c r="P1577" t="s">
        <v>53</v>
      </c>
      <c r="Q1577" t="b">
        <v>1</v>
      </c>
    </row>
    <row r="1578" spans="1:17">
      <c r="A1578" s="12">
        <v>43217</v>
      </c>
      <c r="B1578" s="10">
        <v>6.68</v>
      </c>
      <c r="C1578" s="10">
        <v>3.529</v>
      </c>
      <c r="D1578" s="10">
        <v>3</v>
      </c>
      <c r="E1578" s="10">
        <v>43</v>
      </c>
      <c r="F1578" s="10">
        <v>12</v>
      </c>
      <c r="G1578" s="10">
        <v>0</v>
      </c>
      <c r="H1578" s="10">
        <v>6</v>
      </c>
      <c r="I1578" s="10">
        <v>4</v>
      </c>
      <c r="J1578" s="10">
        <f>SUM(B1578:I1578)</f>
        <v>78.209</v>
      </c>
      <c r="K1578">
        <v>2018</v>
      </c>
      <c r="L1578">
        <v>4</v>
      </c>
      <c r="M1578" s="11">
        <v>43191</v>
      </c>
      <c r="N1578" t="s">
        <v>2176</v>
      </c>
      <c r="O1578">
        <v>5</v>
      </c>
      <c r="P1578" t="s">
        <v>55</v>
      </c>
      <c r="Q1578" t="b">
        <v>1</v>
      </c>
    </row>
    <row r="1579" spans="1:17">
      <c r="A1579" s="12">
        <v>43218</v>
      </c>
      <c r="B1579" s="10">
        <v>9.33</v>
      </c>
      <c r="C1579" s="10">
        <v>2</v>
      </c>
      <c r="D1579" s="10">
        <v>2.05</v>
      </c>
      <c r="E1579" s="10">
        <v>27.25</v>
      </c>
      <c r="F1579" s="10">
        <v>11</v>
      </c>
      <c r="G1579" s="10">
        <v>1</v>
      </c>
      <c r="H1579" s="10">
        <v>6</v>
      </c>
      <c r="I1579" s="10">
        <v>7</v>
      </c>
      <c r="J1579" s="10">
        <f>SUM(B1579:I1579)</f>
        <v>65.63</v>
      </c>
      <c r="K1579">
        <v>2018</v>
      </c>
      <c r="L1579">
        <v>4</v>
      </c>
      <c r="M1579" s="11">
        <v>43191</v>
      </c>
      <c r="N1579" t="s">
        <v>2176</v>
      </c>
      <c r="O1579">
        <v>6</v>
      </c>
      <c r="P1579" t="s">
        <v>57</v>
      </c>
      <c r="Q1579" t="b">
        <v>1</v>
      </c>
    </row>
    <row r="1580" spans="1:17">
      <c r="A1580" s="12">
        <v>43219</v>
      </c>
      <c r="B1580" s="10">
        <v>7.33</v>
      </c>
      <c r="C1580" s="10">
        <v>6</v>
      </c>
      <c r="D1580" s="10">
        <v>6</v>
      </c>
      <c r="E1580" s="10">
        <v>14</v>
      </c>
      <c r="F1580" s="10">
        <v>5</v>
      </c>
      <c r="G1580" s="10">
        <v>0</v>
      </c>
      <c r="H1580" s="10">
        <v>14</v>
      </c>
      <c r="I1580" s="10">
        <v>10.4</v>
      </c>
      <c r="J1580" s="10">
        <f>SUM(B1580:I1580)</f>
        <v>62.73</v>
      </c>
      <c r="K1580">
        <v>2018</v>
      </c>
      <c r="L1580">
        <v>4</v>
      </c>
      <c r="M1580" s="11">
        <v>43191</v>
      </c>
      <c r="N1580" t="s">
        <v>2176</v>
      </c>
      <c r="O1580">
        <v>7</v>
      </c>
      <c r="P1580" t="s">
        <v>59</v>
      </c>
      <c r="Q1580" t="b">
        <v>1</v>
      </c>
    </row>
    <row r="1581" spans="1:17">
      <c r="A1581" s="12">
        <v>43220</v>
      </c>
      <c r="B1581" s="10">
        <v>5</v>
      </c>
      <c r="C1581" s="10">
        <v>6.66</v>
      </c>
      <c r="D1581" s="10">
        <v>3</v>
      </c>
      <c r="E1581" s="10">
        <v>14.125</v>
      </c>
      <c r="F1581" s="10">
        <v>12</v>
      </c>
      <c r="G1581" s="10">
        <v>0</v>
      </c>
      <c r="H1581" s="10">
        <v>1</v>
      </c>
      <c r="I1581" s="10">
        <v>7</v>
      </c>
      <c r="J1581" s="10">
        <f>SUM(B1581:I1581)</f>
        <v>48.785</v>
      </c>
      <c r="K1581">
        <v>2018</v>
      </c>
      <c r="L1581">
        <v>4</v>
      </c>
      <c r="M1581" s="11">
        <v>43191</v>
      </c>
      <c r="N1581" t="s">
        <v>2176</v>
      </c>
      <c r="O1581">
        <v>1</v>
      </c>
      <c r="P1581" t="s">
        <v>61</v>
      </c>
      <c r="Q1581" t="b">
        <v>1</v>
      </c>
    </row>
    <row r="1582" spans="1:17">
      <c r="A1582" s="12">
        <v>43221</v>
      </c>
      <c r="B1582" s="10">
        <v>2.34</v>
      </c>
      <c r="C1582" s="10">
        <v>0</v>
      </c>
      <c r="D1582" s="10">
        <v>1</v>
      </c>
      <c r="E1582" s="10">
        <v>6.2</v>
      </c>
      <c r="F1582" s="10">
        <v>0</v>
      </c>
      <c r="G1582" s="10">
        <v>0</v>
      </c>
      <c r="H1582" s="10">
        <v>1</v>
      </c>
      <c r="I1582" s="10">
        <v>8</v>
      </c>
      <c r="J1582" s="10">
        <f>SUM(B1582:I1582)</f>
        <v>18.54</v>
      </c>
      <c r="K1582">
        <v>2018</v>
      </c>
      <c r="L1582">
        <v>5</v>
      </c>
      <c r="M1582" s="11">
        <v>43221</v>
      </c>
      <c r="N1582" t="s">
        <v>2177</v>
      </c>
      <c r="O1582">
        <v>2</v>
      </c>
      <c r="P1582" t="s">
        <v>63</v>
      </c>
      <c r="Q1582" t="b">
        <v>1</v>
      </c>
    </row>
    <row r="1583" spans="1:17">
      <c r="A1583" s="12">
        <v>43222</v>
      </c>
      <c r="B1583" s="10">
        <v>6</v>
      </c>
      <c r="C1583" s="10">
        <v>3.526</v>
      </c>
      <c r="D1583" s="10">
        <v>2</v>
      </c>
      <c r="E1583" s="10">
        <v>38.2</v>
      </c>
      <c r="F1583" s="10">
        <v>7</v>
      </c>
      <c r="G1583" s="10">
        <v>0</v>
      </c>
      <c r="H1583" s="10">
        <v>3</v>
      </c>
      <c r="I1583" s="10">
        <v>9</v>
      </c>
      <c r="J1583" s="10">
        <f>SUM(B1583:I1583)</f>
        <v>68.726</v>
      </c>
      <c r="K1583">
        <v>2018</v>
      </c>
      <c r="L1583">
        <v>5</v>
      </c>
      <c r="M1583" s="11">
        <v>43221</v>
      </c>
      <c r="N1583" t="s">
        <v>2177</v>
      </c>
      <c r="O1583">
        <v>3</v>
      </c>
      <c r="P1583" t="s">
        <v>65</v>
      </c>
      <c r="Q1583" t="b">
        <v>1</v>
      </c>
    </row>
    <row r="1584" spans="1:17">
      <c r="A1584" s="12">
        <v>43223</v>
      </c>
      <c r="B1584" s="10">
        <v>2.33</v>
      </c>
      <c r="C1584" s="10">
        <v>1.779</v>
      </c>
      <c r="D1584" s="10">
        <v>2</v>
      </c>
      <c r="E1584" s="10">
        <v>27.262</v>
      </c>
      <c r="F1584" s="10">
        <v>10</v>
      </c>
      <c r="G1584" s="10">
        <v>0</v>
      </c>
      <c r="H1584" s="10">
        <v>16</v>
      </c>
      <c r="I1584" s="10">
        <v>10</v>
      </c>
      <c r="J1584" s="10">
        <f>SUM(B1584:I1584)</f>
        <v>69.37100000000001</v>
      </c>
      <c r="K1584">
        <v>2018</v>
      </c>
      <c r="L1584">
        <v>5</v>
      </c>
      <c r="M1584" s="11">
        <v>43221</v>
      </c>
      <c r="N1584" t="s">
        <v>2177</v>
      </c>
      <c r="O1584">
        <v>4</v>
      </c>
      <c r="P1584" t="s">
        <v>53</v>
      </c>
      <c r="Q1584" t="b">
        <v>1</v>
      </c>
    </row>
    <row r="1585" spans="1:17">
      <c r="A1585" s="12">
        <v>43224</v>
      </c>
      <c r="B1585" s="10">
        <v>1</v>
      </c>
      <c r="C1585" s="10">
        <v>2.93</v>
      </c>
      <c r="D1585" s="10">
        <v>5</v>
      </c>
      <c r="E1585" s="10">
        <v>8.75</v>
      </c>
      <c r="F1585" s="10">
        <v>6</v>
      </c>
      <c r="G1585" s="10">
        <v>0</v>
      </c>
      <c r="H1585" s="10">
        <v>2</v>
      </c>
      <c r="I1585" s="10">
        <v>10.5</v>
      </c>
      <c r="J1585" s="10">
        <f>SUM(B1585:I1585)</f>
        <v>36.18</v>
      </c>
      <c r="K1585">
        <v>2018</v>
      </c>
      <c r="L1585">
        <v>5</v>
      </c>
      <c r="M1585" s="11">
        <v>43221</v>
      </c>
      <c r="N1585" t="s">
        <v>2177</v>
      </c>
      <c r="O1585">
        <v>5</v>
      </c>
      <c r="P1585" t="s">
        <v>55</v>
      </c>
      <c r="Q1585" t="b">
        <v>1</v>
      </c>
    </row>
    <row r="1586" spans="1:17">
      <c r="A1586" s="12">
        <v>43225</v>
      </c>
      <c r="B1586" s="10">
        <v>9</v>
      </c>
      <c r="C1586" s="10">
        <v>3.34</v>
      </c>
      <c r="D1586" s="10">
        <v>5</v>
      </c>
      <c r="E1586" s="10">
        <v>24</v>
      </c>
      <c r="F1586" s="10">
        <v>9</v>
      </c>
      <c r="G1586" s="10">
        <v>0</v>
      </c>
      <c r="H1586" s="10">
        <v>0</v>
      </c>
      <c r="I1586" s="10">
        <v>7</v>
      </c>
      <c r="J1586" s="10">
        <f>SUM(B1586:I1586)</f>
        <v>57.34</v>
      </c>
      <c r="K1586">
        <v>2018</v>
      </c>
      <c r="L1586">
        <v>5</v>
      </c>
      <c r="M1586" s="11">
        <v>43221</v>
      </c>
      <c r="N1586" t="s">
        <v>2177</v>
      </c>
      <c r="O1586">
        <v>6</v>
      </c>
      <c r="P1586" t="s">
        <v>57</v>
      </c>
      <c r="Q1586" t="b">
        <v>1</v>
      </c>
    </row>
    <row r="1587" spans="1:17">
      <c r="A1587" s="12">
        <v>43226</v>
      </c>
      <c r="B1587" s="10">
        <v>3.34</v>
      </c>
      <c r="C1587" s="10">
        <v>10.66</v>
      </c>
      <c r="D1587" s="10">
        <v>0.25</v>
      </c>
      <c r="E1587" s="10">
        <v>18.2</v>
      </c>
      <c r="F1587" s="10">
        <v>9</v>
      </c>
      <c r="G1587" s="10">
        <v>0</v>
      </c>
      <c r="H1587" s="10">
        <v>3</v>
      </c>
      <c r="I1587" s="10">
        <v>13.5</v>
      </c>
      <c r="J1587" s="10">
        <f>SUM(B1587:I1587)</f>
        <v>57.95</v>
      </c>
      <c r="K1587">
        <v>2018</v>
      </c>
      <c r="L1587">
        <v>5</v>
      </c>
      <c r="M1587" s="11">
        <v>43221</v>
      </c>
      <c r="N1587" t="s">
        <v>2177</v>
      </c>
      <c r="O1587">
        <v>7</v>
      </c>
      <c r="P1587" t="s">
        <v>59</v>
      </c>
      <c r="Q1587" t="b">
        <v>1</v>
      </c>
    </row>
    <row r="1588" spans="1:17">
      <c r="A1588" s="12">
        <v>43227</v>
      </c>
      <c r="B1588" s="10">
        <v>9.66</v>
      </c>
      <c r="C1588" s="10">
        <v>0.033</v>
      </c>
      <c r="D1588" s="10">
        <v>0</v>
      </c>
      <c r="E1588" s="10">
        <v>22</v>
      </c>
      <c r="F1588" s="10">
        <v>13</v>
      </c>
      <c r="G1588" s="10">
        <v>0</v>
      </c>
      <c r="H1588" s="10">
        <v>7</v>
      </c>
      <c r="I1588" s="10">
        <v>3</v>
      </c>
      <c r="J1588" s="10">
        <f>SUM(B1588:I1588)</f>
        <v>54.693</v>
      </c>
      <c r="K1588">
        <v>2018</v>
      </c>
      <c r="L1588">
        <v>5</v>
      </c>
      <c r="M1588" s="11">
        <v>43221</v>
      </c>
      <c r="N1588" t="s">
        <v>2177</v>
      </c>
      <c r="O1588">
        <v>1</v>
      </c>
      <c r="P1588" t="s">
        <v>61</v>
      </c>
      <c r="Q1588" t="b">
        <v>1</v>
      </c>
    </row>
    <row r="1589" spans="1:17">
      <c r="A1589" s="12">
        <v>43228</v>
      </c>
      <c r="B1589" s="10">
        <v>10.5</v>
      </c>
      <c r="C1589" s="10">
        <v>5.84</v>
      </c>
      <c r="D1589" s="10">
        <v>1</v>
      </c>
      <c r="E1589" s="10">
        <v>15</v>
      </c>
      <c r="F1589" s="10">
        <v>14</v>
      </c>
      <c r="G1589" s="10">
        <v>2</v>
      </c>
      <c r="H1589" s="10">
        <v>1</v>
      </c>
      <c r="I1589" s="10">
        <v>9</v>
      </c>
      <c r="J1589" s="10">
        <f>SUM(B1589:I1589)</f>
        <v>58.34</v>
      </c>
      <c r="K1589">
        <v>2018</v>
      </c>
      <c r="L1589">
        <v>5</v>
      </c>
      <c r="M1589" s="11">
        <v>43221</v>
      </c>
      <c r="N1589" t="s">
        <v>2177</v>
      </c>
      <c r="O1589">
        <v>2</v>
      </c>
      <c r="P1589" t="s">
        <v>63</v>
      </c>
      <c r="Q1589" t="b">
        <v>1</v>
      </c>
    </row>
    <row r="1590" spans="1:17">
      <c r="A1590" s="12">
        <v>43229</v>
      </c>
      <c r="B1590" s="10">
        <v>9.34</v>
      </c>
      <c r="C1590" s="10">
        <v>2.33</v>
      </c>
      <c r="D1590" s="10">
        <v>7</v>
      </c>
      <c r="E1590" s="10">
        <v>24.4</v>
      </c>
      <c r="F1590" s="10">
        <v>8</v>
      </c>
      <c r="G1590" s="10">
        <v>2</v>
      </c>
      <c r="H1590" s="10">
        <v>2</v>
      </c>
      <c r="I1590" s="10">
        <v>5</v>
      </c>
      <c r="J1590" s="10">
        <f>SUM(B1590:I1590)</f>
        <v>60.07</v>
      </c>
      <c r="K1590">
        <v>2018</v>
      </c>
      <c r="L1590">
        <v>5</v>
      </c>
      <c r="M1590" s="11">
        <v>43221</v>
      </c>
      <c r="N1590" t="s">
        <v>2177</v>
      </c>
      <c r="O1590">
        <v>3</v>
      </c>
      <c r="P1590" t="s">
        <v>65</v>
      </c>
      <c r="Q1590" t="b">
        <v>1</v>
      </c>
    </row>
    <row r="1591" spans="1:17">
      <c r="A1591" s="12">
        <v>43230</v>
      </c>
      <c r="B1591" s="10">
        <v>8.5</v>
      </c>
      <c r="C1591" s="10">
        <v>5.32</v>
      </c>
      <c r="D1591" s="10">
        <v>6</v>
      </c>
      <c r="E1591" s="10">
        <v>39</v>
      </c>
      <c r="F1591" s="10">
        <v>12</v>
      </c>
      <c r="G1591" s="10">
        <v>0</v>
      </c>
      <c r="H1591" s="10">
        <v>1</v>
      </c>
      <c r="I1591" s="10">
        <v>6</v>
      </c>
      <c r="J1591" s="10">
        <f>SUM(B1591:I1591)</f>
        <v>77.82</v>
      </c>
      <c r="K1591">
        <v>2018</v>
      </c>
      <c r="L1591">
        <v>5</v>
      </c>
      <c r="M1591" s="11">
        <v>43221</v>
      </c>
      <c r="N1591" t="s">
        <v>2177</v>
      </c>
      <c r="O1591">
        <v>4</v>
      </c>
      <c r="P1591" t="s">
        <v>53</v>
      </c>
      <c r="Q1591" t="b">
        <v>1</v>
      </c>
    </row>
    <row r="1592" spans="1:17">
      <c r="A1592" s="12">
        <v>43231</v>
      </c>
      <c r="B1592" s="10">
        <v>9.33</v>
      </c>
      <c r="C1592" s="10">
        <v>1.34</v>
      </c>
      <c r="D1592" s="10">
        <v>3</v>
      </c>
      <c r="E1592" s="10">
        <v>19</v>
      </c>
      <c r="F1592" s="10">
        <v>6</v>
      </c>
      <c r="G1592" s="10">
        <v>0</v>
      </c>
      <c r="H1592" s="10">
        <v>2</v>
      </c>
      <c r="I1592" s="10">
        <v>10</v>
      </c>
      <c r="J1592" s="10">
        <f>SUM(B1592:I1592)</f>
        <v>50.67</v>
      </c>
      <c r="K1592">
        <v>2018</v>
      </c>
      <c r="L1592">
        <v>5</v>
      </c>
      <c r="M1592" s="11">
        <v>43221</v>
      </c>
      <c r="N1592" t="s">
        <v>2177</v>
      </c>
      <c r="O1592">
        <v>5</v>
      </c>
      <c r="P1592" t="s">
        <v>55</v>
      </c>
      <c r="Q1592" t="b">
        <v>1</v>
      </c>
    </row>
    <row r="1593" spans="1:17">
      <c r="A1593" s="12">
        <v>43232</v>
      </c>
      <c r="B1593" s="10">
        <v>1.33</v>
      </c>
      <c r="C1593" s="10">
        <v>3.66</v>
      </c>
      <c r="D1593" s="10">
        <v>5.15</v>
      </c>
      <c r="E1593" s="10">
        <v>27</v>
      </c>
      <c r="F1593" s="10">
        <v>10</v>
      </c>
      <c r="G1593" s="10">
        <v>0</v>
      </c>
      <c r="H1593" s="10">
        <v>11</v>
      </c>
      <c r="I1593" s="10">
        <v>8</v>
      </c>
      <c r="J1593" s="10">
        <f>SUM(B1593:I1593)</f>
        <v>66.14</v>
      </c>
      <c r="K1593">
        <v>2018</v>
      </c>
      <c r="L1593">
        <v>5</v>
      </c>
      <c r="M1593" s="11">
        <v>43221</v>
      </c>
      <c r="N1593" t="s">
        <v>2177</v>
      </c>
      <c r="O1593">
        <v>6</v>
      </c>
      <c r="P1593" t="s">
        <v>57</v>
      </c>
      <c r="Q1593" t="b">
        <v>1</v>
      </c>
    </row>
    <row r="1594" spans="1:17">
      <c r="A1594" s="12">
        <v>43233</v>
      </c>
      <c r="B1594" s="10">
        <v>5.16</v>
      </c>
      <c r="C1594" s="10">
        <v>5.759</v>
      </c>
      <c r="D1594" s="10">
        <v>3</v>
      </c>
      <c r="E1594" s="10">
        <v>14.4</v>
      </c>
      <c r="F1594" s="10">
        <v>3</v>
      </c>
      <c r="G1594" s="10">
        <v>0</v>
      </c>
      <c r="H1594" s="10">
        <v>7</v>
      </c>
      <c r="I1594" s="10">
        <v>10</v>
      </c>
      <c r="J1594" s="10">
        <f>SUM(B1594:I1594)</f>
        <v>48.319</v>
      </c>
      <c r="K1594">
        <v>2018</v>
      </c>
      <c r="L1594">
        <v>5</v>
      </c>
      <c r="M1594" s="11">
        <v>43221</v>
      </c>
      <c r="N1594" t="s">
        <v>2177</v>
      </c>
      <c r="O1594">
        <v>7</v>
      </c>
      <c r="P1594" t="s">
        <v>59</v>
      </c>
      <c r="Q1594" t="b">
        <v>1</v>
      </c>
    </row>
    <row r="1595" spans="1:17">
      <c r="A1595" s="12">
        <v>43234</v>
      </c>
      <c r="B1595" s="10">
        <v>6</v>
      </c>
      <c r="C1595" s="10">
        <v>6.539</v>
      </c>
      <c r="D1595" s="10">
        <v>1</v>
      </c>
      <c r="E1595" s="10">
        <v>20</v>
      </c>
      <c r="F1595" s="10">
        <v>4</v>
      </c>
      <c r="G1595" s="10">
        <v>1</v>
      </c>
      <c r="H1595" s="10">
        <v>37</v>
      </c>
      <c r="I1595" s="10">
        <v>3</v>
      </c>
      <c r="J1595" s="10">
        <f>SUM(B1595:I1595)</f>
        <v>78.539</v>
      </c>
      <c r="K1595">
        <v>2018</v>
      </c>
      <c r="L1595">
        <v>5</v>
      </c>
      <c r="M1595" s="11">
        <v>43221</v>
      </c>
      <c r="N1595" t="s">
        <v>2177</v>
      </c>
      <c r="O1595">
        <v>1</v>
      </c>
      <c r="P1595" t="s">
        <v>61</v>
      </c>
      <c r="Q1595" t="b">
        <v>1</v>
      </c>
    </row>
    <row r="1596" spans="1:17">
      <c r="A1596" s="12">
        <v>43235</v>
      </c>
      <c r="B1596" s="10">
        <v>4</v>
      </c>
      <c r="C1596" s="10">
        <v>0.67</v>
      </c>
      <c r="D1596" s="10">
        <v>2</v>
      </c>
      <c r="E1596" s="10">
        <v>14</v>
      </c>
      <c r="F1596" s="10">
        <v>11</v>
      </c>
      <c r="G1596" s="10">
        <v>0</v>
      </c>
      <c r="H1596" s="10">
        <v>5</v>
      </c>
      <c r="I1596" s="10">
        <v>7</v>
      </c>
      <c r="J1596" s="10">
        <f>SUM(B1596:I1596)</f>
        <v>43.67</v>
      </c>
      <c r="K1596">
        <v>2018</v>
      </c>
      <c r="L1596">
        <v>5</v>
      </c>
      <c r="M1596" s="11">
        <v>43221</v>
      </c>
      <c r="N1596" t="s">
        <v>2177</v>
      </c>
      <c r="O1596">
        <v>2</v>
      </c>
      <c r="P1596" t="s">
        <v>63</v>
      </c>
      <c r="Q1596" t="b">
        <v>1</v>
      </c>
    </row>
    <row r="1597" spans="1:17">
      <c r="A1597" s="12">
        <v>43236</v>
      </c>
      <c r="B1597" s="10">
        <v>4.01</v>
      </c>
      <c r="C1597" s="10">
        <v>2.33</v>
      </c>
      <c r="D1597" s="10">
        <v>2.5</v>
      </c>
      <c r="E1597" s="10">
        <v>13.4</v>
      </c>
      <c r="F1597" s="10">
        <v>9</v>
      </c>
      <c r="G1597" s="10">
        <v>0</v>
      </c>
      <c r="H1597" s="10">
        <v>2</v>
      </c>
      <c r="I1597" s="10">
        <v>8</v>
      </c>
      <c r="J1597" s="10">
        <f>SUM(B1597:I1597)</f>
        <v>41.24</v>
      </c>
      <c r="K1597">
        <v>2018</v>
      </c>
      <c r="L1597">
        <v>5</v>
      </c>
      <c r="M1597" s="11">
        <v>43221</v>
      </c>
      <c r="N1597" t="s">
        <v>2177</v>
      </c>
      <c r="O1597">
        <v>3</v>
      </c>
      <c r="P1597" t="s">
        <v>65</v>
      </c>
      <c r="Q1597" t="b">
        <v>1</v>
      </c>
    </row>
    <row r="1598" spans="1:17">
      <c r="A1598" s="12">
        <v>43237</v>
      </c>
      <c r="B1598" s="10">
        <v>2</v>
      </c>
      <c r="C1598" s="10">
        <v>2.78</v>
      </c>
      <c r="D1598" s="10">
        <v>3.5</v>
      </c>
      <c r="E1598" s="10">
        <v>16</v>
      </c>
      <c r="F1598" s="10">
        <v>11</v>
      </c>
      <c r="G1598" s="10">
        <v>0</v>
      </c>
      <c r="H1598" s="10">
        <v>1</v>
      </c>
      <c r="I1598" s="10">
        <v>4</v>
      </c>
      <c r="J1598" s="10">
        <f>SUM(B1598:I1598)</f>
        <v>40.28</v>
      </c>
      <c r="K1598">
        <v>2018</v>
      </c>
      <c r="L1598">
        <v>5</v>
      </c>
      <c r="M1598" s="11">
        <v>43221</v>
      </c>
      <c r="N1598" t="s">
        <v>2177</v>
      </c>
      <c r="O1598">
        <v>4</v>
      </c>
      <c r="P1598" t="s">
        <v>53</v>
      </c>
      <c r="Q1598" t="b">
        <v>1</v>
      </c>
    </row>
    <row r="1599" spans="1:17">
      <c r="A1599" s="12">
        <v>43238</v>
      </c>
      <c r="B1599" s="10">
        <v>2.34</v>
      </c>
      <c r="C1599" s="10">
        <v>1.396</v>
      </c>
      <c r="D1599" s="10">
        <v>6</v>
      </c>
      <c r="E1599" s="10">
        <v>30</v>
      </c>
      <c r="F1599" s="10">
        <v>11</v>
      </c>
      <c r="G1599" s="10">
        <v>0</v>
      </c>
      <c r="H1599" s="10">
        <v>2</v>
      </c>
      <c r="I1599" s="10">
        <v>2.4</v>
      </c>
      <c r="J1599" s="10">
        <f>SUM(B1599:I1599)</f>
        <v>55.136</v>
      </c>
      <c r="K1599">
        <v>2018</v>
      </c>
      <c r="L1599">
        <v>5</v>
      </c>
      <c r="M1599" s="11">
        <v>43221</v>
      </c>
      <c r="N1599" t="s">
        <v>2177</v>
      </c>
      <c r="O1599">
        <v>5</v>
      </c>
      <c r="P1599" t="s">
        <v>55</v>
      </c>
      <c r="Q1599" t="b">
        <v>1</v>
      </c>
    </row>
    <row r="1600" spans="1:17">
      <c r="A1600" s="12">
        <v>43239</v>
      </c>
      <c r="B1600" s="10">
        <v>2.34</v>
      </c>
      <c r="C1600" s="10">
        <v>2.561</v>
      </c>
      <c r="D1600" s="10">
        <v>1</v>
      </c>
      <c r="E1600" s="10">
        <v>18.4</v>
      </c>
      <c r="F1600" s="10">
        <v>7</v>
      </c>
      <c r="G1600" s="10">
        <v>5</v>
      </c>
      <c r="H1600" s="10">
        <v>0</v>
      </c>
      <c r="I1600" s="10">
        <v>5</v>
      </c>
      <c r="J1600" s="10">
        <f>SUM(B1600:I1600)</f>
        <v>41.301</v>
      </c>
      <c r="K1600">
        <v>2018</v>
      </c>
      <c r="L1600">
        <v>5</v>
      </c>
      <c r="M1600" s="11">
        <v>43221</v>
      </c>
      <c r="N1600" t="s">
        <v>2177</v>
      </c>
      <c r="O1600">
        <v>6</v>
      </c>
      <c r="P1600" t="s">
        <v>57</v>
      </c>
      <c r="Q1600" t="b">
        <v>1</v>
      </c>
    </row>
    <row r="1601" spans="1:17">
      <c r="A1601" s="12">
        <v>43240</v>
      </c>
      <c r="B1601" s="10">
        <v>7</v>
      </c>
      <c r="C1601" s="10">
        <v>8.01</v>
      </c>
      <c r="D1601" s="10">
        <v>1</v>
      </c>
      <c r="E1601" s="10">
        <v>45</v>
      </c>
      <c r="F1601" s="10">
        <v>6</v>
      </c>
      <c r="G1601" s="10">
        <v>1</v>
      </c>
      <c r="H1601" s="10">
        <v>0</v>
      </c>
      <c r="I1601" s="10">
        <v>10</v>
      </c>
      <c r="J1601" s="10">
        <f>SUM(B1601:I1601)</f>
        <v>78.00999999999999</v>
      </c>
      <c r="K1601">
        <v>2018</v>
      </c>
      <c r="L1601">
        <v>5</v>
      </c>
      <c r="M1601" s="11">
        <v>43221</v>
      </c>
      <c r="N1601" t="s">
        <v>2177</v>
      </c>
      <c r="O1601">
        <v>7</v>
      </c>
      <c r="P1601" t="s">
        <v>59</v>
      </c>
      <c r="Q1601" t="b">
        <v>1</v>
      </c>
    </row>
    <row r="1602" spans="1:17">
      <c r="A1602" s="12">
        <v>43241</v>
      </c>
      <c r="B1602" s="10">
        <v>12</v>
      </c>
      <c r="C1602" s="10">
        <v>2.759</v>
      </c>
      <c r="D1602" s="10">
        <v>2.15</v>
      </c>
      <c r="E1602" s="10">
        <v>14.6</v>
      </c>
      <c r="F1602" s="10">
        <v>18</v>
      </c>
      <c r="G1602" s="10">
        <v>0</v>
      </c>
      <c r="H1602" s="10">
        <v>11</v>
      </c>
      <c r="I1602" s="10">
        <v>5</v>
      </c>
      <c r="J1602" s="10">
        <f>SUM(B1602:I1602)</f>
        <v>65.509</v>
      </c>
      <c r="K1602">
        <v>2018</v>
      </c>
      <c r="L1602">
        <v>5</v>
      </c>
      <c r="M1602" s="11">
        <v>43221</v>
      </c>
      <c r="N1602" t="s">
        <v>2177</v>
      </c>
      <c r="O1602">
        <v>1</v>
      </c>
      <c r="P1602" t="s">
        <v>61</v>
      </c>
      <c r="Q1602" t="b">
        <v>1</v>
      </c>
    </row>
    <row r="1603" spans="1:17">
      <c r="A1603" s="12">
        <v>43242</v>
      </c>
      <c r="B1603" s="10">
        <v>3.67</v>
      </c>
      <c r="C1603" s="10">
        <v>2.33</v>
      </c>
      <c r="D1603" s="10">
        <v>3</v>
      </c>
      <c r="E1603" s="10">
        <v>8.061999999999999</v>
      </c>
      <c r="F1603" s="10">
        <v>7</v>
      </c>
      <c r="G1603" s="10">
        <v>0</v>
      </c>
      <c r="H1603" s="10">
        <v>6</v>
      </c>
      <c r="I1603" s="10">
        <v>6</v>
      </c>
      <c r="J1603" s="10">
        <f>SUM(B1603:I1603)</f>
        <v>36.062</v>
      </c>
      <c r="K1603">
        <v>2018</v>
      </c>
      <c r="L1603">
        <v>5</v>
      </c>
      <c r="M1603" s="11">
        <v>43221</v>
      </c>
      <c r="N1603" t="s">
        <v>2177</v>
      </c>
      <c r="O1603">
        <v>2</v>
      </c>
      <c r="P1603" t="s">
        <v>63</v>
      </c>
      <c r="Q1603" t="b">
        <v>1</v>
      </c>
    </row>
    <row r="1604" spans="1:17">
      <c r="A1604" s="12">
        <v>43243</v>
      </c>
      <c r="B1604" s="10">
        <v>1.5</v>
      </c>
      <c r="C1604" s="10">
        <v>3.66</v>
      </c>
      <c r="D1604" s="10">
        <v>0</v>
      </c>
      <c r="E1604" s="10">
        <v>11</v>
      </c>
      <c r="F1604" s="10">
        <v>7</v>
      </c>
      <c r="G1604" s="10">
        <v>0</v>
      </c>
      <c r="H1604" s="10">
        <v>0</v>
      </c>
      <c r="I1604" s="10">
        <v>7</v>
      </c>
      <c r="J1604" s="10">
        <f>SUM(B1604:I1604)</f>
        <v>30.16</v>
      </c>
      <c r="K1604">
        <v>2018</v>
      </c>
      <c r="L1604">
        <v>5</v>
      </c>
      <c r="M1604" s="11">
        <v>43221</v>
      </c>
      <c r="N1604" t="s">
        <v>2177</v>
      </c>
      <c r="O1604">
        <v>3</v>
      </c>
      <c r="P1604" t="s">
        <v>65</v>
      </c>
      <c r="Q1604" t="b">
        <v>1</v>
      </c>
    </row>
    <row r="1605" spans="1:17">
      <c r="A1605" s="12">
        <v>43244</v>
      </c>
      <c r="B1605" s="10">
        <v>2</v>
      </c>
      <c r="C1605" s="10">
        <v>1.99</v>
      </c>
      <c r="D1605" s="10">
        <v>5</v>
      </c>
      <c r="E1605" s="10">
        <v>20.2</v>
      </c>
      <c r="F1605" s="10">
        <v>6</v>
      </c>
      <c r="G1605" s="10">
        <v>1</v>
      </c>
      <c r="H1605" s="10">
        <v>10</v>
      </c>
      <c r="I1605" s="10">
        <v>1</v>
      </c>
      <c r="J1605" s="10">
        <f>SUM(B1605:I1605)</f>
        <v>47.19</v>
      </c>
      <c r="K1605">
        <v>2018</v>
      </c>
      <c r="L1605">
        <v>5</v>
      </c>
      <c r="M1605" s="11">
        <v>43221</v>
      </c>
      <c r="N1605" t="s">
        <v>2177</v>
      </c>
      <c r="O1605">
        <v>4</v>
      </c>
      <c r="P1605" t="s">
        <v>53</v>
      </c>
      <c r="Q1605" t="b">
        <v>1</v>
      </c>
    </row>
    <row r="1606" spans="1:17">
      <c r="A1606" s="12">
        <v>43245</v>
      </c>
      <c r="B1606" s="10">
        <v>2.33</v>
      </c>
      <c r="C1606" s="10">
        <v>2.33</v>
      </c>
      <c r="D1606" s="10">
        <v>2</v>
      </c>
      <c r="E1606" s="10">
        <v>16.4</v>
      </c>
      <c r="F1606" s="10">
        <v>9</v>
      </c>
      <c r="G1606" s="10">
        <v>0</v>
      </c>
      <c r="H1606" s="10">
        <v>1</v>
      </c>
      <c r="I1606" s="10">
        <v>2</v>
      </c>
      <c r="J1606" s="10">
        <f>SUM(B1606:I1606)</f>
        <v>35.06</v>
      </c>
      <c r="K1606">
        <v>2018</v>
      </c>
      <c r="L1606">
        <v>5</v>
      </c>
      <c r="M1606" s="11">
        <v>43221</v>
      </c>
      <c r="N1606" t="s">
        <v>2177</v>
      </c>
      <c r="O1606">
        <v>5</v>
      </c>
      <c r="P1606" t="s">
        <v>55</v>
      </c>
      <c r="Q1606" t="b">
        <v>1</v>
      </c>
    </row>
    <row r="1607" spans="1:17">
      <c r="A1607" s="12">
        <v>43246</v>
      </c>
      <c r="B1607" s="10">
        <v>3.33</v>
      </c>
      <c r="C1607" s="10">
        <v>2.759</v>
      </c>
      <c r="D1607" s="10">
        <v>7</v>
      </c>
      <c r="E1607" s="10">
        <v>16.262</v>
      </c>
      <c r="F1607" s="10">
        <v>7</v>
      </c>
      <c r="G1607" s="10">
        <v>0</v>
      </c>
      <c r="H1607" s="10">
        <v>3</v>
      </c>
      <c r="I1607" s="10">
        <v>5</v>
      </c>
      <c r="J1607" s="10">
        <f>SUM(B1607:I1607)</f>
        <v>44.351</v>
      </c>
      <c r="K1607">
        <v>2018</v>
      </c>
      <c r="L1607">
        <v>5</v>
      </c>
      <c r="M1607" s="11">
        <v>43221</v>
      </c>
      <c r="N1607" t="s">
        <v>2177</v>
      </c>
      <c r="O1607">
        <v>6</v>
      </c>
      <c r="P1607" t="s">
        <v>57</v>
      </c>
      <c r="Q1607" t="b">
        <v>1</v>
      </c>
    </row>
    <row r="1608" spans="1:17">
      <c r="A1608" s="12">
        <v>43247</v>
      </c>
      <c r="B1608" s="10">
        <v>6.33</v>
      </c>
      <c r="C1608" s="10">
        <v>4.518</v>
      </c>
      <c r="D1608" s="10">
        <v>5</v>
      </c>
      <c r="E1608" s="10">
        <v>49.262</v>
      </c>
      <c r="F1608" s="10">
        <v>6</v>
      </c>
      <c r="G1608" s="10">
        <v>1</v>
      </c>
      <c r="H1608" s="10">
        <v>0</v>
      </c>
      <c r="I1608" s="10">
        <v>11</v>
      </c>
      <c r="J1608" s="10">
        <f>SUM(B1608:I1608)</f>
        <v>83.11</v>
      </c>
      <c r="K1608">
        <v>2018</v>
      </c>
      <c r="L1608">
        <v>5</v>
      </c>
      <c r="M1608" s="11">
        <v>43221</v>
      </c>
      <c r="N1608" t="s">
        <v>2177</v>
      </c>
      <c r="O1608">
        <v>7</v>
      </c>
      <c r="P1608" t="s">
        <v>59</v>
      </c>
      <c r="Q1608" t="b">
        <v>1</v>
      </c>
    </row>
    <row r="1609" spans="1:17">
      <c r="A1609" s="12">
        <v>43248</v>
      </c>
      <c r="B1609" s="10">
        <v>7</v>
      </c>
      <c r="C1609" s="10">
        <v>3.01</v>
      </c>
      <c r="D1609" s="10">
        <v>1.2</v>
      </c>
      <c r="E1609" s="10">
        <v>19.6</v>
      </c>
      <c r="F1609" s="10">
        <v>7</v>
      </c>
      <c r="G1609" s="10">
        <v>0</v>
      </c>
      <c r="H1609" s="10">
        <v>7</v>
      </c>
      <c r="I1609" s="10">
        <v>6</v>
      </c>
      <c r="J1609" s="10">
        <f>SUM(B1609:I1609)</f>
        <v>50.81</v>
      </c>
      <c r="K1609">
        <v>2018</v>
      </c>
      <c r="L1609">
        <v>5</v>
      </c>
      <c r="M1609" s="11">
        <v>43221</v>
      </c>
      <c r="N1609" t="s">
        <v>2177</v>
      </c>
      <c r="O1609">
        <v>1</v>
      </c>
      <c r="P1609" t="s">
        <v>61</v>
      </c>
      <c r="Q1609" t="b">
        <v>1</v>
      </c>
    </row>
    <row r="1610" spans="1:17">
      <c r="A1610" s="12">
        <v>43249</v>
      </c>
      <c r="B1610" s="10">
        <v>9</v>
      </c>
      <c r="C1610" s="10">
        <v>4.033</v>
      </c>
      <c r="D1610" s="10">
        <v>3.3</v>
      </c>
      <c r="E1610" s="10">
        <v>21.25</v>
      </c>
      <c r="F1610" s="10">
        <v>7</v>
      </c>
      <c r="G1610" s="10">
        <v>0</v>
      </c>
      <c r="H1610" s="10">
        <v>4</v>
      </c>
      <c r="I1610" s="10">
        <v>6</v>
      </c>
      <c r="J1610" s="10">
        <f>SUM(B1610:I1610)</f>
        <v>54.583</v>
      </c>
      <c r="K1610">
        <v>2018</v>
      </c>
      <c r="L1610">
        <v>5</v>
      </c>
      <c r="M1610" s="11">
        <v>43221</v>
      </c>
      <c r="N1610" t="s">
        <v>2177</v>
      </c>
      <c r="O1610">
        <v>2</v>
      </c>
      <c r="P1610" t="s">
        <v>63</v>
      </c>
      <c r="Q1610" t="b">
        <v>1</v>
      </c>
    </row>
    <row r="1611" spans="1:17">
      <c r="A1611" s="12">
        <v>43250</v>
      </c>
      <c r="B1611" s="10">
        <v>4.34</v>
      </c>
      <c r="C1611" s="10">
        <v>1.67</v>
      </c>
      <c r="D1611" s="10">
        <v>2</v>
      </c>
      <c r="E1611" s="10">
        <v>16.4</v>
      </c>
      <c r="F1611" s="10">
        <v>9</v>
      </c>
      <c r="G1611" s="10">
        <v>0</v>
      </c>
      <c r="H1611" s="10">
        <v>14</v>
      </c>
      <c r="I1611" s="10">
        <v>10</v>
      </c>
      <c r="J1611" s="10">
        <f>SUM(B1611:I1611)</f>
        <v>57.41</v>
      </c>
      <c r="K1611">
        <v>2018</v>
      </c>
      <c r="L1611">
        <v>5</v>
      </c>
      <c r="M1611" s="11">
        <v>43221</v>
      </c>
      <c r="N1611" t="s">
        <v>2177</v>
      </c>
      <c r="O1611">
        <v>3</v>
      </c>
      <c r="P1611" t="s">
        <v>65</v>
      </c>
      <c r="Q1611" t="b">
        <v>1</v>
      </c>
    </row>
    <row r="1612" spans="1:17">
      <c r="A1612" s="12">
        <v>43251</v>
      </c>
      <c r="B1612" s="10">
        <v>3.5</v>
      </c>
      <c r="C1612" s="10">
        <v>3.66</v>
      </c>
      <c r="D1612" s="10">
        <v>1.35</v>
      </c>
      <c r="E1612" s="10">
        <v>11.4</v>
      </c>
      <c r="F1612" s="10">
        <v>10</v>
      </c>
      <c r="G1612" s="10">
        <v>0</v>
      </c>
      <c r="H1612" s="10">
        <v>8</v>
      </c>
      <c r="I1612" s="10">
        <v>5.64</v>
      </c>
      <c r="J1612" s="10">
        <f>SUM(B1612:I1612)</f>
        <v>43.55</v>
      </c>
      <c r="K1612">
        <v>2018</v>
      </c>
      <c r="L1612">
        <v>5</v>
      </c>
      <c r="M1612" s="11">
        <v>43221</v>
      </c>
      <c r="N1612" t="s">
        <v>2177</v>
      </c>
      <c r="O1612">
        <v>4</v>
      </c>
      <c r="P1612" t="s">
        <v>53</v>
      </c>
      <c r="Q1612" t="b">
        <v>1</v>
      </c>
    </row>
    <row r="1613" spans="1:17">
      <c r="A1613" s="12">
        <v>43252</v>
      </c>
      <c r="B1613" s="10">
        <v>12.33</v>
      </c>
      <c r="C1613" s="10">
        <v>2.18</v>
      </c>
      <c r="D1613" s="10">
        <v>4</v>
      </c>
      <c r="E1613" s="10">
        <v>29</v>
      </c>
      <c r="F1613" s="10">
        <v>9</v>
      </c>
      <c r="G1613" s="10">
        <v>0</v>
      </c>
      <c r="H1613" s="10">
        <v>5</v>
      </c>
      <c r="I1613" s="10">
        <v>3</v>
      </c>
      <c r="J1613" s="10">
        <f>SUM(B1613:I1613)</f>
        <v>64.50999999999999</v>
      </c>
      <c r="K1613">
        <v>2018</v>
      </c>
      <c r="L1613">
        <v>6</v>
      </c>
      <c r="M1613" s="11">
        <v>43252</v>
      </c>
      <c r="N1613" t="s">
        <v>2178</v>
      </c>
      <c r="O1613">
        <v>5</v>
      </c>
      <c r="P1613" t="s">
        <v>55</v>
      </c>
      <c r="Q1613" t="b">
        <v>1</v>
      </c>
    </row>
    <row r="1614" spans="1:17">
      <c r="A1614" s="12">
        <v>43253</v>
      </c>
      <c r="B1614" s="10">
        <v>8</v>
      </c>
      <c r="C1614" s="10">
        <v>3.086</v>
      </c>
      <c r="D1614" s="10">
        <v>4</v>
      </c>
      <c r="E1614" s="10">
        <v>23</v>
      </c>
      <c r="F1614" s="10">
        <v>9</v>
      </c>
      <c r="G1614" s="10">
        <v>3</v>
      </c>
      <c r="H1614" s="10">
        <v>7</v>
      </c>
      <c r="I1614" s="10">
        <v>9</v>
      </c>
      <c r="J1614" s="10">
        <f>SUM(B1614:I1614)</f>
        <v>66.086</v>
      </c>
      <c r="K1614">
        <v>2018</v>
      </c>
      <c r="L1614">
        <v>6</v>
      </c>
      <c r="M1614" s="11">
        <v>43252</v>
      </c>
      <c r="N1614" t="s">
        <v>2178</v>
      </c>
      <c r="O1614">
        <v>6</v>
      </c>
      <c r="P1614" t="s">
        <v>57</v>
      </c>
      <c r="Q1614" t="b">
        <v>1</v>
      </c>
    </row>
    <row r="1615" spans="1:17">
      <c r="A1615" s="12">
        <v>43254</v>
      </c>
      <c r="B1615" s="10">
        <v>5</v>
      </c>
      <c r="C1615" s="10">
        <v>2.746</v>
      </c>
      <c r="D1615" s="10">
        <v>1</v>
      </c>
      <c r="E1615" s="10">
        <v>22.4</v>
      </c>
      <c r="F1615" s="10">
        <v>8</v>
      </c>
      <c r="G1615" s="10">
        <v>1</v>
      </c>
      <c r="H1615" s="10">
        <v>0</v>
      </c>
      <c r="I1615" s="10">
        <v>2</v>
      </c>
      <c r="J1615" s="10">
        <f>SUM(B1615:I1615)</f>
        <v>42.146</v>
      </c>
      <c r="K1615">
        <v>2018</v>
      </c>
      <c r="L1615">
        <v>6</v>
      </c>
      <c r="M1615" s="11">
        <v>43252</v>
      </c>
      <c r="N1615" t="s">
        <v>2178</v>
      </c>
      <c r="O1615">
        <v>7</v>
      </c>
      <c r="P1615" t="s">
        <v>59</v>
      </c>
      <c r="Q1615" t="b">
        <v>1</v>
      </c>
    </row>
    <row r="1616" spans="1:17">
      <c r="A1616" s="12">
        <v>43255</v>
      </c>
      <c r="B1616" s="10">
        <v>3.33</v>
      </c>
      <c r="C1616" s="10">
        <v>3</v>
      </c>
      <c r="D1616" s="10">
        <v>6</v>
      </c>
      <c r="E1616" s="10">
        <v>19</v>
      </c>
      <c r="F1616" s="10">
        <v>3</v>
      </c>
      <c r="G1616" s="10">
        <v>0</v>
      </c>
      <c r="H1616" s="10">
        <v>6</v>
      </c>
      <c r="I1616" s="10">
        <v>6</v>
      </c>
      <c r="J1616" s="10">
        <f>SUM(B1616:I1616)</f>
        <v>46.33</v>
      </c>
      <c r="K1616">
        <v>2018</v>
      </c>
      <c r="L1616">
        <v>6</v>
      </c>
      <c r="M1616" s="11">
        <v>43252</v>
      </c>
      <c r="N1616" t="s">
        <v>2178</v>
      </c>
      <c r="O1616">
        <v>1</v>
      </c>
      <c r="P1616" t="s">
        <v>61</v>
      </c>
      <c r="Q1616" t="b">
        <v>1</v>
      </c>
    </row>
    <row r="1617" spans="1:17">
      <c r="A1617" s="12">
        <v>43256</v>
      </c>
      <c r="B1617" s="10">
        <v>4.33</v>
      </c>
      <c r="C1617" s="10">
        <v>3.67</v>
      </c>
      <c r="D1617" s="10">
        <v>1.05</v>
      </c>
      <c r="E1617" s="10">
        <v>20</v>
      </c>
      <c r="F1617" s="10">
        <v>7</v>
      </c>
      <c r="G1617" s="10">
        <v>2</v>
      </c>
      <c r="H1617" s="10">
        <v>0</v>
      </c>
      <c r="I1617" s="10">
        <v>7</v>
      </c>
      <c r="J1617" s="10">
        <f>SUM(B1617:I1617)</f>
        <v>45.05</v>
      </c>
      <c r="K1617">
        <v>2018</v>
      </c>
      <c r="L1617">
        <v>6</v>
      </c>
      <c r="M1617" s="11">
        <v>43252</v>
      </c>
      <c r="N1617" t="s">
        <v>2178</v>
      </c>
      <c r="O1617">
        <v>2</v>
      </c>
      <c r="P1617" t="s">
        <v>63</v>
      </c>
      <c r="Q1617" t="b">
        <v>1</v>
      </c>
    </row>
    <row r="1618" spans="1:17">
      <c r="A1618" s="12">
        <v>43257</v>
      </c>
      <c r="B1618" s="10">
        <v>6</v>
      </c>
      <c r="C1618" s="10">
        <v>2.34</v>
      </c>
      <c r="D1618" s="10">
        <v>0.15</v>
      </c>
      <c r="E1618" s="10">
        <v>17.25</v>
      </c>
      <c r="F1618" s="10">
        <v>16</v>
      </c>
      <c r="G1618" s="10">
        <v>3</v>
      </c>
      <c r="H1618" s="10">
        <v>0</v>
      </c>
      <c r="I1618" s="10">
        <v>2</v>
      </c>
      <c r="J1618" s="10">
        <f>SUM(B1618:I1618)</f>
        <v>46.74</v>
      </c>
      <c r="K1618">
        <v>2018</v>
      </c>
      <c r="L1618">
        <v>6</v>
      </c>
      <c r="M1618" s="11">
        <v>43252</v>
      </c>
      <c r="N1618" t="s">
        <v>2178</v>
      </c>
      <c r="O1618">
        <v>3</v>
      </c>
      <c r="P1618" t="s">
        <v>65</v>
      </c>
      <c r="Q1618" t="b">
        <v>1</v>
      </c>
    </row>
    <row r="1619" spans="1:17">
      <c r="A1619" s="12">
        <v>43258</v>
      </c>
      <c r="B1619" s="10">
        <v>2</v>
      </c>
      <c r="C1619" s="10">
        <v>4.528</v>
      </c>
      <c r="D1619" s="10">
        <v>0.25</v>
      </c>
      <c r="E1619" s="10">
        <v>19</v>
      </c>
      <c r="F1619" s="10">
        <v>11</v>
      </c>
      <c r="G1619" s="10">
        <v>1</v>
      </c>
      <c r="H1619" s="10">
        <v>10</v>
      </c>
      <c r="I1619" s="10">
        <v>2</v>
      </c>
      <c r="J1619" s="10">
        <f>SUM(B1619:I1619)</f>
        <v>49.778</v>
      </c>
      <c r="K1619">
        <v>2018</v>
      </c>
      <c r="L1619">
        <v>6</v>
      </c>
      <c r="M1619" s="11">
        <v>43252</v>
      </c>
      <c r="N1619" t="s">
        <v>2178</v>
      </c>
      <c r="O1619">
        <v>4</v>
      </c>
      <c r="P1619" t="s">
        <v>53</v>
      </c>
      <c r="Q1619" t="b">
        <v>1</v>
      </c>
    </row>
    <row r="1620" spans="1:17">
      <c r="A1620" s="12">
        <v>43259</v>
      </c>
      <c r="B1620" s="10">
        <v>4</v>
      </c>
      <c r="C1620" s="10">
        <v>1.33</v>
      </c>
      <c r="D1620" s="10">
        <v>2</v>
      </c>
      <c r="E1620" s="10">
        <v>9</v>
      </c>
      <c r="F1620" s="10">
        <v>6</v>
      </c>
      <c r="G1620" s="10">
        <v>0</v>
      </c>
      <c r="H1620" s="10">
        <v>2</v>
      </c>
      <c r="I1620" s="10">
        <v>4.4</v>
      </c>
      <c r="J1620" s="10">
        <f>SUM(B1620:I1620)</f>
        <v>28.729999999999997</v>
      </c>
      <c r="K1620">
        <v>2018</v>
      </c>
      <c r="L1620">
        <v>6</v>
      </c>
      <c r="M1620" s="11">
        <v>43252</v>
      </c>
      <c r="N1620" t="s">
        <v>2178</v>
      </c>
      <c r="O1620">
        <v>5</v>
      </c>
      <c r="P1620" t="s">
        <v>55</v>
      </c>
      <c r="Q1620" t="b">
        <v>1</v>
      </c>
    </row>
    <row r="1621" spans="1:17">
      <c r="A1621" s="12">
        <v>43260</v>
      </c>
      <c r="B1621" s="10">
        <v>8</v>
      </c>
      <c r="C1621" s="10">
        <v>6.462</v>
      </c>
      <c r="D1621" s="10">
        <v>3</v>
      </c>
      <c r="E1621" s="10">
        <v>21</v>
      </c>
      <c r="F1621" s="10">
        <v>11</v>
      </c>
      <c r="G1621" s="10">
        <v>0</v>
      </c>
      <c r="H1621" s="10">
        <v>5</v>
      </c>
      <c r="I1621" s="10">
        <v>0</v>
      </c>
      <c r="J1621" s="10">
        <f>SUM(B1621:I1621)</f>
        <v>54.462</v>
      </c>
      <c r="K1621">
        <v>2018</v>
      </c>
      <c r="L1621">
        <v>6</v>
      </c>
      <c r="M1621" s="11">
        <v>43252</v>
      </c>
      <c r="N1621" t="s">
        <v>2178</v>
      </c>
      <c r="O1621">
        <v>6</v>
      </c>
      <c r="P1621" t="s">
        <v>57</v>
      </c>
      <c r="Q1621" t="b">
        <v>1</v>
      </c>
    </row>
    <row r="1622" spans="1:17">
      <c r="A1622" s="12">
        <v>43261</v>
      </c>
      <c r="B1622" s="10">
        <v>2.66</v>
      </c>
      <c r="C1622" s="10">
        <v>4.693</v>
      </c>
      <c r="D1622" s="10">
        <v>5</v>
      </c>
      <c r="E1622" s="10">
        <v>33.2</v>
      </c>
      <c r="F1622" s="10">
        <v>7</v>
      </c>
      <c r="G1622" s="10">
        <v>0</v>
      </c>
      <c r="H1622" s="10">
        <v>0</v>
      </c>
      <c r="I1622" s="10">
        <v>3</v>
      </c>
      <c r="J1622" s="10">
        <f>SUM(B1622:I1622)</f>
        <v>55.553000000000004</v>
      </c>
      <c r="K1622">
        <v>2018</v>
      </c>
      <c r="L1622">
        <v>6</v>
      </c>
      <c r="M1622" s="11">
        <v>43252</v>
      </c>
      <c r="N1622" t="s">
        <v>2178</v>
      </c>
      <c r="O1622">
        <v>7</v>
      </c>
      <c r="P1622" t="s">
        <v>59</v>
      </c>
      <c r="Q1622" t="b">
        <v>1</v>
      </c>
    </row>
    <row r="1623" spans="1:17">
      <c r="A1623" s="12">
        <v>43262</v>
      </c>
      <c r="B1623" s="10">
        <v>8</v>
      </c>
      <c r="C1623" s="10">
        <v>8.33</v>
      </c>
      <c r="D1623" s="10">
        <v>3.1</v>
      </c>
      <c r="E1623" s="10">
        <v>17</v>
      </c>
      <c r="F1623" s="10">
        <v>17</v>
      </c>
      <c r="G1623" s="10">
        <v>0</v>
      </c>
      <c r="H1623" s="10">
        <v>0</v>
      </c>
      <c r="I1623" s="10">
        <v>6</v>
      </c>
      <c r="J1623" s="10">
        <f>SUM(B1623:I1623)</f>
        <v>59.43</v>
      </c>
      <c r="K1623">
        <v>2018</v>
      </c>
      <c r="L1623">
        <v>6</v>
      </c>
      <c r="M1623" s="11">
        <v>43252</v>
      </c>
      <c r="N1623" t="s">
        <v>2178</v>
      </c>
      <c r="O1623">
        <v>1</v>
      </c>
      <c r="P1623" t="s">
        <v>61</v>
      </c>
      <c r="Q1623" t="b">
        <v>1</v>
      </c>
    </row>
    <row r="1624" spans="1:17">
      <c r="A1624" s="12">
        <v>43263</v>
      </c>
      <c r="B1624" s="10">
        <v>2.34</v>
      </c>
      <c r="C1624" s="10">
        <v>4.5</v>
      </c>
      <c r="D1624" s="10">
        <v>4</v>
      </c>
      <c r="E1624" s="10">
        <v>18.186</v>
      </c>
      <c r="F1624" s="10">
        <v>3</v>
      </c>
      <c r="G1624" s="10">
        <v>0</v>
      </c>
      <c r="H1624" s="10">
        <v>1</v>
      </c>
      <c r="I1624" s="10">
        <v>7.4</v>
      </c>
      <c r="J1624" s="10">
        <f>SUM(B1624:I1624)</f>
        <v>40.425999999999995</v>
      </c>
      <c r="K1624">
        <v>2018</v>
      </c>
      <c r="L1624">
        <v>6</v>
      </c>
      <c r="M1624" s="11">
        <v>43252</v>
      </c>
      <c r="N1624" t="s">
        <v>2178</v>
      </c>
      <c r="O1624">
        <v>2</v>
      </c>
      <c r="P1624" t="s">
        <v>63</v>
      </c>
      <c r="Q1624" t="b">
        <v>1</v>
      </c>
    </row>
    <row r="1625" spans="1:17">
      <c r="A1625" s="12">
        <v>43264</v>
      </c>
      <c r="B1625" s="10">
        <v>12</v>
      </c>
      <c r="C1625" s="10">
        <v>4.33</v>
      </c>
      <c r="D1625" s="10">
        <v>1.2</v>
      </c>
      <c r="E1625" s="10">
        <v>22.25</v>
      </c>
      <c r="F1625" s="10">
        <v>1</v>
      </c>
      <c r="G1625" s="10">
        <v>0</v>
      </c>
      <c r="H1625" s="10">
        <v>0</v>
      </c>
      <c r="I1625" s="10">
        <v>2</v>
      </c>
      <c r="J1625" s="10">
        <f>SUM(B1625:I1625)</f>
        <v>42.78</v>
      </c>
      <c r="K1625">
        <v>2018</v>
      </c>
      <c r="L1625">
        <v>6</v>
      </c>
      <c r="M1625" s="11">
        <v>43252</v>
      </c>
      <c r="N1625" t="s">
        <v>2178</v>
      </c>
      <c r="O1625">
        <v>3</v>
      </c>
      <c r="P1625" t="s">
        <v>65</v>
      </c>
      <c r="Q1625" t="b">
        <v>1</v>
      </c>
    </row>
    <row r="1626" spans="1:17">
      <c r="A1626" s="12">
        <v>43265</v>
      </c>
      <c r="B1626" s="10">
        <v>0</v>
      </c>
      <c r="C1626" s="10">
        <v>1</v>
      </c>
      <c r="D1626" s="10">
        <v>1</v>
      </c>
      <c r="E1626" s="10">
        <v>22</v>
      </c>
      <c r="F1626" s="10">
        <v>11</v>
      </c>
      <c r="G1626" s="10">
        <v>0</v>
      </c>
      <c r="H1626" s="10">
        <v>0</v>
      </c>
      <c r="I1626" s="10">
        <v>2</v>
      </c>
      <c r="J1626" s="10">
        <f>SUM(B1626:I1626)</f>
        <v>37.0</v>
      </c>
      <c r="K1626">
        <v>2018</v>
      </c>
      <c r="L1626">
        <v>6</v>
      </c>
      <c r="M1626" s="11">
        <v>43252</v>
      </c>
      <c r="N1626" t="s">
        <v>2178</v>
      </c>
      <c r="O1626">
        <v>4</v>
      </c>
      <c r="P1626" t="s">
        <v>53</v>
      </c>
      <c r="Q1626" t="b">
        <v>1</v>
      </c>
    </row>
    <row r="1627" spans="1:17">
      <c r="A1627" s="12">
        <v>43266</v>
      </c>
      <c r="B1627" s="10">
        <v>1</v>
      </c>
      <c r="C1627" s="10">
        <v>0.066</v>
      </c>
      <c r="D1627" s="10">
        <v>0.3</v>
      </c>
      <c r="E1627" s="10">
        <v>11.133</v>
      </c>
      <c r="F1627" s="10">
        <v>10</v>
      </c>
      <c r="G1627" s="10">
        <v>0</v>
      </c>
      <c r="H1627" s="10">
        <v>8</v>
      </c>
      <c r="I1627" s="10">
        <v>2</v>
      </c>
      <c r="J1627" s="10">
        <f>SUM(B1627:I1627)</f>
        <v>32.498999999999995</v>
      </c>
      <c r="K1627">
        <v>2018</v>
      </c>
      <c r="L1627">
        <v>6</v>
      </c>
      <c r="M1627" s="11">
        <v>43252</v>
      </c>
      <c r="N1627" t="s">
        <v>2178</v>
      </c>
      <c r="O1627">
        <v>5</v>
      </c>
      <c r="P1627" t="s">
        <v>55</v>
      </c>
      <c r="Q1627" t="b">
        <v>1</v>
      </c>
    </row>
    <row r="1628" spans="1:17">
      <c r="A1628" s="12">
        <v>43267</v>
      </c>
      <c r="B1628" s="10">
        <v>3.34</v>
      </c>
      <c r="C1628" s="10">
        <v>6.383</v>
      </c>
      <c r="D1628" s="10">
        <v>5</v>
      </c>
      <c r="E1628" s="10">
        <v>10</v>
      </c>
      <c r="F1628" s="10">
        <v>5</v>
      </c>
      <c r="G1628" s="10">
        <v>0</v>
      </c>
      <c r="H1628" s="10">
        <v>2</v>
      </c>
      <c r="I1628" s="10">
        <v>7</v>
      </c>
      <c r="J1628" s="10">
        <f>SUM(B1628:I1628)</f>
        <v>38.723</v>
      </c>
      <c r="K1628">
        <v>2018</v>
      </c>
      <c r="L1628">
        <v>6</v>
      </c>
      <c r="M1628" s="11">
        <v>43252</v>
      </c>
      <c r="N1628" t="s">
        <v>2178</v>
      </c>
      <c r="O1628">
        <v>6</v>
      </c>
      <c r="P1628" t="s">
        <v>57</v>
      </c>
      <c r="Q1628" t="b">
        <v>1</v>
      </c>
    </row>
    <row r="1629" spans="1:17">
      <c r="A1629" s="12">
        <v>43268</v>
      </c>
      <c r="B1629" s="10">
        <v>4.84</v>
      </c>
      <c r="C1629" s="10">
        <v>6.586</v>
      </c>
      <c r="D1629" s="10">
        <v>6</v>
      </c>
      <c r="E1629" s="10">
        <v>24</v>
      </c>
      <c r="F1629" s="10">
        <v>10</v>
      </c>
      <c r="G1629" s="10">
        <v>0</v>
      </c>
      <c r="H1629" s="10">
        <v>5</v>
      </c>
      <c r="I1629" s="10">
        <v>4</v>
      </c>
      <c r="J1629" s="10">
        <f>SUM(B1629:I1629)</f>
        <v>60.426</v>
      </c>
      <c r="K1629">
        <v>2018</v>
      </c>
      <c r="L1629">
        <v>6</v>
      </c>
      <c r="M1629" s="11">
        <v>43252</v>
      </c>
      <c r="N1629" t="s">
        <v>2178</v>
      </c>
      <c r="O1629">
        <v>7</v>
      </c>
      <c r="P1629" t="s">
        <v>59</v>
      </c>
      <c r="Q1629" t="b">
        <v>1</v>
      </c>
    </row>
    <row r="1630" spans="1:17">
      <c r="A1630" s="12">
        <v>43269</v>
      </c>
      <c r="B1630" s="10">
        <v>4.5</v>
      </c>
      <c r="C1630" s="10">
        <v>1.33</v>
      </c>
      <c r="D1630" s="10">
        <v>2.1</v>
      </c>
      <c r="E1630" s="10">
        <v>14</v>
      </c>
      <c r="F1630" s="10">
        <v>4</v>
      </c>
      <c r="G1630" s="10">
        <v>0</v>
      </c>
      <c r="H1630" s="10">
        <v>1</v>
      </c>
      <c r="I1630" s="10">
        <v>6</v>
      </c>
      <c r="J1630" s="10">
        <f>SUM(B1630:I1630)</f>
        <v>32.93</v>
      </c>
      <c r="K1630">
        <v>2018</v>
      </c>
      <c r="L1630">
        <v>6</v>
      </c>
      <c r="M1630" s="11">
        <v>43252</v>
      </c>
      <c r="N1630" t="s">
        <v>2178</v>
      </c>
      <c r="O1630">
        <v>1</v>
      </c>
      <c r="P1630" t="s">
        <v>61</v>
      </c>
      <c r="Q1630" t="b">
        <v>1</v>
      </c>
    </row>
    <row r="1631" spans="1:17">
      <c r="A1631" s="12">
        <v>43270</v>
      </c>
      <c r="B1631" s="10">
        <v>4</v>
      </c>
      <c r="C1631" s="10">
        <v>3.34</v>
      </c>
      <c r="D1631" s="10">
        <v>4</v>
      </c>
      <c r="E1631" s="10">
        <v>23</v>
      </c>
      <c r="F1631" s="10">
        <v>8</v>
      </c>
      <c r="G1631" s="10">
        <v>0</v>
      </c>
      <c r="H1631" s="10">
        <v>5</v>
      </c>
      <c r="I1631" s="10">
        <v>3</v>
      </c>
      <c r="J1631" s="10">
        <f>SUM(B1631:I1631)</f>
        <v>50.34</v>
      </c>
      <c r="K1631">
        <v>2018</v>
      </c>
      <c r="L1631">
        <v>6</v>
      </c>
      <c r="M1631" s="11">
        <v>43252</v>
      </c>
      <c r="N1631" t="s">
        <v>2178</v>
      </c>
      <c r="O1631">
        <v>2</v>
      </c>
      <c r="P1631" t="s">
        <v>63</v>
      </c>
      <c r="Q1631" t="b">
        <v>1</v>
      </c>
    </row>
    <row r="1632" spans="1:17">
      <c r="A1632" s="12">
        <v>43271</v>
      </c>
      <c r="B1632" s="10">
        <v>3.66</v>
      </c>
      <c r="C1632" s="10">
        <v>4.528</v>
      </c>
      <c r="D1632" s="10">
        <v>2.5</v>
      </c>
      <c r="E1632" s="10">
        <v>15.062</v>
      </c>
      <c r="F1632" s="10">
        <v>8</v>
      </c>
      <c r="G1632" s="10">
        <v>3</v>
      </c>
      <c r="H1632" s="10">
        <v>11</v>
      </c>
      <c r="I1632" s="10">
        <v>2.6</v>
      </c>
      <c r="J1632" s="10">
        <f>SUM(B1632:I1632)</f>
        <v>50.35</v>
      </c>
      <c r="K1632">
        <v>2018</v>
      </c>
      <c r="L1632">
        <v>6</v>
      </c>
      <c r="M1632" s="11">
        <v>43252</v>
      </c>
      <c r="N1632" t="s">
        <v>2178</v>
      </c>
      <c r="O1632">
        <v>3</v>
      </c>
      <c r="P1632" t="s">
        <v>65</v>
      </c>
      <c r="Q1632" t="b">
        <v>1</v>
      </c>
    </row>
    <row r="1633" spans="1:17">
      <c r="A1633" s="12">
        <v>43272</v>
      </c>
      <c r="B1633" s="10">
        <v>3.35</v>
      </c>
      <c r="C1633" s="10">
        <v>2.913</v>
      </c>
      <c r="D1633" s="10">
        <v>4</v>
      </c>
      <c r="E1633" s="10">
        <v>36</v>
      </c>
      <c r="F1633" s="10">
        <v>5</v>
      </c>
      <c r="G1633" s="10">
        <v>0</v>
      </c>
      <c r="H1633" s="10">
        <v>5</v>
      </c>
      <c r="I1633" s="10">
        <v>10.5</v>
      </c>
      <c r="J1633" s="10">
        <f>SUM(B1633:I1633)</f>
        <v>66.763</v>
      </c>
      <c r="K1633">
        <v>2018</v>
      </c>
      <c r="L1633">
        <v>6</v>
      </c>
      <c r="M1633" s="11">
        <v>43252</v>
      </c>
      <c r="N1633" t="s">
        <v>2178</v>
      </c>
      <c r="O1633">
        <v>4</v>
      </c>
      <c r="P1633" t="s">
        <v>53</v>
      </c>
      <c r="Q1633" t="b">
        <v>1</v>
      </c>
    </row>
    <row r="1634" spans="1:17">
      <c r="A1634" s="12">
        <v>43273</v>
      </c>
      <c r="B1634" s="10">
        <v>5</v>
      </c>
      <c r="C1634" s="10">
        <v>5.099</v>
      </c>
      <c r="D1634" s="10">
        <v>4.15</v>
      </c>
      <c r="E1634" s="10">
        <v>12</v>
      </c>
      <c r="F1634" s="10">
        <v>3</v>
      </c>
      <c r="G1634" s="10">
        <v>0</v>
      </c>
      <c r="H1634" s="10">
        <v>6</v>
      </c>
      <c r="I1634" s="10">
        <v>5.5</v>
      </c>
      <c r="J1634" s="10">
        <f>SUM(B1634:I1634)</f>
        <v>40.749</v>
      </c>
      <c r="K1634">
        <v>2018</v>
      </c>
      <c r="L1634">
        <v>6</v>
      </c>
      <c r="M1634" s="11">
        <v>43252</v>
      </c>
      <c r="N1634" t="s">
        <v>2178</v>
      </c>
      <c r="O1634">
        <v>5</v>
      </c>
      <c r="P1634" t="s">
        <v>55</v>
      </c>
      <c r="Q1634" t="b">
        <v>1</v>
      </c>
    </row>
    <row r="1635" spans="1:17">
      <c r="A1635" s="12">
        <v>43274</v>
      </c>
      <c r="B1635" s="10">
        <v>5.33</v>
      </c>
      <c r="C1635" s="10">
        <v>7.343</v>
      </c>
      <c r="D1635" s="10">
        <v>2</v>
      </c>
      <c r="E1635" s="10">
        <v>14</v>
      </c>
      <c r="F1635" s="10">
        <v>7</v>
      </c>
      <c r="G1635" s="10">
        <v>0</v>
      </c>
      <c r="H1635" s="10">
        <v>1</v>
      </c>
      <c r="I1635" s="10">
        <v>2</v>
      </c>
      <c r="J1635" s="10">
        <f>SUM(B1635:I1635)</f>
        <v>38.673</v>
      </c>
      <c r="K1635">
        <v>2018</v>
      </c>
      <c r="L1635">
        <v>6</v>
      </c>
      <c r="M1635" s="11">
        <v>43252</v>
      </c>
      <c r="N1635" t="s">
        <v>2178</v>
      </c>
      <c r="O1635">
        <v>6</v>
      </c>
      <c r="P1635" t="s">
        <v>57</v>
      </c>
      <c r="Q1635" t="b">
        <v>1</v>
      </c>
    </row>
    <row r="1636" spans="1:17">
      <c r="A1636" s="12">
        <v>43275</v>
      </c>
      <c r="B1636" s="10">
        <v>1.67</v>
      </c>
      <c r="C1636" s="10">
        <v>4.746</v>
      </c>
      <c r="D1636" s="10">
        <v>2</v>
      </c>
      <c r="E1636" s="10">
        <v>29</v>
      </c>
      <c r="F1636" s="10">
        <v>10</v>
      </c>
      <c r="G1636" s="10">
        <v>0</v>
      </c>
      <c r="H1636" s="10">
        <v>0</v>
      </c>
      <c r="I1636" s="10">
        <v>3</v>
      </c>
      <c r="J1636" s="10">
        <f>SUM(B1636:I1636)</f>
        <v>50.416</v>
      </c>
      <c r="K1636">
        <v>2018</v>
      </c>
      <c r="L1636">
        <v>6</v>
      </c>
      <c r="M1636" s="11">
        <v>43252</v>
      </c>
      <c r="N1636" t="s">
        <v>2178</v>
      </c>
      <c r="O1636">
        <v>7</v>
      </c>
      <c r="P1636" t="s">
        <v>59</v>
      </c>
      <c r="Q1636" t="b">
        <v>1</v>
      </c>
    </row>
    <row r="1637" spans="1:17">
      <c r="A1637" s="12">
        <v>43276</v>
      </c>
      <c r="B1637" s="10">
        <v>3.33</v>
      </c>
      <c r="C1637" s="10">
        <v>3.099</v>
      </c>
      <c r="D1637" s="10">
        <v>0</v>
      </c>
      <c r="E1637" s="10">
        <v>31.062</v>
      </c>
      <c r="F1637" s="10">
        <v>12</v>
      </c>
      <c r="G1637" s="10">
        <v>3</v>
      </c>
      <c r="H1637" s="10">
        <v>5</v>
      </c>
      <c r="I1637" s="10">
        <v>2</v>
      </c>
      <c r="J1637" s="10">
        <f>SUM(B1637:I1637)</f>
        <v>59.491</v>
      </c>
      <c r="K1637">
        <v>2018</v>
      </c>
      <c r="L1637">
        <v>6</v>
      </c>
      <c r="M1637" s="11">
        <v>43252</v>
      </c>
      <c r="N1637" t="s">
        <v>2178</v>
      </c>
      <c r="O1637">
        <v>1</v>
      </c>
      <c r="P1637" t="s">
        <v>61</v>
      </c>
      <c r="Q1637" t="b">
        <v>1</v>
      </c>
    </row>
    <row r="1638" spans="1:17">
      <c r="A1638" s="12">
        <v>43277</v>
      </c>
      <c r="B1638" s="10">
        <v>10.33</v>
      </c>
      <c r="C1638" s="10">
        <v>5.67</v>
      </c>
      <c r="D1638" s="10">
        <v>3</v>
      </c>
      <c r="E1638" s="10">
        <v>15</v>
      </c>
      <c r="F1638" s="10">
        <v>6</v>
      </c>
      <c r="G1638" s="10">
        <v>0</v>
      </c>
      <c r="H1638" s="10">
        <v>9</v>
      </c>
      <c r="I1638" s="10">
        <v>4.4</v>
      </c>
      <c r="J1638" s="10">
        <f>SUM(B1638:I1638)</f>
        <v>53.4</v>
      </c>
      <c r="K1638">
        <v>2018</v>
      </c>
      <c r="L1638">
        <v>6</v>
      </c>
      <c r="M1638" s="11">
        <v>43252</v>
      </c>
      <c r="N1638" t="s">
        <v>2178</v>
      </c>
      <c r="O1638">
        <v>2</v>
      </c>
      <c r="P1638" t="s">
        <v>63</v>
      </c>
      <c r="Q1638" t="b">
        <v>1</v>
      </c>
    </row>
    <row r="1639" spans="1:17">
      <c r="A1639" s="12">
        <v>43278</v>
      </c>
      <c r="B1639" s="10">
        <v>2</v>
      </c>
      <c r="C1639" s="10">
        <v>2.396</v>
      </c>
      <c r="D1639" s="10">
        <v>3</v>
      </c>
      <c r="E1639" s="10">
        <v>11</v>
      </c>
      <c r="F1639" s="10">
        <v>10</v>
      </c>
      <c r="G1639" s="10">
        <v>0</v>
      </c>
      <c r="H1639" s="10">
        <v>2</v>
      </c>
      <c r="I1639" s="10">
        <v>3</v>
      </c>
      <c r="J1639" s="10">
        <f>SUM(B1639:I1639)</f>
        <v>33.396</v>
      </c>
      <c r="K1639">
        <v>2018</v>
      </c>
      <c r="L1639">
        <v>6</v>
      </c>
      <c r="M1639" s="11">
        <v>43252</v>
      </c>
      <c r="N1639" t="s">
        <v>2178</v>
      </c>
      <c r="O1639">
        <v>3</v>
      </c>
      <c r="P1639" t="s">
        <v>65</v>
      </c>
      <c r="Q1639" t="b">
        <v>1</v>
      </c>
    </row>
    <row r="1640" spans="1:17">
      <c r="A1640" s="12">
        <v>43279</v>
      </c>
      <c r="B1640" s="10">
        <v>3</v>
      </c>
      <c r="C1640" s="10">
        <v>2.192</v>
      </c>
      <c r="D1640" s="10">
        <v>4</v>
      </c>
      <c r="E1640" s="10">
        <v>10</v>
      </c>
      <c r="F1640" s="10">
        <v>13</v>
      </c>
      <c r="G1640" s="10">
        <v>0</v>
      </c>
      <c r="H1640" s="10">
        <v>5</v>
      </c>
      <c r="I1640" s="10">
        <v>2</v>
      </c>
      <c r="J1640" s="10">
        <f>SUM(B1640:I1640)</f>
        <v>39.192</v>
      </c>
      <c r="K1640">
        <v>2018</v>
      </c>
      <c r="L1640">
        <v>6</v>
      </c>
      <c r="M1640" s="11">
        <v>43252</v>
      </c>
      <c r="N1640" t="s">
        <v>2178</v>
      </c>
      <c r="O1640">
        <v>4</v>
      </c>
      <c r="P1640" t="s">
        <v>53</v>
      </c>
      <c r="Q1640" t="b">
        <v>1</v>
      </c>
    </row>
    <row r="1641" spans="1:17">
      <c r="A1641" s="12">
        <v>43280</v>
      </c>
      <c r="B1641" s="10">
        <v>1</v>
      </c>
      <c r="C1641" s="10">
        <v>3</v>
      </c>
      <c r="D1641" s="10">
        <v>2</v>
      </c>
      <c r="E1641" s="10">
        <v>10</v>
      </c>
      <c r="F1641" s="10">
        <v>8</v>
      </c>
      <c r="G1641" s="10">
        <v>0</v>
      </c>
      <c r="H1641" s="10">
        <v>0</v>
      </c>
      <c r="I1641" s="10">
        <v>4</v>
      </c>
      <c r="J1641" s="10">
        <f>SUM(B1641:I1641)</f>
        <v>28.0</v>
      </c>
      <c r="K1641">
        <v>2018</v>
      </c>
      <c r="L1641">
        <v>6</v>
      </c>
      <c r="M1641" s="11">
        <v>43252</v>
      </c>
      <c r="N1641" t="s">
        <v>2178</v>
      </c>
      <c r="O1641">
        <v>5</v>
      </c>
      <c r="P1641" t="s">
        <v>55</v>
      </c>
      <c r="Q1641" t="b">
        <v>1</v>
      </c>
    </row>
    <row r="1642" spans="1:17">
      <c r="A1642" s="12">
        <v>43281</v>
      </c>
      <c r="B1642" s="10">
        <v>6.84</v>
      </c>
      <c r="C1642" s="10">
        <v>3.34</v>
      </c>
      <c r="D1642" s="10">
        <v>7</v>
      </c>
      <c r="E1642" s="10">
        <v>26.8</v>
      </c>
      <c r="F1642" s="10">
        <v>10</v>
      </c>
      <c r="G1642" s="10">
        <v>2</v>
      </c>
      <c r="H1642" s="10">
        <v>0</v>
      </c>
      <c r="I1642" s="10">
        <v>4</v>
      </c>
      <c r="J1642" s="10">
        <f>SUM(B1642:I1642)</f>
        <v>59.980000000000004</v>
      </c>
      <c r="K1642">
        <v>2018</v>
      </c>
      <c r="L1642">
        <v>6</v>
      </c>
      <c r="M1642" s="11">
        <v>43252</v>
      </c>
      <c r="N1642" t="s">
        <v>2178</v>
      </c>
      <c r="O1642">
        <v>6</v>
      </c>
      <c r="P1642" t="s">
        <v>57</v>
      </c>
      <c r="Q1642" t="b">
        <v>1</v>
      </c>
    </row>
    <row r="1643" spans="1:17">
      <c r="A1643" s="12">
        <v>43282</v>
      </c>
      <c r="B1643" s="10">
        <v>2</v>
      </c>
      <c r="C1643" s="10">
        <v>3.693</v>
      </c>
      <c r="D1643" s="10">
        <v>1</v>
      </c>
      <c r="E1643" s="10">
        <v>22</v>
      </c>
      <c r="F1643" s="10">
        <v>7</v>
      </c>
      <c r="G1643" s="10">
        <v>0</v>
      </c>
      <c r="H1643" s="10">
        <v>10</v>
      </c>
      <c r="I1643" s="10">
        <v>4</v>
      </c>
      <c r="J1643" s="10">
        <f>SUM(B1643:I1643)</f>
        <v>49.693</v>
      </c>
      <c r="K1643">
        <v>2018</v>
      </c>
      <c r="L1643">
        <v>7</v>
      </c>
      <c r="M1643" s="11">
        <v>43282</v>
      </c>
      <c r="N1643" t="s">
        <v>2179</v>
      </c>
      <c r="O1643">
        <v>7</v>
      </c>
      <c r="P1643" t="s">
        <v>59</v>
      </c>
      <c r="Q1643" t="b">
        <v>1</v>
      </c>
    </row>
    <row r="1644" spans="1:17">
      <c r="A1644" s="12">
        <v>43283</v>
      </c>
      <c r="B1644" s="10">
        <v>3.33</v>
      </c>
      <c r="C1644" s="10">
        <v>6.33</v>
      </c>
      <c r="D1644" s="10">
        <v>3</v>
      </c>
      <c r="E1644" s="10">
        <v>24.6</v>
      </c>
      <c r="F1644" s="10">
        <v>18</v>
      </c>
      <c r="G1644" s="10">
        <v>0</v>
      </c>
      <c r="H1644" s="10">
        <v>3</v>
      </c>
      <c r="I1644" s="10">
        <v>7</v>
      </c>
      <c r="J1644" s="10">
        <f>SUM(B1644:I1644)</f>
        <v>65.26</v>
      </c>
      <c r="K1644">
        <v>2018</v>
      </c>
      <c r="L1644">
        <v>7</v>
      </c>
      <c r="M1644" s="11">
        <v>43282</v>
      </c>
      <c r="N1644" t="s">
        <v>2179</v>
      </c>
      <c r="O1644">
        <v>1</v>
      </c>
      <c r="P1644" t="s">
        <v>61</v>
      </c>
      <c r="Q1644" t="b">
        <v>1</v>
      </c>
    </row>
    <row r="1645" spans="1:17">
      <c r="A1645" s="12">
        <v>43284</v>
      </c>
      <c r="B1645" s="10">
        <v>6.34</v>
      </c>
      <c r="C1645" s="10">
        <v>2.33</v>
      </c>
      <c r="D1645" s="10">
        <v>1</v>
      </c>
      <c r="E1645" s="10">
        <v>13.6</v>
      </c>
      <c r="F1645" s="10">
        <v>9</v>
      </c>
      <c r="G1645" s="10">
        <v>0</v>
      </c>
      <c r="H1645" s="10">
        <v>8</v>
      </c>
      <c r="I1645" s="10">
        <v>3</v>
      </c>
      <c r="J1645" s="10">
        <f>SUM(B1645:I1645)</f>
        <v>43.269999999999996</v>
      </c>
      <c r="K1645">
        <v>2018</v>
      </c>
      <c r="L1645">
        <v>7</v>
      </c>
      <c r="M1645" s="11">
        <v>43282</v>
      </c>
      <c r="N1645" t="s">
        <v>2179</v>
      </c>
      <c r="O1645">
        <v>2</v>
      </c>
      <c r="P1645" t="s">
        <v>63</v>
      </c>
      <c r="Q1645" t="b">
        <v>1</v>
      </c>
    </row>
    <row r="1646" spans="1:17">
      <c r="A1646" s="12">
        <v>43285</v>
      </c>
      <c r="B1646" s="10">
        <v>1</v>
      </c>
      <c r="C1646" s="10">
        <v>2.83</v>
      </c>
      <c r="D1646" s="10">
        <v>3.5</v>
      </c>
      <c r="E1646" s="10">
        <v>16.25</v>
      </c>
      <c r="F1646" s="10">
        <v>6</v>
      </c>
      <c r="G1646" s="10">
        <v>0</v>
      </c>
      <c r="H1646" s="10">
        <v>22</v>
      </c>
      <c r="I1646" s="10">
        <v>7</v>
      </c>
      <c r="J1646" s="10">
        <f>SUM(B1646:I1646)</f>
        <v>58.58</v>
      </c>
      <c r="K1646">
        <v>2018</v>
      </c>
      <c r="L1646">
        <v>7</v>
      </c>
      <c r="M1646" s="11">
        <v>43282</v>
      </c>
      <c r="N1646" t="s">
        <v>2179</v>
      </c>
      <c r="O1646">
        <v>3</v>
      </c>
      <c r="P1646" t="s">
        <v>65</v>
      </c>
      <c r="Q1646" t="b">
        <v>1</v>
      </c>
    </row>
    <row r="1647" spans="1:17">
      <c r="A1647" s="12">
        <v>43286</v>
      </c>
      <c r="B1647" s="10">
        <v>4.33</v>
      </c>
      <c r="C1647" s="10">
        <v>2.759</v>
      </c>
      <c r="D1647" s="10">
        <v>4</v>
      </c>
      <c r="E1647" s="10">
        <v>15</v>
      </c>
      <c r="F1647" s="10">
        <v>6</v>
      </c>
      <c r="G1647" s="10">
        <v>3</v>
      </c>
      <c r="H1647" s="10">
        <v>3</v>
      </c>
      <c r="I1647" s="10">
        <v>1</v>
      </c>
      <c r="J1647" s="10">
        <f>SUM(B1647:I1647)</f>
        <v>39.089</v>
      </c>
      <c r="K1647">
        <v>2018</v>
      </c>
      <c r="L1647">
        <v>7</v>
      </c>
      <c r="M1647" s="11">
        <v>43282</v>
      </c>
      <c r="N1647" t="s">
        <v>2179</v>
      </c>
      <c r="O1647">
        <v>4</v>
      </c>
      <c r="P1647" t="s">
        <v>53</v>
      </c>
      <c r="Q1647" t="b">
        <v>1</v>
      </c>
    </row>
    <row r="1648" spans="1:17">
      <c r="A1648" s="12">
        <v>43287</v>
      </c>
      <c r="B1648" s="10">
        <v>2.33</v>
      </c>
      <c r="C1648" s="10">
        <v>5.33</v>
      </c>
      <c r="D1648" s="10">
        <v>1.25</v>
      </c>
      <c r="E1648" s="10">
        <v>20</v>
      </c>
      <c r="F1648" s="10">
        <v>15</v>
      </c>
      <c r="G1648" s="10">
        <v>0</v>
      </c>
      <c r="H1648" s="10">
        <v>0</v>
      </c>
      <c r="I1648" s="10">
        <v>6</v>
      </c>
      <c r="J1648" s="10">
        <f>SUM(B1648:I1648)</f>
        <v>49.91</v>
      </c>
      <c r="K1648">
        <v>2018</v>
      </c>
      <c r="L1648">
        <v>7</v>
      </c>
      <c r="M1648" s="11">
        <v>43282</v>
      </c>
      <c r="N1648" t="s">
        <v>2179</v>
      </c>
      <c r="O1648">
        <v>5</v>
      </c>
      <c r="P1648" t="s">
        <v>55</v>
      </c>
      <c r="Q1648" t="b">
        <v>1</v>
      </c>
    </row>
    <row r="1649" spans="1:17">
      <c r="A1649" s="12">
        <v>43288</v>
      </c>
      <c r="B1649" s="10">
        <v>6.33</v>
      </c>
      <c r="C1649" s="10">
        <v>8.52</v>
      </c>
      <c r="D1649" s="10">
        <v>7</v>
      </c>
      <c r="E1649" s="10">
        <v>19</v>
      </c>
      <c r="F1649" s="10">
        <v>14</v>
      </c>
      <c r="G1649" s="10">
        <v>0</v>
      </c>
      <c r="H1649" s="10">
        <v>0</v>
      </c>
      <c r="I1649" s="10">
        <v>5.5</v>
      </c>
      <c r="J1649" s="10">
        <f>SUM(B1649:I1649)</f>
        <v>60.35</v>
      </c>
      <c r="K1649">
        <v>2018</v>
      </c>
      <c r="L1649">
        <v>7</v>
      </c>
      <c r="M1649" s="11">
        <v>43282</v>
      </c>
      <c r="N1649" t="s">
        <v>2179</v>
      </c>
      <c r="O1649">
        <v>6</v>
      </c>
      <c r="P1649" t="s">
        <v>57</v>
      </c>
      <c r="Q1649" t="b">
        <v>1</v>
      </c>
    </row>
    <row r="1650" spans="1:17">
      <c r="A1650" s="12">
        <v>43289</v>
      </c>
      <c r="B1650" s="10">
        <v>7.33</v>
      </c>
      <c r="C1650" s="10">
        <v>5.211</v>
      </c>
      <c r="D1650" s="10">
        <v>2</v>
      </c>
      <c r="E1650" s="10">
        <v>28</v>
      </c>
      <c r="F1650" s="10">
        <v>10</v>
      </c>
      <c r="G1650" s="10">
        <v>0</v>
      </c>
      <c r="H1650" s="10">
        <v>5</v>
      </c>
      <c r="I1650" s="10">
        <v>4</v>
      </c>
      <c r="J1650" s="10">
        <f>SUM(B1650:I1650)</f>
        <v>61.541</v>
      </c>
      <c r="K1650">
        <v>2018</v>
      </c>
      <c r="L1650">
        <v>7</v>
      </c>
      <c r="M1650" s="11">
        <v>43282</v>
      </c>
      <c r="N1650" t="s">
        <v>2179</v>
      </c>
      <c r="O1650">
        <v>7</v>
      </c>
      <c r="P1650" t="s">
        <v>59</v>
      </c>
      <c r="Q1650" t="b">
        <v>1</v>
      </c>
    </row>
    <row r="1651" spans="1:17">
      <c r="A1651" s="12">
        <v>43290</v>
      </c>
      <c r="B1651" s="10">
        <v>3.33</v>
      </c>
      <c r="C1651" s="10">
        <v>2</v>
      </c>
      <c r="D1651" s="10">
        <v>4</v>
      </c>
      <c r="E1651" s="10">
        <v>31</v>
      </c>
      <c r="F1651" s="10">
        <v>12</v>
      </c>
      <c r="G1651" s="10">
        <v>3</v>
      </c>
      <c r="H1651" s="10">
        <v>0</v>
      </c>
      <c r="I1651" s="10">
        <v>3</v>
      </c>
      <c r="J1651" s="10">
        <f>SUM(B1651:I1651)</f>
        <v>58.33</v>
      </c>
      <c r="K1651">
        <v>2018</v>
      </c>
      <c r="L1651">
        <v>7</v>
      </c>
      <c r="M1651" s="11">
        <v>43282</v>
      </c>
      <c r="N1651" t="s">
        <v>2179</v>
      </c>
      <c r="O1651">
        <v>1</v>
      </c>
      <c r="P1651" t="s">
        <v>61</v>
      </c>
      <c r="Q1651" t="b">
        <v>1</v>
      </c>
    </row>
    <row r="1652" spans="1:17">
      <c r="A1652" s="12">
        <v>43291</v>
      </c>
      <c r="B1652" s="10">
        <v>6</v>
      </c>
      <c r="C1652" s="10">
        <v>6.36</v>
      </c>
      <c r="D1652" s="10">
        <v>4</v>
      </c>
      <c r="E1652" s="10">
        <v>34</v>
      </c>
      <c r="F1652" s="10">
        <v>9</v>
      </c>
      <c r="G1652" s="10">
        <v>2</v>
      </c>
      <c r="H1652" s="10">
        <v>2</v>
      </c>
      <c r="I1652" s="10">
        <v>4</v>
      </c>
      <c r="J1652" s="10">
        <f>SUM(B1652:I1652)</f>
        <v>67.36</v>
      </c>
      <c r="K1652">
        <v>2018</v>
      </c>
      <c r="L1652">
        <v>7</v>
      </c>
      <c r="M1652" s="11">
        <v>43282</v>
      </c>
      <c r="N1652" t="s">
        <v>2179</v>
      </c>
      <c r="O1652">
        <v>2</v>
      </c>
      <c r="P1652" t="s">
        <v>63</v>
      </c>
      <c r="Q1652" t="b">
        <v>1</v>
      </c>
    </row>
    <row r="1653" spans="1:17">
      <c r="A1653" s="12">
        <v>43292</v>
      </c>
      <c r="B1653" s="10">
        <v>10</v>
      </c>
      <c r="C1653" s="10">
        <v>3.363</v>
      </c>
      <c r="D1653" s="10">
        <v>3</v>
      </c>
      <c r="E1653" s="10">
        <v>29.4</v>
      </c>
      <c r="F1653" s="10">
        <v>13</v>
      </c>
      <c r="G1653" s="10">
        <v>0</v>
      </c>
      <c r="H1653" s="10">
        <v>6</v>
      </c>
      <c r="I1653" s="10">
        <v>2</v>
      </c>
      <c r="J1653" s="10">
        <f>SUM(B1653:I1653)</f>
        <v>66.763</v>
      </c>
      <c r="K1653">
        <v>2018</v>
      </c>
      <c r="L1653">
        <v>7</v>
      </c>
      <c r="M1653" s="11">
        <v>43282</v>
      </c>
      <c r="N1653" t="s">
        <v>2179</v>
      </c>
      <c r="O1653">
        <v>3</v>
      </c>
      <c r="P1653" t="s">
        <v>65</v>
      </c>
      <c r="Q1653" t="b">
        <v>1</v>
      </c>
    </row>
    <row r="1654" spans="1:17">
      <c r="A1654" s="12">
        <v>43293</v>
      </c>
      <c r="B1654" s="10">
        <v>3</v>
      </c>
      <c r="C1654" s="10">
        <v>4.34</v>
      </c>
      <c r="D1654" s="10">
        <v>7</v>
      </c>
      <c r="E1654" s="10">
        <v>24</v>
      </c>
      <c r="F1654" s="10">
        <v>11</v>
      </c>
      <c r="G1654" s="10">
        <v>4</v>
      </c>
      <c r="H1654" s="10">
        <v>0</v>
      </c>
      <c r="I1654" s="10">
        <v>3</v>
      </c>
      <c r="J1654" s="10">
        <f>SUM(B1654:I1654)</f>
        <v>56.34</v>
      </c>
      <c r="K1654">
        <v>2018</v>
      </c>
      <c r="L1654">
        <v>7</v>
      </c>
      <c r="M1654" s="11">
        <v>43282</v>
      </c>
      <c r="N1654" t="s">
        <v>2179</v>
      </c>
      <c r="O1654">
        <v>4</v>
      </c>
      <c r="P1654" t="s">
        <v>53</v>
      </c>
      <c r="Q1654" t="b">
        <v>1</v>
      </c>
    </row>
    <row r="1655" spans="1:17">
      <c r="A1655" s="12">
        <v>43294</v>
      </c>
      <c r="B1655" s="10">
        <v>1.34</v>
      </c>
      <c r="C1655" s="10">
        <v>2.67</v>
      </c>
      <c r="D1655" s="10">
        <v>1.15</v>
      </c>
      <c r="E1655" s="10">
        <v>22</v>
      </c>
      <c r="F1655" s="10">
        <v>5</v>
      </c>
      <c r="G1655" s="10">
        <v>0</v>
      </c>
      <c r="H1655" s="10">
        <v>2</v>
      </c>
      <c r="I1655" s="10">
        <v>3</v>
      </c>
      <c r="J1655" s="10">
        <f>SUM(B1655:I1655)</f>
        <v>37.16</v>
      </c>
      <c r="K1655">
        <v>2018</v>
      </c>
      <c r="L1655">
        <v>7</v>
      </c>
      <c r="M1655" s="11">
        <v>43282</v>
      </c>
      <c r="N1655" t="s">
        <v>2179</v>
      </c>
      <c r="O1655">
        <v>5</v>
      </c>
      <c r="P1655" t="s">
        <v>55</v>
      </c>
      <c r="Q1655" t="b">
        <v>1</v>
      </c>
    </row>
    <row r="1656" spans="1:17">
      <c r="A1656" s="12">
        <v>43295</v>
      </c>
      <c r="B1656" s="10">
        <v>0</v>
      </c>
      <c r="C1656" s="10">
        <v>3.2</v>
      </c>
      <c r="D1656" s="10">
        <v>0</v>
      </c>
      <c r="E1656" s="10">
        <v>26</v>
      </c>
      <c r="F1656" s="10">
        <v>8</v>
      </c>
      <c r="G1656" s="10">
        <v>0</v>
      </c>
      <c r="H1656" s="10">
        <v>0</v>
      </c>
      <c r="I1656" s="10">
        <v>1.4</v>
      </c>
      <c r="J1656" s="10">
        <f>SUM(B1656:I1656)</f>
        <v>38.6</v>
      </c>
      <c r="K1656">
        <v>2018</v>
      </c>
      <c r="L1656">
        <v>7</v>
      </c>
      <c r="M1656" s="11">
        <v>43282</v>
      </c>
      <c r="N1656" t="s">
        <v>2179</v>
      </c>
      <c r="O1656">
        <v>6</v>
      </c>
      <c r="P1656" t="s">
        <v>57</v>
      </c>
      <c r="Q1656" t="b">
        <v>1</v>
      </c>
    </row>
    <row r="1657" spans="1:17">
      <c r="A1657" s="12">
        <v>43296</v>
      </c>
      <c r="B1657" s="10">
        <v>10</v>
      </c>
      <c r="C1657" s="10">
        <v>9.42</v>
      </c>
      <c r="D1657" s="10">
        <v>3.5</v>
      </c>
      <c r="E1657" s="10">
        <v>23</v>
      </c>
      <c r="F1657" s="10">
        <v>4</v>
      </c>
      <c r="G1657" s="10">
        <v>0</v>
      </c>
      <c r="H1657" s="10">
        <v>1</v>
      </c>
      <c r="I1657" s="10">
        <v>7</v>
      </c>
      <c r="J1657" s="10">
        <f>SUM(B1657:I1657)</f>
        <v>57.92</v>
      </c>
      <c r="K1657">
        <v>2018</v>
      </c>
      <c r="L1657">
        <v>7</v>
      </c>
      <c r="M1657" s="11">
        <v>43282</v>
      </c>
      <c r="N1657" t="s">
        <v>2179</v>
      </c>
      <c r="O1657">
        <v>7</v>
      </c>
      <c r="P1657" t="s">
        <v>59</v>
      </c>
      <c r="Q1657" t="b">
        <v>1</v>
      </c>
    </row>
    <row r="1658" spans="1:17">
      <c r="A1658" s="12">
        <v>43297</v>
      </c>
      <c r="B1658" s="10">
        <v>9.33</v>
      </c>
      <c r="C1658" s="10">
        <v>5.023</v>
      </c>
      <c r="D1658" s="10">
        <v>1</v>
      </c>
      <c r="E1658" s="10">
        <v>22</v>
      </c>
      <c r="F1658" s="10">
        <v>8</v>
      </c>
      <c r="G1658" s="10">
        <v>0</v>
      </c>
      <c r="H1658" s="10">
        <v>0</v>
      </c>
      <c r="I1658" s="10">
        <v>3</v>
      </c>
      <c r="J1658" s="10">
        <f>SUM(B1658:I1658)</f>
        <v>48.353</v>
      </c>
      <c r="K1658">
        <v>2018</v>
      </c>
      <c r="L1658">
        <v>7</v>
      </c>
      <c r="M1658" s="11">
        <v>43282</v>
      </c>
      <c r="N1658" t="s">
        <v>2179</v>
      </c>
      <c r="O1658">
        <v>1</v>
      </c>
      <c r="P1658" t="s">
        <v>61</v>
      </c>
      <c r="Q1658" t="b">
        <v>1</v>
      </c>
    </row>
    <row r="1659" spans="1:17">
      <c r="A1659" s="12">
        <v>43298</v>
      </c>
      <c r="B1659" s="10">
        <v>2.33</v>
      </c>
      <c r="C1659" s="10">
        <v>3.66</v>
      </c>
      <c r="D1659" s="10">
        <v>2</v>
      </c>
      <c r="E1659" s="10">
        <v>29.4</v>
      </c>
      <c r="F1659" s="10">
        <v>13</v>
      </c>
      <c r="G1659" s="10">
        <v>0</v>
      </c>
      <c r="H1659" s="10">
        <v>0</v>
      </c>
      <c r="I1659" s="10">
        <v>6</v>
      </c>
      <c r="J1659" s="10">
        <f>SUM(B1659:I1659)</f>
        <v>56.39</v>
      </c>
      <c r="K1659">
        <v>2018</v>
      </c>
      <c r="L1659">
        <v>7</v>
      </c>
      <c r="M1659" s="11">
        <v>43282</v>
      </c>
      <c r="N1659" t="s">
        <v>2179</v>
      </c>
      <c r="O1659">
        <v>2</v>
      </c>
      <c r="P1659" t="s">
        <v>63</v>
      </c>
      <c r="Q1659" t="b">
        <v>1</v>
      </c>
    </row>
    <row r="1660" spans="1:17">
      <c r="A1660" s="12">
        <v>43299</v>
      </c>
      <c r="B1660" s="10">
        <v>2.5</v>
      </c>
      <c r="C1660" s="10">
        <v>2.837</v>
      </c>
      <c r="D1660" s="10">
        <v>5</v>
      </c>
      <c r="E1660" s="10">
        <v>10</v>
      </c>
      <c r="F1660" s="10">
        <v>17</v>
      </c>
      <c r="G1660" s="10">
        <v>0</v>
      </c>
      <c r="H1660" s="10">
        <v>12</v>
      </c>
      <c r="I1660" s="10">
        <v>6</v>
      </c>
      <c r="J1660" s="10">
        <f>SUM(B1660:I1660)</f>
        <v>55.337</v>
      </c>
      <c r="K1660">
        <v>2018</v>
      </c>
      <c r="L1660">
        <v>7</v>
      </c>
      <c r="M1660" s="11">
        <v>43282</v>
      </c>
      <c r="N1660" t="s">
        <v>2179</v>
      </c>
      <c r="O1660">
        <v>3</v>
      </c>
      <c r="P1660" t="s">
        <v>65</v>
      </c>
      <c r="Q1660" t="b">
        <v>1</v>
      </c>
    </row>
    <row r="1661" spans="1:17">
      <c r="A1661" s="12">
        <v>43300</v>
      </c>
      <c r="B1661" s="10">
        <v>6.84</v>
      </c>
      <c r="C1661" s="10">
        <v>4</v>
      </c>
      <c r="D1661" s="10">
        <v>3</v>
      </c>
      <c r="E1661" s="10">
        <v>16</v>
      </c>
      <c r="F1661" s="10">
        <v>14</v>
      </c>
      <c r="G1661" s="10">
        <v>1</v>
      </c>
      <c r="H1661" s="10">
        <v>0</v>
      </c>
      <c r="I1661" s="10">
        <v>3</v>
      </c>
      <c r="J1661" s="10">
        <f>SUM(B1661:I1661)</f>
        <v>47.84</v>
      </c>
      <c r="K1661">
        <v>2018</v>
      </c>
      <c r="L1661">
        <v>7</v>
      </c>
      <c r="M1661" s="11">
        <v>43282</v>
      </c>
      <c r="N1661" t="s">
        <v>2179</v>
      </c>
      <c r="O1661">
        <v>4</v>
      </c>
      <c r="P1661" t="s">
        <v>53</v>
      </c>
      <c r="Q1661" t="b">
        <v>1</v>
      </c>
    </row>
    <row r="1662" spans="1:17">
      <c r="A1662" s="12">
        <v>43301</v>
      </c>
      <c r="B1662" s="10">
        <v>5</v>
      </c>
      <c r="C1662" s="10">
        <v>7.177</v>
      </c>
      <c r="D1662" s="10">
        <v>5</v>
      </c>
      <c r="E1662" s="10">
        <v>35.2</v>
      </c>
      <c r="F1662" s="10">
        <v>2</v>
      </c>
      <c r="G1662" s="10">
        <v>1</v>
      </c>
      <c r="H1662" s="10">
        <v>2</v>
      </c>
      <c r="I1662" s="10">
        <v>4</v>
      </c>
      <c r="J1662" s="10">
        <f>SUM(B1662:I1662)</f>
        <v>61.377</v>
      </c>
      <c r="K1662">
        <v>2018</v>
      </c>
      <c r="L1662">
        <v>7</v>
      </c>
      <c r="M1662" s="11">
        <v>43282</v>
      </c>
      <c r="N1662" t="s">
        <v>2179</v>
      </c>
      <c r="O1662">
        <v>5</v>
      </c>
      <c r="P1662" t="s">
        <v>55</v>
      </c>
      <c r="Q1662" t="b">
        <v>1</v>
      </c>
    </row>
    <row r="1663" spans="1:17">
      <c r="A1663" s="12">
        <v>43302</v>
      </c>
      <c r="B1663" s="10">
        <v>4</v>
      </c>
      <c r="C1663" s="10">
        <v>5.02</v>
      </c>
      <c r="D1663" s="10">
        <v>0.3</v>
      </c>
      <c r="E1663" s="10">
        <v>22</v>
      </c>
      <c r="F1663" s="10">
        <v>7</v>
      </c>
      <c r="G1663" s="10">
        <v>0</v>
      </c>
      <c r="H1663" s="10">
        <v>5</v>
      </c>
      <c r="I1663" s="10">
        <v>1</v>
      </c>
      <c r="J1663" s="10">
        <f>SUM(B1663:I1663)</f>
        <v>44.32</v>
      </c>
      <c r="K1663">
        <v>2018</v>
      </c>
      <c r="L1663">
        <v>7</v>
      </c>
      <c r="M1663" s="11">
        <v>43282</v>
      </c>
      <c r="N1663" t="s">
        <v>2179</v>
      </c>
      <c r="O1663">
        <v>6</v>
      </c>
      <c r="P1663" t="s">
        <v>57</v>
      </c>
      <c r="Q1663" t="b">
        <v>1</v>
      </c>
    </row>
    <row r="1664" spans="1:17">
      <c r="A1664" s="12">
        <v>43303</v>
      </c>
      <c r="B1664" s="10">
        <v>3.66</v>
      </c>
      <c r="C1664" s="10">
        <v>4.34</v>
      </c>
      <c r="D1664" s="10">
        <v>0</v>
      </c>
      <c r="E1664" s="10">
        <v>31</v>
      </c>
      <c r="F1664" s="10">
        <v>4</v>
      </c>
      <c r="G1664" s="10">
        <v>0</v>
      </c>
      <c r="H1664" s="10">
        <v>5</v>
      </c>
      <c r="I1664" s="10">
        <v>6</v>
      </c>
      <c r="J1664" s="10">
        <f>SUM(B1664:I1664)</f>
        <v>54.0</v>
      </c>
      <c r="K1664">
        <v>2018</v>
      </c>
      <c r="L1664">
        <v>7</v>
      </c>
      <c r="M1664" s="11">
        <v>43282</v>
      </c>
      <c r="N1664" t="s">
        <v>2179</v>
      </c>
      <c r="O1664">
        <v>7</v>
      </c>
      <c r="P1664" t="s">
        <v>59</v>
      </c>
      <c r="Q1664" t="b">
        <v>1</v>
      </c>
    </row>
    <row r="1665" spans="1:17">
      <c r="A1665" s="12">
        <v>43304</v>
      </c>
      <c r="B1665" s="10">
        <v>8.68</v>
      </c>
      <c r="C1665" s="10">
        <v>1.863</v>
      </c>
      <c r="D1665" s="10">
        <v>2.1</v>
      </c>
      <c r="E1665" s="10">
        <v>12</v>
      </c>
      <c r="F1665" s="10">
        <v>15</v>
      </c>
      <c r="G1665" s="10">
        <v>1</v>
      </c>
      <c r="H1665" s="10">
        <v>0</v>
      </c>
      <c r="I1665" s="10">
        <v>5.3</v>
      </c>
      <c r="J1665" s="10">
        <f>SUM(B1665:I1665)</f>
        <v>45.943</v>
      </c>
      <c r="K1665">
        <v>2018</v>
      </c>
      <c r="L1665">
        <v>7</v>
      </c>
      <c r="M1665" s="11">
        <v>43282</v>
      </c>
      <c r="N1665" t="s">
        <v>2179</v>
      </c>
      <c r="O1665">
        <v>1</v>
      </c>
      <c r="P1665" t="s">
        <v>61</v>
      </c>
      <c r="Q1665" t="b">
        <v>1</v>
      </c>
    </row>
    <row r="1666" spans="1:17">
      <c r="A1666" s="12">
        <v>43305</v>
      </c>
      <c r="B1666" s="10">
        <v>9.68</v>
      </c>
      <c r="C1666" s="10">
        <v>4</v>
      </c>
      <c r="D1666" s="10">
        <v>2</v>
      </c>
      <c r="E1666" s="10">
        <v>22</v>
      </c>
      <c r="F1666" s="10">
        <v>4</v>
      </c>
      <c r="G1666" s="10">
        <v>1</v>
      </c>
      <c r="H1666" s="10">
        <v>2</v>
      </c>
      <c r="I1666" s="10">
        <v>2</v>
      </c>
      <c r="J1666" s="10">
        <f>SUM(B1666:I1666)</f>
        <v>46.68</v>
      </c>
      <c r="K1666">
        <v>2018</v>
      </c>
      <c r="L1666">
        <v>7</v>
      </c>
      <c r="M1666" s="11">
        <v>43282</v>
      </c>
      <c r="N1666" t="s">
        <v>2179</v>
      </c>
      <c r="O1666">
        <v>2</v>
      </c>
      <c r="P1666" t="s">
        <v>63</v>
      </c>
      <c r="Q1666" t="b">
        <v>1</v>
      </c>
    </row>
    <row r="1667" spans="1:17">
      <c r="A1667" s="12">
        <v>43306</v>
      </c>
      <c r="B1667" s="10">
        <v>5</v>
      </c>
      <c r="C1667" s="10">
        <v>2.68</v>
      </c>
      <c r="D1667" s="10">
        <v>2</v>
      </c>
      <c r="E1667" s="10">
        <v>16</v>
      </c>
      <c r="F1667" s="10">
        <v>7</v>
      </c>
      <c r="G1667" s="10">
        <v>0</v>
      </c>
      <c r="H1667" s="10">
        <v>0</v>
      </c>
      <c r="I1667" s="10">
        <v>2</v>
      </c>
      <c r="J1667" s="10">
        <f>SUM(B1667:I1667)</f>
        <v>34.68</v>
      </c>
      <c r="K1667">
        <v>2018</v>
      </c>
      <c r="L1667">
        <v>7</v>
      </c>
      <c r="M1667" s="11">
        <v>43282</v>
      </c>
      <c r="N1667" t="s">
        <v>2179</v>
      </c>
      <c r="O1667">
        <v>3</v>
      </c>
      <c r="P1667" t="s">
        <v>65</v>
      </c>
      <c r="Q1667" t="b">
        <v>1</v>
      </c>
    </row>
    <row r="1668" spans="1:17">
      <c r="A1668" s="12">
        <v>43307</v>
      </c>
      <c r="B1668" s="10">
        <v>4.33</v>
      </c>
      <c r="C1668" s="10">
        <v>1.827</v>
      </c>
      <c r="D1668" s="10">
        <v>5</v>
      </c>
      <c r="E1668" s="10">
        <v>24</v>
      </c>
      <c r="F1668" s="10">
        <v>4</v>
      </c>
      <c r="G1668" s="10">
        <v>0</v>
      </c>
      <c r="H1668" s="10">
        <v>1</v>
      </c>
      <c r="I1668" s="10">
        <v>4</v>
      </c>
      <c r="J1668" s="10">
        <f>SUM(B1668:I1668)</f>
        <v>44.157</v>
      </c>
      <c r="K1668">
        <v>2018</v>
      </c>
      <c r="L1668">
        <v>7</v>
      </c>
      <c r="M1668" s="11">
        <v>43282</v>
      </c>
      <c r="N1668" t="s">
        <v>2179</v>
      </c>
      <c r="O1668">
        <v>4</v>
      </c>
      <c r="P1668" t="s">
        <v>53</v>
      </c>
      <c r="Q1668" t="b">
        <v>1</v>
      </c>
    </row>
    <row r="1669" spans="1:17">
      <c r="A1669" s="12">
        <v>43308</v>
      </c>
      <c r="B1669" s="10">
        <v>2.34</v>
      </c>
      <c r="C1669" s="10">
        <v>3.34</v>
      </c>
      <c r="D1669" s="10">
        <v>3</v>
      </c>
      <c r="E1669" s="10">
        <v>19.4</v>
      </c>
      <c r="F1669" s="10">
        <v>11</v>
      </c>
      <c r="G1669" s="10">
        <v>0</v>
      </c>
      <c r="H1669" s="10">
        <v>1</v>
      </c>
      <c r="I1669" s="10">
        <v>6</v>
      </c>
      <c r="J1669" s="10">
        <f>SUM(B1669:I1669)</f>
        <v>46.08</v>
      </c>
      <c r="K1669">
        <v>2018</v>
      </c>
      <c r="L1669">
        <v>7</v>
      </c>
      <c r="M1669" s="11">
        <v>43282</v>
      </c>
      <c r="N1669" t="s">
        <v>2179</v>
      </c>
      <c r="O1669">
        <v>5</v>
      </c>
      <c r="P1669" t="s">
        <v>55</v>
      </c>
      <c r="Q1669" t="b">
        <v>1</v>
      </c>
    </row>
    <row r="1670" spans="1:17">
      <c r="A1670" s="12">
        <v>43309</v>
      </c>
      <c r="B1670" s="10">
        <v>6</v>
      </c>
      <c r="C1670" s="10">
        <v>4.01</v>
      </c>
      <c r="D1670" s="10">
        <v>1</v>
      </c>
      <c r="E1670" s="10">
        <v>24.5</v>
      </c>
      <c r="F1670" s="10">
        <v>9</v>
      </c>
      <c r="G1670" s="10">
        <v>0</v>
      </c>
      <c r="H1670" s="10">
        <v>0</v>
      </c>
      <c r="I1670" s="10">
        <v>3</v>
      </c>
      <c r="J1670" s="10">
        <f>SUM(B1670:I1670)</f>
        <v>47.51</v>
      </c>
      <c r="K1670">
        <v>2018</v>
      </c>
      <c r="L1670">
        <v>7</v>
      </c>
      <c r="M1670" s="11">
        <v>43282</v>
      </c>
      <c r="N1670" t="s">
        <v>2179</v>
      </c>
      <c r="O1670">
        <v>6</v>
      </c>
      <c r="P1670" t="s">
        <v>57</v>
      </c>
      <c r="Q1670" t="b">
        <v>1</v>
      </c>
    </row>
    <row r="1671" spans="1:17">
      <c r="A1671" s="12">
        <v>43310</v>
      </c>
      <c r="B1671" s="10">
        <v>3.5</v>
      </c>
      <c r="C1671" s="10">
        <v>4.35</v>
      </c>
      <c r="D1671" s="10">
        <v>2.1</v>
      </c>
      <c r="E1671" s="10">
        <v>9</v>
      </c>
      <c r="F1671" s="10">
        <v>7</v>
      </c>
      <c r="G1671" s="10">
        <v>1</v>
      </c>
      <c r="H1671" s="10">
        <v>0</v>
      </c>
      <c r="I1671" s="10">
        <v>3</v>
      </c>
      <c r="J1671" s="10">
        <f>SUM(B1671:I1671)</f>
        <v>29.95</v>
      </c>
      <c r="K1671">
        <v>2018</v>
      </c>
      <c r="L1671">
        <v>7</v>
      </c>
      <c r="M1671" s="11">
        <v>43282</v>
      </c>
      <c r="N1671" t="s">
        <v>2179</v>
      </c>
      <c r="O1671">
        <v>7</v>
      </c>
      <c r="P1671" t="s">
        <v>59</v>
      </c>
      <c r="Q1671" t="b">
        <v>1</v>
      </c>
    </row>
    <row r="1672" spans="1:17">
      <c r="A1672" s="12">
        <v>43311</v>
      </c>
      <c r="B1672" s="10">
        <v>3</v>
      </c>
      <c r="C1672" s="10">
        <v>6.33</v>
      </c>
      <c r="D1672" s="10">
        <v>5.3</v>
      </c>
      <c r="E1672" s="10">
        <v>26</v>
      </c>
      <c r="F1672" s="10">
        <v>9</v>
      </c>
      <c r="G1672" s="10">
        <v>2</v>
      </c>
      <c r="H1672" s="10">
        <v>0</v>
      </c>
      <c r="I1672" s="10">
        <v>4</v>
      </c>
      <c r="J1672" s="10">
        <f>SUM(B1672:I1672)</f>
        <v>55.629999999999995</v>
      </c>
      <c r="K1672">
        <v>2018</v>
      </c>
      <c r="L1672">
        <v>7</v>
      </c>
      <c r="M1672" s="11">
        <v>43282</v>
      </c>
      <c r="N1672" t="s">
        <v>2179</v>
      </c>
      <c r="O1672">
        <v>1</v>
      </c>
      <c r="P1672" t="s">
        <v>61</v>
      </c>
      <c r="Q1672" t="b">
        <v>1</v>
      </c>
    </row>
    <row r="1673" spans="1:17">
      <c r="A1673" s="12">
        <v>43312</v>
      </c>
      <c r="B1673" s="10">
        <v>7.33</v>
      </c>
      <c r="C1673" s="10">
        <v>3.736</v>
      </c>
      <c r="D1673" s="10">
        <v>3</v>
      </c>
      <c r="E1673" s="10">
        <v>13</v>
      </c>
      <c r="F1673" s="10">
        <v>5</v>
      </c>
      <c r="G1673" s="10">
        <v>0</v>
      </c>
      <c r="H1673" s="10">
        <v>0</v>
      </c>
      <c r="I1673" s="10">
        <v>3</v>
      </c>
      <c r="J1673" s="10">
        <f>SUM(B1673:I1673)</f>
        <v>35.066</v>
      </c>
      <c r="K1673">
        <v>2018</v>
      </c>
      <c r="L1673">
        <v>7</v>
      </c>
      <c r="M1673" s="11">
        <v>43282</v>
      </c>
      <c r="N1673" t="s">
        <v>2179</v>
      </c>
      <c r="O1673">
        <v>2</v>
      </c>
      <c r="P1673" t="s">
        <v>63</v>
      </c>
      <c r="Q1673" t="b">
        <v>1</v>
      </c>
    </row>
    <row r="1674" spans="1:17">
      <c r="A1674" s="12">
        <v>43313</v>
      </c>
      <c r="B1674" s="10">
        <v>1</v>
      </c>
      <c r="C1674" s="10">
        <v>2.34</v>
      </c>
      <c r="D1674" s="10">
        <v>1</v>
      </c>
      <c r="E1674" s="10">
        <v>14</v>
      </c>
      <c r="F1674" s="10">
        <v>9</v>
      </c>
      <c r="G1674" s="10">
        <v>1</v>
      </c>
      <c r="H1674" s="10">
        <v>1</v>
      </c>
      <c r="I1674" s="10">
        <v>7</v>
      </c>
      <c r="J1674" s="10">
        <f>SUM(B1674:I1674)</f>
        <v>36.34</v>
      </c>
      <c r="K1674">
        <v>2018</v>
      </c>
      <c r="L1674">
        <v>8</v>
      </c>
      <c r="M1674" s="11">
        <v>43313</v>
      </c>
      <c r="N1674" t="s">
        <v>2180</v>
      </c>
      <c r="O1674">
        <v>3</v>
      </c>
      <c r="P1674" t="s">
        <v>65</v>
      </c>
      <c r="Q1674" t="b">
        <v>1</v>
      </c>
    </row>
    <row r="1675" spans="1:17">
      <c r="A1675" s="12">
        <v>43314</v>
      </c>
      <c r="B1675" s="10">
        <v>0</v>
      </c>
      <c r="C1675" s="10">
        <v>1</v>
      </c>
      <c r="D1675" s="10">
        <v>0</v>
      </c>
      <c r="E1675" s="10">
        <v>11</v>
      </c>
      <c r="F1675" s="10">
        <v>11</v>
      </c>
      <c r="G1675" s="10">
        <v>0</v>
      </c>
      <c r="H1675" s="10">
        <v>2</v>
      </c>
      <c r="I1675" s="10">
        <v>5</v>
      </c>
      <c r="J1675" s="10">
        <f>SUM(B1675:I1675)</f>
        <v>30.0</v>
      </c>
      <c r="K1675">
        <v>2018</v>
      </c>
      <c r="L1675">
        <v>8</v>
      </c>
      <c r="M1675" s="11">
        <v>43313</v>
      </c>
      <c r="N1675" t="s">
        <v>2180</v>
      </c>
      <c r="O1675">
        <v>4</v>
      </c>
      <c r="P1675" t="s">
        <v>53</v>
      </c>
      <c r="Q1675" t="b">
        <v>1</v>
      </c>
    </row>
    <row r="1676" spans="1:17">
      <c r="A1676" s="12">
        <v>43315</v>
      </c>
      <c r="B1676" s="10">
        <v>4.01</v>
      </c>
      <c r="C1676" s="10">
        <v>2.67</v>
      </c>
      <c r="D1676" s="10">
        <v>2</v>
      </c>
      <c r="E1676" s="10">
        <v>21</v>
      </c>
      <c r="F1676" s="10">
        <v>9</v>
      </c>
      <c r="G1676" s="10">
        <v>0</v>
      </c>
      <c r="H1676" s="10">
        <v>0</v>
      </c>
      <c r="I1676" s="10">
        <v>1</v>
      </c>
      <c r="J1676" s="10">
        <f>SUM(B1676:I1676)</f>
        <v>39.68</v>
      </c>
      <c r="K1676">
        <v>2018</v>
      </c>
      <c r="L1676">
        <v>8</v>
      </c>
      <c r="M1676" s="11">
        <v>43313</v>
      </c>
      <c r="N1676" t="s">
        <v>2180</v>
      </c>
      <c r="O1676">
        <v>5</v>
      </c>
      <c r="P1676" t="s">
        <v>55</v>
      </c>
      <c r="Q1676" t="b">
        <v>1</v>
      </c>
    </row>
    <row r="1677" spans="1:17">
      <c r="A1677" s="12">
        <v>43316</v>
      </c>
      <c r="B1677" s="10">
        <v>5</v>
      </c>
      <c r="C1677" s="10">
        <v>3.87</v>
      </c>
      <c r="D1677" s="10">
        <v>2</v>
      </c>
      <c r="E1677" s="10">
        <v>8</v>
      </c>
      <c r="F1677" s="10">
        <v>11</v>
      </c>
      <c r="G1677" s="10">
        <v>3</v>
      </c>
      <c r="H1677" s="10">
        <v>0</v>
      </c>
      <c r="I1677" s="10">
        <v>8</v>
      </c>
      <c r="J1677" s="10">
        <f>SUM(B1677:I1677)</f>
        <v>40.870000000000005</v>
      </c>
      <c r="K1677">
        <v>2018</v>
      </c>
      <c r="L1677">
        <v>8</v>
      </c>
      <c r="M1677" s="11">
        <v>43313</v>
      </c>
      <c r="N1677" t="s">
        <v>2180</v>
      </c>
      <c r="O1677">
        <v>6</v>
      </c>
      <c r="P1677" t="s">
        <v>57</v>
      </c>
      <c r="Q1677" t="b">
        <v>1</v>
      </c>
    </row>
    <row r="1678" spans="1:17">
      <c r="A1678" s="12">
        <v>43317</v>
      </c>
      <c r="B1678" s="10">
        <v>6</v>
      </c>
      <c r="C1678" s="10">
        <v>0.99</v>
      </c>
      <c r="D1678" s="10">
        <v>5</v>
      </c>
      <c r="E1678" s="10">
        <v>13</v>
      </c>
      <c r="F1678" s="10">
        <v>4</v>
      </c>
      <c r="G1678" s="10">
        <v>2</v>
      </c>
      <c r="H1678" s="10">
        <v>6</v>
      </c>
      <c r="I1678" s="10">
        <v>1.3</v>
      </c>
      <c r="J1678" s="10">
        <f>SUM(B1678:I1678)</f>
        <v>38.29</v>
      </c>
      <c r="K1678">
        <v>2018</v>
      </c>
      <c r="L1678">
        <v>8</v>
      </c>
      <c r="M1678" s="11">
        <v>43313</v>
      </c>
      <c r="N1678" t="s">
        <v>2180</v>
      </c>
      <c r="O1678">
        <v>7</v>
      </c>
      <c r="P1678" t="s">
        <v>59</v>
      </c>
      <c r="Q1678" t="b">
        <v>1</v>
      </c>
    </row>
    <row r="1679" spans="1:17">
      <c r="A1679" s="12">
        <v>43318</v>
      </c>
      <c r="B1679" s="10">
        <v>8.33</v>
      </c>
      <c r="C1679" s="10">
        <v>6.165</v>
      </c>
      <c r="D1679" s="10">
        <v>2</v>
      </c>
      <c r="E1679" s="10">
        <v>21.388</v>
      </c>
      <c r="F1679" s="10">
        <v>7</v>
      </c>
      <c r="G1679" s="10">
        <v>0</v>
      </c>
      <c r="H1679" s="10">
        <v>6</v>
      </c>
      <c r="I1679" s="10">
        <v>2</v>
      </c>
      <c r="J1679" s="10">
        <f>SUM(B1679:I1679)</f>
        <v>52.883</v>
      </c>
      <c r="K1679">
        <v>2018</v>
      </c>
      <c r="L1679">
        <v>8</v>
      </c>
      <c r="M1679" s="11">
        <v>43313</v>
      </c>
      <c r="N1679" t="s">
        <v>2180</v>
      </c>
      <c r="O1679">
        <v>1</v>
      </c>
      <c r="P1679" t="s">
        <v>61</v>
      </c>
      <c r="Q1679" t="b">
        <v>1</v>
      </c>
    </row>
    <row r="1680" spans="1:17">
      <c r="A1680" s="12">
        <v>43319</v>
      </c>
      <c r="B1680" s="10">
        <v>2.33</v>
      </c>
      <c r="C1680" s="10">
        <v>2.67</v>
      </c>
      <c r="D1680" s="10">
        <v>8</v>
      </c>
      <c r="E1680" s="10">
        <v>15</v>
      </c>
      <c r="F1680" s="10">
        <v>7</v>
      </c>
      <c r="G1680" s="10">
        <v>1</v>
      </c>
      <c r="H1680" s="10">
        <v>1</v>
      </c>
      <c r="I1680" s="10">
        <v>3</v>
      </c>
      <c r="J1680" s="10">
        <f>SUM(B1680:I1680)</f>
        <v>40.0</v>
      </c>
      <c r="K1680">
        <v>2018</v>
      </c>
      <c r="L1680">
        <v>8</v>
      </c>
      <c r="M1680" s="11">
        <v>43313</v>
      </c>
      <c r="N1680" t="s">
        <v>2180</v>
      </c>
      <c r="O1680">
        <v>2</v>
      </c>
      <c r="P1680" t="s">
        <v>63</v>
      </c>
      <c r="Q1680" t="b">
        <v>1</v>
      </c>
    </row>
    <row r="1681" spans="1:17">
      <c r="A1681" s="12">
        <v>43320</v>
      </c>
      <c r="B1681" s="10">
        <v>4.33</v>
      </c>
      <c r="C1681" s="10">
        <v>2.793</v>
      </c>
      <c r="D1681" s="10">
        <v>2</v>
      </c>
      <c r="E1681" s="10">
        <v>10</v>
      </c>
      <c r="F1681" s="10">
        <v>13</v>
      </c>
      <c r="G1681" s="10">
        <v>0</v>
      </c>
      <c r="H1681" s="10">
        <v>0</v>
      </c>
      <c r="I1681" s="10">
        <v>2</v>
      </c>
      <c r="J1681" s="10">
        <f>SUM(B1681:I1681)</f>
        <v>34.123000000000005</v>
      </c>
      <c r="K1681">
        <v>2018</v>
      </c>
      <c r="L1681">
        <v>8</v>
      </c>
      <c r="M1681" s="11">
        <v>43313</v>
      </c>
      <c r="N1681" t="s">
        <v>2180</v>
      </c>
      <c r="O1681">
        <v>3</v>
      </c>
      <c r="P1681" t="s">
        <v>65</v>
      </c>
      <c r="Q1681" t="b">
        <v>1</v>
      </c>
    </row>
    <row r="1682" spans="1:17">
      <c r="A1682" s="12">
        <v>43321</v>
      </c>
      <c r="B1682" s="10">
        <v>2.67</v>
      </c>
      <c r="C1682" s="10">
        <v>3.066</v>
      </c>
      <c r="D1682" s="10">
        <v>1</v>
      </c>
      <c r="E1682" s="10">
        <v>29.4</v>
      </c>
      <c r="F1682" s="10">
        <v>13</v>
      </c>
      <c r="G1682" s="10">
        <v>0</v>
      </c>
      <c r="H1682" s="10">
        <v>0</v>
      </c>
      <c r="I1682" s="10">
        <v>2</v>
      </c>
      <c r="J1682" s="10">
        <f>SUM(B1682:I1682)</f>
        <v>51.135999999999996</v>
      </c>
      <c r="K1682">
        <v>2018</v>
      </c>
      <c r="L1682">
        <v>8</v>
      </c>
      <c r="M1682" s="11">
        <v>43313</v>
      </c>
      <c r="N1682" t="s">
        <v>2180</v>
      </c>
      <c r="O1682">
        <v>4</v>
      </c>
      <c r="P1682" t="s">
        <v>53</v>
      </c>
      <c r="Q1682" t="b">
        <v>1</v>
      </c>
    </row>
    <row r="1683" spans="1:17">
      <c r="A1683" s="12">
        <v>43322</v>
      </c>
      <c r="B1683" s="10">
        <v>6</v>
      </c>
      <c r="C1683" s="10">
        <v>4</v>
      </c>
      <c r="D1683" s="10">
        <v>4</v>
      </c>
      <c r="E1683" s="10">
        <v>19</v>
      </c>
      <c r="F1683" s="10">
        <v>4</v>
      </c>
      <c r="G1683" s="10">
        <v>0</v>
      </c>
      <c r="H1683" s="10">
        <v>0</v>
      </c>
      <c r="I1683" s="10">
        <v>2</v>
      </c>
      <c r="J1683" s="10">
        <f>SUM(B1683:I1683)</f>
        <v>39.0</v>
      </c>
      <c r="K1683">
        <v>2018</v>
      </c>
      <c r="L1683">
        <v>8</v>
      </c>
      <c r="M1683" s="11">
        <v>43313</v>
      </c>
      <c r="N1683" t="s">
        <v>2180</v>
      </c>
      <c r="O1683">
        <v>5</v>
      </c>
      <c r="P1683" t="s">
        <v>55</v>
      </c>
      <c r="Q1683" t="b">
        <v>1</v>
      </c>
    </row>
    <row r="1684" spans="1:17">
      <c r="A1684" s="12">
        <v>43323</v>
      </c>
      <c r="B1684" s="10">
        <v>4</v>
      </c>
      <c r="C1684" s="10">
        <v>4.133</v>
      </c>
      <c r="D1684" s="10">
        <v>6</v>
      </c>
      <c r="E1684" s="10">
        <v>37</v>
      </c>
      <c r="F1684" s="10">
        <v>16</v>
      </c>
      <c r="G1684" s="10">
        <v>1</v>
      </c>
      <c r="H1684" s="10">
        <v>5</v>
      </c>
      <c r="I1684" s="10">
        <v>10</v>
      </c>
      <c r="J1684" s="10">
        <f>SUM(B1684:I1684)</f>
        <v>83.133</v>
      </c>
      <c r="K1684">
        <v>2018</v>
      </c>
      <c r="L1684">
        <v>8</v>
      </c>
      <c r="M1684" s="11">
        <v>43313</v>
      </c>
      <c r="N1684" t="s">
        <v>2180</v>
      </c>
      <c r="O1684">
        <v>6</v>
      </c>
      <c r="P1684" t="s">
        <v>57</v>
      </c>
      <c r="Q1684" t="b">
        <v>1</v>
      </c>
    </row>
    <row r="1685" spans="1:17">
      <c r="A1685" s="12">
        <v>43324</v>
      </c>
      <c r="B1685" s="10">
        <v>10.99</v>
      </c>
      <c r="C1685" s="10">
        <v>4.99</v>
      </c>
      <c r="D1685" s="10">
        <v>6</v>
      </c>
      <c r="E1685" s="10">
        <v>16</v>
      </c>
      <c r="F1685" s="10">
        <v>6</v>
      </c>
      <c r="G1685" s="10">
        <v>0</v>
      </c>
      <c r="H1685" s="10">
        <v>1</v>
      </c>
      <c r="I1685" s="10">
        <v>2</v>
      </c>
      <c r="J1685" s="10">
        <f>SUM(B1685:I1685)</f>
        <v>46.980000000000004</v>
      </c>
      <c r="K1685">
        <v>2018</v>
      </c>
      <c r="L1685">
        <v>8</v>
      </c>
      <c r="M1685" s="11">
        <v>43313</v>
      </c>
      <c r="N1685" t="s">
        <v>2180</v>
      </c>
      <c r="O1685">
        <v>7</v>
      </c>
      <c r="P1685" t="s">
        <v>59</v>
      </c>
      <c r="Q1685" t="b">
        <v>1</v>
      </c>
    </row>
    <row r="1686" spans="1:17">
      <c r="A1686" s="12">
        <v>43325</v>
      </c>
      <c r="B1686" s="10">
        <v>3.33</v>
      </c>
      <c r="C1686" s="10">
        <v>5.02</v>
      </c>
      <c r="D1686" s="10">
        <v>2</v>
      </c>
      <c r="E1686" s="10">
        <v>23.25</v>
      </c>
      <c r="F1686" s="10">
        <v>15</v>
      </c>
      <c r="G1686" s="10">
        <v>0</v>
      </c>
      <c r="H1686" s="10">
        <v>3</v>
      </c>
      <c r="I1686" s="10">
        <v>2</v>
      </c>
      <c r="J1686" s="10">
        <f>SUM(B1686:I1686)</f>
        <v>53.6</v>
      </c>
      <c r="K1686">
        <v>2018</v>
      </c>
      <c r="L1686">
        <v>8</v>
      </c>
      <c r="M1686" s="11">
        <v>43313</v>
      </c>
      <c r="N1686" t="s">
        <v>2180</v>
      </c>
      <c r="O1686">
        <v>1</v>
      </c>
      <c r="P1686" t="s">
        <v>61</v>
      </c>
      <c r="Q1686" t="b">
        <v>1</v>
      </c>
    </row>
    <row r="1687" spans="1:17">
      <c r="A1687" s="12">
        <v>43326</v>
      </c>
      <c r="B1687" s="10">
        <v>1.33</v>
      </c>
      <c r="C1687" s="10">
        <v>2.736</v>
      </c>
      <c r="D1687" s="10">
        <v>5</v>
      </c>
      <c r="E1687" s="10">
        <v>12</v>
      </c>
      <c r="F1687" s="10">
        <v>9</v>
      </c>
      <c r="G1687" s="10">
        <v>0</v>
      </c>
      <c r="H1687" s="10">
        <v>4</v>
      </c>
      <c r="I1687" s="10">
        <v>5</v>
      </c>
      <c r="J1687" s="10">
        <f>SUM(B1687:I1687)</f>
        <v>39.066</v>
      </c>
      <c r="K1687">
        <v>2018</v>
      </c>
      <c r="L1687">
        <v>8</v>
      </c>
      <c r="M1687" s="11">
        <v>43313</v>
      </c>
      <c r="N1687" t="s">
        <v>2180</v>
      </c>
      <c r="O1687">
        <v>2</v>
      </c>
      <c r="P1687" t="s">
        <v>63</v>
      </c>
      <c r="Q1687" t="b">
        <v>1</v>
      </c>
    </row>
    <row r="1688" spans="1:17">
      <c r="A1688" s="12">
        <v>43327</v>
      </c>
      <c r="B1688" s="10">
        <v>8.34</v>
      </c>
      <c r="C1688" s="10">
        <v>4.199</v>
      </c>
      <c r="D1688" s="10">
        <v>2</v>
      </c>
      <c r="E1688" s="10">
        <v>32.2</v>
      </c>
      <c r="F1688" s="10">
        <v>13</v>
      </c>
      <c r="G1688" s="10">
        <v>2</v>
      </c>
      <c r="H1688" s="10">
        <v>0</v>
      </c>
      <c r="I1688" s="10">
        <v>1</v>
      </c>
      <c r="J1688" s="10">
        <f>SUM(B1688:I1688)</f>
        <v>62.739000000000004</v>
      </c>
      <c r="K1688">
        <v>2018</v>
      </c>
      <c r="L1688">
        <v>8</v>
      </c>
      <c r="M1688" s="11">
        <v>43313</v>
      </c>
      <c r="N1688" t="s">
        <v>2180</v>
      </c>
      <c r="O1688">
        <v>3</v>
      </c>
      <c r="P1688" t="s">
        <v>65</v>
      </c>
      <c r="Q1688" t="b">
        <v>1</v>
      </c>
    </row>
    <row r="1689" spans="1:17">
      <c r="A1689" s="12">
        <v>43328</v>
      </c>
      <c r="B1689" s="10">
        <v>3.33</v>
      </c>
      <c r="C1689" s="10">
        <v>8.728999999999999</v>
      </c>
      <c r="D1689" s="10">
        <v>4</v>
      </c>
      <c r="E1689" s="10">
        <v>27.4</v>
      </c>
      <c r="F1689" s="10">
        <v>6</v>
      </c>
      <c r="G1689" s="10">
        <v>3</v>
      </c>
      <c r="H1689" s="10">
        <v>5</v>
      </c>
      <c r="I1689" s="10">
        <v>5</v>
      </c>
      <c r="J1689" s="10">
        <f>SUM(B1689:I1689)</f>
        <v>62.458999999999996</v>
      </c>
      <c r="K1689">
        <v>2018</v>
      </c>
      <c r="L1689">
        <v>8</v>
      </c>
      <c r="M1689" s="11">
        <v>43313</v>
      </c>
      <c r="N1689" t="s">
        <v>2180</v>
      </c>
      <c r="O1689">
        <v>4</v>
      </c>
      <c r="P1689" t="s">
        <v>53</v>
      </c>
      <c r="Q1689" t="b">
        <v>1</v>
      </c>
    </row>
    <row r="1690" spans="1:17">
      <c r="A1690" s="12">
        <v>43329</v>
      </c>
      <c r="B1690" s="10">
        <v>2.33</v>
      </c>
      <c r="C1690" s="10">
        <v>2.99</v>
      </c>
      <c r="D1690" s="10">
        <v>2.4</v>
      </c>
      <c r="E1690" s="10">
        <v>23</v>
      </c>
      <c r="F1690" s="10">
        <v>5</v>
      </c>
      <c r="G1690" s="10">
        <v>1</v>
      </c>
      <c r="H1690" s="10">
        <v>5</v>
      </c>
      <c r="I1690" s="10">
        <v>1</v>
      </c>
      <c r="J1690" s="10">
        <f>SUM(B1690:I1690)</f>
        <v>42.72</v>
      </c>
      <c r="K1690">
        <v>2018</v>
      </c>
      <c r="L1690">
        <v>8</v>
      </c>
      <c r="M1690" s="11">
        <v>43313</v>
      </c>
      <c r="N1690" t="s">
        <v>2180</v>
      </c>
      <c r="O1690">
        <v>5</v>
      </c>
      <c r="P1690" t="s">
        <v>55</v>
      </c>
      <c r="Q1690" t="b">
        <v>1</v>
      </c>
    </row>
    <row r="1691" spans="1:17">
      <c r="A1691" s="12">
        <v>43330</v>
      </c>
      <c r="B1691" s="10">
        <v>6.33</v>
      </c>
      <c r="C1691" s="10">
        <v>5.34</v>
      </c>
      <c r="D1691" s="10">
        <v>0</v>
      </c>
      <c r="E1691" s="10">
        <v>32.1</v>
      </c>
      <c r="F1691" s="10">
        <v>5</v>
      </c>
      <c r="G1691" s="10">
        <v>1</v>
      </c>
      <c r="H1691" s="10">
        <v>6</v>
      </c>
      <c r="I1691" s="10">
        <v>0</v>
      </c>
      <c r="J1691" s="10">
        <f>SUM(B1691:I1691)</f>
        <v>55.77</v>
      </c>
      <c r="K1691">
        <v>2018</v>
      </c>
      <c r="L1691">
        <v>8</v>
      </c>
      <c r="M1691" s="11">
        <v>43313</v>
      </c>
      <c r="N1691" t="s">
        <v>2180</v>
      </c>
      <c r="O1691">
        <v>6</v>
      </c>
      <c r="P1691" t="s">
        <v>57</v>
      </c>
      <c r="Q1691" t="b">
        <v>1</v>
      </c>
    </row>
    <row r="1692" spans="1:17">
      <c r="A1692" s="12">
        <v>43331</v>
      </c>
      <c r="B1692" s="10">
        <v>6.33</v>
      </c>
      <c r="C1692" s="10">
        <v>4.495</v>
      </c>
      <c r="D1692" s="10">
        <v>1</v>
      </c>
      <c r="E1692" s="10">
        <v>19.9</v>
      </c>
      <c r="F1692" s="10">
        <v>3</v>
      </c>
      <c r="G1692" s="10">
        <v>0</v>
      </c>
      <c r="H1692" s="10">
        <v>5</v>
      </c>
      <c r="I1692" s="10">
        <v>6</v>
      </c>
      <c r="J1692" s="10">
        <f>SUM(B1692:I1692)</f>
        <v>45.724999999999994</v>
      </c>
      <c r="K1692">
        <v>2018</v>
      </c>
      <c r="L1692">
        <v>8</v>
      </c>
      <c r="M1692" s="11">
        <v>43313</v>
      </c>
      <c r="N1692" t="s">
        <v>2180</v>
      </c>
      <c r="O1692">
        <v>7</v>
      </c>
      <c r="P1692" t="s">
        <v>59</v>
      </c>
      <c r="Q1692" t="b">
        <v>1</v>
      </c>
    </row>
    <row r="1693" spans="1:17">
      <c r="A1693" s="12">
        <v>43332</v>
      </c>
      <c r="B1693" s="10">
        <v>4</v>
      </c>
      <c r="C1693" s="10">
        <v>5.68</v>
      </c>
      <c r="D1693" s="10">
        <v>4.2</v>
      </c>
      <c r="E1693" s="10">
        <v>21.4</v>
      </c>
      <c r="F1693" s="10">
        <v>7</v>
      </c>
      <c r="G1693" s="10">
        <v>0</v>
      </c>
      <c r="H1693" s="10">
        <v>20</v>
      </c>
      <c r="I1693" s="10">
        <v>3</v>
      </c>
      <c r="J1693" s="10">
        <f>SUM(B1693:I1693)</f>
        <v>65.28</v>
      </c>
      <c r="K1693">
        <v>2018</v>
      </c>
      <c r="L1693">
        <v>8</v>
      </c>
      <c r="M1693" s="11">
        <v>43313</v>
      </c>
      <c r="N1693" t="s">
        <v>2180</v>
      </c>
      <c r="O1693">
        <v>1</v>
      </c>
      <c r="P1693" t="s">
        <v>61</v>
      </c>
      <c r="Q1693" t="b">
        <v>1</v>
      </c>
    </row>
    <row r="1694" spans="1:17">
      <c r="A1694" s="12">
        <v>43333</v>
      </c>
      <c r="B1694" s="10">
        <v>2.34</v>
      </c>
      <c r="C1694" s="10">
        <v>3</v>
      </c>
      <c r="D1694" s="10">
        <v>2.15</v>
      </c>
      <c r="E1694" s="10">
        <v>26.2</v>
      </c>
      <c r="F1694" s="10">
        <v>4</v>
      </c>
      <c r="G1694" s="10">
        <v>1</v>
      </c>
      <c r="H1694" s="10">
        <v>1</v>
      </c>
      <c r="I1694" s="10">
        <v>4</v>
      </c>
      <c r="J1694" s="10">
        <f>SUM(B1694:I1694)</f>
        <v>43.69</v>
      </c>
      <c r="K1694">
        <v>2018</v>
      </c>
      <c r="L1694">
        <v>8</v>
      </c>
      <c r="M1694" s="11">
        <v>43313</v>
      </c>
      <c r="N1694" t="s">
        <v>2180</v>
      </c>
      <c r="O1694">
        <v>2</v>
      </c>
      <c r="P1694" t="s">
        <v>63</v>
      </c>
      <c r="Q1694" t="b">
        <v>1</v>
      </c>
    </row>
    <row r="1695" spans="1:17">
      <c r="A1695" s="12">
        <v>43334</v>
      </c>
      <c r="B1695" s="10">
        <v>5</v>
      </c>
      <c r="C1695" s="10">
        <v>4.33</v>
      </c>
      <c r="D1695" s="10">
        <v>0</v>
      </c>
      <c r="E1695" s="10">
        <v>18</v>
      </c>
      <c r="F1695" s="10">
        <v>4</v>
      </c>
      <c r="G1695" s="10">
        <v>1</v>
      </c>
      <c r="H1695" s="10">
        <v>0</v>
      </c>
      <c r="I1695" s="10">
        <v>4</v>
      </c>
      <c r="J1695" s="10">
        <f>SUM(B1695:I1695)</f>
        <v>36.33</v>
      </c>
      <c r="K1695">
        <v>2018</v>
      </c>
      <c r="L1695">
        <v>8</v>
      </c>
      <c r="M1695" s="11">
        <v>43313</v>
      </c>
      <c r="N1695" t="s">
        <v>2180</v>
      </c>
      <c r="O1695">
        <v>3</v>
      </c>
      <c r="P1695" t="s">
        <v>65</v>
      </c>
      <c r="Q1695" t="b">
        <v>1</v>
      </c>
    </row>
    <row r="1696" spans="1:17">
      <c r="A1696" s="12">
        <v>43335</v>
      </c>
      <c r="B1696" s="10">
        <v>5</v>
      </c>
      <c r="C1696" s="10">
        <v>4.067</v>
      </c>
      <c r="D1696" s="10">
        <v>4</v>
      </c>
      <c r="E1696" s="10">
        <v>35</v>
      </c>
      <c r="F1696" s="10">
        <v>8</v>
      </c>
      <c r="G1696" s="10">
        <v>0</v>
      </c>
      <c r="H1696" s="10">
        <v>23</v>
      </c>
      <c r="I1696" s="10">
        <v>3</v>
      </c>
      <c r="J1696" s="10">
        <f>SUM(B1696:I1696)</f>
        <v>82.06700000000001</v>
      </c>
      <c r="K1696">
        <v>2018</v>
      </c>
      <c r="L1696">
        <v>8</v>
      </c>
      <c r="M1696" s="11">
        <v>43313</v>
      </c>
      <c r="N1696" t="s">
        <v>2180</v>
      </c>
      <c r="O1696">
        <v>4</v>
      </c>
      <c r="P1696" t="s">
        <v>53</v>
      </c>
      <c r="Q1696" t="b">
        <v>1</v>
      </c>
    </row>
    <row r="1697" spans="1:17">
      <c r="A1697" s="12">
        <v>43336</v>
      </c>
      <c r="B1697" s="10">
        <v>4</v>
      </c>
      <c r="C1697" s="10">
        <v>2.34</v>
      </c>
      <c r="D1697" s="10">
        <v>1</v>
      </c>
      <c r="E1697" s="10">
        <v>38.5</v>
      </c>
      <c r="F1697" s="10">
        <v>7</v>
      </c>
      <c r="G1697" s="10">
        <v>0</v>
      </c>
      <c r="H1697" s="10">
        <v>21</v>
      </c>
      <c r="I1697" s="10">
        <v>4</v>
      </c>
      <c r="J1697" s="10">
        <f>SUM(B1697:I1697)</f>
        <v>77.84</v>
      </c>
      <c r="K1697">
        <v>2018</v>
      </c>
      <c r="L1697">
        <v>8</v>
      </c>
      <c r="M1697" s="11">
        <v>43313</v>
      </c>
      <c r="N1697" t="s">
        <v>2180</v>
      </c>
      <c r="O1697">
        <v>5</v>
      </c>
      <c r="P1697" t="s">
        <v>55</v>
      </c>
      <c r="Q1697" t="b">
        <v>1</v>
      </c>
    </row>
    <row r="1698" spans="1:17">
      <c r="A1698" s="12">
        <v>43337</v>
      </c>
      <c r="B1698" s="10">
        <v>3.67</v>
      </c>
      <c r="C1698" s="10">
        <v>4.01</v>
      </c>
      <c r="D1698" s="10">
        <v>3.2</v>
      </c>
      <c r="E1698" s="10">
        <v>27</v>
      </c>
      <c r="F1698" s="10">
        <v>4</v>
      </c>
      <c r="G1698" s="10">
        <v>0</v>
      </c>
      <c r="H1698" s="10">
        <v>6</v>
      </c>
      <c r="I1698" s="10">
        <v>2.5</v>
      </c>
      <c r="J1698" s="10">
        <f>SUM(B1698:I1698)</f>
        <v>50.379999999999995</v>
      </c>
      <c r="K1698">
        <v>2018</v>
      </c>
      <c r="L1698">
        <v>8</v>
      </c>
      <c r="M1698" s="11">
        <v>43313</v>
      </c>
      <c r="N1698" t="s">
        <v>2180</v>
      </c>
      <c r="O1698">
        <v>6</v>
      </c>
      <c r="P1698" t="s">
        <v>57</v>
      </c>
      <c r="Q1698" t="b">
        <v>1</v>
      </c>
    </row>
    <row r="1699" spans="1:17">
      <c r="A1699" s="12">
        <v>43338</v>
      </c>
      <c r="B1699" s="10">
        <v>11.33</v>
      </c>
      <c r="C1699" s="10">
        <v>6.67</v>
      </c>
      <c r="D1699" s="10">
        <v>4</v>
      </c>
      <c r="E1699" s="10">
        <v>57</v>
      </c>
      <c r="F1699" s="10">
        <v>10</v>
      </c>
      <c r="G1699" s="10">
        <v>0</v>
      </c>
      <c r="H1699" s="10">
        <v>8</v>
      </c>
      <c r="I1699" s="10">
        <v>4.3</v>
      </c>
      <c r="J1699" s="10">
        <f>SUM(B1699:I1699)</f>
        <v>101.3</v>
      </c>
      <c r="K1699">
        <v>2018</v>
      </c>
      <c r="L1699">
        <v>8</v>
      </c>
      <c r="M1699" s="11">
        <v>43313</v>
      </c>
      <c r="N1699" t="s">
        <v>2180</v>
      </c>
      <c r="O1699">
        <v>7</v>
      </c>
      <c r="P1699" t="s">
        <v>59</v>
      </c>
      <c r="Q1699" t="b">
        <v>1</v>
      </c>
    </row>
    <row r="1700" spans="1:17">
      <c r="A1700" s="12">
        <v>43339</v>
      </c>
      <c r="B1700" s="10">
        <v>3.34</v>
      </c>
      <c r="C1700" s="10">
        <v>1</v>
      </c>
      <c r="D1700" s="10">
        <v>9</v>
      </c>
      <c r="E1700" s="10">
        <v>16</v>
      </c>
      <c r="F1700" s="10">
        <v>6</v>
      </c>
      <c r="G1700" s="10">
        <v>0</v>
      </c>
      <c r="H1700" s="10">
        <v>1</v>
      </c>
      <c r="I1700" s="10">
        <v>1</v>
      </c>
      <c r="J1700" s="10">
        <f>SUM(B1700:I1700)</f>
        <v>37.34</v>
      </c>
      <c r="K1700">
        <v>2018</v>
      </c>
      <c r="L1700">
        <v>8</v>
      </c>
      <c r="M1700" s="11">
        <v>43313</v>
      </c>
      <c r="N1700" t="s">
        <v>2180</v>
      </c>
      <c r="O1700">
        <v>1</v>
      </c>
      <c r="P1700" t="s">
        <v>61</v>
      </c>
      <c r="Q1700" t="b">
        <v>1</v>
      </c>
    </row>
    <row r="1701" spans="1:17">
      <c r="A1701" s="12">
        <v>43340</v>
      </c>
      <c r="B1701" s="10">
        <v>2</v>
      </c>
      <c r="C1701" s="10">
        <v>2.68</v>
      </c>
      <c r="D1701" s="10">
        <v>1</v>
      </c>
      <c r="E1701" s="10">
        <v>26.4</v>
      </c>
      <c r="F1701" s="10">
        <v>7</v>
      </c>
      <c r="G1701" s="10">
        <v>1</v>
      </c>
      <c r="H1701" s="10">
        <v>0</v>
      </c>
      <c r="I1701" s="10">
        <v>3</v>
      </c>
      <c r="J1701" s="10">
        <f>SUM(B1701:I1701)</f>
        <v>43.08</v>
      </c>
      <c r="K1701">
        <v>2018</v>
      </c>
      <c r="L1701">
        <v>8</v>
      </c>
      <c r="M1701" s="11">
        <v>43313</v>
      </c>
      <c r="N1701" t="s">
        <v>2180</v>
      </c>
      <c r="O1701">
        <v>2</v>
      </c>
      <c r="P1701" t="s">
        <v>63</v>
      </c>
      <c r="Q1701" t="b">
        <v>1</v>
      </c>
    </row>
    <row r="1702" spans="1:17">
      <c r="A1702" s="12">
        <v>43341</v>
      </c>
      <c r="B1702" s="10">
        <v>6.67</v>
      </c>
      <c r="C1702" s="10">
        <v>2.67</v>
      </c>
      <c r="D1702" s="10">
        <v>1.3</v>
      </c>
      <c r="E1702" s="10">
        <v>28.5</v>
      </c>
      <c r="F1702" s="10">
        <v>10</v>
      </c>
      <c r="G1702" s="10">
        <v>1</v>
      </c>
      <c r="H1702" s="10">
        <v>5</v>
      </c>
      <c r="I1702" s="10">
        <v>3</v>
      </c>
      <c r="J1702" s="10">
        <f>SUM(B1702:I1702)</f>
        <v>58.14</v>
      </c>
      <c r="K1702">
        <v>2018</v>
      </c>
      <c r="L1702">
        <v>8</v>
      </c>
      <c r="M1702" s="11">
        <v>43313</v>
      </c>
      <c r="N1702" t="s">
        <v>2180</v>
      </c>
      <c r="O1702">
        <v>3</v>
      </c>
      <c r="P1702" t="s">
        <v>65</v>
      </c>
      <c r="Q1702" t="b">
        <v>1</v>
      </c>
    </row>
    <row r="1703" spans="1:17">
      <c r="A1703" s="12">
        <v>43342</v>
      </c>
      <c r="B1703" s="10">
        <v>2.33</v>
      </c>
      <c r="C1703" s="10">
        <v>2.736</v>
      </c>
      <c r="D1703" s="10">
        <v>3</v>
      </c>
      <c r="E1703" s="10">
        <v>38</v>
      </c>
      <c r="F1703" s="10">
        <v>7</v>
      </c>
      <c r="G1703" s="10">
        <v>0</v>
      </c>
      <c r="H1703" s="10">
        <v>4</v>
      </c>
      <c r="I1703" s="10">
        <v>2</v>
      </c>
      <c r="J1703" s="10">
        <f>SUM(B1703:I1703)</f>
        <v>59.066</v>
      </c>
      <c r="K1703">
        <v>2018</v>
      </c>
      <c r="L1703">
        <v>8</v>
      </c>
      <c r="M1703" s="11">
        <v>43313</v>
      </c>
      <c r="N1703" t="s">
        <v>2180</v>
      </c>
      <c r="O1703">
        <v>4</v>
      </c>
      <c r="P1703" t="s">
        <v>53</v>
      </c>
      <c r="Q1703" t="b">
        <v>1</v>
      </c>
    </row>
    <row r="1704" spans="1:17">
      <c r="A1704" s="12">
        <v>43343</v>
      </c>
      <c r="B1704" s="10">
        <v>4.34</v>
      </c>
      <c r="C1704" s="10">
        <v>3.34</v>
      </c>
      <c r="D1704" s="10">
        <v>0</v>
      </c>
      <c r="E1704" s="10">
        <v>17.2</v>
      </c>
      <c r="F1704" s="10">
        <v>13</v>
      </c>
      <c r="G1704" s="10">
        <v>1</v>
      </c>
      <c r="H1704" s="10">
        <v>20</v>
      </c>
      <c r="I1704" s="10">
        <v>4</v>
      </c>
      <c r="J1704" s="10">
        <f>SUM(B1704:I1704)</f>
        <v>62.879999999999995</v>
      </c>
      <c r="K1704">
        <v>2018</v>
      </c>
      <c r="L1704">
        <v>8</v>
      </c>
      <c r="M1704" s="11">
        <v>43313</v>
      </c>
      <c r="N1704" t="s">
        <v>2180</v>
      </c>
      <c r="O1704">
        <v>5</v>
      </c>
      <c r="P1704" t="s">
        <v>55</v>
      </c>
      <c r="Q1704" t="b">
        <v>1</v>
      </c>
    </row>
    <row r="1705" spans="1:17">
      <c r="A1705" s="12">
        <v>43344</v>
      </c>
      <c r="B1705" s="10">
        <v>2.34</v>
      </c>
      <c r="C1705" s="10">
        <v>0</v>
      </c>
      <c r="D1705" s="10">
        <v>2.2</v>
      </c>
      <c r="E1705" s="10">
        <v>19</v>
      </c>
      <c r="F1705" s="10">
        <v>6</v>
      </c>
      <c r="G1705" s="10">
        <v>1</v>
      </c>
      <c r="H1705" s="10">
        <v>1</v>
      </c>
      <c r="I1705" s="10">
        <v>2</v>
      </c>
      <c r="J1705" s="10">
        <f>SUM(B1705:I1705)</f>
        <v>33.54</v>
      </c>
      <c r="K1705">
        <v>2018</v>
      </c>
      <c r="L1705">
        <v>9</v>
      </c>
      <c r="M1705" s="11">
        <v>43344</v>
      </c>
      <c r="N1705" t="s">
        <v>2181</v>
      </c>
      <c r="O1705">
        <v>6</v>
      </c>
      <c r="P1705" t="s">
        <v>57</v>
      </c>
      <c r="Q1705" t="b">
        <v>1</v>
      </c>
    </row>
    <row r="1706" spans="1:17">
      <c r="A1706" s="12">
        <v>43345</v>
      </c>
      <c r="B1706" s="10">
        <v>6.68</v>
      </c>
      <c r="C1706" s="10">
        <v>5.373</v>
      </c>
      <c r="D1706" s="10">
        <v>3</v>
      </c>
      <c r="E1706" s="10">
        <v>20</v>
      </c>
      <c r="F1706" s="10">
        <v>5</v>
      </c>
      <c r="G1706" s="10">
        <v>0</v>
      </c>
      <c r="H1706" s="10">
        <v>5</v>
      </c>
      <c r="I1706" s="10">
        <v>2</v>
      </c>
      <c r="J1706" s="10">
        <f>SUM(B1706:I1706)</f>
        <v>47.053</v>
      </c>
      <c r="K1706">
        <v>2018</v>
      </c>
      <c r="L1706">
        <v>9</v>
      </c>
      <c r="M1706" s="11">
        <v>43344</v>
      </c>
      <c r="N1706" t="s">
        <v>2181</v>
      </c>
      <c r="O1706">
        <v>7</v>
      </c>
      <c r="P1706" t="s">
        <v>59</v>
      </c>
      <c r="Q1706" t="b">
        <v>1</v>
      </c>
    </row>
    <row r="1707" spans="1:17">
      <c r="A1707" s="12">
        <v>43346</v>
      </c>
      <c r="B1707" s="10">
        <v>1</v>
      </c>
      <c r="C1707" s="10">
        <v>2.02</v>
      </c>
      <c r="D1707" s="10">
        <v>2</v>
      </c>
      <c r="E1707" s="10">
        <v>27.4</v>
      </c>
      <c r="F1707" s="10">
        <v>12</v>
      </c>
      <c r="G1707" s="10">
        <v>0</v>
      </c>
      <c r="H1707" s="10">
        <v>0</v>
      </c>
      <c r="I1707" s="10">
        <v>4</v>
      </c>
      <c r="J1707" s="10">
        <f>SUM(B1707:I1707)</f>
        <v>48.42</v>
      </c>
      <c r="K1707">
        <v>2018</v>
      </c>
      <c r="L1707">
        <v>9</v>
      </c>
      <c r="M1707" s="11">
        <v>43344</v>
      </c>
      <c r="N1707" t="s">
        <v>2181</v>
      </c>
      <c r="O1707">
        <v>1</v>
      </c>
      <c r="P1707" t="s">
        <v>61</v>
      </c>
      <c r="Q1707" t="b">
        <v>1</v>
      </c>
    </row>
    <row r="1708" spans="1:17">
      <c r="A1708" s="12">
        <v>43347</v>
      </c>
      <c r="B1708" s="10">
        <v>4</v>
      </c>
      <c r="C1708" s="10">
        <v>1.086</v>
      </c>
      <c r="D1708" s="10">
        <v>1</v>
      </c>
      <c r="E1708" s="10">
        <v>22</v>
      </c>
      <c r="F1708" s="10">
        <v>7</v>
      </c>
      <c r="G1708" s="10">
        <v>0</v>
      </c>
      <c r="H1708" s="10">
        <v>3</v>
      </c>
      <c r="I1708" s="10">
        <v>2</v>
      </c>
      <c r="J1708" s="10">
        <f>SUM(B1708:I1708)</f>
        <v>40.086</v>
      </c>
      <c r="K1708">
        <v>2018</v>
      </c>
      <c r="L1708">
        <v>9</v>
      </c>
      <c r="M1708" s="11">
        <v>43344</v>
      </c>
      <c r="N1708" t="s">
        <v>2181</v>
      </c>
      <c r="O1708">
        <v>2</v>
      </c>
      <c r="P1708" t="s">
        <v>63</v>
      </c>
      <c r="Q1708" t="b">
        <v>1</v>
      </c>
    </row>
    <row r="1709" spans="1:17">
      <c r="A1709" s="12">
        <v>43348</v>
      </c>
      <c r="B1709" s="10">
        <v>6.5</v>
      </c>
      <c r="C1709" s="10">
        <v>3.33</v>
      </c>
      <c r="D1709" s="10">
        <v>1.5</v>
      </c>
      <c r="E1709" s="10">
        <v>28</v>
      </c>
      <c r="F1709" s="10">
        <v>11</v>
      </c>
      <c r="G1709" s="10">
        <v>0</v>
      </c>
      <c r="H1709" s="10">
        <v>3</v>
      </c>
      <c r="I1709" s="10">
        <v>2</v>
      </c>
      <c r="J1709" s="10">
        <f>SUM(B1709:I1709)</f>
        <v>55.33</v>
      </c>
      <c r="K1709">
        <v>2018</v>
      </c>
      <c r="L1709">
        <v>9</v>
      </c>
      <c r="M1709" s="11">
        <v>43344</v>
      </c>
      <c r="N1709" t="s">
        <v>2181</v>
      </c>
      <c r="O1709">
        <v>3</v>
      </c>
      <c r="P1709" t="s">
        <v>65</v>
      </c>
      <c r="Q1709" t="b">
        <v>1</v>
      </c>
    </row>
    <row r="1710" spans="1:17">
      <c r="A1710" s="12">
        <v>43349</v>
      </c>
      <c r="B1710" s="10">
        <v>6.66</v>
      </c>
      <c r="C1710" s="10">
        <v>4.056</v>
      </c>
      <c r="D1710" s="10">
        <v>3</v>
      </c>
      <c r="E1710" s="10">
        <v>18.4</v>
      </c>
      <c r="F1710" s="10">
        <v>13</v>
      </c>
      <c r="G1710" s="10">
        <v>0</v>
      </c>
      <c r="H1710" s="10">
        <v>5</v>
      </c>
      <c r="I1710" s="10">
        <v>0</v>
      </c>
      <c r="J1710" s="10">
        <f>SUM(B1710:I1710)</f>
        <v>50.116</v>
      </c>
      <c r="K1710">
        <v>2018</v>
      </c>
      <c r="L1710">
        <v>9</v>
      </c>
      <c r="M1710" s="11">
        <v>43344</v>
      </c>
      <c r="N1710" t="s">
        <v>2181</v>
      </c>
      <c r="O1710">
        <v>4</v>
      </c>
      <c r="P1710" t="s">
        <v>53</v>
      </c>
      <c r="Q1710" t="b">
        <v>1</v>
      </c>
    </row>
    <row r="1711" spans="1:17">
      <c r="A1711" s="12">
        <v>43350</v>
      </c>
      <c r="B1711" s="10">
        <v>2</v>
      </c>
      <c r="C1711" s="10">
        <v>1.746</v>
      </c>
      <c r="D1711" s="10">
        <v>4</v>
      </c>
      <c r="E1711" s="10">
        <v>42</v>
      </c>
      <c r="F1711" s="10">
        <v>6</v>
      </c>
      <c r="G1711" s="10">
        <v>0</v>
      </c>
      <c r="H1711" s="10">
        <v>22</v>
      </c>
      <c r="I1711" s="10">
        <v>7.7</v>
      </c>
      <c r="J1711" s="10">
        <f>SUM(B1711:I1711)</f>
        <v>85.44600000000001</v>
      </c>
      <c r="K1711">
        <v>2018</v>
      </c>
      <c r="L1711">
        <v>9</v>
      </c>
      <c r="M1711" s="11">
        <v>43344</v>
      </c>
      <c r="N1711" t="s">
        <v>2181</v>
      </c>
      <c r="O1711">
        <v>5</v>
      </c>
      <c r="P1711" t="s">
        <v>55</v>
      </c>
      <c r="Q1711" t="b">
        <v>1</v>
      </c>
    </row>
    <row r="1712" spans="1:17">
      <c r="A1712" s="12">
        <v>43351</v>
      </c>
      <c r="B1712" s="10">
        <v>10</v>
      </c>
      <c r="C1712" s="10">
        <v>2.34</v>
      </c>
      <c r="D1712" s="10">
        <v>6.1</v>
      </c>
      <c r="E1712" s="10">
        <v>35.4</v>
      </c>
      <c r="F1712" s="10">
        <v>12</v>
      </c>
      <c r="G1712" s="10">
        <v>0</v>
      </c>
      <c r="H1712" s="10">
        <v>10</v>
      </c>
      <c r="I1712" s="10">
        <v>1</v>
      </c>
      <c r="J1712" s="10">
        <f>SUM(B1712:I1712)</f>
        <v>76.84</v>
      </c>
      <c r="K1712">
        <v>2018</v>
      </c>
      <c r="L1712">
        <v>9</v>
      </c>
      <c r="M1712" s="11">
        <v>43344</v>
      </c>
      <c r="N1712" t="s">
        <v>2181</v>
      </c>
      <c r="O1712">
        <v>6</v>
      </c>
      <c r="P1712" t="s">
        <v>57</v>
      </c>
      <c r="Q1712" t="b">
        <v>1</v>
      </c>
    </row>
    <row r="1713" spans="1:17">
      <c r="A1713" s="12">
        <v>43352</v>
      </c>
      <c r="B1713" s="10">
        <v>4</v>
      </c>
      <c r="C1713" s="10">
        <v>5.944</v>
      </c>
      <c r="D1713" s="10">
        <v>0</v>
      </c>
      <c r="E1713" s="10">
        <v>50</v>
      </c>
      <c r="F1713" s="10">
        <v>2</v>
      </c>
      <c r="G1713" s="10">
        <v>0</v>
      </c>
      <c r="H1713" s="10">
        <v>0</v>
      </c>
      <c r="I1713" s="10">
        <v>5</v>
      </c>
      <c r="J1713" s="10">
        <f>SUM(B1713:I1713)</f>
        <v>66.944</v>
      </c>
      <c r="K1713">
        <v>2018</v>
      </c>
      <c r="L1713">
        <v>9</v>
      </c>
      <c r="M1713" s="11">
        <v>43344</v>
      </c>
      <c r="N1713" t="s">
        <v>2181</v>
      </c>
      <c r="O1713">
        <v>7</v>
      </c>
      <c r="P1713" t="s">
        <v>59</v>
      </c>
      <c r="Q1713" t="b">
        <v>1</v>
      </c>
    </row>
    <row r="1714" spans="1:17">
      <c r="A1714" s="12">
        <v>43353</v>
      </c>
      <c r="B1714" s="10">
        <v>7</v>
      </c>
      <c r="C1714" s="10">
        <v>2.406</v>
      </c>
      <c r="D1714" s="10">
        <v>2</v>
      </c>
      <c r="E1714" s="10">
        <v>49.4</v>
      </c>
      <c r="F1714" s="10">
        <v>14</v>
      </c>
      <c r="G1714" s="10">
        <v>3</v>
      </c>
      <c r="H1714" s="10">
        <v>1</v>
      </c>
      <c r="I1714" s="10">
        <v>2</v>
      </c>
      <c r="J1714" s="10">
        <f>SUM(B1714:I1714)</f>
        <v>80.806</v>
      </c>
      <c r="K1714">
        <v>2018</v>
      </c>
      <c r="L1714">
        <v>9</v>
      </c>
      <c r="M1714" s="11">
        <v>43344</v>
      </c>
      <c r="N1714" t="s">
        <v>2181</v>
      </c>
      <c r="O1714">
        <v>1</v>
      </c>
      <c r="P1714" t="s">
        <v>61</v>
      </c>
      <c r="Q1714" t="b">
        <v>1</v>
      </c>
    </row>
    <row r="1715" spans="1:17">
      <c r="A1715" s="12">
        <v>43354</v>
      </c>
      <c r="B1715" s="10">
        <v>9</v>
      </c>
      <c r="C1715" s="10">
        <v>2.726</v>
      </c>
      <c r="D1715" s="10">
        <v>3</v>
      </c>
      <c r="E1715" s="10">
        <v>50.6</v>
      </c>
      <c r="F1715" s="10">
        <v>15</v>
      </c>
      <c r="G1715" s="10">
        <v>0</v>
      </c>
      <c r="H1715" s="10">
        <v>6</v>
      </c>
      <c r="I1715" s="10">
        <v>4</v>
      </c>
      <c r="J1715" s="10">
        <f>SUM(B1715:I1715)</f>
        <v>90.326</v>
      </c>
      <c r="K1715">
        <v>2018</v>
      </c>
      <c r="L1715">
        <v>9</v>
      </c>
      <c r="M1715" s="11">
        <v>43344</v>
      </c>
      <c r="N1715" t="s">
        <v>2181</v>
      </c>
      <c r="O1715">
        <v>2</v>
      </c>
      <c r="P1715" t="s">
        <v>63</v>
      </c>
      <c r="Q1715" t="b">
        <v>1</v>
      </c>
    </row>
    <row r="1716" spans="1:17">
      <c r="A1716" s="12">
        <v>43355</v>
      </c>
      <c r="B1716" s="10">
        <v>4</v>
      </c>
      <c r="C1716" s="10">
        <v>3</v>
      </c>
      <c r="D1716" s="10">
        <v>2</v>
      </c>
      <c r="E1716" s="10">
        <v>35</v>
      </c>
      <c r="F1716" s="10">
        <v>18</v>
      </c>
      <c r="G1716" s="10">
        <v>0</v>
      </c>
      <c r="H1716" s="10">
        <v>5</v>
      </c>
      <c r="I1716" s="10">
        <v>0</v>
      </c>
      <c r="J1716" s="10">
        <f>SUM(B1716:I1716)</f>
        <v>67.0</v>
      </c>
      <c r="K1716">
        <v>2018</v>
      </c>
      <c r="L1716">
        <v>9</v>
      </c>
      <c r="M1716" s="11">
        <v>43344</v>
      </c>
      <c r="N1716" t="s">
        <v>2181</v>
      </c>
      <c r="O1716">
        <v>3</v>
      </c>
      <c r="P1716" t="s">
        <v>65</v>
      </c>
      <c r="Q1716" t="b">
        <v>1</v>
      </c>
    </row>
    <row r="1717" spans="1:17">
      <c r="A1717" s="12">
        <v>43356</v>
      </c>
      <c r="B1717" s="10">
        <v>2.83</v>
      </c>
      <c r="C1717" s="10">
        <v>3.086</v>
      </c>
      <c r="D1717" s="10">
        <v>1</v>
      </c>
      <c r="E1717" s="10">
        <v>20.6</v>
      </c>
      <c r="F1717" s="10">
        <v>5</v>
      </c>
      <c r="G1717" s="10">
        <v>2</v>
      </c>
      <c r="H1717" s="10">
        <v>12</v>
      </c>
      <c r="I1717" s="10">
        <v>2</v>
      </c>
      <c r="J1717" s="10">
        <f>SUM(B1717:I1717)</f>
        <v>48.516000000000005</v>
      </c>
      <c r="K1717">
        <v>2018</v>
      </c>
      <c r="L1717">
        <v>9</v>
      </c>
      <c r="M1717" s="11">
        <v>43344</v>
      </c>
      <c r="N1717" t="s">
        <v>2181</v>
      </c>
      <c r="O1717">
        <v>4</v>
      </c>
      <c r="P1717" t="s">
        <v>53</v>
      </c>
      <c r="Q1717" t="b">
        <v>1</v>
      </c>
    </row>
    <row r="1718" spans="1:17">
      <c r="A1718" s="12">
        <v>43357</v>
      </c>
      <c r="B1718" s="10">
        <v>8</v>
      </c>
      <c r="C1718" s="10">
        <v>7.02</v>
      </c>
      <c r="D1718" s="10">
        <v>4</v>
      </c>
      <c r="E1718" s="10">
        <v>54</v>
      </c>
      <c r="F1718" s="10">
        <v>7</v>
      </c>
      <c r="G1718" s="10">
        <v>0</v>
      </c>
      <c r="H1718" s="10">
        <v>1</v>
      </c>
      <c r="I1718" s="10">
        <v>2</v>
      </c>
      <c r="J1718" s="10">
        <f>SUM(B1718:I1718)</f>
        <v>83.02</v>
      </c>
      <c r="K1718">
        <v>2018</v>
      </c>
      <c r="L1718">
        <v>9</v>
      </c>
      <c r="M1718" s="11">
        <v>43344</v>
      </c>
      <c r="N1718" t="s">
        <v>2181</v>
      </c>
      <c r="O1718">
        <v>5</v>
      </c>
      <c r="P1718" t="s">
        <v>55</v>
      </c>
      <c r="Q1718" t="b">
        <v>1</v>
      </c>
    </row>
    <row r="1719" spans="1:17">
      <c r="A1719" s="12">
        <v>43358</v>
      </c>
      <c r="B1719" s="10">
        <v>6</v>
      </c>
      <c r="C1719" s="10">
        <v>2.01</v>
      </c>
      <c r="D1719" s="10">
        <v>4</v>
      </c>
      <c r="E1719" s="10">
        <v>19.7</v>
      </c>
      <c r="F1719" s="10">
        <v>6</v>
      </c>
      <c r="G1719" s="10">
        <v>0</v>
      </c>
      <c r="H1719" s="10">
        <v>10</v>
      </c>
      <c r="I1719" s="10">
        <v>4.4</v>
      </c>
      <c r="J1719" s="10">
        <f>SUM(B1719:I1719)</f>
        <v>52.11</v>
      </c>
      <c r="K1719">
        <v>2018</v>
      </c>
      <c r="L1719">
        <v>9</v>
      </c>
      <c r="M1719" s="11">
        <v>43344</v>
      </c>
      <c r="N1719" t="s">
        <v>2181</v>
      </c>
      <c r="O1719">
        <v>6</v>
      </c>
      <c r="P1719" t="s">
        <v>57</v>
      </c>
      <c r="Q1719" t="b">
        <v>1</v>
      </c>
    </row>
    <row r="1720" spans="1:17">
      <c r="A1720" s="12">
        <v>43359</v>
      </c>
      <c r="B1720" s="10">
        <v>3.33</v>
      </c>
      <c r="C1720" s="10">
        <v>0.67</v>
      </c>
      <c r="D1720" s="10">
        <v>3.25</v>
      </c>
      <c r="E1720" s="10">
        <v>24.25</v>
      </c>
      <c r="F1720" s="10">
        <v>6</v>
      </c>
      <c r="G1720" s="10">
        <v>1</v>
      </c>
      <c r="H1720" s="10">
        <v>7</v>
      </c>
      <c r="I1720" s="10">
        <v>3</v>
      </c>
      <c r="J1720" s="10">
        <f>SUM(B1720:I1720)</f>
        <v>48.5</v>
      </c>
      <c r="K1720">
        <v>2018</v>
      </c>
      <c r="L1720">
        <v>9</v>
      </c>
      <c r="M1720" s="11">
        <v>43344</v>
      </c>
      <c r="N1720" t="s">
        <v>2181</v>
      </c>
      <c r="O1720">
        <v>7</v>
      </c>
      <c r="P1720" t="s">
        <v>59</v>
      </c>
      <c r="Q1720" t="b">
        <v>1</v>
      </c>
    </row>
    <row r="1721" spans="1:17">
      <c r="A1721" s="12">
        <v>43360</v>
      </c>
      <c r="B1721" s="10">
        <v>3</v>
      </c>
      <c r="C1721" s="10">
        <v>2.33</v>
      </c>
      <c r="D1721" s="10">
        <v>3.75</v>
      </c>
      <c r="E1721" s="10">
        <v>44.4</v>
      </c>
      <c r="F1721" s="10">
        <v>10</v>
      </c>
      <c r="G1721" s="10">
        <v>1</v>
      </c>
      <c r="H1721" s="10">
        <v>5</v>
      </c>
      <c r="I1721" s="10">
        <v>0</v>
      </c>
      <c r="J1721" s="10">
        <f>SUM(B1721:I1721)</f>
        <v>69.47999999999999</v>
      </c>
      <c r="K1721">
        <v>2018</v>
      </c>
      <c r="L1721">
        <v>9</v>
      </c>
      <c r="M1721" s="11">
        <v>43344</v>
      </c>
      <c r="N1721" t="s">
        <v>2181</v>
      </c>
      <c r="O1721">
        <v>1</v>
      </c>
      <c r="P1721" t="s">
        <v>61</v>
      </c>
      <c r="Q1721" t="b">
        <v>1</v>
      </c>
    </row>
    <row r="1722" spans="1:17">
      <c r="A1722" s="12">
        <v>43361</v>
      </c>
      <c r="B1722" s="10">
        <v>4.34</v>
      </c>
      <c r="C1722" s="10">
        <v>3</v>
      </c>
      <c r="D1722" s="10">
        <v>3.7</v>
      </c>
      <c r="E1722" s="10">
        <v>20</v>
      </c>
      <c r="F1722" s="10">
        <v>6</v>
      </c>
      <c r="G1722" s="10">
        <v>0</v>
      </c>
      <c r="H1722" s="10">
        <v>1</v>
      </c>
      <c r="I1722" s="10">
        <v>5</v>
      </c>
      <c r="J1722" s="10">
        <f>SUM(B1722:I1722)</f>
        <v>43.04</v>
      </c>
      <c r="K1722">
        <v>2018</v>
      </c>
      <c r="L1722">
        <v>9</v>
      </c>
      <c r="M1722" s="11">
        <v>43344</v>
      </c>
      <c r="N1722" t="s">
        <v>2181</v>
      </c>
      <c r="O1722">
        <v>2</v>
      </c>
      <c r="P1722" t="s">
        <v>63</v>
      </c>
      <c r="Q1722" t="b">
        <v>1</v>
      </c>
    </row>
    <row r="1723" spans="1:17">
      <c r="A1723" s="12">
        <v>43362</v>
      </c>
      <c r="B1723" s="10">
        <v>6</v>
      </c>
      <c r="C1723" s="10">
        <v>3.68</v>
      </c>
      <c r="D1723" s="10">
        <v>2</v>
      </c>
      <c r="E1723" s="10">
        <v>26</v>
      </c>
      <c r="F1723" s="10">
        <v>10</v>
      </c>
      <c r="G1723" s="10">
        <v>0</v>
      </c>
      <c r="H1723" s="10">
        <v>9</v>
      </c>
      <c r="I1723" s="10">
        <v>7</v>
      </c>
      <c r="J1723" s="10">
        <f>SUM(B1723:I1723)</f>
        <v>63.68</v>
      </c>
      <c r="K1723">
        <v>2018</v>
      </c>
      <c r="L1723">
        <v>9</v>
      </c>
      <c r="M1723" s="11">
        <v>43344</v>
      </c>
      <c r="N1723" t="s">
        <v>2181</v>
      </c>
      <c r="O1723">
        <v>3</v>
      </c>
      <c r="P1723" t="s">
        <v>65</v>
      </c>
      <c r="Q1723" t="b">
        <v>1</v>
      </c>
    </row>
    <row r="1724" spans="1:17">
      <c r="A1724" s="12">
        <v>43363</v>
      </c>
      <c r="B1724" s="10">
        <v>2</v>
      </c>
      <c r="C1724" s="10">
        <v>4.067</v>
      </c>
      <c r="D1724" s="10">
        <v>2</v>
      </c>
      <c r="E1724" s="10">
        <v>24.2</v>
      </c>
      <c r="F1724" s="10">
        <v>13</v>
      </c>
      <c r="G1724" s="10">
        <v>1</v>
      </c>
      <c r="H1724" s="10">
        <v>0</v>
      </c>
      <c r="I1724" s="10">
        <v>5</v>
      </c>
      <c r="J1724" s="10">
        <f>SUM(B1724:I1724)</f>
        <v>51.266999999999996</v>
      </c>
      <c r="K1724">
        <v>2018</v>
      </c>
      <c r="L1724">
        <v>9</v>
      </c>
      <c r="M1724" s="11">
        <v>43344</v>
      </c>
      <c r="N1724" t="s">
        <v>2181</v>
      </c>
      <c r="O1724">
        <v>4</v>
      </c>
      <c r="P1724" t="s">
        <v>53</v>
      </c>
      <c r="Q1724" t="b">
        <v>1</v>
      </c>
    </row>
    <row r="1725" spans="1:17">
      <c r="A1725" s="12">
        <v>43364</v>
      </c>
      <c r="B1725" s="10">
        <v>4.66</v>
      </c>
      <c r="C1725" s="10">
        <v>5.837</v>
      </c>
      <c r="D1725" s="10">
        <v>1</v>
      </c>
      <c r="E1725" s="10">
        <v>33.1</v>
      </c>
      <c r="F1725" s="10">
        <v>10</v>
      </c>
      <c r="G1725" s="10">
        <v>0</v>
      </c>
      <c r="H1725" s="10">
        <v>1</v>
      </c>
      <c r="I1725" s="10">
        <v>3</v>
      </c>
      <c r="J1725" s="10">
        <f>SUM(B1725:I1725)</f>
        <v>58.597</v>
      </c>
      <c r="K1725">
        <v>2018</v>
      </c>
      <c r="L1725">
        <v>9</v>
      </c>
      <c r="M1725" s="11">
        <v>43344</v>
      </c>
      <c r="N1725" t="s">
        <v>2181</v>
      </c>
      <c r="O1725">
        <v>5</v>
      </c>
      <c r="P1725" t="s">
        <v>55</v>
      </c>
      <c r="Q1725" t="b">
        <v>1</v>
      </c>
    </row>
    <row r="1726" spans="1:17">
      <c r="A1726" s="12">
        <v>43365</v>
      </c>
      <c r="B1726" s="10">
        <v>6</v>
      </c>
      <c r="C1726" s="10">
        <v>3.833</v>
      </c>
      <c r="D1726" s="10">
        <v>1.5</v>
      </c>
      <c r="E1726" s="10">
        <v>31.6</v>
      </c>
      <c r="F1726" s="10">
        <v>6</v>
      </c>
      <c r="G1726" s="10">
        <v>1</v>
      </c>
      <c r="H1726" s="10">
        <v>23</v>
      </c>
      <c r="I1726" s="10">
        <v>3</v>
      </c>
      <c r="J1726" s="10">
        <f>SUM(B1726:I1726)</f>
        <v>75.93299999999999</v>
      </c>
      <c r="K1726">
        <v>2018</v>
      </c>
      <c r="L1726">
        <v>9</v>
      </c>
      <c r="M1726" s="11">
        <v>43344</v>
      </c>
      <c r="N1726" t="s">
        <v>2181</v>
      </c>
      <c r="O1726">
        <v>6</v>
      </c>
      <c r="P1726" t="s">
        <v>57</v>
      </c>
      <c r="Q1726" t="b">
        <v>1</v>
      </c>
    </row>
    <row r="1727" spans="1:17">
      <c r="A1727" s="12">
        <v>43366</v>
      </c>
      <c r="B1727" s="10">
        <v>7.34</v>
      </c>
      <c r="C1727" s="10">
        <v>9.439</v>
      </c>
      <c r="D1727" s="10">
        <v>3.25</v>
      </c>
      <c r="E1727" s="10">
        <v>42.862</v>
      </c>
      <c r="F1727" s="10">
        <v>9</v>
      </c>
      <c r="G1727" s="10">
        <v>0</v>
      </c>
      <c r="H1727" s="10">
        <v>8</v>
      </c>
      <c r="I1727" s="10">
        <v>5</v>
      </c>
      <c r="J1727" s="10">
        <f>SUM(B1727:I1727)</f>
        <v>84.891</v>
      </c>
      <c r="K1727">
        <v>2018</v>
      </c>
      <c r="L1727">
        <v>9</v>
      </c>
      <c r="M1727" s="11">
        <v>43344</v>
      </c>
      <c r="N1727" t="s">
        <v>2181</v>
      </c>
      <c r="O1727">
        <v>7</v>
      </c>
      <c r="P1727" t="s">
        <v>59</v>
      </c>
      <c r="Q1727" t="b">
        <v>1</v>
      </c>
    </row>
    <row r="1728" spans="1:17">
      <c r="A1728" s="12">
        <v>43367</v>
      </c>
      <c r="B1728" s="10">
        <v>7.33</v>
      </c>
      <c r="C1728" s="10">
        <v>3.67</v>
      </c>
      <c r="D1728" s="10">
        <v>5.5</v>
      </c>
      <c r="E1728" s="10">
        <v>53.8</v>
      </c>
      <c r="F1728" s="10">
        <v>7</v>
      </c>
      <c r="G1728" s="10">
        <v>0</v>
      </c>
      <c r="H1728" s="10">
        <v>9</v>
      </c>
      <c r="I1728" s="10">
        <v>2</v>
      </c>
      <c r="J1728" s="10">
        <f>SUM(B1728:I1728)</f>
        <v>88.3</v>
      </c>
      <c r="K1728">
        <v>2018</v>
      </c>
      <c r="L1728">
        <v>9</v>
      </c>
      <c r="M1728" s="11">
        <v>43344</v>
      </c>
      <c r="N1728" t="s">
        <v>2181</v>
      </c>
      <c r="O1728">
        <v>1</v>
      </c>
      <c r="P1728" t="s">
        <v>61</v>
      </c>
      <c r="Q1728" t="b">
        <v>1</v>
      </c>
    </row>
    <row r="1729" spans="1:17">
      <c r="A1729" s="12">
        <v>43368</v>
      </c>
      <c r="B1729" s="10">
        <v>6</v>
      </c>
      <c r="C1729" s="10">
        <v>4.736</v>
      </c>
      <c r="D1729" s="10">
        <v>3.3</v>
      </c>
      <c r="E1729" s="10">
        <v>53.85</v>
      </c>
      <c r="F1729" s="10">
        <v>11</v>
      </c>
      <c r="G1729" s="10">
        <v>0</v>
      </c>
      <c r="H1729" s="10">
        <v>22</v>
      </c>
      <c r="I1729" s="10">
        <v>2</v>
      </c>
      <c r="J1729" s="10">
        <f>SUM(B1729:I1729)</f>
        <v>102.886</v>
      </c>
      <c r="K1729">
        <v>2018</v>
      </c>
      <c r="L1729">
        <v>9</v>
      </c>
      <c r="M1729" s="11">
        <v>43344</v>
      </c>
      <c r="N1729" t="s">
        <v>2181</v>
      </c>
      <c r="O1729">
        <v>2</v>
      </c>
      <c r="P1729" t="s">
        <v>63</v>
      </c>
      <c r="Q1729" t="b">
        <v>1</v>
      </c>
    </row>
    <row r="1730" spans="1:17">
      <c r="A1730" s="12">
        <v>43369</v>
      </c>
      <c r="B1730" s="10">
        <v>3</v>
      </c>
      <c r="C1730" s="10">
        <v>9</v>
      </c>
      <c r="D1730" s="10">
        <v>6</v>
      </c>
      <c r="E1730" s="10">
        <v>41.4</v>
      </c>
      <c r="F1730" s="10">
        <v>9</v>
      </c>
      <c r="G1730" s="10">
        <v>1</v>
      </c>
      <c r="H1730" s="10">
        <v>0</v>
      </c>
      <c r="I1730" s="10">
        <v>3</v>
      </c>
      <c r="J1730" s="10">
        <f>SUM(B1730:I1730)</f>
        <v>72.4</v>
      </c>
      <c r="K1730">
        <v>2018</v>
      </c>
      <c r="L1730">
        <v>9</v>
      </c>
      <c r="M1730" s="11">
        <v>43344</v>
      </c>
      <c r="N1730" t="s">
        <v>2181</v>
      </c>
      <c r="O1730">
        <v>3</v>
      </c>
      <c r="P1730" t="s">
        <v>65</v>
      </c>
      <c r="Q1730" t="b">
        <v>1</v>
      </c>
    </row>
    <row r="1731" spans="1:17">
      <c r="A1731" s="12">
        <v>43370</v>
      </c>
      <c r="B1731" s="10">
        <v>4</v>
      </c>
      <c r="C1731" s="10">
        <v>6.567</v>
      </c>
      <c r="D1731" s="10">
        <v>4.6</v>
      </c>
      <c r="E1731" s="10">
        <v>19</v>
      </c>
      <c r="F1731" s="10">
        <v>11</v>
      </c>
      <c r="G1731" s="10">
        <v>0</v>
      </c>
      <c r="H1731" s="10">
        <v>7</v>
      </c>
      <c r="I1731" s="10">
        <v>3</v>
      </c>
      <c r="J1731" s="10">
        <f>SUM(B1731:I1731)</f>
        <v>55.167</v>
      </c>
      <c r="K1731">
        <v>2018</v>
      </c>
      <c r="L1731">
        <v>9</v>
      </c>
      <c r="M1731" s="11">
        <v>43344</v>
      </c>
      <c r="N1731" t="s">
        <v>2181</v>
      </c>
      <c r="O1731">
        <v>4</v>
      </c>
      <c r="P1731" t="s">
        <v>53</v>
      </c>
      <c r="Q1731" t="b">
        <v>1</v>
      </c>
    </row>
    <row r="1732" spans="1:17">
      <c r="A1732" s="12">
        <v>43371</v>
      </c>
      <c r="B1732" s="10">
        <v>2</v>
      </c>
      <c r="C1732" s="10">
        <v>4.68</v>
      </c>
      <c r="D1732" s="10">
        <v>3.7</v>
      </c>
      <c r="E1732" s="10">
        <v>40.6</v>
      </c>
      <c r="F1732" s="10">
        <v>3</v>
      </c>
      <c r="G1732" s="10">
        <v>0</v>
      </c>
      <c r="H1732" s="10">
        <v>5</v>
      </c>
      <c r="I1732" s="10">
        <v>3</v>
      </c>
      <c r="J1732" s="10">
        <f>SUM(B1732:I1732)</f>
        <v>61.980000000000004</v>
      </c>
      <c r="K1732">
        <v>2018</v>
      </c>
      <c r="L1732">
        <v>9</v>
      </c>
      <c r="M1732" s="11">
        <v>43344</v>
      </c>
      <c r="N1732" t="s">
        <v>2181</v>
      </c>
      <c r="O1732">
        <v>5</v>
      </c>
      <c r="P1732" t="s">
        <v>55</v>
      </c>
      <c r="Q1732" t="b">
        <v>1</v>
      </c>
    </row>
    <row r="1733" spans="1:17">
      <c r="A1733" s="12">
        <v>43372</v>
      </c>
      <c r="B1733" s="10">
        <v>3.5</v>
      </c>
      <c r="C1733" s="10">
        <v>5.33</v>
      </c>
      <c r="D1733" s="10">
        <v>2.15</v>
      </c>
      <c r="E1733" s="10">
        <v>57.7</v>
      </c>
      <c r="F1733" s="10">
        <v>4</v>
      </c>
      <c r="G1733" s="10">
        <v>0</v>
      </c>
      <c r="H1733" s="10">
        <v>21</v>
      </c>
      <c r="I1733" s="10">
        <v>1</v>
      </c>
      <c r="J1733" s="10">
        <f>SUM(B1733:I1733)</f>
        <v>94.68</v>
      </c>
      <c r="K1733">
        <v>2018</v>
      </c>
      <c r="L1733">
        <v>9</v>
      </c>
      <c r="M1733" s="11">
        <v>43344</v>
      </c>
      <c r="N1733" t="s">
        <v>2181</v>
      </c>
      <c r="O1733">
        <v>6</v>
      </c>
      <c r="P1733" t="s">
        <v>57</v>
      </c>
      <c r="Q1733" t="b">
        <v>1</v>
      </c>
    </row>
    <row r="1734" spans="1:17">
      <c r="A1734" s="12">
        <v>43373</v>
      </c>
      <c r="B1734" s="10">
        <v>11.01</v>
      </c>
      <c r="C1734" s="10">
        <v>2.01</v>
      </c>
      <c r="D1734" s="10">
        <v>2</v>
      </c>
      <c r="E1734" s="10">
        <v>54</v>
      </c>
      <c r="F1734" s="10">
        <v>9</v>
      </c>
      <c r="G1734" s="10">
        <v>1</v>
      </c>
      <c r="H1734" s="10">
        <v>3</v>
      </c>
      <c r="I1734" s="10">
        <v>3</v>
      </c>
      <c r="J1734" s="10">
        <f>SUM(B1734:I1734)</f>
        <v>85.02</v>
      </c>
      <c r="K1734">
        <v>2018</v>
      </c>
      <c r="L1734">
        <v>9</v>
      </c>
      <c r="M1734" s="11">
        <v>43344</v>
      </c>
      <c r="N1734" t="s">
        <v>2181</v>
      </c>
      <c r="O1734">
        <v>7</v>
      </c>
      <c r="P1734" t="s">
        <v>59</v>
      </c>
      <c r="Q1734" t="b">
        <v>1</v>
      </c>
    </row>
    <row r="1735" spans="1:17">
      <c r="A1735" s="12">
        <v>43374</v>
      </c>
      <c r="B1735" s="10">
        <v>3</v>
      </c>
      <c r="C1735" s="10">
        <v>4.932</v>
      </c>
      <c r="D1735" s="10">
        <v>1</v>
      </c>
      <c r="E1735" s="10">
        <v>53</v>
      </c>
      <c r="F1735" s="10">
        <v>10</v>
      </c>
      <c r="G1735" s="10">
        <v>0</v>
      </c>
      <c r="H1735" s="10">
        <v>21</v>
      </c>
      <c r="I1735" s="10">
        <v>3</v>
      </c>
      <c r="J1735" s="10">
        <f>SUM(B1735:I1735)</f>
        <v>95.932</v>
      </c>
      <c r="K1735">
        <v>2018</v>
      </c>
      <c r="L1735">
        <v>10</v>
      </c>
      <c r="M1735" s="11">
        <v>43374</v>
      </c>
      <c r="N1735" t="s">
        <v>2182</v>
      </c>
      <c r="O1735">
        <v>1</v>
      </c>
      <c r="P1735" t="s">
        <v>61</v>
      </c>
      <c r="Q1735" t="b">
        <v>1</v>
      </c>
    </row>
    <row r="1736" spans="1:17">
      <c r="A1736" s="12">
        <v>43375</v>
      </c>
      <c r="B1736" s="10">
        <v>6</v>
      </c>
      <c r="C1736" s="10">
        <v>3.91</v>
      </c>
      <c r="D1736" s="10">
        <v>3.5</v>
      </c>
      <c r="E1736" s="10">
        <v>18.6</v>
      </c>
      <c r="F1736" s="10">
        <v>7</v>
      </c>
      <c r="G1736" s="10">
        <v>0</v>
      </c>
      <c r="H1736" s="10">
        <v>6</v>
      </c>
      <c r="I1736" s="10">
        <v>0</v>
      </c>
      <c r="J1736" s="10">
        <f>SUM(B1736:I1736)</f>
        <v>45.010000000000005</v>
      </c>
      <c r="K1736">
        <v>2018</v>
      </c>
      <c r="L1736">
        <v>10</v>
      </c>
      <c r="M1736" s="11">
        <v>43374</v>
      </c>
      <c r="N1736" t="s">
        <v>2182</v>
      </c>
      <c r="O1736">
        <v>2</v>
      </c>
      <c r="P1736" t="s">
        <v>63</v>
      </c>
      <c r="Q1736" t="b">
        <v>1</v>
      </c>
    </row>
    <row r="1737" spans="1:17">
      <c r="A1737" s="12">
        <v>43376</v>
      </c>
      <c r="B1737" s="10">
        <v>6</v>
      </c>
      <c r="C1737" s="10">
        <v>3.33</v>
      </c>
      <c r="D1737" s="10">
        <v>3</v>
      </c>
      <c r="E1737" s="10">
        <v>34.9</v>
      </c>
      <c r="F1737" s="10">
        <v>12</v>
      </c>
      <c r="G1737" s="10">
        <v>2</v>
      </c>
      <c r="H1737" s="10">
        <v>5</v>
      </c>
      <c r="I1737" s="10">
        <v>4</v>
      </c>
      <c r="J1737" s="10">
        <f>SUM(B1737:I1737)</f>
        <v>70.22999999999999</v>
      </c>
      <c r="K1737">
        <v>2018</v>
      </c>
      <c r="L1737">
        <v>10</v>
      </c>
      <c r="M1737" s="11">
        <v>43374</v>
      </c>
      <c r="N1737" t="s">
        <v>2182</v>
      </c>
      <c r="O1737">
        <v>3</v>
      </c>
      <c r="P1737" t="s">
        <v>65</v>
      </c>
      <c r="Q1737" t="b">
        <v>1</v>
      </c>
    </row>
    <row r="1738" spans="1:17">
      <c r="A1738" s="12">
        <v>43377</v>
      </c>
      <c r="B1738" s="10">
        <v>6</v>
      </c>
      <c r="C1738" s="10">
        <v>3.36</v>
      </c>
      <c r="D1738" s="10">
        <v>2</v>
      </c>
      <c r="E1738" s="10">
        <v>32</v>
      </c>
      <c r="F1738" s="10">
        <v>12</v>
      </c>
      <c r="G1738" s="10">
        <v>1</v>
      </c>
      <c r="H1738" s="10">
        <v>5</v>
      </c>
      <c r="I1738" s="10">
        <v>0</v>
      </c>
      <c r="J1738" s="10">
        <f>SUM(B1738:I1738)</f>
        <v>61.36</v>
      </c>
      <c r="K1738">
        <v>2018</v>
      </c>
      <c r="L1738">
        <v>10</v>
      </c>
      <c r="M1738" s="11">
        <v>43374</v>
      </c>
      <c r="N1738" t="s">
        <v>2182</v>
      </c>
      <c r="O1738">
        <v>4</v>
      </c>
      <c r="P1738" t="s">
        <v>53</v>
      </c>
      <c r="Q1738" t="b">
        <v>1</v>
      </c>
    </row>
    <row r="1739" spans="1:17">
      <c r="A1739" s="12">
        <v>43378</v>
      </c>
      <c r="B1739" s="10">
        <v>4.84</v>
      </c>
      <c r="C1739" s="10">
        <v>3.397</v>
      </c>
      <c r="D1739" s="10">
        <v>1.1</v>
      </c>
      <c r="E1739" s="10">
        <v>22.8</v>
      </c>
      <c r="F1739" s="10">
        <v>7</v>
      </c>
      <c r="G1739" s="10">
        <v>0</v>
      </c>
      <c r="H1739" s="10">
        <v>14</v>
      </c>
      <c r="I1739" s="10">
        <v>1</v>
      </c>
      <c r="J1739" s="10">
        <f>SUM(B1739:I1739)</f>
        <v>54.137</v>
      </c>
      <c r="K1739">
        <v>2018</v>
      </c>
      <c r="L1739">
        <v>10</v>
      </c>
      <c r="M1739" s="11">
        <v>43374</v>
      </c>
      <c r="N1739" t="s">
        <v>2182</v>
      </c>
      <c r="O1739">
        <v>5</v>
      </c>
      <c r="P1739" t="s">
        <v>55</v>
      </c>
      <c r="Q1739" t="b">
        <v>1</v>
      </c>
    </row>
    <row r="1740" spans="1:17">
      <c r="A1740" s="12">
        <v>43379</v>
      </c>
      <c r="B1740" s="10">
        <v>2</v>
      </c>
      <c r="C1740" s="10">
        <v>5.36</v>
      </c>
      <c r="D1740" s="10">
        <v>3.2</v>
      </c>
      <c r="E1740" s="10">
        <v>59.25</v>
      </c>
      <c r="F1740" s="10">
        <v>4</v>
      </c>
      <c r="G1740" s="10">
        <v>0</v>
      </c>
      <c r="H1740" s="10">
        <v>3</v>
      </c>
      <c r="I1740" s="10">
        <v>0.1</v>
      </c>
      <c r="J1740" s="10">
        <f>SUM(B1740:I1740)</f>
        <v>76.91</v>
      </c>
      <c r="K1740">
        <v>2018</v>
      </c>
      <c r="L1740">
        <v>10</v>
      </c>
      <c r="M1740" s="11">
        <v>43374</v>
      </c>
      <c r="N1740" t="s">
        <v>2182</v>
      </c>
      <c r="O1740">
        <v>6</v>
      </c>
      <c r="P1740" t="s">
        <v>57</v>
      </c>
      <c r="Q1740" t="b">
        <v>1</v>
      </c>
    </row>
    <row r="1741" spans="1:17">
      <c r="A1741" s="12">
        <v>43380</v>
      </c>
      <c r="B1741" s="10">
        <v>2.68</v>
      </c>
      <c r="C1741" s="10">
        <v>7.35</v>
      </c>
      <c r="D1741" s="10">
        <v>2</v>
      </c>
      <c r="E1741" s="10">
        <v>42.4</v>
      </c>
      <c r="F1741" s="10">
        <v>8</v>
      </c>
      <c r="G1741" s="10">
        <v>0</v>
      </c>
      <c r="H1741" s="10">
        <v>9</v>
      </c>
      <c r="I1741" s="10">
        <v>1</v>
      </c>
      <c r="J1741" s="10">
        <f>SUM(B1741:I1741)</f>
        <v>72.43</v>
      </c>
      <c r="K1741">
        <v>2018</v>
      </c>
      <c r="L1741">
        <v>10</v>
      </c>
      <c r="M1741" s="11">
        <v>43374</v>
      </c>
      <c r="N1741" t="s">
        <v>2182</v>
      </c>
      <c r="O1741">
        <v>7</v>
      </c>
      <c r="P1741" t="s">
        <v>59</v>
      </c>
      <c r="Q1741" t="b">
        <v>1</v>
      </c>
    </row>
    <row r="1742" spans="1:17">
      <c r="A1742" s="12">
        <v>43381</v>
      </c>
      <c r="B1742" s="10">
        <v>4</v>
      </c>
      <c r="C1742" s="10">
        <v>1.68</v>
      </c>
      <c r="D1742" s="10">
        <v>3</v>
      </c>
      <c r="E1742" s="10">
        <v>30</v>
      </c>
      <c r="F1742" s="10">
        <v>18</v>
      </c>
      <c r="G1742" s="10">
        <v>5</v>
      </c>
      <c r="H1742" s="10">
        <v>0</v>
      </c>
      <c r="I1742" s="10">
        <v>3</v>
      </c>
      <c r="J1742" s="10">
        <f>SUM(B1742:I1742)</f>
        <v>64.68</v>
      </c>
      <c r="K1742">
        <v>2018</v>
      </c>
      <c r="L1742">
        <v>10</v>
      </c>
      <c r="M1742" s="11">
        <v>43374</v>
      </c>
      <c r="N1742" t="s">
        <v>2182</v>
      </c>
      <c r="O1742">
        <v>1</v>
      </c>
      <c r="P1742" t="s">
        <v>61</v>
      </c>
      <c r="Q1742" t="b">
        <v>1</v>
      </c>
    </row>
    <row r="1743" spans="1:17">
      <c r="A1743" s="12">
        <v>43382</v>
      </c>
      <c r="B1743" s="10">
        <v>2</v>
      </c>
      <c r="C1743" s="10">
        <v>1.67</v>
      </c>
      <c r="D1743" s="10">
        <v>1</v>
      </c>
      <c r="E1743" s="10">
        <v>30</v>
      </c>
      <c r="F1743" s="10">
        <v>18</v>
      </c>
      <c r="G1743" s="10">
        <v>0</v>
      </c>
      <c r="H1743" s="10">
        <v>29</v>
      </c>
      <c r="I1743" s="10">
        <v>1</v>
      </c>
      <c r="J1743" s="10">
        <f>SUM(B1743:I1743)</f>
        <v>82.67</v>
      </c>
      <c r="K1743">
        <v>2018</v>
      </c>
      <c r="L1743">
        <v>10</v>
      </c>
      <c r="M1743" s="11">
        <v>43374</v>
      </c>
      <c r="N1743" t="s">
        <v>2182</v>
      </c>
      <c r="O1743">
        <v>2</v>
      </c>
      <c r="P1743" t="s">
        <v>63</v>
      </c>
      <c r="Q1743" t="b">
        <v>1</v>
      </c>
    </row>
    <row r="1744" spans="1:17">
      <c r="A1744" s="12">
        <v>43383</v>
      </c>
      <c r="B1744" s="10">
        <v>9</v>
      </c>
      <c r="C1744" s="10">
        <v>8.01</v>
      </c>
      <c r="D1744" s="10">
        <v>4.1</v>
      </c>
      <c r="E1744" s="10">
        <v>41.2</v>
      </c>
      <c r="F1744" s="10">
        <v>13</v>
      </c>
      <c r="G1744" s="10">
        <v>0</v>
      </c>
      <c r="H1744" s="10">
        <v>20</v>
      </c>
      <c r="I1744" s="10">
        <v>2</v>
      </c>
      <c r="J1744" s="10">
        <f>SUM(B1744:I1744)</f>
        <v>97.31</v>
      </c>
      <c r="K1744">
        <v>2018</v>
      </c>
      <c r="L1744">
        <v>10</v>
      </c>
      <c r="M1744" s="11">
        <v>43374</v>
      </c>
      <c r="N1744" t="s">
        <v>2182</v>
      </c>
      <c r="O1744">
        <v>3</v>
      </c>
      <c r="P1744" t="s">
        <v>65</v>
      </c>
      <c r="Q1744" t="b">
        <v>1</v>
      </c>
    </row>
    <row r="1745" spans="1:17">
      <c r="A1745" s="12">
        <v>43384</v>
      </c>
      <c r="B1745" s="10">
        <v>2</v>
      </c>
      <c r="C1745" s="10">
        <v>2.33</v>
      </c>
      <c r="D1745" s="10">
        <v>2.1</v>
      </c>
      <c r="E1745" s="10">
        <v>31</v>
      </c>
      <c r="F1745" s="10">
        <v>15</v>
      </c>
      <c r="G1745" s="10">
        <v>0</v>
      </c>
      <c r="H1745" s="10">
        <v>0</v>
      </c>
      <c r="I1745" s="10">
        <v>1</v>
      </c>
      <c r="J1745" s="10">
        <f>SUM(B1745:I1745)</f>
        <v>53.43</v>
      </c>
      <c r="K1745">
        <v>2018</v>
      </c>
      <c r="L1745">
        <v>10</v>
      </c>
      <c r="M1745" s="11">
        <v>43374</v>
      </c>
      <c r="N1745" t="s">
        <v>2182</v>
      </c>
      <c r="O1745">
        <v>4</v>
      </c>
      <c r="P1745" t="s">
        <v>53</v>
      </c>
      <c r="Q1745" t="b">
        <v>1</v>
      </c>
    </row>
    <row r="1746" spans="1:17">
      <c r="A1746" s="12">
        <v>43385</v>
      </c>
      <c r="B1746" s="10">
        <v>6.33</v>
      </c>
      <c r="C1746" s="10">
        <v>4.363</v>
      </c>
      <c r="D1746" s="10">
        <v>1</v>
      </c>
      <c r="E1746" s="10">
        <v>26</v>
      </c>
      <c r="F1746" s="10">
        <v>6</v>
      </c>
      <c r="G1746" s="10">
        <v>0</v>
      </c>
      <c r="H1746" s="10">
        <v>1</v>
      </c>
      <c r="I1746" s="10">
        <v>6</v>
      </c>
      <c r="J1746" s="10">
        <f>SUM(B1746:I1746)</f>
        <v>50.693</v>
      </c>
      <c r="K1746">
        <v>2018</v>
      </c>
      <c r="L1746">
        <v>10</v>
      </c>
      <c r="M1746" s="11">
        <v>43374</v>
      </c>
      <c r="N1746" t="s">
        <v>2182</v>
      </c>
      <c r="O1746">
        <v>5</v>
      </c>
      <c r="P1746" t="s">
        <v>55</v>
      </c>
      <c r="Q1746" t="b">
        <v>1</v>
      </c>
    </row>
    <row r="1747" spans="1:17">
      <c r="A1747" s="12">
        <v>43386</v>
      </c>
      <c r="B1747" s="10">
        <v>6.99</v>
      </c>
      <c r="C1747" s="10">
        <v>4.507</v>
      </c>
      <c r="D1747" s="10">
        <v>3.25</v>
      </c>
      <c r="E1747" s="10">
        <v>29.6</v>
      </c>
      <c r="F1747" s="10">
        <v>8</v>
      </c>
      <c r="G1747" s="10">
        <v>0</v>
      </c>
      <c r="H1747" s="10">
        <v>6</v>
      </c>
      <c r="I1747" s="10">
        <v>3</v>
      </c>
      <c r="J1747" s="10">
        <f>SUM(B1747:I1747)</f>
        <v>61.347</v>
      </c>
      <c r="K1747">
        <v>2018</v>
      </c>
      <c r="L1747">
        <v>10</v>
      </c>
      <c r="M1747" s="11">
        <v>43374</v>
      </c>
      <c r="N1747" t="s">
        <v>2182</v>
      </c>
      <c r="O1747">
        <v>6</v>
      </c>
      <c r="P1747" t="s">
        <v>57</v>
      </c>
      <c r="Q1747" t="b">
        <v>1</v>
      </c>
    </row>
    <row r="1748" spans="1:17">
      <c r="A1748" s="12">
        <v>43387</v>
      </c>
      <c r="B1748" s="10">
        <v>2.34</v>
      </c>
      <c r="C1748" s="10">
        <v>6.01</v>
      </c>
      <c r="D1748" s="10">
        <v>6.2</v>
      </c>
      <c r="E1748" s="10">
        <v>51.7</v>
      </c>
      <c r="F1748" s="10">
        <v>9</v>
      </c>
      <c r="G1748" s="10">
        <v>2</v>
      </c>
      <c r="H1748" s="10">
        <v>0</v>
      </c>
      <c r="I1748" s="10">
        <v>6</v>
      </c>
      <c r="J1748" s="10">
        <f>SUM(B1748:I1748)</f>
        <v>83.25</v>
      </c>
      <c r="K1748">
        <v>2018</v>
      </c>
      <c r="L1748">
        <v>10</v>
      </c>
      <c r="M1748" s="11">
        <v>43374</v>
      </c>
      <c r="N1748" t="s">
        <v>2182</v>
      </c>
      <c r="O1748">
        <v>7</v>
      </c>
      <c r="P1748" t="s">
        <v>59</v>
      </c>
      <c r="Q1748" t="b">
        <v>1</v>
      </c>
    </row>
    <row r="1749" spans="1:17">
      <c r="A1749" s="12">
        <v>43388</v>
      </c>
      <c r="B1749" s="10">
        <v>7.17</v>
      </c>
      <c r="C1749" s="10">
        <v>0.066</v>
      </c>
      <c r="D1749" s="10">
        <v>3</v>
      </c>
      <c r="E1749" s="10">
        <v>47.6</v>
      </c>
      <c r="F1749" s="10">
        <v>12</v>
      </c>
      <c r="G1749" s="10">
        <v>0</v>
      </c>
      <c r="H1749" s="10">
        <v>5</v>
      </c>
      <c r="I1749" s="10">
        <v>6</v>
      </c>
      <c r="J1749" s="10">
        <f>SUM(B1749:I1749)</f>
        <v>80.836</v>
      </c>
      <c r="K1749">
        <v>2018</v>
      </c>
      <c r="L1749">
        <v>10</v>
      </c>
      <c r="M1749" s="11">
        <v>43374</v>
      </c>
      <c r="N1749" t="s">
        <v>2182</v>
      </c>
      <c r="O1749">
        <v>1</v>
      </c>
      <c r="P1749" t="s">
        <v>61</v>
      </c>
      <c r="Q1749" t="b">
        <v>1</v>
      </c>
    </row>
    <row r="1750" spans="1:17">
      <c r="A1750" s="12">
        <v>43389</v>
      </c>
      <c r="B1750" s="10">
        <v>6</v>
      </c>
      <c r="C1750" s="10">
        <v>5.322</v>
      </c>
      <c r="D1750" s="10">
        <v>2</v>
      </c>
      <c r="E1750" s="10">
        <v>27.3</v>
      </c>
      <c r="F1750" s="10">
        <v>5</v>
      </c>
      <c r="G1750" s="10">
        <v>3</v>
      </c>
      <c r="H1750" s="10">
        <v>6</v>
      </c>
      <c r="I1750" s="10">
        <v>0</v>
      </c>
      <c r="J1750" s="10">
        <f>SUM(B1750:I1750)</f>
        <v>54.622</v>
      </c>
      <c r="K1750">
        <v>2018</v>
      </c>
      <c r="L1750">
        <v>10</v>
      </c>
      <c r="M1750" s="11">
        <v>43374</v>
      </c>
      <c r="N1750" t="s">
        <v>2182</v>
      </c>
      <c r="O1750">
        <v>2</v>
      </c>
      <c r="P1750" t="s">
        <v>63</v>
      </c>
      <c r="Q1750" t="b">
        <v>1</v>
      </c>
    </row>
    <row r="1751" spans="1:17">
      <c r="A1751" s="12">
        <v>43390</v>
      </c>
      <c r="B1751" s="10">
        <v>2.33</v>
      </c>
      <c r="C1751" s="10">
        <v>6</v>
      </c>
      <c r="D1751" s="10">
        <v>4</v>
      </c>
      <c r="E1751" s="10">
        <v>52.2</v>
      </c>
      <c r="F1751" s="10">
        <v>5</v>
      </c>
      <c r="G1751" s="10">
        <v>0</v>
      </c>
      <c r="H1751" s="10">
        <v>1</v>
      </c>
      <c r="I1751" s="10">
        <v>4</v>
      </c>
      <c r="J1751" s="10">
        <f>SUM(B1751:I1751)</f>
        <v>74.53</v>
      </c>
      <c r="K1751">
        <v>2018</v>
      </c>
      <c r="L1751">
        <v>10</v>
      </c>
      <c r="M1751" s="11">
        <v>43374</v>
      </c>
      <c r="N1751" t="s">
        <v>2182</v>
      </c>
      <c r="O1751">
        <v>3</v>
      </c>
      <c r="P1751" t="s">
        <v>65</v>
      </c>
      <c r="Q1751" t="b">
        <v>1</v>
      </c>
    </row>
    <row r="1752" spans="1:17">
      <c r="A1752" s="12">
        <v>43391</v>
      </c>
      <c r="B1752" s="10">
        <v>4.34</v>
      </c>
      <c r="C1752" s="10">
        <v>3</v>
      </c>
      <c r="D1752" s="10">
        <v>1.1</v>
      </c>
      <c r="E1752" s="10">
        <v>14</v>
      </c>
      <c r="F1752" s="10">
        <v>9</v>
      </c>
      <c r="G1752" s="10">
        <v>1</v>
      </c>
      <c r="H1752" s="10">
        <v>10</v>
      </c>
      <c r="I1752" s="10">
        <v>5</v>
      </c>
      <c r="J1752" s="10">
        <f>SUM(B1752:I1752)</f>
        <v>47.44</v>
      </c>
      <c r="K1752">
        <v>2018</v>
      </c>
      <c r="L1752">
        <v>10</v>
      </c>
      <c r="M1752" s="11">
        <v>43374</v>
      </c>
      <c r="N1752" t="s">
        <v>2182</v>
      </c>
      <c r="O1752">
        <v>4</v>
      </c>
      <c r="P1752" t="s">
        <v>53</v>
      </c>
      <c r="Q1752" t="b">
        <v>1</v>
      </c>
    </row>
    <row r="1753" spans="1:17">
      <c r="A1753" s="12">
        <v>43392</v>
      </c>
      <c r="B1753" s="10">
        <v>4</v>
      </c>
      <c r="C1753" s="10">
        <v>2.066</v>
      </c>
      <c r="D1753" s="10">
        <v>0</v>
      </c>
      <c r="E1753" s="10">
        <v>10.6</v>
      </c>
      <c r="F1753" s="10">
        <v>5</v>
      </c>
      <c r="G1753" s="10">
        <v>2</v>
      </c>
      <c r="H1753" s="10">
        <v>6</v>
      </c>
      <c r="I1753" s="10">
        <v>4</v>
      </c>
      <c r="J1753" s="10">
        <f>SUM(B1753:I1753)</f>
        <v>33.666</v>
      </c>
      <c r="K1753">
        <v>2018</v>
      </c>
      <c r="L1753">
        <v>10</v>
      </c>
      <c r="M1753" s="11">
        <v>43374</v>
      </c>
      <c r="N1753" t="s">
        <v>2182</v>
      </c>
      <c r="O1753">
        <v>5</v>
      </c>
      <c r="P1753" t="s">
        <v>55</v>
      </c>
      <c r="Q1753" t="b">
        <v>1</v>
      </c>
    </row>
    <row r="1754" spans="1:17">
      <c r="A1754" s="12">
        <v>43393</v>
      </c>
      <c r="B1754" s="10">
        <v>2.34</v>
      </c>
      <c r="C1754" s="10">
        <v>2.02</v>
      </c>
      <c r="D1754" s="10">
        <v>2</v>
      </c>
      <c r="E1754" s="10">
        <v>33</v>
      </c>
      <c r="F1754" s="10">
        <v>9</v>
      </c>
      <c r="G1754" s="10">
        <v>0</v>
      </c>
      <c r="H1754" s="10">
        <v>34</v>
      </c>
      <c r="I1754" s="10">
        <v>5</v>
      </c>
      <c r="J1754" s="10">
        <f>SUM(B1754:I1754)</f>
        <v>87.36</v>
      </c>
      <c r="K1754">
        <v>2018</v>
      </c>
      <c r="L1754">
        <v>10</v>
      </c>
      <c r="M1754" s="11">
        <v>43374</v>
      </c>
      <c r="N1754" t="s">
        <v>2182</v>
      </c>
      <c r="O1754">
        <v>6</v>
      </c>
      <c r="P1754" t="s">
        <v>57</v>
      </c>
      <c r="Q1754" t="b">
        <v>1</v>
      </c>
    </row>
    <row r="1755" spans="1:17">
      <c r="A1755" s="12">
        <v>43394</v>
      </c>
      <c r="B1755" s="10">
        <v>6.67</v>
      </c>
      <c r="C1755" s="10">
        <v>8.69</v>
      </c>
      <c r="D1755" s="10">
        <v>1</v>
      </c>
      <c r="E1755" s="10">
        <v>56.3</v>
      </c>
      <c r="F1755" s="10">
        <v>5</v>
      </c>
      <c r="G1755" s="10">
        <v>3</v>
      </c>
      <c r="H1755" s="10">
        <v>5</v>
      </c>
      <c r="I1755" s="10">
        <v>1</v>
      </c>
      <c r="J1755" s="10">
        <f>SUM(B1755:I1755)</f>
        <v>86.66</v>
      </c>
      <c r="K1755">
        <v>2018</v>
      </c>
      <c r="L1755">
        <v>10</v>
      </c>
      <c r="M1755" s="11">
        <v>43374</v>
      </c>
      <c r="N1755" t="s">
        <v>2182</v>
      </c>
      <c r="O1755">
        <v>7</v>
      </c>
      <c r="P1755" t="s">
        <v>59</v>
      </c>
      <c r="Q1755" t="b">
        <v>1</v>
      </c>
    </row>
    <row r="1756" spans="1:17">
      <c r="A1756" s="12">
        <v>43395</v>
      </c>
      <c r="B1756" s="10">
        <v>2.66</v>
      </c>
      <c r="C1756" s="10">
        <v>7.01</v>
      </c>
      <c r="D1756" s="10">
        <v>3.3</v>
      </c>
      <c r="E1756" s="10">
        <v>18.8</v>
      </c>
      <c r="F1756" s="10">
        <v>8</v>
      </c>
      <c r="G1756" s="10">
        <v>0</v>
      </c>
      <c r="H1756" s="10">
        <v>28</v>
      </c>
      <c r="I1756" s="10">
        <v>1.3</v>
      </c>
      <c r="J1756" s="10">
        <f>SUM(B1756:I1756)</f>
        <v>69.07</v>
      </c>
      <c r="K1756">
        <v>2018</v>
      </c>
      <c r="L1756">
        <v>10</v>
      </c>
      <c r="M1756" s="11">
        <v>43374</v>
      </c>
      <c r="N1756" t="s">
        <v>2182</v>
      </c>
      <c r="O1756">
        <v>1</v>
      </c>
      <c r="P1756" t="s">
        <v>61</v>
      </c>
      <c r="Q1756" t="b">
        <v>1</v>
      </c>
    </row>
    <row r="1757" spans="1:17">
      <c r="A1757" s="12">
        <v>43396</v>
      </c>
      <c r="B1757" s="10">
        <v>2.34</v>
      </c>
      <c r="C1757" s="10">
        <v>2</v>
      </c>
      <c r="D1757" s="10">
        <v>0.45</v>
      </c>
      <c r="E1757" s="10">
        <v>44.8</v>
      </c>
      <c r="F1757" s="10">
        <v>9</v>
      </c>
      <c r="G1757" s="10">
        <v>1</v>
      </c>
      <c r="H1757" s="10">
        <v>11</v>
      </c>
      <c r="I1757" s="10">
        <v>3</v>
      </c>
      <c r="J1757" s="10">
        <f>SUM(B1757:I1757)</f>
        <v>73.59</v>
      </c>
      <c r="K1757">
        <v>2018</v>
      </c>
      <c r="L1757">
        <v>10</v>
      </c>
      <c r="M1757" s="11">
        <v>43374</v>
      </c>
      <c r="N1757" t="s">
        <v>2182</v>
      </c>
      <c r="O1757">
        <v>2</v>
      </c>
      <c r="P1757" t="s">
        <v>63</v>
      </c>
      <c r="Q1757" t="b">
        <v>1</v>
      </c>
    </row>
    <row r="1758" spans="1:17">
      <c r="A1758" s="12">
        <v>43397</v>
      </c>
      <c r="B1758" s="10">
        <v>4</v>
      </c>
      <c r="C1758" s="10">
        <v>2.109</v>
      </c>
      <c r="D1758" s="10">
        <v>5</v>
      </c>
      <c r="E1758" s="10">
        <v>37.2</v>
      </c>
      <c r="F1758" s="10">
        <v>7</v>
      </c>
      <c r="G1758" s="10">
        <v>0</v>
      </c>
      <c r="H1758" s="10">
        <v>10</v>
      </c>
      <c r="I1758" s="10">
        <v>1.5</v>
      </c>
      <c r="J1758" s="10">
        <f>SUM(B1758:I1758)</f>
        <v>66.809</v>
      </c>
      <c r="K1758">
        <v>2018</v>
      </c>
      <c r="L1758">
        <v>10</v>
      </c>
      <c r="M1758" s="11">
        <v>43374</v>
      </c>
      <c r="N1758" t="s">
        <v>2182</v>
      </c>
      <c r="O1758">
        <v>3</v>
      </c>
      <c r="P1758" t="s">
        <v>65</v>
      </c>
      <c r="Q1758" t="b">
        <v>1</v>
      </c>
    </row>
    <row r="1759" spans="1:17">
      <c r="A1759" s="12">
        <v>43398</v>
      </c>
      <c r="B1759" s="10">
        <v>5.33</v>
      </c>
      <c r="C1759" s="10">
        <v>5.429</v>
      </c>
      <c r="D1759" s="10">
        <v>3</v>
      </c>
      <c r="E1759" s="10">
        <v>52.2</v>
      </c>
      <c r="F1759" s="10">
        <v>12</v>
      </c>
      <c r="G1759" s="10">
        <v>0</v>
      </c>
      <c r="H1759" s="10">
        <v>33</v>
      </c>
      <c r="I1759" s="10">
        <v>3</v>
      </c>
      <c r="J1759" s="10">
        <f>SUM(B1759:I1759)</f>
        <v>113.959</v>
      </c>
      <c r="K1759">
        <v>2018</v>
      </c>
      <c r="L1759">
        <v>10</v>
      </c>
      <c r="M1759" s="11">
        <v>43374</v>
      </c>
      <c r="N1759" t="s">
        <v>2182</v>
      </c>
      <c r="O1759">
        <v>4</v>
      </c>
      <c r="P1759" t="s">
        <v>53</v>
      </c>
      <c r="Q1759" t="b">
        <v>1</v>
      </c>
    </row>
    <row r="1760" spans="1:17">
      <c r="A1760" s="12">
        <v>43399</v>
      </c>
      <c r="B1760" s="10">
        <v>4</v>
      </c>
      <c r="C1760" s="10">
        <v>5.373</v>
      </c>
      <c r="D1760" s="10">
        <v>4.6</v>
      </c>
      <c r="E1760" s="10">
        <v>44</v>
      </c>
      <c r="F1760" s="10">
        <v>14</v>
      </c>
      <c r="G1760" s="10">
        <v>1</v>
      </c>
      <c r="H1760" s="10">
        <v>14</v>
      </c>
      <c r="I1760" s="10">
        <v>1</v>
      </c>
      <c r="J1760" s="10">
        <f>SUM(B1760:I1760)</f>
        <v>87.973</v>
      </c>
      <c r="K1760">
        <v>2018</v>
      </c>
      <c r="L1760">
        <v>10</v>
      </c>
      <c r="M1760" s="11">
        <v>43374</v>
      </c>
      <c r="N1760" t="s">
        <v>2182</v>
      </c>
      <c r="O1760">
        <v>5</v>
      </c>
      <c r="P1760" t="s">
        <v>55</v>
      </c>
      <c r="Q1760" t="b">
        <v>1</v>
      </c>
    </row>
    <row r="1761" spans="1:17">
      <c r="A1761" s="12">
        <v>43400</v>
      </c>
      <c r="B1761" s="10">
        <v>8.34</v>
      </c>
      <c r="C1761" s="10">
        <v>3.426</v>
      </c>
      <c r="D1761" s="10">
        <v>2.2</v>
      </c>
      <c r="E1761" s="10">
        <v>49.975</v>
      </c>
      <c r="F1761" s="10">
        <v>12</v>
      </c>
      <c r="G1761" s="10">
        <v>1</v>
      </c>
      <c r="H1761" s="10">
        <v>7</v>
      </c>
      <c r="I1761" s="10">
        <v>2</v>
      </c>
      <c r="J1761" s="10">
        <f>SUM(B1761:I1761)</f>
        <v>85.941</v>
      </c>
      <c r="K1761">
        <v>2018</v>
      </c>
      <c r="L1761">
        <v>10</v>
      </c>
      <c r="M1761" s="11">
        <v>43374</v>
      </c>
      <c r="N1761" t="s">
        <v>2182</v>
      </c>
      <c r="O1761">
        <v>6</v>
      </c>
      <c r="P1761" t="s">
        <v>57</v>
      </c>
      <c r="Q1761" t="b">
        <v>1</v>
      </c>
    </row>
    <row r="1762" spans="1:17">
      <c r="A1762" s="12">
        <v>43401</v>
      </c>
      <c r="B1762" s="10">
        <v>5.33</v>
      </c>
      <c r="C1762" s="10">
        <v>5.33</v>
      </c>
      <c r="D1762" s="10">
        <v>1.6</v>
      </c>
      <c r="E1762" s="10">
        <v>53.75</v>
      </c>
      <c r="F1762" s="10">
        <v>9</v>
      </c>
      <c r="G1762" s="10">
        <v>3</v>
      </c>
      <c r="H1762" s="10">
        <v>13</v>
      </c>
      <c r="I1762" s="10">
        <v>3</v>
      </c>
      <c r="J1762" s="10">
        <f>SUM(B1762:I1762)</f>
        <v>94.01</v>
      </c>
      <c r="K1762">
        <v>2018</v>
      </c>
      <c r="L1762">
        <v>10</v>
      </c>
      <c r="M1762" s="11">
        <v>43374</v>
      </c>
      <c r="N1762" t="s">
        <v>2182</v>
      </c>
      <c r="O1762">
        <v>7</v>
      </c>
      <c r="P1762" t="s">
        <v>59</v>
      </c>
      <c r="Q1762" t="b">
        <v>1</v>
      </c>
    </row>
    <row r="1763" spans="1:17">
      <c r="A1763" s="12">
        <v>43402</v>
      </c>
      <c r="B1763" s="10">
        <v>5.35</v>
      </c>
      <c r="C1763" s="10">
        <v>2.67</v>
      </c>
      <c r="D1763" s="10">
        <v>2.35</v>
      </c>
      <c r="E1763" s="10">
        <v>32.8</v>
      </c>
      <c r="F1763" s="10">
        <v>5</v>
      </c>
      <c r="G1763" s="10">
        <v>0</v>
      </c>
      <c r="H1763" s="10">
        <v>10</v>
      </c>
      <c r="I1763" s="10">
        <v>3</v>
      </c>
      <c r="J1763" s="10">
        <f>SUM(B1763:I1763)</f>
        <v>61.169999999999995</v>
      </c>
      <c r="K1763">
        <v>2018</v>
      </c>
      <c r="L1763">
        <v>10</v>
      </c>
      <c r="M1763" s="11">
        <v>43374</v>
      </c>
      <c r="N1763" t="s">
        <v>2182</v>
      </c>
      <c r="O1763">
        <v>1</v>
      </c>
      <c r="P1763" t="s">
        <v>61</v>
      </c>
      <c r="Q1763" t="b">
        <v>1</v>
      </c>
    </row>
    <row r="1764" spans="1:17">
      <c r="A1764" s="12">
        <v>43403</v>
      </c>
      <c r="B1764" s="10">
        <v>9.33</v>
      </c>
      <c r="C1764" s="10">
        <v>4</v>
      </c>
      <c r="D1764" s="10">
        <v>1</v>
      </c>
      <c r="E1764" s="10">
        <v>18.2</v>
      </c>
      <c r="F1764" s="10">
        <v>7</v>
      </c>
      <c r="G1764" s="10">
        <v>0</v>
      </c>
      <c r="H1764" s="10">
        <v>13</v>
      </c>
      <c r="I1764" s="10">
        <v>1</v>
      </c>
      <c r="J1764" s="10">
        <f>SUM(B1764:I1764)</f>
        <v>53.53</v>
      </c>
      <c r="K1764">
        <v>2018</v>
      </c>
      <c r="L1764">
        <v>10</v>
      </c>
      <c r="M1764" s="11">
        <v>43374</v>
      </c>
      <c r="N1764" t="s">
        <v>2182</v>
      </c>
      <c r="O1764">
        <v>2</v>
      </c>
      <c r="P1764" t="s">
        <v>63</v>
      </c>
      <c r="Q1764" t="b">
        <v>1</v>
      </c>
    </row>
    <row r="1765" spans="1:17">
      <c r="A1765" s="12">
        <v>43404</v>
      </c>
      <c r="B1765" s="10">
        <v>2</v>
      </c>
      <c r="C1765" s="10">
        <v>4.68</v>
      </c>
      <c r="D1765" s="10">
        <v>3</v>
      </c>
      <c r="E1765" s="10">
        <v>34.1</v>
      </c>
      <c r="F1765" s="10">
        <v>7</v>
      </c>
      <c r="G1765" s="10">
        <v>0</v>
      </c>
      <c r="H1765" s="10">
        <v>2</v>
      </c>
      <c r="I1765" s="10">
        <v>2</v>
      </c>
      <c r="J1765" s="10">
        <f>SUM(B1765:I1765)</f>
        <v>54.78</v>
      </c>
      <c r="K1765">
        <v>2018</v>
      </c>
      <c r="L1765">
        <v>10</v>
      </c>
      <c r="M1765" s="11">
        <v>43374</v>
      </c>
      <c r="N1765" t="s">
        <v>2182</v>
      </c>
      <c r="O1765">
        <v>3</v>
      </c>
      <c r="P1765" t="s">
        <v>65</v>
      </c>
      <c r="Q1765" t="b">
        <v>1</v>
      </c>
    </row>
    <row r="1766" spans="1:17">
      <c r="A1766" s="12">
        <v>43405</v>
      </c>
      <c r="B1766" s="10">
        <v>7.84</v>
      </c>
      <c r="C1766" s="10">
        <v>0.34</v>
      </c>
      <c r="D1766" s="10">
        <v>3</v>
      </c>
      <c r="E1766" s="10">
        <v>25</v>
      </c>
      <c r="F1766" s="10">
        <v>6</v>
      </c>
      <c r="G1766" s="10">
        <v>3</v>
      </c>
      <c r="H1766" s="10">
        <v>7</v>
      </c>
      <c r="I1766" s="10">
        <v>0</v>
      </c>
      <c r="J1766" s="10">
        <f>SUM(B1766:I1766)</f>
        <v>52.18</v>
      </c>
      <c r="K1766">
        <v>2018</v>
      </c>
      <c r="L1766">
        <v>11</v>
      </c>
      <c r="M1766" s="11">
        <v>43405</v>
      </c>
      <c r="N1766" t="s">
        <v>2183</v>
      </c>
      <c r="O1766">
        <v>4</v>
      </c>
      <c r="P1766" t="s">
        <v>53</v>
      </c>
      <c r="Q1766" t="b">
        <v>1</v>
      </c>
    </row>
    <row r="1767" spans="1:17">
      <c r="A1767" s="12">
        <v>43406</v>
      </c>
      <c r="B1767" s="10">
        <v>5.14</v>
      </c>
      <c r="C1767" s="10">
        <v>1.845</v>
      </c>
      <c r="D1767" s="10">
        <v>0</v>
      </c>
      <c r="E1767" s="10">
        <v>32.6</v>
      </c>
      <c r="F1767" s="10">
        <v>8.199999999999999</v>
      </c>
      <c r="G1767" s="10">
        <v>0</v>
      </c>
      <c r="H1767" s="10">
        <v>1</v>
      </c>
      <c r="I1767" s="10">
        <v>3.3</v>
      </c>
      <c r="J1767" s="10">
        <f>SUM(B1767:I1767)</f>
        <v>52.084999999999994</v>
      </c>
      <c r="K1767">
        <v>2018</v>
      </c>
      <c r="L1767">
        <v>11</v>
      </c>
      <c r="M1767" s="11">
        <v>43405</v>
      </c>
      <c r="N1767" t="s">
        <v>2183</v>
      </c>
      <c r="O1767">
        <v>5</v>
      </c>
      <c r="P1767" t="s">
        <v>55</v>
      </c>
      <c r="Q1767" t="b">
        <v>1</v>
      </c>
    </row>
    <row r="1768" spans="1:17">
      <c r="A1768" s="12">
        <v>43407</v>
      </c>
      <c r="B1768" s="10">
        <v>3</v>
      </c>
      <c r="C1768" s="10">
        <v>3</v>
      </c>
      <c r="D1768" s="10">
        <v>6.2</v>
      </c>
      <c r="E1768" s="10">
        <v>45.4</v>
      </c>
      <c r="F1768" s="10">
        <v>2</v>
      </c>
      <c r="G1768" s="10">
        <v>0</v>
      </c>
      <c r="H1768" s="10">
        <v>0</v>
      </c>
      <c r="I1768" s="10">
        <v>2</v>
      </c>
      <c r="J1768" s="10">
        <f>SUM(B1768:I1768)</f>
        <v>61.599999999999994</v>
      </c>
      <c r="K1768">
        <v>2018</v>
      </c>
      <c r="L1768">
        <v>11</v>
      </c>
      <c r="M1768" s="11">
        <v>43405</v>
      </c>
      <c r="N1768" t="s">
        <v>2183</v>
      </c>
      <c r="O1768">
        <v>6</v>
      </c>
      <c r="P1768" t="s">
        <v>57</v>
      </c>
      <c r="Q1768" t="b">
        <v>1</v>
      </c>
    </row>
    <row r="1769" spans="1:17">
      <c r="A1769" s="12">
        <v>43408</v>
      </c>
      <c r="B1769" s="10">
        <v>13.99</v>
      </c>
      <c r="C1769" s="10">
        <v>4.896</v>
      </c>
      <c r="D1769" s="10">
        <v>0</v>
      </c>
      <c r="E1769" s="10">
        <v>52</v>
      </c>
      <c r="F1769" s="10">
        <v>7</v>
      </c>
      <c r="G1769" s="10">
        <v>0</v>
      </c>
      <c r="H1769" s="10">
        <v>13</v>
      </c>
      <c r="I1769" s="10">
        <v>1</v>
      </c>
      <c r="J1769" s="10">
        <f>SUM(B1769:I1769)</f>
        <v>91.886</v>
      </c>
      <c r="K1769">
        <v>2018</v>
      </c>
      <c r="L1769">
        <v>11</v>
      </c>
      <c r="M1769" s="11">
        <v>43405</v>
      </c>
      <c r="N1769" t="s">
        <v>2183</v>
      </c>
      <c r="O1769">
        <v>7</v>
      </c>
      <c r="P1769" t="s">
        <v>59</v>
      </c>
      <c r="Q1769" t="b">
        <v>1</v>
      </c>
    </row>
    <row r="1770" spans="1:17">
      <c r="A1770" s="12">
        <v>43409</v>
      </c>
      <c r="B1770" s="10">
        <v>6.33</v>
      </c>
      <c r="C1770" s="10">
        <v>2.34</v>
      </c>
      <c r="D1770" s="10">
        <v>6</v>
      </c>
      <c r="E1770" s="10">
        <v>29</v>
      </c>
      <c r="F1770" s="10">
        <v>14</v>
      </c>
      <c r="G1770" s="10">
        <v>0</v>
      </c>
      <c r="H1770" s="10">
        <v>13</v>
      </c>
      <c r="I1770" s="10">
        <v>2.3</v>
      </c>
      <c r="J1770" s="10">
        <f>SUM(B1770:I1770)</f>
        <v>72.97</v>
      </c>
      <c r="K1770">
        <v>2018</v>
      </c>
      <c r="L1770">
        <v>11</v>
      </c>
      <c r="M1770" s="11">
        <v>43405</v>
      </c>
      <c r="N1770" t="s">
        <v>2183</v>
      </c>
      <c r="O1770">
        <v>1</v>
      </c>
      <c r="P1770" t="s">
        <v>61</v>
      </c>
      <c r="Q1770" t="b">
        <v>1</v>
      </c>
    </row>
    <row r="1771" spans="1:17">
      <c r="A1771" s="12">
        <v>43410</v>
      </c>
      <c r="B1771" s="10">
        <v>3.33</v>
      </c>
      <c r="C1771" s="10">
        <v>6.68</v>
      </c>
      <c r="D1771" s="10">
        <v>10.55</v>
      </c>
      <c r="E1771" s="10">
        <v>37.7</v>
      </c>
      <c r="F1771" s="10">
        <v>8</v>
      </c>
      <c r="G1771" s="10">
        <v>0</v>
      </c>
      <c r="H1771" s="10">
        <v>13</v>
      </c>
      <c r="I1771" s="10">
        <v>2.5</v>
      </c>
      <c r="J1771" s="10">
        <f>SUM(B1771:I1771)</f>
        <v>81.76</v>
      </c>
      <c r="K1771">
        <v>2018</v>
      </c>
      <c r="L1771">
        <v>11</v>
      </c>
      <c r="M1771" s="11">
        <v>43405</v>
      </c>
      <c r="N1771" t="s">
        <v>2183</v>
      </c>
      <c r="O1771">
        <v>2</v>
      </c>
      <c r="P1771" t="s">
        <v>63</v>
      </c>
      <c r="Q1771" t="b">
        <v>1</v>
      </c>
    </row>
    <row r="1772" spans="1:17">
      <c r="A1772" s="12">
        <v>43411</v>
      </c>
      <c r="B1772" s="10">
        <v>7</v>
      </c>
      <c r="C1772" s="10">
        <v>1.863</v>
      </c>
      <c r="D1772" s="10">
        <v>3</v>
      </c>
      <c r="E1772" s="10">
        <v>38.9</v>
      </c>
      <c r="F1772" s="10">
        <v>15</v>
      </c>
      <c r="G1772" s="10">
        <v>3</v>
      </c>
      <c r="H1772" s="10">
        <v>8</v>
      </c>
      <c r="I1772" s="10">
        <v>0</v>
      </c>
      <c r="J1772" s="10">
        <f>SUM(B1772:I1772)</f>
        <v>76.763</v>
      </c>
      <c r="K1772">
        <v>2018</v>
      </c>
      <c r="L1772">
        <v>11</v>
      </c>
      <c r="M1772" s="11">
        <v>43405</v>
      </c>
      <c r="N1772" t="s">
        <v>2183</v>
      </c>
      <c r="O1772">
        <v>3</v>
      </c>
      <c r="P1772" t="s">
        <v>65</v>
      </c>
      <c r="Q1772" t="b">
        <v>1</v>
      </c>
    </row>
    <row r="1773" spans="1:17">
      <c r="A1773" s="12">
        <v>43412</v>
      </c>
      <c r="B1773" s="10">
        <v>3</v>
      </c>
      <c r="C1773" s="10">
        <v>1.573</v>
      </c>
      <c r="D1773" s="10">
        <v>6</v>
      </c>
      <c r="E1773" s="10">
        <v>38</v>
      </c>
      <c r="F1773" s="10">
        <v>5</v>
      </c>
      <c r="G1773" s="10">
        <v>0</v>
      </c>
      <c r="H1773" s="10">
        <v>16</v>
      </c>
      <c r="I1773" s="10">
        <v>2</v>
      </c>
      <c r="J1773" s="10">
        <f>SUM(B1773:I1773)</f>
        <v>71.57300000000001</v>
      </c>
      <c r="K1773">
        <v>2018</v>
      </c>
      <c r="L1773">
        <v>11</v>
      </c>
      <c r="M1773" s="11">
        <v>43405</v>
      </c>
      <c r="N1773" t="s">
        <v>2183</v>
      </c>
      <c r="O1773">
        <v>4</v>
      </c>
      <c r="P1773" t="s">
        <v>53</v>
      </c>
      <c r="Q1773" t="b">
        <v>1</v>
      </c>
    </row>
    <row r="1774" spans="1:17">
      <c r="A1774" s="12">
        <v>43413</v>
      </c>
      <c r="B1774" s="10">
        <v>5</v>
      </c>
      <c r="C1774" s="10">
        <v>0.67</v>
      </c>
      <c r="D1774" s="10">
        <v>5</v>
      </c>
      <c r="E1774" s="10">
        <v>43</v>
      </c>
      <c r="F1774" s="10">
        <v>7</v>
      </c>
      <c r="G1774" s="10">
        <v>1</v>
      </c>
      <c r="H1774" s="10">
        <v>22</v>
      </c>
      <c r="I1774" s="10">
        <v>0</v>
      </c>
      <c r="J1774" s="10">
        <f>SUM(B1774:I1774)</f>
        <v>83.67</v>
      </c>
      <c r="K1774">
        <v>2018</v>
      </c>
      <c r="L1774">
        <v>11</v>
      </c>
      <c r="M1774" s="11">
        <v>43405</v>
      </c>
      <c r="N1774" t="s">
        <v>2183</v>
      </c>
      <c r="O1774">
        <v>5</v>
      </c>
      <c r="P1774" t="s">
        <v>55</v>
      </c>
      <c r="Q1774" t="b">
        <v>1</v>
      </c>
    </row>
    <row r="1775" spans="1:17">
      <c r="A1775" s="12">
        <v>43414</v>
      </c>
      <c r="B1775" s="10">
        <v>4.33</v>
      </c>
      <c r="C1775" s="10">
        <v>2.417</v>
      </c>
      <c r="D1775" s="10">
        <v>2</v>
      </c>
      <c r="E1775" s="10">
        <v>35.6</v>
      </c>
      <c r="F1775" s="10">
        <v>7</v>
      </c>
      <c r="G1775" s="10">
        <v>1</v>
      </c>
      <c r="H1775" s="10">
        <v>11</v>
      </c>
      <c r="I1775" s="10">
        <v>1.1</v>
      </c>
      <c r="J1775" s="10">
        <f>SUM(B1775:I1775)</f>
        <v>64.447</v>
      </c>
      <c r="K1775">
        <v>2018</v>
      </c>
      <c r="L1775">
        <v>11</v>
      </c>
      <c r="M1775" s="11">
        <v>43405</v>
      </c>
      <c r="N1775" t="s">
        <v>2183</v>
      </c>
      <c r="O1775">
        <v>6</v>
      </c>
      <c r="P1775" t="s">
        <v>57</v>
      </c>
      <c r="Q1775" t="b">
        <v>1</v>
      </c>
    </row>
    <row r="1776" spans="1:17">
      <c r="A1776" s="12">
        <v>43415</v>
      </c>
      <c r="B1776" s="10">
        <v>11</v>
      </c>
      <c r="C1776" s="10">
        <v>4.246</v>
      </c>
      <c r="D1776" s="10">
        <v>2</v>
      </c>
      <c r="E1776" s="10">
        <v>33.65</v>
      </c>
      <c r="F1776" s="10">
        <v>14</v>
      </c>
      <c r="G1776" s="10">
        <v>0</v>
      </c>
      <c r="H1776" s="10">
        <v>10</v>
      </c>
      <c r="I1776" s="10">
        <v>1</v>
      </c>
      <c r="J1776" s="10">
        <f>SUM(B1776:I1776)</f>
        <v>75.896</v>
      </c>
      <c r="K1776">
        <v>2018</v>
      </c>
      <c r="L1776">
        <v>11</v>
      </c>
      <c r="M1776" s="11">
        <v>43405</v>
      </c>
      <c r="N1776" t="s">
        <v>2183</v>
      </c>
      <c r="O1776">
        <v>7</v>
      </c>
      <c r="P1776" t="s">
        <v>59</v>
      </c>
      <c r="Q1776" t="b">
        <v>1</v>
      </c>
    </row>
    <row r="1777" spans="1:17">
      <c r="A1777" s="12">
        <v>43416</v>
      </c>
      <c r="B1777" s="10">
        <v>2.34</v>
      </c>
      <c r="C1777" s="10">
        <v>2.33</v>
      </c>
      <c r="D1777" s="10">
        <v>7</v>
      </c>
      <c r="E1777" s="10">
        <v>35</v>
      </c>
      <c r="F1777" s="10">
        <v>15</v>
      </c>
      <c r="G1777" s="10">
        <v>2</v>
      </c>
      <c r="H1777" s="10">
        <v>24</v>
      </c>
      <c r="I1777" s="10">
        <v>1</v>
      </c>
      <c r="J1777" s="10">
        <f>SUM(B1777:I1777)</f>
        <v>88.67</v>
      </c>
      <c r="K1777">
        <v>2018</v>
      </c>
      <c r="L1777">
        <v>11</v>
      </c>
      <c r="M1777" s="11">
        <v>43405</v>
      </c>
      <c r="N1777" t="s">
        <v>2183</v>
      </c>
      <c r="O1777">
        <v>1</v>
      </c>
      <c r="P1777" t="s">
        <v>61</v>
      </c>
      <c r="Q1777" t="b">
        <v>1</v>
      </c>
    </row>
    <row r="1778" spans="1:17">
      <c r="A1778" s="12">
        <v>43417</v>
      </c>
      <c r="B1778" s="10">
        <v>6.33</v>
      </c>
      <c r="C1778" s="10">
        <v>5.35</v>
      </c>
      <c r="D1778" s="10">
        <v>6</v>
      </c>
      <c r="E1778" s="10">
        <v>29.7</v>
      </c>
      <c r="F1778" s="10">
        <v>18</v>
      </c>
      <c r="G1778" s="10">
        <v>0</v>
      </c>
      <c r="H1778" s="10">
        <v>18</v>
      </c>
      <c r="I1778" s="10">
        <v>3</v>
      </c>
      <c r="J1778" s="10">
        <f>SUM(B1778:I1778)</f>
        <v>86.38</v>
      </c>
      <c r="K1778">
        <v>2018</v>
      </c>
      <c r="L1778">
        <v>11</v>
      </c>
      <c r="M1778" s="11">
        <v>43405</v>
      </c>
      <c r="N1778" t="s">
        <v>2183</v>
      </c>
      <c r="O1778">
        <v>2</v>
      </c>
      <c r="P1778" t="s">
        <v>63</v>
      </c>
      <c r="Q1778" t="b">
        <v>1</v>
      </c>
    </row>
    <row r="1779" spans="1:17">
      <c r="A1779" s="12">
        <v>43418</v>
      </c>
      <c r="B1779" s="10">
        <v>5.66</v>
      </c>
      <c r="C1779" s="10">
        <v>4.67</v>
      </c>
      <c r="D1779" s="10">
        <v>3</v>
      </c>
      <c r="E1779" s="10">
        <v>28.4</v>
      </c>
      <c r="F1779" s="10">
        <v>9</v>
      </c>
      <c r="G1779" s="10">
        <v>0</v>
      </c>
      <c r="H1779" s="10">
        <v>0</v>
      </c>
      <c r="I1779" s="10">
        <v>0</v>
      </c>
      <c r="J1779" s="10">
        <f>SUM(B1779:I1779)</f>
        <v>50.73</v>
      </c>
      <c r="K1779">
        <v>2018</v>
      </c>
      <c r="L1779">
        <v>11</v>
      </c>
      <c r="M1779" s="11">
        <v>43405</v>
      </c>
      <c r="N1779" t="s">
        <v>2183</v>
      </c>
      <c r="O1779">
        <v>3</v>
      </c>
      <c r="P1779" t="s">
        <v>65</v>
      </c>
      <c r="Q1779" t="b">
        <v>1</v>
      </c>
    </row>
    <row r="1780" spans="1:17">
      <c r="A1780" s="12">
        <v>43419</v>
      </c>
      <c r="B1780" s="10">
        <v>2</v>
      </c>
      <c r="C1780" s="10">
        <v>4.083</v>
      </c>
      <c r="D1780" s="10">
        <v>2</v>
      </c>
      <c r="E1780" s="10">
        <v>49.6</v>
      </c>
      <c r="F1780" s="10">
        <v>3</v>
      </c>
      <c r="G1780" s="10">
        <v>2</v>
      </c>
      <c r="H1780" s="10">
        <v>29</v>
      </c>
      <c r="I1780" s="10">
        <v>0</v>
      </c>
      <c r="J1780" s="10">
        <f>SUM(B1780:I1780)</f>
        <v>91.68299999999999</v>
      </c>
      <c r="K1780">
        <v>2018</v>
      </c>
      <c r="L1780">
        <v>11</v>
      </c>
      <c r="M1780" s="11">
        <v>43405</v>
      </c>
      <c r="N1780" t="s">
        <v>2183</v>
      </c>
      <c r="O1780">
        <v>4</v>
      </c>
      <c r="P1780" t="s">
        <v>53</v>
      </c>
      <c r="Q1780" t="b">
        <v>1</v>
      </c>
    </row>
    <row r="1781" spans="1:17">
      <c r="A1781" s="12">
        <v>43420</v>
      </c>
      <c r="B1781" s="10">
        <v>8.33</v>
      </c>
      <c r="C1781" s="10">
        <v>2.66</v>
      </c>
      <c r="D1781" s="10">
        <v>4</v>
      </c>
      <c r="E1781" s="10">
        <v>21.5</v>
      </c>
      <c r="F1781" s="10">
        <v>6</v>
      </c>
      <c r="G1781" s="10">
        <v>0</v>
      </c>
      <c r="H1781" s="10">
        <v>6</v>
      </c>
      <c r="I1781" s="10">
        <v>0.4</v>
      </c>
      <c r="J1781" s="10">
        <f>SUM(B1781:I1781)</f>
        <v>48.89</v>
      </c>
      <c r="K1781">
        <v>2018</v>
      </c>
      <c r="L1781">
        <v>11</v>
      </c>
      <c r="M1781" s="11">
        <v>43405</v>
      </c>
      <c r="N1781" t="s">
        <v>2183</v>
      </c>
      <c r="O1781">
        <v>5</v>
      </c>
      <c r="P1781" t="s">
        <v>55</v>
      </c>
      <c r="Q1781" t="b">
        <v>1</v>
      </c>
    </row>
    <row r="1782" spans="1:17">
      <c r="A1782" s="12">
        <v>43421</v>
      </c>
      <c r="B1782" s="10">
        <v>8</v>
      </c>
      <c r="C1782" s="10">
        <v>2.34</v>
      </c>
      <c r="D1782" s="10">
        <v>1</v>
      </c>
      <c r="E1782" s="10">
        <v>39</v>
      </c>
      <c r="F1782" s="10">
        <v>5</v>
      </c>
      <c r="G1782" s="10">
        <v>0</v>
      </c>
      <c r="H1782" s="10">
        <v>13</v>
      </c>
      <c r="I1782" s="10">
        <v>2</v>
      </c>
      <c r="J1782" s="10">
        <f>SUM(B1782:I1782)</f>
        <v>70.34</v>
      </c>
      <c r="K1782">
        <v>2018</v>
      </c>
      <c r="L1782">
        <v>11</v>
      </c>
      <c r="M1782" s="11">
        <v>43405</v>
      </c>
      <c r="N1782" t="s">
        <v>2183</v>
      </c>
      <c r="O1782">
        <v>6</v>
      </c>
      <c r="P1782" t="s">
        <v>57</v>
      </c>
      <c r="Q1782" t="b">
        <v>1</v>
      </c>
    </row>
    <row r="1783" spans="1:17">
      <c r="A1783" s="12">
        <v>43422</v>
      </c>
      <c r="B1783" s="10">
        <v>4.68</v>
      </c>
      <c r="C1783" s="10">
        <v>4.68</v>
      </c>
      <c r="D1783" s="10">
        <v>5</v>
      </c>
      <c r="E1783" s="10">
        <v>32.9</v>
      </c>
      <c r="F1783" s="10">
        <v>7</v>
      </c>
      <c r="G1783" s="10">
        <v>1</v>
      </c>
      <c r="H1783" s="10">
        <v>10</v>
      </c>
      <c r="I1783" s="10">
        <v>1</v>
      </c>
      <c r="J1783" s="10">
        <f>SUM(B1783:I1783)</f>
        <v>66.25999999999999</v>
      </c>
      <c r="K1783">
        <v>2018</v>
      </c>
      <c r="L1783">
        <v>11</v>
      </c>
      <c r="M1783" s="11">
        <v>43405</v>
      </c>
      <c r="N1783" t="s">
        <v>2183</v>
      </c>
      <c r="O1783">
        <v>7</v>
      </c>
      <c r="P1783" t="s">
        <v>59</v>
      </c>
      <c r="Q1783" t="b">
        <v>1</v>
      </c>
    </row>
    <row r="1784" spans="1:17">
      <c r="A1784" s="12">
        <v>43423</v>
      </c>
      <c r="B1784" s="10">
        <v>6.01</v>
      </c>
      <c r="C1784" s="10">
        <v>2.44</v>
      </c>
      <c r="D1784" s="10">
        <v>2</v>
      </c>
      <c r="E1784" s="10">
        <v>47.2</v>
      </c>
      <c r="F1784" s="10">
        <v>6</v>
      </c>
      <c r="G1784" s="10">
        <v>3</v>
      </c>
      <c r="H1784" s="10">
        <v>3</v>
      </c>
      <c r="I1784" s="10">
        <v>0</v>
      </c>
      <c r="J1784" s="10">
        <f>SUM(B1784:I1784)</f>
        <v>69.65</v>
      </c>
      <c r="K1784">
        <v>2018</v>
      </c>
      <c r="L1784">
        <v>11</v>
      </c>
      <c r="M1784" s="11">
        <v>43405</v>
      </c>
      <c r="N1784" t="s">
        <v>2183</v>
      </c>
      <c r="O1784">
        <v>1</v>
      </c>
      <c r="P1784" t="s">
        <v>61</v>
      </c>
      <c r="Q1784" t="b">
        <v>1</v>
      </c>
    </row>
    <row r="1785" spans="1:17">
      <c r="A1785" s="12">
        <v>43424</v>
      </c>
      <c r="B1785" s="10">
        <v>5.33</v>
      </c>
      <c r="C1785" s="10">
        <v>3.803</v>
      </c>
      <c r="D1785" s="10">
        <v>4</v>
      </c>
      <c r="E1785" s="10">
        <v>31.5</v>
      </c>
      <c r="F1785" s="10">
        <v>4</v>
      </c>
      <c r="G1785" s="10">
        <v>1</v>
      </c>
      <c r="H1785" s="10">
        <v>10</v>
      </c>
      <c r="I1785" s="10">
        <v>3</v>
      </c>
      <c r="J1785" s="10">
        <f>SUM(B1785:I1785)</f>
        <v>62.632999999999996</v>
      </c>
      <c r="K1785">
        <v>2018</v>
      </c>
      <c r="L1785">
        <v>11</v>
      </c>
      <c r="M1785" s="11">
        <v>43405</v>
      </c>
      <c r="N1785" t="s">
        <v>2183</v>
      </c>
      <c r="O1785">
        <v>2</v>
      </c>
      <c r="P1785" t="s">
        <v>63</v>
      </c>
      <c r="Q1785" t="b">
        <v>1</v>
      </c>
    </row>
    <row r="1786" spans="1:17">
      <c r="A1786" s="12">
        <v>43425</v>
      </c>
      <c r="B1786" s="10">
        <v>7</v>
      </c>
      <c r="C1786" s="10">
        <v>2.34</v>
      </c>
      <c r="D1786" s="10">
        <v>3.25</v>
      </c>
      <c r="E1786" s="10">
        <v>22</v>
      </c>
      <c r="F1786" s="10">
        <v>5</v>
      </c>
      <c r="G1786" s="10">
        <v>0</v>
      </c>
      <c r="H1786" s="10">
        <v>5</v>
      </c>
      <c r="I1786" s="10">
        <v>1</v>
      </c>
      <c r="J1786" s="10">
        <f>SUM(B1786:I1786)</f>
        <v>45.59</v>
      </c>
      <c r="K1786">
        <v>2018</v>
      </c>
      <c r="L1786">
        <v>11</v>
      </c>
      <c r="M1786" s="11">
        <v>43405</v>
      </c>
      <c r="N1786" t="s">
        <v>2183</v>
      </c>
      <c r="O1786">
        <v>3</v>
      </c>
      <c r="P1786" t="s">
        <v>65</v>
      </c>
      <c r="Q1786" t="b">
        <v>1</v>
      </c>
    </row>
    <row r="1787" spans="1:17">
      <c r="A1787" s="12">
        <v>43426</v>
      </c>
      <c r="B1787" s="10">
        <v>8</v>
      </c>
      <c r="C1787" s="10">
        <v>7.066</v>
      </c>
      <c r="D1787" s="10">
        <v>3</v>
      </c>
      <c r="E1787" s="10">
        <v>22.4</v>
      </c>
      <c r="F1787" s="10">
        <v>9</v>
      </c>
      <c r="G1787" s="10">
        <v>0</v>
      </c>
      <c r="H1787" s="10">
        <v>15</v>
      </c>
      <c r="I1787" s="10">
        <v>2</v>
      </c>
      <c r="J1787" s="10">
        <f>SUM(B1787:I1787)</f>
        <v>66.466</v>
      </c>
      <c r="K1787">
        <v>2018</v>
      </c>
      <c r="L1787">
        <v>11</v>
      </c>
      <c r="M1787" s="11">
        <v>43405</v>
      </c>
      <c r="N1787" t="s">
        <v>2183</v>
      </c>
      <c r="O1787">
        <v>4</v>
      </c>
      <c r="P1787" t="s">
        <v>53</v>
      </c>
      <c r="Q1787" t="b">
        <v>1</v>
      </c>
    </row>
    <row r="1788" spans="1:17">
      <c r="A1788" s="12">
        <v>43427</v>
      </c>
      <c r="B1788" s="10">
        <v>6</v>
      </c>
      <c r="C1788" s="10">
        <v>4.472</v>
      </c>
      <c r="D1788" s="10">
        <v>3</v>
      </c>
      <c r="E1788" s="10">
        <v>29.6</v>
      </c>
      <c r="F1788" s="10">
        <v>13</v>
      </c>
      <c r="G1788" s="10">
        <v>1</v>
      </c>
      <c r="H1788" s="10">
        <v>24</v>
      </c>
      <c r="I1788" s="10">
        <v>3</v>
      </c>
      <c r="J1788" s="10">
        <f>SUM(B1788:I1788)</f>
        <v>84.072</v>
      </c>
      <c r="K1788">
        <v>2018</v>
      </c>
      <c r="L1788">
        <v>11</v>
      </c>
      <c r="M1788" s="11">
        <v>43405</v>
      </c>
      <c r="N1788" t="s">
        <v>2183</v>
      </c>
      <c r="O1788">
        <v>5</v>
      </c>
      <c r="P1788" t="s">
        <v>55</v>
      </c>
      <c r="Q1788" t="b">
        <v>1</v>
      </c>
    </row>
    <row r="1789" spans="1:17">
      <c r="A1789" s="12">
        <v>43428</v>
      </c>
      <c r="B1789" s="10">
        <v>5.66</v>
      </c>
      <c r="C1789" s="10">
        <v>5.78</v>
      </c>
      <c r="D1789" s="10">
        <v>5</v>
      </c>
      <c r="E1789" s="10">
        <v>29.2</v>
      </c>
      <c r="F1789" s="10">
        <v>11</v>
      </c>
      <c r="G1789" s="10">
        <v>0</v>
      </c>
      <c r="H1789" s="10">
        <v>7</v>
      </c>
      <c r="I1789" s="10">
        <v>0.3</v>
      </c>
      <c r="J1789" s="10">
        <f>SUM(B1789:I1789)</f>
        <v>63.94</v>
      </c>
      <c r="K1789">
        <v>2018</v>
      </c>
      <c r="L1789">
        <v>11</v>
      </c>
      <c r="M1789" s="11">
        <v>43405</v>
      </c>
      <c r="N1789" t="s">
        <v>2183</v>
      </c>
      <c r="O1789">
        <v>6</v>
      </c>
      <c r="P1789" t="s">
        <v>57</v>
      </c>
      <c r="Q1789" t="b">
        <v>1</v>
      </c>
    </row>
    <row r="1790" spans="1:17">
      <c r="A1790" s="12">
        <v>43429</v>
      </c>
      <c r="B1790" s="10">
        <v>5.33</v>
      </c>
      <c r="C1790" s="10">
        <v>3.593</v>
      </c>
      <c r="D1790" s="10">
        <v>3.15</v>
      </c>
      <c r="E1790" s="10">
        <v>19.1</v>
      </c>
      <c r="F1790" s="10">
        <v>6</v>
      </c>
      <c r="G1790" s="10">
        <v>1</v>
      </c>
      <c r="H1790" s="10">
        <v>3</v>
      </c>
      <c r="I1790" s="10">
        <v>2</v>
      </c>
      <c r="J1790" s="10">
        <f>SUM(B1790:I1790)</f>
        <v>43.173</v>
      </c>
      <c r="K1790">
        <v>2018</v>
      </c>
      <c r="L1790">
        <v>11</v>
      </c>
      <c r="M1790" s="11">
        <v>43405</v>
      </c>
      <c r="N1790" t="s">
        <v>2183</v>
      </c>
      <c r="O1790">
        <v>7</v>
      </c>
      <c r="P1790" t="s">
        <v>59</v>
      </c>
      <c r="Q1790" t="b">
        <v>1</v>
      </c>
    </row>
    <row r="1791" spans="1:17">
      <c r="A1791" s="12">
        <v>43430</v>
      </c>
      <c r="B1791" s="10">
        <v>5.33</v>
      </c>
      <c r="C1791" s="10">
        <v>2.34</v>
      </c>
      <c r="D1791" s="10">
        <v>2</v>
      </c>
      <c r="E1791" s="10">
        <v>36.3</v>
      </c>
      <c r="F1791" s="10">
        <v>15</v>
      </c>
      <c r="G1791" s="10">
        <v>1</v>
      </c>
      <c r="H1791" s="10">
        <v>16</v>
      </c>
      <c r="I1791" s="10">
        <v>3</v>
      </c>
      <c r="J1791" s="10">
        <f>SUM(B1791:I1791)</f>
        <v>80.97</v>
      </c>
      <c r="K1791">
        <v>2018</v>
      </c>
      <c r="L1791">
        <v>11</v>
      </c>
      <c r="M1791" s="11">
        <v>43405</v>
      </c>
      <c r="N1791" t="s">
        <v>2183</v>
      </c>
      <c r="O1791">
        <v>1</v>
      </c>
      <c r="P1791" t="s">
        <v>61</v>
      </c>
      <c r="Q1791" t="b">
        <v>1</v>
      </c>
    </row>
    <row r="1792" spans="1:17">
      <c r="A1792" s="12">
        <v>43431</v>
      </c>
      <c r="B1792" s="10">
        <v>8</v>
      </c>
      <c r="C1792" s="10">
        <v>4.67</v>
      </c>
      <c r="D1792" s="10">
        <v>2</v>
      </c>
      <c r="E1792" s="10">
        <v>41.5</v>
      </c>
      <c r="F1792" s="10">
        <v>2</v>
      </c>
      <c r="G1792" s="10">
        <v>0</v>
      </c>
      <c r="H1792" s="10">
        <v>5</v>
      </c>
      <c r="I1792" s="10">
        <v>2</v>
      </c>
      <c r="J1792" s="10">
        <f>SUM(B1792:I1792)</f>
        <v>65.17</v>
      </c>
      <c r="K1792">
        <v>2018</v>
      </c>
      <c r="L1792">
        <v>11</v>
      </c>
      <c r="M1792" s="11">
        <v>43405</v>
      </c>
      <c r="N1792" t="s">
        <v>2183</v>
      </c>
      <c r="O1792">
        <v>2</v>
      </c>
      <c r="P1792" t="s">
        <v>63</v>
      </c>
      <c r="Q1792" t="b">
        <v>1</v>
      </c>
    </row>
    <row r="1793" spans="1:17">
      <c r="A1793" s="12">
        <v>43432</v>
      </c>
      <c r="B1793" s="10">
        <v>3</v>
      </c>
      <c r="C1793" s="10">
        <v>5.67</v>
      </c>
      <c r="D1793" s="10">
        <v>1</v>
      </c>
      <c r="E1793" s="10">
        <v>24.4</v>
      </c>
      <c r="F1793" s="10">
        <v>15</v>
      </c>
      <c r="G1793" s="10">
        <v>2</v>
      </c>
      <c r="H1793" s="10">
        <v>8</v>
      </c>
      <c r="I1793" s="10">
        <v>4</v>
      </c>
      <c r="J1793" s="10">
        <f>SUM(B1793:I1793)</f>
        <v>63.07</v>
      </c>
      <c r="K1793">
        <v>2018</v>
      </c>
      <c r="L1793">
        <v>11</v>
      </c>
      <c r="M1793" s="11">
        <v>43405</v>
      </c>
      <c r="N1793" t="s">
        <v>2183</v>
      </c>
      <c r="O1793">
        <v>3</v>
      </c>
      <c r="P1793" t="s">
        <v>65</v>
      </c>
      <c r="Q1793" t="b">
        <v>1</v>
      </c>
    </row>
    <row r="1794" spans="1:17">
      <c r="A1794" s="12">
        <v>43433</v>
      </c>
      <c r="B1794" s="10">
        <v>4.33</v>
      </c>
      <c r="C1794" s="10">
        <v>4.32</v>
      </c>
      <c r="D1794" s="10">
        <v>1</v>
      </c>
      <c r="E1794" s="10">
        <v>22.6</v>
      </c>
      <c r="F1794" s="10">
        <v>7</v>
      </c>
      <c r="G1794" s="10">
        <v>0</v>
      </c>
      <c r="H1794" s="10">
        <v>1</v>
      </c>
      <c r="I1794" s="10">
        <v>3</v>
      </c>
      <c r="J1794" s="10">
        <f>SUM(B1794:I1794)</f>
        <v>43.25</v>
      </c>
      <c r="K1794">
        <v>2018</v>
      </c>
      <c r="L1794">
        <v>11</v>
      </c>
      <c r="M1794" s="11">
        <v>43405</v>
      </c>
      <c r="N1794" t="s">
        <v>2183</v>
      </c>
      <c r="O1794">
        <v>4</v>
      </c>
      <c r="P1794" t="s">
        <v>53</v>
      </c>
      <c r="Q1794" t="b">
        <v>1</v>
      </c>
    </row>
    <row r="1795" spans="1:17">
      <c r="A1795" s="12">
        <v>43434</v>
      </c>
      <c r="B1795" s="10">
        <v>1</v>
      </c>
      <c r="C1795" s="10">
        <v>3.01</v>
      </c>
      <c r="D1795" s="10">
        <v>1</v>
      </c>
      <c r="E1795" s="10">
        <v>22.4</v>
      </c>
      <c r="F1795" s="10">
        <v>3</v>
      </c>
      <c r="G1795" s="10">
        <v>0</v>
      </c>
      <c r="H1795" s="10">
        <v>0</v>
      </c>
      <c r="I1795" s="10">
        <v>2.5</v>
      </c>
      <c r="J1795" s="10">
        <f>SUM(B1795:I1795)</f>
        <v>32.91</v>
      </c>
      <c r="K1795">
        <v>2018</v>
      </c>
      <c r="L1795">
        <v>11</v>
      </c>
      <c r="M1795" s="11">
        <v>43405</v>
      </c>
      <c r="N1795" t="s">
        <v>2183</v>
      </c>
      <c r="O1795">
        <v>5</v>
      </c>
      <c r="P1795" t="s">
        <v>55</v>
      </c>
      <c r="Q1795" t="b">
        <v>1</v>
      </c>
    </row>
    <row r="1796" spans="1:17">
      <c r="A1796" s="12">
        <v>43435</v>
      </c>
      <c r="B1796" s="10">
        <v>7</v>
      </c>
      <c r="C1796" s="10">
        <v>8.779</v>
      </c>
      <c r="D1796" s="10">
        <v>2.05</v>
      </c>
      <c r="E1796" s="10">
        <v>41</v>
      </c>
      <c r="F1796" s="10">
        <v>7</v>
      </c>
      <c r="G1796" s="10">
        <v>3</v>
      </c>
      <c r="H1796" s="10">
        <v>13</v>
      </c>
      <c r="I1796" s="10">
        <v>2</v>
      </c>
      <c r="J1796" s="10">
        <f>SUM(B1796:I1796)</f>
        <v>83.82900000000001</v>
      </c>
      <c r="K1796">
        <v>2018</v>
      </c>
      <c r="L1796">
        <v>12</v>
      </c>
      <c r="M1796" s="11">
        <v>43435</v>
      </c>
      <c r="N1796" t="s">
        <v>2184</v>
      </c>
      <c r="O1796">
        <v>6</v>
      </c>
      <c r="P1796" t="s">
        <v>57</v>
      </c>
      <c r="Q1796" t="b">
        <v>1</v>
      </c>
    </row>
    <row r="1797" spans="1:17">
      <c r="A1797" s="12">
        <v>43436</v>
      </c>
      <c r="B1797" s="10">
        <v>3.17</v>
      </c>
      <c r="C1797" s="10">
        <v>5.779</v>
      </c>
      <c r="D1797" s="10">
        <v>10</v>
      </c>
      <c r="E1797" s="10">
        <v>65.7</v>
      </c>
      <c r="F1797" s="10">
        <v>6</v>
      </c>
      <c r="G1797" s="10">
        <v>0</v>
      </c>
      <c r="H1797" s="10">
        <v>27</v>
      </c>
      <c r="I1797" s="10">
        <v>8</v>
      </c>
      <c r="J1797" s="10">
        <f>SUM(B1797:I1797)</f>
        <v>125.649</v>
      </c>
      <c r="K1797">
        <v>2018</v>
      </c>
      <c r="L1797">
        <v>12</v>
      </c>
      <c r="M1797" s="11">
        <v>43435</v>
      </c>
      <c r="N1797" t="s">
        <v>2184</v>
      </c>
      <c r="O1797">
        <v>7</v>
      </c>
      <c r="P1797" t="s">
        <v>59</v>
      </c>
      <c r="Q1797" t="b">
        <v>1</v>
      </c>
    </row>
    <row r="1798" spans="1:17">
      <c r="A1798" s="12">
        <v>43437</v>
      </c>
      <c r="B1798" s="10">
        <v>6</v>
      </c>
      <c r="C1798" s="10">
        <v>5.083</v>
      </c>
      <c r="D1798" s="10">
        <v>2.1</v>
      </c>
      <c r="E1798" s="10">
        <v>44</v>
      </c>
      <c r="F1798" s="10">
        <v>13</v>
      </c>
      <c r="G1798" s="10">
        <v>0</v>
      </c>
      <c r="H1798" s="10">
        <v>13</v>
      </c>
      <c r="I1798" s="10">
        <v>1</v>
      </c>
      <c r="J1798" s="10">
        <f>SUM(B1798:I1798)</f>
        <v>84.18299999999999</v>
      </c>
      <c r="K1798">
        <v>2018</v>
      </c>
      <c r="L1798">
        <v>12</v>
      </c>
      <c r="M1798" s="11">
        <v>43435</v>
      </c>
      <c r="N1798" t="s">
        <v>2184</v>
      </c>
      <c r="O1798">
        <v>1</v>
      </c>
      <c r="P1798" t="s">
        <v>61</v>
      </c>
      <c r="Q1798" t="b">
        <v>1</v>
      </c>
    </row>
    <row r="1799" spans="1:17">
      <c r="A1799" s="12">
        <v>43438</v>
      </c>
      <c r="B1799" s="10">
        <v>2.5</v>
      </c>
      <c r="C1799" s="10">
        <v>3</v>
      </c>
      <c r="D1799" s="10">
        <v>3</v>
      </c>
      <c r="E1799" s="10">
        <v>32.2</v>
      </c>
      <c r="F1799" s="10">
        <v>11</v>
      </c>
      <c r="G1799" s="10">
        <v>0</v>
      </c>
      <c r="H1799" s="10">
        <v>5</v>
      </c>
      <c r="I1799" s="10">
        <v>3</v>
      </c>
      <c r="J1799" s="10">
        <f>SUM(B1799:I1799)</f>
        <v>59.7</v>
      </c>
      <c r="K1799">
        <v>2018</v>
      </c>
      <c r="L1799">
        <v>12</v>
      </c>
      <c r="M1799" s="11">
        <v>43435</v>
      </c>
      <c r="N1799" t="s">
        <v>2184</v>
      </c>
      <c r="O1799">
        <v>2</v>
      </c>
      <c r="P1799" t="s">
        <v>63</v>
      </c>
      <c r="Q1799" t="b">
        <v>1</v>
      </c>
    </row>
    <row r="1800" spans="1:17">
      <c r="A1800" s="12">
        <v>43439</v>
      </c>
      <c r="B1800" s="10">
        <v>5.33</v>
      </c>
      <c r="C1800" s="10">
        <v>3.726</v>
      </c>
      <c r="D1800" s="10">
        <v>3.5</v>
      </c>
      <c r="E1800" s="10">
        <v>41.3</v>
      </c>
      <c r="F1800" s="10">
        <v>13</v>
      </c>
      <c r="G1800" s="10">
        <v>0</v>
      </c>
      <c r="H1800" s="10">
        <v>15</v>
      </c>
      <c r="I1800" s="10">
        <v>2</v>
      </c>
      <c r="J1800" s="10">
        <f>SUM(B1800:I1800)</f>
        <v>83.856</v>
      </c>
      <c r="K1800">
        <v>2018</v>
      </c>
      <c r="L1800">
        <v>12</v>
      </c>
      <c r="M1800" s="11">
        <v>43435</v>
      </c>
      <c r="N1800" t="s">
        <v>2184</v>
      </c>
      <c r="O1800">
        <v>3</v>
      </c>
      <c r="P1800" t="s">
        <v>65</v>
      </c>
      <c r="Q1800" t="b">
        <v>1</v>
      </c>
    </row>
    <row r="1801" spans="1:17">
      <c r="A1801" s="12">
        <v>43440</v>
      </c>
      <c r="B1801" s="10">
        <v>0</v>
      </c>
      <c r="C1801" s="10">
        <v>0</v>
      </c>
      <c r="D1801" s="10">
        <v>0</v>
      </c>
      <c r="E1801" s="10">
        <v>0</v>
      </c>
      <c r="F1801" s="10">
        <v>0</v>
      </c>
      <c r="G1801" s="10">
        <v>0</v>
      </c>
      <c r="H1801" s="10">
        <v>0</v>
      </c>
      <c r="I1801" s="10">
        <v>0</v>
      </c>
      <c r="J1801" s="10">
        <f>SUM(B1801:I1801)</f>
        <v>0.0</v>
      </c>
      <c r="K1801">
        <v>2018</v>
      </c>
      <c r="L1801">
        <v>12</v>
      </c>
      <c r="M1801" s="11">
        <v>43435</v>
      </c>
      <c r="N1801" t="s">
        <v>2184</v>
      </c>
      <c r="O1801">
        <v>4</v>
      </c>
      <c r="P1801" t="s">
        <v>53</v>
      </c>
      <c r="Q1801" t="b">
        <v>1</v>
      </c>
    </row>
    <row r="1802" spans="1:17">
      <c r="A1802" s="12">
        <v>43441</v>
      </c>
      <c r="B1802" s="10">
        <v>5</v>
      </c>
      <c r="C1802" s="10">
        <v>3.01</v>
      </c>
      <c r="D1802" s="10">
        <v>3</v>
      </c>
      <c r="E1802" s="10">
        <v>47.4</v>
      </c>
      <c r="F1802" s="10">
        <v>14</v>
      </c>
      <c r="G1802" s="10">
        <v>0</v>
      </c>
      <c r="H1802" s="10">
        <v>12</v>
      </c>
      <c r="I1802" s="10">
        <v>3</v>
      </c>
      <c r="J1802" s="10">
        <f>SUM(B1802:I1802)</f>
        <v>87.41</v>
      </c>
      <c r="K1802">
        <v>2018</v>
      </c>
      <c r="L1802">
        <v>12</v>
      </c>
      <c r="M1802" s="11">
        <v>43435</v>
      </c>
      <c r="N1802" t="s">
        <v>2184</v>
      </c>
      <c r="O1802">
        <v>5</v>
      </c>
      <c r="P1802" t="s">
        <v>55</v>
      </c>
      <c r="Q1802" t="b">
        <v>1</v>
      </c>
    </row>
    <row r="1803" spans="1:17">
      <c r="A1803" s="12">
        <v>43442</v>
      </c>
      <c r="B1803" s="10">
        <v>0</v>
      </c>
      <c r="C1803" s="10">
        <v>0</v>
      </c>
      <c r="D1803" s="10">
        <v>0</v>
      </c>
      <c r="E1803" s="10">
        <v>0</v>
      </c>
      <c r="F1803" s="10">
        <v>0</v>
      </c>
      <c r="G1803" s="10">
        <v>0</v>
      </c>
      <c r="H1803" s="10">
        <v>0</v>
      </c>
      <c r="I1803" s="10">
        <v>0</v>
      </c>
      <c r="J1803" s="10">
        <f>SUM(B1803:I1803)</f>
        <v>0.0</v>
      </c>
      <c r="K1803">
        <v>2018</v>
      </c>
      <c r="L1803">
        <v>12</v>
      </c>
      <c r="M1803" s="11">
        <v>43435</v>
      </c>
      <c r="N1803" t="s">
        <v>2184</v>
      </c>
      <c r="O1803">
        <v>6</v>
      </c>
      <c r="P1803" t="s">
        <v>57</v>
      </c>
      <c r="Q1803" t="b">
        <v>1</v>
      </c>
    </row>
    <row r="1804" spans="1:17">
      <c r="A1804" s="12">
        <v>43443</v>
      </c>
      <c r="B1804" s="10">
        <v>4.66</v>
      </c>
      <c r="C1804" s="10">
        <v>6.69</v>
      </c>
      <c r="D1804" s="10">
        <v>4.1</v>
      </c>
      <c r="E1804" s="10">
        <v>57.7</v>
      </c>
      <c r="F1804" s="10">
        <v>9</v>
      </c>
      <c r="G1804" s="10">
        <v>0</v>
      </c>
      <c r="H1804" s="10">
        <v>11</v>
      </c>
      <c r="I1804" s="10">
        <v>0</v>
      </c>
      <c r="J1804" s="10">
        <f>SUM(B1804:I1804)</f>
        <v>93.15</v>
      </c>
      <c r="K1804">
        <v>2018</v>
      </c>
      <c r="L1804">
        <v>12</v>
      </c>
      <c r="M1804" s="11">
        <v>43435</v>
      </c>
      <c r="N1804" t="s">
        <v>2184</v>
      </c>
      <c r="O1804">
        <v>7</v>
      </c>
      <c r="P1804" t="s">
        <v>59</v>
      </c>
      <c r="Q1804" t="b">
        <v>1</v>
      </c>
    </row>
    <row r="1805" spans="1:17">
      <c r="A1805" s="12">
        <v>43444</v>
      </c>
      <c r="B1805" s="10">
        <v>4</v>
      </c>
      <c r="C1805" s="10">
        <v>5</v>
      </c>
      <c r="D1805" s="10">
        <v>1.5</v>
      </c>
      <c r="E1805" s="10">
        <v>23.8</v>
      </c>
      <c r="F1805" s="10">
        <v>12</v>
      </c>
      <c r="G1805" s="10">
        <v>1</v>
      </c>
      <c r="H1805" s="10">
        <v>7</v>
      </c>
      <c r="I1805" s="10">
        <v>1</v>
      </c>
      <c r="J1805" s="10">
        <f>SUM(B1805:I1805)</f>
        <v>55.3</v>
      </c>
      <c r="K1805">
        <v>2018</v>
      </c>
      <c r="L1805">
        <v>12</v>
      </c>
      <c r="M1805" s="11">
        <v>43435</v>
      </c>
      <c r="N1805" t="s">
        <v>2184</v>
      </c>
      <c r="O1805">
        <v>1</v>
      </c>
      <c r="P1805" t="s">
        <v>61</v>
      </c>
      <c r="Q1805" t="b">
        <v>1</v>
      </c>
    </row>
    <row r="1806" spans="1:17">
      <c r="A1806" s="12">
        <v>43445</v>
      </c>
      <c r="B1806" s="10">
        <v>4</v>
      </c>
      <c r="C1806" s="10">
        <v>4.01</v>
      </c>
      <c r="D1806" s="10">
        <v>8.35</v>
      </c>
      <c r="E1806" s="10">
        <v>28</v>
      </c>
      <c r="F1806" s="10">
        <v>12</v>
      </c>
      <c r="G1806" s="10">
        <v>3</v>
      </c>
      <c r="H1806" s="10">
        <v>2</v>
      </c>
      <c r="I1806" s="10">
        <v>5.5</v>
      </c>
      <c r="J1806" s="10">
        <f>SUM(B1806:I1806)</f>
        <v>66.86</v>
      </c>
      <c r="K1806">
        <v>2018</v>
      </c>
      <c r="L1806">
        <v>12</v>
      </c>
      <c r="M1806" s="11">
        <v>43435</v>
      </c>
      <c r="N1806" t="s">
        <v>2184</v>
      </c>
      <c r="O1806">
        <v>2</v>
      </c>
      <c r="P1806" t="s">
        <v>63</v>
      </c>
      <c r="Q1806" t="b">
        <v>1</v>
      </c>
    </row>
    <row r="1807" spans="1:17">
      <c r="A1807" s="12">
        <v>43446</v>
      </c>
      <c r="B1807" s="10">
        <v>4.33</v>
      </c>
      <c r="C1807" s="10">
        <v>2</v>
      </c>
      <c r="D1807" s="10">
        <v>3</v>
      </c>
      <c r="E1807" s="10">
        <v>37.6</v>
      </c>
      <c r="F1807" s="10">
        <v>11</v>
      </c>
      <c r="G1807" s="10">
        <v>0</v>
      </c>
      <c r="H1807" s="10">
        <v>21</v>
      </c>
      <c r="I1807" s="10">
        <v>0</v>
      </c>
      <c r="J1807" s="10">
        <f>SUM(B1807:I1807)</f>
        <v>78.93</v>
      </c>
      <c r="K1807">
        <v>2018</v>
      </c>
      <c r="L1807">
        <v>12</v>
      </c>
      <c r="M1807" s="11">
        <v>43435</v>
      </c>
      <c r="N1807" t="s">
        <v>2184</v>
      </c>
      <c r="O1807">
        <v>3</v>
      </c>
      <c r="P1807" t="s">
        <v>65</v>
      </c>
      <c r="Q1807" t="b">
        <v>1</v>
      </c>
    </row>
    <row r="1808" spans="1:17">
      <c r="A1808" s="12">
        <v>43447</v>
      </c>
      <c r="B1808" s="10">
        <v>3.68</v>
      </c>
      <c r="C1808" s="10">
        <v>2.243</v>
      </c>
      <c r="D1808" s="10">
        <v>3</v>
      </c>
      <c r="E1808" s="10">
        <v>47.5</v>
      </c>
      <c r="F1808" s="10">
        <v>6</v>
      </c>
      <c r="G1808" s="10">
        <v>0</v>
      </c>
      <c r="H1808" s="10">
        <v>6</v>
      </c>
      <c r="I1808" s="10">
        <v>0</v>
      </c>
      <c r="J1808" s="10">
        <f>SUM(B1808:I1808)</f>
        <v>68.423</v>
      </c>
      <c r="K1808">
        <v>2018</v>
      </c>
      <c r="L1808">
        <v>12</v>
      </c>
      <c r="M1808" s="11">
        <v>43435</v>
      </c>
      <c r="N1808" t="s">
        <v>2184</v>
      </c>
      <c r="O1808">
        <v>4</v>
      </c>
      <c r="P1808" t="s">
        <v>53</v>
      </c>
      <c r="Q1808" t="b">
        <v>1</v>
      </c>
    </row>
    <row r="1809" spans="1:17">
      <c r="A1809" s="12">
        <v>43448</v>
      </c>
      <c r="B1809" s="10">
        <v>2</v>
      </c>
      <c r="C1809" s="10">
        <v>2</v>
      </c>
      <c r="D1809" s="10">
        <v>0.2</v>
      </c>
      <c r="E1809" s="10">
        <v>23.4</v>
      </c>
      <c r="F1809" s="10">
        <v>2</v>
      </c>
      <c r="G1809" s="10">
        <v>1</v>
      </c>
      <c r="H1809" s="10">
        <v>29</v>
      </c>
      <c r="I1809" s="10">
        <v>1</v>
      </c>
      <c r="J1809" s="10">
        <f>SUM(B1809:I1809)</f>
        <v>60.599999999999994</v>
      </c>
      <c r="K1809">
        <v>2018</v>
      </c>
      <c r="L1809">
        <v>12</v>
      </c>
      <c r="M1809" s="11">
        <v>43435</v>
      </c>
      <c r="N1809" t="s">
        <v>2184</v>
      </c>
      <c r="O1809">
        <v>5</v>
      </c>
      <c r="P1809" t="s">
        <v>55</v>
      </c>
      <c r="Q1809" t="b">
        <v>1</v>
      </c>
    </row>
    <row r="1810" spans="1:17">
      <c r="A1810" s="12">
        <v>43449</v>
      </c>
      <c r="B1810" s="10">
        <v>4</v>
      </c>
      <c r="C1810" s="10">
        <v>2.34</v>
      </c>
      <c r="D1810" s="10">
        <v>3.45</v>
      </c>
      <c r="E1810" s="10">
        <v>62.4</v>
      </c>
      <c r="F1810" s="10">
        <v>5</v>
      </c>
      <c r="G1810" s="10">
        <v>0</v>
      </c>
      <c r="H1810" s="10">
        <v>26</v>
      </c>
      <c r="I1810" s="10">
        <v>2.3</v>
      </c>
      <c r="J1810" s="10">
        <f>SUM(B1810:I1810)</f>
        <v>105.49</v>
      </c>
      <c r="K1810">
        <v>2018</v>
      </c>
      <c r="L1810">
        <v>12</v>
      </c>
      <c r="M1810" s="11">
        <v>43435</v>
      </c>
      <c r="N1810" t="s">
        <v>2184</v>
      </c>
      <c r="O1810">
        <v>6</v>
      </c>
      <c r="P1810" t="s">
        <v>57</v>
      </c>
      <c r="Q1810" t="b">
        <v>1</v>
      </c>
    </row>
    <row r="1811" spans="1:17">
      <c r="A1811" s="12">
        <v>43450</v>
      </c>
      <c r="B1811" s="10">
        <v>1.33</v>
      </c>
      <c r="C1811" s="10">
        <v>4.32</v>
      </c>
      <c r="D1811" s="10">
        <v>0.2</v>
      </c>
      <c r="E1811" s="10">
        <v>27</v>
      </c>
      <c r="F1811" s="10">
        <v>3</v>
      </c>
      <c r="G1811" s="10">
        <v>0</v>
      </c>
      <c r="H1811" s="10">
        <v>7</v>
      </c>
      <c r="I1811" s="10">
        <v>1</v>
      </c>
      <c r="J1811" s="10">
        <f>SUM(B1811:I1811)</f>
        <v>43.85</v>
      </c>
      <c r="K1811">
        <v>2018</v>
      </c>
      <c r="L1811">
        <v>12</v>
      </c>
      <c r="M1811" s="11">
        <v>43435</v>
      </c>
      <c r="N1811" t="s">
        <v>2184</v>
      </c>
      <c r="O1811">
        <v>7</v>
      </c>
      <c r="P1811" t="s">
        <v>59</v>
      </c>
      <c r="Q1811" t="b">
        <v>1</v>
      </c>
    </row>
    <row r="1812" spans="1:17">
      <c r="A1812" s="12">
        <v>43451</v>
      </c>
      <c r="B1812" s="10">
        <v>6.34</v>
      </c>
      <c r="C1812" s="10">
        <v>2.01</v>
      </c>
      <c r="D1812" s="10">
        <v>5</v>
      </c>
      <c r="E1812" s="10">
        <v>53</v>
      </c>
      <c r="F1812" s="10">
        <v>6</v>
      </c>
      <c r="G1812" s="10">
        <v>1</v>
      </c>
      <c r="H1812" s="10">
        <v>22</v>
      </c>
      <c r="I1812" s="10">
        <v>2</v>
      </c>
      <c r="J1812" s="10">
        <f>SUM(B1812:I1812)</f>
        <v>97.35</v>
      </c>
      <c r="K1812">
        <v>2018</v>
      </c>
      <c r="L1812">
        <v>12</v>
      </c>
      <c r="M1812" s="11">
        <v>43435</v>
      </c>
      <c r="N1812" t="s">
        <v>2184</v>
      </c>
      <c r="O1812">
        <v>1</v>
      </c>
      <c r="P1812" t="s">
        <v>61</v>
      </c>
      <c r="Q1812" t="b">
        <v>1</v>
      </c>
    </row>
    <row r="1813" spans="1:17">
      <c r="A1813" s="12">
        <v>43452</v>
      </c>
      <c r="B1813" s="10">
        <v>0.33</v>
      </c>
      <c r="C1813" s="10">
        <v>2.473</v>
      </c>
      <c r="D1813" s="10">
        <v>1</v>
      </c>
      <c r="E1813" s="10">
        <v>34.5</v>
      </c>
      <c r="F1813" s="10">
        <v>12</v>
      </c>
      <c r="G1813" s="10">
        <v>3</v>
      </c>
      <c r="H1813" s="10">
        <v>9</v>
      </c>
      <c r="I1813" s="10">
        <v>2</v>
      </c>
      <c r="J1813" s="10">
        <f>SUM(B1813:I1813)</f>
        <v>64.303</v>
      </c>
      <c r="K1813">
        <v>2018</v>
      </c>
      <c r="L1813">
        <v>12</v>
      </c>
      <c r="M1813" s="11">
        <v>43435</v>
      </c>
      <c r="N1813" t="s">
        <v>2184</v>
      </c>
      <c r="O1813">
        <v>2</v>
      </c>
      <c r="P1813" t="s">
        <v>63</v>
      </c>
      <c r="Q1813" t="b">
        <v>1</v>
      </c>
    </row>
    <row r="1814" spans="1:17">
      <c r="A1814" s="12">
        <v>43453</v>
      </c>
      <c r="B1814" s="10">
        <v>0</v>
      </c>
      <c r="C1814" s="10">
        <v>0</v>
      </c>
      <c r="D1814" s="10">
        <v>0</v>
      </c>
      <c r="E1814" s="10">
        <v>0</v>
      </c>
      <c r="F1814" s="10">
        <v>0</v>
      </c>
      <c r="G1814" s="10">
        <v>0</v>
      </c>
      <c r="H1814" s="10">
        <v>0</v>
      </c>
      <c r="I1814" s="10">
        <v>0</v>
      </c>
      <c r="J1814" s="10">
        <f>SUM(B1814:I1814)</f>
        <v>0.0</v>
      </c>
      <c r="K1814">
        <v>2018</v>
      </c>
      <c r="L1814">
        <v>12</v>
      </c>
      <c r="M1814" s="11">
        <v>43435</v>
      </c>
      <c r="N1814" t="s">
        <v>2184</v>
      </c>
      <c r="O1814">
        <v>3</v>
      </c>
      <c r="P1814" t="s">
        <v>65</v>
      </c>
      <c r="Q1814" t="b">
        <v>1</v>
      </c>
    </row>
    <row r="1815" spans="1:17">
      <c r="A1815" s="12">
        <v>43454</v>
      </c>
      <c r="B1815" s="10">
        <v>8.34</v>
      </c>
      <c r="C1815" s="10">
        <v>1.66</v>
      </c>
      <c r="D1815" s="10">
        <v>1</v>
      </c>
      <c r="E1815" s="10">
        <v>27</v>
      </c>
      <c r="F1815" s="10">
        <v>12</v>
      </c>
      <c r="G1815" s="10">
        <v>3</v>
      </c>
      <c r="H1815" s="10">
        <v>1</v>
      </c>
      <c r="I1815" s="10">
        <v>0</v>
      </c>
      <c r="J1815" s="10">
        <f>SUM(B1815:I1815)</f>
        <v>54.0</v>
      </c>
      <c r="K1815">
        <v>2018</v>
      </c>
      <c r="L1815">
        <v>12</v>
      </c>
      <c r="M1815" s="11">
        <v>43435</v>
      </c>
      <c r="N1815" t="s">
        <v>2184</v>
      </c>
      <c r="O1815">
        <v>4</v>
      </c>
      <c r="P1815" t="s">
        <v>53</v>
      </c>
      <c r="Q1815" t="b">
        <v>1</v>
      </c>
    </row>
    <row r="1816" spans="1:17">
      <c r="A1816" s="12">
        <v>43455</v>
      </c>
      <c r="B1816" s="10">
        <v>2</v>
      </c>
      <c r="C1816" s="10">
        <v>1.35</v>
      </c>
      <c r="D1816" s="10">
        <v>0</v>
      </c>
      <c r="E1816" s="10">
        <v>35</v>
      </c>
      <c r="F1816" s="10">
        <v>12</v>
      </c>
      <c r="G1816" s="10">
        <v>1</v>
      </c>
      <c r="H1816" s="10">
        <v>13</v>
      </c>
      <c r="I1816" s="10">
        <v>1</v>
      </c>
      <c r="J1816" s="10">
        <f>SUM(B1816:I1816)</f>
        <v>65.35</v>
      </c>
      <c r="K1816">
        <v>2018</v>
      </c>
      <c r="L1816">
        <v>12</v>
      </c>
      <c r="M1816" s="11">
        <v>43435</v>
      </c>
      <c r="N1816" t="s">
        <v>2184</v>
      </c>
      <c r="O1816">
        <v>5</v>
      </c>
      <c r="P1816" t="s">
        <v>55</v>
      </c>
      <c r="Q1816" t="b">
        <v>1</v>
      </c>
    </row>
    <row r="1817" spans="1:17">
      <c r="A1817" s="12">
        <v>43456</v>
      </c>
      <c r="B1817" s="10">
        <v>8.34</v>
      </c>
      <c r="C1817" s="10">
        <v>3.34</v>
      </c>
      <c r="D1817" s="10">
        <v>4.5</v>
      </c>
      <c r="E1817" s="10">
        <v>43.4</v>
      </c>
      <c r="F1817" s="10">
        <v>3</v>
      </c>
      <c r="G1817" s="10">
        <v>1</v>
      </c>
      <c r="H1817" s="10">
        <v>0</v>
      </c>
      <c r="I1817" s="10">
        <v>0</v>
      </c>
      <c r="J1817" s="10">
        <f>SUM(B1817:I1817)</f>
        <v>63.58</v>
      </c>
      <c r="K1817">
        <v>2018</v>
      </c>
      <c r="L1817">
        <v>12</v>
      </c>
      <c r="M1817" s="11">
        <v>43435</v>
      </c>
      <c r="N1817" t="s">
        <v>2184</v>
      </c>
      <c r="O1817">
        <v>6</v>
      </c>
      <c r="P1817" t="s">
        <v>57</v>
      </c>
      <c r="Q1817" t="b">
        <v>1</v>
      </c>
    </row>
    <row r="1818" spans="1:17">
      <c r="A1818" s="12">
        <v>43457</v>
      </c>
      <c r="B1818" s="10">
        <v>12.33</v>
      </c>
      <c r="C1818" s="10">
        <v>6.406</v>
      </c>
      <c r="D1818" s="10">
        <v>2.3</v>
      </c>
      <c r="E1818" s="10">
        <v>47.7</v>
      </c>
      <c r="F1818" s="10">
        <v>8</v>
      </c>
      <c r="G1818" s="10">
        <v>0</v>
      </c>
      <c r="H1818" s="10">
        <v>13</v>
      </c>
      <c r="I1818" s="10">
        <v>4</v>
      </c>
      <c r="J1818" s="10">
        <f>SUM(B1818:I1818)</f>
        <v>93.736</v>
      </c>
      <c r="K1818">
        <v>2018</v>
      </c>
      <c r="L1818">
        <v>12</v>
      </c>
      <c r="M1818" s="11">
        <v>43435</v>
      </c>
      <c r="N1818" t="s">
        <v>2184</v>
      </c>
      <c r="O1818">
        <v>7</v>
      </c>
      <c r="P1818" t="s">
        <v>59</v>
      </c>
      <c r="Q1818" t="b">
        <v>1</v>
      </c>
    </row>
    <row r="1819" spans="1:17">
      <c r="A1819" s="12">
        <v>43458</v>
      </c>
      <c r="B1819" s="10">
        <v>8.67</v>
      </c>
      <c r="C1819" s="10">
        <v>4.35</v>
      </c>
      <c r="D1819" s="10">
        <v>1</v>
      </c>
      <c r="E1819" s="10">
        <v>32</v>
      </c>
      <c r="F1819" s="10">
        <v>20</v>
      </c>
      <c r="G1819" s="10">
        <v>0</v>
      </c>
      <c r="H1819" s="10">
        <v>8</v>
      </c>
      <c r="I1819" s="10">
        <v>1</v>
      </c>
      <c r="J1819" s="10">
        <f>SUM(B1819:I1819)</f>
        <v>75.02</v>
      </c>
      <c r="K1819">
        <v>2018</v>
      </c>
      <c r="L1819">
        <v>12</v>
      </c>
      <c r="M1819" s="11">
        <v>43435</v>
      </c>
      <c r="N1819" t="s">
        <v>2184</v>
      </c>
      <c r="O1819">
        <v>1</v>
      </c>
      <c r="P1819" t="s">
        <v>61</v>
      </c>
      <c r="Q1819" t="b">
        <v>1</v>
      </c>
    </row>
    <row r="1820" spans="1:17">
      <c r="A1820" s="12">
        <v>43459</v>
      </c>
      <c r="B1820" s="10">
        <v>8</v>
      </c>
      <c r="C1820" s="10">
        <v>6.076</v>
      </c>
      <c r="D1820" s="10">
        <v>5.1</v>
      </c>
      <c r="E1820" s="10">
        <v>42.6</v>
      </c>
      <c r="F1820" s="10">
        <v>9</v>
      </c>
      <c r="G1820" s="10">
        <v>3</v>
      </c>
      <c r="H1820" s="10">
        <v>21</v>
      </c>
      <c r="I1820" s="10">
        <v>2</v>
      </c>
      <c r="J1820" s="10">
        <f>SUM(B1820:I1820)</f>
        <v>96.77600000000001</v>
      </c>
      <c r="K1820">
        <v>2018</v>
      </c>
      <c r="L1820">
        <v>12</v>
      </c>
      <c r="M1820" s="11">
        <v>43435</v>
      </c>
      <c r="N1820" t="s">
        <v>2184</v>
      </c>
      <c r="O1820">
        <v>2</v>
      </c>
      <c r="P1820" t="s">
        <v>63</v>
      </c>
      <c r="Q1820" t="b">
        <v>1</v>
      </c>
    </row>
    <row r="1821" spans="1:17">
      <c r="A1821" s="12">
        <v>43460</v>
      </c>
      <c r="B1821" s="10">
        <v>1</v>
      </c>
      <c r="C1821" s="10">
        <v>0.66</v>
      </c>
      <c r="D1821" s="10">
        <v>2.15</v>
      </c>
      <c r="E1821" s="10">
        <v>50</v>
      </c>
      <c r="F1821" s="10">
        <v>8</v>
      </c>
      <c r="G1821" s="10">
        <v>1</v>
      </c>
      <c r="H1821" s="10">
        <v>13</v>
      </c>
      <c r="I1821" s="10">
        <v>2</v>
      </c>
      <c r="J1821" s="10">
        <f>SUM(B1821:I1821)</f>
        <v>77.81</v>
      </c>
      <c r="K1821">
        <v>2018</v>
      </c>
      <c r="L1821">
        <v>12</v>
      </c>
      <c r="M1821" s="11">
        <v>43435</v>
      </c>
      <c r="N1821" t="s">
        <v>2184</v>
      </c>
      <c r="O1821">
        <v>3</v>
      </c>
      <c r="P1821" t="s">
        <v>65</v>
      </c>
      <c r="Q1821" t="b">
        <v>1</v>
      </c>
    </row>
    <row r="1822" spans="1:17">
      <c r="A1822" s="12">
        <v>43461</v>
      </c>
      <c r="B1822" s="10">
        <v>3.68</v>
      </c>
      <c r="C1822" s="10">
        <v>3.01</v>
      </c>
      <c r="D1822" s="10">
        <v>3.05</v>
      </c>
      <c r="E1822" s="10">
        <v>40.6</v>
      </c>
      <c r="F1822" s="10">
        <v>8</v>
      </c>
      <c r="G1822" s="10">
        <v>0</v>
      </c>
      <c r="H1822" s="10">
        <v>7</v>
      </c>
      <c r="I1822" s="10">
        <v>0</v>
      </c>
      <c r="J1822" s="10">
        <f>SUM(B1822:I1822)</f>
        <v>65.34</v>
      </c>
      <c r="K1822">
        <v>2018</v>
      </c>
      <c r="L1822">
        <v>12</v>
      </c>
      <c r="M1822" s="11">
        <v>43435</v>
      </c>
      <c r="N1822" t="s">
        <v>2184</v>
      </c>
      <c r="O1822">
        <v>4</v>
      </c>
      <c r="P1822" t="s">
        <v>53</v>
      </c>
      <c r="Q1822" t="b">
        <v>1</v>
      </c>
    </row>
    <row r="1823" spans="1:17">
      <c r="A1823" s="12">
        <v>43462</v>
      </c>
      <c r="B1823" s="10">
        <v>11.67</v>
      </c>
      <c r="C1823" s="10">
        <v>5.845</v>
      </c>
      <c r="D1823" s="10">
        <v>1</v>
      </c>
      <c r="E1823" s="10">
        <v>56.4</v>
      </c>
      <c r="F1823" s="10">
        <v>11</v>
      </c>
      <c r="G1823" s="10">
        <v>6</v>
      </c>
      <c r="H1823" s="10">
        <v>9</v>
      </c>
      <c r="I1823" s="10">
        <v>0</v>
      </c>
      <c r="J1823" s="10">
        <f>SUM(B1823:I1823)</f>
        <v>100.91499999999999</v>
      </c>
      <c r="K1823">
        <v>2018</v>
      </c>
      <c r="L1823">
        <v>12</v>
      </c>
      <c r="M1823" s="11">
        <v>43435</v>
      </c>
      <c r="N1823" t="s">
        <v>2184</v>
      </c>
      <c r="O1823">
        <v>5</v>
      </c>
      <c r="P1823" t="s">
        <v>55</v>
      </c>
      <c r="Q1823" t="b">
        <v>1</v>
      </c>
    </row>
    <row r="1824" spans="1:17">
      <c r="A1824" s="12">
        <v>43463</v>
      </c>
      <c r="B1824" s="10">
        <v>6.68</v>
      </c>
      <c r="C1824" s="10">
        <v>5.611</v>
      </c>
      <c r="D1824" s="10">
        <v>1</v>
      </c>
      <c r="E1824" s="10">
        <v>68.34999999999999</v>
      </c>
      <c r="F1824" s="10">
        <v>5</v>
      </c>
      <c r="G1824" s="10">
        <v>0</v>
      </c>
      <c r="H1824" s="10">
        <v>7</v>
      </c>
      <c r="I1824" s="10">
        <v>2</v>
      </c>
      <c r="J1824" s="10">
        <f>SUM(B1824:I1824)</f>
        <v>95.64099999999999</v>
      </c>
      <c r="K1824">
        <v>2018</v>
      </c>
      <c r="L1824">
        <v>12</v>
      </c>
      <c r="M1824" s="11">
        <v>43435</v>
      </c>
      <c r="N1824" t="s">
        <v>2184</v>
      </c>
      <c r="O1824">
        <v>6</v>
      </c>
      <c r="P1824" t="s">
        <v>57</v>
      </c>
      <c r="Q1824" t="b">
        <v>1</v>
      </c>
    </row>
    <row r="1825" spans="1:17">
      <c r="A1825" s="12">
        <v>43464</v>
      </c>
      <c r="B1825" s="10">
        <v>5.33</v>
      </c>
      <c r="C1825" s="10">
        <v>7.593</v>
      </c>
      <c r="D1825" s="10">
        <v>5</v>
      </c>
      <c r="E1825" s="10">
        <v>59.9</v>
      </c>
      <c r="F1825" s="10">
        <v>6</v>
      </c>
      <c r="G1825" s="10">
        <v>0</v>
      </c>
      <c r="H1825" s="10">
        <v>31</v>
      </c>
      <c r="I1825" s="10">
        <v>3.3</v>
      </c>
      <c r="J1825" s="10">
        <f>SUM(B1825:I1825)</f>
        <v>118.123</v>
      </c>
      <c r="K1825">
        <v>2018</v>
      </c>
      <c r="L1825">
        <v>12</v>
      </c>
      <c r="M1825" s="11">
        <v>43435</v>
      </c>
      <c r="N1825" t="s">
        <v>2184</v>
      </c>
      <c r="O1825">
        <v>7</v>
      </c>
      <c r="P1825" t="s">
        <v>59</v>
      </c>
      <c r="Q1825" t="b">
        <v>1</v>
      </c>
    </row>
    <row r="1826" spans="1:17">
      <c r="A1826" s="12">
        <v>43465</v>
      </c>
      <c r="B1826" s="10">
        <v>8</v>
      </c>
      <c r="C1826" s="10">
        <v>4.66</v>
      </c>
      <c r="D1826" s="10">
        <v>5.2</v>
      </c>
      <c r="E1826" s="10">
        <v>44.5</v>
      </c>
      <c r="F1826" s="10">
        <v>10</v>
      </c>
      <c r="G1826" s="10">
        <v>0</v>
      </c>
      <c r="H1826" s="10">
        <v>6</v>
      </c>
      <c r="I1826" s="10">
        <v>4</v>
      </c>
      <c r="J1826" s="10">
        <f>SUM(B1826:I1826)</f>
        <v>82.36</v>
      </c>
      <c r="K1826">
        <v>2018</v>
      </c>
      <c r="L1826">
        <v>12</v>
      </c>
      <c r="M1826" s="11">
        <v>43435</v>
      </c>
      <c r="N1826" t="s">
        <v>2184</v>
      </c>
      <c r="O1826">
        <v>1</v>
      </c>
      <c r="P1826" t="s">
        <v>61</v>
      </c>
      <c r="Q1826" t="b">
        <v>1</v>
      </c>
    </row>
    <row r="1827" spans="1:17">
      <c r="A1827" s="12">
        <v>43466</v>
      </c>
      <c r="B1827" s="10">
        <v>0</v>
      </c>
      <c r="C1827" s="10">
        <v>0</v>
      </c>
      <c r="D1827" s="10">
        <v>0</v>
      </c>
      <c r="E1827" s="10">
        <v>0</v>
      </c>
      <c r="F1827" s="10">
        <v>0</v>
      </c>
      <c r="G1827" s="10">
        <v>0</v>
      </c>
      <c r="H1827" s="10">
        <v>0</v>
      </c>
      <c r="I1827" s="10">
        <v>0</v>
      </c>
      <c r="J1827" s="10">
        <f>SUM(B1827:I1827)</f>
        <v>0.0</v>
      </c>
      <c r="K1827">
        <v>2019</v>
      </c>
      <c r="L1827">
        <v>1</v>
      </c>
      <c r="M1827" s="11">
        <v>43466</v>
      </c>
      <c r="N1827" t="s">
        <v>2173</v>
      </c>
      <c r="O1827">
        <v>2</v>
      </c>
      <c r="P1827" t="s">
        <v>63</v>
      </c>
      <c r="Q1827" t="b">
        <v>1</v>
      </c>
    </row>
    <row r="1828" spans="1:17">
      <c r="A1828" s="12">
        <v>43467</v>
      </c>
      <c r="B1828" s="10">
        <v>5.33</v>
      </c>
      <c r="C1828" s="10">
        <v>4.397</v>
      </c>
      <c r="D1828" s="10">
        <v>4.15</v>
      </c>
      <c r="E1828" s="10">
        <v>36.8</v>
      </c>
      <c r="F1828" s="10">
        <v>4</v>
      </c>
      <c r="G1828" s="10">
        <v>0</v>
      </c>
      <c r="H1828" s="10">
        <v>9</v>
      </c>
      <c r="I1828" s="10">
        <v>2</v>
      </c>
      <c r="J1828" s="10">
        <f>SUM(B1828:I1828)</f>
        <v>65.67699999999999</v>
      </c>
      <c r="K1828">
        <v>2019</v>
      </c>
      <c r="L1828">
        <v>1</v>
      </c>
      <c r="M1828" s="11">
        <v>43466</v>
      </c>
      <c r="N1828" t="s">
        <v>2173</v>
      </c>
      <c r="O1828">
        <v>3</v>
      </c>
      <c r="P1828" t="s">
        <v>65</v>
      </c>
      <c r="Q1828" t="b">
        <v>1</v>
      </c>
    </row>
    <row r="1829" spans="1:17">
      <c r="A1829" s="12">
        <v>43468</v>
      </c>
      <c r="B1829" s="10">
        <v>4.33</v>
      </c>
      <c r="C1829" s="10">
        <v>4.836</v>
      </c>
      <c r="D1829" s="10">
        <v>6.25</v>
      </c>
      <c r="E1829" s="10">
        <v>42.4</v>
      </c>
      <c r="F1829" s="10">
        <v>6</v>
      </c>
      <c r="G1829" s="10">
        <v>0</v>
      </c>
      <c r="H1829" s="10">
        <v>9</v>
      </c>
      <c r="I1829" s="10">
        <v>0</v>
      </c>
      <c r="J1829" s="10">
        <f>SUM(B1829:I1829)</f>
        <v>72.816</v>
      </c>
      <c r="K1829">
        <v>2019</v>
      </c>
      <c r="L1829">
        <v>1</v>
      </c>
      <c r="M1829" s="11">
        <v>43466</v>
      </c>
      <c r="N1829" t="s">
        <v>2173</v>
      </c>
      <c r="O1829">
        <v>4</v>
      </c>
      <c r="P1829" t="s">
        <v>53</v>
      </c>
      <c r="Q1829" t="b">
        <v>1</v>
      </c>
    </row>
    <row r="1830" spans="1:17">
      <c r="A1830" s="12">
        <v>43469</v>
      </c>
      <c r="B1830" s="10">
        <v>7</v>
      </c>
      <c r="C1830" s="10">
        <v>3.67</v>
      </c>
      <c r="D1830" s="10">
        <v>2.6</v>
      </c>
      <c r="E1830" s="10">
        <v>55.8</v>
      </c>
      <c r="F1830" s="10">
        <v>10</v>
      </c>
      <c r="G1830" s="10">
        <v>0</v>
      </c>
      <c r="H1830" s="10">
        <v>0</v>
      </c>
      <c r="I1830" s="10">
        <v>1</v>
      </c>
      <c r="J1830" s="10">
        <f>SUM(B1830:I1830)</f>
        <v>80.07</v>
      </c>
      <c r="K1830">
        <v>2019</v>
      </c>
      <c r="L1830">
        <v>1</v>
      </c>
      <c r="M1830" s="11">
        <v>43466</v>
      </c>
      <c r="N1830" t="s">
        <v>2173</v>
      </c>
      <c r="O1830">
        <v>5</v>
      </c>
      <c r="P1830" t="s">
        <v>55</v>
      </c>
      <c r="Q1830" t="b">
        <v>1</v>
      </c>
    </row>
    <row r="1831" spans="1:17">
      <c r="A1831" s="12">
        <v>43470</v>
      </c>
      <c r="B1831" s="10">
        <v>8.01</v>
      </c>
      <c r="C1831" s="10">
        <v>3.69</v>
      </c>
      <c r="D1831" s="10">
        <v>3.1</v>
      </c>
      <c r="E1831" s="10">
        <v>62.75</v>
      </c>
      <c r="F1831" s="10">
        <v>10</v>
      </c>
      <c r="G1831" s="10">
        <v>0</v>
      </c>
      <c r="H1831" s="10">
        <v>30</v>
      </c>
      <c r="I1831" s="10">
        <v>1</v>
      </c>
      <c r="J1831" s="10">
        <f>SUM(B1831:I1831)</f>
        <v>118.55</v>
      </c>
      <c r="K1831">
        <v>2019</v>
      </c>
      <c r="L1831">
        <v>1</v>
      </c>
      <c r="M1831" s="11">
        <v>43466</v>
      </c>
      <c r="N1831" t="s">
        <v>2173</v>
      </c>
      <c r="O1831">
        <v>6</v>
      </c>
      <c r="P1831" t="s">
        <v>57</v>
      </c>
      <c r="Q1831" t="b">
        <v>1</v>
      </c>
    </row>
    <row r="1832" spans="1:17">
      <c r="A1832" s="12">
        <v>43471</v>
      </c>
      <c r="B1832" s="10">
        <v>8.33</v>
      </c>
      <c r="C1832" s="10">
        <v>10.01</v>
      </c>
      <c r="D1832" s="10">
        <v>2.25</v>
      </c>
      <c r="E1832" s="10">
        <v>47.4</v>
      </c>
      <c r="F1832" s="10">
        <v>11</v>
      </c>
      <c r="G1832" s="10">
        <v>2</v>
      </c>
      <c r="H1832" s="10">
        <v>0</v>
      </c>
      <c r="I1832" s="10">
        <v>3</v>
      </c>
      <c r="J1832" s="10">
        <f>SUM(B1832:I1832)</f>
        <v>83.99</v>
      </c>
      <c r="K1832">
        <v>2019</v>
      </c>
      <c r="L1832">
        <v>1</v>
      </c>
      <c r="M1832" s="11">
        <v>43466</v>
      </c>
      <c r="N1832" t="s">
        <v>2173</v>
      </c>
      <c r="O1832">
        <v>7</v>
      </c>
      <c r="P1832" t="s">
        <v>59</v>
      </c>
      <c r="Q1832" t="b">
        <v>1</v>
      </c>
    </row>
    <row r="1833" spans="1:17">
      <c r="A1833" s="12">
        <v>43472</v>
      </c>
      <c r="B1833" s="10">
        <v>0</v>
      </c>
      <c r="C1833" s="10">
        <v>0</v>
      </c>
      <c r="D1833" s="10">
        <v>0</v>
      </c>
      <c r="E1833" s="10">
        <v>0</v>
      </c>
      <c r="F1833" s="10">
        <v>0</v>
      </c>
      <c r="G1833" s="10">
        <v>0</v>
      </c>
      <c r="H1833" s="10">
        <v>0</v>
      </c>
      <c r="I1833" s="10">
        <v>0</v>
      </c>
      <c r="J1833" s="10">
        <f>SUM(B1833:I1833)</f>
        <v>0.0</v>
      </c>
      <c r="K1833">
        <v>2019</v>
      </c>
      <c r="L1833">
        <v>1</v>
      </c>
      <c r="M1833" s="11">
        <v>43466</v>
      </c>
      <c r="N1833" t="s">
        <v>2173</v>
      </c>
      <c r="O1833">
        <v>1</v>
      </c>
      <c r="P1833" t="s">
        <v>61</v>
      </c>
      <c r="Q1833" t="b">
        <v>1</v>
      </c>
    </row>
    <row r="1834" spans="1:17">
      <c r="A1834" s="12">
        <v>43473</v>
      </c>
      <c r="B1834" s="10">
        <v>4.34</v>
      </c>
      <c r="C1834" s="10">
        <v>3.32</v>
      </c>
      <c r="D1834" s="10">
        <v>0</v>
      </c>
      <c r="E1834" s="10">
        <v>41.8</v>
      </c>
      <c r="F1834" s="10">
        <v>6</v>
      </c>
      <c r="G1834" s="10">
        <v>0</v>
      </c>
      <c r="H1834" s="10">
        <v>10</v>
      </c>
      <c r="I1834" s="10">
        <v>2</v>
      </c>
      <c r="J1834" s="10">
        <f>SUM(B1834:I1834)</f>
        <v>67.46</v>
      </c>
      <c r="K1834">
        <v>2019</v>
      </c>
      <c r="L1834">
        <v>1</v>
      </c>
      <c r="M1834" s="11">
        <v>43466</v>
      </c>
      <c r="N1834" t="s">
        <v>2173</v>
      </c>
      <c r="O1834">
        <v>2</v>
      </c>
      <c r="P1834" t="s">
        <v>63</v>
      </c>
      <c r="Q1834" t="b">
        <v>1</v>
      </c>
    </row>
    <row r="1835" spans="1:17">
      <c r="A1835" s="12">
        <v>43474</v>
      </c>
      <c r="B1835" s="10">
        <v>3</v>
      </c>
      <c r="C1835" s="10">
        <v>1.33</v>
      </c>
      <c r="D1835" s="10">
        <v>2</v>
      </c>
      <c r="E1835" s="10">
        <v>64.8</v>
      </c>
      <c r="F1835" s="10">
        <v>24</v>
      </c>
      <c r="G1835" s="10">
        <v>3</v>
      </c>
      <c r="H1835" s="10">
        <v>10</v>
      </c>
      <c r="I1835" s="10">
        <v>1</v>
      </c>
      <c r="J1835" s="10">
        <f>SUM(B1835:I1835)</f>
        <v>109.13</v>
      </c>
      <c r="K1835">
        <v>2019</v>
      </c>
      <c r="L1835">
        <v>1</v>
      </c>
      <c r="M1835" s="11">
        <v>43466</v>
      </c>
      <c r="N1835" t="s">
        <v>2173</v>
      </c>
      <c r="O1835">
        <v>3</v>
      </c>
      <c r="P1835" t="s">
        <v>65</v>
      </c>
      <c r="Q1835" t="b">
        <v>1</v>
      </c>
    </row>
    <row r="1836" spans="1:17">
      <c r="A1836" s="12">
        <v>43475</v>
      </c>
      <c r="B1836" s="10">
        <v>8</v>
      </c>
      <c r="C1836" s="10">
        <v>3.58</v>
      </c>
      <c r="D1836" s="10">
        <v>5.6</v>
      </c>
      <c r="E1836" s="10">
        <v>39.1</v>
      </c>
      <c r="F1836" s="10">
        <v>12</v>
      </c>
      <c r="G1836" s="10">
        <v>2</v>
      </c>
      <c r="H1836" s="10">
        <v>13</v>
      </c>
      <c r="I1836" s="10">
        <v>1</v>
      </c>
      <c r="J1836" s="10">
        <f>SUM(B1836:I1836)</f>
        <v>84.28</v>
      </c>
      <c r="K1836">
        <v>2019</v>
      </c>
      <c r="L1836">
        <v>1</v>
      </c>
      <c r="M1836" s="11">
        <v>43466</v>
      </c>
      <c r="N1836" t="s">
        <v>2173</v>
      </c>
      <c r="O1836">
        <v>4</v>
      </c>
      <c r="P1836" t="s">
        <v>53</v>
      </c>
      <c r="Q1836" t="b">
        <v>1</v>
      </c>
    </row>
    <row r="1837" spans="1:17">
      <c r="A1837" s="12">
        <v>43476</v>
      </c>
      <c r="B1837" s="10">
        <v>5.33</v>
      </c>
      <c r="C1837" s="10">
        <v>7.34</v>
      </c>
      <c r="D1837" s="10">
        <v>3</v>
      </c>
      <c r="E1837" s="10">
        <v>61.6</v>
      </c>
      <c r="F1837" s="10">
        <v>12</v>
      </c>
      <c r="G1837" s="10">
        <v>0</v>
      </c>
      <c r="H1837" s="10">
        <v>6</v>
      </c>
      <c r="I1837" s="10">
        <v>0</v>
      </c>
      <c r="J1837" s="10">
        <f>SUM(B1837:I1837)</f>
        <v>95.27</v>
      </c>
      <c r="K1837">
        <v>2019</v>
      </c>
      <c r="L1837">
        <v>1</v>
      </c>
      <c r="M1837" s="11">
        <v>43466</v>
      </c>
      <c r="N1837" t="s">
        <v>2173</v>
      </c>
      <c r="O1837">
        <v>5</v>
      </c>
      <c r="P1837" t="s">
        <v>55</v>
      </c>
      <c r="Q1837" t="b">
        <v>1</v>
      </c>
    </row>
    <row r="1838" spans="1:17">
      <c r="A1838" s="12">
        <v>43477</v>
      </c>
      <c r="B1838" s="10">
        <v>6.66</v>
      </c>
      <c r="C1838" s="10">
        <v>7.02</v>
      </c>
      <c r="D1838" s="10">
        <v>5</v>
      </c>
      <c r="E1838" s="10">
        <v>74.5</v>
      </c>
      <c r="F1838" s="10">
        <v>21.2</v>
      </c>
      <c r="G1838" s="10">
        <v>0</v>
      </c>
      <c r="H1838" s="10">
        <v>10</v>
      </c>
      <c r="I1838" s="10">
        <v>0</v>
      </c>
      <c r="J1838" s="10">
        <f>SUM(B1838:I1838)</f>
        <v>124.38000000000001</v>
      </c>
      <c r="K1838">
        <v>2019</v>
      </c>
      <c r="L1838">
        <v>1</v>
      </c>
      <c r="M1838" s="11">
        <v>43466</v>
      </c>
      <c r="N1838" t="s">
        <v>2173</v>
      </c>
      <c r="O1838">
        <v>6</v>
      </c>
      <c r="P1838" t="s">
        <v>57</v>
      </c>
      <c r="Q1838" t="b">
        <v>1</v>
      </c>
    </row>
    <row r="1839" spans="1:17">
      <c r="A1839" s="12">
        <v>43478</v>
      </c>
      <c r="B1839" s="10">
        <v>8.33</v>
      </c>
      <c r="C1839" s="10">
        <v>5.814</v>
      </c>
      <c r="D1839" s="10">
        <v>4.6</v>
      </c>
      <c r="E1839" s="10">
        <v>73</v>
      </c>
      <c r="F1839" s="10">
        <v>4</v>
      </c>
      <c r="G1839" s="10">
        <v>1</v>
      </c>
      <c r="H1839" s="10">
        <v>1</v>
      </c>
      <c r="I1839" s="10">
        <v>2</v>
      </c>
      <c r="J1839" s="10">
        <f>SUM(B1839:I1839)</f>
        <v>99.744</v>
      </c>
      <c r="K1839">
        <v>2019</v>
      </c>
      <c r="L1839">
        <v>1</v>
      </c>
      <c r="M1839" s="11">
        <v>43466</v>
      </c>
      <c r="N1839" t="s">
        <v>2173</v>
      </c>
      <c r="O1839">
        <v>7</v>
      </c>
      <c r="P1839" t="s">
        <v>59</v>
      </c>
      <c r="Q1839" t="b">
        <v>1</v>
      </c>
    </row>
    <row r="1840" spans="1:17">
      <c r="A1840" s="12">
        <v>43479</v>
      </c>
      <c r="B1840" s="10">
        <v>9</v>
      </c>
      <c r="C1840" s="10">
        <v>9.699999999999999</v>
      </c>
      <c r="D1840" s="10">
        <v>3</v>
      </c>
      <c r="E1840" s="10">
        <v>51</v>
      </c>
      <c r="F1840" s="10">
        <v>10</v>
      </c>
      <c r="G1840" s="10">
        <v>0</v>
      </c>
      <c r="H1840" s="10">
        <v>18</v>
      </c>
      <c r="I1840" s="10">
        <v>0</v>
      </c>
      <c r="J1840" s="10">
        <f>SUM(B1840:I1840)</f>
        <v>100.7</v>
      </c>
      <c r="K1840">
        <v>2019</v>
      </c>
      <c r="L1840">
        <v>1</v>
      </c>
      <c r="M1840" s="11">
        <v>43466</v>
      </c>
      <c r="N1840" t="s">
        <v>2173</v>
      </c>
      <c r="O1840">
        <v>1</v>
      </c>
      <c r="P1840" t="s">
        <v>61</v>
      </c>
      <c r="Q1840" t="b">
        <v>1</v>
      </c>
    </row>
    <row r="1841" spans="1:17">
      <c r="A1841" s="12">
        <v>43480</v>
      </c>
      <c r="B1841" s="10">
        <v>4.33</v>
      </c>
      <c r="C1841" s="10">
        <v>4.33</v>
      </c>
      <c r="D1841" s="10">
        <v>3.65</v>
      </c>
      <c r="E1841" s="10">
        <v>30.4</v>
      </c>
      <c r="F1841" s="10">
        <v>9</v>
      </c>
      <c r="G1841" s="10">
        <v>0</v>
      </c>
      <c r="H1841" s="10">
        <v>19</v>
      </c>
      <c r="I1841" s="10">
        <v>1</v>
      </c>
      <c r="J1841" s="10">
        <f>SUM(B1841:I1841)</f>
        <v>71.71000000000001</v>
      </c>
      <c r="K1841">
        <v>2019</v>
      </c>
      <c r="L1841">
        <v>1</v>
      </c>
      <c r="M1841" s="11">
        <v>43466</v>
      </c>
      <c r="N1841" t="s">
        <v>2173</v>
      </c>
      <c r="O1841">
        <v>2</v>
      </c>
      <c r="P1841" t="s">
        <v>63</v>
      </c>
      <c r="Q1841" t="b">
        <v>1</v>
      </c>
    </row>
    <row r="1842" spans="1:17">
      <c r="A1842" s="12">
        <v>43481</v>
      </c>
      <c r="B1842" s="10">
        <v>7.5</v>
      </c>
      <c r="C1842" s="10">
        <v>5.066</v>
      </c>
      <c r="D1842" s="10">
        <v>6</v>
      </c>
      <c r="E1842" s="10">
        <v>48.8</v>
      </c>
      <c r="F1842" s="10">
        <v>12</v>
      </c>
      <c r="G1842" s="10">
        <v>0</v>
      </c>
      <c r="H1842" s="10">
        <v>17</v>
      </c>
      <c r="I1842" s="10">
        <v>5</v>
      </c>
      <c r="J1842" s="10">
        <f>SUM(B1842:I1842)</f>
        <v>101.366</v>
      </c>
      <c r="K1842">
        <v>2019</v>
      </c>
      <c r="L1842">
        <v>1</v>
      </c>
      <c r="M1842" s="11">
        <v>43466</v>
      </c>
      <c r="N1842" t="s">
        <v>2173</v>
      </c>
      <c r="O1842">
        <v>3</v>
      </c>
      <c r="P1842" t="s">
        <v>65</v>
      </c>
      <c r="Q1842" t="b">
        <v>1</v>
      </c>
    </row>
    <row r="1843" spans="1:17">
      <c r="A1843" s="12">
        <v>43482</v>
      </c>
      <c r="B1843" s="10">
        <v>5.34</v>
      </c>
      <c r="C1843" s="10">
        <v>3.68</v>
      </c>
      <c r="D1843" s="10">
        <v>3.7</v>
      </c>
      <c r="E1843" s="10">
        <v>55.6</v>
      </c>
      <c r="F1843" s="10">
        <v>10</v>
      </c>
      <c r="G1843" s="10">
        <v>3</v>
      </c>
      <c r="H1843" s="10">
        <v>8</v>
      </c>
      <c r="I1843" s="10">
        <v>1</v>
      </c>
      <c r="J1843" s="10">
        <f>SUM(B1843:I1843)</f>
        <v>90.32</v>
      </c>
      <c r="K1843">
        <v>2019</v>
      </c>
      <c r="L1843">
        <v>1</v>
      </c>
      <c r="M1843" s="11">
        <v>43466</v>
      </c>
      <c r="N1843" t="s">
        <v>2173</v>
      </c>
      <c r="O1843">
        <v>4</v>
      </c>
      <c r="P1843" t="s">
        <v>53</v>
      </c>
      <c r="Q1843" t="b">
        <v>1</v>
      </c>
    </row>
    <row r="1844" spans="1:17">
      <c r="A1844" s="12">
        <v>43483</v>
      </c>
      <c r="B1844" s="10">
        <v>6.33</v>
      </c>
      <c r="C1844" s="10">
        <v>6.439</v>
      </c>
      <c r="D1844" s="10">
        <v>4</v>
      </c>
      <c r="E1844" s="10">
        <v>27.8</v>
      </c>
      <c r="F1844" s="10">
        <v>13</v>
      </c>
      <c r="G1844" s="10">
        <v>0</v>
      </c>
      <c r="H1844" s="10">
        <v>24</v>
      </c>
      <c r="I1844" s="10">
        <v>2</v>
      </c>
      <c r="J1844" s="10">
        <f>SUM(B1844:I1844)</f>
        <v>83.569</v>
      </c>
      <c r="K1844">
        <v>2019</v>
      </c>
      <c r="L1844">
        <v>1</v>
      </c>
      <c r="M1844" s="11">
        <v>43466</v>
      </c>
      <c r="N1844" t="s">
        <v>2173</v>
      </c>
      <c r="O1844">
        <v>5</v>
      </c>
      <c r="P1844" t="s">
        <v>55</v>
      </c>
      <c r="Q1844" t="b">
        <v>1</v>
      </c>
    </row>
    <row r="1845" spans="1:17">
      <c r="A1845" s="12">
        <v>43484</v>
      </c>
      <c r="B1845" s="10">
        <v>7.02</v>
      </c>
      <c r="C1845" s="10">
        <v>8.391</v>
      </c>
      <c r="D1845" s="10">
        <v>5.5</v>
      </c>
      <c r="E1845" s="10">
        <v>77.40000000000001</v>
      </c>
      <c r="F1845" s="10">
        <v>9</v>
      </c>
      <c r="G1845" s="10">
        <v>0</v>
      </c>
      <c r="H1845" s="10">
        <v>1</v>
      </c>
      <c r="I1845" s="10">
        <v>3</v>
      </c>
      <c r="J1845" s="10">
        <f>SUM(B1845:I1845)</f>
        <v>111.311</v>
      </c>
      <c r="K1845">
        <v>2019</v>
      </c>
      <c r="L1845">
        <v>1</v>
      </c>
      <c r="M1845" s="11">
        <v>43466</v>
      </c>
      <c r="N1845" t="s">
        <v>2173</v>
      </c>
      <c r="O1845">
        <v>6</v>
      </c>
      <c r="P1845" t="s">
        <v>57</v>
      </c>
      <c r="Q1845" t="b">
        <v>1</v>
      </c>
    </row>
    <row r="1846" spans="1:17">
      <c r="A1846" s="12">
        <v>43485</v>
      </c>
      <c r="B1846" s="10">
        <v>11.67</v>
      </c>
      <c r="C1846" s="10">
        <v>14.463</v>
      </c>
      <c r="D1846" s="10">
        <v>2.1</v>
      </c>
      <c r="E1846" s="10">
        <v>93.05</v>
      </c>
      <c r="F1846" s="10">
        <v>6</v>
      </c>
      <c r="G1846" s="10">
        <v>0</v>
      </c>
      <c r="H1846" s="10">
        <v>34</v>
      </c>
      <c r="I1846" s="10">
        <v>1</v>
      </c>
      <c r="J1846" s="10">
        <f>SUM(B1846:I1846)</f>
        <v>162.28300000000002</v>
      </c>
      <c r="K1846">
        <v>2019</v>
      </c>
      <c r="L1846">
        <v>1</v>
      </c>
      <c r="M1846" s="11">
        <v>43466</v>
      </c>
      <c r="N1846" t="s">
        <v>2173</v>
      </c>
      <c r="O1846">
        <v>7</v>
      </c>
      <c r="P1846" t="s">
        <v>59</v>
      </c>
      <c r="Q1846" t="b">
        <v>1</v>
      </c>
    </row>
    <row r="1847" spans="1:17">
      <c r="A1847" s="12">
        <v>43486</v>
      </c>
      <c r="B1847" s="10">
        <v>4.34</v>
      </c>
      <c r="C1847" s="10">
        <v>5.825</v>
      </c>
      <c r="D1847" s="10">
        <v>0</v>
      </c>
      <c r="E1847" s="10">
        <v>67.15000000000001</v>
      </c>
      <c r="F1847" s="10">
        <v>11</v>
      </c>
      <c r="G1847" s="10">
        <v>0</v>
      </c>
      <c r="H1847" s="10">
        <v>31</v>
      </c>
      <c r="I1847" s="10">
        <v>0</v>
      </c>
      <c r="J1847" s="10">
        <f>SUM(B1847:I1847)</f>
        <v>119.315</v>
      </c>
      <c r="K1847">
        <v>2019</v>
      </c>
      <c r="L1847">
        <v>1</v>
      </c>
      <c r="M1847" s="11">
        <v>43466</v>
      </c>
      <c r="N1847" t="s">
        <v>2173</v>
      </c>
      <c r="O1847">
        <v>1</v>
      </c>
      <c r="P1847" t="s">
        <v>61</v>
      </c>
      <c r="Q1847" t="b">
        <v>1</v>
      </c>
    </row>
    <row r="1848" spans="1:17">
      <c r="A1848" s="12">
        <v>43487</v>
      </c>
      <c r="B1848" s="10">
        <v>6.83</v>
      </c>
      <c r="C1848" s="10">
        <v>7.076</v>
      </c>
      <c r="D1848" s="10">
        <v>1</v>
      </c>
      <c r="E1848" s="10">
        <v>74.90000000000001</v>
      </c>
      <c r="F1848" s="10">
        <v>13</v>
      </c>
      <c r="G1848" s="10">
        <v>1</v>
      </c>
      <c r="H1848" s="10">
        <v>7</v>
      </c>
      <c r="I1848" s="10">
        <v>0</v>
      </c>
      <c r="J1848" s="10">
        <f>SUM(B1848:I1848)</f>
        <v>110.80600000000001</v>
      </c>
      <c r="K1848">
        <v>2019</v>
      </c>
      <c r="L1848">
        <v>1</v>
      </c>
      <c r="M1848" s="11">
        <v>43466</v>
      </c>
      <c r="N1848" t="s">
        <v>2173</v>
      </c>
      <c r="O1848">
        <v>2</v>
      </c>
      <c r="P1848" t="s">
        <v>63</v>
      </c>
      <c r="Q1848" t="b">
        <v>1</v>
      </c>
    </row>
    <row r="1849" spans="1:17">
      <c r="A1849" s="12">
        <v>43488</v>
      </c>
      <c r="B1849" s="10">
        <v>3.33</v>
      </c>
      <c r="C1849" s="10">
        <v>8.462999999999999</v>
      </c>
      <c r="D1849" s="10">
        <v>7.1</v>
      </c>
      <c r="E1849" s="10">
        <v>58.4</v>
      </c>
      <c r="F1849" s="10">
        <v>4</v>
      </c>
      <c r="G1849" s="10">
        <v>0</v>
      </c>
      <c r="H1849" s="10">
        <v>23</v>
      </c>
      <c r="I1849" s="10">
        <v>2</v>
      </c>
      <c r="J1849" s="10">
        <f>SUM(B1849:I1849)</f>
        <v>106.293</v>
      </c>
      <c r="K1849">
        <v>2019</v>
      </c>
      <c r="L1849">
        <v>1</v>
      </c>
      <c r="M1849" s="11">
        <v>43466</v>
      </c>
      <c r="N1849" t="s">
        <v>2173</v>
      </c>
      <c r="O1849">
        <v>3</v>
      </c>
      <c r="P1849" t="s">
        <v>65</v>
      </c>
      <c r="Q1849" t="b">
        <v>1</v>
      </c>
    </row>
    <row r="1850" spans="1:17">
      <c r="A1850" s="12">
        <v>43489</v>
      </c>
      <c r="B1850" s="10">
        <v>4</v>
      </c>
      <c r="C1850" s="10">
        <v>4.495</v>
      </c>
      <c r="D1850" s="10">
        <v>6</v>
      </c>
      <c r="E1850" s="10">
        <v>47.3</v>
      </c>
      <c r="F1850" s="10">
        <v>7</v>
      </c>
      <c r="G1850" s="10">
        <v>4</v>
      </c>
      <c r="H1850" s="10">
        <v>2</v>
      </c>
      <c r="I1850" s="10">
        <v>3</v>
      </c>
      <c r="J1850" s="10">
        <f>SUM(B1850:I1850)</f>
        <v>77.795</v>
      </c>
      <c r="K1850">
        <v>2019</v>
      </c>
      <c r="L1850">
        <v>1</v>
      </c>
      <c r="M1850" s="11">
        <v>43466</v>
      </c>
      <c r="N1850" t="s">
        <v>2173</v>
      </c>
      <c r="O1850">
        <v>4</v>
      </c>
      <c r="P1850" t="s">
        <v>53</v>
      </c>
      <c r="Q1850" t="b">
        <v>1</v>
      </c>
    </row>
    <row r="1851" spans="1:17">
      <c r="A1851" s="12">
        <v>43490</v>
      </c>
      <c r="B1851" s="10">
        <v>2.33</v>
      </c>
      <c r="C1851" s="10">
        <v>7.18</v>
      </c>
      <c r="D1851" s="10">
        <v>4</v>
      </c>
      <c r="E1851" s="10">
        <v>32.65</v>
      </c>
      <c r="F1851" s="10">
        <v>11</v>
      </c>
      <c r="G1851" s="10">
        <v>2</v>
      </c>
      <c r="H1851" s="10">
        <v>11</v>
      </c>
      <c r="I1851" s="10">
        <v>1</v>
      </c>
      <c r="J1851" s="10">
        <f>SUM(B1851:I1851)</f>
        <v>71.16</v>
      </c>
      <c r="K1851">
        <v>2019</v>
      </c>
      <c r="L1851">
        <v>1</v>
      </c>
      <c r="M1851" s="11">
        <v>43466</v>
      </c>
      <c r="N1851" t="s">
        <v>2173</v>
      </c>
      <c r="O1851">
        <v>5</v>
      </c>
      <c r="P1851" t="s">
        <v>55</v>
      </c>
      <c r="Q1851" t="b">
        <v>1</v>
      </c>
    </row>
    <row r="1852" spans="1:17">
      <c r="A1852" s="12">
        <v>43491</v>
      </c>
      <c r="B1852" s="10">
        <v>7</v>
      </c>
      <c r="C1852" s="10">
        <v>8.459</v>
      </c>
      <c r="D1852" s="10">
        <v>2.4</v>
      </c>
      <c r="E1852" s="10">
        <v>97.8</v>
      </c>
      <c r="F1852" s="10">
        <v>11</v>
      </c>
      <c r="G1852" s="10">
        <v>1</v>
      </c>
      <c r="H1852" s="10">
        <v>13</v>
      </c>
      <c r="I1852" s="10">
        <v>1</v>
      </c>
      <c r="J1852" s="10">
        <f>SUM(B1852:I1852)</f>
        <v>141.659</v>
      </c>
      <c r="K1852">
        <v>2019</v>
      </c>
      <c r="L1852">
        <v>1</v>
      </c>
      <c r="M1852" s="11">
        <v>43466</v>
      </c>
      <c r="N1852" t="s">
        <v>2173</v>
      </c>
      <c r="O1852">
        <v>6</v>
      </c>
      <c r="P1852" t="s">
        <v>57</v>
      </c>
      <c r="Q1852" t="b">
        <v>1</v>
      </c>
    </row>
    <row r="1853" spans="1:17">
      <c r="A1853" s="12">
        <v>43492</v>
      </c>
      <c r="B1853" s="10">
        <v>10.52</v>
      </c>
      <c r="C1853" s="10">
        <v>11.745</v>
      </c>
      <c r="D1853" s="10">
        <v>2</v>
      </c>
      <c r="E1853" s="10">
        <v>100.1</v>
      </c>
      <c r="F1853" s="10">
        <v>12</v>
      </c>
      <c r="G1853" s="10">
        <v>1</v>
      </c>
      <c r="H1853" s="10">
        <v>6</v>
      </c>
      <c r="I1853" s="10">
        <v>2</v>
      </c>
      <c r="J1853" s="10">
        <f>SUM(B1853:I1853)</f>
        <v>145.365</v>
      </c>
      <c r="K1853">
        <v>2019</v>
      </c>
      <c r="L1853">
        <v>1</v>
      </c>
      <c r="M1853" s="11">
        <v>43466</v>
      </c>
      <c r="N1853" t="s">
        <v>2173</v>
      </c>
      <c r="O1853">
        <v>7</v>
      </c>
      <c r="P1853" t="s">
        <v>59</v>
      </c>
      <c r="Q1853" t="b">
        <v>1</v>
      </c>
    </row>
    <row r="1854" spans="1:17">
      <c r="A1854" s="12">
        <v>43493</v>
      </c>
      <c r="B1854" s="10">
        <v>8.5</v>
      </c>
      <c r="C1854" s="10">
        <v>7.109</v>
      </c>
      <c r="D1854" s="10">
        <v>3</v>
      </c>
      <c r="E1854" s="10">
        <v>45</v>
      </c>
      <c r="F1854" s="10">
        <v>11</v>
      </c>
      <c r="G1854" s="10">
        <v>0</v>
      </c>
      <c r="H1854" s="10">
        <v>28</v>
      </c>
      <c r="I1854" s="10">
        <v>3</v>
      </c>
      <c r="J1854" s="10">
        <f>SUM(B1854:I1854)</f>
        <v>105.60900000000001</v>
      </c>
      <c r="K1854">
        <v>2019</v>
      </c>
      <c r="L1854">
        <v>1</v>
      </c>
      <c r="M1854" s="11">
        <v>43466</v>
      </c>
      <c r="N1854" t="s">
        <v>2173</v>
      </c>
      <c r="O1854">
        <v>1</v>
      </c>
      <c r="P1854" t="s">
        <v>61</v>
      </c>
      <c r="Q1854" t="b">
        <v>1</v>
      </c>
    </row>
    <row r="1855" spans="1:17">
      <c r="A1855" s="12">
        <v>43494</v>
      </c>
      <c r="B1855" s="10">
        <v>5</v>
      </c>
      <c r="C1855" s="10">
        <v>5</v>
      </c>
      <c r="D1855" s="10">
        <v>3.45</v>
      </c>
      <c r="E1855" s="10">
        <v>38.8</v>
      </c>
      <c r="F1855" s="10">
        <v>10</v>
      </c>
      <c r="G1855" s="10">
        <v>2</v>
      </c>
      <c r="H1855" s="10">
        <v>15</v>
      </c>
      <c r="I1855" s="10">
        <v>0</v>
      </c>
      <c r="J1855" s="10">
        <f>SUM(B1855:I1855)</f>
        <v>79.25</v>
      </c>
      <c r="K1855">
        <v>2019</v>
      </c>
      <c r="L1855">
        <v>1</v>
      </c>
      <c r="M1855" s="11">
        <v>43466</v>
      </c>
      <c r="N1855" t="s">
        <v>2173</v>
      </c>
      <c r="O1855">
        <v>2</v>
      </c>
      <c r="P1855" t="s">
        <v>63</v>
      </c>
      <c r="Q1855" t="b">
        <v>1</v>
      </c>
    </row>
    <row r="1856" spans="1:17">
      <c r="A1856" s="12">
        <v>43495</v>
      </c>
      <c r="B1856" s="10">
        <v>6.33</v>
      </c>
      <c r="C1856" s="10">
        <v>5.713</v>
      </c>
      <c r="D1856" s="10">
        <v>2.25</v>
      </c>
      <c r="E1856" s="10">
        <v>52.312</v>
      </c>
      <c r="F1856" s="10">
        <v>8</v>
      </c>
      <c r="G1856" s="10">
        <v>0</v>
      </c>
      <c r="H1856" s="10">
        <v>11</v>
      </c>
      <c r="I1856" s="10">
        <v>1.3</v>
      </c>
      <c r="J1856" s="10">
        <f>SUM(B1856:I1856)</f>
        <v>86.90499999999999</v>
      </c>
      <c r="K1856">
        <v>2019</v>
      </c>
      <c r="L1856">
        <v>1</v>
      </c>
      <c r="M1856" s="11">
        <v>43466</v>
      </c>
      <c r="N1856" t="s">
        <v>2173</v>
      </c>
      <c r="O1856">
        <v>3</v>
      </c>
      <c r="P1856" t="s">
        <v>65</v>
      </c>
      <c r="Q1856" t="b">
        <v>1</v>
      </c>
    </row>
    <row r="1857" spans="1:17">
      <c r="A1857" s="12">
        <v>43496</v>
      </c>
      <c r="B1857" s="10">
        <v>1.67</v>
      </c>
      <c r="C1857" s="10">
        <v>11.505</v>
      </c>
      <c r="D1857" s="10">
        <v>2</v>
      </c>
      <c r="E1857" s="10">
        <v>62.2</v>
      </c>
      <c r="F1857" s="10">
        <v>8</v>
      </c>
      <c r="G1857" s="10">
        <v>1</v>
      </c>
      <c r="H1857" s="10">
        <v>20</v>
      </c>
      <c r="I1857" s="10">
        <v>2</v>
      </c>
      <c r="J1857" s="10">
        <f>SUM(B1857:I1857)</f>
        <v>108.375</v>
      </c>
      <c r="K1857">
        <v>2019</v>
      </c>
      <c r="L1857">
        <v>1</v>
      </c>
      <c r="M1857" s="11">
        <v>43466</v>
      </c>
      <c r="N1857" t="s">
        <v>2173</v>
      </c>
      <c r="O1857">
        <v>4</v>
      </c>
      <c r="P1857" t="s">
        <v>53</v>
      </c>
      <c r="Q1857" t="b">
        <v>1</v>
      </c>
    </row>
    <row r="1858" spans="1:17">
      <c r="A1858" s="12">
        <v>43497</v>
      </c>
      <c r="B1858" s="10">
        <v>11.34</v>
      </c>
      <c r="C1858" s="10">
        <v>1.726</v>
      </c>
      <c r="D1858" s="10">
        <v>8</v>
      </c>
      <c r="E1858" s="10">
        <v>38.9</v>
      </c>
      <c r="F1858" s="10">
        <v>9</v>
      </c>
      <c r="G1858" s="10">
        <v>0</v>
      </c>
      <c r="H1858" s="10">
        <v>7</v>
      </c>
      <c r="I1858" s="10">
        <v>3</v>
      </c>
      <c r="J1858" s="10">
        <f>SUM(B1858:I1858)</f>
        <v>78.966</v>
      </c>
      <c r="K1858">
        <v>2019</v>
      </c>
      <c r="L1858">
        <v>2</v>
      </c>
      <c r="M1858" s="11">
        <v>43497</v>
      </c>
      <c r="N1858" t="s">
        <v>2174</v>
      </c>
      <c r="O1858">
        <v>5</v>
      </c>
      <c r="P1858" t="s">
        <v>55</v>
      </c>
      <c r="Q1858" t="b">
        <v>1</v>
      </c>
    </row>
    <row r="1859" spans="1:17">
      <c r="A1859" s="12">
        <v>43498</v>
      </c>
      <c r="B1859" s="10">
        <v>13.34</v>
      </c>
      <c r="C1859" s="10">
        <v>12.706</v>
      </c>
      <c r="D1859" s="10">
        <v>6.2</v>
      </c>
      <c r="E1859" s="10">
        <v>64.262</v>
      </c>
      <c r="F1859" s="10">
        <v>8</v>
      </c>
      <c r="G1859" s="10">
        <v>1</v>
      </c>
      <c r="H1859" s="10">
        <v>45</v>
      </c>
      <c r="I1859" s="10">
        <v>0</v>
      </c>
      <c r="J1859" s="10">
        <f>SUM(B1859:I1859)</f>
        <v>150.508</v>
      </c>
      <c r="K1859">
        <v>2019</v>
      </c>
      <c r="L1859">
        <v>2</v>
      </c>
      <c r="M1859" s="11">
        <v>43497</v>
      </c>
      <c r="N1859" t="s">
        <v>2174</v>
      </c>
      <c r="O1859">
        <v>6</v>
      </c>
      <c r="P1859" t="s">
        <v>57</v>
      </c>
      <c r="Q1859" t="b">
        <v>1</v>
      </c>
    </row>
    <row r="1860" spans="1:17">
      <c r="A1860" s="12">
        <v>43499</v>
      </c>
      <c r="B1860" s="10">
        <v>6</v>
      </c>
      <c r="C1860" s="10">
        <v>9.811999999999999</v>
      </c>
      <c r="D1860" s="10">
        <v>5.75</v>
      </c>
      <c r="E1860" s="10">
        <v>47.088</v>
      </c>
      <c r="F1860" s="10">
        <v>10</v>
      </c>
      <c r="G1860" s="10">
        <v>1</v>
      </c>
      <c r="H1860" s="10">
        <v>5</v>
      </c>
      <c r="I1860" s="10">
        <v>4.4</v>
      </c>
      <c r="J1860" s="10">
        <f>SUM(B1860:I1860)</f>
        <v>89.05000000000001</v>
      </c>
      <c r="K1860">
        <v>2019</v>
      </c>
      <c r="L1860">
        <v>2</v>
      </c>
      <c r="M1860" s="11">
        <v>43497</v>
      </c>
      <c r="N1860" t="s">
        <v>2174</v>
      </c>
      <c r="O1860">
        <v>7</v>
      </c>
      <c r="P1860" t="s">
        <v>59</v>
      </c>
      <c r="Q1860" t="b">
        <v>1</v>
      </c>
    </row>
    <row r="1861" spans="1:17">
      <c r="A1861" s="12">
        <v>43500</v>
      </c>
      <c r="B1861" s="10">
        <v>6.33</v>
      </c>
      <c r="C1861" s="10">
        <v>6.68</v>
      </c>
      <c r="D1861" s="10">
        <v>3</v>
      </c>
      <c r="E1861" s="10">
        <v>47</v>
      </c>
      <c r="F1861" s="10">
        <v>5</v>
      </c>
      <c r="G1861" s="10">
        <v>1</v>
      </c>
      <c r="H1861" s="10">
        <v>12</v>
      </c>
      <c r="I1861" s="10">
        <v>2</v>
      </c>
      <c r="J1861" s="10">
        <f>SUM(B1861:I1861)</f>
        <v>83.00999999999999</v>
      </c>
      <c r="K1861">
        <v>2019</v>
      </c>
      <c r="L1861">
        <v>2</v>
      </c>
      <c r="M1861" s="11">
        <v>43497</v>
      </c>
      <c r="N1861" t="s">
        <v>2174</v>
      </c>
      <c r="O1861">
        <v>1</v>
      </c>
      <c r="P1861" t="s">
        <v>61</v>
      </c>
      <c r="Q1861" t="b">
        <v>1</v>
      </c>
    </row>
    <row r="1862" spans="1:17">
      <c r="A1862" s="12">
        <v>43501</v>
      </c>
      <c r="B1862" s="10">
        <v>5.33</v>
      </c>
      <c r="C1862" s="10">
        <v>10.386</v>
      </c>
      <c r="D1862" s="10">
        <v>3.65</v>
      </c>
      <c r="E1862" s="10">
        <v>33.8</v>
      </c>
      <c r="F1862" s="10">
        <v>2</v>
      </c>
      <c r="G1862" s="10">
        <v>0</v>
      </c>
      <c r="H1862" s="10">
        <v>1</v>
      </c>
      <c r="I1862" s="10">
        <v>4</v>
      </c>
      <c r="J1862" s="10">
        <f>SUM(B1862:I1862)</f>
        <v>60.166</v>
      </c>
      <c r="K1862">
        <v>2019</v>
      </c>
      <c r="L1862">
        <v>2</v>
      </c>
      <c r="M1862" s="11">
        <v>43497</v>
      </c>
      <c r="N1862" t="s">
        <v>2174</v>
      </c>
      <c r="O1862">
        <v>2</v>
      </c>
      <c r="P1862" t="s">
        <v>63</v>
      </c>
      <c r="Q1862" t="b">
        <v>1</v>
      </c>
    </row>
    <row r="1863" spans="1:17">
      <c r="A1863" s="12">
        <v>43502</v>
      </c>
      <c r="B1863" s="10">
        <v>6.34</v>
      </c>
      <c r="C1863" s="10">
        <v>4.178</v>
      </c>
      <c r="D1863" s="10">
        <v>2.2</v>
      </c>
      <c r="E1863" s="10">
        <v>29</v>
      </c>
      <c r="F1863" s="10">
        <v>4</v>
      </c>
      <c r="G1863" s="10">
        <v>0</v>
      </c>
      <c r="H1863" s="10">
        <v>4</v>
      </c>
      <c r="I1863" s="10">
        <v>1.5</v>
      </c>
      <c r="J1863" s="10">
        <f>SUM(B1863:I1863)</f>
        <v>51.218</v>
      </c>
      <c r="K1863">
        <v>2019</v>
      </c>
      <c r="L1863">
        <v>2</v>
      </c>
      <c r="M1863" s="11">
        <v>43497</v>
      </c>
      <c r="N1863" t="s">
        <v>2174</v>
      </c>
      <c r="O1863">
        <v>3</v>
      </c>
      <c r="P1863" t="s">
        <v>65</v>
      </c>
      <c r="Q1863" t="b">
        <v>1</v>
      </c>
    </row>
    <row r="1864" spans="1:17">
      <c r="A1864" s="12">
        <v>43503</v>
      </c>
      <c r="B1864" s="10">
        <v>2.33</v>
      </c>
      <c r="C1864" s="10">
        <v>5.132</v>
      </c>
      <c r="D1864" s="10">
        <v>4.5</v>
      </c>
      <c r="E1864" s="10">
        <v>42.6</v>
      </c>
      <c r="F1864" s="10">
        <v>11</v>
      </c>
      <c r="G1864" s="10">
        <v>0</v>
      </c>
      <c r="H1864" s="10">
        <v>22</v>
      </c>
      <c r="I1864" s="10">
        <v>1</v>
      </c>
      <c r="J1864" s="10">
        <f>SUM(B1864:I1864)</f>
        <v>88.562</v>
      </c>
      <c r="K1864">
        <v>2019</v>
      </c>
      <c r="L1864">
        <v>2</v>
      </c>
      <c r="M1864" s="11">
        <v>43497</v>
      </c>
      <c r="N1864" t="s">
        <v>2174</v>
      </c>
      <c r="O1864">
        <v>4</v>
      </c>
      <c r="P1864" t="s">
        <v>53</v>
      </c>
      <c r="Q1864" t="b">
        <v>1</v>
      </c>
    </row>
    <row r="1865" spans="1:17">
      <c r="A1865" s="12">
        <v>43504</v>
      </c>
      <c r="B1865" s="10">
        <v>2</v>
      </c>
      <c r="C1865" s="10">
        <v>6.373</v>
      </c>
      <c r="D1865" s="10">
        <v>7</v>
      </c>
      <c r="E1865" s="10">
        <v>50.2</v>
      </c>
      <c r="F1865" s="10">
        <v>9</v>
      </c>
      <c r="G1865" s="10">
        <v>3</v>
      </c>
      <c r="H1865" s="10">
        <v>12</v>
      </c>
      <c r="I1865" s="10">
        <v>5</v>
      </c>
      <c r="J1865" s="10">
        <f>SUM(B1865:I1865)</f>
        <v>94.57300000000001</v>
      </c>
      <c r="K1865">
        <v>2019</v>
      </c>
      <c r="L1865">
        <v>2</v>
      </c>
      <c r="M1865" s="11">
        <v>43497</v>
      </c>
      <c r="N1865" t="s">
        <v>2174</v>
      </c>
      <c r="O1865">
        <v>5</v>
      </c>
      <c r="P1865" t="s">
        <v>55</v>
      </c>
      <c r="Q1865" t="b">
        <v>1</v>
      </c>
    </row>
    <row r="1866" spans="1:17">
      <c r="A1866" s="12">
        <v>43505</v>
      </c>
      <c r="B1866" s="10">
        <v>6.68</v>
      </c>
      <c r="C1866" s="10">
        <v>7.383</v>
      </c>
      <c r="D1866" s="10">
        <v>5</v>
      </c>
      <c r="E1866" s="10">
        <v>51.65</v>
      </c>
      <c r="F1866" s="10">
        <v>10</v>
      </c>
      <c r="G1866" s="10">
        <v>0</v>
      </c>
      <c r="H1866" s="10">
        <v>11</v>
      </c>
      <c r="I1866" s="10">
        <v>1</v>
      </c>
      <c r="J1866" s="10">
        <f>SUM(B1866:I1866)</f>
        <v>92.713</v>
      </c>
      <c r="K1866">
        <v>2019</v>
      </c>
      <c r="L1866">
        <v>2</v>
      </c>
      <c r="M1866" s="11">
        <v>43497</v>
      </c>
      <c r="N1866" t="s">
        <v>2174</v>
      </c>
      <c r="O1866">
        <v>6</v>
      </c>
      <c r="P1866" t="s">
        <v>57</v>
      </c>
      <c r="Q1866" t="b">
        <v>1</v>
      </c>
    </row>
    <row r="1867" spans="1:17">
      <c r="A1867" s="12">
        <v>43506</v>
      </c>
      <c r="B1867" s="10">
        <v>3.34</v>
      </c>
      <c r="C1867" s="10">
        <v>7.119</v>
      </c>
      <c r="D1867" s="10">
        <v>3.35</v>
      </c>
      <c r="E1867" s="10">
        <v>43.2</v>
      </c>
      <c r="F1867" s="10">
        <v>9</v>
      </c>
      <c r="G1867" s="10">
        <v>0</v>
      </c>
      <c r="H1867" s="10">
        <v>0</v>
      </c>
      <c r="I1867" s="10">
        <v>1.2</v>
      </c>
      <c r="J1867" s="10">
        <f>SUM(B1867:I1867)</f>
        <v>67.209</v>
      </c>
      <c r="K1867">
        <v>2019</v>
      </c>
      <c r="L1867">
        <v>2</v>
      </c>
      <c r="M1867" s="11">
        <v>43497</v>
      </c>
      <c r="N1867" t="s">
        <v>2174</v>
      </c>
      <c r="O1867">
        <v>7</v>
      </c>
      <c r="P1867" t="s">
        <v>59</v>
      </c>
      <c r="Q1867" t="b">
        <v>1</v>
      </c>
    </row>
    <row r="1868" spans="1:17">
      <c r="A1868" s="12">
        <v>43507</v>
      </c>
      <c r="B1868" s="10">
        <v>8</v>
      </c>
      <c r="C1868" s="10">
        <v>7.469</v>
      </c>
      <c r="D1868" s="10">
        <v>6.15</v>
      </c>
      <c r="E1868" s="10">
        <v>30</v>
      </c>
      <c r="F1868" s="10">
        <v>10</v>
      </c>
      <c r="G1868" s="10">
        <v>0</v>
      </c>
      <c r="H1868" s="10">
        <v>5</v>
      </c>
      <c r="I1868" s="10">
        <v>3</v>
      </c>
      <c r="J1868" s="10">
        <f>SUM(B1868:I1868)</f>
        <v>69.619</v>
      </c>
      <c r="K1868">
        <v>2019</v>
      </c>
      <c r="L1868">
        <v>2</v>
      </c>
      <c r="M1868" s="11">
        <v>43497</v>
      </c>
      <c r="N1868" t="s">
        <v>2174</v>
      </c>
      <c r="O1868">
        <v>1</v>
      </c>
      <c r="P1868" t="s">
        <v>61</v>
      </c>
      <c r="Q1868" t="b">
        <v>1</v>
      </c>
    </row>
    <row r="1869" spans="1:17">
      <c r="A1869" s="12">
        <v>43508</v>
      </c>
      <c r="B1869" s="10">
        <v>6.66</v>
      </c>
      <c r="C1869" s="10">
        <v>3.34</v>
      </c>
      <c r="D1869" s="10">
        <v>0</v>
      </c>
      <c r="E1869" s="10">
        <v>34.6</v>
      </c>
      <c r="F1869" s="10">
        <v>8.199999999999999</v>
      </c>
      <c r="G1869" s="10">
        <v>0</v>
      </c>
      <c r="H1869" s="10">
        <v>6</v>
      </c>
      <c r="I1869" s="10">
        <v>0.5</v>
      </c>
      <c r="J1869" s="10">
        <f>SUM(B1869:I1869)</f>
        <v>59.3</v>
      </c>
      <c r="K1869">
        <v>2019</v>
      </c>
      <c r="L1869">
        <v>2</v>
      </c>
      <c r="M1869" s="11">
        <v>43497</v>
      </c>
      <c r="N1869" t="s">
        <v>2174</v>
      </c>
      <c r="O1869">
        <v>2</v>
      </c>
      <c r="P1869" t="s">
        <v>63</v>
      </c>
      <c r="Q1869" t="b">
        <v>1</v>
      </c>
    </row>
    <row r="1870" spans="1:17">
      <c r="A1870" s="12">
        <v>43509</v>
      </c>
      <c r="B1870" s="10">
        <v>4</v>
      </c>
      <c r="C1870" s="10">
        <v>4.01</v>
      </c>
      <c r="D1870" s="10">
        <v>1</v>
      </c>
      <c r="E1870" s="10">
        <v>27.2</v>
      </c>
      <c r="F1870" s="10">
        <v>16</v>
      </c>
      <c r="G1870" s="10">
        <v>0</v>
      </c>
      <c r="H1870" s="10">
        <v>8</v>
      </c>
      <c r="I1870" s="10">
        <v>2</v>
      </c>
      <c r="J1870" s="10">
        <f>SUM(B1870:I1870)</f>
        <v>62.21</v>
      </c>
      <c r="K1870">
        <v>2019</v>
      </c>
      <c r="L1870">
        <v>2</v>
      </c>
      <c r="M1870" s="11">
        <v>43497</v>
      </c>
      <c r="N1870" t="s">
        <v>2174</v>
      </c>
      <c r="O1870">
        <v>3</v>
      </c>
      <c r="P1870" t="s">
        <v>65</v>
      </c>
      <c r="Q1870" t="b">
        <v>1</v>
      </c>
    </row>
    <row r="1871" spans="1:17">
      <c r="A1871" s="12">
        <v>43510</v>
      </c>
      <c r="B1871" s="10">
        <v>2.33</v>
      </c>
      <c r="C1871" s="10">
        <v>6.517</v>
      </c>
      <c r="D1871" s="10">
        <v>3.15</v>
      </c>
      <c r="E1871" s="10">
        <v>54.5</v>
      </c>
      <c r="F1871" s="10">
        <v>9</v>
      </c>
      <c r="G1871" s="10">
        <v>0</v>
      </c>
      <c r="H1871" s="10">
        <v>7</v>
      </c>
      <c r="I1871" s="10">
        <v>3</v>
      </c>
      <c r="J1871" s="10">
        <f>SUM(B1871:I1871)</f>
        <v>85.497</v>
      </c>
      <c r="K1871">
        <v>2019</v>
      </c>
      <c r="L1871">
        <v>2</v>
      </c>
      <c r="M1871" s="11">
        <v>43497</v>
      </c>
      <c r="N1871" t="s">
        <v>2174</v>
      </c>
      <c r="O1871">
        <v>4</v>
      </c>
      <c r="P1871" t="s">
        <v>53</v>
      </c>
      <c r="Q1871" t="b">
        <v>1</v>
      </c>
    </row>
    <row r="1872" spans="1:17">
      <c r="A1872" s="12">
        <v>43511</v>
      </c>
      <c r="B1872" s="10">
        <v>5.34</v>
      </c>
      <c r="C1872" s="10">
        <v>5</v>
      </c>
      <c r="D1872" s="10">
        <v>12.5</v>
      </c>
      <c r="E1872" s="10">
        <v>52.05</v>
      </c>
      <c r="F1872" s="10">
        <v>16</v>
      </c>
      <c r="G1872" s="10">
        <v>0</v>
      </c>
      <c r="H1872" s="10">
        <v>3</v>
      </c>
      <c r="I1872" s="10">
        <v>2</v>
      </c>
      <c r="J1872" s="10">
        <f>SUM(B1872:I1872)</f>
        <v>95.89</v>
      </c>
      <c r="K1872">
        <v>2019</v>
      </c>
      <c r="L1872">
        <v>2</v>
      </c>
      <c r="M1872" s="11">
        <v>43497</v>
      </c>
      <c r="N1872" t="s">
        <v>2174</v>
      </c>
      <c r="O1872">
        <v>5</v>
      </c>
      <c r="P1872" t="s">
        <v>55</v>
      </c>
      <c r="Q1872" t="b">
        <v>1</v>
      </c>
    </row>
    <row r="1873" spans="1:17">
      <c r="A1873" s="12">
        <v>43512</v>
      </c>
      <c r="B1873" s="10">
        <v>6.34</v>
      </c>
      <c r="C1873" s="10">
        <v>6.02</v>
      </c>
      <c r="D1873" s="10">
        <v>5</v>
      </c>
      <c r="E1873" s="10">
        <v>36.4</v>
      </c>
      <c r="F1873" s="10">
        <v>8</v>
      </c>
      <c r="G1873" s="10">
        <v>0</v>
      </c>
      <c r="H1873" s="10">
        <v>6</v>
      </c>
      <c r="I1873" s="10">
        <v>3</v>
      </c>
      <c r="J1873" s="10">
        <f>SUM(B1873:I1873)</f>
        <v>70.75999999999999</v>
      </c>
      <c r="K1873">
        <v>2019</v>
      </c>
      <c r="L1873">
        <v>2</v>
      </c>
      <c r="M1873" s="11">
        <v>43497</v>
      </c>
      <c r="N1873" t="s">
        <v>2174</v>
      </c>
      <c r="O1873">
        <v>6</v>
      </c>
      <c r="P1873" t="s">
        <v>57</v>
      </c>
      <c r="Q1873" t="b">
        <v>1</v>
      </c>
    </row>
    <row r="1874" spans="1:17">
      <c r="A1874" s="12">
        <v>43513</v>
      </c>
      <c r="B1874" s="10">
        <v>2.34</v>
      </c>
      <c r="C1874" s="10">
        <v>4.416</v>
      </c>
      <c r="D1874" s="10">
        <v>4</v>
      </c>
      <c r="E1874" s="10">
        <v>15.162</v>
      </c>
      <c r="F1874" s="10">
        <v>11.2</v>
      </c>
      <c r="G1874" s="10">
        <v>0</v>
      </c>
      <c r="H1874" s="10">
        <v>0</v>
      </c>
      <c r="I1874" s="10">
        <v>3.1</v>
      </c>
      <c r="J1874" s="10">
        <f>SUM(B1874:I1874)</f>
        <v>40.217999999999996</v>
      </c>
      <c r="K1874">
        <v>2019</v>
      </c>
      <c r="L1874">
        <v>2</v>
      </c>
      <c r="M1874" s="11">
        <v>43497</v>
      </c>
      <c r="N1874" t="s">
        <v>2174</v>
      </c>
      <c r="O1874">
        <v>7</v>
      </c>
      <c r="P1874" t="s">
        <v>59</v>
      </c>
      <c r="Q1874" t="b">
        <v>1</v>
      </c>
    </row>
    <row r="1875" spans="1:17">
      <c r="A1875" s="12">
        <v>43514</v>
      </c>
      <c r="B1875" s="10">
        <v>3.34</v>
      </c>
      <c r="C1875" s="10">
        <v>2.076</v>
      </c>
      <c r="D1875" s="10">
        <v>3.6</v>
      </c>
      <c r="E1875" s="10">
        <v>27.4</v>
      </c>
      <c r="F1875" s="10">
        <v>7</v>
      </c>
      <c r="G1875" s="10">
        <v>0</v>
      </c>
      <c r="H1875" s="10">
        <v>10</v>
      </c>
      <c r="I1875" s="10">
        <v>0</v>
      </c>
      <c r="J1875" s="10">
        <f>SUM(B1875:I1875)</f>
        <v>53.416</v>
      </c>
      <c r="K1875">
        <v>2019</v>
      </c>
      <c r="L1875">
        <v>2</v>
      </c>
      <c r="M1875" s="11">
        <v>43497</v>
      </c>
      <c r="N1875" t="s">
        <v>2174</v>
      </c>
      <c r="O1875">
        <v>1</v>
      </c>
      <c r="P1875" t="s">
        <v>61</v>
      </c>
      <c r="Q1875" t="b">
        <v>1</v>
      </c>
    </row>
    <row r="1876" spans="1:17">
      <c r="A1876" s="12">
        <v>43515</v>
      </c>
      <c r="B1876" s="10">
        <v>3.33</v>
      </c>
      <c r="C1876" s="10">
        <v>4.33</v>
      </c>
      <c r="D1876" s="10">
        <v>1.5</v>
      </c>
      <c r="E1876" s="10">
        <v>27.4</v>
      </c>
      <c r="F1876" s="10">
        <v>15</v>
      </c>
      <c r="G1876" s="10">
        <v>2</v>
      </c>
      <c r="H1876" s="10">
        <v>6</v>
      </c>
      <c r="I1876" s="10">
        <v>3</v>
      </c>
      <c r="J1876" s="10">
        <f>SUM(B1876:I1876)</f>
        <v>62.56</v>
      </c>
      <c r="K1876">
        <v>2019</v>
      </c>
      <c r="L1876">
        <v>2</v>
      </c>
      <c r="M1876" s="11">
        <v>43497</v>
      </c>
      <c r="N1876" t="s">
        <v>2174</v>
      </c>
      <c r="O1876">
        <v>2</v>
      </c>
      <c r="P1876" t="s">
        <v>63</v>
      </c>
      <c r="Q1876" t="b">
        <v>1</v>
      </c>
    </row>
    <row r="1877" spans="1:17">
      <c r="A1877" s="12">
        <v>43516</v>
      </c>
      <c r="B1877" s="10">
        <v>2.34</v>
      </c>
      <c r="C1877" s="10">
        <v>4.779</v>
      </c>
      <c r="D1877" s="10">
        <v>3.3</v>
      </c>
      <c r="E1877" s="10">
        <v>30.6</v>
      </c>
      <c r="F1877" s="10">
        <v>14</v>
      </c>
      <c r="G1877" s="10">
        <v>0</v>
      </c>
      <c r="H1877" s="10">
        <v>7</v>
      </c>
      <c r="I1877" s="10">
        <v>3</v>
      </c>
      <c r="J1877" s="10">
        <f>SUM(B1877:I1877)</f>
        <v>65.019</v>
      </c>
      <c r="K1877">
        <v>2019</v>
      </c>
      <c r="L1877">
        <v>2</v>
      </c>
      <c r="M1877" s="11">
        <v>43497</v>
      </c>
      <c r="N1877" t="s">
        <v>2174</v>
      </c>
      <c r="O1877">
        <v>3</v>
      </c>
      <c r="P1877" t="s">
        <v>65</v>
      </c>
      <c r="Q1877" t="b">
        <v>1</v>
      </c>
    </row>
    <row r="1878" spans="1:17">
      <c r="A1878" s="12">
        <v>43517</v>
      </c>
      <c r="B1878" s="10">
        <v>1.66</v>
      </c>
      <c r="C1878" s="10">
        <v>5</v>
      </c>
      <c r="D1878" s="10">
        <v>2.1</v>
      </c>
      <c r="E1878" s="10">
        <v>45.4</v>
      </c>
      <c r="F1878" s="10">
        <v>15</v>
      </c>
      <c r="G1878" s="10">
        <v>1</v>
      </c>
      <c r="H1878" s="10">
        <v>5</v>
      </c>
      <c r="I1878" s="10">
        <v>2</v>
      </c>
      <c r="J1878" s="10">
        <f>SUM(B1878:I1878)</f>
        <v>77.16</v>
      </c>
      <c r="K1878">
        <v>2019</v>
      </c>
      <c r="L1878">
        <v>2</v>
      </c>
      <c r="M1878" s="11">
        <v>43497</v>
      </c>
      <c r="N1878" t="s">
        <v>2174</v>
      </c>
      <c r="O1878">
        <v>4</v>
      </c>
      <c r="P1878" t="s">
        <v>53</v>
      </c>
      <c r="Q1878" t="b">
        <v>1</v>
      </c>
    </row>
    <row r="1879" spans="1:17">
      <c r="A1879" s="12">
        <v>43518</v>
      </c>
      <c r="B1879" s="10">
        <v>2.33</v>
      </c>
      <c r="C1879" s="10">
        <v>2</v>
      </c>
      <c r="D1879" s="10">
        <v>1.2</v>
      </c>
      <c r="E1879" s="10">
        <v>16</v>
      </c>
      <c r="F1879" s="10">
        <v>5</v>
      </c>
      <c r="G1879" s="10">
        <v>0</v>
      </c>
      <c r="H1879" s="10">
        <v>1</v>
      </c>
      <c r="I1879" s="10">
        <v>2</v>
      </c>
      <c r="J1879" s="10">
        <f>SUM(B1879:I1879)</f>
        <v>29.53</v>
      </c>
      <c r="K1879">
        <v>2019</v>
      </c>
      <c r="L1879">
        <v>2</v>
      </c>
      <c r="M1879" s="11">
        <v>43497</v>
      </c>
      <c r="N1879" t="s">
        <v>2174</v>
      </c>
      <c r="O1879">
        <v>5</v>
      </c>
      <c r="P1879" t="s">
        <v>55</v>
      </c>
      <c r="Q1879" t="b">
        <v>1</v>
      </c>
    </row>
    <row r="1880" spans="1:17">
      <c r="A1880" s="12">
        <v>43519</v>
      </c>
      <c r="B1880" s="10">
        <v>5.01</v>
      </c>
      <c r="C1880" s="10">
        <v>2.44</v>
      </c>
      <c r="D1880" s="10">
        <v>3.2</v>
      </c>
      <c r="E1880" s="10">
        <v>38.2</v>
      </c>
      <c r="F1880" s="10">
        <v>13</v>
      </c>
      <c r="G1880" s="10">
        <v>0</v>
      </c>
      <c r="H1880" s="10">
        <v>0</v>
      </c>
      <c r="I1880" s="10">
        <v>1.3</v>
      </c>
      <c r="J1880" s="10">
        <f>SUM(B1880:I1880)</f>
        <v>63.15</v>
      </c>
      <c r="K1880">
        <v>2019</v>
      </c>
      <c r="L1880">
        <v>2</v>
      </c>
      <c r="M1880" s="11">
        <v>43497</v>
      </c>
      <c r="N1880" t="s">
        <v>2174</v>
      </c>
      <c r="O1880">
        <v>6</v>
      </c>
      <c r="P1880" t="s">
        <v>57</v>
      </c>
      <c r="Q1880" t="b">
        <v>1</v>
      </c>
    </row>
    <row r="1881" spans="1:17">
      <c r="A1881" s="12">
        <v>43520</v>
      </c>
      <c r="B1881" s="10">
        <v>4.34</v>
      </c>
      <c r="C1881" s="10">
        <v>4.01</v>
      </c>
      <c r="D1881" s="10">
        <v>1.5</v>
      </c>
      <c r="E1881" s="10">
        <v>19</v>
      </c>
      <c r="F1881" s="10">
        <v>2</v>
      </c>
      <c r="G1881" s="10">
        <v>0</v>
      </c>
      <c r="H1881" s="10">
        <v>2</v>
      </c>
      <c r="I1881" s="10">
        <v>2</v>
      </c>
      <c r="J1881" s="10">
        <f>SUM(B1881:I1881)</f>
        <v>34.85</v>
      </c>
      <c r="K1881">
        <v>2019</v>
      </c>
      <c r="L1881">
        <v>2</v>
      </c>
      <c r="M1881" s="11">
        <v>43497</v>
      </c>
      <c r="N1881" t="s">
        <v>2174</v>
      </c>
      <c r="O1881">
        <v>7</v>
      </c>
      <c r="P1881" t="s">
        <v>59</v>
      </c>
      <c r="Q1881" t="b">
        <v>1</v>
      </c>
    </row>
    <row r="1882" spans="1:17">
      <c r="A1882" s="12">
        <v>43521</v>
      </c>
      <c r="B1882" s="10">
        <v>5.34</v>
      </c>
      <c r="C1882" s="10">
        <v>1.423</v>
      </c>
      <c r="D1882" s="10">
        <v>3</v>
      </c>
      <c r="E1882" s="10">
        <v>25.2</v>
      </c>
      <c r="F1882" s="10">
        <v>4</v>
      </c>
      <c r="G1882" s="10">
        <v>2</v>
      </c>
      <c r="H1882" s="10">
        <v>2</v>
      </c>
      <c r="I1882" s="10">
        <v>3</v>
      </c>
      <c r="J1882" s="10">
        <f>SUM(B1882:I1882)</f>
        <v>45.963</v>
      </c>
      <c r="K1882">
        <v>2019</v>
      </c>
      <c r="L1882">
        <v>2</v>
      </c>
      <c r="M1882" s="11">
        <v>43497</v>
      </c>
      <c r="N1882" t="s">
        <v>2174</v>
      </c>
      <c r="O1882">
        <v>1</v>
      </c>
      <c r="P1882" t="s">
        <v>61</v>
      </c>
      <c r="Q1882" t="b">
        <v>1</v>
      </c>
    </row>
    <row r="1883" spans="1:17">
      <c r="A1883" s="12">
        <v>43522</v>
      </c>
      <c r="B1883" s="10">
        <v>2.33</v>
      </c>
      <c r="C1883" s="10">
        <v>3.83</v>
      </c>
      <c r="D1883" s="10">
        <v>5.15</v>
      </c>
      <c r="E1883" s="10">
        <v>27</v>
      </c>
      <c r="F1883" s="10">
        <v>8</v>
      </c>
      <c r="G1883" s="10">
        <v>0</v>
      </c>
      <c r="H1883" s="10">
        <v>3</v>
      </c>
      <c r="I1883" s="10">
        <v>3</v>
      </c>
      <c r="J1883" s="10">
        <f>SUM(B1883:I1883)</f>
        <v>52.31</v>
      </c>
      <c r="K1883">
        <v>2019</v>
      </c>
      <c r="L1883">
        <v>2</v>
      </c>
      <c r="M1883" s="11">
        <v>43497</v>
      </c>
      <c r="N1883" t="s">
        <v>2174</v>
      </c>
      <c r="O1883">
        <v>2</v>
      </c>
      <c r="P1883" t="s">
        <v>63</v>
      </c>
      <c r="Q1883" t="b">
        <v>1</v>
      </c>
    </row>
    <row r="1884" spans="1:17">
      <c r="A1884" s="12">
        <v>43523</v>
      </c>
      <c r="B1884" s="10">
        <v>5</v>
      </c>
      <c r="C1884" s="10">
        <v>0.67</v>
      </c>
      <c r="D1884" s="10">
        <v>1.2</v>
      </c>
      <c r="E1884" s="10">
        <v>13.4</v>
      </c>
      <c r="F1884" s="10">
        <v>9</v>
      </c>
      <c r="G1884" s="10">
        <v>0</v>
      </c>
      <c r="H1884" s="10">
        <v>1</v>
      </c>
      <c r="I1884" s="10">
        <v>7.5</v>
      </c>
      <c r="J1884" s="10">
        <f>SUM(B1884:I1884)</f>
        <v>37.769999999999996</v>
      </c>
      <c r="K1884">
        <v>2019</v>
      </c>
      <c r="L1884">
        <v>2</v>
      </c>
      <c r="M1884" s="11">
        <v>43497</v>
      </c>
      <c r="N1884" t="s">
        <v>2174</v>
      </c>
      <c r="O1884">
        <v>3</v>
      </c>
      <c r="P1884" t="s">
        <v>65</v>
      </c>
      <c r="Q1884" t="b">
        <v>1</v>
      </c>
    </row>
    <row r="1885" spans="1:17">
      <c r="A1885" s="12">
        <v>43524</v>
      </c>
      <c r="B1885" s="10">
        <v>0.67</v>
      </c>
      <c r="C1885" s="10">
        <v>3.33</v>
      </c>
      <c r="D1885" s="10">
        <v>4</v>
      </c>
      <c r="E1885" s="10">
        <v>34</v>
      </c>
      <c r="F1885" s="10">
        <v>2</v>
      </c>
      <c r="G1885" s="10">
        <v>1</v>
      </c>
      <c r="H1885" s="10">
        <v>35</v>
      </c>
      <c r="I1885" s="10">
        <v>3</v>
      </c>
      <c r="J1885" s="10">
        <f>SUM(B1885:I1885)</f>
        <v>83.0</v>
      </c>
      <c r="K1885">
        <v>2019</v>
      </c>
      <c r="L1885">
        <v>2</v>
      </c>
      <c r="M1885" s="11">
        <v>43497</v>
      </c>
      <c r="N1885" t="s">
        <v>2174</v>
      </c>
      <c r="O1885">
        <v>4</v>
      </c>
      <c r="P1885" t="s">
        <v>53</v>
      </c>
      <c r="Q1885" t="b">
        <v>1</v>
      </c>
    </row>
    <row r="1886" spans="1:17">
      <c r="A1886" s="12">
        <v>43525</v>
      </c>
      <c r="B1886" s="10">
        <v>1.33</v>
      </c>
      <c r="C1886" s="10">
        <v>3.821</v>
      </c>
      <c r="D1886" s="10">
        <v>2.5</v>
      </c>
      <c r="E1886" s="10">
        <v>22.2</v>
      </c>
      <c r="F1886" s="10">
        <v>12</v>
      </c>
      <c r="G1886" s="10">
        <v>0</v>
      </c>
      <c r="H1886" s="10">
        <v>6</v>
      </c>
      <c r="I1886" s="10">
        <v>2</v>
      </c>
      <c r="J1886" s="10">
        <f>SUM(B1886:I1886)</f>
        <v>49.851</v>
      </c>
      <c r="K1886">
        <v>2019</v>
      </c>
      <c r="L1886">
        <v>3</v>
      </c>
      <c r="M1886" s="11">
        <v>43525</v>
      </c>
      <c r="N1886" t="s">
        <v>2175</v>
      </c>
      <c r="O1886">
        <v>5</v>
      </c>
      <c r="P1886" t="s">
        <v>55</v>
      </c>
      <c r="Q1886" t="b">
        <v>1</v>
      </c>
    </row>
    <row r="1887" spans="1:17">
      <c r="A1887" s="12">
        <v>43526</v>
      </c>
      <c r="B1887" s="10">
        <v>4.01</v>
      </c>
      <c r="C1887" s="10">
        <v>1.33</v>
      </c>
      <c r="D1887" s="10">
        <v>4</v>
      </c>
      <c r="E1887" s="10">
        <v>46</v>
      </c>
      <c r="F1887" s="10">
        <v>9</v>
      </c>
      <c r="G1887" s="10">
        <v>3</v>
      </c>
      <c r="H1887" s="10">
        <v>0</v>
      </c>
      <c r="I1887" s="10">
        <v>5</v>
      </c>
      <c r="J1887" s="10">
        <f>SUM(B1887:I1887)</f>
        <v>72.34</v>
      </c>
      <c r="K1887">
        <v>2019</v>
      </c>
      <c r="L1887">
        <v>3</v>
      </c>
      <c r="M1887" s="11">
        <v>43525</v>
      </c>
      <c r="N1887" t="s">
        <v>2175</v>
      </c>
      <c r="O1887">
        <v>6</v>
      </c>
      <c r="P1887" t="s">
        <v>57</v>
      </c>
      <c r="Q1887" t="b">
        <v>1</v>
      </c>
    </row>
    <row r="1888" spans="1:17">
      <c r="A1888" s="12">
        <v>43527</v>
      </c>
      <c r="B1888" s="10">
        <v>8</v>
      </c>
      <c r="C1888" s="10">
        <v>4.01</v>
      </c>
      <c r="D1888" s="10">
        <v>1</v>
      </c>
      <c r="E1888" s="10">
        <v>20</v>
      </c>
      <c r="F1888" s="10">
        <v>5</v>
      </c>
      <c r="G1888" s="10">
        <v>0</v>
      </c>
      <c r="H1888" s="10">
        <v>10</v>
      </c>
      <c r="I1888" s="10">
        <v>0.4</v>
      </c>
      <c r="J1888" s="10">
        <f>SUM(B1888:I1888)</f>
        <v>48.41</v>
      </c>
      <c r="K1888">
        <v>2019</v>
      </c>
      <c r="L1888">
        <v>3</v>
      </c>
      <c r="M1888" s="11">
        <v>43525</v>
      </c>
      <c r="N1888" t="s">
        <v>2175</v>
      </c>
      <c r="O1888">
        <v>7</v>
      </c>
      <c r="P1888" t="s">
        <v>59</v>
      </c>
      <c r="Q1888" t="b">
        <v>1</v>
      </c>
    </row>
    <row r="1889" spans="1:17">
      <c r="A1889" s="12">
        <v>43528</v>
      </c>
      <c r="B1889" s="10">
        <v>5.33</v>
      </c>
      <c r="C1889" s="10">
        <v>2.67</v>
      </c>
      <c r="D1889" s="10">
        <v>7</v>
      </c>
      <c r="E1889" s="10">
        <v>41</v>
      </c>
      <c r="F1889" s="10">
        <v>3</v>
      </c>
      <c r="G1889" s="10">
        <v>0</v>
      </c>
      <c r="H1889" s="10">
        <v>5</v>
      </c>
      <c r="I1889" s="10">
        <v>2</v>
      </c>
      <c r="J1889" s="10">
        <f>SUM(B1889:I1889)</f>
        <v>66.0</v>
      </c>
      <c r="K1889">
        <v>2019</v>
      </c>
      <c r="L1889">
        <v>3</v>
      </c>
      <c r="M1889" s="11">
        <v>43525</v>
      </c>
      <c r="N1889" t="s">
        <v>2175</v>
      </c>
      <c r="O1889">
        <v>1</v>
      </c>
      <c r="P1889" t="s">
        <v>61</v>
      </c>
      <c r="Q1889" t="b">
        <v>1</v>
      </c>
    </row>
    <row r="1890" spans="1:17">
      <c r="A1890" s="12">
        <v>43529</v>
      </c>
      <c r="B1890" s="10">
        <v>3.01</v>
      </c>
      <c r="C1890" s="10">
        <v>2.33</v>
      </c>
      <c r="D1890" s="10">
        <v>0.2</v>
      </c>
      <c r="E1890" s="10">
        <v>20</v>
      </c>
      <c r="F1890" s="10">
        <v>8</v>
      </c>
      <c r="G1890" s="10">
        <v>3</v>
      </c>
      <c r="H1890" s="10">
        <v>6</v>
      </c>
      <c r="I1890" s="10">
        <v>5.3</v>
      </c>
      <c r="J1890" s="10">
        <f>SUM(B1890:I1890)</f>
        <v>47.839999999999996</v>
      </c>
      <c r="K1890">
        <v>2019</v>
      </c>
      <c r="L1890">
        <v>3</v>
      </c>
      <c r="M1890" s="11">
        <v>43525</v>
      </c>
      <c r="N1890" t="s">
        <v>2175</v>
      </c>
      <c r="O1890">
        <v>2</v>
      </c>
      <c r="P1890" t="s">
        <v>63</v>
      </c>
      <c r="Q1890" t="b">
        <v>1</v>
      </c>
    </row>
    <row r="1891" spans="1:17">
      <c r="A1891" s="12">
        <v>43530</v>
      </c>
      <c r="B1891" s="10">
        <v>0.34</v>
      </c>
      <c r="C1891" s="10">
        <v>1.396</v>
      </c>
      <c r="D1891" s="10">
        <v>0.7</v>
      </c>
      <c r="E1891" s="10">
        <v>31</v>
      </c>
      <c r="F1891" s="10">
        <v>17</v>
      </c>
      <c r="G1891" s="10">
        <v>1</v>
      </c>
      <c r="H1891" s="10">
        <v>5</v>
      </c>
      <c r="I1891" s="10">
        <v>3</v>
      </c>
      <c r="J1891" s="10">
        <f>SUM(B1891:I1891)</f>
        <v>59.436</v>
      </c>
      <c r="K1891">
        <v>2019</v>
      </c>
      <c r="L1891">
        <v>3</v>
      </c>
      <c r="M1891" s="11">
        <v>43525</v>
      </c>
      <c r="N1891" t="s">
        <v>2175</v>
      </c>
      <c r="O1891">
        <v>3</v>
      </c>
      <c r="P1891" t="s">
        <v>65</v>
      </c>
      <c r="Q1891" t="b">
        <v>1</v>
      </c>
    </row>
    <row r="1892" spans="1:17">
      <c r="A1892" s="12">
        <v>43531</v>
      </c>
      <c r="B1892" s="10">
        <v>7.33</v>
      </c>
      <c r="C1892" s="10">
        <v>2.076</v>
      </c>
      <c r="D1892" s="10">
        <v>4.25</v>
      </c>
      <c r="E1892" s="10">
        <v>10</v>
      </c>
      <c r="F1892" s="10">
        <v>24</v>
      </c>
      <c r="G1892" s="10">
        <v>0</v>
      </c>
      <c r="H1892" s="10">
        <v>0</v>
      </c>
      <c r="I1892" s="10">
        <v>4</v>
      </c>
      <c r="J1892" s="10">
        <f>SUM(B1892:I1892)</f>
        <v>51.656</v>
      </c>
      <c r="K1892">
        <v>2019</v>
      </c>
      <c r="L1892">
        <v>3</v>
      </c>
      <c r="M1892" s="11">
        <v>43525</v>
      </c>
      <c r="N1892" t="s">
        <v>2175</v>
      </c>
      <c r="O1892">
        <v>4</v>
      </c>
      <c r="P1892" t="s">
        <v>53</v>
      </c>
      <c r="Q1892" t="b">
        <v>1</v>
      </c>
    </row>
    <row r="1893" spans="1:17">
      <c r="A1893" s="12">
        <v>43532</v>
      </c>
      <c r="B1893" s="10">
        <v>2.33</v>
      </c>
      <c r="C1893" s="10">
        <v>3.34</v>
      </c>
      <c r="D1893" s="10">
        <v>0.2</v>
      </c>
      <c r="E1893" s="10">
        <v>33.7</v>
      </c>
      <c r="F1893" s="10">
        <v>4</v>
      </c>
      <c r="G1893" s="10">
        <v>1</v>
      </c>
      <c r="H1893" s="10">
        <v>0</v>
      </c>
      <c r="I1893" s="10">
        <v>4.3</v>
      </c>
      <c r="J1893" s="10">
        <f>SUM(B1893:I1893)</f>
        <v>48.87</v>
      </c>
      <c r="K1893">
        <v>2019</v>
      </c>
      <c r="L1893">
        <v>3</v>
      </c>
      <c r="M1893" s="11">
        <v>43525</v>
      </c>
      <c r="N1893" t="s">
        <v>2175</v>
      </c>
      <c r="O1893">
        <v>5</v>
      </c>
      <c r="P1893" t="s">
        <v>55</v>
      </c>
      <c r="Q1893" t="b">
        <v>1</v>
      </c>
    </row>
    <row r="1894" spans="1:17">
      <c r="A1894" s="12">
        <v>43533</v>
      </c>
      <c r="B1894" s="10">
        <v>6.34</v>
      </c>
      <c r="C1894" s="10">
        <v>1.67</v>
      </c>
      <c r="D1894" s="10">
        <v>4</v>
      </c>
      <c r="E1894" s="10">
        <v>45.2</v>
      </c>
      <c r="F1894" s="10">
        <v>11</v>
      </c>
      <c r="G1894" s="10">
        <v>0</v>
      </c>
      <c r="H1894" s="10">
        <v>7</v>
      </c>
      <c r="I1894" s="10">
        <v>5</v>
      </c>
      <c r="J1894" s="10">
        <f>SUM(B1894:I1894)</f>
        <v>80.21000000000001</v>
      </c>
      <c r="K1894">
        <v>2019</v>
      </c>
      <c r="L1894">
        <v>3</v>
      </c>
      <c r="M1894" s="11">
        <v>43525</v>
      </c>
      <c r="N1894" t="s">
        <v>2175</v>
      </c>
      <c r="O1894">
        <v>6</v>
      </c>
      <c r="P1894" t="s">
        <v>57</v>
      </c>
      <c r="Q1894" t="b">
        <v>1</v>
      </c>
    </row>
    <row r="1895" spans="1:17">
      <c r="A1895" s="12">
        <v>43534</v>
      </c>
      <c r="B1895" s="10">
        <v>5.83</v>
      </c>
      <c r="C1895" s="10">
        <v>3.087</v>
      </c>
      <c r="D1895" s="10">
        <v>5.35</v>
      </c>
      <c r="E1895" s="10">
        <v>51</v>
      </c>
      <c r="F1895" s="10">
        <v>5</v>
      </c>
      <c r="G1895" s="10">
        <v>0</v>
      </c>
      <c r="H1895" s="10">
        <v>3</v>
      </c>
      <c r="I1895" s="10">
        <v>9</v>
      </c>
      <c r="J1895" s="10">
        <f>SUM(B1895:I1895)</f>
        <v>82.267</v>
      </c>
      <c r="K1895">
        <v>2019</v>
      </c>
      <c r="L1895">
        <v>3</v>
      </c>
      <c r="M1895" s="11">
        <v>43525</v>
      </c>
      <c r="N1895" t="s">
        <v>2175</v>
      </c>
      <c r="O1895">
        <v>7</v>
      </c>
      <c r="P1895" t="s">
        <v>59</v>
      </c>
      <c r="Q1895" t="b">
        <v>1</v>
      </c>
    </row>
    <row r="1896" spans="1:17">
      <c r="A1896" s="12">
        <v>43535</v>
      </c>
      <c r="B1896" s="10">
        <v>14.66</v>
      </c>
      <c r="C1896" s="10">
        <v>3.67</v>
      </c>
      <c r="D1896" s="10">
        <v>2.5</v>
      </c>
      <c r="E1896" s="10">
        <v>26.4</v>
      </c>
      <c r="F1896" s="10">
        <v>10</v>
      </c>
      <c r="G1896" s="10">
        <v>3</v>
      </c>
      <c r="H1896" s="10">
        <v>11</v>
      </c>
      <c r="I1896" s="10">
        <v>3</v>
      </c>
      <c r="J1896" s="10">
        <f>SUM(B1896:I1896)</f>
        <v>74.22999999999999</v>
      </c>
      <c r="K1896">
        <v>2019</v>
      </c>
      <c r="L1896">
        <v>3</v>
      </c>
      <c r="M1896" s="11">
        <v>43525</v>
      </c>
      <c r="N1896" t="s">
        <v>2175</v>
      </c>
      <c r="O1896">
        <v>1</v>
      </c>
      <c r="P1896" t="s">
        <v>61</v>
      </c>
      <c r="Q1896" t="b">
        <v>1</v>
      </c>
    </row>
    <row r="1897" spans="1:17">
      <c r="A1897" s="12">
        <v>43536</v>
      </c>
      <c r="B1897" s="10">
        <v>4.33</v>
      </c>
      <c r="C1897" s="10">
        <v>3.373</v>
      </c>
      <c r="D1897" s="10">
        <v>1.5</v>
      </c>
      <c r="E1897" s="10">
        <v>31.85</v>
      </c>
      <c r="F1897" s="10">
        <v>12</v>
      </c>
      <c r="G1897" s="10">
        <v>0</v>
      </c>
      <c r="H1897" s="10">
        <v>7</v>
      </c>
      <c r="I1897" s="10">
        <v>2</v>
      </c>
      <c r="J1897" s="10">
        <f>SUM(B1897:I1897)</f>
        <v>62.053</v>
      </c>
      <c r="K1897">
        <v>2019</v>
      </c>
      <c r="L1897">
        <v>3</v>
      </c>
      <c r="M1897" s="11">
        <v>43525</v>
      </c>
      <c r="N1897" t="s">
        <v>2175</v>
      </c>
      <c r="O1897">
        <v>2</v>
      </c>
      <c r="P1897" t="s">
        <v>63</v>
      </c>
      <c r="Q1897" t="b">
        <v>1</v>
      </c>
    </row>
    <row r="1898" spans="1:17">
      <c r="A1898" s="12">
        <v>43537</v>
      </c>
      <c r="B1898" s="10">
        <v>2.67</v>
      </c>
      <c r="C1898" s="10">
        <v>4.34</v>
      </c>
      <c r="D1898" s="10">
        <v>6</v>
      </c>
      <c r="E1898" s="10">
        <v>22</v>
      </c>
      <c r="F1898" s="10">
        <v>10</v>
      </c>
      <c r="G1898" s="10">
        <v>0</v>
      </c>
      <c r="H1898" s="10">
        <v>8</v>
      </c>
      <c r="I1898" s="10">
        <v>4</v>
      </c>
      <c r="J1898" s="10">
        <f>SUM(B1898:I1898)</f>
        <v>57.01</v>
      </c>
      <c r="K1898">
        <v>2019</v>
      </c>
      <c r="L1898">
        <v>3</v>
      </c>
      <c r="M1898" s="11">
        <v>43525</v>
      </c>
      <c r="N1898" t="s">
        <v>2175</v>
      </c>
      <c r="O1898">
        <v>3</v>
      </c>
      <c r="P1898" t="s">
        <v>65</v>
      </c>
      <c r="Q1898" t="b">
        <v>1</v>
      </c>
    </row>
    <row r="1899" spans="1:17">
      <c r="A1899" s="12">
        <v>43538</v>
      </c>
      <c r="B1899" s="10">
        <v>4</v>
      </c>
      <c r="C1899" s="10">
        <v>5.67</v>
      </c>
      <c r="D1899" s="10">
        <v>0.2</v>
      </c>
      <c r="E1899" s="10">
        <v>47.2</v>
      </c>
      <c r="F1899" s="10">
        <v>12</v>
      </c>
      <c r="G1899" s="10">
        <v>1</v>
      </c>
      <c r="H1899" s="10">
        <v>27</v>
      </c>
      <c r="I1899" s="10">
        <v>6</v>
      </c>
      <c r="J1899" s="10">
        <f>SUM(B1899:I1899)</f>
        <v>103.07</v>
      </c>
      <c r="K1899">
        <v>2019</v>
      </c>
      <c r="L1899">
        <v>3</v>
      </c>
      <c r="M1899" s="11">
        <v>43525</v>
      </c>
      <c r="N1899" t="s">
        <v>2175</v>
      </c>
      <c r="O1899">
        <v>4</v>
      </c>
      <c r="P1899" t="s">
        <v>53</v>
      </c>
      <c r="Q1899" t="b">
        <v>1</v>
      </c>
    </row>
    <row r="1900" spans="1:17">
      <c r="A1900" s="12">
        <v>43539</v>
      </c>
      <c r="B1900" s="10">
        <v>2.83</v>
      </c>
      <c r="C1900" s="10">
        <v>1.34</v>
      </c>
      <c r="D1900" s="10">
        <v>3</v>
      </c>
      <c r="E1900" s="10">
        <v>40</v>
      </c>
      <c r="F1900" s="10">
        <v>7</v>
      </c>
      <c r="G1900" s="10">
        <v>1</v>
      </c>
      <c r="H1900" s="10">
        <v>20</v>
      </c>
      <c r="I1900" s="10">
        <v>5</v>
      </c>
      <c r="J1900" s="10">
        <f>SUM(B1900:I1900)</f>
        <v>80.17</v>
      </c>
      <c r="K1900">
        <v>2019</v>
      </c>
      <c r="L1900">
        <v>3</v>
      </c>
      <c r="M1900" s="11">
        <v>43525</v>
      </c>
      <c r="N1900" t="s">
        <v>2175</v>
      </c>
      <c r="O1900">
        <v>5</v>
      </c>
      <c r="P1900" t="s">
        <v>55</v>
      </c>
      <c r="Q1900" t="b">
        <v>1</v>
      </c>
    </row>
    <row r="1901" spans="1:17">
      <c r="A1901" s="12">
        <v>43540</v>
      </c>
      <c r="B1901" s="10">
        <v>8.34</v>
      </c>
      <c r="C1901" s="10">
        <v>0.837</v>
      </c>
      <c r="D1901" s="10">
        <v>5</v>
      </c>
      <c r="E1901" s="10">
        <v>29</v>
      </c>
      <c r="F1901" s="10">
        <v>9</v>
      </c>
      <c r="G1901" s="10">
        <v>0</v>
      </c>
      <c r="H1901" s="10">
        <v>5</v>
      </c>
      <c r="I1901" s="10">
        <v>7</v>
      </c>
      <c r="J1901" s="10">
        <f>SUM(B1901:I1901)</f>
        <v>64.17699999999999</v>
      </c>
      <c r="K1901">
        <v>2019</v>
      </c>
      <c r="L1901">
        <v>3</v>
      </c>
      <c r="M1901" s="11">
        <v>43525</v>
      </c>
      <c r="N1901" t="s">
        <v>2175</v>
      </c>
      <c r="O1901">
        <v>6</v>
      </c>
      <c r="P1901" t="s">
        <v>57</v>
      </c>
      <c r="Q1901" t="b">
        <v>1</v>
      </c>
    </row>
    <row r="1902" spans="1:17">
      <c r="A1902" s="12">
        <v>43541</v>
      </c>
      <c r="B1902" s="10">
        <v>6.68</v>
      </c>
      <c r="C1902" s="10">
        <v>3.723</v>
      </c>
      <c r="D1902" s="10">
        <v>2</v>
      </c>
      <c r="E1902" s="10">
        <v>55</v>
      </c>
      <c r="F1902" s="10">
        <v>6</v>
      </c>
      <c r="G1902" s="10">
        <v>0</v>
      </c>
      <c r="H1902" s="10">
        <v>10</v>
      </c>
      <c r="I1902" s="10">
        <v>5</v>
      </c>
      <c r="J1902" s="10">
        <f>SUM(B1902:I1902)</f>
        <v>88.40299999999999</v>
      </c>
      <c r="K1902">
        <v>2019</v>
      </c>
      <c r="L1902">
        <v>3</v>
      </c>
      <c r="M1902" s="11">
        <v>43525</v>
      </c>
      <c r="N1902" t="s">
        <v>2175</v>
      </c>
      <c r="O1902">
        <v>7</v>
      </c>
      <c r="P1902" t="s">
        <v>59</v>
      </c>
      <c r="Q1902" t="b">
        <v>1</v>
      </c>
    </row>
    <row r="1903" spans="1:17">
      <c r="A1903" s="12">
        <v>43542</v>
      </c>
      <c r="B1903" s="10">
        <v>2.33</v>
      </c>
      <c r="C1903" s="10">
        <v>0.835</v>
      </c>
      <c r="D1903" s="10">
        <v>2.1</v>
      </c>
      <c r="E1903" s="10">
        <v>23</v>
      </c>
      <c r="F1903" s="10">
        <v>11</v>
      </c>
      <c r="G1903" s="10">
        <v>0</v>
      </c>
      <c r="H1903" s="10">
        <v>1</v>
      </c>
      <c r="I1903" s="10">
        <v>9</v>
      </c>
      <c r="J1903" s="10">
        <f>SUM(B1903:I1903)</f>
        <v>49.265</v>
      </c>
      <c r="K1903">
        <v>2019</v>
      </c>
      <c r="L1903">
        <v>3</v>
      </c>
      <c r="M1903" s="11">
        <v>43525</v>
      </c>
      <c r="N1903" t="s">
        <v>2175</v>
      </c>
      <c r="O1903">
        <v>1</v>
      </c>
      <c r="P1903" t="s">
        <v>61</v>
      </c>
      <c r="Q1903" t="b">
        <v>1</v>
      </c>
    </row>
    <row r="1904" spans="1:17">
      <c r="A1904" s="12">
        <v>43543</v>
      </c>
      <c r="B1904" s="10">
        <v>9</v>
      </c>
      <c r="C1904" s="10">
        <v>3.33</v>
      </c>
      <c r="D1904" s="10">
        <v>1.5</v>
      </c>
      <c r="E1904" s="10">
        <v>26.2</v>
      </c>
      <c r="F1904" s="10">
        <v>10</v>
      </c>
      <c r="G1904" s="10">
        <v>1</v>
      </c>
      <c r="H1904" s="10">
        <v>2</v>
      </c>
      <c r="I1904" s="10">
        <v>8</v>
      </c>
      <c r="J1904" s="10">
        <f>SUM(B1904:I1904)</f>
        <v>61.03</v>
      </c>
      <c r="K1904">
        <v>2019</v>
      </c>
      <c r="L1904">
        <v>3</v>
      </c>
      <c r="M1904" s="11">
        <v>43525</v>
      </c>
      <c r="N1904" t="s">
        <v>2175</v>
      </c>
      <c r="O1904">
        <v>2</v>
      </c>
      <c r="P1904" t="s">
        <v>63</v>
      </c>
      <c r="Q1904" t="b">
        <v>1</v>
      </c>
    </row>
    <row r="1905" spans="1:17">
      <c r="A1905" s="12">
        <v>43544</v>
      </c>
      <c r="B1905" s="10">
        <v>5.67</v>
      </c>
      <c r="C1905" s="10">
        <v>2</v>
      </c>
      <c r="D1905" s="10">
        <v>2</v>
      </c>
      <c r="E1905" s="10">
        <v>28.9</v>
      </c>
      <c r="F1905" s="10">
        <v>8.199999999999999</v>
      </c>
      <c r="G1905" s="10">
        <v>0</v>
      </c>
      <c r="H1905" s="10">
        <v>19</v>
      </c>
      <c r="I1905" s="10">
        <v>5</v>
      </c>
      <c r="J1905" s="10">
        <f>SUM(B1905:I1905)</f>
        <v>70.77</v>
      </c>
      <c r="K1905">
        <v>2019</v>
      </c>
      <c r="L1905">
        <v>3</v>
      </c>
      <c r="M1905" s="11">
        <v>43525</v>
      </c>
      <c r="N1905" t="s">
        <v>2175</v>
      </c>
      <c r="O1905">
        <v>3</v>
      </c>
      <c r="P1905" t="s">
        <v>65</v>
      </c>
      <c r="Q1905" t="b">
        <v>1</v>
      </c>
    </row>
    <row r="1906" spans="1:17">
      <c r="A1906" s="12">
        <v>43545</v>
      </c>
      <c r="B1906" s="10">
        <v>2.33</v>
      </c>
      <c r="C1906" s="10">
        <v>1.423</v>
      </c>
      <c r="D1906" s="10">
        <v>0</v>
      </c>
      <c r="E1906" s="10">
        <v>18.8</v>
      </c>
      <c r="F1906" s="10">
        <v>13</v>
      </c>
      <c r="G1906" s="10">
        <v>0</v>
      </c>
      <c r="H1906" s="10">
        <v>6</v>
      </c>
      <c r="I1906" s="10">
        <v>5</v>
      </c>
      <c r="J1906" s="10">
        <f>SUM(B1906:I1906)</f>
        <v>46.553</v>
      </c>
      <c r="K1906">
        <v>2019</v>
      </c>
      <c r="L1906">
        <v>3</v>
      </c>
      <c r="M1906" s="11">
        <v>43525</v>
      </c>
      <c r="N1906" t="s">
        <v>2175</v>
      </c>
      <c r="O1906">
        <v>4</v>
      </c>
      <c r="P1906" t="s">
        <v>53</v>
      </c>
      <c r="Q1906" t="b">
        <v>1</v>
      </c>
    </row>
    <row r="1907" spans="1:17">
      <c r="A1907" s="12">
        <v>43546</v>
      </c>
      <c r="B1907" s="10">
        <v>4.66</v>
      </c>
      <c r="C1907" s="10">
        <v>7.043</v>
      </c>
      <c r="D1907" s="10">
        <v>1.1</v>
      </c>
      <c r="E1907" s="10">
        <v>41</v>
      </c>
      <c r="F1907" s="10">
        <v>13</v>
      </c>
      <c r="G1907" s="10">
        <v>0</v>
      </c>
      <c r="H1907" s="10">
        <v>29</v>
      </c>
      <c r="I1907" s="10">
        <v>6</v>
      </c>
      <c r="J1907" s="10">
        <f>SUM(B1907:I1907)</f>
        <v>101.803</v>
      </c>
      <c r="K1907">
        <v>2019</v>
      </c>
      <c r="L1907">
        <v>3</v>
      </c>
      <c r="M1907" s="11">
        <v>43525</v>
      </c>
      <c r="N1907" t="s">
        <v>2175</v>
      </c>
      <c r="O1907">
        <v>5</v>
      </c>
      <c r="P1907" t="s">
        <v>55</v>
      </c>
      <c r="Q1907" t="b">
        <v>1</v>
      </c>
    </row>
    <row r="1908" spans="1:17">
      <c r="A1908" s="12">
        <v>43547</v>
      </c>
      <c r="B1908" s="10">
        <v>6</v>
      </c>
      <c r="C1908" s="10">
        <v>3.36</v>
      </c>
      <c r="D1908" s="10">
        <v>4.25</v>
      </c>
      <c r="E1908" s="10">
        <v>15.5</v>
      </c>
      <c r="F1908" s="10">
        <v>7</v>
      </c>
      <c r="G1908" s="10">
        <v>0</v>
      </c>
      <c r="H1908" s="10">
        <v>1</v>
      </c>
      <c r="I1908" s="10">
        <v>5</v>
      </c>
      <c r="J1908" s="10">
        <f>SUM(B1908:I1908)</f>
        <v>42.11</v>
      </c>
      <c r="K1908">
        <v>2019</v>
      </c>
      <c r="L1908">
        <v>3</v>
      </c>
      <c r="M1908" s="11">
        <v>43525</v>
      </c>
      <c r="N1908" t="s">
        <v>2175</v>
      </c>
      <c r="O1908">
        <v>6</v>
      </c>
      <c r="P1908" t="s">
        <v>57</v>
      </c>
      <c r="Q1908" t="b">
        <v>1</v>
      </c>
    </row>
    <row r="1909" spans="1:17">
      <c r="A1909" s="12">
        <v>43548</v>
      </c>
      <c r="B1909" s="10">
        <v>6</v>
      </c>
      <c r="C1909" s="10">
        <v>2.67</v>
      </c>
      <c r="D1909" s="10">
        <v>3</v>
      </c>
      <c r="E1909" s="10">
        <v>43.2</v>
      </c>
      <c r="F1909" s="10">
        <v>6.2</v>
      </c>
      <c r="G1909" s="10">
        <v>1</v>
      </c>
      <c r="H1909" s="10">
        <v>16</v>
      </c>
      <c r="I1909" s="10">
        <v>10</v>
      </c>
      <c r="J1909" s="10">
        <f>SUM(B1909:I1909)</f>
        <v>88.07000000000001</v>
      </c>
      <c r="K1909">
        <v>2019</v>
      </c>
      <c r="L1909">
        <v>3</v>
      </c>
      <c r="M1909" s="11">
        <v>43525</v>
      </c>
      <c r="N1909" t="s">
        <v>2175</v>
      </c>
      <c r="O1909">
        <v>7</v>
      </c>
      <c r="P1909" t="s">
        <v>59</v>
      </c>
      <c r="Q1909" t="b">
        <v>1</v>
      </c>
    </row>
    <row r="1910" spans="1:17">
      <c r="A1910" s="12">
        <v>43549</v>
      </c>
      <c r="B1910" s="10">
        <v>4.84</v>
      </c>
      <c r="C1910" s="10">
        <v>4.523</v>
      </c>
      <c r="D1910" s="10">
        <v>6</v>
      </c>
      <c r="E1910" s="10">
        <v>27</v>
      </c>
      <c r="F1910" s="10">
        <v>11</v>
      </c>
      <c r="G1910" s="10">
        <v>1</v>
      </c>
      <c r="H1910" s="10">
        <v>6</v>
      </c>
      <c r="I1910" s="10">
        <v>6</v>
      </c>
      <c r="J1910" s="10">
        <f>SUM(B1910:I1910)</f>
        <v>66.363</v>
      </c>
      <c r="K1910">
        <v>2019</v>
      </c>
      <c r="L1910">
        <v>3</v>
      </c>
      <c r="M1910" s="11">
        <v>43525</v>
      </c>
      <c r="N1910" t="s">
        <v>2175</v>
      </c>
      <c r="O1910">
        <v>1</v>
      </c>
      <c r="P1910" t="s">
        <v>61</v>
      </c>
      <c r="Q1910" t="b">
        <v>1</v>
      </c>
    </row>
    <row r="1911" spans="1:17">
      <c r="A1911" s="12">
        <v>43550</v>
      </c>
      <c r="B1911" s="10">
        <v>4</v>
      </c>
      <c r="C1911" s="10">
        <v>5.51</v>
      </c>
      <c r="D1911" s="10">
        <v>3</v>
      </c>
      <c r="E1911" s="10">
        <v>36</v>
      </c>
      <c r="F1911" s="10">
        <v>11</v>
      </c>
      <c r="G1911" s="10">
        <v>0</v>
      </c>
      <c r="H1911" s="10">
        <v>19</v>
      </c>
      <c r="I1911" s="10">
        <v>9</v>
      </c>
      <c r="J1911" s="10">
        <f>SUM(B1911:I1911)</f>
        <v>87.50999999999999</v>
      </c>
      <c r="K1911">
        <v>2019</v>
      </c>
      <c r="L1911">
        <v>3</v>
      </c>
      <c r="M1911" s="11">
        <v>43525</v>
      </c>
      <c r="N1911" t="s">
        <v>2175</v>
      </c>
      <c r="O1911">
        <v>2</v>
      </c>
      <c r="P1911" t="s">
        <v>63</v>
      </c>
      <c r="Q1911" t="b">
        <v>1</v>
      </c>
    </row>
    <row r="1912" spans="1:17">
      <c r="A1912" s="12">
        <v>43551</v>
      </c>
      <c r="B1912" s="10">
        <v>6.34</v>
      </c>
      <c r="C1912" s="10">
        <v>7.769</v>
      </c>
      <c r="D1912" s="10">
        <v>3</v>
      </c>
      <c r="E1912" s="10">
        <v>25.6</v>
      </c>
      <c r="F1912" s="10">
        <v>12</v>
      </c>
      <c r="G1912" s="10">
        <v>1</v>
      </c>
      <c r="H1912" s="10">
        <v>0</v>
      </c>
      <c r="I1912" s="10">
        <v>9</v>
      </c>
      <c r="J1912" s="10">
        <f>SUM(B1912:I1912)</f>
        <v>64.709</v>
      </c>
      <c r="K1912">
        <v>2019</v>
      </c>
      <c r="L1912">
        <v>3</v>
      </c>
      <c r="M1912" s="11">
        <v>43525</v>
      </c>
      <c r="N1912" t="s">
        <v>2175</v>
      </c>
      <c r="O1912">
        <v>3</v>
      </c>
      <c r="P1912" t="s">
        <v>65</v>
      </c>
      <c r="Q1912" t="b">
        <v>1</v>
      </c>
    </row>
    <row r="1913" spans="1:17">
      <c r="A1913" s="12">
        <v>43552</v>
      </c>
      <c r="B1913" s="10">
        <v>1.33</v>
      </c>
      <c r="C1913" s="10">
        <v>6.43</v>
      </c>
      <c r="D1913" s="10">
        <v>1.4</v>
      </c>
      <c r="E1913" s="10">
        <v>14</v>
      </c>
      <c r="F1913" s="10">
        <v>6</v>
      </c>
      <c r="G1913" s="10">
        <v>0</v>
      </c>
      <c r="H1913" s="10">
        <v>7</v>
      </c>
      <c r="I1913" s="10">
        <v>1</v>
      </c>
      <c r="J1913" s="10">
        <f>SUM(B1913:I1913)</f>
        <v>37.16</v>
      </c>
      <c r="K1913">
        <v>2019</v>
      </c>
      <c r="L1913">
        <v>3</v>
      </c>
      <c r="M1913" s="11">
        <v>43525</v>
      </c>
      <c r="N1913" t="s">
        <v>2175</v>
      </c>
      <c r="O1913">
        <v>4</v>
      </c>
      <c r="P1913" t="s">
        <v>53</v>
      </c>
      <c r="Q1913" t="b">
        <v>1</v>
      </c>
    </row>
    <row r="1914" spans="1:17">
      <c r="A1914" s="12">
        <v>43553</v>
      </c>
      <c r="B1914" s="10">
        <v>3</v>
      </c>
      <c r="C1914" s="10">
        <v>4.298</v>
      </c>
      <c r="D1914" s="10">
        <v>4</v>
      </c>
      <c r="E1914" s="10">
        <v>25.3</v>
      </c>
      <c r="F1914" s="10">
        <v>10</v>
      </c>
      <c r="G1914" s="10">
        <v>0</v>
      </c>
      <c r="H1914" s="10">
        <v>16</v>
      </c>
      <c r="I1914" s="10">
        <v>9.199999999999999</v>
      </c>
      <c r="J1914" s="10">
        <f>SUM(B1914:I1914)</f>
        <v>71.798</v>
      </c>
      <c r="K1914">
        <v>2019</v>
      </c>
      <c r="L1914">
        <v>3</v>
      </c>
      <c r="M1914" s="11">
        <v>43525</v>
      </c>
      <c r="N1914" t="s">
        <v>2175</v>
      </c>
      <c r="O1914">
        <v>5</v>
      </c>
      <c r="P1914" t="s">
        <v>55</v>
      </c>
      <c r="Q1914" t="b">
        <v>1</v>
      </c>
    </row>
    <row r="1915" spans="1:17">
      <c r="A1915" s="12">
        <v>43554</v>
      </c>
      <c r="B1915" s="10">
        <v>4.66</v>
      </c>
      <c r="C1915" s="10">
        <v>10.68</v>
      </c>
      <c r="D1915" s="10">
        <v>1.1</v>
      </c>
      <c r="E1915" s="10">
        <v>18</v>
      </c>
      <c r="F1915" s="10">
        <v>11</v>
      </c>
      <c r="G1915" s="10">
        <v>1</v>
      </c>
      <c r="H1915" s="10">
        <v>0</v>
      </c>
      <c r="I1915" s="10">
        <v>6.1</v>
      </c>
      <c r="J1915" s="10">
        <f>SUM(B1915:I1915)</f>
        <v>52.54</v>
      </c>
      <c r="K1915">
        <v>2019</v>
      </c>
      <c r="L1915">
        <v>3</v>
      </c>
      <c r="M1915" s="11">
        <v>43525</v>
      </c>
      <c r="N1915" t="s">
        <v>2175</v>
      </c>
      <c r="O1915">
        <v>6</v>
      </c>
      <c r="P1915" t="s">
        <v>57</v>
      </c>
      <c r="Q1915" t="b">
        <v>1</v>
      </c>
    </row>
    <row r="1916" spans="1:17">
      <c r="A1916" s="12">
        <v>43555</v>
      </c>
      <c r="B1916" s="10">
        <v>7</v>
      </c>
      <c r="C1916" s="10">
        <v>4.564</v>
      </c>
      <c r="D1916" s="10">
        <v>1.5</v>
      </c>
      <c r="E1916" s="10">
        <v>27</v>
      </c>
      <c r="F1916" s="10">
        <v>8</v>
      </c>
      <c r="G1916" s="10">
        <v>1</v>
      </c>
      <c r="H1916" s="10">
        <v>5</v>
      </c>
      <c r="I1916" s="10">
        <v>9.199999999999999</v>
      </c>
      <c r="J1916" s="10">
        <f>SUM(B1916:I1916)</f>
        <v>63.263999999999996</v>
      </c>
      <c r="K1916">
        <v>2019</v>
      </c>
      <c r="L1916">
        <v>3</v>
      </c>
      <c r="M1916" s="11">
        <v>43525</v>
      </c>
      <c r="N1916" t="s">
        <v>2175</v>
      </c>
      <c r="O1916">
        <v>7</v>
      </c>
      <c r="P1916" t="s">
        <v>59</v>
      </c>
      <c r="Q1916" t="b">
        <v>1</v>
      </c>
    </row>
    <row r="1917" spans="1:17">
      <c r="A1917" s="12">
        <v>43556</v>
      </c>
      <c r="B1917" s="10">
        <v>3.01</v>
      </c>
      <c r="C1917" s="10">
        <v>1.703</v>
      </c>
      <c r="D1917" s="10">
        <v>3</v>
      </c>
      <c r="E1917" s="10">
        <v>34.65</v>
      </c>
      <c r="F1917" s="10">
        <v>12</v>
      </c>
      <c r="G1917" s="10">
        <v>0</v>
      </c>
      <c r="H1917" s="10">
        <v>5</v>
      </c>
      <c r="I1917" s="10">
        <v>5</v>
      </c>
      <c r="J1917" s="10">
        <f>SUM(B1917:I1917)</f>
        <v>64.363</v>
      </c>
      <c r="K1917">
        <v>2019</v>
      </c>
      <c r="L1917">
        <v>4</v>
      </c>
      <c r="M1917" s="11">
        <v>43556</v>
      </c>
      <c r="N1917" t="s">
        <v>2176</v>
      </c>
      <c r="O1917">
        <v>1</v>
      </c>
      <c r="P1917" t="s">
        <v>61</v>
      </c>
      <c r="Q1917" t="b">
        <v>1</v>
      </c>
    </row>
    <row r="1918" spans="1:17">
      <c r="A1918" s="12">
        <v>43557</v>
      </c>
      <c r="B1918" s="10">
        <v>7.67</v>
      </c>
      <c r="C1918" s="10">
        <v>1.33</v>
      </c>
      <c r="D1918" s="10">
        <v>3</v>
      </c>
      <c r="E1918" s="10">
        <v>24</v>
      </c>
      <c r="F1918" s="10">
        <v>7</v>
      </c>
      <c r="G1918" s="10">
        <v>0</v>
      </c>
      <c r="H1918" s="10">
        <v>10</v>
      </c>
      <c r="I1918" s="10">
        <v>8</v>
      </c>
      <c r="J1918" s="10">
        <f>SUM(B1918:I1918)</f>
        <v>61.0</v>
      </c>
      <c r="K1918">
        <v>2019</v>
      </c>
      <c r="L1918">
        <v>4</v>
      </c>
      <c r="M1918" s="11">
        <v>43556</v>
      </c>
      <c r="N1918" t="s">
        <v>2176</v>
      </c>
      <c r="O1918">
        <v>2</v>
      </c>
      <c r="P1918" t="s">
        <v>63</v>
      </c>
      <c r="Q1918" t="b">
        <v>1</v>
      </c>
    </row>
    <row r="1919" spans="1:17">
      <c r="A1919" s="12">
        <v>43558</v>
      </c>
      <c r="B1919" s="10">
        <v>5.33</v>
      </c>
      <c r="C1919" s="10">
        <v>5.099</v>
      </c>
      <c r="D1919" s="10">
        <v>1.5</v>
      </c>
      <c r="E1919" s="10">
        <v>18.3</v>
      </c>
      <c r="F1919" s="10">
        <v>12</v>
      </c>
      <c r="G1919" s="10">
        <v>0</v>
      </c>
      <c r="H1919" s="10">
        <v>4</v>
      </c>
      <c r="I1919" s="10">
        <v>9.300000000000001</v>
      </c>
      <c r="J1919" s="10">
        <f>SUM(B1919:I1919)</f>
        <v>55.528999999999996</v>
      </c>
      <c r="K1919">
        <v>2019</v>
      </c>
      <c r="L1919">
        <v>4</v>
      </c>
      <c r="M1919" s="11">
        <v>43556</v>
      </c>
      <c r="N1919" t="s">
        <v>2176</v>
      </c>
      <c r="O1919">
        <v>3</v>
      </c>
      <c r="P1919" t="s">
        <v>65</v>
      </c>
      <c r="Q1919" t="b">
        <v>1</v>
      </c>
    </row>
    <row r="1920" spans="1:17">
      <c r="A1920" s="12">
        <v>43559</v>
      </c>
      <c r="B1920" s="10">
        <v>4.5</v>
      </c>
      <c r="C1920" s="10">
        <v>2.226</v>
      </c>
      <c r="D1920" s="10">
        <v>8</v>
      </c>
      <c r="E1920" s="10">
        <v>39</v>
      </c>
      <c r="F1920" s="10">
        <v>8</v>
      </c>
      <c r="G1920" s="10">
        <v>1</v>
      </c>
      <c r="H1920" s="10">
        <v>13</v>
      </c>
      <c r="I1920" s="10">
        <v>15</v>
      </c>
      <c r="J1920" s="10">
        <f>SUM(B1920:I1920)</f>
        <v>90.726</v>
      </c>
      <c r="K1920">
        <v>2019</v>
      </c>
      <c r="L1920">
        <v>4</v>
      </c>
      <c r="M1920" s="11">
        <v>43556</v>
      </c>
      <c r="N1920" t="s">
        <v>2176</v>
      </c>
      <c r="O1920">
        <v>4</v>
      </c>
      <c r="P1920" t="s">
        <v>53</v>
      </c>
      <c r="Q1920" t="b">
        <v>1</v>
      </c>
    </row>
    <row r="1921" spans="1:17">
      <c r="A1921" s="12">
        <v>43560</v>
      </c>
      <c r="B1921" s="10">
        <v>6.34</v>
      </c>
      <c r="C1921" s="10">
        <v>4.198</v>
      </c>
      <c r="D1921" s="10">
        <v>4</v>
      </c>
      <c r="E1921" s="10">
        <v>25.2</v>
      </c>
      <c r="F1921" s="10">
        <v>7</v>
      </c>
      <c r="G1921" s="10">
        <v>0</v>
      </c>
      <c r="H1921" s="10">
        <v>3</v>
      </c>
      <c r="I1921" s="10">
        <v>4</v>
      </c>
      <c r="J1921" s="10">
        <f>SUM(B1921:I1921)</f>
        <v>53.738</v>
      </c>
      <c r="K1921">
        <v>2019</v>
      </c>
      <c r="L1921">
        <v>4</v>
      </c>
      <c r="M1921" s="11">
        <v>43556</v>
      </c>
      <c r="N1921" t="s">
        <v>2176</v>
      </c>
      <c r="O1921">
        <v>5</v>
      </c>
      <c r="P1921" t="s">
        <v>55</v>
      </c>
      <c r="Q1921" t="b">
        <v>1</v>
      </c>
    </row>
    <row r="1922" spans="1:17">
      <c r="A1922" s="12">
        <v>43561</v>
      </c>
      <c r="B1922" s="10">
        <v>3.34</v>
      </c>
      <c r="C1922" s="10">
        <v>6.01</v>
      </c>
      <c r="D1922" s="10">
        <v>3</v>
      </c>
      <c r="E1922" s="10">
        <v>13.2</v>
      </c>
      <c r="F1922" s="10">
        <v>13</v>
      </c>
      <c r="G1922" s="10">
        <v>0</v>
      </c>
      <c r="H1922" s="10">
        <v>16</v>
      </c>
      <c r="I1922" s="10">
        <v>9.300000000000001</v>
      </c>
      <c r="J1922" s="10">
        <f>SUM(B1922:I1922)</f>
        <v>63.849999999999994</v>
      </c>
      <c r="K1922">
        <v>2019</v>
      </c>
      <c r="L1922">
        <v>4</v>
      </c>
      <c r="M1922" s="11">
        <v>43556</v>
      </c>
      <c r="N1922" t="s">
        <v>2176</v>
      </c>
      <c r="O1922">
        <v>6</v>
      </c>
      <c r="P1922" t="s">
        <v>57</v>
      </c>
      <c r="Q1922" t="b">
        <v>1</v>
      </c>
    </row>
    <row r="1923" spans="1:17">
      <c r="A1923" s="12">
        <v>43562</v>
      </c>
      <c r="B1923" s="10">
        <v>6</v>
      </c>
      <c r="C1923" s="10">
        <v>5.119</v>
      </c>
      <c r="D1923" s="10">
        <v>4</v>
      </c>
      <c r="E1923" s="10">
        <v>19</v>
      </c>
      <c r="F1923" s="10">
        <v>3</v>
      </c>
      <c r="G1923" s="10">
        <v>0</v>
      </c>
      <c r="H1923" s="10">
        <v>0</v>
      </c>
      <c r="I1923" s="10">
        <v>7</v>
      </c>
      <c r="J1923" s="10">
        <f>SUM(B1923:I1923)</f>
        <v>44.119</v>
      </c>
      <c r="K1923">
        <v>2019</v>
      </c>
      <c r="L1923">
        <v>4</v>
      </c>
      <c r="M1923" s="11">
        <v>43556</v>
      </c>
      <c r="N1923" t="s">
        <v>2176</v>
      </c>
      <c r="O1923">
        <v>7</v>
      </c>
      <c r="P1923" t="s">
        <v>59</v>
      </c>
      <c r="Q1923" t="b">
        <v>1</v>
      </c>
    </row>
    <row r="1924" spans="1:17">
      <c r="A1924" s="12">
        <v>43563</v>
      </c>
      <c r="B1924" s="10">
        <v>5</v>
      </c>
      <c r="C1924" s="10">
        <v>4.35</v>
      </c>
      <c r="D1924" s="10">
        <v>3.3</v>
      </c>
      <c r="E1924" s="10">
        <v>10</v>
      </c>
      <c r="F1924" s="10">
        <v>8.199999999999999</v>
      </c>
      <c r="G1924" s="10">
        <v>0</v>
      </c>
      <c r="H1924" s="10">
        <v>4</v>
      </c>
      <c r="I1924" s="10">
        <v>3</v>
      </c>
      <c r="J1924" s="10">
        <f>SUM(B1924:I1924)</f>
        <v>37.849999999999994</v>
      </c>
      <c r="K1924">
        <v>2019</v>
      </c>
      <c r="L1924">
        <v>4</v>
      </c>
      <c r="M1924" s="11">
        <v>43556</v>
      </c>
      <c r="N1924" t="s">
        <v>2176</v>
      </c>
      <c r="O1924">
        <v>1</v>
      </c>
      <c r="P1924" t="s">
        <v>61</v>
      </c>
      <c r="Q1924" t="b">
        <v>1</v>
      </c>
    </row>
    <row r="1925" spans="1:17">
      <c r="A1925" s="12">
        <v>43564</v>
      </c>
      <c r="B1925" s="10">
        <v>2.83</v>
      </c>
      <c r="C1925" s="10">
        <v>2</v>
      </c>
      <c r="D1925" s="10">
        <v>1</v>
      </c>
      <c r="E1925" s="10">
        <v>12</v>
      </c>
      <c r="F1925" s="10">
        <v>10</v>
      </c>
      <c r="G1925" s="10">
        <v>0</v>
      </c>
      <c r="H1925" s="10">
        <v>3</v>
      </c>
      <c r="I1925" s="10">
        <v>5</v>
      </c>
      <c r="J1925" s="10">
        <f>SUM(B1925:I1925)</f>
        <v>35.83</v>
      </c>
      <c r="K1925">
        <v>2019</v>
      </c>
      <c r="L1925">
        <v>4</v>
      </c>
      <c r="M1925" s="11">
        <v>43556</v>
      </c>
      <c r="N1925" t="s">
        <v>2176</v>
      </c>
      <c r="O1925">
        <v>2</v>
      </c>
      <c r="P1925" t="s">
        <v>63</v>
      </c>
      <c r="Q1925" t="b">
        <v>1</v>
      </c>
    </row>
    <row r="1926" spans="1:17">
      <c r="A1926" s="12">
        <v>43565</v>
      </c>
      <c r="B1926" s="10">
        <v>2.34</v>
      </c>
      <c r="C1926" s="10">
        <v>2.746</v>
      </c>
      <c r="D1926" s="10">
        <v>2</v>
      </c>
      <c r="E1926" s="10">
        <v>34</v>
      </c>
      <c r="F1926" s="10">
        <v>16.2</v>
      </c>
      <c r="G1926" s="10">
        <v>3</v>
      </c>
      <c r="H1926" s="10">
        <v>9</v>
      </c>
      <c r="I1926" s="10">
        <v>8</v>
      </c>
      <c r="J1926" s="10">
        <f>SUM(B1926:I1926)</f>
        <v>77.286</v>
      </c>
      <c r="K1926">
        <v>2019</v>
      </c>
      <c r="L1926">
        <v>4</v>
      </c>
      <c r="M1926" s="11">
        <v>43556</v>
      </c>
      <c r="N1926" t="s">
        <v>2176</v>
      </c>
      <c r="O1926">
        <v>3</v>
      </c>
      <c r="P1926" t="s">
        <v>65</v>
      </c>
      <c r="Q1926" t="b">
        <v>1</v>
      </c>
    </row>
    <row r="1927" spans="1:17">
      <c r="A1927" s="12">
        <v>43566</v>
      </c>
      <c r="B1927" s="10">
        <v>7.33</v>
      </c>
      <c r="C1927" s="10">
        <v>6.156</v>
      </c>
      <c r="D1927" s="10">
        <v>2</v>
      </c>
      <c r="E1927" s="10">
        <v>15.9</v>
      </c>
      <c r="F1927" s="10">
        <v>15</v>
      </c>
      <c r="G1927" s="10">
        <v>0</v>
      </c>
      <c r="H1927" s="10">
        <v>7</v>
      </c>
      <c r="I1927" s="10">
        <v>8</v>
      </c>
      <c r="J1927" s="10">
        <f>SUM(B1927:I1927)</f>
        <v>61.386</v>
      </c>
      <c r="K1927">
        <v>2019</v>
      </c>
      <c r="L1927">
        <v>4</v>
      </c>
      <c r="M1927" s="11">
        <v>43556</v>
      </c>
      <c r="N1927" t="s">
        <v>2176</v>
      </c>
      <c r="O1927">
        <v>4</v>
      </c>
      <c r="P1927" t="s">
        <v>53</v>
      </c>
      <c r="Q1927" t="b">
        <v>1</v>
      </c>
    </row>
    <row r="1928" spans="1:17">
      <c r="A1928" s="12">
        <v>43567</v>
      </c>
      <c r="B1928" s="10">
        <v>4.33</v>
      </c>
      <c r="C1928" s="10">
        <v>4.373</v>
      </c>
      <c r="D1928" s="10">
        <v>4.1</v>
      </c>
      <c r="E1928" s="10">
        <v>16.6</v>
      </c>
      <c r="F1928" s="10">
        <v>16</v>
      </c>
      <c r="G1928" s="10">
        <v>0</v>
      </c>
      <c r="H1928" s="10">
        <v>6</v>
      </c>
      <c r="I1928" s="10">
        <v>7</v>
      </c>
      <c r="J1928" s="10">
        <f>SUM(B1928:I1928)</f>
        <v>58.403</v>
      </c>
      <c r="K1928">
        <v>2019</v>
      </c>
      <c r="L1928">
        <v>4</v>
      </c>
      <c r="M1928" s="11">
        <v>43556</v>
      </c>
      <c r="N1928" t="s">
        <v>2176</v>
      </c>
      <c r="O1928">
        <v>5</v>
      </c>
      <c r="P1928" t="s">
        <v>55</v>
      </c>
      <c r="Q1928" t="b">
        <v>1</v>
      </c>
    </row>
    <row r="1929" spans="1:17">
      <c r="A1929" s="12">
        <v>43568</v>
      </c>
      <c r="B1929" s="10">
        <v>4.5</v>
      </c>
      <c r="C1929" s="10">
        <v>4.134</v>
      </c>
      <c r="D1929" s="10">
        <v>1.1</v>
      </c>
      <c r="E1929" s="10">
        <v>14</v>
      </c>
      <c r="F1929" s="10">
        <v>4</v>
      </c>
      <c r="G1929" s="10">
        <v>0</v>
      </c>
      <c r="H1929" s="10">
        <v>6</v>
      </c>
      <c r="I1929" s="10">
        <v>4</v>
      </c>
      <c r="J1929" s="10">
        <f>SUM(B1929:I1929)</f>
        <v>37.734</v>
      </c>
      <c r="K1929">
        <v>2019</v>
      </c>
      <c r="L1929">
        <v>4</v>
      </c>
      <c r="M1929" s="11">
        <v>43556</v>
      </c>
      <c r="N1929" t="s">
        <v>2176</v>
      </c>
      <c r="O1929">
        <v>6</v>
      </c>
      <c r="P1929" t="s">
        <v>57</v>
      </c>
      <c r="Q1929" t="b">
        <v>1</v>
      </c>
    </row>
    <row r="1930" spans="1:17">
      <c r="A1930" s="12">
        <v>43569</v>
      </c>
      <c r="B1930" s="10">
        <v>4</v>
      </c>
      <c r="C1930" s="10">
        <v>4.406</v>
      </c>
      <c r="D1930" s="10">
        <v>1</v>
      </c>
      <c r="E1930" s="10">
        <v>23</v>
      </c>
      <c r="F1930" s="10">
        <v>3</v>
      </c>
      <c r="G1930" s="10">
        <v>1</v>
      </c>
      <c r="H1930" s="10">
        <v>7</v>
      </c>
      <c r="I1930" s="10">
        <v>5.5</v>
      </c>
      <c r="J1930" s="10">
        <f>SUM(B1930:I1930)</f>
        <v>48.906</v>
      </c>
      <c r="K1930">
        <v>2019</v>
      </c>
      <c r="L1930">
        <v>4</v>
      </c>
      <c r="M1930" s="11">
        <v>43556</v>
      </c>
      <c r="N1930" t="s">
        <v>2176</v>
      </c>
      <c r="O1930">
        <v>7</v>
      </c>
      <c r="P1930" t="s">
        <v>59</v>
      </c>
      <c r="Q1930" t="b">
        <v>1</v>
      </c>
    </row>
    <row r="1931" spans="1:17">
      <c r="A1931" s="12">
        <v>43570</v>
      </c>
      <c r="B1931" s="10">
        <v>4.66</v>
      </c>
      <c r="C1931" s="10">
        <v>6</v>
      </c>
      <c r="D1931" s="10">
        <v>5.3</v>
      </c>
      <c r="E1931" s="10">
        <v>8.800000000000001</v>
      </c>
      <c r="F1931" s="10">
        <v>17</v>
      </c>
      <c r="G1931" s="10">
        <v>2</v>
      </c>
      <c r="H1931" s="10">
        <v>3</v>
      </c>
      <c r="I1931" s="10">
        <v>5</v>
      </c>
      <c r="J1931" s="10">
        <f>SUM(B1931:I1931)</f>
        <v>51.760000000000005</v>
      </c>
      <c r="K1931">
        <v>2019</v>
      </c>
      <c r="L1931">
        <v>4</v>
      </c>
      <c r="M1931" s="11">
        <v>43556</v>
      </c>
      <c r="N1931" t="s">
        <v>2176</v>
      </c>
      <c r="O1931">
        <v>1</v>
      </c>
      <c r="P1931" t="s">
        <v>61</v>
      </c>
      <c r="Q1931" t="b">
        <v>1</v>
      </c>
    </row>
    <row r="1932" spans="1:17">
      <c r="A1932" s="12">
        <v>43571</v>
      </c>
      <c r="B1932" s="10">
        <v>2</v>
      </c>
      <c r="C1932" s="10">
        <v>2.67</v>
      </c>
      <c r="D1932" s="10">
        <v>2</v>
      </c>
      <c r="E1932" s="10">
        <v>27.2</v>
      </c>
      <c r="F1932" s="10">
        <v>12</v>
      </c>
      <c r="G1932" s="10">
        <v>3</v>
      </c>
      <c r="H1932" s="10">
        <v>1</v>
      </c>
      <c r="I1932" s="10">
        <v>3</v>
      </c>
      <c r="J1932" s="10">
        <f>SUM(B1932:I1932)</f>
        <v>52.87</v>
      </c>
      <c r="K1932">
        <v>2019</v>
      </c>
      <c r="L1932">
        <v>4</v>
      </c>
      <c r="M1932" s="11">
        <v>43556</v>
      </c>
      <c r="N1932" t="s">
        <v>2176</v>
      </c>
      <c r="O1932">
        <v>2</v>
      </c>
      <c r="P1932" t="s">
        <v>63</v>
      </c>
      <c r="Q1932" t="b">
        <v>1</v>
      </c>
    </row>
    <row r="1933" spans="1:17">
      <c r="A1933" s="12">
        <v>43572</v>
      </c>
      <c r="B1933" s="10">
        <v>7</v>
      </c>
      <c r="C1933" s="10">
        <v>4</v>
      </c>
      <c r="D1933" s="10">
        <v>1.25</v>
      </c>
      <c r="E1933" s="10">
        <v>13.5</v>
      </c>
      <c r="F1933" s="10">
        <v>11</v>
      </c>
      <c r="G1933" s="10">
        <v>1</v>
      </c>
      <c r="H1933" s="10">
        <v>24</v>
      </c>
      <c r="I1933" s="10">
        <v>5</v>
      </c>
      <c r="J1933" s="10">
        <f>SUM(B1933:I1933)</f>
        <v>66.75</v>
      </c>
      <c r="K1933">
        <v>2019</v>
      </c>
      <c r="L1933">
        <v>4</v>
      </c>
      <c r="M1933" s="11">
        <v>43556</v>
      </c>
      <c r="N1933" t="s">
        <v>2176</v>
      </c>
      <c r="O1933">
        <v>3</v>
      </c>
      <c r="P1933" t="s">
        <v>65</v>
      </c>
      <c r="Q1933" t="b">
        <v>1</v>
      </c>
    </row>
    <row r="1934" spans="1:17">
      <c r="A1934" s="12">
        <v>43573</v>
      </c>
      <c r="B1934" s="10">
        <v>0</v>
      </c>
      <c r="C1934" s="10">
        <v>0</v>
      </c>
      <c r="D1934" s="10">
        <v>0</v>
      </c>
      <c r="E1934" s="10">
        <v>0</v>
      </c>
      <c r="F1934" s="10">
        <v>0</v>
      </c>
      <c r="G1934" s="10">
        <v>0</v>
      </c>
      <c r="H1934" s="10">
        <v>0</v>
      </c>
      <c r="I1934" s="10">
        <v>0</v>
      </c>
      <c r="J1934" s="10">
        <f>SUM(B1934:I1934)</f>
        <v>0.0</v>
      </c>
      <c r="K1934">
        <v>2019</v>
      </c>
      <c r="L1934">
        <v>4</v>
      </c>
      <c r="M1934" s="11">
        <v>43556</v>
      </c>
      <c r="N1934" t="s">
        <v>2176</v>
      </c>
      <c r="O1934">
        <v>4</v>
      </c>
      <c r="P1934" t="s">
        <v>53</v>
      </c>
      <c r="Q1934" t="b">
        <v>1</v>
      </c>
    </row>
    <row r="1935" spans="1:17">
      <c r="A1935" s="12">
        <v>43574</v>
      </c>
      <c r="B1935" s="10">
        <v>3.34</v>
      </c>
      <c r="C1935" s="10">
        <v>2.743</v>
      </c>
      <c r="D1935" s="10">
        <v>1.5</v>
      </c>
      <c r="E1935" s="10">
        <v>25</v>
      </c>
      <c r="F1935" s="10">
        <v>17</v>
      </c>
      <c r="G1935" s="10">
        <v>0</v>
      </c>
      <c r="H1935" s="10">
        <v>6</v>
      </c>
      <c r="I1935" s="10">
        <v>2</v>
      </c>
      <c r="J1935" s="10">
        <f>SUM(B1935:I1935)</f>
        <v>57.583</v>
      </c>
      <c r="K1935">
        <v>2019</v>
      </c>
      <c r="L1935">
        <v>4</v>
      </c>
      <c r="M1935" s="11">
        <v>43556</v>
      </c>
      <c r="N1935" t="s">
        <v>2176</v>
      </c>
      <c r="O1935">
        <v>5</v>
      </c>
      <c r="P1935" t="s">
        <v>55</v>
      </c>
      <c r="Q1935" t="b">
        <v>1</v>
      </c>
    </row>
    <row r="1936" spans="1:17">
      <c r="A1936" s="12">
        <v>43575</v>
      </c>
      <c r="B1936" s="10">
        <v>9</v>
      </c>
      <c r="C1936" s="10">
        <v>3.769</v>
      </c>
      <c r="D1936" s="10">
        <v>1.5</v>
      </c>
      <c r="E1936" s="10">
        <v>22.4</v>
      </c>
      <c r="F1936" s="10">
        <v>12</v>
      </c>
      <c r="G1936" s="10">
        <v>3</v>
      </c>
      <c r="H1936" s="10">
        <v>0</v>
      </c>
      <c r="I1936" s="10">
        <v>6</v>
      </c>
      <c r="J1936" s="10">
        <f>SUM(B1936:I1936)</f>
        <v>57.669</v>
      </c>
      <c r="K1936">
        <v>2019</v>
      </c>
      <c r="L1936">
        <v>4</v>
      </c>
      <c r="M1936" s="11">
        <v>43556</v>
      </c>
      <c r="N1936" t="s">
        <v>2176</v>
      </c>
      <c r="O1936">
        <v>6</v>
      </c>
      <c r="P1936" t="s">
        <v>57</v>
      </c>
      <c r="Q1936" t="b">
        <v>1</v>
      </c>
    </row>
    <row r="1937" spans="1:17">
      <c r="A1937" s="12">
        <v>43576</v>
      </c>
      <c r="B1937" s="10">
        <v>3.84</v>
      </c>
      <c r="C1937" s="10">
        <v>4.845</v>
      </c>
      <c r="D1937" s="10">
        <v>3</v>
      </c>
      <c r="E1937" s="10">
        <v>21</v>
      </c>
      <c r="F1937" s="10">
        <v>11</v>
      </c>
      <c r="G1937" s="10">
        <v>0</v>
      </c>
      <c r="H1937" s="10">
        <v>2</v>
      </c>
      <c r="I1937" s="10">
        <v>12.2</v>
      </c>
      <c r="J1937" s="10">
        <f>SUM(B1937:I1937)</f>
        <v>57.885000000000005</v>
      </c>
      <c r="K1937">
        <v>2019</v>
      </c>
      <c r="L1937">
        <v>4</v>
      </c>
      <c r="M1937" s="11">
        <v>43556</v>
      </c>
      <c r="N1937" t="s">
        <v>2176</v>
      </c>
      <c r="O1937">
        <v>7</v>
      </c>
      <c r="P1937" t="s">
        <v>59</v>
      </c>
      <c r="Q1937" t="b">
        <v>1</v>
      </c>
    </row>
    <row r="1938" spans="1:17">
      <c r="A1938" s="12">
        <v>43577</v>
      </c>
      <c r="B1938" s="10">
        <v>8.67</v>
      </c>
      <c r="C1938" s="10">
        <v>1.66</v>
      </c>
      <c r="D1938" s="10">
        <v>4.5</v>
      </c>
      <c r="E1938" s="10">
        <v>51</v>
      </c>
      <c r="F1938" s="10">
        <v>12</v>
      </c>
      <c r="G1938" s="10">
        <v>0</v>
      </c>
      <c r="H1938" s="10">
        <v>31</v>
      </c>
      <c r="I1938" s="10">
        <v>9</v>
      </c>
      <c r="J1938" s="10">
        <f>SUM(B1938:I1938)</f>
        <v>117.83</v>
      </c>
      <c r="K1938">
        <v>2019</v>
      </c>
      <c r="L1938">
        <v>4</v>
      </c>
      <c r="M1938" s="11">
        <v>43556</v>
      </c>
      <c r="N1938" t="s">
        <v>2176</v>
      </c>
      <c r="O1938">
        <v>1</v>
      </c>
      <c r="P1938" t="s">
        <v>61</v>
      </c>
      <c r="Q1938" t="b">
        <v>1</v>
      </c>
    </row>
    <row r="1939" spans="1:17">
      <c r="A1939" s="12">
        <v>43578</v>
      </c>
      <c r="B1939" s="10">
        <v>9</v>
      </c>
      <c r="C1939" s="10">
        <v>0.34</v>
      </c>
      <c r="D1939" s="10">
        <v>6.1</v>
      </c>
      <c r="E1939" s="10">
        <v>18.4</v>
      </c>
      <c r="F1939" s="10">
        <v>6</v>
      </c>
      <c r="G1939" s="10">
        <v>1</v>
      </c>
      <c r="H1939" s="10">
        <v>4</v>
      </c>
      <c r="I1939" s="10">
        <v>2</v>
      </c>
      <c r="J1939" s="10">
        <f>SUM(B1939:I1939)</f>
        <v>46.839999999999996</v>
      </c>
      <c r="K1939">
        <v>2019</v>
      </c>
      <c r="L1939">
        <v>4</v>
      </c>
      <c r="M1939" s="11">
        <v>43556</v>
      </c>
      <c r="N1939" t="s">
        <v>2176</v>
      </c>
      <c r="O1939">
        <v>2</v>
      </c>
      <c r="P1939" t="s">
        <v>63</v>
      </c>
      <c r="Q1939" t="b">
        <v>1</v>
      </c>
    </row>
    <row r="1940" spans="1:17">
      <c r="A1940" s="12">
        <v>43579</v>
      </c>
      <c r="B1940" s="10">
        <v>2.34</v>
      </c>
      <c r="C1940" s="10">
        <v>4.747</v>
      </c>
      <c r="D1940" s="10">
        <v>3</v>
      </c>
      <c r="E1940" s="10">
        <v>39.1</v>
      </c>
      <c r="F1940" s="10">
        <v>13</v>
      </c>
      <c r="G1940" s="10">
        <v>3</v>
      </c>
      <c r="H1940" s="10">
        <v>12</v>
      </c>
      <c r="I1940" s="10">
        <v>2</v>
      </c>
      <c r="J1940" s="10">
        <f>SUM(B1940:I1940)</f>
        <v>79.187</v>
      </c>
      <c r="K1940">
        <v>2019</v>
      </c>
      <c r="L1940">
        <v>4</v>
      </c>
      <c r="M1940" s="11">
        <v>43556</v>
      </c>
      <c r="N1940" t="s">
        <v>2176</v>
      </c>
      <c r="O1940">
        <v>3</v>
      </c>
      <c r="P1940" t="s">
        <v>65</v>
      </c>
      <c r="Q1940" t="b">
        <v>1</v>
      </c>
    </row>
    <row r="1941" spans="1:17">
      <c r="A1941" s="12">
        <v>43580</v>
      </c>
      <c r="B1941" s="10">
        <v>14.01</v>
      </c>
      <c r="C1941" s="10">
        <v>3.59</v>
      </c>
      <c r="D1941" s="10">
        <v>2</v>
      </c>
      <c r="E1941" s="10">
        <v>15</v>
      </c>
      <c r="F1941" s="10">
        <v>17</v>
      </c>
      <c r="G1941" s="10">
        <v>1</v>
      </c>
      <c r="H1941" s="10">
        <v>7</v>
      </c>
      <c r="I1941" s="10">
        <v>5.4</v>
      </c>
      <c r="J1941" s="10">
        <f>SUM(B1941:I1941)</f>
        <v>65.0</v>
      </c>
      <c r="K1941">
        <v>2019</v>
      </c>
      <c r="L1941">
        <v>4</v>
      </c>
      <c r="M1941" s="11">
        <v>43556</v>
      </c>
      <c r="N1941" t="s">
        <v>2176</v>
      </c>
      <c r="O1941">
        <v>4</v>
      </c>
      <c r="P1941" t="s">
        <v>53</v>
      </c>
      <c r="Q1941" t="b">
        <v>1</v>
      </c>
    </row>
    <row r="1942" spans="1:17">
      <c r="A1942" s="12">
        <v>43581</v>
      </c>
      <c r="B1942" s="10">
        <v>6.34</v>
      </c>
      <c r="C1942" s="10">
        <v>1.68</v>
      </c>
      <c r="D1942" s="10">
        <v>3.25</v>
      </c>
      <c r="E1942" s="10">
        <v>32.6</v>
      </c>
      <c r="F1942" s="10">
        <v>6</v>
      </c>
      <c r="G1942" s="10">
        <v>0</v>
      </c>
      <c r="H1942" s="10">
        <v>1</v>
      </c>
      <c r="I1942" s="10">
        <v>11</v>
      </c>
      <c r="J1942" s="10">
        <f>SUM(B1942:I1942)</f>
        <v>61.870000000000005</v>
      </c>
      <c r="K1942">
        <v>2019</v>
      </c>
      <c r="L1942">
        <v>4</v>
      </c>
      <c r="M1942" s="11">
        <v>43556</v>
      </c>
      <c r="N1942" t="s">
        <v>2176</v>
      </c>
      <c r="O1942">
        <v>5</v>
      </c>
      <c r="P1942" t="s">
        <v>55</v>
      </c>
      <c r="Q1942" t="b">
        <v>1</v>
      </c>
    </row>
    <row r="1943" spans="1:17">
      <c r="A1943" s="12">
        <v>43582</v>
      </c>
      <c r="B1943" s="10">
        <v>17.34</v>
      </c>
      <c r="C1943" s="10">
        <v>2.497</v>
      </c>
      <c r="D1943" s="10">
        <v>3.1</v>
      </c>
      <c r="E1943" s="10">
        <v>25.2</v>
      </c>
      <c r="F1943" s="10">
        <v>13</v>
      </c>
      <c r="G1943" s="10">
        <v>1</v>
      </c>
      <c r="H1943" s="10">
        <v>7</v>
      </c>
      <c r="I1943" s="10">
        <v>7</v>
      </c>
      <c r="J1943" s="10">
        <f>SUM(B1943:I1943)</f>
        <v>76.137</v>
      </c>
      <c r="K1943">
        <v>2019</v>
      </c>
      <c r="L1943">
        <v>4</v>
      </c>
      <c r="M1943" s="11">
        <v>43556</v>
      </c>
      <c r="N1943" t="s">
        <v>2176</v>
      </c>
      <c r="O1943">
        <v>6</v>
      </c>
      <c r="P1943" t="s">
        <v>57</v>
      </c>
      <c r="Q1943" t="b">
        <v>1</v>
      </c>
    </row>
    <row r="1944" spans="1:17">
      <c r="A1944" s="12">
        <v>43583</v>
      </c>
      <c r="B1944" s="10">
        <v>0</v>
      </c>
      <c r="C1944" s="10">
        <v>0</v>
      </c>
      <c r="D1944" s="10">
        <v>0</v>
      </c>
      <c r="E1944" s="10">
        <v>0</v>
      </c>
      <c r="F1944" s="10">
        <v>0</v>
      </c>
      <c r="G1944" s="10">
        <v>0</v>
      </c>
      <c r="H1944" s="10">
        <v>0</v>
      </c>
      <c r="I1944" s="10">
        <v>0</v>
      </c>
      <c r="J1944" s="10">
        <f>SUM(B1944:I1944)</f>
        <v>0.0</v>
      </c>
      <c r="K1944">
        <v>2019</v>
      </c>
      <c r="L1944">
        <v>4</v>
      </c>
      <c r="M1944" s="11">
        <v>43556</v>
      </c>
      <c r="N1944" t="s">
        <v>2176</v>
      </c>
      <c r="O1944">
        <v>7</v>
      </c>
      <c r="P1944" t="s">
        <v>59</v>
      </c>
      <c r="Q1944" t="b">
        <v>1</v>
      </c>
    </row>
    <row r="1945" spans="1:17">
      <c r="A1945" s="12">
        <v>43584</v>
      </c>
      <c r="B1945" s="10">
        <v>5.33</v>
      </c>
      <c r="C1945" s="10">
        <v>6.367</v>
      </c>
      <c r="D1945" s="10">
        <v>2.6</v>
      </c>
      <c r="E1945" s="10">
        <v>27.6</v>
      </c>
      <c r="F1945" s="10">
        <v>5</v>
      </c>
      <c r="G1945" s="10">
        <v>0</v>
      </c>
      <c r="H1945" s="10">
        <v>0</v>
      </c>
      <c r="I1945" s="10">
        <v>3</v>
      </c>
      <c r="J1945" s="10">
        <f>SUM(B1945:I1945)</f>
        <v>49.897</v>
      </c>
      <c r="K1945">
        <v>2019</v>
      </c>
      <c r="L1945">
        <v>4</v>
      </c>
      <c r="M1945" s="11">
        <v>43556</v>
      </c>
      <c r="N1945" t="s">
        <v>2176</v>
      </c>
      <c r="O1945">
        <v>1</v>
      </c>
      <c r="P1945" t="s">
        <v>61</v>
      </c>
      <c r="Q1945" t="b">
        <v>1</v>
      </c>
    </row>
    <row r="1946" spans="1:17">
      <c r="A1946" s="12">
        <v>43585</v>
      </c>
      <c r="B1946" s="10">
        <v>2</v>
      </c>
      <c r="C1946" s="10">
        <v>1.407</v>
      </c>
      <c r="D1946" s="10">
        <v>8</v>
      </c>
      <c r="E1946" s="10">
        <v>22</v>
      </c>
      <c r="F1946" s="10">
        <v>13</v>
      </c>
      <c r="G1946" s="10">
        <v>2</v>
      </c>
      <c r="H1946" s="10">
        <v>28</v>
      </c>
      <c r="I1946" s="10">
        <v>8.4</v>
      </c>
      <c r="J1946" s="10">
        <f>SUM(B1946:I1946)</f>
        <v>84.807</v>
      </c>
      <c r="K1946">
        <v>2019</v>
      </c>
      <c r="L1946">
        <v>4</v>
      </c>
      <c r="M1946" s="11">
        <v>43556</v>
      </c>
      <c r="N1946" t="s">
        <v>2176</v>
      </c>
      <c r="O1946">
        <v>2</v>
      </c>
      <c r="P1946" t="s">
        <v>63</v>
      </c>
      <c r="Q1946" t="b">
        <v>1</v>
      </c>
    </row>
    <row r="1947" spans="1:17">
      <c r="A1947" s="12">
        <v>43586</v>
      </c>
      <c r="B1947" s="10">
        <v>2.34</v>
      </c>
      <c r="C1947" s="10">
        <v>4.02</v>
      </c>
      <c r="D1947" s="10">
        <v>1</v>
      </c>
      <c r="E1947" s="10">
        <v>8</v>
      </c>
      <c r="F1947" s="10">
        <v>1</v>
      </c>
      <c r="G1947" s="10">
        <v>0</v>
      </c>
      <c r="H1947" s="10">
        <v>1</v>
      </c>
      <c r="I1947" s="10">
        <v>3</v>
      </c>
      <c r="J1947" s="10">
        <f>SUM(B1947:I1947)</f>
        <v>20.36</v>
      </c>
      <c r="K1947">
        <v>2019</v>
      </c>
      <c r="L1947">
        <v>5</v>
      </c>
      <c r="M1947" s="11">
        <v>43586</v>
      </c>
      <c r="N1947" t="s">
        <v>2177</v>
      </c>
      <c r="O1947">
        <v>3</v>
      </c>
      <c r="P1947" t="s">
        <v>65</v>
      </c>
      <c r="Q1947" t="b">
        <v>1</v>
      </c>
    </row>
    <row r="1948" spans="1:17">
      <c r="A1948" s="12">
        <v>43587</v>
      </c>
      <c r="B1948" s="10">
        <v>1.68</v>
      </c>
      <c r="C1948" s="10">
        <v>5.429</v>
      </c>
      <c r="D1948" s="10">
        <v>5.5</v>
      </c>
      <c r="E1948" s="10">
        <v>20</v>
      </c>
      <c r="F1948" s="10">
        <v>15</v>
      </c>
      <c r="G1948" s="10">
        <v>1</v>
      </c>
      <c r="H1948" s="10">
        <v>3</v>
      </c>
      <c r="I1948" s="10">
        <v>9</v>
      </c>
      <c r="J1948" s="10">
        <f>SUM(B1948:I1948)</f>
        <v>60.609</v>
      </c>
      <c r="K1948">
        <v>2019</v>
      </c>
      <c r="L1948">
        <v>5</v>
      </c>
      <c r="M1948" s="11">
        <v>43586</v>
      </c>
      <c r="N1948" t="s">
        <v>2177</v>
      </c>
      <c r="O1948">
        <v>4</v>
      </c>
      <c r="P1948" t="s">
        <v>53</v>
      </c>
      <c r="Q1948" t="b">
        <v>1</v>
      </c>
    </row>
    <row r="1949" spans="1:17">
      <c r="A1949" s="12">
        <v>43588</v>
      </c>
      <c r="B1949" s="10">
        <v>4.01</v>
      </c>
      <c r="C1949" s="10">
        <v>2.34</v>
      </c>
      <c r="D1949" s="10">
        <v>3</v>
      </c>
      <c r="E1949" s="10">
        <v>24</v>
      </c>
      <c r="F1949" s="10">
        <v>11</v>
      </c>
      <c r="G1949" s="10">
        <v>3</v>
      </c>
      <c r="H1949" s="10">
        <v>16</v>
      </c>
      <c r="I1949" s="10">
        <v>8</v>
      </c>
      <c r="J1949" s="10">
        <f>SUM(B1949:I1949)</f>
        <v>71.35</v>
      </c>
      <c r="K1949">
        <v>2019</v>
      </c>
      <c r="L1949">
        <v>5</v>
      </c>
      <c r="M1949" s="11">
        <v>43586</v>
      </c>
      <c r="N1949" t="s">
        <v>2177</v>
      </c>
      <c r="O1949">
        <v>5</v>
      </c>
      <c r="P1949" t="s">
        <v>55</v>
      </c>
      <c r="Q1949" t="b">
        <v>1</v>
      </c>
    </row>
    <row r="1950" spans="1:17">
      <c r="A1950" s="12">
        <v>43589</v>
      </c>
      <c r="B1950" s="10">
        <v>9</v>
      </c>
      <c r="C1950" s="10">
        <v>5.43</v>
      </c>
      <c r="D1950" s="10">
        <v>4.25</v>
      </c>
      <c r="E1950" s="10">
        <v>25</v>
      </c>
      <c r="F1950" s="10">
        <v>5</v>
      </c>
      <c r="G1950" s="10">
        <v>1</v>
      </c>
      <c r="H1950" s="10">
        <v>16</v>
      </c>
      <c r="I1950" s="10">
        <v>9</v>
      </c>
      <c r="J1950" s="10">
        <f>SUM(B1950:I1950)</f>
        <v>74.68</v>
      </c>
      <c r="K1950">
        <v>2019</v>
      </c>
      <c r="L1950">
        <v>5</v>
      </c>
      <c r="M1950" s="11">
        <v>43586</v>
      </c>
      <c r="N1950" t="s">
        <v>2177</v>
      </c>
      <c r="O1950">
        <v>6</v>
      </c>
      <c r="P1950" t="s">
        <v>57</v>
      </c>
      <c r="Q1950" t="b">
        <v>1</v>
      </c>
    </row>
    <row r="1951" spans="1:17">
      <c r="A1951" s="12">
        <v>43590</v>
      </c>
      <c r="B1951" s="10">
        <v>7</v>
      </c>
      <c r="C1951" s="10">
        <v>2.42</v>
      </c>
      <c r="D1951" s="10">
        <v>4.2</v>
      </c>
      <c r="E1951" s="10">
        <v>31</v>
      </c>
      <c r="F1951" s="10">
        <v>2</v>
      </c>
      <c r="G1951" s="10">
        <v>0</v>
      </c>
      <c r="H1951" s="10">
        <v>0</v>
      </c>
      <c r="I1951" s="10">
        <v>5</v>
      </c>
      <c r="J1951" s="10">
        <f>SUM(B1951:I1951)</f>
        <v>51.620000000000005</v>
      </c>
      <c r="K1951">
        <v>2019</v>
      </c>
      <c r="L1951">
        <v>5</v>
      </c>
      <c r="M1951" s="11">
        <v>43586</v>
      </c>
      <c r="N1951" t="s">
        <v>2177</v>
      </c>
      <c r="O1951">
        <v>7</v>
      </c>
      <c r="P1951" t="s">
        <v>59</v>
      </c>
      <c r="Q1951" t="b">
        <v>1</v>
      </c>
    </row>
    <row r="1952" spans="1:17">
      <c r="A1952" s="12">
        <v>43591</v>
      </c>
      <c r="B1952" s="10">
        <v>4.68</v>
      </c>
      <c r="C1952" s="10">
        <v>0.066</v>
      </c>
      <c r="D1952" s="10">
        <v>2</v>
      </c>
      <c r="E1952" s="10">
        <v>23</v>
      </c>
      <c r="F1952" s="10">
        <v>11</v>
      </c>
      <c r="G1952" s="10">
        <v>2</v>
      </c>
      <c r="H1952" s="10">
        <v>9</v>
      </c>
      <c r="I1952" s="10">
        <v>3</v>
      </c>
      <c r="J1952" s="10">
        <f>SUM(B1952:I1952)</f>
        <v>54.745999999999995</v>
      </c>
      <c r="K1952">
        <v>2019</v>
      </c>
      <c r="L1952">
        <v>5</v>
      </c>
      <c r="M1952" s="11">
        <v>43586</v>
      </c>
      <c r="N1952" t="s">
        <v>2177</v>
      </c>
      <c r="O1952">
        <v>1</v>
      </c>
      <c r="P1952" t="s">
        <v>61</v>
      </c>
      <c r="Q1952" t="b">
        <v>1</v>
      </c>
    </row>
    <row r="1953" spans="1:17">
      <c r="A1953" s="12">
        <v>43592</v>
      </c>
      <c r="B1953" s="10">
        <v>2.66</v>
      </c>
      <c r="C1953" s="10">
        <v>5.519</v>
      </c>
      <c r="D1953" s="10">
        <v>1</v>
      </c>
      <c r="E1953" s="10">
        <v>33.4</v>
      </c>
      <c r="F1953" s="10">
        <v>19</v>
      </c>
      <c r="G1953" s="10">
        <v>0</v>
      </c>
      <c r="H1953" s="10">
        <v>6</v>
      </c>
      <c r="I1953" s="10">
        <v>5</v>
      </c>
      <c r="J1953" s="10">
        <f>SUM(B1953:I1953)</f>
        <v>72.57900000000001</v>
      </c>
      <c r="K1953">
        <v>2019</v>
      </c>
      <c r="L1953">
        <v>5</v>
      </c>
      <c r="M1953" s="11">
        <v>43586</v>
      </c>
      <c r="N1953" t="s">
        <v>2177</v>
      </c>
      <c r="O1953">
        <v>2</v>
      </c>
      <c r="P1953" t="s">
        <v>63</v>
      </c>
      <c r="Q1953" t="b">
        <v>1</v>
      </c>
    </row>
    <row r="1954" spans="1:17">
      <c r="A1954" s="12">
        <v>43593</v>
      </c>
      <c r="B1954" s="10">
        <v>9</v>
      </c>
      <c r="C1954" s="10">
        <v>4.033</v>
      </c>
      <c r="D1954" s="10">
        <v>3</v>
      </c>
      <c r="E1954" s="10">
        <v>13</v>
      </c>
      <c r="F1954" s="10">
        <v>15</v>
      </c>
      <c r="G1954" s="10">
        <v>2</v>
      </c>
      <c r="H1954" s="10">
        <v>20</v>
      </c>
      <c r="I1954" s="10">
        <v>0</v>
      </c>
      <c r="J1954" s="10">
        <f>SUM(B1954:I1954)</f>
        <v>66.033</v>
      </c>
      <c r="K1954">
        <v>2019</v>
      </c>
      <c r="L1954">
        <v>5</v>
      </c>
      <c r="M1954" s="11">
        <v>43586</v>
      </c>
      <c r="N1954" t="s">
        <v>2177</v>
      </c>
      <c r="O1954">
        <v>3</v>
      </c>
      <c r="P1954" t="s">
        <v>65</v>
      </c>
      <c r="Q1954" t="b">
        <v>1</v>
      </c>
    </row>
    <row r="1955" spans="1:17">
      <c r="A1955" s="12">
        <v>43594</v>
      </c>
      <c r="B1955" s="10">
        <v>5</v>
      </c>
      <c r="C1955" s="10">
        <v>2.33</v>
      </c>
      <c r="D1955" s="10">
        <v>2.1</v>
      </c>
      <c r="E1955" s="10">
        <v>12.5</v>
      </c>
      <c r="F1955" s="10">
        <v>10</v>
      </c>
      <c r="G1955" s="10">
        <v>1</v>
      </c>
      <c r="H1955" s="10">
        <v>31</v>
      </c>
      <c r="I1955" s="10">
        <v>4</v>
      </c>
      <c r="J1955" s="10">
        <f>SUM(B1955:I1955)</f>
        <v>67.93</v>
      </c>
      <c r="K1955">
        <v>2019</v>
      </c>
      <c r="L1955">
        <v>5</v>
      </c>
      <c r="M1955" s="11">
        <v>43586</v>
      </c>
      <c r="N1955" t="s">
        <v>2177</v>
      </c>
      <c r="O1955">
        <v>4</v>
      </c>
      <c r="P1955" t="s">
        <v>53</v>
      </c>
      <c r="Q1955" t="b">
        <v>1</v>
      </c>
    </row>
    <row r="1956" spans="1:17">
      <c r="A1956" s="12">
        <v>43595</v>
      </c>
      <c r="B1956" s="10">
        <v>5</v>
      </c>
      <c r="C1956" s="10">
        <v>1.34</v>
      </c>
      <c r="D1956" s="10">
        <v>5.5</v>
      </c>
      <c r="E1956" s="10">
        <v>11.6</v>
      </c>
      <c r="F1956" s="10">
        <v>13</v>
      </c>
      <c r="G1956" s="10">
        <v>2</v>
      </c>
      <c r="H1956" s="10">
        <v>26</v>
      </c>
      <c r="I1956" s="10">
        <v>2</v>
      </c>
      <c r="J1956" s="10">
        <f>SUM(B1956:I1956)</f>
        <v>66.44</v>
      </c>
      <c r="K1956">
        <v>2019</v>
      </c>
      <c r="L1956">
        <v>5</v>
      </c>
      <c r="M1956" s="11">
        <v>43586</v>
      </c>
      <c r="N1956" t="s">
        <v>2177</v>
      </c>
      <c r="O1956">
        <v>5</v>
      </c>
      <c r="P1956" t="s">
        <v>55</v>
      </c>
      <c r="Q1956" t="b">
        <v>1</v>
      </c>
    </row>
    <row r="1957" spans="1:17">
      <c r="A1957" s="12">
        <v>43596</v>
      </c>
      <c r="B1957" s="10">
        <v>5.34</v>
      </c>
      <c r="C1957" s="10">
        <v>5</v>
      </c>
      <c r="D1957" s="10">
        <v>5.5</v>
      </c>
      <c r="E1957" s="10">
        <v>16.8</v>
      </c>
      <c r="F1957" s="10">
        <v>9</v>
      </c>
      <c r="G1957" s="10">
        <v>0</v>
      </c>
      <c r="H1957" s="10">
        <v>12</v>
      </c>
      <c r="I1957" s="10">
        <v>5</v>
      </c>
      <c r="J1957" s="10">
        <f>SUM(B1957:I1957)</f>
        <v>58.64</v>
      </c>
      <c r="K1957">
        <v>2019</v>
      </c>
      <c r="L1957">
        <v>5</v>
      </c>
      <c r="M1957" s="11">
        <v>43586</v>
      </c>
      <c r="N1957" t="s">
        <v>2177</v>
      </c>
      <c r="O1957">
        <v>6</v>
      </c>
      <c r="P1957" t="s">
        <v>57</v>
      </c>
      <c r="Q1957" t="b">
        <v>1</v>
      </c>
    </row>
    <row r="1958" spans="1:17">
      <c r="A1958" s="12">
        <v>43597</v>
      </c>
      <c r="B1958" s="10">
        <v>4.67</v>
      </c>
      <c r="C1958" s="10">
        <v>1.68</v>
      </c>
      <c r="D1958" s="10">
        <v>3.1</v>
      </c>
      <c r="E1958" s="10">
        <v>38.8</v>
      </c>
      <c r="F1958" s="10">
        <v>2</v>
      </c>
      <c r="G1958" s="10">
        <v>1</v>
      </c>
      <c r="H1958" s="10">
        <v>19</v>
      </c>
      <c r="I1958" s="10">
        <v>5</v>
      </c>
      <c r="J1958" s="10">
        <f>SUM(B1958:I1958)</f>
        <v>75.25</v>
      </c>
      <c r="K1958">
        <v>2019</v>
      </c>
      <c r="L1958">
        <v>5</v>
      </c>
      <c r="M1958" s="11">
        <v>43586</v>
      </c>
      <c r="N1958" t="s">
        <v>2177</v>
      </c>
      <c r="O1958">
        <v>7</v>
      </c>
      <c r="P1958" t="s">
        <v>59</v>
      </c>
      <c r="Q1958" t="b">
        <v>1</v>
      </c>
    </row>
    <row r="1959" spans="1:17">
      <c r="A1959" s="12">
        <v>43598</v>
      </c>
      <c r="B1959" s="10">
        <v>5</v>
      </c>
      <c r="C1959" s="10">
        <v>4.527</v>
      </c>
      <c r="D1959" s="10">
        <v>2</v>
      </c>
      <c r="E1959" s="10">
        <v>26.2</v>
      </c>
      <c r="F1959" s="10">
        <v>11</v>
      </c>
      <c r="G1959" s="10">
        <v>0</v>
      </c>
      <c r="H1959" s="10">
        <v>11</v>
      </c>
      <c r="I1959" s="10">
        <v>3</v>
      </c>
      <c r="J1959" s="10">
        <f>SUM(B1959:I1959)</f>
        <v>62.727000000000004</v>
      </c>
      <c r="K1959">
        <v>2019</v>
      </c>
      <c r="L1959">
        <v>5</v>
      </c>
      <c r="M1959" s="11">
        <v>43586</v>
      </c>
      <c r="N1959" t="s">
        <v>2177</v>
      </c>
      <c r="O1959">
        <v>1</v>
      </c>
      <c r="P1959" t="s">
        <v>61</v>
      </c>
      <c r="Q1959" t="b">
        <v>1</v>
      </c>
    </row>
    <row r="1960" spans="1:17">
      <c r="A1960" s="12">
        <v>43599</v>
      </c>
      <c r="B1960" s="10">
        <v>6.67</v>
      </c>
      <c r="C1960" s="10">
        <v>4.363</v>
      </c>
      <c r="D1960" s="10">
        <v>4</v>
      </c>
      <c r="E1960" s="10">
        <v>25</v>
      </c>
      <c r="F1960" s="10">
        <v>5</v>
      </c>
      <c r="G1960" s="10">
        <v>0</v>
      </c>
      <c r="H1960" s="10">
        <v>11</v>
      </c>
      <c r="I1960" s="10">
        <v>3</v>
      </c>
      <c r="J1960" s="10">
        <f>SUM(B1960:I1960)</f>
        <v>59.033</v>
      </c>
      <c r="K1960">
        <v>2019</v>
      </c>
      <c r="L1960">
        <v>5</v>
      </c>
      <c r="M1960" s="11">
        <v>43586</v>
      </c>
      <c r="N1960" t="s">
        <v>2177</v>
      </c>
      <c r="O1960">
        <v>2</v>
      </c>
      <c r="P1960" t="s">
        <v>63</v>
      </c>
      <c r="Q1960" t="b">
        <v>1</v>
      </c>
    </row>
    <row r="1961" spans="1:17">
      <c r="A1961" s="12">
        <v>43600</v>
      </c>
      <c r="B1961" s="10">
        <v>4</v>
      </c>
      <c r="C1961" s="10">
        <v>1.066</v>
      </c>
      <c r="D1961" s="10">
        <v>4.15</v>
      </c>
      <c r="E1961" s="10">
        <v>28.4</v>
      </c>
      <c r="F1961" s="10">
        <v>7</v>
      </c>
      <c r="G1961" s="10">
        <v>0</v>
      </c>
      <c r="H1961" s="10">
        <v>5</v>
      </c>
      <c r="I1961" s="10">
        <v>3</v>
      </c>
      <c r="J1961" s="10">
        <f>SUM(B1961:I1961)</f>
        <v>52.616</v>
      </c>
      <c r="K1961">
        <v>2019</v>
      </c>
      <c r="L1961">
        <v>5</v>
      </c>
      <c r="M1961" s="11">
        <v>43586</v>
      </c>
      <c r="N1961" t="s">
        <v>2177</v>
      </c>
      <c r="O1961">
        <v>3</v>
      </c>
      <c r="P1961" t="s">
        <v>65</v>
      </c>
      <c r="Q1961" t="b">
        <v>1</v>
      </c>
    </row>
    <row r="1962" spans="1:17">
      <c r="A1962" s="12">
        <v>43601</v>
      </c>
      <c r="B1962" s="10">
        <v>5</v>
      </c>
      <c r="C1962" s="10">
        <v>1.067</v>
      </c>
      <c r="D1962" s="10">
        <v>2</v>
      </c>
      <c r="E1962" s="10">
        <v>12</v>
      </c>
      <c r="F1962" s="10">
        <v>9</v>
      </c>
      <c r="G1962" s="10">
        <v>1</v>
      </c>
      <c r="H1962" s="10">
        <v>16.29166667</v>
      </c>
      <c r="I1962" s="10">
        <v>5</v>
      </c>
      <c r="J1962" s="10">
        <f>SUM(B1962:I1962)</f>
        <v>51.358666670000005</v>
      </c>
      <c r="K1962">
        <v>2019</v>
      </c>
      <c r="L1962">
        <v>5</v>
      </c>
      <c r="M1962" s="11">
        <v>43586</v>
      </c>
      <c r="N1962" t="s">
        <v>2177</v>
      </c>
      <c r="O1962">
        <v>4</v>
      </c>
      <c r="P1962" t="s">
        <v>53</v>
      </c>
      <c r="Q1962" t="b">
        <v>1</v>
      </c>
    </row>
    <row r="1963" spans="1:17">
      <c r="A1963" s="12">
        <v>43602</v>
      </c>
      <c r="B1963" s="10">
        <v>2.66</v>
      </c>
      <c r="C1963" s="10">
        <v>1.66</v>
      </c>
      <c r="D1963" s="10">
        <v>2.4</v>
      </c>
      <c r="E1963" s="10">
        <v>28</v>
      </c>
      <c r="F1963" s="10">
        <v>18</v>
      </c>
      <c r="G1963" s="10">
        <v>2</v>
      </c>
      <c r="H1963" s="10">
        <v>4</v>
      </c>
      <c r="I1963" s="10">
        <v>2.2</v>
      </c>
      <c r="J1963" s="10">
        <f>SUM(B1963:I1963)</f>
        <v>60.92</v>
      </c>
      <c r="K1963">
        <v>2019</v>
      </c>
      <c r="L1963">
        <v>5</v>
      </c>
      <c r="M1963" s="11">
        <v>43586</v>
      </c>
      <c r="N1963" t="s">
        <v>2177</v>
      </c>
      <c r="O1963">
        <v>5</v>
      </c>
      <c r="P1963" t="s">
        <v>55</v>
      </c>
      <c r="Q1963" t="b">
        <v>1</v>
      </c>
    </row>
    <row r="1964" spans="1:17">
      <c r="A1964" s="12">
        <v>43603</v>
      </c>
      <c r="B1964" s="10">
        <v>10</v>
      </c>
      <c r="C1964" s="10">
        <v>0.34</v>
      </c>
      <c r="D1964" s="10">
        <v>5.1</v>
      </c>
      <c r="E1964" s="10">
        <v>14</v>
      </c>
      <c r="F1964" s="10">
        <v>9</v>
      </c>
      <c r="G1964" s="10">
        <v>2</v>
      </c>
      <c r="H1964" s="10">
        <v>5</v>
      </c>
      <c r="I1964" s="10">
        <v>3</v>
      </c>
      <c r="J1964" s="10">
        <f>SUM(B1964:I1964)</f>
        <v>48.44</v>
      </c>
      <c r="K1964">
        <v>2019</v>
      </c>
      <c r="L1964">
        <v>5</v>
      </c>
      <c r="M1964" s="11">
        <v>43586</v>
      </c>
      <c r="N1964" t="s">
        <v>2177</v>
      </c>
      <c r="O1964">
        <v>6</v>
      </c>
      <c r="P1964" t="s">
        <v>57</v>
      </c>
      <c r="Q1964" t="b">
        <v>1</v>
      </c>
    </row>
    <row r="1965" spans="1:17">
      <c r="A1965" s="12">
        <v>43604</v>
      </c>
      <c r="B1965" s="10">
        <v>6.67</v>
      </c>
      <c r="C1965" s="10">
        <v>5</v>
      </c>
      <c r="D1965" s="10">
        <v>4</v>
      </c>
      <c r="E1965" s="10">
        <v>26.4</v>
      </c>
      <c r="F1965" s="10">
        <v>9</v>
      </c>
      <c r="G1965" s="10">
        <v>0</v>
      </c>
      <c r="H1965" s="10">
        <v>9</v>
      </c>
      <c r="I1965" s="10">
        <v>4.2</v>
      </c>
      <c r="J1965" s="10">
        <f>SUM(B1965:I1965)</f>
        <v>64.27</v>
      </c>
      <c r="K1965">
        <v>2019</v>
      </c>
      <c r="L1965">
        <v>5</v>
      </c>
      <c r="M1965" s="11">
        <v>43586</v>
      </c>
      <c r="N1965" t="s">
        <v>2177</v>
      </c>
      <c r="O1965">
        <v>7</v>
      </c>
      <c r="P1965" t="s">
        <v>59</v>
      </c>
      <c r="Q1965" t="b">
        <v>1</v>
      </c>
    </row>
    <row r="1966" spans="1:17">
      <c r="A1966" s="12">
        <v>43605</v>
      </c>
      <c r="B1966" s="10">
        <v>3.67</v>
      </c>
      <c r="C1966" s="10">
        <v>6.396</v>
      </c>
      <c r="D1966" s="10">
        <v>5</v>
      </c>
      <c r="E1966" s="10">
        <v>21.3</v>
      </c>
      <c r="F1966" s="10">
        <v>11</v>
      </c>
      <c r="G1966" s="10">
        <v>4</v>
      </c>
      <c r="H1966" s="10">
        <v>13</v>
      </c>
      <c r="I1966" s="10">
        <v>5</v>
      </c>
      <c r="J1966" s="10">
        <f>SUM(B1966:I1966)</f>
        <v>69.366</v>
      </c>
      <c r="K1966">
        <v>2019</v>
      </c>
      <c r="L1966">
        <v>5</v>
      </c>
      <c r="M1966" s="11">
        <v>43586</v>
      </c>
      <c r="N1966" t="s">
        <v>2177</v>
      </c>
      <c r="O1966">
        <v>1</v>
      </c>
      <c r="P1966" t="s">
        <v>61</v>
      </c>
      <c r="Q1966" t="b">
        <v>1</v>
      </c>
    </row>
    <row r="1967" spans="1:17">
      <c r="A1967" s="12">
        <v>43606</v>
      </c>
      <c r="B1967" s="10">
        <v>5.34</v>
      </c>
      <c r="C1967" s="10">
        <v>4</v>
      </c>
      <c r="D1967" s="10">
        <v>5.1</v>
      </c>
      <c r="E1967" s="10">
        <v>17.6</v>
      </c>
      <c r="F1967" s="10">
        <v>12.2</v>
      </c>
      <c r="G1967" s="10">
        <v>0</v>
      </c>
      <c r="H1967" s="10">
        <v>1</v>
      </c>
      <c r="I1967" s="10">
        <v>7</v>
      </c>
      <c r="J1967" s="10">
        <f>SUM(B1967:I1967)</f>
        <v>52.239999999999995</v>
      </c>
      <c r="K1967">
        <v>2019</v>
      </c>
      <c r="L1967">
        <v>5</v>
      </c>
      <c r="M1967" s="11">
        <v>43586</v>
      </c>
      <c r="N1967" t="s">
        <v>2177</v>
      </c>
      <c r="O1967">
        <v>2</v>
      </c>
      <c r="P1967" t="s">
        <v>63</v>
      </c>
      <c r="Q1967" t="b">
        <v>1</v>
      </c>
    </row>
    <row r="1968" spans="1:17">
      <c r="A1968" s="12">
        <v>43607</v>
      </c>
      <c r="B1968" s="10">
        <v>8.16</v>
      </c>
      <c r="C1968" s="10">
        <v>2.836</v>
      </c>
      <c r="D1968" s="10">
        <v>3.15</v>
      </c>
      <c r="E1968" s="10">
        <v>28.2</v>
      </c>
      <c r="F1968" s="10">
        <v>8</v>
      </c>
      <c r="G1968" s="10">
        <v>0</v>
      </c>
      <c r="H1968" s="10">
        <v>9</v>
      </c>
      <c r="I1968" s="10">
        <v>5</v>
      </c>
      <c r="J1968" s="10">
        <f>SUM(B1968:I1968)</f>
        <v>64.346</v>
      </c>
      <c r="K1968">
        <v>2019</v>
      </c>
      <c r="L1968">
        <v>5</v>
      </c>
      <c r="M1968" s="11">
        <v>43586</v>
      </c>
      <c r="N1968" t="s">
        <v>2177</v>
      </c>
      <c r="O1968">
        <v>3</v>
      </c>
      <c r="P1968" t="s">
        <v>65</v>
      </c>
      <c r="Q1968" t="b">
        <v>1</v>
      </c>
    </row>
    <row r="1969" spans="1:17">
      <c r="A1969" s="12">
        <v>43608</v>
      </c>
      <c r="B1969" s="10">
        <v>2.33</v>
      </c>
      <c r="C1969" s="10">
        <v>3.34</v>
      </c>
      <c r="D1969" s="10">
        <v>2</v>
      </c>
      <c r="E1969" s="10">
        <v>26.1</v>
      </c>
      <c r="F1969" s="10">
        <v>4</v>
      </c>
      <c r="G1969" s="10">
        <v>0</v>
      </c>
      <c r="H1969" s="10">
        <v>10</v>
      </c>
      <c r="I1969" s="10">
        <v>6</v>
      </c>
      <c r="J1969" s="10">
        <f>SUM(B1969:I1969)</f>
        <v>53.77</v>
      </c>
      <c r="K1969">
        <v>2019</v>
      </c>
      <c r="L1969">
        <v>5</v>
      </c>
      <c r="M1969" s="11">
        <v>43586</v>
      </c>
      <c r="N1969" t="s">
        <v>2177</v>
      </c>
      <c r="O1969">
        <v>4</v>
      </c>
      <c r="P1969" t="s">
        <v>53</v>
      </c>
      <c r="Q1969" t="b">
        <v>1</v>
      </c>
    </row>
    <row r="1970" spans="1:17">
      <c r="A1970" s="12">
        <v>43609</v>
      </c>
      <c r="B1970" s="10">
        <v>5.34</v>
      </c>
      <c r="C1970" s="10">
        <v>3.703</v>
      </c>
      <c r="D1970" s="10">
        <v>3</v>
      </c>
      <c r="E1970" s="10">
        <v>36.2</v>
      </c>
      <c r="F1970" s="10">
        <v>8</v>
      </c>
      <c r="G1970" s="10">
        <v>1</v>
      </c>
      <c r="H1970" s="10">
        <v>5</v>
      </c>
      <c r="I1970" s="10">
        <v>3</v>
      </c>
      <c r="J1970" s="10">
        <f>SUM(B1970:I1970)</f>
        <v>65.243</v>
      </c>
      <c r="K1970">
        <v>2019</v>
      </c>
      <c r="L1970">
        <v>5</v>
      </c>
      <c r="M1970" s="11">
        <v>43586</v>
      </c>
      <c r="N1970" t="s">
        <v>2177</v>
      </c>
      <c r="O1970">
        <v>5</v>
      </c>
      <c r="P1970" t="s">
        <v>55</v>
      </c>
      <c r="Q1970" t="b">
        <v>1</v>
      </c>
    </row>
    <row r="1971" spans="1:17">
      <c r="A1971" s="12">
        <v>43610</v>
      </c>
      <c r="B1971" s="10">
        <v>11</v>
      </c>
      <c r="C1971" s="10">
        <v>3.34</v>
      </c>
      <c r="D1971" s="10">
        <v>4.1</v>
      </c>
      <c r="E1971" s="10">
        <v>35</v>
      </c>
      <c r="F1971" s="10">
        <v>4</v>
      </c>
      <c r="G1971" s="10">
        <v>0</v>
      </c>
      <c r="H1971" s="10">
        <v>16</v>
      </c>
      <c r="I1971" s="10">
        <v>2</v>
      </c>
      <c r="J1971" s="10">
        <f>SUM(B1971:I1971)</f>
        <v>75.44</v>
      </c>
      <c r="K1971">
        <v>2019</v>
      </c>
      <c r="L1971">
        <v>5</v>
      </c>
      <c r="M1971" s="11">
        <v>43586</v>
      </c>
      <c r="N1971" t="s">
        <v>2177</v>
      </c>
      <c r="O1971">
        <v>6</v>
      </c>
      <c r="P1971" t="s">
        <v>57</v>
      </c>
      <c r="Q1971" t="b">
        <v>1</v>
      </c>
    </row>
    <row r="1972" spans="1:17">
      <c r="A1972" s="12">
        <v>43611</v>
      </c>
      <c r="B1972" s="10">
        <v>6.33</v>
      </c>
      <c r="C1972" s="10">
        <v>5.31</v>
      </c>
      <c r="D1972" s="10">
        <v>2</v>
      </c>
      <c r="E1972" s="10">
        <v>30</v>
      </c>
      <c r="F1972" s="10">
        <v>2.6</v>
      </c>
      <c r="G1972" s="10">
        <v>0</v>
      </c>
      <c r="H1972" s="10">
        <v>11</v>
      </c>
      <c r="I1972" s="10">
        <v>6</v>
      </c>
      <c r="J1972" s="10">
        <f>SUM(B1972:I1972)</f>
        <v>63.24</v>
      </c>
      <c r="K1972">
        <v>2019</v>
      </c>
      <c r="L1972">
        <v>5</v>
      </c>
      <c r="M1972" s="11">
        <v>43586</v>
      </c>
      <c r="N1972" t="s">
        <v>2177</v>
      </c>
      <c r="O1972">
        <v>7</v>
      </c>
      <c r="P1972" t="s">
        <v>59</v>
      </c>
      <c r="Q1972" t="b">
        <v>1</v>
      </c>
    </row>
    <row r="1973" spans="1:17">
      <c r="A1973" s="12">
        <v>43612</v>
      </c>
      <c r="B1973" s="10">
        <v>4.67</v>
      </c>
      <c r="C1973" s="10">
        <v>0.67</v>
      </c>
      <c r="D1973" s="10">
        <v>1.2</v>
      </c>
      <c r="E1973" s="10">
        <v>19</v>
      </c>
      <c r="F1973" s="10">
        <v>8</v>
      </c>
      <c r="G1973" s="10">
        <v>0</v>
      </c>
      <c r="H1973" s="10">
        <v>0</v>
      </c>
      <c r="I1973" s="10">
        <v>2</v>
      </c>
      <c r="J1973" s="10">
        <f>SUM(B1973:I1973)</f>
        <v>35.54</v>
      </c>
      <c r="K1973">
        <v>2019</v>
      </c>
      <c r="L1973">
        <v>5</v>
      </c>
      <c r="M1973" s="11">
        <v>43586</v>
      </c>
      <c r="N1973" t="s">
        <v>2177</v>
      </c>
      <c r="O1973">
        <v>1</v>
      </c>
      <c r="P1973" t="s">
        <v>61</v>
      </c>
      <c r="Q1973" t="b">
        <v>1</v>
      </c>
    </row>
    <row r="1974" spans="1:17">
      <c r="A1974" s="12">
        <v>43613</v>
      </c>
      <c r="B1974" s="10">
        <v>4.33</v>
      </c>
      <c r="C1974" s="10">
        <v>3.99</v>
      </c>
      <c r="D1974" s="10">
        <v>6.3</v>
      </c>
      <c r="E1974" s="10">
        <v>18.2</v>
      </c>
      <c r="F1974" s="10">
        <v>10</v>
      </c>
      <c r="G1974" s="10">
        <v>2</v>
      </c>
      <c r="H1974" s="10">
        <v>5</v>
      </c>
      <c r="I1974" s="10">
        <v>6</v>
      </c>
      <c r="J1974" s="10">
        <f>SUM(B1974:I1974)</f>
        <v>55.82</v>
      </c>
      <c r="K1974">
        <v>2019</v>
      </c>
      <c r="L1974">
        <v>5</v>
      </c>
      <c r="M1974" s="11">
        <v>43586</v>
      </c>
      <c r="N1974" t="s">
        <v>2177</v>
      </c>
      <c r="O1974">
        <v>2</v>
      </c>
      <c r="P1974" t="s">
        <v>63</v>
      </c>
      <c r="Q1974" t="b">
        <v>1</v>
      </c>
    </row>
    <row r="1975" spans="1:17">
      <c r="A1975" s="12">
        <v>43614</v>
      </c>
      <c r="B1975" s="10">
        <v>5.5</v>
      </c>
      <c r="C1975" s="10">
        <v>2.34</v>
      </c>
      <c r="D1975" s="10">
        <v>4.05</v>
      </c>
      <c r="E1975" s="10">
        <v>15</v>
      </c>
      <c r="F1975" s="10">
        <v>10</v>
      </c>
      <c r="G1975" s="10">
        <v>1</v>
      </c>
      <c r="H1975" s="10">
        <v>0</v>
      </c>
      <c r="I1975" s="10">
        <v>3</v>
      </c>
      <c r="J1975" s="10">
        <f>SUM(B1975:I1975)</f>
        <v>40.89</v>
      </c>
      <c r="K1975">
        <v>2019</v>
      </c>
      <c r="L1975">
        <v>5</v>
      </c>
      <c r="M1975" s="11">
        <v>43586</v>
      </c>
      <c r="N1975" t="s">
        <v>2177</v>
      </c>
      <c r="O1975">
        <v>3</v>
      </c>
      <c r="P1975" t="s">
        <v>65</v>
      </c>
      <c r="Q1975" t="b">
        <v>1</v>
      </c>
    </row>
    <row r="1976" spans="1:17">
      <c r="A1976" s="12">
        <v>43615</v>
      </c>
      <c r="B1976" s="10">
        <v>5</v>
      </c>
      <c r="C1976" s="10">
        <v>0.34</v>
      </c>
      <c r="D1976" s="10">
        <v>3.4</v>
      </c>
      <c r="E1976" s="10">
        <v>17.2</v>
      </c>
      <c r="F1976" s="10">
        <v>5</v>
      </c>
      <c r="G1976" s="10">
        <v>0</v>
      </c>
      <c r="H1976" s="10">
        <v>6</v>
      </c>
      <c r="I1976" s="10">
        <v>4</v>
      </c>
      <c r="J1976" s="10">
        <f>SUM(B1976:I1976)</f>
        <v>40.94</v>
      </c>
      <c r="K1976">
        <v>2019</v>
      </c>
      <c r="L1976">
        <v>5</v>
      </c>
      <c r="M1976" s="11">
        <v>43586</v>
      </c>
      <c r="N1976" t="s">
        <v>2177</v>
      </c>
      <c r="O1976">
        <v>4</v>
      </c>
      <c r="P1976" t="s">
        <v>53</v>
      </c>
      <c r="Q1976" t="b">
        <v>1</v>
      </c>
    </row>
    <row r="1977" spans="1:17">
      <c r="A1977" s="12">
        <v>43616</v>
      </c>
      <c r="B1977" s="10">
        <v>5.99</v>
      </c>
      <c r="C1977" s="10">
        <v>3.363</v>
      </c>
      <c r="D1977" s="10">
        <v>1</v>
      </c>
      <c r="E1977" s="10">
        <v>22.662</v>
      </c>
      <c r="F1977" s="10">
        <v>2</v>
      </c>
      <c r="G1977" s="10">
        <v>0</v>
      </c>
      <c r="H1977" s="10">
        <v>2</v>
      </c>
      <c r="I1977" s="10">
        <v>5</v>
      </c>
      <c r="J1977" s="10">
        <f>SUM(B1977:I1977)</f>
        <v>42.015</v>
      </c>
      <c r="K1977">
        <v>2019</v>
      </c>
      <c r="L1977">
        <v>5</v>
      </c>
      <c r="M1977" s="11">
        <v>43586</v>
      </c>
      <c r="N1977" t="s">
        <v>2177</v>
      </c>
      <c r="O1977">
        <v>5</v>
      </c>
      <c r="P1977" t="s">
        <v>55</v>
      </c>
      <c r="Q1977" t="b">
        <v>1</v>
      </c>
    </row>
    <row r="1978" spans="1:17">
      <c r="A1978" s="12">
        <v>43617</v>
      </c>
      <c r="B1978" s="10">
        <v>3</v>
      </c>
      <c r="C1978" s="10">
        <v>1.34</v>
      </c>
      <c r="D1978" s="10">
        <v>6</v>
      </c>
      <c r="E1978" s="10">
        <v>21.4</v>
      </c>
      <c r="F1978" s="10">
        <v>1</v>
      </c>
      <c r="G1978" s="10">
        <v>0</v>
      </c>
      <c r="H1978" s="10">
        <v>8</v>
      </c>
      <c r="I1978" s="10">
        <v>4</v>
      </c>
      <c r="J1978" s="10">
        <f>SUM(B1978:I1978)</f>
        <v>44.739999999999995</v>
      </c>
      <c r="K1978">
        <v>2019</v>
      </c>
      <c r="L1978">
        <v>6</v>
      </c>
      <c r="M1978" s="11">
        <v>43617</v>
      </c>
      <c r="N1978" t="s">
        <v>2178</v>
      </c>
      <c r="O1978">
        <v>6</v>
      </c>
      <c r="P1978" t="s">
        <v>57</v>
      </c>
      <c r="Q1978" t="b">
        <v>1</v>
      </c>
    </row>
    <row r="1979" spans="1:17">
      <c r="A1979" s="12">
        <v>43618</v>
      </c>
      <c r="B1979" s="10">
        <v>4</v>
      </c>
      <c r="C1979" s="10">
        <v>2.66</v>
      </c>
      <c r="D1979" s="10">
        <v>3.05</v>
      </c>
      <c r="E1979" s="10">
        <v>28</v>
      </c>
      <c r="F1979" s="10">
        <v>4</v>
      </c>
      <c r="G1979" s="10">
        <v>1</v>
      </c>
      <c r="H1979" s="10">
        <v>6</v>
      </c>
      <c r="I1979" s="10">
        <v>4</v>
      </c>
      <c r="J1979" s="10">
        <f>SUM(B1979:I1979)</f>
        <v>52.71</v>
      </c>
      <c r="K1979">
        <v>2019</v>
      </c>
      <c r="L1979">
        <v>6</v>
      </c>
      <c r="M1979" s="11">
        <v>43617</v>
      </c>
      <c r="N1979" t="s">
        <v>2178</v>
      </c>
      <c r="O1979">
        <v>7</v>
      </c>
      <c r="P1979" t="s">
        <v>59</v>
      </c>
      <c r="Q1979" t="b">
        <v>1</v>
      </c>
    </row>
    <row r="1980" spans="1:17">
      <c r="A1980" s="12">
        <v>43619</v>
      </c>
      <c r="B1980" s="10">
        <v>0.33</v>
      </c>
      <c r="C1980" s="10">
        <v>2.505</v>
      </c>
      <c r="D1980" s="10">
        <v>4</v>
      </c>
      <c r="E1980" s="10">
        <v>15.4</v>
      </c>
      <c r="F1980" s="10">
        <v>4</v>
      </c>
      <c r="G1980" s="10">
        <v>0</v>
      </c>
      <c r="H1980" s="10">
        <v>5</v>
      </c>
      <c r="I1980" s="10">
        <v>10</v>
      </c>
      <c r="J1980" s="10">
        <f>SUM(B1980:I1980)</f>
        <v>41.235</v>
      </c>
      <c r="K1980">
        <v>2019</v>
      </c>
      <c r="L1980">
        <v>6</v>
      </c>
      <c r="M1980" s="11">
        <v>43617</v>
      </c>
      <c r="N1980" t="s">
        <v>2178</v>
      </c>
      <c r="O1980">
        <v>1</v>
      </c>
      <c r="P1980" t="s">
        <v>61</v>
      </c>
      <c r="Q1980" t="b">
        <v>1</v>
      </c>
    </row>
    <row r="1981" spans="1:17">
      <c r="A1981" s="12">
        <v>43620</v>
      </c>
      <c r="B1981" s="10">
        <v>6.34</v>
      </c>
      <c r="C1981" s="10">
        <v>2.823</v>
      </c>
      <c r="D1981" s="10">
        <v>5.35</v>
      </c>
      <c r="E1981" s="10">
        <v>28.2</v>
      </c>
      <c r="F1981" s="10">
        <v>9</v>
      </c>
      <c r="G1981" s="10">
        <v>1</v>
      </c>
      <c r="H1981" s="10">
        <v>12</v>
      </c>
      <c r="I1981" s="10">
        <v>5</v>
      </c>
      <c r="J1981" s="10">
        <f>SUM(B1981:I1981)</f>
        <v>69.713</v>
      </c>
      <c r="K1981">
        <v>2019</v>
      </c>
      <c r="L1981">
        <v>6</v>
      </c>
      <c r="M1981" s="11">
        <v>43617</v>
      </c>
      <c r="N1981" t="s">
        <v>2178</v>
      </c>
      <c r="O1981">
        <v>2</v>
      </c>
      <c r="P1981" t="s">
        <v>63</v>
      </c>
      <c r="Q1981" t="b">
        <v>1</v>
      </c>
    </row>
    <row r="1982" spans="1:17">
      <c r="A1982" s="12">
        <v>43621</v>
      </c>
      <c r="B1982" s="10">
        <v>5</v>
      </c>
      <c r="C1982" s="10">
        <v>1.77</v>
      </c>
      <c r="D1982" s="10">
        <v>2.1</v>
      </c>
      <c r="E1982" s="10">
        <v>26.1</v>
      </c>
      <c r="F1982" s="10">
        <v>7</v>
      </c>
      <c r="G1982" s="10">
        <v>0</v>
      </c>
      <c r="H1982" s="10">
        <v>1</v>
      </c>
      <c r="I1982" s="10">
        <v>2</v>
      </c>
      <c r="J1982" s="10">
        <f>SUM(B1982:I1982)</f>
        <v>44.97</v>
      </c>
      <c r="K1982">
        <v>2019</v>
      </c>
      <c r="L1982">
        <v>6</v>
      </c>
      <c r="M1982" s="11">
        <v>43617</v>
      </c>
      <c r="N1982" t="s">
        <v>2178</v>
      </c>
      <c r="O1982">
        <v>3</v>
      </c>
      <c r="P1982" t="s">
        <v>65</v>
      </c>
      <c r="Q1982" t="b">
        <v>1</v>
      </c>
    </row>
    <row r="1983" spans="1:17">
      <c r="A1983" s="12">
        <v>43622</v>
      </c>
      <c r="B1983" s="10">
        <v>7.67</v>
      </c>
      <c r="C1983" s="10">
        <v>2.076</v>
      </c>
      <c r="D1983" s="10">
        <v>6.35</v>
      </c>
      <c r="E1983" s="10">
        <v>27</v>
      </c>
      <c r="F1983" s="10">
        <v>7</v>
      </c>
      <c r="G1983" s="10">
        <v>2</v>
      </c>
      <c r="H1983" s="10">
        <v>11</v>
      </c>
      <c r="I1983" s="10">
        <v>4</v>
      </c>
      <c r="J1983" s="10">
        <f>SUM(B1983:I1983)</f>
        <v>67.096</v>
      </c>
      <c r="K1983">
        <v>2019</v>
      </c>
      <c r="L1983">
        <v>6</v>
      </c>
      <c r="M1983" s="11">
        <v>43617</v>
      </c>
      <c r="N1983" t="s">
        <v>2178</v>
      </c>
      <c r="O1983">
        <v>4</v>
      </c>
      <c r="P1983" t="s">
        <v>53</v>
      </c>
      <c r="Q1983" t="b">
        <v>1</v>
      </c>
    </row>
    <row r="1984" spans="1:17">
      <c r="A1984" s="12">
        <v>43623</v>
      </c>
      <c r="B1984" s="10">
        <v>6</v>
      </c>
      <c r="C1984" s="10">
        <v>2.67</v>
      </c>
      <c r="D1984" s="10">
        <v>2</v>
      </c>
      <c r="E1984" s="10">
        <v>22</v>
      </c>
      <c r="F1984" s="10">
        <v>6</v>
      </c>
      <c r="G1984" s="10">
        <v>0</v>
      </c>
      <c r="H1984" s="10">
        <v>16</v>
      </c>
      <c r="I1984" s="10">
        <v>0</v>
      </c>
      <c r="J1984" s="10">
        <f>SUM(B1984:I1984)</f>
        <v>54.67</v>
      </c>
      <c r="K1984">
        <v>2019</v>
      </c>
      <c r="L1984">
        <v>6</v>
      </c>
      <c r="M1984" s="11">
        <v>43617</v>
      </c>
      <c r="N1984" t="s">
        <v>2178</v>
      </c>
      <c r="O1984">
        <v>5</v>
      </c>
      <c r="P1984" t="s">
        <v>55</v>
      </c>
      <c r="Q1984" t="b">
        <v>1</v>
      </c>
    </row>
    <row r="1985" spans="1:17">
      <c r="A1985" s="12">
        <v>43624</v>
      </c>
      <c r="B1985" s="10">
        <v>3</v>
      </c>
      <c r="C1985" s="10">
        <v>3.66</v>
      </c>
      <c r="D1985" s="10">
        <v>1</v>
      </c>
      <c r="E1985" s="10">
        <v>22.4</v>
      </c>
      <c r="F1985" s="10">
        <v>12</v>
      </c>
      <c r="G1985" s="10">
        <v>0</v>
      </c>
      <c r="H1985" s="10">
        <v>0</v>
      </c>
      <c r="I1985" s="10">
        <v>2.1</v>
      </c>
      <c r="J1985" s="10">
        <f>SUM(B1985:I1985)</f>
        <v>44.160000000000004</v>
      </c>
      <c r="K1985">
        <v>2019</v>
      </c>
      <c r="L1985">
        <v>6</v>
      </c>
      <c r="M1985" s="11">
        <v>43617</v>
      </c>
      <c r="N1985" t="s">
        <v>2178</v>
      </c>
      <c r="O1985">
        <v>6</v>
      </c>
      <c r="P1985" t="s">
        <v>57</v>
      </c>
      <c r="Q1985" t="b">
        <v>1</v>
      </c>
    </row>
    <row r="1986" spans="1:17">
      <c r="A1986" s="12">
        <v>43625</v>
      </c>
      <c r="B1986" s="10">
        <v>9.33</v>
      </c>
      <c r="C1986" s="10">
        <v>1.033</v>
      </c>
      <c r="D1986" s="10">
        <v>8</v>
      </c>
      <c r="E1986" s="10">
        <v>16.5</v>
      </c>
      <c r="F1986" s="10">
        <v>7</v>
      </c>
      <c r="G1986" s="10">
        <v>4</v>
      </c>
      <c r="H1986" s="10">
        <v>0</v>
      </c>
      <c r="I1986" s="10">
        <v>5</v>
      </c>
      <c r="J1986" s="10">
        <f>SUM(B1986:I1986)</f>
        <v>50.863</v>
      </c>
      <c r="K1986">
        <v>2019</v>
      </c>
      <c r="L1986">
        <v>6</v>
      </c>
      <c r="M1986" s="11">
        <v>43617</v>
      </c>
      <c r="N1986" t="s">
        <v>2178</v>
      </c>
      <c r="O1986">
        <v>7</v>
      </c>
      <c r="P1986" t="s">
        <v>59</v>
      </c>
      <c r="Q1986" t="b">
        <v>1</v>
      </c>
    </row>
    <row r="1987" spans="1:17">
      <c r="A1987" s="12">
        <v>43626</v>
      </c>
      <c r="B1987" s="10">
        <v>3</v>
      </c>
      <c r="C1987" s="10">
        <v>1.34</v>
      </c>
      <c r="D1987" s="10">
        <v>2</v>
      </c>
      <c r="E1987" s="10">
        <v>15</v>
      </c>
      <c r="F1987" s="10">
        <v>7</v>
      </c>
      <c r="G1987" s="10">
        <v>0</v>
      </c>
      <c r="H1987" s="10">
        <v>6</v>
      </c>
      <c r="I1987" s="10">
        <v>12</v>
      </c>
      <c r="J1987" s="10">
        <f>SUM(B1987:I1987)</f>
        <v>46.34</v>
      </c>
      <c r="K1987">
        <v>2019</v>
      </c>
      <c r="L1987">
        <v>6</v>
      </c>
      <c r="M1987" s="11">
        <v>43617</v>
      </c>
      <c r="N1987" t="s">
        <v>2178</v>
      </c>
      <c r="O1987">
        <v>1</v>
      </c>
      <c r="P1987" t="s">
        <v>61</v>
      </c>
      <c r="Q1987" t="b">
        <v>1</v>
      </c>
    </row>
    <row r="1988" spans="1:17">
      <c r="A1988" s="12">
        <v>43627</v>
      </c>
      <c r="B1988" s="10">
        <v>11.34</v>
      </c>
      <c r="C1988" s="10">
        <v>3.33</v>
      </c>
      <c r="D1988" s="10">
        <v>10.5</v>
      </c>
      <c r="E1988" s="10">
        <v>25</v>
      </c>
      <c r="F1988" s="10">
        <v>9</v>
      </c>
      <c r="G1988" s="10">
        <v>0</v>
      </c>
      <c r="H1988" s="10">
        <v>7</v>
      </c>
      <c r="I1988" s="10">
        <v>6</v>
      </c>
      <c r="J1988" s="10">
        <f>SUM(B1988:I1988)</f>
        <v>72.17</v>
      </c>
      <c r="K1988">
        <v>2019</v>
      </c>
      <c r="L1988">
        <v>6</v>
      </c>
      <c r="M1988" s="11">
        <v>43617</v>
      </c>
      <c r="N1988" t="s">
        <v>2178</v>
      </c>
      <c r="O1988">
        <v>2</v>
      </c>
      <c r="P1988" t="s">
        <v>63</v>
      </c>
      <c r="Q1988" t="b">
        <v>1</v>
      </c>
    </row>
    <row r="1989" spans="1:17">
      <c r="A1989" s="12">
        <v>43628</v>
      </c>
      <c r="B1989" s="10">
        <v>8</v>
      </c>
      <c r="C1989" s="10">
        <v>3.406</v>
      </c>
      <c r="D1989" s="10">
        <v>1</v>
      </c>
      <c r="E1989" s="10">
        <v>16.2</v>
      </c>
      <c r="F1989" s="10">
        <v>11</v>
      </c>
      <c r="G1989" s="10">
        <v>0</v>
      </c>
      <c r="H1989" s="10">
        <v>1</v>
      </c>
      <c r="I1989" s="10">
        <v>7</v>
      </c>
      <c r="J1989" s="10">
        <f>SUM(B1989:I1989)</f>
        <v>47.606</v>
      </c>
      <c r="K1989">
        <v>2019</v>
      </c>
      <c r="L1989">
        <v>6</v>
      </c>
      <c r="M1989" s="11">
        <v>43617</v>
      </c>
      <c r="N1989" t="s">
        <v>2178</v>
      </c>
      <c r="O1989">
        <v>3</v>
      </c>
      <c r="P1989" t="s">
        <v>65</v>
      </c>
      <c r="Q1989" t="b">
        <v>1</v>
      </c>
    </row>
    <row r="1990" spans="1:17">
      <c r="A1990" s="12">
        <v>43629</v>
      </c>
      <c r="B1990" s="10">
        <v>0.68</v>
      </c>
      <c r="C1990" s="10">
        <v>3.02</v>
      </c>
      <c r="D1990" s="10">
        <v>0.25</v>
      </c>
      <c r="E1990" s="10">
        <v>19.4</v>
      </c>
      <c r="F1990" s="10">
        <v>2</v>
      </c>
      <c r="G1990" s="10">
        <v>0</v>
      </c>
      <c r="H1990" s="10">
        <v>2</v>
      </c>
      <c r="I1990" s="10">
        <v>9</v>
      </c>
      <c r="J1990" s="10">
        <f>SUM(B1990:I1990)</f>
        <v>36.349999999999994</v>
      </c>
      <c r="K1990">
        <v>2019</v>
      </c>
      <c r="L1990">
        <v>6</v>
      </c>
      <c r="M1990" s="11">
        <v>43617</v>
      </c>
      <c r="N1990" t="s">
        <v>2178</v>
      </c>
      <c r="O1990">
        <v>4</v>
      </c>
      <c r="P1990" t="s">
        <v>53</v>
      </c>
      <c r="Q1990" t="b">
        <v>1</v>
      </c>
    </row>
    <row r="1991" spans="1:17">
      <c r="A1991" s="12">
        <v>43630</v>
      </c>
      <c r="B1991" s="10">
        <v>3.18</v>
      </c>
      <c r="C1991" s="10">
        <v>3.35</v>
      </c>
      <c r="D1991" s="10">
        <v>3</v>
      </c>
      <c r="E1991" s="10">
        <v>15</v>
      </c>
      <c r="F1991" s="10">
        <v>2</v>
      </c>
      <c r="G1991" s="10">
        <v>1</v>
      </c>
      <c r="H1991" s="10">
        <v>0</v>
      </c>
      <c r="I1991" s="10">
        <v>6</v>
      </c>
      <c r="J1991" s="10">
        <f>SUM(B1991:I1991)</f>
        <v>33.53</v>
      </c>
      <c r="K1991">
        <v>2019</v>
      </c>
      <c r="L1991">
        <v>6</v>
      </c>
      <c r="M1991" s="11">
        <v>43617</v>
      </c>
      <c r="N1991" t="s">
        <v>2178</v>
      </c>
      <c r="O1991">
        <v>5</v>
      </c>
      <c r="P1991" t="s">
        <v>55</v>
      </c>
      <c r="Q1991" t="b">
        <v>1</v>
      </c>
    </row>
    <row r="1992" spans="1:17">
      <c r="A1992" s="12">
        <v>43631</v>
      </c>
      <c r="B1992" s="10">
        <v>7</v>
      </c>
      <c r="C1992" s="10">
        <v>3.463</v>
      </c>
      <c r="D1992" s="10">
        <v>5</v>
      </c>
      <c r="E1992" s="10">
        <v>15</v>
      </c>
      <c r="F1992" s="10">
        <v>13</v>
      </c>
      <c r="G1992" s="10">
        <v>0</v>
      </c>
      <c r="H1992" s="10">
        <v>7</v>
      </c>
      <c r="I1992" s="10">
        <v>8</v>
      </c>
      <c r="J1992" s="10">
        <f>SUM(B1992:I1992)</f>
        <v>58.463</v>
      </c>
      <c r="K1992">
        <v>2019</v>
      </c>
      <c r="L1992">
        <v>6</v>
      </c>
      <c r="M1992" s="11">
        <v>43617</v>
      </c>
      <c r="N1992" t="s">
        <v>2178</v>
      </c>
      <c r="O1992">
        <v>6</v>
      </c>
      <c r="P1992" t="s">
        <v>57</v>
      </c>
      <c r="Q1992" t="b">
        <v>1</v>
      </c>
    </row>
    <row r="1993" spans="1:17">
      <c r="A1993" s="12">
        <v>43632</v>
      </c>
      <c r="B1993" s="10">
        <v>4</v>
      </c>
      <c r="C1993" s="10">
        <v>5.35</v>
      </c>
      <c r="D1993" s="10">
        <v>3</v>
      </c>
      <c r="E1993" s="10">
        <v>18</v>
      </c>
      <c r="F1993" s="10">
        <v>2</v>
      </c>
      <c r="G1993" s="10">
        <v>0</v>
      </c>
      <c r="H1993" s="10">
        <v>0</v>
      </c>
      <c r="I1993" s="10">
        <v>9</v>
      </c>
      <c r="J1993" s="10">
        <f>SUM(B1993:I1993)</f>
        <v>41.35</v>
      </c>
      <c r="K1993">
        <v>2019</v>
      </c>
      <c r="L1993">
        <v>6</v>
      </c>
      <c r="M1993" s="11">
        <v>43617</v>
      </c>
      <c r="N1993" t="s">
        <v>2178</v>
      </c>
      <c r="O1993">
        <v>7</v>
      </c>
      <c r="P1993" t="s">
        <v>59</v>
      </c>
      <c r="Q1993" t="b">
        <v>1</v>
      </c>
    </row>
    <row r="1994" spans="1:17">
      <c r="A1994" s="12">
        <v>43633</v>
      </c>
      <c r="B1994" s="10">
        <v>6.66</v>
      </c>
      <c r="C1994" s="10">
        <v>4.66</v>
      </c>
      <c r="D1994" s="10">
        <v>3</v>
      </c>
      <c r="E1994" s="10">
        <v>18</v>
      </c>
      <c r="F1994" s="10">
        <v>6</v>
      </c>
      <c r="G1994" s="10">
        <v>0</v>
      </c>
      <c r="H1994" s="10">
        <v>2</v>
      </c>
      <c r="I1994" s="10">
        <v>2.34</v>
      </c>
      <c r="J1994" s="10">
        <f>SUM(B1994:I1994)</f>
        <v>42.66</v>
      </c>
      <c r="K1994">
        <v>2019</v>
      </c>
      <c r="L1994">
        <v>6</v>
      </c>
      <c r="M1994" s="11">
        <v>43617</v>
      </c>
      <c r="N1994" t="s">
        <v>2178</v>
      </c>
      <c r="O1994">
        <v>1</v>
      </c>
      <c r="P1994" t="s">
        <v>61</v>
      </c>
      <c r="Q1994" t="b">
        <v>1</v>
      </c>
    </row>
    <row r="1995" spans="1:17">
      <c r="A1995" s="12">
        <v>43634</v>
      </c>
      <c r="B1995" s="10">
        <v>5</v>
      </c>
      <c r="C1995" s="10">
        <v>4.21</v>
      </c>
      <c r="D1995" s="10">
        <v>3</v>
      </c>
      <c r="E1995" s="10">
        <v>29.5</v>
      </c>
      <c r="F1995" s="10">
        <v>8</v>
      </c>
      <c r="G1995" s="10">
        <v>0</v>
      </c>
      <c r="H1995" s="10">
        <v>2</v>
      </c>
      <c r="I1995" s="10">
        <v>12.1</v>
      </c>
      <c r="J1995" s="10">
        <f>SUM(B1995:I1995)</f>
        <v>63.81</v>
      </c>
      <c r="K1995">
        <v>2019</v>
      </c>
      <c r="L1995">
        <v>6</v>
      </c>
      <c r="M1995" s="11">
        <v>43617</v>
      </c>
      <c r="N1995" t="s">
        <v>2178</v>
      </c>
      <c r="O1995">
        <v>2</v>
      </c>
      <c r="P1995" t="s">
        <v>63</v>
      </c>
      <c r="Q1995" t="b">
        <v>1</v>
      </c>
    </row>
    <row r="1996" spans="1:17">
      <c r="A1996" s="12">
        <v>43635</v>
      </c>
      <c r="B1996" s="10">
        <v>3.67</v>
      </c>
      <c r="C1996" s="10">
        <v>3.033</v>
      </c>
      <c r="D1996" s="10">
        <v>3</v>
      </c>
      <c r="E1996" s="10">
        <v>18</v>
      </c>
      <c r="F1996" s="10">
        <v>6</v>
      </c>
      <c r="G1996" s="10">
        <v>1</v>
      </c>
      <c r="H1996" s="10">
        <v>2</v>
      </c>
      <c r="I1996" s="10">
        <v>5.5</v>
      </c>
      <c r="J1996" s="10">
        <f>SUM(B1996:I1996)</f>
        <v>42.203</v>
      </c>
      <c r="K1996">
        <v>2019</v>
      </c>
      <c r="L1996">
        <v>6</v>
      </c>
      <c r="M1996" s="11">
        <v>43617</v>
      </c>
      <c r="N1996" t="s">
        <v>2178</v>
      </c>
      <c r="O1996">
        <v>3</v>
      </c>
      <c r="P1996" t="s">
        <v>65</v>
      </c>
      <c r="Q1996" t="b">
        <v>1</v>
      </c>
    </row>
    <row r="1997" spans="1:17">
      <c r="A1997" s="12">
        <v>43636</v>
      </c>
      <c r="B1997" s="10">
        <v>5</v>
      </c>
      <c r="C1997" s="10">
        <v>4.363</v>
      </c>
      <c r="D1997" s="10">
        <v>3</v>
      </c>
      <c r="E1997" s="10">
        <v>15</v>
      </c>
      <c r="F1997" s="10">
        <v>9</v>
      </c>
      <c r="G1997" s="10">
        <v>4</v>
      </c>
      <c r="H1997" s="10">
        <v>0</v>
      </c>
      <c r="I1997" s="10">
        <v>4</v>
      </c>
      <c r="J1997" s="10">
        <f>SUM(B1997:I1997)</f>
        <v>44.363</v>
      </c>
      <c r="K1997">
        <v>2019</v>
      </c>
      <c r="L1997">
        <v>6</v>
      </c>
      <c r="M1997" s="11">
        <v>43617</v>
      </c>
      <c r="N1997" t="s">
        <v>2178</v>
      </c>
      <c r="O1997">
        <v>4</v>
      </c>
      <c r="P1997" t="s">
        <v>53</v>
      </c>
      <c r="Q1997" t="b">
        <v>1</v>
      </c>
    </row>
    <row r="1998" spans="1:17">
      <c r="A1998" s="12">
        <v>43637</v>
      </c>
      <c r="B1998" s="10">
        <v>3</v>
      </c>
      <c r="C1998" s="10">
        <v>2.33</v>
      </c>
      <c r="D1998" s="10">
        <v>3</v>
      </c>
      <c r="E1998" s="10">
        <v>24.8</v>
      </c>
      <c r="F1998" s="10">
        <v>8</v>
      </c>
      <c r="G1998" s="10">
        <v>3</v>
      </c>
      <c r="H1998" s="10">
        <v>4</v>
      </c>
      <c r="I1998" s="10">
        <v>6</v>
      </c>
      <c r="J1998" s="10">
        <f>SUM(B1998:I1998)</f>
        <v>54.13</v>
      </c>
      <c r="K1998">
        <v>2019</v>
      </c>
      <c r="L1998">
        <v>6</v>
      </c>
      <c r="M1998" s="11">
        <v>43617</v>
      </c>
      <c r="N1998" t="s">
        <v>2178</v>
      </c>
      <c r="O1998">
        <v>5</v>
      </c>
      <c r="P1998" t="s">
        <v>55</v>
      </c>
      <c r="Q1998" t="b">
        <v>1</v>
      </c>
    </row>
    <row r="1999" spans="1:17">
      <c r="A1999" s="12">
        <v>43638</v>
      </c>
      <c r="B1999" s="10">
        <v>3</v>
      </c>
      <c r="C1999" s="10">
        <v>4</v>
      </c>
      <c r="D1999" s="10">
        <v>0</v>
      </c>
      <c r="E1999" s="10">
        <v>25</v>
      </c>
      <c r="F1999" s="10">
        <v>11</v>
      </c>
      <c r="G1999" s="10">
        <v>2</v>
      </c>
      <c r="H1999" s="10">
        <v>12</v>
      </c>
      <c r="I1999" s="10">
        <v>5</v>
      </c>
      <c r="J1999" s="10">
        <f>SUM(B1999:I1999)</f>
        <v>62.0</v>
      </c>
      <c r="K1999">
        <v>2019</v>
      </c>
      <c r="L1999">
        <v>6</v>
      </c>
      <c r="M1999" s="11">
        <v>43617</v>
      </c>
      <c r="N1999" t="s">
        <v>2178</v>
      </c>
      <c r="O1999">
        <v>6</v>
      </c>
      <c r="P1999" t="s">
        <v>57</v>
      </c>
      <c r="Q1999" t="b">
        <v>1</v>
      </c>
    </row>
    <row r="2000" spans="1:17">
      <c r="A2000" s="12">
        <v>43639</v>
      </c>
      <c r="B2000" s="10">
        <v>9.33</v>
      </c>
      <c r="C2000" s="10">
        <v>4.792</v>
      </c>
      <c r="D2000" s="10">
        <v>5.5</v>
      </c>
      <c r="E2000" s="10">
        <v>18.2</v>
      </c>
      <c r="F2000" s="10">
        <v>1</v>
      </c>
      <c r="G2000" s="10">
        <v>0</v>
      </c>
      <c r="H2000" s="10">
        <v>10</v>
      </c>
      <c r="I2000" s="10">
        <v>1</v>
      </c>
      <c r="J2000" s="10">
        <f>SUM(B2000:I2000)</f>
        <v>49.822</v>
      </c>
      <c r="K2000">
        <v>2019</v>
      </c>
      <c r="L2000">
        <v>6</v>
      </c>
      <c r="M2000" s="11">
        <v>43617</v>
      </c>
      <c r="N2000" t="s">
        <v>2178</v>
      </c>
      <c r="O2000">
        <v>7</v>
      </c>
      <c r="P2000" t="s">
        <v>59</v>
      </c>
      <c r="Q2000" t="b">
        <v>1</v>
      </c>
    </row>
    <row r="2001" spans="1:17">
      <c r="A2001" s="12">
        <v>43640</v>
      </c>
      <c r="B2001" s="10">
        <v>10</v>
      </c>
      <c r="C2001" s="10">
        <v>4.68</v>
      </c>
      <c r="D2001" s="10">
        <v>3.1</v>
      </c>
      <c r="E2001" s="10">
        <v>19</v>
      </c>
      <c r="F2001" s="10">
        <v>9</v>
      </c>
      <c r="G2001" s="10">
        <v>3</v>
      </c>
      <c r="H2001" s="10">
        <v>3</v>
      </c>
      <c r="I2001" s="10">
        <v>7</v>
      </c>
      <c r="J2001" s="10">
        <f>SUM(B2001:I2001)</f>
        <v>58.78</v>
      </c>
      <c r="K2001">
        <v>2019</v>
      </c>
      <c r="L2001">
        <v>6</v>
      </c>
      <c r="M2001" s="11">
        <v>43617</v>
      </c>
      <c r="N2001" t="s">
        <v>2178</v>
      </c>
      <c r="O2001">
        <v>1</v>
      </c>
      <c r="P2001" t="s">
        <v>61</v>
      </c>
      <c r="Q2001" t="b">
        <v>1</v>
      </c>
    </row>
    <row r="2002" spans="1:17">
      <c r="A2002" s="12">
        <v>43641</v>
      </c>
      <c r="B2002" s="10">
        <v>2.34</v>
      </c>
      <c r="C2002" s="10">
        <v>2.638</v>
      </c>
      <c r="D2002" s="10">
        <v>5</v>
      </c>
      <c r="E2002" s="10">
        <v>12</v>
      </c>
      <c r="F2002" s="10">
        <v>10</v>
      </c>
      <c r="G2002" s="10">
        <v>1</v>
      </c>
      <c r="H2002" s="10">
        <v>0</v>
      </c>
      <c r="I2002" s="10">
        <v>3</v>
      </c>
      <c r="J2002" s="10">
        <f>SUM(B2002:I2002)</f>
        <v>35.978</v>
      </c>
      <c r="K2002">
        <v>2019</v>
      </c>
      <c r="L2002">
        <v>6</v>
      </c>
      <c r="M2002" s="11">
        <v>43617</v>
      </c>
      <c r="N2002" t="s">
        <v>2178</v>
      </c>
      <c r="O2002">
        <v>2</v>
      </c>
      <c r="P2002" t="s">
        <v>63</v>
      </c>
      <c r="Q2002" t="b">
        <v>1</v>
      </c>
    </row>
    <row r="2003" spans="1:17">
      <c r="A2003" s="12">
        <v>43642</v>
      </c>
      <c r="B2003" s="10">
        <v>2</v>
      </c>
      <c r="C2003" s="10">
        <v>3.44</v>
      </c>
      <c r="D2003" s="10">
        <v>1</v>
      </c>
      <c r="E2003" s="10">
        <v>11.6</v>
      </c>
      <c r="F2003" s="10">
        <v>5</v>
      </c>
      <c r="G2003" s="10">
        <v>1</v>
      </c>
      <c r="H2003" s="10">
        <v>0</v>
      </c>
      <c r="I2003" s="10">
        <v>5</v>
      </c>
      <c r="J2003" s="10">
        <f>SUM(B2003:I2003)</f>
        <v>29.04</v>
      </c>
      <c r="K2003">
        <v>2019</v>
      </c>
      <c r="L2003">
        <v>6</v>
      </c>
      <c r="M2003" s="11">
        <v>43617</v>
      </c>
      <c r="N2003" t="s">
        <v>2178</v>
      </c>
      <c r="O2003">
        <v>3</v>
      </c>
      <c r="P2003" t="s">
        <v>65</v>
      </c>
      <c r="Q2003" t="b">
        <v>1</v>
      </c>
    </row>
    <row r="2004" spans="1:17">
      <c r="A2004" s="12">
        <v>43643</v>
      </c>
      <c r="B2004" s="10">
        <v>8.16</v>
      </c>
      <c r="C2004" s="10">
        <v>6.33</v>
      </c>
      <c r="D2004" s="10">
        <v>4</v>
      </c>
      <c r="E2004" s="10">
        <v>15</v>
      </c>
      <c r="F2004" s="10">
        <v>5</v>
      </c>
      <c r="G2004" s="10">
        <v>1</v>
      </c>
      <c r="H2004" s="10">
        <v>7</v>
      </c>
      <c r="I2004" s="10">
        <v>2</v>
      </c>
      <c r="J2004" s="10">
        <f>SUM(B2004:I2004)</f>
        <v>48.49</v>
      </c>
      <c r="K2004">
        <v>2019</v>
      </c>
      <c r="L2004">
        <v>6</v>
      </c>
      <c r="M2004" s="11">
        <v>43617</v>
      </c>
      <c r="N2004" t="s">
        <v>2178</v>
      </c>
      <c r="O2004">
        <v>4</v>
      </c>
      <c r="P2004" t="s">
        <v>53</v>
      </c>
      <c r="Q2004" t="b">
        <v>1</v>
      </c>
    </row>
    <row r="2005" spans="1:17">
      <c r="A2005" s="12">
        <v>43644</v>
      </c>
      <c r="B2005" s="10">
        <v>4.33</v>
      </c>
      <c r="C2005" s="10">
        <v>1.496</v>
      </c>
      <c r="D2005" s="10">
        <v>2</v>
      </c>
      <c r="E2005" s="10">
        <v>15</v>
      </c>
      <c r="F2005" s="10">
        <v>5</v>
      </c>
      <c r="G2005" s="10">
        <v>0</v>
      </c>
      <c r="H2005" s="10">
        <v>2</v>
      </c>
      <c r="I2005" s="10">
        <v>3</v>
      </c>
      <c r="J2005" s="10">
        <f>SUM(B2005:I2005)</f>
        <v>32.826</v>
      </c>
      <c r="K2005">
        <v>2019</v>
      </c>
      <c r="L2005">
        <v>6</v>
      </c>
      <c r="M2005" s="11">
        <v>43617</v>
      </c>
      <c r="N2005" t="s">
        <v>2178</v>
      </c>
      <c r="O2005">
        <v>5</v>
      </c>
      <c r="P2005" t="s">
        <v>55</v>
      </c>
      <c r="Q2005" t="b">
        <v>1</v>
      </c>
    </row>
    <row r="2006" spans="1:17">
      <c r="A2006" s="12">
        <v>43645</v>
      </c>
      <c r="B2006" s="10">
        <v>1.18</v>
      </c>
      <c r="C2006" s="10">
        <v>5.7</v>
      </c>
      <c r="D2006" s="10">
        <v>5</v>
      </c>
      <c r="E2006" s="10">
        <v>18.3</v>
      </c>
      <c r="F2006" s="10">
        <v>2</v>
      </c>
      <c r="G2006" s="10">
        <v>0</v>
      </c>
      <c r="H2006" s="10">
        <v>5</v>
      </c>
      <c r="I2006" s="10">
        <v>2</v>
      </c>
      <c r="J2006" s="10">
        <f>SUM(B2006:I2006)</f>
        <v>39.18</v>
      </c>
      <c r="K2006">
        <v>2019</v>
      </c>
      <c r="L2006">
        <v>6</v>
      </c>
      <c r="M2006" s="11">
        <v>43617</v>
      </c>
      <c r="N2006" t="s">
        <v>2178</v>
      </c>
      <c r="O2006">
        <v>6</v>
      </c>
      <c r="P2006" t="s">
        <v>57</v>
      </c>
      <c r="Q2006" t="b">
        <v>1</v>
      </c>
    </row>
    <row r="2007" spans="1:17">
      <c r="A2007" s="12">
        <v>43646</v>
      </c>
      <c r="B2007" s="10">
        <v>6</v>
      </c>
      <c r="C2007" s="10">
        <v>6.159</v>
      </c>
      <c r="D2007" s="10">
        <v>0</v>
      </c>
      <c r="E2007" s="10">
        <v>40</v>
      </c>
      <c r="F2007" s="10">
        <v>5</v>
      </c>
      <c r="G2007" s="10">
        <v>0</v>
      </c>
      <c r="H2007" s="10">
        <v>11</v>
      </c>
      <c r="I2007" s="10">
        <v>5</v>
      </c>
      <c r="J2007" s="10">
        <f>SUM(B2007:I2007)</f>
        <v>73.15899999999999</v>
      </c>
      <c r="K2007">
        <v>2019</v>
      </c>
      <c r="L2007">
        <v>6</v>
      </c>
      <c r="M2007" s="11">
        <v>43617</v>
      </c>
      <c r="N2007" t="s">
        <v>2178</v>
      </c>
      <c r="O2007">
        <v>7</v>
      </c>
      <c r="P2007" t="s">
        <v>59</v>
      </c>
      <c r="Q2007" t="b">
        <v>1</v>
      </c>
    </row>
    <row r="2008" spans="1:17">
      <c r="A2008" s="12">
        <v>43647</v>
      </c>
      <c r="B2008" s="10">
        <v>5.33</v>
      </c>
      <c r="C2008" s="10">
        <v>2</v>
      </c>
      <c r="D2008" s="10">
        <v>1</v>
      </c>
      <c r="E2008" s="10">
        <v>14</v>
      </c>
      <c r="F2008" s="10">
        <v>7</v>
      </c>
      <c r="G2008" s="10">
        <v>0</v>
      </c>
      <c r="H2008" s="10">
        <v>8</v>
      </c>
      <c r="I2008" s="10">
        <v>4</v>
      </c>
      <c r="J2008" s="10">
        <f>SUM(B2008:I2008)</f>
        <v>41.33</v>
      </c>
      <c r="K2008">
        <v>2019</v>
      </c>
      <c r="L2008">
        <v>7</v>
      </c>
      <c r="M2008" s="11">
        <v>43647</v>
      </c>
      <c r="N2008" t="s">
        <v>2179</v>
      </c>
      <c r="O2008">
        <v>1</v>
      </c>
      <c r="P2008" t="s">
        <v>61</v>
      </c>
      <c r="Q2008" t="b">
        <v>1</v>
      </c>
    </row>
    <row r="2009" spans="1:17">
      <c r="A2009" s="12">
        <v>43648</v>
      </c>
      <c r="B2009" s="10">
        <v>5.66</v>
      </c>
      <c r="C2009" s="10">
        <v>3.012</v>
      </c>
      <c r="D2009" s="10">
        <v>4</v>
      </c>
      <c r="E2009" s="10">
        <v>14</v>
      </c>
      <c r="F2009" s="10">
        <v>9</v>
      </c>
      <c r="G2009" s="10">
        <v>0</v>
      </c>
      <c r="H2009" s="10">
        <v>1</v>
      </c>
      <c r="I2009" s="10">
        <v>4.3</v>
      </c>
      <c r="J2009" s="10">
        <f>SUM(B2009:I2009)</f>
        <v>40.971999999999994</v>
      </c>
      <c r="K2009">
        <v>2019</v>
      </c>
      <c r="L2009">
        <v>7</v>
      </c>
      <c r="M2009" s="11">
        <v>43647</v>
      </c>
      <c r="N2009" t="s">
        <v>2179</v>
      </c>
      <c r="O2009">
        <v>2</v>
      </c>
      <c r="P2009" t="s">
        <v>63</v>
      </c>
      <c r="Q2009" t="b">
        <v>1</v>
      </c>
    </row>
    <row r="2010" spans="1:17">
      <c r="A2010" s="12">
        <v>43649</v>
      </c>
      <c r="B2010" s="10">
        <v>4</v>
      </c>
      <c r="C2010" s="10">
        <v>2.849</v>
      </c>
      <c r="D2010" s="10">
        <v>4</v>
      </c>
      <c r="E2010" s="10">
        <v>30.05</v>
      </c>
      <c r="F2010" s="10">
        <v>9</v>
      </c>
      <c r="G2010" s="10">
        <v>0</v>
      </c>
      <c r="H2010" s="10">
        <v>1</v>
      </c>
      <c r="I2010" s="10">
        <v>4</v>
      </c>
      <c r="J2010" s="10">
        <f>SUM(B2010:I2010)</f>
        <v>54.899</v>
      </c>
      <c r="K2010">
        <v>2019</v>
      </c>
      <c r="L2010">
        <v>7</v>
      </c>
      <c r="M2010" s="11">
        <v>43647</v>
      </c>
      <c r="N2010" t="s">
        <v>2179</v>
      </c>
      <c r="O2010">
        <v>3</v>
      </c>
      <c r="P2010" t="s">
        <v>65</v>
      </c>
      <c r="Q2010" t="b">
        <v>1</v>
      </c>
    </row>
    <row r="2011" spans="1:17">
      <c r="A2011" s="12">
        <v>43650</v>
      </c>
      <c r="B2011" s="10">
        <v>5.33</v>
      </c>
      <c r="C2011" s="10">
        <v>1.67</v>
      </c>
      <c r="D2011" s="10">
        <v>0</v>
      </c>
      <c r="E2011" s="10">
        <v>13</v>
      </c>
      <c r="F2011" s="10">
        <v>7</v>
      </c>
      <c r="G2011" s="10">
        <v>1</v>
      </c>
      <c r="H2011" s="10">
        <v>3</v>
      </c>
      <c r="I2011" s="10">
        <v>6.5</v>
      </c>
      <c r="J2011" s="10">
        <f>SUM(B2011:I2011)</f>
        <v>37.5</v>
      </c>
      <c r="K2011">
        <v>2019</v>
      </c>
      <c r="L2011">
        <v>7</v>
      </c>
      <c r="M2011" s="11">
        <v>43647</v>
      </c>
      <c r="N2011" t="s">
        <v>2179</v>
      </c>
      <c r="O2011">
        <v>4</v>
      </c>
      <c r="P2011" t="s">
        <v>53</v>
      </c>
      <c r="Q2011" t="b">
        <v>1</v>
      </c>
    </row>
    <row r="2012" spans="1:17">
      <c r="A2012" s="12">
        <v>43651</v>
      </c>
      <c r="B2012" s="10">
        <v>4.33</v>
      </c>
      <c r="C2012" s="10">
        <v>3.08</v>
      </c>
      <c r="D2012" s="10">
        <v>4</v>
      </c>
      <c r="E2012" s="10">
        <v>20</v>
      </c>
      <c r="F2012" s="10">
        <v>11</v>
      </c>
      <c r="G2012" s="10">
        <v>0</v>
      </c>
      <c r="H2012" s="10">
        <v>0</v>
      </c>
      <c r="I2012" s="10">
        <v>2</v>
      </c>
      <c r="J2012" s="10">
        <f>SUM(B2012:I2012)</f>
        <v>44.41</v>
      </c>
      <c r="K2012">
        <v>2019</v>
      </c>
      <c r="L2012">
        <v>7</v>
      </c>
      <c r="M2012" s="11">
        <v>43647</v>
      </c>
      <c r="N2012" t="s">
        <v>2179</v>
      </c>
      <c r="O2012">
        <v>5</v>
      </c>
      <c r="P2012" t="s">
        <v>55</v>
      </c>
      <c r="Q2012" t="b">
        <v>1</v>
      </c>
    </row>
    <row r="2013" spans="1:17">
      <c r="A2013" s="12">
        <v>43652</v>
      </c>
      <c r="B2013" s="10">
        <v>4.34</v>
      </c>
      <c r="C2013" s="10">
        <v>1.703</v>
      </c>
      <c r="D2013" s="10">
        <v>3</v>
      </c>
      <c r="E2013" s="10">
        <v>16</v>
      </c>
      <c r="F2013" s="10">
        <v>2</v>
      </c>
      <c r="G2013" s="10">
        <v>0</v>
      </c>
      <c r="H2013" s="10">
        <v>1</v>
      </c>
      <c r="I2013" s="10">
        <v>3</v>
      </c>
      <c r="J2013" s="10">
        <f>SUM(B2013:I2013)</f>
        <v>31.043</v>
      </c>
      <c r="K2013">
        <v>2019</v>
      </c>
      <c r="L2013">
        <v>7</v>
      </c>
      <c r="M2013" s="11">
        <v>43647</v>
      </c>
      <c r="N2013" t="s">
        <v>2179</v>
      </c>
      <c r="O2013">
        <v>6</v>
      </c>
      <c r="P2013" t="s">
        <v>57</v>
      </c>
      <c r="Q2013" t="b">
        <v>1</v>
      </c>
    </row>
    <row r="2014" spans="1:17">
      <c r="A2014" s="12">
        <v>43653</v>
      </c>
      <c r="B2014" s="10">
        <v>5.66</v>
      </c>
      <c r="C2014" s="10">
        <v>6.463</v>
      </c>
      <c r="D2014" s="10">
        <v>3</v>
      </c>
      <c r="E2014" s="10">
        <v>25</v>
      </c>
      <c r="F2014" s="10">
        <v>2</v>
      </c>
      <c r="G2014" s="10">
        <v>0</v>
      </c>
      <c r="H2014" s="10">
        <v>3</v>
      </c>
      <c r="I2014" s="10">
        <v>5</v>
      </c>
      <c r="J2014" s="10">
        <f>SUM(B2014:I2014)</f>
        <v>50.123000000000005</v>
      </c>
      <c r="K2014">
        <v>2019</v>
      </c>
      <c r="L2014">
        <v>7</v>
      </c>
      <c r="M2014" s="11">
        <v>43647</v>
      </c>
      <c r="N2014" t="s">
        <v>2179</v>
      </c>
      <c r="O2014">
        <v>7</v>
      </c>
      <c r="P2014" t="s">
        <v>59</v>
      </c>
      <c r="Q2014" t="b">
        <v>1</v>
      </c>
    </row>
    <row r="2015" spans="1:17">
      <c r="A2015" s="12">
        <v>43654</v>
      </c>
      <c r="B2015" s="10">
        <v>6</v>
      </c>
      <c r="C2015" s="10">
        <v>4.373</v>
      </c>
      <c r="D2015" s="10">
        <v>2</v>
      </c>
      <c r="E2015" s="10">
        <v>21.4</v>
      </c>
      <c r="F2015" s="10">
        <v>9.199999999999999</v>
      </c>
      <c r="G2015" s="10">
        <v>1</v>
      </c>
      <c r="H2015" s="10">
        <v>4</v>
      </c>
      <c r="I2015" s="10">
        <v>4</v>
      </c>
      <c r="J2015" s="10">
        <f>SUM(B2015:I2015)</f>
        <v>51.973</v>
      </c>
      <c r="K2015">
        <v>2019</v>
      </c>
      <c r="L2015">
        <v>7</v>
      </c>
      <c r="M2015" s="11">
        <v>43647</v>
      </c>
      <c r="N2015" t="s">
        <v>2179</v>
      </c>
      <c r="O2015">
        <v>1</v>
      </c>
      <c r="P2015" t="s">
        <v>61</v>
      </c>
      <c r="Q2015" t="b">
        <v>1</v>
      </c>
    </row>
    <row r="2016" spans="1:17">
      <c r="A2016" s="12">
        <v>43655</v>
      </c>
      <c r="B2016" s="10">
        <v>2.67</v>
      </c>
      <c r="C2016" s="10">
        <v>2.703</v>
      </c>
      <c r="D2016" s="10">
        <v>8</v>
      </c>
      <c r="E2016" s="10">
        <v>15</v>
      </c>
      <c r="F2016" s="10">
        <v>12</v>
      </c>
      <c r="G2016" s="10">
        <v>4</v>
      </c>
      <c r="H2016" s="10">
        <v>3</v>
      </c>
      <c r="I2016" s="10">
        <v>2</v>
      </c>
      <c r="J2016" s="10">
        <f>SUM(B2016:I2016)</f>
        <v>49.373</v>
      </c>
      <c r="K2016">
        <v>2019</v>
      </c>
      <c r="L2016">
        <v>7</v>
      </c>
      <c r="M2016" s="11">
        <v>43647</v>
      </c>
      <c r="N2016" t="s">
        <v>2179</v>
      </c>
      <c r="O2016">
        <v>2</v>
      </c>
      <c r="P2016" t="s">
        <v>63</v>
      </c>
      <c r="Q2016" t="b">
        <v>1</v>
      </c>
    </row>
    <row r="2017" spans="1:17">
      <c r="A2017" s="12">
        <v>43656</v>
      </c>
      <c r="B2017" s="10">
        <v>10</v>
      </c>
      <c r="C2017" s="10">
        <v>5.67</v>
      </c>
      <c r="D2017" s="10">
        <v>5</v>
      </c>
      <c r="E2017" s="10">
        <v>19.6</v>
      </c>
      <c r="F2017" s="10">
        <v>10.2</v>
      </c>
      <c r="G2017" s="10">
        <v>0</v>
      </c>
      <c r="H2017" s="10">
        <v>1</v>
      </c>
      <c r="I2017" s="10">
        <v>4</v>
      </c>
      <c r="J2017" s="10">
        <f>SUM(B2017:I2017)</f>
        <v>55.47</v>
      </c>
      <c r="K2017">
        <v>2019</v>
      </c>
      <c r="L2017">
        <v>7</v>
      </c>
      <c r="M2017" s="11">
        <v>43647</v>
      </c>
      <c r="N2017" t="s">
        <v>2179</v>
      </c>
      <c r="O2017">
        <v>3</v>
      </c>
      <c r="P2017" t="s">
        <v>65</v>
      </c>
      <c r="Q2017" t="b">
        <v>1</v>
      </c>
    </row>
    <row r="2018" spans="1:17">
      <c r="A2018" s="12">
        <v>43657</v>
      </c>
      <c r="B2018" s="10">
        <v>3.33</v>
      </c>
      <c r="C2018" s="10">
        <v>4.726</v>
      </c>
      <c r="D2018" s="10">
        <v>4</v>
      </c>
      <c r="E2018" s="10">
        <v>19</v>
      </c>
      <c r="F2018" s="10">
        <v>7</v>
      </c>
      <c r="G2018" s="10">
        <v>0</v>
      </c>
      <c r="H2018" s="10">
        <v>0</v>
      </c>
      <c r="I2018" s="10">
        <v>3</v>
      </c>
      <c r="J2018" s="10">
        <f>SUM(B2018:I2018)</f>
        <v>41.056</v>
      </c>
      <c r="K2018">
        <v>2019</v>
      </c>
      <c r="L2018">
        <v>7</v>
      </c>
      <c r="M2018" s="11">
        <v>43647</v>
      </c>
      <c r="N2018" t="s">
        <v>2179</v>
      </c>
      <c r="O2018">
        <v>4</v>
      </c>
      <c r="P2018" t="s">
        <v>53</v>
      </c>
      <c r="Q2018" t="b">
        <v>1</v>
      </c>
    </row>
    <row r="2019" spans="1:17">
      <c r="A2019" s="12">
        <v>43658</v>
      </c>
      <c r="B2019" s="10">
        <v>11</v>
      </c>
      <c r="C2019" s="10">
        <v>5.09</v>
      </c>
      <c r="D2019" s="10">
        <v>4.05</v>
      </c>
      <c r="E2019" s="10">
        <v>34</v>
      </c>
      <c r="F2019" s="10">
        <v>7.2</v>
      </c>
      <c r="G2019" s="10">
        <v>0</v>
      </c>
      <c r="H2019" s="10">
        <v>2</v>
      </c>
      <c r="I2019" s="10">
        <v>2</v>
      </c>
      <c r="J2019" s="10">
        <f>SUM(B2019:I2019)</f>
        <v>65.34</v>
      </c>
      <c r="K2019">
        <v>2019</v>
      </c>
      <c r="L2019">
        <v>7</v>
      </c>
      <c r="M2019" s="11">
        <v>43647</v>
      </c>
      <c r="N2019" t="s">
        <v>2179</v>
      </c>
      <c r="O2019">
        <v>5</v>
      </c>
      <c r="P2019" t="s">
        <v>55</v>
      </c>
      <c r="Q2019" t="b">
        <v>1</v>
      </c>
    </row>
    <row r="2020" spans="1:17">
      <c r="A2020" s="12">
        <v>43659</v>
      </c>
      <c r="B2020" s="10">
        <v>5</v>
      </c>
      <c r="C2020" s="10">
        <v>3.417</v>
      </c>
      <c r="D2020" s="10">
        <v>1</v>
      </c>
      <c r="E2020" s="10">
        <v>17.6</v>
      </c>
      <c r="F2020" s="10">
        <v>5</v>
      </c>
      <c r="G2020" s="10">
        <v>3</v>
      </c>
      <c r="H2020" s="10">
        <v>0</v>
      </c>
      <c r="I2020" s="10">
        <v>5</v>
      </c>
      <c r="J2020" s="10">
        <f>SUM(B2020:I2020)</f>
        <v>40.017</v>
      </c>
      <c r="K2020">
        <v>2019</v>
      </c>
      <c r="L2020">
        <v>7</v>
      </c>
      <c r="M2020" s="11">
        <v>43647</v>
      </c>
      <c r="N2020" t="s">
        <v>2179</v>
      </c>
      <c r="O2020">
        <v>6</v>
      </c>
      <c r="P2020" t="s">
        <v>57</v>
      </c>
      <c r="Q2020" t="b">
        <v>1</v>
      </c>
    </row>
    <row r="2021" spans="1:17">
      <c r="A2021" s="12">
        <v>43660</v>
      </c>
      <c r="B2021" s="10">
        <v>6</v>
      </c>
      <c r="C2021" s="10">
        <v>5.34</v>
      </c>
      <c r="D2021" s="10">
        <v>4</v>
      </c>
      <c r="E2021" s="10">
        <v>23</v>
      </c>
      <c r="F2021" s="10">
        <v>3</v>
      </c>
      <c r="G2021" s="10">
        <v>0</v>
      </c>
      <c r="H2021" s="10">
        <v>5</v>
      </c>
      <c r="I2021" s="10">
        <v>1</v>
      </c>
      <c r="J2021" s="10">
        <f>SUM(B2021:I2021)</f>
        <v>47.34</v>
      </c>
      <c r="K2021">
        <v>2019</v>
      </c>
      <c r="L2021">
        <v>7</v>
      </c>
      <c r="M2021" s="11">
        <v>43647</v>
      </c>
      <c r="N2021" t="s">
        <v>2179</v>
      </c>
      <c r="O2021">
        <v>7</v>
      </c>
      <c r="P2021" t="s">
        <v>59</v>
      </c>
      <c r="Q2021" t="b">
        <v>1</v>
      </c>
    </row>
    <row r="2022" spans="1:17">
      <c r="A2022" s="12">
        <v>43661</v>
      </c>
      <c r="B2022" s="10">
        <v>7.33</v>
      </c>
      <c r="C2022" s="10">
        <v>1.67</v>
      </c>
      <c r="D2022" s="10">
        <v>4.55</v>
      </c>
      <c r="E2022" s="10">
        <v>24</v>
      </c>
      <c r="F2022" s="10">
        <v>6</v>
      </c>
      <c r="G2022" s="10">
        <v>1</v>
      </c>
      <c r="H2022" s="10">
        <v>0</v>
      </c>
      <c r="I2022" s="10">
        <v>7</v>
      </c>
      <c r="J2022" s="10">
        <f>SUM(B2022:I2022)</f>
        <v>51.55</v>
      </c>
      <c r="K2022">
        <v>2019</v>
      </c>
      <c r="L2022">
        <v>7</v>
      </c>
      <c r="M2022" s="11">
        <v>43647</v>
      </c>
      <c r="N2022" t="s">
        <v>2179</v>
      </c>
      <c r="O2022">
        <v>1</v>
      </c>
      <c r="P2022" t="s">
        <v>61</v>
      </c>
      <c r="Q2022" t="b">
        <v>1</v>
      </c>
    </row>
    <row r="2023" spans="1:17">
      <c r="A2023" s="12">
        <v>43662</v>
      </c>
      <c r="B2023" s="10">
        <v>7</v>
      </c>
      <c r="C2023" s="10">
        <v>3.34</v>
      </c>
      <c r="D2023" s="10">
        <v>3</v>
      </c>
      <c r="E2023" s="10">
        <v>14</v>
      </c>
      <c r="F2023" s="10">
        <v>7</v>
      </c>
      <c r="G2023" s="10">
        <v>0</v>
      </c>
      <c r="H2023" s="10">
        <v>2</v>
      </c>
      <c r="I2023" s="10">
        <v>4</v>
      </c>
      <c r="J2023" s="10">
        <f>SUM(B2023:I2023)</f>
        <v>40.34</v>
      </c>
      <c r="K2023">
        <v>2019</v>
      </c>
      <c r="L2023">
        <v>7</v>
      </c>
      <c r="M2023" s="11">
        <v>43647</v>
      </c>
      <c r="N2023" t="s">
        <v>2179</v>
      </c>
      <c r="O2023">
        <v>2</v>
      </c>
      <c r="P2023" t="s">
        <v>63</v>
      </c>
      <c r="Q2023" t="b">
        <v>1</v>
      </c>
    </row>
    <row r="2024" spans="1:17">
      <c r="A2024" s="12">
        <v>43663</v>
      </c>
      <c r="B2024" s="10">
        <v>3.99</v>
      </c>
      <c r="C2024" s="10">
        <v>0.157</v>
      </c>
      <c r="D2024" s="10">
        <v>2.5</v>
      </c>
      <c r="E2024" s="10">
        <v>26</v>
      </c>
      <c r="F2024" s="10">
        <v>7</v>
      </c>
      <c r="G2024" s="10">
        <v>1</v>
      </c>
      <c r="H2024" s="10">
        <v>0</v>
      </c>
      <c r="I2024" s="10">
        <v>2</v>
      </c>
      <c r="J2024" s="10">
        <f>SUM(B2024:I2024)</f>
        <v>42.647</v>
      </c>
      <c r="K2024">
        <v>2019</v>
      </c>
      <c r="L2024">
        <v>7</v>
      </c>
      <c r="M2024" s="11">
        <v>43647</v>
      </c>
      <c r="N2024" t="s">
        <v>2179</v>
      </c>
      <c r="O2024">
        <v>3</v>
      </c>
      <c r="P2024" t="s">
        <v>65</v>
      </c>
      <c r="Q2024" t="b">
        <v>1</v>
      </c>
    </row>
    <row r="2025" spans="1:17">
      <c r="A2025" s="12">
        <v>43664</v>
      </c>
      <c r="B2025" s="10">
        <v>11</v>
      </c>
      <c r="C2025" s="10">
        <v>3.33</v>
      </c>
      <c r="D2025" s="10">
        <v>1.3</v>
      </c>
      <c r="E2025" s="10">
        <v>24</v>
      </c>
      <c r="F2025" s="10">
        <v>11</v>
      </c>
      <c r="G2025" s="10">
        <v>0</v>
      </c>
      <c r="H2025" s="10">
        <v>3</v>
      </c>
      <c r="I2025" s="10">
        <v>3</v>
      </c>
      <c r="J2025" s="10">
        <f>SUM(B2025:I2025)</f>
        <v>56.63</v>
      </c>
      <c r="K2025">
        <v>2019</v>
      </c>
      <c r="L2025">
        <v>7</v>
      </c>
      <c r="M2025" s="11">
        <v>43647</v>
      </c>
      <c r="N2025" t="s">
        <v>2179</v>
      </c>
      <c r="O2025">
        <v>4</v>
      </c>
      <c r="P2025" t="s">
        <v>53</v>
      </c>
      <c r="Q2025" t="b">
        <v>1</v>
      </c>
    </row>
    <row r="2026" spans="1:17">
      <c r="A2026" s="12">
        <v>43665</v>
      </c>
      <c r="B2026" s="10">
        <v>7.33</v>
      </c>
      <c r="C2026" s="10">
        <v>5.34</v>
      </c>
      <c r="D2026" s="10">
        <v>4</v>
      </c>
      <c r="E2026" s="10">
        <v>28</v>
      </c>
      <c r="F2026" s="10">
        <v>15</v>
      </c>
      <c r="G2026" s="10">
        <v>0</v>
      </c>
      <c r="H2026" s="10">
        <v>3</v>
      </c>
      <c r="I2026" s="10">
        <v>7</v>
      </c>
      <c r="J2026" s="10">
        <f>SUM(B2026:I2026)</f>
        <v>69.67</v>
      </c>
      <c r="K2026">
        <v>2019</v>
      </c>
      <c r="L2026">
        <v>7</v>
      </c>
      <c r="M2026" s="11">
        <v>43647</v>
      </c>
      <c r="N2026" t="s">
        <v>2179</v>
      </c>
      <c r="O2026">
        <v>5</v>
      </c>
      <c r="P2026" t="s">
        <v>55</v>
      </c>
      <c r="Q2026" t="b">
        <v>1</v>
      </c>
    </row>
    <row r="2027" spans="1:17">
      <c r="A2027" s="12">
        <v>43666</v>
      </c>
      <c r="B2027" s="10">
        <v>4.34</v>
      </c>
      <c r="C2027" s="10">
        <v>4.449</v>
      </c>
      <c r="D2027" s="10">
        <v>1</v>
      </c>
      <c r="E2027" s="10">
        <v>17.2</v>
      </c>
      <c r="F2027" s="10">
        <v>4</v>
      </c>
      <c r="G2027" s="10">
        <v>0</v>
      </c>
      <c r="H2027" s="10">
        <v>6</v>
      </c>
      <c r="I2027" s="10">
        <v>2</v>
      </c>
      <c r="J2027" s="10">
        <f>SUM(B2027:I2027)</f>
        <v>38.989</v>
      </c>
      <c r="K2027">
        <v>2019</v>
      </c>
      <c r="L2027">
        <v>7</v>
      </c>
      <c r="M2027" s="11">
        <v>43647</v>
      </c>
      <c r="N2027" t="s">
        <v>2179</v>
      </c>
      <c r="O2027">
        <v>6</v>
      </c>
      <c r="P2027" t="s">
        <v>57</v>
      </c>
      <c r="Q2027" t="b">
        <v>1</v>
      </c>
    </row>
    <row r="2028" spans="1:17">
      <c r="A2028" s="12">
        <v>43667</v>
      </c>
      <c r="B2028" s="10">
        <v>6.34</v>
      </c>
      <c r="C2028" s="10">
        <v>0.363</v>
      </c>
      <c r="D2028" s="10">
        <v>1.1</v>
      </c>
      <c r="E2028" s="10">
        <v>16</v>
      </c>
      <c r="F2028" s="10">
        <v>5</v>
      </c>
      <c r="G2028" s="10">
        <v>0</v>
      </c>
      <c r="H2028" s="10">
        <v>1</v>
      </c>
      <c r="I2028" s="10">
        <v>3</v>
      </c>
      <c r="J2028" s="10">
        <f>SUM(B2028:I2028)</f>
        <v>32.803</v>
      </c>
      <c r="K2028">
        <v>2019</v>
      </c>
      <c r="L2028">
        <v>7</v>
      </c>
      <c r="M2028" s="11">
        <v>43647</v>
      </c>
      <c r="N2028" t="s">
        <v>2179</v>
      </c>
      <c r="O2028">
        <v>7</v>
      </c>
      <c r="P2028" t="s">
        <v>59</v>
      </c>
      <c r="Q2028" t="b">
        <v>1</v>
      </c>
    </row>
    <row r="2029" spans="1:17">
      <c r="A2029" s="12">
        <v>43668</v>
      </c>
      <c r="B2029" s="10">
        <v>1</v>
      </c>
      <c r="C2029" s="10">
        <v>2.66</v>
      </c>
      <c r="D2029" s="10">
        <v>2</v>
      </c>
      <c r="E2029" s="10">
        <v>14.25</v>
      </c>
      <c r="F2029" s="10">
        <v>10</v>
      </c>
      <c r="G2029" s="10">
        <v>0</v>
      </c>
      <c r="H2029" s="10">
        <v>0</v>
      </c>
      <c r="I2029" s="10">
        <v>6</v>
      </c>
      <c r="J2029" s="10">
        <f>SUM(B2029:I2029)</f>
        <v>35.91</v>
      </c>
      <c r="K2029">
        <v>2019</v>
      </c>
      <c r="L2029">
        <v>7</v>
      </c>
      <c r="M2029" s="11">
        <v>43647</v>
      </c>
      <c r="N2029" t="s">
        <v>2179</v>
      </c>
      <c r="O2029">
        <v>1</v>
      </c>
      <c r="P2029" t="s">
        <v>61</v>
      </c>
      <c r="Q2029" t="b">
        <v>1</v>
      </c>
    </row>
    <row r="2030" spans="1:17">
      <c r="A2030" s="12">
        <v>43669</v>
      </c>
      <c r="B2030" s="10">
        <v>1.34</v>
      </c>
      <c r="C2030" s="10">
        <v>0.67</v>
      </c>
      <c r="D2030" s="10">
        <v>5.2</v>
      </c>
      <c r="E2030" s="10">
        <v>7.25</v>
      </c>
      <c r="F2030" s="10">
        <v>11</v>
      </c>
      <c r="G2030" s="10">
        <v>0</v>
      </c>
      <c r="H2030" s="10">
        <v>7</v>
      </c>
      <c r="I2030" s="10">
        <v>2.4</v>
      </c>
      <c r="J2030" s="10">
        <f>SUM(B2030:I2030)</f>
        <v>34.86</v>
      </c>
      <c r="K2030">
        <v>2019</v>
      </c>
      <c r="L2030">
        <v>7</v>
      </c>
      <c r="M2030" s="11">
        <v>43647</v>
      </c>
      <c r="N2030" t="s">
        <v>2179</v>
      </c>
      <c r="O2030">
        <v>2</v>
      </c>
      <c r="P2030" t="s">
        <v>63</v>
      </c>
      <c r="Q2030" t="b">
        <v>1</v>
      </c>
    </row>
    <row r="2031" spans="1:17">
      <c r="A2031" s="12">
        <v>43670</v>
      </c>
      <c r="B2031" s="10">
        <v>8</v>
      </c>
      <c r="C2031" s="10">
        <v>3.769</v>
      </c>
      <c r="D2031" s="10">
        <v>2</v>
      </c>
      <c r="E2031" s="10">
        <v>30.875</v>
      </c>
      <c r="F2031" s="10">
        <v>19</v>
      </c>
      <c r="G2031" s="10">
        <v>0</v>
      </c>
      <c r="H2031" s="10">
        <v>2</v>
      </c>
      <c r="I2031" s="10">
        <v>1</v>
      </c>
      <c r="J2031" s="10">
        <f>SUM(B2031:I2031)</f>
        <v>66.644</v>
      </c>
      <c r="K2031">
        <v>2019</v>
      </c>
      <c r="L2031">
        <v>7</v>
      </c>
      <c r="M2031" s="11">
        <v>43647</v>
      </c>
      <c r="N2031" t="s">
        <v>2179</v>
      </c>
      <c r="O2031">
        <v>3</v>
      </c>
      <c r="P2031" t="s">
        <v>65</v>
      </c>
      <c r="Q2031" t="b">
        <v>1</v>
      </c>
    </row>
    <row r="2032" spans="1:17">
      <c r="A2032" s="12">
        <v>43671</v>
      </c>
      <c r="B2032" s="10">
        <v>6</v>
      </c>
      <c r="C2032" s="10">
        <v>7</v>
      </c>
      <c r="D2032" s="10">
        <v>5</v>
      </c>
      <c r="E2032" s="10">
        <v>20</v>
      </c>
      <c r="F2032" s="10">
        <v>9</v>
      </c>
      <c r="G2032" s="10">
        <v>1</v>
      </c>
      <c r="H2032" s="10">
        <v>11</v>
      </c>
      <c r="I2032" s="10">
        <v>2</v>
      </c>
      <c r="J2032" s="10">
        <f>SUM(B2032:I2032)</f>
        <v>61.0</v>
      </c>
      <c r="K2032">
        <v>2019</v>
      </c>
      <c r="L2032">
        <v>7</v>
      </c>
      <c r="M2032" s="11">
        <v>43647</v>
      </c>
      <c r="N2032" t="s">
        <v>2179</v>
      </c>
      <c r="O2032">
        <v>4</v>
      </c>
      <c r="P2032" t="s">
        <v>53</v>
      </c>
      <c r="Q2032" t="b">
        <v>1</v>
      </c>
    </row>
    <row r="2033" spans="1:17">
      <c r="A2033" s="12">
        <v>43672</v>
      </c>
      <c r="B2033" s="10">
        <v>12.5</v>
      </c>
      <c r="C2033" s="10">
        <v>4</v>
      </c>
      <c r="D2033" s="10">
        <v>0.1</v>
      </c>
      <c r="E2033" s="10">
        <v>17</v>
      </c>
      <c r="F2033" s="10">
        <v>12</v>
      </c>
      <c r="G2033" s="10">
        <v>0</v>
      </c>
      <c r="H2033" s="10">
        <v>8</v>
      </c>
      <c r="I2033" s="10">
        <v>3</v>
      </c>
      <c r="J2033" s="10">
        <f>SUM(B2033:I2033)</f>
        <v>56.6</v>
      </c>
      <c r="K2033">
        <v>2019</v>
      </c>
      <c r="L2033">
        <v>7</v>
      </c>
      <c r="M2033" s="11">
        <v>43647</v>
      </c>
      <c r="N2033" t="s">
        <v>2179</v>
      </c>
      <c r="O2033">
        <v>5</v>
      </c>
      <c r="P2033" t="s">
        <v>55</v>
      </c>
      <c r="Q2033" t="b">
        <v>1</v>
      </c>
    </row>
    <row r="2034" spans="1:17">
      <c r="A2034" s="12">
        <v>43673</v>
      </c>
      <c r="B2034" s="10">
        <v>3.34</v>
      </c>
      <c r="C2034" s="10">
        <v>0</v>
      </c>
      <c r="D2034" s="10">
        <v>1</v>
      </c>
      <c r="E2034" s="10">
        <v>22</v>
      </c>
      <c r="F2034" s="10">
        <v>6</v>
      </c>
      <c r="G2034" s="10">
        <v>3</v>
      </c>
      <c r="H2034" s="10">
        <v>2</v>
      </c>
      <c r="I2034" s="10">
        <v>3.4</v>
      </c>
      <c r="J2034" s="10">
        <f>SUM(B2034:I2034)</f>
        <v>40.74</v>
      </c>
      <c r="K2034">
        <v>2019</v>
      </c>
      <c r="L2034">
        <v>7</v>
      </c>
      <c r="M2034" s="11">
        <v>43647</v>
      </c>
      <c r="N2034" t="s">
        <v>2179</v>
      </c>
      <c r="O2034">
        <v>6</v>
      </c>
      <c r="P2034" t="s">
        <v>57</v>
      </c>
      <c r="Q2034" t="b">
        <v>1</v>
      </c>
    </row>
    <row r="2035" spans="1:17">
      <c r="A2035" s="12">
        <v>43674</v>
      </c>
      <c r="B2035" s="10">
        <v>4.34</v>
      </c>
      <c r="C2035" s="10">
        <v>1.34</v>
      </c>
      <c r="D2035" s="10">
        <v>4</v>
      </c>
      <c r="E2035" s="10">
        <v>13</v>
      </c>
      <c r="F2035" s="10">
        <v>3</v>
      </c>
      <c r="G2035" s="10">
        <v>1</v>
      </c>
      <c r="H2035" s="10">
        <v>0</v>
      </c>
      <c r="I2035" s="10">
        <v>0.6</v>
      </c>
      <c r="J2035" s="10">
        <f>SUM(B2035:I2035)</f>
        <v>27.28</v>
      </c>
      <c r="K2035">
        <v>2019</v>
      </c>
      <c r="L2035">
        <v>7</v>
      </c>
      <c r="M2035" s="11">
        <v>43647</v>
      </c>
      <c r="N2035" t="s">
        <v>2179</v>
      </c>
      <c r="O2035">
        <v>7</v>
      </c>
      <c r="P2035" t="s">
        <v>59</v>
      </c>
      <c r="Q2035" t="b">
        <v>1</v>
      </c>
    </row>
    <row r="2036" spans="1:17">
      <c r="A2036" s="12">
        <v>43675</v>
      </c>
      <c r="B2036" s="10">
        <v>9</v>
      </c>
      <c r="C2036" s="10">
        <v>4.33</v>
      </c>
      <c r="D2036" s="10">
        <v>2</v>
      </c>
      <c r="E2036" s="10">
        <v>25.45</v>
      </c>
      <c r="F2036" s="10">
        <v>12</v>
      </c>
      <c r="G2036" s="10">
        <v>0</v>
      </c>
      <c r="H2036" s="10">
        <v>1</v>
      </c>
      <c r="I2036" s="10">
        <v>2</v>
      </c>
      <c r="J2036" s="10">
        <f>SUM(B2036:I2036)</f>
        <v>55.78</v>
      </c>
      <c r="K2036">
        <v>2019</v>
      </c>
      <c r="L2036">
        <v>7</v>
      </c>
      <c r="M2036" s="11">
        <v>43647</v>
      </c>
      <c r="N2036" t="s">
        <v>2179</v>
      </c>
      <c r="O2036">
        <v>1</v>
      </c>
      <c r="P2036" t="s">
        <v>61</v>
      </c>
      <c r="Q2036" t="b">
        <v>1</v>
      </c>
    </row>
    <row r="2037" spans="1:17">
      <c r="A2037" s="12">
        <v>43676</v>
      </c>
      <c r="B2037" s="10">
        <v>9.5</v>
      </c>
      <c r="C2037" s="10">
        <v>6.187</v>
      </c>
      <c r="D2037" s="10">
        <v>5</v>
      </c>
      <c r="E2037" s="10">
        <v>19</v>
      </c>
      <c r="F2037" s="10">
        <v>9</v>
      </c>
      <c r="G2037" s="10">
        <v>4</v>
      </c>
      <c r="H2037" s="10">
        <v>33</v>
      </c>
      <c r="I2037" s="10">
        <v>5</v>
      </c>
      <c r="J2037" s="10">
        <f>SUM(B2037:I2037)</f>
        <v>90.687</v>
      </c>
      <c r="K2037">
        <v>2019</v>
      </c>
      <c r="L2037">
        <v>7</v>
      </c>
      <c r="M2037" s="11">
        <v>43647</v>
      </c>
      <c r="N2037" t="s">
        <v>2179</v>
      </c>
      <c r="O2037">
        <v>2</v>
      </c>
      <c r="P2037" t="s">
        <v>63</v>
      </c>
      <c r="Q2037" t="b">
        <v>1</v>
      </c>
    </row>
    <row r="2038" spans="1:17">
      <c r="A2038" s="12">
        <v>43677</v>
      </c>
      <c r="B2038" s="10">
        <v>0</v>
      </c>
      <c r="C2038" s="10">
        <v>2.84</v>
      </c>
      <c r="D2038" s="10">
        <v>2</v>
      </c>
      <c r="E2038" s="10">
        <v>21</v>
      </c>
      <c r="F2038" s="10">
        <v>4</v>
      </c>
      <c r="G2038" s="10">
        <v>0</v>
      </c>
      <c r="H2038" s="10">
        <v>4</v>
      </c>
      <c r="I2038" s="10">
        <v>2</v>
      </c>
      <c r="J2038" s="10">
        <f>SUM(B2038:I2038)</f>
        <v>35.84</v>
      </c>
      <c r="K2038">
        <v>2019</v>
      </c>
      <c r="L2038">
        <v>7</v>
      </c>
      <c r="M2038" s="11">
        <v>43647</v>
      </c>
      <c r="N2038" t="s">
        <v>2179</v>
      </c>
      <c r="O2038">
        <v>3</v>
      </c>
      <c r="P2038" t="s">
        <v>65</v>
      </c>
      <c r="Q2038" t="b">
        <v>1</v>
      </c>
    </row>
    <row r="2039" spans="1:17">
      <c r="A2039" s="12">
        <v>43678</v>
      </c>
      <c r="B2039" s="10">
        <v>8.67</v>
      </c>
      <c r="C2039" s="10">
        <v>0.913</v>
      </c>
      <c r="D2039" s="10">
        <v>2</v>
      </c>
      <c r="E2039" s="10">
        <v>37</v>
      </c>
      <c r="F2039" s="10">
        <v>6</v>
      </c>
      <c r="G2039" s="10">
        <v>0</v>
      </c>
      <c r="H2039" s="10">
        <v>1</v>
      </c>
      <c r="I2039" s="10">
        <v>2</v>
      </c>
      <c r="J2039" s="10">
        <f>SUM(B2039:I2039)</f>
        <v>57.583</v>
      </c>
      <c r="K2039">
        <v>2019</v>
      </c>
      <c r="L2039">
        <v>8</v>
      </c>
      <c r="M2039" s="11">
        <v>43678</v>
      </c>
      <c r="N2039" t="s">
        <v>2180</v>
      </c>
      <c r="O2039">
        <v>4</v>
      </c>
      <c r="P2039" t="s">
        <v>53</v>
      </c>
      <c r="Q2039" t="b">
        <v>1</v>
      </c>
    </row>
    <row r="2040" spans="1:17">
      <c r="A2040" s="12">
        <v>43679</v>
      </c>
      <c r="B2040" s="10">
        <v>5</v>
      </c>
      <c r="C2040" s="10">
        <v>1.68</v>
      </c>
      <c r="D2040" s="10">
        <v>3</v>
      </c>
      <c r="E2040" s="10">
        <v>18</v>
      </c>
      <c r="F2040" s="10">
        <v>7</v>
      </c>
      <c r="G2040" s="10">
        <v>2</v>
      </c>
      <c r="H2040" s="10">
        <v>6</v>
      </c>
      <c r="I2040" s="10">
        <v>1</v>
      </c>
      <c r="J2040" s="10">
        <f>SUM(B2040:I2040)</f>
        <v>43.68</v>
      </c>
      <c r="K2040">
        <v>2019</v>
      </c>
      <c r="L2040">
        <v>8</v>
      </c>
      <c r="M2040" s="11">
        <v>43678</v>
      </c>
      <c r="N2040" t="s">
        <v>2180</v>
      </c>
      <c r="O2040">
        <v>5</v>
      </c>
      <c r="P2040" t="s">
        <v>55</v>
      </c>
      <c r="Q2040" t="b">
        <v>1</v>
      </c>
    </row>
    <row r="2041" spans="1:17">
      <c r="A2041" s="12">
        <v>43680</v>
      </c>
      <c r="B2041" s="10">
        <v>5.34</v>
      </c>
      <c r="C2041" s="10">
        <v>4.68</v>
      </c>
      <c r="D2041" s="10">
        <v>2.3</v>
      </c>
      <c r="E2041" s="10">
        <v>12</v>
      </c>
      <c r="F2041" s="10">
        <v>6</v>
      </c>
      <c r="G2041" s="10">
        <v>5</v>
      </c>
      <c r="H2041" s="10">
        <v>1</v>
      </c>
      <c r="I2041" s="10">
        <v>3.4</v>
      </c>
      <c r="J2041" s="10">
        <f>SUM(B2041:I2041)</f>
        <v>39.72</v>
      </c>
      <c r="K2041">
        <v>2019</v>
      </c>
      <c r="L2041">
        <v>8</v>
      </c>
      <c r="M2041" s="11">
        <v>43678</v>
      </c>
      <c r="N2041" t="s">
        <v>2180</v>
      </c>
      <c r="O2041">
        <v>6</v>
      </c>
      <c r="P2041" t="s">
        <v>57</v>
      </c>
      <c r="Q2041" t="b">
        <v>1</v>
      </c>
    </row>
    <row r="2042" spans="1:17">
      <c r="A2042" s="12">
        <v>43681</v>
      </c>
      <c r="B2042" s="10">
        <v>6.5</v>
      </c>
      <c r="C2042" s="10">
        <v>2.67</v>
      </c>
      <c r="D2042" s="10">
        <v>5</v>
      </c>
      <c r="E2042" s="10">
        <v>24</v>
      </c>
      <c r="F2042" s="10">
        <v>10</v>
      </c>
      <c r="G2042" s="10">
        <v>0</v>
      </c>
      <c r="H2042" s="10">
        <v>2</v>
      </c>
      <c r="I2042" s="10">
        <v>4.3</v>
      </c>
      <c r="J2042" s="10">
        <f>SUM(B2042:I2042)</f>
        <v>54.47</v>
      </c>
      <c r="K2042">
        <v>2019</v>
      </c>
      <c r="L2042">
        <v>8</v>
      </c>
      <c r="M2042" s="11">
        <v>43678</v>
      </c>
      <c r="N2042" t="s">
        <v>2180</v>
      </c>
      <c r="O2042">
        <v>7</v>
      </c>
      <c r="P2042" t="s">
        <v>59</v>
      </c>
      <c r="Q2042" t="b">
        <v>1</v>
      </c>
    </row>
    <row r="2043" spans="1:17">
      <c r="A2043" s="12">
        <v>43682</v>
      </c>
      <c r="B2043" s="10">
        <v>4</v>
      </c>
      <c r="C2043" s="10">
        <v>1</v>
      </c>
      <c r="D2043" s="10">
        <v>4.3</v>
      </c>
      <c r="E2043" s="10">
        <v>6</v>
      </c>
      <c r="F2043" s="10">
        <v>7</v>
      </c>
      <c r="G2043" s="10">
        <v>1</v>
      </c>
      <c r="H2043" s="10">
        <v>5</v>
      </c>
      <c r="I2043" s="10">
        <v>0</v>
      </c>
      <c r="J2043" s="10">
        <f>SUM(B2043:I2043)</f>
        <v>28.3</v>
      </c>
      <c r="K2043">
        <v>2019</v>
      </c>
      <c r="L2043">
        <v>8</v>
      </c>
      <c r="M2043" s="11">
        <v>43678</v>
      </c>
      <c r="N2043" t="s">
        <v>2180</v>
      </c>
      <c r="O2043">
        <v>1</v>
      </c>
      <c r="P2043" t="s">
        <v>61</v>
      </c>
      <c r="Q2043" t="b">
        <v>1</v>
      </c>
    </row>
    <row r="2044" spans="1:17">
      <c r="A2044" s="12">
        <v>43683</v>
      </c>
      <c r="B2044" s="10">
        <v>10</v>
      </c>
      <c r="C2044" s="10">
        <v>4.67</v>
      </c>
      <c r="D2044" s="10">
        <v>2</v>
      </c>
      <c r="E2044" s="10">
        <v>17.25</v>
      </c>
      <c r="F2044" s="10">
        <v>4</v>
      </c>
      <c r="G2044" s="10">
        <v>0</v>
      </c>
      <c r="H2044" s="10">
        <v>6</v>
      </c>
      <c r="I2044" s="10">
        <v>6</v>
      </c>
      <c r="J2044" s="10">
        <f>SUM(B2044:I2044)</f>
        <v>49.92</v>
      </c>
      <c r="K2044">
        <v>2019</v>
      </c>
      <c r="L2044">
        <v>8</v>
      </c>
      <c r="M2044" s="11">
        <v>43678</v>
      </c>
      <c r="N2044" t="s">
        <v>2180</v>
      </c>
      <c r="O2044">
        <v>2</v>
      </c>
      <c r="P2044" t="s">
        <v>63</v>
      </c>
      <c r="Q2044" t="b">
        <v>1</v>
      </c>
    </row>
    <row r="2045" spans="1:17">
      <c r="A2045" s="12">
        <v>43684</v>
      </c>
      <c r="B2045" s="10">
        <v>6</v>
      </c>
      <c r="C2045" s="10">
        <v>1.759</v>
      </c>
      <c r="D2045" s="10">
        <v>2</v>
      </c>
      <c r="E2045" s="10">
        <v>9</v>
      </c>
      <c r="F2045" s="10">
        <v>7</v>
      </c>
      <c r="G2045" s="10">
        <v>0</v>
      </c>
      <c r="H2045" s="10">
        <v>21</v>
      </c>
      <c r="I2045" s="10">
        <v>3</v>
      </c>
      <c r="J2045" s="10">
        <f>SUM(B2045:I2045)</f>
        <v>49.759</v>
      </c>
      <c r="K2045">
        <v>2019</v>
      </c>
      <c r="L2045">
        <v>8</v>
      </c>
      <c r="M2045" s="11">
        <v>43678</v>
      </c>
      <c r="N2045" t="s">
        <v>2180</v>
      </c>
      <c r="O2045">
        <v>3</v>
      </c>
      <c r="P2045" t="s">
        <v>65</v>
      </c>
      <c r="Q2045" t="b">
        <v>1</v>
      </c>
    </row>
    <row r="2046" spans="1:17">
      <c r="A2046" s="12">
        <v>43685</v>
      </c>
      <c r="B2046" s="10">
        <v>7.66</v>
      </c>
      <c r="C2046" s="10">
        <v>1.01</v>
      </c>
      <c r="D2046" s="10">
        <v>3</v>
      </c>
      <c r="E2046" s="10">
        <v>15</v>
      </c>
      <c r="F2046" s="10">
        <v>10</v>
      </c>
      <c r="G2046" s="10">
        <v>0</v>
      </c>
      <c r="H2046" s="10">
        <v>31</v>
      </c>
      <c r="I2046" s="10">
        <v>3</v>
      </c>
      <c r="J2046" s="10">
        <f>SUM(B2046:I2046)</f>
        <v>70.67</v>
      </c>
      <c r="K2046">
        <v>2019</v>
      </c>
      <c r="L2046">
        <v>8</v>
      </c>
      <c r="M2046" s="11">
        <v>43678</v>
      </c>
      <c r="N2046" t="s">
        <v>2180</v>
      </c>
      <c r="O2046">
        <v>4</v>
      </c>
      <c r="P2046" t="s">
        <v>53</v>
      </c>
      <c r="Q2046" t="b">
        <v>1</v>
      </c>
    </row>
    <row r="2047" spans="1:17">
      <c r="A2047" s="12">
        <v>43686</v>
      </c>
      <c r="B2047" s="10">
        <v>3</v>
      </c>
      <c r="C2047" s="10">
        <v>3.25</v>
      </c>
      <c r="D2047" s="10">
        <v>0</v>
      </c>
      <c r="E2047" s="10">
        <v>8</v>
      </c>
      <c r="F2047" s="10">
        <v>13</v>
      </c>
      <c r="G2047" s="10">
        <v>5</v>
      </c>
      <c r="H2047" s="10">
        <v>1</v>
      </c>
      <c r="I2047" s="10">
        <v>5</v>
      </c>
      <c r="J2047" s="10">
        <f>SUM(B2047:I2047)</f>
        <v>38.25</v>
      </c>
      <c r="K2047">
        <v>2019</v>
      </c>
      <c r="L2047">
        <v>8</v>
      </c>
      <c r="M2047" s="11">
        <v>43678</v>
      </c>
      <c r="N2047" t="s">
        <v>2180</v>
      </c>
      <c r="O2047">
        <v>5</v>
      </c>
      <c r="P2047" t="s">
        <v>55</v>
      </c>
      <c r="Q2047" t="b">
        <v>1</v>
      </c>
    </row>
    <row r="2048" spans="1:17">
      <c r="A2048" s="12">
        <v>43687</v>
      </c>
      <c r="B2048" s="10">
        <v>3.33</v>
      </c>
      <c r="C2048" s="10">
        <v>0.68</v>
      </c>
      <c r="D2048" s="10">
        <v>6</v>
      </c>
      <c r="E2048" s="10">
        <v>15</v>
      </c>
      <c r="F2048" s="10">
        <v>11</v>
      </c>
      <c r="G2048" s="10">
        <v>0</v>
      </c>
      <c r="H2048" s="10">
        <v>0</v>
      </c>
      <c r="I2048" s="10">
        <v>0</v>
      </c>
      <c r="J2048" s="10">
        <f>SUM(B2048:I2048)</f>
        <v>36.01</v>
      </c>
      <c r="K2048">
        <v>2019</v>
      </c>
      <c r="L2048">
        <v>8</v>
      </c>
      <c r="M2048" s="11">
        <v>43678</v>
      </c>
      <c r="N2048" t="s">
        <v>2180</v>
      </c>
      <c r="O2048">
        <v>6</v>
      </c>
      <c r="P2048" t="s">
        <v>57</v>
      </c>
      <c r="Q2048" t="b">
        <v>1</v>
      </c>
    </row>
    <row r="2049" spans="1:17">
      <c r="A2049" s="12">
        <v>43688</v>
      </c>
      <c r="B2049" s="10">
        <v>7</v>
      </c>
      <c r="C2049" s="10">
        <v>6.85</v>
      </c>
      <c r="D2049" s="10">
        <v>4</v>
      </c>
      <c r="E2049" s="10">
        <v>16</v>
      </c>
      <c r="F2049" s="10">
        <v>5</v>
      </c>
      <c r="G2049" s="10">
        <v>2</v>
      </c>
      <c r="H2049" s="10">
        <v>2</v>
      </c>
      <c r="I2049" s="10">
        <v>3</v>
      </c>
      <c r="J2049" s="10">
        <f>SUM(B2049:I2049)</f>
        <v>45.85</v>
      </c>
      <c r="K2049">
        <v>2019</v>
      </c>
      <c r="L2049">
        <v>8</v>
      </c>
      <c r="M2049" s="11">
        <v>43678</v>
      </c>
      <c r="N2049" t="s">
        <v>2180</v>
      </c>
      <c r="O2049">
        <v>7</v>
      </c>
      <c r="P2049" t="s">
        <v>59</v>
      </c>
      <c r="Q2049" t="b">
        <v>1</v>
      </c>
    </row>
    <row r="2050" spans="1:17">
      <c r="A2050" s="12">
        <v>43689</v>
      </c>
      <c r="B2050" s="10">
        <v>8.33</v>
      </c>
      <c r="C2050" s="10">
        <v>4.496</v>
      </c>
      <c r="D2050" s="10">
        <v>1</v>
      </c>
      <c r="E2050" s="10">
        <v>36</v>
      </c>
      <c r="F2050" s="10">
        <v>11</v>
      </c>
      <c r="G2050" s="10">
        <v>1</v>
      </c>
      <c r="H2050" s="10">
        <v>5</v>
      </c>
      <c r="I2050" s="10">
        <v>3.5</v>
      </c>
      <c r="J2050" s="10">
        <f>SUM(B2050:I2050)</f>
        <v>70.326</v>
      </c>
      <c r="K2050">
        <v>2019</v>
      </c>
      <c r="L2050">
        <v>8</v>
      </c>
      <c r="M2050" s="11">
        <v>43678</v>
      </c>
      <c r="N2050" t="s">
        <v>2180</v>
      </c>
      <c r="O2050">
        <v>1</v>
      </c>
      <c r="P2050" t="s">
        <v>61</v>
      </c>
      <c r="Q2050" t="b">
        <v>1</v>
      </c>
    </row>
    <row r="2051" spans="1:17">
      <c r="A2051" s="12">
        <v>43690</v>
      </c>
      <c r="B2051" s="10">
        <v>8</v>
      </c>
      <c r="C2051" s="10">
        <v>1.896</v>
      </c>
      <c r="D2051" s="10">
        <v>2</v>
      </c>
      <c r="E2051" s="10">
        <v>15</v>
      </c>
      <c r="F2051" s="10">
        <v>3</v>
      </c>
      <c r="G2051" s="10">
        <v>0</v>
      </c>
      <c r="H2051" s="10">
        <v>2</v>
      </c>
      <c r="I2051" s="10">
        <v>1</v>
      </c>
      <c r="J2051" s="10">
        <f>SUM(B2051:I2051)</f>
        <v>32.896</v>
      </c>
      <c r="K2051">
        <v>2019</v>
      </c>
      <c r="L2051">
        <v>8</v>
      </c>
      <c r="M2051" s="11">
        <v>43678</v>
      </c>
      <c r="N2051" t="s">
        <v>2180</v>
      </c>
      <c r="O2051">
        <v>2</v>
      </c>
      <c r="P2051" t="s">
        <v>63</v>
      </c>
      <c r="Q2051" t="b">
        <v>1</v>
      </c>
    </row>
    <row r="2052" spans="1:17">
      <c r="A2052" s="12">
        <v>43691</v>
      </c>
      <c r="B2052" s="10">
        <v>4.34</v>
      </c>
      <c r="C2052" s="10">
        <v>0.67</v>
      </c>
      <c r="D2052" s="10">
        <v>3.1</v>
      </c>
      <c r="E2052" s="10">
        <v>20</v>
      </c>
      <c r="F2052" s="10">
        <v>6</v>
      </c>
      <c r="G2052" s="10">
        <v>0</v>
      </c>
      <c r="H2052" s="10">
        <v>0</v>
      </c>
      <c r="I2052" s="10">
        <v>3</v>
      </c>
      <c r="J2052" s="10">
        <f>SUM(B2052:I2052)</f>
        <v>37.11</v>
      </c>
      <c r="K2052">
        <v>2019</v>
      </c>
      <c r="L2052">
        <v>8</v>
      </c>
      <c r="M2052" s="11">
        <v>43678</v>
      </c>
      <c r="N2052" t="s">
        <v>2180</v>
      </c>
      <c r="O2052">
        <v>3</v>
      </c>
      <c r="P2052" t="s">
        <v>65</v>
      </c>
      <c r="Q2052" t="b">
        <v>1</v>
      </c>
    </row>
    <row r="2053" spans="1:17">
      <c r="A2053" s="12">
        <v>43692</v>
      </c>
      <c r="B2053" s="10">
        <v>8.67</v>
      </c>
      <c r="C2053" s="10">
        <v>1.99</v>
      </c>
      <c r="D2053" s="10">
        <v>2</v>
      </c>
      <c r="E2053" s="10">
        <v>12</v>
      </c>
      <c r="F2053" s="10">
        <v>9</v>
      </c>
      <c r="G2053" s="10">
        <v>0</v>
      </c>
      <c r="H2053" s="10">
        <v>11</v>
      </c>
      <c r="I2053" s="10">
        <v>2</v>
      </c>
      <c r="J2053" s="10">
        <f>SUM(B2053:I2053)</f>
        <v>46.66</v>
      </c>
      <c r="K2053">
        <v>2019</v>
      </c>
      <c r="L2053">
        <v>8</v>
      </c>
      <c r="M2053" s="11">
        <v>43678</v>
      </c>
      <c r="N2053" t="s">
        <v>2180</v>
      </c>
      <c r="O2053">
        <v>4</v>
      </c>
      <c r="P2053" t="s">
        <v>53</v>
      </c>
      <c r="Q2053" t="b">
        <v>1</v>
      </c>
    </row>
    <row r="2054" spans="1:17">
      <c r="A2054" s="12">
        <v>43693</v>
      </c>
      <c r="B2054" s="10">
        <v>3.33</v>
      </c>
      <c r="C2054" s="10">
        <v>2.68</v>
      </c>
      <c r="D2054" s="10">
        <v>2</v>
      </c>
      <c r="E2054" s="10">
        <v>13</v>
      </c>
      <c r="F2054" s="10">
        <v>15</v>
      </c>
      <c r="G2054" s="10">
        <v>0</v>
      </c>
      <c r="H2054" s="10">
        <v>10</v>
      </c>
      <c r="I2054" s="10">
        <v>7</v>
      </c>
      <c r="J2054" s="10">
        <f>SUM(B2054:I2054)</f>
        <v>53.01</v>
      </c>
      <c r="K2054">
        <v>2019</v>
      </c>
      <c r="L2054">
        <v>8</v>
      </c>
      <c r="M2054" s="11">
        <v>43678</v>
      </c>
      <c r="N2054" t="s">
        <v>2180</v>
      </c>
      <c r="O2054">
        <v>5</v>
      </c>
      <c r="P2054" t="s">
        <v>55</v>
      </c>
      <c r="Q2054" t="b">
        <v>1</v>
      </c>
    </row>
    <row r="2055" spans="1:17">
      <c r="A2055" s="12">
        <v>43694</v>
      </c>
      <c r="B2055" s="10">
        <v>7.67</v>
      </c>
      <c r="C2055" s="10">
        <v>4.531</v>
      </c>
      <c r="D2055" s="10">
        <v>2.45</v>
      </c>
      <c r="E2055" s="10">
        <v>18</v>
      </c>
      <c r="F2055" s="10">
        <v>5</v>
      </c>
      <c r="G2055" s="10">
        <v>1</v>
      </c>
      <c r="H2055" s="10">
        <v>0</v>
      </c>
      <c r="I2055" s="10">
        <v>2.5</v>
      </c>
      <c r="J2055" s="10">
        <f>SUM(B2055:I2055)</f>
        <v>41.150999999999996</v>
      </c>
      <c r="K2055">
        <v>2019</v>
      </c>
      <c r="L2055">
        <v>8</v>
      </c>
      <c r="M2055" s="11">
        <v>43678</v>
      </c>
      <c r="N2055" t="s">
        <v>2180</v>
      </c>
      <c r="O2055">
        <v>6</v>
      </c>
      <c r="P2055" t="s">
        <v>57</v>
      </c>
      <c r="Q2055" t="b">
        <v>1</v>
      </c>
    </row>
    <row r="2056" spans="1:17">
      <c r="A2056" s="12">
        <v>43695</v>
      </c>
      <c r="B2056" s="10">
        <v>4.84</v>
      </c>
      <c r="C2056" s="10">
        <v>2.846</v>
      </c>
      <c r="D2056" s="10">
        <v>1</v>
      </c>
      <c r="E2056" s="10">
        <v>11</v>
      </c>
      <c r="F2056" s="10">
        <v>4</v>
      </c>
      <c r="G2056" s="10">
        <v>0</v>
      </c>
      <c r="H2056" s="10">
        <v>7</v>
      </c>
      <c r="I2056" s="10">
        <v>4</v>
      </c>
      <c r="J2056" s="10">
        <f>SUM(B2056:I2056)</f>
        <v>34.686</v>
      </c>
      <c r="K2056">
        <v>2019</v>
      </c>
      <c r="L2056">
        <v>8</v>
      </c>
      <c r="M2056" s="11">
        <v>43678</v>
      </c>
      <c r="N2056" t="s">
        <v>2180</v>
      </c>
      <c r="O2056">
        <v>7</v>
      </c>
      <c r="P2056" t="s">
        <v>59</v>
      </c>
      <c r="Q2056" t="b">
        <v>1</v>
      </c>
    </row>
    <row r="2057" spans="1:17">
      <c r="A2057" s="12">
        <v>43696</v>
      </c>
      <c r="B2057" s="10">
        <v>3.68</v>
      </c>
      <c r="C2057" s="10">
        <v>3.67</v>
      </c>
      <c r="D2057" s="10">
        <v>4</v>
      </c>
      <c r="E2057" s="10">
        <v>9</v>
      </c>
      <c r="F2057" s="10">
        <v>11</v>
      </c>
      <c r="G2057" s="10">
        <v>2</v>
      </c>
      <c r="H2057" s="10">
        <v>0</v>
      </c>
      <c r="I2057" s="10">
        <v>4</v>
      </c>
      <c r="J2057" s="10">
        <f>SUM(B2057:I2057)</f>
        <v>37.35</v>
      </c>
      <c r="K2057">
        <v>2019</v>
      </c>
      <c r="L2057">
        <v>8</v>
      </c>
      <c r="M2057" s="11">
        <v>43678</v>
      </c>
      <c r="N2057" t="s">
        <v>2180</v>
      </c>
      <c r="O2057">
        <v>1</v>
      </c>
      <c r="P2057" t="s">
        <v>61</v>
      </c>
      <c r="Q2057" t="b">
        <v>1</v>
      </c>
    </row>
    <row r="2058" spans="1:17">
      <c r="A2058" s="12">
        <v>43697</v>
      </c>
      <c r="B2058" s="10">
        <v>2</v>
      </c>
      <c r="C2058" s="10">
        <v>1.32</v>
      </c>
      <c r="D2058" s="10">
        <v>2</v>
      </c>
      <c r="E2058" s="10">
        <v>13.4</v>
      </c>
      <c r="F2058" s="10">
        <v>8</v>
      </c>
      <c r="G2058" s="10">
        <v>0</v>
      </c>
      <c r="H2058" s="10">
        <v>2</v>
      </c>
      <c r="I2058" s="10">
        <v>3</v>
      </c>
      <c r="J2058" s="10">
        <f>SUM(B2058:I2058)</f>
        <v>31.72</v>
      </c>
      <c r="K2058">
        <v>2019</v>
      </c>
      <c r="L2058">
        <v>8</v>
      </c>
      <c r="M2058" s="11">
        <v>43678</v>
      </c>
      <c r="N2058" t="s">
        <v>2180</v>
      </c>
      <c r="O2058">
        <v>2</v>
      </c>
      <c r="P2058" t="s">
        <v>63</v>
      </c>
      <c r="Q2058" t="b">
        <v>1</v>
      </c>
    </row>
    <row r="2059" spans="1:17">
      <c r="A2059" s="12">
        <v>43698</v>
      </c>
      <c r="B2059" s="10">
        <v>4.34</v>
      </c>
      <c r="C2059" s="10">
        <v>4</v>
      </c>
      <c r="D2059" s="10">
        <v>0</v>
      </c>
      <c r="E2059" s="10">
        <v>19.45</v>
      </c>
      <c r="F2059" s="10">
        <v>10</v>
      </c>
      <c r="G2059" s="10">
        <v>0</v>
      </c>
      <c r="H2059" s="10">
        <v>5</v>
      </c>
      <c r="I2059" s="10">
        <v>3</v>
      </c>
      <c r="J2059" s="10">
        <f>SUM(B2059:I2059)</f>
        <v>45.79</v>
      </c>
      <c r="K2059">
        <v>2019</v>
      </c>
      <c r="L2059">
        <v>8</v>
      </c>
      <c r="M2059" s="11">
        <v>43678</v>
      </c>
      <c r="N2059" t="s">
        <v>2180</v>
      </c>
      <c r="O2059">
        <v>3</v>
      </c>
      <c r="P2059" t="s">
        <v>65</v>
      </c>
      <c r="Q2059" t="b">
        <v>1</v>
      </c>
    </row>
    <row r="2060" spans="1:17">
      <c r="A2060" s="12">
        <v>43699</v>
      </c>
      <c r="B2060" s="10">
        <v>5.34</v>
      </c>
      <c r="C2060" s="10">
        <v>4</v>
      </c>
      <c r="D2060" s="10">
        <v>2</v>
      </c>
      <c r="E2060" s="10">
        <v>20</v>
      </c>
      <c r="F2060" s="10">
        <v>8</v>
      </c>
      <c r="G2060" s="10">
        <v>2</v>
      </c>
      <c r="H2060" s="10">
        <v>10</v>
      </c>
      <c r="I2060" s="10">
        <v>3</v>
      </c>
      <c r="J2060" s="10">
        <f>SUM(B2060:I2060)</f>
        <v>54.34</v>
      </c>
      <c r="K2060">
        <v>2019</v>
      </c>
      <c r="L2060">
        <v>8</v>
      </c>
      <c r="M2060" s="11">
        <v>43678</v>
      </c>
      <c r="N2060" t="s">
        <v>2180</v>
      </c>
      <c r="O2060">
        <v>4</v>
      </c>
      <c r="P2060" t="s">
        <v>53</v>
      </c>
      <c r="Q2060" t="b">
        <v>1</v>
      </c>
    </row>
    <row r="2061" spans="1:17">
      <c r="A2061" s="12">
        <v>43700</v>
      </c>
      <c r="B2061" s="10">
        <v>9.67</v>
      </c>
      <c r="C2061" s="10">
        <v>5.156</v>
      </c>
      <c r="D2061" s="10">
        <v>4.05</v>
      </c>
      <c r="E2061" s="10">
        <v>12</v>
      </c>
      <c r="F2061" s="10">
        <v>11</v>
      </c>
      <c r="G2061" s="10">
        <v>2</v>
      </c>
      <c r="H2061" s="10">
        <v>4</v>
      </c>
      <c r="I2061" s="10">
        <v>2</v>
      </c>
      <c r="J2061" s="10">
        <f>SUM(B2061:I2061)</f>
        <v>49.876000000000005</v>
      </c>
      <c r="K2061">
        <v>2019</v>
      </c>
      <c r="L2061">
        <v>8</v>
      </c>
      <c r="M2061" s="11">
        <v>43678</v>
      </c>
      <c r="N2061" t="s">
        <v>2180</v>
      </c>
      <c r="O2061">
        <v>5</v>
      </c>
      <c r="P2061" t="s">
        <v>55</v>
      </c>
      <c r="Q2061" t="b">
        <v>1</v>
      </c>
    </row>
    <row r="2062" spans="1:17">
      <c r="A2062" s="12">
        <v>43701</v>
      </c>
      <c r="B2062" s="10">
        <v>13.84</v>
      </c>
      <c r="C2062" s="10">
        <v>6.02</v>
      </c>
      <c r="D2062" s="10">
        <v>3</v>
      </c>
      <c r="E2062" s="10">
        <v>24.6</v>
      </c>
      <c r="F2062" s="10">
        <v>9</v>
      </c>
      <c r="G2062" s="10">
        <v>0</v>
      </c>
      <c r="H2062" s="10">
        <v>0</v>
      </c>
      <c r="I2062" s="10">
        <v>5.5</v>
      </c>
      <c r="J2062" s="10">
        <f>SUM(B2062:I2062)</f>
        <v>61.96</v>
      </c>
      <c r="K2062">
        <v>2019</v>
      </c>
      <c r="L2062">
        <v>8</v>
      </c>
      <c r="M2062" s="11">
        <v>43678</v>
      </c>
      <c r="N2062" t="s">
        <v>2180</v>
      </c>
      <c r="O2062">
        <v>6</v>
      </c>
      <c r="P2062" t="s">
        <v>57</v>
      </c>
      <c r="Q2062" t="b">
        <v>1</v>
      </c>
    </row>
    <row r="2063" spans="1:17">
      <c r="A2063" s="12">
        <v>43702</v>
      </c>
      <c r="B2063" s="10">
        <v>3</v>
      </c>
      <c r="C2063" s="10">
        <v>3.35</v>
      </c>
      <c r="D2063" s="10">
        <v>2</v>
      </c>
      <c r="E2063" s="10">
        <v>17</v>
      </c>
      <c r="F2063" s="10">
        <v>4</v>
      </c>
      <c r="G2063" s="10">
        <v>0</v>
      </c>
      <c r="H2063" s="10">
        <v>3</v>
      </c>
      <c r="I2063" s="10">
        <v>0</v>
      </c>
      <c r="J2063" s="10">
        <f>SUM(B2063:I2063)</f>
        <v>32.35</v>
      </c>
      <c r="K2063">
        <v>2019</v>
      </c>
      <c r="L2063">
        <v>8</v>
      </c>
      <c r="M2063" s="11">
        <v>43678</v>
      </c>
      <c r="N2063" t="s">
        <v>2180</v>
      </c>
      <c r="O2063">
        <v>7</v>
      </c>
      <c r="P2063" t="s">
        <v>59</v>
      </c>
      <c r="Q2063" t="b">
        <v>1</v>
      </c>
    </row>
    <row r="2064" spans="1:17">
      <c r="A2064" s="12">
        <v>43703</v>
      </c>
      <c r="B2064" s="10">
        <v>2.67</v>
      </c>
      <c r="C2064" s="10">
        <v>2.373</v>
      </c>
      <c r="D2064" s="10">
        <v>3</v>
      </c>
      <c r="E2064" s="10">
        <v>18</v>
      </c>
      <c r="F2064" s="10">
        <v>11</v>
      </c>
      <c r="G2064" s="10">
        <v>0</v>
      </c>
      <c r="H2064" s="10">
        <v>3</v>
      </c>
      <c r="I2064" s="10">
        <v>3</v>
      </c>
      <c r="J2064" s="10">
        <f>SUM(B2064:I2064)</f>
        <v>43.043</v>
      </c>
      <c r="K2064">
        <v>2019</v>
      </c>
      <c r="L2064">
        <v>8</v>
      </c>
      <c r="M2064" s="11">
        <v>43678</v>
      </c>
      <c r="N2064" t="s">
        <v>2180</v>
      </c>
      <c r="O2064">
        <v>1</v>
      </c>
      <c r="P2064" t="s">
        <v>61</v>
      </c>
      <c r="Q2064" t="b">
        <v>1</v>
      </c>
    </row>
    <row r="2065" spans="1:17">
      <c r="A2065" s="12">
        <v>43704</v>
      </c>
      <c r="B2065" s="10">
        <v>2.34</v>
      </c>
      <c r="C2065" s="10">
        <v>2.01</v>
      </c>
      <c r="D2065" s="10">
        <v>3</v>
      </c>
      <c r="E2065" s="10">
        <v>21</v>
      </c>
      <c r="F2065" s="10">
        <v>3</v>
      </c>
      <c r="G2065" s="10">
        <v>0</v>
      </c>
      <c r="H2065" s="10">
        <v>0</v>
      </c>
      <c r="I2065" s="10">
        <v>5</v>
      </c>
      <c r="J2065" s="10">
        <f>SUM(B2065:I2065)</f>
        <v>36.35</v>
      </c>
      <c r="K2065">
        <v>2019</v>
      </c>
      <c r="L2065">
        <v>8</v>
      </c>
      <c r="M2065" s="11">
        <v>43678</v>
      </c>
      <c r="N2065" t="s">
        <v>2180</v>
      </c>
      <c r="O2065">
        <v>2</v>
      </c>
      <c r="P2065" t="s">
        <v>63</v>
      </c>
      <c r="Q2065" t="b">
        <v>1</v>
      </c>
    </row>
    <row r="2066" spans="1:17">
      <c r="A2066" s="12">
        <v>43705</v>
      </c>
      <c r="B2066" s="10">
        <v>3.33</v>
      </c>
      <c r="C2066" s="10">
        <v>1.427</v>
      </c>
      <c r="D2066" s="10">
        <v>5</v>
      </c>
      <c r="E2066" s="10">
        <v>10</v>
      </c>
      <c r="F2066" s="10">
        <v>6</v>
      </c>
      <c r="G2066" s="10">
        <v>1</v>
      </c>
      <c r="H2066" s="10">
        <v>0</v>
      </c>
      <c r="I2066" s="10">
        <v>2</v>
      </c>
      <c r="J2066" s="10">
        <f>SUM(B2066:I2066)</f>
        <v>28.756999999999998</v>
      </c>
      <c r="K2066">
        <v>2019</v>
      </c>
      <c r="L2066">
        <v>8</v>
      </c>
      <c r="M2066" s="11">
        <v>43678</v>
      </c>
      <c r="N2066" t="s">
        <v>2180</v>
      </c>
      <c r="O2066">
        <v>3</v>
      </c>
      <c r="P2066" t="s">
        <v>65</v>
      </c>
      <c r="Q2066" t="b">
        <v>1</v>
      </c>
    </row>
    <row r="2067" spans="1:17">
      <c r="A2067" s="12">
        <v>43706</v>
      </c>
      <c r="B2067" s="10">
        <v>9</v>
      </c>
      <c r="C2067" s="10">
        <v>1.68</v>
      </c>
      <c r="D2067" s="10">
        <v>5</v>
      </c>
      <c r="E2067" s="10">
        <v>17.4</v>
      </c>
      <c r="F2067" s="10">
        <v>9</v>
      </c>
      <c r="G2067" s="10">
        <v>1</v>
      </c>
      <c r="H2067" s="10">
        <v>1</v>
      </c>
      <c r="I2067" s="10">
        <v>2</v>
      </c>
      <c r="J2067" s="10">
        <f>SUM(B2067:I2067)</f>
        <v>46.08</v>
      </c>
      <c r="K2067">
        <v>2019</v>
      </c>
      <c r="L2067">
        <v>8</v>
      </c>
      <c r="M2067" s="11">
        <v>43678</v>
      </c>
      <c r="N2067" t="s">
        <v>2180</v>
      </c>
      <c r="O2067">
        <v>4</v>
      </c>
      <c r="P2067" t="s">
        <v>53</v>
      </c>
      <c r="Q2067" t="b">
        <v>1</v>
      </c>
    </row>
    <row r="2068" spans="1:17">
      <c r="A2068" s="12">
        <v>43707</v>
      </c>
      <c r="B2068" s="10">
        <v>6.34</v>
      </c>
      <c r="C2068" s="10">
        <v>1.056</v>
      </c>
      <c r="D2068" s="10">
        <v>2</v>
      </c>
      <c r="E2068" s="10">
        <v>19</v>
      </c>
      <c r="F2068" s="10">
        <v>3</v>
      </c>
      <c r="G2068" s="10">
        <v>0</v>
      </c>
      <c r="H2068" s="10">
        <v>2</v>
      </c>
      <c r="I2068" s="10">
        <v>5.1</v>
      </c>
      <c r="J2068" s="10">
        <f>SUM(B2068:I2068)</f>
        <v>38.496</v>
      </c>
      <c r="K2068">
        <v>2019</v>
      </c>
      <c r="L2068">
        <v>8</v>
      </c>
      <c r="M2068" s="11">
        <v>43678</v>
      </c>
      <c r="N2068" t="s">
        <v>2180</v>
      </c>
      <c r="O2068">
        <v>5</v>
      </c>
      <c r="P2068" t="s">
        <v>55</v>
      </c>
      <c r="Q2068" t="b">
        <v>1</v>
      </c>
    </row>
    <row r="2069" spans="1:17">
      <c r="A2069" s="12">
        <v>43708</v>
      </c>
      <c r="B2069" s="10">
        <v>4.68</v>
      </c>
      <c r="C2069" s="10">
        <v>3.936</v>
      </c>
      <c r="D2069" s="10">
        <v>2</v>
      </c>
      <c r="E2069" s="10">
        <v>15</v>
      </c>
      <c r="F2069" s="10">
        <v>5</v>
      </c>
      <c r="G2069" s="10">
        <v>1</v>
      </c>
      <c r="H2069" s="10">
        <v>4</v>
      </c>
      <c r="I2069" s="10">
        <v>6</v>
      </c>
      <c r="J2069" s="10">
        <f>SUM(B2069:I2069)</f>
        <v>41.616</v>
      </c>
      <c r="K2069">
        <v>2019</v>
      </c>
      <c r="L2069">
        <v>8</v>
      </c>
      <c r="M2069" s="11">
        <v>43678</v>
      </c>
      <c r="N2069" t="s">
        <v>2180</v>
      </c>
      <c r="O2069">
        <v>6</v>
      </c>
      <c r="P2069" t="s">
        <v>57</v>
      </c>
      <c r="Q2069" t="b">
        <v>1</v>
      </c>
    </row>
    <row r="2070" spans="1:17">
      <c r="A2070" s="12">
        <v>43709</v>
      </c>
      <c r="B2070" s="10">
        <v>2</v>
      </c>
      <c r="C2070" s="10">
        <v>4.36</v>
      </c>
      <c r="D2070" s="10">
        <v>5</v>
      </c>
      <c r="E2070" s="10">
        <v>17</v>
      </c>
      <c r="F2070" s="10">
        <v>8.199999999999999</v>
      </c>
      <c r="G2070" s="10">
        <v>1</v>
      </c>
      <c r="H2070" s="10">
        <v>5</v>
      </c>
      <c r="I2070" s="10">
        <v>4</v>
      </c>
      <c r="J2070" s="10">
        <f>SUM(B2070:I2070)</f>
        <v>46.56</v>
      </c>
      <c r="K2070">
        <v>2019</v>
      </c>
      <c r="L2070">
        <v>9</v>
      </c>
      <c r="M2070" s="11">
        <v>43709</v>
      </c>
      <c r="N2070" t="s">
        <v>2181</v>
      </c>
      <c r="O2070">
        <v>7</v>
      </c>
      <c r="P2070" t="s">
        <v>59</v>
      </c>
      <c r="Q2070" t="b">
        <v>1</v>
      </c>
    </row>
    <row r="2071" spans="1:17">
      <c r="A2071" s="12">
        <v>43710</v>
      </c>
      <c r="B2071" s="10">
        <v>5.33</v>
      </c>
      <c r="C2071" s="10">
        <v>2.087</v>
      </c>
      <c r="D2071" s="10">
        <v>2.5</v>
      </c>
      <c r="E2071" s="10">
        <v>18</v>
      </c>
      <c r="F2071" s="10">
        <v>7</v>
      </c>
      <c r="G2071" s="10">
        <v>0</v>
      </c>
      <c r="H2071" s="10">
        <v>1</v>
      </c>
      <c r="I2071" s="10">
        <v>9</v>
      </c>
      <c r="J2071" s="10">
        <f>SUM(B2071:I2071)</f>
        <v>44.917</v>
      </c>
      <c r="K2071">
        <v>2019</v>
      </c>
      <c r="L2071">
        <v>9</v>
      </c>
      <c r="M2071" s="11">
        <v>43709</v>
      </c>
      <c r="N2071" t="s">
        <v>2181</v>
      </c>
      <c r="O2071">
        <v>1</v>
      </c>
      <c r="P2071" t="s">
        <v>61</v>
      </c>
      <c r="Q2071" t="b">
        <v>1</v>
      </c>
    </row>
    <row r="2072" spans="1:17">
      <c r="A2072" s="12">
        <v>43711</v>
      </c>
      <c r="B2072" s="10">
        <v>9.359999999999999</v>
      </c>
      <c r="C2072" s="10">
        <v>2.35</v>
      </c>
      <c r="D2072" s="10">
        <v>3.1</v>
      </c>
      <c r="E2072" s="10">
        <v>12.125</v>
      </c>
      <c r="F2072" s="10">
        <v>8</v>
      </c>
      <c r="G2072" s="10">
        <v>3</v>
      </c>
      <c r="H2072" s="10">
        <v>1</v>
      </c>
      <c r="I2072" s="10">
        <v>2</v>
      </c>
      <c r="J2072" s="10">
        <f>SUM(B2072:I2072)</f>
        <v>40.935</v>
      </c>
      <c r="K2072">
        <v>2019</v>
      </c>
      <c r="L2072">
        <v>9</v>
      </c>
      <c r="M2072" s="11">
        <v>43709</v>
      </c>
      <c r="N2072" t="s">
        <v>2181</v>
      </c>
      <c r="O2072">
        <v>2</v>
      </c>
      <c r="P2072" t="s">
        <v>63</v>
      </c>
      <c r="Q2072" t="b">
        <v>1</v>
      </c>
    </row>
    <row r="2073" spans="1:17">
      <c r="A2073" s="12">
        <v>43712</v>
      </c>
      <c r="B2073" s="10">
        <v>2</v>
      </c>
      <c r="C2073" s="10">
        <v>0.373</v>
      </c>
      <c r="D2073" s="10">
        <v>2.15</v>
      </c>
      <c r="E2073" s="10">
        <v>29.23</v>
      </c>
      <c r="F2073" s="10">
        <v>7</v>
      </c>
      <c r="G2073" s="10">
        <v>0</v>
      </c>
      <c r="H2073" s="10">
        <v>3</v>
      </c>
      <c r="I2073" s="10">
        <v>3</v>
      </c>
      <c r="J2073" s="10">
        <f>SUM(B2073:I2073)</f>
        <v>46.753</v>
      </c>
      <c r="K2073">
        <v>2019</v>
      </c>
      <c r="L2073">
        <v>9</v>
      </c>
      <c r="M2073" s="11">
        <v>43709</v>
      </c>
      <c r="N2073" t="s">
        <v>2181</v>
      </c>
      <c r="O2073">
        <v>3</v>
      </c>
      <c r="P2073" t="s">
        <v>65</v>
      </c>
      <c r="Q2073" t="b">
        <v>1</v>
      </c>
    </row>
    <row r="2074" spans="1:17">
      <c r="A2074" s="12">
        <v>43713</v>
      </c>
      <c r="B2074" s="10">
        <v>7</v>
      </c>
      <c r="C2074" s="10">
        <v>9.529999999999999</v>
      </c>
      <c r="D2074" s="10">
        <v>2</v>
      </c>
      <c r="E2074" s="10">
        <v>14</v>
      </c>
      <c r="F2074" s="10">
        <v>1</v>
      </c>
      <c r="G2074" s="10">
        <v>0</v>
      </c>
      <c r="H2074" s="10">
        <v>1</v>
      </c>
      <c r="I2074" s="10">
        <v>8</v>
      </c>
      <c r="J2074" s="10">
        <f>SUM(B2074:I2074)</f>
        <v>42.53</v>
      </c>
      <c r="K2074">
        <v>2019</v>
      </c>
      <c r="L2074">
        <v>9</v>
      </c>
      <c r="M2074" s="11">
        <v>43709</v>
      </c>
      <c r="N2074" t="s">
        <v>2181</v>
      </c>
      <c r="O2074">
        <v>4</v>
      </c>
      <c r="P2074" t="s">
        <v>53</v>
      </c>
      <c r="Q2074" t="b">
        <v>1</v>
      </c>
    </row>
    <row r="2075" spans="1:17">
      <c r="A2075" s="12">
        <v>43714</v>
      </c>
      <c r="B2075" s="10">
        <v>1.68</v>
      </c>
      <c r="C2075" s="10">
        <v>2.67</v>
      </c>
      <c r="D2075" s="10">
        <v>1</v>
      </c>
      <c r="E2075" s="10">
        <v>28.4</v>
      </c>
      <c r="F2075" s="10">
        <v>7</v>
      </c>
      <c r="G2075" s="10">
        <v>0</v>
      </c>
      <c r="H2075" s="10">
        <v>0</v>
      </c>
      <c r="I2075" s="10">
        <v>1.5</v>
      </c>
      <c r="J2075" s="10">
        <f>SUM(B2075:I2075)</f>
        <v>42.25</v>
      </c>
      <c r="K2075">
        <v>2019</v>
      </c>
      <c r="L2075">
        <v>9</v>
      </c>
      <c r="M2075" s="11">
        <v>43709</v>
      </c>
      <c r="N2075" t="s">
        <v>2181</v>
      </c>
      <c r="O2075">
        <v>5</v>
      </c>
      <c r="P2075" t="s">
        <v>55</v>
      </c>
      <c r="Q2075" t="b">
        <v>1</v>
      </c>
    </row>
    <row r="2076" spans="1:17">
      <c r="A2076" s="12">
        <v>43715</v>
      </c>
      <c r="B2076" s="10">
        <v>8.33</v>
      </c>
      <c r="C2076" s="10">
        <v>3.67</v>
      </c>
      <c r="D2076" s="10">
        <v>2</v>
      </c>
      <c r="E2076" s="10">
        <v>27</v>
      </c>
      <c r="F2076" s="10">
        <v>14</v>
      </c>
      <c r="G2076" s="10">
        <v>3</v>
      </c>
      <c r="H2076" s="10">
        <v>6</v>
      </c>
      <c r="I2076" s="10">
        <v>2</v>
      </c>
      <c r="J2076" s="10">
        <f>SUM(B2076:I2076)</f>
        <v>66.0</v>
      </c>
      <c r="K2076">
        <v>2019</v>
      </c>
      <c r="L2076">
        <v>9</v>
      </c>
      <c r="M2076" s="11">
        <v>43709</v>
      </c>
      <c r="N2076" t="s">
        <v>2181</v>
      </c>
      <c r="O2076">
        <v>6</v>
      </c>
      <c r="P2076" t="s">
        <v>57</v>
      </c>
      <c r="Q2076" t="b">
        <v>1</v>
      </c>
    </row>
    <row r="2077" spans="1:17">
      <c r="A2077" s="12">
        <v>43716</v>
      </c>
      <c r="B2077" s="10">
        <v>7.01</v>
      </c>
      <c r="C2077" s="10">
        <v>6.087</v>
      </c>
      <c r="D2077" s="10">
        <v>3</v>
      </c>
      <c r="E2077" s="10">
        <v>26</v>
      </c>
      <c r="F2077" s="10">
        <v>7</v>
      </c>
      <c r="G2077" s="10">
        <v>0</v>
      </c>
      <c r="H2077" s="10">
        <v>3</v>
      </c>
      <c r="I2077" s="10">
        <v>3</v>
      </c>
      <c r="J2077" s="10">
        <f>SUM(B2077:I2077)</f>
        <v>55.097</v>
      </c>
      <c r="K2077">
        <v>2019</v>
      </c>
      <c r="L2077">
        <v>9</v>
      </c>
      <c r="M2077" s="11">
        <v>43709</v>
      </c>
      <c r="N2077" t="s">
        <v>2181</v>
      </c>
      <c r="O2077">
        <v>7</v>
      </c>
      <c r="P2077" t="s">
        <v>59</v>
      </c>
      <c r="Q2077" t="b">
        <v>1</v>
      </c>
    </row>
    <row r="2078" spans="1:17">
      <c r="A2078" s="12">
        <v>43717</v>
      </c>
      <c r="B2078" s="10">
        <v>1.18</v>
      </c>
      <c r="C2078" s="10">
        <v>2.124</v>
      </c>
      <c r="D2078" s="10">
        <v>3</v>
      </c>
      <c r="E2078" s="10">
        <v>26</v>
      </c>
      <c r="F2078" s="10">
        <v>4</v>
      </c>
      <c r="G2078" s="10">
        <v>3</v>
      </c>
      <c r="H2078" s="10">
        <v>5</v>
      </c>
      <c r="I2078" s="10">
        <v>2</v>
      </c>
      <c r="J2078" s="10">
        <f>SUM(B2078:I2078)</f>
        <v>46.304</v>
      </c>
      <c r="K2078">
        <v>2019</v>
      </c>
      <c r="L2078">
        <v>9</v>
      </c>
      <c r="M2078" s="11">
        <v>43709</v>
      </c>
      <c r="N2078" t="s">
        <v>2181</v>
      </c>
      <c r="O2078">
        <v>1</v>
      </c>
      <c r="P2078" t="s">
        <v>61</v>
      </c>
      <c r="Q2078" t="b">
        <v>1</v>
      </c>
    </row>
    <row r="2079" spans="1:17">
      <c r="A2079" s="12">
        <v>43718</v>
      </c>
      <c r="B2079" s="10">
        <v>8.66</v>
      </c>
      <c r="C2079" s="10">
        <v>6.68</v>
      </c>
      <c r="D2079" s="10">
        <v>4.2</v>
      </c>
      <c r="E2079" s="10">
        <v>22</v>
      </c>
      <c r="F2079" s="10">
        <v>17</v>
      </c>
      <c r="G2079" s="10">
        <v>0</v>
      </c>
      <c r="H2079" s="10">
        <v>1</v>
      </c>
      <c r="I2079" s="10">
        <v>1</v>
      </c>
      <c r="J2079" s="10">
        <f>SUM(B2079:I2079)</f>
        <v>60.54</v>
      </c>
      <c r="K2079">
        <v>2019</v>
      </c>
      <c r="L2079">
        <v>9</v>
      </c>
      <c r="M2079" s="11">
        <v>43709</v>
      </c>
      <c r="N2079" t="s">
        <v>2181</v>
      </c>
      <c r="O2079">
        <v>2</v>
      </c>
      <c r="P2079" t="s">
        <v>63</v>
      </c>
      <c r="Q2079" t="b">
        <v>1</v>
      </c>
    </row>
    <row r="2080" spans="1:17">
      <c r="A2080" s="12">
        <v>43719</v>
      </c>
      <c r="B2080" s="10">
        <v>2.67</v>
      </c>
      <c r="C2080" s="10">
        <v>5.076</v>
      </c>
      <c r="D2080" s="10">
        <v>3</v>
      </c>
      <c r="E2080" s="10">
        <v>42</v>
      </c>
      <c r="F2080" s="10">
        <v>5</v>
      </c>
      <c r="G2080" s="10">
        <v>0</v>
      </c>
      <c r="H2080" s="10">
        <v>5</v>
      </c>
      <c r="I2080" s="10">
        <v>2.5</v>
      </c>
      <c r="J2080" s="10">
        <f>SUM(B2080:I2080)</f>
        <v>65.246</v>
      </c>
      <c r="K2080">
        <v>2019</v>
      </c>
      <c r="L2080">
        <v>9</v>
      </c>
      <c r="M2080" s="11">
        <v>43709</v>
      </c>
      <c r="N2080" t="s">
        <v>2181</v>
      </c>
      <c r="O2080">
        <v>3</v>
      </c>
      <c r="P2080" t="s">
        <v>65</v>
      </c>
      <c r="Q2080" t="b">
        <v>1</v>
      </c>
    </row>
    <row r="2081" spans="1:17">
      <c r="A2081" s="12">
        <v>43720</v>
      </c>
      <c r="B2081" s="10">
        <v>2.33</v>
      </c>
      <c r="C2081" s="10">
        <v>1.34</v>
      </c>
      <c r="D2081" s="10">
        <v>2</v>
      </c>
      <c r="E2081" s="10">
        <v>21.975</v>
      </c>
      <c r="F2081" s="10">
        <v>11.2</v>
      </c>
      <c r="G2081" s="10">
        <v>0</v>
      </c>
      <c r="H2081" s="10">
        <v>10</v>
      </c>
      <c r="I2081" s="10">
        <v>4</v>
      </c>
      <c r="J2081" s="10">
        <f>SUM(B2081:I2081)</f>
        <v>52.845</v>
      </c>
      <c r="K2081">
        <v>2019</v>
      </c>
      <c r="L2081">
        <v>9</v>
      </c>
      <c r="M2081" s="11">
        <v>43709</v>
      </c>
      <c r="N2081" t="s">
        <v>2181</v>
      </c>
      <c r="O2081">
        <v>4</v>
      </c>
      <c r="P2081" t="s">
        <v>53</v>
      </c>
      <c r="Q2081" t="b">
        <v>1</v>
      </c>
    </row>
    <row r="2082" spans="1:17">
      <c r="A2082" s="12">
        <v>43721</v>
      </c>
      <c r="B2082" s="10">
        <v>6.34</v>
      </c>
      <c r="C2082" s="10">
        <v>3.35</v>
      </c>
      <c r="D2082" s="10">
        <v>2</v>
      </c>
      <c r="E2082" s="10">
        <v>17</v>
      </c>
      <c r="F2082" s="10">
        <v>12</v>
      </c>
      <c r="G2082" s="10">
        <v>2</v>
      </c>
      <c r="H2082" s="10">
        <v>5</v>
      </c>
      <c r="I2082" s="10">
        <v>5</v>
      </c>
      <c r="J2082" s="10">
        <f>SUM(B2082:I2082)</f>
        <v>52.69</v>
      </c>
      <c r="K2082">
        <v>2019</v>
      </c>
      <c r="L2082">
        <v>9</v>
      </c>
      <c r="M2082" s="11">
        <v>43709</v>
      </c>
      <c r="N2082" t="s">
        <v>2181</v>
      </c>
      <c r="O2082">
        <v>5</v>
      </c>
      <c r="P2082" t="s">
        <v>55</v>
      </c>
      <c r="Q2082" t="b">
        <v>1</v>
      </c>
    </row>
    <row r="2083" spans="1:17">
      <c r="A2083" s="12">
        <v>43722</v>
      </c>
      <c r="B2083" s="10">
        <v>8.99</v>
      </c>
      <c r="C2083" s="10">
        <v>6.397</v>
      </c>
      <c r="D2083" s="10">
        <v>3.45</v>
      </c>
      <c r="E2083" s="10">
        <v>24</v>
      </c>
      <c r="F2083" s="10">
        <v>12</v>
      </c>
      <c r="G2083" s="10">
        <v>0</v>
      </c>
      <c r="H2083" s="10">
        <v>2</v>
      </c>
      <c r="I2083" s="10">
        <v>10</v>
      </c>
      <c r="J2083" s="10">
        <f>SUM(B2083:I2083)</f>
        <v>66.837</v>
      </c>
      <c r="K2083">
        <v>2019</v>
      </c>
      <c r="L2083">
        <v>9</v>
      </c>
      <c r="M2083" s="11">
        <v>43709</v>
      </c>
      <c r="N2083" t="s">
        <v>2181</v>
      </c>
      <c r="O2083">
        <v>6</v>
      </c>
      <c r="P2083" t="s">
        <v>57</v>
      </c>
      <c r="Q2083" t="b">
        <v>1</v>
      </c>
    </row>
    <row r="2084" spans="1:17">
      <c r="A2084" s="12">
        <v>43723</v>
      </c>
      <c r="B2084" s="10">
        <v>5.34</v>
      </c>
      <c r="C2084" s="10">
        <v>6.01</v>
      </c>
      <c r="D2084" s="10">
        <v>2</v>
      </c>
      <c r="E2084" s="10">
        <v>25.4</v>
      </c>
      <c r="F2084" s="10">
        <v>6</v>
      </c>
      <c r="G2084" s="10">
        <v>0</v>
      </c>
      <c r="H2084" s="10">
        <v>2</v>
      </c>
      <c r="I2084" s="10">
        <v>6</v>
      </c>
      <c r="J2084" s="10">
        <f>SUM(B2084:I2084)</f>
        <v>52.75</v>
      </c>
      <c r="K2084">
        <v>2019</v>
      </c>
      <c r="L2084">
        <v>9</v>
      </c>
      <c r="M2084" s="11">
        <v>43709</v>
      </c>
      <c r="N2084" t="s">
        <v>2181</v>
      </c>
      <c r="O2084">
        <v>7</v>
      </c>
      <c r="P2084" t="s">
        <v>59</v>
      </c>
      <c r="Q2084" t="b">
        <v>1</v>
      </c>
    </row>
    <row r="2085" spans="1:17">
      <c r="A2085" s="12">
        <v>43724</v>
      </c>
      <c r="B2085" s="10">
        <v>9.33</v>
      </c>
      <c r="C2085" s="10">
        <v>2.316</v>
      </c>
      <c r="D2085" s="10">
        <v>3</v>
      </c>
      <c r="E2085" s="10">
        <v>22</v>
      </c>
      <c r="F2085" s="10">
        <v>5</v>
      </c>
      <c r="G2085" s="10">
        <v>1</v>
      </c>
      <c r="H2085" s="10">
        <v>0</v>
      </c>
      <c r="I2085" s="10">
        <v>2</v>
      </c>
      <c r="J2085" s="10">
        <f>SUM(B2085:I2085)</f>
        <v>44.646</v>
      </c>
      <c r="K2085">
        <v>2019</v>
      </c>
      <c r="L2085">
        <v>9</v>
      </c>
      <c r="M2085" s="11">
        <v>43709</v>
      </c>
      <c r="N2085" t="s">
        <v>2181</v>
      </c>
      <c r="O2085">
        <v>1</v>
      </c>
      <c r="P2085" t="s">
        <v>61</v>
      </c>
      <c r="Q2085" t="b">
        <v>1</v>
      </c>
    </row>
    <row r="2086" spans="1:17">
      <c r="A2086" s="12">
        <v>43725</v>
      </c>
      <c r="B2086" s="10">
        <v>4.5</v>
      </c>
      <c r="C2086" s="10">
        <v>3.007</v>
      </c>
      <c r="D2086" s="10">
        <v>6.5</v>
      </c>
      <c r="E2086" s="10">
        <v>19.2</v>
      </c>
      <c r="F2086" s="10">
        <v>8.199999999999999</v>
      </c>
      <c r="G2086" s="10">
        <v>0</v>
      </c>
      <c r="H2086" s="10">
        <v>6</v>
      </c>
      <c r="I2086" s="10">
        <v>2</v>
      </c>
      <c r="J2086" s="10">
        <f>SUM(B2086:I2086)</f>
        <v>49.407</v>
      </c>
      <c r="K2086">
        <v>2019</v>
      </c>
      <c r="L2086">
        <v>9</v>
      </c>
      <c r="M2086" s="11">
        <v>43709</v>
      </c>
      <c r="N2086" t="s">
        <v>2181</v>
      </c>
      <c r="O2086">
        <v>2</v>
      </c>
      <c r="P2086" t="s">
        <v>63</v>
      </c>
      <c r="Q2086" t="b">
        <v>1</v>
      </c>
    </row>
    <row r="2087" spans="1:17">
      <c r="A2087" s="12">
        <v>43726</v>
      </c>
      <c r="B2087" s="10">
        <v>6.33</v>
      </c>
      <c r="C2087" s="10">
        <v>4.33</v>
      </c>
      <c r="D2087" s="10">
        <v>7</v>
      </c>
      <c r="E2087" s="10">
        <v>22</v>
      </c>
      <c r="F2087" s="10">
        <v>4</v>
      </c>
      <c r="G2087" s="10">
        <v>0</v>
      </c>
      <c r="H2087" s="10">
        <v>2</v>
      </c>
      <c r="I2087" s="10">
        <v>2</v>
      </c>
      <c r="J2087" s="10">
        <f>SUM(B2087:I2087)</f>
        <v>47.66</v>
      </c>
      <c r="K2087">
        <v>2019</v>
      </c>
      <c r="L2087">
        <v>9</v>
      </c>
      <c r="M2087" s="11">
        <v>43709</v>
      </c>
      <c r="N2087" t="s">
        <v>2181</v>
      </c>
      <c r="O2087">
        <v>3</v>
      </c>
      <c r="P2087" t="s">
        <v>65</v>
      </c>
      <c r="Q2087" t="b">
        <v>1</v>
      </c>
    </row>
    <row r="2088" spans="1:17">
      <c r="A2088" s="12">
        <v>43727</v>
      </c>
      <c r="B2088" s="10">
        <v>7.33</v>
      </c>
      <c r="C2088" s="10">
        <v>3.34</v>
      </c>
      <c r="D2088" s="10">
        <v>3</v>
      </c>
      <c r="E2088" s="10">
        <v>33</v>
      </c>
      <c r="F2088" s="10">
        <v>5</v>
      </c>
      <c r="G2088" s="10">
        <v>2</v>
      </c>
      <c r="H2088" s="10">
        <v>3</v>
      </c>
      <c r="I2088" s="10">
        <v>4</v>
      </c>
      <c r="J2088" s="10">
        <f>SUM(B2088:I2088)</f>
        <v>60.67</v>
      </c>
      <c r="K2088">
        <v>2019</v>
      </c>
      <c r="L2088">
        <v>9</v>
      </c>
      <c r="M2088" s="11">
        <v>43709</v>
      </c>
      <c r="N2088" t="s">
        <v>2181</v>
      </c>
      <c r="O2088">
        <v>4</v>
      </c>
      <c r="P2088" t="s">
        <v>53</v>
      </c>
      <c r="Q2088" t="b">
        <v>1</v>
      </c>
    </row>
    <row r="2089" spans="1:17">
      <c r="A2089" s="12">
        <v>43728</v>
      </c>
      <c r="B2089" s="10">
        <v>5.34</v>
      </c>
      <c r="C2089" s="10">
        <v>3.383</v>
      </c>
      <c r="D2089" s="10">
        <v>2</v>
      </c>
      <c r="E2089" s="10">
        <v>51.3</v>
      </c>
      <c r="F2089" s="10">
        <v>3</v>
      </c>
      <c r="G2089" s="10">
        <v>0</v>
      </c>
      <c r="H2089" s="10">
        <v>1</v>
      </c>
      <c r="I2089" s="10">
        <v>3</v>
      </c>
      <c r="J2089" s="10">
        <f>SUM(B2089:I2089)</f>
        <v>69.023</v>
      </c>
      <c r="K2089">
        <v>2019</v>
      </c>
      <c r="L2089">
        <v>9</v>
      </c>
      <c r="M2089" s="11">
        <v>43709</v>
      </c>
      <c r="N2089" t="s">
        <v>2181</v>
      </c>
      <c r="O2089">
        <v>5</v>
      </c>
      <c r="P2089" t="s">
        <v>55</v>
      </c>
      <c r="Q2089" t="b">
        <v>1</v>
      </c>
    </row>
    <row r="2090" spans="1:17">
      <c r="A2090" s="12">
        <v>43729</v>
      </c>
      <c r="B2090" s="10">
        <v>10.68</v>
      </c>
      <c r="C2090" s="10">
        <v>5.68</v>
      </c>
      <c r="D2090" s="10">
        <v>1</v>
      </c>
      <c r="E2090" s="10">
        <v>44.25</v>
      </c>
      <c r="F2090" s="10">
        <v>3</v>
      </c>
      <c r="G2090" s="10">
        <v>0</v>
      </c>
      <c r="H2090" s="10">
        <v>6</v>
      </c>
      <c r="I2090" s="10">
        <v>4</v>
      </c>
      <c r="J2090" s="10">
        <f>SUM(B2090:I2090)</f>
        <v>74.61</v>
      </c>
      <c r="K2090">
        <v>2019</v>
      </c>
      <c r="L2090">
        <v>9</v>
      </c>
      <c r="M2090" s="11">
        <v>43709</v>
      </c>
      <c r="N2090" t="s">
        <v>2181</v>
      </c>
      <c r="O2090">
        <v>6</v>
      </c>
      <c r="P2090" t="s">
        <v>57</v>
      </c>
      <c r="Q2090" t="b">
        <v>1</v>
      </c>
    </row>
    <row r="2091" spans="1:17">
      <c r="A2091" s="12">
        <v>43730</v>
      </c>
      <c r="B2091" s="10">
        <v>3.33</v>
      </c>
      <c r="C2091" s="10">
        <v>3.34</v>
      </c>
      <c r="D2091" s="10">
        <v>1.9</v>
      </c>
      <c r="E2091" s="10">
        <v>56.5</v>
      </c>
      <c r="F2091" s="10">
        <v>3</v>
      </c>
      <c r="G2091" s="10">
        <v>0</v>
      </c>
      <c r="H2091" s="10">
        <v>8</v>
      </c>
      <c r="I2091" s="10">
        <v>4</v>
      </c>
      <c r="J2091" s="10">
        <f>SUM(B2091:I2091)</f>
        <v>80.07</v>
      </c>
      <c r="K2091">
        <v>2019</v>
      </c>
      <c r="L2091">
        <v>9</v>
      </c>
      <c r="M2091" s="11">
        <v>43709</v>
      </c>
      <c r="N2091" t="s">
        <v>2181</v>
      </c>
      <c r="O2091">
        <v>7</v>
      </c>
      <c r="P2091" t="s">
        <v>59</v>
      </c>
      <c r="Q2091" t="b">
        <v>1</v>
      </c>
    </row>
    <row r="2092" spans="1:17">
      <c r="A2092" s="12">
        <v>43731</v>
      </c>
      <c r="B2092" s="10">
        <v>5.34</v>
      </c>
      <c r="C2092" s="10">
        <v>4.549</v>
      </c>
      <c r="D2092" s="10">
        <v>3.3</v>
      </c>
      <c r="E2092" s="10">
        <v>55</v>
      </c>
      <c r="F2092" s="10">
        <v>6</v>
      </c>
      <c r="G2092" s="10">
        <v>0</v>
      </c>
      <c r="H2092" s="10">
        <v>1</v>
      </c>
      <c r="I2092" s="10">
        <v>4</v>
      </c>
      <c r="J2092" s="10">
        <f>SUM(B2092:I2092)</f>
        <v>79.189</v>
      </c>
      <c r="K2092">
        <v>2019</v>
      </c>
      <c r="L2092">
        <v>9</v>
      </c>
      <c r="M2092" s="11">
        <v>43709</v>
      </c>
      <c r="N2092" t="s">
        <v>2181</v>
      </c>
      <c r="O2092">
        <v>1</v>
      </c>
      <c r="P2092" t="s">
        <v>61</v>
      </c>
      <c r="Q2092" t="b">
        <v>1</v>
      </c>
    </row>
    <row r="2093" spans="1:17">
      <c r="A2093" s="12">
        <v>43732</v>
      </c>
      <c r="B2093" s="10">
        <v>2</v>
      </c>
      <c r="C2093" s="10">
        <v>1.34</v>
      </c>
      <c r="D2093" s="10">
        <v>6</v>
      </c>
      <c r="E2093" s="10">
        <v>61.3</v>
      </c>
      <c r="F2093" s="10">
        <v>12</v>
      </c>
      <c r="G2093" s="10">
        <v>0</v>
      </c>
      <c r="H2093" s="10">
        <v>1</v>
      </c>
      <c r="I2093" s="10">
        <v>6</v>
      </c>
      <c r="J2093" s="10">
        <f>SUM(B2093:I2093)</f>
        <v>89.64</v>
      </c>
      <c r="K2093">
        <v>2019</v>
      </c>
      <c r="L2093">
        <v>9</v>
      </c>
      <c r="M2093" s="11">
        <v>43709</v>
      </c>
      <c r="N2093" t="s">
        <v>2181</v>
      </c>
      <c r="O2093">
        <v>2</v>
      </c>
      <c r="P2093" t="s">
        <v>63</v>
      </c>
      <c r="Q2093" t="b">
        <v>1</v>
      </c>
    </row>
    <row r="2094" spans="1:17">
      <c r="A2094" s="12">
        <v>43733</v>
      </c>
      <c r="B2094" s="10">
        <v>6</v>
      </c>
      <c r="C2094" s="10">
        <v>3.67</v>
      </c>
      <c r="D2094" s="10">
        <v>4.2</v>
      </c>
      <c r="E2094" s="10">
        <v>32.5</v>
      </c>
      <c r="F2094" s="10">
        <v>14</v>
      </c>
      <c r="G2094" s="10">
        <v>1</v>
      </c>
      <c r="H2094" s="10">
        <v>1.416666667</v>
      </c>
      <c r="I2094" s="10">
        <v>4</v>
      </c>
      <c r="J2094" s="10">
        <f>SUM(B2094:I2094)</f>
        <v>66.786666667</v>
      </c>
      <c r="K2094">
        <v>2019</v>
      </c>
      <c r="L2094">
        <v>9</v>
      </c>
      <c r="M2094" s="11">
        <v>43709</v>
      </c>
      <c r="N2094" t="s">
        <v>2181</v>
      </c>
      <c r="O2094">
        <v>3</v>
      </c>
      <c r="P2094" t="s">
        <v>65</v>
      </c>
      <c r="Q2094" t="b">
        <v>1</v>
      </c>
    </row>
    <row r="2095" spans="1:17">
      <c r="A2095" s="12">
        <v>43734</v>
      </c>
      <c r="B2095" s="10">
        <v>5.5</v>
      </c>
      <c r="C2095" s="10">
        <v>3.033</v>
      </c>
      <c r="D2095" s="10">
        <v>2</v>
      </c>
      <c r="E2095" s="10">
        <v>31</v>
      </c>
      <c r="F2095" s="10">
        <v>13</v>
      </c>
      <c r="G2095" s="10">
        <v>0</v>
      </c>
      <c r="H2095" s="10">
        <v>31</v>
      </c>
      <c r="I2095" s="10">
        <v>0</v>
      </c>
      <c r="J2095" s="10">
        <f>SUM(B2095:I2095)</f>
        <v>85.533</v>
      </c>
      <c r="K2095">
        <v>2019</v>
      </c>
      <c r="L2095">
        <v>9</v>
      </c>
      <c r="M2095" s="11">
        <v>43709</v>
      </c>
      <c r="N2095" t="s">
        <v>2181</v>
      </c>
      <c r="O2095">
        <v>4</v>
      </c>
      <c r="P2095" t="s">
        <v>53</v>
      </c>
      <c r="Q2095" t="b">
        <v>1</v>
      </c>
    </row>
    <row r="2096" spans="1:17">
      <c r="A2096" s="12">
        <v>43735</v>
      </c>
      <c r="B2096" s="10">
        <v>4.66</v>
      </c>
      <c r="C2096" s="10">
        <v>4.359</v>
      </c>
      <c r="D2096" s="10">
        <v>4</v>
      </c>
      <c r="E2096" s="10">
        <v>41.1</v>
      </c>
      <c r="F2096" s="10">
        <v>4</v>
      </c>
      <c r="G2096" s="10">
        <v>0</v>
      </c>
      <c r="H2096" s="10">
        <v>2</v>
      </c>
      <c r="I2096" s="10">
        <v>4</v>
      </c>
      <c r="J2096" s="10">
        <f>SUM(B2096:I2096)</f>
        <v>64.119</v>
      </c>
      <c r="K2096">
        <v>2019</v>
      </c>
      <c r="L2096">
        <v>9</v>
      </c>
      <c r="M2096" s="11">
        <v>43709</v>
      </c>
      <c r="N2096" t="s">
        <v>2181</v>
      </c>
      <c r="O2096">
        <v>5</v>
      </c>
      <c r="P2096" t="s">
        <v>55</v>
      </c>
      <c r="Q2096" t="b">
        <v>1</v>
      </c>
    </row>
    <row r="2097" spans="1:17">
      <c r="A2097" s="12">
        <v>43736</v>
      </c>
      <c r="B2097" s="10">
        <v>7</v>
      </c>
      <c r="C2097" s="10">
        <v>1.68</v>
      </c>
      <c r="D2097" s="10">
        <v>4.1</v>
      </c>
      <c r="E2097" s="10">
        <v>48</v>
      </c>
      <c r="F2097" s="10">
        <v>6.2</v>
      </c>
      <c r="G2097" s="10">
        <v>0</v>
      </c>
      <c r="H2097" s="10">
        <v>1</v>
      </c>
      <c r="I2097" s="10">
        <v>3</v>
      </c>
      <c r="J2097" s="10">
        <f>SUM(B2097:I2097)</f>
        <v>70.98</v>
      </c>
      <c r="K2097">
        <v>2019</v>
      </c>
      <c r="L2097">
        <v>9</v>
      </c>
      <c r="M2097" s="11">
        <v>43709</v>
      </c>
      <c r="N2097" t="s">
        <v>2181</v>
      </c>
      <c r="O2097">
        <v>6</v>
      </c>
      <c r="P2097" t="s">
        <v>57</v>
      </c>
      <c r="Q2097" t="b">
        <v>1</v>
      </c>
    </row>
    <row r="2098" spans="1:17">
      <c r="A2098" s="12">
        <v>43737</v>
      </c>
      <c r="B2098" s="10">
        <v>3.51</v>
      </c>
      <c r="C2098" s="10">
        <v>3.867</v>
      </c>
      <c r="D2098" s="10">
        <v>3</v>
      </c>
      <c r="E2098" s="10">
        <v>67.8</v>
      </c>
      <c r="F2098" s="10">
        <v>6</v>
      </c>
      <c r="G2098" s="10">
        <v>0</v>
      </c>
      <c r="H2098" s="10">
        <v>3</v>
      </c>
      <c r="I2098" s="10">
        <v>2.1</v>
      </c>
      <c r="J2098" s="10">
        <f>SUM(B2098:I2098)</f>
        <v>89.27699999999999</v>
      </c>
      <c r="K2098">
        <v>2019</v>
      </c>
      <c r="L2098">
        <v>9</v>
      </c>
      <c r="M2098" s="11">
        <v>43709</v>
      </c>
      <c r="N2098" t="s">
        <v>2181</v>
      </c>
      <c r="O2098">
        <v>7</v>
      </c>
      <c r="P2098" t="s">
        <v>59</v>
      </c>
      <c r="Q2098" t="b">
        <v>1</v>
      </c>
    </row>
    <row r="2099" spans="1:17">
      <c r="A2099" s="12">
        <v>43738</v>
      </c>
      <c r="B2099" s="10">
        <v>2</v>
      </c>
      <c r="C2099" s="10">
        <v>1.439</v>
      </c>
      <c r="D2099" s="10">
        <v>2.1</v>
      </c>
      <c r="E2099" s="10">
        <v>49.4</v>
      </c>
      <c r="F2099" s="10">
        <v>9</v>
      </c>
      <c r="G2099" s="10">
        <v>0</v>
      </c>
      <c r="H2099" s="10">
        <v>5</v>
      </c>
      <c r="I2099" s="10">
        <v>2</v>
      </c>
      <c r="J2099" s="10">
        <f>SUM(B2099:I2099)</f>
        <v>70.939</v>
      </c>
      <c r="K2099">
        <v>2019</v>
      </c>
      <c r="L2099">
        <v>9</v>
      </c>
      <c r="M2099" s="11">
        <v>43709</v>
      </c>
      <c r="N2099" t="s">
        <v>2181</v>
      </c>
      <c r="O2099">
        <v>1</v>
      </c>
      <c r="P2099" t="s">
        <v>61</v>
      </c>
      <c r="Q2099" t="b">
        <v>1</v>
      </c>
    </row>
    <row r="2100" spans="1:17">
      <c r="A2100" s="12">
        <v>43739</v>
      </c>
      <c r="B2100" s="10">
        <v>11.34</v>
      </c>
      <c r="C2100" s="10">
        <v>2.406</v>
      </c>
      <c r="D2100" s="10">
        <v>0.1</v>
      </c>
      <c r="E2100" s="10">
        <v>47</v>
      </c>
      <c r="F2100" s="10">
        <v>15</v>
      </c>
      <c r="G2100" s="10">
        <v>4</v>
      </c>
      <c r="H2100" s="10">
        <v>17</v>
      </c>
      <c r="I2100" s="10">
        <v>1.5</v>
      </c>
      <c r="J2100" s="10">
        <f>SUM(B2100:I2100)</f>
        <v>98.346</v>
      </c>
      <c r="K2100">
        <v>2019</v>
      </c>
      <c r="L2100">
        <v>10</v>
      </c>
      <c r="M2100" s="11">
        <v>43739</v>
      </c>
      <c r="N2100" t="s">
        <v>2182</v>
      </c>
      <c r="O2100">
        <v>2</v>
      </c>
      <c r="P2100" t="s">
        <v>63</v>
      </c>
      <c r="Q2100" t="b">
        <v>0</v>
      </c>
    </row>
    <row r="2101" spans="1:17">
      <c r="A2101" s="12">
        <v>43740</v>
      </c>
      <c r="B2101" s="10">
        <v>5.18</v>
      </c>
      <c r="C2101" s="10">
        <v>3.274</v>
      </c>
      <c r="D2101" s="10">
        <v>2.8</v>
      </c>
      <c r="E2101" s="10">
        <v>30.2</v>
      </c>
      <c r="F2101" s="10">
        <v>9</v>
      </c>
      <c r="G2101" s="10">
        <v>1</v>
      </c>
      <c r="H2101" s="10">
        <v>0</v>
      </c>
      <c r="I2101" s="10">
        <v>1.1</v>
      </c>
      <c r="J2101" s="10">
        <f>SUM(B2101:I2101)</f>
        <v>52.554</v>
      </c>
      <c r="K2101">
        <v>2019</v>
      </c>
      <c r="L2101">
        <v>10</v>
      </c>
      <c r="M2101" s="11">
        <v>43739</v>
      </c>
      <c r="N2101" t="s">
        <v>2182</v>
      </c>
      <c r="O2101">
        <v>3</v>
      </c>
      <c r="P2101" t="s">
        <v>65</v>
      </c>
      <c r="Q2101" t="b">
        <v>0</v>
      </c>
    </row>
    <row r="2102" spans="1:17">
      <c r="A2102" s="12">
        <v>43741</v>
      </c>
      <c r="B2102" s="10">
        <v>5</v>
      </c>
      <c r="C2102" s="10">
        <v>3</v>
      </c>
      <c r="D2102" s="10">
        <v>4</v>
      </c>
      <c r="E2102" s="10">
        <v>40.4</v>
      </c>
      <c r="F2102" s="10">
        <v>10</v>
      </c>
      <c r="G2102" s="10">
        <v>0</v>
      </c>
      <c r="H2102" s="10">
        <v>2</v>
      </c>
      <c r="I2102" s="10">
        <v>2</v>
      </c>
      <c r="J2102" s="10">
        <f>SUM(B2102:I2102)</f>
        <v>66.4</v>
      </c>
      <c r="K2102">
        <v>2019</v>
      </c>
      <c r="L2102">
        <v>10</v>
      </c>
      <c r="M2102" s="11">
        <v>43739</v>
      </c>
      <c r="N2102" t="s">
        <v>2182</v>
      </c>
      <c r="O2102">
        <v>4</v>
      </c>
      <c r="P2102" t="s">
        <v>53</v>
      </c>
      <c r="Q2102" t="b">
        <v>0</v>
      </c>
    </row>
    <row r="2103" spans="1:17">
      <c r="A2103" s="12">
        <v>43742</v>
      </c>
      <c r="B2103" s="10">
        <v>7.34</v>
      </c>
      <c r="C2103" s="10">
        <v>5.683</v>
      </c>
      <c r="D2103" s="10">
        <v>2.25</v>
      </c>
      <c r="E2103" s="10">
        <v>22.45</v>
      </c>
      <c r="F2103" s="10">
        <v>13</v>
      </c>
      <c r="G2103" s="10">
        <v>0</v>
      </c>
      <c r="H2103" s="10">
        <v>1</v>
      </c>
      <c r="I2103" s="10">
        <v>1</v>
      </c>
      <c r="J2103" s="10">
        <f>SUM(B2103:I2103)</f>
        <v>52.723</v>
      </c>
      <c r="K2103">
        <v>2019</v>
      </c>
      <c r="L2103">
        <v>10</v>
      </c>
      <c r="M2103" s="11">
        <v>43739</v>
      </c>
      <c r="N2103" t="s">
        <v>2182</v>
      </c>
      <c r="O2103">
        <v>5</v>
      </c>
      <c r="P2103" t="s">
        <v>55</v>
      </c>
      <c r="Q2103" t="b">
        <v>0</v>
      </c>
    </row>
    <row r="2104" spans="1:17">
      <c r="A2104" s="12">
        <v>43743</v>
      </c>
      <c r="B2104" s="10">
        <v>3.84</v>
      </c>
      <c r="C2104" s="10">
        <v>5.01</v>
      </c>
      <c r="D2104" s="10">
        <v>6</v>
      </c>
      <c r="E2104" s="10">
        <v>25.4</v>
      </c>
      <c r="F2104" s="10">
        <v>7</v>
      </c>
      <c r="G2104" s="10">
        <v>0</v>
      </c>
      <c r="H2104" s="10">
        <v>0</v>
      </c>
      <c r="I2104" s="10">
        <v>0.33</v>
      </c>
      <c r="J2104" s="10">
        <f>SUM(B2104:I2104)</f>
        <v>47.58</v>
      </c>
      <c r="K2104">
        <v>2019</v>
      </c>
      <c r="L2104">
        <v>10</v>
      </c>
      <c r="M2104" s="11">
        <v>43739</v>
      </c>
      <c r="N2104" t="s">
        <v>2182</v>
      </c>
      <c r="O2104">
        <v>6</v>
      </c>
      <c r="P2104" t="s">
        <v>57</v>
      </c>
      <c r="Q2104" t="b">
        <v>0</v>
      </c>
    </row>
    <row r="2105" spans="1:17">
      <c r="A2105" s="12">
        <v>43744</v>
      </c>
      <c r="B2105" s="10">
        <v>4</v>
      </c>
      <c r="C2105" s="10">
        <v>11.69</v>
      </c>
      <c r="D2105" s="10">
        <v>2</v>
      </c>
      <c r="E2105" s="10">
        <v>34.6</v>
      </c>
      <c r="F2105" s="10">
        <v>6</v>
      </c>
      <c r="G2105" s="10">
        <v>0</v>
      </c>
      <c r="H2105" s="10">
        <v>5</v>
      </c>
      <c r="I2105" s="10">
        <v>4.2</v>
      </c>
      <c r="J2105" s="10">
        <f>SUM(B2105:I2105)</f>
        <v>67.49</v>
      </c>
      <c r="K2105">
        <v>2019</v>
      </c>
      <c r="L2105">
        <v>10</v>
      </c>
      <c r="M2105" s="11">
        <v>43739</v>
      </c>
      <c r="N2105" t="s">
        <v>2182</v>
      </c>
      <c r="O2105">
        <v>7</v>
      </c>
      <c r="P2105" t="s">
        <v>59</v>
      </c>
      <c r="Q2105" t="b">
        <v>0</v>
      </c>
    </row>
    <row r="2106" spans="1:17">
      <c r="A2106" s="12">
        <v>43745</v>
      </c>
      <c r="B2106" s="10">
        <v>7.34</v>
      </c>
      <c r="C2106" s="10">
        <v>4.507</v>
      </c>
      <c r="D2106" s="10">
        <v>3</v>
      </c>
      <c r="E2106" s="10">
        <v>50.8</v>
      </c>
      <c r="F2106" s="10">
        <v>6</v>
      </c>
      <c r="G2106" s="10">
        <v>0</v>
      </c>
      <c r="H2106" s="10">
        <v>10</v>
      </c>
      <c r="I2106" s="10">
        <v>1</v>
      </c>
      <c r="J2106" s="10">
        <f>SUM(B2106:I2106)</f>
        <v>82.64699999999999</v>
      </c>
      <c r="K2106">
        <v>2019</v>
      </c>
      <c r="L2106">
        <v>10</v>
      </c>
      <c r="M2106" s="11">
        <v>43739</v>
      </c>
      <c r="N2106" t="s">
        <v>2182</v>
      </c>
      <c r="O2106">
        <v>1</v>
      </c>
      <c r="P2106" t="s">
        <v>61</v>
      </c>
      <c r="Q2106" t="b">
        <v>0</v>
      </c>
    </row>
    <row r="2107" spans="1:17">
      <c r="A2107" s="12">
        <v>43746</v>
      </c>
      <c r="B2107" s="10">
        <v>0.33</v>
      </c>
      <c r="C2107" s="10">
        <v>1.73</v>
      </c>
      <c r="D2107" s="10">
        <v>0.5</v>
      </c>
      <c r="E2107" s="10">
        <v>44.3</v>
      </c>
      <c r="F2107" s="10">
        <v>20</v>
      </c>
      <c r="G2107" s="10">
        <v>2</v>
      </c>
      <c r="H2107" s="10">
        <v>2</v>
      </c>
      <c r="I2107" s="10">
        <v>0</v>
      </c>
      <c r="J2107" s="10">
        <f>SUM(B2107:I2107)</f>
        <v>70.86</v>
      </c>
      <c r="K2107">
        <v>2019</v>
      </c>
      <c r="L2107">
        <v>10</v>
      </c>
      <c r="M2107" s="11">
        <v>43739</v>
      </c>
      <c r="N2107" t="s">
        <v>2182</v>
      </c>
      <c r="O2107">
        <v>2</v>
      </c>
      <c r="P2107" t="s">
        <v>63</v>
      </c>
      <c r="Q2107" t="b">
        <v>0</v>
      </c>
    </row>
  </sheetData>
  <conditionalFormatting sqref="J2:J2107">
    <cfRule type="dataBar" priority="1">
      <dataBar>
        <cfvo type="min" val="0"/>
        <cfvo type="max" val="0"/>
        <color rgb="FF00A6A6"/>
      </dataBar>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sheetPr>
    <tabColor rgb="FF00A6A6"/>
  </sheetPr>
  <dimension ref="A1:K16849"/>
  <sheetViews>
    <sheetView showGridLines="0" workbookViewId="0">
      <pane ySplit="1" topLeftCell="A2" activePane="bottomLeft" state="frozen"/>
      <selection pane="bottomLeft"/>
    </sheetView>
  </sheetViews>
  <sheetFormatPr defaultRowHeight="15"/>
  <cols>
    <col min="1" max="1" width="13.7109375" customWidth="1"/>
    <col min="2" max="2" width="8.7109375" customWidth="1"/>
    <col min="3" max="4" width="13.7109375" customWidth="1"/>
    <col min="5" max="5" width="12.7109375" customWidth="1"/>
    <col min="6" max="7" width="15.7109375" customWidth="1"/>
    <col min="8" max="8" width="14.7109375" customWidth="1"/>
    <col min="9" max="9" width="58.7109375" customWidth="1"/>
    <col min="10" max="10" width="13.7109375" customWidth="1"/>
    <col min="11" max="11" width="20.7109375" customWidth="1"/>
  </cols>
  <sheetData>
    <row r="1" spans="1:11" ht="32.25" customHeight="1">
      <c r="A1" t="s">
        <v>2165</v>
      </c>
      <c r="B1" t="s">
        <v>48</v>
      </c>
      <c r="C1" t="s">
        <v>2167</v>
      </c>
      <c r="D1" t="s">
        <v>2168</v>
      </c>
      <c r="E1" t="s">
        <v>2169</v>
      </c>
      <c r="F1" t="s">
        <v>2170</v>
      </c>
      <c r="G1" t="s">
        <v>2171</v>
      </c>
      <c r="H1" t="s">
        <v>2185</v>
      </c>
      <c r="I1" t="s">
        <v>2186</v>
      </c>
      <c r="J1" t="s">
        <v>2187</v>
      </c>
      <c r="K1" t="s">
        <v>2172</v>
      </c>
    </row>
    <row r="2" spans="1:11">
      <c r="A2" s="12">
        <v>41641</v>
      </c>
      <c r="B2">
        <v>2014</v>
      </c>
      <c r="C2">
        <v>1</v>
      </c>
      <c r="D2" s="11">
        <v>41640</v>
      </c>
      <c r="E2" t="s">
        <v>2173</v>
      </c>
      <c r="F2">
        <v>4</v>
      </c>
      <c r="G2" t="s">
        <v>53</v>
      </c>
      <c r="H2" t="s">
        <v>40</v>
      </c>
      <c r="I2" t="s">
        <v>2188</v>
      </c>
      <c r="J2" s="10">
        <v>0</v>
      </c>
      <c r="K2" t="b">
        <v>0</v>
      </c>
    </row>
    <row r="3" spans="1:11">
      <c r="A3" s="12">
        <v>41641</v>
      </c>
      <c r="B3">
        <v>2014</v>
      </c>
      <c r="C3">
        <v>1</v>
      </c>
      <c r="D3" s="11">
        <v>41640</v>
      </c>
      <c r="E3" t="s">
        <v>2173</v>
      </c>
      <c r="F3">
        <v>4</v>
      </c>
      <c r="G3" t="s">
        <v>53</v>
      </c>
      <c r="H3" t="s">
        <v>41</v>
      </c>
      <c r="I3" t="s">
        <v>2189</v>
      </c>
      <c r="J3" s="10">
        <v>3.67</v>
      </c>
      <c r="K3" t="b">
        <v>0</v>
      </c>
    </row>
    <row r="4" spans="1:11">
      <c r="A4" s="12">
        <v>41641</v>
      </c>
      <c r="B4">
        <v>2014</v>
      </c>
      <c r="C4">
        <v>1</v>
      </c>
      <c r="D4" s="11">
        <v>41640</v>
      </c>
      <c r="E4" t="s">
        <v>2173</v>
      </c>
      <c r="F4">
        <v>4</v>
      </c>
      <c r="G4" t="s">
        <v>53</v>
      </c>
      <c r="H4" t="s">
        <v>42</v>
      </c>
      <c r="I4" t="s">
        <v>2190</v>
      </c>
      <c r="J4" s="10">
        <v>3.4</v>
      </c>
      <c r="K4" t="b">
        <v>0</v>
      </c>
    </row>
    <row r="5" spans="1:11">
      <c r="A5" s="12">
        <v>41641</v>
      </c>
      <c r="B5">
        <v>2014</v>
      </c>
      <c r="C5">
        <v>1</v>
      </c>
      <c r="D5" s="11">
        <v>41640</v>
      </c>
      <c r="E5" t="s">
        <v>2173</v>
      </c>
      <c r="F5">
        <v>4</v>
      </c>
      <c r="G5" t="s">
        <v>53</v>
      </c>
      <c r="H5" t="s">
        <v>43</v>
      </c>
      <c r="I5" t="s">
        <v>2191</v>
      </c>
      <c r="J5" s="10">
        <v>32.4</v>
      </c>
      <c r="K5" t="b">
        <v>0</v>
      </c>
    </row>
    <row r="6" spans="1:11">
      <c r="A6" s="12">
        <v>41641</v>
      </c>
      <c r="B6">
        <v>2014</v>
      </c>
      <c r="C6">
        <v>1</v>
      </c>
      <c r="D6" s="11">
        <v>41640</v>
      </c>
      <c r="E6" t="s">
        <v>2173</v>
      </c>
      <c r="F6">
        <v>4</v>
      </c>
      <c r="G6" t="s">
        <v>53</v>
      </c>
      <c r="H6" t="s">
        <v>44</v>
      </c>
      <c r="I6" t="s">
        <v>2192</v>
      </c>
      <c r="J6" s="10">
        <v>7</v>
      </c>
      <c r="K6" t="b">
        <v>0</v>
      </c>
    </row>
    <row r="7" spans="1:11">
      <c r="A7" s="12">
        <v>41641</v>
      </c>
      <c r="B7">
        <v>2014</v>
      </c>
      <c r="C7">
        <v>1</v>
      </c>
      <c r="D7" s="11">
        <v>41640</v>
      </c>
      <c r="E7" t="s">
        <v>2173</v>
      </c>
      <c r="F7">
        <v>4</v>
      </c>
      <c r="G7" t="s">
        <v>53</v>
      </c>
      <c r="H7" t="s">
        <v>45</v>
      </c>
      <c r="I7" t="s">
        <v>2193</v>
      </c>
      <c r="J7" s="10">
        <v>0</v>
      </c>
      <c r="K7" t="b">
        <v>0</v>
      </c>
    </row>
    <row r="8" spans="1:11">
      <c r="A8" s="12">
        <v>41641</v>
      </c>
      <c r="B8">
        <v>2014</v>
      </c>
      <c r="C8">
        <v>1</v>
      </c>
      <c r="D8" s="11">
        <v>41640</v>
      </c>
      <c r="E8" t="s">
        <v>2173</v>
      </c>
      <c r="F8">
        <v>4</v>
      </c>
      <c r="G8" t="s">
        <v>53</v>
      </c>
      <c r="H8" t="s">
        <v>46</v>
      </c>
      <c r="I8" t="s">
        <v>2194</v>
      </c>
      <c r="J8" s="10">
        <v>0</v>
      </c>
      <c r="K8" t="b">
        <v>0</v>
      </c>
    </row>
    <row r="9" spans="1:11">
      <c r="A9" s="12">
        <v>41641</v>
      </c>
      <c r="B9">
        <v>2014</v>
      </c>
      <c r="C9">
        <v>1</v>
      </c>
      <c r="D9" s="11">
        <v>41640</v>
      </c>
      <c r="E9" t="s">
        <v>2173</v>
      </c>
      <c r="F9">
        <v>4</v>
      </c>
      <c r="G9" t="s">
        <v>53</v>
      </c>
      <c r="H9" t="s">
        <v>47</v>
      </c>
      <c r="I9" t="s">
        <v>2195</v>
      </c>
      <c r="J9" s="10">
        <v>2</v>
      </c>
      <c r="K9" t="b">
        <v>0</v>
      </c>
    </row>
    <row r="10" spans="1:11">
      <c r="A10" s="12">
        <v>41642</v>
      </c>
      <c r="B10">
        <v>2014</v>
      </c>
      <c r="C10">
        <v>1</v>
      </c>
      <c r="D10" s="11">
        <v>41640</v>
      </c>
      <c r="E10" t="s">
        <v>2173</v>
      </c>
      <c r="F10">
        <v>5</v>
      </c>
      <c r="G10" t="s">
        <v>55</v>
      </c>
      <c r="H10" t="s">
        <v>40</v>
      </c>
      <c r="I10" t="s">
        <v>2188</v>
      </c>
      <c r="J10" s="10">
        <v>8</v>
      </c>
      <c r="K10" t="b">
        <v>0</v>
      </c>
    </row>
    <row r="11" spans="1:11">
      <c r="A11" s="12">
        <v>41642</v>
      </c>
      <c r="B11">
        <v>2014</v>
      </c>
      <c r="C11">
        <v>1</v>
      </c>
      <c r="D11" s="11">
        <v>41640</v>
      </c>
      <c r="E11" t="s">
        <v>2173</v>
      </c>
      <c r="F11">
        <v>5</v>
      </c>
      <c r="G11" t="s">
        <v>55</v>
      </c>
      <c r="H11" t="s">
        <v>41</v>
      </c>
      <c r="I11" t="s">
        <v>2189</v>
      </c>
      <c r="J11" s="10">
        <v>4</v>
      </c>
      <c r="K11" t="b">
        <v>0</v>
      </c>
    </row>
    <row r="12" spans="1:11">
      <c r="A12" s="12">
        <v>41642</v>
      </c>
      <c r="B12">
        <v>2014</v>
      </c>
      <c r="C12">
        <v>1</v>
      </c>
      <c r="D12" s="11">
        <v>41640</v>
      </c>
      <c r="E12" t="s">
        <v>2173</v>
      </c>
      <c r="F12">
        <v>5</v>
      </c>
      <c r="G12" t="s">
        <v>55</v>
      </c>
      <c r="H12" t="s">
        <v>42</v>
      </c>
      <c r="I12" t="s">
        <v>2190</v>
      </c>
      <c r="J12" s="10">
        <v>4.4</v>
      </c>
      <c r="K12" t="b">
        <v>0</v>
      </c>
    </row>
    <row r="13" spans="1:11">
      <c r="A13" s="12">
        <v>41642</v>
      </c>
      <c r="B13">
        <v>2014</v>
      </c>
      <c r="C13">
        <v>1</v>
      </c>
      <c r="D13" s="11">
        <v>41640</v>
      </c>
      <c r="E13" t="s">
        <v>2173</v>
      </c>
      <c r="F13">
        <v>5</v>
      </c>
      <c r="G13" t="s">
        <v>55</v>
      </c>
      <c r="H13" t="s">
        <v>43</v>
      </c>
      <c r="I13" t="s">
        <v>2191</v>
      </c>
      <c r="J13" s="10">
        <v>50.6</v>
      </c>
      <c r="K13" t="b">
        <v>0</v>
      </c>
    </row>
    <row r="14" spans="1:11">
      <c r="A14" s="12">
        <v>41642</v>
      </c>
      <c r="B14">
        <v>2014</v>
      </c>
      <c r="C14">
        <v>1</v>
      </c>
      <c r="D14" s="11">
        <v>41640</v>
      </c>
      <c r="E14" t="s">
        <v>2173</v>
      </c>
      <c r="F14">
        <v>5</v>
      </c>
      <c r="G14" t="s">
        <v>55</v>
      </c>
      <c r="H14" t="s">
        <v>44</v>
      </c>
      <c r="I14" t="s">
        <v>2192</v>
      </c>
      <c r="J14" s="10">
        <v>16</v>
      </c>
      <c r="K14" t="b">
        <v>0</v>
      </c>
    </row>
    <row r="15" spans="1:11">
      <c r="A15" s="12">
        <v>41642</v>
      </c>
      <c r="B15">
        <v>2014</v>
      </c>
      <c r="C15">
        <v>1</v>
      </c>
      <c r="D15" s="11">
        <v>41640</v>
      </c>
      <c r="E15" t="s">
        <v>2173</v>
      </c>
      <c r="F15">
        <v>5</v>
      </c>
      <c r="G15" t="s">
        <v>55</v>
      </c>
      <c r="H15" t="s">
        <v>45</v>
      </c>
      <c r="I15" t="s">
        <v>2193</v>
      </c>
      <c r="J15" s="10">
        <v>0</v>
      </c>
      <c r="K15" t="b">
        <v>0</v>
      </c>
    </row>
    <row r="16" spans="1:11">
      <c r="A16" s="12">
        <v>41642</v>
      </c>
      <c r="B16">
        <v>2014</v>
      </c>
      <c r="C16">
        <v>1</v>
      </c>
      <c r="D16" s="11">
        <v>41640</v>
      </c>
      <c r="E16" t="s">
        <v>2173</v>
      </c>
      <c r="F16">
        <v>5</v>
      </c>
      <c r="G16" t="s">
        <v>55</v>
      </c>
      <c r="H16" t="s">
        <v>46</v>
      </c>
      <c r="I16" t="s">
        <v>2194</v>
      </c>
      <c r="J16" s="10">
        <v>20</v>
      </c>
      <c r="K16" t="b">
        <v>0</v>
      </c>
    </row>
    <row r="17" spans="1:11">
      <c r="A17" s="12">
        <v>41642</v>
      </c>
      <c r="B17">
        <v>2014</v>
      </c>
      <c r="C17">
        <v>1</v>
      </c>
      <c r="D17" s="11">
        <v>41640</v>
      </c>
      <c r="E17" t="s">
        <v>2173</v>
      </c>
      <c r="F17">
        <v>5</v>
      </c>
      <c r="G17" t="s">
        <v>55</v>
      </c>
      <c r="H17" t="s">
        <v>47</v>
      </c>
      <c r="I17" t="s">
        <v>2195</v>
      </c>
      <c r="J17" s="10">
        <v>4</v>
      </c>
      <c r="K17" t="b">
        <v>0</v>
      </c>
    </row>
    <row r="18" spans="1:11">
      <c r="A18" s="12">
        <v>41643</v>
      </c>
      <c r="B18">
        <v>2014</v>
      </c>
      <c r="C18">
        <v>1</v>
      </c>
      <c r="D18" s="11">
        <v>41640</v>
      </c>
      <c r="E18" t="s">
        <v>2173</v>
      </c>
      <c r="F18">
        <v>6</v>
      </c>
      <c r="G18" t="s">
        <v>57</v>
      </c>
      <c r="H18" t="s">
        <v>40</v>
      </c>
      <c r="I18" t="s">
        <v>2188</v>
      </c>
      <c r="J18" s="10">
        <v>2</v>
      </c>
      <c r="K18" t="b">
        <v>0</v>
      </c>
    </row>
    <row r="19" spans="1:11">
      <c r="A19" s="12">
        <v>41643</v>
      </c>
      <c r="B19">
        <v>2014</v>
      </c>
      <c r="C19">
        <v>1</v>
      </c>
      <c r="D19" s="11">
        <v>41640</v>
      </c>
      <c r="E19" t="s">
        <v>2173</v>
      </c>
      <c r="F19">
        <v>6</v>
      </c>
      <c r="G19" t="s">
        <v>57</v>
      </c>
      <c r="H19" t="s">
        <v>41</v>
      </c>
      <c r="I19" t="s">
        <v>2189</v>
      </c>
      <c r="J19" s="10">
        <v>1</v>
      </c>
      <c r="K19" t="b">
        <v>0</v>
      </c>
    </row>
    <row r="20" spans="1:11">
      <c r="A20" s="12">
        <v>41643</v>
      </c>
      <c r="B20">
        <v>2014</v>
      </c>
      <c r="C20">
        <v>1</v>
      </c>
      <c r="D20" s="11">
        <v>41640</v>
      </c>
      <c r="E20" t="s">
        <v>2173</v>
      </c>
      <c r="F20">
        <v>6</v>
      </c>
      <c r="G20" t="s">
        <v>57</v>
      </c>
      <c r="H20" t="s">
        <v>42</v>
      </c>
      <c r="I20" t="s">
        <v>2190</v>
      </c>
      <c r="J20" s="10">
        <v>6.5</v>
      </c>
      <c r="K20" t="b">
        <v>0</v>
      </c>
    </row>
    <row r="21" spans="1:11">
      <c r="A21" s="12">
        <v>41643</v>
      </c>
      <c r="B21">
        <v>2014</v>
      </c>
      <c r="C21">
        <v>1</v>
      </c>
      <c r="D21" s="11">
        <v>41640</v>
      </c>
      <c r="E21" t="s">
        <v>2173</v>
      </c>
      <c r="F21">
        <v>6</v>
      </c>
      <c r="G21" t="s">
        <v>57</v>
      </c>
      <c r="H21" t="s">
        <v>43</v>
      </c>
      <c r="I21" t="s">
        <v>2191</v>
      </c>
      <c r="J21" s="10">
        <v>61.85</v>
      </c>
      <c r="K21" t="b">
        <v>0</v>
      </c>
    </row>
    <row r="22" spans="1:11">
      <c r="A22" s="12">
        <v>41643</v>
      </c>
      <c r="B22">
        <v>2014</v>
      </c>
      <c r="C22">
        <v>1</v>
      </c>
      <c r="D22" s="11">
        <v>41640</v>
      </c>
      <c r="E22" t="s">
        <v>2173</v>
      </c>
      <c r="F22">
        <v>6</v>
      </c>
      <c r="G22" t="s">
        <v>57</v>
      </c>
      <c r="H22" t="s">
        <v>44</v>
      </c>
      <c r="I22" t="s">
        <v>2192</v>
      </c>
      <c r="J22" s="10">
        <v>10</v>
      </c>
      <c r="K22" t="b">
        <v>0</v>
      </c>
    </row>
    <row r="23" spans="1:11">
      <c r="A23" s="12">
        <v>41643</v>
      </c>
      <c r="B23">
        <v>2014</v>
      </c>
      <c r="C23">
        <v>1</v>
      </c>
      <c r="D23" s="11">
        <v>41640</v>
      </c>
      <c r="E23" t="s">
        <v>2173</v>
      </c>
      <c r="F23">
        <v>6</v>
      </c>
      <c r="G23" t="s">
        <v>57</v>
      </c>
      <c r="H23" t="s">
        <v>45</v>
      </c>
      <c r="I23" t="s">
        <v>2193</v>
      </c>
      <c r="J23" s="10">
        <v>0</v>
      </c>
      <c r="K23" t="b">
        <v>0</v>
      </c>
    </row>
    <row r="24" spans="1:11">
      <c r="A24" s="12">
        <v>41643</v>
      </c>
      <c r="B24">
        <v>2014</v>
      </c>
      <c r="C24">
        <v>1</v>
      </c>
      <c r="D24" s="11">
        <v>41640</v>
      </c>
      <c r="E24" t="s">
        <v>2173</v>
      </c>
      <c r="F24">
        <v>6</v>
      </c>
      <c r="G24" t="s">
        <v>57</v>
      </c>
      <c r="H24" t="s">
        <v>46</v>
      </c>
      <c r="I24" t="s">
        <v>2194</v>
      </c>
      <c r="J24" s="10">
        <v>9</v>
      </c>
      <c r="K24" t="b">
        <v>0</v>
      </c>
    </row>
    <row r="25" spans="1:11">
      <c r="A25" s="12">
        <v>41643</v>
      </c>
      <c r="B25">
        <v>2014</v>
      </c>
      <c r="C25">
        <v>1</v>
      </c>
      <c r="D25" s="11">
        <v>41640</v>
      </c>
      <c r="E25" t="s">
        <v>2173</v>
      </c>
      <c r="F25">
        <v>6</v>
      </c>
      <c r="G25" t="s">
        <v>57</v>
      </c>
      <c r="H25" t="s">
        <v>47</v>
      </c>
      <c r="I25" t="s">
        <v>2195</v>
      </c>
      <c r="J25" s="10">
        <v>1</v>
      </c>
      <c r="K25" t="b">
        <v>0</v>
      </c>
    </row>
    <row r="26" spans="1:11">
      <c r="A26" s="12">
        <v>41644</v>
      </c>
      <c r="B26">
        <v>2014</v>
      </c>
      <c r="C26">
        <v>1</v>
      </c>
      <c r="D26" s="11">
        <v>41640</v>
      </c>
      <c r="E26" t="s">
        <v>2173</v>
      </c>
      <c r="F26">
        <v>7</v>
      </c>
      <c r="G26" t="s">
        <v>59</v>
      </c>
      <c r="H26" t="s">
        <v>40</v>
      </c>
      <c r="I26" t="s">
        <v>2188</v>
      </c>
      <c r="J26" s="10">
        <v>4</v>
      </c>
      <c r="K26" t="b">
        <v>0</v>
      </c>
    </row>
    <row r="27" spans="1:11">
      <c r="A27" s="12">
        <v>41644</v>
      </c>
      <c r="B27">
        <v>2014</v>
      </c>
      <c r="C27">
        <v>1</v>
      </c>
      <c r="D27" s="11">
        <v>41640</v>
      </c>
      <c r="E27" t="s">
        <v>2173</v>
      </c>
      <c r="F27">
        <v>7</v>
      </c>
      <c r="G27" t="s">
        <v>59</v>
      </c>
      <c r="H27" t="s">
        <v>41</v>
      </c>
      <c r="I27" t="s">
        <v>2189</v>
      </c>
      <c r="J27" s="10">
        <v>3</v>
      </c>
      <c r="K27" t="b">
        <v>0</v>
      </c>
    </row>
    <row r="28" spans="1:11">
      <c r="A28" s="12">
        <v>41644</v>
      </c>
      <c r="B28">
        <v>2014</v>
      </c>
      <c r="C28">
        <v>1</v>
      </c>
      <c r="D28" s="11">
        <v>41640</v>
      </c>
      <c r="E28" t="s">
        <v>2173</v>
      </c>
      <c r="F28">
        <v>7</v>
      </c>
      <c r="G28" t="s">
        <v>59</v>
      </c>
      <c r="H28" t="s">
        <v>42</v>
      </c>
      <c r="I28" t="s">
        <v>2190</v>
      </c>
      <c r="J28" s="10">
        <v>7</v>
      </c>
      <c r="K28" t="b">
        <v>0</v>
      </c>
    </row>
    <row r="29" spans="1:11">
      <c r="A29" s="12">
        <v>41644</v>
      </c>
      <c r="B29">
        <v>2014</v>
      </c>
      <c r="C29">
        <v>1</v>
      </c>
      <c r="D29" s="11">
        <v>41640</v>
      </c>
      <c r="E29" t="s">
        <v>2173</v>
      </c>
      <c r="F29">
        <v>7</v>
      </c>
      <c r="G29" t="s">
        <v>59</v>
      </c>
      <c r="H29" t="s">
        <v>43</v>
      </c>
      <c r="I29" t="s">
        <v>2191</v>
      </c>
      <c r="J29" s="10">
        <v>41.1</v>
      </c>
      <c r="K29" t="b">
        <v>0</v>
      </c>
    </row>
    <row r="30" spans="1:11">
      <c r="A30" s="12">
        <v>41644</v>
      </c>
      <c r="B30">
        <v>2014</v>
      </c>
      <c r="C30">
        <v>1</v>
      </c>
      <c r="D30" s="11">
        <v>41640</v>
      </c>
      <c r="E30" t="s">
        <v>2173</v>
      </c>
      <c r="F30">
        <v>7</v>
      </c>
      <c r="G30" t="s">
        <v>59</v>
      </c>
      <c r="H30" t="s">
        <v>44</v>
      </c>
      <c r="I30" t="s">
        <v>2192</v>
      </c>
      <c r="J30" s="10">
        <v>8</v>
      </c>
      <c r="K30" t="b">
        <v>0</v>
      </c>
    </row>
    <row r="31" spans="1:11">
      <c r="A31" s="12">
        <v>41644</v>
      </c>
      <c r="B31">
        <v>2014</v>
      </c>
      <c r="C31">
        <v>1</v>
      </c>
      <c r="D31" s="11">
        <v>41640</v>
      </c>
      <c r="E31" t="s">
        <v>2173</v>
      </c>
      <c r="F31">
        <v>7</v>
      </c>
      <c r="G31" t="s">
        <v>59</v>
      </c>
      <c r="H31" t="s">
        <v>45</v>
      </c>
      <c r="I31" t="s">
        <v>2193</v>
      </c>
      <c r="J31" s="10">
        <v>0</v>
      </c>
      <c r="K31" t="b">
        <v>0</v>
      </c>
    </row>
    <row r="32" spans="1:11">
      <c r="A32" s="12">
        <v>41644</v>
      </c>
      <c r="B32">
        <v>2014</v>
      </c>
      <c r="C32">
        <v>1</v>
      </c>
      <c r="D32" s="11">
        <v>41640</v>
      </c>
      <c r="E32" t="s">
        <v>2173</v>
      </c>
      <c r="F32">
        <v>7</v>
      </c>
      <c r="G32" t="s">
        <v>59</v>
      </c>
      <c r="H32" t="s">
        <v>46</v>
      </c>
      <c r="I32" t="s">
        <v>2194</v>
      </c>
      <c r="J32" s="10">
        <v>3</v>
      </c>
      <c r="K32" t="b">
        <v>0</v>
      </c>
    </row>
    <row r="33" spans="1:11">
      <c r="A33" s="12">
        <v>41644</v>
      </c>
      <c r="B33">
        <v>2014</v>
      </c>
      <c r="C33">
        <v>1</v>
      </c>
      <c r="D33" s="11">
        <v>41640</v>
      </c>
      <c r="E33" t="s">
        <v>2173</v>
      </c>
      <c r="F33">
        <v>7</v>
      </c>
      <c r="G33" t="s">
        <v>59</v>
      </c>
      <c r="H33" t="s">
        <v>47</v>
      </c>
      <c r="I33" t="s">
        <v>2195</v>
      </c>
      <c r="J33" s="10">
        <v>0</v>
      </c>
      <c r="K33" t="b">
        <v>0</v>
      </c>
    </row>
    <row r="34" spans="1:11">
      <c r="A34" s="12">
        <v>41645</v>
      </c>
      <c r="B34">
        <v>2014</v>
      </c>
      <c r="C34">
        <v>1</v>
      </c>
      <c r="D34" s="11">
        <v>41640</v>
      </c>
      <c r="E34" t="s">
        <v>2173</v>
      </c>
      <c r="F34">
        <v>1</v>
      </c>
      <c r="G34" t="s">
        <v>61</v>
      </c>
      <c r="H34" t="s">
        <v>40</v>
      </c>
      <c r="I34" t="s">
        <v>2188</v>
      </c>
      <c r="J34" s="10">
        <v>5</v>
      </c>
      <c r="K34" t="b">
        <v>0</v>
      </c>
    </row>
    <row r="35" spans="1:11">
      <c r="A35" s="12">
        <v>41645</v>
      </c>
      <c r="B35">
        <v>2014</v>
      </c>
      <c r="C35">
        <v>1</v>
      </c>
      <c r="D35" s="11">
        <v>41640</v>
      </c>
      <c r="E35" t="s">
        <v>2173</v>
      </c>
      <c r="F35">
        <v>1</v>
      </c>
      <c r="G35" t="s">
        <v>61</v>
      </c>
      <c r="H35" t="s">
        <v>41</v>
      </c>
      <c r="I35" t="s">
        <v>2189</v>
      </c>
      <c r="J35" s="10">
        <v>1</v>
      </c>
      <c r="K35" t="b">
        <v>0</v>
      </c>
    </row>
    <row r="36" spans="1:11">
      <c r="A36" s="12">
        <v>41645</v>
      </c>
      <c r="B36">
        <v>2014</v>
      </c>
      <c r="C36">
        <v>1</v>
      </c>
      <c r="D36" s="11">
        <v>41640</v>
      </c>
      <c r="E36" t="s">
        <v>2173</v>
      </c>
      <c r="F36">
        <v>1</v>
      </c>
      <c r="G36" t="s">
        <v>61</v>
      </c>
      <c r="H36" t="s">
        <v>42</v>
      </c>
      <c r="I36" t="s">
        <v>2190</v>
      </c>
      <c r="J36" s="10">
        <v>4.5</v>
      </c>
      <c r="K36" t="b">
        <v>0</v>
      </c>
    </row>
    <row r="37" spans="1:11">
      <c r="A37" s="12">
        <v>41645</v>
      </c>
      <c r="B37">
        <v>2014</v>
      </c>
      <c r="C37">
        <v>1</v>
      </c>
      <c r="D37" s="11">
        <v>41640</v>
      </c>
      <c r="E37" t="s">
        <v>2173</v>
      </c>
      <c r="F37">
        <v>1</v>
      </c>
      <c r="G37" t="s">
        <v>61</v>
      </c>
      <c r="H37" t="s">
        <v>43</v>
      </c>
      <c r="I37" t="s">
        <v>2191</v>
      </c>
      <c r="J37" s="10">
        <v>21.7</v>
      </c>
      <c r="K37" t="b">
        <v>0</v>
      </c>
    </row>
    <row r="38" spans="1:11">
      <c r="A38" s="12">
        <v>41645</v>
      </c>
      <c r="B38">
        <v>2014</v>
      </c>
      <c r="C38">
        <v>1</v>
      </c>
      <c r="D38" s="11">
        <v>41640</v>
      </c>
      <c r="E38" t="s">
        <v>2173</v>
      </c>
      <c r="F38">
        <v>1</v>
      </c>
      <c r="G38" t="s">
        <v>61</v>
      </c>
      <c r="H38" t="s">
        <v>44</v>
      </c>
      <c r="I38" t="s">
        <v>2192</v>
      </c>
      <c r="J38" s="10">
        <v>16</v>
      </c>
      <c r="K38" t="b">
        <v>0</v>
      </c>
    </row>
    <row r="39" spans="1:11">
      <c r="A39" s="12">
        <v>41645</v>
      </c>
      <c r="B39">
        <v>2014</v>
      </c>
      <c r="C39">
        <v>1</v>
      </c>
      <c r="D39" s="11">
        <v>41640</v>
      </c>
      <c r="E39" t="s">
        <v>2173</v>
      </c>
      <c r="F39">
        <v>1</v>
      </c>
      <c r="G39" t="s">
        <v>61</v>
      </c>
      <c r="H39" t="s">
        <v>45</v>
      </c>
      <c r="I39" t="s">
        <v>2193</v>
      </c>
      <c r="J39" s="10">
        <v>2</v>
      </c>
      <c r="K39" t="b">
        <v>0</v>
      </c>
    </row>
    <row r="40" spans="1:11">
      <c r="A40" s="12">
        <v>41645</v>
      </c>
      <c r="B40">
        <v>2014</v>
      </c>
      <c r="C40">
        <v>1</v>
      </c>
      <c r="D40" s="11">
        <v>41640</v>
      </c>
      <c r="E40" t="s">
        <v>2173</v>
      </c>
      <c r="F40">
        <v>1</v>
      </c>
      <c r="G40" t="s">
        <v>61</v>
      </c>
      <c r="H40" t="s">
        <v>46</v>
      </c>
      <c r="I40" t="s">
        <v>2194</v>
      </c>
      <c r="J40" s="10">
        <v>6</v>
      </c>
      <c r="K40" t="b">
        <v>0</v>
      </c>
    </row>
    <row r="41" spans="1:11">
      <c r="A41" s="12">
        <v>41645</v>
      </c>
      <c r="B41">
        <v>2014</v>
      </c>
      <c r="C41">
        <v>1</v>
      </c>
      <c r="D41" s="11">
        <v>41640</v>
      </c>
      <c r="E41" t="s">
        <v>2173</v>
      </c>
      <c r="F41">
        <v>1</v>
      </c>
      <c r="G41" t="s">
        <v>61</v>
      </c>
      <c r="H41" t="s">
        <v>47</v>
      </c>
      <c r="I41" t="s">
        <v>2195</v>
      </c>
      <c r="J41" s="10">
        <v>2</v>
      </c>
      <c r="K41" t="b">
        <v>0</v>
      </c>
    </row>
    <row r="42" spans="1:11">
      <c r="A42" s="12">
        <v>41646</v>
      </c>
      <c r="B42">
        <v>2014</v>
      </c>
      <c r="C42">
        <v>1</v>
      </c>
      <c r="D42" s="11">
        <v>41640</v>
      </c>
      <c r="E42" t="s">
        <v>2173</v>
      </c>
      <c r="F42">
        <v>2</v>
      </c>
      <c r="G42" t="s">
        <v>63</v>
      </c>
      <c r="H42" t="s">
        <v>40</v>
      </c>
      <c r="I42" t="s">
        <v>2188</v>
      </c>
      <c r="J42" s="10">
        <v>0</v>
      </c>
      <c r="K42" t="b">
        <v>0</v>
      </c>
    </row>
    <row r="43" spans="1:11">
      <c r="A43" s="12">
        <v>41646</v>
      </c>
      <c r="B43">
        <v>2014</v>
      </c>
      <c r="C43">
        <v>1</v>
      </c>
      <c r="D43" s="11">
        <v>41640</v>
      </c>
      <c r="E43" t="s">
        <v>2173</v>
      </c>
      <c r="F43">
        <v>2</v>
      </c>
      <c r="G43" t="s">
        <v>63</v>
      </c>
      <c r="H43" t="s">
        <v>41</v>
      </c>
      <c r="I43" t="s">
        <v>2189</v>
      </c>
      <c r="J43" s="10">
        <v>0</v>
      </c>
      <c r="K43" t="b">
        <v>0</v>
      </c>
    </row>
    <row r="44" spans="1:11">
      <c r="A44" s="12">
        <v>41646</v>
      </c>
      <c r="B44">
        <v>2014</v>
      </c>
      <c r="C44">
        <v>1</v>
      </c>
      <c r="D44" s="11">
        <v>41640</v>
      </c>
      <c r="E44" t="s">
        <v>2173</v>
      </c>
      <c r="F44">
        <v>2</v>
      </c>
      <c r="G44" t="s">
        <v>63</v>
      </c>
      <c r="H44" t="s">
        <v>42</v>
      </c>
      <c r="I44" t="s">
        <v>2190</v>
      </c>
      <c r="J44" s="10">
        <v>0</v>
      </c>
      <c r="K44" t="b">
        <v>0</v>
      </c>
    </row>
    <row r="45" spans="1:11">
      <c r="A45" s="12">
        <v>41646</v>
      </c>
      <c r="B45">
        <v>2014</v>
      </c>
      <c r="C45">
        <v>1</v>
      </c>
      <c r="D45" s="11">
        <v>41640</v>
      </c>
      <c r="E45" t="s">
        <v>2173</v>
      </c>
      <c r="F45">
        <v>2</v>
      </c>
      <c r="G45" t="s">
        <v>63</v>
      </c>
      <c r="H45" t="s">
        <v>43</v>
      </c>
      <c r="I45" t="s">
        <v>2191</v>
      </c>
      <c r="J45" s="10">
        <v>0</v>
      </c>
      <c r="K45" t="b">
        <v>0</v>
      </c>
    </row>
    <row r="46" spans="1:11">
      <c r="A46" s="12">
        <v>41646</v>
      </c>
      <c r="B46">
        <v>2014</v>
      </c>
      <c r="C46">
        <v>1</v>
      </c>
      <c r="D46" s="11">
        <v>41640</v>
      </c>
      <c r="E46" t="s">
        <v>2173</v>
      </c>
      <c r="F46">
        <v>2</v>
      </c>
      <c r="G46" t="s">
        <v>63</v>
      </c>
      <c r="H46" t="s">
        <v>44</v>
      </c>
      <c r="I46" t="s">
        <v>2192</v>
      </c>
      <c r="J46" s="10">
        <v>0</v>
      </c>
      <c r="K46" t="b">
        <v>0</v>
      </c>
    </row>
    <row r="47" spans="1:11">
      <c r="A47" s="12">
        <v>41646</v>
      </c>
      <c r="B47">
        <v>2014</v>
      </c>
      <c r="C47">
        <v>1</v>
      </c>
      <c r="D47" s="11">
        <v>41640</v>
      </c>
      <c r="E47" t="s">
        <v>2173</v>
      </c>
      <c r="F47">
        <v>2</v>
      </c>
      <c r="G47" t="s">
        <v>63</v>
      </c>
      <c r="H47" t="s">
        <v>45</v>
      </c>
      <c r="I47" t="s">
        <v>2193</v>
      </c>
      <c r="J47" s="10">
        <v>0</v>
      </c>
      <c r="K47" t="b">
        <v>0</v>
      </c>
    </row>
    <row r="48" spans="1:11">
      <c r="A48" s="12">
        <v>41646</v>
      </c>
      <c r="B48">
        <v>2014</v>
      </c>
      <c r="C48">
        <v>1</v>
      </c>
      <c r="D48" s="11">
        <v>41640</v>
      </c>
      <c r="E48" t="s">
        <v>2173</v>
      </c>
      <c r="F48">
        <v>2</v>
      </c>
      <c r="G48" t="s">
        <v>63</v>
      </c>
      <c r="H48" t="s">
        <v>46</v>
      </c>
      <c r="I48" t="s">
        <v>2194</v>
      </c>
      <c r="J48" s="10">
        <v>0</v>
      </c>
      <c r="K48" t="b">
        <v>0</v>
      </c>
    </row>
    <row r="49" spans="1:11">
      <c r="A49" s="12">
        <v>41646</v>
      </c>
      <c r="B49">
        <v>2014</v>
      </c>
      <c r="C49">
        <v>1</v>
      </c>
      <c r="D49" s="11">
        <v>41640</v>
      </c>
      <c r="E49" t="s">
        <v>2173</v>
      </c>
      <c r="F49">
        <v>2</v>
      </c>
      <c r="G49" t="s">
        <v>63</v>
      </c>
      <c r="H49" t="s">
        <v>47</v>
      </c>
      <c r="I49" t="s">
        <v>2195</v>
      </c>
      <c r="J49" s="10">
        <v>0</v>
      </c>
      <c r="K49" t="b">
        <v>0</v>
      </c>
    </row>
    <row r="50" spans="1:11">
      <c r="A50" s="12">
        <v>41647</v>
      </c>
      <c r="B50">
        <v>2014</v>
      </c>
      <c r="C50">
        <v>1</v>
      </c>
      <c r="D50" s="11">
        <v>41640</v>
      </c>
      <c r="E50" t="s">
        <v>2173</v>
      </c>
      <c r="F50">
        <v>3</v>
      </c>
      <c r="G50" t="s">
        <v>65</v>
      </c>
      <c r="H50" t="s">
        <v>40</v>
      </c>
      <c r="I50" t="s">
        <v>2188</v>
      </c>
      <c r="J50" s="10">
        <v>5.33</v>
      </c>
      <c r="K50" t="b">
        <v>0</v>
      </c>
    </row>
    <row r="51" spans="1:11">
      <c r="A51" s="12">
        <v>41647</v>
      </c>
      <c r="B51">
        <v>2014</v>
      </c>
      <c r="C51">
        <v>1</v>
      </c>
      <c r="D51" s="11">
        <v>41640</v>
      </c>
      <c r="E51" t="s">
        <v>2173</v>
      </c>
      <c r="F51">
        <v>3</v>
      </c>
      <c r="G51" t="s">
        <v>65</v>
      </c>
      <c r="H51" t="s">
        <v>41</v>
      </c>
      <c r="I51" t="s">
        <v>2189</v>
      </c>
      <c r="J51" s="10">
        <v>3</v>
      </c>
      <c r="K51" t="b">
        <v>0</v>
      </c>
    </row>
    <row r="52" spans="1:11">
      <c r="A52" s="12">
        <v>41647</v>
      </c>
      <c r="B52">
        <v>2014</v>
      </c>
      <c r="C52">
        <v>1</v>
      </c>
      <c r="D52" s="11">
        <v>41640</v>
      </c>
      <c r="E52" t="s">
        <v>2173</v>
      </c>
      <c r="F52">
        <v>3</v>
      </c>
      <c r="G52" t="s">
        <v>65</v>
      </c>
      <c r="H52" t="s">
        <v>42</v>
      </c>
      <c r="I52" t="s">
        <v>2190</v>
      </c>
      <c r="J52" s="10">
        <v>10.5</v>
      </c>
      <c r="K52" t="b">
        <v>0</v>
      </c>
    </row>
    <row r="53" spans="1:11">
      <c r="A53" s="12">
        <v>41647</v>
      </c>
      <c r="B53">
        <v>2014</v>
      </c>
      <c r="C53">
        <v>1</v>
      </c>
      <c r="D53" s="11">
        <v>41640</v>
      </c>
      <c r="E53" t="s">
        <v>2173</v>
      </c>
      <c r="F53">
        <v>3</v>
      </c>
      <c r="G53" t="s">
        <v>65</v>
      </c>
      <c r="H53" t="s">
        <v>43</v>
      </c>
      <c r="I53" t="s">
        <v>2191</v>
      </c>
      <c r="J53" s="10">
        <v>26.4</v>
      </c>
      <c r="K53" t="b">
        <v>0</v>
      </c>
    </row>
    <row r="54" spans="1:11">
      <c r="A54" s="12">
        <v>41647</v>
      </c>
      <c r="B54">
        <v>2014</v>
      </c>
      <c r="C54">
        <v>1</v>
      </c>
      <c r="D54" s="11">
        <v>41640</v>
      </c>
      <c r="E54" t="s">
        <v>2173</v>
      </c>
      <c r="F54">
        <v>3</v>
      </c>
      <c r="G54" t="s">
        <v>65</v>
      </c>
      <c r="H54" t="s">
        <v>44</v>
      </c>
      <c r="I54" t="s">
        <v>2192</v>
      </c>
      <c r="J54" s="10">
        <v>19</v>
      </c>
      <c r="K54" t="b">
        <v>0</v>
      </c>
    </row>
    <row r="55" spans="1:11">
      <c r="A55" s="12">
        <v>41647</v>
      </c>
      <c r="B55">
        <v>2014</v>
      </c>
      <c r="C55">
        <v>1</v>
      </c>
      <c r="D55" s="11">
        <v>41640</v>
      </c>
      <c r="E55" t="s">
        <v>2173</v>
      </c>
      <c r="F55">
        <v>3</v>
      </c>
      <c r="G55" t="s">
        <v>65</v>
      </c>
      <c r="H55" t="s">
        <v>45</v>
      </c>
      <c r="I55" t="s">
        <v>2193</v>
      </c>
      <c r="J55" s="10">
        <v>1</v>
      </c>
      <c r="K55" t="b">
        <v>0</v>
      </c>
    </row>
    <row r="56" spans="1:11">
      <c r="A56" s="12">
        <v>41647</v>
      </c>
      <c r="B56">
        <v>2014</v>
      </c>
      <c r="C56">
        <v>1</v>
      </c>
      <c r="D56" s="11">
        <v>41640</v>
      </c>
      <c r="E56" t="s">
        <v>2173</v>
      </c>
      <c r="F56">
        <v>3</v>
      </c>
      <c r="G56" t="s">
        <v>65</v>
      </c>
      <c r="H56" t="s">
        <v>46</v>
      </c>
      <c r="I56" t="s">
        <v>2194</v>
      </c>
      <c r="J56" s="10">
        <v>10</v>
      </c>
      <c r="K56" t="b">
        <v>0</v>
      </c>
    </row>
    <row r="57" spans="1:11">
      <c r="A57" s="12">
        <v>41647</v>
      </c>
      <c r="B57">
        <v>2014</v>
      </c>
      <c r="C57">
        <v>1</v>
      </c>
      <c r="D57" s="11">
        <v>41640</v>
      </c>
      <c r="E57" t="s">
        <v>2173</v>
      </c>
      <c r="F57">
        <v>3</v>
      </c>
      <c r="G57" t="s">
        <v>65</v>
      </c>
      <c r="H57" t="s">
        <v>47</v>
      </c>
      <c r="I57" t="s">
        <v>2195</v>
      </c>
      <c r="J57" s="10">
        <v>0</v>
      </c>
      <c r="K57" t="b">
        <v>0</v>
      </c>
    </row>
    <row r="58" spans="1:11">
      <c r="A58" s="12">
        <v>41648</v>
      </c>
      <c r="B58">
        <v>2014</v>
      </c>
      <c r="C58">
        <v>1</v>
      </c>
      <c r="D58" s="11">
        <v>41640</v>
      </c>
      <c r="E58" t="s">
        <v>2173</v>
      </c>
      <c r="F58">
        <v>4</v>
      </c>
      <c r="G58" t="s">
        <v>53</v>
      </c>
      <c r="H58" t="s">
        <v>40</v>
      </c>
      <c r="I58" t="s">
        <v>2188</v>
      </c>
      <c r="J58" s="10">
        <v>7</v>
      </c>
      <c r="K58" t="b">
        <v>0</v>
      </c>
    </row>
    <row r="59" spans="1:11">
      <c r="A59" s="12">
        <v>41648</v>
      </c>
      <c r="B59">
        <v>2014</v>
      </c>
      <c r="C59">
        <v>1</v>
      </c>
      <c r="D59" s="11">
        <v>41640</v>
      </c>
      <c r="E59" t="s">
        <v>2173</v>
      </c>
      <c r="F59">
        <v>4</v>
      </c>
      <c r="G59" t="s">
        <v>53</v>
      </c>
      <c r="H59" t="s">
        <v>41</v>
      </c>
      <c r="I59" t="s">
        <v>2189</v>
      </c>
      <c r="J59" s="10">
        <v>1.68</v>
      </c>
      <c r="K59" t="b">
        <v>0</v>
      </c>
    </row>
    <row r="60" spans="1:11">
      <c r="A60" s="12">
        <v>41648</v>
      </c>
      <c r="B60">
        <v>2014</v>
      </c>
      <c r="C60">
        <v>1</v>
      </c>
      <c r="D60" s="11">
        <v>41640</v>
      </c>
      <c r="E60" t="s">
        <v>2173</v>
      </c>
      <c r="F60">
        <v>4</v>
      </c>
      <c r="G60" t="s">
        <v>53</v>
      </c>
      <c r="H60" t="s">
        <v>42</v>
      </c>
      <c r="I60" t="s">
        <v>2190</v>
      </c>
      <c r="J60" s="10">
        <v>8</v>
      </c>
      <c r="K60" t="b">
        <v>0</v>
      </c>
    </row>
    <row r="61" spans="1:11">
      <c r="A61" s="12">
        <v>41648</v>
      </c>
      <c r="B61">
        <v>2014</v>
      </c>
      <c r="C61">
        <v>1</v>
      </c>
      <c r="D61" s="11">
        <v>41640</v>
      </c>
      <c r="E61" t="s">
        <v>2173</v>
      </c>
      <c r="F61">
        <v>4</v>
      </c>
      <c r="G61" t="s">
        <v>53</v>
      </c>
      <c r="H61" t="s">
        <v>43</v>
      </c>
      <c r="I61" t="s">
        <v>2191</v>
      </c>
      <c r="J61" s="10">
        <v>25</v>
      </c>
      <c r="K61" t="b">
        <v>0</v>
      </c>
    </row>
    <row r="62" spans="1:11">
      <c r="A62" s="12">
        <v>41648</v>
      </c>
      <c r="B62">
        <v>2014</v>
      </c>
      <c r="C62">
        <v>1</v>
      </c>
      <c r="D62" s="11">
        <v>41640</v>
      </c>
      <c r="E62" t="s">
        <v>2173</v>
      </c>
      <c r="F62">
        <v>4</v>
      </c>
      <c r="G62" t="s">
        <v>53</v>
      </c>
      <c r="H62" t="s">
        <v>44</v>
      </c>
      <c r="I62" t="s">
        <v>2192</v>
      </c>
      <c r="J62" s="10">
        <v>16</v>
      </c>
      <c r="K62" t="b">
        <v>0</v>
      </c>
    </row>
    <row r="63" spans="1:11">
      <c r="A63" s="12">
        <v>41648</v>
      </c>
      <c r="B63">
        <v>2014</v>
      </c>
      <c r="C63">
        <v>1</v>
      </c>
      <c r="D63" s="11">
        <v>41640</v>
      </c>
      <c r="E63" t="s">
        <v>2173</v>
      </c>
      <c r="F63">
        <v>4</v>
      </c>
      <c r="G63" t="s">
        <v>53</v>
      </c>
      <c r="H63" t="s">
        <v>45</v>
      </c>
      <c r="I63" t="s">
        <v>2193</v>
      </c>
      <c r="J63" s="10">
        <v>0</v>
      </c>
      <c r="K63" t="b">
        <v>0</v>
      </c>
    </row>
    <row r="64" spans="1:11">
      <c r="A64" s="12">
        <v>41648</v>
      </c>
      <c r="B64">
        <v>2014</v>
      </c>
      <c r="C64">
        <v>1</v>
      </c>
      <c r="D64" s="11">
        <v>41640</v>
      </c>
      <c r="E64" t="s">
        <v>2173</v>
      </c>
      <c r="F64">
        <v>4</v>
      </c>
      <c r="G64" t="s">
        <v>53</v>
      </c>
      <c r="H64" t="s">
        <v>46</v>
      </c>
      <c r="I64" t="s">
        <v>2194</v>
      </c>
      <c r="J64" s="10">
        <v>3</v>
      </c>
      <c r="K64" t="b">
        <v>0</v>
      </c>
    </row>
    <row r="65" spans="1:11">
      <c r="A65" s="12">
        <v>41648</v>
      </c>
      <c r="B65">
        <v>2014</v>
      </c>
      <c r="C65">
        <v>1</v>
      </c>
      <c r="D65" s="11">
        <v>41640</v>
      </c>
      <c r="E65" t="s">
        <v>2173</v>
      </c>
      <c r="F65">
        <v>4</v>
      </c>
      <c r="G65" t="s">
        <v>53</v>
      </c>
      <c r="H65" t="s">
        <v>47</v>
      </c>
      <c r="I65" t="s">
        <v>2195</v>
      </c>
      <c r="J65" s="10">
        <v>2</v>
      </c>
      <c r="K65" t="b">
        <v>0</v>
      </c>
    </row>
    <row r="66" spans="1:11">
      <c r="A66" s="12">
        <v>41649</v>
      </c>
      <c r="B66">
        <v>2014</v>
      </c>
      <c r="C66">
        <v>1</v>
      </c>
      <c r="D66" s="11">
        <v>41640</v>
      </c>
      <c r="E66" t="s">
        <v>2173</v>
      </c>
      <c r="F66">
        <v>5</v>
      </c>
      <c r="G66" t="s">
        <v>55</v>
      </c>
      <c r="H66" t="s">
        <v>40</v>
      </c>
      <c r="I66" t="s">
        <v>2188</v>
      </c>
      <c r="J66" s="10">
        <v>5</v>
      </c>
      <c r="K66" t="b">
        <v>0</v>
      </c>
    </row>
    <row r="67" spans="1:11">
      <c r="A67" s="12">
        <v>41649</v>
      </c>
      <c r="B67">
        <v>2014</v>
      </c>
      <c r="C67">
        <v>1</v>
      </c>
      <c r="D67" s="11">
        <v>41640</v>
      </c>
      <c r="E67" t="s">
        <v>2173</v>
      </c>
      <c r="F67">
        <v>5</v>
      </c>
      <c r="G67" t="s">
        <v>55</v>
      </c>
      <c r="H67" t="s">
        <v>41</v>
      </c>
      <c r="I67" t="s">
        <v>2189</v>
      </c>
      <c r="J67" s="10">
        <v>2</v>
      </c>
      <c r="K67" t="b">
        <v>0</v>
      </c>
    </row>
    <row r="68" spans="1:11">
      <c r="A68" s="12">
        <v>41649</v>
      </c>
      <c r="B68">
        <v>2014</v>
      </c>
      <c r="C68">
        <v>1</v>
      </c>
      <c r="D68" s="11">
        <v>41640</v>
      </c>
      <c r="E68" t="s">
        <v>2173</v>
      </c>
      <c r="F68">
        <v>5</v>
      </c>
      <c r="G68" t="s">
        <v>55</v>
      </c>
      <c r="H68" t="s">
        <v>42</v>
      </c>
      <c r="I68" t="s">
        <v>2190</v>
      </c>
      <c r="J68" s="10">
        <v>2</v>
      </c>
      <c r="K68" t="b">
        <v>0</v>
      </c>
    </row>
    <row r="69" spans="1:11">
      <c r="A69" s="12">
        <v>41649</v>
      </c>
      <c r="B69">
        <v>2014</v>
      </c>
      <c r="C69">
        <v>1</v>
      </c>
      <c r="D69" s="11">
        <v>41640</v>
      </c>
      <c r="E69" t="s">
        <v>2173</v>
      </c>
      <c r="F69">
        <v>5</v>
      </c>
      <c r="G69" t="s">
        <v>55</v>
      </c>
      <c r="H69" t="s">
        <v>43</v>
      </c>
      <c r="I69" t="s">
        <v>2191</v>
      </c>
      <c r="J69" s="10">
        <v>53.3</v>
      </c>
      <c r="K69" t="b">
        <v>0</v>
      </c>
    </row>
    <row r="70" spans="1:11">
      <c r="A70" s="12">
        <v>41649</v>
      </c>
      <c r="B70">
        <v>2014</v>
      </c>
      <c r="C70">
        <v>1</v>
      </c>
      <c r="D70" s="11">
        <v>41640</v>
      </c>
      <c r="E70" t="s">
        <v>2173</v>
      </c>
      <c r="F70">
        <v>5</v>
      </c>
      <c r="G70" t="s">
        <v>55</v>
      </c>
      <c r="H70" t="s">
        <v>44</v>
      </c>
      <c r="I70" t="s">
        <v>2192</v>
      </c>
      <c r="J70" s="10">
        <v>15</v>
      </c>
      <c r="K70" t="b">
        <v>0</v>
      </c>
    </row>
    <row r="71" spans="1:11">
      <c r="A71" s="12">
        <v>41649</v>
      </c>
      <c r="B71">
        <v>2014</v>
      </c>
      <c r="C71">
        <v>1</v>
      </c>
      <c r="D71" s="11">
        <v>41640</v>
      </c>
      <c r="E71" t="s">
        <v>2173</v>
      </c>
      <c r="F71">
        <v>5</v>
      </c>
      <c r="G71" t="s">
        <v>55</v>
      </c>
      <c r="H71" t="s">
        <v>45</v>
      </c>
      <c r="I71" t="s">
        <v>2193</v>
      </c>
      <c r="J71" s="10">
        <v>2</v>
      </c>
      <c r="K71" t="b">
        <v>0</v>
      </c>
    </row>
    <row r="72" spans="1:11">
      <c r="A72" s="12">
        <v>41649</v>
      </c>
      <c r="B72">
        <v>2014</v>
      </c>
      <c r="C72">
        <v>1</v>
      </c>
      <c r="D72" s="11">
        <v>41640</v>
      </c>
      <c r="E72" t="s">
        <v>2173</v>
      </c>
      <c r="F72">
        <v>5</v>
      </c>
      <c r="G72" t="s">
        <v>55</v>
      </c>
      <c r="H72" t="s">
        <v>46</v>
      </c>
      <c r="I72" t="s">
        <v>2194</v>
      </c>
      <c r="J72" s="10">
        <v>0</v>
      </c>
      <c r="K72" t="b">
        <v>0</v>
      </c>
    </row>
    <row r="73" spans="1:11">
      <c r="A73" s="12">
        <v>41649</v>
      </c>
      <c r="B73">
        <v>2014</v>
      </c>
      <c r="C73">
        <v>1</v>
      </c>
      <c r="D73" s="11">
        <v>41640</v>
      </c>
      <c r="E73" t="s">
        <v>2173</v>
      </c>
      <c r="F73">
        <v>5</v>
      </c>
      <c r="G73" t="s">
        <v>55</v>
      </c>
      <c r="H73" t="s">
        <v>47</v>
      </c>
      <c r="I73" t="s">
        <v>2195</v>
      </c>
      <c r="J73" s="10">
        <v>2</v>
      </c>
      <c r="K73" t="b">
        <v>0</v>
      </c>
    </row>
    <row r="74" spans="1:11">
      <c r="A74" s="12">
        <v>41650</v>
      </c>
      <c r="B74">
        <v>2014</v>
      </c>
      <c r="C74">
        <v>1</v>
      </c>
      <c r="D74" s="11">
        <v>41640</v>
      </c>
      <c r="E74" t="s">
        <v>2173</v>
      </c>
      <c r="F74">
        <v>6</v>
      </c>
      <c r="G74" t="s">
        <v>57</v>
      </c>
      <c r="H74" t="s">
        <v>40</v>
      </c>
      <c r="I74" t="s">
        <v>2188</v>
      </c>
      <c r="J74" s="10">
        <v>5</v>
      </c>
      <c r="K74" t="b">
        <v>0</v>
      </c>
    </row>
    <row r="75" spans="1:11">
      <c r="A75" s="12">
        <v>41650</v>
      </c>
      <c r="B75">
        <v>2014</v>
      </c>
      <c r="C75">
        <v>1</v>
      </c>
      <c r="D75" s="11">
        <v>41640</v>
      </c>
      <c r="E75" t="s">
        <v>2173</v>
      </c>
      <c r="F75">
        <v>6</v>
      </c>
      <c r="G75" t="s">
        <v>57</v>
      </c>
      <c r="H75" t="s">
        <v>41</v>
      </c>
      <c r="I75" t="s">
        <v>2189</v>
      </c>
      <c r="J75" s="10">
        <v>4.34</v>
      </c>
      <c r="K75" t="b">
        <v>0</v>
      </c>
    </row>
    <row r="76" spans="1:11">
      <c r="A76" s="12">
        <v>41650</v>
      </c>
      <c r="B76">
        <v>2014</v>
      </c>
      <c r="C76">
        <v>1</v>
      </c>
      <c r="D76" s="11">
        <v>41640</v>
      </c>
      <c r="E76" t="s">
        <v>2173</v>
      </c>
      <c r="F76">
        <v>6</v>
      </c>
      <c r="G76" t="s">
        <v>57</v>
      </c>
      <c r="H76" t="s">
        <v>42</v>
      </c>
      <c r="I76" t="s">
        <v>2190</v>
      </c>
      <c r="J76" s="10">
        <v>10.4</v>
      </c>
      <c r="K76" t="b">
        <v>0</v>
      </c>
    </row>
    <row r="77" spans="1:11">
      <c r="A77" s="12">
        <v>41650</v>
      </c>
      <c r="B77">
        <v>2014</v>
      </c>
      <c r="C77">
        <v>1</v>
      </c>
      <c r="D77" s="11">
        <v>41640</v>
      </c>
      <c r="E77" t="s">
        <v>2173</v>
      </c>
      <c r="F77">
        <v>6</v>
      </c>
      <c r="G77" t="s">
        <v>57</v>
      </c>
      <c r="H77" t="s">
        <v>43</v>
      </c>
      <c r="I77" t="s">
        <v>2191</v>
      </c>
      <c r="J77" s="10">
        <v>52.3</v>
      </c>
      <c r="K77" t="b">
        <v>0</v>
      </c>
    </row>
    <row r="78" spans="1:11">
      <c r="A78" s="12">
        <v>41650</v>
      </c>
      <c r="B78">
        <v>2014</v>
      </c>
      <c r="C78">
        <v>1</v>
      </c>
      <c r="D78" s="11">
        <v>41640</v>
      </c>
      <c r="E78" t="s">
        <v>2173</v>
      </c>
      <c r="F78">
        <v>6</v>
      </c>
      <c r="G78" t="s">
        <v>57</v>
      </c>
      <c r="H78" t="s">
        <v>44</v>
      </c>
      <c r="I78" t="s">
        <v>2192</v>
      </c>
      <c r="J78" s="10">
        <v>14</v>
      </c>
      <c r="K78" t="b">
        <v>0</v>
      </c>
    </row>
    <row r="79" spans="1:11">
      <c r="A79" s="12">
        <v>41650</v>
      </c>
      <c r="B79">
        <v>2014</v>
      </c>
      <c r="C79">
        <v>1</v>
      </c>
      <c r="D79" s="11">
        <v>41640</v>
      </c>
      <c r="E79" t="s">
        <v>2173</v>
      </c>
      <c r="F79">
        <v>6</v>
      </c>
      <c r="G79" t="s">
        <v>57</v>
      </c>
      <c r="H79" t="s">
        <v>45</v>
      </c>
      <c r="I79" t="s">
        <v>2193</v>
      </c>
      <c r="J79" s="10">
        <v>0</v>
      </c>
      <c r="K79" t="b">
        <v>0</v>
      </c>
    </row>
    <row r="80" spans="1:11">
      <c r="A80" s="12">
        <v>41650</v>
      </c>
      <c r="B80">
        <v>2014</v>
      </c>
      <c r="C80">
        <v>1</v>
      </c>
      <c r="D80" s="11">
        <v>41640</v>
      </c>
      <c r="E80" t="s">
        <v>2173</v>
      </c>
      <c r="F80">
        <v>6</v>
      </c>
      <c r="G80" t="s">
        <v>57</v>
      </c>
      <c r="H80" t="s">
        <v>46</v>
      </c>
      <c r="I80" t="s">
        <v>2194</v>
      </c>
      <c r="J80" s="10">
        <v>1</v>
      </c>
      <c r="K80" t="b">
        <v>0</v>
      </c>
    </row>
    <row r="81" spans="1:11">
      <c r="A81" s="12">
        <v>41650</v>
      </c>
      <c r="B81">
        <v>2014</v>
      </c>
      <c r="C81">
        <v>1</v>
      </c>
      <c r="D81" s="11">
        <v>41640</v>
      </c>
      <c r="E81" t="s">
        <v>2173</v>
      </c>
      <c r="F81">
        <v>6</v>
      </c>
      <c r="G81" t="s">
        <v>57</v>
      </c>
      <c r="H81" t="s">
        <v>47</v>
      </c>
      <c r="I81" t="s">
        <v>2195</v>
      </c>
      <c r="J81" s="10">
        <v>0.2</v>
      </c>
      <c r="K81" t="b">
        <v>0</v>
      </c>
    </row>
    <row r="82" spans="1:11">
      <c r="A82" s="12">
        <v>41651</v>
      </c>
      <c r="B82">
        <v>2014</v>
      </c>
      <c r="C82">
        <v>1</v>
      </c>
      <c r="D82" s="11">
        <v>41640</v>
      </c>
      <c r="E82" t="s">
        <v>2173</v>
      </c>
      <c r="F82">
        <v>7</v>
      </c>
      <c r="G82" t="s">
        <v>59</v>
      </c>
      <c r="H82" t="s">
        <v>40</v>
      </c>
      <c r="I82" t="s">
        <v>2188</v>
      </c>
      <c r="J82" s="10">
        <v>2</v>
      </c>
      <c r="K82" t="b">
        <v>0</v>
      </c>
    </row>
    <row r="83" spans="1:11">
      <c r="A83" s="12">
        <v>41651</v>
      </c>
      <c r="B83">
        <v>2014</v>
      </c>
      <c r="C83">
        <v>1</v>
      </c>
      <c r="D83" s="11">
        <v>41640</v>
      </c>
      <c r="E83" t="s">
        <v>2173</v>
      </c>
      <c r="F83">
        <v>7</v>
      </c>
      <c r="G83" t="s">
        <v>59</v>
      </c>
      <c r="H83" t="s">
        <v>41</v>
      </c>
      <c r="I83" t="s">
        <v>2189</v>
      </c>
      <c r="J83" s="10">
        <v>0.66</v>
      </c>
      <c r="K83" t="b">
        <v>0</v>
      </c>
    </row>
    <row r="84" spans="1:11">
      <c r="A84" s="12">
        <v>41651</v>
      </c>
      <c r="B84">
        <v>2014</v>
      </c>
      <c r="C84">
        <v>1</v>
      </c>
      <c r="D84" s="11">
        <v>41640</v>
      </c>
      <c r="E84" t="s">
        <v>2173</v>
      </c>
      <c r="F84">
        <v>7</v>
      </c>
      <c r="G84" t="s">
        <v>59</v>
      </c>
      <c r="H84" t="s">
        <v>42</v>
      </c>
      <c r="I84" t="s">
        <v>2190</v>
      </c>
      <c r="J84" s="10">
        <v>2.5</v>
      </c>
      <c r="K84" t="b">
        <v>0</v>
      </c>
    </row>
    <row r="85" spans="1:11">
      <c r="A85" s="12">
        <v>41651</v>
      </c>
      <c r="B85">
        <v>2014</v>
      </c>
      <c r="C85">
        <v>1</v>
      </c>
      <c r="D85" s="11">
        <v>41640</v>
      </c>
      <c r="E85" t="s">
        <v>2173</v>
      </c>
      <c r="F85">
        <v>7</v>
      </c>
      <c r="G85" t="s">
        <v>59</v>
      </c>
      <c r="H85" t="s">
        <v>43</v>
      </c>
      <c r="I85" t="s">
        <v>2191</v>
      </c>
      <c r="J85" s="10">
        <v>12</v>
      </c>
      <c r="K85" t="b">
        <v>0</v>
      </c>
    </row>
    <row r="86" spans="1:11">
      <c r="A86" s="12">
        <v>41651</v>
      </c>
      <c r="B86">
        <v>2014</v>
      </c>
      <c r="C86">
        <v>1</v>
      </c>
      <c r="D86" s="11">
        <v>41640</v>
      </c>
      <c r="E86" t="s">
        <v>2173</v>
      </c>
      <c r="F86">
        <v>7</v>
      </c>
      <c r="G86" t="s">
        <v>59</v>
      </c>
      <c r="H86" t="s">
        <v>44</v>
      </c>
      <c r="I86" t="s">
        <v>2192</v>
      </c>
      <c r="J86" s="10">
        <v>8</v>
      </c>
      <c r="K86" t="b">
        <v>0</v>
      </c>
    </row>
    <row r="87" spans="1:11">
      <c r="A87" s="12">
        <v>41651</v>
      </c>
      <c r="B87">
        <v>2014</v>
      </c>
      <c r="C87">
        <v>1</v>
      </c>
      <c r="D87" s="11">
        <v>41640</v>
      </c>
      <c r="E87" t="s">
        <v>2173</v>
      </c>
      <c r="F87">
        <v>7</v>
      </c>
      <c r="G87" t="s">
        <v>59</v>
      </c>
      <c r="H87" t="s">
        <v>45</v>
      </c>
      <c r="I87" t="s">
        <v>2193</v>
      </c>
      <c r="J87" s="10">
        <v>0</v>
      </c>
      <c r="K87" t="b">
        <v>0</v>
      </c>
    </row>
    <row r="88" spans="1:11">
      <c r="A88" s="12">
        <v>41651</v>
      </c>
      <c r="B88">
        <v>2014</v>
      </c>
      <c r="C88">
        <v>1</v>
      </c>
      <c r="D88" s="11">
        <v>41640</v>
      </c>
      <c r="E88" t="s">
        <v>2173</v>
      </c>
      <c r="F88">
        <v>7</v>
      </c>
      <c r="G88" t="s">
        <v>59</v>
      </c>
      <c r="H88" t="s">
        <v>46</v>
      </c>
      <c r="I88" t="s">
        <v>2194</v>
      </c>
      <c r="J88" s="10">
        <v>1</v>
      </c>
      <c r="K88" t="b">
        <v>0</v>
      </c>
    </row>
    <row r="89" spans="1:11">
      <c r="A89" s="12">
        <v>41651</v>
      </c>
      <c r="B89">
        <v>2014</v>
      </c>
      <c r="C89">
        <v>1</v>
      </c>
      <c r="D89" s="11">
        <v>41640</v>
      </c>
      <c r="E89" t="s">
        <v>2173</v>
      </c>
      <c r="F89">
        <v>7</v>
      </c>
      <c r="G89" t="s">
        <v>59</v>
      </c>
      <c r="H89" t="s">
        <v>47</v>
      </c>
      <c r="I89" t="s">
        <v>2195</v>
      </c>
      <c r="J89" s="10">
        <v>1</v>
      </c>
      <c r="K89" t="b">
        <v>0</v>
      </c>
    </row>
    <row r="90" spans="1:11">
      <c r="A90" s="12">
        <v>41652</v>
      </c>
      <c r="B90">
        <v>2014</v>
      </c>
      <c r="C90">
        <v>1</v>
      </c>
      <c r="D90" s="11">
        <v>41640</v>
      </c>
      <c r="E90" t="s">
        <v>2173</v>
      </c>
      <c r="F90">
        <v>1</v>
      </c>
      <c r="G90" t="s">
        <v>61</v>
      </c>
      <c r="H90" t="s">
        <v>40</v>
      </c>
      <c r="I90" t="s">
        <v>2188</v>
      </c>
      <c r="J90" s="10">
        <v>7.34</v>
      </c>
      <c r="K90" t="b">
        <v>0</v>
      </c>
    </row>
    <row r="91" spans="1:11">
      <c r="A91" s="12">
        <v>41652</v>
      </c>
      <c r="B91">
        <v>2014</v>
      </c>
      <c r="C91">
        <v>1</v>
      </c>
      <c r="D91" s="11">
        <v>41640</v>
      </c>
      <c r="E91" t="s">
        <v>2173</v>
      </c>
      <c r="F91">
        <v>1</v>
      </c>
      <c r="G91" t="s">
        <v>61</v>
      </c>
      <c r="H91" t="s">
        <v>41</v>
      </c>
      <c r="I91" t="s">
        <v>2189</v>
      </c>
      <c r="J91" s="10">
        <v>7.66</v>
      </c>
      <c r="K91" t="b">
        <v>0</v>
      </c>
    </row>
    <row r="92" spans="1:11">
      <c r="A92" s="12">
        <v>41652</v>
      </c>
      <c r="B92">
        <v>2014</v>
      </c>
      <c r="C92">
        <v>1</v>
      </c>
      <c r="D92" s="11">
        <v>41640</v>
      </c>
      <c r="E92" t="s">
        <v>2173</v>
      </c>
      <c r="F92">
        <v>1</v>
      </c>
      <c r="G92" t="s">
        <v>61</v>
      </c>
      <c r="H92" t="s">
        <v>42</v>
      </c>
      <c r="I92" t="s">
        <v>2190</v>
      </c>
      <c r="J92" s="10">
        <v>6.2</v>
      </c>
      <c r="K92" t="b">
        <v>0</v>
      </c>
    </row>
    <row r="93" spans="1:11">
      <c r="A93" s="12">
        <v>41652</v>
      </c>
      <c r="B93">
        <v>2014</v>
      </c>
      <c r="C93">
        <v>1</v>
      </c>
      <c r="D93" s="11">
        <v>41640</v>
      </c>
      <c r="E93" t="s">
        <v>2173</v>
      </c>
      <c r="F93">
        <v>1</v>
      </c>
      <c r="G93" t="s">
        <v>61</v>
      </c>
      <c r="H93" t="s">
        <v>43</v>
      </c>
      <c r="I93" t="s">
        <v>2191</v>
      </c>
      <c r="J93" s="10">
        <v>52</v>
      </c>
      <c r="K93" t="b">
        <v>0</v>
      </c>
    </row>
    <row r="94" spans="1:11">
      <c r="A94" s="12">
        <v>41652</v>
      </c>
      <c r="B94">
        <v>2014</v>
      </c>
      <c r="C94">
        <v>1</v>
      </c>
      <c r="D94" s="11">
        <v>41640</v>
      </c>
      <c r="E94" t="s">
        <v>2173</v>
      </c>
      <c r="F94">
        <v>1</v>
      </c>
      <c r="G94" t="s">
        <v>61</v>
      </c>
      <c r="H94" t="s">
        <v>44</v>
      </c>
      <c r="I94" t="s">
        <v>2192</v>
      </c>
      <c r="J94" s="10">
        <v>9</v>
      </c>
      <c r="K94" t="b">
        <v>0</v>
      </c>
    </row>
    <row r="95" spans="1:11">
      <c r="A95" s="12">
        <v>41652</v>
      </c>
      <c r="B95">
        <v>2014</v>
      </c>
      <c r="C95">
        <v>1</v>
      </c>
      <c r="D95" s="11">
        <v>41640</v>
      </c>
      <c r="E95" t="s">
        <v>2173</v>
      </c>
      <c r="F95">
        <v>1</v>
      </c>
      <c r="G95" t="s">
        <v>61</v>
      </c>
      <c r="H95" t="s">
        <v>45</v>
      </c>
      <c r="I95" t="s">
        <v>2193</v>
      </c>
      <c r="J95" s="10">
        <v>0</v>
      </c>
      <c r="K95" t="b">
        <v>0</v>
      </c>
    </row>
    <row r="96" spans="1:11">
      <c r="A96" s="12">
        <v>41652</v>
      </c>
      <c r="B96">
        <v>2014</v>
      </c>
      <c r="C96">
        <v>1</v>
      </c>
      <c r="D96" s="11">
        <v>41640</v>
      </c>
      <c r="E96" t="s">
        <v>2173</v>
      </c>
      <c r="F96">
        <v>1</v>
      </c>
      <c r="G96" t="s">
        <v>61</v>
      </c>
      <c r="H96" t="s">
        <v>46</v>
      </c>
      <c r="I96" t="s">
        <v>2194</v>
      </c>
      <c r="J96" s="10">
        <v>7</v>
      </c>
      <c r="K96" t="b">
        <v>0</v>
      </c>
    </row>
    <row r="97" spans="1:11">
      <c r="A97" s="12">
        <v>41652</v>
      </c>
      <c r="B97">
        <v>2014</v>
      </c>
      <c r="C97">
        <v>1</v>
      </c>
      <c r="D97" s="11">
        <v>41640</v>
      </c>
      <c r="E97" t="s">
        <v>2173</v>
      </c>
      <c r="F97">
        <v>1</v>
      </c>
      <c r="G97" t="s">
        <v>61</v>
      </c>
      <c r="H97" t="s">
        <v>47</v>
      </c>
      <c r="I97" t="s">
        <v>2195</v>
      </c>
      <c r="J97" s="10">
        <v>1</v>
      </c>
      <c r="K97" t="b">
        <v>0</v>
      </c>
    </row>
    <row r="98" spans="1:11">
      <c r="A98" s="12">
        <v>41653</v>
      </c>
      <c r="B98">
        <v>2014</v>
      </c>
      <c r="C98">
        <v>1</v>
      </c>
      <c r="D98" s="11">
        <v>41640</v>
      </c>
      <c r="E98" t="s">
        <v>2173</v>
      </c>
      <c r="F98">
        <v>2</v>
      </c>
      <c r="G98" t="s">
        <v>63</v>
      </c>
      <c r="H98" t="s">
        <v>40</v>
      </c>
      <c r="I98" t="s">
        <v>2188</v>
      </c>
      <c r="J98" s="10">
        <v>6</v>
      </c>
      <c r="K98" t="b">
        <v>0</v>
      </c>
    </row>
    <row r="99" spans="1:11">
      <c r="A99" s="12">
        <v>41653</v>
      </c>
      <c r="B99">
        <v>2014</v>
      </c>
      <c r="C99">
        <v>1</v>
      </c>
      <c r="D99" s="11">
        <v>41640</v>
      </c>
      <c r="E99" t="s">
        <v>2173</v>
      </c>
      <c r="F99">
        <v>2</v>
      </c>
      <c r="G99" t="s">
        <v>63</v>
      </c>
      <c r="H99" t="s">
        <v>41</v>
      </c>
      <c r="I99" t="s">
        <v>2189</v>
      </c>
      <c r="J99" s="10">
        <v>1.33</v>
      </c>
      <c r="K99" t="b">
        <v>0</v>
      </c>
    </row>
    <row r="100" spans="1:11">
      <c r="A100" s="12">
        <v>41653</v>
      </c>
      <c r="B100">
        <v>2014</v>
      </c>
      <c r="C100">
        <v>1</v>
      </c>
      <c r="D100" s="11">
        <v>41640</v>
      </c>
      <c r="E100" t="s">
        <v>2173</v>
      </c>
      <c r="F100">
        <v>2</v>
      </c>
      <c r="G100" t="s">
        <v>63</v>
      </c>
      <c r="H100" t="s">
        <v>42</v>
      </c>
      <c r="I100" t="s">
        <v>2190</v>
      </c>
      <c r="J100" s="10">
        <v>12.3</v>
      </c>
      <c r="K100" t="b">
        <v>0</v>
      </c>
    </row>
    <row r="101" spans="1:11">
      <c r="A101" s="12">
        <v>41653</v>
      </c>
      <c r="B101">
        <v>2014</v>
      </c>
      <c r="C101">
        <v>1</v>
      </c>
      <c r="D101" s="11">
        <v>41640</v>
      </c>
      <c r="E101" t="s">
        <v>2173</v>
      </c>
      <c r="F101">
        <v>2</v>
      </c>
      <c r="G101" t="s">
        <v>63</v>
      </c>
      <c r="H101" t="s">
        <v>43</v>
      </c>
      <c r="I101" t="s">
        <v>2191</v>
      </c>
      <c r="J101" s="10">
        <v>33.7</v>
      </c>
      <c r="K101" t="b">
        <v>0</v>
      </c>
    </row>
    <row r="102" spans="1:11">
      <c r="A102" s="12">
        <v>41653</v>
      </c>
      <c r="B102">
        <v>2014</v>
      </c>
      <c r="C102">
        <v>1</v>
      </c>
      <c r="D102" s="11">
        <v>41640</v>
      </c>
      <c r="E102" t="s">
        <v>2173</v>
      </c>
      <c r="F102">
        <v>2</v>
      </c>
      <c r="G102" t="s">
        <v>63</v>
      </c>
      <c r="H102" t="s">
        <v>44</v>
      </c>
      <c r="I102" t="s">
        <v>2192</v>
      </c>
      <c r="J102" s="10">
        <v>6</v>
      </c>
      <c r="K102" t="b">
        <v>0</v>
      </c>
    </row>
    <row r="103" spans="1:11">
      <c r="A103" s="12">
        <v>41653</v>
      </c>
      <c r="B103">
        <v>2014</v>
      </c>
      <c r="C103">
        <v>1</v>
      </c>
      <c r="D103" s="11">
        <v>41640</v>
      </c>
      <c r="E103" t="s">
        <v>2173</v>
      </c>
      <c r="F103">
        <v>2</v>
      </c>
      <c r="G103" t="s">
        <v>63</v>
      </c>
      <c r="H103" t="s">
        <v>45</v>
      </c>
      <c r="I103" t="s">
        <v>2193</v>
      </c>
      <c r="J103" s="10">
        <v>1</v>
      </c>
      <c r="K103" t="b">
        <v>0</v>
      </c>
    </row>
    <row r="104" spans="1:11">
      <c r="A104" s="12">
        <v>41653</v>
      </c>
      <c r="B104">
        <v>2014</v>
      </c>
      <c r="C104">
        <v>1</v>
      </c>
      <c r="D104" s="11">
        <v>41640</v>
      </c>
      <c r="E104" t="s">
        <v>2173</v>
      </c>
      <c r="F104">
        <v>2</v>
      </c>
      <c r="G104" t="s">
        <v>63</v>
      </c>
      <c r="H104" t="s">
        <v>46</v>
      </c>
      <c r="I104" t="s">
        <v>2194</v>
      </c>
      <c r="J104" s="10">
        <v>0</v>
      </c>
      <c r="K104" t="b">
        <v>0</v>
      </c>
    </row>
    <row r="105" spans="1:11">
      <c r="A105" s="12">
        <v>41653</v>
      </c>
      <c r="B105">
        <v>2014</v>
      </c>
      <c r="C105">
        <v>1</v>
      </c>
      <c r="D105" s="11">
        <v>41640</v>
      </c>
      <c r="E105" t="s">
        <v>2173</v>
      </c>
      <c r="F105">
        <v>2</v>
      </c>
      <c r="G105" t="s">
        <v>63</v>
      </c>
      <c r="H105" t="s">
        <v>47</v>
      </c>
      <c r="I105" t="s">
        <v>2195</v>
      </c>
      <c r="J105" s="10">
        <v>2</v>
      </c>
      <c r="K105" t="b">
        <v>0</v>
      </c>
    </row>
    <row r="106" spans="1:11">
      <c r="A106" s="12">
        <v>41654</v>
      </c>
      <c r="B106">
        <v>2014</v>
      </c>
      <c r="C106">
        <v>1</v>
      </c>
      <c r="D106" s="11">
        <v>41640</v>
      </c>
      <c r="E106" t="s">
        <v>2173</v>
      </c>
      <c r="F106">
        <v>3</v>
      </c>
      <c r="G106" t="s">
        <v>65</v>
      </c>
      <c r="H106" t="s">
        <v>40</v>
      </c>
      <c r="I106" t="s">
        <v>2188</v>
      </c>
      <c r="J106" s="10">
        <v>4</v>
      </c>
      <c r="K106" t="b">
        <v>0</v>
      </c>
    </row>
    <row r="107" spans="1:11">
      <c r="A107" s="12">
        <v>41654</v>
      </c>
      <c r="B107">
        <v>2014</v>
      </c>
      <c r="C107">
        <v>1</v>
      </c>
      <c r="D107" s="11">
        <v>41640</v>
      </c>
      <c r="E107" t="s">
        <v>2173</v>
      </c>
      <c r="F107">
        <v>3</v>
      </c>
      <c r="G107" t="s">
        <v>65</v>
      </c>
      <c r="H107" t="s">
        <v>41</v>
      </c>
      <c r="I107" t="s">
        <v>2189</v>
      </c>
      <c r="J107" s="10">
        <v>2.34</v>
      </c>
      <c r="K107" t="b">
        <v>0</v>
      </c>
    </row>
    <row r="108" spans="1:11">
      <c r="A108" s="12">
        <v>41654</v>
      </c>
      <c r="B108">
        <v>2014</v>
      </c>
      <c r="C108">
        <v>1</v>
      </c>
      <c r="D108" s="11">
        <v>41640</v>
      </c>
      <c r="E108" t="s">
        <v>2173</v>
      </c>
      <c r="F108">
        <v>3</v>
      </c>
      <c r="G108" t="s">
        <v>65</v>
      </c>
      <c r="H108" t="s">
        <v>42</v>
      </c>
      <c r="I108" t="s">
        <v>2190</v>
      </c>
      <c r="J108" s="10">
        <v>5</v>
      </c>
      <c r="K108" t="b">
        <v>0</v>
      </c>
    </row>
    <row r="109" spans="1:11">
      <c r="A109" s="12">
        <v>41654</v>
      </c>
      <c r="B109">
        <v>2014</v>
      </c>
      <c r="C109">
        <v>1</v>
      </c>
      <c r="D109" s="11">
        <v>41640</v>
      </c>
      <c r="E109" t="s">
        <v>2173</v>
      </c>
      <c r="F109">
        <v>3</v>
      </c>
      <c r="G109" t="s">
        <v>65</v>
      </c>
      <c r="H109" t="s">
        <v>43</v>
      </c>
      <c r="I109" t="s">
        <v>2191</v>
      </c>
      <c r="J109" s="10">
        <v>26.7</v>
      </c>
      <c r="K109" t="b">
        <v>0</v>
      </c>
    </row>
    <row r="110" spans="1:11">
      <c r="A110" s="12">
        <v>41654</v>
      </c>
      <c r="B110">
        <v>2014</v>
      </c>
      <c r="C110">
        <v>1</v>
      </c>
      <c r="D110" s="11">
        <v>41640</v>
      </c>
      <c r="E110" t="s">
        <v>2173</v>
      </c>
      <c r="F110">
        <v>3</v>
      </c>
      <c r="G110" t="s">
        <v>65</v>
      </c>
      <c r="H110" t="s">
        <v>44</v>
      </c>
      <c r="I110" t="s">
        <v>2192</v>
      </c>
      <c r="J110" s="10">
        <v>12</v>
      </c>
      <c r="K110" t="b">
        <v>0</v>
      </c>
    </row>
    <row r="111" spans="1:11">
      <c r="A111" s="12">
        <v>41654</v>
      </c>
      <c r="B111">
        <v>2014</v>
      </c>
      <c r="C111">
        <v>1</v>
      </c>
      <c r="D111" s="11">
        <v>41640</v>
      </c>
      <c r="E111" t="s">
        <v>2173</v>
      </c>
      <c r="F111">
        <v>3</v>
      </c>
      <c r="G111" t="s">
        <v>65</v>
      </c>
      <c r="H111" t="s">
        <v>45</v>
      </c>
      <c r="I111" t="s">
        <v>2193</v>
      </c>
      <c r="J111" s="10">
        <v>2</v>
      </c>
      <c r="K111" t="b">
        <v>0</v>
      </c>
    </row>
    <row r="112" spans="1:11">
      <c r="A112" s="12">
        <v>41654</v>
      </c>
      <c r="B112">
        <v>2014</v>
      </c>
      <c r="C112">
        <v>1</v>
      </c>
      <c r="D112" s="11">
        <v>41640</v>
      </c>
      <c r="E112" t="s">
        <v>2173</v>
      </c>
      <c r="F112">
        <v>3</v>
      </c>
      <c r="G112" t="s">
        <v>65</v>
      </c>
      <c r="H112" t="s">
        <v>46</v>
      </c>
      <c r="I112" t="s">
        <v>2194</v>
      </c>
      <c r="J112" s="10">
        <v>3</v>
      </c>
      <c r="K112" t="b">
        <v>0</v>
      </c>
    </row>
    <row r="113" spans="1:11">
      <c r="A113" s="12">
        <v>41654</v>
      </c>
      <c r="B113">
        <v>2014</v>
      </c>
      <c r="C113">
        <v>1</v>
      </c>
      <c r="D113" s="11">
        <v>41640</v>
      </c>
      <c r="E113" t="s">
        <v>2173</v>
      </c>
      <c r="F113">
        <v>3</v>
      </c>
      <c r="G113" t="s">
        <v>65</v>
      </c>
      <c r="H113" t="s">
        <v>47</v>
      </c>
      <c r="I113" t="s">
        <v>2195</v>
      </c>
      <c r="J113" s="10">
        <v>3</v>
      </c>
      <c r="K113" t="b">
        <v>0</v>
      </c>
    </row>
    <row r="114" spans="1:11">
      <c r="A114" s="12">
        <v>41655</v>
      </c>
      <c r="B114">
        <v>2014</v>
      </c>
      <c r="C114">
        <v>1</v>
      </c>
      <c r="D114" s="11">
        <v>41640</v>
      </c>
      <c r="E114" t="s">
        <v>2173</v>
      </c>
      <c r="F114">
        <v>4</v>
      </c>
      <c r="G114" t="s">
        <v>53</v>
      </c>
      <c r="H114" t="s">
        <v>40</v>
      </c>
      <c r="I114" t="s">
        <v>2188</v>
      </c>
      <c r="J114" s="10">
        <v>6</v>
      </c>
      <c r="K114" t="b">
        <v>0</v>
      </c>
    </row>
    <row r="115" spans="1:11">
      <c r="A115" s="12">
        <v>41655</v>
      </c>
      <c r="B115">
        <v>2014</v>
      </c>
      <c r="C115">
        <v>1</v>
      </c>
      <c r="D115" s="11">
        <v>41640</v>
      </c>
      <c r="E115" t="s">
        <v>2173</v>
      </c>
      <c r="F115">
        <v>4</v>
      </c>
      <c r="G115" t="s">
        <v>53</v>
      </c>
      <c r="H115" t="s">
        <v>41</v>
      </c>
      <c r="I115" t="s">
        <v>2189</v>
      </c>
      <c r="J115" s="10">
        <v>2</v>
      </c>
      <c r="K115" t="b">
        <v>0</v>
      </c>
    </row>
    <row r="116" spans="1:11">
      <c r="A116" s="12">
        <v>41655</v>
      </c>
      <c r="B116">
        <v>2014</v>
      </c>
      <c r="C116">
        <v>1</v>
      </c>
      <c r="D116" s="11">
        <v>41640</v>
      </c>
      <c r="E116" t="s">
        <v>2173</v>
      </c>
      <c r="F116">
        <v>4</v>
      </c>
      <c r="G116" t="s">
        <v>53</v>
      </c>
      <c r="H116" t="s">
        <v>42</v>
      </c>
      <c r="I116" t="s">
        <v>2190</v>
      </c>
      <c r="J116" s="10">
        <v>4.3</v>
      </c>
      <c r="K116" t="b">
        <v>0</v>
      </c>
    </row>
    <row r="117" spans="1:11">
      <c r="A117" s="12">
        <v>41655</v>
      </c>
      <c r="B117">
        <v>2014</v>
      </c>
      <c r="C117">
        <v>1</v>
      </c>
      <c r="D117" s="11">
        <v>41640</v>
      </c>
      <c r="E117" t="s">
        <v>2173</v>
      </c>
      <c r="F117">
        <v>4</v>
      </c>
      <c r="G117" t="s">
        <v>53</v>
      </c>
      <c r="H117" t="s">
        <v>43</v>
      </c>
      <c r="I117" t="s">
        <v>2191</v>
      </c>
      <c r="J117" s="10">
        <v>28.3</v>
      </c>
      <c r="K117" t="b">
        <v>0</v>
      </c>
    </row>
    <row r="118" spans="1:11">
      <c r="A118" s="12">
        <v>41655</v>
      </c>
      <c r="B118">
        <v>2014</v>
      </c>
      <c r="C118">
        <v>1</v>
      </c>
      <c r="D118" s="11">
        <v>41640</v>
      </c>
      <c r="E118" t="s">
        <v>2173</v>
      </c>
      <c r="F118">
        <v>4</v>
      </c>
      <c r="G118" t="s">
        <v>53</v>
      </c>
      <c r="H118" t="s">
        <v>44</v>
      </c>
      <c r="I118" t="s">
        <v>2192</v>
      </c>
      <c r="J118" s="10">
        <v>19</v>
      </c>
      <c r="K118" t="b">
        <v>0</v>
      </c>
    </row>
    <row r="119" spans="1:11">
      <c r="A119" s="12">
        <v>41655</v>
      </c>
      <c r="B119">
        <v>2014</v>
      </c>
      <c r="C119">
        <v>1</v>
      </c>
      <c r="D119" s="11">
        <v>41640</v>
      </c>
      <c r="E119" t="s">
        <v>2173</v>
      </c>
      <c r="F119">
        <v>4</v>
      </c>
      <c r="G119" t="s">
        <v>53</v>
      </c>
      <c r="H119" t="s">
        <v>45</v>
      </c>
      <c r="I119" t="s">
        <v>2193</v>
      </c>
      <c r="J119" s="10">
        <v>1</v>
      </c>
      <c r="K119" t="b">
        <v>0</v>
      </c>
    </row>
    <row r="120" spans="1:11">
      <c r="A120" s="12">
        <v>41655</v>
      </c>
      <c r="B120">
        <v>2014</v>
      </c>
      <c r="C120">
        <v>1</v>
      </c>
      <c r="D120" s="11">
        <v>41640</v>
      </c>
      <c r="E120" t="s">
        <v>2173</v>
      </c>
      <c r="F120">
        <v>4</v>
      </c>
      <c r="G120" t="s">
        <v>53</v>
      </c>
      <c r="H120" t="s">
        <v>46</v>
      </c>
      <c r="I120" t="s">
        <v>2194</v>
      </c>
      <c r="J120" s="10">
        <v>5</v>
      </c>
      <c r="K120" t="b">
        <v>0</v>
      </c>
    </row>
    <row r="121" spans="1:11">
      <c r="A121" s="12">
        <v>41655</v>
      </c>
      <c r="B121">
        <v>2014</v>
      </c>
      <c r="C121">
        <v>1</v>
      </c>
      <c r="D121" s="11">
        <v>41640</v>
      </c>
      <c r="E121" t="s">
        <v>2173</v>
      </c>
      <c r="F121">
        <v>4</v>
      </c>
      <c r="G121" t="s">
        <v>53</v>
      </c>
      <c r="H121" t="s">
        <v>47</v>
      </c>
      <c r="I121" t="s">
        <v>2195</v>
      </c>
      <c r="J121" s="10">
        <v>0</v>
      </c>
      <c r="K121" t="b">
        <v>0</v>
      </c>
    </row>
    <row r="122" spans="1:11">
      <c r="A122" s="12">
        <v>41656</v>
      </c>
      <c r="B122">
        <v>2014</v>
      </c>
      <c r="C122">
        <v>1</v>
      </c>
      <c r="D122" s="11">
        <v>41640</v>
      </c>
      <c r="E122" t="s">
        <v>2173</v>
      </c>
      <c r="F122">
        <v>5</v>
      </c>
      <c r="G122" t="s">
        <v>55</v>
      </c>
      <c r="H122" t="s">
        <v>40</v>
      </c>
      <c r="I122" t="s">
        <v>2188</v>
      </c>
      <c r="J122" s="10">
        <v>2</v>
      </c>
      <c r="K122" t="b">
        <v>0</v>
      </c>
    </row>
    <row r="123" spans="1:11">
      <c r="A123" s="12">
        <v>41656</v>
      </c>
      <c r="B123">
        <v>2014</v>
      </c>
      <c r="C123">
        <v>1</v>
      </c>
      <c r="D123" s="11">
        <v>41640</v>
      </c>
      <c r="E123" t="s">
        <v>2173</v>
      </c>
      <c r="F123">
        <v>5</v>
      </c>
      <c r="G123" t="s">
        <v>55</v>
      </c>
      <c r="H123" t="s">
        <v>41</v>
      </c>
      <c r="I123" t="s">
        <v>2189</v>
      </c>
      <c r="J123" s="10">
        <v>3.68</v>
      </c>
      <c r="K123" t="b">
        <v>0</v>
      </c>
    </row>
    <row r="124" spans="1:11">
      <c r="A124" s="12">
        <v>41656</v>
      </c>
      <c r="B124">
        <v>2014</v>
      </c>
      <c r="C124">
        <v>1</v>
      </c>
      <c r="D124" s="11">
        <v>41640</v>
      </c>
      <c r="E124" t="s">
        <v>2173</v>
      </c>
      <c r="F124">
        <v>5</v>
      </c>
      <c r="G124" t="s">
        <v>55</v>
      </c>
      <c r="H124" t="s">
        <v>42</v>
      </c>
      <c r="I124" t="s">
        <v>2190</v>
      </c>
      <c r="J124" s="10">
        <v>8.300000000000001</v>
      </c>
      <c r="K124" t="b">
        <v>0</v>
      </c>
    </row>
    <row r="125" spans="1:11">
      <c r="A125" s="12">
        <v>41656</v>
      </c>
      <c r="B125">
        <v>2014</v>
      </c>
      <c r="C125">
        <v>1</v>
      </c>
      <c r="D125" s="11">
        <v>41640</v>
      </c>
      <c r="E125" t="s">
        <v>2173</v>
      </c>
      <c r="F125">
        <v>5</v>
      </c>
      <c r="G125" t="s">
        <v>55</v>
      </c>
      <c r="H125" t="s">
        <v>43</v>
      </c>
      <c r="I125" t="s">
        <v>2191</v>
      </c>
      <c r="J125" s="10">
        <v>20.4</v>
      </c>
      <c r="K125" t="b">
        <v>0</v>
      </c>
    </row>
    <row r="126" spans="1:11">
      <c r="A126" s="12">
        <v>41656</v>
      </c>
      <c r="B126">
        <v>2014</v>
      </c>
      <c r="C126">
        <v>1</v>
      </c>
      <c r="D126" s="11">
        <v>41640</v>
      </c>
      <c r="E126" t="s">
        <v>2173</v>
      </c>
      <c r="F126">
        <v>5</v>
      </c>
      <c r="G126" t="s">
        <v>55</v>
      </c>
      <c r="H126" t="s">
        <v>44</v>
      </c>
      <c r="I126" t="s">
        <v>2192</v>
      </c>
      <c r="J126" s="10">
        <v>15</v>
      </c>
      <c r="K126" t="b">
        <v>0</v>
      </c>
    </row>
    <row r="127" spans="1:11">
      <c r="A127" s="12">
        <v>41656</v>
      </c>
      <c r="B127">
        <v>2014</v>
      </c>
      <c r="C127">
        <v>1</v>
      </c>
      <c r="D127" s="11">
        <v>41640</v>
      </c>
      <c r="E127" t="s">
        <v>2173</v>
      </c>
      <c r="F127">
        <v>5</v>
      </c>
      <c r="G127" t="s">
        <v>55</v>
      </c>
      <c r="H127" t="s">
        <v>45</v>
      </c>
      <c r="I127" t="s">
        <v>2193</v>
      </c>
      <c r="J127" s="10">
        <v>0</v>
      </c>
      <c r="K127" t="b">
        <v>0</v>
      </c>
    </row>
    <row r="128" spans="1:11">
      <c r="A128" s="12">
        <v>41656</v>
      </c>
      <c r="B128">
        <v>2014</v>
      </c>
      <c r="C128">
        <v>1</v>
      </c>
      <c r="D128" s="11">
        <v>41640</v>
      </c>
      <c r="E128" t="s">
        <v>2173</v>
      </c>
      <c r="F128">
        <v>5</v>
      </c>
      <c r="G128" t="s">
        <v>55</v>
      </c>
      <c r="H128" t="s">
        <v>46</v>
      </c>
      <c r="I128" t="s">
        <v>2194</v>
      </c>
      <c r="J128" s="10">
        <v>6</v>
      </c>
      <c r="K128" t="b">
        <v>0</v>
      </c>
    </row>
    <row r="129" spans="1:11">
      <c r="A129" s="12">
        <v>41656</v>
      </c>
      <c r="B129">
        <v>2014</v>
      </c>
      <c r="C129">
        <v>1</v>
      </c>
      <c r="D129" s="11">
        <v>41640</v>
      </c>
      <c r="E129" t="s">
        <v>2173</v>
      </c>
      <c r="F129">
        <v>5</v>
      </c>
      <c r="G129" t="s">
        <v>55</v>
      </c>
      <c r="H129" t="s">
        <v>47</v>
      </c>
      <c r="I129" t="s">
        <v>2195</v>
      </c>
      <c r="J129" s="10">
        <v>3</v>
      </c>
      <c r="K129" t="b">
        <v>0</v>
      </c>
    </row>
    <row r="130" spans="1:11">
      <c r="A130" s="12">
        <v>41657</v>
      </c>
      <c r="B130">
        <v>2014</v>
      </c>
      <c r="C130">
        <v>1</v>
      </c>
      <c r="D130" s="11">
        <v>41640</v>
      </c>
      <c r="E130" t="s">
        <v>2173</v>
      </c>
      <c r="F130">
        <v>6</v>
      </c>
      <c r="G130" t="s">
        <v>57</v>
      </c>
      <c r="H130" t="s">
        <v>40</v>
      </c>
      <c r="I130" t="s">
        <v>2188</v>
      </c>
      <c r="J130" s="10">
        <v>1</v>
      </c>
      <c r="K130" t="b">
        <v>0</v>
      </c>
    </row>
    <row r="131" spans="1:11">
      <c r="A131" s="12">
        <v>41657</v>
      </c>
      <c r="B131">
        <v>2014</v>
      </c>
      <c r="C131">
        <v>1</v>
      </c>
      <c r="D131" s="11">
        <v>41640</v>
      </c>
      <c r="E131" t="s">
        <v>2173</v>
      </c>
      <c r="F131">
        <v>6</v>
      </c>
      <c r="G131" t="s">
        <v>57</v>
      </c>
      <c r="H131" t="s">
        <v>41</v>
      </c>
      <c r="I131" t="s">
        <v>2189</v>
      </c>
      <c r="J131" s="10">
        <v>5.33</v>
      </c>
      <c r="K131" t="b">
        <v>0</v>
      </c>
    </row>
    <row r="132" spans="1:11">
      <c r="A132" s="12">
        <v>41657</v>
      </c>
      <c r="B132">
        <v>2014</v>
      </c>
      <c r="C132">
        <v>1</v>
      </c>
      <c r="D132" s="11">
        <v>41640</v>
      </c>
      <c r="E132" t="s">
        <v>2173</v>
      </c>
      <c r="F132">
        <v>6</v>
      </c>
      <c r="G132" t="s">
        <v>57</v>
      </c>
      <c r="H132" t="s">
        <v>42</v>
      </c>
      <c r="I132" t="s">
        <v>2190</v>
      </c>
      <c r="J132" s="10">
        <v>5.8</v>
      </c>
      <c r="K132" t="b">
        <v>0</v>
      </c>
    </row>
    <row r="133" spans="1:11">
      <c r="A133" s="12">
        <v>41657</v>
      </c>
      <c r="B133">
        <v>2014</v>
      </c>
      <c r="C133">
        <v>1</v>
      </c>
      <c r="D133" s="11">
        <v>41640</v>
      </c>
      <c r="E133" t="s">
        <v>2173</v>
      </c>
      <c r="F133">
        <v>6</v>
      </c>
      <c r="G133" t="s">
        <v>57</v>
      </c>
      <c r="H133" t="s">
        <v>43</v>
      </c>
      <c r="I133" t="s">
        <v>2191</v>
      </c>
      <c r="J133" s="10">
        <v>43.2</v>
      </c>
      <c r="K133" t="b">
        <v>0</v>
      </c>
    </row>
    <row r="134" spans="1:11">
      <c r="A134" s="12">
        <v>41657</v>
      </c>
      <c r="B134">
        <v>2014</v>
      </c>
      <c r="C134">
        <v>1</v>
      </c>
      <c r="D134" s="11">
        <v>41640</v>
      </c>
      <c r="E134" t="s">
        <v>2173</v>
      </c>
      <c r="F134">
        <v>6</v>
      </c>
      <c r="G134" t="s">
        <v>57</v>
      </c>
      <c r="H134" t="s">
        <v>44</v>
      </c>
      <c r="I134" t="s">
        <v>2192</v>
      </c>
      <c r="J134" s="10">
        <v>15</v>
      </c>
      <c r="K134" t="b">
        <v>0</v>
      </c>
    </row>
    <row r="135" spans="1:11">
      <c r="A135" s="12">
        <v>41657</v>
      </c>
      <c r="B135">
        <v>2014</v>
      </c>
      <c r="C135">
        <v>1</v>
      </c>
      <c r="D135" s="11">
        <v>41640</v>
      </c>
      <c r="E135" t="s">
        <v>2173</v>
      </c>
      <c r="F135">
        <v>6</v>
      </c>
      <c r="G135" t="s">
        <v>57</v>
      </c>
      <c r="H135" t="s">
        <v>45</v>
      </c>
      <c r="I135" t="s">
        <v>2193</v>
      </c>
      <c r="J135" s="10">
        <v>4</v>
      </c>
      <c r="K135" t="b">
        <v>0</v>
      </c>
    </row>
    <row r="136" spans="1:11">
      <c r="A136" s="12">
        <v>41657</v>
      </c>
      <c r="B136">
        <v>2014</v>
      </c>
      <c r="C136">
        <v>1</v>
      </c>
      <c r="D136" s="11">
        <v>41640</v>
      </c>
      <c r="E136" t="s">
        <v>2173</v>
      </c>
      <c r="F136">
        <v>6</v>
      </c>
      <c r="G136" t="s">
        <v>57</v>
      </c>
      <c r="H136" t="s">
        <v>46</v>
      </c>
      <c r="I136" t="s">
        <v>2194</v>
      </c>
      <c r="J136" s="10">
        <v>7</v>
      </c>
      <c r="K136" t="b">
        <v>0</v>
      </c>
    </row>
    <row r="137" spans="1:11">
      <c r="A137" s="12">
        <v>41657</v>
      </c>
      <c r="B137">
        <v>2014</v>
      </c>
      <c r="C137">
        <v>1</v>
      </c>
      <c r="D137" s="11">
        <v>41640</v>
      </c>
      <c r="E137" t="s">
        <v>2173</v>
      </c>
      <c r="F137">
        <v>6</v>
      </c>
      <c r="G137" t="s">
        <v>57</v>
      </c>
      <c r="H137" t="s">
        <v>47</v>
      </c>
      <c r="I137" t="s">
        <v>2195</v>
      </c>
      <c r="J137" s="10">
        <v>2</v>
      </c>
      <c r="K137" t="b">
        <v>0</v>
      </c>
    </row>
    <row r="138" spans="1:11">
      <c r="A138" s="12">
        <v>41658</v>
      </c>
      <c r="B138">
        <v>2014</v>
      </c>
      <c r="C138">
        <v>1</v>
      </c>
      <c r="D138" s="11">
        <v>41640</v>
      </c>
      <c r="E138" t="s">
        <v>2173</v>
      </c>
      <c r="F138">
        <v>7</v>
      </c>
      <c r="G138" t="s">
        <v>59</v>
      </c>
      <c r="H138" t="s">
        <v>40</v>
      </c>
      <c r="I138" t="s">
        <v>2188</v>
      </c>
      <c r="J138" s="10">
        <v>4.33</v>
      </c>
      <c r="K138" t="b">
        <v>0</v>
      </c>
    </row>
    <row r="139" spans="1:11">
      <c r="A139" s="12">
        <v>41658</v>
      </c>
      <c r="B139">
        <v>2014</v>
      </c>
      <c r="C139">
        <v>1</v>
      </c>
      <c r="D139" s="11">
        <v>41640</v>
      </c>
      <c r="E139" t="s">
        <v>2173</v>
      </c>
      <c r="F139">
        <v>7</v>
      </c>
      <c r="G139" t="s">
        <v>59</v>
      </c>
      <c r="H139" t="s">
        <v>41</v>
      </c>
      <c r="I139" t="s">
        <v>2189</v>
      </c>
      <c r="J139" s="10">
        <v>4</v>
      </c>
      <c r="K139" t="b">
        <v>0</v>
      </c>
    </row>
    <row r="140" spans="1:11">
      <c r="A140" s="12">
        <v>41658</v>
      </c>
      <c r="B140">
        <v>2014</v>
      </c>
      <c r="C140">
        <v>1</v>
      </c>
      <c r="D140" s="11">
        <v>41640</v>
      </c>
      <c r="E140" t="s">
        <v>2173</v>
      </c>
      <c r="F140">
        <v>7</v>
      </c>
      <c r="G140" t="s">
        <v>59</v>
      </c>
      <c r="H140" t="s">
        <v>42</v>
      </c>
      <c r="I140" t="s">
        <v>2190</v>
      </c>
      <c r="J140" s="10">
        <v>4</v>
      </c>
      <c r="K140" t="b">
        <v>0</v>
      </c>
    </row>
    <row r="141" spans="1:11">
      <c r="A141" s="12">
        <v>41658</v>
      </c>
      <c r="B141">
        <v>2014</v>
      </c>
      <c r="C141">
        <v>1</v>
      </c>
      <c r="D141" s="11">
        <v>41640</v>
      </c>
      <c r="E141" t="s">
        <v>2173</v>
      </c>
      <c r="F141">
        <v>7</v>
      </c>
      <c r="G141" t="s">
        <v>59</v>
      </c>
      <c r="H141" t="s">
        <v>43</v>
      </c>
      <c r="I141" t="s">
        <v>2191</v>
      </c>
      <c r="J141" s="10">
        <v>14.1</v>
      </c>
      <c r="K141" t="b">
        <v>0</v>
      </c>
    </row>
    <row r="142" spans="1:11">
      <c r="A142" s="12">
        <v>41658</v>
      </c>
      <c r="B142">
        <v>2014</v>
      </c>
      <c r="C142">
        <v>1</v>
      </c>
      <c r="D142" s="11">
        <v>41640</v>
      </c>
      <c r="E142" t="s">
        <v>2173</v>
      </c>
      <c r="F142">
        <v>7</v>
      </c>
      <c r="G142" t="s">
        <v>59</v>
      </c>
      <c r="H142" t="s">
        <v>44</v>
      </c>
      <c r="I142" t="s">
        <v>2192</v>
      </c>
      <c r="J142" s="10">
        <v>4</v>
      </c>
      <c r="K142" t="b">
        <v>0</v>
      </c>
    </row>
    <row r="143" spans="1:11">
      <c r="A143" s="12">
        <v>41658</v>
      </c>
      <c r="B143">
        <v>2014</v>
      </c>
      <c r="C143">
        <v>1</v>
      </c>
      <c r="D143" s="11">
        <v>41640</v>
      </c>
      <c r="E143" t="s">
        <v>2173</v>
      </c>
      <c r="F143">
        <v>7</v>
      </c>
      <c r="G143" t="s">
        <v>59</v>
      </c>
      <c r="H143" t="s">
        <v>45</v>
      </c>
      <c r="I143" t="s">
        <v>2193</v>
      </c>
      <c r="J143" s="10">
        <v>0</v>
      </c>
      <c r="K143" t="b">
        <v>0</v>
      </c>
    </row>
    <row r="144" spans="1:11">
      <c r="A144" s="12">
        <v>41658</v>
      </c>
      <c r="B144">
        <v>2014</v>
      </c>
      <c r="C144">
        <v>1</v>
      </c>
      <c r="D144" s="11">
        <v>41640</v>
      </c>
      <c r="E144" t="s">
        <v>2173</v>
      </c>
      <c r="F144">
        <v>7</v>
      </c>
      <c r="G144" t="s">
        <v>59</v>
      </c>
      <c r="H144" t="s">
        <v>46</v>
      </c>
      <c r="I144" t="s">
        <v>2194</v>
      </c>
      <c r="J144" s="10">
        <v>1</v>
      </c>
      <c r="K144" t="b">
        <v>0</v>
      </c>
    </row>
    <row r="145" spans="1:11">
      <c r="A145" s="12">
        <v>41658</v>
      </c>
      <c r="B145">
        <v>2014</v>
      </c>
      <c r="C145">
        <v>1</v>
      </c>
      <c r="D145" s="11">
        <v>41640</v>
      </c>
      <c r="E145" t="s">
        <v>2173</v>
      </c>
      <c r="F145">
        <v>7</v>
      </c>
      <c r="G145" t="s">
        <v>59</v>
      </c>
      <c r="H145" t="s">
        <v>47</v>
      </c>
      <c r="I145" t="s">
        <v>2195</v>
      </c>
      <c r="J145" s="10">
        <v>1</v>
      </c>
      <c r="K145" t="b">
        <v>0</v>
      </c>
    </row>
    <row r="146" spans="1:11">
      <c r="A146" s="12">
        <v>41659</v>
      </c>
      <c r="B146">
        <v>2014</v>
      </c>
      <c r="C146">
        <v>1</v>
      </c>
      <c r="D146" s="11">
        <v>41640</v>
      </c>
      <c r="E146" t="s">
        <v>2173</v>
      </c>
      <c r="F146">
        <v>1</v>
      </c>
      <c r="G146" t="s">
        <v>61</v>
      </c>
      <c r="H146" t="s">
        <v>40</v>
      </c>
      <c r="I146" t="s">
        <v>2188</v>
      </c>
      <c r="J146" s="10">
        <v>6</v>
      </c>
      <c r="K146" t="b">
        <v>0</v>
      </c>
    </row>
    <row r="147" spans="1:11">
      <c r="A147" s="12">
        <v>41659</v>
      </c>
      <c r="B147">
        <v>2014</v>
      </c>
      <c r="C147">
        <v>1</v>
      </c>
      <c r="D147" s="11">
        <v>41640</v>
      </c>
      <c r="E147" t="s">
        <v>2173</v>
      </c>
      <c r="F147">
        <v>1</v>
      </c>
      <c r="G147" t="s">
        <v>61</v>
      </c>
      <c r="H147" t="s">
        <v>41</v>
      </c>
      <c r="I147" t="s">
        <v>2189</v>
      </c>
      <c r="J147" s="10">
        <v>3.34</v>
      </c>
      <c r="K147" t="b">
        <v>0</v>
      </c>
    </row>
    <row r="148" spans="1:11">
      <c r="A148" s="12">
        <v>41659</v>
      </c>
      <c r="B148">
        <v>2014</v>
      </c>
      <c r="C148">
        <v>1</v>
      </c>
      <c r="D148" s="11">
        <v>41640</v>
      </c>
      <c r="E148" t="s">
        <v>2173</v>
      </c>
      <c r="F148">
        <v>1</v>
      </c>
      <c r="G148" t="s">
        <v>61</v>
      </c>
      <c r="H148" t="s">
        <v>42</v>
      </c>
      <c r="I148" t="s">
        <v>2190</v>
      </c>
      <c r="J148" s="10">
        <v>3.3</v>
      </c>
      <c r="K148" t="b">
        <v>0</v>
      </c>
    </row>
    <row r="149" spans="1:11">
      <c r="A149" s="12">
        <v>41659</v>
      </c>
      <c r="B149">
        <v>2014</v>
      </c>
      <c r="C149">
        <v>1</v>
      </c>
      <c r="D149" s="11">
        <v>41640</v>
      </c>
      <c r="E149" t="s">
        <v>2173</v>
      </c>
      <c r="F149">
        <v>1</v>
      </c>
      <c r="G149" t="s">
        <v>61</v>
      </c>
      <c r="H149" t="s">
        <v>43</v>
      </c>
      <c r="I149" t="s">
        <v>2191</v>
      </c>
      <c r="J149" s="10">
        <v>11.9</v>
      </c>
      <c r="K149" t="b">
        <v>0</v>
      </c>
    </row>
    <row r="150" spans="1:11">
      <c r="A150" s="12">
        <v>41659</v>
      </c>
      <c r="B150">
        <v>2014</v>
      </c>
      <c r="C150">
        <v>1</v>
      </c>
      <c r="D150" s="11">
        <v>41640</v>
      </c>
      <c r="E150" t="s">
        <v>2173</v>
      </c>
      <c r="F150">
        <v>1</v>
      </c>
      <c r="G150" t="s">
        <v>61</v>
      </c>
      <c r="H150" t="s">
        <v>44</v>
      </c>
      <c r="I150" t="s">
        <v>2192</v>
      </c>
      <c r="J150" s="10">
        <v>18</v>
      </c>
      <c r="K150" t="b">
        <v>0</v>
      </c>
    </row>
    <row r="151" spans="1:11">
      <c r="A151" s="12">
        <v>41659</v>
      </c>
      <c r="B151">
        <v>2014</v>
      </c>
      <c r="C151">
        <v>1</v>
      </c>
      <c r="D151" s="11">
        <v>41640</v>
      </c>
      <c r="E151" t="s">
        <v>2173</v>
      </c>
      <c r="F151">
        <v>1</v>
      </c>
      <c r="G151" t="s">
        <v>61</v>
      </c>
      <c r="H151" t="s">
        <v>45</v>
      </c>
      <c r="I151" t="s">
        <v>2193</v>
      </c>
      <c r="J151" s="10">
        <v>2</v>
      </c>
      <c r="K151" t="b">
        <v>0</v>
      </c>
    </row>
    <row r="152" spans="1:11">
      <c r="A152" s="12">
        <v>41659</v>
      </c>
      <c r="B152">
        <v>2014</v>
      </c>
      <c r="C152">
        <v>1</v>
      </c>
      <c r="D152" s="11">
        <v>41640</v>
      </c>
      <c r="E152" t="s">
        <v>2173</v>
      </c>
      <c r="F152">
        <v>1</v>
      </c>
      <c r="G152" t="s">
        <v>61</v>
      </c>
      <c r="H152" t="s">
        <v>46</v>
      </c>
      <c r="I152" t="s">
        <v>2194</v>
      </c>
      <c r="J152" s="10">
        <v>12</v>
      </c>
      <c r="K152" t="b">
        <v>0</v>
      </c>
    </row>
    <row r="153" spans="1:11">
      <c r="A153" s="12">
        <v>41659</v>
      </c>
      <c r="B153">
        <v>2014</v>
      </c>
      <c r="C153">
        <v>1</v>
      </c>
      <c r="D153" s="11">
        <v>41640</v>
      </c>
      <c r="E153" t="s">
        <v>2173</v>
      </c>
      <c r="F153">
        <v>1</v>
      </c>
      <c r="G153" t="s">
        <v>61</v>
      </c>
      <c r="H153" t="s">
        <v>47</v>
      </c>
      <c r="I153" t="s">
        <v>2195</v>
      </c>
      <c r="J153" s="10">
        <v>3</v>
      </c>
      <c r="K153" t="b">
        <v>0</v>
      </c>
    </row>
    <row r="154" spans="1:11">
      <c r="A154" s="12">
        <v>41660</v>
      </c>
      <c r="B154">
        <v>2014</v>
      </c>
      <c r="C154">
        <v>1</v>
      </c>
      <c r="D154" s="11">
        <v>41640</v>
      </c>
      <c r="E154" t="s">
        <v>2173</v>
      </c>
      <c r="F154">
        <v>2</v>
      </c>
      <c r="G154" t="s">
        <v>63</v>
      </c>
      <c r="H154" t="s">
        <v>40</v>
      </c>
      <c r="I154" t="s">
        <v>2188</v>
      </c>
      <c r="J154" s="10">
        <v>2</v>
      </c>
      <c r="K154" t="b">
        <v>0</v>
      </c>
    </row>
    <row r="155" spans="1:11">
      <c r="A155" s="12">
        <v>41660</v>
      </c>
      <c r="B155">
        <v>2014</v>
      </c>
      <c r="C155">
        <v>1</v>
      </c>
      <c r="D155" s="11">
        <v>41640</v>
      </c>
      <c r="E155" t="s">
        <v>2173</v>
      </c>
      <c r="F155">
        <v>2</v>
      </c>
      <c r="G155" t="s">
        <v>63</v>
      </c>
      <c r="H155" t="s">
        <v>41</v>
      </c>
      <c r="I155" t="s">
        <v>2189</v>
      </c>
      <c r="J155" s="10">
        <v>3.34</v>
      </c>
      <c r="K155" t="b">
        <v>0</v>
      </c>
    </row>
    <row r="156" spans="1:11">
      <c r="A156" s="12">
        <v>41660</v>
      </c>
      <c r="B156">
        <v>2014</v>
      </c>
      <c r="C156">
        <v>1</v>
      </c>
      <c r="D156" s="11">
        <v>41640</v>
      </c>
      <c r="E156" t="s">
        <v>2173</v>
      </c>
      <c r="F156">
        <v>2</v>
      </c>
      <c r="G156" t="s">
        <v>63</v>
      </c>
      <c r="H156" t="s">
        <v>42</v>
      </c>
      <c r="I156" t="s">
        <v>2190</v>
      </c>
      <c r="J156" s="10">
        <v>4</v>
      </c>
      <c r="K156" t="b">
        <v>0</v>
      </c>
    </row>
    <row r="157" spans="1:11">
      <c r="A157" s="12">
        <v>41660</v>
      </c>
      <c r="B157">
        <v>2014</v>
      </c>
      <c r="C157">
        <v>1</v>
      </c>
      <c r="D157" s="11">
        <v>41640</v>
      </c>
      <c r="E157" t="s">
        <v>2173</v>
      </c>
      <c r="F157">
        <v>2</v>
      </c>
      <c r="G157" t="s">
        <v>63</v>
      </c>
      <c r="H157" t="s">
        <v>43</v>
      </c>
      <c r="I157" t="s">
        <v>2191</v>
      </c>
      <c r="J157" s="10">
        <v>42</v>
      </c>
      <c r="K157" t="b">
        <v>0</v>
      </c>
    </row>
    <row r="158" spans="1:11">
      <c r="A158" s="12">
        <v>41660</v>
      </c>
      <c r="B158">
        <v>2014</v>
      </c>
      <c r="C158">
        <v>1</v>
      </c>
      <c r="D158" s="11">
        <v>41640</v>
      </c>
      <c r="E158" t="s">
        <v>2173</v>
      </c>
      <c r="F158">
        <v>2</v>
      </c>
      <c r="G158" t="s">
        <v>63</v>
      </c>
      <c r="H158" t="s">
        <v>44</v>
      </c>
      <c r="I158" t="s">
        <v>2192</v>
      </c>
      <c r="J158" s="10">
        <v>15</v>
      </c>
      <c r="K158" t="b">
        <v>0</v>
      </c>
    </row>
    <row r="159" spans="1:11">
      <c r="A159" s="12">
        <v>41660</v>
      </c>
      <c r="B159">
        <v>2014</v>
      </c>
      <c r="C159">
        <v>1</v>
      </c>
      <c r="D159" s="11">
        <v>41640</v>
      </c>
      <c r="E159" t="s">
        <v>2173</v>
      </c>
      <c r="F159">
        <v>2</v>
      </c>
      <c r="G159" t="s">
        <v>63</v>
      </c>
      <c r="H159" t="s">
        <v>45</v>
      </c>
      <c r="I159" t="s">
        <v>2193</v>
      </c>
      <c r="J159" s="10">
        <v>2</v>
      </c>
      <c r="K159" t="b">
        <v>0</v>
      </c>
    </row>
    <row r="160" spans="1:11">
      <c r="A160" s="12">
        <v>41660</v>
      </c>
      <c r="B160">
        <v>2014</v>
      </c>
      <c r="C160">
        <v>1</v>
      </c>
      <c r="D160" s="11">
        <v>41640</v>
      </c>
      <c r="E160" t="s">
        <v>2173</v>
      </c>
      <c r="F160">
        <v>2</v>
      </c>
      <c r="G160" t="s">
        <v>63</v>
      </c>
      <c r="H160" t="s">
        <v>46</v>
      </c>
      <c r="I160" t="s">
        <v>2194</v>
      </c>
      <c r="J160" s="10">
        <v>0</v>
      </c>
      <c r="K160" t="b">
        <v>0</v>
      </c>
    </row>
    <row r="161" spans="1:11">
      <c r="A161" s="12">
        <v>41660</v>
      </c>
      <c r="B161">
        <v>2014</v>
      </c>
      <c r="C161">
        <v>1</v>
      </c>
      <c r="D161" s="11">
        <v>41640</v>
      </c>
      <c r="E161" t="s">
        <v>2173</v>
      </c>
      <c r="F161">
        <v>2</v>
      </c>
      <c r="G161" t="s">
        <v>63</v>
      </c>
      <c r="H161" t="s">
        <v>47</v>
      </c>
      <c r="I161" t="s">
        <v>2195</v>
      </c>
      <c r="J161" s="10">
        <v>1</v>
      </c>
      <c r="K161" t="b">
        <v>0</v>
      </c>
    </row>
    <row r="162" spans="1:11">
      <c r="A162" s="12">
        <v>41661</v>
      </c>
      <c r="B162">
        <v>2014</v>
      </c>
      <c r="C162">
        <v>1</v>
      </c>
      <c r="D162" s="11">
        <v>41640</v>
      </c>
      <c r="E162" t="s">
        <v>2173</v>
      </c>
      <c r="F162">
        <v>3</v>
      </c>
      <c r="G162" t="s">
        <v>65</v>
      </c>
      <c r="H162" t="s">
        <v>40</v>
      </c>
      <c r="I162" t="s">
        <v>2188</v>
      </c>
      <c r="J162" s="10">
        <v>7</v>
      </c>
      <c r="K162" t="b">
        <v>0</v>
      </c>
    </row>
    <row r="163" spans="1:11">
      <c r="A163" s="12">
        <v>41661</v>
      </c>
      <c r="B163">
        <v>2014</v>
      </c>
      <c r="C163">
        <v>1</v>
      </c>
      <c r="D163" s="11">
        <v>41640</v>
      </c>
      <c r="E163" t="s">
        <v>2173</v>
      </c>
      <c r="F163">
        <v>3</v>
      </c>
      <c r="G163" t="s">
        <v>65</v>
      </c>
      <c r="H163" t="s">
        <v>41</v>
      </c>
      <c r="I163" t="s">
        <v>2189</v>
      </c>
      <c r="J163" s="10">
        <v>3</v>
      </c>
      <c r="K163" t="b">
        <v>0</v>
      </c>
    </row>
    <row r="164" spans="1:11">
      <c r="A164" s="12">
        <v>41661</v>
      </c>
      <c r="B164">
        <v>2014</v>
      </c>
      <c r="C164">
        <v>1</v>
      </c>
      <c r="D164" s="11">
        <v>41640</v>
      </c>
      <c r="E164" t="s">
        <v>2173</v>
      </c>
      <c r="F164">
        <v>3</v>
      </c>
      <c r="G164" t="s">
        <v>65</v>
      </c>
      <c r="H164" t="s">
        <v>42</v>
      </c>
      <c r="I164" t="s">
        <v>2190</v>
      </c>
      <c r="J164" s="10">
        <v>7</v>
      </c>
      <c r="K164" t="b">
        <v>0</v>
      </c>
    </row>
    <row r="165" spans="1:11">
      <c r="A165" s="12">
        <v>41661</v>
      </c>
      <c r="B165">
        <v>2014</v>
      </c>
      <c r="C165">
        <v>1</v>
      </c>
      <c r="D165" s="11">
        <v>41640</v>
      </c>
      <c r="E165" t="s">
        <v>2173</v>
      </c>
      <c r="F165">
        <v>3</v>
      </c>
      <c r="G165" t="s">
        <v>65</v>
      </c>
      <c r="H165" t="s">
        <v>43</v>
      </c>
      <c r="I165" t="s">
        <v>2191</v>
      </c>
      <c r="J165" s="10">
        <v>18.1</v>
      </c>
      <c r="K165" t="b">
        <v>0</v>
      </c>
    </row>
    <row r="166" spans="1:11">
      <c r="A166" s="12">
        <v>41661</v>
      </c>
      <c r="B166">
        <v>2014</v>
      </c>
      <c r="C166">
        <v>1</v>
      </c>
      <c r="D166" s="11">
        <v>41640</v>
      </c>
      <c r="E166" t="s">
        <v>2173</v>
      </c>
      <c r="F166">
        <v>3</v>
      </c>
      <c r="G166" t="s">
        <v>65</v>
      </c>
      <c r="H166" t="s">
        <v>44</v>
      </c>
      <c r="I166" t="s">
        <v>2192</v>
      </c>
      <c r="J166" s="10">
        <v>10</v>
      </c>
      <c r="K166" t="b">
        <v>0</v>
      </c>
    </row>
    <row r="167" spans="1:11">
      <c r="A167" s="12">
        <v>41661</v>
      </c>
      <c r="B167">
        <v>2014</v>
      </c>
      <c r="C167">
        <v>1</v>
      </c>
      <c r="D167" s="11">
        <v>41640</v>
      </c>
      <c r="E167" t="s">
        <v>2173</v>
      </c>
      <c r="F167">
        <v>3</v>
      </c>
      <c r="G167" t="s">
        <v>65</v>
      </c>
      <c r="H167" t="s">
        <v>45</v>
      </c>
      <c r="I167" t="s">
        <v>2193</v>
      </c>
      <c r="J167" s="10">
        <v>0</v>
      </c>
      <c r="K167" t="b">
        <v>0</v>
      </c>
    </row>
    <row r="168" spans="1:11">
      <c r="A168" s="12">
        <v>41661</v>
      </c>
      <c r="B168">
        <v>2014</v>
      </c>
      <c r="C168">
        <v>1</v>
      </c>
      <c r="D168" s="11">
        <v>41640</v>
      </c>
      <c r="E168" t="s">
        <v>2173</v>
      </c>
      <c r="F168">
        <v>3</v>
      </c>
      <c r="G168" t="s">
        <v>65</v>
      </c>
      <c r="H168" t="s">
        <v>46</v>
      </c>
      <c r="I168" t="s">
        <v>2194</v>
      </c>
      <c r="J168" s="10">
        <v>5</v>
      </c>
      <c r="K168" t="b">
        <v>0</v>
      </c>
    </row>
    <row r="169" spans="1:11">
      <c r="A169" s="12">
        <v>41661</v>
      </c>
      <c r="B169">
        <v>2014</v>
      </c>
      <c r="C169">
        <v>1</v>
      </c>
      <c r="D169" s="11">
        <v>41640</v>
      </c>
      <c r="E169" t="s">
        <v>2173</v>
      </c>
      <c r="F169">
        <v>3</v>
      </c>
      <c r="G169" t="s">
        <v>65</v>
      </c>
      <c r="H169" t="s">
        <v>47</v>
      </c>
      <c r="I169" t="s">
        <v>2195</v>
      </c>
      <c r="J169" s="10">
        <v>2</v>
      </c>
      <c r="K169" t="b">
        <v>0</v>
      </c>
    </row>
    <row r="170" spans="1:11">
      <c r="A170" s="12">
        <v>41662</v>
      </c>
      <c r="B170">
        <v>2014</v>
      </c>
      <c r="C170">
        <v>1</v>
      </c>
      <c r="D170" s="11">
        <v>41640</v>
      </c>
      <c r="E170" t="s">
        <v>2173</v>
      </c>
      <c r="F170">
        <v>4</v>
      </c>
      <c r="G170" t="s">
        <v>53</v>
      </c>
      <c r="H170" t="s">
        <v>40</v>
      </c>
      <c r="I170" t="s">
        <v>2188</v>
      </c>
      <c r="J170" s="10">
        <v>4</v>
      </c>
      <c r="K170" t="b">
        <v>0</v>
      </c>
    </row>
    <row r="171" spans="1:11">
      <c r="A171" s="12">
        <v>41662</v>
      </c>
      <c r="B171">
        <v>2014</v>
      </c>
      <c r="C171">
        <v>1</v>
      </c>
      <c r="D171" s="11">
        <v>41640</v>
      </c>
      <c r="E171" t="s">
        <v>2173</v>
      </c>
      <c r="F171">
        <v>4</v>
      </c>
      <c r="G171" t="s">
        <v>53</v>
      </c>
      <c r="H171" t="s">
        <v>41</v>
      </c>
      <c r="I171" t="s">
        <v>2189</v>
      </c>
      <c r="J171" s="10">
        <v>4.67</v>
      </c>
      <c r="K171" t="b">
        <v>0</v>
      </c>
    </row>
    <row r="172" spans="1:11">
      <c r="A172" s="12">
        <v>41662</v>
      </c>
      <c r="B172">
        <v>2014</v>
      </c>
      <c r="C172">
        <v>1</v>
      </c>
      <c r="D172" s="11">
        <v>41640</v>
      </c>
      <c r="E172" t="s">
        <v>2173</v>
      </c>
      <c r="F172">
        <v>4</v>
      </c>
      <c r="G172" t="s">
        <v>53</v>
      </c>
      <c r="H172" t="s">
        <v>42</v>
      </c>
      <c r="I172" t="s">
        <v>2190</v>
      </c>
      <c r="J172" s="10">
        <v>5.2</v>
      </c>
      <c r="K172" t="b">
        <v>0</v>
      </c>
    </row>
    <row r="173" spans="1:11">
      <c r="A173" s="12">
        <v>41662</v>
      </c>
      <c r="B173">
        <v>2014</v>
      </c>
      <c r="C173">
        <v>1</v>
      </c>
      <c r="D173" s="11">
        <v>41640</v>
      </c>
      <c r="E173" t="s">
        <v>2173</v>
      </c>
      <c r="F173">
        <v>4</v>
      </c>
      <c r="G173" t="s">
        <v>53</v>
      </c>
      <c r="H173" t="s">
        <v>43</v>
      </c>
      <c r="I173" t="s">
        <v>2191</v>
      </c>
      <c r="J173" s="10">
        <v>26.2</v>
      </c>
      <c r="K173" t="b">
        <v>0</v>
      </c>
    </row>
    <row r="174" spans="1:11">
      <c r="A174" s="12">
        <v>41662</v>
      </c>
      <c r="B174">
        <v>2014</v>
      </c>
      <c r="C174">
        <v>1</v>
      </c>
      <c r="D174" s="11">
        <v>41640</v>
      </c>
      <c r="E174" t="s">
        <v>2173</v>
      </c>
      <c r="F174">
        <v>4</v>
      </c>
      <c r="G174" t="s">
        <v>53</v>
      </c>
      <c r="H174" t="s">
        <v>44</v>
      </c>
      <c r="I174" t="s">
        <v>2192</v>
      </c>
      <c r="J174" s="10">
        <v>2</v>
      </c>
      <c r="K174" t="b">
        <v>0</v>
      </c>
    </row>
    <row r="175" spans="1:11">
      <c r="A175" s="12">
        <v>41662</v>
      </c>
      <c r="B175">
        <v>2014</v>
      </c>
      <c r="C175">
        <v>1</v>
      </c>
      <c r="D175" s="11">
        <v>41640</v>
      </c>
      <c r="E175" t="s">
        <v>2173</v>
      </c>
      <c r="F175">
        <v>4</v>
      </c>
      <c r="G175" t="s">
        <v>53</v>
      </c>
      <c r="H175" t="s">
        <v>45</v>
      </c>
      <c r="I175" t="s">
        <v>2193</v>
      </c>
      <c r="J175" s="10">
        <v>3</v>
      </c>
      <c r="K175" t="b">
        <v>0</v>
      </c>
    </row>
    <row r="176" spans="1:11">
      <c r="A176" s="12">
        <v>41662</v>
      </c>
      <c r="B176">
        <v>2014</v>
      </c>
      <c r="C176">
        <v>1</v>
      </c>
      <c r="D176" s="11">
        <v>41640</v>
      </c>
      <c r="E176" t="s">
        <v>2173</v>
      </c>
      <c r="F176">
        <v>4</v>
      </c>
      <c r="G176" t="s">
        <v>53</v>
      </c>
      <c r="H176" t="s">
        <v>46</v>
      </c>
      <c r="I176" t="s">
        <v>2194</v>
      </c>
      <c r="J176" s="10">
        <v>1</v>
      </c>
      <c r="K176" t="b">
        <v>0</v>
      </c>
    </row>
    <row r="177" spans="1:11">
      <c r="A177" s="12">
        <v>41662</v>
      </c>
      <c r="B177">
        <v>2014</v>
      </c>
      <c r="C177">
        <v>1</v>
      </c>
      <c r="D177" s="11">
        <v>41640</v>
      </c>
      <c r="E177" t="s">
        <v>2173</v>
      </c>
      <c r="F177">
        <v>4</v>
      </c>
      <c r="G177" t="s">
        <v>53</v>
      </c>
      <c r="H177" t="s">
        <v>47</v>
      </c>
      <c r="I177" t="s">
        <v>2195</v>
      </c>
      <c r="J177" s="10">
        <v>3</v>
      </c>
      <c r="K177" t="b">
        <v>0</v>
      </c>
    </row>
    <row r="178" spans="1:11">
      <c r="A178" s="12">
        <v>41663</v>
      </c>
      <c r="B178">
        <v>2014</v>
      </c>
      <c r="C178">
        <v>1</v>
      </c>
      <c r="D178" s="11">
        <v>41640</v>
      </c>
      <c r="E178" t="s">
        <v>2173</v>
      </c>
      <c r="F178">
        <v>5</v>
      </c>
      <c r="G178" t="s">
        <v>55</v>
      </c>
      <c r="H178" t="s">
        <v>40</v>
      </c>
      <c r="I178" t="s">
        <v>2188</v>
      </c>
      <c r="J178" s="10">
        <v>4.67</v>
      </c>
      <c r="K178" t="b">
        <v>0</v>
      </c>
    </row>
    <row r="179" spans="1:11">
      <c r="A179" s="12">
        <v>41663</v>
      </c>
      <c r="B179">
        <v>2014</v>
      </c>
      <c r="C179">
        <v>1</v>
      </c>
      <c r="D179" s="11">
        <v>41640</v>
      </c>
      <c r="E179" t="s">
        <v>2173</v>
      </c>
      <c r="F179">
        <v>5</v>
      </c>
      <c r="G179" t="s">
        <v>55</v>
      </c>
      <c r="H179" t="s">
        <v>41</v>
      </c>
      <c r="I179" t="s">
        <v>2189</v>
      </c>
      <c r="J179" s="10">
        <v>7.34</v>
      </c>
      <c r="K179" t="b">
        <v>0</v>
      </c>
    </row>
    <row r="180" spans="1:11">
      <c r="A180" s="12">
        <v>41663</v>
      </c>
      <c r="B180">
        <v>2014</v>
      </c>
      <c r="C180">
        <v>1</v>
      </c>
      <c r="D180" s="11">
        <v>41640</v>
      </c>
      <c r="E180" t="s">
        <v>2173</v>
      </c>
      <c r="F180">
        <v>5</v>
      </c>
      <c r="G180" t="s">
        <v>55</v>
      </c>
      <c r="H180" t="s">
        <v>42</v>
      </c>
      <c r="I180" t="s">
        <v>2190</v>
      </c>
      <c r="J180" s="10">
        <v>7</v>
      </c>
      <c r="K180" t="b">
        <v>0</v>
      </c>
    </row>
    <row r="181" spans="1:11">
      <c r="A181" s="12">
        <v>41663</v>
      </c>
      <c r="B181">
        <v>2014</v>
      </c>
      <c r="C181">
        <v>1</v>
      </c>
      <c r="D181" s="11">
        <v>41640</v>
      </c>
      <c r="E181" t="s">
        <v>2173</v>
      </c>
      <c r="F181">
        <v>5</v>
      </c>
      <c r="G181" t="s">
        <v>55</v>
      </c>
      <c r="H181" t="s">
        <v>43</v>
      </c>
      <c r="I181" t="s">
        <v>2191</v>
      </c>
      <c r="J181" s="10">
        <v>19.6</v>
      </c>
      <c r="K181" t="b">
        <v>0</v>
      </c>
    </row>
    <row r="182" spans="1:11">
      <c r="A182" s="12">
        <v>41663</v>
      </c>
      <c r="B182">
        <v>2014</v>
      </c>
      <c r="C182">
        <v>1</v>
      </c>
      <c r="D182" s="11">
        <v>41640</v>
      </c>
      <c r="E182" t="s">
        <v>2173</v>
      </c>
      <c r="F182">
        <v>5</v>
      </c>
      <c r="G182" t="s">
        <v>55</v>
      </c>
      <c r="H182" t="s">
        <v>44</v>
      </c>
      <c r="I182" t="s">
        <v>2192</v>
      </c>
      <c r="J182" s="10">
        <v>13</v>
      </c>
      <c r="K182" t="b">
        <v>0</v>
      </c>
    </row>
    <row r="183" spans="1:11">
      <c r="A183" s="12">
        <v>41663</v>
      </c>
      <c r="B183">
        <v>2014</v>
      </c>
      <c r="C183">
        <v>1</v>
      </c>
      <c r="D183" s="11">
        <v>41640</v>
      </c>
      <c r="E183" t="s">
        <v>2173</v>
      </c>
      <c r="F183">
        <v>5</v>
      </c>
      <c r="G183" t="s">
        <v>55</v>
      </c>
      <c r="H183" t="s">
        <v>45</v>
      </c>
      <c r="I183" t="s">
        <v>2193</v>
      </c>
      <c r="J183" s="10">
        <v>1</v>
      </c>
      <c r="K183" t="b">
        <v>0</v>
      </c>
    </row>
    <row r="184" spans="1:11">
      <c r="A184" s="12">
        <v>41663</v>
      </c>
      <c r="B184">
        <v>2014</v>
      </c>
      <c r="C184">
        <v>1</v>
      </c>
      <c r="D184" s="11">
        <v>41640</v>
      </c>
      <c r="E184" t="s">
        <v>2173</v>
      </c>
      <c r="F184">
        <v>5</v>
      </c>
      <c r="G184" t="s">
        <v>55</v>
      </c>
      <c r="H184" t="s">
        <v>46</v>
      </c>
      <c r="I184" t="s">
        <v>2194</v>
      </c>
      <c r="J184" s="10">
        <v>0</v>
      </c>
      <c r="K184" t="b">
        <v>0</v>
      </c>
    </row>
    <row r="185" spans="1:11">
      <c r="A185" s="12">
        <v>41663</v>
      </c>
      <c r="B185">
        <v>2014</v>
      </c>
      <c r="C185">
        <v>1</v>
      </c>
      <c r="D185" s="11">
        <v>41640</v>
      </c>
      <c r="E185" t="s">
        <v>2173</v>
      </c>
      <c r="F185">
        <v>5</v>
      </c>
      <c r="G185" t="s">
        <v>55</v>
      </c>
      <c r="H185" t="s">
        <v>47</v>
      </c>
      <c r="I185" t="s">
        <v>2195</v>
      </c>
      <c r="J185" s="10">
        <v>0</v>
      </c>
      <c r="K185" t="b">
        <v>0</v>
      </c>
    </row>
    <row r="186" spans="1:11">
      <c r="A186" s="12">
        <v>41664</v>
      </c>
      <c r="B186">
        <v>2014</v>
      </c>
      <c r="C186">
        <v>1</v>
      </c>
      <c r="D186" s="11">
        <v>41640</v>
      </c>
      <c r="E186" t="s">
        <v>2173</v>
      </c>
      <c r="F186">
        <v>6</v>
      </c>
      <c r="G186" t="s">
        <v>57</v>
      </c>
      <c r="H186" t="s">
        <v>40</v>
      </c>
      <c r="I186" t="s">
        <v>2188</v>
      </c>
      <c r="J186" s="10">
        <v>6</v>
      </c>
      <c r="K186" t="b">
        <v>0</v>
      </c>
    </row>
    <row r="187" spans="1:11">
      <c r="A187" s="12">
        <v>41664</v>
      </c>
      <c r="B187">
        <v>2014</v>
      </c>
      <c r="C187">
        <v>1</v>
      </c>
      <c r="D187" s="11">
        <v>41640</v>
      </c>
      <c r="E187" t="s">
        <v>2173</v>
      </c>
      <c r="F187">
        <v>6</v>
      </c>
      <c r="G187" t="s">
        <v>57</v>
      </c>
      <c r="H187" t="s">
        <v>41</v>
      </c>
      <c r="I187" t="s">
        <v>2189</v>
      </c>
      <c r="J187" s="10">
        <v>9</v>
      </c>
      <c r="K187" t="b">
        <v>0</v>
      </c>
    </row>
    <row r="188" spans="1:11">
      <c r="A188" s="12">
        <v>41664</v>
      </c>
      <c r="B188">
        <v>2014</v>
      </c>
      <c r="C188">
        <v>1</v>
      </c>
      <c r="D188" s="11">
        <v>41640</v>
      </c>
      <c r="E188" t="s">
        <v>2173</v>
      </c>
      <c r="F188">
        <v>6</v>
      </c>
      <c r="G188" t="s">
        <v>57</v>
      </c>
      <c r="H188" t="s">
        <v>42</v>
      </c>
      <c r="I188" t="s">
        <v>2190</v>
      </c>
      <c r="J188" s="10">
        <v>5</v>
      </c>
      <c r="K188" t="b">
        <v>0</v>
      </c>
    </row>
    <row r="189" spans="1:11">
      <c r="A189" s="12">
        <v>41664</v>
      </c>
      <c r="B189">
        <v>2014</v>
      </c>
      <c r="C189">
        <v>1</v>
      </c>
      <c r="D189" s="11">
        <v>41640</v>
      </c>
      <c r="E189" t="s">
        <v>2173</v>
      </c>
      <c r="F189">
        <v>6</v>
      </c>
      <c r="G189" t="s">
        <v>57</v>
      </c>
      <c r="H189" t="s">
        <v>43</v>
      </c>
      <c r="I189" t="s">
        <v>2191</v>
      </c>
      <c r="J189" s="10">
        <v>37.8</v>
      </c>
      <c r="K189" t="b">
        <v>0</v>
      </c>
    </row>
    <row r="190" spans="1:11">
      <c r="A190" s="12">
        <v>41664</v>
      </c>
      <c r="B190">
        <v>2014</v>
      </c>
      <c r="C190">
        <v>1</v>
      </c>
      <c r="D190" s="11">
        <v>41640</v>
      </c>
      <c r="E190" t="s">
        <v>2173</v>
      </c>
      <c r="F190">
        <v>6</v>
      </c>
      <c r="G190" t="s">
        <v>57</v>
      </c>
      <c r="H190" t="s">
        <v>44</v>
      </c>
      <c r="I190" t="s">
        <v>2192</v>
      </c>
      <c r="J190" s="10">
        <v>18</v>
      </c>
      <c r="K190" t="b">
        <v>0</v>
      </c>
    </row>
    <row r="191" spans="1:11">
      <c r="A191" s="12">
        <v>41664</v>
      </c>
      <c r="B191">
        <v>2014</v>
      </c>
      <c r="C191">
        <v>1</v>
      </c>
      <c r="D191" s="11">
        <v>41640</v>
      </c>
      <c r="E191" t="s">
        <v>2173</v>
      </c>
      <c r="F191">
        <v>6</v>
      </c>
      <c r="G191" t="s">
        <v>57</v>
      </c>
      <c r="H191" t="s">
        <v>45</v>
      </c>
      <c r="I191" t="s">
        <v>2193</v>
      </c>
      <c r="J191" s="10">
        <v>0</v>
      </c>
      <c r="K191" t="b">
        <v>0</v>
      </c>
    </row>
    <row r="192" spans="1:11">
      <c r="A192" s="12">
        <v>41664</v>
      </c>
      <c r="B192">
        <v>2014</v>
      </c>
      <c r="C192">
        <v>1</v>
      </c>
      <c r="D192" s="11">
        <v>41640</v>
      </c>
      <c r="E192" t="s">
        <v>2173</v>
      </c>
      <c r="F192">
        <v>6</v>
      </c>
      <c r="G192" t="s">
        <v>57</v>
      </c>
      <c r="H192" t="s">
        <v>46</v>
      </c>
      <c r="I192" t="s">
        <v>2194</v>
      </c>
      <c r="J192" s="10">
        <v>5</v>
      </c>
      <c r="K192" t="b">
        <v>0</v>
      </c>
    </row>
    <row r="193" spans="1:11">
      <c r="A193" s="12">
        <v>41664</v>
      </c>
      <c r="B193">
        <v>2014</v>
      </c>
      <c r="C193">
        <v>1</v>
      </c>
      <c r="D193" s="11">
        <v>41640</v>
      </c>
      <c r="E193" t="s">
        <v>2173</v>
      </c>
      <c r="F193">
        <v>6</v>
      </c>
      <c r="G193" t="s">
        <v>57</v>
      </c>
      <c r="H193" t="s">
        <v>47</v>
      </c>
      <c r="I193" t="s">
        <v>2195</v>
      </c>
      <c r="J193" s="10">
        <v>1</v>
      </c>
      <c r="K193" t="b">
        <v>0</v>
      </c>
    </row>
    <row r="194" spans="1:11">
      <c r="A194" s="12">
        <v>41665</v>
      </c>
      <c r="B194">
        <v>2014</v>
      </c>
      <c r="C194">
        <v>1</v>
      </c>
      <c r="D194" s="11">
        <v>41640</v>
      </c>
      <c r="E194" t="s">
        <v>2173</v>
      </c>
      <c r="F194">
        <v>7</v>
      </c>
      <c r="G194" t="s">
        <v>59</v>
      </c>
      <c r="H194" t="s">
        <v>40</v>
      </c>
      <c r="I194" t="s">
        <v>2188</v>
      </c>
      <c r="J194" s="10">
        <v>4.33</v>
      </c>
      <c r="K194" t="b">
        <v>0</v>
      </c>
    </row>
    <row r="195" spans="1:11">
      <c r="A195" s="12">
        <v>41665</v>
      </c>
      <c r="B195">
        <v>2014</v>
      </c>
      <c r="C195">
        <v>1</v>
      </c>
      <c r="D195" s="11">
        <v>41640</v>
      </c>
      <c r="E195" t="s">
        <v>2173</v>
      </c>
      <c r="F195">
        <v>7</v>
      </c>
      <c r="G195" t="s">
        <v>59</v>
      </c>
      <c r="H195" t="s">
        <v>41</v>
      </c>
      <c r="I195" t="s">
        <v>2189</v>
      </c>
      <c r="J195" s="10">
        <v>1.68</v>
      </c>
      <c r="K195" t="b">
        <v>0</v>
      </c>
    </row>
    <row r="196" spans="1:11">
      <c r="A196" s="12">
        <v>41665</v>
      </c>
      <c r="B196">
        <v>2014</v>
      </c>
      <c r="C196">
        <v>1</v>
      </c>
      <c r="D196" s="11">
        <v>41640</v>
      </c>
      <c r="E196" t="s">
        <v>2173</v>
      </c>
      <c r="F196">
        <v>7</v>
      </c>
      <c r="G196" t="s">
        <v>59</v>
      </c>
      <c r="H196" t="s">
        <v>42</v>
      </c>
      <c r="I196" t="s">
        <v>2190</v>
      </c>
      <c r="J196" s="10">
        <v>0</v>
      </c>
      <c r="K196" t="b">
        <v>0</v>
      </c>
    </row>
    <row r="197" spans="1:11">
      <c r="A197" s="12">
        <v>41665</v>
      </c>
      <c r="B197">
        <v>2014</v>
      </c>
      <c r="C197">
        <v>1</v>
      </c>
      <c r="D197" s="11">
        <v>41640</v>
      </c>
      <c r="E197" t="s">
        <v>2173</v>
      </c>
      <c r="F197">
        <v>7</v>
      </c>
      <c r="G197" t="s">
        <v>59</v>
      </c>
      <c r="H197" t="s">
        <v>43</v>
      </c>
      <c r="I197" t="s">
        <v>2191</v>
      </c>
      <c r="J197" s="10">
        <v>24</v>
      </c>
      <c r="K197" t="b">
        <v>0</v>
      </c>
    </row>
    <row r="198" spans="1:11">
      <c r="A198" s="12">
        <v>41665</v>
      </c>
      <c r="B198">
        <v>2014</v>
      </c>
      <c r="C198">
        <v>1</v>
      </c>
      <c r="D198" s="11">
        <v>41640</v>
      </c>
      <c r="E198" t="s">
        <v>2173</v>
      </c>
      <c r="F198">
        <v>7</v>
      </c>
      <c r="G198" t="s">
        <v>59</v>
      </c>
      <c r="H198" t="s">
        <v>44</v>
      </c>
      <c r="I198" t="s">
        <v>2192</v>
      </c>
      <c r="J198" s="10">
        <v>4</v>
      </c>
      <c r="K198" t="b">
        <v>0</v>
      </c>
    </row>
    <row r="199" spans="1:11">
      <c r="A199" s="12">
        <v>41665</v>
      </c>
      <c r="B199">
        <v>2014</v>
      </c>
      <c r="C199">
        <v>1</v>
      </c>
      <c r="D199" s="11">
        <v>41640</v>
      </c>
      <c r="E199" t="s">
        <v>2173</v>
      </c>
      <c r="F199">
        <v>7</v>
      </c>
      <c r="G199" t="s">
        <v>59</v>
      </c>
      <c r="H199" t="s">
        <v>45</v>
      </c>
      <c r="I199" t="s">
        <v>2193</v>
      </c>
      <c r="J199" s="10">
        <v>0</v>
      </c>
      <c r="K199" t="b">
        <v>0</v>
      </c>
    </row>
    <row r="200" spans="1:11">
      <c r="A200" s="12">
        <v>41665</v>
      </c>
      <c r="B200">
        <v>2014</v>
      </c>
      <c r="C200">
        <v>1</v>
      </c>
      <c r="D200" s="11">
        <v>41640</v>
      </c>
      <c r="E200" t="s">
        <v>2173</v>
      </c>
      <c r="F200">
        <v>7</v>
      </c>
      <c r="G200" t="s">
        <v>59</v>
      </c>
      <c r="H200" t="s">
        <v>46</v>
      </c>
      <c r="I200" t="s">
        <v>2194</v>
      </c>
      <c r="J200" s="10">
        <v>0</v>
      </c>
      <c r="K200" t="b">
        <v>0</v>
      </c>
    </row>
    <row r="201" spans="1:11">
      <c r="A201" s="12">
        <v>41665</v>
      </c>
      <c r="B201">
        <v>2014</v>
      </c>
      <c r="C201">
        <v>1</v>
      </c>
      <c r="D201" s="11">
        <v>41640</v>
      </c>
      <c r="E201" t="s">
        <v>2173</v>
      </c>
      <c r="F201">
        <v>7</v>
      </c>
      <c r="G201" t="s">
        <v>59</v>
      </c>
      <c r="H201" t="s">
        <v>47</v>
      </c>
      <c r="I201" t="s">
        <v>2195</v>
      </c>
      <c r="J201" s="10">
        <v>0</v>
      </c>
      <c r="K201" t="b">
        <v>0</v>
      </c>
    </row>
    <row r="202" spans="1:11">
      <c r="A202" s="12">
        <v>41666</v>
      </c>
      <c r="B202">
        <v>2014</v>
      </c>
      <c r="C202">
        <v>1</v>
      </c>
      <c r="D202" s="11">
        <v>41640</v>
      </c>
      <c r="E202" t="s">
        <v>2173</v>
      </c>
      <c r="F202">
        <v>1</v>
      </c>
      <c r="G202" t="s">
        <v>61</v>
      </c>
      <c r="H202" t="s">
        <v>40</v>
      </c>
      <c r="I202" t="s">
        <v>2188</v>
      </c>
      <c r="J202" s="10">
        <v>4.34</v>
      </c>
      <c r="K202" t="b">
        <v>0</v>
      </c>
    </row>
    <row r="203" spans="1:11">
      <c r="A203" s="12">
        <v>41666</v>
      </c>
      <c r="B203">
        <v>2014</v>
      </c>
      <c r="C203">
        <v>1</v>
      </c>
      <c r="D203" s="11">
        <v>41640</v>
      </c>
      <c r="E203" t="s">
        <v>2173</v>
      </c>
      <c r="F203">
        <v>1</v>
      </c>
      <c r="G203" t="s">
        <v>61</v>
      </c>
      <c r="H203" t="s">
        <v>41</v>
      </c>
      <c r="I203" t="s">
        <v>2189</v>
      </c>
      <c r="J203" s="10">
        <v>4.67</v>
      </c>
      <c r="K203" t="b">
        <v>0</v>
      </c>
    </row>
    <row r="204" spans="1:11">
      <c r="A204" s="12">
        <v>41666</v>
      </c>
      <c r="B204">
        <v>2014</v>
      </c>
      <c r="C204">
        <v>1</v>
      </c>
      <c r="D204" s="11">
        <v>41640</v>
      </c>
      <c r="E204" t="s">
        <v>2173</v>
      </c>
      <c r="F204">
        <v>1</v>
      </c>
      <c r="G204" t="s">
        <v>61</v>
      </c>
      <c r="H204" t="s">
        <v>42</v>
      </c>
      <c r="I204" t="s">
        <v>2190</v>
      </c>
      <c r="J204" s="10">
        <v>1.2</v>
      </c>
      <c r="K204" t="b">
        <v>0</v>
      </c>
    </row>
    <row r="205" spans="1:11">
      <c r="A205" s="12">
        <v>41666</v>
      </c>
      <c r="B205">
        <v>2014</v>
      </c>
      <c r="C205">
        <v>1</v>
      </c>
      <c r="D205" s="11">
        <v>41640</v>
      </c>
      <c r="E205" t="s">
        <v>2173</v>
      </c>
      <c r="F205">
        <v>1</v>
      </c>
      <c r="G205" t="s">
        <v>61</v>
      </c>
      <c r="H205" t="s">
        <v>43</v>
      </c>
      <c r="I205" t="s">
        <v>2191</v>
      </c>
      <c r="J205" s="10">
        <v>23.6</v>
      </c>
      <c r="K205" t="b">
        <v>0</v>
      </c>
    </row>
    <row r="206" spans="1:11">
      <c r="A206" s="12">
        <v>41666</v>
      </c>
      <c r="B206">
        <v>2014</v>
      </c>
      <c r="C206">
        <v>1</v>
      </c>
      <c r="D206" s="11">
        <v>41640</v>
      </c>
      <c r="E206" t="s">
        <v>2173</v>
      </c>
      <c r="F206">
        <v>1</v>
      </c>
      <c r="G206" t="s">
        <v>61</v>
      </c>
      <c r="H206" t="s">
        <v>44</v>
      </c>
      <c r="I206" t="s">
        <v>2192</v>
      </c>
      <c r="J206" s="10">
        <v>17</v>
      </c>
      <c r="K206" t="b">
        <v>0</v>
      </c>
    </row>
    <row r="207" spans="1:11">
      <c r="A207" s="12">
        <v>41666</v>
      </c>
      <c r="B207">
        <v>2014</v>
      </c>
      <c r="C207">
        <v>1</v>
      </c>
      <c r="D207" s="11">
        <v>41640</v>
      </c>
      <c r="E207" t="s">
        <v>2173</v>
      </c>
      <c r="F207">
        <v>1</v>
      </c>
      <c r="G207" t="s">
        <v>61</v>
      </c>
      <c r="H207" t="s">
        <v>45</v>
      </c>
      <c r="I207" t="s">
        <v>2193</v>
      </c>
      <c r="J207" s="10">
        <v>2</v>
      </c>
      <c r="K207" t="b">
        <v>0</v>
      </c>
    </row>
    <row r="208" spans="1:11">
      <c r="A208" s="12">
        <v>41666</v>
      </c>
      <c r="B208">
        <v>2014</v>
      </c>
      <c r="C208">
        <v>1</v>
      </c>
      <c r="D208" s="11">
        <v>41640</v>
      </c>
      <c r="E208" t="s">
        <v>2173</v>
      </c>
      <c r="F208">
        <v>1</v>
      </c>
      <c r="G208" t="s">
        <v>61</v>
      </c>
      <c r="H208" t="s">
        <v>46</v>
      </c>
      <c r="I208" t="s">
        <v>2194</v>
      </c>
      <c r="J208" s="10">
        <v>1</v>
      </c>
      <c r="K208" t="b">
        <v>0</v>
      </c>
    </row>
    <row r="209" spans="1:11">
      <c r="A209" s="12">
        <v>41666</v>
      </c>
      <c r="B209">
        <v>2014</v>
      </c>
      <c r="C209">
        <v>1</v>
      </c>
      <c r="D209" s="11">
        <v>41640</v>
      </c>
      <c r="E209" t="s">
        <v>2173</v>
      </c>
      <c r="F209">
        <v>1</v>
      </c>
      <c r="G209" t="s">
        <v>61</v>
      </c>
      <c r="H209" t="s">
        <v>47</v>
      </c>
      <c r="I209" t="s">
        <v>2195</v>
      </c>
      <c r="J209" s="10">
        <v>3</v>
      </c>
      <c r="K209" t="b">
        <v>0</v>
      </c>
    </row>
    <row r="210" spans="1:11">
      <c r="A210" s="12">
        <v>41667</v>
      </c>
      <c r="B210">
        <v>2014</v>
      </c>
      <c r="C210">
        <v>1</v>
      </c>
      <c r="D210" s="11">
        <v>41640</v>
      </c>
      <c r="E210" t="s">
        <v>2173</v>
      </c>
      <c r="F210">
        <v>2</v>
      </c>
      <c r="G210" t="s">
        <v>63</v>
      </c>
      <c r="H210" t="s">
        <v>40</v>
      </c>
      <c r="I210" t="s">
        <v>2188</v>
      </c>
      <c r="J210" s="10">
        <v>6</v>
      </c>
      <c r="K210" t="b">
        <v>0</v>
      </c>
    </row>
    <row r="211" spans="1:11">
      <c r="A211" s="12">
        <v>41667</v>
      </c>
      <c r="B211">
        <v>2014</v>
      </c>
      <c r="C211">
        <v>1</v>
      </c>
      <c r="D211" s="11">
        <v>41640</v>
      </c>
      <c r="E211" t="s">
        <v>2173</v>
      </c>
      <c r="F211">
        <v>2</v>
      </c>
      <c r="G211" t="s">
        <v>63</v>
      </c>
      <c r="H211" t="s">
        <v>41</v>
      </c>
      <c r="I211" t="s">
        <v>2189</v>
      </c>
      <c r="J211" s="10">
        <v>3.34</v>
      </c>
      <c r="K211" t="b">
        <v>0</v>
      </c>
    </row>
    <row r="212" spans="1:11">
      <c r="A212" s="12">
        <v>41667</v>
      </c>
      <c r="B212">
        <v>2014</v>
      </c>
      <c r="C212">
        <v>1</v>
      </c>
      <c r="D212" s="11">
        <v>41640</v>
      </c>
      <c r="E212" t="s">
        <v>2173</v>
      </c>
      <c r="F212">
        <v>2</v>
      </c>
      <c r="G212" t="s">
        <v>63</v>
      </c>
      <c r="H212" t="s">
        <v>42</v>
      </c>
      <c r="I212" t="s">
        <v>2190</v>
      </c>
      <c r="J212" s="10">
        <v>2.8</v>
      </c>
      <c r="K212" t="b">
        <v>0</v>
      </c>
    </row>
    <row r="213" spans="1:11">
      <c r="A213" s="12">
        <v>41667</v>
      </c>
      <c r="B213">
        <v>2014</v>
      </c>
      <c r="C213">
        <v>1</v>
      </c>
      <c r="D213" s="11">
        <v>41640</v>
      </c>
      <c r="E213" t="s">
        <v>2173</v>
      </c>
      <c r="F213">
        <v>2</v>
      </c>
      <c r="G213" t="s">
        <v>63</v>
      </c>
      <c r="H213" t="s">
        <v>43</v>
      </c>
      <c r="I213" t="s">
        <v>2191</v>
      </c>
      <c r="J213" s="10">
        <v>13.38</v>
      </c>
      <c r="K213" t="b">
        <v>0</v>
      </c>
    </row>
    <row r="214" spans="1:11">
      <c r="A214" s="12">
        <v>41667</v>
      </c>
      <c r="B214">
        <v>2014</v>
      </c>
      <c r="C214">
        <v>1</v>
      </c>
      <c r="D214" s="11">
        <v>41640</v>
      </c>
      <c r="E214" t="s">
        <v>2173</v>
      </c>
      <c r="F214">
        <v>2</v>
      </c>
      <c r="G214" t="s">
        <v>63</v>
      </c>
      <c r="H214" t="s">
        <v>44</v>
      </c>
      <c r="I214" t="s">
        <v>2192</v>
      </c>
      <c r="J214" s="10">
        <v>22</v>
      </c>
      <c r="K214" t="b">
        <v>0</v>
      </c>
    </row>
    <row r="215" spans="1:11">
      <c r="A215" s="12">
        <v>41667</v>
      </c>
      <c r="B215">
        <v>2014</v>
      </c>
      <c r="C215">
        <v>1</v>
      </c>
      <c r="D215" s="11">
        <v>41640</v>
      </c>
      <c r="E215" t="s">
        <v>2173</v>
      </c>
      <c r="F215">
        <v>2</v>
      </c>
      <c r="G215" t="s">
        <v>63</v>
      </c>
      <c r="H215" t="s">
        <v>45</v>
      </c>
      <c r="I215" t="s">
        <v>2193</v>
      </c>
      <c r="J215" s="10">
        <v>5</v>
      </c>
      <c r="K215" t="b">
        <v>0</v>
      </c>
    </row>
    <row r="216" spans="1:11">
      <c r="A216" s="12">
        <v>41667</v>
      </c>
      <c r="B216">
        <v>2014</v>
      </c>
      <c r="C216">
        <v>1</v>
      </c>
      <c r="D216" s="11">
        <v>41640</v>
      </c>
      <c r="E216" t="s">
        <v>2173</v>
      </c>
      <c r="F216">
        <v>2</v>
      </c>
      <c r="G216" t="s">
        <v>63</v>
      </c>
      <c r="H216" t="s">
        <v>46</v>
      </c>
      <c r="I216" t="s">
        <v>2194</v>
      </c>
      <c r="J216" s="10">
        <v>1</v>
      </c>
      <c r="K216" t="b">
        <v>0</v>
      </c>
    </row>
    <row r="217" spans="1:11">
      <c r="A217" s="12">
        <v>41667</v>
      </c>
      <c r="B217">
        <v>2014</v>
      </c>
      <c r="C217">
        <v>1</v>
      </c>
      <c r="D217" s="11">
        <v>41640</v>
      </c>
      <c r="E217" t="s">
        <v>2173</v>
      </c>
      <c r="F217">
        <v>2</v>
      </c>
      <c r="G217" t="s">
        <v>63</v>
      </c>
      <c r="H217" t="s">
        <v>47</v>
      </c>
      <c r="I217" t="s">
        <v>2195</v>
      </c>
      <c r="J217" s="10">
        <v>5</v>
      </c>
      <c r="K217" t="b">
        <v>0</v>
      </c>
    </row>
    <row r="218" spans="1:11">
      <c r="A218" s="12">
        <v>41668</v>
      </c>
      <c r="B218">
        <v>2014</v>
      </c>
      <c r="C218">
        <v>1</v>
      </c>
      <c r="D218" s="11">
        <v>41640</v>
      </c>
      <c r="E218" t="s">
        <v>2173</v>
      </c>
      <c r="F218">
        <v>3</v>
      </c>
      <c r="G218" t="s">
        <v>65</v>
      </c>
      <c r="H218" t="s">
        <v>40</v>
      </c>
      <c r="I218" t="s">
        <v>2188</v>
      </c>
      <c r="J218" s="10">
        <v>5.33</v>
      </c>
      <c r="K218" t="b">
        <v>0</v>
      </c>
    </row>
    <row r="219" spans="1:11">
      <c r="A219" s="12">
        <v>41668</v>
      </c>
      <c r="B219">
        <v>2014</v>
      </c>
      <c r="C219">
        <v>1</v>
      </c>
      <c r="D219" s="11">
        <v>41640</v>
      </c>
      <c r="E219" t="s">
        <v>2173</v>
      </c>
      <c r="F219">
        <v>3</v>
      </c>
      <c r="G219" t="s">
        <v>65</v>
      </c>
      <c r="H219" t="s">
        <v>41</v>
      </c>
      <c r="I219" t="s">
        <v>2189</v>
      </c>
      <c r="J219" s="10">
        <v>4</v>
      </c>
      <c r="K219" t="b">
        <v>0</v>
      </c>
    </row>
    <row r="220" spans="1:11">
      <c r="A220" s="12">
        <v>41668</v>
      </c>
      <c r="B220">
        <v>2014</v>
      </c>
      <c r="C220">
        <v>1</v>
      </c>
      <c r="D220" s="11">
        <v>41640</v>
      </c>
      <c r="E220" t="s">
        <v>2173</v>
      </c>
      <c r="F220">
        <v>3</v>
      </c>
      <c r="G220" t="s">
        <v>65</v>
      </c>
      <c r="H220" t="s">
        <v>42</v>
      </c>
      <c r="I220" t="s">
        <v>2190</v>
      </c>
      <c r="J220" s="10">
        <v>2</v>
      </c>
      <c r="K220" t="b">
        <v>0</v>
      </c>
    </row>
    <row r="221" spans="1:11">
      <c r="A221" s="12">
        <v>41668</v>
      </c>
      <c r="B221">
        <v>2014</v>
      </c>
      <c r="C221">
        <v>1</v>
      </c>
      <c r="D221" s="11">
        <v>41640</v>
      </c>
      <c r="E221" t="s">
        <v>2173</v>
      </c>
      <c r="F221">
        <v>3</v>
      </c>
      <c r="G221" t="s">
        <v>65</v>
      </c>
      <c r="H221" t="s">
        <v>43</v>
      </c>
      <c r="I221" t="s">
        <v>2191</v>
      </c>
      <c r="J221" s="10">
        <v>14</v>
      </c>
      <c r="K221" t="b">
        <v>0</v>
      </c>
    </row>
    <row r="222" spans="1:11">
      <c r="A222" s="12">
        <v>41668</v>
      </c>
      <c r="B222">
        <v>2014</v>
      </c>
      <c r="C222">
        <v>1</v>
      </c>
      <c r="D222" s="11">
        <v>41640</v>
      </c>
      <c r="E222" t="s">
        <v>2173</v>
      </c>
      <c r="F222">
        <v>3</v>
      </c>
      <c r="G222" t="s">
        <v>65</v>
      </c>
      <c r="H222" t="s">
        <v>44</v>
      </c>
      <c r="I222" t="s">
        <v>2192</v>
      </c>
      <c r="J222" s="10">
        <v>10</v>
      </c>
      <c r="K222" t="b">
        <v>0</v>
      </c>
    </row>
    <row r="223" spans="1:11">
      <c r="A223" s="12">
        <v>41668</v>
      </c>
      <c r="B223">
        <v>2014</v>
      </c>
      <c r="C223">
        <v>1</v>
      </c>
      <c r="D223" s="11">
        <v>41640</v>
      </c>
      <c r="E223" t="s">
        <v>2173</v>
      </c>
      <c r="F223">
        <v>3</v>
      </c>
      <c r="G223" t="s">
        <v>65</v>
      </c>
      <c r="H223" t="s">
        <v>45</v>
      </c>
      <c r="I223" t="s">
        <v>2193</v>
      </c>
      <c r="J223" s="10">
        <v>1</v>
      </c>
      <c r="K223" t="b">
        <v>0</v>
      </c>
    </row>
    <row r="224" spans="1:11">
      <c r="A224" s="12">
        <v>41668</v>
      </c>
      <c r="B224">
        <v>2014</v>
      </c>
      <c r="C224">
        <v>1</v>
      </c>
      <c r="D224" s="11">
        <v>41640</v>
      </c>
      <c r="E224" t="s">
        <v>2173</v>
      </c>
      <c r="F224">
        <v>3</v>
      </c>
      <c r="G224" t="s">
        <v>65</v>
      </c>
      <c r="H224" t="s">
        <v>46</v>
      </c>
      <c r="I224" t="s">
        <v>2194</v>
      </c>
      <c r="J224" s="10">
        <v>1</v>
      </c>
      <c r="K224" t="b">
        <v>0</v>
      </c>
    </row>
    <row r="225" spans="1:11">
      <c r="A225" s="12">
        <v>41668</v>
      </c>
      <c r="B225">
        <v>2014</v>
      </c>
      <c r="C225">
        <v>1</v>
      </c>
      <c r="D225" s="11">
        <v>41640</v>
      </c>
      <c r="E225" t="s">
        <v>2173</v>
      </c>
      <c r="F225">
        <v>3</v>
      </c>
      <c r="G225" t="s">
        <v>65</v>
      </c>
      <c r="H225" t="s">
        <v>47</v>
      </c>
      <c r="I225" t="s">
        <v>2195</v>
      </c>
      <c r="J225" s="10">
        <v>2</v>
      </c>
      <c r="K225" t="b">
        <v>0</v>
      </c>
    </row>
    <row r="226" spans="1:11">
      <c r="A226" s="12">
        <v>41669</v>
      </c>
      <c r="B226">
        <v>2014</v>
      </c>
      <c r="C226">
        <v>1</v>
      </c>
      <c r="D226" s="11">
        <v>41640</v>
      </c>
      <c r="E226" t="s">
        <v>2173</v>
      </c>
      <c r="F226">
        <v>4</v>
      </c>
      <c r="G226" t="s">
        <v>53</v>
      </c>
      <c r="H226" t="s">
        <v>40</v>
      </c>
      <c r="I226" t="s">
        <v>2188</v>
      </c>
      <c r="J226" s="10">
        <v>3.02</v>
      </c>
      <c r="K226" t="b">
        <v>0</v>
      </c>
    </row>
    <row r="227" spans="1:11">
      <c r="A227" s="12">
        <v>41669</v>
      </c>
      <c r="B227">
        <v>2014</v>
      </c>
      <c r="C227">
        <v>1</v>
      </c>
      <c r="D227" s="11">
        <v>41640</v>
      </c>
      <c r="E227" t="s">
        <v>2173</v>
      </c>
      <c r="F227">
        <v>4</v>
      </c>
      <c r="G227" t="s">
        <v>53</v>
      </c>
      <c r="H227" t="s">
        <v>41</v>
      </c>
      <c r="I227" t="s">
        <v>2189</v>
      </c>
      <c r="J227" s="10">
        <v>1.34</v>
      </c>
      <c r="K227" t="b">
        <v>0</v>
      </c>
    </row>
    <row r="228" spans="1:11">
      <c r="A228" s="12">
        <v>41669</v>
      </c>
      <c r="B228">
        <v>2014</v>
      </c>
      <c r="C228">
        <v>1</v>
      </c>
      <c r="D228" s="11">
        <v>41640</v>
      </c>
      <c r="E228" t="s">
        <v>2173</v>
      </c>
      <c r="F228">
        <v>4</v>
      </c>
      <c r="G228" t="s">
        <v>53</v>
      </c>
      <c r="H228" t="s">
        <v>42</v>
      </c>
      <c r="I228" t="s">
        <v>2190</v>
      </c>
      <c r="J228" s="10">
        <v>2.4</v>
      </c>
      <c r="K228" t="b">
        <v>0</v>
      </c>
    </row>
    <row r="229" spans="1:11">
      <c r="A229" s="12">
        <v>41669</v>
      </c>
      <c r="B229">
        <v>2014</v>
      </c>
      <c r="C229">
        <v>1</v>
      </c>
      <c r="D229" s="11">
        <v>41640</v>
      </c>
      <c r="E229" t="s">
        <v>2173</v>
      </c>
      <c r="F229">
        <v>4</v>
      </c>
      <c r="G229" t="s">
        <v>53</v>
      </c>
      <c r="H229" t="s">
        <v>43</v>
      </c>
      <c r="I229" t="s">
        <v>2191</v>
      </c>
      <c r="J229" s="10">
        <v>25.5</v>
      </c>
      <c r="K229" t="b">
        <v>0</v>
      </c>
    </row>
    <row r="230" spans="1:11">
      <c r="A230" s="12">
        <v>41669</v>
      </c>
      <c r="B230">
        <v>2014</v>
      </c>
      <c r="C230">
        <v>1</v>
      </c>
      <c r="D230" s="11">
        <v>41640</v>
      </c>
      <c r="E230" t="s">
        <v>2173</v>
      </c>
      <c r="F230">
        <v>4</v>
      </c>
      <c r="G230" t="s">
        <v>53</v>
      </c>
      <c r="H230" t="s">
        <v>44</v>
      </c>
      <c r="I230" t="s">
        <v>2192</v>
      </c>
      <c r="J230" s="10">
        <v>7</v>
      </c>
      <c r="K230" t="b">
        <v>0</v>
      </c>
    </row>
    <row r="231" spans="1:11">
      <c r="A231" s="12">
        <v>41669</v>
      </c>
      <c r="B231">
        <v>2014</v>
      </c>
      <c r="C231">
        <v>1</v>
      </c>
      <c r="D231" s="11">
        <v>41640</v>
      </c>
      <c r="E231" t="s">
        <v>2173</v>
      </c>
      <c r="F231">
        <v>4</v>
      </c>
      <c r="G231" t="s">
        <v>53</v>
      </c>
      <c r="H231" t="s">
        <v>45</v>
      </c>
      <c r="I231" t="s">
        <v>2193</v>
      </c>
      <c r="J231" s="10">
        <v>1</v>
      </c>
      <c r="K231" t="b">
        <v>0</v>
      </c>
    </row>
    <row r="232" spans="1:11">
      <c r="A232" s="12">
        <v>41669</v>
      </c>
      <c r="B232">
        <v>2014</v>
      </c>
      <c r="C232">
        <v>1</v>
      </c>
      <c r="D232" s="11">
        <v>41640</v>
      </c>
      <c r="E232" t="s">
        <v>2173</v>
      </c>
      <c r="F232">
        <v>4</v>
      </c>
      <c r="G232" t="s">
        <v>53</v>
      </c>
      <c r="H232" t="s">
        <v>46</v>
      </c>
      <c r="I232" t="s">
        <v>2194</v>
      </c>
      <c r="J232" s="10">
        <v>3</v>
      </c>
      <c r="K232" t="b">
        <v>0</v>
      </c>
    </row>
    <row r="233" spans="1:11">
      <c r="A233" s="12">
        <v>41669</v>
      </c>
      <c r="B233">
        <v>2014</v>
      </c>
      <c r="C233">
        <v>1</v>
      </c>
      <c r="D233" s="11">
        <v>41640</v>
      </c>
      <c r="E233" t="s">
        <v>2173</v>
      </c>
      <c r="F233">
        <v>4</v>
      </c>
      <c r="G233" t="s">
        <v>53</v>
      </c>
      <c r="H233" t="s">
        <v>47</v>
      </c>
      <c r="I233" t="s">
        <v>2195</v>
      </c>
      <c r="J233" s="10">
        <v>2</v>
      </c>
      <c r="K233" t="b">
        <v>0</v>
      </c>
    </row>
    <row r="234" spans="1:11">
      <c r="A234" s="12">
        <v>41670</v>
      </c>
      <c r="B234">
        <v>2014</v>
      </c>
      <c r="C234">
        <v>1</v>
      </c>
      <c r="D234" s="11">
        <v>41640</v>
      </c>
      <c r="E234" t="s">
        <v>2173</v>
      </c>
      <c r="F234">
        <v>5</v>
      </c>
      <c r="G234" t="s">
        <v>55</v>
      </c>
      <c r="H234" t="s">
        <v>40</v>
      </c>
      <c r="I234" t="s">
        <v>2188</v>
      </c>
      <c r="J234" s="10">
        <v>1</v>
      </c>
      <c r="K234" t="b">
        <v>0</v>
      </c>
    </row>
    <row r="235" spans="1:11">
      <c r="A235" s="12">
        <v>41670</v>
      </c>
      <c r="B235">
        <v>2014</v>
      </c>
      <c r="C235">
        <v>1</v>
      </c>
      <c r="D235" s="11">
        <v>41640</v>
      </c>
      <c r="E235" t="s">
        <v>2173</v>
      </c>
      <c r="F235">
        <v>5</v>
      </c>
      <c r="G235" t="s">
        <v>55</v>
      </c>
      <c r="H235" t="s">
        <v>41</v>
      </c>
      <c r="I235" t="s">
        <v>2189</v>
      </c>
      <c r="J235" s="10">
        <v>2.68</v>
      </c>
      <c r="K235" t="b">
        <v>0</v>
      </c>
    </row>
    <row r="236" spans="1:11">
      <c r="A236" s="12">
        <v>41670</v>
      </c>
      <c r="B236">
        <v>2014</v>
      </c>
      <c r="C236">
        <v>1</v>
      </c>
      <c r="D236" s="11">
        <v>41640</v>
      </c>
      <c r="E236" t="s">
        <v>2173</v>
      </c>
      <c r="F236">
        <v>5</v>
      </c>
      <c r="G236" t="s">
        <v>55</v>
      </c>
      <c r="H236" t="s">
        <v>42</v>
      </c>
      <c r="I236" t="s">
        <v>2190</v>
      </c>
      <c r="J236" s="10">
        <v>7.1</v>
      </c>
      <c r="K236" t="b">
        <v>0</v>
      </c>
    </row>
    <row r="237" spans="1:11">
      <c r="A237" s="12">
        <v>41670</v>
      </c>
      <c r="B237">
        <v>2014</v>
      </c>
      <c r="C237">
        <v>1</v>
      </c>
      <c r="D237" s="11">
        <v>41640</v>
      </c>
      <c r="E237" t="s">
        <v>2173</v>
      </c>
      <c r="F237">
        <v>5</v>
      </c>
      <c r="G237" t="s">
        <v>55</v>
      </c>
      <c r="H237" t="s">
        <v>43</v>
      </c>
      <c r="I237" t="s">
        <v>2191</v>
      </c>
      <c r="J237" s="10">
        <v>26.9</v>
      </c>
      <c r="K237" t="b">
        <v>0</v>
      </c>
    </row>
    <row r="238" spans="1:11">
      <c r="A238" s="12">
        <v>41670</v>
      </c>
      <c r="B238">
        <v>2014</v>
      </c>
      <c r="C238">
        <v>1</v>
      </c>
      <c r="D238" s="11">
        <v>41640</v>
      </c>
      <c r="E238" t="s">
        <v>2173</v>
      </c>
      <c r="F238">
        <v>5</v>
      </c>
      <c r="G238" t="s">
        <v>55</v>
      </c>
      <c r="H238" t="s">
        <v>44</v>
      </c>
      <c r="I238" t="s">
        <v>2192</v>
      </c>
      <c r="J238" s="10">
        <v>9</v>
      </c>
      <c r="K238" t="b">
        <v>0</v>
      </c>
    </row>
    <row r="239" spans="1:11">
      <c r="A239" s="12">
        <v>41670</v>
      </c>
      <c r="B239">
        <v>2014</v>
      </c>
      <c r="C239">
        <v>1</v>
      </c>
      <c r="D239" s="11">
        <v>41640</v>
      </c>
      <c r="E239" t="s">
        <v>2173</v>
      </c>
      <c r="F239">
        <v>5</v>
      </c>
      <c r="G239" t="s">
        <v>55</v>
      </c>
      <c r="H239" t="s">
        <v>45</v>
      </c>
      <c r="I239" t="s">
        <v>2193</v>
      </c>
      <c r="J239" s="10">
        <v>0</v>
      </c>
      <c r="K239" t="b">
        <v>0</v>
      </c>
    </row>
    <row r="240" spans="1:11">
      <c r="A240" s="12">
        <v>41670</v>
      </c>
      <c r="B240">
        <v>2014</v>
      </c>
      <c r="C240">
        <v>1</v>
      </c>
      <c r="D240" s="11">
        <v>41640</v>
      </c>
      <c r="E240" t="s">
        <v>2173</v>
      </c>
      <c r="F240">
        <v>5</v>
      </c>
      <c r="G240" t="s">
        <v>55</v>
      </c>
      <c r="H240" t="s">
        <v>46</v>
      </c>
      <c r="I240" t="s">
        <v>2194</v>
      </c>
      <c r="J240" s="10">
        <v>1</v>
      </c>
      <c r="K240" t="b">
        <v>0</v>
      </c>
    </row>
    <row r="241" spans="1:11">
      <c r="A241" s="12">
        <v>41670</v>
      </c>
      <c r="B241">
        <v>2014</v>
      </c>
      <c r="C241">
        <v>1</v>
      </c>
      <c r="D241" s="11">
        <v>41640</v>
      </c>
      <c r="E241" t="s">
        <v>2173</v>
      </c>
      <c r="F241">
        <v>5</v>
      </c>
      <c r="G241" t="s">
        <v>55</v>
      </c>
      <c r="H241" t="s">
        <v>47</v>
      </c>
      <c r="I241" t="s">
        <v>2195</v>
      </c>
      <c r="J241" s="10">
        <v>0</v>
      </c>
      <c r="K241" t="b">
        <v>0</v>
      </c>
    </row>
    <row r="242" spans="1:11">
      <c r="A242" s="12">
        <v>41671</v>
      </c>
      <c r="B242">
        <v>2014</v>
      </c>
      <c r="C242">
        <v>2</v>
      </c>
      <c r="D242" s="11">
        <v>41671</v>
      </c>
      <c r="E242" t="s">
        <v>2174</v>
      </c>
      <c r="F242">
        <v>6</v>
      </c>
      <c r="G242" t="s">
        <v>57</v>
      </c>
      <c r="H242" t="s">
        <v>40</v>
      </c>
      <c r="I242" t="s">
        <v>2188</v>
      </c>
      <c r="J242" s="10">
        <v>4.33</v>
      </c>
      <c r="K242" t="b">
        <v>1</v>
      </c>
    </row>
    <row r="243" spans="1:11">
      <c r="A243" s="12">
        <v>41671</v>
      </c>
      <c r="B243">
        <v>2014</v>
      </c>
      <c r="C243">
        <v>2</v>
      </c>
      <c r="D243" s="11">
        <v>41671</v>
      </c>
      <c r="E243" t="s">
        <v>2174</v>
      </c>
      <c r="F243">
        <v>6</v>
      </c>
      <c r="G243" t="s">
        <v>57</v>
      </c>
      <c r="H243" t="s">
        <v>41</v>
      </c>
      <c r="I243" t="s">
        <v>2189</v>
      </c>
      <c r="J243" s="10">
        <v>4.32</v>
      </c>
      <c r="K243" t="b">
        <v>1</v>
      </c>
    </row>
    <row r="244" spans="1:11">
      <c r="A244" s="12">
        <v>41671</v>
      </c>
      <c r="B244">
        <v>2014</v>
      </c>
      <c r="C244">
        <v>2</v>
      </c>
      <c r="D244" s="11">
        <v>41671</v>
      </c>
      <c r="E244" t="s">
        <v>2174</v>
      </c>
      <c r="F244">
        <v>6</v>
      </c>
      <c r="G244" t="s">
        <v>57</v>
      </c>
      <c r="H244" t="s">
        <v>42</v>
      </c>
      <c r="I244" t="s">
        <v>2190</v>
      </c>
      <c r="J244" s="10">
        <v>5</v>
      </c>
      <c r="K244" t="b">
        <v>1</v>
      </c>
    </row>
    <row r="245" spans="1:11">
      <c r="A245" s="12">
        <v>41671</v>
      </c>
      <c r="B245">
        <v>2014</v>
      </c>
      <c r="C245">
        <v>2</v>
      </c>
      <c r="D245" s="11">
        <v>41671</v>
      </c>
      <c r="E245" t="s">
        <v>2174</v>
      </c>
      <c r="F245">
        <v>6</v>
      </c>
      <c r="G245" t="s">
        <v>57</v>
      </c>
      <c r="H245" t="s">
        <v>43</v>
      </c>
      <c r="I245" t="s">
        <v>2191</v>
      </c>
      <c r="J245" s="10">
        <v>43</v>
      </c>
      <c r="K245" t="b">
        <v>1</v>
      </c>
    </row>
    <row r="246" spans="1:11">
      <c r="A246" s="12">
        <v>41671</v>
      </c>
      <c r="B246">
        <v>2014</v>
      </c>
      <c r="C246">
        <v>2</v>
      </c>
      <c r="D246" s="11">
        <v>41671</v>
      </c>
      <c r="E246" t="s">
        <v>2174</v>
      </c>
      <c r="F246">
        <v>6</v>
      </c>
      <c r="G246" t="s">
        <v>57</v>
      </c>
      <c r="H246" t="s">
        <v>44</v>
      </c>
      <c r="I246" t="s">
        <v>2192</v>
      </c>
      <c r="J246" s="10">
        <v>13</v>
      </c>
      <c r="K246" t="b">
        <v>1</v>
      </c>
    </row>
    <row r="247" spans="1:11">
      <c r="A247" s="12">
        <v>41671</v>
      </c>
      <c r="B247">
        <v>2014</v>
      </c>
      <c r="C247">
        <v>2</v>
      </c>
      <c r="D247" s="11">
        <v>41671</v>
      </c>
      <c r="E247" t="s">
        <v>2174</v>
      </c>
      <c r="F247">
        <v>6</v>
      </c>
      <c r="G247" t="s">
        <v>57</v>
      </c>
      <c r="H247" t="s">
        <v>45</v>
      </c>
      <c r="I247" t="s">
        <v>2193</v>
      </c>
      <c r="J247" s="10">
        <v>1</v>
      </c>
      <c r="K247" t="b">
        <v>1</v>
      </c>
    </row>
    <row r="248" spans="1:11">
      <c r="A248" s="12">
        <v>41671</v>
      </c>
      <c r="B248">
        <v>2014</v>
      </c>
      <c r="C248">
        <v>2</v>
      </c>
      <c r="D248" s="11">
        <v>41671</v>
      </c>
      <c r="E248" t="s">
        <v>2174</v>
      </c>
      <c r="F248">
        <v>6</v>
      </c>
      <c r="G248" t="s">
        <v>57</v>
      </c>
      <c r="H248" t="s">
        <v>46</v>
      </c>
      <c r="I248" t="s">
        <v>2194</v>
      </c>
      <c r="J248" s="10">
        <v>14</v>
      </c>
      <c r="K248" t="b">
        <v>1</v>
      </c>
    </row>
    <row r="249" spans="1:11">
      <c r="A249" s="12">
        <v>41671</v>
      </c>
      <c r="B249">
        <v>2014</v>
      </c>
      <c r="C249">
        <v>2</v>
      </c>
      <c r="D249" s="11">
        <v>41671</v>
      </c>
      <c r="E249" t="s">
        <v>2174</v>
      </c>
      <c r="F249">
        <v>6</v>
      </c>
      <c r="G249" t="s">
        <v>57</v>
      </c>
      <c r="H249" t="s">
        <v>47</v>
      </c>
      <c r="I249" t="s">
        <v>2195</v>
      </c>
      <c r="J249" s="10">
        <v>0</v>
      </c>
      <c r="K249" t="b">
        <v>1</v>
      </c>
    </row>
    <row r="250" spans="1:11">
      <c r="A250" s="12">
        <v>41672</v>
      </c>
      <c r="B250">
        <v>2014</v>
      </c>
      <c r="C250">
        <v>2</v>
      </c>
      <c r="D250" s="11">
        <v>41671</v>
      </c>
      <c r="E250" t="s">
        <v>2174</v>
      </c>
      <c r="F250">
        <v>7</v>
      </c>
      <c r="G250" t="s">
        <v>59</v>
      </c>
      <c r="H250" t="s">
        <v>40</v>
      </c>
      <c r="I250" t="s">
        <v>2188</v>
      </c>
      <c r="J250" s="10">
        <v>7</v>
      </c>
      <c r="K250" t="b">
        <v>1</v>
      </c>
    </row>
    <row r="251" spans="1:11">
      <c r="A251" s="12">
        <v>41672</v>
      </c>
      <c r="B251">
        <v>2014</v>
      </c>
      <c r="C251">
        <v>2</v>
      </c>
      <c r="D251" s="11">
        <v>41671</v>
      </c>
      <c r="E251" t="s">
        <v>2174</v>
      </c>
      <c r="F251">
        <v>7</v>
      </c>
      <c r="G251" t="s">
        <v>59</v>
      </c>
      <c r="H251" t="s">
        <v>41</v>
      </c>
      <c r="I251" t="s">
        <v>2189</v>
      </c>
      <c r="J251" s="10">
        <v>3</v>
      </c>
      <c r="K251" t="b">
        <v>1</v>
      </c>
    </row>
    <row r="252" spans="1:11">
      <c r="A252" s="12">
        <v>41672</v>
      </c>
      <c r="B252">
        <v>2014</v>
      </c>
      <c r="C252">
        <v>2</v>
      </c>
      <c r="D252" s="11">
        <v>41671</v>
      </c>
      <c r="E252" t="s">
        <v>2174</v>
      </c>
      <c r="F252">
        <v>7</v>
      </c>
      <c r="G252" t="s">
        <v>59</v>
      </c>
      <c r="H252" t="s">
        <v>42</v>
      </c>
      <c r="I252" t="s">
        <v>2190</v>
      </c>
      <c r="J252" s="10">
        <v>0.2</v>
      </c>
      <c r="K252" t="b">
        <v>1</v>
      </c>
    </row>
    <row r="253" spans="1:11">
      <c r="A253" s="12">
        <v>41672</v>
      </c>
      <c r="B253">
        <v>2014</v>
      </c>
      <c r="C253">
        <v>2</v>
      </c>
      <c r="D253" s="11">
        <v>41671</v>
      </c>
      <c r="E253" t="s">
        <v>2174</v>
      </c>
      <c r="F253">
        <v>7</v>
      </c>
      <c r="G253" t="s">
        <v>59</v>
      </c>
      <c r="H253" t="s">
        <v>43</v>
      </c>
      <c r="I253" t="s">
        <v>2191</v>
      </c>
      <c r="J253" s="10">
        <v>13.5</v>
      </c>
      <c r="K253" t="b">
        <v>1</v>
      </c>
    </row>
    <row r="254" spans="1:11">
      <c r="A254" s="12">
        <v>41672</v>
      </c>
      <c r="B254">
        <v>2014</v>
      </c>
      <c r="C254">
        <v>2</v>
      </c>
      <c r="D254" s="11">
        <v>41671</v>
      </c>
      <c r="E254" t="s">
        <v>2174</v>
      </c>
      <c r="F254">
        <v>7</v>
      </c>
      <c r="G254" t="s">
        <v>59</v>
      </c>
      <c r="H254" t="s">
        <v>44</v>
      </c>
      <c r="I254" t="s">
        <v>2192</v>
      </c>
      <c r="J254" s="10">
        <v>6</v>
      </c>
      <c r="K254" t="b">
        <v>1</v>
      </c>
    </row>
    <row r="255" spans="1:11">
      <c r="A255" s="12">
        <v>41672</v>
      </c>
      <c r="B255">
        <v>2014</v>
      </c>
      <c r="C255">
        <v>2</v>
      </c>
      <c r="D255" s="11">
        <v>41671</v>
      </c>
      <c r="E255" t="s">
        <v>2174</v>
      </c>
      <c r="F255">
        <v>7</v>
      </c>
      <c r="G255" t="s">
        <v>59</v>
      </c>
      <c r="H255" t="s">
        <v>45</v>
      </c>
      <c r="I255" t="s">
        <v>2193</v>
      </c>
      <c r="J255" s="10">
        <v>2</v>
      </c>
      <c r="K255" t="b">
        <v>1</v>
      </c>
    </row>
    <row r="256" spans="1:11">
      <c r="A256" s="12">
        <v>41672</v>
      </c>
      <c r="B256">
        <v>2014</v>
      </c>
      <c r="C256">
        <v>2</v>
      </c>
      <c r="D256" s="11">
        <v>41671</v>
      </c>
      <c r="E256" t="s">
        <v>2174</v>
      </c>
      <c r="F256">
        <v>7</v>
      </c>
      <c r="G256" t="s">
        <v>59</v>
      </c>
      <c r="H256" t="s">
        <v>46</v>
      </c>
      <c r="I256" t="s">
        <v>2194</v>
      </c>
      <c r="J256" s="10">
        <v>8</v>
      </c>
      <c r="K256" t="b">
        <v>1</v>
      </c>
    </row>
    <row r="257" spans="1:11">
      <c r="A257" s="12">
        <v>41672</v>
      </c>
      <c r="B257">
        <v>2014</v>
      </c>
      <c r="C257">
        <v>2</v>
      </c>
      <c r="D257" s="11">
        <v>41671</v>
      </c>
      <c r="E257" t="s">
        <v>2174</v>
      </c>
      <c r="F257">
        <v>7</v>
      </c>
      <c r="G257" t="s">
        <v>59</v>
      </c>
      <c r="H257" t="s">
        <v>47</v>
      </c>
      <c r="I257" t="s">
        <v>2195</v>
      </c>
      <c r="J257" s="10">
        <v>0</v>
      </c>
      <c r="K257" t="b">
        <v>1</v>
      </c>
    </row>
    <row r="258" spans="1:11">
      <c r="A258" s="12">
        <v>41673</v>
      </c>
      <c r="B258">
        <v>2014</v>
      </c>
      <c r="C258">
        <v>2</v>
      </c>
      <c r="D258" s="11">
        <v>41671</v>
      </c>
      <c r="E258" t="s">
        <v>2174</v>
      </c>
      <c r="F258">
        <v>1</v>
      </c>
      <c r="G258" t="s">
        <v>61</v>
      </c>
      <c r="H258" t="s">
        <v>40</v>
      </c>
      <c r="I258" t="s">
        <v>2188</v>
      </c>
      <c r="J258" s="10">
        <v>5</v>
      </c>
      <c r="K258" t="b">
        <v>1</v>
      </c>
    </row>
    <row r="259" spans="1:11">
      <c r="A259" s="12">
        <v>41673</v>
      </c>
      <c r="B259">
        <v>2014</v>
      </c>
      <c r="C259">
        <v>2</v>
      </c>
      <c r="D259" s="11">
        <v>41671</v>
      </c>
      <c r="E259" t="s">
        <v>2174</v>
      </c>
      <c r="F259">
        <v>1</v>
      </c>
      <c r="G259" t="s">
        <v>61</v>
      </c>
      <c r="H259" t="s">
        <v>41</v>
      </c>
      <c r="I259" t="s">
        <v>2189</v>
      </c>
      <c r="J259" s="10">
        <v>1</v>
      </c>
      <c r="K259" t="b">
        <v>1</v>
      </c>
    </row>
    <row r="260" spans="1:11">
      <c r="A260" s="12">
        <v>41673</v>
      </c>
      <c r="B260">
        <v>2014</v>
      </c>
      <c r="C260">
        <v>2</v>
      </c>
      <c r="D260" s="11">
        <v>41671</v>
      </c>
      <c r="E260" t="s">
        <v>2174</v>
      </c>
      <c r="F260">
        <v>1</v>
      </c>
      <c r="G260" t="s">
        <v>61</v>
      </c>
      <c r="H260" t="s">
        <v>42</v>
      </c>
      <c r="I260" t="s">
        <v>2190</v>
      </c>
      <c r="J260" s="10">
        <v>8.5</v>
      </c>
      <c r="K260" t="b">
        <v>1</v>
      </c>
    </row>
    <row r="261" spans="1:11">
      <c r="A261" s="12">
        <v>41673</v>
      </c>
      <c r="B261">
        <v>2014</v>
      </c>
      <c r="C261">
        <v>2</v>
      </c>
      <c r="D261" s="11">
        <v>41671</v>
      </c>
      <c r="E261" t="s">
        <v>2174</v>
      </c>
      <c r="F261">
        <v>1</v>
      </c>
      <c r="G261" t="s">
        <v>61</v>
      </c>
      <c r="H261" t="s">
        <v>43</v>
      </c>
      <c r="I261" t="s">
        <v>2191</v>
      </c>
      <c r="J261" s="10">
        <v>32.4</v>
      </c>
      <c r="K261" t="b">
        <v>1</v>
      </c>
    </row>
    <row r="262" spans="1:11">
      <c r="A262" s="12">
        <v>41673</v>
      </c>
      <c r="B262">
        <v>2014</v>
      </c>
      <c r="C262">
        <v>2</v>
      </c>
      <c r="D262" s="11">
        <v>41671</v>
      </c>
      <c r="E262" t="s">
        <v>2174</v>
      </c>
      <c r="F262">
        <v>1</v>
      </c>
      <c r="G262" t="s">
        <v>61</v>
      </c>
      <c r="H262" t="s">
        <v>44</v>
      </c>
      <c r="I262" t="s">
        <v>2192</v>
      </c>
      <c r="J262" s="10">
        <v>16</v>
      </c>
      <c r="K262" t="b">
        <v>1</v>
      </c>
    </row>
    <row r="263" spans="1:11">
      <c r="A263" s="12">
        <v>41673</v>
      </c>
      <c r="B263">
        <v>2014</v>
      </c>
      <c r="C263">
        <v>2</v>
      </c>
      <c r="D263" s="11">
        <v>41671</v>
      </c>
      <c r="E263" t="s">
        <v>2174</v>
      </c>
      <c r="F263">
        <v>1</v>
      </c>
      <c r="G263" t="s">
        <v>61</v>
      </c>
      <c r="H263" t="s">
        <v>45</v>
      </c>
      <c r="I263" t="s">
        <v>2193</v>
      </c>
      <c r="J263" s="10">
        <v>1</v>
      </c>
      <c r="K263" t="b">
        <v>1</v>
      </c>
    </row>
    <row r="264" spans="1:11">
      <c r="A264" s="12">
        <v>41673</v>
      </c>
      <c r="B264">
        <v>2014</v>
      </c>
      <c r="C264">
        <v>2</v>
      </c>
      <c r="D264" s="11">
        <v>41671</v>
      </c>
      <c r="E264" t="s">
        <v>2174</v>
      </c>
      <c r="F264">
        <v>1</v>
      </c>
      <c r="G264" t="s">
        <v>61</v>
      </c>
      <c r="H264" t="s">
        <v>46</v>
      </c>
      <c r="I264" t="s">
        <v>2194</v>
      </c>
      <c r="J264" s="10">
        <v>1</v>
      </c>
      <c r="K264" t="b">
        <v>1</v>
      </c>
    </row>
    <row r="265" spans="1:11">
      <c r="A265" s="12">
        <v>41673</v>
      </c>
      <c r="B265">
        <v>2014</v>
      </c>
      <c r="C265">
        <v>2</v>
      </c>
      <c r="D265" s="11">
        <v>41671</v>
      </c>
      <c r="E265" t="s">
        <v>2174</v>
      </c>
      <c r="F265">
        <v>1</v>
      </c>
      <c r="G265" t="s">
        <v>61</v>
      </c>
      <c r="H265" t="s">
        <v>47</v>
      </c>
      <c r="I265" t="s">
        <v>2195</v>
      </c>
      <c r="J265" s="10">
        <v>0</v>
      </c>
      <c r="K265" t="b">
        <v>1</v>
      </c>
    </row>
    <row r="266" spans="1:11">
      <c r="A266" s="12">
        <v>41674</v>
      </c>
      <c r="B266">
        <v>2014</v>
      </c>
      <c r="C266">
        <v>2</v>
      </c>
      <c r="D266" s="11">
        <v>41671</v>
      </c>
      <c r="E266" t="s">
        <v>2174</v>
      </c>
      <c r="F266">
        <v>2</v>
      </c>
      <c r="G266" t="s">
        <v>63</v>
      </c>
      <c r="H266" t="s">
        <v>40</v>
      </c>
      <c r="I266" t="s">
        <v>2188</v>
      </c>
      <c r="J266" s="10">
        <v>1.33</v>
      </c>
      <c r="K266" t="b">
        <v>1</v>
      </c>
    </row>
    <row r="267" spans="1:11">
      <c r="A267" s="12">
        <v>41674</v>
      </c>
      <c r="B267">
        <v>2014</v>
      </c>
      <c r="C267">
        <v>2</v>
      </c>
      <c r="D267" s="11">
        <v>41671</v>
      </c>
      <c r="E267" t="s">
        <v>2174</v>
      </c>
      <c r="F267">
        <v>2</v>
      </c>
      <c r="G267" t="s">
        <v>63</v>
      </c>
      <c r="H267" t="s">
        <v>41</v>
      </c>
      <c r="I267" t="s">
        <v>2189</v>
      </c>
      <c r="J267" s="10">
        <v>3</v>
      </c>
      <c r="K267" t="b">
        <v>1</v>
      </c>
    </row>
    <row r="268" spans="1:11">
      <c r="A268" s="12">
        <v>41674</v>
      </c>
      <c r="B268">
        <v>2014</v>
      </c>
      <c r="C268">
        <v>2</v>
      </c>
      <c r="D268" s="11">
        <v>41671</v>
      </c>
      <c r="E268" t="s">
        <v>2174</v>
      </c>
      <c r="F268">
        <v>2</v>
      </c>
      <c r="G268" t="s">
        <v>63</v>
      </c>
      <c r="H268" t="s">
        <v>42</v>
      </c>
      <c r="I268" t="s">
        <v>2190</v>
      </c>
      <c r="J268" s="10">
        <v>7</v>
      </c>
      <c r="K268" t="b">
        <v>1</v>
      </c>
    </row>
    <row r="269" spans="1:11">
      <c r="A269" s="12">
        <v>41674</v>
      </c>
      <c r="B269">
        <v>2014</v>
      </c>
      <c r="C269">
        <v>2</v>
      </c>
      <c r="D269" s="11">
        <v>41671</v>
      </c>
      <c r="E269" t="s">
        <v>2174</v>
      </c>
      <c r="F269">
        <v>2</v>
      </c>
      <c r="G269" t="s">
        <v>63</v>
      </c>
      <c r="H269" t="s">
        <v>43</v>
      </c>
      <c r="I269" t="s">
        <v>2191</v>
      </c>
      <c r="J269" s="10">
        <v>30.6</v>
      </c>
      <c r="K269" t="b">
        <v>1</v>
      </c>
    </row>
    <row r="270" spans="1:11">
      <c r="A270" s="12">
        <v>41674</v>
      </c>
      <c r="B270">
        <v>2014</v>
      </c>
      <c r="C270">
        <v>2</v>
      </c>
      <c r="D270" s="11">
        <v>41671</v>
      </c>
      <c r="E270" t="s">
        <v>2174</v>
      </c>
      <c r="F270">
        <v>2</v>
      </c>
      <c r="G270" t="s">
        <v>63</v>
      </c>
      <c r="H270" t="s">
        <v>44</v>
      </c>
      <c r="I270" t="s">
        <v>2192</v>
      </c>
      <c r="J270" s="10">
        <v>8</v>
      </c>
      <c r="K270" t="b">
        <v>1</v>
      </c>
    </row>
    <row r="271" spans="1:11">
      <c r="A271" s="12">
        <v>41674</v>
      </c>
      <c r="B271">
        <v>2014</v>
      </c>
      <c r="C271">
        <v>2</v>
      </c>
      <c r="D271" s="11">
        <v>41671</v>
      </c>
      <c r="E271" t="s">
        <v>2174</v>
      </c>
      <c r="F271">
        <v>2</v>
      </c>
      <c r="G271" t="s">
        <v>63</v>
      </c>
      <c r="H271" t="s">
        <v>45</v>
      </c>
      <c r="I271" t="s">
        <v>2193</v>
      </c>
      <c r="J271" s="10">
        <v>1</v>
      </c>
      <c r="K271" t="b">
        <v>1</v>
      </c>
    </row>
    <row r="272" spans="1:11">
      <c r="A272" s="12">
        <v>41674</v>
      </c>
      <c r="B272">
        <v>2014</v>
      </c>
      <c r="C272">
        <v>2</v>
      </c>
      <c r="D272" s="11">
        <v>41671</v>
      </c>
      <c r="E272" t="s">
        <v>2174</v>
      </c>
      <c r="F272">
        <v>2</v>
      </c>
      <c r="G272" t="s">
        <v>63</v>
      </c>
      <c r="H272" t="s">
        <v>46</v>
      </c>
      <c r="I272" t="s">
        <v>2194</v>
      </c>
      <c r="J272" s="10">
        <v>17</v>
      </c>
      <c r="K272" t="b">
        <v>1</v>
      </c>
    </row>
    <row r="273" spans="1:11">
      <c r="A273" s="12">
        <v>41674</v>
      </c>
      <c r="B273">
        <v>2014</v>
      </c>
      <c r="C273">
        <v>2</v>
      </c>
      <c r="D273" s="11">
        <v>41671</v>
      </c>
      <c r="E273" t="s">
        <v>2174</v>
      </c>
      <c r="F273">
        <v>2</v>
      </c>
      <c r="G273" t="s">
        <v>63</v>
      </c>
      <c r="H273" t="s">
        <v>47</v>
      </c>
      <c r="I273" t="s">
        <v>2195</v>
      </c>
      <c r="J273" s="10">
        <v>2</v>
      </c>
      <c r="K273" t="b">
        <v>1</v>
      </c>
    </row>
    <row r="274" spans="1:11">
      <c r="A274" s="12">
        <v>41675</v>
      </c>
      <c r="B274">
        <v>2014</v>
      </c>
      <c r="C274">
        <v>2</v>
      </c>
      <c r="D274" s="11">
        <v>41671</v>
      </c>
      <c r="E274" t="s">
        <v>2174</v>
      </c>
      <c r="F274">
        <v>3</v>
      </c>
      <c r="G274" t="s">
        <v>65</v>
      </c>
      <c r="H274" t="s">
        <v>40</v>
      </c>
      <c r="I274" t="s">
        <v>2188</v>
      </c>
      <c r="J274" s="10">
        <v>3</v>
      </c>
      <c r="K274" t="b">
        <v>1</v>
      </c>
    </row>
    <row r="275" spans="1:11">
      <c r="A275" s="12">
        <v>41675</v>
      </c>
      <c r="B275">
        <v>2014</v>
      </c>
      <c r="C275">
        <v>2</v>
      </c>
      <c r="D275" s="11">
        <v>41671</v>
      </c>
      <c r="E275" t="s">
        <v>2174</v>
      </c>
      <c r="F275">
        <v>3</v>
      </c>
      <c r="G275" t="s">
        <v>65</v>
      </c>
      <c r="H275" t="s">
        <v>41</v>
      </c>
      <c r="I275" t="s">
        <v>2189</v>
      </c>
      <c r="J275" s="10">
        <v>4.02</v>
      </c>
      <c r="K275" t="b">
        <v>1</v>
      </c>
    </row>
    <row r="276" spans="1:11">
      <c r="A276" s="12">
        <v>41675</v>
      </c>
      <c r="B276">
        <v>2014</v>
      </c>
      <c r="C276">
        <v>2</v>
      </c>
      <c r="D276" s="11">
        <v>41671</v>
      </c>
      <c r="E276" t="s">
        <v>2174</v>
      </c>
      <c r="F276">
        <v>3</v>
      </c>
      <c r="G276" t="s">
        <v>65</v>
      </c>
      <c r="H276" t="s">
        <v>42</v>
      </c>
      <c r="I276" t="s">
        <v>2190</v>
      </c>
      <c r="J276" s="10">
        <v>6.2</v>
      </c>
      <c r="K276" t="b">
        <v>1</v>
      </c>
    </row>
    <row r="277" spans="1:11">
      <c r="A277" s="12">
        <v>41675</v>
      </c>
      <c r="B277">
        <v>2014</v>
      </c>
      <c r="C277">
        <v>2</v>
      </c>
      <c r="D277" s="11">
        <v>41671</v>
      </c>
      <c r="E277" t="s">
        <v>2174</v>
      </c>
      <c r="F277">
        <v>3</v>
      </c>
      <c r="G277" t="s">
        <v>65</v>
      </c>
      <c r="H277" t="s">
        <v>43</v>
      </c>
      <c r="I277" t="s">
        <v>2191</v>
      </c>
      <c r="J277" s="10">
        <v>32.4</v>
      </c>
      <c r="K277" t="b">
        <v>1</v>
      </c>
    </row>
    <row r="278" spans="1:11">
      <c r="A278" s="12">
        <v>41675</v>
      </c>
      <c r="B278">
        <v>2014</v>
      </c>
      <c r="C278">
        <v>2</v>
      </c>
      <c r="D278" s="11">
        <v>41671</v>
      </c>
      <c r="E278" t="s">
        <v>2174</v>
      </c>
      <c r="F278">
        <v>3</v>
      </c>
      <c r="G278" t="s">
        <v>65</v>
      </c>
      <c r="H278" t="s">
        <v>44</v>
      </c>
      <c r="I278" t="s">
        <v>2192</v>
      </c>
      <c r="J278" s="10">
        <v>15</v>
      </c>
      <c r="K278" t="b">
        <v>1</v>
      </c>
    </row>
    <row r="279" spans="1:11">
      <c r="A279" s="12">
        <v>41675</v>
      </c>
      <c r="B279">
        <v>2014</v>
      </c>
      <c r="C279">
        <v>2</v>
      </c>
      <c r="D279" s="11">
        <v>41671</v>
      </c>
      <c r="E279" t="s">
        <v>2174</v>
      </c>
      <c r="F279">
        <v>3</v>
      </c>
      <c r="G279" t="s">
        <v>65</v>
      </c>
      <c r="H279" t="s">
        <v>45</v>
      </c>
      <c r="I279" t="s">
        <v>2193</v>
      </c>
      <c r="J279" s="10">
        <v>1</v>
      </c>
      <c r="K279" t="b">
        <v>1</v>
      </c>
    </row>
    <row r="280" spans="1:11">
      <c r="A280" s="12">
        <v>41675</v>
      </c>
      <c r="B280">
        <v>2014</v>
      </c>
      <c r="C280">
        <v>2</v>
      </c>
      <c r="D280" s="11">
        <v>41671</v>
      </c>
      <c r="E280" t="s">
        <v>2174</v>
      </c>
      <c r="F280">
        <v>3</v>
      </c>
      <c r="G280" t="s">
        <v>65</v>
      </c>
      <c r="H280" t="s">
        <v>46</v>
      </c>
      <c r="I280" t="s">
        <v>2194</v>
      </c>
      <c r="J280" s="10">
        <v>1</v>
      </c>
      <c r="K280" t="b">
        <v>1</v>
      </c>
    </row>
    <row r="281" spans="1:11">
      <c r="A281" s="12">
        <v>41675</v>
      </c>
      <c r="B281">
        <v>2014</v>
      </c>
      <c r="C281">
        <v>2</v>
      </c>
      <c r="D281" s="11">
        <v>41671</v>
      </c>
      <c r="E281" t="s">
        <v>2174</v>
      </c>
      <c r="F281">
        <v>3</v>
      </c>
      <c r="G281" t="s">
        <v>65</v>
      </c>
      <c r="H281" t="s">
        <v>47</v>
      </c>
      <c r="I281" t="s">
        <v>2195</v>
      </c>
      <c r="J281" s="10">
        <v>1</v>
      </c>
      <c r="K281" t="b">
        <v>1</v>
      </c>
    </row>
    <row r="282" spans="1:11">
      <c r="A282" s="12">
        <v>41676</v>
      </c>
      <c r="B282">
        <v>2014</v>
      </c>
      <c r="C282">
        <v>2</v>
      </c>
      <c r="D282" s="11">
        <v>41671</v>
      </c>
      <c r="E282" t="s">
        <v>2174</v>
      </c>
      <c r="F282">
        <v>4</v>
      </c>
      <c r="G282" t="s">
        <v>53</v>
      </c>
      <c r="H282" t="s">
        <v>40</v>
      </c>
      <c r="I282" t="s">
        <v>2188</v>
      </c>
      <c r="J282" s="10">
        <v>3.33</v>
      </c>
      <c r="K282" t="b">
        <v>1</v>
      </c>
    </row>
    <row r="283" spans="1:11">
      <c r="A283" s="12">
        <v>41676</v>
      </c>
      <c r="B283">
        <v>2014</v>
      </c>
      <c r="C283">
        <v>2</v>
      </c>
      <c r="D283" s="11">
        <v>41671</v>
      </c>
      <c r="E283" t="s">
        <v>2174</v>
      </c>
      <c r="F283">
        <v>4</v>
      </c>
      <c r="G283" t="s">
        <v>53</v>
      </c>
      <c r="H283" t="s">
        <v>41</v>
      </c>
      <c r="I283" t="s">
        <v>2189</v>
      </c>
      <c r="J283" s="10">
        <v>6.68</v>
      </c>
      <c r="K283" t="b">
        <v>1</v>
      </c>
    </row>
    <row r="284" spans="1:11">
      <c r="A284" s="12">
        <v>41676</v>
      </c>
      <c r="B284">
        <v>2014</v>
      </c>
      <c r="C284">
        <v>2</v>
      </c>
      <c r="D284" s="11">
        <v>41671</v>
      </c>
      <c r="E284" t="s">
        <v>2174</v>
      </c>
      <c r="F284">
        <v>4</v>
      </c>
      <c r="G284" t="s">
        <v>53</v>
      </c>
      <c r="H284" t="s">
        <v>42</v>
      </c>
      <c r="I284" t="s">
        <v>2190</v>
      </c>
      <c r="J284" s="10">
        <v>3.5</v>
      </c>
      <c r="K284" t="b">
        <v>1</v>
      </c>
    </row>
    <row r="285" spans="1:11">
      <c r="A285" s="12">
        <v>41676</v>
      </c>
      <c r="B285">
        <v>2014</v>
      </c>
      <c r="C285">
        <v>2</v>
      </c>
      <c r="D285" s="11">
        <v>41671</v>
      </c>
      <c r="E285" t="s">
        <v>2174</v>
      </c>
      <c r="F285">
        <v>4</v>
      </c>
      <c r="G285" t="s">
        <v>53</v>
      </c>
      <c r="H285" t="s">
        <v>43</v>
      </c>
      <c r="I285" t="s">
        <v>2191</v>
      </c>
      <c r="J285" s="10">
        <v>41.4</v>
      </c>
      <c r="K285" t="b">
        <v>1</v>
      </c>
    </row>
    <row r="286" spans="1:11">
      <c r="A286" s="12">
        <v>41676</v>
      </c>
      <c r="B286">
        <v>2014</v>
      </c>
      <c r="C286">
        <v>2</v>
      </c>
      <c r="D286" s="11">
        <v>41671</v>
      </c>
      <c r="E286" t="s">
        <v>2174</v>
      </c>
      <c r="F286">
        <v>4</v>
      </c>
      <c r="G286" t="s">
        <v>53</v>
      </c>
      <c r="H286" t="s">
        <v>44</v>
      </c>
      <c r="I286" t="s">
        <v>2192</v>
      </c>
      <c r="J286" s="10">
        <v>17</v>
      </c>
      <c r="K286" t="b">
        <v>1</v>
      </c>
    </row>
    <row r="287" spans="1:11">
      <c r="A287" s="12">
        <v>41676</v>
      </c>
      <c r="B287">
        <v>2014</v>
      </c>
      <c r="C287">
        <v>2</v>
      </c>
      <c r="D287" s="11">
        <v>41671</v>
      </c>
      <c r="E287" t="s">
        <v>2174</v>
      </c>
      <c r="F287">
        <v>4</v>
      </c>
      <c r="G287" t="s">
        <v>53</v>
      </c>
      <c r="H287" t="s">
        <v>45</v>
      </c>
      <c r="I287" t="s">
        <v>2193</v>
      </c>
      <c r="J287" s="10">
        <v>2</v>
      </c>
      <c r="K287" t="b">
        <v>1</v>
      </c>
    </row>
    <row r="288" spans="1:11">
      <c r="A288" s="12">
        <v>41676</v>
      </c>
      <c r="B288">
        <v>2014</v>
      </c>
      <c r="C288">
        <v>2</v>
      </c>
      <c r="D288" s="11">
        <v>41671</v>
      </c>
      <c r="E288" t="s">
        <v>2174</v>
      </c>
      <c r="F288">
        <v>4</v>
      </c>
      <c r="G288" t="s">
        <v>53</v>
      </c>
      <c r="H288" t="s">
        <v>46</v>
      </c>
      <c r="I288" t="s">
        <v>2194</v>
      </c>
      <c r="J288" s="10">
        <v>5</v>
      </c>
      <c r="K288" t="b">
        <v>1</v>
      </c>
    </row>
    <row r="289" spans="1:11">
      <c r="A289" s="12">
        <v>41676</v>
      </c>
      <c r="B289">
        <v>2014</v>
      </c>
      <c r="C289">
        <v>2</v>
      </c>
      <c r="D289" s="11">
        <v>41671</v>
      </c>
      <c r="E289" t="s">
        <v>2174</v>
      </c>
      <c r="F289">
        <v>4</v>
      </c>
      <c r="G289" t="s">
        <v>53</v>
      </c>
      <c r="H289" t="s">
        <v>47</v>
      </c>
      <c r="I289" t="s">
        <v>2195</v>
      </c>
      <c r="J289" s="10">
        <v>2</v>
      </c>
      <c r="K289" t="b">
        <v>1</v>
      </c>
    </row>
    <row r="290" spans="1:11">
      <c r="A290" s="12">
        <v>41677</v>
      </c>
      <c r="B290">
        <v>2014</v>
      </c>
      <c r="C290">
        <v>2</v>
      </c>
      <c r="D290" s="11">
        <v>41671</v>
      </c>
      <c r="E290" t="s">
        <v>2174</v>
      </c>
      <c r="F290">
        <v>5</v>
      </c>
      <c r="G290" t="s">
        <v>55</v>
      </c>
      <c r="H290" t="s">
        <v>40</v>
      </c>
      <c r="I290" t="s">
        <v>2188</v>
      </c>
      <c r="J290" s="10">
        <v>2.66</v>
      </c>
      <c r="K290" t="b">
        <v>1</v>
      </c>
    </row>
    <row r="291" spans="1:11">
      <c r="A291" s="12">
        <v>41677</v>
      </c>
      <c r="B291">
        <v>2014</v>
      </c>
      <c r="C291">
        <v>2</v>
      </c>
      <c r="D291" s="11">
        <v>41671</v>
      </c>
      <c r="E291" t="s">
        <v>2174</v>
      </c>
      <c r="F291">
        <v>5</v>
      </c>
      <c r="G291" t="s">
        <v>55</v>
      </c>
      <c r="H291" t="s">
        <v>41</v>
      </c>
      <c r="I291" t="s">
        <v>2189</v>
      </c>
      <c r="J291" s="10">
        <v>8.67</v>
      </c>
      <c r="K291" t="b">
        <v>1</v>
      </c>
    </row>
    <row r="292" spans="1:11">
      <c r="A292" s="12">
        <v>41677</v>
      </c>
      <c r="B292">
        <v>2014</v>
      </c>
      <c r="C292">
        <v>2</v>
      </c>
      <c r="D292" s="11">
        <v>41671</v>
      </c>
      <c r="E292" t="s">
        <v>2174</v>
      </c>
      <c r="F292">
        <v>5</v>
      </c>
      <c r="G292" t="s">
        <v>55</v>
      </c>
      <c r="H292" t="s">
        <v>42</v>
      </c>
      <c r="I292" t="s">
        <v>2190</v>
      </c>
      <c r="J292" s="10">
        <v>11.7</v>
      </c>
      <c r="K292" t="b">
        <v>1</v>
      </c>
    </row>
    <row r="293" spans="1:11">
      <c r="A293" s="12">
        <v>41677</v>
      </c>
      <c r="B293">
        <v>2014</v>
      </c>
      <c r="C293">
        <v>2</v>
      </c>
      <c r="D293" s="11">
        <v>41671</v>
      </c>
      <c r="E293" t="s">
        <v>2174</v>
      </c>
      <c r="F293">
        <v>5</v>
      </c>
      <c r="G293" t="s">
        <v>55</v>
      </c>
      <c r="H293" t="s">
        <v>43</v>
      </c>
      <c r="I293" t="s">
        <v>2191</v>
      </c>
      <c r="J293" s="10">
        <v>21.4</v>
      </c>
      <c r="K293" t="b">
        <v>1</v>
      </c>
    </row>
    <row r="294" spans="1:11">
      <c r="A294" s="12">
        <v>41677</v>
      </c>
      <c r="B294">
        <v>2014</v>
      </c>
      <c r="C294">
        <v>2</v>
      </c>
      <c r="D294" s="11">
        <v>41671</v>
      </c>
      <c r="E294" t="s">
        <v>2174</v>
      </c>
      <c r="F294">
        <v>5</v>
      </c>
      <c r="G294" t="s">
        <v>55</v>
      </c>
      <c r="H294" t="s">
        <v>44</v>
      </c>
      <c r="I294" t="s">
        <v>2192</v>
      </c>
      <c r="J294" s="10">
        <v>19</v>
      </c>
      <c r="K294" t="b">
        <v>1</v>
      </c>
    </row>
    <row r="295" spans="1:11">
      <c r="A295" s="12">
        <v>41677</v>
      </c>
      <c r="B295">
        <v>2014</v>
      </c>
      <c r="C295">
        <v>2</v>
      </c>
      <c r="D295" s="11">
        <v>41671</v>
      </c>
      <c r="E295" t="s">
        <v>2174</v>
      </c>
      <c r="F295">
        <v>5</v>
      </c>
      <c r="G295" t="s">
        <v>55</v>
      </c>
      <c r="H295" t="s">
        <v>45</v>
      </c>
      <c r="I295" t="s">
        <v>2193</v>
      </c>
      <c r="J295" s="10">
        <v>1</v>
      </c>
      <c r="K295" t="b">
        <v>1</v>
      </c>
    </row>
    <row r="296" spans="1:11">
      <c r="A296" s="12">
        <v>41677</v>
      </c>
      <c r="B296">
        <v>2014</v>
      </c>
      <c r="C296">
        <v>2</v>
      </c>
      <c r="D296" s="11">
        <v>41671</v>
      </c>
      <c r="E296" t="s">
        <v>2174</v>
      </c>
      <c r="F296">
        <v>5</v>
      </c>
      <c r="G296" t="s">
        <v>55</v>
      </c>
      <c r="H296" t="s">
        <v>46</v>
      </c>
      <c r="I296" t="s">
        <v>2194</v>
      </c>
      <c r="J296" s="10">
        <v>0</v>
      </c>
      <c r="K296" t="b">
        <v>1</v>
      </c>
    </row>
    <row r="297" spans="1:11">
      <c r="A297" s="12">
        <v>41677</v>
      </c>
      <c r="B297">
        <v>2014</v>
      </c>
      <c r="C297">
        <v>2</v>
      </c>
      <c r="D297" s="11">
        <v>41671</v>
      </c>
      <c r="E297" t="s">
        <v>2174</v>
      </c>
      <c r="F297">
        <v>5</v>
      </c>
      <c r="G297" t="s">
        <v>55</v>
      </c>
      <c r="H297" t="s">
        <v>47</v>
      </c>
      <c r="I297" t="s">
        <v>2195</v>
      </c>
      <c r="J297" s="10">
        <v>0</v>
      </c>
      <c r="K297" t="b">
        <v>1</v>
      </c>
    </row>
    <row r="298" spans="1:11">
      <c r="A298" s="12">
        <v>41678</v>
      </c>
      <c r="B298">
        <v>2014</v>
      </c>
      <c r="C298">
        <v>2</v>
      </c>
      <c r="D298" s="11">
        <v>41671</v>
      </c>
      <c r="E298" t="s">
        <v>2174</v>
      </c>
      <c r="F298">
        <v>6</v>
      </c>
      <c r="G298" t="s">
        <v>57</v>
      </c>
      <c r="H298" t="s">
        <v>40</v>
      </c>
      <c r="I298" t="s">
        <v>2188</v>
      </c>
      <c r="J298" s="10">
        <v>3.33</v>
      </c>
      <c r="K298" t="b">
        <v>1</v>
      </c>
    </row>
    <row r="299" spans="1:11">
      <c r="A299" s="12">
        <v>41678</v>
      </c>
      <c r="B299">
        <v>2014</v>
      </c>
      <c r="C299">
        <v>2</v>
      </c>
      <c r="D299" s="11">
        <v>41671</v>
      </c>
      <c r="E299" t="s">
        <v>2174</v>
      </c>
      <c r="F299">
        <v>6</v>
      </c>
      <c r="G299" t="s">
        <v>57</v>
      </c>
      <c r="H299" t="s">
        <v>41</v>
      </c>
      <c r="I299" t="s">
        <v>2189</v>
      </c>
      <c r="J299" s="10">
        <v>3.35</v>
      </c>
      <c r="K299" t="b">
        <v>1</v>
      </c>
    </row>
    <row r="300" spans="1:11">
      <c r="A300" s="12">
        <v>41678</v>
      </c>
      <c r="B300">
        <v>2014</v>
      </c>
      <c r="C300">
        <v>2</v>
      </c>
      <c r="D300" s="11">
        <v>41671</v>
      </c>
      <c r="E300" t="s">
        <v>2174</v>
      </c>
      <c r="F300">
        <v>6</v>
      </c>
      <c r="G300" t="s">
        <v>57</v>
      </c>
      <c r="H300" t="s">
        <v>42</v>
      </c>
      <c r="I300" t="s">
        <v>2190</v>
      </c>
      <c r="J300" s="10">
        <v>14.4</v>
      </c>
      <c r="K300" t="b">
        <v>1</v>
      </c>
    </row>
    <row r="301" spans="1:11">
      <c r="A301" s="12">
        <v>41678</v>
      </c>
      <c r="B301">
        <v>2014</v>
      </c>
      <c r="C301">
        <v>2</v>
      </c>
      <c r="D301" s="11">
        <v>41671</v>
      </c>
      <c r="E301" t="s">
        <v>2174</v>
      </c>
      <c r="F301">
        <v>6</v>
      </c>
      <c r="G301" t="s">
        <v>57</v>
      </c>
      <c r="H301" t="s">
        <v>43</v>
      </c>
      <c r="I301" t="s">
        <v>2191</v>
      </c>
      <c r="J301" s="10">
        <v>37.1</v>
      </c>
      <c r="K301" t="b">
        <v>1</v>
      </c>
    </row>
    <row r="302" spans="1:11">
      <c r="A302" s="12">
        <v>41678</v>
      </c>
      <c r="B302">
        <v>2014</v>
      </c>
      <c r="C302">
        <v>2</v>
      </c>
      <c r="D302" s="11">
        <v>41671</v>
      </c>
      <c r="E302" t="s">
        <v>2174</v>
      </c>
      <c r="F302">
        <v>6</v>
      </c>
      <c r="G302" t="s">
        <v>57</v>
      </c>
      <c r="H302" t="s">
        <v>44</v>
      </c>
      <c r="I302" t="s">
        <v>2192</v>
      </c>
      <c r="J302" s="10">
        <v>13</v>
      </c>
      <c r="K302" t="b">
        <v>1</v>
      </c>
    </row>
    <row r="303" spans="1:11">
      <c r="A303" s="12">
        <v>41678</v>
      </c>
      <c r="B303">
        <v>2014</v>
      </c>
      <c r="C303">
        <v>2</v>
      </c>
      <c r="D303" s="11">
        <v>41671</v>
      </c>
      <c r="E303" t="s">
        <v>2174</v>
      </c>
      <c r="F303">
        <v>6</v>
      </c>
      <c r="G303" t="s">
        <v>57</v>
      </c>
      <c r="H303" t="s">
        <v>45</v>
      </c>
      <c r="I303" t="s">
        <v>2193</v>
      </c>
      <c r="J303" s="10">
        <v>1</v>
      </c>
      <c r="K303" t="b">
        <v>1</v>
      </c>
    </row>
    <row r="304" spans="1:11">
      <c r="A304" s="12">
        <v>41678</v>
      </c>
      <c r="B304">
        <v>2014</v>
      </c>
      <c r="C304">
        <v>2</v>
      </c>
      <c r="D304" s="11">
        <v>41671</v>
      </c>
      <c r="E304" t="s">
        <v>2174</v>
      </c>
      <c r="F304">
        <v>6</v>
      </c>
      <c r="G304" t="s">
        <v>57</v>
      </c>
      <c r="H304" t="s">
        <v>46</v>
      </c>
      <c r="I304" t="s">
        <v>2194</v>
      </c>
      <c r="J304" s="10">
        <v>1</v>
      </c>
      <c r="K304" t="b">
        <v>1</v>
      </c>
    </row>
    <row r="305" spans="1:11">
      <c r="A305" s="12">
        <v>41678</v>
      </c>
      <c r="B305">
        <v>2014</v>
      </c>
      <c r="C305">
        <v>2</v>
      </c>
      <c r="D305" s="11">
        <v>41671</v>
      </c>
      <c r="E305" t="s">
        <v>2174</v>
      </c>
      <c r="F305">
        <v>6</v>
      </c>
      <c r="G305" t="s">
        <v>57</v>
      </c>
      <c r="H305" t="s">
        <v>47</v>
      </c>
      <c r="I305" t="s">
        <v>2195</v>
      </c>
      <c r="J305" s="10">
        <v>1</v>
      </c>
      <c r="K305" t="b">
        <v>1</v>
      </c>
    </row>
    <row r="306" spans="1:11">
      <c r="A306" s="12">
        <v>41679</v>
      </c>
      <c r="B306">
        <v>2014</v>
      </c>
      <c r="C306">
        <v>2</v>
      </c>
      <c r="D306" s="11">
        <v>41671</v>
      </c>
      <c r="E306" t="s">
        <v>2174</v>
      </c>
      <c r="F306">
        <v>7</v>
      </c>
      <c r="G306" t="s">
        <v>59</v>
      </c>
      <c r="H306" t="s">
        <v>40</v>
      </c>
      <c r="I306" t="s">
        <v>2188</v>
      </c>
      <c r="J306" s="10">
        <v>4</v>
      </c>
      <c r="K306" t="b">
        <v>1</v>
      </c>
    </row>
    <row r="307" spans="1:11">
      <c r="A307" s="12">
        <v>41679</v>
      </c>
      <c r="B307">
        <v>2014</v>
      </c>
      <c r="C307">
        <v>2</v>
      </c>
      <c r="D307" s="11">
        <v>41671</v>
      </c>
      <c r="E307" t="s">
        <v>2174</v>
      </c>
      <c r="F307">
        <v>7</v>
      </c>
      <c r="G307" t="s">
        <v>59</v>
      </c>
      <c r="H307" t="s">
        <v>41</v>
      </c>
      <c r="I307" t="s">
        <v>2189</v>
      </c>
      <c r="J307" s="10">
        <v>3</v>
      </c>
      <c r="K307" t="b">
        <v>1</v>
      </c>
    </row>
    <row r="308" spans="1:11">
      <c r="A308" s="12">
        <v>41679</v>
      </c>
      <c r="B308">
        <v>2014</v>
      </c>
      <c r="C308">
        <v>2</v>
      </c>
      <c r="D308" s="11">
        <v>41671</v>
      </c>
      <c r="E308" t="s">
        <v>2174</v>
      </c>
      <c r="F308">
        <v>7</v>
      </c>
      <c r="G308" t="s">
        <v>59</v>
      </c>
      <c r="H308" t="s">
        <v>42</v>
      </c>
      <c r="I308" t="s">
        <v>2190</v>
      </c>
      <c r="J308" s="10">
        <v>2</v>
      </c>
      <c r="K308" t="b">
        <v>1</v>
      </c>
    </row>
    <row r="309" spans="1:11">
      <c r="A309" s="12">
        <v>41679</v>
      </c>
      <c r="B309">
        <v>2014</v>
      </c>
      <c r="C309">
        <v>2</v>
      </c>
      <c r="D309" s="11">
        <v>41671</v>
      </c>
      <c r="E309" t="s">
        <v>2174</v>
      </c>
      <c r="F309">
        <v>7</v>
      </c>
      <c r="G309" t="s">
        <v>59</v>
      </c>
      <c r="H309" t="s">
        <v>43</v>
      </c>
      <c r="I309" t="s">
        <v>2191</v>
      </c>
      <c r="J309" s="10">
        <v>31.5</v>
      </c>
      <c r="K309" t="b">
        <v>1</v>
      </c>
    </row>
    <row r="310" spans="1:11">
      <c r="A310" s="12">
        <v>41679</v>
      </c>
      <c r="B310">
        <v>2014</v>
      </c>
      <c r="C310">
        <v>2</v>
      </c>
      <c r="D310" s="11">
        <v>41671</v>
      </c>
      <c r="E310" t="s">
        <v>2174</v>
      </c>
      <c r="F310">
        <v>7</v>
      </c>
      <c r="G310" t="s">
        <v>59</v>
      </c>
      <c r="H310" t="s">
        <v>44</v>
      </c>
      <c r="I310" t="s">
        <v>2192</v>
      </c>
      <c r="J310" s="10">
        <v>10</v>
      </c>
      <c r="K310" t="b">
        <v>1</v>
      </c>
    </row>
    <row r="311" spans="1:11">
      <c r="A311" s="12">
        <v>41679</v>
      </c>
      <c r="B311">
        <v>2014</v>
      </c>
      <c r="C311">
        <v>2</v>
      </c>
      <c r="D311" s="11">
        <v>41671</v>
      </c>
      <c r="E311" t="s">
        <v>2174</v>
      </c>
      <c r="F311">
        <v>7</v>
      </c>
      <c r="G311" t="s">
        <v>59</v>
      </c>
      <c r="H311" t="s">
        <v>45</v>
      </c>
      <c r="I311" t="s">
        <v>2193</v>
      </c>
      <c r="J311" s="10">
        <v>0</v>
      </c>
      <c r="K311" t="b">
        <v>1</v>
      </c>
    </row>
    <row r="312" spans="1:11">
      <c r="A312" s="12">
        <v>41679</v>
      </c>
      <c r="B312">
        <v>2014</v>
      </c>
      <c r="C312">
        <v>2</v>
      </c>
      <c r="D312" s="11">
        <v>41671</v>
      </c>
      <c r="E312" t="s">
        <v>2174</v>
      </c>
      <c r="F312">
        <v>7</v>
      </c>
      <c r="G312" t="s">
        <v>59</v>
      </c>
      <c r="H312" t="s">
        <v>46</v>
      </c>
      <c r="I312" t="s">
        <v>2194</v>
      </c>
      <c r="J312" s="10">
        <v>6</v>
      </c>
      <c r="K312" t="b">
        <v>1</v>
      </c>
    </row>
    <row r="313" spans="1:11">
      <c r="A313" s="12">
        <v>41679</v>
      </c>
      <c r="B313">
        <v>2014</v>
      </c>
      <c r="C313">
        <v>2</v>
      </c>
      <c r="D313" s="11">
        <v>41671</v>
      </c>
      <c r="E313" t="s">
        <v>2174</v>
      </c>
      <c r="F313">
        <v>7</v>
      </c>
      <c r="G313" t="s">
        <v>59</v>
      </c>
      <c r="H313" t="s">
        <v>47</v>
      </c>
      <c r="I313" t="s">
        <v>2195</v>
      </c>
      <c r="J313" s="10">
        <v>0</v>
      </c>
      <c r="K313" t="b">
        <v>1</v>
      </c>
    </row>
    <row r="314" spans="1:11">
      <c r="A314" s="12">
        <v>41680</v>
      </c>
      <c r="B314">
        <v>2014</v>
      </c>
      <c r="C314">
        <v>2</v>
      </c>
      <c r="D314" s="11">
        <v>41671</v>
      </c>
      <c r="E314" t="s">
        <v>2174</v>
      </c>
      <c r="F314">
        <v>1</v>
      </c>
      <c r="G314" t="s">
        <v>61</v>
      </c>
      <c r="H314" t="s">
        <v>40</v>
      </c>
      <c r="I314" t="s">
        <v>2188</v>
      </c>
      <c r="J314" s="10">
        <v>5</v>
      </c>
      <c r="K314" t="b">
        <v>1</v>
      </c>
    </row>
    <row r="315" spans="1:11">
      <c r="A315" s="12">
        <v>41680</v>
      </c>
      <c r="B315">
        <v>2014</v>
      </c>
      <c r="C315">
        <v>2</v>
      </c>
      <c r="D315" s="11">
        <v>41671</v>
      </c>
      <c r="E315" t="s">
        <v>2174</v>
      </c>
      <c r="F315">
        <v>1</v>
      </c>
      <c r="G315" t="s">
        <v>61</v>
      </c>
      <c r="H315" t="s">
        <v>41</v>
      </c>
      <c r="I315" t="s">
        <v>2189</v>
      </c>
      <c r="J315" s="10">
        <v>10.33</v>
      </c>
      <c r="K315" t="b">
        <v>1</v>
      </c>
    </row>
    <row r="316" spans="1:11">
      <c r="A316" s="12">
        <v>41680</v>
      </c>
      <c r="B316">
        <v>2014</v>
      </c>
      <c r="C316">
        <v>2</v>
      </c>
      <c r="D316" s="11">
        <v>41671</v>
      </c>
      <c r="E316" t="s">
        <v>2174</v>
      </c>
      <c r="F316">
        <v>1</v>
      </c>
      <c r="G316" t="s">
        <v>61</v>
      </c>
      <c r="H316" t="s">
        <v>42</v>
      </c>
      <c r="I316" t="s">
        <v>2190</v>
      </c>
      <c r="J316" s="10">
        <v>8.5</v>
      </c>
      <c r="K316" t="b">
        <v>1</v>
      </c>
    </row>
    <row r="317" spans="1:11">
      <c r="A317" s="12">
        <v>41680</v>
      </c>
      <c r="B317">
        <v>2014</v>
      </c>
      <c r="C317">
        <v>2</v>
      </c>
      <c r="D317" s="11">
        <v>41671</v>
      </c>
      <c r="E317" t="s">
        <v>2174</v>
      </c>
      <c r="F317">
        <v>1</v>
      </c>
      <c r="G317" t="s">
        <v>61</v>
      </c>
      <c r="H317" t="s">
        <v>43</v>
      </c>
      <c r="I317" t="s">
        <v>2191</v>
      </c>
      <c r="J317" s="10">
        <v>40.1</v>
      </c>
      <c r="K317" t="b">
        <v>1</v>
      </c>
    </row>
    <row r="318" spans="1:11">
      <c r="A318" s="12">
        <v>41680</v>
      </c>
      <c r="B318">
        <v>2014</v>
      </c>
      <c r="C318">
        <v>2</v>
      </c>
      <c r="D318" s="11">
        <v>41671</v>
      </c>
      <c r="E318" t="s">
        <v>2174</v>
      </c>
      <c r="F318">
        <v>1</v>
      </c>
      <c r="G318" t="s">
        <v>61</v>
      </c>
      <c r="H318" t="s">
        <v>44</v>
      </c>
      <c r="I318" t="s">
        <v>2192</v>
      </c>
      <c r="J318" s="10">
        <v>20</v>
      </c>
      <c r="K318" t="b">
        <v>1</v>
      </c>
    </row>
    <row r="319" spans="1:11">
      <c r="A319" s="12">
        <v>41680</v>
      </c>
      <c r="B319">
        <v>2014</v>
      </c>
      <c r="C319">
        <v>2</v>
      </c>
      <c r="D319" s="11">
        <v>41671</v>
      </c>
      <c r="E319" t="s">
        <v>2174</v>
      </c>
      <c r="F319">
        <v>1</v>
      </c>
      <c r="G319" t="s">
        <v>61</v>
      </c>
      <c r="H319" t="s">
        <v>45</v>
      </c>
      <c r="I319" t="s">
        <v>2193</v>
      </c>
      <c r="J319" s="10">
        <v>3</v>
      </c>
      <c r="K319" t="b">
        <v>1</v>
      </c>
    </row>
    <row r="320" spans="1:11">
      <c r="A320" s="12">
        <v>41680</v>
      </c>
      <c r="B320">
        <v>2014</v>
      </c>
      <c r="C320">
        <v>2</v>
      </c>
      <c r="D320" s="11">
        <v>41671</v>
      </c>
      <c r="E320" t="s">
        <v>2174</v>
      </c>
      <c r="F320">
        <v>1</v>
      </c>
      <c r="G320" t="s">
        <v>61</v>
      </c>
      <c r="H320" t="s">
        <v>46</v>
      </c>
      <c r="I320" t="s">
        <v>2194</v>
      </c>
      <c r="J320" s="10">
        <v>3</v>
      </c>
      <c r="K320" t="b">
        <v>1</v>
      </c>
    </row>
    <row r="321" spans="1:11">
      <c r="A321" s="12">
        <v>41680</v>
      </c>
      <c r="B321">
        <v>2014</v>
      </c>
      <c r="C321">
        <v>2</v>
      </c>
      <c r="D321" s="11">
        <v>41671</v>
      </c>
      <c r="E321" t="s">
        <v>2174</v>
      </c>
      <c r="F321">
        <v>1</v>
      </c>
      <c r="G321" t="s">
        <v>61</v>
      </c>
      <c r="H321" t="s">
        <v>47</v>
      </c>
      <c r="I321" t="s">
        <v>2195</v>
      </c>
      <c r="J321" s="10">
        <v>1</v>
      </c>
      <c r="K321" t="b">
        <v>1</v>
      </c>
    </row>
    <row r="322" spans="1:11">
      <c r="A322" s="12">
        <v>41681</v>
      </c>
      <c r="B322">
        <v>2014</v>
      </c>
      <c r="C322">
        <v>2</v>
      </c>
      <c r="D322" s="11">
        <v>41671</v>
      </c>
      <c r="E322" t="s">
        <v>2174</v>
      </c>
      <c r="F322">
        <v>2</v>
      </c>
      <c r="G322" t="s">
        <v>63</v>
      </c>
      <c r="H322" t="s">
        <v>40</v>
      </c>
      <c r="I322" t="s">
        <v>2188</v>
      </c>
      <c r="J322" s="10">
        <v>10</v>
      </c>
      <c r="K322" t="b">
        <v>1</v>
      </c>
    </row>
    <row r="323" spans="1:11">
      <c r="A323" s="12">
        <v>41681</v>
      </c>
      <c r="B323">
        <v>2014</v>
      </c>
      <c r="C323">
        <v>2</v>
      </c>
      <c r="D323" s="11">
        <v>41671</v>
      </c>
      <c r="E323" t="s">
        <v>2174</v>
      </c>
      <c r="F323">
        <v>2</v>
      </c>
      <c r="G323" t="s">
        <v>63</v>
      </c>
      <c r="H323" t="s">
        <v>41</v>
      </c>
      <c r="I323" t="s">
        <v>2189</v>
      </c>
      <c r="J323" s="10">
        <v>6.99</v>
      </c>
      <c r="K323" t="b">
        <v>1</v>
      </c>
    </row>
    <row r="324" spans="1:11">
      <c r="A324" s="12">
        <v>41681</v>
      </c>
      <c r="B324">
        <v>2014</v>
      </c>
      <c r="C324">
        <v>2</v>
      </c>
      <c r="D324" s="11">
        <v>41671</v>
      </c>
      <c r="E324" t="s">
        <v>2174</v>
      </c>
      <c r="F324">
        <v>2</v>
      </c>
      <c r="G324" t="s">
        <v>63</v>
      </c>
      <c r="H324" t="s">
        <v>42</v>
      </c>
      <c r="I324" t="s">
        <v>2190</v>
      </c>
      <c r="J324" s="10">
        <v>13.3</v>
      </c>
      <c r="K324" t="b">
        <v>1</v>
      </c>
    </row>
    <row r="325" spans="1:11">
      <c r="A325" s="12">
        <v>41681</v>
      </c>
      <c r="B325">
        <v>2014</v>
      </c>
      <c r="C325">
        <v>2</v>
      </c>
      <c r="D325" s="11">
        <v>41671</v>
      </c>
      <c r="E325" t="s">
        <v>2174</v>
      </c>
      <c r="F325">
        <v>2</v>
      </c>
      <c r="G325" t="s">
        <v>63</v>
      </c>
      <c r="H325" t="s">
        <v>43</v>
      </c>
      <c r="I325" t="s">
        <v>2191</v>
      </c>
      <c r="J325" s="10">
        <v>44.6</v>
      </c>
      <c r="K325" t="b">
        <v>1</v>
      </c>
    </row>
    <row r="326" spans="1:11">
      <c r="A326" s="12">
        <v>41681</v>
      </c>
      <c r="B326">
        <v>2014</v>
      </c>
      <c r="C326">
        <v>2</v>
      </c>
      <c r="D326" s="11">
        <v>41671</v>
      </c>
      <c r="E326" t="s">
        <v>2174</v>
      </c>
      <c r="F326">
        <v>2</v>
      </c>
      <c r="G326" t="s">
        <v>63</v>
      </c>
      <c r="H326" t="s">
        <v>44</v>
      </c>
      <c r="I326" t="s">
        <v>2192</v>
      </c>
      <c r="J326" s="10">
        <v>20</v>
      </c>
      <c r="K326" t="b">
        <v>1</v>
      </c>
    </row>
    <row r="327" spans="1:11">
      <c r="A327" s="12">
        <v>41681</v>
      </c>
      <c r="B327">
        <v>2014</v>
      </c>
      <c r="C327">
        <v>2</v>
      </c>
      <c r="D327" s="11">
        <v>41671</v>
      </c>
      <c r="E327" t="s">
        <v>2174</v>
      </c>
      <c r="F327">
        <v>2</v>
      </c>
      <c r="G327" t="s">
        <v>63</v>
      </c>
      <c r="H327" t="s">
        <v>45</v>
      </c>
      <c r="I327" t="s">
        <v>2193</v>
      </c>
      <c r="J327" s="10">
        <v>2</v>
      </c>
      <c r="K327" t="b">
        <v>1</v>
      </c>
    </row>
    <row r="328" spans="1:11">
      <c r="A328" s="12">
        <v>41681</v>
      </c>
      <c r="B328">
        <v>2014</v>
      </c>
      <c r="C328">
        <v>2</v>
      </c>
      <c r="D328" s="11">
        <v>41671</v>
      </c>
      <c r="E328" t="s">
        <v>2174</v>
      </c>
      <c r="F328">
        <v>2</v>
      </c>
      <c r="G328" t="s">
        <v>63</v>
      </c>
      <c r="H328" t="s">
        <v>46</v>
      </c>
      <c r="I328" t="s">
        <v>2194</v>
      </c>
      <c r="J328" s="10">
        <v>6</v>
      </c>
      <c r="K328" t="b">
        <v>1</v>
      </c>
    </row>
    <row r="329" spans="1:11">
      <c r="A329" s="12">
        <v>41681</v>
      </c>
      <c r="B329">
        <v>2014</v>
      </c>
      <c r="C329">
        <v>2</v>
      </c>
      <c r="D329" s="11">
        <v>41671</v>
      </c>
      <c r="E329" t="s">
        <v>2174</v>
      </c>
      <c r="F329">
        <v>2</v>
      </c>
      <c r="G329" t="s">
        <v>63</v>
      </c>
      <c r="H329" t="s">
        <v>47</v>
      </c>
      <c r="I329" t="s">
        <v>2195</v>
      </c>
      <c r="J329" s="10">
        <v>2.2</v>
      </c>
      <c r="K329" t="b">
        <v>1</v>
      </c>
    </row>
    <row r="330" spans="1:11">
      <c r="A330" s="12">
        <v>41682</v>
      </c>
      <c r="B330">
        <v>2014</v>
      </c>
      <c r="C330">
        <v>2</v>
      </c>
      <c r="D330" s="11">
        <v>41671</v>
      </c>
      <c r="E330" t="s">
        <v>2174</v>
      </c>
      <c r="F330">
        <v>3</v>
      </c>
      <c r="G330" t="s">
        <v>65</v>
      </c>
      <c r="H330" t="s">
        <v>40</v>
      </c>
      <c r="I330" t="s">
        <v>2188</v>
      </c>
      <c r="J330" s="10">
        <v>9</v>
      </c>
      <c r="K330" t="b">
        <v>1</v>
      </c>
    </row>
    <row r="331" spans="1:11">
      <c r="A331" s="12">
        <v>41682</v>
      </c>
      <c r="B331">
        <v>2014</v>
      </c>
      <c r="C331">
        <v>2</v>
      </c>
      <c r="D331" s="11">
        <v>41671</v>
      </c>
      <c r="E331" t="s">
        <v>2174</v>
      </c>
      <c r="F331">
        <v>3</v>
      </c>
      <c r="G331" t="s">
        <v>65</v>
      </c>
      <c r="H331" t="s">
        <v>41</v>
      </c>
      <c r="I331" t="s">
        <v>2189</v>
      </c>
      <c r="J331" s="10">
        <v>1.67</v>
      </c>
      <c r="K331" t="b">
        <v>1</v>
      </c>
    </row>
    <row r="332" spans="1:11">
      <c r="A332" s="12">
        <v>41682</v>
      </c>
      <c r="B332">
        <v>2014</v>
      </c>
      <c r="C332">
        <v>2</v>
      </c>
      <c r="D332" s="11">
        <v>41671</v>
      </c>
      <c r="E332" t="s">
        <v>2174</v>
      </c>
      <c r="F332">
        <v>3</v>
      </c>
      <c r="G332" t="s">
        <v>65</v>
      </c>
      <c r="H332" t="s">
        <v>42</v>
      </c>
      <c r="I332" t="s">
        <v>2190</v>
      </c>
      <c r="J332" s="10">
        <v>9.1</v>
      </c>
      <c r="K332" t="b">
        <v>1</v>
      </c>
    </row>
    <row r="333" spans="1:11">
      <c r="A333" s="12">
        <v>41682</v>
      </c>
      <c r="B333">
        <v>2014</v>
      </c>
      <c r="C333">
        <v>2</v>
      </c>
      <c r="D333" s="11">
        <v>41671</v>
      </c>
      <c r="E333" t="s">
        <v>2174</v>
      </c>
      <c r="F333">
        <v>3</v>
      </c>
      <c r="G333" t="s">
        <v>65</v>
      </c>
      <c r="H333" t="s">
        <v>43</v>
      </c>
      <c r="I333" t="s">
        <v>2191</v>
      </c>
      <c r="J333" s="10">
        <v>73.59999999999999</v>
      </c>
      <c r="K333" t="b">
        <v>1</v>
      </c>
    </row>
    <row r="334" spans="1:11">
      <c r="A334" s="12">
        <v>41682</v>
      </c>
      <c r="B334">
        <v>2014</v>
      </c>
      <c r="C334">
        <v>2</v>
      </c>
      <c r="D334" s="11">
        <v>41671</v>
      </c>
      <c r="E334" t="s">
        <v>2174</v>
      </c>
      <c r="F334">
        <v>3</v>
      </c>
      <c r="G334" t="s">
        <v>65</v>
      </c>
      <c r="H334" t="s">
        <v>44</v>
      </c>
      <c r="I334" t="s">
        <v>2192</v>
      </c>
      <c r="J334" s="10">
        <v>9</v>
      </c>
      <c r="K334" t="b">
        <v>1</v>
      </c>
    </row>
    <row r="335" spans="1:11">
      <c r="A335" s="12">
        <v>41682</v>
      </c>
      <c r="B335">
        <v>2014</v>
      </c>
      <c r="C335">
        <v>2</v>
      </c>
      <c r="D335" s="11">
        <v>41671</v>
      </c>
      <c r="E335" t="s">
        <v>2174</v>
      </c>
      <c r="F335">
        <v>3</v>
      </c>
      <c r="G335" t="s">
        <v>65</v>
      </c>
      <c r="H335" t="s">
        <v>45</v>
      </c>
      <c r="I335" t="s">
        <v>2193</v>
      </c>
      <c r="J335" s="10">
        <v>0</v>
      </c>
      <c r="K335" t="b">
        <v>1</v>
      </c>
    </row>
    <row r="336" spans="1:11">
      <c r="A336" s="12">
        <v>41682</v>
      </c>
      <c r="B336">
        <v>2014</v>
      </c>
      <c r="C336">
        <v>2</v>
      </c>
      <c r="D336" s="11">
        <v>41671</v>
      </c>
      <c r="E336" t="s">
        <v>2174</v>
      </c>
      <c r="F336">
        <v>3</v>
      </c>
      <c r="G336" t="s">
        <v>65</v>
      </c>
      <c r="H336" t="s">
        <v>46</v>
      </c>
      <c r="I336" t="s">
        <v>2194</v>
      </c>
      <c r="J336" s="10">
        <v>5</v>
      </c>
      <c r="K336" t="b">
        <v>1</v>
      </c>
    </row>
    <row r="337" spans="1:11">
      <c r="A337" s="12">
        <v>41682</v>
      </c>
      <c r="B337">
        <v>2014</v>
      </c>
      <c r="C337">
        <v>2</v>
      </c>
      <c r="D337" s="11">
        <v>41671</v>
      </c>
      <c r="E337" t="s">
        <v>2174</v>
      </c>
      <c r="F337">
        <v>3</v>
      </c>
      <c r="G337" t="s">
        <v>65</v>
      </c>
      <c r="H337" t="s">
        <v>47</v>
      </c>
      <c r="I337" t="s">
        <v>2195</v>
      </c>
      <c r="J337" s="10">
        <v>0</v>
      </c>
      <c r="K337" t="b">
        <v>1</v>
      </c>
    </row>
    <row r="338" spans="1:11">
      <c r="A338" s="12">
        <v>41683</v>
      </c>
      <c r="B338">
        <v>2014</v>
      </c>
      <c r="C338">
        <v>2</v>
      </c>
      <c r="D338" s="11">
        <v>41671</v>
      </c>
      <c r="E338" t="s">
        <v>2174</v>
      </c>
      <c r="F338">
        <v>4</v>
      </c>
      <c r="G338" t="s">
        <v>53</v>
      </c>
      <c r="H338" t="s">
        <v>40</v>
      </c>
      <c r="I338" t="s">
        <v>2188</v>
      </c>
      <c r="J338" s="10">
        <v>4.33</v>
      </c>
      <c r="K338" t="b">
        <v>1</v>
      </c>
    </row>
    <row r="339" spans="1:11">
      <c r="A339" s="12">
        <v>41683</v>
      </c>
      <c r="B339">
        <v>2014</v>
      </c>
      <c r="C339">
        <v>2</v>
      </c>
      <c r="D339" s="11">
        <v>41671</v>
      </c>
      <c r="E339" t="s">
        <v>2174</v>
      </c>
      <c r="F339">
        <v>4</v>
      </c>
      <c r="G339" t="s">
        <v>53</v>
      </c>
      <c r="H339" t="s">
        <v>41</v>
      </c>
      <c r="I339" t="s">
        <v>2189</v>
      </c>
      <c r="J339" s="10">
        <v>3.67</v>
      </c>
      <c r="K339" t="b">
        <v>1</v>
      </c>
    </row>
    <row r="340" spans="1:11">
      <c r="A340" s="12">
        <v>41683</v>
      </c>
      <c r="B340">
        <v>2014</v>
      </c>
      <c r="C340">
        <v>2</v>
      </c>
      <c r="D340" s="11">
        <v>41671</v>
      </c>
      <c r="E340" t="s">
        <v>2174</v>
      </c>
      <c r="F340">
        <v>4</v>
      </c>
      <c r="G340" t="s">
        <v>53</v>
      </c>
      <c r="H340" t="s">
        <v>42</v>
      </c>
      <c r="I340" t="s">
        <v>2190</v>
      </c>
      <c r="J340" s="10">
        <v>10</v>
      </c>
      <c r="K340" t="b">
        <v>1</v>
      </c>
    </row>
    <row r="341" spans="1:11">
      <c r="A341" s="12">
        <v>41683</v>
      </c>
      <c r="B341">
        <v>2014</v>
      </c>
      <c r="C341">
        <v>2</v>
      </c>
      <c r="D341" s="11">
        <v>41671</v>
      </c>
      <c r="E341" t="s">
        <v>2174</v>
      </c>
      <c r="F341">
        <v>4</v>
      </c>
      <c r="G341" t="s">
        <v>53</v>
      </c>
      <c r="H341" t="s">
        <v>43</v>
      </c>
      <c r="I341" t="s">
        <v>2191</v>
      </c>
      <c r="J341" s="10">
        <v>49.1</v>
      </c>
      <c r="K341" t="b">
        <v>1</v>
      </c>
    </row>
    <row r="342" spans="1:11">
      <c r="A342" s="12">
        <v>41683</v>
      </c>
      <c r="B342">
        <v>2014</v>
      </c>
      <c r="C342">
        <v>2</v>
      </c>
      <c r="D342" s="11">
        <v>41671</v>
      </c>
      <c r="E342" t="s">
        <v>2174</v>
      </c>
      <c r="F342">
        <v>4</v>
      </c>
      <c r="G342" t="s">
        <v>53</v>
      </c>
      <c r="H342" t="s">
        <v>44</v>
      </c>
      <c r="I342" t="s">
        <v>2192</v>
      </c>
      <c r="J342" s="10">
        <v>13</v>
      </c>
      <c r="K342" t="b">
        <v>1</v>
      </c>
    </row>
    <row r="343" spans="1:11">
      <c r="A343" s="12">
        <v>41683</v>
      </c>
      <c r="B343">
        <v>2014</v>
      </c>
      <c r="C343">
        <v>2</v>
      </c>
      <c r="D343" s="11">
        <v>41671</v>
      </c>
      <c r="E343" t="s">
        <v>2174</v>
      </c>
      <c r="F343">
        <v>4</v>
      </c>
      <c r="G343" t="s">
        <v>53</v>
      </c>
      <c r="H343" t="s">
        <v>45</v>
      </c>
      <c r="I343" t="s">
        <v>2193</v>
      </c>
      <c r="J343" s="10">
        <v>3</v>
      </c>
      <c r="K343" t="b">
        <v>1</v>
      </c>
    </row>
    <row r="344" spans="1:11">
      <c r="A344" s="12">
        <v>41683</v>
      </c>
      <c r="B344">
        <v>2014</v>
      </c>
      <c r="C344">
        <v>2</v>
      </c>
      <c r="D344" s="11">
        <v>41671</v>
      </c>
      <c r="E344" t="s">
        <v>2174</v>
      </c>
      <c r="F344">
        <v>4</v>
      </c>
      <c r="G344" t="s">
        <v>53</v>
      </c>
      <c r="H344" t="s">
        <v>46</v>
      </c>
      <c r="I344" t="s">
        <v>2194</v>
      </c>
      <c r="J344" s="10">
        <v>0</v>
      </c>
      <c r="K344" t="b">
        <v>1</v>
      </c>
    </row>
    <row r="345" spans="1:11">
      <c r="A345" s="12">
        <v>41683</v>
      </c>
      <c r="B345">
        <v>2014</v>
      </c>
      <c r="C345">
        <v>2</v>
      </c>
      <c r="D345" s="11">
        <v>41671</v>
      </c>
      <c r="E345" t="s">
        <v>2174</v>
      </c>
      <c r="F345">
        <v>4</v>
      </c>
      <c r="G345" t="s">
        <v>53</v>
      </c>
      <c r="H345" t="s">
        <v>47</v>
      </c>
      <c r="I345" t="s">
        <v>2195</v>
      </c>
      <c r="J345" s="10">
        <v>1</v>
      </c>
      <c r="K345" t="b">
        <v>1</v>
      </c>
    </row>
    <row r="346" spans="1:11">
      <c r="A346" s="12">
        <v>41684</v>
      </c>
      <c r="B346">
        <v>2014</v>
      </c>
      <c r="C346">
        <v>2</v>
      </c>
      <c r="D346" s="11">
        <v>41671</v>
      </c>
      <c r="E346" t="s">
        <v>2174</v>
      </c>
      <c r="F346">
        <v>5</v>
      </c>
      <c r="G346" t="s">
        <v>55</v>
      </c>
      <c r="H346" t="s">
        <v>40</v>
      </c>
      <c r="I346" t="s">
        <v>2188</v>
      </c>
      <c r="J346" s="10">
        <v>4</v>
      </c>
      <c r="K346" t="b">
        <v>1</v>
      </c>
    </row>
    <row r="347" spans="1:11">
      <c r="A347" s="12">
        <v>41684</v>
      </c>
      <c r="B347">
        <v>2014</v>
      </c>
      <c r="C347">
        <v>2</v>
      </c>
      <c r="D347" s="11">
        <v>41671</v>
      </c>
      <c r="E347" t="s">
        <v>2174</v>
      </c>
      <c r="F347">
        <v>5</v>
      </c>
      <c r="G347" t="s">
        <v>55</v>
      </c>
      <c r="H347" t="s">
        <v>41</v>
      </c>
      <c r="I347" t="s">
        <v>2189</v>
      </c>
      <c r="J347" s="10">
        <v>4.01</v>
      </c>
      <c r="K347" t="b">
        <v>1</v>
      </c>
    </row>
    <row r="348" spans="1:11">
      <c r="A348" s="12">
        <v>41684</v>
      </c>
      <c r="B348">
        <v>2014</v>
      </c>
      <c r="C348">
        <v>2</v>
      </c>
      <c r="D348" s="11">
        <v>41671</v>
      </c>
      <c r="E348" t="s">
        <v>2174</v>
      </c>
      <c r="F348">
        <v>5</v>
      </c>
      <c r="G348" t="s">
        <v>55</v>
      </c>
      <c r="H348" t="s">
        <v>42</v>
      </c>
      <c r="I348" t="s">
        <v>2190</v>
      </c>
      <c r="J348" s="10">
        <v>3.2</v>
      </c>
      <c r="K348" t="b">
        <v>1</v>
      </c>
    </row>
    <row r="349" spans="1:11">
      <c r="A349" s="12">
        <v>41684</v>
      </c>
      <c r="B349">
        <v>2014</v>
      </c>
      <c r="C349">
        <v>2</v>
      </c>
      <c r="D349" s="11">
        <v>41671</v>
      </c>
      <c r="E349" t="s">
        <v>2174</v>
      </c>
      <c r="F349">
        <v>5</v>
      </c>
      <c r="G349" t="s">
        <v>55</v>
      </c>
      <c r="H349" t="s">
        <v>43</v>
      </c>
      <c r="I349" t="s">
        <v>2191</v>
      </c>
      <c r="J349" s="10">
        <v>42.3</v>
      </c>
      <c r="K349" t="b">
        <v>1</v>
      </c>
    </row>
    <row r="350" spans="1:11">
      <c r="A350" s="12">
        <v>41684</v>
      </c>
      <c r="B350">
        <v>2014</v>
      </c>
      <c r="C350">
        <v>2</v>
      </c>
      <c r="D350" s="11">
        <v>41671</v>
      </c>
      <c r="E350" t="s">
        <v>2174</v>
      </c>
      <c r="F350">
        <v>5</v>
      </c>
      <c r="G350" t="s">
        <v>55</v>
      </c>
      <c r="H350" t="s">
        <v>44</v>
      </c>
      <c r="I350" t="s">
        <v>2192</v>
      </c>
      <c r="J350" s="10">
        <v>13</v>
      </c>
      <c r="K350" t="b">
        <v>1</v>
      </c>
    </row>
    <row r="351" spans="1:11">
      <c r="A351" s="12">
        <v>41684</v>
      </c>
      <c r="B351">
        <v>2014</v>
      </c>
      <c r="C351">
        <v>2</v>
      </c>
      <c r="D351" s="11">
        <v>41671</v>
      </c>
      <c r="E351" t="s">
        <v>2174</v>
      </c>
      <c r="F351">
        <v>5</v>
      </c>
      <c r="G351" t="s">
        <v>55</v>
      </c>
      <c r="H351" t="s">
        <v>45</v>
      </c>
      <c r="I351" t="s">
        <v>2193</v>
      </c>
      <c r="J351" s="10">
        <v>4</v>
      </c>
      <c r="K351" t="b">
        <v>1</v>
      </c>
    </row>
    <row r="352" spans="1:11">
      <c r="A352" s="12">
        <v>41684</v>
      </c>
      <c r="B352">
        <v>2014</v>
      </c>
      <c r="C352">
        <v>2</v>
      </c>
      <c r="D352" s="11">
        <v>41671</v>
      </c>
      <c r="E352" t="s">
        <v>2174</v>
      </c>
      <c r="F352">
        <v>5</v>
      </c>
      <c r="G352" t="s">
        <v>55</v>
      </c>
      <c r="H352" t="s">
        <v>46</v>
      </c>
      <c r="I352" t="s">
        <v>2194</v>
      </c>
      <c r="J352" s="10">
        <v>0</v>
      </c>
      <c r="K352" t="b">
        <v>1</v>
      </c>
    </row>
    <row r="353" spans="1:11">
      <c r="A353" s="12">
        <v>41684</v>
      </c>
      <c r="B353">
        <v>2014</v>
      </c>
      <c r="C353">
        <v>2</v>
      </c>
      <c r="D353" s="11">
        <v>41671</v>
      </c>
      <c r="E353" t="s">
        <v>2174</v>
      </c>
      <c r="F353">
        <v>5</v>
      </c>
      <c r="G353" t="s">
        <v>55</v>
      </c>
      <c r="H353" t="s">
        <v>47</v>
      </c>
      <c r="I353" t="s">
        <v>2195</v>
      </c>
      <c r="J353" s="10">
        <v>6</v>
      </c>
      <c r="K353" t="b">
        <v>1</v>
      </c>
    </row>
    <row r="354" spans="1:11">
      <c r="A354" s="12">
        <v>41685</v>
      </c>
      <c r="B354">
        <v>2014</v>
      </c>
      <c r="C354">
        <v>2</v>
      </c>
      <c r="D354" s="11">
        <v>41671</v>
      </c>
      <c r="E354" t="s">
        <v>2174</v>
      </c>
      <c r="F354">
        <v>6</v>
      </c>
      <c r="G354" t="s">
        <v>57</v>
      </c>
      <c r="H354" t="s">
        <v>40</v>
      </c>
      <c r="I354" t="s">
        <v>2188</v>
      </c>
      <c r="J354" s="10">
        <v>1</v>
      </c>
      <c r="K354" t="b">
        <v>1</v>
      </c>
    </row>
    <row r="355" spans="1:11">
      <c r="A355" s="12">
        <v>41685</v>
      </c>
      <c r="B355">
        <v>2014</v>
      </c>
      <c r="C355">
        <v>2</v>
      </c>
      <c r="D355" s="11">
        <v>41671</v>
      </c>
      <c r="E355" t="s">
        <v>2174</v>
      </c>
      <c r="F355">
        <v>6</v>
      </c>
      <c r="G355" t="s">
        <v>57</v>
      </c>
      <c r="H355" t="s">
        <v>41</v>
      </c>
      <c r="I355" t="s">
        <v>2189</v>
      </c>
      <c r="J355" s="10">
        <v>2.34</v>
      </c>
      <c r="K355" t="b">
        <v>1</v>
      </c>
    </row>
    <row r="356" spans="1:11">
      <c r="A356" s="12">
        <v>41685</v>
      </c>
      <c r="B356">
        <v>2014</v>
      </c>
      <c r="C356">
        <v>2</v>
      </c>
      <c r="D356" s="11">
        <v>41671</v>
      </c>
      <c r="E356" t="s">
        <v>2174</v>
      </c>
      <c r="F356">
        <v>6</v>
      </c>
      <c r="G356" t="s">
        <v>57</v>
      </c>
      <c r="H356" t="s">
        <v>42</v>
      </c>
      <c r="I356" t="s">
        <v>2190</v>
      </c>
      <c r="J356" s="10">
        <v>2</v>
      </c>
      <c r="K356" t="b">
        <v>1</v>
      </c>
    </row>
    <row r="357" spans="1:11">
      <c r="A357" s="12">
        <v>41685</v>
      </c>
      <c r="B357">
        <v>2014</v>
      </c>
      <c r="C357">
        <v>2</v>
      </c>
      <c r="D357" s="11">
        <v>41671</v>
      </c>
      <c r="E357" t="s">
        <v>2174</v>
      </c>
      <c r="F357">
        <v>6</v>
      </c>
      <c r="G357" t="s">
        <v>57</v>
      </c>
      <c r="H357" t="s">
        <v>43</v>
      </c>
      <c r="I357" t="s">
        <v>2191</v>
      </c>
      <c r="J357" s="10">
        <v>37</v>
      </c>
      <c r="K357" t="b">
        <v>1</v>
      </c>
    </row>
    <row r="358" spans="1:11">
      <c r="A358" s="12">
        <v>41685</v>
      </c>
      <c r="B358">
        <v>2014</v>
      </c>
      <c r="C358">
        <v>2</v>
      </c>
      <c r="D358" s="11">
        <v>41671</v>
      </c>
      <c r="E358" t="s">
        <v>2174</v>
      </c>
      <c r="F358">
        <v>6</v>
      </c>
      <c r="G358" t="s">
        <v>57</v>
      </c>
      <c r="H358" t="s">
        <v>44</v>
      </c>
      <c r="I358" t="s">
        <v>2192</v>
      </c>
      <c r="J358" s="10">
        <v>9</v>
      </c>
      <c r="K358" t="b">
        <v>1</v>
      </c>
    </row>
    <row r="359" spans="1:11">
      <c r="A359" s="12">
        <v>41685</v>
      </c>
      <c r="B359">
        <v>2014</v>
      </c>
      <c r="C359">
        <v>2</v>
      </c>
      <c r="D359" s="11">
        <v>41671</v>
      </c>
      <c r="E359" t="s">
        <v>2174</v>
      </c>
      <c r="F359">
        <v>6</v>
      </c>
      <c r="G359" t="s">
        <v>57</v>
      </c>
      <c r="H359" t="s">
        <v>45</v>
      </c>
      <c r="I359" t="s">
        <v>2193</v>
      </c>
      <c r="J359" s="10">
        <v>0</v>
      </c>
      <c r="K359" t="b">
        <v>1</v>
      </c>
    </row>
    <row r="360" spans="1:11">
      <c r="A360" s="12">
        <v>41685</v>
      </c>
      <c r="B360">
        <v>2014</v>
      </c>
      <c r="C360">
        <v>2</v>
      </c>
      <c r="D360" s="11">
        <v>41671</v>
      </c>
      <c r="E360" t="s">
        <v>2174</v>
      </c>
      <c r="F360">
        <v>6</v>
      </c>
      <c r="G360" t="s">
        <v>57</v>
      </c>
      <c r="H360" t="s">
        <v>46</v>
      </c>
      <c r="I360" t="s">
        <v>2194</v>
      </c>
      <c r="J360" s="10">
        <v>1</v>
      </c>
      <c r="K360" t="b">
        <v>1</v>
      </c>
    </row>
    <row r="361" spans="1:11">
      <c r="A361" s="12">
        <v>41685</v>
      </c>
      <c r="B361">
        <v>2014</v>
      </c>
      <c r="C361">
        <v>2</v>
      </c>
      <c r="D361" s="11">
        <v>41671</v>
      </c>
      <c r="E361" t="s">
        <v>2174</v>
      </c>
      <c r="F361">
        <v>6</v>
      </c>
      <c r="G361" t="s">
        <v>57</v>
      </c>
      <c r="H361" t="s">
        <v>47</v>
      </c>
      <c r="I361" t="s">
        <v>2195</v>
      </c>
      <c r="J361" s="10">
        <v>5</v>
      </c>
      <c r="K361" t="b">
        <v>1</v>
      </c>
    </row>
    <row r="362" spans="1:11">
      <c r="A362" s="12">
        <v>41686</v>
      </c>
      <c r="B362">
        <v>2014</v>
      </c>
      <c r="C362">
        <v>2</v>
      </c>
      <c r="D362" s="11">
        <v>41671</v>
      </c>
      <c r="E362" t="s">
        <v>2174</v>
      </c>
      <c r="F362">
        <v>7</v>
      </c>
      <c r="G362" t="s">
        <v>59</v>
      </c>
      <c r="H362" t="s">
        <v>40</v>
      </c>
      <c r="I362" t="s">
        <v>2188</v>
      </c>
      <c r="J362" s="10">
        <v>0</v>
      </c>
      <c r="K362" t="b">
        <v>1</v>
      </c>
    </row>
    <row r="363" spans="1:11">
      <c r="A363" s="12">
        <v>41686</v>
      </c>
      <c r="B363">
        <v>2014</v>
      </c>
      <c r="C363">
        <v>2</v>
      </c>
      <c r="D363" s="11">
        <v>41671</v>
      </c>
      <c r="E363" t="s">
        <v>2174</v>
      </c>
      <c r="F363">
        <v>7</v>
      </c>
      <c r="G363" t="s">
        <v>59</v>
      </c>
      <c r="H363" t="s">
        <v>41</v>
      </c>
      <c r="I363" t="s">
        <v>2189</v>
      </c>
      <c r="J363" s="10">
        <v>1.68</v>
      </c>
      <c r="K363" t="b">
        <v>1</v>
      </c>
    </row>
    <row r="364" spans="1:11">
      <c r="A364" s="12">
        <v>41686</v>
      </c>
      <c r="B364">
        <v>2014</v>
      </c>
      <c r="C364">
        <v>2</v>
      </c>
      <c r="D364" s="11">
        <v>41671</v>
      </c>
      <c r="E364" t="s">
        <v>2174</v>
      </c>
      <c r="F364">
        <v>7</v>
      </c>
      <c r="G364" t="s">
        <v>59</v>
      </c>
      <c r="H364" t="s">
        <v>42</v>
      </c>
      <c r="I364" t="s">
        <v>2190</v>
      </c>
      <c r="J364" s="10">
        <v>1.2</v>
      </c>
      <c r="K364" t="b">
        <v>1</v>
      </c>
    </row>
    <row r="365" spans="1:11">
      <c r="A365" s="12">
        <v>41686</v>
      </c>
      <c r="B365">
        <v>2014</v>
      </c>
      <c r="C365">
        <v>2</v>
      </c>
      <c r="D365" s="11">
        <v>41671</v>
      </c>
      <c r="E365" t="s">
        <v>2174</v>
      </c>
      <c r="F365">
        <v>7</v>
      </c>
      <c r="G365" t="s">
        <v>59</v>
      </c>
      <c r="H365" t="s">
        <v>43</v>
      </c>
      <c r="I365" t="s">
        <v>2191</v>
      </c>
      <c r="J365" s="10">
        <v>34</v>
      </c>
      <c r="K365" t="b">
        <v>1</v>
      </c>
    </row>
    <row r="366" spans="1:11">
      <c r="A366" s="12">
        <v>41686</v>
      </c>
      <c r="B366">
        <v>2014</v>
      </c>
      <c r="C366">
        <v>2</v>
      </c>
      <c r="D366" s="11">
        <v>41671</v>
      </c>
      <c r="E366" t="s">
        <v>2174</v>
      </c>
      <c r="F366">
        <v>7</v>
      </c>
      <c r="G366" t="s">
        <v>59</v>
      </c>
      <c r="H366" t="s">
        <v>44</v>
      </c>
      <c r="I366" t="s">
        <v>2192</v>
      </c>
      <c r="J366" s="10">
        <v>5</v>
      </c>
      <c r="K366" t="b">
        <v>1</v>
      </c>
    </row>
    <row r="367" spans="1:11">
      <c r="A367" s="12">
        <v>41686</v>
      </c>
      <c r="B367">
        <v>2014</v>
      </c>
      <c r="C367">
        <v>2</v>
      </c>
      <c r="D367" s="11">
        <v>41671</v>
      </c>
      <c r="E367" t="s">
        <v>2174</v>
      </c>
      <c r="F367">
        <v>7</v>
      </c>
      <c r="G367" t="s">
        <v>59</v>
      </c>
      <c r="H367" t="s">
        <v>45</v>
      </c>
      <c r="I367" t="s">
        <v>2193</v>
      </c>
      <c r="J367" s="10">
        <v>2</v>
      </c>
      <c r="K367" t="b">
        <v>1</v>
      </c>
    </row>
    <row r="368" spans="1:11">
      <c r="A368" s="12">
        <v>41686</v>
      </c>
      <c r="B368">
        <v>2014</v>
      </c>
      <c r="C368">
        <v>2</v>
      </c>
      <c r="D368" s="11">
        <v>41671</v>
      </c>
      <c r="E368" t="s">
        <v>2174</v>
      </c>
      <c r="F368">
        <v>7</v>
      </c>
      <c r="G368" t="s">
        <v>59</v>
      </c>
      <c r="H368" t="s">
        <v>46</v>
      </c>
      <c r="I368" t="s">
        <v>2194</v>
      </c>
      <c r="J368" s="10">
        <v>3</v>
      </c>
      <c r="K368" t="b">
        <v>1</v>
      </c>
    </row>
    <row r="369" spans="1:11">
      <c r="A369" s="12">
        <v>41686</v>
      </c>
      <c r="B369">
        <v>2014</v>
      </c>
      <c r="C369">
        <v>2</v>
      </c>
      <c r="D369" s="11">
        <v>41671</v>
      </c>
      <c r="E369" t="s">
        <v>2174</v>
      </c>
      <c r="F369">
        <v>7</v>
      </c>
      <c r="G369" t="s">
        <v>59</v>
      </c>
      <c r="H369" t="s">
        <v>47</v>
      </c>
      <c r="I369" t="s">
        <v>2195</v>
      </c>
      <c r="J369" s="10">
        <v>1</v>
      </c>
      <c r="K369" t="b">
        <v>1</v>
      </c>
    </row>
    <row r="370" spans="1:11">
      <c r="A370" s="12">
        <v>41687</v>
      </c>
      <c r="B370">
        <v>2014</v>
      </c>
      <c r="C370">
        <v>2</v>
      </c>
      <c r="D370" s="11">
        <v>41671</v>
      </c>
      <c r="E370" t="s">
        <v>2174</v>
      </c>
      <c r="F370">
        <v>1</v>
      </c>
      <c r="G370" t="s">
        <v>61</v>
      </c>
      <c r="H370" t="s">
        <v>40</v>
      </c>
      <c r="I370" t="s">
        <v>2188</v>
      </c>
      <c r="J370" s="10">
        <v>7.34</v>
      </c>
      <c r="K370" t="b">
        <v>1</v>
      </c>
    </row>
    <row r="371" spans="1:11">
      <c r="A371" s="12">
        <v>41687</v>
      </c>
      <c r="B371">
        <v>2014</v>
      </c>
      <c r="C371">
        <v>2</v>
      </c>
      <c r="D371" s="11">
        <v>41671</v>
      </c>
      <c r="E371" t="s">
        <v>2174</v>
      </c>
      <c r="F371">
        <v>1</v>
      </c>
      <c r="G371" t="s">
        <v>61</v>
      </c>
      <c r="H371" t="s">
        <v>41</v>
      </c>
      <c r="I371" t="s">
        <v>2189</v>
      </c>
      <c r="J371" s="10">
        <v>4</v>
      </c>
      <c r="K371" t="b">
        <v>1</v>
      </c>
    </row>
    <row r="372" spans="1:11">
      <c r="A372" s="12">
        <v>41687</v>
      </c>
      <c r="B372">
        <v>2014</v>
      </c>
      <c r="C372">
        <v>2</v>
      </c>
      <c r="D372" s="11">
        <v>41671</v>
      </c>
      <c r="E372" t="s">
        <v>2174</v>
      </c>
      <c r="F372">
        <v>1</v>
      </c>
      <c r="G372" t="s">
        <v>61</v>
      </c>
      <c r="H372" t="s">
        <v>42</v>
      </c>
      <c r="I372" t="s">
        <v>2190</v>
      </c>
      <c r="J372" s="10">
        <v>12.7</v>
      </c>
      <c r="K372" t="b">
        <v>1</v>
      </c>
    </row>
    <row r="373" spans="1:11">
      <c r="A373" s="12">
        <v>41687</v>
      </c>
      <c r="B373">
        <v>2014</v>
      </c>
      <c r="C373">
        <v>2</v>
      </c>
      <c r="D373" s="11">
        <v>41671</v>
      </c>
      <c r="E373" t="s">
        <v>2174</v>
      </c>
      <c r="F373">
        <v>1</v>
      </c>
      <c r="G373" t="s">
        <v>61</v>
      </c>
      <c r="H373" t="s">
        <v>43</v>
      </c>
      <c r="I373" t="s">
        <v>2191</v>
      </c>
      <c r="J373" s="10">
        <v>27</v>
      </c>
      <c r="K373" t="b">
        <v>1</v>
      </c>
    </row>
    <row r="374" spans="1:11">
      <c r="A374" s="12">
        <v>41687</v>
      </c>
      <c r="B374">
        <v>2014</v>
      </c>
      <c r="C374">
        <v>2</v>
      </c>
      <c r="D374" s="11">
        <v>41671</v>
      </c>
      <c r="E374" t="s">
        <v>2174</v>
      </c>
      <c r="F374">
        <v>1</v>
      </c>
      <c r="G374" t="s">
        <v>61</v>
      </c>
      <c r="H374" t="s">
        <v>44</v>
      </c>
      <c r="I374" t="s">
        <v>2192</v>
      </c>
      <c r="J374" s="10">
        <v>13</v>
      </c>
      <c r="K374" t="b">
        <v>1</v>
      </c>
    </row>
    <row r="375" spans="1:11">
      <c r="A375" s="12">
        <v>41687</v>
      </c>
      <c r="B375">
        <v>2014</v>
      </c>
      <c r="C375">
        <v>2</v>
      </c>
      <c r="D375" s="11">
        <v>41671</v>
      </c>
      <c r="E375" t="s">
        <v>2174</v>
      </c>
      <c r="F375">
        <v>1</v>
      </c>
      <c r="G375" t="s">
        <v>61</v>
      </c>
      <c r="H375" t="s">
        <v>45</v>
      </c>
      <c r="I375" t="s">
        <v>2193</v>
      </c>
      <c r="J375" s="10">
        <v>1</v>
      </c>
      <c r="K375" t="b">
        <v>1</v>
      </c>
    </row>
    <row r="376" spans="1:11">
      <c r="A376" s="12">
        <v>41687</v>
      </c>
      <c r="B376">
        <v>2014</v>
      </c>
      <c r="C376">
        <v>2</v>
      </c>
      <c r="D376" s="11">
        <v>41671</v>
      </c>
      <c r="E376" t="s">
        <v>2174</v>
      </c>
      <c r="F376">
        <v>1</v>
      </c>
      <c r="G376" t="s">
        <v>61</v>
      </c>
      <c r="H376" t="s">
        <v>46</v>
      </c>
      <c r="I376" t="s">
        <v>2194</v>
      </c>
      <c r="J376" s="10">
        <v>7</v>
      </c>
      <c r="K376" t="b">
        <v>1</v>
      </c>
    </row>
    <row r="377" spans="1:11">
      <c r="A377" s="12">
        <v>41687</v>
      </c>
      <c r="B377">
        <v>2014</v>
      </c>
      <c r="C377">
        <v>2</v>
      </c>
      <c r="D377" s="11">
        <v>41671</v>
      </c>
      <c r="E377" t="s">
        <v>2174</v>
      </c>
      <c r="F377">
        <v>1</v>
      </c>
      <c r="G377" t="s">
        <v>61</v>
      </c>
      <c r="H377" t="s">
        <v>47</v>
      </c>
      <c r="I377" t="s">
        <v>2195</v>
      </c>
      <c r="J377" s="10">
        <v>0</v>
      </c>
      <c r="K377" t="b">
        <v>1</v>
      </c>
    </row>
    <row r="378" spans="1:11">
      <c r="A378" s="12">
        <v>41688</v>
      </c>
      <c r="B378">
        <v>2014</v>
      </c>
      <c r="C378">
        <v>2</v>
      </c>
      <c r="D378" s="11">
        <v>41671</v>
      </c>
      <c r="E378" t="s">
        <v>2174</v>
      </c>
      <c r="F378">
        <v>2</v>
      </c>
      <c r="G378" t="s">
        <v>63</v>
      </c>
      <c r="H378" t="s">
        <v>40</v>
      </c>
      <c r="I378" t="s">
        <v>2188</v>
      </c>
      <c r="J378" s="10">
        <v>7.34</v>
      </c>
      <c r="K378" t="b">
        <v>1</v>
      </c>
    </row>
    <row r="379" spans="1:11">
      <c r="A379" s="12">
        <v>41688</v>
      </c>
      <c r="B379">
        <v>2014</v>
      </c>
      <c r="C379">
        <v>2</v>
      </c>
      <c r="D379" s="11">
        <v>41671</v>
      </c>
      <c r="E379" t="s">
        <v>2174</v>
      </c>
      <c r="F379">
        <v>2</v>
      </c>
      <c r="G379" t="s">
        <v>63</v>
      </c>
      <c r="H379" t="s">
        <v>41</v>
      </c>
      <c r="I379" t="s">
        <v>2189</v>
      </c>
      <c r="J379" s="10">
        <v>7.36</v>
      </c>
      <c r="K379" t="b">
        <v>1</v>
      </c>
    </row>
    <row r="380" spans="1:11">
      <c r="A380" s="12">
        <v>41688</v>
      </c>
      <c r="B380">
        <v>2014</v>
      </c>
      <c r="C380">
        <v>2</v>
      </c>
      <c r="D380" s="11">
        <v>41671</v>
      </c>
      <c r="E380" t="s">
        <v>2174</v>
      </c>
      <c r="F380">
        <v>2</v>
      </c>
      <c r="G380" t="s">
        <v>63</v>
      </c>
      <c r="H380" t="s">
        <v>42</v>
      </c>
      <c r="I380" t="s">
        <v>2190</v>
      </c>
      <c r="J380" s="10">
        <v>6.1</v>
      </c>
      <c r="K380" t="b">
        <v>1</v>
      </c>
    </row>
    <row r="381" spans="1:11">
      <c r="A381" s="12">
        <v>41688</v>
      </c>
      <c r="B381">
        <v>2014</v>
      </c>
      <c r="C381">
        <v>2</v>
      </c>
      <c r="D381" s="11">
        <v>41671</v>
      </c>
      <c r="E381" t="s">
        <v>2174</v>
      </c>
      <c r="F381">
        <v>2</v>
      </c>
      <c r="G381" t="s">
        <v>63</v>
      </c>
      <c r="H381" t="s">
        <v>43</v>
      </c>
      <c r="I381" t="s">
        <v>2191</v>
      </c>
      <c r="J381" s="10">
        <v>45</v>
      </c>
      <c r="K381" t="b">
        <v>1</v>
      </c>
    </row>
    <row r="382" spans="1:11">
      <c r="A382" s="12">
        <v>41688</v>
      </c>
      <c r="B382">
        <v>2014</v>
      </c>
      <c r="C382">
        <v>2</v>
      </c>
      <c r="D382" s="11">
        <v>41671</v>
      </c>
      <c r="E382" t="s">
        <v>2174</v>
      </c>
      <c r="F382">
        <v>2</v>
      </c>
      <c r="G382" t="s">
        <v>63</v>
      </c>
      <c r="H382" t="s">
        <v>44</v>
      </c>
      <c r="I382" t="s">
        <v>2192</v>
      </c>
      <c r="J382" s="10">
        <v>14</v>
      </c>
      <c r="K382" t="b">
        <v>1</v>
      </c>
    </row>
    <row r="383" spans="1:11">
      <c r="A383" s="12">
        <v>41688</v>
      </c>
      <c r="B383">
        <v>2014</v>
      </c>
      <c r="C383">
        <v>2</v>
      </c>
      <c r="D383" s="11">
        <v>41671</v>
      </c>
      <c r="E383" t="s">
        <v>2174</v>
      </c>
      <c r="F383">
        <v>2</v>
      </c>
      <c r="G383" t="s">
        <v>63</v>
      </c>
      <c r="H383" t="s">
        <v>45</v>
      </c>
      <c r="I383" t="s">
        <v>2193</v>
      </c>
      <c r="J383" s="10">
        <v>0</v>
      </c>
      <c r="K383" t="b">
        <v>1</v>
      </c>
    </row>
    <row r="384" spans="1:11">
      <c r="A384" s="12">
        <v>41688</v>
      </c>
      <c r="B384">
        <v>2014</v>
      </c>
      <c r="C384">
        <v>2</v>
      </c>
      <c r="D384" s="11">
        <v>41671</v>
      </c>
      <c r="E384" t="s">
        <v>2174</v>
      </c>
      <c r="F384">
        <v>2</v>
      </c>
      <c r="G384" t="s">
        <v>63</v>
      </c>
      <c r="H384" t="s">
        <v>46</v>
      </c>
      <c r="I384" t="s">
        <v>2194</v>
      </c>
      <c r="J384" s="10">
        <v>13</v>
      </c>
      <c r="K384" t="b">
        <v>1</v>
      </c>
    </row>
    <row r="385" spans="1:11">
      <c r="A385" s="12">
        <v>41688</v>
      </c>
      <c r="B385">
        <v>2014</v>
      </c>
      <c r="C385">
        <v>2</v>
      </c>
      <c r="D385" s="11">
        <v>41671</v>
      </c>
      <c r="E385" t="s">
        <v>2174</v>
      </c>
      <c r="F385">
        <v>2</v>
      </c>
      <c r="G385" t="s">
        <v>63</v>
      </c>
      <c r="H385" t="s">
        <v>47</v>
      </c>
      <c r="I385" t="s">
        <v>2195</v>
      </c>
      <c r="J385" s="10">
        <v>5</v>
      </c>
      <c r="K385" t="b">
        <v>1</v>
      </c>
    </row>
    <row r="386" spans="1:11">
      <c r="A386" s="12">
        <v>41689</v>
      </c>
      <c r="B386">
        <v>2014</v>
      </c>
      <c r="C386">
        <v>2</v>
      </c>
      <c r="D386" s="11">
        <v>41671</v>
      </c>
      <c r="E386" t="s">
        <v>2174</v>
      </c>
      <c r="F386">
        <v>3</v>
      </c>
      <c r="G386" t="s">
        <v>65</v>
      </c>
      <c r="H386" t="s">
        <v>40</v>
      </c>
      <c r="I386" t="s">
        <v>2188</v>
      </c>
      <c r="J386" s="10">
        <v>3.33</v>
      </c>
      <c r="K386" t="b">
        <v>1</v>
      </c>
    </row>
    <row r="387" spans="1:11">
      <c r="A387" s="12">
        <v>41689</v>
      </c>
      <c r="B387">
        <v>2014</v>
      </c>
      <c r="C387">
        <v>2</v>
      </c>
      <c r="D387" s="11">
        <v>41671</v>
      </c>
      <c r="E387" t="s">
        <v>2174</v>
      </c>
      <c r="F387">
        <v>3</v>
      </c>
      <c r="G387" t="s">
        <v>65</v>
      </c>
      <c r="H387" t="s">
        <v>41</v>
      </c>
      <c r="I387" t="s">
        <v>2189</v>
      </c>
      <c r="J387" s="10">
        <v>5.02</v>
      </c>
      <c r="K387" t="b">
        <v>1</v>
      </c>
    </row>
    <row r="388" spans="1:11">
      <c r="A388" s="12">
        <v>41689</v>
      </c>
      <c r="B388">
        <v>2014</v>
      </c>
      <c r="C388">
        <v>2</v>
      </c>
      <c r="D388" s="11">
        <v>41671</v>
      </c>
      <c r="E388" t="s">
        <v>2174</v>
      </c>
      <c r="F388">
        <v>3</v>
      </c>
      <c r="G388" t="s">
        <v>65</v>
      </c>
      <c r="H388" t="s">
        <v>42</v>
      </c>
      <c r="I388" t="s">
        <v>2190</v>
      </c>
      <c r="J388" s="10">
        <v>5.5</v>
      </c>
      <c r="K388" t="b">
        <v>1</v>
      </c>
    </row>
    <row r="389" spans="1:11">
      <c r="A389" s="12">
        <v>41689</v>
      </c>
      <c r="B389">
        <v>2014</v>
      </c>
      <c r="C389">
        <v>2</v>
      </c>
      <c r="D389" s="11">
        <v>41671</v>
      </c>
      <c r="E389" t="s">
        <v>2174</v>
      </c>
      <c r="F389">
        <v>3</v>
      </c>
      <c r="G389" t="s">
        <v>65</v>
      </c>
      <c r="H389" t="s">
        <v>43</v>
      </c>
      <c r="I389" t="s">
        <v>2191</v>
      </c>
      <c r="J389" s="10">
        <v>66.8</v>
      </c>
      <c r="K389" t="b">
        <v>1</v>
      </c>
    </row>
    <row r="390" spans="1:11">
      <c r="A390" s="12">
        <v>41689</v>
      </c>
      <c r="B390">
        <v>2014</v>
      </c>
      <c r="C390">
        <v>2</v>
      </c>
      <c r="D390" s="11">
        <v>41671</v>
      </c>
      <c r="E390" t="s">
        <v>2174</v>
      </c>
      <c r="F390">
        <v>3</v>
      </c>
      <c r="G390" t="s">
        <v>65</v>
      </c>
      <c r="H390" t="s">
        <v>44</v>
      </c>
      <c r="I390" t="s">
        <v>2192</v>
      </c>
      <c r="J390" s="10">
        <v>17</v>
      </c>
      <c r="K390" t="b">
        <v>1</v>
      </c>
    </row>
    <row r="391" spans="1:11">
      <c r="A391" s="12">
        <v>41689</v>
      </c>
      <c r="B391">
        <v>2014</v>
      </c>
      <c r="C391">
        <v>2</v>
      </c>
      <c r="D391" s="11">
        <v>41671</v>
      </c>
      <c r="E391" t="s">
        <v>2174</v>
      </c>
      <c r="F391">
        <v>3</v>
      </c>
      <c r="G391" t="s">
        <v>65</v>
      </c>
      <c r="H391" t="s">
        <v>45</v>
      </c>
      <c r="I391" t="s">
        <v>2193</v>
      </c>
      <c r="J391" s="10">
        <v>1</v>
      </c>
      <c r="K391" t="b">
        <v>1</v>
      </c>
    </row>
    <row r="392" spans="1:11">
      <c r="A392" s="12">
        <v>41689</v>
      </c>
      <c r="B392">
        <v>2014</v>
      </c>
      <c r="C392">
        <v>2</v>
      </c>
      <c r="D392" s="11">
        <v>41671</v>
      </c>
      <c r="E392" t="s">
        <v>2174</v>
      </c>
      <c r="F392">
        <v>3</v>
      </c>
      <c r="G392" t="s">
        <v>65</v>
      </c>
      <c r="H392" t="s">
        <v>46</v>
      </c>
      <c r="I392" t="s">
        <v>2194</v>
      </c>
      <c r="J392" s="10">
        <v>6</v>
      </c>
      <c r="K392" t="b">
        <v>1</v>
      </c>
    </row>
    <row r="393" spans="1:11">
      <c r="A393" s="12">
        <v>41689</v>
      </c>
      <c r="B393">
        <v>2014</v>
      </c>
      <c r="C393">
        <v>2</v>
      </c>
      <c r="D393" s="11">
        <v>41671</v>
      </c>
      <c r="E393" t="s">
        <v>2174</v>
      </c>
      <c r="F393">
        <v>3</v>
      </c>
      <c r="G393" t="s">
        <v>65</v>
      </c>
      <c r="H393" t="s">
        <v>47</v>
      </c>
      <c r="I393" t="s">
        <v>2195</v>
      </c>
      <c r="J393" s="10">
        <v>1</v>
      </c>
      <c r="K393" t="b">
        <v>1</v>
      </c>
    </row>
    <row r="394" spans="1:11">
      <c r="A394" s="12">
        <v>41690</v>
      </c>
      <c r="B394">
        <v>2014</v>
      </c>
      <c r="C394">
        <v>2</v>
      </c>
      <c r="D394" s="11">
        <v>41671</v>
      </c>
      <c r="E394" t="s">
        <v>2174</v>
      </c>
      <c r="F394">
        <v>4</v>
      </c>
      <c r="G394" t="s">
        <v>53</v>
      </c>
      <c r="H394" t="s">
        <v>40</v>
      </c>
      <c r="I394" t="s">
        <v>2188</v>
      </c>
      <c r="J394" s="10">
        <v>7</v>
      </c>
      <c r="K394" t="b">
        <v>1</v>
      </c>
    </row>
    <row r="395" spans="1:11">
      <c r="A395" s="12">
        <v>41690</v>
      </c>
      <c r="B395">
        <v>2014</v>
      </c>
      <c r="C395">
        <v>2</v>
      </c>
      <c r="D395" s="11">
        <v>41671</v>
      </c>
      <c r="E395" t="s">
        <v>2174</v>
      </c>
      <c r="F395">
        <v>4</v>
      </c>
      <c r="G395" t="s">
        <v>53</v>
      </c>
      <c r="H395" t="s">
        <v>41</v>
      </c>
      <c r="I395" t="s">
        <v>2189</v>
      </c>
      <c r="J395" s="10">
        <v>7.02</v>
      </c>
      <c r="K395" t="b">
        <v>1</v>
      </c>
    </row>
    <row r="396" spans="1:11">
      <c r="A396" s="12">
        <v>41690</v>
      </c>
      <c r="B396">
        <v>2014</v>
      </c>
      <c r="C396">
        <v>2</v>
      </c>
      <c r="D396" s="11">
        <v>41671</v>
      </c>
      <c r="E396" t="s">
        <v>2174</v>
      </c>
      <c r="F396">
        <v>4</v>
      </c>
      <c r="G396" t="s">
        <v>53</v>
      </c>
      <c r="H396" t="s">
        <v>42</v>
      </c>
      <c r="I396" t="s">
        <v>2190</v>
      </c>
      <c r="J396" s="10">
        <v>3.2</v>
      </c>
      <c r="K396" t="b">
        <v>1</v>
      </c>
    </row>
    <row r="397" spans="1:11">
      <c r="A397" s="12">
        <v>41690</v>
      </c>
      <c r="B397">
        <v>2014</v>
      </c>
      <c r="C397">
        <v>2</v>
      </c>
      <c r="D397" s="11">
        <v>41671</v>
      </c>
      <c r="E397" t="s">
        <v>2174</v>
      </c>
      <c r="F397">
        <v>4</v>
      </c>
      <c r="G397" t="s">
        <v>53</v>
      </c>
      <c r="H397" t="s">
        <v>43</v>
      </c>
      <c r="I397" t="s">
        <v>2191</v>
      </c>
      <c r="J397" s="10">
        <v>21.5</v>
      </c>
      <c r="K397" t="b">
        <v>1</v>
      </c>
    </row>
    <row r="398" spans="1:11">
      <c r="A398" s="12">
        <v>41690</v>
      </c>
      <c r="B398">
        <v>2014</v>
      </c>
      <c r="C398">
        <v>2</v>
      </c>
      <c r="D398" s="11">
        <v>41671</v>
      </c>
      <c r="E398" t="s">
        <v>2174</v>
      </c>
      <c r="F398">
        <v>4</v>
      </c>
      <c r="G398" t="s">
        <v>53</v>
      </c>
      <c r="H398" t="s">
        <v>44</v>
      </c>
      <c r="I398" t="s">
        <v>2192</v>
      </c>
      <c r="J398" s="10">
        <v>16</v>
      </c>
      <c r="K398" t="b">
        <v>1</v>
      </c>
    </row>
    <row r="399" spans="1:11">
      <c r="A399" s="12">
        <v>41690</v>
      </c>
      <c r="B399">
        <v>2014</v>
      </c>
      <c r="C399">
        <v>2</v>
      </c>
      <c r="D399" s="11">
        <v>41671</v>
      </c>
      <c r="E399" t="s">
        <v>2174</v>
      </c>
      <c r="F399">
        <v>4</v>
      </c>
      <c r="G399" t="s">
        <v>53</v>
      </c>
      <c r="H399" t="s">
        <v>45</v>
      </c>
      <c r="I399" t="s">
        <v>2193</v>
      </c>
      <c r="J399" s="10">
        <v>3</v>
      </c>
      <c r="K399" t="b">
        <v>1</v>
      </c>
    </row>
    <row r="400" spans="1:11">
      <c r="A400" s="12">
        <v>41690</v>
      </c>
      <c r="B400">
        <v>2014</v>
      </c>
      <c r="C400">
        <v>2</v>
      </c>
      <c r="D400" s="11">
        <v>41671</v>
      </c>
      <c r="E400" t="s">
        <v>2174</v>
      </c>
      <c r="F400">
        <v>4</v>
      </c>
      <c r="G400" t="s">
        <v>53</v>
      </c>
      <c r="H400" t="s">
        <v>46</v>
      </c>
      <c r="I400" t="s">
        <v>2194</v>
      </c>
      <c r="J400" s="10">
        <v>8</v>
      </c>
      <c r="K400" t="b">
        <v>1</v>
      </c>
    </row>
    <row r="401" spans="1:11">
      <c r="A401" s="12">
        <v>41690</v>
      </c>
      <c r="B401">
        <v>2014</v>
      </c>
      <c r="C401">
        <v>2</v>
      </c>
      <c r="D401" s="11">
        <v>41671</v>
      </c>
      <c r="E401" t="s">
        <v>2174</v>
      </c>
      <c r="F401">
        <v>4</v>
      </c>
      <c r="G401" t="s">
        <v>53</v>
      </c>
      <c r="H401" t="s">
        <v>47</v>
      </c>
      <c r="I401" t="s">
        <v>2195</v>
      </c>
      <c r="J401" s="10">
        <v>1</v>
      </c>
      <c r="K401" t="b">
        <v>1</v>
      </c>
    </row>
    <row r="402" spans="1:11">
      <c r="A402" s="12">
        <v>41691</v>
      </c>
      <c r="B402">
        <v>2014</v>
      </c>
      <c r="C402">
        <v>2</v>
      </c>
      <c r="D402" s="11">
        <v>41671</v>
      </c>
      <c r="E402" t="s">
        <v>2174</v>
      </c>
      <c r="F402">
        <v>5</v>
      </c>
      <c r="G402" t="s">
        <v>55</v>
      </c>
      <c r="H402" t="s">
        <v>40</v>
      </c>
      <c r="I402" t="s">
        <v>2188</v>
      </c>
      <c r="J402" s="10">
        <v>6</v>
      </c>
      <c r="K402" t="b">
        <v>1</v>
      </c>
    </row>
    <row r="403" spans="1:11">
      <c r="A403" s="12">
        <v>41691</v>
      </c>
      <c r="B403">
        <v>2014</v>
      </c>
      <c r="C403">
        <v>2</v>
      </c>
      <c r="D403" s="11">
        <v>41671</v>
      </c>
      <c r="E403" t="s">
        <v>2174</v>
      </c>
      <c r="F403">
        <v>5</v>
      </c>
      <c r="G403" t="s">
        <v>55</v>
      </c>
      <c r="H403" t="s">
        <v>41</v>
      </c>
      <c r="I403" t="s">
        <v>2189</v>
      </c>
      <c r="J403" s="10">
        <v>4.34</v>
      </c>
      <c r="K403" t="b">
        <v>1</v>
      </c>
    </row>
    <row r="404" spans="1:11">
      <c r="A404" s="12">
        <v>41691</v>
      </c>
      <c r="B404">
        <v>2014</v>
      </c>
      <c r="C404">
        <v>2</v>
      </c>
      <c r="D404" s="11">
        <v>41671</v>
      </c>
      <c r="E404" t="s">
        <v>2174</v>
      </c>
      <c r="F404">
        <v>5</v>
      </c>
      <c r="G404" t="s">
        <v>55</v>
      </c>
      <c r="H404" t="s">
        <v>42</v>
      </c>
      <c r="I404" t="s">
        <v>2190</v>
      </c>
      <c r="J404" s="10">
        <v>9</v>
      </c>
      <c r="K404" t="b">
        <v>1</v>
      </c>
    </row>
    <row r="405" spans="1:11">
      <c r="A405" s="12">
        <v>41691</v>
      </c>
      <c r="B405">
        <v>2014</v>
      </c>
      <c r="C405">
        <v>2</v>
      </c>
      <c r="D405" s="11">
        <v>41671</v>
      </c>
      <c r="E405" t="s">
        <v>2174</v>
      </c>
      <c r="F405">
        <v>5</v>
      </c>
      <c r="G405" t="s">
        <v>55</v>
      </c>
      <c r="H405" t="s">
        <v>43</v>
      </c>
      <c r="I405" t="s">
        <v>2191</v>
      </c>
      <c r="J405" s="10">
        <v>25.4</v>
      </c>
      <c r="K405" t="b">
        <v>1</v>
      </c>
    </row>
    <row r="406" spans="1:11">
      <c r="A406" s="12">
        <v>41691</v>
      </c>
      <c r="B406">
        <v>2014</v>
      </c>
      <c r="C406">
        <v>2</v>
      </c>
      <c r="D406" s="11">
        <v>41671</v>
      </c>
      <c r="E406" t="s">
        <v>2174</v>
      </c>
      <c r="F406">
        <v>5</v>
      </c>
      <c r="G406" t="s">
        <v>55</v>
      </c>
      <c r="H406" t="s">
        <v>44</v>
      </c>
      <c r="I406" t="s">
        <v>2192</v>
      </c>
      <c r="J406" s="10">
        <v>17</v>
      </c>
      <c r="K406" t="b">
        <v>1</v>
      </c>
    </row>
    <row r="407" spans="1:11">
      <c r="A407" s="12">
        <v>41691</v>
      </c>
      <c r="B407">
        <v>2014</v>
      </c>
      <c r="C407">
        <v>2</v>
      </c>
      <c r="D407" s="11">
        <v>41671</v>
      </c>
      <c r="E407" t="s">
        <v>2174</v>
      </c>
      <c r="F407">
        <v>5</v>
      </c>
      <c r="G407" t="s">
        <v>55</v>
      </c>
      <c r="H407" t="s">
        <v>45</v>
      </c>
      <c r="I407" t="s">
        <v>2193</v>
      </c>
      <c r="J407" s="10">
        <v>0</v>
      </c>
      <c r="K407" t="b">
        <v>1</v>
      </c>
    </row>
    <row r="408" spans="1:11">
      <c r="A408" s="12">
        <v>41691</v>
      </c>
      <c r="B408">
        <v>2014</v>
      </c>
      <c r="C408">
        <v>2</v>
      </c>
      <c r="D408" s="11">
        <v>41671</v>
      </c>
      <c r="E408" t="s">
        <v>2174</v>
      </c>
      <c r="F408">
        <v>5</v>
      </c>
      <c r="G408" t="s">
        <v>55</v>
      </c>
      <c r="H408" t="s">
        <v>46</v>
      </c>
      <c r="I408" t="s">
        <v>2194</v>
      </c>
      <c r="J408" s="10">
        <v>0</v>
      </c>
      <c r="K408" t="b">
        <v>1</v>
      </c>
    </row>
    <row r="409" spans="1:11">
      <c r="A409" s="12">
        <v>41691</v>
      </c>
      <c r="B409">
        <v>2014</v>
      </c>
      <c r="C409">
        <v>2</v>
      </c>
      <c r="D409" s="11">
        <v>41671</v>
      </c>
      <c r="E409" t="s">
        <v>2174</v>
      </c>
      <c r="F409">
        <v>5</v>
      </c>
      <c r="G409" t="s">
        <v>55</v>
      </c>
      <c r="H409" t="s">
        <v>47</v>
      </c>
      <c r="I409" t="s">
        <v>2195</v>
      </c>
      <c r="J409" s="10">
        <v>0</v>
      </c>
      <c r="K409" t="b">
        <v>1</v>
      </c>
    </row>
    <row r="410" spans="1:11">
      <c r="A410" s="12">
        <v>41692</v>
      </c>
      <c r="B410">
        <v>2014</v>
      </c>
      <c r="C410">
        <v>2</v>
      </c>
      <c r="D410" s="11">
        <v>41671</v>
      </c>
      <c r="E410" t="s">
        <v>2174</v>
      </c>
      <c r="F410">
        <v>6</v>
      </c>
      <c r="G410" t="s">
        <v>57</v>
      </c>
      <c r="H410" t="s">
        <v>40</v>
      </c>
      <c r="I410" t="s">
        <v>2188</v>
      </c>
      <c r="J410" s="10">
        <v>7</v>
      </c>
      <c r="K410" t="b">
        <v>1</v>
      </c>
    </row>
    <row r="411" spans="1:11">
      <c r="A411" s="12">
        <v>41692</v>
      </c>
      <c r="B411">
        <v>2014</v>
      </c>
      <c r="C411">
        <v>2</v>
      </c>
      <c r="D411" s="11">
        <v>41671</v>
      </c>
      <c r="E411" t="s">
        <v>2174</v>
      </c>
      <c r="F411">
        <v>6</v>
      </c>
      <c r="G411" t="s">
        <v>57</v>
      </c>
      <c r="H411" t="s">
        <v>41</v>
      </c>
      <c r="I411" t="s">
        <v>2189</v>
      </c>
      <c r="J411" s="10">
        <v>3.17</v>
      </c>
      <c r="K411" t="b">
        <v>1</v>
      </c>
    </row>
    <row r="412" spans="1:11">
      <c r="A412" s="12">
        <v>41692</v>
      </c>
      <c r="B412">
        <v>2014</v>
      </c>
      <c r="C412">
        <v>2</v>
      </c>
      <c r="D412" s="11">
        <v>41671</v>
      </c>
      <c r="E412" t="s">
        <v>2174</v>
      </c>
      <c r="F412">
        <v>6</v>
      </c>
      <c r="G412" t="s">
        <v>57</v>
      </c>
      <c r="H412" t="s">
        <v>42</v>
      </c>
      <c r="I412" t="s">
        <v>2190</v>
      </c>
      <c r="J412" s="10">
        <v>5.7</v>
      </c>
      <c r="K412" t="b">
        <v>1</v>
      </c>
    </row>
    <row r="413" spans="1:11">
      <c r="A413" s="12">
        <v>41692</v>
      </c>
      <c r="B413">
        <v>2014</v>
      </c>
      <c r="C413">
        <v>2</v>
      </c>
      <c r="D413" s="11">
        <v>41671</v>
      </c>
      <c r="E413" t="s">
        <v>2174</v>
      </c>
      <c r="F413">
        <v>6</v>
      </c>
      <c r="G413" t="s">
        <v>57</v>
      </c>
      <c r="H413" t="s">
        <v>43</v>
      </c>
      <c r="I413" t="s">
        <v>2191</v>
      </c>
      <c r="J413" s="10">
        <v>26</v>
      </c>
      <c r="K413" t="b">
        <v>1</v>
      </c>
    </row>
    <row r="414" spans="1:11">
      <c r="A414" s="12">
        <v>41692</v>
      </c>
      <c r="B414">
        <v>2014</v>
      </c>
      <c r="C414">
        <v>2</v>
      </c>
      <c r="D414" s="11">
        <v>41671</v>
      </c>
      <c r="E414" t="s">
        <v>2174</v>
      </c>
      <c r="F414">
        <v>6</v>
      </c>
      <c r="G414" t="s">
        <v>57</v>
      </c>
      <c r="H414" t="s">
        <v>44</v>
      </c>
      <c r="I414" t="s">
        <v>2192</v>
      </c>
      <c r="J414" s="10">
        <v>12</v>
      </c>
      <c r="K414" t="b">
        <v>1</v>
      </c>
    </row>
    <row r="415" spans="1:11">
      <c r="A415" s="12">
        <v>41692</v>
      </c>
      <c r="B415">
        <v>2014</v>
      </c>
      <c r="C415">
        <v>2</v>
      </c>
      <c r="D415" s="11">
        <v>41671</v>
      </c>
      <c r="E415" t="s">
        <v>2174</v>
      </c>
      <c r="F415">
        <v>6</v>
      </c>
      <c r="G415" t="s">
        <v>57</v>
      </c>
      <c r="H415" t="s">
        <v>45</v>
      </c>
      <c r="I415" t="s">
        <v>2193</v>
      </c>
      <c r="J415" s="10">
        <v>0</v>
      </c>
      <c r="K415" t="b">
        <v>1</v>
      </c>
    </row>
    <row r="416" spans="1:11">
      <c r="A416" s="12">
        <v>41692</v>
      </c>
      <c r="B416">
        <v>2014</v>
      </c>
      <c r="C416">
        <v>2</v>
      </c>
      <c r="D416" s="11">
        <v>41671</v>
      </c>
      <c r="E416" t="s">
        <v>2174</v>
      </c>
      <c r="F416">
        <v>6</v>
      </c>
      <c r="G416" t="s">
        <v>57</v>
      </c>
      <c r="H416" t="s">
        <v>46</v>
      </c>
      <c r="I416" t="s">
        <v>2194</v>
      </c>
      <c r="J416" s="10">
        <v>1</v>
      </c>
      <c r="K416" t="b">
        <v>1</v>
      </c>
    </row>
    <row r="417" spans="1:11">
      <c r="A417" s="12">
        <v>41692</v>
      </c>
      <c r="B417">
        <v>2014</v>
      </c>
      <c r="C417">
        <v>2</v>
      </c>
      <c r="D417" s="11">
        <v>41671</v>
      </c>
      <c r="E417" t="s">
        <v>2174</v>
      </c>
      <c r="F417">
        <v>6</v>
      </c>
      <c r="G417" t="s">
        <v>57</v>
      </c>
      <c r="H417" t="s">
        <v>47</v>
      </c>
      <c r="I417" t="s">
        <v>2195</v>
      </c>
      <c r="J417" s="10">
        <v>0</v>
      </c>
      <c r="K417" t="b">
        <v>1</v>
      </c>
    </row>
    <row r="418" spans="1:11">
      <c r="A418" s="12">
        <v>41693</v>
      </c>
      <c r="B418">
        <v>2014</v>
      </c>
      <c r="C418">
        <v>2</v>
      </c>
      <c r="D418" s="11">
        <v>41671</v>
      </c>
      <c r="E418" t="s">
        <v>2174</v>
      </c>
      <c r="F418">
        <v>7</v>
      </c>
      <c r="G418" t="s">
        <v>59</v>
      </c>
      <c r="H418" t="s">
        <v>40</v>
      </c>
      <c r="I418" t="s">
        <v>2188</v>
      </c>
      <c r="J418" s="10">
        <v>1</v>
      </c>
      <c r="K418" t="b">
        <v>1</v>
      </c>
    </row>
    <row r="419" spans="1:11">
      <c r="A419" s="12">
        <v>41693</v>
      </c>
      <c r="B419">
        <v>2014</v>
      </c>
      <c r="C419">
        <v>2</v>
      </c>
      <c r="D419" s="11">
        <v>41671</v>
      </c>
      <c r="E419" t="s">
        <v>2174</v>
      </c>
      <c r="F419">
        <v>7</v>
      </c>
      <c r="G419" t="s">
        <v>59</v>
      </c>
      <c r="H419" t="s">
        <v>41</v>
      </c>
      <c r="I419" t="s">
        <v>2189</v>
      </c>
      <c r="J419" s="10">
        <v>3.34</v>
      </c>
      <c r="K419" t="b">
        <v>1</v>
      </c>
    </row>
    <row r="420" spans="1:11">
      <c r="A420" s="12">
        <v>41693</v>
      </c>
      <c r="B420">
        <v>2014</v>
      </c>
      <c r="C420">
        <v>2</v>
      </c>
      <c r="D420" s="11">
        <v>41671</v>
      </c>
      <c r="E420" t="s">
        <v>2174</v>
      </c>
      <c r="F420">
        <v>7</v>
      </c>
      <c r="G420" t="s">
        <v>59</v>
      </c>
      <c r="H420" t="s">
        <v>42</v>
      </c>
      <c r="I420" t="s">
        <v>2190</v>
      </c>
      <c r="J420" s="10">
        <v>2</v>
      </c>
      <c r="K420" t="b">
        <v>1</v>
      </c>
    </row>
    <row r="421" spans="1:11">
      <c r="A421" s="12">
        <v>41693</v>
      </c>
      <c r="B421">
        <v>2014</v>
      </c>
      <c r="C421">
        <v>2</v>
      </c>
      <c r="D421" s="11">
        <v>41671</v>
      </c>
      <c r="E421" t="s">
        <v>2174</v>
      </c>
      <c r="F421">
        <v>7</v>
      </c>
      <c r="G421" t="s">
        <v>59</v>
      </c>
      <c r="H421" t="s">
        <v>43</v>
      </c>
      <c r="I421" t="s">
        <v>2191</v>
      </c>
      <c r="J421" s="10">
        <v>21</v>
      </c>
      <c r="K421" t="b">
        <v>1</v>
      </c>
    </row>
    <row r="422" spans="1:11">
      <c r="A422" s="12">
        <v>41693</v>
      </c>
      <c r="B422">
        <v>2014</v>
      </c>
      <c r="C422">
        <v>2</v>
      </c>
      <c r="D422" s="11">
        <v>41671</v>
      </c>
      <c r="E422" t="s">
        <v>2174</v>
      </c>
      <c r="F422">
        <v>7</v>
      </c>
      <c r="G422" t="s">
        <v>59</v>
      </c>
      <c r="H422" t="s">
        <v>44</v>
      </c>
      <c r="I422" t="s">
        <v>2192</v>
      </c>
      <c r="J422" s="10">
        <v>10</v>
      </c>
      <c r="K422" t="b">
        <v>1</v>
      </c>
    </row>
    <row r="423" spans="1:11">
      <c r="A423" s="12">
        <v>41693</v>
      </c>
      <c r="B423">
        <v>2014</v>
      </c>
      <c r="C423">
        <v>2</v>
      </c>
      <c r="D423" s="11">
        <v>41671</v>
      </c>
      <c r="E423" t="s">
        <v>2174</v>
      </c>
      <c r="F423">
        <v>7</v>
      </c>
      <c r="G423" t="s">
        <v>59</v>
      </c>
      <c r="H423" t="s">
        <v>45</v>
      </c>
      <c r="I423" t="s">
        <v>2193</v>
      </c>
      <c r="J423" s="10">
        <v>0</v>
      </c>
      <c r="K423" t="b">
        <v>1</v>
      </c>
    </row>
    <row r="424" spans="1:11">
      <c r="A424" s="12">
        <v>41693</v>
      </c>
      <c r="B424">
        <v>2014</v>
      </c>
      <c r="C424">
        <v>2</v>
      </c>
      <c r="D424" s="11">
        <v>41671</v>
      </c>
      <c r="E424" t="s">
        <v>2174</v>
      </c>
      <c r="F424">
        <v>7</v>
      </c>
      <c r="G424" t="s">
        <v>59</v>
      </c>
      <c r="H424" t="s">
        <v>46</v>
      </c>
      <c r="I424" t="s">
        <v>2194</v>
      </c>
      <c r="J424" s="10">
        <v>0</v>
      </c>
      <c r="K424" t="b">
        <v>1</v>
      </c>
    </row>
    <row r="425" spans="1:11">
      <c r="A425" s="12">
        <v>41693</v>
      </c>
      <c r="B425">
        <v>2014</v>
      </c>
      <c r="C425">
        <v>2</v>
      </c>
      <c r="D425" s="11">
        <v>41671</v>
      </c>
      <c r="E425" t="s">
        <v>2174</v>
      </c>
      <c r="F425">
        <v>7</v>
      </c>
      <c r="G425" t="s">
        <v>59</v>
      </c>
      <c r="H425" t="s">
        <v>47</v>
      </c>
      <c r="I425" t="s">
        <v>2195</v>
      </c>
      <c r="J425" s="10">
        <v>0</v>
      </c>
      <c r="K425" t="b">
        <v>1</v>
      </c>
    </row>
    <row r="426" spans="1:11">
      <c r="A426" s="12">
        <v>41694</v>
      </c>
      <c r="B426">
        <v>2014</v>
      </c>
      <c r="C426">
        <v>2</v>
      </c>
      <c r="D426" s="11">
        <v>41671</v>
      </c>
      <c r="E426" t="s">
        <v>2174</v>
      </c>
      <c r="F426">
        <v>1</v>
      </c>
      <c r="G426" t="s">
        <v>61</v>
      </c>
      <c r="H426" t="s">
        <v>40</v>
      </c>
      <c r="I426" t="s">
        <v>2188</v>
      </c>
      <c r="J426" s="10">
        <v>7</v>
      </c>
      <c r="K426" t="b">
        <v>1</v>
      </c>
    </row>
    <row r="427" spans="1:11">
      <c r="A427" s="12">
        <v>41694</v>
      </c>
      <c r="B427">
        <v>2014</v>
      </c>
      <c r="C427">
        <v>2</v>
      </c>
      <c r="D427" s="11">
        <v>41671</v>
      </c>
      <c r="E427" t="s">
        <v>2174</v>
      </c>
      <c r="F427">
        <v>1</v>
      </c>
      <c r="G427" t="s">
        <v>61</v>
      </c>
      <c r="H427" t="s">
        <v>41</v>
      </c>
      <c r="I427" t="s">
        <v>2189</v>
      </c>
      <c r="J427" s="10">
        <v>4.68</v>
      </c>
      <c r="K427" t="b">
        <v>1</v>
      </c>
    </row>
    <row r="428" spans="1:11">
      <c r="A428" s="12">
        <v>41694</v>
      </c>
      <c r="B428">
        <v>2014</v>
      </c>
      <c r="C428">
        <v>2</v>
      </c>
      <c r="D428" s="11">
        <v>41671</v>
      </c>
      <c r="E428" t="s">
        <v>2174</v>
      </c>
      <c r="F428">
        <v>1</v>
      </c>
      <c r="G428" t="s">
        <v>61</v>
      </c>
      <c r="H428" t="s">
        <v>42</v>
      </c>
      <c r="I428" t="s">
        <v>2190</v>
      </c>
      <c r="J428" s="10">
        <v>5.5</v>
      </c>
      <c r="K428" t="b">
        <v>1</v>
      </c>
    </row>
    <row r="429" spans="1:11">
      <c r="A429" s="12">
        <v>41694</v>
      </c>
      <c r="B429">
        <v>2014</v>
      </c>
      <c r="C429">
        <v>2</v>
      </c>
      <c r="D429" s="11">
        <v>41671</v>
      </c>
      <c r="E429" t="s">
        <v>2174</v>
      </c>
      <c r="F429">
        <v>1</v>
      </c>
      <c r="G429" t="s">
        <v>61</v>
      </c>
      <c r="H429" t="s">
        <v>43</v>
      </c>
      <c r="I429" t="s">
        <v>2191</v>
      </c>
      <c r="J429" s="10">
        <v>26.5</v>
      </c>
      <c r="K429" t="b">
        <v>1</v>
      </c>
    </row>
    <row r="430" spans="1:11">
      <c r="A430" s="12">
        <v>41694</v>
      </c>
      <c r="B430">
        <v>2014</v>
      </c>
      <c r="C430">
        <v>2</v>
      </c>
      <c r="D430" s="11">
        <v>41671</v>
      </c>
      <c r="E430" t="s">
        <v>2174</v>
      </c>
      <c r="F430">
        <v>1</v>
      </c>
      <c r="G430" t="s">
        <v>61</v>
      </c>
      <c r="H430" t="s">
        <v>44</v>
      </c>
      <c r="I430" t="s">
        <v>2192</v>
      </c>
      <c r="J430" s="10">
        <v>4</v>
      </c>
      <c r="K430" t="b">
        <v>1</v>
      </c>
    </row>
    <row r="431" spans="1:11">
      <c r="A431" s="12">
        <v>41694</v>
      </c>
      <c r="B431">
        <v>2014</v>
      </c>
      <c r="C431">
        <v>2</v>
      </c>
      <c r="D431" s="11">
        <v>41671</v>
      </c>
      <c r="E431" t="s">
        <v>2174</v>
      </c>
      <c r="F431">
        <v>1</v>
      </c>
      <c r="G431" t="s">
        <v>61</v>
      </c>
      <c r="H431" t="s">
        <v>45</v>
      </c>
      <c r="I431" t="s">
        <v>2193</v>
      </c>
      <c r="J431" s="10">
        <v>0</v>
      </c>
      <c r="K431" t="b">
        <v>1</v>
      </c>
    </row>
    <row r="432" spans="1:11">
      <c r="A432" s="12">
        <v>41694</v>
      </c>
      <c r="B432">
        <v>2014</v>
      </c>
      <c r="C432">
        <v>2</v>
      </c>
      <c r="D432" s="11">
        <v>41671</v>
      </c>
      <c r="E432" t="s">
        <v>2174</v>
      </c>
      <c r="F432">
        <v>1</v>
      </c>
      <c r="G432" t="s">
        <v>61</v>
      </c>
      <c r="H432" t="s">
        <v>46</v>
      </c>
      <c r="I432" t="s">
        <v>2194</v>
      </c>
      <c r="J432" s="10">
        <v>0</v>
      </c>
      <c r="K432" t="b">
        <v>1</v>
      </c>
    </row>
    <row r="433" spans="1:11">
      <c r="A433" s="12">
        <v>41694</v>
      </c>
      <c r="B433">
        <v>2014</v>
      </c>
      <c r="C433">
        <v>2</v>
      </c>
      <c r="D433" s="11">
        <v>41671</v>
      </c>
      <c r="E433" t="s">
        <v>2174</v>
      </c>
      <c r="F433">
        <v>1</v>
      </c>
      <c r="G433" t="s">
        <v>61</v>
      </c>
      <c r="H433" t="s">
        <v>47</v>
      </c>
      <c r="I433" t="s">
        <v>2195</v>
      </c>
      <c r="J433" s="10">
        <v>3</v>
      </c>
      <c r="K433" t="b">
        <v>1</v>
      </c>
    </row>
    <row r="434" spans="1:11">
      <c r="A434" s="12">
        <v>41695</v>
      </c>
      <c r="B434">
        <v>2014</v>
      </c>
      <c r="C434">
        <v>2</v>
      </c>
      <c r="D434" s="11">
        <v>41671</v>
      </c>
      <c r="E434" t="s">
        <v>2174</v>
      </c>
      <c r="F434">
        <v>2</v>
      </c>
      <c r="G434" t="s">
        <v>63</v>
      </c>
      <c r="H434" t="s">
        <v>40</v>
      </c>
      <c r="I434" t="s">
        <v>2188</v>
      </c>
      <c r="J434" s="10">
        <v>5</v>
      </c>
      <c r="K434" t="b">
        <v>1</v>
      </c>
    </row>
    <row r="435" spans="1:11">
      <c r="A435" s="12">
        <v>41695</v>
      </c>
      <c r="B435">
        <v>2014</v>
      </c>
      <c r="C435">
        <v>2</v>
      </c>
      <c r="D435" s="11">
        <v>41671</v>
      </c>
      <c r="E435" t="s">
        <v>2174</v>
      </c>
      <c r="F435">
        <v>2</v>
      </c>
      <c r="G435" t="s">
        <v>63</v>
      </c>
      <c r="H435" t="s">
        <v>41</v>
      </c>
      <c r="I435" t="s">
        <v>2189</v>
      </c>
      <c r="J435" s="10">
        <v>1.68</v>
      </c>
      <c r="K435" t="b">
        <v>1</v>
      </c>
    </row>
    <row r="436" spans="1:11">
      <c r="A436" s="12">
        <v>41695</v>
      </c>
      <c r="B436">
        <v>2014</v>
      </c>
      <c r="C436">
        <v>2</v>
      </c>
      <c r="D436" s="11">
        <v>41671</v>
      </c>
      <c r="E436" t="s">
        <v>2174</v>
      </c>
      <c r="F436">
        <v>2</v>
      </c>
      <c r="G436" t="s">
        <v>63</v>
      </c>
      <c r="H436" t="s">
        <v>42</v>
      </c>
      <c r="I436" t="s">
        <v>2190</v>
      </c>
      <c r="J436" s="10">
        <v>11.2</v>
      </c>
      <c r="K436" t="b">
        <v>1</v>
      </c>
    </row>
    <row r="437" spans="1:11">
      <c r="A437" s="12">
        <v>41695</v>
      </c>
      <c r="B437">
        <v>2014</v>
      </c>
      <c r="C437">
        <v>2</v>
      </c>
      <c r="D437" s="11">
        <v>41671</v>
      </c>
      <c r="E437" t="s">
        <v>2174</v>
      </c>
      <c r="F437">
        <v>2</v>
      </c>
      <c r="G437" t="s">
        <v>63</v>
      </c>
      <c r="H437" t="s">
        <v>43</v>
      </c>
      <c r="I437" t="s">
        <v>2191</v>
      </c>
      <c r="J437" s="10">
        <v>34.5</v>
      </c>
      <c r="K437" t="b">
        <v>1</v>
      </c>
    </row>
    <row r="438" spans="1:11">
      <c r="A438" s="12">
        <v>41695</v>
      </c>
      <c r="B438">
        <v>2014</v>
      </c>
      <c r="C438">
        <v>2</v>
      </c>
      <c r="D438" s="11">
        <v>41671</v>
      </c>
      <c r="E438" t="s">
        <v>2174</v>
      </c>
      <c r="F438">
        <v>2</v>
      </c>
      <c r="G438" t="s">
        <v>63</v>
      </c>
      <c r="H438" t="s">
        <v>44</v>
      </c>
      <c r="I438" t="s">
        <v>2192</v>
      </c>
      <c r="J438" s="10">
        <v>13</v>
      </c>
      <c r="K438" t="b">
        <v>1</v>
      </c>
    </row>
    <row r="439" spans="1:11">
      <c r="A439" s="12">
        <v>41695</v>
      </c>
      <c r="B439">
        <v>2014</v>
      </c>
      <c r="C439">
        <v>2</v>
      </c>
      <c r="D439" s="11">
        <v>41671</v>
      </c>
      <c r="E439" t="s">
        <v>2174</v>
      </c>
      <c r="F439">
        <v>2</v>
      </c>
      <c r="G439" t="s">
        <v>63</v>
      </c>
      <c r="H439" t="s">
        <v>45</v>
      </c>
      <c r="I439" t="s">
        <v>2193</v>
      </c>
      <c r="J439" s="10">
        <v>0</v>
      </c>
      <c r="K439" t="b">
        <v>1</v>
      </c>
    </row>
    <row r="440" spans="1:11">
      <c r="A440" s="12">
        <v>41695</v>
      </c>
      <c r="B440">
        <v>2014</v>
      </c>
      <c r="C440">
        <v>2</v>
      </c>
      <c r="D440" s="11">
        <v>41671</v>
      </c>
      <c r="E440" t="s">
        <v>2174</v>
      </c>
      <c r="F440">
        <v>2</v>
      </c>
      <c r="G440" t="s">
        <v>63</v>
      </c>
      <c r="H440" t="s">
        <v>46</v>
      </c>
      <c r="I440" t="s">
        <v>2194</v>
      </c>
      <c r="J440" s="10">
        <v>0</v>
      </c>
      <c r="K440" t="b">
        <v>1</v>
      </c>
    </row>
    <row r="441" spans="1:11">
      <c r="A441" s="12">
        <v>41695</v>
      </c>
      <c r="B441">
        <v>2014</v>
      </c>
      <c r="C441">
        <v>2</v>
      </c>
      <c r="D441" s="11">
        <v>41671</v>
      </c>
      <c r="E441" t="s">
        <v>2174</v>
      </c>
      <c r="F441">
        <v>2</v>
      </c>
      <c r="G441" t="s">
        <v>63</v>
      </c>
      <c r="H441" t="s">
        <v>47</v>
      </c>
      <c r="I441" t="s">
        <v>2195</v>
      </c>
      <c r="J441" s="10">
        <v>2</v>
      </c>
      <c r="K441" t="b">
        <v>1</v>
      </c>
    </row>
    <row r="442" spans="1:11">
      <c r="A442" s="12">
        <v>41696</v>
      </c>
      <c r="B442">
        <v>2014</v>
      </c>
      <c r="C442">
        <v>2</v>
      </c>
      <c r="D442" s="11">
        <v>41671</v>
      </c>
      <c r="E442" t="s">
        <v>2174</v>
      </c>
      <c r="F442">
        <v>3</v>
      </c>
      <c r="G442" t="s">
        <v>65</v>
      </c>
      <c r="H442" t="s">
        <v>40</v>
      </c>
      <c r="I442" t="s">
        <v>2188</v>
      </c>
      <c r="J442" s="10">
        <v>5</v>
      </c>
      <c r="K442" t="b">
        <v>1</v>
      </c>
    </row>
    <row r="443" spans="1:11">
      <c r="A443" s="12">
        <v>41696</v>
      </c>
      <c r="B443">
        <v>2014</v>
      </c>
      <c r="C443">
        <v>2</v>
      </c>
      <c r="D443" s="11">
        <v>41671</v>
      </c>
      <c r="E443" t="s">
        <v>2174</v>
      </c>
      <c r="F443">
        <v>3</v>
      </c>
      <c r="G443" t="s">
        <v>65</v>
      </c>
      <c r="H443" t="s">
        <v>41</v>
      </c>
      <c r="I443" t="s">
        <v>2189</v>
      </c>
      <c r="J443" s="10">
        <v>4.01</v>
      </c>
      <c r="K443" t="b">
        <v>1</v>
      </c>
    </row>
    <row r="444" spans="1:11">
      <c r="A444" s="12">
        <v>41696</v>
      </c>
      <c r="B444">
        <v>2014</v>
      </c>
      <c r="C444">
        <v>2</v>
      </c>
      <c r="D444" s="11">
        <v>41671</v>
      </c>
      <c r="E444" t="s">
        <v>2174</v>
      </c>
      <c r="F444">
        <v>3</v>
      </c>
      <c r="G444" t="s">
        <v>65</v>
      </c>
      <c r="H444" t="s">
        <v>42</v>
      </c>
      <c r="I444" t="s">
        <v>2190</v>
      </c>
      <c r="J444" s="10">
        <v>1</v>
      </c>
      <c r="K444" t="b">
        <v>1</v>
      </c>
    </row>
    <row r="445" spans="1:11">
      <c r="A445" s="12">
        <v>41696</v>
      </c>
      <c r="B445">
        <v>2014</v>
      </c>
      <c r="C445">
        <v>2</v>
      </c>
      <c r="D445" s="11">
        <v>41671</v>
      </c>
      <c r="E445" t="s">
        <v>2174</v>
      </c>
      <c r="F445">
        <v>3</v>
      </c>
      <c r="G445" t="s">
        <v>65</v>
      </c>
      <c r="H445" t="s">
        <v>43</v>
      </c>
      <c r="I445" t="s">
        <v>2191</v>
      </c>
      <c r="J445" s="10">
        <v>34</v>
      </c>
      <c r="K445" t="b">
        <v>1</v>
      </c>
    </row>
    <row r="446" spans="1:11">
      <c r="A446" s="12">
        <v>41696</v>
      </c>
      <c r="B446">
        <v>2014</v>
      </c>
      <c r="C446">
        <v>2</v>
      </c>
      <c r="D446" s="11">
        <v>41671</v>
      </c>
      <c r="E446" t="s">
        <v>2174</v>
      </c>
      <c r="F446">
        <v>3</v>
      </c>
      <c r="G446" t="s">
        <v>65</v>
      </c>
      <c r="H446" t="s">
        <v>44</v>
      </c>
      <c r="I446" t="s">
        <v>2192</v>
      </c>
      <c r="J446" s="10">
        <v>5</v>
      </c>
      <c r="K446" t="b">
        <v>1</v>
      </c>
    </row>
    <row r="447" spans="1:11">
      <c r="A447" s="12">
        <v>41696</v>
      </c>
      <c r="B447">
        <v>2014</v>
      </c>
      <c r="C447">
        <v>2</v>
      </c>
      <c r="D447" s="11">
        <v>41671</v>
      </c>
      <c r="E447" t="s">
        <v>2174</v>
      </c>
      <c r="F447">
        <v>3</v>
      </c>
      <c r="G447" t="s">
        <v>65</v>
      </c>
      <c r="H447" t="s">
        <v>45</v>
      </c>
      <c r="I447" t="s">
        <v>2193</v>
      </c>
      <c r="J447" s="10">
        <v>0</v>
      </c>
      <c r="K447" t="b">
        <v>1</v>
      </c>
    </row>
    <row r="448" spans="1:11">
      <c r="A448" s="12">
        <v>41696</v>
      </c>
      <c r="B448">
        <v>2014</v>
      </c>
      <c r="C448">
        <v>2</v>
      </c>
      <c r="D448" s="11">
        <v>41671</v>
      </c>
      <c r="E448" t="s">
        <v>2174</v>
      </c>
      <c r="F448">
        <v>3</v>
      </c>
      <c r="G448" t="s">
        <v>65</v>
      </c>
      <c r="H448" t="s">
        <v>46</v>
      </c>
      <c r="I448" t="s">
        <v>2194</v>
      </c>
      <c r="J448" s="10">
        <v>12</v>
      </c>
      <c r="K448" t="b">
        <v>1</v>
      </c>
    </row>
    <row r="449" spans="1:11">
      <c r="A449" s="12">
        <v>41696</v>
      </c>
      <c r="B449">
        <v>2014</v>
      </c>
      <c r="C449">
        <v>2</v>
      </c>
      <c r="D449" s="11">
        <v>41671</v>
      </c>
      <c r="E449" t="s">
        <v>2174</v>
      </c>
      <c r="F449">
        <v>3</v>
      </c>
      <c r="G449" t="s">
        <v>65</v>
      </c>
      <c r="H449" t="s">
        <v>47</v>
      </c>
      <c r="I449" t="s">
        <v>2195</v>
      </c>
      <c r="J449" s="10">
        <v>1</v>
      </c>
      <c r="K449" t="b">
        <v>1</v>
      </c>
    </row>
    <row r="450" spans="1:11">
      <c r="A450" s="12">
        <v>41697</v>
      </c>
      <c r="B450">
        <v>2014</v>
      </c>
      <c r="C450">
        <v>2</v>
      </c>
      <c r="D450" s="11">
        <v>41671</v>
      </c>
      <c r="E450" t="s">
        <v>2174</v>
      </c>
      <c r="F450">
        <v>4</v>
      </c>
      <c r="G450" t="s">
        <v>53</v>
      </c>
      <c r="H450" t="s">
        <v>40</v>
      </c>
      <c r="I450" t="s">
        <v>2188</v>
      </c>
      <c r="J450" s="10">
        <v>3</v>
      </c>
      <c r="K450" t="b">
        <v>1</v>
      </c>
    </row>
    <row r="451" spans="1:11">
      <c r="A451" s="12">
        <v>41697</v>
      </c>
      <c r="B451">
        <v>2014</v>
      </c>
      <c r="C451">
        <v>2</v>
      </c>
      <c r="D451" s="11">
        <v>41671</v>
      </c>
      <c r="E451" t="s">
        <v>2174</v>
      </c>
      <c r="F451">
        <v>4</v>
      </c>
      <c r="G451" t="s">
        <v>53</v>
      </c>
      <c r="H451" t="s">
        <v>41</v>
      </c>
      <c r="I451" t="s">
        <v>2189</v>
      </c>
      <c r="J451" s="10">
        <v>6.34</v>
      </c>
      <c r="K451" t="b">
        <v>1</v>
      </c>
    </row>
    <row r="452" spans="1:11">
      <c r="A452" s="12">
        <v>41697</v>
      </c>
      <c r="B452">
        <v>2014</v>
      </c>
      <c r="C452">
        <v>2</v>
      </c>
      <c r="D452" s="11">
        <v>41671</v>
      </c>
      <c r="E452" t="s">
        <v>2174</v>
      </c>
      <c r="F452">
        <v>4</v>
      </c>
      <c r="G452" t="s">
        <v>53</v>
      </c>
      <c r="H452" t="s">
        <v>42</v>
      </c>
      <c r="I452" t="s">
        <v>2190</v>
      </c>
      <c r="J452" s="10">
        <v>4</v>
      </c>
      <c r="K452" t="b">
        <v>1</v>
      </c>
    </row>
    <row r="453" spans="1:11">
      <c r="A453" s="12">
        <v>41697</v>
      </c>
      <c r="B453">
        <v>2014</v>
      </c>
      <c r="C453">
        <v>2</v>
      </c>
      <c r="D453" s="11">
        <v>41671</v>
      </c>
      <c r="E453" t="s">
        <v>2174</v>
      </c>
      <c r="F453">
        <v>4</v>
      </c>
      <c r="G453" t="s">
        <v>53</v>
      </c>
      <c r="H453" t="s">
        <v>43</v>
      </c>
      <c r="I453" t="s">
        <v>2191</v>
      </c>
      <c r="J453" s="10">
        <v>33.2</v>
      </c>
      <c r="K453" t="b">
        <v>1</v>
      </c>
    </row>
    <row r="454" spans="1:11">
      <c r="A454" s="12">
        <v>41697</v>
      </c>
      <c r="B454">
        <v>2014</v>
      </c>
      <c r="C454">
        <v>2</v>
      </c>
      <c r="D454" s="11">
        <v>41671</v>
      </c>
      <c r="E454" t="s">
        <v>2174</v>
      </c>
      <c r="F454">
        <v>4</v>
      </c>
      <c r="G454" t="s">
        <v>53</v>
      </c>
      <c r="H454" t="s">
        <v>44</v>
      </c>
      <c r="I454" t="s">
        <v>2192</v>
      </c>
      <c r="J454" s="10">
        <v>8</v>
      </c>
      <c r="K454" t="b">
        <v>1</v>
      </c>
    </row>
    <row r="455" spans="1:11">
      <c r="A455" s="12">
        <v>41697</v>
      </c>
      <c r="B455">
        <v>2014</v>
      </c>
      <c r="C455">
        <v>2</v>
      </c>
      <c r="D455" s="11">
        <v>41671</v>
      </c>
      <c r="E455" t="s">
        <v>2174</v>
      </c>
      <c r="F455">
        <v>4</v>
      </c>
      <c r="G455" t="s">
        <v>53</v>
      </c>
      <c r="H455" t="s">
        <v>45</v>
      </c>
      <c r="I455" t="s">
        <v>2193</v>
      </c>
      <c r="J455" s="10">
        <v>1</v>
      </c>
      <c r="K455" t="b">
        <v>1</v>
      </c>
    </row>
    <row r="456" spans="1:11">
      <c r="A456" s="12">
        <v>41697</v>
      </c>
      <c r="B456">
        <v>2014</v>
      </c>
      <c r="C456">
        <v>2</v>
      </c>
      <c r="D456" s="11">
        <v>41671</v>
      </c>
      <c r="E456" t="s">
        <v>2174</v>
      </c>
      <c r="F456">
        <v>4</v>
      </c>
      <c r="G456" t="s">
        <v>53</v>
      </c>
      <c r="H456" t="s">
        <v>46</v>
      </c>
      <c r="I456" t="s">
        <v>2194</v>
      </c>
      <c r="J456" s="10">
        <v>2</v>
      </c>
      <c r="K456" t="b">
        <v>1</v>
      </c>
    </row>
    <row r="457" spans="1:11">
      <c r="A457" s="12">
        <v>41697</v>
      </c>
      <c r="B457">
        <v>2014</v>
      </c>
      <c r="C457">
        <v>2</v>
      </c>
      <c r="D457" s="11">
        <v>41671</v>
      </c>
      <c r="E457" t="s">
        <v>2174</v>
      </c>
      <c r="F457">
        <v>4</v>
      </c>
      <c r="G457" t="s">
        <v>53</v>
      </c>
      <c r="H457" t="s">
        <v>47</v>
      </c>
      <c r="I457" t="s">
        <v>2195</v>
      </c>
      <c r="J457" s="10">
        <v>1</v>
      </c>
      <c r="K457" t="b">
        <v>1</v>
      </c>
    </row>
    <row r="458" spans="1:11">
      <c r="A458" s="12">
        <v>41698</v>
      </c>
      <c r="B458">
        <v>2014</v>
      </c>
      <c r="C458">
        <v>2</v>
      </c>
      <c r="D458" s="11">
        <v>41671</v>
      </c>
      <c r="E458" t="s">
        <v>2174</v>
      </c>
      <c r="F458">
        <v>5</v>
      </c>
      <c r="G458" t="s">
        <v>55</v>
      </c>
      <c r="H458" t="s">
        <v>40</v>
      </c>
      <c r="I458" t="s">
        <v>2188</v>
      </c>
      <c r="J458" s="10">
        <v>7</v>
      </c>
      <c r="K458" t="b">
        <v>1</v>
      </c>
    </row>
    <row r="459" spans="1:11">
      <c r="A459" s="12">
        <v>41698</v>
      </c>
      <c r="B459">
        <v>2014</v>
      </c>
      <c r="C459">
        <v>2</v>
      </c>
      <c r="D459" s="11">
        <v>41671</v>
      </c>
      <c r="E459" t="s">
        <v>2174</v>
      </c>
      <c r="F459">
        <v>5</v>
      </c>
      <c r="G459" t="s">
        <v>55</v>
      </c>
      <c r="H459" t="s">
        <v>41</v>
      </c>
      <c r="I459" t="s">
        <v>2189</v>
      </c>
      <c r="J459" s="10">
        <v>7.36</v>
      </c>
      <c r="K459" t="b">
        <v>1</v>
      </c>
    </row>
    <row r="460" spans="1:11">
      <c r="A460" s="12">
        <v>41698</v>
      </c>
      <c r="B460">
        <v>2014</v>
      </c>
      <c r="C460">
        <v>2</v>
      </c>
      <c r="D460" s="11">
        <v>41671</v>
      </c>
      <c r="E460" t="s">
        <v>2174</v>
      </c>
      <c r="F460">
        <v>5</v>
      </c>
      <c r="G460" t="s">
        <v>55</v>
      </c>
      <c r="H460" t="s">
        <v>42</v>
      </c>
      <c r="I460" t="s">
        <v>2190</v>
      </c>
      <c r="J460" s="10">
        <v>5.3</v>
      </c>
      <c r="K460" t="b">
        <v>1</v>
      </c>
    </row>
    <row r="461" spans="1:11">
      <c r="A461" s="12">
        <v>41698</v>
      </c>
      <c r="B461">
        <v>2014</v>
      </c>
      <c r="C461">
        <v>2</v>
      </c>
      <c r="D461" s="11">
        <v>41671</v>
      </c>
      <c r="E461" t="s">
        <v>2174</v>
      </c>
      <c r="F461">
        <v>5</v>
      </c>
      <c r="G461" t="s">
        <v>55</v>
      </c>
      <c r="H461" t="s">
        <v>43</v>
      </c>
      <c r="I461" t="s">
        <v>2191</v>
      </c>
      <c r="J461" s="10">
        <v>37</v>
      </c>
      <c r="K461" t="b">
        <v>1</v>
      </c>
    </row>
    <row r="462" spans="1:11">
      <c r="A462" s="12">
        <v>41698</v>
      </c>
      <c r="B462">
        <v>2014</v>
      </c>
      <c r="C462">
        <v>2</v>
      </c>
      <c r="D462" s="11">
        <v>41671</v>
      </c>
      <c r="E462" t="s">
        <v>2174</v>
      </c>
      <c r="F462">
        <v>5</v>
      </c>
      <c r="G462" t="s">
        <v>55</v>
      </c>
      <c r="H462" t="s">
        <v>44</v>
      </c>
      <c r="I462" t="s">
        <v>2192</v>
      </c>
      <c r="J462" s="10">
        <v>12</v>
      </c>
      <c r="K462" t="b">
        <v>1</v>
      </c>
    </row>
    <row r="463" spans="1:11">
      <c r="A463" s="12">
        <v>41698</v>
      </c>
      <c r="B463">
        <v>2014</v>
      </c>
      <c r="C463">
        <v>2</v>
      </c>
      <c r="D463" s="11">
        <v>41671</v>
      </c>
      <c r="E463" t="s">
        <v>2174</v>
      </c>
      <c r="F463">
        <v>5</v>
      </c>
      <c r="G463" t="s">
        <v>55</v>
      </c>
      <c r="H463" t="s">
        <v>45</v>
      </c>
      <c r="I463" t="s">
        <v>2193</v>
      </c>
      <c r="J463" s="10">
        <v>1</v>
      </c>
      <c r="K463" t="b">
        <v>1</v>
      </c>
    </row>
    <row r="464" spans="1:11">
      <c r="A464" s="12">
        <v>41698</v>
      </c>
      <c r="B464">
        <v>2014</v>
      </c>
      <c r="C464">
        <v>2</v>
      </c>
      <c r="D464" s="11">
        <v>41671</v>
      </c>
      <c r="E464" t="s">
        <v>2174</v>
      </c>
      <c r="F464">
        <v>5</v>
      </c>
      <c r="G464" t="s">
        <v>55</v>
      </c>
      <c r="H464" t="s">
        <v>46</v>
      </c>
      <c r="I464" t="s">
        <v>2194</v>
      </c>
      <c r="J464" s="10">
        <v>2</v>
      </c>
      <c r="K464" t="b">
        <v>1</v>
      </c>
    </row>
    <row r="465" spans="1:11">
      <c r="A465" s="12">
        <v>41698</v>
      </c>
      <c r="B465">
        <v>2014</v>
      </c>
      <c r="C465">
        <v>2</v>
      </c>
      <c r="D465" s="11">
        <v>41671</v>
      </c>
      <c r="E465" t="s">
        <v>2174</v>
      </c>
      <c r="F465">
        <v>5</v>
      </c>
      <c r="G465" t="s">
        <v>55</v>
      </c>
      <c r="H465" t="s">
        <v>47</v>
      </c>
      <c r="I465" t="s">
        <v>2195</v>
      </c>
      <c r="J465" s="10">
        <v>0</v>
      </c>
      <c r="K465" t="b">
        <v>1</v>
      </c>
    </row>
    <row r="466" spans="1:11">
      <c r="A466" s="12">
        <v>41699</v>
      </c>
      <c r="B466">
        <v>2014</v>
      </c>
      <c r="C466">
        <v>3</v>
      </c>
      <c r="D466" s="11">
        <v>41699</v>
      </c>
      <c r="E466" t="s">
        <v>2175</v>
      </c>
      <c r="F466">
        <v>6</v>
      </c>
      <c r="G466" t="s">
        <v>57</v>
      </c>
      <c r="H466" t="s">
        <v>40</v>
      </c>
      <c r="I466" t="s">
        <v>2188</v>
      </c>
      <c r="J466" s="10">
        <v>6.34</v>
      </c>
      <c r="K466" t="b">
        <v>1</v>
      </c>
    </row>
    <row r="467" spans="1:11">
      <c r="A467" s="12">
        <v>41699</v>
      </c>
      <c r="B467">
        <v>2014</v>
      </c>
      <c r="C467">
        <v>3</v>
      </c>
      <c r="D467" s="11">
        <v>41699</v>
      </c>
      <c r="E467" t="s">
        <v>2175</v>
      </c>
      <c r="F467">
        <v>6</v>
      </c>
      <c r="G467" t="s">
        <v>57</v>
      </c>
      <c r="H467" t="s">
        <v>41</v>
      </c>
      <c r="I467" t="s">
        <v>2189</v>
      </c>
      <c r="J467" s="10">
        <v>3.68</v>
      </c>
      <c r="K467" t="b">
        <v>1</v>
      </c>
    </row>
    <row r="468" spans="1:11">
      <c r="A468" s="12">
        <v>41699</v>
      </c>
      <c r="B468">
        <v>2014</v>
      </c>
      <c r="C468">
        <v>3</v>
      </c>
      <c r="D468" s="11">
        <v>41699</v>
      </c>
      <c r="E468" t="s">
        <v>2175</v>
      </c>
      <c r="F468">
        <v>6</v>
      </c>
      <c r="G468" t="s">
        <v>57</v>
      </c>
      <c r="H468" t="s">
        <v>42</v>
      </c>
      <c r="I468" t="s">
        <v>2190</v>
      </c>
      <c r="J468" s="10">
        <v>11.355</v>
      </c>
      <c r="K468" t="b">
        <v>1</v>
      </c>
    </row>
    <row r="469" spans="1:11">
      <c r="A469" s="12">
        <v>41699</v>
      </c>
      <c r="B469">
        <v>2014</v>
      </c>
      <c r="C469">
        <v>3</v>
      </c>
      <c r="D469" s="11">
        <v>41699</v>
      </c>
      <c r="E469" t="s">
        <v>2175</v>
      </c>
      <c r="F469">
        <v>6</v>
      </c>
      <c r="G469" t="s">
        <v>57</v>
      </c>
      <c r="H469" t="s">
        <v>43</v>
      </c>
      <c r="I469" t="s">
        <v>2191</v>
      </c>
      <c r="J469" s="10">
        <v>50.7</v>
      </c>
      <c r="K469" t="b">
        <v>1</v>
      </c>
    </row>
    <row r="470" spans="1:11">
      <c r="A470" s="12">
        <v>41699</v>
      </c>
      <c r="B470">
        <v>2014</v>
      </c>
      <c r="C470">
        <v>3</v>
      </c>
      <c r="D470" s="11">
        <v>41699</v>
      </c>
      <c r="E470" t="s">
        <v>2175</v>
      </c>
      <c r="F470">
        <v>6</v>
      </c>
      <c r="G470" t="s">
        <v>57</v>
      </c>
      <c r="H470" t="s">
        <v>44</v>
      </c>
      <c r="I470" t="s">
        <v>2192</v>
      </c>
      <c r="J470" s="10">
        <v>8</v>
      </c>
      <c r="K470" t="b">
        <v>1</v>
      </c>
    </row>
    <row r="471" spans="1:11">
      <c r="A471" s="12">
        <v>41699</v>
      </c>
      <c r="B471">
        <v>2014</v>
      </c>
      <c r="C471">
        <v>3</v>
      </c>
      <c r="D471" s="11">
        <v>41699</v>
      </c>
      <c r="E471" t="s">
        <v>2175</v>
      </c>
      <c r="F471">
        <v>6</v>
      </c>
      <c r="G471" t="s">
        <v>57</v>
      </c>
      <c r="H471" t="s">
        <v>45</v>
      </c>
      <c r="I471" t="s">
        <v>2193</v>
      </c>
      <c r="J471" s="10">
        <v>0</v>
      </c>
      <c r="K471" t="b">
        <v>1</v>
      </c>
    </row>
    <row r="472" spans="1:11">
      <c r="A472" s="12">
        <v>41699</v>
      </c>
      <c r="B472">
        <v>2014</v>
      </c>
      <c r="C472">
        <v>3</v>
      </c>
      <c r="D472" s="11">
        <v>41699</v>
      </c>
      <c r="E472" t="s">
        <v>2175</v>
      </c>
      <c r="F472">
        <v>6</v>
      </c>
      <c r="G472" t="s">
        <v>57</v>
      </c>
      <c r="H472" t="s">
        <v>46</v>
      </c>
      <c r="I472" t="s">
        <v>2194</v>
      </c>
      <c r="J472" s="10">
        <v>0</v>
      </c>
      <c r="K472" t="b">
        <v>1</v>
      </c>
    </row>
    <row r="473" spans="1:11">
      <c r="A473" s="12">
        <v>41699</v>
      </c>
      <c r="B473">
        <v>2014</v>
      </c>
      <c r="C473">
        <v>3</v>
      </c>
      <c r="D473" s="11">
        <v>41699</v>
      </c>
      <c r="E473" t="s">
        <v>2175</v>
      </c>
      <c r="F473">
        <v>6</v>
      </c>
      <c r="G473" t="s">
        <v>57</v>
      </c>
      <c r="H473" t="s">
        <v>47</v>
      </c>
      <c r="I473" t="s">
        <v>2195</v>
      </c>
      <c r="J473" s="10">
        <v>2.1</v>
      </c>
      <c r="K473" t="b">
        <v>1</v>
      </c>
    </row>
    <row r="474" spans="1:11">
      <c r="A474" s="12">
        <v>41700</v>
      </c>
      <c r="B474">
        <v>2014</v>
      </c>
      <c r="C474">
        <v>3</v>
      </c>
      <c r="D474" s="11">
        <v>41699</v>
      </c>
      <c r="E474" t="s">
        <v>2175</v>
      </c>
      <c r="F474">
        <v>7</v>
      </c>
      <c r="G474" t="s">
        <v>59</v>
      </c>
      <c r="H474" t="s">
        <v>40</v>
      </c>
      <c r="I474" t="s">
        <v>2188</v>
      </c>
      <c r="J474" s="10">
        <v>3.34</v>
      </c>
      <c r="K474" t="b">
        <v>1</v>
      </c>
    </row>
    <row r="475" spans="1:11">
      <c r="A475" s="12">
        <v>41700</v>
      </c>
      <c r="B475">
        <v>2014</v>
      </c>
      <c r="C475">
        <v>3</v>
      </c>
      <c r="D475" s="11">
        <v>41699</v>
      </c>
      <c r="E475" t="s">
        <v>2175</v>
      </c>
      <c r="F475">
        <v>7</v>
      </c>
      <c r="G475" t="s">
        <v>59</v>
      </c>
      <c r="H475" t="s">
        <v>41</v>
      </c>
      <c r="I475" t="s">
        <v>2189</v>
      </c>
      <c r="J475" s="10">
        <v>1</v>
      </c>
      <c r="K475" t="b">
        <v>1</v>
      </c>
    </row>
    <row r="476" spans="1:11">
      <c r="A476" s="12">
        <v>41700</v>
      </c>
      <c r="B476">
        <v>2014</v>
      </c>
      <c r="C476">
        <v>3</v>
      </c>
      <c r="D476" s="11">
        <v>41699</v>
      </c>
      <c r="E476" t="s">
        <v>2175</v>
      </c>
      <c r="F476">
        <v>7</v>
      </c>
      <c r="G476" t="s">
        <v>59</v>
      </c>
      <c r="H476" t="s">
        <v>42</v>
      </c>
      <c r="I476" t="s">
        <v>2190</v>
      </c>
      <c r="J476" s="10">
        <v>2</v>
      </c>
      <c r="K476" t="b">
        <v>1</v>
      </c>
    </row>
    <row r="477" spans="1:11">
      <c r="A477" s="12">
        <v>41700</v>
      </c>
      <c r="B477">
        <v>2014</v>
      </c>
      <c r="C477">
        <v>3</v>
      </c>
      <c r="D477" s="11">
        <v>41699</v>
      </c>
      <c r="E477" t="s">
        <v>2175</v>
      </c>
      <c r="F477">
        <v>7</v>
      </c>
      <c r="G477" t="s">
        <v>59</v>
      </c>
      <c r="H477" t="s">
        <v>43</v>
      </c>
      <c r="I477" t="s">
        <v>2191</v>
      </c>
      <c r="J477" s="10">
        <v>6.6</v>
      </c>
      <c r="K477" t="b">
        <v>1</v>
      </c>
    </row>
    <row r="478" spans="1:11">
      <c r="A478" s="12">
        <v>41700</v>
      </c>
      <c r="B478">
        <v>2014</v>
      </c>
      <c r="C478">
        <v>3</v>
      </c>
      <c r="D478" s="11">
        <v>41699</v>
      </c>
      <c r="E478" t="s">
        <v>2175</v>
      </c>
      <c r="F478">
        <v>7</v>
      </c>
      <c r="G478" t="s">
        <v>59</v>
      </c>
      <c r="H478" t="s">
        <v>44</v>
      </c>
      <c r="I478" t="s">
        <v>2192</v>
      </c>
      <c r="J478" s="10">
        <v>2</v>
      </c>
      <c r="K478" t="b">
        <v>1</v>
      </c>
    </row>
    <row r="479" spans="1:11">
      <c r="A479" s="12">
        <v>41700</v>
      </c>
      <c r="B479">
        <v>2014</v>
      </c>
      <c r="C479">
        <v>3</v>
      </c>
      <c r="D479" s="11">
        <v>41699</v>
      </c>
      <c r="E479" t="s">
        <v>2175</v>
      </c>
      <c r="F479">
        <v>7</v>
      </c>
      <c r="G479" t="s">
        <v>59</v>
      </c>
      <c r="H479" t="s">
        <v>45</v>
      </c>
      <c r="I479" t="s">
        <v>2193</v>
      </c>
      <c r="J479" s="10">
        <v>0</v>
      </c>
      <c r="K479" t="b">
        <v>1</v>
      </c>
    </row>
    <row r="480" spans="1:11">
      <c r="A480" s="12">
        <v>41700</v>
      </c>
      <c r="B480">
        <v>2014</v>
      </c>
      <c r="C480">
        <v>3</v>
      </c>
      <c r="D480" s="11">
        <v>41699</v>
      </c>
      <c r="E480" t="s">
        <v>2175</v>
      </c>
      <c r="F480">
        <v>7</v>
      </c>
      <c r="G480" t="s">
        <v>59</v>
      </c>
      <c r="H480" t="s">
        <v>46</v>
      </c>
      <c r="I480" t="s">
        <v>2194</v>
      </c>
      <c r="J480" s="10">
        <v>0</v>
      </c>
      <c r="K480" t="b">
        <v>1</v>
      </c>
    </row>
    <row r="481" spans="1:11">
      <c r="A481" s="12">
        <v>41700</v>
      </c>
      <c r="B481">
        <v>2014</v>
      </c>
      <c r="C481">
        <v>3</v>
      </c>
      <c r="D481" s="11">
        <v>41699</v>
      </c>
      <c r="E481" t="s">
        <v>2175</v>
      </c>
      <c r="F481">
        <v>7</v>
      </c>
      <c r="G481" t="s">
        <v>59</v>
      </c>
      <c r="H481" t="s">
        <v>47</v>
      </c>
      <c r="I481" t="s">
        <v>2195</v>
      </c>
      <c r="J481" s="10">
        <v>1</v>
      </c>
      <c r="K481" t="b">
        <v>1</v>
      </c>
    </row>
    <row r="482" spans="1:11">
      <c r="A482" s="12">
        <v>41701</v>
      </c>
      <c r="B482">
        <v>2014</v>
      </c>
      <c r="C482">
        <v>3</v>
      </c>
      <c r="D482" s="11">
        <v>41699</v>
      </c>
      <c r="E482" t="s">
        <v>2175</v>
      </c>
      <c r="F482">
        <v>1</v>
      </c>
      <c r="G482" t="s">
        <v>61</v>
      </c>
      <c r="H482" t="s">
        <v>40</v>
      </c>
      <c r="I482" t="s">
        <v>2188</v>
      </c>
      <c r="J482" s="10">
        <v>4</v>
      </c>
      <c r="K482" t="b">
        <v>1</v>
      </c>
    </row>
    <row r="483" spans="1:11">
      <c r="A483" s="12">
        <v>41701</v>
      </c>
      <c r="B483">
        <v>2014</v>
      </c>
      <c r="C483">
        <v>3</v>
      </c>
      <c r="D483" s="11">
        <v>41699</v>
      </c>
      <c r="E483" t="s">
        <v>2175</v>
      </c>
      <c r="F483">
        <v>1</v>
      </c>
      <c r="G483" t="s">
        <v>61</v>
      </c>
      <c r="H483" t="s">
        <v>41</v>
      </c>
      <c r="I483" t="s">
        <v>2189</v>
      </c>
      <c r="J483" s="10">
        <v>3.68</v>
      </c>
      <c r="K483" t="b">
        <v>1</v>
      </c>
    </row>
    <row r="484" spans="1:11">
      <c r="A484" s="12">
        <v>41701</v>
      </c>
      <c r="B484">
        <v>2014</v>
      </c>
      <c r="C484">
        <v>3</v>
      </c>
      <c r="D484" s="11">
        <v>41699</v>
      </c>
      <c r="E484" t="s">
        <v>2175</v>
      </c>
      <c r="F484">
        <v>1</v>
      </c>
      <c r="G484" t="s">
        <v>61</v>
      </c>
      <c r="H484" t="s">
        <v>42</v>
      </c>
      <c r="I484" t="s">
        <v>2190</v>
      </c>
      <c r="J484" s="10">
        <v>1.6</v>
      </c>
      <c r="K484" t="b">
        <v>1</v>
      </c>
    </row>
    <row r="485" spans="1:11">
      <c r="A485" s="12">
        <v>41701</v>
      </c>
      <c r="B485">
        <v>2014</v>
      </c>
      <c r="C485">
        <v>3</v>
      </c>
      <c r="D485" s="11">
        <v>41699</v>
      </c>
      <c r="E485" t="s">
        <v>2175</v>
      </c>
      <c r="F485">
        <v>1</v>
      </c>
      <c r="G485" t="s">
        <v>61</v>
      </c>
      <c r="H485" t="s">
        <v>43</v>
      </c>
      <c r="I485" t="s">
        <v>2191</v>
      </c>
      <c r="J485" s="10">
        <v>22.1</v>
      </c>
      <c r="K485" t="b">
        <v>1</v>
      </c>
    </row>
    <row r="486" spans="1:11">
      <c r="A486" s="12">
        <v>41701</v>
      </c>
      <c r="B486">
        <v>2014</v>
      </c>
      <c r="C486">
        <v>3</v>
      </c>
      <c r="D486" s="11">
        <v>41699</v>
      </c>
      <c r="E486" t="s">
        <v>2175</v>
      </c>
      <c r="F486">
        <v>1</v>
      </c>
      <c r="G486" t="s">
        <v>61</v>
      </c>
      <c r="H486" t="s">
        <v>44</v>
      </c>
      <c r="I486" t="s">
        <v>2192</v>
      </c>
      <c r="J486" s="10">
        <v>1</v>
      </c>
      <c r="K486" t="b">
        <v>1</v>
      </c>
    </row>
    <row r="487" spans="1:11">
      <c r="A487" s="12">
        <v>41701</v>
      </c>
      <c r="B487">
        <v>2014</v>
      </c>
      <c r="C487">
        <v>3</v>
      </c>
      <c r="D487" s="11">
        <v>41699</v>
      </c>
      <c r="E487" t="s">
        <v>2175</v>
      </c>
      <c r="F487">
        <v>1</v>
      </c>
      <c r="G487" t="s">
        <v>61</v>
      </c>
      <c r="H487" t="s">
        <v>45</v>
      </c>
      <c r="I487" t="s">
        <v>2193</v>
      </c>
      <c r="J487" s="10">
        <v>2</v>
      </c>
      <c r="K487" t="b">
        <v>1</v>
      </c>
    </row>
    <row r="488" spans="1:11">
      <c r="A488" s="12">
        <v>41701</v>
      </c>
      <c r="B488">
        <v>2014</v>
      </c>
      <c r="C488">
        <v>3</v>
      </c>
      <c r="D488" s="11">
        <v>41699</v>
      </c>
      <c r="E488" t="s">
        <v>2175</v>
      </c>
      <c r="F488">
        <v>1</v>
      </c>
      <c r="G488" t="s">
        <v>61</v>
      </c>
      <c r="H488" t="s">
        <v>46</v>
      </c>
      <c r="I488" t="s">
        <v>2194</v>
      </c>
      <c r="J488" s="10">
        <v>0</v>
      </c>
      <c r="K488" t="b">
        <v>1</v>
      </c>
    </row>
    <row r="489" spans="1:11">
      <c r="A489" s="12">
        <v>41701</v>
      </c>
      <c r="B489">
        <v>2014</v>
      </c>
      <c r="C489">
        <v>3</v>
      </c>
      <c r="D489" s="11">
        <v>41699</v>
      </c>
      <c r="E489" t="s">
        <v>2175</v>
      </c>
      <c r="F489">
        <v>1</v>
      </c>
      <c r="G489" t="s">
        <v>61</v>
      </c>
      <c r="H489" t="s">
        <v>47</v>
      </c>
      <c r="I489" t="s">
        <v>2195</v>
      </c>
      <c r="J489" s="10">
        <v>2.2</v>
      </c>
      <c r="K489" t="b">
        <v>1</v>
      </c>
    </row>
    <row r="490" spans="1:11">
      <c r="A490" s="12">
        <v>41702</v>
      </c>
      <c r="B490">
        <v>2014</v>
      </c>
      <c r="C490">
        <v>3</v>
      </c>
      <c r="D490" s="11">
        <v>41699</v>
      </c>
      <c r="E490" t="s">
        <v>2175</v>
      </c>
      <c r="F490">
        <v>2</v>
      </c>
      <c r="G490" t="s">
        <v>63</v>
      </c>
      <c r="H490" t="s">
        <v>40</v>
      </c>
      <c r="I490" t="s">
        <v>2188</v>
      </c>
      <c r="J490" s="10">
        <v>5.34</v>
      </c>
      <c r="K490" t="b">
        <v>1</v>
      </c>
    </row>
    <row r="491" spans="1:11">
      <c r="A491" s="12">
        <v>41702</v>
      </c>
      <c r="B491">
        <v>2014</v>
      </c>
      <c r="C491">
        <v>3</v>
      </c>
      <c r="D491" s="11">
        <v>41699</v>
      </c>
      <c r="E491" t="s">
        <v>2175</v>
      </c>
      <c r="F491">
        <v>2</v>
      </c>
      <c r="G491" t="s">
        <v>63</v>
      </c>
      <c r="H491" t="s">
        <v>41</v>
      </c>
      <c r="I491" t="s">
        <v>2189</v>
      </c>
      <c r="J491" s="10">
        <v>7.02</v>
      </c>
      <c r="K491" t="b">
        <v>1</v>
      </c>
    </row>
    <row r="492" spans="1:11">
      <c r="A492" s="12">
        <v>41702</v>
      </c>
      <c r="B492">
        <v>2014</v>
      </c>
      <c r="C492">
        <v>3</v>
      </c>
      <c r="D492" s="11">
        <v>41699</v>
      </c>
      <c r="E492" t="s">
        <v>2175</v>
      </c>
      <c r="F492">
        <v>2</v>
      </c>
      <c r="G492" t="s">
        <v>63</v>
      </c>
      <c r="H492" t="s">
        <v>42</v>
      </c>
      <c r="I492" t="s">
        <v>2190</v>
      </c>
      <c r="J492" s="10">
        <v>7.2</v>
      </c>
      <c r="K492" t="b">
        <v>1</v>
      </c>
    </row>
    <row r="493" spans="1:11">
      <c r="A493" s="12">
        <v>41702</v>
      </c>
      <c r="B493">
        <v>2014</v>
      </c>
      <c r="C493">
        <v>3</v>
      </c>
      <c r="D493" s="11">
        <v>41699</v>
      </c>
      <c r="E493" t="s">
        <v>2175</v>
      </c>
      <c r="F493">
        <v>2</v>
      </c>
      <c r="G493" t="s">
        <v>63</v>
      </c>
      <c r="H493" t="s">
        <v>43</v>
      </c>
      <c r="I493" t="s">
        <v>2191</v>
      </c>
      <c r="J493" s="10">
        <v>47.275</v>
      </c>
      <c r="K493" t="b">
        <v>1</v>
      </c>
    </row>
    <row r="494" spans="1:11">
      <c r="A494" s="12">
        <v>41702</v>
      </c>
      <c r="B494">
        <v>2014</v>
      </c>
      <c r="C494">
        <v>3</v>
      </c>
      <c r="D494" s="11">
        <v>41699</v>
      </c>
      <c r="E494" t="s">
        <v>2175</v>
      </c>
      <c r="F494">
        <v>2</v>
      </c>
      <c r="G494" t="s">
        <v>63</v>
      </c>
      <c r="H494" t="s">
        <v>44</v>
      </c>
      <c r="I494" t="s">
        <v>2192</v>
      </c>
      <c r="J494" s="10">
        <v>9</v>
      </c>
      <c r="K494" t="b">
        <v>1</v>
      </c>
    </row>
    <row r="495" spans="1:11">
      <c r="A495" s="12">
        <v>41702</v>
      </c>
      <c r="B495">
        <v>2014</v>
      </c>
      <c r="C495">
        <v>3</v>
      </c>
      <c r="D495" s="11">
        <v>41699</v>
      </c>
      <c r="E495" t="s">
        <v>2175</v>
      </c>
      <c r="F495">
        <v>2</v>
      </c>
      <c r="G495" t="s">
        <v>63</v>
      </c>
      <c r="H495" t="s">
        <v>45</v>
      </c>
      <c r="I495" t="s">
        <v>2193</v>
      </c>
      <c r="J495" s="10">
        <v>0</v>
      </c>
      <c r="K495" t="b">
        <v>1</v>
      </c>
    </row>
    <row r="496" spans="1:11">
      <c r="A496" s="12">
        <v>41702</v>
      </c>
      <c r="B496">
        <v>2014</v>
      </c>
      <c r="C496">
        <v>3</v>
      </c>
      <c r="D496" s="11">
        <v>41699</v>
      </c>
      <c r="E496" t="s">
        <v>2175</v>
      </c>
      <c r="F496">
        <v>2</v>
      </c>
      <c r="G496" t="s">
        <v>63</v>
      </c>
      <c r="H496" t="s">
        <v>46</v>
      </c>
      <c r="I496" t="s">
        <v>2194</v>
      </c>
      <c r="J496" s="10">
        <v>5</v>
      </c>
      <c r="K496" t="b">
        <v>1</v>
      </c>
    </row>
    <row r="497" spans="1:11">
      <c r="A497" s="12">
        <v>41702</v>
      </c>
      <c r="B497">
        <v>2014</v>
      </c>
      <c r="C497">
        <v>3</v>
      </c>
      <c r="D497" s="11">
        <v>41699</v>
      </c>
      <c r="E497" t="s">
        <v>2175</v>
      </c>
      <c r="F497">
        <v>2</v>
      </c>
      <c r="G497" t="s">
        <v>63</v>
      </c>
      <c r="H497" t="s">
        <v>47</v>
      </c>
      <c r="I497" t="s">
        <v>2195</v>
      </c>
      <c r="J497" s="10">
        <v>4</v>
      </c>
      <c r="K497" t="b">
        <v>1</v>
      </c>
    </row>
    <row r="498" spans="1:11">
      <c r="A498" s="12">
        <v>41703</v>
      </c>
      <c r="B498">
        <v>2014</v>
      </c>
      <c r="C498">
        <v>3</v>
      </c>
      <c r="D498" s="11">
        <v>41699</v>
      </c>
      <c r="E498" t="s">
        <v>2175</v>
      </c>
      <c r="F498">
        <v>3</v>
      </c>
      <c r="G498" t="s">
        <v>65</v>
      </c>
      <c r="H498" t="s">
        <v>40</v>
      </c>
      <c r="I498" t="s">
        <v>2188</v>
      </c>
      <c r="J498" s="10">
        <v>3.34</v>
      </c>
      <c r="K498" t="b">
        <v>1</v>
      </c>
    </row>
    <row r="499" spans="1:11">
      <c r="A499" s="12">
        <v>41703</v>
      </c>
      <c r="B499">
        <v>2014</v>
      </c>
      <c r="C499">
        <v>3</v>
      </c>
      <c r="D499" s="11">
        <v>41699</v>
      </c>
      <c r="E499" t="s">
        <v>2175</v>
      </c>
      <c r="F499">
        <v>3</v>
      </c>
      <c r="G499" t="s">
        <v>65</v>
      </c>
      <c r="H499" t="s">
        <v>41</v>
      </c>
      <c r="I499" t="s">
        <v>2189</v>
      </c>
      <c r="J499" s="10">
        <v>1</v>
      </c>
      <c r="K499" t="b">
        <v>1</v>
      </c>
    </row>
    <row r="500" spans="1:11">
      <c r="A500" s="12">
        <v>41703</v>
      </c>
      <c r="B500">
        <v>2014</v>
      </c>
      <c r="C500">
        <v>3</v>
      </c>
      <c r="D500" s="11">
        <v>41699</v>
      </c>
      <c r="E500" t="s">
        <v>2175</v>
      </c>
      <c r="F500">
        <v>3</v>
      </c>
      <c r="G500" t="s">
        <v>65</v>
      </c>
      <c r="H500" t="s">
        <v>42</v>
      </c>
      <c r="I500" t="s">
        <v>2190</v>
      </c>
      <c r="J500" s="10">
        <v>3</v>
      </c>
      <c r="K500" t="b">
        <v>1</v>
      </c>
    </row>
    <row r="501" spans="1:11">
      <c r="A501" s="12">
        <v>41703</v>
      </c>
      <c r="B501">
        <v>2014</v>
      </c>
      <c r="C501">
        <v>3</v>
      </c>
      <c r="D501" s="11">
        <v>41699</v>
      </c>
      <c r="E501" t="s">
        <v>2175</v>
      </c>
      <c r="F501">
        <v>3</v>
      </c>
      <c r="G501" t="s">
        <v>65</v>
      </c>
      <c r="H501" t="s">
        <v>43</v>
      </c>
      <c r="I501" t="s">
        <v>2191</v>
      </c>
      <c r="J501" s="10">
        <v>25</v>
      </c>
      <c r="K501" t="b">
        <v>1</v>
      </c>
    </row>
    <row r="502" spans="1:11">
      <c r="A502" s="12">
        <v>41703</v>
      </c>
      <c r="B502">
        <v>2014</v>
      </c>
      <c r="C502">
        <v>3</v>
      </c>
      <c r="D502" s="11">
        <v>41699</v>
      </c>
      <c r="E502" t="s">
        <v>2175</v>
      </c>
      <c r="F502">
        <v>3</v>
      </c>
      <c r="G502" t="s">
        <v>65</v>
      </c>
      <c r="H502" t="s">
        <v>44</v>
      </c>
      <c r="I502" t="s">
        <v>2192</v>
      </c>
      <c r="J502" s="10">
        <v>4</v>
      </c>
      <c r="K502" t="b">
        <v>1</v>
      </c>
    </row>
    <row r="503" spans="1:11">
      <c r="A503" s="12">
        <v>41703</v>
      </c>
      <c r="B503">
        <v>2014</v>
      </c>
      <c r="C503">
        <v>3</v>
      </c>
      <c r="D503" s="11">
        <v>41699</v>
      </c>
      <c r="E503" t="s">
        <v>2175</v>
      </c>
      <c r="F503">
        <v>3</v>
      </c>
      <c r="G503" t="s">
        <v>65</v>
      </c>
      <c r="H503" t="s">
        <v>45</v>
      </c>
      <c r="I503" t="s">
        <v>2193</v>
      </c>
      <c r="J503" s="10">
        <v>0</v>
      </c>
      <c r="K503" t="b">
        <v>1</v>
      </c>
    </row>
    <row r="504" spans="1:11">
      <c r="A504" s="12">
        <v>41703</v>
      </c>
      <c r="B504">
        <v>2014</v>
      </c>
      <c r="C504">
        <v>3</v>
      </c>
      <c r="D504" s="11">
        <v>41699</v>
      </c>
      <c r="E504" t="s">
        <v>2175</v>
      </c>
      <c r="F504">
        <v>3</v>
      </c>
      <c r="G504" t="s">
        <v>65</v>
      </c>
      <c r="H504" t="s">
        <v>46</v>
      </c>
      <c r="I504" t="s">
        <v>2194</v>
      </c>
      <c r="J504" s="10">
        <v>1</v>
      </c>
      <c r="K504" t="b">
        <v>1</v>
      </c>
    </row>
    <row r="505" spans="1:11">
      <c r="A505" s="12">
        <v>41703</v>
      </c>
      <c r="B505">
        <v>2014</v>
      </c>
      <c r="C505">
        <v>3</v>
      </c>
      <c r="D505" s="11">
        <v>41699</v>
      </c>
      <c r="E505" t="s">
        <v>2175</v>
      </c>
      <c r="F505">
        <v>3</v>
      </c>
      <c r="G505" t="s">
        <v>65</v>
      </c>
      <c r="H505" t="s">
        <v>47</v>
      </c>
      <c r="I505" t="s">
        <v>2195</v>
      </c>
      <c r="J505" s="10">
        <v>0</v>
      </c>
      <c r="K505" t="b">
        <v>1</v>
      </c>
    </row>
    <row r="506" spans="1:11">
      <c r="A506" s="12">
        <v>41704</v>
      </c>
      <c r="B506">
        <v>2014</v>
      </c>
      <c r="C506">
        <v>3</v>
      </c>
      <c r="D506" s="11">
        <v>41699</v>
      </c>
      <c r="E506" t="s">
        <v>2175</v>
      </c>
      <c r="F506">
        <v>4</v>
      </c>
      <c r="G506" t="s">
        <v>53</v>
      </c>
      <c r="H506" t="s">
        <v>40</v>
      </c>
      <c r="I506" t="s">
        <v>2188</v>
      </c>
      <c r="J506" s="10">
        <v>3</v>
      </c>
      <c r="K506" t="b">
        <v>1</v>
      </c>
    </row>
    <row r="507" spans="1:11">
      <c r="A507" s="12">
        <v>41704</v>
      </c>
      <c r="B507">
        <v>2014</v>
      </c>
      <c r="C507">
        <v>3</v>
      </c>
      <c r="D507" s="11">
        <v>41699</v>
      </c>
      <c r="E507" t="s">
        <v>2175</v>
      </c>
      <c r="F507">
        <v>4</v>
      </c>
      <c r="G507" t="s">
        <v>53</v>
      </c>
      <c r="H507" t="s">
        <v>41</v>
      </c>
      <c r="I507" t="s">
        <v>2189</v>
      </c>
      <c r="J507" s="10">
        <v>2</v>
      </c>
      <c r="K507" t="b">
        <v>1</v>
      </c>
    </row>
    <row r="508" spans="1:11">
      <c r="A508" s="12">
        <v>41704</v>
      </c>
      <c r="B508">
        <v>2014</v>
      </c>
      <c r="C508">
        <v>3</v>
      </c>
      <c r="D508" s="11">
        <v>41699</v>
      </c>
      <c r="E508" t="s">
        <v>2175</v>
      </c>
      <c r="F508">
        <v>4</v>
      </c>
      <c r="G508" t="s">
        <v>53</v>
      </c>
      <c r="H508" t="s">
        <v>42</v>
      </c>
      <c r="I508" t="s">
        <v>2190</v>
      </c>
      <c r="J508" s="10">
        <v>5.5</v>
      </c>
      <c r="K508" t="b">
        <v>1</v>
      </c>
    </row>
    <row r="509" spans="1:11">
      <c r="A509" s="12">
        <v>41704</v>
      </c>
      <c r="B509">
        <v>2014</v>
      </c>
      <c r="C509">
        <v>3</v>
      </c>
      <c r="D509" s="11">
        <v>41699</v>
      </c>
      <c r="E509" t="s">
        <v>2175</v>
      </c>
      <c r="F509">
        <v>4</v>
      </c>
      <c r="G509" t="s">
        <v>53</v>
      </c>
      <c r="H509" t="s">
        <v>43</v>
      </c>
      <c r="I509" t="s">
        <v>2191</v>
      </c>
      <c r="J509" s="10">
        <v>44.1</v>
      </c>
      <c r="K509" t="b">
        <v>1</v>
      </c>
    </row>
    <row r="510" spans="1:11">
      <c r="A510" s="12">
        <v>41704</v>
      </c>
      <c r="B510">
        <v>2014</v>
      </c>
      <c r="C510">
        <v>3</v>
      </c>
      <c r="D510" s="11">
        <v>41699</v>
      </c>
      <c r="E510" t="s">
        <v>2175</v>
      </c>
      <c r="F510">
        <v>4</v>
      </c>
      <c r="G510" t="s">
        <v>53</v>
      </c>
      <c r="H510" t="s">
        <v>44</v>
      </c>
      <c r="I510" t="s">
        <v>2192</v>
      </c>
      <c r="J510" s="10">
        <v>17</v>
      </c>
      <c r="K510" t="b">
        <v>1</v>
      </c>
    </row>
    <row r="511" spans="1:11">
      <c r="A511" s="12">
        <v>41704</v>
      </c>
      <c r="B511">
        <v>2014</v>
      </c>
      <c r="C511">
        <v>3</v>
      </c>
      <c r="D511" s="11">
        <v>41699</v>
      </c>
      <c r="E511" t="s">
        <v>2175</v>
      </c>
      <c r="F511">
        <v>4</v>
      </c>
      <c r="G511" t="s">
        <v>53</v>
      </c>
      <c r="H511" t="s">
        <v>45</v>
      </c>
      <c r="I511" t="s">
        <v>2193</v>
      </c>
      <c r="J511" s="10">
        <v>1</v>
      </c>
      <c r="K511" t="b">
        <v>1</v>
      </c>
    </row>
    <row r="512" spans="1:11">
      <c r="A512" s="12">
        <v>41704</v>
      </c>
      <c r="B512">
        <v>2014</v>
      </c>
      <c r="C512">
        <v>3</v>
      </c>
      <c r="D512" s="11">
        <v>41699</v>
      </c>
      <c r="E512" t="s">
        <v>2175</v>
      </c>
      <c r="F512">
        <v>4</v>
      </c>
      <c r="G512" t="s">
        <v>53</v>
      </c>
      <c r="H512" t="s">
        <v>46</v>
      </c>
      <c r="I512" t="s">
        <v>2194</v>
      </c>
      <c r="J512" s="10">
        <v>5</v>
      </c>
      <c r="K512" t="b">
        <v>1</v>
      </c>
    </row>
    <row r="513" spans="1:11">
      <c r="A513" s="12">
        <v>41704</v>
      </c>
      <c r="B513">
        <v>2014</v>
      </c>
      <c r="C513">
        <v>3</v>
      </c>
      <c r="D513" s="11">
        <v>41699</v>
      </c>
      <c r="E513" t="s">
        <v>2175</v>
      </c>
      <c r="F513">
        <v>4</v>
      </c>
      <c r="G513" t="s">
        <v>53</v>
      </c>
      <c r="H513" t="s">
        <v>47</v>
      </c>
      <c r="I513" t="s">
        <v>2195</v>
      </c>
      <c r="J513" s="10">
        <v>1</v>
      </c>
      <c r="K513" t="b">
        <v>1</v>
      </c>
    </row>
    <row r="514" spans="1:11">
      <c r="A514" s="12">
        <v>41705</v>
      </c>
      <c r="B514">
        <v>2014</v>
      </c>
      <c r="C514">
        <v>3</v>
      </c>
      <c r="D514" s="11">
        <v>41699</v>
      </c>
      <c r="E514" t="s">
        <v>2175</v>
      </c>
      <c r="F514">
        <v>5</v>
      </c>
      <c r="G514" t="s">
        <v>55</v>
      </c>
      <c r="H514" t="s">
        <v>40</v>
      </c>
      <c r="I514" t="s">
        <v>2188</v>
      </c>
      <c r="J514" s="10">
        <v>4</v>
      </c>
      <c r="K514" t="b">
        <v>1</v>
      </c>
    </row>
    <row r="515" spans="1:11">
      <c r="A515" s="12">
        <v>41705</v>
      </c>
      <c r="B515">
        <v>2014</v>
      </c>
      <c r="C515">
        <v>3</v>
      </c>
      <c r="D515" s="11">
        <v>41699</v>
      </c>
      <c r="E515" t="s">
        <v>2175</v>
      </c>
      <c r="F515">
        <v>5</v>
      </c>
      <c r="G515" t="s">
        <v>55</v>
      </c>
      <c r="H515" t="s">
        <v>41</v>
      </c>
      <c r="I515" t="s">
        <v>2189</v>
      </c>
      <c r="J515" s="10">
        <v>4.34</v>
      </c>
      <c r="K515" t="b">
        <v>1</v>
      </c>
    </row>
    <row r="516" spans="1:11">
      <c r="A516" s="12">
        <v>41705</v>
      </c>
      <c r="B516">
        <v>2014</v>
      </c>
      <c r="C516">
        <v>3</v>
      </c>
      <c r="D516" s="11">
        <v>41699</v>
      </c>
      <c r="E516" t="s">
        <v>2175</v>
      </c>
      <c r="F516">
        <v>5</v>
      </c>
      <c r="G516" t="s">
        <v>55</v>
      </c>
      <c r="H516" t="s">
        <v>42</v>
      </c>
      <c r="I516" t="s">
        <v>2190</v>
      </c>
      <c r="J516" s="10">
        <v>9.5</v>
      </c>
      <c r="K516" t="b">
        <v>1</v>
      </c>
    </row>
    <row r="517" spans="1:11">
      <c r="A517" s="12">
        <v>41705</v>
      </c>
      <c r="B517">
        <v>2014</v>
      </c>
      <c r="C517">
        <v>3</v>
      </c>
      <c r="D517" s="11">
        <v>41699</v>
      </c>
      <c r="E517" t="s">
        <v>2175</v>
      </c>
      <c r="F517">
        <v>5</v>
      </c>
      <c r="G517" t="s">
        <v>55</v>
      </c>
      <c r="H517" t="s">
        <v>43</v>
      </c>
      <c r="I517" t="s">
        <v>2191</v>
      </c>
      <c r="J517" s="10">
        <v>25</v>
      </c>
      <c r="K517" t="b">
        <v>1</v>
      </c>
    </row>
    <row r="518" spans="1:11">
      <c r="A518" s="12">
        <v>41705</v>
      </c>
      <c r="B518">
        <v>2014</v>
      </c>
      <c r="C518">
        <v>3</v>
      </c>
      <c r="D518" s="11">
        <v>41699</v>
      </c>
      <c r="E518" t="s">
        <v>2175</v>
      </c>
      <c r="F518">
        <v>5</v>
      </c>
      <c r="G518" t="s">
        <v>55</v>
      </c>
      <c r="H518" t="s">
        <v>44</v>
      </c>
      <c r="I518" t="s">
        <v>2192</v>
      </c>
      <c r="J518" s="10">
        <v>3</v>
      </c>
      <c r="K518" t="b">
        <v>1</v>
      </c>
    </row>
    <row r="519" spans="1:11">
      <c r="A519" s="12">
        <v>41705</v>
      </c>
      <c r="B519">
        <v>2014</v>
      </c>
      <c r="C519">
        <v>3</v>
      </c>
      <c r="D519" s="11">
        <v>41699</v>
      </c>
      <c r="E519" t="s">
        <v>2175</v>
      </c>
      <c r="F519">
        <v>5</v>
      </c>
      <c r="G519" t="s">
        <v>55</v>
      </c>
      <c r="H519" t="s">
        <v>45</v>
      </c>
      <c r="I519" t="s">
        <v>2193</v>
      </c>
      <c r="J519" s="10">
        <v>1</v>
      </c>
      <c r="K519" t="b">
        <v>1</v>
      </c>
    </row>
    <row r="520" spans="1:11">
      <c r="A520" s="12">
        <v>41705</v>
      </c>
      <c r="B520">
        <v>2014</v>
      </c>
      <c r="C520">
        <v>3</v>
      </c>
      <c r="D520" s="11">
        <v>41699</v>
      </c>
      <c r="E520" t="s">
        <v>2175</v>
      </c>
      <c r="F520">
        <v>5</v>
      </c>
      <c r="G520" t="s">
        <v>55</v>
      </c>
      <c r="H520" t="s">
        <v>46</v>
      </c>
      <c r="I520" t="s">
        <v>2194</v>
      </c>
      <c r="J520" s="10">
        <v>0</v>
      </c>
      <c r="K520" t="b">
        <v>1</v>
      </c>
    </row>
    <row r="521" spans="1:11">
      <c r="A521" s="12">
        <v>41705</v>
      </c>
      <c r="B521">
        <v>2014</v>
      </c>
      <c r="C521">
        <v>3</v>
      </c>
      <c r="D521" s="11">
        <v>41699</v>
      </c>
      <c r="E521" t="s">
        <v>2175</v>
      </c>
      <c r="F521">
        <v>5</v>
      </c>
      <c r="G521" t="s">
        <v>55</v>
      </c>
      <c r="H521" t="s">
        <v>47</v>
      </c>
      <c r="I521" t="s">
        <v>2195</v>
      </c>
      <c r="J521" s="10">
        <v>2</v>
      </c>
      <c r="K521" t="b">
        <v>1</v>
      </c>
    </row>
    <row r="522" spans="1:11">
      <c r="A522" s="12">
        <v>41706</v>
      </c>
      <c r="B522">
        <v>2014</v>
      </c>
      <c r="C522">
        <v>3</v>
      </c>
      <c r="D522" s="11">
        <v>41699</v>
      </c>
      <c r="E522" t="s">
        <v>2175</v>
      </c>
      <c r="F522">
        <v>6</v>
      </c>
      <c r="G522" t="s">
        <v>57</v>
      </c>
      <c r="H522" t="s">
        <v>40</v>
      </c>
      <c r="I522" t="s">
        <v>2188</v>
      </c>
      <c r="J522" s="10">
        <v>4.34</v>
      </c>
      <c r="K522" t="b">
        <v>1</v>
      </c>
    </row>
    <row r="523" spans="1:11">
      <c r="A523" s="12">
        <v>41706</v>
      </c>
      <c r="B523">
        <v>2014</v>
      </c>
      <c r="C523">
        <v>3</v>
      </c>
      <c r="D523" s="11">
        <v>41699</v>
      </c>
      <c r="E523" t="s">
        <v>2175</v>
      </c>
      <c r="F523">
        <v>6</v>
      </c>
      <c r="G523" t="s">
        <v>57</v>
      </c>
      <c r="H523" t="s">
        <v>41</v>
      </c>
      <c r="I523" t="s">
        <v>2189</v>
      </c>
      <c r="J523" s="10">
        <v>3.07</v>
      </c>
      <c r="K523" t="b">
        <v>1</v>
      </c>
    </row>
    <row r="524" spans="1:11">
      <c r="A524" s="12">
        <v>41706</v>
      </c>
      <c r="B524">
        <v>2014</v>
      </c>
      <c r="C524">
        <v>3</v>
      </c>
      <c r="D524" s="11">
        <v>41699</v>
      </c>
      <c r="E524" t="s">
        <v>2175</v>
      </c>
      <c r="F524">
        <v>6</v>
      </c>
      <c r="G524" t="s">
        <v>57</v>
      </c>
      <c r="H524" t="s">
        <v>42</v>
      </c>
      <c r="I524" t="s">
        <v>2190</v>
      </c>
      <c r="J524" s="10">
        <v>1</v>
      </c>
      <c r="K524" t="b">
        <v>1</v>
      </c>
    </row>
    <row r="525" spans="1:11">
      <c r="A525" s="12">
        <v>41706</v>
      </c>
      <c r="B525">
        <v>2014</v>
      </c>
      <c r="C525">
        <v>3</v>
      </c>
      <c r="D525" s="11">
        <v>41699</v>
      </c>
      <c r="E525" t="s">
        <v>2175</v>
      </c>
      <c r="F525">
        <v>6</v>
      </c>
      <c r="G525" t="s">
        <v>57</v>
      </c>
      <c r="H525" t="s">
        <v>43</v>
      </c>
      <c r="I525" t="s">
        <v>2191</v>
      </c>
      <c r="J525" s="10">
        <v>27.6</v>
      </c>
      <c r="K525" t="b">
        <v>1</v>
      </c>
    </row>
    <row r="526" spans="1:11">
      <c r="A526" s="12">
        <v>41706</v>
      </c>
      <c r="B526">
        <v>2014</v>
      </c>
      <c r="C526">
        <v>3</v>
      </c>
      <c r="D526" s="11">
        <v>41699</v>
      </c>
      <c r="E526" t="s">
        <v>2175</v>
      </c>
      <c r="F526">
        <v>6</v>
      </c>
      <c r="G526" t="s">
        <v>57</v>
      </c>
      <c r="H526" t="s">
        <v>44</v>
      </c>
      <c r="I526" t="s">
        <v>2192</v>
      </c>
      <c r="J526" s="10">
        <v>11</v>
      </c>
      <c r="K526" t="b">
        <v>1</v>
      </c>
    </row>
    <row r="527" spans="1:11">
      <c r="A527" s="12">
        <v>41706</v>
      </c>
      <c r="B527">
        <v>2014</v>
      </c>
      <c r="C527">
        <v>3</v>
      </c>
      <c r="D527" s="11">
        <v>41699</v>
      </c>
      <c r="E527" t="s">
        <v>2175</v>
      </c>
      <c r="F527">
        <v>6</v>
      </c>
      <c r="G527" t="s">
        <v>57</v>
      </c>
      <c r="H527" t="s">
        <v>45</v>
      </c>
      <c r="I527" t="s">
        <v>2193</v>
      </c>
      <c r="J527" s="10">
        <v>0</v>
      </c>
      <c r="K527" t="b">
        <v>1</v>
      </c>
    </row>
    <row r="528" spans="1:11">
      <c r="A528" s="12">
        <v>41706</v>
      </c>
      <c r="B528">
        <v>2014</v>
      </c>
      <c r="C528">
        <v>3</v>
      </c>
      <c r="D528" s="11">
        <v>41699</v>
      </c>
      <c r="E528" t="s">
        <v>2175</v>
      </c>
      <c r="F528">
        <v>6</v>
      </c>
      <c r="G528" t="s">
        <v>57</v>
      </c>
      <c r="H528" t="s">
        <v>46</v>
      </c>
      <c r="I528" t="s">
        <v>2194</v>
      </c>
      <c r="J528" s="10">
        <v>0</v>
      </c>
      <c r="K528" t="b">
        <v>1</v>
      </c>
    </row>
    <row r="529" spans="1:11">
      <c r="A529" s="12">
        <v>41706</v>
      </c>
      <c r="B529">
        <v>2014</v>
      </c>
      <c r="C529">
        <v>3</v>
      </c>
      <c r="D529" s="11">
        <v>41699</v>
      </c>
      <c r="E529" t="s">
        <v>2175</v>
      </c>
      <c r="F529">
        <v>6</v>
      </c>
      <c r="G529" t="s">
        <v>57</v>
      </c>
      <c r="H529" t="s">
        <v>47</v>
      </c>
      <c r="I529" t="s">
        <v>2195</v>
      </c>
      <c r="J529" s="10">
        <v>0</v>
      </c>
      <c r="K529" t="b">
        <v>1</v>
      </c>
    </row>
    <row r="530" spans="1:11">
      <c r="A530" s="12">
        <v>41707</v>
      </c>
      <c r="B530">
        <v>2014</v>
      </c>
      <c r="C530">
        <v>3</v>
      </c>
      <c r="D530" s="11">
        <v>41699</v>
      </c>
      <c r="E530" t="s">
        <v>2175</v>
      </c>
      <c r="F530">
        <v>7</v>
      </c>
      <c r="G530" t="s">
        <v>59</v>
      </c>
      <c r="H530" t="s">
        <v>40</v>
      </c>
      <c r="I530" t="s">
        <v>2188</v>
      </c>
      <c r="J530" s="10">
        <v>1</v>
      </c>
      <c r="K530" t="b">
        <v>1</v>
      </c>
    </row>
    <row r="531" spans="1:11">
      <c r="A531" s="12">
        <v>41707</v>
      </c>
      <c r="B531">
        <v>2014</v>
      </c>
      <c r="C531">
        <v>3</v>
      </c>
      <c r="D531" s="11">
        <v>41699</v>
      </c>
      <c r="E531" t="s">
        <v>2175</v>
      </c>
      <c r="F531">
        <v>7</v>
      </c>
      <c r="G531" t="s">
        <v>59</v>
      </c>
      <c r="H531" t="s">
        <v>41</v>
      </c>
      <c r="I531" t="s">
        <v>2189</v>
      </c>
      <c r="J531" s="10">
        <v>0</v>
      </c>
      <c r="K531" t="b">
        <v>1</v>
      </c>
    </row>
    <row r="532" spans="1:11">
      <c r="A532" s="12">
        <v>41707</v>
      </c>
      <c r="B532">
        <v>2014</v>
      </c>
      <c r="C532">
        <v>3</v>
      </c>
      <c r="D532" s="11">
        <v>41699</v>
      </c>
      <c r="E532" t="s">
        <v>2175</v>
      </c>
      <c r="F532">
        <v>7</v>
      </c>
      <c r="G532" t="s">
        <v>59</v>
      </c>
      <c r="H532" t="s">
        <v>42</v>
      </c>
      <c r="I532" t="s">
        <v>2190</v>
      </c>
      <c r="J532" s="10">
        <v>4</v>
      </c>
      <c r="K532" t="b">
        <v>1</v>
      </c>
    </row>
    <row r="533" spans="1:11">
      <c r="A533" s="12">
        <v>41707</v>
      </c>
      <c r="B533">
        <v>2014</v>
      </c>
      <c r="C533">
        <v>3</v>
      </c>
      <c r="D533" s="11">
        <v>41699</v>
      </c>
      <c r="E533" t="s">
        <v>2175</v>
      </c>
      <c r="F533">
        <v>7</v>
      </c>
      <c r="G533" t="s">
        <v>59</v>
      </c>
      <c r="H533" t="s">
        <v>43</v>
      </c>
      <c r="I533" t="s">
        <v>2191</v>
      </c>
      <c r="J533" s="10">
        <v>11.3</v>
      </c>
      <c r="K533" t="b">
        <v>1</v>
      </c>
    </row>
    <row r="534" spans="1:11">
      <c r="A534" s="12">
        <v>41707</v>
      </c>
      <c r="B534">
        <v>2014</v>
      </c>
      <c r="C534">
        <v>3</v>
      </c>
      <c r="D534" s="11">
        <v>41699</v>
      </c>
      <c r="E534" t="s">
        <v>2175</v>
      </c>
      <c r="F534">
        <v>7</v>
      </c>
      <c r="G534" t="s">
        <v>59</v>
      </c>
      <c r="H534" t="s">
        <v>44</v>
      </c>
      <c r="I534" t="s">
        <v>2192</v>
      </c>
      <c r="J534" s="10">
        <v>3</v>
      </c>
      <c r="K534" t="b">
        <v>1</v>
      </c>
    </row>
    <row r="535" spans="1:11">
      <c r="A535" s="12">
        <v>41707</v>
      </c>
      <c r="B535">
        <v>2014</v>
      </c>
      <c r="C535">
        <v>3</v>
      </c>
      <c r="D535" s="11">
        <v>41699</v>
      </c>
      <c r="E535" t="s">
        <v>2175</v>
      </c>
      <c r="F535">
        <v>7</v>
      </c>
      <c r="G535" t="s">
        <v>59</v>
      </c>
      <c r="H535" t="s">
        <v>45</v>
      </c>
      <c r="I535" t="s">
        <v>2193</v>
      </c>
      <c r="J535" s="10">
        <v>0</v>
      </c>
      <c r="K535" t="b">
        <v>1</v>
      </c>
    </row>
    <row r="536" spans="1:11">
      <c r="A536" s="12">
        <v>41707</v>
      </c>
      <c r="B536">
        <v>2014</v>
      </c>
      <c r="C536">
        <v>3</v>
      </c>
      <c r="D536" s="11">
        <v>41699</v>
      </c>
      <c r="E536" t="s">
        <v>2175</v>
      </c>
      <c r="F536">
        <v>7</v>
      </c>
      <c r="G536" t="s">
        <v>59</v>
      </c>
      <c r="H536" t="s">
        <v>46</v>
      </c>
      <c r="I536" t="s">
        <v>2194</v>
      </c>
      <c r="J536" s="10">
        <v>5</v>
      </c>
      <c r="K536" t="b">
        <v>1</v>
      </c>
    </row>
    <row r="537" spans="1:11">
      <c r="A537" s="12">
        <v>41707</v>
      </c>
      <c r="B537">
        <v>2014</v>
      </c>
      <c r="C537">
        <v>3</v>
      </c>
      <c r="D537" s="11">
        <v>41699</v>
      </c>
      <c r="E537" t="s">
        <v>2175</v>
      </c>
      <c r="F537">
        <v>7</v>
      </c>
      <c r="G537" t="s">
        <v>59</v>
      </c>
      <c r="H537" t="s">
        <v>47</v>
      </c>
      <c r="I537" t="s">
        <v>2195</v>
      </c>
      <c r="J537" s="10">
        <v>0</v>
      </c>
      <c r="K537" t="b">
        <v>1</v>
      </c>
    </row>
    <row r="538" spans="1:11">
      <c r="A538" s="12">
        <v>41708</v>
      </c>
      <c r="B538">
        <v>2014</v>
      </c>
      <c r="C538">
        <v>3</v>
      </c>
      <c r="D538" s="11">
        <v>41699</v>
      </c>
      <c r="E538" t="s">
        <v>2175</v>
      </c>
      <c r="F538">
        <v>1</v>
      </c>
      <c r="G538" t="s">
        <v>61</v>
      </c>
      <c r="H538" t="s">
        <v>40</v>
      </c>
      <c r="I538" t="s">
        <v>2188</v>
      </c>
      <c r="J538" s="10">
        <v>6.68</v>
      </c>
      <c r="K538" t="b">
        <v>1</v>
      </c>
    </row>
    <row r="539" spans="1:11">
      <c r="A539" s="12">
        <v>41708</v>
      </c>
      <c r="B539">
        <v>2014</v>
      </c>
      <c r="C539">
        <v>3</v>
      </c>
      <c r="D539" s="11">
        <v>41699</v>
      </c>
      <c r="E539" t="s">
        <v>2175</v>
      </c>
      <c r="F539">
        <v>1</v>
      </c>
      <c r="G539" t="s">
        <v>61</v>
      </c>
      <c r="H539" t="s">
        <v>41</v>
      </c>
      <c r="I539" t="s">
        <v>2189</v>
      </c>
      <c r="J539" s="10">
        <v>5.35</v>
      </c>
      <c r="K539" t="b">
        <v>1</v>
      </c>
    </row>
    <row r="540" spans="1:11">
      <c r="A540" s="12">
        <v>41708</v>
      </c>
      <c r="B540">
        <v>2014</v>
      </c>
      <c r="C540">
        <v>3</v>
      </c>
      <c r="D540" s="11">
        <v>41699</v>
      </c>
      <c r="E540" t="s">
        <v>2175</v>
      </c>
      <c r="F540">
        <v>1</v>
      </c>
      <c r="G540" t="s">
        <v>61</v>
      </c>
      <c r="H540" t="s">
        <v>42</v>
      </c>
      <c r="I540" t="s">
        <v>2190</v>
      </c>
      <c r="J540" s="10">
        <v>3.8</v>
      </c>
      <c r="K540" t="b">
        <v>1</v>
      </c>
    </row>
    <row r="541" spans="1:11">
      <c r="A541" s="12">
        <v>41708</v>
      </c>
      <c r="B541">
        <v>2014</v>
      </c>
      <c r="C541">
        <v>3</v>
      </c>
      <c r="D541" s="11">
        <v>41699</v>
      </c>
      <c r="E541" t="s">
        <v>2175</v>
      </c>
      <c r="F541">
        <v>1</v>
      </c>
      <c r="G541" t="s">
        <v>61</v>
      </c>
      <c r="H541" t="s">
        <v>43</v>
      </c>
      <c r="I541" t="s">
        <v>2191</v>
      </c>
      <c r="J541" s="10">
        <v>47</v>
      </c>
      <c r="K541" t="b">
        <v>1</v>
      </c>
    </row>
    <row r="542" spans="1:11">
      <c r="A542" s="12">
        <v>41708</v>
      </c>
      <c r="B542">
        <v>2014</v>
      </c>
      <c r="C542">
        <v>3</v>
      </c>
      <c r="D542" s="11">
        <v>41699</v>
      </c>
      <c r="E542" t="s">
        <v>2175</v>
      </c>
      <c r="F542">
        <v>1</v>
      </c>
      <c r="G542" t="s">
        <v>61</v>
      </c>
      <c r="H542" t="s">
        <v>44</v>
      </c>
      <c r="I542" t="s">
        <v>2192</v>
      </c>
      <c r="J542" s="10">
        <v>11</v>
      </c>
      <c r="K542" t="b">
        <v>1</v>
      </c>
    </row>
    <row r="543" spans="1:11">
      <c r="A543" s="12">
        <v>41708</v>
      </c>
      <c r="B543">
        <v>2014</v>
      </c>
      <c r="C543">
        <v>3</v>
      </c>
      <c r="D543" s="11">
        <v>41699</v>
      </c>
      <c r="E543" t="s">
        <v>2175</v>
      </c>
      <c r="F543">
        <v>1</v>
      </c>
      <c r="G543" t="s">
        <v>61</v>
      </c>
      <c r="H543" t="s">
        <v>45</v>
      </c>
      <c r="I543" t="s">
        <v>2193</v>
      </c>
      <c r="J543" s="10">
        <v>0</v>
      </c>
      <c r="K543" t="b">
        <v>1</v>
      </c>
    </row>
    <row r="544" spans="1:11">
      <c r="A544" s="12">
        <v>41708</v>
      </c>
      <c r="B544">
        <v>2014</v>
      </c>
      <c r="C544">
        <v>3</v>
      </c>
      <c r="D544" s="11">
        <v>41699</v>
      </c>
      <c r="E544" t="s">
        <v>2175</v>
      </c>
      <c r="F544">
        <v>1</v>
      </c>
      <c r="G544" t="s">
        <v>61</v>
      </c>
      <c r="H544" t="s">
        <v>46</v>
      </c>
      <c r="I544" t="s">
        <v>2194</v>
      </c>
      <c r="J544" s="10">
        <v>0</v>
      </c>
      <c r="K544" t="b">
        <v>1</v>
      </c>
    </row>
    <row r="545" spans="1:11">
      <c r="A545" s="12">
        <v>41708</v>
      </c>
      <c r="B545">
        <v>2014</v>
      </c>
      <c r="C545">
        <v>3</v>
      </c>
      <c r="D545" s="11">
        <v>41699</v>
      </c>
      <c r="E545" t="s">
        <v>2175</v>
      </c>
      <c r="F545">
        <v>1</v>
      </c>
      <c r="G545" t="s">
        <v>61</v>
      </c>
      <c r="H545" t="s">
        <v>47</v>
      </c>
      <c r="I545" t="s">
        <v>2195</v>
      </c>
      <c r="J545" s="10">
        <v>2</v>
      </c>
      <c r="K545" t="b">
        <v>1</v>
      </c>
    </row>
    <row r="546" spans="1:11">
      <c r="A546" s="12">
        <v>41709</v>
      </c>
      <c r="B546">
        <v>2014</v>
      </c>
      <c r="C546">
        <v>3</v>
      </c>
      <c r="D546" s="11">
        <v>41699</v>
      </c>
      <c r="E546" t="s">
        <v>2175</v>
      </c>
      <c r="F546">
        <v>2</v>
      </c>
      <c r="G546" t="s">
        <v>63</v>
      </c>
      <c r="H546" t="s">
        <v>40</v>
      </c>
      <c r="I546" t="s">
        <v>2188</v>
      </c>
      <c r="J546" s="10">
        <v>6</v>
      </c>
      <c r="K546" t="b">
        <v>1</v>
      </c>
    </row>
    <row r="547" spans="1:11">
      <c r="A547" s="12">
        <v>41709</v>
      </c>
      <c r="B547">
        <v>2014</v>
      </c>
      <c r="C547">
        <v>3</v>
      </c>
      <c r="D547" s="11">
        <v>41699</v>
      </c>
      <c r="E547" t="s">
        <v>2175</v>
      </c>
      <c r="F547">
        <v>2</v>
      </c>
      <c r="G547" t="s">
        <v>63</v>
      </c>
      <c r="H547" t="s">
        <v>41</v>
      </c>
      <c r="I547" t="s">
        <v>2189</v>
      </c>
      <c r="J547" s="10">
        <v>5.7</v>
      </c>
      <c r="K547" t="b">
        <v>1</v>
      </c>
    </row>
    <row r="548" spans="1:11">
      <c r="A548" s="12">
        <v>41709</v>
      </c>
      <c r="B548">
        <v>2014</v>
      </c>
      <c r="C548">
        <v>3</v>
      </c>
      <c r="D548" s="11">
        <v>41699</v>
      </c>
      <c r="E548" t="s">
        <v>2175</v>
      </c>
      <c r="F548">
        <v>2</v>
      </c>
      <c r="G548" t="s">
        <v>63</v>
      </c>
      <c r="H548" t="s">
        <v>42</v>
      </c>
      <c r="I548" t="s">
        <v>2190</v>
      </c>
      <c r="J548" s="10">
        <v>7</v>
      </c>
      <c r="K548" t="b">
        <v>1</v>
      </c>
    </row>
    <row r="549" spans="1:11">
      <c r="A549" s="12">
        <v>41709</v>
      </c>
      <c r="B549">
        <v>2014</v>
      </c>
      <c r="C549">
        <v>3</v>
      </c>
      <c r="D549" s="11">
        <v>41699</v>
      </c>
      <c r="E549" t="s">
        <v>2175</v>
      </c>
      <c r="F549">
        <v>2</v>
      </c>
      <c r="G549" t="s">
        <v>63</v>
      </c>
      <c r="H549" t="s">
        <v>43</v>
      </c>
      <c r="I549" t="s">
        <v>2191</v>
      </c>
      <c r="J549" s="10">
        <v>30.4</v>
      </c>
      <c r="K549" t="b">
        <v>1</v>
      </c>
    </row>
    <row r="550" spans="1:11">
      <c r="A550" s="12">
        <v>41709</v>
      </c>
      <c r="B550">
        <v>2014</v>
      </c>
      <c r="C550">
        <v>3</v>
      </c>
      <c r="D550" s="11">
        <v>41699</v>
      </c>
      <c r="E550" t="s">
        <v>2175</v>
      </c>
      <c r="F550">
        <v>2</v>
      </c>
      <c r="G550" t="s">
        <v>63</v>
      </c>
      <c r="H550" t="s">
        <v>44</v>
      </c>
      <c r="I550" t="s">
        <v>2192</v>
      </c>
      <c r="J550" s="10">
        <v>12</v>
      </c>
      <c r="K550" t="b">
        <v>1</v>
      </c>
    </row>
    <row r="551" spans="1:11">
      <c r="A551" s="12">
        <v>41709</v>
      </c>
      <c r="B551">
        <v>2014</v>
      </c>
      <c r="C551">
        <v>3</v>
      </c>
      <c r="D551" s="11">
        <v>41699</v>
      </c>
      <c r="E551" t="s">
        <v>2175</v>
      </c>
      <c r="F551">
        <v>2</v>
      </c>
      <c r="G551" t="s">
        <v>63</v>
      </c>
      <c r="H551" t="s">
        <v>45</v>
      </c>
      <c r="I551" t="s">
        <v>2193</v>
      </c>
      <c r="J551" s="10">
        <v>1</v>
      </c>
      <c r="K551" t="b">
        <v>1</v>
      </c>
    </row>
    <row r="552" spans="1:11">
      <c r="A552" s="12">
        <v>41709</v>
      </c>
      <c r="B552">
        <v>2014</v>
      </c>
      <c r="C552">
        <v>3</v>
      </c>
      <c r="D552" s="11">
        <v>41699</v>
      </c>
      <c r="E552" t="s">
        <v>2175</v>
      </c>
      <c r="F552">
        <v>2</v>
      </c>
      <c r="G552" t="s">
        <v>63</v>
      </c>
      <c r="H552" t="s">
        <v>46</v>
      </c>
      <c r="I552" t="s">
        <v>2194</v>
      </c>
      <c r="J552" s="10">
        <v>1</v>
      </c>
      <c r="K552" t="b">
        <v>1</v>
      </c>
    </row>
    <row r="553" spans="1:11">
      <c r="A553" s="12">
        <v>41709</v>
      </c>
      <c r="B553">
        <v>2014</v>
      </c>
      <c r="C553">
        <v>3</v>
      </c>
      <c r="D553" s="11">
        <v>41699</v>
      </c>
      <c r="E553" t="s">
        <v>2175</v>
      </c>
      <c r="F553">
        <v>2</v>
      </c>
      <c r="G553" t="s">
        <v>63</v>
      </c>
      <c r="H553" t="s">
        <v>47</v>
      </c>
      <c r="I553" t="s">
        <v>2195</v>
      </c>
      <c r="J553" s="10">
        <v>5</v>
      </c>
      <c r="K553" t="b">
        <v>1</v>
      </c>
    </row>
    <row r="554" spans="1:11">
      <c r="A554" s="12">
        <v>41710</v>
      </c>
      <c r="B554">
        <v>2014</v>
      </c>
      <c r="C554">
        <v>3</v>
      </c>
      <c r="D554" s="11">
        <v>41699</v>
      </c>
      <c r="E554" t="s">
        <v>2175</v>
      </c>
      <c r="F554">
        <v>3</v>
      </c>
      <c r="G554" t="s">
        <v>65</v>
      </c>
      <c r="H554" t="s">
        <v>40</v>
      </c>
      <c r="I554" t="s">
        <v>2188</v>
      </c>
      <c r="J554" s="10">
        <v>6.34</v>
      </c>
      <c r="K554" t="b">
        <v>1</v>
      </c>
    </row>
    <row r="555" spans="1:11">
      <c r="A555" s="12">
        <v>41710</v>
      </c>
      <c r="B555">
        <v>2014</v>
      </c>
      <c r="C555">
        <v>3</v>
      </c>
      <c r="D555" s="11">
        <v>41699</v>
      </c>
      <c r="E555" t="s">
        <v>2175</v>
      </c>
      <c r="F555">
        <v>3</v>
      </c>
      <c r="G555" t="s">
        <v>65</v>
      </c>
      <c r="H555" t="s">
        <v>41</v>
      </c>
      <c r="I555" t="s">
        <v>2189</v>
      </c>
      <c r="J555" s="10">
        <v>2.68</v>
      </c>
      <c r="K555" t="b">
        <v>1</v>
      </c>
    </row>
    <row r="556" spans="1:11">
      <c r="A556" s="12">
        <v>41710</v>
      </c>
      <c r="B556">
        <v>2014</v>
      </c>
      <c r="C556">
        <v>3</v>
      </c>
      <c r="D556" s="11">
        <v>41699</v>
      </c>
      <c r="E556" t="s">
        <v>2175</v>
      </c>
      <c r="F556">
        <v>3</v>
      </c>
      <c r="G556" t="s">
        <v>65</v>
      </c>
      <c r="H556" t="s">
        <v>42</v>
      </c>
      <c r="I556" t="s">
        <v>2190</v>
      </c>
      <c r="J556" s="10">
        <v>6.5</v>
      </c>
      <c r="K556" t="b">
        <v>1</v>
      </c>
    </row>
    <row r="557" spans="1:11">
      <c r="A557" s="12">
        <v>41710</v>
      </c>
      <c r="B557">
        <v>2014</v>
      </c>
      <c r="C557">
        <v>3</v>
      </c>
      <c r="D557" s="11">
        <v>41699</v>
      </c>
      <c r="E557" t="s">
        <v>2175</v>
      </c>
      <c r="F557">
        <v>3</v>
      </c>
      <c r="G557" t="s">
        <v>65</v>
      </c>
      <c r="H557" t="s">
        <v>43</v>
      </c>
      <c r="I557" t="s">
        <v>2191</v>
      </c>
      <c r="J557" s="10">
        <v>19.6</v>
      </c>
      <c r="K557" t="b">
        <v>1</v>
      </c>
    </row>
    <row r="558" spans="1:11">
      <c r="A558" s="12">
        <v>41710</v>
      </c>
      <c r="B558">
        <v>2014</v>
      </c>
      <c r="C558">
        <v>3</v>
      </c>
      <c r="D558" s="11">
        <v>41699</v>
      </c>
      <c r="E558" t="s">
        <v>2175</v>
      </c>
      <c r="F558">
        <v>3</v>
      </c>
      <c r="G558" t="s">
        <v>65</v>
      </c>
      <c r="H558" t="s">
        <v>44</v>
      </c>
      <c r="I558" t="s">
        <v>2192</v>
      </c>
      <c r="J558" s="10">
        <v>22</v>
      </c>
      <c r="K558" t="b">
        <v>1</v>
      </c>
    </row>
    <row r="559" spans="1:11">
      <c r="A559" s="12">
        <v>41710</v>
      </c>
      <c r="B559">
        <v>2014</v>
      </c>
      <c r="C559">
        <v>3</v>
      </c>
      <c r="D559" s="11">
        <v>41699</v>
      </c>
      <c r="E559" t="s">
        <v>2175</v>
      </c>
      <c r="F559">
        <v>3</v>
      </c>
      <c r="G559" t="s">
        <v>65</v>
      </c>
      <c r="H559" t="s">
        <v>45</v>
      </c>
      <c r="I559" t="s">
        <v>2193</v>
      </c>
      <c r="J559" s="10">
        <v>3</v>
      </c>
      <c r="K559" t="b">
        <v>1</v>
      </c>
    </row>
    <row r="560" spans="1:11">
      <c r="A560" s="12">
        <v>41710</v>
      </c>
      <c r="B560">
        <v>2014</v>
      </c>
      <c r="C560">
        <v>3</v>
      </c>
      <c r="D560" s="11">
        <v>41699</v>
      </c>
      <c r="E560" t="s">
        <v>2175</v>
      </c>
      <c r="F560">
        <v>3</v>
      </c>
      <c r="G560" t="s">
        <v>65</v>
      </c>
      <c r="H560" t="s">
        <v>46</v>
      </c>
      <c r="I560" t="s">
        <v>2194</v>
      </c>
      <c r="J560" s="10">
        <v>2</v>
      </c>
      <c r="K560" t="b">
        <v>1</v>
      </c>
    </row>
    <row r="561" spans="1:11">
      <c r="A561" s="12">
        <v>41710</v>
      </c>
      <c r="B561">
        <v>2014</v>
      </c>
      <c r="C561">
        <v>3</v>
      </c>
      <c r="D561" s="11">
        <v>41699</v>
      </c>
      <c r="E561" t="s">
        <v>2175</v>
      </c>
      <c r="F561">
        <v>3</v>
      </c>
      <c r="G561" t="s">
        <v>65</v>
      </c>
      <c r="H561" t="s">
        <v>47</v>
      </c>
      <c r="I561" t="s">
        <v>2195</v>
      </c>
      <c r="J561" s="10">
        <v>2</v>
      </c>
      <c r="K561" t="b">
        <v>1</v>
      </c>
    </row>
    <row r="562" spans="1:11">
      <c r="A562" s="12">
        <v>41711</v>
      </c>
      <c r="B562">
        <v>2014</v>
      </c>
      <c r="C562">
        <v>3</v>
      </c>
      <c r="D562" s="11">
        <v>41699</v>
      </c>
      <c r="E562" t="s">
        <v>2175</v>
      </c>
      <c r="F562">
        <v>4</v>
      </c>
      <c r="G562" t="s">
        <v>53</v>
      </c>
      <c r="H562" t="s">
        <v>40</v>
      </c>
      <c r="I562" t="s">
        <v>2188</v>
      </c>
      <c r="J562" s="10">
        <v>2.31</v>
      </c>
      <c r="K562" t="b">
        <v>1</v>
      </c>
    </row>
    <row r="563" spans="1:11">
      <c r="A563" s="12">
        <v>41711</v>
      </c>
      <c r="B563">
        <v>2014</v>
      </c>
      <c r="C563">
        <v>3</v>
      </c>
      <c r="D563" s="11">
        <v>41699</v>
      </c>
      <c r="E563" t="s">
        <v>2175</v>
      </c>
      <c r="F563">
        <v>4</v>
      </c>
      <c r="G563" t="s">
        <v>53</v>
      </c>
      <c r="H563" t="s">
        <v>41</v>
      </c>
      <c r="I563" t="s">
        <v>2189</v>
      </c>
      <c r="J563" s="10">
        <v>4.36</v>
      </c>
      <c r="K563" t="b">
        <v>1</v>
      </c>
    </row>
    <row r="564" spans="1:11">
      <c r="A564" s="12">
        <v>41711</v>
      </c>
      <c r="B564">
        <v>2014</v>
      </c>
      <c r="C564">
        <v>3</v>
      </c>
      <c r="D564" s="11">
        <v>41699</v>
      </c>
      <c r="E564" t="s">
        <v>2175</v>
      </c>
      <c r="F564">
        <v>4</v>
      </c>
      <c r="G564" t="s">
        <v>53</v>
      </c>
      <c r="H564" t="s">
        <v>42</v>
      </c>
      <c r="I564" t="s">
        <v>2190</v>
      </c>
      <c r="J564" s="10">
        <v>5.3</v>
      </c>
      <c r="K564" t="b">
        <v>1</v>
      </c>
    </row>
    <row r="565" spans="1:11">
      <c r="A565" s="12">
        <v>41711</v>
      </c>
      <c r="B565">
        <v>2014</v>
      </c>
      <c r="C565">
        <v>3</v>
      </c>
      <c r="D565" s="11">
        <v>41699</v>
      </c>
      <c r="E565" t="s">
        <v>2175</v>
      </c>
      <c r="F565">
        <v>4</v>
      </c>
      <c r="G565" t="s">
        <v>53</v>
      </c>
      <c r="H565" t="s">
        <v>43</v>
      </c>
      <c r="I565" t="s">
        <v>2191</v>
      </c>
      <c r="J565" s="10">
        <v>15.5</v>
      </c>
      <c r="K565" t="b">
        <v>1</v>
      </c>
    </row>
    <row r="566" spans="1:11">
      <c r="A566" s="12">
        <v>41711</v>
      </c>
      <c r="B566">
        <v>2014</v>
      </c>
      <c r="C566">
        <v>3</v>
      </c>
      <c r="D566" s="11">
        <v>41699</v>
      </c>
      <c r="E566" t="s">
        <v>2175</v>
      </c>
      <c r="F566">
        <v>4</v>
      </c>
      <c r="G566" t="s">
        <v>53</v>
      </c>
      <c r="H566" t="s">
        <v>44</v>
      </c>
      <c r="I566" t="s">
        <v>2192</v>
      </c>
      <c r="J566" s="10">
        <v>10</v>
      </c>
      <c r="K566" t="b">
        <v>1</v>
      </c>
    </row>
    <row r="567" spans="1:11">
      <c r="A567" s="12">
        <v>41711</v>
      </c>
      <c r="B567">
        <v>2014</v>
      </c>
      <c r="C567">
        <v>3</v>
      </c>
      <c r="D567" s="11">
        <v>41699</v>
      </c>
      <c r="E567" t="s">
        <v>2175</v>
      </c>
      <c r="F567">
        <v>4</v>
      </c>
      <c r="G567" t="s">
        <v>53</v>
      </c>
      <c r="H567" t="s">
        <v>45</v>
      </c>
      <c r="I567" t="s">
        <v>2193</v>
      </c>
      <c r="J567" s="10">
        <v>0</v>
      </c>
      <c r="K567" t="b">
        <v>1</v>
      </c>
    </row>
    <row r="568" spans="1:11">
      <c r="A568" s="12">
        <v>41711</v>
      </c>
      <c r="B568">
        <v>2014</v>
      </c>
      <c r="C568">
        <v>3</v>
      </c>
      <c r="D568" s="11">
        <v>41699</v>
      </c>
      <c r="E568" t="s">
        <v>2175</v>
      </c>
      <c r="F568">
        <v>4</v>
      </c>
      <c r="G568" t="s">
        <v>53</v>
      </c>
      <c r="H568" t="s">
        <v>46</v>
      </c>
      <c r="I568" t="s">
        <v>2194</v>
      </c>
      <c r="J568" s="10">
        <v>26</v>
      </c>
      <c r="K568" t="b">
        <v>1</v>
      </c>
    </row>
    <row r="569" spans="1:11">
      <c r="A569" s="12">
        <v>41711</v>
      </c>
      <c r="B569">
        <v>2014</v>
      </c>
      <c r="C569">
        <v>3</v>
      </c>
      <c r="D569" s="11">
        <v>41699</v>
      </c>
      <c r="E569" t="s">
        <v>2175</v>
      </c>
      <c r="F569">
        <v>4</v>
      </c>
      <c r="G569" t="s">
        <v>53</v>
      </c>
      <c r="H569" t="s">
        <v>47</v>
      </c>
      <c r="I569" t="s">
        <v>2195</v>
      </c>
      <c r="J569" s="10">
        <v>2</v>
      </c>
      <c r="K569" t="b">
        <v>1</v>
      </c>
    </row>
    <row r="570" spans="1:11">
      <c r="A570" s="12">
        <v>41712</v>
      </c>
      <c r="B570">
        <v>2014</v>
      </c>
      <c r="C570">
        <v>3</v>
      </c>
      <c r="D570" s="11">
        <v>41699</v>
      </c>
      <c r="E570" t="s">
        <v>2175</v>
      </c>
      <c r="F570">
        <v>5</v>
      </c>
      <c r="G570" t="s">
        <v>55</v>
      </c>
      <c r="H570" t="s">
        <v>40</v>
      </c>
      <c r="I570" t="s">
        <v>2188</v>
      </c>
      <c r="J570" s="10">
        <v>4.34</v>
      </c>
      <c r="K570" t="b">
        <v>1</v>
      </c>
    </row>
    <row r="571" spans="1:11">
      <c r="A571" s="12">
        <v>41712</v>
      </c>
      <c r="B571">
        <v>2014</v>
      </c>
      <c r="C571">
        <v>3</v>
      </c>
      <c r="D571" s="11">
        <v>41699</v>
      </c>
      <c r="E571" t="s">
        <v>2175</v>
      </c>
      <c r="F571">
        <v>5</v>
      </c>
      <c r="G571" t="s">
        <v>55</v>
      </c>
      <c r="H571" t="s">
        <v>41</v>
      </c>
      <c r="I571" t="s">
        <v>2189</v>
      </c>
      <c r="J571" s="10">
        <v>1.68</v>
      </c>
      <c r="K571" t="b">
        <v>1</v>
      </c>
    </row>
    <row r="572" spans="1:11">
      <c r="A572" s="12">
        <v>41712</v>
      </c>
      <c r="B572">
        <v>2014</v>
      </c>
      <c r="C572">
        <v>3</v>
      </c>
      <c r="D572" s="11">
        <v>41699</v>
      </c>
      <c r="E572" t="s">
        <v>2175</v>
      </c>
      <c r="F572">
        <v>5</v>
      </c>
      <c r="G572" t="s">
        <v>55</v>
      </c>
      <c r="H572" t="s">
        <v>42</v>
      </c>
      <c r="I572" t="s">
        <v>2190</v>
      </c>
      <c r="J572" s="10">
        <v>1.2</v>
      </c>
      <c r="K572" t="b">
        <v>1</v>
      </c>
    </row>
    <row r="573" spans="1:11">
      <c r="A573" s="12">
        <v>41712</v>
      </c>
      <c r="B573">
        <v>2014</v>
      </c>
      <c r="C573">
        <v>3</v>
      </c>
      <c r="D573" s="11">
        <v>41699</v>
      </c>
      <c r="E573" t="s">
        <v>2175</v>
      </c>
      <c r="F573">
        <v>5</v>
      </c>
      <c r="G573" t="s">
        <v>55</v>
      </c>
      <c r="H573" t="s">
        <v>43</v>
      </c>
      <c r="I573" t="s">
        <v>2191</v>
      </c>
      <c r="J573" s="10">
        <v>16</v>
      </c>
      <c r="K573" t="b">
        <v>1</v>
      </c>
    </row>
    <row r="574" spans="1:11">
      <c r="A574" s="12">
        <v>41712</v>
      </c>
      <c r="B574">
        <v>2014</v>
      </c>
      <c r="C574">
        <v>3</v>
      </c>
      <c r="D574" s="11">
        <v>41699</v>
      </c>
      <c r="E574" t="s">
        <v>2175</v>
      </c>
      <c r="F574">
        <v>5</v>
      </c>
      <c r="G574" t="s">
        <v>55</v>
      </c>
      <c r="H574" t="s">
        <v>44</v>
      </c>
      <c r="I574" t="s">
        <v>2192</v>
      </c>
      <c r="J574" s="10">
        <v>11</v>
      </c>
      <c r="K574" t="b">
        <v>1</v>
      </c>
    </row>
    <row r="575" spans="1:11">
      <c r="A575" s="12">
        <v>41712</v>
      </c>
      <c r="B575">
        <v>2014</v>
      </c>
      <c r="C575">
        <v>3</v>
      </c>
      <c r="D575" s="11">
        <v>41699</v>
      </c>
      <c r="E575" t="s">
        <v>2175</v>
      </c>
      <c r="F575">
        <v>5</v>
      </c>
      <c r="G575" t="s">
        <v>55</v>
      </c>
      <c r="H575" t="s">
        <v>45</v>
      </c>
      <c r="I575" t="s">
        <v>2193</v>
      </c>
      <c r="J575" s="10">
        <v>0</v>
      </c>
      <c r="K575" t="b">
        <v>1</v>
      </c>
    </row>
    <row r="576" spans="1:11">
      <c r="A576" s="12">
        <v>41712</v>
      </c>
      <c r="B576">
        <v>2014</v>
      </c>
      <c r="C576">
        <v>3</v>
      </c>
      <c r="D576" s="11">
        <v>41699</v>
      </c>
      <c r="E576" t="s">
        <v>2175</v>
      </c>
      <c r="F576">
        <v>5</v>
      </c>
      <c r="G576" t="s">
        <v>55</v>
      </c>
      <c r="H576" t="s">
        <v>46</v>
      </c>
      <c r="I576" t="s">
        <v>2194</v>
      </c>
      <c r="J576" s="10">
        <v>1</v>
      </c>
      <c r="K576" t="b">
        <v>1</v>
      </c>
    </row>
    <row r="577" spans="1:11">
      <c r="A577" s="12">
        <v>41712</v>
      </c>
      <c r="B577">
        <v>2014</v>
      </c>
      <c r="C577">
        <v>3</v>
      </c>
      <c r="D577" s="11">
        <v>41699</v>
      </c>
      <c r="E577" t="s">
        <v>2175</v>
      </c>
      <c r="F577">
        <v>5</v>
      </c>
      <c r="G577" t="s">
        <v>55</v>
      </c>
      <c r="H577" t="s">
        <v>47</v>
      </c>
      <c r="I577" t="s">
        <v>2195</v>
      </c>
      <c r="J577" s="10">
        <v>2</v>
      </c>
      <c r="K577" t="b">
        <v>1</v>
      </c>
    </row>
    <row r="578" spans="1:11">
      <c r="A578" s="12">
        <v>41713</v>
      </c>
      <c r="B578">
        <v>2014</v>
      </c>
      <c r="C578">
        <v>3</v>
      </c>
      <c r="D578" s="11">
        <v>41699</v>
      </c>
      <c r="E578" t="s">
        <v>2175</v>
      </c>
      <c r="F578">
        <v>6</v>
      </c>
      <c r="G578" t="s">
        <v>57</v>
      </c>
      <c r="H578" t="s">
        <v>40</v>
      </c>
      <c r="I578" t="s">
        <v>2188</v>
      </c>
      <c r="J578" s="10">
        <v>4</v>
      </c>
      <c r="K578" t="b">
        <v>1</v>
      </c>
    </row>
    <row r="579" spans="1:11">
      <c r="A579" s="12">
        <v>41713</v>
      </c>
      <c r="B579">
        <v>2014</v>
      </c>
      <c r="C579">
        <v>3</v>
      </c>
      <c r="D579" s="11">
        <v>41699</v>
      </c>
      <c r="E579" t="s">
        <v>2175</v>
      </c>
      <c r="F579">
        <v>6</v>
      </c>
      <c r="G579" t="s">
        <v>57</v>
      </c>
      <c r="H579" t="s">
        <v>41</v>
      </c>
      <c r="I579" t="s">
        <v>2189</v>
      </c>
      <c r="J579" s="10">
        <v>2</v>
      </c>
      <c r="K579" t="b">
        <v>1</v>
      </c>
    </row>
    <row r="580" spans="1:11">
      <c r="A580" s="12">
        <v>41713</v>
      </c>
      <c r="B580">
        <v>2014</v>
      </c>
      <c r="C580">
        <v>3</v>
      </c>
      <c r="D580" s="11">
        <v>41699</v>
      </c>
      <c r="E580" t="s">
        <v>2175</v>
      </c>
      <c r="F580">
        <v>6</v>
      </c>
      <c r="G580" t="s">
        <v>57</v>
      </c>
      <c r="H580" t="s">
        <v>42</v>
      </c>
      <c r="I580" t="s">
        <v>2190</v>
      </c>
      <c r="J580" s="10">
        <v>11</v>
      </c>
      <c r="K580" t="b">
        <v>1</v>
      </c>
    </row>
    <row r="581" spans="1:11">
      <c r="A581" s="12">
        <v>41713</v>
      </c>
      <c r="B581">
        <v>2014</v>
      </c>
      <c r="C581">
        <v>3</v>
      </c>
      <c r="D581" s="11">
        <v>41699</v>
      </c>
      <c r="E581" t="s">
        <v>2175</v>
      </c>
      <c r="F581">
        <v>6</v>
      </c>
      <c r="G581" t="s">
        <v>57</v>
      </c>
      <c r="H581" t="s">
        <v>43</v>
      </c>
      <c r="I581" t="s">
        <v>2191</v>
      </c>
      <c r="J581" s="10">
        <v>23.3</v>
      </c>
      <c r="K581" t="b">
        <v>1</v>
      </c>
    </row>
    <row r="582" spans="1:11">
      <c r="A582" s="12">
        <v>41713</v>
      </c>
      <c r="B582">
        <v>2014</v>
      </c>
      <c r="C582">
        <v>3</v>
      </c>
      <c r="D582" s="11">
        <v>41699</v>
      </c>
      <c r="E582" t="s">
        <v>2175</v>
      </c>
      <c r="F582">
        <v>6</v>
      </c>
      <c r="G582" t="s">
        <v>57</v>
      </c>
      <c r="H582" t="s">
        <v>44</v>
      </c>
      <c r="I582" t="s">
        <v>2192</v>
      </c>
      <c r="J582" s="10">
        <v>18</v>
      </c>
      <c r="K582" t="b">
        <v>1</v>
      </c>
    </row>
    <row r="583" spans="1:11">
      <c r="A583" s="12">
        <v>41713</v>
      </c>
      <c r="B583">
        <v>2014</v>
      </c>
      <c r="C583">
        <v>3</v>
      </c>
      <c r="D583" s="11">
        <v>41699</v>
      </c>
      <c r="E583" t="s">
        <v>2175</v>
      </c>
      <c r="F583">
        <v>6</v>
      </c>
      <c r="G583" t="s">
        <v>57</v>
      </c>
      <c r="H583" t="s">
        <v>45</v>
      </c>
      <c r="I583" t="s">
        <v>2193</v>
      </c>
      <c r="J583" s="10">
        <v>1</v>
      </c>
      <c r="K583" t="b">
        <v>1</v>
      </c>
    </row>
    <row r="584" spans="1:11">
      <c r="A584" s="12">
        <v>41713</v>
      </c>
      <c r="B584">
        <v>2014</v>
      </c>
      <c r="C584">
        <v>3</v>
      </c>
      <c r="D584" s="11">
        <v>41699</v>
      </c>
      <c r="E584" t="s">
        <v>2175</v>
      </c>
      <c r="F584">
        <v>6</v>
      </c>
      <c r="G584" t="s">
        <v>57</v>
      </c>
      <c r="H584" t="s">
        <v>46</v>
      </c>
      <c r="I584" t="s">
        <v>2194</v>
      </c>
      <c r="J584" s="10">
        <v>6</v>
      </c>
      <c r="K584" t="b">
        <v>1</v>
      </c>
    </row>
    <row r="585" spans="1:11">
      <c r="A585" s="12">
        <v>41713</v>
      </c>
      <c r="B585">
        <v>2014</v>
      </c>
      <c r="C585">
        <v>3</v>
      </c>
      <c r="D585" s="11">
        <v>41699</v>
      </c>
      <c r="E585" t="s">
        <v>2175</v>
      </c>
      <c r="F585">
        <v>6</v>
      </c>
      <c r="G585" t="s">
        <v>57</v>
      </c>
      <c r="H585" t="s">
        <v>47</v>
      </c>
      <c r="I585" t="s">
        <v>2195</v>
      </c>
      <c r="J585" s="10">
        <v>2</v>
      </c>
      <c r="K585" t="b">
        <v>1</v>
      </c>
    </row>
    <row r="586" spans="1:11">
      <c r="A586" s="12">
        <v>41714</v>
      </c>
      <c r="B586">
        <v>2014</v>
      </c>
      <c r="C586">
        <v>3</v>
      </c>
      <c r="D586" s="11">
        <v>41699</v>
      </c>
      <c r="E586" t="s">
        <v>2175</v>
      </c>
      <c r="F586">
        <v>7</v>
      </c>
      <c r="G586" t="s">
        <v>59</v>
      </c>
      <c r="H586" t="s">
        <v>40</v>
      </c>
      <c r="I586" t="s">
        <v>2188</v>
      </c>
      <c r="J586" s="10">
        <v>2.68</v>
      </c>
      <c r="K586" t="b">
        <v>1</v>
      </c>
    </row>
    <row r="587" spans="1:11">
      <c r="A587" s="12">
        <v>41714</v>
      </c>
      <c r="B587">
        <v>2014</v>
      </c>
      <c r="C587">
        <v>3</v>
      </c>
      <c r="D587" s="11">
        <v>41699</v>
      </c>
      <c r="E587" t="s">
        <v>2175</v>
      </c>
      <c r="F587">
        <v>7</v>
      </c>
      <c r="G587" t="s">
        <v>59</v>
      </c>
      <c r="H587" t="s">
        <v>41</v>
      </c>
      <c r="I587" t="s">
        <v>2189</v>
      </c>
      <c r="J587" s="10">
        <v>2</v>
      </c>
      <c r="K587" t="b">
        <v>1</v>
      </c>
    </row>
    <row r="588" spans="1:11">
      <c r="A588" s="12">
        <v>41714</v>
      </c>
      <c r="B588">
        <v>2014</v>
      </c>
      <c r="C588">
        <v>3</v>
      </c>
      <c r="D588" s="11">
        <v>41699</v>
      </c>
      <c r="E588" t="s">
        <v>2175</v>
      </c>
      <c r="F588">
        <v>7</v>
      </c>
      <c r="G588" t="s">
        <v>59</v>
      </c>
      <c r="H588" t="s">
        <v>42</v>
      </c>
      <c r="I588" t="s">
        <v>2190</v>
      </c>
      <c r="J588" s="10">
        <v>1.4</v>
      </c>
      <c r="K588" t="b">
        <v>1</v>
      </c>
    </row>
    <row r="589" spans="1:11">
      <c r="A589" s="12">
        <v>41714</v>
      </c>
      <c r="B589">
        <v>2014</v>
      </c>
      <c r="C589">
        <v>3</v>
      </c>
      <c r="D589" s="11">
        <v>41699</v>
      </c>
      <c r="E589" t="s">
        <v>2175</v>
      </c>
      <c r="F589">
        <v>7</v>
      </c>
      <c r="G589" t="s">
        <v>59</v>
      </c>
      <c r="H589" t="s">
        <v>43</v>
      </c>
      <c r="I589" t="s">
        <v>2191</v>
      </c>
      <c r="J589" s="10">
        <v>13</v>
      </c>
      <c r="K589" t="b">
        <v>1</v>
      </c>
    </row>
    <row r="590" spans="1:11">
      <c r="A590" s="12">
        <v>41714</v>
      </c>
      <c r="B590">
        <v>2014</v>
      </c>
      <c r="C590">
        <v>3</v>
      </c>
      <c r="D590" s="11">
        <v>41699</v>
      </c>
      <c r="E590" t="s">
        <v>2175</v>
      </c>
      <c r="F590">
        <v>7</v>
      </c>
      <c r="G590" t="s">
        <v>59</v>
      </c>
      <c r="H590" t="s">
        <v>44</v>
      </c>
      <c r="I590" t="s">
        <v>2192</v>
      </c>
      <c r="J590" s="10">
        <v>6</v>
      </c>
      <c r="K590" t="b">
        <v>1</v>
      </c>
    </row>
    <row r="591" spans="1:11">
      <c r="A591" s="12">
        <v>41714</v>
      </c>
      <c r="B591">
        <v>2014</v>
      </c>
      <c r="C591">
        <v>3</v>
      </c>
      <c r="D591" s="11">
        <v>41699</v>
      </c>
      <c r="E591" t="s">
        <v>2175</v>
      </c>
      <c r="F591">
        <v>7</v>
      </c>
      <c r="G591" t="s">
        <v>59</v>
      </c>
      <c r="H591" t="s">
        <v>45</v>
      </c>
      <c r="I591" t="s">
        <v>2193</v>
      </c>
      <c r="J591" s="10">
        <v>0</v>
      </c>
      <c r="K591" t="b">
        <v>1</v>
      </c>
    </row>
    <row r="592" spans="1:11">
      <c r="A592" s="12">
        <v>41714</v>
      </c>
      <c r="B592">
        <v>2014</v>
      </c>
      <c r="C592">
        <v>3</v>
      </c>
      <c r="D592" s="11">
        <v>41699</v>
      </c>
      <c r="E592" t="s">
        <v>2175</v>
      </c>
      <c r="F592">
        <v>7</v>
      </c>
      <c r="G592" t="s">
        <v>59</v>
      </c>
      <c r="H592" t="s">
        <v>46</v>
      </c>
      <c r="I592" t="s">
        <v>2194</v>
      </c>
      <c r="J592" s="10">
        <v>0</v>
      </c>
      <c r="K592" t="b">
        <v>1</v>
      </c>
    </row>
    <row r="593" spans="1:11">
      <c r="A593" s="12">
        <v>41714</v>
      </c>
      <c r="B593">
        <v>2014</v>
      </c>
      <c r="C593">
        <v>3</v>
      </c>
      <c r="D593" s="11">
        <v>41699</v>
      </c>
      <c r="E593" t="s">
        <v>2175</v>
      </c>
      <c r="F593">
        <v>7</v>
      </c>
      <c r="G593" t="s">
        <v>59</v>
      </c>
      <c r="H593" t="s">
        <v>47</v>
      </c>
      <c r="I593" t="s">
        <v>2195</v>
      </c>
      <c r="J593" s="10">
        <v>4</v>
      </c>
      <c r="K593" t="b">
        <v>1</v>
      </c>
    </row>
    <row r="594" spans="1:11">
      <c r="A594" s="12">
        <v>41715</v>
      </c>
      <c r="B594">
        <v>2014</v>
      </c>
      <c r="C594">
        <v>3</v>
      </c>
      <c r="D594" s="11">
        <v>41699</v>
      </c>
      <c r="E594" t="s">
        <v>2175</v>
      </c>
      <c r="F594">
        <v>1</v>
      </c>
      <c r="G594" t="s">
        <v>61</v>
      </c>
      <c r="H594" t="s">
        <v>40</v>
      </c>
      <c r="I594" t="s">
        <v>2188</v>
      </c>
      <c r="J594" s="10">
        <v>8.68</v>
      </c>
      <c r="K594" t="b">
        <v>1</v>
      </c>
    </row>
    <row r="595" spans="1:11">
      <c r="A595" s="12">
        <v>41715</v>
      </c>
      <c r="B595">
        <v>2014</v>
      </c>
      <c r="C595">
        <v>3</v>
      </c>
      <c r="D595" s="11">
        <v>41699</v>
      </c>
      <c r="E595" t="s">
        <v>2175</v>
      </c>
      <c r="F595">
        <v>1</v>
      </c>
      <c r="G595" t="s">
        <v>61</v>
      </c>
      <c r="H595" t="s">
        <v>41</v>
      </c>
      <c r="I595" t="s">
        <v>2189</v>
      </c>
      <c r="J595" s="10">
        <v>3.34</v>
      </c>
      <c r="K595" t="b">
        <v>1</v>
      </c>
    </row>
    <row r="596" spans="1:11">
      <c r="A596" s="12">
        <v>41715</v>
      </c>
      <c r="B596">
        <v>2014</v>
      </c>
      <c r="C596">
        <v>3</v>
      </c>
      <c r="D596" s="11">
        <v>41699</v>
      </c>
      <c r="E596" t="s">
        <v>2175</v>
      </c>
      <c r="F596">
        <v>1</v>
      </c>
      <c r="G596" t="s">
        <v>61</v>
      </c>
      <c r="H596" t="s">
        <v>42</v>
      </c>
      <c r="I596" t="s">
        <v>2190</v>
      </c>
      <c r="J596" s="10">
        <v>7</v>
      </c>
      <c r="K596" t="b">
        <v>1</v>
      </c>
    </row>
    <row r="597" spans="1:11">
      <c r="A597" s="12">
        <v>41715</v>
      </c>
      <c r="B597">
        <v>2014</v>
      </c>
      <c r="C597">
        <v>3</v>
      </c>
      <c r="D597" s="11">
        <v>41699</v>
      </c>
      <c r="E597" t="s">
        <v>2175</v>
      </c>
      <c r="F597">
        <v>1</v>
      </c>
      <c r="G597" t="s">
        <v>61</v>
      </c>
      <c r="H597" t="s">
        <v>43</v>
      </c>
      <c r="I597" t="s">
        <v>2191</v>
      </c>
      <c r="J597" s="10">
        <v>37</v>
      </c>
      <c r="K597" t="b">
        <v>1</v>
      </c>
    </row>
    <row r="598" spans="1:11">
      <c r="A598" s="12">
        <v>41715</v>
      </c>
      <c r="B598">
        <v>2014</v>
      </c>
      <c r="C598">
        <v>3</v>
      </c>
      <c r="D598" s="11">
        <v>41699</v>
      </c>
      <c r="E598" t="s">
        <v>2175</v>
      </c>
      <c r="F598">
        <v>1</v>
      </c>
      <c r="G598" t="s">
        <v>61</v>
      </c>
      <c r="H598" t="s">
        <v>44</v>
      </c>
      <c r="I598" t="s">
        <v>2192</v>
      </c>
      <c r="J598" s="10">
        <v>6</v>
      </c>
      <c r="K598" t="b">
        <v>1</v>
      </c>
    </row>
    <row r="599" spans="1:11">
      <c r="A599" s="12">
        <v>41715</v>
      </c>
      <c r="B599">
        <v>2014</v>
      </c>
      <c r="C599">
        <v>3</v>
      </c>
      <c r="D599" s="11">
        <v>41699</v>
      </c>
      <c r="E599" t="s">
        <v>2175</v>
      </c>
      <c r="F599">
        <v>1</v>
      </c>
      <c r="G599" t="s">
        <v>61</v>
      </c>
      <c r="H599" t="s">
        <v>45</v>
      </c>
      <c r="I599" t="s">
        <v>2193</v>
      </c>
      <c r="J599" s="10">
        <v>1</v>
      </c>
      <c r="K599" t="b">
        <v>1</v>
      </c>
    </row>
    <row r="600" spans="1:11">
      <c r="A600" s="12">
        <v>41715</v>
      </c>
      <c r="B600">
        <v>2014</v>
      </c>
      <c r="C600">
        <v>3</v>
      </c>
      <c r="D600" s="11">
        <v>41699</v>
      </c>
      <c r="E600" t="s">
        <v>2175</v>
      </c>
      <c r="F600">
        <v>1</v>
      </c>
      <c r="G600" t="s">
        <v>61</v>
      </c>
      <c r="H600" t="s">
        <v>46</v>
      </c>
      <c r="I600" t="s">
        <v>2194</v>
      </c>
      <c r="J600" s="10">
        <v>0</v>
      </c>
      <c r="K600" t="b">
        <v>1</v>
      </c>
    </row>
    <row r="601" spans="1:11">
      <c r="A601" s="12">
        <v>41715</v>
      </c>
      <c r="B601">
        <v>2014</v>
      </c>
      <c r="C601">
        <v>3</v>
      </c>
      <c r="D601" s="11">
        <v>41699</v>
      </c>
      <c r="E601" t="s">
        <v>2175</v>
      </c>
      <c r="F601">
        <v>1</v>
      </c>
      <c r="G601" t="s">
        <v>61</v>
      </c>
      <c r="H601" t="s">
        <v>47</v>
      </c>
      <c r="I601" t="s">
        <v>2195</v>
      </c>
      <c r="J601" s="10">
        <v>1</v>
      </c>
      <c r="K601" t="b">
        <v>1</v>
      </c>
    </row>
    <row r="602" spans="1:11">
      <c r="A602" s="12">
        <v>41716</v>
      </c>
      <c r="B602">
        <v>2014</v>
      </c>
      <c r="C602">
        <v>3</v>
      </c>
      <c r="D602" s="11">
        <v>41699</v>
      </c>
      <c r="E602" t="s">
        <v>2175</v>
      </c>
      <c r="F602">
        <v>2</v>
      </c>
      <c r="G602" t="s">
        <v>63</v>
      </c>
      <c r="H602" t="s">
        <v>40</v>
      </c>
      <c r="I602" t="s">
        <v>2188</v>
      </c>
      <c r="J602" s="10">
        <v>8</v>
      </c>
      <c r="K602" t="b">
        <v>1</v>
      </c>
    </row>
    <row r="603" spans="1:11">
      <c r="A603" s="12">
        <v>41716</v>
      </c>
      <c r="B603">
        <v>2014</v>
      </c>
      <c r="C603">
        <v>3</v>
      </c>
      <c r="D603" s="11">
        <v>41699</v>
      </c>
      <c r="E603" t="s">
        <v>2175</v>
      </c>
      <c r="F603">
        <v>2</v>
      </c>
      <c r="G603" t="s">
        <v>63</v>
      </c>
      <c r="H603" t="s">
        <v>41</v>
      </c>
      <c r="I603" t="s">
        <v>2189</v>
      </c>
      <c r="J603" s="10">
        <v>4</v>
      </c>
      <c r="K603" t="b">
        <v>1</v>
      </c>
    </row>
    <row r="604" spans="1:11">
      <c r="A604" s="12">
        <v>41716</v>
      </c>
      <c r="B604">
        <v>2014</v>
      </c>
      <c r="C604">
        <v>3</v>
      </c>
      <c r="D604" s="11">
        <v>41699</v>
      </c>
      <c r="E604" t="s">
        <v>2175</v>
      </c>
      <c r="F604">
        <v>2</v>
      </c>
      <c r="G604" t="s">
        <v>63</v>
      </c>
      <c r="H604" t="s">
        <v>42</v>
      </c>
      <c r="I604" t="s">
        <v>2190</v>
      </c>
      <c r="J604" s="10">
        <v>5</v>
      </c>
      <c r="K604" t="b">
        <v>1</v>
      </c>
    </row>
    <row r="605" spans="1:11">
      <c r="A605" s="12">
        <v>41716</v>
      </c>
      <c r="B605">
        <v>2014</v>
      </c>
      <c r="C605">
        <v>3</v>
      </c>
      <c r="D605" s="11">
        <v>41699</v>
      </c>
      <c r="E605" t="s">
        <v>2175</v>
      </c>
      <c r="F605">
        <v>2</v>
      </c>
      <c r="G605" t="s">
        <v>63</v>
      </c>
      <c r="H605" t="s">
        <v>43</v>
      </c>
      <c r="I605" t="s">
        <v>2191</v>
      </c>
      <c r="J605" s="10">
        <v>20.1</v>
      </c>
      <c r="K605" t="b">
        <v>1</v>
      </c>
    </row>
    <row r="606" spans="1:11">
      <c r="A606" s="12">
        <v>41716</v>
      </c>
      <c r="B606">
        <v>2014</v>
      </c>
      <c r="C606">
        <v>3</v>
      </c>
      <c r="D606" s="11">
        <v>41699</v>
      </c>
      <c r="E606" t="s">
        <v>2175</v>
      </c>
      <c r="F606">
        <v>2</v>
      </c>
      <c r="G606" t="s">
        <v>63</v>
      </c>
      <c r="H606" t="s">
        <v>44</v>
      </c>
      <c r="I606" t="s">
        <v>2192</v>
      </c>
      <c r="J606" s="10">
        <v>9</v>
      </c>
      <c r="K606" t="b">
        <v>1</v>
      </c>
    </row>
    <row r="607" spans="1:11">
      <c r="A607" s="12">
        <v>41716</v>
      </c>
      <c r="B607">
        <v>2014</v>
      </c>
      <c r="C607">
        <v>3</v>
      </c>
      <c r="D607" s="11">
        <v>41699</v>
      </c>
      <c r="E607" t="s">
        <v>2175</v>
      </c>
      <c r="F607">
        <v>2</v>
      </c>
      <c r="G607" t="s">
        <v>63</v>
      </c>
      <c r="H607" t="s">
        <v>45</v>
      </c>
      <c r="I607" t="s">
        <v>2193</v>
      </c>
      <c r="J607" s="10">
        <v>0</v>
      </c>
      <c r="K607" t="b">
        <v>1</v>
      </c>
    </row>
    <row r="608" spans="1:11">
      <c r="A608" s="12">
        <v>41716</v>
      </c>
      <c r="B608">
        <v>2014</v>
      </c>
      <c r="C608">
        <v>3</v>
      </c>
      <c r="D608" s="11">
        <v>41699</v>
      </c>
      <c r="E608" t="s">
        <v>2175</v>
      </c>
      <c r="F608">
        <v>2</v>
      </c>
      <c r="G608" t="s">
        <v>63</v>
      </c>
      <c r="H608" t="s">
        <v>46</v>
      </c>
      <c r="I608" t="s">
        <v>2194</v>
      </c>
      <c r="J608" s="10">
        <v>0</v>
      </c>
      <c r="K608" t="b">
        <v>1</v>
      </c>
    </row>
    <row r="609" spans="1:11">
      <c r="A609" s="12">
        <v>41716</v>
      </c>
      <c r="B609">
        <v>2014</v>
      </c>
      <c r="C609">
        <v>3</v>
      </c>
      <c r="D609" s="11">
        <v>41699</v>
      </c>
      <c r="E609" t="s">
        <v>2175</v>
      </c>
      <c r="F609">
        <v>2</v>
      </c>
      <c r="G609" t="s">
        <v>63</v>
      </c>
      <c r="H609" t="s">
        <v>47</v>
      </c>
      <c r="I609" t="s">
        <v>2195</v>
      </c>
      <c r="J609" s="10">
        <v>4</v>
      </c>
      <c r="K609" t="b">
        <v>1</v>
      </c>
    </row>
    <row r="610" spans="1:11">
      <c r="A610" s="12">
        <v>41717</v>
      </c>
      <c r="B610">
        <v>2014</v>
      </c>
      <c r="C610">
        <v>3</v>
      </c>
      <c r="D610" s="11">
        <v>41699</v>
      </c>
      <c r="E610" t="s">
        <v>2175</v>
      </c>
      <c r="F610">
        <v>3</v>
      </c>
      <c r="G610" t="s">
        <v>65</v>
      </c>
      <c r="H610" t="s">
        <v>40</v>
      </c>
      <c r="I610" t="s">
        <v>2188</v>
      </c>
      <c r="J610" s="10">
        <v>4</v>
      </c>
      <c r="K610" t="b">
        <v>1</v>
      </c>
    </row>
    <row r="611" spans="1:11">
      <c r="A611" s="12">
        <v>41717</v>
      </c>
      <c r="B611">
        <v>2014</v>
      </c>
      <c r="C611">
        <v>3</v>
      </c>
      <c r="D611" s="11">
        <v>41699</v>
      </c>
      <c r="E611" t="s">
        <v>2175</v>
      </c>
      <c r="F611">
        <v>3</v>
      </c>
      <c r="G611" t="s">
        <v>65</v>
      </c>
      <c r="H611" t="s">
        <v>41</v>
      </c>
      <c r="I611" t="s">
        <v>2189</v>
      </c>
      <c r="J611" s="10">
        <v>3.02</v>
      </c>
      <c r="K611" t="b">
        <v>1</v>
      </c>
    </row>
    <row r="612" spans="1:11">
      <c r="A612" s="12">
        <v>41717</v>
      </c>
      <c r="B612">
        <v>2014</v>
      </c>
      <c r="C612">
        <v>3</v>
      </c>
      <c r="D612" s="11">
        <v>41699</v>
      </c>
      <c r="E612" t="s">
        <v>2175</v>
      </c>
      <c r="F612">
        <v>3</v>
      </c>
      <c r="G612" t="s">
        <v>65</v>
      </c>
      <c r="H612" t="s">
        <v>42</v>
      </c>
      <c r="I612" t="s">
        <v>2190</v>
      </c>
      <c r="J612" s="10">
        <v>4</v>
      </c>
      <c r="K612" t="b">
        <v>1</v>
      </c>
    </row>
    <row r="613" spans="1:11">
      <c r="A613" s="12">
        <v>41717</v>
      </c>
      <c r="B613">
        <v>2014</v>
      </c>
      <c r="C613">
        <v>3</v>
      </c>
      <c r="D613" s="11">
        <v>41699</v>
      </c>
      <c r="E613" t="s">
        <v>2175</v>
      </c>
      <c r="F613">
        <v>3</v>
      </c>
      <c r="G613" t="s">
        <v>65</v>
      </c>
      <c r="H613" t="s">
        <v>43</v>
      </c>
      <c r="I613" t="s">
        <v>2191</v>
      </c>
      <c r="J613" s="10">
        <v>21.8</v>
      </c>
      <c r="K613" t="b">
        <v>1</v>
      </c>
    </row>
    <row r="614" spans="1:11">
      <c r="A614" s="12">
        <v>41717</v>
      </c>
      <c r="B614">
        <v>2014</v>
      </c>
      <c r="C614">
        <v>3</v>
      </c>
      <c r="D614" s="11">
        <v>41699</v>
      </c>
      <c r="E614" t="s">
        <v>2175</v>
      </c>
      <c r="F614">
        <v>3</v>
      </c>
      <c r="G614" t="s">
        <v>65</v>
      </c>
      <c r="H614" t="s">
        <v>44</v>
      </c>
      <c r="I614" t="s">
        <v>2192</v>
      </c>
      <c r="J614" s="10">
        <v>2</v>
      </c>
      <c r="K614" t="b">
        <v>1</v>
      </c>
    </row>
    <row r="615" spans="1:11">
      <c r="A615" s="12">
        <v>41717</v>
      </c>
      <c r="B615">
        <v>2014</v>
      </c>
      <c r="C615">
        <v>3</v>
      </c>
      <c r="D615" s="11">
        <v>41699</v>
      </c>
      <c r="E615" t="s">
        <v>2175</v>
      </c>
      <c r="F615">
        <v>3</v>
      </c>
      <c r="G615" t="s">
        <v>65</v>
      </c>
      <c r="H615" t="s">
        <v>45</v>
      </c>
      <c r="I615" t="s">
        <v>2193</v>
      </c>
      <c r="J615" s="10">
        <v>0</v>
      </c>
      <c r="K615" t="b">
        <v>1</v>
      </c>
    </row>
    <row r="616" spans="1:11">
      <c r="A616" s="12">
        <v>41717</v>
      </c>
      <c r="B616">
        <v>2014</v>
      </c>
      <c r="C616">
        <v>3</v>
      </c>
      <c r="D616" s="11">
        <v>41699</v>
      </c>
      <c r="E616" t="s">
        <v>2175</v>
      </c>
      <c r="F616">
        <v>3</v>
      </c>
      <c r="G616" t="s">
        <v>65</v>
      </c>
      <c r="H616" t="s">
        <v>46</v>
      </c>
      <c r="I616" t="s">
        <v>2194</v>
      </c>
      <c r="J616" s="10">
        <v>0</v>
      </c>
      <c r="K616" t="b">
        <v>1</v>
      </c>
    </row>
    <row r="617" spans="1:11">
      <c r="A617" s="12">
        <v>41717</v>
      </c>
      <c r="B617">
        <v>2014</v>
      </c>
      <c r="C617">
        <v>3</v>
      </c>
      <c r="D617" s="11">
        <v>41699</v>
      </c>
      <c r="E617" t="s">
        <v>2175</v>
      </c>
      <c r="F617">
        <v>3</v>
      </c>
      <c r="G617" t="s">
        <v>65</v>
      </c>
      <c r="H617" t="s">
        <v>47</v>
      </c>
      <c r="I617" t="s">
        <v>2195</v>
      </c>
      <c r="J617" s="10">
        <v>2</v>
      </c>
      <c r="K617" t="b">
        <v>1</v>
      </c>
    </row>
    <row r="618" spans="1:11">
      <c r="A618" s="12">
        <v>41718</v>
      </c>
      <c r="B618">
        <v>2014</v>
      </c>
      <c r="C618">
        <v>3</v>
      </c>
      <c r="D618" s="11">
        <v>41699</v>
      </c>
      <c r="E618" t="s">
        <v>2175</v>
      </c>
      <c r="F618">
        <v>4</v>
      </c>
      <c r="G618" t="s">
        <v>53</v>
      </c>
      <c r="H618" t="s">
        <v>40</v>
      </c>
      <c r="I618" t="s">
        <v>2188</v>
      </c>
      <c r="J618" s="10">
        <v>3</v>
      </c>
      <c r="K618" t="b">
        <v>1</v>
      </c>
    </row>
    <row r="619" spans="1:11">
      <c r="A619" s="12">
        <v>41718</v>
      </c>
      <c r="B619">
        <v>2014</v>
      </c>
      <c r="C619">
        <v>3</v>
      </c>
      <c r="D619" s="11">
        <v>41699</v>
      </c>
      <c r="E619" t="s">
        <v>2175</v>
      </c>
      <c r="F619">
        <v>4</v>
      </c>
      <c r="G619" t="s">
        <v>53</v>
      </c>
      <c r="H619" t="s">
        <v>41</v>
      </c>
      <c r="I619" t="s">
        <v>2189</v>
      </c>
      <c r="J619" s="10">
        <v>5.34</v>
      </c>
      <c r="K619" t="b">
        <v>1</v>
      </c>
    </row>
    <row r="620" spans="1:11">
      <c r="A620" s="12">
        <v>41718</v>
      </c>
      <c r="B620">
        <v>2014</v>
      </c>
      <c r="C620">
        <v>3</v>
      </c>
      <c r="D620" s="11">
        <v>41699</v>
      </c>
      <c r="E620" t="s">
        <v>2175</v>
      </c>
      <c r="F620">
        <v>4</v>
      </c>
      <c r="G620" t="s">
        <v>53</v>
      </c>
      <c r="H620" t="s">
        <v>42</v>
      </c>
      <c r="I620" t="s">
        <v>2190</v>
      </c>
      <c r="J620" s="10">
        <v>1.6</v>
      </c>
      <c r="K620" t="b">
        <v>1</v>
      </c>
    </row>
    <row r="621" spans="1:11">
      <c r="A621" s="12">
        <v>41718</v>
      </c>
      <c r="B621">
        <v>2014</v>
      </c>
      <c r="C621">
        <v>3</v>
      </c>
      <c r="D621" s="11">
        <v>41699</v>
      </c>
      <c r="E621" t="s">
        <v>2175</v>
      </c>
      <c r="F621">
        <v>4</v>
      </c>
      <c r="G621" t="s">
        <v>53</v>
      </c>
      <c r="H621" t="s">
        <v>43</v>
      </c>
      <c r="I621" t="s">
        <v>2191</v>
      </c>
      <c r="J621" s="10">
        <v>38.2</v>
      </c>
      <c r="K621" t="b">
        <v>1</v>
      </c>
    </row>
    <row r="622" spans="1:11">
      <c r="A622" s="12">
        <v>41718</v>
      </c>
      <c r="B622">
        <v>2014</v>
      </c>
      <c r="C622">
        <v>3</v>
      </c>
      <c r="D622" s="11">
        <v>41699</v>
      </c>
      <c r="E622" t="s">
        <v>2175</v>
      </c>
      <c r="F622">
        <v>4</v>
      </c>
      <c r="G622" t="s">
        <v>53</v>
      </c>
      <c r="H622" t="s">
        <v>44</v>
      </c>
      <c r="I622" t="s">
        <v>2192</v>
      </c>
      <c r="J622" s="10">
        <v>5</v>
      </c>
      <c r="K622" t="b">
        <v>1</v>
      </c>
    </row>
    <row r="623" spans="1:11">
      <c r="A623" s="12">
        <v>41718</v>
      </c>
      <c r="B623">
        <v>2014</v>
      </c>
      <c r="C623">
        <v>3</v>
      </c>
      <c r="D623" s="11">
        <v>41699</v>
      </c>
      <c r="E623" t="s">
        <v>2175</v>
      </c>
      <c r="F623">
        <v>4</v>
      </c>
      <c r="G623" t="s">
        <v>53</v>
      </c>
      <c r="H623" t="s">
        <v>45</v>
      </c>
      <c r="I623" t="s">
        <v>2193</v>
      </c>
      <c r="J623" s="10">
        <v>0</v>
      </c>
      <c r="K623" t="b">
        <v>1</v>
      </c>
    </row>
    <row r="624" spans="1:11">
      <c r="A624" s="12">
        <v>41718</v>
      </c>
      <c r="B624">
        <v>2014</v>
      </c>
      <c r="C624">
        <v>3</v>
      </c>
      <c r="D624" s="11">
        <v>41699</v>
      </c>
      <c r="E624" t="s">
        <v>2175</v>
      </c>
      <c r="F624">
        <v>4</v>
      </c>
      <c r="G624" t="s">
        <v>53</v>
      </c>
      <c r="H624" t="s">
        <v>46</v>
      </c>
      <c r="I624" t="s">
        <v>2194</v>
      </c>
      <c r="J624" s="10">
        <v>7</v>
      </c>
      <c r="K624" t="b">
        <v>1</v>
      </c>
    </row>
    <row r="625" spans="1:11">
      <c r="A625" s="12">
        <v>41718</v>
      </c>
      <c r="B625">
        <v>2014</v>
      </c>
      <c r="C625">
        <v>3</v>
      </c>
      <c r="D625" s="11">
        <v>41699</v>
      </c>
      <c r="E625" t="s">
        <v>2175</v>
      </c>
      <c r="F625">
        <v>4</v>
      </c>
      <c r="G625" t="s">
        <v>53</v>
      </c>
      <c r="H625" t="s">
        <v>47</v>
      </c>
      <c r="I625" t="s">
        <v>2195</v>
      </c>
      <c r="J625" s="10">
        <v>4.2</v>
      </c>
      <c r="K625" t="b">
        <v>1</v>
      </c>
    </row>
    <row r="626" spans="1:11">
      <c r="A626" s="12">
        <v>41719</v>
      </c>
      <c r="B626">
        <v>2014</v>
      </c>
      <c r="C626">
        <v>3</v>
      </c>
      <c r="D626" s="11">
        <v>41699</v>
      </c>
      <c r="E626" t="s">
        <v>2175</v>
      </c>
      <c r="F626">
        <v>5</v>
      </c>
      <c r="G626" t="s">
        <v>55</v>
      </c>
      <c r="H626" t="s">
        <v>40</v>
      </c>
      <c r="I626" t="s">
        <v>2188</v>
      </c>
      <c r="J626" s="10">
        <v>6</v>
      </c>
      <c r="K626" t="b">
        <v>1</v>
      </c>
    </row>
    <row r="627" spans="1:11">
      <c r="A627" s="12">
        <v>41719</v>
      </c>
      <c r="B627">
        <v>2014</v>
      </c>
      <c r="C627">
        <v>3</v>
      </c>
      <c r="D627" s="11">
        <v>41699</v>
      </c>
      <c r="E627" t="s">
        <v>2175</v>
      </c>
      <c r="F627">
        <v>5</v>
      </c>
      <c r="G627" t="s">
        <v>55</v>
      </c>
      <c r="H627" t="s">
        <v>41</v>
      </c>
      <c r="I627" t="s">
        <v>2189</v>
      </c>
      <c r="J627" s="10">
        <v>3.68</v>
      </c>
      <c r="K627" t="b">
        <v>1</v>
      </c>
    </row>
    <row r="628" spans="1:11">
      <c r="A628" s="12">
        <v>41719</v>
      </c>
      <c r="B628">
        <v>2014</v>
      </c>
      <c r="C628">
        <v>3</v>
      </c>
      <c r="D628" s="11">
        <v>41699</v>
      </c>
      <c r="E628" t="s">
        <v>2175</v>
      </c>
      <c r="F628">
        <v>5</v>
      </c>
      <c r="G628" t="s">
        <v>55</v>
      </c>
      <c r="H628" t="s">
        <v>42</v>
      </c>
      <c r="I628" t="s">
        <v>2190</v>
      </c>
      <c r="J628" s="10">
        <v>4.5</v>
      </c>
      <c r="K628" t="b">
        <v>1</v>
      </c>
    </row>
    <row r="629" spans="1:11">
      <c r="A629" s="12">
        <v>41719</v>
      </c>
      <c r="B629">
        <v>2014</v>
      </c>
      <c r="C629">
        <v>3</v>
      </c>
      <c r="D629" s="11">
        <v>41699</v>
      </c>
      <c r="E629" t="s">
        <v>2175</v>
      </c>
      <c r="F629">
        <v>5</v>
      </c>
      <c r="G629" t="s">
        <v>55</v>
      </c>
      <c r="H629" t="s">
        <v>43</v>
      </c>
      <c r="I629" t="s">
        <v>2191</v>
      </c>
      <c r="J629" s="10">
        <v>40</v>
      </c>
      <c r="K629" t="b">
        <v>1</v>
      </c>
    </row>
    <row r="630" spans="1:11">
      <c r="A630" s="12">
        <v>41719</v>
      </c>
      <c r="B630">
        <v>2014</v>
      </c>
      <c r="C630">
        <v>3</v>
      </c>
      <c r="D630" s="11">
        <v>41699</v>
      </c>
      <c r="E630" t="s">
        <v>2175</v>
      </c>
      <c r="F630">
        <v>5</v>
      </c>
      <c r="G630" t="s">
        <v>55</v>
      </c>
      <c r="H630" t="s">
        <v>44</v>
      </c>
      <c r="I630" t="s">
        <v>2192</v>
      </c>
      <c r="J630" s="10">
        <v>4</v>
      </c>
      <c r="K630" t="b">
        <v>1</v>
      </c>
    </row>
    <row r="631" spans="1:11">
      <c r="A631" s="12">
        <v>41719</v>
      </c>
      <c r="B631">
        <v>2014</v>
      </c>
      <c r="C631">
        <v>3</v>
      </c>
      <c r="D631" s="11">
        <v>41699</v>
      </c>
      <c r="E631" t="s">
        <v>2175</v>
      </c>
      <c r="F631">
        <v>5</v>
      </c>
      <c r="G631" t="s">
        <v>55</v>
      </c>
      <c r="H631" t="s">
        <v>45</v>
      </c>
      <c r="I631" t="s">
        <v>2193</v>
      </c>
      <c r="J631" s="10">
        <v>0</v>
      </c>
      <c r="K631" t="b">
        <v>1</v>
      </c>
    </row>
    <row r="632" spans="1:11">
      <c r="A632" s="12">
        <v>41719</v>
      </c>
      <c r="B632">
        <v>2014</v>
      </c>
      <c r="C632">
        <v>3</v>
      </c>
      <c r="D632" s="11">
        <v>41699</v>
      </c>
      <c r="E632" t="s">
        <v>2175</v>
      </c>
      <c r="F632">
        <v>5</v>
      </c>
      <c r="G632" t="s">
        <v>55</v>
      </c>
      <c r="H632" t="s">
        <v>46</v>
      </c>
      <c r="I632" t="s">
        <v>2194</v>
      </c>
      <c r="J632" s="10">
        <v>2</v>
      </c>
      <c r="K632" t="b">
        <v>1</v>
      </c>
    </row>
    <row r="633" spans="1:11">
      <c r="A633" s="12">
        <v>41719</v>
      </c>
      <c r="B633">
        <v>2014</v>
      </c>
      <c r="C633">
        <v>3</v>
      </c>
      <c r="D633" s="11">
        <v>41699</v>
      </c>
      <c r="E633" t="s">
        <v>2175</v>
      </c>
      <c r="F633">
        <v>5</v>
      </c>
      <c r="G633" t="s">
        <v>55</v>
      </c>
      <c r="H633" t="s">
        <v>47</v>
      </c>
      <c r="I633" t="s">
        <v>2195</v>
      </c>
      <c r="J633" s="10">
        <v>1</v>
      </c>
      <c r="K633" t="b">
        <v>1</v>
      </c>
    </row>
    <row r="634" spans="1:11">
      <c r="A634" s="12">
        <v>41720</v>
      </c>
      <c r="B634">
        <v>2014</v>
      </c>
      <c r="C634">
        <v>3</v>
      </c>
      <c r="D634" s="11">
        <v>41699</v>
      </c>
      <c r="E634" t="s">
        <v>2175</v>
      </c>
      <c r="F634">
        <v>6</v>
      </c>
      <c r="G634" t="s">
        <v>57</v>
      </c>
      <c r="H634" t="s">
        <v>40</v>
      </c>
      <c r="I634" t="s">
        <v>2188</v>
      </c>
      <c r="J634" s="10">
        <v>3.34</v>
      </c>
      <c r="K634" t="b">
        <v>1</v>
      </c>
    </row>
    <row r="635" spans="1:11">
      <c r="A635" s="12">
        <v>41720</v>
      </c>
      <c r="B635">
        <v>2014</v>
      </c>
      <c r="C635">
        <v>3</v>
      </c>
      <c r="D635" s="11">
        <v>41699</v>
      </c>
      <c r="E635" t="s">
        <v>2175</v>
      </c>
      <c r="F635">
        <v>6</v>
      </c>
      <c r="G635" t="s">
        <v>57</v>
      </c>
      <c r="H635" t="s">
        <v>41</v>
      </c>
      <c r="I635" t="s">
        <v>2189</v>
      </c>
      <c r="J635" s="10">
        <v>2.34</v>
      </c>
      <c r="K635" t="b">
        <v>1</v>
      </c>
    </row>
    <row r="636" spans="1:11">
      <c r="A636" s="12">
        <v>41720</v>
      </c>
      <c r="B636">
        <v>2014</v>
      </c>
      <c r="C636">
        <v>3</v>
      </c>
      <c r="D636" s="11">
        <v>41699</v>
      </c>
      <c r="E636" t="s">
        <v>2175</v>
      </c>
      <c r="F636">
        <v>6</v>
      </c>
      <c r="G636" t="s">
        <v>57</v>
      </c>
      <c r="H636" t="s">
        <v>42</v>
      </c>
      <c r="I636" t="s">
        <v>2190</v>
      </c>
      <c r="J636" s="10">
        <v>0</v>
      </c>
      <c r="K636" t="b">
        <v>1</v>
      </c>
    </row>
    <row r="637" spans="1:11">
      <c r="A637" s="12">
        <v>41720</v>
      </c>
      <c r="B637">
        <v>2014</v>
      </c>
      <c r="C637">
        <v>3</v>
      </c>
      <c r="D637" s="11">
        <v>41699</v>
      </c>
      <c r="E637" t="s">
        <v>2175</v>
      </c>
      <c r="F637">
        <v>6</v>
      </c>
      <c r="G637" t="s">
        <v>57</v>
      </c>
      <c r="H637" t="s">
        <v>43</v>
      </c>
      <c r="I637" t="s">
        <v>2191</v>
      </c>
      <c r="J637" s="10">
        <v>26.3</v>
      </c>
      <c r="K637" t="b">
        <v>1</v>
      </c>
    </row>
    <row r="638" spans="1:11">
      <c r="A638" s="12">
        <v>41720</v>
      </c>
      <c r="B638">
        <v>2014</v>
      </c>
      <c r="C638">
        <v>3</v>
      </c>
      <c r="D638" s="11">
        <v>41699</v>
      </c>
      <c r="E638" t="s">
        <v>2175</v>
      </c>
      <c r="F638">
        <v>6</v>
      </c>
      <c r="G638" t="s">
        <v>57</v>
      </c>
      <c r="H638" t="s">
        <v>44</v>
      </c>
      <c r="I638" t="s">
        <v>2192</v>
      </c>
      <c r="J638" s="10">
        <v>10</v>
      </c>
      <c r="K638" t="b">
        <v>1</v>
      </c>
    </row>
    <row r="639" spans="1:11">
      <c r="A639" s="12">
        <v>41720</v>
      </c>
      <c r="B639">
        <v>2014</v>
      </c>
      <c r="C639">
        <v>3</v>
      </c>
      <c r="D639" s="11">
        <v>41699</v>
      </c>
      <c r="E639" t="s">
        <v>2175</v>
      </c>
      <c r="F639">
        <v>6</v>
      </c>
      <c r="G639" t="s">
        <v>57</v>
      </c>
      <c r="H639" t="s">
        <v>45</v>
      </c>
      <c r="I639" t="s">
        <v>2193</v>
      </c>
      <c r="J639" s="10">
        <v>2</v>
      </c>
      <c r="K639" t="b">
        <v>1</v>
      </c>
    </row>
    <row r="640" spans="1:11">
      <c r="A640" s="12">
        <v>41720</v>
      </c>
      <c r="B640">
        <v>2014</v>
      </c>
      <c r="C640">
        <v>3</v>
      </c>
      <c r="D640" s="11">
        <v>41699</v>
      </c>
      <c r="E640" t="s">
        <v>2175</v>
      </c>
      <c r="F640">
        <v>6</v>
      </c>
      <c r="G640" t="s">
        <v>57</v>
      </c>
      <c r="H640" t="s">
        <v>46</v>
      </c>
      <c r="I640" t="s">
        <v>2194</v>
      </c>
      <c r="J640" s="10">
        <v>18</v>
      </c>
      <c r="K640" t="b">
        <v>1</v>
      </c>
    </row>
    <row r="641" spans="1:11">
      <c r="A641" s="12">
        <v>41720</v>
      </c>
      <c r="B641">
        <v>2014</v>
      </c>
      <c r="C641">
        <v>3</v>
      </c>
      <c r="D641" s="11">
        <v>41699</v>
      </c>
      <c r="E641" t="s">
        <v>2175</v>
      </c>
      <c r="F641">
        <v>6</v>
      </c>
      <c r="G641" t="s">
        <v>57</v>
      </c>
      <c r="H641" t="s">
        <v>47</v>
      </c>
      <c r="I641" t="s">
        <v>2195</v>
      </c>
      <c r="J641" s="10">
        <v>8.4</v>
      </c>
      <c r="K641" t="b">
        <v>1</v>
      </c>
    </row>
    <row r="642" spans="1:11">
      <c r="A642" s="12">
        <v>41721</v>
      </c>
      <c r="B642">
        <v>2014</v>
      </c>
      <c r="C642">
        <v>3</v>
      </c>
      <c r="D642" s="11">
        <v>41699</v>
      </c>
      <c r="E642" t="s">
        <v>2175</v>
      </c>
      <c r="F642">
        <v>7</v>
      </c>
      <c r="G642" t="s">
        <v>59</v>
      </c>
      <c r="H642" t="s">
        <v>40</v>
      </c>
      <c r="I642" t="s">
        <v>2188</v>
      </c>
      <c r="J642" s="10">
        <v>6.34</v>
      </c>
      <c r="K642" t="b">
        <v>1</v>
      </c>
    </row>
    <row r="643" spans="1:11">
      <c r="A643" s="12">
        <v>41721</v>
      </c>
      <c r="B643">
        <v>2014</v>
      </c>
      <c r="C643">
        <v>3</v>
      </c>
      <c r="D643" s="11">
        <v>41699</v>
      </c>
      <c r="E643" t="s">
        <v>2175</v>
      </c>
      <c r="F643">
        <v>7</v>
      </c>
      <c r="G643" t="s">
        <v>59</v>
      </c>
      <c r="H643" t="s">
        <v>41</v>
      </c>
      <c r="I643" t="s">
        <v>2189</v>
      </c>
      <c r="J643" s="10">
        <v>2</v>
      </c>
      <c r="K643" t="b">
        <v>1</v>
      </c>
    </row>
    <row r="644" spans="1:11">
      <c r="A644" s="12">
        <v>41721</v>
      </c>
      <c r="B644">
        <v>2014</v>
      </c>
      <c r="C644">
        <v>3</v>
      </c>
      <c r="D644" s="11">
        <v>41699</v>
      </c>
      <c r="E644" t="s">
        <v>2175</v>
      </c>
      <c r="F644">
        <v>7</v>
      </c>
      <c r="G644" t="s">
        <v>59</v>
      </c>
      <c r="H644" t="s">
        <v>42</v>
      </c>
      <c r="I644" t="s">
        <v>2190</v>
      </c>
      <c r="J644" s="10">
        <v>4</v>
      </c>
      <c r="K644" t="b">
        <v>1</v>
      </c>
    </row>
    <row r="645" spans="1:11">
      <c r="A645" s="12">
        <v>41721</v>
      </c>
      <c r="B645">
        <v>2014</v>
      </c>
      <c r="C645">
        <v>3</v>
      </c>
      <c r="D645" s="11">
        <v>41699</v>
      </c>
      <c r="E645" t="s">
        <v>2175</v>
      </c>
      <c r="F645">
        <v>7</v>
      </c>
      <c r="G645" t="s">
        <v>59</v>
      </c>
      <c r="H645" t="s">
        <v>43</v>
      </c>
      <c r="I645" t="s">
        <v>2191</v>
      </c>
      <c r="J645" s="10">
        <v>19.4</v>
      </c>
      <c r="K645" t="b">
        <v>1</v>
      </c>
    </row>
    <row r="646" spans="1:11">
      <c r="A646" s="12">
        <v>41721</v>
      </c>
      <c r="B646">
        <v>2014</v>
      </c>
      <c r="C646">
        <v>3</v>
      </c>
      <c r="D646" s="11">
        <v>41699</v>
      </c>
      <c r="E646" t="s">
        <v>2175</v>
      </c>
      <c r="F646">
        <v>7</v>
      </c>
      <c r="G646" t="s">
        <v>59</v>
      </c>
      <c r="H646" t="s">
        <v>44</v>
      </c>
      <c r="I646" t="s">
        <v>2192</v>
      </c>
      <c r="J646" s="10">
        <v>0</v>
      </c>
      <c r="K646" t="b">
        <v>1</v>
      </c>
    </row>
    <row r="647" spans="1:11">
      <c r="A647" s="12">
        <v>41721</v>
      </c>
      <c r="B647">
        <v>2014</v>
      </c>
      <c r="C647">
        <v>3</v>
      </c>
      <c r="D647" s="11">
        <v>41699</v>
      </c>
      <c r="E647" t="s">
        <v>2175</v>
      </c>
      <c r="F647">
        <v>7</v>
      </c>
      <c r="G647" t="s">
        <v>59</v>
      </c>
      <c r="H647" t="s">
        <v>45</v>
      </c>
      <c r="I647" t="s">
        <v>2193</v>
      </c>
      <c r="J647" s="10">
        <v>1</v>
      </c>
      <c r="K647" t="b">
        <v>1</v>
      </c>
    </row>
    <row r="648" spans="1:11">
      <c r="A648" s="12">
        <v>41721</v>
      </c>
      <c r="B648">
        <v>2014</v>
      </c>
      <c r="C648">
        <v>3</v>
      </c>
      <c r="D648" s="11">
        <v>41699</v>
      </c>
      <c r="E648" t="s">
        <v>2175</v>
      </c>
      <c r="F648">
        <v>7</v>
      </c>
      <c r="G648" t="s">
        <v>59</v>
      </c>
      <c r="H648" t="s">
        <v>46</v>
      </c>
      <c r="I648" t="s">
        <v>2194</v>
      </c>
      <c r="J648" s="10">
        <v>0</v>
      </c>
      <c r="K648" t="b">
        <v>1</v>
      </c>
    </row>
    <row r="649" spans="1:11">
      <c r="A649" s="12">
        <v>41721</v>
      </c>
      <c r="B649">
        <v>2014</v>
      </c>
      <c r="C649">
        <v>3</v>
      </c>
      <c r="D649" s="11">
        <v>41699</v>
      </c>
      <c r="E649" t="s">
        <v>2175</v>
      </c>
      <c r="F649">
        <v>7</v>
      </c>
      <c r="G649" t="s">
        <v>59</v>
      </c>
      <c r="H649" t="s">
        <v>47</v>
      </c>
      <c r="I649" t="s">
        <v>2195</v>
      </c>
      <c r="J649" s="10">
        <v>3</v>
      </c>
      <c r="K649" t="b">
        <v>1</v>
      </c>
    </row>
    <row r="650" spans="1:11">
      <c r="A650" s="12">
        <v>41722</v>
      </c>
      <c r="B650">
        <v>2014</v>
      </c>
      <c r="C650">
        <v>3</v>
      </c>
      <c r="D650" s="11">
        <v>41699</v>
      </c>
      <c r="E650" t="s">
        <v>2175</v>
      </c>
      <c r="F650">
        <v>1</v>
      </c>
      <c r="G650" t="s">
        <v>61</v>
      </c>
      <c r="H650" t="s">
        <v>40</v>
      </c>
      <c r="I650" t="s">
        <v>2188</v>
      </c>
      <c r="J650" s="10">
        <v>5.68</v>
      </c>
      <c r="K650" t="b">
        <v>1</v>
      </c>
    </row>
    <row r="651" spans="1:11">
      <c r="A651" s="12">
        <v>41722</v>
      </c>
      <c r="B651">
        <v>2014</v>
      </c>
      <c r="C651">
        <v>3</v>
      </c>
      <c r="D651" s="11">
        <v>41699</v>
      </c>
      <c r="E651" t="s">
        <v>2175</v>
      </c>
      <c r="F651">
        <v>1</v>
      </c>
      <c r="G651" t="s">
        <v>61</v>
      </c>
      <c r="H651" t="s">
        <v>41</v>
      </c>
      <c r="I651" t="s">
        <v>2189</v>
      </c>
      <c r="J651" s="10">
        <v>1</v>
      </c>
      <c r="K651" t="b">
        <v>1</v>
      </c>
    </row>
    <row r="652" spans="1:11">
      <c r="A652" s="12">
        <v>41722</v>
      </c>
      <c r="B652">
        <v>2014</v>
      </c>
      <c r="C652">
        <v>3</v>
      </c>
      <c r="D652" s="11">
        <v>41699</v>
      </c>
      <c r="E652" t="s">
        <v>2175</v>
      </c>
      <c r="F652">
        <v>1</v>
      </c>
      <c r="G652" t="s">
        <v>61</v>
      </c>
      <c r="H652" t="s">
        <v>42</v>
      </c>
      <c r="I652" t="s">
        <v>2190</v>
      </c>
      <c r="J652" s="10">
        <v>4</v>
      </c>
      <c r="K652" t="b">
        <v>1</v>
      </c>
    </row>
    <row r="653" spans="1:11">
      <c r="A653" s="12">
        <v>41722</v>
      </c>
      <c r="B653">
        <v>2014</v>
      </c>
      <c r="C653">
        <v>3</v>
      </c>
      <c r="D653" s="11">
        <v>41699</v>
      </c>
      <c r="E653" t="s">
        <v>2175</v>
      </c>
      <c r="F653">
        <v>1</v>
      </c>
      <c r="G653" t="s">
        <v>61</v>
      </c>
      <c r="H653" t="s">
        <v>43</v>
      </c>
      <c r="I653" t="s">
        <v>2191</v>
      </c>
      <c r="J653" s="10">
        <v>23.6</v>
      </c>
      <c r="K653" t="b">
        <v>1</v>
      </c>
    </row>
    <row r="654" spans="1:11">
      <c r="A654" s="12">
        <v>41722</v>
      </c>
      <c r="B654">
        <v>2014</v>
      </c>
      <c r="C654">
        <v>3</v>
      </c>
      <c r="D654" s="11">
        <v>41699</v>
      </c>
      <c r="E654" t="s">
        <v>2175</v>
      </c>
      <c r="F654">
        <v>1</v>
      </c>
      <c r="G654" t="s">
        <v>61</v>
      </c>
      <c r="H654" t="s">
        <v>44</v>
      </c>
      <c r="I654" t="s">
        <v>2192</v>
      </c>
      <c r="J654" s="10">
        <v>7</v>
      </c>
      <c r="K654" t="b">
        <v>1</v>
      </c>
    </row>
    <row r="655" spans="1:11">
      <c r="A655" s="12">
        <v>41722</v>
      </c>
      <c r="B655">
        <v>2014</v>
      </c>
      <c r="C655">
        <v>3</v>
      </c>
      <c r="D655" s="11">
        <v>41699</v>
      </c>
      <c r="E655" t="s">
        <v>2175</v>
      </c>
      <c r="F655">
        <v>1</v>
      </c>
      <c r="G655" t="s">
        <v>61</v>
      </c>
      <c r="H655" t="s">
        <v>45</v>
      </c>
      <c r="I655" t="s">
        <v>2193</v>
      </c>
      <c r="J655" s="10">
        <v>0</v>
      </c>
      <c r="K655" t="b">
        <v>1</v>
      </c>
    </row>
    <row r="656" spans="1:11">
      <c r="A656" s="12">
        <v>41722</v>
      </c>
      <c r="B656">
        <v>2014</v>
      </c>
      <c r="C656">
        <v>3</v>
      </c>
      <c r="D656" s="11">
        <v>41699</v>
      </c>
      <c r="E656" t="s">
        <v>2175</v>
      </c>
      <c r="F656">
        <v>1</v>
      </c>
      <c r="G656" t="s">
        <v>61</v>
      </c>
      <c r="H656" t="s">
        <v>46</v>
      </c>
      <c r="I656" t="s">
        <v>2194</v>
      </c>
      <c r="J656" s="10">
        <v>6</v>
      </c>
      <c r="K656" t="b">
        <v>1</v>
      </c>
    </row>
    <row r="657" spans="1:11">
      <c r="A657" s="12">
        <v>41722</v>
      </c>
      <c r="B657">
        <v>2014</v>
      </c>
      <c r="C657">
        <v>3</v>
      </c>
      <c r="D657" s="11">
        <v>41699</v>
      </c>
      <c r="E657" t="s">
        <v>2175</v>
      </c>
      <c r="F657">
        <v>1</v>
      </c>
      <c r="G657" t="s">
        <v>61</v>
      </c>
      <c r="H657" t="s">
        <v>47</v>
      </c>
      <c r="I657" t="s">
        <v>2195</v>
      </c>
      <c r="J657" s="10">
        <v>3.5</v>
      </c>
      <c r="K657" t="b">
        <v>1</v>
      </c>
    </row>
    <row r="658" spans="1:11">
      <c r="A658" s="12">
        <v>41723</v>
      </c>
      <c r="B658">
        <v>2014</v>
      </c>
      <c r="C658">
        <v>3</v>
      </c>
      <c r="D658" s="11">
        <v>41699</v>
      </c>
      <c r="E658" t="s">
        <v>2175</v>
      </c>
      <c r="F658">
        <v>2</v>
      </c>
      <c r="G658" t="s">
        <v>63</v>
      </c>
      <c r="H658" t="s">
        <v>40</v>
      </c>
      <c r="I658" t="s">
        <v>2188</v>
      </c>
      <c r="J658" s="10">
        <v>4</v>
      </c>
      <c r="K658" t="b">
        <v>1</v>
      </c>
    </row>
    <row r="659" spans="1:11">
      <c r="A659" s="12">
        <v>41723</v>
      </c>
      <c r="B659">
        <v>2014</v>
      </c>
      <c r="C659">
        <v>3</v>
      </c>
      <c r="D659" s="11">
        <v>41699</v>
      </c>
      <c r="E659" t="s">
        <v>2175</v>
      </c>
      <c r="F659">
        <v>2</v>
      </c>
      <c r="G659" t="s">
        <v>63</v>
      </c>
      <c r="H659" t="s">
        <v>41</v>
      </c>
      <c r="I659" t="s">
        <v>2189</v>
      </c>
      <c r="J659" s="10">
        <v>1.34</v>
      </c>
      <c r="K659" t="b">
        <v>1</v>
      </c>
    </row>
    <row r="660" spans="1:11">
      <c r="A660" s="12">
        <v>41723</v>
      </c>
      <c r="B660">
        <v>2014</v>
      </c>
      <c r="C660">
        <v>3</v>
      </c>
      <c r="D660" s="11">
        <v>41699</v>
      </c>
      <c r="E660" t="s">
        <v>2175</v>
      </c>
      <c r="F660">
        <v>2</v>
      </c>
      <c r="G660" t="s">
        <v>63</v>
      </c>
      <c r="H660" t="s">
        <v>42</v>
      </c>
      <c r="I660" t="s">
        <v>2190</v>
      </c>
      <c r="J660" s="10">
        <v>9</v>
      </c>
      <c r="K660" t="b">
        <v>1</v>
      </c>
    </row>
    <row r="661" spans="1:11">
      <c r="A661" s="12">
        <v>41723</v>
      </c>
      <c r="B661">
        <v>2014</v>
      </c>
      <c r="C661">
        <v>3</v>
      </c>
      <c r="D661" s="11">
        <v>41699</v>
      </c>
      <c r="E661" t="s">
        <v>2175</v>
      </c>
      <c r="F661">
        <v>2</v>
      </c>
      <c r="G661" t="s">
        <v>63</v>
      </c>
      <c r="H661" t="s">
        <v>43</v>
      </c>
      <c r="I661" t="s">
        <v>2191</v>
      </c>
      <c r="J661" s="10">
        <v>38.6</v>
      </c>
      <c r="K661" t="b">
        <v>1</v>
      </c>
    </row>
    <row r="662" spans="1:11">
      <c r="A662" s="12">
        <v>41723</v>
      </c>
      <c r="B662">
        <v>2014</v>
      </c>
      <c r="C662">
        <v>3</v>
      </c>
      <c r="D662" s="11">
        <v>41699</v>
      </c>
      <c r="E662" t="s">
        <v>2175</v>
      </c>
      <c r="F662">
        <v>2</v>
      </c>
      <c r="G662" t="s">
        <v>63</v>
      </c>
      <c r="H662" t="s">
        <v>44</v>
      </c>
      <c r="I662" t="s">
        <v>2192</v>
      </c>
      <c r="J662" s="10">
        <v>7</v>
      </c>
      <c r="K662" t="b">
        <v>1</v>
      </c>
    </row>
    <row r="663" spans="1:11">
      <c r="A663" s="12">
        <v>41723</v>
      </c>
      <c r="B663">
        <v>2014</v>
      </c>
      <c r="C663">
        <v>3</v>
      </c>
      <c r="D663" s="11">
        <v>41699</v>
      </c>
      <c r="E663" t="s">
        <v>2175</v>
      </c>
      <c r="F663">
        <v>2</v>
      </c>
      <c r="G663" t="s">
        <v>63</v>
      </c>
      <c r="H663" t="s">
        <v>45</v>
      </c>
      <c r="I663" t="s">
        <v>2193</v>
      </c>
      <c r="J663" s="10">
        <v>0</v>
      </c>
      <c r="K663" t="b">
        <v>1</v>
      </c>
    </row>
    <row r="664" spans="1:11">
      <c r="A664" s="12">
        <v>41723</v>
      </c>
      <c r="B664">
        <v>2014</v>
      </c>
      <c r="C664">
        <v>3</v>
      </c>
      <c r="D664" s="11">
        <v>41699</v>
      </c>
      <c r="E664" t="s">
        <v>2175</v>
      </c>
      <c r="F664">
        <v>2</v>
      </c>
      <c r="G664" t="s">
        <v>63</v>
      </c>
      <c r="H664" t="s">
        <v>46</v>
      </c>
      <c r="I664" t="s">
        <v>2194</v>
      </c>
      <c r="J664" s="10">
        <v>1</v>
      </c>
      <c r="K664" t="b">
        <v>1</v>
      </c>
    </row>
    <row r="665" spans="1:11">
      <c r="A665" s="12">
        <v>41723</v>
      </c>
      <c r="B665">
        <v>2014</v>
      </c>
      <c r="C665">
        <v>3</v>
      </c>
      <c r="D665" s="11">
        <v>41699</v>
      </c>
      <c r="E665" t="s">
        <v>2175</v>
      </c>
      <c r="F665">
        <v>2</v>
      </c>
      <c r="G665" t="s">
        <v>63</v>
      </c>
      <c r="H665" t="s">
        <v>47</v>
      </c>
      <c r="I665" t="s">
        <v>2195</v>
      </c>
      <c r="J665" s="10">
        <v>1</v>
      </c>
      <c r="K665" t="b">
        <v>1</v>
      </c>
    </row>
    <row r="666" spans="1:11">
      <c r="A666" s="12">
        <v>41724</v>
      </c>
      <c r="B666">
        <v>2014</v>
      </c>
      <c r="C666">
        <v>3</v>
      </c>
      <c r="D666" s="11">
        <v>41699</v>
      </c>
      <c r="E666" t="s">
        <v>2175</v>
      </c>
      <c r="F666">
        <v>3</v>
      </c>
      <c r="G666" t="s">
        <v>65</v>
      </c>
      <c r="H666" t="s">
        <v>40</v>
      </c>
      <c r="I666" t="s">
        <v>2188</v>
      </c>
      <c r="J666" s="10">
        <v>2.34</v>
      </c>
      <c r="K666" t="b">
        <v>1</v>
      </c>
    </row>
    <row r="667" spans="1:11">
      <c r="A667" s="12">
        <v>41724</v>
      </c>
      <c r="B667">
        <v>2014</v>
      </c>
      <c r="C667">
        <v>3</v>
      </c>
      <c r="D667" s="11">
        <v>41699</v>
      </c>
      <c r="E667" t="s">
        <v>2175</v>
      </c>
      <c r="F667">
        <v>3</v>
      </c>
      <c r="G667" t="s">
        <v>65</v>
      </c>
      <c r="H667" t="s">
        <v>41</v>
      </c>
      <c r="I667" t="s">
        <v>2189</v>
      </c>
      <c r="J667" s="10">
        <v>3.99</v>
      </c>
      <c r="K667" t="b">
        <v>1</v>
      </c>
    </row>
    <row r="668" spans="1:11">
      <c r="A668" s="12">
        <v>41724</v>
      </c>
      <c r="B668">
        <v>2014</v>
      </c>
      <c r="C668">
        <v>3</v>
      </c>
      <c r="D668" s="11">
        <v>41699</v>
      </c>
      <c r="E668" t="s">
        <v>2175</v>
      </c>
      <c r="F668">
        <v>3</v>
      </c>
      <c r="G668" t="s">
        <v>65</v>
      </c>
      <c r="H668" t="s">
        <v>42</v>
      </c>
      <c r="I668" t="s">
        <v>2190</v>
      </c>
      <c r="J668" s="10">
        <v>9</v>
      </c>
      <c r="K668" t="b">
        <v>1</v>
      </c>
    </row>
    <row r="669" spans="1:11">
      <c r="A669" s="12">
        <v>41724</v>
      </c>
      <c r="B669">
        <v>2014</v>
      </c>
      <c r="C669">
        <v>3</v>
      </c>
      <c r="D669" s="11">
        <v>41699</v>
      </c>
      <c r="E669" t="s">
        <v>2175</v>
      </c>
      <c r="F669">
        <v>3</v>
      </c>
      <c r="G669" t="s">
        <v>65</v>
      </c>
      <c r="H669" t="s">
        <v>43</v>
      </c>
      <c r="I669" t="s">
        <v>2191</v>
      </c>
      <c r="J669" s="10">
        <v>6.7</v>
      </c>
      <c r="K669" t="b">
        <v>1</v>
      </c>
    </row>
    <row r="670" spans="1:11">
      <c r="A670" s="12">
        <v>41724</v>
      </c>
      <c r="B670">
        <v>2014</v>
      </c>
      <c r="C670">
        <v>3</v>
      </c>
      <c r="D670" s="11">
        <v>41699</v>
      </c>
      <c r="E670" t="s">
        <v>2175</v>
      </c>
      <c r="F670">
        <v>3</v>
      </c>
      <c r="G670" t="s">
        <v>65</v>
      </c>
      <c r="H670" t="s">
        <v>44</v>
      </c>
      <c r="I670" t="s">
        <v>2192</v>
      </c>
      <c r="J670" s="10">
        <v>7</v>
      </c>
      <c r="K670" t="b">
        <v>1</v>
      </c>
    </row>
    <row r="671" spans="1:11">
      <c r="A671" s="12">
        <v>41724</v>
      </c>
      <c r="B671">
        <v>2014</v>
      </c>
      <c r="C671">
        <v>3</v>
      </c>
      <c r="D671" s="11">
        <v>41699</v>
      </c>
      <c r="E671" t="s">
        <v>2175</v>
      </c>
      <c r="F671">
        <v>3</v>
      </c>
      <c r="G671" t="s">
        <v>65</v>
      </c>
      <c r="H671" t="s">
        <v>45</v>
      </c>
      <c r="I671" t="s">
        <v>2193</v>
      </c>
      <c r="J671" s="10">
        <v>3</v>
      </c>
      <c r="K671" t="b">
        <v>1</v>
      </c>
    </row>
    <row r="672" spans="1:11">
      <c r="A672" s="12">
        <v>41724</v>
      </c>
      <c r="B672">
        <v>2014</v>
      </c>
      <c r="C672">
        <v>3</v>
      </c>
      <c r="D672" s="11">
        <v>41699</v>
      </c>
      <c r="E672" t="s">
        <v>2175</v>
      </c>
      <c r="F672">
        <v>3</v>
      </c>
      <c r="G672" t="s">
        <v>65</v>
      </c>
      <c r="H672" t="s">
        <v>46</v>
      </c>
      <c r="I672" t="s">
        <v>2194</v>
      </c>
      <c r="J672" s="10">
        <v>3</v>
      </c>
      <c r="K672" t="b">
        <v>1</v>
      </c>
    </row>
    <row r="673" spans="1:11">
      <c r="A673" s="12">
        <v>41724</v>
      </c>
      <c r="B673">
        <v>2014</v>
      </c>
      <c r="C673">
        <v>3</v>
      </c>
      <c r="D673" s="11">
        <v>41699</v>
      </c>
      <c r="E673" t="s">
        <v>2175</v>
      </c>
      <c r="F673">
        <v>3</v>
      </c>
      <c r="G673" t="s">
        <v>65</v>
      </c>
      <c r="H673" t="s">
        <v>47</v>
      </c>
      <c r="I673" t="s">
        <v>2195</v>
      </c>
      <c r="J673" s="10">
        <v>0</v>
      </c>
      <c r="K673" t="b">
        <v>1</v>
      </c>
    </row>
    <row r="674" spans="1:11">
      <c r="A674" s="12">
        <v>41725</v>
      </c>
      <c r="B674">
        <v>2014</v>
      </c>
      <c r="C674">
        <v>3</v>
      </c>
      <c r="D674" s="11">
        <v>41699</v>
      </c>
      <c r="E674" t="s">
        <v>2175</v>
      </c>
      <c r="F674">
        <v>4</v>
      </c>
      <c r="G674" t="s">
        <v>53</v>
      </c>
      <c r="H674" t="s">
        <v>40</v>
      </c>
      <c r="I674" t="s">
        <v>2188</v>
      </c>
      <c r="J674" s="10">
        <v>4</v>
      </c>
      <c r="K674" t="b">
        <v>1</v>
      </c>
    </row>
    <row r="675" spans="1:11">
      <c r="A675" s="12">
        <v>41725</v>
      </c>
      <c r="B675">
        <v>2014</v>
      </c>
      <c r="C675">
        <v>3</v>
      </c>
      <c r="D675" s="11">
        <v>41699</v>
      </c>
      <c r="E675" t="s">
        <v>2175</v>
      </c>
      <c r="F675">
        <v>4</v>
      </c>
      <c r="G675" t="s">
        <v>53</v>
      </c>
      <c r="H675" t="s">
        <v>41</v>
      </c>
      <c r="I675" t="s">
        <v>2189</v>
      </c>
      <c r="J675" s="10">
        <v>0.33</v>
      </c>
      <c r="K675" t="b">
        <v>1</v>
      </c>
    </row>
    <row r="676" spans="1:11">
      <c r="A676" s="12">
        <v>41725</v>
      </c>
      <c r="B676">
        <v>2014</v>
      </c>
      <c r="C676">
        <v>3</v>
      </c>
      <c r="D676" s="11">
        <v>41699</v>
      </c>
      <c r="E676" t="s">
        <v>2175</v>
      </c>
      <c r="F676">
        <v>4</v>
      </c>
      <c r="G676" t="s">
        <v>53</v>
      </c>
      <c r="H676" t="s">
        <v>42</v>
      </c>
      <c r="I676" t="s">
        <v>2190</v>
      </c>
      <c r="J676" s="10">
        <v>2</v>
      </c>
      <c r="K676" t="b">
        <v>1</v>
      </c>
    </row>
    <row r="677" spans="1:11">
      <c r="A677" s="12">
        <v>41725</v>
      </c>
      <c r="B677">
        <v>2014</v>
      </c>
      <c r="C677">
        <v>3</v>
      </c>
      <c r="D677" s="11">
        <v>41699</v>
      </c>
      <c r="E677" t="s">
        <v>2175</v>
      </c>
      <c r="F677">
        <v>4</v>
      </c>
      <c r="G677" t="s">
        <v>53</v>
      </c>
      <c r="H677" t="s">
        <v>43</v>
      </c>
      <c r="I677" t="s">
        <v>2191</v>
      </c>
      <c r="J677" s="10">
        <v>20.7</v>
      </c>
      <c r="K677" t="b">
        <v>1</v>
      </c>
    </row>
    <row r="678" spans="1:11">
      <c r="A678" s="12">
        <v>41725</v>
      </c>
      <c r="B678">
        <v>2014</v>
      </c>
      <c r="C678">
        <v>3</v>
      </c>
      <c r="D678" s="11">
        <v>41699</v>
      </c>
      <c r="E678" t="s">
        <v>2175</v>
      </c>
      <c r="F678">
        <v>4</v>
      </c>
      <c r="G678" t="s">
        <v>53</v>
      </c>
      <c r="H678" t="s">
        <v>44</v>
      </c>
      <c r="I678" t="s">
        <v>2192</v>
      </c>
      <c r="J678" s="10">
        <v>6</v>
      </c>
      <c r="K678" t="b">
        <v>1</v>
      </c>
    </row>
    <row r="679" spans="1:11">
      <c r="A679" s="12">
        <v>41725</v>
      </c>
      <c r="B679">
        <v>2014</v>
      </c>
      <c r="C679">
        <v>3</v>
      </c>
      <c r="D679" s="11">
        <v>41699</v>
      </c>
      <c r="E679" t="s">
        <v>2175</v>
      </c>
      <c r="F679">
        <v>4</v>
      </c>
      <c r="G679" t="s">
        <v>53</v>
      </c>
      <c r="H679" t="s">
        <v>45</v>
      </c>
      <c r="I679" t="s">
        <v>2193</v>
      </c>
      <c r="J679" s="10">
        <v>1</v>
      </c>
      <c r="K679" t="b">
        <v>1</v>
      </c>
    </row>
    <row r="680" spans="1:11">
      <c r="A680" s="12">
        <v>41725</v>
      </c>
      <c r="B680">
        <v>2014</v>
      </c>
      <c r="C680">
        <v>3</v>
      </c>
      <c r="D680" s="11">
        <v>41699</v>
      </c>
      <c r="E680" t="s">
        <v>2175</v>
      </c>
      <c r="F680">
        <v>4</v>
      </c>
      <c r="G680" t="s">
        <v>53</v>
      </c>
      <c r="H680" t="s">
        <v>46</v>
      </c>
      <c r="I680" t="s">
        <v>2194</v>
      </c>
      <c r="J680" s="10">
        <v>1</v>
      </c>
      <c r="K680" t="b">
        <v>1</v>
      </c>
    </row>
    <row r="681" spans="1:11">
      <c r="A681" s="12">
        <v>41725</v>
      </c>
      <c r="B681">
        <v>2014</v>
      </c>
      <c r="C681">
        <v>3</v>
      </c>
      <c r="D681" s="11">
        <v>41699</v>
      </c>
      <c r="E681" t="s">
        <v>2175</v>
      </c>
      <c r="F681">
        <v>4</v>
      </c>
      <c r="G681" t="s">
        <v>53</v>
      </c>
      <c r="H681" t="s">
        <v>47</v>
      </c>
      <c r="I681" t="s">
        <v>2195</v>
      </c>
      <c r="J681" s="10">
        <v>5</v>
      </c>
      <c r="K681" t="b">
        <v>1</v>
      </c>
    </row>
    <row r="682" spans="1:11">
      <c r="A682" s="12">
        <v>41726</v>
      </c>
      <c r="B682">
        <v>2014</v>
      </c>
      <c r="C682">
        <v>3</v>
      </c>
      <c r="D682" s="11">
        <v>41699</v>
      </c>
      <c r="E682" t="s">
        <v>2175</v>
      </c>
      <c r="F682">
        <v>5</v>
      </c>
      <c r="G682" t="s">
        <v>55</v>
      </c>
      <c r="H682" t="s">
        <v>40</v>
      </c>
      <c r="I682" t="s">
        <v>2188</v>
      </c>
      <c r="J682" s="10">
        <v>2.67</v>
      </c>
      <c r="K682" t="b">
        <v>1</v>
      </c>
    </row>
    <row r="683" spans="1:11">
      <c r="A683" s="12">
        <v>41726</v>
      </c>
      <c r="B683">
        <v>2014</v>
      </c>
      <c r="C683">
        <v>3</v>
      </c>
      <c r="D683" s="11">
        <v>41699</v>
      </c>
      <c r="E683" t="s">
        <v>2175</v>
      </c>
      <c r="F683">
        <v>5</v>
      </c>
      <c r="G683" t="s">
        <v>55</v>
      </c>
      <c r="H683" t="s">
        <v>41</v>
      </c>
      <c r="I683" t="s">
        <v>2189</v>
      </c>
      <c r="J683" s="10">
        <v>2</v>
      </c>
      <c r="K683" t="b">
        <v>1</v>
      </c>
    </row>
    <row r="684" spans="1:11">
      <c r="A684" s="12">
        <v>41726</v>
      </c>
      <c r="B684">
        <v>2014</v>
      </c>
      <c r="C684">
        <v>3</v>
      </c>
      <c r="D684" s="11">
        <v>41699</v>
      </c>
      <c r="E684" t="s">
        <v>2175</v>
      </c>
      <c r="F684">
        <v>5</v>
      </c>
      <c r="G684" t="s">
        <v>55</v>
      </c>
      <c r="H684" t="s">
        <v>42</v>
      </c>
      <c r="I684" t="s">
        <v>2190</v>
      </c>
      <c r="J684" s="10">
        <v>8</v>
      </c>
      <c r="K684" t="b">
        <v>1</v>
      </c>
    </row>
    <row r="685" spans="1:11">
      <c r="A685" s="12">
        <v>41726</v>
      </c>
      <c r="B685">
        <v>2014</v>
      </c>
      <c r="C685">
        <v>3</v>
      </c>
      <c r="D685" s="11">
        <v>41699</v>
      </c>
      <c r="E685" t="s">
        <v>2175</v>
      </c>
      <c r="F685">
        <v>5</v>
      </c>
      <c r="G685" t="s">
        <v>55</v>
      </c>
      <c r="H685" t="s">
        <v>43</v>
      </c>
      <c r="I685" t="s">
        <v>2191</v>
      </c>
      <c r="J685" s="10">
        <v>11</v>
      </c>
      <c r="K685" t="b">
        <v>1</v>
      </c>
    </row>
    <row r="686" spans="1:11">
      <c r="A686" s="12">
        <v>41726</v>
      </c>
      <c r="B686">
        <v>2014</v>
      </c>
      <c r="C686">
        <v>3</v>
      </c>
      <c r="D686" s="11">
        <v>41699</v>
      </c>
      <c r="E686" t="s">
        <v>2175</v>
      </c>
      <c r="F686">
        <v>5</v>
      </c>
      <c r="G686" t="s">
        <v>55</v>
      </c>
      <c r="H686" t="s">
        <v>44</v>
      </c>
      <c r="I686" t="s">
        <v>2192</v>
      </c>
      <c r="J686" s="10">
        <v>3</v>
      </c>
      <c r="K686" t="b">
        <v>1</v>
      </c>
    </row>
    <row r="687" spans="1:11">
      <c r="A687" s="12">
        <v>41726</v>
      </c>
      <c r="B687">
        <v>2014</v>
      </c>
      <c r="C687">
        <v>3</v>
      </c>
      <c r="D687" s="11">
        <v>41699</v>
      </c>
      <c r="E687" t="s">
        <v>2175</v>
      </c>
      <c r="F687">
        <v>5</v>
      </c>
      <c r="G687" t="s">
        <v>55</v>
      </c>
      <c r="H687" t="s">
        <v>45</v>
      </c>
      <c r="I687" t="s">
        <v>2193</v>
      </c>
      <c r="J687" s="10">
        <v>0</v>
      </c>
      <c r="K687" t="b">
        <v>1</v>
      </c>
    </row>
    <row r="688" spans="1:11">
      <c r="A688" s="12">
        <v>41726</v>
      </c>
      <c r="B688">
        <v>2014</v>
      </c>
      <c r="C688">
        <v>3</v>
      </c>
      <c r="D688" s="11">
        <v>41699</v>
      </c>
      <c r="E688" t="s">
        <v>2175</v>
      </c>
      <c r="F688">
        <v>5</v>
      </c>
      <c r="G688" t="s">
        <v>55</v>
      </c>
      <c r="H688" t="s">
        <v>46</v>
      </c>
      <c r="I688" t="s">
        <v>2194</v>
      </c>
      <c r="J688" s="10">
        <v>9</v>
      </c>
      <c r="K688" t="b">
        <v>1</v>
      </c>
    </row>
    <row r="689" spans="1:11">
      <c r="A689" s="12">
        <v>41726</v>
      </c>
      <c r="B689">
        <v>2014</v>
      </c>
      <c r="C689">
        <v>3</v>
      </c>
      <c r="D689" s="11">
        <v>41699</v>
      </c>
      <c r="E689" t="s">
        <v>2175</v>
      </c>
      <c r="F689">
        <v>5</v>
      </c>
      <c r="G689" t="s">
        <v>55</v>
      </c>
      <c r="H689" t="s">
        <v>47</v>
      </c>
      <c r="I689" t="s">
        <v>2195</v>
      </c>
      <c r="J689" s="10">
        <v>5</v>
      </c>
      <c r="K689" t="b">
        <v>1</v>
      </c>
    </row>
    <row r="690" spans="1:11">
      <c r="A690" s="12">
        <v>41727</v>
      </c>
      <c r="B690">
        <v>2014</v>
      </c>
      <c r="C690">
        <v>3</v>
      </c>
      <c r="D690" s="11">
        <v>41699</v>
      </c>
      <c r="E690" t="s">
        <v>2175</v>
      </c>
      <c r="F690">
        <v>6</v>
      </c>
      <c r="G690" t="s">
        <v>57</v>
      </c>
      <c r="H690" t="s">
        <v>40</v>
      </c>
      <c r="I690" t="s">
        <v>2188</v>
      </c>
      <c r="J690" s="10">
        <v>4</v>
      </c>
      <c r="K690" t="b">
        <v>1</v>
      </c>
    </row>
    <row r="691" spans="1:11">
      <c r="A691" s="12">
        <v>41727</v>
      </c>
      <c r="B691">
        <v>2014</v>
      </c>
      <c r="C691">
        <v>3</v>
      </c>
      <c r="D691" s="11">
        <v>41699</v>
      </c>
      <c r="E691" t="s">
        <v>2175</v>
      </c>
      <c r="F691">
        <v>6</v>
      </c>
      <c r="G691" t="s">
        <v>57</v>
      </c>
      <c r="H691" t="s">
        <v>41</v>
      </c>
      <c r="I691" t="s">
        <v>2189</v>
      </c>
      <c r="J691" s="10">
        <v>6.33</v>
      </c>
      <c r="K691" t="b">
        <v>1</v>
      </c>
    </row>
    <row r="692" spans="1:11">
      <c r="A692" s="12">
        <v>41727</v>
      </c>
      <c r="B692">
        <v>2014</v>
      </c>
      <c r="C692">
        <v>3</v>
      </c>
      <c r="D692" s="11">
        <v>41699</v>
      </c>
      <c r="E692" t="s">
        <v>2175</v>
      </c>
      <c r="F692">
        <v>6</v>
      </c>
      <c r="G692" t="s">
        <v>57</v>
      </c>
      <c r="H692" t="s">
        <v>42</v>
      </c>
      <c r="I692" t="s">
        <v>2190</v>
      </c>
      <c r="J692" s="10">
        <v>4.2</v>
      </c>
      <c r="K692" t="b">
        <v>1</v>
      </c>
    </row>
    <row r="693" spans="1:11">
      <c r="A693" s="12">
        <v>41727</v>
      </c>
      <c r="B693">
        <v>2014</v>
      </c>
      <c r="C693">
        <v>3</v>
      </c>
      <c r="D693" s="11">
        <v>41699</v>
      </c>
      <c r="E693" t="s">
        <v>2175</v>
      </c>
      <c r="F693">
        <v>6</v>
      </c>
      <c r="G693" t="s">
        <v>57</v>
      </c>
      <c r="H693" t="s">
        <v>43</v>
      </c>
      <c r="I693" t="s">
        <v>2191</v>
      </c>
      <c r="J693" s="10">
        <v>24</v>
      </c>
      <c r="K693" t="b">
        <v>1</v>
      </c>
    </row>
    <row r="694" spans="1:11">
      <c r="A694" s="12">
        <v>41727</v>
      </c>
      <c r="B694">
        <v>2014</v>
      </c>
      <c r="C694">
        <v>3</v>
      </c>
      <c r="D694" s="11">
        <v>41699</v>
      </c>
      <c r="E694" t="s">
        <v>2175</v>
      </c>
      <c r="F694">
        <v>6</v>
      </c>
      <c r="G694" t="s">
        <v>57</v>
      </c>
      <c r="H694" t="s">
        <v>44</v>
      </c>
      <c r="I694" t="s">
        <v>2192</v>
      </c>
      <c r="J694" s="10">
        <v>8</v>
      </c>
      <c r="K694" t="b">
        <v>1</v>
      </c>
    </row>
    <row r="695" spans="1:11">
      <c r="A695" s="12">
        <v>41727</v>
      </c>
      <c r="B695">
        <v>2014</v>
      </c>
      <c r="C695">
        <v>3</v>
      </c>
      <c r="D695" s="11">
        <v>41699</v>
      </c>
      <c r="E695" t="s">
        <v>2175</v>
      </c>
      <c r="F695">
        <v>6</v>
      </c>
      <c r="G695" t="s">
        <v>57</v>
      </c>
      <c r="H695" t="s">
        <v>45</v>
      </c>
      <c r="I695" t="s">
        <v>2193</v>
      </c>
      <c r="J695" s="10">
        <v>2</v>
      </c>
      <c r="K695" t="b">
        <v>1</v>
      </c>
    </row>
    <row r="696" spans="1:11">
      <c r="A696" s="12">
        <v>41727</v>
      </c>
      <c r="B696">
        <v>2014</v>
      </c>
      <c r="C696">
        <v>3</v>
      </c>
      <c r="D696" s="11">
        <v>41699</v>
      </c>
      <c r="E696" t="s">
        <v>2175</v>
      </c>
      <c r="F696">
        <v>6</v>
      </c>
      <c r="G696" t="s">
        <v>57</v>
      </c>
      <c r="H696" t="s">
        <v>46</v>
      </c>
      <c r="I696" t="s">
        <v>2194</v>
      </c>
      <c r="J696" s="10">
        <v>9</v>
      </c>
      <c r="K696" t="b">
        <v>1</v>
      </c>
    </row>
    <row r="697" spans="1:11">
      <c r="A697" s="12">
        <v>41727</v>
      </c>
      <c r="B697">
        <v>2014</v>
      </c>
      <c r="C697">
        <v>3</v>
      </c>
      <c r="D697" s="11">
        <v>41699</v>
      </c>
      <c r="E697" t="s">
        <v>2175</v>
      </c>
      <c r="F697">
        <v>6</v>
      </c>
      <c r="G697" t="s">
        <v>57</v>
      </c>
      <c r="H697" t="s">
        <v>47</v>
      </c>
      <c r="I697" t="s">
        <v>2195</v>
      </c>
      <c r="J697" s="10">
        <v>3</v>
      </c>
      <c r="K697" t="b">
        <v>1</v>
      </c>
    </row>
    <row r="698" spans="1:11">
      <c r="A698" s="12">
        <v>41728</v>
      </c>
      <c r="B698">
        <v>2014</v>
      </c>
      <c r="C698">
        <v>3</v>
      </c>
      <c r="D698" s="11">
        <v>41699</v>
      </c>
      <c r="E698" t="s">
        <v>2175</v>
      </c>
      <c r="F698">
        <v>7</v>
      </c>
      <c r="G698" t="s">
        <v>59</v>
      </c>
      <c r="H698" t="s">
        <v>40</v>
      </c>
      <c r="I698" t="s">
        <v>2188</v>
      </c>
      <c r="J698" s="10">
        <v>3</v>
      </c>
      <c r="K698" t="b">
        <v>1</v>
      </c>
    </row>
    <row r="699" spans="1:11">
      <c r="A699" s="12">
        <v>41728</v>
      </c>
      <c r="B699">
        <v>2014</v>
      </c>
      <c r="C699">
        <v>3</v>
      </c>
      <c r="D699" s="11">
        <v>41699</v>
      </c>
      <c r="E699" t="s">
        <v>2175</v>
      </c>
      <c r="F699">
        <v>7</v>
      </c>
      <c r="G699" t="s">
        <v>59</v>
      </c>
      <c r="H699" t="s">
        <v>41</v>
      </c>
      <c r="I699" t="s">
        <v>2189</v>
      </c>
      <c r="J699" s="10">
        <v>2.34</v>
      </c>
      <c r="K699" t="b">
        <v>1</v>
      </c>
    </row>
    <row r="700" spans="1:11">
      <c r="A700" s="12">
        <v>41728</v>
      </c>
      <c r="B700">
        <v>2014</v>
      </c>
      <c r="C700">
        <v>3</v>
      </c>
      <c r="D700" s="11">
        <v>41699</v>
      </c>
      <c r="E700" t="s">
        <v>2175</v>
      </c>
      <c r="F700">
        <v>7</v>
      </c>
      <c r="G700" t="s">
        <v>59</v>
      </c>
      <c r="H700" t="s">
        <v>42</v>
      </c>
      <c r="I700" t="s">
        <v>2190</v>
      </c>
      <c r="J700" s="10">
        <v>0</v>
      </c>
      <c r="K700" t="b">
        <v>1</v>
      </c>
    </row>
    <row r="701" spans="1:11">
      <c r="A701" s="12">
        <v>41728</v>
      </c>
      <c r="B701">
        <v>2014</v>
      </c>
      <c r="C701">
        <v>3</v>
      </c>
      <c r="D701" s="11">
        <v>41699</v>
      </c>
      <c r="E701" t="s">
        <v>2175</v>
      </c>
      <c r="F701">
        <v>7</v>
      </c>
      <c r="G701" t="s">
        <v>59</v>
      </c>
      <c r="H701" t="s">
        <v>43</v>
      </c>
      <c r="I701" t="s">
        <v>2191</v>
      </c>
      <c r="J701" s="10">
        <v>12</v>
      </c>
      <c r="K701" t="b">
        <v>1</v>
      </c>
    </row>
    <row r="702" spans="1:11">
      <c r="A702" s="12">
        <v>41728</v>
      </c>
      <c r="B702">
        <v>2014</v>
      </c>
      <c r="C702">
        <v>3</v>
      </c>
      <c r="D702" s="11">
        <v>41699</v>
      </c>
      <c r="E702" t="s">
        <v>2175</v>
      </c>
      <c r="F702">
        <v>7</v>
      </c>
      <c r="G702" t="s">
        <v>59</v>
      </c>
      <c r="H702" t="s">
        <v>44</v>
      </c>
      <c r="I702" t="s">
        <v>2192</v>
      </c>
      <c r="J702" s="10">
        <v>4</v>
      </c>
      <c r="K702" t="b">
        <v>1</v>
      </c>
    </row>
    <row r="703" spans="1:11">
      <c r="A703" s="12">
        <v>41728</v>
      </c>
      <c r="B703">
        <v>2014</v>
      </c>
      <c r="C703">
        <v>3</v>
      </c>
      <c r="D703" s="11">
        <v>41699</v>
      </c>
      <c r="E703" t="s">
        <v>2175</v>
      </c>
      <c r="F703">
        <v>7</v>
      </c>
      <c r="G703" t="s">
        <v>59</v>
      </c>
      <c r="H703" t="s">
        <v>45</v>
      </c>
      <c r="I703" t="s">
        <v>2193</v>
      </c>
      <c r="J703" s="10">
        <v>0</v>
      </c>
      <c r="K703" t="b">
        <v>1</v>
      </c>
    </row>
    <row r="704" spans="1:11">
      <c r="A704" s="12">
        <v>41728</v>
      </c>
      <c r="B704">
        <v>2014</v>
      </c>
      <c r="C704">
        <v>3</v>
      </c>
      <c r="D704" s="11">
        <v>41699</v>
      </c>
      <c r="E704" t="s">
        <v>2175</v>
      </c>
      <c r="F704">
        <v>7</v>
      </c>
      <c r="G704" t="s">
        <v>59</v>
      </c>
      <c r="H704" t="s">
        <v>46</v>
      </c>
      <c r="I704" t="s">
        <v>2194</v>
      </c>
      <c r="J704" s="10">
        <v>0</v>
      </c>
      <c r="K704" t="b">
        <v>1</v>
      </c>
    </row>
    <row r="705" spans="1:11">
      <c r="A705" s="12">
        <v>41728</v>
      </c>
      <c r="B705">
        <v>2014</v>
      </c>
      <c r="C705">
        <v>3</v>
      </c>
      <c r="D705" s="11">
        <v>41699</v>
      </c>
      <c r="E705" t="s">
        <v>2175</v>
      </c>
      <c r="F705">
        <v>7</v>
      </c>
      <c r="G705" t="s">
        <v>59</v>
      </c>
      <c r="H705" t="s">
        <v>47</v>
      </c>
      <c r="I705" t="s">
        <v>2195</v>
      </c>
      <c r="J705" s="10">
        <v>7</v>
      </c>
      <c r="K705" t="b">
        <v>1</v>
      </c>
    </row>
    <row r="706" spans="1:11">
      <c r="A706" s="12">
        <v>41729</v>
      </c>
      <c r="B706">
        <v>2014</v>
      </c>
      <c r="C706">
        <v>3</v>
      </c>
      <c r="D706" s="11">
        <v>41699</v>
      </c>
      <c r="E706" t="s">
        <v>2175</v>
      </c>
      <c r="F706">
        <v>1</v>
      </c>
      <c r="G706" t="s">
        <v>61</v>
      </c>
      <c r="H706" t="s">
        <v>40</v>
      </c>
      <c r="I706" t="s">
        <v>2188</v>
      </c>
      <c r="J706" s="10">
        <v>5.34</v>
      </c>
      <c r="K706" t="b">
        <v>1</v>
      </c>
    </row>
    <row r="707" spans="1:11">
      <c r="A707" s="12">
        <v>41729</v>
      </c>
      <c r="B707">
        <v>2014</v>
      </c>
      <c r="C707">
        <v>3</v>
      </c>
      <c r="D707" s="11">
        <v>41699</v>
      </c>
      <c r="E707" t="s">
        <v>2175</v>
      </c>
      <c r="F707">
        <v>1</v>
      </c>
      <c r="G707" t="s">
        <v>61</v>
      </c>
      <c r="H707" t="s">
        <v>41</v>
      </c>
      <c r="I707" t="s">
        <v>2189</v>
      </c>
      <c r="J707" s="10">
        <v>2.34</v>
      </c>
      <c r="K707" t="b">
        <v>1</v>
      </c>
    </row>
    <row r="708" spans="1:11">
      <c r="A708" s="12">
        <v>41729</v>
      </c>
      <c r="B708">
        <v>2014</v>
      </c>
      <c r="C708">
        <v>3</v>
      </c>
      <c r="D708" s="11">
        <v>41699</v>
      </c>
      <c r="E708" t="s">
        <v>2175</v>
      </c>
      <c r="F708">
        <v>1</v>
      </c>
      <c r="G708" t="s">
        <v>61</v>
      </c>
      <c r="H708" t="s">
        <v>42</v>
      </c>
      <c r="I708" t="s">
        <v>2190</v>
      </c>
      <c r="J708" s="10">
        <v>4</v>
      </c>
      <c r="K708" t="b">
        <v>1</v>
      </c>
    </row>
    <row r="709" spans="1:11">
      <c r="A709" s="12">
        <v>41729</v>
      </c>
      <c r="B709">
        <v>2014</v>
      </c>
      <c r="C709">
        <v>3</v>
      </c>
      <c r="D709" s="11">
        <v>41699</v>
      </c>
      <c r="E709" t="s">
        <v>2175</v>
      </c>
      <c r="F709">
        <v>1</v>
      </c>
      <c r="G709" t="s">
        <v>61</v>
      </c>
      <c r="H709" t="s">
        <v>43</v>
      </c>
      <c r="I709" t="s">
        <v>2191</v>
      </c>
      <c r="J709" s="10">
        <v>15.4</v>
      </c>
      <c r="K709" t="b">
        <v>1</v>
      </c>
    </row>
    <row r="710" spans="1:11">
      <c r="A710" s="12">
        <v>41729</v>
      </c>
      <c r="B710">
        <v>2014</v>
      </c>
      <c r="C710">
        <v>3</v>
      </c>
      <c r="D710" s="11">
        <v>41699</v>
      </c>
      <c r="E710" t="s">
        <v>2175</v>
      </c>
      <c r="F710">
        <v>1</v>
      </c>
      <c r="G710" t="s">
        <v>61</v>
      </c>
      <c r="H710" t="s">
        <v>44</v>
      </c>
      <c r="I710" t="s">
        <v>2192</v>
      </c>
      <c r="J710" s="10">
        <v>6</v>
      </c>
      <c r="K710" t="b">
        <v>1</v>
      </c>
    </row>
    <row r="711" spans="1:11">
      <c r="A711" s="12">
        <v>41729</v>
      </c>
      <c r="B711">
        <v>2014</v>
      </c>
      <c r="C711">
        <v>3</v>
      </c>
      <c r="D711" s="11">
        <v>41699</v>
      </c>
      <c r="E711" t="s">
        <v>2175</v>
      </c>
      <c r="F711">
        <v>1</v>
      </c>
      <c r="G711" t="s">
        <v>61</v>
      </c>
      <c r="H711" t="s">
        <v>45</v>
      </c>
      <c r="I711" t="s">
        <v>2193</v>
      </c>
      <c r="J711" s="10">
        <v>1</v>
      </c>
      <c r="K711" t="b">
        <v>1</v>
      </c>
    </row>
    <row r="712" spans="1:11">
      <c r="A712" s="12">
        <v>41729</v>
      </c>
      <c r="B712">
        <v>2014</v>
      </c>
      <c r="C712">
        <v>3</v>
      </c>
      <c r="D712" s="11">
        <v>41699</v>
      </c>
      <c r="E712" t="s">
        <v>2175</v>
      </c>
      <c r="F712">
        <v>1</v>
      </c>
      <c r="G712" t="s">
        <v>61</v>
      </c>
      <c r="H712" t="s">
        <v>46</v>
      </c>
      <c r="I712" t="s">
        <v>2194</v>
      </c>
      <c r="J712" s="10">
        <v>4</v>
      </c>
      <c r="K712" t="b">
        <v>1</v>
      </c>
    </row>
    <row r="713" spans="1:11">
      <c r="A713" s="12">
        <v>41729</v>
      </c>
      <c r="B713">
        <v>2014</v>
      </c>
      <c r="C713">
        <v>3</v>
      </c>
      <c r="D713" s="11">
        <v>41699</v>
      </c>
      <c r="E713" t="s">
        <v>2175</v>
      </c>
      <c r="F713">
        <v>1</v>
      </c>
      <c r="G713" t="s">
        <v>61</v>
      </c>
      <c r="H713" t="s">
        <v>47</v>
      </c>
      <c r="I713" t="s">
        <v>2195</v>
      </c>
      <c r="J713" s="10">
        <v>6</v>
      </c>
      <c r="K713" t="b">
        <v>1</v>
      </c>
    </row>
    <row r="714" spans="1:11">
      <c r="A714" s="12">
        <v>41730</v>
      </c>
      <c r="B714">
        <v>2014</v>
      </c>
      <c r="C714">
        <v>4</v>
      </c>
      <c r="D714" s="11">
        <v>41730</v>
      </c>
      <c r="E714" t="s">
        <v>2176</v>
      </c>
      <c r="F714">
        <v>2</v>
      </c>
      <c r="G714" t="s">
        <v>63</v>
      </c>
      <c r="H714" t="s">
        <v>40</v>
      </c>
      <c r="I714" t="s">
        <v>2188</v>
      </c>
      <c r="J714" s="10">
        <v>4.34</v>
      </c>
      <c r="K714" t="b">
        <v>1</v>
      </c>
    </row>
    <row r="715" spans="1:11">
      <c r="A715" s="12">
        <v>41730</v>
      </c>
      <c r="B715">
        <v>2014</v>
      </c>
      <c r="C715">
        <v>4</v>
      </c>
      <c r="D715" s="11">
        <v>41730</v>
      </c>
      <c r="E715" t="s">
        <v>2176</v>
      </c>
      <c r="F715">
        <v>2</v>
      </c>
      <c r="G715" t="s">
        <v>63</v>
      </c>
      <c r="H715" t="s">
        <v>41</v>
      </c>
      <c r="I715" t="s">
        <v>2189</v>
      </c>
      <c r="J715" s="10">
        <v>1.34</v>
      </c>
      <c r="K715" t="b">
        <v>1</v>
      </c>
    </row>
    <row r="716" spans="1:11">
      <c r="A716" s="12">
        <v>41730</v>
      </c>
      <c r="B716">
        <v>2014</v>
      </c>
      <c r="C716">
        <v>4</v>
      </c>
      <c r="D716" s="11">
        <v>41730</v>
      </c>
      <c r="E716" t="s">
        <v>2176</v>
      </c>
      <c r="F716">
        <v>2</v>
      </c>
      <c r="G716" t="s">
        <v>63</v>
      </c>
      <c r="H716" t="s">
        <v>42</v>
      </c>
      <c r="I716" t="s">
        <v>2190</v>
      </c>
      <c r="J716" s="10">
        <v>6.5</v>
      </c>
      <c r="K716" t="b">
        <v>1</v>
      </c>
    </row>
    <row r="717" spans="1:11">
      <c r="A717" s="12">
        <v>41730</v>
      </c>
      <c r="B717">
        <v>2014</v>
      </c>
      <c r="C717">
        <v>4</v>
      </c>
      <c r="D717" s="11">
        <v>41730</v>
      </c>
      <c r="E717" t="s">
        <v>2176</v>
      </c>
      <c r="F717">
        <v>2</v>
      </c>
      <c r="G717" t="s">
        <v>63</v>
      </c>
      <c r="H717" t="s">
        <v>43</v>
      </c>
      <c r="I717" t="s">
        <v>2191</v>
      </c>
      <c r="J717" s="10">
        <v>27.5</v>
      </c>
      <c r="K717" t="b">
        <v>1</v>
      </c>
    </row>
    <row r="718" spans="1:11">
      <c r="A718" s="12">
        <v>41730</v>
      </c>
      <c r="B718">
        <v>2014</v>
      </c>
      <c r="C718">
        <v>4</v>
      </c>
      <c r="D718" s="11">
        <v>41730</v>
      </c>
      <c r="E718" t="s">
        <v>2176</v>
      </c>
      <c r="F718">
        <v>2</v>
      </c>
      <c r="G718" t="s">
        <v>63</v>
      </c>
      <c r="H718" t="s">
        <v>44</v>
      </c>
      <c r="I718" t="s">
        <v>2192</v>
      </c>
      <c r="J718" s="10">
        <v>5</v>
      </c>
      <c r="K718" t="b">
        <v>1</v>
      </c>
    </row>
    <row r="719" spans="1:11">
      <c r="A719" s="12">
        <v>41730</v>
      </c>
      <c r="B719">
        <v>2014</v>
      </c>
      <c r="C719">
        <v>4</v>
      </c>
      <c r="D719" s="11">
        <v>41730</v>
      </c>
      <c r="E719" t="s">
        <v>2176</v>
      </c>
      <c r="F719">
        <v>2</v>
      </c>
      <c r="G719" t="s">
        <v>63</v>
      </c>
      <c r="H719" t="s">
        <v>45</v>
      </c>
      <c r="I719" t="s">
        <v>2193</v>
      </c>
      <c r="J719" s="10">
        <v>3</v>
      </c>
      <c r="K719" t="b">
        <v>1</v>
      </c>
    </row>
    <row r="720" spans="1:11">
      <c r="A720" s="12">
        <v>41730</v>
      </c>
      <c r="B720">
        <v>2014</v>
      </c>
      <c r="C720">
        <v>4</v>
      </c>
      <c r="D720" s="11">
        <v>41730</v>
      </c>
      <c r="E720" t="s">
        <v>2176</v>
      </c>
      <c r="F720">
        <v>2</v>
      </c>
      <c r="G720" t="s">
        <v>63</v>
      </c>
      <c r="H720" t="s">
        <v>46</v>
      </c>
      <c r="I720" t="s">
        <v>2194</v>
      </c>
      <c r="J720" s="10">
        <v>3</v>
      </c>
      <c r="K720" t="b">
        <v>1</v>
      </c>
    </row>
    <row r="721" spans="1:11">
      <c r="A721" s="12">
        <v>41730</v>
      </c>
      <c r="B721">
        <v>2014</v>
      </c>
      <c r="C721">
        <v>4</v>
      </c>
      <c r="D721" s="11">
        <v>41730</v>
      </c>
      <c r="E721" t="s">
        <v>2176</v>
      </c>
      <c r="F721">
        <v>2</v>
      </c>
      <c r="G721" t="s">
        <v>63</v>
      </c>
      <c r="H721" t="s">
        <v>47</v>
      </c>
      <c r="I721" t="s">
        <v>2195</v>
      </c>
      <c r="J721" s="10">
        <v>1</v>
      </c>
      <c r="K721" t="b">
        <v>1</v>
      </c>
    </row>
    <row r="722" spans="1:11">
      <c r="A722" s="12">
        <v>41731</v>
      </c>
      <c r="B722">
        <v>2014</v>
      </c>
      <c r="C722">
        <v>4</v>
      </c>
      <c r="D722" s="11">
        <v>41730</v>
      </c>
      <c r="E722" t="s">
        <v>2176</v>
      </c>
      <c r="F722">
        <v>3</v>
      </c>
      <c r="G722" t="s">
        <v>65</v>
      </c>
      <c r="H722" t="s">
        <v>40</v>
      </c>
      <c r="I722" t="s">
        <v>2188</v>
      </c>
      <c r="J722" s="10">
        <v>2</v>
      </c>
      <c r="K722" t="b">
        <v>1</v>
      </c>
    </row>
    <row r="723" spans="1:11">
      <c r="A723" s="12">
        <v>41731</v>
      </c>
      <c r="B723">
        <v>2014</v>
      </c>
      <c r="C723">
        <v>4</v>
      </c>
      <c r="D723" s="11">
        <v>41730</v>
      </c>
      <c r="E723" t="s">
        <v>2176</v>
      </c>
      <c r="F723">
        <v>3</v>
      </c>
      <c r="G723" t="s">
        <v>65</v>
      </c>
      <c r="H723" t="s">
        <v>41</v>
      </c>
      <c r="I723" t="s">
        <v>2189</v>
      </c>
      <c r="J723" s="10">
        <v>4.68</v>
      </c>
      <c r="K723" t="b">
        <v>1</v>
      </c>
    </row>
    <row r="724" spans="1:11">
      <c r="A724" s="12">
        <v>41731</v>
      </c>
      <c r="B724">
        <v>2014</v>
      </c>
      <c r="C724">
        <v>4</v>
      </c>
      <c r="D724" s="11">
        <v>41730</v>
      </c>
      <c r="E724" t="s">
        <v>2176</v>
      </c>
      <c r="F724">
        <v>3</v>
      </c>
      <c r="G724" t="s">
        <v>65</v>
      </c>
      <c r="H724" t="s">
        <v>42</v>
      </c>
      <c r="I724" t="s">
        <v>2190</v>
      </c>
      <c r="J724" s="10">
        <v>8.9</v>
      </c>
      <c r="K724" t="b">
        <v>1</v>
      </c>
    </row>
    <row r="725" spans="1:11">
      <c r="A725" s="12">
        <v>41731</v>
      </c>
      <c r="B725">
        <v>2014</v>
      </c>
      <c r="C725">
        <v>4</v>
      </c>
      <c r="D725" s="11">
        <v>41730</v>
      </c>
      <c r="E725" t="s">
        <v>2176</v>
      </c>
      <c r="F725">
        <v>3</v>
      </c>
      <c r="G725" t="s">
        <v>65</v>
      </c>
      <c r="H725" t="s">
        <v>43</v>
      </c>
      <c r="I725" t="s">
        <v>2191</v>
      </c>
      <c r="J725" s="10">
        <v>23</v>
      </c>
      <c r="K725" t="b">
        <v>1</v>
      </c>
    </row>
    <row r="726" spans="1:11">
      <c r="A726" s="12">
        <v>41731</v>
      </c>
      <c r="B726">
        <v>2014</v>
      </c>
      <c r="C726">
        <v>4</v>
      </c>
      <c r="D726" s="11">
        <v>41730</v>
      </c>
      <c r="E726" t="s">
        <v>2176</v>
      </c>
      <c r="F726">
        <v>3</v>
      </c>
      <c r="G726" t="s">
        <v>65</v>
      </c>
      <c r="H726" t="s">
        <v>44</v>
      </c>
      <c r="I726" t="s">
        <v>2192</v>
      </c>
      <c r="J726" s="10">
        <v>1</v>
      </c>
      <c r="K726" t="b">
        <v>1</v>
      </c>
    </row>
    <row r="727" spans="1:11">
      <c r="A727" s="12">
        <v>41731</v>
      </c>
      <c r="B727">
        <v>2014</v>
      </c>
      <c r="C727">
        <v>4</v>
      </c>
      <c r="D727" s="11">
        <v>41730</v>
      </c>
      <c r="E727" t="s">
        <v>2176</v>
      </c>
      <c r="F727">
        <v>3</v>
      </c>
      <c r="G727" t="s">
        <v>65</v>
      </c>
      <c r="H727" t="s">
        <v>45</v>
      </c>
      <c r="I727" t="s">
        <v>2193</v>
      </c>
      <c r="J727" s="10">
        <v>0</v>
      </c>
      <c r="K727" t="b">
        <v>1</v>
      </c>
    </row>
    <row r="728" spans="1:11">
      <c r="A728" s="12">
        <v>41731</v>
      </c>
      <c r="B728">
        <v>2014</v>
      </c>
      <c r="C728">
        <v>4</v>
      </c>
      <c r="D728" s="11">
        <v>41730</v>
      </c>
      <c r="E728" t="s">
        <v>2176</v>
      </c>
      <c r="F728">
        <v>3</v>
      </c>
      <c r="G728" t="s">
        <v>65</v>
      </c>
      <c r="H728" t="s">
        <v>46</v>
      </c>
      <c r="I728" t="s">
        <v>2194</v>
      </c>
      <c r="J728" s="10">
        <v>7</v>
      </c>
      <c r="K728" t="b">
        <v>1</v>
      </c>
    </row>
    <row r="729" spans="1:11">
      <c r="A729" s="12">
        <v>41731</v>
      </c>
      <c r="B729">
        <v>2014</v>
      </c>
      <c r="C729">
        <v>4</v>
      </c>
      <c r="D729" s="11">
        <v>41730</v>
      </c>
      <c r="E729" t="s">
        <v>2176</v>
      </c>
      <c r="F729">
        <v>3</v>
      </c>
      <c r="G729" t="s">
        <v>65</v>
      </c>
      <c r="H729" t="s">
        <v>47</v>
      </c>
      <c r="I729" t="s">
        <v>2195</v>
      </c>
      <c r="J729" s="10">
        <v>3</v>
      </c>
      <c r="K729" t="b">
        <v>1</v>
      </c>
    </row>
    <row r="730" spans="1:11">
      <c r="A730" s="12">
        <v>41732</v>
      </c>
      <c r="B730">
        <v>2014</v>
      </c>
      <c r="C730">
        <v>4</v>
      </c>
      <c r="D730" s="11">
        <v>41730</v>
      </c>
      <c r="E730" t="s">
        <v>2176</v>
      </c>
      <c r="F730">
        <v>4</v>
      </c>
      <c r="G730" t="s">
        <v>53</v>
      </c>
      <c r="H730" t="s">
        <v>40</v>
      </c>
      <c r="I730" t="s">
        <v>2188</v>
      </c>
      <c r="J730" s="10">
        <v>1</v>
      </c>
      <c r="K730" t="b">
        <v>1</v>
      </c>
    </row>
    <row r="731" spans="1:11">
      <c r="A731" s="12">
        <v>41732</v>
      </c>
      <c r="B731">
        <v>2014</v>
      </c>
      <c r="C731">
        <v>4</v>
      </c>
      <c r="D731" s="11">
        <v>41730</v>
      </c>
      <c r="E731" t="s">
        <v>2176</v>
      </c>
      <c r="F731">
        <v>4</v>
      </c>
      <c r="G731" t="s">
        <v>53</v>
      </c>
      <c r="H731" t="s">
        <v>41</v>
      </c>
      <c r="I731" t="s">
        <v>2189</v>
      </c>
      <c r="J731" s="10">
        <v>1.34</v>
      </c>
      <c r="K731" t="b">
        <v>1</v>
      </c>
    </row>
    <row r="732" spans="1:11">
      <c r="A732" s="12">
        <v>41732</v>
      </c>
      <c r="B732">
        <v>2014</v>
      </c>
      <c r="C732">
        <v>4</v>
      </c>
      <c r="D732" s="11">
        <v>41730</v>
      </c>
      <c r="E732" t="s">
        <v>2176</v>
      </c>
      <c r="F732">
        <v>4</v>
      </c>
      <c r="G732" t="s">
        <v>53</v>
      </c>
      <c r="H732" t="s">
        <v>42</v>
      </c>
      <c r="I732" t="s">
        <v>2190</v>
      </c>
      <c r="J732" s="10">
        <v>3</v>
      </c>
      <c r="K732" t="b">
        <v>1</v>
      </c>
    </row>
    <row r="733" spans="1:11">
      <c r="A733" s="12">
        <v>41732</v>
      </c>
      <c r="B733">
        <v>2014</v>
      </c>
      <c r="C733">
        <v>4</v>
      </c>
      <c r="D733" s="11">
        <v>41730</v>
      </c>
      <c r="E733" t="s">
        <v>2176</v>
      </c>
      <c r="F733">
        <v>4</v>
      </c>
      <c r="G733" t="s">
        <v>53</v>
      </c>
      <c r="H733" t="s">
        <v>43</v>
      </c>
      <c r="I733" t="s">
        <v>2191</v>
      </c>
      <c r="J733" s="10">
        <v>19.2</v>
      </c>
      <c r="K733" t="b">
        <v>1</v>
      </c>
    </row>
    <row r="734" spans="1:11">
      <c r="A734" s="12">
        <v>41732</v>
      </c>
      <c r="B734">
        <v>2014</v>
      </c>
      <c r="C734">
        <v>4</v>
      </c>
      <c r="D734" s="11">
        <v>41730</v>
      </c>
      <c r="E734" t="s">
        <v>2176</v>
      </c>
      <c r="F734">
        <v>4</v>
      </c>
      <c r="G734" t="s">
        <v>53</v>
      </c>
      <c r="H734" t="s">
        <v>44</v>
      </c>
      <c r="I734" t="s">
        <v>2192</v>
      </c>
      <c r="J734" s="10">
        <v>4</v>
      </c>
      <c r="K734" t="b">
        <v>1</v>
      </c>
    </row>
    <row r="735" spans="1:11">
      <c r="A735" s="12">
        <v>41732</v>
      </c>
      <c r="B735">
        <v>2014</v>
      </c>
      <c r="C735">
        <v>4</v>
      </c>
      <c r="D735" s="11">
        <v>41730</v>
      </c>
      <c r="E735" t="s">
        <v>2176</v>
      </c>
      <c r="F735">
        <v>4</v>
      </c>
      <c r="G735" t="s">
        <v>53</v>
      </c>
      <c r="H735" t="s">
        <v>45</v>
      </c>
      <c r="I735" t="s">
        <v>2193</v>
      </c>
      <c r="J735" s="10">
        <v>0</v>
      </c>
      <c r="K735" t="b">
        <v>1</v>
      </c>
    </row>
    <row r="736" spans="1:11">
      <c r="A736" s="12">
        <v>41732</v>
      </c>
      <c r="B736">
        <v>2014</v>
      </c>
      <c r="C736">
        <v>4</v>
      </c>
      <c r="D736" s="11">
        <v>41730</v>
      </c>
      <c r="E736" t="s">
        <v>2176</v>
      </c>
      <c r="F736">
        <v>4</v>
      </c>
      <c r="G736" t="s">
        <v>53</v>
      </c>
      <c r="H736" t="s">
        <v>46</v>
      </c>
      <c r="I736" t="s">
        <v>2194</v>
      </c>
      <c r="J736" s="10">
        <v>0</v>
      </c>
      <c r="K736" t="b">
        <v>1</v>
      </c>
    </row>
    <row r="737" spans="1:11">
      <c r="A737" s="12">
        <v>41732</v>
      </c>
      <c r="B737">
        <v>2014</v>
      </c>
      <c r="C737">
        <v>4</v>
      </c>
      <c r="D737" s="11">
        <v>41730</v>
      </c>
      <c r="E737" t="s">
        <v>2176</v>
      </c>
      <c r="F737">
        <v>4</v>
      </c>
      <c r="G737" t="s">
        <v>53</v>
      </c>
      <c r="H737" t="s">
        <v>47</v>
      </c>
      <c r="I737" t="s">
        <v>2195</v>
      </c>
      <c r="J737" s="10">
        <v>4</v>
      </c>
      <c r="K737" t="b">
        <v>1</v>
      </c>
    </row>
    <row r="738" spans="1:11">
      <c r="A738" s="12">
        <v>41733</v>
      </c>
      <c r="B738">
        <v>2014</v>
      </c>
      <c r="C738">
        <v>4</v>
      </c>
      <c r="D738" s="11">
        <v>41730</v>
      </c>
      <c r="E738" t="s">
        <v>2176</v>
      </c>
      <c r="F738">
        <v>5</v>
      </c>
      <c r="G738" t="s">
        <v>55</v>
      </c>
      <c r="H738" t="s">
        <v>40</v>
      </c>
      <c r="I738" t="s">
        <v>2188</v>
      </c>
      <c r="J738" s="10">
        <v>3</v>
      </c>
      <c r="K738" t="b">
        <v>1</v>
      </c>
    </row>
    <row r="739" spans="1:11">
      <c r="A739" s="12">
        <v>41733</v>
      </c>
      <c r="B739">
        <v>2014</v>
      </c>
      <c r="C739">
        <v>4</v>
      </c>
      <c r="D739" s="11">
        <v>41730</v>
      </c>
      <c r="E739" t="s">
        <v>2176</v>
      </c>
      <c r="F739">
        <v>5</v>
      </c>
      <c r="G739" t="s">
        <v>55</v>
      </c>
      <c r="H739" t="s">
        <v>41</v>
      </c>
      <c r="I739" t="s">
        <v>2189</v>
      </c>
      <c r="J739" s="10">
        <v>3.67</v>
      </c>
      <c r="K739" t="b">
        <v>1</v>
      </c>
    </row>
    <row r="740" spans="1:11">
      <c r="A740" s="12">
        <v>41733</v>
      </c>
      <c r="B740">
        <v>2014</v>
      </c>
      <c r="C740">
        <v>4</v>
      </c>
      <c r="D740" s="11">
        <v>41730</v>
      </c>
      <c r="E740" t="s">
        <v>2176</v>
      </c>
      <c r="F740">
        <v>5</v>
      </c>
      <c r="G740" t="s">
        <v>55</v>
      </c>
      <c r="H740" t="s">
        <v>42</v>
      </c>
      <c r="I740" t="s">
        <v>2190</v>
      </c>
      <c r="J740" s="10">
        <v>3</v>
      </c>
      <c r="K740" t="b">
        <v>1</v>
      </c>
    </row>
    <row r="741" spans="1:11">
      <c r="A741" s="12">
        <v>41733</v>
      </c>
      <c r="B741">
        <v>2014</v>
      </c>
      <c r="C741">
        <v>4</v>
      </c>
      <c r="D741" s="11">
        <v>41730</v>
      </c>
      <c r="E741" t="s">
        <v>2176</v>
      </c>
      <c r="F741">
        <v>5</v>
      </c>
      <c r="G741" t="s">
        <v>55</v>
      </c>
      <c r="H741" t="s">
        <v>43</v>
      </c>
      <c r="I741" t="s">
        <v>2191</v>
      </c>
      <c r="J741" s="10">
        <v>24</v>
      </c>
      <c r="K741" t="b">
        <v>1</v>
      </c>
    </row>
    <row r="742" spans="1:11">
      <c r="A742" s="12">
        <v>41733</v>
      </c>
      <c r="B742">
        <v>2014</v>
      </c>
      <c r="C742">
        <v>4</v>
      </c>
      <c r="D742" s="11">
        <v>41730</v>
      </c>
      <c r="E742" t="s">
        <v>2176</v>
      </c>
      <c r="F742">
        <v>5</v>
      </c>
      <c r="G742" t="s">
        <v>55</v>
      </c>
      <c r="H742" t="s">
        <v>44</v>
      </c>
      <c r="I742" t="s">
        <v>2192</v>
      </c>
      <c r="J742" s="10">
        <v>9</v>
      </c>
      <c r="K742" t="b">
        <v>1</v>
      </c>
    </row>
    <row r="743" spans="1:11">
      <c r="A743" s="12">
        <v>41733</v>
      </c>
      <c r="B743">
        <v>2014</v>
      </c>
      <c r="C743">
        <v>4</v>
      </c>
      <c r="D743" s="11">
        <v>41730</v>
      </c>
      <c r="E743" t="s">
        <v>2176</v>
      </c>
      <c r="F743">
        <v>5</v>
      </c>
      <c r="G743" t="s">
        <v>55</v>
      </c>
      <c r="H743" t="s">
        <v>45</v>
      </c>
      <c r="I743" t="s">
        <v>2193</v>
      </c>
      <c r="J743" s="10">
        <v>3</v>
      </c>
      <c r="K743" t="b">
        <v>1</v>
      </c>
    </row>
    <row r="744" spans="1:11">
      <c r="A744" s="12">
        <v>41733</v>
      </c>
      <c r="B744">
        <v>2014</v>
      </c>
      <c r="C744">
        <v>4</v>
      </c>
      <c r="D744" s="11">
        <v>41730</v>
      </c>
      <c r="E744" t="s">
        <v>2176</v>
      </c>
      <c r="F744">
        <v>5</v>
      </c>
      <c r="G744" t="s">
        <v>55</v>
      </c>
      <c r="H744" t="s">
        <v>46</v>
      </c>
      <c r="I744" t="s">
        <v>2194</v>
      </c>
      <c r="J744" s="10">
        <v>8</v>
      </c>
      <c r="K744" t="b">
        <v>1</v>
      </c>
    </row>
    <row r="745" spans="1:11">
      <c r="A745" s="12">
        <v>41733</v>
      </c>
      <c r="B745">
        <v>2014</v>
      </c>
      <c r="C745">
        <v>4</v>
      </c>
      <c r="D745" s="11">
        <v>41730</v>
      </c>
      <c r="E745" t="s">
        <v>2176</v>
      </c>
      <c r="F745">
        <v>5</v>
      </c>
      <c r="G745" t="s">
        <v>55</v>
      </c>
      <c r="H745" t="s">
        <v>47</v>
      </c>
      <c r="I745" t="s">
        <v>2195</v>
      </c>
      <c r="J745" s="10">
        <v>2</v>
      </c>
      <c r="K745" t="b">
        <v>1</v>
      </c>
    </row>
    <row r="746" spans="1:11">
      <c r="A746" s="12">
        <v>41734</v>
      </c>
      <c r="B746">
        <v>2014</v>
      </c>
      <c r="C746">
        <v>4</v>
      </c>
      <c r="D746" s="11">
        <v>41730</v>
      </c>
      <c r="E746" t="s">
        <v>2176</v>
      </c>
      <c r="F746">
        <v>6</v>
      </c>
      <c r="G746" t="s">
        <v>57</v>
      </c>
      <c r="H746" t="s">
        <v>40</v>
      </c>
      <c r="I746" t="s">
        <v>2188</v>
      </c>
      <c r="J746" s="10">
        <v>2</v>
      </c>
      <c r="K746" t="b">
        <v>1</v>
      </c>
    </row>
    <row r="747" spans="1:11">
      <c r="A747" s="12">
        <v>41734</v>
      </c>
      <c r="B747">
        <v>2014</v>
      </c>
      <c r="C747">
        <v>4</v>
      </c>
      <c r="D747" s="11">
        <v>41730</v>
      </c>
      <c r="E747" t="s">
        <v>2176</v>
      </c>
      <c r="F747">
        <v>6</v>
      </c>
      <c r="G747" t="s">
        <v>57</v>
      </c>
      <c r="H747" t="s">
        <v>41</v>
      </c>
      <c r="I747" t="s">
        <v>2189</v>
      </c>
      <c r="J747" s="10">
        <v>7.68</v>
      </c>
      <c r="K747" t="b">
        <v>1</v>
      </c>
    </row>
    <row r="748" spans="1:11">
      <c r="A748" s="12">
        <v>41734</v>
      </c>
      <c r="B748">
        <v>2014</v>
      </c>
      <c r="C748">
        <v>4</v>
      </c>
      <c r="D748" s="11">
        <v>41730</v>
      </c>
      <c r="E748" t="s">
        <v>2176</v>
      </c>
      <c r="F748">
        <v>6</v>
      </c>
      <c r="G748" t="s">
        <v>57</v>
      </c>
      <c r="H748" t="s">
        <v>42</v>
      </c>
      <c r="I748" t="s">
        <v>2190</v>
      </c>
      <c r="J748" s="10">
        <v>10</v>
      </c>
      <c r="K748" t="b">
        <v>1</v>
      </c>
    </row>
    <row r="749" spans="1:11">
      <c r="A749" s="12">
        <v>41734</v>
      </c>
      <c r="B749">
        <v>2014</v>
      </c>
      <c r="C749">
        <v>4</v>
      </c>
      <c r="D749" s="11">
        <v>41730</v>
      </c>
      <c r="E749" t="s">
        <v>2176</v>
      </c>
      <c r="F749">
        <v>6</v>
      </c>
      <c r="G749" t="s">
        <v>57</v>
      </c>
      <c r="H749" t="s">
        <v>43</v>
      </c>
      <c r="I749" t="s">
        <v>2191</v>
      </c>
      <c r="J749" s="10">
        <v>25.6</v>
      </c>
      <c r="K749" t="b">
        <v>1</v>
      </c>
    </row>
    <row r="750" spans="1:11">
      <c r="A750" s="12">
        <v>41734</v>
      </c>
      <c r="B750">
        <v>2014</v>
      </c>
      <c r="C750">
        <v>4</v>
      </c>
      <c r="D750" s="11">
        <v>41730</v>
      </c>
      <c r="E750" t="s">
        <v>2176</v>
      </c>
      <c r="F750">
        <v>6</v>
      </c>
      <c r="G750" t="s">
        <v>57</v>
      </c>
      <c r="H750" t="s">
        <v>44</v>
      </c>
      <c r="I750" t="s">
        <v>2192</v>
      </c>
      <c r="J750" s="10">
        <v>5</v>
      </c>
      <c r="K750" t="b">
        <v>1</v>
      </c>
    </row>
    <row r="751" spans="1:11">
      <c r="A751" s="12">
        <v>41734</v>
      </c>
      <c r="B751">
        <v>2014</v>
      </c>
      <c r="C751">
        <v>4</v>
      </c>
      <c r="D751" s="11">
        <v>41730</v>
      </c>
      <c r="E751" t="s">
        <v>2176</v>
      </c>
      <c r="F751">
        <v>6</v>
      </c>
      <c r="G751" t="s">
        <v>57</v>
      </c>
      <c r="H751" t="s">
        <v>45</v>
      </c>
      <c r="I751" t="s">
        <v>2193</v>
      </c>
      <c r="J751" s="10">
        <v>0</v>
      </c>
      <c r="K751" t="b">
        <v>1</v>
      </c>
    </row>
    <row r="752" spans="1:11">
      <c r="A752" s="12">
        <v>41734</v>
      </c>
      <c r="B752">
        <v>2014</v>
      </c>
      <c r="C752">
        <v>4</v>
      </c>
      <c r="D752" s="11">
        <v>41730</v>
      </c>
      <c r="E752" t="s">
        <v>2176</v>
      </c>
      <c r="F752">
        <v>6</v>
      </c>
      <c r="G752" t="s">
        <v>57</v>
      </c>
      <c r="H752" t="s">
        <v>46</v>
      </c>
      <c r="I752" t="s">
        <v>2194</v>
      </c>
      <c r="J752" s="10">
        <v>5</v>
      </c>
      <c r="K752" t="b">
        <v>1</v>
      </c>
    </row>
    <row r="753" spans="1:11">
      <c r="A753" s="12">
        <v>41734</v>
      </c>
      <c r="B753">
        <v>2014</v>
      </c>
      <c r="C753">
        <v>4</v>
      </c>
      <c r="D753" s="11">
        <v>41730</v>
      </c>
      <c r="E753" t="s">
        <v>2176</v>
      </c>
      <c r="F753">
        <v>6</v>
      </c>
      <c r="G753" t="s">
        <v>57</v>
      </c>
      <c r="H753" t="s">
        <v>47</v>
      </c>
      <c r="I753" t="s">
        <v>2195</v>
      </c>
      <c r="J753" s="10">
        <v>3</v>
      </c>
      <c r="K753" t="b">
        <v>1</v>
      </c>
    </row>
    <row r="754" spans="1:11">
      <c r="A754" s="12">
        <v>41735</v>
      </c>
      <c r="B754">
        <v>2014</v>
      </c>
      <c r="C754">
        <v>4</v>
      </c>
      <c r="D754" s="11">
        <v>41730</v>
      </c>
      <c r="E754" t="s">
        <v>2176</v>
      </c>
      <c r="F754">
        <v>7</v>
      </c>
      <c r="G754" t="s">
        <v>59</v>
      </c>
      <c r="H754" t="s">
        <v>40</v>
      </c>
      <c r="I754" t="s">
        <v>2188</v>
      </c>
      <c r="J754" s="10">
        <v>2</v>
      </c>
      <c r="K754" t="b">
        <v>1</v>
      </c>
    </row>
    <row r="755" spans="1:11">
      <c r="A755" s="12">
        <v>41735</v>
      </c>
      <c r="B755">
        <v>2014</v>
      </c>
      <c r="C755">
        <v>4</v>
      </c>
      <c r="D755" s="11">
        <v>41730</v>
      </c>
      <c r="E755" t="s">
        <v>2176</v>
      </c>
      <c r="F755">
        <v>7</v>
      </c>
      <c r="G755" t="s">
        <v>59</v>
      </c>
      <c r="H755" t="s">
        <v>41</v>
      </c>
      <c r="I755" t="s">
        <v>2189</v>
      </c>
      <c r="J755" s="10">
        <v>1</v>
      </c>
      <c r="K755" t="b">
        <v>1</v>
      </c>
    </row>
    <row r="756" spans="1:11">
      <c r="A756" s="12">
        <v>41735</v>
      </c>
      <c r="B756">
        <v>2014</v>
      </c>
      <c r="C756">
        <v>4</v>
      </c>
      <c r="D756" s="11">
        <v>41730</v>
      </c>
      <c r="E756" t="s">
        <v>2176</v>
      </c>
      <c r="F756">
        <v>7</v>
      </c>
      <c r="G756" t="s">
        <v>59</v>
      </c>
      <c r="H756" t="s">
        <v>42</v>
      </c>
      <c r="I756" t="s">
        <v>2190</v>
      </c>
      <c r="J756" s="10">
        <v>1</v>
      </c>
      <c r="K756" t="b">
        <v>1</v>
      </c>
    </row>
    <row r="757" spans="1:11">
      <c r="A757" s="12">
        <v>41735</v>
      </c>
      <c r="B757">
        <v>2014</v>
      </c>
      <c r="C757">
        <v>4</v>
      </c>
      <c r="D757" s="11">
        <v>41730</v>
      </c>
      <c r="E757" t="s">
        <v>2176</v>
      </c>
      <c r="F757">
        <v>7</v>
      </c>
      <c r="G757" t="s">
        <v>59</v>
      </c>
      <c r="H757" t="s">
        <v>43</v>
      </c>
      <c r="I757" t="s">
        <v>2191</v>
      </c>
      <c r="J757" s="10">
        <v>19</v>
      </c>
      <c r="K757" t="b">
        <v>1</v>
      </c>
    </row>
    <row r="758" spans="1:11">
      <c r="A758" s="12">
        <v>41735</v>
      </c>
      <c r="B758">
        <v>2014</v>
      </c>
      <c r="C758">
        <v>4</v>
      </c>
      <c r="D758" s="11">
        <v>41730</v>
      </c>
      <c r="E758" t="s">
        <v>2176</v>
      </c>
      <c r="F758">
        <v>7</v>
      </c>
      <c r="G758" t="s">
        <v>59</v>
      </c>
      <c r="H758" t="s">
        <v>44</v>
      </c>
      <c r="I758" t="s">
        <v>2192</v>
      </c>
      <c r="J758" s="10">
        <v>1</v>
      </c>
      <c r="K758" t="b">
        <v>1</v>
      </c>
    </row>
    <row r="759" spans="1:11">
      <c r="A759" s="12">
        <v>41735</v>
      </c>
      <c r="B759">
        <v>2014</v>
      </c>
      <c r="C759">
        <v>4</v>
      </c>
      <c r="D759" s="11">
        <v>41730</v>
      </c>
      <c r="E759" t="s">
        <v>2176</v>
      </c>
      <c r="F759">
        <v>7</v>
      </c>
      <c r="G759" t="s">
        <v>59</v>
      </c>
      <c r="H759" t="s">
        <v>45</v>
      </c>
      <c r="I759" t="s">
        <v>2193</v>
      </c>
      <c r="J759" s="10">
        <v>0</v>
      </c>
      <c r="K759" t="b">
        <v>1</v>
      </c>
    </row>
    <row r="760" spans="1:11">
      <c r="A760" s="12">
        <v>41735</v>
      </c>
      <c r="B760">
        <v>2014</v>
      </c>
      <c r="C760">
        <v>4</v>
      </c>
      <c r="D760" s="11">
        <v>41730</v>
      </c>
      <c r="E760" t="s">
        <v>2176</v>
      </c>
      <c r="F760">
        <v>7</v>
      </c>
      <c r="G760" t="s">
        <v>59</v>
      </c>
      <c r="H760" t="s">
        <v>46</v>
      </c>
      <c r="I760" t="s">
        <v>2194</v>
      </c>
      <c r="J760" s="10">
        <v>0</v>
      </c>
      <c r="K760" t="b">
        <v>1</v>
      </c>
    </row>
    <row r="761" spans="1:11">
      <c r="A761" s="12">
        <v>41735</v>
      </c>
      <c r="B761">
        <v>2014</v>
      </c>
      <c r="C761">
        <v>4</v>
      </c>
      <c r="D761" s="11">
        <v>41730</v>
      </c>
      <c r="E761" t="s">
        <v>2176</v>
      </c>
      <c r="F761">
        <v>7</v>
      </c>
      <c r="G761" t="s">
        <v>59</v>
      </c>
      <c r="H761" t="s">
        <v>47</v>
      </c>
      <c r="I761" t="s">
        <v>2195</v>
      </c>
      <c r="J761" s="10">
        <v>1</v>
      </c>
      <c r="K761" t="b">
        <v>1</v>
      </c>
    </row>
    <row r="762" spans="1:11">
      <c r="A762" s="12">
        <v>41736</v>
      </c>
      <c r="B762">
        <v>2014</v>
      </c>
      <c r="C762">
        <v>4</v>
      </c>
      <c r="D762" s="11">
        <v>41730</v>
      </c>
      <c r="E762" t="s">
        <v>2176</v>
      </c>
      <c r="F762">
        <v>1</v>
      </c>
      <c r="G762" t="s">
        <v>61</v>
      </c>
      <c r="H762" t="s">
        <v>40</v>
      </c>
      <c r="I762" t="s">
        <v>2188</v>
      </c>
      <c r="J762" s="10">
        <v>6.34</v>
      </c>
      <c r="K762" t="b">
        <v>1</v>
      </c>
    </row>
    <row r="763" spans="1:11">
      <c r="A763" s="12">
        <v>41736</v>
      </c>
      <c r="B763">
        <v>2014</v>
      </c>
      <c r="C763">
        <v>4</v>
      </c>
      <c r="D763" s="11">
        <v>41730</v>
      </c>
      <c r="E763" t="s">
        <v>2176</v>
      </c>
      <c r="F763">
        <v>1</v>
      </c>
      <c r="G763" t="s">
        <v>61</v>
      </c>
      <c r="H763" t="s">
        <v>41</v>
      </c>
      <c r="I763" t="s">
        <v>2189</v>
      </c>
      <c r="J763" s="10">
        <v>6</v>
      </c>
      <c r="K763" t="b">
        <v>1</v>
      </c>
    </row>
    <row r="764" spans="1:11">
      <c r="A764" s="12">
        <v>41736</v>
      </c>
      <c r="B764">
        <v>2014</v>
      </c>
      <c r="C764">
        <v>4</v>
      </c>
      <c r="D764" s="11">
        <v>41730</v>
      </c>
      <c r="E764" t="s">
        <v>2176</v>
      </c>
      <c r="F764">
        <v>1</v>
      </c>
      <c r="G764" t="s">
        <v>61</v>
      </c>
      <c r="H764" t="s">
        <v>42</v>
      </c>
      <c r="I764" t="s">
        <v>2190</v>
      </c>
      <c r="J764" s="10">
        <v>6.5</v>
      </c>
      <c r="K764" t="b">
        <v>1</v>
      </c>
    </row>
    <row r="765" spans="1:11">
      <c r="A765" s="12">
        <v>41736</v>
      </c>
      <c r="B765">
        <v>2014</v>
      </c>
      <c r="C765">
        <v>4</v>
      </c>
      <c r="D765" s="11">
        <v>41730</v>
      </c>
      <c r="E765" t="s">
        <v>2176</v>
      </c>
      <c r="F765">
        <v>1</v>
      </c>
      <c r="G765" t="s">
        <v>61</v>
      </c>
      <c r="H765" t="s">
        <v>43</v>
      </c>
      <c r="I765" t="s">
        <v>2191</v>
      </c>
      <c r="J765" s="10">
        <v>31.5</v>
      </c>
      <c r="K765" t="b">
        <v>1</v>
      </c>
    </row>
    <row r="766" spans="1:11">
      <c r="A766" s="12">
        <v>41736</v>
      </c>
      <c r="B766">
        <v>2014</v>
      </c>
      <c r="C766">
        <v>4</v>
      </c>
      <c r="D766" s="11">
        <v>41730</v>
      </c>
      <c r="E766" t="s">
        <v>2176</v>
      </c>
      <c r="F766">
        <v>1</v>
      </c>
      <c r="G766" t="s">
        <v>61</v>
      </c>
      <c r="H766" t="s">
        <v>44</v>
      </c>
      <c r="I766" t="s">
        <v>2192</v>
      </c>
      <c r="J766" s="10">
        <v>4</v>
      </c>
      <c r="K766" t="b">
        <v>1</v>
      </c>
    </row>
    <row r="767" spans="1:11">
      <c r="A767" s="12">
        <v>41736</v>
      </c>
      <c r="B767">
        <v>2014</v>
      </c>
      <c r="C767">
        <v>4</v>
      </c>
      <c r="D767" s="11">
        <v>41730</v>
      </c>
      <c r="E767" t="s">
        <v>2176</v>
      </c>
      <c r="F767">
        <v>1</v>
      </c>
      <c r="G767" t="s">
        <v>61</v>
      </c>
      <c r="H767" t="s">
        <v>45</v>
      </c>
      <c r="I767" t="s">
        <v>2193</v>
      </c>
      <c r="J767" s="10">
        <v>0</v>
      </c>
      <c r="K767" t="b">
        <v>1</v>
      </c>
    </row>
    <row r="768" spans="1:11">
      <c r="A768" s="12">
        <v>41736</v>
      </c>
      <c r="B768">
        <v>2014</v>
      </c>
      <c r="C768">
        <v>4</v>
      </c>
      <c r="D768" s="11">
        <v>41730</v>
      </c>
      <c r="E768" t="s">
        <v>2176</v>
      </c>
      <c r="F768">
        <v>1</v>
      </c>
      <c r="G768" t="s">
        <v>61</v>
      </c>
      <c r="H768" t="s">
        <v>46</v>
      </c>
      <c r="I768" t="s">
        <v>2194</v>
      </c>
      <c r="J768" s="10">
        <v>0</v>
      </c>
      <c r="K768" t="b">
        <v>1</v>
      </c>
    </row>
    <row r="769" spans="1:11">
      <c r="A769" s="12">
        <v>41736</v>
      </c>
      <c r="B769">
        <v>2014</v>
      </c>
      <c r="C769">
        <v>4</v>
      </c>
      <c r="D769" s="11">
        <v>41730</v>
      </c>
      <c r="E769" t="s">
        <v>2176</v>
      </c>
      <c r="F769">
        <v>1</v>
      </c>
      <c r="G769" t="s">
        <v>61</v>
      </c>
      <c r="H769" t="s">
        <v>47</v>
      </c>
      <c r="I769" t="s">
        <v>2195</v>
      </c>
      <c r="J769" s="10">
        <v>1</v>
      </c>
      <c r="K769" t="b">
        <v>1</v>
      </c>
    </row>
    <row r="770" spans="1:11">
      <c r="A770" s="12">
        <v>41737</v>
      </c>
      <c r="B770">
        <v>2014</v>
      </c>
      <c r="C770">
        <v>4</v>
      </c>
      <c r="D770" s="11">
        <v>41730</v>
      </c>
      <c r="E770" t="s">
        <v>2176</v>
      </c>
      <c r="F770">
        <v>2</v>
      </c>
      <c r="G770" t="s">
        <v>63</v>
      </c>
      <c r="H770" t="s">
        <v>40</v>
      </c>
      <c r="I770" t="s">
        <v>2188</v>
      </c>
      <c r="J770" s="10">
        <v>4.34</v>
      </c>
      <c r="K770" t="b">
        <v>1</v>
      </c>
    </row>
    <row r="771" spans="1:11">
      <c r="A771" s="12">
        <v>41737</v>
      </c>
      <c r="B771">
        <v>2014</v>
      </c>
      <c r="C771">
        <v>4</v>
      </c>
      <c r="D771" s="11">
        <v>41730</v>
      </c>
      <c r="E771" t="s">
        <v>2176</v>
      </c>
      <c r="F771">
        <v>2</v>
      </c>
      <c r="G771" t="s">
        <v>63</v>
      </c>
      <c r="H771" t="s">
        <v>41</v>
      </c>
      <c r="I771" t="s">
        <v>2189</v>
      </c>
      <c r="J771" s="10">
        <v>2.34</v>
      </c>
      <c r="K771" t="b">
        <v>1</v>
      </c>
    </row>
    <row r="772" spans="1:11">
      <c r="A772" s="12">
        <v>41737</v>
      </c>
      <c r="B772">
        <v>2014</v>
      </c>
      <c r="C772">
        <v>4</v>
      </c>
      <c r="D772" s="11">
        <v>41730</v>
      </c>
      <c r="E772" t="s">
        <v>2176</v>
      </c>
      <c r="F772">
        <v>2</v>
      </c>
      <c r="G772" t="s">
        <v>63</v>
      </c>
      <c r="H772" t="s">
        <v>42</v>
      </c>
      <c r="I772" t="s">
        <v>2190</v>
      </c>
      <c r="J772" s="10">
        <v>1.7</v>
      </c>
      <c r="K772" t="b">
        <v>1</v>
      </c>
    </row>
    <row r="773" spans="1:11">
      <c r="A773" s="12">
        <v>41737</v>
      </c>
      <c r="B773">
        <v>2014</v>
      </c>
      <c r="C773">
        <v>4</v>
      </c>
      <c r="D773" s="11">
        <v>41730</v>
      </c>
      <c r="E773" t="s">
        <v>2176</v>
      </c>
      <c r="F773">
        <v>2</v>
      </c>
      <c r="G773" t="s">
        <v>63</v>
      </c>
      <c r="H773" t="s">
        <v>43</v>
      </c>
      <c r="I773" t="s">
        <v>2191</v>
      </c>
      <c r="J773" s="10">
        <v>19</v>
      </c>
      <c r="K773" t="b">
        <v>1</v>
      </c>
    </row>
    <row r="774" spans="1:11">
      <c r="A774" s="12">
        <v>41737</v>
      </c>
      <c r="B774">
        <v>2014</v>
      </c>
      <c r="C774">
        <v>4</v>
      </c>
      <c r="D774" s="11">
        <v>41730</v>
      </c>
      <c r="E774" t="s">
        <v>2176</v>
      </c>
      <c r="F774">
        <v>2</v>
      </c>
      <c r="G774" t="s">
        <v>63</v>
      </c>
      <c r="H774" t="s">
        <v>44</v>
      </c>
      <c r="I774" t="s">
        <v>2192</v>
      </c>
      <c r="J774" s="10">
        <v>6</v>
      </c>
      <c r="K774" t="b">
        <v>1</v>
      </c>
    </row>
    <row r="775" spans="1:11">
      <c r="A775" s="12">
        <v>41737</v>
      </c>
      <c r="B775">
        <v>2014</v>
      </c>
      <c r="C775">
        <v>4</v>
      </c>
      <c r="D775" s="11">
        <v>41730</v>
      </c>
      <c r="E775" t="s">
        <v>2176</v>
      </c>
      <c r="F775">
        <v>2</v>
      </c>
      <c r="G775" t="s">
        <v>63</v>
      </c>
      <c r="H775" t="s">
        <v>45</v>
      </c>
      <c r="I775" t="s">
        <v>2193</v>
      </c>
      <c r="J775" s="10">
        <v>1</v>
      </c>
      <c r="K775" t="b">
        <v>1</v>
      </c>
    </row>
    <row r="776" spans="1:11">
      <c r="A776" s="12">
        <v>41737</v>
      </c>
      <c r="B776">
        <v>2014</v>
      </c>
      <c r="C776">
        <v>4</v>
      </c>
      <c r="D776" s="11">
        <v>41730</v>
      </c>
      <c r="E776" t="s">
        <v>2176</v>
      </c>
      <c r="F776">
        <v>2</v>
      </c>
      <c r="G776" t="s">
        <v>63</v>
      </c>
      <c r="H776" t="s">
        <v>46</v>
      </c>
      <c r="I776" t="s">
        <v>2194</v>
      </c>
      <c r="J776" s="10">
        <v>0</v>
      </c>
      <c r="K776" t="b">
        <v>1</v>
      </c>
    </row>
    <row r="777" spans="1:11">
      <c r="A777" s="12">
        <v>41737</v>
      </c>
      <c r="B777">
        <v>2014</v>
      </c>
      <c r="C777">
        <v>4</v>
      </c>
      <c r="D777" s="11">
        <v>41730</v>
      </c>
      <c r="E777" t="s">
        <v>2176</v>
      </c>
      <c r="F777">
        <v>2</v>
      </c>
      <c r="G777" t="s">
        <v>63</v>
      </c>
      <c r="H777" t="s">
        <v>47</v>
      </c>
      <c r="I777" t="s">
        <v>2195</v>
      </c>
      <c r="J777" s="10">
        <v>4.7</v>
      </c>
      <c r="K777" t="b">
        <v>1</v>
      </c>
    </row>
    <row r="778" spans="1:11">
      <c r="A778" s="12">
        <v>41738</v>
      </c>
      <c r="B778">
        <v>2014</v>
      </c>
      <c r="C778">
        <v>4</v>
      </c>
      <c r="D778" s="11">
        <v>41730</v>
      </c>
      <c r="E778" t="s">
        <v>2176</v>
      </c>
      <c r="F778">
        <v>3</v>
      </c>
      <c r="G778" t="s">
        <v>65</v>
      </c>
      <c r="H778" t="s">
        <v>40</v>
      </c>
      <c r="I778" t="s">
        <v>2188</v>
      </c>
      <c r="J778" s="10">
        <v>6</v>
      </c>
      <c r="K778" t="b">
        <v>1</v>
      </c>
    </row>
    <row r="779" spans="1:11">
      <c r="A779" s="12">
        <v>41738</v>
      </c>
      <c r="B779">
        <v>2014</v>
      </c>
      <c r="C779">
        <v>4</v>
      </c>
      <c r="D779" s="11">
        <v>41730</v>
      </c>
      <c r="E779" t="s">
        <v>2176</v>
      </c>
      <c r="F779">
        <v>3</v>
      </c>
      <c r="G779" t="s">
        <v>65</v>
      </c>
      <c r="H779" t="s">
        <v>41</v>
      </c>
      <c r="I779" t="s">
        <v>2189</v>
      </c>
      <c r="J779" s="10">
        <v>1.02</v>
      </c>
      <c r="K779" t="b">
        <v>1</v>
      </c>
    </row>
    <row r="780" spans="1:11">
      <c r="A780" s="12">
        <v>41738</v>
      </c>
      <c r="B780">
        <v>2014</v>
      </c>
      <c r="C780">
        <v>4</v>
      </c>
      <c r="D780" s="11">
        <v>41730</v>
      </c>
      <c r="E780" t="s">
        <v>2176</v>
      </c>
      <c r="F780">
        <v>3</v>
      </c>
      <c r="G780" t="s">
        <v>65</v>
      </c>
      <c r="H780" t="s">
        <v>42</v>
      </c>
      <c r="I780" t="s">
        <v>2190</v>
      </c>
      <c r="J780" s="10">
        <v>1</v>
      </c>
      <c r="K780" t="b">
        <v>1</v>
      </c>
    </row>
    <row r="781" spans="1:11">
      <c r="A781" s="12">
        <v>41738</v>
      </c>
      <c r="B781">
        <v>2014</v>
      </c>
      <c r="C781">
        <v>4</v>
      </c>
      <c r="D781" s="11">
        <v>41730</v>
      </c>
      <c r="E781" t="s">
        <v>2176</v>
      </c>
      <c r="F781">
        <v>3</v>
      </c>
      <c r="G781" t="s">
        <v>65</v>
      </c>
      <c r="H781" t="s">
        <v>43</v>
      </c>
      <c r="I781" t="s">
        <v>2191</v>
      </c>
      <c r="J781" s="10">
        <v>18</v>
      </c>
      <c r="K781" t="b">
        <v>1</v>
      </c>
    </row>
    <row r="782" spans="1:11">
      <c r="A782" s="12">
        <v>41738</v>
      </c>
      <c r="B782">
        <v>2014</v>
      </c>
      <c r="C782">
        <v>4</v>
      </c>
      <c r="D782" s="11">
        <v>41730</v>
      </c>
      <c r="E782" t="s">
        <v>2176</v>
      </c>
      <c r="F782">
        <v>3</v>
      </c>
      <c r="G782" t="s">
        <v>65</v>
      </c>
      <c r="H782" t="s">
        <v>44</v>
      </c>
      <c r="I782" t="s">
        <v>2192</v>
      </c>
      <c r="J782" s="10">
        <v>2</v>
      </c>
      <c r="K782" t="b">
        <v>1</v>
      </c>
    </row>
    <row r="783" spans="1:11">
      <c r="A783" s="12">
        <v>41738</v>
      </c>
      <c r="B783">
        <v>2014</v>
      </c>
      <c r="C783">
        <v>4</v>
      </c>
      <c r="D783" s="11">
        <v>41730</v>
      </c>
      <c r="E783" t="s">
        <v>2176</v>
      </c>
      <c r="F783">
        <v>3</v>
      </c>
      <c r="G783" t="s">
        <v>65</v>
      </c>
      <c r="H783" t="s">
        <v>45</v>
      </c>
      <c r="I783" t="s">
        <v>2193</v>
      </c>
      <c r="J783" s="10">
        <v>1</v>
      </c>
      <c r="K783" t="b">
        <v>1</v>
      </c>
    </row>
    <row r="784" spans="1:11">
      <c r="A784" s="12">
        <v>41738</v>
      </c>
      <c r="B784">
        <v>2014</v>
      </c>
      <c r="C784">
        <v>4</v>
      </c>
      <c r="D784" s="11">
        <v>41730</v>
      </c>
      <c r="E784" t="s">
        <v>2176</v>
      </c>
      <c r="F784">
        <v>3</v>
      </c>
      <c r="G784" t="s">
        <v>65</v>
      </c>
      <c r="H784" t="s">
        <v>46</v>
      </c>
      <c r="I784" t="s">
        <v>2194</v>
      </c>
      <c r="J784" s="10">
        <v>2</v>
      </c>
      <c r="K784" t="b">
        <v>1</v>
      </c>
    </row>
    <row r="785" spans="1:11">
      <c r="A785" s="12">
        <v>41738</v>
      </c>
      <c r="B785">
        <v>2014</v>
      </c>
      <c r="C785">
        <v>4</v>
      </c>
      <c r="D785" s="11">
        <v>41730</v>
      </c>
      <c r="E785" t="s">
        <v>2176</v>
      </c>
      <c r="F785">
        <v>3</v>
      </c>
      <c r="G785" t="s">
        <v>65</v>
      </c>
      <c r="H785" t="s">
        <v>47</v>
      </c>
      <c r="I785" t="s">
        <v>2195</v>
      </c>
      <c r="J785" s="10">
        <v>2.6</v>
      </c>
      <c r="K785" t="b">
        <v>1</v>
      </c>
    </row>
    <row r="786" spans="1:11">
      <c r="A786" s="12">
        <v>41739</v>
      </c>
      <c r="B786">
        <v>2014</v>
      </c>
      <c r="C786">
        <v>4</v>
      </c>
      <c r="D786" s="11">
        <v>41730</v>
      </c>
      <c r="E786" t="s">
        <v>2176</v>
      </c>
      <c r="F786">
        <v>4</v>
      </c>
      <c r="G786" t="s">
        <v>53</v>
      </c>
      <c r="H786" t="s">
        <v>40</v>
      </c>
      <c r="I786" t="s">
        <v>2188</v>
      </c>
      <c r="J786" s="10">
        <v>3.33</v>
      </c>
      <c r="K786" t="b">
        <v>1</v>
      </c>
    </row>
    <row r="787" spans="1:11">
      <c r="A787" s="12">
        <v>41739</v>
      </c>
      <c r="B787">
        <v>2014</v>
      </c>
      <c r="C787">
        <v>4</v>
      </c>
      <c r="D787" s="11">
        <v>41730</v>
      </c>
      <c r="E787" t="s">
        <v>2176</v>
      </c>
      <c r="F787">
        <v>4</v>
      </c>
      <c r="G787" t="s">
        <v>53</v>
      </c>
      <c r="H787" t="s">
        <v>41</v>
      </c>
      <c r="I787" t="s">
        <v>2189</v>
      </c>
      <c r="J787" s="10">
        <v>1.68</v>
      </c>
      <c r="K787" t="b">
        <v>1</v>
      </c>
    </row>
    <row r="788" spans="1:11">
      <c r="A788" s="12">
        <v>41739</v>
      </c>
      <c r="B788">
        <v>2014</v>
      </c>
      <c r="C788">
        <v>4</v>
      </c>
      <c r="D788" s="11">
        <v>41730</v>
      </c>
      <c r="E788" t="s">
        <v>2176</v>
      </c>
      <c r="F788">
        <v>4</v>
      </c>
      <c r="G788" t="s">
        <v>53</v>
      </c>
      <c r="H788" t="s">
        <v>42</v>
      </c>
      <c r="I788" t="s">
        <v>2190</v>
      </c>
      <c r="J788" s="10">
        <v>1</v>
      </c>
      <c r="K788" t="b">
        <v>1</v>
      </c>
    </row>
    <row r="789" spans="1:11">
      <c r="A789" s="12">
        <v>41739</v>
      </c>
      <c r="B789">
        <v>2014</v>
      </c>
      <c r="C789">
        <v>4</v>
      </c>
      <c r="D789" s="11">
        <v>41730</v>
      </c>
      <c r="E789" t="s">
        <v>2176</v>
      </c>
      <c r="F789">
        <v>4</v>
      </c>
      <c r="G789" t="s">
        <v>53</v>
      </c>
      <c r="H789" t="s">
        <v>43</v>
      </c>
      <c r="I789" t="s">
        <v>2191</v>
      </c>
      <c r="J789" s="10">
        <v>18</v>
      </c>
      <c r="K789" t="b">
        <v>1</v>
      </c>
    </row>
    <row r="790" spans="1:11">
      <c r="A790" s="12">
        <v>41739</v>
      </c>
      <c r="B790">
        <v>2014</v>
      </c>
      <c r="C790">
        <v>4</v>
      </c>
      <c r="D790" s="11">
        <v>41730</v>
      </c>
      <c r="E790" t="s">
        <v>2176</v>
      </c>
      <c r="F790">
        <v>4</v>
      </c>
      <c r="G790" t="s">
        <v>53</v>
      </c>
      <c r="H790" t="s">
        <v>44</v>
      </c>
      <c r="I790" t="s">
        <v>2192</v>
      </c>
      <c r="J790" s="10">
        <v>10</v>
      </c>
      <c r="K790" t="b">
        <v>1</v>
      </c>
    </row>
    <row r="791" spans="1:11">
      <c r="A791" s="12">
        <v>41739</v>
      </c>
      <c r="B791">
        <v>2014</v>
      </c>
      <c r="C791">
        <v>4</v>
      </c>
      <c r="D791" s="11">
        <v>41730</v>
      </c>
      <c r="E791" t="s">
        <v>2176</v>
      </c>
      <c r="F791">
        <v>4</v>
      </c>
      <c r="G791" t="s">
        <v>53</v>
      </c>
      <c r="H791" t="s">
        <v>45</v>
      </c>
      <c r="I791" t="s">
        <v>2193</v>
      </c>
      <c r="J791" s="10">
        <v>0</v>
      </c>
      <c r="K791" t="b">
        <v>1</v>
      </c>
    </row>
    <row r="792" spans="1:11">
      <c r="A792" s="12">
        <v>41739</v>
      </c>
      <c r="B792">
        <v>2014</v>
      </c>
      <c r="C792">
        <v>4</v>
      </c>
      <c r="D792" s="11">
        <v>41730</v>
      </c>
      <c r="E792" t="s">
        <v>2176</v>
      </c>
      <c r="F792">
        <v>4</v>
      </c>
      <c r="G792" t="s">
        <v>53</v>
      </c>
      <c r="H792" t="s">
        <v>46</v>
      </c>
      <c r="I792" t="s">
        <v>2194</v>
      </c>
      <c r="J792" s="10">
        <v>4</v>
      </c>
      <c r="K792" t="b">
        <v>1</v>
      </c>
    </row>
    <row r="793" spans="1:11">
      <c r="A793" s="12">
        <v>41739</v>
      </c>
      <c r="B793">
        <v>2014</v>
      </c>
      <c r="C793">
        <v>4</v>
      </c>
      <c r="D793" s="11">
        <v>41730</v>
      </c>
      <c r="E793" t="s">
        <v>2176</v>
      </c>
      <c r="F793">
        <v>4</v>
      </c>
      <c r="G793" t="s">
        <v>53</v>
      </c>
      <c r="H793" t="s">
        <v>47</v>
      </c>
      <c r="I793" t="s">
        <v>2195</v>
      </c>
      <c r="J793" s="10">
        <v>4</v>
      </c>
      <c r="K793" t="b">
        <v>1</v>
      </c>
    </row>
    <row r="794" spans="1:11">
      <c r="A794" s="12">
        <v>41740</v>
      </c>
      <c r="B794">
        <v>2014</v>
      </c>
      <c r="C794">
        <v>4</v>
      </c>
      <c r="D794" s="11">
        <v>41730</v>
      </c>
      <c r="E794" t="s">
        <v>2176</v>
      </c>
      <c r="F794">
        <v>5</v>
      </c>
      <c r="G794" t="s">
        <v>55</v>
      </c>
      <c r="H794" t="s">
        <v>40</v>
      </c>
      <c r="I794" t="s">
        <v>2188</v>
      </c>
      <c r="J794" s="10">
        <v>6</v>
      </c>
      <c r="K794" t="b">
        <v>1</v>
      </c>
    </row>
    <row r="795" spans="1:11">
      <c r="A795" s="12">
        <v>41740</v>
      </c>
      <c r="B795">
        <v>2014</v>
      </c>
      <c r="C795">
        <v>4</v>
      </c>
      <c r="D795" s="11">
        <v>41730</v>
      </c>
      <c r="E795" t="s">
        <v>2176</v>
      </c>
      <c r="F795">
        <v>5</v>
      </c>
      <c r="G795" t="s">
        <v>55</v>
      </c>
      <c r="H795" t="s">
        <v>41</v>
      </c>
      <c r="I795" t="s">
        <v>2189</v>
      </c>
      <c r="J795" s="10">
        <v>4</v>
      </c>
      <c r="K795" t="b">
        <v>1</v>
      </c>
    </row>
    <row r="796" spans="1:11">
      <c r="A796" s="12">
        <v>41740</v>
      </c>
      <c r="B796">
        <v>2014</v>
      </c>
      <c r="C796">
        <v>4</v>
      </c>
      <c r="D796" s="11">
        <v>41730</v>
      </c>
      <c r="E796" t="s">
        <v>2176</v>
      </c>
      <c r="F796">
        <v>5</v>
      </c>
      <c r="G796" t="s">
        <v>55</v>
      </c>
      <c r="H796" t="s">
        <v>42</v>
      </c>
      <c r="I796" t="s">
        <v>2190</v>
      </c>
      <c r="J796" s="10">
        <v>3</v>
      </c>
      <c r="K796" t="b">
        <v>1</v>
      </c>
    </row>
    <row r="797" spans="1:11">
      <c r="A797" s="12">
        <v>41740</v>
      </c>
      <c r="B797">
        <v>2014</v>
      </c>
      <c r="C797">
        <v>4</v>
      </c>
      <c r="D797" s="11">
        <v>41730</v>
      </c>
      <c r="E797" t="s">
        <v>2176</v>
      </c>
      <c r="F797">
        <v>5</v>
      </c>
      <c r="G797" t="s">
        <v>55</v>
      </c>
      <c r="H797" t="s">
        <v>43</v>
      </c>
      <c r="I797" t="s">
        <v>2191</v>
      </c>
      <c r="J797" s="10">
        <v>25</v>
      </c>
      <c r="K797" t="b">
        <v>1</v>
      </c>
    </row>
    <row r="798" spans="1:11">
      <c r="A798" s="12">
        <v>41740</v>
      </c>
      <c r="B798">
        <v>2014</v>
      </c>
      <c r="C798">
        <v>4</v>
      </c>
      <c r="D798" s="11">
        <v>41730</v>
      </c>
      <c r="E798" t="s">
        <v>2176</v>
      </c>
      <c r="F798">
        <v>5</v>
      </c>
      <c r="G798" t="s">
        <v>55</v>
      </c>
      <c r="H798" t="s">
        <v>44</v>
      </c>
      <c r="I798" t="s">
        <v>2192</v>
      </c>
      <c r="J798" s="10">
        <v>2</v>
      </c>
      <c r="K798" t="b">
        <v>1</v>
      </c>
    </row>
    <row r="799" spans="1:11">
      <c r="A799" s="12">
        <v>41740</v>
      </c>
      <c r="B799">
        <v>2014</v>
      </c>
      <c r="C799">
        <v>4</v>
      </c>
      <c r="D799" s="11">
        <v>41730</v>
      </c>
      <c r="E799" t="s">
        <v>2176</v>
      </c>
      <c r="F799">
        <v>5</v>
      </c>
      <c r="G799" t="s">
        <v>55</v>
      </c>
      <c r="H799" t="s">
        <v>45</v>
      </c>
      <c r="I799" t="s">
        <v>2193</v>
      </c>
      <c r="J799" s="10">
        <v>2</v>
      </c>
      <c r="K799" t="b">
        <v>1</v>
      </c>
    </row>
    <row r="800" spans="1:11">
      <c r="A800" s="12">
        <v>41740</v>
      </c>
      <c r="B800">
        <v>2014</v>
      </c>
      <c r="C800">
        <v>4</v>
      </c>
      <c r="D800" s="11">
        <v>41730</v>
      </c>
      <c r="E800" t="s">
        <v>2176</v>
      </c>
      <c r="F800">
        <v>5</v>
      </c>
      <c r="G800" t="s">
        <v>55</v>
      </c>
      <c r="H800" t="s">
        <v>46</v>
      </c>
      <c r="I800" t="s">
        <v>2194</v>
      </c>
      <c r="J800" s="10">
        <v>0</v>
      </c>
      <c r="K800" t="b">
        <v>1</v>
      </c>
    </row>
    <row r="801" spans="1:11">
      <c r="A801" s="12">
        <v>41740</v>
      </c>
      <c r="B801">
        <v>2014</v>
      </c>
      <c r="C801">
        <v>4</v>
      </c>
      <c r="D801" s="11">
        <v>41730</v>
      </c>
      <c r="E801" t="s">
        <v>2176</v>
      </c>
      <c r="F801">
        <v>5</v>
      </c>
      <c r="G801" t="s">
        <v>55</v>
      </c>
      <c r="H801" t="s">
        <v>47</v>
      </c>
      <c r="I801" t="s">
        <v>2195</v>
      </c>
      <c r="J801" s="10">
        <v>2</v>
      </c>
      <c r="K801" t="b">
        <v>1</v>
      </c>
    </row>
    <row r="802" spans="1:11">
      <c r="A802" s="12">
        <v>41741</v>
      </c>
      <c r="B802">
        <v>2014</v>
      </c>
      <c r="C802">
        <v>4</v>
      </c>
      <c r="D802" s="11">
        <v>41730</v>
      </c>
      <c r="E802" t="s">
        <v>2176</v>
      </c>
      <c r="F802">
        <v>6</v>
      </c>
      <c r="G802" t="s">
        <v>57</v>
      </c>
      <c r="H802" t="s">
        <v>40</v>
      </c>
      <c r="I802" t="s">
        <v>2188</v>
      </c>
      <c r="J802" s="10">
        <v>7.02</v>
      </c>
      <c r="K802" t="b">
        <v>1</v>
      </c>
    </row>
    <row r="803" spans="1:11">
      <c r="A803" s="12">
        <v>41741</v>
      </c>
      <c r="B803">
        <v>2014</v>
      </c>
      <c r="C803">
        <v>4</v>
      </c>
      <c r="D803" s="11">
        <v>41730</v>
      </c>
      <c r="E803" t="s">
        <v>2176</v>
      </c>
      <c r="F803">
        <v>6</v>
      </c>
      <c r="G803" t="s">
        <v>57</v>
      </c>
      <c r="H803" t="s">
        <v>41</v>
      </c>
      <c r="I803" t="s">
        <v>2189</v>
      </c>
      <c r="J803" s="10">
        <v>3.34</v>
      </c>
      <c r="K803" t="b">
        <v>1</v>
      </c>
    </row>
    <row r="804" spans="1:11">
      <c r="A804" s="12">
        <v>41741</v>
      </c>
      <c r="B804">
        <v>2014</v>
      </c>
      <c r="C804">
        <v>4</v>
      </c>
      <c r="D804" s="11">
        <v>41730</v>
      </c>
      <c r="E804" t="s">
        <v>2176</v>
      </c>
      <c r="F804">
        <v>6</v>
      </c>
      <c r="G804" t="s">
        <v>57</v>
      </c>
      <c r="H804" t="s">
        <v>42</v>
      </c>
      <c r="I804" t="s">
        <v>2190</v>
      </c>
      <c r="J804" s="10">
        <v>6</v>
      </c>
      <c r="K804" t="b">
        <v>1</v>
      </c>
    </row>
    <row r="805" spans="1:11">
      <c r="A805" s="12">
        <v>41741</v>
      </c>
      <c r="B805">
        <v>2014</v>
      </c>
      <c r="C805">
        <v>4</v>
      </c>
      <c r="D805" s="11">
        <v>41730</v>
      </c>
      <c r="E805" t="s">
        <v>2176</v>
      </c>
      <c r="F805">
        <v>6</v>
      </c>
      <c r="G805" t="s">
        <v>57</v>
      </c>
      <c r="H805" t="s">
        <v>43</v>
      </c>
      <c r="I805" t="s">
        <v>2191</v>
      </c>
      <c r="J805" s="10">
        <v>23.5</v>
      </c>
      <c r="K805" t="b">
        <v>1</v>
      </c>
    </row>
    <row r="806" spans="1:11">
      <c r="A806" s="12">
        <v>41741</v>
      </c>
      <c r="B806">
        <v>2014</v>
      </c>
      <c r="C806">
        <v>4</v>
      </c>
      <c r="D806" s="11">
        <v>41730</v>
      </c>
      <c r="E806" t="s">
        <v>2176</v>
      </c>
      <c r="F806">
        <v>6</v>
      </c>
      <c r="G806" t="s">
        <v>57</v>
      </c>
      <c r="H806" t="s">
        <v>44</v>
      </c>
      <c r="I806" t="s">
        <v>2192</v>
      </c>
      <c r="J806" s="10">
        <v>19</v>
      </c>
      <c r="K806" t="b">
        <v>1</v>
      </c>
    </row>
    <row r="807" spans="1:11">
      <c r="A807" s="12">
        <v>41741</v>
      </c>
      <c r="B807">
        <v>2014</v>
      </c>
      <c r="C807">
        <v>4</v>
      </c>
      <c r="D807" s="11">
        <v>41730</v>
      </c>
      <c r="E807" t="s">
        <v>2176</v>
      </c>
      <c r="F807">
        <v>6</v>
      </c>
      <c r="G807" t="s">
        <v>57</v>
      </c>
      <c r="H807" t="s">
        <v>45</v>
      </c>
      <c r="I807" t="s">
        <v>2193</v>
      </c>
      <c r="J807" s="10">
        <v>0</v>
      </c>
      <c r="K807" t="b">
        <v>1</v>
      </c>
    </row>
    <row r="808" spans="1:11">
      <c r="A808" s="12">
        <v>41741</v>
      </c>
      <c r="B808">
        <v>2014</v>
      </c>
      <c r="C808">
        <v>4</v>
      </c>
      <c r="D808" s="11">
        <v>41730</v>
      </c>
      <c r="E808" t="s">
        <v>2176</v>
      </c>
      <c r="F808">
        <v>6</v>
      </c>
      <c r="G808" t="s">
        <v>57</v>
      </c>
      <c r="H808" t="s">
        <v>46</v>
      </c>
      <c r="I808" t="s">
        <v>2194</v>
      </c>
      <c r="J808" s="10">
        <v>11</v>
      </c>
      <c r="K808" t="b">
        <v>1</v>
      </c>
    </row>
    <row r="809" spans="1:11">
      <c r="A809" s="12">
        <v>41741</v>
      </c>
      <c r="B809">
        <v>2014</v>
      </c>
      <c r="C809">
        <v>4</v>
      </c>
      <c r="D809" s="11">
        <v>41730</v>
      </c>
      <c r="E809" t="s">
        <v>2176</v>
      </c>
      <c r="F809">
        <v>6</v>
      </c>
      <c r="G809" t="s">
        <v>57</v>
      </c>
      <c r="H809" t="s">
        <v>47</v>
      </c>
      <c r="I809" t="s">
        <v>2195</v>
      </c>
      <c r="J809" s="10">
        <v>4</v>
      </c>
      <c r="K809" t="b">
        <v>1</v>
      </c>
    </row>
    <row r="810" spans="1:11">
      <c r="A810" s="12">
        <v>41742</v>
      </c>
      <c r="B810">
        <v>2014</v>
      </c>
      <c r="C810">
        <v>4</v>
      </c>
      <c r="D810" s="11">
        <v>41730</v>
      </c>
      <c r="E810" t="s">
        <v>2176</v>
      </c>
      <c r="F810">
        <v>7</v>
      </c>
      <c r="G810" t="s">
        <v>59</v>
      </c>
      <c r="H810" t="s">
        <v>40</v>
      </c>
      <c r="I810" t="s">
        <v>2188</v>
      </c>
      <c r="J810" s="10">
        <v>3</v>
      </c>
      <c r="K810" t="b">
        <v>1</v>
      </c>
    </row>
    <row r="811" spans="1:11">
      <c r="A811" s="12">
        <v>41742</v>
      </c>
      <c r="B811">
        <v>2014</v>
      </c>
      <c r="C811">
        <v>4</v>
      </c>
      <c r="D811" s="11">
        <v>41730</v>
      </c>
      <c r="E811" t="s">
        <v>2176</v>
      </c>
      <c r="F811">
        <v>7</v>
      </c>
      <c r="G811" t="s">
        <v>59</v>
      </c>
      <c r="H811" t="s">
        <v>41</v>
      </c>
      <c r="I811" t="s">
        <v>2189</v>
      </c>
      <c r="J811" s="10">
        <v>2</v>
      </c>
      <c r="K811" t="b">
        <v>1</v>
      </c>
    </row>
    <row r="812" spans="1:11">
      <c r="A812" s="12">
        <v>41742</v>
      </c>
      <c r="B812">
        <v>2014</v>
      </c>
      <c r="C812">
        <v>4</v>
      </c>
      <c r="D812" s="11">
        <v>41730</v>
      </c>
      <c r="E812" t="s">
        <v>2176</v>
      </c>
      <c r="F812">
        <v>7</v>
      </c>
      <c r="G812" t="s">
        <v>59</v>
      </c>
      <c r="H812" t="s">
        <v>42</v>
      </c>
      <c r="I812" t="s">
        <v>2190</v>
      </c>
      <c r="J812" s="10">
        <v>2</v>
      </c>
      <c r="K812" t="b">
        <v>1</v>
      </c>
    </row>
    <row r="813" spans="1:11">
      <c r="A813" s="12">
        <v>41742</v>
      </c>
      <c r="B813">
        <v>2014</v>
      </c>
      <c r="C813">
        <v>4</v>
      </c>
      <c r="D813" s="11">
        <v>41730</v>
      </c>
      <c r="E813" t="s">
        <v>2176</v>
      </c>
      <c r="F813">
        <v>7</v>
      </c>
      <c r="G813" t="s">
        <v>59</v>
      </c>
      <c r="H813" t="s">
        <v>43</v>
      </c>
      <c r="I813" t="s">
        <v>2191</v>
      </c>
      <c r="J813" s="10">
        <v>6</v>
      </c>
      <c r="K813" t="b">
        <v>1</v>
      </c>
    </row>
    <row r="814" spans="1:11">
      <c r="A814" s="12">
        <v>41742</v>
      </c>
      <c r="B814">
        <v>2014</v>
      </c>
      <c r="C814">
        <v>4</v>
      </c>
      <c r="D814" s="11">
        <v>41730</v>
      </c>
      <c r="E814" t="s">
        <v>2176</v>
      </c>
      <c r="F814">
        <v>7</v>
      </c>
      <c r="G814" t="s">
        <v>59</v>
      </c>
      <c r="H814" t="s">
        <v>44</v>
      </c>
      <c r="I814" t="s">
        <v>2192</v>
      </c>
      <c r="J814" s="10">
        <v>3</v>
      </c>
      <c r="K814" t="b">
        <v>1</v>
      </c>
    </row>
    <row r="815" spans="1:11">
      <c r="A815" s="12">
        <v>41742</v>
      </c>
      <c r="B815">
        <v>2014</v>
      </c>
      <c r="C815">
        <v>4</v>
      </c>
      <c r="D815" s="11">
        <v>41730</v>
      </c>
      <c r="E815" t="s">
        <v>2176</v>
      </c>
      <c r="F815">
        <v>7</v>
      </c>
      <c r="G815" t="s">
        <v>59</v>
      </c>
      <c r="H815" t="s">
        <v>45</v>
      </c>
      <c r="I815" t="s">
        <v>2193</v>
      </c>
      <c r="J815" s="10">
        <v>0</v>
      </c>
      <c r="K815" t="b">
        <v>1</v>
      </c>
    </row>
    <row r="816" spans="1:11">
      <c r="A816" s="12">
        <v>41742</v>
      </c>
      <c r="B816">
        <v>2014</v>
      </c>
      <c r="C816">
        <v>4</v>
      </c>
      <c r="D816" s="11">
        <v>41730</v>
      </c>
      <c r="E816" t="s">
        <v>2176</v>
      </c>
      <c r="F816">
        <v>7</v>
      </c>
      <c r="G816" t="s">
        <v>59</v>
      </c>
      <c r="H816" t="s">
        <v>46</v>
      </c>
      <c r="I816" t="s">
        <v>2194</v>
      </c>
      <c r="J816" s="10">
        <v>5</v>
      </c>
      <c r="K816" t="b">
        <v>1</v>
      </c>
    </row>
    <row r="817" spans="1:11">
      <c r="A817" s="12">
        <v>41742</v>
      </c>
      <c r="B817">
        <v>2014</v>
      </c>
      <c r="C817">
        <v>4</v>
      </c>
      <c r="D817" s="11">
        <v>41730</v>
      </c>
      <c r="E817" t="s">
        <v>2176</v>
      </c>
      <c r="F817">
        <v>7</v>
      </c>
      <c r="G817" t="s">
        <v>59</v>
      </c>
      <c r="H817" t="s">
        <v>47</v>
      </c>
      <c r="I817" t="s">
        <v>2195</v>
      </c>
      <c r="J817" s="10">
        <v>2</v>
      </c>
      <c r="K817" t="b">
        <v>1</v>
      </c>
    </row>
    <row r="818" spans="1:11">
      <c r="A818" s="12">
        <v>41743</v>
      </c>
      <c r="B818">
        <v>2014</v>
      </c>
      <c r="C818">
        <v>4</v>
      </c>
      <c r="D818" s="11">
        <v>41730</v>
      </c>
      <c r="E818" t="s">
        <v>2176</v>
      </c>
      <c r="F818">
        <v>1</v>
      </c>
      <c r="G818" t="s">
        <v>61</v>
      </c>
      <c r="H818" t="s">
        <v>40</v>
      </c>
      <c r="I818" t="s">
        <v>2188</v>
      </c>
      <c r="J818" s="10">
        <v>1.34</v>
      </c>
      <c r="K818" t="b">
        <v>1</v>
      </c>
    </row>
    <row r="819" spans="1:11">
      <c r="A819" s="12">
        <v>41743</v>
      </c>
      <c r="B819">
        <v>2014</v>
      </c>
      <c r="C819">
        <v>4</v>
      </c>
      <c r="D819" s="11">
        <v>41730</v>
      </c>
      <c r="E819" t="s">
        <v>2176</v>
      </c>
      <c r="F819">
        <v>1</v>
      </c>
      <c r="G819" t="s">
        <v>61</v>
      </c>
      <c r="H819" t="s">
        <v>41</v>
      </c>
      <c r="I819" t="s">
        <v>2189</v>
      </c>
      <c r="J819" s="10">
        <v>4.68</v>
      </c>
      <c r="K819" t="b">
        <v>1</v>
      </c>
    </row>
    <row r="820" spans="1:11">
      <c r="A820" s="12">
        <v>41743</v>
      </c>
      <c r="B820">
        <v>2014</v>
      </c>
      <c r="C820">
        <v>4</v>
      </c>
      <c r="D820" s="11">
        <v>41730</v>
      </c>
      <c r="E820" t="s">
        <v>2176</v>
      </c>
      <c r="F820">
        <v>1</v>
      </c>
      <c r="G820" t="s">
        <v>61</v>
      </c>
      <c r="H820" t="s">
        <v>42</v>
      </c>
      <c r="I820" t="s">
        <v>2190</v>
      </c>
      <c r="J820" s="10">
        <v>5.35</v>
      </c>
      <c r="K820" t="b">
        <v>1</v>
      </c>
    </row>
    <row r="821" spans="1:11">
      <c r="A821" s="12">
        <v>41743</v>
      </c>
      <c r="B821">
        <v>2014</v>
      </c>
      <c r="C821">
        <v>4</v>
      </c>
      <c r="D821" s="11">
        <v>41730</v>
      </c>
      <c r="E821" t="s">
        <v>2176</v>
      </c>
      <c r="F821">
        <v>1</v>
      </c>
      <c r="G821" t="s">
        <v>61</v>
      </c>
      <c r="H821" t="s">
        <v>43</v>
      </c>
      <c r="I821" t="s">
        <v>2191</v>
      </c>
      <c r="J821" s="10">
        <v>28.28</v>
      </c>
      <c r="K821" t="b">
        <v>1</v>
      </c>
    </row>
    <row r="822" spans="1:11">
      <c r="A822" s="12">
        <v>41743</v>
      </c>
      <c r="B822">
        <v>2014</v>
      </c>
      <c r="C822">
        <v>4</v>
      </c>
      <c r="D822" s="11">
        <v>41730</v>
      </c>
      <c r="E822" t="s">
        <v>2176</v>
      </c>
      <c r="F822">
        <v>1</v>
      </c>
      <c r="G822" t="s">
        <v>61</v>
      </c>
      <c r="H822" t="s">
        <v>44</v>
      </c>
      <c r="I822" t="s">
        <v>2192</v>
      </c>
      <c r="J822" s="10">
        <v>10</v>
      </c>
      <c r="K822" t="b">
        <v>1</v>
      </c>
    </row>
    <row r="823" spans="1:11">
      <c r="A823" s="12">
        <v>41743</v>
      </c>
      <c r="B823">
        <v>2014</v>
      </c>
      <c r="C823">
        <v>4</v>
      </c>
      <c r="D823" s="11">
        <v>41730</v>
      </c>
      <c r="E823" t="s">
        <v>2176</v>
      </c>
      <c r="F823">
        <v>1</v>
      </c>
      <c r="G823" t="s">
        <v>61</v>
      </c>
      <c r="H823" t="s">
        <v>45</v>
      </c>
      <c r="I823" t="s">
        <v>2193</v>
      </c>
      <c r="J823" s="10">
        <v>0</v>
      </c>
      <c r="K823" t="b">
        <v>1</v>
      </c>
    </row>
    <row r="824" spans="1:11">
      <c r="A824" s="12">
        <v>41743</v>
      </c>
      <c r="B824">
        <v>2014</v>
      </c>
      <c r="C824">
        <v>4</v>
      </c>
      <c r="D824" s="11">
        <v>41730</v>
      </c>
      <c r="E824" t="s">
        <v>2176</v>
      </c>
      <c r="F824">
        <v>1</v>
      </c>
      <c r="G824" t="s">
        <v>61</v>
      </c>
      <c r="H824" t="s">
        <v>46</v>
      </c>
      <c r="I824" t="s">
        <v>2194</v>
      </c>
      <c r="J824" s="10">
        <v>5</v>
      </c>
      <c r="K824" t="b">
        <v>1</v>
      </c>
    </row>
    <row r="825" spans="1:11">
      <c r="A825" s="12">
        <v>41743</v>
      </c>
      <c r="B825">
        <v>2014</v>
      </c>
      <c r="C825">
        <v>4</v>
      </c>
      <c r="D825" s="11">
        <v>41730</v>
      </c>
      <c r="E825" t="s">
        <v>2176</v>
      </c>
      <c r="F825">
        <v>1</v>
      </c>
      <c r="G825" t="s">
        <v>61</v>
      </c>
      <c r="H825" t="s">
        <v>47</v>
      </c>
      <c r="I825" t="s">
        <v>2195</v>
      </c>
      <c r="J825" s="10">
        <v>5</v>
      </c>
      <c r="K825" t="b">
        <v>1</v>
      </c>
    </row>
    <row r="826" spans="1:11">
      <c r="A826" s="12">
        <v>41744</v>
      </c>
      <c r="B826">
        <v>2014</v>
      </c>
      <c r="C826">
        <v>4</v>
      </c>
      <c r="D826" s="11">
        <v>41730</v>
      </c>
      <c r="E826" t="s">
        <v>2176</v>
      </c>
      <c r="F826">
        <v>2</v>
      </c>
      <c r="G826" t="s">
        <v>63</v>
      </c>
      <c r="H826" t="s">
        <v>40</v>
      </c>
      <c r="I826" t="s">
        <v>2188</v>
      </c>
      <c r="J826" s="10">
        <v>4.34</v>
      </c>
      <c r="K826" t="b">
        <v>1</v>
      </c>
    </row>
    <row r="827" spans="1:11">
      <c r="A827" s="12">
        <v>41744</v>
      </c>
      <c r="B827">
        <v>2014</v>
      </c>
      <c r="C827">
        <v>4</v>
      </c>
      <c r="D827" s="11">
        <v>41730</v>
      </c>
      <c r="E827" t="s">
        <v>2176</v>
      </c>
      <c r="F827">
        <v>2</v>
      </c>
      <c r="G827" t="s">
        <v>63</v>
      </c>
      <c r="H827" t="s">
        <v>41</v>
      </c>
      <c r="I827" t="s">
        <v>2189</v>
      </c>
      <c r="J827" s="10">
        <v>3</v>
      </c>
      <c r="K827" t="b">
        <v>1</v>
      </c>
    </row>
    <row r="828" spans="1:11">
      <c r="A828" s="12">
        <v>41744</v>
      </c>
      <c r="B828">
        <v>2014</v>
      </c>
      <c r="C828">
        <v>4</v>
      </c>
      <c r="D828" s="11">
        <v>41730</v>
      </c>
      <c r="E828" t="s">
        <v>2176</v>
      </c>
      <c r="F828">
        <v>2</v>
      </c>
      <c r="G828" t="s">
        <v>63</v>
      </c>
      <c r="H828" t="s">
        <v>42</v>
      </c>
      <c r="I828" t="s">
        <v>2190</v>
      </c>
      <c r="J828" s="10">
        <v>6.4</v>
      </c>
      <c r="K828" t="b">
        <v>1</v>
      </c>
    </row>
    <row r="829" spans="1:11">
      <c r="A829" s="12">
        <v>41744</v>
      </c>
      <c r="B829">
        <v>2014</v>
      </c>
      <c r="C829">
        <v>4</v>
      </c>
      <c r="D829" s="11">
        <v>41730</v>
      </c>
      <c r="E829" t="s">
        <v>2176</v>
      </c>
      <c r="F829">
        <v>2</v>
      </c>
      <c r="G829" t="s">
        <v>63</v>
      </c>
      <c r="H829" t="s">
        <v>43</v>
      </c>
      <c r="I829" t="s">
        <v>2191</v>
      </c>
      <c r="J829" s="10">
        <v>18.7</v>
      </c>
      <c r="K829" t="b">
        <v>1</v>
      </c>
    </row>
    <row r="830" spans="1:11">
      <c r="A830" s="12">
        <v>41744</v>
      </c>
      <c r="B830">
        <v>2014</v>
      </c>
      <c r="C830">
        <v>4</v>
      </c>
      <c r="D830" s="11">
        <v>41730</v>
      </c>
      <c r="E830" t="s">
        <v>2176</v>
      </c>
      <c r="F830">
        <v>2</v>
      </c>
      <c r="G830" t="s">
        <v>63</v>
      </c>
      <c r="H830" t="s">
        <v>44</v>
      </c>
      <c r="I830" t="s">
        <v>2192</v>
      </c>
      <c r="J830" s="10">
        <v>12</v>
      </c>
      <c r="K830" t="b">
        <v>1</v>
      </c>
    </row>
    <row r="831" spans="1:11">
      <c r="A831" s="12">
        <v>41744</v>
      </c>
      <c r="B831">
        <v>2014</v>
      </c>
      <c r="C831">
        <v>4</v>
      </c>
      <c r="D831" s="11">
        <v>41730</v>
      </c>
      <c r="E831" t="s">
        <v>2176</v>
      </c>
      <c r="F831">
        <v>2</v>
      </c>
      <c r="G831" t="s">
        <v>63</v>
      </c>
      <c r="H831" t="s">
        <v>45</v>
      </c>
      <c r="I831" t="s">
        <v>2193</v>
      </c>
      <c r="J831" s="10">
        <v>0</v>
      </c>
      <c r="K831" t="b">
        <v>1</v>
      </c>
    </row>
    <row r="832" spans="1:11">
      <c r="A832" s="12">
        <v>41744</v>
      </c>
      <c r="B832">
        <v>2014</v>
      </c>
      <c r="C832">
        <v>4</v>
      </c>
      <c r="D832" s="11">
        <v>41730</v>
      </c>
      <c r="E832" t="s">
        <v>2176</v>
      </c>
      <c r="F832">
        <v>2</v>
      </c>
      <c r="G832" t="s">
        <v>63</v>
      </c>
      <c r="H832" t="s">
        <v>46</v>
      </c>
      <c r="I832" t="s">
        <v>2194</v>
      </c>
      <c r="J832" s="10">
        <v>10</v>
      </c>
      <c r="K832" t="b">
        <v>1</v>
      </c>
    </row>
    <row r="833" spans="1:11">
      <c r="A833" s="12">
        <v>41744</v>
      </c>
      <c r="B833">
        <v>2014</v>
      </c>
      <c r="C833">
        <v>4</v>
      </c>
      <c r="D833" s="11">
        <v>41730</v>
      </c>
      <c r="E833" t="s">
        <v>2176</v>
      </c>
      <c r="F833">
        <v>2</v>
      </c>
      <c r="G833" t="s">
        <v>63</v>
      </c>
      <c r="H833" t="s">
        <v>47</v>
      </c>
      <c r="I833" t="s">
        <v>2195</v>
      </c>
      <c r="J833" s="10">
        <v>1</v>
      </c>
      <c r="K833" t="b">
        <v>1</v>
      </c>
    </row>
    <row r="834" spans="1:11">
      <c r="A834" s="12">
        <v>41745</v>
      </c>
      <c r="B834">
        <v>2014</v>
      </c>
      <c r="C834">
        <v>4</v>
      </c>
      <c r="D834" s="11">
        <v>41730</v>
      </c>
      <c r="E834" t="s">
        <v>2176</v>
      </c>
      <c r="F834">
        <v>3</v>
      </c>
      <c r="G834" t="s">
        <v>65</v>
      </c>
      <c r="H834" t="s">
        <v>40</v>
      </c>
      <c r="I834" t="s">
        <v>2188</v>
      </c>
      <c r="J834" s="10">
        <v>2</v>
      </c>
      <c r="K834" t="b">
        <v>1</v>
      </c>
    </row>
    <row r="835" spans="1:11">
      <c r="A835" s="12">
        <v>41745</v>
      </c>
      <c r="B835">
        <v>2014</v>
      </c>
      <c r="C835">
        <v>4</v>
      </c>
      <c r="D835" s="11">
        <v>41730</v>
      </c>
      <c r="E835" t="s">
        <v>2176</v>
      </c>
      <c r="F835">
        <v>3</v>
      </c>
      <c r="G835" t="s">
        <v>65</v>
      </c>
      <c r="H835" t="s">
        <v>41</v>
      </c>
      <c r="I835" t="s">
        <v>2189</v>
      </c>
      <c r="J835" s="10">
        <v>1.01</v>
      </c>
      <c r="K835" t="b">
        <v>1</v>
      </c>
    </row>
    <row r="836" spans="1:11">
      <c r="A836" s="12">
        <v>41745</v>
      </c>
      <c r="B836">
        <v>2014</v>
      </c>
      <c r="C836">
        <v>4</v>
      </c>
      <c r="D836" s="11">
        <v>41730</v>
      </c>
      <c r="E836" t="s">
        <v>2176</v>
      </c>
      <c r="F836">
        <v>3</v>
      </c>
      <c r="G836" t="s">
        <v>65</v>
      </c>
      <c r="H836" t="s">
        <v>42</v>
      </c>
      <c r="I836" t="s">
        <v>2190</v>
      </c>
      <c r="J836" s="10">
        <v>4.2</v>
      </c>
      <c r="K836" t="b">
        <v>1</v>
      </c>
    </row>
    <row r="837" spans="1:11">
      <c r="A837" s="12">
        <v>41745</v>
      </c>
      <c r="B837">
        <v>2014</v>
      </c>
      <c r="C837">
        <v>4</v>
      </c>
      <c r="D837" s="11">
        <v>41730</v>
      </c>
      <c r="E837" t="s">
        <v>2176</v>
      </c>
      <c r="F837">
        <v>3</v>
      </c>
      <c r="G837" t="s">
        <v>65</v>
      </c>
      <c r="H837" t="s">
        <v>43</v>
      </c>
      <c r="I837" t="s">
        <v>2191</v>
      </c>
      <c r="J837" s="10">
        <v>25.62</v>
      </c>
      <c r="K837" t="b">
        <v>1</v>
      </c>
    </row>
    <row r="838" spans="1:11">
      <c r="A838" s="12">
        <v>41745</v>
      </c>
      <c r="B838">
        <v>2014</v>
      </c>
      <c r="C838">
        <v>4</v>
      </c>
      <c r="D838" s="11">
        <v>41730</v>
      </c>
      <c r="E838" t="s">
        <v>2176</v>
      </c>
      <c r="F838">
        <v>3</v>
      </c>
      <c r="G838" t="s">
        <v>65</v>
      </c>
      <c r="H838" t="s">
        <v>44</v>
      </c>
      <c r="I838" t="s">
        <v>2192</v>
      </c>
      <c r="J838" s="10">
        <v>1</v>
      </c>
      <c r="K838" t="b">
        <v>1</v>
      </c>
    </row>
    <row r="839" spans="1:11">
      <c r="A839" s="12">
        <v>41745</v>
      </c>
      <c r="B839">
        <v>2014</v>
      </c>
      <c r="C839">
        <v>4</v>
      </c>
      <c r="D839" s="11">
        <v>41730</v>
      </c>
      <c r="E839" t="s">
        <v>2176</v>
      </c>
      <c r="F839">
        <v>3</v>
      </c>
      <c r="G839" t="s">
        <v>65</v>
      </c>
      <c r="H839" t="s">
        <v>45</v>
      </c>
      <c r="I839" t="s">
        <v>2193</v>
      </c>
      <c r="J839" s="10">
        <v>0</v>
      </c>
      <c r="K839" t="b">
        <v>1</v>
      </c>
    </row>
    <row r="840" spans="1:11">
      <c r="A840" s="12">
        <v>41745</v>
      </c>
      <c r="B840">
        <v>2014</v>
      </c>
      <c r="C840">
        <v>4</v>
      </c>
      <c r="D840" s="11">
        <v>41730</v>
      </c>
      <c r="E840" t="s">
        <v>2176</v>
      </c>
      <c r="F840">
        <v>3</v>
      </c>
      <c r="G840" t="s">
        <v>65</v>
      </c>
      <c r="H840" t="s">
        <v>46</v>
      </c>
      <c r="I840" t="s">
        <v>2194</v>
      </c>
      <c r="J840" s="10">
        <v>6</v>
      </c>
      <c r="K840" t="b">
        <v>1</v>
      </c>
    </row>
    <row r="841" spans="1:11">
      <c r="A841" s="12">
        <v>41745</v>
      </c>
      <c r="B841">
        <v>2014</v>
      </c>
      <c r="C841">
        <v>4</v>
      </c>
      <c r="D841" s="11">
        <v>41730</v>
      </c>
      <c r="E841" t="s">
        <v>2176</v>
      </c>
      <c r="F841">
        <v>3</v>
      </c>
      <c r="G841" t="s">
        <v>65</v>
      </c>
      <c r="H841" t="s">
        <v>47</v>
      </c>
      <c r="I841" t="s">
        <v>2195</v>
      </c>
      <c r="J841" s="10">
        <v>4</v>
      </c>
      <c r="K841" t="b">
        <v>1</v>
      </c>
    </row>
    <row r="842" spans="1:11">
      <c r="A842" s="12">
        <v>41746</v>
      </c>
      <c r="B842">
        <v>2014</v>
      </c>
      <c r="C842">
        <v>4</v>
      </c>
      <c r="D842" s="11">
        <v>41730</v>
      </c>
      <c r="E842" t="s">
        <v>2176</v>
      </c>
      <c r="F842">
        <v>4</v>
      </c>
      <c r="G842" t="s">
        <v>53</v>
      </c>
      <c r="H842" t="s">
        <v>40</v>
      </c>
      <c r="I842" t="s">
        <v>2188</v>
      </c>
      <c r="J842" s="10">
        <v>5.34</v>
      </c>
      <c r="K842" t="b">
        <v>1</v>
      </c>
    </row>
    <row r="843" spans="1:11">
      <c r="A843" s="12">
        <v>41746</v>
      </c>
      <c r="B843">
        <v>2014</v>
      </c>
      <c r="C843">
        <v>4</v>
      </c>
      <c r="D843" s="11">
        <v>41730</v>
      </c>
      <c r="E843" t="s">
        <v>2176</v>
      </c>
      <c r="F843">
        <v>4</v>
      </c>
      <c r="G843" t="s">
        <v>53</v>
      </c>
      <c r="H843" t="s">
        <v>41</v>
      </c>
      <c r="I843" t="s">
        <v>2189</v>
      </c>
      <c r="J843" s="10">
        <v>0.34</v>
      </c>
      <c r="K843" t="b">
        <v>1</v>
      </c>
    </row>
    <row r="844" spans="1:11">
      <c r="A844" s="12">
        <v>41746</v>
      </c>
      <c r="B844">
        <v>2014</v>
      </c>
      <c r="C844">
        <v>4</v>
      </c>
      <c r="D844" s="11">
        <v>41730</v>
      </c>
      <c r="E844" t="s">
        <v>2176</v>
      </c>
      <c r="F844">
        <v>4</v>
      </c>
      <c r="G844" t="s">
        <v>53</v>
      </c>
      <c r="H844" t="s">
        <v>42</v>
      </c>
      <c r="I844" t="s">
        <v>2190</v>
      </c>
      <c r="J844" s="10">
        <v>7.2</v>
      </c>
      <c r="K844" t="b">
        <v>1</v>
      </c>
    </row>
    <row r="845" spans="1:11">
      <c r="A845" s="12">
        <v>41746</v>
      </c>
      <c r="B845">
        <v>2014</v>
      </c>
      <c r="C845">
        <v>4</v>
      </c>
      <c r="D845" s="11">
        <v>41730</v>
      </c>
      <c r="E845" t="s">
        <v>2176</v>
      </c>
      <c r="F845">
        <v>4</v>
      </c>
      <c r="G845" t="s">
        <v>53</v>
      </c>
      <c r="H845" t="s">
        <v>43</v>
      </c>
      <c r="I845" t="s">
        <v>2191</v>
      </c>
      <c r="J845" s="10">
        <v>16</v>
      </c>
      <c r="K845" t="b">
        <v>1</v>
      </c>
    </row>
    <row r="846" spans="1:11">
      <c r="A846" s="12">
        <v>41746</v>
      </c>
      <c r="B846">
        <v>2014</v>
      </c>
      <c r="C846">
        <v>4</v>
      </c>
      <c r="D846" s="11">
        <v>41730</v>
      </c>
      <c r="E846" t="s">
        <v>2176</v>
      </c>
      <c r="F846">
        <v>4</v>
      </c>
      <c r="G846" t="s">
        <v>53</v>
      </c>
      <c r="H846" t="s">
        <v>44</v>
      </c>
      <c r="I846" t="s">
        <v>2192</v>
      </c>
      <c r="J846" s="10">
        <v>19</v>
      </c>
      <c r="K846" t="b">
        <v>1</v>
      </c>
    </row>
    <row r="847" spans="1:11">
      <c r="A847" s="12">
        <v>41746</v>
      </c>
      <c r="B847">
        <v>2014</v>
      </c>
      <c r="C847">
        <v>4</v>
      </c>
      <c r="D847" s="11">
        <v>41730</v>
      </c>
      <c r="E847" t="s">
        <v>2176</v>
      </c>
      <c r="F847">
        <v>4</v>
      </c>
      <c r="G847" t="s">
        <v>53</v>
      </c>
      <c r="H847" t="s">
        <v>45</v>
      </c>
      <c r="I847" t="s">
        <v>2193</v>
      </c>
      <c r="J847" s="10">
        <v>0</v>
      </c>
      <c r="K847" t="b">
        <v>1</v>
      </c>
    </row>
    <row r="848" spans="1:11">
      <c r="A848" s="12">
        <v>41746</v>
      </c>
      <c r="B848">
        <v>2014</v>
      </c>
      <c r="C848">
        <v>4</v>
      </c>
      <c r="D848" s="11">
        <v>41730</v>
      </c>
      <c r="E848" t="s">
        <v>2176</v>
      </c>
      <c r="F848">
        <v>4</v>
      </c>
      <c r="G848" t="s">
        <v>53</v>
      </c>
      <c r="H848" t="s">
        <v>46</v>
      </c>
      <c r="I848" t="s">
        <v>2194</v>
      </c>
      <c r="J848" s="10">
        <v>0</v>
      </c>
      <c r="K848" t="b">
        <v>1</v>
      </c>
    </row>
    <row r="849" spans="1:11">
      <c r="A849" s="12">
        <v>41746</v>
      </c>
      <c r="B849">
        <v>2014</v>
      </c>
      <c r="C849">
        <v>4</v>
      </c>
      <c r="D849" s="11">
        <v>41730</v>
      </c>
      <c r="E849" t="s">
        <v>2176</v>
      </c>
      <c r="F849">
        <v>4</v>
      </c>
      <c r="G849" t="s">
        <v>53</v>
      </c>
      <c r="H849" t="s">
        <v>47</v>
      </c>
      <c r="I849" t="s">
        <v>2195</v>
      </c>
      <c r="J849" s="10">
        <v>0</v>
      </c>
      <c r="K849" t="b">
        <v>1</v>
      </c>
    </row>
    <row r="850" spans="1:11">
      <c r="A850" s="12">
        <v>41747</v>
      </c>
      <c r="B850">
        <v>2014</v>
      </c>
      <c r="C850">
        <v>4</v>
      </c>
      <c r="D850" s="11">
        <v>41730</v>
      </c>
      <c r="E850" t="s">
        <v>2176</v>
      </c>
      <c r="F850">
        <v>5</v>
      </c>
      <c r="G850" t="s">
        <v>55</v>
      </c>
      <c r="H850" t="s">
        <v>40</v>
      </c>
      <c r="I850" t="s">
        <v>2188</v>
      </c>
      <c r="J850" s="10">
        <v>7</v>
      </c>
      <c r="K850" t="b">
        <v>1</v>
      </c>
    </row>
    <row r="851" spans="1:11">
      <c r="A851" s="12">
        <v>41747</v>
      </c>
      <c r="B851">
        <v>2014</v>
      </c>
      <c r="C851">
        <v>4</v>
      </c>
      <c r="D851" s="11">
        <v>41730</v>
      </c>
      <c r="E851" t="s">
        <v>2176</v>
      </c>
      <c r="F851">
        <v>5</v>
      </c>
      <c r="G851" t="s">
        <v>55</v>
      </c>
      <c r="H851" t="s">
        <v>41</v>
      </c>
      <c r="I851" t="s">
        <v>2189</v>
      </c>
      <c r="J851" s="10">
        <v>7</v>
      </c>
      <c r="K851" t="b">
        <v>1</v>
      </c>
    </row>
    <row r="852" spans="1:11">
      <c r="A852" s="12">
        <v>41747</v>
      </c>
      <c r="B852">
        <v>2014</v>
      </c>
      <c r="C852">
        <v>4</v>
      </c>
      <c r="D852" s="11">
        <v>41730</v>
      </c>
      <c r="E852" t="s">
        <v>2176</v>
      </c>
      <c r="F852">
        <v>5</v>
      </c>
      <c r="G852" t="s">
        <v>55</v>
      </c>
      <c r="H852" t="s">
        <v>42</v>
      </c>
      <c r="I852" t="s">
        <v>2190</v>
      </c>
      <c r="J852" s="10">
        <v>8</v>
      </c>
      <c r="K852" t="b">
        <v>1</v>
      </c>
    </row>
    <row r="853" spans="1:11">
      <c r="A853" s="12">
        <v>41747</v>
      </c>
      <c r="B853">
        <v>2014</v>
      </c>
      <c r="C853">
        <v>4</v>
      </c>
      <c r="D853" s="11">
        <v>41730</v>
      </c>
      <c r="E853" t="s">
        <v>2176</v>
      </c>
      <c r="F853">
        <v>5</v>
      </c>
      <c r="G853" t="s">
        <v>55</v>
      </c>
      <c r="H853" t="s">
        <v>43</v>
      </c>
      <c r="I853" t="s">
        <v>2191</v>
      </c>
      <c r="J853" s="10">
        <v>23.3</v>
      </c>
      <c r="K853" t="b">
        <v>1</v>
      </c>
    </row>
    <row r="854" spans="1:11">
      <c r="A854" s="12">
        <v>41747</v>
      </c>
      <c r="B854">
        <v>2014</v>
      </c>
      <c r="C854">
        <v>4</v>
      </c>
      <c r="D854" s="11">
        <v>41730</v>
      </c>
      <c r="E854" t="s">
        <v>2176</v>
      </c>
      <c r="F854">
        <v>5</v>
      </c>
      <c r="G854" t="s">
        <v>55</v>
      </c>
      <c r="H854" t="s">
        <v>44</v>
      </c>
      <c r="I854" t="s">
        <v>2192</v>
      </c>
      <c r="J854" s="10">
        <v>10</v>
      </c>
      <c r="K854" t="b">
        <v>1</v>
      </c>
    </row>
    <row r="855" spans="1:11">
      <c r="A855" s="12">
        <v>41747</v>
      </c>
      <c r="B855">
        <v>2014</v>
      </c>
      <c r="C855">
        <v>4</v>
      </c>
      <c r="D855" s="11">
        <v>41730</v>
      </c>
      <c r="E855" t="s">
        <v>2176</v>
      </c>
      <c r="F855">
        <v>5</v>
      </c>
      <c r="G855" t="s">
        <v>55</v>
      </c>
      <c r="H855" t="s">
        <v>45</v>
      </c>
      <c r="I855" t="s">
        <v>2193</v>
      </c>
      <c r="J855" s="10">
        <v>1</v>
      </c>
      <c r="K855" t="b">
        <v>1</v>
      </c>
    </row>
    <row r="856" spans="1:11">
      <c r="A856" s="12">
        <v>41747</v>
      </c>
      <c r="B856">
        <v>2014</v>
      </c>
      <c r="C856">
        <v>4</v>
      </c>
      <c r="D856" s="11">
        <v>41730</v>
      </c>
      <c r="E856" t="s">
        <v>2176</v>
      </c>
      <c r="F856">
        <v>5</v>
      </c>
      <c r="G856" t="s">
        <v>55</v>
      </c>
      <c r="H856" t="s">
        <v>46</v>
      </c>
      <c r="I856" t="s">
        <v>2194</v>
      </c>
      <c r="J856" s="10">
        <v>0</v>
      </c>
      <c r="K856" t="b">
        <v>1</v>
      </c>
    </row>
    <row r="857" spans="1:11">
      <c r="A857" s="12">
        <v>41747</v>
      </c>
      <c r="B857">
        <v>2014</v>
      </c>
      <c r="C857">
        <v>4</v>
      </c>
      <c r="D857" s="11">
        <v>41730</v>
      </c>
      <c r="E857" t="s">
        <v>2176</v>
      </c>
      <c r="F857">
        <v>5</v>
      </c>
      <c r="G857" t="s">
        <v>55</v>
      </c>
      <c r="H857" t="s">
        <v>47</v>
      </c>
      <c r="I857" t="s">
        <v>2195</v>
      </c>
      <c r="J857" s="10">
        <v>5</v>
      </c>
      <c r="K857" t="b">
        <v>1</v>
      </c>
    </row>
    <row r="858" spans="1:11">
      <c r="A858" s="12">
        <v>41748</v>
      </c>
      <c r="B858">
        <v>2014</v>
      </c>
      <c r="C858">
        <v>4</v>
      </c>
      <c r="D858" s="11">
        <v>41730</v>
      </c>
      <c r="E858" t="s">
        <v>2176</v>
      </c>
      <c r="F858">
        <v>6</v>
      </c>
      <c r="G858" t="s">
        <v>57</v>
      </c>
      <c r="H858" t="s">
        <v>40</v>
      </c>
      <c r="I858" t="s">
        <v>2188</v>
      </c>
      <c r="J858" s="10">
        <v>7.34</v>
      </c>
      <c r="K858" t="b">
        <v>1</v>
      </c>
    </row>
    <row r="859" spans="1:11">
      <c r="A859" s="12">
        <v>41748</v>
      </c>
      <c r="B859">
        <v>2014</v>
      </c>
      <c r="C859">
        <v>4</v>
      </c>
      <c r="D859" s="11">
        <v>41730</v>
      </c>
      <c r="E859" t="s">
        <v>2176</v>
      </c>
      <c r="F859">
        <v>6</v>
      </c>
      <c r="G859" t="s">
        <v>57</v>
      </c>
      <c r="H859" t="s">
        <v>41</v>
      </c>
      <c r="I859" t="s">
        <v>2189</v>
      </c>
      <c r="J859" s="10">
        <v>3.35</v>
      </c>
      <c r="K859" t="b">
        <v>1</v>
      </c>
    </row>
    <row r="860" spans="1:11">
      <c r="A860" s="12">
        <v>41748</v>
      </c>
      <c r="B860">
        <v>2014</v>
      </c>
      <c r="C860">
        <v>4</v>
      </c>
      <c r="D860" s="11">
        <v>41730</v>
      </c>
      <c r="E860" t="s">
        <v>2176</v>
      </c>
      <c r="F860">
        <v>6</v>
      </c>
      <c r="G860" t="s">
        <v>57</v>
      </c>
      <c r="H860" t="s">
        <v>42</v>
      </c>
      <c r="I860" t="s">
        <v>2190</v>
      </c>
      <c r="J860" s="10">
        <v>4</v>
      </c>
      <c r="K860" t="b">
        <v>1</v>
      </c>
    </row>
    <row r="861" spans="1:11">
      <c r="A861" s="12">
        <v>41748</v>
      </c>
      <c r="B861">
        <v>2014</v>
      </c>
      <c r="C861">
        <v>4</v>
      </c>
      <c r="D861" s="11">
        <v>41730</v>
      </c>
      <c r="E861" t="s">
        <v>2176</v>
      </c>
      <c r="F861">
        <v>6</v>
      </c>
      <c r="G861" t="s">
        <v>57</v>
      </c>
      <c r="H861" t="s">
        <v>43</v>
      </c>
      <c r="I861" t="s">
        <v>2191</v>
      </c>
      <c r="J861" s="10">
        <v>22.3</v>
      </c>
      <c r="K861" t="b">
        <v>1</v>
      </c>
    </row>
    <row r="862" spans="1:11">
      <c r="A862" s="12">
        <v>41748</v>
      </c>
      <c r="B862">
        <v>2014</v>
      </c>
      <c r="C862">
        <v>4</v>
      </c>
      <c r="D862" s="11">
        <v>41730</v>
      </c>
      <c r="E862" t="s">
        <v>2176</v>
      </c>
      <c r="F862">
        <v>6</v>
      </c>
      <c r="G862" t="s">
        <v>57</v>
      </c>
      <c r="H862" t="s">
        <v>44</v>
      </c>
      <c r="I862" t="s">
        <v>2192</v>
      </c>
      <c r="J862" s="10">
        <v>7</v>
      </c>
      <c r="K862" t="b">
        <v>1</v>
      </c>
    </row>
    <row r="863" spans="1:11">
      <c r="A863" s="12">
        <v>41748</v>
      </c>
      <c r="B863">
        <v>2014</v>
      </c>
      <c r="C863">
        <v>4</v>
      </c>
      <c r="D863" s="11">
        <v>41730</v>
      </c>
      <c r="E863" t="s">
        <v>2176</v>
      </c>
      <c r="F863">
        <v>6</v>
      </c>
      <c r="G863" t="s">
        <v>57</v>
      </c>
      <c r="H863" t="s">
        <v>45</v>
      </c>
      <c r="I863" t="s">
        <v>2193</v>
      </c>
      <c r="J863" s="10">
        <v>0</v>
      </c>
      <c r="K863" t="b">
        <v>1</v>
      </c>
    </row>
    <row r="864" spans="1:11">
      <c r="A864" s="12">
        <v>41748</v>
      </c>
      <c r="B864">
        <v>2014</v>
      </c>
      <c r="C864">
        <v>4</v>
      </c>
      <c r="D864" s="11">
        <v>41730</v>
      </c>
      <c r="E864" t="s">
        <v>2176</v>
      </c>
      <c r="F864">
        <v>6</v>
      </c>
      <c r="G864" t="s">
        <v>57</v>
      </c>
      <c r="H864" t="s">
        <v>46</v>
      </c>
      <c r="I864" t="s">
        <v>2194</v>
      </c>
      <c r="J864" s="10">
        <v>3</v>
      </c>
      <c r="K864" t="b">
        <v>1</v>
      </c>
    </row>
    <row r="865" spans="1:11">
      <c r="A865" s="12">
        <v>41748</v>
      </c>
      <c r="B865">
        <v>2014</v>
      </c>
      <c r="C865">
        <v>4</v>
      </c>
      <c r="D865" s="11">
        <v>41730</v>
      </c>
      <c r="E865" t="s">
        <v>2176</v>
      </c>
      <c r="F865">
        <v>6</v>
      </c>
      <c r="G865" t="s">
        <v>57</v>
      </c>
      <c r="H865" t="s">
        <v>47</v>
      </c>
      <c r="I865" t="s">
        <v>2195</v>
      </c>
      <c r="J865" s="10">
        <v>5</v>
      </c>
      <c r="K865" t="b">
        <v>1</v>
      </c>
    </row>
    <row r="866" spans="1:11">
      <c r="A866" s="12">
        <v>41749</v>
      </c>
      <c r="B866">
        <v>2014</v>
      </c>
      <c r="C866">
        <v>4</v>
      </c>
      <c r="D866" s="11">
        <v>41730</v>
      </c>
      <c r="E866" t="s">
        <v>2176</v>
      </c>
      <c r="F866">
        <v>7</v>
      </c>
      <c r="G866" t="s">
        <v>59</v>
      </c>
      <c r="H866" t="s">
        <v>40</v>
      </c>
      <c r="I866" t="s">
        <v>2188</v>
      </c>
      <c r="J866" s="10">
        <v>0</v>
      </c>
      <c r="K866" t="b">
        <v>1</v>
      </c>
    </row>
    <row r="867" spans="1:11">
      <c r="A867" s="12">
        <v>41749</v>
      </c>
      <c r="B867">
        <v>2014</v>
      </c>
      <c r="C867">
        <v>4</v>
      </c>
      <c r="D867" s="11">
        <v>41730</v>
      </c>
      <c r="E867" t="s">
        <v>2176</v>
      </c>
      <c r="F867">
        <v>7</v>
      </c>
      <c r="G867" t="s">
        <v>59</v>
      </c>
      <c r="H867" t="s">
        <v>41</v>
      </c>
      <c r="I867" t="s">
        <v>2189</v>
      </c>
      <c r="J867" s="10">
        <v>0</v>
      </c>
      <c r="K867" t="b">
        <v>1</v>
      </c>
    </row>
    <row r="868" spans="1:11">
      <c r="A868" s="12">
        <v>41749</v>
      </c>
      <c r="B868">
        <v>2014</v>
      </c>
      <c r="C868">
        <v>4</v>
      </c>
      <c r="D868" s="11">
        <v>41730</v>
      </c>
      <c r="E868" t="s">
        <v>2176</v>
      </c>
      <c r="F868">
        <v>7</v>
      </c>
      <c r="G868" t="s">
        <v>59</v>
      </c>
      <c r="H868" t="s">
        <v>42</v>
      </c>
      <c r="I868" t="s">
        <v>2190</v>
      </c>
      <c r="J868" s="10">
        <v>0</v>
      </c>
      <c r="K868" t="b">
        <v>1</v>
      </c>
    </row>
    <row r="869" spans="1:11">
      <c r="A869" s="12">
        <v>41749</v>
      </c>
      <c r="B869">
        <v>2014</v>
      </c>
      <c r="C869">
        <v>4</v>
      </c>
      <c r="D869" s="11">
        <v>41730</v>
      </c>
      <c r="E869" t="s">
        <v>2176</v>
      </c>
      <c r="F869">
        <v>7</v>
      </c>
      <c r="G869" t="s">
        <v>59</v>
      </c>
      <c r="H869" t="s">
        <v>43</v>
      </c>
      <c r="I869" t="s">
        <v>2191</v>
      </c>
      <c r="J869" s="10">
        <v>0</v>
      </c>
      <c r="K869" t="b">
        <v>1</v>
      </c>
    </row>
    <row r="870" spans="1:11">
      <c r="A870" s="12">
        <v>41749</v>
      </c>
      <c r="B870">
        <v>2014</v>
      </c>
      <c r="C870">
        <v>4</v>
      </c>
      <c r="D870" s="11">
        <v>41730</v>
      </c>
      <c r="E870" t="s">
        <v>2176</v>
      </c>
      <c r="F870">
        <v>7</v>
      </c>
      <c r="G870" t="s">
        <v>59</v>
      </c>
      <c r="H870" t="s">
        <v>44</v>
      </c>
      <c r="I870" t="s">
        <v>2192</v>
      </c>
      <c r="J870" s="10">
        <v>0</v>
      </c>
      <c r="K870" t="b">
        <v>1</v>
      </c>
    </row>
    <row r="871" spans="1:11">
      <c r="A871" s="12">
        <v>41749</v>
      </c>
      <c r="B871">
        <v>2014</v>
      </c>
      <c r="C871">
        <v>4</v>
      </c>
      <c r="D871" s="11">
        <v>41730</v>
      </c>
      <c r="E871" t="s">
        <v>2176</v>
      </c>
      <c r="F871">
        <v>7</v>
      </c>
      <c r="G871" t="s">
        <v>59</v>
      </c>
      <c r="H871" t="s">
        <v>45</v>
      </c>
      <c r="I871" t="s">
        <v>2193</v>
      </c>
      <c r="J871" s="10">
        <v>0</v>
      </c>
      <c r="K871" t="b">
        <v>1</v>
      </c>
    </row>
    <row r="872" spans="1:11">
      <c r="A872" s="12">
        <v>41749</v>
      </c>
      <c r="B872">
        <v>2014</v>
      </c>
      <c r="C872">
        <v>4</v>
      </c>
      <c r="D872" s="11">
        <v>41730</v>
      </c>
      <c r="E872" t="s">
        <v>2176</v>
      </c>
      <c r="F872">
        <v>7</v>
      </c>
      <c r="G872" t="s">
        <v>59</v>
      </c>
      <c r="H872" t="s">
        <v>46</v>
      </c>
      <c r="I872" t="s">
        <v>2194</v>
      </c>
      <c r="J872" s="10">
        <v>0</v>
      </c>
      <c r="K872" t="b">
        <v>1</v>
      </c>
    </row>
    <row r="873" spans="1:11">
      <c r="A873" s="12">
        <v>41749</v>
      </c>
      <c r="B873">
        <v>2014</v>
      </c>
      <c r="C873">
        <v>4</v>
      </c>
      <c r="D873" s="11">
        <v>41730</v>
      </c>
      <c r="E873" t="s">
        <v>2176</v>
      </c>
      <c r="F873">
        <v>7</v>
      </c>
      <c r="G873" t="s">
        <v>59</v>
      </c>
      <c r="H873" t="s">
        <v>47</v>
      </c>
      <c r="I873" t="s">
        <v>2195</v>
      </c>
      <c r="J873" s="10">
        <v>0</v>
      </c>
      <c r="K873" t="b">
        <v>1</v>
      </c>
    </row>
    <row r="874" spans="1:11">
      <c r="A874" s="12">
        <v>41750</v>
      </c>
      <c r="B874">
        <v>2014</v>
      </c>
      <c r="C874">
        <v>4</v>
      </c>
      <c r="D874" s="11">
        <v>41730</v>
      </c>
      <c r="E874" t="s">
        <v>2176</v>
      </c>
      <c r="F874">
        <v>1</v>
      </c>
      <c r="G874" t="s">
        <v>61</v>
      </c>
      <c r="H874" t="s">
        <v>40</v>
      </c>
      <c r="I874" t="s">
        <v>2188</v>
      </c>
      <c r="J874" s="10">
        <v>1.34</v>
      </c>
      <c r="K874" t="b">
        <v>1</v>
      </c>
    </row>
    <row r="875" spans="1:11">
      <c r="A875" s="12">
        <v>41750</v>
      </c>
      <c r="B875">
        <v>2014</v>
      </c>
      <c r="C875">
        <v>4</v>
      </c>
      <c r="D875" s="11">
        <v>41730</v>
      </c>
      <c r="E875" t="s">
        <v>2176</v>
      </c>
      <c r="F875">
        <v>1</v>
      </c>
      <c r="G875" t="s">
        <v>61</v>
      </c>
      <c r="H875" t="s">
        <v>41</v>
      </c>
      <c r="I875" t="s">
        <v>2189</v>
      </c>
      <c r="J875" s="10">
        <v>1.68</v>
      </c>
      <c r="K875" t="b">
        <v>1</v>
      </c>
    </row>
    <row r="876" spans="1:11">
      <c r="A876" s="12">
        <v>41750</v>
      </c>
      <c r="B876">
        <v>2014</v>
      </c>
      <c r="C876">
        <v>4</v>
      </c>
      <c r="D876" s="11">
        <v>41730</v>
      </c>
      <c r="E876" t="s">
        <v>2176</v>
      </c>
      <c r="F876">
        <v>1</v>
      </c>
      <c r="G876" t="s">
        <v>61</v>
      </c>
      <c r="H876" t="s">
        <v>42</v>
      </c>
      <c r="I876" t="s">
        <v>2190</v>
      </c>
      <c r="J876" s="10">
        <v>2.1</v>
      </c>
      <c r="K876" t="b">
        <v>1</v>
      </c>
    </row>
    <row r="877" spans="1:11">
      <c r="A877" s="12">
        <v>41750</v>
      </c>
      <c r="B877">
        <v>2014</v>
      </c>
      <c r="C877">
        <v>4</v>
      </c>
      <c r="D877" s="11">
        <v>41730</v>
      </c>
      <c r="E877" t="s">
        <v>2176</v>
      </c>
      <c r="F877">
        <v>1</v>
      </c>
      <c r="G877" t="s">
        <v>61</v>
      </c>
      <c r="H877" t="s">
        <v>43</v>
      </c>
      <c r="I877" t="s">
        <v>2191</v>
      </c>
      <c r="J877" s="10">
        <v>13.5</v>
      </c>
      <c r="K877" t="b">
        <v>1</v>
      </c>
    </row>
    <row r="878" spans="1:11">
      <c r="A878" s="12">
        <v>41750</v>
      </c>
      <c r="B878">
        <v>2014</v>
      </c>
      <c r="C878">
        <v>4</v>
      </c>
      <c r="D878" s="11">
        <v>41730</v>
      </c>
      <c r="E878" t="s">
        <v>2176</v>
      </c>
      <c r="F878">
        <v>1</v>
      </c>
      <c r="G878" t="s">
        <v>61</v>
      </c>
      <c r="H878" t="s">
        <v>44</v>
      </c>
      <c r="I878" t="s">
        <v>2192</v>
      </c>
      <c r="J878" s="10">
        <v>8</v>
      </c>
      <c r="K878" t="b">
        <v>1</v>
      </c>
    </row>
    <row r="879" spans="1:11">
      <c r="A879" s="12">
        <v>41750</v>
      </c>
      <c r="B879">
        <v>2014</v>
      </c>
      <c r="C879">
        <v>4</v>
      </c>
      <c r="D879" s="11">
        <v>41730</v>
      </c>
      <c r="E879" t="s">
        <v>2176</v>
      </c>
      <c r="F879">
        <v>1</v>
      </c>
      <c r="G879" t="s">
        <v>61</v>
      </c>
      <c r="H879" t="s">
        <v>45</v>
      </c>
      <c r="I879" t="s">
        <v>2193</v>
      </c>
      <c r="J879" s="10">
        <v>0</v>
      </c>
      <c r="K879" t="b">
        <v>1</v>
      </c>
    </row>
    <row r="880" spans="1:11">
      <c r="A880" s="12">
        <v>41750</v>
      </c>
      <c r="B880">
        <v>2014</v>
      </c>
      <c r="C880">
        <v>4</v>
      </c>
      <c r="D880" s="11">
        <v>41730</v>
      </c>
      <c r="E880" t="s">
        <v>2176</v>
      </c>
      <c r="F880">
        <v>1</v>
      </c>
      <c r="G880" t="s">
        <v>61</v>
      </c>
      <c r="H880" t="s">
        <v>46</v>
      </c>
      <c r="I880" t="s">
        <v>2194</v>
      </c>
      <c r="J880" s="10">
        <v>0</v>
      </c>
      <c r="K880" t="b">
        <v>1</v>
      </c>
    </row>
    <row r="881" spans="1:11">
      <c r="A881" s="12">
        <v>41750</v>
      </c>
      <c r="B881">
        <v>2014</v>
      </c>
      <c r="C881">
        <v>4</v>
      </c>
      <c r="D881" s="11">
        <v>41730</v>
      </c>
      <c r="E881" t="s">
        <v>2176</v>
      </c>
      <c r="F881">
        <v>1</v>
      </c>
      <c r="G881" t="s">
        <v>61</v>
      </c>
      <c r="H881" t="s">
        <v>47</v>
      </c>
      <c r="I881" t="s">
        <v>2195</v>
      </c>
      <c r="J881" s="10">
        <v>1</v>
      </c>
      <c r="K881" t="b">
        <v>1</v>
      </c>
    </row>
    <row r="882" spans="1:11">
      <c r="A882" s="12">
        <v>41751</v>
      </c>
      <c r="B882">
        <v>2014</v>
      </c>
      <c r="C882">
        <v>4</v>
      </c>
      <c r="D882" s="11">
        <v>41730</v>
      </c>
      <c r="E882" t="s">
        <v>2176</v>
      </c>
      <c r="F882">
        <v>2</v>
      </c>
      <c r="G882" t="s">
        <v>63</v>
      </c>
      <c r="H882" t="s">
        <v>40</v>
      </c>
      <c r="I882" t="s">
        <v>2188</v>
      </c>
      <c r="J882" s="10">
        <v>5.34</v>
      </c>
      <c r="K882" t="b">
        <v>1</v>
      </c>
    </row>
    <row r="883" spans="1:11">
      <c r="A883" s="12">
        <v>41751</v>
      </c>
      <c r="B883">
        <v>2014</v>
      </c>
      <c r="C883">
        <v>4</v>
      </c>
      <c r="D883" s="11">
        <v>41730</v>
      </c>
      <c r="E883" t="s">
        <v>2176</v>
      </c>
      <c r="F883">
        <v>2</v>
      </c>
      <c r="G883" t="s">
        <v>63</v>
      </c>
      <c r="H883" t="s">
        <v>41</v>
      </c>
      <c r="I883" t="s">
        <v>2189</v>
      </c>
      <c r="J883" s="10">
        <v>7.165</v>
      </c>
      <c r="K883" t="b">
        <v>1</v>
      </c>
    </row>
    <row r="884" spans="1:11">
      <c r="A884" s="12">
        <v>41751</v>
      </c>
      <c r="B884">
        <v>2014</v>
      </c>
      <c r="C884">
        <v>4</v>
      </c>
      <c r="D884" s="11">
        <v>41730</v>
      </c>
      <c r="E884" t="s">
        <v>2176</v>
      </c>
      <c r="F884">
        <v>2</v>
      </c>
      <c r="G884" t="s">
        <v>63</v>
      </c>
      <c r="H884" t="s">
        <v>42</v>
      </c>
      <c r="I884" t="s">
        <v>2190</v>
      </c>
      <c r="J884" s="10">
        <v>3.3</v>
      </c>
      <c r="K884" t="b">
        <v>1</v>
      </c>
    </row>
    <row r="885" spans="1:11">
      <c r="A885" s="12">
        <v>41751</v>
      </c>
      <c r="B885">
        <v>2014</v>
      </c>
      <c r="C885">
        <v>4</v>
      </c>
      <c r="D885" s="11">
        <v>41730</v>
      </c>
      <c r="E885" t="s">
        <v>2176</v>
      </c>
      <c r="F885">
        <v>2</v>
      </c>
      <c r="G885" t="s">
        <v>63</v>
      </c>
      <c r="H885" t="s">
        <v>43</v>
      </c>
      <c r="I885" t="s">
        <v>2191</v>
      </c>
      <c r="J885" s="10">
        <v>32</v>
      </c>
      <c r="K885" t="b">
        <v>1</v>
      </c>
    </row>
    <row r="886" spans="1:11">
      <c r="A886" s="12">
        <v>41751</v>
      </c>
      <c r="B886">
        <v>2014</v>
      </c>
      <c r="C886">
        <v>4</v>
      </c>
      <c r="D886" s="11">
        <v>41730</v>
      </c>
      <c r="E886" t="s">
        <v>2176</v>
      </c>
      <c r="F886">
        <v>2</v>
      </c>
      <c r="G886" t="s">
        <v>63</v>
      </c>
      <c r="H886" t="s">
        <v>44</v>
      </c>
      <c r="I886" t="s">
        <v>2192</v>
      </c>
      <c r="J886" s="10">
        <v>8</v>
      </c>
      <c r="K886" t="b">
        <v>1</v>
      </c>
    </row>
    <row r="887" spans="1:11">
      <c r="A887" s="12">
        <v>41751</v>
      </c>
      <c r="B887">
        <v>2014</v>
      </c>
      <c r="C887">
        <v>4</v>
      </c>
      <c r="D887" s="11">
        <v>41730</v>
      </c>
      <c r="E887" t="s">
        <v>2176</v>
      </c>
      <c r="F887">
        <v>2</v>
      </c>
      <c r="G887" t="s">
        <v>63</v>
      </c>
      <c r="H887" t="s">
        <v>45</v>
      </c>
      <c r="I887" t="s">
        <v>2193</v>
      </c>
      <c r="J887" s="10">
        <v>1</v>
      </c>
      <c r="K887" t="b">
        <v>1</v>
      </c>
    </row>
    <row r="888" spans="1:11">
      <c r="A888" s="12">
        <v>41751</v>
      </c>
      <c r="B888">
        <v>2014</v>
      </c>
      <c r="C888">
        <v>4</v>
      </c>
      <c r="D888" s="11">
        <v>41730</v>
      </c>
      <c r="E888" t="s">
        <v>2176</v>
      </c>
      <c r="F888">
        <v>2</v>
      </c>
      <c r="G888" t="s">
        <v>63</v>
      </c>
      <c r="H888" t="s">
        <v>46</v>
      </c>
      <c r="I888" t="s">
        <v>2194</v>
      </c>
      <c r="J888" s="10">
        <v>0</v>
      </c>
      <c r="K888" t="b">
        <v>1</v>
      </c>
    </row>
    <row r="889" spans="1:11">
      <c r="A889" s="12">
        <v>41751</v>
      </c>
      <c r="B889">
        <v>2014</v>
      </c>
      <c r="C889">
        <v>4</v>
      </c>
      <c r="D889" s="11">
        <v>41730</v>
      </c>
      <c r="E889" t="s">
        <v>2176</v>
      </c>
      <c r="F889">
        <v>2</v>
      </c>
      <c r="G889" t="s">
        <v>63</v>
      </c>
      <c r="H889" t="s">
        <v>47</v>
      </c>
      <c r="I889" t="s">
        <v>2195</v>
      </c>
      <c r="J889" s="10">
        <v>1</v>
      </c>
      <c r="K889" t="b">
        <v>1</v>
      </c>
    </row>
    <row r="890" spans="1:11">
      <c r="A890" s="12">
        <v>41752</v>
      </c>
      <c r="B890">
        <v>2014</v>
      </c>
      <c r="C890">
        <v>4</v>
      </c>
      <c r="D890" s="11">
        <v>41730</v>
      </c>
      <c r="E890" t="s">
        <v>2176</v>
      </c>
      <c r="F890">
        <v>3</v>
      </c>
      <c r="G890" t="s">
        <v>65</v>
      </c>
      <c r="H890" t="s">
        <v>40</v>
      </c>
      <c r="I890" t="s">
        <v>2188</v>
      </c>
      <c r="J890" s="10">
        <v>6.34</v>
      </c>
      <c r="K890" t="b">
        <v>1</v>
      </c>
    </row>
    <row r="891" spans="1:11">
      <c r="A891" s="12">
        <v>41752</v>
      </c>
      <c r="B891">
        <v>2014</v>
      </c>
      <c r="C891">
        <v>4</v>
      </c>
      <c r="D891" s="11">
        <v>41730</v>
      </c>
      <c r="E891" t="s">
        <v>2176</v>
      </c>
      <c r="F891">
        <v>3</v>
      </c>
      <c r="G891" t="s">
        <v>65</v>
      </c>
      <c r="H891" t="s">
        <v>41</v>
      </c>
      <c r="I891" t="s">
        <v>2189</v>
      </c>
      <c r="J891" s="10">
        <v>2.34</v>
      </c>
      <c r="K891" t="b">
        <v>1</v>
      </c>
    </row>
    <row r="892" spans="1:11">
      <c r="A892" s="12">
        <v>41752</v>
      </c>
      <c r="B892">
        <v>2014</v>
      </c>
      <c r="C892">
        <v>4</v>
      </c>
      <c r="D892" s="11">
        <v>41730</v>
      </c>
      <c r="E892" t="s">
        <v>2176</v>
      </c>
      <c r="F892">
        <v>3</v>
      </c>
      <c r="G892" t="s">
        <v>65</v>
      </c>
      <c r="H892" t="s">
        <v>42</v>
      </c>
      <c r="I892" t="s">
        <v>2190</v>
      </c>
      <c r="J892" s="10">
        <v>3</v>
      </c>
      <c r="K892" t="b">
        <v>1</v>
      </c>
    </row>
    <row r="893" spans="1:11">
      <c r="A893" s="12">
        <v>41752</v>
      </c>
      <c r="B893">
        <v>2014</v>
      </c>
      <c r="C893">
        <v>4</v>
      </c>
      <c r="D893" s="11">
        <v>41730</v>
      </c>
      <c r="E893" t="s">
        <v>2176</v>
      </c>
      <c r="F893">
        <v>3</v>
      </c>
      <c r="G893" t="s">
        <v>65</v>
      </c>
      <c r="H893" t="s">
        <v>43</v>
      </c>
      <c r="I893" t="s">
        <v>2191</v>
      </c>
      <c r="J893" s="10">
        <v>24.9</v>
      </c>
      <c r="K893" t="b">
        <v>1</v>
      </c>
    </row>
    <row r="894" spans="1:11">
      <c r="A894" s="12">
        <v>41752</v>
      </c>
      <c r="B894">
        <v>2014</v>
      </c>
      <c r="C894">
        <v>4</v>
      </c>
      <c r="D894" s="11">
        <v>41730</v>
      </c>
      <c r="E894" t="s">
        <v>2176</v>
      </c>
      <c r="F894">
        <v>3</v>
      </c>
      <c r="G894" t="s">
        <v>65</v>
      </c>
      <c r="H894" t="s">
        <v>44</v>
      </c>
      <c r="I894" t="s">
        <v>2192</v>
      </c>
      <c r="J894" s="10">
        <v>8</v>
      </c>
      <c r="K894" t="b">
        <v>1</v>
      </c>
    </row>
    <row r="895" spans="1:11">
      <c r="A895" s="12">
        <v>41752</v>
      </c>
      <c r="B895">
        <v>2014</v>
      </c>
      <c r="C895">
        <v>4</v>
      </c>
      <c r="D895" s="11">
        <v>41730</v>
      </c>
      <c r="E895" t="s">
        <v>2176</v>
      </c>
      <c r="F895">
        <v>3</v>
      </c>
      <c r="G895" t="s">
        <v>65</v>
      </c>
      <c r="H895" t="s">
        <v>45</v>
      </c>
      <c r="I895" t="s">
        <v>2193</v>
      </c>
      <c r="J895" s="10">
        <v>1</v>
      </c>
      <c r="K895" t="b">
        <v>1</v>
      </c>
    </row>
    <row r="896" spans="1:11">
      <c r="A896" s="12">
        <v>41752</v>
      </c>
      <c r="B896">
        <v>2014</v>
      </c>
      <c r="C896">
        <v>4</v>
      </c>
      <c r="D896" s="11">
        <v>41730</v>
      </c>
      <c r="E896" t="s">
        <v>2176</v>
      </c>
      <c r="F896">
        <v>3</v>
      </c>
      <c r="G896" t="s">
        <v>65</v>
      </c>
      <c r="H896" t="s">
        <v>46</v>
      </c>
      <c r="I896" t="s">
        <v>2194</v>
      </c>
      <c r="J896" s="10">
        <v>2</v>
      </c>
      <c r="K896" t="b">
        <v>1</v>
      </c>
    </row>
    <row r="897" spans="1:11">
      <c r="A897" s="12">
        <v>41752</v>
      </c>
      <c r="B897">
        <v>2014</v>
      </c>
      <c r="C897">
        <v>4</v>
      </c>
      <c r="D897" s="11">
        <v>41730</v>
      </c>
      <c r="E897" t="s">
        <v>2176</v>
      </c>
      <c r="F897">
        <v>3</v>
      </c>
      <c r="G897" t="s">
        <v>65</v>
      </c>
      <c r="H897" t="s">
        <v>47</v>
      </c>
      <c r="I897" t="s">
        <v>2195</v>
      </c>
      <c r="J897" s="10">
        <v>1</v>
      </c>
      <c r="K897" t="b">
        <v>1</v>
      </c>
    </row>
    <row r="898" spans="1:11">
      <c r="A898" s="12">
        <v>41753</v>
      </c>
      <c r="B898">
        <v>2014</v>
      </c>
      <c r="C898">
        <v>4</v>
      </c>
      <c r="D898" s="11">
        <v>41730</v>
      </c>
      <c r="E898" t="s">
        <v>2176</v>
      </c>
      <c r="F898">
        <v>4</v>
      </c>
      <c r="G898" t="s">
        <v>53</v>
      </c>
      <c r="H898" t="s">
        <v>40</v>
      </c>
      <c r="I898" t="s">
        <v>2188</v>
      </c>
      <c r="J898" s="10">
        <v>2</v>
      </c>
      <c r="K898" t="b">
        <v>1</v>
      </c>
    </row>
    <row r="899" spans="1:11">
      <c r="A899" s="12">
        <v>41753</v>
      </c>
      <c r="B899">
        <v>2014</v>
      </c>
      <c r="C899">
        <v>4</v>
      </c>
      <c r="D899" s="11">
        <v>41730</v>
      </c>
      <c r="E899" t="s">
        <v>2176</v>
      </c>
      <c r="F899">
        <v>4</v>
      </c>
      <c r="G899" t="s">
        <v>53</v>
      </c>
      <c r="H899" t="s">
        <v>41</v>
      </c>
      <c r="I899" t="s">
        <v>2189</v>
      </c>
      <c r="J899" s="10">
        <v>2</v>
      </c>
      <c r="K899" t="b">
        <v>1</v>
      </c>
    </row>
    <row r="900" spans="1:11">
      <c r="A900" s="12">
        <v>41753</v>
      </c>
      <c r="B900">
        <v>2014</v>
      </c>
      <c r="C900">
        <v>4</v>
      </c>
      <c r="D900" s="11">
        <v>41730</v>
      </c>
      <c r="E900" t="s">
        <v>2176</v>
      </c>
      <c r="F900">
        <v>4</v>
      </c>
      <c r="G900" t="s">
        <v>53</v>
      </c>
      <c r="H900" t="s">
        <v>42</v>
      </c>
      <c r="I900" t="s">
        <v>2190</v>
      </c>
      <c r="J900" s="10">
        <v>1.1</v>
      </c>
      <c r="K900" t="b">
        <v>1</v>
      </c>
    </row>
    <row r="901" spans="1:11">
      <c r="A901" s="12">
        <v>41753</v>
      </c>
      <c r="B901">
        <v>2014</v>
      </c>
      <c r="C901">
        <v>4</v>
      </c>
      <c r="D901" s="11">
        <v>41730</v>
      </c>
      <c r="E901" t="s">
        <v>2176</v>
      </c>
      <c r="F901">
        <v>4</v>
      </c>
      <c r="G901" t="s">
        <v>53</v>
      </c>
      <c r="H901" t="s">
        <v>43</v>
      </c>
      <c r="I901" t="s">
        <v>2191</v>
      </c>
      <c r="J901" s="10">
        <v>26</v>
      </c>
      <c r="K901" t="b">
        <v>1</v>
      </c>
    </row>
    <row r="902" spans="1:11">
      <c r="A902" s="12">
        <v>41753</v>
      </c>
      <c r="B902">
        <v>2014</v>
      </c>
      <c r="C902">
        <v>4</v>
      </c>
      <c r="D902" s="11">
        <v>41730</v>
      </c>
      <c r="E902" t="s">
        <v>2176</v>
      </c>
      <c r="F902">
        <v>4</v>
      </c>
      <c r="G902" t="s">
        <v>53</v>
      </c>
      <c r="H902" t="s">
        <v>44</v>
      </c>
      <c r="I902" t="s">
        <v>2192</v>
      </c>
      <c r="J902" s="10">
        <v>6</v>
      </c>
      <c r="K902" t="b">
        <v>1</v>
      </c>
    </row>
    <row r="903" spans="1:11">
      <c r="A903" s="12">
        <v>41753</v>
      </c>
      <c r="B903">
        <v>2014</v>
      </c>
      <c r="C903">
        <v>4</v>
      </c>
      <c r="D903" s="11">
        <v>41730</v>
      </c>
      <c r="E903" t="s">
        <v>2176</v>
      </c>
      <c r="F903">
        <v>4</v>
      </c>
      <c r="G903" t="s">
        <v>53</v>
      </c>
      <c r="H903" t="s">
        <v>45</v>
      </c>
      <c r="I903" t="s">
        <v>2193</v>
      </c>
      <c r="J903" s="10">
        <v>0</v>
      </c>
      <c r="K903" t="b">
        <v>1</v>
      </c>
    </row>
    <row r="904" spans="1:11">
      <c r="A904" s="12">
        <v>41753</v>
      </c>
      <c r="B904">
        <v>2014</v>
      </c>
      <c r="C904">
        <v>4</v>
      </c>
      <c r="D904" s="11">
        <v>41730</v>
      </c>
      <c r="E904" t="s">
        <v>2176</v>
      </c>
      <c r="F904">
        <v>4</v>
      </c>
      <c r="G904" t="s">
        <v>53</v>
      </c>
      <c r="H904" t="s">
        <v>46</v>
      </c>
      <c r="I904" t="s">
        <v>2194</v>
      </c>
      <c r="J904" s="10">
        <v>6</v>
      </c>
      <c r="K904" t="b">
        <v>1</v>
      </c>
    </row>
    <row r="905" spans="1:11">
      <c r="A905" s="12">
        <v>41753</v>
      </c>
      <c r="B905">
        <v>2014</v>
      </c>
      <c r="C905">
        <v>4</v>
      </c>
      <c r="D905" s="11">
        <v>41730</v>
      </c>
      <c r="E905" t="s">
        <v>2176</v>
      </c>
      <c r="F905">
        <v>4</v>
      </c>
      <c r="G905" t="s">
        <v>53</v>
      </c>
      <c r="H905" t="s">
        <v>47</v>
      </c>
      <c r="I905" t="s">
        <v>2195</v>
      </c>
      <c r="J905" s="10">
        <v>2</v>
      </c>
      <c r="K905" t="b">
        <v>1</v>
      </c>
    </row>
    <row r="906" spans="1:11">
      <c r="A906" s="12">
        <v>41754</v>
      </c>
      <c r="B906">
        <v>2014</v>
      </c>
      <c r="C906">
        <v>4</v>
      </c>
      <c r="D906" s="11">
        <v>41730</v>
      </c>
      <c r="E906" t="s">
        <v>2176</v>
      </c>
      <c r="F906">
        <v>5</v>
      </c>
      <c r="G906" t="s">
        <v>55</v>
      </c>
      <c r="H906" t="s">
        <v>40</v>
      </c>
      <c r="I906" t="s">
        <v>2188</v>
      </c>
      <c r="J906" s="10">
        <v>3</v>
      </c>
      <c r="K906" t="b">
        <v>1</v>
      </c>
    </row>
    <row r="907" spans="1:11">
      <c r="A907" s="12">
        <v>41754</v>
      </c>
      <c r="B907">
        <v>2014</v>
      </c>
      <c r="C907">
        <v>4</v>
      </c>
      <c r="D907" s="11">
        <v>41730</v>
      </c>
      <c r="E907" t="s">
        <v>2176</v>
      </c>
      <c r="F907">
        <v>5</v>
      </c>
      <c r="G907" t="s">
        <v>55</v>
      </c>
      <c r="H907" t="s">
        <v>41</v>
      </c>
      <c r="I907" t="s">
        <v>2189</v>
      </c>
      <c r="J907" s="10">
        <v>2.02</v>
      </c>
      <c r="K907" t="b">
        <v>1</v>
      </c>
    </row>
    <row r="908" spans="1:11">
      <c r="A908" s="12">
        <v>41754</v>
      </c>
      <c r="B908">
        <v>2014</v>
      </c>
      <c r="C908">
        <v>4</v>
      </c>
      <c r="D908" s="11">
        <v>41730</v>
      </c>
      <c r="E908" t="s">
        <v>2176</v>
      </c>
      <c r="F908">
        <v>5</v>
      </c>
      <c r="G908" t="s">
        <v>55</v>
      </c>
      <c r="H908" t="s">
        <v>42</v>
      </c>
      <c r="I908" t="s">
        <v>2190</v>
      </c>
      <c r="J908" s="10">
        <v>5</v>
      </c>
      <c r="K908" t="b">
        <v>1</v>
      </c>
    </row>
    <row r="909" spans="1:11">
      <c r="A909" s="12">
        <v>41754</v>
      </c>
      <c r="B909">
        <v>2014</v>
      </c>
      <c r="C909">
        <v>4</v>
      </c>
      <c r="D909" s="11">
        <v>41730</v>
      </c>
      <c r="E909" t="s">
        <v>2176</v>
      </c>
      <c r="F909">
        <v>5</v>
      </c>
      <c r="G909" t="s">
        <v>55</v>
      </c>
      <c r="H909" t="s">
        <v>43</v>
      </c>
      <c r="I909" t="s">
        <v>2191</v>
      </c>
      <c r="J909" s="10">
        <v>24.9</v>
      </c>
      <c r="K909" t="b">
        <v>1</v>
      </c>
    </row>
    <row r="910" spans="1:11">
      <c r="A910" s="12">
        <v>41754</v>
      </c>
      <c r="B910">
        <v>2014</v>
      </c>
      <c r="C910">
        <v>4</v>
      </c>
      <c r="D910" s="11">
        <v>41730</v>
      </c>
      <c r="E910" t="s">
        <v>2176</v>
      </c>
      <c r="F910">
        <v>5</v>
      </c>
      <c r="G910" t="s">
        <v>55</v>
      </c>
      <c r="H910" t="s">
        <v>44</v>
      </c>
      <c r="I910" t="s">
        <v>2192</v>
      </c>
      <c r="J910" s="10">
        <v>10</v>
      </c>
      <c r="K910" t="b">
        <v>1</v>
      </c>
    </row>
    <row r="911" spans="1:11">
      <c r="A911" s="12">
        <v>41754</v>
      </c>
      <c r="B911">
        <v>2014</v>
      </c>
      <c r="C911">
        <v>4</v>
      </c>
      <c r="D911" s="11">
        <v>41730</v>
      </c>
      <c r="E911" t="s">
        <v>2176</v>
      </c>
      <c r="F911">
        <v>5</v>
      </c>
      <c r="G911" t="s">
        <v>55</v>
      </c>
      <c r="H911" t="s">
        <v>45</v>
      </c>
      <c r="I911" t="s">
        <v>2193</v>
      </c>
      <c r="J911" s="10">
        <v>1</v>
      </c>
      <c r="K911" t="b">
        <v>1</v>
      </c>
    </row>
    <row r="912" spans="1:11">
      <c r="A912" s="12">
        <v>41754</v>
      </c>
      <c r="B912">
        <v>2014</v>
      </c>
      <c r="C912">
        <v>4</v>
      </c>
      <c r="D912" s="11">
        <v>41730</v>
      </c>
      <c r="E912" t="s">
        <v>2176</v>
      </c>
      <c r="F912">
        <v>5</v>
      </c>
      <c r="G912" t="s">
        <v>55</v>
      </c>
      <c r="H912" t="s">
        <v>46</v>
      </c>
      <c r="I912" t="s">
        <v>2194</v>
      </c>
      <c r="J912" s="10">
        <v>1</v>
      </c>
      <c r="K912" t="b">
        <v>1</v>
      </c>
    </row>
    <row r="913" spans="1:11">
      <c r="A913" s="12">
        <v>41754</v>
      </c>
      <c r="B913">
        <v>2014</v>
      </c>
      <c r="C913">
        <v>4</v>
      </c>
      <c r="D913" s="11">
        <v>41730</v>
      </c>
      <c r="E913" t="s">
        <v>2176</v>
      </c>
      <c r="F913">
        <v>5</v>
      </c>
      <c r="G913" t="s">
        <v>55</v>
      </c>
      <c r="H913" t="s">
        <v>47</v>
      </c>
      <c r="I913" t="s">
        <v>2195</v>
      </c>
      <c r="J913" s="10">
        <v>3</v>
      </c>
      <c r="K913" t="b">
        <v>1</v>
      </c>
    </row>
    <row r="914" spans="1:11">
      <c r="A914" s="12">
        <v>41755</v>
      </c>
      <c r="B914">
        <v>2014</v>
      </c>
      <c r="C914">
        <v>4</v>
      </c>
      <c r="D914" s="11">
        <v>41730</v>
      </c>
      <c r="E914" t="s">
        <v>2176</v>
      </c>
      <c r="F914">
        <v>6</v>
      </c>
      <c r="G914" t="s">
        <v>57</v>
      </c>
      <c r="H914" t="s">
        <v>40</v>
      </c>
      <c r="I914" t="s">
        <v>2188</v>
      </c>
      <c r="J914" s="10">
        <v>4.34</v>
      </c>
      <c r="K914" t="b">
        <v>1</v>
      </c>
    </row>
    <row r="915" spans="1:11">
      <c r="A915" s="12">
        <v>41755</v>
      </c>
      <c r="B915">
        <v>2014</v>
      </c>
      <c r="C915">
        <v>4</v>
      </c>
      <c r="D915" s="11">
        <v>41730</v>
      </c>
      <c r="E915" t="s">
        <v>2176</v>
      </c>
      <c r="F915">
        <v>6</v>
      </c>
      <c r="G915" t="s">
        <v>57</v>
      </c>
      <c r="H915" t="s">
        <v>41</v>
      </c>
      <c r="I915" t="s">
        <v>2189</v>
      </c>
      <c r="J915" s="10">
        <v>2.67</v>
      </c>
      <c r="K915" t="b">
        <v>1</v>
      </c>
    </row>
    <row r="916" spans="1:11">
      <c r="A916" s="12">
        <v>41755</v>
      </c>
      <c r="B916">
        <v>2014</v>
      </c>
      <c r="C916">
        <v>4</v>
      </c>
      <c r="D916" s="11">
        <v>41730</v>
      </c>
      <c r="E916" t="s">
        <v>2176</v>
      </c>
      <c r="F916">
        <v>6</v>
      </c>
      <c r="G916" t="s">
        <v>57</v>
      </c>
      <c r="H916" t="s">
        <v>42</v>
      </c>
      <c r="I916" t="s">
        <v>2190</v>
      </c>
      <c r="J916" s="10">
        <v>5.5</v>
      </c>
      <c r="K916" t="b">
        <v>1</v>
      </c>
    </row>
    <row r="917" spans="1:11">
      <c r="A917" s="12">
        <v>41755</v>
      </c>
      <c r="B917">
        <v>2014</v>
      </c>
      <c r="C917">
        <v>4</v>
      </c>
      <c r="D917" s="11">
        <v>41730</v>
      </c>
      <c r="E917" t="s">
        <v>2176</v>
      </c>
      <c r="F917">
        <v>6</v>
      </c>
      <c r="G917" t="s">
        <v>57</v>
      </c>
      <c r="H917" t="s">
        <v>43</v>
      </c>
      <c r="I917" t="s">
        <v>2191</v>
      </c>
      <c r="J917" s="10">
        <v>35</v>
      </c>
      <c r="K917" t="b">
        <v>1</v>
      </c>
    </row>
    <row r="918" spans="1:11">
      <c r="A918" s="12">
        <v>41755</v>
      </c>
      <c r="B918">
        <v>2014</v>
      </c>
      <c r="C918">
        <v>4</v>
      </c>
      <c r="D918" s="11">
        <v>41730</v>
      </c>
      <c r="E918" t="s">
        <v>2176</v>
      </c>
      <c r="F918">
        <v>6</v>
      </c>
      <c r="G918" t="s">
        <v>57</v>
      </c>
      <c r="H918" t="s">
        <v>44</v>
      </c>
      <c r="I918" t="s">
        <v>2192</v>
      </c>
      <c r="J918" s="10">
        <v>12</v>
      </c>
      <c r="K918" t="b">
        <v>1</v>
      </c>
    </row>
    <row r="919" spans="1:11">
      <c r="A919" s="12">
        <v>41755</v>
      </c>
      <c r="B919">
        <v>2014</v>
      </c>
      <c r="C919">
        <v>4</v>
      </c>
      <c r="D919" s="11">
        <v>41730</v>
      </c>
      <c r="E919" t="s">
        <v>2176</v>
      </c>
      <c r="F919">
        <v>6</v>
      </c>
      <c r="G919" t="s">
        <v>57</v>
      </c>
      <c r="H919" t="s">
        <v>45</v>
      </c>
      <c r="I919" t="s">
        <v>2193</v>
      </c>
      <c r="J919" s="10">
        <v>1</v>
      </c>
      <c r="K919" t="b">
        <v>1</v>
      </c>
    </row>
    <row r="920" spans="1:11">
      <c r="A920" s="12">
        <v>41755</v>
      </c>
      <c r="B920">
        <v>2014</v>
      </c>
      <c r="C920">
        <v>4</v>
      </c>
      <c r="D920" s="11">
        <v>41730</v>
      </c>
      <c r="E920" t="s">
        <v>2176</v>
      </c>
      <c r="F920">
        <v>6</v>
      </c>
      <c r="G920" t="s">
        <v>57</v>
      </c>
      <c r="H920" t="s">
        <v>46</v>
      </c>
      <c r="I920" t="s">
        <v>2194</v>
      </c>
      <c r="J920" s="10">
        <v>6</v>
      </c>
      <c r="K920" t="b">
        <v>1</v>
      </c>
    </row>
    <row r="921" spans="1:11">
      <c r="A921" s="12">
        <v>41755</v>
      </c>
      <c r="B921">
        <v>2014</v>
      </c>
      <c r="C921">
        <v>4</v>
      </c>
      <c r="D921" s="11">
        <v>41730</v>
      </c>
      <c r="E921" t="s">
        <v>2176</v>
      </c>
      <c r="F921">
        <v>6</v>
      </c>
      <c r="G921" t="s">
        <v>57</v>
      </c>
      <c r="H921" t="s">
        <v>47</v>
      </c>
      <c r="I921" t="s">
        <v>2195</v>
      </c>
      <c r="J921" s="10">
        <v>4</v>
      </c>
      <c r="K921" t="b">
        <v>1</v>
      </c>
    </row>
    <row r="922" spans="1:11">
      <c r="A922" s="12">
        <v>41756</v>
      </c>
      <c r="B922">
        <v>2014</v>
      </c>
      <c r="C922">
        <v>4</v>
      </c>
      <c r="D922" s="11">
        <v>41730</v>
      </c>
      <c r="E922" t="s">
        <v>2176</v>
      </c>
      <c r="F922">
        <v>7</v>
      </c>
      <c r="G922" t="s">
        <v>59</v>
      </c>
      <c r="H922" t="s">
        <v>40</v>
      </c>
      <c r="I922" t="s">
        <v>2188</v>
      </c>
      <c r="J922" s="10">
        <v>4</v>
      </c>
      <c r="K922" t="b">
        <v>1</v>
      </c>
    </row>
    <row r="923" spans="1:11">
      <c r="A923" s="12">
        <v>41756</v>
      </c>
      <c r="B923">
        <v>2014</v>
      </c>
      <c r="C923">
        <v>4</v>
      </c>
      <c r="D923" s="11">
        <v>41730</v>
      </c>
      <c r="E923" t="s">
        <v>2176</v>
      </c>
      <c r="F923">
        <v>7</v>
      </c>
      <c r="G923" t="s">
        <v>59</v>
      </c>
      <c r="H923" t="s">
        <v>41</v>
      </c>
      <c r="I923" t="s">
        <v>2189</v>
      </c>
      <c r="J923" s="10">
        <v>2.34</v>
      </c>
      <c r="K923" t="b">
        <v>1</v>
      </c>
    </row>
    <row r="924" spans="1:11">
      <c r="A924" s="12">
        <v>41756</v>
      </c>
      <c r="B924">
        <v>2014</v>
      </c>
      <c r="C924">
        <v>4</v>
      </c>
      <c r="D924" s="11">
        <v>41730</v>
      </c>
      <c r="E924" t="s">
        <v>2176</v>
      </c>
      <c r="F924">
        <v>7</v>
      </c>
      <c r="G924" t="s">
        <v>59</v>
      </c>
      <c r="H924" t="s">
        <v>42</v>
      </c>
      <c r="I924" t="s">
        <v>2190</v>
      </c>
      <c r="J924" s="10">
        <v>2</v>
      </c>
      <c r="K924" t="b">
        <v>1</v>
      </c>
    </row>
    <row r="925" spans="1:11">
      <c r="A925" s="12">
        <v>41756</v>
      </c>
      <c r="B925">
        <v>2014</v>
      </c>
      <c r="C925">
        <v>4</v>
      </c>
      <c r="D925" s="11">
        <v>41730</v>
      </c>
      <c r="E925" t="s">
        <v>2176</v>
      </c>
      <c r="F925">
        <v>7</v>
      </c>
      <c r="G925" t="s">
        <v>59</v>
      </c>
      <c r="H925" t="s">
        <v>43</v>
      </c>
      <c r="I925" t="s">
        <v>2191</v>
      </c>
      <c r="J925" s="10">
        <v>26.2</v>
      </c>
      <c r="K925" t="b">
        <v>1</v>
      </c>
    </row>
    <row r="926" spans="1:11">
      <c r="A926" s="12">
        <v>41756</v>
      </c>
      <c r="B926">
        <v>2014</v>
      </c>
      <c r="C926">
        <v>4</v>
      </c>
      <c r="D926" s="11">
        <v>41730</v>
      </c>
      <c r="E926" t="s">
        <v>2176</v>
      </c>
      <c r="F926">
        <v>7</v>
      </c>
      <c r="G926" t="s">
        <v>59</v>
      </c>
      <c r="H926" t="s">
        <v>44</v>
      </c>
      <c r="I926" t="s">
        <v>2192</v>
      </c>
      <c r="J926" s="10">
        <v>2</v>
      </c>
      <c r="K926" t="b">
        <v>1</v>
      </c>
    </row>
    <row r="927" spans="1:11">
      <c r="A927" s="12">
        <v>41756</v>
      </c>
      <c r="B927">
        <v>2014</v>
      </c>
      <c r="C927">
        <v>4</v>
      </c>
      <c r="D927" s="11">
        <v>41730</v>
      </c>
      <c r="E927" t="s">
        <v>2176</v>
      </c>
      <c r="F927">
        <v>7</v>
      </c>
      <c r="G927" t="s">
        <v>59</v>
      </c>
      <c r="H927" t="s">
        <v>45</v>
      </c>
      <c r="I927" t="s">
        <v>2193</v>
      </c>
      <c r="J927" s="10">
        <v>0</v>
      </c>
      <c r="K927" t="b">
        <v>1</v>
      </c>
    </row>
    <row r="928" spans="1:11">
      <c r="A928" s="12">
        <v>41756</v>
      </c>
      <c r="B928">
        <v>2014</v>
      </c>
      <c r="C928">
        <v>4</v>
      </c>
      <c r="D928" s="11">
        <v>41730</v>
      </c>
      <c r="E928" t="s">
        <v>2176</v>
      </c>
      <c r="F928">
        <v>7</v>
      </c>
      <c r="G928" t="s">
        <v>59</v>
      </c>
      <c r="H928" t="s">
        <v>46</v>
      </c>
      <c r="I928" t="s">
        <v>2194</v>
      </c>
      <c r="J928" s="10">
        <v>1</v>
      </c>
      <c r="K928" t="b">
        <v>1</v>
      </c>
    </row>
    <row r="929" spans="1:11">
      <c r="A929" s="12">
        <v>41756</v>
      </c>
      <c r="B929">
        <v>2014</v>
      </c>
      <c r="C929">
        <v>4</v>
      </c>
      <c r="D929" s="11">
        <v>41730</v>
      </c>
      <c r="E929" t="s">
        <v>2176</v>
      </c>
      <c r="F929">
        <v>7</v>
      </c>
      <c r="G929" t="s">
        <v>59</v>
      </c>
      <c r="H929" t="s">
        <v>47</v>
      </c>
      <c r="I929" t="s">
        <v>2195</v>
      </c>
      <c r="J929" s="10">
        <v>1</v>
      </c>
      <c r="K929" t="b">
        <v>1</v>
      </c>
    </row>
    <row r="930" spans="1:11">
      <c r="A930" s="12">
        <v>41757</v>
      </c>
      <c r="B930">
        <v>2014</v>
      </c>
      <c r="C930">
        <v>4</v>
      </c>
      <c r="D930" s="11">
        <v>41730</v>
      </c>
      <c r="E930" t="s">
        <v>2176</v>
      </c>
      <c r="F930">
        <v>1</v>
      </c>
      <c r="G930" t="s">
        <v>61</v>
      </c>
      <c r="H930" t="s">
        <v>40</v>
      </c>
      <c r="I930" t="s">
        <v>2188</v>
      </c>
      <c r="J930" s="10">
        <v>1.34</v>
      </c>
      <c r="K930" t="b">
        <v>1</v>
      </c>
    </row>
    <row r="931" spans="1:11">
      <c r="A931" s="12">
        <v>41757</v>
      </c>
      <c r="B931">
        <v>2014</v>
      </c>
      <c r="C931">
        <v>4</v>
      </c>
      <c r="D931" s="11">
        <v>41730</v>
      </c>
      <c r="E931" t="s">
        <v>2176</v>
      </c>
      <c r="F931">
        <v>1</v>
      </c>
      <c r="G931" t="s">
        <v>61</v>
      </c>
      <c r="H931" t="s">
        <v>41</v>
      </c>
      <c r="I931" t="s">
        <v>2189</v>
      </c>
      <c r="J931" s="10">
        <v>3.09</v>
      </c>
      <c r="K931" t="b">
        <v>1</v>
      </c>
    </row>
    <row r="932" spans="1:11">
      <c r="A932" s="12">
        <v>41757</v>
      </c>
      <c r="B932">
        <v>2014</v>
      </c>
      <c r="C932">
        <v>4</v>
      </c>
      <c r="D932" s="11">
        <v>41730</v>
      </c>
      <c r="E932" t="s">
        <v>2176</v>
      </c>
      <c r="F932">
        <v>1</v>
      </c>
      <c r="G932" t="s">
        <v>61</v>
      </c>
      <c r="H932" t="s">
        <v>42</v>
      </c>
      <c r="I932" t="s">
        <v>2190</v>
      </c>
      <c r="J932" s="10">
        <v>3</v>
      </c>
      <c r="K932" t="b">
        <v>1</v>
      </c>
    </row>
    <row r="933" spans="1:11">
      <c r="A933" s="12">
        <v>41757</v>
      </c>
      <c r="B933">
        <v>2014</v>
      </c>
      <c r="C933">
        <v>4</v>
      </c>
      <c r="D933" s="11">
        <v>41730</v>
      </c>
      <c r="E933" t="s">
        <v>2176</v>
      </c>
      <c r="F933">
        <v>1</v>
      </c>
      <c r="G933" t="s">
        <v>61</v>
      </c>
      <c r="H933" t="s">
        <v>43</v>
      </c>
      <c r="I933" t="s">
        <v>2191</v>
      </c>
      <c r="J933" s="10">
        <v>29.1</v>
      </c>
      <c r="K933" t="b">
        <v>1</v>
      </c>
    </row>
    <row r="934" spans="1:11">
      <c r="A934" s="12">
        <v>41757</v>
      </c>
      <c r="B934">
        <v>2014</v>
      </c>
      <c r="C934">
        <v>4</v>
      </c>
      <c r="D934" s="11">
        <v>41730</v>
      </c>
      <c r="E934" t="s">
        <v>2176</v>
      </c>
      <c r="F934">
        <v>1</v>
      </c>
      <c r="G934" t="s">
        <v>61</v>
      </c>
      <c r="H934" t="s">
        <v>44</v>
      </c>
      <c r="I934" t="s">
        <v>2192</v>
      </c>
      <c r="J934" s="10">
        <v>8</v>
      </c>
      <c r="K934" t="b">
        <v>1</v>
      </c>
    </row>
    <row r="935" spans="1:11">
      <c r="A935" s="12">
        <v>41757</v>
      </c>
      <c r="B935">
        <v>2014</v>
      </c>
      <c r="C935">
        <v>4</v>
      </c>
      <c r="D935" s="11">
        <v>41730</v>
      </c>
      <c r="E935" t="s">
        <v>2176</v>
      </c>
      <c r="F935">
        <v>1</v>
      </c>
      <c r="G935" t="s">
        <v>61</v>
      </c>
      <c r="H935" t="s">
        <v>45</v>
      </c>
      <c r="I935" t="s">
        <v>2193</v>
      </c>
      <c r="J935" s="10">
        <v>2</v>
      </c>
      <c r="K935" t="b">
        <v>1</v>
      </c>
    </row>
    <row r="936" spans="1:11">
      <c r="A936" s="12">
        <v>41757</v>
      </c>
      <c r="B936">
        <v>2014</v>
      </c>
      <c r="C936">
        <v>4</v>
      </c>
      <c r="D936" s="11">
        <v>41730</v>
      </c>
      <c r="E936" t="s">
        <v>2176</v>
      </c>
      <c r="F936">
        <v>1</v>
      </c>
      <c r="G936" t="s">
        <v>61</v>
      </c>
      <c r="H936" t="s">
        <v>46</v>
      </c>
      <c r="I936" t="s">
        <v>2194</v>
      </c>
      <c r="J936" s="10">
        <v>0</v>
      </c>
      <c r="K936" t="b">
        <v>1</v>
      </c>
    </row>
    <row r="937" spans="1:11">
      <c r="A937" s="12">
        <v>41757</v>
      </c>
      <c r="B937">
        <v>2014</v>
      </c>
      <c r="C937">
        <v>4</v>
      </c>
      <c r="D937" s="11">
        <v>41730</v>
      </c>
      <c r="E937" t="s">
        <v>2176</v>
      </c>
      <c r="F937">
        <v>1</v>
      </c>
      <c r="G937" t="s">
        <v>61</v>
      </c>
      <c r="H937" t="s">
        <v>47</v>
      </c>
      <c r="I937" t="s">
        <v>2195</v>
      </c>
      <c r="J937" s="10">
        <v>2</v>
      </c>
      <c r="K937" t="b">
        <v>1</v>
      </c>
    </row>
    <row r="938" spans="1:11">
      <c r="A938" s="12">
        <v>41758</v>
      </c>
      <c r="B938">
        <v>2014</v>
      </c>
      <c r="C938">
        <v>4</v>
      </c>
      <c r="D938" s="11">
        <v>41730</v>
      </c>
      <c r="E938" t="s">
        <v>2176</v>
      </c>
      <c r="F938">
        <v>2</v>
      </c>
      <c r="G938" t="s">
        <v>63</v>
      </c>
      <c r="H938" t="s">
        <v>40</v>
      </c>
      <c r="I938" t="s">
        <v>2188</v>
      </c>
      <c r="J938" s="10">
        <v>3.33</v>
      </c>
      <c r="K938" t="b">
        <v>1</v>
      </c>
    </row>
    <row r="939" spans="1:11">
      <c r="A939" s="12">
        <v>41758</v>
      </c>
      <c r="B939">
        <v>2014</v>
      </c>
      <c r="C939">
        <v>4</v>
      </c>
      <c r="D939" s="11">
        <v>41730</v>
      </c>
      <c r="E939" t="s">
        <v>2176</v>
      </c>
      <c r="F939">
        <v>2</v>
      </c>
      <c r="G939" t="s">
        <v>63</v>
      </c>
      <c r="H939" t="s">
        <v>41</v>
      </c>
      <c r="I939" t="s">
        <v>2189</v>
      </c>
      <c r="J939" s="10">
        <v>4.02</v>
      </c>
      <c r="K939" t="b">
        <v>1</v>
      </c>
    </row>
    <row r="940" spans="1:11">
      <c r="A940" s="12">
        <v>41758</v>
      </c>
      <c r="B940">
        <v>2014</v>
      </c>
      <c r="C940">
        <v>4</v>
      </c>
      <c r="D940" s="11">
        <v>41730</v>
      </c>
      <c r="E940" t="s">
        <v>2176</v>
      </c>
      <c r="F940">
        <v>2</v>
      </c>
      <c r="G940" t="s">
        <v>63</v>
      </c>
      <c r="H940" t="s">
        <v>42</v>
      </c>
      <c r="I940" t="s">
        <v>2190</v>
      </c>
      <c r="J940" s="10">
        <v>4.4</v>
      </c>
      <c r="K940" t="b">
        <v>1</v>
      </c>
    </row>
    <row r="941" spans="1:11">
      <c r="A941" s="12">
        <v>41758</v>
      </c>
      <c r="B941">
        <v>2014</v>
      </c>
      <c r="C941">
        <v>4</v>
      </c>
      <c r="D941" s="11">
        <v>41730</v>
      </c>
      <c r="E941" t="s">
        <v>2176</v>
      </c>
      <c r="F941">
        <v>2</v>
      </c>
      <c r="G941" t="s">
        <v>63</v>
      </c>
      <c r="H941" t="s">
        <v>43</v>
      </c>
      <c r="I941" t="s">
        <v>2191</v>
      </c>
      <c r="J941" s="10">
        <v>30.3</v>
      </c>
      <c r="K941" t="b">
        <v>1</v>
      </c>
    </row>
    <row r="942" spans="1:11">
      <c r="A942" s="12">
        <v>41758</v>
      </c>
      <c r="B942">
        <v>2014</v>
      </c>
      <c r="C942">
        <v>4</v>
      </c>
      <c r="D942" s="11">
        <v>41730</v>
      </c>
      <c r="E942" t="s">
        <v>2176</v>
      </c>
      <c r="F942">
        <v>2</v>
      </c>
      <c r="G942" t="s">
        <v>63</v>
      </c>
      <c r="H942" t="s">
        <v>44</v>
      </c>
      <c r="I942" t="s">
        <v>2192</v>
      </c>
      <c r="J942" s="10">
        <v>6</v>
      </c>
      <c r="K942" t="b">
        <v>1</v>
      </c>
    </row>
    <row r="943" spans="1:11">
      <c r="A943" s="12">
        <v>41758</v>
      </c>
      <c r="B943">
        <v>2014</v>
      </c>
      <c r="C943">
        <v>4</v>
      </c>
      <c r="D943" s="11">
        <v>41730</v>
      </c>
      <c r="E943" t="s">
        <v>2176</v>
      </c>
      <c r="F943">
        <v>2</v>
      </c>
      <c r="G943" t="s">
        <v>63</v>
      </c>
      <c r="H943" t="s">
        <v>45</v>
      </c>
      <c r="I943" t="s">
        <v>2193</v>
      </c>
      <c r="J943" s="10">
        <v>1</v>
      </c>
      <c r="K943" t="b">
        <v>1</v>
      </c>
    </row>
    <row r="944" spans="1:11">
      <c r="A944" s="12">
        <v>41758</v>
      </c>
      <c r="B944">
        <v>2014</v>
      </c>
      <c r="C944">
        <v>4</v>
      </c>
      <c r="D944" s="11">
        <v>41730</v>
      </c>
      <c r="E944" t="s">
        <v>2176</v>
      </c>
      <c r="F944">
        <v>2</v>
      </c>
      <c r="G944" t="s">
        <v>63</v>
      </c>
      <c r="H944" t="s">
        <v>46</v>
      </c>
      <c r="I944" t="s">
        <v>2194</v>
      </c>
      <c r="J944" s="10">
        <v>5</v>
      </c>
      <c r="K944" t="b">
        <v>1</v>
      </c>
    </row>
    <row r="945" spans="1:11">
      <c r="A945" s="12">
        <v>41758</v>
      </c>
      <c r="B945">
        <v>2014</v>
      </c>
      <c r="C945">
        <v>4</v>
      </c>
      <c r="D945" s="11">
        <v>41730</v>
      </c>
      <c r="E945" t="s">
        <v>2176</v>
      </c>
      <c r="F945">
        <v>2</v>
      </c>
      <c r="G945" t="s">
        <v>63</v>
      </c>
      <c r="H945" t="s">
        <v>47</v>
      </c>
      <c r="I945" t="s">
        <v>2195</v>
      </c>
      <c r="J945" s="10">
        <v>0.4</v>
      </c>
      <c r="K945" t="b">
        <v>1</v>
      </c>
    </row>
    <row r="946" spans="1:11">
      <c r="A946" s="12">
        <v>41759</v>
      </c>
      <c r="B946">
        <v>2014</v>
      </c>
      <c r="C946">
        <v>4</v>
      </c>
      <c r="D946" s="11">
        <v>41730</v>
      </c>
      <c r="E946" t="s">
        <v>2176</v>
      </c>
      <c r="F946">
        <v>3</v>
      </c>
      <c r="G946" t="s">
        <v>65</v>
      </c>
      <c r="H946" t="s">
        <v>40</v>
      </c>
      <c r="I946" t="s">
        <v>2188</v>
      </c>
      <c r="J946" s="10">
        <v>4.34</v>
      </c>
      <c r="K946" t="b">
        <v>1</v>
      </c>
    </row>
    <row r="947" spans="1:11">
      <c r="A947" s="12">
        <v>41759</v>
      </c>
      <c r="B947">
        <v>2014</v>
      </c>
      <c r="C947">
        <v>4</v>
      </c>
      <c r="D947" s="11">
        <v>41730</v>
      </c>
      <c r="E947" t="s">
        <v>2176</v>
      </c>
      <c r="F947">
        <v>3</v>
      </c>
      <c r="G947" t="s">
        <v>65</v>
      </c>
      <c r="H947" t="s">
        <v>41</v>
      </c>
      <c r="I947" t="s">
        <v>2189</v>
      </c>
      <c r="J947" s="10">
        <v>2.68</v>
      </c>
      <c r="K947" t="b">
        <v>1</v>
      </c>
    </row>
    <row r="948" spans="1:11">
      <c r="A948" s="12">
        <v>41759</v>
      </c>
      <c r="B948">
        <v>2014</v>
      </c>
      <c r="C948">
        <v>4</v>
      </c>
      <c r="D948" s="11">
        <v>41730</v>
      </c>
      <c r="E948" t="s">
        <v>2176</v>
      </c>
      <c r="F948">
        <v>3</v>
      </c>
      <c r="G948" t="s">
        <v>65</v>
      </c>
      <c r="H948" t="s">
        <v>42</v>
      </c>
      <c r="I948" t="s">
        <v>2190</v>
      </c>
      <c r="J948" s="10">
        <v>7</v>
      </c>
      <c r="K948" t="b">
        <v>1</v>
      </c>
    </row>
    <row r="949" spans="1:11">
      <c r="A949" s="12">
        <v>41759</v>
      </c>
      <c r="B949">
        <v>2014</v>
      </c>
      <c r="C949">
        <v>4</v>
      </c>
      <c r="D949" s="11">
        <v>41730</v>
      </c>
      <c r="E949" t="s">
        <v>2176</v>
      </c>
      <c r="F949">
        <v>3</v>
      </c>
      <c r="G949" t="s">
        <v>65</v>
      </c>
      <c r="H949" t="s">
        <v>43</v>
      </c>
      <c r="I949" t="s">
        <v>2191</v>
      </c>
      <c r="J949" s="10">
        <v>43.1</v>
      </c>
      <c r="K949" t="b">
        <v>1</v>
      </c>
    </row>
    <row r="950" spans="1:11">
      <c r="A950" s="12">
        <v>41759</v>
      </c>
      <c r="B950">
        <v>2014</v>
      </c>
      <c r="C950">
        <v>4</v>
      </c>
      <c r="D950" s="11">
        <v>41730</v>
      </c>
      <c r="E950" t="s">
        <v>2176</v>
      </c>
      <c r="F950">
        <v>3</v>
      </c>
      <c r="G950" t="s">
        <v>65</v>
      </c>
      <c r="H950" t="s">
        <v>44</v>
      </c>
      <c r="I950" t="s">
        <v>2192</v>
      </c>
      <c r="J950" s="10">
        <v>11</v>
      </c>
      <c r="K950" t="b">
        <v>1</v>
      </c>
    </row>
    <row r="951" spans="1:11">
      <c r="A951" s="12">
        <v>41759</v>
      </c>
      <c r="B951">
        <v>2014</v>
      </c>
      <c r="C951">
        <v>4</v>
      </c>
      <c r="D951" s="11">
        <v>41730</v>
      </c>
      <c r="E951" t="s">
        <v>2176</v>
      </c>
      <c r="F951">
        <v>3</v>
      </c>
      <c r="G951" t="s">
        <v>65</v>
      </c>
      <c r="H951" t="s">
        <v>45</v>
      </c>
      <c r="I951" t="s">
        <v>2193</v>
      </c>
      <c r="J951" s="10">
        <v>0</v>
      </c>
      <c r="K951" t="b">
        <v>1</v>
      </c>
    </row>
    <row r="952" spans="1:11">
      <c r="A952" s="12">
        <v>41759</v>
      </c>
      <c r="B952">
        <v>2014</v>
      </c>
      <c r="C952">
        <v>4</v>
      </c>
      <c r="D952" s="11">
        <v>41730</v>
      </c>
      <c r="E952" t="s">
        <v>2176</v>
      </c>
      <c r="F952">
        <v>3</v>
      </c>
      <c r="G952" t="s">
        <v>65</v>
      </c>
      <c r="H952" t="s">
        <v>46</v>
      </c>
      <c r="I952" t="s">
        <v>2194</v>
      </c>
      <c r="J952" s="10">
        <v>7</v>
      </c>
      <c r="K952" t="b">
        <v>1</v>
      </c>
    </row>
    <row r="953" spans="1:11">
      <c r="A953" s="12">
        <v>41759</v>
      </c>
      <c r="B953">
        <v>2014</v>
      </c>
      <c r="C953">
        <v>4</v>
      </c>
      <c r="D953" s="11">
        <v>41730</v>
      </c>
      <c r="E953" t="s">
        <v>2176</v>
      </c>
      <c r="F953">
        <v>3</v>
      </c>
      <c r="G953" t="s">
        <v>65</v>
      </c>
      <c r="H953" t="s">
        <v>47</v>
      </c>
      <c r="I953" t="s">
        <v>2195</v>
      </c>
      <c r="J953" s="10">
        <v>4</v>
      </c>
      <c r="K953" t="b">
        <v>1</v>
      </c>
    </row>
    <row r="954" spans="1:11">
      <c r="A954" s="12">
        <v>41760</v>
      </c>
      <c r="B954">
        <v>2014</v>
      </c>
      <c r="C954">
        <v>5</v>
      </c>
      <c r="D954" s="11">
        <v>41760</v>
      </c>
      <c r="E954" t="s">
        <v>2177</v>
      </c>
      <c r="F954">
        <v>4</v>
      </c>
      <c r="G954" t="s">
        <v>53</v>
      </c>
      <c r="H954" t="s">
        <v>40</v>
      </c>
      <c r="I954" t="s">
        <v>2188</v>
      </c>
      <c r="J954" s="10">
        <v>0</v>
      </c>
      <c r="K954" t="b">
        <v>1</v>
      </c>
    </row>
    <row r="955" spans="1:11">
      <c r="A955" s="12">
        <v>41760</v>
      </c>
      <c r="B955">
        <v>2014</v>
      </c>
      <c r="C955">
        <v>5</v>
      </c>
      <c r="D955" s="11">
        <v>41760</v>
      </c>
      <c r="E955" t="s">
        <v>2177</v>
      </c>
      <c r="F955">
        <v>4</v>
      </c>
      <c r="G955" t="s">
        <v>53</v>
      </c>
      <c r="H955" t="s">
        <v>41</v>
      </c>
      <c r="I955" t="s">
        <v>2189</v>
      </c>
      <c r="J955" s="10">
        <v>0</v>
      </c>
      <c r="K955" t="b">
        <v>1</v>
      </c>
    </row>
    <row r="956" spans="1:11">
      <c r="A956" s="12">
        <v>41760</v>
      </c>
      <c r="B956">
        <v>2014</v>
      </c>
      <c r="C956">
        <v>5</v>
      </c>
      <c r="D956" s="11">
        <v>41760</v>
      </c>
      <c r="E956" t="s">
        <v>2177</v>
      </c>
      <c r="F956">
        <v>4</v>
      </c>
      <c r="G956" t="s">
        <v>53</v>
      </c>
      <c r="H956" t="s">
        <v>42</v>
      </c>
      <c r="I956" t="s">
        <v>2190</v>
      </c>
      <c r="J956" s="10">
        <v>0</v>
      </c>
      <c r="K956" t="b">
        <v>1</v>
      </c>
    </row>
    <row r="957" spans="1:11">
      <c r="A957" s="12">
        <v>41760</v>
      </c>
      <c r="B957">
        <v>2014</v>
      </c>
      <c r="C957">
        <v>5</v>
      </c>
      <c r="D957" s="11">
        <v>41760</v>
      </c>
      <c r="E957" t="s">
        <v>2177</v>
      </c>
      <c r="F957">
        <v>4</v>
      </c>
      <c r="G957" t="s">
        <v>53</v>
      </c>
      <c r="H957" t="s">
        <v>43</v>
      </c>
      <c r="I957" t="s">
        <v>2191</v>
      </c>
      <c r="J957" s="10">
        <v>0</v>
      </c>
      <c r="K957" t="b">
        <v>1</v>
      </c>
    </row>
    <row r="958" spans="1:11">
      <c r="A958" s="12">
        <v>41760</v>
      </c>
      <c r="B958">
        <v>2014</v>
      </c>
      <c r="C958">
        <v>5</v>
      </c>
      <c r="D958" s="11">
        <v>41760</v>
      </c>
      <c r="E958" t="s">
        <v>2177</v>
      </c>
      <c r="F958">
        <v>4</v>
      </c>
      <c r="G958" t="s">
        <v>53</v>
      </c>
      <c r="H958" t="s">
        <v>44</v>
      </c>
      <c r="I958" t="s">
        <v>2192</v>
      </c>
      <c r="J958" s="10">
        <v>0</v>
      </c>
      <c r="K958" t="b">
        <v>1</v>
      </c>
    </row>
    <row r="959" spans="1:11">
      <c r="A959" s="12">
        <v>41760</v>
      </c>
      <c r="B959">
        <v>2014</v>
      </c>
      <c r="C959">
        <v>5</v>
      </c>
      <c r="D959" s="11">
        <v>41760</v>
      </c>
      <c r="E959" t="s">
        <v>2177</v>
      </c>
      <c r="F959">
        <v>4</v>
      </c>
      <c r="G959" t="s">
        <v>53</v>
      </c>
      <c r="H959" t="s">
        <v>45</v>
      </c>
      <c r="I959" t="s">
        <v>2193</v>
      </c>
      <c r="J959" s="10">
        <v>0</v>
      </c>
      <c r="K959" t="b">
        <v>1</v>
      </c>
    </row>
    <row r="960" spans="1:11">
      <c r="A960" s="12">
        <v>41760</v>
      </c>
      <c r="B960">
        <v>2014</v>
      </c>
      <c r="C960">
        <v>5</v>
      </c>
      <c r="D960" s="11">
        <v>41760</v>
      </c>
      <c r="E960" t="s">
        <v>2177</v>
      </c>
      <c r="F960">
        <v>4</v>
      </c>
      <c r="G960" t="s">
        <v>53</v>
      </c>
      <c r="H960" t="s">
        <v>46</v>
      </c>
      <c r="I960" t="s">
        <v>2194</v>
      </c>
      <c r="J960" s="10">
        <v>0</v>
      </c>
      <c r="K960" t="b">
        <v>1</v>
      </c>
    </row>
    <row r="961" spans="1:11">
      <c r="A961" s="12">
        <v>41760</v>
      </c>
      <c r="B961">
        <v>2014</v>
      </c>
      <c r="C961">
        <v>5</v>
      </c>
      <c r="D961" s="11">
        <v>41760</v>
      </c>
      <c r="E961" t="s">
        <v>2177</v>
      </c>
      <c r="F961">
        <v>4</v>
      </c>
      <c r="G961" t="s">
        <v>53</v>
      </c>
      <c r="H961" t="s">
        <v>47</v>
      </c>
      <c r="I961" t="s">
        <v>2195</v>
      </c>
      <c r="J961" s="10">
        <v>0</v>
      </c>
      <c r="K961" t="b">
        <v>1</v>
      </c>
    </row>
    <row r="962" spans="1:11">
      <c r="A962" s="12">
        <v>41761</v>
      </c>
      <c r="B962">
        <v>2014</v>
      </c>
      <c r="C962">
        <v>5</v>
      </c>
      <c r="D962" s="11">
        <v>41760</v>
      </c>
      <c r="E962" t="s">
        <v>2177</v>
      </c>
      <c r="F962">
        <v>5</v>
      </c>
      <c r="G962" t="s">
        <v>55</v>
      </c>
      <c r="H962" t="s">
        <v>40</v>
      </c>
      <c r="I962" t="s">
        <v>2188</v>
      </c>
      <c r="J962" s="10">
        <v>7.34</v>
      </c>
      <c r="K962" t="b">
        <v>1</v>
      </c>
    </row>
    <row r="963" spans="1:11">
      <c r="A963" s="12">
        <v>41761</v>
      </c>
      <c r="B963">
        <v>2014</v>
      </c>
      <c r="C963">
        <v>5</v>
      </c>
      <c r="D963" s="11">
        <v>41760</v>
      </c>
      <c r="E963" t="s">
        <v>2177</v>
      </c>
      <c r="F963">
        <v>5</v>
      </c>
      <c r="G963" t="s">
        <v>55</v>
      </c>
      <c r="H963" t="s">
        <v>41</v>
      </c>
      <c r="I963" t="s">
        <v>2189</v>
      </c>
      <c r="J963" s="10">
        <v>7.34</v>
      </c>
      <c r="K963" t="b">
        <v>1</v>
      </c>
    </row>
    <row r="964" spans="1:11">
      <c r="A964" s="12">
        <v>41761</v>
      </c>
      <c r="B964">
        <v>2014</v>
      </c>
      <c r="C964">
        <v>5</v>
      </c>
      <c r="D964" s="11">
        <v>41760</v>
      </c>
      <c r="E964" t="s">
        <v>2177</v>
      </c>
      <c r="F964">
        <v>5</v>
      </c>
      <c r="G964" t="s">
        <v>55</v>
      </c>
      <c r="H964" t="s">
        <v>42</v>
      </c>
      <c r="I964" t="s">
        <v>2190</v>
      </c>
      <c r="J964" s="10">
        <v>6.3</v>
      </c>
      <c r="K964" t="b">
        <v>1</v>
      </c>
    </row>
    <row r="965" spans="1:11">
      <c r="A965" s="12">
        <v>41761</v>
      </c>
      <c r="B965">
        <v>2014</v>
      </c>
      <c r="C965">
        <v>5</v>
      </c>
      <c r="D965" s="11">
        <v>41760</v>
      </c>
      <c r="E965" t="s">
        <v>2177</v>
      </c>
      <c r="F965">
        <v>5</v>
      </c>
      <c r="G965" t="s">
        <v>55</v>
      </c>
      <c r="H965" t="s">
        <v>43</v>
      </c>
      <c r="I965" t="s">
        <v>2191</v>
      </c>
      <c r="J965" s="10">
        <v>39.5</v>
      </c>
      <c r="K965" t="b">
        <v>1</v>
      </c>
    </row>
    <row r="966" spans="1:11">
      <c r="A966" s="12">
        <v>41761</v>
      </c>
      <c r="B966">
        <v>2014</v>
      </c>
      <c r="C966">
        <v>5</v>
      </c>
      <c r="D966" s="11">
        <v>41760</v>
      </c>
      <c r="E966" t="s">
        <v>2177</v>
      </c>
      <c r="F966">
        <v>5</v>
      </c>
      <c r="G966" t="s">
        <v>55</v>
      </c>
      <c r="H966" t="s">
        <v>44</v>
      </c>
      <c r="I966" t="s">
        <v>2192</v>
      </c>
      <c r="J966" s="10">
        <v>16</v>
      </c>
      <c r="K966" t="b">
        <v>1</v>
      </c>
    </row>
    <row r="967" spans="1:11">
      <c r="A967" s="12">
        <v>41761</v>
      </c>
      <c r="B967">
        <v>2014</v>
      </c>
      <c r="C967">
        <v>5</v>
      </c>
      <c r="D967" s="11">
        <v>41760</v>
      </c>
      <c r="E967" t="s">
        <v>2177</v>
      </c>
      <c r="F967">
        <v>5</v>
      </c>
      <c r="G967" t="s">
        <v>55</v>
      </c>
      <c r="H967" t="s">
        <v>45</v>
      </c>
      <c r="I967" t="s">
        <v>2193</v>
      </c>
      <c r="J967" s="10">
        <v>1</v>
      </c>
      <c r="K967" t="b">
        <v>1</v>
      </c>
    </row>
    <row r="968" spans="1:11">
      <c r="A968" s="12">
        <v>41761</v>
      </c>
      <c r="B968">
        <v>2014</v>
      </c>
      <c r="C968">
        <v>5</v>
      </c>
      <c r="D968" s="11">
        <v>41760</v>
      </c>
      <c r="E968" t="s">
        <v>2177</v>
      </c>
      <c r="F968">
        <v>5</v>
      </c>
      <c r="G968" t="s">
        <v>55</v>
      </c>
      <c r="H968" t="s">
        <v>46</v>
      </c>
      <c r="I968" t="s">
        <v>2194</v>
      </c>
      <c r="J968" s="10">
        <v>12</v>
      </c>
      <c r="K968" t="b">
        <v>1</v>
      </c>
    </row>
    <row r="969" spans="1:11">
      <c r="A969" s="12">
        <v>41761</v>
      </c>
      <c r="B969">
        <v>2014</v>
      </c>
      <c r="C969">
        <v>5</v>
      </c>
      <c r="D969" s="11">
        <v>41760</v>
      </c>
      <c r="E969" t="s">
        <v>2177</v>
      </c>
      <c r="F969">
        <v>5</v>
      </c>
      <c r="G969" t="s">
        <v>55</v>
      </c>
      <c r="H969" t="s">
        <v>47</v>
      </c>
      <c r="I969" t="s">
        <v>2195</v>
      </c>
      <c r="J969" s="10">
        <v>2</v>
      </c>
      <c r="K969" t="b">
        <v>1</v>
      </c>
    </row>
    <row r="970" spans="1:11">
      <c r="A970" s="12">
        <v>41762</v>
      </c>
      <c r="B970">
        <v>2014</v>
      </c>
      <c r="C970">
        <v>5</v>
      </c>
      <c r="D970" s="11">
        <v>41760</v>
      </c>
      <c r="E970" t="s">
        <v>2177</v>
      </c>
      <c r="F970">
        <v>6</v>
      </c>
      <c r="G970" t="s">
        <v>57</v>
      </c>
      <c r="H970" t="s">
        <v>40</v>
      </c>
      <c r="I970" t="s">
        <v>2188</v>
      </c>
      <c r="J970" s="10">
        <v>4</v>
      </c>
      <c r="K970" t="b">
        <v>1</v>
      </c>
    </row>
    <row r="971" spans="1:11">
      <c r="A971" s="12">
        <v>41762</v>
      </c>
      <c r="B971">
        <v>2014</v>
      </c>
      <c r="C971">
        <v>5</v>
      </c>
      <c r="D971" s="11">
        <v>41760</v>
      </c>
      <c r="E971" t="s">
        <v>2177</v>
      </c>
      <c r="F971">
        <v>6</v>
      </c>
      <c r="G971" t="s">
        <v>57</v>
      </c>
      <c r="H971" t="s">
        <v>41</v>
      </c>
      <c r="I971" t="s">
        <v>2189</v>
      </c>
      <c r="J971" s="10">
        <v>5.34</v>
      </c>
      <c r="K971" t="b">
        <v>1</v>
      </c>
    </row>
    <row r="972" spans="1:11">
      <c r="A972" s="12">
        <v>41762</v>
      </c>
      <c r="B972">
        <v>2014</v>
      </c>
      <c r="C972">
        <v>5</v>
      </c>
      <c r="D972" s="11">
        <v>41760</v>
      </c>
      <c r="E972" t="s">
        <v>2177</v>
      </c>
      <c r="F972">
        <v>6</v>
      </c>
      <c r="G972" t="s">
        <v>57</v>
      </c>
      <c r="H972" t="s">
        <v>42</v>
      </c>
      <c r="I972" t="s">
        <v>2190</v>
      </c>
      <c r="J972" s="10">
        <v>2</v>
      </c>
      <c r="K972" t="b">
        <v>1</v>
      </c>
    </row>
    <row r="973" spans="1:11">
      <c r="A973" s="12">
        <v>41762</v>
      </c>
      <c r="B973">
        <v>2014</v>
      </c>
      <c r="C973">
        <v>5</v>
      </c>
      <c r="D973" s="11">
        <v>41760</v>
      </c>
      <c r="E973" t="s">
        <v>2177</v>
      </c>
      <c r="F973">
        <v>6</v>
      </c>
      <c r="G973" t="s">
        <v>57</v>
      </c>
      <c r="H973" t="s">
        <v>43</v>
      </c>
      <c r="I973" t="s">
        <v>2191</v>
      </c>
      <c r="J973" s="10">
        <v>14.6</v>
      </c>
      <c r="K973" t="b">
        <v>1</v>
      </c>
    </row>
    <row r="974" spans="1:11">
      <c r="A974" s="12">
        <v>41762</v>
      </c>
      <c r="B974">
        <v>2014</v>
      </c>
      <c r="C974">
        <v>5</v>
      </c>
      <c r="D974" s="11">
        <v>41760</v>
      </c>
      <c r="E974" t="s">
        <v>2177</v>
      </c>
      <c r="F974">
        <v>6</v>
      </c>
      <c r="G974" t="s">
        <v>57</v>
      </c>
      <c r="H974" t="s">
        <v>44</v>
      </c>
      <c r="I974" t="s">
        <v>2192</v>
      </c>
      <c r="J974" s="10">
        <v>5</v>
      </c>
      <c r="K974" t="b">
        <v>1</v>
      </c>
    </row>
    <row r="975" spans="1:11">
      <c r="A975" s="12">
        <v>41762</v>
      </c>
      <c r="B975">
        <v>2014</v>
      </c>
      <c r="C975">
        <v>5</v>
      </c>
      <c r="D975" s="11">
        <v>41760</v>
      </c>
      <c r="E975" t="s">
        <v>2177</v>
      </c>
      <c r="F975">
        <v>6</v>
      </c>
      <c r="G975" t="s">
        <v>57</v>
      </c>
      <c r="H975" t="s">
        <v>45</v>
      </c>
      <c r="I975" t="s">
        <v>2193</v>
      </c>
      <c r="J975" s="10">
        <v>2</v>
      </c>
      <c r="K975" t="b">
        <v>1</v>
      </c>
    </row>
    <row r="976" spans="1:11">
      <c r="A976" s="12">
        <v>41762</v>
      </c>
      <c r="B976">
        <v>2014</v>
      </c>
      <c r="C976">
        <v>5</v>
      </c>
      <c r="D976" s="11">
        <v>41760</v>
      </c>
      <c r="E976" t="s">
        <v>2177</v>
      </c>
      <c r="F976">
        <v>6</v>
      </c>
      <c r="G976" t="s">
        <v>57</v>
      </c>
      <c r="H976" t="s">
        <v>46</v>
      </c>
      <c r="I976" t="s">
        <v>2194</v>
      </c>
      <c r="J976" s="10">
        <v>0</v>
      </c>
      <c r="K976" t="b">
        <v>1</v>
      </c>
    </row>
    <row r="977" spans="1:11">
      <c r="A977" s="12">
        <v>41762</v>
      </c>
      <c r="B977">
        <v>2014</v>
      </c>
      <c r="C977">
        <v>5</v>
      </c>
      <c r="D977" s="11">
        <v>41760</v>
      </c>
      <c r="E977" t="s">
        <v>2177</v>
      </c>
      <c r="F977">
        <v>6</v>
      </c>
      <c r="G977" t="s">
        <v>57</v>
      </c>
      <c r="H977" t="s">
        <v>47</v>
      </c>
      <c r="I977" t="s">
        <v>2195</v>
      </c>
      <c r="J977" s="10">
        <v>2.5</v>
      </c>
      <c r="K977" t="b">
        <v>1</v>
      </c>
    </row>
    <row r="978" spans="1:11">
      <c r="A978" s="12">
        <v>41763</v>
      </c>
      <c r="B978">
        <v>2014</v>
      </c>
      <c r="C978">
        <v>5</v>
      </c>
      <c r="D978" s="11">
        <v>41760</v>
      </c>
      <c r="E978" t="s">
        <v>2177</v>
      </c>
      <c r="F978">
        <v>7</v>
      </c>
      <c r="G978" t="s">
        <v>59</v>
      </c>
      <c r="H978" t="s">
        <v>40</v>
      </c>
      <c r="I978" t="s">
        <v>2188</v>
      </c>
      <c r="J978" s="10">
        <v>1.67</v>
      </c>
      <c r="K978" t="b">
        <v>1</v>
      </c>
    </row>
    <row r="979" spans="1:11">
      <c r="A979" s="12">
        <v>41763</v>
      </c>
      <c r="B979">
        <v>2014</v>
      </c>
      <c r="C979">
        <v>5</v>
      </c>
      <c r="D979" s="11">
        <v>41760</v>
      </c>
      <c r="E979" t="s">
        <v>2177</v>
      </c>
      <c r="F979">
        <v>7</v>
      </c>
      <c r="G979" t="s">
        <v>59</v>
      </c>
      <c r="H979" t="s">
        <v>41</v>
      </c>
      <c r="I979" t="s">
        <v>2189</v>
      </c>
      <c r="J979" s="10">
        <v>4.69</v>
      </c>
      <c r="K979" t="b">
        <v>1</v>
      </c>
    </row>
    <row r="980" spans="1:11">
      <c r="A980" s="12">
        <v>41763</v>
      </c>
      <c r="B980">
        <v>2014</v>
      </c>
      <c r="C980">
        <v>5</v>
      </c>
      <c r="D980" s="11">
        <v>41760</v>
      </c>
      <c r="E980" t="s">
        <v>2177</v>
      </c>
      <c r="F980">
        <v>7</v>
      </c>
      <c r="G980" t="s">
        <v>59</v>
      </c>
      <c r="H980" t="s">
        <v>42</v>
      </c>
      <c r="I980" t="s">
        <v>2190</v>
      </c>
      <c r="J980" s="10">
        <v>1.2</v>
      </c>
      <c r="K980" t="b">
        <v>1</v>
      </c>
    </row>
    <row r="981" spans="1:11">
      <c r="A981" s="12">
        <v>41763</v>
      </c>
      <c r="B981">
        <v>2014</v>
      </c>
      <c r="C981">
        <v>5</v>
      </c>
      <c r="D981" s="11">
        <v>41760</v>
      </c>
      <c r="E981" t="s">
        <v>2177</v>
      </c>
      <c r="F981">
        <v>7</v>
      </c>
      <c r="G981" t="s">
        <v>59</v>
      </c>
      <c r="H981" t="s">
        <v>43</v>
      </c>
      <c r="I981" t="s">
        <v>2191</v>
      </c>
      <c r="J981" s="10">
        <v>20</v>
      </c>
      <c r="K981" t="b">
        <v>1</v>
      </c>
    </row>
    <row r="982" spans="1:11">
      <c r="A982" s="12">
        <v>41763</v>
      </c>
      <c r="B982">
        <v>2014</v>
      </c>
      <c r="C982">
        <v>5</v>
      </c>
      <c r="D982" s="11">
        <v>41760</v>
      </c>
      <c r="E982" t="s">
        <v>2177</v>
      </c>
      <c r="F982">
        <v>7</v>
      </c>
      <c r="G982" t="s">
        <v>59</v>
      </c>
      <c r="H982" t="s">
        <v>44</v>
      </c>
      <c r="I982" t="s">
        <v>2192</v>
      </c>
      <c r="J982" s="10">
        <v>3</v>
      </c>
      <c r="K982" t="b">
        <v>1</v>
      </c>
    </row>
    <row r="983" spans="1:11">
      <c r="A983" s="12">
        <v>41763</v>
      </c>
      <c r="B983">
        <v>2014</v>
      </c>
      <c r="C983">
        <v>5</v>
      </c>
      <c r="D983" s="11">
        <v>41760</v>
      </c>
      <c r="E983" t="s">
        <v>2177</v>
      </c>
      <c r="F983">
        <v>7</v>
      </c>
      <c r="G983" t="s">
        <v>59</v>
      </c>
      <c r="H983" t="s">
        <v>45</v>
      </c>
      <c r="I983" t="s">
        <v>2193</v>
      </c>
      <c r="J983" s="10">
        <v>0</v>
      </c>
      <c r="K983" t="b">
        <v>1</v>
      </c>
    </row>
    <row r="984" spans="1:11">
      <c r="A984" s="12">
        <v>41763</v>
      </c>
      <c r="B984">
        <v>2014</v>
      </c>
      <c r="C984">
        <v>5</v>
      </c>
      <c r="D984" s="11">
        <v>41760</v>
      </c>
      <c r="E984" t="s">
        <v>2177</v>
      </c>
      <c r="F984">
        <v>7</v>
      </c>
      <c r="G984" t="s">
        <v>59</v>
      </c>
      <c r="H984" t="s">
        <v>46</v>
      </c>
      <c r="I984" t="s">
        <v>2194</v>
      </c>
      <c r="J984" s="10">
        <v>0</v>
      </c>
      <c r="K984" t="b">
        <v>1</v>
      </c>
    </row>
    <row r="985" spans="1:11">
      <c r="A985" s="12">
        <v>41763</v>
      </c>
      <c r="B985">
        <v>2014</v>
      </c>
      <c r="C985">
        <v>5</v>
      </c>
      <c r="D985" s="11">
        <v>41760</v>
      </c>
      <c r="E985" t="s">
        <v>2177</v>
      </c>
      <c r="F985">
        <v>7</v>
      </c>
      <c r="G985" t="s">
        <v>59</v>
      </c>
      <c r="H985" t="s">
        <v>47</v>
      </c>
      <c r="I985" t="s">
        <v>2195</v>
      </c>
      <c r="J985" s="10">
        <v>3</v>
      </c>
      <c r="K985" t="b">
        <v>1</v>
      </c>
    </row>
    <row r="986" spans="1:11">
      <c r="A986" s="12">
        <v>41764</v>
      </c>
      <c r="B986">
        <v>2014</v>
      </c>
      <c r="C986">
        <v>5</v>
      </c>
      <c r="D986" s="11">
        <v>41760</v>
      </c>
      <c r="E986" t="s">
        <v>2177</v>
      </c>
      <c r="F986">
        <v>1</v>
      </c>
      <c r="G986" t="s">
        <v>61</v>
      </c>
      <c r="H986" t="s">
        <v>40</v>
      </c>
      <c r="I986" t="s">
        <v>2188</v>
      </c>
      <c r="J986" s="10">
        <v>3</v>
      </c>
      <c r="K986" t="b">
        <v>1</v>
      </c>
    </row>
    <row r="987" spans="1:11">
      <c r="A987" s="12">
        <v>41764</v>
      </c>
      <c r="B987">
        <v>2014</v>
      </c>
      <c r="C987">
        <v>5</v>
      </c>
      <c r="D987" s="11">
        <v>41760</v>
      </c>
      <c r="E987" t="s">
        <v>2177</v>
      </c>
      <c r="F987">
        <v>1</v>
      </c>
      <c r="G987" t="s">
        <v>61</v>
      </c>
      <c r="H987" t="s">
        <v>41</v>
      </c>
      <c r="I987" t="s">
        <v>2189</v>
      </c>
      <c r="J987" s="10">
        <v>5.785</v>
      </c>
      <c r="K987" t="b">
        <v>1</v>
      </c>
    </row>
    <row r="988" spans="1:11">
      <c r="A988" s="12">
        <v>41764</v>
      </c>
      <c r="B988">
        <v>2014</v>
      </c>
      <c r="C988">
        <v>5</v>
      </c>
      <c r="D988" s="11">
        <v>41760</v>
      </c>
      <c r="E988" t="s">
        <v>2177</v>
      </c>
      <c r="F988">
        <v>1</v>
      </c>
      <c r="G988" t="s">
        <v>61</v>
      </c>
      <c r="H988" t="s">
        <v>42</v>
      </c>
      <c r="I988" t="s">
        <v>2190</v>
      </c>
      <c r="J988" s="10">
        <v>5</v>
      </c>
      <c r="K988" t="b">
        <v>1</v>
      </c>
    </row>
    <row r="989" spans="1:11">
      <c r="A989" s="12">
        <v>41764</v>
      </c>
      <c r="B989">
        <v>2014</v>
      </c>
      <c r="C989">
        <v>5</v>
      </c>
      <c r="D989" s="11">
        <v>41760</v>
      </c>
      <c r="E989" t="s">
        <v>2177</v>
      </c>
      <c r="F989">
        <v>1</v>
      </c>
      <c r="G989" t="s">
        <v>61</v>
      </c>
      <c r="H989" t="s">
        <v>43</v>
      </c>
      <c r="I989" t="s">
        <v>2191</v>
      </c>
      <c r="J989" s="10">
        <v>20</v>
      </c>
      <c r="K989" t="b">
        <v>1</v>
      </c>
    </row>
    <row r="990" spans="1:11">
      <c r="A990" s="12">
        <v>41764</v>
      </c>
      <c r="B990">
        <v>2014</v>
      </c>
      <c r="C990">
        <v>5</v>
      </c>
      <c r="D990" s="11">
        <v>41760</v>
      </c>
      <c r="E990" t="s">
        <v>2177</v>
      </c>
      <c r="F990">
        <v>1</v>
      </c>
      <c r="G990" t="s">
        <v>61</v>
      </c>
      <c r="H990" t="s">
        <v>44</v>
      </c>
      <c r="I990" t="s">
        <v>2192</v>
      </c>
      <c r="J990" s="10">
        <v>7</v>
      </c>
      <c r="K990" t="b">
        <v>1</v>
      </c>
    </row>
    <row r="991" spans="1:11">
      <c r="A991" s="12">
        <v>41764</v>
      </c>
      <c r="B991">
        <v>2014</v>
      </c>
      <c r="C991">
        <v>5</v>
      </c>
      <c r="D991" s="11">
        <v>41760</v>
      </c>
      <c r="E991" t="s">
        <v>2177</v>
      </c>
      <c r="F991">
        <v>1</v>
      </c>
      <c r="G991" t="s">
        <v>61</v>
      </c>
      <c r="H991" t="s">
        <v>45</v>
      </c>
      <c r="I991" t="s">
        <v>2193</v>
      </c>
      <c r="J991" s="10">
        <v>0</v>
      </c>
      <c r="K991" t="b">
        <v>1</v>
      </c>
    </row>
    <row r="992" spans="1:11">
      <c r="A992" s="12">
        <v>41764</v>
      </c>
      <c r="B992">
        <v>2014</v>
      </c>
      <c r="C992">
        <v>5</v>
      </c>
      <c r="D992" s="11">
        <v>41760</v>
      </c>
      <c r="E992" t="s">
        <v>2177</v>
      </c>
      <c r="F992">
        <v>1</v>
      </c>
      <c r="G992" t="s">
        <v>61</v>
      </c>
      <c r="H992" t="s">
        <v>46</v>
      </c>
      <c r="I992" t="s">
        <v>2194</v>
      </c>
      <c r="J992" s="10">
        <v>3</v>
      </c>
      <c r="K992" t="b">
        <v>1</v>
      </c>
    </row>
    <row r="993" spans="1:11">
      <c r="A993" s="12">
        <v>41764</v>
      </c>
      <c r="B993">
        <v>2014</v>
      </c>
      <c r="C993">
        <v>5</v>
      </c>
      <c r="D993" s="11">
        <v>41760</v>
      </c>
      <c r="E993" t="s">
        <v>2177</v>
      </c>
      <c r="F993">
        <v>1</v>
      </c>
      <c r="G993" t="s">
        <v>61</v>
      </c>
      <c r="H993" t="s">
        <v>47</v>
      </c>
      <c r="I993" t="s">
        <v>2195</v>
      </c>
      <c r="J993" s="10">
        <v>4</v>
      </c>
      <c r="K993" t="b">
        <v>1</v>
      </c>
    </row>
    <row r="994" spans="1:11">
      <c r="A994" s="12">
        <v>41765</v>
      </c>
      <c r="B994">
        <v>2014</v>
      </c>
      <c r="C994">
        <v>5</v>
      </c>
      <c r="D994" s="11">
        <v>41760</v>
      </c>
      <c r="E994" t="s">
        <v>2177</v>
      </c>
      <c r="F994">
        <v>2</v>
      </c>
      <c r="G994" t="s">
        <v>63</v>
      </c>
      <c r="H994" t="s">
        <v>40</v>
      </c>
      <c r="I994" t="s">
        <v>2188</v>
      </c>
      <c r="J994" s="10">
        <v>7.34</v>
      </c>
      <c r="K994" t="b">
        <v>1</v>
      </c>
    </row>
    <row r="995" spans="1:11">
      <c r="A995" s="12">
        <v>41765</v>
      </c>
      <c r="B995">
        <v>2014</v>
      </c>
      <c r="C995">
        <v>5</v>
      </c>
      <c r="D995" s="11">
        <v>41760</v>
      </c>
      <c r="E995" t="s">
        <v>2177</v>
      </c>
      <c r="F995">
        <v>2</v>
      </c>
      <c r="G995" t="s">
        <v>63</v>
      </c>
      <c r="H995" t="s">
        <v>41</v>
      </c>
      <c r="I995" t="s">
        <v>2189</v>
      </c>
      <c r="J995" s="10">
        <v>4.36</v>
      </c>
      <c r="K995" t="b">
        <v>1</v>
      </c>
    </row>
    <row r="996" spans="1:11">
      <c r="A996" s="12">
        <v>41765</v>
      </c>
      <c r="B996">
        <v>2014</v>
      </c>
      <c r="C996">
        <v>5</v>
      </c>
      <c r="D996" s="11">
        <v>41760</v>
      </c>
      <c r="E996" t="s">
        <v>2177</v>
      </c>
      <c r="F996">
        <v>2</v>
      </c>
      <c r="G996" t="s">
        <v>63</v>
      </c>
      <c r="H996" t="s">
        <v>42</v>
      </c>
      <c r="I996" t="s">
        <v>2190</v>
      </c>
      <c r="J996" s="10">
        <v>4</v>
      </c>
      <c r="K996" t="b">
        <v>1</v>
      </c>
    </row>
    <row r="997" spans="1:11">
      <c r="A997" s="12">
        <v>41765</v>
      </c>
      <c r="B997">
        <v>2014</v>
      </c>
      <c r="C997">
        <v>5</v>
      </c>
      <c r="D997" s="11">
        <v>41760</v>
      </c>
      <c r="E997" t="s">
        <v>2177</v>
      </c>
      <c r="F997">
        <v>2</v>
      </c>
      <c r="G997" t="s">
        <v>63</v>
      </c>
      <c r="H997" t="s">
        <v>43</v>
      </c>
      <c r="I997" t="s">
        <v>2191</v>
      </c>
      <c r="J997" s="10">
        <v>22</v>
      </c>
      <c r="K997" t="b">
        <v>1</v>
      </c>
    </row>
    <row r="998" spans="1:11">
      <c r="A998" s="12">
        <v>41765</v>
      </c>
      <c r="B998">
        <v>2014</v>
      </c>
      <c r="C998">
        <v>5</v>
      </c>
      <c r="D998" s="11">
        <v>41760</v>
      </c>
      <c r="E998" t="s">
        <v>2177</v>
      </c>
      <c r="F998">
        <v>2</v>
      </c>
      <c r="G998" t="s">
        <v>63</v>
      </c>
      <c r="H998" t="s">
        <v>44</v>
      </c>
      <c r="I998" t="s">
        <v>2192</v>
      </c>
      <c r="J998" s="10">
        <v>10</v>
      </c>
      <c r="K998" t="b">
        <v>1</v>
      </c>
    </row>
    <row r="999" spans="1:11">
      <c r="A999" s="12">
        <v>41765</v>
      </c>
      <c r="B999">
        <v>2014</v>
      </c>
      <c r="C999">
        <v>5</v>
      </c>
      <c r="D999" s="11">
        <v>41760</v>
      </c>
      <c r="E999" t="s">
        <v>2177</v>
      </c>
      <c r="F999">
        <v>2</v>
      </c>
      <c r="G999" t="s">
        <v>63</v>
      </c>
      <c r="H999" t="s">
        <v>45</v>
      </c>
      <c r="I999" t="s">
        <v>2193</v>
      </c>
      <c r="J999" s="10">
        <v>2</v>
      </c>
      <c r="K999" t="b">
        <v>1</v>
      </c>
    </row>
    <row r="1000" spans="1:11">
      <c r="A1000" s="12">
        <v>41765</v>
      </c>
      <c r="B1000">
        <v>2014</v>
      </c>
      <c r="C1000">
        <v>5</v>
      </c>
      <c r="D1000" s="11">
        <v>41760</v>
      </c>
      <c r="E1000" t="s">
        <v>2177</v>
      </c>
      <c r="F1000">
        <v>2</v>
      </c>
      <c r="G1000" t="s">
        <v>63</v>
      </c>
      <c r="H1000" t="s">
        <v>46</v>
      </c>
      <c r="I1000" t="s">
        <v>2194</v>
      </c>
      <c r="J1000" s="10">
        <v>6</v>
      </c>
      <c r="K1000" t="b">
        <v>1</v>
      </c>
    </row>
    <row r="1001" spans="1:11">
      <c r="A1001" s="12">
        <v>41765</v>
      </c>
      <c r="B1001">
        <v>2014</v>
      </c>
      <c r="C1001">
        <v>5</v>
      </c>
      <c r="D1001" s="11">
        <v>41760</v>
      </c>
      <c r="E1001" t="s">
        <v>2177</v>
      </c>
      <c r="F1001">
        <v>2</v>
      </c>
      <c r="G1001" t="s">
        <v>63</v>
      </c>
      <c r="H1001" t="s">
        <v>47</v>
      </c>
      <c r="I1001" t="s">
        <v>2195</v>
      </c>
      <c r="J1001" s="10">
        <v>5</v>
      </c>
      <c r="K1001" t="b">
        <v>1</v>
      </c>
    </row>
    <row r="1002" spans="1:11">
      <c r="A1002" s="12">
        <v>41766</v>
      </c>
      <c r="B1002">
        <v>2014</v>
      </c>
      <c r="C1002">
        <v>5</v>
      </c>
      <c r="D1002" s="11">
        <v>41760</v>
      </c>
      <c r="E1002" t="s">
        <v>2177</v>
      </c>
      <c r="F1002">
        <v>3</v>
      </c>
      <c r="G1002" t="s">
        <v>65</v>
      </c>
      <c r="H1002" t="s">
        <v>40</v>
      </c>
      <c r="I1002" t="s">
        <v>2188</v>
      </c>
      <c r="J1002" s="10">
        <v>3.33</v>
      </c>
      <c r="K1002" t="b">
        <v>1</v>
      </c>
    </row>
    <row r="1003" spans="1:11">
      <c r="A1003" s="12">
        <v>41766</v>
      </c>
      <c r="B1003">
        <v>2014</v>
      </c>
      <c r="C1003">
        <v>5</v>
      </c>
      <c r="D1003" s="11">
        <v>41760</v>
      </c>
      <c r="E1003" t="s">
        <v>2177</v>
      </c>
      <c r="F1003">
        <v>3</v>
      </c>
      <c r="G1003" t="s">
        <v>65</v>
      </c>
      <c r="H1003" t="s">
        <v>41</v>
      </c>
      <c r="I1003" t="s">
        <v>2189</v>
      </c>
      <c r="J1003" s="10">
        <v>6.32</v>
      </c>
      <c r="K1003" t="b">
        <v>1</v>
      </c>
    </row>
    <row r="1004" spans="1:11">
      <c r="A1004" s="12">
        <v>41766</v>
      </c>
      <c r="B1004">
        <v>2014</v>
      </c>
      <c r="C1004">
        <v>5</v>
      </c>
      <c r="D1004" s="11">
        <v>41760</v>
      </c>
      <c r="E1004" t="s">
        <v>2177</v>
      </c>
      <c r="F1004">
        <v>3</v>
      </c>
      <c r="G1004" t="s">
        <v>65</v>
      </c>
      <c r="H1004" t="s">
        <v>42</v>
      </c>
      <c r="I1004" t="s">
        <v>2190</v>
      </c>
      <c r="J1004" s="10">
        <v>3</v>
      </c>
      <c r="K1004" t="b">
        <v>1</v>
      </c>
    </row>
    <row r="1005" spans="1:11">
      <c r="A1005" s="12">
        <v>41766</v>
      </c>
      <c r="B1005">
        <v>2014</v>
      </c>
      <c r="C1005">
        <v>5</v>
      </c>
      <c r="D1005" s="11">
        <v>41760</v>
      </c>
      <c r="E1005" t="s">
        <v>2177</v>
      </c>
      <c r="F1005">
        <v>3</v>
      </c>
      <c r="G1005" t="s">
        <v>65</v>
      </c>
      <c r="H1005" t="s">
        <v>43</v>
      </c>
      <c r="I1005" t="s">
        <v>2191</v>
      </c>
      <c r="J1005" s="10">
        <v>16.8</v>
      </c>
      <c r="K1005" t="b">
        <v>1</v>
      </c>
    </row>
    <row r="1006" spans="1:11">
      <c r="A1006" s="12">
        <v>41766</v>
      </c>
      <c r="B1006">
        <v>2014</v>
      </c>
      <c r="C1006">
        <v>5</v>
      </c>
      <c r="D1006" s="11">
        <v>41760</v>
      </c>
      <c r="E1006" t="s">
        <v>2177</v>
      </c>
      <c r="F1006">
        <v>3</v>
      </c>
      <c r="G1006" t="s">
        <v>65</v>
      </c>
      <c r="H1006" t="s">
        <v>44</v>
      </c>
      <c r="I1006" t="s">
        <v>2192</v>
      </c>
      <c r="J1006" s="10">
        <v>8</v>
      </c>
      <c r="K1006" t="b">
        <v>1</v>
      </c>
    </row>
    <row r="1007" spans="1:11">
      <c r="A1007" s="12">
        <v>41766</v>
      </c>
      <c r="B1007">
        <v>2014</v>
      </c>
      <c r="C1007">
        <v>5</v>
      </c>
      <c r="D1007" s="11">
        <v>41760</v>
      </c>
      <c r="E1007" t="s">
        <v>2177</v>
      </c>
      <c r="F1007">
        <v>3</v>
      </c>
      <c r="G1007" t="s">
        <v>65</v>
      </c>
      <c r="H1007" t="s">
        <v>45</v>
      </c>
      <c r="I1007" t="s">
        <v>2193</v>
      </c>
      <c r="J1007" s="10">
        <v>1</v>
      </c>
      <c r="K1007" t="b">
        <v>1</v>
      </c>
    </row>
    <row r="1008" spans="1:11">
      <c r="A1008" s="12">
        <v>41766</v>
      </c>
      <c r="B1008">
        <v>2014</v>
      </c>
      <c r="C1008">
        <v>5</v>
      </c>
      <c r="D1008" s="11">
        <v>41760</v>
      </c>
      <c r="E1008" t="s">
        <v>2177</v>
      </c>
      <c r="F1008">
        <v>3</v>
      </c>
      <c r="G1008" t="s">
        <v>65</v>
      </c>
      <c r="H1008" t="s">
        <v>46</v>
      </c>
      <c r="I1008" t="s">
        <v>2194</v>
      </c>
      <c r="J1008" s="10">
        <v>3</v>
      </c>
      <c r="K1008" t="b">
        <v>1</v>
      </c>
    </row>
    <row r="1009" spans="1:11">
      <c r="A1009" s="12">
        <v>41766</v>
      </c>
      <c r="B1009">
        <v>2014</v>
      </c>
      <c r="C1009">
        <v>5</v>
      </c>
      <c r="D1009" s="11">
        <v>41760</v>
      </c>
      <c r="E1009" t="s">
        <v>2177</v>
      </c>
      <c r="F1009">
        <v>3</v>
      </c>
      <c r="G1009" t="s">
        <v>65</v>
      </c>
      <c r="H1009" t="s">
        <v>47</v>
      </c>
      <c r="I1009" t="s">
        <v>2195</v>
      </c>
      <c r="J1009" s="10">
        <v>11</v>
      </c>
      <c r="K1009" t="b">
        <v>1</v>
      </c>
    </row>
    <row r="1010" spans="1:11">
      <c r="A1010" s="12">
        <v>41767</v>
      </c>
      <c r="B1010">
        <v>2014</v>
      </c>
      <c r="C1010">
        <v>5</v>
      </c>
      <c r="D1010" s="11">
        <v>41760</v>
      </c>
      <c r="E1010" t="s">
        <v>2177</v>
      </c>
      <c r="F1010">
        <v>4</v>
      </c>
      <c r="G1010" t="s">
        <v>53</v>
      </c>
      <c r="H1010" t="s">
        <v>40</v>
      </c>
      <c r="I1010" t="s">
        <v>2188</v>
      </c>
      <c r="J1010" s="10">
        <v>2</v>
      </c>
      <c r="K1010" t="b">
        <v>1</v>
      </c>
    </row>
    <row r="1011" spans="1:11">
      <c r="A1011" s="12">
        <v>41767</v>
      </c>
      <c r="B1011">
        <v>2014</v>
      </c>
      <c r="C1011">
        <v>5</v>
      </c>
      <c r="D1011" s="11">
        <v>41760</v>
      </c>
      <c r="E1011" t="s">
        <v>2177</v>
      </c>
      <c r="F1011">
        <v>4</v>
      </c>
      <c r="G1011" t="s">
        <v>53</v>
      </c>
      <c r="H1011" t="s">
        <v>41</v>
      </c>
      <c r="I1011" t="s">
        <v>2189</v>
      </c>
      <c r="J1011" s="10">
        <v>2.34</v>
      </c>
      <c r="K1011" t="b">
        <v>1</v>
      </c>
    </row>
    <row r="1012" spans="1:11">
      <c r="A1012" s="12">
        <v>41767</v>
      </c>
      <c r="B1012">
        <v>2014</v>
      </c>
      <c r="C1012">
        <v>5</v>
      </c>
      <c r="D1012" s="11">
        <v>41760</v>
      </c>
      <c r="E1012" t="s">
        <v>2177</v>
      </c>
      <c r="F1012">
        <v>4</v>
      </c>
      <c r="G1012" t="s">
        <v>53</v>
      </c>
      <c r="H1012" t="s">
        <v>42</v>
      </c>
      <c r="I1012" t="s">
        <v>2190</v>
      </c>
      <c r="J1012" s="10">
        <v>3.4</v>
      </c>
      <c r="K1012" t="b">
        <v>1</v>
      </c>
    </row>
    <row r="1013" spans="1:11">
      <c r="A1013" s="12">
        <v>41767</v>
      </c>
      <c r="B1013">
        <v>2014</v>
      </c>
      <c r="C1013">
        <v>5</v>
      </c>
      <c r="D1013" s="11">
        <v>41760</v>
      </c>
      <c r="E1013" t="s">
        <v>2177</v>
      </c>
      <c r="F1013">
        <v>4</v>
      </c>
      <c r="G1013" t="s">
        <v>53</v>
      </c>
      <c r="H1013" t="s">
        <v>43</v>
      </c>
      <c r="I1013" t="s">
        <v>2191</v>
      </c>
      <c r="J1013" s="10">
        <v>20.4</v>
      </c>
      <c r="K1013" t="b">
        <v>1</v>
      </c>
    </row>
    <row r="1014" spans="1:11">
      <c r="A1014" s="12">
        <v>41767</v>
      </c>
      <c r="B1014">
        <v>2014</v>
      </c>
      <c r="C1014">
        <v>5</v>
      </c>
      <c r="D1014" s="11">
        <v>41760</v>
      </c>
      <c r="E1014" t="s">
        <v>2177</v>
      </c>
      <c r="F1014">
        <v>4</v>
      </c>
      <c r="G1014" t="s">
        <v>53</v>
      </c>
      <c r="H1014" t="s">
        <v>44</v>
      </c>
      <c r="I1014" t="s">
        <v>2192</v>
      </c>
      <c r="J1014" s="10">
        <v>10</v>
      </c>
      <c r="K1014" t="b">
        <v>1</v>
      </c>
    </row>
    <row r="1015" spans="1:11">
      <c r="A1015" s="12">
        <v>41767</v>
      </c>
      <c r="B1015">
        <v>2014</v>
      </c>
      <c r="C1015">
        <v>5</v>
      </c>
      <c r="D1015" s="11">
        <v>41760</v>
      </c>
      <c r="E1015" t="s">
        <v>2177</v>
      </c>
      <c r="F1015">
        <v>4</v>
      </c>
      <c r="G1015" t="s">
        <v>53</v>
      </c>
      <c r="H1015" t="s">
        <v>45</v>
      </c>
      <c r="I1015" t="s">
        <v>2193</v>
      </c>
      <c r="J1015" s="10">
        <v>3</v>
      </c>
      <c r="K1015" t="b">
        <v>1</v>
      </c>
    </row>
    <row r="1016" spans="1:11">
      <c r="A1016" s="12">
        <v>41767</v>
      </c>
      <c r="B1016">
        <v>2014</v>
      </c>
      <c r="C1016">
        <v>5</v>
      </c>
      <c r="D1016" s="11">
        <v>41760</v>
      </c>
      <c r="E1016" t="s">
        <v>2177</v>
      </c>
      <c r="F1016">
        <v>4</v>
      </c>
      <c r="G1016" t="s">
        <v>53</v>
      </c>
      <c r="H1016" t="s">
        <v>46</v>
      </c>
      <c r="I1016" t="s">
        <v>2194</v>
      </c>
      <c r="J1016" s="10">
        <v>0</v>
      </c>
      <c r="K1016" t="b">
        <v>1</v>
      </c>
    </row>
    <row r="1017" spans="1:11">
      <c r="A1017" s="12">
        <v>41767</v>
      </c>
      <c r="B1017">
        <v>2014</v>
      </c>
      <c r="C1017">
        <v>5</v>
      </c>
      <c r="D1017" s="11">
        <v>41760</v>
      </c>
      <c r="E1017" t="s">
        <v>2177</v>
      </c>
      <c r="F1017">
        <v>4</v>
      </c>
      <c r="G1017" t="s">
        <v>53</v>
      </c>
      <c r="H1017" t="s">
        <v>47</v>
      </c>
      <c r="I1017" t="s">
        <v>2195</v>
      </c>
      <c r="J1017" s="10">
        <v>5</v>
      </c>
      <c r="K1017" t="b">
        <v>1</v>
      </c>
    </row>
    <row r="1018" spans="1:11">
      <c r="A1018" s="12">
        <v>41768</v>
      </c>
      <c r="B1018">
        <v>2014</v>
      </c>
      <c r="C1018">
        <v>5</v>
      </c>
      <c r="D1018" s="11">
        <v>41760</v>
      </c>
      <c r="E1018" t="s">
        <v>2177</v>
      </c>
      <c r="F1018">
        <v>5</v>
      </c>
      <c r="G1018" t="s">
        <v>55</v>
      </c>
      <c r="H1018" t="s">
        <v>40</v>
      </c>
      <c r="I1018" t="s">
        <v>2188</v>
      </c>
      <c r="J1018" s="10">
        <v>2</v>
      </c>
      <c r="K1018" t="b">
        <v>1</v>
      </c>
    </row>
    <row r="1019" spans="1:11">
      <c r="A1019" s="12">
        <v>41768</v>
      </c>
      <c r="B1019">
        <v>2014</v>
      </c>
      <c r="C1019">
        <v>5</v>
      </c>
      <c r="D1019" s="11">
        <v>41760</v>
      </c>
      <c r="E1019" t="s">
        <v>2177</v>
      </c>
      <c r="F1019">
        <v>5</v>
      </c>
      <c r="G1019" t="s">
        <v>55</v>
      </c>
      <c r="H1019" t="s">
        <v>41</v>
      </c>
      <c r="I1019" t="s">
        <v>2189</v>
      </c>
      <c r="J1019" s="10">
        <v>5</v>
      </c>
      <c r="K1019" t="b">
        <v>1</v>
      </c>
    </row>
    <row r="1020" spans="1:11">
      <c r="A1020" s="12">
        <v>41768</v>
      </c>
      <c r="B1020">
        <v>2014</v>
      </c>
      <c r="C1020">
        <v>5</v>
      </c>
      <c r="D1020" s="11">
        <v>41760</v>
      </c>
      <c r="E1020" t="s">
        <v>2177</v>
      </c>
      <c r="F1020">
        <v>5</v>
      </c>
      <c r="G1020" t="s">
        <v>55</v>
      </c>
      <c r="H1020" t="s">
        <v>42</v>
      </c>
      <c r="I1020" t="s">
        <v>2190</v>
      </c>
      <c r="J1020" s="10">
        <v>4.2</v>
      </c>
      <c r="K1020" t="b">
        <v>1</v>
      </c>
    </row>
    <row r="1021" spans="1:11">
      <c r="A1021" s="12">
        <v>41768</v>
      </c>
      <c r="B1021">
        <v>2014</v>
      </c>
      <c r="C1021">
        <v>5</v>
      </c>
      <c r="D1021" s="11">
        <v>41760</v>
      </c>
      <c r="E1021" t="s">
        <v>2177</v>
      </c>
      <c r="F1021">
        <v>5</v>
      </c>
      <c r="G1021" t="s">
        <v>55</v>
      </c>
      <c r="H1021" t="s">
        <v>43</v>
      </c>
      <c r="I1021" t="s">
        <v>2191</v>
      </c>
      <c r="J1021" s="10">
        <v>16</v>
      </c>
      <c r="K1021" t="b">
        <v>1</v>
      </c>
    </row>
    <row r="1022" spans="1:11">
      <c r="A1022" s="12">
        <v>41768</v>
      </c>
      <c r="B1022">
        <v>2014</v>
      </c>
      <c r="C1022">
        <v>5</v>
      </c>
      <c r="D1022" s="11">
        <v>41760</v>
      </c>
      <c r="E1022" t="s">
        <v>2177</v>
      </c>
      <c r="F1022">
        <v>5</v>
      </c>
      <c r="G1022" t="s">
        <v>55</v>
      </c>
      <c r="H1022" t="s">
        <v>44</v>
      </c>
      <c r="I1022" t="s">
        <v>2192</v>
      </c>
      <c r="J1022" s="10">
        <v>12</v>
      </c>
      <c r="K1022" t="b">
        <v>1</v>
      </c>
    </row>
    <row r="1023" spans="1:11">
      <c r="A1023" s="12">
        <v>41768</v>
      </c>
      <c r="B1023">
        <v>2014</v>
      </c>
      <c r="C1023">
        <v>5</v>
      </c>
      <c r="D1023" s="11">
        <v>41760</v>
      </c>
      <c r="E1023" t="s">
        <v>2177</v>
      </c>
      <c r="F1023">
        <v>5</v>
      </c>
      <c r="G1023" t="s">
        <v>55</v>
      </c>
      <c r="H1023" t="s">
        <v>45</v>
      </c>
      <c r="I1023" t="s">
        <v>2193</v>
      </c>
      <c r="J1023" s="10">
        <v>2</v>
      </c>
      <c r="K1023" t="b">
        <v>1</v>
      </c>
    </row>
    <row r="1024" spans="1:11">
      <c r="A1024" s="12">
        <v>41768</v>
      </c>
      <c r="B1024">
        <v>2014</v>
      </c>
      <c r="C1024">
        <v>5</v>
      </c>
      <c r="D1024" s="11">
        <v>41760</v>
      </c>
      <c r="E1024" t="s">
        <v>2177</v>
      </c>
      <c r="F1024">
        <v>5</v>
      </c>
      <c r="G1024" t="s">
        <v>55</v>
      </c>
      <c r="H1024" t="s">
        <v>46</v>
      </c>
      <c r="I1024" t="s">
        <v>2194</v>
      </c>
      <c r="J1024" s="10">
        <v>1</v>
      </c>
      <c r="K1024" t="b">
        <v>1</v>
      </c>
    </row>
    <row r="1025" spans="1:11">
      <c r="A1025" s="12">
        <v>41768</v>
      </c>
      <c r="B1025">
        <v>2014</v>
      </c>
      <c r="C1025">
        <v>5</v>
      </c>
      <c r="D1025" s="11">
        <v>41760</v>
      </c>
      <c r="E1025" t="s">
        <v>2177</v>
      </c>
      <c r="F1025">
        <v>5</v>
      </c>
      <c r="G1025" t="s">
        <v>55</v>
      </c>
      <c r="H1025" t="s">
        <v>47</v>
      </c>
      <c r="I1025" t="s">
        <v>2195</v>
      </c>
      <c r="J1025" s="10">
        <v>2</v>
      </c>
      <c r="K1025" t="b">
        <v>1</v>
      </c>
    </row>
    <row r="1026" spans="1:11">
      <c r="A1026" s="12">
        <v>41769</v>
      </c>
      <c r="B1026">
        <v>2014</v>
      </c>
      <c r="C1026">
        <v>5</v>
      </c>
      <c r="D1026" s="11">
        <v>41760</v>
      </c>
      <c r="E1026" t="s">
        <v>2177</v>
      </c>
      <c r="F1026">
        <v>6</v>
      </c>
      <c r="G1026" t="s">
        <v>57</v>
      </c>
      <c r="H1026" t="s">
        <v>40</v>
      </c>
      <c r="I1026" t="s">
        <v>2188</v>
      </c>
      <c r="J1026" s="10">
        <v>5</v>
      </c>
      <c r="K1026" t="b">
        <v>1</v>
      </c>
    </row>
    <row r="1027" spans="1:11">
      <c r="A1027" s="12">
        <v>41769</v>
      </c>
      <c r="B1027">
        <v>2014</v>
      </c>
      <c r="C1027">
        <v>5</v>
      </c>
      <c r="D1027" s="11">
        <v>41760</v>
      </c>
      <c r="E1027" t="s">
        <v>2177</v>
      </c>
      <c r="F1027">
        <v>6</v>
      </c>
      <c r="G1027" t="s">
        <v>57</v>
      </c>
      <c r="H1027" t="s">
        <v>41</v>
      </c>
      <c r="I1027" t="s">
        <v>2189</v>
      </c>
      <c r="J1027" s="10">
        <v>6</v>
      </c>
      <c r="K1027" t="b">
        <v>1</v>
      </c>
    </row>
    <row r="1028" spans="1:11">
      <c r="A1028" s="12">
        <v>41769</v>
      </c>
      <c r="B1028">
        <v>2014</v>
      </c>
      <c r="C1028">
        <v>5</v>
      </c>
      <c r="D1028" s="11">
        <v>41760</v>
      </c>
      <c r="E1028" t="s">
        <v>2177</v>
      </c>
      <c r="F1028">
        <v>6</v>
      </c>
      <c r="G1028" t="s">
        <v>57</v>
      </c>
      <c r="H1028" t="s">
        <v>42</v>
      </c>
      <c r="I1028" t="s">
        <v>2190</v>
      </c>
      <c r="J1028" s="10">
        <v>9</v>
      </c>
      <c r="K1028" t="b">
        <v>1</v>
      </c>
    </row>
    <row r="1029" spans="1:11">
      <c r="A1029" s="12">
        <v>41769</v>
      </c>
      <c r="B1029">
        <v>2014</v>
      </c>
      <c r="C1029">
        <v>5</v>
      </c>
      <c r="D1029" s="11">
        <v>41760</v>
      </c>
      <c r="E1029" t="s">
        <v>2177</v>
      </c>
      <c r="F1029">
        <v>6</v>
      </c>
      <c r="G1029" t="s">
        <v>57</v>
      </c>
      <c r="H1029" t="s">
        <v>43</v>
      </c>
      <c r="I1029" t="s">
        <v>2191</v>
      </c>
      <c r="J1029" s="10">
        <v>39.4</v>
      </c>
      <c r="K1029" t="b">
        <v>1</v>
      </c>
    </row>
    <row r="1030" spans="1:11">
      <c r="A1030" s="12">
        <v>41769</v>
      </c>
      <c r="B1030">
        <v>2014</v>
      </c>
      <c r="C1030">
        <v>5</v>
      </c>
      <c r="D1030" s="11">
        <v>41760</v>
      </c>
      <c r="E1030" t="s">
        <v>2177</v>
      </c>
      <c r="F1030">
        <v>6</v>
      </c>
      <c r="G1030" t="s">
        <v>57</v>
      </c>
      <c r="H1030" t="s">
        <v>44</v>
      </c>
      <c r="I1030" t="s">
        <v>2192</v>
      </c>
      <c r="J1030" s="10">
        <v>15</v>
      </c>
      <c r="K1030" t="b">
        <v>1</v>
      </c>
    </row>
    <row r="1031" spans="1:11">
      <c r="A1031" s="12">
        <v>41769</v>
      </c>
      <c r="B1031">
        <v>2014</v>
      </c>
      <c r="C1031">
        <v>5</v>
      </c>
      <c r="D1031" s="11">
        <v>41760</v>
      </c>
      <c r="E1031" t="s">
        <v>2177</v>
      </c>
      <c r="F1031">
        <v>6</v>
      </c>
      <c r="G1031" t="s">
        <v>57</v>
      </c>
      <c r="H1031" t="s">
        <v>45</v>
      </c>
      <c r="I1031" t="s">
        <v>2193</v>
      </c>
      <c r="J1031" s="10">
        <v>3</v>
      </c>
      <c r="K1031" t="b">
        <v>1</v>
      </c>
    </row>
    <row r="1032" spans="1:11">
      <c r="A1032" s="12">
        <v>41769</v>
      </c>
      <c r="B1032">
        <v>2014</v>
      </c>
      <c r="C1032">
        <v>5</v>
      </c>
      <c r="D1032" s="11">
        <v>41760</v>
      </c>
      <c r="E1032" t="s">
        <v>2177</v>
      </c>
      <c r="F1032">
        <v>6</v>
      </c>
      <c r="G1032" t="s">
        <v>57</v>
      </c>
      <c r="H1032" t="s">
        <v>46</v>
      </c>
      <c r="I1032" t="s">
        <v>2194</v>
      </c>
      <c r="J1032" s="10">
        <v>1</v>
      </c>
      <c r="K1032" t="b">
        <v>1</v>
      </c>
    </row>
    <row r="1033" spans="1:11">
      <c r="A1033" s="12">
        <v>41769</v>
      </c>
      <c r="B1033">
        <v>2014</v>
      </c>
      <c r="C1033">
        <v>5</v>
      </c>
      <c r="D1033" s="11">
        <v>41760</v>
      </c>
      <c r="E1033" t="s">
        <v>2177</v>
      </c>
      <c r="F1033">
        <v>6</v>
      </c>
      <c r="G1033" t="s">
        <v>57</v>
      </c>
      <c r="H1033" t="s">
        <v>47</v>
      </c>
      <c r="I1033" t="s">
        <v>2195</v>
      </c>
      <c r="J1033" s="10">
        <v>5</v>
      </c>
      <c r="K1033" t="b">
        <v>1</v>
      </c>
    </row>
    <row r="1034" spans="1:11">
      <c r="A1034" s="12">
        <v>41770</v>
      </c>
      <c r="B1034">
        <v>2014</v>
      </c>
      <c r="C1034">
        <v>5</v>
      </c>
      <c r="D1034" s="11">
        <v>41760</v>
      </c>
      <c r="E1034" t="s">
        <v>2177</v>
      </c>
      <c r="F1034">
        <v>7</v>
      </c>
      <c r="G1034" t="s">
        <v>59</v>
      </c>
      <c r="H1034" t="s">
        <v>40</v>
      </c>
      <c r="I1034" t="s">
        <v>2188</v>
      </c>
      <c r="J1034" s="10">
        <v>2</v>
      </c>
      <c r="K1034" t="b">
        <v>1</v>
      </c>
    </row>
    <row r="1035" spans="1:11">
      <c r="A1035" s="12">
        <v>41770</v>
      </c>
      <c r="B1035">
        <v>2014</v>
      </c>
      <c r="C1035">
        <v>5</v>
      </c>
      <c r="D1035" s="11">
        <v>41760</v>
      </c>
      <c r="E1035" t="s">
        <v>2177</v>
      </c>
      <c r="F1035">
        <v>7</v>
      </c>
      <c r="G1035" t="s">
        <v>59</v>
      </c>
      <c r="H1035" t="s">
        <v>41</v>
      </c>
      <c r="I1035" t="s">
        <v>2189</v>
      </c>
      <c r="J1035" s="10">
        <v>2.68</v>
      </c>
      <c r="K1035" t="b">
        <v>1</v>
      </c>
    </row>
    <row r="1036" spans="1:11">
      <c r="A1036" s="12">
        <v>41770</v>
      </c>
      <c r="B1036">
        <v>2014</v>
      </c>
      <c r="C1036">
        <v>5</v>
      </c>
      <c r="D1036" s="11">
        <v>41760</v>
      </c>
      <c r="E1036" t="s">
        <v>2177</v>
      </c>
      <c r="F1036">
        <v>7</v>
      </c>
      <c r="G1036" t="s">
        <v>59</v>
      </c>
      <c r="H1036" t="s">
        <v>42</v>
      </c>
      <c r="I1036" t="s">
        <v>2190</v>
      </c>
      <c r="J1036" s="10">
        <v>1</v>
      </c>
      <c r="K1036" t="b">
        <v>1</v>
      </c>
    </row>
    <row r="1037" spans="1:11">
      <c r="A1037" s="12">
        <v>41770</v>
      </c>
      <c r="B1037">
        <v>2014</v>
      </c>
      <c r="C1037">
        <v>5</v>
      </c>
      <c r="D1037" s="11">
        <v>41760</v>
      </c>
      <c r="E1037" t="s">
        <v>2177</v>
      </c>
      <c r="F1037">
        <v>7</v>
      </c>
      <c r="G1037" t="s">
        <v>59</v>
      </c>
      <c r="H1037" t="s">
        <v>43</v>
      </c>
      <c r="I1037" t="s">
        <v>2191</v>
      </c>
      <c r="J1037" s="10">
        <v>17</v>
      </c>
      <c r="K1037" t="b">
        <v>1</v>
      </c>
    </row>
    <row r="1038" spans="1:11">
      <c r="A1038" s="12">
        <v>41770</v>
      </c>
      <c r="B1038">
        <v>2014</v>
      </c>
      <c r="C1038">
        <v>5</v>
      </c>
      <c r="D1038" s="11">
        <v>41760</v>
      </c>
      <c r="E1038" t="s">
        <v>2177</v>
      </c>
      <c r="F1038">
        <v>7</v>
      </c>
      <c r="G1038" t="s">
        <v>59</v>
      </c>
      <c r="H1038" t="s">
        <v>44</v>
      </c>
      <c r="I1038" t="s">
        <v>2192</v>
      </c>
      <c r="J1038" s="10">
        <v>7</v>
      </c>
      <c r="K1038" t="b">
        <v>1</v>
      </c>
    </row>
    <row r="1039" spans="1:11">
      <c r="A1039" s="12">
        <v>41770</v>
      </c>
      <c r="B1039">
        <v>2014</v>
      </c>
      <c r="C1039">
        <v>5</v>
      </c>
      <c r="D1039" s="11">
        <v>41760</v>
      </c>
      <c r="E1039" t="s">
        <v>2177</v>
      </c>
      <c r="F1039">
        <v>7</v>
      </c>
      <c r="G1039" t="s">
        <v>59</v>
      </c>
      <c r="H1039" t="s">
        <v>45</v>
      </c>
      <c r="I1039" t="s">
        <v>2193</v>
      </c>
      <c r="J1039" s="10">
        <v>0</v>
      </c>
      <c r="K1039" t="b">
        <v>1</v>
      </c>
    </row>
    <row r="1040" spans="1:11">
      <c r="A1040" s="12">
        <v>41770</v>
      </c>
      <c r="B1040">
        <v>2014</v>
      </c>
      <c r="C1040">
        <v>5</v>
      </c>
      <c r="D1040" s="11">
        <v>41760</v>
      </c>
      <c r="E1040" t="s">
        <v>2177</v>
      </c>
      <c r="F1040">
        <v>7</v>
      </c>
      <c r="G1040" t="s">
        <v>59</v>
      </c>
      <c r="H1040" t="s">
        <v>46</v>
      </c>
      <c r="I1040" t="s">
        <v>2194</v>
      </c>
      <c r="J1040" s="10">
        <v>1</v>
      </c>
      <c r="K1040" t="b">
        <v>1</v>
      </c>
    </row>
    <row r="1041" spans="1:11">
      <c r="A1041" s="12">
        <v>41770</v>
      </c>
      <c r="B1041">
        <v>2014</v>
      </c>
      <c r="C1041">
        <v>5</v>
      </c>
      <c r="D1041" s="11">
        <v>41760</v>
      </c>
      <c r="E1041" t="s">
        <v>2177</v>
      </c>
      <c r="F1041">
        <v>7</v>
      </c>
      <c r="G1041" t="s">
        <v>59</v>
      </c>
      <c r="H1041" t="s">
        <v>47</v>
      </c>
      <c r="I1041" t="s">
        <v>2195</v>
      </c>
      <c r="J1041" s="10">
        <v>4</v>
      </c>
      <c r="K1041" t="b">
        <v>1</v>
      </c>
    </row>
    <row r="1042" spans="1:11">
      <c r="A1042" s="12">
        <v>41771</v>
      </c>
      <c r="B1042">
        <v>2014</v>
      </c>
      <c r="C1042">
        <v>5</v>
      </c>
      <c r="D1042" s="11">
        <v>41760</v>
      </c>
      <c r="E1042" t="s">
        <v>2177</v>
      </c>
      <c r="F1042">
        <v>1</v>
      </c>
      <c r="G1042" t="s">
        <v>61</v>
      </c>
      <c r="H1042" t="s">
        <v>40</v>
      </c>
      <c r="I1042" t="s">
        <v>2188</v>
      </c>
      <c r="J1042" s="10">
        <v>4.34</v>
      </c>
      <c r="K1042" t="b">
        <v>1</v>
      </c>
    </row>
    <row r="1043" spans="1:11">
      <c r="A1043" s="12">
        <v>41771</v>
      </c>
      <c r="B1043">
        <v>2014</v>
      </c>
      <c r="C1043">
        <v>5</v>
      </c>
      <c r="D1043" s="11">
        <v>41760</v>
      </c>
      <c r="E1043" t="s">
        <v>2177</v>
      </c>
      <c r="F1043">
        <v>1</v>
      </c>
      <c r="G1043" t="s">
        <v>61</v>
      </c>
      <c r="H1043" t="s">
        <v>41</v>
      </c>
      <c r="I1043" t="s">
        <v>2189</v>
      </c>
      <c r="J1043" s="10">
        <v>3.34</v>
      </c>
      <c r="K1043" t="b">
        <v>1</v>
      </c>
    </row>
    <row r="1044" spans="1:11">
      <c r="A1044" s="12">
        <v>41771</v>
      </c>
      <c r="B1044">
        <v>2014</v>
      </c>
      <c r="C1044">
        <v>5</v>
      </c>
      <c r="D1044" s="11">
        <v>41760</v>
      </c>
      <c r="E1044" t="s">
        <v>2177</v>
      </c>
      <c r="F1044">
        <v>1</v>
      </c>
      <c r="G1044" t="s">
        <v>61</v>
      </c>
      <c r="H1044" t="s">
        <v>42</v>
      </c>
      <c r="I1044" t="s">
        <v>2190</v>
      </c>
      <c r="J1044" s="10">
        <v>9</v>
      </c>
      <c r="K1044" t="b">
        <v>1</v>
      </c>
    </row>
    <row r="1045" spans="1:11">
      <c r="A1045" s="12">
        <v>41771</v>
      </c>
      <c r="B1045">
        <v>2014</v>
      </c>
      <c r="C1045">
        <v>5</v>
      </c>
      <c r="D1045" s="11">
        <v>41760</v>
      </c>
      <c r="E1045" t="s">
        <v>2177</v>
      </c>
      <c r="F1045">
        <v>1</v>
      </c>
      <c r="G1045" t="s">
        <v>61</v>
      </c>
      <c r="H1045" t="s">
        <v>43</v>
      </c>
      <c r="I1045" t="s">
        <v>2191</v>
      </c>
      <c r="J1045" s="10">
        <v>12</v>
      </c>
      <c r="K1045" t="b">
        <v>1</v>
      </c>
    </row>
    <row r="1046" spans="1:11">
      <c r="A1046" s="12">
        <v>41771</v>
      </c>
      <c r="B1046">
        <v>2014</v>
      </c>
      <c r="C1046">
        <v>5</v>
      </c>
      <c r="D1046" s="11">
        <v>41760</v>
      </c>
      <c r="E1046" t="s">
        <v>2177</v>
      </c>
      <c r="F1046">
        <v>1</v>
      </c>
      <c r="G1046" t="s">
        <v>61</v>
      </c>
      <c r="H1046" t="s">
        <v>44</v>
      </c>
      <c r="I1046" t="s">
        <v>2192</v>
      </c>
      <c r="J1046" s="10">
        <v>8</v>
      </c>
      <c r="K1046" t="b">
        <v>1</v>
      </c>
    </row>
    <row r="1047" spans="1:11">
      <c r="A1047" s="12">
        <v>41771</v>
      </c>
      <c r="B1047">
        <v>2014</v>
      </c>
      <c r="C1047">
        <v>5</v>
      </c>
      <c r="D1047" s="11">
        <v>41760</v>
      </c>
      <c r="E1047" t="s">
        <v>2177</v>
      </c>
      <c r="F1047">
        <v>1</v>
      </c>
      <c r="G1047" t="s">
        <v>61</v>
      </c>
      <c r="H1047" t="s">
        <v>45</v>
      </c>
      <c r="I1047" t="s">
        <v>2193</v>
      </c>
      <c r="J1047" s="10">
        <v>0</v>
      </c>
      <c r="K1047" t="b">
        <v>1</v>
      </c>
    </row>
    <row r="1048" spans="1:11">
      <c r="A1048" s="12">
        <v>41771</v>
      </c>
      <c r="B1048">
        <v>2014</v>
      </c>
      <c r="C1048">
        <v>5</v>
      </c>
      <c r="D1048" s="11">
        <v>41760</v>
      </c>
      <c r="E1048" t="s">
        <v>2177</v>
      </c>
      <c r="F1048">
        <v>1</v>
      </c>
      <c r="G1048" t="s">
        <v>61</v>
      </c>
      <c r="H1048" t="s">
        <v>46</v>
      </c>
      <c r="I1048" t="s">
        <v>2194</v>
      </c>
      <c r="J1048" s="10">
        <v>5</v>
      </c>
      <c r="K1048" t="b">
        <v>1</v>
      </c>
    </row>
    <row r="1049" spans="1:11">
      <c r="A1049" s="12">
        <v>41771</v>
      </c>
      <c r="B1049">
        <v>2014</v>
      </c>
      <c r="C1049">
        <v>5</v>
      </c>
      <c r="D1049" s="11">
        <v>41760</v>
      </c>
      <c r="E1049" t="s">
        <v>2177</v>
      </c>
      <c r="F1049">
        <v>1</v>
      </c>
      <c r="G1049" t="s">
        <v>61</v>
      </c>
      <c r="H1049" t="s">
        <v>47</v>
      </c>
      <c r="I1049" t="s">
        <v>2195</v>
      </c>
      <c r="J1049" s="10">
        <v>2</v>
      </c>
      <c r="K1049" t="b">
        <v>1</v>
      </c>
    </row>
    <row r="1050" spans="1:11">
      <c r="A1050" s="12">
        <v>41772</v>
      </c>
      <c r="B1050">
        <v>2014</v>
      </c>
      <c r="C1050">
        <v>5</v>
      </c>
      <c r="D1050" s="11">
        <v>41760</v>
      </c>
      <c r="E1050" t="s">
        <v>2177</v>
      </c>
      <c r="F1050">
        <v>2</v>
      </c>
      <c r="G1050" t="s">
        <v>63</v>
      </c>
      <c r="H1050" t="s">
        <v>40</v>
      </c>
      <c r="I1050" t="s">
        <v>2188</v>
      </c>
      <c r="J1050" s="10">
        <v>3.68</v>
      </c>
      <c r="K1050" t="b">
        <v>1</v>
      </c>
    </row>
    <row r="1051" spans="1:11">
      <c r="A1051" s="12">
        <v>41772</v>
      </c>
      <c r="B1051">
        <v>2014</v>
      </c>
      <c r="C1051">
        <v>5</v>
      </c>
      <c r="D1051" s="11">
        <v>41760</v>
      </c>
      <c r="E1051" t="s">
        <v>2177</v>
      </c>
      <c r="F1051">
        <v>2</v>
      </c>
      <c r="G1051" t="s">
        <v>63</v>
      </c>
      <c r="H1051" t="s">
        <v>41</v>
      </c>
      <c r="I1051" t="s">
        <v>2189</v>
      </c>
      <c r="J1051" s="10">
        <v>0.34</v>
      </c>
      <c r="K1051" t="b">
        <v>1</v>
      </c>
    </row>
    <row r="1052" spans="1:11">
      <c r="A1052" s="12">
        <v>41772</v>
      </c>
      <c r="B1052">
        <v>2014</v>
      </c>
      <c r="C1052">
        <v>5</v>
      </c>
      <c r="D1052" s="11">
        <v>41760</v>
      </c>
      <c r="E1052" t="s">
        <v>2177</v>
      </c>
      <c r="F1052">
        <v>2</v>
      </c>
      <c r="G1052" t="s">
        <v>63</v>
      </c>
      <c r="H1052" t="s">
        <v>42</v>
      </c>
      <c r="I1052" t="s">
        <v>2190</v>
      </c>
      <c r="J1052" s="10">
        <v>6.2</v>
      </c>
      <c r="K1052" t="b">
        <v>1</v>
      </c>
    </row>
    <row r="1053" spans="1:11">
      <c r="A1053" s="12">
        <v>41772</v>
      </c>
      <c r="B1053">
        <v>2014</v>
      </c>
      <c r="C1053">
        <v>5</v>
      </c>
      <c r="D1053" s="11">
        <v>41760</v>
      </c>
      <c r="E1053" t="s">
        <v>2177</v>
      </c>
      <c r="F1053">
        <v>2</v>
      </c>
      <c r="G1053" t="s">
        <v>63</v>
      </c>
      <c r="H1053" t="s">
        <v>43</v>
      </c>
      <c r="I1053" t="s">
        <v>2191</v>
      </c>
      <c r="J1053" s="10">
        <v>32</v>
      </c>
      <c r="K1053" t="b">
        <v>1</v>
      </c>
    </row>
    <row r="1054" spans="1:11">
      <c r="A1054" s="12">
        <v>41772</v>
      </c>
      <c r="B1054">
        <v>2014</v>
      </c>
      <c r="C1054">
        <v>5</v>
      </c>
      <c r="D1054" s="11">
        <v>41760</v>
      </c>
      <c r="E1054" t="s">
        <v>2177</v>
      </c>
      <c r="F1054">
        <v>2</v>
      </c>
      <c r="G1054" t="s">
        <v>63</v>
      </c>
      <c r="H1054" t="s">
        <v>44</v>
      </c>
      <c r="I1054" t="s">
        <v>2192</v>
      </c>
      <c r="J1054" s="10">
        <v>7</v>
      </c>
      <c r="K1054" t="b">
        <v>1</v>
      </c>
    </row>
    <row r="1055" spans="1:11">
      <c r="A1055" s="12">
        <v>41772</v>
      </c>
      <c r="B1055">
        <v>2014</v>
      </c>
      <c r="C1055">
        <v>5</v>
      </c>
      <c r="D1055" s="11">
        <v>41760</v>
      </c>
      <c r="E1055" t="s">
        <v>2177</v>
      </c>
      <c r="F1055">
        <v>2</v>
      </c>
      <c r="G1055" t="s">
        <v>63</v>
      </c>
      <c r="H1055" t="s">
        <v>45</v>
      </c>
      <c r="I1055" t="s">
        <v>2193</v>
      </c>
      <c r="J1055" s="10">
        <v>0</v>
      </c>
      <c r="K1055" t="b">
        <v>1</v>
      </c>
    </row>
    <row r="1056" spans="1:11">
      <c r="A1056" s="12">
        <v>41772</v>
      </c>
      <c r="B1056">
        <v>2014</v>
      </c>
      <c r="C1056">
        <v>5</v>
      </c>
      <c r="D1056" s="11">
        <v>41760</v>
      </c>
      <c r="E1056" t="s">
        <v>2177</v>
      </c>
      <c r="F1056">
        <v>2</v>
      </c>
      <c r="G1056" t="s">
        <v>63</v>
      </c>
      <c r="H1056" t="s">
        <v>46</v>
      </c>
      <c r="I1056" t="s">
        <v>2194</v>
      </c>
      <c r="J1056" s="10">
        <v>25</v>
      </c>
      <c r="K1056" t="b">
        <v>1</v>
      </c>
    </row>
    <row r="1057" spans="1:11">
      <c r="A1057" s="12">
        <v>41772</v>
      </c>
      <c r="B1057">
        <v>2014</v>
      </c>
      <c r="C1057">
        <v>5</v>
      </c>
      <c r="D1057" s="11">
        <v>41760</v>
      </c>
      <c r="E1057" t="s">
        <v>2177</v>
      </c>
      <c r="F1057">
        <v>2</v>
      </c>
      <c r="G1057" t="s">
        <v>63</v>
      </c>
      <c r="H1057" t="s">
        <v>47</v>
      </c>
      <c r="I1057" t="s">
        <v>2195</v>
      </c>
      <c r="J1057" s="10">
        <v>7.5</v>
      </c>
      <c r="K1057" t="b">
        <v>1</v>
      </c>
    </row>
    <row r="1058" spans="1:11">
      <c r="A1058" s="12">
        <v>41773</v>
      </c>
      <c r="B1058">
        <v>2014</v>
      </c>
      <c r="C1058">
        <v>5</v>
      </c>
      <c r="D1058" s="11">
        <v>41760</v>
      </c>
      <c r="E1058" t="s">
        <v>2177</v>
      </c>
      <c r="F1058">
        <v>3</v>
      </c>
      <c r="G1058" t="s">
        <v>65</v>
      </c>
      <c r="H1058" t="s">
        <v>40</v>
      </c>
      <c r="I1058" t="s">
        <v>2188</v>
      </c>
      <c r="J1058" s="10">
        <v>1</v>
      </c>
      <c r="K1058" t="b">
        <v>1</v>
      </c>
    </row>
    <row r="1059" spans="1:11">
      <c r="A1059" s="12">
        <v>41773</v>
      </c>
      <c r="B1059">
        <v>2014</v>
      </c>
      <c r="C1059">
        <v>5</v>
      </c>
      <c r="D1059" s="11">
        <v>41760</v>
      </c>
      <c r="E1059" t="s">
        <v>2177</v>
      </c>
      <c r="F1059">
        <v>3</v>
      </c>
      <c r="G1059" t="s">
        <v>65</v>
      </c>
      <c r="H1059" t="s">
        <v>41</v>
      </c>
      <c r="I1059" t="s">
        <v>2189</v>
      </c>
      <c r="J1059" s="10">
        <v>4.02</v>
      </c>
      <c r="K1059" t="b">
        <v>1</v>
      </c>
    </row>
    <row r="1060" spans="1:11">
      <c r="A1060" s="12">
        <v>41773</v>
      </c>
      <c r="B1060">
        <v>2014</v>
      </c>
      <c r="C1060">
        <v>5</v>
      </c>
      <c r="D1060" s="11">
        <v>41760</v>
      </c>
      <c r="E1060" t="s">
        <v>2177</v>
      </c>
      <c r="F1060">
        <v>3</v>
      </c>
      <c r="G1060" t="s">
        <v>65</v>
      </c>
      <c r="H1060" t="s">
        <v>42</v>
      </c>
      <c r="I1060" t="s">
        <v>2190</v>
      </c>
      <c r="J1060" s="10">
        <v>6</v>
      </c>
      <c r="K1060" t="b">
        <v>1</v>
      </c>
    </row>
    <row r="1061" spans="1:11">
      <c r="A1061" s="12">
        <v>41773</v>
      </c>
      <c r="B1061">
        <v>2014</v>
      </c>
      <c r="C1061">
        <v>5</v>
      </c>
      <c r="D1061" s="11">
        <v>41760</v>
      </c>
      <c r="E1061" t="s">
        <v>2177</v>
      </c>
      <c r="F1061">
        <v>3</v>
      </c>
      <c r="G1061" t="s">
        <v>65</v>
      </c>
      <c r="H1061" t="s">
        <v>43</v>
      </c>
      <c r="I1061" t="s">
        <v>2191</v>
      </c>
      <c r="J1061" s="10">
        <v>24.3</v>
      </c>
      <c r="K1061" t="b">
        <v>1</v>
      </c>
    </row>
    <row r="1062" spans="1:11">
      <c r="A1062" s="12">
        <v>41773</v>
      </c>
      <c r="B1062">
        <v>2014</v>
      </c>
      <c r="C1062">
        <v>5</v>
      </c>
      <c r="D1062" s="11">
        <v>41760</v>
      </c>
      <c r="E1062" t="s">
        <v>2177</v>
      </c>
      <c r="F1062">
        <v>3</v>
      </c>
      <c r="G1062" t="s">
        <v>65</v>
      </c>
      <c r="H1062" t="s">
        <v>44</v>
      </c>
      <c r="I1062" t="s">
        <v>2192</v>
      </c>
      <c r="J1062" s="10">
        <v>4</v>
      </c>
      <c r="K1062" t="b">
        <v>1</v>
      </c>
    </row>
    <row r="1063" spans="1:11">
      <c r="A1063" s="12">
        <v>41773</v>
      </c>
      <c r="B1063">
        <v>2014</v>
      </c>
      <c r="C1063">
        <v>5</v>
      </c>
      <c r="D1063" s="11">
        <v>41760</v>
      </c>
      <c r="E1063" t="s">
        <v>2177</v>
      </c>
      <c r="F1063">
        <v>3</v>
      </c>
      <c r="G1063" t="s">
        <v>65</v>
      </c>
      <c r="H1063" t="s">
        <v>45</v>
      </c>
      <c r="I1063" t="s">
        <v>2193</v>
      </c>
      <c r="J1063" s="10">
        <v>0</v>
      </c>
      <c r="K1063" t="b">
        <v>1</v>
      </c>
    </row>
    <row r="1064" spans="1:11">
      <c r="A1064" s="12">
        <v>41773</v>
      </c>
      <c r="B1064">
        <v>2014</v>
      </c>
      <c r="C1064">
        <v>5</v>
      </c>
      <c r="D1064" s="11">
        <v>41760</v>
      </c>
      <c r="E1064" t="s">
        <v>2177</v>
      </c>
      <c r="F1064">
        <v>3</v>
      </c>
      <c r="G1064" t="s">
        <v>65</v>
      </c>
      <c r="H1064" t="s">
        <v>46</v>
      </c>
      <c r="I1064" t="s">
        <v>2194</v>
      </c>
      <c r="J1064" s="10">
        <v>0</v>
      </c>
      <c r="K1064" t="b">
        <v>1</v>
      </c>
    </row>
    <row r="1065" spans="1:11">
      <c r="A1065" s="12">
        <v>41773</v>
      </c>
      <c r="B1065">
        <v>2014</v>
      </c>
      <c r="C1065">
        <v>5</v>
      </c>
      <c r="D1065" s="11">
        <v>41760</v>
      </c>
      <c r="E1065" t="s">
        <v>2177</v>
      </c>
      <c r="F1065">
        <v>3</v>
      </c>
      <c r="G1065" t="s">
        <v>65</v>
      </c>
      <c r="H1065" t="s">
        <v>47</v>
      </c>
      <c r="I1065" t="s">
        <v>2195</v>
      </c>
      <c r="J1065" s="10">
        <v>3</v>
      </c>
      <c r="K1065" t="b">
        <v>1</v>
      </c>
    </row>
    <row r="1066" spans="1:11">
      <c r="A1066" s="12">
        <v>41774</v>
      </c>
      <c r="B1066">
        <v>2014</v>
      </c>
      <c r="C1066">
        <v>5</v>
      </c>
      <c r="D1066" s="11">
        <v>41760</v>
      </c>
      <c r="E1066" t="s">
        <v>2177</v>
      </c>
      <c r="F1066">
        <v>4</v>
      </c>
      <c r="G1066" t="s">
        <v>53</v>
      </c>
      <c r="H1066" t="s">
        <v>40</v>
      </c>
      <c r="I1066" t="s">
        <v>2188</v>
      </c>
      <c r="J1066" s="10">
        <v>2.34</v>
      </c>
      <c r="K1066" t="b">
        <v>1</v>
      </c>
    </row>
    <row r="1067" spans="1:11">
      <c r="A1067" s="12">
        <v>41774</v>
      </c>
      <c r="B1067">
        <v>2014</v>
      </c>
      <c r="C1067">
        <v>5</v>
      </c>
      <c r="D1067" s="11">
        <v>41760</v>
      </c>
      <c r="E1067" t="s">
        <v>2177</v>
      </c>
      <c r="F1067">
        <v>4</v>
      </c>
      <c r="G1067" t="s">
        <v>53</v>
      </c>
      <c r="H1067" t="s">
        <v>41</v>
      </c>
      <c r="I1067" t="s">
        <v>2189</v>
      </c>
      <c r="J1067" s="10">
        <v>2.02</v>
      </c>
      <c r="K1067" t="b">
        <v>1</v>
      </c>
    </row>
    <row r="1068" spans="1:11">
      <c r="A1068" s="12">
        <v>41774</v>
      </c>
      <c r="B1068">
        <v>2014</v>
      </c>
      <c r="C1068">
        <v>5</v>
      </c>
      <c r="D1068" s="11">
        <v>41760</v>
      </c>
      <c r="E1068" t="s">
        <v>2177</v>
      </c>
      <c r="F1068">
        <v>4</v>
      </c>
      <c r="G1068" t="s">
        <v>53</v>
      </c>
      <c r="H1068" t="s">
        <v>42</v>
      </c>
      <c r="I1068" t="s">
        <v>2190</v>
      </c>
      <c r="J1068" s="10">
        <v>3</v>
      </c>
      <c r="K1068" t="b">
        <v>1</v>
      </c>
    </row>
    <row r="1069" spans="1:11">
      <c r="A1069" s="12">
        <v>41774</v>
      </c>
      <c r="B1069">
        <v>2014</v>
      </c>
      <c r="C1069">
        <v>5</v>
      </c>
      <c r="D1069" s="11">
        <v>41760</v>
      </c>
      <c r="E1069" t="s">
        <v>2177</v>
      </c>
      <c r="F1069">
        <v>4</v>
      </c>
      <c r="G1069" t="s">
        <v>53</v>
      </c>
      <c r="H1069" t="s">
        <v>43</v>
      </c>
      <c r="I1069" t="s">
        <v>2191</v>
      </c>
      <c r="J1069" s="10">
        <v>19.3</v>
      </c>
      <c r="K1069" t="b">
        <v>1</v>
      </c>
    </row>
    <row r="1070" spans="1:11">
      <c r="A1070" s="12">
        <v>41774</v>
      </c>
      <c r="B1070">
        <v>2014</v>
      </c>
      <c r="C1070">
        <v>5</v>
      </c>
      <c r="D1070" s="11">
        <v>41760</v>
      </c>
      <c r="E1070" t="s">
        <v>2177</v>
      </c>
      <c r="F1070">
        <v>4</v>
      </c>
      <c r="G1070" t="s">
        <v>53</v>
      </c>
      <c r="H1070" t="s">
        <v>44</v>
      </c>
      <c r="I1070" t="s">
        <v>2192</v>
      </c>
      <c r="J1070" s="10">
        <v>7</v>
      </c>
      <c r="K1070" t="b">
        <v>1</v>
      </c>
    </row>
    <row r="1071" spans="1:11">
      <c r="A1071" s="12">
        <v>41774</v>
      </c>
      <c r="B1071">
        <v>2014</v>
      </c>
      <c r="C1071">
        <v>5</v>
      </c>
      <c r="D1071" s="11">
        <v>41760</v>
      </c>
      <c r="E1071" t="s">
        <v>2177</v>
      </c>
      <c r="F1071">
        <v>4</v>
      </c>
      <c r="G1071" t="s">
        <v>53</v>
      </c>
      <c r="H1071" t="s">
        <v>45</v>
      </c>
      <c r="I1071" t="s">
        <v>2193</v>
      </c>
      <c r="J1071" s="10">
        <v>0</v>
      </c>
      <c r="K1071" t="b">
        <v>1</v>
      </c>
    </row>
    <row r="1072" spans="1:11">
      <c r="A1072" s="12">
        <v>41774</v>
      </c>
      <c r="B1072">
        <v>2014</v>
      </c>
      <c r="C1072">
        <v>5</v>
      </c>
      <c r="D1072" s="11">
        <v>41760</v>
      </c>
      <c r="E1072" t="s">
        <v>2177</v>
      </c>
      <c r="F1072">
        <v>4</v>
      </c>
      <c r="G1072" t="s">
        <v>53</v>
      </c>
      <c r="H1072" t="s">
        <v>46</v>
      </c>
      <c r="I1072" t="s">
        <v>2194</v>
      </c>
      <c r="J1072" s="10">
        <v>1</v>
      </c>
      <c r="K1072" t="b">
        <v>1</v>
      </c>
    </row>
    <row r="1073" spans="1:11">
      <c r="A1073" s="12">
        <v>41774</v>
      </c>
      <c r="B1073">
        <v>2014</v>
      </c>
      <c r="C1073">
        <v>5</v>
      </c>
      <c r="D1073" s="11">
        <v>41760</v>
      </c>
      <c r="E1073" t="s">
        <v>2177</v>
      </c>
      <c r="F1073">
        <v>4</v>
      </c>
      <c r="G1073" t="s">
        <v>53</v>
      </c>
      <c r="H1073" t="s">
        <v>47</v>
      </c>
      <c r="I1073" t="s">
        <v>2195</v>
      </c>
      <c r="J1073" s="10">
        <v>2</v>
      </c>
      <c r="K1073" t="b">
        <v>1</v>
      </c>
    </row>
    <row r="1074" spans="1:11">
      <c r="A1074" s="12">
        <v>41775</v>
      </c>
      <c r="B1074">
        <v>2014</v>
      </c>
      <c r="C1074">
        <v>5</v>
      </c>
      <c r="D1074" s="11">
        <v>41760</v>
      </c>
      <c r="E1074" t="s">
        <v>2177</v>
      </c>
      <c r="F1074">
        <v>5</v>
      </c>
      <c r="G1074" t="s">
        <v>55</v>
      </c>
      <c r="H1074" t="s">
        <v>40</v>
      </c>
      <c r="I1074" t="s">
        <v>2188</v>
      </c>
      <c r="J1074" s="10">
        <v>5.34</v>
      </c>
      <c r="K1074" t="b">
        <v>1</v>
      </c>
    </row>
    <row r="1075" spans="1:11">
      <c r="A1075" s="12">
        <v>41775</v>
      </c>
      <c r="B1075">
        <v>2014</v>
      </c>
      <c r="C1075">
        <v>5</v>
      </c>
      <c r="D1075" s="11">
        <v>41760</v>
      </c>
      <c r="E1075" t="s">
        <v>2177</v>
      </c>
      <c r="F1075">
        <v>5</v>
      </c>
      <c r="G1075" t="s">
        <v>55</v>
      </c>
      <c r="H1075" t="s">
        <v>41</v>
      </c>
      <c r="I1075" t="s">
        <v>2189</v>
      </c>
      <c r="J1075" s="10">
        <v>7</v>
      </c>
      <c r="K1075" t="b">
        <v>1</v>
      </c>
    </row>
    <row r="1076" spans="1:11">
      <c r="A1076" s="12">
        <v>41775</v>
      </c>
      <c r="B1076">
        <v>2014</v>
      </c>
      <c r="C1076">
        <v>5</v>
      </c>
      <c r="D1076" s="11">
        <v>41760</v>
      </c>
      <c r="E1076" t="s">
        <v>2177</v>
      </c>
      <c r="F1076">
        <v>5</v>
      </c>
      <c r="G1076" t="s">
        <v>55</v>
      </c>
      <c r="H1076" t="s">
        <v>42</v>
      </c>
      <c r="I1076" t="s">
        <v>2190</v>
      </c>
      <c r="J1076" s="10">
        <v>3</v>
      </c>
      <c r="K1076" t="b">
        <v>1</v>
      </c>
    </row>
    <row r="1077" spans="1:11">
      <c r="A1077" s="12">
        <v>41775</v>
      </c>
      <c r="B1077">
        <v>2014</v>
      </c>
      <c r="C1077">
        <v>5</v>
      </c>
      <c r="D1077" s="11">
        <v>41760</v>
      </c>
      <c r="E1077" t="s">
        <v>2177</v>
      </c>
      <c r="F1077">
        <v>5</v>
      </c>
      <c r="G1077" t="s">
        <v>55</v>
      </c>
      <c r="H1077" t="s">
        <v>43</v>
      </c>
      <c r="I1077" t="s">
        <v>2191</v>
      </c>
      <c r="J1077" s="10">
        <v>22</v>
      </c>
      <c r="K1077" t="b">
        <v>1</v>
      </c>
    </row>
    <row r="1078" spans="1:11">
      <c r="A1078" s="12">
        <v>41775</v>
      </c>
      <c r="B1078">
        <v>2014</v>
      </c>
      <c r="C1078">
        <v>5</v>
      </c>
      <c r="D1078" s="11">
        <v>41760</v>
      </c>
      <c r="E1078" t="s">
        <v>2177</v>
      </c>
      <c r="F1078">
        <v>5</v>
      </c>
      <c r="G1078" t="s">
        <v>55</v>
      </c>
      <c r="H1078" t="s">
        <v>44</v>
      </c>
      <c r="I1078" t="s">
        <v>2192</v>
      </c>
      <c r="J1078" s="10">
        <v>10</v>
      </c>
      <c r="K1078" t="b">
        <v>1</v>
      </c>
    </row>
    <row r="1079" spans="1:11">
      <c r="A1079" s="12">
        <v>41775</v>
      </c>
      <c r="B1079">
        <v>2014</v>
      </c>
      <c r="C1079">
        <v>5</v>
      </c>
      <c r="D1079" s="11">
        <v>41760</v>
      </c>
      <c r="E1079" t="s">
        <v>2177</v>
      </c>
      <c r="F1079">
        <v>5</v>
      </c>
      <c r="G1079" t="s">
        <v>55</v>
      </c>
      <c r="H1079" t="s">
        <v>45</v>
      </c>
      <c r="I1079" t="s">
        <v>2193</v>
      </c>
      <c r="J1079" s="10">
        <v>1</v>
      </c>
      <c r="K1079" t="b">
        <v>1</v>
      </c>
    </row>
    <row r="1080" spans="1:11">
      <c r="A1080" s="12">
        <v>41775</v>
      </c>
      <c r="B1080">
        <v>2014</v>
      </c>
      <c r="C1080">
        <v>5</v>
      </c>
      <c r="D1080" s="11">
        <v>41760</v>
      </c>
      <c r="E1080" t="s">
        <v>2177</v>
      </c>
      <c r="F1080">
        <v>5</v>
      </c>
      <c r="G1080" t="s">
        <v>55</v>
      </c>
      <c r="H1080" t="s">
        <v>46</v>
      </c>
      <c r="I1080" t="s">
        <v>2194</v>
      </c>
      <c r="J1080" s="10">
        <v>11</v>
      </c>
      <c r="K1080" t="b">
        <v>1</v>
      </c>
    </row>
    <row r="1081" spans="1:11">
      <c r="A1081" s="12">
        <v>41775</v>
      </c>
      <c r="B1081">
        <v>2014</v>
      </c>
      <c r="C1081">
        <v>5</v>
      </c>
      <c r="D1081" s="11">
        <v>41760</v>
      </c>
      <c r="E1081" t="s">
        <v>2177</v>
      </c>
      <c r="F1081">
        <v>5</v>
      </c>
      <c r="G1081" t="s">
        <v>55</v>
      </c>
      <c r="H1081" t="s">
        <v>47</v>
      </c>
      <c r="I1081" t="s">
        <v>2195</v>
      </c>
      <c r="J1081" s="10">
        <v>1</v>
      </c>
      <c r="K1081" t="b">
        <v>1</v>
      </c>
    </row>
    <row r="1082" spans="1:11">
      <c r="A1082" s="12">
        <v>41776</v>
      </c>
      <c r="B1082">
        <v>2014</v>
      </c>
      <c r="C1082">
        <v>5</v>
      </c>
      <c r="D1082" s="11">
        <v>41760</v>
      </c>
      <c r="E1082" t="s">
        <v>2177</v>
      </c>
      <c r="F1082">
        <v>6</v>
      </c>
      <c r="G1082" t="s">
        <v>57</v>
      </c>
      <c r="H1082" t="s">
        <v>40</v>
      </c>
      <c r="I1082" t="s">
        <v>2188</v>
      </c>
      <c r="J1082" s="10">
        <v>2.34</v>
      </c>
      <c r="K1082" t="b">
        <v>1</v>
      </c>
    </row>
    <row r="1083" spans="1:11">
      <c r="A1083" s="12">
        <v>41776</v>
      </c>
      <c r="B1083">
        <v>2014</v>
      </c>
      <c r="C1083">
        <v>5</v>
      </c>
      <c r="D1083" s="11">
        <v>41760</v>
      </c>
      <c r="E1083" t="s">
        <v>2177</v>
      </c>
      <c r="F1083">
        <v>6</v>
      </c>
      <c r="G1083" t="s">
        <v>57</v>
      </c>
      <c r="H1083" t="s">
        <v>41</v>
      </c>
      <c r="I1083" t="s">
        <v>2189</v>
      </c>
      <c r="J1083" s="10">
        <v>7.68</v>
      </c>
      <c r="K1083" t="b">
        <v>1</v>
      </c>
    </row>
    <row r="1084" spans="1:11">
      <c r="A1084" s="12">
        <v>41776</v>
      </c>
      <c r="B1084">
        <v>2014</v>
      </c>
      <c r="C1084">
        <v>5</v>
      </c>
      <c r="D1084" s="11">
        <v>41760</v>
      </c>
      <c r="E1084" t="s">
        <v>2177</v>
      </c>
      <c r="F1084">
        <v>6</v>
      </c>
      <c r="G1084" t="s">
        <v>57</v>
      </c>
      <c r="H1084" t="s">
        <v>42</v>
      </c>
      <c r="I1084" t="s">
        <v>2190</v>
      </c>
      <c r="J1084" s="10">
        <v>3</v>
      </c>
      <c r="K1084" t="b">
        <v>1</v>
      </c>
    </row>
    <row r="1085" spans="1:11">
      <c r="A1085" s="12">
        <v>41776</v>
      </c>
      <c r="B1085">
        <v>2014</v>
      </c>
      <c r="C1085">
        <v>5</v>
      </c>
      <c r="D1085" s="11">
        <v>41760</v>
      </c>
      <c r="E1085" t="s">
        <v>2177</v>
      </c>
      <c r="F1085">
        <v>6</v>
      </c>
      <c r="G1085" t="s">
        <v>57</v>
      </c>
      <c r="H1085" t="s">
        <v>43</v>
      </c>
      <c r="I1085" t="s">
        <v>2191</v>
      </c>
      <c r="J1085" s="10">
        <v>35</v>
      </c>
      <c r="K1085" t="b">
        <v>1</v>
      </c>
    </row>
    <row r="1086" spans="1:11">
      <c r="A1086" s="12">
        <v>41776</v>
      </c>
      <c r="B1086">
        <v>2014</v>
      </c>
      <c r="C1086">
        <v>5</v>
      </c>
      <c r="D1086" s="11">
        <v>41760</v>
      </c>
      <c r="E1086" t="s">
        <v>2177</v>
      </c>
      <c r="F1086">
        <v>6</v>
      </c>
      <c r="G1086" t="s">
        <v>57</v>
      </c>
      <c r="H1086" t="s">
        <v>44</v>
      </c>
      <c r="I1086" t="s">
        <v>2192</v>
      </c>
      <c r="J1086" s="10">
        <v>14</v>
      </c>
      <c r="K1086" t="b">
        <v>1</v>
      </c>
    </row>
    <row r="1087" spans="1:11">
      <c r="A1087" s="12">
        <v>41776</v>
      </c>
      <c r="B1087">
        <v>2014</v>
      </c>
      <c r="C1087">
        <v>5</v>
      </c>
      <c r="D1087" s="11">
        <v>41760</v>
      </c>
      <c r="E1087" t="s">
        <v>2177</v>
      </c>
      <c r="F1087">
        <v>6</v>
      </c>
      <c r="G1087" t="s">
        <v>57</v>
      </c>
      <c r="H1087" t="s">
        <v>45</v>
      </c>
      <c r="I1087" t="s">
        <v>2193</v>
      </c>
      <c r="J1087" s="10">
        <v>1</v>
      </c>
      <c r="K1087" t="b">
        <v>1</v>
      </c>
    </row>
    <row r="1088" spans="1:11">
      <c r="A1088" s="12">
        <v>41776</v>
      </c>
      <c r="B1088">
        <v>2014</v>
      </c>
      <c r="C1088">
        <v>5</v>
      </c>
      <c r="D1088" s="11">
        <v>41760</v>
      </c>
      <c r="E1088" t="s">
        <v>2177</v>
      </c>
      <c r="F1088">
        <v>6</v>
      </c>
      <c r="G1088" t="s">
        <v>57</v>
      </c>
      <c r="H1088" t="s">
        <v>46</v>
      </c>
      <c r="I1088" t="s">
        <v>2194</v>
      </c>
      <c r="J1088" s="10">
        <v>0</v>
      </c>
      <c r="K1088" t="b">
        <v>1</v>
      </c>
    </row>
    <row r="1089" spans="1:11">
      <c r="A1089" s="12">
        <v>41776</v>
      </c>
      <c r="B1089">
        <v>2014</v>
      </c>
      <c r="C1089">
        <v>5</v>
      </c>
      <c r="D1089" s="11">
        <v>41760</v>
      </c>
      <c r="E1089" t="s">
        <v>2177</v>
      </c>
      <c r="F1089">
        <v>6</v>
      </c>
      <c r="G1089" t="s">
        <v>57</v>
      </c>
      <c r="H1089" t="s">
        <v>47</v>
      </c>
      <c r="I1089" t="s">
        <v>2195</v>
      </c>
      <c r="J1089" s="10">
        <v>2</v>
      </c>
      <c r="K1089" t="b">
        <v>1</v>
      </c>
    </row>
    <row r="1090" spans="1:11">
      <c r="A1090" s="12">
        <v>41777</v>
      </c>
      <c r="B1090">
        <v>2014</v>
      </c>
      <c r="C1090">
        <v>5</v>
      </c>
      <c r="D1090" s="11">
        <v>41760</v>
      </c>
      <c r="E1090" t="s">
        <v>2177</v>
      </c>
      <c r="F1090">
        <v>7</v>
      </c>
      <c r="G1090" t="s">
        <v>59</v>
      </c>
      <c r="H1090" t="s">
        <v>40</v>
      </c>
      <c r="I1090" t="s">
        <v>2188</v>
      </c>
      <c r="J1090" s="10">
        <v>3.34</v>
      </c>
      <c r="K1090" t="b">
        <v>1</v>
      </c>
    </row>
    <row r="1091" spans="1:11">
      <c r="A1091" s="12">
        <v>41777</v>
      </c>
      <c r="B1091">
        <v>2014</v>
      </c>
      <c r="C1091">
        <v>5</v>
      </c>
      <c r="D1091" s="11">
        <v>41760</v>
      </c>
      <c r="E1091" t="s">
        <v>2177</v>
      </c>
      <c r="F1091">
        <v>7</v>
      </c>
      <c r="G1091" t="s">
        <v>59</v>
      </c>
      <c r="H1091" t="s">
        <v>41</v>
      </c>
      <c r="I1091" t="s">
        <v>2189</v>
      </c>
      <c r="J1091" s="10">
        <v>2</v>
      </c>
      <c r="K1091" t="b">
        <v>1</v>
      </c>
    </row>
    <row r="1092" spans="1:11">
      <c r="A1092" s="12">
        <v>41777</v>
      </c>
      <c r="B1092">
        <v>2014</v>
      </c>
      <c r="C1092">
        <v>5</v>
      </c>
      <c r="D1092" s="11">
        <v>41760</v>
      </c>
      <c r="E1092" t="s">
        <v>2177</v>
      </c>
      <c r="F1092">
        <v>7</v>
      </c>
      <c r="G1092" t="s">
        <v>59</v>
      </c>
      <c r="H1092" t="s">
        <v>42</v>
      </c>
      <c r="I1092" t="s">
        <v>2190</v>
      </c>
      <c r="J1092" s="10">
        <v>5</v>
      </c>
      <c r="K1092" t="b">
        <v>1</v>
      </c>
    </row>
    <row r="1093" spans="1:11">
      <c r="A1093" s="12">
        <v>41777</v>
      </c>
      <c r="B1093">
        <v>2014</v>
      </c>
      <c r="C1093">
        <v>5</v>
      </c>
      <c r="D1093" s="11">
        <v>41760</v>
      </c>
      <c r="E1093" t="s">
        <v>2177</v>
      </c>
      <c r="F1093">
        <v>7</v>
      </c>
      <c r="G1093" t="s">
        <v>59</v>
      </c>
      <c r="H1093" t="s">
        <v>43</v>
      </c>
      <c r="I1093" t="s">
        <v>2191</v>
      </c>
      <c r="J1093" s="10">
        <v>9.4</v>
      </c>
      <c r="K1093" t="b">
        <v>1</v>
      </c>
    </row>
    <row r="1094" spans="1:11">
      <c r="A1094" s="12">
        <v>41777</v>
      </c>
      <c r="B1094">
        <v>2014</v>
      </c>
      <c r="C1094">
        <v>5</v>
      </c>
      <c r="D1094" s="11">
        <v>41760</v>
      </c>
      <c r="E1094" t="s">
        <v>2177</v>
      </c>
      <c r="F1094">
        <v>7</v>
      </c>
      <c r="G1094" t="s">
        <v>59</v>
      </c>
      <c r="H1094" t="s">
        <v>44</v>
      </c>
      <c r="I1094" t="s">
        <v>2192</v>
      </c>
      <c r="J1094" s="10">
        <v>6</v>
      </c>
      <c r="K1094" t="b">
        <v>1</v>
      </c>
    </row>
    <row r="1095" spans="1:11">
      <c r="A1095" s="12">
        <v>41777</v>
      </c>
      <c r="B1095">
        <v>2014</v>
      </c>
      <c r="C1095">
        <v>5</v>
      </c>
      <c r="D1095" s="11">
        <v>41760</v>
      </c>
      <c r="E1095" t="s">
        <v>2177</v>
      </c>
      <c r="F1095">
        <v>7</v>
      </c>
      <c r="G1095" t="s">
        <v>59</v>
      </c>
      <c r="H1095" t="s">
        <v>45</v>
      </c>
      <c r="I1095" t="s">
        <v>2193</v>
      </c>
      <c r="J1095" s="10">
        <v>0</v>
      </c>
      <c r="K1095" t="b">
        <v>1</v>
      </c>
    </row>
    <row r="1096" spans="1:11">
      <c r="A1096" s="12">
        <v>41777</v>
      </c>
      <c r="B1096">
        <v>2014</v>
      </c>
      <c r="C1096">
        <v>5</v>
      </c>
      <c r="D1096" s="11">
        <v>41760</v>
      </c>
      <c r="E1096" t="s">
        <v>2177</v>
      </c>
      <c r="F1096">
        <v>7</v>
      </c>
      <c r="G1096" t="s">
        <v>59</v>
      </c>
      <c r="H1096" t="s">
        <v>46</v>
      </c>
      <c r="I1096" t="s">
        <v>2194</v>
      </c>
      <c r="J1096" s="10">
        <v>0</v>
      </c>
      <c r="K1096" t="b">
        <v>1</v>
      </c>
    </row>
    <row r="1097" spans="1:11">
      <c r="A1097" s="12">
        <v>41777</v>
      </c>
      <c r="B1097">
        <v>2014</v>
      </c>
      <c r="C1097">
        <v>5</v>
      </c>
      <c r="D1097" s="11">
        <v>41760</v>
      </c>
      <c r="E1097" t="s">
        <v>2177</v>
      </c>
      <c r="F1097">
        <v>7</v>
      </c>
      <c r="G1097" t="s">
        <v>59</v>
      </c>
      <c r="H1097" t="s">
        <v>47</v>
      </c>
      <c r="I1097" t="s">
        <v>2195</v>
      </c>
      <c r="J1097" s="10">
        <v>1</v>
      </c>
      <c r="K1097" t="b">
        <v>1</v>
      </c>
    </row>
    <row r="1098" spans="1:11">
      <c r="A1098" s="12">
        <v>41778</v>
      </c>
      <c r="B1098">
        <v>2014</v>
      </c>
      <c r="C1098">
        <v>5</v>
      </c>
      <c r="D1098" s="11">
        <v>41760</v>
      </c>
      <c r="E1098" t="s">
        <v>2177</v>
      </c>
      <c r="F1098">
        <v>1</v>
      </c>
      <c r="G1098" t="s">
        <v>61</v>
      </c>
      <c r="H1098" t="s">
        <v>40</v>
      </c>
      <c r="I1098" t="s">
        <v>2188</v>
      </c>
      <c r="J1098" s="10">
        <v>8.34</v>
      </c>
      <c r="K1098" t="b">
        <v>1</v>
      </c>
    </row>
    <row r="1099" spans="1:11">
      <c r="A1099" s="12">
        <v>41778</v>
      </c>
      <c r="B1099">
        <v>2014</v>
      </c>
      <c r="C1099">
        <v>5</v>
      </c>
      <c r="D1099" s="11">
        <v>41760</v>
      </c>
      <c r="E1099" t="s">
        <v>2177</v>
      </c>
      <c r="F1099">
        <v>1</v>
      </c>
      <c r="G1099" t="s">
        <v>61</v>
      </c>
      <c r="H1099" t="s">
        <v>41</v>
      </c>
      <c r="I1099" t="s">
        <v>2189</v>
      </c>
      <c r="J1099" s="10">
        <v>3.84</v>
      </c>
      <c r="K1099" t="b">
        <v>1</v>
      </c>
    </row>
    <row r="1100" spans="1:11">
      <c r="A1100" s="12">
        <v>41778</v>
      </c>
      <c r="B1100">
        <v>2014</v>
      </c>
      <c r="C1100">
        <v>5</v>
      </c>
      <c r="D1100" s="11">
        <v>41760</v>
      </c>
      <c r="E1100" t="s">
        <v>2177</v>
      </c>
      <c r="F1100">
        <v>1</v>
      </c>
      <c r="G1100" t="s">
        <v>61</v>
      </c>
      <c r="H1100" t="s">
        <v>42</v>
      </c>
      <c r="I1100" t="s">
        <v>2190</v>
      </c>
      <c r="J1100" s="10">
        <v>6.1</v>
      </c>
      <c r="K1100" t="b">
        <v>1</v>
      </c>
    </row>
    <row r="1101" spans="1:11">
      <c r="A1101" s="12">
        <v>41778</v>
      </c>
      <c r="B1101">
        <v>2014</v>
      </c>
      <c r="C1101">
        <v>5</v>
      </c>
      <c r="D1101" s="11">
        <v>41760</v>
      </c>
      <c r="E1101" t="s">
        <v>2177</v>
      </c>
      <c r="F1101">
        <v>1</v>
      </c>
      <c r="G1101" t="s">
        <v>61</v>
      </c>
      <c r="H1101" t="s">
        <v>43</v>
      </c>
      <c r="I1101" t="s">
        <v>2191</v>
      </c>
      <c r="J1101" s="10">
        <v>12.8</v>
      </c>
      <c r="K1101" t="b">
        <v>1</v>
      </c>
    </row>
    <row r="1102" spans="1:11">
      <c r="A1102" s="12">
        <v>41778</v>
      </c>
      <c r="B1102">
        <v>2014</v>
      </c>
      <c r="C1102">
        <v>5</v>
      </c>
      <c r="D1102" s="11">
        <v>41760</v>
      </c>
      <c r="E1102" t="s">
        <v>2177</v>
      </c>
      <c r="F1102">
        <v>1</v>
      </c>
      <c r="G1102" t="s">
        <v>61</v>
      </c>
      <c r="H1102" t="s">
        <v>44</v>
      </c>
      <c r="I1102" t="s">
        <v>2192</v>
      </c>
      <c r="J1102" s="10">
        <v>5</v>
      </c>
      <c r="K1102" t="b">
        <v>1</v>
      </c>
    </row>
    <row r="1103" spans="1:11">
      <c r="A1103" s="12">
        <v>41778</v>
      </c>
      <c r="B1103">
        <v>2014</v>
      </c>
      <c r="C1103">
        <v>5</v>
      </c>
      <c r="D1103" s="11">
        <v>41760</v>
      </c>
      <c r="E1103" t="s">
        <v>2177</v>
      </c>
      <c r="F1103">
        <v>1</v>
      </c>
      <c r="G1103" t="s">
        <v>61</v>
      </c>
      <c r="H1103" t="s">
        <v>45</v>
      </c>
      <c r="I1103" t="s">
        <v>2193</v>
      </c>
      <c r="J1103" s="10">
        <v>0</v>
      </c>
      <c r="K1103" t="b">
        <v>1</v>
      </c>
    </row>
    <row r="1104" spans="1:11">
      <c r="A1104" s="12">
        <v>41778</v>
      </c>
      <c r="B1104">
        <v>2014</v>
      </c>
      <c r="C1104">
        <v>5</v>
      </c>
      <c r="D1104" s="11">
        <v>41760</v>
      </c>
      <c r="E1104" t="s">
        <v>2177</v>
      </c>
      <c r="F1104">
        <v>1</v>
      </c>
      <c r="G1104" t="s">
        <v>61</v>
      </c>
      <c r="H1104" t="s">
        <v>46</v>
      </c>
      <c r="I1104" t="s">
        <v>2194</v>
      </c>
      <c r="J1104" s="10">
        <v>3</v>
      </c>
      <c r="K1104" t="b">
        <v>1</v>
      </c>
    </row>
    <row r="1105" spans="1:11">
      <c r="A1105" s="12">
        <v>41778</v>
      </c>
      <c r="B1105">
        <v>2014</v>
      </c>
      <c r="C1105">
        <v>5</v>
      </c>
      <c r="D1105" s="11">
        <v>41760</v>
      </c>
      <c r="E1105" t="s">
        <v>2177</v>
      </c>
      <c r="F1105">
        <v>1</v>
      </c>
      <c r="G1105" t="s">
        <v>61</v>
      </c>
      <c r="H1105" t="s">
        <v>47</v>
      </c>
      <c r="I1105" t="s">
        <v>2195</v>
      </c>
      <c r="J1105" s="10">
        <v>9</v>
      </c>
      <c r="K1105" t="b">
        <v>1</v>
      </c>
    </row>
    <row r="1106" spans="1:11">
      <c r="A1106" s="12">
        <v>41779</v>
      </c>
      <c r="B1106">
        <v>2014</v>
      </c>
      <c r="C1106">
        <v>5</v>
      </c>
      <c r="D1106" s="11">
        <v>41760</v>
      </c>
      <c r="E1106" t="s">
        <v>2177</v>
      </c>
      <c r="F1106">
        <v>2</v>
      </c>
      <c r="G1106" t="s">
        <v>63</v>
      </c>
      <c r="H1106" t="s">
        <v>40</v>
      </c>
      <c r="I1106" t="s">
        <v>2188</v>
      </c>
      <c r="J1106" s="10">
        <v>1</v>
      </c>
      <c r="K1106" t="b">
        <v>1</v>
      </c>
    </row>
    <row r="1107" spans="1:11">
      <c r="A1107" s="12">
        <v>41779</v>
      </c>
      <c r="B1107">
        <v>2014</v>
      </c>
      <c r="C1107">
        <v>5</v>
      </c>
      <c r="D1107" s="11">
        <v>41760</v>
      </c>
      <c r="E1107" t="s">
        <v>2177</v>
      </c>
      <c r="F1107">
        <v>2</v>
      </c>
      <c r="G1107" t="s">
        <v>63</v>
      </c>
      <c r="H1107" t="s">
        <v>41</v>
      </c>
      <c r="I1107" t="s">
        <v>2189</v>
      </c>
      <c r="J1107" s="10">
        <v>2.375</v>
      </c>
      <c r="K1107" t="b">
        <v>1</v>
      </c>
    </row>
    <row r="1108" spans="1:11">
      <c r="A1108" s="12">
        <v>41779</v>
      </c>
      <c r="B1108">
        <v>2014</v>
      </c>
      <c r="C1108">
        <v>5</v>
      </c>
      <c r="D1108" s="11">
        <v>41760</v>
      </c>
      <c r="E1108" t="s">
        <v>2177</v>
      </c>
      <c r="F1108">
        <v>2</v>
      </c>
      <c r="G1108" t="s">
        <v>63</v>
      </c>
      <c r="H1108" t="s">
        <v>42</v>
      </c>
      <c r="I1108" t="s">
        <v>2190</v>
      </c>
      <c r="J1108" s="10">
        <v>7</v>
      </c>
      <c r="K1108" t="b">
        <v>1</v>
      </c>
    </row>
    <row r="1109" spans="1:11">
      <c r="A1109" s="12">
        <v>41779</v>
      </c>
      <c r="B1109">
        <v>2014</v>
      </c>
      <c r="C1109">
        <v>5</v>
      </c>
      <c r="D1109" s="11">
        <v>41760</v>
      </c>
      <c r="E1109" t="s">
        <v>2177</v>
      </c>
      <c r="F1109">
        <v>2</v>
      </c>
      <c r="G1109" t="s">
        <v>63</v>
      </c>
      <c r="H1109" t="s">
        <v>43</v>
      </c>
      <c r="I1109" t="s">
        <v>2191</v>
      </c>
      <c r="J1109" s="10">
        <v>27</v>
      </c>
      <c r="K1109" t="b">
        <v>1</v>
      </c>
    </row>
    <row r="1110" spans="1:11">
      <c r="A1110" s="12">
        <v>41779</v>
      </c>
      <c r="B1110">
        <v>2014</v>
      </c>
      <c r="C1110">
        <v>5</v>
      </c>
      <c r="D1110" s="11">
        <v>41760</v>
      </c>
      <c r="E1110" t="s">
        <v>2177</v>
      </c>
      <c r="F1110">
        <v>2</v>
      </c>
      <c r="G1110" t="s">
        <v>63</v>
      </c>
      <c r="H1110" t="s">
        <v>44</v>
      </c>
      <c r="I1110" t="s">
        <v>2192</v>
      </c>
      <c r="J1110" s="10">
        <v>10</v>
      </c>
      <c r="K1110" t="b">
        <v>1</v>
      </c>
    </row>
    <row r="1111" spans="1:11">
      <c r="A1111" s="12">
        <v>41779</v>
      </c>
      <c r="B1111">
        <v>2014</v>
      </c>
      <c r="C1111">
        <v>5</v>
      </c>
      <c r="D1111" s="11">
        <v>41760</v>
      </c>
      <c r="E1111" t="s">
        <v>2177</v>
      </c>
      <c r="F1111">
        <v>2</v>
      </c>
      <c r="G1111" t="s">
        <v>63</v>
      </c>
      <c r="H1111" t="s">
        <v>45</v>
      </c>
      <c r="I1111" t="s">
        <v>2193</v>
      </c>
      <c r="J1111" s="10">
        <v>1</v>
      </c>
      <c r="K1111" t="b">
        <v>1</v>
      </c>
    </row>
    <row r="1112" spans="1:11">
      <c r="A1112" s="12">
        <v>41779</v>
      </c>
      <c r="B1112">
        <v>2014</v>
      </c>
      <c r="C1112">
        <v>5</v>
      </c>
      <c r="D1112" s="11">
        <v>41760</v>
      </c>
      <c r="E1112" t="s">
        <v>2177</v>
      </c>
      <c r="F1112">
        <v>2</v>
      </c>
      <c r="G1112" t="s">
        <v>63</v>
      </c>
      <c r="H1112" t="s">
        <v>46</v>
      </c>
      <c r="I1112" t="s">
        <v>2194</v>
      </c>
      <c r="J1112" s="10">
        <v>0</v>
      </c>
      <c r="K1112" t="b">
        <v>1</v>
      </c>
    </row>
    <row r="1113" spans="1:11">
      <c r="A1113" s="12">
        <v>41779</v>
      </c>
      <c r="B1113">
        <v>2014</v>
      </c>
      <c r="C1113">
        <v>5</v>
      </c>
      <c r="D1113" s="11">
        <v>41760</v>
      </c>
      <c r="E1113" t="s">
        <v>2177</v>
      </c>
      <c r="F1113">
        <v>2</v>
      </c>
      <c r="G1113" t="s">
        <v>63</v>
      </c>
      <c r="H1113" t="s">
        <v>47</v>
      </c>
      <c r="I1113" t="s">
        <v>2195</v>
      </c>
      <c r="J1113" s="10">
        <v>3.6</v>
      </c>
      <c r="K1113" t="b">
        <v>1</v>
      </c>
    </row>
    <row r="1114" spans="1:11">
      <c r="A1114" s="12">
        <v>41780</v>
      </c>
      <c r="B1114">
        <v>2014</v>
      </c>
      <c r="C1114">
        <v>5</v>
      </c>
      <c r="D1114" s="11">
        <v>41760</v>
      </c>
      <c r="E1114" t="s">
        <v>2177</v>
      </c>
      <c r="F1114">
        <v>3</v>
      </c>
      <c r="G1114" t="s">
        <v>65</v>
      </c>
      <c r="H1114" t="s">
        <v>40</v>
      </c>
      <c r="I1114" t="s">
        <v>2188</v>
      </c>
      <c r="J1114" s="10">
        <v>2</v>
      </c>
      <c r="K1114" t="b">
        <v>1</v>
      </c>
    </row>
    <row r="1115" spans="1:11">
      <c r="A1115" s="12">
        <v>41780</v>
      </c>
      <c r="B1115">
        <v>2014</v>
      </c>
      <c r="C1115">
        <v>5</v>
      </c>
      <c r="D1115" s="11">
        <v>41760</v>
      </c>
      <c r="E1115" t="s">
        <v>2177</v>
      </c>
      <c r="F1115">
        <v>3</v>
      </c>
      <c r="G1115" t="s">
        <v>65</v>
      </c>
      <c r="H1115" t="s">
        <v>41</v>
      </c>
      <c r="I1115" t="s">
        <v>2189</v>
      </c>
      <c r="J1115" s="10">
        <v>4.68</v>
      </c>
      <c r="K1115" t="b">
        <v>1</v>
      </c>
    </row>
    <row r="1116" spans="1:11">
      <c r="A1116" s="12">
        <v>41780</v>
      </c>
      <c r="B1116">
        <v>2014</v>
      </c>
      <c r="C1116">
        <v>5</v>
      </c>
      <c r="D1116" s="11">
        <v>41760</v>
      </c>
      <c r="E1116" t="s">
        <v>2177</v>
      </c>
      <c r="F1116">
        <v>3</v>
      </c>
      <c r="G1116" t="s">
        <v>65</v>
      </c>
      <c r="H1116" t="s">
        <v>42</v>
      </c>
      <c r="I1116" t="s">
        <v>2190</v>
      </c>
      <c r="J1116" s="10">
        <v>9.5</v>
      </c>
      <c r="K1116" t="b">
        <v>1</v>
      </c>
    </row>
    <row r="1117" spans="1:11">
      <c r="A1117" s="12">
        <v>41780</v>
      </c>
      <c r="B1117">
        <v>2014</v>
      </c>
      <c r="C1117">
        <v>5</v>
      </c>
      <c r="D1117" s="11">
        <v>41760</v>
      </c>
      <c r="E1117" t="s">
        <v>2177</v>
      </c>
      <c r="F1117">
        <v>3</v>
      </c>
      <c r="G1117" t="s">
        <v>65</v>
      </c>
      <c r="H1117" t="s">
        <v>43</v>
      </c>
      <c r="I1117" t="s">
        <v>2191</v>
      </c>
      <c r="J1117" s="10">
        <v>15.4</v>
      </c>
      <c r="K1117" t="b">
        <v>1</v>
      </c>
    </row>
    <row r="1118" spans="1:11">
      <c r="A1118" s="12">
        <v>41780</v>
      </c>
      <c r="B1118">
        <v>2014</v>
      </c>
      <c r="C1118">
        <v>5</v>
      </c>
      <c r="D1118" s="11">
        <v>41760</v>
      </c>
      <c r="E1118" t="s">
        <v>2177</v>
      </c>
      <c r="F1118">
        <v>3</v>
      </c>
      <c r="G1118" t="s">
        <v>65</v>
      </c>
      <c r="H1118" t="s">
        <v>44</v>
      </c>
      <c r="I1118" t="s">
        <v>2192</v>
      </c>
      <c r="J1118" s="10">
        <v>6</v>
      </c>
      <c r="K1118" t="b">
        <v>1</v>
      </c>
    </row>
    <row r="1119" spans="1:11">
      <c r="A1119" s="12">
        <v>41780</v>
      </c>
      <c r="B1119">
        <v>2014</v>
      </c>
      <c r="C1119">
        <v>5</v>
      </c>
      <c r="D1119" s="11">
        <v>41760</v>
      </c>
      <c r="E1119" t="s">
        <v>2177</v>
      </c>
      <c r="F1119">
        <v>3</v>
      </c>
      <c r="G1119" t="s">
        <v>65</v>
      </c>
      <c r="H1119" t="s">
        <v>45</v>
      </c>
      <c r="I1119" t="s">
        <v>2193</v>
      </c>
      <c r="J1119" s="10">
        <v>1</v>
      </c>
      <c r="K1119" t="b">
        <v>1</v>
      </c>
    </row>
    <row r="1120" spans="1:11">
      <c r="A1120" s="12">
        <v>41780</v>
      </c>
      <c r="B1120">
        <v>2014</v>
      </c>
      <c r="C1120">
        <v>5</v>
      </c>
      <c r="D1120" s="11">
        <v>41760</v>
      </c>
      <c r="E1120" t="s">
        <v>2177</v>
      </c>
      <c r="F1120">
        <v>3</v>
      </c>
      <c r="G1120" t="s">
        <v>65</v>
      </c>
      <c r="H1120" t="s">
        <v>46</v>
      </c>
      <c r="I1120" t="s">
        <v>2194</v>
      </c>
      <c r="J1120" s="10">
        <v>0</v>
      </c>
      <c r="K1120" t="b">
        <v>1</v>
      </c>
    </row>
    <row r="1121" spans="1:11">
      <c r="A1121" s="12">
        <v>41780</v>
      </c>
      <c r="B1121">
        <v>2014</v>
      </c>
      <c r="C1121">
        <v>5</v>
      </c>
      <c r="D1121" s="11">
        <v>41760</v>
      </c>
      <c r="E1121" t="s">
        <v>2177</v>
      </c>
      <c r="F1121">
        <v>3</v>
      </c>
      <c r="G1121" t="s">
        <v>65</v>
      </c>
      <c r="H1121" t="s">
        <v>47</v>
      </c>
      <c r="I1121" t="s">
        <v>2195</v>
      </c>
      <c r="J1121" s="10">
        <v>3</v>
      </c>
      <c r="K1121" t="b">
        <v>1</v>
      </c>
    </row>
    <row r="1122" spans="1:11">
      <c r="A1122" s="12">
        <v>41781</v>
      </c>
      <c r="B1122">
        <v>2014</v>
      </c>
      <c r="C1122">
        <v>5</v>
      </c>
      <c r="D1122" s="11">
        <v>41760</v>
      </c>
      <c r="E1122" t="s">
        <v>2177</v>
      </c>
      <c r="F1122">
        <v>4</v>
      </c>
      <c r="G1122" t="s">
        <v>53</v>
      </c>
      <c r="H1122" t="s">
        <v>40</v>
      </c>
      <c r="I1122" t="s">
        <v>2188</v>
      </c>
      <c r="J1122" s="10">
        <v>3.68</v>
      </c>
      <c r="K1122" t="b">
        <v>1</v>
      </c>
    </row>
    <row r="1123" spans="1:11">
      <c r="A1123" s="12">
        <v>41781</v>
      </c>
      <c r="B1123">
        <v>2014</v>
      </c>
      <c r="C1123">
        <v>5</v>
      </c>
      <c r="D1123" s="11">
        <v>41760</v>
      </c>
      <c r="E1123" t="s">
        <v>2177</v>
      </c>
      <c r="F1123">
        <v>4</v>
      </c>
      <c r="G1123" t="s">
        <v>53</v>
      </c>
      <c r="H1123" t="s">
        <v>41</v>
      </c>
      <c r="I1123" t="s">
        <v>2189</v>
      </c>
      <c r="J1123" s="10">
        <v>1.33</v>
      </c>
      <c r="K1123" t="b">
        <v>1</v>
      </c>
    </row>
    <row r="1124" spans="1:11">
      <c r="A1124" s="12">
        <v>41781</v>
      </c>
      <c r="B1124">
        <v>2014</v>
      </c>
      <c r="C1124">
        <v>5</v>
      </c>
      <c r="D1124" s="11">
        <v>41760</v>
      </c>
      <c r="E1124" t="s">
        <v>2177</v>
      </c>
      <c r="F1124">
        <v>4</v>
      </c>
      <c r="G1124" t="s">
        <v>53</v>
      </c>
      <c r="H1124" t="s">
        <v>42</v>
      </c>
      <c r="I1124" t="s">
        <v>2190</v>
      </c>
      <c r="J1124" s="10">
        <v>1.2</v>
      </c>
      <c r="K1124" t="b">
        <v>1</v>
      </c>
    </row>
    <row r="1125" spans="1:11">
      <c r="A1125" s="12">
        <v>41781</v>
      </c>
      <c r="B1125">
        <v>2014</v>
      </c>
      <c r="C1125">
        <v>5</v>
      </c>
      <c r="D1125" s="11">
        <v>41760</v>
      </c>
      <c r="E1125" t="s">
        <v>2177</v>
      </c>
      <c r="F1125">
        <v>4</v>
      </c>
      <c r="G1125" t="s">
        <v>53</v>
      </c>
      <c r="H1125" t="s">
        <v>43</v>
      </c>
      <c r="I1125" t="s">
        <v>2191</v>
      </c>
      <c r="J1125" s="10">
        <v>8</v>
      </c>
      <c r="K1125" t="b">
        <v>1</v>
      </c>
    </row>
    <row r="1126" spans="1:11">
      <c r="A1126" s="12">
        <v>41781</v>
      </c>
      <c r="B1126">
        <v>2014</v>
      </c>
      <c r="C1126">
        <v>5</v>
      </c>
      <c r="D1126" s="11">
        <v>41760</v>
      </c>
      <c r="E1126" t="s">
        <v>2177</v>
      </c>
      <c r="F1126">
        <v>4</v>
      </c>
      <c r="G1126" t="s">
        <v>53</v>
      </c>
      <c r="H1126" t="s">
        <v>44</v>
      </c>
      <c r="I1126" t="s">
        <v>2192</v>
      </c>
      <c r="J1126" s="10">
        <v>8</v>
      </c>
      <c r="K1126" t="b">
        <v>1</v>
      </c>
    </row>
    <row r="1127" spans="1:11">
      <c r="A1127" s="12">
        <v>41781</v>
      </c>
      <c r="B1127">
        <v>2014</v>
      </c>
      <c r="C1127">
        <v>5</v>
      </c>
      <c r="D1127" s="11">
        <v>41760</v>
      </c>
      <c r="E1127" t="s">
        <v>2177</v>
      </c>
      <c r="F1127">
        <v>4</v>
      </c>
      <c r="G1127" t="s">
        <v>53</v>
      </c>
      <c r="H1127" t="s">
        <v>45</v>
      </c>
      <c r="I1127" t="s">
        <v>2193</v>
      </c>
      <c r="J1127" s="10">
        <v>0</v>
      </c>
      <c r="K1127" t="b">
        <v>1</v>
      </c>
    </row>
    <row r="1128" spans="1:11">
      <c r="A1128" s="12">
        <v>41781</v>
      </c>
      <c r="B1128">
        <v>2014</v>
      </c>
      <c r="C1128">
        <v>5</v>
      </c>
      <c r="D1128" s="11">
        <v>41760</v>
      </c>
      <c r="E1128" t="s">
        <v>2177</v>
      </c>
      <c r="F1128">
        <v>4</v>
      </c>
      <c r="G1128" t="s">
        <v>53</v>
      </c>
      <c r="H1128" t="s">
        <v>46</v>
      </c>
      <c r="I1128" t="s">
        <v>2194</v>
      </c>
      <c r="J1128" s="10">
        <v>2</v>
      </c>
      <c r="K1128" t="b">
        <v>1</v>
      </c>
    </row>
    <row r="1129" spans="1:11">
      <c r="A1129" s="12">
        <v>41781</v>
      </c>
      <c r="B1129">
        <v>2014</v>
      </c>
      <c r="C1129">
        <v>5</v>
      </c>
      <c r="D1129" s="11">
        <v>41760</v>
      </c>
      <c r="E1129" t="s">
        <v>2177</v>
      </c>
      <c r="F1129">
        <v>4</v>
      </c>
      <c r="G1129" t="s">
        <v>53</v>
      </c>
      <c r="H1129" t="s">
        <v>47</v>
      </c>
      <c r="I1129" t="s">
        <v>2195</v>
      </c>
      <c r="J1129" s="10">
        <v>4</v>
      </c>
      <c r="K1129" t="b">
        <v>1</v>
      </c>
    </row>
    <row r="1130" spans="1:11">
      <c r="A1130" s="12">
        <v>41782</v>
      </c>
      <c r="B1130">
        <v>2014</v>
      </c>
      <c r="C1130">
        <v>5</v>
      </c>
      <c r="D1130" s="11">
        <v>41760</v>
      </c>
      <c r="E1130" t="s">
        <v>2177</v>
      </c>
      <c r="F1130">
        <v>5</v>
      </c>
      <c r="G1130" t="s">
        <v>55</v>
      </c>
      <c r="H1130" t="s">
        <v>40</v>
      </c>
      <c r="I1130" t="s">
        <v>2188</v>
      </c>
      <c r="J1130" s="10">
        <v>5</v>
      </c>
      <c r="K1130" t="b">
        <v>1</v>
      </c>
    </row>
    <row r="1131" spans="1:11">
      <c r="A1131" s="12">
        <v>41782</v>
      </c>
      <c r="B1131">
        <v>2014</v>
      </c>
      <c r="C1131">
        <v>5</v>
      </c>
      <c r="D1131" s="11">
        <v>41760</v>
      </c>
      <c r="E1131" t="s">
        <v>2177</v>
      </c>
      <c r="F1131">
        <v>5</v>
      </c>
      <c r="G1131" t="s">
        <v>55</v>
      </c>
      <c r="H1131" t="s">
        <v>41</v>
      </c>
      <c r="I1131" t="s">
        <v>2189</v>
      </c>
      <c r="J1131" s="10">
        <v>2.34</v>
      </c>
      <c r="K1131" t="b">
        <v>1</v>
      </c>
    </row>
    <row r="1132" spans="1:11">
      <c r="A1132" s="12">
        <v>41782</v>
      </c>
      <c r="B1132">
        <v>2014</v>
      </c>
      <c r="C1132">
        <v>5</v>
      </c>
      <c r="D1132" s="11">
        <v>41760</v>
      </c>
      <c r="E1132" t="s">
        <v>2177</v>
      </c>
      <c r="F1132">
        <v>5</v>
      </c>
      <c r="G1132" t="s">
        <v>55</v>
      </c>
      <c r="H1132" t="s">
        <v>42</v>
      </c>
      <c r="I1132" t="s">
        <v>2190</v>
      </c>
      <c r="J1132" s="10">
        <v>3.9</v>
      </c>
      <c r="K1132" t="b">
        <v>1</v>
      </c>
    </row>
    <row r="1133" spans="1:11">
      <c r="A1133" s="12">
        <v>41782</v>
      </c>
      <c r="B1133">
        <v>2014</v>
      </c>
      <c r="C1133">
        <v>5</v>
      </c>
      <c r="D1133" s="11">
        <v>41760</v>
      </c>
      <c r="E1133" t="s">
        <v>2177</v>
      </c>
      <c r="F1133">
        <v>5</v>
      </c>
      <c r="G1133" t="s">
        <v>55</v>
      </c>
      <c r="H1133" t="s">
        <v>43</v>
      </c>
      <c r="I1133" t="s">
        <v>2191</v>
      </c>
      <c r="J1133" s="10">
        <v>17.5</v>
      </c>
      <c r="K1133" t="b">
        <v>1</v>
      </c>
    </row>
    <row r="1134" spans="1:11">
      <c r="A1134" s="12">
        <v>41782</v>
      </c>
      <c r="B1134">
        <v>2014</v>
      </c>
      <c r="C1134">
        <v>5</v>
      </c>
      <c r="D1134" s="11">
        <v>41760</v>
      </c>
      <c r="E1134" t="s">
        <v>2177</v>
      </c>
      <c r="F1134">
        <v>5</v>
      </c>
      <c r="G1134" t="s">
        <v>55</v>
      </c>
      <c r="H1134" t="s">
        <v>44</v>
      </c>
      <c r="I1134" t="s">
        <v>2192</v>
      </c>
      <c r="J1134" s="10">
        <v>8</v>
      </c>
      <c r="K1134" t="b">
        <v>1</v>
      </c>
    </row>
    <row r="1135" spans="1:11">
      <c r="A1135" s="12">
        <v>41782</v>
      </c>
      <c r="B1135">
        <v>2014</v>
      </c>
      <c r="C1135">
        <v>5</v>
      </c>
      <c r="D1135" s="11">
        <v>41760</v>
      </c>
      <c r="E1135" t="s">
        <v>2177</v>
      </c>
      <c r="F1135">
        <v>5</v>
      </c>
      <c r="G1135" t="s">
        <v>55</v>
      </c>
      <c r="H1135" t="s">
        <v>45</v>
      </c>
      <c r="I1135" t="s">
        <v>2193</v>
      </c>
      <c r="J1135" s="10">
        <v>2</v>
      </c>
      <c r="K1135" t="b">
        <v>1</v>
      </c>
    </row>
    <row r="1136" spans="1:11">
      <c r="A1136" s="12">
        <v>41782</v>
      </c>
      <c r="B1136">
        <v>2014</v>
      </c>
      <c r="C1136">
        <v>5</v>
      </c>
      <c r="D1136" s="11">
        <v>41760</v>
      </c>
      <c r="E1136" t="s">
        <v>2177</v>
      </c>
      <c r="F1136">
        <v>5</v>
      </c>
      <c r="G1136" t="s">
        <v>55</v>
      </c>
      <c r="H1136" t="s">
        <v>46</v>
      </c>
      <c r="I1136" t="s">
        <v>2194</v>
      </c>
      <c r="J1136" s="10">
        <v>10</v>
      </c>
      <c r="K1136" t="b">
        <v>1</v>
      </c>
    </row>
    <row r="1137" spans="1:11">
      <c r="A1137" s="12">
        <v>41782</v>
      </c>
      <c r="B1137">
        <v>2014</v>
      </c>
      <c r="C1137">
        <v>5</v>
      </c>
      <c r="D1137" s="11">
        <v>41760</v>
      </c>
      <c r="E1137" t="s">
        <v>2177</v>
      </c>
      <c r="F1137">
        <v>5</v>
      </c>
      <c r="G1137" t="s">
        <v>55</v>
      </c>
      <c r="H1137" t="s">
        <v>47</v>
      </c>
      <c r="I1137" t="s">
        <v>2195</v>
      </c>
      <c r="J1137" s="10">
        <v>7</v>
      </c>
      <c r="K1137" t="b">
        <v>1</v>
      </c>
    </row>
    <row r="1138" spans="1:11">
      <c r="A1138" s="12">
        <v>41783</v>
      </c>
      <c r="B1138">
        <v>2014</v>
      </c>
      <c r="C1138">
        <v>5</v>
      </c>
      <c r="D1138" s="11">
        <v>41760</v>
      </c>
      <c r="E1138" t="s">
        <v>2177</v>
      </c>
      <c r="F1138">
        <v>6</v>
      </c>
      <c r="G1138" t="s">
        <v>57</v>
      </c>
      <c r="H1138" t="s">
        <v>40</v>
      </c>
      <c r="I1138" t="s">
        <v>2188</v>
      </c>
      <c r="J1138" s="10">
        <v>3</v>
      </c>
      <c r="K1138" t="b">
        <v>1</v>
      </c>
    </row>
    <row r="1139" spans="1:11">
      <c r="A1139" s="12">
        <v>41783</v>
      </c>
      <c r="B1139">
        <v>2014</v>
      </c>
      <c r="C1139">
        <v>5</v>
      </c>
      <c r="D1139" s="11">
        <v>41760</v>
      </c>
      <c r="E1139" t="s">
        <v>2177</v>
      </c>
      <c r="F1139">
        <v>6</v>
      </c>
      <c r="G1139" t="s">
        <v>57</v>
      </c>
      <c r="H1139" t="s">
        <v>41</v>
      </c>
      <c r="I1139" t="s">
        <v>2189</v>
      </c>
      <c r="J1139" s="10">
        <v>4.713</v>
      </c>
      <c r="K1139" t="b">
        <v>1</v>
      </c>
    </row>
    <row r="1140" spans="1:11">
      <c r="A1140" s="12">
        <v>41783</v>
      </c>
      <c r="B1140">
        <v>2014</v>
      </c>
      <c r="C1140">
        <v>5</v>
      </c>
      <c r="D1140" s="11">
        <v>41760</v>
      </c>
      <c r="E1140" t="s">
        <v>2177</v>
      </c>
      <c r="F1140">
        <v>6</v>
      </c>
      <c r="G1140" t="s">
        <v>57</v>
      </c>
      <c r="H1140" t="s">
        <v>42</v>
      </c>
      <c r="I1140" t="s">
        <v>2190</v>
      </c>
      <c r="J1140" s="10">
        <v>5</v>
      </c>
      <c r="K1140" t="b">
        <v>1</v>
      </c>
    </row>
    <row r="1141" spans="1:11">
      <c r="A1141" s="12">
        <v>41783</v>
      </c>
      <c r="B1141">
        <v>2014</v>
      </c>
      <c r="C1141">
        <v>5</v>
      </c>
      <c r="D1141" s="11">
        <v>41760</v>
      </c>
      <c r="E1141" t="s">
        <v>2177</v>
      </c>
      <c r="F1141">
        <v>6</v>
      </c>
      <c r="G1141" t="s">
        <v>57</v>
      </c>
      <c r="H1141" t="s">
        <v>43</v>
      </c>
      <c r="I1141" t="s">
        <v>2191</v>
      </c>
      <c r="J1141" s="10">
        <v>28</v>
      </c>
      <c r="K1141" t="b">
        <v>1</v>
      </c>
    </row>
    <row r="1142" spans="1:11">
      <c r="A1142" s="12">
        <v>41783</v>
      </c>
      <c r="B1142">
        <v>2014</v>
      </c>
      <c r="C1142">
        <v>5</v>
      </c>
      <c r="D1142" s="11">
        <v>41760</v>
      </c>
      <c r="E1142" t="s">
        <v>2177</v>
      </c>
      <c r="F1142">
        <v>6</v>
      </c>
      <c r="G1142" t="s">
        <v>57</v>
      </c>
      <c r="H1142" t="s">
        <v>44</v>
      </c>
      <c r="I1142" t="s">
        <v>2192</v>
      </c>
      <c r="J1142" s="10">
        <v>11</v>
      </c>
      <c r="K1142" t="b">
        <v>1</v>
      </c>
    </row>
    <row r="1143" spans="1:11">
      <c r="A1143" s="12">
        <v>41783</v>
      </c>
      <c r="B1143">
        <v>2014</v>
      </c>
      <c r="C1143">
        <v>5</v>
      </c>
      <c r="D1143" s="11">
        <v>41760</v>
      </c>
      <c r="E1143" t="s">
        <v>2177</v>
      </c>
      <c r="F1143">
        <v>6</v>
      </c>
      <c r="G1143" t="s">
        <v>57</v>
      </c>
      <c r="H1143" t="s">
        <v>45</v>
      </c>
      <c r="I1143" t="s">
        <v>2193</v>
      </c>
      <c r="J1143" s="10">
        <v>1</v>
      </c>
      <c r="K1143" t="b">
        <v>1</v>
      </c>
    </row>
    <row r="1144" spans="1:11">
      <c r="A1144" s="12">
        <v>41783</v>
      </c>
      <c r="B1144">
        <v>2014</v>
      </c>
      <c r="C1144">
        <v>5</v>
      </c>
      <c r="D1144" s="11">
        <v>41760</v>
      </c>
      <c r="E1144" t="s">
        <v>2177</v>
      </c>
      <c r="F1144">
        <v>6</v>
      </c>
      <c r="G1144" t="s">
        <v>57</v>
      </c>
      <c r="H1144" t="s">
        <v>46</v>
      </c>
      <c r="I1144" t="s">
        <v>2194</v>
      </c>
      <c r="J1144" s="10">
        <v>0</v>
      </c>
      <c r="K1144" t="b">
        <v>1</v>
      </c>
    </row>
    <row r="1145" spans="1:11">
      <c r="A1145" s="12">
        <v>41783</v>
      </c>
      <c r="B1145">
        <v>2014</v>
      </c>
      <c r="C1145">
        <v>5</v>
      </c>
      <c r="D1145" s="11">
        <v>41760</v>
      </c>
      <c r="E1145" t="s">
        <v>2177</v>
      </c>
      <c r="F1145">
        <v>6</v>
      </c>
      <c r="G1145" t="s">
        <v>57</v>
      </c>
      <c r="H1145" t="s">
        <v>47</v>
      </c>
      <c r="I1145" t="s">
        <v>2195</v>
      </c>
      <c r="J1145" s="10">
        <v>9</v>
      </c>
      <c r="K1145" t="b">
        <v>1</v>
      </c>
    </row>
    <row r="1146" spans="1:11">
      <c r="A1146" s="12">
        <v>41784</v>
      </c>
      <c r="B1146">
        <v>2014</v>
      </c>
      <c r="C1146">
        <v>5</v>
      </c>
      <c r="D1146" s="11">
        <v>41760</v>
      </c>
      <c r="E1146" t="s">
        <v>2177</v>
      </c>
      <c r="F1146">
        <v>7</v>
      </c>
      <c r="G1146" t="s">
        <v>59</v>
      </c>
      <c r="H1146" t="s">
        <v>40</v>
      </c>
      <c r="I1146" t="s">
        <v>2188</v>
      </c>
      <c r="J1146" s="10">
        <v>2</v>
      </c>
      <c r="K1146" t="b">
        <v>1</v>
      </c>
    </row>
    <row r="1147" spans="1:11">
      <c r="A1147" s="12">
        <v>41784</v>
      </c>
      <c r="B1147">
        <v>2014</v>
      </c>
      <c r="C1147">
        <v>5</v>
      </c>
      <c r="D1147" s="11">
        <v>41760</v>
      </c>
      <c r="E1147" t="s">
        <v>2177</v>
      </c>
      <c r="F1147">
        <v>7</v>
      </c>
      <c r="G1147" t="s">
        <v>59</v>
      </c>
      <c r="H1147" t="s">
        <v>41</v>
      </c>
      <c r="I1147" t="s">
        <v>2189</v>
      </c>
      <c r="J1147" s="10">
        <v>3</v>
      </c>
      <c r="K1147" t="b">
        <v>1</v>
      </c>
    </row>
    <row r="1148" spans="1:11">
      <c r="A1148" s="12">
        <v>41784</v>
      </c>
      <c r="B1148">
        <v>2014</v>
      </c>
      <c r="C1148">
        <v>5</v>
      </c>
      <c r="D1148" s="11">
        <v>41760</v>
      </c>
      <c r="E1148" t="s">
        <v>2177</v>
      </c>
      <c r="F1148">
        <v>7</v>
      </c>
      <c r="G1148" t="s">
        <v>59</v>
      </c>
      <c r="H1148" t="s">
        <v>42</v>
      </c>
      <c r="I1148" t="s">
        <v>2190</v>
      </c>
      <c r="J1148" s="10">
        <v>1</v>
      </c>
      <c r="K1148" t="b">
        <v>1</v>
      </c>
    </row>
    <row r="1149" spans="1:11">
      <c r="A1149" s="12">
        <v>41784</v>
      </c>
      <c r="B1149">
        <v>2014</v>
      </c>
      <c r="C1149">
        <v>5</v>
      </c>
      <c r="D1149" s="11">
        <v>41760</v>
      </c>
      <c r="E1149" t="s">
        <v>2177</v>
      </c>
      <c r="F1149">
        <v>7</v>
      </c>
      <c r="G1149" t="s">
        <v>59</v>
      </c>
      <c r="H1149" t="s">
        <v>43</v>
      </c>
      <c r="I1149" t="s">
        <v>2191</v>
      </c>
      <c r="J1149" s="10">
        <v>7</v>
      </c>
      <c r="K1149" t="b">
        <v>1</v>
      </c>
    </row>
    <row r="1150" spans="1:11">
      <c r="A1150" s="12">
        <v>41784</v>
      </c>
      <c r="B1150">
        <v>2014</v>
      </c>
      <c r="C1150">
        <v>5</v>
      </c>
      <c r="D1150" s="11">
        <v>41760</v>
      </c>
      <c r="E1150" t="s">
        <v>2177</v>
      </c>
      <c r="F1150">
        <v>7</v>
      </c>
      <c r="G1150" t="s">
        <v>59</v>
      </c>
      <c r="H1150" t="s">
        <v>44</v>
      </c>
      <c r="I1150" t="s">
        <v>2192</v>
      </c>
      <c r="J1150" s="10">
        <v>8</v>
      </c>
      <c r="K1150" t="b">
        <v>1</v>
      </c>
    </row>
    <row r="1151" spans="1:11">
      <c r="A1151" s="12">
        <v>41784</v>
      </c>
      <c r="B1151">
        <v>2014</v>
      </c>
      <c r="C1151">
        <v>5</v>
      </c>
      <c r="D1151" s="11">
        <v>41760</v>
      </c>
      <c r="E1151" t="s">
        <v>2177</v>
      </c>
      <c r="F1151">
        <v>7</v>
      </c>
      <c r="G1151" t="s">
        <v>59</v>
      </c>
      <c r="H1151" t="s">
        <v>45</v>
      </c>
      <c r="I1151" t="s">
        <v>2193</v>
      </c>
      <c r="J1151" s="10">
        <v>0</v>
      </c>
      <c r="K1151" t="b">
        <v>1</v>
      </c>
    </row>
    <row r="1152" spans="1:11">
      <c r="A1152" s="12">
        <v>41784</v>
      </c>
      <c r="B1152">
        <v>2014</v>
      </c>
      <c r="C1152">
        <v>5</v>
      </c>
      <c r="D1152" s="11">
        <v>41760</v>
      </c>
      <c r="E1152" t="s">
        <v>2177</v>
      </c>
      <c r="F1152">
        <v>7</v>
      </c>
      <c r="G1152" t="s">
        <v>59</v>
      </c>
      <c r="H1152" t="s">
        <v>46</v>
      </c>
      <c r="I1152" t="s">
        <v>2194</v>
      </c>
      <c r="J1152" s="10">
        <v>5</v>
      </c>
      <c r="K1152" t="b">
        <v>1</v>
      </c>
    </row>
    <row r="1153" spans="1:11">
      <c r="A1153" s="12">
        <v>41784</v>
      </c>
      <c r="B1153">
        <v>2014</v>
      </c>
      <c r="C1153">
        <v>5</v>
      </c>
      <c r="D1153" s="11">
        <v>41760</v>
      </c>
      <c r="E1153" t="s">
        <v>2177</v>
      </c>
      <c r="F1153">
        <v>7</v>
      </c>
      <c r="G1153" t="s">
        <v>59</v>
      </c>
      <c r="H1153" t="s">
        <v>47</v>
      </c>
      <c r="I1153" t="s">
        <v>2195</v>
      </c>
      <c r="J1153" s="10">
        <v>1</v>
      </c>
      <c r="K1153" t="b">
        <v>1</v>
      </c>
    </row>
    <row r="1154" spans="1:11">
      <c r="A1154" s="12">
        <v>41785</v>
      </c>
      <c r="B1154">
        <v>2014</v>
      </c>
      <c r="C1154">
        <v>5</v>
      </c>
      <c r="D1154" s="11">
        <v>41760</v>
      </c>
      <c r="E1154" t="s">
        <v>2177</v>
      </c>
      <c r="F1154">
        <v>1</v>
      </c>
      <c r="G1154" t="s">
        <v>61</v>
      </c>
      <c r="H1154" t="s">
        <v>40</v>
      </c>
      <c r="I1154" t="s">
        <v>2188</v>
      </c>
      <c r="J1154" s="10">
        <v>2.68</v>
      </c>
      <c r="K1154" t="b">
        <v>1</v>
      </c>
    </row>
    <row r="1155" spans="1:11">
      <c r="A1155" s="12">
        <v>41785</v>
      </c>
      <c r="B1155">
        <v>2014</v>
      </c>
      <c r="C1155">
        <v>5</v>
      </c>
      <c r="D1155" s="11">
        <v>41760</v>
      </c>
      <c r="E1155" t="s">
        <v>2177</v>
      </c>
      <c r="F1155">
        <v>1</v>
      </c>
      <c r="G1155" t="s">
        <v>61</v>
      </c>
      <c r="H1155" t="s">
        <v>41</v>
      </c>
      <c r="I1155" t="s">
        <v>2189</v>
      </c>
      <c r="J1155" s="10">
        <v>3.34</v>
      </c>
      <c r="K1155" t="b">
        <v>1</v>
      </c>
    </row>
    <row r="1156" spans="1:11">
      <c r="A1156" s="12">
        <v>41785</v>
      </c>
      <c r="B1156">
        <v>2014</v>
      </c>
      <c r="C1156">
        <v>5</v>
      </c>
      <c r="D1156" s="11">
        <v>41760</v>
      </c>
      <c r="E1156" t="s">
        <v>2177</v>
      </c>
      <c r="F1156">
        <v>1</v>
      </c>
      <c r="G1156" t="s">
        <v>61</v>
      </c>
      <c r="H1156" t="s">
        <v>42</v>
      </c>
      <c r="I1156" t="s">
        <v>2190</v>
      </c>
      <c r="J1156" s="10">
        <v>7.4</v>
      </c>
      <c r="K1156" t="b">
        <v>1</v>
      </c>
    </row>
    <row r="1157" spans="1:11">
      <c r="A1157" s="12">
        <v>41785</v>
      </c>
      <c r="B1157">
        <v>2014</v>
      </c>
      <c r="C1157">
        <v>5</v>
      </c>
      <c r="D1157" s="11">
        <v>41760</v>
      </c>
      <c r="E1157" t="s">
        <v>2177</v>
      </c>
      <c r="F1157">
        <v>1</v>
      </c>
      <c r="G1157" t="s">
        <v>61</v>
      </c>
      <c r="H1157" t="s">
        <v>43</v>
      </c>
      <c r="I1157" t="s">
        <v>2191</v>
      </c>
      <c r="J1157" s="10">
        <v>18</v>
      </c>
      <c r="K1157" t="b">
        <v>1</v>
      </c>
    </row>
    <row r="1158" spans="1:11">
      <c r="A1158" s="12">
        <v>41785</v>
      </c>
      <c r="B1158">
        <v>2014</v>
      </c>
      <c r="C1158">
        <v>5</v>
      </c>
      <c r="D1158" s="11">
        <v>41760</v>
      </c>
      <c r="E1158" t="s">
        <v>2177</v>
      </c>
      <c r="F1158">
        <v>1</v>
      </c>
      <c r="G1158" t="s">
        <v>61</v>
      </c>
      <c r="H1158" t="s">
        <v>44</v>
      </c>
      <c r="I1158" t="s">
        <v>2192</v>
      </c>
      <c r="J1158" s="10">
        <v>7</v>
      </c>
      <c r="K1158" t="b">
        <v>1</v>
      </c>
    </row>
    <row r="1159" spans="1:11">
      <c r="A1159" s="12">
        <v>41785</v>
      </c>
      <c r="B1159">
        <v>2014</v>
      </c>
      <c r="C1159">
        <v>5</v>
      </c>
      <c r="D1159" s="11">
        <v>41760</v>
      </c>
      <c r="E1159" t="s">
        <v>2177</v>
      </c>
      <c r="F1159">
        <v>1</v>
      </c>
      <c r="G1159" t="s">
        <v>61</v>
      </c>
      <c r="H1159" t="s">
        <v>45</v>
      </c>
      <c r="I1159" t="s">
        <v>2193</v>
      </c>
      <c r="J1159" s="10">
        <v>1</v>
      </c>
      <c r="K1159" t="b">
        <v>1</v>
      </c>
    </row>
    <row r="1160" spans="1:11">
      <c r="A1160" s="12">
        <v>41785</v>
      </c>
      <c r="B1160">
        <v>2014</v>
      </c>
      <c r="C1160">
        <v>5</v>
      </c>
      <c r="D1160" s="11">
        <v>41760</v>
      </c>
      <c r="E1160" t="s">
        <v>2177</v>
      </c>
      <c r="F1160">
        <v>1</v>
      </c>
      <c r="G1160" t="s">
        <v>61</v>
      </c>
      <c r="H1160" t="s">
        <v>46</v>
      </c>
      <c r="I1160" t="s">
        <v>2194</v>
      </c>
      <c r="J1160" s="10">
        <v>0</v>
      </c>
      <c r="K1160" t="b">
        <v>1</v>
      </c>
    </row>
    <row r="1161" spans="1:11">
      <c r="A1161" s="12">
        <v>41785</v>
      </c>
      <c r="B1161">
        <v>2014</v>
      </c>
      <c r="C1161">
        <v>5</v>
      </c>
      <c r="D1161" s="11">
        <v>41760</v>
      </c>
      <c r="E1161" t="s">
        <v>2177</v>
      </c>
      <c r="F1161">
        <v>1</v>
      </c>
      <c r="G1161" t="s">
        <v>61</v>
      </c>
      <c r="H1161" t="s">
        <v>47</v>
      </c>
      <c r="I1161" t="s">
        <v>2195</v>
      </c>
      <c r="J1161" s="10">
        <v>5</v>
      </c>
      <c r="K1161" t="b">
        <v>1</v>
      </c>
    </row>
    <row r="1162" spans="1:11">
      <c r="A1162" s="12">
        <v>41786</v>
      </c>
      <c r="B1162">
        <v>2014</v>
      </c>
      <c r="C1162">
        <v>5</v>
      </c>
      <c r="D1162" s="11">
        <v>41760</v>
      </c>
      <c r="E1162" t="s">
        <v>2177</v>
      </c>
      <c r="F1162">
        <v>2</v>
      </c>
      <c r="G1162" t="s">
        <v>63</v>
      </c>
      <c r="H1162" t="s">
        <v>40</v>
      </c>
      <c r="I1162" t="s">
        <v>2188</v>
      </c>
      <c r="J1162" s="10">
        <v>0</v>
      </c>
      <c r="K1162" t="b">
        <v>1</v>
      </c>
    </row>
    <row r="1163" spans="1:11">
      <c r="A1163" s="12">
        <v>41786</v>
      </c>
      <c r="B1163">
        <v>2014</v>
      </c>
      <c r="C1163">
        <v>5</v>
      </c>
      <c r="D1163" s="11">
        <v>41760</v>
      </c>
      <c r="E1163" t="s">
        <v>2177</v>
      </c>
      <c r="F1163">
        <v>2</v>
      </c>
      <c r="G1163" t="s">
        <v>63</v>
      </c>
      <c r="H1163" t="s">
        <v>41</v>
      </c>
      <c r="I1163" t="s">
        <v>2189</v>
      </c>
      <c r="J1163" s="10">
        <v>2.34</v>
      </c>
      <c r="K1163" t="b">
        <v>1</v>
      </c>
    </row>
    <row r="1164" spans="1:11">
      <c r="A1164" s="12">
        <v>41786</v>
      </c>
      <c r="B1164">
        <v>2014</v>
      </c>
      <c r="C1164">
        <v>5</v>
      </c>
      <c r="D1164" s="11">
        <v>41760</v>
      </c>
      <c r="E1164" t="s">
        <v>2177</v>
      </c>
      <c r="F1164">
        <v>2</v>
      </c>
      <c r="G1164" t="s">
        <v>63</v>
      </c>
      <c r="H1164" t="s">
        <v>42</v>
      </c>
      <c r="I1164" t="s">
        <v>2190</v>
      </c>
      <c r="J1164" s="10">
        <v>5</v>
      </c>
      <c r="K1164" t="b">
        <v>1</v>
      </c>
    </row>
    <row r="1165" spans="1:11">
      <c r="A1165" s="12">
        <v>41786</v>
      </c>
      <c r="B1165">
        <v>2014</v>
      </c>
      <c r="C1165">
        <v>5</v>
      </c>
      <c r="D1165" s="11">
        <v>41760</v>
      </c>
      <c r="E1165" t="s">
        <v>2177</v>
      </c>
      <c r="F1165">
        <v>2</v>
      </c>
      <c r="G1165" t="s">
        <v>63</v>
      </c>
      <c r="H1165" t="s">
        <v>43</v>
      </c>
      <c r="I1165" t="s">
        <v>2191</v>
      </c>
      <c r="J1165" s="10">
        <v>28.6</v>
      </c>
      <c r="K1165" t="b">
        <v>1</v>
      </c>
    </row>
    <row r="1166" spans="1:11">
      <c r="A1166" s="12">
        <v>41786</v>
      </c>
      <c r="B1166">
        <v>2014</v>
      </c>
      <c r="C1166">
        <v>5</v>
      </c>
      <c r="D1166" s="11">
        <v>41760</v>
      </c>
      <c r="E1166" t="s">
        <v>2177</v>
      </c>
      <c r="F1166">
        <v>2</v>
      </c>
      <c r="G1166" t="s">
        <v>63</v>
      </c>
      <c r="H1166" t="s">
        <v>44</v>
      </c>
      <c r="I1166" t="s">
        <v>2192</v>
      </c>
      <c r="J1166" s="10">
        <v>12</v>
      </c>
      <c r="K1166" t="b">
        <v>1</v>
      </c>
    </row>
    <row r="1167" spans="1:11">
      <c r="A1167" s="12">
        <v>41786</v>
      </c>
      <c r="B1167">
        <v>2014</v>
      </c>
      <c r="C1167">
        <v>5</v>
      </c>
      <c r="D1167" s="11">
        <v>41760</v>
      </c>
      <c r="E1167" t="s">
        <v>2177</v>
      </c>
      <c r="F1167">
        <v>2</v>
      </c>
      <c r="G1167" t="s">
        <v>63</v>
      </c>
      <c r="H1167" t="s">
        <v>45</v>
      </c>
      <c r="I1167" t="s">
        <v>2193</v>
      </c>
      <c r="J1167" s="10">
        <v>1</v>
      </c>
      <c r="K1167" t="b">
        <v>1</v>
      </c>
    </row>
    <row r="1168" spans="1:11">
      <c r="A1168" s="12">
        <v>41786</v>
      </c>
      <c r="B1168">
        <v>2014</v>
      </c>
      <c r="C1168">
        <v>5</v>
      </c>
      <c r="D1168" s="11">
        <v>41760</v>
      </c>
      <c r="E1168" t="s">
        <v>2177</v>
      </c>
      <c r="F1168">
        <v>2</v>
      </c>
      <c r="G1168" t="s">
        <v>63</v>
      </c>
      <c r="H1168" t="s">
        <v>46</v>
      </c>
      <c r="I1168" t="s">
        <v>2194</v>
      </c>
      <c r="J1168" s="10">
        <v>1</v>
      </c>
      <c r="K1168" t="b">
        <v>1</v>
      </c>
    </row>
    <row r="1169" spans="1:11">
      <c r="A1169" s="12">
        <v>41786</v>
      </c>
      <c r="B1169">
        <v>2014</v>
      </c>
      <c r="C1169">
        <v>5</v>
      </c>
      <c r="D1169" s="11">
        <v>41760</v>
      </c>
      <c r="E1169" t="s">
        <v>2177</v>
      </c>
      <c r="F1169">
        <v>2</v>
      </c>
      <c r="G1169" t="s">
        <v>63</v>
      </c>
      <c r="H1169" t="s">
        <v>47</v>
      </c>
      <c r="I1169" t="s">
        <v>2195</v>
      </c>
      <c r="J1169" s="10">
        <v>6</v>
      </c>
      <c r="K1169" t="b">
        <v>1</v>
      </c>
    </row>
    <row r="1170" spans="1:11">
      <c r="A1170" s="12">
        <v>41787</v>
      </c>
      <c r="B1170">
        <v>2014</v>
      </c>
      <c r="C1170">
        <v>5</v>
      </c>
      <c r="D1170" s="11">
        <v>41760</v>
      </c>
      <c r="E1170" t="s">
        <v>2177</v>
      </c>
      <c r="F1170">
        <v>3</v>
      </c>
      <c r="G1170" t="s">
        <v>65</v>
      </c>
      <c r="H1170" t="s">
        <v>40</v>
      </c>
      <c r="I1170" t="s">
        <v>2188</v>
      </c>
      <c r="J1170" s="10">
        <v>1.34</v>
      </c>
      <c r="K1170" t="b">
        <v>1</v>
      </c>
    </row>
    <row r="1171" spans="1:11">
      <c r="A1171" s="12">
        <v>41787</v>
      </c>
      <c r="B1171">
        <v>2014</v>
      </c>
      <c r="C1171">
        <v>5</v>
      </c>
      <c r="D1171" s="11">
        <v>41760</v>
      </c>
      <c r="E1171" t="s">
        <v>2177</v>
      </c>
      <c r="F1171">
        <v>3</v>
      </c>
      <c r="G1171" t="s">
        <v>65</v>
      </c>
      <c r="H1171" t="s">
        <v>41</v>
      </c>
      <c r="I1171" t="s">
        <v>2189</v>
      </c>
      <c r="J1171" s="10">
        <v>5.02</v>
      </c>
      <c r="K1171" t="b">
        <v>1</v>
      </c>
    </row>
    <row r="1172" spans="1:11">
      <c r="A1172" s="12">
        <v>41787</v>
      </c>
      <c r="B1172">
        <v>2014</v>
      </c>
      <c r="C1172">
        <v>5</v>
      </c>
      <c r="D1172" s="11">
        <v>41760</v>
      </c>
      <c r="E1172" t="s">
        <v>2177</v>
      </c>
      <c r="F1172">
        <v>3</v>
      </c>
      <c r="G1172" t="s">
        <v>65</v>
      </c>
      <c r="H1172" t="s">
        <v>42</v>
      </c>
      <c r="I1172" t="s">
        <v>2190</v>
      </c>
      <c r="J1172" s="10">
        <v>1.4</v>
      </c>
      <c r="K1172" t="b">
        <v>1</v>
      </c>
    </row>
    <row r="1173" spans="1:11">
      <c r="A1173" s="12">
        <v>41787</v>
      </c>
      <c r="B1173">
        <v>2014</v>
      </c>
      <c r="C1173">
        <v>5</v>
      </c>
      <c r="D1173" s="11">
        <v>41760</v>
      </c>
      <c r="E1173" t="s">
        <v>2177</v>
      </c>
      <c r="F1173">
        <v>3</v>
      </c>
      <c r="G1173" t="s">
        <v>65</v>
      </c>
      <c r="H1173" t="s">
        <v>43</v>
      </c>
      <c r="I1173" t="s">
        <v>2191</v>
      </c>
      <c r="J1173" s="10">
        <v>10.28</v>
      </c>
      <c r="K1173" t="b">
        <v>1</v>
      </c>
    </row>
    <row r="1174" spans="1:11">
      <c r="A1174" s="12">
        <v>41787</v>
      </c>
      <c r="B1174">
        <v>2014</v>
      </c>
      <c r="C1174">
        <v>5</v>
      </c>
      <c r="D1174" s="11">
        <v>41760</v>
      </c>
      <c r="E1174" t="s">
        <v>2177</v>
      </c>
      <c r="F1174">
        <v>3</v>
      </c>
      <c r="G1174" t="s">
        <v>65</v>
      </c>
      <c r="H1174" t="s">
        <v>44</v>
      </c>
      <c r="I1174" t="s">
        <v>2192</v>
      </c>
      <c r="J1174" s="10">
        <v>9</v>
      </c>
      <c r="K1174" t="b">
        <v>1</v>
      </c>
    </row>
    <row r="1175" spans="1:11">
      <c r="A1175" s="12">
        <v>41787</v>
      </c>
      <c r="B1175">
        <v>2014</v>
      </c>
      <c r="C1175">
        <v>5</v>
      </c>
      <c r="D1175" s="11">
        <v>41760</v>
      </c>
      <c r="E1175" t="s">
        <v>2177</v>
      </c>
      <c r="F1175">
        <v>3</v>
      </c>
      <c r="G1175" t="s">
        <v>65</v>
      </c>
      <c r="H1175" t="s">
        <v>45</v>
      </c>
      <c r="I1175" t="s">
        <v>2193</v>
      </c>
      <c r="J1175" s="10">
        <v>0</v>
      </c>
      <c r="K1175" t="b">
        <v>1</v>
      </c>
    </row>
    <row r="1176" spans="1:11">
      <c r="A1176" s="12">
        <v>41787</v>
      </c>
      <c r="B1176">
        <v>2014</v>
      </c>
      <c r="C1176">
        <v>5</v>
      </c>
      <c r="D1176" s="11">
        <v>41760</v>
      </c>
      <c r="E1176" t="s">
        <v>2177</v>
      </c>
      <c r="F1176">
        <v>3</v>
      </c>
      <c r="G1176" t="s">
        <v>65</v>
      </c>
      <c r="H1176" t="s">
        <v>46</v>
      </c>
      <c r="I1176" t="s">
        <v>2194</v>
      </c>
      <c r="J1176" s="10">
        <v>2</v>
      </c>
      <c r="K1176" t="b">
        <v>1</v>
      </c>
    </row>
    <row r="1177" spans="1:11">
      <c r="A1177" s="12">
        <v>41787</v>
      </c>
      <c r="B1177">
        <v>2014</v>
      </c>
      <c r="C1177">
        <v>5</v>
      </c>
      <c r="D1177" s="11">
        <v>41760</v>
      </c>
      <c r="E1177" t="s">
        <v>2177</v>
      </c>
      <c r="F1177">
        <v>3</v>
      </c>
      <c r="G1177" t="s">
        <v>65</v>
      </c>
      <c r="H1177" t="s">
        <v>47</v>
      </c>
      <c r="I1177" t="s">
        <v>2195</v>
      </c>
      <c r="J1177" s="10">
        <v>5.1</v>
      </c>
      <c r="K1177" t="b">
        <v>1</v>
      </c>
    </row>
    <row r="1178" spans="1:11">
      <c r="A1178" s="12">
        <v>41788</v>
      </c>
      <c r="B1178">
        <v>2014</v>
      </c>
      <c r="C1178">
        <v>5</v>
      </c>
      <c r="D1178" s="11">
        <v>41760</v>
      </c>
      <c r="E1178" t="s">
        <v>2177</v>
      </c>
      <c r="F1178">
        <v>4</v>
      </c>
      <c r="G1178" t="s">
        <v>53</v>
      </c>
      <c r="H1178" t="s">
        <v>40</v>
      </c>
      <c r="I1178" t="s">
        <v>2188</v>
      </c>
      <c r="J1178" s="10">
        <v>4</v>
      </c>
      <c r="K1178" t="b">
        <v>1</v>
      </c>
    </row>
    <row r="1179" spans="1:11">
      <c r="A1179" s="12">
        <v>41788</v>
      </c>
      <c r="B1179">
        <v>2014</v>
      </c>
      <c r="C1179">
        <v>5</v>
      </c>
      <c r="D1179" s="11">
        <v>41760</v>
      </c>
      <c r="E1179" t="s">
        <v>2177</v>
      </c>
      <c r="F1179">
        <v>4</v>
      </c>
      <c r="G1179" t="s">
        <v>53</v>
      </c>
      <c r="H1179" t="s">
        <v>41</v>
      </c>
      <c r="I1179" t="s">
        <v>2189</v>
      </c>
      <c r="J1179" s="10">
        <v>5.34</v>
      </c>
      <c r="K1179" t="b">
        <v>1</v>
      </c>
    </row>
    <row r="1180" spans="1:11">
      <c r="A1180" s="12">
        <v>41788</v>
      </c>
      <c r="B1180">
        <v>2014</v>
      </c>
      <c r="C1180">
        <v>5</v>
      </c>
      <c r="D1180" s="11">
        <v>41760</v>
      </c>
      <c r="E1180" t="s">
        <v>2177</v>
      </c>
      <c r="F1180">
        <v>4</v>
      </c>
      <c r="G1180" t="s">
        <v>53</v>
      </c>
      <c r="H1180" t="s">
        <v>42</v>
      </c>
      <c r="I1180" t="s">
        <v>2190</v>
      </c>
      <c r="J1180" s="10">
        <v>6.3</v>
      </c>
      <c r="K1180" t="b">
        <v>1</v>
      </c>
    </row>
    <row r="1181" spans="1:11">
      <c r="A1181" s="12">
        <v>41788</v>
      </c>
      <c r="B1181">
        <v>2014</v>
      </c>
      <c r="C1181">
        <v>5</v>
      </c>
      <c r="D1181" s="11">
        <v>41760</v>
      </c>
      <c r="E1181" t="s">
        <v>2177</v>
      </c>
      <c r="F1181">
        <v>4</v>
      </c>
      <c r="G1181" t="s">
        <v>53</v>
      </c>
      <c r="H1181" t="s">
        <v>43</v>
      </c>
      <c r="I1181" t="s">
        <v>2191</v>
      </c>
      <c r="J1181" s="10">
        <v>27</v>
      </c>
      <c r="K1181" t="b">
        <v>1</v>
      </c>
    </row>
    <row r="1182" spans="1:11">
      <c r="A1182" s="12">
        <v>41788</v>
      </c>
      <c r="B1182">
        <v>2014</v>
      </c>
      <c r="C1182">
        <v>5</v>
      </c>
      <c r="D1182" s="11">
        <v>41760</v>
      </c>
      <c r="E1182" t="s">
        <v>2177</v>
      </c>
      <c r="F1182">
        <v>4</v>
      </c>
      <c r="G1182" t="s">
        <v>53</v>
      </c>
      <c r="H1182" t="s">
        <v>44</v>
      </c>
      <c r="I1182" t="s">
        <v>2192</v>
      </c>
      <c r="J1182" s="10">
        <v>13</v>
      </c>
      <c r="K1182" t="b">
        <v>1</v>
      </c>
    </row>
    <row r="1183" spans="1:11">
      <c r="A1183" s="12">
        <v>41788</v>
      </c>
      <c r="B1183">
        <v>2014</v>
      </c>
      <c r="C1183">
        <v>5</v>
      </c>
      <c r="D1183" s="11">
        <v>41760</v>
      </c>
      <c r="E1183" t="s">
        <v>2177</v>
      </c>
      <c r="F1183">
        <v>4</v>
      </c>
      <c r="G1183" t="s">
        <v>53</v>
      </c>
      <c r="H1183" t="s">
        <v>45</v>
      </c>
      <c r="I1183" t="s">
        <v>2193</v>
      </c>
      <c r="J1183" s="10">
        <v>0</v>
      </c>
      <c r="K1183" t="b">
        <v>1</v>
      </c>
    </row>
    <row r="1184" spans="1:11">
      <c r="A1184" s="12">
        <v>41788</v>
      </c>
      <c r="B1184">
        <v>2014</v>
      </c>
      <c r="C1184">
        <v>5</v>
      </c>
      <c r="D1184" s="11">
        <v>41760</v>
      </c>
      <c r="E1184" t="s">
        <v>2177</v>
      </c>
      <c r="F1184">
        <v>4</v>
      </c>
      <c r="G1184" t="s">
        <v>53</v>
      </c>
      <c r="H1184" t="s">
        <v>46</v>
      </c>
      <c r="I1184" t="s">
        <v>2194</v>
      </c>
      <c r="J1184" s="10">
        <v>0</v>
      </c>
      <c r="K1184" t="b">
        <v>1</v>
      </c>
    </row>
    <row r="1185" spans="1:11">
      <c r="A1185" s="12">
        <v>41788</v>
      </c>
      <c r="B1185">
        <v>2014</v>
      </c>
      <c r="C1185">
        <v>5</v>
      </c>
      <c r="D1185" s="11">
        <v>41760</v>
      </c>
      <c r="E1185" t="s">
        <v>2177</v>
      </c>
      <c r="F1185">
        <v>4</v>
      </c>
      <c r="G1185" t="s">
        <v>53</v>
      </c>
      <c r="H1185" t="s">
        <v>47</v>
      </c>
      <c r="I1185" t="s">
        <v>2195</v>
      </c>
      <c r="J1185" s="10">
        <v>2</v>
      </c>
      <c r="K1185" t="b">
        <v>1</v>
      </c>
    </row>
    <row r="1186" spans="1:11">
      <c r="A1186" s="12">
        <v>41789</v>
      </c>
      <c r="B1186">
        <v>2014</v>
      </c>
      <c r="C1186">
        <v>5</v>
      </c>
      <c r="D1186" s="11">
        <v>41760</v>
      </c>
      <c r="E1186" t="s">
        <v>2177</v>
      </c>
      <c r="F1186">
        <v>5</v>
      </c>
      <c r="G1186" t="s">
        <v>55</v>
      </c>
      <c r="H1186" t="s">
        <v>40</v>
      </c>
      <c r="I1186" t="s">
        <v>2188</v>
      </c>
      <c r="J1186" s="10">
        <v>3.02</v>
      </c>
      <c r="K1186" t="b">
        <v>1</v>
      </c>
    </row>
    <row r="1187" spans="1:11">
      <c r="A1187" s="12">
        <v>41789</v>
      </c>
      <c r="B1187">
        <v>2014</v>
      </c>
      <c r="C1187">
        <v>5</v>
      </c>
      <c r="D1187" s="11">
        <v>41760</v>
      </c>
      <c r="E1187" t="s">
        <v>2177</v>
      </c>
      <c r="F1187">
        <v>5</v>
      </c>
      <c r="G1187" t="s">
        <v>55</v>
      </c>
      <c r="H1187" t="s">
        <v>41</v>
      </c>
      <c r="I1187" t="s">
        <v>2189</v>
      </c>
      <c r="J1187" s="10">
        <v>2.02</v>
      </c>
      <c r="K1187" t="b">
        <v>1</v>
      </c>
    </row>
    <row r="1188" spans="1:11">
      <c r="A1188" s="12">
        <v>41789</v>
      </c>
      <c r="B1188">
        <v>2014</v>
      </c>
      <c r="C1188">
        <v>5</v>
      </c>
      <c r="D1188" s="11">
        <v>41760</v>
      </c>
      <c r="E1188" t="s">
        <v>2177</v>
      </c>
      <c r="F1188">
        <v>5</v>
      </c>
      <c r="G1188" t="s">
        <v>55</v>
      </c>
      <c r="H1188" t="s">
        <v>42</v>
      </c>
      <c r="I1188" t="s">
        <v>2190</v>
      </c>
      <c r="J1188" s="10">
        <v>2</v>
      </c>
      <c r="K1188" t="b">
        <v>1</v>
      </c>
    </row>
    <row r="1189" spans="1:11">
      <c r="A1189" s="12">
        <v>41789</v>
      </c>
      <c r="B1189">
        <v>2014</v>
      </c>
      <c r="C1189">
        <v>5</v>
      </c>
      <c r="D1189" s="11">
        <v>41760</v>
      </c>
      <c r="E1189" t="s">
        <v>2177</v>
      </c>
      <c r="F1189">
        <v>5</v>
      </c>
      <c r="G1189" t="s">
        <v>55</v>
      </c>
      <c r="H1189" t="s">
        <v>43</v>
      </c>
      <c r="I1189" t="s">
        <v>2191</v>
      </c>
      <c r="J1189" s="10">
        <v>21.5</v>
      </c>
      <c r="K1189" t="b">
        <v>1</v>
      </c>
    </row>
    <row r="1190" spans="1:11">
      <c r="A1190" s="12">
        <v>41789</v>
      </c>
      <c r="B1190">
        <v>2014</v>
      </c>
      <c r="C1190">
        <v>5</v>
      </c>
      <c r="D1190" s="11">
        <v>41760</v>
      </c>
      <c r="E1190" t="s">
        <v>2177</v>
      </c>
      <c r="F1190">
        <v>5</v>
      </c>
      <c r="G1190" t="s">
        <v>55</v>
      </c>
      <c r="H1190" t="s">
        <v>44</v>
      </c>
      <c r="I1190" t="s">
        <v>2192</v>
      </c>
      <c r="J1190" s="10">
        <v>14</v>
      </c>
      <c r="K1190" t="b">
        <v>1</v>
      </c>
    </row>
    <row r="1191" spans="1:11">
      <c r="A1191" s="12">
        <v>41789</v>
      </c>
      <c r="B1191">
        <v>2014</v>
      </c>
      <c r="C1191">
        <v>5</v>
      </c>
      <c r="D1191" s="11">
        <v>41760</v>
      </c>
      <c r="E1191" t="s">
        <v>2177</v>
      </c>
      <c r="F1191">
        <v>5</v>
      </c>
      <c r="G1191" t="s">
        <v>55</v>
      </c>
      <c r="H1191" t="s">
        <v>45</v>
      </c>
      <c r="I1191" t="s">
        <v>2193</v>
      </c>
      <c r="J1191" s="10">
        <v>0</v>
      </c>
      <c r="K1191" t="b">
        <v>1</v>
      </c>
    </row>
    <row r="1192" spans="1:11">
      <c r="A1192" s="12">
        <v>41789</v>
      </c>
      <c r="B1192">
        <v>2014</v>
      </c>
      <c r="C1192">
        <v>5</v>
      </c>
      <c r="D1192" s="11">
        <v>41760</v>
      </c>
      <c r="E1192" t="s">
        <v>2177</v>
      </c>
      <c r="F1192">
        <v>5</v>
      </c>
      <c r="G1192" t="s">
        <v>55</v>
      </c>
      <c r="H1192" t="s">
        <v>46</v>
      </c>
      <c r="I1192" t="s">
        <v>2194</v>
      </c>
      <c r="J1192" s="10">
        <v>0</v>
      </c>
      <c r="K1192" t="b">
        <v>1</v>
      </c>
    </row>
    <row r="1193" spans="1:11">
      <c r="A1193" s="12">
        <v>41789</v>
      </c>
      <c r="B1193">
        <v>2014</v>
      </c>
      <c r="C1193">
        <v>5</v>
      </c>
      <c r="D1193" s="11">
        <v>41760</v>
      </c>
      <c r="E1193" t="s">
        <v>2177</v>
      </c>
      <c r="F1193">
        <v>5</v>
      </c>
      <c r="G1193" t="s">
        <v>55</v>
      </c>
      <c r="H1193" t="s">
        <v>47</v>
      </c>
      <c r="I1193" t="s">
        <v>2195</v>
      </c>
      <c r="J1193" s="10">
        <v>5</v>
      </c>
      <c r="K1193" t="b">
        <v>1</v>
      </c>
    </row>
    <row r="1194" spans="1:11">
      <c r="A1194" s="12">
        <v>41790</v>
      </c>
      <c r="B1194">
        <v>2014</v>
      </c>
      <c r="C1194">
        <v>5</v>
      </c>
      <c r="D1194" s="11">
        <v>41760</v>
      </c>
      <c r="E1194" t="s">
        <v>2177</v>
      </c>
      <c r="F1194">
        <v>6</v>
      </c>
      <c r="G1194" t="s">
        <v>57</v>
      </c>
      <c r="H1194" t="s">
        <v>40</v>
      </c>
      <c r="I1194" t="s">
        <v>2188</v>
      </c>
      <c r="J1194" s="10">
        <v>5.67</v>
      </c>
      <c r="K1194" t="b">
        <v>1</v>
      </c>
    </row>
    <row r="1195" spans="1:11">
      <c r="A1195" s="12">
        <v>41790</v>
      </c>
      <c r="B1195">
        <v>2014</v>
      </c>
      <c r="C1195">
        <v>5</v>
      </c>
      <c r="D1195" s="11">
        <v>41760</v>
      </c>
      <c r="E1195" t="s">
        <v>2177</v>
      </c>
      <c r="F1195">
        <v>6</v>
      </c>
      <c r="G1195" t="s">
        <v>57</v>
      </c>
      <c r="H1195" t="s">
        <v>41</v>
      </c>
      <c r="I1195" t="s">
        <v>2189</v>
      </c>
      <c r="J1195" s="10">
        <v>3.34</v>
      </c>
      <c r="K1195" t="b">
        <v>1</v>
      </c>
    </row>
    <row r="1196" spans="1:11">
      <c r="A1196" s="12">
        <v>41790</v>
      </c>
      <c r="B1196">
        <v>2014</v>
      </c>
      <c r="C1196">
        <v>5</v>
      </c>
      <c r="D1196" s="11">
        <v>41760</v>
      </c>
      <c r="E1196" t="s">
        <v>2177</v>
      </c>
      <c r="F1196">
        <v>6</v>
      </c>
      <c r="G1196" t="s">
        <v>57</v>
      </c>
      <c r="H1196" t="s">
        <v>42</v>
      </c>
      <c r="I1196" t="s">
        <v>2190</v>
      </c>
      <c r="J1196" s="10">
        <v>2</v>
      </c>
      <c r="K1196" t="b">
        <v>1</v>
      </c>
    </row>
    <row r="1197" spans="1:11">
      <c r="A1197" s="12">
        <v>41790</v>
      </c>
      <c r="B1197">
        <v>2014</v>
      </c>
      <c r="C1197">
        <v>5</v>
      </c>
      <c r="D1197" s="11">
        <v>41760</v>
      </c>
      <c r="E1197" t="s">
        <v>2177</v>
      </c>
      <c r="F1197">
        <v>6</v>
      </c>
      <c r="G1197" t="s">
        <v>57</v>
      </c>
      <c r="H1197" t="s">
        <v>43</v>
      </c>
      <c r="I1197" t="s">
        <v>2191</v>
      </c>
      <c r="J1197" s="10">
        <v>28</v>
      </c>
      <c r="K1197" t="b">
        <v>1</v>
      </c>
    </row>
    <row r="1198" spans="1:11">
      <c r="A1198" s="12">
        <v>41790</v>
      </c>
      <c r="B1198">
        <v>2014</v>
      </c>
      <c r="C1198">
        <v>5</v>
      </c>
      <c r="D1198" s="11">
        <v>41760</v>
      </c>
      <c r="E1198" t="s">
        <v>2177</v>
      </c>
      <c r="F1198">
        <v>6</v>
      </c>
      <c r="G1198" t="s">
        <v>57</v>
      </c>
      <c r="H1198" t="s">
        <v>44</v>
      </c>
      <c r="I1198" t="s">
        <v>2192</v>
      </c>
      <c r="J1198" s="10">
        <v>10</v>
      </c>
      <c r="K1198" t="b">
        <v>1</v>
      </c>
    </row>
    <row r="1199" spans="1:11">
      <c r="A1199" s="12">
        <v>41790</v>
      </c>
      <c r="B1199">
        <v>2014</v>
      </c>
      <c r="C1199">
        <v>5</v>
      </c>
      <c r="D1199" s="11">
        <v>41760</v>
      </c>
      <c r="E1199" t="s">
        <v>2177</v>
      </c>
      <c r="F1199">
        <v>6</v>
      </c>
      <c r="G1199" t="s">
        <v>57</v>
      </c>
      <c r="H1199" t="s">
        <v>45</v>
      </c>
      <c r="I1199" t="s">
        <v>2193</v>
      </c>
      <c r="J1199" s="10">
        <v>0</v>
      </c>
      <c r="K1199" t="b">
        <v>1</v>
      </c>
    </row>
    <row r="1200" spans="1:11">
      <c r="A1200" s="12">
        <v>41790</v>
      </c>
      <c r="B1200">
        <v>2014</v>
      </c>
      <c r="C1200">
        <v>5</v>
      </c>
      <c r="D1200" s="11">
        <v>41760</v>
      </c>
      <c r="E1200" t="s">
        <v>2177</v>
      </c>
      <c r="F1200">
        <v>6</v>
      </c>
      <c r="G1200" t="s">
        <v>57</v>
      </c>
      <c r="H1200" t="s">
        <v>46</v>
      </c>
      <c r="I1200" t="s">
        <v>2194</v>
      </c>
      <c r="J1200" s="10">
        <v>15</v>
      </c>
      <c r="K1200" t="b">
        <v>1</v>
      </c>
    </row>
    <row r="1201" spans="1:11">
      <c r="A1201" s="12">
        <v>41790</v>
      </c>
      <c r="B1201">
        <v>2014</v>
      </c>
      <c r="C1201">
        <v>5</v>
      </c>
      <c r="D1201" s="11">
        <v>41760</v>
      </c>
      <c r="E1201" t="s">
        <v>2177</v>
      </c>
      <c r="F1201">
        <v>6</v>
      </c>
      <c r="G1201" t="s">
        <v>57</v>
      </c>
      <c r="H1201" t="s">
        <v>47</v>
      </c>
      <c r="I1201" t="s">
        <v>2195</v>
      </c>
      <c r="J1201" s="10">
        <v>2</v>
      </c>
      <c r="K1201" t="b">
        <v>1</v>
      </c>
    </row>
    <row r="1202" spans="1:11">
      <c r="A1202" s="12">
        <v>41791</v>
      </c>
      <c r="B1202">
        <v>2014</v>
      </c>
      <c r="C1202">
        <v>6</v>
      </c>
      <c r="D1202" s="11">
        <v>41791</v>
      </c>
      <c r="E1202" t="s">
        <v>2178</v>
      </c>
      <c r="F1202">
        <v>7</v>
      </c>
      <c r="G1202" t="s">
        <v>59</v>
      </c>
      <c r="H1202" t="s">
        <v>40</v>
      </c>
      <c r="I1202" t="s">
        <v>2188</v>
      </c>
      <c r="J1202" s="10">
        <v>1</v>
      </c>
      <c r="K1202" t="b">
        <v>1</v>
      </c>
    </row>
    <row r="1203" spans="1:11">
      <c r="A1203" s="12">
        <v>41791</v>
      </c>
      <c r="B1203">
        <v>2014</v>
      </c>
      <c r="C1203">
        <v>6</v>
      </c>
      <c r="D1203" s="11">
        <v>41791</v>
      </c>
      <c r="E1203" t="s">
        <v>2178</v>
      </c>
      <c r="F1203">
        <v>7</v>
      </c>
      <c r="G1203" t="s">
        <v>59</v>
      </c>
      <c r="H1203" t="s">
        <v>41</v>
      </c>
      <c r="I1203" t="s">
        <v>2189</v>
      </c>
      <c r="J1203" s="10">
        <v>0.68</v>
      </c>
      <c r="K1203" t="b">
        <v>1</v>
      </c>
    </row>
    <row r="1204" spans="1:11">
      <c r="A1204" s="12">
        <v>41791</v>
      </c>
      <c r="B1204">
        <v>2014</v>
      </c>
      <c r="C1204">
        <v>6</v>
      </c>
      <c r="D1204" s="11">
        <v>41791</v>
      </c>
      <c r="E1204" t="s">
        <v>2178</v>
      </c>
      <c r="F1204">
        <v>7</v>
      </c>
      <c r="G1204" t="s">
        <v>59</v>
      </c>
      <c r="H1204" t="s">
        <v>42</v>
      </c>
      <c r="I1204" t="s">
        <v>2190</v>
      </c>
      <c r="J1204" s="10">
        <v>1</v>
      </c>
      <c r="K1204" t="b">
        <v>1</v>
      </c>
    </row>
    <row r="1205" spans="1:11">
      <c r="A1205" s="12">
        <v>41791</v>
      </c>
      <c r="B1205">
        <v>2014</v>
      </c>
      <c r="C1205">
        <v>6</v>
      </c>
      <c r="D1205" s="11">
        <v>41791</v>
      </c>
      <c r="E1205" t="s">
        <v>2178</v>
      </c>
      <c r="F1205">
        <v>7</v>
      </c>
      <c r="G1205" t="s">
        <v>59</v>
      </c>
      <c r="H1205" t="s">
        <v>43</v>
      </c>
      <c r="I1205" t="s">
        <v>2191</v>
      </c>
      <c r="J1205" s="10">
        <v>10</v>
      </c>
      <c r="K1205" t="b">
        <v>1</v>
      </c>
    </row>
    <row r="1206" spans="1:11">
      <c r="A1206" s="12">
        <v>41791</v>
      </c>
      <c r="B1206">
        <v>2014</v>
      </c>
      <c r="C1206">
        <v>6</v>
      </c>
      <c r="D1206" s="11">
        <v>41791</v>
      </c>
      <c r="E1206" t="s">
        <v>2178</v>
      </c>
      <c r="F1206">
        <v>7</v>
      </c>
      <c r="G1206" t="s">
        <v>59</v>
      </c>
      <c r="H1206" t="s">
        <v>44</v>
      </c>
      <c r="I1206" t="s">
        <v>2192</v>
      </c>
      <c r="J1206" s="10">
        <v>4</v>
      </c>
      <c r="K1206" t="b">
        <v>1</v>
      </c>
    </row>
    <row r="1207" spans="1:11">
      <c r="A1207" s="12">
        <v>41791</v>
      </c>
      <c r="B1207">
        <v>2014</v>
      </c>
      <c r="C1207">
        <v>6</v>
      </c>
      <c r="D1207" s="11">
        <v>41791</v>
      </c>
      <c r="E1207" t="s">
        <v>2178</v>
      </c>
      <c r="F1207">
        <v>7</v>
      </c>
      <c r="G1207" t="s">
        <v>59</v>
      </c>
      <c r="H1207" t="s">
        <v>45</v>
      </c>
      <c r="I1207" t="s">
        <v>2193</v>
      </c>
      <c r="J1207" s="10">
        <v>1</v>
      </c>
      <c r="K1207" t="b">
        <v>1</v>
      </c>
    </row>
    <row r="1208" spans="1:11">
      <c r="A1208" s="12">
        <v>41791</v>
      </c>
      <c r="B1208">
        <v>2014</v>
      </c>
      <c r="C1208">
        <v>6</v>
      </c>
      <c r="D1208" s="11">
        <v>41791</v>
      </c>
      <c r="E1208" t="s">
        <v>2178</v>
      </c>
      <c r="F1208">
        <v>7</v>
      </c>
      <c r="G1208" t="s">
        <v>59</v>
      </c>
      <c r="H1208" t="s">
        <v>46</v>
      </c>
      <c r="I1208" t="s">
        <v>2194</v>
      </c>
      <c r="J1208" s="10">
        <v>1</v>
      </c>
      <c r="K1208" t="b">
        <v>1</v>
      </c>
    </row>
    <row r="1209" spans="1:11">
      <c r="A1209" s="12">
        <v>41791</v>
      </c>
      <c r="B1209">
        <v>2014</v>
      </c>
      <c r="C1209">
        <v>6</v>
      </c>
      <c r="D1209" s="11">
        <v>41791</v>
      </c>
      <c r="E1209" t="s">
        <v>2178</v>
      </c>
      <c r="F1209">
        <v>7</v>
      </c>
      <c r="G1209" t="s">
        <v>59</v>
      </c>
      <c r="H1209" t="s">
        <v>47</v>
      </c>
      <c r="I1209" t="s">
        <v>2195</v>
      </c>
      <c r="J1209" s="10">
        <v>3</v>
      </c>
      <c r="K1209" t="b">
        <v>1</v>
      </c>
    </row>
    <row r="1210" spans="1:11">
      <c r="A1210" s="12">
        <v>41792</v>
      </c>
      <c r="B1210">
        <v>2014</v>
      </c>
      <c r="C1210">
        <v>6</v>
      </c>
      <c r="D1210" s="11">
        <v>41791</v>
      </c>
      <c r="E1210" t="s">
        <v>2178</v>
      </c>
      <c r="F1210">
        <v>1</v>
      </c>
      <c r="G1210" t="s">
        <v>61</v>
      </c>
      <c r="H1210" t="s">
        <v>40</v>
      </c>
      <c r="I1210" t="s">
        <v>2188</v>
      </c>
      <c r="J1210" s="10">
        <v>4</v>
      </c>
      <c r="K1210" t="b">
        <v>1</v>
      </c>
    </row>
    <row r="1211" spans="1:11">
      <c r="A1211" s="12">
        <v>41792</v>
      </c>
      <c r="B1211">
        <v>2014</v>
      </c>
      <c r="C1211">
        <v>6</v>
      </c>
      <c r="D1211" s="11">
        <v>41791</v>
      </c>
      <c r="E1211" t="s">
        <v>2178</v>
      </c>
      <c r="F1211">
        <v>1</v>
      </c>
      <c r="G1211" t="s">
        <v>61</v>
      </c>
      <c r="H1211" t="s">
        <v>41</v>
      </c>
      <c r="I1211" t="s">
        <v>2189</v>
      </c>
      <c r="J1211" s="10">
        <v>4.34</v>
      </c>
      <c r="K1211" t="b">
        <v>1</v>
      </c>
    </row>
    <row r="1212" spans="1:11">
      <c r="A1212" s="12">
        <v>41792</v>
      </c>
      <c r="B1212">
        <v>2014</v>
      </c>
      <c r="C1212">
        <v>6</v>
      </c>
      <c r="D1212" s="11">
        <v>41791</v>
      </c>
      <c r="E1212" t="s">
        <v>2178</v>
      </c>
      <c r="F1212">
        <v>1</v>
      </c>
      <c r="G1212" t="s">
        <v>61</v>
      </c>
      <c r="H1212" t="s">
        <v>42</v>
      </c>
      <c r="I1212" t="s">
        <v>2190</v>
      </c>
      <c r="J1212" s="10">
        <v>10</v>
      </c>
      <c r="K1212" t="b">
        <v>1</v>
      </c>
    </row>
    <row r="1213" spans="1:11">
      <c r="A1213" s="12">
        <v>41792</v>
      </c>
      <c r="B1213">
        <v>2014</v>
      </c>
      <c r="C1213">
        <v>6</v>
      </c>
      <c r="D1213" s="11">
        <v>41791</v>
      </c>
      <c r="E1213" t="s">
        <v>2178</v>
      </c>
      <c r="F1213">
        <v>1</v>
      </c>
      <c r="G1213" t="s">
        <v>61</v>
      </c>
      <c r="H1213" t="s">
        <v>43</v>
      </c>
      <c r="I1213" t="s">
        <v>2191</v>
      </c>
      <c r="J1213" s="10">
        <v>23.3</v>
      </c>
      <c r="K1213" t="b">
        <v>1</v>
      </c>
    </row>
    <row r="1214" spans="1:11">
      <c r="A1214" s="12">
        <v>41792</v>
      </c>
      <c r="B1214">
        <v>2014</v>
      </c>
      <c r="C1214">
        <v>6</v>
      </c>
      <c r="D1214" s="11">
        <v>41791</v>
      </c>
      <c r="E1214" t="s">
        <v>2178</v>
      </c>
      <c r="F1214">
        <v>1</v>
      </c>
      <c r="G1214" t="s">
        <v>61</v>
      </c>
      <c r="H1214" t="s">
        <v>44</v>
      </c>
      <c r="I1214" t="s">
        <v>2192</v>
      </c>
      <c r="J1214" s="10">
        <v>16</v>
      </c>
      <c r="K1214" t="b">
        <v>1</v>
      </c>
    </row>
    <row r="1215" spans="1:11">
      <c r="A1215" s="12">
        <v>41792</v>
      </c>
      <c r="B1215">
        <v>2014</v>
      </c>
      <c r="C1215">
        <v>6</v>
      </c>
      <c r="D1215" s="11">
        <v>41791</v>
      </c>
      <c r="E1215" t="s">
        <v>2178</v>
      </c>
      <c r="F1215">
        <v>1</v>
      </c>
      <c r="G1215" t="s">
        <v>61</v>
      </c>
      <c r="H1215" t="s">
        <v>45</v>
      </c>
      <c r="I1215" t="s">
        <v>2193</v>
      </c>
      <c r="J1215" s="10">
        <v>3</v>
      </c>
      <c r="K1215" t="b">
        <v>1</v>
      </c>
    </row>
    <row r="1216" spans="1:11">
      <c r="A1216" s="12">
        <v>41792</v>
      </c>
      <c r="B1216">
        <v>2014</v>
      </c>
      <c r="C1216">
        <v>6</v>
      </c>
      <c r="D1216" s="11">
        <v>41791</v>
      </c>
      <c r="E1216" t="s">
        <v>2178</v>
      </c>
      <c r="F1216">
        <v>1</v>
      </c>
      <c r="G1216" t="s">
        <v>61</v>
      </c>
      <c r="H1216" t="s">
        <v>46</v>
      </c>
      <c r="I1216" t="s">
        <v>2194</v>
      </c>
      <c r="J1216" s="10">
        <v>0</v>
      </c>
      <c r="K1216" t="b">
        <v>1</v>
      </c>
    </row>
    <row r="1217" spans="1:11">
      <c r="A1217" s="12">
        <v>41792</v>
      </c>
      <c r="B1217">
        <v>2014</v>
      </c>
      <c r="C1217">
        <v>6</v>
      </c>
      <c r="D1217" s="11">
        <v>41791</v>
      </c>
      <c r="E1217" t="s">
        <v>2178</v>
      </c>
      <c r="F1217">
        <v>1</v>
      </c>
      <c r="G1217" t="s">
        <v>61</v>
      </c>
      <c r="H1217" t="s">
        <v>47</v>
      </c>
      <c r="I1217" t="s">
        <v>2195</v>
      </c>
      <c r="J1217" s="10">
        <v>3</v>
      </c>
      <c r="K1217" t="b">
        <v>1</v>
      </c>
    </row>
    <row r="1218" spans="1:11">
      <c r="A1218" s="12">
        <v>41793</v>
      </c>
      <c r="B1218">
        <v>2014</v>
      </c>
      <c r="C1218">
        <v>6</v>
      </c>
      <c r="D1218" s="11">
        <v>41791</v>
      </c>
      <c r="E1218" t="s">
        <v>2178</v>
      </c>
      <c r="F1218">
        <v>2</v>
      </c>
      <c r="G1218" t="s">
        <v>63</v>
      </c>
      <c r="H1218" t="s">
        <v>40</v>
      </c>
      <c r="I1218" t="s">
        <v>2188</v>
      </c>
      <c r="J1218" s="10">
        <v>3</v>
      </c>
      <c r="K1218" t="b">
        <v>1</v>
      </c>
    </row>
    <row r="1219" spans="1:11">
      <c r="A1219" s="12">
        <v>41793</v>
      </c>
      <c r="B1219">
        <v>2014</v>
      </c>
      <c r="C1219">
        <v>6</v>
      </c>
      <c r="D1219" s="11">
        <v>41791</v>
      </c>
      <c r="E1219" t="s">
        <v>2178</v>
      </c>
      <c r="F1219">
        <v>2</v>
      </c>
      <c r="G1219" t="s">
        <v>63</v>
      </c>
      <c r="H1219" t="s">
        <v>41</v>
      </c>
      <c r="I1219" t="s">
        <v>2189</v>
      </c>
      <c r="J1219" s="10">
        <v>2</v>
      </c>
      <c r="K1219" t="b">
        <v>1</v>
      </c>
    </row>
    <row r="1220" spans="1:11">
      <c r="A1220" s="12">
        <v>41793</v>
      </c>
      <c r="B1220">
        <v>2014</v>
      </c>
      <c r="C1220">
        <v>6</v>
      </c>
      <c r="D1220" s="11">
        <v>41791</v>
      </c>
      <c r="E1220" t="s">
        <v>2178</v>
      </c>
      <c r="F1220">
        <v>2</v>
      </c>
      <c r="G1220" t="s">
        <v>63</v>
      </c>
      <c r="H1220" t="s">
        <v>42</v>
      </c>
      <c r="I1220" t="s">
        <v>2190</v>
      </c>
      <c r="J1220" s="10">
        <v>2.4</v>
      </c>
      <c r="K1220" t="b">
        <v>1</v>
      </c>
    </row>
    <row r="1221" spans="1:11">
      <c r="A1221" s="12">
        <v>41793</v>
      </c>
      <c r="B1221">
        <v>2014</v>
      </c>
      <c r="C1221">
        <v>6</v>
      </c>
      <c r="D1221" s="11">
        <v>41791</v>
      </c>
      <c r="E1221" t="s">
        <v>2178</v>
      </c>
      <c r="F1221">
        <v>2</v>
      </c>
      <c r="G1221" t="s">
        <v>63</v>
      </c>
      <c r="H1221" t="s">
        <v>43</v>
      </c>
      <c r="I1221" t="s">
        <v>2191</v>
      </c>
      <c r="J1221" s="10">
        <v>24</v>
      </c>
      <c r="K1221" t="b">
        <v>1</v>
      </c>
    </row>
    <row r="1222" spans="1:11">
      <c r="A1222" s="12">
        <v>41793</v>
      </c>
      <c r="B1222">
        <v>2014</v>
      </c>
      <c r="C1222">
        <v>6</v>
      </c>
      <c r="D1222" s="11">
        <v>41791</v>
      </c>
      <c r="E1222" t="s">
        <v>2178</v>
      </c>
      <c r="F1222">
        <v>2</v>
      </c>
      <c r="G1222" t="s">
        <v>63</v>
      </c>
      <c r="H1222" t="s">
        <v>44</v>
      </c>
      <c r="I1222" t="s">
        <v>2192</v>
      </c>
      <c r="J1222" s="10">
        <v>7</v>
      </c>
      <c r="K1222" t="b">
        <v>1</v>
      </c>
    </row>
    <row r="1223" spans="1:11">
      <c r="A1223" s="12">
        <v>41793</v>
      </c>
      <c r="B1223">
        <v>2014</v>
      </c>
      <c r="C1223">
        <v>6</v>
      </c>
      <c r="D1223" s="11">
        <v>41791</v>
      </c>
      <c r="E1223" t="s">
        <v>2178</v>
      </c>
      <c r="F1223">
        <v>2</v>
      </c>
      <c r="G1223" t="s">
        <v>63</v>
      </c>
      <c r="H1223" t="s">
        <v>45</v>
      </c>
      <c r="I1223" t="s">
        <v>2193</v>
      </c>
      <c r="J1223" s="10">
        <v>2</v>
      </c>
      <c r="K1223" t="b">
        <v>1</v>
      </c>
    </row>
    <row r="1224" spans="1:11">
      <c r="A1224" s="12">
        <v>41793</v>
      </c>
      <c r="B1224">
        <v>2014</v>
      </c>
      <c r="C1224">
        <v>6</v>
      </c>
      <c r="D1224" s="11">
        <v>41791</v>
      </c>
      <c r="E1224" t="s">
        <v>2178</v>
      </c>
      <c r="F1224">
        <v>2</v>
      </c>
      <c r="G1224" t="s">
        <v>63</v>
      </c>
      <c r="H1224" t="s">
        <v>46</v>
      </c>
      <c r="I1224" t="s">
        <v>2194</v>
      </c>
      <c r="J1224" s="10">
        <v>5</v>
      </c>
      <c r="K1224" t="b">
        <v>1</v>
      </c>
    </row>
    <row r="1225" spans="1:11">
      <c r="A1225" s="12">
        <v>41793</v>
      </c>
      <c r="B1225">
        <v>2014</v>
      </c>
      <c r="C1225">
        <v>6</v>
      </c>
      <c r="D1225" s="11">
        <v>41791</v>
      </c>
      <c r="E1225" t="s">
        <v>2178</v>
      </c>
      <c r="F1225">
        <v>2</v>
      </c>
      <c r="G1225" t="s">
        <v>63</v>
      </c>
      <c r="H1225" t="s">
        <v>47</v>
      </c>
      <c r="I1225" t="s">
        <v>2195</v>
      </c>
      <c r="J1225" s="10">
        <v>3</v>
      </c>
      <c r="K1225" t="b">
        <v>1</v>
      </c>
    </row>
    <row r="1226" spans="1:11">
      <c r="A1226" s="12">
        <v>41794</v>
      </c>
      <c r="B1226">
        <v>2014</v>
      </c>
      <c r="C1226">
        <v>6</v>
      </c>
      <c r="D1226" s="11">
        <v>41791</v>
      </c>
      <c r="E1226" t="s">
        <v>2178</v>
      </c>
      <c r="F1226">
        <v>3</v>
      </c>
      <c r="G1226" t="s">
        <v>65</v>
      </c>
      <c r="H1226" t="s">
        <v>40</v>
      </c>
      <c r="I1226" t="s">
        <v>2188</v>
      </c>
      <c r="J1226" s="10">
        <v>1</v>
      </c>
      <c r="K1226" t="b">
        <v>1</v>
      </c>
    </row>
    <row r="1227" spans="1:11">
      <c r="A1227" s="12">
        <v>41794</v>
      </c>
      <c r="B1227">
        <v>2014</v>
      </c>
      <c r="C1227">
        <v>6</v>
      </c>
      <c r="D1227" s="11">
        <v>41791</v>
      </c>
      <c r="E1227" t="s">
        <v>2178</v>
      </c>
      <c r="F1227">
        <v>3</v>
      </c>
      <c r="G1227" t="s">
        <v>65</v>
      </c>
      <c r="H1227" t="s">
        <v>41</v>
      </c>
      <c r="I1227" t="s">
        <v>2189</v>
      </c>
      <c r="J1227" s="10">
        <v>4.68</v>
      </c>
      <c r="K1227" t="b">
        <v>1</v>
      </c>
    </row>
    <row r="1228" spans="1:11">
      <c r="A1228" s="12">
        <v>41794</v>
      </c>
      <c r="B1228">
        <v>2014</v>
      </c>
      <c r="C1228">
        <v>6</v>
      </c>
      <c r="D1228" s="11">
        <v>41791</v>
      </c>
      <c r="E1228" t="s">
        <v>2178</v>
      </c>
      <c r="F1228">
        <v>3</v>
      </c>
      <c r="G1228" t="s">
        <v>65</v>
      </c>
      <c r="H1228" t="s">
        <v>42</v>
      </c>
      <c r="I1228" t="s">
        <v>2190</v>
      </c>
      <c r="J1228" s="10">
        <v>3.5</v>
      </c>
      <c r="K1228" t="b">
        <v>1</v>
      </c>
    </row>
    <row r="1229" spans="1:11">
      <c r="A1229" s="12">
        <v>41794</v>
      </c>
      <c r="B1229">
        <v>2014</v>
      </c>
      <c r="C1229">
        <v>6</v>
      </c>
      <c r="D1229" s="11">
        <v>41791</v>
      </c>
      <c r="E1229" t="s">
        <v>2178</v>
      </c>
      <c r="F1229">
        <v>3</v>
      </c>
      <c r="G1229" t="s">
        <v>65</v>
      </c>
      <c r="H1229" t="s">
        <v>43</v>
      </c>
      <c r="I1229" t="s">
        <v>2191</v>
      </c>
      <c r="J1229" s="10">
        <v>24</v>
      </c>
      <c r="K1229" t="b">
        <v>1</v>
      </c>
    </row>
    <row r="1230" spans="1:11">
      <c r="A1230" s="12">
        <v>41794</v>
      </c>
      <c r="B1230">
        <v>2014</v>
      </c>
      <c r="C1230">
        <v>6</v>
      </c>
      <c r="D1230" s="11">
        <v>41791</v>
      </c>
      <c r="E1230" t="s">
        <v>2178</v>
      </c>
      <c r="F1230">
        <v>3</v>
      </c>
      <c r="G1230" t="s">
        <v>65</v>
      </c>
      <c r="H1230" t="s">
        <v>44</v>
      </c>
      <c r="I1230" t="s">
        <v>2192</v>
      </c>
      <c r="J1230" s="10">
        <v>6</v>
      </c>
      <c r="K1230" t="b">
        <v>1</v>
      </c>
    </row>
    <row r="1231" spans="1:11">
      <c r="A1231" s="12">
        <v>41794</v>
      </c>
      <c r="B1231">
        <v>2014</v>
      </c>
      <c r="C1231">
        <v>6</v>
      </c>
      <c r="D1231" s="11">
        <v>41791</v>
      </c>
      <c r="E1231" t="s">
        <v>2178</v>
      </c>
      <c r="F1231">
        <v>3</v>
      </c>
      <c r="G1231" t="s">
        <v>65</v>
      </c>
      <c r="H1231" t="s">
        <v>45</v>
      </c>
      <c r="I1231" t="s">
        <v>2193</v>
      </c>
      <c r="J1231" s="10">
        <v>0</v>
      </c>
      <c r="K1231" t="b">
        <v>1</v>
      </c>
    </row>
    <row r="1232" spans="1:11">
      <c r="A1232" s="12">
        <v>41794</v>
      </c>
      <c r="B1232">
        <v>2014</v>
      </c>
      <c r="C1232">
        <v>6</v>
      </c>
      <c r="D1232" s="11">
        <v>41791</v>
      </c>
      <c r="E1232" t="s">
        <v>2178</v>
      </c>
      <c r="F1232">
        <v>3</v>
      </c>
      <c r="G1232" t="s">
        <v>65</v>
      </c>
      <c r="H1232" t="s">
        <v>46</v>
      </c>
      <c r="I1232" t="s">
        <v>2194</v>
      </c>
      <c r="J1232" s="10">
        <v>1</v>
      </c>
      <c r="K1232" t="b">
        <v>1</v>
      </c>
    </row>
    <row r="1233" spans="1:11">
      <c r="A1233" s="12">
        <v>41794</v>
      </c>
      <c r="B1233">
        <v>2014</v>
      </c>
      <c r="C1233">
        <v>6</v>
      </c>
      <c r="D1233" s="11">
        <v>41791</v>
      </c>
      <c r="E1233" t="s">
        <v>2178</v>
      </c>
      <c r="F1233">
        <v>3</v>
      </c>
      <c r="G1233" t="s">
        <v>65</v>
      </c>
      <c r="H1233" t="s">
        <v>47</v>
      </c>
      <c r="I1233" t="s">
        <v>2195</v>
      </c>
      <c r="J1233" s="10">
        <v>2.5</v>
      </c>
      <c r="K1233" t="b">
        <v>1</v>
      </c>
    </row>
    <row r="1234" spans="1:11">
      <c r="A1234" s="12">
        <v>41795</v>
      </c>
      <c r="B1234">
        <v>2014</v>
      </c>
      <c r="C1234">
        <v>6</v>
      </c>
      <c r="D1234" s="11">
        <v>41791</v>
      </c>
      <c r="E1234" t="s">
        <v>2178</v>
      </c>
      <c r="F1234">
        <v>4</v>
      </c>
      <c r="G1234" t="s">
        <v>53</v>
      </c>
      <c r="H1234" t="s">
        <v>40</v>
      </c>
      <c r="I1234" t="s">
        <v>2188</v>
      </c>
      <c r="J1234" s="10">
        <v>0.34</v>
      </c>
      <c r="K1234" t="b">
        <v>1</v>
      </c>
    </row>
    <row r="1235" spans="1:11">
      <c r="A1235" s="12">
        <v>41795</v>
      </c>
      <c r="B1235">
        <v>2014</v>
      </c>
      <c r="C1235">
        <v>6</v>
      </c>
      <c r="D1235" s="11">
        <v>41791</v>
      </c>
      <c r="E1235" t="s">
        <v>2178</v>
      </c>
      <c r="F1235">
        <v>4</v>
      </c>
      <c r="G1235" t="s">
        <v>53</v>
      </c>
      <c r="H1235" t="s">
        <v>41</v>
      </c>
      <c r="I1235" t="s">
        <v>2189</v>
      </c>
      <c r="J1235" s="10">
        <v>4.68</v>
      </c>
      <c r="K1235" t="b">
        <v>1</v>
      </c>
    </row>
    <row r="1236" spans="1:11">
      <c r="A1236" s="12">
        <v>41795</v>
      </c>
      <c r="B1236">
        <v>2014</v>
      </c>
      <c r="C1236">
        <v>6</v>
      </c>
      <c r="D1236" s="11">
        <v>41791</v>
      </c>
      <c r="E1236" t="s">
        <v>2178</v>
      </c>
      <c r="F1236">
        <v>4</v>
      </c>
      <c r="G1236" t="s">
        <v>53</v>
      </c>
      <c r="H1236" t="s">
        <v>42</v>
      </c>
      <c r="I1236" t="s">
        <v>2190</v>
      </c>
      <c r="J1236" s="10">
        <v>4.5</v>
      </c>
      <c r="K1236" t="b">
        <v>1</v>
      </c>
    </row>
    <row r="1237" spans="1:11">
      <c r="A1237" s="12">
        <v>41795</v>
      </c>
      <c r="B1237">
        <v>2014</v>
      </c>
      <c r="C1237">
        <v>6</v>
      </c>
      <c r="D1237" s="11">
        <v>41791</v>
      </c>
      <c r="E1237" t="s">
        <v>2178</v>
      </c>
      <c r="F1237">
        <v>4</v>
      </c>
      <c r="G1237" t="s">
        <v>53</v>
      </c>
      <c r="H1237" t="s">
        <v>43</v>
      </c>
      <c r="I1237" t="s">
        <v>2191</v>
      </c>
      <c r="J1237" s="10">
        <v>22.5</v>
      </c>
      <c r="K1237" t="b">
        <v>1</v>
      </c>
    </row>
    <row r="1238" spans="1:11">
      <c r="A1238" s="12">
        <v>41795</v>
      </c>
      <c r="B1238">
        <v>2014</v>
      </c>
      <c r="C1238">
        <v>6</v>
      </c>
      <c r="D1238" s="11">
        <v>41791</v>
      </c>
      <c r="E1238" t="s">
        <v>2178</v>
      </c>
      <c r="F1238">
        <v>4</v>
      </c>
      <c r="G1238" t="s">
        <v>53</v>
      </c>
      <c r="H1238" t="s">
        <v>44</v>
      </c>
      <c r="I1238" t="s">
        <v>2192</v>
      </c>
      <c r="J1238" s="10">
        <v>4</v>
      </c>
      <c r="K1238" t="b">
        <v>1</v>
      </c>
    </row>
    <row r="1239" spans="1:11">
      <c r="A1239" s="12">
        <v>41795</v>
      </c>
      <c r="B1239">
        <v>2014</v>
      </c>
      <c r="C1239">
        <v>6</v>
      </c>
      <c r="D1239" s="11">
        <v>41791</v>
      </c>
      <c r="E1239" t="s">
        <v>2178</v>
      </c>
      <c r="F1239">
        <v>4</v>
      </c>
      <c r="G1239" t="s">
        <v>53</v>
      </c>
      <c r="H1239" t="s">
        <v>45</v>
      </c>
      <c r="I1239" t="s">
        <v>2193</v>
      </c>
      <c r="J1239" s="10">
        <v>0</v>
      </c>
      <c r="K1239" t="b">
        <v>1</v>
      </c>
    </row>
    <row r="1240" spans="1:11">
      <c r="A1240" s="12">
        <v>41795</v>
      </c>
      <c r="B1240">
        <v>2014</v>
      </c>
      <c r="C1240">
        <v>6</v>
      </c>
      <c r="D1240" s="11">
        <v>41791</v>
      </c>
      <c r="E1240" t="s">
        <v>2178</v>
      </c>
      <c r="F1240">
        <v>4</v>
      </c>
      <c r="G1240" t="s">
        <v>53</v>
      </c>
      <c r="H1240" t="s">
        <v>46</v>
      </c>
      <c r="I1240" t="s">
        <v>2194</v>
      </c>
      <c r="J1240" s="10">
        <v>0</v>
      </c>
      <c r="K1240" t="b">
        <v>1</v>
      </c>
    </row>
    <row r="1241" spans="1:11">
      <c r="A1241" s="12">
        <v>41795</v>
      </c>
      <c r="B1241">
        <v>2014</v>
      </c>
      <c r="C1241">
        <v>6</v>
      </c>
      <c r="D1241" s="11">
        <v>41791</v>
      </c>
      <c r="E1241" t="s">
        <v>2178</v>
      </c>
      <c r="F1241">
        <v>4</v>
      </c>
      <c r="G1241" t="s">
        <v>53</v>
      </c>
      <c r="H1241" t="s">
        <v>47</v>
      </c>
      <c r="I1241" t="s">
        <v>2195</v>
      </c>
      <c r="J1241" s="10">
        <v>5</v>
      </c>
      <c r="K1241" t="b">
        <v>1</v>
      </c>
    </row>
    <row r="1242" spans="1:11">
      <c r="A1242" s="12">
        <v>41796</v>
      </c>
      <c r="B1242">
        <v>2014</v>
      </c>
      <c r="C1242">
        <v>6</v>
      </c>
      <c r="D1242" s="11">
        <v>41791</v>
      </c>
      <c r="E1242" t="s">
        <v>2178</v>
      </c>
      <c r="F1242">
        <v>5</v>
      </c>
      <c r="G1242" t="s">
        <v>55</v>
      </c>
      <c r="H1242" t="s">
        <v>40</v>
      </c>
      <c r="I1242" t="s">
        <v>2188</v>
      </c>
      <c r="J1242" s="10">
        <v>5</v>
      </c>
      <c r="K1242" t="b">
        <v>1</v>
      </c>
    </row>
    <row r="1243" spans="1:11">
      <c r="A1243" s="12">
        <v>41796</v>
      </c>
      <c r="B1243">
        <v>2014</v>
      </c>
      <c r="C1243">
        <v>6</v>
      </c>
      <c r="D1243" s="11">
        <v>41791</v>
      </c>
      <c r="E1243" t="s">
        <v>2178</v>
      </c>
      <c r="F1243">
        <v>5</v>
      </c>
      <c r="G1243" t="s">
        <v>55</v>
      </c>
      <c r="H1243" t="s">
        <v>41</v>
      </c>
      <c r="I1243" t="s">
        <v>2189</v>
      </c>
      <c r="J1243" s="10">
        <v>1.68</v>
      </c>
      <c r="K1243" t="b">
        <v>1</v>
      </c>
    </row>
    <row r="1244" spans="1:11">
      <c r="A1244" s="12">
        <v>41796</v>
      </c>
      <c r="B1244">
        <v>2014</v>
      </c>
      <c r="C1244">
        <v>6</v>
      </c>
      <c r="D1244" s="11">
        <v>41791</v>
      </c>
      <c r="E1244" t="s">
        <v>2178</v>
      </c>
      <c r="F1244">
        <v>5</v>
      </c>
      <c r="G1244" t="s">
        <v>55</v>
      </c>
      <c r="H1244" t="s">
        <v>42</v>
      </c>
      <c r="I1244" t="s">
        <v>2190</v>
      </c>
      <c r="J1244" s="10">
        <v>3</v>
      </c>
      <c r="K1244" t="b">
        <v>1</v>
      </c>
    </row>
    <row r="1245" spans="1:11">
      <c r="A1245" s="12">
        <v>41796</v>
      </c>
      <c r="B1245">
        <v>2014</v>
      </c>
      <c r="C1245">
        <v>6</v>
      </c>
      <c r="D1245" s="11">
        <v>41791</v>
      </c>
      <c r="E1245" t="s">
        <v>2178</v>
      </c>
      <c r="F1245">
        <v>5</v>
      </c>
      <c r="G1245" t="s">
        <v>55</v>
      </c>
      <c r="H1245" t="s">
        <v>43</v>
      </c>
      <c r="I1245" t="s">
        <v>2191</v>
      </c>
      <c r="J1245" s="10">
        <v>16.625</v>
      </c>
      <c r="K1245" t="b">
        <v>1</v>
      </c>
    </row>
    <row r="1246" spans="1:11">
      <c r="A1246" s="12">
        <v>41796</v>
      </c>
      <c r="B1246">
        <v>2014</v>
      </c>
      <c r="C1246">
        <v>6</v>
      </c>
      <c r="D1246" s="11">
        <v>41791</v>
      </c>
      <c r="E1246" t="s">
        <v>2178</v>
      </c>
      <c r="F1246">
        <v>5</v>
      </c>
      <c r="G1246" t="s">
        <v>55</v>
      </c>
      <c r="H1246" t="s">
        <v>44</v>
      </c>
      <c r="I1246" t="s">
        <v>2192</v>
      </c>
      <c r="J1246" s="10">
        <v>15</v>
      </c>
      <c r="K1246" t="b">
        <v>1</v>
      </c>
    </row>
    <row r="1247" spans="1:11">
      <c r="A1247" s="12">
        <v>41796</v>
      </c>
      <c r="B1247">
        <v>2014</v>
      </c>
      <c r="C1247">
        <v>6</v>
      </c>
      <c r="D1247" s="11">
        <v>41791</v>
      </c>
      <c r="E1247" t="s">
        <v>2178</v>
      </c>
      <c r="F1247">
        <v>5</v>
      </c>
      <c r="G1247" t="s">
        <v>55</v>
      </c>
      <c r="H1247" t="s">
        <v>45</v>
      </c>
      <c r="I1247" t="s">
        <v>2193</v>
      </c>
      <c r="J1247" s="10">
        <v>2</v>
      </c>
      <c r="K1247" t="b">
        <v>1</v>
      </c>
    </row>
    <row r="1248" spans="1:11">
      <c r="A1248" s="12">
        <v>41796</v>
      </c>
      <c r="B1248">
        <v>2014</v>
      </c>
      <c r="C1248">
        <v>6</v>
      </c>
      <c r="D1248" s="11">
        <v>41791</v>
      </c>
      <c r="E1248" t="s">
        <v>2178</v>
      </c>
      <c r="F1248">
        <v>5</v>
      </c>
      <c r="G1248" t="s">
        <v>55</v>
      </c>
      <c r="H1248" t="s">
        <v>46</v>
      </c>
      <c r="I1248" t="s">
        <v>2194</v>
      </c>
      <c r="J1248" s="10">
        <v>1</v>
      </c>
      <c r="K1248" t="b">
        <v>1</v>
      </c>
    </row>
    <row r="1249" spans="1:11">
      <c r="A1249" s="12">
        <v>41796</v>
      </c>
      <c r="B1249">
        <v>2014</v>
      </c>
      <c r="C1249">
        <v>6</v>
      </c>
      <c r="D1249" s="11">
        <v>41791</v>
      </c>
      <c r="E1249" t="s">
        <v>2178</v>
      </c>
      <c r="F1249">
        <v>5</v>
      </c>
      <c r="G1249" t="s">
        <v>55</v>
      </c>
      <c r="H1249" t="s">
        <v>47</v>
      </c>
      <c r="I1249" t="s">
        <v>2195</v>
      </c>
      <c r="J1249" s="10">
        <v>5</v>
      </c>
      <c r="K1249" t="b">
        <v>1</v>
      </c>
    </row>
    <row r="1250" spans="1:11">
      <c r="A1250" s="12">
        <v>41797</v>
      </c>
      <c r="B1250">
        <v>2014</v>
      </c>
      <c r="C1250">
        <v>6</v>
      </c>
      <c r="D1250" s="11">
        <v>41791</v>
      </c>
      <c r="E1250" t="s">
        <v>2178</v>
      </c>
      <c r="F1250">
        <v>6</v>
      </c>
      <c r="G1250" t="s">
        <v>57</v>
      </c>
      <c r="H1250" t="s">
        <v>40</v>
      </c>
      <c r="I1250" t="s">
        <v>2188</v>
      </c>
      <c r="J1250" s="10">
        <v>9</v>
      </c>
      <c r="K1250" t="b">
        <v>1</v>
      </c>
    </row>
    <row r="1251" spans="1:11">
      <c r="A1251" s="12">
        <v>41797</v>
      </c>
      <c r="B1251">
        <v>2014</v>
      </c>
      <c r="C1251">
        <v>6</v>
      </c>
      <c r="D1251" s="11">
        <v>41791</v>
      </c>
      <c r="E1251" t="s">
        <v>2178</v>
      </c>
      <c r="F1251">
        <v>6</v>
      </c>
      <c r="G1251" t="s">
        <v>57</v>
      </c>
      <c r="H1251" t="s">
        <v>41</v>
      </c>
      <c r="I1251" t="s">
        <v>2189</v>
      </c>
      <c r="J1251" s="10">
        <v>3.68</v>
      </c>
      <c r="K1251" t="b">
        <v>1</v>
      </c>
    </row>
    <row r="1252" spans="1:11">
      <c r="A1252" s="12">
        <v>41797</v>
      </c>
      <c r="B1252">
        <v>2014</v>
      </c>
      <c r="C1252">
        <v>6</v>
      </c>
      <c r="D1252" s="11">
        <v>41791</v>
      </c>
      <c r="E1252" t="s">
        <v>2178</v>
      </c>
      <c r="F1252">
        <v>6</v>
      </c>
      <c r="G1252" t="s">
        <v>57</v>
      </c>
      <c r="H1252" t="s">
        <v>42</v>
      </c>
      <c r="I1252" t="s">
        <v>2190</v>
      </c>
      <c r="J1252" s="10">
        <v>7.5</v>
      </c>
      <c r="K1252" t="b">
        <v>1</v>
      </c>
    </row>
    <row r="1253" spans="1:11">
      <c r="A1253" s="12">
        <v>41797</v>
      </c>
      <c r="B1253">
        <v>2014</v>
      </c>
      <c r="C1253">
        <v>6</v>
      </c>
      <c r="D1253" s="11">
        <v>41791</v>
      </c>
      <c r="E1253" t="s">
        <v>2178</v>
      </c>
      <c r="F1253">
        <v>6</v>
      </c>
      <c r="G1253" t="s">
        <v>57</v>
      </c>
      <c r="H1253" t="s">
        <v>43</v>
      </c>
      <c r="I1253" t="s">
        <v>2191</v>
      </c>
      <c r="J1253" s="10">
        <v>33</v>
      </c>
      <c r="K1253" t="b">
        <v>1</v>
      </c>
    </row>
    <row r="1254" spans="1:11">
      <c r="A1254" s="12">
        <v>41797</v>
      </c>
      <c r="B1254">
        <v>2014</v>
      </c>
      <c r="C1254">
        <v>6</v>
      </c>
      <c r="D1254" s="11">
        <v>41791</v>
      </c>
      <c r="E1254" t="s">
        <v>2178</v>
      </c>
      <c r="F1254">
        <v>6</v>
      </c>
      <c r="G1254" t="s">
        <v>57</v>
      </c>
      <c r="H1254" t="s">
        <v>44</v>
      </c>
      <c r="I1254" t="s">
        <v>2192</v>
      </c>
      <c r="J1254" s="10">
        <v>8</v>
      </c>
      <c r="K1254" t="b">
        <v>1</v>
      </c>
    </row>
    <row r="1255" spans="1:11">
      <c r="A1255" s="12">
        <v>41797</v>
      </c>
      <c r="B1255">
        <v>2014</v>
      </c>
      <c r="C1255">
        <v>6</v>
      </c>
      <c r="D1255" s="11">
        <v>41791</v>
      </c>
      <c r="E1255" t="s">
        <v>2178</v>
      </c>
      <c r="F1255">
        <v>6</v>
      </c>
      <c r="G1255" t="s">
        <v>57</v>
      </c>
      <c r="H1255" t="s">
        <v>45</v>
      </c>
      <c r="I1255" t="s">
        <v>2193</v>
      </c>
      <c r="J1255" s="10">
        <v>1</v>
      </c>
      <c r="K1255" t="b">
        <v>1</v>
      </c>
    </row>
    <row r="1256" spans="1:11">
      <c r="A1256" s="12">
        <v>41797</v>
      </c>
      <c r="B1256">
        <v>2014</v>
      </c>
      <c r="C1256">
        <v>6</v>
      </c>
      <c r="D1256" s="11">
        <v>41791</v>
      </c>
      <c r="E1256" t="s">
        <v>2178</v>
      </c>
      <c r="F1256">
        <v>6</v>
      </c>
      <c r="G1256" t="s">
        <v>57</v>
      </c>
      <c r="H1256" t="s">
        <v>46</v>
      </c>
      <c r="I1256" t="s">
        <v>2194</v>
      </c>
      <c r="J1256" s="10">
        <v>6</v>
      </c>
      <c r="K1256" t="b">
        <v>1</v>
      </c>
    </row>
    <row r="1257" spans="1:11">
      <c r="A1257" s="12">
        <v>41797</v>
      </c>
      <c r="B1257">
        <v>2014</v>
      </c>
      <c r="C1257">
        <v>6</v>
      </c>
      <c r="D1257" s="11">
        <v>41791</v>
      </c>
      <c r="E1257" t="s">
        <v>2178</v>
      </c>
      <c r="F1257">
        <v>6</v>
      </c>
      <c r="G1257" t="s">
        <v>57</v>
      </c>
      <c r="H1257" t="s">
        <v>47</v>
      </c>
      <c r="I1257" t="s">
        <v>2195</v>
      </c>
      <c r="J1257" s="10">
        <v>7</v>
      </c>
      <c r="K1257" t="b">
        <v>1</v>
      </c>
    </row>
    <row r="1258" spans="1:11">
      <c r="A1258" s="12">
        <v>41798</v>
      </c>
      <c r="B1258">
        <v>2014</v>
      </c>
      <c r="C1258">
        <v>6</v>
      </c>
      <c r="D1258" s="11">
        <v>41791</v>
      </c>
      <c r="E1258" t="s">
        <v>2178</v>
      </c>
      <c r="F1258">
        <v>7</v>
      </c>
      <c r="G1258" t="s">
        <v>59</v>
      </c>
      <c r="H1258" t="s">
        <v>40</v>
      </c>
      <c r="I1258" t="s">
        <v>2188</v>
      </c>
      <c r="J1258" s="10">
        <v>1</v>
      </c>
      <c r="K1258" t="b">
        <v>1</v>
      </c>
    </row>
    <row r="1259" spans="1:11">
      <c r="A1259" s="12">
        <v>41798</v>
      </c>
      <c r="B1259">
        <v>2014</v>
      </c>
      <c r="C1259">
        <v>6</v>
      </c>
      <c r="D1259" s="11">
        <v>41791</v>
      </c>
      <c r="E1259" t="s">
        <v>2178</v>
      </c>
      <c r="F1259">
        <v>7</v>
      </c>
      <c r="G1259" t="s">
        <v>59</v>
      </c>
      <c r="H1259" t="s">
        <v>41</v>
      </c>
      <c r="I1259" t="s">
        <v>2189</v>
      </c>
      <c r="J1259" s="10">
        <v>2</v>
      </c>
      <c r="K1259" t="b">
        <v>1</v>
      </c>
    </row>
    <row r="1260" spans="1:11">
      <c r="A1260" s="12">
        <v>41798</v>
      </c>
      <c r="B1260">
        <v>2014</v>
      </c>
      <c r="C1260">
        <v>6</v>
      </c>
      <c r="D1260" s="11">
        <v>41791</v>
      </c>
      <c r="E1260" t="s">
        <v>2178</v>
      </c>
      <c r="F1260">
        <v>7</v>
      </c>
      <c r="G1260" t="s">
        <v>59</v>
      </c>
      <c r="H1260" t="s">
        <v>42</v>
      </c>
      <c r="I1260" t="s">
        <v>2190</v>
      </c>
      <c r="J1260" s="10">
        <v>3</v>
      </c>
      <c r="K1260" t="b">
        <v>1</v>
      </c>
    </row>
    <row r="1261" spans="1:11">
      <c r="A1261" s="12">
        <v>41798</v>
      </c>
      <c r="B1261">
        <v>2014</v>
      </c>
      <c r="C1261">
        <v>6</v>
      </c>
      <c r="D1261" s="11">
        <v>41791</v>
      </c>
      <c r="E1261" t="s">
        <v>2178</v>
      </c>
      <c r="F1261">
        <v>7</v>
      </c>
      <c r="G1261" t="s">
        <v>59</v>
      </c>
      <c r="H1261" t="s">
        <v>43</v>
      </c>
      <c r="I1261" t="s">
        <v>2191</v>
      </c>
      <c r="J1261" s="10">
        <v>11</v>
      </c>
      <c r="K1261" t="b">
        <v>1</v>
      </c>
    </row>
    <row r="1262" spans="1:11">
      <c r="A1262" s="12">
        <v>41798</v>
      </c>
      <c r="B1262">
        <v>2014</v>
      </c>
      <c r="C1262">
        <v>6</v>
      </c>
      <c r="D1262" s="11">
        <v>41791</v>
      </c>
      <c r="E1262" t="s">
        <v>2178</v>
      </c>
      <c r="F1262">
        <v>7</v>
      </c>
      <c r="G1262" t="s">
        <v>59</v>
      </c>
      <c r="H1262" t="s">
        <v>44</v>
      </c>
      <c r="I1262" t="s">
        <v>2192</v>
      </c>
      <c r="J1262" s="10">
        <v>8</v>
      </c>
      <c r="K1262" t="b">
        <v>1</v>
      </c>
    </row>
    <row r="1263" spans="1:11">
      <c r="A1263" s="12">
        <v>41798</v>
      </c>
      <c r="B1263">
        <v>2014</v>
      </c>
      <c r="C1263">
        <v>6</v>
      </c>
      <c r="D1263" s="11">
        <v>41791</v>
      </c>
      <c r="E1263" t="s">
        <v>2178</v>
      </c>
      <c r="F1263">
        <v>7</v>
      </c>
      <c r="G1263" t="s">
        <v>59</v>
      </c>
      <c r="H1263" t="s">
        <v>45</v>
      </c>
      <c r="I1263" t="s">
        <v>2193</v>
      </c>
      <c r="J1263" s="10">
        <v>0</v>
      </c>
      <c r="K1263" t="b">
        <v>1</v>
      </c>
    </row>
    <row r="1264" spans="1:11">
      <c r="A1264" s="12">
        <v>41798</v>
      </c>
      <c r="B1264">
        <v>2014</v>
      </c>
      <c r="C1264">
        <v>6</v>
      </c>
      <c r="D1264" s="11">
        <v>41791</v>
      </c>
      <c r="E1264" t="s">
        <v>2178</v>
      </c>
      <c r="F1264">
        <v>7</v>
      </c>
      <c r="G1264" t="s">
        <v>59</v>
      </c>
      <c r="H1264" t="s">
        <v>46</v>
      </c>
      <c r="I1264" t="s">
        <v>2194</v>
      </c>
      <c r="J1264" s="10">
        <v>6</v>
      </c>
      <c r="K1264" t="b">
        <v>1</v>
      </c>
    </row>
    <row r="1265" spans="1:11">
      <c r="A1265" s="12">
        <v>41798</v>
      </c>
      <c r="B1265">
        <v>2014</v>
      </c>
      <c r="C1265">
        <v>6</v>
      </c>
      <c r="D1265" s="11">
        <v>41791</v>
      </c>
      <c r="E1265" t="s">
        <v>2178</v>
      </c>
      <c r="F1265">
        <v>7</v>
      </c>
      <c r="G1265" t="s">
        <v>59</v>
      </c>
      <c r="H1265" t="s">
        <v>47</v>
      </c>
      <c r="I1265" t="s">
        <v>2195</v>
      </c>
      <c r="J1265" s="10">
        <v>2</v>
      </c>
      <c r="K1265" t="b">
        <v>1</v>
      </c>
    </row>
    <row r="1266" spans="1:11">
      <c r="A1266" s="12">
        <v>41799</v>
      </c>
      <c r="B1266">
        <v>2014</v>
      </c>
      <c r="C1266">
        <v>6</v>
      </c>
      <c r="D1266" s="11">
        <v>41791</v>
      </c>
      <c r="E1266" t="s">
        <v>2178</v>
      </c>
      <c r="F1266">
        <v>1</v>
      </c>
      <c r="G1266" t="s">
        <v>61</v>
      </c>
      <c r="H1266" t="s">
        <v>40</v>
      </c>
      <c r="I1266" t="s">
        <v>2188</v>
      </c>
      <c r="J1266" s="10">
        <v>6.33</v>
      </c>
      <c r="K1266" t="b">
        <v>1</v>
      </c>
    </row>
    <row r="1267" spans="1:11">
      <c r="A1267" s="12">
        <v>41799</v>
      </c>
      <c r="B1267">
        <v>2014</v>
      </c>
      <c r="C1267">
        <v>6</v>
      </c>
      <c r="D1267" s="11">
        <v>41791</v>
      </c>
      <c r="E1267" t="s">
        <v>2178</v>
      </c>
      <c r="F1267">
        <v>1</v>
      </c>
      <c r="G1267" t="s">
        <v>61</v>
      </c>
      <c r="H1267" t="s">
        <v>41</v>
      </c>
      <c r="I1267" t="s">
        <v>2189</v>
      </c>
      <c r="J1267" s="10">
        <v>1.34</v>
      </c>
      <c r="K1267" t="b">
        <v>1</v>
      </c>
    </row>
    <row r="1268" spans="1:11">
      <c r="A1268" s="12">
        <v>41799</v>
      </c>
      <c r="B1268">
        <v>2014</v>
      </c>
      <c r="C1268">
        <v>6</v>
      </c>
      <c r="D1268" s="11">
        <v>41791</v>
      </c>
      <c r="E1268" t="s">
        <v>2178</v>
      </c>
      <c r="F1268">
        <v>1</v>
      </c>
      <c r="G1268" t="s">
        <v>61</v>
      </c>
      <c r="H1268" t="s">
        <v>42</v>
      </c>
      <c r="I1268" t="s">
        <v>2190</v>
      </c>
      <c r="J1268" s="10">
        <v>5</v>
      </c>
      <c r="K1268" t="b">
        <v>1</v>
      </c>
    </row>
    <row r="1269" spans="1:11">
      <c r="A1269" s="12">
        <v>41799</v>
      </c>
      <c r="B1269">
        <v>2014</v>
      </c>
      <c r="C1269">
        <v>6</v>
      </c>
      <c r="D1269" s="11">
        <v>41791</v>
      </c>
      <c r="E1269" t="s">
        <v>2178</v>
      </c>
      <c r="F1269">
        <v>1</v>
      </c>
      <c r="G1269" t="s">
        <v>61</v>
      </c>
      <c r="H1269" t="s">
        <v>43</v>
      </c>
      <c r="I1269" t="s">
        <v>2191</v>
      </c>
      <c r="J1269" s="10">
        <v>18</v>
      </c>
      <c r="K1269" t="b">
        <v>1</v>
      </c>
    </row>
    <row r="1270" spans="1:11">
      <c r="A1270" s="12">
        <v>41799</v>
      </c>
      <c r="B1270">
        <v>2014</v>
      </c>
      <c r="C1270">
        <v>6</v>
      </c>
      <c r="D1270" s="11">
        <v>41791</v>
      </c>
      <c r="E1270" t="s">
        <v>2178</v>
      </c>
      <c r="F1270">
        <v>1</v>
      </c>
      <c r="G1270" t="s">
        <v>61</v>
      </c>
      <c r="H1270" t="s">
        <v>44</v>
      </c>
      <c r="I1270" t="s">
        <v>2192</v>
      </c>
      <c r="J1270" s="10">
        <v>17</v>
      </c>
      <c r="K1270" t="b">
        <v>1</v>
      </c>
    </row>
    <row r="1271" spans="1:11">
      <c r="A1271" s="12">
        <v>41799</v>
      </c>
      <c r="B1271">
        <v>2014</v>
      </c>
      <c r="C1271">
        <v>6</v>
      </c>
      <c r="D1271" s="11">
        <v>41791</v>
      </c>
      <c r="E1271" t="s">
        <v>2178</v>
      </c>
      <c r="F1271">
        <v>1</v>
      </c>
      <c r="G1271" t="s">
        <v>61</v>
      </c>
      <c r="H1271" t="s">
        <v>45</v>
      </c>
      <c r="I1271" t="s">
        <v>2193</v>
      </c>
      <c r="J1271" s="10">
        <v>4</v>
      </c>
      <c r="K1271" t="b">
        <v>1</v>
      </c>
    </row>
    <row r="1272" spans="1:11">
      <c r="A1272" s="12">
        <v>41799</v>
      </c>
      <c r="B1272">
        <v>2014</v>
      </c>
      <c r="C1272">
        <v>6</v>
      </c>
      <c r="D1272" s="11">
        <v>41791</v>
      </c>
      <c r="E1272" t="s">
        <v>2178</v>
      </c>
      <c r="F1272">
        <v>1</v>
      </c>
      <c r="G1272" t="s">
        <v>61</v>
      </c>
      <c r="H1272" t="s">
        <v>46</v>
      </c>
      <c r="I1272" t="s">
        <v>2194</v>
      </c>
      <c r="J1272" s="10">
        <v>0</v>
      </c>
      <c r="K1272" t="b">
        <v>1</v>
      </c>
    </row>
    <row r="1273" spans="1:11">
      <c r="A1273" s="12">
        <v>41799</v>
      </c>
      <c r="B1273">
        <v>2014</v>
      </c>
      <c r="C1273">
        <v>6</v>
      </c>
      <c r="D1273" s="11">
        <v>41791</v>
      </c>
      <c r="E1273" t="s">
        <v>2178</v>
      </c>
      <c r="F1273">
        <v>1</v>
      </c>
      <c r="G1273" t="s">
        <v>61</v>
      </c>
      <c r="H1273" t="s">
        <v>47</v>
      </c>
      <c r="I1273" t="s">
        <v>2195</v>
      </c>
      <c r="J1273" s="10">
        <v>11</v>
      </c>
      <c r="K1273" t="b">
        <v>1</v>
      </c>
    </row>
    <row r="1274" spans="1:11">
      <c r="A1274" s="12">
        <v>41800</v>
      </c>
      <c r="B1274">
        <v>2014</v>
      </c>
      <c r="C1274">
        <v>6</v>
      </c>
      <c r="D1274" s="11">
        <v>41791</v>
      </c>
      <c r="E1274" t="s">
        <v>2178</v>
      </c>
      <c r="F1274">
        <v>2</v>
      </c>
      <c r="G1274" t="s">
        <v>63</v>
      </c>
      <c r="H1274" t="s">
        <v>40</v>
      </c>
      <c r="I1274" t="s">
        <v>2188</v>
      </c>
      <c r="J1274" s="10">
        <v>8.68</v>
      </c>
      <c r="K1274" t="b">
        <v>1</v>
      </c>
    </row>
    <row r="1275" spans="1:11">
      <c r="A1275" s="12">
        <v>41800</v>
      </c>
      <c r="B1275">
        <v>2014</v>
      </c>
      <c r="C1275">
        <v>6</v>
      </c>
      <c r="D1275" s="11">
        <v>41791</v>
      </c>
      <c r="E1275" t="s">
        <v>2178</v>
      </c>
      <c r="F1275">
        <v>2</v>
      </c>
      <c r="G1275" t="s">
        <v>63</v>
      </c>
      <c r="H1275" t="s">
        <v>41</v>
      </c>
      <c r="I1275" t="s">
        <v>2189</v>
      </c>
      <c r="J1275" s="10">
        <v>2.68</v>
      </c>
      <c r="K1275" t="b">
        <v>1</v>
      </c>
    </row>
    <row r="1276" spans="1:11">
      <c r="A1276" s="12">
        <v>41800</v>
      </c>
      <c r="B1276">
        <v>2014</v>
      </c>
      <c r="C1276">
        <v>6</v>
      </c>
      <c r="D1276" s="11">
        <v>41791</v>
      </c>
      <c r="E1276" t="s">
        <v>2178</v>
      </c>
      <c r="F1276">
        <v>2</v>
      </c>
      <c r="G1276" t="s">
        <v>63</v>
      </c>
      <c r="H1276" t="s">
        <v>42</v>
      </c>
      <c r="I1276" t="s">
        <v>2190</v>
      </c>
      <c r="J1276" s="10">
        <v>4.3</v>
      </c>
      <c r="K1276" t="b">
        <v>1</v>
      </c>
    </row>
    <row r="1277" spans="1:11">
      <c r="A1277" s="12">
        <v>41800</v>
      </c>
      <c r="B1277">
        <v>2014</v>
      </c>
      <c r="C1277">
        <v>6</v>
      </c>
      <c r="D1277" s="11">
        <v>41791</v>
      </c>
      <c r="E1277" t="s">
        <v>2178</v>
      </c>
      <c r="F1277">
        <v>2</v>
      </c>
      <c r="G1277" t="s">
        <v>63</v>
      </c>
      <c r="H1277" t="s">
        <v>43</v>
      </c>
      <c r="I1277" t="s">
        <v>2191</v>
      </c>
      <c r="J1277" s="10">
        <v>23</v>
      </c>
      <c r="K1277" t="b">
        <v>1</v>
      </c>
    </row>
    <row r="1278" spans="1:11">
      <c r="A1278" s="12">
        <v>41800</v>
      </c>
      <c r="B1278">
        <v>2014</v>
      </c>
      <c r="C1278">
        <v>6</v>
      </c>
      <c r="D1278" s="11">
        <v>41791</v>
      </c>
      <c r="E1278" t="s">
        <v>2178</v>
      </c>
      <c r="F1278">
        <v>2</v>
      </c>
      <c r="G1278" t="s">
        <v>63</v>
      </c>
      <c r="H1278" t="s">
        <v>44</v>
      </c>
      <c r="I1278" t="s">
        <v>2192</v>
      </c>
      <c r="J1278" s="10">
        <v>16</v>
      </c>
      <c r="K1278" t="b">
        <v>1</v>
      </c>
    </row>
    <row r="1279" spans="1:11">
      <c r="A1279" s="12">
        <v>41800</v>
      </c>
      <c r="B1279">
        <v>2014</v>
      </c>
      <c r="C1279">
        <v>6</v>
      </c>
      <c r="D1279" s="11">
        <v>41791</v>
      </c>
      <c r="E1279" t="s">
        <v>2178</v>
      </c>
      <c r="F1279">
        <v>2</v>
      </c>
      <c r="G1279" t="s">
        <v>63</v>
      </c>
      <c r="H1279" t="s">
        <v>45</v>
      </c>
      <c r="I1279" t="s">
        <v>2193</v>
      </c>
      <c r="J1279" s="10">
        <v>2</v>
      </c>
      <c r="K1279" t="b">
        <v>1</v>
      </c>
    </row>
    <row r="1280" spans="1:11">
      <c r="A1280" s="12">
        <v>41800</v>
      </c>
      <c r="B1280">
        <v>2014</v>
      </c>
      <c r="C1280">
        <v>6</v>
      </c>
      <c r="D1280" s="11">
        <v>41791</v>
      </c>
      <c r="E1280" t="s">
        <v>2178</v>
      </c>
      <c r="F1280">
        <v>2</v>
      </c>
      <c r="G1280" t="s">
        <v>63</v>
      </c>
      <c r="H1280" t="s">
        <v>46</v>
      </c>
      <c r="I1280" t="s">
        <v>2194</v>
      </c>
      <c r="J1280" s="10">
        <v>2</v>
      </c>
      <c r="K1280" t="b">
        <v>1</v>
      </c>
    </row>
    <row r="1281" spans="1:11">
      <c r="A1281" s="12">
        <v>41800</v>
      </c>
      <c r="B1281">
        <v>2014</v>
      </c>
      <c r="C1281">
        <v>6</v>
      </c>
      <c r="D1281" s="11">
        <v>41791</v>
      </c>
      <c r="E1281" t="s">
        <v>2178</v>
      </c>
      <c r="F1281">
        <v>2</v>
      </c>
      <c r="G1281" t="s">
        <v>63</v>
      </c>
      <c r="H1281" t="s">
        <v>47</v>
      </c>
      <c r="I1281" t="s">
        <v>2195</v>
      </c>
      <c r="J1281" s="10">
        <v>6.5</v>
      </c>
      <c r="K1281" t="b">
        <v>1</v>
      </c>
    </row>
    <row r="1282" spans="1:11">
      <c r="A1282" s="12">
        <v>41801</v>
      </c>
      <c r="B1282">
        <v>2014</v>
      </c>
      <c r="C1282">
        <v>6</v>
      </c>
      <c r="D1282" s="11">
        <v>41791</v>
      </c>
      <c r="E1282" t="s">
        <v>2178</v>
      </c>
      <c r="F1282">
        <v>3</v>
      </c>
      <c r="G1282" t="s">
        <v>65</v>
      </c>
      <c r="H1282" t="s">
        <v>40</v>
      </c>
      <c r="I1282" t="s">
        <v>2188</v>
      </c>
      <c r="J1282" s="10">
        <v>4.34</v>
      </c>
      <c r="K1282" t="b">
        <v>1</v>
      </c>
    </row>
    <row r="1283" spans="1:11">
      <c r="A1283" s="12">
        <v>41801</v>
      </c>
      <c r="B1283">
        <v>2014</v>
      </c>
      <c r="C1283">
        <v>6</v>
      </c>
      <c r="D1283" s="11">
        <v>41791</v>
      </c>
      <c r="E1283" t="s">
        <v>2178</v>
      </c>
      <c r="F1283">
        <v>3</v>
      </c>
      <c r="G1283" t="s">
        <v>65</v>
      </c>
      <c r="H1283" t="s">
        <v>41</v>
      </c>
      <c r="I1283" t="s">
        <v>2189</v>
      </c>
      <c r="J1283" s="10">
        <v>0.68</v>
      </c>
      <c r="K1283" t="b">
        <v>1</v>
      </c>
    </row>
    <row r="1284" spans="1:11">
      <c r="A1284" s="12">
        <v>41801</v>
      </c>
      <c r="B1284">
        <v>2014</v>
      </c>
      <c r="C1284">
        <v>6</v>
      </c>
      <c r="D1284" s="11">
        <v>41791</v>
      </c>
      <c r="E1284" t="s">
        <v>2178</v>
      </c>
      <c r="F1284">
        <v>3</v>
      </c>
      <c r="G1284" t="s">
        <v>65</v>
      </c>
      <c r="H1284" t="s">
        <v>42</v>
      </c>
      <c r="I1284" t="s">
        <v>2190</v>
      </c>
      <c r="J1284" s="10">
        <v>2.3</v>
      </c>
      <c r="K1284" t="b">
        <v>1</v>
      </c>
    </row>
    <row r="1285" spans="1:11">
      <c r="A1285" s="12">
        <v>41801</v>
      </c>
      <c r="B1285">
        <v>2014</v>
      </c>
      <c r="C1285">
        <v>6</v>
      </c>
      <c r="D1285" s="11">
        <v>41791</v>
      </c>
      <c r="E1285" t="s">
        <v>2178</v>
      </c>
      <c r="F1285">
        <v>3</v>
      </c>
      <c r="G1285" t="s">
        <v>65</v>
      </c>
      <c r="H1285" t="s">
        <v>43</v>
      </c>
      <c r="I1285" t="s">
        <v>2191</v>
      </c>
      <c r="J1285" s="10">
        <v>12.5</v>
      </c>
      <c r="K1285" t="b">
        <v>1</v>
      </c>
    </row>
    <row r="1286" spans="1:11">
      <c r="A1286" s="12">
        <v>41801</v>
      </c>
      <c r="B1286">
        <v>2014</v>
      </c>
      <c r="C1286">
        <v>6</v>
      </c>
      <c r="D1286" s="11">
        <v>41791</v>
      </c>
      <c r="E1286" t="s">
        <v>2178</v>
      </c>
      <c r="F1286">
        <v>3</v>
      </c>
      <c r="G1286" t="s">
        <v>65</v>
      </c>
      <c r="H1286" t="s">
        <v>44</v>
      </c>
      <c r="I1286" t="s">
        <v>2192</v>
      </c>
      <c r="J1286" s="10">
        <v>16</v>
      </c>
      <c r="K1286" t="b">
        <v>1</v>
      </c>
    </row>
    <row r="1287" spans="1:11">
      <c r="A1287" s="12">
        <v>41801</v>
      </c>
      <c r="B1287">
        <v>2014</v>
      </c>
      <c r="C1287">
        <v>6</v>
      </c>
      <c r="D1287" s="11">
        <v>41791</v>
      </c>
      <c r="E1287" t="s">
        <v>2178</v>
      </c>
      <c r="F1287">
        <v>3</v>
      </c>
      <c r="G1287" t="s">
        <v>65</v>
      </c>
      <c r="H1287" t="s">
        <v>45</v>
      </c>
      <c r="I1287" t="s">
        <v>2193</v>
      </c>
      <c r="J1287" s="10">
        <v>2</v>
      </c>
      <c r="K1287" t="b">
        <v>1</v>
      </c>
    </row>
    <row r="1288" spans="1:11">
      <c r="A1288" s="12">
        <v>41801</v>
      </c>
      <c r="B1288">
        <v>2014</v>
      </c>
      <c r="C1288">
        <v>6</v>
      </c>
      <c r="D1288" s="11">
        <v>41791</v>
      </c>
      <c r="E1288" t="s">
        <v>2178</v>
      </c>
      <c r="F1288">
        <v>3</v>
      </c>
      <c r="G1288" t="s">
        <v>65</v>
      </c>
      <c r="H1288" t="s">
        <v>46</v>
      </c>
      <c r="I1288" t="s">
        <v>2194</v>
      </c>
      <c r="J1288" s="10">
        <v>12</v>
      </c>
      <c r="K1288" t="b">
        <v>1</v>
      </c>
    </row>
    <row r="1289" spans="1:11">
      <c r="A1289" s="12">
        <v>41801</v>
      </c>
      <c r="B1289">
        <v>2014</v>
      </c>
      <c r="C1289">
        <v>6</v>
      </c>
      <c r="D1289" s="11">
        <v>41791</v>
      </c>
      <c r="E1289" t="s">
        <v>2178</v>
      </c>
      <c r="F1289">
        <v>3</v>
      </c>
      <c r="G1289" t="s">
        <v>65</v>
      </c>
      <c r="H1289" t="s">
        <v>47</v>
      </c>
      <c r="I1289" t="s">
        <v>2195</v>
      </c>
      <c r="J1289" s="10">
        <v>9</v>
      </c>
      <c r="K1289" t="b">
        <v>1</v>
      </c>
    </row>
    <row r="1290" spans="1:11">
      <c r="A1290" s="12">
        <v>41802</v>
      </c>
      <c r="B1290">
        <v>2014</v>
      </c>
      <c r="C1290">
        <v>6</v>
      </c>
      <c r="D1290" s="11">
        <v>41791</v>
      </c>
      <c r="E1290" t="s">
        <v>2178</v>
      </c>
      <c r="F1290">
        <v>4</v>
      </c>
      <c r="G1290" t="s">
        <v>53</v>
      </c>
      <c r="H1290" t="s">
        <v>40</v>
      </c>
      <c r="I1290" t="s">
        <v>2188</v>
      </c>
      <c r="J1290" s="10">
        <v>4.34</v>
      </c>
      <c r="K1290" t="b">
        <v>1</v>
      </c>
    </row>
    <row r="1291" spans="1:11">
      <c r="A1291" s="12">
        <v>41802</v>
      </c>
      <c r="B1291">
        <v>2014</v>
      </c>
      <c r="C1291">
        <v>6</v>
      </c>
      <c r="D1291" s="11">
        <v>41791</v>
      </c>
      <c r="E1291" t="s">
        <v>2178</v>
      </c>
      <c r="F1291">
        <v>4</v>
      </c>
      <c r="G1291" t="s">
        <v>53</v>
      </c>
      <c r="H1291" t="s">
        <v>41</v>
      </c>
      <c r="I1291" t="s">
        <v>2189</v>
      </c>
      <c r="J1291" s="10">
        <v>3</v>
      </c>
      <c r="K1291" t="b">
        <v>1</v>
      </c>
    </row>
    <row r="1292" spans="1:11">
      <c r="A1292" s="12">
        <v>41802</v>
      </c>
      <c r="B1292">
        <v>2014</v>
      </c>
      <c r="C1292">
        <v>6</v>
      </c>
      <c r="D1292" s="11">
        <v>41791</v>
      </c>
      <c r="E1292" t="s">
        <v>2178</v>
      </c>
      <c r="F1292">
        <v>4</v>
      </c>
      <c r="G1292" t="s">
        <v>53</v>
      </c>
      <c r="H1292" t="s">
        <v>42</v>
      </c>
      <c r="I1292" t="s">
        <v>2190</v>
      </c>
      <c r="J1292" s="10">
        <v>1</v>
      </c>
      <c r="K1292" t="b">
        <v>1</v>
      </c>
    </row>
    <row r="1293" spans="1:11">
      <c r="A1293" s="12">
        <v>41802</v>
      </c>
      <c r="B1293">
        <v>2014</v>
      </c>
      <c r="C1293">
        <v>6</v>
      </c>
      <c r="D1293" s="11">
        <v>41791</v>
      </c>
      <c r="E1293" t="s">
        <v>2178</v>
      </c>
      <c r="F1293">
        <v>4</v>
      </c>
      <c r="G1293" t="s">
        <v>53</v>
      </c>
      <c r="H1293" t="s">
        <v>43</v>
      </c>
      <c r="I1293" t="s">
        <v>2191</v>
      </c>
      <c r="J1293" s="10">
        <v>15.8</v>
      </c>
      <c r="K1293" t="b">
        <v>1</v>
      </c>
    </row>
    <row r="1294" spans="1:11">
      <c r="A1294" s="12">
        <v>41802</v>
      </c>
      <c r="B1294">
        <v>2014</v>
      </c>
      <c r="C1294">
        <v>6</v>
      </c>
      <c r="D1294" s="11">
        <v>41791</v>
      </c>
      <c r="E1294" t="s">
        <v>2178</v>
      </c>
      <c r="F1294">
        <v>4</v>
      </c>
      <c r="G1294" t="s">
        <v>53</v>
      </c>
      <c r="H1294" t="s">
        <v>44</v>
      </c>
      <c r="I1294" t="s">
        <v>2192</v>
      </c>
      <c r="J1294" s="10">
        <v>12</v>
      </c>
      <c r="K1294" t="b">
        <v>1</v>
      </c>
    </row>
    <row r="1295" spans="1:11">
      <c r="A1295" s="12">
        <v>41802</v>
      </c>
      <c r="B1295">
        <v>2014</v>
      </c>
      <c r="C1295">
        <v>6</v>
      </c>
      <c r="D1295" s="11">
        <v>41791</v>
      </c>
      <c r="E1295" t="s">
        <v>2178</v>
      </c>
      <c r="F1295">
        <v>4</v>
      </c>
      <c r="G1295" t="s">
        <v>53</v>
      </c>
      <c r="H1295" t="s">
        <v>45</v>
      </c>
      <c r="I1295" t="s">
        <v>2193</v>
      </c>
      <c r="J1295" s="10">
        <v>0</v>
      </c>
      <c r="K1295" t="b">
        <v>1</v>
      </c>
    </row>
    <row r="1296" spans="1:11">
      <c r="A1296" s="12">
        <v>41802</v>
      </c>
      <c r="B1296">
        <v>2014</v>
      </c>
      <c r="C1296">
        <v>6</v>
      </c>
      <c r="D1296" s="11">
        <v>41791</v>
      </c>
      <c r="E1296" t="s">
        <v>2178</v>
      </c>
      <c r="F1296">
        <v>4</v>
      </c>
      <c r="G1296" t="s">
        <v>53</v>
      </c>
      <c r="H1296" t="s">
        <v>46</v>
      </c>
      <c r="I1296" t="s">
        <v>2194</v>
      </c>
      <c r="J1296" s="10">
        <v>2</v>
      </c>
      <c r="K1296" t="b">
        <v>1</v>
      </c>
    </row>
    <row r="1297" spans="1:11">
      <c r="A1297" s="12">
        <v>41802</v>
      </c>
      <c r="B1297">
        <v>2014</v>
      </c>
      <c r="C1297">
        <v>6</v>
      </c>
      <c r="D1297" s="11">
        <v>41791</v>
      </c>
      <c r="E1297" t="s">
        <v>2178</v>
      </c>
      <c r="F1297">
        <v>4</v>
      </c>
      <c r="G1297" t="s">
        <v>53</v>
      </c>
      <c r="H1297" t="s">
        <v>47</v>
      </c>
      <c r="I1297" t="s">
        <v>2195</v>
      </c>
      <c r="J1297" s="10">
        <v>3</v>
      </c>
      <c r="K1297" t="b">
        <v>1</v>
      </c>
    </row>
    <row r="1298" spans="1:11">
      <c r="A1298" s="12">
        <v>41803</v>
      </c>
      <c r="B1298">
        <v>2014</v>
      </c>
      <c r="C1298">
        <v>6</v>
      </c>
      <c r="D1298" s="11">
        <v>41791</v>
      </c>
      <c r="E1298" t="s">
        <v>2178</v>
      </c>
      <c r="F1298">
        <v>5</v>
      </c>
      <c r="G1298" t="s">
        <v>55</v>
      </c>
      <c r="H1298" t="s">
        <v>40</v>
      </c>
      <c r="I1298" t="s">
        <v>2188</v>
      </c>
      <c r="J1298" s="10">
        <v>1</v>
      </c>
      <c r="K1298" t="b">
        <v>1</v>
      </c>
    </row>
    <row r="1299" spans="1:11">
      <c r="A1299" s="12">
        <v>41803</v>
      </c>
      <c r="B1299">
        <v>2014</v>
      </c>
      <c r="C1299">
        <v>6</v>
      </c>
      <c r="D1299" s="11">
        <v>41791</v>
      </c>
      <c r="E1299" t="s">
        <v>2178</v>
      </c>
      <c r="F1299">
        <v>5</v>
      </c>
      <c r="G1299" t="s">
        <v>55</v>
      </c>
      <c r="H1299" t="s">
        <v>41</v>
      </c>
      <c r="I1299" t="s">
        <v>2189</v>
      </c>
      <c r="J1299" s="10">
        <v>2.68</v>
      </c>
      <c r="K1299" t="b">
        <v>1</v>
      </c>
    </row>
    <row r="1300" spans="1:11">
      <c r="A1300" s="12">
        <v>41803</v>
      </c>
      <c r="B1300">
        <v>2014</v>
      </c>
      <c r="C1300">
        <v>6</v>
      </c>
      <c r="D1300" s="11">
        <v>41791</v>
      </c>
      <c r="E1300" t="s">
        <v>2178</v>
      </c>
      <c r="F1300">
        <v>5</v>
      </c>
      <c r="G1300" t="s">
        <v>55</v>
      </c>
      <c r="H1300" t="s">
        <v>42</v>
      </c>
      <c r="I1300" t="s">
        <v>2190</v>
      </c>
      <c r="J1300" s="10">
        <v>5</v>
      </c>
      <c r="K1300" t="b">
        <v>1</v>
      </c>
    </row>
    <row r="1301" spans="1:11">
      <c r="A1301" s="12">
        <v>41803</v>
      </c>
      <c r="B1301">
        <v>2014</v>
      </c>
      <c r="C1301">
        <v>6</v>
      </c>
      <c r="D1301" s="11">
        <v>41791</v>
      </c>
      <c r="E1301" t="s">
        <v>2178</v>
      </c>
      <c r="F1301">
        <v>5</v>
      </c>
      <c r="G1301" t="s">
        <v>55</v>
      </c>
      <c r="H1301" t="s">
        <v>43</v>
      </c>
      <c r="I1301" t="s">
        <v>2191</v>
      </c>
      <c r="J1301" s="10">
        <v>10</v>
      </c>
      <c r="K1301" t="b">
        <v>1</v>
      </c>
    </row>
    <row r="1302" spans="1:11">
      <c r="A1302" s="12">
        <v>41803</v>
      </c>
      <c r="B1302">
        <v>2014</v>
      </c>
      <c r="C1302">
        <v>6</v>
      </c>
      <c r="D1302" s="11">
        <v>41791</v>
      </c>
      <c r="E1302" t="s">
        <v>2178</v>
      </c>
      <c r="F1302">
        <v>5</v>
      </c>
      <c r="G1302" t="s">
        <v>55</v>
      </c>
      <c r="H1302" t="s">
        <v>44</v>
      </c>
      <c r="I1302" t="s">
        <v>2192</v>
      </c>
      <c r="J1302" s="10">
        <v>11</v>
      </c>
      <c r="K1302" t="b">
        <v>1</v>
      </c>
    </row>
    <row r="1303" spans="1:11">
      <c r="A1303" s="12">
        <v>41803</v>
      </c>
      <c r="B1303">
        <v>2014</v>
      </c>
      <c r="C1303">
        <v>6</v>
      </c>
      <c r="D1303" s="11">
        <v>41791</v>
      </c>
      <c r="E1303" t="s">
        <v>2178</v>
      </c>
      <c r="F1303">
        <v>5</v>
      </c>
      <c r="G1303" t="s">
        <v>55</v>
      </c>
      <c r="H1303" t="s">
        <v>45</v>
      </c>
      <c r="I1303" t="s">
        <v>2193</v>
      </c>
      <c r="J1303" s="10">
        <v>0</v>
      </c>
      <c r="K1303" t="b">
        <v>1</v>
      </c>
    </row>
    <row r="1304" spans="1:11">
      <c r="A1304" s="12">
        <v>41803</v>
      </c>
      <c r="B1304">
        <v>2014</v>
      </c>
      <c r="C1304">
        <v>6</v>
      </c>
      <c r="D1304" s="11">
        <v>41791</v>
      </c>
      <c r="E1304" t="s">
        <v>2178</v>
      </c>
      <c r="F1304">
        <v>5</v>
      </c>
      <c r="G1304" t="s">
        <v>55</v>
      </c>
      <c r="H1304" t="s">
        <v>46</v>
      </c>
      <c r="I1304" t="s">
        <v>2194</v>
      </c>
      <c r="J1304" s="10">
        <v>3</v>
      </c>
      <c r="K1304" t="b">
        <v>1</v>
      </c>
    </row>
    <row r="1305" spans="1:11">
      <c r="A1305" s="12">
        <v>41803</v>
      </c>
      <c r="B1305">
        <v>2014</v>
      </c>
      <c r="C1305">
        <v>6</v>
      </c>
      <c r="D1305" s="11">
        <v>41791</v>
      </c>
      <c r="E1305" t="s">
        <v>2178</v>
      </c>
      <c r="F1305">
        <v>5</v>
      </c>
      <c r="G1305" t="s">
        <v>55</v>
      </c>
      <c r="H1305" t="s">
        <v>47</v>
      </c>
      <c r="I1305" t="s">
        <v>2195</v>
      </c>
      <c r="J1305" s="10">
        <v>1</v>
      </c>
      <c r="K1305" t="b">
        <v>1</v>
      </c>
    </row>
    <row r="1306" spans="1:11">
      <c r="A1306" s="12">
        <v>41804</v>
      </c>
      <c r="B1306">
        <v>2014</v>
      </c>
      <c r="C1306">
        <v>6</v>
      </c>
      <c r="D1306" s="11">
        <v>41791</v>
      </c>
      <c r="E1306" t="s">
        <v>2178</v>
      </c>
      <c r="F1306">
        <v>6</v>
      </c>
      <c r="G1306" t="s">
        <v>57</v>
      </c>
      <c r="H1306" t="s">
        <v>40</v>
      </c>
      <c r="I1306" t="s">
        <v>2188</v>
      </c>
      <c r="J1306" s="10">
        <v>4</v>
      </c>
      <c r="K1306" t="b">
        <v>1</v>
      </c>
    </row>
    <row r="1307" spans="1:11">
      <c r="A1307" s="12">
        <v>41804</v>
      </c>
      <c r="B1307">
        <v>2014</v>
      </c>
      <c r="C1307">
        <v>6</v>
      </c>
      <c r="D1307" s="11">
        <v>41791</v>
      </c>
      <c r="E1307" t="s">
        <v>2178</v>
      </c>
      <c r="F1307">
        <v>6</v>
      </c>
      <c r="G1307" t="s">
        <v>57</v>
      </c>
      <c r="H1307" t="s">
        <v>41</v>
      </c>
      <c r="I1307" t="s">
        <v>2189</v>
      </c>
      <c r="J1307" s="10">
        <v>5.02</v>
      </c>
      <c r="K1307" t="b">
        <v>1</v>
      </c>
    </row>
    <row r="1308" spans="1:11">
      <c r="A1308" s="12">
        <v>41804</v>
      </c>
      <c r="B1308">
        <v>2014</v>
      </c>
      <c r="C1308">
        <v>6</v>
      </c>
      <c r="D1308" s="11">
        <v>41791</v>
      </c>
      <c r="E1308" t="s">
        <v>2178</v>
      </c>
      <c r="F1308">
        <v>6</v>
      </c>
      <c r="G1308" t="s">
        <v>57</v>
      </c>
      <c r="H1308" t="s">
        <v>42</v>
      </c>
      <c r="I1308" t="s">
        <v>2190</v>
      </c>
      <c r="J1308" s="10">
        <v>6</v>
      </c>
      <c r="K1308" t="b">
        <v>1</v>
      </c>
    </row>
    <row r="1309" spans="1:11">
      <c r="A1309" s="12">
        <v>41804</v>
      </c>
      <c r="B1309">
        <v>2014</v>
      </c>
      <c r="C1309">
        <v>6</v>
      </c>
      <c r="D1309" s="11">
        <v>41791</v>
      </c>
      <c r="E1309" t="s">
        <v>2178</v>
      </c>
      <c r="F1309">
        <v>6</v>
      </c>
      <c r="G1309" t="s">
        <v>57</v>
      </c>
      <c r="H1309" t="s">
        <v>43</v>
      </c>
      <c r="I1309" t="s">
        <v>2191</v>
      </c>
      <c r="J1309" s="10">
        <v>8</v>
      </c>
      <c r="K1309" t="b">
        <v>1</v>
      </c>
    </row>
    <row r="1310" spans="1:11">
      <c r="A1310" s="12">
        <v>41804</v>
      </c>
      <c r="B1310">
        <v>2014</v>
      </c>
      <c r="C1310">
        <v>6</v>
      </c>
      <c r="D1310" s="11">
        <v>41791</v>
      </c>
      <c r="E1310" t="s">
        <v>2178</v>
      </c>
      <c r="F1310">
        <v>6</v>
      </c>
      <c r="G1310" t="s">
        <v>57</v>
      </c>
      <c r="H1310" t="s">
        <v>44</v>
      </c>
      <c r="I1310" t="s">
        <v>2192</v>
      </c>
      <c r="J1310" s="10">
        <v>10</v>
      </c>
      <c r="K1310" t="b">
        <v>1</v>
      </c>
    </row>
    <row r="1311" spans="1:11">
      <c r="A1311" s="12">
        <v>41804</v>
      </c>
      <c r="B1311">
        <v>2014</v>
      </c>
      <c r="C1311">
        <v>6</v>
      </c>
      <c r="D1311" s="11">
        <v>41791</v>
      </c>
      <c r="E1311" t="s">
        <v>2178</v>
      </c>
      <c r="F1311">
        <v>6</v>
      </c>
      <c r="G1311" t="s">
        <v>57</v>
      </c>
      <c r="H1311" t="s">
        <v>45</v>
      </c>
      <c r="I1311" t="s">
        <v>2193</v>
      </c>
      <c r="J1311" s="10">
        <v>0</v>
      </c>
      <c r="K1311" t="b">
        <v>1</v>
      </c>
    </row>
    <row r="1312" spans="1:11">
      <c r="A1312" s="12">
        <v>41804</v>
      </c>
      <c r="B1312">
        <v>2014</v>
      </c>
      <c r="C1312">
        <v>6</v>
      </c>
      <c r="D1312" s="11">
        <v>41791</v>
      </c>
      <c r="E1312" t="s">
        <v>2178</v>
      </c>
      <c r="F1312">
        <v>6</v>
      </c>
      <c r="G1312" t="s">
        <v>57</v>
      </c>
      <c r="H1312" t="s">
        <v>46</v>
      </c>
      <c r="I1312" t="s">
        <v>2194</v>
      </c>
      <c r="J1312" s="10">
        <v>1</v>
      </c>
      <c r="K1312" t="b">
        <v>1</v>
      </c>
    </row>
    <row r="1313" spans="1:11">
      <c r="A1313" s="12">
        <v>41804</v>
      </c>
      <c r="B1313">
        <v>2014</v>
      </c>
      <c r="C1313">
        <v>6</v>
      </c>
      <c r="D1313" s="11">
        <v>41791</v>
      </c>
      <c r="E1313" t="s">
        <v>2178</v>
      </c>
      <c r="F1313">
        <v>6</v>
      </c>
      <c r="G1313" t="s">
        <v>57</v>
      </c>
      <c r="H1313" t="s">
        <v>47</v>
      </c>
      <c r="I1313" t="s">
        <v>2195</v>
      </c>
      <c r="J1313" s="10">
        <v>3</v>
      </c>
      <c r="K1313" t="b">
        <v>1</v>
      </c>
    </row>
    <row r="1314" spans="1:11">
      <c r="A1314" s="12">
        <v>41805</v>
      </c>
      <c r="B1314">
        <v>2014</v>
      </c>
      <c r="C1314">
        <v>6</v>
      </c>
      <c r="D1314" s="11">
        <v>41791</v>
      </c>
      <c r="E1314" t="s">
        <v>2178</v>
      </c>
      <c r="F1314">
        <v>7</v>
      </c>
      <c r="G1314" t="s">
        <v>59</v>
      </c>
      <c r="H1314" t="s">
        <v>40</v>
      </c>
      <c r="I1314" t="s">
        <v>2188</v>
      </c>
      <c r="J1314" s="10">
        <v>0.34</v>
      </c>
      <c r="K1314" t="b">
        <v>1</v>
      </c>
    </row>
    <row r="1315" spans="1:11">
      <c r="A1315" s="12">
        <v>41805</v>
      </c>
      <c r="B1315">
        <v>2014</v>
      </c>
      <c r="C1315">
        <v>6</v>
      </c>
      <c r="D1315" s="11">
        <v>41791</v>
      </c>
      <c r="E1315" t="s">
        <v>2178</v>
      </c>
      <c r="F1315">
        <v>7</v>
      </c>
      <c r="G1315" t="s">
        <v>59</v>
      </c>
      <c r="H1315" t="s">
        <v>41</v>
      </c>
      <c r="I1315" t="s">
        <v>2189</v>
      </c>
      <c r="J1315" s="10">
        <v>2</v>
      </c>
      <c r="K1315" t="b">
        <v>1</v>
      </c>
    </row>
    <row r="1316" spans="1:11">
      <c r="A1316" s="12">
        <v>41805</v>
      </c>
      <c r="B1316">
        <v>2014</v>
      </c>
      <c r="C1316">
        <v>6</v>
      </c>
      <c r="D1316" s="11">
        <v>41791</v>
      </c>
      <c r="E1316" t="s">
        <v>2178</v>
      </c>
      <c r="F1316">
        <v>7</v>
      </c>
      <c r="G1316" t="s">
        <v>59</v>
      </c>
      <c r="H1316" t="s">
        <v>42</v>
      </c>
      <c r="I1316" t="s">
        <v>2190</v>
      </c>
      <c r="J1316" s="10">
        <v>0</v>
      </c>
      <c r="K1316" t="b">
        <v>1</v>
      </c>
    </row>
    <row r="1317" spans="1:11">
      <c r="A1317" s="12">
        <v>41805</v>
      </c>
      <c r="B1317">
        <v>2014</v>
      </c>
      <c r="C1317">
        <v>6</v>
      </c>
      <c r="D1317" s="11">
        <v>41791</v>
      </c>
      <c r="E1317" t="s">
        <v>2178</v>
      </c>
      <c r="F1317">
        <v>7</v>
      </c>
      <c r="G1317" t="s">
        <v>59</v>
      </c>
      <c r="H1317" t="s">
        <v>43</v>
      </c>
      <c r="I1317" t="s">
        <v>2191</v>
      </c>
      <c r="J1317" s="10">
        <v>8</v>
      </c>
      <c r="K1317" t="b">
        <v>1</v>
      </c>
    </row>
    <row r="1318" spans="1:11">
      <c r="A1318" s="12">
        <v>41805</v>
      </c>
      <c r="B1318">
        <v>2014</v>
      </c>
      <c r="C1318">
        <v>6</v>
      </c>
      <c r="D1318" s="11">
        <v>41791</v>
      </c>
      <c r="E1318" t="s">
        <v>2178</v>
      </c>
      <c r="F1318">
        <v>7</v>
      </c>
      <c r="G1318" t="s">
        <v>59</v>
      </c>
      <c r="H1318" t="s">
        <v>44</v>
      </c>
      <c r="I1318" t="s">
        <v>2192</v>
      </c>
      <c r="J1318" s="10">
        <v>5</v>
      </c>
      <c r="K1318" t="b">
        <v>1</v>
      </c>
    </row>
    <row r="1319" spans="1:11">
      <c r="A1319" s="12">
        <v>41805</v>
      </c>
      <c r="B1319">
        <v>2014</v>
      </c>
      <c r="C1319">
        <v>6</v>
      </c>
      <c r="D1319" s="11">
        <v>41791</v>
      </c>
      <c r="E1319" t="s">
        <v>2178</v>
      </c>
      <c r="F1319">
        <v>7</v>
      </c>
      <c r="G1319" t="s">
        <v>59</v>
      </c>
      <c r="H1319" t="s">
        <v>45</v>
      </c>
      <c r="I1319" t="s">
        <v>2193</v>
      </c>
      <c r="J1319" s="10">
        <v>0</v>
      </c>
      <c r="K1319" t="b">
        <v>1</v>
      </c>
    </row>
    <row r="1320" spans="1:11">
      <c r="A1320" s="12">
        <v>41805</v>
      </c>
      <c r="B1320">
        <v>2014</v>
      </c>
      <c r="C1320">
        <v>6</v>
      </c>
      <c r="D1320" s="11">
        <v>41791</v>
      </c>
      <c r="E1320" t="s">
        <v>2178</v>
      </c>
      <c r="F1320">
        <v>7</v>
      </c>
      <c r="G1320" t="s">
        <v>59</v>
      </c>
      <c r="H1320" t="s">
        <v>46</v>
      </c>
      <c r="I1320" t="s">
        <v>2194</v>
      </c>
      <c r="J1320" s="10">
        <v>0</v>
      </c>
      <c r="K1320" t="b">
        <v>1</v>
      </c>
    </row>
    <row r="1321" spans="1:11">
      <c r="A1321" s="12">
        <v>41805</v>
      </c>
      <c r="B1321">
        <v>2014</v>
      </c>
      <c r="C1321">
        <v>6</v>
      </c>
      <c r="D1321" s="11">
        <v>41791</v>
      </c>
      <c r="E1321" t="s">
        <v>2178</v>
      </c>
      <c r="F1321">
        <v>7</v>
      </c>
      <c r="G1321" t="s">
        <v>59</v>
      </c>
      <c r="H1321" t="s">
        <v>47</v>
      </c>
      <c r="I1321" t="s">
        <v>2195</v>
      </c>
      <c r="J1321" s="10">
        <v>3.3</v>
      </c>
      <c r="K1321" t="b">
        <v>1</v>
      </c>
    </row>
    <row r="1322" spans="1:11">
      <c r="A1322" s="12">
        <v>41806</v>
      </c>
      <c r="B1322">
        <v>2014</v>
      </c>
      <c r="C1322">
        <v>6</v>
      </c>
      <c r="D1322" s="11">
        <v>41791</v>
      </c>
      <c r="E1322" t="s">
        <v>2178</v>
      </c>
      <c r="F1322">
        <v>1</v>
      </c>
      <c r="G1322" t="s">
        <v>61</v>
      </c>
      <c r="H1322" t="s">
        <v>40</v>
      </c>
      <c r="I1322" t="s">
        <v>2188</v>
      </c>
      <c r="J1322" s="10">
        <v>4.34</v>
      </c>
      <c r="K1322" t="b">
        <v>1</v>
      </c>
    </row>
    <row r="1323" spans="1:11">
      <c r="A1323" s="12">
        <v>41806</v>
      </c>
      <c r="B1323">
        <v>2014</v>
      </c>
      <c r="C1323">
        <v>6</v>
      </c>
      <c r="D1323" s="11">
        <v>41791</v>
      </c>
      <c r="E1323" t="s">
        <v>2178</v>
      </c>
      <c r="F1323">
        <v>1</v>
      </c>
      <c r="G1323" t="s">
        <v>61</v>
      </c>
      <c r="H1323" t="s">
        <v>41</v>
      </c>
      <c r="I1323" t="s">
        <v>2189</v>
      </c>
      <c r="J1323" s="10">
        <v>4.34</v>
      </c>
      <c r="K1323" t="b">
        <v>1</v>
      </c>
    </row>
    <row r="1324" spans="1:11">
      <c r="A1324" s="12">
        <v>41806</v>
      </c>
      <c r="B1324">
        <v>2014</v>
      </c>
      <c r="C1324">
        <v>6</v>
      </c>
      <c r="D1324" s="11">
        <v>41791</v>
      </c>
      <c r="E1324" t="s">
        <v>2178</v>
      </c>
      <c r="F1324">
        <v>1</v>
      </c>
      <c r="G1324" t="s">
        <v>61</v>
      </c>
      <c r="H1324" t="s">
        <v>42</v>
      </c>
      <c r="I1324" t="s">
        <v>2190</v>
      </c>
      <c r="J1324" s="10">
        <v>7.4</v>
      </c>
      <c r="K1324" t="b">
        <v>1</v>
      </c>
    </row>
    <row r="1325" spans="1:11">
      <c r="A1325" s="12">
        <v>41806</v>
      </c>
      <c r="B1325">
        <v>2014</v>
      </c>
      <c r="C1325">
        <v>6</v>
      </c>
      <c r="D1325" s="11">
        <v>41791</v>
      </c>
      <c r="E1325" t="s">
        <v>2178</v>
      </c>
      <c r="F1325">
        <v>1</v>
      </c>
      <c r="G1325" t="s">
        <v>61</v>
      </c>
      <c r="H1325" t="s">
        <v>43</v>
      </c>
      <c r="I1325" t="s">
        <v>2191</v>
      </c>
      <c r="J1325" s="10">
        <v>12.2</v>
      </c>
      <c r="K1325" t="b">
        <v>1</v>
      </c>
    </row>
    <row r="1326" spans="1:11">
      <c r="A1326" s="12">
        <v>41806</v>
      </c>
      <c r="B1326">
        <v>2014</v>
      </c>
      <c r="C1326">
        <v>6</v>
      </c>
      <c r="D1326" s="11">
        <v>41791</v>
      </c>
      <c r="E1326" t="s">
        <v>2178</v>
      </c>
      <c r="F1326">
        <v>1</v>
      </c>
      <c r="G1326" t="s">
        <v>61</v>
      </c>
      <c r="H1326" t="s">
        <v>44</v>
      </c>
      <c r="I1326" t="s">
        <v>2192</v>
      </c>
      <c r="J1326" s="10">
        <v>11</v>
      </c>
      <c r="K1326" t="b">
        <v>1</v>
      </c>
    </row>
    <row r="1327" spans="1:11">
      <c r="A1327" s="12">
        <v>41806</v>
      </c>
      <c r="B1327">
        <v>2014</v>
      </c>
      <c r="C1327">
        <v>6</v>
      </c>
      <c r="D1327" s="11">
        <v>41791</v>
      </c>
      <c r="E1327" t="s">
        <v>2178</v>
      </c>
      <c r="F1327">
        <v>1</v>
      </c>
      <c r="G1327" t="s">
        <v>61</v>
      </c>
      <c r="H1327" t="s">
        <v>45</v>
      </c>
      <c r="I1327" t="s">
        <v>2193</v>
      </c>
      <c r="J1327" s="10">
        <v>0</v>
      </c>
      <c r="K1327" t="b">
        <v>1</v>
      </c>
    </row>
    <row r="1328" spans="1:11">
      <c r="A1328" s="12">
        <v>41806</v>
      </c>
      <c r="B1328">
        <v>2014</v>
      </c>
      <c r="C1328">
        <v>6</v>
      </c>
      <c r="D1328" s="11">
        <v>41791</v>
      </c>
      <c r="E1328" t="s">
        <v>2178</v>
      </c>
      <c r="F1328">
        <v>1</v>
      </c>
      <c r="G1328" t="s">
        <v>61</v>
      </c>
      <c r="H1328" t="s">
        <v>46</v>
      </c>
      <c r="I1328" t="s">
        <v>2194</v>
      </c>
      <c r="J1328" s="10">
        <v>5</v>
      </c>
      <c r="K1328" t="b">
        <v>1</v>
      </c>
    </row>
    <row r="1329" spans="1:11">
      <c r="A1329" s="12">
        <v>41806</v>
      </c>
      <c r="B1329">
        <v>2014</v>
      </c>
      <c r="C1329">
        <v>6</v>
      </c>
      <c r="D1329" s="11">
        <v>41791</v>
      </c>
      <c r="E1329" t="s">
        <v>2178</v>
      </c>
      <c r="F1329">
        <v>1</v>
      </c>
      <c r="G1329" t="s">
        <v>61</v>
      </c>
      <c r="H1329" t="s">
        <v>47</v>
      </c>
      <c r="I1329" t="s">
        <v>2195</v>
      </c>
      <c r="J1329" s="10">
        <v>5</v>
      </c>
      <c r="K1329" t="b">
        <v>1</v>
      </c>
    </row>
    <row r="1330" spans="1:11">
      <c r="A1330" s="12">
        <v>41807</v>
      </c>
      <c r="B1330">
        <v>2014</v>
      </c>
      <c r="C1330">
        <v>6</v>
      </c>
      <c r="D1330" s="11">
        <v>41791</v>
      </c>
      <c r="E1330" t="s">
        <v>2178</v>
      </c>
      <c r="F1330">
        <v>2</v>
      </c>
      <c r="G1330" t="s">
        <v>63</v>
      </c>
      <c r="H1330" t="s">
        <v>40</v>
      </c>
      <c r="I1330" t="s">
        <v>2188</v>
      </c>
      <c r="J1330" s="10">
        <v>5</v>
      </c>
      <c r="K1330" t="b">
        <v>1</v>
      </c>
    </row>
    <row r="1331" spans="1:11">
      <c r="A1331" s="12">
        <v>41807</v>
      </c>
      <c r="B1331">
        <v>2014</v>
      </c>
      <c r="C1331">
        <v>6</v>
      </c>
      <c r="D1331" s="11">
        <v>41791</v>
      </c>
      <c r="E1331" t="s">
        <v>2178</v>
      </c>
      <c r="F1331">
        <v>2</v>
      </c>
      <c r="G1331" t="s">
        <v>63</v>
      </c>
      <c r="H1331" t="s">
        <v>41</v>
      </c>
      <c r="I1331" t="s">
        <v>2189</v>
      </c>
      <c r="J1331" s="10">
        <v>2.34</v>
      </c>
      <c r="K1331" t="b">
        <v>1</v>
      </c>
    </row>
    <row r="1332" spans="1:11">
      <c r="A1332" s="12">
        <v>41807</v>
      </c>
      <c r="B1332">
        <v>2014</v>
      </c>
      <c r="C1332">
        <v>6</v>
      </c>
      <c r="D1332" s="11">
        <v>41791</v>
      </c>
      <c r="E1332" t="s">
        <v>2178</v>
      </c>
      <c r="F1332">
        <v>2</v>
      </c>
      <c r="G1332" t="s">
        <v>63</v>
      </c>
      <c r="H1332" t="s">
        <v>42</v>
      </c>
      <c r="I1332" t="s">
        <v>2190</v>
      </c>
      <c r="J1332" s="10">
        <v>4</v>
      </c>
      <c r="K1332" t="b">
        <v>1</v>
      </c>
    </row>
    <row r="1333" spans="1:11">
      <c r="A1333" s="12">
        <v>41807</v>
      </c>
      <c r="B1333">
        <v>2014</v>
      </c>
      <c r="C1333">
        <v>6</v>
      </c>
      <c r="D1333" s="11">
        <v>41791</v>
      </c>
      <c r="E1333" t="s">
        <v>2178</v>
      </c>
      <c r="F1333">
        <v>2</v>
      </c>
      <c r="G1333" t="s">
        <v>63</v>
      </c>
      <c r="H1333" t="s">
        <v>43</v>
      </c>
      <c r="I1333" t="s">
        <v>2191</v>
      </c>
      <c r="J1333" s="10">
        <v>14</v>
      </c>
      <c r="K1333" t="b">
        <v>1</v>
      </c>
    </row>
    <row r="1334" spans="1:11">
      <c r="A1334" s="12">
        <v>41807</v>
      </c>
      <c r="B1334">
        <v>2014</v>
      </c>
      <c r="C1334">
        <v>6</v>
      </c>
      <c r="D1334" s="11">
        <v>41791</v>
      </c>
      <c r="E1334" t="s">
        <v>2178</v>
      </c>
      <c r="F1334">
        <v>2</v>
      </c>
      <c r="G1334" t="s">
        <v>63</v>
      </c>
      <c r="H1334" t="s">
        <v>44</v>
      </c>
      <c r="I1334" t="s">
        <v>2192</v>
      </c>
      <c r="J1334" s="10">
        <v>12</v>
      </c>
      <c r="K1334" t="b">
        <v>1</v>
      </c>
    </row>
    <row r="1335" spans="1:11">
      <c r="A1335" s="12">
        <v>41807</v>
      </c>
      <c r="B1335">
        <v>2014</v>
      </c>
      <c r="C1335">
        <v>6</v>
      </c>
      <c r="D1335" s="11">
        <v>41791</v>
      </c>
      <c r="E1335" t="s">
        <v>2178</v>
      </c>
      <c r="F1335">
        <v>2</v>
      </c>
      <c r="G1335" t="s">
        <v>63</v>
      </c>
      <c r="H1335" t="s">
        <v>45</v>
      </c>
      <c r="I1335" t="s">
        <v>2193</v>
      </c>
      <c r="J1335" s="10">
        <v>2</v>
      </c>
      <c r="K1335" t="b">
        <v>1</v>
      </c>
    </row>
    <row r="1336" spans="1:11">
      <c r="A1336" s="12">
        <v>41807</v>
      </c>
      <c r="B1336">
        <v>2014</v>
      </c>
      <c r="C1336">
        <v>6</v>
      </c>
      <c r="D1336" s="11">
        <v>41791</v>
      </c>
      <c r="E1336" t="s">
        <v>2178</v>
      </c>
      <c r="F1336">
        <v>2</v>
      </c>
      <c r="G1336" t="s">
        <v>63</v>
      </c>
      <c r="H1336" t="s">
        <v>46</v>
      </c>
      <c r="I1336" t="s">
        <v>2194</v>
      </c>
      <c r="J1336" s="10">
        <v>0</v>
      </c>
      <c r="K1336" t="b">
        <v>1</v>
      </c>
    </row>
    <row r="1337" spans="1:11">
      <c r="A1337" s="12">
        <v>41807</v>
      </c>
      <c r="B1337">
        <v>2014</v>
      </c>
      <c r="C1337">
        <v>6</v>
      </c>
      <c r="D1337" s="11">
        <v>41791</v>
      </c>
      <c r="E1337" t="s">
        <v>2178</v>
      </c>
      <c r="F1337">
        <v>2</v>
      </c>
      <c r="G1337" t="s">
        <v>63</v>
      </c>
      <c r="H1337" t="s">
        <v>47</v>
      </c>
      <c r="I1337" t="s">
        <v>2195</v>
      </c>
      <c r="J1337" s="10">
        <v>3</v>
      </c>
      <c r="K1337" t="b">
        <v>1</v>
      </c>
    </row>
    <row r="1338" spans="1:11">
      <c r="A1338" s="12">
        <v>41808</v>
      </c>
      <c r="B1338">
        <v>2014</v>
      </c>
      <c r="C1338">
        <v>6</v>
      </c>
      <c r="D1338" s="11">
        <v>41791</v>
      </c>
      <c r="E1338" t="s">
        <v>2178</v>
      </c>
      <c r="F1338">
        <v>3</v>
      </c>
      <c r="G1338" t="s">
        <v>65</v>
      </c>
      <c r="H1338" t="s">
        <v>40</v>
      </c>
      <c r="I1338" t="s">
        <v>2188</v>
      </c>
      <c r="J1338" s="10">
        <v>2</v>
      </c>
      <c r="K1338" t="b">
        <v>1</v>
      </c>
    </row>
    <row r="1339" spans="1:11">
      <c r="A1339" s="12">
        <v>41808</v>
      </c>
      <c r="B1339">
        <v>2014</v>
      </c>
      <c r="C1339">
        <v>6</v>
      </c>
      <c r="D1339" s="11">
        <v>41791</v>
      </c>
      <c r="E1339" t="s">
        <v>2178</v>
      </c>
      <c r="F1339">
        <v>3</v>
      </c>
      <c r="G1339" t="s">
        <v>65</v>
      </c>
      <c r="H1339" t="s">
        <v>41</v>
      </c>
      <c r="I1339" t="s">
        <v>2189</v>
      </c>
      <c r="J1339" s="10">
        <v>2</v>
      </c>
      <c r="K1339" t="b">
        <v>1</v>
      </c>
    </row>
    <row r="1340" spans="1:11">
      <c r="A1340" s="12">
        <v>41808</v>
      </c>
      <c r="B1340">
        <v>2014</v>
      </c>
      <c r="C1340">
        <v>6</v>
      </c>
      <c r="D1340" s="11">
        <v>41791</v>
      </c>
      <c r="E1340" t="s">
        <v>2178</v>
      </c>
      <c r="F1340">
        <v>3</v>
      </c>
      <c r="G1340" t="s">
        <v>65</v>
      </c>
      <c r="H1340" t="s">
        <v>42</v>
      </c>
      <c r="I1340" t="s">
        <v>2190</v>
      </c>
      <c r="J1340" s="10">
        <v>4.7</v>
      </c>
      <c r="K1340" t="b">
        <v>1</v>
      </c>
    </row>
    <row r="1341" spans="1:11">
      <c r="A1341" s="12">
        <v>41808</v>
      </c>
      <c r="B1341">
        <v>2014</v>
      </c>
      <c r="C1341">
        <v>6</v>
      </c>
      <c r="D1341" s="11">
        <v>41791</v>
      </c>
      <c r="E1341" t="s">
        <v>2178</v>
      </c>
      <c r="F1341">
        <v>3</v>
      </c>
      <c r="G1341" t="s">
        <v>65</v>
      </c>
      <c r="H1341" t="s">
        <v>43</v>
      </c>
      <c r="I1341" t="s">
        <v>2191</v>
      </c>
      <c r="J1341" s="10">
        <v>18</v>
      </c>
      <c r="K1341" t="b">
        <v>1</v>
      </c>
    </row>
    <row r="1342" spans="1:11">
      <c r="A1342" s="12">
        <v>41808</v>
      </c>
      <c r="B1342">
        <v>2014</v>
      </c>
      <c r="C1342">
        <v>6</v>
      </c>
      <c r="D1342" s="11">
        <v>41791</v>
      </c>
      <c r="E1342" t="s">
        <v>2178</v>
      </c>
      <c r="F1342">
        <v>3</v>
      </c>
      <c r="G1342" t="s">
        <v>65</v>
      </c>
      <c r="H1342" t="s">
        <v>44</v>
      </c>
      <c r="I1342" t="s">
        <v>2192</v>
      </c>
      <c r="J1342" s="10">
        <v>6</v>
      </c>
      <c r="K1342" t="b">
        <v>1</v>
      </c>
    </row>
    <row r="1343" spans="1:11">
      <c r="A1343" s="12">
        <v>41808</v>
      </c>
      <c r="B1343">
        <v>2014</v>
      </c>
      <c r="C1343">
        <v>6</v>
      </c>
      <c r="D1343" s="11">
        <v>41791</v>
      </c>
      <c r="E1343" t="s">
        <v>2178</v>
      </c>
      <c r="F1343">
        <v>3</v>
      </c>
      <c r="G1343" t="s">
        <v>65</v>
      </c>
      <c r="H1343" t="s">
        <v>45</v>
      </c>
      <c r="I1343" t="s">
        <v>2193</v>
      </c>
      <c r="J1343" s="10">
        <v>0</v>
      </c>
      <c r="K1343" t="b">
        <v>1</v>
      </c>
    </row>
    <row r="1344" spans="1:11">
      <c r="A1344" s="12">
        <v>41808</v>
      </c>
      <c r="B1344">
        <v>2014</v>
      </c>
      <c r="C1344">
        <v>6</v>
      </c>
      <c r="D1344" s="11">
        <v>41791</v>
      </c>
      <c r="E1344" t="s">
        <v>2178</v>
      </c>
      <c r="F1344">
        <v>3</v>
      </c>
      <c r="G1344" t="s">
        <v>65</v>
      </c>
      <c r="H1344" t="s">
        <v>46</v>
      </c>
      <c r="I1344" t="s">
        <v>2194</v>
      </c>
      <c r="J1344" s="10">
        <v>1</v>
      </c>
      <c r="K1344" t="b">
        <v>1</v>
      </c>
    </row>
    <row r="1345" spans="1:11">
      <c r="A1345" s="12">
        <v>41808</v>
      </c>
      <c r="B1345">
        <v>2014</v>
      </c>
      <c r="C1345">
        <v>6</v>
      </c>
      <c r="D1345" s="11">
        <v>41791</v>
      </c>
      <c r="E1345" t="s">
        <v>2178</v>
      </c>
      <c r="F1345">
        <v>3</v>
      </c>
      <c r="G1345" t="s">
        <v>65</v>
      </c>
      <c r="H1345" t="s">
        <v>47</v>
      </c>
      <c r="I1345" t="s">
        <v>2195</v>
      </c>
      <c r="J1345" s="10">
        <v>3</v>
      </c>
      <c r="K1345" t="b">
        <v>1</v>
      </c>
    </row>
    <row r="1346" spans="1:11">
      <c r="A1346" s="12">
        <v>41809</v>
      </c>
      <c r="B1346">
        <v>2014</v>
      </c>
      <c r="C1346">
        <v>6</v>
      </c>
      <c r="D1346" s="11">
        <v>41791</v>
      </c>
      <c r="E1346" t="s">
        <v>2178</v>
      </c>
      <c r="F1346">
        <v>4</v>
      </c>
      <c r="G1346" t="s">
        <v>53</v>
      </c>
      <c r="H1346" t="s">
        <v>40</v>
      </c>
      <c r="I1346" t="s">
        <v>2188</v>
      </c>
      <c r="J1346" s="10">
        <v>3</v>
      </c>
      <c r="K1346" t="b">
        <v>1</v>
      </c>
    </row>
    <row r="1347" spans="1:11">
      <c r="A1347" s="12">
        <v>41809</v>
      </c>
      <c r="B1347">
        <v>2014</v>
      </c>
      <c r="C1347">
        <v>6</v>
      </c>
      <c r="D1347" s="11">
        <v>41791</v>
      </c>
      <c r="E1347" t="s">
        <v>2178</v>
      </c>
      <c r="F1347">
        <v>4</v>
      </c>
      <c r="G1347" t="s">
        <v>53</v>
      </c>
      <c r="H1347" t="s">
        <v>41</v>
      </c>
      <c r="I1347" t="s">
        <v>2189</v>
      </c>
      <c r="J1347" s="10">
        <v>3.33</v>
      </c>
      <c r="K1347" t="b">
        <v>1</v>
      </c>
    </row>
    <row r="1348" spans="1:11">
      <c r="A1348" s="12">
        <v>41809</v>
      </c>
      <c r="B1348">
        <v>2014</v>
      </c>
      <c r="C1348">
        <v>6</v>
      </c>
      <c r="D1348" s="11">
        <v>41791</v>
      </c>
      <c r="E1348" t="s">
        <v>2178</v>
      </c>
      <c r="F1348">
        <v>4</v>
      </c>
      <c r="G1348" t="s">
        <v>53</v>
      </c>
      <c r="H1348" t="s">
        <v>42</v>
      </c>
      <c r="I1348" t="s">
        <v>2190</v>
      </c>
      <c r="J1348" s="10">
        <v>1</v>
      </c>
      <c r="K1348" t="b">
        <v>1</v>
      </c>
    </row>
    <row r="1349" spans="1:11">
      <c r="A1349" s="12">
        <v>41809</v>
      </c>
      <c r="B1349">
        <v>2014</v>
      </c>
      <c r="C1349">
        <v>6</v>
      </c>
      <c r="D1349" s="11">
        <v>41791</v>
      </c>
      <c r="E1349" t="s">
        <v>2178</v>
      </c>
      <c r="F1349">
        <v>4</v>
      </c>
      <c r="G1349" t="s">
        <v>53</v>
      </c>
      <c r="H1349" t="s">
        <v>43</v>
      </c>
      <c r="I1349" t="s">
        <v>2191</v>
      </c>
      <c r="J1349" s="10">
        <v>14</v>
      </c>
      <c r="K1349" t="b">
        <v>1</v>
      </c>
    </row>
    <row r="1350" spans="1:11">
      <c r="A1350" s="12">
        <v>41809</v>
      </c>
      <c r="B1350">
        <v>2014</v>
      </c>
      <c r="C1350">
        <v>6</v>
      </c>
      <c r="D1350" s="11">
        <v>41791</v>
      </c>
      <c r="E1350" t="s">
        <v>2178</v>
      </c>
      <c r="F1350">
        <v>4</v>
      </c>
      <c r="G1350" t="s">
        <v>53</v>
      </c>
      <c r="H1350" t="s">
        <v>44</v>
      </c>
      <c r="I1350" t="s">
        <v>2192</v>
      </c>
      <c r="J1350" s="10">
        <v>8</v>
      </c>
      <c r="K1350" t="b">
        <v>1</v>
      </c>
    </row>
    <row r="1351" spans="1:11">
      <c r="A1351" s="12">
        <v>41809</v>
      </c>
      <c r="B1351">
        <v>2014</v>
      </c>
      <c r="C1351">
        <v>6</v>
      </c>
      <c r="D1351" s="11">
        <v>41791</v>
      </c>
      <c r="E1351" t="s">
        <v>2178</v>
      </c>
      <c r="F1351">
        <v>4</v>
      </c>
      <c r="G1351" t="s">
        <v>53</v>
      </c>
      <c r="H1351" t="s">
        <v>45</v>
      </c>
      <c r="I1351" t="s">
        <v>2193</v>
      </c>
      <c r="J1351" s="10">
        <v>0</v>
      </c>
      <c r="K1351" t="b">
        <v>1</v>
      </c>
    </row>
    <row r="1352" spans="1:11">
      <c r="A1352" s="12">
        <v>41809</v>
      </c>
      <c r="B1352">
        <v>2014</v>
      </c>
      <c r="C1352">
        <v>6</v>
      </c>
      <c r="D1352" s="11">
        <v>41791</v>
      </c>
      <c r="E1352" t="s">
        <v>2178</v>
      </c>
      <c r="F1352">
        <v>4</v>
      </c>
      <c r="G1352" t="s">
        <v>53</v>
      </c>
      <c r="H1352" t="s">
        <v>46</v>
      </c>
      <c r="I1352" t="s">
        <v>2194</v>
      </c>
      <c r="J1352" s="10">
        <v>0</v>
      </c>
      <c r="K1352" t="b">
        <v>1</v>
      </c>
    </row>
    <row r="1353" spans="1:11">
      <c r="A1353" s="12">
        <v>41809</v>
      </c>
      <c r="B1353">
        <v>2014</v>
      </c>
      <c r="C1353">
        <v>6</v>
      </c>
      <c r="D1353" s="11">
        <v>41791</v>
      </c>
      <c r="E1353" t="s">
        <v>2178</v>
      </c>
      <c r="F1353">
        <v>4</v>
      </c>
      <c r="G1353" t="s">
        <v>53</v>
      </c>
      <c r="H1353" t="s">
        <v>47</v>
      </c>
      <c r="I1353" t="s">
        <v>2195</v>
      </c>
      <c r="J1353" s="10">
        <v>1</v>
      </c>
      <c r="K1353" t="b">
        <v>1</v>
      </c>
    </row>
    <row r="1354" spans="1:11">
      <c r="A1354" s="12">
        <v>41810</v>
      </c>
      <c r="B1354">
        <v>2014</v>
      </c>
      <c r="C1354">
        <v>6</v>
      </c>
      <c r="D1354" s="11">
        <v>41791</v>
      </c>
      <c r="E1354" t="s">
        <v>2178</v>
      </c>
      <c r="F1354">
        <v>5</v>
      </c>
      <c r="G1354" t="s">
        <v>55</v>
      </c>
      <c r="H1354" t="s">
        <v>40</v>
      </c>
      <c r="I1354" t="s">
        <v>2188</v>
      </c>
      <c r="J1354" s="10">
        <v>7.34</v>
      </c>
      <c r="K1354" t="b">
        <v>1</v>
      </c>
    </row>
    <row r="1355" spans="1:11">
      <c r="A1355" s="12">
        <v>41810</v>
      </c>
      <c r="B1355">
        <v>2014</v>
      </c>
      <c r="C1355">
        <v>6</v>
      </c>
      <c r="D1355" s="11">
        <v>41791</v>
      </c>
      <c r="E1355" t="s">
        <v>2178</v>
      </c>
      <c r="F1355">
        <v>5</v>
      </c>
      <c r="G1355" t="s">
        <v>55</v>
      </c>
      <c r="H1355" t="s">
        <v>41</v>
      </c>
      <c r="I1355" t="s">
        <v>2189</v>
      </c>
      <c r="J1355" s="10">
        <v>2.02</v>
      </c>
      <c r="K1355" t="b">
        <v>1</v>
      </c>
    </row>
    <row r="1356" spans="1:11">
      <c r="A1356" s="12">
        <v>41810</v>
      </c>
      <c r="B1356">
        <v>2014</v>
      </c>
      <c r="C1356">
        <v>6</v>
      </c>
      <c r="D1356" s="11">
        <v>41791</v>
      </c>
      <c r="E1356" t="s">
        <v>2178</v>
      </c>
      <c r="F1356">
        <v>5</v>
      </c>
      <c r="G1356" t="s">
        <v>55</v>
      </c>
      <c r="H1356" t="s">
        <v>42</v>
      </c>
      <c r="I1356" t="s">
        <v>2190</v>
      </c>
      <c r="J1356" s="10">
        <v>3</v>
      </c>
      <c r="K1356" t="b">
        <v>1</v>
      </c>
    </row>
    <row r="1357" spans="1:11">
      <c r="A1357" s="12">
        <v>41810</v>
      </c>
      <c r="B1357">
        <v>2014</v>
      </c>
      <c r="C1357">
        <v>6</v>
      </c>
      <c r="D1357" s="11">
        <v>41791</v>
      </c>
      <c r="E1357" t="s">
        <v>2178</v>
      </c>
      <c r="F1357">
        <v>5</v>
      </c>
      <c r="G1357" t="s">
        <v>55</v>
      </c>
      <c r="H1357" t="s">
        <v>43</v>
      </c>
      <c r="I1357" t="s">
        <v>2191</v>
      </c>
      <c r="J1357" s="10">
        <v>14.5</v>
      </c>
      <c r="K1357" t="b">
        <v>1</v>
      </c>
    </row>
    <row r="1358" spans="1:11">
      <c r="A1358" s="12">
        <v>41810</v>
      </c>
      <c r="B1358">
        <v>2014</v>
      </c>
      <c r="C1358">
        <v>6</v>
      </c>
      <c r="D1358" s="11">
        <v>41791</v>
      </c>
      <c r="E1358" t="s">
        <v>2178</v>
      </c>
      <c r="F1358">
        <v>5</v>
      </c>
      <c r="G1358" t="s">
        <v>55</v>
      </c>
      <c r="H1358" t="s">
        <v>44</v>
      </c>
      <c r="I1358" t="s">
        <v>2192</v>
      </c>
      <c r="J1358" s="10">
        <v>9</v>
      </c>
      <c r="K1358" t="b">
        <v>1</v>
      </c>
    </row>
    <row r="1359" spans="1:11">
      <c r="A1359" s="12">
        <v>41810</v>
      </c>
      <c r="B1359">
        <v>2014</v>
      </c>
      <c r="C1359">
        <v>6</v>
      </c>
      <c r="D1359" s="11">
        <v>41791</v>
      </c>
      <c r="E1359" t="s">
        <v>2178</v>
      </c>
      <c r="F1359">
        <v>5</v>
      </c>
      <c r="G1359" t="s">
        <v>55</v>
      </c>
      <c r="H1359" t="s">
        <v>45</v>
      </c>
      <c r="I1359" t="s">
        <v>2193</v>
      </c>
      <c r="J1359" s="10">
        <v>0</v>
      </c>
      <c r="K1359" t="b">
        <v>1</v>
      </c>
    </row>
    <row r="1360" spans="1:11">
      <c r="A1360" s="12">
        <v>41810</v>
      </c>
      <c r="B1360">
        <v>2014</v>
      </c>
      <c r="C1360">
        <v>6</v>
      </c>
      <c r="D1360" s="11">
        <v>41791</v>
      </c>
      <c r="E1360" t="s">
        <v>2178</v>
      </c>
      <c r="F1360">
        <v>5</v>
      </c>
      <c r="G1360" t="s">
        <v>55</v>
      </c>
      <c r="H1360" t="s">
        <v>46</v>
      </c>
      <c r="I1360" t="s">
        <v>2194</v>
      </c>
      <c r="J1360" s="10">
        <v>3</v>
      </c>
      <c r="K1360" t="b">
        <v>1</v>
      </c>
    </row>
    <row r="1361" spans="1:11">
      <c r="A1361" s="12">
        <v>41810</v>
      </c>
      <c r="B1361">
        <v>2014</v>
      </c>
      <c r="C1361">
        <v>6</v>
      </c>
      <c r="D1361" s="11">
        <v>41791</v>
      </c>
      <c r="E1361" t="s">
        <v>2178</v>
      </c>
      <c r="F1361">
        <v>5</v>
      </c>
      <c r="G1361" t="s">
        <v>55</v>
      </c>
      <c r="H1361" t="s">
        <v>47</v>
      </c>
      <c r="I1361" t="s">
        <v>2195</v>
      </c>
      <c r="J1361" s="10">
        <v>6</v>
      </c>
      <c r="K1361" t="b">
        <v>1</v>
      </c>
    </row>
    <row r="1362" spans="1:11">
      <c r="A1362" s="12">
        <v>41811</v>
      </c>
      <c r="B1362">
        <v>2014</v>
      </c>
      <c r="C1362">
        <v>6</v>
      </c>
      <c r="D1362" s="11">
        <v>41791</v>
      </c>
      <c r="E1362" t="s">
        <v>2178</v>
      </c>
      <c r="F1362">
        <v>6</v>
      </c>
      <c r="G1362" t="s">
        <v>57</v>
      </c>
      <c r="H1362" t="s">
        <v>40</v>
      </c>
      <c r="I1362" t="s">
        <v>2188</v>
      </c>
      <c r="J1362" s="10">
        <v>6</v>
      </c>
      <c r="K1362" t="b">
        <v>1</v>
      </c>
    </row>
    <row r="1363" spans="1:11">
      <c r="A1363" s="12">
        <v>41811</v>
      </c>
      <c r="B1363">
        <v>2014</v>
      </c>
      <c r="C1363">
        <v>6</v>
      </c>
      <c r="D1363" s="11">
        <v>41791</v>
      </c>
      <c r="E1363" t="s">
        <v>2178</v>
      </c>
      <c r="F1363">
        <v>6</v>
      </c>
      <c r="G1363" t="s">
        <v>57</v>
      </c>
      <c r="H1363" t="s">
        <v>41</v>
      </c>
      <c r="I1363" t="s">
        <v>2189</v>
      </c>
      <c r="J1363" s="10">
        <v>5.68</v>
      </c>
      <c r="K1363" t="b">
        <v>1</v>
      </c>
    </row>
    <row r="1364" spans="1:11">
      <c r="A1364" s="12">
        <v>41811</v>
      </c>
      <c r="B1364">
        <v>2014</v>
      </c>
      <c r="C1364">
        <v>6</v>
      </c>
      <c r="D1364" s="11">
        <v>41791</v>
      </c>
      <c r="E1364" t="s">
        <v>2178</v>
      </c>
      <c r="F1364">
        <v>6</v>
      </c>
      <c r="G1364" t="s">
        <v>57</v>
      </c>
      <c r="H1364" t="s">
        <v>42</v>
      </c>
      <c r="I1364" t="s">
        <v>2190</v>
      </c>
      <c r="J1364" s="10">
        <v>2</v>
      </c>
      <c r="K1364" t="b">
        <v>1</v>
      </c>
    </row>
    <row r="1365" spans="1:11">
      <c r="A1365" s="12">
        <v>41811</v>
      </c>
      <c r="B1365">
        <v>2014</v>
      </c>
      <c r="C1365">
        <v>6</v>
      </c>
      <c r="D1365" s="11">
        <v>41791</v>
      </c>
      <c r="E1365" t="s">
        <v>2178</v>
      </c>
      <c r="F1365">
        <v>6</v>
      </c>
      <c r="G1365" t="s">
        <v>57</v>
      </c>
      <c r="H1365" t="s">
        <v>43</v>
      </c>
      <c r="I1365" t="s">
        <v>2191</v>
      </c>
      <c r="J1365" s="10">
        <v>16</v>
      </c>
      <c r="K1365" t="b">
        <v>1</v>
      </c>
    </row>
    <row r="1366" spans="1:11">
      <c r="A1366" s="12">
        <v>41811</v>
      </c>
      <c r="B1366">
        <v>2014</v>
      </c>
      <c r="C1366">
        <v>6</v>
      </c>
      <c r="D1366" s="11">
        <v>41791</v>
      </c>
      <c r="E1366" t="s">
        <v>2178</v>
      </c>
      <c r="F1366">
        <v>6</v>
      </c>
      <c r="G1366" t="s">
        <v>57</v>
      </c>
      <c r="H1366" t="s">
        <v>44</v>
      </c>
      <c r="I1366" t="s">
        <v>2192</v>
      </c>
      <c r="J1366" s="10">
        <v>12</v>
      </c>
      <c r="K1366" t="b">
        <v>1</v>
      </c>
    </row>
    <row r="1367" spans="1:11">
      <c r="A1367" s="12">
        <v>41811</v>
      </c>
      <c r="B1367">
        <v>2014</v>
      </c>
      <c r="C1367">
        <v>6</v>
      </c>
      <c r="D1367" s="11">
        <v>41791</v>
      </c>
      <c r="E1367" t="s">
        <v>2178</v>
      </c>
      <c r="F1367">
        <v>6</v>
      </c>
      <c r="G1367" t="s">
        <v>57</v>
      </c>
      <c r="H1367" t="s">
        <v>45</v>
      </c>
      <c r="I1367" t="s">
        <v>2193</v>
      </c>
      <c r="J1367" s="10">
        <v>3</v>
      </c>
      <c r="K1367" t="b">
        <v>1</v>
      </c>
    </row>
    <row r="1368" spans="1:11">
      <c r="A1368" s="12">
        <v>41811</v>
      </c>
      <c r="B1368">
        <v>2014</v>
      </c>
      <c r="C1368">
        <v>6</v>
      </c>
      <c r="D1368" s="11">
        <v>41791</v>
      </c>
      <c r="E1368" t="s">
        <v>2178</v>
      </c>
      <c r="F1368">
        <v>6</v>
      </c>
      <c r="G1368" t="s">
        <v>57</v>
      </c>
      <c r="H1368" t="s">
        <v>46</v>
      </c>
      <c r="I1368" t="s">
        <v>2194</v>
      </c>
      <c r="J1368" s="10">
        <v>0</v>
      </c>
      <c r="K1368" t="b">
        <v>1</v>
      </c>
    </row>
    <row r="1369" spans="1:11">
      <c r="A1369" s="12">
        <v>41811</v>
      </c>
      <c r="B1369">
        <v>2014</v>
      </c>
      <c r="C1369">
        <v>6</v>
      </c>
      <c r="D1369" s="11">
        <v>41791</v>
      </c>
      <c r="E1369" t="s">
        <v>2178</v>
      </c>
      <c r="F1369">
        <v>6</v>
      </c>
      <c r="G1369" t="s">
        <v>57</v>
      </c>
      <c r="H1369" t="s">
        <v>47</v>
      </c>
      <c r="I1369" t="s">
        <v>2195</v>
      </c>
      <c r="J1369" s="10">
        <v>3</v>
      </c>
      <c r="K1369" t="b">
        <v>1</v>
      </c>
    </row>
    <row r="1370" spans="1:11">
      <c r="A1370" s="12">
        <v>41812</v>
      </c>
      <c r="B1370">
        <v>2014</v>
      </c>
      <c r="C1370">
        <v>6</v>
      </c>
      <c r="D1370" s="11">
        <v>41791</v>
      </c>
      <c r="E1370" t="s">
        <v>2178</v>
      </c>
      <c r="F1370">
        <v>7</v>
      </c>
      <c r="G1370" t="s">
        <v>59</v>
      </c>
      <c r="H1370" t="s">
        <v>40</v>
      </c>
      <c r="I1370" t="s">
        <v>2188</v>
      </c>
      <c r="J1370" s="10">
        <v>4</v>
      </c>
      <c r="K1370" t="b">
        <v>1</v>
      </c>
    </row>
    <row r="1371" spans="1:11">
      <c r="A1371" s="12">
        <v>41812</v>
      </c>
      <c r="B1371">
        <v>2014</v>
      </c>
      <c r="C1371">
        <v>6</v>
      </c>
      <c r="D1371" s="11">
        <v>41791</v>
      </c>
      <c r="E1371" t="s">
        <v>2178</v>
      </c>
      <c r="F1371">
        <v>7</v>
      </c>
      <c r="G1371" t="s">
        <v>59</v>
      </c>
      <c r="H1371" t="s">
        <v>41</v>
      </c>
      <c r="I1371" t="s">
        <v>2189</v>
      </c>
      <c r="J1371" s="10">
        <v>1.02</v>
      </c>
      <c r="K1371" t="b">
        <v>1</v>
      </c>
    </row>
    <row r="1372" spans="1:11">
      <c r="A1372" s="12">
        <v>41812</v>
      </c>
      <c r="B1372">
        <v>2014</v>
      </c>
      <c r="C1372">
        <v>6</v>
      </c>
      <c r="D1372" s="11">
        <v>41791</v>
      </c>
      <c r="E1372" t="s">
        <v>2178</v>
      </c>
      <c r="F1372">
        <v>7</v>
      </c>
      <c r="G1372" t="s">
        <v>59</v>
      </c>
      <c r="H1372" t="s">
        <v>42</v>
      </c>
      <c r="I1372" t="s">
        <v>2190</v>
      </c>
      <c r="J1372" s="10">
        <v>4</v>
      </c>
      <c r="K1372" t="b">
        <v>1</v>
      </c>
    </row>
    <row r="1373" spans="1:11">
      <c r="A1373" s="12">
        <v>41812</v>
      </c>
      <c r="B1373">
        <v>2014</v>
      </c>
      <c r="C1373">
        <v>6</v>
      </c>
      <c r="D1373" s="11">
        <v>41791</v>
      </c>
      <c r="E1373" t="s">
        <v>2178</v>
      </c>
      <c r="F1373">
        <v>7</v>
      </c>
      <c r="G1373" t="s">
        <v>59</v>
      </c>
      <c r="H1373" t="s">
        <v>43</v>
      </c>
      <c r="I1373" t="s">
        <v>2191</v>
      </c>
      <c r="J1373" s="10">
        <v>18</v>
      </c>
      <c r="K1373" t="b">
        <v>1</v>
      </c>
    </row>
    <row r="1374" spans="1:11">
      <c r="A1374" s="12">
        <v>41812</v>
      </c>
      <c r="B1374">
        <v>2014</v>
      </c>
      <c r="C1374">
        <v>6</v>
      </c>
      <c r="D1374" s="11">
        <v>41791</v>
      </c>
      <c r="E1374" t="s">
        <v>2178</v>
      </c>
      <c r="F1374">
        <v>7</v>
      </c>
      <c r="G1374" t="s">
        <v>59</v>
      </c>
      <c r="H1374" t="s">
        <v>44</v>
      </c>
      <c r="I1374" t="s">
        <v>2192</v>
      </c>
      <c r="J1374" s="10">
        <v>8</v>
      </c>
      <c r="K1374" t="b">
        <v>1</v>
      </c>
    </row>
    <row r="1375" spans="1:11">
      <c r="A1375" s="12">
        <v>41812</v>
      </c>
      <c r="B1375">
        <v>2014</v>
      </c>
      <c r="C1375">
        <v>6</v>
      </c>
      <c r="D1375" s="11">
        <v>41791</v>
      </c>
      <c r="E1375" t="s">
        <v>2178</v>
      </c>
      <c r="F1375">
        <v>7</v>
      </c>
      <c r="G1375" t="s">
        <v>59</v>
      </c>
      <c r="H1375" t="s">
        <v>45</v>
      </c>
      <c r="I1375" t="s">
        <v>2193</v>
      </c>
      <c r="J1375" s="10">
        <v>0</v>
      </c>
      <c r="K1375" t="b">
        <v>1</v>
      </c>
    </row>
    <row r="1376" spans="1:11">
      <c r="A1376" s="12">
        <v>41812</v>
      </c>
      <c r="B1376">
        <v>2014</v>
      </c>
      <c r="C1376">
        <v>6</v>
      </c>
      <c r="D1376" s="11">
        <v>41791</v>
      </c>
      <c r="E1376" t="s">
        <v>2178</v>
      </c>
      <c r="F1376">
        <v>7</v>
      </c>
      <c r="G1376" t="s">
        <v>59</v>
      </c>
      <c r="H1376" t="s">
        <v>46</v>
      </c>
      <c r="I1376" t="s">
        <v>2194</v>
      </c>
      <c r="J1376" s="10">
        <v>2</v>
      </c>
      <c r="K1376" t="b">
        <v>1</v>
      </c>
    </row>
    <row r="1377" spans="1:11">
      <c r="A1377" s="12">
        <v>41812</v>
      </c>
      <c r="B1377">
        <v>2014</v>
      </c>
      <c r="C1377">
        <v>6</v>
      </c>
      <c r="D1377" s="11">
        <v>41791</v>
      </c>
      <c r="E1377" t="s">
        <v>2178</v>
      </c>
      <c r="F1377">
        <v>7</v>
      </c>
      <c r="G1377" t="s">
        <v>59</v>
      </c>
      <c r="H1377" t="s">
        <v>47</v>
      </c>
      <c r="I1377" t="s">
        <v>2195</v>
      </c>
      <c r="J1377" s="10">
        <v>3</v>
      </c>
      <c r="K1377" t="b">
        <v>1</v>
      </c>
    </row>
    <row r="1378" spans="1:11">
      <c r="A1378" s="12">
        <v>41813</v>
      </c>
      <c r="B1378">
        <v>2014</v>
      </c>
      <c r="C1378">
        <v>6</v>
      </c>
      <c r="D1378" s="11">
        <v>41791</v>
      </c>
      <c r="E1378" t="s">
        <v>2178</v>
      </c>
      <c r="F1378">
        <v>1</v>
      </c>
      <c r="G1378" t="s">
        <v>61</v>
      </c>
      <c r="H1378" t="s">
        <v>40</v>
      </c>
      <c r="I1378" t="s">
        <v>2188</v>
      </c>
      <c r="J1378" s="10">
        <v>2.34</v>
      </c>
      <c r="K1378" t="b">
        <v>1</v>
      </c>
    </row>
    <row r="1379" spans="1:11">
      <c r="A1379" s="12">
        <v>41813</v>
      </c>
      <c r="B1379">
        <v>2014</v>
      </c>
      <c r="C1379">
        <v>6</v>
      </c>
      <c r="D1379" s="11">
        <v>41791</v>
      </c>
      <c r="E1379" t="s">
        <v>2178</v>
      </c>
      <c r="F1379">
        <v>1</v>
      </c>
      <c r="G1379" t="s">
        <v>61</v>
      </c>
      <c r="H1379" t="s">
        <v>41</v>
      </c>
      <c r="I1379" t="s">
        <v>2189</v>
      </c>
      <c r="J1379" s="10">
        <v>7.68</v>
      </c>
      <c r="K1379" t="b">
        <v>1</v>
      </c>
    </row>
    <row r="1380" spans="1:11">
      <c r="A1380" s="12">
        <v>41813</v>
      </c>
      <c r="B1380">
        <v>2014</v>
      </c>
      <c r="C1380">
        <v>6</v>
      </c>
      <c r="D1380" s="11">
        <v>41791</v>
      </c>
      <c r="E1380" t="s">
        <v>2178</v>
      </c>
      <c r="F1380">
        <v>1</v>
      </c>
      <c r="G1380" t="s">
        <v>61</v>
      </c>
      <c r="H1380" t="s">
        <v>42</v>
      </c>
      <c r="I1380" t="s">
        <v>2190</v>
      </c>
      <c r="J1380" s="10">
        <v>3</v>
      </c>
      <c r="K1380" t="b">
        <v>1</v>
      </c>
    </row>
    <row r="1381" spans="1:11">
      <c r="A1381" s="12">
        <v>41813</v>
      </c>
      <c r="B1381">
        <v>2014</v>
      </c>
      <c r="C1381">
        <v>6</v>
      </c>
      <c r="D1381" s="11">
        <v>41791</v>
      </c>
      <c r="E1381" t="s">
        <v>2178</v>
      </c>
      <c r="F1381">
        <v>1</v>
      </c>
      <c r="G1381" t="s">
        <v>61</v>
      </c>
      <c r="H1381" t="s">
        <v>43</v>
      </c>
      <c r="I1381" t="s">
        <v>2191</v>
      </c>
      <c r="J1381" s="10">
        <v>25.2</v>
      </c>
      <c r="K1381" t="b">
        <v>1</v>
      </c>
    </row>
    <row r="1382" spans="1:11">
      <c r="A1382" s="12">
        <v>41813</v>
      </c>
      <c r="B1382">
        <v>2014</v>
      </c>
      <c r="C1382">
        <v>6</v>
      </c>
      <c r="D1382" s="11">
        <v>41791</v>
      </c>
      <c r="E1382" t="s">
        <v>2178</v>
      </c>
      <c r="F1382">
        <v>1</v>
      </c>
      <c r="G1382" t="s">
        <v>61</v>
      </c>
      <c r="H1382" t="s">
        <v>44</v>
      </c>
      <c r="I1382" t="s">
        <v>2192</v>
      </c>
      <c r="J1382" s="10">
        <v>12</v>
      </c>
      <c r="K1382" t="b">
        <v>1</v>
      </c>
    </row>
    <row r="1383" spans="1:11">
      <c r="A1383" s="12">
        <v>41813</v>
      </c>
      <c r="B1383">
        <v>2014</v>
      </c>
      <c r="C1383">
        <v>6</v>
      </c>
      <c r="D1383" s="11">
        <v>41791</v>
      </c>
      <c r="E1383" t="s">
        <v>2178</v>
      </c>
      <c r="F1383">
        <v>1</v>
      </c>
      <c r="G1383" t="s">
        <v>61</v>
      </c>
      <c r="H1383" t="s">
        <v>45</v>
      </c>
      <c r="I1383" t="s">
        <v>2193</v>
      </c>
      <c r="J1383" s="10">
        <v>0</v>
      </c>
      <c r="K1383" t="b">
        <v>1</v>
      </c>
    </row>
    <row r="1384" spans="1:11">
      <c r="A1384" s="12">
        <v>41813</v>
      </c>
      <c r="B1384">
        <v>2014</v>
      </c>
      <c r="C1384">
        <v>6</v>
      </c>
      <c r="D1384" s="11">
        <v>41791</v>
      </c>
      <c r="E1384" t="s">
        <v>2178</v>
      </c>
      <c r="F1384">
        <v>1</v>
      </c>
      <c r="G1384" t="s">
        <v>61</v>
      </c>
      <c r="H1384" t="s">
        <v>46</v>
      </c>
      <c r="I1384" t="s">
        <v>2194</v>
      </c>
      <c r="J1384" s="10">
        <v>2</v>
      </c>
      <c r="K1384" t="b">
        <v>1</v>
      </c>
    </row>
    <row r="1385" spans="1:11">
      <c r="A1385" s="12">
        <v>41813</v>
      </c>
      <c r="B1385">
        <v>2014</v>
      </c>
      <c r="C1385">
        <v>6</v>
      </c>
      <c r="D1385" s="11">
        <v>41791</v>
      </c>
      <c r="E1385" t="s">
        <v>2178</v>
      </c>
      <c r="F1385">
        <v>1</v>
      </c>
      <c r="G1385" t="s">
        <v>61</v>
      </c>
      <c r="H1385" t="s">
        <v>47</v>
      </c>
      <c r="I1385" t="s">
        <v>2195</v>
      </c>
      <c r="J1385" s="10">
        <v>3</v>
      </c>
      <c r="K1385" t="b">
        <v>1</v>
      </c>
    </row>
    <row r="1386" spans="1:11">
      <c r="A1386" s="12">
        <v>41814</v>
      </c>
      <c r="B1386">
        <v>2014</v>
      </c>
      <c r="C1386">
        <v>6</v>
      </c>
      <c r="D1386" s="11">
        <v>41791</v>
      </c>
      <c r="E1386" t="s">
        <v>2178</v>
      </c>
      <c r="F1386">
        <v>2</v>
      </c>
      <c r="G1386" t="s">
        <v>63</v>
      </c>
      <c r="H1386" t="s">
        <v>40</v>
      </c>
      <c r="I1386" t="s">
        <v>2188</v>
      </c>
      <c r="J1386" s="10">
        <v>3</v>
      </c>
      <c r="K1386" t="b">
        <v>1</v>
      </c>
    </row>
    <row r="1387" spans="1:11">
      <c r="A1387" s="12">
        <v>41814</v>
      </c>
      <c r="B1387">
        <v>2014</v>
      </c>
      <c r="C1387">
        <v>6</v>
      </c>
      <c r="D1387" s="11">
        <v>41791</v>
      </c>
      <c r="E1387" t="s">
        <v>2178</v>
      </c>
      <c r="F1387">
        <v>2</v>
      </c>
      <c r="G1387" t="s">
        <v>63</v>
      </c>
      <c r="H1387" t="s">
        <v>41</v>
      </c>
      <c r="I1387" t="s">
        <v>2189</v>
      </c>
      <c r="J1387" s="10">
        <v>5.14</v>
      </c>
      <c r="K1387" t="b">
        <v>1</v>
      </c>
    </row>
    <row r="1388" spans="1:11">
      <c r="A1388" s="12">
        <v>41814</v>
      </c>
      <c r="B1388">
        <v>2014</v>
      </c>
      <c r="C1388">
        <v>6</v>
      </c>
      <c r="D1388" s="11">
        <v>41791</v>
      </c>
      <c r="E1388" t="s">
        <v>2178</v>
      </c>
      <c r="F1388">
        <v>2</v>
      </c>
      <c r="G1388" t="s">
        <v>63</v>
      </c>
      <c r="H1388" t="s">
        <v>42</v>
      </c>
      <c r="I1388" t="s">
        <v>2190</v>
      </c>
      <c r="J1388" s="10">
        <v>4</v>
      </c>
      <c r="K1388" t="b">
        <v>1</v>
      </c>
    </row>
    <row r="1389" spans="1:11">
      <c r="A1389" s="12">
        <v>41814</v>
      </c>
      <c r="B1389">
        <v>2014</v>
      </c>
      <c r="C1389">
        <v>6</v>
      </c>
      <c r="D1389" s="11">
        <v>41791</v>
      </c>
      <c r="E1389" t="s">
        <v>2178</v>
      </c>
      <c r="F1389">
        <v>2</v>
      </c>
      <c r="G1389" t="s">
        <v>63</v>
      </c>
      <c r="H1389" t="s">
        <v>43</v>
      </c>
      <c r="I1389" t="s">
        <v>2191</v>
      </c>
      <c r="J1389" s="10">
        <v>16.2</v>
      </c>
      <c r="K1389" t="b">
        <v>1</v>
      </c>
    </row>
    <row r="1390" spans="1:11">
      <c r="A1390" s="12">
        <v>41814</v>
      </c>
      <c r="B1390">
        <v>2014</v>
      </c>
      <c r="C1390">
        <v>6</v>
      </c>
      <c r="D1390" s="11">
        <v>41791</v>
      </c>
      <c r="E1390" t="s">
        <v>2178</v>
      </c>
      <c r="F1390">
        <v>2</v>
      </c>
      <c r="G1390" t="s">
        <v>63</v>
      </c>
      <c r="H1390" t="s">
        <v>44</v>
      </c>
      <c r="I1390" t="s">
        <v>2192</v>
      </c>
      <c r="J1390" s="10">
        <v>23</v>
      </c>
      <c r="K1390" t="b">
        <v>1</v>
      </c>
    </row>
    <row r="1391" spans="1:11">
      <c r="A1391" s="12">
        <v>41814</v>
      </c>
      <c r="B1391">
        <v>2014</v>
      </c>
      <c r="C1391">
        <v>6</v>
      </c>
      <c r="D1391" s="11">
        <v>41791</v>
      </c>
      <c r="E1391" t="s">
        <v>2178</v>
      </c>
      <c r="F1391">
        <v>2</v>
      </c>
      <c r="G1391" t="s">
        <v>63</v>
      </c>
      <c r="H1391" t="s">
        <v>45</v>
      </c>
      <c r="I1391" t="s">
        <v>2193</v>
      </c>
      <c r="J1391" s="10">
        <v>0</v>
      </c>
      <c r="K1391" t="b">
        <v>1</v>
      </c>
    </row>
    <row r="1392" spans="1:11">
      <c r="A1392" s="12">
        <v>41814</v>
      </c>
      <c r="B1392">
        <v>2014</v>
      </c>
      <c r="C1392">
        <v>6</v>
      </c>
      <c r="D1392" s="11">
        <v>41791</v>
      </c>
      <c r="E1392" t="s">
        <v>2178</v>
      </c>
      <c r="F1392">
        <v>2</v>
      </c>
      <c r="G1392" t="s">
        <v>63</v>
      </c>
      <c r="H1392" t="s">
        <v>46</v>
      </c>
      <c r="I1392" t="s">
        <v>2194</v>
      </c>
      <c r="J1392" s="10">
        <v>2</v>
      </c>
      <c r="K1392" t="b">
        <v>1</v>
      </c>
    </row>
    <row r="1393" spans="1:11">
      <c r="A1393" s="12">
        <v>41814</v>
      </c>
      <c r="B1393">
        <v>2014</v>
      </c>
      <c r="C1393">
        <v>6</v>
      </c>
      <c r="D1393" s="11">
        <v>41791</v>
      </c>
      <c r="E1393" t="s">
        <v>2178</v>
      </c>
      <c r="F1393">
        <v>2</v>
      </c>
      <c r="G1393" t="s">
        <v>63</v>
      </c>
      <c r="H1393" t="s">
        <v>47</v>
      </c>
      <c r="I1393" t="s">
        <v>2195</v>
      </c>
      <c r="J1393" s="10">
        <v>4</v>
      </c>
      <c r="K1393" t="b">
        <v>1</v>
      </c>
    </row>
    <row r="1394" spans="1:11">
      <c r="A1394" s="12">
        <v>41815</v>
      </c>
      <c r="B1394">
        <v>2014</v>
      </c>
      <c r="C1394">
        <v>6</v>
      </c>
      <c r="D1394" s="11">
        <v>41791</v>
      </c>
      <c r="E1394" t="s">
        <v>2178</v>
      </c>
      <c r="F1394">
        <v>3</v>
      </c>
      <c r="G1394" t="s">
        <v>65</v>
      </c>
      <c r="H1394" t="s">
        <v>40</v>
      </c>
      <c r="I1394" t="s">
        <v>2188</v>
      </c>
      <c r="J1394" s="10">
        <v>8</v>
      </c>
      <c r="K1394" t="b">
        <v>1</v>
      </c>
    </row>
    <row r="1395" spans="1:11">
      <c r="A1395" s="12">
        <v>41815</v>
      </c>
      <c r="B1395">
        <v>2014</v>
      </c>
      <c r="C1395">
        <v>6</v>
      </c>
      <c r="D1395" s="11">
        <v>41791</v>
      </c>
      <c r="E1395" t="s">
        <v>2178</v>
      </c>
      <c r="F1395">
        <v>3</v>
      </c>
      <c r="G1395" t="s">
        <v>65</v>
      </c>
      <c r="H1395" t="s">
        <v>41</v>
      </c>
      <c r="I1395" t="s">
        <v>2189</v>
      </c>
      <c r="J1395" s="10">
        <v>5.34</v>
      </c>
      <c r="K1395" t="b">
        <v>1</v>
      </c>
    </row>
    <row r="1396" spans="1:11">
      <c r="A1396" s="12">
        <v>41815</v>
      </c>
      <c r="B1396">
        <v>2014</v>
      </c>
      <c r="C1396">
        <v>6</v>
      </c>
      <c r="D1396" s="11">
        <v>41791</v>
      </c>
      <c r="E1396" t="s">
        <v>2178</v>
      </c>
      <c r="F1396">
        <v>3</v>
      </c>
      <c r="G1396" t="s">
        <v>65</v>
      </c>
      <c r="H1396" t="s">
        <v>42</v>
      </c>
      <c r="I1396" t="s">
        <v>2190</v>
      </c>
      <c r="J1396" s="10">
        <v>7</v>
      </c>
      <c r="K1396" t="b">
        <v>1</v>
      </c>
    </row>
    <row r="1397" spans="1:11">
      <c r="A1397" s="12">
        <v>41815</v>
      </c>
      <c r="B1397">
        <v>2014</v>
      </c>
      <c r="C1397">
        <v>6</v>
      </c>
      <c r="D1397" s="11">
        <v>41791</v>
      </c>
      <c r="E1397" t="s">
        <v>2178</v>
      </c>
      <c r="F1397">
        <v>3</v>
      </c>
      <c r="G1397" t="s">
        <v>65</v>
      </c>
      <c r="H1397" t="s">
        <v>43</v>
      </c>
      <c r="I1397" t="s">
        <v>2191</v>
      </c>
      <c r="J1397" s="10">
        <v>33.8</v>
      </c>
      <c r="K1397" t="b">
        <v>1</v>
      </c>
    </row>
    <row r="1398" spans="1:11">
      <c r="A1398" s="12">
        <v>41815</v>
      </c>
      <c r="B1398">
        <v>2014</v>
      </c>
      <c r="C1398">
        <v>6</v>
      </c>
      <c r="D1398" s="11">
        <v>41791</v>
      </c>
      <c r="E1398" t="s">
        <v>2178</v>
      </c>
      <c r="F1398">
        <v>3</v>
      </c>
      <c r="G1398" t="s">
        <v>65</v>
      </c>
      <c r="H1398" t="s">
        <v>44</v>
      </c>
      <c r="I1398" t="s">
        <v>2192</v>
      </c>
      <c r="J1398" s="10">
        <v>19</v>
      </c>
      <c r="K1398" t="b">
        <v>1</v>
      </c>
    </row>
    <row r="1399" spans="1:11">
      <c r="A1399" s="12">
        <v>41815</v>
      </c>
      <c r="B1399">
        <v>2014</v>
      </c>
      <c r="C1399">
        <v>6</v>
      </c>
      <c r="D1399" s="11">
        <v>41791</v>
      </c>
      <c r="E1399" t="s">
        <v>2178</v>
      </c>
      <c r="F1399">
        <v>3</v>
      </c>
      <c r="G1399" t="s">
        <v>65</v>
      </c>
      <c r="H1399" t="s">
        <v>45</v>
      </c>
      <c r="I1399" t="s">
        <v>2193</v>
      </c>
      <c r="J1399" s="10">
        <v>0</v>
      </c>
      <c r="K1399" t="b">
        <v>1</v>
      </c>
    </row>
    <row r="1400" spans="1:11">
      <c r="A1400" s="12">
        <v>41815</v>
      </c>
      <c r="B1400">
        <v>2014</v>
      </c>
      <c r="C1400">
        <v>6</v>
      </c>
      <c r="D1400" s="11">
        <v>41791</v>
      </c>
      <c r="E1400" t="s">
        <v>2178</v>
      </c>
      <c r="F1400">
        <v>3</v>
      </c>
      <c r="G1400" t="s">
        <v>65</v>
      </c>
      <c r="H1400" t="s">
        <v>46</v>
      </c>
      <c r="I1400" t="s">
        <v>2194</v>
      </c>
      <c r="J1400" s="10">
        <v>0</v>
      </c>
      <c r="K1400" t="b">
        <v>1</v>
      </c>
    </row>
    <row r="1401" spans="1:11">
      <c r="A1401" s="12">
        <v>41815</v>
      </c>
      <c r="B1401">
        <v>2014</v>
      </c>
      <c r="C1401">
        <v>6</v>
      </c>
      <c r="D1401" s="11">
        <v>41791</v>
      </c>
      <c r="E1401" t="s">
        <v>2178</v>
      </c>
      <c r="F1401">
        <v>3</v>
      </c>
      <c r="G1401" t="s">
        <v>65</v>
      </c>
      <c r="H1401" t="s">
        <v>47</v>
      </c>
      <c r="I1401" t="s">
        <v>2195</v>
      </c>
      <c r="J1401" s="10">
        <v>1</v>
      </c>
      <c r="K1401" t="b">
        <v>1</v>
      </c>
    </row>
    <row r="1402" spans="1:11">
      <c r="A1402" s="12">
        <v>41816</v>
      </c>
      <c r="B1402">
        <v>2014</v>
      </c>
      <c r="C1402">
        <v>6</v>
      </c>
      <c r="D1402" s="11">
        <v>41791</v>
      </c>
      <c r="E1402" t="s">
        <v>2178</v>
      </c>
      <c r="F1402">
        <v>4</v>
      </c>
      <c r="G1402" t="s">
        <v>53</v>
      </c>
      <c r="H1402" t="s">
        <v>40</v>
      </c>
      <c r="I1402" t="s">
        <v>2188</v>
      </c>
      <c r="J1402" s="10">
        <v>3</v>
      </c>
      <c r="K1402" t="b">
        <v>1</v>
      </c>
    </row>
    <row r="1403" spans="1:11">
      <c r="A1403" s="12">
        <v>41816</v>
      </c>
      <c r="B1403">
        <v>2014</v>
      </c>
      <c r="C1403">
        <v>6</v>
      </c>
      <c r="D1403" s="11">
        <v>41791</v>
      </c>
      <c r="E1403" t="s">
        <v>2178</v>
      </c>
      <c r="F1403">
        <v>4</v>
      </c>
      <c r="G1403" t="s">
        <v>53</v>
      </c>
      <c r="H1403" t="s">
        <v>41</v>
      </c>
      <c r="I1403" t="s">
        <v>2189</v>
      </c>
      <c r="J1403" s="10">
        <v>2</v>
      </c>
      <c r="K1403" t="b">
        <v>1</v>
      </c>
    </row>
    <row r="1404" spans="1:11">
      <c r="A1404" s="12">
        <v>41816</v>
      </c>
      <c r="B1404">
        <v>2014</v>
      </c>
      <c r="C1404">
        <v>6</v>
      </c>
      <c r="D1404" s="11">
        <v>41791</v>
      </c>
      <c r="E1404" t="s">
        <v>2178</v>
      </c>
      <c r="F1404">
        <v>4</v>
      </c>
      <c r="G1404" t="s">
        <v>53</v>
      </c>
      <c r="H1404" t="s">
        <v>42</v>
      </c>
      <c r="I1404" t="s">
        <v>2190</v>
      </c>
      <c r="J1404" s="10">
        <v>11.3</v>
      </c>
      <c r="K1404" t="b">
        <v>1</v>
      </c>
    </row>
    <row r="1405" spans="1:11">
      <c r="A1405" s="12">
        <v>41816</v>
      </c>
      <c r="B1405">
        <v>2014</v>
      </c>
      <c r="C1405">
        <v>6</v>
      </c>
      <c r="D1405" s="11">
        <v>41791</v>
      </c>
      <c r="E1405" t="s">
        <v>2178</v>
      </c>
      <c r="F1405">
        <v>4</v>
      </c>
      <c r="G1405" t="s">
        <v>53</v>
      </c>
      <c r="H1405" t="s">
        <v>43</v>
      </c>
      <c r="I1405" t="s">
        <v>2191</v>
      </c>
      <c r="J1405" s="10">
        <v>19.3</v>
      </c>
      <c r="K1405" t="b">
        <v>1</v>
      </c>
    </row>
    <row r="1406" spans="1:11">
      <c r="A1406" s="12">
        <v>41816</v>
      </c>
      <c r="B1406">
        <v>2014</v>
      </c>
      <c r="C1406">
        <v>6</v>
      </c>
      <c r="D1406" s="11">
        <v>41791</v>
      </c>
      <c r="E1406" t="s">
        <v>2178</v>
      </c>
      <c r="F1406">
        <v>4</v>
      </c>
      <c r="G1406" t="s">
        <v>53</v>
      </c>
      <c r="H1406" t="s">
        <v>44</v>
      </c>
      <c r="I1406" t="s">
        <v>2192</v>
      </c>
      <c r="J1406" s="10">
        <v>14</v>
      </c>
      <c r="K1406" t="b">
        <v>1</v>
      </c>
    </row>
    <row r="1407" spans="1:11">
      <c r="A1407" s="12">
        <v>41816</v>
      </c>
      <c r="B1407">
        <v>2014</v>
      </c>
      <c r="C1407">
        <v>6</v>
      </c>
      <c r="D1407" s="11">
        <v>41791</v>
      </c>
      <c r="E1407" t="s">
        <v>2178</v>
      </c>
      <c r="F1407">
        <v>4</v>
      </c>
      <c r="G1407" t="s">
        <v>53</v>
      </c>
      <c r="H1407" t="s">
        <v>45</v>
      </c>
      <c r="I1407" t="s">
        <v>2193</v>
      </c>
      <c r="J1407" s="10">
        <v>0</v>
      </c>
      <c r="K1407" t="b">
        <v>1</v>
      </c>
    </row>
    <row r="1408" spans="1:11">
      <c r="A1408" s="12">
        <v>41816</v>
      </c>
      <c r="B1408">
        <v>2014</v>
      </c>
      <c r="C1408">
        <v>6</v>
      </c>
      <c r="D1408" s="11">
        <v>41791</v>
      </c>
      <c r="E1408" t="s">
        <v>2178</v>
      </c>
      <c r="F1408">
        <v>4</v>
      </c>
      <c r="G1408" t="s">
        <v>53</v>
      </c>
      <c r="H1408" t="s">
        <v>46</v>
      </c>
      <c r="I1408" t="s">
        <v>2194</v>
      </c>
      <c r="J1408" s="10">
        <v>0</v>
      </c>
      <c r="K1408" t="b">
        <v>1</v>
      </c>
    </row>
    <row r="1409" spans="1:11">
      <c r="A1409" s="12">
        <v>41816</v>
      </c>
      <c r="B1409">
        <v>2014</v>
      </c>
      <c r="C1409">
        <v>6</v>
      </c>
      <c r="D1409" s="11">
        <v>41791</v>
      </c>
      <c r="E1409" t="s">
        <v>2178</v>
      </c>
      <c r="F1409">
        <v>4</v>
      </c>
      <c r="G1409" t="s">
        <v>53</v>
      </c>
      <c r="H1409" t="s">
        <v>47</v>
      </c>
      <c r="I1409" t="s">
        <v>2195</v>
      </c>
      <c r="J1409" s="10">
        <v>1</v>
      </c>
      <c r="K1409" t="b">
        <v>1</v>
      </c>
    </row>
    <row r="1410" spans="1:11">
      <c r="A1410" s="12">
        <v>41817</v>
      </c>
      <c r="B1410">
        <v>2014</v>
      </c>
      <c r="C1410">
        <v>6</v>
      </c>
      <c r="D1410" s="11">
        <v>41791</v>
      </c>
      <c r="E1410" t="s">
        <v>2178</v>
      </c>
      <c r="F1410">
        <v>5</v>
      </c>
      <c r="G1410" t="s">
        <v>55</v>
      </c>
      <c r="H1410" t="s">
        <v>40</v>
      </c>
      <c r="I1410" t="s">
        <v>2188</v>
      </c>
      <c r="J1410" s="10">
        <v>4.34</v>
      </c>
      <c r="K1410" t="b">
        <v>1</v>
      </c>
    </row>
    <row r="1411" spans="1:11">
      <c r="A1411" s="12">
        <v>41817</v>
      </c>
      <c r="B1411">
        <v>2014</v>
      </c>
      <c r="C1411">
        <v>6</v>
      </c>
      <c r="D1411" s="11">
        <v>41791</v>
      </c>
      <c r="E1411" t="s">
        <v>2178</v>
      </c>
      <c r="F1411">
        <v>5</v>
      </c>
      <c r="G1411" t="s">
        <v>55</v>
      </c>
      <c r="H1411" t="s">
        <v>41</v>
      </c>
      <c r="I1411" t="s">
        <v>2189</v>
      </c>
      <c r="J1411" s="10">
        <v>1</v>
      </c>
      <c r="K1411" t="b">
        <v>1</v>
      </c>
    </row>
    <row r="1412" spans="1:11">
      <c r="A1412" s="12">
        <v>41817</v>
      </c>
      <c r="B1412">
        <v>2014</v>
      </c>
      <c r="C1412">
        <v>6</v>
      </c>
      <c r="D1412" s="11">
        <v>41791</v>
      </c>
      <c r="E1412" t="s">
        <v>2178</v>
      </c>
      <c r="F1412">
        <v>5</v>
      </c>
      <c r="G1412" t="s">
        <v>55</v>
      </c>
      <c r="H1412" t="s">
        <v>42</v>
      </c>
      <c r="I1412" t="s">
        <v>2190</v>
      </c>
      <c r="J1412" s="10">
        <v>6</v>
      </c>
      <c r="K1412" t="b">
        <v>1</v>
      </c>
    </row>
    <row r="1413" spans="1:11">
      <c r="A1413" s="12">
        <v>41817</v>
      </c>
      <c r="B1413">
        <v>2014</v>
      </c>
      <c r="C1413">
        <v>6</v>
      </c>
      <c r="D1413" s="11">
        <v>41791</v>
      </c>
      <c r="E1413" t="s">
        <v>2178</v>
      </c>
      <c r="F1413">
        <v>5</v>
      </c>
      <c r="G1413" t="s">
        <v>55</v>
      </c>
      <c r="H1413" t="s">
        <v>43</v>
      </c>
      <c r="I1413" t="s">
        <v>2191</v>
      </c>
      <c r="J1413" s="10">
        <v>32.3</v>
      </c>
      <c r="K1413" t="b">
        <v>1</v>
      </c>
    </row>
    <row r="1414" spans="1:11">
      <c r="A1414" s="12">
        <v>41817</v>
      </c>
      <c r="B1414">
        <v>2014</v>
      </c>
      <c r="C1414">
        <v>6</v>
      </c>
      <c r="D1414" s="11">
        <v>41791</v>
      </c>
      <c r="E1414" t="s">
        <v>2178</v>
      </c>
      <c r="F1414">
        <v>5</v>
      </c>
      <c r="G1414" t="s">
        <v>55</v>
      </c>
      <c r="H1414" t="s">
        <v>44</v>
      </c>
      <c r="I1414" t="s">
        <v>2192</v>
      </c>
      <c r="J1414" s="10">
        <v>13</v>
      </c>
      <c r="K1414" t="b">
        <v>1</v>
      </c>
    </row>
    <row r="1415" spans="1:11">
      <c r="A1415" s="12">
        <v>41817</v>
      </c>
      <c r="B1415">
        <v>2014</v>
      </c>
      <c r="C1415">
        <v>6</v>
      </c>
      <c r="D1415" s="11">
        <v>41791</v>
      </c>
      <c r="E1415" t="s">
        <v>2178</v>
      </c>
      <c r="F1415">
        <v>5</v>
      </c>
      <c r="G1415" t="s">
        <v>55</v>
      </c>
      <c r="H1415" t="s">
        <v>45</v>
      </c>
      <c r="I1415" t="s">
        <v>2193</v>
      </c>
      <c r="J1415" s="10">
        <v>0</v>
      </c>
      <c r="K1415" t="b">
        <v>1</v>
      </c>
    </row>
    <row r="1416" spans="1:11">
      <c r="A1416" s="12">
        <v>41817</v>
      </c>
      <c r="B1416">
        <v>2014</v>
      </c>
      <c r="C1416">
        <v>6</v>
      </c>
      <c r="D1416" s="11">
        <v>41791</v>
      </c>
      <c r="E1416" t="s">
        <v>2178</v>
      </c>
      <c r="F1416">
        <v>5</v>
      </c>
      <c r="G1416" t="s">
        <v>55</v>
      </c>
      <c r="H1416" t="s">
        <v>46</v>
      </c>
      <c r="I1416" t="s">
        <v>2194</v>
      </c>
      <c r="J1416" s="10">
        <v>1</v>
      </c>
      <c r="K1416" t="b">
        <v>1</v>
      </c>
    </row>
    <row r="1417" spans="1:11">
      <c r="A1417" s="12">
        <v>41817</v>
      </c>
      <c r="B1417">
        <v>2014</v>
      </c>
      <c r="C1417">
        <v>6</v>
      </c>
      <c r="D1417" s="11">
        <v>41791</v>
      </c>
      <c r="E1417" t="s">
        <v>2178</v>
      </c>
      <c r="F1417">
        <v>5</v>
      </c>
      <c r="G1417" t="s">
        <v>55</v>
      </c>
      <c r="H1417" t="s">
        <v>47</v>
      </c>
      <c r="I1417" t="s">
        <v>2195</v>
      </c>
      <c r="J1417" s="10">
        <v>3</v>
      </c>
      <c r="K1417" t="b">
        <v>1</v>
      </c>
    </row>
    <row r="1418" spans="1:11">
      <c r="A1418" s="12">
        <v>41818</v>
      </c>
      <c r="B1418">
        <v>2014</v>
      </c>
      <c r="C1418">
        <v>6</v>
      </c>
      <c r="D1418" s="11">
        <v>41791</v>
      </c>
      <c r="E1418" t="s">
        <v>2178</v>
      </c>
      <c r="F1418">
        <v>6</v>
      </c>
      <c r="G1418" t="s">
        <v>57</v>
      </c>
      <c r="H1418" t="s">
        <v>40</v>
      </c>
      <c r="I1418" t="s">
        <v>2188</v>
      </c>
      <c r="J1418" s="10">
        <v>0.34</v>
      </c>
      <c r="K1418" t="b">
        <v>1</v>
      </c>
    </row>
    <row r="1419" spans="1:11">
      <c r="A1419" s="12">
        <v>41818</v>
      </c>
      <c r="B1419">
        <v>2014</v>
      </c>
      <c r="C1419">
        <v>6</v>
      </c>
      <c r="D1419" s="11">
        <v>41791</v>
      </c>
      <c r="E1419" t="s">
        <v>2178</v>
      </c>
      <c r="F1419">
        <v>6</v>
      </c>
      <c r="G1419" t="s">
        <v>57</v>
      </c>
      <c r="H1419" t="s">
        <v>41</v>
      </c>
      <c r="I1419" t="s">
        <v>2189</v>
      </c>
      <c r="J1419" s="10">
        <v>5.34</v>
      </c>
      <c r="K1419" t="b">
        <v>1</v>
      </c>
    </row>
    <row r="1420" spans="1:11">
      <c r="A1420" s="12">
        <v>41818</v>
      </c>
      <c r="B1420">
        <v>2014</v>
      </c>
      <c r="C1420">
        <v>6</v>
      </c>
      <c r="D1420" s="11">
        <v>41791</v>
      </c>
      <c r="E1420" t="s">
        <v>2178</v>
      </c>
      <c r="F1420">
        <v>6</v>
      </c>
      <c r="G1420" t="s">
        <v>57</v>
      </c>
      <c r="H1420" t="s">
        <v>42</v>
      </c>
      <c r="I1420" t="s">
        <v>2190</v>
      </c>
      <c r="J1420" s="10">
        <v>5</v>
      </c>
      <c r="K1420" t="b">
        <v>1</v>
      </c>
    </row>
    <row r="1421" spans="1:11">
      <c r="A1421" s="12">
        <v>41818</v>
      </c>
      <c r="B1421">
        <v>2014</v>
      </c>
      <c r="C1421">
        <v>6</v>
      </c>
      <c r="D1421" s="11">
        <v>41791</v>
      </c>
      <c r="E1421" t="s">
        <v>2178</v>
      </c>
      <c r="F1421">
        <v>6</v>
      </c>
      <c r="G1421" t="s">
        <v>57</v>
      </c>
      <c r="H1421" t="s">
        <v>43</v>
      </c>
      <c r="I1421" t="s">
        <v>2191</v>
      </c>
      <c r="J1421" s="10">
        <v>20</v>
      </c>
      <c r="K1421" t="b">
        <v>1</v>
      </c>
    </row>
    <row r="1422" spans="1:11">
      <c r="A1422" s="12">
        <v>41818</v>
      </c>
      <c r="B1422">
        <v>2014</v>
      </c>
      <c r="C1422">
        <v>6</v>
      </c>
      <c r="D1422" s="11">
        <v>41791</v>
      </c>
      <c r="E1422" t="s">
        <v>2178</v>
      </c>
      <c r="F1422">
        <v>6</v>
      </c>
      <c r="G1422" t="s">
        <v>57</v>
      </c>
      <c r="H1422" t="s">
        <v>44</v>
      </c>
      <c r="I1422" t="s">
        <v>2192</v>
      </c>
      <c r="J1422" s="10">
        <v>14</v>
      </c>
      <c r="K1422" t="b">
        <v>1</v>
      </c>
    </row>
    <row r="1423" spans="1:11">
      <c r="A1423" s="12">
        <v>41818</v>
      </c>
      <c r="B1423">
        <v>2014</v>
      </c>
      <c r="C1423">
        <v>6</v>
      </c>
      <c r="D1423" s="11">
        <v>41791</v>
      </c>
      <c r="E1423" t="s">
        <v>2178</v>
      </c>
      <c r="F1423">
        <v>6</v>
      </c>
      <c r="G1423" t="s">
        <v>57</v>
      </c>
      <c r="H1423" t="s">
        <v>45</v>
      </c>
      <c r="I1423" t="s">
        <v>2193</v>
      </c>
      <c r="J1423" s="10">
        <v>1</v>
      </c>
      <c r="K1423" t="b">
        <v>1</v>
      </c>
    </row>
    <row r="1424" spans="1:11">
      <c r="A1424" s="12">
        <v>41818</v>
      </c>
      <c r="B1424">
        <v>2014</v>
      </c>
      <c r="C1424">
        <v>6</v>
      </c>
      <c r="D1424" s="11">
        <v>41791</v>
      </c>
      <c r="E1424" t="s">
        <v>2178</v>
      </c>
      <c r="F1424">
        <v>6</v>
      </c>
      <c r="G1424" t="s">
        <v>57</v>
      </c>
      <c r="H1424" t="s">
        <v>46</v>
      </c>
      <c r="I1424" t="s">
        <v>2194</v>
      </c>
      <c r="J1424" s="10">
        <v>1</v>
      </c>
      <c r="K1424" t="b">
        <v>1</v>
      </c>
    </row>
    <row r="1425" spans="1:11">
      <c r="A1425" s="12">
        <v>41818</v>
      </c>
      <c r="B1425">
        <v>2014</v>
      </c>
      <c r="C1425">
        <v>6</v>
      </c>
      <c r="D1425" s="11">
        <v>41791</v>
      </c>
      <c r="E1425" t="s">
        <v>2178</v>
      </c>
      <c r="F1425">
        <v>6</v>
      </c>
      <c r="G1425" t="s">
        <v>57</v>
      </c>
      <c r="H1425" t="s">
        <v>47</v>
      </c>
      <c r="I1425" t="s">
        <v>2195</v>
      </c>
      <c r="J1425" s="10">
        <v>5</v>
      </c>
      <c r="K1425" t="b">
        <v>1</v>
      </c>
    </row>
    <row r="1426" spans="1:11">
      <c r="A1426" s="12">
        <v>41819</v>
      </c>
      <c r="B1426">
        <v>2014</v>
      </c>
      <c r="C1426">
        <v>6</v>
      </c>
      <c r="D1426" s="11">
        <v>41791</v>
      </c>
      <c r="E1426" t="s">
        <v>2178</v>
      </c>
      <c r="F1426">
        <v>7</v>
      </c>
      <c r="G1426" t="s">
        <v>59</v>
      </c>
      <c r="H1426" t="s">
        <v>40</v>
      </c>
      <c r="I1426" t="s">
        <v>2188</v>
      </c>
      <c r="J1426" s="10">
        <v>0</v>
      </c>
      <c r="K1426" t="b">
        <v>1</v>
      </c>
    </row>
    <row r="1427" spans="1:11">
      <c r="A1427" s="12">
        <v>41819</v>
      </c>
      <c r="B1427">
        <v>2014</v>
      </c>
      <c r="C1427">
        <v>6</v>
      </c>
      <c r="D1427" s="11">
        <v>41791</v>
      </c>
      <c r="E1427" t="s">
        <v>2178</v>
      </c>
      <c r="F1427">
        <v>7</v>
      </c>
      <c r="G1427" t="s">
        <v>59</v>
      </c>
      <c r="H1427" t="s">
        <v>41</v>
      </c>
      <c r="I1427" t="s">
        <v>2189</v>
      </c>
      <c r="J1427" s="10">
        <v>1</v>
      </c>
      <c r="K1427" t="b">
        <v>1</v>
      </c>
    </row>
    <row r="1428" spans="1:11">
      <c r="A1428" s="12">
        <v>41819</v>
      </c>
      <c r="B1428">
        <v>2014</v>
      </c>
      <c r="C1428">
        <v>6</v>
      </c>
      <c r="D1428" s="11">
        <v>41791</v>
      </c>
      <c r="E1428" t="s">
        <v>2178</v>
      </c>
      <c r="F1428">
        <v>7</v>
      </c>
      <c r="G1428" t="s">
        <v>59</v>
      </c>
      <c r="H1428" t="s">
        <v>42</v>
      </c>
      <c r="I1428" t="s">
        <v>2190</v>
      </c>
      <c r="J1428" s="10">
        <v>1</v>
      </c>
      <c r="K1428" t="b">
        <v>1</v>
      </c>
    </row>
    <row r="1429" spans="1:11">
      <c r="A1429" s="12">
        <v>41819</v>
      </c>
      <c r="B1429">
        <v>2014</v>
      </c>
      <c r="C1429">
        <v>6</v>
      </c>
      <c r="D1429" s="11">
        <v>41791</v>
      </c>
      <c r="E1429" t="s">
        <v>2178</v>
      </c>
      <c r="F1429">
        <v>7</v>
      </c>
      <c r="G1429" t="s">
        <v>59</v>
      </c>
      <c r="H1429" t="s">
        <v>43</v>
      </c>
      <c r="I1429" t="s">
        <v>2191</v>
      </c>
      <c r="J1429" s="10">
        <v>10</v>
      </c>
      <c r="K1429" t="b">
        <v>1</v>
      </c>
    </row>
    <row r="1430" spans="1:11">
      <c r="A1430" s="12">
        <v>41819</v>
      </c>
      <c r="B1430">
        <v>2014</v>
      </c>
      <c r="C1430">
        <v>6</v>
      </c>
      <c r="D1430" s="11">
        <v>41791</v>
      </c>
      <c r="E1430" t="s">
        <v>2178</v>
      </c>
      <c r="F1430">
        <v>7</v>
      </c>
      <c r="G1430" t="s">
        <v>59</v>
      </c>
      <c r="H1430" t="s">
        <v>44</v>
      </c>
      <c r="I1430" t="s">
        <v>2192</v>
      </c>
      <c r="J1430" s="10">
        <v>1</v>
      </c>
      <c r="K1430" t="b">
        <v>1</v>
      </c>
    </row>
    <row r="1431" spans="1:11">
      <c r="A1431" s="12">
        <v>41819</v>
      </c>
      <c r="B1431">
        <v>2014</v>
      </c>
      <c r="C1431">
        <v>6</v>
      </c>
      <c r="D1431" s="11">
        <v>41791</v>
      </c>
      <c r="E1431" t="s">
        <v>2178</v>
      </c>
      <c r="F1431">
        <v>7</v>
      </c>
      <c r="G1431" t="s">
        <v>59</v>
      </c>
      <c r="H1431" t="s">
        <v>45</v>
      </c>
      <c r="I1431" t="s">
        <v>2193</v>
      </c>
      <c r="J1431" s="10">
        <v>0</v>
      </c>
      <c r="K1431" t="b">
        <v>1</v>
      </c>
    </row>
    <row r="1432" spans="1:11">
      <c r="A1432" s="12">
        <v>41819</v>
      </c>
      <c r="B1432">
        <v>2014</v>
      </c>
      <c r="C1432">
        <v>6</v>
      </c>
      <c r="D1432" s="11">
        <v>41791</v>
      </c>
      <c r="E1432" t="s">
        <v>2178</v>
      </c>
      <c r="F1432">
        <v>7</v>
      </c>
      <c r="G1432" t="s">
        <v>59</v>
      </c>
      <c r="H1432" t="s">
        <v>46</v>
      </c>
      <c r="I1432" t="s">
        <v>2194</v>
      </c>
      <c r="J1432" s="10">
        <v>0</v>
      </c>
      <c r="K1432" t="b">
        <v>1</v>
      </c>
    </row>
    <row r="1433" spans="1:11">
      <c r="A1433" s="12">
        <v>41819</v>
      </c>
      <c r="B1433">
        <v>2014</v>
      </c>
      <c r="C1433">
        <v>6</v>
      </c>
      <c r="D1433" s="11">
        <v>41791</v>
      </c>
      <c r="E1433" t="s">
        <v>2178</v>
      </c>
      <c r="F1433">
        <v>7</v>
      </c>
      <c r="G1433" t="s">
        <v>59</v>
      </c>
      <c r="H1433" t="s">
        <v>47</v>
      </c>
      <c r="I1433" t="s">
        <v>2195</v>
      </c>
      <c r="J1433" s="10">
        <v>1</v>
      </c>
      <c r="K1433" t="b">
        <v>1</v>
      </c>
    </row>
    <row r="1434" spans="1:11">
      <c r="A1434" s="12">
        <v>41820</v>
      </c>
      <c r="B1434">
        <v>2014</v>
      </c>
      <c r="C1434">
        <v>6</v>
      </c>
      <c r="D1434" s="11">
        <v>41791</v>
      </c>
      <c r="E1434" t="s">
        <v>2178</v>
      </c>
      <c r="F1434">
        <v>1</v>
      </c>
      <c r="G1434" t="s">
        <v>61</v>
      </c>
      <c r="H1434" t="s">
        <v>40</v>
      </c>
      <c r="I1434" t="s">
        <v>2188</v>
      </c>
      <c r="J1434" s="10">
        <v>6</v>
      </c>
      <c r="K1434" t="b">
        <v>1</v>
      </c>
    </row>
    <row r="1435" spans="1:11">
      <c r="A1435" s="12">
        <v>41820</v>
      </c>
      <c r="B1435">
        <v>2014</v>
      </c>
      <c r="C1435">
        <v>6</v>
      </c>
      <c r="D1435" s="11">
        <v>41791</v>
      </c>
      <c r="E1435" t="s">
        <v>2178</v>
      </c>
      <c r="F1435">
        <v>1</v>
      </c>
      <c r="G1435" t="s">
        <v>61</v>
      </c>
      <c r="H1435" t="s">
        <v>41</v>
      </c>
      <c r="I1435" t="s">
        <v>2189</v>
      </c>
      <c r="J1435" s="10">
        <v>5.34</v>
      </c>
      <c r="K1435" t="b">
        <v>1</v>
      </c>
    </row>
    <row r="1436" spans="1:11">
      <c r="A1436" s="12">
        <v>41820</v>
      </c>
      <c r="B1436">
        <v>2014</v>
      </c>
      <c r="C1436">
        <v>6</v>
      </c>
      <c r="D1436" s="11">
        <v>41791</v>
      </c>
      <c r="E1436" t="s">
        <v>2178</v>
      </c>
      <c r="F1436">
        <v>1</v>
      </c>
      <c r="G1436" t="s">
        <v>61</v>
      </c>
      <c r="H1436" t="s">
        <v>42</v>
      </c>
      <c r="I1436" t="s">
        <v>2190</v>
      </c>
      <c r="J1436" s="10">
        <v>1</v>
      </c>
      <c r="K1436" t="b">
        <v>1</v>
      </c>
    </row>
    <row r="1437" spans="1:11">
      <c r="A1437" s="12">
        <v>41820</v>
      </c>
      <c r="B1437">
        <v>2014</v>
      </c>
      <c r="C1437">
        <v>6</v>
      </c>
      <c r="D1437" s="11">
        <v>41791</v>
      </c>
      <c r="E1437" t="s">
        <v>2178</v>
      </c>
      <c r="F1437">
        <v>1</v>
      </c>
      <c r="G1437" t="s">
        <v>61</v>
      </c>
      <c r="H1437" t="s">
        <v>43</v>
      </c>
      <c r="I1437" t="s">
        <v>2191</v>
      </c>
      <c r="J1437" s="10">
        <v>25</v>
      </c>
      <c r="K1437" t="b">
        <v>1</v>
      </c>
    </row>
    <row r="1438" spans="1:11">
      <c r="A1438" s="12">
        <v>41820</v>
      </c>
      <c r="B1438">
        <v>2014</v>
      </c>
      <c r="C1438">
        <v>6</v>
      </c>
      <c r="D1438" s="11">
        <v>41791</v>
      </c>
      <c r="E1438" t="s">
        <v>2178</v>
      </c>
      <c r="F1438">
        <v>1</v>
      </c>
      <c r="G1438" t="s">
        <v>61</v>
      </c>
      <c r="H1438" t="s">
        <v>44</v>
      </c>
      <c r="I1438" t="s">
        <v>2192</v>
      </c>
      <c r="J1438" s="10">
        <v>6</v>
      </c>
      <c r="K1438" t="b">
        <v>1</v>
      </c>
    </row>
    <row r="1439" spans="1:11">
      <c r="A1439" s="12">
        <v>41820</v>
      </c>
      <c r="B1439">
        <v>2014</v>
      </c>
      <c r="C1439">
        <v>6</v>
      </c>
      <c r="D1439" s="11">
        <v>41791</v>
      </c>
      <c r="E1439" t="s">
        <v>2178</v>
      </c>
      <c r="F1439">
        <v>1</v>
      </c>
      <c r="G1439" t="s">
        <v>61</v>
      </c>
      <c r="H1439" t="s">
        <v>45</v>
      </c>
      <c r="I1439" t="s">
        <v>2193</v>
      </c>
      <c r="J1439" s="10">
        <v>0</v>
      </c>
      <c r="K1439" t="b">
        <v>1</v>
      </c>
    </row>
    <row r="1440" spans="1:11">
      <c r="A1440" s="12">
        <v>41820</v>
      </c>
      <c r="B1440">
        <v>2014</v>
      </c>
      <c r="C1440">
        <v>6</v>
      </c>
      <c r="D1440" s="11">
        <v>41791</v>
      </c>
      <c r="E1440" t="s">
        <v>2178</v>
      </c>
      <c r="F1440">
        <v>1</v>
      </c>
      <c r="G1440" t="s">
        <v>61</v>
      </c>
      <c r="H1440" t="s">
        <v>46</v>
      </c>
      <c r="I1440" t="s">
        <v>2194</v>
      </c>
      <c r="J1440" s="10">
        <v>0</v>
      </c>
      <c r="K1440" t="b">
        <v>1</v>
      </c>
    </row>
    <row r="1441" spans="1:11">
      <c r="A1441" s="12">
        <v>41820</v>
      </c>
      <c r="B1441">
        <v>2014</v>
      </c>
      <c r="C1441">
        <v>6</v>
      </c>
      <c r="D1441" s="11">
        <v>41791</v>
      </c>
      <c r="E1441" t="s">
        <v>2178</v>
      </c>
      <c r="F1441">
        <v>1</v>
      </c>
      <c r="G1441" t="s">
        <v>61</v>
      </c>
      <c r="H1441" t="s">
        <v>47</v>
      </c>
      <c r="I1441" t="s">
        <v>2195</v>
      </c>
      <c r="J1441" s="10">
        <v>0</v>
      </c>
      <c r="K1441" t="b">
        <v>1</v>
      </c>
    </row>
    <row r="1442" spans="1:11">
      <c r="A1442" s="12">
        <v>41821</v>
      </c>
      <c r="B1442">
        <v>2014</v>
      </c>
      <c r="C1442">
        <v>7</v>
      </c>
      <c r="D1442" s="11">
        <v>41821</v>
      </c>
      <c r="E1442" t="s">
        <v>2179</v>
      </c>
      <c r="F1442">
        <v>2</v>
      </c>
      <c r="G1442" t="s">
        <v>63</v>
      </c>
      <c r="H1442" t="s">
        <v>40</v>
      </c>
      <c r="I1442" t="s">
        <v>2188</v>
      </c>
      <c r="J1442" s="10">
        <v>4.34</v>
      </c>
      <c r="K1442" t="b">
        <v>1</v>
      </c>
    </row>
    <row r="1443" spans="1:11">
      <c r="A1443" s="12">
        <v>41821</v>
      </c>
      <c r="B1443">
        <v>2014</v>
      </c>
      <c r="C1443">
        <v>7</v>
      </c>
      <c r="D1443" s="11">
        <v>41821</v>
      </c>
      <c r="E1443" t="s">
        <v>2179</v>
      </c>
      <c r="F1443">
        <v>2</v>
      </c>
      <c r="G1443" t="s">
        <v>63</v>
      </c>
      <c r="H1443" t="s">
        <v>41</v>
      </c>
      <c r="I1443" t="s">
        <v>2189</v>
      </c>
      <c r="J1443" s="10">
        <v>2.34</v>
      </c>
      <c r="K1443" t="b">
        <v>1</v>
      </c>
    </row>
    <row r="1444" spans="1:11">
      <c r="A1444" s="12">
        <v>41821</v>
      </c>
      <c r="B1444">
        <v>2014</v>
      </c>
      <c r="C1444">
        <v>7</v>
      </c>
      <c r="D1444" s="11">
        <v>41821</v>
      </c>
      <c r="E1444" t="s">
        <v>2179</v>
      </c>
      <c r="F1444">
        <v>2</v>
      </c>
      <c r="G1444" t="s">
        <v>63</v>
      </c>
      <c r="H1444" t="s">
        <v>42</v>
      </c>
      <c r="I1444" t="s">
        <v>2190</v>
      </c>
      <c r="J1444" s="10">
        <v>2</v>
      </c>
      <c r="K1444" t="b">
        <v>1</v>
      </c>
    </row>
    <row r="1445" spans="1:11">
      <c r="A1445" s="12">
        <v>41821</v>
      </c>
      <c r="B1445">
        <v>2014</v>
      </c>
      <c r="C1445">
        <v>7</v>
      </c>
      <c r="D1445" s="11">
        <v>41821</v>
      </c>
      <c r="E1445" t="s">
        <v>2179</v>
      </c>
      <c r="F1445">
        <v>2</v>
      </c>
      <c r="G1445" t="s">
        <v>63</v>
      </c>
      <c r="H1445" t="s">
        <v>43</v>
      </c>
      <c r="I1445" t="s">
        <v>2191</v>
      </c>
      <c r="J1445" s="10">
        <v>19</v>
      </c>
      <c r="K1445" t="b">
        <v>1</v>
      </c>
    </row>
    <row r="1446" spans="1:11">
      <c r="A1446" s="12">
        <v>41821</v>
      </c>
      <c r="B1446">
        <v>2014</v>
      </c>
      <c r="C1446">
        <v>7</v>
      </c>
      <c r="D1446" s="11">
        <v>41821</v>
      </c>
      <c r="E1446" t="s">
        <v>2179</v>
      </c>
      <c r="F1446">
        <v>2</v>
      </c>
      <c r="G1446" t="s">
        <v>63</v>
      </c>
      <c r="H1446" t="s">
        <v>44</v>
      </c>
      <c r="I1446" t="s">
        <v>2192</v>
      </c>
      <c r="J1446" s="10">
        <v>10</v>
      </c>
      <c r="K1446" t="b">
        <v>1</v>
      </c>
    </row>
    <row r="1447" spans="1:11">
      <c r="A1447" s="12">
        <v>41821</v>
      </c>
      <c r="B1447">
        <v>2014</v>
      </c>
      <c r="C1447">
        <v>7</v>
      </c>
      <c r="D1447" s="11">
        <v>41821</v>
      </c>
      <c r="E1447" t="s">
        <v>2179</v>
      </c>
      <c r="F1447">
        <v>2</v>
      </c>
      <c r="G1447" t="s">
        <v>63</v>
      </c>
      <c r="H1447" t="s">
        <v>45</v>
      </c>
      <c r="I1447" t="s">
        <v>2193</v>
      </c>
      <c r="J1447" s="10">
        <v>0</v>
      </c>
      <c r="K1447" t="b">
        <v>1</v>
      </c>
    </row>
    <row r="1448" spans="1:11">
      <c r="A1448" s="12">
        <v>41821</v>
      </c>
      <c r="B1448">
        <v>2014</v>
      </c>
      <c r="C1448">
        <v>7</v>
      </c>
      <c r="D1448" s="11">
        <v>41821</v>
      </c>
      <c r="E1448" t="s">
        <v>2179</v>
      </c>
      <c r="F1448">
        <v>2</v>
      </c>
      <c r="G1448" t="s">
        <v>63</v>
      </c>
      <c r="H1448" t="s">
        <v>46</v>
      </c>
      <c r="I1448" t="s">
        <v>2194</v>
      </c>
      <c r="J1448" s="10">
        <v>0</v>
      </c>
      <c r="K1448" t="b">
        <v>1</v>
      </c>
    </row>
    <row r="1449" spans="1:11">
      <c r="A1449" s="12">
        <v>41821</v>
      </c>
      <c r="B1449">
        <v>2014</v>
      </c>
      <c r="C1449">
        <v>7</v>
      </c>
      <c r="D1449" s="11">
        <v>41821</v>
      </c>
      <c r="E1449" t="s">
        <v>2179</v>
      </c>
      <c r="F1449">
        <v>2</v>
      </c>
      <c r="G1449" t="s">
        <v>63</v>
      </c>
      <c r="H1449" t="s">
        <v>47</v>
      </c>
      <c r="I1449" t="s">
        <v>2195</v>
      </c>
      <c r="J1449" s="10">
        <v>2</v>
      </c>
      <c r="K1449" t="b">
        <v>1</v>
      </c>
    </row>
    <row r="1450" spans="1:11">
      <c r="A1450" s="12">
        <v>41822</v>
      </c>
      <c r="B1450">
        <v>2014</v>
      </c>
      <c r="C1450">
        <v>7</v>
      </c>
      <c r="D1450" s="11">
        <v>41821</v>
      </c>
      <c r="E1450" t="s">
        <v>2179</v>
      </c>
      <c r="F1450">
        <v>3</v>
      </c>
      <c r="G1450" t="s">
        <v>65</v>
      </c>
      <c r="H1450" t="s">
        <v>40</v>
      </c>
      <c r="I1450" t="s">
        <v>2188</v>
      </c>
      <c r="J1450" s="10">
        <v>3</v>
      </c>
      <c r="K1450" t="b">
        <v>1</v>
      </c>
    </row>
    <row r="1451" spans="1:11">
      <c r="A1451" s="12">
        <v>41822</v>
      </c>
      <c r="B1451">
        <v>2014</v>
      </c>
      <c r="C1451">
        <v>7</v>
      </c>
      <c r="D1451" s="11">
        <v>41821</v>
      </c>
      <c r="E1451" t="s">
        <v>2179</v>
      </c>
      <c r="F1451">
        <v>3</v>
      </c>
      <c r="G1451" t="s">
        <v>65</v>
      </c>
      <c r="H1451" t="s">
        <v>41</v>
      </c>
      <c r="I1451" t="s">
        <v>2189</v>
      </c>
      <c r="J1451" s="10">
        <v>0.34</v>
      </c>
      <c r="K1451" t="b">
        <v>1</v>
      </c>
    </row>
    <row r="1452" spans="1:11">
      <c r="A1452" s="12">
        <v>41822</v>
      </c>
      <c r="B1452">
        <v>2014</v>
      </c>
      <c r="C1452">
        <v>7</v>
      </c>
      <c r="D1452" s="11">
        <v>41821</v>
      </c>
      <c r="E1452" t="s">
        <v>2179</v>
      </c>
      <c r="F1452">
        <v>3</v>
      </c>
      <c r="G1452" t="s">
        <v>65</v>
      </c>
      <c r="H1452" t="s">
        <v>42</v>
      </c>
      <c r="I1452" t="s">
        <v>2190</v>
      </c>
      <c r="J1452" s="10">
        <v>4</v>
      </c>
      <c r="K1452" t="b">
        <v>1</v>
      </c>
    </row>
    <row r="1453" spans="1:11">
      <c r="A1453" s="12">
        <v>41822</v>
      </c>
      <c r="B1453">
        <v>2014</v>
      </c>
      <c r="C1453">
        <v>7</v>
      </c>
      <c r="D1453" s="11">
        <v>41821</v>
      </c>
      <c r="E1453" t="s">
        <v>2179</v>
      </c>
      <c r="F1453">
        <v>3</v>
      </c>
      <c r="G1453" t="s">
        <v>65</v>
      </c>
      <c r="H1453" t="s">
        <v>43</v>
      </c>
      <c r="I1453" t="s">
        <v>2191</v>
      </c>
      <c r="J1453" s="10">
        <v>21.6</v>
      </c>
      <c r="K1453" t="b">
        <v>1</v>
      </c>
    </row>
    <row r="1454" spans="1:11">
      <c r="A1454" s="12">
        <v>41822</v>
      </c>
      <c r="B1454">
        <v>2014</v>
      </c>
      <c r="C1454">
        <v>7</v>
      </c>
      <c r="D1454" s="11">
        <v>41821</v>
      </c>
      <c r="E1454" t="s">
        <v>2179</v>
      </c>
      <c r="F1454">
        <v>3</v>
      </c>
      <c r="G1454" t="s">
        <v>65</v>
      </c>
      <c r="H1454" t="s">
        <v>44</v>
      </c>
      <c r="I1454" t="s">
        <v>2192</v>
      </c>
      <c r="J1454" s="10">
        <v>7</v>
      </c>
      <c r="K1454" t="b">
        <v>1</v>
      </c>
    </row>
    <row r="1455" spans="1:11">
      <c r="A1455" s="12">
        <v>41822</v>
      </c>
      <c r="B1455">
        <v>2014</v>
      </c>
      <c r="C1455">
        <v>7</v>
      </c>
      <c r="D1455" s="11">
        <v>41821</v>
      </c>
      <c r="E1455" t="s">
        <v>2179</v>
      </c>
      <c r="F1455">
        <v>3</v>
      </c>
      <c r="G1455" t="s">
        <v>65</v>
      </c>
      <c r="H1455" t="s">
        <v>45</v>
      </c>
      <c r="I1455" t="s">
        <v>2193</v>
      </c>
      <c r="J1455" s="10">
        <v>0</v>
      </c>
      <c r="K1455" t="b">
        <v>1</v>
      </c>
    </row>
    <row r="1456" spans="1:11">
      <c r="A1456" s="12">
        <v>41822</v>
      </c>
      <c r="B1456">
        <v>2014</v>
      </c>
      <c r="C1456">
        <v>7</v>
      </c>
      <c r="D1456" s="11">
        <v>41821</v>
      </c>
      <c r="E1456" t="s">
        <v>2179</v>
      </c>
      <c r="F1456">
        <v>3</v>
      </c>
      <c r="G1456" t="s">
        <v>65</v>
      </c>
      <c r="H1456" t="s">
        <v>46</v>
      </c>
      <c r="I1456" t="s">
        <v>2194</v>
      </c>
      <c r="J1456" s="10">
        <v>6</v>
      </c>
      <c r="K1456" t="b">
        <v>1</v>
      </c>
    </row>
    <row r="1457" spans="1:11">
      <c r="A1457" s="12">
        <v>41822</v>
      </c>
      <c r="B1457">
        <v>2014</v>
      </c>
      <c r="C1457">
        <v>7</v>
      </c>
      <c r="D1457" s="11">
        <v>41821</v>
      </c>
      <c r="E1457" t="s">
        <v>2179</v>
      </c>
      <c r="F1457">
        <v>3</v>
      </c>
      <c r="G1457" t="s">
        <v>65</v>
      </c>
      <c r="H1457" t="s">
        <v>47</v>
      </c>
      <c r="I1457" t="s">
        <v>2195</v>
      </c>
      <c r="J1457" s="10">
        <v>3</v>
      </c>
      <c r="K1457" t="b">
        <v>1</v>
      </c>
    </row>
    <row r="1458" spans="1:11">
      <c r="A1458" s="12">
        <v>41823</v>
      </c>
      <c r="B1458">
        <v>2014</v>
      </c>
      <c r="C1458">
        <v>7</v>
      </c>
      <c r="D1458" s="11">
        <v>41821</v>
      </c>
      <c r="E1458" t="s">
        <v>2179</v>
      </c>
      <c r="F1458">
        <v>4</v>
      </c>
      <c r="G1458" t="s">
        <v>53</v>
      </c>
      <c r="H1458" t="s">
        <v>40</v>
      </c>
      <c r="I1458" t="s">
        <v>2188</v>
      </c>
      <c r="J1458" s="10">
        <v>2.33</v>
      </c>
      <c r="K1458" t="b">
        <v>1</v>
      </c>
    </row>
    <row r="1459" spans="1:11">
      <c r="A1459" s="12">
        <v>41823</v>
      </c>
      <c r="B1459">
        <v>2014</v>
      </c>
      <c r="C1459">
        <v>7</v>
      </c>
      <c r="D1459" s="11">
        <v>41821</v>
      </c>
      <c r="E1459" t="s">
        <v>2179</v>
      </c>
      <c r="F1459">
        <v>4</v>
      </c>
      <c r="G1459" t="s">
        <v>53</v>
      </c>
      <c r="H1459" t="s">
        <v>41</v>
      </c>
      <c r="I1459" t="s">
        <v>2189</v>
      </c>
      <c r="J1459" s="10">
        <v>5.68</v>
      </c>
      <c r="K1459" t="b">
        <v>1</v>
      </c>
    </row>
    <row r="1460" spans="1:11">
      <c r="A1460" s="12">
        <v>41823</v>
      </c>
      <c r="B1460">
        <v>2014</v>
      </c>
      <c r="C1460">
        <v>7</v>
      </c>
      <c r="D1460" s="11">
        <v>41821</v>
      </c>
      <c r="E1460" t="s">
        <v>2179</v>
      </c>
      <c r="F1460">
        <v>4</v>
      </c>
      <c r="G1460" t="s">
        <v>53</v>
      </c>
      <c r="H1460" t="s">
        <v>42</v>
      </c>
      <c r="I1460" t="s">
        <v>2190</v>
      </c>
      <c r="J1460" s="10">
        <v>7</v>
      </c>
      <c r="K1460" t="b">
        <v>1</v>
      </c>
    </row>
    <row r="1461" spans="1:11">
      <c r="A1461" s="12">
        <v>41823</v>
      </c>
      <c r="B1461">
        <v>2014</v>
      </c>
      <c r="C1461">
        <v>7</v>
      </c>
      <c r="D1461" s="11">
        <v>41821</v>
      </c>
      <c r="E1461" t="s">
        <v>2179</v>
      </c>
      <c r="F1461">
        <v>4</v>
      </c>
      <c r="G1461" t="s">
        <v>53</v>
      </c>
      <c r="H1461" t="s">
        <v>43</v>
      </c>
      <c r="I1461" t="s">
        <v>2191</v>
      </c>
      <c r="J1461" s="10">
        <v>12.5</v>
      </c>
      <c r="K1461" t="b">
        <v>1</v>
      </c>
    </row>
    <row r="1462" spans="1:11">
      <c r="A1462" s="12">
        <v>41823</v>
      </c>
      <c r="B1462">
        <v>2014</v>
      </c>
      <c r="C1462">
        <v>7</v>
      </c>
      <c r="D1462" s="11">
        <v>41821</v>
      </c>
      <c r="E1462" t="s">
        <v>2179</v>
      </c>
      <c r="F1462">
        <v>4</v>
      </c>
      <c r="G1462" t="s">
        <v>53</v>
      </c>
      <c r="H1462" t="s">
        <v>44</v>
      </c>
      <c r="I1462" t="s">
        <v>2192</v>
      </c>
      <c r="J1462" s="10">
        <v>7</v>
      </c>
      <c r="K1462" t="b">
        <v>1</v>
      </c>
    </row>
    <row r="1463" spans="1:11">
      <c r="A1463" s="12">
        <v>41823</v>
      </c>
      <c r="B1463">
        <v>2014</v>
      </c>
      <c r="C1463">
        <v>7</v>
      </c>
      <c r="D1463" s="11">
        <v>41821</v>
      </c>
      <c r="E1463" t="s">
        <v>2179</v>
      </c>
      <c r="F1463">
        <v>4</v>
      </c>
      <c r="G1463" t="s">
        <v>53</v>
      </c>
      <c r="H1463" t="s">
        <v>45</v>
      </c>
      <c r="I1463" t="s">
        <v>2193</v>
      </c>
      <c r="J1463" s="10">
        <v>2</v>
      </c>
      <c r="K1463" t="b">
        <v>1</v>
      </c>
    </row>
    <row r="1464" spans="1:11">
      <c r="A1464" s="12">
        <v>41823</v>
      </c>
      <c r="B1464">
        <v>2014</v>
      </c>
      <c r="C1464">
        <v>7</v>
      </c>
      <c r="D1464" s="11">
        <v>41821</v>
      </c>
      <c r="E1464" t="s">
        <v>2179</v>
      </c>
      <c r="F1464">
        <v>4</v>
      </c>
      <c r="G1464" t="s">
        <v>53</v>
      </c>
      <c r="H1464" t="s">
        <v>46</v>
      </c>
      <c r="I1464" t="s">
        <v>2194</v>
      </c>
      <c r="J1464" s="10">
        <v>0</v>
      </c>
      <c r="K1464" t="b">
        <v>1</v>
      </c>
    </row>
    <row r="1465" spans="1:11">
      <c r="A1465" s="12">
        <v>41823</v>
      </c>
      <c r="B1465">
        <v>2014</v>
      </c>
      <c r="C1465">
        <v>7</v>
      </c>
      <c r="D1465" s="11">
        <v>41821</v>
      </c>
      <c r="E1465" t="s">
        <v>2179</v>
      </c>
      <c r="F1465">
        <v>4</v>
      </c>
      <c r="G1465" t="s">
        <v>53</v>
      </c>
      <c r="H1465" t="s">
        <v>47</v>
      </c>
      <c r="I1465" t="s">
        <v>2195</v>
      </c>
      <c r="J1465" s="10">
        <v>2</v>
      </c>
      <c r="K1465" t="b">
        <v>1</v>
      </c>
    </row>
    <row r="1466" spans="1:11">
      <c r="A1466" s="12">
        <v>41824</v>
      </c>
      <c r="B1466">
        <v>2014</v>
      </c>
      <c r="C1466">
        <v>7</v>
      </c>
      <c r="D1466" s="11">
        <v>41821</v>
      </c>
      <c r="E1466" t="s">
        <v>2179</v>
      </c>
      <c r="F1466">
        <v>5</v>
      </c>
      <c r="G1466" t="s">
        <v>55</v>
      </c>
      <c r="H1466" t="s">
        <v>40</v>
      </c>
      <c r="I1466" t="s">
        <v>2188</v>
      </c>
      <c r="J1466" s="10">
        <v>4.34</v>
      </c>
      <c r="K1466" t="b">
        <v>1</v>
      </c>
    </row>
    <row r="1467" spans="1:11">
      <c r="A1467" s="12">
        <v>41824</v>
      </c>
      <c r="B1467">
        <v>2014</v>
      </c>
      <c r="C1467">
        <v>7</v>
      </c>
      <c r="D1467" s="11">
        <v>41821</v>
      </c>
      <c r="E1467" t="s">
        <v>2179</v>
      </c>
      <c r="F1467">
        <v>5</v>
      </c>
      <c r="G1467" t="s">
        <v>55</v>
      </c>
      <c r="H1467" t="s">
        <v>41</v>
      </c>
      <c r="I1467" t="s">
        <v>2189</v>
      </c>
      <c r="J1467" s="10">
        <v>4.7</v>
      </c>
      <c r="K1467" t="b">
        <v>1</v>
      </c>
    </row>
    <row r="1468" spans="1:11">
      <c r="A1468" s="12">
        <v>41824</v>
      </c>
      <c r="B1468">
        <v>2014</v>
      </c>
      <c r="C1468">
        <v>7</v>
      </c>
      <c r="D1468" s="11">
        <v>41821</v>
      </c>
      <c r="E1468" t="s">
        <v>2179</v>
      </c>
      <c r="F1468">
        <v>5</v>
      </c>
      <c r="G1468" t="s">
        <v>55</v>
      </c>
      <c r="H1468" t="s">
        <v>42</v>
      </c>
      <c r="I1468" t="s">
        <v>2190</v>
      </c>
      <c r="J1468" s="10">
        <v>7</v>
      </c>
      <c r="K1468" t="b">
        <v>1</v>
      </c>
    </row>
    <row r="1469" spans="1:11">
      <c r="A1469" s="12">
        <v>41824</v>
      </c>
      <c r="B1469">
        <v>2014</v>
      </c>
      <c r="C1469">
        <v>7</v>
      </c>
      <c r="D1469" s="11">
        <v>41821</v>
      </c>
      <c r="E1469" t="s">
        <v>2179</v>
      </c>
      <c r="F1469">
        <v>5</v>
      </c>
      <c r="G1469" t="s">
        <v>55</v>
      </c>
      <c r="H1469" t="s">
        <v>43</v>
      </c>
      <c r="I1469" t="s">
        <v>2191</v>
      </c>
      <c r="J1469" s="10">
        <v>10.5</v>
      </c>
      <c r="K1469" t="b">
        <v>1</v>
      </c>
    </row>
    <row r="1470" spans="1:11">
      <c r="A1470" s="12">
        <v>41824</v>
      </c>
      <c r="B1470">
        <v>2014</v>
      </c>
      <c r="C1470">
        <v>7</v>
      </c>
      <c r="D1470" s="11">
        <v>41821</v>
      </c>
      <c r="E1470" t="s">
        <v>2179</v>
      </c>
      <c r="F1470">
        <v>5</v>
      </c>
      <c r="G1470" t="s">
        <v>55</v>
      </c>
      <c r="H1470" t="s">
        <v>44</v>
      </c>
      <c r="I1470" t="s">
        <v>2192</v>
      </c>
      <c r="J1470" s="10">
        <v>14</v>
      </c>
      <c r="K1470" t="b">
        <v>1</v>
      </c>
    </row>
    <row r="1471" spans="1:11">
      <c r="A1471" s="12">
        <v>41824</v>
      </c>
      <c r="B1471">
        <v>2014</v>
      </c>
      <c r="C1471">
        <v>7</v>
      </c>
      <c r="D1471" s="11">
        <v>41821</v>
      </c>
      <c r="E1471" t="s">
        <v>2179</v>
      </c>
      <c r="F1471">
        <v>5</v>
      </c>
      <c r="G1471" t="s">
        <v>55</v>
      </c>
      <c r="H1471" t="s">
        <v>45</v>
      </c>
      <c r="I1471" t="s">
        <v>2193</v>
      </c>
      <c r="J1471" s="10">
        <v>0</v>
      </c>
      <c r="K1471" t="b">
        <v>1</v>
      </c>
    </row>
    <row r="1472" spans="1:11">
      <c r="A1472" s="12">
        <v>41824</v>
      </c>
      <c r="B1472">
        <v>2014</v>
      </c>
      <c r="C1472">
        <v>7</v>
      </c>
      <c r="D1472" s="11">
        <v>41821</v>
      </c>
      <c r="E1472" t="s">
        <v>2179</v>
      </c>
      <c r="F1472">
        <v>5</v>
      </c>
      <c r="G1472" t="s">
        <v>55</v>
      </c>
      <c r="H1472" t="s">
        <v>46</v>
      </c>
      <c r="I1472" t="s">
        <v>2194</v>
      </c>
      <c r="J1472" s="10">
        <v>2</v>
      </c>
      <c r="K1472" t="b">
        <v>1</v>
      </c>
    </row>
    <row r="1473" spans="1:11">
      <c r="A1473" s="12">
        <v>41824</v>
      </c>
      <c r="B1473">
        <v>2014</v>
      </c>
      <c r="C1473">
        <v>7</v>
      </c>
      <c r="D1473" s="11">
        <v>41821</v>
      </c>
      <c r="E1473" t="s">
        <v>2179</v>
      </c>
      <c r="F1473">
        <v>5</v>
      </c>
      <c r="G1473" t="s">
        <v>55</v>
      </c>
      <c r="H1473" t="s">
        <v>47</v>
      </c>
      <c r="I1473" t="s">
        <v>2195</v>
      </c>
      <c r="J1473" s="10">
        <v>3</v>
      </c>
      <c r="K1473" t="b">
        <v>1</v>
      </c>
    </row>
    <row r="1474" spans="1:11">
      <c r="A1474" s="12">
        <v>41825</v>
      </c>
      <c r="B1474">
        <v>2014</v>
      </c>
      <c r="C1474">
        <v>7</v>
      </c>
      <c r="D1474" s="11">
        <v>41821</v>
      </c>
      <c r="E1474" t="s">
        <v>2179</v>
      </c>
      <c r="F1474">
        <v>6</v>
      </c>
      <c r="G1474" t="s">
        <v>57</v>
      </c>
      <c r="H1474" t="s">
        <v>40</v>
      </c>
      <c r="I1474" t="s">
        <v>2188</v>
      </c>
      <c r="J1474" s="10">
        <v>3.34</v>
      </c>
      <c r="K1474" t="b">
        <v>1</v>
      </c>
    </row>
    <row r="1475" spans="1:11">
      <c r="A1475" s="12">
        <v>41825</v>
      </c>
      <c r="B1475">
        <v>2014</v>
      </c>
      <c r="C1475">
        <v>7</v>
      </c>
      <c r="D1475" s="11">
        <v>41821</v>
      </c>
      <c r="E1475" t="s">
        <v>2179</v>
      </c>
      <c r="F1475">
        <v>6</v>
      </c>
      <c r="G1475" t="s">
        <v>57</v>
      </c>
      <c r="H1475" t="s">
        <v>41</v>
      </c>
      <c r="I1475" t="s">
        <v>2189</v>
      </c>
      <c r="J1475" s="10">
        <v>4.34</v>
      </c>
      <c r="K1475" t="b">
        <v>1</v>
      </c>
    </row>
    <row r="1476" spans="1:11">
      <c r="A1476" s="12">
        <v>41825</v>
      </c>
      <c r="B1476">
        <v>2014</v>
      </c>
      <c r="C1476">
        <v>7</v>
      </c>
      <c r="D1476" s="11">
        <v>41821</v>
      </c>
      <c r="E1476" t="s">
        <v>2179</v>
      </c>
      <c r="F1476">
        <v>6</v>
      </c>
      <c r="G1476" t="s">
        <v>57</v>
      </c>
      <c r="H1476" t="s">
        <v>42</v>
      </c>
      <c r="I1476" t="s">
        <v>2190</v>
      </c>
      <c r="J1476" s="10">
        <v>6</v>
      </c>
      <c r="K1476" t="b">
        <v>1</v>
      </c>
    </row>
    <row r="1477" spans="1:11">
      <c r="A1477" s="12">
        <v>41825</v>
      </c>
      <c r="B1477">
        <v>2014</v>
      </c>
      <c r="C1477">
        <v>7</v>
      </c>
      <c r="D1477" s="11">
        <v>41821</v>
      </c>
      <c r="E1477" t="s">
        <v>2179</v>
      </c>
      <c r="F1477">
        <v>6</v>
      </c>
      <c r="G1477" t="s">
        <v>57</v>
      </c>
      <c r="H1477" t="s">
        <v>43</v>
      </c>
      <c r="I1477" t="s">
        <v>2191</v>
      </c>
      <c r="J1477" s="10">
        <v>37</v>
      </c>
      <c r="K1477" t="b">
        <v>1</v>
      </c>
    </row>
    <row r="1478" spans="1:11">
      <c r="A1478" s="12">
        <v>41825</v>
      </c>
      <c r="B1478">
        <v>2014</v>
      </c>
      <c r="C1478">
        <v>7</v>
      </c>
      <c r="D1478" s="11">
        <v>41821</v>
      </c>
      <c r="E1478" t="s">
        <v>2179</v>
      </c>
      <c r="F1478">
        <v>6</v>
      </c>
      <c r="G1478" t="s">
        <v>57</v>
      </c>
      <c r="H1478" t="s">
        <v>44</v>
      </c>
      <c r="I1478" t="s">
        <v>2192</v>
      </c>
      <c r="J1478" s="10">
        <v>11</v>
      </c>
      <c r="K1478" t="b">
        <v>1</v>
      </c>
    </row>
    <row r="1479" spans="1:11">
      <c r="A1479" s="12">
        <v>41825</v>
      </c>
      <c r="B1479">
        <v>2014</v>
      </c>
      <c r="C1479">
        <v>7</v>
      </c>
      <c r="D1479" s="11">
        <v>41821</v>
      </c>
      <c r="E1479" t="s">
        <v>2179</v>
      </c>
      <c r="F1479">
        <v>6</v>
      </c>
      <c r="G1479" t="s">
        <v>57</v>
      </c>
      <c r="H1479" t="s">
        <v>45</v>
      </c>
      <c r="I1479" t="s">
        <v>2193</v>
      </c>
      <c r="J1479" s="10">
        <v>1</v>
      </c>
      <c r="K1479" t="b">
        <v>1</v>
      </c>
    </row>
    <row r="1480" spans="1:11">
      <c r="A1480" s="12">
        <v>41825</v>
      </c>
      <c r="B1480">
        <v>2014</v>
      </c>
      <c r="C1480">
        <v>7</v>
      </c>
      <c r="D1480" s="11">
        <v>41821</v>
      </c>
      <c r="E1480" t="s">
        <v>2179</v>
      </c>
      <c r="F1480">
        <v>6</v>
      </c>
      <c r="G1480" t="s">
        <v>57</v>
      </c>
      <c r="H1480" t="s">
        <v>46</v>
      </c>
      <c r="I1480" t="s">
        <v>2194</v>
      </c>
      <c r="J1480" s="10">
        <v>0</v>
      </c>
      <c r="K1480" t="b">
        <v>1</v>
      </c>
    </row>
    <row r="1481" spans="1:11">
      <c r="A1481" s="12">
        <v>41825</v>
      </c>
      <c r="B1481">
        <v>2014</v>
      </c>
      <c r="C1481">
        <v>7</v>
      </c>
      <c r="D1481" s="11">
        <v>41821</v>
      </c>
      <c r="E1481" t="s">
        <v>2179</v>
      </c>
      <c r="F1481">
        <v>6</v>
      </c>
      <c r="G1481" t="s">
        <v>57</v>
      </c>
      <c r="H1481" t="s">
        <v>47</v>
      </c>
      <c r="I1481" t="s">
        <v>2195</v>
      </c>
      <c r="J1481" s="10">
        <v>0</v>
      </c>
      <c r="K1481" t="b">
        <v>1</v>
      </c>
    </row>
    <row r="1482" spans="1:11">
      <c r="A1482" s="12">
        <v>41826</v>
      </c>
      <c r="B1482">
        <v>2014</v>
      </c>
      <c r="C1482">
        <v>7</v>
      </c>
      <c r="D1482" s="11">
        <v>41821</v>
      </c>
      <c r="E1482" t="s">
        <v>2179</v>
      </c>
      <c r="F1482">
        <v>7</v>
      </c>
      <c r="G1482" t="s">
        <v>59</v>
      </c>
      <c r="H1482" t="s">
        <v>40</v>
      </c>
      <c r="I1482" t="s">
        <v>2188</v>
      </c>
      <c r="J1482" s="10">
        <v>4</v>
      </c>
      <c r="K1482" t="b">
        <v>1</v>
      </c>
    </row>
    <row r="1483" spans="1:11">
      <c r="A1483" s="12">
        <v>41826</v>
      </c>
      <c r="B1483">
        <v>2014</v>
      </c>
      <c r="C1483">
        <v>7</v>
      </c>
      <c r="D1483" s="11">
        <v>41821</v>
      </c>
      <c r="E1483" t="s">
        <v>2179</v>
      </c>
      <c r="F1483">
        <v>7</v>
      </c>
      <c r="G1483" t="s">
        <v>59</v>
      </c>
      <c r="H1483" t="s">
        <v>41</v>
      </c>
      <c r="I1483" t="s">
        <v>2189</v>
      </c>
      <c r="J1483" s="10">
        <v>2</v>
      </c>
      <c r="K1483" t="b">
        <v>1</v>
      </c>
    </row>
    <row r="1484" spans="1:11">
      <c r="A1484" s="12">
        <v>41826</v>
      </c>
      <c r="B1484">
        <v>2014</v>
      </c>
      <c r="C1484">
        <v>7</v>
      </c>
      <c r="D1484" s="11">
        <v>41821</v>
      </c>
      <c r="E1484" t="s">
        <v>2179</v>
      </c>
      <c r="F1484">
        <v>7</v>
      </c>
      <c r="G1484" t="s">
        <v>59</v>
      </c>
      <c r="H1484" t="s">
        <v>42</v>
      </c>
      <c r="I1484" t="s">
        <v>2190</v>
      </c>
      <c r="J1484" s="10">
        <v>3</v>
      </c>
      <c r="K1484" t="b">
        <v>1</v>
      </c>
    </row>
    <row r="1485" spans="1:11">
      <c r="A1485" s="12">
        <v>41826</v>
      </c>
      <c r="B1485">
        <v>2014</v>
      </c>
      <c r="C1485">
        <v>7</v>
      </c>
      <c r="D1485" s="11">
        <v>41821</v>
      </c>
      <c r="E1485" t="s">
        <v>2179</v>
      </c>
      <c r="F1485">
        <v>7</v>
      </c>
      <c r="G1485" t="s">
        <v>59</v>
      </c>
      <c r="H1485" t="s">
        <v>43</v>
      </c>
      <c r="I1485" t="s">
        <v>2191</v>
      </c>
      <c r="J1485" s="10">
        <v>10.2</v>
      </c>
      <c r="K1485" t="b">
        <v>1</v>
      </c>
    </row>
    <row r="1486" spans="1:11">
      <c r="A1486" s="12">
        <v>41826</v>
      </c>
      <c r="B1486">
        <v>2014</v>
      </c>
      <c r="C1486">
        <v>7</v>
      </c>
      <c r="D1486" s="11">
        <v>41821</v>
      </c>
      <c r="E1486" t="s">
        <v>2179</v>
      </c>
      <c r="F1486">
        <v>7</v>
      </c>
      <c r="G1486" t="s">
        <v>59</v>
      </c>
      <c r="H1486" t="s">
        <v>44</v>
      </c>
      <c r="I1486" t="s">
        <v>2192</v>
      </c>
      <c r="J1486" s="10">
        <v>9</v>
      </c>
      <c r="K1486" t="b">
        <v>1</v>
      </c>
    </row>
    <row r="1487" spans="1:11">
      <c r="A1487" s="12">
        <v>41826</v>
      </c>
      <c r="B1487">
        <v>2014</v>
      </c>
      <c r="C1487">
        <v>7</v>
      </c>
      <c r="D1487" s="11">
        <v>41821</v>
      </c>
      <c r="E1487" t="s">
        <v>2179</v>
      </c>
      <c r="F1487">
        <v>7</v>
      </c>
      <c r="G1487" t="s">
        <v>59</v>
      </c>
      <c r="H1487" t="s">
        <v>45</v>
      </c>
      <c r="I1487" t="s">
        <v>2193</v>
      </c>
      <c r="J1487" s="10">
        <v>0</v>
      </c>
      <c r="K1487" t="b">
        <v>1</v>
      </c>
    </row>
    <row r="1488" spans="1:11">
      <c r="A1488" s="12">
        <v>41826</v>
      </c>
      <c r="B1488">
        <v>2014</v>
      </c>
      <c r="C1488">
        <v>7</v>
      </c>
      <c r="D1488" s="11">
        <v>41821</v>
      </c>
      <c r="E1488" t="s">
        <v>2179</v>
      </c>
      <c r="F1488">
        <v>7</v>
      </c>
      <c r="G1488" t="s">
        <v>59</v>
      </c>
      <c r="H1488" t="s">
        <v>46</v>
      </c>
      <c r="I1488" t="s">
        <v>2194</v>
      </c>
      <c r="J1488" s="10">
        <v>0</v>
      </c>
      <c r="K1488" t="b">
        <v>1</v>
      </c>
    </row>
    <row r="1489" spans="1:11">
      <c r="A1489" s="12">
        <v>41826</v>
      </c>
      <c r="B1489">
        <v>2014</v>
      </c>
      <c r="C1489">
        <v>7</v>
      </c>
      <c r="D1489" s="11">
        <v>41821</v>
      </c>
      <c r="E1489" t="s">
        <v>2179</v>
      </c>
      <c r="F1489">
        <v>7</v>
      </c>
      <c r="G1489" t="s">
        <v>59</v>
      </c>
      <c r="H1489" t="s">
        <v>47</v>
      </c>
      <c r="I1489" t="s">
        <v>2195</v>
      </c>
      <c r="J1489" s="10">
        <v>0</v>
      </c>
      <c r="K1489" t="b">
        <v>1</v>
      </c>
    </row>
    <row r="1490" spans="1:11">
      <c r="A1490" s="12">
        <v>41827</v>
      </c>
      <c r="B1490">
        <v>2014</v>
      </c>
      <c r="C1490">
        <v>7</v>
      </c>
      <c r="D1490" s="11">
        <v>41821</v>
      </c>
      <c r="E1490" t="s">
        <v>2179</v>
      </c>
      <c r="F1490">
        <v>1</v>
      </c>
      <c r="G1490" t="s">
        <v>61</v>
      </c>
      <c r="H1490" t="s">
        <v>40</v>
      </c>
      <c r="I1490" t="s">
        <v>2188</v>
      </c>
      <c r="J1490" s="10">
        <v>2</v>
      </c>
      <c r="K1490" t="b">
        <v>1</v>
      </c>
    </row>
    <row r="1491" spans="1:11">
      <c r="A1491" s="12">
        <v>41827</v>
      </c>
      <c r="B1491">
        <v>2014</v>
      </c>
      <c r="C1491">
        <v>7</v>
      </c>
      <c r="D1491" s="11">
        <v>41821</v>
      </c>
      <c r="E1491" t="s">
        <v>2179</v>
      </c>
      <c r="F1491">
        <v>1</v>
      </c>
      <c r="G1491" t="s">
        <v>61</v>
      </c>
      <c r="H1491" t="s">
        <v>41</v>
      </c>
      <c r="I1491" t="s">
        <v>2189</v>
      </c>
      <c r="J1491" s="10">
        <v>3.34</v>
      </c>
      <c r="K1491" t="b">
        <v>1</v>
      </c>
    </row>
    <row r="1492" spans="1:11">
      <c r="A1492" s="12">
        <v>41827</v>
      </c>
      <c r="B1492">
        <v>2014</v>
      </c>
      <c r="C1492">
        <v>7</v>
      </c>
      <c r="D1492" s="11">
        <v>41821</v>
      </c>
      <c r="E1492" t="s">
        <v>2179</v>
      </c>
      <c r="F1492">
        <v>1</v>
      </c>
      <c r="G1492" t="s">
        <v>61</v>
      </c>
      <c r="H1492" t="s">
        <v>42</v>
      </c>
      <c r="I1492" t="s">
        <v>2190</v>
      </c>
      <c r="J1492" s="10">
        <v>4</v>
      </c>
      <c r="K1492" t="b">
        <v>1</v>
      </c>
    </row>
    <row r="1493" spans="1:11">
      <c r="A1493" s="12">
        <v>41827</v>
      </c>
      <c r="B1493">
        <v>2014</v>
      </c>
      <c r="C1493">
        <v>7</v>
      </c>
      <c r="D1493" s="11">
        <v>41821</v>
      </c>
      <c r="E1493" t="s">
        <v>2179</v>
      </c>
      <c r="F1493">
        <v>1</v>
      </c>
      <c r="G1493" t="s">
        <v>61</v>
      </c>
      <c r="H1493" t="s">
        <v>43</v>
      </c>
      <c r="I1493" t="s">
        <v>2191</v>
      </c>
      <c r="J1493" s="10">
        <v>13</v>
      </c>
      <c r="K1493" t="b">
        <v>1</v>
      </c>
    </row>
    <row r="1494" spans="1:11">
      <c r="A1494" s="12">
        <v>41827</v>
      </c>
      <c r="B1494">
        <v>2014</v>
      </c>
      <c r="C1494">
        <v>7</v>
      </c>
      <c r="D1494" s="11">
        <v>41821</v>
      </c>
      <c r="E1494" t="s">
        <v>2179</v>
      </c>
      <c r="F1494">
        <v>1</v>
      </c>
      <c r="G1494" t="s">
        <v>61</v>
      </c>
      <c r="H1494" t="s">
        <v>44</v>
      </c>
      <c r="I1494" t="s">
        <v>2192</v>
      </c>
      <c r="J1494" s="10">
        <v>11</v>
      </c>
      <c r="K1494" t="b">
        <v>1</v>
      </c>
    </row>
    <row r="1495" spans="1:11">
      <c r="A1495" s="12">
        <v>41827</v>
      </c>
      <c r="B1495">
        <v>2014</v>
      </c>
      <c r="C1495">
        <v>7</v>
      </c>
      <c r="D1495" s="11">
        <v>41821</v>
      </c>
      <c r="E1495" t="s">
        <v>2179</v>
      </c>
      <c r="F1495">
        <v>1</v>
      </c>
      <c r="G1495" t="s">
        <v>61</v>
      </c>
      <c r="H1495" t="s">
        <v>45</v>
      </c>
      <c r="I1495" t="s">
        <v>2193</v>
      </c>
      <c r="J1495" s="10">
        <v>0</v>
      </c>
      <c r="K1495" t="b">
        <v>1</v>
      </c>
    </row>
    <row r="1496" spans="1:11">
      <c r="A1496" s="12">
        <v>41827</v>
      </c>
      <c r="B1496">
        <v>2014</v>
      </c>
      <c r="C1496">
        <v>7</v>
      </c>
      <c r="D1496" s="11">
        <v>41821</v>
      </c>
      <c r="E1496" t="s">
        <v>2179</v>
      </c>
      <c r="F1496">
        <v>1</v>
      </c>
      <c r="G1496" t="s">
        <v>61</v>
      </c>
      <c r="H1496" t="s">
        <v>46</v>
      </c>
      <c r="I1496" t="s">
        <v>2194</v>
      </c>
      <c r="J1496" s="10">
        <v>0</v>
      </c>
      <c r="K1496" t="b">
        <v>1</v>
      </c>
    </row>
    <row r="1497" spans="1:11">
      <c r="A1497" s="12">
        <v>41827</v>
      </c>
      <c r="B1497">
        <v>2014</v>
      </c>
      <c r="C1497">
        <v>7</v>
      </c>
      <c r="D1497" s="11">
        <v>41821</v>
      </c>
      <c r="E1497" t="s">
        <v>2179</v>
      </c>
      <c r="F1497">
        <v>1</v>
      </c>
      <c r="G1497" t="s">
        <v>61</v>
      </c>
      <c r="H1497" t="s">
        <v>47</v>
      </c>
      <c r="I1497" t="s">
        <v>2195</v>
      </c>
      <c r="J1497" s="10">
        <v>4</v>
      </c>
      <c r="K1497" t="b">
        <v>1</v>
      </c>
    </row>
    <row r="1498" spans="1:11">
      <c r="A1498" s="12">
        <v>41828</v>
      </c>
      <c r="B1498">
        <v>2014</v>
      </c>
      <c r="C1498">
        <v>7</v>
      </c>
      <c r="D1498" s="11">
        <v>41821</v>
      </c>
      <c r="E1498" t="s">
        <v>2179</v>
      </c>
      <c r="F1498">
        <v>2</v>
      </c>
      <c r="G1498" t="s">
        <v>63</v>
      </c>
      <c r="H1498" t="s">
        <v>40</v>
      </c>
      <c r="I1498" t="s">
        <v>2188</v>
      </c>
      <c r="J1498" s="10">
        <v>6.34</v>
      </c>
      <c r="K1498" t="b">
        <v>1</v>
      </c>
    </row>
    <row r="1499" spans="1:11">
      <c r="A1499" s="12">
        <v>41828</v>
      </c>
      <c r="B1499">
        <v>2014</v>
      </c>
      <c r="C1499">
        <v>7</v>
      </c>
      <c r="D1499" s="11">
        <v>41821</v>
      </c>
      <c r="E1499" t="s">
        <v>2179</v>
      </c>
      <c r="F1499">
        <v>2</v>
      </c>
      <c r="G1499" t="s">
        <v>63</v>
      </c>
      <c r="H1499" t="s">
        <v>41</v>
      </c>
      <c r="I1499" t="s">
        <v>2189</v>
      </c>
      <c r="J1499" s="10">
        <v>2.34</v>
      </c>
      <c r="K1499" t="b">
        <v>1</v>
      </c>
    </row>
    <row r="1500" spans="1:11">
      <c r="A1500" s="12">
        <v>41828</v>
      </c>
      <c r="B1500">
        <v>2014</v>
      </c>
      <c r="C1500">
        <v>7</v>
      </c>
      <c r="D1500" s="11">
        <v>41821</v>
      </c>
      <c r="E1500" t="s">
        <v>2179</v>
      </c>
      <c r="F1500">
        <v>2</v>
      </c>
      <c r="G1500" t="s">
        <v>63</v>
      </c>
      <c r="H1500" t="s">
        <v>42</v>
      </c>
      <c r="I1500" t="s">
        <v>2190</v>
      </c>
      <c r="J1500" s="10">
        <v>3</v>
      </c>
      <c r="K1500" t="b">
        <v>1</v>
      </c>
    </row>
    <row r="1501" spans="1:11">
      <c r="A1501" s="12">
        <v>41828</v>
      </c>
      <c r="B1501">
        <v>2014</v>
      </c>
      <c r="C1501">
        <v>7</v>
      </c>
      <c r="D1501" s="11">
        <v>41821</v>
      </c>
      <c r="E1501" t="s">
        <v>2179</v>
      </c>
      <c r="F1501">
        <v>2</v>
      </c>
      <c r="G1501" t="s">
        <v>63</v>
      </c>
      <c r="H1501" t="s">
        <v>43</v>
      </c>
      <c r="I1501" t="s">
        <v>2191</v>
      </c>
      <c r="J1501" s="10">
        <v>14</v>
      </c>
      <c r="K1501" t="b">
        <v>1</v>
      </c>
    </row>
    <row r="1502" spans="1:11">
      <c r="A1502" s="12">
        <v>41828</v>
      </c>
      <c r="B1502">
        <v>2014</v>
      </c>
      <c r="C1502">
        <v>7</v>
      </c>
      <c r="D1502" s="11">
        <v>41821</v>
      </c>
      <c r="E1502" t="s">
        <v>2179</v>
      </c>
      <c r="F1502">
        <v>2</v>
      </c>
      <c r="G1502" t="s">
        <v>63</v>
      </c>
      <c r="H1502" t="s">
        <v>44</v>
      </c>
      <c r="I1502" t="s">
        <v>2192</v>
      </c>
      <c r="J1502" s="10">
        <v>3</v>
      </c>
      <c r="K1502" t="b">
        <v>1</v>
      </c>
    </row>
    <row r="1503" spans="1:11">
      <c r="A1503" s="12">
        <v>41828</v>
      </c>
      <c r="B1503">
        <v>2014</v>
      </c>
      <c r="C1503">
        <v>7</v>
      </c>
      <c r="D1503" s="11">
        <v>41821</v>
      </c>
      <c r="E1503" t="s">
        <v>2179</v>
      </c>
      <c r="F1503">
        <v>2</v>
      </c>
      <c r="G1503" t="s">
        <v>63</v>
      </c>
      <c r="H1503" t="s">
        <v>45</v>
      </c>
      <c r="I1503" t="s">
        <v>2193</v>
      </c>
      <c r="J1503" s="10">
        <v>0</v>
      </c>
      <c r="K1503" t="b">
        <v>1</v>
      </c>
    </row>
    <row r="1504" spans="1:11">
      <c r="A1504" s="12">
        <v>41828</v>
      </c>
      <c r="B1504">
        <v>2014</v>
      </c>
      <c r="C1504">
        <v>7</v>
      </c>
      <c r="D1504" s="11">
        <v>41821</v>
      </c>
      <c r="E1504" t="s">
        <v>2179</v>
      </c>
      <c r="F1504">
        <v>2</v>
      </c>
      <c r="G1504" t="s">
        <v>63</v>
      </c>
      <c r="H1504" t="s">
        <v>46</v>
      </c>
      <c r="I1504" t="s">
        <v>2194</v>
      </c>
      <c r="J1504" s="10">
        <v>5</v>
      </c>
      <c r="K1504" t="b">
        <v>1</v>
      </c>
    </row>
    <row r="1505" spans="1:11">
      <c r="A1505" s="12">
        <v>41828</v>
      </c>
      <c r="B1505">
        <v>2014</v>
      </c>
      <c r="C1505">
        <v>7</v>
      </c>
      <c r="D1505" s="11">
        <v>41821</v>
      </c>
      <c r="E1505" t="s">
        <v>2179</v>
      </c>
      <c r="F1505">
        <v>2</v>
      </c>
      <c r="G1505" t="s">
        <v>63</v>
      </c>
      <c r="H1505" t="s">
        <v>47</v>
      </c>
      <c r="I1505" t="s">
        <v>2195</v>
      </c>
      <c r="J1505" s="10">
        <v>1</v>
      </c>
      <c r="K1505" t="b">
        <v>1</v>
      </c>
    </row>
    <row r="1506" spans="1:11">
      <c r="A1506" s="12">
        <v>41829</v>
      </c>
      <c r="B1506">
        <v>2014</v>
      </c>
      <c r="C1506">
        <v>7</v>
      </c>
      <c r="D1506" s="11">
        <v>41821</v>
      </c>
      <c r="E1506" t="s">
        <v>2179</v>
      </c>
      <c r="F1506">
        <v>3</v>
      </c>
      <c r="G1506" t="s">
        <v>65</v>
      </c>
      <c r="H1506" t="s">
        <v>40</v>
      </c>
      <c r="I1506" t="s">
        <v>2188</v>
      </c>
      <c r="J1506" s="10">
        <v>3</v>
      </c>
      <c r="K1506" t="b">
        <v>1</v>
      </c>
    </row>
    <row r="1507" spans="1:11">
      <c r="A1507" s="12">
        <v>41829</v>
      </c>
      <c r="B1507">
        <v>2014</v>
      </c>
      <c r="C1507">
        <v>7</v>
      </c>
      <c r="D1507" s="11">
        <v>41821</v>
      </c>
      <c r="E1507" t="s">
        <v>2179</v>
      </c>
      <c r="F1507">
        <v>3</v>
      </c>
      <c r="G1507" t="s">
        <v>65</v>
      </c>
      <c r="H1507" t="s">
        <v>41</v>
      </c>
      <c r="I1507" t="s">
        <v>2189</v>
      </c>
      <c r="J1507" s="10">
        <v>6.34</v>
      </c>
      <c r="K1507" t="b">
        <v>1</v>
      </c>
    </row>
    <row r="1508" spans="1:11">
      <c r="A1508" s="12">
        <v>41829</v>
      </c>
      <c r="B1508">
        <v>2014</v>
      </c>
      <c r="C1508">
        <v>7</v>
      </c>
      <c r="D1508" s="11">
        <v>41821</v>
      </c>
      <c r="E1508" t="s">
        <v>2179</v>
      </c>
      <c r="F1508">
        <v>3</v>
      </c>
      <c r="G1508" t="s">
        <v>65</v>
      </c>
      <c r="H1508" t="s">
        <v>42</v>
      </c>
      <c r="I1508" t="s">
        <v>2190</v>
      </c>
      <c r="J1508" s="10">
        <v>5</v>
      </c>
      <c r="K1508" t="b">
        <v>1</v>
      </c>
    </row>
    <row r="1509" spans="1:11">
      <c r="A1509" s="12">
        <v>41829</v>
      </c>
      <c r="B1509">
        <v>2014</v>
      </c>
      <c r="C1509">
        <v>7</v>
      </c>
      <c r="D1509" s="11">
        <v>41821</v>
      </c>
      <c r="E1509" t="s">
        <v>2179</v>
      </c>
      <c r="F1509">
        <v>3</v>
      </c>
      <c r="G1509" t="s">
        <v>65</v>
      </c>
      <c r="H1509" t="s">
        <v>43</v>
      </c>
      <c r="I1509" t="s">
        <v>2191</v>
      </c>
      <c r="J1509" s="10">
        <v>13</v>
      </c>
      <c r="K1509" t="b">
        <v>1</v>
      </c>
    </row>
    <row r="1510" spans="1:11">
      <c r="A1510" s="12">
        <v>41829</v>
      </c>
      <c r="B1510">
        <v>2014</v>
      </c>
      <c r="C1510">
        <v>7</v>
      </c>
      <c r="D1510" s="11">
        <v>41821</v>
      </c>
      <c r="E1510" t="s">
        <v>2179</v>
      </c>
      <c r="F1510">
        <v>3</v>
      </c>
      <c r="G1510" t="s">
        <v>65</v>
      </c>
      <c r="H1510" t="s">
        <v>44</v>
      </c>
      <c r="I1510" t="s">
        <v>2192</v>
      </c>
      <c r="J1510" s="10">
        <v>6</v>
      </c>
      <c r="K1510" t="b">
        <v>1</v>
      </c>
    </row>
    <row r="1511" spans="1:11">
      <c r="A1511" s="12">
        <v>41829</v>
      </c>
      <c r="B1511">
        <v>2014</v>
      </c>
      <c r="C1511">
        <v>7</v>
      </c>
      <c r="D1511" s="11">
        <v>41821</v>
      </c>
      <c r="E1511" t="s">
        <v>2179</v>
      </c>
      <c r="F1511">
        <v>3</v>
      </c>
      <c r="G1511" t="s">
        <v>65</v>
      </c>
      <c r="H1511" t="s">
        <v>45</v>
      </c>
      <c r="I1511" t="s">
        <v>2193</v>
      </c>
      <c r="J1511" s="10">
        <v>4</v>
      </c>
      <c r="K1511" t="b">
        <v>1</v>
      </c>
    </row>
    <row r="1512" spans="1:11">
      <c r="A1512" s="12">
        <v>41829</v>
      </c>
      <c r="B1512">
        <v>2014</v>
      </c>
      <c r="C1512">
        <v>7</v>
      </c>
      <c r="D1512" s="11">
        <v>41821</v>
      </c>
      <c r="E1512" t="s">
        <v>2179</v>
      </c>
      <c r="F1512">
        <v>3</v>
      </c>
      <c r="G1512" t="s">
        <v>65</v>
      </c>
      <c r="H1512" t="s">
        <v>46</v>
      </c>
      <c r="I1512" t="s">
        <v>2194</v>
      </c>
      <c r="J1512" s="10">
        <v>0</v>
      </c>
      <c r="K1512" t="b">
        <v>1</v>
      </c>
    </row>
    <row r="1513" spans="1:11">
      <c r="A1513" s="12">
        <v>41829</v>
      </c>
      <c r="B1513">
        <v>2014</v>
      </c>
      <c r="C1513">
        <v>7</v>
      </c>
      <c r="D1513" s="11">
        <v>41821</v>
      </c>
      <c r="E1513" t="s">
        <v>2179</v>
      </c>
      <c r="F1513">
        <v>3</v>
      </c>
      <c r="G1513" t="s">
        <v>65</v>
      </c>
      <c r="H1513" t="s">
        <v>47</v>
      </c>
      <c r="I1513" t="s">
        <v>2195</v>
      </c>
      <c r="J1513" s="10">
        <v>2.2</v>
      </c>
      <c r="K1513" t="b">
        <v>1</v>
      </c>
    </row>
    <row r="1514" spans="1:11">
      <c r="A1514" s="12">
        <v>41830</v>
      </c>
      <c r="B1514">
        <v>2014</v>
      </c>
      <c r="C1514">
        <v>7</v>
      </c>
      <c r="D1514" s="11">
        <v>41821</v>
      </c>
      <c r="E1514" t="s">
        <v>2179</v>
      </c>
      <c r="F1514">
        <v>4</v>
      </c>
      <c r="G1514" t="s">
        <v>53</v>
      </c>
      <c r="H1514" t="s">
        <v>40</v>
      </c>
      <c r="I1514" t="s">
        <v>2188</v>
      </c>
      <c r="J1514" s="10">
        <v>2.33</v>
      </c>
      <c r="K1514" t="b">
        <v>1</v>
      </c>
    </row>
    <row r="1515" spans="1:11">
      <c r="A1515" s="12">
        <v>41830</v>
      </c>
      <c r="B1515">
        <v>2014</v>
      </c>
      <c r="C1515">
        <v>7</v>
      </c>
      <c r="D1515" s="11">
        <v>41821</v>
      </c>
      <c r="E1515" t="s">
        <v>2179</v>
      </c>
      <c r="F1515">
        <v>4</v>
      </c>
      <c r="G1515" t="s">
        <v>53</v>
      </c>
      <c r="H1515" t="s">
        <v>41</v>
      </c>
      <c r="I1515" t="s">
        <v>2189</v>
      </c>
      <c r="J1515" s="10">
        <v>4.66</v>
      </c>
      <c r="K1515" t="b">
        <v>1</v>
      </c>
    </row>
    <row r="1516" spans="1:11">
      <c r="A1516" s="12">
        <v>41830</v>
      </c>
      <c r="B1516">
        <v>2014</v>
      </c>
      <c r="C1516">
        <v>7</v>
      </c>
      <c r="D1516" s="11">
        <v>41821</v>
      </c>
      <c r="E1516" t="s">
        <v>2179</v>
      </c>
      <c r="F1516">
        <v>4</v>
      </c>
      <c r="G1516" t="s">
        <v>53</v>
      </c>
      <c r="H1516" t="s">
        <v>42</v>
      </c>
      <c r="I1516" t="s">
        <v>2190</v>
      </c>
      <c r="J1516" s="10">
        <v>8</v>
      </c>
      <c r="K1516" t="b">
        <v>1</v>
      </c>
    </row>
    <row r="1517" spans="1:11">
      <c r="A1517" s="12">
        <v>41830</v>
      </c>
      <c r="B1517">
        <v>2014</v>
      </c>
      <c r="C1517">
        <v>7</v>
      </c>
      <c r="D1517" s="11">
        <v>41821</v>
      </c>
      <c r="E1517" t="s">
        <v>2179</v>
      </c>
      <c r="F1517">
        <v>4</v>
      </c>
      <c r="G1517" t="s">
        <v>53</v>
      </c>
      <c r="H1517" t="s">
        <v>43</v>
      </c>
      <c r="I1517" t="s">
        <v>2191</v>
      </c>
      <c r="J1517" s="10">
        <v>21.2</v>
      </c>
      <c r="K1517" t="b">
        <v>1</v>
      </c>
    </row>
    <row r="1518" spans="1:11">
      <c r="A1518" s="12">
        <v>41830</v>
      </c>
      <c r="B1518">
        <v>2014</v>
      </c>
      <c r="C1518">
        <v>7</v>
      </c>
      <c r="D1518" s="11">
        <v>41821</v>
      </c>
      <c r="E1518" t="s">
        <v>2179</v>
      </c>
      <c r="F1518">
        <v>4</v>
      </c>
      <c r="G1518" t="s">
        <v>53</v>
      </c>
      <c r="H1518" t="s">
        <v>44</v>
      </c>
      <c r="I1518" t="s">
        <v>2192</v>
      </c>
      <c r="J1518" s="10">
        <v>32</v>
      </c>
      <c r="K1518" t="b">
        <v>1</v>
      </c>
    </row>
    <row r="1519" spans="1:11">
      <c r="A1519" s="12">
        <v>41830</v>
      </c>
      <c r="B1519">
        <v>2014</v>
      </c>
      <c r="C1519">
        <v>7</v>
      </c>
      <c r="D1519" s="11">
        <v>41821</v>
      </c>
      <c r="E1519" t="s">
        <v>2179</v>
      </c>
      <c r="F1519">
        <v>4</v>
      </c>
      <c r="G1519" t="s">
        <v>53</v>
      </c>
      <c r="H1519" t="s">
        <v>45</v>
      </c>
      <c r="I1519" t="s">
        <v>2193</v>
      </c>
      <c r="J1519" s="10">
        <v>0</v>
      </c>
      <c r="K1519" t="b">
        <v>1</v>
      </c>
    </row>
    <row r="1520" spans="1:11">
      <c r="A1520" s="12">
        <v>41830</v>
      </c>
      <c r="B1520">
        <v>2014</v>
      </c>
      <c r="C1520">
        <v>7</v>
      </c>
      <c r="D1520" s="11">
        <v>41821</v>
      </c>
      <c r="E1520" t="s">
        <v>2179</v>
      </c>
      <c r="F1520">
        <v>4</v>
      </c>
      <c r="G1520" t="s">
        <v>53</v>
      </c>
      <c r="H1520" t="s">
        <v>46</v>
      </c>
      <c r="I1520" t="s">
        <v>2194</v>
      </c>
      <c r="J1520" s="10">
        <v>5</v>
      </c>
      <c r="K1520" t="b">
        <v>1</v>
      </c>
    </row>
    <row r="1521" spans="1:11">
      <c r="A1521" s="12">
        <v>41830</v>
      </c>
      <c r="B1521">
        <v>2014</v>
      </c>
      <c r="C1521">
        <v>7</v>
      </c>
      <c r="D1521" s="11">
        <v>41821</v>
      </c>
      <c r="E1521" t="s">
        <v>2179</v>
      </c>
      <c r="F1521">
        <v>4</v>
      </c>
      <c r="G1521" t="s">
        <v>53</v>
      </c>
      <c r="H1521" t="s">
        <v>47</v>
      </c>
      <c r="I1521" t="s">
        <v>2195</v>
      </c>
      <c r="J1521" s="10">
        <v>4</v>
      </c>
      <c r="K1521" t="b">
        <v>1</v>
      </c>
    </row>
    <row r="1522" spans="1:11">
      <c r="A1522" s="12">
        <v>41831</v>
      </c>
      <c r="B1522">
        <v>2014</v>
      </c>
      <c r="C1522">
        <v>7</v>
      </c>
      <c r="D1522" s="11">
        <v>41821</v>
      </c>
      <c r="E1522" t="s">
        <v>2179</v>
      </c>
      <c r="F1522">
        <v>5</v>
      </c>
      <c r="G1522" t="s">
        <v>55</v>
      </c>
      <c r="H1522" t="s">
        <v>40</v>
      </c>
      <c r="I1522" t="s">
        <v>2188</v>
      </c>
      <c r="J1522" s="10">
        <v>2</v>
      </c>
      <c r="K1522" t="b">
        <v>1</v>
      </c>
    </row>
    <row r="1523" spans="1:11">
      <c r="A1523" s="12">
        <v>41831</v>
      </c>
      <c r="B1523">
        <v>2014</v>
      </c>
      <c r="C1523">
        <v>7</v>
      </c>
      <c r="D1523" s="11">
        <v>41821</v>
      </c>
      <c r="E1523" t="s">
        <v>2179</v>
      </c>
      <c r="F1523">
        <v>5</v>
      </c>
      <c r="G1523" t="s">
        <v>55</v>
      </c>
      <c r="H1523" t="s">
        <v>41</v>
      </c>
      <c r="I1523" t="s">
        <v>2189</v>
      </c>
      <c r="J1523" s="10">
        <v>1.68</v>
      </c>
      <c r="K1523" t="b">
        <v>1</v>
      </c>
    </row>
    <row r="1524" spans="1:11">
      <c r="A1524" s="12">
        <v>41831</v>
      </c>
      <c r="B1524">
        <v>2014</v>
      </c>
      <c r="C1524">
        <v>7</v>
      </c>
      <c r="D1524" s="11">
        <v>41821</v>
      </c>
      <c r="E1524" t="s">
        <v>2179</v>
      </c>
      <c r="F1524">
        <v>5</v>
      </c>
      <c r="G1524" t="s">
        <v>55</v>
      </c>
      <c r="H1524" t="s">
        <v>42</v>
      </c>
      <c r="I1524" t="s">
        <v>2190</v>
      </c>
      <c r="J1524" s="10">
        <v>3.2</v>
      </c>
      <c r="K1524" t="b">
        <v>1</v>
      </c>
    </row>
    <row r="1525" spans="1:11">
      <c r="A1525" s="12">
        <v>41831</v>
      </c>
      <c r="B1525">
        <v>2014</v>
      </c>
      <c r="C1525">
        <v>7</v>
      </c>
      <c r="D1525" s="11">
        <v>41821</v>
      </c>
      <c r="E1525" t="s">
        <v>2179</v>
      </c>
      <c r="F1525">
        <v>5</v>
      </c>
      <c r="G1525" t="s">
        <v>55</v>
      </c>
      <c r="H1525" t="s">
        <v>43</v>
      </c>
      <c r="I1525" t="s">
        <v>2191</v>
      </c>
      <c r="J1525" s="10">
        <v>16.5</v>
      </c>
      <c r="K1525" t="b">
        <v>1</v>
      </c>
    </row>
    <row r="1526" spans="1:11">
      <c r="A1526" s="12">
        <v>41831</v>
      </c>
      <c r="B1526">
        <v>2014</v>
      </c>
      <c r="C1526">
        <v>7</v>
      </c>
      <c r="D1526" s="11">
        <v>41821</v>
      </c>
      <c r="E1526" t="s">
        <v>2179</v>
      </c>
      <c r="F1526">
        <v>5</v>
      </c>
      <c r="G1526" t="s">
        <v>55</v>
      </c>
      <c r="H1526" t="s">
        <v>44</v>
      </c>
      <c r="I1526" t="s">
        <v>2192</v>
      </c>
      <c r="J1526" s="10">
        <v>17</v>
      </c>
      <c r="K1526" t="b">
        <v>1</v>
      </c>
    </row>
    <row r="1527" spans="1:11">
      <c r="A1527" s="12">
        <v>41831</v>
      </c>
      <c r="B1527">
        <v>2014</v>
      </c>
      <c r="C1527">
        <v>7</v>
      </c>
      <c r="D1527" s="11">
        <v>41821</v>
      </c>
      <c r="E1527" t="s">
        <v>2179</v>
      </c>
      <c r="F1527">
        <v>5</v>
      </c>
      <c r="G1527" t="s">
        <v>55</v>
      </c>
      <c r="H1527" t="s">
        <v>45</v>
      </c>
      <c r="I1527" t="s">
        <v>2193</v>
      </c>
      <c r="J1527" s="10">
        <v>0</v>
      </c>
      <c r="K1527" t="b">
        <v>1</v>
      </c>
    </row>
    <row r="1528" spans="1:11">
      <c r="A1528" s="12">
        <v>41831</v>
      </c>
      <c r="B1528">
        <v>2014</v>
      </c>
      <c r="C1528">
        <v>7</v>
      </c>
      <c r="D1528" s="11">
        <v>41821</v>
      </c>
      <c r="E1528" t="s">
        <v>2179</v>
      </c>
      <c r="F1528">
        <v>5</v>
      </c>
      <c r="G1528" t="s">
        <v>55</v>
      </c>
      <c r="H1528" t="s">
        <v>46</v>
      </c>
      <c r="I1528" t="s">
        <v>2194</v>
      </c>
      <c r="J1528" s="10">
        <v>5</v>
      </c>
      <c r="K1528" t="b">
        <v>1</v>
      </c>
    </row>
    <row r="1529" spans="1:11">
      <c r="A1529" s="12">
        <v>41831</v>
      </c>
      <c r="B1529">
        <v>2014</v>
      </c>
      <c r="C1529">
        <v>7</v>
      </c>
      <c r="D1529" s="11">
        <v>41821</v>
      </c>
      <c r="E1529" t="s">
        <v>2179</v>
      </c>
      <c r="F1529">
        <v>5</v>
      </c>
      <c r="G1529" t="s">
        <v>55</v>
      </c>
      <c r="H1529" t="s">
        <v>47</v>
      </c>
      <c r="I1529" t="s">
        <v>2195</v>
      </c>
      <c r="J1529" s="10">
        <v>1</v>
      </c>
      <c r="K1529" t="b">
        <v>1</v>
      </c>
    </row>
    <row r="1530" spans="1:11">
      <c r="A1530" s="12">
        <v>41832</v>
      </c>
      <c r="B1530">
        <v>2014</v>
      </c>
      <c r="C1530">
        <v>7</v>
      </c>
      <c r="D1530" s="11">
        <v>41821</v>
      </c>
      <c r="E1530" t="s">
        <v>2179</v>
      </c>
      <c r="F1530">
        <v>6</v>
      </c>
      <c r="G1530" t="s">
        <v>57</v>
      </c>
      <c r="H1530" t="s">
        <v>40</v>
      </c>
      <c r="I1530" t="s">
        <v>2188</v>
      </c>
      <c r="J1530" s="10">
        <v>8.34</v>
      </c>
      <c r="K1530" t="b">
        <v>1</v>
      </c>
    </row>
    <row r="1531" spans="1:11">
      <c r="A1531" s="12">
        <v>41832</v>
      </c>
      <c r="B1531">
        <v>2014</v>
      </c>
      <c r="C1531">
        <v>7</v>
      </c>
      <c r="D1531" s="11">
        <v>41821</v>
      </c>
      <c r="E1531" t="s">
        <v>2179</v>
      </c>
      <c r="F1531">
        <v>6</v>
      </c>
      <c r="G1531" t="s">
        <v>57</v>
      </c>
      <c r="H1531" t="s">
        <v>41</v>
      </c>
      <c r="I1531" t="s">
        <v>2189</v>
      </c>
      <c r="J1531" s="10">
        <v>2.68</v>
      </c>
      <c r="K1531" t="b">
        <v>1</v>
      </c>
    </row>
    <row r="1532" spans="1:11">
      <c r="A1532" s="12">
        <v>41832</v>
      </c>
      <c r="B1532">
        <v>2014</v>
      </c>
      <c r="C1532">
        <v>7</v>
      </c>
      <c r="D1532" s="11">
        <v>41821</v>
      </c>
      <c r="E1532" t="s">
        <v>2179</v>
      </c>
      <c r="F1532">
        <v>6</v>
      </c>
      <c r="G1532" t="s">
        <v>57</v>
      </c>
      <c r="H1532" t="s">
        <v>42</v>
      </c>
      <c r="I1532" t="s">
        <v>2190</v>
      </c>
      <c r="J1532" s="10">
        <v>10.5</v>
      </c>
      <c r="K1532" t="b">
        <v>1</v>
      </c>
    </row>
    <row r="1533" spans="1:11">
      <c r="A1533" s="12">
        <v>41832</v>
      </c>
      <c r="B1533">
        <v>2014</v>
      </c>
      <c r="C1533">
        <v>7</v>
      </c>
      <c r="D1533" s="11">
        <v>41821</v>
      </c>
      <c r="E1533" t="s">
        <v>2179</v>
      </c>
      <c r="F1533">
        <v>6</v>
      </c>
      <c r="G1533" t="s">
        <v>57</v>
      </c>
      <c r="H1533" t="s">
        <v>43</v>
      </c>
      <c r="I1533" t="s">
        <v>2191</v>
      </c>
      <c r="J1533" s="10">
        <v>28.1</v>
      </c>
      <c r="K1533" t="b">
        <v>1</v>
      </c>
    </row>
    <row r="1534" spans="1:11">
      <c r="A1534" s="12">
        <v>41832</v>
      </c>
      <c r="B1534">
        <v>2014</v>
      </c>
      <c r="C1534">
        <v>7</v>
      </c>
      <c r="D1534" s="11">
        <v>41821</v>
      </c>
      <c r="E1534" t="s">
        <v>2179</v>
      </c>
      <c r="F1534">
        <v>6</v>
      </c>
      <c r="G1534" t="s">
        <v>57</v>
      </c>
      <c r="H1534" t="s">
        <v>44</v>
      </c>
      <c r="I1534" t="s">
        <v>2192</v>
      </c>
      <c r="J1534" s="10">
        <v>12</v>
      </c>
      <c r="K1534" t="b">
        <v>1</v>
      </c>
    </row>
    <row r="1535" spans="1:11">
      <c r="A1535" s="12">
        <v>41832</v>
      </c>
      <c r="B1535">
        <v>2014</v>
      </c>
      <c r="C1535">
        <v>7</v>
      </c>
      <c r="D1535" s="11">
        <v>41821</v>
      </c>
      <c r="E1535" t="s">
        <v>2179</v>
      </c>
      <c r="F1535">
        <v>6</v>
      </c>
      <c r="G1535" t="s">
        <v>57</v>
      </c>
      <c r="H1535" t="s">
        <v>45</v>
      </c>
      <c r="I1535" t="s">
        <v>2193</v>
      </c>
      <c r="J1535" s="10">
        <v>3</v>
      </c>
      <c r="K1535" t="b">
        <v>1</v>
      </c>
    </row>
    <row r="1536" spans="1:11">
      <c r="A1536" s="12">
        <v>41832</v>
      </c>
      <c r="B1536">
        <v>2014</v>
      </c>
      <c r="C1536">
        <v>7</v>
      </c>
      <c r="D1536" s="11">
        <v>41821</v>
      </c>
      <c r="E1536" t="s">
        <v>2179</v>
      </c>
      <c r="F1536">
        <v>6</v>
      </c>
      <c r="G1536" t="s">
        <v>57</v>
      </c>
      <c r="H1536" t="s">
        <v>46</v>
      </c>
      <c r="I1536" t="s">
        <v>2194</v>
      </c>
      <c r="J1536" s="10">
        <v>12</v>
      </c>
      <c r="K1536" t="b">
        <v>1</v>
      </c>
    </row>
    <row r="1537" spans="1:11">
      <c r="A1537" s="12">
        <v>41832</v>
      </c>
      <c r="B1537">
        <v>2014</v>
      </c>
      <c r="C1537">
        <v>7</v>
      </c>
      <c r="D1537" s="11">
        <v>41821</v>
      </c>
      <c r="E1537" t="s">
        <v>2179</v>
      </c>
      <c r="F1537">
        <v>6</v>
      </c>
      <c r="G1537" t="s">
        <v>57</v>
      </c>
      <c r="H1537" t="s">
        <v>47</v>
      </c>
      <c r="I1537" t="s">
        <v>2195</v>
      </c>
      <c r="J1537" s="10">
        <v>4</v>
      </c>
      <c r="K1537" t="b">
        <v>1</v>
      </c>
    </row>
    <row r="1538" spans="1:11">
      <c r="A1538" s="12">
        <v>41833</v>
      </c>
      <c r="B1538">
        <v>2014</v>
      </c>
      <c r="C1538">
        <v>7</v>
      </c>
      <c r="D1538" s="11">
        <v>41821</v>
      </c>
      <c r="E1538" t="s">
        <v>2179</v>
      </c>
      <c r="F1538">
        <v>7</v>
      </c>
      <c r="G1538" t="s">
        <v>59</v>
      </c>
      <c r="H1538" t="s">
        <v>40</v>
      </c>
      <c r="I1538" t="s">
        <v>2188</v>
      </c>
      <c r="J1538" s="10">
        <v>2</v>
      </c>
      <c r="K1538" t="b">
        <v>1</v>
      </c>
    </row>
    <row r="1539" spans="1:11">
      <c r="A1539" s="12">
        <v>41833</v>
      </c>
      <c r="B1539">
        <v>2014</v>
      </c>
      <c r="C1539">
        <v>7</v>
      </c>
      <c r="D1539" s="11">
        <v>41821</v>
      </c>
      <c r="E1539" t="s">
        <v>2179</v>
      </c>
      <c r="F1539">
        <v>7</v>
      </c>
      <c r="G1539" t="s">
        <v>59</v>
      </c>
      <c r="H1539" t="s">
        <v>41</v>
      </c>
      <c r="I1539" t="s">
        <v>2189</v>
      </c>
      <c r="J1539" s="10">
        <v>1.34</v>
      </c>
      <c r="K1539" t="b">
        <v>1</v>
      </c>
    </row>
    <row r="1540" spans="1:11">
      <c r="A1540" s="12">
        <v>41833</v>
      </c>
      <c r="B1540">
        <v>2014</v>
      </c>
      <c r="C1540">
        <v>7</v>
      </c>
      <c r="D1540" s="11">
        <v>41821</v>
      </c>
      <c r="E1540" t="s">
        <v>2179</v>
      </c>
      <c r="F1540">
        <v>7</v>
      </c>
      <c r="G1540" t="s">
        <v>59</v>
      </c>
      <c r="H1540" t="s">
        <v>42</v>
      </c>
      <c r="I1540" t="s">
        <v>2190</v>
      </c>
      <c r="J1540" s="10">
        <v>1</v>
      </c>
      <c r="K1540" t="b">
        <v>1</v>
      </c>
    </row>
    <row r="1541" spans="1:11">
      <c r="A1541" s="12">
        <v>41833</v>
      </c>
      <c r="B1541">
        <v>2014</v>
      </c>
      <c r="C1541">
        <v>7</v>
      </c>
      <c r="D1541" s="11">
        <v>41821</v>
      </c>
      <c r="E1541" t="s">
        <v>2179</v>
      </c>
      <c r="F1541">
        <v>7</v>
      </c>
      <c r="G1541" t="s">
        <v>59</v>
      </c>
      <c r="H1541" t="s">
        <v>43</v>
      </c>
      <c r="I1541" t="s">
        <v>2191</v>
      </c>
      <c r="J1541" s="10">
        <v>17</v>
      </c>
      <c r="K1541" t="b">
        <v>1</v>
      </c>
    </row>
    <row r="1542" spans="1:11">
      <c r="A1542" s="12">
        <v>41833</v>
      </c>
      <c r="B1542">
        <v>2014</v>
      </c>
      <c r="C1542">
        <v>7</v>
      </c>
      <c r="D1542" s="11">
        <v>41821</v>
      </c>
      <c r="E1542" t="s">
        <v>2179</v>
      </c>
      <c r="F1542">
        <v>7</v>
      </c>
      <c r="G1542" t="s">
        <v>59</v>
      </c>
      <c r="H1542" t="s">
        <v>44</v>
      </c>
      <c r="I1542" t="s">
        <v>2192</v>
      </c>
      <c r="J1542" s="10">
        <v>2</v>
      </c>
      <c r="K1542" t="b">
        <v>1</v>
      </c>
    </row>
    <row r="1543" spans="1:11">
      <c r="A1543" s="12">
        <v>41833</v>
      </c>
      <c r="B1543">
        <v>2014</v>
      </c>
      <c r="C1543">
        <v>7</v>
      </c>
      <c r="D1543" s="11">
        <v>41821</v>
      </c>
      <c r="E1543" t="s">
        <v>2179</v>
      </c>
      <c r="F1543">
        <v>7</v>
      </c>
      <c r="G1543" t="s">
        <v>59</v>
      </c>
      <c r="H1543" t="s">
        <v>45</v>
      </c>
      <c r="I1543" t="s">
        <v>2193</v>
      </c>
      <c r="J1543" s="10">
        <v>0</v>
      </c>
      <c r="K1543" t="b">
        <v>1</v>
      </c>
    </row>
    <row r="1544" spans="1:11">
      <c r="A1544" s="12">
        <v>41833</v>
      </c>
      <c r="B1544">
        <v>2014</v>
      </c>
      <c r="C1544">
        <v>7</v>
      </c>
      <c r="D1544" s="11">
        <v>41821</v>
      </c>
      <c r="E1544" t="s">
        <v>2179</v>
      </c>
      <c r="F1544">
        <v>7</v>
      </c>
      <c r="G1544" t="s">
        <v>59</v>
      </c>
      <c r="H1544" t="s">
        <v>46</v>
      </c>
      <c r="I1544" t="s">
        <v>2194</v>
      </c>
      <c r="J1544" s="10">
        <v>0</v>
      </c>
      <c r="K1544" t="b">
        <v>1</v>
      </c>
    </row>
    <row r="1545" spans="1:11">
      <c r="A1545" s="12">
        <v>41833</v>
      </c>
      <c r="B1545">
        <v>2014</v>
      </c>
      <c r="C1545">
        <v>7</v>
      </c>
      <c r="D1545" s="11">
        <v>41821</v>
      </c>
      <c r="E1545" t="s">
        <v>2179</v>
      </c>
      <c r="F1545">
        <v>7</v>
      </c>
      <c r="G1545" t="s">
        <v>59</v>
      </c>
      <c r="H1545" t="s">
        <v>47</v>
      </c>
      <c r="I1545" t="s">
        <v>2195</v>
      </c>
      <c r="J1545" s="10">
        <v>0</v>
      </c>
      <c r="K1545" t="b">
        <v>1</v>
      </c>
    </row>
    <row r="1546" spans="1:11">
      <c r="A1546" s="12">
        <v>41834</v>
      </c>
      <c r="B1546">
        <v>2014</v>
      </c>
      <c r="C1546">
        <v>7</v>
      </c>
      <c r="D1546" s="11">
        <v>41821</v>
      </c>
      <c r="E1546" t="s">
        <v>2179</v>
      </c>
      <c r="F1546">
        <v>1</v>
      </c>
      <c r="G1546" t="s">
        <v>61</v>
      </c>
      <c r="H1546" t="s">
        <v>40</v>
      </c>
      <c r="I1546" t="s">
        <v>2188</v>
      </c>
      <c r="J1546" s="10">
        <v>5</v>
      </c>
      <c r="K1546" t="b">
        <v>1</v>
      </c>
    </row>
    <row r="1547" spans="1:11">
      <c r="A1547" s="12">
        <v>41834</v>
      </c>
      <c r="B1547">
        <v>2014</v>
      </c>
      <c r="C1547">
        <v>7</v>
      </c>
      <c r="D1547" s="11">
        <v>41821</v>
      </c>
      <c r="E1547" t="s">
        <v>2179</v>
      </c>
      <c r="F1547">
        <v>1</v>
      </c>
      <c r="G1547" t="s">
        <v>61</v>
      </c>
      <c r="H1547" t="s">
        <v>41</v>
      </c>
      <c r="I1547" t="s">
        <v>2189</v>
      </c>
      <c r="J1547" s="10">
        <v>3.04</v>
      </c>
      <c r="K1547" t="b">
        <v>1</v>
      </c>
    </row>
    <row r="1548" spans="1:11">
      <c r="A1548" s="12">
        <v>41834</v>
      </c>
      <c r="B1548">
        <v>2014</v>
      </c>
      <c r="C1548">
        <v>7</v>
      </c>
      <c r="D1548" s="11">
        <v>41821</v>
      </c>
      <c r="E1548" t="s">
        <v>2179</v>
      </c>
      <c r="F1548">
        <v>1</v>
      </c>
      <c r="G1548" t="s">
        <v>61</v>
      </c>
      <c r="H1548" t="s">
        <v>42</v>
      </c>
      <c r="I1548" t="s">
        <v>2190</v>
      </c>
      <c r="J1548" s="10">
        <v>3</v>
      </c>
      <c r="K1548" t="b">
        <v>1</v>
      </c>
    </row>
    <row r="1549" spans="1:11">
      <c r="A1549" s="12">
        <v>41834</v>
      </c>
      <c r="B1549">
        <v>2014</v>
      </c>
      <c r="C1549">
        <v>7</v>
      </c>
      <c r="D1549" s="11">
        <v>41821</v>
      </c>
      <c r="E1549" t="s">
        <v>2179</v>
      </c>
      <c r="F1549">
        <v>1</v>
      </c>
      <c r="G1549" t="s">
        <v>61</v>
      </c>
      <c r="H1549" t="s">
        <v>43</v>
      </c>
      <c r="I1549" t="s">
        <v>2191</v>
      </c>
      <c r="J1549" s="10">
        <v>11.8</v>
      </c>
      <c r="K1549" t="b">
        <v>1</v>
      </c>
    </row>
    <row r="1550" spans="1:11">
      <c r="A1550" s="12">
        <v>41834</v>
      </c>
      <c r="B1550">
        <v>2014</v>
      </c>
      <c r="C1550">
        <v>7</v>
      </c>
      <c r="D1550" s="11">
        <v>41821</v>
      </c>
      <c r="E1550" t="s">
        <v>2179</v>
      </c>
      <c r="F1550">
        <v>1</v>
      </c>
      <c r="G1550" t="s">
        <v>61</v>
      </c>
      <c r="H1550" t="s">
        <v>44</v>
      </c>
      <c r="I1550" t="s">
        <v>2192</v>
      </c>
      <c r="J1550" s="10">
        <v>19</v>
      </c>
      <c r="K1550" t="b">
        <v>1</v>
      </c>
    </row>
    <row r="1551" spans="1:11">
      <c r="A1551" s="12">
        <v>41834</v>
      </c>
      <c r="B1551">
        <v>2014</v>
      </c>
      <c r="C1551">
        <v>7</v>
      </c>
      <c r="D1551" s="11">
        <v>41821</v>
      </c>
      <c r="E1551" t="s">
        <v>2179</v>
      </c>
      <c r="F1551">
        <v>1</v>
      </c>
      <c r="G1551" t="s">
        <v>61</v>
      </c>
      <c r="H1551" t="s">
        <v>45</v>
      </c>
      <c r="I1551" t="s">
        <v>2193</v>
      </c>
      <c r="J1551" s="10">
        <v>1</v>
      </c>
      <c r="K1551" t="b">
        <v>1</v>
      </c>
    </row>
    <row r="1552" spans="1:11">
      <c r="A1552" s="12">
        <v>41834</v>
      </c>
      <c r="B1552">
        <v>2014</v>
      </c>
      <c r="C1552">
        <v>7</v>
      </c>
      <c r="D1552" s="11">
        <v>41821</v>
      </c>
      <c r="E1552" t="s">
        <v>2179</v>
      </c>
      <c r="F1552">
        <v>1</v>
      </c>
      <c r="G1552" t="s">
        <v>61</v>
      </c>
      <c r="H1552" t="s">
        <v>46</v>
      </c>
      <c r="I1552" t="s">
        <v>2194</v>
      </c>
      <c r="J1552" s="10">
        <v>2</v>
      </c>
      <c r="K1552" t="b">
        <v>1</v>
      </c>
    </row>
    <row r="1553" spans="1:11">
      <c r="A1553" s="12">
        <v>41834</v>
      </c>
      <c r="B1553">
        <v>2014</v>
      </c>
      <c r="C1553">
        <v>7</v>
      </c>
      <c r="D1553" s="11">
        <v>41821</v>
      </c>
      <c r="E1553" t="s">
        <v>2179</v>
      </c>
      <c r="F1553">
        <v>1</v>
      </c>
      <c r="G1553" t="s">
        <v>61</v>
      </c>
      <c r="H1553" t="s">
        <v>47</v>
      </c>
      <c r="I1553" t="s">
        <v>2195</v>
      </c>
      <c r="J1553" s="10">
        <v>2</v>
      </c>
      <c r="K1553" t="b">
        <v>1</v>
      </c>
    </row>
    <row r="1554" spans="1:11">
      <c r="A1554" s="12">
        <v>41835</v>
      </c>
      <c r="B1554">
        <v>2014</v>
      </c>
      <c r="C1554">
        <v>7</v>
      </c>
      <c r="D1554" s="11">
        <v>41821</v>
      </c>
      <c r="E1554" t="s">
        <v>2179</v>
      </c>
      <c r="F1554">
        <v>2</v>
      </c>
      <c r="G1554" t="s">
        <v>63</v>
      </c>
      <c r="H1554" t="s">
        <v>40</v>
      </c>
      <c r="I1554" t="s">
        <v>2188</v>
      </c>
      <c r="J1554" s="10">
        <v>3.34</v>
      </c>
      <c r="K1554" t="b">
        <v>1</v>
      </c>
    </row>
    <row r="1555" spans="1:11">
      <c r="A1555" s="12">
        <v>41835</v>
      </c>
      <c r="B1555">
        <v>2014</v>
      </c>
      <c r="C1555">
        <v>7</v>
      </c>
      <c r="D1555" s="11">
        <v>41821</v>
      </c>
      <c r="E1555" t="s">
        <v>2179</v>
      </c>
      <c r="F1555">
        <v>2</v>
      </c>
      <c r="G1555" t="s">
        <v>63</v>
      </c>
      <c r="H1555" t="s">
        <v>41</v>
      </c>
      <c r="I1555" t="s">
        <v>2189</v>
      </c>
      <c r="J1555" s="10">
        <v>1.68</v>
      </c>
      <c r="K1555" t="b">
        <v>1</v>
      </c>
    </row>
    <row r="1556" spans="1:11">
      <c r="A1556" s="12">
        <v>41835</v>
      </c>
      <c r="B1556">
        <v>2014</v>
      </c>
      <c r="C1556">
        <v>7</v>
      </c>
      <c r="D1556" s="11">
        <v>41821</v>
      </c>
      <c r="E1556" t="s">
        <v>2179</v>
      </c>
      <c r="F1556">
        <v>2</v>
      </c>
      <c r="G1556" t="s">
        <v>63</v>
      </c>
      <c r="H1556" t="s">
        <v>42</v>
      </c>
      <c r="I1556" t="s">
        <v>2190</v>
      </c>
      <c r="J1556" s="10">
        <v>1</v>
      </c>
      <c r="K1556" t="b">
        <v>1</v>
      </c>
    </row>
    <row r="1557" spans="1:11">
      <c r="A1557" s="12">
        <v>41835</v>
      </c>
      <c r="B1557">
        <v>2014</v>
      </c>
      <c r="C1557">
        <v>7</v>
      </c>
      <c r="D1557" s="11">
        <v>41821</v>
      </c>
      <c r="E1557" t="s">
        <v>2179</v>
      </c>
      <c r="F1557">
        <v>2</v>
      </c>
      <c r="G1557" t="s">
        <v>63</v>
      </c>
      <c r="H1557" t="s">
        <v>43</v>
      </c>
      <c r="I1557" t="s">
        <v>2191</v>
      </c>
      <c r="J1557" s="10">
        <v>15.6</v>
      </c>
      <c r="K1557" t="b">
        <v>1</v>
      </c>
    </row>
    <row r="1558" spans="1:11">
      <c r="A1558" s="12">
        <v>41835</v>
      </c>
      <c r="B1558">
        <v>2014</v>
      </c>
      <c r="C1558">
        <v>7</v>
      </c>
      <c r="D1558" s="11">
        <v>41821</v>
      </c>
      <c r="E1558" t="s">
        <v>2179</v>
      </c>
      <c r="F1558">
        <v>2</v>
      </c>
      <c r="G1558" t="s">
        <v>63</v>
      </c>
      <c r="H1558" t="s">
        <v>44</v>
      </c>
      <c r="I1558" t="s">
        <v>2192</v>
      </c>
      <c r="J1558" s="10">
        <v>18</v>
      </c>
      <c r="K1558" t="b">
        <v>1</v>
      </c>
    </row>
    <row r="1559" spans="1:11">
      <c r="A1559" s="12">
        <v>41835</v>
      </c>
      <c r="B1559">
        <v>2014</v>
      </c>
      <c r="C1559">
        <v>7</v>
      </c>
      <c r="D1559" s="11">
        <v>41821</v>
      </c>
      <c r="E1559" t="s">
        <v>2179</v>
      </c>
      <c r="F1559">
        <v>2</v>
      </c>
      <c r="G1559" t="s">
        <v>63</v>
      </c>
      <c r="H1559" t="s">
        <v>45</v>
      </c>
      <c r="I1559" t="s">
        <v>2193</v>
      </c>
      <c r="J1559" s="10">
        <v>0</v>
      </c>
      <c r="K1559" t="b">
        <v>1</v>
      </c>
    </row>
    <row r="1560" spans="1:11">
      <c r="A1560" s="12">
        <v>41835</v>
      </c>
      <c r="B1560">
        <v>2014</v>
      </c>
      <c r="C1560">
        <v>7</v>
      </c>
      <c r="D1560" s="11">
        <v>41821</v>
      </c>
      <c r="E1560" t="s">
        <v>2179</v>
      </c>
      <c r="F1560">
        <v>2</v>
      </c>
      <c r="G1560" t="s">
        <v>63</v>
      </c>
      <c r="H1560" t="s">
        <v>46</v>
      </c>
      <c r="I1560" t="s">
        <v>2194</v>
      </c>
      <c r="J1560" s="10">
        <v>0</v>
      </c>
      <c r="K1560" t="b">
        <v>1</v>
      </c>
    </row>
    <row r="1561" spans="1:11">
      <c r="A1561" s="12">
        <v>41835</v>
      </c>
      <c r="B1561">
        <v>2014</v>
      </c>
      <c r="C1561">
        <v>7</v>
      </c>
      <c r="D1561" s="11">
        <v>41821</v>
      </c>
      <c r="E1561" t="s">
        <v>2179</v>
      </c>
      <c r="F1561">
        <v>2</v>
      </c>
      <c r="G1561" t="s">
        <v>63</v>
      </c>
      <c r="H1561" t="s">
        <v>47</v>
      </c>
      <c r="I1561" t="s">
        <v>2195</v>
      </c>
      <c r="J1561" s="10">
        <v>1.3</v>
      </c>
      <c r="K1561" t="b">
        <v>1</v>
      </c>
    </row>
    <row r="1562" spans="1:11">
      <c r="A1562" s="12">
        <v>41836</v>
      </c>
      <c r="B1562">
        <v>2014</v>
      </c>
      <c r="C1562">
        <v>7</v>
      </c>
      <c r="D1562" s="11">
        <v>41821</v>
      </c>
      <c r="E1562" t="s">
        <v>2179</v>
      </c>
      <c r="F1562">
        <v>3</v>
      </c>
      <c r="G1562" t="s">
        <v>65</v>
      </c>
      <c r="H1562" t="s">
        <v>40</v>
      </c>
      <c r="I1562" t="s">
        <v>2188</v>
      </c>
      <c r="J1562" s="10">
        <v>4</v>
      </c>
      <c r="K1562" t="b">
        <v>1</v>
      </c>
    </row>
    <row r="1563" spans="1:11">
      <c r="A1563" s="12">
        <v>41836</v>
      </c>
      <c r="B1563">
        <v>2014</v>
      </c>
      <c r="C1563">
        <v>7</v>
      </c>
      <c r="D1563" s="11">
        <v>41821</v>
      </c>
      <c r="E1563" t="s">
        <v>2179</v>
      </c>
      <c r="F1563">
        <v>3</v>
      </c>
      <c r="G1563" t="s">
        <v>65</v>
      </c>
      <c r="H1563" t="s">
        <v>41</v>
      </c>
      <c r="I1563" t="s">
        <v>2189</v>
      </c>
      <c r="J1563" s="10">
        <v>3.34</v>
      </c>
      <c r="K1563" t="b">
        <v>1</v>
      </c>
    </row>
    <row r="1564" spans="1:11">
      <c r="A1564" s="12">
        <v>41836</v>
      </c>
      <c r="B1564">
        <v>2014</v>
      </c>
      <c r="C1564">
        <v>7</v>
      </c>
      <c r="D1564" s="11">
        <v>41821</v>
      </c>
      <c r="E1564" t="s">
        <v>2179</v>
      </c>
      <c r="F1564">
        <v>3</v>
      </c>
      <c r="G1564" t="s">
        <v>65</v>
      </c>
      <c r="H1564" t="s">
        <v>42</v>
      </c>
      <c r="I1564" t="s">
        <v>2190</v>
      </c>
      <c r="J1564" s="10">
        <v>3</v>
      </c>
      <c r="K1564" t="b">
        <v>1</v>
      </c>
    </row>
    <row r="1565" spans="1:11">
      <c r="A1565" s="12">
        <v>41836</v>
      </c>
      <c r="B1565">
        <v>2014</v>
      </c>
      <c r="C1565">
        <v>7</v>
      </c>
      <c r="D1565" s="11">
        <v>41821</v>
      </c>
      <c r="E1565" t="s">
        <v>2179</v>
      </c>
      <c r="F1565">
        <v>3</v>
      </c>
      <c r="G1565" t="s">
        <v>65</v>
      </c>
      <c r="H1565" t="s">
        <v>43</v>
      </c>
      <c r="I1565" t="s">
        <v>2191</v>
      </c>
      <c r="J1565" s="10">
        <v>13</v>
      </c>
      <c r="K1565" t="b">
        <v>1</v>
      </c>
    </row>
    <row r="1566" spans="1:11">
      <c r="A1566" s="12">
        <v>41836</v>
      </c>
      <c r="B1566">
        <v>2014</v>
      </c>
      <c r="C1566">
        <v>7</v>
      </c>
      <c r="D1566" s="11">
        <v>41821</v>
      </c>
      <c r="E1566" t="s">
        <v>2179</v>
      </c>
      <c r="F1566">
        <v>3</v>
      </c>
      <c r="G1566" t="s">
        <v>65</v>
      </c>
      <c r="H1566" t="s">
        <v>44</v>
      </c>
      <c r="I1566" t="s">
        <v>2192</v>
      </c>
      <c r="J1566" s="10">
        <v>12</v>
      </c>
      <c r="K1566" t="b">
        <v>1</v>
      </c>
    </row>
    <row r="1567" spans="1:11">
      <c r="A1567" s="12">
        <v>41836</v>
      </c>
      <c r="B1567">
        <v>2014</v>
      </c>
      <c r="C1567">
        <v>7</v>
      </c>
      <c r="D1567" s="11">
        <v>41821</v>
      </c>
      <c r="E1567" t="s">
        <v>2179</v>
      </c>
      <c r="F1567">
        <v>3</v>
      </c>
      <c r="G1567" t="s">
        <v>65</v>
      </c>
      <c r="H1567" t="s">
        <v>45</v>
      </c>
      <c r="I1567" t="s">
        <v>2193</v>
      </c>
      <c r="J1567" s="10">
        <v>1</v>
      </c>
      <c r="K1567" t="b">
        <v>1</v>
      </c>
    </row>
    <row r="1568" spans="1:11">
      <c r="A1568" s="12">
        <v>41836</v>
      </c>
      <c r="B1568">
        <v>2014</v>
      </c>
      <c r="C1568">
        <v>7</v>
      </c>
      <c r="D1568" s="11">
        <v>41821</v>
      </c>
      <c r="E1568" t="s">
        <v>2179</v>
      </c>
      <c r="F1568">
        <v>3</v>
      </c>
      <c r="G1568" t="s">
        <v>65</v>
      </c>
      <c r="H1568" t="s">
        <v>46</v>
      </c>
      <c r="I1568" t="s">
        <v>2194</v>
      </c>
      <c r="J1568" s="10">
        <v>4</v>
      </c>
      <c r="K1568" t="b">
        <v>1</v>
      </c>
    </row>
    <row r="1569" spans="1:11">
      <c r="A1569" s="12">
        <v>41836</v>
      </c>
      <c r="B1569">
        <v>2014</v>
      </c>
      <c r="C1569">
        <v>7</v>
      </c>
      <c r="D1569" s="11">
        <v>41821</v>
      </c>
      <c r="E1569" t="s">
        <v>2179</v>
      </c>
      <c r="F1569">
        <v>3</v>
      </c>
      <c r="G1569" t="s">
        <v>65</v>
      </c>
      <c r="H1569" t="s">
        <v>47</v>
      </c>
      <c r="I1569" t="s">
        <v>2195</v>
      </c>
      <c r="J1569" s="10">
        <v>0</v>
      </c>
      <c r="K1569" t="b">
        <v>1</v>
      </c>
    </row>
    <row r="1570" spans="1:11">
      <c r="A1570" s="12">
        <v>41837</v>
      </c>
      <c r="B1570">
        <v>2014</v>
      </c>
      <c r="C1570">
        <v>7</v>
      </c>
      <c r="D1570" s="11">
        <v>41821</v>
      </c>
      <c r="E1570" t="s">
        <v>2179</v>
      </c>
      <c r="F1570">
        <v>4</v>
      </c>
      <c r="G1570" t="s">
        <v>53</v>
      </c>
      <c r="H1570" t="s">
        <v>40</v>
      </c>
      <c r="I1570" t="s">
        <v>2188</v>
      </c>
      <c r="J1570" s="10">
        <v>2</v>
      </c>
      <c r="K1570" t="b">
        <v>1</v>
      </c>
    </row>
    <row r="1571" spans="1:11">
      <c r="A1571" s="12">
        <v>41837</v>
      </c>
      <c r="B1571">
        <v>2014</v>
      </c>
      <c r="C1571">
        <v>7</v>
      </c>
      <c r="D1571" s="11">
        <v>41821</v>
      </c>
      <c r="E1571" t="s">
        <v>2179</v>
      </c>
      <c r="F1571">
        <v>4</v>
      </c>
      <c r="G1571" t="s">
        <v>53</v>
      </c>
      <c r="H1571" t="s">
        <v>41</v>
      </c>
      <c r="I1571" t="s">
        <v>2189</v>
      </c>
      <c r="J1571" s="10">
        <v>3</v>
      </c>
      <c r="K1571" t="b">
        <v>1</v>
      </c>
    </row>
    <row r="1572" spans="1:11">
      <c r="A1572" s="12">
        <v>41837</v>
      </c>
      <c r="B1572">
        <v>2014</v>
      </c>
      <c r="C1572">
        <v>7</v>
      </c>
      <c r="D1572" s="11">
        <v>41821</v>
      </c>
      <c r="E1572" t="s">
        <v>2179</v>
      </c>
      <c r="F1572">
        <v>4</v>
      </c>
      <c r="G1572" t="s">
        <v>53</v>
      </c>
      <c r="H1572" t="s">
        <v>42</v>
      </c>
      <c r="I1572" t="s">
        <v>2190</v>
      </c>
      <c r="J1572" s="10">
        <v>5</v>
      </c>
      <c r="K1572" t="b">
        <v>1</v>
      </c>
    </row>
    <row r="1573" spans="1:11">
      <c r="A1573" s="12">
        <v>41837</v>
      </c>
      <c r="B1573">
        <v>2014</v>
      </c>
      <c r="C1573">
        <v>7</v>
      </c>
      <c r="D1573" s="11">
        <v>41821</v>
      </c>
      <c r="E1573" t="s">
        <v>2179</v>
      </c>
      <c r="F1573">
        <v>4</v>
      </c>
      <c r="G1573" t="s">
        <v>53</v>
      </c>
      <c r="H1573" t="s">
        <v>43</v>
      </c>
      <c r="I1573" t="s">
        <v>2191</v>
      </c>
      <c r="J1573" s="10">
        <v>25</v>
      </c>
      <c r="K1573" t="b">
        <v>1</v>
      </c>
    </row>
    <row r="1574" spans="1:11">
      <c r="A1574" s="12">
        <v>41837</v>
      </c>
      <c r="B1574">
        <v>2014</v>
      </c>
      <c r="C1574">
        <v>7</v>
      </c>
      <c r="D1574" s="11">
        <v>41821</v>
      </c>
      <c r="E1574" t="s">
        <v>2179</v>
      </c>
      <c r="F1574">
        <v>4</v>
      </c>
      <c r="G1574" t="s">
        <v>53</v>
      </c>
      <c r="H1574" t="s">
        <v>44</v>
      </c>
      <c r="I1574" t="s">
        <v>2192</v>
      </c>
      <c r="J1574" s="10">
        <v>14</v>
      </c>
      <c r="K1574" t="b">
        <v>1</v>
      </c>
    </row>
    <row r="1575" spans="1:11">
      <c r="A1575" s="12">
        <v>41837</v>
      </c>
      <c r="B1575">
        <v>2014</v>
      </c>
      <c r="C1575">
        <v>7</v>
      </c>
      <c r="D1575" s="11">
        <v>41821</v>
      </c>
      <c r="E1575" t="s">
        <v>2179</v>
      </c>
      <c r="F1575">
        <v>4</v>
      </c>
      <c r="G1575" t="s">
        <v>53</v>
      </c>
      <c r="H1575" t="s">
        <v>45</v>
      </c>
      <c r="I1575" t="s">
        <v>2193</v>
      </c>
      <c r="J1575" s="10">
        <v>1</v>
      </c>
      <c r="K1575" t="b">
        <v>1</v>
      </c>
    </row>
    <row r="1576" spans="1:11">
      <c r="A1576" s="12">
        <v>41837</v>
      </c>
      <c r="B1576">
        <v>2014</v>
      </c>
      <c r="C1576">
        <v>7</v>
      </c>
      <c r="D1576" s="11">
        <v>41821</v>
      </c>
      <c r="E1576" t="s">
        <v>2179</v>
      </c>
      <c r="F1576">
        <v>4</v>
      </c>
      <c r="G1576" t="s">
        <v>53</v>
      </c>
      <c r="H1576" t="s">
        <v>46</v>
      </c>
      <c r="I1576" t="s">
        <v>2194</v>
      </c>
      <c r="J1576" s="10">
        <v>0</v>
      </c>
      <c r="K1576" t="b">
        <v>1</v>
      </c>
    </row>
    <row r="1577" spans="1:11">
      <c r="A1577" s="12">
        <v>41837</v>
      </c>
      <c r="B1577">
        <v>2014</v>
      </c>
      <c r="C1577">
        <v>7</v>
      </c>
      <c r="D1577" s="11">
        <v>41821</v>
      </c>
      <c r="E1577" t="s">
        <v>2179</v>
      </c>
      <c r="F1577">
        <v>4</v>
      </c>
      <c r="G1577" t="s">
        <v>53</v>
      </c>
      <c r="H1577" t="s">
        <v>47</v>
      </c>
      <c r="I1577" t="s">
        <v>2195</v>
      </c>
      <c r="J1577" s="10">
        <v>1</v>
      </c>
      <c r="K1577" t="b">
        <v>1</v>
      </c>
    </row>
    <row r="1578" spans="1:11">
      <c r="A1578" s="12">
        <v>41838</v>
      </c>
      <c r="B1578">
        <v>2014</v>
      </c>
      <c r="C1578">
        <v>7</v>
      </c>
      <c r="D1578" s="11">
        <v>41821</v>
      </c>
      <c r="E1578" t="s">
        <v>2179</v>
      </c>
      <c r="F1578">
        <v>5</v>
      </c>
      <c r="G1578" t="s">
        <v>55</v>
      </c>
      <c r="H1578" t="s">
        <v>40</v>
      </c>
      <c r="I1578" t="s">
        <v>2188</v>
      </c>
      <c r="J1578" s="10">
        <v>9</v>
      </c>
      <c r="K1578" t="b">
        <v>1</v>
      </c>
    </row>
    <row r="1579" spans="1:11">
      <c r="A1579" s="12">
        <v>41838</v>
      </c>
      <c r="B1579">
        <v>2014</v>
      </c>
      <c r="C1579">
        <v>7</v>
      </c>
      <c r="D1579" s="11">
        <v>41821</v>
      </c>
      <c r="E1579" t="s">
        <v>2179</v>
      </c>
      <c r="F1579">
        <v>5</v>
      </c>
      <c r="G1579" t="s">
        <v>55</v>
      </c>
      <c r="H1579" t="s">
        <v>41</v>
      </c>
      <c r="I1579" t="s">
        <v>2189</v>
      </c>
      <c r="J1579" s="10">
        <v>2.34</v>
      </c>
      <c r="K1579" t="b">
        <v>1</v>
      </c>
    </row>
    <row r="1580" spans="1:11">
      <c r="A1580" s="12">
        <v>41838</v>
      </c>
      <c r="B1580">
        <v>2014</v>
      </c>
      <c r="C1580">
        <v>7</v>
      </c>
      <c r="D1580" s="11">
        <v>41821</v>
      </c>
      <c r="E1580" t="s">
        <v>2179</v>
      </c>
      <c r="F1580">
        <v>5</v>
      </c>
      <c r="G1580" t="s">
        <v>55</v>
      </c>
      <c r="H1580" t="s">
        <v>42</v>
      </c>
      <c r="I1580" t="s">
        <v>2190</v>
      </c>
      <c r="J1580" s="10">
        <v>1.5</v>
      </c>
      <c r="K1580" t="b">
        <v>1</v>
      </c>
    </row>
    <row r="1581" spans="1:11">
      <c r="A1581" s="12">
        <v>41838</v>
      </c>
      <c r="B1581">
        <v>2014</v>
      </c>
      <c r="C1581">
        <v>7</v>
      </c>
      <c r="D1581" s="11">
        <v>41821</v>
      </c>
      <c r="E1581" t="s">
        <v>2179</v>
      </c>
      <c r="F1581">
        <v>5</v>
      </c>
      <c r="G1581" t="s">
        <v>55</v>
      </c>
      <c r="H1581" t="s">
        <v>43</v>
      </c>
      <c r="I1581" t="s">
        <v>2191</v>
      </c>
      <c r="J1581" s="10">
        <v>14.2</v>
      </c>
      <c r="K1581" t="b">
        <v>1</v>
      </c>
    </row>
    <row r="1582" spans="1:11">
      <c r="A1582" s="12">
        <v>41838</v>
      </c>
      <c r="B1582">
        <v>2014</v>
      </c>
      <c r="C1582">
        <v>7</v>
      </c>
      <c r="D1582" s="11">
        <v>41821</v>
      </c>
      <c r="E1582" t="s">
        <v>2179</v>
      </c>
      <c r="F1582">
        <v>5</v>
      </c>
      <c r="G1582" t="s">
        <v>55</v>
      </c>
      <c r="H1582" t="s">
        <v>44</v>
      </c>
      <c r="I1582" t="s">
        <v>2192</v>
      </c>
      <c r="J1582" s="10">
        <v>6</v>
      </c>
      <c r="K1582" t="b">
        <v>1</v>
      </c>
    </row>
    <row r="1583" spans="1:11">
      <c r="A1583" s="12">
        <v>41838</v>
      </c>
      <c r="B1583">
        <v>2014</v>
      </c>
      <c r="C1583">
        <v>7</v>
      </c>
      <c r="D1583" s="11">
        <v>41821</v>
      </c>
      <c r="E1583" t="s">
        <v>2179</v>
      </c>
      <c r="F1583">
        <v>5</v>
      </c>
      <c r="G1583" t="s">
        <v>55</v>
      </c>
      <c r="H1583" t="s">
        <v>45</v>
      </c>
      <c r="I1583" t="s">
        <v>2193</v>
      </c>
      <c r="J1583" s="10">
        <v>3</v>
      </c>
      <c r="K1583" t="b">
        <v>1</v>
      </c>
    </row>
    <row r="1584" spans="1:11">
      <c r="A1584" s="12">
        <v>41838</v>
      </c>
      <c r="B1584">
        <v>2014</v>
      </c>
      <c r="C1584">
        <v>7</v>
      </c>
      <c r="D1584" s="11">
        <v>41821</v>
      </c>
      <c r="E1584" t="s">
        <v>2179</v>
      </c>
      <c r="F1584">
        <v>5</v>
      </c>
      <c r="G1584" t="s">
        <v>55</v>
      </c>
      <c r="H1584" t="s">
        <v>46</v>
      </c>
      <c r="I1584" t="s">
        <v>2194</v>
      </c>
      <c r="J1584" s="10">
        <v>0</v>
      </c>
      <c r="K1584" t="b">
        <v>1</v>
      </c>
    </row>
    <row r="1585" spans="1:11">
      <c r="A1585" s="12">
        <v>41838</v>
      </c>
      <c r="B1585">
        <v>2014</v>
      </c>
      <c r="C1585">
        <v>7</v>
      </c>
      <c r="D1585" s="11">
        <v>41821</v>
      </c>
      <c r="E1585" t="s">
        <v>2179</v>
      </c>
      <c r="F1585">
        <v>5</v>
      </c>
      <c r="G1585" t="s">
        <v>55</v>
      </c>
      <c r="H1585" t="s">
        <v>47</v>
      </c>
      <c r="I1585" t="s">
        <v>2195</v>
      </c>
      <c r="J1585" s="10">
        <v>4</v>
      </c>
      <c r="K1585" t="b">
        <v>1</v>
      </c>
    </row>
    <row r="1586" spans="1:11">
      <c r="A1586" s="12">
        <v>41839</v>
      </c>
      <c r="B1586">
        <v>2014</v>
      </c>
      <c r="C1586">
        <v>7</v>
      </c>
      <c r="D1586" s="11">
        <v>41821</v>
      </c>
      <c r="E1586" t="s">
        <v>2179</v>
      </c>
      <c r="F1586">
        <v>6</v>
      </c>
      <c r="G1586" t="s">
        <v>57</v>
      </c>
      <c r="H1586" t="s">
        <v>40</v>
      </c>
      <c r="I1586" t="s">
        <v>2188</v>
      </c>
      <c r="J1586" s="10">
        <v>7.33</v>
      </c>
      <c r="K1586" t="b">
        <v>1</v>
      </c>
    </row>
    <row r="1587" spans="1:11">
      <c r="A1587" s="12">
        <v>41839</v>
      </c>
      <c r="B1587">
        <v>2014</v>
      </c>
      <c r="C1587">
        <v>7</v>
      </c>
      <c r="D1587" s="11">
        <v>41821</v>
      </c>
      <c r="E1587" t="s">
        <v>2179</v>
      </c>
      <c r="F1587">
        <v>6</v>
      </c>
      <c r="G1587" t="s">
        <v>57</v>
      </c>
      <c r="H1587" t="s">
        <v>41</v>
      </c>
      <c r="I1587" t="s">
        <v>2189</v>
      </c>
      <c r="J1587" s="10">
        <v>7.02</v>
      </c>
      <c r="K1587" t="b">
        <v>1</v>
      </c>
    </row>
    <row r="1588" spans="1:11">
      <c r="A1588" s="12">
        <v>41839</v>
      </c>
      <c r="B1588">
        <v>2014</v>
      </c>
      <c r="C1588">
        <v>7</v>
      </c>
      <c r="D1588" s="11">
        <v>41821</v>
      </c>
      <c r="E1588" t="s">
        <v>2179</v>
      </c>
      <c r="F1588">
        <v>6</v>
      </c>
      <c r="G1588" t="s">
        <v>57</v>
      </c>
      <c r="H1588" t="s">
        <v>42</v>
      </c>
      <c r="I1588" t="s">
        <v>2190</v>
      </c>
      <c r="J1588" s="10">
        <v>6</v>
      </c>
      <c r="K1588" t="b">
        <v>1</v>
      </c>
    </row>
    <row r="1589" spans="1:11">
      <c r="A1589" s="12">
        <v>41839</v>
      </c>
      <c r="B1589">
        <v>2014</v>
      </c>
      <c r="C1589">
        <v>7</v>
      </c>
      <c r="D1589" s="11">
        <v>41821</v>
      </c>
      <c r="E1589" t="s">
        <v>2179</v>
      </c>
      <c r="F1589">
        <v>6</v>
      </c>
      <c r="G1589" t="s">
        <v>57</v>
      </c>
      <c r="H1589" t="s">
        <v>43</v>
      </c>
      <c r="I1589" t="s">
        <v>2191</v>
      </c>
      <c r="J1589" s="10">
        <v>8.4</v>
      </c>
      <c r="K1589" t="b">
        <v>1</v>
      </c>
    </row>
    <row r="1590" spans="1:11">
      <c r="A1590" s="12">
        <v>41839</v>
      </c>
      <c r="B1590">
        <v>2014</v>
      </c>
      <c r="C1590">
        <v>7</v>
      </c>
      <c r="D1590" s="11">
        <v>41821</v>
      </c>
      <c r="E1590" t="s">
        <v>2179</v>
      </c>
      <c r="F1590">
        <v>6</v>
      </c>
      <c r="G1590" t="s">
        <v>57</v>
      </c>
      <c r="H1590" t="s">
        <v>44</v>
      </c>
      <c r="I1590" t="s">
        <v>2192</v>
      </c>
      <c r="J1590" s="10">
        <v>10</v>
      </c>
      <c r="K1590" t="b">
        <v>1</v>
      </c>
    </row>
    <row r="1591" spans="1:11">
      <c r="A1591" s="12">
        <v>41839</v>
      </c>
      <c r="B1591">
        <v>2014</v>
      </c>
      <c r="C1591">
        <v>7</v>
      </c>
      <c r="D1591" s="11">
        <v>41821</v>
      </c>
      <c r="E1591" t="s">
        <v>2179</v>
      </c>
      <c r="F1591">
        <v>6</v>
      </c>
      <c r="G1591" t="s">
        <v>57</v>
      </c>
      <c r="H1591" t="s">
        <v>45</v>
      </c>
      <c r="I1591" t="s">
        <v>2193</v>
      </c>
      <c r="J1591" s="10">
        <v>0</v>
      </c>
      <c r="K1591" t="b">
        <v>1</v>
      </c>
    </row>
    <row r="1592" spans="1:11">
      <c r="A1592" s="12">
        <v>41839</v>
      </c>
      <c r="B1592">
        <v>2014</v>
      </c>
      <c r="C1592">
        <v>7</v>
      </c>
      <c r="D1592" s="11">
        <v>41821</v>
      </c>
      <c r="E1592" t="s">
        <v>2179</v>
      </c>
      <c r="F1592">
        <v>6</v>
      </c>
      <c r="G1592" t="s">
        <v>57</v>
      </c>
      <c r="H1592" t="s">
        <v>46</v>
      </c>
      <c r="I1592" t="s">
        <v>2194</v>
      </c>
      <c r="J1592" s="10">
        <v>6</v>
      </c>
      <c r="K1592" t="b">
        <v>1</v>
      </c>
    </row>
    <row r="1593" spans="1:11">
      <c r="A1593" s="12">
        <v>41839</v>
      </c>
      <c r="B1593">
        <v>2014</v>
      </c>
      <c r="C1593">
        <v>7</v>
      </c>
      <c r="D1593" s="11">
        <v>41821</v>
      </c>
      <c r="E1593" t="s">
        <v>2179</v>
      </c>
      <c r="F1593">
        <v>6</v>
      </c>
      <c r="G1593" t="s">
        <v>57</v>
      </c>
      <c r="H1593" t="s">
        <v>47</v>
      </c>
      <c r="I1593" t="s">
        <v>2195</v>
      </c>
      <c r="J1593" s="10">
        <v>6</v>
      </c>
      <c r="K1593" t="b">
        <v>1</v>
      </c>
    </row>
    <row r="1594" spans="1:11">
      <c r="A1594" s="12">
        <v>41840</v>
      </c>
      <c r="B1594">
        <v>2014</v>
      </c>
      <c r="C1594">
        <v>7</v>
      </c>
      <c r="D1594" s="11">
        <v>41821</v>
      </c>
      <c r="E1594" t="s">
        <v>2179</v>
      </c>
      <c r="F1594">
        <v>7</v>
      </c>
      <c r="G1594" t="s">
        <v>59</v>
      </c>
      <c r="H1594" t="s">
        <v>40</v>
      </c>
      <c r="I1594" t="s">
        <v>2188</v>
      </c>
      <c r="J1594" s="10">
        <v>3</v>
      </c>
      <c r="K1594" t="b">
        <v>1</v>
      </c>
    </row>
    <row r="1595" spans="1:11">
      <c r="A1595" s="12">
        <v>41840</v>
      </c>
      <c r="B1595">
        <v>2014</v>
      </c>
      <c r="C1595">
        <v>7</v>
      </c>
      <c r="D1595" s="11">
        <v>41821</v>
      </c>
      <c r="E1595" t="s">
        <v>2179</v>
      </c>
      <c r="F1595">
        <v>7</v>
      </c>
      <c r="G1595" t="s">
        <v>59</v>
      </c>
      <c r="H1595" t="s">
        <v>41</v>
      </c>
      <c r="I1595" t="s">
        <v>2189</v>
      </c>
      <c r="J1595" s="10">
        <v>0.34</v>
      </c>
      <c r="K1595" t="b">
        <v>1</v>
      </c>
    </row>
    <row r="1596" spans="1:11">
      <c r="A1596" s="12">
        <v>41840</v>
      </c>
      <c r="B1596">
        <v>2014</v>
      </c>
      <c r="C1596">
        <v>7</v>
      </c>
      <c r="D1596" s="11">
        <v>41821</v>
      </c>
      <c r="E1596" t="s">
        <v>2179</v>
      </c>
      <c r="F1596">
        <v>7</v>
      </c>
      <c r="G1596" t="s">
        <v>59</v>
      </c>
      <c r="H1596" t="s">
        <v>42</v>
      </c>
      <c r="I1596" t="s">
        <v>2190</v>
      </c>
      <c r="J1596" s="10">
        <v>1</v>
      </c>
      <c r="K1596" t="b">
        <v>1</v>
      </c>
    </row>
    <row r="1597" spans="1:11">
      <c r="A1597" s="12">
        <v>41840</v>
      </c>
      <c r="B1597">
        <v>2014</v>
      </c>
      <c r="C1597">
        <v>7</v>
      </c>
      <c r="D1597" s="11">
        <v>41821</v>
      </c>
      <c r="E1597" t="s">
        <v>2179</v>
      </c>
      <c r="F1597">
        <v>7</v>
      </c>
      <c r="G1597" t="s">
        <v>59</v>
      </c>
      <c r="H1597" t="s">
        <v>43</v>
      </c>
      <c r="I1597" t="s">
        <v>2191</v>
      </c>
      <c r="J1597" s="10">
        <v>8</v>
      </c>
      <c r="K1597" t="b">
        <v>1</v>
      </c>
    </row>
    <row r="1598" spans="1:11">
      <c r="A1598" s="12">
        <v>41840</v>
      </c>
      <c r="B1598">
        <v>2014</v>
      </c>
      <c r="C1598">
        <v>7</v>
      </c>
      <c r="D1598" s="11">
        <v>41821</v>
      </c>
      <c r="E1598" t="s">
        <v>2179</v>
      </c>
      <c r="F1598">
        <v>7</v>
      </c>
      <c r="G1598" t="s">
        <v>59</v>
      </c>
      <c r="H1598" t="s">
        <v>44</v>
      </c>
      <c r="I1598" t="s">
        <v>2192</v>
      </c>
      <c r="J1598" s="10">
        <v>5</v>
      </c>
      <c r="K1598" t="b">
        <v>1</v>
      </c>
    </row>
    <row r="1599" spans="1:11">
      <c r="A1599" s="12">
        <v>41840</v>
      </c>
      <c r="B1599">
        <v>2014</v>
      </c>
      <c r="C1599">
        <v>7</v>
      </c>
      <c r="D1599" s="11">
        <v>41821</v>
      </c>
      <c r="E1599" t="s">
        <v>2179</v>
      </c>
      <c r="F1599">
        <v>7</v>
      </c>
      <c r="G1599" t="s">
        <v>59</v>
      </c>
      <c r="H1599" t="s">
        <v>45</v>
      </c>
      <c r="I1599" t="s">
        <v>2193</v>
      </c>
      <c r="J1599" s="10">
        <v>0</v>
      </c>
      <c r="K1599" t="b">
        <v>1</v>
      </c>
    </row>
    <row r="1600" spans="1:11">
      <c r="A1600" s="12">
        <v>41840</v>
      </c>
      <c r="B1600">
        <v>2014</v>
      </c>
      <c r="C1600">
        <v>7</v>
      </c>
      <c r="D1600" s="11">
        <v>41821</v>
      </c>
      <c r="E1600" t="s">
        <v>2179</v>
      </c>
      <c r="F1600">
        <v>7</v>
      </c>
      <c r="G1600" t="s">
        <v>59</v>
      </c>
      <c r="H1600" t="s">
        <v>46</v>
      </c>
      <c r="I1600" t="s">
        <v>2194</v>
      </c>
      <c r="J1600" s="10">
        <v>0</v>
      </c>
      <c r="K1600" t="b">
        <v>1</v>
      </c>
    </row>
    <row r="1601" spans="1:11">
      <c r="A1601" s="12">
        <v>41840</v>
      </c>
      <c r="B1601">
        <v>2014</v>
      </c>
      <c r="C1601">
        <v>7</v>
      </c>
      <c r="D1601" s="11">
        <v>41821</v>
      </c>
      <c r="E1601" t="s">
        <v>2179</v>
      </c>
      <c r="F1601">
        <v>7</v>
      </c>
      <c r="G1601" t="s">
        <v>59</v>
      </c>
      <c r="H1601" t="s">
        <v>47</v>
      </c>
      <c r="I1601" t="s">
        <v>2195</v>
      </c>
      <c r="J1601" s="10">
        <v>0.1</v>
      </c>
      <c r="K1601" t="b">
        <v>1</v>
      </c>
    </row>
    <row r="1602" spans="1:11">
      <c r="A1602" s="12">
        <v>41841</v>
      </c>
      <c r="B1602">
        <v>2014</v>
      </c>
      <c r="C1602">
        <v>7</v>
      </c>
      <c r="D1602" s="11">
        <v>41821</v>
      </c>
      <c r="E1602" t="s">
        <v>2179</v>
      </c>
      <c r="F1602">
        <v>1</v>
      </c>
      <c r="G1602" t="s">
        <v>61</v>
      </c>
      <c r="H1602" t="s">
        <v>40</v>
      </c>
      <c r="I1602" t="s">
        <v>2188</v>
      </c>
      <c r="J1602" s="10">
        <v>3</v>
      </c>
      <c r="K1602" t="b">
        <v>1</v>
      </c>
    </row>
    <row r="1603" spans="1:11">
      <c r="A1603" s="12">
        <v>41841</v>
      </c>
      <c r="B1603">
        <v>2014</v>
      </c>
      <c r="C1603">
        <v>7</v>
      </c>
      <c r="D1603" s="11">
        <v>41821</v>
      </c>
      <c r="E1603" t="s">
        <v>2179</v>
      </c>
      <c r="F1603">
        <v>1</v>
      </c>
      <c r="G1603" t="s">
        <v>61</v>
      </c>
      <c r="H1603" t="s">
        <v>41</v>
      </c>
      <c r="I1603" t="s">
        <v>2189</v>
      </c>
      <c r="J1603" s="10">
        <v>4.68</v>
      </c>
      <c r="K1603" t="b">
        <v>1</v>
      </c>
    </row>
    <row r="1604" spans="1:11">
      <c r="A1604" s="12">
        <v>41841</v>
      </c>
      <c r="B1604">
        <v>2014</v>
      </c>
      <c r="C1604">
        <v>7</v>
      </c>
      <c r="D1604" s="11">
        <v>41821</v>
      </c>
      <c r="E1604" t="s">
        <v>2179</v>
      </c>
      <c r="F1604">
        <v>1</v>
      </c>
      <c r="G1604" t="s">
        <v>61</v>
      </c>
      <c r="H1604" t="s">
        <v>42</v>
      </c>
      <c r="I1604" t="s">
        <v>2190</v>
      </c>
      <c r="J1604" s="10">
        <v>8</v>
      </c>
      <c r="K1604" t="b">
        <v>1</v>
      </c>
    </row>
    <row r="1605" spans="1:11">
      <c r="A1605" s="12">
        <v>41841</v>
      </c>
      <c r="B1605">
        <v>2014</v>
      </c>
      <c r="C1605">
        <v>7</v>
      </c>
      <c r="D1605" s="11">
        <v>41821</v>
      </c>
      <c r="E1605" t="s">
        <v>2179</v>
      </c>
      <c r="F1605">
        <v>1</v>
      </c>
      <c r="G1605" t="s">
        <v>61</v>
      </c>
      <c r="H1605" t="s">
        <v>43</v>
      </c>
      <c r="I1605" t="s">
        <v>2191</v>
      </c>
      <c r="J1605" s="10">
        <v>20</v>
      </c>
      <c r="K1605" t="b">
        <v>1</v>
      </c>
    </row>
    <row r="1606" spans="1:11">
      <c r="A1606" s="12">
        <v>41841</v>
      </c>
      <c r="B1606">
        <v>2014</v>
      </c>
      <c r="C1606">
        <v>7</v>
      </c>
      <c r="D1606" s="11">
        <v>41821</v>
      </c>
      <c r="E1606" t="s">
        <v>2179</v>
      </c>
      <c r="F1606">
        <v>1</v>
      </c>
      <c r="G1606" t="s">
        <v>61</v>
      </c>
      <c r="H1606" t="s">
        <v>44</v>
      </c>
      <c r="I1606" t="s">
        <v>2192</v>
      </c>
      <c r="J1606" s="10">
        <v>13</v>
      </c>
      <c r="K1606" t="b">
        <v>1</v>
      </c>
    </row>
    <row r="1607" spans="1:11">
      <c r="A1607" s="12">
        <v>41841</v>
      </c>
      <c r="B1607">
        <v>2014</v>
      </c>
      <c r="C1607">
        <v>7</v>
      </c>
      <c r="D1607" s="11">
        <v>41821</v>
      </c>
      <c r="E1607" t="s">
        <v>2179</v>
      </c>
      <c r="F1607">
        <v>1</v>
      </c>
      <c r="G1607" t="s">
        <v>61</v>
      </c>
      <c r="H1607" t="s">
        <v>45</v>
      </c>
      <c r="I1607" t="s">
        <v>2193</v>
      </c>
      <c r="J1607" s="10">
        <v>1</v>
      </c>
      <c r="K1607" t="b">
        <v>1</v>
      </c>
    </row>
    <row r="1608" spans="1:11">
      <c r="A1608" s="12">
        <v>41841</v>
      </c>
      <c r="B1608">
        <v>2014</v>
      </c>
      <c r="C1608">
        <v>7</v>
      </c>
      <c r="D1608" s="11">
        <v>41821</v>
      </c>
      <c r="E1608" t="s">
        <v>2179</v>
      </c>
      <c r="F1608">
        <v>1</v>
      </c>
      <c r="G1608" t="s">
        <v>61</v>
      </c>
      <c r="H1608" t="s">
        <v>46</v>
      </c>
      <c r="I1608" t="s">
        <v>2194</v>
      </c>
      <c r="J1608" s="10">
        <v>0</v>
      </c>
      <c r="K1608" t="b">
        <v>1</v>
      </c>
    </row>
    <row r="1609" spans="1:11">
      <c r="A1609" s="12">
        <v>41841</v>
      </c>
      <c r="B1609">
        <v>2014</v>
      </c>
      <c r="C1609">
        <v>7</v>
      </c>
      <c r="D1609" s="11">
        <v>41821</v>
      </c>
      <c r="E1609" t="s">
        <v>2179</v>
      </c>
      <c r="F1609">
        <v>1</v>
      </c>
      <c r="G1609" t="s">
        <v>61</v>
      </c>
      <c r="H1609" t="s">
        <v>47</v>
      </c>
      <c r="I1609" t="s">
        <v>2195</v>
      </c>
      <c r="J1609" s="10">
        <v>2</v>
      </c>
      <c r="K1609" t="b">
        <v>1</v>
      </c>
    </row>
    <row r="1610" spans="1:11">
      <c r="A1610" s="12">
        <v>41842</v>
      </c>
      <c r="B1610">
        <v>2014</v>
      </c>
      <c r="C1610">
        <v>7</v>
      </c>
      <c r="D1610" s="11">
        <v>41821</v>
      </c>
      <c r="E1610" t="s">
        <v>2179</v>
      </c>
      <c r="F1610">
        <v>2</v>
      </c>
      <c r="G1610" t="s">
        <v>63</v>
      </c>
      <c r="H1610" t="s">
        <v>40</v>
      </c>
      <c r="I1610" t="s">
        <v>2188</v>
      </c>
      <c r="J1610" s="10">
        <v>5</v>
      </c>
      <c r="K1610" t="b">
        <v>1</v>
      </c>
    </row>
    <row r="1611" spans="1:11">
      <c r="A1611" s="12">
        <v>41842</v>
      </c>
      <c r="B1611">
        <v>2014</v>
      </c>
      <c r="C1611">
        <v>7</v>
      </c>
      <c r="D1611" s="11">
        <v>41821</v>
      </c>
      <c r="E1611" t="s">
        <v>2179</v>
      </c>
      <c r="F1611">
        <v>2</v>
      </c>
      <c r="G1611" t="s">
        <v>63</v>
      </c>
      <c r="H1611" t="s">
        <v>41</v>
      </c>
      <c r="I1611" t="s">
        <v>2189</v>
      </c>
      <c r="J1611" s="10">
        <v>5.68</v>
      </c>
      <c r="K1611" t="b">
        <v>1</v>
      </c>
    </row>
    <row r="1612" spans="1:11">
      <c r="A1612" s="12">
        <v>41842</v>
      </c>
      <c r="B1612">
        <v>2014</v>
      </c>
      <c r="C1612">
        <v>7</v>
      </c>
      <c r="D1612" s="11">
        <v>41821</v>
      </c>
      <c r="E1612" t="s">
        <v>2179</v>
      </c>
      <c r="F1612">
        <v>2</v>
      </c>
      <c r="G1612" t="s">
        <v>63</v>
      </c>
      <c r="H1612" t="s">
        <v>42</v>
      </c>
      <c r="I1612" t="s">
        <v>2190</v>
      </c>
      <c r="J1612" s="10">
        <v>3</v>
      </c>
      <c r="K1612" t="b">
        <v>1</v>
      </c>
    </row>
    <row r="1613" spans="1:11">
      <c r="A1613" s="12">
        <v>41842</v>
      </c>
      <c r="B1613">
        <v>2014</v>
      </c>
      <c r="C1613">
        <v>7</v>
      </c>
      <c r="D1613" s="11">
        <v>41821</v>
      </c>
      <c r="E1613" t="s">
        <v>2179</v>
      </c>
      <c r="F1613">
        <v>2</v>
      </c>
      <c r="G1613" t="s">
        <v>63</v>
      </c>
      <c r="H1613" t="s">
        <v>43</v>
      </c>
      <c r="I1613" t="s">
        <v>2191</v>
      </c>
      <c r="J1613" s="10">
        <v>9</v>
      </c>
      <c r="K1613" t="b">
        <v>1</v>
      </c>
    </row>
    <row r="1614" spans="1:11">
      <c r="A1614" s="12">
        <v>41842</v>
      </c>
      <c r="B1614">
        <v>2014</v>
      </c>
      <c r="C1614">
        <v>7</v>
      </c>
      <c r="D1614" s="11">
        <v>41821</v>
      </c>
      <c r="E1614" t="s">
        <v>2179</v>
      </c>
      <c r="F1614">
        <v>2</v>
      </c>
      <c r="G1614" t="s">
        <v>63</v>
      </c>
      <c r="H1614" t="s">
        <v>44</v>
      </c>
      <c r="I1614" t="s">
        <v>2192</v>
      </c>
      <c r="J1614" s="10">
        <v>7</v>
      </c>
      <c r="K1614" t="b">
        <v>1</v>
      </c>
    </row>
    <row r="1615" spans="1:11">
      <c r="A1615" s="12">
        <v>41842</v>
      </c>
      <c r="B1615">
        <v>2014</v>
      </c>
      <c r="C1615">
        <v>7</v>
      </c>
      <c r="D1615" s="11">
        <v>41821</v>
      </c>
      <c r="E1615" t="s">
        <v>2179</v>
      </c>
      <c r="F1615">
        <v>2</v>
      </c>
      <c r="G1615" t="s">
        <v>63</v>
      </c>
      <c r="H1615" t="s">
        <v>45</v>
      </c>
      <c r="I1615" t="s">
        <v>2193</v>
      </c>
      <c r="J1615" s="10">
        <v>0</v>
      </c>
      <c r="K1615" t="b">
        <v>1</v>
      </c>
    </row>
    <row r="1616" spans="1:11">
      <c r="A1616" s="12">
        <v>41842</v>
      </c>
      <c r="B1616">
        <v>2014</v>
      </c>
      <c r="C1616">
        <v>7</v>
      </c>
      <c r="D1616" s="11">
        <v>41821</v>
      </c>
      <c r="E1616" t="s">
        <v>2179</v>
      </c>
      <c r="F1616">
        <v>2</v>
      </c>
      <c r="G1616" t="s">
        <v>63</v>
      </c>
      <c r="H1616" t="s">
        <v>46</v>
      </c>
      <c r="I1616" t="s">
        <v>2194</v>
      </c>
      <c r="J1616" s="10">
        <v>1</v>
      </c>
      <c r="K1616" t="b">
        <v>1</v>
      </c>
    </row>
    <row r="1617" spans="1:11">
      <c r="A1617" s="12">
        <v>41842</v>
      </c>
      <c r="B1617">
        <v>2014</v>
      </c>
      <c r="C1617">
        <v>7</v>
      </c>
      <c r="D1617" s="11">
        <v>41821</v>
      </c>
      <c r="E1617" t="s">
        <v>2179</v>
      </c>
      <c r="F1617">
        <v>2</v>
      </c>
      <c r="G1617" t="s">
        <v>63</v>
      </c>
      <c r="H1617" t="s">
        <v>47</v>
      </c>
      <c r="I1617" t="s">
        <v>2195</v>
      </c>
      <c r="J1617" s="10">
        <v>2</v>
      </c>
      <c r="K1617" t="b">
        <v>1</v>
      </c>
    </row>
    <row r="1618" spans="1:11">
      <c r="A1618" s="12">
        <v>41843</v>
      </c>
      <c r="B1618">
        <v>2014</v>
      </c>
      <c r="C1618">
        <v>7</v>
      </c>
      <c r="D1618" s="11">
        <v>41821</v>
      </c>
      <c r="E1618" t="s">
        <v>2179</v>
      </c>
      <c r="F1618">
        <v>3</v>
      </c>
      <c r="G1618" t="s">
        <v>65</v>
      </c>
      <c r="H1618" t="s">
        <v>40</v>
      </c>
      <c r="I1618" t="s">
        <v>2188</v>
      </c>
      <c r="J1618" s="10">
        <v>2.67</v>
      </c>
      <c r="K1618" t="b">
        <v>1</v>
      </c>
    </row>
    <row r="1619" spans="1:11">
      <c r="A1619" s="12">
        <v>41843</v>
      </c>
      <c r="B1619">
        <v>2014</v>
      </c>
      <c r="C1619">
        <v>7</v>
      </c>
      <c r="D1619" s="11">
        <v>41821</v>
      </c>
      <c r="E1619" t="s">
        <v>2179</v>
      </c>
      <c r="F1619">
        <v>3</v>
      </c>
      <c r="G1619" t="s">
        <v>65</v>
      </c>
      <c r="H1619" t="s">
        <v>41</v>
      </c>
      <c r="I1619" t="s">
        <v>2189</v>
      </c>
      <c r="J1619" s="10">
        <v>6.37</v>
      </c>
      <c r="K1619" t="b">
        <v>1</v>
      </c>
    </row>
    <row r="1620" spans="1:11">
      <c r="A1620" s="12">
        <v>41843</v>
      </c>
      <c r="B1620">
        <v>2014</v>
      </c>
      <c r="C1620">
        <v>7</v>
      </c>
      <c r="D1620" s="11">
        <v>41821</v>
      </c>
      <c r="E1620" t="s">
        <v>2179</v>
      </c>
      <c r="F1620">
        <v>3</v>
      </c>
      <c r="G1620" t="s">
        <v>65</v>
      </c>
      <c r="H1620" t="s">
        <v>42</v>
      </c>
      <c r="I1620" t="s">
        <v>2190</v>
      </c>
      <c r="J1620" s="10">
        <v>2</v>
      </c>
      <c r="K1620" t="b">
        <v>1</v>
      </c>
    </row>
    <row r="1621" spans="1:11">
      <c r="A1621" s="12">
        <v>41843</v>
      </c>
      <c r="B1621">
        <v>2014</v>
      </c>
      <c r="C1621">
        <v>7</v>
      </c>
      <c r="D1621" s="11">
        <v>41821</v>
      </c>
      <c r="E1621" t="s">
        <v>2179</v>
      </c>
      <c r="F1621">
        <v>3</v>
      </c>
      <c r="G1621" t="s">
        <v>65</v>
      </c>
      <c r="H1621" t="s">
        <v>43</v>
      </c>
      <c r="I1621" t="s">
        <v>2191</v>
      </c>
      <c r="J1621" s="10">
        <v>8</v>
      </c>
      <c r="K1621" t="b">
        <v>1</v>
      </c>
    </row>
    <row r="1622" spans="1:11">
      <c r="A1622" s="12">
        <v>41843</v>
      </c>
      <c r="B1622">
        <v>2014</v>
      </c>
      <c r="C1622">
        <v>7</v>
      </c>
      <c r="D1622" s="11">
        <v>41821</v>
      </c>
      <c r="E1622" t="s">
        <v>2179</v>
      </c>
      <c r="F1622">
        <v>3</v>
      </c>
      <c r="G1622" t="s">
        <v>65</v>
      </c>
      <c r="H1622" t="s">
        <v>44</v>
      </c>
      <c r="I1622" t="s">
        <v>2192</v>
      </c>
      <c r="J1622" s="10">
        <v>19</v>
      </c>
      <c r="K1622" t="b">
        <v>1</v>
      </c>
    </row>
    <row r="1623" spans="1:11">
      <c r="A1623" s="12">
        <v>41843</v>
      </c>
      <c r="B1623">
        <v>2014</v>
      </c>
      <c r="C1623">
        <v>7</v>
      </c>
      <c r="D1623" s="11">
        <v>41821</v>
      </c>
      <c r="E1623" t="s">
        <v>2179</v>
      </c>
      <c r="F1623">
        <v>3</v>
      </c>
      <c r="G1623" t="s">
        <v>65</v>
      </c>
      <c r="H1623" t="s">
        <v>45</v>
      </c>
      <c r="I1623" t="s">
        <v>2193</v>
      </c>
      <c r="J1623" s="10">
        <v>0</v>
      </c>
      <c r="K1623" t="b">
        <v>1</v>
      </c>
    </row>
    <row r="1624" spans="1:11">
      <c r="A1624" s="12">
        <v>41843</v>
      </c>
      <c r="B1624">
        <v>2014</v>
      </c>
      <c r="C1624">
        <v>7</v>
      </c>
      <c r="D1624" s="11">
        <v>41821</v>
      </c>
      <c r="E1624" t="s">
        <v>2179</v>
      </c>
      <c r="F1624">
        <v>3</v>
      </c>
      <c r="G1624" t="s">
        <v>65</v>
      </c>
      <c r="H1624" t="s">
        <v>46</v>
      </c>
      <c r="I1624" t="s">
        <v>2194</v>
      </c>
      <c r="J1624" s="10">
        <v>0</v>
      </c>
      <c r="K1624" t="b">
        <v>1</v>
      </c>
    </row>
    <row r="1625" spans="1:11">
      <c r="A1625" s="12">
        <v>41843</v>
      </c>
      <c r="B1625">
        <v>2014</v>
      </c>
      <c r="C1625">
        <v>7</v>
      </c>
      <c r="D1625" s="11">
        <v>41821</v>
      </c>
      <c r="E1625" t="s">
        <v>2179</v>
      </c>
      <c r="F1625">
        <v>3</v>
      </c>
      <c r="G1625" t="s">
        <v>65</v>
      </c>
      <c r="H1625" t="s">
        <v>47</v>
      </c>
      <c r="I1625" t="s">
        <v>2195</v>
      </c>
      <c r="J1625" s="10">
        <v>3</v>
      </c>
      <c r="K1625" t="b">
        <v>1</v>
      </c>
    </row>
    <row r="1626" spans="1:11">
      <c r="A1626" s="12">
        <v>41844</v>
      </c>
      <c r="B1626">
        <v>2014</v>
      </c>
      <c r="C1626">
        <v>7</v>
      </c>
      <c r="D1626" s="11">
        <v>41821</v>
      </c>
      <c r="E1626" t="s">
        <v>2179</v>
      </c>
      <c r="F1626">
        <v>4</v>
      </c>
      <c r="G1626" t="s">
        <v>53</v>
      </c>
      <c r="H1626" t="s">
        <v>40</v>
      </c>
      <c r="I1626" t="s">
        <v>2188</v>
      </c>
      <c r="J1626" s="10">
        <v>5.34</v>
      </c>
      <c r="K1626" t="b">
        <v>1</v>
      </c>
    </row>
    <row r="1627" spans="1:11">
      <c r="A1627" s="12">
        <v>41844</v>
      </c>
      <c r="B1627">
        <v>2014</v>
      </c>
      <c r="C1627">
        <v>7</v>
      </c>
      <c r="D1627" s="11">
        <v>41821</v>
      </c>
      <c r="E1627" t="s">
        <v>2179</v>
      </c>
      <c r="F1627">
        <v>4</v>
      </c>
      <c r="G1627" t="s">
        <v>53</v>
      </c>
      <c r="H1627" t="s">
        <v>41</v>
      </c>
      <c r="I1627" t="s">
        <v>2189</v>
      </c>
      <c r="J1627" s="10">
        <v>2</v>
      </c>
      <c r="K1627" t="b">
        <v>1</v>
      </c>
    </row>
    <row r="1628" spans="1:11">
      <c r="A1628" s="12">
        <v>41844</v>
      </c>
      <c r="B1628">
        <v>2014</v>
      </c>
      <c r="C1628">
        <v>7</v>
      </c>
      <c r="D1628" s="11">
        <v>41821</v>
      </c>
      <c r="E1628" t="s">
        <v>2179</v>
      </c>
      <c r="F1628">
        <v>4</v>
      </c>
      <c r="G1628" t="s">
        <v>53</v>
      </c>
      <c r="H1628" t="s">
        <v>42</v>
      </c>
      <c r="I1628" t="s">
        <v>2190</v>
      </c>
      <c r="J1628" s="10">
        <v>4.4</v>
      </c>
      <c r="K1628" t="b">
        <v>1</v>
      </c>
    </row>
    <row r="1629" spans="1:11">
      <c r="A1629" s="12">
        <v>41844</v>
      </c>
      <c r="B1629">
        <v>2014</v>
      </c>
      <c r="C1629">
        <v>7</v>
      </c>
      <c r="D1629" s="11">
        <v>41821</v>
      </c>
      <c r="E1629" t="s">
        <v>2179</v>
      </c>
      <c r="F1629">
        <v>4</v>
      </c>
      <c r="G1629" t="s">
        <v>53</v>
      </c>
      <c r="H1629" t="s">
        <v>43</v>
      </c>
      <c r="I1629" t="s">
        <v>2191</v>
      </c>
      <c r="J1629" s="10">
        <v>23</v>
      </c>
      <c r="K1629" t="b">
        <v>1</v>
      </c>
    </row>
    <row r="1630" spans="1:11">
      <c r="A1630" s="12">
        <v>41844</v>
      </c>
      <c r="B1630">
        <v>2014</v>
      </c>
      <c r="C1630">
        <v>7</v>
      </c>
      <c r="D1630" s="11">
        <v>41821</v>
      </c>
      <c r="E1630" t="s">
        <v>2179</v>
      </c>
      <c r="F1630">
        <v>4</v>
      </c>
      <c r="G1630" t="s">
        <v>53</v>
      </c>
      <c r="H1630" t="s">
        <v>44</v>
      </c>
      <c r="I1630" t="s">
        <v>2192</v>
      </c>
      <c r="J1630" s="10">
        <v>5</v>
      </c>
      <c r="K1630" t="b">
        <v>1</v>
      </c>
    </row>
    <row r="1631" spans="1:11">
      <c r="A1631" s="12">
        <v>41844</v>
      </c>
      <c r="B1631">
        <v>2014</v>
      </c>
      <c r="C1631">
        <v>7</v>
      </c>
      <c r="D1631" s="11">
        <v>41821</v>
      </c>
      <c r="E1631" t="s">
        <v>2179</v>
      </c>
      <c r="F1631">
        <v>4</v>
      </c>
      <c r="G1631" t="s">
        <v>53</v>
      </c>
      <c r="H1631" t="s">
        <v>45</v>
      </c>
      <c r="I1631" t="s">
        <v>2193</v>
      </c>
      <c r="J1631" s="10">
        <v>0</v>
      </c>
      <c r="K1631" t="b">
        <v>1</v>
      </c>
    </row>
    <row r="1632" spans="1:11">
      <c r="A1632" s="12">
        <v>41844</v>
      </c>
      <c r="B1632">
        <v>2014</v>
      </c>
      <c r="C1632">
        <v>7</v>
      </c>
      <c r="D1632" s="11">
        <v>41821</v>
      </c>
      <c r="E1632" t="s">
        <v>2179</v>
      </c>
      <c r="F1632">
        <v>4</v>
      </c>
      <c r="G1632" t="s">
        <v>53</v>
      </c>
      <c r="H1632" t="s">
        <v>46</v>
      </c>
      <c r="I1632" t="s">
        <v>2194</v>
      </c>
      <c r="J1632" s="10">
        <v>0</v>
      </c>
      <c r="K1632" t="b">
        <v>1</v>
      </c>
    </row>
    <row r="1633" spans="1:11">
      <c r="A1633" s="12">
        <v>41844</v>
      </c>
      <c r="B1633">
        <v>2014</v>
      </c>
      <c r="C1633">
        <v>7</v>
      </c>
      <c r="D1633" s="11">
        <v>41821</v>
      </c>
      <c r="E1633" t="s">
        <v>2179</v>
      </c>
      <c r="F1633">
        <v>4</v>
      </c>
      <c r="G1633" t="s">
        <v>53</v>
      </c>
      <c r="H1633" t="s">
        <v>47</v>
      </c>
      <c r="I1633" t="s">
        <v>2195</v>
      </c>
      <c r="J1633" s="10">
        <v>2</v>
      </c>
      <c r="K1633" t="b">
        <v>1</v>
      </c>
    </row>
    <row r="1634" spans="1:11">
      <c r="A1634" s="12">
        <v>41845</v>
      </c>
      <c r="B1634">
        <v>2014</v>
      </c>
      <c r="C1634">
        <v>7</v>
      </c>
      <c r="D1634" s="11">
        <v>41821</v>
      </c>
      <c r="E1634" t="s">
        <v>2179</v>
      </c>
      <c r="F1634">
        <v>5</v>
      </c>
      <c r="G1634" t="s">
        <v>55</v>
      </c>
      <c r="H1634" t="s">
        <v>40</v>
      </c>
      <c r="I1634" t="s">
        <v>2188</v>
      </c>
      <c r="J1634" s="10">
        <v>5</v>
      </c>
      <c r="K1634" t="b">
        <v>1</v>
      </c>
    </row>
    <row r="1635" spans="1:11">
      <c r="A1635" s="12">
        <v>41845</v>
      </c>
      <c r="B1635">
        <v>2014</v>
      </c>
      <c r="C1635">
        <v>7</v>
      </c>
      <c r="D1635" s="11">
        <v>41821</v>
      </c>
      <c r="E1635" t="s">
        <v>2179</v>
      </c>
      <c r="F1635">
        <v>5</v>
      </c>
      <c r="G1635" t="s">
        <v>55</v>
      </c>
      <c r="H1635" t="s">
        <v>41</v>
      </c>
      <c r="I1635" t="s">
        <v>2189</v>
      </c>
      <c r="J1635" s="10">
        <v>2.02</v>
      </c>
      <c r="K1635" t="b">
        <v>1</v>
      </c>
    </row>
    <row r="1636" spans="1:11">
      <c r="A1636" s="12">
        <v>41845</v>
      </c>
      <c r="B1636">
        <v>2014</v>
      </c>
      <c r="C1636">
        <v>7</v>
      </c>
      <c r="D1636" s="11">
        <v>41821</v>
      </c>
      <c r="E1636" t="s">
        <v>2179</v>
      </c>
      <c r="F1636">
        <v>5</v>
      </c>
      <c r="G1636" t="s">
        <v>55</v>
      </c>
      <c r="H1636" t="s">
        <v>42</v>
      </c>
      <c r="I1636" t="s">
        <v>2190</v>
      </c>
      <c r="J1636" s="10">
        <v>7.5</v>
      </c>
      <c r="K1636" t="b">
        <v>1</v>
      </c>
    </row>
    <row r="1637" spans="1:11">
      <c r="A1637" s="12">
        <v>41845</v>
      </c>
      <c r="B1637">
        <v>2014</v>
      </c>
      <c r="C1637">
        <v>7</v>
      </c>
      <c r="D1637" s="11">
        <v>41821</v>
      </c>
      <c r="E1637" t="s">
        <v>2179</v>
      </c>
      <c r="F1637">
        <v>5</v>
      </c>
      <c r="G1637" t="s">
        <v>55</v>
      </c>
      <c r="H1637" t="s">
        <v>43</v>
      </c>
      <c r="I1637" t="s">
        <v>2191</v>
      </c>
      <c r="J1637" s="10">
        <v>10</v>
      </c>
      <c r="K1637" t="b">
        <v>1</v>
      </c>
    </row>
    <row r="1638" spans="1:11">
      <c r="A1638" s="12">
        <v>41845</v>
      </c>
      <c r="B1638">
        <v>2014</v>
      </c>
      <c r="C1638">
        <v>7</v>
      </c>
      <c r="D1638" s="11">
        <v>41821</v>
      </c>
      <c r="E1638" t="s">
        <v>2179</v>
      </c>
      <c r="F1638">
        <v>5</v>
      </c>
      <c r="G1638" t="s">
        <v>55</v>
      </c>
      <c r="H1638" t="s">
        <v>44</v>
      </c>
      <c r="I1638" t="s">
        <v>2192</v>
      </c>
      <c r="J1638" s="10">
        <v>15</v>
      </c>
      <c r="K1638" t="b">
        <v>1</v>
      </c>
    </row>
    <row r="1639" spans="1:11">
      <c r="A1639" s="12">
        <v>41845</v>
      </c>
      <c r="B1639">
        <v>2014</v>
      </c>
      <c r="C1639">
        <v>7</v>
      </c>
      <c r="D1639" s="11">
        <v>41821</v>
      </c>
      <c r="E1639" t="s">
        <v>2179</v>
      </c>
      <c r="F1639">
        <v>5</v>
      </c>
      <c r="G1639" t="s">
        <v>55</v>
      </c>
      <c r="H1639" t="s">
        <v>45</v>
      </c>
      <c r="I1639" t="s">
        <v>2193</v>
      </c>
      <c r="J1639" s="10">
        <v>1</v>
      </c>
      <c r="K1639" t="b">
        <v>1</v>
      </c>
    </row>
    <row r="1640" spans="1:11">
      <c r="A1640" s="12">
        <v>41845</v>
      </c>
      <c r="B1640">
        <v>2014</v>
      </c>
      <c r="C1640">
        <v>7</v>
      </c>
      <c r="D1640" s="11">
        <v>41821</v>
      </c>
      <c r="E1640" t="s">
        <v>2179</v>
      </c>
      <c r="F1640">
        <v>5</v>
      </c>
      <c r="G1640" t="s">
        <v>55</v>
      </c>
      <c r="H1640" t="s">
        <v>46</v>
      </c>
      <c r="I1640" t="s">
        <v>2194</v>
      </c>
      <c r="J1640" s="10">
        <v>1</v>
      </c>
      <c r="K1640" t="b">
        <v>1</v>
      </c>
    </row>
    <row r="1641" spans="1:11">
      <c r="A1641" s="12">
        <v>41845</v>
      </c>
      <c r="B1641">
        <v>2014</v>
      </c>
      <c r="C1641">
        <v>7</v>
      </c>
      <c r="D1641" s="11">
        <v>41821</v>
      </c>
      <c r="E1641" t="s">
        <v>2179</v>
      </c>
      <c r="F1641">
        <v>5</v>
      </c>
      <c r="G1641" t="s">
        <v>55</v>
      </c>
      <c r="H1641" t="s">
        <v>47</v>
      </c>
      <c r="I1641" t="s">
        <v>2195</v>
      </c>
      <c r="J1641" s="10">
        <v>2</v>
      </c>
      <c r="K1641" t="b">
        <v>1</v>
      </c>
    </row>
    <row r="1642" spans="1:11">
      <c r="A1642" s="12">
        <v>41846</v>
      </c>
      <c r="B1642">
        <v>2014</v>
      </c>
      <c r="C1642">
        <v>7</v>
      </c>
      <c r="D1642" s="11">
        <v>41821</v>
      </c>
      <c r="E1642" t="s">
        <v>2179</v>
      </c>
      <c r="F1642">
        <v>6</v>
      </c>
      <c r="G1642" t="s">
        <v>57</v>
      </c>
      <c r="H1642" t="s">
        <v>40</v>
      </c>
      <c r="I1642" t="s">
        <v>2188</v>
      </c>
      <c r="J1642" s="10">
        <v>4</v>
      </c>
      <c r="K1642" t="b">
        <v>1</v>
      </c>
    </row>
    <row r="1643" spans="1:11">
      <c r="A1643" s="12">
        <v>41846</v>
      </c>
      <c r="B1643">
        <v>2014</v>
      </c>
      <c r="C1643">
        <v>7</v>
      </c>
      <c r="D1643" s="11">
        <v>41821</v>
      </c>
      <c r="E1643" t="s">
        <v>2179</v>
      </c>
      <c r="F1643">
        <v>6</v>
      </c>
      <c r="G1643" t="s">
        <v>57</v>
      </c>
      <c r="H1643" t="s">
        <v>41</v>
      </c>
      <c r="I1643" t="s">
        <v>2189</v>
      </c>
      <c r="J1643" s="10">
        <v>6.68</v>
      </c>
      <c r="K1643" t="b">
        <v>1</v>
      </c>
    </row>
    <row r="1644" spans="1:11">
      <c r="A1644" s="12">
        <v>41846</v>
      </c>
      <c r="B1644">
        <v>2014</v>
      </c>
      <c r="C1644">
        <v>7</v>
      </c>
      <c r="D1644" s="11">
        <v>41821</v>
      </c>
      <c r="E1644" t="s">
        <v>2179</v>
      </c>
      <c r="F1644">
        <v>6</v>
      </c>
      <c r="G1644" t="s">
        <v>57</v>
      </c>
      <c r="H1644" t="s">
        <v>42</v>
      </c>
      <c r="I1644" t="s">
        <v>2190</v>
      </c>
      <c r="J1644" s="10">
        <v>6.2</v>
      </c>
      <c r="K1644" t="b">
        <v>1</v>
      </c>
    </row>
    <row r="1645" spans="1:11">
      <c r="A1645" s="12">
        <v>41846</v>
      </c>
      <c r="B1645">
        <v>2014</v>
      </c>
      <c r="C1645">
        <v>7</v>
      </c>
      <c r="D1645" s="11">
        <v>41821</v>
      </c>
      <c r="E1645" t="s">
        <v>2179</v>
      </c>
      <c r="F1645">
        <v>6</v>
      </c>
      <c r="G1645" t="s">
        <v>57</v>
      </c>
      <c r="H1645" t="s">
        <v>43</v>
      </c>
      <c r="I1645" t="s">
        <v>2191</v>
      </c>
      <c r="J1645" s="10">
        <v>36.2</v>
      </c>
      <c r="K1645" t="b">
        <v>1</v>
      </c>
    </row>
    <row r="1646" spans="1:11">
      <c r="A1646" s="12">
        <v>41846</v>
      </c>
      <c r="B1646">
        <v>2014</v>
      </c>
      <c r="C1646">
        <v>7</v>
      </c>
      <c r="D1646" s="11">
        <v>41821</v>
      </c>
      <c r="E1646" t="s">
        <v>2179</v>
      </c>
      <c r="F1646">
        <v>6</v>
      </c>
      <c r="G1646" t="s">
        <v>57</v>
      </c>
      <c r="H1646" t="s">
        <v>44</v>
      </c>
      <c r="I1646" t="s">
        <v>2192</v>
      </c>
      <c r="J1646" s="10">
        <v>13</v>
      </c>
      <c r="K1646" t="b">
        <v>1</v>
      </c>
    </row>
    <row r="1647" spans="1:11">
      <c r="A1647" s="12">
        <v>41846</v>
      </c>
      <c r="B1647">
        <v>2014</v>
      </c>
      <c r="C1647">
        <v>7</v>
      </c>
      <c r="D1647" s="11">
        <v>41821</v>
      </c>
      <c r="E1647" t="s">
        <v>2179</v>
      </c>
      <c r="F1647">
        <v>6</v>
      </c>
      <c r="G1647" t="s">
        <v>57</v>
      </c>
      <c r="H1647" t="s">
        <v>45</v>
      </c>
      <c r="I1647" t="s">
        <v>2193</v>
      </c>
      <c r="J1647" s="10">
        <v>0</v>
      </c>
      <c r="K1647" t="b">
        <v>1</v>
      </c>
    </row>
    <row r="1648" spans="1:11">
      <c r="A1648" s="12">
        <v>41846</v>
      </c>
      <c r="B1648">
        <v>2014</v>
      </c>
      <c r="C1648">
        <v>7</v>
      </c>
      <c r="D1648" s="11">
        <v>41821</v>
      </c>
      <c r="E1648" t="s">
        <v>2179</v>
      </c>
      <c r="F1648">
        <v>6</v>
      </c>
      <c r="G1648" t="s">
        <v>57</v>
      </c>
      <c r="H1648" t="s">
        <v>46</v>
      </c>
      <c r="I1648" t="s">
        <v>2194</v>
      </c>
      <c r="J1648" s="10">
        <v>0</v>
      </c>
      <c r="K1648" t="b">
        <v>1</v>
      </c>
    </row>
    <row r="1649" spans="1:11">
      <c r="A1649" s="12">
        <v>41846</v>
      </c>
      <c r="B1649">
        <v>2014</v>
      </c>
      <c r="C1649">
        <v>7</v>
      </c>
      <c r="D1649" s="11">
        <v>41821</v>
      </c>
      <c r="E1649" t="s">
        <v>2179</v>
      </c>
      <c r="F1649">
        <v>6</v>
      </c>
      <c r="G1649" t="s">
        <v>57</v>
      </c>
      <c r="H1649" t="s">
        <v>47</v>
      </c>
      <c r="I1649" t="s">
        <v>2195</v>
      </c>
      <c r="J1649" s="10">
        <v>4</v>
      </c>
      <c r="K1649" t="b">
        <v>1</v>
      </c>
    </row>
    <row r="1650" spans="1:11">
      <c r="A1650" s="12">
        <v>41847</v>
      </c>
      <c r="B1650">
        <v>2014</v>
      </c>
      <c r="C1650">
        <v>7</v>
      </c>
      <c r="D1650" s="11">
        <v>41821</v>
      </c>
      <c r="E1650" t="s">
        <v>2179</v>
      </c>
      <c r="F1650">
        <v>7</v>
      </c>
      <c r="G1650" t="s">
        <v>59</v>
      </c>
      <c r="H1650" t="s">
        <v>40</v>
      </c>
      <c r="I1650" t="s">
        <v>2188</v>
      </c>
      <c r="J1650" s="10">
        <v>3</v>
      </c>
      <c r="K1650" t="b">
        <v>1</v>
      </c>
    </row>
    <row r="1651" spans="1:11">
      <c r="A1651" s="12">
        <v>41847</v>
      </c>
      <c r="B1651">
        <v>2014</v>
      </c>
      <c r="C1651">
        <v>7</v>
      </c>
      <c r="D1651" s="11">
        <v>41821</v>
      </c>
      <c r="E1651" t="s">
        <v>2179</v>
      </c>
      <c r="F1651">
        <v>7</v>
      </c>
      <c r="G1651" t="s">
        <v>59</v>
      </c>
      <c r="H1651" t="s">
        <v>41</v>
      </c>
      <c r="I1651" t="s">
        <v>2189</v>
      </c>
      <c r="J1651" s="10">
        <v>1.34</v>
      </c>
      <c r="K1651" t="b">
        <v>1</v>
      </c>
    </row>
    <row r="1652" spans="1:11">
      <c r="A1652" s="12">
        <v>41847</v>
      </c>
      <c r="B1652">
        <v>2014</v>
      </c>
      <c r="C1652">
        <v>7</v>
      </c>
      <c r="D1652" s="11">
        <v>41821</v>
      </c>
      <c r="E1652" t="s">
        <v>2179</v>
      </c>
      <c r="F1652">
        <v>7</v>
      </c>
      <c r="G1652" t="s">
        <v>59</v>
      </c>
      <c r="H1652" t="s">
        <v>42</v>
      </c>
      <c r="I1652" t="s">
        <v>2190</v>
      </c>
      <c r="J1652" s="10">
        <v>2</v>
      </c>
      <c r="K1652" t="b">
        <v>1</v>
      </c>
    </row>
    <row r="1653" spans="1:11">
      <c r="A1653" s="12">
        <v>41847</v>
      </c>
      <c r="B1653">
        <v>2014</v>
      </c>
      <c r="C1653">
        <v>7</v>
      </c>
      <c r="D1653" s="11">
        <v>41821</v>
      </c>
      <c r="E1653" t="s">
        <v>2179</v>
      </c>
      <c r="F1653">
        <v>7</v>
      </c>
      <c r="G1653" t="s">
        <v>59</v>
      </c>
      <c r="H1653" t="s">
        <v>43</v>
      </c>
      <c r="I1653" t="s">
        <v>2191</v>
      </c>
      <c r="J1653" s="10">
        <v>10</v>
      </c>
      <c r="K1653" t="b">
        <v>1</v>
      </c>
    </row>
    <row r="1654" spans="1:11">
      <c r="A1654" s="12">
        <v>41847</v>
      </c>
      <c r="B1654">
        <v>2014</v>
      </c>
      <c r="C1654">
        <v>7</v>
      </c>
      <c r="D1654" s="11">
        <v>41821</v>
      </c>
      <c r="E1654" t="s">
        <v>2179</v>
      </c>
      <c r="F1654">
        <v>7</v>
      </c>
      <c r="G1654" t="s">
        <v>59</v>
      </c>
      <c r="H1654" t="s">
        <v>44</v>
      </c>
      <c r="I1654" t="s">
        <v>2192</v>
      </c>
      <c r="J1654" s="10">
        <v>5</v>
      </c>
      <c r="K1654" t="b">
        <v>1</v>
      </c>
    </row>
    <row r="1655" spans="1:11">
      <c r="A1655" s="12">
        <v>41847</v>
      </c>
      <c r="B1655">
        <v>2014</v>
      </c>
      <c r="C1655">
        <v>7</v>
      </c>
      <c r="D1655" s="11">
        <v>41821</v>
      </c>
      <c r="E1655" t="s">
        <v>2179</v>
      </c>
      <c r="F1655">
        <v>7</v>
      </c>
      <c r="G1655" t="s">
        <v>59</v>
      </c>
      <c r="H1655" t="s">
        <v>45</v>
      </c>
      <c r="I1655" t="s">
        <v>2193</v>
      </c>
      <c r="J1655" s="10">
        <v>0</v>
      </c>
      <c r="K1655" t="b">
        <v>1</v>
      </c>
    </row>
    <row r="1656" spans="1:11">
      <c r="A1656" s="12">
        <v>41847</v>
      </c>
      <c r="B1656">
        <v>2014</v>
      </c>
      <c r="C1656">
        <v>7</v>
      </c>
      <c r="D1656" s="11">
        <v>41821</v>
      </c>
      <c r="E1656" t="s">
        <v>2179</v>
      </c>
      <c r="F1656">
        <v>7</v>
      </c>
      <c r="G1656" t="s">
        <v>59</v>
      </c>
      <c r="H1656" t="s">
        <v>46</v>
      </c>
      <c r="I1656" t="s">
        <v>2194</v>
      </c>
      <c r="J1656" s="10">
        <v>6</v>
      </c>
      <c r="K1656" t="b">
        <v>1</v>
      </c>
    </row>
    <row r="1657" spans="1:11">
      <c r="A1657" s="12">
        <v>41847</v>
      </c>
      <c r="B1657">
        <v>2014</v>
      </c>
      <c r="C1657">
        <v>7</v>
      </c>
      <c r="D1657" s="11">
        <v>41821</v>
      </c>
      <c r="E1657" t="s">
        <v>2179</v>
      </c>
      <c r="F1657">
        <v>7</v>
      </c>
      <c r="G1657" t="s">
        <v>59</v>
      </c>
      <c r="H1657" t="s">
        <v>47</v>
      </c>
      <c r="I1657" t="s">
        <v>2195</v>
      </c>
      <c r="J1657" s="10">
        <v>1</v>
      </c>
      <c r="K1657" t="b">
        <v>1</v>
      </c>
    </row>
    <row r="1658" spans="1:11">
      <c r="A1658" s="12">
        <v>41848</v>
      </c>
      <c r="B1658">
        <v>2014</v>
      </c>
      <c r="C1658">
        <v>7</v>
      </c>
      <c r="D1658" s="11">
        <v>41821</v>
      </c>
      <c r="E1658" t="s">
        <v>2179</v>
      </c>
      <c r="F1658">
        <v>1</v>
      </c>
      <c r="G1658" t="s">
        <v>61</v>
      </c>
      <c r="H1658" t="s">
        <v>40</v>
      </c>
      <c r="I1658" t="s">
        <v>2188</v>
      </c>
      <c r="J1658" s="10">
        <v>2</v>
      </c>
      <c r="K1658" t="b">
        <v>1</v>
      </c>
    </row>
    <row r="1659" spans="1:11">
      <c r="A1659" s="12">
        <v>41848</v>
      </c>
      <c r="B1659">
        <v>2014</v>
      </c>
      <c r="C1659">
        <v>7</v>
      </c>
      <c r="D1659" s="11">
        <v>41821</v>
      </c>
      <c r="E1659" t="s">
        <v>2179</v>
      </c>
      <c r="F1659">
        <v>1</v>
      </c>
      <c r="G1659" t="s">
        <v>61</v>
      </c>
      <c r="H1659" t="s">
        <v>41</v>
      </c>
      <c r="I1659" t="s">
        <v>2189</v>
      </c>
      <c r="J1659" s="10">
        <v>1.34</v>
      </c>
      <c r="K1659" t="b">
        <v>1</v>
      </c>
    </row>
    <row r="1660" spans="1:11">
      <c r="A1660" s="12">
        <v>41848</v>
      </c>
      <c r="B1660">
        <v>2014</v>
      </c>
      <c r="C1660">
        <v>7</v>
      </c>
      <c r="D1660" s="11">
        <v>41821</v>
      </c>
      <c r="E1660" t="s">
        <v>2179</v>
      </c>
      <c r="F1660">
        <v>1</v>
      </c>
      <c r="G1660" t="s">
        <v>61</v>
      </c>
      <c r="H1660" t="s">
        <v>42</v>
      </c>
      <c r="I1660" t="s">
        <v>2190</v>
      </c>
      <c r="J1660" s="10">
        <v>2</v>
      </c>
      <c r="K1660" t="b">
        <v>1</v>
      </c>
    </row>
    <row r="1661" spans="1:11">
      <c r="A1661" s="12">
        <v>41848</v>
      </c>
      <c r="B1661">
        <v>2014</v>
      </c>
      <c r="C1661">
        <v>7</v>
      </c>
      <c r="D1661" s="11">
        <v>41821</v>
      </c>
      <c r="E1661" t="s">
        <v>2179</v>
      </c>
      <c r="F1661">
        <v>1</v>
      </c>
      <c r="G1661" t="s">
        <v>61</v>
      </c>
      <c r="H1661" t="s">
        <v>43</v>
      </c>
      <c r="I1661" t="s">
        <v>2191</v>
      </c>
      <c r="J1661" s="10">
        <v>9.1</v>
      </c>
      <c r="K1661" t="b">
        <v>1</v>
      </c>
    </row>
    <row r="1662" spans="1:11">
      <c r="A1662" s="12">
        <v>41848</v>
      </c>
      <c r="B1662">
        <v>2014</v>
      </c>
      <c r="C1662">
        <v>7</v>
      </c>
      <c r="D1662" s="11">
        <v>41821</v>
      </c>
      <c r="E1662" t="s">
        <v>2179</v>
      </c>
      <c r="F1662">
        <v>1</v>
      </c>
      <c r="G1662" t="s">
        <v>61</v>
      </c>
      <c r="H1662" t="s">
        <v>44</v>
      </c>
      <c r="I1662" t="s">
        <v>2192</v>
      </c>
      <c r="J1662" s="10">
        <v>9</v>
      </c>
      <c r="K1662" t="b">
        <v>1</v>
      </c>
    </row>
    <row r="1663" spans="1:11">
      <c r="A1663" s="12">
        <v>41848</v>
      </c>
      <c r="B1663">
        <v>2014</v>
      </c>
      <c r="C1663">
        <v>7</v>
      </c>
      <c r="D1663" s="11">
        <v>41821</v>
      </c>
      <c r="E1663" t="s">
        <v>2179</v>
      </c>
      <c r="F1663">
        <v>1</v>
      </c>
      <c r="G1663" t="s">
        <v>61</v>
      </c>
      <c r="H1663" t="s">
        <v>45</v>
      </c>
      <c r="I1663" t="s">
        <v>2193</v>
      </c>
      <c r="J1663" s="10">
        <v>0</v>
      </c>
      <c r="K1663" t="b">
        <v>1</v>
      </c>
    </row>
    <row r="1664" spans="1:11">
      <c r="A1664" s="12">
        <v>41848</v>
      </c>
      <c r="B1664">
        <v>2014</v>
      </c>
      <c r="C1664">
        <v>7</v>
      </c>
      <c r="D1664" s="11">
        <v>41821</v>
      </c>
      <c r="E1664" t="s">
        <v>2179</v>
      </c>
      <c r="F1664">
        <v>1</v>
      </c>
      <c r="G1664" t="s">
        <v>61</v>
      </c>
      <c r="H1664" t="s">
        <v>46</v>
      </c>
      <c r="I1664" t="s">
        <v>2194</v>
      </c>
      <c r="J1664" s="10">
        <v>0</v>
      </c>
      <c r="K1664" t="b">
        <v>1</v>
      </c>
    </row>
    <row r="1665" spans="1:11">
      <c r="A1665" s="12">
        <v>41848</v>
      </c>
      <c r="B1665">
        <v>2014</v>
      </c>
      <c r="C1665">
        <v>7</v>
      </c>
      <c r="D1665" s="11">
        <v>41821</v>
      </c>
      <c r="E1665" t="s">
        <v>2179</v>
      </c>
      <c r="F1665">
        <v>1</v>
      </c>
      <c r="G1665" t="s">
        <v>61</v>
      </c>
      <c r="H1665" t="s">
        <v>47</v>
      </c>
      <c r="I1665" t="s">
        <v>2195</v>
      </c>
      <c r="J1665" s="10">
        <v>2</v>
      </c>
      <c r="K1665" t="b">
        <v>1</v>
      </c>
    </row>
    <row r="1666" spans="1:11">
      <c r="A1666" s="12">
        <v>41849</v>
      </c>
      <c r="B1666">
        <v>2014</v>
      </c>
      <c r="C1666">
        <v>7</v>
      </c>
      <c r="D1666" s="11">
        <v>41821</v>
      </c>
      <c r="E1666" t="s">
        <v>2179</v>
      </c>
      <c r="F1666">
        <v>2</v>
      </c>
      <c r="G1666" t="s">
        <v>63</v>
      </c>
      <c r="H1666" t="s">
        <v>40</v>
      </c>
      <c r="I1666" t="s">
        <v>2188</v>
      </c>
      <c r="J1666" s="10">
        <v>2.34</v>
      </c>
      <c r="K1666" t="b">
        <v>1</v>
      </c>
    </row>
    <row r="1667" spans="1:11">
      <c r="A1667" s="12">
        <v>41849</v>
      </c>
      <c r="B1667">
        <v>2014</v>
      </c>
      <c r="C1667">
        <v>7</v>
      </c>
      <c r="D1667" s="11">
        <v>41821</v>
      </c>
      <c r="E1667" t="s">
        <v>2179</v>
      </c>
      <c r="F1667">
        <v>2</v>
      </c>
      <c r="G1667" t="s">
        <v>63</v>
      </c>
      <c r="H1667" t="s">
        <v>41</v>
      </c>
      <c r="I1667" t="s">
        <v>2189</v>
      </c>
      <c r="J1667" s="10">
        <v>0.68</v>
      </c>
      <c r="K1667" t="b">
        <v>1</v>
      </c>
    </row>
    <row r="1668" spans="1:11">
      <c r="A1668" s="12">
        <v>41849</v>
      </c>
      <c r="B1668">
        <v>2014</v>
      </c>
      <c r="C1668">
        <v>7</v>
      </c>
      <c r="D1668" s="11">
        <v>41821</v>
      </c>
      <c r="E1668" t="s">
        <v>2179</v>
      </c>
      <c r="F1668">
        <v>2</v>
      </c>
      <c r="G1668" t="s">
        <v>63</v>
      </c>
      <c r="H1668" t="s">
        <v>42</v>
      </c>
      <c r="I1668" t="s">
        <v>2190</v>
      </c>
      <c r="J1668" s="10">
        <v>1</v>
      </c>
      <c r="K1668" t="b">
        <v>1</v>
      </c>
    </row>
    <row r="1669" spans="1:11">
      <c r="A1669" s="12">
        <v>41849</v>
      </c>
      <c r="B1669">
        <v>2014</v>
      </c>
      <c r="C1669">
        <v>7</v>
      </c>
      <c r="D1669" s="11">
        <v>41821</v>
      </c>
      <c r="E1669" t="s">
        <v>2179</v>
      </c>
      <c r="F1669">
        <v>2</v>
      </c>
      <c r="G1669" t="s">
        <v>63</v>
      </c>
      <c r="H1669" t="s">
        <v>43</v>
      </c>
      <c r="I1669" t="s">
        <v>2191</v>
      </c>
      <c r="J1669" s="10">
        <v>13</v>
      </c>
      <c r="K1669" t="b">
        <v>1</v>
      </c>
    </row>
    <row r="1670" spans="1:11">
      <c r="A1670" s="12">
        <v>41849</v>
      </c>
      <c r="B1670">
        <v>2014</v>
      </c>
      <c r="C1670">
        <v>7</v>
      </c>
      <c r="D1670" s="11">
        <v>41821</v>
      </c>
      <c r="E1670" t="s">
        <v>2179</v>
      </c>
      <c r="F1670">
        <v>2</v>
      </c>
      <c r="G1670" t="s">
        <v>63</v>
      </c>
      <c r="H1670" t="s">
        <v>44</v>
      </c>
      <c r="I1670" t="s">
        <v>2192</v>
      </c>
      <c r="J1670" s="10">
        <v>15</v>
      </c>
      <c r="K1670" t="b">
        <v>1</v>
      </c>
    </row>
    <row r="1671" spans="1:11">
      <c r="A1671" s="12">
        <v>41849</v>
      </c>
      <c r="B1671">
        <v>2014</v>
      </c>
      <c r="C1671">
        <v>7</v>
      </c>
      <c r="D1671" s="11">
        <v>41821</v>
      </c>
      <c r="E1671" t="s">
        <v>2179</v>
      </c>
      <c r="F1671">
        <v>2</v>
      </c>
      <c r="G1671" t="s">
        <v>63</v>
      </c>
      <c r="H1671" t="s">
        <v>45</v>
      </c>
      <c r="I1671" t="s">
        <v>2193</v>
      </c>
      <c r="J1671" s="10">
        <v>3</v>
      </c>
      <c r="K1671" t="b">
        <v>1</v>
      </c>
    </row>
    <row r="1672" spans="1:11">
      <c r="A1672" s="12">
        <v>41849</v>
      </c>
      <c r="B1672">
        <v>2014</v>
      </c>
      <c r="C1672">
        <v>7</v>
      </c>
      <c r="D1672" s="11">
        <v>41821</v>
      </c>
      <c r="E1672" t="s">
        <v>2179</v>
      </c>
      <c r="F1672">
        <v>2</v>
      </c>
      <c r="G1672" t="s">
        <v>63</v>
      </c>
      <c r="H1672" t="s">
        <v>46</v>
      </c>
      <c r="I1672" t="s">
        <v>2194</v>
      </c>
      <c r="J1672" s="10">
        <v>0</v>
      </c>
      <c r="K1672" t="b">
        <v>1</v>
      </c>
    </row>
    <row r="1673" spans="1:11">
      <c r="A1673" s="12">
        <v>41849</v>
      </c>
      <c r="B1673">
        <v>2014</v>
      </c>
      <c r="C1673">
        <v>7</v>
      </c>
      <c r="D1673" s="11">
        <v>41821</v>
      </c>
      <c r="E1673" t="s">
        <v>2179</v>
      </c>
      <c r="F1673">
        <v>2</v>
      </c>
      <c r="G1673" t="s">
        <v>63</v>
      </c>
      <c r="H1673" t="s">
        <v>47</v>
      </c>
      <c r="I1673" t="s">
        <v>2195</v>
      </c>
      <c r="J1673" s="10">
        <v>5</v>
      </c>
      <c r="K1673" t="b">
        <v>1</v>
      </c>
    </row>
    <row r="1674" spans="1:11">
      <c r="A1674" s="12">
        <v>41850</v>
      </c>
      <c r="B1674">
        <v>2014</v>
      </c>
      <c r="C1674">
        <v>7</v>
      </c>
      <c r="D1674" s="11">
        <v>41821</v>
      </c>
      <c r="E1674" t="s">
        <v>2179</v>
      </c>
      <c r="F1674">
        <v>3</v>
      </c>
      <c r="G1674" t="s">
        <v>65</v>
      </c>
      <c r="H1674" t="s">
        <v>40</v>
      </c>
      <c r="I1674" t="s">
        <v>2188</v>
      </c>
      <c r="J1674" s="10">
        <v>0.68</v>
      </c>
      <c r="K1674" t="b">
        <v>1</v>
      </c>
    </row>
    <row r="1675" spans="1:11">
      <c r="A1675" s="12">
        <v>41850</v>
      </c>
      <c r="B1675">
        <v>2014</v>
      </c>
      <c r="C1675">
        <v>7</v>
      </c>
      <c r="D1675" s="11">
        <v>41821</v>
      </c>
      <c r="E1675" t="s">
        <v>2179</v>
      </c>
      <c r="F1675">
        <v>3</v>
      </c>
      <c r="G1675" t="s">
        <v>65</v>
      </c>
      <c r="H1675" t="s">
        <v>41</v>
      </c>
      <c r="I1675" t="s">
        <v>2189</v>
      </c>
      <c r="J1675" s="10">
        <v>1.34</v>
      </c>
      <c r="K1675" t="b">
        <v>1</v>
      </c>
    </row>
    <row r="1676" spans="1:11">
      <c r="A1676" s="12">
        <v>41850</v>
      </c>
      <c r="B1676">
        <v>2014</v>
      </c>
      <c r="C1676">
        <v>7</v>
      </c>
      <c r="D1676" s="11">
        <v>41821</v>
      </c>
      <c r="E1676" t="s">
        <v>2179</v>
      </c>
      <c r="F1676">
        <v>3</v>
      </c>
      <c r="G1676" t="s">
        <v>65</v>
      </c>
      <c r="H1676" t="s">
        <v>42</v>
      </c>
      <c r="I1676" t="s">
        <v>2190</v>
      </c>
      <c r="J1676" s="10">
        <v>5</v>
      </c>
      <c r="K1676" t="b">
        <v>1</v>
      </c>
    </row>
    <row r="1677" spans="1:11">
      <c r="A1677" s="12">
        <v>41850</v>
      </c>
      <c r="B1677">
        <v>2014</v>
      </c>
      <c r="C1677">
        <v>7</v>
      </c>
      <c r="D1677" s="11">
        <v>41821</v>
      </c>
      <c r="E1677" t="s">
        <v>2179</v>
      </c>
      <c r="F1677">
        <v>3</v>
      </c>
      <c r="G1677" t="s">
        <v>65</v>
      </c>
      <c r="H1677" t="s">
        <v>43</v>
      </c>
      <c r="I1677" t="s">
        <v>2191</v>
      </c>
      <c r="J1677" s="10">
        <v>13.5</v>
      </c>
      <c r="K1677" t="b">
        <v>1</v>
      </c>
    </row>
    <row r="1678" spans="1:11">
      <c r="A1678" s="12">
        <v>41850</v>
      </c>
      <c r="B1678">
        <v>2014</v>
      </c>
      <c r="C1678">
        <v>7</v>
      </c>
      <c r="D1678" s="11">
        <v>41821</v>
      </c>
      <c r="E1678" t="s">
        <v>2179</v>
      </c>
      <c r="F1678">
        <v>3</v>
      </c>
      <c r="G1678" t="s">
        <v>65</v>
      </c>
      <c r="H1678" t="s">
        <v>44</v>
      </c>
      <c r="I1678" t="s">
        <v>2192</v>
      </c>
      <c r="J1678" s="10">
        <v>14</v>
      </c>
      <c r="K1678" t="b">
        <v>1</v>
      </c>
    </row>
    <row r="1679" spans="1:11">
      <c r="A1679" s="12">
        <v>41850</v>
      </c>
      <c r="B1679">
        <v>2014</v>
      </c>
      <c r="C1679">
        <v>7</v>
      </c>
      <c r="D1679" s="11">
        <v>41821</v>
      </c>
      <c r="E1679" t="s">
        <v>2179</v>
      </c>
      <c r="F1679">
        <v>3</v>
      </c>
      <c r="G1679" t="s">
        <v>65</v>
      </c>
      <c r="H1679" t="s">
        <v>45</v>
      </c>
      <c r="I1679" t="s">
        <v>2193</v>
      </c>
      <c r="J1679" s="10">
        <v>0</v>
      </c>
      <c r="K1679" t="b">
        <v>1</v>
      </c>
    </row>
    <row r="1680" spans="1:11">
      <c r="A1680" s="12">
        <v>41850</v>
      </c>
      <c r="B1680">
        <v>2014</v>
      </c>
      <c r="C1680">
        <v>7</v>
      </c>
      <c r="D1680" s="11">
        <v>41821</v>
      </c>
      <c r="E1680" t="s">
        <v>2179</v>
      </c>
      <c r="F1680">
        <v>3</v>
      </c>
      <c r="G1680" t="s">
        <v>65</v>
      </c>
      <c r="H1680" t="s">
        <v>46</v>
      </c>
      <c r="I1680" t="s">
        <v>2194</v>
      </c>
      <c r="J1680" s="10">
        <v>6</v>
      </c>
      <c r="K1680" t="b">
        <v>1</v>
      </c>
    </row>
    <row r="1681" spans="1:11">
      <c r="A1681" s="12">
        <v>41850</v>
      </c>
      <c r="B1681">
        <v>2014</v>
      </c>
      <c r="C1681">
        <v>7</v>
      </c>
      <c r="D1681" s="11">
        <v>41821</v>
      </c>
      <c r="E1681" t="s">
        <v>2179</v>
      </c>
      <c r="F1681">
        <v>3</v>
      </c>
      <c r="G1681" t="s">
        <v>65</v>
      </c>
      <c r="H1681" t="s">
        <v>47</v>
      </c>
      <c r="I1681" t="s">
        <v>2195</v>
      </c>
      <c r="J1681" s="10">
        <v>4.5</v>
      </c>
      <c r="K1681" t="b">
        <v>1</v>
      </c>
    </row>
    <row r="1682" spans="1:11">
      <c r="A1682" s="12">
        <v>41851</v>
      </c>
      <c r="B1682">
        <v>2014</v>
      </c>
      <c r="C1682">
        <v>7</v>
      </c>
      <c r="D1682" s="11">
        <v>41821</v>
      </c>
      <c r="E1682" t="s">
        <v>2179</v>
      </c>
      <c r="F1682">
        <v>4</v>
      </c>
      <c r="G1682" t="s">
        <v>53</v>
      </c>
      <c r="H1682" t="s">
        <v>40</v>
      </c>
      <c r="I1682" t="s">
        <v>2188</v>
      </c>
      <c r="J1682" s="10">
        <v>3</v>
      </c>
      <c r="K1682" t="b">
        <v>1</v>
      </c>
    </row>
    <row r="1683" spans="1:11">
      <c r="A1683" s="12">
        <v>41851</v>
      </c>
      <c r="B1683">
        <v>2014</v>
      </c>
      <c r="C1683">
        <v>7</v>
      </c>
      <c r="D1683" s="11">
        <v>41821</v>
      </c>
      <c r="E1683" t="s">
        <v>2179</v>
      </c>
      <c r="F1683">
        <v>4</v>
      </c>
      <c r="G1683" t="s">
        <v>53</v>
      </c>
      <c r="H1683" t="s">
        <v>41</v>
      </c>
      <c r="I1683" t="s">
        <v>2189</v>
      </c>
      <c r="J1683" s="10">
        <v>0.34</v>
      </c>
      <c r="K1683" t="b">
        <v>1</v>
      </c>
    </row>
    <row r="1684" spans="1:11">
      <c r="A1684" s="12">
        <v>41851</v>
      </c>
      <c r="B1684">
        <v>2014</v>
      </c>
      <c r="C1684">
        <v>7</v>
      </c>
      <c r="D1684" s="11">
        <v>41821</v>
      </c>
      <c r="E1684" t="s">
        <v>2179</v>
      </c>
      <c r="F1684">
        <v>4</v>
      </c>
      <c r="G1684" t="s">
        <v>53</v>
      </c>
      <c r="H1684" t="s">
        <v>42</v>
      </c>
      <c r="I1684" t="s">
        <v>2190</v>
      </c>
      <c r="J1684" s="10">
        <v>4</v>
      </c>
      <c r="K1684" t="b">
        <v>1</v>
      </c>
    </row>
    <row r="1685" spans="1:11">
      <c r="A1685" s="12">
        <v>41851</v>
      </c>
      <c r="B1685">
        <v>2014</v>
      </c>
      <c r="C1685">
        <v>7</v>
      </c>
      <c r="D1685" s="11">
        <v>41821</v>
      </c>
      <c r="E1685" t="s">
        <v>2179</v>
      </c>
      <c r="F1685">
        <v>4</v>
      </c>
      <c r="G1685" t="s">
        <v>53</v>
      </c>
      <c r="H1685" t="s">
        <v>43</v>
      </c>
      <c r="I1685" t="s">
        <v>2191</v>
      </c>
      <c r="J1685" s="10">
        <v>10.5</v>
      </c>
      <c r="K1685" t="b">
        <v>1</v>
      </c>
    </row>
    <row r="1686" spans="1:11">
      <c r="A1686" s="12">
        <v>41851</v>
      </c>
      <c r="B1686">
        <v>2014</v>
      </c>
      <c r="C1686">
        <v>7</v>
      </c>
      <c r="D1686" s="11">
        <v>41821</v>
      </c>
      <c r="E1686" t="s">
        <v>2179</v>
      </c>
      <c r="F1686">
        <v>4</v>
      </c>
      <c r="G1686" t="s">
        <v>53</v>
      </c>
      <c r="H1686" t="s">
        <v>44</v>
      </c>
      <c r="I1686" t="s">
        <v>2192</v>
      </c>
      <c r="J1686" s="10">
        <v>8</v>
      </c>
      <c r="K1686" t="b">
        <v>1</v>
      </c>
    </row>
    <row r="1687" spans="1:11">
      <c r="A1687" s="12">
        <v>41851</v>
      </c>
      <c r="B1687">
        <v>2014</v>
      </c>
      <c r="C1687">
        <v>7</v>
      </c>
      <c r="D1687" s="11">
        <v>41821</v>
      </c>
      <c r="E1687" t="s">
        <v>2179</v>
      </c>
      <c r="F1687">
        <v>4</v>
      </c>
      <c r="G1687" t="s">
        <v>53</v>
      </c>
      <c r="H1687" t="s">
        <v>45</v>
      </c>
      <c r="I1687" t="s">
        <v>2193</v>
      </c>
      <c r="J1687" s="10">
        <v>0</v>
      </c>
      <c r="K1687" t="b">
        <v>1</v>
      </c>
    </row>
    <row r="1688" spans="1:11">
      <c r="A1688" s="12">
        <v>41851</v>
      </c>
      <c r="B1688">
        <v>2014</v>
      </c>
      <c r="C1688">
        <v>7</v>
      </c>
      <c r="D1688" s="11">
        <v>41821</v>
      </c>
      <c r="E1688" t="s">
        <v>2179</v>
      </c>
      <c r="F1688">
        <v>4</v>
      </c>
      <c r="G1688" t="s">
        <v>53</v>
      </c>
      <c r="H1688" t="s">
        <v>46</v>
      </c>
      <c r="I1688" t="s">
        <v>2194</v>
      </c>
      <c r="J1688" s="10">
        <v>0</v>
      </c>
      <c r="K1688" t="b">
        <v>1</v>
      </c>
    </row>
    <row r="1689" spans="1:11">
      <c r="A1689" s="12">
        <v>41851</v>
      </c>
      <c r="B1689">
        <v>2014</v>
      </c>
      <c r="C1689">
        <v>7</v>
      </c>
      <c r="D1689" s="11">
        <v>41821</v>
      </c>
      <c r="E1689" t="s">
        <v>2179</v>
      </c>
      <c r="F1689">
        <v>4</v>
      </c>
      <c r="G1689" t="s">
        <v>53</v>
      </c>
      <c r="H1689" t="s">
        <v>47</v>
      </c>
      <c r="I1689" t="s">
        <v>2195</v>
      </c>
      <c r="J1689" s="10">
        <v>1</v>
      </c>
      <c r="K1689" t="b">
        <v>1</v>
      </c>
    </row>
    <row r="1690" spans="1:11">
      <c r="A1690" s="12">
        <v>41852</v>
      </c>
      <c r="B1690">
        <v>2014</v>
      </c>
      <c r="C1690">
        <v>8</v>
      </c>
      <c r="D1690" s="11">
        <v>41852</v>
      </c>
      <c r="E1690" t="s">
        <v>2180</v>
      </c>
      <c r="F1690">
        <v>5</v>
      </c>
      <c r="G1690" t="s">
        <v>55</v>
      </c>
      <c r="H1690" t="s">
        <v>40</v>
      </c>
      <c r="I1690" t="s">
        <v>2188</v>
      </c>
      <c r="J1690" s="10">
        <v>2</v>
      </c>
      <c r="K1690" t="b">
        <v>1</v>
      </c>
    </row>
    <row r="1691" spans="1:11">
      <c r="A1691" s="12">
        <v>41852</v>
      </c>
      <c r="B1691">
        <v>2014</v>
      </c>
      <c r="C1691">
        <v>8</v>
      </c>
      <c r="D1691" s="11">
        <v>41852</v>
      </c>
      <c r="E1691" t="s">
        <v>2180</v>
      </c>
      <c r="F1691">
        <v>5</v>
      </c>
      <c r="G1691" t="s">
        <v>55</v>
      </c>
      <c r="H1691" t="s">
        <v>41</v>
      </c>
      <c r="I1691" t="s">
        <v>2189</v>
      </c>
      <c r="J1691" s="10">
        <v>1</v>
      </c>
      <c r="K1691" t="b">
        <v>1</v>
      </c>
    </row>
    <row r="1692" spans="1:11">
      <c r="A1692" s="12">
        <v>41852</v>
      </c>
      <c r="B1692">
        <v>2014</v>
      </c>
      <c r="C1692">
        <v>8</v>
      </c>
      <c r="D1692" s="11">
        <v>41852</v>
      </c>
      <c r="E1692" t="s">
        <v>2180</v>
      </c>
      <c r="F1692">
        <v>5</v>
      </c>
      <c r="G1692" t="s">
        <v>55</v>
      </c>
      <c r="H1692" t="s">
        <v>42</v>
      </c>
      <c r="I1692" t="s">
        <v>2190</v>
      </c>
      <c r="J1692" s="10">
        <v>2.2</v>
      </c>
      <c r="K1692" t="b">
        <v>1</v>
      </c>
    </row>
    <row r="1693" spans="1:11">
      <c r="A1693" s="12">
        <v>41852</v>
      </c>
      <c r="B1693">
        <v>2014</v>
      </c>
      <c r="C1693">
        <v>8</v>
      </c>
      <c r="D1693" s="11">
        <v>41852</v>
      </c>
      <c r="E1693" t="s">
        <v>2180</v>
      </c>
      <c r="F1693">
        <v>5</v>
      </c>
      <c r="G1693" t="s">
        <v>55</v>
      </c>
      <c r="H1693" t="s">
        <v>43</v>
      </c>
      <c r="I1693" t="s">
        <v>2191</v>
      </c>
      <c r="J1693" s="10">
        <v>14</v>
      </c>
      <c r="K1693" t="b">
        <v>1</v>
      </c>
    </row>
    <row r="1694" spans="1:11">
      <c r="A1694" s="12">
        <v>41852</v>
      </c>
      <c r="B1694">
        <v>2014</v>
      </c>
      <c r="C1694">
        <v>8</v>
      </c>
      <c r="D1694" s="11">
        <v>41852</v>
      </c>
      <c r="E1694" t="s">
        <v>2180</v>
      </c>
      <c r="F1694">
        <v>5</v>
      </c>
      <c r="G1694" t="s">
        <v>55</v>
      </c>
      <c r="H1694" t="s">
        <v>44</v>
      </c>
      <c r="I1694" t="s">
        <v>2192</v>
      </c>
      <c r="J1694" s="10">
        <v>17</v>
      </c>
      <c r="K1694" t="b">
        <v>1</v>
      </c>
    </row>
    <row r="1695" spans="1:11">
      <c r="A1695" s="12">
        <v>41852</v>
      </c>
      <c r="B1695">
        <v>2014</v>
      </c>
      <c r="C1695">
        <v>8</v>
      </c>
      <c r="D1695" s="11">
        <v>41852</v>
      </c>
      <c r="E1695" t="s">
        <v>2180</v>
      </c>
      <c r="F1695">
        <v>5</v>
      </c>
      <c r="G1695" t="s">
        <v>55</v>
      </c>
      <c r="H1695" t="s">
        <v>45</v>
      </c>
      <c r="I1695" t="s">
        <v>2193</v>
      </c>
      <c r="J1695" s="10">
        <v>1</v>
      </c>
      <c r="K1695" t="b">
        <v>1</v>
      </c>
    </row>
    <row r="1696" spans="1:11">
      <c r="A1696" s="12">
        <v>41852</v>
      </c>
      <c r="B1696">
        <v>2014</v>
      </c>
      <c r="C1696">
        <v>8</v>
      </c>
      <c r="D1696" s="11">
        <v>41852</v>
      </c>
      <c r="E1696" t="s">
        <v>2180</v>
      </c>
      <c r="F1696">
        <v>5</v>
      </c>
      <c r="G1696" t="s">
        <v>55</v>
      </c>
      <c r="H1696" t="s">
        <v>46</v>
      </c>
      <c r="I1696" t="s">
        <v>2194</v>
      </c>
      <c r="J1696" s="10">
        <v>0</v>
      </c>
      <c r="K1696" t="b">
        <v>1</v>
      </c>
    </row>
    <row r="1697" spans="1:11">
      <c r="A1697" s="12">
        <v>41852</v>
      </c>
      <c r="B1697">
        <v>2014</v>
      </c>
      <c r="C1697">
        <v>8</v>
      </c>
      <c r="D1697" s="11">
        <v>41852</v>
      </c>
      <c r="E1697" t="s">
        <v>2180</v>
      </c>
      <c r="F1697">
        <v>5</v>
      </c>
      <c r="G1697" t="s">
        <v>55</v>
      </c>
      <c r="H1697" t="s">
        <v>47</v>
      </c>
      <c r="I1697" t="s">
        <v>2195</v>
      </c>
      <c r="J1697" s="10">
        <v>1</v>
      </c>
      <c r="K1697" t="b">
        <v>1</v>
      </c>
    </row>
    <row r="1698" spans="1:11">
      <c r="A1698" s="12">
        <v>41853</v>
      </c>
      <c r="B1698">
        <v>2014</v>
      </c>
      <c r="C1698">
        <v>8</v>
      </c>
      <c r="D1698" s="11">
        <v>41852</v>
      </c>
      <c r="E1698" t="s">
        <v>2180</v>
      </c>
      <c r="F1698">
        <v>6</v>
      </c>
      <c r="G1698" t="s">
        <v>57</v>
      </c>
      <c r="H1698" t="s">
        <v>40</v>
      </c>
      <c r="I1698" t="s">
        <v>2188</v>
      </c>
      <c r="J1698" s="10">
        <v>5</v>
      </c>
      <c r="K1698" t="b">
        <v>1</v>
      </c>
    </row>
    <row r="1699" spans="1:11">
      <c r="A1699" s="12">
        <v>41853</v>
      </c>
      <c r="B1699">
        <v>2014</v>
      </c>
      <c r="C1699">
        <v>8</v>
      </c>
      <c r="D1699" s="11">
        <v>41852</v>
      </c>
      <c r="E1699" t="s">
        <v>2180</v>
      </c>
      <c r="F1699">
        <v>6</v>
      </c>
      <c r="G1699" t="s">
        <v>57</v>
      </c>
      <c r="H1699" t="s">
        <v>41</v>
      </c>
      <c r="I1699" t="s">
        <v>2189</v>
      </c>
      <c r="J1699" s="10">
        <v>2.01</v>
      </c>
      <c r="K1699" t="b">
        <v>1</v>
      </c>
    </row>
    <row r="1700" spans="1:11">
      <c r="A1700" s="12">
        <v>41853</v>
      </c>
      <c r="B1700">
        <v>2014</v>
      </c>
      <c r="C1700">
        <v>8</v>
      </c>
      <c r="D1700" s="11">
        <v>41852</v>
      </c>
      <c r="E1700" t="s">
        <v>2180</v>
      </c>
      <c r="F1700">
        <v>6</v>
      </c>
      <c r="G1700" t="s">
        <v>57</v>
      </c>
      <c r="H1700" t="s">
        <v>42</v>
      </c>
      <c r="I1700" t="s">
        <v>2190</v>
      </c>
      <c r="J1700" s="10">
        <v>6</v>
      </c>
      <c r="K1700" t="b">
        <v>1</v>
      </c>
    </row>
    <row r="1701" spans="1:11">
      <c r="A1701" s="12">
        <v>41853</v>
      </c>
      <c r="B1701">
        <v>2014</v>
      </c>
      <c r="C1701">
        <v>8</v>
      </c>
      <c r="D1701" s="11">
        <v>41852</v>
      </c>
      <c r="E1701" t="s">
        <v>2180</v>
      </c>
      <c r="F1701">
        <v>6</v>
      </c>
      <c r="G1701" t="s">
        <v>57</v>
      </c>
      <c r="H1701" t="s">
        <v>43</v>
      </c>
      <c r="I1701" t="s">
        <v>2191</v>
      </c>
      <c r="J1701" s="10">
        <v>29</v>
      </c>
      <c r="K1701" t="b">
        <v>1</v>
      </c>
    </row>
    <row r="1702" spans="1:11">
      <c r="A1702" s="12">
        <v>41853</v>
      </c>
      <c r="B1702">
        <v>2014</v>
      </c>
      <c r="C1702">
        <v>8</v>
      </c>
      <c r="D1702" s="11">
        <v>41852</v>
      </c>
      <c r="E1702" t="s">
        <v>2180</v>
      </c>
      <c r="F1702">
        <v>6</v>
      </c>
      <c r="G1702" t="s">
        <v>57</v>
      </c>
      <c r="H1702" t="s">
        <v>44</v>
      </c>
      <c r="I1702" t="s">
        <v>2192</v>
      </c>
      <c r="J1702" s="10">
        <v>12</v>
      </c>
      <c r="K1702" t="b">
        <v>1</v>
      </c>
    </row>
    <row r="1703" spans="1:11">
      <c r="A1703" s="12">
        <v>41853</v>
      </c>
      <c r="B1703">
        <v>2014</v>
      </c>
      <c r="C1703">
        <v>8</v>
      </c>
      <c r="D1703" s="11">
        <v>41852</v>
      </c>
      <c r="E1703" t="s">
        <v>2180</v>
      </c>
      <c r="F1703">
        <v>6</v>
      </c>
      <c r="G1703" t="s">
        <v>57</v>
      </c>
      <c r="H1703" t="s">
        <v>45</v>
      </c>
      <c r="I1703" t="s">
        <v>2193</v>
      </c>
      <c r="J1703" s="10">
        <v>0</v>
      </c>
      <c r="K1703" t="b">
        <v>1</v>
      </c>
    </row>
    <row r="1704" spans="1:11">
      <c r="A1704" s="12">
        <v>41853</v>
      </c>
      <c r="B1704">
        <v>2014</v>
      </c>
      <c r="C1704">
        <v>8</v>
      </c>
      <c r="D1704" s="11">
        <v>41852</v>
      </c>
      <c r="E1704" t="s">
        <v>2180</v>
      </c>
      <c r="F1704">
        <v>6</v>
      </c>
      <c r="G1704" t="s">
        <v>57</v>
      </c>
      <c r="H1704" t="s">
        <v>46</v>
      </c>
      <c r="I1704" t="s">
        <v>2194</v>
      </c>
      <c r="J1704" s="10">
        <v>5</v>
      </c>
      <c r="K1704" t="b">
        <v>1</v>
      </c>
    </row>
    <row r="1705" spans="1:11">
      <c r="A1705" s="12">
        <v>41853</v>
      </c>
      <c r="B1705">
        <v>2014</v>
      </c>
      <c r="C1705">
        <v>8</v>
      </c>
      <c r="D1705" s="11">
        <v>41852</v>
      </c>
      <c r="E1705" t="s">
        <v>2180</v>
      </c>
      <c r="F1705">
        <v>6</v>
      </c>
      <c r="G1705" t="s">
        <v>57</v>
      </c>
      <c r="H1705" t="s">
        <v>47</v>
      </c>
      <c r="I1705" t="s">
        <v>2195</v>
      </c>
      <c r="J1705" s="10">
        <v>3</v>
      </c>
      <c r="K1705" t="b">
        <v>1</v>
      </c>
    </row>
    <row r="1706" spans="1:11">
      <c r="A1706" s="12">
        <v>41854</v>
      </c>
      <c r="B1706">
        <v>2014</v>
      </c>
      <c r="C1706">
        <v>8</v>
      </c>
      <c r="D1706" s="11">
        <v>41852</v>
      </c>
      <c r="E1706" t="s">
        <v>2180</v>
      </c>
      <c r="F1706">
        <v>7</v>
      </c>
      <c r="G1706" t="s">
        <v>59</v>
      </c>
      <c r="H1706" t="s">
        <v>40</v>
      </c>
      <c r="I1706" t="s">
        <v>2188</v>
      </c>
      <c r="J1706" s="10">
        <v>5</v>
      </c>
      <c r="K1706" t="b">
        <v>1</v>
      </c>
    </row>
    <row r="1707" spans="1:11">
      <c r="A1707" s="12">
        <v>41854</v>
      </c>
      <c r="B1707">
        <v>2014</v>
      </c>
      <c r="C1707">
        <v>8</v>
      </c>
      <c r="D1707" s="11">
        <v>41852</v>
      </c>
      <c r="E1707" t="s">
        <v>2180</v>
      </c>
      <c r="F1707">
        <v>7</v>
      </c>
      <c r="G1707" t="s">
        <v>59</v>
      </c>
      <c r="H1707" t="s">
        <v>41</v>
      </c>
      <c r="I1707" t="s">
        <v>2189</v>
      </c>
      <c r="J1707" s="10">
        <v>1</v>
      </c>
      <c r="K1707" t="b">
        <v>1</v>
      </c>
    </row>
    <row r="1708" spans="1:11">
      <c r="A1708" s="12">
        <v>41854</v>
      </c>
      <c r="B1708">
        <v>2014</v>
      </c>
      <c r="C1708">
        <v>8</v>
      </c>
      <c r="D1708" s="11">
        <v>41852</v>
      </c>
      <c r="E1708" t="s">
        <v>2180</v>
      </c>
      <c r="F1708">
        <v>7</v>
      </c>
      <c r="G1708" t="s">
        <v>59</v>
      </c>
      <c r="H1708" t="s">
        <v>42</v>
      </c>
      <c r="I1708" t="s">
        <v>2190</v>
      </c>
      <c r="J1708" s="10">
        <v>3</v>
      </c>
      <c r="K1708" t="b">
        <v>1</v>
      </c>
    </row>
    <row r="1709" spans="1:11">
      <c r="A1709" s="12">
        <v>41854</v>
      </c>
      <c r="B1709">
        <v>2014</v>
      </c>
      <c r="C1709">
        <v>8</v>
      </c>
      <c r="D1709" s="11">
        <v>41852</v>
      </c>
      <c r="E1709" t="s">
        <v>2180</v>
      </c>
      <c r="F1709">
        <v>7</v>
      </c>
      <c r="G1709" t="s">
        <v>59</v>
      </c>
      <c r="H1709" t="s">
        <v>43</v>
      </c>
      <c r="I1709" t="s">
        <v>2191</v>
      </c>
      <c r="J1709" s="10">
        <v>6</v>
      </c>
      <c r="K1709" t="b">
        <v>1</v>
      </c>
    </row>
    <row r="1710" spans="1:11">
      <c r="A1710" s="12">
        <v>41854</v>
      </c>
      <c r="B1710">
        <v>2014</v>
      </c>
      <c r="C1710">
        <v>8</v>
      </c>
      <c r="D1710" s="11">
        <v>41852</v>
      </c>
      <c r="E1710" t="s">
        <v>2180</v>
      </c>
      <c r="F1710">
        <v>7</v>
      </c>
      <c r="G1710" t="s">
        <v>59</v>
      </c>
      <c r="H1710" t="s">
        <v>44</v>
      </c>
      <c r="I1710" t="s">
        <v>2192</v>
      </c>
      <c r="J1710" s="10">
        <v>5</v>
      </c>
      <c r="K1710" t="b">
        <v>1</v>
      </c>
    </row>
    <row r="1711" spans="1:11">
      <c r="A1711" s="12">
        <v>41854</v>
      </c>
      <c r="B1711">
        <v>2014</v>
      </c>
      <c r="C1711">
        <v>8</v>
      </c>
      <c r="D1711" s="11">
        <v>41852</v>
      </c>
      <c r="E1711" t="s">
        <v>2180</v>
      </c>
      <c r="F1711">
        <v>7</v>
      </c>
      <c r="G1711" t="s">
        <v>59</v>
      </c>
      <c r="H1711" t="s">
        <v>45</v>
      </c>
      <c r="I1711" t="s">
        <v>2193</v>
      </c>
      <c r="J1711" s="10">
        <v>5</v>
      </c>
      <c r="K1711" t="b">
        <v>1</v>
      </c>
    </row>
    <row r="1712" spans="1:11">
      <c r="A1712" s="12">
        <v>41854</v>
      </c>
      <c r="B1712">
        <v>2014</v>
      </c>
      <c r="C1712">
        <v>8</v>
      </c>
      <c r="D1712" s="11">
        <v>41852</v>
      </c>
      <c r="E1712" t="s">
        <v>2180</v>
      </c>
      <c r="F1712">
        <v>7</v>
      </c>
      <c r="G1712" t="s">
        <v>59</v>
      </c>
      <c r="H1712" t="s">
        <v>46</v>
      </c>
      <c r="I1712" t="s">
        <v>2194</v>
      </c>
      <c r="J1712" s="10">
        <v>0</v>
      </c>
      <c r="K1712" t="b">
        <v>1</v>
      </c>
    </row>
    <row r="1713" spans="1:11">
      <c r="A1713" s="12">
        <v>41854</v>
      </c>
      <c r="B1713">
        <v>2014</v>
      </c>
      <c r="C1713">
        <v>8</v>
      </c>
      <c r="D1713" s="11">
        <v>41852</v>
      </c>
      <c r="E1713" t="s">
        <v>2180</v>
      </c>
      <c r="F1713">
        <v>7</v>
      </c>
      <c r="G1713" t="s">
        <v>59</v>
      </c>
      <c r="H1713" t="s">
        <v>47</v>
      </c>
      <c r="I1713" t="s">
        <v>2195</v>
      </c>
      <c r="J1713" s="10">
        <v>0</v>
      </c>
      <c r="K1713" t="b">
        <v>1</v>
      </c>
    </row>
    <row r="1714" spans="1:11">
      <c r="A1714" s="12">
        <v>41855</v>
      </c>
      <c r="B1714">
        <v>2014</v>
      </c>
      <c r="C1714">
        <v>8</v>
      </c>
      <c r="D1714" s="11">
        <v>41852</v>
      </c>
      <c r="E1714" t="s">
        <v>2180</v>
      </c>
      <c r="F1714">
        <v>1</v>
      </c>
      <c r="G1714" t="s">
        <v>61</v>
      </c>
      <c r="H1714" t="s">
        <v>40</v>
      </c>
      <c r="I1714" t="s">
        <v>2188</v>
      </c>
      <c r="J1714" s="10">
        <v>4</v>
      </c>
      <c r="K1714" t="b">
        <v>1</v>
      </c>
    </row>
    <row r="1715" spans="1:11">
      <c r="A1715" s="12">
        <v>41855</v>
      </c>
      <c r="B1715">
        <v>2014</v>
      </c>
      <c r="C1715">
        <v>8</v>
      </c>
      <c r="D1715" s="11">
        <v>41852</v>
      </c>
      <c r="E1715" t="s">
        <v>2180</v>
      </c>
      <c r="F1715">
        <v>1</v>
      </c>
      <c r="G1715" t="s">
        <v>61</v>
      </c>
      <c r="H1715" t="s">
        <v>41</v>
      </c>
      <c r="I1715" t="s">
        <v>2189</v>
      </c>
      <c r="J1715" s="10">
        <v>5.02</v>
      </c>
      <c r="K1715" t="b">
        <v>1</v>
      </c>
    </row>
    <row r="1716" spans="1:11">
      <c r="A1716" s="12">
        <v>41855</v>
      </c>
      <c r="B1716">
        <v>2014</v>
      </c>
      <c r="C1716">
        <v>8</v>
      </c>
      <c r="D1716" s="11">
        <v>41852</v>
      </c>
      <c r="E1716" t="s">
        <v>2180</v>
      </c>
      <c r="F1716">
        <v>1</v>
      </c>
      <c r="G1716" t="s">
        <v>61</v>
      </c>
      <c r="H1716" t="s">
        <v>42</v>
      </c>
      <c r="I1716" t="s">
        <v>2190</v>
      </c>
      <c r="J1716" s="10">
        <v>6</v>
      </c>
      <c r="K1716" t="b">
        <v>1</v>
      </c>
    </row>
    <row r="1717" spans="1:11">
      <c r="A1717" s="12">
        <v>41855</v>
      </c>
      <c r="B1717">
        <v>2014</v>
      </c>
      <c r="C1717">
        <v>8</v>
      </c>
      <c r="D1717" s="11">
        <v>41852</v>
      </c>
      <c r="E1717" t="s">
        <v>2180</v>
      </c>
      <c r="F1717">
        <v>1</v>
      </c>
      <c r="G1717" t="s">
        <v>61</v>
      </c>
      <c r="H1717" t="s">
        <v>43</v>
      </c>
      <c r="I1717" t="s">
        <v>2191</v>
      </c>
      <c r="J1717" s="10">
        <v>21.5</v>
      </c>
      <c r="K1717" t="b">
        <v>1</v>
      </c>
    </row>
    <row r="1718" spans="1:11">
      <c r="A1718" s="12">
        <v>41855</v>
      </c>
      <c r="B1718">
        <v>2014</v>
      </c>
      <c r="C1718">
        <v>8</v>
      </c>
      <c r="D1718" s="11">
        <v>41852</v>
      </c>
      <c r="E1718" t="s">
        <v>2180</v>
      </c>
      <c r="F1718">
        <v>1</v>
      </c>
      <c r="G1718" t="s">
        <v>61</v>
      </c>
      <c r="H1718" t="s">
        <v>44</v>
      </c>
      <c r="I1718" t="s">
        <v>2192</v>
      </c>
      <c r="J1718" s="10">
        <v>14</v>
      </c>
      <c r="K1718" t="b">
        <v>1</v>
      </c>
    </row>
    <row r="1719" spans="1:11">
      <c r="A1719" s="12">
        <v>41855</v>
      </c>
      <c r="B1719">
        <v>2014</v>
      </c>
      <c r="C1719">
        <v>8</v>
      </c>
      <c r="D1719" s="11">
        <v>41852</v>
      </c>
      <c r="E1719" t="s">
        <v>2180</v>
      </c>
      <c r="F1719">
        <v>1</v>
      </c>
      <c r="G1719" t="s">
        <v>61</v>
      </c>
      <c r="H1719" t="s">
        <v>45</v>
      </c>
      <c r="I1719" t="s">
        <v>2193</v>
      </c>
      <c r="J1719" s="10">
        <v>0</v>
      </c>
      <c r="K1719" t="b">
        <v>1</v>
      </c>
    </row>
    <row r="1720" spans="1:11">
      <c r="A1720" s="12">
        <v>41855</v>
      </c>
      <c r="B1720">
        <v>2014</v>
      </c>
      <c r="C1720">
        <v>8</v>
      </c>
      <c r="D1720" s="11">
        <v>41852</v>
      </c>
      <c r="E1720" t="s">
        <v>2180</v>
      </c>
      <c r="F1720">
        <v>1</v>
      </c>
      <c r="G1720" t="s">
        <v>61</v>
      </c>
      <c r="H1720" t="s">
        <v>46</v>
      </c>
      <c r="I1720" t="s">
        <v>2194</v>
      </c>
      <c r="J1720" s="10">
        <v>0</v>
      </c>
      <c r="K1720" t="b">
        <v>1</v>
      </c>
    </row>
    <row r="1721" spans="1:11">
      <c r="A1721" s="12">
        <v>41855</v>
      </c>
      <c r="B1721">
        <v>2014</v>
      </c>
      <c r="C1721">
        <v>8</v>
      </c>
      <c r="D1721" s="11">
        <v>41852</v>
      </c>
      <c r="E1721" t="s">
        <v>2180</v>
      </c>
      <c r="F1721">
        <v>1</v>
      </c>
      <c r="G1721" t="s">
        <v>61</v>
      </c>
      <c r="H1721" t="s">
        <v>47</v>
      </c>
      <c r="I1721" t="s">
        <v>2195</v>
      </c>
      <c r="J1721" s="10">
        <v>4</v>
      </c>
      <c r="K1721" t="b">
        <v>1</v>
      </c>
    </row>
    <row r="1722" spans="1:11">
      <c r="A1722" s="12">
        <v>41856</v>
      </c>
      <c r="B1722">
        <v>2014</v>
      </c>
      <c r="C1722">
        <v>8</v>
      </c>
      <c r="D1722" s="11">
        <v>41852</v>
      </c>
      <c r="E1722" t="s">
        <v>2180</v>
      </c>
      <c r="F1722">
        <v>2</v>
      </c>
      <c r="G1722" t="s">
        <v>63</v>
      </c>
      <c r="H1722" t="s">
        <v>40</v>
      </c>
      <c r="I1722" t="s">
        <v>2188</v>
      </c>
      <c r="J1722" s="10">
        <v>2</v>
      </c>
      <c r="K1722" t="b">
        <v>1</v>
      </c>
    </row>
    <row r="1723" spans="1:11">
      <c r="A1723" s="12">
        <v>41856</v>
      </c>
      <c r="B1723">
        <v>2014</v>
      </c>
      <c r="C1723">
        <v>8</v>
      </c>
      <c r="D1723" s="11">
        <v>41852</v>
      </c>
      <c r="E1723" t="s">
        <v>2180</v>
      </c>
      <c r="F1723">
        <v>2</v>
      </c>
      <c r="G1723" t="s">
        <v>63</v>
      </c>
      <c r="H1723" t="s">
        <v>41</v>
      </c>
      <c r="I1723" t="s">
        <v>2189</v>
      </c>
      <c r="J1723" s="10">
        <v>1.34</v>
      </c>
      <c r="K1723" t="b">
        <v>1</v>
      </c>
    </row>
    <row r="1724" spans="1:11">
      <c r="A1724" s="12">
        <v>41856</v>
      </c>
      <c r="B1724">
        <v>2014</v>
      </c>
      <c r="C1724">
        <v>8</v>
      </c>
      <c r="D1724" s="11">
        <v>41852</v>
      </c>
      <c r="E1724" t="s">
        <v>2180</v>
      </c>
      <c r="F1724">
        <v>2</v>
      </c>
      <c r="G1724" t="s">
        <v>63</v>
      </c>
      <c r="H1724" t="s">
        <v>42</v>
      </c>
      <c r="I1724" t="s">
        <v>2190</v>
      </c>
      <c r="J1724" s="10">
        <v>3</v>
      </c>
      <c r="K1724" t="b">
        <v>1</v>
      </c>
    </row>
    <row r="1725" spans="1:11">
      <c r="A1725" s="12">
        <v>41856</v>
      </c>
      <c r="B1725">
        <v>2014</v>
      </c>
      <c r="C1725">
        <v>8</v>
      </c>
      <c r="D1725" s="11">
        <v>41852</v>
      </c>
      <c r="E1725" t="s">
        <v>2180</v>
      </c>
      <c r="F1725">
        <v>2</v>
      </c>
      <c r="G1725" t="s">
        <v>63</v>
      </c>
      <c r="H1725" t="s">
        <v>43</v>
      </c>
      <c r="I1725" t="s">
        <v>2191</v>
      </c>
      <c r="J1725" s="10">
        <v>17.1</v>
      </c>
      <c r="K1725" t="b">
        <v>1</v>
      </c>
    </row>
    <row r="1726" spans="1:11">
      <c r="A1726" s="12">
        <v>41856</v>
      </c>
      <c r="B1726">
        <v>2014</v>
      </c>
      <c r="C1726">
        <v>8</v>
      </c>
      <c r="D1726" s="11">
        <v>41852</v>
      </c>
      <c r="E1726" t="s">
        <v>2180</v>
      </c>
      <c r="F1726">
        <v>2</v>
      </c>
      <c r="G1726" t="s">
        <v>63</v>
      </c>
      <c r="H1726" t="s">
        <v>44</v>
      </c>
      <c r="I1726" t="s">
        <v>2192</v>
      </c>
      <c r="J1726" s="10">
        <v>9</v>
      </c>
      <c r="K1726" t="b">
        <v>1</v>
      </c>
    </row>
    <row r="1727" spans="1:11">
      <c r="A1727" s="12">
        <v>41856</v>
      </c>
      <c r="B1727">
        <v>2014</v>
      </c>
      <c r="C1727">
        <v>8</v>
      </c>
      <c r="D1727" s="11">
        <v>41852</v>
      </c>
      <c r="E1727" t="s">
        <v>2180</v>
      </c>
      <c r="F1727">
        <v>2</v>
      </c>
      <c r="G1727" t="s">
        <v>63</v>
      </c>
      <c r="H1727" t="s">
        <v>45</v>
      </c>
      <c r="I1727" t="s">
        <v>2193</v>
      </c>
      <c r="J1727" s="10">
        <v>0</v>
      </c>
      <c r="K1727" t="b">
        <v>1</v>
      </c>
    </row>
    <row r="1728" spans="1:11">
      <c r="A1728" s="12">
        <v>41856</v>
      </c>
      <c r="B1728">
        <v>2014</v>
      </c>
      <c r="C1728">
        <v>8</v>
      </c>
      <c r="D1728" s="11">
        <v>41852</v>
      </c>
      <c r="E1728" t="s">
        <v>2180</v>
      </c>
      <c r="F1728">
        <v>2</v>
      </c>
      <c r="G1728" t="s">
        <v>63</v>
      </c>
      <c r="H1728" t="s">
        <v>46</v>
      </c>
      <c r="I1728" t="s">
        <v>2194</v>
      </c>
      <c r="J1728" s="10">
        <v>0</v>
      </c>
      <c r="K1728" t="b">
        <v>1</v>
      </c>
    </row>
    <row r="1729" spans="1:11">
      <c r="A1729" s="12">
        <v>41856</v>
      </c>
      <c r="B1729">
        <v>2014</v>
      </c>
      <c r="C1729">
        <v>8</v>
      </c>
      <c r="D1729" s="11">
        <v>41852</v>
      </c>
      <c r="E1729" t="s">
        <v>2180</v>
      </c>
      <c r="F1729">
        <v>2</v>
      </c>
      <c r="G1729" t="s">
        <v>63</v>
      </c>
      <c r="H1729" t="s">
        <v>47</v>
      </c>
      <c r="I1729" t="s">
        <v>2195</v>
      </c>
      <c r="J1729" s="10">
        <v>0</v>
      </c>
      <c r="K1729" t="b">
        <v>1</v>
      </c>
    </row>
    <row r="1730" spans="1:11">
      <c r="A1730" s="12">
        <v>41857</v>
      </c>
      <c r="B1730">
        <v>2014</v>
      </c>
      <c r="C1730">
        <v>8</v>
      </c>
      <c r="D1730" s="11">
        <v>41852</v>
      </c>
      <c r="E1730" t="s">
        <v>2180</v>
      </c>
      <c r="F1730">
        <v>3</v>
      </c>
      <c r="G1730" t="s">
        <v>65</v>
      </c>
      <c r="H1730" t="s">
        <v>40</v>
      </c>
      <c r="I1730" t="s">
        <v>2188</v>
      </c>
      <c r="J1730" s="10">
        <v>6</v>
      </c>
      <c r="K1730" t="b">
        <v>1</v>
      </c>
    </row>
    <row r="1731" spans="1:11">
      <c r="A1731" s="12">
        <v>41857</v>
      </c>
      <c r="B1731">
        <v>2014</v>
      </c>
      <c r="C1731">
        <v>8</v>
      </c>
      <c r="D1731" s="11">
        <v>41852</v>
      </c>
      <c r="E1731" t="s">
        <v>2180</v>
      </c>
      <c r="F1731">
        <v>3</v>
      </c>
      <c r="G1731" t="s">
        <v>65</v>
      </c>
      <c r="H1731" t="s">
        <v>41</v>
      </c>
      <c r="I1731" t="s">
        <v>2189</v>
      </c>
      <c r="J1731" s="10">
        <v>5</v>
      </c>
      <c r="K1731" t="b">
        <v>1</v>
      </c>
    </row>
    <row r="1732" spans="1:11">
      <c r="A1732" s="12">
        <v>41857</v>
      </c>
      <c r="B1732">
        <v>2014</v>
      </c>
      <c r="C1732">
        <v>8</v>
      </c>
      <c r="D1732" s="11">
        <v>41852</v>
      </c>
      <c r="E1732" t="s">
        <v>2180</v>
      </c>
      <c r="F1732">
        <v>3</v>
      </c>
      <c r="G1732" t="s">
        <v>65</v>
      </c>
      <c r="H1732" t="s">
        <v>42</v>
      </c>
      <c r="I1732" t="s">
        <v>2190</v>
      </c>
      <c r="J1732" s="10">
        <v>1.4</v>
      </c>
      <c r="K1732" t="b">
        <v>1</v>
      </c>
    </row>
    <row r="1733" spans="1:11">
      <c r="A1733" s="12">
        <v>41857</v>
      </c>
      <c r="B1733">
        <v>2014</v>
      </c>
      <c r="C1733">
        <v>8</v>
      </c>
      <c r="D1733" s="11">
        <v>41852</v>
      </c>
      <c r="E1733" t="s">
        <v>2180</v>
      </c>
      <c r="F1733">
        <v>3</v>
      </c>
      <c r="G1733" t="s">
        <v>65</v>
      </c>
      <c r="H1733" t="s">
        <v>43</v>
      </c>
      <c r="I1733" t="s">
        <v>2191</v>
      </c>
      <c r="J1733" s="10">
        <v>17</v>
      </c>
      <c r="K1733" t="b">
        <v>1</v>
      </c>
    </row>
    <row r="1734" spans="1:11">
      <c r="A1734" s="12">
        <v>41857</v>
      </c>
      <c r="B1734">
        <v>2014</v>
      </c>
      <c r="C1734">
        <v>8</v>
      </c>
      <c r="D1734" s="11">
        <v>41852</v>
      </c>
      <c r="E1734" t="s">
        <v>2180</v>
      </c>
      <c r="F1734">
        <v>3</v>
      </c>
      <c r="G1734" t="s">
        <v>65</v>
      </c>
      <c r="H1734" t="s">
        <v>44</v>
      </c>
      <c r="I1734" t="s">
        <v>2192</v>
      </c>
      <c r="J1734" s="10">
        <v>7</v>
      </c>
      <c r="K1734" t="b">
        <v>1</v>
      </c>
    </row>
    <row r="1735" spans="1:11">
      <c r="A1735" s="12">
        <v>41857</v>
      </c>
      <c r="B1735">
        <v>2014</v>
      </c>
      <c r="C1735">
        <v>8</v>
      </c>
      <c r="D1735" s="11">
        <v>41852</v>
      </c>
      <c r="E1735" t="s">
        <v>2180</v>
      </c>
      <c r="F1735">
        <v>3</v>
      </c>
      <c r="G1735" t="s">
        <v>65</v>
      </c>
      <c r="H1735" t="s">
        <v>45</v>
      </c>
      <c r="I1735" t="s">
        <v>2193</v>
      </c>
      <c r="J1735" s="10">
        <v>1</v>
      </c>
      <c r="K1735" t="b">
        <v>1</v>
      </c>
    </row>
    <row r="1736" spans="1:11">
      <c r="A1736" s="12">
        <v>41857</v>
      </c>
      <c r="B1736">
        <v>2014</v>
      </c>
      <c r="C1736">
        <v>8</v>
      </c>
      <c r="D1736" s="11">
        <v>41852</v>
      </c>
      <c r="E1736" t="s">
        <v>2180</v>
      </c>
      <c r="F1736">
        <v>3</v>
      </c>
      <c r="G1736" t="s">
        <v>65</v>
      </c>
      <c r="H1736" t="s">
        <v>46</v>
      </c>
      <c r="I1736" t="s">
        <v>2194</v>
      </c>
      <c r="J1736" s="10">
        <v>1</v>
      </c>
      <c r="K1736" t="b">
        <v>1</v>
      </c>
    </row>
    <row r="1737" spans="1:11">
      <c r="A1737" s="12">
        <v>41857</v>
      </c>
      <c r="B1737">
        <v>2014</v>
      </c>
      <c r="C1737">
        <v>8</v>
      </c>
      <c r="D1737" s="11">
        <v>41852</v>
      </c>
      <c r="E1737" t="s">
        <v>2180</v>
      </c>
      <c r="F1737">
        <v>3</v>
      </c>
      <c r="G1737" t="s">
        <v>65</v>
      </c>
      <c r="H1737" t="s">
        <v>47</v>
      </c>
      <c r="I1737" t="s">
        <v>2195</v>
      </c>
      <c r="J1737" s="10">
        <v>1</v>
      </c>
      <c r="K1737" t="b">
        <v>1</v>
      </c>
    </row>
    <row r="1738" spans="1:11">
      <c r="A1738" s="12">
        <v>41858</v>
      </c>
      <c r="B1738">
        <v>2014</v>
      </c>
      <c r="C1738">
        <v>8</v>
      </c>
      <c r="D1738" s="11">
        <v>41852</v>
      </c>
      <c r="E1738" t="s">
        <v>2180</v>
      </c>
      <c r="F1738">
        <v>4</v>
      </c>
      <c r="G1738" t="s">
        <v>53</v>
      </c>
      <c r="H1738" t="s">
        <v>40</v>
      </c>
      <c r="I1738" t="s">
        <v>2188</v>
      </c>
      <c r="J1738" s="10">
        <v>3.34</v>
      </c>
      <c r="K1738" t="b">
        <v>1</v>
      </c>
    </row>
    <row r="1739" spans="1:11">
      <c r="A1739" s="12">
        <v>41858</v>
      </c>
      <c r="B1739">
        <v>2014</v>
      </c>
      <c r="C1739">
        <v>8</v>
      </c>
      <c r="D1739" s="11">
        <v>41852</v>
      </c>
      <c r="E1739" t="s">
        <v>2180</v>
      </c>
      <c r="F1739">
        <v>4</v>
      </c>
      <c r="G1739" t="s">
        <v>53</v>
      </c>
      <c r="H1739" t="s">
        <v>41</v>
      </c>
      <c r="I1739" t="s">
        <v>2189</v>
      </c>
      <c r="J1739" s="10">
        <v>2.68</v>
      </c>
      <c r="K1739" t="b">
        <v>1</v>
      </c>
    </row>
    <row r="1740" spans="1:11">
      <c r="A1740" s="12">
        <v>41858</v>
      </c>
      <c r="B1740">
        <v>2014</v>
      </c>
      <c r="C1740">
        <v>8</v>
      </c>
      <c r="D1740" s="11">
        <v>41852</v>
      </c>
      <c r="E1740" t="s">
        <v>2180</v>
      </c>
      <c r="F1740">
        <v>4</v>
      </c>
      <c r="G1740" t="s">
        <v>53</v>
      </c>
      <c r="H1740" t="s">
        <v>42</v>
      </c>
      <c r="I1740" t="s">
        <v>2190</v>
      </c>
      <c r="J1740" s="10">
        <v>3</v>
      </c>
      <c r="K1740" t="b">
        <v>1</v>
      </c>
    </row>
    <row r="1741" spans="1:11">
      <c r="A1741" s="12">
        <v>41858</v>
      </c>
      <c r="B1741">
        <v>2014</v>
      </c>
      <c r="C1741">
        <v>8</v>
      </c>
      <c r="D1741" s="11">
        <v>41852</v>
      </c>
      <c r="E1741" t="s">
        <v>2180</v>
      </c>
      <c r="F1741">
        <v>4</v>
      </c>
      <c r="G1741" t="s">
        <v>53</v>
      </c>
      <c r="H1741" t="s">
        <v>43</v>
      </c>
      <c r="I1741" t="s">
        <v>2191</v>
      </c>
      <c r="J1741" s="10">
        <v>33</v>
      </c>
      <c r="K1741" t="b">
        <v>1</v>
      </c>
    </row>
    <row r="1742" spans="1:11">
      <c r="A1742" s="12">
        <v>41858</v>
      </c>
      <c r="B1742">
        <v>2014</v>
      </c>
      <c r="C1742">
        <v>8</v>
      </c>
      <c r="D1742" s="11">
        <v>41852</v>
      </c>
      <c r="E1742" t="s">
        <v>2180</v>
      </c>
      <c r="F1742">
        <v>4</v>
      </c>
      <c r="G1742" t="s">
        <v>53</v>
      </c>
      <c r="H1742" t="s">
        <v>44</v>
      </c>
      <c r="I1742" t="s">
        <v>2192</v>
      </c>
      <c r="J1742" s="10">
        <v>13</v>
      </c>
      <c r="K1742" t="b">
        <v>1</v>
      </c>
    </row>
    <row r="1743" spans="1:11">
      <c r="A1743" s="12">
        <v>41858</v>
      </c>
      <c r="B1743">
        <v>2014</v>
      </c>
      <c r="C1743">
        <v>8</v>
      </c>
      <c r="D1743" s="11">
        <v>41852</v>
      </c>
      <c r="E1743" t="s">
        <v>2180</v>
      </c>
      <c r="F1743">
        <v>4</v>
      </c>
      <c r="G1743" t="s">
        <v>53</v>
      </c>
      <c r="H1743" t="s">
        <v>45</v>
      </c>
      <c r="I1743" t="s">
        <v>2193</v>
      </c>
      <c r="J1743" s="10">
        <v>1</v>
      </c>
      <c r="K1743" t="b">
        <v>1</v>
      </c>
    </row>
    <row r="1744" spans="1:11">
      <c r="A1744" s="12">
        <v>41858</v>
      </c>
      <c r="B1744">
        <v>2014</v>
      </c>
      <c r="C1744">
        <v>8</v>
      </c>
      <c r="D1744" s="11">
        <v>41852</v>
      </c>
      <c r="E1744" t="s">
        <v>2180</v>
      </c>
      <c r="F1744">
        <v>4</v>
      </c>
      <c r="G1744" t="s">
        <v>53</v>
      </c>
      <c r="H1744" t="s">
        <v>46</v>
      </c>
      <c r="I1744" t="s">
        <v>2194</v>
      </c>
      <c r="J1744" s="10">
        <v>0</v>
      </c>
      <c r="K1744" t="b">
        <v>1</v>
      </c>
    </row>
    <row r="1745" spans="1:11">
      <c r="A1745" s="12">
        <v>41858</v>
      </c>
      <c r="B1745">
        <v>2014</v>
      </c>
      <c r="C1745">
        <v>8</v>
      </c>
      <c r="D1745" s="11">
        <v>41852</v>
      </c>
      <c r="E1745" t="s">
        <v>2180</v>
      </c>
      <c r="F1745">
        <v>4</v>
      </c>
      <c r="G1745" t="s">
        <v>53</v>
      </c>
      <c r="H1745" t="s">
        <v>47</v>
      </c>
      <c r="I1745" t="s">
        <v>2195</v>
      </c>
      <c r="J1745" s="10">
        <v>2</v>
      </c>
      <c r="K1745" t="b">
        <v>1</v>
      </c>
    </row>
    <row r="1746" spans="1:11">
      <c r="A1746" s="12">
        <v>41859</v>
      </c>
      <c r="B1746">
        <v>2014</v>
      </c>
      <c r="C1746">
        <v>8</v>
      </c>
      <c r="D1746" s="11">
        <v>41852</v>
      </c>
      <c r="E1746" t="s">
        <v>2180</v>
      </c>
      <c r="F1746">
        <v>5</v>
      </c>
      <c r="G1746" t="s">
        <v>55</v>
      </c>
      <c r="H1746" t="s">
        <v>40</v>
      </c>
      <c r="I1746" t="s">
        <v>2188</v>
      </c>
      <c r="J1746" s="10">
        <v>5.02</v>
      </c>
      <c r="K1746" t="b">
        <v>1</v>
      </c>
    </row>
    <row r="1747" spans="1:11">
      <c r="A1747" s="12">
        <v>41859</v>
      </c>
      <c r="B1747">
        <v>2014</v>
      </c>
      <c r="C1747">
        <v>8</v>
      </c>
      <c r="D1747" s="11">
        <v>41852</v>
      </c>
      <c r="E1747" t="s">
        <v>2180</v>
      </c>
      <c r="F1747">
        <v>5</v>
      </c>
      <c r="G1747" t="s">
        <v>55</v>
      </c>
      <c r="H1747" t="s">
        <v>41</v>
      </c>
      <c r="I1747" t="s">
        <v>2189</v>
      </c>
      <c r="J1747" s="10">
        <v>4.02</v>
      </c>
      <c r="K1747" t="b">
        <v>1</v>
      </c>
    </row>
    <row r="1748" spans="1:11">
      <c r="A1748" s="12">
        <v>41859</v>
      </c>
      <c r="B1748">
        <v>2014</v>
      </c>
      <c r="C1748">
        <v>8</v>
      </c>
      <c r="D1748" s="11">
        <v>41852</v>
      </c>
      <c r="E1748" t="s">
        <v>2180</v>
      </c>
      <c r="F1748">
        <v>5</v>
      </c>
      <c r="G1748" t="s">
        <v>55</v>
      </c>
      <c r="H1748" t="s">
        <v>42</v>
      </c>
      <c r="I1748" t="s">
        <v>2190</v>
      </c>
      <c r="J1748" s="10">
        <v>5</v>
      </c>
      <c r="K1748" t="b">
        <v>1</v>
      </c>
    </row>
    <row r="1749" spans="1:11">
      <c r="A1749" s="12">
        <v>41859</v>
      </c>
      <c r="B1749">
        <v>2014</v>
      </c>
      <c r="C1749">
        <v>8</v>
      </c>
      <c r="D1749" s="11">
        <v>41852</v>
      </c>
      <c r="E1749" t="s">
        <v>2180</v>
      </c>
      <c r="F1749">
        <v>5</v>
      </c>
      <c r="G1749" t="s">
        <v>55</v>
      </c>
      <c r="H1749" t="s">
        <v>43</v>
      </c>
      <c r="I1749" t="s">
        <v>2191</v>
      </c>
      <c r="J1749" s="10">
        <v>13</v>
      </c>
      <c r="K1749" t="b">
        <v>1</v>
      </c>
    </row>
    <row r="1750" spans="1:11">
      <c r="A1750" s="12">
        <v>41859</v>
      </c>
      <c r="B1750">
        <v>2014</v>
      </c>
      <c r="C1750">
        <v>8</v>
      </c>
      <c r="D1750" s="11">
        <v>41852</v>
      </c>
      <c r="E1750" t="s">
        <v>2180</v>
      </c>
      <c r="F1750">
        <v>5</v>
      </c>
      <c r="G1750" t="s">
        <v>55</v>
      </c>
      <c r="H1750" t="s">
        <v>44</v>
      </c>
      <c r="I1750" t="s">
        <v>2192</v>
      </c>
      <c r="J1750" s="10">
        <v>12</v>
      </c>
      <c r="K1750" t="b">
        <v>1</v>
      </c>
    </row>
    <row r="1751" spans="1:11">
      <c r="A1751" s="12">
        <v>41859</v>
      </c>
      <c r="B1751">
        <v>2014</v>
      </c>
      <c r="C1751">
        <v>8</v>
      </c>
      <c r="D1751" s="11">
        <v>41852</v>
      </c>
      <c r="E1751" t="s">
        <v>2180</v>
      </c>
      <c r="F1751">
        <v>5</v>
      </c>
      <c r="G1751" t="s">
        <v>55</v>
      </c>
      <c r="H1751" t="s">
        <v>45</v>
      </c>
      <c r="I1751" t="s">
        <v>2193</v>
      </c>
      <c r="J1751" s="10">
        <v>3</v>
      </c>
      <c r="K1751" t="b">
        <v>1</v>
      </c>
    </row>
    <row r="1752" spans="1:11">
      <c r="A1752" s="12">
        <v>41859</v>
      </c>
      <c r="B1752">
        <v>2014</v>
      </c>
      <c r="C1752">
        <v>8</v>
      </c>
      <c r="D1752" s="11">
        <v>41852</v>
      </c>
      <c r="E1752" t="s">
        <v>2180</v>
      </c>
      <c r="F1752">
        <v>5</v>
      </c>
      <c r="G1752" t="s">
        <v>55</v>
      </c>
      <c r="H1752" t="s">
        <v>46</v>
      </c>
      <c r="I1752" t="s">
        <v>2194</v>
      </c>
      <c r="J1752" s="10">
        <v>2</v>
      </c>
      <c r="K1752" t="b">
        <v>1</v>
      </c>
    </row>
    <row r="1753" spans="1:11">
      <c r="A1753" s="12">
        <v>41859</v>
      </c>
      <c r="B1753">
        <v>2014</v>
      </c>
      <c r="C1753">
        <v>8</v>
      </c>
      <c r="D1753" s="11">
        <v>41852</v>
      </c>
      <c r="E1753" t="s">
        <v>2180</v>
      </c>
      <c r="F1753">
        <v>5</v>
      </c>
      <c r="G1753" t="s">
        <v>55</v>
      </c>
      <c r="H1753" t="s">
        <v>47</v>
      </c>
      <c r="I1753" t="s">
        <v>2195</v>
      </c>
      <c r="J1753" s="10">
        <v>2</v>
      </c>
      <c r="K1753" t="b">
        <v>1</v>
      </c>
    </row>
    <row r="1754" spans="1:11">
      <c r="A1754" s="12">
        <v>41860</v>
      </c>
      <c r="B1754">
        <v>2014</v>
      </c>
      <c r="C1754">
        <v>8</v>
      </c>
      <c r="D1754" s="11">
        <v>41852</v>
      </c>
      <c r="E1754" t="s">
        <v>2180</v>
      </c>
      <c r="F1754">
        <v>6</v>
      </c>
      <c r="G1754" t="s">
        <v>57</v>
      </c>
      <c r="H1754" t="s">
        <v>40</v>
      </c>
      <c r="I1754" t="s">
        <v>2188</v>
      </c>
      <c r="J1754" s="10">
        <v>4</v>
      </c>
      <c r="K1754" t="b">
        <v>1</v>
      </c>
    </row>
    <row r="1755" spans="1:11">
      <c r="A1755" s="12">
        <v>41860</v>
      </c>
      <c r="B1755">
        <v>2014</v>
      </c>
      <c r="C1755">
        <v>8</v>
      </c>
      <c r="D1755" s="11">
        <v>41852</v>
      </c>
      <c r="E1755" t="s">
        <v>2180</v>
      </c>
      <c r="F1755">
        <v>6</v>
      </c>
      <c r="G1755" t="s">
        <v>57</v>
      </c>
      <c r="H1755" t="s">
        <v>41</v>
      </c>
      <c r="I1755" t="s">
        <v>2189</v>
      </c>
      <c r="J1755" s="10">
        <v>1.34</v>
      </c>
      <c r="K1755" t="b">
        <v>1</v>
      </c>
    </row>
    <row r="1756" spans="1:11">
      <c r="A1756" s="12">
        <v>41860</v>
      </c>
      <c r="B1756">
        <v>2014</v>
      </c>
      <c r="C1756">
        <v>8</v>
      </c>
      <c r="D1756" s="11">
        <v>41852</v>
      </c>
      <c r="E1756" t="s">
        <v>2180</v>
      </c>
      <c r="F1756">
        <v>6</v>
      </c>
      <c r="G1756" t="s">
        <v>57</v>
      </c>
      <c r="H1756" t="s">
        <v>42</v>
      </c>
      <c r="I1756" t="s">
        <v>2190</v>
      </c>
      <c r="J1756" s="10">
        <v>6</v>
      </c>
      <c r="K1756" t="b">
        <v>1</v>
      </c>
    </row>
    <row r="1757" spans="1:11">
      <c r="A1757" s="12">
        <v>41860</v>
      </c>
      <c r="B1757">
        <v>2014</v>
      </c>
      <c r="C1757">
        <v>8</v>
      </c>
      <c r="D1757" s="11">
        <v>41852</v>
      </c>
      <c r="E1757" t="s">
        <v>2180</v>
      </c>
      <c r="F1757">
        <v>6</v>
      </c>
      <c r="G1757" t="s">
        <v>57</v>
      </c>
      <c r="H1757" t="s">
        <v>43</v>
      </c>
      <c r="I1757" t="s">
        <v>2191</v>
      </c>
      <c r="J1757" s="10">
        <v>19</v>
      </c>
      <c r="K1757" t="b">
        <v>1</v>
      </c>
    </row>
    <row r="1758" spans="1:11">
      <c r="A1758" s="12">
        <v>41860</v>
      </c>
      <c r="B1758">
        <v>2014</v>
      </c>
      <c r="C1758">
        <v>8</v>
      </c>
      <c r="D1758" s="11">
        <v>41852</v>
      </c>
      <c r="E1758" t="s">
        <v>2180</v>
      </c>
      <c r="F1758">
        <v>6</v>
      </c>
      <c r="G1758" t="s">
        <v>57</v>
      </c>
      <c r="H1758" t="s">
        <v>44</v>
      </c>
      <c r="I1758" t="s">
        <v>2192</v>
      </c>
      <c r="J1758" s="10">
        <v>24</v>
      </c>
      <c r="K1758" t="b">
        <v>1</v>
      </c>
    </row>
    <row r="1759" spans="1:11">
      <c r="A1759" s="12">
        <v>41860</v>
      </c>
      <c r="B1759">
        <v>2014</v>
      </c>
      <c r="C1759">
        <v>8</v>
      </c>
      <c r="D1759" s="11">
        <v>41852</v>
      </c>
      <c r="E1759" t="s">
        <v>2180</v>
      </c>
      <c r="F1759">
        <v>6</v>
      </c>
      <c r="G1759" t="s">
        <v>57</v>
      </c>
      <c r="H1759" t="s">
        <v>45</v>
      </c>
      <c r="I1759" t="s">
        <v>2193</v>
      </c>
      <c r="J1759" s="10">
        <v>3</v>
      </c>
      <c r="K1759" t="b">
        <v>1</v>
      </c>
    </row>
    <row r="1760" spans="1:11">
      <c r="A1760" s="12">
        <v>41860</v>
      </c>
      <c r="B1760">
        <v>2014</v>
      </c>
      <c r="C1760">
        <v>8</v>
      </c>
      <c r="D1760" s="11">
        <v>41852</v>
      </c>
      <c r="E1760" t="s">
        <v>2180</v>
      </c>
      <c r="F1760">
        <v>6</v>
      </c>
      <c r="G1760" t="s">
        <v>57</v>
      </c>
      <c r="H1760" t="s">
        <v>46</v>
      </c>
      <c r="I1760" t="s">
        <v>2194</v>
      </c>
      <c r="J1760" s="10">
        <v>0</v>
      </c>
      <c r="K1760" t="b">
        <v>1</v>
      </c>
    </row>
    <row r="1761" spans="1:11">
      <c r="A1761" s="12">
        <v>41860</v>
      </c>
      <c r="B1761">
        <v>2014</v>
      </c>
      <c r="C1761">
        <v>8</v>
      </c>
      <c r="D1761" s="11">
        <v>41852</v>
      </c>
      <c r="E1761" t="s">
        <v>2180</v>
      </c>
      <c r="F1761">
        <v>6</v>
      </c>
      <c r="G1761" t="s">
        <v>57</v>
      </c>
      <c r="H1761" t="s">
        <v>47</v>
      </c>
      <c r="I1761" t="s">
        <v>2195</v>
      </c>
      <c r="J1761" s="10">
        <v>5.9</v>
      </c>
      <c r="K1761" t="b">
        <v>1</v>
      </c>
    </row>
    <row r="1762" spans="1:11">
      <c r="A1762" s="12">
        <v>41861</v>
      </c>
      <c r="B1762">
        <v>2014</v>
      </c>
      <c r="C1762">
        <v>8</v>
      </c>
      <c r="D1762" s="11">
        <v>41852</v>
      </c>
      <c r="E1762" t="s">
        <v>2180</v>
      </c>
      <c r="F1762">
        <v>7</v>
      </c>
      <c r="G1762" t="s">
        <v>59</v>
      </c>
      <c r="H1762" t="s">
        <v>40</v>
      </c>
      <c r="I1762" t="s">
        <v>2188</v>
      </c>
      <c r="J1762" s="10">
        <v>4</v>
      </c>
      <c r="K1762" t="b">
        <v>1</v>
      </c>
    </row>
    <row r="1763" spans="1:11">
      <c r="A1763" s="12">
        <v>41861</v>
      </c>
      <c r="B1763">
        <v>2014</v>
      </c>
      <c r="C1763">
        <v>8</v>
      </c>
      <c r="D1763" s="11">
        <v>41852</v>
      </c>
      <c r="E1763" t="s">
        <v>2180</v>
      </c>
      <c r="F1763">
        <v>7</v>
      </c>
      <c r="G1763" t="s">
        <v>59</v>
      </c>
      <c r="H1763" t="s">
        <v>41</v>
      </c>
      <c r="I1763" t="s">
        <v>2189</v>
      </c>
      <c r="J1763" s="10">
        <v>0.34</v>
      </c>
      <c r="K1763" t="b">
        <v>1</v>
      </c>
    </row>
    <row r="1764" spans="1:11">
      <c r="A1764" s="12">
        <v>41861</v>
      </c>
      <c r="B1764">
        <v>2014</v>
      </c>
      <c r="C1764">
        <v>8</v>
      </c>
      <c r="D1764" s="11">
        <v>41852</v>
      </c>
      <c r="E1764" t="s">
        <v>2180</v>
      </c>
      <c r="F1764">
        <v>7</v>
      </c>
      <c r="G1764" t="s">
        <v>59</v>
      </c>
      <c r="H1764" t="s">
        <v>42</v>
      </c>
      <c r="I1764" t="s">
        <v>2190</v>
      </c>
      <c r="J1764" s="10">
        <v>4</v>
      </c>
      <c r="K1764" t="b">
        <v>1</v>
      </c>
    </row>
    <row r="1765" spans="1:11">
      <c r="A1765" s="12">
        <v>41861</v>
      </c>
      <c r="B1765">
        <v>2014</v>
      </c>
      <c r="C1765">
        <v>8</v>
      </c>
      <c r="D1765" s="11">
        <v>41852</v>
      </c>
      <c r="E1765" t="s">
        <v>2180</v>
      </c>
      <c r="F1765">
        <v>7</v>
      </c>
      <c r="G1765" t="s">
        <v>59</v>
      </c>
      <c r="H1765" t="s">
        <v>43</v>
      </c>
      <c r="I1765" t="s">
        <v>2191</v>
      </c>
      <c r="J1765" s="10">
        <v>3</v>
      </c>
      <c r="K1765" t="b">
        <v>1</v>
      </c>
    </row>
    <row r="1766" spans="1:11">
      <c r="A1766" s="12">
        <v>41861</v>
      </c>
      <c r="B1766">
        <v>2014</v>
      </c>
      <c r="C1766">
        <v>8</v>
      </c>
      <c r="D1766" s="11">
        <v>41852</v>
      </c>
      <c r="E1766" t="s">
        <v>2180</v>
      </c>
      <c r="F1766">
        <v>7</v>
      </c>
      <c r="G1766" t="s">
        <v>59</v>
      </c>
      <c r="H1766" t="s">
        <v>44</v>
      </c>
      <c r="I1766" t="s">
        <v>2192</v>
      </c>
      <c r="J1766" s="10">
        <v>4</v>
      </c>
      <c r="K1766" t="b">
        <v>1</v>
      </c>
    </row>
    <row r="1767" spans="1:11">
      <c r="A1767" s="12">
        <v>41861</v>
      </c>
      <c r="B1767">
        <v>2014</v>
      </c>
      <c r="C1767">
        <v>8</v>
      </c>
      <c r="D1767" s="11">
        <v>41852</v>
      </c>
      <c r="E1767" t="s">
        <v>2180</v>
      </c>
      <c r="F1767">
        <v>7</v>
      </c>
      <c r="G1767" t="s">
        <v>59</v>
      </c>
      <c r="H1767" t="s">
        <v>45</v>
      </c>
      <c r="I1767" t="s">
        <v>2193</v>
      </c>
      <c r="J1767" s="10">
        <v>0</v>
      </c>
      <c r="K1767" t="b">
        <v>1</v>
      </c>
    </row>
    <row r="1768" spans="1:11">
      <c r="A1768" s="12">
        <v>41861</v>
      </c>
      <c r="B1768">
        <v>2014</v>
      </c>
      <c r="C1768">
        <v>8</v>
      </c>
      <c r="D1768" s="11">
        <v>41852</v>
      </c>
      <c r="E1768" t="s">
        <v>2180</v>
      </c>
      <c r="F1768">
        <v>7</v>
      </c>
      <c r="G1768" t="s">
        <v>59</v>
      </c>
      <c r="H1768" t="s">
        <v>46</v>
      </c>
      <c r="I1768" t="s">
        <v>2194</v>
      </c>
      <c r="J1768" s="10">
        <v>0</v>
      </c>
      <c r="K1768" t="b">
        <v>1</v>
      </c>
    </row>
    <row r="1769" spans="1:11">
      <c r="A1769" s="12">
        <v>41861</v>
      </c>
      <c r="B1769">
        <v>2014</v>
      </c>
      <c r="C1769">
        <v>8</v>
      </c>
      <c r="D1769" s="11">
        <v>41852</v>
      </c>
      <c r="E1769" t="s">
        <v>2180</v>
      </c>
      <c r="F1769">
        <v>7</v>
      </c>
      <c r="G1769" t="s">
        <v>59</v>
      </c>
      <c r="H1769" t="s">
        <v>47</v>
      </c>
      <c r="I1769" t="s">
        <v>2195</v>
      </c>
      <c r="J1769" s="10">
        <v>2</v>
      </c>
      <c r="K1769" t="b">
        <v>1</v>
      </c>
    </row>
    <row r="1770" spans="1:11">
      <c r="A1770" s="12">
        <v>41862</v>
      </c>
      <c r="B1770">
        <v>2014</v>
      </c>
      <c r="C1770">
        <v>8</v>
      </c>
      <c r="D1770" s="11">
        <v>41852</v>
      </c>
      <c r="E1770" t="s">
        <v>2180</v>
      </c>
      <c r="F1770">
        <v>1</v>
      </c>
      <c r="G1770" t="s">
        <v>61</v>
      </c>
      <c r="H1770" t="s">
        <v>40</v>
      </c>
      <c r="I1770" t="s">
        <v>2188</v>
      </c>
      <c r="J1770" s="10">
        <v>8</v>
      </c>
      <c r="K1770" t="b">
        <v>1</v>
      </c>
    </row>
    <row r="1771" spans="1:11">
      <c r="A1771" s="12">
        <v>41862</v>
      </c>
      <c r="B1771">
        <v>2014</v>
      </c>
      <c r="C1771">
        <v>8</v>
      </c>
      <c r="D1771" s="11">
        <v>41852</v>
      </c>
      <c r="E1771" t="s">
        <v>2180</v>
      </c>
      <c r="F1771">
        <v>1</v>
      </c>
      <c r="G1771" t="s">
        <v>61</v>
      </c>
      <c r="H1771" t="s">
        <v>41</v>
      </c>
      <c r="I1771" t="s">
        <v>2189</v>
      </c>
      <c r="J1771" s="10">
        <v>5.36</v>
      </c>
      <c r="K1771" t="b">
        <v>1</v>
      </c>
    </row>
    <row r="1772" spans="1:11">
      <c r="A1772" s="12">
        <v>41862</v>
      </c>
      <c r="B1772">
        <v>2014</v>
      </c>
      <c r="C1772">
        <v>8</v>
      </c>
      <c r="D1772" s="11">
        <v>41852</v>
      </c>
      <c r="E1772" t="s">
        <v>2180</v>
      </c>
      <c r="F1772">
        <v>1</v>
      </c>
      <c r="G1772" t="s">
        <v>61</v>
      </c>
      <c r="H1772" t="s">
        <v>42</v>
      </c>
      <c r="I1772" t="s">
        <v>2190</v>
      </c>
      <c r="J1772" s="10">
        <v>9.199999999999999</v>
      </c>
      <c r="K1772" t="b">
        <v>1</v>
      </c>
    </row>
    <row r="1773" spans="1:11">
      <c r="A1773" s="12">
        <v>41862</v>
      </c>
      <c r="B1773">
        <v>2014</v>
      </c>
      <c r="C1773">
        <v>8</v>
      </c>
      <c r="D1773" s="11">
        <v>41852</v>
      </c>
      <c r="E1773" t="s">
        <v>2180</v>
      </c>
      <c r="F1773">
        <v>1</v>
      </c>
      <c r="G1773" t="s">
        <v>61</v>
      </c>
      <c r="H1773" t="s">
        <v>43</v>
      </c>
      <c r="I1773" t="s">
        <v>2191</v>
      </c>
      <c r="J1773" s="10">
        <v>20</v>
      </c>
      <c r="K1773" t="b">
        <v>1</v>
      </c>
    </row>
    <row r="1774" spans="1:11">
      <c r="A1774" s="12">
        <v>41862</v>
      </c>
      <c r="B1774">
        <v>2014</v>
      </c>
      <c r="C1774">
        <v>8</v>
      </c>
      <c r="D1774" s="11">
        <v>41852</v>
      </c>
      <c r="E1774" t="s">
        <v>2180</v>
      </c>
      <c r="F1774">
        <v>1</v>
      </c>
      <c r="G1774" t="s">
        <v>61</v>
      </c>
      <c r="H1774" t="s">
        <v>44</v>
      </c>
      <c r="I1774" t="s">
        <v>2192</v>
      </c>
      <c r="J1774" s="10">
        <v>18</v>
      </c>
      <c r="K1774" t="b">
        <v>1</v>
      </c>
    </row>
    <row r="1775" spans="1:11">
      <c r="A1775" s="12">
        <v>41862</v>
      </c>
      <c r="B1775">
        <v>2014</v>
      </c>
      <c r="C1775">
        <v>8</v>
      </c>
      <c r="D1775" s="11">
        <v>41852</v>
      </c>
      <c r="E1775" t="s">
        <v>2180</v>
      </c>
      <c r="F1775">
        <v>1</v>
      </c>
      <c r="G1775" t="s">
        <v>61</v>
      </c>
      <c r="H1775" t="s">
        <v>45</v>
      </c>
      <c r="I1775" t="s">
        <v>2193</v>
      </c>
      <c r="J1775" s="10">
        <v>0</v>
      </c>
      <c r="K1775" t="b">
        <v>1</v>
      </c>
    </row>
    <row r="1776" spans="1:11">
      <c r="A1776" s="12">
        <v>41862</v>
      </c>
      <c r="B1776">
        <v>2014</v>
      </c>
      <c r="C1776">
        <v>8</v>
      </c>
      <c r="D1776" s="11">
        <v>41852</v>
      </c>
      <c r="E1776" t="s">
        <v>2180</v>
      </c>
      <c r="F1776">
        <v>1</v>
      </c>
      <c r="G1776" t="s">
        <v>61</v>
      </c>
      <c r="H1776" t="s">
        <v>46</v>
      </c>
      <c r="I1776" t="s">
        <v>2194</v>
      </c>
      <c r="J1776" s="10">
        <v>0</v>
      </c>
      <c r="K1776" t="b">
        <v>1</v>
      </c>
    </row>
    <row r="1777" spans="1:11">
      <c r="A1777" s="12">
        <v>41862</v>
      </c>
      <c r="B1777">
        <v>2014</v>
      </c>
      <c r="C1777">
        <v>8</v>
      </c>
      <c r="D1777" s="11">
        <v>41852</v>
      </c>
      <c r="E1777" t="s">
        <v>2180</v>
      </c>
      <c r="F1777">
        <v>1</v>
      </c>
      <c r="G1777" t="s">
        <v>61</v>
      </c>
      <c r="H1777" t="s">
        <v>47</v>
      </c>
      <c r="I1777" t="s">
        <v>2195</v>
      </c>
      <c r="J1777" s="10">
        <v>2</v>
      </c>
      <c r="K1777" t="b">
        <v>1</v>
      </c>
    </row>
    <row r="1778" spans="1:11">
      <c r="A1778" s="12">
        <v>41863</v>
      </c>
      <c r="B1778">
        <v>2014</v>
      </c>
      <c r="C1778">
        <v>8</v>
      </c>
      <c r="D1778" s="11">
        <v>41852</v>
      </c>
      <c r="E1778" t="s">
        <v>2180</v>
      </c>
      <c r="F1778">
        <v>2</v>
      </c>
      <c r="G1778" t="s">
        <v>63</v>
      </c>
      <c r="H1778" t="s">
        <v>40</v>
      </c>
      <c r="I1778" t="s">
        <v>2188</v>
      </c>
      <c r="J1778" s="10">
        <v>0</v>
      </c>
      <c r="K1778" t="b">
        <v>1</v>
      </c>
    </row>
    <row r="1779" spans="1:11">
      <c r="A1779" s="12">
        <v>41863</v>
      </c>
      <c r="B1779">
        <v>2014</v>
      </c>
      <c r="C1779">
        <v>8</v>
      </c>
      <c r="D1779" s="11">
        <v>41852</v>
      </c>
      <c r="E1779" t="s">
        <v>2180</v>
      </c>
      <c r="F1779">
        <v>2</v>
      </c>
      <c r="G1779" t="s">
        <v>63</v>
      </c>
      <c r="H1779" t="s">
        <v>41</v>
      </c>
      <c r="I1779" t="s">
        <v>2189</v>
      </c>
      <c r="J1779" s="10">
        <v>1.36</v>
      </c>
      <c r="K1779" t="b">
        <v>1</v>
      </c>
    </row>
    <row r="1780" spans="1:11">
      <c r="A1780" s="12">
        <v>41863</v>
      </c>
      <c r="B1780">
        <v>2014</v>
      </c>
      <c r="C1780">
        <v>8</v>
      </c>
      <c r="D1780" s="11">
        <v>41852</v>
      </c>
      <c r="E1780" t="s">
        <v>2180</v>
      </c>
      <c r="F1780">
        <v>2</v>
      </c>
      <c r="G1780" t="s">
        <v>63</v>
      </c>
      <c r="H1780" t="s">
        <v>42</v>
      </c>
      <c r="I1780" t="s">
        <v>2190</v>
      </c>
      <c r="J1780" s="10">
        <v>4.5</v>
      </c>
      <c r="K1780" t="b">
        <v>1</v>
      </c>
    </row>
    <row r="1781" spans="1:11">
      <c r="A1781" s="12">
        <v>41863</v>
      </c>
      <c r="B1781">
        <v>2014</v>
      </c>
      <c r="C1781">
        <v>8</v>
      </c>
      <c r="D1781" s="11">
        <v>41852</v>
      </c>
      <c r="E1781" t="s">
        <v>2180</v>
      </c>
      <c r="F1781">
        <v>2</v>
      </c>
      <c r="G1781" t="s">
        <v>63</v>
      </c>
      <c r="H1781" t="s">
        <v>43</v>
      </c>
      <c r="I1781" t="s">
        <v>2191</v>
      </c>
      <c r="J1781" s="10">
        <v>10</v>
      </c>
      <c r="K1781" t="b">
        <v>1</v>
      </c>
    </row>
    <row r="1782" spans="1:11">
      <c r="A1782" s="12">
        <v>41863</v>
      </c>
      <c r="B1782">
        <v>2014</v>
      </c>
      <c r="C1782">
        <v>8</v>
      </c>
      <c r="D1782" s="11">
        <v>41852</v>
      </c>
      <c r="E1782" t="s">
        <v>2180</v>
      </c>
      <c r="F1782">
        <v>2</v>
      </c>
      <c r="G1782" t="s">
        <v>63</v>
      </c>
      <c r="H1782" t="s">
        <v>44</v>
      </c>
      <c r="I1782" t="s">
        <v>2192</v>
      </c>
      <c r="J1782" s="10">
        <v>8</v>
      </c>
      <c r="K1782" t="b">
        <v>1</v>
      </c>
    </row>
    <row r="1783" spans="1:11">
      <c r="A1783" s="12">
        <v>41863</v>
      </c>
      <c r="B1783">
        <v>2014</v>
      </c>
      <c r="C1783">
        <v>8</v>
      </c>
      <c r="D1783" s="11">
        <v>41852</v>
      </c>
      <c r="E1783" t="s">
        <v>2180</v>
      </c>
      <c r="F1783">
        <v>2</v>
      </c>
      <c r="G1783" t="s">
        <v>63</v>
      </c>
      <c r="H1783" t="s">
        <v>45</v>
      </c>
      <c r="I1783" t="s">
        <v>2193</v>
      </c>
      <c r="J1783" s="10">
        <v>1</v>
      </c>
      <c r="K1783" t="b">
        <v>1</v>
      </c>
    </row>
    <row r="1784" spans="1:11">
      <c r="A1784" s="12">
        <v>41863</v>
      </c>
      <c r="B1784">
        <v>2014</v>
      </c>
      <c r="C1784">
        <v>8</v>
      </c>
      <c r="D1784" s="11">
        <v>41852</v>
      </c>
      <c r="E1784" t="s">
        <v>2180</v>
      </c>
      <c r="F1784">
        <v>2</v>
      </c>
      <c r="G1784" t="s">
        <v>63</v>
      </c>
      <c r="H1784" t="s">
        <v>46</v>
      </c>
      <c r="I1784" t="s">
        <v>2194</v>
      </c>
      <c r="J1784" s="10">
        <v>0</v>
      </c>
      <c r="K1784" t="b">
        <v>1</v>
      </c>
    </row>
    <row r="1785" spans="1:11">
      <c r="A1785" s="12">
        <v>41863</v>
      </c>
      <c r="B1785">
        <v>2014</v>
      </c>
      <c r="C1785">
        <v>8</v>
      </c>
      <c r="D1785" s="11">
        <v>41852</v>
      </c>
      <c r="E1785" t="s">
        <v>2180</v>
      </c>
      <c r="F1785">
        <v>2</v>
      </c>
      <c r="G1785" t="s">
        <v>63</v>
      </c>
      <c r="H1785" t="s">
        <v>47</v>
      </c>
      <c r="I1785" t="s">
        <v>2195</v>
      </c>
      <c r="J1785" s="10">
        <v>4.6</v>
      </c>
      <c r="K1785" t="b">
        <v>1</v>
      </c>
    </row>
    <row r="1786" spans="1:11">
      <c r="A1786" s="12">
        <v>41864</v>
      </c>
      <c r="B1786">
        <v>2014</v>
      </c>
      <c r="C1786">
        <v>8</v>
      </c>
      <c r="D1786" s="11">
        <v>41852</v>
      </c>
      <c r="E1786" t="s">
        <v>2180</v>
      </c>
      <c r="F1786">
        <v>3</v>
      </c>
      <c r="G1786" t="s">
        <v>65</v>
      </c>
      <c r="H1786" t="s">
        <v>40</v>
      </c>
      <c r="I1786" t="s">
        <v>2188</v>
      </c>
      <c r="J1786" s="10">
        <v>1.34</v>
      </c>
      <c r="K1786" t="b">
        <v>1</v>
      </c>
    </row>
    <row r="1787" spans="1:11">
      <c r="A1787" s="12">
        <v>41864</v>
      </c>
      <c r="B1787">
        <v>2014</v>
      </c>
      <c r="C1787">
        <v>8</v>
      </c>
      <c r="D1787" s="11">
        <v>41852</v>
      </c>
      <c r="E1787" t="s">
        <v>2180</v>
      </c>
      <c r="F1787">
        <v>3</v>
      </c>
      <c r="G1787" t="s">
        <v>65</v>
      </c>
      <c r="H1787" t="s">
        <v>41</v>
      </c>
      <c r="I1787" t="s">
        <v>2189</v>
      </c>
      <c r="J1787" s="10">
        <v>3.34</v>
      </c>
      <c r="K1787" t="b">
        <v>1</v>
      </c>
    </row>
    <row r="1788" spans="1:11">
      <c r="A1788" s="12">
        <v>41864</v>
      </c>
      <c r="B1788">
        <v>2014</v>
      </c>
      <c r="C1788">
        <v>8</v>
      </c>
      <c r="D1788" s="11">
        <v>41852</v>
      </c>
      <c r="E1788" t="s">
        <v>2180</v>
      </c>
      <c r="F1788">
        <v>3</v>
      </c>
      <c r="G1788" t="s">
        <v>65</v>
      </c>
      <c r="H1788" t="s">
        <v>42</v>
      </c>
      <c r="I1788" t="s">
        <v>2190</v>
      </c>
      <c r="J1788" s="10">
        <v>1</v>
      </c>
      <c r="K1788" t="b">
        <v>1</v>
      </c>
    </row>
    <row r="1789" spans="1:11">
      <c r="A1789" s="12">
        <v>41864</v>
      </c>
      <c r="B1789">
        <v>2014</v>
      </c>
      <c r="C1789">
        <v>8</v>
      </c>
      <c r="D1789" s="11">
        <v>41852</v>
      </c>
      <c r="E1789" t="s">
        <v>2180</v>
      </c>
      <c r="F1789">
        <v>3</v>
      </c>
      <c r="G1789" t="s">
        <v>65</v>
      </c>
      <c r="H1789" t="s">
        <v>43</v>
      </c>
      <c r="I1789" t="s">
        <v>2191</v>
      </c>
      <c r="J1789" s="10">
        <v>20.3</v>
      </c>
      <c r="K1789" t="b">
        <v>1</v>
      </c>
    </row>
    <row r="1790" spans="1:11">
      <c r="A1790" s="12">
        <v>41864</v>
      </c>
      <c r="B1790">
        <v>2014</v>
      </c>
      <c r="C1790">
        <v>8</v>
      </c>
      <c r="D1790" s="11">
        <v>41852</v>
      </c>
      <c r="E1790" t="s">
        <v>2180</v>
      </c>
      <c r="F1790">
        <v>3</v>
      </c>
      <c r="G1790" t="s">
        <v>65</v>
      </c>
      <c r="H1790" t="s">
        <v>44</v>
      </c>
      <c r="I1790" t="s">
        <v>2192</v>
      </c>
      <c r="J1790" s="10">
        <v>11</v>
      </c>
      <c r="K1790" t="b">
        <v>1</v>
      </c>
    </row>
    <row r="1791" spans="1:11">
      <c r="A1791" s="12">
        <v>41864</v>
      </c>
      <c r="B1791">
        <v>2014</v>
      </c>
      <c r="C1791">
        <v>8</v>
      </c>
      <c r="D1791" s="11">
        <v>41852</v>
      </c>
      <c r="E1791" t="s">
        <v>2180</v>
      </c>
      <c r="F1791">
        <v>3</v>
      </c>
      <c r="G1791" t="s">
        <v>65</v>
      </c>
      <c r="H1791" t="s">
        <v>45</v>
      </c>
      <c r="I1791" t="s">
        <v>2193</v>
      </c>
      <c r="J1791" s="10">
        <v>0</v>
      </c>
      <c r="K1791" t="b">
        <v>1</v>
      </c>
    </row>
    <row r="1792" spans="1:11">
      <c r="A1792" s="12">
        <v>41864</v>
      </c>
      <c r="B1792">
        <v>2014</v>
      </c>
      <c r="C1792">
        <v>8</v>
      </c>
      <c r="D1792" s="11">
        <v>41852</v>
      </c>
      <c r="E1792" t="s">
        <v>2180</v>
      </c>
      <c r="F1792">
        <v>3</v>
      </c>
      <c r="G1792" t="s">
        <v>65</v>
      </c>
      <c r="H1792" t="s">
        <v>46</v>
      </c>
      <c r="I1792" t="s">
        <v>2194</v>
      </c>
      <c r="J1792" s="10">
        <v>0</v>
      </c>
      <c r="K1792" t="b">
        <v>1</v>
      </c>
    </row>
    <row r="1793" spans="1:11">
      <c r="A1793" s="12">
        <v>41864</v>
      </c>
      <c r="B1793">
        <v>2014</v>
      </c>
      <c r="C1793">
        <v>8</v>
      </c>
      <c r="D1793" s="11">
        <v>41852</v>
      </c>
      <c r="E1793" t="s">
        <v>2180</v>
      </c>
      <c r="F1793">
        <v>3</v>
      </c>
      <c r="G1793" t="s">
        <v>65</v>
      </c>
      <c r="H1793" t="s">
        <v>47</v>
      </c>
      <c r="I1793" t="s">
        <v>2195</v>
      </c>
      <c r="J1793" s="10">
        <v>7</v>
      </c>
      <c r="K1793" t="b">
        <v>1</v>
      </c>
    </row>
    <row r="1794" spans="1:11">
      <c r="A1794" s="12">
        <v>41865</v>
      </c>
      <c r="B1794">
        <v>2014</v>
      </c>
      <c r="C1794">
        <v>8</v>
      </c>
      <c r="D1794" s="11">
        <v>41852</v>
      </c>
      <c r="E1794" t="s">
        <v>2180</v>
      </c>
      <c r="F1794">
        <v>4</v>
      </c>
      <c r="G1794" t="s">
        <v>53</v>
      </c>
      <c r="H1794" t="s">
        <v>40</v>
      </c>
      <c r="I1794" t="s">
        <v>2188</v>
      </c>
      <c r="J1794" s="10">
        <v>4</v>
      </c>
      <c r="K1794" t="b">
        <v>1</v>
      </c>
    </row>
    <row r="1795" spans="1:11">
      <c r="A1795" s="12">
        <v>41865</v>
      </c>
      <c r="B1795">
        <v>2014</v>
      </c>
      <c r="C1795">
        <v>8</v>
      </c>
      <c r="D1795" s="11">
        <v>41852</v>
      </c>
      <c r="E1795" t="s">
        <v>2180</v>
      </c>
      <c r="F1795">
        <v>4</v>
      </c>
      <c r="G1795" t="s">
        <v>53</v>
      </c>
      <c r="H1795" t="s">
        <v>41</v>
      </c>
      <c r="I1795" t="s">
        <v>2189</v>
      </c>
      <c r="J1795" s="10">
        <v>2.34</v>
      </c>
      <c r="K1795" t="b">
        <v>1</v>
      </c>
    </row>
    <row r="1796" spans="1:11">
      <c r="A1796" s="12">
        <v>41865</v>
      </c>
      <c r="B1796">
        <v>2014</v>
      </c>
      <c r="C1796">
        <v>8</v>
      </c>
      <c r="D1796" s="11">
        <v>41852</v>
      </c>
      <c r="E1796" t="s">
        <v>2180</v>
      </c>
      <c r="F1796">
        <v>4</v>
      </c>
      <c r="G1796" t="s">
        <v>53</v>
      </c>
      <c r="H1796" t="s">
        <v>42</v>
      </c>
      <c r="I1796" t="s">
        <v>2190</v>
      </c>
      <c r="J1796" s="10">
        <v>6</v>
      </c>
      <c r="K1796" t="b">
        <v>1</v>
      </c>
    </row>
    <row r="1797" spans="1:11">
      <c r="A1797" s="12">
        <v>41865</v>
      </c>
      <c r="B1797">
        <v>2014</v>
      </c>
      <c r="C1797">
        <v>8</v>
      </c>
      <c r="D1797" s="11">
        <v>41852</v>
      </c>
      <c r="E1797" t="s">
        <v>2180</v>
      </c>
      <c r="F1797">
        <v>4</v>
      </c>
      <c r="G1797" t="s">
        <v>53</v>
      </c>
      <c r="H1797" t="s">
        <v>43</v>
      </c>
      <c r="I1797" t="s">
        <v>2191</v>
      </c>
      <c r="J1797" s="10">
        <v>14.4</v>
      </c>
      <c r="K1797" t="b">
        <v>1</v>
      </c>
    </row>
    <row r="1798" spans="1:11">
      <c r="A1798" s="12">
        <v>41865</v>
      </c>
      <c r="B1798">
        <v>2014</v>
      </c>
      <c r="C1798">
        <v>8</v>
      </c>
      <c r="D1798" s="11">
        <v>41852</v>
      </c>
      <c r="E1798" t="s">
        <v>2180</v>
      </c>
      <c r="F1798">
        <v>4</v>
      </c>
      <c r="G1798" t="s">
        <v>53</v>
      </c>
      <c r="H1798" t="s">
        <v>44</v>
      </c>
      <c r="I1798" t="s">
        <v>2192</v>
      </c>
      <c r="J1798" s="10">
        <v>13</v>
      </c>
      <c r="K1798" t="b">
        <v>1</v>
      </c>
    </row>
    <row r="1799" spans="1:11">
      <c r="A1799" s="12">
        <v>41865</v>
      </c>
      <c r="B1799">
        <v>2014</v>
      </c>
      <c r="C1799">
        <v>8</v>
      </c>
      <c r="D1799" s="11">
        <v>41852</v>
      </c>
      <c r="E1799" t="s">
        <v>2180</v>
      </c>
      <c r="F1799">
        <v>4</v>
      </c>
      <c r="G1799" t="s">
        <v>53</v>
      </c>
      <c r="H1799" t="s">
        <v>45</v>
      </c>
      <c r="I1799" t="s">
        <v>2193</v>
      </c>
      <c r="J1799" s="10">
        <v>0</v>
      </c>
      <c r="K1799" t="b">
        <v>1</v>
      </c>
    </row>
    <row r="1800" spans="1:11">
      <c r="A1800" s="12">
        <v>41865</v>
      </c>
      <c r="B1800">
        <v>2014</v>
      </c>
      <c r="C1800">
        <v>8</v>
      </c>
      <c r="D1800" s="11">
        <v>41852</v>
      </c>
      <c r="E1800" t="s">
        <v>2180</v>
      </c>
      <c r="F1800">
        <v>4</v>
      </c>
      <c r="G1800" t="s">
        <v>53</v>
      </c>
      <c r="H1800" t="s">
        <v>46</v>
      </c>
      <c r="I1800" t="s">
        <v>2194</v>
      </c>
      <c r="J1800" s="10">
        <v>0</v>
      </c>
      <c r="K1800" t="b">
        <v>1</v>
      </c>
    </row>
    <row r="1801" spans="1:11">
      <c r="A1801" s="12">
        <v>41865</v>
      </c>
      <c r="B1801">
        <v>2014</v>
      </c>
      <c r="C1801">
        <v>8</v>
      </c>
      <c r="D1801" s="11">
        <v>41852</v>
      </c>
      <c r="E1801" t="s">
        <v>2180</v>
      </c>
      <c r="F1801">
        <v>4</v>
      </c>
      <c r="G1801" t="s">
        <v>53</v>
      </c>
      <c r="H1801" t="s">
        <v>47</v>
      </c>
      <c r="I1801" t="s">
        <v>2195</v>
      </c>
      <c r="J1801" s="10">
        <v>6</v>
      </c>
      <c r="K1801" t="b">
        <v>1</v>
      </c>
    </row>
    <row r="1802" spans="1:11">
      <c r="A1802" s="12">
        <v>41866</v>
      </c>
      <c r="B1802">
        <v>2014</v>
      </c>
      <c r="C1802">
        <v>8</v>
      </c>
      <c r="D1802" s="11">
        <v>41852</v>
      </c>
      <c r="E1802" t="s">
        <v>2180</v>
      </c>
      <c r="F1802">
        <v>5</v>
      </c>
      <c r="G1802" t="s">
        <v>55</v>
      </c>
      <c r="H1802" t="s">
        <v>40</v>
      </c>
      <c r="I1802" t="s">
        <v>2188</v>
      </c>
      <c r="J1802" s="10">
        <v>4.34</v>
      </c>
      <c r="K1802" t="b">
        <v>1</v>
      </c>
    </row>
    <row r="1803" spans="1:11">
      <c r="A1803" s="12">
        <v>41866</v>
      </c>
      <c r="B1803">
        <v>2014</v>
      </c>
      <c r="C1803">
        <v>8</v>
      </c>
      <c r="D1803" s="11">
        <v>41852</v>
      </c>
      <c r="E1803" t="s">
        <v>2180</v>
      </c>
      <c r="F1803">
        <v>5</v>
      </c>
      <c r="G1803" t="s">
        <v>55</v>
      </c>
      <c r="H1803" t="s">
        <v>41</v>
      </c>
      <c r="I1803" t="s">
        <v>2189</v>
      </c>
      <c r="J1803" s="10">
        <v>4.02</v>
      </c>
      <c r="K1803" t="b">
        <v>1</v>
      </c>
    </row>
    <row r="1804" spans="1:11">
      <c r="A1804" s="12">
        <v>41866</v>
      </c>
      <c r="B1804">
        <v>2014</v>
      </c>
      <c r="C1804">
        <v>8</v>
      </c>
      <c r="D1804" s="11">
        <v>41852</v>
      </c>
      <c r="E1804" t="s">
        <v>2180</v>
      </c>
      <c r="F1804">
        <v>5</v>
      </c>
      <c r="G1804" t="s">
        <v>55</v>
      </c>
      <c r="H1804" t="s">
        <v>42</v>
      </c>
      <c r="I1804" t="s">
        <v>2190</v>
      </c>
      <c r="J1804" s="10">
        <v>7</v>
      </c>
      <c r="K1804" t="b">
        <v>1</v>
      </c>
    </row>
    <row r="1805" spans="1:11">
      <c r="A1805" s="12">
        <v>41866</v>
      </c>
      <c r="B1805">
        <v>2014</v>
      </c>
      <c r="C1805">
        <v>8</v>
      </c>
      <c r="D1805" s="11">
        <v>41852</v>
      </c>
      <c r="E1805" t="s">
        <v>2180</v>
      </c>
      <c r="F1805">
        <v>5</v>
      </c>
      <c r="G1805" t="s">
        <v>55</v>
      </c>
      <c r="H1805" t="s">
        <v>43</v>
      </c>
      <c r="I1805" t="s">
        <v>2191</v>
      </c>
      <c r="J1805" s="10">
        <v>13.2</v>
      </c>
      <c r="K1805" t="b">
        <v>1</v>
      </c>
    </row>
    <row r="1806" spans="1:11">
      <c r="A1806" s="12">
        <v>41866</v>
      </c>
      <c r="B1806">
        <v>2014</v>
      </c>
      <c r="C1806">
        <v>8</v>
      </c>
      <c r="D1806" s="11">
        <v>41852</v>
      </c>
      <c r="E1806" t="s">
        <v>2180</v>
      </c>
      <c r="F1806">
        <v>5</v>
      </c>
      <c r="G1806" t="s">
        <v>55</v>
      </c>
      <c r="H1806" t="s">
        <v>44</v>
      </c>
      <c r="I1806" t="s">
        <v>2192</v>
      </c>
      <c r="J1806" s="10">
        <v>15</v>
      </c>
      <c r="K1806" t="b">
        <v>1</v>
      </c>
    </row>
    <row r="1807" spans="1:11">
      <c r="A1807" s="12">
        <v>41866</v>
      </c>
      <c r="B1807">
        <v>2014</v>
      </c>
      <c r="C1807">
        <v>8</v>
      </c>
      <c r="D1807" s="11">
        <v>41852</v>
      </c>
      <c r="E1807" t="s">
        <v>2180</v>
      </c>
      <c r="F1807">
        <v>5</v>
      </c>
      <c r="G1807" t="s">
        <v>55</v>
      </c>
      <c r="H1807" t="s">
        <v>45</v>
      </c>
      <c r="I1807" t="s">
        <v>2193</v>
      </c>
      <c r="J1807" s="10">
        <v>2</v>
      </c>
      <c r="K1807" t="b">
        <v>1</v>
      </c>
    </row>
    <row r="1808" spans="1:11">
      <c r="A1808" s="12">
        <v>41866</v>
      </c>
      <c r="B1808">
        <v>2014</v>
      </c>
      <c r="C1808">
        <v>8</v>
      </c>
      <c r="D1808" s="11">
        <v>41852</v>
      </c>
      <c r="E1808" t="s">
        <v>2180</v>
      </c>
      <c r="F1808">
        <v>5</v>
      </c>
      <c r="G1808" t="s">
        <v>55</v>
      </c>
      <c r="H1808" t="s">
        <v>46</v>
      </c>
      <c r="I1808" t="s">
        <v>2194</v>
      </c>
      <c r="J1808" s="10">
        <v>3</v>
      </c>
      <c r="K1808" t="b">
        <v>1</v>
      </c>
    </row>
    <row r="1809" spans="1:11">
      <c r="A1809" s="12">
        <v>41866</v>
      </c>
      <c r="B1809">
        <v>2014</v>
      </c>
      <c r="C1809">
        <v>8</v>
      </c>
      <c r="D1809" s="11">
        <v>41852</v>
      </c>
      <c r="E1809" t="s">
        <v>2180</v>
      </c>
      <c r="F1809">
        <v>5</v>
      </c>
      <c r="G1809" t="s">
        <v>55</v>
      </c>
      <c r="H1809" t="s">
        <v>47</v>
      </c>
      <c r="I1809" t="s">
        <v>2195</v>
      </c>
      <c r="J1809" s="10">
        <v>2</v>
      </c>
      <c r="K1809" t="b">
        <v>1</v>
      </c>
    </row>
    <row r="1810" spans="1:11">
      <c r="A1810" s="12">
        <v>41867</v>
      </c>
      <c r="B1810">
        <v>2014</v>
      </c>
      <c r="C1810">
        <v>8</v>
      </c>
      <c r="D1810" s="11">
        <v>41852</v>
      </c>
      <c r="E1810" t="s">
        <v>2180</v>
      </c>
      <c r="F1810">
        <v>6</v>
      </c>
      <c r="G1810" t="s">
        <v>57</v>
      </c>
      <c r="H1810" t="s">
        <v>40</v>
      </c>
      <c r="I1810" t="s">
        <v>2188</v>
      </c>
      <c r="J1810" s="10">
        <v>8</v>
      </c>
      <c r="K1810" t="b">
        <v>1</v>
      </c>
    </row>
    <row r="1811" spans="1:11">
      <c r="A1811" s="12">
        <v>41867</v>
      </c>
      <c r="B1811">
        <v>2014</v>
      </c>
      <c r="C1811">
        <v>8</v>
      </c>
      <c r="D1811" s="11">
        <v>41852</v>
      </c>
      <c r="E1811" t="s">
        <v>2180</v>
      </c>
      <c r="F1811">
        <v>6</v>
      </c>
      <c r="G1811" t="s">
        <v>57</v>
      </c>
      <c r="H1811" t="s">
        <v>41</v>
      </c>
      <c r="I1811" t="s">
        <v>2189</v>
      </c>
      <c r="J1811" s="10">
        <v>2.43</v>
      </c>
      <c r="K1811" t="b">
        <v>1</v>
      </c>
    </row>
    <row r="1812" spans="1:11">
      <c r="A1812" s="12">
        <v>41867</v>
      </c>
      <c r="B1812">
        <v>2014</v>
      </c>
      <c r="C1812">
        <v>8</v>
      </c>
      <c r="D1812" s="11">
        <v>41852</v>
      </c>
      <c r="E1812" t="s">
        <v>2180</v>
      </c>
      <c r="F1812">
        <v>6</v>
      </c>
      <c r="G1812" t="s">
        <v>57</v>
      </c>
      <c r="H1812" t="s">
        <v>42</v>
      </c>
      <c r="I1812" t="s">
        <v>2190</v>
      </c>
      <c r="J1812" s="10">
        <v>5</v>
      </c>
      <c r="K1812" t="b">
        <v>1</v>
      </c>
    </row>
    <row r="1813" spans="1:11">
      <c r="A1813" s="12">
        <v>41867</v>
      </c>
      <c r="B1813">
        <v>2014</v>
      </c>
      <c r="C1813">
        <v>8</v>
      </c>
      <c r="D1813" s="11">
        <v>41852</v>
      </c>
      <c r="E1813" t="s">
        <v>2180</v>
      </c>
      <c r="F1813">
        <v>6</v>
      </c>
      <c r="G1813" t="s">
        <v>57</v>
      </c>
      <c r="H1813" t="s">
        <v>43</v>
      </c>
      <c r="I1813" t="s">
        <v>2191</v>
      </c>
      <c r="J1813" s="10">
        <v>19</v>
      </c>
      <c r="K1813" t="b">
        <v>1</v>
      </c>
    </row>
    <row r="1814" spans="1:11">
      <c r="A1814" s="12">
        <v>41867</v>
      </c>
      <c r="B1814">
        <v>2014</v>
      </c>
      <c r="C1814">
        <v>8</v>
      </c>
      <c r="D1814" s="11">
        <v>41852</v>
      </c>
      <c r="E1814" t="s">
        <v>2180</v>
      </c>
      <c r="F1814">
        <v>6</v>
      </c>
      <c r="G1814" t="s">
        <v>57</v>
      </c>
      <c r="H1814" t="s">
        <v>44</v>
      </c>
      <c r="I1814" t="s">
        <v>2192</v>
      </c>
      <c r="J1814" s="10">
        <v>27</v>
      </c>
      <c r="K1814" t="b">
        <v>1</v>
      </c>
    </row>
    <row r="1815" spans="1:11">
      <c r="A1815" s="12">
        <v>41867</v>
      </c>
      <c r="B1815">
        <v>2014</v>
      </c>
      <c r="C1815">
        <v>8</v>
      </c>
      <c r="D1815" s="11">
        <v>41852</v>
      </c>
      <c r="E1815" t="s">
        <v>2180</v>
      </c>
      <c r="F1815">
        <v>6</v>
      </c>
      <c r="G1815" t="s">
        <v>57</v>
      </c>
      <c r="H1815" t="s">
        <v>45</v>
      </c>
      <c r="I1815" t="s">
        <v>2193</v>
      </c>
      <c r="J1815" s="10">
        <v>2</v>
      </c>
      <c r="K1815" t="b">
        <v>1</v>
      </c>
    </row>
    <row r="1816" spans="1:11">
      <c r="A1816" s="12">
        <v>41867</v>
      </c>
      <c r="B1816">
        <v>2014</v>
      </c>
      <c r="C1816">
        <v>8</v>
      </c>
      <c r="D1816" s="11">
        <v>41852</v>
      </c>
      <c r="E1816" t="s">
        <v>2180</v>
      </c>
      <c r="F1816">
        <v>6</v>
      </c>
      <c r="G1816" t="s">
        <v>57</v>
      </c>
      <c r="H1816" t="s">
        <v>46</v>
      </c>
      <c r="I1816" t="s">
        <v>2194</v>
      </c>
      <c r="J1816" s="10">
        <v>0</v>
      </c>
      <c r="K1816" t="b">
        <v>1</v>
      </c>
    </row>
    <row r="1817" spans="1:11">
      <c r="A1817" s="12">
        <v>41867</v>
      </c>
      <c r="B1817">
        <v>2014</v>
      </c>
      <c r="C1817">
        <v>8</v>
      </c>
      <c r="D1817" s="11">
        <v>41852</v>
      </c>
      <c r="E1817" t="s">
        <v>2180</v>
      </c>
      <c r="F1817">
        <v>6</v>
      </c>
      <c r="G1817" t="s">
        <v>57</v>
      </c>
      <c r="H1817" t="s">
        <v>47</v>
      </c>
      <c r="I1817" t="s">
        <v>2195</v>
      </c>
      <c r="J1817" s="10">
        <v>1</v>
      </c>
      <c r="K1817" t="b">
        <v>1</v>
      </c>
    </row>
    <row r="1818" spans="1:11">
      <c r="A1818" s="12">
        <v>41868</v>
      </c>
      <c r="B1818">
        <v>2014</v>
      </c>
      <c r="C1818">
        <v>8</v>
      </c>
      <c r="D1818" s="11">
        <v>41852</v>
      </c>
      <c r="E1818" t="s">
        <v>2180</v>
      </c>
      <c r="F1818">
        <v>7</v>
      </c>
      <c r="G1818" t="s">
        <v>59</v>
      </c>
      <c r="H1818" t="s">
        <v>40</v>
      </c>
      <c r="I1818" t="s">
        <v>2188</v>
      </c>
      <c r="J1818" s="10">
        <v>0.34</v>
      </c>
      <c r="K1818" t="b">
        <v>1</v>
      </c>
    </row>
    <row r="1819" spans="1:11">
      <c r="A1819" s="12">
        <v>41868</v>
      </c>
      <c r="B1819">
        <v>2014</v>
      </c>
      <c r="C1819">
        <v>8</v>
      </c>
      <c r="D1819" s="11">
        <v>41852</v>
      </c>
      <c r="E1819" t="s">
        <v>2180</v>
      </c>
      <c r="F1819">
        <v>7</v>
      </c>
      <c r="G1819" t="s">
        <v>59</v>
      </c>
      <c r="H1819" t="s">
        <v>41</v>
      </c>
      <c r="I1819" t="s">
        <v>2189</v>
      </c>
      <c r="J1819" s="10">
        <v>0.68</v>
      </c>
      <c r="K1819" t="b">
        <v>1</v>
      </c>
    </row>
    <row r="1820" spans="1:11">
      <c r="A1820" s="12">
        <v>41868</v>
      </c>
      <c r="B1820">
        <v>2014</v>
      </c>
      <c r="C1820">
        <v>8</v>
      </c>
      <c r="D1820" s="11">
        <v>41852</v>
      </c>
      <c r="E1820" t="s">
        <v>2180</v>
      </c>
      <c r="F1820">
        <v>7</v>
      </c>
      <c r="G1820" t="s">
        <v>59</v>
      </c>
      <c r="H1820" t="s">
        <v>42</v>
      </c>
      <c r="I1820" t="s">
        <v>2190</v>
      </c>
      <c r="J1820" s="10">
        <v>2</v>
      </c>
      <c r="K1820" t="b">
        <v>1</v>
      </c>
    </row>
    <row r="1821" spans="1:11">
      <c r="A1821" s="12">
        <v>41868</v>
      </c>
      <c r="B1821">
        <v>2014</v>
      </c>
      <c r="C1821">
        <v>8</v>
      </c>
      <c r="D1821" s="11">
        <v>41852</v>
      </c>
      <c r="E1821" t="s">
        <v>2180</v>
      </c>
      <c r="F1821">
        <v>7</v>
      </c>
      <c r="G1821" t="s">
        <v>59</v>
      </c>
      <c r="H1821" t="s">
        <v>43</v>
      </c>
      <c r="I1821" t="s">
        <v>2191</v>
      </c>
      <c r="J1821" s="10">
        <v>6.5</v>
      </c>
      <c r="K1821" t="b">
        <v>1</v>
      </c>
    </row>
    <row r="1822" spans="1:11">
      <c r="A1822" s="12">
        <v>41868</v>
      </c>
      <c r="B1822">
        <v>2014</v>
      </c>
      <c r="C1822">
        <v>8</v>
      </c>
      <c r="D1822" s="11">
        <v>41852</v>
      </c>
      <c r="E1822" t="s">
        <v>2180</v>
      </c>
      <c r="F1822">
        <v>7</v>
      </c>
      <c r="G1822" t="s">
        <v>59</v>
      </c>
      <c r="H1822" t="s">
        <v>44</v>
      </c>
      <c r="I1822" t="s">
        <v>2192</v>
      </c>
      <c r="J1822" s="10">
        <v>7</v>
      </c>
      <c r="K1822" t="b">
        <v>1</v>
      </c>
    </row>
    <row r="1823" spans="1:11">
      <c r="A1823" s="12">
        <v>41868</v>
      </c>
      <c r="B1823">
        <v>2014</v>
      </c>
      <c r="C1823">
        <v>8</v>
      </c>
      <c r="D1823" s="11">
        <v>41852</v>
      </c>
      <c r="E1823" t="s">
        <v>2180</v>
      </c>
      <c r="F1823">
        <v>7</v>
      </c>
      <c r="G1823" t="s">
        <v>59</v>
      </c>
      <c r="H1823" t="s">
        <v>45</v>
      </c>
      <c r="I1823" t="s">
        <v>2193</v>
      </c>
      <c r="J1823" s="10">
        <v>0</v>
      </c>
      <c r="K1823" t="b">
        <v>1</v>
      </c>
    </row>
    <row r="1824" spans="1:11">
      <c r="A1824" s="12">
        <v>41868</v>
      </c>
      <c r="B1824">
        <v>2014</v>
      </c>
      <c r="C1824">
        <v>8</v>
      </c>
      <c r="D1824" s="11">
        <v>41852</v>
      </c>
      <c r="E1824" t="s">
        <v>2180</v>
      </c>
      <c r="F1824">
        <v>7</v>
      </c>
      <c r="G1824" t="s">
        <v>59</v>
      </c>
      <c r="H1824" t="s">
        <v>46</v>
      </c>
      <c r="I1824" t="s">
        <v>2194</v>
      </c>
      <c r="J1824" s="10">
        <v>0</v>
      </c>
      <c r="K1824" t="b">
        <v>1</v>
      </c>
    </row>
    <row r="1825" spans="1:11">
      <c r="A1825" s="12">
        <v>41868</v>
      </c>
      <c r="B1825">
        <v>2014</v>
      </c>
      <c r="C1825">
        <v>8</v>
      </c>
      <c r="D1825" s="11">
        <v>41852</v>
      </c>
      <c r="E1825" t="s">
        <v>2180</v>
      </c>
      <c r="F1825">
        <v>7</v>
      </c>
      <c r="G1825" t="s">
        <v>59</v>
      </c>
      <c r="H1825" t="s">
        <v>47</v>
      </c>
      <c r="I1825" t="s">
        <v>2195</v>
      </c>
      <c r="J1825" s="10">
        <v>1</v>
      </c>
      <c r="K1825" t="b">
        <v>1</v>
      </c>
    </row>
    <row r="1826" spans="1:11">
      <c r="A1826" s="12">
        <v>41869</v>
      </c>
      <c r="B1826">
        <v>2014</v>
      </c>
      <c r="C1826">
        <v>8</v>
      </c>
      <c r="D1826" s="11">
        <v>41852</v>
      </c>
      <c r="E1826" t="s">
        <v>2180</v>
      </c>
      <c r="F1826">
        <v>1</v>
      </c>
      <c r="G1826" t="s">
        <v>61</v>
      </c>
      <c r="H1826" t="s">
        <v>40</v>
      </c>
      <c r="I1826" t="s">
        <v>2188</v>
      </c>
      <c r="J1826" s="10">
        <v>4.34</v>
      </c>
      <c r="K1826" t="b">
        <v>1</v>
      </c>
    </row>
    <row r="1827" spans="1:11">
      <c r="A1827" s="12">
        <v>41869</v>
      </c>
      <c r="B1827">
        <v>2014</v>
      </c>
      <c r="C1827">
        <v>8</v>
      </c>
      <c r="D1827" s="11">
        <v>41852</v>
      </c>
      <c r="E1827" t="s">
        <v>2180</v>
      </c>
      <c r="F1827">
        <v>1</v>
      </c>
      <c r="G1827" t="s">
        <v>61</v>
      </c>
      <c r="H1827" t="s">
        <v>41</v>
      </c>
      <c r="I1827" t="s">
        <v>2189</v>
      </c>
      <c r="J1827" s="10">
        <v>6</v>
      </c>
      <c r="K1827" t="b">
        <v>1</v>
      </c>
    </row>
    <row r="1828" spans="1:11">
      <c r="A1828" s="12">
        <v>41869</v>
      </c>
      <c r="B1828">
        <v>2014</v>
      </c>
      <c r="C1828">
        <v>8</v>
      </c>
      <c r="D1828" s="11">
        <v>41852</v>
      </c>
      <c r="E1828" t="s">
        <v>2180</v>
      </c>
      <c r="F1828">
        <v>1</v>
      </c>
      <c r="G1828" t="s">
        <v>61</v>
      </c>
      <c r="H1828" t="s">
        <v>42</v>
      </c>
      <c r="I1828" t="s">
        <v>2190</v>
      </c>
      <c r="J1828" s="10">
        <v>3.1</v>
      </c>
      <c r="K1828" t="b">
        <v>1</v>
      </c>
    </row>
    <row r="1829" spans="1:11">
      <c r="A1829" s="12">
        <v>41869</v>
      </c>
      <c r="B1829">
        <v>2014</v>
      </c>
      <c r="C1829">
        <v>8</v>
      </c>
      <c r="D1829" s="11">
        <v>41852</v>
      </c>
      <c r="E1829" t="s">
        <v>2180</v>
      </c>
      <c r="F1829">
        <v>1</v>
      </c>
      <c r="G1829" t="s">
        <v>61</v>
      </c>
      <c r="H1829" t="s">
        <v>43</v>
      </c>
      <c r="I1829" t="s">
        <v>2191</v>
      </c>
      <c r="J1829" s="10">
        <v>16.5</v>
      </c>
      <c r="K1829" t="b">
        <v>1</v>
      </c>
    </row>
    <row r="1830" spans="1:11">
      <c r="A1830" s="12">
        <v>41869</v>
      </c>
      <c r="B1830">
        <v>2014</v>
      </c>
      <c r="C1830">
        <v>8</v>
      </c>
      <c r="D1830" s="11">
        <v>41852</v>
      </c>
      <c r="E1830" t="s">
        <v>2180</v>
      </c>
      <c r="F1830">
        <v>1</v>
      </c>
      <c r="G1830" t="s">
        <v>61</v>
      </c>
      <c r="H1830" t="s">
        <v>44</v>
      </c>
      <c r="I1830" t="s">
        <v>2192</v>
      </c>
      <c r="J1830" s="10">
        <v>21</v>
      </c>
      <c r="K1830" t="b">
        <v>1</v>
      </c>
    </row>
    <row r="1831" spans="1:11">
      <c r="A1831" s="12">
        <v>41869</v>
      </c>
      <c r="B1831">
        <v>2014</v>
      </c>
      <c r="C1831">
        <v>8</v>
      </c>
      <c r="D1831" s="11">
        <v>41852</v>
      </c>
      <c r="E1831" t="s">
        <v>2180</v>
      </c>
      <c r="F1831">
        <v>1</v>
      </c>
      <c r="G1831" t="s">
        <v>61</v>
      </c>
      <c r="H1831" t="s">
        <v>45</v>
      </c>
      <c r="I1831" t="s">
        <v>2193</v>
      </c>
      <c r="J1831" s="10">
        <v>3</v>
      </c>
      <c r="K1831" t="b">
        <v>1</v>
      </c>
    </row>
    <row r="1832" spans="1:11">
      <c r="A1832" s="12">
        <v>41869</v>
      </c>
      <c r="B1832">
        <v>2014</v>
      </c>
      <c r="C1832">
        <v>8</v>
      </c>
      <c r="D1832" s="11">
        <v>41852</v>
      </c>
      <c r="E1832" t="s">
        <v>2180</v>
      </c>
      <c r="F1832">
        <v>1</v>
      </c>
      <c r="G1832" t="s">
        <v>61</v>
      </c>
      <c r="H1832" t="s">
        <v>46</v>
      </c>
      <c r="I1832" t="s">
        <v>2194</v>
      </c>
      <c r="J1832" s="10">
        <v>10</v>
      </c>
      <c r="K1832" t="b">
        <v>1</v>
      </c>
    </row>
    <row r="1833" spans="1:11">
      <c r="A1833" s="12">
        <v>41869</v>
      </c>
      <c r="B1833">
        <v>2014</v>
      </c>
      <c r="C1833">
        <v>8</v>
      </c>
      <c r="D1833" s="11">
        <v>41852</v>
      </c>
      <c r="E1833" t="s">
        <v>2180</v>
      </c>
      <c r="F1833">
        <v>1</v>
      </c>
      <c r="G1833" t="s">
        <v>61</v>
      </c>
      <c r="H1833" t="s">
        <v>47</v>
      </c>
      <c r="I1833" t="s">
        <v>2195</v>
      </c>
      <c r="J1833" s="10">
        <v>2</v>
      </c>
      <c r="K1833" t="b">
        <v>1</v>
      </c>
    </row>
    <row r="1834" spans="1:11">
      <c r="A1834" s="12">
        <v>41870</v>
      </c>
      <c r="B1834">
        <v>2014</v>
      </c>
      <c r="C1834">
        <v>8</v>
      </c>
      <c r="D1834" s="11">
        <v>41852</v>
      </c>
      <c r="E1834" t="s">
        <v>2180</v>
      </c>
      <c r="F1834">
        <v>2</v>
      </c>
      <c r="G1834" t="s">
        <v>63</v>
      </c>
      <c r="H1834" t="s">
        <v>40</v>
      </c>
      <c r="I1834" t="s">
        <v>2188</v>
      </c>
      <c r="J1834" s="10">
        <v>11.34</v>
      </c>
      <c r="K1834" t="b">
        <v>1</v>
      </c>
    </row>
    <row r="1835" spans="1:11">
      <c r="A1835" s="12">
        <v>41870</v>
      </c>
      <c r="B1835">
        <v>2014</v>
      </c>
      <c r="C1835">
        <v>8</v>
      </c>
      <c r="D1835" s="11">
        <v>41852</v>
      </c>
      <c r="E1835" t="s">
        <v>2180</v>
      </c>
      <c r="F1835">
        <v>2</v>
      </c>
      <c r="G1835" t="s">
        <v>63</v>
      </c>
      <c r="H1835" t="s">
        <v>41</v>
      </c>
      <c r="I1835" t="s">
        <v>2189</v>
      </c>
      <c r="J1835" s="10">
        <v>6.35</v>
      </c>
      <c r="K1835" t="b">
        <v>1</v>
      </c>
    </row>
    <row r="1836" spans="1:11">
      <c r="A1836" s="12">
        <v>41870</v>
      </c>
      <c r="B1836">
        <v>2014</v>
      </c>
      <c r="C1836">
        <v>8</v>
      </c>
      <c r="D1836" s="11">
        <v>41852</v>
      </c>
      <c r="E1836" t="s">
        <v>2180</v>
      </c>
      <c r="F1836">
        <v>2</v>
      </c>
      <c r="G1836" t="s">
        <v>63</v>
      </c>
      <c r="H1836" t="s">
        <v>42</v>
      </c>
      <c r="I1836" t="s">
        <v>2190</v>
      </c>
      <c r="J1836" s="10">
        <v>5</v>
      </c>
      <c r="K1836" t="b">
        <v>1</v>
      </c>
    </row>
    <row r="1837" spans="1:11">
      <c r="A1837" s="12">
        <v>41870</v>
      </c>
      <c r="B1837">
        <v>2014</v>
      </c>
      <c r="C1837">
        <v>8</v>
      </c>
      <c r="D1837" s="11">
        <v>41852</v>
      </c>
      <c r="E1837" t="s">
        <v>2180</v>
      </c>
      <c r="F1837">
        <v>2</v>
      </c>
      <c r="G1837" t="s">
        <v>63</v>
      </c>
      <c r="H1837" t="s">
        <v>43</v>
      </c>
      <c r="I1837" t="s">
        <v>2191</v>
      </c>
      <c r="J1837" s="10">
        <v>16.1</v>
      </c>
      <c r="K1837" t="b">
        <v>1</v>
      </c>
    </row>
    <row r="1838" spans="1:11">
      <c r="A1838" s="12">
        <v>41870</v>
      </c>
      <c r="B1838">
        <v>2014</v>
      </c>
      <c r="C1838">
        <v>8</v>
      </c>
      <c r="D1838" s="11">
        <v>41852</v>
      </c>
      <c r="E1838" t="s">
        <v>2180</v>
      </c>
      <c r="F1838">
        <v>2</v>
      </c>
      <c r="G1838" t="s">
        <v>63</v>
      </c>
      <c r="H1838" t="s">
        <v>44</v>
      </c>
      <c r="I1838" t="s">
        <v>2192</v>
      </c>
      <c r="J1838" s="10">
        <v>13</v>
      </c>
      <c r="K1838" t="b">
        <v>1</v>
      </c>
    </row>
    <row r="1839" spans="1:11">
      <c r="A1839" s="12">
        <v>41870</v>
      </c>
      <c r="B1839">
        <v>2014</v>
      </c>
      <c r="C1839">
        <v>8</v>
      </c>
      <c r="D1839" s="11">
        <v>41852</v>
      </c>
      <c r="E1839" t="s">
        <v>2180</v>
      </c>
      <c r="F1839">
        <v>2</v>
      </c>
      <c r="G1839" t="s">
        <v>63</v>
      </c>
      <c r="H1839" t="s">
        <v>45</v>
      </c>
      <c r="I1839" t="s">
        <v>2193</v>
      </c>
      <c r="J1839" s="10">
        <v>1</v>
      </c>
      <c r="K1839" t="b">
        <v>1</v>
      </c>
    </row>
    <row r="1840" spans="1:11">
      <c r="A1840" s="12">
        <v>41870</v>
      </c>
      <c r="B1840">
        <v>2014</v>
      </c>
      <c r="C1840">
        <v>8</v>
      </c>
      <c r="D1840" s="11">
        <v>41852</v>
      </c>
      <c r="E1840" t="s">
        <v>2180</v>
      </c>
      <c r="F1840">
        <v>2</v>
      </c>
      <c r="G1840" t="s">
        <v>63</v>
      </c>
      <c r="H1840" t="s">
        <v>46</v>
      </c>
      <c r="I1840" t="s">
        <v>2194</v>
      </c>
      <c r="J1840" s="10">
        <v>3</v>
      </c>
      <c r="K1840" t="b">
        <v>1</v>
      </c>
    </row>
    <row r="1841" spans="1:11">
      <c r="A1841" s="12">
        <v>41870</v>
      </c>
      <c r="B1841">
        <v>2014</v>
      </c>
      <c r="C1841">
        <v>8</v>
      </c>
      <c r="D1841" s="11">
        <v>41852</v>
      </c>
      <c r="E1841" t="s">
        <v>2180</v>
      </c>
      <c r="F1841">
        <v>2</v>
      </c>
      <c r="G1841" t="s">
        <v>63</v>
      </c>
      <c r="H1841" t="s">
        <v>47</v>
      </c>
      <c r="I1841" t="s">
        <v>2195</v>
      </c>
      <c r="J1841" s="10">
        <v>1.1</v>
      </c>
      <c r="K1841" t="b">
        <v>1</v>
      </c>
    </row>
    <row r="1842" spans="1:11">
      <c r="A1842" s="12">
        <v>41871</v>
      </c>
      <c r="B1842">
        <v>2014</v>
      </c>
      <c r="C1842">
        <v>8</v>
      </c>
      <c r="D1842" s="11">
        <v>41852</v>
      </c>
      <c r="E1842" t="s">
        <v>2180</v>
      </c>
      <c r="F1842">
        <v>3</v>
      </c>
      <c r="G1842" t="s">
        <v>65</v>
      </c>
      <c r="H1842" t="s">
        <v>40</v>
      </c>
      <c r="I1842" t="s">
        <v>2188</v>
      </c>
      <c r="J1842" s="10">
        <v>5.34</v>
      </c>
      <c r="K1842" t="b">
        <v>1</v>
      </c>
    </row>
    <row r="1843" spans="1:11">
      <c r="A1843" s="12">
        <v>41871</v>
      </c>
      <c r="B1843">
        <v>2014</v>
      </c>
      <c r="C1843">
        <v>8</v>
      </c>
      <c r="D1843" s="11">
        <v>41852</v>
      </c>
      <c r="E1843" t="s">
        <v>2180</v>
      </c>
      <c r="F1843">
        <v>3</v>
      </c>
      <c r="G1843" t="s">
        <v>65</v>
      </c>
      <c r="H1843" t="s">
        <v>41</v>
      </c>
      <c r="I1843" t="s">
        <v>2189</v>
      </c>
      <c r="J1843" s="10">
        <v>5.34</v>
      </c>
      <c r="K1843" t="b">
        <v>1</v>
      </c>
    </row>
    <row r="1844" spans="1:11">
      <c r="A1844" s="12">
        <v>41871</v>
      </c>
      <c r="B1844">
        <v>2014</v>
      </c>
      <c r="C1844">
        <v>8</v>
      </c>
      <c r="D1844" s="11">
        <v>41852</v>
      </c>
      <c r="E1844" t="s">
        <v>2180</v>
      </c>
      <c r="F1844">
        <v>3</v>
      </c>
      <c r="G1844" t="s">
        <v>65</v>
      </c>
      <c r="H1844" t="s">
        <v>42</v>
      </c>
      <c r="I1844" t="s">
        <v>2190</v>
      </c>
      <c r="J1844" s="10">
        <v>1.4</v>
      </c>
      <c r="K1844" t="b">
        <v>1</v>
      </c>
    </row>
    <row r="1845" spans="1:11">
      <c r="A1845" s="12">
        <v>41871</v>
      </c>
      <c r="B1845">
        <v>2014</v>
      </c>
      <c r="C1845">
        <v>8</v>
      </c>
      <c r="D1845" s="11">
        <v>41852</v>
      </c>
      <c r="E1845" t="s">
        <v>2180</v>
      </c>
      <c r="F1845">
        <v>3</v>
      </c>
      <c r="G1845" t="s">
        <v>65</v>
      </c>
      <c r="H1845" t="s">
        <v>43</v>
      </c>
      <c r="I1845" t="s">
        <v>2191</v>
      </c>
      <c r="J1845" s="10">
        <v>9</v>
      </c>
      <c r="K1845" t="b">
        <v>1</v>
      </c>
    </row>
    <row r="1846" spans="1:11">
      <c r="A1846" s="12">
        <v>41871</v>
      </c>
      <c r="B1846">
        <v>2014</v>
      </c>
      <c r="C1846">
        <v>8</v>
      </c>
      <c r="D1846" s="11">
        <v>41852</v>
      </c>
      <c r="E1846" t="s">
        <v>2180</v>
      </c>
      <c r="F1846">
        <v>3</v>
      </c>
      <c r="G1846" t="s">
        <v>65</v>
      </c>
      <c r="H1846" t="s">
        <v>44</v>
      </c>
      <c r="I1846" t="s">
        <v>2192</v>
      </c>
      <c r="J1846" s="10">
        <v>10</v>
      </c>
      <c r="K1846" t="b">
        <v>1</v>
      </c>
    </row>
    <row r="1847" spans="1:11">
      <c r="A1847" s="12">
        <v>41871</v>
      </c>
      <c r="B1847">
        <v>2014</v>
      </c>
      <c r="C1847">
        <v>8</v>
      </c>
      <c r="D1847" s="11">
        <v>41852</v>
      </c>
      <c r="E1847" t="s">
        <v>2180</v>
      </c>
      <c r="F1847">
        <v>3</v>
      </c>
      <c r="G1847" t="s">
        <v>65</v>
      </c>
      <c r="H1847" t="s">
        <v>45</v>
      </c>
      <c r="I1847" t="s">
        <v>2193</v>
      </c>
      <c r="J1847" s="10">
        <v>2</v>
      </c>
      <c r="K1847" t="b">
        <v>1</v>
      </c>
    </row>
    <row r="1848" spans="1:11">
      <c r="A1848" s="12">
        <v>41871</v>
      </c>
      <c r="B1848">
        <v>2014</v>
      </c>
      <c r="C1848">
        <v>8</v>
      </c>
      <c r="D1848" s="11">
        <v>41852</v>
      </c>
      <c r="E1848" t="s">
        <v>2180</v>
      </c>
      <c r="F1848">
        <v>3</v>
      </c>
      <c r="G1848" t="s">
        <v>65</v>
      </c>
      <c r="H1848" t="s">
        <v>46</v>
      </c>
      <c r="I1848" t="s">
        <v>2194</v>
      </c>
      <c r="J1848" s="10">
        <v>0</v>
      </c>
      <c r="K1848" t="b">
        <v>1</v>
      </c>
    </row>
    <row r="1849" spans="1:11">
      <c r="A1849" s="12">
        <v>41871</v>
      </c>
      <c r="B1849">
        <v>2014</v>
      </c>
      <c r="C1849">
        <v>8</v>
      </c>
      <c r="D1849" s="11">
        <v>41852</v>
      </c>
      <c r="E1849" t="s">
        <v>2180</v>
      </c>
      <c r="F1849">
        <v>3</v>
      </c>
      <c r="G1849" t="s">
        <v>65</v>
      </c>
      <c r="H1849" t="s">
        <v>47</v>
      </c>
      <c r="I1849" t="s">
        <v>2195</v>
      </c>
      <c r="J1849" s="10">
        <v>1</v>
      </c>
      <c r="K1849" t="b">
        <v>1</v>
      </c>
    </row>
    <row r="1850" spans="1:11">
      <c r="A1850" s="12">
        <v>41872</v>
      </c>
      <c r="B1850">
        <v>2014</v>
      </c>
      <c r="C1850">
        <v>8</v>
      </c>
      <c r="D1850" s="11">
        <v>41852</v>
      </c>
      <c r="E1850" t="s">
        <v>2180</v>
      </c>
      <c r="F1850">
        <v>4</v>
      </c>
      <c r="G1850" t="s">
        <v>53</v>
      </c>
      <c r="H1850" t="s">
        <v>40</v>
      </c>
      <c r="I1850" t="s">
        <v>2188</v>
      </c>
      <c r="J1850" s="10">
        <v>3</v>
      </c>
      <c r="K1850" t="b">
        <v>1</v>
      </c>
    </row>
    <row r="1851" spans="1:11">
      <c r="A1851" s="12">
        <v>41872</v>
      </c>
      <c r="B1851">
        <v>2014</v>
      </c>
      <c r="C1851">
        <v>8</v>
      </c>
      <c r="D1851" s="11">
        <v>41852</v>
      </c>
      <c r="E1851" t="s">
        <v>2180</v>
      </c>
      <c r="F1851">
        <v>4</v>
      </c>
      <c r="G1851" t="s">
        <v>53</v>
      </c>
      <c r="H1851" t="s">
        <v>41</v>
      </c>
      <c r="I1851" t="s">
        <v>2189</v>
      </c>
      <c r="J1851" s="10">
        <v>1</v>
      </c>
      <c r="K1851" t="b">
        <v>1</v>
      </c>
    </row>
    <row r="1852" spans="1:11">
      <c r="A1852" s="12">
        <v>41872</v>
      </c>
      <c r="B1852">
        <v>2014</v>
      </c>
      <c r="C1852">
        <v>8</v>
      </c>
      <c r="D1852" s="11">
        <v>41852</v>
      </c>
      <c r="E1852" t="s">
        <v>2180</v>
      </c>
      <c r="F1852">
        <v>4</v>
      </c>
      <c r="G1852" t="s">
        <v>53</v>
      </c>
      <c r="H1852" t="s">
        <v>42</v>
      </c>
      <c r="I1852" t="s">
        <v>2190</v>
      </c>
      <c r="J1852" s="10">
        <v>2</v>
      </c>
      <c r="K1852" t="b">
        <v>1</v>
      </c>
    </row>
    <row r="1853" spans="1:11">
      <c r="A1853" s="12">
        <v>41872</v>
      </c>
      <c r="B1853">
        <v>2014</v>
      </c>
      <c r="C1853">
        <v>8</v>
      </c>
      <c r="D1853" s="11">
        <v>41852</v>
      </c>
      <c r="E1853" t="s">
        <v>2180</v>
      </c>
      <c r="F1853">
        <v>4</v>
      </c>
      <c r="G1853" t="s">
        <v>53</v>
      </c>
      <c r="H1853" t="s">
        <v>43</v>
      </c>
      <c r="I1853" t="s">
        <v>2191</v>
      </c>
      <c r="J1853" s="10">
        <v>18</v>
      </c>
      <c r="K1853" t="b">
        <v>1</v>
      </c>
    </row>
    <row r="1854" spans="1:11">
      <c r="A1854" s="12">
        <v>41872</v>
      </c>
      <c r="B1854">
        <v>2014</v>
      </c>
      <c r="C1854">
        <v>8</v>
      </c>
      <c r="D1854" s="11">
        <v>41852</v>
      </c>
      <c r="E1854" t="s">
        <v>2180</v>
      </c>
      <c r="F1854">
        <v>4</v>
      </c>
      <c r="G1854" t="s">
        <v>53</v>
      </c>
      <c r="H1854" t="s">
        <v>44</v>
      </c>
      <c r="I1854" t="s">
        <v>2192</v>
      </c>
      <c r="J1854" s="10">
        <v>16</v>
      </c>
      <c r="K1854" t="b">
        <v>1</v>
      </c>
    </row>
    <row r="1855" spans="1:11">
      <c r="A1855" s="12">
        <v>41872</v>
      </c>
      <c r="B1855">
        <v>2014</v>
      </c>
      <c r="C1855">
        <v>8</v>
      </c>
      <c r="D1855" s="11">
        <v>41852</v>
      </c>
      <c r="E1855" t="s">
        <v>2180</v>
      </c>
      <c r="F1855">
        <v>4</v>
      </c>
      <c r="G1855" t="s">
        <v>53</v>
      </c>
      <c r="H1855" t="s">
        <v>45</v>
      </c>
      <c r="I1855" t="s">
        <v>2193</v>
      </c>
      <c r="J1855" s="10">
        <v>1</v>
      </c>
      <c r="K1855" t="b">
        <v>1</v>
      </c>
    </row>
    <row r="1856" spans="1:11">
      <c r="A1856" s="12">
        <v>41872</v>
      </c>
      <c r="B1856">
        <v>2014</v>
      </c>
      <c r="C1856">
        <v>8</v>
      </c>
      <c r="D1856" s="11">
        <v>41852</v>
      </c>
      <c r="E1856" t="s">
        <v>2180</v>
      </c>
      <c r="F1856">
        <v>4</v>
      </c>
      <c r="G1856" t="s">
        <v>53</v>
      </c>
      <c r="H1856" t="s">
        <v>46</v>
      </c>
      <c r="I1856" t="s">
        <v>2194</v>
      </c>
      <c r="J1856" s="10">
        <v>0</v>
      </c>
      <c r="K1856" t="b">
        <v>1</v>
      </c>
    </row>
    <row r="1857" spans="1:11">
      <c r="A1857" s="12">
        <v>41872</v>
      </c>
      <c r="B1857">
        <v>2014</v>
      </c>
      <c r="C1857">
        <v>8</v>
      </c>
      <c r="D1857" s="11">
        <v>41852</v>
      </c>
      <c r="E1857" t="s">
        <v>2180</v>
      </c>
      <c r="F1857">
        <v>4</v>
      </c>
      <c r="G1857" t="s">
        <v>53</v>
      </c>
      <c r="H1857" t="s">
        <v>47</v>
      </c>
      <c r="I1857" t="s">
        <v>2195</v>
      </c>
      <c r="J1857" s="10">
        <v>2.2</v>
      </c>
      <c r="K1857" t="b">
        <v>1</v>
      </c>
    </row>
    <row r="1858" spans="1:11">
      <c r="A1858" s="12">
        <v>41873</v>
      </c>
      <c r="B1858">
        <v>2014</v>
      </c>
      <c r="C1858">
        <v>8</v>
      </c>
      <c r="D1858" s="11">
        <v>41852</v>
      </c>
      <c r="E1858" t="s">
        <v>2180</v>
      </c>
      <c r="F1858">
        <v>5</v>
      </c>
      <c r="G1858" t="s">
        <v>55</v>
      </c>
      <c r="H1858" t="s">
        <v>40</v>
      </c>
      <c r="I1858" t="s">
        <v>2188</v>
      </c>
      <c r="J1858" s="10">
        <v>6.34</v>
      </c>
      <c r="K1858" t="b">
        <v>1</v>
      </c>
    </row>
    <row r="1859" spans="1:11">
      <c r="A1859" s="12">
        <v>41873</v>
      </c>
      <c r="B1859">
        <v>2014</v>
      </c>
      <c r="C1859">
        <v>8</v>
      </c>
      <c r="D1859" s="11">
        <v>41852</v>
      </c>
      <c r="E1859" t="s">
        <v>2180</v>
      </c>
      <c r="F1859">
        <v>5</v>
      </c>
      <c r="G1859" t="s">
        <v>55</v>
      </c>
      <c r="H1859" t="s">
        <v>41</v>
      </c>
      <c r="I1859" t="s">
        <v>2189</v>
      </c>
      <c r="J1859" s="10">
        <v>1.34</v>
      </c>
      <c r="K1859" t="b">
        <v>1</v>
      </c>
    </row>
    <row r="1860" spans="1:11">
      <c r="A1860" s="12">
        <v>41873</v>
      </c>
      <c r="B1860">
        <v>2014</v>
      </c>
      <c r="C1860">
        <v>8</v>
      </c>
      <c r="D1860" s="11">
        <v>41852</v>
      </c>
      <c r="E1860" t="s">
        <v>2180</v>
      </c>
      <c r="F1860">
        <v>5</v>
      </c>
      <c r="G1860" t="s">
        <v>55</v>
      </c>
      <c r="H1860" t="s">
        <v>42</v>
      </c>
      <c r="I1860" t="s">
        <v>2190</v>
      </c>
      <c r="J1860" s="10">
        <v>5</v>
      </c>
      <c r="K1860" t="b">
        <v>1</v>
      </c>
    </row>
    <row r="1861" spans="1:11">
      <c r="A1861" s="12">
        <v>41873</v>
      </c>
      <c r="B1861">
        <v>2014</v>
      </c>
      <c r="C1861">
        <v>8</v>
      </c>
      <c r="D1861" s="11">
        <v>41852</v>
      </c>
      <c r="E1861" t="s">
        <v>2180</v>
      </c>
      <c r="F1861">
        <v>5</v>
      </c>
      <c r="G1861" t="s">
        <v>55</v>
      </c>
      <c r="H1861" t="s">
        <v>43</v>
      </c>
      <c r="I1861" t="s">
        <v>2191</v>
      </c>
      <c r="J1861" s="10">
        <v>19</v>
      </c>
      <c r="K1861" t="b">
        <v>1</v>
      </c>
    </row>
    <row r="1862" spans="1:11">
      <c r="A1862" s="12">
        <v>41873</v>
      </c>
      <c r="B1862">
        <v>2014</v>
      </c>
      <c r="C1862">
        <v>8</v>
      </c>
      <c r="D1862" s="11">
        <v>41852</v>
      </c>
      <c r="E1862" t="s">
        <v>2180</v>
      </c>
      <c r="F1862">
        <v>5</v>
      </c>
      <c r="G1862" t="s">
        <v>55</v>
      </c>
      <c r="H1862" t="s">
        <v>44</v>
      </c>
      <c r="I1862" t="s">
        <v>2192</v>
      </c>
      <c r="J1862" s="10">
        <v>15</v>
      </c>
      <c r="K1862" t="b">
        <v>1</v>
      </c>
    </row>
    <row r="1863" spans="1:11">
      <c r="A1863" s="12">
        <v>41873</v>
      </c>
      <c r="B1863">
        <v>2014</v>
      </c>
      <c r="C1863">
        <v>8</v>
      </c>
      <c r="D1863" s="11">
        <v>41852</v>
      </c>
      <c r="E1863" t="s">
        <v>2180</v>
      </c>
      <c r="F1863">
        <v>5</v>
      </c>
      <c r="G1863" t="s">
        <v>55</v>
      </c>
      <c r="H1863" t="s">
        <v>45</v>
      </c>
      <c r="I1863" t="s">
        <v>2193</v>
      </c>
      <c r="J1863" s="10">
        <v>0</v>
      </c>
      <c r="K1863" t="b">
        <v>1</v>
      </c>
    </row>
    <row r="1864" spans="1:11">
      <c r="A1864" s="12">
        <v>41873</v>
      </c>
      <c r="B1864">
        <v>2014</v>
      </c>
      <c r="C1864">
        <v>8</v>
      </c>
      <c r="D1864" s="11">
        <v>41852</v>
      </c>
      <c r="E1864" t="s">
        <v>2180</v>
      </c>
      <c r="F1864">
        <v>5</v>
      </c>
      <c r="G1864" t="s">
        <v>55</v>
      </c>
      <c r="H1864" t="s">
        <v>46</v>
      </c>
      <c r="I1864" t="s">
        <v>2194</v>
      </c>
      <c r="J1864" s="10">
        <v>0</v>
      </c>
      <c r="K1864" t="b">
        <v>1</v>
      </c>
    </row>
    <row r="1865" spans="1:11">
      <c r="A1865" s="12">
        <v>41873</v>
      </c>
      <c r="B1865">
        <v>2014</v>
      </c>
      <c r="C1865">
        <v>8</v>
      </c>
      <c r="D1865" s="11">
        <v>41852</v>
      </c>
      <c r="E1865" t="s">
        <v>2180</v>
      </c>
      <c r="F1865">
        <v>5</v>
      </c>
      <c r="G1865" t="s">
        <v>55</v>
      </c>
      <c r="H1865" t="s">
        <v>47</v>
      </c>
      <c r="I1865" t="s">
        <v>2195</v>
      </c>
      <c r="J1865" s="10">
        <v>1</v>
      </c>
      <c r="K1865" t="b">
        <v>1</v>
      </c>
    </row>
    <row r="1866" spans="1:11">
      <c r="A1866" s="12">
        <v>41874</v>
      </c>
      <c r="B1866">
        <v>2014</v>
      </c>
      <c r="C1866">
        <v>8</v>
      </c>
      <c r="D1866" s="11">
        <v>41852</v>
      </c>
      <c r="E1866" t="s">
        <v>2180</v>
      </c>
      <c r="F1866">
        <v>6</v>
      </c>
      <c r="G1866" t="s">
        <v>57</v>
      </c>
      <c r="H1866" t="s">
        <v>40</v>
      </c>
      <c r="I1866" t="s">
        <v>2188</v>
      </c>
      <c r="J1866" s="10">
        <v>3</v>
      </c>
      <c r="K1866" t="b">
        <v>1</v>
      </c>
    </row>
    <row r="1867" spans="1:11">
      <c r="A1867" s="12">
        <v>41874</v>
      </c>
      <c r="B1867">
        <v>2014</v>
      </c>
      <c r="C1867">
        <v>8</v>
      </c>
      <c r="D1867" s="11">
        <v>41852</v>
      </c>
      <c r="E1867" t="s">
        <v>2180</v>
      </c>
      <c r="F1867">
        <v>6</v>
      </c>
      <c r="G1867" t="s">
        <v>57</v>
      </c>
      <c r="H1867" t="s">
        <v>41</v>
      </c>
      <c r="I1867" t="s">
        <v>2189</v>
      </c>
      <c r="J1867" s="10">
        <v>3.02</v>
      </c>
      <c r="K1867" t="b">
        <v>1</v>
      </c>
    </row>
    <row r="1868" spans="1:11">
      <c r="A1868" s="12">
        <v>41874</v>
      </c>
      <c r="B1868">
        <v>2014</v>
      </c>
      <c r="C1868">
        <v>8</v>
      </c>
      <c r="D1868" s="11">
        <v>41852</v>
      </c>
      <c r="E1868" t="s">
        <v>2180</v>
      </c>
      <c r="F1868">
        <v>6</v>
      </c>
      <c r="G1868" t="s">
        <v>57</v>
      </c>
      <c r="H1868" t="s">
        <v>42</v>
      </c>
      <c r="I1868" t="s">
        <v>2190</v>
      </c>
      <c r="J1868" s="10">
        <v>1</v>
      </c>
      <c r="K1868" t="b">
        <v>1</v>
      </c>
    </row>
    <row r="1869" spans="1:11">
      <c r="A1869" s="12">
        <v>41874</v>
      </c>
      <c r="B1869">
        <v>2014</v>
      </c>
      <c r="C1869">
        <v>8</v>
      </c>
      <c r="D1869" s="11">
        <v>41852</v>
      </c>
      <c r="E1869" t="s">
        <v>2180</v>
      </c>
      <c r="F1869">
        <v>6</v>
      </c>
      <c r="G1869" t="s">
        <v>57</v>
      </c>
      <c r="H1869" t="s">
        <v>43</v>
      </c>
      <c r="I1869" t="s">
        <v>2191</v>
      </c>
      <c r="J1869" s="10">
        <v>25.6</v>
      </c>
      <c r="K1869" t="b">
        <v>1</v>
      </c>
    </row>
    <row r="1870" spans="1:11">
      <c r="A1870" s="12">
        <v>41874</v>
      </c>
      <c r="B1870">
        <v>2014</v>
      </c>
      <c r="C1870">
        <v>8</v>
      </c>
      <c r="D1870" s="11">
        <v>41852</v>
      </c>
      <c r="E1870" t="s">
        <v>2180</v>
      </c>
      <c r="F1870">
        <v>6</v>
      </c>
      <c r="G1870" t="s">
        <v>57</v>
      </c>
      <c r="H1870" t="s">
        <v>44</v>
      </c>
      <c r="I1870" t="s">
        <v>2192</v>
      </c>
      <c r="J1870" s="10">
        <v>5</v>
      </c>
      <c r="K1870" t="b">
        <v>1</v>
      </c>
    </row>
    <row r="1871" spans="1:11">
      <c r="A1871" s="12">
        <v>41874</v>
      </c>
      <c r="B1871">
        <v>2014</v>
      </c>
      <c r="C1871">
        <v>8</v>
      </c>
      <c r="D1871" s="11">
        <v>41852</v>
      </c>
      <c r="E1871" t="s">
        <v>2180</v>
      </c>
      <c r="F1871">
        <v>6</v>
      </c>
      <c r="G1871" t="s">
        <v>57</v>
      </c>
      <c r="H1871" t="s">
        <v>45</v>
      </c>
      <c r="I1871" t="s">
        <v>2193</v>
      </c>
      <c r="J1871" s="10">
        <v>0</v>
      </c>
      <c r="K1871" t="b">
        <v>1</v>
      </c>
    </row>
    <row r="1872" spans="1:11">
      <c r="A1872" s="12">
        <v>41874</v>
      </c>
      <c r="B1872">
        <v>2014</v>
      </c>
      <c r="C1872">
        <v>8</v>
      </c>
      <c r="D1872" s="11">
        <v>41852</v>
      </c>
      <c r="E1872" t="s">
        <v>2180</v>
      </c>
      <c r="F1872">
        <v>6</v>
      </c>
      <c r="G1872" t="s">
        <v>57</v>
      </c>
      <c r="H1872" t="s">
        <v>46</v>
      </c>
      <c r="I1872" t="s">
        <v>2194</v>
      </c>
      <c r="J1872" s="10">
        <v>0</v>
      </c>
      <c r="K1872" t="b">
        <v>1</v>
      </c>
    </row>
    <row r="1873" spans="1:11">
      <c r="A1873" s="12">
        <v>41874</v>
      </c>
      <c r="B1873">
        <v>2014</v>
      </c>
      <c r="C1873">
        <v>8</v>
      </c>
      <c r="D1873" s="11">
        <v>41852</v>
      </c>
      <c r="E1873" t="s">
        <v>2180</v>
      </c>
      <c r="F1873">
        <v>6</v>
      </c>
      <c r="G1873" t="s">
        <v>57</v>
      </c>
      <c r="H1873" t="s">
        <v>47</v>
      </c>
      <c r="I1873" t="s">
        <v>2195</v>
      </c>
      <c r="J1873" s="10">
        <v>4</v>
      </c>
      <c r="K1873" t="b">
        <v>1</v>
      </c>
    </row>
    <row r="1874" spans="1:11">
      <c r="A1874" s="12">
        <v>41875</v>
      </c>
      <c r="B1874">
        <v>2014</v>
      </c>
      <c r="C1874">
        <v>8</v>
      </c>
      <c r="D1874" s="11">
        <v>41852</v>
      </c>
      <c r="E1874" t="s">
        <v>2180</v>
      </c>
      <c r="F1874">
        <v>7</v>
      </c>
      <c r="G1874" t="s">
        <v>59</v>
      </c>
      <c r="H1874" t="s">
        <v>40</v>
      </c>
      <c r="I1874" t="s">
        <v>2188</v>
      </c>
      <c r="J1874" s="10">
        <v>3</v>
      </c>
      <c r="K1874" t="b">
        <v>1</v>
      </c>
    </row>
    <row r="1875" spans="1:11">
      <c r="A1875" s="12">
        <v>41875</v>
      </c>
      <c r="B1875">
        <v>2014</v>
      </c>
      <c r="C1875">
        <v>8</v>
      </c>
      <c r="D1875" s="11">
        <v>41852</v>
      </c>
      <c r="E1875" t="s">
        <v>2180</v>
      </c>
      <c r="F1875">
        <v>7</v>
      </c>
      <c r="G1875" t="s">
        <v>59</v>
      </c>
      <c r="H1875" t="s">
        <v>41</v>
      </c>
      <c r="I1875" t="s">
        <v>2189</v>
      </c>
      <c r="J1875" s="10">
        <v>2.175</v>
      </c>
      <c r="K1875" t="b">
        <v>1</v>
      </c>
    </row>
    <row r="1876" spans="1:11">
      <c r="A1876" s="12">
        <v>41875</v>
      </c>
      <c r="B1876">
        <v>2014</v>
      </c>
      <c r="C1876">
        <v>8</v>
      </c>
      <c r="D1876" s="11">
        <v>41852</v>
      </c>
      <c r="E1876" t="s">
        <v>2180</v>
      </c>
      <c r="F1876">
        <v>7</v>
      </c>
      <c r="G1876" t="s">
        <v>59</v>
      </c>
      <c r="H1876" t="s">
        <v>42</v>
      </c>
      <c r="I1876" t="s">
        <v>2190</v>
      </c>
      <c r="J1876" s="10">
        <v>3</v>
      </c>
      <c r="K1876" t="b">
        <v>1</v>
      </c>
    </row>
    <row r="1877" spans="1:11">
      <c r="A1877" s="12">
        <v>41875</v>
      </c>
      <c r="B1877">
        <v>2014</v>
      </c>
      <c r="C1877">
        <v>8</v>
      </c>
      <c r="D1877" s="11">
        <v>41852</v>
      </c>
      <c r="E1877" t="s">
        <v>2180</v>
      </c>
      <c r="F1877">
        <v>7</v>
      </c>
      <c r="G1877" t="s">
        <v>59</v>
      </c>
      <c r="H1877" t="s">
        <v>43</v>
      </c>
      <c r="I1877" t="s">
        <v>2191</v>
      </c>
      <c r="J1877" s="10">
        <v>7</v>
      </c>
      <c r="K1877" t="b">
        <v>1</v>
      </c>
    </row>
    <row r="1878" spans="1:11">
      <c r="A1878" s="12">
        <v>41875</v>
      </c>
      <c r="B1878">
        <v>2014</v>
      </c>
      <c r="C1878">
        <v>8</v>
      </c>
      <c r="D1878" s="11">
        <v>41852</v>
      </c>
      <c r="E1878" t="s">
        <v>2180</v>
      </c>
      <c r="F1878">
        <v>7</v>
      </c>
      <c r="G1878" t="s">
        <v>59</v>
      </c>
      <c r="H1878" t="s">
        <v>44</v>
      </c>
      <c r="I1878" t="s">
        <v>2192</v>
      </c>
      <c r="J1878" s="10">
        <v>12</v>
      </c>
      <c r="K1878" t="b">
        <v>1</v>
      </c>
    </row>
    <row r="1879" spans="1:11">
      <c r="A1879" s="12">
        <v>41875</v>
      </c>
      <c r="B1879">
        <v>2014</v>
      </c>
      <c r="C1879">
        <v>8</v>
      </c>
      <c r="D1879" s="11">
        <v>41852</v>
      </c>
      <c r="E1879" t="s">
        <v>2180</v>
      </c>
      <c r="F1879">
        <v>7</v>
      </c>
      <c r="G1879" t="s">
        <v>59</v>
      </c>
      <c r="H1879" t="s">
        <v>45</v>
      </c>
      <c r="I1879" t="s">
        <v>2193</v>
      </c>
      <c r="J1879" s="10">
        <v>0</v>
      </c>
      <c r="K1879" t="b">
        <v>1</v>
      </c>
    </row>
    <row r="1880" spans="1:11">
      <c r="A1880" s="12">
        <v>41875</v>
      </c>
      <c r="B1880">
        <v>2014</v>
      </c>
      <c r="C1880">
        <v>8</v>
      </c>
      <c r="D1880" s="11">
        <v>41852</v>
      </c>
      <c r="E1880" t="s">
        <v>2180</v>
      </c>
      <c r="F1880">
        <v>7</v>
      </c>
      <c r="G1880" t="s">
        <v>59</v>
      </c>
      <c r="H1880" t="s">
        <v>46</v>
      </c>
      <c r="I1880" t="s">
        <v>2194</v>
      </c>
      <c r="J1880" s="10">
        <v>1</v>
      </c>
      <c r="K1880" t="b">
        <v>1</v>
      </c>
    </row>
    <row r="1881" spans="1:11">
      <c r="A1881" s="12">
        <v>41875</v>
      </c>
      <c r="B1881">
        <v>2014</v>
      </c>
      <c r="C1881">
        <v>8</v>
      </c>
      <c r="D1881" s="11">
        <v>41852</v>
      </c>
      <c r="E1881" t="s">
        <v>2180</v>
      </c>
      <c r="F1881">
        <v>7</v>
      </c>
      <c r="G1881" t="s">
        <v>59</v>
      </c>
      <c r="H1881" t="s">
        <v>47</v>
      </c>
      <c r="I1881" t="s">
        <v>2195</v>
      </c>
      <c r="J1881" s="10">
        <v>0</v>
      </c>
      <c r="K1881" t="b">
        <v>1</v>
      </c>
    </row>
    <row r="1882" spans="1:11">
      <c r="A1882" s="12">
        <v>41876</v>
      </c>
      <c r="B1882">
        <v>2014</v>
      </c>
      <c r="C1882">
        <v>8</v>
      </c>
      <c r="D1882" s="11">
        <v>41852</v>
      </c>
      <c r="E1882" t="s">
        <v>2180</v>
      </c>
      <c r="F1882">
        <v>1</v>
      </c>
      <c r="G1882" t="s">
        <v>61</v>
      </c>
      <c r="H1882" t="s">
        <v>40</v>
      </c>
      <c r="I1882" t="s">
        <v>2188</v>
      </c>
      <c r="J1882" s="10">
        <v>4.01</v>
      </c>
      <c r="K1882" t="b">
        <v>1</v>
      </c>
    </row>
    <row r="1883" spans="1:11">
      <c r="A1883" s="12">
        <v>41876</v>
      </c>
      <c r="B1883">
        <v>2014</v>
      </c>
      <c r="C1883">
        <v>8</v>
      </c>
      <c r="D1883" s="11">
        <v>41852</v>
      </c>
      <c r="E1883" t="s">
        <v>2180</v>
      </c>
      <c r="F1883">
        <v>1</v>
      </c>
      <c r="G1883" t="s">
        <v>61</v>
      </c>
      <c r="H1883" t="s">
        <v>41</v>
      </c>
      <c r="I1883" t="s">
        <v>2189</v>
      </c>
      <c r="J1883" s="10">
        <v>3.175</v>
      </c>
      <c r="K1883" t="b">
        <v>1</v>
      </c>
    </row>
    <row r="1884" spans="1:11">
      <c r="A1884" s="12">
        <v>41876</v>
      </c>
      <c r="B1884">
        <v>2014</v>
      </c>
      <c r="C1884">
        <v>8</v>
      </c>
      <c r="D1884" s="11">
        <v>41852</v>
      </c>
      <c r="E1884" t="s">
        <v>2180</v>
      </c>
      <c r="F1884">
        <v>1</v>
      </c>
      <c r="G1884" t="s">
        <v>61</v>
      </c>
      <c r="H1884" t="s">
        <v>42</v>
      </c>
      <c r="I1884" t="s">
        <v>2190</v>
      </c>
      <c r="J1884" s="10">
        <v>3</v>
      </c>
      <c r="K1884" t="b">
        <v>1</v>
      </c>
    </row>
    <row r="1885" spans="1:11">
      <c r="A1885" s="12">
        <v>41876</v>
      </c>
      <c r="B1885">
        <v>2014</v>
      </c>
      <c r="C1885">
        <v>8</v>
      </c>
      <c r="D1885" s="11">
        <v>41852</v>
      </c>
      <c r="E1885" t="s">
        <v>2180</v>
      </c>
      <c r="F1885">
        <v>1</v>
      </c>
      <c r="G1885" t="s">
        <v>61</v>
      </c>
      <c r="H1885" t="s">
        <v>43</v>
      </c>
      <c r="I1885" t="s">
        <v>2191</v>
      </c>
      <c r="J1885" s="10">
        <v>21.2</v>
      </c>
      <c r="K1885" t="b">
        <v>1</v>
      </c>
    </row>
    <row r="1886" spans="1:11">
      <c r="A1886" s="12">
        <v>41876</v>
      </c>
      <c r="B1886">
        <v>2014</v>
      </c>
      <c r="C1886">
        <v>8</v>
      </c>
      <c r="D1886" s="11">
        <v>41852</v>
      </c>
      <c r="E1886" t="s">
        <v>2180</v>
      </c>
      <c r="F1886">
        <v>1</v>
      </c>
      <c r="G1886" t="s">
        <v>61</v>
      </c>
      <c r="H1886" t="s">
        <v>44</v>
      </c>
      <c r="I1886" t="s">
        <v>2192</v>
      </c>
      <c r="J1886" s="10">
        <v>21</v>
      </c>
      <c r="K1886" t="b">
        <v>1</v>
      </c>
    </row>
    <row r="1887" spans="1:11">
      <c r="A1887" s="12">
        <v>41876</v>
      </c>
      <c r="B1887">
        <v>2014</v>
      </c>
      <c r="C1887">
        <v>8</v>
      </c>
      <c r="D1887" s="11">
        <v>41852</v>
      </c>
      <c r="E1887" t="s">
        <v>2180</v>
      </c>
      <c r="F1887">
        <v>1</v>
      </c>
      <c r="G1887" t="s">
        <v>61</v>
      </c>
      <c r="H1887" t="s">
        <v>45</v>
      </c>
      <c r="I1887" t="s">
        <v>2193</v>
      </c>
      <c r="J1887" s="10">
        <v>0</v>
      </c>
      <c r="K1887" t="b">
        <v>1</v>
      </c>
    </row>
    <row r="1888" spans="1:11">
      <c r="A1888" s="12">
        <v>41876</v>
      </c>
      <c r="B1888">
        <v>2014</v>
      </c>
      <c r="C1888">
        <v>8</v>
      </c>
      <c r="D1888" s="11">
        <v>41852</v>
      </c>
      <c r="E1888" t="s">
        <v>2180</v>
      </c>
      <c r="F1888">
        <v>1</v>
      </c>
      <c r="G1888" t="s">
        <v>61</v>
      </c>
      <c r="H1888" t="s">
        <v>46</v>
      </c>
      <c r="I1888" t="s">
        <v>2194</v>
      </c>
      <c r="J1888" s="10">
        <v>0</v>
      </c>
      <c r="K1888" t="b">
        <v>1</v>
      </c>
    </row>
    <row r="1889" spans="1:11">
      <c r="A1889" s="12">
        <v>41876</v>
      </c>
      <c r="B1889">
        <v>2014</v>
      </c>
      <c r="C1889">
        <v>8</v>
      </c>
      <c r="D1889" s="11">
        <v>41852</v>
      </c>
      <c r="E1889" t="s">
        <v>2180</v>
      </c>
      <c r="F1889">
        <v>1</v>
      </c>
      <c r="G1889" t="s">
        <v>61</v>
      </c>
      <c r="H1889" t="s">
        <v>47</v>
      </c>
      <c r="I1889" t="s">
        <v>2195</v>
      </c>
      <c r="J1889" s="10">
        <v>0</v>
      </c>
      <c r="K1889" t="b">
        <v>1</v>
      </c>
    </row>
    <row r="1890" spans="1:11">
      <c r="A1890" s="12">
        <v>41877</v>
      </c>
      <c r="B1890">
        <v>2014</v>
      </c>
      <c r="C1890">
        <v>8</v>
      </c>
      <c r="D1890" s="11">
        <v>41852</v>
      </c>
      <c r="E1890" t="s">
        <v>2180</v>
      </c>
      <c r="F1890">
        <v>2</v>
      </c>
      <c r="G1890" t="s">
        <v>63</v>
      </c>
      <c r="H1890" t="s">
        <v>40</v>
      </c>
      <c r="I1890" t="s">
        <v>2188</v>
      </c>
      <c r="J1890" s="10">
        <v>2.34</v>
      </c>
      <c r="K1890" t="b">
        <v>1</v>
      </c>
    </row>
    <row r="1891" spans="1:11">
      <c r="A1891" s="12">
        <v>41877</v>
      </c>
      <c r="B1891">
        <v>2014</v>
      </c>
      <c r="C1891">
        <v>8</v>
      </c>
      <c r="D1891" s="11">
        <v>41852</v>
      </c>
      <c r="E1891" t="s">
        <v>2180</v>
      </c>
      <c r="F1891">
        <v>2</v>
      </c>
      <c r="G1891" t="s">
        <v>63</v>
      </c>
      <c r="H1891" t="s">
        <v>41</v>
      </c>
      <c r="I1891" t="s">
        <v>2189</v>
      </c>
      <c r="J1891" s="10">
        <v>5.34</v>
      </c>
      <c r="K1891" t="b">
        <v>1</v>
      </c>
    </row>
    <row r="1892" spans="1:11">
      <c r="A1892" s="12">
        <v>41877</v>
      </c>
      <c r="B1892">
        <v>2014</v>
      </c>
      <c r="C1892">
        <v>8</v>
      </c>
      <c r="D1892" s="11">
        <v>41852</v>
      </c>
      <c r="E1892" t="s">
        <v>2180</v>
      </c>
      <c r="F1892">
        <v>2</v>
      </c>
      <c r="G1892" t="s">
        <v>63</v>
      </c>
      <c r="H1892" t="s">
        <v>42</v>
      </c>
      <c r="I1892" t="s">
        <v>2190</v>
      </c>
      <c r="J1892" s="10">
        <v>3</v>
      </c>
      <c r="K1892" t="b">
        <v>1</v>
      </c>
    </row>
    <row r="1893" spans="1:11">
      <c r="A1893" s="12">
        <v>41877</v>
      </c>
      <c r="B1893">
        <v>2014</v>
      </c>
      <c r="C1893">
        <v>8</v>
      </c>
      <c r="D1893" s="11">
        <v>41852</v>
      </c>
      <c r="E1893" t="s">
        <v>2180</v>
      </c>
      <c r="F1893">
        <v>2</v>
      </c>
      <c r="G1893" t="s">
        <v>63</v>
      </c>
      <c r="H1893" t="s">
        <v>43</v>
      </c>
      <c r="I1893" t="s">
        <v>2191</v>
      </c>
      <c r="J1893" s="10">
        <v>31</v>
      </c>
      <c r="K1893" t="b">
        <v>1</v>
      </c>
    </row>
    <row r="1894" spans="1:11">
      <c r="A1894" s="12">
        <v>41877</v>
      </c>
      <c r="B1894">
        <v>2014</v>
      </c>
      <c r="C1894">
        <v>8</v>
      </c>
      <c r="D1894" s="11">
        <v>41852</v>
      </c>
      <c r="E1894" t="s">
        <v>2180</v>
      </c>
      <c r="F1894">
        <v>2</v>
      </c>
      <c r="G1894" t="s">
        <v>63</v>
      </c>
      <c r="H1894" t="s">
        <v>44</v>
      </c>
      <c r="I1894" t="s">
        <v>2192</v>
      </c>
      <c r="J1894" s="10">
        <v>14</v>
      </c>
      <c r="K1894" t="b">
        <v>1</v>
      </c>
    </row>
    <row r="1895" spans="1:11">
      <c r="A1895" s="12">
        <v>41877</v>
      </c>
      <c r="B1895">
        <v>2014</v>
      </c>
      <c r="C1895">
        <v>8</v>
      </c>
      <c r="D1895" s="11">
        <v>41852</v>
      </c>
      <c r="E1895" t="s">
        <v>2180</v>
      </c>
      <c r="F1895">
        <v>2</v>
      </c>
      <c r="G1895" t="s">
        <v>63</v>
      </c>
      <c r="H1895" t="s">
        <v>45</v>
      </c>
      <c r="I1895" t="s">
        <v>2193</v>
      </c>
      <c r="J1895" s="10">
        <v>1</v>
      </c>
      <c r="K1895" t="b">
        <v>1</v>
      </c>
    </row>
    <row r="1896" spans="1:11">
      <c r="A1896" s="12">
        <v>41877</v>
      </c>
      <c r="B1896">
        <v>2014</v>
      </c>
      <c r="C1896">
        <v>8</v>
      </c>
      <c r="D1896" s="11">
        <v>41852</v>
      </c>
      <c r="E1896" t="s">
        <v>2180</v>
      </c>
      <c r="F1896">
        <v>2</v>
      </c>
      <c r="G1896" t="s">
        <v>63</v>
      </c>
      <c r="H1896" t="s">
        <v>46</v>
      </c>
      <c r="I1896" t="s">
        <v>2194</v>
      </c>
      <c r="J1896" s="10">
        <v>1</v>
      </c>
      <c r="K1896" t="b">
        <v>1</v>
      </c>
    </row>
    <row r="1897" spans="1:11">
      <c r="A1897" s="12">
        <v>41877</v>
      </c>
      <c r="B1897">
        <v>2014</v>
      </c>
      <c r="C1897">
        <v>8</v>
      </c>
      <c r="D1897" s="11">
        <v>41852</v>
      </c>
      <c r="E1897" t="s">
        <v>2180</v>
      </c>
      <c r="F1897">
        <v>2</v>
      </c>
      <c r="G1897" t="s">
        <v>63</v>
      </c>
      <c r="H1897" t="s">
        <v>47</v>
      </c>
      <c r="I1897" t="s">
        <v>2195</v>
      </c>
      <c r="J1897" s="10">
        <v>3</v>
      </c>
      <c r="K1897" t="b">
        <v>1</v>
      </c>
    </row>
    <row r="1898" spans="1:11">
      <c r="A1898" s="12">
        <v>41878</v>
      </c>
      <c r="B1898">
        <v>2014</v>
      </c>
      <c r="C1898">
        <v>8</v>
      </c>
      <c r="D1898" s="11">
        <v>41852</v>
      </c>
      <c r="E1898" t="s">
        <v>2180</v>
      </c>
      <c r="F1898">
        <v>3</v>
      </c>
      <c r="G1898" t="s">
        <v>65</v>
      </c>
      <c r="H1898" t="s">
        <v>40</v>
      </c>
      <c r="I1898" t="s">
        <v>2188</v>
      </c>
      <c r="J1898" s="10">
        <v>3.34</v>
      </c>
      <c r="K1898" t="b">
        <v>1</v>
      </c>
    </row>
    <row r="1899" spans="1:11">
      <c r="A1899" s="12">
        <v>41878</v>
      </c>
      <c r="B1899">
        <v>2014</v>
      </c>
      <c r="C1899">
        <v>8</v>
      </c>
      <c r="D1899" s="11">
        <v>41852</v>
      </c>
      <c r="E1899" t="s">
        <v>2180</v>
      </c>
      <c r="F1899">
        <v>3</v>
      </c>
      <c r="G1899" t="s">
        <v>65</v>
      </c>
      <c r="H1899" t="s">
        <v>41</v>
      </c>
      <c r="I1899" t="s">
        <v>2189</v>
      </c>
      <c r="J1899" s="10">
        <v>8.02</v>
      </c>
      <c r="K1899" t="b">
        <v>1</v>
      </c>
    </row>
    <row r="1900" spans="1:11">
      <c r="A1900" s="12">
        <v>41878</v>
      </c>
      <c r="B1900">
        <v>2014</v>
      </c>
      <c r="C1900">
        <v>8</v>
      </c>
      <c r="D1900" s="11">
        <v>41852</v>
      </c>
      <c r="E1900" t="s">
        <v>2180</v>
      </c>
      <c r="F1900">
        <v>3</v>
      </c>
      <c r="G1900" t="s">
        <v>65</v>
      </c>
      <c r="H1900" t="s">
        <v>42</v>
      </c>
      <c r="I1900" t="s">
        <v>2190</v>
      </c>
      <c r="J1900" s="10">
        <v>4</v>
      </c>
      <c r="K1900" t="b">
        <v>1</v>
      </c>
    </row>
    <row r="1901" spans="1:11">
      <c r="A1901" s="12">
        <v>41878</v>
      </c>
      <c r="B1901">
        <v>2014</v>
      </c>
      <c r="C1901">
        <v>8</v>
      </c>
      <c r="D1901" s="11">
        <v>41852</v>
      </c>
      <c r="E1901" t="s">
        <v>2180</v>
      </c>
      <c r="F1901">
        <v>3</v>
      </c>
      <c r="G1901" t="s">
        <v>65</v>
      </c>
      <c r="H1901" t="s">
        <v>43</v>
      </c>
      <c r="I1901" t="s">
        <v>2191</v>
      </c>
      <c r="J1901" s="10">
        <v>21</v>
      </c>
      <c r="K1901" t="b">
        <v>1</v>
      </c>
    </row>
    <row r="1902" spans="1:11">
      <c r="A1902" s="12">
        <v>41878</v>
      </c>
      <c r="B1902">
        <v>2014</v>
      </c>
      <c r="C1902">
        <v>8</v>
      </c>
      <c r="D1902" s="11">
        <v>41852</v>
      </c>
      <c r="E1902" t="s">
        <v>2180</v>
      </c>
      <c r="F1902">
        <v>3</v>
      </c>
      <c r="G1902" t="s">
        <v>65</v>
      </c>
      <c r="H1902" t="s">
        <v>44</v>
      </c>
      <c r="I1902" t="s">
        <v>2192</v>
      </c>
      <c r="J1902" s="10">
        <v>14</v>
      </c>
      <c r="K1902" t="b">
        <v>1</v>
      </c>
    </row>
    <row r="1903" spans="1:11">
      <c r="A1903" s="12">
        <v>41878</v>
      </c>
      <c r="B1903">
        <v>2014</v>
      </c>
      <c r="C1903">
        <v>8</v>
      </c>
      <c r="D1903" s="11">
        <v>41852</v>
      </c>
      <c r="E1903" t="s">
        <v>2180</v>
      </c>
      <c r="F1903">
        <v>3</v>
      </c>
      <c r="G1903" t="s">
        <v>65</v>
      </c>
      <c r="H1903" t="s">
        <v>45</v>
      </c>
      <c r="I1903" t="s">
        <v>2193</v>
      </c>
      <c r="J1903" s="10">
        <v>0</v>
      </c>
      <c r="K1903" t="b">
        <v>1</v>
      </c>
    </row>
    <row r="1904" spans="1:11">
      <c r="A1904" s="12">
        <v>41878</v>
      </c>
      <c r="B1904">
        <v>2014</v>
      </c>
      <c r="C1904">
        <v>8</v>
      </c>
      <c r="D1904" s="11">
        <v>41852</v>
      </c>
      <c r="E1904" t="s">
        <v>2180</v>
      </c>
      <c r="F1904">
        <v>3</v>
      </c>
      <c r="G1904" t="s">
        <v>65</v>
      </c>
      <c r="H1904" t="s">
        <v>46</v>
      </c>
      <c r="I1904" t="s">
        <v>2194</v>
      </c>
      <c r="J1904" s="10">
        <v>0</v>
      </c>
      <c r="K1904" t="b">
        <v>1</v>
      </c>
    </row>
    <row r="1905" spans="1:11">
      <c r="A1905" s="12">
        <v>41878</v>
      </c>
      <c r="B1905">
        <v>2014</v>
      </c>
      <c r="C1905">
        <v>8</v>
      </c>
      <c r="D1905" s="11">
        <v>41852</v>
      </c>
      <c r="E1905" t="s">
        <v>2180</v>
      </c>
      <c r="F1905">
        <v>3</v>
      </c>
      <c r="G1905" t="s">
        <v>65</v>
      </c>
      <c r="H1905" t="s">
        <v>47</v>
      </c>
      <c r="I1905" t="s">
        <v>2195</v>
      </c>
      <c r="J1905" s="10">
        <v>3</v>
      </c>
      <c r="K1905" t="b">
        <v>1</v>
      </c>
    </row>
    <row r="1906" spans="1:11">
      <c r="A1906" s="12">
        <v>41879</v>
      </c>
      <c r="B1906">
        <v>2014</v>
      </c>
      <c r="C1906">
        <v>8</v>
      </c>
      <c r="D1906" s="11">
        <v>41852</v>
      </c>
      <c r="E1906" t="s">
        <v>2180</v>
      </c>
      <c r="F1906">
        <v>4</v>
      </c>
      <c r="G1906" t="s">
        <v>53</v>
      </c>
      <c r="H1906" t="s">
        <v>40</v>
      </c>
      <c r="I1906" t="s">
        <v>2188</v>
      </c>
      <c r="J1906" s="10">
        <v>2.34</v>
      </c>
      <c r="K1906" t="b">
        <v>1</v>
      </c>
    </row>
    <row r="1907" spans="1:11">
      <c r="A1907" s="12">
        <v>41879</v>
      </c>
      <c r="B1907">
        <v>2014</v>
      </c>
      <c r="C1907">
        <v>8</v>
      </c>
      <c r="D1907" s="11">
        <v>41852</v>
      </c>
      <c r="E1907" t="s">
        <v>2180</v>
      </c>
      <c r="F1907">
        <v>4</v>
      </c>
      <c r="G1907" t="s">
        <v>53</v>
      </c>
      <c r="H1907" t="s">
        <v>41</v>
      </c>
      <c r="I1907" t="s">
        <v>2189</v>
      </c>
      <c r="J1907" s="10">
        <v>5.36</v>
      </c>
      <c r="K1907" t="b">
        <v>1</v>
      </c>
    </row>
    <row r="1908" spans="1:11">
      <c r="A1908" s="12">
        <v>41879</v>
      </c>
      <c r="B1908">
        <v>2014</v>
      </c>
      <c r="C1908">
        <v>8</v>
      </c>
      <c r="D1908" s="11">
        <v>41852</v>
      </c>
      <c r="E1908" t="s">
        <v>2180</v>
      </c>
      <c r="F1908">
        <v>4</v>
      </c>
      <c r="G1908" t="s">
        <v>53</v>
      </c>
      <c r="H1908" t="s">
        <v>42</v>
      </c>
      <c r="I1908" t="s">
        <v>2190</v>
      </c>
      <c r="J1908" s="10">
        <v>6</v>
      </c>
      <c r="K1908" t="b">
        <v>1</v>
      </c>
    </row>
    <row r="1909" spans="1:11">
      <c r="A1909" s="12">
        <v>41879</v>
      </c>
      <c r="B1909">
        <v>2014</v>
      </c>
      <c r="C1909">
        <v>8</v>
      </c>
      <c r="D1909" s="11">
        <v>41852</v>
      </c>
      <c r="E1909" t="s">
        <v>2180</v>
      </c>
      <c r="F1909">
        <v>4</v>
      </c>
      <c r="G1909" t="s">
        <v>53</v>
      </c>
      <c r="H1909" t="s">
        <v>43</v>
      </c>
      <c r="I1909" t="s">
        <v>2191</v>
      </c>
      <c r="J1909" s="10">
        <v>32.67</v>
      </c>
      <c r="K1909" t="b">
        <v>1</v>
      </c>
    </row>
    <row r="1910" spans="1:11">
      <c r="A1910" s="12">
        <v>41879</v>
      </c>
      <c r="B1910">
        <v>2014</v>
      </c>
      <c r="C1910">
        <v>8</v>
      </c>
      <c r="D1910" s="11">
        <v>41852</v>
      </c>
      <c r="E1910" t="s">
        <v>2180</v>
      </c>
      <c r="F1910">
        <v>4</v>
      </c>
      <c r="G1910" t="s">
        <v>53</v>
      </c>
      <c r="H1910" t="s">
        <v>44</v>
      </c>
      <c r="I1910" t="s">
        <v>2192</v>
      </c>
      <c r="J1910" s="10">
        <v>19</v>
      </c>
      <c r="K1910" t="b">
        <v>1</v>
      </c>
    </row>
    <row r="1911" spans="1:11">
      <c r="A1911" s="12">
        <v>41879</v>
      </c>
      <c r="B1911">
        <v>2014</v>
      </c>
      <c r="C1911">
        <v>8</v>
      </c>
      <c r="D1911" s="11">
        <v>41852</v>
      </c>
      <c r="E1911" t="s">
        <v>2180</v>
      </c>
      <c r="F1911">
        <v>4</v>
      </c>
      <c r="G1911" t="s">
        <v>53</v>
      </c>
      <c r="H1911" t="s">
        <v>45</v>
      </c>
      <c r="I1911" t="s">
        <v>2193</v>
      </c>
      <c r="J1911" s="10">
        <v>0</v>
      </c>
      <c r="K1911" t="b">
        <v>1</v>
      </c>
    </row>
    <row r="1912" spans="1:11">
      <c r="A1912" s="12">
        <v>41879</v>
      </c>
      <c r="B1912">
        <v>2014</v>
      </c>
      <c r="C1912">
        <v>8</v>
      </c>
      <c r="D1912" s="11">
        <v>41852</v>
      </c>
      <c r="E1912" t="s">
        <v>2180</v>
      </c>
      <c r="F1912">
        <v>4</v>
      </c>
      <c r="G1912" t="s">
        <v>53</v>
      </c>
      <c r="H1912" t="s">
        <v>46</v>
      </c>
      <c r="I1912" t="s">
        <v>2194</v>
      </c>
      <c r="J1912" s="10">
        <v>4</v>
      </c>
      <c r="K1912" t="b">
        <v>1</v>
      </c>
    </row>
    <row r="1913" spans="1:11">
      <c r="A1913" s="12">
        <v>41879</v>
      </c>
      <c r="B1913">
        <v>2014</v>
      </c>
      <c r="C1913">
        <v>8</v>
      </c>
      <c r="D1913" s="11">
        <v>41852</v>
      </c>
      <c r="E1913" t="s">
        <v>2180</v>
      </c>
      <c r="F1913">
        <v>4</v>
      </c>
      <c r="G1913" t="s">
        <v>53</v>
      </c>
      <c r="H1913" t="s">
        <v>47</v>
      </c>
      <c r="I1913" t="s">
        <v>2195</v>
      </c>
      <c r="J1913" s="10">
        <v>0</v>
      </c>
      <c r="K1913" t="b">
        <v>1</v>
      </c>
    </row>
    <row r="1914" spans="1:11">
      <c r="A1914" s="12">
        <v>41880</v>
      </c>
      <c r="B1914">
        <v>2014</v>
      </c>
      <c r="C1914">
        <v>8</v>
      </c>
      <c r="D1914" s="11">
        <v>41852</v>
      </c>
      <c r="E1914" t="s">
        <v>2180</v>
      </c>
      <c r="F1914">
        <v>5</v>
      </c>
      <c r="G1914" t="s">
        <v>55</v>
      </c>
      <c r="H1914" t="s">
        <v>40</v>
      </c>
      <c r="I1914" t="s">
        <v>2188</v>
      </c>
      <c r="J1914" s="10">
        <v>6.34</v>
      </c>
      <c r="K1914" t="b">
        <v>1</v>
      </c>
    </row>
    <row r="1915" spans="1:11">
      <c r="A1915" s="12">
        <v>41880</v>
      </c>
      <c r="B1915">
        <v>2014</v>
      </c>
      <c r="C1915">
        <v>8</v>
      </c>
      <c r="D1915" s="11">
        <v>41852</v>
      </c>
      <c r="E1915" t="s">
        <v>2180</v>
      </c>
      <c r="F1915">
        <v>5</v>
      </c>
      <c r="G1915" t="s">
        <v>55</v>
      </c>
      <c r="H1915" t="s">
        <v>41</v>
      </c>
      <c r="I1915" t="s">
        <v>2189</v>
      </c>
      <c r="J1915" s="10">
        <v>3.68</v>
      </c>
      <c r="K1915" t="b">
        <v>1</v>
      </c>
    </row>
    <row r="1916" spans="1:11">
      <c r="A1916" s="12">
        <v>41880</v>
      </c>
      <c r="B1916">
        <v>2014</v>
      </c>
      <c r="C1916">
        <v>8</v>
      </c>
      <c r="D1916" s="11">
        <v>41852</v>
      </c>
      <c r="E1916" t="s">
        <v>2180</v>
      </c>
      <c r="F1916">
        <v>5</v>
      </c>
      <c r="G1916" t="s">
        <v>55</v>
      </c>
      <c r="H1916" t="s">
        <v>42</v>
      </c>
      <c r="I1916" t="s">
        <v>2190</v>
      </c>
      <c r="J1916" s="10">
        <v>5</v>
      </c>
      <c r="K1916" t="b">
        <v>1</v>
      </c>
    </row>
    <row r="1917" spans="1:11">
      <c r="A1917" s="12">
        <v>41880</v>
      </c>
      <c r="B1917">
        <v>2014</v>
      </c>
      <c r="C1917">
        <v>8</v>
      </c>
      <c r="D1917" s="11">
        <v>41852</v>
      </c>
      <c r="E1917" t="s">
        <v>2180</v>
      </c>
      <c r="F1917">
        <v>5</v>
      </c>
      <c r="G1917" t="s">
        <v>55</v>
      </c>
      <c r="H1917" t="s">
        <v>43</v>
      </c>
      <c r="I1917" t="s">
        <v>2191</v>
      </c>
      <c r="J1917" s="10">
        <v>26.28</v>
      </c>
      <c r="K1917" t="b">
        <v>1</v>
      </c>
    </row>
    <row r="1918" spans="1:11">
      <c r="A1918" s="12">
        <v>41880</v>
      </c>
      <c r="B1918">
        <v>2014</v>
      </c>
      <c r="C1918">
        <v>8</v>
      </c>
      <c r="D1918" s="11">
        <v>41852</v>
      </c>
      <c r="E1918" t="s">
        <v>2180</v>
      </c>
      <c r="F1918">
        <v>5</v>
      </c>
      <c r="G1918" t="s">
        <v>55</v>
      </c>
      <c r="H1918" t="s">
        <v>44</v>
      </c>
      <c r="I1918" t="s">
        <v>2192</v>
      </c>
      <c r="J1918" s="10">
        <v>18</v>
      </c>
      <c r="K1918" t="b">
        <v>1</v>
      </c>
    </row>
    <row r="1919" spans="1:11">
      <c r="A1919" s="12">
        <v>41880</v>
      </c>
      <c r="B1919">
        <v>2014</v>
      </c>
      <c r="C1919">
        <v>8</v>
      </c>
      <c r="D1919" s="11">
        <v>41852</v>
      </c>
      <c r="E1919" t="s">
        <v>2180</v>
      </c>
      <c r="F1919">
        <v>5</v>
      </c>
      <c r="G1919" t="s">
        <v>55</v>
      </c>
      <c r="H1919" t="s">
        <v>45</v>
      </c>
      <c r="I1919" t="s">
        <v>2193</v>
      </c>
      <c r="J1919" s="10">
        <v>1</v>
      </c>
      <c r="K1919" t="b">
        <v>1</v>
      </c>
    </row>
    <row r="1920" spans="1:11">
      <c r="A1920" s="12">
        <v>41880</v>
      </c>
      <c r="B1920">
        <v>2014</v>
      </c>
      <c r="C1920">
        <v>8</v>
      </c>
      <c r="D1920" s="11">
        <v>41852</v>
      </c>
      <c r="E1920" t="s">
        <v>2180</v>
      </c>
      <c r="F1920">
        <v>5</v>
      </c>
      <c r="G1920" t="s">
        <v>55</v>
      </c>
      <c r="H1920" t="s">
        <v>46</v>
      </c>
      <c r="I1920" t="s">
        <v>2194</v>
      </c>
      <c r="J1920" s="10">
        <v>0</v>
      </c>
      <c r="K1920" t="b">
        <v>1</v>
      </c>
    </row>
    <row r="1921" spans="1:11">
      <c r="A1921" s="12">
        <v>41880</v>
      </c>
      <c r="B1921">
        <v>2014</v>
      </c>
      <c r="C1921">
        <v>8</v>
      </c>
      <c r="D1921" s="11">
        <v>41852</v>
      </c>
      <c r="E1921" t="s">
        <v>2180</v>
      </c>
      <c r="F1921">
        <v>5</v>
      </c>
      <c r="G1921" t="s">
        <v>55</v>
      </c>
      <c r="H1921" t="s">
        <v>47</v>
      </c>
      <c r="I1921" t="s">
        <v>2195</v>
      </c>
      <c r="J1921" s="10">
        <v>3</v>
      </c>
      <c r="K1921" t="b">
        <v>1</v>
      </c>
    </row>
    <row r="1922" spans="1:11">
      <c r="A1922" s="12">
        <v>41881</v>
      </c>
      <c r="B1922">
        <v>2014</v>
      </c>
      <c r="C1922">
        <v>8</v>
      </c>
      <c r="D1922" s="11">
        <v>41852</v>
      </c>
      <c r="E1922" t="s">
        <v>2180</v>
      </c>
      <c r="F1922">
        <v>6</v>
      </c>
      <c r="G1922" t="s">
        <v>57</v>
      </c>
      <c r="H1922" t="s">
        <v>40</v>
      </c>
      <c r="I1922" t="s">
        <v>2188</v>
      </c>
      <c r="J1922" s="10">
        <v>3.68</v>
      </c>
      <c r="K1922" t="b">
        <v>1</v>
      </c>
    </row>
    <row r="1923" spans="1:11">
      <c r="A1923" s="12">
        <v>41881</v>
      </c>
      <c r="B1923">
        <v>2014</v>
      </c>
      <c r="C1923">
        <v>8</v>
      </c>
      <c r="D1923" s="11">
        <v>41852</v>
      </c>
      <c r="E1923" t="s">
        <v>2180</v>
      </c>
      <c r="F1923">
        <v>6</v>
      </c>
      <c r="G1923" t="s">
        <v>57</v>
      </c>
      <c r="H1923" t="s">
        <v>41</v>
      </c>
      <c r="I1923" t="s">
        <v>2189</v>
      </c>
      <c r="J1923" s="10">
        <v>3.02</v>
      </c>
      <c r="K1923" t="b">
        <v>1</v>
      </c>
    </row>
    <row r="1924" spans="1:11">
      <c r="A1924" s="12">
        <v>41881</v>
      </c>
      <c r="B1924">
        <v>2014</v>
      </c>
      <c r="C1924">
        <v>8</v>
      </c>
      <c r="D1924" s="11">
        <v>41852</v>
      </c>
      <c r="E1924" t="s">
        <v>2180</v>
      </c>
      <c r="F1924">
        <v>6</v>
      </c>
      <c r="G1924" t="s">
        <v>57</v>
      </c>
      <c r="H1924" t="s">
        <v>42</v>
      </c>
      <c r="I1924" t="s">
        <v>2190</v>
      </c>
      <c r="J1924" s="10">
        <v>7</v>
      </c>
      <c r="K1924" t="b">
        <v>1</v>
      </c>
    </row>
    <row r="1925" spans="1:11">
      <c r="A1925" s="12">
        <v>41881</v>
      </c>
      <c r="B1925">
        <v>2014</v>
      </c>
      <c r="C1925">
        <v>8</v>
      </c>
      <c r="D1925" s="11">
        <v>41852</v>
      </c>
      <c r="E1925" t="s">
        <v>2180</v>
      </c>
      <c r="F1925">
        <v>6</v>
      </c>
      <c r="G1925" t="s">
        <v>57</v>
      </c>
      <c r="H1925" t="s">
        <v>43</v>
      </c>
      <c r="I1925" t="s">
        <v>2191</v>
      </c>
      <c r="J1925" s="10">
        <v>13</v>
      </c>
      <c r="K1925" t="b">
        <v>1</v>
      </c>
    </row>
    <row r="1926" spans="1:11">
      <c r="A1926" s="12">
        <v>41881</v>
      </c>
      <c r="B1926">
        <v>2014</v>
      </c>
      <c r="C1926">
        <v>8</v>
      </c>
      <c r="D1926" s="11">
        <v>41852</v>
      </c>
      <c r="E1926" t="s">
        <v>2180</v>
      </c>
      <c r="F1926">
        <v>6</v>
      </c>
      <c r="G1926" t="s">
        <v>57</v>
      </c>
      <c r="H1926" t="s">
        <v>44</v>
      </c>
      <c r="I1926" t="s">
        <v>2192</v>
      </c>
      <c r="J1926" s="10">
        <v>13</v>
      </c>
      <c r="K1926" t="b">
        <v>1</v>
      </c>
    </row>
    <row r="1927" spans="1:11">
      <c r="A1927" s="12">
        <v>41881</v>
      </c>
      <c r="B1927">
        <v>2014</v>
      </c>
      <c r="C1927">
        <v>8</v>
      </c>
      <c r="D1927" s="11">
        <v>41852</v>
      </c>
      <c r="E1927" t="s">
        <v>2180</v>
      </c>
      <c r="F1927">
        <v>6</v>
      </c>
      <c r="G1927" t="s">
        <v>57</v>
      </c>
      <c r="H1927" t="s">
        <v>45</v>
      </c>
      <c r="I1927" t="s">
        <v>2193</v>
      </c>
      <c r="J1927" s="10">
        <v>1</v>
      </c>
      <c r="K1927" t="b">
        <v>1</v>
      </c>
    </row>
    <row r="1928" spans="1:11">
      <c r="A1928" s="12">
        <v>41881</v>
      </c>
      <c r="B1928">
        <v>2014</v>
      </c>
      <c r="C1928">
        <v>8</v>
      </c>
      <c r="D1928" s="11">
        <v>41852</v>
      </c>
      <c r="E1928" t="s">
        <v>2180</v>
      </c>
      <c r="F1928">
        <v>6</v>
      </c>
      <c r="G1928" t="s">
        <v>57</v>
      </c>
      <c r="H1928" t="s">
        <v>46</v>
      </c>
      <c r="I1928" t="s">
        <v>2194</v>
      </c>
      <c r="J1928" s="10">
        <v>0</v>
      </c>
      <c r="K1928" t="b">
        <v>1</v>
      </c>
    </row>
    <row r="1929" spans="1:11">
      <c r="A1929" s="12">
        <v>41881</v>
      </c>
      <c r="B1929">
        <v>2014</v>
      </c>
      <c r="C1929">
        <v>8</v>
      </c>
      <c r="D1929" s="11">
        <v>41852</v>
      </c>
      <c r="E1929" t="s">
        <v>2180</v>
      </c>
      <c r="F1929">
        <v>6</v>
      </c>
      <c r="G1929" t="s">
        <v>57</v>
      </c>
      <c r="H1929" t="s">
        <v>47</v>
      </c>
      <c r="I1929" t="s">
        <v>2195</v>
      </c>
      <c r="J1929" s="10">
        <v>4</v>
      </c>
      <c r="K1929" t="b">
        <v>1</v>
      </c>
    </row>
    <row r="1930" spans="1:11">
      <c r="A1930" s="12">
        <v>41882</v>
      </c>
      <c r="B1930">
        <v>2014</v>
      </c>
      <c r="C1930">
        <v>8</v>
      </c>
      <c r="D1930" s="11">
        <v>41852</v>
      </c>
      <c r="E1930" t="s">
        <v>2180</v>
      </c>
      <c r="F1930">
        <v>7</v>
      </c>
      <c r="G1930" t="s">
        <v>59</v>
      </c>
      <c r="H1930" t="s">
        <v>40</v>
      </c>
      <c r="I1930" t="s">
        <v>2188</v>
      </c>
      <c r="J1930" s="10">
        <v>0</v>
      </c>
      <c r="K1930" t="b">
        <v>1</v>
      </c>
    </row>
    <row r="1931" spans="1:11">
      <c r="A1931" s="12">
        <v>41882</v>
      </c>
      <c r="B1931">
        <v>2014</v>
      </c>
      <c r="C1931">
        <v>8</v>
      </c>
      <c r="D1931" s="11">
        <v>41852</v>
      </c>
      <c r="E1931" t="s">
        <v>2180</v>
      </c>
      <c r="F1931">
        <v>7</v>
      </c>
      <c r="G1931" t="s">
        <v>59</v>
      </c>
      <c r="H1931" t="s">
        <v>41</v>
      </c>
      <c r="I1931" t="s">
        <v>2189</v>
      </c>
      <c r="J1931" s="10">
        <v>2.68</v>
      </c>
      <c r="K1931" t="b">
        <v>1</v>
      </c>
    </row>
    <row r="1932" spans="1:11">
      <c r="A1932" s="12">
        <v>41882</v>
      </c>
      <c r="B1932">
        <v>2014</v>
      </c>
      <c r="C1932">
        <v>8</v>
      </c>
      <c r="D1932" s="11">
        <v>41852</v>
      </c>
      <c r="E1932" t="s">
        <v>2180</v>
      </c>
      <c r="F1932">
        <v>7</v>
      </c>
      <c r="G1932" t="s">
        <v>59</v>
      </c>
      <c r="H1932" t="s">
        <v>42</v>
      </c>
      <c r="I1932" t="s">
        <v>2190</v>
      </c>
      <c r="J1932" s="10">
        <v>1</v>
      </c>
      <c r="K1932" t="b">
        <v>1</v>
      </c>
    </row>
    <row r="1933" spans="1:11">
      <c r="A1933" s="12">
        <v>41882</v>
      </c>
      <c r="B1933">
        <v>2014</v>
      </c>
      <c r="C1933">
        <v>8</v>
      </c>
      <c r="D1933" s="11">
        <v>41852</v>
      </c>
      <c r="E1933" t="s">
        <v>2180</v>
      </c>
      <c r="F1933">
        <v>7</v>
      </c>
      <c r="G1933" t="s">
        <v>59</v>
      </c>
      <c r="H1933" t="s">
        <v>43</v>
      </c>
      <c r="I1933" t="s">
        <v>2191</v>
      </c>
      <c r="J1933" s="10">
        <v>15</v>
      </c>
      <c r="K1933" t="b">
        <v>1</v>
      </c>
    </row>
    <row r="1934" spans="1:11">
      <c r="A1934" s="12">
        <v>41882</v>
      </c>
      <c r="B1934">
        <v>2014</v>
      </c>
      <c r="C1934">
        <v>8</v>
      </c>
      <c r="D1934" s="11">
        <v>41852</v>
      </c>
      <c r="E1934" t="s">
        <v>2180</v>
      </c>
      <c r="F1934">
        <v>7</v>
      </c>
      <c r="G1934" t="s">
        <v>59</v>
      </c>
      <c r="H1934" t="s">
        <v>44</v>
      </c>
      <c r="I1934" t="s">
        <v>2192</v>
      </c>
      <c r="J1934" s="10">
        <v>13</v>
      </c>
      <c r="K1934" t="b">
        <v>1</v>
      </c>
    </row>
    <row r="1935" spans="1:11">
      <c r="A1935" s="12">
        <v>41882</v>
      </c>
      <c r="B1935">
        <v>2014</v>
      </c>
      <c r="C1935">
        <v>8</v>
      </c>
      <c r="D1935" s="11">
        <v>41852</v>
      </c>
      <c r="E1935" t="s">
        <v>2180</v>
      </c>
      <c r="F1935">
        <v>7</v>
      </c>
      <c r="G1935" t="s">
        <v>59</v>
      </c>
      <c r="H1935" t="s">
        <v>45</v>
      </c>
      <c r="I1935" t="s">
        <v>2193</v>
      </c>
      <c r="J1935" s="10">
        <v>0</v>
      </c>
      <c r="K1935" t="b">
        <v>1</v>
      </c>
    </row>
    <row r="1936" spans="1:11">
      <c r="A1936" s="12">
        <v>41882</v>
      </c>
      <c r="B1936">
        <v>2014</v>
      </c>
      <c r="C1936">
        <v>8</v>
      </c>
      <c r="D1936" s="11">
        <v>41852</v>
      </c>
      <c r="E1936" t="s">
        <v>2180</v>
      </c>
      <c r="F1936">
        <v>7</v>
      </c>
      <c r="G1936" t="s">
        <v>59</v>
      </c>
      <c r="H1936" t="s">
        <v>46</v>
      </c>
      <c r="I1936" t="s">
        <v>2194</v>
      </c>
      <c r="J1936" s="10">
        <v>7</v>
      </c>
      <c r="K1936" t="b">
        <v>1</v>
      </c>
    </row>
    <row r="1937" spans="1:11">
      <c r="A1937" s="12">
        <v>41882</v>
      </c>
      <c r="B1937">
        <v>2014</v>
      </c>
      <c r="C1937">
        <v>8</v>
      </c>
      <c r="D1937" s="11">
        <v>41852</v>
      </c>
      <c r="E1937" t="s">
        <v>2180</v>
      </c>
      <c r="F1937">
        <v>7</v>
      </c>
      <c r="G1937" t="s">
        <v>59</v>
      </c>
      <c r="H1937" t="s">
        <v>47</v>
      </c>
      <c r="I1937" t="s">
        <v>2195</v>
      </c>
      <c r="J1937" s="10">
        <v>2</v>
      </c>
      <c r="K1937" t="b">
        <v>1</v>
      </c>
    </row>
    <row r="1938" spans="1:11">
      <c r="A1938" s="12">
        <v>41883</v>
      </c>
      <c r="B1938">
        <v>2014</v>
      </c>
      <c r="C1938">
        <v>9</v>
      </c>
      <c r="D1938" s="11">
        <v>41883</v>
      </c>
      <c r="E1938" t="s">
        <v>2181</v>
      </c>
      <c r="F1938">
        <v>1</v>
      </c>
      <c r="G1938" t="s">
        <v>61</v>
      </c>
      <c r="H1938" t="s">
        <v>40</v>
      </c>
      <c r="I1938" t="s">
        <v>2188</v>
      </c>
      <c r="J1938" s="10">
        <v>3.34</v>
      </c>
      <c r="K1938" t="b">
        <v>1</v>
      </c>
    </row>
    <row r="1939" spans="1:11">
      <c r="A1939" s="12">
        <v>41883</v>
      </c>
      <c r="B1939">
        <v>2014</v>
      </c>
      <c r="C1939">
        <v>9</v>
      </c>
      <c r="D1939" s="11">
        <v>41883</v>
      </c>
      <c r="E1939" t="s">
        <v>2181</v>
      </c>
      <c r="F1939">
        <v>1</v>
      </c>
      <c r="G1939" t="s">
        <v>61</v>
      </c>
      <c r="H1939" t="s">
        <v>41</v>
      </c>
      <c r="I1939" t="s">
        <v>2189</v>
      </c>
      <c r="J1939" s="10">
        <v>1.715</v>
      </c>
      <c r="K1939" t="b">
        <v>1</v>
      </c>
    </row>
    <row r="1940" spans="1:11">
      <c r="A1940" s="12">
        <v>41883</v>
      </c>
      <c r="B1940">
        <v>2014</v>
      </c>
      <c r="C1940">
        <v>9</v>
      </c>
      <c r="D1940" s="11">
        <v>41883</v>
      </c>
      <c r="E1940" t="s">
        <v>2181</v>
      </c>
      <c r="F1940">
        <v>1</v>
      </c>
      <c r="G1940" t="s">
        <v>61</v>
      </c>
      <c r="H1940" t="s">
        <v>42</v>
      </c>
      <c r="I1940" t="s">
        <v>2190</v>
      </c>
      <c r="J1940" s="10">
        <v>1</v>
      </c>
      <c r="K1940" t="b">
        <v>1</v>
      </c>
    </row>
    <row r="1941" spans="1:11">
      <c r="A1941" s="12">
        <v>41883</v>
      </c>
      <c r="B1941">
        <v>2014</v>
      </c>
      <c r="C1941">
        <v>9</v>
      </c>
      <c r="D1941" s="11">
        <v>41883</v>
      </c>
      <c r="E1941" t="s">
        <v>2181</v>
      </c>
      <c r="F1941">
        <v>1</v>
      </c>
      <c r="G1941" t="s">
        <v>61</v>
      </c>
      <c r="H1941" t="s">
        <v>43</v>
      </c>
      <c r="I1941" t="s">
        <v>2191</v>
      </c>
      <c r="J1941" s="10">
        <v>15.5</v>
      </c>
      <c r="K1941" t="b">
        <v>1</v>
      </c>
    </row>
    <row r="1942" spans="1:11">
      <c r="A1942" s="12">
        <v>41883</v>
      </c>
      <c r="B1942">
        <v>2014</v>
      </c>
      <c r="C1942">
        <v>9</v>
      </c>
      <c r="D1942" s="11">
        <v>41883</v>
      </c>
      <c r="E1942" t="s">
        <v>2181</v>
      </c>
      <c r="F1942">
        <v>1</v>
      </c>
      <c r="G1942" t="s">
        <v>61</v>
      </c>
      <c r="H1942" t="s">
        <v>44</v>
      </c>
      <c r="I1942" t="s">
        <v>2192</v>
      </c>
      <c r="J1942" s="10">
        <v>15</v>
      </c>
      <c r="K1942" t="b">
        <v>1</v>
      </c>
    </row>
    <row r="1943" spans="1:11">
      <c r="A1943" s="12">
        <v>41883</v>
      </c>
      <c r="B1943">
        <v>2014</v>
      </c>
      <c r="C1943">
        <v>9</v>
      </c>
      <c r="D1943" s="11">
        <v>41883</v>
      </c>
      <c r="E1943" t="s">
        <v>2181</v>
      </c>
      <c r="F1943">
        <v>1</v>
      </c>
      <c r="G1943" t="s">
        <v>61</v>
      </c>
      <c r="H1943" t="s">
        <v>45</v>
      </c>
      <c r="I1943" t="s">
        <v>2193</v>
      </c>
      <c r="J1943" s="10">
        <v>0</v>
      </c>
      <c r="K1943" t="b">
        <v>1</v>
      </c>
    </row>
    <row r="1944" spans="1:11">
      <c r="A1944" s="12">
        <v>41883</v>
      </c>
      <c r="B1944">
        <v>2014</v>
      </c>
      <c r="C1944">
        <v>9</v>
      </c>
      <c r="D1944" s="11">
        <v>41883</v>
      </c>
      <c r="E1944" t="s">
        <v>2181</v>
      </c>
      <c r="F1944">
        <v>1</v>
      </c>
      <c r="G1944" t="s">
        <v>61</v>
      </c>
      <c r="H1944" t="s">
        <v>46</v>
      </c>
      <c r="I1944" t="s">
        <v>2194</v>
      </c>
      <c r="J1944" s="10">
        <v>0</v>
      </c>
      <c r="K1944" t="b">
        <v>1</v>
      </c>
    </row>
    <row r="1945" spans="1:11">
      <c r="A1945" s="12">
        <v>41883</v>
      </c>
      <c r="B1945">
        <v>2014</v>
      </c>
      <c r="C1945">
        <v>9</v>
      </c>
      <c r="D1945" s="11">
        <v>41883</v>
      </c>
      <c r="E1945" t="s">
        <v>2181</v>
      </c>
      <c r="F1945">
        <v>1</v>
      </c>
      <c r="G1945" t="s">
        <v>61</v>
      </c>
      <c r="H1945" t="s">
        <v>47</v>
      </c>
      <c r="I1945" t="s">
        <v>2195</v>
      </c>
      <c r="J1945" s="10">
        <v>5.5</v>
      </c>
      <c r="K1945" t="b">
        <v>1</v>
      </c>
    </row>
    <row r="1946" spans="1:11">
      <c r="A1946" s="12">
        <v>41884</v>
      </c>
      <c r="B1946">
        <v>2014</v>
      </c>
      <c r="C1946">
        <v>9</v>
      </c>
      <c r="D1946" s="11">
        <v>41883</v>
      </c>
      <c r="E1946" t="s">
        <v>2181</v>
      </c>
      <c r="F1946">
        <v>2</v>
      </c>
      <c r="G1946" t="s">
        <v>63</v>
      </c>
      <c r="H1946" t="s">
        <v>40</v>
      </c>
      <c r="I1946" t="s">
        <v>2188</v>
      </c>
      <c r="J1946" s="10">
        <v>2.34</v>
      </c>
      <c r="K1946" t="b">
        <v>1</v>
      </c>
    </row>
    <row r="1947" spans="1:11">
      <c r="A1947" s="12">
        <v>41884</v>
      </c>
      <c r="B1947">
        <v>2014</v>
      </c>
      <c r="C1947">
        <v>9</v>
      </c>
      <c r="D1947" s="11">
        <v>41883</v>
      </c>
      <c r="E1947" t="s">
        <v>2181</v>
      </c>
      <c r="F1947">
        <v>2</v>
      </c>
      <c r="G1947" t="s">
        <v>63</v>
      </c>
      <c r="H1947" t="s">
        <v>41</v>
      </c>
      <c r="I1947" t="s">
        <v>2189</v>
      </c>
      <c r="J1947" s="10">
        <v>4.68</v>
      </c>
      <c r="K1947" t="b">
        <v>1</v>
      </c>
    </row>
    <row r="1948" spans="1:11">
      <c r="A1948" s="12">
        <v>41884</v>
      </c>
      <c r="B1948">
        <v>2014</v>
      </c>
      <c r="C1948">
        <v>9</v>
      </c>
      <c r="D1948" s="11">
        <v>41883</v>
      </c>
      <c r="E1948" t="s">
        <v>2181</v>
      </c>
      <c r="F1948">
        <v>2</v>
      </c>
      <c r="G1948" t="s">
        <v>63</v>
      </c>
      <c r="H1948" t="s">
        <v>42</v>
      </c>
      <c r="I1948" t="s">
        <v>2190</v>
      </c>
      <c r="J1948" s="10">
        <v>5.2</v>
      </c>
      <c r="K1948" t="b">
        <v>1</v>
      </c>
    </row>
    <row r="1949" spans="1:11">
      <c r="A1949" s="12">
        <v>41884</v>
      </c>
      <c r="B1949">
        <v>2014</v>
      </c>
      <c r="C1949">
        <v>9</v>
      </c>
      <c r="D1949" s="11">
        <v>41883</v>
      </c>
      <c r="E1949" t="s">
        <v>2181</v>
      </c>
      <c r="F1949">
        <v>2</v>
      </c>
      <c r="G1949" t="s">
        <v>63</v>
      </c>
      <c r="H1949" t="s">
        <v>43</v>
      </c>
      <c r="I1949" t="s">
        <v>2191</v>
      </c>
      <c r="J1949" s="10">
        <v>20.14</v>
      </c>
      <c r="K1949" t="b">
        <v>1</v>
      </c>
    </row>
    <row r="1950" spans="1:11">
      <c r="A1950" s="12">
        <v>41884</v>
      </c>
      <c r="B1950">
        <v>2014</v>
      </c>
      <c r="C1950">
        <v>9</v>
      </c>
      <c r="D1950" s="11">
        <v>41883</v>
      </c>
      <c r="E1950" t="s">
        <v>2181</v>
      </c>
      <c r="F1950">
        <v>2</v>
      </c>
      <c r="G1950" t="s">
        <v>63</v>
      </c>
      <c r="H1950" t="s">
        <v>44</v>
      </c>
      <c r="I1950" t="s">
        <v>2192</v>
      </c>
      <c r="J1950" s="10">
        <v>7</v>
      </c>
      <c r="K1950" t="b">
        <v>1</v>
      </c>
    </row>
    <row r="1951" spans="1:11">
      <c r="A1951" s="12">
        <v>41884</v>
      </c>
      <c r="B1951">
        <v>2014</v>
      </c>
      <c r="C1951">
        <v>9</v>
      </c>
      <c r="D1951" s="11">
        <v>41883</v>
      </c>
      <c r="E1951" t="s">
        <v>2181</v>
      </c>
      <c r="F1951">
        <v>2</v>
      </c>
      <c r="G1951" t="s">
        <v>63</v>
      </c>
      <c r="H1951" t="s">
        <v>45</v>
      </c>
      <c r="I1951" t="s">
        <v>2193</v>
      </c>
      <c r="J1951" s="10">
        <v>0</v>
      </c>
      <c r="K1951" t="b">
        <v>1</v>
      </c>
    </row>
    <row r="1952" spans="1:11">
      <c r="A1952" s="12">
        <v>41884</v>
      </c>
      <c r="B1952">
        <v>2014</v>
      </c>
      <c r="C1952">
        <v>9</v>
      </c>
      <c r="D1952" s="11">
        <v>41883</v>
      </c>
      <c r="E1952" t="s">
        <v>2181</v>
      </c>
      <c r="F1952">
        <v>2</v>
      </c>
      <c r="G1952" t="s">
        <v>63</v>
      </c>
      <c r="H1952" t="s">
        <v>46</v>
      </c>
      <c r="I1952" t="s">
        <v>2194</v>
      </c>
      <c r="J1952" s="10">
        <v>2</v>
      </c>
      <c r="K1952" t="b">
        <v>1</v>
      </c>
    </row>
    <row r="1953" spans="1:11">
      <c r="A1953" s="12">
        <v>41884</v>
      </c>
      <c r="B1953">
        <v>2014</v>
      </c>
      <c r="C1953">
        <v>9</v>
      </c>
      <c r="D1953" s="11">
        <v>41883</v>
      </c>
      <c r="E1953" t="s">
        <v>2181</v>
      </c>
      <c r="F1953">
        <v>2</v>
      </c>
      <c r="G1953" t="s">
        <v>63</v>
      </c>
      <c r="H1953" t="s">
        <v>47</v>
      </c>
      <c r="I1953" t="s">
        <v>2195</v>
      </c>
      <c r="J1953" s="10">
        <v>3</v>
      </c>
      <c r="K1953" t="b">
        <v>1</v>
      </c>
    </row>
    <row r="1954" spans="1:11">
      <c r="A1954" s="12">
        <v>41885</v>
      </c>
      <c r="B1954">
        <v>2014</v>
      </c>
      <c r="C1954">
        <v>9</v>
      </c>
      <c r="D1954" s="11">
        <v>41883</v>
      </c>
      <c r="E1954" t="s">
        <v>2181</v>
      </c>
      <c r="F1954">
        <v>3</v>
      </c>
      <c r="G1954" t="s">
        <v>65</v>
      </c>
      <c r="H1954" t="s">
        <v>40</v>
      </c>
      <c r="I1954" t="s">
        <v>2188</v>
      </c>
      <c r="J1954" s="10">
        <v>7</v>
      </c>
      <c r="K1954" t="b">
        <v>1</v>
      </c>
    </row>
    <row r="1955" spans="1:11">
      <c r="A1955" s="12">
        <v>41885</v>
      </c>
      <c r="B1955">
        <v>2014</v>
      </c>
      <c r="C1955">
        <v>9</v>
      </c>
      <c r="D1955" s="11">
        <v>41883</v>
      </c>
      <c r="E1955" t="s">
        <v>2181</v>
      </c>
      <c r="F1955">
        <v>3</v>
      </c>
      <c r="G1955" t="s">
        <v>65</v>
      </c>
      <c r="H1955" t="s">
        <v>41</v>
      </c>
      <c r="I1955" t="s">
        <v>2189</v>
      </c>
      <c r="J1955" s="10">
        <v>6.34</v>
      </c>
      <c r="K1955" t="b">
        <v>1</v>
      </c>
    </row>
    <row r="1956" spans="1:11">
      <c r="A1956" s="12">
        <v>41885</v>
      </c>
      <c r="B1956">
        <v>2014</v>
      </c>
      <c r="C1956">
        <v>9</v>
      </c>
      <c r="D1956" s="11">
        <v>41883</v>
      </c>
      <c r="E1956" t="s">
        <v>2181</v>
      </c>
      <c r="F1956">
        <v>3</v>
      </c>
      <c r="G1956" t="s">
        <v>65</v>
      </c>
      <c r="H1956" t="s">
        <v>42</v>
      </c>
      <c r="I1956" t="s">
        <v>2190</v>
      </c>
      <c r="J1956" s="10">
        <v>4</v>
      </c>
      <c r="K1956" t="b">
        <v>1</v>
      </c>
    </row>
    <row r="1957" spans="1:11">
      <c r="A1957" s="12">
        <v>41885</v>
      </c>
      <c r="B1957">
        <v>2014</v>
      </c>
      <c r="C1957">
        <v>9</v>
      </c>
      <c r="D1957" s="11">
        <v>41883</v>
      </c>
      <c r="E1957" t="s">
        <v>2181</v>
      </c>
      <c r="F1957">
        <v>3</v>
      </c>
      <c r="G1957" t="s">
        <v>65</v>
      </c>
      <c r="H1957" t="s">
        <v>43</v>
      </c>
      <c r="I1957" t="s">
        <v>2191</v>
      </c>
      <c r="J1957" s="10">
        <v>22.18</v>
      </c>
      <c r="K1957" t="b">
        <v>1</v>
      </c>
    </row>
    <row r="1958" spans="1:11">
      <c r="A1958" s="12">
        <v>41885</v>
      </c>
      <c r="B1958">
        <v>2014</v>
      </c>
      <c r="C1958">
        <v>9</v>
      </c>
      <c r="D1958" s="11">
        <v>41883</v>
      </c>
      <c r="E1958" t="s">
        <v>2181</v>
      </c>
      <c r="F1958">
        <v>3</v>
      </c>
      <c r="G1958" t="s">
        <v>65</v>
      </c>
      <c r="H1958" t="s">
        <v>44</v>
      </c>
      <c r="I1958" t="s">
        <v>2192</v>
      </c>
      <c r="J1958" s="10">
        <v>12</v>
      </c>
      <c r="K1958" t="b">
        <v>1</v>
      </c>
    </row>
    <row r="1959" spans="1:11">
      <c r="A1959" s="12">
        <v>41885</v>
      </c>
      <c r="B1959">
        <v>2014</v>
      </c>
      <c r="C1959">
        <v>9</v>
      </c>
      <c r="D1959" s="11">
        <v>41883</v>
      </c>
      <c r="E1959" t="s">
        <v>2181</v>
      </c>
      <c r="F1959">
        <v>3</v>
      </c>
      <c r="G1959" t="s">
        <v>65</v>
      </c>
      <c r="H1959" t="s">
        <v>45</v>
      </c>
      <c r="I1959" t="s">
        <v>2193</v>
      </c>
      <c r="J1959" s="10">
        <v>0</v>
      </c>
      <c r="K1959" t="b">
        <v>1</v>
      </c>
    </row>
    <row r="1960" spans="1:11">
      <c r="A1960" s="12">
        <v>41885</v>
      </c>
      <c r="B1960">
        <v>2014</v>
      </c>
      <c r="C1960">
        <v>9</v>
      </c>
      <c r="D1960" s="11">
        <v>41883</v>
      </c>
      <c r="E1960" t="s">
        <v>2181</v>
      </c>
      <c r="F1960">
        <v>3</v>
      </c>
      <c r="G1960" t="s">
        <v>65</v>
      </c>
      <c r="H1960" t="s">
        <v>46</v>
      </c>
      <c r="I1960" t="s">
        <v>2194</v>
      </c>
      <c r="J1960" s="10">
        <v>2</v>
      </c>
      <c r="K1960" t="b">
        <v>1</v>
      </c>
    </row>
    <row r="1961" spans="1:11">
      <c r="A1961" s="12">
        <v>41885</v>
      </c>
      <c r="B1961">
        <v>2014</v>
      </c>
      <c r="C1961">
        <v>9</v>
      </c>
      <c r="D1961" s="11">
        <v>41883</v>
      </c>
      <c r="E1961" t="s">
        <v>2181</v>
      </c>
      <c r="F1961">
        <v>3</v>
      </c>
      <c r="G1961" t="s">
        <v>65</v>
      </c>
      <c r="H1961" t="s">
        <v>47</v>
      </c>
      <c r="I1961" t="s">
        <v>2195</v>
      </c>
      <c r="J1961" s="10">
        <v>3</v>
      </c>
      <c r="K1961" t="b">
        <v>1</v>
      </c>
    </row>
    <row r="1962" spans="1:11">
      <c r="A1962" s="12">
        <v>41886</v>
      </c>
      <c r="B1962">
        <v>2014</v>
      </c>
      <c r="C1962">
        <v>9</v>
      </c>
      <c r="D1962" s="11">
        <v>41883</v>
      </c>
      <c r="E1962" t="s">
        <v>2181</v>
      </c>
      <c r="F1962">
        <v>4</v>
      </c>
      <c r="G1962" t="s">
        <v>53</v>
      </c>
      <c r="H1962" t="s">
        <v>40</v>
      </c>
      <c r="I1962" t="s">
        <v>2188</v>
      </c>
      <c r="J1962" s="10">
        <v>5.68</v>
      </c>
      <c r="K1962" t="b">
        <v>1</v>
      </c>
    </row>
    <row r="1963" spans="1:11">
      <c r="A1963" s="12">
        <v>41886</v>
      </c>
      <c r="B1963">
        <v>2014</v>
      </c>
      <c r="C1963">
        <v>9</v>
      </c>
      <c r="D1963" s="11">
        <v>41883</v>
      </c>
      <c r="E1963" t="s">
        <v>2181</v>
      </c>
      <c r="F1963">
        <v>4</v>
      </c>
      <c r="G1963" t="s">
        <v>53</v>
      </c>
      <c r="H1963" t="s">
        <v>41</v>
      </c>
      <c r="I1963" t="s">
        <v>2189</v>
      </c>
      <c r="J1963" s="10">
        <v>5.34</v>
      </c>
      <c r="K1963" t="b">
        <v>1</v>
      </c>
    </row>
    <row r="1964" spans="1:11">
      <c r="A1964" s="12">
        <v>41886</v>
      </c>
      <c r="B1964">
        <v>2014</v>
      </c>
      <c r="C1964">
        <v>9</v>
      </c>
      <c r="D1964" s="11">
        <v>41883</v>
      </c>
      <c r="E1964" t="s">
        <v>2181</v>
      </c>
      <c r="F1964">
        <v>4</v>
      </c>
      <c r="G1964" t="s">
        <v>53</v>
      </c>
      <c r="H1964" t="s">
        <v>42</v>
      </c>
      <c r="I1964" t="s">
        <v>2190</v>
      </c>
      <c r="J1964" s="10">
        <v>3</v>
      </c>
      <c r="K1964" t="b">
        <v>1</v>
      </c>
    </row>
    <row r="1965" spans="1:11">
      <c r="A1965" s="12">
        <v>41886</v>
      </c>
      <c r="B1965">
        <v>2014</v>
      </c>
      <c r="C1965">
        <v>9</v>
      </c>
      <c r="D1965" s="11">
        <v>41883</v>
      </c>
      <c r="E1965" t="s">
        <v>2181</v>
      </c>
      <c r="F1965">
        <v>4</v>
      </c>
      <c r="G1965" t="s">
        <v>53</v>
      </c>
      <c r="H1965" t="s">
        <v>43</v>
      </c>
      <c r="I1965" t="s">
        <v>2191</v>
      </c>
      <c r="J1965" s="10">
        <v>17.6</v>
      </c>
      <c r="K1965" t="b">
        <v>1</v>
      </c>
    </row>
    <row r="1966" spans="1:11">
      <c r="A1966" s="12">
        <v>41886</v>
      </c>
      <c r="B1966">
        <v>2014</v>
      </c>
      <c r="C1966">
        <v>9</v>
      </c>
      <c r="D1966" s="11">
        <v>41883</v>
      </c>
      <c r="E1966" t="s">
        <v>2181</v>
      </c>
      <c r="F1966">
        <v>4</v>
      </c>
      <c r="G1966" t="s">
        <v>53</v>
      </c>
      <c r="H1966" t="s">
        <v>44</v>
      </c>
      <c r="I1966" t="s">
        <v>2192</v>
      </c>
      <c r="J1966" s="10">
        <v>21</v>
      </c>
      <c r="K1966" t="b">
        <v>1</v>
      </c>
    </row>
    <row r="1967" spans="1:11">
      <c r="A1967" s="12">
        <v>41886</v>
      </c>
      <c r="B1967">
        <v>2014</v>
      </c>
      <c r="C1967">
        <v>9</v>
      </c>
      <c r="D1967" s="11">
        <v>41883</v>
      </c>
      <c r="E1967" t="s">
        <v>2181</v>
      </c>
      <c r="F1967">
        <v>4</v>
      </c>
      <c r="G1967" t="s">
        <v>53</v>
      </c>
      <c r="H1967" t="s">
        <v>45</v>
      </c>
      <c r="I1967" t="s">
        <v>2193</v>
      </c>
      <c r="J1967" s="10">
        <v>1</v>
      </c>
      <c r="K1967" t="b">
        <v>1</v>
      </c>
    </row>
    <row r="1968" spans="1:11">
      <c r="A1968" s="12">
        <v>41886</v>
      </c>
      <c r="B1968">
        <v>2014</v>
      </c>
      <c r="C1968">
        <v>9</v>
      </c>
      <c r="D1968" s="11">
        <v>41883</v>
      </c>
      <c r="E1968" t="s">
        <v>2181</v>
      </c>
      <c r="F1968">
        <v>4</v>
      </c>
      <c r="G1968" t="s">
        <v>53</v>
      </c>
      <c r="H1968" t="s">
        <v>46</v>
      </c>
      <c r="I1968" t="s">
        <v>2194</v>
      </c>
      <c r="J1968" s="10">
        <v>0</v>
      </c>
      <c r="K1968" t="b">
        <v>1</v>
      </c>
    </row>
    <row r="1969" spans="1:11">
      <c r="A1969" s="12">
        <v>41886</v>
      </c>
      <c r="B1969">
        <v>2014</v>
      </c>
      <c r="C1969">
        <v>9</v>
      </c>
      <c r="D1969" s="11">
        <v>41883</v>
      </c>
      <c r="E1969" t="s">
        <v>2181</v>
      </c>
      <c r="F1969">
        <v>4</v>
      </c>
      <c r="G1969" t="s">
        <v>53</v>
      </c>
      <c r="H1969" t="s">
        <v>47</v>
      </c>
      <c r="I1969" t="s">
        <v>2195</v>
      </c>
      <c r="J1969" s="10">
        <v>1</v>
      </c>
      <c r="K1969" t="b">
        <v>1</v>
      </c>
    </row>
    <row r="1970" spans="1:11">
      <c r="A1970" s="12">
        <v>41887</v>
      </c>
      <c r="B1970">
        <v>2014</v>
      </c>
      <c r="C1970">
        <v>9</v>
      </c>
      <c r="D1970" s="11">
        <v>41883</v>
      </c>
      <c r="E1970" t="s">
        <v>2181</v>
      </c>
      <c r="F1970">
        <v>5</v>
      </c>
      <c r="G1970" t="s">
        <v>55</v>
      </c>
      <c r="H1970" t="s">
        <v>40</v>
      </c>
      <c r="I1970" t="s">
        <v>2188</v>
      </c>
      <c r="J1970" s="10">
        <v>4</v>
      </c>
      <c r="K1970" t="b">
        <v>1</v>
      </c>
    </row>
    <row r="1971" spans="1:11">
      <c r="A1971" s="12">
        <v>41887</v>
      </c>
      <c r="B1971">
        <v>2014</v>
      </c>
      <c r="C1971">
        <v>9</v>
      </c>
      <c r="D1971" s="11">
        <v>41883</v>
      </c>
      <c r="E1971" t="s">
        <v>2181</v>
      </c>
      <c r="F1971">
        <v>5</v>
      </c>
      <c r="G1971" t="s">
        <v>55</v>
      </c>
      <c r="H1971" t="s">
        <v>41</v>
      </c>
      <c r="I1971" t="s">
        <v>2189</v>
      </c>
      <c r="J1971" s="10">
        <v>0.779</v>
      </c>
      <c r="K1971" t="b">
        <v>1</v>
      </c>
    </row>
    <row r="1972" spans="1:11">
      <c r="A1972" s="12">
        <v>41887</v>
      </c>
      <c r="B1972">
        <v>2014</v>
      </c>
      <c r="C1972">
        <v>9</v>
      </c>
      <c r="D1972" s="11">
        <v>41883</v>
      </c>
      <c r="E1972" t="s">
        <v>2181</v>
      </c>
      <c r="F1972">
        <v>5</v>
      </c>
      <c r="G1972" t="s">
        <v>55</v>
      </c>
      <c r="H1972" t="s">
        <v>42</v>
      </c>
      <c r="I1972" t="s">
        <v>2190</v>
      </c>
      <c r="J1972" s="10">
        <v>3</v>
      </c>
      <c r="K1972" t="b">
        <v>1</v>
      </c>
    </row>
    <row r="1973" spans="1:11">
      <c r="A1973" s="12">
        <v>41887</v>
      </c>
      <c r="B1973">
        <v>2014</v>
      </c>
      <c r="C1973">
        <v>9</v>
      </c>
      <c r="D1973" s="11">
        <v>41883</v>
      </c>
      <c r="E1973" t="s">
        <v>2181</v>
      </c>
      <c r="F1973">
        <v>5</v>
      </c>
      <c r="G1973" t="s">
        <v>55</v>
      </c>
      <c r="H1973" t="s">
        <v>43</v>
      </c>
      <c r="I1973" t="s">
        <v>2191</v>
      </c>
      <c r="J1973" s="10">
        <v>15.6</v>
      </c>
      <c r="K1973" t="b">
        <v>1</v>
      </c>
    </row>
    <row r="1974" spans="1:11">
      <c r="A1974" s="12">
        <v>41887</v>
      </c>
      <c r="B1974">
        <v>2014</v>
      </c>
      <c r="C1974">
        <v>9</v>
      </c>
      <c r="D1974" s="11">
        <v>41883</v>
      </c>
      <c r="E1974" t="s">
        <v>2181</v>
      </c>
      <c r="F1974">
        <v>5</v>
      </c>
      <c r="G1974" t="s">
        <v>55</v>
      </c>
      <c r="H1974" t="s">
        <v>44</v>
      </c>
      <c r="I1974" t="s">
        <v>2192</v>
      </c>
      <c r="J1974" s="10">
        <v>15</v>
      </c>
      <c r="K1974" t="b">
        <v>1</v>
      </c>
    </row>
    <row r="1975" spans="1:11">
      <c r="A1975" s="12">
        <v>41887</v>
      </c>
      <c r="B1975">
        <v>2014</v>
      </c>
      <c r="C1975">
        <v>9</v>
      </c>
      <c r="D1975" s="11">
        <v>41883</v>
      </c>
      <c r="E1975" t="s">
        <v>2181</v>
      </c>
      <c r="F1975">
        <v>5</v>
      </c>
      <c r="G1975" t="s">
        <v>55</v>
      </c>
      <c r="H1975" t="s">
        <v>45</v>
      </c>
      <c r="I1975" t="s">
        <v>2193</v>
      </c>
      <c r="J1975" s="10">
        <v>2</v>
      </c>
      <c r="K1975" t="b">
        <v>1</v>
      </c>
    </row>
    <row r="1976" spans="1:11">
      <c r="A1976" s="12">
        <v>41887</v>
      </c>
      <c r="B1976">
        <v>2014</v>
      </c>
      <c r="C1976">
        <v>9</v>
      </c>
      <c r="D1976" s="11">
        <v>41883</v>
      </c>
      <c r="E1976" t="s">
        <v>2181</v>
      </c>
      <c r="F1976">
        <v>5</v>
      </c>
      <c r="G1976" t="s">
        <v>55</v>
      </c>
      <c r="H1976" t="s">
        <v>46</v>
      </c>
      <c r="I1976" t="s">
        <v>2194</v>
      </c>
      <c r="J1976" s="10">
        <v>0</v>
      </c>
      <c r="K1976" t="b">
        <v>1</v>
      </c>
    </row>
    <row r="1977" spans="1:11">
      <c r="A1977" s="12">
        <v>41887</v>
      </c>
      <c r="B1977">
        <v>2014</v>
      </c>
      <c r="C1977">
        <v>9</v>
      </c>
      <c r="D1977" s="11">
        <v>41883</v>
      </c>
      <c r="E1977" t="s">
        <v>2181</v>
      </c>
      <c r="F1977">
        <v>5</v>
      </c>
      <c r="G1977" t="s">
        <v>55</v>
      </c>
      <c r="H1977" t="s">
        <v>47</v>
      </c>
      <c r="I1977" t="s">
        <v>2195</v>
      </c>
      <c r="J1977" s="10">
        <v>2</v>
      </c>
      <c r="K1977" t="b">
        <v>1</v>
      </c>
    </row>
    <row r="1978" spans="1:11">
      <c r="A1978" s="12">
        <v>41888</v>
      </c>
      <c r="B1978">
        <v>2014</v>
      </c>
      <c r="C1978">
        <v>9</v>
      </c>
      <c r="D1978" s="11">
        <v>41883</v>
      </c>
      <c r="E1978" t="s">
        <v>2181</v>
      </c>
      <c r="F1978">
        <v>6</v>
      </c>
      <c r="G1978" t="s">
        <v>57</v>
      </c>
      <c r="H1978" t="s">
        <v>40</v>
      </c>
      <c r="I1978" t="s">
        <v>2188</v>
      </c>
      <c r="J1978" s="10">
        <v>5.34</v>
      </c>
      <c r="K1978" t="b">
        <v>1</v>
      </c>
    </row>
    <row r="1979" spans="1:11">
      <c r="A1979" s="12">
        <v>41888</v>
      </c>
      <c r="B1979">
        <v>2014</v>
      </c>
      <c r="C1979">
        <v>9</v>
      </c>
      <c r="D1979" s="11">
        <v>41883</v>
      </c>
      <c r="E1979" t="s">
        <v>2181</v>
      </c>
      <c r="F1979">
        <v>6</v>
      </c>
      <c r="G1979" t="s">
        <v>57</v>
      </c>
      <c r="H1979" t="s">
        <v>41</v>
      </c>
      <c r="I1979" t="s">
        <v>2189</v>
      </c>
      <c r="J1979" s="10">
        <v>5</v>
      </c>
      <c r="K1979" t="b">
        <v>1</v>
      </c>
    </row>
    <row r="1980" spans="1:11">
      <c r="A1980" s="12">
        <v>41888</v>
      </c>
      <c r="B1980">
        <v>2014</v>
      </c>
      <c r="C1980">
        <v>9</v>
      </c>
      <c r="D1980" s="11">
        <v>41883</v>
      </c>
      <c r="E1980" t="s">
        <v>2181</v>
      </c>
      <c r="F1980">
        <v>6</v>
      </c>
      <c r="G1980" t="s">
        <v>57</v>
      </c>
      <c r="H1980" t="s">
        <v>42</v>
      </c>
      <c r="I1980" t="s">
        <v>2190</v>
      </c>
      <c r="J1980" s="10">
        <v>2.4</v>
      </c>
      <c r="K1980" t="b">
        <v>1</v>
      </c>
    </row>
    <row r="1981" spans="1:11">
      <c r="A1981" s="12">
        <v>41888</v>
      </c>
      <c r="B1981">
        <v>2014</v>
      </c>
      <c r="C1981">
        <v>9</v>
      </c>
      <c r="D1981" s="11">
        <v>41883</v>
      </c>
      <c r="E1981" t="s">
        <v>2181</v>
      </c>
      <c r="F1981">
        <v>6</v>
      </c>
      <c r="G1981" t="s">
        <v>57</v>
      </c>
      <c r="H1981" t="s">
        <v>43</v>
      </c>
      <c r="I1981" t="s">
        <v>2191</v>
      </c>
      <c r="J1981" s="10">
        <v>15.7</v>
      </c>
      <c r="K1981" t="b">
        <v>1</v>
      </c>
    </row>
    <row r="1982" spans="1:11">
      <c r="A1982" s="12">
        <v>41888</v>
      </c>
      <c r="B1982">
        <v>2014</v>
      </c>
      <c r="C1982">
        <v>9</v>
      </c>
      <c r="D1982" s="11">
        <v>41883</v>
      </c>
      <c r="E1982" t="s">
        <v>2181</v>
      </c>
      <c r="F1982">
        <v>6</v>
      </c>
      <c r="G1982" t="s">
        <v>57</v>
      </c>
      <c r="H1982" t="s">
        <v>44</v>
      </c>
      <c r="I1982" t="s">
        <v>2192</v>
      </c>
      <c r="J1982" s="10">
        <v>30</v>
      </c>
      <c r="K1982" t="b">
        <v>1</v>
      </c>
    </row>
    <row r="1983" spans="1:11">
      <c r="A1983" s="12">
        <v>41888</v>
      </c>
      <c r="B1983">
        <v>2014</v>
      </c>
      <c r="C1983">
        <v>9</v>
      </c>
      <c r="D1983" s="11">
        <v>41883</v>
      </c>
      <c r="E1983" t="s">
        <v>2181</v>
      </c>
      <c r="F1983">
        <v>6</v>
      </c>
      <c r="G1983" t="s">
        <v>57</v>
      </c>
      <c r="H1983" t="s">
        <v>45</v>
      </c>
      <c r="I1983" t="s">
        <v>2193</v>
      </c>
      <c r="J1983" s="10">
        <v>2</v>
      </c>
      <c r="K1983" t="b">
        <v>1</v>
      </c>
    </row>
    <row r="1984" spans="1:11">
      <c r="A1984" s="12">
        <v>41888</v>
      </c>
      <c r="B1984">
        <v>2014</v>
      </c>
      <c r="C1984">
        <v>9</v>
      </c>
      <c r="D1984" s="11">
        <v>41883</v>
      </c>
      <c r="E1984" t="s">
        <v>2181</v>
      </c>
      <c r="F1984">
        <v>6</v>
      </c>
      <c r="G1984" t="s">
        <v>57</v>
      </c>
      <c r="H1984" t="s">
        <v>46</v>
      </c>
      <c r="I1984" t="s">
        <v>2194</v>
      </c>
      <c r="J1984" s="10">
        <v>5</v>
      </c>
      <c r="K1984" t="b">
        <v>1</v>
      </c>
    </row>
    <row r="1985" spans="1:11">
      <c r="A1985" s="12">
        <v>41888</v>
      </c>
      <c r="B1985">
        <v>2014</v>
      </c>
      <c r="C1985">
        <v>9</v>
      </c>
      <c r="D1985" s="11">
        <v>41883</v>
      </c>
      <c r="E1985" t="s">
        <v>2181</v>
      </c>
      <c r="F1985">
        <v>6</v>
      </c>
      <c r="G1985" t="s">
        <v>57</v>
      </c>
      <c r="H1985" t="s">
        <v>47</v>
      </c>
      <c r="I1985" t="s">
        <v>2195</v>
      </c>
      <c r="J1985" s="10">
        <v>3.1</v>
      </c>
      <c r="K1985" t="b">
        <v>1</v>
      </c>
    </row>
    <row r="1986" spans="1:11">
      <c r="A1986" s="12">
        <v>41889</v>
      </c>
      <c r="B1986">
        <v>2014</v>
      </c>
      <c r="C1986">
        <v>9</v>
      </c>
      <c r="D1986" s="11">
        <v>41883</v>
      </c>
      <c r="E1986" t="s">
        <v>2181</v>
      </c>
      <c r="F1986">
        <v>7</v>
      </c>
      <c r="G1986" t="s">
        <v>59</v>
      </c>
      <c r="H1986" t="s">
        <v>40</v>
      </c>
      <c r="I1986" t="s">
        <v>2188</v>
      </c>
      <c r="J1986" s="10">
        <v>2</v>
      </c>
      <c r="K1986" t="b">
        <v>1</v>
      </c>
    </row>
    <row r="1987" spans="1:11">
      <c r="A1987" s="12">
        <v>41889</v>
      </c>
      <c r="B1987">
        <v>2014</v>
      </c>
      <c r="C1987">
        <v>9</v>
      </c>
      <c r="D1987" s="11">
        <v>41883</v>
      </c>
      <c r="E1987" t="s">
        <v>2181</v>
      </c>
      <c r="F1987">
        <v>7</v>
      </c>
      <c r="G1987" t="s">
        <v>59</v>
      </c>
      <c r="H1987" t="s">
        <v>41</v>
      </c>
      <c r="I1987" t="s">
        <v>2189</v>
      </c>
      <c r="J1987" s="10">
        <v>5.515</v>
      </c>
      <c r="K1987" t="b">
        <v>1</v>
      </c>
    </row>
    <row r="1988" spans="1:11">
      <c r="A1988" s="12">
        <v>41889</v>
      </c>
      <c r="B1988">
        <v>2014</v>
      </c>
      <c r="C1988">
        <v>9</v>
      </c>
      <c r="D1988" s="11">
        <v>41883</v>
      </c>
      <c r="E1988" t="s">
        <v>2181</v>
      </c>
      <c r="F1988">
        <v>7</v>
      </c>
      <c r="G1988" t="s">
        <v>59</v>
      </c>
      <c r="H1988" t="s">
        <v>42</v>
      </c>
      <c r="I1988" t="s">
        <v>2190</v>
      </c>
      <c r="J1988" s="10">
        <v>5</v>
      </c>
      <c r="K1988" t="b">
        <v>1</v>
      </c>
    </row>
    <row r="1989" spans="1:11">
      <c r="A1989" s="12">
        <v>41889</v>
      </c>
      <c r="B1989">
        <v>2014</v>
      </c>
      <c r="C1989">
        <v>9</v>
      </c>
      <c r="D1989" s="11">
        <v>41883</v>
      </c>
      <c r="E1989" t="s">
        <v>2181</v>
      </c>
      <c r="F1989">
        <v>7</v>
      </c>
      <c r="G1989" t="s">
        <v>59</v>
      </c>
      <c r="H1989" t="s">
        <v>43</v>
      </c>
      <c r="I1989" t="s">
        <v>2191</v>
      </c>
      <c r="J1989" s="10">
        <v>7</v>
      </c>
      <c r="K1989" t="b">
        <v>1</v>
      </c>
    </row>
    <row r="1990" spans="1:11">
      <c r="A1990" s="12">
        <v>41889</v>
      </c>
      <c r="B1990">
        <v>2014</v>
      </c>
      <c r="C1990">
        <v>9</v>
      </c>
      <c r="D1990" s="11">
        <v>41883</v>
      </c>
      <c r="E1990" t="s">
        <v>2181</v>
      </c>
      <c r="F1990">
        <v>7</v>
      </c>
      <c r="G1990" t="s">
        <v>59</v>
      </c>
      <c r="H1990" t="s">
        <v>44</v>
      </c>
      <c r="I1990" t="s">
        <v>2192</v>
      </c>
      <c r="J1990" s="10">
        <v>9</v>
      </c>
      <c r="K1990" t="b">
        <v>1</v>
      </c>
    </row>
    <row r="1991" spans="1:11">
      <c r="A1991" s="12">
        <v>41889</v>
      </c>
      <c r="B1991">
        <v>2014</v>
      </c>
      <c r="C1991">
        <v>9</v>
      </c>
      <c r="D1991" s="11">
        <v>41883</v>
      </c>
      <c r="E1991" t="s">
        <v>2181</v>
      </c>
      <c r="F1991">
        <v>7</v>
      </c>
      <c r="G1991" t="s">
        <v>59</v>
      </c>
      <c r="H1991" t="s">
        <v>45</v>
      </c>
      <c r="I1991" t="s">
        <v>2193</v>
      </c>
      <c r="J1991" s="10">
        <v>0</v>
      </c>
      <c r="K1991" t="b">
        <v>1</v>
      </c>
    </row>
    <row r="1992" spans="1:11">
      <c r="A1992" s="12">
        <v>41889</v>
      </c>
      <c r="B1992">
        <v>2014</v>
      </c>
      <c r="C1992">
        <v>9</v>
      </c>
      <c r="D1992" s="11">
        <v>41883</v>
      </c>
      <c r="E1992" t="s">
        <v>2181</v>
      </c>
      <c r="F1992">
        <v>7</v>
      </c>
      <c r="G1992" t="s">
        <v>59</v>
      </c>
      <c r="H1992" t="s">
        <v>46</v>
      </c>
      <c r="I1992" t="s">
        <v>2194</v>
      </c>
      <c r="J1992" s="10">
        <v>0</v>
      </c>
      <c r="K1992" t="b">
        <v>1</v>
      </c>
    </row>
    <row r="1993" spans="1:11">
      <c r="A1993" s="12">
        <v>41889</v>
      </c>
      <c r="B1993">
        <v>2014</v>
      </c>
      <c r="C1993">
        <v>9</v>
      </c>
      <c r="D1993" s="11">
        <v>41883</v>
      </c>
      <c r="E1993" t="s">
        <v>2181</v>
      </c>
      <c r="F1993">
        <v>7</v>
      </c>
      <c r="G1993" t="s">
        <v>59</v>
      </c>
      <c r="H1993" t="s">
        <v>47</v>
      </c>
      <c r="I1993" t="s">
        <v>2195</v>
      </c>
      <c r="J1993" s="10">
        <v>1</v>
      </c>
      <c r="K1993" t="b">
        <v>1</v>
      </c>
    </row>
    <row r="1994" spans="1:11">
      <c r="A1994" s="12">
        <v>41890</v>
      </c>
      <c r="B1994">
        <v>2014</v>
      </c>
      <c r="C1994">
        <v>9</v>
      </c>
      <c r="D1994" s="11">
        <v>41883</v>
      </c>
      <c r="E1994" t="s">
        <v>2181</v>
      </c>
      <c r="F1994">
        <v>1</v>
      </c>
      <c r="G1994" t="s">
        <v>61</v>
      </c>
      <c r="H1994" t="s">
        <v>40</v>
      </c>
      <c r="I1994" t="s">
        <v>2188</v>
      </c>
      <c r="J1994" s="10">
        <v>1</v>
      </c>
      <c r="K1994" t="b">
        <v>1</v>
      </c>
    </row>
    <row r="1995" spans="1:11">
      <c r="A1995" s="12">
        <v>41890</v>
      </c>
      <c r="B1995">
        <v>2014</v>
      </c>
      <c r="C1995">
        <v>9</v>
      </c>
      <c r="D1995" s="11">
        <v>41883</v>
      </c>
      <c r="E1995" t="s">
        <v>2181</v>
      </c>
      <c r="F1995">
        <v>1</v>
      </c>
      <c r="G1995" t="s">
        <v>61</v>
      </c>
      <c r="H1995" t="s">
        <v>41</v>
      </c>
      <c r="I1995" t="s">
        <v>2189</v>
      </c>
      <c r="J1995" s="10">
        <v>5.36</v>
      </c>
      <c r="K1995" t="b">
        <v>1</v>
      </c>
    </row>
    <row r="1996" spans="1:11">
      <c r="A1996" s="12">
        <v>41890</v>
      </c>
      <c r="B1996">
        <v>2014</v>
      </c>
      <c r="C1996">
        <v>9</v>
      </c>
      <c r="D1996" s="11">
        <v>41883</v>
      </c>
      <c r="E1996" t="s">
        <v>2181</v>
      </c>
      <c r="F1996">
        <v>1</v>
      </c>
      <c r="G1996" t="s">
        <v>61</v>
      </c>
      <c r="H1996" t="s">
        <v>42</v>
      </c>
      <c r="I1996" t="s">
        <v>2190</v>
      </c>
      <c r="J1996" s="10">
        <v>3.5</v>
      </c>
      <c r="K1996" t="b">
        <v>1</v>
      </c>
    </row>
    <row r="1997" spans="1:11">
      <c r="A1997" s="12">
        <v>41890</v>
      </c>
      <c r="B1997">
        <v>2014</v>
      </c>
      <c r="C1997">
        <v>9</v>
      </c>
      <c r="D1997" s="11">
        <v>41883</v>
      </c>
      <c r="E1997" t="s">
        <v>2181</v>
      </c>
      <c r="F1997">
        <v>1</v>
      </c>
      <c r="G1997" t="s">
        <v>61</v>
      </c>
      <c r="H1997" t="s">
        <v>43</v>
      </c>
      <c r="I1997" t="s">
        <v>2191</v>
      </c>
      <c r="J1997" s="10">
        <v>20.8</v>
      </c>
      <c r="K1997" t="b">
        <v>1</v>
      </c>
    </row>
    <row r="1998" spans="1:11">
      <c r="A1998" s="12">
        <v>41890</v>
      </c>
      <c r="B1998">
        <v>2014</v>
      </c>
      <c r="C1998">
        <v>9</v>
      </c>
      <c r="D1998" s="11">
        <v>41883</v>
      </c>
      <c r="E1998" t="s">
        <v>2181</v>
      </c>
      <c r="F1998">
        <v>1</v>
      </c>
      <c r="G1998" t="s">
        <v>61</v>
      </c>
      <c r="H1998" t="s">
        <v>44</v>
      </c>
      <c r="I1998" t="s">
        <v>2192</v>
      </c>
      <c r="J1998" s="10">
        <v>15</v>
      </c>
      <c r="K1998" t="b">
        <v>1</v>
      </c>
    </row>
    <row r="1999" spans="1:11">
      <c r="A1999" s="12">
        <v>41890</v>
      </c>
      <c r="B1999">
        <v>2014</v>
      </c>
      <c r="C1999">
        <v>9</v>
      </c>
      <c r="D1999" s="11">
        <v>41883</v>
      </c>
      <c r="E1999" t="s">
        <v>2181</v>
      </c>
      <c r="F1999">
        <v>1</v>
      </c>
      <c r="G1999" t="s">
        <v>61</v>
      </c>
      <c r="H1999" t="s">
        <v>45</v>
      </c>
      <c r="I1999" t="s">
        <v>2193</v>
      </c>
      <c r="J1999" s="10">
        <v>0</v>
      </c>
      <c r="K1999" t="b">
        <v>1</v>
      </c>
    </row>
    <row r="2000" spans="1:11">
      <c r="A2000" s="12">
        <v>41890</v>
      </c>
      <c r="B2000">
        <v>2014</v>
      </c>
      <c r="C2000">
        <v>9</v>
      </c>
      <c r="D2000" s="11">
        <v>41883</v>
      </c>
      <c r="E2000" t="s">
        <v>2181</v>
      </c>
      <c r="F2000">
        <v>1</v>
      </c>
      <c r="G2000" t="s">
        <v>61</v>
      </c>
      <c r="H2000" t="s">
        <v>46</v>
      </c>
      <c r="I2000" t="s">
        <v>2194</v>
      </c>
      <c r="J2000" s="10">
        <v>1</v>
      </c>
      <c r="K2000" t="b">
        <v>1</v>
      </c>
    </row>
    <row r="2001" spans="1:11">
      <c r="A2001" s="12">
        <v>41890</v>
      </c>
      <c r="B2001">
        <v>2014</v>
      </c>
      <c r="C2001">
        <v>9</v>
      </c>
      <c r="D2001" s="11">
        <v>41883</v>
      </c>
      <c r="E2001" t="s">
        <v>2181</v>
      </c>
      <c r="F2001">
        <v>1</v>
      </c>
      <c r="G2001" t="s">
        <v>61</v>
      </c>
      <c r="H2001" t="s">
        <v>47</v>
      </c>
      <c r="I2001" t="s">
        <v>2195</v>
      </c>
      <c r="J2001" s="10">
        <v>4</v>
      </c>
      <c r="K2001" t="b">
        <v>1</v>
      </c>
    </row>
    <row r="2002" spans="1:11">
      <c r="A2002" s="12">
        <v>41891</v>
      </c>
      <c r="B2002">
        <v>2014</v>
      </c>
      <c r="C2002">
        <v>9</v>
      </c>
      <c r="D2002" s="11">
        <v>41883</v>
      </c>
      <c r="E2002" t="s">
        <v>2181</v>
      </c>
      <c r="F2002">
        <v>2</v>
      </c>
      <c r="G2002" t="s">
        <v>63</v>
      </c>
      <c r="H2002" t="s">
        <v>40</v>
      </c>
      <c r="I2002" t="s">
        <v>2188</v>
      </c>
      <c r="J2002" s="10">
        <v>6.34</v>
      </c>
      <c r="K2002" t="b">
        <v>1</v>
      </c>
    </row>
    <row r="2003" spans="1:11">
      <c r="A2003" s="12">
        <v>41891</v>
      </c>
      <c r="B2003">
        <v>2014</v>
      </c>
      <c r="C2003">
        <v>9</v>
      </c>
      <c r="D2003" s="11">
        <v>41883</v>
      </c>
      <c r="E2003" t="s">
        <v>2181</v>
      </c>
      <c r="F2003">
        <v>2</v>
      </c>
      <c r="G2003" t="s">
        <v>63</v>
      </c>
      <c r="H2003" t="s">
        <v>41</v>
      </c>
      <c r="I2003" t="s">
        <v>2189</v>
      </c>
      <c r="J2003" s="10">
        <v>2.34</v>
      </c>
      <c r="K2003" t="b">
        <v>1</v>
      </c>
    </row>
    <row r="2004" spans="1:11">
      <c r="A2004" s="12">
        <v>41891</v>
      </c>
      <c r="B2004">
        <v>2014</v>
      </c>
      <c r="C2004">
        <v>9</v>
      </c>
      <c r="D2004" s="11">
        <v>41883</v>
      </c>
      <c r="E2004" t="s">
        <v>2181</v>
      </c>
      <c r="F2004">
        <v>2</v>
      </c>
      <c r="G2004" t="s">
        <v>63</v>
      </c>
      <c r="H2004" t="s">
        <v>42</v>
      </c>
      <c r="I2004" t="s">
        <v>2190</v>
      </c>
      <c r="J2004" s="10">
        <v>4</v>
      </c>
      <c r="K2004" t="b">
        <v>1</v>
      </c>
    </row>
    <row r="2005" spans="1:11">
      <c r="A2005" s="12">
        <v>41891</v>
      </c>
      <c r="B2005">
        <v>2014</v>
      </c>
      <c r="C2005">
        <v>9</v>
      </c>
      <c r="D2005" s="11">
        <v>41883</v>
      </c>
      <c r="E2005" t="s">
        <v>2181</v>
      </c>
      <c r="F2005">
        <v>2</v>
      </c>
      <c r="G2005" t="s">
        <v>63</v>
      </c>
      <c r="H2005" t="s">
        <v>43</v>
      </c>
      <c r="I2005" t="s">
        <v>2191</v>
      </c>
      <c r="J2005" s="10">
        <v>29.2</v>
      </c>
      <c r="K2005" t="b">
        <v>1</v>
      </c>
    </row>
    <row r="2006" spans="1:11">
      <c r="A2006" s="12">
        <v>41891</v>
      </c>
      <c r="B2006">
        <v>2014</v>
      </c>
      <c r="C2006">
        <v>9</v>
      </c>
      <c r="D2006" s="11">
        <v>41883</v>
      </c>
      <c r="E2006" t="s">
        <v>2181</v>
      </c>
      <c r="F2006">
        <v>2</v>
      </c>
      <c r="G2006" t="s">
        <v>63</v>
      </c>
      <c r="H2006" t="s">
        <v>44</v>
      </c>
      <c r="I2006" t="s">
        <v>2192</v>
      </c>
      <c r="J2006" s="10">
        <v>17</v>
      </c>
      <c r="K2006" t="b">
        <v>1</v>
      </c>
    </row>
    <row r="2007" spans="1:11">
      <c r="A2007" s="12">
        <v>41891</v>
      </c>
      <c r="B2007">
        <v>2014</v>
      </c>
      <c r="C2007">
        <v>9</v>
      </c>
      <c r="D2007" s="11">
        <v>41883</v>
      </c>
      <c r="E2007" t="s">
        <v>2181</v>
      </c>
      <c r="F2007">
        <v>2</v>
      </c>
      <c r="G2007" t="s">
        <v>63</v>
      </c>
      <c r="H2007" t="s">
        <v>45</v>
      </c>
      <c r="I2007" t="s">
        <v>2193</v>
      </c>
      <c r="J2007" s="10">
        <v>0</v>
      </c>
      <c r="K2007" t="b">
        <v>1</v>
      </c>
    </row>
    <row r="2008" spans="1:11">
      <c r="A2008" s="12">
        <v>41891</v>
      </c>
      <c r="B2008">
        <v>2014</v>
      </c>
      <c r="C2008">
        <v>9</v>
      </c>
      <c r="D2008" s="11">
        <v>41883</v>
      </c>
      <c r="E2008" t="s">
        <v>2181</v>
      </c>
      <c r="F2008">
        <v>2</v>
      </c>
      <c r="G2008" t="s">
        <v>63</v>
      </c>
      <c r="H2008" t="s">
        <v>46</v>
      </c>
      <c r="I2008" t="s">
        <v>2194</v>
      </c>
      <c r="J2008" s="10">
        <v>2</v>
      </c>
      <c r="K2008" t="b">
        <v>1</v>
      </c>
    </row>
    <row r="2009" spans="1:11">
      <c r="A2009" s="12">
        <v>41891</v>
      </c>
      <c r="B2009">
        <v>2014</v>
      </c>
      <c r="C2009">
        <v>9</v>
      </c>
      <c r="D2009" s="11">
        <v>41883</v>
      </c>
      <c r="E2009" t="s">
        <v>2181</v>
      </c>
      <c r="F2009">
        <v>2</v>
      </c>
      <c r="G2009" t="s">
        <v>63</v>
      </c>
      <c r="H2009" t="s">
        <v>47</v>
      </c>
      <c r="I2009" t="s">
        <v>2195</v>
      </c>
      <c r="J2009" s="10">
        <v>1.2</v>
      </c>
      <c r="K2009" t="b">
        <v>1</v>
      </c>
    </row>
    <row r="2010" spans="1:11">
      <c r="A2010" s="12">
        <v>41892</v>
      </c>
      <c r="B2010">
        <v>2014</v>
      </c>
      <c r="C2010">
        <v>9</v>
      </c>
      <c r="D2010" s="11">
        <v>41883</v>
      </c>
      <c r="E2010" t="s">
        <v>2181</v>
      </c>
      <c r="F2010">
        <v>3</v>
      </c>
      <c r="G2010" t="s">
        <v>65</v>
      </c>
      <c r="H2010" t="s">
        <v>40</v>
      </c>
      <c r="I2010" t="s">
        <v>2188</v>
      </c>
      <c r="J2010" s="10">
        <v>4.34</v>
      </c>
      <c r="K2010" t="b">
        <v>1</v>
      </c>
    </row>
    <row r="2011" spans="1:11">
      <c r="A2011" s="12">
        <v>41892</v>
      </c>
      <c r="B2011">
        <v>2014</v>
      </c>
      <c r="C2011">
        <v>9</v>
      </c>
      <c r="D2011" s="11">
        <v>41883</v>
      </c>
      <c r="E2011" t="s">
        <v>2181</v>
      </c>
      <c r="F2011">
        <v>3</v>
      </c>
      <c r="G2011" t="s">
        <v>65</v>
      </c>
      <c r="H2011" t="s">
        <v>41</v>
      </c>
      <c r="I2011" t="s">
        <v>2189</v>
      </c>
      <c r="J2011" s="10">
        <v>3.34</v>
      </c>
      <c r="K2011" t="b">
        <v>1</v>
      </c>
    </row>
    <row r="2012" spans="1:11">
      <c r="A2012" s="12">
        <v>41892</v>
      </c>
      <c r="B2012">
        <v>2014</v>
      </c>
      <c r="C2012">
        <v>9</v>
      </c>
      <c r="D2012" s="11">
        <v>41883</v>
      </c>
      <c r="E2012" t="s">
        <v>2181</v>
      </c>
      <c r="F2012">
        <v>3</v>
      </c>
      <c r="G2012" t="s">
        <v>65</v>
      </c>
      <c r="H2012" t="s">
        <v>42</v>
      </c>
      <c r="I2012" t="s">
        <v>2190</v>
      </c>
      <c r="J2012" s="10">
        <v>3.5</v>
      </c>
      <c r="K2012" t="b">
        <v>1</v>
      </c>
    </row>
    <row r="2013" spans="1:11">
      <c r="A2013" s="12">
        <v>41892</v>
      </c>
      <c r="B2013">
        <v>2014</v>
      </c>
      <c r="C2013">
        <v>9</v>
      </c>
      <c r="D2013" s="11">
        <v>41883</v>
      </c>
      <c r="E2013" t="s">
        <v>2181</v>
      </c>
      <c r="F2013">
        <v>3</v>
      </c>
      <c r="G2013" t="s">
        <v>65</v>
      </c>
      <c r="H2013" t="s">
        <v>43</v>
      </c>
      <c r="I2013" t="s">
        <v>2191</v>
      </c>
      <c r="J2013" s="10">
        <v>37.8</v>
      </c>
      <c r="K2013" t="b">
        <v>1</v>
      </c>
    </row>
    <row r="2014" spans="1:11">
      <c r="A2014" s="12">
        <v>41892</v>
      </c>
      <c r="B2014">
        <v>2014</v>
      </c>
      <c r="C2014">
        <v>9</v>
      </c>
      <c r="D2014" s="11">
        <v>41883</v>
      </c>
      <c r="E2014" t="s">
        <v>2181</v>
      </c>
      <c r="F2014">
        <v>3</v>
      </c>
      <c r="G2014" t="s">
        <v>65</v>
      </c>
      <c r="H2014" t="s">
        <v>44</v>
      </c>
      <c r="I2014" t="s">
        <v>2192</v>
      </c>
      <c r="J2014" s="10">
        <v>12</v>
      </c>
      <c r="K2014" t="b">
        <v>1</v>
      </c>
    </row>
    <row r="2015" spans="1:11">
      <c r="A2015" s="12">
        <v>41892</v>
      </c>
      <c r="B2015">
        <v>2014</v>
      </c>
      <c r="C2015">
        <v>9</v>
      </c>
      <c r="D2015" s="11">
        <v>41883</v>
      </c>
      <c r="E2015" t="s">
        <v>2181</v>
      </c>
      <c r="F2015">
        <v>3</v>
      </c>
      <c r="G2015" t="s">
        <v>65</v>
      </c>
      <c r="H2015" t="s">
        <v>45</v>
      </c>
      <c r="I2015" t="s">
        <v>2193</v>
      </c>
      <c r="J2015" s="10">
        <v>0</v>
      </c>
      <c r="K2015" t="b">
        <v>1</v>
      </c>
    </row>
    <row r="2016" spans="1:11">
      <c r="A2016" s="12">
        <v>41892</v>
      </c>
      <c r="B2016">
        <v>2014</v>
      </c>
      <c r="C2016">
        <v>9</v>
      </c>
      <c r="D2016" s="11">
        <v>41883</v>
      </c>
      <c r="E2016" t="s">
        <v>2181</v>
      </c>
      <c r="F2016">
        <v>3</v>
      </c>
      <c r="G2016" t="s">
        <v>65</v>
      </c>
      <c r="H2016" t="s">
        <v>46</v>
      </c>
      <c r="I2016" t="s">
        <v>2194</v>
      </c>
      <c r="J2016" s="10">
        <v>0</v>
      </c>
      <c r="K2016" t="b">
        <v>1</v>
      </c>
    </row>
    <row r="2017" spans="1:11">
      <c r="A2017" s="12">
        <v>41892</v>
      </c>
      <c r="B2017">
        <v>2014</v>
      </c>
      <c r="C2017">
        <v>9</v>
      </c>
      <c r="D2017" s="11">
        <v>41883</v>
      </c>
      <c r="E2017" t="s">
        <v>2181</v>
      </c>
      <c r="F2017">
        <v>3</v>
      </c>
      <c r="G2017" t="s">
        <v>65</v>
      </c>
      <c r="H2017" t="s">
        <v>47</v>
      </c>
      <c r="I2017" t="s">
        <v>2195</v>
      </c>
      <c r="J2017" s="10">
        <v>1</v>
      </c>
      <c r="K2017" t="b">
        <v>1</v>
      </c>
    </row>
    <row r="2018" spans="1:11">
      <c r="A2018" s="12">
        <v>41893</v>
      </c>
      <c r="B2018">
        <v>2014</v>
      </c>
      <c r="C2018">
        <v>9</v>
      </c>
      <c r="D2018" s="11">
        <v>41883</v>
      </c>
      <c r="E2018" t="s">
        <v>2181</v>
      </c>
      <c r="F2018">
        <v>4</v>
      </c>
      <c r="G2018" t="s">
        <v>53</v>
      </c>
      <c r="H2018" t="s">
        <v>40</v>
      </c>
      <c r="I2018" t="s">
        <v>2188</v>
      </c>
      <c r="J2018" s="10">
        <v>0</v>
      </c>
      <c r="K2018" t="b">
        <v>1</v>
      </c>
    </row>
    <row r="2019" spans="1:11">
      <c r="A2019" s="12">
        <v>41893</v>
      </c>
      <c r="B2019">
        <v>2014</v>
      </c>
      <c r="C2019">
        <v>9</v>
      </c>
      <c r="D2019" s="11">
        <v>41883</v>
      </c>
      <c r="E2019" t="s">
        <v>2181</v>
      </c>
      <c r="F2019">
        <v>4</v>
      </c>
      <c r="G2019" t="s">
        <v>53</v>
      </c>
      <c r="H2019" t="s">
        <v>41</v>
      </c>
      <c r="I2019" t="s">
        <v>2189</v>
      </c>
      <c r="J2019" s="10">
        <v>1.34</v>
      </c>
      <c r="K2019" t="b">
        <v>1</v>
      </c>
    </row>
    <row r="2020" spans="1:11">
      <c r="A2020" s="12">
        <v>41893</v>
      </c>
      <c r="B2020">
        <v>2014</v>
      </c>
      <c r="C2020">
        <v>9</v>
      </c>
      <c r="D2020" s="11">
        <v>41883</v>
      </c>
      <c r="E2020" t="s">
        <v>2181</v>
      </c>
      <c r="F2020">
        <v>4</v>
      </c>
      <c r="G2020" t="s">
        <v>53</v>
      </c>
      <c r="H2020" t="s">
        <v>42</v>
      </c>
      <c r="I2020" t="s">
        <v>2190</v>
      </c>
      <c r="J2020" s="10">
        <v>4</v>
      </c>
      <c r="K2020" t="b">
        <v>1</v>
      </c>
    </row>
    <row r="2021" spans="1:11">
      <c r="A2021" s="12">
        <v>41893</v>
      </c>
      <c r="B2021">
        <v>2014</v>
      </c>
      <c r="C2021">
        <v>9</v>
      </c>
      <c r="D2021" s="11">
        <v>41883</v>
      </c>
      <c r="E2021" t="s">
        <v>2181</v>
      </c>
      <c r="F2021">
        <v>4</v>
      </c>
      <c r="G2021" t="s">
        <v>53</v>
      </c>
      <c r="H2021" t="s">
        <v>43</v>
      </c>
      <c r="I2021" t="s">
        <v>2191</v>
      </c>
      <c r="J2021" s="10">
        <v>32.2</v>
      </c>
      <c r="K2021" t="b">
        <v>1</v>
      </c>
    </row>
    <row r="2022" spans="1:11">
      <c r="A2022" s="12">
        <v>41893</v>
      </c>
      <c r="B2022">
        <v>2014</v>
      </c>
      <c r="C2022">
        <v>9</v>
      </c>
      <c r="D2022" s="11">
        <v>41883</v>
      </c>
      <c r="E2022" t="s">
        <v>2181</v>
      </c>
      <c r="F2022">
        <v>4</v>
      </c>
      <c r="G2022" t="s">
        <v>53</v>
      </c>
      <c r="H2022" t="s">
        <v>44</v>
      </c>
      <c r="I2022" t="s">
        <v>2192</v>
      </c>
      <c r="J2022" s="10">
        <v>15</v>
      </c>
      <c r="K2022" t="b">
        <v>1</v>
      </c>
    </row>
    <row r="2023" spans="1:11">
      <c r="A2023" s="12">
        <v>41893</v>
      </c>
      <c r="B2023">
        <v>2014</v>
      </c>
      <c r="C2023">
        <v>9</v>
      </c>
      <c r="D2023" s="11">
        <v>41883</v>
      </c>
      <c r="E2023" t="s">
        <v>2181</v>
      </c>
      <c r="F2023">
        <v>4</v>
      </c>
      <c r="G2023" t="s">
        <v>53</v>
      </c>
      <c r="H2023" t="s">
        <v>45</v>
      </c>
      <c r="I2023" t="s">
        <v>2193</v>
      </c>
      <c r="J2023" s="10">
        <v>0</v>
      </c>
      <c r="K2023" t="b">
        <v>1</v>
      </c>
    </row>
    <row r="2024" spans="1:11">
      <c r="A2024" s="12">
        <v>41893</v>
      </c>
      <c r="B2024">
        <v>2014</v>
      </c>
      <c r="C2024">
        <v>9</v>
      </c>
      <c r="D2024" s="11">
        <v>41883</v>
      </c>
      <c r="E2024" t="s">
        <v>2181</v>
      </c>
      <c r="F2024">
        <v>4</v>
      </c>
      <c r="G2024" t="s">
        <v>53</v>
      </c>
      <c r="H2024" t="s">
        <v>46</v>
      </c>
      <c r="I2024" t="s">
        <v>2194</v>
      </c>
      <c r="J2024" s="10">
        <v>10</v>
      </c>
      <c r="K2024" t="b">
        <v>1</v>
      </c>
    </row>
    <row r="2025" spans="1:11">
      <c r="A2025" s="12">
        <v>41893</v>
      </c>
      <c r="B2025">
        <v>2014</v>
      </c>
      <c r="C2025">
        <v>9</v>
      </c>
      <c r="D2025" s="11">
        <v>41883</v>
      </c>
      <c r="E2025" t="s">
        <v>2181</v>
      </c>
      <c r="F2025">
        <v>4</v>
      </c>
      <c r="G2025" t="s">
        <v>53</v>
      </c>
      <c r="H2025" t="s">
        <v>47</v>
      </c>
      <c r="I2025" t="s">
        <v>2195</v>
      </c>
      <c r="J2025" s="10">
        <v>0</v>
      </c>
      <c r="K2025" t="b">
        <v>1</v>
      </c>
    </row>
    <row r="2026" spans="1:11">
      <c r="A2026" s="12">
        <v>41894</v>
      </c>
      <c r="B2026">
        <v>2014</v>
      </c>
      <c r="C2026">
        <v>9</v>
      </c>
      <c r="D2026" s="11">
        <v>41883</v>
      </c>
      <c r="E2026" t="s">
        <v>2181</v>
      </c>
      <c r="F2026">
        <v>5</v>
      </c>
      <c r="G2026" t="s">
        <v>55</v>
      </c>
      <c r="H2026" t="s">
        <v>40</v>
      </c>
      <c r="I2026" t="s">
        <v>2188</v>
      </c>
      <c r="J2026" s="10">
        <v>2.68</v>
      </c>
      <c r="K2026" t="b">
        <v>1</v>
      </c>
    </row>
    <row r="2027" spans="1:11">
      <c r="A2027" s="12">
        <v>41894</v>
      </c>
      <c r="B2027">
        <v>2014</v>
      </c>
      <c r="C2027">
        <v>9</v>
      </c>
      <c r="D2027" s="11">
        <v>41883</v>
      </c>
      <c r="E2027" t="s">
        <v>2181</v>
      </c>
      <c r="F2027">
        <v>5</v>
      </c>
      <c r="G2027" t="s">
        <v>55</v>
      </c>
      <c r="H2027" t="s">
        <v>41</v>
      </c>
      <c r="I2027" t="s">
        <v>2189</v>
      </c>
      <c r="J2027" s="10">
        <v>2.67</v>
      </c>
      <c r="K2027" t="b">
        <v>1</v>
      </c>
    </row>
    <row r="2028" spans="1:11">
      <c r="A2028" s="12">
        <v>41894</v>
      </c>
      <c r="B2028">
        <v>2014</v>
      </c>
      <c r="C2028">
        <v>9</v>
      </c>
      <c r="D2028" s="11">
        <v>41883</v>
      </c>
      <c r="E2028" t="s">
        <v>2181</v>
      </c>
      <c r="F2028">
        <v>5</v>
      </c>
      <c r="G2028" t="s">
        <v>55</v>
      </c>
      <c r="H2028" t="s">
        <v>42</v>
      </c>
      <c r="I2028" t="s">
        <v>2190</v>
      </c>
      <c r="J2028" s="10">
        <v>1</v>
      </c>
      <c r="K2028" t="b">
        <v>1</v>
      </c>
    </row>
    <row r="2029" spans="1:11">
      <c r="A2029" s="12">
        <v>41894</v>
      </c>
      <c r="B2029">
        <v>2014</v>
      </c>
      <c r="C2029">
        <v>9</v>
      </c>
      <c r="D2029" s="11">
        <v>41883</v>
      </c>
      <c r="E2029" t="s">
        <v>2181</v>
      </c>
      <c r="F2029">
        <v>5</v>
      </c>
      <c r="G2029" t="s">
        <v>55</v>
      </c>
      <c r="H2029" t="s">
        <v>43</v>
      </c>
      <c r="I2029" t="s">
        <v>2191</v>
      </c>
      <c r="J2029" s="10">
        <v>20</v>
      </c>
      <c r="K2029" t="b">
        <v>1</v>
      </c>
    </row>
    <row r="2030" spans="1:11">
      <c r="A2030" s="12">
        <v>41894</v>
      </c>
      <c r="B2030">
        <v>2014</v>
      </c>
      <c r="C2030">
        <v>9</v>
      </c>
      <c r="D2030" s="11">
        <v>41883</v>
      </c>
      <c r="E2030" t="s">
        <v>2181</v>
      </c>
      <c r="F2030">
        <v>5</v>
      </c>
      <c r="G2030" t="s">
        <v>55</v>
      </c>
      <c r="H2030" t="s">
        <v>44</v>
      </c>
      <c r="I2030" t="s">
        <v>2192</v>
      </c>
      <c r="J2030" s="10">
        <v>19</v>
      </c>
      <c r="K2030" t="b">
        <v>1</v>
      </c>
    </row>
    <row r="2031" spans="1:11">
      <c r="A2031" s="12">
        <v>41894</v>
      </c>
      <c r="B2031">
        <v>2014</v>
      </c>
      <c r="C2031">
        <v>9</v>
      </c>
      <c r="D2031" s="11">
        <v>41883</v>
      </c>
      <c r="E2031" t="s">
        <v>2181</v>
      </c>
      <c r="F2031">
        <v>5</v>
      </c>
      <c r="G2031" t="s">
        <v>55</v>
      </c>
      <c r="H2031" t="s">
        <v>45</v>
      </c>
      <c r="I2031" t="s">
        <v>2193</v>
      </c>
      <c r="J2031" s="10">
        <v>0</v>
      </c>
      <c r="K2031" t="b">
        <v>1</v>
      </c>
    </row>
    <row r="2032" spans="1:11">
      <c r="A2032" s="12">
        <v>41894</v>
      </c>
      <c r="B2032">
        <v>2014</v>
      </c>
      <c r="C2032">
        <v>9</v>
      </c>
      <c r="D2032" s="11">
        <v>41883</v>
      </c>
      <c r="E2032" t="s">
        <v>2181</v>
      </c>
      <c r="F2032">
        <v>5</v>
      </c>
      <c r="G2032" t="s">
        <v>55</v>
      </c>
      <c r="H2032" t="s">
        <v>46</v>
      </c>
      <c r="I2032" t="s">
        <v>2194</v>
      </c>
      <c r="J2032" s="10">
        <v>8</v>
      </c>
      <c r="K2032" t="b">
        <v>1</v>
      </c>
    </row>
    <row r="2033" spans="1:11">
      <c r="A2033" s="12">
        <v>41894</v>
      </c>
      <c r="B2033">
        <v>2014</v>
      </c>
      <c r="C2033">
        <v>9</v>
      </c>
      <c r="D2033" s="11">
        <v>41883</v>
      </c>
      <c r="E2033" t="s">
        <v>2181</v>
      </c>
      <c r="F2033">
        <v>5</v>
      </c>
      <c r="G2033" t="s">
        <v>55</v>
      </c>
      <c r="H2033" t="s">
        <v>47</v>
      </c>
      <c r="I2033" t="s">
        <v>2195</v>
      </c>
      <c r="J2033" s="10">
        <v>1</v>
      </c>
      <c r="K2033" t="b">
        <v>1</v>
      </c>
    </row>
    <row r="2034" spans="1:11">
      <c r="A2034" s="12">
        <v>41895</v>
      </c>
      <c r="B2034">
        <v>2014</v>
      </c>
      <c r="C2034">
        <v>9</v>
      </c>
      <c r="D2034" s="11">
        <v>41883</v>
      </c>
      <c r="E2034" t="s">
        <v>2181</v>
      </c>
      <c r="F2034">
        <v>6</v>
      </c>
      <c r="G2034" t="s">
        <v>57</v>
      </c>
      <c r="H2034" t="s">
        <v>40</v>
      </c>
      <c r="I2034" t="s">
        <v>2188</v>
      </c>
      <c r="J2034" s="10">
        <v>3</v>
      </c>
      <c r="K2034" t="b">
        <v>1</v>
      </c>
    </row>
    <row r="2035" spans="1:11">
      <c r="A2035" s="12">
        <v>41895</v>
      </c>
      <c r="B2035">
        <v>2014</v>
      </c>
      <c r="C2035">
        <v>9</v>
      </c>
      <c r="D2035" s="11">
        <v>41883</v>
      </c>
      <c r="E2035" t="s">
        <v>2181</v>
      </c>
      <c r="F2035">
        <v>6</v>
      </c>
      <c r="G2035" t="s">
        <v>57</v>
      </c>
      <c r="H2035" t="s">
        <v>41</v>
      </c>
      <c r="I2035" t="s">
        <v>2189</v>
      </c>
      <c r="J2035" s="10">
        <v>5.36</v>
      </c>
      <c r="K2035" t="b">
        <v>1</v>
      </c>
    </row>
    <row r="2036" spans="1:11">
      <c r="A2036" s="12">
        <v>41895</v>
      </c>
      <c r="B2036">
        <v>2014</v>
      </c>
      <c r="C2036">
        <v>9</v>
      </c>
      <c r="D2036" s="11">
        <v>41883</v>
      </c>
      <c r="E2036" t="s">
        <v>2181</v>
      </c>
      <c r="F2036">
        <v>6</v>
      </c>
      <c r="G2036" t="s">
        <v>57</v>
      </c>
      <c r="H2036" t="s">
        <v>42</v>
      </c>
      <c r="I2036" t="s">
        <v>2190</v>
      </c>
      <c r="J2036" s="10">
        <v>4.4</v>
      </c>
      <c r="K2036" t="b">
        <v>1</v>
      </c>
    </row>
    <row r="2037" spans="1:11">
      <c r="A2037" s="12">
        <v>41895</v>
      </c>
      <c r="B2037">
        <v>2014</v>
      </c>
      <c r="C2037">
        <v>9</v>
      </c>
      <c r="D2037" s="11">
        <v>41883</v>
      </c>
      <c r="E2037" t="s">
        <v>2181</v>
      </c>
      <c r="F2037">
        <v>6</v>
      </c>
      <c r="G2037" t="s">
        <v>57</v>
      </c>
      <c r="H2037" t="s">
        <v>43</v>
      </c>
      <c r="I2037" t="s">
        <v>2191</v>
      </c>
      <c r="J2037" s="10">
        <v>56.85</v>
      </c>
      <c r="K2037" t="b">
        <v>1</v>
      </c>
    </row>
    <row r="2038" spans="1:11">
      <c r="A2038" s="12">
        <v>41895</v>
      </c>
      <c r="B2038">
        <v>2014</v>
      </c>
      <c r="C2038">
        <v>9</v>
      </c>
      <c r="D2038" s="11">
        <v>41883</v>
      </c>
      <c r="E2038" t="s">
        <v>2181</v>
      </c>
      <c r="F2038">
        <v>6</v>
      </c>
      <c r="G2038" t="s">
        <v>57</v>
      </c>
      <c r="H2038" t="s">
        <v>44</v>
      </c>
      <c r="I2038" t="s">
        <v>2192</v>
      </c>
      <c r="J2038" s="10">
        <v>20</v>
      </c>
      <c r="K2038" t="b">
        <v>1</v>
      </c>
    </row>
    <row r="2039" spans="1:11">
      <c r="A2039" s="12">
        <v>41895</v>
      </c>
      <c r="B2039">
        <v>2014</v>
      </c>
      <c r="C2039">
        <v>9</v>
      </c>
      <c r="D2039" s="11">
        <v>41883</v>
      </c>
      <c r="E2039" t="s">
        <v>2181</v>
      </c>
      <c r="F2039">
        <v>6</v>
      </c>
      <c r="G2039" t="s">
        <v>57</v>
      </c>
      <c r="H2039" t="s">
        <v>45</v>
      </c>
      <c r="I2039" t="s">
        <v>2193</v>
      </c>
      <c r="J2039" s="10">
        <v>0</v>
      </c>
      <c r="K2039" t="b">
        <v>1</v>
      </c>
    </row>
    <row r="2040" spans="1:11">
      <c r="A2040" s="12">
        <v>41895</v>
      </c>
      <c r="B2040">
        <v>2014</v>
      </c>
      <c r="C2040">
        <v>9</v>
      </c>
      <c r="D2040" s="11">
        <v>41883</v>
      </c>
      <c r="E2040" t="s">
        <v>2181</v>
      </c>
      <c r="F2040">
        <v>6</v>
      </c>
      <c r="G2040" t="s">
        <v>57</v>
      </c>
      <c r="H2040" t="s">
        <v>46</v>
      </c>
      <c r="I2040" t="s">
        <v>2194</v>
      </c>
      <c r="J2040" s="10">
        <v>1</v>
      </c>
      <c r="K2040" t="b">
        <v>1</v>
      </c>
    </row>
    <row r="2041" spans="1:11">
      <c r="A2041" s="12">
        <v>41895</v>
      </c>
      <c r="B2041">
        <v>2014</v>
      </c>
      <c r="C2041">
        <v>9</v>
      </c>
      <c r="D2041" s="11">
        <v>41883</v>
      </c>
      <c r="E2041" t="s">
        <v>2181</v>
      </c>
      <c r="F2041">
        <v>6</v>
      </c>
      <c r="G2041" t="s">
        <v>57</v>
      </c>
      <c r="H2041" t="s">
        <v>47</v>
      </c>
      <c r="I2041" t="s">
        <v>2195</v>
      </c>
      <c r="J2041" s="10">
        <v>3</v>
      </c>
      <c r="K2041" t="b">
        <v>1</v>
      </c>
    </row>
    <row r="2042" spans="1:11">
      <c r="A2042" s="12">
        <v>41896</v>
      </c>
      <c r="B2042">
        <v>2014</v>
      </c>
      <c r="C2042">
        <v>9</v>
      </c>
      <c r="D2042" s="11">
        <v>41883</v>
      </c>
      <c r="E2042" t="s">
        <v>2181</v>
      </c>
      <c r="F2042">
        <v>7</v>
      </c>
      <c r="G2042" t="s">
        <v>59</v>
      </c>
      <c r="H2042" t="s">
        <v>40</v>
      </c>
      <c r="I2042" t="s">
        <v>2188</v>
      </c>
      <c r="J2042" s="10">
        <v>1.34</v>
      </c>
      <c r="K2042" t="b">
        <v>1</v>
      </c>
    </row>
    <row r="2043" spans="1:11">
      <c r="A2043" s="12">
        <v>41896</v>
      </c>
      <c r="B2043">
        <v>2014</v>
      </c>
      <c r="C2043">
        <v>9</v>
      </c>
      <c r="D2043" s="11">
        <v>41883</v>
      </c>
      <c r="E2043" t="s">
        <v>2181</v>
      </c>
      <c r="F2043">
        <v>7</v>
      </c>
      <c r="G2043" t="s">
        <v>59</v>
      </c>
      <c r="H2043" t="s">
        <v>41</v>
      </c>
      <c r="I2043" t="s">
        <v>2189</v>
      </c>
      <c r="J2043" s="10">
        <v>2</v>
      </c>
      <c r="K2043" t="b">
        <v>1</v>
      </c>
    </row>
    <row r="2044" spans="1:11">
      <c r="A2044" s="12">
        <v>41896</v>
      </c>
      <c r="B2044">
        <v>2014</v>
      </c>
      <c r="C2044">
        <v>9</v>
      </c>
      <c r="D2044" s="11">
        <v>41883</v>
      </c>
      <c r="E2044" t="s">
        <v>2181</v>
      </c>
      <c r="F2044">
        <v>7</v>
      </c>
      <c r="G2044" t="s">
        <v>59</v>
      </c>
      <c r="H2044" t="s">
        <v>42</v>
      </c>
      <c r="I2044" t="s">
        <v>2190</v>
      </c>
      <c r="J2044" s="10">
        <v>2</v>
      </c>
      <c r="K2044" t="b">
        <v>1</v>
      </c>
    </row>
    <row r="2045" spans="1:11">
      <c r="A2045" s="12">
        <v>41896</v>
      </c>
      <c r="B2045">
        <v>2014</v>
      </c>
      <c r="C2045">
        <v>9</v>
      </c>
      <c r="D2045" s="11">
        <v>41883</v>
      </c>
      <c r="E2045" t="s">
        <v>2181</v>
      </c>
      <c r="F2045">
        <v>7</v>
      </c>
      <c r="G2045" t="s">
        <v>59</v>
      </c>
      <c r="H2045" t="s">
        <v>43</v>
      </c>
      <c r="I2045" t="s">
        <v>2191</v>
      </c>
      <c r="J2045" s="10">
        <v>19.5</v>
      </c>
      <c r="K2045" t="b">
        <v>1</v>
      </c>
    </row>
    <row r="2046" spans="1:11">
      <c r="A2046" s="12">
        <v>41896</v>
      </c>
      <c r="B2046">
        <v>2014</v>
      </c>
      <c r="C2046">
        <v>9</v>
      </c>
      <c r="D2046" s="11">
        <v>41883</v>
      </c>
      <c r="E2046" t="s">
        <v>2181</v>
      </c>
      <c r="F2046">
        <v>7</v>
      </c>
      <c r="G2046" t="s">
        <v>59</v>
      </c>
      <c r="H2046" t="s">
        <v>44</v>
      </c>
      <c r="I2046" t="s">
        <v>2192</v>
      </c>
      <c r="J2046" s="10">
        <v>6</v>
      </c>
      <c r="K2046" t="b">
        <v>1</v>
      </c>
    </row>
    <row r="2047" spans="1:11">
      <c r="A2047" s="12">
        <v>41896</v>
      </c>
      <c r="B2047">
        <v>2014</v>
      </c>
      <c r="C2047">
        <v>9</v>
      </c>
      <c r="D2047" s="11">
        <v>41883</v>
      </c>
      <c r="E2047" t="s">
        <v>2181</v>
      </c>
      <c r="F2047">
        <v>7</v>
      </c>
      <c r="G2047" t="s">
        <v>59</v>
      </c>
      <c r="H2047" t="s">
        <v>45</v>
      </c>
      <c r="I2047" t="s">
        <v>2193</v>
      </c>
      <c r="J2047" s="10">
        <v>0</v>
      </c>
      <c r="K2047" t="b">
        <v>1</v>
      </c>
    </row>
    <row r="2048" spans="1:11">
      <c r="A2048" s="12">
        <v>41896</v>
      </c>
      <c r="B2048">
        <v>2014</v>
      </c>
      <c r="C2048">
        <v>9</v>
      </c>
      <c r="D2048" s="11">
        <v>41883</v>
      </c>
      <c r="E2048" t="s">
        <v>2181</v>
      </c>
      <c r="F2048">
        <v>7</v>
      </c>
      <c r="G2048" t="s">
        <v>59</v>
      </c>
      <c r="H2048" t="s">
        <v>46</v>
      </c>
      <c r="I2048" t="s">
        <v>2194</v>
      </c>
      <c r="J2048" s="10">
        <v>6</v>
      </c>
      <c r="K2048" t="b">
        <v>1</v>
      </c>
    </row>
    <row r="2049" spans="1:11">
      <c r="A2049" s="12">
        <v>41896</v>
      </c>
      <c r="B2049">
        <v>2014</v>
      </c>
      <c r="C2049">
        <v>9</v>
      </c>
      <c r="D2049" s="11">
        <v>41883</v>
      </c>
      <c r="E2049" t="s">
        <v>2181</v>
      </c>
      <c r="F2049">
        <v>7</v>
      </c>
      <c r="G2049" t="s">
        <v>59</v>
      </c>
      <c r="H2049" t="s">
        <v>47</v>
      </c>
      <c r="I2049" t="s">
        <v>2195</v>
      </c>
      <c r="J2049" s="10">
        <v>0</v>
      </c>
      <c r="K2049" t="b">
        <v>1</v>
      </c>
    </row>
    <row r="2050" spans="1:11">
      <c r="A2050" s="12">
        <v>41897</v>
      </c>
      <c r="B2050">
        <v>2014</v>
      </c>
      <c r="C2050">
        <v>9</v>
      </c>
      <c r="D2050" s="11">
        <v>41883</v>
      </c>
      <c r="E2050" t="s">
        <v>2181</v>
      </c>
      <c r="F2050">
        <v>1</v>
      </c>
      <c r="G2050" t="s">
        <v>61</v>
      </c>
      <c r="H2050" t="s">
        <v>40</v>
      </c>
      <c r="I2050" t="s">
        <v>2188</v>
      </c>
      <c r="J2050" s="10">
        <v>1.34</v>
      </c>
      <c r="K2050" t="b">
        <v>1</v>
      </c>
    </row>
    <row r="2051" spans="1:11">
      <c r="A2051" s="12">
        <v>41897</v>
      </c>
      <c r="B2051">
        <v>2014</v>
      </c>
      <c r="C2051">
        <v>9</v>
      </c>
      <c r="D2051" s="11">
        <v>41883</v>
      </c>
      <c r="E2051" t="s">
        <v>2181</v>
      </c>
      <c r="F2051">
        <v>1</v>
      </c>
      <c r="G2051" t="s">
        <v>61</v>
      </c>
      <c r="H2051" t="s">
        <v>41</v>
      </c>
      <c r="I2051" t="s">
        <v>2189</v>
      </c>
      <c r="J2051" s="10">
        <v>3</v>
      </c>
      <c r="K2051" t="b">
        <v>1</v>
      </c>
    </row>
    <row r="2052" spans="1:11">
      <c r="A2052" s="12">
        <v>41897</v>
      </c>
      <c r="B2052">
        <v>2014</v>
      </c>
      <c r="C2052">
        <v>9</v>
      </c>
      <c r="D2052" s="11">
        <v>41883</v>
      </c>
      <c r="E2052" t="s">
        <v>2181</v>
      </c>
      <c r="F2052">
        <v>1</v>
      </c>
      <c r="G2052" t="s">
        <v>61</v>
      </c>
      <c r="H2052" t="s">
        <v>42</v>
      </c>
      <c r="I2052" t="s">
        <v>2190</v>
      </c>
      <c r="J2052" s="10">
        <v>5.4</v>
      </c>
      <c r="K2052" t="b">
        <v>1</v>
      </c>
    </row>
    <row r="2053" spans="1:11">
      <c r="A2053" s="12">
        <v>41897</v>
      </c>
      <c r="B2053">
        <v>2014</v>
      </c>
      <c r="C2053">
        <v>9</v>
      </c>
      <c r="D2053" s="11">
        <v>41883</v>
      </c>
      <c r="E2053" t="s">
        <v>2181</v>
      </c>
      <c r="F2053">
        <v>1</v>
      </c>
      <c r="G2053" t="s">
        <v>61</v>
      </c>
      <c r="H2053" t="s">
        <v>43</v>
      </c>
      <c r="I2053" t="s">
        <v>2191</v>
      </c>
      <c r="J2053" s="10">
        <v>28.2</v>
      </c>
      <c r="K2053" t="b">
        <v>1</v>
      </c>
    </row>
    <row r="2054" spans="1:11">
      <c r="A2054" s="12">
        <v>41897</v>
      </c>
      <c r="B2054">
        <v>2014</v>
      </c>
      <c r="C2054">
        <v>9</v>
      </c>
      <c r="D2054" s="11">
        <v>41883</v>
      </c>
      <c r="E2054" t="s">
        <v>2181</v>
      </c>
      <c r="F2054">
        <v>1</v>
      </c>
      <c r="G2054" t="s">
        <v>61</v>
      </c>
      <c r="H2054" t="s">
        <v>44</v>
      </c>
      <c r="I2054" t="s">
        <v>2192</v>
      </c>
      <c r="J2054" s="10">
        <v>9</v>
      </c>
      <c r="K2054" t="b">
        <v>1</v>
      </c>
    </row>
    <row r="2055" spans="1:11">
      <c r="A2055" s="12">
        <v>41897</v>
      </c>
      <c r="B2055">
        <v>2014</v>
      </c>
      <c r="C2055">
        <v>9</v>
      </c>
      <c r="D2055" s="11">
        <v>41883</v>
      </c>
      <c r="E2055" t="s">
        <v>2181</v>
      </c>
      <c r="F2055">
        <v>1</v>
      </c>
      <c r="G2055" t="s">
        <v>61</v>
      </c>
      <c r="H2055" t="s">
        <v>45</v>
      </c>
      <c r="I2055" t="s">
        <v>2193</v>
      </c>
      <c r="J2055" s="10">
        <v>0</v>
      </c>
      <c r="K2055" t="b">
        <v>1</v>
      </c>
    </row>
    <row r="2056" spans="1:11">
      <c r="A2056" s="12">
        <v>41897</v>
      </c>
      <c r="B2056">
        <v>2014</v>
      </c>
      <c r="C2056">
        <v>9</v>
      </c>
      <c r="D2056" s="11">
        <v>41883</v>
      </c>
      <c r="E2056" t="s">
        <v>2181</v>
      </c>
      <c r="F2056">
        <v>1</v>
      </c>
      <c r="G2056" t="s">
        <v>61</v>
      </c>
      <c r="H2056" t="s">
        <v>46</v>
      </c>
      <c r="I2056" t="s">
        <v>2194</v>
      </c>
      <c r="J2056" s="10">
        <v>1</v>
      </c>
      <c r="K2056" t="b">
        <v>1</v>
      </c>
    </row>
    <row r="2057" spans="1:11">
      <c r="A2057" s="12">
        <v>41897</v>
      </c>
      <c r="B2057">
        <v>2014</v>
      </c>
      <c r="C2057">
        <v>9</v>
      </c>
      <c r="D2057" s="11">
        <v>41883</v>
      </c>
      <c r="E2057" t="s">
        <v>2181</v>
      </c>
      <c r="F2057">
        <v>1</v>
      </c>
      <c r="G2057" t="s">
        <v>61</v>
      </c>
      <c r="H2057" t="s">
        <v>47</v>
      </c>
      <c r="I2057" t="s">
        <v>2195</v>
      </c>
      <c r="J2057" s="10">
        <v>0</v>
      </c>
      <c r="K2057" t="b">
        <v>1</v>
      </c>
    </row>
    <row r="2058" spans="1:11">
      <c r="A2058" s="12">
        <v>41898</v>
      </c>
      <c r="B2058">
        <v>2014</v>
      </c>
      <c r="C2058">
        <v>9</v>
      </c>
      <c r="D2058" s="11">
        <v>41883</v>
      </c>
      <c r="E2058" t="s">
        <v>2181</v>
      </c>
      <c r="F2058">
        <v>2</v>
      </c>
      <c r="G2058" t="s">
        <v>63</v>
      </c>
      <c r="H2058" t="s">
        <v>40</v>
      </c>
      <c r="I2058" t="s">
        <v>2188</v>
      </c>
      <c r="J2058" s="10">
        <v>4</v>
      </c>
      <c r="K2058" t="b">
        <v>1</v>
      </c>
    </row>
    <row r="2059" spans="1:11">
      <c r="A2059" s="12">
        <v>41898</v>
      </c>
      <c r="B2059">
        <v>2014</v>
      </c>
      <c r="C2059">
        <v>9</v>
      </c>
      <c r="D2059" s="11">
        <v>41883</v>
      </c>
      <c r="E2059" t="s">
        <v>2181</v>
      </c>
      <c r="F2059">
        <v>2</v>
      </c>
      <c r="G2059" t="s">
        <v>63</v>
      </c>
      <c r="H2059" t="s">
        <v>41</v>
      </c>
      <c r="I2059" t="s">
        <v>2189</v>
      </c>
      <c r="J2059" s="10">
        <v>2.68</v>
      </c>
      <c r="K2059" t="b">
        <v>1</v>
      </c>
    </row>
    <row r="2060" spans="1:11">
      <c r="A2060" s="12">
        <v>41898</v>
      </c>
      <c r="B2060">
        <v>2014</v>
      </c>
      <c r="C2060">
        <v>9</v>
      </c>
      <c r="D2060" s="11">
        <v>41883</v>
      </c>
      <c r="E2060" t="s">
        <v>2181</v>
      </c>
      <c r="F2060">
        <v>2</v>
      </c>
      <c r="G2060" t="s">
        <v>63</v>
      </c>
      <c r="H2060" t="s">
        <v>42</v>
      </c>
      <c r="I2060" t="s">
        <v>2190</v>
      </c>
      <c r="J2060" s="10">
        <v>0</v>
      </c>
      <c r="K2060" t="b">
        <v>1</v>
      </c>
    </row>
    <row r="2061" spans="1:11">
      <c r="A2061" s="12">
        <v>41898</v>
      </c>
      <c r="B2061">
        <v>2014</v>
      </c>
      <c r="C2061">
        <v>9</v>
      </c>
      <c r="D2061" s="11">
        <v>41883</v>
      </c>
      <c r="E2061" t="s">
        <v>2181</v>
      </c>
      <c r="F2061">
        <v>2</v>
      </c>
      <c r="G2061" t="s">
        <v>63</v>
      </c>
      <c r="H2061" t="s">
        <v>43</v>
      </c>
      <c r="I2061" t="s">
        <v>2191</v>
      </c>
      <c r="J2061" s="10">
        <v>59.3</v>
      </c>
      <c r="K2061" t="b">
        <v>1</v>
      </c>
    </row>
    <row r="2062" spans="1:11">
      <c r="A2062" s="12">
        <v>41898</v>
      </c>
      <c r="B2062">
        <v>2014</v>
      </c>
      <c r="C2062">
        <v>9</v>
      </c>
      <c r="D2062" s="11">
        <v>41883</v>
      </c>
      <c r="E2062" t="s">
        <v>2181</v>
      </c>
      <c r="F2062">
        <v>2</v>
      </c>
      <c r="G2062" t="s">
        <v>63</v>
      </c>
      <c r="H2062" t="s">
        <v>44</v>
      </c>
      <c r="I2062" t="s">
        <v>2192</v>
      </c>
      <c r="J2062" s="10">
        <v>13</v>
      </c>
      <c r="K2062" t="b">
        <v>1</v>
      </c>
    </row>
    <row r="2063" spans="1:11">
      <c r="A2063" s="12">
        <v>41898</v>
      </c>
      <c r="B2063">
        <v>2014</v>
      </c>
      <c r="C2063">
        <v>9</v>
      </c>
      <c r="D2063" s="11">
        <v>41883</v>
      </c>
      <c r="E2063" t="s">
        <v>2181</v>
      </c>
      <c r="F2063">
        <v>2</v>
      </c>
      <c r="G2063" t="s">
        <v>63</v>
      </c>
      <c r="H2063" t="s">
        <v>45</v>
      </c>
      <c r="I2063" t="s">
        <v>2193</v>
      </c>
      <c r="J2063" s="10">
        <v>0</v>
      </c>
      <c r="K2063" t="b">
        <v>1</v>
      </c>
    </row>
    <row r="2064" spans="1:11">
      <c r="A2064" s="12">
        <v>41898</v>
      </c>
      <c r="B2064">
        <v>2014</v>
      </c>
      <c r="C2064">
        <v>9</v>
      </c>
      <c r="D2064" s="11">
        <v>41883</v>
      </c>
      <c r="E2064" t="s">
        <v>2181</v>
      </c>
      <c r="F2064">
        <v>2</v>
      </c>
      <c r="G2064" t="s">
        <v>63</v>
      </c>
      <c r="H2064" t="s">
        <v>46</v>
      </c>
      <c r="I2064" t="s">
        <v>2194</v>
      </c>
      <c r="J2064" s="10">
        <v>0</v>
      </c>
      <c r="K2064" t="b">
        <v>1</v>
      </c>
    </row>
    <row r="2065" spans="1:11">
      <c r="A2065" s="12">
        <v>41898</v>
      </c>
      <c r="B2065">
        <v>2014</v>
      </c>
      <c r="C2065">
        <v>9</v>
      </c>
      <c r="D2065" s="11">
        <v>41883</v>
      </c>
      <c r="E2065" t="s">
        <v>2181</v>
      </c>
      <c r="F2065">
        <v>2</v>
      </c>
      <c r="G2065" t="s">
        <v>63</v>
      </c>
      <c r="H2065" t="s">
        <v>47</v>
      </c>
      <c r="I2065" t="s">
        <v>2195</v>
      </c>
      <c r="J2065" s="10">
        <v>0</v>
      </c>
      <c r="K2065" t="b">
        <v>1</v>
      </c>
    </row>
    <row r="2066" spans="1:11">
      <c r="A2066" s="12">
        <v>41899</v>
      </c>
      <c r="B2066">
        <v>2014</v>
      </c>
      <c r="C2066">
        <v>9</v>
      </c>
      <c r="D2066" s="11">
        <v>41883</v>
      </c>
      <c r="E2066" t="s">
        <v>2181</v>
      </c>
      <c r="F2066">
        <v>3</v>
      </c>
      <c r="G2066" t="s">
        <v>65</v>
      </c>
      <c r="H2066" t="s">
        <v>40</v>
      </c>
      <c r="I2066" t="s">
        <v>2188</v>
      </c>
      <c r="J2066" s="10">
        <v>2.34</v>
      </c>
      <c r="K2066" t="b">
        <v>1</v>
      </c>
    </row>
    <row r="2067" spans="1:11">
      <c r="A2067" s="12">
        <v>41899</v>
      </c>
      <c r="B2067">
        <v>2014</v>
      </c>
      <c r="C2067">
        <v>9</v>
      </c>
      <c r="D2067" s="11">
        <v>41883</v>
      </c>
      <c r="E2067" t="s">
        <v>2181</v>
      </c>
      <c r="F2067">
        <v>3</v>
      </c>
      <c r="G2067" t="s">
        <v>65</v>
      </c>
      <c r="H2067" t="s">
        <v>41</v>
      </c>
      <c r="I2067" t="s">
        <v>2189</v>
      </c>
      <c r="J2067" s="10">
        <v>6</v>
      </c>
      <c r="K2067" t="b">
        <v>1</v>
      </c>
    </row>
    <row r="2068" spans="1:11">
      <c r="A2068" s="12">
        <v>41899</v>
      </c>
      <c r="B2068">
        <v>2014</v>
      </c>
      <c r="C2068">
        <v>9</v>
      </c>
      <c r="D2068" s="11">
        <v>41883</v>
      </c>
      <c r="E2068" t="s">
        <v>2181</v>
      </c>
      <c r="F2068">
        <v>3</v>
      </c>
      <c r="G2068" t="s">
        <v>65</v>
      </c>
      <c r="H2068" t="s">
        <v>42</v>
      </c>
      <c r="I2068" t="s">
        <v>2190</v>
      </c>
      <c r="J2068" s="10">
        <v>4</v>
      </c>
      <c r="K2068" t="b">
        <v>1</v>
      </c>
    </row>
    <row r="2069" spans="1:11">
      <c r="A2069" s="12">
        <v>41899</v>
      </c>
      <c r="B2069">
        <v>2014</v>
      </c>
      <c r="C2069">
        <v>9</v>
      </c>
      <c r="D2069" s="11">
        <v>41883</v>
      </c>
      <c r="E2069" t="s">
        <v>2181</v>
      </c>
      <c r="F2069">
        <v>3</v>
      </c>
      <c r="G2069" t="s">
        <v>65</v>
      </c>
      <c r="H2069" t="s">
        <v>43</v>
      </c>
      <c r="I2069" t="s">
        <v>2191</v>
      </c>
      <c r="J2069" s="10">
        <v>39.6</v>
      </c>
      <c r="K2069" t="b">
        <v>1</v>
      </c>
    </row>
    <row r="2070" spans="1:11">
      <c r="A2070" s="12">
        <v>41899</v>
      </c>
      <c r="B2070">
        <v>2014</v>
      </c>
      <c r="C2070">
        <v>9</v>
      </c>
      <c r="D2070" s="11">
        <v>41883</v>
      </c>
      <c r="E2070" t="s">
        <v>2181</v>
      </c>
      <c r="F2070">
        <v>3</v>
      </c>
      <c r="G2070" t="s">
        <v>65</v>
      </c>
      <c r="H2070" t="s">
        <v>44</v>
      </c>
      <c r="I2070" t="s">
        <v>2192</v>
      </c>
      <c r="J2070" s="10">
        <v>11</v>
      </c>
      <c r="K2070" t="b">
        <v>1</v>
      </c>
    </row>
    <row r="2071" spans="1:11">
      <c r="A2071" s="12">
        <v>41899</v>
      </c>
      <c r="B2071">
        <v>2014</v>
      </c>
      <c r="C2071">
        <v>9</v>
      </c>
      <c r="D2071" s="11">
        <v>41883</v>
      </c>
      <c r="E2071" t="s">
        <v>2181</v>
      </c>
      <c r="F2071">
        <v>3</v>
      </c>
      <c r="G2071" t="s">
        <v>65</v>
      </c>
      <c r="H2071" t="s">
        <v>45</v>
      </c>
      <c r="I2071" t="s">
        <v>2193</v>
      </c>
      <c r="J2071" s="10">
        <v>2</v>
      </c>
      <c r="K2071" t="b">
        <v>1</v>
      </c>
    </row>
    <row r="2072" spans="1:11">
      <c r="A2072" s="12">
        <v>41899</v>
      </c>
      <c r="B2072">
        <v>2014</v>
      </c>
      <c r="C2072">
        <v>9</v>
      </c>
      <c r="D2072" s="11">
        <v>41883</v>
      </c>
      <c r="E2072" t="s">
        <v>2181</v>
      </c>
      <c r="F2072">
        <v>3</v>
      </c>
      <c r="G2072" t="s">
        <v>65</v>
      </c>
      <c r="H2072" t="s">
        <v>46</v>
      </c>
      <c r="I2072" t="s">
        <v>2194</v>
      </c>
      <c r="J2072" s="10">
        <v>19</v>
      </c>
      <c r="K2072" t="b">
        <v>1</v>
      </c>
    </row>
    <row r="2073" spans="1:11">
      <c r="A2073" s="12">
        <v>41899</v>
      </c>
      <c r="B2073">
        <v>2014</v>
      </c>
      <c r="C2073">
        <v>9</v>
      </c>
      <c r="D2073" s="11">
        <v>41883</v>
      </c>
      <c r="E2073" t="s">
        <v>2181</v>
      </c>
      <c r="F2073">
        <v>3</v>
      </c>
      <c r="G2073" t="s">
        <v>65</v>
      </c>
      <c r="H2073" t="s">
        <v>47</v>
      </c>
      <c r="I2073" t="s">
        <v>2195</v>
      </c>
      <c r="J2073" s="10">
        <v>4</v>
      </c>
      <c r="K2073" t="b">
        <v>1</v>
      </c>
    </row>
    <row r="2074" spans="1:11">
      <c r="A2074" s="12">
        <v>41900</v>
      </c>
      <c r="B2074">
        <v>2014</v>
      </c>
      <c r="C2074">
        <v>9</v>
      </c>
      <c r="D2074" s="11">
        <v>41883</v>
      </c>
      <c r="E2074" t="s">
        <v>2181</v>
      </c>
      <c r="F2074">
        <v>4</v>
      </c>
      <c r="G2074" t="s">
        <v>53</v>
      </c>
      <c r="H2074" t="s">
        <v>40</v>
      </c>
      <c r="I2074" t="s">
        <v>2188</v>
      </c>
      <c r="J2074" s="10">
        <v>3</v>
      </c>
      <c r="K2074" t="b">
        <v>1</v>
      </c>
    </row>
    <row r="2075" spans="1:11">
      <c r="A2075" s="12">
        <v>41900</v>
      </c>
      <c r="B2075">
        <v>2014</v>
      </c>
      <c r="C2075">
        <v>9</v>
      </c>
      <c r="D2075" s="11">
        <v>41883</v>
      </c>
      <c r="E2075" t="s">
        <v>2181</v>
      </c>
      <c r="F2075">
        <v>4</v>
      </c>
      <c r="G2075" t="s">
        <v>53</v>
      </c>
      <c r="H2075" t="s">
        <v>41</v>
      </c>
      <c r="I2075" t="s">
        <v>2189</v>
      </c>
      <c r="J2075" s="10">
        <v>2.02</v>
      </c>
      <c r="K2075" t="b">
        <v>1</v>
      </c>
    </row>
    <row r="2076" spans="1:11">
      <c r="A2076" s="12">
        <v>41900</v>
      </c>
      <c r="B2076">
        <v>2014</v>
      </c>
      <c r="C2076">
        <v>9</v>
      </c>
      <c r="D2076" s="11">
        <v>41883</v>
      </c>
      <c r="E2076" t="s">
        <v>2181</v>
      </c>
      <c r="F2076">
        <v>4</v>
      </c>
      <c r="G2076" t="s">
        <v>53</v>
      </c>
      <c r="H2076" t="s">
        <v>42</v>
      </c>
      <c r="I2076" t="s">
        <v>2190</v>
      </c>
      <c r="J2076" s="10">
        <v>1</v>
      </c>
      <c r="K2076" t="b">
        <v>1</v>
      </c>
    </row>
    <row r="2077" spans="1:11">
      <c r="A2077" s="12">
        <v>41900</v>
      </c>
      <c r="B2077">
        <v>2014</v>
      </c>
      <c r="C2077">
        <v>9</v>
      </c>
      <c r="D2077" s="11">
        <v>41883</v>
      </c>
      <c r="E2077" t="s">
        <v>2181</v>
      </c>
      <c r="F2077">
        <v>4</v>
      </c>
      <c r="G2077" t="s">
        <v>53</v>
      </c>
      <c r="H2077" t="s">
        <v>43</v>
      </c>
      <c r="I2077" t="s">
        <v>2191</v>
      </c>
      <c r="J2077" s="10">
        <v>44</v>
      </c>
      <c r="K2077" t="b">
        <v>1</v>
      </c>
    </row>
    <row r="2078" spans="1:11">
      <c r="A2078" s="12">
        <v>41900</v>
      </c>
      <c r="B2078">
        <v>2014</v>
      </c>
      <c r="C2078">
        <v>9</v>
      </c>
      <c r="D2078" s="11">
        <v>41883</v>
      </c>
      <c r="E2078" t="s">
        <v>2181</v>
      </c>
      <c r="F2078">
        <v>4</v>
      </c>
      <c r="G2078" t="s">
        <v>53</v>
      </c>
      <c r="H2078" t="s">
        <v>44</v>
      </c>
      <c r="I2078" t="s">
        <v>2192</v>
      </c>
      <c r="J2078" s="10">
        <v>7</v>
      </c>
      <c r="K2078" t="b">
        <v>1</v>
      </c>
    </row>
    <row r="2079" spans="1:11">
      <c r="A2079" s="12">
        <v>41900</v>
      </c>
      <c r="B2079">
        <v>2014</v>
      </c>
      <c r="C2079">
        <v>9</v>
      </c>
      <c r="D2079" s="11">
        <v>41883</v>
      </c>
      <c r="E2079" t="s">
        <v>2181</v>
      </c>
      <c r="F2079">
        <v>4</v>
      </c>
      <c r="G2079" t="s">
        <v>53</v>
      </c>
      <c r="H2079" t="s">
        <v>45</v>
      </c>
      <c r="I2079" t="s">
        <v>2193</v>
      </c>
      <c r="J2079" s="10">
        <v>0</v>
      </c>
      <c r="K2079" t="b">
        <v>1</v>
      </c>
    </row>
    <row r="2080" spans="1:11">
      <c r="A2080" s="12">
        <v>41900</v>
      </c>
      <c r="B2080">
        <v>2014</v>
      </c>
      <c r="C2080">
        <v>9</v>
      </c>
      <c r="D2080" s="11">
        <v>41883</v>
      </c>
      <c r="E2080" t="s">
        <v>2181</v>
      </c>
      <c r="F2080">
        <v>4</v>
      </c>
      <c r="G2080" t="s">
        <v>53</v>
      </c>
      <c r="H2080" t="s">
        <v>46</v>
      </c>
      <c r="I2080" t="s">
        <v>2194</v>
      </c>
      <c r="J2080" s="10">
        <v>0</v>
      </c>
      <c r="K2080" t="b">
        <v>1</v>
      </c>
    </row>
    <row r="2081" spans="1:11">
      <c r="A2081" s="12">
        <v>41900</v>
      </c>
      <c r="B2081">
        <v>2014</v>
      </c>
      <c r="C2081">
        <v>9</v>
      </c>
      <c r="D2081" s="11">
        <v>41883</v>
      </c>
      <c r="E2081" t="s">
        <v>2181</v>
      </c>
      <c r="F2081">
        <v>4</v>
      </c>
      <c r="G2081" t="s">
        <v>53</v>
      </c>
      <c r="H2081" t="s">
        <v>47</v>
      </c>
      <c r="I2081" t="s">
        <v>2195</v>
      </c>
      <c r="J2081" s="10">
        <v>1</v>
      </c>
      <c r="K2081" t="b">
        <v>1</v>
      </c>
    </row>
    <row r="2082" spans="1:11">
      <c r="A2082" s="12">
        <v>41901</v>
      </c>
      <c r="B2082">
        <v>2014</v>
      </c>
      <c r="C2082">
        <v>9</v>
      </c>
      <c r="D2082" s="11">
        <v>41883</v>
      </c>
      <c r="E2082" t="s">
        <v>2181</v>
      </c>
      <c r="F2082">
        <v>5</v>
      </c>
      <c r="G2082" t="s">
        <v>55</v>
      </c>
      <c r="H2082" t="s">
        <v>40</v>
      </c>
      <c r="I2082" t="s">
        <v>2188</v>
      </c>
      <c r="J2082" s="10">
        <v>2</v>
      </c>
      <c r="K2082" t="b">
        <v>1</v>
      </c>
    </row>
    <row r="2083" spans="1:11">
      <c r="A2083" s="12">
        <v>41901</v>
      </c>
      <c r="B2083">
        <v>2014</v>
      </c>
      <c r="C2083">
        <v>9</v>
      </c>
      <c r="D2083" s="11">
        <v>41883</v>
      </c>
      <c r="E2083" t="s">
        <v>2181</v>
      </c>
      <c r="F2083">
        <v>5</v>
      </c>
      <c r="G2083" t="s">
        <v>55</v>
      </c>
      <c r="H2083" t="s">
        <v>41</v>
      </c>
      <c r="I2083" t="s">
        <v>2189</v>
      </c>
      <c r="J2083" s="10">
        <v>4.34</v>
      </c>
      <c r="K2083" t="b">
        <v>1</v>
      </c>
    </row>
    <row r="2084" spans="1:11">
      <c r="A2084" s="12">
        <v>41901</v>
      </c>
      <c r="B2084">
        <v>2014</v>
      </c>
      <c r="C2084">
        <v>9</v>
      </c>
      <c r="D2084" s="11">
        <v>41883</v>
      </c>
      <c r="E2084" t="s">
        <v>2181</v>
      </c>
      <c r="F2084">
        <v>5</v>
      </c>
      <c r="G2084" t="s">
        <v>55</v>
      </c>
      <c r="H2084" t="s">
        <v>42</v>
      </c>
      <c r="I2084" t="s">
        <v>2190</v>
      </c>
      <c r="J2084" s="10">
        <v>7.8</v>
      </c>
      <c r="K2084" t="b">
        <v>1</v>
      </c>
    </row>
    <row r="2085" spans="1:11">
      <c r="A2085" s="12">
        <v>41901</v>
      </c>
      <c r="B2085">
        <v>2014</v>
      </c>
      <c r="C2085">
        <v>9</v>
      </c>
      <c r="D2085" s="11">
        <v>41883</v>
      </c>
      <c r="E2085" t="s">
        <v>2181</v>
      </c>
      <c r="F2085">
        <v>5</v>
      </c>
      <c r="G2085" t="s">
        <v>55</v>
      </c>
      <c r="H2085" t="s">
        <v>43</v>
      </c>
      <c r="I2085" t="s">
        <v>2191</v>
      </c>
      <c r="J2085" s="10">
        <v>23</v>
      </c>
      <c r="K2085" t="b">
        <v>1</v>
      </c>
    </row>
    <row r="2086" spans="1:11">
      <c r="A2086" s="12">
        <v>41901</v>
      </c>
      <c r="B2086">
        <v>2014</v>
      </c>
      <c r="C2086">
        <v>9</v>
      </c>
      <c r="D2086" s="11">
        <v>41883</v>
      </c>
      <c r="E2086" t="s">
        <v>2181</v>
      </c>
      <c r="F2086">
        <v>5</v>
      </c>
      <c r="G2086" t="s">
        <v>55</v>
      </c>
      <c r="H2086" t="s">
        <v>44</v>
      </c>
      <c r="I2086" t="s">
        <v>2192</v>
      </c>
      <c r="J2086" s="10">
        <v>8</v>
      </c>
      <c r="K2086" t="b">
        <v>1</v>
      </c>
    </row>
    <row r="2087" spans="1:11">
      <c r="A2087" s="12">
        <v>41901</v>
      </c>
      <c r="B2087">
        <v>2014</v>
      </c>
      <c r="C2087">
        <v>9</v>
      </c>
      <c r="D2087" s="11">
        <v>41883</v>
      </c>
      <c r="E2087" t="s">
        <v>2181</v>
      </c>
      <c r="F2087">
        <v>5</v>
      </c>
      <c r="G2087" t="s">
        <v>55</v>
      </c>
      <c r="H2087" t="s">
        <v>45</v>
      </c>
      <c r="I2087" t="s">
        <v>2193</v>
      </c>
      <c r="J2087" s="10">
        <v>0</v>
      </c>
      <c r="K2087" t="b">
        <v>1</v>
      </c>
    </row>
    <row r="2088" spans="1:11">
      <c r="A2088" s="12">
        <v>41901</v>
      </c>
      <c r="B2088">
        <v>2014</v>
      </c>
      <c r="C2088">
        <v>9</v>
      </c>
      <c r="D2088" s="11">
        <v>41883</v>
      </c>
      <c r="E2088" t="s">
        <v>2181</v>
      </c>
      <c r="F2088">
        <v>5</v>
      </c>
      <c r="G2088" t="s">
        <v>55</v>
      </c>
      <c r="H2088" t="s">
        <v>46</v>
      </c>
      <c r="I2088" t="s">
        <v>2194</v>
      </c>
      <c r="J2088" s="10">
        <v>22</v>
      </c>
      <c r="K2088" t="b">
        <v>1</v>
      </c>
    </row>
    <row r="2089" spans="1:11">
      <c r="A2089" s="12">
        <v>41901</v>
      </c>
      <c r="B2089">
        <v>2014</v>
      </c>
      <c r="C2089">
        <v>9</v>
      </c>
      <c r="D2089" s="11">
        <v>41883</v>
      </c>
      <c r="E2089" t="s">
        <v>2181</v>
      </c>
      <c r="F2089">
        <v>5</v>
      </c>
      <c r="G2089" t="s">
        <v>55</v>
      </c>
      <c r="H2089" t="s">
        <v>47</v>
      </c>
      <c r="I2089" t="s">
        <v>2195</v>
      </c>
      <c r="J2089" s="10">
        <v>0</v>
      </c>
      <c r="K2089" t="b">
        <v>1</v>
      </c>
    </row>
    <row r="2090" spans="1:11">
      <c r="A2090" s="12">
        <v>41902</v>
      </c>
      <c r="B2090">
        <v>2014</v>
      </c>
      <c r="C2090">
        <v>9</v>
      </c>
      <c r="D2090" s="11">
        <v>41883</v>
      </c>
      <c r="E2090" t="s">
        <v>2181</v>
      </c>
      <c r="F2090">
        <v>6</v>
      </c>
      <c r="G2090" t="s">
        <v>57</v>
      </c>
      <c r="H2090" t="s">
        <v>40</v>
      </c>
      <c r="I2090" t="s">
        <v>2188</v>
      </c>
      <c r="J2090" s="10">
        <v>4.34</v>
      </c>
      <c r="K2090" t="b">
        <v>1</v>
      </c>
    </row>
    <row r="2091" spans="1:11">
      <c r="A2091" s="12">
        <v>41902</v>
      </c>
      <c r="B2091">
        <v>2014</v>
      </c>
      <c r="C2091">
        <v>9</v>
      </c>
      <c r="D2091" s="11">
        <v>41883</v>
      </c>
      <c r="E2091" t="s">
        <v>2181</v>
      </c>
      <c r="F2091">
        <v>6</v>
      </c>
      <c r="G2091" t="s">
        <v>57</v>
      </c>
      <c r="H2091" t="s">
        <v>41</v>
      </c>
      <c r="I2091" t="s">
        <v>2189</v>
      </c>
      <c r="J2091" s="10">
        <v>1.855</v>
      </c>
      <c r="K2091" t="b">
        <v>1</v>
      </c>
    </row>
    <row r="2092" spans="1:11">
      <c r="A2092" s="12">
        <v>41902</v>
      </c>
      <c r="B2092">
        <v>2014</v>
      </c>
      <c r="C2092">
        <v>9</v>
      </c>
      <c r="D2092" s="11">
        <v>41883</v>
      </c>
      <c r="E2092" t="s">
        <v>2181</v>
      </c>
      <c r="F2092">
        <v>6</v>
      </c>
      <c r="G2092" t="s">
        <v>57</v>
      </c>
      <c r="H2092" t="s">
        <v>42</v>
      </c>
      <c r="I2092" t="s">
        <v>2190</v>
      </c>
      <c r="J2092" s="10">
        <v>4.5</v>
      </c>
      <c r="K2092" t="b">
        <v>1</v>
      </c>
    </row>
    <row r="2093" spans="1:11">
      <c r="A2093" s="12">
        <v>41902</v>
      </c>
      <c r="B2093">
        <v>2014</v>
      </c>
      <c r="C2093">
        <v>9</v>
      </c>
      <c r="D2093" s="11">
        <v>41883</v>
      </c>
      <c r="E2093" t="s">
        <v>2181</v>
      </c>
      <c r="F2093">
        <v>6</v>
      </c>
      <c r="G2093" t="s">
        <v>57</v>
      </c>
      <c r="H2093" t="s">
        <v>43</v>
      </c>
      <c r="I2093" t="s">
        <v>2191</v>
      </c>
      <c r="J2093" s="10">
        <v>20.6</v>
      </c>
      <c r="K2093" t="b">
        <v>1</v>
      </c>
    </row>
    <row r="2094" spans="1:11">
      <c r="A2094" s="12">
        <v>41902</v>
      </c>
      <c r="B2094">
        <v>2014</v>
      </c>
      <c r="C2094">
        <v>9</v>
      </c>
      <c r="D2094" s="11">
        <v>41883</v>
      </c>
      <c r="E2094" t="s">
        <v>2181</v>
      </c>
      <c r="F2094">
        <v>6</v>
      </c>
      <c r="G2094" t="s">
        <v>57</v>
      </c>
      <c r="H2094" t="s">
        <v>44</v>
      </c>
      <c r="I2094" t="s">
        <v>2192</v>
      </c>
      <c r="J2094" s="10">
        <v>14</v>
      </c>
      <c r="K2094" t="b">
        <v>1</v>
      </c>
    </row>
    <row r="2095" spans="1:11">
      <c r="A2095" s="12">
        <v>41902</v>
      </c>
      <c r="B2095">
        <v>2014</v>
      </c>
      <c r="C2095">
        <v>9</v>
      </c>
      <c r="D2095" s="11">
        <v>41883</v>
      </c>
      <c r="E2095" t="s">
        <v>2181</v>
      </c>
      <c r="F2095">
        <v>6</v>
      </c>
      <c r="G2095" t="s">
        <v>57</v>
      </c>
      <c r="H2095" t="s">
        <v>45</v>
      </c>
      <c r="I2095" t="s">
        <v>2193</v>
      </c>
      <c r="J2095" s="10">
        <v>1</v>
      </c>
      <c r="K2095" t="b">
        <v>1</v>
      </c>
    </row>
    <row r="2096" spans="1:11">
      <c r="A2096" s="12">
        <v>41902</v>
      </c>
      <c r="B2096">
        <v>2014</v>
      </c>
      <c r="C2096">
        <v>9</v>
      </c>
      <c r="D2096" s="11">
        <v>41883</v>
      </c>
      <c r="E2096" t="s">
        <v>2181</v>
      </c>
      <c r="F2096">
        <v>6</v>
      </c>
      <c r="G2096" t="s">
        <v>57</v>
      </c>
      <c r="H2096" t="s">
        <v>46</v>
      </c>
      <c r="I2096" t="s">
        <v>2194</v>
      </c>
      <c r="J2096" s="10">
        <v>2</v>
      </c>
      <c r="K2096" t="b">
        <v>1</v>
      </c>
    </row>
    <row r="2097" spans="1:11">
      <c r="A2097" s="12">
        <v>41902</v>
      </c>
      <c r="B2097">
        <v>2014</v>
      </c>
      <c r="C2097">
        <v>9</v>
      </c>
      <c r="D2097" s="11">
        <v>41883</v>
      </c>
      <c r="E2097" t="s">
        <v>2181</v>
      </c>
      <c r="F2097">
        <v>6</v>
      </c>
      <c r="G2097" t="s">
        <v>57</v>
      </c>
      <c r="H2097" t="s">
        <v>47</v>
      </c>
      <c r="I2097" t="s">
        <v>2195</v>
      </c>
      <c r="J2097" s="10">
        <v>0</v>
      </c>
      <c r="K2097" t="b">
        <v>1</v>
      </c>
    </row>
    <row r="2098" spans="1:11">
      <c r="A2098" s="12">
        <v>41903</v>
      </c>
      <c r="B2098">
        <v>2014</v>
      </c>
      <c r="C2098">
        <v>9</v>
      </c>
      <c r="D2098" s="11">
        <v>41883</v>
      </c>
      <c r="E2098" t="s">
        <v>2181</v>
      </c>
      <c r="F2098">
        <v>7</v>
      </c>
      <c r="G2098" t="s">
        <v>59</v>
      </c>
      <c r="H2098" t="s">
        <v>40</v>
      </c>
      <c r="I2098" t="s">
        <v>2188</v>
      </c>
      <c r="J2098" s="10">
        <v>1</v>
      </c>
      <c r="K2098" t="b">
        <v>1</v>
      </c>
    </row>
    <row r="2099" spans="1:11">
      <c r="A2099" s="12">
        <v>41903</v>
      </c>
      <c r="B2099">
        <v>2014</v>
      </c>
      <c r="C2099">
        <v>9</v>
      </c>
      <c r="D2099" s="11">
        <v>41883</v>
      </c>
      <c r="E2099" t="s">
        <v>2181</v>
      </c>
      <c r="F2099">
        <v>7</v>
      </c>
      <c r="G2099" t="s">
        <v>59</v>
      </c>
      <c r="H2099" t="s">
        <v>41</v>
      </c>
      <c r="I2099" t="s">
        <v>2189</v>
      </c>
      <c r="J2099" s="10">
        <v>3.02</v>
      </c>
      <c r="K2099" t="b">
        <v>1</v>
      </c>
    </row>
    <row r="2100" spans="1:11">
      <c r="A2100" s="12">
        <v>41903</v>
      </c>
      <c r="B2100">
        <v>2014</v>
      </c>
      <c r="C2100">
        <v>9</v>
      </c>
      <c r="D2100" s="11">
        <v>41883</v>
      </c>
      <c r="E2100" t="s">
        <v>2181</v>
      </c>
      <c r="F2100">
        <v>7</v>
      </c>
      <c r="G2100" t="s">
        <v>59</v>
      </c>
      <c r="H2100" t="s">
        <v>42</v>
      </c>
      <c r="I2100" t="s">
        <v>2190</v>
      </c>
      <c r="J2100" s="10">
        <v>6</v>
      </c>
      <c r="K2100" t="b">
        <v>1</v>
      </c>
    </row>
    <row r="2101" spans="1:11">
      <c r="A2101" s="12">
        <v>41903</v>
      </c>
      <c r="B2101">
        <v>2014</v>
      </c>
      <c r="C2101">
        <v>9</v>
      </c>
      <c r="D2101" s="11">
        <v>41883</v>
      </c>
      <c r="E2101" t="s">
        <v>2181</v>
      </c>
      <c r="F2101">
        <v>7</v>
      </c>
      <c r="G2101" t="s">
        <v>59</v>
      </c>
      <c r="H2101" t="s">
        <v>43</v>
      </c>
      <c r="I2101" t="s">
        <v>2191</v>
      </c>
      <c r="J2101" s="10">
        <v>12.4</v>
      </c>
      <c r="K2101" t="b">
        <v>1</v>
      </c>
    </row>
    <row r="2102" spans="1:11">
      <c r="A2102" s="12">
        <v>41903</v>
      </c>
      <c r="B2102">
        <v>2014</v>
      </c>
      <c r="C2102">
        <v>9</v>
      </c>
      <c r="D2102" s="11">
        <v>41883</v>
      </c>
      <c r="E2102" t="s">
        <v>2181</v>
      </c>
      <c r="F2102">
        <v>7</v>
      </c>
      <c r="G2102" t="s">
        <v>59</v>
      </c>
      <c r="H2102" t="s">
        <v>44</v>
      </c>
      <c r="I2102" t="s">
        <v>2192</v>
      </c>
      <c r="J2102" s="10">
        <v>7</v>
      </c>
      <c r="K2102" t="b">
        <v>1</v>
      </c>
    </row>
    <row r="2103" spans="1:11">
      <c r="A2103" s="12">
        <v>41903</v>
      </c>
      <c r="B2103">
        <v>2014</v>
      </c>
      <c r="C2103">
        <v>9</v>
      </c>
      <c r="D2103" s="11">
        <v>41883</v>
      </c>
      <c r="E2103" t="s">
        <v>2181</v>
      </c>
      <c r="F2103">
        <v>7</v>
      </c>
      <c r="G2103" t="s">
        <v>59</v>
      </c>
      <c r="H2103" t="s">
        <v>45</v>
      </c>
      <c r="I2103" t="s">
        <v>2193</v>
      </c>
      <c r="J2103" s="10">
        <v>0</v>
      </c>
      <c r="K2103" t="b">
        <v>1</v>
      </c>
    </row>
    <row r="2104" spans="1:11">
      <c r="A2104" s="12">
        <v>41903</v>
      </c>
      <c r="B2104">
        <v>2014</v>
      </c>
      <c r="C2104">
        <v>9</v>
      </c>
      <c r="D2104" s="11">
        <v>41883</v>
      </c>
      <c r="E2104" t="s">
        <v>2181</v>
      </c>
      <c r="F2104">
        <v>7</v>
      </c>
      <c r="G2104" t="s">
        <v>59</v>
      </c>
      <c r="H2104" t="s">
        <v>46</v>
      </c>
      <c r="I2104" t="s">
        <v>2194</v>
      </c>
      <c r="J2104" s="10">
        <v>0</v>
      </c>
      <c r="K2104" t="b">
        <v>1</v>
      </c>
    </row>
    <row r="2105" spans="1:11">
      <c r="A2105" s="12">
        <v>41903</v>
      </c>
      <c r="B2105">
        <v>2014</v>
      </c>
      <c r="C2105">
        <v>9</v>
      </c>
      <c r="D2105" s="11">
        <v>41883</v>
      </c>
      <c r="E2105" t="s">
        <v>2181</v>
      </c>
      <c r="F2105">
        <v>7</v>
      </c>
      <c r="G2105" t="s">
        <v>59</v>
      </c>
      <c r="H2105" t="s">
        <v>47</v>
      </c>
      <c r="I2105" t="s">
        <v>2195</v>
      </c>
      <c r="J2105" s="10">
        <v>3</v>
      </c>
      <c r="K2105" t="b">
        <v>1</v>
      </c>
    </row>
    <row r="2106" spans="1:11">
      <c r="A2106" s="12">
        <v>41904</v>
      </c>
      <c r="B2106">
        <v>2014</v>
      </c>
      <c r="C2106">
        <v>9</v>
      </c>
      <c r="D2106" s="11">
        <v>41883</v>
      </c>
      <c r="E2106" t="s">
        <v>2181</v>
      </c>
      <c r="F2106">
        <v>1</v>
      </c>
      <c r="G2106" t="s">
        <v>61</v>
      </c>
      <c r="H2106" t="s">
        <v>40</v>
      </c>
      <c r="I2106" t="s">
        <v>2188</v>
      </c>
      <c r="J2106" s="10">
        <v>3.34</v>
      </c>
      <c r="K2106" t="b">
        <v>1</v>
      </c>
    </row>
    <row r="2107" spans="1:11">
      <c r="A2107" s="12">
        <v>41904</v>
      </c>
      <c r="B2107">
        <v>2014</v>
      </c>
      <c r="C2107">
        <v>9</v>
      </c>
      <c r="D2107" s="11">
        <v>41883</v>
      </c>
      <c r="E2107" t="s">
        <v>2181</v>
      </c>
      <c r="F2107">
        <v>1</v>
      </c>
      <c r="G2107" t="s">
        <v>61</v>
      </c>
      <c r="H2107" t="s">
        <v>41</v>
      </c>
      <c r="I2107" t="s">
        <v>2189</v>
      </c>
      <c r="J2107" s="10">
        <v>4</v>
      </c>
      <c r="K2107" t="b">
        <v>1</v>
      </c>
    </row>
    <row r="2108" spans="1:11">
      <c r="A2108" s="12">
        <v>41904</v>
      </c>
      <c r="B2108">
        <v>2014</v>
      </c>
      <c r="C2108">
        <v>9</v>
      </c>
      <c r="D2108" s="11">
        <v>41883</v>
      </c>
      <c r="E2108" t="s">
        <v>2181</v>
      </c>
      <c r="F2108">
        <v>1</v>
      </c>
      <c r="G2108" t="s">
        <v>61</v>
      </c>
      <c r="H2108" t="s">
        <v>42</v>
      </c>
      <c r="I2108" t="s">
        <v>2190</v>
      </c>
      <c r="J2108" s="10">
        <v>5.5</v>
      </c>
      <c r="K2108" t="b">
        <v>1</v>
      </c>
    </row>
    <row r="2109" spans="1:11">
      <c r="A2109" s="12">
        <v>41904</v>
      </c>
      <c r="B2109">
        <v>2014</v>
      </c>
      <c r="C2109">
        <v>9</v>
      </c>
      <c r="D2109" s="11">
        <v>41883</v>
      </c>
      <c r="E2109" t="s">
        <v>2181</v>
      </c>
      <c r="F2109">
        <v>1</v>
      </c>
      <c r="G2109" t="s">
        <v>61</v>
      </c>
      <c r="H2109" t="s">
        <v>43</v>
      </c>
      <c r="I2109" t="s">
        <v>2191</v>
      </c>
      <c r="J2109" s="10">
        <v>34.2</v>
      </c>
      <c r="K2109" t="b">
        <v>1</v>
      </c>
    </row>
    <row r="2110" spans="1:11">
      <c r="A2110" s="12">
        <v>41904</v>
      </c>
      <c r="B2110">
        <v>2014</v>
      </c>
      <c r="C2110">
        <v>9</v>
      </c>
      <c r="D2110" s="11">
        <v>41883</v>
      </c>
      <c r="E2110" t="s">
        <v>2181</v>
      </c>
      <c r="F2110">
        <v>1</v>
      </c>
      <c r="G2110" t="s">
        <v>61</v>
      </c>
      <c r="H2110" t="s">
        <v>44</v>
      </c>
      <c r="I2110" t="s">
        <v>2192</v>
      </c>
      <c r="J2110" s="10">
        <v>10</v>
      </c>
      <c r="K2110" t="b">
        <v>1</v>
      </c>
    </row>
    <row r="2111" spans="1:11">
      <c r="A2111" s="12">
        <v>41904</v>
      </c>
      <c r="B2111">
        <v>2014</v>
      </c>
      <c r="C2111">
        <v>9</v>
      </c>
      <c r="D2111" s="11">
        <v>41883</v>
      </c>
      <c r="E2111" t="s">
        <v>2181</v>
      </c>
      <c r="F2111">
        <v>1</v>
      </c>
      <c r="G2111" t="s">
        <v>61</v>
      </c>
      <c r="H2111" t="s">
        <v>45</v>
      </c>
      <c r="I2111" t="s">
        <v>2193</v>
      </c>
      <c r="J2111" s="10">
        <v>1</v>
      </c>
      <c r="K2111" t="b">
        <v>1</v>
      </c>
    </row>
    <row r="2112" spans="1:11">
      <c r="A2112" s="12">
        <v>41904</v>
      </c>
      <c r="B2112">
        <v>2014</v>
      </c>
      <c r="C2112">
        <v>9</v>
      </c>
      <c r="D2112" s="11">
        <v>41883</v>
      </c>
      <c r="E2112" t="s">
        <v>2181</v>
      </c>
      <c r="F2112">
        <v>1</v>
      </c>
      <c r="G2112" t="s">
        <v>61</v>
      </c>
      <c r="H2112" t="s">
        <v>46</v>
      </c>
      <c r="I2112" t="s">
        <v>2194</v>
      </c>
      <c r="J2112" s="10">
        <v>0</v>
      </c>
      <c r="K2112" t="b">
        <v>1</v>
      </c>
    </row>
    <row r="2113" spans="1:11">
      <c r="A2113" s="12">
        <v>41904</v>
      </c>
      <c r="B2113">
        <v>2014</v>
      </c>
      <c r="C2113">
        <v>9</v>
      </c>
      <c r="D2113" s="11">
        <v>41883</v>
      </c>
      <c r="E2113" t="s">
        <v>2181</v>
      </c>
      <c r="F2113">
        <v>1</v>
      </c>
      <c r="G2113" t="s">
        <v>61</v>
      </c>
      <c r="H2113" t="s">
        <v>47</v>
      </c>
      <c r="I2113" t="s">
        <v>2195</v>
      </c>
      <c r="J2113" s="10">
        <v>2</v>
      </c>
      <c r="K2113" t="b">
        <v>1</v>
      </c>
    </row>
    <row r="2114" spans="1:11">
      <c r="A2114" s="12">
        <v>41905</v>
      </c>
      <c r="B2114">
        <v>2014</v>
      </c>
      <c r="C2114">
        <v>9</v>
      </c>
      <c r="D2114" s="11">
        <v>41883</v>
      </c>
      <c r="E2114" t="s">
        <v>2181</v>
      </c>
      <c r="F2114">
        <v>2</v>
      </c>
      <c r="G2114" t="s">
        <v>63</v>
      </c>
      <c r="H2114" t="s">
        <v>40</v>
      </c>
      <c r="I2114" t="s">
        <v>2188</v>
      </c>
      <c r="J2114" s="10">
        <v>3</v>
      </c>
      <c r="K2114" t="b">
        <v>1</v>
      </c>
    </row>
    <row r="2115" spans="1:11">
      <c r="A2115" s="12">
        <v>41905</v>
      </c>
      <c r="B2115">
        <v>2014</v>
      </c>
      <c r="C2115">
        <v>9</v>
      </c>
      <c r="D2115" s="11">
        <v>41883</v>
      </c>
      <c r="E2115" t="s">
        <v>2181</v>
      </c>
      <c r="F2115">
        <v>2</v>
      </c>
      <c r="G2115" t="s">
        <v>63</v>
      </c>
      <c r="H2115" t="s">
        <v>41</v>
      </c>
      <c r="I2115" t="s">
        <v>2189</v>
      </c>
      <c r="J2115" s="10">
        <v>3.34</v>
      </c>
      <c r="K2115" t="b">
        <v>1</v>
      </c>
    </row>
    <row r="2116" spans="1:11">
      <c r="A2116" s="12">
        <v>41905</v>
      </c>
      <c r="B2116">
        <v>2014</v>
      </c>
      <c r="C2116">
        <v>9</v>
      </c>
      <c r="D2116" s="11">
        <v>41883</v>
      </c>
      <c r="E2116" t="s">
        <v>2181</v>
      </c>
      <c r="F2116">
        <v>2</v>
      </c>
      <c r="G2116" t="s">
        <v>63</v>
      </c>
      <c r="H2116" t="s">
        <v>42</v>
      </c>
      <c r="I2116" t="s">
        <v>2190</v>
      </c>
      <c r="J2116" s="10">
        <v>5.5</v>
      </c>
      <c r="K2116" t="b">
        <v>1</v>
      </c>
    </row>
    <row r="2117" spans="1:11">
      <c r="A2117" s="12">
        <v>41905</v>
      </c>
      <c r="B2117">
        <v>2014</v>
      </c>
      <c r="C2117">
        <v>9</v>
      </c>
      <c r="D2117" s="11">
        <v>41883</v>
      </c>
      <c r="E2117" t="s">
        <v>2181</v>
      </c>
      <c r="F2117">
        <v>2</v>
      </c>
      <c r="G2117" t="s">
        <v>63</v>
      </c>
      <c r="H2117" t="s">
        <v>43</v>
      </c>
      <c r="I2117" t="s">
        <v>2191</v>
      </c>
      <c r="J2117" s="10">
        <v>26</v>
      </c>
      <c r="K2117" t="b">
        <v>1</v>
      </c>
    </row>
    <row r="2118" spans="1:11">
      <c r="A2118" s="12">
        <v>41905</v>
      </c>
      <c r="B2118">
        <v>2014</v>
      </c>
      <c r="C2118">
        <v>9</v>
      </c>
      <c r="D2118" s="11">
        <v>41883</v>
      </c>
      <c r="E2118" t="s">
        <v>2181</v>
      </c>
      <c r="F2118">
        <v>2</v>
      </c>
      <c r="G2118" t="s">
        <v>63</v>
      </c>
      <c r="H2118" t="s">
        <v>44</v>
      </c>
      <c r="I2118" t="s">
        <v>2192</v>
      </c>
      <c r="J2118" s="10">
        <v>10</v>
      </c>
      <c r="K2118" t="b">
        <v>1</v>
      </c>
    </row>
    <row r="2119" spans="1:11">
      <c r="A2119" s="12">
        <v>41905</v>
      </c>
      <c r="B2119">
        <v>2014</v>
      </c>
      <c r="C2119">
        <v>9</v>
      </c>
      <c r="D2119" s="11">
        <v>41883</v>
      </c>
      <c r="E2119" t="s">
        <v>2181</v>
      </c>
      <c r="F2119">
        <v>2</v>
      </c>
      <c r="G2119" t="s">
        <v>63</v>
      </c>
      <c r="H2119" t="s">
        <v>45</v>
      </c>
      <c r="I2119" t="s">
        <v>2193</v>
      </c>
      <c r="J2119" s="10">
        <v>0</v>
      </c>
      <c r="K2119" t="b">
        <v>1</v>
      </c>
    </row>
    <row r="2120" spans="1:11">
      <c r="A2120" s="12">
        <v>41905</v>
      </c>
      <c r="B2120">
        <v>2014</v>
      </c>
      <c r="C2120">
        <v>9</v>
      </c>
      <c r="D2120" s="11">
        <v>41883</v>
      </c>
      <c r="E2120" t="s">
        <v>2181</v>
      </c>
      <c r="F2120">
        <v>2</v>
      </c>
      <c r="G2120" t="s">
        <v>63</v>
      </c>
      <c r="H2120" t="s">
        <v>46</v>
      </c>
      <c r="I2120" t="s">
        <v>2194</v>
      </c>
      <c r="J2120" s="10">
        <v>1</v>
      </c>
      <c r="K2120" t="b">
        <v>1</v>
      </c>
    </row>
    <row r="2121" spans="1:11">
      <c r="A2121" s="12">
        <v>41905</v>
      </c>
      <c r="B2121">
        <v>2014</v>
      </c>
      <c r="C2121">
        <v>9</v>
      </c>
      <c r="D2121" s="11">
        <v>41883</v>
      </c>
      <c r="E2121" t="s">
        <v>2181</v>
      </c>
      <c r="F2121">
        <v>2</v>
      </c>
      <c r="G2121" t="s">
        <v>63</v>
      </c>
      <c r="H2121" t="s">
        <v>47</v>
      </c>
      <c r="I2121" t="s">
        <v>2195</v>
      </c>
      <c r="J2121" s="10">
        <v>2</v>
      </c>
      <c r="K2121" t="b">
        <v>1</v>
      </c>
    </row>
    <row r="2122" spans="1:11">
      <c r="A2122" s="12">
        <v>41906</v>
      </c>
      <c r="B2122">
        <v>2014</v>
      </c>
      <c r="C2122">
        <v>9</v>
      </c>
      <c r="D2122" s="11">
        <v>41883</v>
      </c>
      <c r="E2122" t="s">
        <v>2181</v>
      </c>
      <c r="F2122">
        <v>3</v>
      </c>
      <c r="G2122" t="s">
        <v>65</v>
      </c>
      <c r="H2122" t="s">
        <v>40</v>
      </c>
      <c r="I2122" t="s">
        <v>2188</v>
      </c>
      <c r="J2122" s="10">
        <v>6</v>
      </c>
      <c r="K2122" t="b">
        <v>1</v>
      </c>
    </row>
    <row r="2123" spans="1:11">
      <c r="A2123" s="12">
        <v>41906</v>
      </c>
      <c r="B2123">
        <v>2014</v>
      </c>
      <c r="C2123">
        <v>9</v>
      </c>
      <c r="D2123" s="11">
        <v>41883</v>
      </c>
      <c r="E2123" t="s">
        <v>2181</v>
      </c>
      <c r="F2123">
        <v>3</v>
      </c>
      <c r="G2123" t="s">
        <v>65</v>
      </c>
      <c r="H2123" t="s">
        <v>41</v>
      </c>
      <c r="I2123" t="s">
        <v>2189</v>
      </c>
      <c r="J2123" s="10">
        <v>3.34</v>
      </c>
      <c r="K2123" t="b">
        <v>1</v>
      </c>
    </row>
    <row r="2124" spans="1:11">
      <c r="A2124" s="12">
        <v>41906</v>
      </c>
      <c r="B2124">
        <v>2014</v>
      </c>
      <c r="C2124">
        <v>9</v>
      </c>
      <c r="D2124" s="11">
        <v>41883</v>
      </c>
      <c r="E2124" t="s">
        <v>2181</v>
      </c>
      <c r="F2124">
        <v>3</v>
      </c>
      <c r="G2124" t="s">
        <v>65</v>
      </c>
      <c r="H2124" t="s">
        <v>42</v>
      </c>
      <c r="I2124" t="s">
        <v>2190</v>
      </c>
      <c r="J2124" s="10">
        <v>1.4</v>
      </c>
      <c r="K2124" t="b">
        <v>1</v>
      </c>
    </row>
    <row r="2125" spans="1:11">
      <c r="A2125" s="12">
        <v>41906</v>
      </c>
      <c r="B2125">
        <v>2014</v>
      </c>
      <c r="C2125">
        <v>9</v>
      </c>
      <c r="D2125" s="11">
        <v>41883</v>
      </c>
      <c r="E2125" t="s">
        <v>2181</v>
      </c>
      <c r="F2125">
        <v>3</v>
      </c>
      <c r="G2125" t="s">
        <v>65</v>
      </c>
      <c r="H2125" t="s">
        <v>43</v>
      </c>
      <c r="I2125" t="s">
        <v>2191</v>
      </c>
      <c r="J2125" s="10">
        <v>24.7</v>
      </c>
      <c r="K2125" t="b">
        <v>1</v>
      </c>
    </row>
    <row r="2126" spans="1:11">
      <c r="A2126" s="12">
        <v>41906</v>
      </c>
      <c r="B2126">
        <v>2014</v>
      </c>
      <c r="C2126">
        <v>9</v>
      </c>
      <c r="D2126" s="11">
        <v>41883</v>
      </c>
      <c r="E2126" t="s">
        <v>2181</v>
      </c>
      <c r="F2126">
        <v>3</v>
      </c>
      <c r="G2126" t="s">
        <v>65</v>
      </c>
      <c r="H2126" t="s">
        <v>44</v>
      </c>
      <c r="I2126" t="s">
        <v>2192</v>
      </c>
      <c r="J2126" s="10">
        <v>14</v>
      </c>
      <c r="K2126" t="b">
        <v>1</v>
      </c>
    </row>
    <row r="2127" spans="1:11">
      <c r="A2127" s="12">
        <v>41906</v>
      </c>
      <c r="B2127">
        <v>2014</v>
      </c>
      <c r="C2127">
        <v>9</v>
      </c>
      <c r="D2127" s="11">
        <v>41883</v>
      </c>
      <c r="E2127" t="s">
        <v>2181</v>
      </c>
      <c r="F2127">
        <v>3</v>
      </c>
      <c r="G2127" t="s">
        <v>65</v>
      </c>
      <c r="H2127" t="s">
        <v>45</v>
      </c>
      <c r="I2127" t="s">
        <v>2193</v>
      </c>
      <c r="J2127" s="10">
        <v>0</v>
      </c>
      <c r="K2127" t="b">
        <v>1</v>
      </c>
    </row>
    <row r="2128" spans="1:11">
      <c r="A2128" s="12">
        <v>41906</v>
      </c>
      <c r="B2128">
        <v>2014</v>
      </c>
      <c r="C2128">
        <v>9</v>
      </c>
      <c r="D2128" s="11">
        <v>41883</v>
      </c>
      <c r="E2128" t="s">
        <v>2181</v>
      </c>
      <c r="F2128">
        <v>3</v>
      </c>
      <c r="G2128" t="s">
        <v>65</v>
      </c>
      <c r="H2128" t="s">
        <v>46</v>
      </c>
      <c r="I2128" t="s">
        <v>2194</v>
      </c>
      <c r="J2128" s="10">
        <v>0</v>
      </c>
      <c r="K2128" t="b">
        <v>1</v>
      </c>
    </row>
    <row r="2129" spans="1:11">
      <c r="A2129" s="12">
        <v>41906</v>
      </c>
      <c r="B2129">
        <v>2014</v>
      </c>
      <c r="C2129">
        <v>9</v>
      </c>
      <c r="D2129" s="11">
        <v>41883</v>
      </c>
      <c r="E2129" t="s">
        <v>2181</v>
      </c>
      <c r="F2129">
        <v>3</v>
      </c>
      <c r="G2129" t="s">
        <v>65</v>
      </c>
      <c r="H2129" t="s">
        <v>47</v>
      </c>
      <c r="I2129" t="s">
        <v>2195</v>
      </c>
      <c r="J2129" s="10">
        <v>0</v>
      </c>
      <c r="K2129" t="b">
        <v>1</v>
      </c>
    </row>
    <row r="2130" spans="1:11">
      <c r="A2130" s="12">
        <v>41907</v>
      </c>
      <c r="B2130">
        <v>2014</v>
      </c>
      <c r="C2130">
        <v>9</v>
      </c>
      <c r="D2130" s="11">
        <v>41883</v>
      </c>
      <c r="E2130" t="s">
        <v>2181</v>
      </c>
      <c r="F2130">
        <v>4</v>
      </c>
      <c r="G2130" t="s">
        <v>53</v>
      </c>
      <c r="H2130" t="s">
        <v>40</v>
      </c>
      <c r="I2130" t="s">
        <v>2188</v>
      </c>
      <c r="J2130" s="10">
        <v>4.68</v>
      </c>
      <c r="K2130" t="b">
        <v>1</v>
      </c>
    </row>
    <row r="2131" spans="1:11">
      <c r="A2131" s="12">
        <v>41907</v>
      </c>
      <c r="B2131">
        <v>2014</v>
      </c>
      <c r="C2131">
        <v>9</v>
      </c>
      <c r="D2131" s="11">
        <v>41883</v>
      </c>
      <c r="E2131" t="s">
        <v>2181</v>
      </c>
      <c r="F2131">
        <v>4</v>
      </c>
      <c r="G2131" t="s">
        <v>53</v>
      </c>
      <c r="H2131" t="s">
        <v>41</v>
      </c>
      <c r="I2131" t="s">
        <v>2189</v>
      </c>
      <c r="J2131" s="10">
        <v>6.34</v>
      </c>
      <c r="K2131" t="b">
        <v>1</v>
      </c>
    </row>
    <row r="2132" spans="1:11">
      <c r="A2132" s="12">
        <v>41907</v>
      </c>
      <c r="B2132">
        <v>2014</v>
      </c>
      <c r="C2132">
        <v>9</v>
      </c>
      <c r="D2132" s="11">
        <v>41883</v>
      </c>
      <c r="E2132" t="s">
        <v>2181</v>
      </c>
      <c r="F2132">
        <v>4</v>
      </c>
      <c r="G2132" t="s">
        <v>53</v>
      </c>
      <c r="H2132" t="s">
        <v>42</v>
      </c>
      <c r="I2132" t="s">
        <v>2190</v>
      </c>
      <c r="J2132" s="10">
        <v>8.199999999999999</v>
      </c>
      <c r="K2132" t="b">
        <v>1</v>
      </c>
    </row>
    <row r="2133" spans="1:11">
      <c r="A2133" s="12">
        <v>41907</v>
      </c>
      <c r="B2133">
        <v>2014</v>
      </c>
      <c r="C2133">
        <v>9</v>
      </c>
      <c r="D2133" s="11">
        <v>41883</v>
      </c>
      <c r="E2133" t="s">
        <v>2181</v>
      </c>
      <c r="F2133">
        <v>4</v>
      </c>
      <c r="G2133" t="s">
        <v>53</v>
      </c>
      <c r="H2133" t="s">
        <v>43</v>
      </c>
      <c r="I2133" t="s">
        <v>2191</v>
      </c>
      <c r="J2133" s="10">
        <v>49.15</v>
      </c>
      <c r="K2133" t="b">
        <v>1</v>
      </c>
    </row>
    <row r="2134" spans="1:11">
      <c r="A2134" s="12">
        <v>41907</v>
      </c>
      <c r="B2134">
        <v>2014</v>
      </c>
      <c r="C2134">
        <v>9</v>
      </c>
      <c r="D2134" s="11">
        <v>41883</v>
      </c>
      <c r="E2134" t="s">
        <v>2181</v>
      </c>
      <c r="F2134">
        <v>4</v>
      </c>
      <c r="G2134" t="s">
        <v>53</v>
      </c>
      <c r="H2134" t="s">
        <v>44</v>
      </c>
      <c r="I2134" t="s">
        <v>2192</v>
      </c>
      <c r="J2134" s="10">
        <v>15</v>
      </c>
      <c r="K2134" t="b">
        <v>1</v>
      </c>
    </row>
    <row r="2135" spans="1:11">
      <c r="A2135" s="12">
        <v>41907</v>
      </c>
      <c r="B2135">
        <v>2014</v>
      </c>
      <c r="C2135">
        <v>9</v>
      </c>
      <c r="D2135" s="11">
        <v>41883</v>
      </c>
      <c r="E2135" t="s">
        <v>2181</v>
      </c>
      <c r="F2135">
        <v>4</v>
      </c>
      <c r="G2135" t="s">
        <v>53</v>
      </c>
      <c r="H2135" t="s">
        <v>45</v>
      </c>
      <c r="I2135" t="s">
        <v>2193</v>
      </c>
      <c r="J2135" s="10">
        <v>1</v>
      </c>
      <c r="K2135" t="b">
        <v>1</v>
      </c>
    </row>
    <row r="2136" spans="1:11">
      <c r="A2136" s="12">
        <v>41907</v>
      </c>
      <c r="B2136">
        <v>2014</v>
      </c>
      <c r="C2136">
        <v>9</v>
      </c>
      <c r="D2136" s="11">
        <v>41883</v>
      </c>
      <c r="E2136" t="s">
        <v>2181</v>
      </c>
      <c r="F2136">
        <v>4</v>
      </c>
      <c r="G2136" t="s">
        <v>53</v>
      </c>
      <c r="H2136" t="s">
        <v>46</v>
      </c>
      <c r="I2136" t="s">
        <v>2194</v>
      </c>
      <c r="J2136" s="10">
        <v>1</v>
      </c>
      <c r="K2136" t="b">
        <v>1</v>
      </c>
    </row>
    <row r="2137" spans="1:11">
      <c r="A2137" s="12">
        <v>41907</v>
      </c>
      <c r="B2137">
        <v>2014</v>
      </c>
      <c r="C2137">
        <v>9</v>
      </c>
      <c r="D2137" s="11">
        <v>41883</v>
      </c>
      <c r="E2137" t="s">
        <v>2181</v>
      </c>
      <c r="F2137">
        <v>4</v>
      </c>
      <c r="G2137" t="s">
        <v>53</v>
      </c>
      <c r="H2137" t="s">
        <v>47</v>
      </c>
      <c r="I2137" t="s">
        <v>2195</v>
      </c>
      <c r="J2137" s="10">
        <v>5</v>
      </c>
      <c r="K2137" t="b">
        <v>1</v>
      </c>
    </row>
    <row r="2138" spans="1:11">
      <c r="A2138" s="12">
        <v>41908</v>
      </c>
      <c r="B2138">
        <v>2014</v>
      </c>
      <c r="C2138">
        <v>9</v>
      </c>
      <c r="D2138" s="11">
        <v>41883</v>
      </c>
      <c r="E2138" t="s">
        <v>2181</v>
      </c>
      <c r="F2138">
        <v>5</v>
      </c>
      <c r="G2138" t="s">
        <v>55</v>
      </c>
      <c r="H2138" t="s">
        <v>40</v>
      </c>
      <c r="I2138" t="s">
        <v>2188</v>
      </c>
      <c r="J2138" s="10">
        <v>4</v>
      </c>
      <c r="K2138" t="b">
        <v>1</v>
      </c>
    </row>
    <row r="2139" spans="1:11">
      <c r="A2139" s="12">
        <v>41908</v>
      </c>
      <c r="B2139">
        <v>2014</v>
      </c>
      <c r="C2139">
        <v>9</v>
      </c>
      <c r="D2139" s="11">
        <v>41883</v>
      </c>
      <c r="E2139" t="s">
        <v>2181</v>
      </c>
      <c r="F2139">
        <v>5</v>
      </c>
      <c r="G2139" t="s">
        <v>55</v>
      </c>
      <c r="H2139" t="s">
        <v>41</v>
      </c>
      <c r="I2139" t="s">
        <v>2189</v>
      </c>
      <c r="J2139" s="10">
        <v>3.68</v>
      </c>
      <c r="K2139" t="b">
        <v>1</v>
      </c>
    </row>
    <row r="2140" spans="1:11">
      <c r="A2140" s="12">
        <v>41908</v>
      </c>
      <c r="B2140">
        <v>2014</v>
      </c>
      <c r="C2140">
        <v>9</v>
      </c>
      <c r="D2140" s="11">
        <v>41883</v>
      </c>
      <c r="E2140" t="s">
        <v>2181</v>
      </c>
      <c r="F2140">
        <v>5</v>
      </c>
      <c r="G2140" t="s">
        <v>55</v>
      </c>
      <c r="H2140" t="s">
        <v>42</v>
      </c>
      <c r="I2140" t="s">
        <v>2190</v>
      </c>
      <c r="J2140" s="10">
        <v>3.5</v>
      </c>
      <c r="K2140" t="b">
        <v>1</v>
      </c>
    </row>
    <row r="2141" spans="1:11">
      <c r="A2141" s="12">
        <v>41908</v>
      </c>
      <c r="B2141">
        <v>2014</v>
      </c>
      <c r="C2141">
        <v>9</v>
      </c>
      <c r="D2141" s="11">
        <v>41883</v>
      </c>
      <c r="E2141" t="s">
        <v>2181</v>
      </c>
      <c r="F2141">
        <v>5</v>
      </c>
      <c r="G2141" t="s">
        <v>55</v>
      </c>
      <c r="H2141" t="s">
        <v>43</v>
      </c>
      <c r="I2141" t="s">
        <v>2191</v>
      </c>
      <c r="J2141" s="10">
        <v>38</v>
      </c>
      <c r="K2141" t="b">
        <v>1</v>
      </c>
    </row>
    <row r="2142" spans="1:11">
      <c r="A2142" s="12">
        <v>41908</v>
      </c>
      <c r="B2142">
        <v>2014</v>
      </c>
      <c r="C2142">
        <v>9</v>
      </c>
      <c r="D2142" s="11">
        <v>41883</v>
      </c>
      <c r="E2142" t="s">
        <v>2181</v>
      </c>
      <c r="F2142">
        <v>5</v>
      </c>
      <c r="G2142" t="s">
        <v>55</v>
      </c>
      <c r="H2142" t="s">
        <v>44</v>
      </c>
      <c r="I2142" t="s">
        <v>2192</v>
      </c>
      <c r="J2142" s="10">
        <v>22</v>
      </c>
      <c r="K2142" t="b">
        <v>1</v>
      </c>
    </row>
    <row r="2143" spans="1:11">
      <c r="A2143" s="12">
        <v>41908</v>
      </c>
      <c r="B2143">
        <v>2014</v>
      </c>
      <c r="C2143">
        <v>9</v>
      </c>
      <c r="D2143" s="11">
        <v>41883</v>
      </c>
      <c r="E2143" t="s">
        <v>2181</v>
      </c>
      <c r="F2143">
        <v>5</v>
      </c>
      <c r="G2143" t="s">
        <v>55</v>
      </c>
      <c r="H2143" t="s">
        <v>45</v>
      </c>
      <c r="I2143" t="s">
        <v>2193</v>
      </c>
      <c r="J2143" s="10">
        <v>2</v>
      </c>
      <c r="K2143" t="b">
        <v>1</v>
      </c>
    </row>
    <row r="2144" spans="1:11">
      <c r="A2144" s="12">
        <v>41908</v>
      </c>
      <c r="B2144">
        <v>2014</v>
      </c>
      <c r="C2144">
        <v>9</v>
      </c>
      <c r="D2144" s="11">
        <v>41883</v>
      </c>
      <c r="E2144" t="s">
        <v>2181</v>
      </c>
      <c r="F2144">
        <v>5</v>
      </c>
      <c r="G2144" t="s">
        <v>55</v>
      </c>
      <c r="H2144" t="s">
        <v>46</v>
      </c>
      <c r="I2144" t="s">
        <v>2194</v>
      </c>
      <c r="J2144" s="10">
        <v>0</v>
      </c>
      <c r="K2144" t="b">
        <v>1</v>
      </c>
    </row>
    <row r="2145" spans="1:11">
      <c r="A2145" s="12">
        <v>41908</v>
      </c>
      <c r="B2145">
        <v>2014</v>
      </c>
      <c r="C2145">
        <v>9</v>
      </c>
      <c r="D2145" s="11">
        <v>41883</v>
      </c>
      <c r="E2145" t="s">
        <v>2181</v>
      </c>
      <c r="F2145">
        <v>5</v>
      </c>
      <c r="G2145" t="s">
        <v>55</v>
      </c>
      <c r="H2145" t="s">
        <v>47</v>
      </c>
      <c r="I2145" t="s">
        <v>2195</v>
      </c>
      <c r="J2145" s="10">
        <v>1</v>
      </c>
      <c r="K2145" t="b">
        <v>1</v>
      </c>
    </row>
    <row r="2146" spans="1:11">
      <c r="A2146" s="12">
        <v>41909</v>
      </c>
      <c r="B2146">
        <v>2014</v>
      </c>
      <c r="C2146">
        <v>9</v>
      </c>
      <c r="D2146" s="11">
        <v>41883</v>
      </c>
      <c r="E2146" t="s">
        <v>2181</v>
      </c>
      <c r="F2146">
        <v>6</v>
      </c>
      <c r="G2146" t="s">
        <v>57</v>
      </c>
      <c r="H2146" t="s">
        <v>40</v>
      </c>
      <c r="I2146" t="s">
        <v>2188</v>
      </c>
      <c r="J2146" s="10">
        <v>4</v>
      </c>
      <c r="K2146" t="b">
        <v>1</v>
      </c>
    </row>
    <row r="2147" spans="1:11">
      <c r="A2147" s="12">
        <v>41909</v>
      </c>
      <c r="B2147">
        <v>2014</v>
      </c>
      <c r="C2147">
        <v>9</v>
      </c>
      <c r="D2147" s="11">
        <v>41883</v>
      </c>
      <c r="E2147" t="s">
        <v>2181</v>
      </c>
      <c r="F2147">
        <v>6</v>
      </c>
      <c r="G2147" t="s">
        <v>57</v>
      </c>
      <c r="H2147" t="s">
        <v>41</v>
      </c>
      <c r="I2147" t="s">
        <v>2189</v>
      </c>
      <c r="J2147" s="10">
        <v>2</v>
      </c>
      <c r="K2147" t="b">
        <v>1</v>
      </c>
    </row>
    <row r="2148" spans="1:11">
      <c r="A2148" s="12">
        <v>41909</v>
      </c>
      <c r="B2148">
        <v>2014</v>
      </c>
      <c r="C2148">
        <v>9</v>
      </c>
      <c r="D2148" s="11">
        <v>41883</v>
      </c>
      <c r="E2148" t="s">
        <v>2181</v>
      </c>
      <c r="F2148">
        <v>6</v>
      </c>
      <c r="G2148" t="s">
        <v>57</v>
      </c>
      <c r="H2148" t="s">
        <v>42</v>
      </c>
      <c r="I2148" t="s">
        <v>2190</v>
      </c>
      <c r="J2148" s="10">
        <v>6</v>
      </c>
      <c r="K2148" t="b">
        <v>1</v>
      </c>
    </row>
    <row r="2149" spans="1:11">
      <c r="A2149" s="12">
        <v>41909</v>
      </c>
      <c r="B2149">
        <v>2014</v>
      </c>
      <c r="C2149">
        <v>9</v>
      </c>
      <c r="D2149" s="11">
        <v>41883</v>
      </c>
      <c r="E2149" t="s">
        <v>2181</v>
      </c>
      <c r="F2149">
        <v>6</v>
      </c>
      <c r="G2149" t="s">
        <v>57</v>
      </c>
      <c r="H2149" t="s">
        <v>43</v>
      </c>
      <c r="I2149" t="s">
        <v>2191</v>
      </c>
      <c r="J2149" s="10">
        <v>46.3</v>
      </c>
      <c r="K2149" t="b">
        <v>1</v>
      </c>
    </row>
    <row r="2150" spans="1:11">
      <c r="A2150" s="12">
        <v>41909</v>
      </c>
      <c r="B2150">
        <v>2014</v>
      </c>
      <c r="C2150">
        <v>9</v>
      </c>
      <c r="D2150" s="11">
        <v>41883</v>
      </c>
      <c r="E2150" t="s">
        <v>2181</v>
      </c>
      <c r="F2150">
        <v>6</v>
      </c>
      <c r="G2150" t="s">
        <v>57</v>
      </c>
      <c r="H2150" t="s">
        <v>44</v>
      </c>
      <c r="I2150" t="s">
        <v>2192</v>
      </c>
      <c r="J2150" s="10">
        <v>18</v>
      </c>
      <c r="K2150" t="b">
        <v>1</v>
      </c>
    </row>
    <row r="2151" spans="1:11">
      <c r="A2151" s="12">
        <v>41909</v>
      </c>
      <c r="B2151">
        <v>2014</v>
      </c>
      <c r="C2151">
        <v>9</v>
      </c>
      <c r="D2151" s="11">
        <v>41883</v>
      </c>
      <c r="E2151" t="s">
        <v>2181</v>
      </c>
      <c r="F2151">
        <v>6</v>
      </c>
      <c r="G2151" t="s">
        <v>57</v>
      </c>
      <c r="H2151" t="s">
        <v>45</v>
      </c>
      <c r="I2151" t="s">
        <v>2193</v>
      </c>
      <c r="J2151" s="10">
        <v>0</v>
      </c>
      <c r="K2151" t="b">
        <v>1</v>
      </c>
    </row>
    <row r="2152" spans="1:11">
      <c r="A2152" s="12">
        <v>41909</v>
      </c>
      <c r="B2152">
        <v>2014</v>
      </c>
      <c r="C2152">
        <v>9</v>
      </c>
      <c r="D2152" s="11">
        <v>41883</v>
      </c>
      <c r="E2152" t="s">
        <v>2181</v>
      </c>
      <c r="F2152">
        <v>6</v>
      </c>
      <c r="G2152" t="s">
        <v>57</v>
      </c>
      <c r="H2152" t="s">
        <v>46</v>
      </c>
      <c r="I2152" t="s">
        <v>2194</v>
      </c>
      <c r="J2152" s="10">
        <v>0</v>
      </c>
      <c r="K2152" t="b">
        <v>1</v>
      </c>
    </row>
    <row r="2153" spans="1:11">
      <c r="A2153" s="12">
        <v>41909</v>
      </c>
      <c r="B2153">
        <v>2014</v>
      </c>
      <c r="C2153">
        <v>9</v>
      </c>
      <c r="D2153" s="11">
        <v>41883</v>
      </c>
      <c r="E2153" t="s">
        <v>2181</v>
      </c>
      <c r="F2153">
        <v>6</v>
      </c>
      <c r="G2153" t="s">
        <v>57</v>
      </c>
      <c r="H2153" t="s">
        <v>47</v>
      </c>
      <c r="I2153" t="s">
        <v>2195</v>
      </c>
      <c r="J2153" s="10">
        <v>4</v>
      </c>
      <c r="K2153" t="b">
        <v>1</v>
      </c>
    </row>
    <row r="2154" spans="1:11">
      <c r="A2154" s="12">
        <v>41910</v>
      </c>
      <c r="B2154">
        <v>2014</v>
      </c>
      <c r="C2154">
        <v>9</v>
      </c>
      <c r="D2154" s="11">
        <v>41883</v>
      </c>
      <c r="E2154" t="s">
        <v>2181</v>
      </c>
      <c r="F2154">
        <v>7</v>
      </c>
      <c r="G2154" t="s">
        <v>59</v>
      </c>
      <c r="H2154" t="s">
        <v>40</v>
      </c>
      <c r="I2154" t="s">
        <v>2188</v>
      </c>
      <c r="J2154" s="10">
        <v>0.34</v>
      </c>
      <c r="K2154" t="b">
        <v>1</v>
      </c>
    </row>
    <row r="2155" spans="1:11">
      <c r="A2155" s="12">
        <v>41910</v>
      </c>
      <c r="B2155">
        <v>2014</v>
      </c>
      <c r="C2155">
        <v>9</v>
      </c>
      <c r="D2155" s="11">
        <v>41883</v>
      </c>
      <c r="E2155" t="s">
        <v>2181</v>
      </c>
      <c r="F2155">
        <v>7</v>
      </c>
      <c r="G2155" t="s">
        <v>59</v>
      </c>
      <c r="H2155" t="s">
        <v>41</v>
      </c>
      <c r="I2155" t="s">
        <v>2189</v>
      </c>
      <c r="J2155" s="10">
        <v>2.68</v>
      </c>
      <c r="K2155" t="b">
        <v>1</v>
      </c>
    </row>
    <row r="2156" spans="1:11">
      <c r="A2156" s="12">
        <v>41910</v>
      </c>
      <c r="B2156">
        <v>2014</v>
      </c>
      <c r="C2156">
        <v>9</v>
      </c>
      <c r="D2156" s="11">
        <v>41883</v>
      </c>
      <c r="E2156" t="s">
        <v>2181</v>
      </c>
      <c r="F2156">
        <v>7</v>
      </c>
      <c r="G2156" t="s">
        <v>59</v>
      </c>
      <c r="H2156" t="s">
        <v>42</v>
      </c>
      <c r="I2156" t="s">
        <v>2190</v>
      </c>
      <c r="J2156" s="10">
        <v>1</v>
      </c>
      <c r="K2156" t="b">
        <v>1</v>
      </c>
    </row>
    <row r="2157" spans="1:11">
      <c r="A2157" s="12">
        <v>41910</v>
      </c>
      <c r="B2157">
        <v>2014</v>
      </c>
      <c r="C2157">
        <v>9</v>
      </c>
      <c r="D2157" s="11">
        <v>41883</v>
      </c>
      <c r="E2157" t="s">
        <v>2181</v>
      </c>
      <c r="F2157">
        <v>7</v>
      </c>
      <c r="G2157" t="s">
        <v>59</v>
      </c>
      <c r="H2157" t="s">
        <v>43</v>
      </c>
      <c r="I2157" t="s">
        <v>2191</v>
      </c>
      <c r="J2157" s="10">
        <v>21.2</v>
      </c>
      <c r="K2157" t="b">
        <v>1</v>
      </c>
    </row>
    <row r="2158" spans="1:11">
      <c r="A2158" s="12">
        <v>41910</v>
      </c>
      <c r="B2158">
        <v>2014</v>
      </c>
      <c r="C2158">
        <v>9</v>
      </c>
      <c r="D2158" s="11">
        <v>41883</v>
      </c>
      <c r="E2158" t="s">
        <v>2181</v>
      </c>
      <c r="F2158">
        <v>7</v>
      </c>
      <c r="G2158" t="s">
        <v>59</v>
      </c>
      <c r="H2158" t="s">
        <v>44</v>
      </c>
      <c r="I2158" t="s">
        <v>2192</v>
      </c>
      <c r="J2158" s="10">
        <v>6</v>
      </c>
      <c r="K2158" t="b">
        <v>1</v>
      </c>
    </row>
    <row r="2159" spans="1:11">
      <c r="A2159" s="12">
        <v>41910</v>
      </c>
      <c r="B2159">
        <v>2014</v>
      </c>
      <c r="C2159">
        <v>9</v>
      </c>
      <c r="D2159" s="11">
        <v>41883</v>
      </c>
      <c r="E2159" t="s">
        <v>2181</v>
      </c>
      <c r="F2159">
        <v>7</v>
      </c>
      <c r="G2159" t="s">
        <v>59</v>
      </c>
      <c r="H2159" t="s">
        <v>45</v>
      </c>
      <c r="I2159" t="s">
        <v>2193</v>
      </c>
      <c r="J2159" s="10">
        <v>0</v>
      </c>
      <c r="K2159" t="b">
        <v>1</v>
      </c>
    </row>
    <row r="2160" spans="1:11">
      <c r="A2160" s="12">
        <v>41910</v>
      </c>
      <c r="B2160">
        <v>2014</v>
      </c>
      <c r="C2160">
        <v>9</v>
      </c>
      <c r="D2160" s="11">
        <v>41883</v>
      </c>
      <c r="E2160" t="s">
        <v>2181</v>
      </c>
      <c r="F2160">
        <v>7</v>
      </c>
      <c r="G2160" t="s">
        <v>59</v>
      </c>
      <c r="H2160" t="s">
        <v>46</v>
      </c>
      <c r="I2160" t="s">
        <v>2194</v>
      </c>
      <c r="J2160" s="10">
        <v>0</v>
      </c>
      <c r="K2160" t="b">
        <v>1</v>
      </c>
    </row>
    <row r="2161" spans="1:11">
      <c r="A2161" s="12">
        <v>41910</v>
      </c>
      <c r="B2161">
        <v>2014</v>
      </c>
      <c r="C2161">
        <v>9</v>
      </c>
      <c r="D2161" s="11">
        <v>41883</v>
      </c>
      <c r="E2161" t="s">
        <v>2181</v>
      </c>
      <c r="F2161">
        <v>7</v>
      </c>
      <c r="G2161" t="s">
        <v>59</v>
      </c>
      <c r="H2161" t="s">
        <v>47</v>
      </c>
      <c r="I2161" t="s">
        <v>2195</v>
      </c>
      <c r="J2161" s="10">
        <v>2</v>
      </c>
      <c r="K2161" t="b">
        <v>1</v>
      </c>
    </row>
    <row r="2162" spans="1:11">
      <c r="A2162" s="12">
        <v>41911</v>
      </c>
      <c r="B2162">
        <v>2014</v>
      </c>
      <c r="C2162">
        <v>9</v>
      </c>
      <c r="D2162" s="11">
        <v>41883</v>
      </c>
      <c r="E2162" t="s">
        <v>2181</v>
      </c>
      <c r="F2162">
        <v>1</v>
      </c>
      <c r="G2162" t="s">
        <v>61</v>
      </c>
      <c r="H2162" t="s">
        <v>40</v>
      </c>
      <c r="I2162" t="s">
        <v>2188</v>
      </c>
      <c r="J2162" s="10">
        <v>7</v>
      </c>
      <c r="K2162" t="b">
        <v>1</v>
      </c>
    </row>
    <row r="2163" spans="1:11">
      <c r="A2163" s="12">
        <v>41911</v>
      </c>
      <c r="B2163">
        <v>2014</v>
      </c>
      <c r="C2163">
        <v>9</v>
      </c>
      <c r="D2163" s="11">
        <v>41883</v>
      </c>
      <c r="E2163" t="s">
        <v>2181</v>
      </c>
      <c r="F2163">
        <v>1</v>
      </c>
      <c r="G2163" t="s">
        <v>61</v>
      </c>
      <c r="H2163" t="s">
        <v>41</v>
      </c>
      <c r="I2163" t="s">
        <v>2189</v>
      </c>
      <c r="J2163" s="10">
        <v>3.68</v>
      </c>
      <c r="K2163" t="b">
        <v>1</v>
      </c>
    </row>
    <row r="2164" spans="1:11">
      <c r="A2164" s="12">
        <v>41911</v>
      </c>
      <c r="B2164">
        <v>2014</v>
      </c>
      <c r="C2164">
        <v>9</v>
      </c>
      <c r="D2164" s="11">
        <v>41883</v>
      </c>
      <c r="E2164" t="s">
        <v>2181</v>
      </c>
      <c r="F2164">
        <v>1</v>
      </c>
      <c r="G2164" t="s">
        <v>61</v>
      </c>
      <c r="H2164" t="s">
        <v>42</v>
      </c>
      <c r="I2164" t="s">
        <v>2190</v>
      </c>
      <c r="J2164" s="10">
        <v>2.3</v>
      </c>
      <c r="K2164" t="b">
        <v>1</v>
      </c>
    </row>
    <row r="2165" spans="1:11">
      <c r="A2165" s="12">
        <v>41911</v>
      </c>
      <c r="B2165">
        <v>2014</v>
      </c>
      <c r="C2165">
        <v>9</v>
      </c>
      <c r="D2165" s="11">
        <v>41883</v>
      </c>
      <c r="E2165" t="s">
        <v>2181</v>
      </c>
      <c r="F2165">
        <v>1</v>
      </c>
      <c r="G2165" t="s">
        <v>61</v>
      </c>
      <c r="H2165" t="s">
        <v>43</v>
      </c>
      <c r="I2165" t="s">
        <v>2191</v>
      </c>
      <c r="J2165" s="10">
        <v>29.8</v>
      </c>
      <c r="K2165" t="b">
        <v>1</v>
      </c>
    </row>
    <row r="2166" spans="1:11">
      <c r="A2166" s="12">
        <v>41911</v>
      </c>
      <c r="B2166">
        <v>2014</v>
      </c>
      <c r="C2166">
        <v>9</v>
      </c>
      <c r="D2166" s="11">
        <v>41883</v>
      </c>
      <c r="E2166" t="s">
        <v>2181</v>
      </c>
      <c r="F2166">
        <v>1</v>
      </c>
      <c r="G2166" t="s">
        <v>61</v>
      </c>
      <c r="H2166" t="s">
        <v>44</v>
      </c>
      <c r="I2166" t="s">
        <v>2192</v>
      </c>
      <c r="J2166" s="10">
        <v>12</v>
      </c>
      <c r="K2166" t="b">
        <v>1</v>
      </c>
    </row>
    <row r="2167" spans="1:11">
      <c r="A2167" s="12">
        <v>41911</v>
      </c>
      <c r="B2167">
        <v>2014</v>
      </c>
      <c r="C2167">
        <v>9</v>
      </c>
      <c r="D2167" s="11">
        <v>41883</v>
      </c>
      <c r="E2167" t="s">
        <v>2181</v>
      </c>
      <c r="F2167">
        <v>1</v>
      </c>
      <c r="G2167" t="s">
        <v>61</v>
      </c>
      <c r="H2167" t="s">
        <v>45</v>
      </c>
      <c r="I2167" t="s">
        <v>2193</v>
      </c>
      <c r="J2167" s="10">
        <v>0</v>
      </c>
      <c r="K2167" t="b">
        <v>1</v>
      </c>
    </row>
    <row r="2168" spans="1:11">
      <c r="A2168" s="12">
        <v>41911</v>
      </c>
      <c r="B2168">
        <v>2014</v>
      </c>
      <c r="C2168">
        <v>9</v>
      </c>
      <c r="D2168" s="11">
        <v>41883</v>
      </c>
      <c r="E2168" t="s">
        <v>2181</v>
      </c>
      <c r="F2168">
        <v>1</v>
      </c>
      <c r="G2168" t="s">
        <v>61</v>
      </c>
      <c r="H2168" t="s">
        <v>46</v>
      </c>
      <c r="I2168" t="s">
        <v>2194</v>
      </c>
      <c r="J2168" s="10">
        <v>10</v>
      </c>
      <c r="K2168" t="b">
        <v>1</v>
      </c>
    </row>
    <row r="2169" spans="1:11">
      <c r="A2169" s="12">
        <v>41911</v>
      </c>
      <c r="B2169">
        <v>2014</v>
      </c>
      <c r="C2169">
        <v>9</v>
      </c>
      <c r="D2169" s="11">
        <v>41883</v>
      </c>
      <c r="E2169" t="s">
        <v>2181</v>
      </c>
      <c r="F2169">
        <v>1</v>
      </c>
      <c r="G2169" t="s">
        <v>61</v>
      </c>
      <c r="H2169" t="s">
        <v>47</v>
      </c>
      <c r="I2169" t="s">
        <v>2195</v>
      </c>
      <c r="J2169" s="10">
        <v>4</v>
      </c>
      <c r="K2169" t="b">
        <v>1</v>
      </c>
    </row>
    <row r="2170" spans="1:11">
      <c r="A2170" s="12">
        <v>41912</v>
      </c>
      <c r="B2170">
        <v>2014</v>
      </c>
      <c r="C2170">
        <v>9</v>
      </c>
      <c r="D2170" s="11">
        <v>41883</v>
      </c>
      <c r="E2170" t="s">
        <v>2181</v>
      </c>
      <c r="F2170">
        <v>2</v>
      </c>
      <c r="G2170" t="s">
        <v>63</v>
      </c>
      <c r="H2170" t="s">
        <v>40</v>
      </c>
      <c r="I2170" t="s">
        <v>2188</v>
      </c>
      <c r="J2170" s="10">
        <v>10</v>
      </c>
      <c r="K2170" t="b">
        <v>1</v>
      </c>
    </row>
    <row r="2171" spans="1:11">
      <c r="A2171" s="12">
        <v>41912</v>
      </c>
      <c r="B2171">
        <v>2014</v>
      </c>
      <c r="C2171">
        <v>9</v>
      </c>
      <c r="D2171" s="11">
        <v>41883</v>
      </c>
      <c r="E2171" t="s">
        <v>2181</v>
      </c>
      <c r="F2171">
        <v>2</v>
      </c>
      <c r="G2171" t="s">
        <v>63</v>
      </c>
      <c r="H2171" t="s">
        <v>41</v>
      </c>
      <c r="I2171" t="s">
        <v>2189</v>
      </c>
      <c r="J2171" s="10">
        <v>5.34</v>
      </c>
      <c r="K2171" t="b">
        <v>1</v>
      </c>
    </row>
    <row r="2172" spans="1:11">
      <c r="A2172" s="12">
        <v>41912</v>
      </c>
      <c r="B2172">
        <v>2014</v>
      </c>
      <c r="C2172">
        <v>9</v>
      </c>
      <c r="D2172" s="11">
        <v>41883</v>
      </c>
      <c r="E2172" t="s">
        <v>2181</v>
      </c>
      <c r="F2172">
        <v>2</v>
      </c>
      <c r="G2172" t="s">
        <v>63</v>
      </c>
      <c r="H2172" t="s">
        <v>42</v>
      </c>
      <c r="I2172" t="s">
        <v>2190</v>
      </c>
      <c r="J2172" s="10">
        <v>4</v>
      </c>
      <c r="K2172" t="b">
        <v>1</v>
      </c>
    </row>
    <row r="2173" spans="1:11">
      <c r="A2173" s="12">
        <v>41912</v>
      </c>
      <c r="B2173">
        <v>2014</v>
      </c>
      <c r="C2173">
        <v>9</v>
      </c>
      <c r="D2173" s="11">
        <v>41883</v>
      </c>
      <c r="E2173" t="s">
        <v>2181</v>
      </c>
      <c r="F2173">
        <v>2</v>
      </c>
      <c r="G2173" t="s">
        <v>63</v>
      </c>
      <c r="H2173" t="s">
        <v>43</v>
      </c>
      <c r="I2173" t="s">
        <v>2191</v>
      </c>
      <c r="J2173" s="10">
        <v>61.3</v>
      </c>
      <c r="K2173" t="b">
        <v>1</v>
      </c>
    </row>
    <row r="2174" spans="1:11">
      <c r="A2174" s="12">
        <v>41912</v>
      </c>
      <c r="B2174">
        <v>2014</v>
      </c>
      <c r="C2174">
        <v>9</v>
      </c>
      <c r="D2174" s="11">
        <v>41883</v>
      </c>
      <c r="E2174" t="s">
        <v>2181</v>
      </c>
      <c r="F2174">
        <v>2</v>
      </c>
      <c r="G2174" t="s">
        <v>63</v>
      </c>
      <c r="H2174" t="s">
        <v>44</v>
      </c>
      <c r="I2174" t="s">
        <v>2192</v>
      </c>
      <c r="J2174" s="10">
        <v>10</v>
      </c>
      <c r="K2174" t="b">
        <v>1</v>
      </c>
    </row>
    <row r="2175" spans="1:11">
      <c r="A2175" s="12">
        <v>41912</v>
      </c>
      <c r="B2175">
        <v>2014</v>
      </c>
      <c r="C2175">
        <v>9</v>
      </c>
      <c r="D2175" s="11">
        <v>41883</v>
      </c>
      <c r="E2175" t="s">
        <v>2181</v>
      </c>
      <c r="F2175">
        <v>2</v>
      </c>
      <c r="G2175" t="s">
        <v>63</v>
      </c>
      <c r="H2175" t="s">
        <v>45</v>
      </c>
      <c r="I2175" t="s">
        <v>2193</v>
      </c>
      <c r="J2175" s="10">
        <v>2</v>
      </c>
      <c r="K2175" t="b">
        <v>1</v>
      </c>
    </row>
    <row r="2176" spans="1:11">
      <c r="A2176" s="12">
        <v>41912</v>
      </c>
      <c r="B2176">
        <v>2014</v>
      </c>
      <c r="C2176">
        <v>9</v>
      </c>
      <c r="D2176" s="11">
        <v>41883</v>
      </c>
      <c r="E2176" t="s">
        <v>2181</v>
      </c>
      <c r="F2176">
        <v>2</v>
      </c>
      <c r="G2176" t="s">
        <v>63</v>
      </c>
      <c r="H2176" t="s">
        <v>46</v>
      </c>
      <c r="I2176" t="s">
        <v>2194</v>
      </c>
      <c r="J2176" s="10">
        <v>22</v>
      </c>
      <c r="K2176" t="b">
        <v>1</v>
      </c>
    </row>
    <row r="2177" spans="1:11">
      <c r="A2177" s="12">
        <v>41912</v>
      </c>
      <c r="B2177">
        <v>2014</v>
      </c>
      <c r="C2177">
        <v>9</v>
      </c>
      <c r="D2177" s="11">
        <v>41883</v>
      </c>
      <c r="E2177" t="s">
        <v>2181</v>
      </c>
      <c r="F2177">
        <v>2</v>
      </c>
      <c r="G2177" t="s">
        <v>63</v>
      </c>
      <c r="H2177" t="s">
        <v>47</v>
      </c>
      <c r="I2177" t="s">
        <v>2195</v>
      </c>
      <c r="J2177" s="10">
        <v>2</v>
      </c>
      <c r="K2177" t="b">
        <v>1</v>
      </c>
    </row>
    <row r="2178" spans="1:11">
      <c r="A2178" s="12">
        <v>41913</v>
      </c>
      <c r="B2178">
        <v>2014</v>
      </c>
      <c r="C2178">
        <v>10</v>
      </c>
      <c r="D2178" s="11">
        <v>41913</v>
      </c>
      <c r="E2178" t="s">
        <v>2182</v>
      </c>
      <c r="F2178">
        <v>3</v>
      </c>
      <c r="G2178" t="s">
        <v>65</v>
      </c>
      <c r="H2178" t="s">
        <v>40</v>
      </c>
      <c r="I2178" t="s">
        <v>2188</v>
      </c>
      <c r="J2178" s="10">
        <v>2.34</v>
      </c>
      <c r="K2178" t="b">
        <v>1</v>
      </c>
    </row>
    <row r="2179" spans="1:11">
      <c r="A2179" s="12">
        <v>41913</v>
      </c>
      <c r="B2179">
        <v>2014</v>
      </c>
      <c r="C2179">
        <v>10</v>
      </c>
      <c r="D2179" s="11">
        <v>41913</v>
      </c>
      <c r="E2179" t="s">
        <v>2182</v>
      </c>
      <c r="F2179">
        <v>3</v>
      </c>
      <c r="G2179" t="s">
        <v>65</v>
      </c>
      <c r="H2179" t="s">
        <v>41</v>
      </c>
      <c r="I2179" t="s">
        <v>2189</v>
      </c>
      <c r="J2179" s="10">
        <v>0</v>
      </c>
      <c r="K2179" t="b">
        <v>1</v>
      </c>
    </row>
    <row r="2180" spans="1:11">
      <c r="A2180" s="12">
        <v>41913</v>
      </c>
      <c r="B2180">
        <v>2014</v>
      </c>
      <c r="C2180">
        <v>10</v>
      </c>
      <c r="D2180" s="11">
        <v>41913</v>
      </c>
      <c r="E2180" t="s">
        <v>2182</v>
      </c>
      <c r="F2180">
        <v>3</v>
      </c>
      <c r="G2180" t="s">
        <v>65</v>
      </c>
      <c r="H2180" t="s">
        <v>42</v>
      </c>
      <c r="I2180" t="s">
        <v>2190</v>
      </c>
      <c r="J2180" s="10">
        <v>2.4</v>
      </c>
      <c r="K2180" t="b">
        <v>1</v>
      </c>
    </row>
    <row r="2181" spans="1:11">
      <c r="A2181" s="12">
        <v>41913</v>
      </c>
      <c r="B2181">
        <v>2014</v>
      </c>
      <c r="C2181">
        <v>10</v>
      </c>
      <c r="D2181" s="11">
        <v>41913</v>
      </c>
      <c r="E2181" t="s">
        <v>2182</v>
      </c>
      <c r="F2181">
        <v>3</v>
      </c>
      <c r="G2181" t="s">
        <v>65</v>
      </c>
      <c r="H2181" t="s">
        <v>43</v>
      </c>
      <c r="I2181" t="s">
        <v>2191</v>
      </c>
      <c r="J2181" s="10">
        <v>44</v>
      </c>
      <c r="K2181" t="b">
        <v>1</v>
      </c>
    </row>
    <row r="2182" spans="1:11">
      <c r="A2182" s="12">
        <v>41913</v>
      </c>
      <c r="B2182">
        <v>2014</v>
      </c>
      <c r="C2182">
        <v>10</v>
      </c>
      <c r="D2182" s="11">
        <v>41913</v>
      </c>
      <c r="E2182" t="s">
        <v>2182</v>
      </c>
      <c r="F2182">
        <v>3</v>
      </c>
      <c r="G2182" t="s">
        <v>65</v>
      </c>
      <c r="H2182" t="s">
        <v>44</v>
      </c>
      <c r="I2182" t="s">
        <v>2192</v>
      </c>
      <c r="J2182" s="10">
        <v>15</v>
      </c>
      <c r="K2182" t="b">
        <v>1</v>
      </c>
    </row>
    <row r="2183" spans="1:11">
      <c r="A2183" s="12">
        <v>41913</v>
      </c>
      <c r="B2183">
        <v>2014</v>
      </c>
      <c r="C2183">
        <v>10</v>
      </c>
      <c r="D2183" s="11">
        <v>41913</v>
      </c>
      <c r="E2183" t="s">
        <v>2182</v>
      </c>
      <c r="F2183">
        <v>3</v>
      </c>
      <c r="G2183" t="s">
        <v>65</v>
      </c>
      <c r="H2183" t="s">
        <v>45</v>
      </c>
      <c r="I2183" t="s">
        <v>2193</v>
      </c>
      <c r="J2183" s="10">
        <v>0</v>
      </c>
      <c r="K2183" t="b">
        <v>1</v>
      </c>
    </row>
    <row r="2184" spans="1:11">
      <c r="A2184" s="12">
        <v>41913</v>
      </c>
      <c r="B2184">
        <v>2014</v>
      </c>
      <c r="C2184">
        <v>10</v>
      </c>
      <c r="D2184" s="11">
        <v>41913</v>
      </c>
      <c r="E2184" t="s">
        <v>2182</v>
      </c>
      <c r="F2184">
        <v>3</v>
      </c>
      <c r="G2184" t="s">
        <v>65</v>
      </c>
      <c r="H2184" t="s">
        <v>46</v>
      </c>
      <c r="I2184" t="s">
        <v>2194</v>
      </c>
      <c r="J2184" s="10">
        <v>11</v>
      </c>
      <c r="K2184" t="b">
        <v>1</v>
      </c>
    </row>
    <row r="2185" spans="1:11">
      <c r="A2185" s="12">
        <v>41913</v>
      </c>
      <c r="B2185">
        <v>2014</v>
      </c>
      <c r="C2185">
        <v>10</v>
      </c>
      <c r="D2185" s="11">
        <v>41913</v>
      </c>
      <c r="E2185" t="s">
        <v>2182</v>
      </c>
      <c r="F2185">
        <v>3</v>
      </c>
      <c r="G2185" t="s">
        <v>65</v>
      </c>
      <c r="H2185" t="s">
        <v>47</v>
      </c>
      <c r="I2185" t="s">
        <v>2195</v>
      </c>
      <c r="J2185" s="10">
        <v>2</v>
      </c>
      <c r="K2185" t="b">
        <v>1</v>
      </c>
    </row>
    <row r="2186" spans="1:11">
      <c r="A2186" s="12">
        <v>41914</v>
      </c>
      <c r="B2186">
        <v>2014</v>
      </c>
      <c r="C2186">
        <v>10</v>
      </c>
      <c r="D2186" s="11">
        <v>41913</v>
      </c>
      <c r="E2186" t="s">
        <v>2182</v>
      </c>
      <c r="F2186">
        <v>4</v>
      </c>
      <c r="G2186" t="s">
        <v>53</v>
      </c>
      <c r="H2186" t="s">
        <v>40</v>
      </c>
      <c r="I2186" t="s">
        <v>2188</v>
      </c>
      <c r="J2186" s="10">
        <v>2</v>
      </c>
      <c r="K2186" t="b">
        <v>1</v>
      </c>
    </row>
    <row r="2187" spans="1:11">
      <c r="A2187" s="12">
        <v>41914</v>
      </c>
      <c r="B2187">
        <v>2014</v>
      </c>
      <c r="C2187">
        <v>10</v>
      </c>
      <c r="D2187" s="11">
        <v>41913</v>
      </c>
      <c r="E2187" t="s">
        <v>2182</v>
      </c>
      <c r="F2187">
        <v>4</v>
      </c>
      <c r="G2187" t="s">
        <v>53</v>
      </c>
      <c r="H2187" t="s">
        <v>41</v>
      </c>
      <c r="I2187" t="s">
        <v>2189</v>
      </c>
      <c r="J2187" s="10">
        <v>4.99</v>
      </c>
      <c r="K2187" t="b">
        <v>1</v>
      </c>
    </row>
    <row r="2188" spans="1:11">
      <c r="A2188" s="12">
        <v>41914</v>
      </c>
      <c r="B2188">
        <v>2014</v>
      </c>
      <c r="C2188">
        <v>10</v>
      </c>
      <c r="D2188" s="11">
        <v>41913</v>
      </c>
      <c r="E2188" t="s">
        <v>2182</v>
      </c>
      <c r="F2188">
        <v>4</v>
      </c>
      <c r="G2188" t="s">
        <v>53</v>
      </c>
      <c r="H2188" t="s">
        <v>42</v>
      </c>
      <c r="I2188" t="s">
        <v>2190</v>
      </c>
      <c r="J2188" s="10">
        <v>5</v>
      </c>
      <c r="K2188" t="b">
        <v>1</v>
      </c>
    </row>
    <row r="2189" spans="1:11">
      <c r="A2189" s="12">
        <v>41914</v>
      </c>
      <c r="B2189">
        <v>2014</v>
      </c>
      <c r="C2189">
        <v>10</v>
      </c>
      <c r="D2189" s="11">
        <v>41913</v>
      </c>
      <c r="E2189" t="s">
        <v>2182</v>
      </c>
      <c r="F2189">
        <v>4</v>
      </c>
      <c r="G2189" t="s">
        <v>53</v>
      </c>
      <c r="H2189" t="s">
        <v>43</v>
      </c>
      <c r="I2189" t="s">
        <v>2191</v>
      </c>
      <c r="J2189" s="10">
        <v>23.9</v>
      </c>
      <c r="K2189" t="b">
        <v>1</v>
      </c>
    </row>
    <row r="2190" spans="1:11">
      <c r="A2190" s="12">
        <v>41914</v>
      </c>
      <c r="B2190">
        <v>2014</v>
      </c>
      <c r="C2190">
        <v>10</v>
      </c>
      <c r="D2190" s="11">
        <v>41913</v>
      </c>
      <c r="E2190" t="s">
        <v>2182</v>
      </c>
      <c r="F2190">
        <v>4</v>
      </c>
      <c r="G2190" t="s">
        <v>53</v>
      </c>
      <c r="H2190" t="s">
        <v>44</v>
      </c>
      <c r="I2190" t="s">
        <v>2192</v>
      </c>
      <c r="J2190" s="10">
        <v>11</v>
      </c>
      <c r="K2190" t="b">
        <v>1</v>
      </c>
    </row>
    <row r="2191" spans="1:11">
      <c r="A2191" s="12">
        <v>41914</v>
      </c>
      <c r="B2191">
        <v>2014</v>
      </c>
      <c r="C2191">
        <v>10</v>
      </c>
      <c r="D2191" s="11">
        <v>41913</v>
      </c>
      <c r="E2191" t="s">
        <v>2182</v>
      </c>
      <c r="F2191">
        <v>4</v>
      </c>
      <c r="G2191" t="s">
        <v>53</v>
      </c>
      <c r="H2191" t="s">
        <v>45</v>
      </c>
      <c r="I2191" t="s">
        <v>2193</v>
      </c>
      <c r="J2191" s="10">
        <v>0</v>
      </c>
      <c r="K2191" t="b">
        <v>1</v>
      </c>
    </row>
    <row r="2192" spans="1:11">
      <c r="A2192" s="12">
        <v>41914</v>
      </c>
      <c r="B2192">
        <v>2014</v>
      </c>
      <c r="C2192">
        <v>10</v>
      </c>
      <c r="D2192" s="11">
        <v>41913</v>
      </c>
      <c r="E2192" t="s">
        <v>2182</v>
      </c>
      <c r="F2192">
        <v>4</v>
      </c>
      <c r="G2192" t="s">
        <v>53</v>
      </c>
      <c r="H2192" t="s">
        <v>46</v>
      </c>
      <c r="I2192" t="s">
        <v>2194</v>
      </c>
      <c r="J2192" s="10">
        <v>2</v>
      </c>
      <c r="K2192" t="b">
        <v>1</v>
      </c>
    </row>
    <row r="2193" spans="1:11">
      <c r="A2193" s="12">
        <v>41914</v>
      </c>
      <c r="B2193">
        <v>2014</v>
      </c>
      <c r="C2193">
        <v>10</v>
      </c>
      <c r="D2193" s="11">
        <v>41913</v>
      </c>
      <c r="E2193" t="s">
        <v>2182</v>
      </c>
      <c r="F2193">
        <v>4</v>
      </c>
      <c r="G2193" t="s">
        <v>53</v>
      </c>
      <c r="H2193" t="s">
        <v>47</v>
      </c>
      <c r="I2193" t="s">
        <v>2195</v>
      </c>
      <c r="J2193" s="10">
        <v>1</v>
      </c>
      <c r="K2193" t="b">
        <v>1</v>
      </c>
    </row>
    <row r="2194" spans="1:11">
      <c r="A2194" s="12">
        <v>41915</v>
      </c>
      <c r="B2194">
        <v>2014</v>
      </c>
      <c r="C2194">
        <v>10</v>
      </c>
      <c r="D2194" s="11">
        <v>41913</v>
      </c>
      <c r="E2194" t="s">
        <v>2182</v>
      </c>
      <c r="F2194">
        <v>5</v>
      </c>
      <c r="G2194" t="s">
        <v>55</v>
      </c>
      <c r="H2194" t="s">
        <v>40</v>
      </c>
      <c r="I2194" t="s">
        <v>2188</v>
      </c>
      <c r="J2194" s="10">
        <v>4.33</v>
      </c>
      <c r="K2194" t="b">
        <v>1</v>
      </c>
    </row>
    <row r="2195" spans="1:11">
      <c r="A2195" s="12">
        <v>41915</v>
      </c>
      <c r="B2195">
        <v>2014</v>
      </c>
      <c r="C2195">
        <v>10</v>
      </c>
      <c r="D2195" s="11">
        <v>41913</v>
      </c>
      <c r="E2195" t="s">
        <v>2182</v>
      </c>
      <c r="F2195">
        <v>5</v>
      </c>
      <c r="G2195" t="s">
        <v>55</v>
      </c>
      <c r="H2195" t="s">
        <v>41</v>
      </c>
      <c r="I2195" t="s">
        <v>2189</v>
      </c>
      <c r="J2195" s="10">
        <v>1.34</v>
      </c>
      <c r="K2195" t="b">
        <v>1</v>
      </c>
    </row>
    <row r="2196" spans="1:11">
      <c r="A2196" s="12">
        <v>41915</v>
      </c>
      <c r="B2196">
        <v>2014</v>
      </c>
      <c r="C2196">
        <v>10</v>
      </c>
      <c r="D2196" s="11">
        <v>41913</v>
      </c>
      <c r="E2196" t="s">
        <v>2182</v>
      </c>
      <c r="F2196">
        <v>5</v>
      </c>
      <c r="G2196" t="s">
        <v>55</v>
      </c>
      <c r="H2196" t="s">
        <v>42</v>
      </c>
      <c r="I2196" t="s">
        <v>2190</v>
      </c>
      <c r="J2196" s="10">
        <v>5.9</v>
      </c>
      <c r="K2196" t="b">
        <v>1</v>
      </c>
    </row>
    <row r="2197" spans="1:11">
      <c r="A2197" s="12">
        <v>41915</v>
      </c>
      <c r="B2197">
        <v>2014</v>
      </c>
      <c r="C2197">
        <v>10</v>
      </c>
      <c r="D2197" s="11">
        <v>41913</v>
      </c>
      <c r="E2197" t="s">
        <v>2182</v>
      </c>
      <c r="F2197">
        <v>5</v>
      </c>
      <c r="G2197" t="s">
        <v>55</v>
      </c>
      <c r="H2197" t="s">
        <v>43</v>
      </c>
      <c r="I2197" t="s">
        <v>2191</v>
      </c>
      <c r="J2197" s="10">
        <v>44.14</v>
      </c>
      <c r="K2197" t="b">
        <v>1</v>
      </c>
    </row>
    <row r="2198" spans="1:11">
      <c r="A2198" s="12">
        <v>41915</v>
      </c>
      <c r="B2198">
        <v>2014</v>
      </c>
      <c r="C2198">
        <v>10</v>
      </c>
      <c r="D2198" s="11">
        <v>41913</v>
      </c>
      <c r="E2198" t="s">
        <v>2182</v>
      </c>
      <c r="F2198">
        <v>5</v>
      </c>
      <c r="G2198" t="s">
        <v>55</v>
      </c>
      <c r="H2198" t="s">
        <v>44</v>
      </c>
      <c r="I2198" t="s">
        <v>2192</v>
      </c>
      <c r="J2198" s="10">
        <v>12</v>
      </c>
      <c r="K2198" t="b">
        <v>1</v>
      </c>
    </row>
    <row r="2199" spans="1:11">
      <c r="A2199" s="12">
        <v>41915</v>
      </c>
      <c r="B2199">
        <v>2014</v>
      </c>
      <c r="C2199">
        <v>10</v>
      </c>
      <c r="D2199" s="11">
        <v>41913</v>
      </c>
      <c r="E2199" t="s">
        <v>2182</v>
      </c>
      <c r="F2199">
        <v>5</v>
      </c>
      <c r="G2199" t="s">
        <v>55</v>
      </c>
      <c r="H2199" t="s">
        <v>45</v>
      </c>
      <c r="I2199" t="s">
        <v>2193</v>
      </c>
      <c r="J2199" s="10">
        <v>0</v>
      </c>
      <c r="K2199" t="b">
        <v>1</v>
      </c>
    </row>
    <row r="2200" spans="1:11">
      <c r="A2200" s="12">
        <v>41915</v>
      </c>
      <c r="B2200">
        <v>2014</v>
      </c>
      <c r="C2200">
        <v>10</v>
      </c>
      <c r="D2200" s="11">
        <v>41913</v>
      </c>
      <c r="E2200" t="s">
        <v>2182</v>
      </c>
      <c r="F2200">
        <v>5</v>
      </c>
      <c r="G2200" t="s">
        <v>55</v>
      </c>
      <c r="H2200" t="s">
        <v>46</v>
      </c>
      <c r="I2200" t="s">
        <v>2194</v>
      </c>
      <c r="J2200" s="10">
        <v>11</v>
      </c>
      <c r="K2200" t="b">
        <v>1</v>
      </c>
    </row>
    <row r="2201" spans="1:11">
      <c r="A2201" s="12">
        <v>41915</v>
      </c>
      <c r="B2201">
        <v>2014</v>
      </c>
      <c r="C2201">
        <v>10</v>
      </c>
      <c r="D2201" s="11">
        <v>41913</v>
      </c>
      <c r="E2201" t="s">
        <v>2182</v>
      </c>
      <c r="F2201">
        <v>5</v>
      </c>
      <c r="G2201" t="s">
        <v>55</v>
      </c>
      <c r="H2201" t="s">
        <v>47</v>
      </c>
      <c r="I2201" t="s">
        <v>2195</v>
      </c>
      <c r="J2201" s="10">
        <v>2</v>
      </c>
      <c r="K2201" t="b">
        <v>1</v>
      </c>
    </row>
    <row r="2202" spans="1:11">
      <c r="A2202" s="12">
        <v>41916</v>
      </c>
      <c r="B2202">
        <v>2014</v>
      </c>
      <c r="C2202">
        <v>10</v>
      </c>
      <c r="D2202" s="11">
        <v>41913</v>
      </c>
      <c r="E2202" t="s">
        <v>2182</v>
      </c>
      <c r="F2202">
        <v>6</v>
      </c>
      <c r="G2202" t="s">
        <v>57</v>
      </c>
      <c r="H2202" t="s">
        <v>40</v>
      </c>
      <c r="I2202" t="s">
        <v>2188</v>
      </c>
      <c r="J2202" s="10">
        <v>4.68</v>
      </c>
      <c r="K2202" t="b">
        <v>1</v>
      </c>
    </row>
    <row r="2203" spans="1:11">
      <c r="A2203" s="12">
        <v>41916</v>
      </c>
      <c r="B2203">
        <v>2014</v>
      </c>
      <c r="C2203">
        <v>10</v>
      </c>
      <c r="D2203" s="11">
        <v>41913</v>
      </c>
      <c r="E2203" t="s">
        <v>2182</v>
      </c>
      <c r="F2203">
        <v>6</v>
      </c>
      <c r="G2203" t="s">
        <v>57</v>
      </c>
      <c r="H2203" t="s">
        <v>41</v>
      </c>
      <c r="I2203" t="s">
        <v>2189</v>
      </c>
      <c r="J2203" s="10">
        <v>7.766</v>
      </c>
      <c r="K2203" t="b">
        <v>1</v>
      </c>
    </row>
    <row r="2204" spans="1:11">
      <c r="A2204" s="12">
        <v>41916</v>
      </c>
      <c r="B2204">
        <v>2014</v>
      </c>
      <c r="C2204">
        <v>10</v>
      </c>
      <c r="D2204" s="11">
        <v>41913</v>
      </c>
      <c r="E2204" t="s">
        <v>2182</v>
      </c>
      <c r="F2204">
        <v>6</v>
      </c>
      <c r="G2204" t="s">
        <v>57</v>
      </c>
      <c r="H2204" t="s">
        <v>42</v>
      </c>
      <c r="I2204" t="s">
        <v>2190</v>
      </c>
      <c r="J2204" s="10">
        <v>8</v>
      </c>
      <c r="K2204" t="b">
        <v>1</v>
      </c>
    </row>
    <row r="2205" spans="1:11">
      <c r="A2205" s="12">
        <v>41916</v>
      </c>
      <c r="B2205">
        <v>2014</v>
      </c>
      <c r="C2205">
        <v>10</v>
      </c>
      <c r="D2205" s="11">
        <v>41913</v>
      </c>
      <c r="E2205" t="s">
        <v>2182</v>
      </c>
      <c r="F2205">
        <v>6</v>
      </c>
      <c r="G2205" t="s">
        <v>57</v>
      </c>
      <c r="H2205" t="s">
        <v>43</v>
      </c>
      <c r="I2205" t="s">
        <v>2191</v>
      </c>
      <c r="J2205" s="10">
        <v>49.9</v>
      </c>
      <c r="K2205" t="b">
        <v>1</v>
      </c>
    </row>
    <row r="2206" spans="1:11">
      <c r="A2206" s="12">
        <v>41916</v>
      </c>
      <c r="B2206">
        <v>2014</v>
      </c>
      <c r="C2206">
        <v>10</v>
      </c>
      <c r="D2206" s="11">
        <v>41913</v>
      </c>
      <c r="E2206" t="s">
        <v>2182</v>
      </c>
      <c r="F2206">
        <v>6</v>
      </c>
      <c r="G2206" t="s">
        <v>57</v>
      </c>
      <c r="H2206" t="s">
        <v>44</v>
      </c>
      <c r="I2206" t="s">
        <v>2192</v>
      </c>
      <c r="J2206" s="10">
        <v>12</v>
      </c>
      <c r="K2206" t="b">
        <v>1</v>
      </c>
    </row>
    <row r="2207" spans="1:11">
      <c r="A2207" s="12">
        <v>41916</v>
      </c>
      <c r="B2207">
        <v>2014</v>
      </c>
      <c r="C2207">
        <v>10</v>
      </c>
      <c r="D2207" s="11">
        <v>41913</v>
      </c>
      <c r="E2207" t="s">
        <v>2182</v>
      </c>
      <c r="F2207">
        <v>6</v>
      </c>
      <c r="G2207" t="s">
        <v>57</v>
      </c>
      <c r="H2207" t="s">
        <v>45</v>
      </c>
      <c r="I2207" t="s">
        <v>2193</v>
      </c>
      <c r="J2207" s="10">
        <v>1</v>
      </c>
      <c r="K2207" t="b">
        <v>1</v>
      </c>
    </row>
    <row r="2208" spans="1:11">
      <c r="A2208" s="12">
        <v>41916</v>
      </c>
      <c r="B2208">
        <v>2014</v>
      </c>
      <c r="C2208">
        <v>10</v>
      </c>
      <c r="D2208" s="11">
        <v>41913</v>
      </c>
      <c r="E2208" t="s">
        <v>2182</v>
      </c>
      <c r="F2208">
        <v>6</v>
      </c>
      <c r="G2208" t="s">
        <v>57</v>
      </c>
      <c r="H2208" t="s">
        <v>46</v>
      </c>
      <c r="I2208" t="s">
        <v>2194</v>
      </c>
      <c r="J2208" s="10">
        <v>25</v>
      </c>
      <c r="K2208" t="b">
        <v>1</v>
      </c>
    </row>
    <row r="2209" spans="1:11">
      <c r="A2209" s="12">
        <v>41916</v>
      </c>
      <c r="B2209">
        <v>2014</v>
      </c>
      <c r="C2209">
        <v>10</v>
      </c>
      <c r="D2209" s="11">
        <v>41913</v>
      </c>
      <c r="E2209" t="s">
        <v>2182</v>
      </c>
      <c r="F2209">
        <v>6</v>
      </c>
      <c r="G2209" t="s">
        <v>57</v>
      </c>
      <c r="H2209" t="s">
        <v>47</v>
      </c>
      <c r="I2209" t="s">
        <v>2195</v>
      </c>
      <c r="J2209" s="10">
        <v>0</v>
      </c>
      <c r="K2209" t="b">
        <v>1</v>
      </c>
    </row>
    <row r="2210" spans="1:11">
      <c r="A2210" s="12">
        <v>41917</v>
      </c>
      <c r="B2210">
        <v>2014</v>
      </c>
      <c r="C2210">
        <v>10</v>
      </c>
      <c r="D2210" s="11">
        <v>41913</v>
      </c>
      <c r="E2210" t="s">
        <v>2182</v>
      </c>
      <c r="F2210">
        <v>7</v>
      </c>
      <c r="G2210" t="s">
        <v>59</v>
      </c>
      <c r="H2210" t="s">
        <v>40</v>
      </c>
      <c r="I2210" t="s">
        <v>2188</v>
      </c>
      <c r="J2210" s="10">
        <v>2</v>
      </c>
      <c r="K2210" t="b">
        <v>1</v>
      </c>
    </row>
    <row r="2211" spans="1:11">
      <c r="A2211" s="12">
        <v>41917</v>
      </c>
      <c r="B2211">
        <v>2014</v>
      </c>
      <c r="C2211">
        <v>10</v>
      </c>
      <c r="D2211" s="11">
        <v>41913</v>
      </c>
      <c r="E2211" t="s">
        <v>2182</v>
      </c>
      <c r="F2211">
        <v>7</v>
      </c>
      <c r="G2211" t="s">
        <v>59</v>
      </c>
      <c r="H2211" t="s">
        <v>41</v>
      </c>
      <c r="I2211" t="s">
        <v>2189</v>
      </c>
      <c r="J2211" s="10">
        <v>3.34</v>
      </c>
      <c r="K2211" t="b">
        <v>1</v>
      </c>
    </row>
    <row r="2212" spans="1:11">
      <c r="A2212" s="12">
        <v>41917</v>
      </c>
      <c r="B2212">
        <v>2014</v>
      </c>
      <c r="C2212">
        <v>10</v>
      </c>
      <c r="D2212" s="11">
        <v>41913</v>
      </c>
      <c r="E2212" t="s">
        <v>2182</v>
      </c>
      <c r="F2212">
        <v>7</v>
      </c>
      <c r="G2212" t="s">
        <v>59</v>
      </c>
      <c r="H2212" t="s">
        <v>42</v>
      </c>
      <c r="I2212" t="s">
        <v>2190</v>
      </c>
      <c r="J2212" s="10">
        <v>3</v>
      </c>
      <c r="K2212" t="b">
        <v>1</v>
      </c>
    </row>
    <row r="2213" spans="1:11">
      <c r="A2213" s="12">
        <v>41917</v>
      </c>
      <c r="B2213">
        <v>2014</v>
      </c>
      <c r="C2213">
        <v>10</v>
      </c>
      <c r="D2213" s="11">
        <v>41913</v>
      </c>
      <c r="E2213" t="s">
        <v>2182</v>
      </c>
      <c r="F2213">
        <v>7</v>
      </c>
      <c r="G2213" t="s">
        <v>59</v>
      </c>
      <c r="H2213" t="s">
        <v>43</v>
      </c>
      <c r="I2213" t="s">
        <v>2191</v>
      </c>
      <c r="J2213" s="10">
        <v>19</v>
      </c>
      <c r="K2213" t="b">
        <v>1</v>
      </c>
    </row>
    <row r="2214" spans="1:11">
      <c r="A2214" s="12">
        <v>41917</v>
      </c>
      <c r="B2214">
        <v>2014</v>
      </c>
      <c r="C2214">
        <v>10</v>
      </c>
      <c r="D2214" s="11">
        <v>41913</v>
      </c>
      <c r="E2214" t="s">
        <v>2182</v>
      </c>
      <c r="F2214">
        <v>7</v>
      </c>
      <c r="G2214" t="s">
        <v>59</v>
      </c>
      <c r="H2214" t="s">
        <v>44</v>
      </c>
      <c r="I2214" t="s">
        <v>2192</v>
      </c>
      <c r="J2214" s="10">
        <v>1</v>
      </c>
      <c r="K2214" t="b">
        <v>1</v>
      </c>
    </row>
    <row r="2215" spans="1:11">
      <c r="A2215" s="12">
        <v>41917</v>
      </c>
      <c r="B2215">
        <v>2014</v>
      </c>
      <c r="C2215">
        <v>10</v>
      </c>
      <c r="D2215" s="11">
        <v>41913</v>
      </c>
      <c r="E2215" t="s">
        <v>2182</v>
      </c>
      <c r="F2215">
        <v>7</v>
      </c>
      <c r="G2215" t="s">
        <v>59</v>
      </c>
      <c r="H2215" t="s">
        <v>45</v>
      </c>
      <c r="I2215" t="s">
        <v>2193</v>
      </c>
      <c r="J2215" s="10">
        <v>0</v>
      </c>
      <c r="K2215" t="b">
        <v>1</v>
      </c>
    </row>
    <row r="2216" spans="1:11">
      <c r="A2216" s="12">
        <v>41917</v>
      </c>
      <c r="B2216">
        <v>2014</v>
      </c>
      <c r="C2216">
        <v>10</v>
      </c>
      <c r="D2216" s="11">
        <v>41913</v>
      </c>
      <c r="E2216" t="s">
        <v>2182</v>
      </c>
      <c r="F2216">
        <v>7</v>
      </c>
      <c r="G2216" t="s">
        <v>59</v>
      </c>
      <c r="H2216" t="s">
        <v>46</v>
      </c>
      <c r="I2216" t="s">
        <v>2194</v>
      </c>
      <c r="J2216" s="10">
        <v>0</v>
      </c>
      <c r="K2216" t="b">
        <v>1</v>
      </c>
    </row>
    <row r="2217" spans="1:11">
      <c r="A2217" s="12">
        <v>41917</v>
      </c>
      <c r="B2217">
        <v>2014</v>
      </c>
      <c r="C2217">
        <v>10</v>
      </c>
      <c r="D2217" s="11">
        <v>41913</v>
      </c>
      <c r="E2217" t="s">
        <v>2182</v>
      </c>
      <c r="F2217">
        <v>7</v>
      </c>
      <c r="G2217" t="s">
        <v>59</v>
      </c>
      <c r="H2217" t="s">
        <v>47</v>
      </c>
      <c r="I2217" t="s">
        <v>2195</v>
      </c>
      <c r="J2217" s="10">
        <v>3</v>
      </c>
      <c r="K2217" t="b">
        <v>1</v>
      </c>
    </row>
    <row r="2218" spans="1:11">
      <c r="A2218" s="12">
        <v>41918</v>
      </c>
      <c r="B2218">
        <v>2014</v>
      </c>
      <c r="C2218">
        <v>10</v>
      </c>
      <c r="D2218" s="11">
        <v>41913</v>
      </c>
      <c r="E2218" t="s">
        <v>2182</v>
      </c>
      <c r="F2218">
        <v>1</v>
      </c>
      <c r="G2218" t="s">
        <v>61</v>
      </c>
      <c r="H2218" t="s">
        <v>40</v>
      </c>
      <c r="I2218" t="s">
        <v>2188</v>
      </c>
      <c r="J2218" s="10">
        <v>5.34</v>
      </c>
      <c r="K2218" t="b">
        <v>1</v>
      </c>
    </row>
    <row r="2219" spans="1:11">
      <c r="A2219" s="12">
        <v>41918</v>
      </c>
      <c r="B2219">
        <v>2014</v>
      </c>
      <c r="C2219">
        <v>10</v>
      </c>
      <c r="D2219" s="11">
        <v>41913</v>
      </c>
      <c r="E2219" t="s">
        <v>2182</v>
      </c>
      <c r="F2219">
        <v>1</v>
      </c>
      <c r="G2219" t="s">
        <v>61</v>
      </c>
      <c r="H2219" t="s">
        <v>41</v>
      </c>
      <c r="I2219" t="s">
        <v>2189</v>
      </c>
      <c r="J2219" s="10">
        <v>1.365</v>
      </c>
      <c r="K2219" t="b">
        <v>1</v>
      </c>
    </row>
    <row r="2220" spans="1:11">
      <c r="A2220" s="12">
        <v>41918</v>
      </c>
      <c r="B2220">
        <v>2014</v>
      </c>
      <c r="C2220">
        <v>10</v>
      </c>
      <c r="D2220" s="11">
        <v>41913</v>
      </c>
      <c r="E2220" t="s">
        <v>2182</v>
      </c>
      <c r="F2220">
        <v>1</v>
      </c>
      <c r="G2220" t="s">
        <v>61</v>
      </c>
      <c r="H2220" t="s">
        <v>42</v>
      </c>
      <c r="I2220" t="s">
        <v>2190</v>
      </c>
      <c r="J2220" s="10">
        <v>2.4</v>
      </c>
      <c r="K2220" t="b">
        <v>1</v>
      </c>
    </row>
    <row r="2221" spans="1:11">
      <c r="A2221" s="12">
        <v>41918</v>
      </c>
      <c r="B2221">
        <v>2014</v>
      </c>
      <c r="C2221">
        <v>10</v>
      </c>
      <c r="D2221" s="11">
        <v>41913</v>
      </c>
      <c r="E2221" t="s">
        <v>2182</v>
      </c>
      <c r="F2221">
        <v>1</v>
      </c>
      <c r="G2221" t="s">
        <v>61</v>
      </c>
      <c r="H2221" t="s">
        <v>43</v>
      </c>
      <c r="I2221" t="s">
        <v>2191</v>
      </c>
      <c r="J2221" s="10">
        <v>69.875</v>
      </c>
      <c r="K2221" t="b">
        <v>1</v>
      </c>
    </row>
    <row r="2222" spans="1:11">
      <c r="A2222" s="12">
        <v>41918</v>
      </c>
      <c r="B2222">
        <v>2014</v>
      </c>
      <c r="C2222">
        <v>10</v>
      </c>
      <c r="D2222" s="11">
        <v>41913</v>
      </c>
      <c r="E2222" t="s">
        <v>2182</v>
      </c>
      <c r="F2222">
        <v>1</v>
      </c>
      <c r="G2222" t="s">
        <v>61</v>
      </c>
      <c r="H2222" t="s">
        <v>44</v>
      </c>
      <c r="I2222" t="s">
        <v>2192</v>
      </c>
      <c r="J2222" s="10">
        <v>13</v>
      </c>
      <c r="K2222" t="b">
        <v>1</v>
      </c>
    </row>
    <row r="2223" spans="1:11">
      <c r="A2223" s="12">
        <v>41918</v>
      </c>
      <c r="B2223">
        <v>2014</v>
      </c>
      <c r="C2223">
        <v>10</v>
      </c>
      <c r="D2223" s="11">
        <v>41913</v>
      </c>
      <c r="E2223" t="s">
        <v>2182</v>
      </c>
      <c r="F2223">
        <v>1</v>
      </c>
      <c r="G2223" t="s">
        <v>61</v>
      </c>
      <c r="H2223" t="s">
        <v>45</v>
      </c>
      <c r="I2223" t="s">
        <v>2193</v>
      </c>
      <c r="J2223" s="10">
        <v>1</v>
      </c>
      <c r="K2223" t="b">
        <v>1</v>
      </c>
    </row>
    <row r="2224" spans="1:11">
      <c r="A2224" s="12">
        <v>41918</v>
      </c>
      <c r="B2224">
        <v>2014</v>
      </c>
      <c r="C2224">
        <v>10</v>
      </c>
      <c r="D2224" s="11">
        <v>41913</v>
      </c>
      <c r="E2224" t="s">
        <v>2182</v>
      </c>
      <c r="F2224">
        <v>1</v>
      </c>
      <c r="G2224" t="s">
        <v>61</v>
      </c>
      <c r="H2224" t="s">
        <v>46</v>
      </c>
      <c r="I2224" t="s">
        <v>2194</v>
      </c>
      <c r="J2224" s="10">
        <v>0</v>
      </c>
      <c r="K2224" t="b">
        <v>1</v>
      </c>
    </row>
    <row r="2225" spans="1:11">
      <c r="A2225" s="12">
        <v>41918</v>
      </c>
      <c r="B2225">
        <v>2014</v>
      </c>
      <c r="C2225">
        <v>10</v>
      </c>
      <c r="D2225" s="11">
        <v>41913</v>
      </c>
      <c r="E2225" t="s">
        <v>2182</v>
      </c>
      <c r="F2225">
        <v>1</v>
      </c>
      <c r="G2225" t="s">
        <v>61</v>
      </c>
      <c r="H2225" t="s">
        <v>47</v>
      </c>
      <c r="I2225" t="s">
        <v>2195</v>
      </c>
      <c r="J2225" s="10">
        <v>1</v>
      </c>
      <c r="K2225" t="b">
        <v>1</v>
      </c>
    </row>
    <row r="2226" spans="1:11">
      <c r="A2226" s="12">
        <v>41919</v>
      </c>
      <c r="B2226">
        <v>2014</v>
      </c>
      <c r="C2226">
        <v>10</v>
      </c>
      <c r="D2226" s="11">
        <v>41913</v>
      </c>
      <c r="E2226" t="s">
        <v>2182</v>
      </c>
      <c r="F2226">
        <v>2</v>
      </c>
      <c r="G2226" t="s">
        <v>63</v>
      </c>
      <c r="H2226" t="s">
        <v>40</v>
      </c>
      <c r="I2226" t="s">
        <v>2188</v>
      </c>
      <c r="J2226" s="10">
        <v>3</v>
      </c>
      <c r="K2226" t="b">
        <v>1</v>
      </c>
    </row>
    <row r="2227" spans="1:11">
      <c r="A2227" s="12">
        <v>41919</v>
      </c>
      <c r="B2227">
        <v>2014</v>
      </c>
      <c r="C2227">
        <v>10</v>
      </c>
      <c r="D2227" s="11">
        <v>41913</v>
      </c>
      <c r="E2227" t="s">
        <v>2182</v>
      </c>
      <c r="F2227">
        <v>2</v>
      </c>
      <c r="G2227" t="s">
        <v>63</v>
      </c>
      <c r="H2227" t="s">
        <v>41</v>
      </c>
      <c r="I2227" t="s">
        <v>2189</v>
      </c>
      <c r="J2227" s="10">
        <v>4.34</v>
      </c>
      <c r="K2227" t="b">
        <v>1</v>
      </c>
    </row>
    <row r="2228" spans="1:11">
      <c r="A2228" s="12">
        <v>41919</v>
      </c>
      <c r="B2228">
        <v>2014</v>
      </c>
      <c r="C2228">
        <v>10</v>
      </c>
      <c r="D2228" s="11">
        <v>41913</v>
      </c>
      <c r="E2228" t="s">
        <v>2182</v>
      </c>
      <c r="F2228">
        <v>2</v>
      </c>
      <c r="G2228" t="s">
        <v>63</v>
      </c>
      <c r="H2228" t="s">
        <v>42</v>
      </c>
      <c r="I2228" t="s">
        <v>2190</v>
      </c>
      <c r="J2228" s="10">
        <v>2.2</v>
      </c>
      <c r="K2228" t="b">
        <v>1</v>
      </c>
    </row>
    <row r="2229" spans="1:11">
      <c r="A2229" s="12">
        <v>41919</v>
      </c>
      <c r="B2229">
        <v>2014</v>
      </c>
      <c r="C2229">
        <v>10</v>
      </c>
      <c r="D2229" s="11">
        <v>41913</v>
      </c>
      <c r="E2229" t="s">
        <v>2182</v>
      </c>
      <c r="F2229">
        <v>2</v>
      </c>
      <c r="G2229" t="s">
        <v>63</v>
      </c>
      <c r="H2229" t="s">
        <v>43</v>
      </c>
      <c r="I2229" t="s">
        <v>2191</v>
      </c>
      <c r="J2229" s="10">
        <v>41.7</v>
      </c>
      <c r="K2229" t="b">
        <v>1</v>
      </c>
    </row>
    <row r="2230" spans="1:11">
      <c r="A2230" s="12">
        <v>41919</v>
      </c>
      <c r="B2230">
        <v>2014</v>
      </c>
      <c r="C2230">
        <v>10</v>
      </c>
      <c r="D2230" s="11">
        <v>41913</v>
      </c>
      <c r="E2230" t="s">
        <v>2182</v>
      </c>
      <c r="F2230">
        <v>2</v>
      </c>
      <c r="G2230" t="s">
        <v>63</v>
      </c>
      <c r="H2230" t="s">
        <v>44</v>
      </c>
      <c r="I2230" t="s">
        <v>2192</v>
      </c>
      <c r="J2230" s="10">
        <v>17</v>
      </c>
      <c r="K2230" t="b">
        <v>1</v>
      </c>
    </row>
    <row r="2231" spans="1:11">
      <c r="A2231" s="12">
        <v>41919</v>
      </c>
      <c r="B2231">
        <v>2014</v>
      </c>
      <c r="C2231">
        <v>10</v>
      </c>
      <c r="D2231" s="11">
        <v>41913</v>
      </c>
      <c r="E2231" t="s">
        <v>2182</v>
      </c>
      <c r="F2231">
        <v>2</v>
      </c>
      <c r="G2231" t="s">
        <v>63</v>
      </c>
      <c r="H2231" t="s">
        <v>45</v>
      </c>
      <c r="I2231" t="s">
        <v>2193</v>
      </c>
      <c r="J2231" s="10">
        <v>1</v>
      </c>
      <c r="K2231" t="b">
        <v>1</v>
      </c>
    </row>
    <row r="2232" spans="1:11">
      <c r="A2232" s="12">
        <v>41919</v>
      </c>
      <c r="B2232">
        <v>2014</v>
      </c>
      <c r="C2232">
        <v>10</v>
      </c>
      <c r="D2232" s="11">
        <v>41913</v>
      </c>
      <c r="E2232" t="s">
        <v>2182</v>
      </c>
      <c r="F2232">
        <v>2</v>
      </c>
      <c r="G2232" t="s">
        <v>63</v>
      </c>
      <c r="H2232" t="s">
        <v>46</v>
      </c>
      <c r="I2232" t="s">
        <v>2194</v>
      </c>
      <c r="J2232" s="10">
        <v>5</v>
      </c>
      <c r="K2232" t="b">
        <v>1</v>
      </c>
    </row>
    <row r="2233" spans="1:11">
      <c r="A2233" s="12">
        <v>41919</v>
      </c>
      <c r="B2233">
        <v>2014</v>
      </c>
      <c r="C2233">
        <v>10</v>
      </c>
      <c r="D2233" s="11">
        <v>41913</v>
      </c>
      <c r="E2233" t="s">
        <v>2182</v>
      </c>
      <c r="F2233">
        <v>2</v>
      </c>
      <c r="G2233" t="s">
        <v>63</v>
      </c>
      <c r="H2233" t="s">
        <v>47</v>
      </c>
      <c r="I2233" t="s">
        <v>2195</v>
      </c>
      <c r="J2233" s="10">
        <v>0</v>
      </c>
      <c r="K2233" t="b">
        <v>1</v>
      </c>
    </row>
    <row r="2234" spans="1:11">
      <c r="A2234" s="12">
        <v>41920</v>
      </c>
      <c r="B2234">
        <v>2014</v>
      </c>
      <c r="C2234">
        <v>10</v>
      </c>
      <c r="D2234" s="11">
        <v>41913</v>
      </c>
      <c r="E2234" t="s">
        <v>2182</v>
      </c>
      <c r="F2234">
        <v>3</v>
      </c>
      <c r="G2234" t="s">
        <v>65</v>
      </c>
      <c r="H2234" t="s">
        <v>40</v>
      </c>
      <c r="I2234" t="s">
        <v>2188</v>
      </c>
      <c r="J2234" s="10">
        <v>3.68</v>
      </c>
      <c r="K2234" t="b">
        <v>1</v>
      </c>
    </row>
    <row r="2235" spans="1:11">
      <c r="A2235" s="12">
        <v>41920</v>
      </c>
      <c r="B2235">
        <v>2014</v>
      </c>
      <c r="C2235">
        <v>10</v>
      </c>
      <c r="D2235" s="11">
        <v>41913</v>
      </c>
      <c r="E2235" t="s">
        <v>2182</v>
      </c>
      <c r="F2235">
        <v>3</v>
      </c>
      <c r="G2235" t="s">
        <v>65</v>
      </c>
      <c r="H2235" t="s">
        <v>41</v>
      </c>
      <c r="I2235" t="s">
        <v>2189</v>
      </c>
      <c r="J2235" s="10">
        <v>6</v>
      </c>
      <c r="K2235" t="b">
        <v>1</v>
      </c>
    </row>
    <row r="2236" spans="1:11">
      <c r="A2236" s="12">
        <v>41920</v>
      </c>
      <c r="B2236">
        <v>2014</v>
      </c>
      <c r="C2236">
        <v>10</v>
      </c>
      <c r="D2236" s="11">
        <v>41913</v>
      </c>
      <c r="E2236" t="s">
        <v>2182</v>
      </c>
      <c r="F2236">
        <v>3</v>
      </c>
      <c r="G2236" t="s">
        <v>65</v>
      </c>
      <c r="H2236" t="s">
        <v>42</v>
      </c>
      <c r="I2236" t="s">
        <v>2190</v>
      </c>
      <c r="J2236" s="10">
        <v>7</v>
      </c>
      <c r="K2236" t="b">
        <v>1</v>
      </c>
    </row>
    <row r="2237" spans="1:11">
      <c r="A2237" s="12">
        <v>41920</v>
      </c>
      <c r="B2237">
        <v>2014</v>
      </c>
      <c r="C2237">
        <v>10</v>
      </c>
      <c r="D2237" s="11">
        <v>41913</v>
      </c>
      <c r="E2237" t="s">
        <v>2182</v>
      </c>
      <c r="F2237">
        <v>3</v>
      </c>
      <c r="G2237" t="s">
        <v>65</v>
      </c>
      <c r="H2237" t="s">
        <v>43</v>
      </c>
      <c r="I2237" t="s">
        <v>2191</v>
      </c>
      <c r="J2237" s="10">
        <v>50</v>
      </c>
      <c r="K2237" t="b">
        <v>1</v>
      </c>
    </row>
    <row r="2238" spans="1:11">
      <c r="A2238" s="12">
        <v>41920</v>
      </c>
      <c r="B2238">
        <v>2014</v>
      </c>
      <c r="C2238">
        <v>10</v>
      </c>
      <c r="D2238" s="11">
        <v>41913</v>
      </c>
      <c r="E2238" t="s">
        <v>2182</v>
      </c>
      <c r="F2238">
        <v>3</v>
      </c>
      <c r="G2238" t="s">
        <v>65</v>
      </c>
      <c r="H2238" t="s">
        <v>44</v>
      </c>
      <c r="I2238" t="s">
        <v>2192</v>
      </c>
      <c r="J2238" s="10">
        <v>17</v>
      </c>
      <c r="K2238" t="b">
        <v>1</v>
      </c>
    </row>
    <row r="2239" spans="1:11">
      <c r="A2239" s="12">
        <v>41920</v>
      </c>
      <c r="B2239">
        <v>2014</v>
      </c>
      <c r="C2239">
        <v>10</v>
      </c>
      <c r="D2239" s="11">
        <v>41913</v>
      </c>
      <c r="E2239" t="s">
        <v>2182</v>
      </c>
      <c r="F2239">
        <v>3</v>
      </c>
      <c r="G2239" t="s">
        <v>65</v>
      </c>
      <c r="H2239" t="s">
        <v>45</v>
      </c>
      <c r="I2239" t="s">
        <v>2193</v>
      </c>
      <c r="J2239" s="10">
        <v>0</v>
      </c>
      <c r="K2239" t="b">
        <v>1</v>
      </c>
    </row>
    <row r="2240" spans="1:11">
      <c r="A2240" s="12">
        <v>41920</v>
      </c>
      <c r="B2240">
        <v>2014</v>
      </c>
      <c r="C2240">
        <v>10</v>
      </c>
      <c r="D2240" s="11">
        <v>41913</v>
      </c>
      <c r="E2240" t="s">
        <v>2182</v>
      </c>
      <c r="F2240">
        <v>3</v>
      </c>
      <c r="G2240" t="s">
        <v>65</v>
      </c>
      <c r="H2240" t="s">
        <v>46</v>
      </c>
      <c r="I2240" t="s">
        <v>2194</v>
      </c>
      <c r="J2240" s="10">
        <v>0</v>
      </c>
      <c r="K2240" t="b">
        <v>1</v>
      </c>
    </row>
    <row r="2241" spans="1:11">
      <c r="A2241" s="12">
        <v>41920</v>
      </c>
      <c r="B2241">
        <v>2014</v>
      </c>
      <c r="C2241">
        <v>10</v>
      </c>
      <c r="D2241" s="11">
        <v>41913</v>
      </c>
      <c r="E2241" t="s">
        <v>2182</v>
      </c>
      <c r="F2241">
        <v>3</v>
      </c>
      <c r="G2241" t="s">
        <v>65</v>
      </c>
      <c r="H2241" t="s">
        <v>47</v>
      </c>
      <c r="I2241" t="s">
        <v>2195</v>
      </c>
      <c r="J2241" s="10">
        <v>2</v>
      </c>
      <c r="K2241" t="b">
        <v>1</v>
      </c>
    </row>
    <row r="2242" spans="1:11">
      <c r="A2242" s="12">
        <v>41921</v>
      </c>
      <c r="B2242">
        <v>2014</v>
      </c>
      <c r="C2242">
        <v>10</v>
      </c>
      <c r="D2242" s="11">
        <v>41913</v>
      </c>
      <c r="E2242" t="s">
        <v>2182</v>
      </c>
      <c r="F2242">
        <v>4</v>
      </c>
      <c r="G2242" t="s">
        <v>53</v>
      </c>
      <c r="H2242" t="s">
        <v>40</v>
      </c>
      <c r="I2242" t="s">
        <v>2188</v>
      </c>
      <c r="J2242" s="10">
        <v>1</v>
      </c>
      <c r="K2242" t="b">
        <v>1</v>
      </c>
    </row>
    <row r="2243" spans="1:11">
      <c r="A2243" s="12">
        <v>41921</v>
      </c>
      <c r="B2243">
        <v>2014</v>
      </c>
      <c r="C2243">
        <v>10</v>
      </c>
      <c r="D2243" s="11">
        <v>41913</v>
      </c>
      <c r="E2243" t="s">
        <v>2182</v>
      </c>
      <c r="F2243">
        <v>4</v>
      </c>
      <c r="G2243" t="s">
        <v>53</v>
      </c>
      <c r="H2243" t="s">
        <v>41</v>
      </c>
      <c r="I2243" t="s">
        <v>2189</v>
      </c>
      <c r="J2243" s="10">
        <v>4.69</v>
      </c>
      <c r="K2243" t="b">
        <v>1</v>
      </c>
    </row>
    <row r="2244" spans="1:11">
      <c r="A2244" s="12">
        <v>41921</v>
      </c>
      <c r="B2244">
        <v>2014</v>
      </c>
      <c r="C2244">
        <v>10</v>
      </c>
      <c r="D2244" s="11">
        <v>41913</v>
      </c>
      <c r="E2244" t="s">
        <v>2182</v>
      </c>
      <c r="F2244">
        <v>4</v>
      </c>
      <c r="G2244" t="s">
        <v>53</v>
      </c>
      <c r="H2244" t="s">
        <v>42</v>
      </c>
      <c r="I2244" t="s">
        <v>2190</v>
      </c>
      <c r="J2244" s="10">
        <v>6</v>
      </c>
      <c r="K2244" t="b">
        <v>1</v>
      </c>
    </row>
    <row r="2245" spans="1:11">
      <c r="A2245" s="12">
        <v>41921</v>
      </c>
      <c r="B2245">
        <v>2014</v>
      </c>
      <c r="C2245">
        <v>10</v>
      </c>
      <c r="D2245" s="11">
        <v>41913</v>
      </c>
      <c r="E2245" t="s">
        <v>2182</v>
      </c>
      <c r="F2245">
        <v>4</v>
      </c>
      <c r="G2245" t="s">
        <v>53</v>
      </c>
      <c r="H2245" t="s">
        <v>43</v>
      </c>
      <c r="I2245" t="s">
        <v>2191</v>
      </c>
      <c r="J2245" s="10">
        <v>48.2</v>
      </c>
      <c r="K2245" t="b">
        <v>1</v>
      </c>
    </row>
    <row r="2246" spans="1:11">
      <c r="A2246" s="12">
        <v>41921</v>
      </c>
      <c r="B2246">
        <v>2014</v>
      </c>
      <c r="C2246">
        <v>10</v>
      </c>
      <c r="D2246" s="11">
        <v>41913</v>
      </c>
      <c r="E2246" t="s">
        <v>2182</v>
      </c>
      <c r="F2246">
        <v>4</v>
      </c>
      <c r="G2246" t="s">
        <v>53</v>
      </c>
      <c r="H2246" t="s">
        <v>44</v>
      </c>
      <c r="I2246" t="s">
        <v>2192</v>
      </c>
      <c r="J2246" s="10">
        <v>10</v>
      </c>
      <c r="K2246" t="b">
        <v>1</v>
      </c>
    </row>
    <row r="2247" spans="1:11">
      <c r="A2247" s="12">
        <v>41921</v>
      </c>
      <c r="B2247">
        <v>2014</v>
      </c>
      <c r="C2247">
        <v>10</v>
      </c>
      <c r="D2247" s="11">
        <v>41913</v>
      </c>
      <c r="E2247" t="s">
        <v>2182</v>
      </c>
      <c r="F2247">
        <v>4</v>
      </c>
      <c r="G2247" t="s">
        <v>53</v>
      </c>
      <c r="H2247" t="s">
        <v>45</v>
      </c>
      <c r="I2247" t="s">
        <v>2193</v>
      </c>
      <c r="J2247" s="10">
        <v>2</v>
      </c>
      <c r="K2247" t="b">
        <v>1</v>
      </c>
    </row>
    <row r="2248" spans="1:11">
      <c r="A2248" s="12">
        <v>41921</v>
      </c>
      <c r="B2248">
        <v>2014</v>
      </c>
      <c r="C2248">
        <v>10</v>
      </c>
      <c r="D2248" s="11">
        <v>41913</v>
      </c>
      <c r="E2248" t="s">
        <v>2182</v>
      </c>
      <c r="F2248">
        <v>4</v>
      </c>
      <c r="G2248" t="s">
        <v>53</v>
      </c>
      <c r="H2248" t="s">
        <v>46</v>
      </c>
      <c r="I2248" t="s">
        <v>2194</v>
      </c>
      <c r="J2248" s="10">
        <v>5</v>
      </c>
      <c r="K2248" t="b">
        <v>1</v>
      </c>
    </row>
    <row r="2249" spans="1:11">
      <c r="A2249" s="12">
        <v>41921</v>
      </c>
      <c r="B2249">
        <v>2014</v>
      </c>
      <c r="C2249">
        <v>10</v>
      </c>
      <c r="D2249" s="11">
        <v>41913</v>
      </c>
      <c r="E2249" t="s">
        <v>2182</v>
      </c>
      <c r="F2249">
        <v>4</v>
      </c>
      <c r="G2249" t="s">
        <v>53</v>
      </c>
      <c r="H2249" t="s">
        <v>47</v>
      </c>
      <c r="I2249" t="s">
        <v>2195</v>
      </c>
      <c r="J2249" s="10">
        <v>0</v>
      </c>
      <c r="K2249" t="b">
        <v>1</v>
      </c>
    </row>
    <row r="2250" spans="1:11">
      <c r="A2250" s="12">
        <v>41922</v>
      </c>
      <c r="B2250">
        <v>2014</v>
      </c>
      <c r="C2250">
        <v>10</v>
      </c>
      <c r="D2250" s="11">
        <v>41913</v>
      </c>
      <c r="E2250" t="s">
        <v>2182</v>
      </c>
      <c r="F2250">
        <v>5</v>
      </c>
      <c r="G2250" t="s">
        <v>55</v>
      </c>
      <c r="H2250" t="s">
        <v>40</v>
      </c>
      <c r="I2250" t="s">
        <v>2188</v>
      </c>
      <c r="J2250" s="10">
        <v>4.34</v>
      </c>
      <c r="K2250" t="b">
        <v>1</v>
      </c>
    </row>
    <row r="2251" spans="1:11">
      <c r="A2251" s="12">
        <v>41922</v>
      </c>
      <c r="B2251">
        <v>2014</v>
      </c>
      <c r="C2251">
        <v>10</v>
      </c>
      <c r="D2251" s="11">
        <v>41913</v>
      </c>
      <c r="E2251" t="s">
        <v>2182</v>
      </c>
      <c r="F2251">
        <v>5</v>
      </c>
      <c r="G2251" t="s">
        <v>55</v>
      </c>
      <c r="H2251" t="s">
        <v>41</v>
      </c>
      <c r="I2251" t="s">
        <v>2189</v>
      </c>
      <c r="J2251" s="10">
        <v>2.68</v>
      </c>
      <c r="K2251" t="b">
        <v>1</v>
      </c>
    </row>
    <row r="2252" spans="1:11">
      <c r="A2252" s="12">
        <v>41922</v>
      </c>
      <c r="B2252">
        <v>2014</v>
      </c>
      <c r="C2252">
        <v>10</v>
      </c>
      <c r="D2252" s="11">
        <v>41913</v>
      </c>
      <c r="E2252" t="s">
        <v>2182</v>
      </c>
      <c r="F2252">
        <v>5</v>
      </c>
      <c r="G2252" t="s">
        <v>55</v>
      </c>
      <c r="H2252" t="s">
        <v>42</v>
      </c>
      <c r="I2252" t="s">
        <v>2190</v>
      </c>
      <c r="J2252" s="10">
        <v>9</v>
      </c>
      <c r="K2252" t="b">
        <v>1</v>
      </c>
    </row>
    <row r="2253" spans="1:11">
      <c r="A2253" s="12">
        <v>41922</v>
      </c>
      <c r="B2253">
        <v>2014</v>
      </c>
      <c r="C2253">
        <v>10</v>
      </c>
      <c r="D2253" s="11">
        <v>41913</v>
      </c>
      <c r="E2253" t="s">
        <v>2182</v>
      </c>
      <c r="F2253">
        <v>5</v>
      </c>
      <c r="G2253" t="s">
        <v>55</v>
      </c>
      <c r="H2253" t="s">
        <v>43</v>
      </c>
      <c r="I2253" t="s">
        <v>2191</v>
      </c>
      <c r="J2253" s="10">
        <v>28.8</v>
      </c>
      <c r="K2253" t="b">
        <v>1</v>
      </c>
    </row>
    <row r="2254" spans="1:11">
      <c r="A2254" s="12">
        <v>41922</v>
      </c>
      <c r="B2254">
        <v>2014</v>
      </c>
      <c r="C2254">
        <v>10</v>
      </c>
      <c r="D2254" s="11">
        <v>41913</v>
      </c>
      <c r="E2254" t="s">
        <v>2182</v>
      </c>
      <c r="F2254">
        <v>5</v>
      </c>
      <c r="G2254" t="s">
        <v>55</v>
      </c>
      <c r="H2254" t="s">
        <v>44</v>
      </c>
      <c r="I2254" t="s">
        <v>2192</v>
      </c>
      <c r="J2254" s="10">
        <v>24</v>
      </c>
      <c r="K2254" t="b">
        <v>1</v>
      </c>
    </row>
    <row r="2255" spans="1:11">
      <c r="A2255" s="12">
        <v>41922</v>
      </c>
      <c r="B2255">
        <v>2014</v>
      </c>
      <c r="C2255">
        <v>10</v>
      </c>
      <c r="D2255" s="11">
        <v>41913</v>
      </c>
      <c r="E2255" t="s">
        <v>2182</v>
      </c>
      <c r="F2255">
        <v>5</v>
      </c>
      <c r="G2255" t="s">
        <v>55</v>
      </c>
      <c r="H2255" t="s">
        <v>45</v>
      </c>
      <c r="I2255" t="s">
        <v>2193</v>
      </c>
      <c r="J2255" s="10">
        <v>3</v>
      </c>
      <c r="K2255" t="b">
        <v>1</v>
      </c>
    </row>
    <row r="2256" spans="1:11">
      <c r="A2256" s="12">
        <v>41922</v>
      </c>
      <c r="B2256">
        <v>2014</v>
      </c>
      <c r="C2256">
        <v>10</v>
      </c>
      <c r="D2256" s="11">
        <v>41913</v>
      </c>
      <c r="E2256" t="s">
        <v>2182</v>
      </c>
      <c r="F2256">
        <v>5</v>
      </c>
      <c r="G2256" t="s">
        <v>55</v>
      </c>
      <c r="H2256" t="s">
        <v>46</v>
      </c>
      <c r="I2256" t="s">
        <v>2194</v>
      </c>
      <c r="J2256" s="10">
        <v>6</v>
      </c>
      <c r="K2256" t="b">
        <v>1</v>
      </c>
    </row>
    <row r="2257" spans="1:11">
      <c r="A2257" s="12">
        <v>41922</v>
      </c>
      <c r="B2257">
        <v>2014</v>
      </c>
      <c r="C2257">
        <v>10</v>
      </c>
      <c r="D2257" s="11">
        <v>41913</v>
      </c>
      <c r="E2257" t="s">
        <v>2182</v>
      </c>
      <c r="F2257">
        <v>5</v>
      </c>
      <c r="G2257" t="s">
        <v>55</v>
      </c>
      <c r="H2257" t="s">
        <v>47</v>
      </c>
      <c r="I2257" t="s">
        <v>2195</v>
      </c>
      <c r="J2257" s="10">
        <v>0.5</v>
      </c>
      <c r="K2257" t="b">
        <v>1</v>
      </c>
    </row>
    <row r="2258" spans="1:11">
      <c r="A2258" s="12">
        <v>41923</v>
      </c>
      <c r="B2258">
        <v>2014</v>
      </c>
      <c r="C2258">
        <v>10</v>
      </c>
      <c r="D2258" s="11">
        <v>41913</v>
      </c>
      <c r="E2258" t="s">
        <v>2182</v>
      </c>
      <c r="F2258">
        <v>6</v>
      </c>
      <c r="G2258" t="s">
        <v>57</v>
      </c>
      <c r="H2258" t="s">
        <v>40</v>
      </c>
      <c r="I2258" t="s">
        <v>2188</v>
      </c>
      <c r="J2258" s="10">
        <v>3.34</v>
      </c>
      <c r="K2258" t="b">
        <v>1</v>
      </c>
    </row>
    <row r="2259" spans="1:11">
      <c r="A2259" s="12">
        <v>41923</v>
      </c>
      <c r="B2259">
        <v>2014</v>
      </c>
      <c r="C2259">
        <v>10</v>
      </c>
      <c r="D2259" s="11">
        <v>41913</v>
      </c>
      <c r="E2259" t="s">
        <v>2182</v>
      </c>
      <c r="F2259">
        <v>6</v>
      </c>
      <c r="G2259" t="s">
        <v>57</v>
      </c>
      <c r="H2259" t="s">
        <v>41</v>
      </c>
      <c r="I2259" t="s">
        <v>2189</v>
      </c>
      <c r="J2259" s="10">
        <v>3.68</v>
      </c>
      <c r="K2259" t="b">
        <v>1</v>
      </c>
    </row>
    <row r="2260" spans="1:11">
      <c r="A2260" s="12">
        <v>41923</v>
      </c>
      <c r="B2260">
        <v>2014</v>
      </c>
      <c r="C2260">
        <v>10</v>
      </c>
      <c r="D2260" s="11">
        <v>41913</v>
      </c>
      <c r="E2260" t="s">
        <v>2182</v>
      </c>
      <c r="F2260">
        <v>6</v>
      </c>
      <c r="G2260" t="s">
        <v>57</v>
      </c>
      <c r="H2260" t="s">
        <v>42</v>
      </c>
      <c r="I2260" t="s">
        <v>2190</v>
      </c>
      <c r="J2260" s="10">
        <v>5</v>
      </c>
      <c r="K2260" t="b">
        <v>1</v>
      </c>
    </row>
    <row r="2261" spans="1:11">
      <c r="A2261" s="12">
        <v>41923</v>
      </c>
      <c r="B2261">
        <v>2014</v>
      </c>
      <c r="C2261">
        <v>10</v>
      </c>
      <c r="D2261" s="11">
        <v>41913</v>
      </c>
      <c r="E2261" t="s">
        <v>2182</v>
      </c>
      <c r="F2261">
        <v>6</v>
      </c>
      <c r="G2261" t="s">
        <v>57</v>
      </c>
      <c r="H2261" t="s">
        <v>43</v>
      </c>
      <c r="I2261" t="s">
        <v>2191</v>
      </c>
      <c r="J2261" s="10">
        <v>35.9</v>
      </c>
      <c r="K2261" t="b">
        <v>1</v>
      </c>
    </row>
    <row r="2262" spans="1:11">
      <c r="A2262" s="12">
        <v>41923</v>
      </c>
      <c r="B2262">
        <v>2014</v>
      </c>
      <c r="C2262">
        <v>10</v>
      </c>
      <c r="D2262" s="11">
        <v>41913</v>
      </c>
      <c r="E2262" t="s">
        <v>2182</v>
      </c>
      <c r="F2262">
        <v>6</v>
      </c>
      <c r="G2262" t="s">
        <v>57</v>
      </c>
      <c r="H2262" t="s">
        <v>44</v>
      </c>
      <c r="I2262" t="s">
        <v>2192</v>
      </c>
      <c r="J2262" s="10">
        <v>15</v>
      </c>
      <c r="K2262" t="b">
        <v>1</v>
      </c>
    </row>
    <row r="2263" spans="1:11">
      <c r="A2263" s="12">
        <v>41923</v>
      </c>
      <c r="B2263">
        <v>2014</v>
      </c>
      <c r="C2263">
        <v>10</v>
      </c>
      <c r="D2263" s="11">
        <v>41913</v>
      </c>
      <c r="E2263" t="s">
        <v>2182</v>
      </c>
      <c r="F2263">
        <v>6</v>
      </c>
      <c r="G2263" t="s">
        <v>57</v>
      </c>
      <c r="H2263" t="s">
        <v>45</v>
      </c>
      <c r="I2263" t="s">
        <v>2193</v>
      </c>
      <c r="J2263" s="10">
        <v>0</v>
      </c>
      <c r="K2263" t="b">
        <v>1</v>
      </c>
    </row>
    <row r="2264" spans="1:11">
      <c r="A2264" s="12">
        <v>41923</v>
      </c>
      <c r="B2264">
        <v>2014</v>
      </c>
      <c r="C2264">
        <v>10</v>
      </c>
      <c r="D2264" s="11">
        <v>41913</v>
      </c>
      <c r="E2264" t="s">
        <v>2182</v>
      </c>
      <c r="F2264">
        <v>6</v>
      </c>
      <c r="G2264" t="s">
        <v>57</v>
      </c>
      <c r="H2264" t="s">
        <v>46</v>
      </c>
      <c r="I2264" t="s">
        <v>2194</v>
      </c>
      <c r="J2264" s="10">
        <v>0</v>
      </c>
      <c r="K2264" t="b">
        <v>1</v>
      </c>
    </row>
    <row r="2265" spans="1:11">
      <c r="A2265" s="12">
        <v>41923</v>
      </c>
      <c r="B2265">
        <v>2014</v>
      </c>
      <c r="C2265">
        <v>10</v>
      </c>
      <c r="D2265" s="11">
        <v>41913</v>
      </c>
      <c r="E2265" t="s">
        <v>2182</v>
      </c>
      <c r="F2265">
        <v>6</v>
      </c>
      <c r="G2265" t="s">
        <v>57</v>
      </c>
      <c r="H2265" t="s">
        <v>47</v>
      </c>
      <c r="I2265" t="s">
        <v>2195</v>
      </c>
      <c r="J2265" s="10">
        <v>5</v>
      </c>
      <c r="K2265" t="b">
        <v>1</v>
      </c>
    </row>
    <row r="2266" spans="1:11">
      <c r="A2266" s="12">
        <v>41924</v>
      </c>
      <c r="B2266">
        <v>2014</v>
      </c>
      <c r="C2266">
        <v>10</v>
      </c>
      <c r="D2266" s="11">
        <v>41913</v>
      </c>
      <c r="E2266" t="s">
        <v>2182</v>
      </c>
      <c r="F2266">
        <v>7</v>
      </c>
      <c r="G2266" t="s">
        <v>59</v>
      </c>
      <c r="H2266" t="s">
        <v>40</v>
      </c>
      <c r="I2266" t="s">
        <v>2188</v>
      </c>
      <c r="J2266" s="10">
        <v>3</v>
      </c>
      <c r="K2266" t="b">
        <v>1</v>
      </c>
    </row>
    <row r="2267" spans="1:11">
      <c r="A2267" s="12">
        <v>41924</v>
      </c>
      <c r="B2267">
        <v>2014</v>
      </c>
      <c r="C2267">
        <v>10</v>
      </c>
      <c r="D2267" s="11">
        <v>41913</v>
      </c>
      <c r="E2267" t="s">
        <v>2182</v>
      </c>
      <c r="F2267">
        <v>7</v>
      </c>
      <c r="G2267" t="s">
        <v>59</v>
      </c>
      <c r="H2267" t="s">
        <v>41</v>
      </c>
      <c r="I2267" t="s">
        <v>2189</v>
      </c>
      <c r="J2267" s="10">
        <v>0.33</v>
      </c>
      <c r="K2267" t="b">
        <v>1</v>
      </c>
    </row>
    <row r="2268" spans="1:11">
      <c r="A2268" s="12">
        <v>41924</v>
      </c>
      <c r="B2268">
        <v>2014</v>
      </c>
      <c r="C2268">
        <v>10</v>
      </c>
      <c r="D2268" s="11">
        <v>41913</v>
      </c>
      <c r="E2268" t="s">
        <v>2182</v>
      </c>
      <c r="F2268">
        <v>7</v>
      </c>
      <c r="G2268" t="s">
        <v>59</v>
      </c>
      <c r="H2268" t="s">
        <v>42</v>
      </c>
      <c r="I2268" t="s">
        <v>2190</v>
      </c>
      <c r="J2268" s="10">
        <v>1.5</v>
      </c>
      <c r="K2268" t="b">
        <v>1</v>
      </c>
    </row>
    <row r="2269" spans="1:11">
      <c r="A2269" s="12">
        <v>41924</v>
      </c>
      <c r="B2269">
        <v>2014</v>
      </c>
      <c r="C2269">
        <v>10</v>
      </c>
      <c r="D2269" s="11">
        <v>41913</v>
      </c>
      <c r="E2269" t="s">
        <v>2182</v>
      </c>
      <c r="F2269">
        <v>7</v>
      </c>
      <c r="G2269" t="s">
        <v>59</v>
      </c>
      <c r="H2269" t="s">
        <v>43</v>
      </c>
      <c r="I2269" t="s">
        <v>2191</v>
      </c>
      <c r="J2269" s="10">
        <v>22.5</v>
      </c>
      <c r="K2269" t="b">
        <v>1</v>
      </c>
    </row>
    <row r="2270" spans="1:11">
      <c r="A2270" s="12">
        <v>41924</v>
      </c>
      <c r="B2270">
        <v>2014</v>
      </c>
      <c r="C2270">
        <v>10</v>
      </c>
      <c r="D2270" s="11">
        <v>41913</v>
      </c>
      <c r="E2270" t="s">
        <v>2182</v>
      </c>
      <c r="F2270">
        <v>7</v>
      </c>
      <c r="G2270" t="s">
        <v>59</v>
      </c>
      <c r="H2270" t="s">
        <v>44</v>
      </c>
      <c r="I2270" t="s">
        <v>2192</v>
      </c>
      <c r="J2270" s="10">
        <v>7</v>
      </c>
      <c r="K2270" t="b">
        <v>1</v>
      </c>
    </row>
    <row r="2271" spans="1:11">
      <c r="A2271" s="12">
        <v>41924</v>
      </c>
      <c r="B2271">
        <v>2014</v>
      </c>
      <c r="C2271">
        <v>10</v>
      </c>
      <c r="D2271" s="11">
        <v>41913</v>
      </c>
      <c r="E2271" t="s">
        <v>2182</v>
      </c>
      <c r="F2271">
        <v>7</v>
      </c>
      <c r="G2271" t="s">
        <v>59</v>
      </c>
      <c r="H2271" t="s">
        <v>45</v>
      </c>
      <c r="I2271" t="s">
        <v>2193</v>
      </c>
      <c r="J2271" s="10">
        <v>0</v>
      </c>
      <c r="K2271" t="b">
        <v>1</v>
      </c>
    </row>
    <row r="2272" spans="1:11">
      <c r="A2272" s="12">
        <v>41924</v>
      </c>
      <c r="B2272">
        <v>2014</v>
      </c>
      <c r="C2272">
        <v>10</v>
      </c>
      <c r="D2272" s="11">
        <v>41913</v>
      </c>
      <c r="E2272" t="s">
        <v>2182</v>
      </c>
      <c r="F2272">
        <v>7</v>
      </c>
      <c r="G2272" t="s">
        <v>59</v>
      </c>
      <c r="H2272" t="s">
        <v>46</v>
      </c>
      <c r="I2272" t="s">
        <v>2194</v>
      </c>
      <c r="J2272" s="10">
        <v>5</v>
      </c>
      <c r="K2272" t="b">
        <v>1</v>
      </c>
    </row>
    <row r="2273" spans="1:11">
      <c r="A2273" s="12">
        <v>41924</v>
      </c>
      <c r="B2273">
        <v>2014</v>
      </c>
      <c r="C2273">
        <v>10</v>
      </c>
      <c r="D2273" s="11">
        <v>41913</v>
      </c>
      <c r="E2273" t="s">
        <v>2182</v>
      </c>
      <c r="F2273">
        <v>7</v>
      </c>
      <c r="G2273" t="s">
        <v>59</v>
      </c>
      <c r="H2273" t="s">
        <v>47</v>
      </c>
      <c r="I2273" t="s">
        <v>2195</v>
      </c>
      <c r="J2273" s="10">
        <v>2</v>
      </c>
      <c r="K2273" t="b">
        <v>1</v>
      </c>
    </row>
    <row r="2274" spans="1:11">
      <c r="A2274" s="12">
        <v>41925</v>
      </c>
      <c r="B2274">
        <v>2014</v>
      </c>
      <c r="C2274">
        <v>10</v>
      </c>
      <c r="D2274" s="11">
        <v>41913</v>
      </c>
      <c r="E2274" t="s">
        <v>2182</v>
      </c>
      <c r="F2274">
        <v>1</v>
      </c>
      <c r="G2274" t="s">
        <v>61</v>
      </c>
      <c r="H2274" t="s">
        <v>40</v>
      </c>
      <c r="I2274" t="s">
        <v>2188</v>
      </c>
      <c r="J2274" s="10">
        <v>1.68</v>
      </c>
      <c r="K2274" t="b">
        <v>1</v>
      </c>
    </row>
    <row r="2275" spans="1:11">
      <c r="A2275" s="12">
        <v>41925</v>
      </c>
      <c r="B2275">
        <v>2014</v>
      </c>
      <c r="C2275">
        <v>10</v>
      </c>
      <c r="D2275" s="11">
        <v>41913</v>
      </c>
      <c r="E2275" t="s">
        <v>2182</v>
      </c>
      <c r="F2275">
        <v>1</v>
      </c>
      <c r="G2275" t="s">
        <v>61</v>
      </c>
      <c r="H2275" t="s">
        <v>41</v>
      </c>
      <c r="I2275" t="s">
        <v>2189</v>
      </c>
      <c r="J2275" s="10">
        <v>4</v>
      </c>
      <c r="K2275" t="b">
        <v>1</v>
      </c>
    </row>
    <row r="2276" spans="1:11">
      <c r="A2276" s="12">
        <v>41925</v>
      </c>
      <c r="B2276">
        <v>2014</v>
      </c>
      <c r="C2276">
        <v>10</v>
      </c>
      <c r="D2276" s="11">
        <v>41913</v>
      </c>
      <c r="E2276" t="s">
        <v>2182</v>
      </c>
      <c r="F2276">
        <v>1</v>
      </c>
      <c r="G2276" t="s">
        <v>61</v>
      </c>
      <c r="H2276" t="s">
        <v>42</v>
      </c>
      <c r="I2276" t="s">
        <v>2190</v>
      </c>
      <c r="J2276" s="10">
        <v>6.2</v>
      </c>
      <c r="K2276" t="b">
        <v>1</v>
      </c>
    </row>
    <row r="2277" spans="1:11">
      <c r="A2277" s="12">
        <v>41925</v>
      </c>
      <c r="B2277">
        <v>2014</v>
      </c>
      <c r="C2277">
        <v>10</v>
      </c>
      <c r="D2277" s="11">
        <v>41913</v>
      </c>
      <c r="E2277" t="s">
        <v>2182</v>
      </c>
      <c r="F2277">
        <v>1</v>
      </c>
      <c r="G2277" t="s">
        <v>61</v>
      </c>
      <c r="H2277" t="s">
        <v>43</v>
      </c>
      <c r="I2277" t="s">
        <v>2191</v>
      </c>
      <c r="J2277" s="10">
        <v>31.9</v>
      </c>
      <c r="K2277" t="b">
        <v>1</v>
      </c>
    </row>
    <row r="2278" spans="1:11">
      <c r="A2278" s="12">
        <v>41925</v>
      </c>
      <c r="B2278">
        <v>2014</v>
      </c>
      <c r="C2278">
        <v>10</v>
      </c>
      <c r="D2278" s="11">
        <v>41913</v>
      </c>
      <c r="E2278" t="s">
        <v>2182</v>
      </c>
      <c r="F2278">
        <v>1</v>
      </c>
      <c r="G2278" t="s">
        <v>61</v>
      </c>
      <c r="H2278" t="s">
        <v>44</v>
      </c>
      <c r="I2278" t="s">
        <v>2192</v>
      </c>
      <c r="J2278" s="10">
        <v>11</v>
      </c>
      <c r="K2278" t="b">
        <v>1</v>
      </c>
    </row>
    <row r="2279" spans="1:11">
      <c r="A2279" s="12">
        <v>41925</v>
      </c>
      <c r="B2279">
        <v>2014</v>
      </c>
      <c r="C2279">
        <v>10</v>
      </c>
      <c r="D2279" s="11">
        <v>41913</v>
      </c>
      <c r="E2279" t="s">
        <v>2182</v>
      </c>
      <c r="F2279">
        <v>1</v>
      </c>
      <c r="G2279" t="s">
        <v>61</v>
      </c>
      <c r="H2279" t="s">
        <v>45</v>
      </c>
      <c r="I2279" t="s">
        <v>2193</v>
      </c>
      <c r="J2279" s="10">
        <v>0</v>
      </c>
      <c r="K2279" t="b">
        <v>1</v>
      </c>
    </row>
    <row r="2280" spans="1:11">
      <c r="A2280" s="12">
        <v>41925</v>
      </c>
      <c r="B2280">
        <v>2014</v>
      </c>
      <c r="C2280">
        <v>10</v>
      </c>
      <c r="D2280" s="11">
        <v>41913</v>
      </c>
      <c r="E2280" t="s">
        <v>2182</v>
      </c>
      <c r="F2280">
        <v>1</v>
      </c>
      <c r="G2280" t="s">
        <v>61</v>
      </c>
      <c r="H2280" t="s">
        <v>46</v>
      </c>
      <c r="I2280" t="s">
        <v>2194</v>
      </c>
      <c r="J2280" s="10">
        <v>1</v>
      </c>
      <c r="K2280" t="b">
        <v>1</v>
      </c>
    </row>
    <row r="2281" spans="1:11">
      <c r="A2281" s="12">
        <v>41925</v>
      </c>
      <c r="B2281">
        <v>2014</v>
      </c>
      <c r="C2281">
        <v>10</v>
      </c>
      <c r="D2281" s="11">
        <v>41913</v>
      </c>
      <c r="E2281" t="s">
        <v>2182</v>
      </c>
      <c r="F2281">
        <v>1</v>
      </c>
      <c r="G2281" t="s">
        <v>61</v>
      </c>
      <c r="H2281" t="s">
        <v>47</v>
      </c>
      <c r="I2281" t="s">
        <v>2195</v>
      </c>
      <c r="J2281" s="10">
        <v>2</v>
      </c>
      <c r="K2281" t="b">
        <v>1</v>
      </c>
    </row>
    <row r="2282" spans="1:11">
      <c r="A2282" s="12">
        <v>41926</v>
      </c>
      <c r="B2282">
        <v>2014</v>
      </c>
      <c r="C2282">
        <v>10</v>
      </c>
      <c r="D2282" s="11">
        <v>41913</v>
      </c>
      <c r="E2282" t="s">
        <v>2182</v>
      </c>
      <c r="F2282">
        <v>2</v>
      </c>
      <c r="G2282" t="s">
        <v>63</v>
      </c>
      <c r="H2282" t="s">
        <v>40</v>
      </c>
      <c r="I2282" t="s">
        <v>2188</v>
      </c>
      <c r="J2282" s="10">
        <v>3</v>
      </c>
      <c r="K2282" t="b">
        <v>1</v>
      </c>
    </row>
    <row r="2283" spans="1:11">
      <c r="A2283" s="12">
        <v>41926</v>
      </c>
      <c r="B2283">
        <v>2014</v>
      </c>
      <c r="C2283">
        <v>10</v>
      </c>
      <c r="D2283" s="11">
        <v>41913</v>
      </c>
      <c r="E2283" t="s">
        <v>2182</v>
      </c>
      <c r="F2283">
        <v>2</v>
      </c>
      <c r="G2283" t="s">
        <v>63</v>
      </c>
      <c r="H2283" t="s">
        <v>41</v>
      </c>
      <c r="I2283" t="s">
        <v>2189</v>
      </c>
      <c r="J2283" s="10">
        <v>5.41</v>
      </c>
      <c r="K2283" t="b">
        <v>1</v>
      </c>
    </row>
    <row r="2284" spans="1:11">
      <c r="A2284" s="12">
        <v>41926</v>
      </c>
      <c r="B2284">
        <v>2014</v>
      </c>
      <c r="C2284">
        <v>10</v>
      </c>
      <c r="D2284" s="11">
        <v>41913</v>
      </c>
      <c r="E2284" t="s">
        <v>2182</v>
      </c>
      <c r="F2284">
        <v>2</v>
      </c>
      <c r="G2284" t="s">
        <v>63</v>
      </c>
      <c r="H2284" t="s">
        <v>42</v>
      </c>
      <c r="I2284" t="s">
        <v>2190</v>
      </c>
      <c r="J2284" s="10">
        <v>4.8</v>
      </c>
      <c r="K2284" t="b">
        <v>1</v>
      </c>
    </row>
    <row r="2285" spans="1:11">
      <c r="A2285" s="12">
        <v>41926</v>
      </c>
      <c r="B2285">
        <v>2014</v>
      </c>
      <c r="C2285">
        <v>10</v>
      </c>
      <c r="D2285" s="11">
        <v>41913</v>
      </c>
      <c r="E2285" t="s">
        <v>2182</v>
      </c>
      <c r="F2285">
        <v>2</v>
      </c>
      <c r="G2285" t="s">
        <v>63</v>
      </c>
      <c r="H2285" t="s">
        <v>43</v>
      </c>
      <c r="I2285" t="s">
        <v>2191</v>
      </c>
      <c r="J2285" s="10">
        <v>31.8</v>
      </c>
      <c r="K2285" t="b">
        <v>1</v>
      </c>
    </row>
    <row r="2286" spans="1:11">
      <c r="A2286" s="12">
        <v>41926</v>
      </c>
      <c r="B2286">
        <v>2014</v>
      </c>
      <c r="C2286">
        <v>10</v>
      </c>
      <c r="D2286" s="11">
        <v>41913</v>
      </c>
      <c r="E2286" t="s">
        <v>2182</v>
      </c>
      <c r="F2286">
        <v>2</v>
      </c>
      <c r="G2286" t="s">
        <v>63</v>
      </c>
      <c r="H2286" t="s">
        <v>44</v>
      </c>
      <c r="I2286" t="s">
        <v>2192</v>
      </c>
      <c r="J2286" s="10">
        <v>7</v>
      </c>
      <c r="K2286" t="b">
        <v>1</v>
      </c>
    </row>
    <row r="2287" spans="1:11">
      <c r="A2287" s="12">
        <v>41926</v>
      </c>
      <c r="B2287">
        <v>2014</v>
      </c>
      <c r="C2287">
        <v>10</v>
      </c>
      <c r="D2287" s="11">
        <v>41913</v>
      </c>
      <c r="E2287" t="s">
        <v>2182</v>
      </c>
      <c r="F2287">
        <v>2</v>
      </c>
      <c r="G2287" t="s">
        <v>63</v>
      </c>
      <c r="H2287" t="s">
        <v>45</v>
      </c>
      <c r="I2287" t="s">
        <v>2193</v>
      </c>
      <c r="J2287" s="10">
        <v>0</v>
      </c>
      <c r="K2287" t="b">
        <v>1</v>
      </c>
    </row>
    <row r="2288" spans="1:11">
      <c r="A2288" s="12">
        <v>41926</v>
      </c>
      <c r="B2288">
        <v>2014</v>
      </c>
      <c r="C2288">
        <v>10</v>
      </c>
      <c r="D2288" s="11">
        <v>41913</v>
      </c>
      <c r="E2288" t="s">
        <v>2182</v>
      </c>
      <c r="F2288">
        <v>2</v>
      </c>
      <c r="G2288" t="s">
        <v>63</v>
      </c>
      <c r="H2288" t="s">
        <v>46</v>
      </c>
      <c r="I2288" t="s">
        <v>2194</v>
      </c>
      <c r="J2288" s="10">
        <v>11</v>
      </c>
      <c r="K2288" t="b">
        <v>1</v>
      </c>
    </row>
    <row r="2289" spans="1:11">
      <c r="A2289" s="12">
        <v>41926</v>
      </c>
      <c r="B2289">
        <v>2014</v>
      </c>
      <c r="C2289">
        <v>10</v>
      </c>
      <c r="D2289" s="11">
        <v>41913</v>
      </c>
      <c r="E2289" t="s">
        <v>2182</v>
      </c>
      <c r="F2289">
        <v>2</v>
      </c>
      <c r="G2289" t="s">
        <v>63</v>
      </c>
      <c r="H2289" t="s">
        <v>47</v>
      </c>
      <c r="I2289" t="s">
        <v>2195</v>
      </c>
      <c r="J2289" s="10">
        <v>0</v>
      </c>
      <c r="K2289" t="b">
        <v>1</v>
      </c>
    </row>
    <row r="2290" spans="1:11">
      <c r="A2290" s="12">
        <v>41927</v>
      </c>
      <c r="B2290">
        <v>2014</v>
      </c>
      <c r="C2290">
        <v>10</v>
      </c>
      <c r="D2290" s="11">
        <v>41913</v>
      </c>
      <c r="E2290" t="s">
        <v>2182</v>
      </c>
      <c r="F2290">
        <v>3</v>
      </c>
      <c r="G2290" t="s">
        <v>65</v>
      </c>
      <c r="H2290" t="s">
        <v>40</v>
      </c>
      <c r="I2290" t="s">
        <v>2188</v>
      </c>
      <c r="J2290" s="10">
        <v>1.33</v>
      </c>
      <c r="K2290" t="b">
        <v>1</v>
      </c>
    </row>
    <row r="2291" spans="1:11">
      <c r="A2291" s="12">
        <v>41927</v>
      </c>
      <c r="B2291">
        <v>2014</v>
      </c>
      <c r="C2291">
        <v>10</v>
      </c>
      <c r="D2291" s="11">
        <v>41913</v>
      </c>
      <c r="E2291" t="s">
        <v>2182</v>
      </c>
      <c r="F2291">
        <v>3</v>
      </c>
      <c r="G2291" t="s">
        <v>65</v>
      </c>
      <c r="H2291" t="s">
        <v>41</v>
      </c>
      <c r="I2291" t="s">
        <v>2189</v>
      </c>
      <c r="J2291" s="10">
        <v>6.35</v>
      </c>
      <c r="K2291" t="b">
        <v>1</v>
      </c>
    </row>
    <row r="2292" spans="1:11">
      <c r="A2292" s="12">
        <v>41927</v>
      </c>
      <c r="B2292">
        <v>2014</v>
      </c>
      <c r="C2292">
        <v>10</v>
      </c>
      <c r="D2292" s="11">
        <v>41913</v>
      </c>
      <c r="E2292" t="s">
        <v>2182</v>
      </c>
      <c r="F2292">
        <v>3</v>
      </c>
      <c r="G2292" t="s">
        <v>65</v>
      </c>
      <c r="H2292" t="s">
        <v>42</v>
      </c>
      <c r="I2292" t="s">
        <v>2190</v>
      </c>
      <c r="J2292" s="10">
        <v>3.5</v>
      </c>
      <c r="K2292" t="b">
        <v>1</v>
      </c>
    </row>
    <row r="2293" spans="1:11">
      <c r="A2293" s="12">
        <v>41927</v>
      </c>
      <c r="B2293">
        <v>2014</v>
      </c>
      <c r="C2293">
        <v>10</v>
      </c>
      <c r="D2293" s="11">
        <v>41913</v>
      </c>
      <c r="E2293" t="s">
        <v>2182</v>
      </c>
      <c r="F2293">
        <v>3</v>
      </c>
      <c r="G2293" t="s">
        <v>65</v>
      </c>
      <c r="H2293" t="s">
        <v>43</v>
      </c>
      <c r="I2293" t="s">
        <v>2191</v>
      </c>
      <c r="J2293" s="10">
        <v>23.7</v>
      </c>
      <c r="K2293" t="b">
        <v>1</v>
      </c>
    </row>
    <row r="2294" spans="1:11">
      <c r="A2294" s="12">
        <v>41927</v>
      </c>
      <c r="B2294">
        <v>2014</v>
      </c>
      <c r="C2294">
        <v>10</v>
      </c>
      <c r="D2294" s="11">
        <v>41913</v>
      </c>
      <c r="E2294" t="s">
        <v>2182</v>
      </c>
      <c r="F2294">
        <v>3</v>
      </c>
      <c r="G2294" t="s">
        <v>65</v>
      </c>
      <c r="H2294" t="s">
        <v>44</v>
      </c>
      <c r="I2294" t="s">
        <v>2192</v>
      </c>
      <c r="J2294" s="10">
        <v>14</v>
      </c>
      <c r="K2294" t="b">
        <v>1</v>
      </c>
    </row>
    <row r="2295" spans="1:11">
      <c r="A2295" s="12">
        <v>41927</v>
      </c>
      <c r="B2295">
        <v>2014</v>
      </c>
      <c r="C2295">
        <v>10</v>
      </c>
      <c r="D2295" s="11">
        <v>41913</v>
      </c>
      <c r="E2295" t="s">
        <v>2182</v>
      </c>
      <c r="F2295">
        <v>3</v>
      </c>
      <c r="G2295" t="s">
        <v>65</v>
      </c>
      <c r="H2295" t="s">
        <v>45</v>
      </c>
      <c r="I2295" t="s">
        <v>2193</v>
      </c>
      <c r="J2295" s="10">
        <v>1</v>
      </c>
      <c r="K2295" t="b">
        <v>1</v>
      </c>
    </row>
    <row r="2296" spans="1:11">
      <c r="A2296" s="12">
        <v>41927</v>
      </c>
      <c r="B2296">
        <v>2014</v>
      </c>
      <c r="C2296">
        <v>10</v>
      </c>
      <c r="D2296" s="11">
        <v>41913</v>
      </c>
      <c r="E2296" t="s">
        <v>2182</v>
      </c>
      <c r="F2296">
        <v>3</v>
      </c>
      <c r="G2296" t="s">
        <v>65</v>
      </c>
      <c r="H2296" t="s">
        <v>46</v>
      </c>
      <c r="I2296" t="s">
        <v>2194</v>
      </c>
      <c r="J2296" s="10">
        <v>2</v>
      </c>
      <c r="K2296" t="b">
        <v>1</v>
      </c>
    </row>
    <row r="2297" spans="1:11">
      <c r="A2297" s="12">
        <v>41927</v>
      </c>
      <c r="B2297">
        <v>2014</v>
      </c>
      <c r="C2297">
        <v>10</v>
      </c>
      <c r="D2297" s="11">
        <v>41913</v>
      </c>
      <c r="E2297" t="s">
        <v>2182</v>
      </c>
      <c r="F2297">
        <v>3</v>
      </c>
      <c r="G2297" t="s">
        <v>65</v>
      </c>
      <c r="H2297" t="s">
        <v>47</v>
      </c>
      <c r="I2297" t="s">
        <v>2195</v>
      </c>
      <c r="J2297" s="10">
        <v>4</v>
      </c>
      <c r="K2297" t="b">
        <v>1</v>
      </c>
    </row>
    <row r="2298" spans="1:11">
      <c r="A2298" s="12">
        <v>41928</v>
      </c>
      <c r="B2298">
        <v>2014</v>
      </c>
      <c r="C2298">
        <v>10</v>
      </c>
      <c r="D2298" s="11">
        <v>41913</v>
      </c>
      <c r="E2298" t="s">
        <v>2182</v>
      </c>
      <c r="F2298">
        <v>4</v>
      </c>
      <c r="G2298" t="s">
        <v>53</v>
      </c>
      <c r="H2298" t="s">
        <v>40</v>
      </c>
      <c r="I2298" t="s">
        <v>2188</v>
      </c>
      <c r="J2298" s="10">
        <v>6.775</v>
      </c>
      <c r="K2298" t="b">
        <v>1</v>
      </c>
    </row>
    <row r="2299" spans="1:11">
      <c r="A2299" s="12">
        <v>41928</v>
      </c>
      <c r="B2299">
        <v>2014</v>
      </c>
      <c r="C2299">
        <v>10</v>
      </c>
      <c r="D2299" s="11">
        <v>41913</v>
      </c>
      <c r="E2299" t="s">
        <v>2182</v>
      </c>
      <c r="F2299">
        <v>4</v>
      </c>
      <c r="G2299" t="s">
        <v>53</v>
      </c>
      <c r="H2299" t="s">
        <v>41</v>
      </c>
      <c r="I2299" t="s">
        <v>2189</v>
      </c>
      <c r="J2299" s="10">
        <v>3.5103125</v>
      </c>
      <c r="K2299" t="b">
        <v>1</v>
      </c>
    </row>
    <row r="2300" spans="1:11">
      <c r="A2300" s="12">
        <v>41928</v>
      </c>
      <c r="B2300">
        <v>2014</v>
      </c>
      <c r="C2300">
        <v>10</v>
      </c>
      <c r="D2300" s="11">
        <v>41913</v>
      </c>
      <c r="E2300" t="s">
        <v>2182</v>
      </c>
      <c r="F2300">
        <v>4</v>
      </c>
      <c r="G2300" t="s">
        <v>53</v>
      </c>
      <c r="H2300" t="s">
        <v>42</v>
      </c>
      <c r="I2300" t="s">
        <v>2190</v>
      </c>
      <c r="J2300" s="10">
        <v>2.9375</v>
      </c>
      <c r="K2300" t="b">
        <v>1</v>
      </c>
    </row>
    <row r="2301" spans="1:11">
      <c r="A2301" s="12">
        <v>41928</v>
      </c>
      <c r="B2301">
        <v>2014</v>
      </c>
      <c r="C2301">
        <v>10</v>
      </c>
      <c r="D2301" s="11">
        <v>41913</v>
      </c>
      <c r="E2301" t="s">
        <v>2182</v>
      </c>
      <c r="F2301">
        <v>4</v>
      </c>
      <c r="G2301" t="s">
        <v>53</v>
      </c>
      <c r="H2301" t="s">
        <v>43</v>
      </c>
      <c r="I2301" t="s">
        <v>2191</v>
      </c>
      <c r="J2301" s="10">
        <v>58.921875</v>
      </c>
      <c r="K2301" t="b">
        <v>1</v>
      </c>
    </row>
    <row r="2302" spans="1:11">
      <c r="A2302" s="12">
        <v>41928</v>
      </c>
      <c r="B2302">
        <v>2014</v>
      </c>
      <c r="C2302">
        <v>10</v>
      </c>
      <c r="D2302" s="11">
        <v>41913</v>
      </c>
      <c r="E2302" t="s">
        <v>2182</v>
      </c>
      <c r="F2302">
        <v>4</v>
      </c>
      <c r="G2302" t="s">
        <v>53</v>
      </c>
      <c r="H2302" t="s">
        <v>44</v>
      </c>
      <c r="I2302" t="s">
        <v>2192</v>
      </c>
      <c r="J2302" s="10">
        <v>9.0625</v>
      </c>
      <c r="K2302" t="b">
        <v>1</v>
      </c>
    </row>
    <row r="2303" spans="1:11">
      <c r="A2303" s="12">
        <v>41928</v>
      </c>
      <c r="B2303">
        <v>2014</v>
      </c>
      <c r="C2303">
        <v>10</v>
      </c>
      <c r="D2303" s="11">
        <v>41913</v>
      </c>
      <c r="E2303" t="s">
        <v>2182</v>
      </c>
      <c r="F2303">
        <v>4</v>
      </c>
      <c r="G2303" t="s">
        <v>53</v>
      </c>
      <c r="H2303" t="s">
        <v>45</v>
      </c>
      <c r="I2303" t="s">
        <v>2193</v>
      </c>
      <c r="J2303" s="10">
        <v>0.625</v>
      </c>
      <c r="K2303" t="b">
        <v>1</v>
      </c>
    </row>
    <row r="2304" spans="1:11">
      <c r="A2304" s="12">
        <v>41928</v>
      </c>
      <c r="B2304">
        <v>2014</v>
      </c>
      <c r="C2304">
        <v>10</v>
      </c>
      <c r="D2304" s="11">
        <v>41913</v>
      </c>
      <c r="E2304" t="s">
        <v>2182</v>
      </c>
      <c r="F2304">
        <v>4</v>
      </c>
      <c r="G2304" t="s">
        <v>53</v>
      </c>
      <c r="H2304" t="s">
        <v>46</v>
      </c>
      <c r="I2304" t="s">
        <v>2194</v>
      </c>
      <c r="J2304" s="10">
        <v>5</v>
      </c>
      <c r="K2304" t="b">
        <v>1</v>
      </c>
    </row>
    <row r="2305" spans="1:11">
      <c r="A2305" s="12">
        <v>41928</v>
      </c>
      <c r="B2305">
        <v>2014</v>
      </c>
      <c r="C2305">
        <v>10</v>
      </c>
      <c r="D2305" s="11">
        <v>41913</v>
      </c>
      <c r="E2305" t="s">
        <v>2182</v>
      </c>
      <c r="F2305">
        <v>4</v>
      </c>
      <c r="G2305" t="s">
        <v>53</v>
      </c>
      <c r="H2305" t="s">
        <v>47</v>
      </c>
      <c r="I2305" t="s">
        <v>2195</v>
      </c>
      <c r="J2305" s="10">
        <v>2.1875</v>
      </c>
      <c r="K2305" t="b">
        <v>1</v>
      </c>
    </row>
    <row r="2306" spans="1:11">
      <c r="A2306" s="12">
        <v>41929</v>
      </c>
      <c r="B2306">
        <v>2014</v>
      </c>
      <c r="C2306">
        <v>10</v>
      </c>
      <c r="D2306" s="11">
        <v>41913</v>
      </c>
      <c r="E2306" t="s">
        <v>2182</v>
      </c>
      <c r="F2306">
        <v>5</v>
      </c>
      <c r="G2306" t="s">
        <v>55</v>
      </c>
      <c r="H2306" t="s">
        <v>40</v>
      </c>
      <c r="I2306" t="s">
        <v>2188</v>
      </c>
      <c r="J2306" s="10">
        <v>3</v>
      </c>
      <c r="K2306" t="b">
        <v>1</v>
      </c>
    </row>
    <row r="2307" spans="1:11">
      <c r="A2307" s="12">
        <v>41929</v>
      </c>
      <c r="B2307">
        <v>2014</v>
      </c>
      <c r="C2307">
        <v>10</v>
      </c>
      <c r="D2307" s="11">
        <v>41913</v>
      </c>
      <c r="E2307" t="s">
        <v>2182</v>
      </c>
      <c r="F2307">
        <v>5</v>
      </c>
      <c r="G2307" t="s">
        <v>55</v>
      </c>
      <c r="H2307" t="s">
        <v>41</v>
      </c>
      <c r="I2307" t="s">
        <v>2189</v>
      </c>
      <c r="J2307" s="10">
        <v>2.34</v>
      </c>
      <c r="K2307" t="b">
        <v>1</v>
      </c>
    </row>
    <row r="2308" spans="1:11">
      <c r="A2308" s="12">
        <v>41929</v>
      </c>
      <c r="B2308">
        <v>2014</v>
      </c>
      <c r="C2308">
        <v>10</v>
      </c>
      <c r="D2308" s="11">
        <v>41913</v>
      </c>
      <c r="E2308" t="s">
        <v>2182</v>
      </c>
      <c r="F2308">
        <v>5</v>
      </c>
      <c r="G2308" t="s">
        <v>55</v>
      </c>
      <c r="H2308" t="s">
        <v>42</v>
      </c>
      <c r="I2308" t="s">
        <v>2190</v>
      </c>
      <c r="J2308" s="10">
        <v>3.4</v>
      </c>
      <c r="K2308" t="b">
        <v>1</v>
      </c>
    </row>
    <row r="2309" spans="1:11">
      <c r="A2309" s="12">
        <v>41929</v>
      </c>
      <c r="B2309">
        <v>2014</v>
      </c>
      <c r="C2309">
        <v>10</v>
      </c>
      <c r="D2309" s="11">
        <v>41913</v>
      </c>
      <c r="E2309" t="s">
        <v>2182</v>
      </c>
      <c r="F2309">
        <v>5</v>
      </c>
      <c r="G2309" t="s">
        <v>55</v>
      </c>
      <c r="H2309" t="s">
        <v>43</v>
      </c>
      <c r="I2309" t="s">
        <v>2191</v>
      </c>
      <c r="J2309" s="10">
        <v>42</v>
      </c>
      <c r="K2309" t="b">
        <v>1</v>
      </c>
    </row>
    <row r="2310" spans="1:11">
      <c r="A2310" s="12">
        <v>41929</v>
      </c>
      <c r="B2310">
        <v>2014</v>
      </c>
      <c r="C2310">
        <v>10</v>
      </c>
      <c r="D2310" s="11">
        <v>41913</v>
      </c>
      <c r="E2310" t="s">
        <v>2182</v>
      </c>
      <c r="F2310">
        <v>5</v>
      </c>
      <c r="G2310" t="s">
        <v>55</v>
      </c>
      <c r="H2310" t="s">
        <v>44</v>
      </c>
      <c r="I2310" t="s">
        <v>2192</v>
      </c>
      <c r="J2310" s="10">
        <v>22</v>
      </c>
      <c r="K2310" t="b">
        <v>1</v>
      </c>
    </row>
    <row r="2311" spans="1:11">
      <c r="A2311" s="12">
        <v>41929</v>
      </c>
      <c r="B2311">
        <v>2014</v>
      </c>
      <c r="C2311">
        <v>10</v>
      </c>
      <c r="D2311" s="11">
        <v>41913</v>
      </c>
      <c r="E2311" t="s">
        <v>2182</v>
      </c>
      <c r="F2311">
        <v>5</v>
      </c>
      <c r="G2311" t="s">
        <v>55</v>
      </c>
      <c r="H2311" t="s">
        <v>45</v>
      </c>
      <c r="I2311" t="s">
        <v>2193</v>
      </c>
      <c r="J2311" s="10">
        <v>3</v>
      </c>
      <c r="K2311" t="b">
        <v>1</v>
      </c>
    </row>
    <row r="2312" spans="1:11">
      <c r="A2312" s="12">
        <v>41929</v>
      </c>
      <c r="B2312">
        <v>2014</v>
      </c>
      <c r="C2312">
        <v>10</v>
      </c>
      <c r="D2312" s="11">
        <v>41913</v>
      </c>
      <c r="E2312" t="s">
        <v>2182</v>
      </c>
      <c r="F2312">
        <v>5</v>
      </c>
      <c r="G2312" t="s">
        <v>55</v>
      </c>
      <c r="H2312" t="s">
        <v>46</v>
      </c>
      <c r="I2312" t="s">
        <v>2194</v>
      </c>
      <c r="J2312" s="10">
        <v>0</v>
      </c>
      <c r="K2312" t="b">
        <v>1</v>
      </c>
    </row>
    <row r="2313" spans="1:11">
      <c r="A2313" s="12">
        <v>41929</v>
      </c>
      <c r="B2313">
        <v>2014</v>
      </c>
      <c r="C2313">
        <v>10</v>
      </c>
      <c r="D2313" s="11">
        <v>41913</v>
      </c>
      <c r="E2313" t="s">
        <v>2182</v>
      </c>
      <c r="F2313">
        <v>5</v>
      </c>
      <c r="G2313" t="s">
        <v>55</v>
      </c>
      <c r="H2313" t="s">
        <v>47</v>
      </c>
      <c r="I2313" t="s">
        <v>2195</v>
      </c>
      <c r="J2313" s="10">
        <v>2</v>
      </c>
      <c r="K2313" t="b">
        <v>1</v>
      </c>
    </row>
    <row r="2314" spans="1:11">
      <c r="A2314" s="12">
        <v>41930</v>
      </c>
      <c r="B2314">
        <v>2014</v>
      </c>
      <c r="C2314">
        <v>10</v>
      </c>
      <c r="D2314" s="11">
        <v>41913</v>
      </c>
      <c r="E2314" t="s">
        <v>2182</v>
      </c>
      <c r="F2314">
        <v>6</v>
      </c>
      <c r="G2314" t="s">
        <v>57</v>
      </c>
      <c r="H2314" t="s">
        <v>40</v>
      </c>
      <c r="I2314" t="s">
        <v>2188</v>
      </c>
      <c r="J2314" s="10">
        <v>4</v>
      </c>
      <c r="K2314" t="b">
        <v>1</v>
      </c>
    </row>
    <row r="2315" spans="1:11">
      <c r="A2315" s="12">
        <v>41930</v>
      </c>
      <c r="B2315">
        <v>2014</v>
      </c>
      <c r="C2315">
        <v>10</v>
      </c>
      <c r="D2315" s="11">
        <v>41913</v>
      </c>
      <c r="E2315" t="s">
        <v>2182</v>
      </c>
      <c r="F2315">
        <v>6</v>
      </c>
      <c r="G2315" t="s">
        <v>57</v>
      </c>
      <c r="H2315" t="s">
        <v>41</v>
      </c>
      <c r="I2315" t="s">
        <v>2189</v>
      </c>
      <c r="J2315" s="10">
        <v>6</v>
      </c>
      <c r="K2315" t="b">
        <v>1</v>
      </c>
    </row>
    <row r="2316" spans="1:11">
      <c r="A2316" s="12">
        <v>41930</v>
      </c>
      <c r="B2316">
        <v>2014</v>
      </c>
      <c r="C2316">
        <v>10</v>
      </c>
      <c r="D2316" s="11">
        <v>41913</v>
      </c>
      <c r="E2316" t="s">
        <v>2182</v>
      </c>
      <c r="F2316">
        <v>6</v>
      </c>
      <c r="G2316" t="s">
        <v>57</v>
      </c>
      <c r="H2316" t="s">
        <v>42</v>
      </c>
      <c r="I2316" t="s">
        <v>2190</v>
      </c>
      <c r="J2316" s="10">
        <v>5.5</v>
      </c>
      <c r="K2316" t="b">
        <v>1</v>
      </c>
    </row>
    <row r="2317" spans="1:11">
      <c r="A2317" s="12">
        <v>41930</v>
      </c>
      <c r="B2317">
        <v>2014</v>
      </c>
      <c r="C2317">
        <v>10</v>
      </c>
      <c r="D2317" s="11">
        <v>41913</v>
      </c>
      <c r="E2317" t="s">
        <v>2182</v>
      </c>
      <c r="F2317">
        <v>6</v>
      </c>
      <c r="G2317" t="s">
        <v>57</v>
      </c>
      <c r="H2317" t="s">
        <v>43</v>
      </c>
      <c r="I2317" t="s">
        <v>2191</v>
      </c>
      <c r="J2317" s="10">
        <v>21.4</v>
      </c>
      <c r="K2317" t="b">
        <v>1</v>
      </c>
    </row>
    <row r="2318" spans="1:11">
      <c r="A2318" s="12">
        <v>41930</v>
      </c>
      <c r="B2318">
        <v>2014</v>
      </c>
      <c r="C2318">
        <v>10</v>
      </c>
      <c r="D2318" s="11">
        <v>41913</v>
      </c>
      <c r="E2318" t="s">
        <v>2182</v>
      </c>
      <c r="F2318">
        <v>6</v>
      </c>
      <c r="G2318" t="s">
        <v>57</v>
      </c>
      <c r="H2318" t="s">
        <v>44</v>
      </c>
      <c r="I2318" t="s">
        <v>2192</v>
      </c>
      <c r="J2318" s="10">
        <v>24</v>
      </c>
      <c r="K2318" t="b">
        <v>1</v>
      </c>
    </row>
    <row r="2319" spans="1:11">
      <c r="A2319" s="12">
        <v>41930</v>
      </c>
      <c r="B2319">
        <v>2014</v>
      </c>
      <c r="C2319">
        <v>10</v>
      </c>
      <c r="D2319" s="11">
        <v>41913</v>
      </c>
      <c r="E2319" t="s">
        <v>2182</v>
      </c>
      <c r="F2319">
        <v>6</v>
      </c>
      <c r="G2319" t="s">
        <v>57</v>
      </c>
      <c r="H2319" t="s">
        <v>45</v>
      </c>
      <c r="I2319" t="s">
        <v>2193</v>
      </c>
      <c r="J2319" s="10">
        <v>0</v>
      </c>
      <c r="K2319" t="b">
        <v>1</v>
      </c>
    </row>
    <row r="2320" spans="1:11">
      <c r="A2320" s="12">
        <v>41930</v>
      </c>
      <c r="B2320">
        <v>2014</v>
      </c>
      <c r="C2320">
        <v>10</v>
      </c>
      <c r="D2320" s="11">
        <v>41913</v>
      </c>
      <c r="E2320" t="s">
        <v>2182</v>
      </c>
      <c r="F2320">
        <v>6</v>
      </c>
      <c r="G2320" t="s">
        <v>57</v>
      </c>
      <c r="H2320" t="s">
        <v>46</v>
      </c>
      <c r="I2320" t="s">
        <v>2194</v>
      </c>
      <c r="J2320" s="10">
        <v>3</v>
      </c>
      <c r="K2320" t="b">
        <v>1</v>
      </c>
    </row>
    <row r="2321" spans="1:11">
      <c r="A2321" s="12">
        <v>41930</v>
      </c>
      <c r="B2321">
        <v>2014</v>
      </c>
      <c r="C2321">
        <v>10</v>
      </c>
      <c r="D2321" s="11">
        <v>41913</v>
      </c>
      <c r="E2321" t="s">
        <v>2182</v>
      </c>
      <c r="F2321">
        <v>6</v>
      </c>
      <c r="G2321" t="s">
        <v>57</v>
      </c>
      <c r="H2321" t="s">
        <v>47</v>
      </c>
      <c r="I2321" t="s">
        <v>2195</v>
      </c>
      <c r="J2321" s="10">
        <v>2</v>
      </c>
      <c r="K2321" t="b">
        <v>1</v>
      </c>
    </row>
    <row r="2322" spans="1:11">
      <c r="A2322" s="12">
        <v>41931</v>
      </c>
      <c r="B2322">
        <v>2014</v>
      </c>
      <c r="C2322">
        <v>10</v>
      </c>
      <c r="D2322" s="11">
        <v>41913</v>
      </c>
      <c r="E2322" t="s">
        <v>2182</v>
      </c>
      <c r="F2322">
        <v>7</v>
      </c>
      <c r="G2322" t="s">
        <v>59</v>
      </c>
      <c r="H2322" t="s">
        <v>40</v>
      </c>
      <c r="I2322" t="s">
        <v>2188</v>
      </c>
      <c r="J2322" s="10">
        <v>3.33</v>
      </c>
      <c r="K2322" t="b">
        <v>1</v>
      </c>
    </row>
    <row r="2323" spans="1:11">
      <c r="A2323" s="12">
        <v>41931</v>
      </c>
      <c r="B2323">
        <v>2014</v>
      </c>
      <c r="C2323">
        <v>10</v>
      </c>
      <c r="D2323" s="11">
        <v>41913</v>
      </c>
      <c r="E2323" t="s">
        <v>2182</v>
      </c>
      <c r="F2323">
        <v>7</v>
      </c>
      <c r="G2323" t="s">
        <v>59</v>
      </c>
      <c r="H2323" t="s">
        <v>41</v>
      </c>
      <c r="I2323" t="s">
        <v>2189</v>
      </c>
      <c r="J2323" s="10">
        <v>3</v>
      </c>
      <c r="K2323" t="b">
        <v>1</v>
      </c>
    </row>
    <row r="2324" spans="1:11">
      <c r="A2324" s="12">
        <v>41931</v>
      </c>
      <c r="B2324">
        <v>2014</v>
      </c>
      <c r="C2324">
        <v>10</v>
      </c>
      <c r="D2324" s="11">
        <v>41913</v>
      </c>
      <c r="E2324" t="s">
        <v>2182</v>
      </c>
      <c r="F2324">
        <v>7</v>
      </c>
      <c r="G2324" t="s">
        <v>59</v>
      </c>
      <c r="H2324" t="s">
        <v>42</v>
      </c>
      <c r="I2324" t="s">
        <v>2190</v>
      </c>
      <c r="J2324" s="10">
        <v>2</v>
      </c>
      <c r="K2324" t="b">
        <v>1</v>
      </c>
    </row>
    <row r="2325" spans="1:11">
      <c r="A2325" s="12">
        <v>41931</v>
      </c>
      <c r="B2325">
        <v>2014</v>
      </c>
      <c r="C2325">
        <v>10</v>
      </c>
      <c r="D2325" s="11">
        <v>41913</v>
      </c>
      <c r="E2325" t="s">
        <v>2182</v>
      </c>
      <c r="F2325">
        <v>7</v>
      </c>
      <c r="G2325" t="s">
        <v>59</v>
      </c>
      <c r="H2325" t="s">
        <v>43</v>
      </c>
      <c r="I2325" t="s">
        <v>2191</v>
      </c>
      <c r="J2325" s="10">
        <v>13.9</v>
      </c>
      <c r="K2325" t="b">
        <v>1</v>
      </c>
    </row>
    <row r="2326" spans="1:11">
      <c r="A2326" s="12">
        <v>41931</v>
      </c>
      <c r="B2326">
        <v>2014</v>
      </c>
      <c r="C2326">
        <v>10</v>
      </c>
      <c r="D2326" s="11">
        <v>41913</v>
      </c>
      <c r="E2326" t="s">
        <v>2182</v>
      </c>
      <c r="F2326">
        <v>7</v>
      </c>
      <c r="G2326" t="s">
        <v>59</v>
      </c>
      <c r="H2326" t="s">
        <v>44</v>
      </c>
      <c r="I2326" t="s">
        <v>2192</v>
      </c>
      <c r="J2326" s="10">
        <v>9</v>
      </c>
      <c r="K2326" t="b">
        <v>1</v>
      </c>
    </row>
    <row r="2327" spans="1:11">
      <c r="A2327" s="12">
        <v>41931</v>
      </c>
      <c r="B2327">
        <v>2014</v>
      </c>
      <c r="C2327">
        <v>10</v>
      </c>
      <c r="D2327" s="11">
        <v>41913</v>
      </c>
      <c r="E2327" t="s">
        <v>2182</v>
      </c>
      <c r="F2327">
        <v>7</v>
      </c>
      <c r="G2327" t="s">
        <v>59</v>
      </c>
      <c r="H2327" t="s">
        <v>45</v>
      </c>
      <c r="I2327" t="s">
        <v>2193</v>
      </c>
      <c r="J2327" s="10">
        <v>0</v>
      </c>
      <c r="K2327" t="b">
        <v>1</v>
      </c>
    </row>
    <row r="2328" spans="1:11">
      <c r="A2328" s="12">
        <v>41931</v>
      </c>
      <c r="B2328">
        <v>2014</v>
      </c>
      <c r="C2328">
        <v>10</v>
      </c>
      <c r="D2328" s="11">
        <v>41913</v>
      </c>
      <c r="E2328" t="s">
        <v>2182</v>
      </c>
      <c r="F2328">
        <v>7</v>
      </c>
      <c r="G2328" t="s">
        <v>59</v>
      </c>
      <c r="H2328" t="s">
        <v>46</v>
      </c>
      <c r="I2328" t="s">
        <v>2194</v>
      </c>
      <c r="J2328" s="10">
        <v>6</v>
      </c>
      <c r="K2328" t="b">
        <v>1</v>
      </c>
    </row>
    <row r="2329" spans="1:11">
      <c r="A2329" s="12">
        <v>41931</v>
      </c>
      <c r="B2329">
        <v>2014</v>
      </c>
      <c r="C2329">
        <v>10</v>
      </c>
      <c r="D2329" s="11">
        <v>41913</v>
      </c>
      <c r="E2329" t="s">
        <v>2182</v>
      </c>
      <c r="F2329">
        <v>7</v>
      </c>
      <c r="G2329" t="s">
        <v>59</v>
      </c>
      <c r="H2329" t="s">
        <v>47</v>
      </c>
      <c r="I2329" t="s">
        <v>2195</v>
      </c>
      <c r="J2329" s="10">
        <v>1</v>
      </c>
      <c r="K2329" t="b">
        <v>1</v>
      </c>
    </row>
    <row r="2330" spans="1:11">
      <c r="A2330" s="12">
        <v>41932</v>
      </c>
      <c r="B2330">
        <v>2014</v>
      </c>
      <c r="C2330">
        <v>10</v>
      </c>
      <c r="D2330" s="11">
        <v>41913</v>
      </c>
      <c r="E2330" t="s">
        <v>2182</v>
      </c>
      <c r="F2330">
        <v>1</v>
      </c>
      <c r="G2330" t="s">
        <v>61</v>
      </c>
      <c r="H2330" t="s">
        <v>40</v>
      </c>
      <c r="I2330" t="s">
        <v>2188</v>
      </c>
      <c r="J2330" s="10">
        <v>3.34</v>
      </c>
      <c r="K2330" t="b">
        <v>1</v>
      </c>
    </row>
    <row r="2331" spans="1:11">
      <c r="A2331" s="12">
        <v>41932</v>
      </c>
      <c r="B2331">
        <v>2014</v>
      </c>
      <c r="C2331">
        <v>10</v>
      </c>
      <c r="D2331" s="11">
        <v>41913</v>
      </c>
      <c r="E2331" t="s">
        <v>2182</v>
      </c>
      <c r="F2331">
        <v>1</v>
      </c>
      <c r="G2331" t="s">
        <v>61</v>
      </c>
      <c r="H2331" t="s">
        <v>41</v>
      </c>
      <c r="I2331" t="s">
        <v>2189</v>
      </c>
      <c r="J2331" s="10">
        <v>5.66</v>
      </c>
      <c r="K2331" t="b">
        <v>1</v>
      </c>
    </row>
    <row r="2332" spans="1:11">
      <c r="A2332" s="12">
        <v>41932</v>
      </c>
      <c r="B2332">
        <v>2014</v>
      </c>
      <c r="C2332">
        <v>10</v>
      </c>
      <c r="D2332" s="11">
        <v>41913</v>
      </c>
      <c r="E2332" t="s">
        <v>2182</v>
      </c>
      <c r="F2332">
        <v>1</v>
      </c>
      <c r="G2332" t="s">
        <v>61</v>
      </c>
      <c r="H2332" t="s">
        <v>42</v>
      </c>
      <c r="I2332" t="s">
        <v>2190</v>
      </c>
      <c r="J2332" s="10">
        <v>7.3</v>
      </c>
      <c r="K2332" t="b">
        <v>1</v>
      </c>
    </row>
    <row r="2333" spans="1:11">
      <c r="A2333" s="12">
        <v>41932</v>
      </c>
      <c r="B2333">
        <v>2014</v>
      </c>
      <c r="C2333">
        <v>10</v>
      </c>
      <c r="D2333" s="11">
        <v>41913</v>
      </c>
      <c r="E2333" t="s">
        <v>2182</v>
      </c>
      <c r="F2333">
        <v>1</v>
      </c>
      <c r="G2333" t="s">
        <v>61</v>
      </c>
      <c r="H2333" t="s">
        <v>43</v>
      </c>
      <c r="I2333" t="s">
        <v>2191</v>
      </c>
      <c r="J2333" s="10">
        <v>35.4</v>
      </c>
      <c r="K2333" t="b">
        <v>1</v>
      </c>
    </row>
    <row r="2334" spans="1:11">
      <c r="A2334" s="12">
        <v>41932</v>
      </c>
      <c r="B2334">
        <v>2014</v>
      </c>
      <c r="C2334">
        <v>10</v>
      </c>
      <c r="D2334" s="11">
        <v>41913</v>
      </c>
      <c r="E2334" t="s">
        <v>2182</v>
      </c>
      <c r="F2334">
        <v>1</v>
      </c>
      <c r="G2334" t="s">
        <v>61</v>
      </c>
      <c r="H2334" t="s">
        <v>44</v>
      </c>
      <c r="I2334" t="s">
        <v>2192</v>
      </c>
      <c r="J2334" s="10">
        <v>25</v>
      </c>
      <c r="K2334" t="b">
        <v>1</v>
      </c>
    </row>
    <row r="2335" spans="1:11">
      <c r="A2335" s="12">
        <v>41932</v>
      </c>
      <c r="B2335">
        <v>2014</v>
      </c>
      <c r="C2335">
        <v>10</v>
      </c>
      <c r="D2335" s="11">
        <v>41913</v>
      </c>
      <c r="E2335" t="s">
        <v>2182</v>
      </c>
      <c r="F2335">
        <v>1</v>
      </c>
      <c r="G2335" t="s">
        <v>61</v>
      </c>
      <c r="H2335" t="s">
        <v>45</v>
      </c>
      <c r="I2335" t="s">
        <v>2193</v>
      </c>
      <c r="J2335" s="10">
        <v>2</v>
      </c>
      <c r="K2335" t="b">
        <v>1</v>
      </c>
    </row>
    <row r="2336" spans="1:11">
      <c r="A2336" s="12">
        <v>41932</v>
      </c>
      <c r="B2336">
        <v>2014</v>
      </c>
      <c r="C2336">
        <v>10</v>
      </c>
      <c r="D2336" s="11">
        <v>41913</v>
      </c>
      <c r="E2336" t="s">
        <v>2182</v>
      </c>
      <c r="F2336">
        <v>1</v>
      </c>
      <c r="G2336" t="s">
        <v>61</v>
      </c>
      <c r="H2336" t="s">
        <v>46</v>
      </c>
      <c r="I2336" t="s">
        <v>2194</v>
      </c>
      <c r="J2336" s="10">
        <v>0</v>
      </c>
      <c r="K2336" t="b">
        <v>1</v>
      </c>
    </row>
    <row r="2337" spans="1:11">
      <c r="A2337" s="12">
        <v>41932</v>
      </c>
      <c r="B2337">
        <v>2014</v>
      </c>
      <c r="C2337">
        <v>10</v>
      </c>
      <c r="D2337" s="11">
        <v>41913</v>
      </c>
      <c r="E2337" t="s">
        <v>2182</v>
      </c>
      <c r="F2337">
        <v>1</v>
      </c>
      <c r="G2337" t="s">
        <v>61</v>
      </c>
      <c r="H2337" t="s">
        <v>47</v>
      </c>
      <c r="I2337" t="s">
        <v>2195</v>
      </c>
      <c r="J2337" s="10">
        <v>1</v>
      </c>
      <c r="K2337" t="b">
        <v>1</v>
      </c>
    </row>
    <row r="2338" spans="1:11">
      <c r="A2338" s="12">
        <v>41933</v>
      </c>
      <c r="B2338">
        <v>2014</v>
      </c>
      <c r="C2338">
        <v>10</v>
      </c>
      <c r="D2338" s="11">
        <v>41913</v>
      </c>
      <c r="E2338" t="s">
        <v>2182</v>
      </c>
      <c r="F2338">
        <v>2</v>
      </c>
      <c r="G2338" t="s">
        <v>63</v>
      </c>
      <c r="H2338" t="s">
        <v>40</v>
      </c>
      <c r="I2338" t="s">
        <v>2188</v>
      </c>
      <c r="J2338" s="10">
        <v>2.34</v>
      </c>
      <c r="K2338" t="b">
        <v>1</v>
      </c>
    </row>
    <row r="2339" spans="1:11">
      <c r="A2339" s="12">
        <v>41933</v>
      </c>
      <c r="B2339">
        <v>2014</v>
      </c>
      <c r="C2339">
        <v>10</v>
      </c>
      <c r="D2339" s="11">
        <v>41913</v>
      </c>
      <c r="E2339" t="s">
        <v>2182</v>
      </c>
      <c r="F2339">
        <v>2</v>
      </c>
      <c r="G2339" t="s">
        <v>63</v>
      </c>
      <c r="H2339" t="s">
        <v>41</v>
      </c>
      <c r="I2339" t="s">
        <v>2189</v>
      </c>
      <c r="J2339" s="10">
        <v>4.34</v>
      </c>
      <c r="K2339" t="b">
        <v>1</v>
      </c>
    </row>
    <row r="2340" spans="1:11">
      <c r="A2340" s="12">
        <v>41933</v>
      </c>
      <c r="B2340">
        <v>2014</v>
      </c>
      <c r="C2340">
        <v>10</v>
      </c>
      <c r="D2340" s="11">
        <v>41913</v>
      </c>
      <c r="E2340" t="s">
        <v>2182</v>
      </c>
      <c r="F2340">
        <v>2</v>
      </c>
      <c r="G2340" t="s">
        <v>63</v>
      </c>
      <c r="H2340" t="s">
        <v>42</v>
      </c>
      <c r="I2340" t="s">
        <v>2190</v>
      </c>
      <c r="J2340" s="10">
        <v>6.4</v>
      </c>
      <c r="K2340" t="b">
        <v>1</v>
      </c>
    </row>
    <row r="2341" spans="1:11">
      <c r="A2341" s="12">
        <v>41933</v>
      </c>
      <c r="B2341">
        <v>2014</v>
      </c>
      <c r="C2341">
        <v>10</v>
      </c>
      <c r="D2341" s="11">
        <v>41913</v>
      </c>
      <c r="E2341" t="s">
        <v>2182</v>
      </c>
      <c r="F2341">
        <v>2</v>
      </c>
      <c r="G2341" t="s">
        <v>63</v>
      </c>
      <c r="H2341" t="s">
        <v>43</v>
      </c>
      <c r="I2341" t="s">
        <v>2191</v>
      </c>
      <c r="J2341" s="10">
        <v>14.3</v>
      </c>
      <c r="K2341" t="b">
        <v>1</v>
      </c>
    </row>
    <row r="2342" spans="1:11">
      <c r="A2342" s="12">
        <v>41933</v>
      </c>
      <c r="B2342">
        <v>2014</v>
      </c>
      <c r="C2342">
        <v>10</v>
      </c>
      <c r="D2342" s="11">
        <v>41913</v>
      </c>
      <c r="E2342" t="s">
        <v>2182</v>
      </c>
      <c r="F2342">
        <v>2</v>
      </c>
      <c r="G2342" t="s">
        <v>63</v>
      </c>
      <c r="H2342" t="s">
        <v>44</v>
      </c>
      <c r="I2342" t="s">
        <v>2192</v>
      </c>
      <c r="J2342" s="10">
        <v>11</v>
      </c>
      <c r="K2342" t="b">
        <v>1</v>
      </c>
    </row>
    <row r="2343" spans="1:11">
      <c r="A2343" s="12">
        <v>41933</v>
      </c>
      <c r="B2343">
        <v>2014</v>
      </c>
      <c r="C2343">
        <v>10</v>
      </c>
      <c r="D2343" s="11">
        <v>41913</v>
      </c>
      <c r="E2343" t="s">
        <v>2182</v>
      </c>
      <c r="F2343">
        <v>2</v>
      </c>
      <c r="G2343" t="s">
        <v>63</v>
      </c>
      <c r="H2343" t="s">
        <v>45</v>
      </c>
      <c r="I2343" t="s">
        <v>2193</v>
      </c>
      <c r="J2343" s="10">
        <v>0</v>
      </c>
      <c r="K2343" t="b">
        <v>1</v>
      </c>
    </row>
    <row r="2344" spans="1:11">
      <c r="A2344" s="12">
        <v>41933</v>
      </c>
      <c r="B2344">
        <v>2014</v>
      </c>
      <c r="C2344">
        <v>10</v>
      </c>
      <c r="D2344" s="11">
        <v>41913</v>
      </c>
      <c r="E2344" t="s">
        <v>2182</v>
      </c>
      <c r="F2344">
        <v>2</v>
      </c>
      <c r="G2344" t="s">
        <v>63</v>
      </c>
      <c r="H2344" t="s">
        <v>46</v>
      </c>
      <c r="I2344" t="s">
        <v>2194</v>
      </c>
      <c r="J2344" s="10">
        <v>20</v>
      </c>
      <c r="K2344" t="b">
        <v>1</v>
      </c>
    </row>
    <row r="2345" spans="1:11">
      <c r="A2345" s="12">
        <v>41933</v>
      </c>
      <c r="B2345">
        <v>2014</v>
      </c>
      <c r="C2345">
        <v>10</v>
      </c>
      <c r="D2345" s="11">
        <v>41913</v>
      </c>
      <c r="E2345" t="s">
        <v>2182</v>
      </c>
      <c r="F2345">
        <v>2</v>
      </c>
      <c r="G2345" t="s">
        <v>63</v>
      </c>
      <c r="H2345" t="s">
        <v>47</v>
      </c>
      <c r="I2345" t="s">
        <v>2195</v>
      </c>
      <c r="J2345" s="10">
        <v>1</v>
      </c>
      <c r="K2345" t="b">
        <v>1</v>
      </c>
    </row>
    <row r="2346" spans="1:11">
      <c r="A2346" s="12">
        <v>41934</v>
      </c>
      <c r="B2346">
        <v>2014</v>
      </c>
      <c r="C2346">
        <v>10</v>
      </c>
      <c r="D2346" s="11">
        <v>41913</v>
      </c>
      <c r="E2346" t="s">
        <v>2182</v>
      </c>
      <c r="F2346">
        <v>3</v>
      </c>
      <c r="G2346" t="s">
        <v>65</v>
      </c>
      <c r="H2346" t="s">
        <v>40</v>
      </c>
      <c r="I2346" t="s">
        <v>2188</v>
      </c>
      <c r="J2346" s="10">
        <v>3.33</v>
      </c>
      <c r="K2346" t="b">
        <v>1</v>
      </c>
    </row>
    <row r="2347" spans="1:11">
      <c r="A2347" s="12">
        <v>41934</v>
      </c>
      <c r="B2347">
        <v>2014</v>
      </c>
      <c r="C2347">
        <v>10</v>
      </c>
      <c r="D2347" s="11">
        <v>41913</v>
      </c>
      <c r="E2347" t="s">
        <v>2182</v>
      </c>
      <c r="F2347">
        <v>3</v>
      </c>
      <c r="G2347" t="s">
        <v>65</v>
      </c>
      <c r="H2347" t="s">
        <v>41</v>
      </c>
      <c r="I2347" t="s">
        <v>2189</v>
      </c>
      <c r="J2347" s="10">
        <v>2</v>
      </c>
      <c r="K2347" t="b">
        <v>1</v>
      </c>
    </row>
    <row r="2348" spans="1:11">
      <c r="A2348" s="12">
        <v>41934</v>
      </c>
      <c r="B2348">
        <v>2014</v>
      </c>
      <c r="C2348">
        <v>10</v>
      </c>
      <c r="D2348" s="11">
        <v>41913</v>
      </c>
      <c r="E2348" t="s">
        <v>2182</v>
      </c>
      <c r="F2348">
        <v>3</v>
      </c>
      <c r="G2348" t="s">
        <v>65</v>
      </c>
      <c r="H2348" t="s">
        <v>42</v>
      </c>
      <c r="I2348" t="s">
        <v>2190</v>
      </c>
      <c r="J2348" s="10">
        <v>2.6</v>
      </c>
      <c r="K2348" t="b">
        <v>1</v>
      </c>
    </row>
    <row r="2349" spans="1:11">
      <c r="A2349" s="12">
        <v>41934</v>
      </c>
      <c r="B2349">
        <v>2014</v>
      </c>
      <c r="C2349">
        <v>10</v>
      </c>
      <c r="D2349" s="11">
        <v>41913</v>
      </c>
      <c r="E2349" t="s">
        <v>2182</v>
      </c>
      <c r="F2349">
        <v>3</v>
      </c>
      <c r="G2349" t="s">
        <v>65</v>
      </c>
      <c r="H2349" t="s">
        <v>43</v>
      </c>
      <c r="I2349" t="s">
        <v>2191</v>
      </c>
      <c r="J2349" s="10">
        <v>20.9</v>
      </c>
      <c r="K2349" t="b">
        <v>1</v>
      </c>
    </row>
    <row r="2350" spans="1:11">
      <c r="A2350" s="12">
        <v>41934</v>
      </c>
      <c r="B2350">
        <v>2014</v>
      </c>
      <c r="C2350">
        <v>10</v>
      </c>
      <c r="D2350" s="11">
        <v>41913</v>
      </c>
      <c r="E2350" t="s">
        <v>2182</v>
      </c>
      <c r="F2350">
        <v>3</v>
      </c>
      <c r="G2350" t="s">
        <v>65</v>
      </c>
      <c r="H2350" t="s">
        <v>44</v>
      </c>
      <c r="I2350" t="s">
        <v>2192</v>
      </c>
      <c r="J2350" s="10">
        <v>7</v>
      </c>
      <c r="K2350" t="b">
        <v>1</v>
      </c>
    </row>
    <row r="2351" spans="1:11">
      <c r="A2351" s="12">
        <v>41934</v>
      </c>
      <c r="B2351">
        <v>2014</v>
      </c>
      <c r="C2351">
        <v>10</v>
      </c>
      <c r="D2351" s="11">
        <v>41913</v>
      </c>
      <c r="E2351" t="s">
        <v>2182</v>
      </c>
      <c r="F2351">
        <v>3</v>
      </c>
      <c r="G2351" t="s">
        <v>65</v>
      </c>
      <c r="H2351" t="s">
        <v>45</v>
      </c>
      <c r="I2351" t="s">
        <v>2193</v>
      </c>
      <c r="J2351" s="10">
        <v>0</v>
      </c>
      <c r="K2351" t="b">
        <v>1</v>
      </c>
    </row>
    <row r="2352" spans="1:11">
      <c r="A2352" s="12">
        <v>41934</v>
      </c>
      <c r="B2352">
        <v>2014</v>
      </c>
      <c r="C2352">
        <v>10</v>
      </c>
      <c r="D2352" s="11">
        <v>41913</v>
      </c>
      <c r="E2352" t="s">
        <v>2182</v>
      </c>
      <c r="F2352">
        <v>3</v>
      </c>
      <c r="G2352" t="s">
        <v>65</v>
      </c>
      <c r="H2352" t="s">
        <v>46</v>
      </c>
      <c r="I2352" t="s">
        <v>2194</v>
      </c>
      <c r="J2352" s="10">
        <v>2</v>
      </c>
      <c r="K2352" t="b">
        <v>1</v>
      </c>
    </row>
    <row r="2353" spans="1:11">
      <c r="A2353" s="12">
        <v>41934</v>
      </c>
      <c r="B2353">
        <v>2014</v>
      </c>
      <c r="C2353">
        <v>10</v>
      </c>
      <c r="D2353" s="11">
        <v>41913</v>
      </c>
      <c r="E2353" t="s">
        <v>2182</v>
      </c>
      <c r="F2353">
        <v>3</v>
      </c>
      <c r="G2353" t="s">
        <v>65</v>
      </c>
      <c r="H2353" t="s">
        <v>47</v>
      </c>
      <c r="I2353" t="s">
        <v>2195</v>
      </c>
      <c r="J2353" s="10">
        <v>1</v>
      </c>
      <c r="K2353" t="b">
        <v>1</v>
      </c>
    </row>
    <row r="2354" spans="1:11">
      <c r="A2354" s="12">
        <v>41935</v>
      </c>
      <c r="B2354">
        <v>2014</v>
      </c>
      <c r="C2354">
        <v>10</v>
      </c>
      <c r="D2354" s="11">
        <v>41913</v>
      </c>
      <c r="E2354" t="s">
        <v>2182</v>
      </c>
      <c r="F2354">
        <v>4</v>
      </c>
      <c r="G2354" t="s">
        <v>53</v>
      </c>
      <c r="H2354" t="s">
        <v>40</v>
      </c>
      <c r="I2354" t="s">
        <v>2188</v>
      </c>
      <c r="J2354" s="10">
        <v>1.34</v>
      </c>
      <c r="K2354" t="b">
        <v>1</v>
      </c>
    </row>
    <row r="2355" spans="1:11">
      <c r="A2355" s="12">
        <v>41935</v>
      </c>
      <c r="B2355">
        <v>2014</v>
      </c>
      <c r="C2355">
        <v>10</v>
      </c>
      <c r="D2355" s="11">
        <v>41913</v>
      </c>
      <c r="E2355" t="s">
        <v>2182</v>
      </c>
      <c r="F2355">
        <v>4</v>
      </c>
      <c r="G2355" t="s">
        <v>53</v>
      </c>
      <c r="H2355" t="s">
        <v>41</v>
      </c>
      <c r="I2355" t="s">
        <v>2189</v>
      </c>
      <c r="J2355" s="10">
        <v>4.33</v>
      </c>
      <c r="K2355" t="b">
        <v>1</v>
      </c>
    </row>
    <row r="2356" spans="1:11">
      <c r="A2356" s="12">
        <v>41935</v>
      </c>
      <c r="B2356">
        <v>2014</v>
      </c>
      <c r="C2356">
        <v>10</v>
      </c>
      <c r="D2356" s="11">
        <v>41913</v>
      </c>
      <c r="E2356" t="s">
        <v>2182</v>
      </c>
      <c r="F2356">
        <v>4</v>
      </c>
      <c r="G2356" t="s">
        <v>53</v>
      </c>
      <c r="H2356" t="s">
        <v>42</v>
      </c>
      <c r="I2356" t="s">
        <v>2190</v>
      </c>
      <c r="J2356" s="10">
        <v>0</v>
      </c>
      <c r="K2356" t="b">
        <v>1</v>
      </c>
    </row>
    <row r="2357" spans="1:11">
      <c r="A2357" s="12">
        <v>41935</v>
      </c>
      <c r="B2357">
        <v>2014</v>
      </c>
      <c r="C2357">
        <v>10</v>
      </c>
      <c r="D2357" s="11">
        <v>41913</v>
      </c>
      <c r="E2357" t="s">
        <v>2182</v>
      </c>
      <c r="F2357">
        <v>4</v>
      </c>
      <c r="G2357" t="s">
        <v>53</v>
      </c>
      <c r="H2357" t="s">
        <v>43</v>
      </c>
      <c r="I2357" t="s">
        <v>2191</v>
      </c>
      <c r="J2357" s="10">
        <v>32.2</v>
      </c>
      <c r="K2357" t="b">
        <v>1</v>
      </c>
    </row>
    <row r="2358" spans="1:11">
      <c r="A2358" s="12">
        <v>41935</v>
      </c>
      <c r="B2358">
        <v>2014</v>
      </c>
      <c r="C2358">
        <v>10</v>
      </c>
      <c r="D2358" s="11">
        <v>41913</v>
      </c>
      <c r="E2358" t="s">
        <v>2182</v>
      </c>
      <c r="F2358">
        <v>4</v>
      </c>
      <c r="G2358" t="s">
        <v>53</v>
      </c>
      <c r="H2358" t="s">
        <v>44</v>
      </c>
      <c r="I2358" t="s">
        <v>2192</v>
      </c>
      <c r="J2358" s="10">
        <v>7</v>
      </c>
      <c r="K2358" t="b">
        <v>1</v>
      </c>
    </row>
    <row r="2359" spans="1:11">
      <c r="A2359" s="12">
        <v>41935</v>
      </c>
      <c r="B2359">
        <v>2014</v>
      </c>
      <c r="C2359">
        <v>10</v>
      </c>
      <c r="D2359" s="11">
        <v>41913</v>
      </c>
      <c r="E2359" t="s">
        <v>2182</v>
      </c>
      <c r="F2359">
        <v>4</v>
      </c>
      <c r="G2359" t="s">
        <v>53</v>
      </c>
      <c r="H2359" t="s">
        <v>45</v>
      </c>
      <c r="I2359" t="s">
        <v>2193</v>
      </c>
      <c r="J2359" s="10">
        <v>1</v>
      </c>
      <c r="K2359" t="b">
        <v>1</v>
      </c>
    </row>
    <row r="2360" spans="1:11">
      <c r="A2360" s="12">
        <v>41935</v>
      </c>
      <c r="B2360">
        <v>2014</v>
      </c>
      <c r="C2360">
        <v>10</v>
      </c>
      <c r="D2360" s="11">
        <v>41913</v>
      </c>
      <c r="E2360" t="s">
        <v>2182</v>
      </c>
      <c r="F2360">
        <v>4</v>
      </c>
      <c r="G2360" t="s">
        <v>53</v>
      </c>
      <c r="H2360" t="s">
        <v>46</v>
      </c>
      <c r="I2360" t="s">
        <v>2194</v>
      </c>
      <c r="J2360" s="10">
        <v>0</v>
      </c>
      <c r="K2360" t="b">
        <v>1</v>
      </c>
    </row>
    <row r="2361" spans="1:11">
      <c r="A2361" s="12">
        <v>41935</v>
      </c>
      <c r="B2361">
        <v>2014</v>
      </c>
      <c r="C2361">
        <v>10</v>
      </c>
      <c r="D2361" s="11">
        <v>41913</v>
      </c>
      <c r="E2361" t="s">
        <v>2182</v>
      </c>
      <c r="F2361">
        <v>4</v>
      </c>
      <c r="G2361" t="s">
        <v>53</v>
      </c>
      <c r="H2361" t="s">
        <v>47</v>
      </c>
      <c r="I2361" t="s">
        <v>2195</v>
      </c>
      <c r="J2361" s="10">
        <v>0</v>
      </c>
      <c r="K2361" t="b">
        <v>1</v>
      </c>
    </row>
    <row r="2362" spans="1:11">
      <c r="A2362" s="12">
        <v>41936</v>
      </c>
      <c r="B2362">
        <v>2014</v>
      </c>
      <c r="C2362">
        <v>10</v>
      </c>
      <c r="D2362" s="11">
        <v>41913</v>
      </c>
      <c r="E2362" t="s">
        <v>2182</v>
      </c>
      <c r="F2362">
        <v>5</v>
      </c>
      <c r="G2362" t="s">
        <v>55</v>
      </c>
      <c r="H2362" t="s">
        <v>40</v>
      </c>
      <c r="I2362" t="s">
        <v>2188</v>
      </c>
      <c r="J2362" s="10">
        <v>3.67</v>
      </c>
      <c r="K2362" t="b">
        <v>1</v>
      </c>
    </row>
    <row r="2363" spans="1:11">
      <c r="A2363" s="12">
        <v>41936</v>
      </c>
      <c r="B2363">
        <v>2014</v>
      </c>
      <c r="C2363">
        <v>10</v>
      </c>
      <c r="D2363" s="11">
        <v>41913</v>
      </c>
      <c r="E2363" t="s">
        <v>2182</v>
      </c>
      <c r="F2363">
        <v>5</v>
      </c>
      <c r="G2363" t="s">
        <v>55</v>
      </c>
      <c r="H2363" t="s">
        <v>41</v>
      </c>
      <c r="I2363" t="s">
        <v>2189</v>
      </c>
      <c r="J2363" s="10">
        <v>2.67</v>
      </c>
      <c r="K2363" t="b">
        <v>1</v>
      </c>
    </row>
    <row r="2364" spans="1:11">
      <c r="A2364" s="12">
        <v>41936</v>
      </c>
      <c r="B2364">
        <v>2014</v>
      </c>
      <c r="C2364">
        <v>10</v>
      </c>
      <c r="D2364" s="11">
        <v>41913</v>
      </c>
      <c r="E2364" t="s">
        <v>2182</v>
      </c>
      <c r="F2364">
        <v>5</v>
      </c>
      <c r="G2364" t="s">
        <v>55</v>
      </c>
      <c r="H2364" t="s">
        <v>42</v>
      </c>
      <c r="I2364" t="s">
        <v>2190</v>
      </c>
      <c r="J2364" s="10">
        <v>6.3</v>
      </c>
      <c r="K2364" t="b">
        <v>1</v>
      </c>
    </row>
    <row r="2365" spans="1:11">
      <c r="A2365" s="12">
        <v>41936</v>
      </c>
      <c r="B2365">
        <v>2014</v>
      </c>
      <c r="C2365">
        <v>10</v>
      </c>
      <c r="D2365" s="11">
        <v>41913</v>
      </c>
      <c r="E2365" t="s">
        <v>2182</v>
      </c>
      <c r="F2365">
        <v>5</v>
      </c>
      <c r="G2365" t="s">
        <v>55</v>
      </c>
      <c r="H2365" t="s">
        <v>43</v>
      </c>
      <c r="I2365" t="s">
        <v>2191</v>
      </c>
      <c r="J2365" s="10">
        <v>49.4</v>
      </c>
      <c r="K2365" t="b">
        <v>1</v>
      </c>
    </row>
    <row r="2366" spans="1:11">
      <c r="A2366" s="12">
        <v>41936</v>
      </c>
      <c r="B2366">
        <v>2014</v>
      </c>
      <c r="C2366">
        <v>10</v>
      </c>
      <c r="D2366" s="11">
        <v>41913</v>
      </c>
      <c r="E2366" t="s">
        <v>2182</v>
      </c>
      <c r="F2366">
        <v>5</v>
      </c>
      <c r="G2366" t="s">
        <v>55</v>
      </c>
      <c r="H2366" t="s">
        <v>44</v>
      </c>
      <c r="I2366" t="s">
        <v>2192</v>
      </c>
      <c r="J2366" s="10">
        <v>18</v>
      </c>
      <c r="K2366" t="b">
        <v>1</v>
      </c>
    </row>
    <row r="2367" spans="1:11">
      <c r="A2367" s="12">
        <v>41936</v>
      </c>
      <c r="B2367">
        <v>2014</v>
      </c>
      <c r="C2367">
        <v>10</v>
      </c>
      <c r="D2367" s="11">
        <v>41913</v>
      </c>
      <c r="E2367" t="s">
        <v>2182</v>
      </c>
      <c r="F2367">
        <v>5</v>
      </c>
      <c r="G2367" t="s">
        <v>55</v>
      </c>
      <c r="H2367" t="s">
        <v>45</v>
      </c>
      <c r="I2367" t="s">
        <v>2193</v>
      </c>
      <c r="J2367" s="10">
        <v>0</v>
      </c>
      <c r="K2367" t="b">
        <v>1</v>
      </c>
    </row>
    <row r="2368" spans="1:11">
      <c r="A2368" s="12">
        <v>41936</v>
      </c>
      <c r="B2368">
        <v>2014</v>
      </c>
      <c r="C2368">
        <v>10</v>
      </c>
      <c r="D2368" s="11">
        <v>41913</v>
      </c>
      <c r="E2368" t="s">
        <v>2182</v>
      </c>
      <c r="F2368">
        <v>5</v>
      </c>
      <c r="G2368" t="s">
        <v>55</v>
      </c>
      <c r="H2368" t="s">
        <v>46</v>
      </c>
      <c r="I2368" t="s">
        <v>2194</v>
      </c>
      <c r="J2368" s="10">
        <v>5</v>
      </c>
      <c r="K2368" t="b">
        <v>1</v>
      </c>
    </row>
    <row r="2369" spans="1:11">
      <c r="A2369" s="12">
        <v>41936</v>
      </c>
      <c r="B2369">
        <v>2014</v>
      </c>
      <c r="C2369">
        <v>10</v>
      </c>
      <c r="D2369" s="11">
        <v>41913</v>
      </c>
      <c r="E2369" t="s">
        <v>2182</v>
      </c>
      <c r="F2369">
        <v>5</v>
      </c>
      <c r="G2369" t="s">
        <v>55</v>
      </c>
      <c r="H2369" t="s">
        <v>47</v>
      </c>
      <c r="I2369" t="s">
        <v>2195</v>
      </c>
      <c r="J2369" s="10">
        <v>1</v>
      </c>
      <c r="K2369" t="b">
        <v>1</v>
      </c>
    </row>
    <row r="2370" spans="1:11">
      <c r="A2370" s="12">
        <v>41937</v>
      </c>
      <c r="B2370">
        <v>2014</v>
      </c>
      <c r="C2370">
        <v>10</v>
      </c>
      <c r="D2370" s="11">
        <v>41913</v>
      </c>
      <c r="E2370" t="s">
        <v>2182</v>
      </c>
      <c r="F2370">
        <v>6</v>
      </c>
      <c r="G2370" t="s">
        <v>57</v>
      </c>
      <c r="H2370" t="s">
        <v>40</v>
      </c>
      <c r="I2370" t="s">
        <v>2188</v>
      </c>
      <c r="J2370" s="10">
        <v>2.33</v>
      </c>
      <c r="K2370" t="b">
        <v>1</v>
      </c>
    </row>
    <row r="2371" spans="1:11">
      <c r="A2371" s="12">
        <v>41937</v>
      </c>
      <c r="B2371">
        <v>2014</v>
      </c>
      <c r="C2371">
        <v>10</v>
      </c>
      <c r="D2371" s="11">
        <v>41913</v>
      </c>
      <c r="E2371" t="s">
        <v>2182</v>
      </c>
      <c r="F2371">
        <v>6</v>
      </c>
      <c r="G2371" t="s">
        <v>57</v>
      </c>
      <c r="H2371" t="s">
        <v>41</v>
      </c>
      <c r="I2371" t="s">
        <v>2189</v>
      </c>
      <c r="J2371" s="10">
        <v>5.14</v>
      </c>
      <c r="K2371" t="b">
        <v>1</v>
      </c>
    </row>
    <row r="2372" spans="1:11">
      <c r="A2372" s="12">
        <v>41937</v>
      </c>
      <c r="B2372">
        <v>2014</v>
      </c>
      <c r="C2372">
        <v>10</v>
      </c>
      <c r="D2372" s="11">
        <v>41913</v>
      </c>
      <c r="E2372" t="s">
        <v>2182</v>
      </c>
      <c r="F2372">
        <v>6</v>
      </c>
      <c r="G2372" t="s">
        <v>57</v>
      </c>
      <c r="H2372" t="s">
        <v>42</v>
      </c>
      <c r="I2372" t="s">
        <v>2190</v>
      </c>
      <c r="J2372" s="10">
        <v>1</v>
      </c>
      <c r="K2372" t="b">
        <v>1</v>
      </c>
    </row>
    <row r="2373" spans="1:11">
      <c r="A2373" s="12">
        <v>41937</v>
      </c>
      <c r="B2373">
        <v>2014</v>
      </c>
      <c r="C2373">
        <v>10</v>
      </c>
      <c r="D2373" s="11">
        <v>41913</v>
      </c>
      <c r="E2373" t="s">
        <v>2182</v>
      </c>
      <c r="F2373">
        <v>6</v>
      </c>
      <c r="G2373" t="s">
        <v>57</v>
      </c>
      <c r="H2373" t="s">
        <v>43</v>
      </c>
      <c r="I2373" t="s">
        <v>2191</v>
      </c>
      <c r="J2373" s="10">
        <v>31</v>
      </c>
      <c r="K2373" t="b">
        <v>1</v>
      </c>
    </row>
    <row r="2374" spans="1:11">
      <c r="A2374" s="12">
        <v>41937</v>
      </c>
      <c r="B2374">
        <v>2014</v>
      </c>
      <c r="C2374">
        <v>10</v>
      </c>
      <c r="D2374" s="11">
        <v>41913</v>
      </c>
      <c r="E2374" t="s">
        <v>2182</v>
      </c>
      <c r="F2374">
        <v>6</v>
      </c>
      <c r="G2374" t="s">
        <v>57</v>
      </c>
      <c r="H2374" t="s">
        <v>44</v>
      </c>
      <c r="I2374" t="s">
        <v>2192</v>
      </c>
      <c r="J2374" s="10">
        <v>21</v>
      </c>
      <c r="K2374" t="b">
        <v>1</v>
      </c>
    </row>
    <row r="2375" spans="1:11">
      <c r="A2375" s="12">
        <v>41937</v>
      </c>
      <c r="B2375">
        <v>2014</v>
      </c>
      <c r="C2375">
        <v>10</v>
      </c>
      <c r="D2375" s="11">
        <v>41913</v>
      </c>
      <c r="E2375" t="s">
        <v>2182</v>
      </c>
      <c r="F2375">
        <v>6</v>
      </c>
      <c r="G2375" t="s">
        <v>57</v>
      </c>
      <c r="H2375" t="s">
        <v>45</v>
      </c>
      <c r="I2375" t="s">
        <v>2193</v>
      </c>
      <c r="J2375" s="10">
        <v>0</v>
      </c>
      <c r="K2375" t="b">
        <v>1</v>
      </c>
    </row>
    <row r="2376" spans="1:11">
      <c r="A2376" s="12">
        <v>41937</v>
      </c>
      <c r="B2376">
        <v>2014</v>
      </c>
      <c r="C2376">
        <v>10</v>
      </c>
      <c r="D2376" s="11">
        <v>41913</v>
      </c>
      <c r="E2376" t="s">
        <v>2182</v>
      </c>
      <c r="F2376">
        <v>6</v>
      </c>
      <c r="G2376" t="s">
        <v>57</v>
      </c>
      <c r="H2376" t="s">
        <v>46</v>
      </c>
      <c r="I2376" t="s">
        <v>2194</v>
      </c>
      <c r="J2376" s="10">
        <v>2</v>
      </c>
      <c r="K2376" t="b">
        <v>1</v>
      </c>
    </row>
    <row r="2377" spans="1:11">
      <c r="A2377" s="12">
        <v>41937</v>
      </c>
      <c r="B2377">
        <v>2014</v>
      </c>
      <c r="C2377">
        <v>10</v>
      </c>
      <c r="D2377" s="11">
        <v>41913</v>
      </c>
      <c r="E2377" t="s">
        <v>2182</v>
      </c>
      <c r="F2377">
        <v>6</v>
      </c>
      <c r="G2377" t="s">
        <v>57</v>
      </c>
      <c r="H2377" t="s">
        <v>47</v>
      </c>
      <c r="I2377" t="s">
        <v>2195</v>
      </c>
      <c r="J2377" s="10">
        <v>5</v>
      </c>
      <c r="K2377" t="b">
        <v>1</v>
      </c>
    </row>
    <row r="2378" spans="1:11">
      <c r="A2378" s="12">
        <v>41938</v>
      </c>
      <c r="B2378">
        <v>2014</v>
      </c>
      <c r="C2378">
        <v>10</v>
      </c>
      <c r="D2378" s="11">
        <v>41913</v>
      </c>
      <c r="E2378" t="s">
        <v>2182</v>
      </c>
      <c r="F2378">
        <v>7</v>
      </c>
      <c r="G2378" t="s">
        <v>59</v>
      </c>
      <c r="H2378" t="s">
        <v>40</v>
      </c>
      <c r="I2378" t="s">
        <v>2188</v>
      </c>
      <c r="J2378" s="10">
        <v>3.34</v>
      </c>
      <c r="K2378" t="b">
        <v>1</v>
      </c>
    </row>
    <row r="2379" spans="1:11">
      <c r="A2379" s="12">
        <v>41938</v>
      </c>
      <c r="B2379">
        <v>2014</v>
      </c>
      <c r="C2379">
        <v>10</v>
      </c>
      <c r="D2379" s="11">
        <v>41913</v>
      </c>
      <c r="E2379" t="s">
        <v>2182</v>
      </c>
      <c r="F2379">
        <v>7</v>
      </c>
      <c r="G2379" t="s">
        <v>59</v>
      </c>
      <c r="H2379" t="s">
        <v>41</v>
      </c>
      <c r="I2379" t="s">
        <v>2189</v>
      </c>
      <c r="J2379" s="10">
        <v>1</v>
      </c>
      <c r="K2379" t="b">
        <v>1</v>
      </c>
    </row>
    <row r="2380" spans="1:11">
      <c r="A2380" s="12">
        <v>41938</v>
      </c>
      <c r="B2380">
        <v>2014</v>
      </c>
      <c r="C2380">
        <v>10</v>
      </c>
      <c r="D2380" s="11">
        <v>41913</v>
      </c>
      <c r="E2380" t="s">
        <v>2182</v>
      </c>
      <c r="F2380">
        <v>7</v>
      </c>
      <c r="G2380" t="s">
        <v>59</v>
      </c>
      <c r="H2380" t="s">
        <v>42</v>
      </c>
      <c r="I2380" t="s">
        <v>2190</v>
      </c>
      <c r="J2380" s="10">
        <v>1.6</v>
      </c>
      <c r="K2380" t="b">
        <v>1</v>
      </c>
    </row>
    <row r="2381" spans="1:11">
      <c r="A2381" s="12">
        <v>41938</v>
      </c>
      <c r="B2381">
        <v>2014</v>
      </c>
      <c r="C2381">
        <v>10</v>
      </c>
      <c r="D2381" s="11">
        <v>41913</v>
      </c>
      <c r="E2381" t="s">
        <v>2182</v>
      </c>
      <c r="F2381">
        <v>7</v>
      </c>
      <c r="G2381" t="s">
        <v>59</v>
      </c>
      <c r="H2381" t="s">
        <v>43</v>
      </c>
      <c r="I2381" t="s">
        <v>2191</v>
      </c>
      <c r="J2381" s="10">
        <v>30.4</v>
      </c>
      <c r="K2381" t="b">
        <v>1</v>
      </c>
    </row>
    <row r="2382" spans="1:11">
      <c r="A2382" s="12">
        <v>41938</v>
      </c>
      <c r="B2382">
        <v>2014</v>
      </c>
      <c r="C2382">
        <v>10</v>
      </c>
      <c r="D2382" s="11">
        <v>41913</v>
      </c>
      <c r="E2382" t="s">
        <v>2182</v>
      </c>
      <c r="F2382">
        <v>7</v>
      </c>
      <c r="G2382" t="s">
        <v>59</v>
      </c>
      <c r="H2382" t="s">
        <v>44</v>
      </c>
      <c r="I2382" t="s">
        <v>2192</v>
      </c>
      <c r="J2382" s="10">
        <v>6</v>
      </c>
      <c r="K2382" t="b">
        <v>1</v>
      </c>
    </row>
    <row r="2383" spans="1:11">
      <c r="A2383" s="12">
        <v>41938</v>
      </c>
      <c r="B2383">
        <v>2014</v>
      </c>
      <c r="C2383">
        <v>10</v>
      </c>
      <c r="D2383" s="11">
        <v>41913</v>
      </c>
      <c r="E2383" t="s">
        <v>2182</v>
      </c>
      <c r="F2383">
        <v>7</v>
      </c>
      <c r="G2383" t="s">
        <v>59</v>
      </c>
      <c r="H2383" t="s">
        <v>45</v>
      </c>
      <c r="I2383" t="s">
        <v>2193</v>
      </c>
      <c r="J2383" s="10">
        <v>0</v>
      </c>
      <c r="K2383" t="b">
        <v>1</v>
      </c>
    </row>
    <row r="2384" spans="1:11">
      <c r="A2384" s="12">
        <v>41938</v>
      </c>
      <c r="B2384">
        <v>2014</v>
      </c>
      <c r="C2384">
        <v>10</v>
      </c>
      <c r="D2384" s="11">
        <v>41913</v>
      </c>
      <c r="E2384" t="s">
        <v>2182</v>
      </c>
      <c r="F2384">
        <v>7</v>
      </c>
      <c r="G2384" t="s">
        <v>59</v>
      </c>
      <c r="H2384" t="s">
        <v>46</v>
      </c>
      <c r="I2384" t="s">
        <v>2194</v>
      </c>
      <c r="J2384" s="10">
        <v>1</v>
      </c>
      <c r="K2384" t="b">
        <v>1</v>
      </c>
    </row>
    <row r="2385" spans="1:11">
      <c r="A2385" s="12">
        <v>41938</v>
      </c>
      <c r="B2385">
        <v>2014</v>
      </c>
      <c r="C2385">
        <v>10</v>
      </c>
      <c r="D2385" s="11">
        <v>41913</v>
      </c>
      <c r="E2385" t="s">
        <v>2182</v>
      </c>
      <c r="F2385">
        <v>7</v>
      </c>
      <c r="G2385" t="s">
        <v>59</v>
      </c>
      <c r="H2385" t="s">
        <v>47</v>
      </c>
      <c r="I2385" t="s">
        <v>2195</v>
      </c>
      <c r="J2385" s="10">
        <v>1</v>
      </c>
      <c r="K2385" t="b">
        <v>1</v>
      </c>
    </row>
    <row r="2386" spans="1:11">
      <c r="A2386" s="12">
        <v>41939</v>
      </c>
      <c r="B2386">
        <v>2014</v>
      </c>
      <c r="C2386">
        <v>10</v>
      </c>
      <c r="D2386" s="11">
        <v>41913</v>
      </c>
      <c r="E2386" t="s">
        <v>2182</v>
      </c>
      <c r="F2386">
        <v>1</v>
      </c>
      <c r="G2386" t="s">
        <v>61</v>
      </c>
      <c r="H2386" t="s">
        <v>40</v>
      </c>
      <c r="I2386" t="s">
        <v>2188</v>
      </c>
      <c r="J2386" s="10">
        <v>8.34</v>
      </c>
      <c r="K2386" t="b">
        <v>1</v>
      </c>
    </row>
    <row r="2387" spans="1:11">
      <c r="A2387" s="12">
        <v>41939</v>
      </c>
      <c r="B2387">
        <v>2014</v>
      </c>
      <c r="C2387">
        <v>10</v>
      </c>
      <c r="D2387" s="11">
        <v>41913</v>
      </c>
      <c r="E2387" t="s">
        <v>2182</v>
      </c>
      <c r="F2387">
        <v>1</v>
      </c>
      <c r="G2387" t="s">
        <v>61</v>
      </c>
      <c r="H2387" t="s">
        <v>41</v>
      </c>
      <c r="I2387" t="s">
        <v>2189</v>
      </c>
      <c r="J2387" s="10">
        <v>4.55</v>
      </c>
      <c r="K2387" t="b">
        <v>1</v>
      </c>
    </row>
    <row r="2388" spans="1:11">
      <c r="A2388" s="12">
        <v>41939</v>
      </c>
      <c r="B2388">
        <v>2014</v>
      </c>
      <c r="C2388">
        <v>10</v>
      </c>
      <c r="D2388" s="11">
        <v>41913</v>
      </c>
      <c r="E2388" t="s">
        <v>2182</v>
      </c>
      <c r="F2388">
        <v>1</v>
      </c>
      <c r="G2388" t="s">
        <v>61</v>
      </c>
      <c r="H2388" t="s">
        <v>42</v>
      </c>
      <c r="I2388" t="s">
        <v>2190</v>
      </c>
      <c r="J2388" s="10">
        <v>4</v>
      </c>
      <c r="K2388" t="b">
        <v>1</v>
      </c>
    </row>
    <row r="2389" spans="1:11">
      <c r="A2389" s="12">
        <v>41939</v>
      </c>
      <c r="B2389">
        <v>2014</v>
      </c>
      <c r="C2389">
        <v>10</v>
      </c>
      <c r="D2389" s="11">
        <v>41913</v>
      </c>
      <c r="E2389" t="s">
        <v>2182</v>
      </c>
      <c r="F2389">
        <v>1</v>
      </c>
      <c r="G2389" t="s">
        <v>61</v>
      </c>
      <c r="H2389" t="s">
        <v>43</v>
      </c>
      <c r="I2389" t="s">
        <v>2191</v>
      </c>
      <c r="J2389" s="10">
        <v>25.3</v>
      </c>
      <c r="K2389" t="b">
        <v>1</v>
      </c>
    </row>
    <row r="2390" spans="1:11">
      <c r="A2390" s="12">
        <v>41939</v>
      </c>
      <c r="B2390">
        <v>2014</v>
      </c>
      <c r="C2390">
        <v>10</v>
      </c>
      <c r="D2390" s="11">
        <v>41913</v>
      </c>
      <c r="E2390" t="s">
        <v>2182</v>
      </c>
      <c r="F2390">
        <v>1</v>
      </c>
      <c r="G2390" t="s">
        <v>61</v>
      </c>
      <c r="H2390" t="s">
        <v>44</v>
      </c>
      <c r="I2390" t="s">
        <v>2192</v>
      </c>
      <c r="J2390" s="10">
        <v>17</v>
      </c>
      <c r="K2390" t="b">
        <v>1</v>
      </c>
    </row>
    <row r="2391" spans="1:11">
      <c r="A2391" s="12">
        <v>41939</v>
      </c>
      <c r="B2391">
        <v>2014</v>
      </c>
      <c r="C2391">
        <v>10</v>
      </c>
      <c r="D2391" s="11">
        <v>41913</v>
      </c>
      <c r="E2391" t="s">
        <v>2182</v>
      </c>
      <c r="F2391">
        <v>1</v>
      </c>
      <c r="G2391" t="s">
        <v>61</v>
      </c>
      <c r="H2391" t="s">
        <v>45</v>
      </c>
      <c r="I2391" t="s">
        <v>2193</v>
      </c>
      <c r="J2391" s="10">
        <v>1</v>
      </c>
      <c r="K2391" t="b">
        <v>1</v>
      </c>
    </row>
    <row r="2392" spans="1:11">
      <c r="A2392" s="12">
        <v>41939</v>
      </c>
      <c r="B2392">
        <v>2014</v>
      </c>
      <c r="C2392">
        <v>10</v>
      </c>
      <c r="D2392" s="11">
        <v>41913</v>
      </c>
      <c r="E2392" t="s">
        <v>2182</v>
      </c>
      <c r="F2392">
        <v>1</v>
      </c>
      <c r="G2392" t="s">
        <v>61</v>
      </c>
      <c r="H2392" t="s">
        <v>46</v>
      </c>
      <c r="I2392" t="s">
        <v>2194</v>
      </c>
      <c r="J2392" s="10">
        <v>3</v>
      </c>
      <c r="K2392" t="b">
        <v>1</v>
      </c>
    </row>
    <row r="2393" spans="1:11">
      <c r="A2393" s="12">
        <v>41939</v>
      </c>
      <c r="B2393">
        <v>2014</v>
      </c>
      <c r="C2393">
        <v>10</v>
      </c>
      <c r="D2393" s="11">
        <v>41913</v>
      </c>
      <c r="E2393" t="s">
        <v>2182</v>
      </c>
      <c r="F2393">
        <v>1</v>
      </c>
      <c r="G2393" t="s">
        <v>61</v>
      </c>
      <c r="H2393" t="s">
        <v>47</v>
      </c>
      <c r="I2393" t="s">
        <v>2195</v>
      </c>
      <c r="J2393" s="10">
        <v>0</v>
      </c>
      <c r="K2393" t="b">
        <v>1</v>
      </c>
    </row>
    <row r="2394" spans="1:11">
      <c r="A2394" s="12">
        <v>41940</v>
      </c>
      <c r="B2394">
        <v>2014</v>
      </c>
      <c r="C2394">
        <v>10</v>
      </c>
      <c r="D2394" s="11">
        <v>41913</v>
      </c>
      <c r="E2394" t="s">
        <v>2182</v>
      </c>
      <c r="F2394">
        <v>2</v>
      </c>
      <c r="G2394" t="s">
        <v>63</v>
      </c>
      <c r="H2394" t="s">
        <v>40</v>
      </c>
      <c r="I2394" t="s">
        <v>2188</v>
      </c>
      <c r="J2394" s="10">
        <v>4</v>
      </c>
      <c r="K2394" t="b">
        <v>1</v>
      </c>
    </row>
    <row r="2395" spans="1:11">
      <c r="A2395" s="12">
        <v>41940</v>
      </c>
      <c r="B2395">
        <v>2014</v>
      </c>
      <c r="C2395">
        <v>10</v>
      </c>
      <c r="D2395" s="11">
        <v>41913</v>
      </c>
      <c r="E2395" t="s">
        <v>2182</v>
      </c>
      <c r="F2395">
        <v>2</v>
      </c>
      <c r="G2395" t="s">
        <v>63</v>
      </c>
      <c r="H2395" t="s">
        <v>41</v>
      </c>
      <c r="I2395" t="s">
        <v>2189</v>
      </c>
      <c r="J2395" s="10">
        <v>3.48</v>
      </c>
      <c r="K2395" t="b">
        <v>1</v>
      </c>
    </row>
    <row r="2396" spans="1:11">
      <c r="A2396" s="12">
        <v>41940</v>
      </c>
      <c r="B2396">
        <v>2014</v>
      </c>
      <c r="C2396">
        <v>10</v>
      </c>
      <c r="D2396" s="11">
        <v>41913</v>
      </c>
      <c r="E2396" t="s">
        <v>2182</v>
      </c>
      <c r="F2396">
        <v>2</v>
      </c>
      <c r="G2396" t="s">
        <v>63</v>
      </c>
      <c r="H2396" t="s">
        <v>42</v>
      </c>
      <c r="I2396" t="s">
        <v>2190</v>
      </c>
      <c r="J2396" s="10">
        <v>10</v>
      </c>
      <c r="K2396" t="b">
        <v>1</v>
      </c>
    </row>
    <row r="2397" spans="1:11">
      <c r="A2397" s="12">
        <v>41940</v>
      </c>
      <c r="B2397">
        <v>2014</v>
      </c>
      <c r="C2397">
        <v>10</v>
      </c>
      <c r="D2397" s="11">
        <v>41913</v>
      </c>
      <c r="E2397" t="s">
        <v>2182</v>
      </c>
      <c r="F2397">
        <v>2</v>
      </c>
      <c r="G2397" t="s">
        <v>63</v>
      </c>
      <c r="H2397" t="s">
        <v>43</v>
      </c>
      <c r="I2397" t="s">
        <v>2191</v>
      </c>
      <c r="J2397" s="10">
        <v>40.4</v>
      </c>
      <c r="K2397" t="b">
        <v>1</v>
      </c>
    </row>
    <row r="2398" spans="1:11">
      <c r="A2398" s="12">
        <v>41940</v>
      </c>
      <c r="B2398">
        <v>2014</v>
      </c>
      <c r="C2398">
        <v>10</v>
      </c>
      <c r="D2398" s="11">
        <v>41913</v>
      </c>
      <c r="E2398" t="s">
        <v>2182</v>
      </c>
      <c r="F2398">
        <v>2</v>
      </c>
      <c r="G2398" t="s">
        <v>63</v>
      </c>
      <c r="H2398" t="s">
        <v>44</v>
      </c>
      <c r="I2398" t="s">
        <v>2192</v>
      </c>
      <c r="J2398" s="10">
        <v>23</v>
      </c>
      <c r="K2398" t="b">
        <v>1</v>
      </c>
    </row>
    <row r="2399" spans="1:11">
      <c r="A2399" s="12">
        <v>41940</v>
      </c>
      <c r="B2399">
        <v>2014</v>
      </c>
      <c r="C2399">
        <v>10</v>
      </c>
      <c r="D2399" s="11">
        <v>41913</v>
      </c>
      <c r="E2399" t="s">
        <v>2182</v>
      </c>
      <c r="F2399">
        <v>2</v>
      </c>
      <c r="G2399" t="s">
        <v>63</v>
      </c>
      <c r="H2399" t="s">
        <v>45</v>
      </c>
      <c r="I2399" t="s">
        <v>2193</v>
      </c>
      <c r="J2399" s="10">
        <v>0</v>
      </c>
      <c r="K2399" t="b">
        <v>1</v>
      </c>
    </row>
    <row r="2400" spans="1:11">
      <c r="A2400" s="12">
        <v>41940</v>
      </c>
      <c r="B2400">
        <v>2014</v>
      </c>
      <c r="C2400">
        <v>10</v>
      </c>
      <c r="D2400" s="11">
        <v>41913</v>
      </c>
      <c r="E2400" t="s">
        <v>2182</v>
      </c>
      <c r="F2400">
        <v>2</v>
      </c>
      <c r="G2400" t="s">
        <v>63</v>
      </c>
      <c r="H2400" t="s">
        <v>46</v>
      </c>
      <c r="I2400" t="s">
        <v>2194</v>
      </c>
      <c r="J2400" s="10">
        <v>0</v>
      </c>
      <c r="K2400" t="b">
        <v>1</v>
      </c>
    </row>
    <row r="2401" spans="1:11">
      <c r="A2401" s="12">
        <v>41940</v>
      </c>
      <c r="B2401">
        <v>2014</v>
      </c>
      <c r="C2401">
        <v>10</v>
      </c>
      <c r="D2401" s="11">
        <v>41913</v>
      </c>
      <c r="E2401" t="s">
        <v>2182</v>
      </c>
      <c r="F2401">
        <v>2</v>
      </c>
      <c r="G2401" t="s">
        <v>63</v>
      </c>
      <c r="H2401" t="s">
        <v>47</v>
      </c>
      <c r="I2401" t="s">
        <v>2195</v>
      </c>
      <c r="J2401" s="10">
        <v>2</v>
      </c>
      <c r="K2401" t="b">
        <v>1</v>
      </c>
    </row>
    <row r="2402" spans="1:11">
      <c r="A2402" s="12">
        <v>41941</v>
      </c>
      <c r="B2402">
        <v>2014</v>
      </c>
      <c r="C2402">
        <v>10</v>
      </c>
      <c r="D2402" s="11">
        <v>41913</v>
      </c>
      <c r="E2402" t="s">
        <v>2182</v>
      </c>
      <c r="F2402">
        <v>3</v>
      </c>
      <c r="G2402" t="s">
        <v>65</v>
      </c>
      <c r="H2402" t="s">
        <v>40</v>
      </c>
      <c r="I2402" t="s">
        <v>2188</v>
      </c>
      <c r="J2402" s="10">
        <v>5</v>
      </c>
      <c r="K2402" t="b">
        <v>1</v>
      </c>
    </row>
    <row r="2403" spans="1:11">
      <c r="A2403" s="12">
        <v>41941</v>
      </c>
      <c r="B2403">
        <v>2014</v>
      </c>
      <c r="C2403">
        <v>10</v>
      </c>
      <c r="D2403" s="11">
        <v>41913</v>
      </c>
      <c r="E2403" t="s">
        <v>2182</v>
      </c>
      <c r="F2403">
        <v>3</v>
      </c>
      <c r="G2403" t="s">
        <v>65</v>
      </c>
      <c r="H2403" t="s">
        <v>41</v>
      </c>
      <c r="I2403" t="s">
        <v>2189</v>
      </c>
      <c r="J2403" s="10">
        <v>1</v>
      </c>
      <c r="K2403" t="b">
        <v>1</v>
      </c>
    </row>
    <row r="2404" spans="1:11">
      <c r="A2404" s="12">
        <v>41941</v>
      </c>
      <c r="B2404">
        <v>2014</v>
      </c>
      <c r="C2404">
        <v>10</v>
      </c>
      <c r="D2404" s="11">
        <v>41913</v>
      </c>
      <c r="E2404" t="s">
        <v>2182</v>
      </c>
      <c r="F2404">
        <v>3</v>
      </c>
      <c r="G2404" t="s">
        <v>65</v>
      </c>
      <c r="H2404" t="s">
        <v>42</v>
      </c>
      <c r="I2404" t="s">
        <v>2190</v>
      </c>
      <c r="J2404" s="10">
        <v>6.6</v>
      </c>
      <c r="K2404" t="b">
        <v>1</v>
      </c>
    </row>
    <row r="2405" spans="1:11">
      <c r="A2405" s="12">
        <v>41941</v>
      </c>
      <c r="B2405">
        <v>2014</v>
      </c>
      <c r="C2405">
        <v>10</v>
      </c>
      <c r="D2405" s="11">
        <v>41913</v>
      </c>
      <c r="E2405" t="s">
        <v>2182</v>
      </c>
      <c r="F2405">
        <v>3</v>
      </c>
      <c r="G2405" t="s">
        <v>65</v>
      </c>
      <c r="H2405" t="s">
        <v>43</v>
      </c>
      <c r="I2405" t="s">
        <v>2191</v>
      </c>
      <c r="J2405" s="10">
        <v>41</v>
      </c>
      <c r="K2405" t="b">
        <v>1</v>
      </c>
    </row>
    <row r="2406" spans="1:11">
      <c r="A2406" s="12">
        <v>41941</v>
      </c>
      <c r="B2406">
        <v>2014</v>
      </c>
      <c r="C2406">
        <v>10</v>
      </c>
      <c r="D2406" s="11">
        <v>41913</v>
      </c>
      <c r="E2406" t="s">
        <v>2182</v>
      </c>
      <c r="F2406">
        <v>3</v>
      </c>
      <c r="G2406" t="s">
        <v>65</v>
      </c>
      <c r="H2406" t="s">
        <v>44</v>
      </c>
      <c r="I2406" t="s">
        <v>2192</v>
      </c>
      <c r="J2406" s="10">
        <v>20</v>
      </c>
      <c r="K2406" t="b">
        <v>1</v>
      </c>
    </row>
    <row r="2407" spans="1:11">
      <c r="A2407" s="12">
        <v>41941</v>
      </c>
      <c r="B2407">
        <v>2014</v>
      </c>
      <c r="C2407">
        <v>10</v>
      </c>
      <c r="D2407" s="11">
        <v>41913</v>
      </c>
      <c r="E2407" t="s">
        <v>2182</v>
      </c>
      <c r="F2407">
        <v>3</v>
      </c>
      <c r="G2407" t="s">
        <v>65</v>
      </c>
      <c r="H2407" t="s">
        <v>45</v>
      </c>
      <c r="I2407" t="s">
        <v>2193</v>
      </c>
      <c r="J2407" s="10">
        <v>2</v>
      </c>
      <c r="K2407" t="b">
        <v>1</v>
      </c>
    </row>
    <row r="2408" spans="1:11">
      <c r="A2408" s="12">
        <v>41941</v>
      </c>
      <c r="B2408">
        <v>2014</v>
      </c>
      <c r="C2408">
        <v>10</v>
      </c>
      <c r="D2408" s="11">
        <v>41913</v>
      </c>
      <c r="E2408" t="s">
        <v>2182</v>
      </c>
      <c r="F2408">
        <v>3</v>
      </c>
      <c r="G2408" t="s">
        <v>65</v>
      </c>
      <c r="H2408" t="s">
        <v>46</v>
      </c>
      <c r="I2408" t="s">
        <v>2194</v>
      </c>
      <c r="J2408" s="10">
        <v>27</v>
      </c>
      <c r="K2408" t="b">
        <v>1</v>
      </c>
    </row>
    <row r="2409" spans="1:11">
      <c r="A2409" s="12">
        <v>41941</v>
      </c>
      <c r="B2409">
        <v>2014</v>
      </c>
      <c r="C2409">
        <v>10</v>
      </c>
      <c r="D2409" s="11">
        <v>41913</v>
      </c>
      <c r="E2409" t="s">
        <v>2182</v>
      </c>
      <c r="F2409">
        <v>3</v>
      </c>
      <c r="G2409" t="s">
        <v>65</v>
      </c>
      <c r="H2409" t="s">
        <v>47</v>
      </c>
      <c r="I2409" t="s">
        <v>2195</v>
      </c>
      <c r="J2409" s="10">
        <v>1</v>
      </c>
      <c r="K2409" t="b">
        <v>1</v>
      </c>
    </row>
    <row r="2410" spans="1:11">
      <c r="A2410" s="12">
        <v>41942</v>
      </c>
      <c r="B2410">
        <v>2014</v>
      </c>
      <c r="C2410">
        <v>10</v>
      </c>
      <c r="D2410" s="11">
        <v>41913</v>
      </c>
      <c r="E2410" t="s">
        <v>2182</v>
      </c>
      <c r="F2410">
        <v>4</v>
      </c>
      <c r="G2410" t="s">
        <v>53</v>
      </c>
      <c r="H2410" t="s">
        <v>40</v>
      </c>
      <c r="I2410" t="s">
        <v>2188</v>
      </c>
      <c r="J2410" s="10">
        <v>0</v>
      </c>
      <c r="K2410" t="b">
        <v>1</v>
      </c>
    </row>
    <row r="2411" spans="1:11">
      <c r="A2411" s="12">
        <v>41942</v>
      </c>
      <c r="B2411">
        <v>2014</v>
      </c>
      <c r="C2411">
        <v>10</v>
      </c>
      <c r="D2411" s="11">
        <v>41913</v>
      </c>
      <c r="E2411" t="s">
        <v>2182</v>
      </c>
      <c r="F2411">
        <v>4</v>
      </c>
      <c r="G2411" t="s">
        <v>53</v>
      </c>
      <c r="H2411" t="s">
        <v>41</v>
      </c>
      <c r="I2411" t="s">
        <v>2189</v>
      </c>
      <c r="J2411" s="10">
        <v>1</v>
      </c>
      <c r="K2411" t="b">
        <v>1</v>
      </c>
    </row>
    <row r="2412" spans="1:11">
      <c r="A2412" s="12">
        <v>41942</v>
      </c>
      <c r="B2412">
        <v>2014</v>
      </c>
      <c r="C2412">
        <v>10</v>
      </c>
      <c r="D2412" s="11">
        <v>41913</v>
      </c>
      <c r="E2412" t="s">
        <v>2182</v>
      </c>
      <c r="F2412">
        <v>4</v>
      </c>
      <c r="G2412" t="s">
        <v>53</v>
      </c>
      <c r="H2412" t="s">
        <v>42</v>
      </c>
      <c r="I2412" t="s">
        <v>2190</v>
      </c>
      <c r="J2412" s="10">
        <v>5</v>
      </c>
      <c r="K2412" t="b">
        <v>1</v>
      </c>
    </row>
    <row r="2413" spans="1:11">
      <c r="A2413" s="12">
        <v>41942</v>
      </c>
      <c r="B2413">
        <v>2014</v>
      </c>
      <c r="C2413">
        <v>10</v>
      </c>
      <c r="D2413" s="11">
        <v>41913</v>
      </c>
      <c r="E2413" t="s">
        <v>2182</v>
      </c>
      <c r="F2413">
        <v>4</v>
      </c>
      <c r="G2413" t="s">
        <v>53</v>
      </c>
      <c r="H2413" t="s">
        <v>43</v>
      </c>
      <c r="I2413" t="s">
        <v>2191</v>
      </c>
      <c r="J2413" s="10">
        <v>20.3</v>
      </c>
      <c r="K2413" t="b">
        <v>1</v>
      </c>
    </row>
    <row r="2414" spans="1:11">
      <c r="A2414" s="12">
        <v>41942</v>
      </c>
      <c r="B2414">
        <v>2014</v>
      </c>
      <c r="C2414">
        <v>10</v>
      </c>
      <c r="D2414" s="11">
        <v>41913</v>
      </c>
      <c r="E2414" t="s">
        <v>2182</v>
      </c>
      <c r="F2414">
        <v>4</v>
      </c>
      <c r="G2414" t="s">
        <v>53</v>
      </c>
      <c r="H2414" t="s">
        <v>44</v>
      </c>
      <c r="I2414" t="s">
        <v>2192</v>
      </c>
      <c r="J2414" s="10">
        <v>11</v>
      </c>
      <c r="K2414" t="b">
        <v>1</v>
      </c>
    </row>
    <row r="2415" spans="1:11">
      <c r="A2415" s="12">
        <v>41942</v>
      </c>
      <c r="B2415">
        <v>2014</v>
      </c>
      <c r="C2415">
        <v>10</v>
      </c>
      <c r="D2415" s="11">
        <v>41913</v>
      </c>
      <c r="E2415" t="s">
        <v>2182</v>
      </c>
      <c r="F2415">
        <v>4</v>
      </c>
      <c r="G2415" t="s">
        <v>53</v>
      </c>
      <c r="H2415" t="s">
        <v>45</v>
      </c>
      <c r="I2415" t="s">
        <v>2193</v>
      </c>
      <c r="J2415" s="10">
        <v>1</v>
      </c>
      <c r="K2415" t="b">
        <v>1</v>
      </c>
    </row>
    <row r="2416" spans="1:11">
      <c r="A2416" s="12">
        <v>41942</v>
      </c>
      <c r="B2416">
        <v>2014</v>
      </c>
      <c r="C2416">
        <v>10</v>
      </c>
      <c r="D2416" s="11">
        <v>41913</v>
      </c>
      <c r="E2416" t="s">
        <v>2182</v>
      </c>
      <c r="F2416">
        <v>4</v>
      </c>
      <c r="G2416" t="s">
        <v>53</v>
      </c>
      <c r="H2416" t="s">
        <v>46</v>
      </c>
      <c r="I2416" t="s">
        <v>2194</v>
      </c>
      <c r="J2416" s="10">
        <v>2</v>
      </c>
      <c r="K2416" t="b">
        <v>1</v>
      </c>
    </row>
    <row r="2417" spans="1:11">
      <c r="A2417" s="12">
        <v>41942</v>
      </c>
      <c r="B2417">
        <v>2014</v>
      </c>
      <c r="C2417">
        <v>10</v>
      </c>
      <c r="D2417" s="11">
        <v>41913</v>
      </c>
      <c r="E2417" t="s">
        <v>2182</v>
      </c>
      <c r="F2417">
        <v>4</v>
      </c>
      <c r="G2417" t="s">
        <v>53</v>
      </c>
      <c r="H2417" t="s">
        <v>47</v>
      </c>
      <c r="I2417" t="s">
        <v>2195</v>
      </c>
      <c r="J2417" s="10">
        <v>0</v>
      </c>
      <c r="K2417" t="b">
        <v>1</v>
      </c>
    </row>
    <row r="2418" spans="1:11">
      <c r="A2418" s="12">
        <v>41943</v>
      </c>
      <c r="B2418">
        <v>2014</v>
      </c>
      <c r="C2418">
        <v>10</v>
      </c>
      <c r="D2418" s="11">
        <v>41913</v>
      </c>
      <c r="E2418" t="s">
        <v>2182</v>
      </c>
      <c r="F2418">
        <v>5</v>
      </c>
      <c r="G2418" t="s">
        <v>55</v>
      </c>
      <c r="H2418" t="s">
        <v>40</v>
      </c>
      <c r="I2418" t="s">
        <v>2188</v>
      </c>
      <c r="J2418" s="10">
        <v>2</v>
      </c>
      <c r="K2418" t="b">
        <v>1</v>
      </c>
    </row>
    <row r="2419" spans="1:11">
      <c r="A2419" s="12">
        <v>41943</v>
      </c>
      <c r="B2419">
        <v>2014</v>
      </c>
      <c r="C2419">
        <v>10</v>
      </c>
      <c r="D2419" s="11">
        <v>41913</v>
      </c>
      <c r="E2419" t="s">
        <v>2182</v>
      </c>
      <c r="F2419">
        <v>5</v>
      </c>
      <c r="G2419" t="s">
        <v>55</v>
      </c>
      <c r="H2419" t="s">
        <v>41</v>
      </c>
      <c r="I2419" t="s">
        <v>2189</v>
      </c>
      <c r="J2419" s="10">
        <v>2.45</v>
      </c>
      <c r="K2419" t="b">
        <v>1</v>
      </c>
    </row>
    <row r="2420" spans="1:11">
      <c r="A2420" s="12">
        <v>41943</v>
      </c>
      <c r="B2420">
        <v>2014</v>
      </c>
      <c r="C2420">
        <v>10</v>
      </c>
      <c r="D2420" s="11">
        <v>41913</v>
      </c>
      <c r="E2420" t="s">
        <v>2182</v>
      </c>
      <c r="F2420">
        <v>5</v>
      </c>
      <c r="G2420" t="s">
        <v>55</v>
      </c>
      <c r="H2420" t="s">
        <v>42</v>
      </c>
      <c r="I2420" t="s">
        <v>2190</v>
      </c>
      <c r="J2420" s="10">
        <v>4</v>
      </c>
      <c r="K2420" t="b">
        <v>1</v>
      </c>
    </row>
    <row r="2421" spans="1:11">
      <c r="A2421" s="12">
        <v>41943</v>
      </c>
      <c r="B2421">
        <v>2014</v>
      </c>
      <c r="C2421">
        <v>10</v>
      </c>
      <c r="D2421" s="11">
        <v>41913</v>
      </c>
      <c r="E2421" t="s">
        <v>2182</v>
      </c>
      <c r="F2421">
        <v>5</v>
      </c>
      <c r="G2421" t="s">
        <v>55</v>
      </c>
      <c r="H2421" t="s">
        <v>43</v>
      </c>
      <c r="I2421" t="s">
        <v>2191</v>
      </c>
      <c r="J2421" s="10">
        <v>31</v>
      </c>
      <c r="K2421" t="b">
        <v>1</v>
      </c>
    </row>
    <row r="2422" spans="1:11">
      <c r="A2422" s="12">
        <v>41943</v>
      </c>
      <c r="B2422">
        <v>2014</v>
      </c>
      <c r="C2422">
        <v>10</v>
      </c>
      <c r="D2422" s="11">
        <v>41913</v>
      </c>
      <c r="E2422" t="s">
        <v>2182</v>
      </c>
      <c r="F2422">
        <v>5</v>
      </c>
      <c r="G2422" t="s">
        <v>55</v>
      </c>
      <c r="H2422" t="s">
        <v>44</v>
      </c>
      <c r="I2422" t="s">
        <v>2192</v>
      </c>
      <c r="J2422" s="10">
        <v>16</v>
      </c>
      <c r="K2422" t="b">
        <v>1</v>
      </c>
    </row>
    <row r="2423" spans="1:11">
      <c r="A2423" s="12">
        <v>41943</v>
      </c>
      <c r="B2423">
        <v>2014</v>
      </c>
      <c r="C2423">
        <v>10</v>
      </c>
      <c r="D2423" s="11">
        <v>41913</v>
      </c>
      <c r="E2423" t="s">
        <v>2182</v>
      </c>
      <c r="F2423">
        <v>5</v>
      </c>
      <c r="G2423" t="s">
        <v>55</v>
      </c>
      <c r="H2423" t="s">
        <v>45</v>
      </c>
      <c r="I2423" t="s">
        <v>2193</v>
      </c>
      <c r="J2423" s="10">
        <v>0</v>
      </c>
      <c r="K2423" t="b">
        <v>1</v>
      </c>
    </row>
    <row r="2424" spans="1:11">
      <c r="A2424" s="12">
        <v>41943</v>
      </c>
      <c r="B2424">
        <v>2014</v>
      </c>
      <c r="C2424">
        <v>10</v>
      </c>
      <c r="D2424" s="11">
        <v>41913</v>
      </c>
      <c r="E2424" t="s">
        <v>2182</v>
      </c>
      <c r="F2424">
        <v>5</v>
      </c>
      <c r="G2424" t="s">
        <v>55</v>
      </c>
      <c r="H2424" t="s">
        <v>46</v>
      </c>
      <c r="I2424" t="s">
        <v>2194</v>
      </c>
      <c r="J2424" s="10">
        <v>0</v>
      </c>
      <c r="K2424" t="b">
        <v>1</v>
      </c>
    </row>
    <row r="2425" spans="1:11">
      <c r="A2425" s="12">
        <v>41943</v>
      </c>
      <c r="B2425">
        <v>2014</v>
      </c>
      <c r="C2425">
        <v>10</v>
      </c>
      <c r="D2425" s="11">
        <v>41913</v>
      </c>
      <c r="E2425" t="s">
        <v>2182</v>
      </c>
      <c r="F2425">
        <v>5</v>
      </c>
      <c r="G2425" t="s">
        <v>55</v>
      </c>
      <c r="H2425" t="s">
        <v>47</v>
      </c>
      <c r="I2425" t="s">
        <v>2195</v>
      </c>
      <c r="J2425" s="10">
        <v>2</v>
      </c>
      <c r="K2425" t="b">
        <v>1</v>
      </c>
    </row>
    <row r="2426" spans="1:11">
      <c r="A2426" s="12">
        <v>41944</v>
      </c>
      <c r="B2426">
        <v>2014</v>
      </c>
      <c r="C2426">
        <v>11</v>
      </c>
      <c r="D2426" s="11">
        <v>41944</v>
      </c>
      <c r="E2426" t="s">
        <v>2183</v>
      </c>
      <c r="F2426">
        <v>6</v>
      </c>
      <c r="G2426" t="s">
        <v>57</v>
      </c>
      <c r="H2426" t="s">
        <v>40</v>
      </c>
      <c r="I2426" t="s">
        <v>2188</v>
      </c>
      <c r="J2426" s="10">
        <v>2.33</v>
      </c>
      <c r="K2426" t="b">
        <v>1</v>
      </c>
    </row>
    <row r="2427" spans="1:11">
      <c r="A2427" s="12">
        <v>41944</v>
      </c>
      <c r="B2427">
        <v>2014</v>
      </c>
      <c r="C2427">
        <v>11</v>
      </c>
      <c r="D2427" s="11">
        <v>41944</v>
      </c>
      <c r="E2427" t="s">
        <v>2183</v>
      </c>
      <c r="F2427">
        <v>6</v>
      </c>
      <c r="G2427" t="s">
        <v>57</v>
      </c>
      <c r="H2427" t="s">
        <v>41</v>
      </c>
      <c r="I2427" t="s">
        <v>2189</v>
      </c>
      <c r="J2427" s="10">
        <v>2.34</v>
      </c>
      <c r="K2427" t="b">
        <v>1</v>
      </c>
    </row>
    <row r="2428" spans="1:11">
      <c r="A2428" s="12">
        <v>41944</v>
      </c>
      <c r="B2428">
        <v>2014</v>
      </c>
      <c r="C2428">
        <v>11</v>
      </c>
      <c r="D2428" s="11">
        <v>41944</v>
      </c>
      <c r="E2428" t="s">
        <v>2183</v>
      </c>
      <c r="F2428">
        <v>6</v>
      </c>
      <c r="G2428" t="s">
        <v>57</v>
      </c>
      <c r="H2428" t="s">
        <v>42</v>
      </c>
      <c r="I2428" t="s">
        <v>2190</v>
      </c>
      <c r="J2428" s="10">
        <v>3.5</v>
      </c>
      <c r="K2428" t="b">
        <v>1</v>
      </c>
    </row>
    <row r="2429" spans="1:11">
      <c r="A2429" s="12">
        <v>41944</v>
      </c>
      <c r="B2429">
        <v>2014</v>
      </c>
      <c r="C2429">
        <v>11</v>
      </c>
      <c r="D2429" s="11">
        <v>41944</v>
      </c>
      <c r="E2429" t="s">
        <v>2183</v>
      </c>
      <c r="F2429">
        <v>6</v>
      </c>
      <c r="G2429" t="s">
        <v>57</v>
      </c>
      <c r="H2429" t="s">
        <v>43</v>
      </c>
      <c r="I2429" t="s">
        <v>2191</v>
      </c>
      <c r="J2429" s="10">
        <v>43.8</v>
      </c>
      <c r="K2429" t="b">
        <v>1</v>
      </c>
    </row>
    <row r="2430" spans="1:11">
      <c r="A2430" s="12">
        <v>41944</v>
      </c>
      <c r="B2430">
        <v>2014</v>
      </c>
      <c r="C2430">
        <v>11</v>
      </c>
      <c r="D2430" s="11">
        <v>41944</v>
      </c>
      <c r="E2430" t="s">
        <v>2183</v>
      </c>
      <c r="F2430">
        <v>6</v>
      </c>
      <c r="G2430" t="s">
        <v>57</v>
      </c>
      <c r="H2430" t="s">
        <v>44</v>
      </c>
      <c r="I2430" t="s">
        <v>2192</v>
      </c>
      <c r="J2430" s="10">
        <v>22</v>
      </c>
      <c r="K2430" t="b">
        <v>1</v>
      </c>
    </row>
    <row r="2431" spans="1:11">
      <c r="A2431" s="12">
        <v>41944</v>
      </c>
      <c r="B2431">
        <v>2014</v>
      </c>
      <c r="C2431">
        <v>11</v>
      </c>
      <c r="D2431" s="11">
        <v>41944</v>
      </c>
      <c r="E2431" t="s">
        <v>2183</v>
      </c>
      <c r="F2431">
        <v>6</v>
      </c>
      <c r="G2431" t="s">
        <v>57</v>
      </c>
      <c r="H2431" t="s">
        <v>45</v>
      </c>
      <c r="I2431" t="s">
        <v>2193</v>
      </c>
      <c r="J2431" s="10">
        <v>0</v>
      </c>
      <c r="K2431" t="b">
        <v>1</v>
      </c>
    </row>
    <row r="2432" spans="1:11">
      <c r="A2432" s="12">
        <v>41944</v>
      </c>
      <c r="B2432">
        <v>2014</v>
      </c>
      <c r="C2432">
        <v>11</v>
      </c>
      <c r="D2432" s="11">
        <v>41944</v>
      </c>
      <c r="E2432" t="s">
        <v>2183</v>
      </c>
      <c r="F2432">
        <v>6</v>
      </c>
      <c r="G2432" t="s">
        <v>57</v>
      </c>
      <c r="H2432" t="s">
        <v>46</v>
      </c>
      <c r="I2432" t="s">
        <v>2194</v>
      </c>
      <c r="J2432" s="10">
        <v>7</v>
      </c>
      <c r="K2432" t="b">
        <v>1</v>
      </c>
    </row>
    <row r="2433" spans="1:11">
      <c r="A2433" s="12">
        <v>41944</v>
      </c>
      <c r="B2433">
        <v>2014</v>
      </c>
      <c r="C2433">
        <v>11</v>
      </c>
      <c r="D2433" s="11">
        <v>41944</v>
      </c>
      <c r="E2433" t="s">
        <v>2183</v>
      </c>
      <c r="F2433">
        <v>6</v>
      </c>
      <c r="G2433" t="s">
        <v>57</v>
      </c>
      <c r="H2433" t="s">
        <v>47</v>
      </c>
      <c r="I2433" t="s">
        <v>2195</v>
      </c>
      <c r="J2433" s="10">
        <v>1</v>
      </c>
      <c r="K2433" t="b">
        <v>1</v>
      </c>
    </row>
    <row r="2434" spans="1:11">
      <c r="A2434" s="12">
        <v>41945</v>
      </c>
      <c r="B2434">
        <v>2014</v>
      </c>
      <c r="C2434">
        <v>11</v>
      </c>
      <c r="D2434" s="11">
        <v>41944</v>
      </c>
      <c r="E2434" t="s">
        <v>2183</v>
      </c>
      <c r="F2434">
        <v>7</v>
      </c>
      <c r="G2434" t="s">
        <v>59</v>
      </c>
      <c r="H2434" t="s">
        <v>40</v>
      </c>
      <c r="I2434" t="s">
        <v>2188</v>
      </c>
      <c r="J2434" s="10">
        <v>4</v>
      </c>
      <c r="K2434" t="b">
        <v>1</v>
      </c>
    </row>
    <row r="2435" spans="1:11">
      <c r="A2435" s="12">
        <v>41945</v>
      </c>
      <c r="B2435">
        <v>2014</v>
      </c>
      <c r="C2435">
        <v>11</v>
      </c>
      <c r="D2435" s="11">
        <v>41944</v>
      </c>
      <c r="E2435" t="s">
        <v>2183</v>
      </c>
      <c r="F2435">
        <v>7</v>
      </c>
      <c r="G2435" t="s">
        <v>59</v>
      </c>
      <c r="H2435" t="s">
        <v>41</v>
      </c>
      <c r="I2435" t="s">
        <v>2189</v>
      </c>
      <c r="J2435" s="10">
        <v>0</v>
      </c>
      <c r="K2435" t="b">
        <v>1</v>
      </c>
    </row>
    <row r="2436" spans="1:11">
      <c r="A2436" s="12">
        <v>41945</v>
      </c>
      <c r="B2436">
        <v>2014</v>
      </c>
      <c r="C2436">
        <v>11</v>
      </c>
      <c r="D2436" s="11">
        <v>41944</v>
      </c>
      <c r="E2436" t="s">
        <v>2183</v>
      </c>
      <c r="F2436">
        <v>7</v>
      </c>
      <c r="G2436" t="s">
        <v>59</v>
      </c>
      <c r="H2436" t="s">
        <v>42</v>
      </c>
      <c r="I2436" t="s">
        <v>2190</v>
      </c>
      <c r="J2436" s="10">
        <v>1</v>
      </c>
      <c r="K2436" t="b">
        <v>1</v>
      </c>
    </row>
    <row r="2437" spans="1:11">
      <c r="A2437" s="12">
        <v>41945</v>
      </c>
      <c r="B2437">
        <v>2014</v>
      </c>
      <c r="C2437">
        <v>11</v>
      </c>
      <c r="D2437" s="11">
        <v>41944</v>
      </c>
      <c r="E2437" t="s">
        <v>2183</v>
      </c>
      <c r="F2437">
        <v>7</v>
      </c>
      <c r="G2437" t="s">
        <v>59</v>
      </c>
      <c r="H2437" t="s">
        <v>43</v>
      </c>
      <c r="I2437" t="s">
        <v>2191</v>
      </c>
      <c r="J2437" s="10">
        <v>2</v>
      </c>
      <c r="K2437" t="b">
        <v>1</v>
      </c>
    </row>
    <row r="2438" spans="1:11">
      <c r="A2438" s="12">
        <v>41945</v>
      </c>
      <c r="B2438">
        <v>2014</v>
      </c>
      <c r="C2438">
        <v>11</v>
      </c>
      <c r="D2438" s="11">
        <v>41944</v>
      </c>
      <c r="E2438" t="s">
        <v>2183</v>
      </c>
      <c r="F2438">
        <v>7</v>
      </c>
      <c r="G2438" t="s">
        <v>59</v>
      </c>
      <c r="H2438" t="s">
        <v>44</v>
      </c>
      <c r="I2438" t="s">
        <v>2192</v>
      </c>
      <c r="J2438" s="10">
        <v>3.5</v>
      </c>
      <c r="K2438" t="b">
        <v>1</v>
      </c>
    </row>
    <row r="2439" spans="1:11">
      <c r="A2439" s="12">
        <v>41945</v>
      </c>
      <c r="B2439">
        <v>2014</v>
      </c>
      <c r="C2439">
        <v>11</v>
      </c>
      <c r="D2439" s="11">
        <v>41944</v>
      </c>
      <c r="E2439" t="s">
        <v>2183</v>
      </c>
      <c r="F2439">
        <v>7</v>
      </c>
      <c r="G2439" t="s">
        <v>59</v>
      </c>
      <c r="H2439" t="s">
        <v>45</v>
      </c>
      <c r="I2439" t="s">
        <v>2193</v>
      </c>
      <c r="J2439" s="10">
        <v>0</v>
      </c>
      <c r="K2439" t="b">
        <v>1</v>
      </c>
    </row>
    <row r="2440" spans="1:11">
      <c r="A2440" s="12">
        <v>41945</v>
      </c>
      <c r="B2440">
        <v>2014</v>
      </c>
      <c r="C2440">
        <v>11</v>
      </c>
      <c r="D2440" s="11">
        <v>41944</v>
      </c>
      <c r="E2440" t="s">
        <v>2183</v>
      </c>
      <c r="F2440">
        <v>7</v>
      </c>
      <c r="G2440" t="s">
        <v>59</v>
      </c>
      <c r="H2440" t="s">
        <v>46</v>
      </c>
      <c r="I2440" t="s">
        <v>2194</v>
      </c>
      <c r="J2440" s="10">
        <v>0</v>
      </c>
      <c r="K2440" t="b">
        <v>1</v>
      </c>
    </row>
    <row r="2441" spans="1:11">
      <c r="A2441" s="12">
        <v>41945</v>
      </c>
      <c r="B2441">
        <v>2014</v>
      </c>
      <c r="C2441">
        <v>11</v>
      </c>
      <c r="D2441" s="11">
        <v>41944</v>
      </c>
      <c r="E2441" t="s">
        <v>2183</v>
      </c>
      <c r="F2441">
        <v>7</v>
      </c>
      <c r="G2441" t="s">
        <v>59</v>
      </c>
      <c r="H2441" t="s">
        <v>47</v>
      </c>
      <c r="I2441" t="s">
        <v>2195</v>
      </c>
      <c r="J2441" s="10">
        <v>1</v>
      </c>
      <c r="K2441" t="b">
        <v>1</v>
      </c>
    </row>
    <row r="2442" spans="1:11">
      <c r="A2442" s="12">
        <v>41946</v>
      </c>
      <c r="B2442">
        <v>2014</v>
      </c>
      <c r="C2442">
        <v>11</v>
      </c>
      <c r="D2442" s="11">
        <v>41944</v>
      </c>
      <c r="E2442" t="s">
        <v>2183</v>
      </c>
      <c r="F2442">
        <v>1</v>
      </c>
      <c r="G2442" t="s">
        <v>61</v>
      </c>
      <c r="H2442" t="s">
        <v>40</v>
      </c>
      <c r="I2442" t="s">
        <v>2188</v>
      </c>
      <c r="J2442" s="10">
        <v>7</v>
      </c>
      <c r="K2442" t="b">
        <v>1</v>
      </c>
    </row>
    <row r="2443" spans="1:11">
      <c r="A2443" s="12">
        <v>41946</v>
      </c>
      <c r="B2443">
        <v>2014</v>
      </c>
      <c r="C2443">
        <v>11</v>
      </c>
      <c r="D2443" s="11">
        <v>41944</v>
      </c>
      <c r="E2443" t="s">
        <v>2183</v>
      </c>
      <c r="F2443">
        <v>1</v>
      </c>
      <c r="G2443" t="s">
        <v>61</v>
      </c>
      <c r="H2443" t="s">
        <v>41</v>
      </c>
      <c r="I2443" t="s">
        <v>2189</v>
      </c>
      <c r="J2443" s="10">
        <v>4.33</v>
      </c>
      <c r="K2443" t="b">
        <v>1</v>
      </c>
    </row>
    <row r="2444" spans="1:11">
      <c r="A2444" s="12">
        <v>41946</v>
      </c>
      <c r="B2444">
        <v>2014</v>
      </c>
      <c r="C2444">
        <v>11</v>
      </c>
      <c r="D2444" s="11">
        <v>41944</v>
      </c>
      <c r="E2444" t="s">
        <v>2183</v>
      </c>
      <c r="F2444">
        <v>1</v>
      </c>
      <c r="G2444" t="s">
        <v>61</v>
      </c>
      <c r="H2444" t="s">
        <v>42</v>
      </c>
      <c r="I2444" t="s">
        <v>2190</v>
      </c>
      <c r="J2444" s="10">
        <v>1</v>
      </c>
      <c r="K2444" t="b">
        <v>1</v>
      </c>
    </row>
    <row r="2445" spans="1:11">
      <c r="A2445" s="12">
        <v>41946</v>
      </c>
      <c r="B2445">
        <v>2014</v>
      </c>
      <c r="C2445">
        <v>11</v>
      </c>
      <c r="D2445" s="11">
        <v>41944</v>
      </c>
      <c r="E2445" t="s">
        <v>2183</v>
      </c>
      <c r="F2445">
        <v>1</v>
      </c>
      <c r="G2445" t="s">
        <v>61</v>
      </c>
      <c r="H2445" t="s">
        <v>43</v>
      </c>
      <c r="I2445" t="s">
        <v>2191</v>
      </c>
      <c r="J2445" s="10">
        <v>27.8</v>
      </c>
      <c r="K2445" t="b">
        <v>1</v>
      </c>
    </row>
    <row r="2446" spans="1:11">
      <c r="A2446" s="12">
        <v>41946</v>
      </c>
      <c r="B2446">
        <v>2014</v>
      </c>
      <c r="C2446">
        <v>11</v>
      </c>
      <c r="D2446" s="11">
        <v>41944</v>
      </c>
      <c r="E2446" t="s">
        <v>2183</v>
      </c>
      <c r="F2446">
        <v>1</v>
      </c>
      <c r="G2446" t="s">
        <v>61</v>
      </c>
      <c r="H2446" t="s">
        <v>44</v>
      </c>
      <c r="I2446" t="s">
        <v>2192</v>
      </c>
      <c r="J2446" s="10">
        <v>19</v>
      </c>
      <c r="K2446" t="b">
        <v>1</v>
      </c>
    </row>
    <row r="2447" spans="1:11">
      <c r="A2447" s="12">
        <v>41946</v>
      </c>
      <c r="B2447">
        <v>2014</v>
      </c>
      <c r="C2447">
        <v>11</v>
      </c>
      <c r="D2447" s="11">
        <v>41944</v>
      </c>
      <c r="E2447" t="s">
        <v>2183</v>
      </c>
      <c r="F2447">
        <v>1</v>
      </c>
      <c r="G2447" t="s">
        <v>61</v>
      </c>
      <c r="H2447" t="s">
        <v>45</v>
      </c>
      <c r="I2447" t="s">
        <v>2193</v>
      </c>
      <c r="J2447" s="10">
        <v>0</v>
      </c>
      <c r="K2447" t="b">
        <v>1</v>
      </c>
    </row>
    <row r="2448" spans="1:11">
      <c r="A2448" s="12">
        <v>41946</v>
      </c>
      <c r="B2448">
        <v>2014</v>
      </c>
      <c r="C2448">
        <v>11</v>
      </c>
      <c r="D2448" s="11">
        <v>41944</v>
      </c>
      <c r="E2448" t="s">
        <v>2183</v>
      </c>
      <c r="F2448">
        <v>1</v>
      </c>
      <c r="G2448" t="s">
        <v>61</v>
      </c>
      <c r="H2448" t="s">
        <v>46</v>
      </c>
      <c r="I2448" t="s">
        <v>2194</v>
      </c>
      <c r="J2448" s="10">
        <v>5</v>
      </c>
      <c r="K2448" t="b">
        <v>1</v>
      </c>
    </row>
    <row r="2449" spans="1:11">
      <c r="A2449" s="12">
        <v>41946</v>
      </c>
      <c r="B2449">
        <v>2014</v>
      </c>
      <c r="C2449">
        <v>11</v>
      </c>
      <c r="D2449" s="11">
        <v>41944</v>
      </c>
      <c r="E2449" t="s">
        <v>2183</v>
      </c>
      <c r="F2449">
        <v>1</v>
      </c>
      <c r="G2449" t="s">
        <v>61</v>
      </c>
      <c r="H2449" t="s">
        <v>47</v>
      </c>
      <c r="I2449" t="s">
        <v>2195</v>
      </c>
      <c r="J2449" s="10">
        <v>1</v>
      </c>
      <c r="K2449" t="b">
        <v>1</v>
      </c>
    </row>
    <row r="2450" spans="1:11">
      <c r="A2450" s="12">
        <v>41947</v>
      </c>
      <c r="B2450">
        <v>2014</v>
      </c>
      <c r="C2450">
        <v>11</v>
      </c>
      <c r="D2450" s="11">
        <v>41944</v>
      </c>
      <c r="E2450" t="s">
        <v>2183</v>
      </c>
      <c r="F2450">
        <v>2</v>
      </c>
      <c r="G2450" t="s">
        <v>63</v>
      </c>
      <c r="H2450" t="s">
        <v>40</v>
      </c>
      <c r="I2450" t="s">
        <v>2188</v>
      </c>
      <c r="J2450" s="10">
        <v>6.33</v>
      </c>
      <c r="K2450" t="b">
        <v>1</v>
      </c>
    </row>
    <row r="2451" spans="1:11">
      <c r="A2451" s="12">
        <v>41947</v>
      </c>
      <c r="B2451">
        <v>2014</v>
      </c>
      <c r="C2451">
        <v>11</v>
      </c>
      <c r="D2451" s="11">
        <v>41944</v>
      </c>
      <c r="E2451" t="s">
        <v>2183</v>
      </c>
      <c r="F2451">
        <v>2</v>
      </c>
      <c r="G2451" t="s">
        <v>63</v>
      </c>
      <c r="H2451" t="s">
        <v>41</v>
      </c>
      <c r="I2451" t="s">
        <v>2189</v>
      </c>
      <c r="J2451" s="10">
        <v>1</v>
      </c>
      <c r="K2451" t="b">
        <v>1</v>
      </c>
    </row>
    <row r="2452" spans="1:11">
      <c r="A2452" s="12">
        <v>41947</v>
      </c>
      <c r="B2452">
        <v>2014</v>
      </c>
      <c r="C2452">
        <v>11</v>
      </c>
      <c r="D2452" s="11">
        <v>41944</v>
      </c>
      <c r="E2452" t="s">
        <v>2183</v>
      </c>
      <c r="F2452">
        <v>2</v>
      </c>
      <c r="G2452" t="s">
        <v>63</v>
      </c>
      <c r="H2452" t="s">
        <v>42</v>
      </c>
      <c r="I2452" t="s">
        <v>2190</v>
      </c>
      <c r="J2452" s="10">
        <v>5.2</v>
      </c>
      <c r="K2452" t="b">
        <v>1</v>
      </c>
    </row>
    <row r="2453" spans="1:11">
      <c r="A2453" s="12">
        <v>41947</v>
      </c>
      <c r="B2453">
        <v>2014</v>
      </c>
      <c r="C2453">
        <v>11</v>
      </c>
      <c r="D2453" s="11">
        <v>41944</v>
      </c>
      <c r="E2453" t="s">
        <v>2183</v>
      </c>
      <c r="F2453">
        <v>2</v>
      </c>
      <c r="G2453" t="s">
        <v>63</v>
      </c>
      <c r="H2453" t="s">
        <v>43</v>
      </c>
      <c r="I2453" t="s">
        <v>2191</v>
      </c>
      <c r="J2453" s="10">
        <v>26.5</v>
      </c>
      <c r="K2453" t="b">
        <v>1</v>
      </c>
    </row>
    <row r="2454" spans="1:11">
      <c r="A2454" s="12">
        <v>41947</v>
      </c>
      <c r="B2454">
        <v>2014</v>
      </c>
      <c r="C2454">
        <v>11</v>
      </c>
      <c r="D2454" s="11">
        <v>41944</v>
      </c>
      <c r="E2454" t="s">
        <v>2183</v>
      </c>
      <c r="F2454">
        <v>2</v>
      </c>
      <c r="G2454" t="s">
        <v>63</v>
      </c>
      <c r="H2454" t="s">
        <v>44</v>
      </c>
      <c r="I2454" t="s">
        <v>2192</v>
      </c>
      <c r="J2454" s="10">
        <v>15</v>
      </c>
      <c r="K2454" t="b">
        <v>1</v>
      </c>
    </row>
    <row r="2455" spans="1:11">
      <c r="A2455" s="12">
        <v>41947</v>
      </c>
      <c r="B2455">
        <v>2014</v>
      </c>
      <c r="C2455">
        <v>11</v>
      </c>
      <c r="D2455" s="11">
        <v>41944</v>
      </c>
      <c r="E2455" t="s">
        <v>2183</v>
      </c>
      <c r="F2455">
        <v>2</v>
      </c>
      <c r="G2455" t="s">
        <v>63</v>
      </c>
      <c r="H2455" t="s">
        <v>45</v>
      </c>
      <c r="I2455" t="s">
        <v>2193</v>
      </c>
      <c r="J2455" s="10">
        <v>0</v>
      </c>
      <c r="K2455" t="b">
        <v>1</v>
      </c>
    </row>
    <row r="2456" spans="1:11">
      <c r="A2456" s="12">
        <v>41947</v>
      </c>
      <c r="B2456">
        <v>2014</v>
      </c>
      <c r="C2456">
        <v>11</v>
      </c>
      <c r="D2456" s="11">
        <v>41944</v>
      </c>
      <c r="E2456" t="s">
        <v>2183</v>
      </c>
      <c r="F2456">
        <v>2</v>
      </c>
      <c r="G2456" t="s">
        <v>63</v>
      </c>
      <c r="H2456" t="s">
        <v>46</v>
      </c>
      <c r="I2456" t="s">
        <v>2194</v>
      </c>
      <c r="J2456" s="10">
        <v>0</v>
      </c>
      <c r="K2456" t="b">
        <v>1</v>
      </c>
    </row>
    <row r="2457" spans="1:11">
      <c r="A2457" s="12">
        <v>41947</v>
      </c>
      <c r="B2457">
        <v>2014</v>
      </c>
      <c r="C2457">
        <v>11</v>
      </c>
      <c r="D2457" s="11">
        <v>41944</v>
      </c>
      <c r="E2457" t="s">
        <v>2183</v>
      </c>
      <c r="F2457">
        <v>2</v>
      </c>
      <c r="G2457" t="s">
        <v>63</v>
      </c>
      <c r="H2457" t="s">
        <v>47</v>
      </c>
      <c r="I2457" t="s">
        <v>2195</v>
      </c>
      <c r="J2457" s="10">
        <v>1</v>
      </c>
      <c r="K2457" t="b">
        <v>1</v>
      </c>
    </row>
    <row r="2458" spans="1:11">
      <c r="A2458" s="12">
        <v>41948</v>
      </c>
      <c r="B2458">
        <v>2014</v>
      </c>
      <c r="C2458">
        <v>11</v>
      </c>
      <c r="D2458" s="11">
        <v>41944</v>
      </c>
      <c r="E2458" t="s">
        <v>2183</v>
      </c>
      <c r="F2458">
        <v>3</v>
      </c>
      <c r="G2458" t="s">
        <v>65</v>
      </c>
      <c r="H2458" t="s">
        <v>40</v>
      </c>
      <c r="I2458" t="s">
        <v>2188</v>
      </c>
      <c r="J2458" s="10">
        <v>0</v>
      </c>
      <c r="K2458" t="b">
        <v>1</v>
      </c>
    </row>
    <row r="2459" spans="1:11">
      <c r="A2459" s="12">
        <v>41948</v>
      </c>
      <c r="B2459">
        <v>2014</v>
      </c>
      <c r="C2459">
        <v>11</v>
      </c>
      <c r="D2459" s="11">
        <v>41944</v>
      </c>
      <c r="E2459" t="s">
        <v>2183</v>
      </c>
      <c r="F2459">
        <v>3</v>
      </c>
      <c r="G2459" t="s">
        <v>65</v>
      </c>
      <c r="H2459" t="s">
        <v>41</v>
      </c>
      <c r="I2459" t="s">
        <v>2189</v>
      </c>
      <c r="J2459" s="10">
        <v>1.68</v>
      </c>
      <c r="K2459" t="b">
        <v>1</v>
      </c>
    </row>
    <row r="2460" spans="1:11">
      <c r="A2460" s="12">
        <v>41948</v>
      </c>
      <c r="B2460">
        <v>2014</v>
      </c>
      <c r="C2460">
        <v>11</v>
      </c>
      <c r="D2460" s="11">
        <v>41944</v>
      </c>
      <c r="E2460" t="s">
        <v>2183</v>
      </c>
      <c r="F2460">
        <v>3</v>
      </c>
      <c r="G2460" t="s">
        <v>65</v>
      </c>
      <c r="H2460" t="s">
        <v>42</v>
      </c>
      <c r="I2460" t="s">
        <v>2190</v>
      </c>
      <c r="J2460" s="10">
        <v>4</v>
      </c>
      <c r="K2460" t="b">
        <v>1</v>
      </c>
    </row>
    <row r="2461" spans="1:11">
      <c r="A2461" s="12">
        <v>41948</v>
      </c>
      <c r="B2461">
        <v>2014</v>
      </c>
      <c r="C2461">
        <v>11</v>
      </c>
      <c r="D2461" s="11">
        <v>41944</v>
      </c>
      <c r="E2461" t="s">
        <v>2183</v>
      </c>
      <c r="F2461">
        <v>3</v>
      </c>
      <c r="G2461" t="s">
        <v>65</v>
      </c>
      <c r="H2461" t="s">
        <v>43</v>
      </c>
      <c r="I2461" t="s">
        <v>2191</v>
      </c>
      <c r="J2461" s="10">
        <v>27</v>
      </c>
      <c r="K2461" t="b">
        <v>1</v>
      </c>
    </row>
    <row r="2462" spans="1:11">
      <c r="A2462" s="12">
        <v>41948</v>
      </c>
      <c r="B2462">
        <v>2014</v>
      </c>
      <c r="C2462">
        <v>11</v>
      </c>
      <c r="D2462" s="11">
        <v>41944</v>
      </c>
      <c r="E2462" t="s">
        <v>2183</v>
      </c>
      <c r="F2462">
        <v>3</v>
      </c>
      <c r="G2462" t="s">
        <v>65</v>
      </c>
      <c r="H2462" t="s">
        <v>44</v>
      </c>
      <c r="I2462" t="s">
        <v>2192</v>
      </c>
      <c r="J2462" s="10">
        <v>19</v>
      </c>
      <c r="K2462" t="b">
        <v>1</v>
      </c>
    </row>
    <row r="2463" spans="1:11">
      <c r="A2463" s="12">
        <v>41948</v>
      </c>
      <c r="B2463">
        <v>2014</v>
      </c>
      <c r="C2463">
        <v>11</v>
      </c>
      <c r="D2463" s="11">
        <v>41944</v>
      </c>
      <c r="E2463" t="s">
        <v>2183</v>
      </c>
      <c r="F2463">
        <v>3</v>
      </c>
      <c r="G2463" t="s">
        <v>65</v>
      </c>
      <c r="H2463" t="s">
        <v>45</v>
      </c>
      <c r="I2463" t="s">
        <v>2193</v>
      </c>
      <c r="J2463" s="10">
        <v>3</v>
      </c>
      <c r="K2463" t="b">
        <v>1</v>
      </c>
    </row>
    <row r="2464" spans="1:11">
      <c r="A2464" s="12">
        <v>41948</v>
      </c>
      <c r="B2464">
        <v>2014</v>
      </c>
      <c r="C2464">
        <v>11</v>
      </c>
      <c r="D2464" s="11">
        <v>41944</v>
      </c>
      <c r="E2464" t="s">
        <v>2183</v>
      </c>
      <c r="F2464">
        <v>3</v>
      </c>
      <c r="G2464" t="s">
        <v>65</v>
      </c>
      <c r="H2464" t="s">
        <v>46</v>
      </c>
      <c r="I2464" t="s">
        <v>2194</v>
      </c>
      <c r="J2464" s="10">
        <v>1</v>
      </c>
      <c r="K2464" t="b">
        <v>1</v>
      </c>
    </row>
    <row r="2465" spans="1:11">
      <c r="A2465" s="12">
        <v>41948</v>
      </c>
      <c r="B2465">
        <v>2014</v>
      </c>
      <c r="C2465">
        <v>11</v>
      </c>
      <c r="D2465" s="11">
        <v>41944</v>
      </c>
      <c r="E2465" t="s">
        <v>2183</v>
      </c>
      <c r="F2465">
        <v>3</v>
      </c>
      <c r="G2465" t="s">
        <v>65</v>
      </c>
      <c r="H2465" t="s">
        <v>47</v>
      </c>
      <c r="I2465" t="s">
        <v>2195</v>
      </c>
      <c r="J2465" s="10">
        <v>0</v>
      </c>
      <c r="K2465" t="b">
        <v>1</v>
      </c>
    </row>
    <row r="2466" spans="1:11">
      <c r="A2466" s="12">
        <v>41949</v>
      </c>
      <c r="B2466">
        <v>2014</v>
      </c>
      <c r="C2466">
        <v>11</v>
      </c>
      <c r="D2466" s="11">
        <v>41944</v>
      </c>
      <c r="E2466" t="s">
        <v>2183</v>
      </c>
      <c r="F2466">
        <v>4</v>
      </c>
      <c r="G2466" t="s">
        <v>53</v>
      </c>
      <c r="H2466" t="s">
        <v>40</v>
      </c>
      <c r="I2466" t="s">
        <v>2188</v>
      </c>
      <c r="J2466" s="10">
        <v>6</v>
      </c>
      <c r="K2466" t="b">
        <v>1</v>
      </c>
    </row>
    <row r="2467" spans="1:11">
      <c r="A2467" s="12">
        <v>41949</v>
      </c>
      <c r="B2467">
        <v>2014</v>
      </c>
      <c r="C2467">
        <v>11</v>
      </c>
      <c r="D2467" s="11">
        <v>41944</v>
      </c>
      <c r="E2467" t="s">
        <v>2183</v>
      </c>
      <c r="F2467">
        <v>4</v>
      </c>
      <c r="G2467" t="s">
        <v>53</v>
      </c>
      <c r="H2467" t="s">
        <v>41</v>
      </c>
      <c r="I2467" t="s">
        <v>2189</v>
      </c>
      <c r="J2467" s="10">
        <v>2.34</v>
      </c>
      <c r="K2467" t="b">
        <v>1</v>
      </c>
    </row>
    <row r="2468" spans="1:11">
      <c r="A2468" s="12">
        <v>41949</v>
      </c>
      <c r="B2468">
        <v>2014</v>
      </c>
      <c r="C2468">
        <v>11</v>
      </c>
      <c r="D2468" s="11">
        <v>41944</v>
      </c>
      <c r="E2468" t="s">
        <v>2183</v>
      </c>
      <c r="F2468">
        <v>4</v>
      </c>
      <c r="G2468" t="s">
        <v>53</v>
      </c>
      <c r="H2468" t="s">
        <v>42</v>
      </c>
      <c r="I2468" t="s">
        <v>2190</v>
      </c>
      <c r="J2468" s="10">
        <v>5.2</v>
      </c>
      <c r="K2468" t="b">
        <v>1</v>
      </c>
    </row>
    <row r="2469" spans="1:11">
      <c r="A2469" s="12">
        <v>41949</v>
      </c>
      <c r="B2469">
        <v>2014</v>
      </c>
      <c r="C2469">
        <v>11</v>
      </c>
      <c r="D2469" s="11">
        <v>41944</v>
      </c>
      <c r="E2469" t="s">
        <v>2183</v>
      </c>
      <c r="F2469">
        <v>4</v>
      </c>
      <c r="G2469" t="s">
        <v>53</v>
      </c>
      <c r="H2469" t="s">
        <v>43</v>
      </c>
      <c r="I2469" t="s">
        <v>2191</v>
      </c>
      <c r="J2469" s="10">
        <v>23.4</v>
      </c>
      <c r="K2469" t="b">
        <v>1</v>
      </c>
    </row>
    <row r="2470" spans="1:11">
      <c r="A2470" s="12">
        <v>41949</v>
      </c>
      <c r="B2470">
        <v>2014</v>
      </c>
      <c r="C2470">
        <v>11</v>
      </c>
      <c r="D2470" s="11">
        <v>41944</v>
      </c>
      <c r="E2470" t="s">
        <v>2183</v>
      </c>
      <c r="F2470">
        <v>4</v>
      </c>
      <c r="G2470" t="s">
        <v>53</v>
      </c>
      <c r="H2470" t="s">
        <v>44</v>
      </c>
      <c r="I2470" t="s">
        <v>2192</v>
      </c>
      <c r="J2470" s="10">
        <v>23</v>
      </c>
      <c r="K2470" t="b">
        <v>1</v>
      </c>
    </row>
    <row r="2471" spans="1:11">
      <c r="A2471" s="12">
        <v>41949</v>
      </c>
      <c r="B2471">
        <v>2014</v>
      </c>
      <c r="C2471">
        <v>11</v>
      </c>
      <c r="D2471" s="11">
        <v>41944</v>
      </c>
      <c r="E2471" t="s">
        <v>2183</v>
      </c>
      <c r="F2471">
        <v>4</v>
      </c>
      <c r="G2471" t="s">
        <v>53</v>
      </c>
      <c r="H2471" t="s">
        <v>45</v>
      </c>
      <c r="I2471" t="s">
        <v>2193</v>
      </c>
      <c r="J2471" s="10">
        <v>1</v>
      </c>
      <c r="K2471" t="b">
        <v>1</v>
      </c>
    </row>
    <row r="2472" spans="1:11">
      <c r="A2472" s="12">
        <v>41949</v>
      </c>
      <c r="B2472">
        <v>2014</v>
      </c>
      <c r="C2472">
        <v>11</v>
      </c>
      <c r="D2472" s="11">
        <v>41944</v>
      </c>
      <c r="E2472" t="s">
        <v>2183</v>
      </c>
      <c r="F2472">
        <v>4</v>
      </c>
      <c r="G2472" t="s">
        <v>53</v>
      </c>
      <c r="H2472" t="s">
        <v>46</v>
      </c>
      <c r="I2472" t="s">
        <v>2194</v>
      </c>
      <c r="J2472" s="10">
        <v>0</v>
      </c>
      <c r="K2472" t="b">
        <v>1</v>
      </c>
    </row>
    <row r="2473" spans="1:11">
      <c r="A2473" s="12">
        <v>41949</v>
      </c>
      <c r="B2473">
        <v>2014</v>
      </c>
      <c r="C2473">
        <v>11</v>
      </c>
      <c r="D2473" s="11">
        <v>41944</v>
      </c>
      <c r="E2473" t="s">
        <v>2183</v>
      </c>
      <c r="F2473">
        <v>4</v>
      </c>
      <c r="G2473" t="s">
        <v>53</v>
      </c>
      <c r="H2473" t="s">
        <v>47</v>
      </c>
      <c r="I2473" t="s">
        <v>2195</v>
      </c>
      <c r="J2473" s="10">
        <v>0</v>
      </c>
      <c r="K2473" t="b">
        <v>1</v>
      </c>
    </row>
    <row r="2474" spans="1:11">
      <c r="A2474" s="12">
        <v>41950</v>
      </c>
      <c r="B2474">
        <v>2014</v>
      </c>
      <c r="C2474">
        <v>11</v>
      </c>
      <c r="D2474" s="11">
        <v>41944</v>
      </c>
      <c r="E2474" t="s">
        <v>2183</v>
      </c>
      <c r="F2474">
        <v>5</v>
      </c>
      <c r="G2474" t="s">
        <v>55</v>
      </c>
      <c r="H2474" t="s">
        <v>40</v>
      </c>
      <c r="I2474" t="s">
        <v>2188</v>
      </c>
      <c r="J2474" s="10">
        <v>6</v>
      </c>
      <c r="K2474" t="b">
        <v>1</v>
      </c>
    </row>
    <row r="2475" spans="1:11">
      <c r="A2475" s="12">
        <v>41950</v>
      </c>
      <c r="B2475">
        <v>2014</v>
      </c>
      <c r="C2475">
        <v>11</v>
      </c>
      <c r="D2475" s="11">
        <v>41944</v>
      </c>
      <c r="E2475" t="s">
        <v>2183</v>
      </c>
      <c r="F2475">
        <v>5</v>
      </c>
      <c r="G2475" t="s">
        <v>55</v>
      </c>
      <c r="H2475" t="s">
        <v>41</v>
      </c>
      <c r="I2475" t="s">
        <v>2189</v>
      </c>
      <c r="J2475" s="10">
        <v>10.34</v>
      </c>
      <c r="K2475" t="b">
        <v>1</v>
      </c>
    </row>
    <row r="2476" spans="1:11">
      <c r="A2476" s="12">
        <v>41950</v>
      </c>
      <c r="B2476">
        <v>2014</v>
      </c>
      <c r="C2476">
        <v>11</v>
      </c>
      <c r="D2476" s="11">
        <v>41944</v>
      </c>
      <c r="E2476" t="s">
        <v>2183</v>
      </c>
      <c r="F2476">
        <v>5</v>
      </c>
      <c r="G2476" t="s">
        <v>55</v>
      </c>
      <c r="H2476" t="s">
        <v>42</v>
      </c>
      <c r="I2476" t="s">
        <v>2190</v>
      </c>
      <c r="J2476" s="10">
        <v>5.5</v>
      </c>
      <c r="K2476" t="b">
        <v>1</v>
      </c>
    </row>
    <row r="2477" spans="1:11">
      <c r="A2477" s="12">
        <v>41950</v>
      </c>
      <c r="B2477">
        <v>2014</v>
      </c>
      <c r="C2477">
        <v>11</v>
      </c>
      <c r="D2477" s="11">
        <v>41944</v>
      </c>
      <c r="E2477" t="s">
        <v>2183</v>
      </c>
      <c r="F2477">
        <v>5</v>
      </c>
      <c r="G2477" t="s">
        <v>55</v>
      </c>
      <c r="H2477" t="s">
        <v>43</v>
      </c>
      <c r="I2477" t="s">
        <v>2191</v>
      </c>
      <c r="J2477" s="10">
        <v>15.8</v>
      </c>
      <c r="K2477" t="b">
        <v>1</v>
      </c>
    </row>
    <row r="2478" spans="1:11">
      <c r="A2478" s="12">
        <v>41950</v>
      </c>
      <c r="B2478">
        <v>2014</v>
      </c>
      <c r="C2478">
        <v>11</v>
      </c>
      <c r="D2478" s="11">
        <v>41944</v>
      </c>
      <c r="E2478" t="s">
        <v>2183</v>
      </c>
      <c r="F2478">
        <v>5</v>
      </c>
      <c r="G2478" t="s">
        <v>55</v>
      </c>
      <c r="H2478" t="s">
        <v>44</v>
      </c>
      <c r="I2478" t="s">
        <v>2192</v>
      </c>
      <c r="J2478" s="10">
        <v>32</v>
      </c>
      <c r="K2478" t="b">
        <v>1</v>
      </c>
    </row>
    <row r="2479" spans="1:11">
      <c r="A2479" s="12">
        <v>41950</v>
      </c>
      <c r="B2479">
        <v>2014</v>
      </c>
      <c r="C2479">
        <v>11</v>
      </c>
      <c r="D2479" s="11">
        <v>41944</v>
      </c>
      <c r="E2479" t="s">
        <v>2183</v>
      </c>
      <c r="F2479">
        <v>5</v>
      </c>
      <c r="G2479" t="s">
        <v>55</v>
      </c>
      <c r="H2479" t="s">
        <v>45</v>
      </c>
      <c r="I2479" t="s">
        <v>2193</v>
      </c>
      <c r="J2479" s="10">
        <v>1</v>
      </c>
      <c r="K2479" t="b">
        <v>1</v>
      </c>
    </row>
    <row r="2480" spans="1:11">
      <c r="A2480" s="12">
        <v>41950</v>
      </c>
      <c r="B2480">
        <v>2014</v>
      </c>
      <c r="C2480">
        <v>11</v>
      </c>
      <c r="D2480" s="11">
        <v>41944</v>
      </c>
      <c r="E2480" t="s">
        <v>2183</v>
      </c>
      <c r="F2480">
        <v>5</v>
      </c>
      <c r="G2480" t="s">
        <v>55</v>
      </c>
      <c r="H2480" t="s">
        <v>46</v>
      </c>
      <c r="I2480" t="s">
        <v>2194</v>
      </c>
      <c r="J2480" s="10">
        <v>0</v>
      </c>
      <c r="K2480" t="b">
        <v>1</v>
      </c>
    </row>
    <row r="2481" spans="1:11">
      <c r="A2481" s="12">
        <v>41950</v>
      </c>
      <c r="B2481">
        <v>2014</v>
      </c>
      <c r="C2481">
        <v>11</v>
      </c>
      <c r="D2481" s="11">
        <v>41944</v>
      </c>
      <c r="E2481" t="s">
        <v>2183</v>
      </c>
      <c r="F2481">
        <v>5</v>
      </c>
      <c r="G2481" t="s">
        <v>55</v>
      </c>
      <c r="H2481" t="s">
        <v>47</v>
      </c>
      <c r="I2481" t="s">
        <v>2195</v>
      </c>
      <c r="J2481" s="10">
        <v>1</v>
      </c>
      <c r="K2481" t="b">
        <v>1</v>
      </c>
    </row>
    <row r="2482" spans="1:11">
      <c r="A2482" s="12">
        <v>41951</v>
      </c>
      <c r="B2482">
        <v>2014</v>
      </c>
      <c r="C2482">
        <v>11</v>
      </c>
      <c r="D2482" s="11">
        <v>41944</v>
      </c>
      <c r="E2482" t="s">
        <v>2183</v>
      </c>
      <c r="F2482">
        <v>6</v>
      </c>
      <c r="G2482" t="s">
        <v>57</v>
      </c>
      <c r="H2482" t="s">
        <v>40</v>
      </c>
      <c r="I2482" t="s">
        <v>2188</v>
      </c>
      <c r="J2482" s="10">
        <v>12</v>
      </c>
      <c r="K2482" t="b">
        <v>1</v>
      </c>
    </row>
    <row r="2483" spans="1:11">
      <c r="A2483" s="12">
        <v>41951</v>
      </c>
      <c r="B2483">
        <v>2014</v>
      </c>
      <c r="C2483">
        <v>11</v>
      </c>
      <c r="D2483" s="11">
        <v>41944</v>
      </c>
      <c r="E2483" t="s">
        <v>2183</v>
      </c>
      <c r="F2483">
        <v>6</v>
      </c>
      <c r="G2483" t="s">
        <v>57</v>
      </c>
      <c r="H2483" t="s">
        <v>41</v>
      </c>
      <c r="I2483" t="s">
        <v>2189</v>
      </c>
      <c r="J2483" s="10">
        <v>7.02</v>
      </c>
      <c r="K2483" t="b">
        <v>1</v>
      </c>
    </row>
    <row r="2484" spans="1:11">
      <c r="A2484" s="12">
        <v>41951</v>
      </c>
      <c r="B2484">
        <v>2014</v>
      </c>
      <c r="C2484">
        <v>11</v>
      </c>
      <c r="D2484" s="11">
        <v>41944</v>
      </c>
      <c r="E2484" t="s">
        <v>2183</v>
      </c>
      <c r="F2484">
        <v>6</v>
      </c>
      <c r="G2484" t="s">
        <v>57</v>
      </c>
      <c r="H2484" t="s">
        <v>42</v>
      </c>
      <c r="I2484" t="s">
        <v>2190</v>
      </c>
      <c r="J2484" s="10">
        <v>6</v>
      </c>
      <c r="K2484" t="b">
        <v>1</v>
      </c>
    </row>
    <row r="2485" spans="1:11">
      <c r="A2485" s="12">
        <v>41951</v>
      </c>
      <c r="B2485">
        <v>2014</v>
      </c>
      <c r="C2485">
        <v>11</v>
      </c>
      <c r="D2485" s="11">
        <v>41944</v>
      </c>
      <c r="E2485" t="s">
        <v>2183</v>
      </c>
      <c r="F2485">
        <v>6</v>
      </c>
      <c r="G2485" t="s">
        <v>57</v>
      </c>
      <c r="H2485" t="s">
        <v>43</v>
      </c>
      <c r="I2485" t="s">
        <v>2191</v>
      </c>
      <c r="J2485" s="10">
        <v>34.4</v>
      </c>
      <c r="K2485" t="b">
        <v>1</v>
      </c>
    </row>
    <row r="2486" spans="1:11">
      <c r="A2486" s="12">
        <v>41951</v>
      </c>
      <c r="B2486">
        <v>2014</v>
      </c>
      <c r="C2486">
        <v>11</v>
      </c>
      <c r="D2486" s="11">
        <v>41944</v>
      </c>
      <c r="E2486" t="s">
        <v>2183</v>
      </c>
      <c r="F2486">
        <v>6</v>
      </c>
      <c r="G2486" t="s">
        <v>57</v>
      </c>
      <c r="H2486" t="s">
        <v>44</v>
      </c>
      <c r="I2486" t="s">
        <v>2192</v>
      </c>
      <c r="J2486" s="10">
        <v>24</v>
      </c>
      <c r="K2486" t="b">
        <v>1</v>
      </c>
    </row>
    <row r="2487" spans="1:11">
      <c r="A2487" s="12">
        <v>41951</v>
      </c>
      <c r="B2487">
        <v>2014</v>
      </c>
      <c r="C2487">
        <v>11</v>
      </c>
      <c r="D2487" s="11">
        <v>41944</v>
      </c>
      <c r="E2487" t="s">
        <v>2183</v>
      </c>
      <c r="F2487">
        <v>6</v>
      </c>
      <c r="G2487" t="s">
        <v>57</v>
      </c>
      <c r="H2487" t="s">
        <v>45</v>
      </c>
      <c r="I2487" t="s">
        <v>2193</v>
      </c>
      <c r="J2487" s="10">
        <v>0</v>
      </c>
      <c r="K2487" t="b">
        <v>1</v>
      </c>
    </row>
    <row r="2488" spans="1:11">
      <c r="A2488" s="12">
        <v>41951</v>
      </c>
      <c r="B2488">
        <v>2014</v>
      </c>
      <c r="C2488">
        <v>11</v>
      </c>
      <c r="D2488" s="11">
        <v>41944</v>
      </c>
      <c r="E2488" t="s">
        <v>2183</v>
      </c>
      <c r="F2488">
        <v>6</v>
      </c>
      <c r="G2488" t="s">
        <v>57</v>
      </c>
      <c r="H2488" t="s">
        <v>46</v>
      </c>
      <c r="I2488" t="s">
        <v>2194</v>
      </c>
      <c r="J2488" s="10">
        <v>17</v>
      </c>
      <c r="K2488" t="b">
        <v>1</v>
      </c>
    </row>
    <row r="2489" spans="1:11">
      <c r="A2489" s="12">
        <v>41951</v>
      </c>
      <c r="B2489">
        <v>2014</v>
      </c>
      <c r="C2489">
        <v>11</v>
      </c>
      <c r="D2489" s="11">
        <v>41944</v>
      </c>
      <c r="E2489" t="s">
        <v>2183</v>
      </c>
      <c r="F2489">
        <v>6</v>
      </c>
      <c r="G2489" t="s">
        <v>57</v>
      </c>
      <c r="H2489" t="s">
        <v>47</v>
      </c>
      <c r="I2489" t="s">
        <v>2195</v>
      </c>
      <c r="J2489" s="10">
        <v>2.2</v>
      </c>
      <c r="K2489" t="b">
        <v>1</v>
      </c>
    </row>
    <row r="2490" spans="1:11">
      <c r="A2490" s="12">
        <v>41952</v>
      </c>
      <c r="B2490">
        <v>2014</v>
      </c>
      <c r="C2490">
        <v>11</v>
      </c>
      <c r="D2490" s="11">
        <v>41944</v>
      </c>
      <c r="E2490" t="s">
        <v>2183</v>
      </c>
      <c r="F2490">
        <v>7</v>
      </c>
      <c r="G2490" t="s">
        <v>59</v>
      </c>
      <c r="H2490" t="s">
        <v>40</v>
      </c>
      <c r="I2490" t="s">
        <v>2188</v>
      </c>
      <c r="J2490" s="10">
        <v>3.34</v>
      </c>
      <c r="K2490" t="b">
        <v>1</v>
      </c>
    </row>
    <row r="2491" spans="1:11">
      <c r="A2491" s="12">
        <v>41952</v>
      </c>
      <c r="B2491">
        <v>2014</v>
      </c>
      <c r="C2491">
        <v>11</v>
      </c>
      <c r="D2491" s="11">
        <v>41944</v>
      </c>
      <c r="E2491" t="s">
        <v>2183</v>
      </c>
      <c r="F2491">
        <v>7</v>
      </c>
      <c r="G2491" t="s">
        <v>59</v>
      </c>
      <c r="H2491" t="s">
        <v>41</v>
      </c>
      <c r="I2491" t="s">
        <v>2189</v>
      </c>
      <c r="J2491" s="10">
        <v>4.34</v>
      </c>
      <c r="K2491" t="b">
        <v>1</v>
      </c>
    </row>
    <row r="2492" spans="1:11">
      <c r="A2492" s="12">
        <v>41952</v>
      </c>
      <c r="B2492">
        <v>2014</v>
      </c>
      <c r="C2492">
        <v>11</v>
      </c>
      <c r="D2492" s="11">
        <v>41944</v>
      </c>
      <c r="E2492" t="s">
        <v>2183</v>
      </c>
      <c r="F2492">
        <v>7</v>
      </c>
      <c r="G2492" t="s">
        <v>59</v>
      </c>
      <c r="H2492" t="s">
        <v>42</v>
      </c>
      <c r="I2492" t="s">
        <v>2190</v>
      </c>
      <c r="J2492" s="10">
        <v>2.9</v>
      </c>
      <c r="K2492" t="b">
        <v>1</v>
      </c>
    </row>
    <row r="2493" spans="1:11">
      <c r="A2493" s="12">
        <v>41952</v>
      </c>
      <c r="B2493">
        <v>2014</v>
      </c>
      <c r="C2493">
        <v>11</v>
      </c>
      <c r="D2493" s="11">
        <v>41944</v>
      </c>
      <c r="E2493" t="s">
        <v>2183</v>
      </c>
      <c r="F2493">
        <v>7</v>
      </c>
      <c r="G2493" t="s">
        <v>59</v>
      </c>
      <c r="H2493" t="s">
        <v>43</v>
      </c>
      <c r="I2493" t="s">
        <v>2191</v>
      </c>
      <c r="J2493" s="10">
        <v>23</v>
      </c>
      <c r="K2493" t="b">
        <v>1</v>
      </c>
    </row>
    <row r="2494" spans="1:11">
      <c r="A2494" s="12">
        <v>41952</v>
      </c>
      <c r="B2494">
        <v>2014</v>
      </c>
      <c r="C2494">
        <v>11</v>
      </c>
      <c r="D2494" s="11">
        <v>41944</v>
      </c>
      <c r="E2494" t="s">
        <v>2183</v>
      </c>
      <c r="F2494">
        <v>7</v>
      </c>
      <c r="G2494" t="s">
        <v>59</v>
      </c>
      <c r="H2494" t="s">
        <v>44</v>
      </c>
      <c r="I2494" t="s">
        <v>2192</v>
      </c>
      <c r="J2494" s="10">
        <v>20</v>
      </c>
      <c r="K2494" t="b">
        <v>1</v>
      </c>
    </row>
    <row r="2495" spans="1:11">
      <c r="A2495" s="12">
        <v>41952</v>
      </c>
      <c r="B2495">
        <v>2014</v>
      </c>
      <c r="C2495">
        <v>11</v>
      </c>
      <c r="D2495" s="11">
        <v>41944</v>
      </c>
      <c r="E2495" t="s">
        <v>2183</v>
      </c>
      <c r="F2495">
        <v>7</v>
      </c>
      <c r="G2495" t="s">
        <v>59</v>
      </c>
      <c r="H2495" t="s">
        <v>45</v>
      </c>
      <c r="I2495" t="s">
        <v>2193</v>
      </c>
      <c r="J2495" s="10">
        <v>0</v>
      </c>
      <c r="K2495" t="b">
        <v>1</v>
      </c>
    </row>
    <row r="2496" spans="1:11">
      <c r="A2496" s="12">
        <v>41952</v>
      </c>
      <c r="B2496">
        <v>2014</v>
      </c>
      <c r="C2496">
        <v>11</v>
      </c>
      <c r="D2496" s="11">
        <v>41944</v>
      </c>
      <c r="E2496" t="s">
        <v>2183</v>
      </c>
      <c r="F2496">
        <v>7</v>
      </c>
      <c r="G2496" t="s">
        <v>59</v>
      </c>
      <c r="H2496" t="s">
        <v>46</v>
      </c>
      <c r="I2496" t="s">
        <v>2194</v>
      </c>
      <c r="J2496" s="10">
        <v>2</v>
      </c>
      <c r="K2496" t="b">
        <v>1</v>
      </c>
    </row>
    <row r="2497" spans="1:11">
      <c r="A2497" s="12">
        <v>41952</v>
      </c>
      <c r="B2497">
        <v>2014</v>
      </c>
      <c r="C2497">
        <v>11</v>
      </c>
      <c r="D2497" s="11">
        <v>41944</v>
      </c>
      <c r="E2497" t="s">
        <v>2183</v>
      </c>
      <c r="F2497">
        <v>7</v>
      </c>
      <c r="G2497" t="s">
        <v>59</v>
      </c>
      <c r="H2497" t="s">
        <v>47</v>
      </c>
      <c r="I2497" t="s">
        <v>2195</v>
      </c>
      <c r="J2497" s="10">
        <v>1</v>
      </c>
      <c r="K2497" t="b">
        <v>1</v>
      </c>
    </row>
    <row r="2498" spans="1:11">
      <c r="A2498" s="12">
        <v>41953</v>
      </c>
      <c r="B2498">
        <v>2014</v>
      </c>
      <c r="C2498">
        <v>11</v>
      </c>
      <c r="D2498" s="11">
        <v>41944</v>
      </c>
      <c r="E2498" t="s">
        <v>2183</v>
      </c>
      <c r="F2498">
        <v>1</v>
      </c>
      <c r="G2498" t="s">
        <v>61</v>
      </c>
      <c r="H2498" t="s">
        <v>40</v>
      </c>
      <c r="I2498" t="s">
        <v>2188</v>
      </c>
      <c r="J2498" s="10">
        <v>1</v>
      </c>
      <c r="K2498" t="b">
        <v>1</v>
      </c>
    </row>
    <row r="2499" spans="1:11">
      <c r="A2499" s="12">
        <v>41953</v>
      </c>
      <c r="B2499">
        <v>2014</v>
      </c>
      <c r="C2499">
        <v>11</v>
      </c>
      <c r="D2499" s="11">
        <v>41944</v>
      </c>
      <c r="E2499" t="s">
        <v>2183</v>
      </c>
      <c r="F2499">
        <v>1</v>
      </c>
      <c r="G2499" t="s">
        <v>61</v>
      </c>
      <c r="H2499" t="s">
        <v>41</v>
      </c>
      <c r="I2499" t="s">
        <v>2189</v>
      </c>
      <c r="J2499" s="10">
        <v>5.32</v>
      </c>
      <c r="K2499" t="b">
        <v>1</v>
      </c>
    </row>
    <row r="2500" spans="1:11">
      <c r="A2500" s="12">
        <v>41953</v>
      </c>
      <c r="B2500">
        <v>2014</v>
      </c>
      <c r="C2500">
        <v>11</v>
      </c>
      <c r="D2500" s="11">
        <v>41944</v>
      </c>
      <c r="E2500" t="s">
        <v>2183</v>
      </c>
      <c r="F2500">
        <v>1</v>
      </c>
      <c r="G2500" t="s">
        <v>61</v>
      </c>
      <c r="H2500" t="s">
        <v>42</v>
      </c>
      <c r="I2500" t="s">
        <v>2190</v>
      </c>
      <c r="J2500" s="10">
        <v>3.3</v>
      </c>
      <c r="K2500" t="b">
        <v>1</v>
      </c>
    </row>
    <row r="2501" spans="1:11">
      <c r="A2501" s="12">
        <v>41953</v>
      </c>
      <c r="B2501">
        <v>2014</v>
      </c>
      <c r="C2501">
        <v>11</v>
      </c>
      <c r="D2501" s="11">
        <v>41944</v>
      </c>
      <c r="E2501" t="s">
        <v>2183</v>
      </c>
      <c r="F2501">
        <v>1</v>
      </c>
      <c r="G2501" t="s">
        <v>61</v>
      </c>
      <c r="H2501" t="s">
        <v>43</v>
      </c>
      <c r="I2501" t="s">
        <v>2191</v>
      </c>
      <c r="J2501" s="10">
        <v>24.3</v>
      </c>
      <c r="K2501" t="b">
        <v>1</v>
      </c>
    </row>
    <row r="2502" spans="1:11">
      <c r="A2502" s="12">
        <v>41953</v>
      </c>
      <c r="B2502">
        <v>2014</v>
      </c>
      <c r="C2502">
        <v>11</v>
      </c>
      <c r="D2502" s="11">
        <v>41944</v>
      </c>
      <c r="E2502" t="s">
        <v>2183</v>
      </c>
      <c r="F2502">
        <v>1</v>
      </c>
      <c r="G2502" t="s">
        <v>61</v>
      </c>
      <c r="H2502" t="s">
        <v>44</v>
      </c>
      <c r="I2502" t="s">
        <v>2192</v>
      </c>
      <c r="J2502" s="10">
        <v>13</v>
      </c>
      <c r="K2502" t="b">
        <v>1</v>
      </c>
    </row>
    <row r="2503" spans="1:11">
      <c r="A2503" s="12">
        <v>41953</v>
      </c>
      <c r="B2503">
        <v>2014</v>
      </c>
      <c r="C2503">
        <v>11</v>
      </c>
      <c r="D2503" s="11">
        <v>41944</v>
      </c>
      <c r="E2503" t="s">
        <v>2183</v>
      </c>
      <c r="F2503">
        <v>1</v>
      </c>
      <c r="G2503" t="s">
        <v>61</v>
      </c>
      <c r="H2503" t="s">
        <v>45</v>
      </c>
      <c r="I2503" t="s">
        <v>2193</v>
      </c>
      <c r="J2503" s="10">
        <v>0</v>
      </c>
      <c r="K2503" t="b">
        <v>1</v>
      </c>
    </row>
    <row r="2504" spans="1:11">
      <c r="A2504" s="12">
        <v>41953</v>
      </c>
      <c r="B2504">
        <v>2014</v>
      </c>
      <c r="C2504">
        <v>11</v>
      </c>
      <c r="D2504" s="11">
        <v>41944</v>
      </c>
      <c r="E2504" t="s">
        <v>2183</v>
      </c>
      <c r="F2504">
        <v>1</v>
      </c>
      <c r="G2504" t="s">
        <v>61</v>
      </c>
      <c r="H2504" t="s">
        <v>46</v>
      </c>
      <c r="I2504" t="s">
        <v>2194</v>
      </c>
      <c r="J2504" s="10">
        <v>7</v>
      </c>
      <c r="K2504" t="b">
        <v>1</v>
      </c>
    </row>
    <row r="2505" spans="1:11">
      <c r="A2505" s="12">
        <v>41953</v>
      </c>
      <c r="B2505">
        <v>2014</v>
      </c>
      <c r="C2505">
        <v>11</v>
      </c>
      <c r="D2505" s="11">
        <v>41944</v>
      </c>
      <c r="E2505" t="s">
        <v>2183</v>
      </c>
      <c r="F2505">
        <v>1</v>
      </c>
      <c r="G2505" t="s">
        <v>61</v>
      </c>
      <c r="H2505" t="s">
        <v>47</v>
      </c>
      <c r="I2505" t="s">
        <v>2195</v>
      </c>
      <c r="J2505" s="10">
        <v>1</v>
      </c>
      <c r="K2505" t="b">
        <v>1</v>
      </c>
    </row>
    <row r="2506" spans="1:11">
      <c r="A2506" s="12">
        <v>41954</v>
      </c>
      <c r="B2506">
        <v>2014</v>
      </c>
      <c r="C2506">
        <v>11</v>
      </c>
      <c r="D2506" s="11">
        <v>41944</v>
      </c>
      <c r="E2506" t="s">
        <v>2183</v>
      </c>
      <c r="F2506">
        <v>2</v>
      </c>
      <c r="G2506" t="s">
        <v>63</v>
      </c>
      <c r="H2506" t="s">
        <v>40</v>
      </c>
      <c r="I2506" t="s">
        <v>2188</v>
      </c>
      <c r="J2506" s="10">
        <v>8</v>
      </c>
      <c r="K2506" t="b">
        <v>1</v>
      </c>
    </row>
    <row r="2507" spans="1:11">
      <c r="A2507" s="12">
        <v>41954</v>
      </c>
      <c r="B2507">
        <v>2014</v>
      </c>
      <c r="C2507">
        <v>11</v>
      </c>
      <c r="D2507" s="11">
        <v>41944</v>
      </c>
      <c r="E2507" t="s">
        <v>2183</v>
      </c>
      <c r="F2507">
        <v>2</v>
      </c>
      <c r="G2507" t="s">
        <v>63</v>
      </c>
      <c r="H2507" t="s">
        <v>41</v>
      </c>
      <c r="I2507" t="s">
        <v>2189</v>
      </c>
      <c r="J2507" s="10">
        <v>4</v>
      </c>
      <c r="K2507" t="b">
        <v>1</v>
      </c>
    </row>
    <row r="2508" spans="1:11">
      <c r="A2508" s="12">
        <v>41954</v>
      </c>
      <c r="B2508">
        <v>2014</v>
      </c>
      <c r="C2508">
        <v>11</v>
      </c>
      <c r="D2508" s="11">
        <v>41944</v>
      </c>
      <c r="E2508" t="s">
        <v>2183</v>
      </c>
      <c r="F2508">
        <v>2</v>
      </c>
      <c r="G2508" t="s">
        <v>63</v>
      </c>
      <c r="H2508" t="s">
        <v>42</v>
      </c>
      <c r="I2508" t="s">
        <v>2190</v>
      </c>
      <c r="J2508" s="10">
        <v>2</v>
      </c>
      <c r="K2508" t="b">
        <v>1</v>
      </c>
    </row>
    <row r="2509" spans="1:11">
      <c r="A2509" s="12">
        <v>41954</v>
      </c>
      <c r="B2509">
        <v>2014</v>
      </c>
      <c r="C2509">
        <v>11</v>
      </c>
      <c r="D2509" s="11">
        <v>41944</v>
      </c>
      <c r="E2509" t="s">
        <v>2183</v>
      </c>
      <c r="F2509">
        <v>2</v>
      </c>
      <c r="G2509" t="s">
        <v>63</v>
      </c>
      <c r="H2509" t="s">
        <v>43</v>
      </c>
      <c r="I2509" t="s">
        <v>2191</v>
      </c>
      <c r="J2509" s="10">
        <v>23</v>
      </c>
      <c r="K2509" t="b">
        <v>1</v>
      </c>
    </row>
    <row r="2510" spans="1:11">
      <c r="A2510" s="12">
        <v>41954</v>
      </c>
      <c r="B2510">
        <v>2014</v>
      </c>
      <c r="C2510">
        <v>11</v>
      </c>
      <c r="D2510" s="11">
        <v>41944</v>
      </c>
      <c r="E2510" t="s">
        <v>2183</v>
      </c>
      <c r="F2510">
        <v>2</v>
      </c>
      <c r="G2510" t="s">
        <v>63</v>
      </c>
      <c r="H2510" t="s">
        <v>44</v>
      </c>
      <c r="I2510" t="s">
        <v>2192</v>
      </c>
      <c r="J2510" s="10">
        <v>18</v>
      </c>
      <c r="K2510" t="b">
        <v>1</v>
      </c>
    </row>
    <row r="2511" spans="1:11">
      <c r="A2511" s="12">
        <v>41954</v>
      </c>
      <c r="B2511">
        <v>2014</v>
      </c>
      <c r="C2511">
        <v>11</v>
      </c>
      <c r="D2511" s="11">
        <v>41944</v>
      </c>
      <c r="E2511" t="s">
        <v>2183</v>
      </c>
      <c r="F2511">
        <v>2</v>
      </c>
      <c r="G2511" t="s">
        <v>63</v>
      </c>
      <c r="H2511" t="s">
        <v>45</v>
      </c>
      <c r="I2511" t="s">
        <v>2193</v>
      </c>
      <c r="J2511" s="10">
        <v>0</v>
      </c>
      <c r="K2511" t="b">
        <v>1</v>
      </c>
    </row>
    <row r="2512" spans="1:11">
      <c r="A2512" s="12">
        <v>41954</v>
      </c>
      <c r="B2512">
        <v>2014</v>
      </c>
      <c r="C2512">
        <v>11</v>
      </c>
      <c r="D2512" s="11">
        <v>41944</v>
      </c>
      <c r="E2512" t="s">
        <v>2183</v>
      </c>
      <c r="F2512">
        <v>2</v>
      </c>
      <c r="G2512" t="s">
        <v>63</v>
      </c>
      <c r="H2512" t="s">
        <v>46</v>
      </c>
      <c r="I2512" t="s">
        <v>2194</v>
      </c>
      <c r="J2512" s="10">
        <v>8</v>
      </c>
      <c r="K2512" t="b">
        <v>1</v>
      </c>
    </row>
    <row r="2513" spans="1:11">
      <c r="A2513" s="12">
        <v>41954</v>
      </c>
      <c r="B2513">
        <v>2014</v>
      </c>
      <c r="C2513">
        <v>11</v>
      </c>
      <c r="D2513" s="11">
        <v>41944</v>
      </c>
      <c r="E2513" t="s">
        <v>2183</v>
      </c>
      <c r="F2513">
        <v>2</v>
      </c>
      <c r="G2513" t="s">
        <v>63</v>
      </c>
      <c r="H2513" t="s">
        <v>47</v>
      </c>
      <c r="I2513" t="s">
        <v>2195</v>
      </c>
      <c r="J2513" s="10">
        <v>2</v>
      </c>
      <c r="K2513" t="b">
        <v>1</v>
      </c>
    </row>
    <row r="2514" spans="1:11">
      <c r="A2514" s="12">
        <v>41955</v>
      </c>
      <c r="B2514">
        <v>2014</v>
      </c>
      <c r="C2514">
        <v>11</v>
      </c>
      <c r="D2514" s="11">
        <v>41944</v>
      </c>
      <c r="E2514" t="s">
        <v>2183</v>
      </c>
      <c r="F2514">
        <v>3</v>
      </c>
      <c r="G2514" t="s">
        <v>65</v>
      </c>
      <c r="H2514" t="s">
        <v>40</v>
      </c>
      <c r="I2514" t="s">
        <v>2188</v>
      </c>
      <c r="J2514" s="10">
        <v>3</v>
      </c>
      <c r="K2514" t="b">
        <v>1</v>
      </c>
    </row>
    <row r="2515" spans="1:11">
      <c r="A2515" s="12">
        <v>41955</v>
      </c>
      <c r="B2515">
        <v>2014</v>
      </c>
      <c r="C2515">
        <v>11</v>
      </c>
      <c r="D2515" s="11">
        <v>41944</v>
      </c>
      <c r="E2515" t="s">
        <v>2183</v>
      </c>
      <c r="F2515">
        <v>3</v>
      </c>
      <c r="G2515" t="s">
        <v>65</v>
      </c>
      <c r="H2515" t="s">
        <v>41</v>
      </c>
      <c r="I2515" t="s">
        <v>2189</v>
      </c>
      <c r="J2515" s="10">
        <v>5</v>
      </c>
      <c r="K2515" t="b">
        <v>1</v>
      </c>
    </row>
    <row r="2516" spans="1:11">
      <c r="A2516" s="12">
        <v>41955</v>
      </c>
      <c r="B2516">
        <v>2014</v>
      </c>
      <c r="C2516">
        <v>11</v>
      </c>
      <c r="D2516" s="11">
        <v>41944</v>
      </c>
      <c r="E2516" t="s">
        <v>2183</v>
      </c>
      <c r="F2516">
        <v>3</v>
      </c>
      <c r="G2516" t="s">
        <v>65</v>
      </c>
      <c r="H2516" t="s">
        <v>42</v>
      </c>
      <c r="I2516" t="s">
        <v>2190</v>
      </c>
      <c r="J2516" s="10">
        <v>4</v>
      </c>
      <c r="K2516" t="b">
        <v>1</v>
      </c>
    </row>
    <row r="2517" spans="1:11">
      <c r="A2517" s="12">
        <v>41955</v>
      </c>
      <c r="B2517">
        <v>2014</v>
      </c>
      <c r="C2517">
        <v>11</v>
      </c>
      <c r="D2517" s="11">
        <v>41944</v>
      </c>
      <c r="E2517" t="s">
        <v>2183</v>
      </c>
      <c r="F2517">
        <v>3</v>
      </c>
      <c r="G2517" t="s">
        <v>65</v>
      </c>
      <c r="H2517" t="s">
        <v>43</v>
      </c>
      <c r="I2517" t="s">
        <v>2191</v>
      </c>
      <c r="J2517" s="10">
        <v>25</v>
      </c>
      <c r="K2517" t="b">
        <v>1</v>
      </c>
    </row>
    <row r="2518" spans="1:11">
      <c r="A2518" s="12">
        <v>41955</v>
      </c>
      <c r="B2518">
        <v>2014</v>
      </c>
      <c r="C2518">
        <v>11</v>
      </c>
      <c r="D2518" s="11">
        <v>41944</v>
      </c>
      <c r="E2518" t="s">
        <v>2183</v>
      </c>
      <c r="F2518">
        <v>3</v>
      </c>
      <c r="G2518" t="s">
        <v>65</v>
      </c>
      <c r="H2518" t="s">
        <v>44</v>
      </c>
      <c r="I2518" t="s">
        <v>2192</v>
      </c>
      <c r="J2518" s="10">
        <v>16</v>
      </c>
      <c r="K2518" t="b">
        <v>1</v>
      </c>
    </row>
    <row r="2519" spans="1:11">
      <c r="A2519" s="12">
        <v>41955</v>
      </c>
      <c r="B2519">
        <v>2014</v>
      </c>
      <c r="C2519">
        <v>11</v>
      </c>
      <c r="D2519" s="11">
        <v>41944</v>
      </c>
      <c r="E2519" t="s">
        <v>2183</v>
      </c>
      <c r="F2519">
        <v>3</v>
      </c>
      <c r="G2519" t="s">
        <v>65</v>
      </c>
      <c r="H2519" t="s">
        <v>45</v>
      </c>
      <c r="I2519" t="s">
        <v>2193</v>
      </c>
      <c r="J2519" s="10">
        <v>0</v>
      </c>
      <c r="K2519" t="b">
        <v>1</v>
      </c>
    </row>
    <row r="2520" spans="1:11">
      <c r="A2520" s="12">
        <v>41955</v>
      </c>
      <c r="B2520">
        <v>2014</v>
      </c>
      <c r="C2520">
        <v>11</v>
      </c>
      <c r="D2520" s="11">
        <v>41944</v>
      </c>
      <c r="E2520" t="s">
        <v>2183</v>
      </c>
      <c r="F2520">
        <v>3</v>
      </c>
      <c r="G2520" t="s">
        <v>65</v>
      </c>
      <c r="H2520" t="s">
        <v>46</v>
      </c>
      <c r="I2520" t="s">
        <v>2194</v>
      </c>
      <c r="J2520" s="10">
        <v>3</v>
      </c>
      <c r="K2520" t="b">
        <v>1</v>
      </c>
    </row>
    <row r="2521" spans="1:11">
      <c r="A2521" s="12">
        <v>41955</v>
      </c>
      <c r="B2521">
        <v>2014</v>
      </c>
      <c r="C2521">
        <v>11</v>
      </c>
      <c r="D2521" s="11">
        <v>41944</v>
      </c>
      <c r="E2521" t="s">
        <v>2183</v>
      </c>
      <c r="F2521">
        <v>3</v>
      </c>
      <c r="G2521" t="s">
        <v>65</v>
      </c>
      <c r="H2521" t="s">
        <v>47</v>
      </c>
      <c r="I2521" t="s">
        <v>2195</v>
      </c>
      <c r="J2521" s="10">
        <v>0</v>
      </c>
      <c r="K2521" t="b">
        <v>1</v>
      </c>
    </row>
    <row r="2522" spans="1:11">
      <c r="A2522" s="12">
        <v>41956</v>
      </c>
      <c r="B2522">
        <v>2014</v>
      </c>
      <c r="C2522">
        <v>11</v>
      </c>
      <c r="D2522" s="11">
        <v>41944</v>
      </c>
      <c r="E2522" t="s">
        <v>2183</v>
      </c>
      <c r="F2522">
        <v>4</v>
      </c>
      <c r="G2522" t="s">
        <v>53</v>
      </c>
      <c r="H2522" t="s">
        <v>40</v>
      </c>
      <c r="I2522" t="s">
        <v>2188</v>
      </c>
      <c r="J2522" s="10">
        <v>8</v>
      </c>
      <c r="K2522" t="b">
        <v>1</v>
      </c>
    </row>
    <row r="2523" spans="1:11">
      <c r="A2523" s="12">
        <v>41956</v>
      </c>
      <c r="B2523">
        <v>2014</v>
      </c>
      <c r="C2523">
        <v>11</v>
      </c>
      <c r="D2523" s="11">
        <v>41944</v>
      </c>
      <c r="E2523" t="s">
        <v>2183</v>
      </c>
      <c r="F2523">
        <v>4</v>
      </c>
      <c r="G2523" t="s">
        <v>53</v>
      </c>
      <c r="H2523" t="s">
        <v>41</v>
      </c>
      <c r="I2523" t="s">
        <v>2189</v>
      </c>
      <c r="J2523" s="10">
        <v>2</v>
      </c>
      <c r="K2523" t="b">
        <v>1</v>
      </c>
    </row>
    <row r="2524" spans="1:11">
      <c r="A2524" s="12">
        <v>41956</v>
      </c>
      <c r="B2524">
        <v>2014</v>
      </c>
      <c r="C2524">
        <v>11</v>
      </c>
      <c r="D2524" s="11">
        <v>41944</v>
      </c>
      <c r="E2524" t="s">
        <v>2183</v>
      </c>
      <c r="F2524">
        <v>4</v>
      </c>
      <c r="G2524" t="s">
        <v>53</v>
      </c>
      <c r="H2524" t="s">
        <v>42</v>
      </c>
      <c r="I2524" t="s">
        <v>2190</v>
      </c>
      <c r="J2524" s="10">
        <v>5</v>
      </c>
      <c r="K2524" t="b">
        <v>1</v>
      </c>
    </row>
    <row r="2525" spans="1:11">
      <c r="A2525" s="12">
        <v>41956</v>
      </c>
      <c r="B2525">
        <v>2014</v>
      </c>
      <c r="C2525">
        <v>11</v>
      </c>
      <c r="D2525" s="11">
        <v>41944</v>
      </c>
      <c r="E2525" t="s">
        <v>2183</v>
      </c>
      <c r="F2525">
        <v>4</v>
      </c>
      <c r="G2525" t="s">
        <v>53</v>
      </c>
      <c r="H2525" t="s">
        <v>43</v>
      </c>
      <c r="I2525" t="s">
        <v>2191</v>
      </c>
      <c r="J2525" s="10">
        <v>33.2</v>
      </c>
      <c r="K2525" t="b">
        <v>1</v>
      </c>
    </row>
    <row r="2526" spans="1:11">
      <c r="A2526" s="12">
        <v>41956</v>
      </c>
      <c r="B2526">
        <v>2014</v>
      </c>
      <c r="C2526">
        <v>11</v>
      </c>
      <c r="D2526" s="11">
        <v>41944</v>
      </c>
      <c r="E2526" t="s">
        <v>2183</v>
      </c>
      <c r="F2526">
        <v>4</v>
      </c>
      <c r="G2526" t="s">
        <v>53</v>
      </c>
      <c r="H2526" t="s">
        <v>44</v>
      </c>
      <c r="I2526" t="s">
        <v>2192</v>
      </c>
      <c r="J2526" s="10">
        <v>10</v>
      </c>
      <c r="K2526" t="b">
        <v>1</v>
      </c>
    </row>
    <row r="2527" spans="1:11">
      <c r="A2527" s="12">
        <v>41956</v>
      </c>
      <c r="B2527">
        <v>2014</v>
      </c>
      <c r="C2527">
        <v>11</v>
      </c>
      <c r="D2527" s="11">
        <v>41944</v>
      </c>
      <c r="E2527" t="s">
        <v>2183</v>
      </c>
      <c r="F2527">
        <v>4</v>
      </c>
      <c r="G2527" t="s">
        <v>53</v>
      </c>
      <c r="H2527" t="s">
        <v>45</v>
      </c>
      <c r="I2527" t="s">
        <v>2193</v>
      </c>
      <c r="J2527" s="10">
        <v>0</v>
      </c>
      <c r="K2527" t="b">
        <v>1</v>
      </c>
    </row>
    <row r="2528" spans="1:11">
      <c r="A2528" s="12">
        <v>41956</v>
      </c>
      <c r="B2528">
        <v>2014</v>
      </c>
      <c r="C2528">
        <v>11</v>
      </c>
      <c r="D2528" s="11">
        <v>41944</v>
      </c>
      <c r="E2528" t="s">
        <v>2183</v>
      </c>
      <c r="F2528">
        <v>4</v>
      </c>
      <c r="G2528" t="s">
        <v>53</v>
      </c>
      <c r="H2528" t="s">
        <v>46</v>
      </c>
      <c r="I2528" t="s">
        <v>2194</v>
      </c>
      <c r="J2528" s="10">
        <v>0</v>
      </c>
      <c r="K2528" t="b">
        <v>1</v>
      </c>
    </row>
    <row r="2529" spans="1:11">
      <c r="A2529" s="12">
        <v>41956</v>
      </c>
      <c r="B2529">
        <v>2014</v>
      </c>
      <c r="C2529">
        <v>11</v>
      </c>
      <c r="D2529" s="11">
        <v>41944</v>
      </c>
      <c r="E2529" t="s">
        <v>2183</v>
      </c>
      <c r="F2529">
        <v>4</v>
      </c>
      <c r="G2529" t="s">
        <v>53</v>
      </c>
      <c r="H2529" t="s">
        <v>47</v>
      </c>
      <c r="I2529" t="s">
        <v>2195</v>
      </c>
      <c r="J2529" s="10">
        <v>2.2</v>
      </c>
      <c r="K2529" t="b">
        <v>1</v>
      </c>
    </row>
    <row r="2530" spans="1:11">
      <c r="A2530" s="12">
        <v>41957</v>
      </c>
      <c r="B2530">
        <v>2014</v>
      </c>
      <c r="C2530">
        <v>11</v>
      </c>
      <c r="D2530" s="11">
        <v>41944</v>
      </c>
      <c r="E2530" t="s">
        <v>2183</v>
      </c>
      <c r="F2530">
        <v>5</v>
      </c>
      <c r="G2530" t="s">
        <v>55</v>
      </c>
      <c r="H2530" t="s">
        <v>40</v>
      </c>
      <c r="I2530" t="s">
        <v>2188</v>
      </c>
      <c r="J2530" s="10">
        <v>5.34</v>
      </c>
      <c r="K2530" t="b">
        <v>1</v>
      </c>
    </row>
    <row r="2531" spans="1:11">
      <c r="A2531" s="12">
        <v>41957</v>
      </c>
      <c r="B2531">
        <v>2014</v>
      </c>
      <c r="C2531">
        <v>11</v>
      </c>
      <c r="D2531" s="11">
        <v>41944</v>
      </c>
      <c r="E2531" t="s">
        <v>2183</v>
      </c>
      <c r="F2531">
        <v>5</v>
      </c>
      <c r="G2531" t="s">
        <v>55</v>
      </c>
      <c r="H2531" t="s">
        <v>41</v>
      </c>
      <c r="I2531" t="s">
        <v>2189</v>
      </c>
      <c r="J2531" s="10">
        <v>0</v>
      </c>
      <c r="K2531" t="b">
        <v>1</v>
      </c>
    </row>
    <row r="2532" spans="1:11">
      <c r="A2532" s="12">
        <v>41957</v>
      </c>
      <c r="B2532">
        <v>2014</v>
      </c>
      <c r="C2532">
        <v>11</v>
      </c>
      <c r="D2532" s="11">
        <v>41944</v>
      </c>
      <c r="E2532" t="s">
        <v>2183</v>
      </c>
      <c r="F2532">
        <v>5</v>
      </c>
      <c r="G2532" t="s">
        <v>55</v>
      </c>
      <c r="H2532" t="s">
        <v>42</v>
      </c>
      <c r="I2532" t="s">
        <v>2190</v>
      </c>
      <c r="J2532" s="10">
        <v>6</v>
      </c>
      <c r="K2532" t="b">
        <v>1</v>
      </c>
    </row>
    <row r="2533" spans="1:11">
      <c r="A2533" s="12">
        <v>41957</v>
      </c>
      <c r="B2533">
        <v>2014</v>
      </c>
      <c r="C2533">
        <v>11</v>
      </c>
      <c r="D2533" s="11">
        <v>41944</v>
      </c>
      <c r="E2533" t="s">
        <v>2183</v>
      </c>
      <c r="F2533">
        <v>5</v>
      </c>
      <c r="G2533" t="s">
        <v>55</v>
      </c>
      <c r="H2533" t="s">
        <v>43</v>
      </c>
      <c r="I2533" t="s">
        <v>2191</v>
      </c>
      <c r="J2533" s="10">
        <v>29.4</v>
      </c>
      <c r="K2533" t="b">
        <v>1</v>
      </c>
    </row>
    <row r="2534" spans="1:11">
      <c r="A2534" s="12">
        <v>41957</v>
      </c>
      <c r="B2534">
        <v>2014</v>
      </c>
      <c r="C2534">
        <v>11</v>
      </c>
      <c r="D2534" s="11">
        <v>41944</v>
      </c>
      <c r="E2534" t="s">
        <v>2183</v>
      </c>
      <c r="F2534">
        <v>5</v>
      </c>
      <c r="G2534" t="s">
        <v>55</v>
      </c>
      <c r="H2534" t="s">
        <v>44</v>
      </c>
      <c r="I2534" t="s">
        <v>2192</v>
      </c>
      <c r="J2534" s="10">
        <v>20</v>
      </c>
      <c r="K2534" t="b">
        <v>1</v>
      </c>
    </row>
    <row r="2535" spans="1:11">
      <c r="A2535" s="12">
        <v>41957</v>
      </c>
      <c r="B2535">
        <v>2014</v>
      </c>
      <c r="C2535">
        <v>11</v>
      </c>
      <c r="D2535" s="11">
        <v>41944</v>
      </c>
      <c r="E2535" t="s">
        <v>2183</v>
      </c>
      <c r="F2535">
        <v>5</v>
      </c>
      <c r="G2535" t="s">
        <v>55</v>
      </c>
      <c r="H2535" t="s">
        <v>45</v>
      </c>
      <c r="I2535" t="s">
        <v>2193</v>
      </c>
      <c r="J2535" s="10">
        <v>1</v>
      </c>
      <c r="K2535" t="b">
        <v>1</v>
      </c>
    </row>
    <row r="2536" spans="1:11">
      <c r="A2536" s="12">
        <v>41957</v>
      </c>
      <c r="B2536">
        <v>2014</v>
      </c>
      <c r="C2536">
        <v>11</v>
      </c>
      <c r="D2536" s="11">
        <v>41944</v>
      </c>
      <c r="E2536" t="s">
        <v>2183</v>
      </c>
      <c r="F2536">
        <v>5</v>
      </c>
      <c r="G2536" t="s">
        <v>55</v>
      </c>
      <c r="H2536" t="s">
        <v>46</v>
      </c>
      <c r="I2536" t="s">
        <v>2194</v>
      </c>
      <c r="J2536" s="10">
        <v>2</v>
      </c>
      <c r="K2536" t="b">
        <v>1</v>
      </c>
    </row>
    <row r="2537" spans="1:11">
      <c r="A2537" s="12">
        <v>41957</v>
      </c>
      <c r="B2537">
        <v>2014</v>
      </c>
      <c r="C2537">
        <v>11</v>
      </c>
      <c r="D2537" s="11">
        <v>41944</v>
      </c>
      <c r="E2537" t="s">
        <v>2183</v>
      </c>
      <c r="F2537">
        <v>5</v>
      </c>
      <c r="G2537" t="s">
        <v>55</v>
      </c>
      <c r="H2537" t="s">
        <v>47</v>
      </c>
      <c r="I2537" t="s">
        <v>2195</v>
      </c>
      <c r="J2537" s="10">
        <v>3</v>
      </c>
      <c r="K2537" t="b">
        <v>1</v>
      </c>
    </row>
    <row r="2538" spans="1:11">
      <c r="A2538" s="12">
        <v>41958</v>
      </c>
      <c r="B2538">
        <v>2014</v>
      </c>
      <c r="C2538">
        <v>11</v>
      </c>
      <c r="D2538" s="11">
        <v>41944</v>
      </c>
      <c r="E2538" t="s">
        <v>2183</v>
      </c>
      <c r="F2538">
        <v>6</v>
      </c>
      <c r="G2538" t="s">
        <v>57</v>
      </c>
      <c r="H2538" t="s">
        <v>40</v>
      </c>
      <c r="I2538" t="s">
        <v>2188</v>
      </c>
      <c r="J2538" s="10">
        <v>4.33</v>
      </c>
      <c r="K2538" t="b">
        <v>1</v>
      </c>
    </row>
    <row r="2539" spans="1:11">
      <c r="A2539" s="12">
        <v>41958</v>
      </c>
      <c r="B2539">
        <v>2014</v>
      </c>
      <c r="C2539">
        <v>11</v>
      </c>
      <c r="D2539" s="11">
        <v>41944</v>
      </c>
      <c r="E2539" t="s">
        <v>2183</v>
      </c>
      <c r="F2539">
        <v>6</v>
      </c>
      <c r="G2539" t="s">
        <v>57</v>
      </c>
      <c r="H2539" t="s">
        <v>41</v>
      </c>
      <c r="I2539" t="s">
        <v>2189</v>
      </c>
      <c r="J2539" s="10">
        <v>5.34</v>
      </c>
      <c r="K2539" t="b">
        <v>1</v>
      </c>
    </row>
    <row r="2540" spans="1:11">
      <c r="A2540" s="12">
        <v>41958</v>
      </c>
      <c r="B2540">
        <v>2014</v>
      </c>
      <c r="C2540">
        <v>11</v>
      </c>
      <c r="D2540" s="11">
        <v>41944</v>
      </c>
      <c r="E2540" t="s">
        <v>2183</v>
      </c>
      <c r="F2540">
        <v>6</v>
      </c>
      <c r="G2540" t="s">
        <v>57</v>
      </c>
      <c r="H2540" t="s">
        <v>42</v>
      </c>
      <c r="I2540" t="s">
        <v>2190</v>
      </c>
      <c r="J2540" s="10">
        <v>5</v>
      </c>
      <c r="K2540" t="b">
        <v>1</v>
      </c>
    </row>
    <row r="2541" spans="1:11">
      <c r="A2541" s="12">
        <v>41958</v>
      </c>
      <c r="B2541">
        <v>2014</v>
      </c>
      <c r="C2541">
        <v>11</v>
      </c>
      <c r="D2541" s="11">
        <v>41944</v>
      </c>
      <c r="E2541" t="s">
        <v>2183</v>
      </c>
      <c r="F2541">
        <v>6</v>
      </c>
      <c r="G2541" t="s">
        <v>57</v>
      </c>
      <c r="H2541" t="s">
        <v>43</v>
      </c>
      <c r="I2541" t="s">
        <v>2191</v>
      </c>
      <c r="J2541" s="10">
        <v>23.6</v>
      </c>
      <c r="K2541" t="b">
        <v>1</v>
      </c>
    </row>
    <row r="2542" spans="1:11">
      <c r="A2542" s="12">
        <v>41958</v>
      </c>
      <c r="B2542">
        <v>2014</v>
      </c>
      <c r="C2542">
        <v>11</v>
      </c>
      <c r="D2542" s="11">
        <v>41944</v>
      </c>
      <c r="E2542" t="s">
        <v>2183</v>
      </c>
      <c r="F2542">
        <v>6</v>
      </c>
      <c r="G2542" t="s">
        <v>57</v>
      </c>
      <c r="H2542" t="s">
        <v>44</v>
      </c>
      <c r="I2542" t="s">
        <v>2192</v>
      </c>
      <c r="J2542" s="10">
        <v>20</v>
      </c>
      <c r="K2542" t="b">
        <v>1</v>
      </c>
    </row>
    <row r="2543" spans="1:11">
      <c r="A2543" s="12">
        <v>41958</v>
      </c>
      <c r="B2543">
        <v>2014</v>
      </c>
      <c r="C2543">
        <v>11</v>
      </c>
      <c r="D2543" s="11">
        <v>41944</v>
      </c>
      <c r="E2543" t="s">
        <v>2183</v>
      </c>
      <c r="F2543">
        <v>6</v>
      </c>
      <c r="G2543" t="s">
        <v>57</v>
      </c>
      <c r="H2543" t="s">
        <v>45</v>
      </c>
      <c r="I2543" t="s">
        <v>2193</v>
      </c>
      <c r="J2543" s="10">
        <v>2</v>
      </c>
      <c r="K2543" t="b">
        <v>1</v>
      </c>
    </row>
    <row r="2544" spans="1:11">
      <c r="A2544" s="12">
        <v>41958</v>
      </c>
      <c r="B2544">
        <v>2014</v>
      </c>
      <c r="C2544">
        <v>11</v>
      </c>
      <c r="D2544" s="11">
        <v>41944</v>
      </c>
      <c r="E2544" t="s">
        <v>2183</v>
      </c>
      <c r="F2544">
        <v>6</v>
      </c>
      <c r="G2544" t="s">
        <v>57</v>
      </c>
      <c r="H2544" t="s">
        <v>46</v>
      </c>
      <c r="I2544" t="s">
        <v>2194</v>
      </c>
      <c r="J2544" s="10">
        <v>2</v>
      </c>
      <c r="K2544" t="b">
        <v>1</v>
      </c>
    </row>
    <row r="2545" spans="1:11">
      <c r="A2545" s="12">
        <v>41958</v>
      </c>
      <c r="B2545">
        <v>2014</v>
      </c>
      <c r="C2545">
        <v>11</v>
      </c>
      <c r="D2545" s="11">
        <v>41944</v>
      </c>
      <c r="E2545" t="s">
        <v>2183</v>
      </c>
      <c r="F2545">
        <v>6</v>
      </c>
      <c r="G2545" t="s">
        <v>57</v>
      </c>
      <c r="H2545" t="s">
        <v>47</v>
      </c>
      <c r="I2545" t="s">
        <v>2195</v>
      </c>
      <c r="J2545" s="10">
        <v>2</v>
      </c>
      <c r="K2545" t="b">
        <v>1</v>
      </c>
    </row>
    <row r="2546" spans="1:11">
      <c r="A2546" s="12">
        <v>41959</v>
      </c>
      <c r="B2546">
        <v>2014</v>
      </c>
      <c r="C2546">
        <v>11</v>
      </c>
      <c r="D2546" s="11">
        <v>41944</v>
      </c>
      <c r="E2546" t="s">
        <v>2183</v>
      </c>
      <c r="F2546">
        <v>7</v>
      </c>
      <c r="G2546" t="s">
        <v>59</v>
      </c>
      <c r="H2546" t="s">
        <v>40</v>
      </c>
      <c r="I2546" t="s">
        <v>2188</v>
      </c>
      <c r="J2546" s="10">
        <v>2</v>
      </c>
      <c r="K2546" t="b">
        <v>1</v>
      </c>
    </row>
    <row r="2547" spans="1:11">
      <c r="A2547" s="12">
        <v>41959</v>
      </c>
      <c r="B2547">
        <v>2014</v>
      </c>
      <c r="C2547">
        <v>11</v>
      </c>
      <c r="D2547" s="11">
        <v>41944</v>
      </c>
      <c r="E2547" t="s">
        <v>2183</v>
      </c>
      <c r="F2547">
        <v>7</v>
      </c>
      <c r="G2547" t="s">
        <v>59</v>
      </c>
      <c r="H2547" t="s">
        <v>41</v>
      </c>
      <c r="I2547" t="s">
        <v>2189</v>
      </c>
      <c r="J2547" s="10">
        <v>2.68</v>
      </c>
      <c r="K2547" t="b">
        <v>1</v>
      </c>
    </row>
    <row r="2548" spans="1:11">
      <c r="A2548" s="12">
        <v>41959</v>
      </c>
      <c r="B2548">
        <v>2014</v>
      </c>
      <c r="C2548">
        <v>11</v>
      </c>
      <c r="D2548" s="11">
        <v>41944</v>
      </c>
      <c r="E2548" t="s">
        <v>2183</v>
      </c>
      <c r="F2548">
        <v>7</v>
      </c>
      <c r="G2548" t="s">
        <v>59</v>
      </c>
      <c r="H2548" t="s">
        <v>42</v>
      </c>
      <c r="I2548" t="s">
        <v>2190</v>
      </c>
      <c r="J2548" s="10">
        <v>6</v>
      </c>
      <c r="K2548" t="b">
        <v>1</v>
      </c>
    </row>
    <row r="2549" spans="1:11">
      <c r="A2549" s="12">
        <v>41959</v>
      </c>
      <c r="B2549">
        <v>2014</v>
      </c>
      <c r="C2549">
        <v>11</v>
      </c>
      <c r="D2549" s="11">
        <v>41944</v>
      </c>
      <c r="E2549" t="s">
        <v>2183</v>
      </c>
      <c r="F2549">
        <v>7</v>
      </c>
      <c r="G2549" t="s">
        <v>59</v>
      </c>
      <c r="H2549" t="s">
        <v>43</v>
      </c>
      <c r="I2549" t="s">
        <v>2191</v>
      </c>
      <c r="J2549" s="10">
        <v>18.6</v>
      </c>
      <c r="K2549" t="b">
        <v>1</v>
      </c>
    </row>
    <row r="2550" spans="1:11">
      <c r="A2550" s="12">
        <v>41959</v>
      </c>
      <c r="B2550">
        <v>2014</v>
      </c>
      <c r="C2550">
        <v>11</v>
      </c>
      <c r="D2550" s="11">
        <v>41944</v>
      </c>
      <c r="E2550" t="s">
        <v>2183</v>
      </c>
      <c r="F2550">
        <v>7</v>
      </c>
      <c r="G2550" t="s">
        <v>59</v>
      </c>
      <c r="H2550" t="s">
        <v>44</v>
      </c>
      <c r="I2550" t="s">
        <v>2192</v>
      </c>
      <c r="J2550" s="10">
        <v>13</v>
      </c>
      <c r="K2550" t="b">
        <v>1</v>
      </c>
    </row>
    <row r="2551" spans="1:11">
      <c r="A2551" s="12">
        <v>41959</v>
      </c>
      <c r="B2551">
        <v>2014</v>
      </c>
      <c r="C2551">
        <v>11</v>
      </c>
      <c r="D2551" s="11">
        <v>41944</v>
      </c>
      <c r="E2551" t="s">
        <v>2183</v>
      </c>
      <c r="F2551">
        <v>7</v>
      </c>
      <c r="G2551" t="s">
        <v>59</v>
      </c>
      <c r="H2551" t="s">
        <v>45</v>
      </c>
      <c r="I2551" t="s">
        <v>2193</v>
      </c>
      <c r="J2551" s="10">
        <v>1</v>
      </c>
      <c r="K2551" t="b">
        <v>1</v>
      </c>
    </row>
    <row r="2552" spans="1:11">
      <c r="A2552" s="12">
        <v>41959</v>
      </c>
      <c r="B2552">
        <v>2014</v>
      </c>
      <c r="C2552">
        <v>11</v>
      </c>
      <c r="D2552" s="11">
        <v>41944</v>
      </c>
      <c r="E2552" t="s">
        <v>2183</v>
      </c>
      <c r="F2552">
        <v>7</v>
      </c>
      <c r="G2552" t="s">
        <v>59</v>
      </c>
      <c r="H2552" t="s">
        <v>46</v>
      </c>
      <c r="I2552" t="s">
        <v>2194</v>
      </c>
      <c r="J2552" s="10">
        <v>0</v>
      </c>
      <c r="K2552" t="b">
        <v>1</v>
      </c>
    </row>
    <row r="2553" spans="1:11">
      <c r="A2553" s="12">
        <v>41959</v>
      </c>
      <c r="B2553">
        <v>2014</v>
      </c>
      <c r="C2553">
        <v>11</v>
      </c>
      <c r="D2553" s="11">
        <v>41944</v>
      </c>
      <c r="E2553" t="s">
        <v>2183</v>
      </c>
      <c r="F2553">
        <v>7</v>
      </c>
      <c r="G2553" t="s">
        <v>59</v>
      </c>
      <c r="H2553" t="s">
        <v>47</v>
      </c>
      <c r="I2553" t="s">
        <v>2195</v>
      </c>
      <c r="J2553" s="10">
        <v>0</v>
      </c>
      <c r="K2553" t="b">
        <v>1</v>
      </c>
    </row>
    <row r="2554" spans="1:11">
      <c r="A2554" s="12">
        <v>41960</v>
      </c>
      <c r="B2554">
        <v>2014</v>
      </c>
      <c r="C2554">
        <v>11</v>
      </c>
      <c r="D2554" s="11">
        <v>41944</v>
      </c>
      <c r="E2554" t="s">
        <v>2183</v>
      </c>
      <c r="F2554">
        <v>1</v>
      </c>
      <c r="G2554" t="s">
        <v>61</v>
      </c>
      <c r="H2554" t="s">
        <v>40</v>
      </c>
      <c r="I2554" t="s">
        <v>2188</v>
      </c>
      <c r="J2554" s="10">
        <v>9</v>
      </c>
      <c r="K2554" t="b">
        <v>1</v>
      </c>
    </row>
    <row r="2555" spans="1:11">
      <c r="A2555" s="12">
        <v>41960</v>
      </c>
      <c r="B2555">
        <v>2014</v>
      </c>
      <c r="C2555">
        <v>11</v>
      </c>
      <c r="D2555" s="11">
        <v>41944</v>
      </c>
      <c r="E2555" t="s">
        <v>2183</v>
      </c>
      <c r="F2555">
        <v>1</v>
      </c>
      <c r="G2555" t="s">
        <v>61</v>
      </c>
      <c r="H2555" t="s">
        <v>41</v>
      </c>
      <c r="I2555" t="s">
        <v>2189</v>
      </c>
      <c r="J2555" s="10">
        <v>5.01</v>
      </c>
      <c r="K2555" t="b">
        <v>1</v>
      </c>
    </row>
    <row r="2556" spans="1:11">
      <c r="A2556" s="12">
        <v>41960</v>
      </c>
      <c r="B2556">
        <v>2014</v>
      </c>
      <c r="C2556">
        <v>11</v>
      </c>
      <c r="D2556" s="11">
        <v>41944</v>
      </c>
      <c r="E2556" t="s">
        <v>2183</v>
      </c>
      <c r="F2556">
        <v>1</v>
      </c>
      <c r="G2556" t="s">
        <v>61</v>
      </c>
      <c r="H2556" t="s">
        <v>42</v>
      </c>
      <c r="I2556" t="s">
        <v>2190</v>
      </c>
      <c r="J2556" s="10">
        <v>5.5</v>
      </c>
      <c r="K2556" t="b">
        <v>1</v>
      </c>
    </row>
    <row r="2557" spans="1:11">
      <c r="A2557" s="12">
        <v>41960</v>
      </c>
      <c r="B2557">
        <v>2014</v>
      </c>
      <c r="C2557">
        <v>11</v>
      </c>
      <c r="D2557" s="11">
        <v>41944</v>
      </c>
      <c r="E2557" t="s">
        <v>2183</v>
      </c>
      <c r="F2557">
        <v>1</v>
      </c>
      <c r="G2557" t="s">
        <v>61</v>
      </c>
      <c r="H2557" t="s">
        <v>43</v>
      </c>
      <c r="I2557" t="s">
        <v>2191</v>
      </c>
      <c r="J2557" s="10">
        <v>23</v>
      </c>
      <c r="K2557" t="b">
        <v>1</v>
      </c>
    </row>
    <row r="2558" spans="1:11">
      <c r="A2558" s="12">
        <v>41960</v>
      </c>
      <c r="B2558">
        <v>2014</v>
      </c>
      <c r="C2558">
        <v>11</v>
      </c>
      <c r="D2558" s="11">
        <v>41944</v>
      </c>
      <c r="E2558" t="s">
        <v>2183</v>
      </c>
      <c r="F2558">
        <v>1</v>
      </c>
      <c r="G2558" t="s">
        <v>61</v>
      </c>
      <c r="H2558" t="s">
        <v>44</v>
      </c>
      <c r="I2558" t="s">
        <v>2192</v>
      </c>
      <c r="J2558" s="10">
        <v>23</v>
      </c>
      <c r="K2558" t="b">
        <v>1</v>
      </c>
    </row>
    <row r="2559" spans="1:11">
      <c r="A2559" s="12">
        <v>41960</v>
      </c>
      <c r="B2559">
        <v>2014</v>
      </c>
      <c r="C2559">
        <v>11</v>
      </c>
      <c r="D2559" s="11">
        <v>41944</v>
      </c>
      <c r="E2559" t="s">
        <v>2183</v>
      </c>
      <c r="F2559">
        <v>1</v>
      </c>
      <c r="G2559" t="s">
        <v>61</v>
      </c>
      <c r="H2559" t="s">
        <v>45</v>
      </c>
      <c r="I2559" t="s">
        <v>2193</v>
      </c>
      <c r="J2559" s="10">
        <v>1</v>
      </c>
      <c r="K2559" t="b">
        <v>1</v>
      </c>
    </row>
    <row r="2560" spans="1:11">
      <c r="A2560" s="12">
        <v>41960</v>
      </c>
      <c r="B2560">
        <v>2014</v>
      </c>
      <c r="C2560">
        <v>11</v>
      </c>
      <c r="D2560" s="11">
        <v>41944</v>
      </c>
      <c r="E2560" t="s">
        <v>2183</v>
      </c>
      <c r="F2560">
        <v>1</v>
      </c>
      <c r="G2560" t="s">
        <v>61</v>
      </c>
      <c r="H2560" t="s">
        <v>46</v>
      </c>
      <c r="I2560" t="s">
        <v>2194</v>
      </c>
      <c r="J2560" s="10">
        <v>10</v>
      </c>
      <c r="K2560" t="b">
        <v>1</v>
      </c>
    </row>
    <row r="2561" spans="1:11">
      <c r="A2561" s="12">
        <v>41960</v>
      </c>
      <c r="B2561">
        <v>2014</v>
      </c>
      <c r="C2561">
        <v>11</v>
      </c>
      <c r="D2561" s="11">
        <v>41944</v>
      </c>
      <c r="E2561" t="s">
        <v>2183</v>
      </c>
      <c r="F2561">
        <v>1</v>
      </c>
      <c r="G2561" t="s">
        <v>61</v>
      </c>
      <c r="H2561" t="s">
        <v>47</v>
      </c>
      <c r="I2561" t="s">
        <v>2195</v>
      </c>
      <c r="J2561" s="10">
        <v>0.2</v>
      </c>
      <c r="K2561" t="b">
        <v>1</v>
      </c>
    </row>
    <row r="2562" spans="1:11">
      <c r="A2562" s="12">
        <v>41961</v>
      </c>
      <c r="B2562">
        <v>2014</v>
      </c>
      <c r="C2562">
        <v>11</v>
      </c>
      <c r="D2562" s="11">
        <v>41944</v>
      </c>
      <c r="E2562" t="s">
        <v>2183</v>
      </c>
      <c r="F2562">
        <v>2</v>
      </c>
      <c r="G2562" t="s">
        <v>63</v>
      </c>
      <c r="H2562" t="s">
        <v>40</v>
      </c>
      <c r="I2562" t="s">
        <v>2188</v>
      </c>
      <c r="J2562" s="10">
        <v>2.67</v>
      </c>
      <c r="K2562" t="b">
        <v>1</v>
      </c>
    </row>
    <row r="2563" spans="1:11">
      <c r="A2563" s="12">
        <v>41961</v>
      </c>
      <c r="B2563">
        <v>2014</v>
      </c>
      <c r="C2563">
        <v>11</v>
      </c>
      <c r="D2563" s="11">
        <v>41944</v>
      </c>
      <c r="E2563" t="s">
        <v>2183</v>
      </c>
      <c r="F2563">
        <v>2</v>
      </c>
      <c r="G2563" t="s">
        <v>63</v>
      </c>
      <c r="H2563" t="s">
        <v>41</v>
      </c>
      <c r="I2563" t="s">
        <v>2189</v>
      </c>
      <c r="J2563" s="10">
        <v>2</v>
      </c>
      <c r="K2563" t="b">
        <v>1</v>
      </c>
    </row>
    <row r="2564" spans="1:11">
      <c r="A2564" s="12">
        <v>41961</v>
      </c>
      <c r="B2564">
        <v>2014</v>
      </c>
      <c r="C2564">
        <v>11</v>
      </c>
      <c r="D2564" s="11">
        <v>41944</v>
      </c>
      <c r="E2564" t="s">
        <v>2183</v>
      </c>
      <c r="F2564">
        <v>2</v>
      </c>
      <c r="G2564" t="s">
        <v>63</v>
      </c>
      <c r="H2564" t="s">
        <v>42</v>
      </c>
      <c r="I2564" t="s">
        <v>2190</v>
      </c>
      <c r="J2564" s="10">
        <v>5</v>
      </c>
      <c r="K2564" t="b">
        <v>1</v>
      </c>
    </row>
    <row r="2565" spans="1:11">
      <c r="A2565" s="12">
        <v>41961</v>
      </c>
      <c r="B2565">
        <v>2014</v>
      </c>
      <c r="C2565">
        <v>11</v>
      </c>
      <c r="D2565" s="11">
        <v>41944</v>
      </c>
      <c r="E2565" t="s">
        <v>2183</v>
      </c>
      <c r="F2565">
        <v>2</v>
      </c>
      <c r="G2565" t="s">
        <v>63</v>
      </c>
      <c r="H2565" t="s">
        <v>43</v>
      </c>
      <c r="I2565" t="s">
        <v>2191</v>
      </c>
      <c r="J2565" s="10">
        <v>19.3</v>
      </c>
      <c r="K2565" t="b">
        <v>1</v>
      </c>
    </row>
    <row r="2566" spans="1:11">
      <c r="A2566" s="12">
        <v>41961</v>
      </c>
      <c r="B2566">
        <v>2014</v>
      </c>
      <c r="C2566">
        <v>11</v>
      </c>
      <c r="D2566" s="11">
        <v>41944</v>
      </c>
      <c r="E2566" t="s">
        <v>2183</v>
      </c>
      <c r="F2566">
        <v>2</v>
      </c>
      <c r="G2566" t="s">
        <v>63</v>
      </c>
      <c r="H2566" t="s">
        <v>44</v>
      </c>
      <c r="I2566" t="s">
        <v>2192</v>
      </c>
      <c r="J2566" s="10">
        <v>10.5</v>
      </c>
      <c r="K2566" t="b">
        <v>1</v>
      </c>
    </row>
    <row r="2567" spans="1:11">
      <c r="A2567" s="12">
        <v>41961</v>
      </c>
      <c r="B2567">
        <v>2014</v>
      </c>
      <c r="C2567">
        <v>11</v>
      </c>
      <c r="D2567" s="11">
        <v>41944</v>
      </c>
      <c r="E2567" t="s">
        <v>2183</v>
      </c>
      <c r="F2567">
        <v>2</v>
      </c>
      <c r="G2567" t="s">
        <v>63</v>
      </c>
      <c r="H2567" t="s">
        <v>45</v>
      </c>
      <c r="I2567" t="s">
        <v>2193</v>
      </c>
      <c r="J2567" s="10">
        <v>1</v>
      </c>
      <c r="K2567" t="b">
        <v>1</v>
      </c>
    </row>
    <row r="2568" spans="1:11">
      <c r="A2568" s="12">
        <v>41961</v>
      </c>
      <c r="B2568">
        <v>2014</v>
      </c>
      <c r="C2568">
        <v>11</v>
      </c>
      <c r="D2568" s="11">
        <v>41944</v>
      </c>
      <c r="E2568" t="s">
        <v>2183</v>
      </c>
      <c r="F2568">
        <v>2</v>
      </c>
      <c r="G2568" t="s">
        <v>63</v>
      </c>
      <c r="H2568" t="s">
        <v>46</v>
      </c>
      <c r="I2568" t="s">
        <v>2194</v>
      </c>
      <c r="J2568" s="10">
        <v>0</v>
      </c>
      <c r="K2568" t="b">
        <v>1</v>
      </c>
    </row>
    <row r="2569" spans="1:11">
      <c r="A2569" s="12">
        <v>41961</v>
      </c>
      <c r="B2569">
        <v>2014</v>
      </c>
      <c r="C2569">
        <v>11</v>
      </c>
      <c r="D2569" s="11">
        <v>41944</v>
      </c>
      <c r="E2569" t="s">
        <v>2183</v>
      </c>
      <c r="F2569">
        <v>2</v>
      </c>
      <c r="G2569" t="s">
        <v>63</v>
      </c>
      <c r="H2569" t="s">
        <v>47</v>
      </c>
      <c r="I2569" t="s">
        <v>2195</v>
      </c>
      <c r="J2569" s="10">
        <v>1</v>
      </c>
      <c r="K2569" t="b">
        <v>1</v>
      </c>
    </row>
    <row r="2570" spans="1:11">
      <c r="A2570" s="12">
        <v>41962</v>
      </c>
      <c r="B2570">
        <v>2014</v>
      </c>
      <c r="C2570">
        <v>11</v>
      </c>
      <c r="D2570" s="11">
        <v>41944</v>
      </c>
      <c r="E2570" t="s">
        <v>2183</v>
      </c>
      <c r="F2570">
        <v>3</v>
      </c>
      <c r="G2570" t="s">
        <v>65</v>
      </c>
      <c r="H2570" t="s">
        <v>40</v>
      </c>
      <c r="I2570" t="s">
        <v>2188</v>
      </c>
      <c r="J2570" s="10">
        <v>1.34</v>
      </c>
      <c r="K2570" t="b">
        <v>1</v>
      </c>
    </row>
    <row r="2571" spans="1:11">
      <c r="A2571" s="12">
        <v>41962</v>
      </c>
      <c r="B2571">
        <v>2014</v>
      </c>
      <c r="C2571">
        <v>11</v>
      </c>
      <c r="D2571" s="11">
        <v>41944</v>
      </c>
      <c r="E2571" t="s">
        <v>2183</v>
      </c>
      <c r="F2571">
        <v>3</v>
      </c>
      <c r="G2571" t="s">
        <v>65</v>
      </c>
      <c r="H2571" t="s">
        <v>41</v>
      </c>
      <c r="I2571" t="s">
        <v>2189</v>
      </c>
      <c r="J2571" s="10">
        <v>3.67</v>
      </c>
      <c r="K2571" t="b">
        <v>1</v>
      </c>
    </row>
    <row r="2572" spans="1:11">
      <c r="A2572" s="12">
        <v>41962</v>
      </c>
      <c r="B2572">
        <v>2014</v>
      </c>
      <c r="C2572">
        <v>11</v>
      </c>
      <c r="D2572" s="11">
        <v>41944</v>
      </c>
      <c r="E2572" t="s">
        <v>2183</v>
      </c>
      <c r="F2572">
        <v>3</v>
      </c>
      <c r="G2572" t="s">
        <v>65</v>
      </c>
      <c r="H2572" t="s">
        <v>42</v>
      </c>
      <c r="I2572" t="s">
        <v>2190</v>
      </c>
      <c r="J2572" s="10">
        <v>10</v>
      </c>
      <c r="K2572" t="b">
        <v>1</v>
      </c>
    </row>
    <row r="2573" spans="1:11">
      <c r="A2573" s="12">
        <v>41962</v>
      </c>
      <c r="B2573">
        <v>2014</v>
      </c>
      <c r="C2573">
        <v>11</v>
      </c>
      <c r="D2573" s="11">
        <v>41944</v>
      </c>
      <c r="E2573" t="s">
        <v>2183</v>
      </c>
      <c r="F2573">
        <v>3</v>
      </c>
      <c r="G2573" t="s">
        <v>65</v>
      </c>
      <c r="H2573" t="s">
        <v>43</v>
      </c>
      <c r="I2573" t="s">
        <v>2191</v>
      </c>
      <c r="J2573" s="10">
        <v>32</v>
      </c>
      <c r="K2573" t="b">
        <v>1</v>
      </c>
    </row>
    <row r="2574" spans="1:11">
      <c r="A2574" s="12">
        <v>41962</v>
      </c>
      <c r="B2574">
        <v>2014</v>
      </c>
      <c r="C2574">
        <v>11</v>
      </c>
      <c r="D2574" s="11">
        <v>41944</v>
      </c>
      <c r="E2574" t="s">
        <v>2183</v>
      </c>
      <c r="F2574">
        <v>3</v>
      </c>
      <c r="G2574" t="s">
        <v>65</v>
      </c>
      <c r="H2574" t="s">
        <v>44</v>
      </c>
      <c r="I2574" t="s">
        <v>2192</v>
      </c>
      <c r="J2574" s="10">
        <v>17</v>
      </c>
      <c r="K2574" t="b">
        <v>1</v>
      </c>
    </row>
    <row r="2575" spans="1:11">
      <c r="A2575" s="12">
        <v>41962</v>
      </c>
      <c r="B2575">
        <v>2014</v>
      </c>
      <c r="C2575">
        <v>11</v>
      </c>
      <c r="D2575" s="11">
        <v>41944</v>
      </c>
      <c r="E2575" t="s">
        <v>2183</v>
      </c>
      <c r="F2575">
        <v>3</v>
      </c>
      <c r="G2575" t="s">
        <v>65</v>
      </c>
      <c r="H2575" t="s">
        <v>45</v>
      </c>
      <c r="I2575" t="s">
        <v>2193</v>
      </c>
      <c r="J2575" s="10">
        <v>0</v>
      </c>
      <c r="K2575" t="b">
        <v>1</v>
      </c>
    </row>
    <row r="2576" spans="1:11">
      <c r="A2576" s="12">
        <v>41962</v>
      </c>
      <c r="B2576">
        <v>2014</v>
      </c>
      <c r="C2576">
        <v>11</v>
      </c>
      <c r="D2576" s="11">
        <v>41944</v>
      </c>
      <c r="E2576" t="s">
        <v>2183</v>
      </c>
      <c r="F2576">
        <v>3</v>
      </c>
      <c r="G2576" t="s">
        <v>65</v>
      </c>
      <c r="H2576" t="s">
        <v>46</v>
      </c>
      <c r="I2576" t="s">
        <v>2194</v>
      </c>
      <c r="J2576" s="10">
        <v>10</v>
      </c>
      <c r="K2576" t="b">
        <v>1</v>
      </c>
    </row>
    <row r="2577" spans="1:11">
      <c r="A2577" s="12">
        <v>41962</v>
      </c>
      <c r="B2577">
        <v>2014</v>
      </c>
      <c r="C2577">
        <v>11</v>
      </c>
      <c r="D2577" s="11">
        <v>41944</v>
      </c>
      <c r="E2577" t="s">
        <v>2183</v>
      </c>
      <c r="F2577">
        <v>3</v>
      </c>
      <c r="G2577" t="s">
        <v>65</v>
      </c>
      <c r="H2577" t="s">
        <v>47</v>
      </c>
      <c r="I2577" t="s">
        <v>2195</v>
      </c>
      <c r="J2577" s="10">
        <v>4</v>
      </c>
      <c r="K2577" t="b">
        <v>1</v>
      </c>
    </row>
    <row r="2578" spans="1:11">
      <c r="A2578" s="12">
        <v>41963</v>
      </c>
      <c r="B2578">
        <v>2014</v>
      </c>
      <c r="C2578">
        <v>11</v>
      </c>
      <c r="D2578" s="11">
        <v>41944</v>
      </c>
      <c r="E2578" t="s">
        <v>2183</v>
      </c>
      <c r="F2578">
        <v>4</v>
      </c>
      <c r="G2578" t="s">
        <v>53</v>
      </c>
      <c r="H2578" t="s">
        <v>40</v>
      </c>
      <c r="I2578" t="s">
        <v>2188</v>
      </c>
      <c r="J2578" s="10">
        <v>4</v>
      </c>
      <c r="K2578" t="b">
        <v>1</v>
      </c>
    </row>
    <row r="2579" spans="1:11">
      <c r="A2579" s="12">
        <v>41963</v>
      </c>
      <c r="B2579">
        <v>2014</v>
      </c>
      <c r="C2579">
        <v>11</v>
      </c>
      <c r="D2579" s="11">
        <v>41944</v>
      </c>
      <c r="E2579" t="s">
        <v>2183</v>
      </c>
      <c r="F2579">
        <v>4</v>
      </c>
      <c r="G2579" t="s">
        <v>53</v>
      </c>
      <c r="H2579" t="s">
        <v>41</v>
      </c>
      <c r="I2579" t="s">
        <v>2189</v>
      </c>
      <c r="J2579" s="10">
        <v>7</v>
      </c>
      <c r="K2579" t="b">
        <v>1</v>
      </c>
    </row>
    <row r="2580" spans="1:11">
      <c r="A2580" s="12">
        <v>41963</v>
      </c>
      <c r="B2580">
        <v>2014</v>
      </c>
      <c r="C2580">
        <v>11</v>
      </c>
      <c r="D2580" s="11">
        <v>41944</v>
      </c>
      <c r="E2580" t="s">
        <v>2183</v>
      </c>
      <c r="F2580">
        <v>4</v>
      </c>
      <c r="G2580" t="s">
        <v>53</v>
      </c>
      <c r="H2580" t="s">
        <v>42</v>
      </c>
      <c r="I2580" t="s">
        <v>2190</v>
      </c>
      <c r="J2580" s="10">
        <v>5</v>
      </c>
      <c r="K2580" t="b">
        <v>1</v>
      </c>
    </row>
    <row r="2581" spans="1:11">
      <c r="A2581" s="12">
        <v>41963</v>
      </c>
      <c r="B2581">
        <v>2014</v>
      </c>
      <c r="C2581">
        <v>11</v>
      </c>
      <c r="D2581" s="11">
        <v>41944</v>
      </c>
      <c r="E2581" t="s">
        <v>2183</v>
      </c>
      <c r="F2581">
        <v>4</v>
      </c>
      <c r="G2581" t="s">
        <v>53</v>
      </c>
      <c r="H2581" t="s">
        <v>43</v>
      </c>
      <c r="I2581" t="s">
        <v>2191</v>
      </c>
      <c r="J2581" s="10">
        <v>18.8</v>
      </c>
      <c r="K2581" t="b">
        <v>1</v>
      </c>
    </row>
    <row r="2582" spans="1:11">
      <c r="A2582" s="12">
        <v>41963</v>
      </c>
      <c r="B2582">
        <v>2014</v>
      </c>
      <c r="C2582">
        <v>11</v>
      </c>
      <c r="D2582" s="11">
        <v>41944</v>
      </c>
      <c r="E2582" t="s">
        <v>2183</v>
      </c>
      <c r="F2582">
        <v>4</v>
      </c>
      <c r="G2582" t="s">
        <v>53</v>
      </c>
      <c r="H2582" t="s">
        <v>44</v>
      </c>
      <c r="I2582" t="s">
        <v>2192</v>
      </c>
      <c r="J2582" s="10">
        <v>13</v>
      </c>
      <c r="K2582" t="b">
        <v>1</v>
      </c>
    </row>
    <row r="2583" spans="1:11">
      <c r="A2583" s="12">
        <v>41963</v>
      </c>
      <c r="B2583">
        <v>2014</v>
      </c>
      <c r="C2583">
        <v>11</v>
      </c>
      <c r="D2583" s="11">
        <v>41944</v>
      </c>
      <c r="E2583" t="s">
        <v>2183</v>
      </c>
      <c r="F2583">
        <v>4</v>
      </c>
      <c r="G2583" t="s">
        <v>53</v>
      </c>
      <c r="H2583" t="s">
        <v>45</v>
      </c>
      <c r="I2583" t="s">
        <v>2193</v>
      </c>
      <c r="J2583" s="10">
        <v>0</v>
      </c>
      <c r="K2583" t="b">
        <v>1</v>
      </c>
    </row>
    <row r="2584" spans="1:11">
      <c r="A2584" s="12">
        <v>41963</v>
      </c>
      <c r="B2584">
        <v>2014</v>
      </c>
      <c r="C2584">
        <v>11</v>
      </c>
      <c r="D2584" s="11">
        <v>41944</v>
      </c>
      <c r="E2584" t="s">
        <v>2183</v>
      </c>
      <c r="F2584">
        <v>4</v>
      </c>
      <c r="G2584" t="s">
        <v>53</v>
      </c>
      <c r="H2584" t="s">
        <v>46</v>
      </c>
      <c r="I2584" t="s">
        <v>2194</v>
      </c>
      <c r="J2584" s="10">
        <v>8</v>
      </c>
      <c r="K2584" t="b">
        <v>1</v>
      </c>
    </row>
    <row r="2585" spans="1:11">
      <c r="A2585" s="12">
        <v>41963</v>
      </c>
      <c r="B2585">
        <v>2014</v>
      </c>
      <c r="C2585">
        <v>11</v>
      </c>
      <c r="D2585" s="11">
        <v>41944</v>
      </c>
      <c r="E2585" t="s">
        <v>2183</v>
      </c>
      <c r="F2585">
        <v>4</v>
      </c>
      <c r="G2585" t="s">
        <v>53</v>
      </c>
      <c r="H2585" t="s">
        <v>47</v>
      </c>
      <c r="I2585" t="s">
        <v>2195</v>
      </c>
      <c r="J2585" s="10">
        <v>0</v>
      </c>
      <c r="K2585" t="b">
        <v>1</v>
      </c>
    </row>
    <row r="2586" spans="1:11">
      <c r="A2586" s="12">
        <v>41964</v>
      </c>
      <c r="B2586">
        <v>2014</v>
      </c>
      <c r="C2586">
        <v>11</v>
      </c>
      <c r="D2586" s="11">
        <v>41944</v>
      </c>
      <c r="E2586" t="s">
        <v>2183</v>
      </c>
      <c r="F2586">
        <v>5</v>
      </c>
      <c r="G2586" t="s">
        <v>55</v>
      </c>
      <c r="H2586" t="s">
        <v>40</v>
      </c>
      <c r="I2586" t="s">
        <v>2188</v>
      </c>
      <c r="J2586" s="10">
        <v>1.34</v>
      </c>
      <c r="K2586" t="b">
        <v>1</v>
      </c>
    </row>
    <row r="2587" spans="1:11">
      <c r="A2587" s="12">
        <v>41964</v>
      </c>
      <c r="B2587">
        <v>2014</v>
      </c>
      <c r="C2587">
        <v>11</v>
      </c>
      <c r="D2587" s="11">
        <v>41944</v>
      </c>
      <c r="E2587" t="s">
        <v>2183</v>
      </c>
      <c r="F2587">
        <v>5</v>
      </c>
      <c r="G2587" t="s">
        <v>55</v>
      </c>
      <c r="H2587" t="s">
        <v>41</v>
      </c>
      <c r="I2587" t="s">
        <v>2189</v>
      </c>
      <c r="J2587" s="10">
        <v>1.34</v>
      </c>
      <c r="K2587" t="b">
        <v>1</v>
      </c>
    </row>
    <row r="2588" spans="1:11">
      <c r="A2588" s="12">
        <v>41964</v>
      </c>
      <c r="B2588">
        <v>2014</v>
      </c>
      <c r="C2588">
        <v>11</v>
      </c>
      <c r="D2588" s="11">
        <v>41944</v>
      </c>
      <c r="E2588" t="s">
        <v>2183</v>
      </c>
      <c r="F2588">
        <v>5</v>
      </c>
      <c r="G2588" t="s">
        <v>55</v>
      </c>
      <c r="H2588" t="s">
        <v>42</v>
      </c>
      <c r="I2588" t="s">
        <v>2190</v>
      </c>
      <c r="J2588" s="10">
        <v>3</v>
      </c>
      <c r="K2588" t="b">
        <v>1</v>
      </c>
    </row>
    <row r="2589" spans="1:11">
      <c r="A2589" s="12">
        <v>41964</v>
      </c>
      <c r="B2589">
        <v>2014</v>
      </c>
      <c r="C2589">
        <v>11</v>
      </c>
      <c r="D2589" s="11">
        <v>41944</v>
      </c>
      <c r="E2589" t="s">
        <v>2183</v>
      </c>
      <c r="F2589">
        <v>5</v>
      </c>
      <c r="G2589" t="s">
        <v>55</v>
      </c>
      <c r="H2589" t="s">
        <v>43</v>
      </c>
      <c r="I2589" t="s">
        <v>2191</v>
      </c>
      <c r="J2589" s="10">
        <v>22.4</v>
      </c>
      <c r="K2589" t="b">
        <v>1</v>
      </c>
    </row>
    <row r="2590" spans="1:11">
      <c r="A2590" s="12">
        <v>41964</v>
      </c>
      <c r="B2590">
        <v>2014</v>
      </c>
      <c r="C2590">
        <v>11</v>
      </c>
      <c r="D2590" s="11">
        <v>41944</v>
      </c>
      <c r="E2590" t="s">
        <v>2183</v>
      </c>
      <c r="F2590">
        <v>5</v>
      </c>
      <c r="G2590" t="s">
        <v>55</v>
      </c>
      <c r="H2590" t="s">
        <v>44</v>
      </c>
      <c r="I2590" t="s">
        <v>2192</v>
      </c>
      <c r="J2590" s="10">
        <v>16</v>
      </c>
      <c r="K2590" t="b">
        <v>1</v>
      </c>
    </row>
    <row r="2591" spans="1:11">
      <c r="A2591" s="12">
        <v>41964</v>
      </c>
      <c r="B2591">
        <v>2014</v>
      </c>
      <c r="C2591">
        <v>11</v>
      </c>
      <c r="D2591" s="11">
        <v>41944</v>
      </c>
      <c r="E2591" t="s">
        <v>2183</v>
      </c>
      <c r="F2591">
        <v>5</v>
      </c>
      <c r="G2591" t="s">
        <v>55</v>
      </c>
      <c r="H2591" t="s">
        <v>45</v>
      </c>
      <c r="I2591" t="s">
        <v>2193</v>
      </c>
      <c r="J2591" s="10">
        <v>0</v>
      </c>
      <c r="K2591" t="b">
        <v>1</v>
      </c>
    </row>
    <row r="2592" spans="1:11">
      <c r="A2592" s="12">
        <v>41964</v>
      </c>
      <c r="B2592">
        <v>2014</v>
      </c>
      <c r="C2592">
        <v>11</v>
      </c>
      <c r="D2592" s="11">
        <v>41944</v>
      </c>
      <c r="E2592" t="s">
        <v>2183</v>
      </c>
      <c r="F2592">
        <v>5</v>
      </c>
      <c r="G2592" t="s">
        <v>55</v>
      </c>
      <c r="H2592" t="s">
        <v>46</v>
      </c>
      <c r="I2592" t="s">
        <v>2194</v>
      </c>
      <c r="J2592" s="10">
        <v>2</v>
      </c>
      <c r="K2592" t="b">
        <v>1</v>
      </c>
    </row>
    <row r="2593" spans="1:11">
      <c r="A2593" s="12">
        <v>41964</v>
      </c>
      <c r="B2593">
        <v>2014</v>
      </c>
      <c r="C2593">
        <v>11</v>
      </c>
      <c r="D2593" s="11">
        <v>41944</v>
      </c>
      <c r="E2593" t="s">
        <v>2183</v>
      </c>
      <c r="F2593">
        <v>5</v>
      </c>
      <c r="G2593" t="s">
        <v>55</v>
      </c>
      <c r="H2593" t="s">
        <v>47</v>
      </c>
      <c r="I2593" t="s">
        <v>2195</v>
      </c>
      <c r="J2593" s="10">
        <v>1</v>
      </c>
      <c r="K2593" t="b">
        <v>1</v>
      </c>
    </row>
    <row r="2594" spans="1:11">
      <c r="A2594" s="12">
        <v>41965</v>
      </c>
      <c r="B2594">
        <v>2014</v>
      </c>
      <c r="C2594">
        <v>11</v>
      </c>
      <c r="D2594" s="11">
        <v>41944</v>
      </c>
      <c r="E2594" t="s">
        <v>2183</v>
      </c>
      <c r="F2594">
        <v>6</v>
      </c>
      <c r="G2594" t="s">
        <v>57</v>
      </c>
      <c r="H2594" t="s">
        <v>40</v>
      </c>
      <c r="I2594" t="s">
        <v>2188</v>
      </c>
      <c r="J2594" s="10">
        <v>6</v>
      </c>
      <c r="K2594" t="b">
        <v>1</v>
      </c>
    </row>
    <row r="2595" spans="1:11">
      <c r="A2595" s="12">
        <v>41965</v>
      </c>
      <c r="B2595">
        <v>2014</v>
      </c>
      <c r="C2595">
        <v>11</v>
      </c>
      <c r="D2595" s="11">
        <v>41944</v>
      </c>
      <c r="E2595" t="s">
        <v>2183</v>
      </c>
      <c r="F2595">
        <v>6</v>
      </c>
      <c r="G2595" t="s">
        <v>57</v>
      </c>
      <c r="H2595" t="s">
        <v>41</v>
      </c>
      <c r="I2595" t="s">
        <v>2189</v>
      </c>
      <c r="J2595" s="10">
        <v>2.34</v>
      </c>
      <c r="K2595" t="b">
        <v>1</v>
      </c>
    </row>
    <row r="2596" spans="1:11">
      <c r="A2596" s="12">
        <v>41965</v>
      </c>
      <c r="B2596">
        <v>2014</v>
      </c>
      <c r="C2596">
        <v>11</v>
      </c>
      <c r="D2596" s="11">
        <v>41944</v>
      </c>
      <c r="E2596" t="s">
        <v>2183</v>
      </c>
      <c r="F2596">
        <v>6</v>
      </c>
      <c r="G2596" t="s">
        <v>57</v>
      </c>
      <c r="H2596" t="s">
        <v>42</v>
      </c>
      <c r="I2596" t="s">
        <v>2190</v>
      </c>
      <c r="J2596" s="10">
        <v>3</v>
      </c>
      <c r="K2596" t="b">
        <v>1</v>
      </c>
    </row>
    <row r="2597" spans="1:11">
      <c r="A2597" s="12">
        <v>41965</v>
      </c>
      <c r="B2597">
        <v>2014</v>
      </c>
      <c r="C2597">
        <v>11</v>
      </c>
      <c r="D2597" s="11">
        <v>41944</v>
      </c>
      <c r="E2597" t="s">
        <v>2183</v>
      </c>
      <c r="F2597">
        <v>6</v>
      </c>
      <c r="G2597" t="s">
        <v>57</v>
      </c>
      <c r="H2597" t="s">
        <v>43</v>
      </c>
      <c r="I2597" t="s">
        <v>2191</v>
      </c>
      <c r="J2597" s="10">
        <v>23.7</v>
      </c>
      <c r="K2597" t="b">
        <v>1</v>
      </c>
    </row>
    <row r="2598" spans="1:11">
      <c r="A2598" s="12">
        <v>41965</v>
      </c>
      <c r="B2598">
        <v>2014</v>
      </c>
      <c r="C2598">
        <v>11</v>
      </c>
      <c r="D2598" s="11">
        <v>41944</v>
      </c>
      <c r="E2598" t="s">
        <v>2183</v>
      </c>
      <c r="F2598">
        <v>6</v>
      </c>
      <c r="G2598" t="s">
        <v>57</v>
      </c>
      <c r="H2598" t="s">
        <v>44</v>
      </c>
      <c r="I2598" t="s">
        <v>2192</v>
      </c>
      <c r="J2598" s="10">
        <v>15</v>
      </c>
      <c r="K2598" t="b">
        <v>1</v>
      </c>
    </row>
    <row r="2599" spans="1:11">
      <c r="A2599" s="12">
        <v>41965</v>
      </c>
      <c r="B2599">
        <v>2014</v>
      </c>
      <c r="C2599">
        <v>11</v>
      </c>
      <c r="D2599" s="11">
        <v>41944</v>
      </c>
      <c r="E2599" t="s">
        <v>2183</v>
      </c>
      <c r="F2599">
        <v>6</v>
      </c>
      <c r="G2599" t="s">
        <v>57</v>
      </c>
      <c r="H2599" t="s">
        <v>45</v>
      </c>
      <c r="I2599" t="s">
        <v>2193</v>
      </c>
      <c r="J2599" s="10">
        <v>1</v>
      </c>
      <c r="K2599" t="b">
        <v>1</v>
      </c>
    </row>
    <row r="2600" spans="1:11">
      <c r="A2600" s="12">
        <v>41965</v>
      </c>
      <c r="B2600">
        <v>2014</v>
      </c>
      <c r="C2600">
        <v>11</v>
      </c>
      <c r="D2600" s="11">
        <v>41944</v>
      </c>
      <c r="E2600" t="s">
        <v>2183</v>
      </c>
      <c r="F2600">
        <v>6</v>
      </c>
      <c r="G2600" t="s">
        <v>57</v>
      </c>
      <c r="H2600" t="s">
        <v>46</v>
      </c>
      <c r="I2600" t="s">
        <v>2194</v>
      </c>
      <c r="J2600" s="10">
        <v>8</v>
      </c>
      <c r="K2600" t="b">
        <v>1</v>
      </c>
    </row>
    <row r="2601" spans="1:11">
      <c r="A2601" s="12">
        <v>41965</v>
      </c>
      <c r="B2601">
        <v>2014</v>
      </c>
      <c r="C2601">
        <v>11</v>
      </c>
      <c r="D2601" s="11">
        <v>41944</v>
      </c>
      <c r="E2601" t="s">
        <v>2183</v>
      </c>
      <c r="F2601">
        <v>6</v>
      </c>
      <c r="G2601" t="s">
        <v>57</v>
      </c>
      <c r="H2601" t="s">
        <v>47</v>
      </c>
      <c r="I2601" t="s">
        <v>2195</v>
      </c>
      <c r="J2601" s="10">
        <v>1.4</v>
      </c>
      <c r="K2601" t="b">
        <v>1</v>
      </c>
    </row>
    <row r="2602" spans="1:11">
      <c r="A2602" s="12">
        <v>41966</v>
      </c>
      <c r="B2602">
        <v>2014</v>
      </c>
      <c r="C2602">
        <v>11</v>
      </c>
      <c r="D2602" s="11">
        <v>41944</v>
      </c>
      <c r="E2602" t="s">
        <v>2183</v>
      </c>
      <c r="F2602">
        <v>7</v>
      </c>
      <c r="G2602" t="s">
        <v>59</v>
      </c>
      <c r="H2602" t="s">
        <v>40</v>
      </c>
      <c r="I2602" t="s">
        <v>2188</v>
      </c>
      <c r="J2602" s="10">
        <v>4</v>
      </c>
      <c r="K2602" t="b">
        <v>1</v>
      </c>
    </row>
    <row r="2603" spans="1:11">
      <c r="A2603" s="12">
        <v>41966</v>
      </c>
      <c r="B2603">
        <v>2014</v>
      </c>
      <c r="C2603">
        <v>11</v>
      </c>
      <c r="D2603" s="11">
        <v>41944</v>
      </c>
      <c r="E2603" t="s">
        <v>2183</v>
      </c>
      <c r="F2603">
        <v>7</v>
      </c>
      <c r="G2603" t="s">
        <v>59</v>
      </c>
      <c r="H2603" t="s">
        <v>41</v>
      </c>
      <c r="I2603" t="s">
        <v>2189</v>
      </c>
      <c r="J2603" s="10">
        <v>3.68</v>
      </c>
      <c r="K2603" t="b">
        <v>1</v>
      </c>
    </row>
    <row r="2604" spans="1:11">
      <c r="A2604" s="12">
        <v>41966</v>
      </c>
      <c r="B2604">
        <v>2014</v>
      </c>
      <c r="C2604">
        <v>11</v>
      </c>
      <c r="D2604" s="11">
        <v>41944</v>
      </c>
      <c r="E2604" t="s">
        <v>2183</v>
      </c>
      <c r="F2604">
        <v>7</v>
      </c>
      <c r="G2604" t="s">
        <v>59</v>
      </c>
      <c r="H2604" t="s">
        <v>42</v>
      </c>
      <c r="I2604" t="s">
        <v>2190</v>
      </c>
      <c r="J2604" s="10">
        <v>6</v>
      </c>
      <c r="K2604" t="b">
        <v>1</v>
      </c>
    </row>
    <row r="2605" spans="1:11">
      <c r="A2605" s="12">
        <v>41966</v>
      </c>
      <c r="B2605">
        <v>2014</v>
      </c>
      <c r="C2605">
        <v>11</v>
      </c>
      <c r="D2605" s="11">
        <v>41944</v>
      </c>
      <c r="E2605" t="s">
        <v>2183</v>
      </c>
      <c r="F2605">
        <v>7</v>
      </c>
      <c r="G2605" t="s">
        <v>59</v>
      </c>
      <c r="H2605" t="s">
        <v>43</v>
      </c>
      <c r="I2605" t="s">
        <v>2191</v>
      </c>
      <c r="J2605" s="10">
        <v>22.3</v>
      </c>
      <c r="K2605" t="b">
        <v>1</v>
      </c>
    </row>
    <row r="2606" spans="1:11">
      <c r="A2606" s="12">
        <v>41966</v>
      </c>
      <c r="B2606">
        <v>2014</v>
      </c>
      <c r="C2606">
        <v>11</v>
      </c>
      <c r="D2606" s="11">
        <v>41944</v>
      </c>
      <c r="E2606" t="s">
        <v>2183</v>
      </c>
      <c r="F2606">
        <v>7</v>
      </c>
      <c r="G2606" t="s">
        <v>59</v>
      </c>
      <c r="H2606" t="s">
        <v>44</v>
      </c>
      <c r="I2606" t="s">
        <v>2192</v>
      </c>
      <c r="J2606" s="10">
        <v>11</v>
      </c>
      <c r="K2606" t="b">
        <v>1</v>
      </c>
    </row>
    <row r="2607" spans="1:11">
      <c r="A2607" s="12">
        <v>41966</v>
      </c>
      <c r="B2607">
        <v>2014</v>
      </c>
      <c r="C2607">
        <v>11</v>
      </c>
      <c r="D2607" s="11">
        <v>41944</v>
      </c>
      <c r="E2607" t="s">
        <v>2183</v>
      </c>
      <c r="F2607">
        <v>7</v>
      </c>
      <c r="G2607" t="s">
        <v>59</v>
      </c>
      <c r="H2607" t="s">
        <v>45</v>
      </c>
      <c r="I2607" t="s">
        <v>2193</v>
      </c>
      <c r="J2607" s="10">
        <v>0</v>
      </c>
      <c r="K2607" t="b">
        <v>1</v>
      </c>
    </row>
    <row r="2608" spans="1:11">
      <c r="A2608" s="12">
        <v>41966</v>
      </c>
      <c r="B2608">
        <v>2014</v>
      </c>
      <c r="C2608">
        <v>11</v>
      </c>
      <c r="D2608" s="11">
        <v>41944</v>
      </c>
      <c r="E2608" t="s">
        <v>2183</v>
      </c>
      <c r="F2608">
        <v>7</v>
      </c>
      <c r="G2608" t="s">
        <v>59</v>
      </c>
      <c r="H2608" t="s">
        <v>46</v>
      </c>
      <c r="I2608" t="s">
        <v>2194</v>
      </c>
      <c r="J2608" s="10">
        <v>0</v>
      </c>
      <c r="K2608" t="b">
        <v>1</v>
      </c>
    </row>
    <row r="2609" spans="1:11">
      <c r="A2609" s="12">
        <v>41966</v>
      </c>
      <c r="B2609">
        <v>2014</v>
      </c>
      <c r="C2609">
        <v>11</v>
      </c>
      <c r="D2609" s="11">
        <v>41944</v>
      </c>
      <c r="E2609" t="s">
        <v>2183</v>
      </c>
      <c r="F2609">
        <v>7</v>
      </c>
      <c r="G2609" t="s">
        <v>59</v>
      </c>
      <c r="H2609" t="s">
        <v>47</v>
      </c>
      <c r="I2609" t="s">
        <v>2195</v>
      </c>
      <c r="J2609" s="10">
        <v>1.1</v>
      </c>
      <c r="K2609" t="b">
        <v>1</v>
      </c>
    </row>
    <row r="2610" spans="1:11">
      <c r="A2610" s="12">
        <v>41967</v>
      </c>
      <c r="B2610">
        <v>2014</v>
      </c>
      <c r="C2610">
        <v>11</v>
      </c>
      <c r="D2610" s="11">
        <v>41944</v>
      </c>
      <c r="E2610" t="s">
        <v>2183</v>
      </c>
      <c r="F2610">
        <v>1</v>
      </c>
      <c r="G2610" t="s">
        <v>61</v>
      </c>
      <c r="H2610" t="s">
        <v>40</v>
      </c>
      <c r="I2610" t="s">
        <v>2188</v>
      </c>
      <c r="J2610" s="10">
        <v>4</v>
      </c>
      <c r="K2610" t="b">
        <v>1</v>
      </c>
    </row>
    <row r="2611" spans="1:11">
      <c r="A2611" s="12">
        <v>41967</v>
      </c>
      <c r="B2611">
        <v>2014</v>
      </c>
      <c r="C2611">
        <v>11</v>
      </c>
      <c r="D2611" s="11">
        <v>41944</v>
      </c>
      <c r="E2611" t="s">
        <v>2183</v>
      </c>
      <c r="F2611">
        <v>1</v>
      </c>
      <c r="G2611" t="s">
        <v>61</v>
      </c>
      <c r="H2611" t="s">
        <v>41</v>
      </c>
      <c r="I2611" t="s">
        <v>2189</v>
      </c>
      <c r="J2611" s="10">
        <v>3</v>
      </c>
      <c r="K2611" t="b">
        <v>1</v>
      </c>
    </row>
    <row r="2612" spans="1:11">
      <c r="A2612" s="12">
        <v>41967</v>
      </c>
      <c r="B2612">
        <v>2014</v>
      </c>
      <c r="C2612">
        <v>11</v>
      </c>
      <c r="D2612" s="11">
        <v>41944</v>
      </c>
      <c r="E2612" t="s">
        <v>2183</v>
      </c>
      <c r="F2612">
        <v>1</v>
      </c>
      <c r="G2612" t="s">
        <v>61</v>
      </c>
      <c r="H2612" t="s">
        <v>42</v>
      </c>
      <c r="I2612" t="s">
        <v>2190</v>
      </c>
      <c r="J2612" s="10">
        <v>6</v>
      </c>
      <c r="K2612" t="b">
        <v>1</v>
      </c>
    </row>
    <row r="2613" spans="1:11">
      <c r="A2613" s="12">
        <v>41967</v>
      </c>
      <c r="B2613">
        <v>2014</v>
      </c>
      <c r="C2613">
        <v>11</v>
      </c>
      <c r="D2613" s="11">
        <v>41944</v>
      </c>
      <c r="E2613" t="s">
        <v>2183</v>
      </c>
      <c r="F2613">
        <v>1</v>
      </c>
      <c r="G2613" t="s">
        <v>61</v>
      </c>
      <c r="H2613" t="s">
        <v>43</v>
      </c>
      <c r="I2613" t="s">
        <v>2191</v>
      </c>
      <c r="J2613" s="10">
        <v>30.6</v>
      </c>
      <c r="K2613" t="b">
        <v>1</v>
      </c>
    </row>
    <row r="2614" spans="1:11">
      <c r="A2614" s="12">
        <v>41967</v>
      </c>
      <c r="B2614">
        <v>2014</v>
      </c>
      <c r="C2614">
        <v>11</v>
      </c>
      <c r="D2614" s="11">
        <v>41944</v>
      </c>
      <c r="E2614" t="s">
        <v>2183</v>
      </c>
      <c r="F2614">
        <v>1</v>
      </c>
      <c r="G2614" t="s">
        <v>61</v>
      </c>
      <c r="H2614" t="s">
        <v>44</v>
      </c>
      <c r="I2614" t="s">
        <v>2192</v>
      </c>
      <c r="J2614" s="10">
        <v>19</v>
      </c>
      <c r="K2614" t="b">
        <v>1</v>
      </c>
    </row>
    <row r="2615" spans="1:11">
      <c r="A2615" s="12">
        <v>41967</v>
      </c>
      <c r="B2615">
        <v>2014</v>
      </c>
      <c r="C2615">
        <v>11</v>
      </c>
      <c r="D2615" s="11">
        <v>41944</v>
      </c>
      <c r="E2615" t="s">
        <v>2183</v>
      </c>
      <c r="F2615">
        <v>1</v>
      </c>
      <c r="G2615" t="s">
        <v>61</v>
      </c>
      <c r="H2615" t="s">
        <v>45</v>
      </c>
      <c r="I2615" t="s">
        <v>2193</v>
      </c>
      <c r="J2615" s="10">
        <v>1</v>
      </c>
      <c r="K2615" t="b">
        <v>1</v>
      </c>
    </row>
    <row r="2616" spans="1:11">
      <c r="A2616" s="12">
        <v>41967</v>
      </c>
      <c r="B2616">
        <v>2014</v>
      </c>
      <c r="C2616">
        <v>11</v>
      </c>
      <c r="D2616" s="11">
        <v>41944</v>
      </c>
      <c r="E2616" t="s">
        <v>2183</v>
      </c>
      <c r="F2616">
        <v>1</v>
      </c>
      <c r="G2616" t="s">
        <v>61</v>
      </c>
      <c r="H2616" t="s">
        <v>46</v>
      </c>
      <c r="I2616" t="s">
        <v>2194</v>
      </c>
      <c r="J2616" s="10">
        <v>1</v>
      </c>
      <c r="K2616" t="b">
        <v>1</v>
      </c>
    </row>
    <row r="2617" spans="1:11">
      <c r="A2617" s="12">
        <v>41967</v>
      </c>
      <c r="B2617">
        <v>2014</v>
      </c>
      <c r="C2617">
        <v>11</v>
      </c>
      <c r="D2617" s="11">
        <v>41944</v>
      </c>
      <c r="E2617" t="s">
        <v>2183</v>
      </c>
      <c r="F2617">
        <v>1</v>
      </c>
      <c r="G2617" t="s">
        <v>61</v>
      </c>
      <c r="H2617" t="s">
        <v>47</v>
      </c>
      <c r="I2617" t="s">
        <v>2195</v>
      </c>
      <c r="J2617" s="10">
        <v>2.1</v>
      </c>
      <c r="K2617" t="b">
        <v>1</v>
      </c>
    </row>
    <row r="2618" spans="1:11">
      <c r="A2618" s="12">
        <v>41968</v>
      </c>
      <c r="B2618">
        <v>2014</v>
      </c>
      <c r="C2618">
        <v>11</v>
      </c>
      <c r="D2618" s="11">
        <v>41944</v>
      </c>
      <c r="E2618" t="s">
        <v>2183</v>
      </c>
      <c r="F2618">
        <v>2</v>
      </c>
      <c r="G2618" t="s">
        <v>63</v>
      </c>
      <c r="H2618" t="s">
        <v>40</v>
      </c>
      <c r="I2618" t="s">
        <v>2188</v>
      </c>
      <c r="J2618" s="10">
        <v>5.36</v>
      </c>
      <c r="K2618" t="b">
        <v>1</v>
      </c>
    </row>
    <row r="2619" spans="1:11">
      <c r="A2619" s="12">
        <v>41968</v>
      </c>
      <c r="B2619">
        <v>2014</v>
      </c>
      <c r="C2619">
        <v>11</v>
      </c>
      <c r="D2619" s="11">
        <v>41944</v>
      </c>
      <c r="E2619" t="s">
        <v>2183</v>
      </c>
      <c r="F2619">
        <v>2</v>
      </c>
      <c r="G2619" t="s">
        <v>63</v>
      </c>
      <c r="H2619" t="s">
        <v>41</v>
      </c>
      <c r="I2619" t="s">
        <v>2189</v>
      </c>
      <c r="J2619" s="10">
        <v>1.68</v>
      </c>
      <c r="K2619" t="b">
        <v>1</v>
      </c>
    </row>
    <row r="2620" spans="1:11">
      <c r="A2620" s="12">
        <v>41968</v>
      </c>
      <c r="B2620">
        <v>2014</v>
      </c>
      <c r="C2620">
        <v>11</v>
      </c>
      <c r="D2620" s="11">
        <v>41944</v>
      </c>
      <c r="E2620" t="s">
        <v>2183</v>
      </c>
      <c r="F2620">
        <v>2</v>
      </c>
      <c r="G2620" t="s">
        <v>63</v>
      </c>
      <c r="H2620" t="s">
        <v>42</v>
      </c>
      <c r="I2620" t="s">
        <v>2190</v>
      </c>
      <c r="J2620" s="10">
        <v>2</v>
      </c>
      <c r="K2620" t="b">
        <v>1</v>
      </c>
    </row>
    <row r="2621" spans="1:11">
      <c r="A2621" s="12">
        <v>41968</v>
      </c>
      <c r="B2621">
        <v>2014</v>
      </c>
      <c r="C2621">
        <v>11</v>
      </c>
      <c r="D2621" s="11">
        <v>41944</v>
      </c>
      <c r="E2621" t="s">
        <v>2183</v>
      </c>
      <c r="F2621">
        <v>2</v>
      </c>
      <c r="G2621" t="s">
        <v>63</v>
      </c>
      <c r="H2621" t="s">
        <v>43</v>
      </c>
      <c r="I2621" t="s">
        <v>2191</v>
      </c>
      <c r="J2621" s="10">
        <v>19.2</v>
      </c>
      <c r="K2621" t="b">
        <v>1</v>
      </c>
    </row>
    <row r="2622" spans="1:11">
      <c r="A2622" s="12">
        <v>41968</v>
      </c>
      <c r="B2622">
        <v>2014</v>
      </c>
      <c r="C2622">
        <v>11</v>
      </c>
      <c r="D2622" s="11">
        <v>41944</v>
      </c>
      <c r="E2622" t="s">
        <v>2183</v>
      </c>
      <c r="F2622">
        <v>2</v>
      </c>
      <c r="G2622" t="s">
        <v>63</v>
      </c>
      <c r="H2622" t="s">
        <v>44</v>
      </c>
      <c r="I2622" t="s">
        <v>2192</v>
      </c>
      <c r="J2622" s="10">
        <v>18</v>
      </c>
      <c r="K2622" t="b">
        <v>1</v>
      </c>
    </row>
    <row r="2623" spans="1:11">
      <c r="A2623" s="12">
        <v>41968</v>
      </c>
      <c r="B2623">
        <v>2014</v>
      </c>
      <c r="C2623">
        <v>11</v>
      </c>
      <c r="D2623" s="11">
        <v>41944</v>
      </c>
      <c r="E2623" t="s">
        <v>2183</v>
      </c>
      <c r="F2623">
        <v>2</v>
      </c>
      <c r="G2623" t="s">
        <v>63</v>
      </c>
      <c r="H2623" t="s">
        <v>45</v>
      </c>
      <c r="I2623" t="s">
        <v>2193</v>
      </c>
      <c r="J2623" s="10">
        <v>0</v>
      </c>
      <c r="K2623" t="b">
        <v>1</v>
      </c>
    </row>
    <row r="2624" spans="1:11">
      <c r="A2624" s="12">
        <v>41968</v>
      </c>
      <c r="B2624">
        <v>2014</v>
      </c>
      <c r="C2624">
        <v>11</v>
      </c>
      <c r="D2624" s="11">
        <v>41944</v>
      </c>
      <c r="E2624" t="s">
        <v>2183</v>
      </c>
      <c r="F2624">
        <v>2</v>
      </c>
      <c r="G2624" t="s">
        <v>63</v>
      </c>
      <c r="H2624" t="s">
        <v>46</v>
      </c>
      <c r="I2624" t="s">
        <v>2194</v>
      </c>
      <c r="J2624" s="10">
        <v>2</v>
      </c>
      <c r="K2624" t="b">
        <v>1</v>
      </c>
    </row>
    <row r="2625" spans="1:11">
      <c r="A2625" s="12">
        <v>41968</v>
      </c>
      <c r="B2625">
        <v>2014</v>
      </c>
      <c r="C2625">
        <v>11</v>
      </c>
      <c r="D2625" s="11">
        <v>41944</v>
      </c>
      <c r="E2625" t="s">
        <v>2183</v>
      </c>
      <c r="F2625">
        <v>2</v>
      </c>
      <c r="G2625" t="s">
        <v>63</v>
      </c>
      <c r="H2625" t="s">
        <v>47</v>
      </c>
      <c r="I2625" t="s">
        <v>2195</v>
      </c>
      <c r="J2625" s="10">
        <v>3</v>
      </c>
      <c r="K2625" t="b">
        <v>1</v>
      </c>
    </row>
    <row r="2626" spans="1:11">
      <c r="A2626" s="12">
        <v>41969</v>
      </c>
      <c r="B2626">
        <v>2014</v>
      </c>
      <c r="C2626">
        <v>11</v>
      </c>
      <c r="D2626" s="11">
        <v>41944</v>
      </c>
      <c r="E2626" t="s">
        <v>2183</v>
      </c>
      <c r="F2626">
        <v>3</v>
      </c>
      <c r="G2626" t="s">
        <v>65</v>
      </c>
      <c r="H2626" t="s">
        <v>40</v>
      </c>
      <c r="I2626" t="s">
        <v>2188</v>
      </c>
      <c r="J2626" s="10">
        <v>3</v>
      </c>
      <c r="K2626" t="b">
        <v>1</v>
      </c>
    </row>
    <row r="2627" spans="1:11">
      <c r="A2627" s="12">
        <v>41969</v>
      </c>
      <c r="B2627">
        <v>2014</v>
      </c>
      <c r="C2627">
        <v>11</v>
      </c>
      <c r="D2627" s="11">
        <v>41944</v>
      </c>
      <c r="E2627" t="s">
        <v>2183</v>
      </c>
      <c r="F2627">
        <v>3</v>
      </c>
      <c r="G2627" t="s">
        <v>65</v>
      </c>
      <c r="H2627" t="s">
        <v>41</v>
      </c>
      <c r="I2627" t="s">
        <v>2189</v>
      </c>
      <c r="J2627" s="10">
        <v>5</v>
      </c>
      <c r="K2627" t="b">
        <v>1</v>
      </c>
    </row>
    <row r="2628" spans="1:11">
      <c r="A2628" s="12">
        <v>41969</v>
      </c>
      <c r="B2628">
        <v>2014</v>
      </c>
      <c r="C2628">
        <v>11</v>
      </c>
      <c r="D2628" s="11">
        <v>41944</v>
      </c>
      <c r="E2628" t="s">
        <v>2183</v>
      </c>
      <c r="F2628">
        <v>3</v>
      </c>
      <c r="G2628" t="s">
        <v>65</v>
      </c>
      <c r="H2628" t="s">
        <v>42</v>
      </c>
      <c r="I2628" t="s">
        <v>2190</v>
      </c>
      <c r="J2628" s="10">
        <v>6</v>
      </c>
      <c r="K2628" t="b">
        <v>1</v>
      </c>
    </row>
    <row r="2629" spans="1:11">
      <c r="A2629" s="12">
        <v>41969</v>
      </c>
      <c r="B2629">
        <v>2014</v>
      </c>
      <c r="C2629">
        <v>11</v>
      </c>
      <c r="D2629" s="11">
        <v>41944</v>
      </c>
      <c r="E2629" t="s">
        <v>2183</v>
      </c>
      <c r="F2629">
        <v>3</v>
      </c>
      <c r="G2629" t="s">
        <v>65</v>
      </c>
      <c r="H2629" t="s">
        <v>43</v>
      </c>
      <c r="I2629" t="s">
        <v>2191</v>
      </c>
      <c r="J2629" s="10">
        <v>21</v>
      </c>
      <c r="K2629" t="b">
        <v>1</v>
      </c>
    </row>
    <row r="2630" spans="1:11">
      <c r="A2630" s="12">
        <v>41969</v>
      </c>
      <c r="B2630">
        <v>2014</v>
      </c>
      <c r="C2630">
        <v>11</v>
      </c>
      <c r="D2630" s="11">
        <v>41944</v>
      </c>
      <c r="E2630" t="s">
        <v>2183</v>
      </c>
      <c r="F2630">
        <v>3</v>
      </c>
      <c r="G2630" t="s">
        <v>65</v>
      </c>
      <c r="H2630" t="s">
        <v>44</v>
      </c>
      <c r="I2630" t="s">
        <v>2192</v>
      </c>
      <c r="J2630" s="10">
        <v>13</v>
      </c>
      <c r="K2630" t="b">
        <v>1</v>
      </c>
    </row>
    <row r="2631" spans="1:11">
      <c r="A2631" s="12">
        <v>41969</v>
      </c>
      <c r="B2631">
        <v>2014</v>
      </c>
      <c r="C2631">
        <v>11</v>
      </c>
      <c r="D2631" s="11">
        <v>41944</v>
      </c>
      <c r="E2631" t="s">
        <v>2183</v>
      </c>
      <c r="F2631">
        <v>3</v>
      </c>
      <c r="G2631" t="s">
        <v>65</v>
      </c>
      <c r="H2631" t="s">
        <v>45</v>
      </c>
      <c r="I2631" t="s">
        <v>2193</v>
      </c>
      <c r="J2631" s="10">
        <v>3</v>
      </c>
      <c r="K2631" t="b">
        <v>1</v>
      </c>
    </row>
    <row r="2632" spans="1:11">
      <c r="A2632" s="12">
        <v>41969</v>
      </c>
      <c r="B2632">
        <v>2014</v>
      </c>
      <c r="C2632">
        <v>11</v>
      </c>
      <c r="D2632" s="11">
        <v>41944</v>
      </c>
      <c r="E2632" t="s">
        <v>2183</v>
      </c>
      <c r="F2632">
        <v>3</v>
      </c>
      <c r="G2632" t="s">
        <v>65</v>
      </c>
      <c r="H2632" t="s">
        <v>46</v>
      </c>
      <c r="I2632" t="s">
        <v>2194</v>
      </c>
      <c r="J2632" s="10">
        <v>11</v>
      </c>
      <c r="K2632" t="b">
        <v>1</v>
      </c>
    </row>
    <row r="2633" spans="1:11">
      <c r="A2633" s="12">
        <v>41969</v>
      </c>
      <c r="B2633">
        <v>2014</v>
      </c>
      <c r="C2633">
        <v>11</v>
      </c>
      <c r="D2633" s="11">
        <v>41944</v>
      </c>
      <c r="E2633" t="s">
        <v>2183</v>
      </c>
      <c r="F2633">
        <v>3</v>
      </c>
      <c r="G2633" t="s">
        <v>65</v>
      </c>
      <c r="H2633" t="s">
        <v>47</v>
      </c>
      <c r="I2633" t="s">
        <v>2195</v>
      </c>
      <c r="J2633" s="10">
        <v>2</v>
      </c>
      <c r="K2633" t="b">
        <v>1</v>
      </c>
    </row>
    <row r="2634" spans="1:11">
      <c r="A2634" s="12">
        <v>41970</v>
      </c>
      <c r="B2634">
        <v>2014</v>
      </c>
      <c r="C2634">
        <v>11</v>
      </c>
      <c r="D2634" s="11">
        <v>41944</v>
      </c>
      <c r="E2634" t="s">
        <v>2183</v>
      </c>
      <c r="F2634">
        <v>4</v>
      </c>
      <c r="G2634" t="s">
        <v>53</v>
      </c>
      <c r="H2634" t="s">
        <v>40</v>
      </c>
      <c r="I2634" t="s">
        <v>2188</v>
      </c>
      <c r="J2634" s="10">
        <v>7</v>
      </c>
      <c r="K2634" t="b">
        <v>1</v>
      </c>
    </row>
    <row r="2635" spans="1:11">
      <c r="A2635" s="12">
        <v>41970</v>
      </c>
      <c r="B2635">
        <v>2014</v>
      </c>
      <c r="C2635">
        <v>11</v>
      </c>
      <c r="D2635" s="11">
        <v>41944</v>
      </c>
      <c r="E2635" t="s">
        <v>2183</v>
      </c>
      <c r="F2635">
        <v>4</v>
      </c>
      <c r="G2635" t="s">
        <v>53</v>
      </c>
      <c r="H2635" t="s">
        <v>41</v>
      </c>
      <c r="I2635" t="s">
        <v>2189</v>
      </c>
      <c r="J2635" s="10">
        <v>3.67</v>
      </c>
      <c r="K2635" t="b">
        <v>1</v>
      </c>
    </row>
    <row r="2636" spans="1:11">
      <c r="A2636" s="12">
        <v>41970</v>
      </c>
      <c r="B2636">
        <v>2014</v>
      </c>
      <c r="C2636">
        <v>11</v>
      </c>
      <c r="D2636" s="11">
        <v>41944</v>
      </c>
      <c r="E2636" t="s">
        <v>2183</v>
      </c>
      <c r="F2636">
        <v>4</v>
      </c>
      <c r="G2636" t="s">
        <v>53</v>
      </c>
      <c r="H2636" t="s">
        <v>42</v>
      </c>
      <c r="I2636" t="s">
        <v>2190</v>
      </c>
      <c r="J2636" s="10">
        <v>2.3</v>
      </c>
      <c r="K2636" t="b">
        <v>1</v>
      </c>
    </row>
    <row r="2637" spans="1:11">
      <c r="A2637" s="12">
        <v>41970</v>
      </c>
      <c r="B2637">
        <v>2014</v>
      </c>
      <c r="C2637">
        <v>11</v>
      </c>
      <c r="D2637" s="11">
        <v>41944</v>
      </c>
      <c r="E2637" t="s">
        <v>2183</v>
      </c>
      <c r="F2637">
        <v>4</v>
      </c>
      <c r="G2637" t="s">
        <v>53</v>
      </c>
      <c r="H2637" t="s">
        <v>43</v>
      </c>
      <c r="I2637" t="s">
        <v>2191</v>
      </c>
      <c r="J2637" s="10">
        <v>21.2</v>
      </c>
      <c r="K2637" t="b">
        <v>1</v>
      </c>
    </row>
    <row r="2638" spans="1:11">
      <c r="A2638" s="12">
        <v>41970</v>
      </c>
      <c r="B2638">
        <v>2014</v>
      </c>
      <c r="C2638">
        <v>11</v>
      </c>
      <c r="D2638" s="11">
        <v>41944</v>
      </c>
      <c r="E2638" t="s">
        <v>2183</v>
      </c>
      <c r="F2638">
        <v>4</v>
      </c>
      <c r="G2638" t="s">
        <v>53</v>
      </c>
      <c r="H2638" t="s">
        <v>44</v>
      </c>
      <c r="I2638" t="s">
        <v>2192</v>
      </c>
      <c r="J2638" s="10">
        <v>9</v>
      </c>
      <c r="K2638" t="b">
        <v>1</v>
      </c>
    </row>
    <row r="2639" spans="1:11">
      <c r="A2639" s="12">
        <v>41970</v>
      </c>
      <c r="B2639">
        <v>2014</v>
      </c>
      <c r="C2639">
        <v>11</v>
      </c>
      <c r="D2639" s="11">
        <v>41944</v>
      </c>
      <c r="E2639" t="s">
        <v>2183</v>
      </c>
      <c r="F2639">
        <v>4</v>
      </c>
      <c r="G2639" t="s">
        <v>53</v>
      </c>
      <c r="H2639" t="s">
        <v>45</v>
      </c>
      <c r="I2639" t="s">
        <v>2193</v>
      </c>
      <c r="J2639" s="10">
        <v>1</v>
      </c>
      <c r="K2639" t="b">
        <v>1</v>
      </c>
    </row>
    <row r="2640" spans="1:11">
      <c r="A2640" s="12">
        <v>41970</v>
      </c>
      <c r="B2640">
        <v>2014</v>
      </c>
      <c r="C2640">
        <v>11</v>
      </c>
      <c r="D2640" s="11">
        <v>41944</v>
      </c>
      <c r="E2640" t="s">
        <v>2183</v>
      </c>
      <c r="F2640">
        <v>4</v>
      </c>
      <c r="G2640" t="s">
        <v>53</v>
      </c>
      <c r="H2640" t="s">
        <v>46</v>
      </c>
      <c r="I2640" t="s">
        <v>2194</v>
      </c>
      <c r="J2640" s="10">
        <v>4</v>
      </c>
      <c r="K2640" t="b">
        <v>1</v>
      </c>
    </row>
    <row r="2641" spans="1:11">
      <c r="A2641" s="12">
        <v>41970</v>
      </c>
      <c r="B2641">
        <v>2014</v>
      </c>
      <c r="C2641">
        <v>11</v>
      </c>
      <c r="D2641" s="11">
        <v>41944</v>
      </c>
      <c r="E2641" t="s">
        <v>2183</v>
      </c>
      <c r="F2641">
        <v>4</v>
      </c>
      <c r="G2641" t="s">
        <v>53</v>
      </c>
      <c r="H2641" t="s">
        <v>47</v>
      </c>
      <c r="I2641" t="s">
        <v>2195</v>
      </c>
      <c r="J2641" s="10">
        <v>3</v>
      </c>
      <c r="K2641" t="b">
        <v>1</v>
      </c>
    </row>
    <row r="2642" spans="1:11">
      <c r="A2642" s="12">
        <v>41971</v>
      </c>
      <c r="B2642">
        <v>2014</v>
      </c>
      <c r="C2642">
        <v>11</v>
      </c>
      <c r="D2642" s="11">
        <v>41944</v>
      </c>
      <c r="E2642" t="s">
        <v>2183</v>
      </c>
      <c r="F2642">
        <v>5</v>
      </c>
      <c r="G2642" t="s">
        <v>55</v>
      </c>
      <c r="H2642" t="s">
        <v>40</v>
      </c>
      <c r="I2642" t="s">
        <v>2188</v>
      </c>
      <c r="J2642" s="10">
        <v>3.02</v>
      </c>
      <c r="K2642" t="b">
        <v>1</v>
      </c>
    </row>
    <row r="2643" spans="1:11">
      <c r="A2643" s="12">
        <v>41971</v>
      </c>
      <c r="B2643">
        <v>2014</v>
      </c>
      <c r="C2643">
        <v>11</v>
      </c>
      <c r="D2643" s="11">
        <v>41944</v>
      </c>
      <c r="E2643" t="s">
        <v>2183</v>
      </c>
      <c r="F2643">
        <v>5</v>
      </c>
      <c r="G2643" t="s">
        <v>55</v>
      </c>
      <c r="H2643" t="s">
        <v>41</v>
      </c>
      <c r="I2643" t="s">
        <v>2189</v>
      </c>
      <c r="J2643" s="10">
        <v>1.4</v>
      </c>
      <c r="K2643" t="b">
        <v>1</v>
      </c>
    </row>
    <row r="2644" spans="1:11">
      <c r="A2644" s="12">
        <v>41971</v>
      </c>
      <c r="B2644">
        <v>2014</v>
      </c>
      <c r="C2644">
        <v>11</v>
      </c>
      <c r="D2644" s="11">
        <v>41944</v>
      </c>
      <c r="E2644" t="s">
        <v>2183</v>
      </c>
      <c r="F2644">
        <v>5</v>
      </c>
      <c r="G2644" t="s">
        <v>55</v>
      </c>
      <c r="H2644" t="s">
        <v>42</v>
      </c>
      <c r="I2644" t="s">
        <v>2190</v>
      </c>
      <c r="J2644" s="10">
        <v>15</v>
      </c>
      <c r="K2644" t="b">
        <v>1</v>
      </c>
    </row>
    <row r="2645" spans="1:11">
      <c r="A2645" s="12">
        <v>41971</v>
      </c>
      <c r="B2645">
        <v>2014</v>
      </c>
      <c r="C2645">
        <v>11</v>
      </c>
      <c r="D2645" s="11">
        <v>41944</v>
      </c>
      <c r="E2645" t="s">
        <v>2183</v>
      </c>
      <c r="F2645">
        <v>5</v>
      </c>
      <c r="G2645" t="s">
        <v>55</v>
      </c>
      <c r="H2645" t="s">
        <v>43</v>
      </c>
      <c r="I2645" t="s">
        <v>2191</v>
      </c>
      <c r="J2645" s="10">
        <v>15.9</v>
      </c>
      <c r="K2645" t="b">
        <v>1</v>
      </c>
    </row>
    <row r="2646" spans="1:11">
      <c r="A2646" s="12">
        <v>41971</v>
      </c>
      <c r="B2646">
        <v>2014</v>
      </c>
      <c r="C2646">
        <v>11</v>
      </c>
      <c r="D2646" s="11">
        <v>41944</v>
      </c>
      <c r="E2646" t="s">
        <v>2183</v>
      </c>
      <c r="F2646">
        <v>5</v>
      </c>
      <c r="G2646" t="s">
        <v>55</v>
      </c>
      <c r="H2646" t="s">
        <v>44</v>
      </c>
      <c r="I2646" t="s">
        <v>2192</v>
      </c>
      <c r="J2646" s="10">
        <v>12</v>
      </c>
      <c r="K2646" t="b">
        <v>1</v>
      </c>
    </row>
    <row r="2647" spans="1:11">
      <c r="A2647" s="12">
        <v>41971</v>
      </c>
      <c r="B2647">
        <v>2014</v>
      </c>
      <c r="C2647">
        <v>11</v>
      </c>
      <c r="D2647" s="11">
        <v>41944</v>
      </c>
      <c r="E2647" t="s">
        <v>2183</v>
      </c>
      <c r="F2647">
        <v>5</v>
      </c>
      <c r="G2647" t="s">
        <v>55</v>
      </c>
      <c r="H2647" t="s">
        <v>45</v>
      </c>
      <c r="I2647" t="s">
        <v>2193</v>
      </c>
      <c r="J2647" s="10">
        <v>1</v>
      </c>
      <c r="K2647" t="b">
        <v>1</v>
      </c>
    </row>
    <row r="2648" spans="1:11">
      <c r="A2648" s="12">
        <v>41971</v>
      </c>
      <c r="B2648">
        <v>2014</v>
      </c>
      <c r="C2648">
        <v>11</v>
      </c>
      <c r="D2648" s="11">
        <v>41944</v>
      </c>
      <c r="E2648" t="s">
        <v>2183</v>
      </c>
      <c r="F2648">
        <v>5</v>
      </c>
      <c r="G2648" t="s">
        <v>55</v>
      </c>
      <c r="H2648" t="s">
        <v>46</v>
      </c>
      <c r="I2648" t="s">
        <v>2194</v>
      </c>
      <c r="J2648" s="10">
        <v>2</v>
      </c>
      <c r="K2648" t="b">
        <v>1</v>
      </c>
    </row>
    <row r="2649" spans="1:11">
      <c r="A2649" s="12">
        <v>41971</v>
      </c>
      <c r="B2649">
        <v>2014</v>
      </c>
      <c r="C2649">
        <v>11</v>
      </c>
      <c r="D2649" s="11">
        <v>41944</v>
      </c>
      <c r="E2649" t="s">
        <v>2183</v>
      </c>
      <c r="F2649">
        <v>5</v>
      </c>
      <c r="G2649" t="s">
        <v>55</v>
      </c>
      <c r="H2649" t="s">
        <v>47</v>
      </c>
      <c r="I2649" t="s">
        <v>2195</v>
      </c>
      <c r="J2649" s="10">
        <v>1</v>
      </c>
      <c r="K2649" t="b">
        <v>1</v>
      </c>
    </row>
    <row r="2650" spans="1:11">
      <c r="A2650" s="12">
        <v>41972</v>
      </c>
      <c r="B2650">
        <v>2014</v>
      </c>
      <c r="C2650">
        <v>11</v>
      </c>
      <c r="D2650" s="11">
        <v>41944</v>
      </c>
      <c r="E2650" t="s">
        <v>2183</v>
      </c>
      <c r="F2650">
        <v>6</v>
      </c>
      <c r="G2650" t="s">
        <v>57</v>
      </c>
      <c r="H2650" t="s">
        <v>40</v>
      </c>
      <c r="I2650" t="s">
        <v>2188</v>
      </c>
      <c r="J2650" s="10">
        <v>3</v>
      </c>
      <c r="K2650" t="b">
        <v>1</v>
      </c>
    </row>
    <row r="2651" spans="1:11">
      <c r="A2651" s="12">
        <v>41972</v>
      </c>
      <c r="B2651">
        <v>2014</v>
      </c>
      <c r="C2651">
        <v>11</v>
      </c>
      <c r="D2651" s="11">
        <v>41944</v>
      </c>
      <c r="E2651" t="s">
        <v>2183</v>
      </c>
      <c r="F2651">
        <v>6</v>
      </c>
      <c r="G2651" t="s">
        <v>57</v>
      </c>
      <c r="H2651" t="s">
        <v>41</v>
      </c>
      <c r="I2651" t="s">
        <v>2189</v>
      </c>
      <c r="J2651" s="10">
        <v>2.01</v>
      </c>
      <c r="K2651" t="b">
        <v>1</v>
      </c>
    </row>
    <row r="2652" spans="1:11">
      <c r="A2652" s="12">
        <v>41972</v>
      </c>
      <c r="B2652">
        <v>2014</v>
      </c>
      <c r="C2652">
        <v>11</v>
      </c>
      <c r="D2652" s="11">
        <v>41944</v>
      </c>
      <c r="E2652" t="s">
        <v>2183</v>
      </c>
      <c r="F2652">
        <v>6</v>
      </c>
      <c r="G2652" t="s">
        <v>57</v>
      </c>
      <c r="H2652" t="s">
        <v>42</v>
      </c>
      <c r="I2652" t="s">
        <v>2190</v>
      </c>
      <c r="J2652" s="10">
        <v>3.3</v>
      </c>
      <c r="K2652" t="b">
        <v>1</v>
      </c>
    </row>
    <row r="2653" spans="1:11">
      <c r="A2653" s="12">
        <v>41972</v>
      </c>
      <c r="B2653">
        <v>2014</v>
      </c>
      <c r="C2653">
        <v>11</v>
      </c>
      <c r="D2653" s="11">
        <v>41944</v>
      </c>
      <c r="E2653" t="s">
        <v>2183</v>
      </c>
      <c r="F2653">
        <v>6</v>
      </c>
      <c r="G2653" t="s">
        <v>57</v>
      </c>
      <c r="H2653" t="s">
        <v>43</v>
      </c>
      <c r="I2653" t="s">
        <v>2191</v>
      </c>
      <c r="J2653" s="10">
        <v>31</v>
      </c>
      <c r="K2653" t="b">
        <v>1</v>
      </c>
    </row>
    <row r="2654" spans="1:11">
      <c r="A2654" s="12">
        <v>41972</v>
      </c>
      <c r="B2654">
        <v>2014</v>
      </c>
      <c r="C2654">
        <v>11</v>
      </c>
      <c r="D2654" s="11">
        <v>41944</v>
      </c>
      <c r="E2654" t="s">
        <v>2183</v>
      </c>
      <c r="F2654">
        <v>6</v>
      </c>
      <c r="G2654" t="s">
        <v>57</v>
      </c>
      <c r="H2654" t="s">
        <v>44</v>
      </c>
      <c r="I2654" t="s">
        <v>2192</v>
      </c>
      <c r="J2654" s="10">
        <v>16</v>
      </c>
      <c r="K2654" t="b">
        <v>1</v>
      </c>
    </row>
    <row r="2655" spans="1:11">
      <c r="A2655" s="12">
        <v>41972</v>
      </c>
      <c r="B2655">
        <v>2014</v>
      </c>
      <c r="C2655">
        <v>11</v>
      </c>
      <c r="D2655" s="11">
        <v>41944</v>
      </c>
      <c r="E2655" t="s">
        <v>2183</v>
      </c>
      <c r="F2655">
        <v>6</v>
      </c>
      <c r="G2655" t="s">
        <v>57</v>
      </c>
      <c r="H2655" t="s">
        <v>45</v>
      </c>
      <c r="I2655" t="s">
        <v>2193</v>
      </c>
      <c r="J2655" s="10">
        <v>0</v>
      </c>
      <c r="K2655" t="b">
        <v>1</v>
      </c>
    </row>
    <row r="2656" spans="1:11">
      <c r="A2656" s="12">
        <v>41972</v>
      </c>
      <c r="B2656">
        <v>2014</v>
      </c>
      <c r="C2656">
        <v>11</v>
      </c>
      <c r="D2656" s="11">
        <v>41944</v>
      </c>
      <c r="E2656" t="s">
        <v>2183</v>
      </c>
      <c r="F2656">
        <v>6</v>
      </c>
      <c r="G2656" t="s">
        <v>57</v>
      </c>
      <c r="H2656" t="s">
        <v>46</v>
      </c>
      <c r="I2656" t="s">
        <v>2194</v>
      </c>
      <c r="J2656" s="10">
        <v>0</v>
      </c>
      <c r="K2656" t="b">
        <v>1</v>
      </c>
    </row>
    <row r="2657" spans="1:11">
      <c r="A2657" s="12">
        <v>41972</v>
      </c>
      <c r="B2657">
        <v>2014</v>
      </c>
      <c r="C2657">
        <v>11</v>
      </c>
      <c r="D2657" s="11">
        <v>41944</v>
      </c>
      <c r="E2657" t="s">
        <v>2183</v>
      </c>
      <c r="F2657">
        <v>6</v>
      </c>
      <c r="G2657" t="s">
        <v>57</v>
      </c>
      <c r="H2657" t="s">
        <v>47</v>
      </c>
      <c r="I2657" t="s">
        <v>2195</v>
      </c>
      <c r="J2657" s="10">
        <v>5</v>
      </c>
      <c r="K2657" t="b">
        <v>1</v>
      </c>
    </row>
    <row r="2658" spans="1:11">
      <c r="A2658" s="12">
        <v>41973</v>
      </c>
      <c r="B2658">
        <v>2014</v>
      </c>
      <c r="C2658">
        <v>11</v>
      </c>
      <c r="D2658" s="11">
        <v>41944</v>
      </c>
      <c r="E2658" t="s">
        <v>2183</v>
      </c>
      <c r="F2658">
        <v>7</v>
      </c>
      <c r="G2658" t="s">
        <v>59</v>
      </c>
      <c r="H2658" t="s">
        <v>40</v>
      </c>
      <c r="I2658" t="s">
        <v>2188</v>
      </c>
      <c r="J2658" s="10">
        <v>5.68</v>
      </c>
      <c r="K2658" t="b">
        <v>1</v>
      </c>
    </row>
    <row r="2659" spans="1:11">
      <c r="A2659" s="12">
        <v>41973</v>
      </c>
      <c r="B2659">
        <v>2014</v>
      </c>
      <c r="C2659">
        <v>11</v>
      </c>
      <c r="D2659" s="11">
        <v>41944</v>
      </c>
      <c r="E2659" t="s">
        <v>2183</v>
      </c>
      <c r="F2659">
        <v>7</v>
      </c>
      <c r="G2659" t="s">
        <v>59</v>
      </c>
      <c r="H2659" t="s">
        <v>41</v>
      </c>
      <c r="I2659" t="s">
        <v>2189</v>
      </c>
      <c r="J2659" s="10">
        <v>1.33</v>
      </c>
      <c r="K2659" t="b">
        <v>1</v>
      </c>
    </row>
    <row r="2660" spans="1:11">
      <c r="A2660" s="12">
        <v>41973</v>
      </c>
      <c r="B2660">
        <v>2014</v>
      </c>
      <c r="C2660">
        <v>11</v>
      </c>
      <c r="D2660" s="11">
        <v>41944</v>
      </c>
      <c r="E2660" t="s">
        <v>2183</v>
      </c>
      <c r="F2660">
        <v>7</v>
      </c>
      <c r="G2660" t="s">
        <v>59</v>
      </c>
      <c r="H2660" t="s">
        <v>42</v>
      </c>
      <c r="I2660" t="s">
        <v>2190</v>
      </c>
      <c r="J2660" s="10">
        <v>5</v>
      </c>
      <c r="K2660" t="b">
        <v>1</v>
      </c>
    </row>
    <row r="2661" spans="1:11">
      <c r="A2661" s="12">
        <v>41973</v>
      </c>
      <c r="B2661">
        <v>2014</v>
      </c>
      <c r="C2661">
        <v>11</v>
      </c>
      <c r="D2661" s="11">
        <v>41944</v>
      </c>
      <c r="E2661" t="s">
        <v>2183</v>
      </c>
      <c r="F2661">
        <v>7</v>
      </c>
      <c r="G2661" t="s">
        <v>59</v>
      </c>
      <c r="H2661" t="s">
        <v>43</v>
      </c>
      <c r="I2661" t="s">
        <v>2191</v>
      </c>
      <c r="J2661" s="10">
        <v>22.6</v>
      </c>
      <c r="K2661" t="b">
        <v>1</v>
      </c>
    </row>
    <row r="2662" spans="1:11">
      <c r="A2662" s="12">
        <v>41973</v>
      </c>
      <c r="B2662">
        <v>2014</v>
      </c>
      <c r="C2662">
        <v>11</v>
      </c>
      <c r="D2662" s="11">
        <v>41944</v>
      </c>
      <c r="E2662" t="s">
        <v>2183</v>
      </c>
      <c r="F2662">
        <v>7</v>
      </c>
      <c r="G2662" t="s">
        <v>59</v>
      </c>
      <c r="H2662" t="s">
        <v>44</v>
      </c>
      <c r="I2662" t="s">
        <v>2192</v>
      </c>
      <c r="J2662" s="10">
        <v>9</v>
      </c>
      <c r="K2662" t="b">
        <v>1</v>
      </c>
    </row>
    <row r="2663" spans="1:11">
      <c r="A2663" s="12">
        <v>41973</v>
      </c>
      <c r="B2663">
        <v>2014</v>
      </c>
      <c r="C2663">
        <v>11</v>
      </c>
      <c r="D2663" s="11">
        <v>41944</v>
      </c>
      <c r="E2663" t="s">
        <v>2183</v>
      </c>
      <c r="F2663">
        <v>7</v>
      </c>
      <c r="G2663" t="s">
        <v>59</v>
      </c>
      <c r="H2663" t="s">
        <v>45</v>
      </c>
      <c r="I2663" t="s">
        <v>2193</v>
      </c>
      <c r="J2663" s="10">
        <v>1</v>
      </c>
      <c r="K2663" t="b">
        <v>1</v>
      </c>
    </row>
    <row r="2664" spans="1:11">
      <c r="A2664" s="12">
        <v>41973</v>
      </c>
      <c r="B2664">
        <v>2014</v>
      </c>
      <c r="C2664">
        <v>11</v>
      </c>
      <c r="D2664" s="11">
        <v>41944</v>
      </c>
      <c r="E2664" t="s">
        <v>2183</v>
      </c>
      <c r="F2664">
        <v>7</v>
      </c>
      <c r="G2664" t="s">
        <v>59</v>
      </c>
      <c r="H2664" t="s">
        <v>46</v>
      </c>
      <c r="I2664" t="s">
        <v>2194</v>
      </c>
      <c r="J2664" s="10">
        <v>0</v>
      </c>
      <c r="K2664" t="b">
        <v>1</v>
      </c>
    </row>
    <row r="2665" spans="1:11">
      <c r="A2665" s="12">
        <v>41973</v>
      </c>
      <c r="B2665">
        <v>2014</v>
      </c>
      <c r="C2665">
        <v>11</v>
      </c>
      <c r="D2665" s="11">
        <v>41944</v>
      </c>
      <c r="E2665" t="s">
        <v>2183</v>
      </c>
      <c r="F2665">
        <v>7</v>
      </c>
      <c r="G2665" t="s">
        <v>59</v>
      </c>
      <c r="H2665" t="s">
        <v>47</v>
      </c>
      <c r="I2665" t="s">
        <v>2195</v>
      </c>
      <c r="J2665" s="10">
        <v>2</v>
      </c>
      <c r="K2665" t="b">
        <v>1</v>
      </c>
    </row>
    <row r="2666" spans="1:11">
      <c r="A2666" s="12">
        <v>41974</v>
      </c>
      <c r="B2666">
        <v>2014</v>
      </c>
      <c r="C2666">
        <v>12</v>
      </c>
      <c r="D2666" s="11">
        <v>41974</v>
      </c>
      <c r="E2666" t="s">
        <v>2184</v>
      </c>
      <c r="F2666">
        <v>1</v>
      </c>
      <c r="G2666" t="s">
        <v>61</v>
      </c>
      <c r="H2666" t="s">
        <v>40</v>
      </c>
      <c r="I2666" t="s">
        <v>2188</v>
      </c>
      <c r="J2666" s="10">
        <v>4.34</v>
      </c>
      <c r="K2666" t="b">
        <v>1</v>
      </c>
    </row>
    <row r="2667" spans="1:11">
      <c r="A2667" s="12">
        <v>41974</v>
      </c>
      <c r="B2667">
        <v>2014</v>
      </c>
      <c r="C2667">
        <v>12</v>
      </c>
      <c r="D2667" s="11">
        <v>41974</v>
      </c>
      <c r="E2667" t="s">
        <v>2184</v>
      </c>
      <c r="F2667">
        <v>1</v>
      </c>
      <c r="G2667" t="s">
        <v>61</v>
      </c>
      <c r="H2667" t="s">
        <v>41</v>
      </c>
      <c r="I2667" t="s">
        <v>2189</v>
      </c>
      <c r="J2667" s="10">
        <v>4.01</v>
      </c>
      <c r="K2667" t="b">
        <v>1</v>
      </c>
    </row>
    <row r="2668" spans="1:11">
      <c r="A2668" s="12">
        <v>41974</v>
      </c>
      <c r="B2668">
        <v>2014</v>
      </c>
      <c r="C2668">
        <v>12</v>
      </c>
      <c r="D2668" s="11">
        <v>41974</v>
      </c>
      <c r="E2668" t="s">
        <v>2184</v>
      </c>
      <c r="F2668">
        <v>1</v>
      </c>
      <c r="G2668" t="s">
        <v>61</v>
      </c>
      <c r="H2668" t="s">
        <v>42</v>
      </c>
      <c r="I2668" t="s">
        <v>2190</v>
      </c>
      <c r="J2668" s="10">
        <v>0</v>
      </c>
      <c r="K2668" t="b">
        <v>1</v>
      </c>
    </row>
    <row r="2669" spans="1:11">
      <c r="A2669" s="12">
        <v>41974</v>
      </c>
      <c r="B2669">
        <v>2014</v>
      </c>
      <c r="C2669">
        <v>12</v>
      </c>
      <c r="D2669" s="11">
        <v>41974</v>
      </c>
      <c r="E2669" t="s">
        <v>2184</v>
      </c>
      <c r="F2669">
        <v>1</v>
      </c>
      <c r="G2669" t="s">
        <v>61</v>
      </c>
      <c r="H2669" t="s">
        <v>43</v>
      </c>
      <c r="I2669" t="s">
        <v>2191</v>
      </c>
      <c r="J2669" s="10">
        <v>36.4</v>
      </c>
      <c r="K2669" t="b">
        <v>1</v>
      </c>
    </row>
    <row r="2670" spans="1:11">
      <c r="A2670" s="12">
        <v>41974</v>
      </c>
      <c r="B2670">
        <v>2014</v>
      </c>
      <c r="C2670">
        <v>12</v>
      </c>
      <c r="D2670" s="11">
        <v>41974</v>
      </c>
      <c r="E2670" t="s">
        <v>2184</v>
      </c>
      <c r="F2670">
        <v>1</v>
      </c>
      <c r="G2670" t="s">
        <v>61</v>
      </c>
      <c r="H2670" t="s">
        <v>44</v>
      </c>
      <c r="I2670" t="s">
        <v>2192</v>
      </c>
      <c r="J2670" s="10">
        <v>19</v>
      </c>
      <c r="K2670" t="b">
        <v>1</v>
      </c>
    </row>
    <row r="2671" spans="1:11">
      <c r="A2671" s="12">
        <v>41974</v>
      </c>
      <c r="B2671">
        <v>2014</v>
      </c>
      <c r="C2671">
        <v>12</v>
      </c>
      <c r="D2671" s="11">
        <v>41974</v>
      </c>
      <c r="E2671" t="s">
        <v>2184</v>
      </c>
      <c r="F2671">
        <v>1</v>
      </c>
      <c r="G2671" t="s">
        <v>61</v>
      </c>
      <c r="H2671" t="s">
        <v>45</v>
      </c>
      <c r="I2671" t="s">
        <v>2193</v>
      </c>
      <c r="J2671" s="10">
        <v>0</v>
      </c>
      <c r="K2671" t="b">
        <v>1</v>
      </c>
    </row>
    <row r="2672" spans="1:11">
      <c r="A2672" s="12">
        <v>41974</v>
      </c>
      <c r="B2672">
        <v>2014</v>
      </c>
      <c r="C2672">
        <v>12</v>
      </c>
      <c r="D2672" s="11">
        <v>41974</v>
      </c>
      <c r="E2672" t="s">
        <v>2184</v>
      </c>
      <c r="F2672">
        <v>1</v>
      </c>
      <c r="G2672" t="s">
        <v>61</v>
      </c>
      <c r="H2672" t="s">
        <v>46</v>
      </c>
      <c r="I2672" t="s">
        <v>2194</v>
      </c>
      <c r="J2672" s="10">
        <v>2</v>
      </c>
      <c r="K2672" t="b">
        <v>1</v>
      </c>
    </row>
    <row r="2673" spans="1:11">
      <c r="A2673" s="12">
        <v>41974</v>
      </c>
      <c r="B2673">
        <v>2014</v>
      </c>
      <c r="C2673">
        <v>12</v>
      </c>
      <c r="D2673" s="11">
        <v>41974</v>
      </c>
      <c r="E2673" t="s">
        <v>2184</v>
      </c>
      <c r="F2673">
        <v>1</v>
      </c>
      <c r="G2673" t="s">
        <v>61</v>
      </c>
      <c r="H2673" t="s">
        <v>47</v>
      </c>
      <c r="I2673" t="s">
        <v>2195</v>
      </c>
      <c r="J2673" s="10">
        <v>2</v>
      </c>
      <c r="K2673" t="b">
        <v>1</v>
      </c>
    </row>
    <row r="2674" spans="1:11">
      <c r="A2674" s="12">
        <v>41975</v>
      </c>
      <c r="B2674">
        <v>2014</v>
      </c>
      <c r="C2674">
        <v>12</v>
      </c>
      <c r="D2674" s="11">
        <v>41974</v>
      </c>
      <c r="E2674" t="s">
        <v>2184</v>
      </c>
      <c r="F2674">
        <v>2</v>
      </c>
      <c r="G2674" t="s">
        <v>63</v>
      </c>
      <c r="H2674" t="s">
        <v>40</v>
      </c>
      <c r="I2674" t="s">
        <v>2188</v>
      </c>
      <c r="J2674" s="10">
        <v>6.99</v>
      </c>
      <c r="K2674" t="b">
        <v>1</v>
      </c>
    </row>
    <row r="2675" spans="1:11">
      <c r="A2675" s="12">
        <v>41975</v>
      </c>
      <c r="B2675">
        <v>2014</v>
      </c>
      <c r="C2675">
        <v>12</v>
      </c>
      <c r="D2675" s="11">
        <v>41974</v>
      </c>
      <c r="E2675" t="s">
        <v>2184</v>
      </c>
      <c r="F2675">
        <v>2</v>
      </c>
      <c r="G2675" t="s">
        <v>63</v>
      </c>
      <c r="H2675" t="s">
        <v>41</v>
      </c>
      <c r="I2675" t="s">
        <v>2189</v>
      </c>
      <c r="J2675" s="10">
        <v>4.33</v>
      </c>
      <c r="K2675" t="b">
        <v>1</v>
      </c>
    </row>
    <row r="2676" spans="1:11">
      <c r="A2676" s="12">
        <v>41975</v>
      </c>
      <c r="B2676">
        <v>2014</v>
      </c>
      <c r="C2676">
        <v>12</v>
      </c>
      <c r="D2676" s="11">
        <v>41974</v>
      </c>
      <c r="E2676" t="s">
        <v>2184</v>
      </c>
      <c r="F2676">
        <v>2</v>
      </c>
      <c r="G2676" t="s">
        <v>63</v>
      </c>
      <c r="H2676" t="s">
        <v>42</v>
      </c>
      <c r="I2676" t="s">
        <v>2190</v>
      </c>
      <c r="J2676" s="10">
        <v>3.7</v>
      </c>
      <c r="K2676" t="b">
        <v>1</v>
      </c>
    </row>
    <row r="2677" spans="1:11">
      <c r="A2677" s="12">
        <v>41975</v>
      </c>
      <c r="B2677">
        <v>2014</v>
      </c>
      <c r="C2677">
        <v>12</v>
      </c>
      <c r="D2677" s="11">
        <v>41974</v>
      </c>
      <c r="E2677" t="s">
        <v>2184</v>
      </c>
      <c r="F2677">
        <v>2</v>
      </c>
      <c r="G2677" t="s">
        <v>63</v>
      </c>
      <c r="H2677" t="s">
        <v>43</v>
      </c>
      <c r="I2677" t="s">
        <v>2191</v>
      </c>
      <c r="J2677" s="10">
        <v>7.8</v>
      </c>
      <c r="K2677" t="b">
        <v>1</v>
      </c>
    </row>
    <row r="2678" spans="1:11">
      <c r="A2678" s="12">
        <v>41975</v>
      </c>
      <c r="B2678">
        <v>2014</v>
      </c>
      <c r="C2678">
        <v>12</v>
      </c>
      <c r="D2678" s="11">
        <v>41974</v>
      </c>
      <c r="E2678" t="s">
        <v>2184</v>
      </c>
      <c r="F2678">
        <v>2</v>
      </c>
      <c r="G2678" t="s">
        <v>63</v>
      </c>
      <c r="H2678" t="s">
        <v>44</v>
      </c>
      <c r="I2678" t="s">
        <v>2192</v>
      </c>
      <c r="J2678" s="10">
        <v>26</v>
      </c>
      <c r="K2678" t="b">
        <v>1</v>
      </c>
    </row>
    <row r="2679" spans="1:11">
      <c r="A2679" s="12">
        <v>41975</v>
      </c>
      <c r="B2679">
        <v>2014</v>
      </c>
      <c r="C2679">
        <v>12</v>
      </c>
      <c r="D2679" s="11">
        <v>41974</v>
      </c>
      <c r="E2679" t="s">
        <v>2184</v>
      </c>
      <c r="F2679">
        <v>2</v>
      </c>
      <c r="G2679" t="s">
        <v>63</v>
      </c>
      <c r="H2679" t="s">
        <v>45</v>
      </c>
      <c r="I2679" t="s">
        <v>2193</v>
      </c>
      <c r="J2679" s="10">
        <v>0</v>
      </c>
      <c r="K2679" t="b">
        <v>1</v>
      </c>
    </row>
    <row r="2680" spans="1:11">
      <c r="A2680" s="12">
        <v>41975</v>
      </c>
      <c r="B2680">
        <v>2014</v>
      </c>
      <c r="C2680">
        <v>12</v>
      </c>
      <c r="D2680" s="11">
        <v>41974</v>
      </c>
      <c r="E2680" t="s">
        <v>2184</v>
      </c>
      <c r="F2680">
        <v>2</v>
      </c>
      <c r="G2680" t="s">
        <v>63</v>
      </c>
      <c r="H2680" t="s">
        <v>46</v>
      </c>
      <c r="I2680" t="s">
        <v>2194</v>
      </c>
      <c r="J2680" s="10">
        <v>4</v>
      </c>
      <c r="K2680" t="b">
        <v>1</v>
      </c>
    </row>
    <row r="2681" spans="1:11">
      <c r="A2681" s="12">
        <v>41975</v>
      </c>
      <c r="B2681">
        <v>2014</v>
      </c>
      <c r="C2681">
        <v>12</v>
      </c>
      <c r="D2681" s="11">
        <v>41974</v>
      </c>
      <c r="E2681" t="s">
        <v>2184</v>
      </c>
      <c r="F2681">
        <v>2</v>
      </c>
      <c r="G2681" t="s">
        <v>63</v>
      </c>
      <c r="H2681" t="s">
        <v>47</v>
      </c>
      <c r="I2681" t="s">
        <v>2195</v>
      </c>
      <c r="J2681" s="10">
        <v>1</v>
      </c>
      <c r="K2681" t="b">
        <v>1</v>
      </c>
    </row>
    <row r="2682" spans="1:11">
      <c r="A2682" s="12">
        <v>41976</v>
      </c>
      <c r="B2682">
        <v>2014</v>
      </c>
      <c r="C2682">
        <v>12</v>
      </c>
      <c r="D2682" s="11">
        <v>41974</v>
      </c>
      <c r="E2682" t="s">
        <v>2184</v>
      </c>
      <c r="F2682">
        <v>3</v>
      </c>
      <c r="G2682" t="s">
        <v>65</v>
      </c>
      <c r="H2682" t="s">
        <v>40</v>
      </c>
      <c r="I2682" t="s">
        <v>2188</v>
      </c>
      <c r="J2682" s="10">
        <v>4</v>
      </c>
      <c r="K2682" t="b">
        <v>1</v>
      </c>
    </row>
    <row r="2683" spans="1:11">
      <c r="A2683" s="12">
        <v>41976</v>
      </c>
      <c r="B2683">
        <v>2014</v>
      </c>
      <c r="C2683">
        <v>12</v>
      </c>
      <c r="D2683" s="11">
        <v>41974</v>
      </c>
      <c r="E2683" t="s">
        <v>2184</v>
      </c>
      <c r="F2683">
        <v>3</v>
      </c>
      <c r="G2683" t="s">
        <v>65</v>
      </c>
      <c r="H2683" t="s">
        <v>41</v>
      </c>
      <c r="I2683" t="s">
        <v>2189</v>
      </c>
      <c r="J2683" s="10">
        <v>3.33</v>
      </c>
      <c r="K2683" t="b">
        <v>1</v>
      </c>
    </row>
    <row r="2684" spans="1:11">
      <c r="A2684" s="12">
        <v>41976</v>
      </c>
      <c r="B2684">
        <v>2014</v>
      </c>
      <c r="C2684">
        <v>12</v>
      </c>
      <c r="D2684" s="11">
        <v>41974</v>
      </c>
      <c r="E2684" t="s">
        <v>2184</v>
      </c>
      <c r="F2684">
        <v>3</v>
      </c>
      <c r="G2684" t="s">
        <v>65</v>
      </c>
      <c r="H2684" t="s">
        <v>42</v>
      </c>
      <c r="I2684" t="s">
        <v>2190</v>
      </c>
      <c r="J2684" s="10">
        <v>5</v>
      </c>
      <c r="K2684" t="b">
        <v>1</v>
      </c>
    </row>
    <row r="2685" spans="1:11">
      <c r="A2685" s="12">
        <v>41976</v>
      </c>
      <c r="B2685">
        <v>2014</v>
      </c>
      <c r="C2685">
        <v>12</v>
      </c>
      <c r="D2685" s="11">
        <v>41974</v>
      </c>
      <c r="E2685" t="s">
        <v>2184</v>
      </c>
      <c r="F2685">
        <v>3</v>
      </c>
      <c r="G2685" t="s">
        <v>65</v>
      </c>
      <c r="H2685" t="s">
        <v>43</v>
      </c>
      <c r="I2685" t="s">
        <v>2191</v>
      </c>
      <c r="J2685" s="10">
        <v>16.6</v>
      </c>
      <c r="K2685" t="b">
        <v>1</v>
      </c>
    </row>
    <row r="2686" spans="1:11">
      <c r="A2686" s="12">
        <v>41976</v>
      </c>
      <c r="B2686">
        <v>2014</v>
      </c>
      <c r="C2686">
        <v>12</v>
      </c>
      <c r="D2686" s="11">
        <v>41974</v>
      </c>
      <c r="E2686" t="s">
        <v>2184</v>
      </c>
      <c r="F2686">
        <v>3</v>
      </c>
      <c r="G2686" t="s">
        <v>65</v>
      </c>
      <c r="H2686" t="s">
        <v>44</v>
      </c>
      <c r="I2686" t="s">
        <v>2192</v>
      </c>
      <c r="J2686" s="10">
        <v>23</v>
      </c>
      <c r="K2686" t="b">
        <v>1</v>
      </c>
    </row>
    <row r="2687" spans="1:11">
      <c r="A2687" s="12">
        <v>41976</v>
      </c>
      <c r="B2687">
        <v>2014</v>
      </c>
      <c r="C2687">
        <v>12</v>
      </c>
      <c r="D2687" s="11">
        <v>41974</v>
      </c>
      <c r="E2687" t="s">
        <v>2184</v>
      </c>
      <c r="F2687">
        <v>3</v>
      </c>
      <c r="G2687" t="s">
        <v>65</v>
      </c>
      <c r="H2687" t="s">
        <v>45</v>
      </c>
      <c r="I2687" t="s">
        <v>2193</v>
      </c>
      <c r="J2687" s="10">
        <v>2</v>
      </c>
      <c r="K2687" t="b">
        <v>1</v>
      </c>
    </row>
    <row r="2688" spans="1:11">
      <c r="A2688" s="12">
        <v>41976</v>
      </c>
      <c r="B2688">
        <v>2014</v>
      </c>
      <c r="C2688">
        <v>12</v>
      </c>
      <c r="D2688" s="11">
        <v>41974</v>
      </c>
      <c r="E2688" t="s">
        <v>2184</v>
      </c>
      <c r="F2688">
        <v>3</v>
      </c>
      <c r="G2688" t="s">
        <v>65</v>
      </c>
      <c r="H2688" t="s">
        <v>46</v>
      </c>
      <c r="I2688" t="s">
        <v>2194</v>
      </c>
      <c r="J2688" s="10">
        <v>13</v>
      </c>
      <c r="K2688" t="b">
        <v>1</v>
      </c>
    </row>
    <row r="2689" spans="1:11">
      <c r="A2689" s="12">
        <v>41976</v>
      </c>
      <c r="B2689">
        <v>2014</v>
      </c>
      <c r="C2689">
        <v>12</v>
      </c>
      <c r="D2689" s="11">
        <v>41974</v>
      </c>
      <c r="E2689" t="s">
        <v>2184</v>
      </c>
      <c r="F2689">
        <v>3</v>
      </c>
      <c r="G2689" t="s">
        <v>65</v>
      </c>
      <c r="H2689" t="s">
        <v>47</v>
      </c>
      <c r="I2689" t="s">
        <v>2195</v>
      </c>
      <c r="J2689" s="10">
        <v>3.2</v>
      </c>
      <c r="K2689" t="b">
        <v>1</v>
      </c>
    </row>
    <row r="2690" spans="1:11">
      <c r="A2690" s="12">
        <v>41977</v>
      </c>
      <c r="B2690">
        <v>2014</v>
      </c>
      <c r="C2690">
        <v>12</v>
      </c>
      <c r="D2690" s="11">
        <v>41974</v>
      </c>
      <c r="E2690" t="s">
        <v>2184</v>
      </c>
      <c r="F2690">
        <v>4</v>
      </c>
      <c r="G2690" t="s">
        <v>53</v>
      </c>
      <c r="H2690" t="s">
        <v>40</v>
      </c>
      <c r="I2690" t="s">
        <v>2188</v>
      </c>
      <c r="J2690" s="10">
        <v>3</v>
      </c>
      <c r="K2690" t="b">
        <v>1</v>
      </c>
    </row>
    <row r="2691" spans="1:11">
      <c r="A2691" s="12">
        <v>41977</v>
      </c>
      <c r="B2691">
        <v>2014</v>
      </c>
      <c r="C2691">
        <v>12</v>
      </c>
      <c r="D2691" s="11">
        <v>41974</v>
      </c>
      <c r="E2691" t="s">
        <v>2184</v>
      </c>
      <c r="F2691">
        <v>4</v>
      </c>
      <c r="G2691" t="s">
        <v>53</v>
      </c>
      <c r="H2691" t="s">
        <v>41</v>
      </c>
      <c r="I2691" t="s">
        <v>2189</v>
      </c>
      <c r="J2691" s="10">
        <v>4.34</v>
      </c>
      <c r="K2691" t="b">
        <v>1</v>
      </c>
    </row>
    <row r="2692" spans="1:11">
      <c r="A2692" s="12">
        <v>41977</v>
      </c>
      <c r="B2692">
        <v>2014</v>
      </c>
      <c r="C2692">
        <v>12</v>
      </c>
      <c r="D2692" s="11">
        <v>41974</v>
      </c>
      <c r="E2692" t="s">
        <v>2184</v>
      </c>
      <c r="F2692">
        <v>4</v>
      </c>
      <c r="G2692" t="s">
        <v>53</v>
      </c>
      <c r="H2692" t="s">
        <v>42</v>
      </c>
      <c r="I2692" t="s">
        <v>2190</v>
      </c>
      <c r="J2692" s="10">
        <v>3.6</v>
      </c>
      <c r="K2692" t="b">
        <v>1</v>
      </c>
    </row>
    <row r="2693" spans="1:11">
      <c r="A2693" s="12">
        <v>41977</v>
      </c>
      <c r="B2693">
        <v>2014</v>
      </c>
      <c r="C2693">
        <v>12</v>
      </c>
      <c r="D2693" s="11">
        <v>41974</v>
      </c>
      <c r="E2693" t="s">
        <v>2184</v>
      </c>
      <c r="F2693">
        <v>4</v>
      </c>
      <c r="G2693" t="s">
        <v>53</v>
      </c>
      <c r="H2693" t="s">
        <v>43</v>
      </c>
      <c r="I2693" t="s">
        <v>2191</v>
      </c>
      <c r="J2693" s="10">
        <v>28.7</v>
      </c>
      <c r="K2693" t="b">
        <v>1</v>
      </c>
    </row>
    <row r="2694" spans="1:11">
      <c r="A2694" s="12">
        <v>41977</v>
      </c>
      <c r="B2694">
        <v>2014</v>
      </c>
      <c r="C2694">
        <v>12</v>
      </c>
      <c r="D2694" s="11">
        <v>41974</v>
      </c>
      <c r="E2694" t="s">
        <v>2184</v>
      </c>
      <c r="F2694">
        <v>4</v>
      </c>
      <c r="G2694" t="s">
        <v>53</v>
      </c>
      <c r="H2694" t="s">
        <v>44</v>
      </c>
      <c r="I2694" t="s">
        <v>2192</v>
      </c>
      <c r="J2694" s="10">
        <v>16</v>
      </c>
      <c r="K2694" t="b">
        <v>1</v>
      </c>
    </row>
    <row r="2695" spans="1:11">
      <c r="A2695" s="12">
        <v>41977</v>
      </c>
      <c r="B2695">
        <v>2014</v>
      </c>
      <c r="C2695">
        <v>12</v>
      </c>
      <c r="D2695" s="11">
        <v>41974</v>
      </c>
      <c r="E2695" t="s">
        <v>2184</v>
      </c>
      <c r="F2695">
        <v>4</v>
      </c>
      <c r="G2695" t="s">
        <v>53</v>
      </c>
      <c r="H2695" t="s">
        <v>45</v>
      </c>
      <c r="I2695" t="s">
        <v>2193</v>
      </c>
      <c r="J2695" s="10">
        <v>1</v>
      </c>
      <c r="K2695" t="b">
        <v>1</v>
      </c>
    </row>
    <row r="2696" spans="1:11">
      <c r="A2696" s="12">
        <v>41977</v>
      </c>
      <c r="B2696">
        <v>2014</v>
      </c>
      <c r="C2696">
        <v>12</v>
      </c>
      <c r="D2696" s="11">
        <v>41974</v>
      </c>
      <c r="E2696" t="s">
        <v>2184</v>
      </c>
      <c r="F2696">
        <v>4</v>
      </c>
      <c r="G2696" t="s">
        <v>53</v>
      </c>
      <c r="H2696" t="s">
        <v>46</v>
      </c>
      <c r="I2696" t="s">
        <v>2194</v>
      </c>
      <c r="J2696" s="10">
        <v>1</v>
      </c>
      <c r="K2696" t="b">
        <v>1</v>
      </c>
    </row>
    <row r="2697" spans="1:11">
      <c r="A2697" s="12">
        <v>41977</v>
      </c>
      <c r="B2697">
        <v>2014</v>
      </c>
      <c r="C2697">
        <v>12</v>
      </c>
      <c r="D2697" s="11">
        <v>41974</v>
      </c>
      <c r="E2697" t="s">
        <v>2184</v>
      </c>
      <c r="F2697">
        <v>4</v>
      </c>
      <c r="G2697" t="s">
        <v>53</v>
      </c>
      <c r="H2697" t="s">
        <v>47</v>
      </c>
      <c r="I2697" t="s">
        <v>2195</v>
      </c>
      <c r="J2697" s="10">
        <v>0</v>
      </c>
      <c r="K2697" t="b">
        <v>1</v>
      </c>
    </row>
    <row r="2698" spans="1:11">
      <c r="A2698" s="12">
        <v>41978</v>
      </c>
      <c r="B2698">
        <v>2014</v>
      </c>
      <c r="C2698">
        <v>12</v>
      </c>
      <c r="D2698" s="11">
        <v>41974</v>
      </c>
      <c r="E2698" t="s">
        <v>2184</v>
      </c>
      <c r="F2698">
        <v>5</v>
      </c>
      <c r="G2698" t="s">
        <v>55</v>
      </c>
      <c r="H2698" t="s">
        <v>40</v>
      </c>
      <c r="I2698" t="s">
        <v>2188</v>
      </c>
      <c r="J2698" s="10">
        <v>2.02</v>
      </c>
      <c r="K2698" t="b">
        <v>1</v>
      </c>
    </row>
    <row r="2699" spans="1:11">
      <c r="A2699" s="12">
        <v>41978</v>
      </c>
      <c r="B2699">
        <v>2014</v>
      </c>
      <c r="C2699">
        <v>12</v>
      </c>
      <c r="D2699" s="11">
        <v>41974</v>
      </c>
      <c r="E2699" t="s">
        <v>2184</v>
      </c>
      <c r="F2699">
        <v>5</v>
      </c>
      <c r="G2699" t="s">
        <v>55</v>
      </c>
      <c r="H2699" t="s">
        <v>41</v>
      </c>
      <c r="I2699" t="s">
        <v>2189</v>
      </c>
      <c r="J2699" s="10">
        <v>5.68</v>
      </c>
      <c r="K2699" t="b">
        <v>1</v>
      </c>
    </row>
    <row r="2700" spans="1:11">
      <c r="A2700" s="12">
        <v>41978</v>
      </c>
      <c r="B2700">
        <v>2014</v>
      </c>
      <c r="C2700">
        <v>12</v>
      </c>
      <c r="D2700" s="11">
        <v>41974</v>
      </c>
      <c r="E2700" t="s">
        <v>2184</v>
      </c>
      <c r="F2700">
        <v>5</v>
      </c>
      <c r="G2700" t="s">
        <v>55</v>
      </c>
      <c r="H2700" t="s">
        <v>42</v>
      </c>
      <c r="I2700" t="s">
        <v>2190</v>
      </c>
      <c r="J2700" s="10">
        <v>1</v>
      </c>
      <c r="K2700" t="b">
        <v>1</v>
      </c>
    </row>
    <row r="2701" spans="1:11">
      <c r="A2701" s="12">
        <v>41978</v>
      </c>
      <c r="B2701">
        <v>2014</v>
      </c>
      <c r="C2701">
        <v>12</v>
      </c>
      <c r="D2701" s="11">
        <v>41974</v>
      </c>
      <c r="E2701" t="s">
        <v>2184</v>
      </c>
      <c r="F2701">
        <v>5</v>
      </c>
      <c r="G2701" t="s">
        <v>55</v>
      </c>
      <c r="H2701" t="s">
        <v>43</v>
      </c>
      <c r="I2701" t="s">
        <v>2191</v>
      </c>
      <c r="J2701" s="10">
        <v>28.1</v>
      </c>
      <c r="K2701" t="b">
        <v>1</v>
      </c>
    </row>
    <row r="2702" spans="1:11">
      <c r="A2702" s="12">
        <v>41978</v>
      </c>
      <c r="B2702">
        <v>2014</v>
      </c>
      <c r="C2702">
        <v>12</v>
      </c>
      <c r="D2702" s="11">
        <v>41974</v>
      </c>
      <c r="E2702" t="s">
        <v>2184</v>
      </c>
      <c r="F2702">
        <v>5</v>
      </c>
      <c r="G2702" t="s">
        <v>55</v>
      </c>
      <c r="H2702" t="s">
        <v>44</v>
      </c>
      <c r="I2702" t="s">
        <v>2192</v>
      </c>
      <c r="J2702" s="10">
        <v>15</v>
      </c>
      <c r="K2702" t="b">
        <v>1</v>
      </c>
    </row>
    <row r="2703" spans="1:11">
      <c r="A2703" s="12">
        <v>41978</v>
      </c>
      <c r="B2703">
        <v>2014</v>
      </c>
      <c r="C2703">
        <v>12</v>
      </c>
      <c r="D2703" s="11">
        <v>41974</v>
      </c>
      <c r="E2703" t="s">
        <v>2184</v>
      </c>
      <c r="F2703">
        <v>5</v>
      </c>
      <c r="G2703" t="s">
        <v>55</v>
      </c>
      <c r="H2703" t="s">
        <v>45</v>
      </c>
      <c r="I2703" t="s">
        <v>2193</v>
      </c>
      <c r="J2703" s="10">
        <v>1</v>
      </c>
      <c r="K2703" t="b">
        <v>1</v>
      </c>
    </row>
    <row r="2704" spans="1:11">
      <c r="A2704" s="12">
        <v>41978</v>
      </c>
      <c r="B2704">
        <v>2014</v>
      </c>
      <c r="C2704">
        <v>12</v>
      </c>
      <c r="D2704" s="11">
        <v>41974</v>
      </c>
      <c r="E2704" t="s">
        <v>2184</v>
      </c>
      <c r="F2704">
        <v>5</v>
      </c>
      <c r="G2704" t="s">
        <v>55</v>
      </c>
      <c r="H2704" t="s">
        <v>46</v>
      </c>
      <c r="I2704" t="s">
        <v>2194</v>
      </c>
      <c r="J2704" s="10">
        <v>1</v>
      </c>
      <c r="K2704" t="b">
        <v>1</v>
      </c>
    </row>
    <row r="2705" spans="1:11">
      <c r="A2705" s="12">
        <v>41978</v>
      </c>
      <c r="B2705">
        <v>2014</v>
      </c>
      <c r="C2705">
        <v>12</v>
      </c>
      <c r="D2705" s="11">
        <v>41974</v>
      </c>
      <c r="E2705" t="s">
        <v>2184</v>
      </c>
      <c r="F2705">
        <v>5</v>
      </c>
      <c r="G2705" t="s">
        <v>55</v>
      </c>
      <c r="H2705" t="s">
        <v>47</v>
      </c>
      <c r="I2705" t="s">
        <v>2195</v>
      </c>
      <c r="J2705" s="10">
        <v>2.2</v>
      </c>
      <c r="K2705" t="b">
        <v>1</v>
      </c>
    </row>
    <row r="2706" spans="1:11">
      <c r="A2706" s="12">
        <v>41979</v>
      </c>
      <c r="B2706">
        <v>2014</v>
      </c>
      <c r="C2706">
        <v>12</v>
      </c>
      <c r="D2706" s="11">
        <v>41974</v>
      </c>
      <c r="E2706" t="s">
        <v>2184</v>
      </c>
      <c r="F2706">
        <v>6</v>
      </c>
      <c r="G2706" t="s">
        <v>57</v>
      </c>
      <c r="H2706" t="s">
        <v>40</v>
      </c>
      <c r="I2706" t="s">
        <v>2188</v>
      </c>
      <c r="J2706" s="10">
        <v>3.34</v>
      </c>
      <c r="K2706" t="b">
        <v>1</v>
      </c>
    </row>
    <row r="2707" spans="1:11">
      <c r="A2707" s="12">
        <v>41979</v>
      </c>
      <c r="B2707">
        <v>2014</v>
      </c>
      <c r="C2707">
        <v>12</v>
      </c>
      <c r="D2707" s="11">
        <v>41974</v>
      </c>
      <c r="E2707" t="s">
        <v>2184</v>
      </c>
      <c r="F2707">
        <v>6</v>
      </c>
      <c r="G2707" t="s">
        <v>57</v>
      </c>
      <c r="H2707" t="s">
        <v>41</v>
      </c>
      <c r="I2707" t="s">
        <v>2189</v>
      </c>
      <c r="J2707" s="10">
        <v>3.68</v>
      </c>
      <c r="K2707" t="b">
        <v>1</v>
      </c>
    </row>
    <row r="2708" spans="1:11">
      <c r="A2708" s="12">
        <v>41979</v>
      </c>
      <c r="B2708">
        <v>2014</v>
      </c>
      <c r="C2708">
        <v>12</v>
      </c>
      <c r="D2708" s="11">
        <v>41974</v>
      </c>
      <c r="E2708" t="s">
        <v>2184</v>
      </c>
      <c r="F2708">
        <v>6</v>
      </c>
      <c r="G2708" t="s">
        <v>57</v>
      </c>
      <c r="H2708" t="s">
        <v>42</v>
      </c>
      <c r="I2708" t="s">
        <v>2190</v>
      </c>
      <c r="J2708" s="10">
        <v>1</v>
      </c>
      <c r="K2708" t="b">
        <v>1</v>
      </c>
    </row>
    <row r="2709" spans="1:11">
      <c r="A2709" s="12">
        <v>41979</v>
      </c>
      <c r="B2709">
        <v>2014</v>
      </c>
      <c r="C2709">
        <v>12</v>
      </c>
      <c r="D2709" s="11">
        <v>41974</v>
      </c>
      <c r="E2709" t="s">
        <v>2184</v>
      </c>
      <c r="F2709">
        <v>6</v>
      </c>
      <c r="G2709" t="s">
        <v>57</v>
      </c>
      <c r="H2709" t="s">
        <v>43</v>
      </c>
      <c r="I2709" t="s">
        <v>2191</v>
      </c>
      <c r="J2709" s="10">
        <v>12.4</v>
      </c>
      <c r="K2709" t="b">
        <v>1</v>
      </c>
    </row>
    <row r="2710" spans="1:11">
      <c r="A2710" s="12">
        <v>41979</v>
      </c>
      <c r="B2710">
        <v>2014</v>
      </c>
      <c r="C2710">
        <v>12</v>
      </c>
      <c r="D2710" s="11">
        <v>41974</v>
      </c>
      <c r="E2710" t="s">
        <v>2184</v>
      </c>
      <c r="F2710">
        <v>6</v>
      </c>
      <c r="G2710" t="s">
        <v>57</v>
      </c>
      <c r="H2710" t="s">
        <v>44</v>
      </c>
      <c r="I2710" t="s">
        <v>2192</v>
      </c>
      <c r="J2710" s="10">
        <v>9</v>
      </c>
      <c r="K2710" t="b">
        <v>1</v>
      </c>
    </row>
    <row r="2711" spans="1:11">
      <c r="A2711" s="12">
        <v>41979</v>
      </c>
      <c r="B2711">
        <v>2014</v>
      </c>
      <c r="C2711">
        <v>12</v>
      </c>
      <c r="D2711" s="11">
        <v>41974</v>
      </c>
      <c r="E2711" t="s">
        <v>2184</v>
      </c>
      <c r="F2711">
        <v>6</v>
      </c>
      <c r="G2711" t="s">
        <v>57</v>
      </c>
      <c r="H2711" t="s">
        <v>45</v>
      </c>
      <c r="I2711" t="s">
        <v>2193</v>
      </c>
      <c r="J2711" s="10">
        <v>0</v>
      </c>
      <c r="K2711" t="b">
        <v>1</v>
      </c>
    </row>
    <row r="2712" spans="1:11">
      <c r="A2712" s="12">
        <v>41979</v>
      </c>
      <c r="B2712">
        <v>2014</v>
      </c>
      <c r="C2712">
        <v>12</v>
      </c>
      <c r="D2712" s="11">
        <v>41974</v>
      </c>
      <c r="E2712" t="s">
        <v>2184</v>
      </c>
      <c r="F2712">
        <v>6</v>
      </c>
      <c r="G2712" t="s">
        <v>57</v>
      </c>
      <c r="H2712" t="s">
        <v>46</v>
      </c>
      <c r="I2712" t="s">
        <v>2194</v>
      </c>
      <c r="J2712" s="10">
        <v>7</v>
      </c>
      <c r="K2712" t="b">
        <v>1</v>
      </c>
    </row>
    <row r="2713" spans="1:11">
      <c r="A2713" s="12">
        <v>41979</v>
      </c>
      <c r="B2713">
        <v>2014</v>
      </c>
      <c r="C2713">
        <v>12</v>
      </c>
      <c r="D2713" s="11">
        <v>41974</v>
      </c>
      <c r="E2713" t="s">
        <v>2184</v>
      </c>
      <c r="F2713">
        <v>6</v>
      </c>
      <c r="G2713" t="s">
        <v>57</v>
      </c>
      <c r="H2713" t="s">
        <v>47</v>
      </c>
      <c r="I2713" t="s">
        <v>2195</v>
      </c>
      <c r="J2713" s="10">
        <v>1</v>
      </c>
      <c r="K2713" t="b">
        <v>1</v>
      </c>
    </row>
    <row r="2714" spans="1:11">
      <c r="A2714" s="12">
        <v>41980</v>
      </c>
      <c r="B2714">
        <v>2014</v>
      </c>
      <c r="C2714">
        <v>12</v>
      </c>
      <c r="D2714" s="11">
        <v>41974</v>
      </c>
      <c r="E2714" t="s">
        <v>2184</v>
      </c>
      <c r="F2714">
        <v>7</v>
      </c>
      <c r="G2714" t="s">
        <v>59</v>
      </c>
      <c r="H2714" t="s">
        <v>40</v>
      </c>
      <c r="I2714" t="s">
        <v>2188</v>
      </c>
      <c r="J2714" s="10">
        <v>5</v>
      </c>
      <c r="K2714" t="b">
        <v>1</v>
      </c>
    </row>
    <row r="2715" spans="1:11">
      <c r="A2715" s="12">
        <v>41980</v>
      </c>
      <c r="B2715">
        <v>2014</v>
      </c>
      <c r="C2715">
        <v>12</v>
      </c>
      <c r="D2715" s="11">
        <v>41974</v>
      </c>
      <c r="E2715" t="s">
        <v>2184</v>
      </c>
      <c r="F2715">
        <v>7</v>
      </c>
      <c r="G2715" t="s">
        <v>59</v>
      </c>
      <c r="H2715" t="s">
        <v>41</v>
      </c>
      <c r="I2715" t="s">
        <v>2189</v>
      </c>
      <c r="J2715" s="10">
        <v>4.911</v>
      </c>
      <c r="K2715" t="b">
        <v>1</v>
      </c>
    </row>
    <row r="2716" spans="1:11">
      <c r="A2716" s="12">
        <v>41980</v>
      </c>
      <c r="B2716">
        <v>2014</v>
      </c>
      <c r="C2716">
        <v>12</v>
      </c>
      <c r="D2716" s="11">
        <v>41974</v>
      </c>
      <c r="E2716" t="s">
        <v>2184</v>
      </c>
      <c r="F2716">
        <v>7</v>
      </c>
      <c r="G2716" t="s">
        <v>59</v>
      </c>
      <c r="H2716" t="s">
        <v>42</v>
      </c>
      <c r="I2716" t="s">
        <v>2190</v>
      </c>
      <c r="J2716" s="10">
        <v>4</v>
      </c>
      <c r="K2716" t="b">
        <v>1</v>
      </c>
    </row>
    <row r="2717" spans="1:11">
      <c r="A2717" s="12">
        <v>41980</v>
      </c>
      <c r="B2717">
        <v>2014</v>
      </c>
      <c r="C2717">
        <v>12</v>
      </c>
      <c r="D2717" s="11">
        <v>41974</v>
      </c>
      <c r="E2717" t="s">
        <v>2184</v>
      </c>
      <c r="F2717">
        <v>7</v>
      </c>
      <c r="G2717" t="s">
        <v>59</v>
      </c>
      <c r="H2717" t="s">
        <v>43</v>
      </c>
      <c r="I2717" t="s">
        <v>2191</v>
      </c>
      <c r="J2717" s="10">
        <v>45.7</v>
      </c>
      <c r="K2717" t="b">
        <v>1</v>
      </c>
    </row>
    <row r="2718" spans="1:11">
      <c r="A2718" s="12">
        <v>41980</v>
      </c>
      <c r="B2718">
        <v>2014</v>
      </c>
      <c r="C2718">
        <v>12</v>
      </c>
      <c r="D2718" s="11">
        <v>41974</v>
      </c>
      <c r="E2718" t="s">
        <v>2184</v>
      </c>
      <c r="F2718">
        <v>7</v>
      </c>
      <c r="G2718" t="s">
        <v>59</v>
      </c>
      <c r="H2718" t="s">
        <v>44</v>
      </c>
      <c r="I2718" t="s">
        <v>2192</v>
      </c>
      <c r="J2718" s="10">
        <v>6</v>
      </c>
      <c r="K2718" t="b">
        <v>1</v>
      </c>
    </row>
    <row r="2719" spans="1:11">
      <c r="A2719" s="12">
        <v>41980</v>
      </c>
      <c r="B2719">
        <v>2014</v>
      </c>
      <c r="C2719">
        <v>12</v>
      </c>
      <c r="D2719" s="11">
        <v>41974</v>
      </c>
      <c r="E2719" t="s">
        <v>2184</v>
      </c>
      <c r="F2719">
        <v>7</v>
      </c>
      <c r="G2719" t="s">
        <v>59</v>
      </c>
      <c r="H2719" t="s">
        <v>45</v>
      </c>
      <c r="I2719" t="s">
        <v>2193</v>
      </c>
      <c r="J2719" s="10">
        <v>0</v>
      </c>
      <c r="K2719" t="b">
        <v>1</v>
      </c>
    </row>
    <row r="2720" spans="1:11">
      <c r="A2720" s="12">
        <v>41980</v>
      </c>
      <c r="B2720">
        <v>2014</v>
      </c>
      <c r="C2720">
        <v>12</v>
      </c>
      <c r="D2720" s="11">
        <v>41974</v>
      </c>
      <c r="E2720" t="s">
        <v>2184</v>
      </c>
      <c r="F2720">
        <v>7</v>
      </c>
      <c r="G2720" t="s">
        <v>59</v>
      </c>
      <c r="H2720" t="s">
        <v>46</v>
      </c>
      <c r="I2720" t="s">
        <v>2194</v>
      </c>
      <c r="J2720" s="10">
        <v>12</v>
      </c>
      <c r="K2720" t="b">
        <v>1</v>
      </c>
    </row>
    <row r="2721" spans="1:11">
      <c r="A2721" s="12">
        <v>41980</v>
      </c>
      <c r="B2721">
        <v>2014</v>
      </c>
      <c r="C2721">
        <v>12</v>
      </c>
      <c r="D2721" s="11">
        <v>41974</v>
      </c>
      <c r="E2721" t="s">
        <v>2184</v>
      </c>
      <c r="F2721">
        <v>7</v>
      </c>
      <c r="G2721" t="s">
        <v>59</v>
      </c>
      <c r="H2721" t="s">
        <v>47</v>
      </c>
      <c r="I2721" t="s">
        <v>2195</v>
      </c>
      <c r="J2721" s="10">
        <v>0</v>
      </c>
      <c r="K2721" t="b">
        <v>1</v>
      </c>
    </row>
    <row r="2722" spans="1:11">
      <c r="A2722" s="12">
        <v>41981</v>
      </c>
      <c r="B2722">
        <v>2014</v>
      </c>
      <c r="C2722">
        <v>12</v>
      </c>
      <c r="D2722" s="11">
        <v>41974</v>
      </c>
      <c r="E2722" t="s">
        <v>2184</v>
      </c>
      <c r="F2722">
        <v>1</v>
      </c>
      <c r="G2722" t="s">
        <v>61</v>
      </c>
      <c r="H2722" t="s">
        <v>40</v>
      </c>
      <c r="I2722" t="s">
        <v>2188</v>
      </c>
      <c r="J2722" s="10">
        <v>1</v>
      </c>
      <c r="K2722" t="b">
        <v>1</v>
      </c>
    </row>
    <row r="2723" spans="1:11">
      <c r="A2723" s="12">
        <v>41981</v>
      </c>
      <c r="B2723">
        <v>2014</v>
      </c>
      <c r="C2723">
        <v>12</v>
      </c>
      <c r="D2723" s="11">
        <v>41974</v>
      </c>
      <c r="E2723" t="s">
        <v>2184</v>
      </c>
      <c r="F2723">
        <v>1</v>
      </c>
      <c r="G2723" t="s">
        <v>61</v>
      </c>
      <c r="H2723" t="s">
        <v>41</v>
      </c>
      <c r="I2723" t="s">
        <v>2189</v>
      </c>
      <c r="J2723" s="10">
        <v>3.33</v>
      </c>
      <c r="K2723" t="b">
        <v>1</v>
      </c>
    </row>
    <row r="2724" spans="1:11">
      <c r="A2724" s="12">
        <v>41981</v>
      </c>
      <c r="B2724">
        <v>2014</v>
      </c>
      <c r="C2724">
        <v>12</v>
      </c>
      <c r="D2724" s="11">
        <v>41974</v>
      </c>
      <c r="E2724" t="s">
        <v>2184</v>
      </c>
      <c r="F2724">
        <v>1</v>
      </c>
      <c r="G2724" t="s">
        <v>61</v>
      </c>
      <c r="H2724" t="s">
        <v>42</v>
      </c>
      <c r="I2724" t="s">
        <v>2190</v>
      </c>
      <c r="J2724" s="10">
        <v>2</v>
      </c>
      <c r="K2724" t="b">
        <v>1</v>
      </c>
    </row>
    <row r="2725" spans="1:11">
      <c r="A2725" s="12">
        <v>41981</v>
      </c>
      <c r="B2725">
        <v>2014</v>
      </c>
      <c r="C2725">
        <v>12</v>
      </c>
      <c r="D2725" s="11">
        <v>41974</v>
      </c>
      <c r="E2725" t="s">
        <v>2184</v>
      </c>
      <c r="F2725">
        <v>1</v>
      </c>
      <c r="G2725" t="s">
        <v>61</v>
      </c>
      <c r="H2725" t="s">
        <v>43</v>
      </c>
      <c r="I2725" t="s">
        <v>2191</v>
      </c>
      <c r="J2725" s="10">
        <v>20.3</v>
      </c>
      <c r="K2725" t="b">
        <v>1</v>
      </c>
    </row>
    <row r="2726" spans="1:11">
      <c r="A2726" s="12">
        <v>41981</v>
      </c>
      <c r="B2726">
        <v>2014</v>
      </c>
      <c r="C2726">
        <v>12</v>
      </c>
      <c r="D2726" s="11">
        <v>41974</v>
      </c>
      <c r="E2726" t="s">
        <v>2184</v>
      </c>
      <c r="F2726">
        <v>1</v>
      </c>
      <c r="G2726" t="s">
        <v>61</v>
      </c>
      <c r="H2726" t="s">
        <v>44</v>
      </c>
      <c r="I2726" t="s">
        <v>2192</v>
      </c>
      <c r="J2726" s="10">
        <v>9</v>
      </c>
      <c r="K2726" t="b">
        <v>1</v>
      </c>
    </row>
    <row r="2727" spans="1:11">
      <c r="A2727" s="12">
        <v>41981</v>
      </c>
      <c r="B2727">
        <v>2014</v>
      </c>
      <c r="C2727">
        <v>12</v>
      </c>
      <c r="D2727" s="11">
        <v>41974</v>
      </c>
      <c r="E2727" t="s">
        <v>2184</v>
      </c>
      <c r="F2727">
        <v>1</v>
      </c>
      <c r="G2727" t="s">
        <v>61</v>
      </c>
      <c r="H2727" t="s">
        <v>45</v>
      </c>
      <c r="I2727" t="s">
        <v>2193</v>
      </c>
      <c r="J2727" s="10">
        <v>0</v>
      </c>
      <c r="K2727" t="b">
        <v>1</v>
      </c>
    </row>
    <row r="2728" spans="1:11">
      <c r="A2728" s="12">
        <v>41981</v>
      </c>
      <c r="B2728">
        <v>2014</v>
      </c>
      <c r="C2728">
        <v>12</v>
      </c>
      <c r="D2728" s="11">
        <v>41974</v>
      </c>
      <c r="E2728" t="s">
        <v>2184</v>
      </c>
      <c r="F2728">
        <v>1</v>
      </c>
      <c r="G2728" t="s">
        <v>61</v>
      </c>
      <c r="H2728" t="s">
        <v>46</v>
      </c>
      <c r="I2728" t="s">
        <v>2194</v>
      </c>
      <c r="J2728" s="10">
        <v>0</v>
      </c>
      <c r="K2728" t="b">
        <v>1</v>
      </c>
    </row>
    <row r="2729" spans="1:11">
      <c r="A2729" s="12">
        <v>41981</v>
      </c>
      <c r="B2729">
        <v>2014</v>
      </c>
      <c r="C2729">
        <v>12</v>
      </c>
      <c r="D2729" s="11">
        <v>41974</v>
      </c>
      <c r="E2729" t="s">
        <v>2184</v>
      </c>
      <c r="F2729">
        <v>1</v>
      </c>
      <c r="G2729" t="s">
        <v>61</v>
      </c>
      <c r="H2729" t="s">
        <v>47</v>
      </c>
      <c r="I2729" t="s">
        <v>2195</v>
      </c>
      <c r="J2729" s="10">
        <v>0</v>
      </c>
      <c r="K2729" t="b">
        <v>1</v>
      </c>
    </row>
    <row r="2730" spans="1:11">
      <c r="A2730" s="12">
        <v>41982</v>
      </c>
      <c r="B2730">
        <v>2014</v>
      </c>
      <c r="C2730">
        <v>12</v>
      </c>
      <c r="D2730" s="11">
        <v>41974</v>
      </c>
      <c r="E2730" t="s">
        <v>2184</v>
      </c>
      <c r="F2730">
        <v>2</v>
      </c>
      <c r="G2730" t="s">
        <v>63</v>
      </c>
      <c r="H2730" t="s">
        <v>40</v>
      </c>
      <c r="I2730" t="s">
        <v>2188</v>
      </c>
      <c r="J2730" s="10">
        <v>1</v>
      </c>
      <c r="K2730" t="b">
        <v>1</v>
      </c>
    </row>
    <row r="2731" spans="1:11">
      <c r="A2731" s="12">
        <v>41982</v>
      </c>
      <c r="B2731">
        <v>2014</v>
      </c>
      <c r="C2731">
        <v>12</v>
      </c>
      <c r="D2731" s="11">
        <v>41974</v>
      </c>
      <c r="E2731" t="s">
        <v>2184</v>
      </c>
      <c r="F2731">
        <v>2</v>
      </c>
      <c r="G2731" t="s">
        <v>63</v>
      </c>
      <c r="H2731" t="s">
        <v>41</v>
      </c>
      <c r="I2731" t="s">
        <v>2189</v>
      </c>
      <c r="J2731" s="10">
        <v>2.34</v>
      </c>
      <c r="K2731" t="b">
        <v>1</v>
      </c>
    </row>
    <row r="2732" spans="1:11">
      <c r="A2732" s="12">
        <v>41982</v>
      </c>
      <c r="B2732">
        <v>2014</v>
      </c>
      <c r="C2732">
        <v>12</v>
      </c>
      <c r="D2732" s="11">
        <v>41974</v>
      </c>
      <c r="E2732" t="s">
        <v>2184</v>
      </c>
      <c r="F2732">
        <v>2</v>
      </c>
      <c r="G2732" t="s">
        <v>63</v>
      </c>
      <c r="H2732" t="s">
        <v>42</v>
      </c>
      <c r="I2732" t="s">
        <v>2190</v>
      </c>
      <c r="J2732" s="10">
        <v>7</v>
      </c>
      <c r="K2732" t="b">
        <v>1</v>
      </c>
    </row>
    <row r="2733" spans="1:11">
      <c r="A2733" s="12">
        <v>41982</v>
      </c>
      <c r="B2733">
        <v>2014</v>
      </c>
      <c r="C2733">
        <v>12</v>
      </c>
      <c r="D2733" s="11">
        <v>41974</v>
      </c>
      <c r="E2733" t="s">
        <v>2184</v>
      </c>
      <c r="F2733">
        <v>2</v>
      </c>
      <c r="G2733" t="s">
        <v>63</v>
      </c>
      <c r="H2733" t="s">
        <v>43</v>
      </c>
      <c r="I2733" t="s">
        <v>2191</v>
      </c>
      <c r="J2733" s="10">
        <v>27.28</v>
      </c>
      <c r="K2733" t="b">
        <v>1</v>
      </c>
    </row>
    <row r="2734" spans="1:11">
      <c r="A2734" s="12">
        <v>41982</v>
      </c>
      <c r="B2734">
        <v>2014</v>
      </c>
      <c r="C2734">
        <v>12</v>
      </c>
      <c r="D2734" s="11">
        <v>41974</v>
      </c>
      <c r="E2734" t="s">
        <v>2184</v>
      </c>
      <c r="F2734">
        <v>2</v>
      </c>
      <c r="G2734" t="s">
        <v>63</v>
      </c>
      <c r="H2734" t="s">
        <v>44</v>
      </c>
      <c r="I2734" t="s">
        <v>2192</v>
      </c>
      <c r="J2734" s="10">
        <v>12</v>
      </c>
      <c r="K2734" t="b">
        <v>1</v>
      </c>
    </row>
    <row r="2735" spans="1:11">
      <c r="A2735" s="12">
        <v>41982</v>
      </c>
      <c r="B2735">
        <v>2014</v>
      </c>
      <c r="C2735">
        <v>12</v>
      </c>
      <c r="D2735" s="11">
        <v>41974</v>
      </c>
      <c r="E2735" t="s">
        <v>2184</v>
      </c>
      <c r="F2735">
        <v>2</v>
      </c>
      <c r="G2735" t="s">
        <v>63</v>
      </c>
      <c r="H2735" t="s">
        <v>45</v>
      </c>
      <c r="I2735" t="s">
        <v>2193</v>
      </c>
      <c r="J2735" s="10">
        <v>1</v>
      </c>
      <c r="K2735" t="b">
        <v>1</v>
      </c>
    </row>
    <row r="2736" spans="1:11">
      <c r="A2736" s="12">
        <v>41982</v>
      </c>
      <c r="B2736">
        <v>2014</v>
      </c>
      <c r="C2736">
        <v>12</v>
      </c>
      <c r="D2736" s="11">
        <v>41974</v>
      </c>
      <c r="E2736" t="s">
        <v>2184</v>
      </c>
      <c r="F2736">
        <v>2</v>
      </c>
      <c r="G2736" t="s">
        <v>63</v>
      </c>
      <c r="H2736" t="s">
        <v>46</v>
      </c>
      <c r="I2736" t="s">
        <v>2194</v>
      </c>
      <c r="J2736" s="10">
        <v>0</v>
      </c>
      <c r="K2736" t="b">
        <v>1</v>
      </c>
    </row>
    <row r="2737" spans="1:11">
      <c r="A2737" s="12">
        <v>41982</v>
      </c>
      <c r="B2737">
        <v>2014</v>
      </c>
      <c r="C2737">
        <v>12</v>
      </c>
      <c r="D2737" s="11">
        <v>41974</v>
      </c>
      <c r="E2737" t="s">
        <v>2184</v>
      </c>
      <c r="F2737">
        <v>2</v>
      </c>
      <c r="G2737" t="s">
        <v>63</v>
      </c>
      <c r="H2737" t="s">
        <v>47</v>
      </c>
      <c r="I2737" t="s">
        <v>2195</v>
      </c>
      <c r="J2737" s="10">
        <v>2</v>
      </c>
      <c r="K2737" t="b">
        <v>1</v>
      </c>
    </row>
    <row r="2738" spans="1:11">
      <c r="A2738" s="12">
        <v>41983</v>
      </c>
      <c r="B2738">
        <v>2014</v>
      </c>
      <c r="C2738">
        <v>12</v>
      </c>
      <c r="D2738" s="11">
        <v>41974</v>
      </c>
      <c r="E2738" t="s">
        <v>2184</v>
      </c>
      <c r="F2738">
        <v>3</v>
      </c>
      <c r="G2738" t="s">
        <v>65</v>
      </c>
      <c r="H2738" t="s">
        <v>40</v>
      </c>
      <c r="I2738" t="s">
        <v>2188</v>
      </c>
      <c r="J2738" s="10">
        <v>3.34</v>
      </c>
      <c r="K2738" t="b">
        <v>1</v>
      </c>
    </row>
    <row r="2739" spans="1:11">
      <c r="A2739" s="12">
        <v>41983</v>
      </c>
      <c r="B2739">
        <v>2014</v>
      </c>
      <c r="C2739">
        <v>12</v>
      </c>
      <c r="D2739" s="11">
        <v>41974</v>
      </c>
      <c r="E2739" t="s">
        <v>2184</v>
      </c>
      <c r="F2739">
        <v>3</v>
      </c>
      <c r="G2739" t="s">
        <v>65</v>
      </c>
      <c r="H2739" t="s">
        <v>41</v>
      </c>
      <c r="I2739" t="s">
        <v>2189</v>
      </c>
      <c r="J2739" s="10">
        <v>3</v>
      </c>
      <c r="K2739" t="b">
        <v>1</v>
      </c>
    </row>
    <row r="2740" spans="1:11">
      <c r="A2740" s="12">
        <v>41983</v>
      </c>
      <c r="B2740">
        <v>2014</v>
      </c>
      <c r="C2740">
        <v>12</v>
      </c>
      <c r="D2740" s="11">
        <v>41974</v>
      </c>
      <c r="E2740" t="s">
        <v>2184</v>
      </c>
      <c r="F2740">
        <v>3</v>
      </c>
      <c r="G2740" t="s">
        <v>65</v>
      </c>
      <c r="H2740" t="s">
        <v>42</v>
      </c>
      <c r="I2740" t="s">
        <v>2190</v>
      </c>
      <c r="J2740" s="10">
        <v>2</v>
      </c>
      <c r="K2740" t="b">
        <v>1</v>
      </c>
    </row>
    <row r="2741" spans="1:11">
      <c r="A2741" s="12">
        <v>41983</v>
      </c>
      <c r="B2741">
        <v>2014</v>
      </c>
      <c r="C2741">
        <v>12</v>
      </c>
      <c r="D2741" s="11">
        <v>41974</v>
      </c>
      <c r="E2741" t="s">
        <v>2184</v>
      </c>
      <c r="F2741">
        <v>3</v>
      </c>
      <c r="G2741" t="s">
        <v>65</v>
      </c>
      <c r="H2741" t="s">
        <v>43</v>
      </c>
      <c r="I2741" t="s">
        <v>2191</v>
      </c>
      <c r="J2741" s="10">
        <v>51.2</v>
      </c>
      <c r="K2741" t="b">
        <v>1</v>
      </c>
    </row>
    <row r="2742" spans="1:11">
      <c r="A2742" s="12">
        <v>41983</v>
      </c>
      <c r="B2742">
        <v>2014</v>
      </c>
      <c r="C2742">
        <v>12</v>
      </c>
      <c r="D2742" s="11">
        <v>41974</v>
      </c>
      <c r="E2742" t="s">
        <v>2184</v>
      </c>
      <c r="F2742">
        <v>3</v>
      </c>
      <c r="G2742" t="s">
        <v>65</v>
      </c>
      <c r="H2742" t="s">
        <v>44</v>
      </c>
      <c r="I2742" t="s">
        <v>2192</v>
      </c>
      <c r="J2742" s="10">
        <v>28</v>
      </c>
      <c r="K2742" t="b">
        <v>1</v>
      </c>
    </row>
    <row r="2743" spans="1:11">
      <c r="A2743" s="12">
        <v>41983</v>
      </c>
      <c r="B2743">
        <v>2014</v>
      </c>
      <c r="C2743">
        <v>12</v>
      </c>
      <c r="D2743" s="11">
        <v>41974</v>
      </c>
      <c r="E2743" t="s">
        <v>2184</v>
      </c>
      <c r="F2743">
        <v>3</v>
      </c>
      <c r="G2743" t="s">
        <v>65</v>
      </c>
      <c r="H2743" t="s">
        <v>45</v>
      </c>
      <c r="I2743" t="s">
        <v>2193</v>
      </c>
      <c r="J2743" s="10">
        <v>3</v>
      </c>
      <c r="K2743" t="b">
        <v>1</v>
      </c>
    </row>
    <row r="2744" spans="1:11">
      <c r="A2744" s="12">
        <v>41983</v>
      </c>
      <c r="B2744">
        <v>2014</v>
      </c>
      <c r="C2744">
        <v>12</v>
      </c>
      <c r="D2744" s="11">
        <v>41974</v>
      </c>
      <c r="E2744" t="s">
        <v>2184</v>
      </c>
      <c r="F2744">
        <v>3</v>
      </c>
      <c r="G2744" t="s">
        <v>65</v>
      </c>
      <c r="H2744" t="s">
        <v>46</v>
      </c>
      <c r="I2744" t="s">
        <v>2194</v>
      </c>
      <c r="J2744" s="10">
        <v>6</v>
      </c>
      <c r="K2744" t="b">
        <v>1</v>
      </c>
    </row>
    <row r="2745" spans="1:11">
      <c r="A2745" s="12">
        <v>41983</v>
      </c>
      <c r="B2745">
        <v>2014</v>
      </c>
      <c r="C2745">
        <v>12</v>
      </c>
      <c r="D2745" s="11">
        <v>41974</v>
      </c>
      <c r="E2745" t="s">
        <v>2184</v>
      </c>
      <c r="F2745">
        <v>3</v>
      </c>
      <c r="G2745" t="s">
        <v>65</v>
      </c>
      <c r="H2745" t="s">
        <v>47</v>
      </c>
      <c r="I2745" t="s">
        <v>2195</v>
      </c>
      <c r="J2745" s="10">
        <v>0</v>
      </c>
      <c r="K2745" t="b">
        <v>1</v>
      </c>
    </row>
    <row r="2746" spans="1:11">
      <c r="A2746" s="12">
        <v>41984</v>
      </c>
      <c r="B2746">
        <v>2014</v>
      </c>
      <c r="C2746">
        <v>12</v>
      </c>
      <c r="D2746" s="11">
        <v>41974</v>
      </c>
      <c r="E2746" t="s">
        <v>2184</v>
      </c>
      <c r="F2746">
        <v>4</v>
      </c>
      <c r="G2746" t="s">
        <v>53</v>
      </c>
      <c r="H2746" t="s">
        <v>40</v>
      </c>
      <c r="I2746" t="s">
        <v>2188</v>
      </c>
      <c r="J2746" s="10">
        <v>2.34</v>
      </c>
      <c r="K2746" t="b">
        <v>1</v>
      </c>
    </row>
    <row r="2747" spans="1:11">
      <c r="A2747" s="12">
        <v>41984</v>
      </c>
      <c r="B2747">
        <v>2014</v>
      </c>
      <c r="C2747">
        <v>12</v>
      </c>
      <c r="D2747" s="11">
        <v>41974</v>
      </c>
      <c r="E2747" t="s">
        <v>2184</v>
      </c>
      <c r="F2747">
        <v>4</v>
      </c>
      <c r="G2747" t="s">
        <v>53</v>
      </c>
      <c r="H2747" t="s">
        <v>41</v>
      </c>
      <c r="I2747" t="s">
        <v>2189</v>
      </c>
      <c r="J2747" s="10">
        <v>5.33</v>
      </c>
      <c r="K2747" t="b">
        <v>1</v>
      </c>
    </row>
    <row r="2748" spans="1:11">
      <c r="A2748" s="12">
        <v>41984</v>
      </c>
      <c r="B2748">
        <v>2014</v>
      </c>
      <c r="C2748">
        <v>12</v>
      </c>
      <c r="D2748" s="11">
        <v>41974</v>
      </c>
      <c r="E2748" t="s">
        <v>2184</v>
      </c>
      <c r="F2748">
        <v>4</v>
      </c>
      <c r="G2748" t="s">
        <v>53</v>
      </c>
      <c r="H2748" t="s">
        <v>42</v>
      </c>
      <c r="I2748" t="s">
        <v>2190</v>
      </c>
      <c r="J2748" s="10">
        <v>7</v>
      </c>
      <c r="K2748" t="b">
        <v>1</v>
      </c>
    </row>
    <row r="2749" spans="1:11">
      <c r="A2749" s="12">
        <v>41984</v>
      </c>
      <c r="B2749">
        <v>2014</v>
      </c>
      <c r="C2749">
        <v>12</v>
      </c>
      <c r="D2749" s="11">
        <v>41974</v>
      </c>
      <c r="E2749" t="s">
        <v>2184</v>
      </c>
      <c r="F2749">
        <v>4</v>
      </c>
      <c r="G2749" t="s">
        <v>53</v>
      </c>
      <c r="H2749" t="s">
        <v>43</v>
      </c>
      <c r="I2749" t="s">
        <v>2191</v>
      </c>
      <c r="J2749" s="10">
        <v>16.3</v>
      </c>
      <c r="K2749" t="b">
        <v>1</v>
      </c>
    </row>
    <row r="2750" spans="1:11">
      <c r="A2750" s="12">
        <v>41984</v>
      </c>
      <c r="B2750">
        <v>2014</v>
      </c>
      <c r="C2750">
        <v>12</v>
      </c>
      <c r="D2750" s="11">
        <v>41974</v>
      </c>
      <c r="E2750" t="s">
        <v>2184</v>
      </c>
      <c r="F2750">
        <v>4</v>
      </c>
      <c r="G2750" t="s">
        <v>53</v>
      </c>
      <c r="H2750" t="s">
        <v>44</v>
      </c>
      <c r="I2750" t="s">
        <v>2192</v>
      </c>
      <c r="J2750" s="10">
        <v>21</v>
      </c>
      <c r="K2750" t="b">
        <v>1</v>
      </c>
    </row>
    <row r="2751" spans="1:11">
      <c r="A2751" s="12">
        <v>41984</v>
      </c>
      <c r="B2751">
        <v>2014</v>
      </c>
      <c r="C2751">
        <v>12</v>
      </c>
      <c r="D2751" s="11">
        <v>41974</v>
      </c>
      <c r="E2751" t="s">
        <v>2184</v>
      </c>
      <c r="F2751">
        <v>4</v>
      </c>
      <c r="G2751" t="s">
        <v>53</v>
      </c>
      <c r="H2751" t="s">
        <v>45</v>
      </c>
      <c r="I2751" t="s">
        <v>2193</v>
      </c>
      <c r="J2751" s="10">
        <v>2</v>
      </c>
      <c r="K2751" t="b">
        <v>1</v>
      </c>
    </row>
    <row r="2752" spans="1:11">
      <c r="A2752" s="12">
        <v>41984</v>
      </c>
      <c r="B2752">
        <v>2014</v>
      </c>
      <c r="C2752">
        <v>12</v>
      </c>
      <c r="D2752" s="11">
        <v>41974</v>
      </c>
      <c r="E2752" t="s">
        <v>2184</v>
      </c>
      <c r="F2752">
        <v>4</v>
      </c>
      <c r="G2752" t="s">
        <v>53</v>
      </c>
      <c r="H2752" t="s">
        <v>46</v>
      </c>
      <c r="I2752" t="s">
        <v>2194</v>
      </c>
      <c r="J2752" s="10">
        <v>0</v>
      </c>
      <c r="K2752" t="b">
        <v>1</v>
      </c>
    </row>
    <row r="2753" spans="1:11">
      <c r="A2753" s="12">
        <v>41984</v>
      </c>
      <c r="B2753">
        <v>2014</v>
      </c>
      <c r="C2753">
        <v>12</v>
      </c>
      <c r="D2753" s="11">
        <v>41974</v>
      </c>
      <c r="E2753" t="s">
        <v>2184</v>
      </c>
      <c r="F2753">
        <v>4</v>
      </c>
      <c r="G2753" t="s">
        <v>53</v>
      </c>
      <c r="H2753" t="s">
        <v>47</v>
      </c>
      <c r="I2753" t="s">
        <v>2195</v>
      </c>
      <c r="J2753" s="10">
        <v>0</v>
      </c>
      <c r="K2753" t="b">
        <v>1</v>
      </c>
    </row>
    <row r="2754" spans="1:11">
      <c r="A2754" s="12">
        <v>41985</v>
      </c>
      <c r="B2754">
        <v>2014</v>
      </c>
      <c r="C2754">
        <v>12</v>
      </c>
      <c r="D2754" s="11">
        <v>41974</v>
      </c>
      <c r="E2754" t="s">
        <v>2184</v>
      </c>
      <c r="F2754">
        <v>5</v>
      </c>
      <c r="G2754" t="s">
        <v>55</v>
      </c>
      <c r="H2754" t="s">
        <v>40</v>
      </c>
      <c r="I2754" t="s">
        <v>2188</v>
      </c>
      <c r="J2754" s="10">
        <v>6.34</v>
      </c>
      <c r="K2754" t="b">
        <v>1</v>
      </c>
    </row>
    <row r="2755" spans="1:11">
      <c r="A2755" s="12">
        <v>41985</v>
      </c>
      <c r="B2755">
        <v>2014</v>
      </c>
      <c r="C2755">
        <v>12</v>
      </c>
      <c r="D2755" s="11">
        <v>41974</v>
      </c>
      <c r="E2755" t="s">
        <v>2184</v>
      </c>
      <c r="F2755">
        <v>5</v>
      </c>
      <c r="G2755" t="s">
        <v>55</v>
      </c>
      <c r="H2755" t="s">
        <v>41</v>
      </c>
      <c r="I2755" t="s">
        <v>2189</v>
      </c>
      <c r="J2755" s="10">
        <v>2.34</v>
      </c>
      <c r="K2755" t="b">
        <v>1</v>
      </c>
    </row>
    <row r="2756" spans="1:11">
      <c r="A2756" s="12">
        <v>41985</v>
      </c>
      <c r="B2756">
        <v>2014</v>
      </c>
      <c r="C2756">
        <v>12</v>
      </c>
      <c r="D2756" s="11">
        <v>41974</v>
      </c>
      <c r="E2756" t="s">
        <v>2184</v>
      </c>
      <c r="F2756">
        <v>5</v>
      </c>
      <c r="G2756" t="s">
        <v>55</v>
      </c>
      <c r="H2756" t="s">
        <v>42</v>
      </c>
      <c r="I2756" t="s">
        <v>2190</v>
      </c>
      <c r="J2756" s="10">
        <v>5.6</v>
      </c>
      <c r="K2756" t="b">
        <v>1</v>
      </c>
    </row>
    <row r="2757" spans="1:11">
      <c r="A2757" s="12">
        <v>41985</v>
      </c>
      <c r="B2757">
        <v>2014</v>
      </c>
      <c r="C2757">
        <v>12</v>
      </c>
      <c r="D2757" s="11">
        <v>41974</v>
      </c>
      <c r="E2757" t="s">
        <v>2184</v>
      </c>
      <c r="F2757">
        <v>5</v>
      </c>
      <c r="G2757" t="s">
        <v>55</v>
      </c>
      <c r="H2757" t="s">
        <v>43</v>
      </c>
      <c r="I2757" t="s">
        <v>2191</v>
      </c>
      <c r="J2757" s="10">
        <v>41.4</v>
      </c>
      <c r="K2757" t="b">
        <v>1</v>
      </c>
    </row>
    <row r="2758" spans="1:11">
      <c r="A2758" s="12">
        <v>41985</v>
      </c>
      <c r="B2758">
        <v>2014</v>
      </c>
      <c r="C2758">
        <v>12</v>
      </c>
      <c r="D2758" s="11">
        <v>41974</v>
      </c>
      <c r="E2758" t="s">
        <v>2184</v>
      </c>
      <c r="F2758">
        <v>5</v>
      </c>
      <c r="G2758" t="s">
        <v>55</v>
      </c>
      <c r="H2758" t="s">
        <v>44</v>
      </c>
      <c r="I2758" t="s">
        <v>2192</v>
      </c>
      <c r="J2758" s="10">
        <v>18</v>
      </c>
      <c r="K2758" t="b">
        <v>1</v>
      </c>
    </row>
    <row r="2759" spans="1:11">
      <c r="A2759" s="12">
        <v>41985</v>
      </c>
      <c r="B2759">
        <v>2014</v>
      </c>
      <c r="C2759">
        <v>12</v>
      </c>
      <c r="D2759" s="11">
        <v>41974</v>
      </c>
      <c r="E2759" t="s">
        <v>2184</v>
      </c>
      <c r="F2759">
        <v>5</v>
      </c>
      <c r="G2759" t="s">
        <v>55</v>
      </c>
      <c r="H2759" t="s">
        <v>45</v>
      </c>
      <c r="I2759" t="s">
        <v>2193</v>
      </c>
      <c r="J2759" s="10">
        <v>0</v>
      </c>
      <c r="K2759" t="b">
        <v>1</v>
      </c>
    </row>
    <row r="2760" spans="1:11">
      <c r="A2760" s="12">
        <v>41985</v>
      </c>
      <c r="B2760">
        <v>2014</v>
      </c>
      <c r="C2760">
        <v>12</v>
      </c>
      <c r="D2760" s="11">
        <v>41974</v>
      </c>
      <c r="E2760" t="s">
        <v>2184</v>
      </c>
      <c r="F2760">
        <v>5</v>
      </c>
      <c r="G2760" t="s">
        <v>55</v>
      </c>
      <c r="H2760" t="s">
        <v>46</v>
      </c>
      <c r="I2760" t="s">
        <v>2194</v>
      </c>
      <c r="J2760" s="10">
        <v>2</v>
      </c>
      <c r="K2760" t="b">
        <v>1</v>
      </c>
    </row>
    <row r="2761" spans="1:11">
      <c r="A2761" s="12">
        <v>41985</v>
      </c>
      <c r="B2761">
        <v>2014</v>
      </c>
      <c r="C2761">
        <v>12</v>
      </c>
      <c r="D2761" s="11">
        <v>41974</v>
      </c>
      <c r="E2761" t="s">
        <v>2184</v>
      </c>
      <c r="F2761">
        <v>5</v>
      </c>
      <c r="G2761" t="s">
        <v>55</v>
      </c>
      <c r="H2761" t="s">
        <v>47</v>
      </c>
      <c r="I2761" t="s">
        <v>2195</v>
      </c>
      <c r="J2761" s="10">
        <v>0</v>
      </c>
      <c r="K2761" t="b">
        <v>1</v>
      </c>
    </row>
    <row r="2762" spans="1:11">
      <c r="A2762" s="12">
        <v>41986</v>
      </c>
      <c r="B2762">
        <v>2014</v>
      </c>
      <c r="C2762">
        <v>12</v>
      </c>
      <c r="D2762" s="11">
        <v>41974</v>
      </c>
      <c r="E2762" t="s">
        <v>2184</v>
      </c>
      <c r="F2762">
        <v>6</v>
      </c>
      <c r="G2762" t="s">
        <v>57</v>
      </c>
      <c r="H2762" t="s">
        <v>40</v>
      </c>
      <c r="I2762" t="s">
        <v>2188</v>
      </c>
      <c r="J2762" s="10">
        <v>1</v>
      </c>
      <c r="K2762" t="b">
        <v>1</v>
      </c>
    </row>
    <row r="2763" spans="1:11">
      <c r="A2763" s="12">
        <v>41986</v>
      </c>
      <c r="B2763">
        <v>2014</v>
      </c>
      <c r="C2763">
        <v>12</v>
      </c>
      <c r="D2763" s="11">
        <v>41974</v>
      </c>
      <c r="E2763" t="s">
        <v>2184</v>
      </c>
      <c r="F2763">
        <v>6</v>
      </c>
      <c r="G2763" t="s">
        <v>57</v>
      </c>
      <c r="H2763" t="s">
        <v>41</v>
      </c>
      <c r="I2763" t="s">
        <v>2189</v>
      </c>
      <c r="J2763" s="10">
        <v>3.34</v>
      </c>
      <c r="K2763" t="b">
        <v>1</v>
      </c>
    </row>
    <row r="2764" spans="1:11">
      <c r="A2764" s="12">
        <v>41986</v>
      </c>
      <c r="B2764">
        <v>2014</v>
      </c>
      <c r="C2764">
        <v>12</v>
      </c>
      <c r="D2764" s="11">
        <v>41974</v>
      </c>
      <c r="E2764" t="s">
        <v>2184</v>
      </c>
      <c r="F2764">
        <v>6</v>
      </c>
      <c r="G2764" t="s">
        <v>57</v>
      </c>
      <c r="H2764" t="s">
        <v>42</v>
      </c>
      <c r="I2764" t="s">
        <v>2190</v>
      </c>
      <c r="J2764" s="10">
        <v>2.4</v>
      </c>
      <c r="K2764" t="b">
        <v>1</v>
      </c>
    </row>
    <row r="2765" spans="1:11">
      <c r="A2765" s="12">
        <v>41986</v>
      </c>
      <c r="B2765">
        <v>2014</v>
      </c>
      <c r="C2765">
        <v>12</v>
      </c>
      <c r="D2765" s="11">
        <v>41974</v>
      </c>
      <c r="E2765" t="s">
        <v>2184</v>
      </c>
      <c r="F2765">
        <v>6</v>
      </c>
      <c r="G2765" t="s">
        <v>57</v>
      </c>
      <c r="H2765" t="s">
        <v>43</v>
      </c>
      <c r="I2765" t="s">
        <v>2191</v>
      </c>
      <c r="J2765" s="10">
        <v>25.1</v>
      </c>
      <c r="K2765" t="b">
        <v>1</v>
      </c>
    </row>
    <row r="2766" spans="1:11">
      <c r="A2766" s="12">
        <v>41986</v>
      </c>
      <c r="B2766">
        <v>2014</v>
      </c>
      <c r="C2766">
        <v>12</v>
      </c>
      <c r="D2766" s="11">
        <v>41974</v>
      </c>
      <c r="E2766" t="s">
        <v>2184</v>
      </c>
      <c r="F2766">
        <v>6</v>
      </c>
      <c r="G2766" t="s">
        <v>57</v>
      </c>
      <c r="H2766" t="s">
        <v>44</v>
      </c>
      <c r="I2766" t="s">
        <v>2192</v>
      </c>
      <c r="J2766" s="10">
        <v>11</v>
      </c>
      <c r="K2766" t="b">
        <v>1</v>
      </c>
    </row>
    <row r="2767" spans="1:11">
      <c r="A2767" s="12">
        <v>41986</v>
      </c>
      <c r="B2767">
        <v>2014</v>
      </c>
      <c r="C2767">
        <v>12</v>
      </c>
      <c r="D2767" s="11">
        <v>41974</v>
      </c>
      <c r="E2767" t="s">
        <v>2184</v>
      </c>
      <c r="F2767">
        <v>6</v>
      </c>
      <c r="G2767" t="s">
        <v>57</v>
      </c>
      <c r="H2767" t="s">
        <v>45</v>
      </c>
      <c r="I2767" t="s">
        <v>2193</v>
      </c>
      <c r="J2767" s="10">
        <v>1</v>
      </c>
      <c r="K2767" t="b">
        <v>1</v>
      </c>
    </row>
    <row r="2768" spans="1:11">
      <c r="A2768" s="12">
        <v>41986</v>
      </c>
      <c r="B2768">
        <v>2014</v>
      </c>
      <c r="C2768">
        <v>12</v>
      </c>
      <c r="D2768" s="11">
        <v>41974</v>
      </c>
      <c r="E2768" t="s">
        <v>2184</v>
      </c>
      <c r="F2768">
        <v>6</v>
      </c>
      <c r="G2768" t="s">
        <v>57</v>
      </c>
      <c r="H2768" t="s">
        <v>46</v>
      </c>
      <c r="I2768" t="s">
        <v>2194</v>
      </c>
      <c r="J2768" s="10">
        <v>7</v>
      </c>
      <c r="K2768" t="b">
        <v>1</v>
      </c>
    </row>
    <row r="2769" spans="1:11">
      <c r="A2769" s="12">
        <v>41986</v>
      </c>
      <c r="B2769">
        <v>2014</v>
      </c>
      <c r="C2769">
        <v>12</v>
      </c>
      <c r="D2769" s="11">
        <v>41974</v>
      </c>
      <c r="E2769" t="s">
        <v>2184</v>
      </c>
      <c r="F2769">
        <v>6</v>
      </c>
      <c r="G2769" t="s">
        <v>57</v>
      </c>
      <c r="H2769" t="s">
        <v>47</v>
      </c>
      <c r="I2769" t="s">
        <v>2195</v>
      </c>
      <c r="J2769" s="10">
        <v>0</v>
      </c>
      <c r="K2769" t="b">
        <v>1</v>
      </c>
    </row>
    <row r="2770" spans="1:11">
      <c r="A2770" s="12">
        <v>41987</v>
      </c>
      <c r="B2770">
        <v>2014</v>
      </c>
      <c r="C2770">
        <v>12</v>
      </c>
      <c r="D2770" s="11">
        <v>41974</v>
      </c>
      <c r="E2770" t="s">
        <v>2184</v>
      </c>
      <c r="F2770">
        <v>7</v>
      </c>
      <c r="G2770" t="s">
        <v>59</v>
      </c>
      <c r="H2770" t="s">
        <v>40</v>
      </c>
      <c r="I2770" t="s">
        <v>2188</v>
      </c>
      <c r="J2770" s="10">
        <v>10</v>
      </c>
      <c r="K2770" t="b">
        <v>1</v>
      </c>
    </row>
    <row r="2771" spans="1:11">
      <c r="A2771" s="12">
        <v>41987</v>
      </c>
      <c r="B2771">
        <v>2014</v>
      </c>
      <c r="C2771">
        <v>12</v>
      </c>
      <c r="D2771" s="11">
        <v>41974</v>
      </c>
      <c r="E2771" t="s">
        <v>2184</v>
      </c>
      <c r="F2771">
        <v>7</v>
      </c>
      <c r="G2771" t="s">
        <v>59</v>
      </c>
      <c r="H2771" t="s">
        <v>41</v>
      </c>
      <c r="I2771" t="s">
        <v>2189</v>
      </c>
      <c r="J2771" s="10">
        <v>2.34</v>
      </c>
      <c r="K2771" t="b">
        <v>1</v>
      </c>
    </row>
    <row r="2772" spans="1:11">
      <c r="A2772" s="12">
        <v>41987</v>
      </c>
      <c r="B2772">
        <v>2014</v>
      </c>
      <c r="C2772">
        <v>12</v>
      </c>
      <c r="D2772" s="11">
        <v>41974</v>
      </c>
      <c r="E2772" t="s">
        <v>2184</v>
      </c>
      <c r="F2772">
        <v>7</v>
      </c>
      <c r="G2772" t="s">
        <v>59</v>
      </c>
      <c r="H2772" t="s">
        <v>42</v>
      </c>
      <c r="I2772" t="s">
        <v>2190</v>
      </c>
      <c r="J2772" s="10">
        <v>4.4</v>
      </c>
      <c r="K2772" t="b">
        <v>1</v>
      </c>
    </row>
    <row r="2773" spans="1:11">
      <c r="A2773" s="12">
        <v>41987</v>
      </c>
      <c r="B2773">
        <v>2014</v>
      </c>
      <c r="C2773">
        <v>12</v>
      </c>
      <c r="D2773" s="11">
        <v>41974</v>
      </c>
      <c r="E2773" t="s">
        <v>2184</v>
      </c>
      <c r="F2773">
        <v>7</v>
      </c>
      <c r="G2773" t="s">
        <v>59</v>
      </c>
      <c r="H2773" t="s">
        <v>43</v>
      </c>
      <c r="I2773" t="s">
        <v>2191</v>
      </c>
      <c r="J2773" s="10">
        <v>40</v>
      </c>
      <c r="K2773" t="b">
        <v>1</v>
      </c>
    </row>
    <row r="2774" spans="1:11">
      <c r="A2774" s="12">
        <v>41987</v>
      </c>
      <c r="B2774">
        <v>2014</v>
      </c>
      <c r="C2774">
        <v>12</v>
      </c>
      <c r="D2774" s="11">
        <v>41974</v>
      </c>
      <c r="E2774" t="s">
        <v>2184</v>
      </c>
      <c r="F2774">
        <v>7</v>
      </c>
      <c r="G2774" t="s">
        <v>59</v>
      </c>
      <c r="H2774" t="s">
        <v>44</v>
      </c>
      <c r="I2774" t="s">
        <v>2192</v>
      </c>
      <c r="J2774" s="10">
        <v>10</v>
      </c>
      <c r="K2774" t="b">
        <v>1</v>
      </c>
    </row>
    <row r="2775" spans="1:11">
      <c r="A2775" s="12">
        <v>41987</v>
      </c>
      <c r="B2775">
        <v>2014</v>
      </c>
      <c r="C2775">
        <v>12</v>
      </c>
      <c r="D2775" s="11">
        <v>41974</v>
      </c>
      <c r="E2775" t="s">
        <v>2184</v>
      </c>
      <c r="F2775">
        <v>7</v>
      </c>
      <c r="G2775" t="s">
        <v>59</v>
      </c>
      <c r="H2775" t="s">
        <v>45</v>
      </c>
      <c r="I2775" t="s">
        <v>2193</v>
      </c>
      <c r="J2775" s="10">
        <v>0</v>
      </c>
      <c r="K2775" t="b">
        <v>1</v>
      </c>
    </row>
    <row r="2776" spans="1:11">
      <c r="A2776" s="12">
        <v>41987</v>
      </c>
      <c r="B2776">
        <v>2014</v>
      </c>
      <c r="C2776">
        <v>12</v>
      </c>
      <c r="D2776" s="11">
        <v>41974</v>
      </c>
      <c r="E2776" t="s">
        <v>2184</v>
      </c>
      <c r="F2776">
        <v>7</v>
      </c>
      <c r="G2776" t="s">
        <v>59</v>
      </c>
      <c r="H2776" t="s">
        <v>46</v>
      </c>
      <c r="I2776" t="s">
        <v>2194</v>
      </c>
      <c r="J2776" s="10">
        <v>6</v>
      </c>
      <c r="K2776" t="b">
        <v>1</v>
      </c>
    </row>
    <row r="2777" spans="1:11">
      <c r="A2777" s="12">
        <v>41987</v>
      </c>
      <c r="B2777">
        <v>2014</v>
      </c>
      <c r="C2777">
        <v>12</v>
      </c>
      <c r="D2777" s="11">
        <v>41974</v>
      </c>
      <c r="E2777" t="s">
        <v>2184</v>
      </c>
      <c r="F2777">
        <v>7</v>
      </c>
      <c r="G2777" t="s">
        <v>59</v>
      </c>
      <c r="H2777" t="s">
        <v>47</v>
      </c>
      <c r="I2777" t="s">
        <v>2195</v>
      </c>
      <c r="J2777" s="10">
        <v>1</v>
      </c>
      <c r="K2777" t="b">
        <v>1</v>
      </c>
    </row>
    <row r="2778" spans="1:11">
      <c r="A2778" s="12">
        <v>41988</v>
      </c>
      <c r="B2778">
        <v>2014</v>
      </c>
      <c r="C2778">
        <v>12</v>
      </c>
      <c r="D2778" s="11">
        <v>41974</v>
      </c>
      <c r="E2778" t="s">
        <v>2184</v>
      </c>
      <c r="F2778">
        <v>1</v>
      </c>
      <c r="G2778" t="s">
        <v>61</v>
      </c>
      <c r="H2778" t="s">
        <v>40</v>
      </c>
      <c r="I2778" t="s">
        <v>2188</v>
      </c>
      <c r="J2778" s="10">
        <v>5.34</v>
      </c>
      <c r="K2778" t="b">
        <v>1</v>
      </c>
    </row>
    <row r="2779" spans="1:11">
      <c r="A2779" s="12">
        <v>41988</v>
      </c>
      <c r="B2779">
        <v>2014</v>
      </c>
      <c r="C2779">
        <v>12</v>
      </c>
      <c r="D2779" s="11">
        <v>41974</v>
      </c>
      <c r="E2779" t="s">
        <v>2184</v>
      </c>
      <c r="F2779">
        <v>1</v>
      </c>
      <c r="G2779" t="s">
        <v>61</v>
      </c>
      <c r="H2779" t="s">
        <v>41</v>
      </c>
      <c r="I2779" t="s">
        <v>2189</v>
      </c>
      <c r="J2779" s="10">
        <v>4.02</v>
      </c>
      <c r="K2779" t="b">
        <v>1</v>
      </c>
    </row>
    <row r="2780" spans="1:11">
      <c r="A2780" s="12">
        <v>41988</v>
      </c>
      <c r="B2780">
        <v>2014</v>
      </c>
      <c r="C2780">
        <v>12</v>
      </c>
      <c r="D2780" s="11">
        <v>41974</v>
      </c>
      <c r="E2780" t="s">
        <v>2184</v>
      </c>
      <c r="F2780">
        <v>1</v>
      </c>
      <c r="G2780" t="s">
        <v>61</v>
      </c>
      <c r="H2780" t="s">
        <v>42</v>
      </c>
      <c r="I2780" t="s">
        <v>2190</v>
      </c>
      <c r="J2780" s="10">
        <v>7.64</v>
      </c>
      <c r="K2780" t="b">
        <v>1</v>
      </c>
    </row>
    <row r="2781" spans="1:11">
      <c r="A2781" s="12">
        <v>41988</v>
      </c>
      <c r="B2781">
        <v>2014</v>
      </c>
      <c r="C2781">
        <v>12</v>
      </c>
      <c r="D2781" s="11">
        <v>41974</v>
      </c>
      <c r="E2781" t="s">
        <v>2184</v>
      </c>
      <c r="F2781">
        <v>1</v>
      </c>
      <c r="G2781" t="s">
        <v>61</v>
      </c>
      <c r="H2781" t="s">
        <v>43</v>
      </c>
      <c r="I2781" t="s">
        <v>2191</v>
      </c>
      <c r="J2781" s="10">
        <v>42.2</v>
      </c>
      <c r="K2781" t="b">
        <v>1</v>
      </c>
    </row>
    <row r="2782" spans="1:11">
      <c r="A2782" s="12">
        <v>41988</v>
      </c>
      <c r="B2782">
        <v>2014</v>
      </c>
      <c r="C2782">
        <v>12</v>
      </c>
      <c r="D2782" s="11">
        <v>41974</v>
      </c>
      <c r="E2782" t="s">
        <v>2184</v>
      </c>
      <c r="F2782">
        <v>1</v>
      </c>
      <c r="G2782" t="s">
        <v>61</v>
      </c>
      <c r="H2782" t="s">
        <v>44</v>
      </c>
      <c r="I2782" t="s">
        <v>2192</v>
      </c>
      <c r="J2782" s="10">
        <v>14</v>
      </c>
      <c r="K2782" t="b">
        <v>1</v>
      </c>
    </row>
    <row r="2783" spans="1:11">
      <c r="A2783" s="12">
        <v>41988</v>
      </c>
      <c r="B2783">
        <v>2014</v>
      </c>
      <c r="C2783">
        <v>12</v>
      </c>
      <c r="D2783" s="11">
        <v>41974</v>
      </c>
      <c r="E2783" t="s">
        <v>2184</v>
      </c>
      <c r="F2783">
        <v>1</v>
      </c>
      <c r="G2783" t="s">
        <v>61</v>
      </c>
      <c r="H2783" t="s">
        <v>45</v>
      </c>
      <c r="I2783" t="s">
        <v>2193</v>
      </c>
      <c r="J2783" s="10">
        <v>1</v>
      </c>
      <c r="K2783" t="b">
        <v>1</v>
      </c>
    </row>
    <row r="2784" spans="1:11">
      <c r="A2784" s="12">
        <v>41988</v>
      </c>
      <c r="B2784">
        <v>2014</v>
      </c>
      <c r="C2784">
        <v>12</v>
      </c>
      <c r="D2784" s="11">
        <v>41974</v>
      </c>
      <c r="E2784" t="s">
        <v>2184</v>
      </c>
      <c r="F2784">
        <v>1</v>
      </c>
      <c r="G2784" t="s">
        <v>61</v>
      </c>
      <c r="H2784" t="s">
        <v>46</v>
      </c>
      <c r="I2784" t="s">
        <v>2194</v>
      </c>
      <c r="J2784" s="10">
        <v>9</v>
      </c>
      <c r="K2784" t="b">
        <v>1</v>
      </c>
    </row>
    <row r="2785" spans="1:11">
      <c r="A2785" s="12">
        <v>41988</v>
      </c>
      <c r="B2785">
        <v>2014</v>
      </c>
      <c r="C2785">
        <v>12</v>
      </c>
      <c r="D2785" s="11">
        <v>41974</v>
      </c>
      <c r="E2785" t="s">
        <v>2184</v>
      </c>
      <c r="F2785">
        <v>1</v>
      </c>
      <c r="G2785" t="s">
        <v>61</v>
      </c>
      <c r="H2785" t="s">
        <v>47</v>
      </c>
      <c r="I2785" t="s">
        <v>2195</v>
      </c>
      <c r="J2785" s="10">
        <v>1</v>
      </c>
      <c r="K2785" t="b">
        <v>1</v>
      </c>
    </row>
    <row r="2786" spans="1:11">
      <c r="A2786" s="12">
        <v>41989</v>
      </c>
      <c r="B2786">
        <v>2014</v>
      </c>
      <c r="C2786">
        <v>12</v>
      </c>
      <c r="D2786" s="11">
        <v>41974</v>
      </c>
      <c r="E2786" t="s">
        <v>2184</v>
      </c>
      <c r="F2786">
        <v>2</v>
      </c>
      <c r="G2786" t="s">
        <v>63</v>
      </c>
      <c r="H2786" t="s">
        <v>40</v>
      </c>
      <c r="I2786" t="s">
        <v>2188</v>
      </c>
      <c r="J2786" s="10">
        <v>6.34</v>
      </c>
      <c r="K2786" t="b">
        <v>1</v>
      </c>
    </row>
    <row r="2787" spans="1:11">
      <c r="A2787" s="12">
        <v>41989</v>
      </c>
      <c r="B2787">
        <v>2014</v>
      </c>
      <c r="C2787">
        <v>12</v>
      </c>
      <c r="D2787" s="11">
        <v>41974</v>
      </c>
      <c r="E2787" t="s">
        <v>2184</v>
      </c>
      <c r="F2787">
        <v>2</v>
      </c>
      <c r="G2787" t="s">
        <v>63</v>
      </c>
      <c r="H2787" t="s">
        <v>41</v>
      </c>
      <c r="I2787" t="s">
        <v>2189</v>
      </c>
      <c r="J2787" s="10">
        <v>1.34</v>
      </c>
      <c r="K2787" t="b">
        <v>1</v>
      </c>
    </row>
    <row r="2788" spans="1:11">
      <c r="A2788" s="12">
        <v>41989</v>
      </c>
      <c r="B2788">
        <v>2014</v>
      </c>
      <c r="C2788">
        <v>12</v>
      </c>
      <c r="D2788" s="11">
        <v>41974</v>
      </c>
      <c r="E2788" t="s">
        <v>2184</v>
      </c>
      <c r="F2788">
        <v>2</v>
      </c>
      <c r="G2788" t="s">
        <v>63</v>
      </c>
      <c r="H2788" t="s">
        <v>42</v>
      </c>
      <c r="I2788" t="s">
        <v>2190</v>
      </c>
      <c r="J2788" s="10">
        <v>6.2</v>
      </c>
      <c r="K2788" t="b">
        <v>1</v>
      </c>
    </row>
    <row r="2789" spans="1:11">
      <c r="A2789" s="12">
        <v>41989</v>
      </c>
      <c r="B2789">
        <v>2014</v>
      </c>
      <c r="C2789">
        <v>12</v>
      </c>
      <c r="D2789" s="11">
        <v>41974</v>
      </c>
      <c r="E2789" t="s">
        <v>2184</v>
      </c>
      <c r="F2789">
        <v>2</v>
      </c>
      <c r="G2789" t="s">
        <v>63</v>
      </c>
      <c r="H2789" t="s">
        <v>43</v>
      </c>
      <c r="I2789" t="s">
        <v>2191</v>
      </c>
      <c r="J2789" s="10">
        <v>23</v>
      </c>
      <c r="K2789" t="b">
        <v>1</v>
      </c>
    </row>
    <row r="2790" spans="1:11">
      <c r="A2790" s="12">
        <v>41989</v>
      </c>
      <c r="B2790">
        <v>2014</v>
      </c>
      <c r="C2790">
        <v>12</v>
      </c>
      <c r="D2790" s="11">
        <v>41974</v>
      </c>
      <c r="E2790" t="s">
        <v>2184</v>
      </c>
      <c r="F2790">
        <v>2</v>
      </c>
      <c r="G2790" t="s">
        <v>63</v>
      </c>
      <c r="H2790" t="s">
        <v>44</v>
      </c>
      <c r="I2790" t="s">
        <v>2192</v>
      </c>
      <c r="J2790" s="10">
        <v>23</v>
      </c>
      <c r="K2790" t="b">
        <v>1</v>
      </c>
    </row>
    <row r="2791" spans="1:11">
      <c r="A2791" s="12">
        <v>41989</v>
      </c>
      <c r="B2791">
        <v>2014</v>
      </c>
      <c r="C2791">
        <v>12</v>
      </c>
      <c r="D2791" s="11">
        <v>41974</v>
      </c>
      <c r="E2791" t="s">
        <v>2184</v>
      </c>
      <c r="F2791">
        <v>2</v>
      </c>
      <c r="G2791" t="s">
        <v>63</v>
      </c>
      <c r="H2791" t="s">
        <v>45</v>
      </c>
      <c r="I2791" t="s">
        <v>2193</v>
      </c>
      <c r="J2791" s="10">
        <v>3</v>
      </c>
      <c r="K2791" t="b">
        <v>1</v>
      </c>
    </row>
    <row r="2792" spans="1:11">
      <c r="A2792" s="12">
        <v>41989</v>
      </c>
      <c r="B2792">
        <v>2014</v>
      </c>
      <c r="C2792">
        <v>12</v>
      </c>
      <c r="D2792" s="11">
        <v>41974</v>
      </c>
      <c r="E2792" t="s">
        <v>2184</v>
      </c>
      <c r="F2792">
        <v>2</v>
      </c>
      <c r="G2792" t="s">
        <v>63</v>
      </c>
      <c r="H2792" t="s">
        <v>46</v>
      </c>
      <c r="I2792" t="s">
        <v>2194</v>
      </c>
      <c r="J2792" s="10">
        <v>4</v>
      </c>
      <c r="K2792" t="b">
        <v>1</v>
      </c>
    </row>
    <row r="2793" spans="1:11">
      <c r="A2793" s="12">
        <v>41989</v>
      </c>
      <c r="B2793">
        <v>2014</v>
      </c>
      <c r="C2793">
        <v>12</v>
      </c>
      <c r="D2793" s="11">
        <v>41974</v>
      </c>
      <c r="E2793" t="s">
        <v>2184</v>
      </c>
      <c r="F2793">
        <v>2</v>
      </c>
      <c r="G2793" t="s">
        <v>63</v>
      </c>
      <c r="H2793" t="s">
        <v>47</v>
      </c>
      <c r="I2793" t="s">
        <v>2195</v>
      </c>
      <c r="J2793" s="10">
        <v>1</v>
      </c>
      <c r="K2793" t="b">
        <v>1</v>
      </c>
    </row>
    <row r="2794" spans="1:11">
      <c r="A2794" s="12">
        <v>41990</v>
      </c>
      <c r="B2794">
        <v>2014</v>
      </c>
      <c r="C2794">
        <v>12</v>
      </c>
      <c r="D2794" s="11">
        <v>41974</v>
      </c>
      <c r="E2794" t="s">
        <v>2184</v>
      </c>
      <c r="F2794">
        <v>3</v>
      </c>
      <c r="G2794" t="s">
        <v>65</v>
      </c>
      <c r="H2794" t="s">
        <v>40</v>
      </c>
      <c r="I2794" t="s">
        <v>2188</v>
      </c>
      <c r="J2794" s="10">
        <v>3</v>
      </c>
      <c r="K2794" t="b">
        <v>1</v>
      </c>
    </row>
    <row r="2795" spans="1:11">
      <c r="A2795" s="12">
        <v>41990</v>
      </c>
      <c r="B2795">
        <v>2014</v>
      </c>
      <c r="C2795">
        <v>12</v>
      </c>
      <c r="D2795" s="11">
        <v>41974</v>
      </c>
      <c r="E2795" t="s">
        <v>2184</v>
      </c>
      <c r="F2795">
        <v>3</v>
      </c>
      <c r="G2795" t="s">
        <v>65</v>
      </c>
      <c r="H2795" t="s">
        <v>41</v>
      </c>
      <c r="I2795" t="s">
        <v>2189</v>
      </c>
      <c r="J2795" s="10">
        <v>3.67</v>
      </c>
      <c r="K2795" t="b">
        <v>1</v>
      </c>
    </row>
    <row r="2796" spans="1:11">
      <c r="A2796" s="12">
        <v>41990</v>
      </c>
      <c r="B2796">
        <v>2014</v>
      </c>
      <c r="C2796">
        <v>12</v>
      </c>
      <c r="D2796" s="11">
        <v>41974</v>
      </c>
      <c r="E2796" t="s">
        <v>2184</v>
      </c>
      <c r="F2796">
        <v>3</v>
      </c>
      <c r="G2796" t="s">
        <v>65</v>
      </c>
      <c r="H2796" t="s">
        <v>42</v>
      </c>
      <c r="I2796" t="s">
        <v>2190</v>
      </c>
      <c r="J2796" s="10">
        <v>3.5</v>
      </c>
      <c r="K2796" t="b">
        <v>1</v>
      </c>
    </row>
    <row r="2797" spans="1:11">
      <c r="A2797" s="12">
        <v>41990</v>
      </c>
      <c r="B2797">
        <v>2014</v>
      </c>
      <c r="C2797">
        <v>12</v>
      </c>
      <c r="D2797" s="11">
        <v>41974</v>
      </c>
      <c r="E2797" t="s">
        <v>2184</v>
      </c>
      <c r="F2797">
        <v>3</v>
      </c>
      <c r="G2797" t="s">
        <v>65</v>
      </c>
      <c r="H2797" t="s">
        <v>43</v>
      </c>
      <c r="I2797" t="s">
        <v>2191</v>
      </c>
      <c r="J2797" s="10">
        <v>28</v>
      </c>
      <c r="K2797" t="b">
        <v>1</v>
      </c>
    </row>
    <row r="2798" spans="1:11">
      <c r="A2798" s="12">
        <v>41990</v>
      </c>
      <c r="B2798">
        <v>2014</v>
      </c>
      <c r="C2798">
        <v>12</v>
      </c>
      <c r="D2798" s="11">
        <v>41974</v>
      </c>
      <c r="E2798" t="s">
        <v>2184</v>
      </c>
      <c r="F2798">
        <v>3</v>
      </c>
      <c r="G2798" t="s">
        <v>65</v>
      </c>
      <c r="H2798" t="s">
        <v>44</v>
      </c>
      <c r="I2798" t="s">
        <v>2192</v>
      </c>
      <c r="J2798" s="10">
        <v>17</v>
      </c>
      <c r="K2798" t="b">
        <v>1</v>
      </c>
    </row>
    <row r="2799" spans="1:11">
      <c r="A2799" s="12">
        <v>41990</v>
      </c>
      <c r="B2799">
        <v>2014</v>
      </c>
      <c r="C2799">
        <v>12</v>
      </c>
      <c r="D2799" s="11">
        <v>41974</v>
      </c>
      <c r="E2799" t="s">
        <v>2184</v>
      </c>
      <c r="F2799">
        <v>3</v>
      </c>
      <c r="G2799" t="s">
        <v>65</v>
      </c>
      <c r="H2799" t="s">
        <v>45</v>
      </c>
      <c r="I2799" t="s">
        <v>2193</v>
      </c>
      <c r="J2799" s="10">
        <v>2</v>
      </c>
      <c r="K2799" t="b">
        <v>1</v>
      </c>
    </row>
    <row r="2800" spans="1:11">
      <c r="A2800" s="12">
        <v>41990</v>
      </c>
      <c r="B2800">
        <v>2014</v>
      </c>
      <c r="C2800">
        <v>12</v>
      </c>
      <c r="D2800" s="11">
        <v>41974</v>
      </c>
      <c r="E2800" t="s">
        <v>2184</v>
      </c>
      <c r="F2800">
        <v>3</v>
      </c>
      <c r="G2800" t="s">
        <v>65</v>
      </c>
      <c r="H2800" t="s">
        <v>46</v>
      </c>
      <c r="I2800" t="s">
        <v>2194</v>
      </c>
      <c r="J2800" s="10">
        <v>8</v>
      </c>
      <c r="K2800" t="b">
        <v>1</v>
      </c>
    </row>
    <row r="2801" spans="1:11">
      <c r="A2801" s="12">
        <v>41990</v>
      </c>
      <c r="B2801">
        <v>2014</v>
      </c>
      <c r="C2801">
        <v>12</v>
      </c>
      <c r="D2801" s="11">
        <v>41974</v>
      </c>
      <c r="E2801" t="s">
        <v>2184</v>
      </c>
      <c r="F2801">
        <v>3</v>
      </c>
      <c r="G2801" t="s">
        <v>65</v>
      </c>
      <c r="H2801" t="s">
        <v>47</v>
      </c>
      <c r="I2801" t="s">
        <v>2195</v>
      </c>
      <c r="J2801" s="10">
        <v>0</v>
      </c>
      <c r="K2801" t="b">
        <v>1</v>
      </c>
    </row>
    <row r="2802" spans="1:11">
      <c r="A2802" s="12">
        <v>41991</v>
      </c>
      <c r="B2802">
        <v>2014</v>
      </c>
      <c r="C2802">
        <v>12</v>
      </c>
      <c r="D2802" s="11">
        <v>41974</v>
      </c>
      <c r="E2802" t="s">
        <v>2184</v>
      </c>
      <c r="F2802">
        <v>4</v>
      </c>
      <c r="G2802" t="s">
        <v>53</v>
      </c>
      <c r="H2802" t="s">
        <v>40</v>
      </c>
      <c r="I2802" t="s">
        <v>2188</v>
      </c>
      <c r="J2802" s="10">
        <v>5</v>
      </c>
      <c r="K2802" t="b">
        <v>1</v>
      </c>
    </row>
    <row r="2803" spans="1:11">
      <c r="A2803" s="12">
        <v>41991</v>
      </c>
      <c r="B2803">
        <v>2014</v>
      </c>
      <c r="C2803">
        <v>12</v>
      </c>
      <c r="D2803" s="11">
        <v>41974</v>
      </c>
      <c r="E2803" t="s">
        <v>2184</v>
      </c>
      <c r="F2803">
        <v>4</v>
      </c>
      <c r="G2803" t="s">
        <v>53</v>
      </c>
      <c r="H2803" t="s">
        <v>41</v>
      </c>
      <c r="I2803" t="s">
        <v>2189</v>
      </c>
      <c r="J2803" s="10">
        <v>3.67</v>
      </c>
      <c r="K2803" t="b">
        <v>1</v>
      </c>
    </row>
    <row r="2804" spans="1:11">
      <c r="A2804" s="12">
        <v>41991</v>
      </c>
      <c r="B2804">
        <v>2014</v>
      </c>
      <c r="C2804">
        <v>12</v>
      </c>
      <c r="D2804" s="11">
        <v>41974</v>
      </c>
      <c r="E2804" t="s">
        <v>2184</v>
      </c>
      <c r="F2804">
        <v>4</v>
      </c>
      <c r="G2804" t="s">
        <v>53</v>
      </c>
      <c r="H2804" t="s">
        <v>42</v>
      </c>
      <c r="I2804" t="s">
        <v>2190</v>
      </c>
      <c r="J2804" s="10">
        <v>3</v>
      </c>
      <c r="K2804" t="b">
        <v>1</v>
      </c>
    </row>
    <row r="2805" spans="1:11">
      <c r="A2805" s="12">
        <v>41991</v>
      </c>
      <c r="B2805">
        <v>2014</v>
      </c>
      <c r="C2805">
        <v>12</v>
      </c>
      <c r="D2805" s="11">
        <v>41974</v>
      </c>
      <c r="E2805" t="s">
        <v>2184</v>
      </c>
      <c r="F2805">
        <v>4</v>
      </c>
      <c r="G2805" t="s">
        <v>53</v>
      </c>
      <c r="H2805" t="s">
        <v>43</v>
      </c>
      <c r="I2805" t="s">
        <v>2191</v>
      </c>
      <c r="J2805" s="10">
        <v>26.6</v>
      </c>
      <c r="K2805" t="b">
        <v>1</v>
      </c>
    </row>
    <row r="2806" spans="1:11">
      <c r="A2806" s="12">
        <v>41991</v>
      </c>
      <c r="B2806">
        <v>2014</v>
      </c>
      <c r="C2806">
        <v>12</v>
      </c>
      <c r="D2806" s="11">
        <v>41974</v>
      </c>
      <c r="E2806" t="s">
        <v>2184</v>
      </c>
      <c r="F2806">
        <v>4</v>
      </c>
      <c r="G2806" t="s">
        <v>53</v>
      </c>
      <c r="H2806" t="s">
        <v>44</v>
      </c>
      <c r="I2806" t="s">
        <v>2192</v>
      </c>
      <c r="J2806" s="10">
        <v>9</v>
      </c>
      <c r="K2806" t="b">
        <v>1</v>
      </c>
    </row>
    <row r="2807" spans="1:11">
      <c r="A2807" s="12">
        <v>41991</v>
      </c>
      <c r="B2807">
        <v>2014</v>
      </c>
      <c r="C2807">
        <v>12</v>
      </c>
      <c r="D2807" s="11">
        <v>41974</v>
      </c>
      <c r="E2807" t="s">
        <v>2184</v>
      </c>
      <c r="F2807">
        <v>4</v>
      </c>
      <c r="G2807" t="s">
        <v>53</v>
      </c>
      <c r="H2807" t="s">
        <v>45</v>
      </c>
      <c r="I2807" t="s">
        <v>2193</v>
      </c>
      <c r="J2807" s="10">
        <v>0</v>
      </c>
      <c r="K2807" t="b">
        <v>1</v>
      </c>
    </row>
    <row r="2808" spans="1:11">
      <c r="A2808" s="12">
        <v>41991</v>
      </c>
      <c r="B2808">
        <v>2014</v>
      </c>
      <c r="C2808">
        <v>12</v>
      </c>
      <c r="D2808" s="11">
        <v>41974</v>
      </c>
      <c r="E2808" t="s">
        <v>2184</v>
      </c>
      <c r="F2808">
        <v>4</v>
      </c>
      <c r="G2808" t="s">
        <v>53</v>
      </c>
      <c r="H2808" t="s">
        <v>46</v>
      </c>
      <c r="I2808" t="s">
        <v>2194</v>
      </c>
      <c r="J2808" s="10">
        <v>0</v>
      </c>
      <c r="K2808" t="b">
        <v>1</v>
      </c>
    </row>
    <row r="2809" spans="1:11">
      <c r="A2809" s="12">
        <v>41991</v>
      </c>
      <c r="B2809">
        <v>2014</v>
      </c>
      <c r="C2809">
        <v>12</v>
      </c>
      <c r="D2809" s="11">
        <v>41974</v>
      </c>
      <c r="E2809" t="s">
        <v>2184</v>
      </c>
      <c r="F2809">
        <v>4</v>
      </c>
      <c r="G2809" t="s">
        <v>53</v>
      </c>
      <c r="H2809" t="s">
        <v>47</v>
      </c>
      <c r="I2809" t="s">
        <v>2195</v>
      </c>
      <c r="J2809" s="10">
        <v>0</v>
      </c>
      <c r="K2809" t="b">
        <v>1</v>
      </c>
    </row>
    <row r="2810" spans="1:11">
      <c r="A2810" s="12">
        <v>41992</v>
      </c>
      <c r="B2810">
        <v>2014</v>
      </c>
      <c r="C2810">
        <v>12</v>
      </c>
      <c r="D2810" s="11">
        <v>41974</v>
      </c>
      <c r="E2810" t="s">
        <v>2184</v>
      </c>
      <c r="F2810">
        <v>5</v>
      </c>
      <c r="G2810" t="s">
        <v>55</v>
      </c>
      <c r="H2810" t="s">
        <v>40</v>
      </c>
      <c r="I2810" t="s">
        <v>2188</v>
      </c>
      <c r="J2810" s="10">
        <v>0</v>
      </c>
      <c r="K2810" t="b">
        <v>1</v>
      </c>
    </row>
    <row r="2811" spans="1:11">
      <c r="A2811" s="12">
        <v>41992</v>
      </c>
      <c r="B2811">
        <v>2014</v>
      </c>
      <c r="C2811">
        <v>12</v>
      </c>
      <c r="D2811" s="11">
        <v>41974</v>
      </c>
      <c r="E2811" t="s">
        <v>2184</v>
      </c>
      <c r="F2811">
        <v>5</v>
      </c>
      <c r="G2811" t="s">
        <v>55</v>
      </c>
      <c r="H2811" t="s">
        <v>41</v>
      </c>
      <c r="I2811" t="s">
        <v>2189</v>
      </c>
      <c r="J2811" s="10">
        <v>0</v>
      </c>
      <c r="K2811" t="b">
        <v>1</v>
      </c>
    </row>
    <row r="2812" spans="1:11">
      <c r="A2812" s="12">
        <v>41992</v>
      </c>
      <c r="B2812">
        <v>2014</v>
      </c>
      <c r="C2812">
        <v>12</v>
      </c>
      <c r="D2812" s="11">
        <v>41974</v>
      </c>
      <c r="E2812" t="s">
        <v>2184</v>
      </c>
      <c r="F2812">
        <v>5</v>
      </c>
      <c r="G2812" t="s">
        <v>55</v>
      </c>
      <c r="H2812" t="s">
        <v>42</v>
      </c>
      <c r="I2812" t="s">
        <v>2190</v>
      </c>
      <c r="J2812" s="10">
        <v>0</v>
      </c>
      <c r="K2812" t="b">
        <v>1</v>
      </c>
    </row>
    <row r="2813" spans="1:11">
      <c r="A2813" s="12">
        <v>41992</v>
      </c>
      <c r="B2813">
        <v>2014</v>
      </c>
      <c r="C2813">
        <v>12</v>
      </c>
      <c r="D2813" s="11">
        <v>41974</v>
      </c>
      <c r="E2813" t="s">
        <v>2184</v>
      </c>
      <c r="F2813">
        <v>5</v>
      </c>
      <c r="G2813" t="s">
        <v>55</v>
      </c>
      <c r="H2813" t="s">
        <v>43</v>
      </c>
      <c r="I2813" t="s">
        <v>2191</v>
      </c>
      <c r="J2813" s="10">
        <v>0</v>
      </c>
      <c r="K2813" t="b">
        <v>1</v>
      </c>
    </row>
    <row r="2814" spans="1:11">
      <c r="A2814" s="12">
        <v>41992</v>
      </c>
      <c r="B2814">
        <v>2014</v>
      </c>
      <c r="C2814">
        <v>12</v>
      </c>
      <c r="D2814" s="11">
        <v>41974</v>
      </c>
      <c r="E2814" t="s">
        <v>2184</v>
      </c>
      <c r="F2814">
        <v>5</v>
      </c>
      <c r="G2814" t="s">
        <v>55</v>
      </c>
      <c r="H2814" t="s">
        <v>44</v>
      </c>
      <c r="I2814" t="s">
        <v>2192</v>
      </c>
      <c r="J2814" s="10">
        <v>0</v>
      </c>
      <c r="K2814" t="b">
        <v>1</v>
      </c>
    </row>
    <row r="2815" spans="1:11">
      <c r="A2815" s="12">
        <v>41992</v>
      </c>
      <c r="B2815">
        <v>2014</v>
      </c>
      <c r="C2815">
        <v>12</v>
      </c>
      <c r="D2815" s="11">
        <v>41974</v>
      </c>
      <c r="E2815" t="s">
        <v>2184</v>
      </c>
      <c r="F2815">
        <v>5</v>
      </c>
      <c r="G2815" t="s">
        <v>55</v>
      </c>
      <c r="H2815" t="s">
        <v>45</v>
      </c>
      <c r="I2815" t="s">
        <v>2193</v>
      </c>
      <c r="J2815" s="10">
        <v>0</v>
      </c>
      <c r="K2815" t="b">
        <v>1</v>
      </c>
    </row>
    <row r="2816" spans="1:11">
      <c r="A2816" s="12">
        <v>41992</v>
      </c>
      <c r="B2816">
        <v>2014</v>
      </c>
      <c r="C2816">
        <v>12</v>
      </c>
      <c r="D2816" s="11">
        <v>41974</v>
      </c>
      <c r="E2816" t="s">
        <v>2184</v>
      </c>
      <c r="F2816">
        <v>5</v>
      </c>
      <c r="G2816" t="s">
        <v>55</v>
      </c>
      <c r="H2816" t="s">
        <v>46</v>
      </c>
      <c r="I2816" t="s">
        <v>2194</v>
      </c>
      <c r="J2816" s="10">
        <v>0</v>
      </c>
      <c r="K2816" t="b">
        <v>1</v>
      </c>
    </row>
    <row r="2817" spans="1:11">
      <c r="A2817" s="12">
        <v>41992</v>
      </c>
      <c r="B2817">
        <v>2014</v>
      </c>
      <c r="C2817">
        <v>12</v>
      </c>
      <c r="D2817" s="11">
        <v>41974</v>
      </c>
      <c r="E2817" t="s">
        <v>2184</v>
      </c>
      <c r="F2817">
        <v>5</v>
      </c>
      <c r="G2817" t="s">
        <v>55</v>
      </c>
      <c r="H2817" t="s">
        <v>47</v>
      </c>
      <c r="I2817" t="s">
        <v>2195</v>
      </c>
      <c r="J2817" s="10">
        <v>0</v>
      </c>
      <c r="K2817" t="b">
        <v>1</v>
      </c>
    </row>
    <row r="2818" spans="1:11">
      <c r="A2818" s="12">
        <v>41993</v>
      </c>
      <c r="B2818">
        <v>2014</v>
      </c>
      <c r="C2818">
        <v>12</v>
      </c>
      <c r="D2818" s="11">
        <v>41974</v>
      </c>
      <c r="E2818" t="s">
        <v>2184</v>
      </c>
      <c r="F2818">
        <v>6</v>
      </c>
      <c r="G2818" t="s">
        <v>57</v>
      </c>
      <c r="H2818" t="s">
        <v>40</v>
      </c>
      <c r="I2818" t="s">
        <v>2188</v>
      </c>
      <c r="J2818" s="10">
        <v>1</v>
      </c>
      <c r="K2818" t="b">
        <v>1</v>
      </c>
    </row>
    <row r="2819" spans="1:11">
      <c r="A2819" s="12">
        <v>41993</v>
      </c>
      <c r="B2819">
        <v>2014</v>
      </c>
      <c r="C2819">
        <v>12</v>
      </c>
      <c r="D2819" s="11">
        <v>41974</v>
      </c>
      <c r="E2819" t="s">
        <v>2184</v>
      </c>
      <c r="F2819">
        <v>6</v>
      </c>
      <c r="G2819" t="s">
        <v>57</v>
      </c>
      <c r="H2819" t="s">
        <v>41</v>
      </c>
      <c r="I2819" t="s">
        <v>2189</v>
      </c>
      <c r="J2819" s="10">
        <v>3.66</v>
      </c>
      <c r="K2819" t="b">
        <v>1</v>
      </c>
    </row>
    <row r="2820" spans="1:11">
      <c r="A2820" s="12">
        <v>41993</v>
      </c>
      <c r="B2820">
        <v>2014</v>
      </c>
      <c r="C2820">
        <v>12</v>
      </c>
      <c r="D2820" s="11">
        <v>41974</v>
      </c>
      <c r="E2820" t="s">
        <v>2184</v>
      </c>
      <c r="F2820">
        <v>6</v>
      </c>
      <c r="G2820" t="s">
        <v>57</v>
      </c>
      <c r="H2820" t="s">
        <v>42</v>
      </c>
      <c r="I2820" t="s">
        <v>2190</v>
      </c>
      <c r="J2820" s="10">
        <v>2</v>
      </c>
      <c r="K2820" t="b">
        <v>1</v>
      </c>
    </row>
    <row r="2821" spans="1:11">
      <c r="A2821" s="12">
        <v>41993</v>
      </c>
      <c r="B2821">
        <v>2014</v>
      </c>
      <c r="C2821">
        <v>12</v>
      </c>
      <c r="D2821" s="11">
        <v>41974</v>
      </c>
      <c r="E2821" t="s">
        <v>2184</v>
      </c>
      <c r="F2821">
        <v>6</v>
      </c>
      <c r="G2821" t="s">
        <v>57</v>
      </c>
      <c r="H2821" t="s">
        <v>43</v>
      </c>
      <c r="I2821" t="s">
        <v>2191</v>
      </c>
      <c r="J2821" s="10">
        <v>31.3</v>
      </c>
      <c r="K2821" t="b">
        <v>1</v>
      </c>
    </row>
    <row r="2822" spans="1:11">
      <c r="A2822" s="12">
        <v>41993</v>
      </c>
      <c r="B2822">
        <v>2014</v>
      </c>
      <c r="C2822">
        <v>12</v>
      </c>
      <c r="D2822" s="11">
        <v>41974</v>
      </c>
      <c r="E2822" t="s">
        <v>2184</v>
      </c>
      <c r="F2822">
        <v>6</v>
      </c>
      <c r="G2822" t="s">
        <v>57</v>
      </c>
      <c r="H2822" t="s">
        <v>44</v>
      </c>
      <c r="I2822" t="s">
        <v>2192</v>
      </c>
      <c r="J2822" s="10">
        <v>9</v>
      </c>
      <c r="K2822" t="b">
        <v>1</v>
      </c>
    </row>
    <row r="2823" spans="1:11">
      <c r="A2823" s="12">
        <v>41993</v>
      </c>
      <c r="B2823">
        <v>2014</v>
      </c>
      <c r="C2823">
        <v>12</v>
      </c>
      <c r="D2823" s="11">
        <v>41974</v>
      </c>
      <c r="E2823" t="s">
        <v>2184</v>
      </c>
      <c r="F2823">
        <v>6</v>
      </c>
      <c r="G2823" t="s">
        <v>57</v>
      </c>
      <c r="H2823" t="s">
        <v>45</v>
      </c>
      <c r="I2823" t="s">
        <v>2193</v>
      </c>
      <c r="J2823" s="10">
        <v>0</v>
      </c>
      <c r="K2823" t="b">
        <v>1</v>
      </c>
    </row>
    <row r="2824" spans="1:11">
      <c r="A2824" s="12">
        <v>41993</v>
      </c>
      <c r="B2824">
        <v>2014</v>
      </c>
      <c r="C2824">
        <v>12</v>
      </c>
      <c r="D2824" s="11">
        <v>41974</v>
      </c>
      <c r="E2824" t="s">
        <v>2184</v>
      </c>
      <c r="F2824">
        <v>6</v>
      </c>
      <c r="G2824" t="s">
        <v>57</v>
      </c>
      <c r="H2824" t="s">
        <v>46</v>
      </c>
      <c r="I2824" t="s">
        <v>2194</v>
      </c>
      <c r="J2824" s="10">
        <v>0</v>
      </c>
      <c r="K2824" t="b">
        <v>1</v>
      </c>
    </row>
    <row r="2825" spans="1:11">
      <c r="A2825" s="12">
        <v>41993</v>
      </c>
      <c r="B2825">
        <v>2014</v>
      </c>
      <c r="C2825">
        <v>12</v>
      </c>
      <c r="D2825" s="11">
        <v>41974</v>
      </c>
      <c r="E2825" t="s">
        <v>2184</v>
      </c>
      <c r="F2825">
        <v>6</v>
      </c>
      <c r="G2825" t="s">
        <v>57</v>
      </c>
      <c r="H2825" t="s">
        <v>47</v>
      </c>
      <c r="I2825" t="s">
        <v>2195</v>
      </c>
      <c r="J2825" s="10">
        <v>3</v>
      </c>
      <c r="K2825" t="b">
        <v>1</v>
      </c>
    </row>
    <row r="2826" spans="1:11">
      <c r="A2826" s="12">
        <v>41994</v>
      </c>
      <c r="B2826">
        <v>2014</v>
      </c>
      <c r="C2826">
        <v>12</v>
      </c>
      <c r="D2826" s="11">
        <v>41974</v>
      </c>
      <c r="E2826" t="s">
        <v>2184</v>
      </c>
      <c r="F2826">
        <v>7</v>
      </c>
      <c r="G2826" t="s">
        <v>59</v>
      </c>
      <c r="H2826" t="s">
        <v>40</v>
      </c>
      <c r="I2826" t="s">
        <v>2188</v>
      </c>
      <c r="J2826" s="10">
        <v>4.33</v>
      </c>
      <c r="K2826" t="b">
        <v>1</v>
      </c>
    </row>
    <row r="2827" spans="1:11">
      <c r="A2827" s="12">
        <v>41994</v>
      </c>
      <c r="B2827">
        <v>2014</v>
      </c>
      <c r="C2827">
        <v>12</v>
      </c>
      <c r="D2827" s="11">
        <v>41974</v>
      </c>
      <c r="E2827" t="s">
        <v>2184</v>
      </c>
      <c r="F2827">
        <v>7</v>
      </c>
      <c r="G2827" t="s">
        <v>59</v>
      </c>
      <c r="H2827" t="s">
        <v>41</v>
      </c>
      <c r="I2827" t="s">
        <v>2189</v>
      </c>
      <c r="J2827" s="10">
        <v>4.33</v>
      </c>
      <c r="K2827" t="b">
        <v>1</v>
      </c>
    </row>
    <row r="2828" spans="1:11">
      <c r="A2828" s="12">
        <v>41994</v>
      </c>
      <c r="B2828">
        <v>2014</v>
      </c>
      <c r="C2828">
        <v>12</v>
      </c>
      <c r="D2828" s="11">
        <v>41974</v>
      </c>
      <c r="E2828" t="s">
        <v>2184</v>
      </c>
      <c r="F2828">
        <v>7</v>
      </c>
      <c r="G2828" t="s">
        <v>59</v>
      </c>
      <c r="H2828" t="s">
        <v>42</v>
      </c>
      <c r="I2828" t="s">
        <v>2190</v>
      </c>
      <c r="J2828" s="10">
        <v>2</v>
      </c>
      <c r="K2828" t="b">
        <v>1</v>
      </c>
    </row>
    <row r="2829" spans="1:11">
      <c r="A2829" s="12">
        <v>41994</v>
      </c>
      <c r="B2829">
        <v>2014</v>
      </c>
      <c r="C2829">
        <v>12</v>
      </c>
      <c r="D2829" s="11">
        <v>41974</v>
      </c>
      <c r="E2829" t="s">
        <v>2184</v>
      </c>
      <c r="F2829">
        <v>7</v>
      </c>
      <c r="G2829" t="s">
        <v>59</v>
      </c>
      <c r="H2829" t="s">
        <v>43</v>
      </c>
      <c r="I2829" t="s">
        <v>2191</v>
      </c>
      <c r="J2829" s="10">
        <v>52.5</v>
      </c>
      <c r="K2829" t="b">
        <v>1</v>
      </c>
    </row>
    <row r="2830" spans="1:11">
      <c r="A2830" s="12">
        <v>41994</v>
      </c>
      <c r="B2830">
        <v>2014</v>
      </c>
      <c r="C2830">
        <v>12</v>
      </c>
      <c r="D2830" s="11">
        <v>41974</v>
      </c>
      <c r="E2830" t="s">
        <v>2184</v>
      </c>
      <c r="F2830">
        <v>7</v>
      </c>
      <c r="G2830" t="s">
        <v>59</v>
      </c>
      <c r="H2830" t="s">
        <v>44</v>
      </c>
      <c r="I2830" t="s">
        <v>2192</v>
      </c>
      <c r="J2830" s="10">
        <v>6</v>
      </c>
      <c r="K2830" t="b">
        <v>1</v>
      </c>
    </row>
    <row r="2831" spans="1:11">
      <c r="A2831" s="12">
        <v>41994</v>
      </c>
      <c r="B2831">
        <v>2014</v>
      </c>
      <c r="C2831">
        <v>12</v>
      </c>
      <c r="D2831" s="11">
        <v>41974</v>
      </c>
      <c r="E2831" t="s">
        <v>2184</v>
      </c>
      <c r="F2831">
        <v>7</v>
      </c>
      <c r="G2831" t="s">
        <v>59</v>
      </c>
      <c r="H2831" t="s">
        <v>45</v>
      </c>
      <c r="I2831" t="s">
        <v>2193</v>
      </c>
      <c r="J2831" s="10">
        <v>0</v>
      </c>
      <c r="K2831" t="b">
        <v>1</v>
      </c>
    </row>
    <row r="2832" spans="1:11">
      <c r="A2832" s="12">
        <v>41994</v>
      </c>
      <c r="B2832">
        <v>2014</v>
      </c>
      <c r="C2832">
        <v>12</v>
      </c>
      <c r="D2832" s="11">
        <v>41974</v>
      </c>
      <c r="E2832" t="s">
        <v>2184</v>
      </c>
      <c r="F2832">
        <v>7</v>
      </c>
      <c r="G2832" t="s">
        <v>59</v>
      </c>
      <c r="H2832" t="s">
        <v>46</v>
      </c>
      <c r="I2832" t="s">
        <v>2194</v>
      </c>
      <c r="J2832" s="10">
        <v>10</v>
      </c>
      <c r="K2832" t="b">
        <v>1</v>
      </c>
    </row>
    <row r="2833" spans="1:11">
      <c r="A2833" s="12">
        <v>41994</v>
      </c>
      <c r="B2833">
        <v>2014</v>
      </c>
      <c r="C2833">
        <v>12</v>
      </c>
      <c r="D2833" s="11">
        <v>41974</v>
      </c>
      <c r="E2833" t="s">
        <v>2184</v>
      </c>
      <c r="F2833">
        <v>7</v>
      </c>
      <c r="G2833" t="s">
        <v>59</v>
      </c>
      <c r="H2833" t="s">
        <v>47</v>
      </c>
      <c r="I2833" t="s">
        <v>2195</v>
      </c>
      <c r="J2833" s="10">
        <v>1</v>
      </c>
      <c r="K2833" t="b">
        <v>1</v>
      </c>
    </row>
    <row r="2834" spans="1:11">
      <c r="A2834" s="12">
        <v>41995</v>
      </c>
      <c r="B2834">
        <v>2014</v>
      </c>
      <c r="C2834">
        <v>12</v>
      </c>
      <c r="D2834" s="11">
        <v>41974</v>
      </c>
      <c r="E2834" t="s">
        <v>2184</v>
      </c>
      <c r="F2834">
        <v>1</v>
      </c>
      <c r="G2834" t="s">
        <v>61</v>
      </c>
      <c r="H2834" t="s">
        <v>40</v>
      </c>
      <c r="I2834" t="s">
        <v>2188</v>
      </c>
      <c r="J2834" s="10">
        <v>3.34</v>
      </c>
      <c r="K2834" t="b">
        <v>1</v>
      </c>
    </row>
    <row r="2835" spans="1:11">
      <c r="A2835" s="12">
        <v>41995</v>
      </c>
      <c r="B2835">
        <v>2014</v>
      </c>
      <c r="C2835">
        <v>12</v>
      </c>
      <c r="D2835" s="11">
        <v>41974</v>
      </c>
      <c r="E2835" t="s">
        <v>2184</v>
      </c>
      <c r="F2835">
        <v>1</v>
      </c>
      <c r="G2835" t="s">
        <v>61</v>
      </c>
      <c r="H2835" t="s">
        <v>41</v>
      </c>
      <c r="I2835" t="s">
        <v>2189</v>
      </c>
      <c r="J2835" s="10">
        <v>4.68</v>
      </c>
      <c r="K2835" t="b">
        <v>1</v>
      </c>
    </row>
    <row r="2836" spans="1:11">
      <c r="A2836" s="12">
        <v>41995</v>
      </c>
      <c r="B2836">
        <v>2014</v>
      </c>
      <c r="C2836">
        <v>12</v>
      </c>
      <c r="D2836" s="11">
        <v>41974</v>
      </c>
      <c r="E2836" t="s">
        <v>2184</v>
      </c>
      <c r="F2836">
        <v>1</v>
      </c>
      <c r="G2836" t="s">
        <v>61</v>
      </c>
      <c r="H2836" t="s">
        <v>42</v>
      </c>
      <c r="I2836" t="s">
        <v>2190</v>
      </c>
      <c r="J2836" s="10">
        <v>2.284</v>
      </c>
      <c r="K2836" t="b">
        <v>1</v>
      </c>
    </row>
    <row r="2837" spans="1:11">
      <c r="A2837" s="12">
        <v>41995</v>
      </c>
      <c r="B2837">
        <v>2014</v>
      </c>
      <c r="C2837">
        <v>12</v>
      </c>
      <c r="D2837" s="11">
        <v>41974</v>
      </c>
      <c r="E2837" t="s">
        <v>2184</v>
      </c>
      <c r="F2837">
        <v>1</v>
      </c>
      <c r="G2837" t="s">
        <v>61</v>
      </c>
      <c r="H2837" t="s">
        <v>43</v>
      </c>
      <c r="I2837" t="s">
        <v>2191</v>
      </c>
      <c r="J2837" s="10">
        <v>19.6</v>
      </c>
      <c r="K2837" t="b">
        <v>1</v>
      </c>
    </row>
    <row r="2838" spans="1:11">
      <c r="A2838" s="12">
        <v>41995</v>
      </c>
      <c r="B2838">
        <v>2014</v>
      </c>
      <c r="C2838">
        <v>12</v>
      </c>
      <c r="D2838" s="11">
        <v>41974</v>
      </c>
      <c r="E2838" t="s">
        <v>2184</v>
      </c>
      <c r="F2838">
        <v>1</v>
      </c>
      <c r="G2838" t="s">
        <v>61</v>
      </c>
      <c r="H2838" t="s">
        <v>44</v>
      </c>
      <c r="I2838" t="s">
        <v>2192</v>
      </c>
      <c r="J2838" s="10">
        <v>43</v>
      </c>
      <c r="K2838" t="b">
        <v>1</v>
      </c>
    </row>
    <row r="2839" spans="1:11">
      <c r="A2839" s="12">
        <v>41995</v>
      </c>
      <c r="B2839">
        <v>2014</v>
      </c>
      <c r="C2839">
        <v>12</v>
      </c>
      <c r="D2839" s="11">
        <v>41974</v>
      </c>
      <c r="E2839" t="s">
        <v>2184</v>
      </c>
      <c r="F2839">
        <v>1</v>
      </c>
      <c r="G2839" t="s">
        <v>61</v>
      </c>
      <c r="H2839" t="s">
        <v>45</v>
      </c>
      <c r="I2839" t="s">
        <v>2193</v>
      </c>
      <c r="J2839" s="10">
        <v>1</v>
      </c>
      <c r="K2839" t="b">
        <v>1</v>
      </c>
    </row>
    <row r="2840" spans="1:11">
      <c r="A2840" s="12">
        <v>41995</v>
      </c>
      <c r="B2840">
        <v>2014</v>
      </c>
      <c r="C2840">
        <v>12</v>
      </c>
      <c r="D2840" s="11">
        <v>41974</v>
      </c>
      <c r="E2840" t="s">
        <v>2184</v>
      </c>
      <c r="F2840">
        <v>1</v>
      </c>
      <c r="G2840" t="s">
        <v>61</v>
      </c>
      <c r="H2840" t="s">
        <v>46</v>
      </c>
      <c r="I2840" t="s">
        <v>2194</v>
      </c>
      <c r="J2840" s="10">
        <v>13</v>
      </c>
      <c r="K2840" t="b">
        <v>1</v>
      </c>
    </row>
    <row r="2841" spans="1:11">
      <c r="A2841" s="12">
        <v>41995</v>
      </c>
      <c r="B2841">
        <v>2014</v>
      </c>
      <c r="C2841">
        <v>12</v>
      </c>
      <c r="D2841" s="11">
        <v>41974</v>
      </c>
      <c r="E2841" t="s">
        <v>2184</v>
      </c>
      <c r="F2841">
        <v>1</v>
      </c>
      <c r="G2841" t="s">
        <v>61</v>
      </c>
      <c r="H2841" t="s">
        <v>47</v>
      </c>
      <c r="I2841" t="s">
        <v>2195</v>
      </c>
      <c r="J2841" s="10">
        <v>4</v>
      </c>
      <c r="K2841" t="b">
        <v>1</v>
      </c>
    </row>
    <row r="2842" spans="1:11">
      <c r="A2842" s="12">
        <v>41996</v>
      </c>
      <c r="B2842">
        <v>2014</v>
      </c>
      <c r="C2842">
        <v>12</v>
      </c>
      <c r="D2842" s="11">
        <v>41974</v>
      </c>
      <c r="E2842" t="s">
        <v>2184</v>
      </c>
      <c r="F2842">
        <v>2</v>
      </c>
      <c r="G2842" t="s">
        <v>63</v>
      </c>
      <c r="H2842" t="s">
        <v>40</v>
      </c>
      <c r="I2842" t="s">
        <v>2188</v>
      </c>
      <c r="J2842" s="10">
        <v>10.5</v>
      </c>
      <c r="K2842" t="b">
        <v>1</v>
      </c>
    </row>
    <row r="2843" spans="1:11">
      <c r="A2843" s="12">
        <v>41996</v>
      </c>
      <c r="B2843">
        <v>2014</v>
      </c>
      <c r="C2843">
        <v>12</v>
      </c>
      <c r="D2843" s="11">
        <v>41974</v>
      </c>
      <c r="E2843" t="s">
        <v>2184</v>
      </c>
      <c r="F2843">
        <v>2</v>
      </c>
      <c r="G2843" t="s">
        <v>63</v>
      </c>
      <c r="H2843" t="s">
        <v>41</v>
      </c>
      <c r="I2843" t="s">
        <v>2189</v>
      </c>
      <c r="J2843" s="10">
        <v>3</v>
      </c>
      <c r="K2843" t="b">
        <v>1</v>
      </c>
    </row>
    <row r="2844" spans="1:11">
      <c r="A2844" s="12">
        <v>41996</v>
      </c>
      <c r="B2844">
        <v>2014</v>
      </c>
      <c r="C2844">
        <v>12</v>
      </c>
      <c r="D2844" s="11">
        <v>41974</v>
      </c>
      <c r="E2844" t="s">
        <v>2184</v>
      </c>
      <c r="F2844">
        <v>2</v>
      </c>
      <c r="G2844" t="s">
        <v>63</v>
      </c>
      <c r="H2844" t="s">
        <v>42</v>
      </c>
      <c r="I2844" t="s">
        <v>2190</v>
      </c>
      <c r="J2844" s="10">
        <v>4.6</v>
      </c>
      <c r="K2844" t="b">
        <v>1</v>
      </c>
    </row>
    <row r="2845" spans="1:11">
      <c r="A2845" s="12">
        <v>41996</v>
      </c>
      <c r="B2845">
        <v>2014</v>
      </c>
      <c r="C2845">
        <v>12</v>
      </c>
      <c r="D2845" s="11">
        <v>41974</v>
      </c>
      <c r="E2845" t="s">
        <v>2184</v>
      </c>
      <c r="F2845">
        <v>2</v>
      </c>
      <c r="G2845" t="s">
        <v>63</v>
      </c>
      <c r="H2845" t="s">
        <v>43</v>
      </c>
      <c r="I2845" t="s">
        <v>2191</v>
      </c>
      <c r="J2845" s="10">
        <v>40.4</v>
      </c>
      <c r="K2845" t="b">
        <v>1</v>
      </c>
    </row>
    <row r="2846" spans="1:11">
      <c r="A2846" s="12">
        <v>41996</v>
      </c>
      <c r="B2846">
        <v>2014</v>
      </c>
      <c r="C2846">
        <v>12</v>
      </c>
      <c r="D2846" s="11">
        <v>41974</v>
      </c>
      <c r="E2846" t="s">
        <v>2184</v>
      </c>
      <c r="F2846">
        <v>2</v>
      </c>
      <c r="G2846" t="s">
        <v>63</v>
      </c>
      <c r="H2846" t="s">
        <v>44</v>
      </c>
      <c r="I2846" t="s">
        <v>2192</v>
      </c>
      <c r="J2846" s="10">
        <v>13</v>
      </c>
      <c r="K2846" t="b">
        <v>1</v>
      </c>
    </row>
    <row r="2847" spans="1:11">
      <c r="A2847" s="12">
        <v>41996</v>
      </c>
      <c r="B2847">
        <v>2014</v>
      </c>
      <c r="C2847">
        <v>12</v>
      </c>
      <c r="D2847" s="11">
        <v>41974</v>
      </c>
      <c r="E2847" t="s">
        <v>2184</v>
      </c>
      <c r="F2847">
        <v>2</v>
      </c>
      <c r="G2847" t="s">
        <v>63</v>
      </c>
      <c r="H2847" t="s">
        <v>45</v>
      </c>
      <c r="I2847" t="s">
        <v>2193</v>
      </c>
      <c r="J2847" s="10">
        <v>2</v>
      </c>
      <c r="K2847" t="b">
        <v>1</v>
      </c>
    </row>
    <row r="2848" spans="1:11">
      <c r="A2848" s="12">
        <v>41996</v>
      </c>
      <c r="B2848">
        <v>2014</v>
      </c>
      <c r="C2848">
        <v>12</v>
      </c>
      <c r="D2848" s="11">
        <v>41974</v>
      </c>
      <c r="E2848" t="s">
        <v>2184</v>
      </c>
      <c r="F2848">
        <v>2</v>
      </c>
      <c r="G2848" t="s">
        <v>63</v>
      </c>
      <c r="H2848" t="s">
        <v>46</v>
      </c>
      <c r="I2848" t="s">
        <v>2194</v>
      </c>
      <c r="J2848" s="10">
        <v>15</v>
      </c>
      <c r="K2848" t="b">
        <v>1</v>
      </c>
    </row>
    <row r="2849" spans="1:11">
      <c r="A2849" s="12">
        <v>41996</v>
      </c>
      <c r="B2849">
        <v>2014</v>
      </c>
      <c r="C2849">
        <v>12</v>
      </c>
      <c r="D2849" s="11">
        <v>41974</v>
      </c>
      <c r="E2849" t="s">
        <v>2184</v>
      </c>
      <c r="F2849">
        <v>2</v>
      </c>
      <c r="G2849" t="s">
        <v>63</v>
      </c>
      <c r="H2849" t="s">
        <v>47</v>
      </c>
      <c r="I2849" t="s">
        <v>2195</v>
      </c>
      <c r="J2849" s="10">
        <v>0</v>
      </c>
      <c r="K2849" t="b">
        <v>1</v>
      </c>
    </row>
    <row r="2850" spans="1:11">
      <c r="A2850" s="12">
        <v>41997</v>
      </c>
      <c r="B2850">
        <v>2014</v>
      </c>
      <c r="C2850">
        <v>12</v>
      </c>
      <c r="D2850" s="11">
        <v>41974</v>
      </c>
      <c r="E2850" t="s">
        <v>2184</v>
      </c>
      <c r="F2850">
        <v>3</v>
      </c>
      <c r="G2850" t="s">
        <v>65</v>
      </c>
      <c r="H2850" t="s">
        <v>40</v>
      </c>
      <c r="I2850" t="s">
        <v>2188</v>
      </c>
      <c r="J2850" s="10">
        <v>1</v>
      </c>
      <c r="K2850" t="b">
        <v>1</v>
      </c>
    </row>
    <row r="2851" spans="1:11">
      <c r="A2851" s="12">
        <v>41997</v>
      </c>
      <c r="B2851">
        <v>2014</v>
      </c>
      <c r="C2851">
        <v>12</v>
      </c>
      <c r="D2851" s="11">
        <v>41974</v>
      </c>
      <c r="E2851" t="s">
        <v>2184</v>
      </c>
      <c r="F2851">
        <v>3</v>
      </c>
      <c r="G2851" t="s">
        <v>65</v>
      </c>
      <c r="H2851" t="s">
        <v>41</v>
      </c>
      <c r="I2851" t="s">
        <v>2189</v>
      </c>
      <c r="J2851" s="10">
        <v>3</v>
      </c>
      <c r="K2851" t="b">
        <v>1</v>
      </c>
    </row>
    <row r="2852" spans="1:11">
      <c r="A2852" s="12">
        <v>41997</v>
      </c>
      <c r="B2852">
        <v>2014</v>
      </c>
      <c r="C2852">
        <v>12</v>
      </c>
      <c r="D2852" s="11">
        <v>41974</v>
      </c>
      <c r="E2852" t="s">
        <v>2184</v>
      </c>
      <c r="F2852">
        <v>3</v>
      </c>
      <c r="G2852" t="s">
        <v>65</v>
      </c>
      <c r="H2852" t="s">
        <v>42</v>
      </c>
      <c r="I2852" t="s">
        <v>2190</v>
      </c>
      <c r="J2852" s="10">
        <v>1</v>
      </c>
      <c r="K2852" t="b">
        <v>1</v>
      </c>
    </row>
    <row r="2853" spans="1:11">
      <c r="A2853" s="12">
        <v>41997</v>
      </c>
      <c r="B2853">
        <v>2014</v>
      </c>
      <c r="C2853">
        <v>12</v>
      </c>
      <c r="D2853" s="11">
        <v>41974</v>
      </c>
      <c r="E2853" t="s">
        <v>2184</v>
      </c>
      <c r="F2853">
        <v>3</v>
      </c>
      <c r="G2853" t="s">
        <v>65</v>
      </c>
      <c r="H2853" t="s">
        <v>43</v>
      </c>
      <c r="I2853" t="s">
        <v>2191</v>
      </c>
      <c r="J2853" s="10">
        <v>41.6</v>
      </c>
      <c r="K2853" t="b">
        <v>1</v>
      </c>
    </row>
    <row r="2854" spans="1:11">
      <c r="A2854" s="12">
        <v>41997</v>
      </c>
      <c r="B2854">
        <v>2014</v>
      </c>
      <c r="C2854">
        <v>12</v>
      </c>
      <c r="D2854" s="11">
        <v>41974</v>
      </c>
      <c r="E2854" t="s">
        <v>2184</v>
      </c>
      <c r="F2854">
        <v>3</v>
      </c>
      <c r="G2854" t="s">
        <v>65</v>
      </c>
      <c r="H2854" t="s">
        <v>44</v>
      </c>
      <c r="I2854" t="s">
        <v>2192</v>
      </c>
      <c r="J2854" s="10">
        <v>16</v>
      </c>
      <c r="K2854" t="b">
        <v>1</v>
      </c>
    </row>
    <row r="2855" spans="1:11">
      <c r="A2855" s="12">
        <v>41997</v>
      </c>
      <c r="B2855">
        <v>2014</v>
      </c>
      <c r="C2855">
        <v>12</v>
      </c>
      <c r="D2855" s="11">
        <v>41974</v>
      </c>
      <c r="E2855" t="s">
        <v>2184</v>
      </c>
      <c r="F2855">
        <v>3</v>
      </c>
      <c r="G2855" t="s">
        <v>65</v>
      </c>
      <c r="H2855" t="s">
        <v>45</v>
      </c>
      <c r="I2855" t="s">
        <v>2193</v>
      </c>
      <c r="J2855" s="10">
        <v>0</v>
      </c>
      <c r="K2855" t="b">
        <v>1</v>
      </c>
    </row>
    <row r="2856" spans="1:11">
      <c r="A2856" s="12">
        <v>41997</v>
      </c>
      <c r="B2856">
        <v>2014</v>
      </c>
      <c r="C2856">
        <v>12</v>
      </c>
      <c r="D2856" s="11">
        <v>41974</v>
      </c>
      <c r="E2856" t="s">
        <v>2184</v>
      </c>
      <c r="F2856">
        <v>3</v>
      </c>
      <c r="G2856" t="s">
        <v>65</v>
      </c>
      <c r="H2856" t="s">
        <v>46</v>
      </c>
      <c r="I2856" t="s">
        <v>2194</v>
      </c>
      <c r="J2856" s="10">
        <v>2</v>
      </c>
      <c r="K2856" t="b">
        <v>1</v>
      </c>
    </row>
    <row r="2857" spans="1:11">
      <c r="A2857" s="12">
        <v>41997</v>
      </c>
      <c r="B2857">
        <v>2014</v>
      </c>
      <c r="C2857">
        <v>12</v>
      </c>
      <c r="D2857" s="11">
        <v>41974</v>
      </c>
      <c r="E2857" t="s">
        <v>2184</v>
      </c>
      <c r="F2857">
        <v>3</v>
      </c>
      <c r="G2857" t="s">
        <v>65</v>
      </c>
      <c r="H2857" t="s">
        <v>47</v>
      </c>
      <c r="I2857" t="s">
        <v>2195</v>
      </c>
      <c r="J2857" s="10">
        <v>2</v>
      </c>
      <c r="K2857" t="b">
        <v>1</v>
      </c>
    </row>
    <row r="2858" spans="1:11">
      <c r="A2858" s="12">
        <v>41998</v>
      </c>
      <c r="B2858">
        <v>2014</v>
      </c>
      <c r="C2858">
        <v>12</v>
      </c>
      <c r="D2858" s="11">
        <v>41974</v>
      </c>
      <c r="E2858" t="s">
        <v>2184</v>
      </c>
      <c r="F2858">
        <v>4</v>
      </c>
      <c r="G2858" t="s">
        <v>53</v>
      </c>
      <c r="H2858" t="s">
        <v>40</v>
      </c>
      <c r="I2858" t="s">
        <v>2188</v>
      </c>
      <c r="J2858" s="10">
        <v>8.34</v>
      </c>
      <c r="K2858" t="b">
        <v>1</v>
      </c>
    </row>
    <row r="2859" spans="1:11">
      <c r="A2859" s="12">
        <v>41998</v>
      </c>
      <c r="B2859">
        <v>2014</v>
      </c>
      <c r="C2859">
        <v>12</v>
      </c>
      <c r="D2859" s="11">
        <v>41974</v>
      </c>
      <c r="E2859" t="s">
        <v>2184</v>
      </c>
      <c r="F2859">
        <v>4</v>
      </c>
      <c r="G2859" t="s">
        <v>53</v>
      </c>
      <c r="H2859" t="s">
        <v>41</v>
      </c>
      <c r="I2859" t="s">
        <v>2189</v>
      </c>
      <c r="J2859" s="10">
        <v>2</v>
      </c>
      <c r="K2859" t="b">
        <v>1</v>
      </c>
    </row>
    <row r="2860" spans="1:11">
      <c r="A2860" s="12">
        <v>41998</v>
      </c>
      <c r="B2860">
        <v>2014</v>
      </c>
      <c r="C2860">
        <v>12</v>
      </c>
      <c r="D2860" s="11">
        <v>41974</v>
      </c>
      <c r="E2860" t="s">
        <v>2184</v>
      </c>
      <c r="F2860">
        <v>4</v>
      </c>
      <c r="G2860" t="s">
        <v>53</v>
      </c>
      <c r="H2860" t="s">
        <v>42</v>
      </c>
      <c r="I2860" t="s">
        <v>2190</v>
      </c>
      <c r="J2860" s="10">
        <v>9.5</v>
      </c>
      <c r="K2860" t="b">
        <v>1</v>
      </c>
    </row>
    <row r="2861" spans="1:11">
      <c r="A2861" s="12">
        <v>41998</v>
      </c>
      <c r="B2861">
        <v>2014</v>
      </c>
      <c r="C2861">
        <v>12</v>
      </c>
      <c r="D2861" s="11">
        <v>41974</v>
      </c>
      <c r="E2861" t="s">
        <v>2184</v>
      </c>
      <c r="F2861">
        <v>4</v>
      </c>
      <c r="G2861" t="s">
        <v>53</v>
      </c>
      <c r="H2861" t="s">
        <v>43</v>
      </c>
      <c r="I2861" t="s">
        <v>2191</v>
      </c>
      <c r="J2861" s="10">
        <v>31</v>
      </c>
      <c r="K2861" t="b">
        <v>1</v>
      </c>
    </row>
    <row r="2862" spans="1:11">
      <c r="A2862" s="12">
        <v>41998</v>
      </c>
      <c r="B2862">
        <v>2014</v>
      </c>
      <c r="C2862">
        <v>12</v>
      </c>
      <c r="D2862" s="11">
        <v>41974</v>
      </c>
      <c r="E2862" t="s">
        <v>2184</v>
      </c>
      <c r="F2862">
        <v>4</v>
      </c>
      <c r="G2862" t="s">
        <v>53</v>
      </c>
      <c r="H2862" t="s">
        <v>44</v>
      </c>
      <c r="I2862" t="s">
        <v>2192</v>
      </c>
      <c r="J2862" s="10">
        <v>16</v>
      </c>
      <c r="K2862" t="b">
        <v>1</v>
      </c>
    </row>
    <row r="2863" spans="1:11">
      <c r="A2863" s="12">
        <v>41998</v>
      </c>
      <c r="B2863">
        <v>2014</v>
      </c>
      <c r="C2863">
        <v>12</v>
      </c>
      <c r="D2863" s="11">
        <v>41974</v>
      </c>
      <c r="E2863" t="s">
        <v>2184</v>
      </c>
      <c r="F2863">
        <v>4</v>
      </c>
      <c r="G2863" t="s">
        <v>53</v>
      </c>
      <c r="H2863" t="s">
        <v>45</v>
      </c>
      <c r="I2863" t="s">
        <v>2193</v>
      </c>
      <c r="J2863" s="10">
        <v>0</v>
      </c>
      <c r="K2863" t="b">
        <v>1</v>
      </c>
    </row>
    <row r="2864" spans="1:11">
      <c r="A2864" s="12">
        <v>41998</v>
      </c>
      <c r="B2864">
        <v>2014</v>
      </c>
      <c r="C2864">
        <v>12</v>
      </c>
      <c r="D2864" s="11">
        <v>41974</v>
      </c>
      <c r="E2864" t="s">
        <v>2184</v>
      </c>
      <c r="F2864">
        <v>4</v>
      </c>
      <c r="G2864" t="s">
        <v>53</v>
      </c>
      <c r="H2864" t="s">
        <v>46</v>
      </c>
      <c r="I2864" t="s">
        <v>2194</v>
      </c>
      <c r="J2864" s="10">
        <v>2</v>
      </c>
      <c r="K2864" t="b">
        <v>1</v>
      </c>
    </row>
    <row r="2865" spans="1:11">
      <c r="A2865" s="12">
        <v>41998</v>
      </c>
      <c r="B2865">
        <v>2014</v>
      </c>
      <c r="C2865">
        <v>12</v>
      </c>
      <c r="D2865" s="11">
        <v>41974</v>
      </c>
      <c r="E2865" t="s">
        <v>2184</v>
      </c>
      <c r="F2865">
        <v>4</v>
      </c>
      <c r="G2865" t="s">
        <v>53</v>
      </c>
      <c r="H2865" t="s">
        <v>47</v>
      </c>
      <c r="I2865" t="s">
        <v>2195</v>
      </c>
      <c r="J2865" s="10">
        <v>2</v>
      </c>
      <c r="K2865" t="b">
        <v>1</v>
      </c>
    </row>
    <row r="2866" spans="1:11">
      <c r="A2866" s="12">
        <v>41999</v>
      </c>
      <c r="B2866">
        <v>2014</v>
      </c>
      <c r="C2866">
        <v>12</v>
      </c>
      <c r="D2866" s="11">
        <v>41974</v>
      </c>
      <c r="E2866" t="s">
        <v>2184</v>
      </c>
      <c r="F2866">
        <v>5</v>
      </c>
      <c r="G2866" t="s">
        <v>55</v>
      </c>
      <c r="H2866" t="s">
        <v>40</v>
      </c>
      <c r="I2866" t="s">
        <v>2188</v>
      </c>
      <c r="J2866" s="10">
        <v>3.33</v>
      </c>
      <c r="K2866" t="b">
        <v>1</v>
      </c>
    </row>
    <row r="2867" spans="1:11">
      <c r="A2867" s="12">
        <v>41999</v>
      </c>
      <c r="B2867">
        <v>2014</v>
      </c>
      <c r="C2867">
        <v>12</v>
      </c>
      <c r="D2867" s="11">
        <v>41974</v>
      </c>
      <c r="E2867" t="s">
        <v>2184</v>
      </c>
      <c r="F2867">
        <v>5</v>
      </c>
      <c r="G2867" t="s">
        <v>55</v>
      </c>
      <c r="H2867" t="s">
        <v>41</v>
      </c>
      <c r="I2867" t="s">
        <v>2189</v>
      </c>
      <c r="J2867" s="10">
        <v>4.01</v>
      </c>
      <c r="K2867" t="b">
        <v>1</v>
      </c>
    </row>
    <row r="2868" spans="1:11">
      <c r="A2868" s="12">
        <v>41999</v>
      </c>
      <c r="B2868">
        <v>2014</v>
      </c>
      <c r="C2868">
        <v>12</v>
      </c>
      <c r="D2868" s="11">
        <v>41974</v>
      </c>
      <c r="E2868" t="s">
        <v>2184</v>
      </c>
      <c r="F2868">
        <v>5</v>
      </c>
      <c r="G2868" t="s">
        <v>55</v>
      </c>
      <c r="H2868" t="s">
        <v>42</v>
      </c>
      <c r="I2868" t="s">
        <v>2190</v>
      </c>
      <c r="J2868" s="10">
        <v>3</v>
      </c>
      <c r="K2868" t="b">
        <v>1</v>
      </c>
    </row>
    <row r="2869" spans="1:11">
      <c r="A2869" s="12">
        <v>41999</v>
      </c>
      <c r="B2869">
        <v>2014</v>
      </c>
      <c r="C2869">
        <v>12</v>
      </c>
      <c r="D2869" s="11">
        <v>41974</v>
      </c>
      <c r="E2869" t="s">
        <v>2184</v>
      </c>
      <c r="F2869">
        <v>5</v>
      </c>
      <c r="G2869" t="s">
        <v>55</v>
      </c>
      <c r="H2869" t="s">
        <v>43</v>
      </c>
      <c r="I2869" t="s">
        <v>2191</v>
      </c>
      <c r="J2869" s="10">
        <v>30.7</v>
      </c>
      <c r="K2869" t="b">
        <v>1</v>
      </c>
    </row>
    <row r="2870" spans="1:11">
      <c r="A2870" s="12">
        <v>41999</v>
      </c>
      <c r="B2870">
        <v>2014</v>
      </c>
      <c r="C2870">
        <v>12</v>
      </c>
      <c r="D2870" s="11">
        <v>41974</v>
      </c>
      <c r="E2870" t="s">
        <v>2184</v>
      </c>
      <c r="F2870">
        <v>5</v>
      </c>
      <c r="G2870" t="s">
        <v>55</v>
      </c>
      <c r="H2870" t="s">
        <v>44</v>
      </c>
      <c r="I2870" t="s">
        <v>2192</v>
      </c>
      <c r="J2870" s="10">
        <v>25</v>
      </c>
      <c r="K2870" t="b">
        <v>1</v>
      </c>
    </row>
    <row r="2871" spans="1:11">
      <c r="A2871" s="12">
        <v>41999</v>
      </c>
      <c r="B2871">
        <v>2014</v>
      </c>
      <c r="C2871">
        <v>12</v>
      </c>
      <c r="D2871" s="11">
        <v>41974</v>
      </c>
      <c r="E2871" t="s">
        <v>2184</v>
      </c>
      <c r="F2871">
        <v>5</v>
      </c>
      <c r="G2871" t="s">
        <v>55</v>
      </c>
      <c r="H2871" t="s">
        <v>45</v>
      </c>
      <c r="I2871" t="s">
        <v>2193</v>
      </c>
      <c r="J2871" s="10">
        <v>1</v>
      </c>
      <c r="K2871" t="b">
        <v>1</v>
      </c>
    </row>
    <row r="2872" spans="1:11">
      <c r="A2872" s="12">
        <v>41999</v>
      </c>
      <c r="B2872">
        <v>2014</v>
      </c>
      <c r="C2872">
        <v>12</v>
      </c>
      <c r="D2872" s="11">
        <v>41974</v>
      </c>
      <c r="E2872" t="s">
        <v>2184</v>
      </c>
      <c r="F2872">
        <v>5</v>
      </c>
      <c r="G2872" t="s">
        <v>55</v>
      </c>
      <c r="H2872" t="s">
        <v>46</v>
      </c>
      <c r="I2872" t="s">
        <v>2194</v>
      </c>
      <c r="J2872" s="10">
        <v>0</v>
      </c>
      <c r="K2872" t="b">
        <v>1</v>
      </c>
    </row>
    <row r="2873" spans="1:11">
      <c r="A2873" s="12">
        <v>41999</v>
      </c>
      <c r="B2873">
        <v>2014</v>
      </c>
      <c r="C2873">
        <v>12</v>
      </c>
      <c r="D2873" s="11">
        <v>41974</v>
      </c>
      <c r="E2873" t="s">
        <v>2184</v>
      </c>
      <c r="F2873">
        <v>5</v>
      </c>
      <c r="G2873" t="s">
        <v>55</v>
      </c>
      <c r="H2873" t="s">
        <v>47</v>
      </c>
      <c r="I2873" t="s">
        <v>2195</v>
      </c>
      <c r="J2873" s="10">
        <v>0</v>
      </c>
      <c r="K2873" t="b">
        <v>1</v>
      </c>
    </row>
    <row r="2874" spans="1:11">
      <c r="A2874" s="12">
        <v>42000</v>
      </c>
      <c r="B2874">
        <v>2014</v>
      </c>
      <c r="C2874">
        <v>12</v>
      </c>
      <c r="D2874" s="11">
        <v>41974</v>
      </c>
      <c r="E2874" t="s">
        <v>2184</v>
      </c>
      <c r="F2874">
        <v>6</v>
      </c>
      <c r="G2874" t="s">
        <v>57</v>
      </c>
      <c r="H2874" t="s">
        <v>40</v>
      </c>
      <c r="I2874" t="s">
        <v>2188</v>
      </c>
      <c r="J2874" s="10">
        <v>7.33</v>
      </c>
      <c r="K2874" t="b">
        <v>1</v>
      </c>
    </row>
    <row r="2875" spans="1:11">
      <c r="A2875" s="12">
        <v>42000</v>
      </c>
      <c r="B2875">
        <v>2014</v>
      </c>
      <c r="C2875">
        <v>12</v>
      </c>
      <c r="D2875" s="11">
        <v>41974</v>
      </c>
      <c r="E2875" t="s">
        <v>2184</v>
      </c>
      <c r="F2875">
        <v>6</v>
      </c>
      <c r="G2875" t="s">
        <v>57</v>
      </c>
      <c r="H2875" t="s">
        <v>41</v>
      </c>
      <c r="I2875" t="s">
        <v>2189</v>
      </c>
      <c r="J2875" s="10">
        <v>5.34</v>
      </c>
      <c r="K2875" t="b">
        <v>1</v>
      </c>
    </row>
    <row r="2876" spans="1:11">
      <c r="A2876" s="12">
        <v>42000</v>
      </c>
      <c r="B2876">
        <v>2014</v>
      </c>
      <c r="C2876">
        <v>12</v>
      </c>
      <c r="D2876" s="11">
        <v>41974</v>
      </c>
      <c r="E2876" t="s">
        <v>2184</v>
      </c>
      <c r="F2876">
        <v>6</v>
      </c>
      <c r="G2876" t="s">
        <v>57</v>
      </c>
      <c r="H2876" t="s">
        <v>42</v>
      </c>
      <c r="I2876" t="s">
        <v>2190</v>
      </c>
      <c r="J2876" s="10">
        <v>4.4</v>
      </c>
      <c r="K2876" t="b">
        <v>1</v>
      </c>
    </row>
    <row r="2877" spans="1:11">
      <c r="A2877" s="12">
        <v>42000</v>
      </c>
      <c r="B2877">
        <v>2014</v>
      </c>
      <c r="C2877">
        <v>12</v>
      </c>
      <c r="D2877" s="11">
        <v>41974</v>
      </c>
      <c r="E2877" t="s">
        <v>2184</v>
      </c>
      <c r="F2877">
        <v>6</v>
      </c>
      <c r="G2877" t="s">
        <v>57</v>
      </c>
      <c r="H2877" t="s">
        <v>43</v>
      </c>
      <c r="I2877" t="s">
        <v>2191</v>
      </c>
      <c r="J2877" s="10">
        <v>39</v>
      </c>
      <c r="K2877" t="b">
        <v>1</v>
      </c>
    </row>
    <row r="2878" spans="1:11">
      <c r="A2878" s="12">
        <v>42000</v>
      </c>
      <c r="B2878">
        <v>2014</v>
      </c>
      <c r="C2878">
        <v>12</v>
      </c>
      <c r="D2878" s="11">
        <v>41974</v>
      </c>
      <c r="E2878" t="s">
        <v>2184</v>
      </c>
      <c r="F2878">
        <v>6</v>
      </c>
      <c r="G2878" t="s">
        <v>57</v>
      </c>
      <c r="H2878" t="s">
        <v>44</v>
      </c>
      <c r="I2878" t="s">
        <v>2192</v>
      </c>
      <c r="J2878" s="10">
        <v>26</v>
      </c>
      <c r="K2878" t="b">
        <v>1</v>
      </c>
    </row>
    <row r="2879" spans="1:11">
      <c r="A2879" s="12">
        <v>42000</v>
      </c>
      <c r="B2879">
        <v>2014</v>
      </c>
      <c r="C2879">
        <v>12</v>
      </c>
      <c r="D2879" s="11">
        <v>41974</v>
      </c>
      <c r="E2879" t="s">
        <v>2184</v>
      </c>
      <c r="F2879">
        <v>6</v>
      </c>
      <c r="G2879" t="s">
        <v>57</v>
      </c>
      <c r="H2879" t="s">
        <v>45</v>
      </c>
      <c r="I2879" t="s">
        <v>2193</v>
      </c>
      <c r="J2879" s="10">
        <v>0</v>
      </c>
      <c r="K2879" t="b">
        <v>1</v>
      </c>
    </row>
    <row r="2880" spans="1:11">
      <c r="A2880" s="12">
        <v>42000</v>
      </c>
      <c r="B2880">
        <v>2014</v>
      </c>
      <c r="C2880">
        <v>12</v>
      </c>
      <c r="D2880" s="11">
        <v>41974</v>
      </c>
      <c r="E2880" t="s">
        <v>2184</v>
      </c>
      <c r="F2880">
        <v>6</v>
      </c>
      <c r="G2880" t="s">
        <v>57</v>
      </c>
      <c r="H2880" t="s">
        <v>46</v>
      </c>
      <c r="I2880" t="s">
        <v>2194</v>
      </c>
      <c r="J2880" s="10">
        <v>9</v>
      </c>
      <c r="K2880" t="b">
        <v>1</v>
      </c>
    </row>
    <row r="2881" spans="1:11">
      <c r="A2881" s="12">
        <v>42000</v>
      </c>
      <c r="B2881">
        <v>2014</v>
      </c>
      <c r="C2881">
        <v>12</v>
      </c>
      <c r="D2881" s="11">
        <v>41974</v>
      </c>
      <c r="E2881" t="s">
        <v>2184</v>
      </c>
      <c r="F2881">
        <v>6</v>
      </c>
      <c r="G2881" t="s">
        <v>57</v>
      </c>
      <c r="H2881" t="s">
        <v>47</v>
      </c>
      <c r="I2881" t="s">
        <v>2195</v>
      </c>
      <c r="J2881" s="10">
        <v>3</v>
      </c>
      <c r="K2881" t="b">
        <v>1</v>
      </c>
    </row>
    <row r="2882" spans="1:11">
      <c r="A2882" s="12">
        <v>42001</v>
      </c>
      <c r="B2882">
        <v>2014</v>
      </c>
      <c r="C2882">
        <v>12</v>
      </c>
      <c r="D2882" s="11">
        <v>41974</v>
      </c>
      <c r="E2882" t="s">
        <v>2184</v>
      </c>
      <c r="F2882">
        <v>7</v>
      </c>
      <c r="G2882" t="s">
        <v>59</v>
      </c>
      <c r="H2882" t="s">
        <v>40</v>
      </c>
      <c r="I2882" t="s">
        <v>2188</v>
      </c>
      <c r="J2882" s="10">
        <v>2.34</v>
      </c>
      <c r="K2882" t="b">
        <v>1</v>
      </c>
    </row>
    <row r="2883" spans="1:11">
      <c r="A2883" s="12">
        <v>42001</v>
      </c>
      <c r="B2883">
        <v>2014</v>
      </c>
      <c r="C2883">
        <v>12</v>
      </c>
      <c r="D2883" s="11">
        <v>41974</v>
      </c>
      <c r="E2883" t="s">
        <v>2184</v>
      </c>
      <c r="F2883">
        <v>7</v>
      </c>
      <c r="G2883" t="s">
        <v>59</v>
      </c>
      <c r="H2883" t="s">
        <v>41</v>
      </c>
      <c r="I2883" t="s">
        <v>2189</v>
      </c>
      <c r="J2883" s="10">
        <v>10.76</v>
      </c>
      <c r="K2883" t="b">
        <v>1</v>
      </c>
    </row>
    <row r="2884" spans="1:11">
      <c r="A2884" s="12">
        <v>42001</v>
      </c>
      <c r="B2884">
        <v>2014</v>
      </c>
      <c r="C2884">
        <v>12</v>
      </c>
      <c r="D2884" s="11">
        <v>41974</v>
      </c>
      <c r="E2884" t="s">
        <v>2184</v>
      </c>
      <c r="F2884">
        <v>7</v>
      </c>
      <c r="G2884" t="s">
        <v>59</v>
      </c>
      <c r="H2884" t="s">
        <v>42</v>
      </c>
      <c r="I2884" t="s">
        <v>2190</v>
      </c>
      <c r="J2884" s="10">
        <v>3</v>
      </c>
      <c r="K2884" t="b">
        <v>1</v>
      </c>
    </row>
    <row r="2885" spans="1:11">
      <c r="A2885" s="12">
        <v>42001</v>
      </c>
      <c r="B2885">
        <v>2014</v>
      </c>
      <c r="C2885">
        <v>12</v>
      </c>
      <c r="D2885" s="11">
        <v>41974</v>
      </c>
      <c r="E2885" t="s">
        <v>2184</v>
      </c>
      <c r="F2885">
        <v>7</v>
      </c>
      <c r="G2885" t="s">
        <v>59</v>
      </c>
      <c r="H2885" t="s">
        <v>43</v>
      </c>
      <c r="I2885" t="s">
        <v>2191</v>
      </c>
      <c r="J2885" s="10">
        <v>80.40000000000001</v>
      </c>
      <c r="K2885" t="b">
        <v>1</v>
      </c>
    </row>
    <row r="2886" spans="1:11">
      <c r="A2886" s="12">
        <v>42001</v>
      </c>
      <c r="B2886">
        <v>2014</v>
      </c>
      <c r="C2886">
        <v>12</v>
      </c>
      <c r="D2886" s="11">
        <v>41974</v>
      </c>
      <c r="E2886" t="s">
        <v>2184</v>
      </c>
      <c r="F2886">
        <v>7</v>
      </c>
      <c r="G2886" t="s">
        <v>59</v>
      </c>
      <c r="H2886" t="s">
        <v>44</v>
      </c>
      <c r="I2886" t="s">
        <v>2192</v>
      </c>
      <c r="J2886" s="10">
        <v>15</v>
      </c>
      <c r="K2886" t="b">
        <v>1</v>
      </c>
    </row>
    <row r="2887" spans="1:11">
      <c r="A2887" s="12">
        <v>42001</v>
      </c>
      <c r="B2887">
        <v>2014</v>
      </c>
      <c r="C2887">
        <v>12</v>
      </c>
      <c r="D2887" s="11">
        <v>41974</v>
      </c>
      <c r="E2887" t="s">
        <v>2184</v>
      </c>
      <c r="F2887">
        <v>7</v>
      </c>
      <c r="G2887" t="s">
        <v>59</v>
      </c>
      <c r="H2887" t="s">
        <v>45</v>
      </c>
      <c r="I2887" t="s">
        <v>2193</v>
      </c>
      <c r="J2887" s="10">
        <v>0</v>
      </c>
      <c r="K2887" t="b">
        <v>1</v>
      </c>
    </row>
    <row r="2888" spans="1:11">
      <c r="A2888" s="12">
        <v>42001</v>
      </c>
      <c r="B2888">
        <v>2014</v>
      </c>
      <c r="C2888">
        <v>12</v>
      </c>
      <c r="D2888" s="11">
        <v>41974</v>
      </c>
      <c r="E2888" t="s">
        <v>2184</v>
      </c>
      <c r="F2888">
        <v>7</v>
      </c>
      <c r="G2888" t="s">
        <v>59</v>
      </c>
      <c r="H2888" t="s">
        <v>46</v>
      </c>
      <c r="I2888" t="s">
        <v>2194</v>
      </c>
      <c r="J2888" s="10">
        <v>13</v>
      </c>
      <c r="K2888" t="b">
        <v>1</v>
      </c>
    </row>
    <row r="2889" spans="1:11">
      <c r="A2889" s="12">
        <v>42001</v>
      </c>
      <c r="B2889">
        <v>2014</v>
      </c>
      <c r="C2889">
        <v>12</v>
      </c>
      <c r="D2889" s="11">
        <v>41974</v>
      </c>
      <c r="E2889" t="s">
        <v>2184</v>
      </c>
      <c r="F2889">
        <v>7</v>
      </c>
      <c r="G2889" t="s">
        <v>59</v>
      </c>
      <c r="H2889" t="s">
        <v>47</v>
      </c>
      <c r="I2889" t="s">
        <v>2195</v>
      </c>
      <c r="J2889" s="10">
        <v>1</v>
      </c>
      <c r="K2889" t="b">
        <v>1</v>
      </c>
    </row>
    <row r="2890" spans="1:11">
      <c r="A2890" s="12">
        <v>42002</v>
      </c>
      <c r="B2890">
        <v>2014</v>
      </c>
      <c r="C2890">
        <v>12</v>
      </c>
      <c r="D2890" s="11">
        <v>41974</v>
      </c>
      <c r="E2890" t="s">
        <v>2184</v>
      </c>
      <c r="F2890">
        <v>1</v>
      </c>
      <c r="G2890" t="s">
        <v>61</v>
      </c>
      <c r="H2890" t="s">
        <v>40</v>
      </c>
      <c r="I2890" t="s">
        <v>2188</v>
      </c>
      <c r="J2890" s="10">
        <v>2.33</v>
      </c>
      <c r="K2890" t="b">
        <v>1</v>
      </c>
    </row>
    <row r="2891" spans="1:11">
      <c r="A2891" s="12">
        <v>42002</v>
      </c>
      <c r="B2891">
        <v>2014</v>
      </c>
      <c r="C2891">
        <v>12</v>
      </c>
      <c r="D2891" s="11">
        <v>41974</v>
      </c>
      <c r="E2891" t="s">
        <v>2184</v>
      </c>
      <c r="F2891">
        <v>1</v>
      </c>
      <c r="G2891" t="s">
        <v>61</v>
      </c>
      <c r="H2891" t="s">
        <v>41</v>
      </c>
      <c r="I2891" t="s">
        <v>2189</v>
      </c>
      <c r="J2891" s="10">
        <v>3.66</v>
      </c>
      <c r="K2891" t="b">
        <v>1</v>
      </c>
    </row>
    <row r="2892" spans="1:11">
      <c r="A2892" s="12">
        <v>42002</v>
      </c>
      <c r="B2892">
        <v>2014</v>
      </c>
      <c r="C2892">
        <v>12</v>
      </c>
      <c r="D2892" s="11">
        <v>41974</v>
      </c>
      <c r="E2892" t="s">
        <v>2184</v>
      </c>
      <c r="F2892">
        <v>1</v>
      </c>
      <c r="G2892" t="s">
        <v>61</v>
      </c>
      <c r="H2892" t="s">
        <v>42</v>
      </c>
      <c r="I2892" t="s">
        <v>2190</v>
      </c>
      <c r="J2892" s="10">
        <v>4</v>
      </c>
      <c r="K2892" t="b">
        <v>1</v>
      </c>
    </row>
    <row r="2893" spans="1:11">
      <c r="A2893" s="12">
        <v>42002</v>
      </c>
      <c r="B2893">
        <v>2014</v>
      </c>
      <c r="C2893">
        <v>12</v>
      </c>
      <c r="D2893" s="11">
        <v>41974</v>
      </c>
      <c r="E2893" t="s">
        <v>2184</v>
      </c>
      <c r="F2893">
        <v>1</v>
      </c>
      <c r="G2893" t="s">
        <v>61</v>
      </c>
      <c r="H2893" t="s">
        <v>43</v>
      </c>
      <c r="I2893" t="s">
        <v>2191</v>
      </c>
      <c r="J2893" s="10">
        <v>40</v>
      </c>
      <c r="K2893" t="b">
        <v>1</v>
      </c>
    </row>
    <row r="2894" spans="1:11">
      <c r="A2894" s="12">
        <v>42002</v>
      </c>
      <c r="B2894">
        <v>2014</v>
      </c>
      <c r="C2894">
        <v>12</v>
      </c>
      <c r="D2894" s="11">
        <v>41974</v>
      </c>
      <c r="E2894" t="s">
        <v>2184</v>
      </c>
      <c r="F2894">
        <v>1</v>
      </c>
      <c r="G2894" t="s">
        <v>61</v>
      </c>
      <c r="H2894" t="s">
        <v>44</v>
      </c>
      <c r="I2894" t="s">
        <v>2192</v>
      </c>
      <c r="J2894" s="10">
        <v>5</v>
      </c>
      <c r="K2894" t="b">
        <v>1</v>
      </c>
    </row>
    <row r="2895" spans="1:11">
      <c r="A2895" s="12">
        <v>42002</v>
      </c>
      <c r="B2895">
        <v>2014</v>
      </c>
      <c r="C2895">
        <v>12</v>
      </c>
      <c r="D2895" s="11">
        <v>41974</v>
      </c>
      <c r="E2895" t="s">
        <v>2184</v>
      </c>
      <c r="F2895">
        <v>1</v>
      </c>
      <c r="G2895" t="s">
        <v>61</v>
      </c>
      <c r="H2895" t="s">
        <v>45</v>
      </c>
      <c r="I2895" t="s">
        <v>2193</v>
      </c>
      <c r="J2895" s="10">
        <v>1</v>
      </c>
      <c r="K2895" t="b">
        <v>1</v>
      </c>
    </row>
    <row r="2896" spans="1:11">
      <c r="A2896" s="12">
        <v>42002</v>
      </c>
      <c r="B2896">
        <v>2014</v>
      </c>
      <c r="C2896">
        <v>12</v>
      </c>
      <c r="D2896" s="11">
        <v>41974</v>
      </c>
      <c r="E2896" t="s">
        <v>2184</v>
      </c>
      <c r="F2896">
        <v>1</v>
      </c>
      <c r="G2896" t="s">
        <v>61</v>
      </c>
      <c r="H2896" t="s">
        <v>46</v>
      </c>
      <c r="I2896" t="s">
        <v>2194</v>
      </c>
      <c r="J2896" s="10">
        <v>2</v>
      </c>
      <c r="K2896" t="b">
        <v>1</v>
      </c>
    </row>
    <row r="2897" spans="1:11">
      <c r="A2897" s="12">
        <v>42002</v>
      </c>
      <c r="B2897">
        <v>2014</v>
      </c>
      <c r="C2897">
        <v>12</v>
      </c>
      <c r="D2897" s="11">
        <v>41974</v>
      </c>
      <c r="E2897" t="s">
        <v>2184</v>
      </c>
      <c r="F2897">
        <v>1</v>
      </c>
      <c r="G2897" t="s">
        <v>61</v>
      </c>
      <c r="H2897" t="s">
        <v>47</v>
      </c>
      <c r="I2897" t="s">
        <v>2195</v>
      </c>
      <c r="J2897" s="10">
        <v>0</v>
      </c>
      <c r="K2897" t="b">
        <v>1</v>
      </c>
    </row>
    <row r="2898" spans="1:11">
      <c r="A2898" s="12">
        <v>42003</v>
      </c>
      <c r="B2898">
        <v>2014</v>
      </c>
      <c r="C2898">
        <v>12</v>
      </c>
      <c r="D2898" s="11">
        <v>41974</v>
      </c>
      <c r="E2898" t="s">
        <v>2184</v>
      </c>
      <c r="F2898">
        <v>2</v>
      </c>
      <c r="G2898" t="s">
        <v>63</v>
      </c>
      <c r="H2898" t="s">
        <v>40</v>
      </c>
      <c r="I2898" t="s">
        <v>2188</v>
      </c>
      <c r="J2898" s="10">
        <v>9</v>
      </c>
      <c r="K2898" t="b">
        <v>1</v>
      </c>
    </row>
    <row r="2899" spans="1:11">
      <c r="A2899" s="12">
        <v>42003</v>
      </c>
      <c r="B2899">
        <v>2014</v>
      </c>
      <c r="C2899">
        <v>12</v>
      </c>
      <c r="D2899" s="11">
        <v>41974</v>
      </c>
      <c r="E2899" t="s">
        <v>2184</v>
      </c>
      <c r="F2899">
        <v>2</v>
      </c>
      <c r="G2899" t="s">
        <v>63</v>
      </c>
      <c r="H2899" t="s">
        <v>41</v>
      </c>
      <c r="I2899" t="s">
        <v>2189</v>
      </c>
      <c r="J2899" s="10">
        <v>5.63</v>
      </c>
      <c r="K2899" t="b">
        <v>1</v>
      </c>
    </row>
    <row r="2900" spans="1:11">
      <c r="A2900" s="12">
        <v>42003</v>
      </c>
      <c r="B2900">
        <v>2014</v>
      </c>
      <c r="C2900">
        <v>12</v>
      </c>
      <c r="D2900" s="11">
        <v>41974</v>
      </c>
      <c r="E2900" t="s">
        <v>2184</v>
      </c>
      <c r="F2900">
        <v>2</v>
      </c>
      <c r="G2900" t="s">
        <v>63</v>
      </c>
      <c r="H2900" t="s">
        <v>42</v>
      </c>
      <c r="I2900" t="s">
        <v>2190</v>
      </c>
      <c r="J2900" s="10">
        <v>3.8</v>
      </c>
      <c r="K2900" t="b">
        <v>1</v>
      </c>
    </row>
    <row r="2901" spans="1:11">
      <c r="A2901" s="12">
        <v>42003</v>
      </c>
      <c r="B2901">
        <v>2014</v>
      </c>
      <c r="C2901">
        <v>12</v>
      </c>
      <c r="D2901" s="11">
        <v>41974</v>
      </c>
      <c r="E2901" t="s">
        <v>2184</v>
      </c>
      <c r="F2901">
        <v>2</v>
      </c>
      <c r="G2901" t="s">
        <v>63</v>
      </c>
      <c r="H2901" t="s">
        <v>43</v>
      </c>
      <c r="I2901" t="s">
        <v>2191</v>
      </c>
      <c r="J2901" s="10">
        <v>51</v>
      </c>
      <c r="K2901" t="b">
        <v>1</v>
      </c>
    </row>
    <row r="2902" spans="1:11">
      <c r="A2902" s="12">
        <v>42003</v>
      </c>
      <c r="B2902">
        <v>2014</v>
      </c>
      <c r="C2902">
        <v>12</v>
      </c>
      <c r="D2902" s="11">
        <v>41974</v>
      </c>
      <c r="E2902" t="s">
        <v>2184</v>
      </c>
      <c r="F2902">
        <v>2</v>
      </c>
      <c r="G2902" t="s">
        <v>63</v>
      </c>
      <c r="H2902" t="s">
        <v>44</v>
      </c>
      <c r="I2902" t="s">
        <v>2192</v>
      </c>
      <c r="J2902" s="10">
        <v>18</v>
      </c>
      <c r="K2902" t="b">
        <v>1</v>
      </c>
    </row>
    <row r="2903" spans="1:11">
      <c r="A2903" s="12">
        <v>42003</v>
      </c>
      <c r="B2903">
        <v>2014</v>
      </c>
      <c r="C2903">
        <v>12</v>
      </c>
      <c r="D2903" s="11">
        <v>41974</v>
      </c>
      <c r="E2903" t="s">
        <v>2184</v>
      </c>
      <c r="F2903">
        <v>2</v>
      </c>
      <c r="G2903" t="s">
        <v>63</v>
      </c>
      <c r="H2903" t="s">
        <v>45</v>
      </c>
      <c r="I2903" t="s">
        <v>2193</v>
      </c>
      <c r="J2903" s="10">
        <v>0</v>
      </c>
      <c r="K2903" t="b">
        <v>1</v>
      </c>
    </row>
    <row r="2904" spans="1:11">
      <c r="A2904" s="12">
        <v>42003</v>
      </c>
      <c r="B2904">
        <v>2014</v>
      </c>
      <c r="C2904">
        <v>12</v>
      </c>
      <c r="D2904" s="11">
        <v>41974</v>
      </c>
      <c r="E2904" t="s">
        <v>2184</v>
      </c>
      <c r="F2904">
        <v>2</v>
      </c>
      <c r="G2904" t="s">
        <v>63</v>
      </c>
      <c r="H2904" t="s">
        <v>46</v>
      </c>
      <c r="I2904" t="s">
        <v>2194</v>
      </c>
      <c r="J2904" s="10">
        <v>5</v>
      </c>
      <c r="K2904" t="b">
        <v>1</v>
      </c>
    </row>
    <row r="2905" spans="1:11">
      <c r="A2905" s="12">
        <v>42003</v>
      </c>
      <c r="B2905">
        <v>2014</v>
      </c>
      <c r="C2905">
        <v>12</v>
      </c>
      <c r="D2905" s="11">
        <v>41974</v>
      </c>
      <c r="E2905" t="s">
        <v>2184</v>
      </c>
      <c r="F2905">
        <v>2</v>
      </c>
      <c r="G2905" t="s">
        <v>63</v>
      </c>
      <c r="H2905" t="s">
        <v>47</v>
      </c>
      <c r="I2905" t="s">
        <v>2195</v>
      </c>
      <c r="J2905" s="10">
        <v>2</v>
      </c>
      <c r="K2905" t="b">
        <v>1</v>
      </c>
    </row>
    <row r="2906" spans="1:11">
      <c r="A2906" s="12">
        <v>42004</v>
      </c>
      <c r="B2906">
        <v>2014</v>
      </c>
      <c r="C2906">
        <v>12</v>
      </c>
      <c r="D2906" s="11">
        <v>41974</v>
      </c>
      <c r="E2906" t="s">
        <v>2184</v>
      </c>
      <c r="F2906">
        <v>3</v>
      </c>
      <c r="G2906" t="s">
        <v>65</v>
      </c>
      <c r="H2906" t="s">
        <v>40</v>
      </c>
      <c r="I2906" t="s">
        <v>2188</v>
      </c>
      <c r="J2906" s="10">
        <v>5.67</v>
      </c>
      <c r="K2906" t="b">
        <v>1</v>
      </c>
    </row>
    <row r="2907" spans="1:11">
      <c r="A2907" s="12">
        <v>42004</v>
      </c>
      <c r="B2907">
        <v>2014</v>
      </c>
      <c r="C2907">
        <v>12</v>
      </c>
      <c r="D2907" s="11">
        <v>41974</v>
      </c>
      <c r="E2907" t="s">
        <v>2184</v>
      </c>
      <c r="F2907">
        <v>3</v>
      </c>
      <c r="G2907" t="s">
        <v>65</v>
      </c>
      <c r="H2907" t="s">
        <v>41</v>
      </c>
      <c r="I2907" t="s">
        <v>2189</v>
      </c>
      <c r="J2907" s="10">
        <v>6.33</v>
      </c>
      <c r="K2907" t="b">
        <v>1</v>
      </c>
    </row>
    <row r="2908" spans="1:11">
      <c r="A2908" s="12">
        <v>42004</v>
      </c>
      <c r="B2908">
        <v>2014</v>
      </c>
      <c r="C2908">
        <v>12</v>
      </c>
      <c r="D2908" s="11">
        <v>41974</v>
      </c>
      <c r="E2908" t="s">
        <v>2184</v>
      </c>
      <c r="F2908">
        <v>3</v>
      </c>
      <c r="G2908" t="s">
        <v>65</v>
      </c>
      <c r="H2908" t="s">
        <v>42</v>
      </c>
      <c r="I2908" t="s">
        <v>2190</v>
      </c>
      <c r="J2908" s="10">
        <v>2.5</v>
      </c>
      <c r="K2908" t="b">
        <v>1</v>
      </c>
    </row>
    <row r="2909" spans="1:11">
      <c r="A2909" s="12">
        <v>42004</v>
      </c>
      <c r="B2909">
        <v>2014</v>
      </c>
      <c r="C2909">
        <v>12</v>
      </c>
      <c r="D2909" s="11">
        <v>41974</v>
      </c>
      <c r="E2909" t="s">
        <v>2184</v>
      </c>
      <c r="F2909">
        <v>3</v>
      </c>
      <c r="G2909" t="s">
        <v>65</v>
      </c>
      <c r="H2909" t="s">
        <v>43</v>
      </c>
      <c r="I2909" t="s">
        <v>2191</v>
      </c>
      <c r="J2909" s="10">
        <v>41.08</v>
      </c>
      <c r="K2909" t="b">
        <v>1</v>
      </c>
    </row>
    <row r="2910" spans="1:11">
      <c r="A2910" s="12">
        <v>42004</v>
      </c>
      <c r="B2910">
        <v>2014</v>
      </c>
      <c r="C2910">
        <v>12</v>
      </c>
      <c r="D2910" s="11">
        <v>41974</v>
      </c>
      <c r="E2910" t="s">
        <v>2184</v>
      </c>
      <c r="F2910">
        <v>3</v>
      </c>
      <c r="G2910" t="s">
        <v>65</v>
      </c>
      <c r="H2910" t="s">
        <v>44</v>
      </c>
      <c r="I2910" t="s">
        <v>2192</v>
      </c>
      <c r="J2910" s="10">
        <v>14</v>
      </c>
      <c r="K2910" t="b">
        <v>1</v>
      </c>
    </row>
    <row r="2911" spans="1:11">
      <c r="A2911" s="12">
        <v>42004</v>
      </c>
      <c r="B2911">
        <v>2014</v>
      </c>
      <c r="C2911">
        <v>12</v>
      </c>
      <c r="D2911" s="11">
        <v>41974</v>
      </c>
      <c r="E2911" t="s">
        <v>2184</v>
      </c>
      <c r="F2911">
        <v>3</v>
      </c>
      <c r="G2911" t="s">
        <v>65</v>
      </c>
      <c r="H2911" t="s">
        <v>45</v>
      </c>
      <c r="I2911" t="s">
        <v>2193</v>
      </c>
      <c r="J2911" s="10">
        <v>3</v>
      </c>
      <c r="K2911" t="b">
        <v>1</v>
      </c>
    </row>
    <row r="2912" spans="1:11">
      <c r="A2912" s="12">
        <v>42004</v>
      </c>
      <c r="B2912">
        <v>2014</v>
      </c>
      <c r="C2912">
        <v>12</v>
      </c>
      <c r="D2912" s="11">
        <v>41974</v>
      </c>
      <c r="E2912" t="s">
        <v>2184</v>
      </c>
      <c r="F2912">
        <v>3</v>
      </c>
      <c r="G2912" t="s">
        <v>65</v>
      </c>
      <c r="H2912" t="s">
        <v>46</v>
      </c>
      <c r="I2912" t="s">
        <v>2194</v>
      </c>
      <c r="J2912" s="10">
        <v>10</v>
      </c>
      <c r="K2912" t="b">
        <v>1</v>
      </c>
    </row>
    <row r="2913" spans="1:11">
      <c r="A2913" s="12">
        <v>42004</v>
      </c>
      <c r="B2913">
        <v>2014</v>
      </c>
      <c r="C2913">
        <v>12</v>
      </c>
      <c r="D2913" s="11">
        <v>41974</v>
      </c>
      <c r="E2913" t="s">
        <v>2184</v>
      </c>
      <c r="F2913">
        <v>3</v>
      </c>
      <c r="G2913" t="s">
        <v>65</v>
      </c>
      <c r="H2913" t="s">
        <v>47</v>
      </c>
      <c r="I2913" t="s">
        <v>2195</v>
      </c>
      <c r="J2913" s="10">
        <v>1</v>
      </c>
      <c r="K2913" t="b">
        <v>1</v>
      </c>
    </row>
    <row r="2914" spans="1:11">
      <c r="A2914" s="12">
        <v>42005</v>
      </c>
      <c r="B2914">
        <v>2015</v>
      </c>
      <c r="C2914">
        <v>1</v>
      </c>
      <c r="D2914" s="11">
        <v>42005</v>
      </c>
      <c r="E2914" t="s">
        <v>2173</v>
      </c>
      <c r="F2914">
        <v>4</v>
      </c>
      <c r="G2914" t="s">
        <v>53</v>
      </c>
      <c r="H2914" t="s">
        <v>40</v>
      </c>
      <c r="I2914" t="s">
        <v>2188</v>
      </c>
      <c r="J2914" s="10">
        <v>0</v>
      </c>
      <c r="K2914" t="b">
        <v>1</v>
      </c>
    </row>
    <row r="2915" spans="1:11">
      <c r="A2915" s="12">
        <v>42005</v>
      </c>
      <c r="B2915">
        <v>2015</v>
      </c>
      <c r="C2915">
        <v>1</v>
      </c>
      <c r="D2915" s="11">
        <v>42005</v>
      </c>
      <c r="E2915" t="s">
        <v>2173</v>
      </c>
      <c r="F2915">
        <v>4</v>
      </c>
      <c r="G2915" t="s">
        <v>53</v>
      </c>
      <c r="H2915" t="s">
        <v>41</v>
      </c>
      <c r="I2915" t="s">
        <v>2189</v>
      </c>
      <c r="J2915" s="10">
        <v>0</v>
      </c>
      <c r="K2915" t="b">
        <v>1</v>
      </c>
    </row>
    <row r="2916" spans="1:11">
      <c r="A2916" s="12">
        <v>42005</v>
      </c>
      <c r="B2916">
        <v>2015</v>
      </c>
      <c r="C2916">
        <v>1</v>
      </c>
      <c r="D2916" s="11">
        <v>42005</v>
      </c>
      <c r="E2916" t="s">
        <v>2173</v>
      </c>
      <c r="F2916">
        <v>4</v>
      </c>
      <c r="G2916" t="s">
        <v>53</v>
      </c>
      <c r="H2916" t="s">
        <v>42</v>
      </c>
      <c r="I2916" t="s">
        <v>2190</v>
      </c>
      <c r="J2916" s="10">
        <v>0</v>
      </c>
      <c r="K2916" t="b">
        <v>1</v>
      </c>
    </row>
    <row r="2917" spans="1:11">
      <c r="A2917" s="12">
        <v>42005</v>
      </c>
      <c r="B2917">
        <v>2015</v>
      </c>
      <c r="C2917">
        <v>1</v>
      </c>
      <c r="D2917" s="11">
        <v>42005</v>
      </c>
      <c r="E2917" t="s">
        <v>2173</v>
      </c>
      <c r="F2917">
        <v>4</v>
      </c>
      <c r="G2917" t="s">
        <v>53</v>
      </c>
      <c r="H2917" t="s">
        <v>43</v>
      </c>
      <c r="I2917" t="s">
        <v>2191</v>
      </c>
      <c r="J2917" s="10">
        <v>0</v>
      </c>
      <c r="K2917" t="b">
        <v>1</v>
      </c>
    </row>
    <row r="2918" spans="1:11">
      <c r="A2918" s="12">
        <v>42005</v>
      </c>
      <c r="B2918">
        <v>2015</v>
      </c>
      <c r="C2918">
        <v>1</v>
      </c>
      <c r="D2918" s="11">
        <v>42005</v>
      </c>
      <c r="E2918" t="s">
        <v>2173</v>
      </c>
      <c r="F2918">
        <v>4</v>
      </c>
      <c r="G2918" t="s">
        <v>53</v>
      </c>
      <c r="H2918" t="s">
        <v>44</v>
      </c>
      <c r="I2918" t="s">
        <v>2192</v>
      </c>
      <c r="J2918" s="10">
        <v>0</v>
      </c>
      <c r="K2918" t="b">
        <v>1</v>
      </c>
    </row>
    <row r="2919" spans="1:11">
      <c r="A2919" s="12">
        <v>42005</v>
      </c>
      <c r="B2919">
        <v>2015</v>
      </c>
      <c r="C2919">
        <v>1</v>
      </c>
      <c r="D2919" s="11">
        <v>42005</v>
      </c>
      <c r="E2919" t="s">
        <v>2173</v>
      </c>
      <c r="F2919">
        <v>4</v>
      </c>
      <c r="G2919" t="s">
        <v>53</v>
      </c>
      <c r="H2919" t="s">
        <v>45</v>
      </c>
      <c r="I2919" t="s">
        <v>2193</v>
      </c>
      <c r="J2919" s="10">
        <v>0</v>
      </c>
      <c r="K2919" t="b">
        <v>1</v>
      </c>
    </row>
    <row r="2920" spans="1:11">
      <c r="A2920" s="12">
        <v>42005</v>
      </c>
      <c r="B2920">
        <v>2015</v>
      </c>
      <c r="C2920">
        <v>1</v>
      </c>
      <c r="D2920" s="11">
        <v>42005</v>
      </c>
      <c r="E2920" t="s">
        <v>2173</v>
      </c>
      <c r="F2920">
        <v>4</v>
      </c>
      <c r="G2920" t="s">
        <v>53</v>
      </c>
      <c r="H2920" t="s">
        <v>46</v>
      </c>
      <c r="I2920" t="s">
        <v>2194</v>
      </c>
      <c r="J2920" s="10">
        <v>0</v>
      </c>
      <c r="K2920" t="b">
        <v>1</v>
      </c>
    </row>
    <row r="2921" spans="1:11">
      <c r="A2921" s="12">
        <v>42005</v>
      </c>
      <c r="B2921">
        <v>2015</v>
      </c>
      <c r="C2921">
        <v>1</v>
      </c>
      <c r="D2921" s="11">
        <v>42005</v>
      </c>
      <c r="E2921" t="s">
        <v>2173</v>
      </c>
      <c r="F2921">
        <v>4</v>
      </c>
      <c r="G2921" t="s">
        <v>53</v>
      </c>
      <c r="H2921" t="s">
        <v>47</v>
      </c>
      <c r="I2921" t="s">
        <v>2195</v>
      </c>
      <c r="J2921" s="10">
        <v>0</v>
      </c>
      <c r="K2921" t="b">
        <v>1</v>
      </c>
    </row>
    <row r="2922" spans="1:11">
      <c r="A2922" s="12">
        <v>42006</v>
      </c>
      <c r="B2922">
        <v>2015</v>
      </c>
      <c r="C2922">
        <v>1</v>
      </c>
      <c r="D2922" s="11">
        <v>42005</v>
      </c>
      <c r="E2922" t="s">
        <v>2173</v>
      </c>
      <c r="F2922">
        <v>5</v>
      </c>
      <c r="G2922" t="s">
        <v>55</v>
      </c>
      <c r="H2922" t="s">
        <v>40</v>
      </c>
      <c r="I2922" t="s">
        <v>2188</v>
      </c>
      <c r="J2922" s="10">
        <v>6</v>
      </c>
      <c r="K2922" t="b">
        <v>1</v>
      </c>
    </row>
    <row r="2923" spans="1:11">
      <c r="A2923" s="12">
        <v>42006</v>
      </c>
      <c r="B2923">
        <v>2015</v>
      </c>
      <c r="C2923">
        <v>1</v>
      </c>
      <c r="D2923" s="11">
        <v>42005</v>
      </c>
      <c r="E2923" t="s">
        <v>2173</v>
      </c>
      <c r="F2923">
        <v>5</v>
      </c>
      <c r="G2923" t="s">
        <v>55</v>
      </c>
      <c r="H2923" t="s">
        <v>41</v>
      </c>
      <c r="I2923" t="s">
        <v>2189</v>
      </c>
      <c r="J2923" s="10">
        <v>5.33</v>
      </c>
      <c r="K2923" t="b">
        <v>1</v>
      </c>
    </row>
    <row r="2924" spans="1:11">
      <c r="A2924" s="12">
        <v>42006</v>
      </c>
      <c r="B2924">
        <v>2015</v>
      </c>
      <c r="C2924">
        <v>1</v>
      </c>
      <c r="D2924" s="11">
        <v>42005</v>
      </c>
      <c r="E2924" t="s">
        <v>2173</v>
      </c>
      <c r="F2924">
        <v>5</v>
      </c>
      <c r="G2924" t="s">
        <v>55</v>
      </c>
      <c r="H2924" t="s">
        <v>42</v>
      </c>
      <c r="I2924" t="s">
        <v>2190</v>
      </c>
      <c r="J2924" s="10">
        <v>4.9</v>
      </c>
      <c r="K2924" t="b">
        <v>1</v>
      </c>
    </row>
    <row r="2925" spans="1:11">
      <c r="A2925" s="12">
        <v>42006</v>
      </c>
      <c r="B2925">
        <v>2015</v>
      </c>
      <c r="C2925">
        <v>1</v>
      </c>
      <c r="D2925" s="11">
        <v>42005</v>
      </c>
      <c r="E2925" t="s">
        <v>2173</v>
      </c>
      <c r="F2925">
        <v>5</v>
      </c>
      <c r="G2925" t="s">
        <v>55</v>
      </c>
      <c r="H2925" t="s">
        <v>43</v>
      </c>
      <c r="I2925" t="s">
        <v>2191</v>
      </c>
      <c r="J2925" s="10">
        <v>50.8</v>
      </c>
      <c r="K2925" t="b">
        <v>1</v>
      </c>
    </row>
    <row r="2926" spans="1:11">
      <c r="A2926" s="12">
        <v>42006</v>
      </c>
      <c r="B2926">
        <v>2015</v>
      </c>
      <c r="C2926">
        <v>1</v>
      </c>
      <c r="D2926" s="11">
        <v>42005</v>
      </c>
      <c r="E2926" t="s">
        <v>2173</v>
      </c>
      <c r="F2926">
        <v>5</v>
      </c>
      <c r="G2926" t="s">
        <v>55</v>
      </c>
      <c r="H2926" t="s">
        <v>44</v>
      </c>
      <c r="I2926" t="s">
        <v>2192</v>
      </c>
      <c r="J2926" s="10">
        <v>13</v>
      </c>
      <c r="K2926" t="b">
        <v>1</v>
      </c>
    </row>
    <row r="2927" spans="1:11">
      <c r="A2927" s="12">
        <v>42006</v>
      </c>
      <c r="B2927">
        <v>2015</v>
      </c>
      <c r="C2927">
        <v>1</v>
      </c>
      <c r="D2927" s="11">
        <v>42005</v>
      </c>
      <c r="E2927" t="s">
        <v>2173</v>
      </c>
      <c r="F2927">
        <v>5</v>
      </c>
      <c r="G2927" t="s">
        <v>55</v>
      </c>
      <c r="H2927" t="s">
        <v>45</v>
      </c>
      <c r="I2927" t="s">
        <v>2193</v>
      </c>
      <c r="J2927" s="10">
        <v>0</v>
      </c>
      <c r="K2927" t="b">
        <v>1</v>
      </c>
    </row>
    <row r="2928" spans="1:11">
      <c r="A2928" s="12">
        <v>42006</v>
      </c>
      <c r="B2928">
        <v>2015</v>
      </c>
      <c r="C2928">
        <v>1</v>
      </c>
      <c r="D2928" s="11">
        <v>42005</v>
      </c>
      <c r="E2928" t="s">
        <v>2173</v>
      </c>
      <c r="F2928">
        <v>5</v>
      </c>
      <c r="G2928" t="s">
        <v>55</v>
      </c>
      <c r="H2928" t="s">
        <v>46</v>
      </c>
      <c r="I2928" t="s">
        <v>2194</v>
      </c>
      <c r="J2928" s="10">
        <v>6.25</v>
      </c>
      <c r="K2928" t="b">
        <v>1</v>
      </c>
    </row>
    <row r="2929" spans="1:11">
      <c r="A2929" s="12">
        <v>42006</v>
      </c>
      <c r="B2929">
        <v>2015</v>
      </c>
      <c r="C2929">
        <v>1</v>
      </c>
      <c r="D2929" s="11">
        <v>42005</v>
      </c>
      <c r="E2929" t="s">
        <v>2173</v>
      </c>
      <c r="F2929">
        <v>5</v>
      </c>
      <c r="G2929" t="s">
        <v>55</v>
      </c>
      <c r="H2929" t="s">
        <v>47</v>
      </c>
      <c r="I2929" t="s">
        <v>2195</v>
      </c>
      <c r="J2929" s="10">
        <v>2</v>
      </c>
      <c r="K2929" t="b">
        <v>1</v>
      </c>
    </row>
    <row r="2930" spans="1:11">
      <c r="A2930" s="12">
        <v>42007</v>
      </c>
      <c r="B2930">
        <v>2015</v>
      </c>
      <c r="C2930">
        <v>1</v>
      </c>
      <c r="D2930" s="11">
        <v>42005</v>
      </c>
      <c r="E2930" t="s">
        <v>2173</v>
      </c>
      <c r="F2930">
        <v>6</v>
      </c>
      <c r="G2930" t="s">
        <v>57</v>
      </c>
      <c r="H2930" t="s">
        <v>40</v>
      </c>
      <c r="I2930" t="s">
        <v>2188</v>
      </c>
      <c r="J2930" s="10">
        <v>9</v>
      </c>
      <c r="K2930" t="b">
        <v>1</v>
      </c>
    </row>
    <row r="2931" spans="1:11">
      <c r="A2931" s="12">
        <v>42007</v>
      </c>
      <c r="B2931">
        <v>2015</v>
      </c>
      <c r="C2931">
        <v>1</v>
      </c>
      <c r="D2931" s="11">
        <v>42005</v>
      </c>
      <c r="E2931" t="s">
        <v>2173</v>
      </c>
      <c r="F2931">
        <v>6</v>
      </c>
      <c r="G2931" t="s">
        <v>57</v>
      </c>
      <c r="H2931" t="s">
        <v>41</v>
      </c>
      <c r="I2931" t="s">
        <v>2189</v>
      </c>
      <c r="J2931" s="10">
        <v>4.67</v>
      </c>
      <c r="K2931" t="b">
        <v>1</v>
      </c>
    </row>
    <row r="2932" spans="1:11">
      <c r="A2932" s="12">
        <v>42007</v>
      </c>
      <c r="B2932">
        <v>2015</v>
      </c>
      <c r="C2932">
        <v>1</v>
      </c>
      <c r="D2932" s="11">
        <v>42005</v>
      </c>
      <c r="E2932" t="s">
        <v>2173</v>
      </c>
      <c r="F2932">
        <v>6</v>
      </c>
      <c r="G2932" t="s">
        <v>57</v>
      </c>
      <c r="H2932" t="s">
        <v>42</v>
      </c>
      <c r="I2932" t="s">
        <v>2190</v>
      </c>
      <c r="J2932" s="10">
        <v>6</v>
      </c>
      <c r="K2932" t="b">
        <v>1</v>
      </c>
    </row>
    <row r="2933" spans="1:11">
      <c r="A2933" s="12">
        <v>42007</v>
      </c>
      <c r="B2933">
        <v>2015</v>
      </c>
      <c r="C2933">
        <v>1</v>
      </c>
      <c r="D2933" s="11">
        <v>42005</v>
      </c>
      <c r="E2933" t="s">
        <v>2173</v>
      </c>
      <c r="F2933">
        <v>6</v>
      </c>
      <c r="G2933" t="s">
        <v>57</v>
      </c>
      <c r="H2933" t="s">
        <v>43</v>
      </c>
      <c r="I2933" t="s">
        <v>2191</v>
      </c>
      <c r="J2933" s="10">
        <v>57.24</v>
      </c>
      <c r="K2933" t="b">
        <v>1</v>
      </c>
    </row>
    <row r="2934" spans="1:11">
      <c r="A2934" s="12">
        <v>42007</v>
      </c>
      <c r="B2934">
        <v>2015</v>
      </c>
      <c r="C2934">
        <v>1</v>
      </c>
      <c r="D2934" s="11">
        <v>42005</v>
      </c>
      <c r="E2934" t="s">
        <v>2173</v>
      </c>
      <c r="F2934">
        <v>6</v>
      </c>
      <c r="G2934" t="s">
        <v>57</v>
      </c>
      <c r="H2934" t="s">
        <v>44</v>
      </c>
      <c r="I2934" t="s">
        <v>2192</v>
      </c>
      <c r="J2934" s="10">
        <v>11</v>
      </c>
      <c r="K2934" t="b">
        <v>1</v>
      </c>
    </row>
    <row r="2935" spans="1:11">
      <c r="A2935" s="12">
        <v>42007</v>
      </c>
      <c r="B2935">
        <v>2015</v>
      </c>
      <c r="C2935">
        <v>1</v>
      </c>
      <c r="D2935" s="11">
        <v>42005</v>
      </c>
      <c r="E2935" t="s">
        <v>2173</v>
      </c>
      <c r="F2935">
        <v>6</v>
      </c>
      <c r="G2935" t="s">
        <v>57</v>
      </c>
      <c r="H2935" t="s">
        <v>45</v>
      </c>
      <c r="I2935" t="s">
        <v>2193</v>
      </c>
      <c r="J2935" s="10">
        <v>3</v>
      </c>
      <c r="K2935" t="b">
        <v>1</v>
      </c>
    </row>
    <row r="2936" spans="1:11">
      <c r="A2936" s="12">
        <v>42007</v>
      </c>
      <c r="B2936">
        <v>2015</v>
      </c>
      <c r="C2936">
        <v>1</v>
      </c>
      <c r="D2936" s="11">
        <v>42005</v>
      </c>
      <c r="E2936" t="s">
        <v>2173</v>
      </c>
      <c r="F2936">
        <v>6</v>
      </c>
      <c r="G2936" t="s">
        <v>57</v>
      </c>
      <c r="H2936" t="s">
        <v>46</v>
      </c>
      <c r="I2936" t="s">
        <v>2194</v>
      </c>
      <c r="J2936" s="10">
        <v>0</v>
      </c>
      <c r="K2936" t="b">
        <v>1</v>
      </c>
    </row>
    <row r="2937" spans="1:11">
      <c r="A2937" s="12">
        <v>42007</v>
      </c>
      <c r="B2937">
        <v>2015</v>
      </c>
      <c r="C2937">
        <v>1</v>
      </c>
      <c r="D2937" s="11">
        <v>42005</v>
      </c>
      <c r="E2937" t="s">
        <v>2173</v>
      </c>
      <c r="F2937">
        <v>6</v>
      </c>
      <c r="G2937" t="s">
        <v>57</v>
      </c>
      <c r="H2937" t="s">
        <v>47</v>
      </c>
      <c r="I2937" t="s">
        <v>2195</v>
      </c>
      <c r="J2937" s="10">
        <v>4</v>
      </c>
      <c r="K2937" t="b">
        <v>1</v>
      </c>
    </row>
    <row r="2938" spans="1:11">
      <c r="A2938" s="12">
        <v>42008</v>
      </c>
      <c r="B2938">
        <v>2015</v>
      </c>
      <c r="C2938">
        <v>1</v>
      </c>
      <c r="D2938" s="11">
        <v>42005</v>
      </c>
      <c r="E2938" t="s">
        <v>2173</v>
      </c>
      <c r="F2938">
        <v>7</v>
      </c>
      <c r="G2938" t="s">
        <v>59</v>
      </c>
      <c r="H2938" t="s">
        <v>40</v>
      </c>
      <c r="I2938" t="s">
        <v>2188</v>
      </c>
      <c r="J2938" s="10">
        <v>4.68</v>
      </c>
      <c r="K2938" t="b">
        <v>1</v>
      </c>
    </row>
    <row r="2939" spans="1:11">
      <c r="A2939" s="12">
        <v>42008</v>
      </c>
      <c r="B2939">
        <v>2015</v>
      </c>
      <c r="C2939">
        <v>1</v>
      </c>
      <c r="D2939" s="11">
        <v>42005</v>
      </c>
      <c r="E2939" t="s">
        <v>2173</v>
      </c>
      <c r="F2939">
        <v>7</v>
      </c>
      <c r="G2939" t="s">
        <v>59</v>
      </c>
      <c r="H2939" t="s">
        <v>41</v>
      </c>
      <c r="I2939" t="s">
        <v>2189</v>
      </c>
      <c r="J2939" s="10">
        <v>8.92</v>
      </c>
      <c r="K2939" t="b">
        <v>1</v>
      </c>
    </row>
    <row r="2940" spans="1:11">
      <c r="A2940" s="12">
        <v>42008</v>
      </c>
      <c r="B2940">
        <v>2015</v>
      </c>
      <c r="C2940">
        <v>1</v>
      </c>
      <c r="D2940" s="11">
        <v>42005</v>
      </c>
      <c r="E2940" t="s">
        <v>2173</v>
      </c>
      <c r="F2940">
        <v>7</v>
      </c>
      <c r="G2940" t="s">
        <v>59</v>
      </c>
      <c r="H2940" t="s">
        <v>42</v>
      </c>
      <c r="I2940" t="s">
        <v>2190</v>
      </c>
      <c r="J2940" s="10">
        <v>3.5</v>
      </c>
      <c r="K2940" t="b">
        <v>1</v>
      </c>
    </row>
    <row r="2941" spans="1:11">
      <c r="A2941" s="12">
        <v>42008</v>
      </c>
      <c r="B2941">
        <v>2015</v>
      </c>
      <c r="C2941">
        <v>1</v>
      </c>
      <c r="D2941" s="11">
        <v>42005</v>
      </c>
      <c r="E2941" t="s">
        <v>2173</v>
      </c>
      <c r="F2941">
        <v>7</v>
      </c>
      <c r="G2941" t="s">
        <v>59</v>
      </c>
      <c r="H2941" t="s">
        <v>43</v>
      </c>
      <c r="I2941" t="s">
        <v>2191</v>
      </c>
      <c r="J2941" s="10">
        <v>60.1</v>
      </c>
      <c r="K2941" t="b">
        <v>1</v>
      </c>
    </row>
    <row r="2942" spans="1:11">
      <c r="A2942" s="12">
        <v>42008</v>
      </c>
      <c r="B2942">
        <v>2015</v>
      </c>
      <c r="C2942">
        <v>1</v>
      </c>
      <c r="D2942" s="11">
        <v>42005</v>
      </c>
      <c r="E2942" t="s">
        <v>2173</v>
      </c>
      <c r="F2942">
        <v>7</v>
      </c>
      <c r="G2942" t="s">
        <v>59</v>
      </c>
      <c r="H2942" t="s">
        <v>44</v>
      </c>
      <c r="I2942" t="s">
        <v>2192</v>
      </c>
      <c r="J2942" s="10">
        <v>4</v>
      </c>
      <c r="K2942" t="b">
        <v>1</v>
      </c>
    </row>
    <row r="2943" spans="1:11">
      <c r="A2943" s="12">
        <v>42008</v>
      </c>
      <c r="B2943">
        <v>2015</v>
      </c>
      <c r="C2943">
        <v>1</v>
      </c>
      <c r="D2943" s="11">
        <v>42005</v>
      </c>
      <c r="E2943" t="s">
        <v>2173</v>
      </c>
      <c r="F2943">
        <v>7</v>
      </c>
      <c r="G2943" t="s">
        <v>59</v>
      </c>
      <c r="H2943" t="s">
        <v>45</v>
      </c>
      <c r="I2943" t="s">
        <v>2193</v>
      </c>
      <c r="J2943" s="10">
        <v>0</v>
      </c>
      <c r="K2943" t="b">
        <v>1</v>
      </c>
    </row>
    <row r="2944" spans="1:11">
      <c r="A2944" s="12">
        <v>42008</v>
      </c>
      <c r="B2944">
        <v>2015</v>
      </c>
      <c r="C2944">
        <v>1</v>
      </c>
      <c r="D2944" s="11">
        <v>42005</v>
      </c>
      <c r="E2944" t="s">
        <v>2173</v>
      </c>
      <c r="F2944">
        <v>7</v>
      </c>
      <c r="G2944" t="s">
        <v>59</v>
      </c>
      <c r="H2944" t="s">
        <v>46</v>
      </c>
      <c r="I2944" t="s">
        <v>2194</v>
      </c>
      <c r="J2944" s="10">
        <v>2</v>
      </c>
      <c r="K2944" t="b">
        <v>1</v>
      </c>
    </row>
    <row r="2945" spans="1:11">
      <c r="A2945" s="12">
        <v>42008</v>
      </c>
      <c r="B2945">
        <v>2015</v>
      </c>
      <c r="C2945">
        <v>1</v>
      </c>
      <c r="D2945" s="11">
        <v>42005</v>
      </c>
      <c r="E2945" t="s">
        <v>2173</v>
      </c>
      <c r="F2945">
        <v>7</v>
      </c>
      <c r="G2945" t="s">
        <v>59</v>
      </c>
      <c r="H2945" t="s">
        <v>47</v>
      </c>
      <c r="I2945" t="s">
        <v>2195</v>
      </c>
      <c r="J2945" s="10">
        <v>1</v>
      </c>
      <c r="K2945" t="b">
        <v>1</v>
      </c>
    </row>
    <row r="2946" spans="1:11">
      <c r="A2946" s="12">
        <v>42009</v>
      </c>
      <c r="B2946">
        <v>2015</v>
      </c>
      <c r="C2946">
        <v>1</v>
      </c>
      <c r="D2946" s="11">
        <v>42005</v>
      </c>
      <c r="E2946" t="s">
        <v>2173</v>
      </c>
      <c r="F2946">
        <v>1</v>
      </c>
      <c r="G2946" t="s">
        <v>61</v>
      </c>
      <c r="H2946" t="s">
        <v>40</v>
      </c>
      <c r="I2946" t="s">
        <v>2188</v>
      </c>
      <c r="J2946" s="10">
        <v>2.34</v>
      </c>
      <c r="K2946" t="b">
        <v>1</v>
      </c>
    </row>
    <row r="2947" spans="1:11">
      <c r="A2947" s="12">
        <v>42009</v>
      </c>
      <c r="B2947">
        <v>2015</v>
      </c>
      <c r="C2947">
        <v>1</v>
      </c>
      <c r="D2947" s="11">
        <v>42005</v>
      </c>
      <c r="E2947" t="s">
        <v>2173</v>
      </c>
      <c r="F2947">
        <v>1</v>
      </c>
      <c r="G2947" t="s">
        <v>61</v>
      </c>
      <c r="H2947" t="s">
        <v>41</v>
      </c>
      <c r="I2947" t="s">
        <v>2189</v>
      </c>
      <c r="J2947" s="10">
        <v>3.32</v>
      </c>
      <c r="K2947" t="b">
        <v>1</v>
      </c>
    </row>
    <row r="2948" spans="1:11">
      <c r="A2948" s="12">
        <v>42009</v>
      </c>
      <c r="B2948">
        <v>2015</v>
      </c>
      <c r="C2948">
        <v>1</v>
      </c>
      <c r="D2948" s="11">
        <v>42005</v>
      </c>
      <c r="E2948" t="s">
        <v>2173</v>
      </c>
      <c r="F2948">
        <v>1</v>
      </c>
      <c r="G2948" t="s">
        <v>61</v>
      </c>
      <c r="H2948" t="s">
        <v>42</v>
      </c>
      <c r="I2948" t="s">
        <v>2190</v>
      </c>
      <c r="J2948" s="10">
        <v>1</v>
      </c>
      <c r="K2948" t="b">
        <v>1</v>
      </c>
    </row>
    <row r="2949" spans="1:11">
      <c r="A2949" s="12">
        <v>42009</v>
      </c>
      <c r="B2949">
        <v>2015</v>
      </c>
      <c r="C2949">
        <v>1</v>
      </c>
      <c r="D2949" s="11">
        <v>42005</v>
      </c>
      <c r="E2949" t="s">
        <v>2173</v>
      </c>
      <c r="F2949">
        <v>1</v>
      </c>
      <c r="G2949" t="s">
        <v>61</v>
      </c>
      <c r="H2949" t="s">
        <v>43</v>
      </c>
      <c r="I2949" t="s">
        <v>2191</v>
      </c>
      <c r="J2949" s="10">
        <v>33.6</v>
      </c>
      <c r="K2949" t="b">
        <v>1</v>
      </c>
    </row>
    <row r="2950" spans="1:11">
      <c r="A2950" s="12">
        <v>42009</v>
      </c>
      <c r="B2950">
        <v>2015</v>
      </c>
      <c r="C2950">
        <v>1</v>
      </c>
      <c r="D2950" s="11">
        <v>42005</v>
      </c>
      <c r="E2950" t="s">
        <v>2173</v>
      </c>
      <c r="F2950">
        <v>1</v>
      </c>
      <c r="G2950" t="s">
        <v>61</v>
      </c>
      <c r="H2950" t="s">
        <v>44</v>
      </c>
      <c r="I2950" t="s">
        <v>2192</v>
      </c>
      <c r="J2950" s="10">
        <v>14</v>
      </c>
      <c r="K2950" t="b">
        <v>1</v>
      </c>
    </row>
    <row r="2951" spans="1:11">
      <c r="A2951" s="12">
        <v>42009</v>
      </c>
      <c r="B2951">
        <v>2015</v>
      </c>
      <c r="C2951">
        <v>1</v>
      </c>
      <c r="D2951" s="11">
        <v>42005</v>
      </c>
      <c r="E2951" t="s">
        <v>2173</v>
      </c>
      <c r="F2951">
        <v>1</v>
      </c>
      <c r="G2951" t="s">
        <v>61</v>
      </c>
      <c r="H2951" t="s">
        <v>45</v>
      </c>
      <c r="I2951" t="s">
        <v>2193</v>
      </c>
      <c r="J2951" s="10">
        <v>0</v>
      </c>
      <c r="K2951" t="b">
        <v>1</v>
      </c>
    </row>
    <row r="2952" spans="1:11">
      <c r="A2952" s="12">
        <v>42009</v>
      </c>
      <c r="B2952">
        <v>2015</v>
      </c>
      <c r="C2952">
        <v>1</v>
      </c>
      <c r="D2952" s="11">
        <v>42005</v>
      </c>
      <c r="E2952" t="s">
        <v>2173</v>
      </c>
      <c r="F2952">
        <v>1</v>
      </c>
      <c r="G2952" t="s">
        <v>61</v>
      </c>
      <c r="H2952" t="s">
        <v>46</v>
      </c>
      <c r="I2952" t="s">
        <v>2194</v>
      </c>
      <c r="J2952" s="10">
        <v>16</v>
      </c>
      <c r="K2952" t="b">
        <v>1</v>
      </c>
    </row>
    <row r="2953" spans="1:11">
      <c r="A2953" s="12">
        <v>42009</v>
      </c>
      <c r="B2953">
        <v>2015</v>
      </c>
      <c r="C2953">
        <v>1</v>
      </c>
      <c r="D2953" s="11">
        <v>42005</v>
      </c>
      <c r="E2953" t="s">
        <v>2173</v>
      </c>
      <c r="F2953">
        <v>1</v>
      </c>
      <c r="G2953" t="s">
        <v>61</v>
      </c>
      <c r="H2953" t="s">
        <v>47</v>
      </c>
      <c r="I2953" t="s">
        <v>2195</v>
      </c>
      <c r="J2953" s="10">
        <v>3</v>
      </c>
      <c r="K2953" t="b">
        <v>1</v>
      </c>
    </row>
    <row r="2954" spans="1:11">
      <c r="A2954" s="12">
        <v>42010</v>
      </c>
      <c r="B2954">
        <v>2015</v>
      </c>
      <c r="C2954">
        <v>1</v>
      </c>
      <c r="D2954" s="11">
        <v>42005</v>
      </c>
      <c r="E2954" t="s">
        <v>2173</v>
      </c>
      <c r="F2954">
        <v>2</v>
      </c>
      <c r="G2954" t="s">
        <v>63</v>
      </c>
      <c r="H2954" t="s">
        <v>40</v>
      </c>
      <c r="I2954" t="s">
        <v>2188</v>
      </c>
      <c r="J2954" s="10">
        <v>3</v>
      </c>
      <c r="K2954" t="b">
        <v>1</v>
      </c>
    </row>
    <row r="2955" spans="1:11">
      <c r="A2955" s="12">
        <v>42010</v>
      </c>
      <c r="B2955">
        <v>2015</v>
      </c>
      <c r="C2955">
        <v>1</v>
      </c>
      <c r="D2955" s="11">
        <v>42005</v>
      </c>
      <c r="E2955" t="s">
        <v>2173</v>
      </c>
      <c r="F2955">
        <v>2</v>
      </c>
      <c r="G2955" t="s">
        <v>63</v>
      </c>
      <c r="H2955" t="s">
        <v>41</v>
      </c>
      <c r="I2955" t="s">
        <v>2189</v>
      </c>
      <c r="J2955" s="10">
        <v>9.369999999999999</v>
      </c>
      <c r="K2955" t="b">
        <v>1</v>
      </c>
    </row>
    <row r="2956" spans="1:11">
      <c r="A2956" s="12">
        <v>42010</v>
      </c>
      <c r="B2956">
        <v>2015</v>
      </c>
      <c r="C2956">
        <v>1</v>
      </c>
      <c r="D2956" s="11">
        <v>42005</v>
      </c>
      <c r="E2956" t="s">
        <v>2173</v>
      </c>
      <c r="F2956">
        <v>2</v>
      </c>
      <c r="G2956" t="s">
        <v>63</v>
      </c>
      <c r="H2956" t="s">
        <v>42</v>
      </c>
      <c r="I2956" t="s">
        <v>2190</v>
      </c>
      <c r="J2956" s="10">
        <v>7.3</v>
      </c>
      <c r="K2956" t="b">
        <v>1</v>
      </c>
    </row>
    <row r="2957" spans="1:11">
      <c r="A2957" s="12">
        <v>42010</v>
      </c>
      <c r="B2957">
        <v>2015</v>
      </c>
      <c r="C2957">
        <v>1</v>
      </c>
      <c r="D2957" s="11">
        <v>42005</v>
      </c>
      <c r="E2957" t="s">
        <v>2173</v>
      </c>
      <c r="F2957">
        <v>2</v>
      </c>
      <c r="G2957" t="s">
        <v>63</v>
      </c>
      <c r="H2957" t="s">
        <v>43</v>
      </c>
      <c r="I2957" t="s">
        <v>2191</v>
      </c>
      <c r="J2957" s="10">
        <v>42</v>
      </c>
      <c r="K2957" t="b">
        <v>1</v>
      </c>
    </row>
    <row r="2958" spans="1:11">
      <c r="A2958" s="12">
        <v>42010</v>
      </c>
      <c r="B2958">
        <v>2015</v>
      </c>
      <c r="C2958">
        <v>1</v>
      </c>
      <c r="D2958" s="11">
        <v>42005</v>
      </c>
      <c r="E2958" t="s">
        <v>2173</v>
      </c>
      <c r="F2958">
        <v>2</v>
      </c>
      <c r="G2958" t="s">
        <v>63</v>
      </c>
      <c r="H2958" t="s">
        <v>44</v>
      </c>
      <c r="I2958" t="s">
        <v>2192</v>
      </c>
      <c r="J2958" s="10">
        <v>13</v>
      </c>
      <c r="K2958" t="b">
        <v>1</v>
      </c>
    </row>
    <row r="2959" spans="1:11">
      <c r="A2959" s="12">
        <v>42010</v>
      </c>
      <c r="B2959">
        <v>2015</v>
      </c>
      <c r="C2959">
        <v>1</v>
      </c>
      <c r="D2959" s="11">
        <v>42005</v>
      </c>
      <c r="E2959" t="s">
        <v>2173</v>
      </c>
      <c r="F2959">
        <v>2</v>
      </c>
      <c r="G2959" t="s">
        <v>63</v>
      </c>
      <c r="H2959" t="s">
        <v>45</v>
      </c>
      <c r="I2959" t="s">
        <v>2193</v>
      </c>
      <c r="J2959" s="10">
        <v>0</v>
      </c>
      <c r="K2959" t="b">
        <v>1</v>
      </c>
    </row>
    <row r="2960" spans="1:11">
      <c r="A2960" s="12">
        <v>42010</v>
      </c>
      <c r="B2960">
        <v>2015</v>
      </c>
      <c r="C2960">
        <v>1</v>
      </c>
      <c r="D2960" s="11">
        <v>42005</v>
      </c>
      <c r="E2960" t="s">
        <v>2173</v>
      </c>
      <c r="F2960">
        <v>2</v>
      </c>
      <c r="G2960" t="s">
        <v>63</v>
      </c>
      <c r="H2960" t="s">
        <v>46</v>
      </c>
      <c r="I2960" t="s">
        <v>2194</v>
      </c>
      <c r="J2960" s="10">
        <v>3</v>
      </c>
      <c r="K2960" t="b">
        <v>1</v>
      </c>
    </row>
    <row r="2961" spans="1:11">
      <c r="A2961" s="12">
        <v>42010</v>
      </c>
      <c r="B2961">
        <v>2015</v>
      </c>
      <c r="C2961">
        <v>1</v>
      </c>
      <c r="D2961" s="11">
        <v>42005</v>
      </c>
      <c r="E2961" t="s">
        <v>2173</v>
      </c>
      <c r="F2961">
        <v>2</v>
      </c>
      <c r="G2961" t="s">
        <v>63</v>
      </c>
      <c r="H2961" t="s">
        <v>47</v>
      </c>
      <c r="I2961" t="s">
        <v>2195</v>
      </c>
      <c r="J2961" s="10">
        <v>0</v>
      </c>
      <c r="K2961" t="b">
        <v>1</v>
      </c>
    </row>
    <row r="2962" spans="1:11">
      <c r="A2962" s="12">
        <v>42011</v>
      </c>
      <c r="B2962">
        <v>2015</v>
      </c>
      <c r="C2962">
        <v>1</v>
      </c>
      <c r="D2962" s="11">
        <v>42005</v>
      </c>
      <c r="E2962" t="s">
        <v>2173</v>
      </c>
      <c r="F2962">
        <v>3</v>
      </c>
      <c r="G2962" t="s">
        <v>65</v>
      </c>
      <c r="H2962" t="s">
        <v>40</v>
      </c>
      <c r="I2962" t="s">
        <v>2188</v>
      </c>
      <c r="J2962" s="10">
        <v>0</v>
      </c>
      <c r="K2962" t="b">
        <v>1</v>
      </c>
    </row>
    <row r="2963" spans="1:11">
      <c r="A2963" s="12">
        <v>42011</v>
      </c>
      <c r="B2963">
        <v>2015</v>
      </c>
      <c r="C2963">
        <v>1</v>
      </c>
      <c r="D2963" s="11">
        <v>42005</v>
      </c>
      <c r="E2963" t="s">
        <v>2173</v>
      </c>
      <c r="F2963">
        <v>3</v>
      </c>
      <c r="G2963" t="s">
        <v>65</v>
      </c>
      <c r="H2963" t="s">
        <v>41</v>
      </c>
      <c r="I2963" t="s">
        <v>2189</v>
      </c>
      <c r="J2963" s="10">
        <v>0</v>
      </c>
      <c r="K2963" t="b">
        <v>1</v>
      </c>
    </row>
    <row r="2964" spans="1:11">
      <c r="A2964" s="12">
        <v>42011</v>
      </c>
      <c r="B2964">
        <v>2015</v>
      </c>
      <c r="C2964">
        <v>1</v>
      </c>
      <c r="D2964" s="11">
        <v>42005</v>
      </c>
      <c r="E2964" t="s">
        <v>2173</v>
      </c>
      <c r="F2964">
        <v>3</v>
      </c>
      <c r="G2964" t="s">
        <v>65</v>
      </c>
      <c r="H2964" t="s">
        <v>42</v>
      </c>
      <c r="I2964" t="s">
        <v>2190</v>
      </c>
      <c r="J2964" s="10">
        <v>0</v>
      </c>
      <c r="K2964" t="b">
        <v>1</v>
      </c>
    </row>
    <row r="2965" spans="1:11">
      <c r="A2965" s="12">
        <v>42011</v>
      </c>
      <c r="B2965">
        <v>2015</v>
      </c>
      <c r="C2965">
        <v>1</v>
      </c>
      <c r="D2965" s="11">
        <v>42005</v>
      </c>
      <c r="E2965" t="s">
        <v>2173</v>
      </c>
      <c r="F2965">
        <v>3</v>
      </c>
      <c r="G2965" t="s">
        <v>65</v>
      </c>
      <c r="H2965" t="s">
        <v>43</v>
      </c>
      <c r="I2965" t="s">
        <v>2191</v>
      </c>
      <c r="J2965" s="10">
        <v>0</v>
      </c>
      <c r="K2965" t="b">
        <v>1</v>
      </c>
    </row>
    <row r="2966" spans="1:11">
      <c r="A2966" s="12">
        <v>42011</v>
      </c>
      <c r="B2966">
        <v>2015</v>
      </c>
      <c r="C2966">
        <v>1</v>
      </c>
      <c r="D2966" s="11">
        <v>42005</v>
      </c>
      <c r="E2966" t="s">
        <v>2173</v>
      </c>
      <c r="F2966">
        <v>3</v>
      </c>
      <c r="G2966" t="s">
        <v>65</v>
      </c>
      <c r="H2966" t="s">
        <v>44</v>
      </c>
      <c r="I2966" t="s">
        <v>2192</v>
      </c>
      <c r="J2966" s="10">
        <v>0</v>
      </c>
      <c r="K2966" t="b">
        <v>1</v>
      </c>
    </row>
    <row r="2967" spans="1:11">
      <c r="A2967" s="12">
        <v>42011</v>
      </c>
      <c r="B2967">
        <v>2015</v>
      </c>
      <c r="C2967">
        <v>1</v>
      </c>
      <c r="D2967" s="11">
        <v>42005</v>
      </c>
      <c r="E2967" t="s">
        <v>2173</v>
      </c>
      <c r="F2967">
        <v>3</v>
      </c>
      <c r="G2967" t="s">
        <v>65</v>
      </c>
      <c r="H2967" t="s">
        <v>45</v>
      </c>
      <c r="I2967" t="s">
        <v>2193</v>
      </c>
      <c r="J2967" s="10">
        <v>0</v>
      </c>
      <c r="K2967" t="b">
        <v>1</v>
      </c>
    </row>
    <row r="2968" spans="1:11">
      <c r="A2968" s="12">
        <v>42011</v>
      </c>
      <c r="B2968">
        <v>2015</v>
      </c>
      <c r="C2968">
        <v>1</v>
      </c>
      <c r="D2968" s="11">
        <v>42005</v>
      </c>
      <c r="E2968" t="s">
        <v>2173</v>
      </c>
      <c r="F2968">
        <v>3</v>
      </c>
      <c r="G2968" t="s">
        <v>65</v>
      </c>
      <c r="H2968" t="s">
        <v>46</v>
      </c>
      <c r="I2968" t="s">
        <v>2194</v>
      </c>
      <c r="J2968" s="10">
        <v>0</v>
      </c>
      <c r="K2968" t="b">
        <v>1</v>
      </c>
    </row>
    <row r="2969" spans="1:11">
      <c r="A2969" s="12">
        <v>42011</v>
      </c>
      <c r="B2969">
        <v>2015</v>
      </c>
      <c r="C2969">
        <v>1</v>
      </c>
      <c r="D2969" s="11">
        <v>42005</v>
      </c>
      <c r="E2969" t="s">
        <v>2173</v>
      </c>
      <c r="F2969">
        <v>3</v>
      </c>
      <c r="G2969" t="s">
        <v>65</v>
      </c>
      <c r="H2969" t="s">
        <v>47</v>
      </c>
      <c r="I2969" t="s">
        <v>2195</v>
      </c>
      <c r="J2969" s="10">
        <v>0</v>
      </c>
      <c r="K2969" t="b">
        <v>1</v>
      </c>
    </row>
    <row r="2970" spans="1:11">
      <c r="A2970" s="12">
        <v>42012</v>
      </c>
      <c r="B2970">
        <v>2015</v>
      </c>
      <c r="C2970">
        <v>1</v>
      </c>
      <c r="D2970" s="11">
        <v>42005</v>
      </c>
      <c r="E2970" t="s">
        <v>2173</v>
      </c>
      <c r="F2970">
        <v>4</v>
      </c>
      <c r="G2970" t="s">
        <v>53</v>
      </c>
      <c r="H2970" t="s">
        <v>40</v>
      </c>
      <c r="I2970" t="s">
        <v>2188</v>
      </c>
      <c r="J2970" s="10">
        <v>2</v>
      </c>
      <c r="K2970" t="b">
        <v>1</v>
      </c>
    </row>
    <row r="2971" spans="1:11">
      <c r="A2971" s="12">
        <v>42012</v>
      </c>
      <c r="B2971">
        <v>2015</v>
      </c>
      <c r="C2971">
        <v>1</v>
      </c>
      <c r="D2971" s="11">
        <v>42005</v>
      </c>
      <c r="E2971" t="s">
        <v>2173</v>
      </c>
      <c r="F2971">
        <v>4</v>
      </c>
      <c r="G2971" t="s">
        <v>53</v>
      </c>
      <c r="H2971" t="s">
        <v>41</v>
      </c>
      <c r="I2971" t="s">
        <v>2189</v>
      </c>
      <c r="J2971" s="10">
        <v>7.077</v>
      </c>
      <c r="K2971" t="b">
        <v>1</v>
      </c>
    </row>
    <row r="2972" spans="1:11">
      <c r="A2972" s="12">
        <v>42012</v>
      </c>
      <c r="B2972">
        <v>2015</v>
      </c>
      <c r="C2972">
        <v>1</v>
      </c>
      <c r="D2972" s="11">
        <v>42005</v>
      </c>
      <c r="E2972" t="s">
        <v>2173</v>
      </c>
      <c r="F2972">
        <v>4</v>
      </c>
      <c r="G2972" t="s">
        <v>53</v>
      </c>
      <c r="H2972" t="s">
        <v>42</v>
      </c>
      <c r="I2972" t="s">
        <v>2190</v>
      </c>
      <c r="J2972" s="10">
        <v>1.2</v>
      </c>
      <c r="K2972" t="b">
        <v>1</v>
      </c>
    </row>
    <row r="2973" spans="1:11">
      <c r="A2973" s="12">
        <v>42012</v>
      </c>
      <c r="B2973">
        <v>2015</v>
      </c>
      <c r="C2973">
        <v>1</v>
      </c>
      <c r="D2973" s="11">
        <v>42005</v>
      </c>
      <c r="E2973" t="s">
        <v>2173</v>
      </c>
      <c r="F2973">
        <v>4</v>
      </c>
      <c r="G2973" t="s">
        <v>53</v>
      </c>
      <c r="H2973" t="s">
        <v>43</v>
      </c>
      <c r="I2973" t="s">
        <v>2191</v>
      </c>
      <c r="J2973" s="10">
        <v>46.4</v>
      </c>
      <c r="K2973" t="b">
        <v>1</v>
      </c>
    </row>
    <row r="2974" spans="1:11">
      <c r="A2974" s="12">
        <v>42012</v>
      </c>
      <c r="B2974">
        <v>2015</v>
      </c>
      <c r="C2974">
        <v>1</v>
      </c>
      <c r="D2974" s="11">
        <v>42005</v>
      </c>
      <c r="E2974" t="s">
        <v>2173</v>
      </c>
      <c r="F2974">
        <v>4</v>
      </c>
      <c r="G2974" t="s">
        <v>53</v>
      </c>
      <c r="H2974" t="s">
        <v>44</v>
      </c>
      <c r="I2974" t="s">
        <v>2192</v>
      </c>
      <c r="J2974" s="10">
        <v>13</v>
      </c>
      <c r="K2974" t="b">
        <v>1</v>
      </c>
    </row>
    <row r="2975" spans="1:11">
      <c r="A2975" s="12">
        <v>42012</v>
      </c>
      <c r="B2975">
        <v>2015</v>
      </c>
      <c r="C2975">
        <v>1</v>
      </c>
      <c r="D2975" s="11">
        <v>42005</v>
      </c>
      <c r="E2975" t="s">
        <v>2173</v>
      </c>
      <c r="F2975">
        <v>4</v>
      </c>
      <c r="G2975" t="s">
        <v>53</v>
      </c>
      <c r="H2975" t="s">
        <v>45</v>
      </c>
      <c r="I2975" t="s">
        <v>2193</v>
      </c>
      <c r="J2975" s="10">
        <v>1</v>
      </c>
      <c r="K2975" t="b">
        <v>1</v>
      </c>
    </row>
    <row r="2976" spans="1:11">
      <c r="A2976" s="12">
        <v>42012</v>
      </c>
      <c r="B2976">
        <v>2015</v>
      </c>
      <c r="C2976">
        <v>1</v>
      </c>
      <c r="D2976" s="11">
        <v>42005</v>
      </c>
      <c r="E2976" t="s">
        <v>2173</v>
      </c>
      <c r="F2976">
        <v>4</v>
      </c>
      <c r="G2976" t="s">
        <v>53</v>
      </c>
      <c r="H2976" t="s">
        <v>46</v>
      </c>
      <c r="I2976" t="s">
        <v>2194</v>
      </c>
      <c r="J2976" s="10">
        <v>1</v>
      </c>
      <c r="K2976" t="b">
        <v>1</v>
      </c>
    </row>
    <row r="2977" spans="1:11">
      <c r="A2977" s="12">
        <v>42012</v>
      </c>
      <c r="B2977">
        <v>2015</v>
      </c>
      <c r="C2977">
        <v>1</v>
      </c>
      <c r="D2977" s="11">
        <v>42005</v>
      </c>
      <c r="E2977" t="s">
        <v>2173</v>
      </c>
      <c r="F2977">
        <v>4</v>
      </c>
      <c r="G2977" t="s">
        <v>53</v>
      </c>
      <c r="H2977" t="s">
        <v>47</v>
      </c>
      <c r="I2977" t="s">
        <v>2195</v>
      </c>
      <c r="J2977" s="10">
        <v>2</v>
      </c>
      <c r="K2977" t="b">
        <v>1</v>
      </c>
    </row>
    <row r="2978" spans="1:11">
      <c r="A2978" s="12">
        <v>42013</v>
      </c>
      <c r="B2978">
        <v>2015</v>
      </c>
      <c r="C2978">
        <v>1</v>
      </c>
      <c r="D2978" s="11">
        <v>42005</v>
      </c>
      <c r="E2978" t="s">
        <v>2173</v>
      </c>
      <c r="F2978">
        <v>5</v>
      </c>
      <c r="G2978" t="s">
        <v>55</v>
      </c>
      <c r="H2978" t="s">
        <v>40</v>
      </c>
      <c r="I2978" t="s">
        <v>2188</v>
      </c>
      <c r="J2978" s="10">
        <v>3</v>
      </c>
      <c r="K2978" t="b">
        <v>1</v>
      </c>
    </row>
    <row r="2979" spans="1:11">
      <c r="A2979" s="12">
        <v>42013</v>
      </c>
      <c r="B2979">
        <v>2015</v>
      </c>
      <c r="C2979">
        <v>1</v>
      </c>
      <c r="D2979" s="11">
        <v>42005</v>
      </c>
      <c r="E2979" t="s">
        <v>2173</v>
      </c>
      <c r="F2979">
        <v>5</v>
      </c>
      <c r="G2979" t="s">
        <v>55</v>
      </c>
      <c r="H2979" t="s">
        <v>41</v>
      </c>
      <c r="I2979" t="s">
        <v>2189</v>
      </c>
      <c r="J2979" s="10">
        <v>4.34</v>
      </c>
      <c r="K2979" t="b">
        <v>1</v>
      </c>
    </row>
    <row r="2980" spans="1:11">
      <c r="A2980" s="12">
        <v>42013</v>
      </c>
      <c r="B2980">
        <v>2015</v>
      </c>
      <c r="C2980">
        <v>1</v>
      </c>
      <c r="D2980" s="11">
        <v>42005</v>
      </c>
      <c r="E2980" t="s">
        <v>2173</v>
      </c>
      <c r="F2980">
        <v>5</v>
      </c>
      <c r="G2980" t="s">
        <v>55</v>
      </c>
      <c r="H2980" t="s">
        <v>42</v>
      </c>
      <c r="I2980" t="s">
        <v>2190</v>
      </c>
      <c r="J2980" s="10">
        <v>9.4</v>
      </c>
      <c r="K2980" t="b">
        <v>1</v>
      </c>
    </row>
    <row r="2981" spans="1:11">
      <c r="A2981" s="12">
        <v>42013</v>
      </c>
      <c r="B2981">
        <v>2015</v>
      </c>
      <c r="C2981">
        <v>1</v>
      </c>
      <c r="D2981" s="11">
        <v>42005</v>
      </c>
      <c r="E2981" t="s">
        <v>2173</v>
      </c>
      <c r="F2981">
        <v>5</v>
      </c>
      <c r="G2981" t="s">
        <v>55</v>
      </c>
      <c r="H2981" t="s">
        <v>43</v>
      </c>
      <c r="I2981" t="s">
        <v>2191</v>
      </c>
      <c r="J2981" s="10">
        <v>36.2</v>
      </c>
      <c r="K2981" t="b">
        <v>1</v>
      </c>
    </row>
    <row r="2982" spans="1:11">
      <c r="A2982" s="12">
        <v>42013</v>
      </c>
      <c r="B2982">
        <v>2015</v>
      </c>
      <c r="C2982">
        <v>1</v>
      </c>
      <c r="D2982" s="11">
        <v>42005</v>
      </c>
      <c r="E2982" t="s">
        <v>2173</v>
      </c>
      <c r="F2982">
        <v>5</v>
      </c>
      <c r="G2982" t="s">
        <v>55</v>
      </c>
      <c r="H2982" t="s">
        <v>44</v>
      </c>
      <c r="I2982" t="s">
        <v>2192</v>
      </c>
      <c r="J2982" s="10">
        <v>33</v>
      </c>
      <c r="K2982" t="b">
        <v>1</v>
      </c>
    </row>
    <row r="2983" spans="1:11">
      <c r="A2983" s="12">
        <v>42013</v>
      </c>
      <c r="B2983">
        <v>2015</v>
      </c>
      <c r="C2983">
        <v>1</v>
      </c>
      <c r="D2983" s="11">
        <v>42005</v>
      </c>
      <c r="E2983" t="s">
        <v>2173</v>
      </c>
      <c r="F2983">
        <v>5</v>
      </c>
      <c r="G2983" t="s">
        <v>55</v>
      </c>
      <c r="H2983" t="s">
        <v>45</v>
      </c>
      <c r="I2983" t="s">
        <v>2193</v>
      </c>
      <c r="J2983" s="10">
        <v>2</v>
      </c>
      <c r="K2983" t="b">
        <v>1</v>
      </c>
    </row>
    <row r="2984" spans="1:11">
      <c r="A2984" s="12">
        <v>42013</v>
      </c>
      <c r="B2984">
        <v>2015</v>
      </c>
      <c r="C2984">
        <v>1</v>
      </c>
      <c r="D2984" s="11">
        <v>42005</v>
      </c>
      <c r="E2984" t="s">
        <v>2173</v>
      </c>
      <c r="F2984">
        <v>5</v>
      </c>
      <c r="G2984" t="s">
        <v>55</v>
      </c>
      <c r="H2984" t="s">
        <v>46</v>
      </c>
      <c r="I2984" t="s">
        <v>2194</v>
      </c>
      <c r="J2984" s="10">
        <v>7</v>
      </c>
      <c r="K2984" t="b">
        <v>1</v>
      </c>
    </row>
    <row r="2985" spans="1:11">
      <c r="A2985" s="12">
        <v>42013</v>
      </c>
      <c r="B2985">
        <v>2015</v>
      </c>
      <c r="C2985">
        <v>1</v>
      </c>
      <c r="D2985" s="11">
        <v>42005</v>
      </c>
      <c r="E2985" t="s">
        <v>2173</v>
      </c>
      <c r="F2985">
        <v>5</v>
      </c>
      <c r="G2985" t="s">
        <v>55</v>
      </c>
      <c r="H2985" t="s">
        <v>47</v>
      </c>
      <c r="I2985" t="s">
        <v>2195</v>
      </c>
      <c r="J2985" s="10">
        <v>2</v>
      </c>
      <c r="K2985" t="b">
        <v>1</v>
      </c>
    </row>
    <row r="2986" spans="1:11">
      <c r="A2986" s="12">
        <v>42014</v>
      </c>
      <c r="B2986">
        <v>2015</v>
      </c>
      <c r="C2986">
        <v>1</v>
      </c>
      <c r="D2986" s="11">
        <v>42005</v>
      </c>
      <c r="E2986" t="s">
        <v>2173</v>
      </c>
      <c r="F2986">
        <v>6</v>
      </c>
      <c r="G2986" t="s">
        <v>57</v>
      </c>
      <c r="H2986" t="s">
        <v>40</v>
      </c>
      <c r="I2986" t="s">
        <v>2188</v>
      </c>
      <c r="J2986" s="10">
        <v>6</v>
      </c>
      <c r="K2986" t="b">
        <v>1</v>
      </c>
    </row>
    <row r="2987" spans="1:11">
      <c r="A2987" s="12">
        <v>42014</v>
      </c>
      <c r="B2987">
        <v>2015</v>
      </c>
      <c r="C2987">
        <v>1</v>
      </c>
      <c r="D2987" s="11">
        <v>42005</v>
      </c>
      <c r="E2987" t="s">
        <v>2173</v>
      </c>
      <c r="F2987">
        <v>6</v>
      </c>
      <c r="G2987" t="s">
        <v>57</v>
      </c>
      <c r="H2987" t="s">
        <v>41</v>
      </c>
      <c r="I2987" t="s">
        <v>2189</v>
      </c>
      <c r="J2987" s="10">
        <v>5.864</v>
      </c>
      <c r="K2987" t="b">
        <v>1</v>
      </c>
    </row>
    <row r="2988" spans="1:11">
      <c r="A2988" s="12">
        <v>42014</v>
      </c>
      <c r="B2988">
        <v>2015</v>
      </c>
      <c r="C2988">
        <v>1</v>
      </c>
      <c r="D2988" s="11">
        <v>42005</v>
      </c>
      <c r="E2988" t="s">
        <v>2173</v>
      </c>
      <c r="F2988">
        <v>6</v>
      </c>
      <c r="G2988" t="s">
        <v>57</v>
      </c>
      <c r="H2988" t="s">
        <v>42</v>
      </c>
      <c r="I2988" t="s">
        <v>2190</v>
      </c>
      <c r="J2988" s="10">
        <v>7</v>
      </c>
      <c r="K2988" t="b">
        <v>1</v>
      </c>
    </row>
    <row r="2989" spans="1:11">
      <c r="A2989" s="12">
        <v>42014</v>
      </c>
      <c r="B2989">
        <v>2015</v>
      </c>
      <c r="C2989">
        <v>1</v>
      </c>
      <c r="D2989" s="11">
        <v>42005</v>
      </c>
      <c r="E2989" t="s">
        <v>2173</v>
      </c>
      <c r="F2989">
        <v>6</v>
      </c>
      <c r="G2989" t="s">
        <v>57</v>
      </c>
      <c r="H2989" t="s">
        <v>43</v>
      </c>
      <c r="I2989" t="s">
        <v>2191</v>
      </c>
      <c r="J2989" s="10">
        <v>32.6</v>
      </c>
      <c r="K2989" t="b">
        <v>1</v>
      </c>
    </row>
    <row r="2990" spans="1:11">
      <c r="A2990" s="12">
        <v>42014</v>
      </c>
      <c r="B2990">
        <v>2015</v>
      </c>
      <c r="C2990">
        <v>1</v>
      </c>
      <c r="D2990" s="11">
        <v>42005</v>
      </c>
      <c r="E2990" t="s">
        <v>2173</v>
      </c>
      <c r="F2990">
        <v>6</v>
      </c>
      <c r="G2990" t="s">
        <v>57</v>
      </c>
      <c r="H2990" t="s">
        <v>44</v>
      </c>
      <c r="I2990" t="s">
        <v>2192</v>
      </c>
      <c r="J2990" s="10">
        <v>14</v>
      </c>
      <c r="K2990" t="b">
        <v>1</v>
      </c>
    </row>
    <row r="2991" spans="1:11">
      <c r="A2991" s="12">
        <v>42014</v>
      </c>
      <c r="B2991">
        <v>2015</v>
      </c>
      <c r="C2991">
        <v>1</v>
      </c>
      <c r="D2991" s="11">
        <v>42005</v>
      </c>
      <c r="E2991" t="s">
        <v>2173</v>
      </c>
      <c r="F2991">
        <v>6</v>
      </c>
      <c r="G2991" t="s">
        <v>57</v>
      </c>
      <c r="H2991" t="s">
        <v>45</v>
      </c>
      <c r="I2991" t="s">
        <v>2193</v>
      </c>
      <c r="J2991" s="10">
        <v>3</v>
      </c>
      <c r="K2991" t="b">
        <v>1</v>
      </c>
    </row>
    <row r="2992" spans="1:11">
      <c r="A2992" s="12">
        <v>42014</v>
      </c>
      <c r="B2992">
        <v>2015</v>
      </c>
      <c r="C2992">
        <v>1</v>
      </c>
      <c r="D2992" s="11">
        <v>42005</v>
      </c>
      <c r="E2992" t="s">
        <v>2173</v>
      </c>
      <c r="F2992">
        <v>6</v>
      </c>
      <c r="G2992" t="s">
        <v>57</v>
      </c>
      <c r="H2992" t="s">
        <v>46</v>
      </c>
      <c r="I2992" t="s">
        <v>2194</v>
      </c>
      <c r="J2992" s="10">
        <v>1</v>
      </c>
      <c r="K2992" t="b">
        <v>1</v>
      </c>
    </row>
    <row r="2993" spans="1:11">
      <c r="A2993" s="12">
        <v>42014</v>
      </c>
      <c r="B2993">
        <v>2015</v>
      </c>
      <c r="C2993">
        <v>1</v>
      </c>
      <c r="D2993" s="11">
        <v>42005</v>
      </c>
      <c r="E2993" t="s">
        <v>2173</v>
      </c>
      <c r="F2993">
        <v>6</v>
      </c>
      <c r="G2993" t="s">
        <v>57</v>
      </c>
      <c r="H2993" t="s">
        <v>47</v>
      </c>
      <c r="I2993" t="s">
        <v>2195</v>
      </c>
      <c r="J2993" s="10">
        <v>1</v>
      </c>
      <c r="K2993" t="b">
        <v>1</v>
      </c>
    </row>
    <row r="2994" spans="1:11">
      <c r="A2994" s="12">
        <v>42015</v>
      </c>
      <c r="B2994">
        <v>2015</v>
      </c>
      <c r="C2994">
        <v>1</v>
      </c>
      <c r="D2994" s="11">
        <v>42005</v>
      </c>
      <c r="E2994" t="s">
        <v>2173</v>
      </c>
      <c r="F2994">
        <v>7</v>
      </c>
      <c r="G2994" t="s">
        <v>59</v>
      </c>
      <c r="H2994" t="s">
        <v>40</v>
      </c>
      <c r="I2994" t="s">
        <v>2188</v>
      </c>
      <c r="J2994" s="10">
        <v>3</v>
      </c>
      <c r="K2994" t="b">
        <v>1</v>
      </c>
    </row>
    <row r="2995" spans="1:11">
      <c r="A2995" s="12">
        <v>42015</v>
      </c>
      <c r="B2995">
        <v>2015</v>
      </c>
      <c r="C2995">
        <v>1</v>
      </c>
      <c r="D2995" s="11">
        <v>42005</v>
      </c>
      <c r="E2995" t="s">
        <v>2173</v>
      </c>
      <c r="F2995">
        <v>7</v>
      </c>
      <c r="G2995" t="s">
        <v>59</v>
      </c>
      <c r="H2995" t="s">
        <v>41</v>
      </c>
      <c r="I2995" t="s">
        <v>2189</v>
      </c>
      <c r="J2995" s="10">
        <v>7.34</v>
      </c>
      <c r="K2995" t="b">
        <v>1</v>
      </c>
    </row>
    <row r="2996" spans="1:11">
      <c r="A2996" s="12">
        <v>42015</v>
      </c>
      <c r="B2996">
        <v>2015</v>
      </c>
      <c r="C2996">
        <v>1</v>
      </c>
      <c r="D2996" s="11">
        <v>42005</v>
      </c>
      <c r="E2996" t="s">
        <v>2173</v>
      </c>
      <c r="F2996">
        <v>7</v>
      </c>
      <c r="G2996" t="s">
        <v>59</v>
      </c>
      <c r="H2996" t="s">
        <v>42</v>
      </c>
      <c r="I2996" t="s">
        <v>2190</v>
      </c>
      <c r="J2996" s="10">
        <v>7</v>
      </c>
      <c r="K2996" t="b">
        <v>1</v>
      </c>
    </row>
    <row r="2997" spans="1:11">
      <c r="A2997" s="12">
        <v>42015</v>
      </c>
      <c r="B2997">
        <v>2015</v>
      </c>
      <c r="C2997">
        <v>1</v>
      </c>
      <c r="D2997" s="11">
        <v>42005</v>
      </c>
      <c r="E2997" t="s">
        <v>2173</v>
      </c>
      <c r="F2997">
        <v>7</v>
      </c>
      <c r="G2997" t="s">
        <v>59</v>
      </c>
      <c r="H2997" t="s">
        <v>43</v>
      </c>
      <c r="I2997" t="s">
        <v>2191</v>
      </c>
      <c r="J2997" s="10">
        <v>43.6</v>
      </c>
      <c r="K2997" t="b">
        <v>1</v>
      </c>
    </row>
    <row r="2998" spans="1:11">
      <c r="A2998" s="12">
        <v>42015</v>
      </c>
      <c r="B2998">
        <v>2015</v>
      </c>
      <c r="C2998">
        <v>1</v>
      </c>
      <c r="D2998" s="11">
        <v>42005</v>
      </c>
      <c r="E2998" t="s">
        <v>2173</v>
      </c>
      <c r="F2998">
        <v>7</v>
      </c>
      <c r="G2998" t="s">
        <v>59</v>
      </c>
      <c r="H2998" t="s">
        <v>44</v>
      </c>
      <c r="I2998" t="s">
        <v>2192</v>
      </c>
      <c r="J2998" s="10">
        <v>11</v>
      </c>
      <c r="K2998" t="b">
        <v>1</v>
      </c>
    </row>
    <row r="2999" spans="1:11">
      <c r="A2999" s="12">
        <v>42015</v>
      </c>
      <c r="B2999">
        <v>2015</v>
      </c>
      <c r="C2999">
        <v>1</v>
      </c>
      <c r="D2999" s="11">
        <v>42005</v>
      </c>
      <c r="E2999" t="s">
        <v>2173</v>
      </c>
      <c r="F2999">
        <v>7</v>
      </c>
      <c r="G2999" t="s">
        <v>59</v>
      </c>
      <c r="H2999" t="s">
        <v>45</v>
      </c>
      <c r="I2999" t="s">
        <v>2193</v>
      </c>
      <c r="J2999" s="10">
        <v>1</v>
      </c>
      <c r="K2999" t="b">
        <v>1</v>
      </c>
    </row>
    <row r="3000" spans="1:11">
      <c r="A3000" s="12">
        <v>42015</v>
      </c>
      <c r="B3000">
        <v>2015</v>
      </c>
      <c r="C3000">
        <v>1</v>
      </c>
      <c r="D3000" s="11">
        <v>42005</v>
      </c>
      <c r="E3000" t="s">
        <v>2173</v>
      </c>
      <c r="F3000">
        <v>7</v>
      </c>
      <c r="G3000" t="s">
        <v>59</v>
      </c>
      <c r="H3000" t="s">
        <v>46</v>
      </c>
      <c r="I3000" t="s">
        <v>2194</v>
      </c>
      <c r="J3000" s="10">
        <v>11</v>
      </c>
      <c r="K3000" t="b">
        <v>1</v>
      </c>
    </row>
    <row r="3001" spans="1:11">
      <c r="A3001" s="12">
        <v>42015</v>
      </c>
      <c r="B3001">
        <v>2015</v>
      </c>
      <c r="C3001">
        <v>1</v>
      </c>
      <c r="D3001" s="11">
        <v>42005</v>
      </c>
      <c r="E3001" t="s">
        <v>2173</v>
      </c>
      <c r="F3001">
        <v>7</v>
      </c>
      <c r="G3001" t="s">
        <v>59</v>
      </c>
      <c r="H3001" t="s">
        <v>47</v>
      </c>
      <c r="I3001" t="s">
        <v>2195</v>
      </c>
      <c r="J3001" s="10">
        <v>2</v>
      </c>
      <c r="K3001" t="b">
        <v>1</v>
      </c>
    </row>
    <row r="3002" spans="1:11">
      <c r="A3002" s="12">
        <v>42016</v>
      </c>
      <c r="B3002">
        <v>2015</v>
      </c>
      <c r="C3002">
        <v>1</v>
      </c>
      <c r="D3002" s="11">
        <v>42005</v>
      </c>
      <c r="E3002" t="s">
        <v>2173</v>
      </c>
      <c r="F3002">
        <v>1</v>
      </c>
      <c r="G3002" t="s">
        <v>61</v>
      </c>
      <c r="H3002" t="s">
        <v>40</v>
      </c>
      <c r="I3002" t="s">
        <v>2188</v>
      </c>
      <c r="J3002" s="10">
        <v>2.33</v>
      </c>
      <c r="K3002" t="b">
        <v>1</v>
      </c>
    </row>
    <row r="3003" spans="1:11">
      <c r="A3003" s="12">
        <v>42016</v>
      </c>
      <c r="B3003">
        <v>2015</v>
      </c>
      <c r="C3003">
        <v>1</v>
      </c>
      <c r="D3003" s="11">
        <v>42005</v>
      </c>
      <c r="E3003" t="s">
        <v>2173</v>
      </c>
      <c r="F3003">
        <v>1</v>
      </c>
      <c r="G3003" t="s">
        <v>61</v>
      </c>
      <c r="H3003" t="s">
        <v>41</v>
      </c>
      <c r="I3003" t="s">
        <v>2189</v>
      </c>
      <c r="J3003" s="10">
        <v>3.34</v>
      </c>
      <c r="K3003" t="b">
        <v>1</v>
      </c>
    </row>
    <row r="3004" spans="1:11">
      <c r="A3004" s="12">
        <v>42016</v>
      </c>
      <c r="B3004">
        <v>2015</v>
      </c>
      <c r="C3004">
        <v>1</v>
      </c>
      <c r="D3004" s="11">
        <v>42005</v>
      </c>
      <c r="E3004" t="s">
        <v>2173</v>
      </c>
      <c r="F3004">
        <v>1</v>
      </c>
      <c r="G3004" t="s">
        <v>61</v>
      </c>
      <c r="H3004" t="s">
        <v>42</v>
      </c>
      <c r="I3004" t="s">
        <v>2190</v>
      </c>
      <c r="J3004" s="10">
        <v>7.5</v>
      </c>
      <c r="K3004" t="b">
        <v>1</v>
      </c>
    </row>
    <row r="3005" spans="1:11">
      <c r="A3005" s="12">
        <v>42016</v>
      </c>
      <c r="B3005">
        <v>2015</v>
      </c>
      <c r="C3005">
        <v>1</v>
      </c>
      <c r="D3005" s="11">
        <v>42005</v>
      </c>
      <c r="E3005" t="s">
        <v>2173</v>
      </c>
      <c r="F3005">
        <v>1</v>
      </c>
      <c r="G3005" t="s">
        <v>61</v>
      </c>
      <c r="H3005" t="s">
        <v>43</v>
      </c>
      <c r="I3005" t="s">
        <v>2191</v>
      </c>
      <c r="J3005" s="10">
        <v>36.6</v>
      </c>
      <c r="K3005" t="b">
        <v>1</v>
      </c>
    </row>
    <row r="3006" spans="1:11">
      <c r="A3006" s="12">
        <v>42016</v>
      </c>
      <c r="B3006">
        <v>2015</v>
      </c>
      <c r="C3006">
        <v>1</v>
      </c>
      <c r="D3006" s="11">
        <v>42005</v>
      </c>
      <c r="E3006" t="s">
        <v>2173</v>
      </c>
      <c r="F3006">
        <v>1</v>
      </c>
      <c r="G3006" t="s">
        <v>61</v>
      </c>
      <c r="H3006" t="s">
        <v>44</v>
      </c>
      <c r="I3006" t="s">
        <v>2192</v>
      </c>
      <c r="J3006" s="10">
        <v>18</v>
      </c>
      <c r="K3006" t="b">
        <v>1</v>
      </c>
    </row>
    <row r="3007" spans="1:11">
      <c r="A3007" s="12">
        <v>42016</v>
      </c>
      <c r="B3007">
        <v>2015</v>
      </c>
      <c r="C3007">
        <v>1</v>
      </c>
      <c r="D3007" s="11">
        <v>42005</v>
      </c>
      <c r="E3007" t="s">
        <v>2173</v>
      </c>
      <c r="F3007">
        <v>1</v>
      </c>
      <c r="G3007" t="s">
        <v>61</v>
      </c>
      <c r="H3007" t="s">
        <v>45</v>
      </c>
      <c r="I3007" t="s">
        <v>2193</v>
      </c>
      <c r="J3007" s="10">
        <v>0</v>
      </c>
      <c r="K3007" t="b">
        <v>1</v>
      </c>
    </row>
    <row r="3008" spans="1:11">
      <c r="A3008" s="12">
        <v>42016</v>
      </c>
      <c r="B3008">
        <v>2015</v>
      </c>
      <c r="C3008">
        <v>1</v>
      </c>
      <c r="D3008" s="11">
        <v>42005</v>
      </c>
      <c r="E3008" t="s">
        <v>2173</v>
      </c>
      <c r="F3008">
        <v>1</v>
      </c>
      <c r="G3008" t="s">
        <v>61</v>
      </c>
      <c r="H3008" t="s">
        <v>46</v>
      </c>
      <c r="I3008" t="s">
        <v>2194</v>
      </c>
      <c r="J3008" s="10">
        <v>6</v>
      </c>
      <c r="K3008" t="b">
        <v>1</v>
      </c>
    </row>
    <row r="3009" spans="1:11">
      <c r="A3009" s="12">
        <v>42016</v>
      </c>
      <c r="B3009">
        <v>2015</v>
      </c>
      <c r="C3009">
        <v>1</v>
      </c>
      <c r="D3009" s="11">
        <v>42005</v>
      </c>
      <c r="E3009" t="s">
        <v>2173</v>
      </c>
      <c r="F3009">
        <v>1</v>
      </c>
      <c r="G3009" t="s">
        <v>61</v>
      </c>
      <c r="H3009" t="s">
        <v>47</v>
      </c>
      <c r="I3009" t="s">
        <v>2195</v>
      </c>
      <c r="J3009" s="10">
        <v>1</v>
      </c>
      <c r="K3009" t="b">
        <v>1</v>
      </c>
    </row>
    <row r="3010" spans="1:11">
      <c r="A3010" s="12">
        <v>42017</v>
      </c>
      <c r="B3010">
        <v>2015</v>
      </c>
      <c r="C3010">
        <v>1</v>
      </c>
      <c r="D3010" s="11">
        <v>42005</v>
      </c>
      <c r="E3010" t="s">
        <v>2173</v>
      </c>
      <c r="F3010">
        <v>2</v>
      </c>
      <c r="G3010" t="s">
        <v>63</v>
      </c>
      <c r="H3010" t="s">
        <v>40</v>
      </c>
      <c r="I3010" t="s">
        <v>2188</v>
      </c>
      <c r="J3010" s="10">
        <v>10.34</v>
      </c>
      <c r="K3010" t="b">
        <v>1</v>
      </c>
    </row>
    <row r="3011" spans="1:11">
      <c r="A3011" s="12">
        <v>42017</v>
      </c>
      <c r="B3011">
        <v>2015</v>
      </c>
      <c r="C3011">
        <v>1</v>
      </c>
      <c r="D3011" s="11">
        <v>42005</v>
      </c>
      <c r="E3011" t="s">
        <v>2173</v>
      </c>
      <c r="F3011">
        <v>2</v>
      </c>
      <c r="G3011" t="s">
        <v>63</v>
      </c>
      <c r="H3011" t="s">
        <v>41</v>
      </c>
      <c r="I3011" t="s">
        <v>2189</v>
      </c>
      <c r="J3011" s="10">
        <v>4.66</v>
      </c>
      <c r="K3011" t="b">
        <v>1</v>
      </c>
    </row>
    <row r="3012" spans="1:11">
      <c r="A3012" s="12">
        <v>42017</v>
      </c>
      <c r="B3012">
        <v>2015</v>
      </c>
      <c r="C3012">
        <v>1</v>
      </c>
      <c r="D3012" s="11">
        <v>42005</v>
      </c>
      <c r="E3012" t="s">
        <v>2173</v>
      </c>
      <c r="F3012">
        <v>2</v>
      </c>
      <c r="G3012" t="s">
        <v>63</v>
      </c>
      <c r="H3012" t="s">
        <v>42</v>
      </c>
      <c r="I3012" t="s">
        <v>2190</v>
      </c>
      <c r="J3012" s="10">
        <v>10</v>
      </c>
      <c r="K3012" t="b">
        <v>1</v>
      </c>
    </row>
    <row r="3013" spans="1:11">
      <c r="A3013" s="12">
        <v>42017</v>
      </c>
      <c r="B3013">
        <v>2015</v>
      </c>
      <c r="C3013">
        <v>1</v>
      </c>
      <c r="D3013" s="11">
        <v>42005</v>
      </c>
      <c r="E3013" t="s">
        <v>2173</v>
      </c>
      <c r="F3013">
        <v>2</v>
      </c>
      <c r="G3013" t="s">
        <v>63</v>
      </c>
      <c r="H3013" t="s">
        <v>43</v>
      </c>
      <c r="I3013" t="s">
        <v>2191</v>
      </c>
      <c r="J3013" s="10">
        <v>34</v>
      </c>
      <c r="K3013" t="b">
        <v>1</v>
      </c>
    </row>
    <row r="3014" spans="1:11">
      <c r="A3014" s="12">
        <v>42017</v>
      </c>
      <c r="B3014">
        <v>2015</v>
      </c>
      <c r="C3014">
        <v>1</v>
      </c>
      <c r="D3014" s="11">
        <v>42005</v>
      </c>
      <c r="E3014" t="s">
        <v>2173</v>
      </c>
      <c r="F3014">
        <v>2</v>
      </c>
      <c r="G3014" t="s">
        <v>63</v>
      </c>
      <c r="H3014" t="s">
        <v>44</v>
      </c>
      <c r="I3014" t="s">
        <v>2192</v>
      </c>
      <c r="J3014" s="10">
        <v>14</v>
      </c>
      <c r="K3014" t="b">
        <v>1</v>
      </c>
    </row>
    <row r="3015" spans="1:11">
      <c r="A3015" s="12">
        <v>42017</v>
      </c>
      <c r="B3015">
        <v>2015</v>
      </c>
      <c r="C3015">
        <v>1</v>
      </c>
      <c r="D3015" s="11">
        <v>42005</v>
      </c>
      <c r="E3015" t="s">
        <v>2173</v>
      </c>
      <c r="F3015">
        <v>2</v>
      </c>
      <c r="G3015" t="s">
        <v>63</v>
      </c>
      <c r="H3015" t="s">
        <v>45</v>
      </c>
      <c r="I3015" t="s">
        <v>2193</v>
      </c>
      <c r="J3015" s="10">
        <v>2</v>
      </c>
      <c r="K3015" t="b">
        <v>1</v>
      </c>
    </row>
    <row r="3016" spans="1:11">
      <c r="A3016" s="12">
        <v>42017</v>
      </c>
      <c r="B3016">
        <v>2015</v>
      </c>
      <c r="C3016">
        <v>1</v>
      </c>
      <c r="D3016" s="11">
        <v>42005</v>
      </c>
      <c r="E3016" t="s">
        <v>2173</v>
      </c>
      <c r="F3016">
        <v>2</v>
      </c>
      <c r="G3016" t="s">
        <v>63</v>
      </c>
      <c r="H3016" t="s">
        <v>46</v>
      </c>
      <c r="I3016" t="s">
        <v>2194</v>
      </c>
      <c r="J3016" s="10">
        <v>4</v>
      </c>
      <c r="K3016" t="b">
        <v>1</v>
      </c>
    </row>
    <row r="3017" spans="1:11">
      <c r="A3017" s="12">
        <v>42017</v>
      </c>
      <c r="B3017">
        <v>2015</v>
      </c>
      <c r="C3017">
        <v>1</v>
      </c>
      <c r="D3017" s="11">
        <v>42005</v>
      </c>
      <c r="E3017" t="s">
        <v>2173</v>
      </c>
      <c r="F3017">
        <v>2</v>
      </c>
      <c r="G3017" t="s">
        <v>63</v>
      </c>
      <c r="H3017" t="s">
        <v>47</v>
      </c>
      <c r="I3017" t="s">
        <v>2195</v>
      </c>
      <c r="J3017" s="10">
        <v>2</v>
      </c>
      <c r="K3017" t="b">
        <v>1</v>
      </c>
    </row>
    <row r="3018" spans="1:11">
      <c r="A3018" s="12">
        <v>42018</v>
      </c>
      <c r="B3018">
        <v>2015</v>
      </c>
      <c r="C3018">
        <v>1</v>
      </c>
      <c r="D3018" s="11">
        <v>42005</v>
      </c>
      <c r="E3018" t="s">
        <v>2173</v>
      </c>
      <c r="F3018">
        <v>3</v>
      </c>
      <c r="G3018" t="s">
        <v>65</v>
      </c>
      <c r="H3018" t="s">
        <v>40</v>
      </c>
      <c r="I3018" t="s">
        <v>2188</v>
      </c>
      <c r="J3018" s="10">
        <v>3</v>
      </c>
      <c r="K3018" t="b">
        <v>1</v>
      </c>
    </row>
    <row r="3019" spans="1:11">
      <c r="A3019" s="12">
        <v>42018</v>
      </c>
      <c r="B3019">
        <v>2015</v>
      </c>
      <c r="C3019">
        <v>1</v>
      </c>
      <c r="D3019" s="11">
        <v>42005</v>
      </c>
      <c r="E3019" t="s">
        <v>2173</v>
      </c>
      <c r="F3019">
        <v>3</v>
      </c>
      <c r="G3019" t="s">
        <v>65</v>
      </c>
      <c r="H3019" t="s">
        <v>41</v>
      </c>
      <c r="I3019" t="s">
        <v>2189</v>
      </c>
      <c r="J3019" s="10">
        <v>3.34</v>
      </c>
      <c r="K3019" t="b">
        <v>1</v>
      </c>
    </row>
    <row r="3020" spans="1:11">
      <c r="A3020" s="12">
        <v>42018</v>
      </c>
      <c r="B3020">
        <v>2015</v>
      </c>
      <c r="C3020">
        <v>1</v>
      </c>
      <c r="D3020" s="11">
        <v>42005</v>
      </c>
      <c r="E3020" t="s">
        <v>2173</v>
      </c>
      <c r="F3020">
        <v>3</v>
      </c>
      <c r="G3020" t="s">
        <v>65</v>
      </c>
      <c r="H3020" t="s">
        <v>42</v>
      </c>
      <c r="I3020" t="s">
        <v>2190</v>
      </c>
      <c r="J3020" s="10">
        <v>5</v>
      </c>
      <c r="K3020" t="b">
        <v>1</v>
      </c>
    </row>
    <row r="3021" spans="1:11">
      <c r="A3021" s="12">
        <v>42018</v>
      </c>
      <c r="B3021">
        <v>2015</v>
      </c>
      <c r="C3021">
        <v>1</v>
      </c>
      <c r="D3021" s="11">
        <v>42005</v>
      </c>
      <c r="E3021" t="s">
        <v>2173</v>
      </c>
      <c r="F3021">
        <v>3</v>
      </c>
      <c r="G3021" t="s">
        <v>65</v>
      </c>
      <c r="H3021" t="s">
        <v>43</v>
      </c>
      <c r="I3021" t="s">
        <v>2191</v>
      </c>
      <c r="J3021" s="10">
        <v>23</v>
      </c>
      <c r="K3021" t="b">
        <v>1</v>
      </c>
    </row>
    <row r="3022" spans="1:11">
      <c r="A3022" s="12">
        <v>42018</v>
      </c>
      <c r="B3022">
        <v>2015</v>
      </c>
      <c r="C3022">
        <v>1</v>
      </c>
      <c r="D3022" s="11">
        <v>42005</v>
      </c>
      <c r="E3022" t="s">
        <v>2173</v>
      </c>
      <c r="F3022">
        <v>3</v>
      </c>
      <c r="G3022" t="s">
        <v>65</v>
      </c>
      <c r="H3022" t="s">
        <v>44</v>
      </c>
      <c r="I3022" t="s">
        <v>2192</v>
      </c>
      <c r="J3022" s="10">
        <v>20</v>
      </c>
      <c r="K3022" t="b">
        <v>1</v>
      </c>
    </row>
    <row r="3023" spans="1:11">
      <c r="A3023" s="12">
        <v>42018</v>
      </c>
      <c r="B3023">
        <v>2015</v>
      </c>
      <c r="C3023">
        <v>1</v>
      </c>
      <c r="D3023" s="11">
        <v>42005</v>
      </c>
      <c r="E3023" t="s">
        <v>2173</v>
      </c>
      <c r="F3023">
        <v>3</v>
      </c>
      <c r="G3023" t="s">
        <v>65</v>
      </c>
      <c r="H3023" t="s">
        <v>45</v>
      </c>
      <c r="I3023" t="s">
        <v>2193</v>
      </c>
      <c r="J3023" s="10">
        <v>0</v>
      </c>
      <c r="K3023" t="b">
        <v>1</v>
      </c>
    </row>
    <row r="3024" spans="1:11">
      <c r="A3024" s="12">
        <v>42018</v>
      </c>
      <c r="B3024">
        <v>2015</v>
      </c>
      <c r="C3024">
        <v>1</v>
      </c>
      <c r="D3024" s="11">
        <v>42005</v>
      </c>
      <c r="E3024" t="s">
        <v>2173</v>
      </c>
      <c r="F3024">
        <v>3</v>
      </c>
      <c r="G3024" t="s">
        <v>65</v>
      </c>
      <c r="H3024" t="s">
        <v>46</v>
      </c>
      <c r="I3024" t="s">
        <v>2194</v>
      </c>
      <c r="J3024" s="10">
        <v>1</v>
      </c>
      <c r="K3024" t="b">
        <v>1</v>
      </c>
    </row>
    <row r="3025" spans="1:11">
      <c r="A3025" s="12">
        <v>42018</v>
      </c>
      <c r="B3025">
        <v>2015</v>
      </c>
      <c r="C3025">
        <v>1</v>
      </c>
      <c r="D3025" s="11">
        <v>42005</v>
      </c>
      <c r="E3025" t="s">
        <v>2173</v>
      </c>
      <c r="F3025">
        <v>3</v>
      </c>
      <c r="G3025" t="s">
        <v>65</v>
      </c>
      <c r="H3025" t="s">
        <v>47</v>
      </c>
      <c r="I3025" t="s">
        <v>2195</v>
      </c>
      <c r="J3025" s="10">
        <v>0</v>
      </c>
      <c r="K3025" t="b">
        <v>1</v>
      </c>
    </row>
    <row r="3026" spans="1:11">
      <c r="A3026" s="12">
        <v>42019</v>
      </c>
      <c r="B3026">
        <v>2015</v>
      </c>
      <c r="C3026">
        <v>1</v>
      </c>
      <c r="D3026" s="11">
        <v>42005</v>
      </c>
      <c r="E3026" t="s">
        <v>2173</v>
      </c>
      <c r="F3026">
        <v>4</v>
      </c>
      <c r="G3026" t="s">
        <v>53</v>
      </c>
      <c r="H3026" t="s">
        <v>40</v>
      </c>
      <c r="I3026" t="s">
        <v>2188</v>
      </c>
      <c r="J3026" s="10">
        <v>6.67</v>
      </c>
      <c r="K3026" t="b">
        <v>1</v>
      </c>
    </row>
    <row r="3027" spans="1:11">
      <c r="A3027" s="12">
        <v>42019</v>
      </c>
      <c r="B3027">
        <v>2015</v>
      </c>
      <c r="C3027">
        <v>1</v>
      </c>
      <c r="D3027" s="11">
        <v>42005</v>
      </c>
      <c r="E3027" t="s">
        <v>2173</v>
      </c>
      <c r="F3027">
        <v>4</v>
      </c>
      <c r="G3027" t="s">
        <v>53</v>
      </c>
      <c r="H3027" t="s">
        <v>41</v>
      </c>
      <c r="I3027" t="s">
        <v>2189</v>
      </c>
      <c r="J3027" s="10">
        <v>3</v>
      </c>
      <c r="K3027" t="b">
        <v>1</v>
      </c>
    </row>
    <row r="3028" spans="1:11">
      <c r="A3028" s="12">
        <v>42019</v>
      </c>
      <c r="B3028">
        <v>2015</v>
      </c>
      <c r="C3028">
        <v>1</v>
      </c>
      <c r="D3028" s="11">
        <v>42005</v>
      </c>
      <c r="E3028" t="s">
        <v>2173</v>
      </c>
      <c r="F3028">
        <v>4</v>
      </c>
      <c r="G3028" t="s">
        <v>53</v>
      </c>
      <c r="H3028" t="s">
        <v>42</v>
      </c>
      <c r="I3028" t="s">
        <v>2190</v>
      </c>
      <c r="J3028" s="10">
        <v>1</v>
      </c>
      <c r="K3028" t="b">
        <v>1</v>
      </c>
    </row>
    <row r="3029" spans="1:11">
      <c r="A3029" s="12">
        <v>42019</v>
      </c>
      <c r="B3029">
        <v>2015</v>
      </c>
      <c r="C3029">
        <v>1</v>
      </c>
      <c r="D3029" s="11">
        <v>42005</v>
      </c>
      <c r="E3029" t="s">
        <v>2173</v>
      </c>
      <c r="F3029">
        <v>4</v>
      </c>
      <c r="G3029" t="s">
        <v>53</v>
      </c>
      <c r="H3029" t="s">
        <v>43</v>
      </c>
      <c r="I3029" t="s">
        <v>2191</v>
      </c>
      <c r="J3029" s="10">
        <v>55.25</v>
      </c>
      <c r="K3029" t="b">
        <v>1</v>
      </c>
    </row>
    <row r="3030" spans="1:11">
      <c r="A3030" s="12">
        <v>42019</v>
      </c>
      <c r="B3030">
        <v>2015</v>
      </c>
      <c r="C3030">
        <v>1</v>
      </c>
      <c r="D3030" s="11">
        <v>42005</v>
      </c>
      <c r="E3030" t="s">
        <v>2173</v>
      </c>
      <c r="F3030">
        <v>4</v>
      </c>
      <c r="G3030" t="s">
        <v>53</v>
      </c>
      <c r="H3030" t="s">
        <v>44</v>
      </c>
      <c r="I3030" t="s">
        <v>2192</v>
      </c>
      <c r="J3030" s="10">
        <v>13</v>
      </c>
      <c r="K3030" t="b">
        <v>1</v>
      </c>
    </row>
    <row r="3031" spans="1:11">
      <c r="A3031" s="12">
        <v>42019</v>
      </c>
      <c r="B3031">
        <v>2015</v>
      </c>
      <c r="C3031">
        <v>1</v>
      </c>
      <c r="D3031" s="11">
        <v>42005</v>
      </c>
      <c r="E3031" t="s">
        <v>2173</v>
      </c>
      <c r="F3031">
        <v>4</v>
      </c>
      <c r="G3031" t="s">
        <v>53</v>
      </c>
      <c r="H3031" t="s">
        <v>45</v>
      </c>
      <c r="I3031" t="s">
        <v>2193</v>
      </c>
      <c r="J3031" s="10">
        <v>0</v>
      </c>
      <c r="K3031" t="b">
        <v>1</v>
      </c>
    </row>
    <row r="3032" spans="1:11">
      <c r="A3032" s="12">
        <v>42019</v>
      </c>
      <c r="B3032">
        <v>2015</v>
      </c>
      <c r="C3032">
        <v>1</v>
      </c>
      <c r="D3032" s="11">
        <v>42005</v>
      </c>
      <c r="E3032" t="s">
        <v>2173</v>
      </c>
      <c r="F3032">
        <v>4</v>
      </c>
      <c r="G3032" t="s">
        <v>53</v>
      </c>
      <c r="H3032" t="s">
        <v>46</v>
      </c>
      <c r="I3032" t="s">
        <v>2194</v>
      </c>
      <c r="J3032" s="10">
        <v>15</v>
      </c>
      <c r="K3032" t="b">
        <v>1</v>
      </c>
    </row>
    <row r="3033" spans="1:11">
      <c r="A3033" s="12">
        <v>42019</v>
      </c>
      <c r="B3033">
        <v>2015</v>
      </c>
      <c r="C3033">
        <v>1</v>
      </c>
      <c r="D3033" s="11">
        <v>42005</v>
      </c>
      <c r="E3033" t="s">
        <v>2173</v>
      </c>
      <c r="F3033">
        <v>4</v>
      </c>
      <c r="G3033" t="s">
        <v>53</v>
      </c>
      <c r="H3033" t="s">
        <v>47</v>
      </c>
      <c r="I3033" t="s">
        <v>2195</v>
      </c>
      <c r="J3033" s="10">
        <v>2</v>
      </c>
      <c r="K3033" t="b">
        <v>1</v>
      </c>
    </row>
    <row r="3034" spans="1:11">
      <c r="A3034" s="12">
        <v>42020</v>
      </c>
      <c r="B3034">
        <v>2015</v>
      </c>
      <c r="C3034">
        <v>1</v>
      </c>
      <c r="D3034" s="11">
        <v>42005</v>
      </c>
      <c r="E3034" t="s">
        <v>2173</v>
      </c>
      <c r="F3034">
        <v>5</v>
      </c>
      <c r="G3034" t="s">
        <v>55</v>
      </c>
      <c r="H3034" t="s">
        <v>40</v>
      </c>
      <c r="I3034" t="s">
        <v>2188</v>
      </c>
      <c r="J3034" s="10">
        <v>6.33</v>
      </c>
      <c r="K3034" t="b">
        <v>1</v>
      </c>
    </row>
    <row r="3035" spans="1:11">
      <c r="A3035" s="12">
        <v>42020</v>
      </c>
      <c r="B3035">
        <v>2015</v>
      </c>
      <c r="C3035">
        <v>1</v>
      </c>
      <c r="D3035" s="11">
        <v>42005</v>
      </c>
      <c r="E3035" t="s">
        <v>2173</v>
      </c>
      <c r="F3035">
        <v>5</v>
      </c>
      <c r="G3035" t="s">
        <v>55</v>
      </c>
      <c r="H3035" t="s">
        <v>41</v>
      </c>
      <c r="I3035" t="s">
        <v>2189</v>
      </c>
      <c r="J3035" s="10">
        <v>5.99</v>
      </c>
      <c r="K3035" t="b">
        <v>1</v>
      </c>
    </row>
    <row r="3036" spans="1:11">
      <c r="A3036" s="12">
        <v>42020</v>
      </c>
      <c r="B3036">
        <v>2015</v>
      </c>
      <c r="C3036">
        <v>1</v>
      </c>
      <c r="D3036" s="11">
        <v>42005</v>
      </c>
      <c r="E3036" t="s">
        <v>2173</v>
      </c>
      <c r="F3036">
        <v>5</v>
      </c>
      <c r="G3036" t="s">
        <v>55</v>
      </c>
      <c r="H3036" t="s">
        <v>42</v>
      </c>
      <c r="I3036" t="s">
        <v>2190</v>
      </c>
      <c r="J3036" s="10">
        <v>3.8</v>
      </c>
      <c r="K3036" t="b">
        <v>1</v>
      </c>
    </row>
    <row r="3037" spans="1:11">
      <c r="A3037" s="12">
        <v>42020</v>
      </c>
      <c r="B3037">
        <v>2015</v>
      </c>
      <c r="C3037">
        <v>1</v>
      </c>
      <c r="D3037" s="11">
        <v>42005</v>
      </c>
      <c r="E3037" t="s">
        <v>2173</v>
      </c>
      <c r="F3037">
        <v>5</v>
      </c>
      <c r="G3037" t="s">
        <v>55</v>
      </c>
      <c r="H3037" t="s">
        <v>43</v>
      </c>
      <c r="I3037" t="s">
        <v>2191</v>
      </c>
      <c r="J3037" s="10">
        <v>43</v>
      </c>
      <c r="K3037" t="b">
        <v>1</v>
      </c>
    </row>
    <row r="3038" spans="1:11">
      <c r="A3038" s="12">
        <v>42020</v>
      </c>
      <c r="B3038">
        <v>2015</v>
      </c>
      <c r="C3038">
        <v>1</v>
      </c>
      <c r="D3038" s="11">
        <v>42005</v>
      </c>
      <c r="E3038" t="s">
        <v>2173</v>
      </c>
      <c r="F3038">
        <v>5</v>
      </c>
      <c r="G3038" t="s">
        <v>55</v>
      </c>
      <c r="H3038" t="s">
        <v>44</v>
      </c>
      <c r="I3038" t="s">
        <v>2192</v>
      </c>
      <c r="J3038" s="10">
        <v>16</v>
      </c>
      <c r="K3038" t="b">
        <v>1</v>
      </c>
    </row>
    <row r="3039" spans="1:11">
      <c r="A3039" s="12">
        <v>42020</v>
      </c>
      <c r="B3039">
        <v>2015</v>
      </c>
      <c r="C3039">
        <v>1</v>
      </c>
      <c r="D3039" s="11">
        <v>42005</v>
      </c>
      <c r="E3039" t="s">
        <v>2173</v>
      </c>
      <c r="F3039">
        <v>5</v>
      </c>
      <c r="G3039" t="s">
        <v>55</v>
      </c>
      <c r="H3039" t="s">
        <v>45</v>
      </c>
      <c r="I3039" t="s">
        <v>2193</v>
      </c>
      <c r="J3039" s="10">
        <v>2</v>
      </c>
      <c r="K3039" t="b">
        <v>1</v>
      </c>
    </row>
    <row r="3040" spans="1:11">
      <c r="A3040" s="12">
        <v>42020</v>
      </c>
      <c r="B3040">
        <v>2015</v>
      </c>
      <c r="C3040">
        <v>1</v>
      </c>
      <c r="D3040" s="11">
        <v>42005</v>
      </c>
      <c r="E3040" t="s">
        <v>2173</v>
      </c>
      <c r="F3040">
        <v>5</v>
      </c>
      <c r="G3040" t="s">
        <v>55</v>
      </c>
      <c r="H3040" t="s">
        <v>46</v>
      </c>
      <c r="I3040" t="s">
        <v>2194</v>
      </c>
      <c r="J3040" s="10">
        <v>6</v>
      </c>
      <c r="K3040" t="b">
        <v>1</v>
      </c>
    </row>
    <row r="3041" spans="1:11">
      <c r="A3041" s="12">
        <v>42020</v>
      </c>
      <c r="B3041">
        <v>2015</v>
      </c>
      <c r="C3041">
        <v>1</v>
      </c>
      <c r="D3041" s="11">
        <v>42005</v>
      </c>
      <c r="E3041" t="s">
        <v>2173</v>
      </c>
      <c r="F3041">
        <v>5</v>
      </c>
      <c r="G3041" t="s">
        <v>55</v>
      </c>
      <c r="H3041" t="s">
        <v>47</v>
      </c>
      <c r="I3041" t="s">
        <v>2195</v>
      </c>
      <c r="J3041" s="10">
        <v>2</v>
      </c>
      <c r="K3041" t="b">
        <v>1</v>
      </c>
    </row>
    <row r="3042" spans="1:11">
      <c r="A3042" s="12">
        <v>42021</v>
      </c>
      <c r="B3042">
        <v>2015</v>
      </c>
      <c r="C3042">
        <v>1</v>
      </c>
      <c r="D3042" s="11">
        <v>42005</v>
      </c>
      <c r="E3042" t="s">
        <v>2173</v>
      </c>
      <c r="F3042">
        <v>6</v>
      </c>
      <c r="G3042" t="s">
        <v>57</v>
      </c>
      <c r="H3042" t="s">
        <v>40</v>
      </c>
      <c r="I3042" t="s">
        <v>2188</v>
      </c>
      <c r="J3042" s="10">
        <v>6.68</v>
      </c>
      <c r="K3042" t="b">
        <v>1</v>
      </c>
    </row>
    <row r="3043" spans="1:11">
      <c r="A3043" s="12">
        <v>42021</v>
      </c>
      <c r="B3043">
        <v>2015</v>
      </c>
      <c r="C3043">
        <v>1</v>
      </c>
      <c r="D3043" s="11">
        <v>42005</v>
      </c>
      <c r="E3043" t="s">
        <v>2173</v>
      </c>
      <c r="F3043">
        <v>6</v>
      </c>
      <c r="G3043" t="s">
        <v>57</v>
      </c>
      <c r="H3043" t="s">
        <v>41</v>
      </c>
      <c r="I3043" t="s">
        <v>2189</v>
      </c>
      <c r="J3043" s="10">
        <v>5.68</v>
      </c>
      <c r="K3043" t="b">
        <v>1</v>
      </c>
    </row>
    <row r="3044" spans="1:11">
      <c r="A3044" s="12">
        <v>42021</v>
      </c>
      <c r="B3044">
        <v>2015</v>
      </c>
      <c r="C3044">
        <v>1</v>
      </c>
      <c r="D3044" s="11">
        <v>42005</v>
      </c>
      <c r="E3044" t="s">
        <v>2173</v>
      </c>
      <c r="F3044">
        <v>6</v>
      </c>
      <c r="G3044" t="s">
        <v>57</v>
      </c>
      <c r="H3044" t="s">
        <v>42</v>
      </c>
      <c r="I3044" t="s">
        <v>2190</v>
      </c>
      <c r="J3044" s="10">
        <v>7</v>
      </c>
      <c r="K3044" t="b">
        <v>1</v>
      </c>
    </row>
    <row r="3045" spans="1:11">
      <c r="A3045" s="12">
        <v>42021</v>
      </c>
      <c r="B3045">
        <v>2015</v>
      </c>
      <c r="C3045">
        <v>1</v>
      </c>
      <c r="D3045" s="11">
        <v>42005</v>
      </c>
      <c r="E3045" t="s">
        <v>2173</v>
      </c>
      <c r="F3045">
        <v>6</v>
      </c>
      <c r="G3045" t="s">
        <v>57</v>
      </c>
      <c r="H3045" t="s">
        <v>43</v>
      </c>
      <c r="I3045" t="s">
        <v>2191</v>
      </c>
      <c r="J3045" s="10">
        <v>19.2</v>
      </c>
      <c r="K3045" t="b">
        <v>1</v>
      </c>
    </row>
    <row r="3046" spans="1:11">
      <c r="A3046" s="12">
        <v>42021</v>
      </c>
      <c r="B3046">
        <v>2015</v>
      </c>
      <c r="C3046">
        <v>1</v>
      </c>
      <c r="D3046" s="11">
        <v>42005</v>
      </c>
      <c r="E3046" t="s">
        <v>2173</v>
      </c>
      <c r="F3046">
        <v>6</v>
      </c>
      <c r="G3046" t="s">
        <v>57</v>
      </c>
      <c r="H3046" t="s">
        <v>44</v>
      </c>
      <c r="I3046" t="s">
        <v>2192</v>
      </c>
      <c r="J3046" s="10">
        <v>18</v>
      </c>
      <c r="K3046" t="b">
        <v>1</v>
      </c>
    </row>
    <row r="3047" spans="1:11">
      <c r="A3047" s="12">
        <v>42021</v>
      </c>
      <c r="B3047">
        <v>2015</v>
      </c>
      <c r="C3047">
        <v>1</v>
      </c>
      <c r="D3047" s="11">
        <v>42005</v>
      </c>
      <c r="E3047" t="s">
        <v>2173</v>
      </c>
      <c r="F3047">
        <v>6</v>
      </c>
      <c r="G3047" t="s">
        <v>57</v>
      </c>
      <c r="H3047" t="s">
        <v>45</v>
      </c>
      <c r="I3047" t="s">
        <v>2193</v>
      </c>
      <c r="J3047" s="10">
        <v>0</v>
      </c>
      <c r="K3047" t="b">
        <v>1</v>
      </c>
    </row>
    <row r="3048" spans="1:11">
      <c r="A3048" s="12">
        <v>42021</v>
      </c>
      <c r="B3048">
        <v>2015</v>
      </c>
      <c r="C3048">
        <v>1</v>
      </c>
      <c r="D3048" s="11">
        <v>42005</v>
      </c>
      <c r="E3048" t="s">
        <v>2173</v>
      </c>
      <c r="F3048">
        <v>6</v>
      </c>
      <c r="G3048" t="s">
        <v>57</v>
      </c>
      <c r="H3048" t="s">
        <v>46</v>
      </c>
      <c r="I3048" t="s">
        <v>2194</v>
      </c>
      <c r="J3048" s="10">
        <v>0</v>
      </c>
      <c r="K3048" t="b">
        <v>1</v>
      </c>
    </row>
    <row r="3049" spans="1:11">
      <c r="A3049" s="12">
        <v>42021</v>
      </c>
      <c r="B3049">
        <v>2015</v>
      </c>
      <c r="C3049">
        <v>1</v>
      </c>
      <c r="D3049" s="11">
        <v>42005</v>
      </c>
      <c r="E3049" t="s">
        <v>2173</v>
      </c>
      <c r="F3049">
        <v>6</v>
      </c>
      <c r="G3049" t="s">
        <v>57</v>
      </c>
      <c r="H3049" t="s">
        <v>47</v>
      </c>
      <c r="I3049" t="s">
        <v>2195</v>
      </c>
      <c r="J3049" s="10">
        <v>0</v>
      </c>
      <c r="K3049" t="b">
        <v>1</v>
      </c>
    </row>
    <row r="3050" spans="1:11">
      <c r="A3050" s="12">
        <v>42022</v>
      </c>
      <c r="B3050">
        <v>2015</v>
      </c>
      <c r="C3050">
        <v>1</v>
      </c>
      <c r="D3050" s="11">
        <v>42005</v>
      </c>
      <c r="E3050" t="s">
        <v>2173</v>
      </c>
      <c r="F3050">
        <v>7</v>
      </c>
      <c r="G3050" t="s">
        <v>59</v>
      </c>
      <c r="H3050" t="s">
        <v>40</v>
      </c>
      <c r="I3050" t="s">
        <v>2188</v>
      </c>
      <c r="J3050" s="10">
        <v>4</v>
      </c>
      <c r="K3050" t="b">
        <v>1</v>
      </c>
    </row>
    <row r="3051" spans="1:11">
      <c r="A3051" s="12">
        <v>42022</v>
      </c>
      <c r="B3051">
        <v>2015</v>
      </c>
      <c r="C3051">
        <v>1</v>
      </c>
      <c r="D3051" s="11">
        <v>42005</v>
      </c>
      <c r="E3051" t="s">
        <v>2173</v>
      </c>
      <c r="F3051">
        <v>7</v>
      </c>
      <c r="G3051" t="s">
        <v>59</v>
      </c>
      <c r="H3051" t="s">
        <v>41</v>
      </c>
      <c r="I3051" t="s">
        <v>2189</v>
      </c>
      <c r="J3051" s="10">
        <v>4.34</v>
      </c>
      <c r="K3051" t="b">
        <v>1</v>
      </c>
    </row>
    <row r="3052" spans="1:11">
      <c r="A3052" s="12">
        <v>42022</v>
      </c>
      <c r="B3052">
        <v>2015</v>
      </c>
      <c r="C3052">
        <v>1</v>
      </c>
      <c r="D3052" s="11">
        <v>42005</v>
      </c>
      <c r="E3052" t="s">
        <v>2173</v>
      </c>
      <c r="F3052">
        <v>7</v>
      </c>
      <c r="G3052" t="s">
        <v>59</v>
      </c>
      <c r="H3052" t="s">
        <v>42</v>
      </c>
      <c r="I3052" t="s">
        <v>2190</v>
      </c>
      <c r="J3052" s="10">
        <v>4.5</v>
      </c>
      <c r="K3052" t="b">
        <v>1</v>
      </c>
    </row>
    <row r="3053" spans="1:11">
      <c r="A3053" s="12">
        <v>42022</v>
      </c>
      <c r="B3053">
        <v>2015</v>
      </c>
      <c r="C3053">
        <v>1</v>
      </c>
      <c r="D3053" s="11">
        <v>42005</v>
      </c>
      <c r="E3053" t="s">
        <v>2173</v>
      </c>
      <c r="F3053">
        <v>7</v>
      </c>
      <c r="G3053" t="s">
        <v>59</v>
      </c>
      <c r="H3053" t="s">
        <v>43</v>
      </c>
      <c r="I3053" t="s">
        <v>2191</v>
      </c>
      <c r="J3053" s="10">
        <v>20.4</v>
      </c>
      <c r="K3053" t="b">
        <v>1</v>
      </c>
    </row>
    <row r="3054" spans="1:11">
      <c r="A3054" s="12">
        <v>42022</v>
      </c>
      <c r="B3054">
        <v>2015</v>
      </c>
      <c r="C3054">
        <v>1</v>
      </c>
      <c r="D3054" s="11">
        <v>42005</v>
      </c>
      <c r="E3054" t="s">
        <v>2173</v>
      </c>
      <c r="F3054">
        <v>7</v>
      </c>
      <c r="G3054" t="s">
        <v>59</v>
      </c>
      <c r="H3054" t="s">
        <v>44</v>
      </c>
      <c r="I3054" t="s">
        <v>2192</v>
      </c>
      <c r="J3054" s="10">
        <v>16</v>
      </c>
      <c r="K3054" t="b">
        <v>1</v>
      </c>
    </row>
    <row r="3055" spans="1:11">
      <c r="A3055" s="12">
        <v>42022</v>
      </c>
      <c r="B3055">
        <v>2015</v>
      </c>
      <c r="C3055">
        <v>1</v>
      </c>
      <c r="D3055" s="11">
        <v>42005</v>
      </c>
      <c r="E3055" t="s">
        <v>2173</v>
      </c>
      <c r="F3055">
        <v>7</v>
      </c>
      <c r="G3055" t="s">
        <v>59</v>
      </c>
      <c r="H3055" t="s">
        <v>45</v>
      </c>
      <c r="I3055" t="s">
        <v>2193</v>
      </c>
      <c r="J3055" s="10">
        <v>0</v>
      </c>
      <c r="K3055" t="b">
        <v>1</v>
      </c>
    </row>
    <row r="3056" spans="1:11">
      <c r="A3056" s="12">
        <v>42022</v>
      </c>
      <c r="B3056">
        <v>2015</v>
      </c>
      <c r="C3056">
        <v>1</v>
      </c>
      <c r="D3056" s="11">
        <v>42005</v>
      </c>
      <c r="E3056" t="s">
        <v>2173</v>
      </c>
      <c r="F3056">
        <v>7</v>
      </c>
      <c r="G3056" t="s">
        <v>59</v>
      </c>
      <c r="H3056" t="s">
        <v>46</v>
      </c>
      <c r="I3056" t="s">
        <v>2194</v>
      </c>
      <c r="J3056" s="10">
        <v>0</v>
      </c>
      <c r="K3056" t="b">
        <v>1</v>
      </c>
    </row>
    <row r="3057" spans="1:11">
      <c r="A3057" s="12">
        <v>42022</v>
      </c>
      <c r="B3057">
        <v>2015</v>
      </c>
      <c r="C3057">
        <v>1</v>
      </c>
      <c r="D3057" s="11">
        <v>42005</v>
      </c>
      <c r="E3057" t="s">
        <v>2173</v>
      </c>
      <c r="F3057">
        <v>7</v>
      </c>
      <c r="G3057" t="s">
        <v>59</v>
      </c>
      <c r="H3057" t="s">
        <v>47</v>
      </c>
      <c r="I3057" t="s">
        <v>2195</v>
      </c>
      <c r="J3057" s="10">
        <v>2</v>
      </c>
      <c r="K3057" t="b">
        <v>1</v>
      </c>
    </row>
    <row r="3058" spans="1:11">
      <c r="A3058" s="12">
        <v>42023</v>
      </c>
      <c r="B3058">
        <v>2015</v>
      </c>
      <c r="C3058">
        <v>1</v>
      </c>
      <c r="D3058" s="11">
        <v>42005</v>
      </c>
      <c r="E3058" t="s">
        <v>2173</v>
      </c>
      <c r="F3058">
        <v>1</v>
      </c>
      <c r="G3058" t="s">
        <v>61</v>
      </c>
      <c r="H3058" t="s">
        <v>40</v>
      </c>
      <c r="I3058" t="s">
        <v>2188</v>
      </c>
      <c r="J3058" s="10">
        <v>5.34</v>
      </c>
      <c r="K3058" t="b">
        <v>1</v>
      </c>
    </row>
    <row r="3059" spans="1:11">
      <c r="A3059" s="12">
        <v>42023</v>
      </c>
      <c r="B3059">
        <v>2015</v>
      </c>
      <c r="C3059">
        <v>1</v>
      </c>
      <c r="D3059" s="11">
        <v>42005</v>
      </c>
      <c r="E3059" t="s">
        <v>2173</v>
      </c>
      <c r="F3059">
        <v>1</v>
      </c>
      <c r="G3059" t="s">
        <v>61</v>
      </c>
      <c r="H3059" t="s">
        <v>41</v>
      </c>
      <c r="I3059" t="s">
        <v>2189</v>
      </c>
      <c r="J3059" s="10">
        <v>2.68</v>
      </c>
      <c r="K3059" t="b">
        <v>1</v>
      </c>
    </row>
    <row r="3060" spans="1:11">
      <c r="A3060" s="12">
        <v>42023</v>
      </c>
      <c r="B3060">
        <v>2015</v>
      </c>
      <c r="C3060">
        <v>1</v>
      </c>
      <c r="D3060" s="11">
        <v>42005</v>
      </c>
      <c r="E3060" t="s">
        <v>2173</v>
      </c>
      <c r="F3060">
        <v>1</v>
      </c>
      <c r="G3060" t="s">
        <v>61</v>
      </c>
      <c r="H3060" t="s">
        <v>42</v>
      </c>
      <c r="I3060" t="s">
        <v>2190</v>
      </c>
      <c r="J3060" s="10">
        <v>1.1</v>
      </c>
      <c r="K3060" t="b">
        <v>1</v>
      </c>
    </row>
    <row r="3061" spans="1:11">
      <c r="A3061" s="12">
        <v>42023</v>
      </c>
      <c r="B3061">
        <v>2015</v>
      </c>
      <c r="C3061">
        <v>1</v>
      </c>
      <c r="D3061" s="11">
        <v>42005</v>
      </c>
      <c r="E3061" t="s">
        <v>2173</v>
      </c>
      <c r="F3061">
        <v>1</v>
      </c>
      <c r="G3061" t="s">
        <v>61</v>
      </c>
      <c r="H3061" t="s">
        <v>43</v>
      </c>
      <c r="I3061" t="s">
        <v>2191</v>
      </c>
      <c r="J3061" s="10">
        <v>32</v>
      </c>
      <c r="K3061" t="b">
        <v>1</v>
      </c>
    </row>
    <row r="3062" spans="1:11">
      <c r="A3062" s="12">
        <v>42023</v>
      </c>
      <c r="B3062">
        <v>2015</v>
      </c>
      <c r="C3062">
        <v>1</v>
      </c>
      <c r="D3062" s="11">
        <v>42005</v>
      </c>
      <c r="E3062" t="s">
        <v>2173</v>
      </c>
      <c r="F3062">
        <v>1</v>
      </c>
      <c r="G3062" t="s">
        <v>61</v>
      </c>
      <c r="H3062" t="s">
        <v>44</v>
      </c>
      <c r="I3062" t="s">
        <v>2192</v>
      </c>
      <c r="J3062" s="10">
        <v>12</v>
      </c>
      <c r="K3062" t="b">
        <v>1</v>
      </c>
    </row>
    <row r="3063" spans="1:11">
      <c r="A3063" s="12">
        <v>42023</v>
      </c>
      <c r="B3063">
        <v>2015</v>
      </c>
      <c r="C3063">
        <v>1</v>
      </c>
      <c r="D3063" s="11">
        <v>42005</v>
      </c>
      <c r="E3063" t="s">
        <v>2173</v>
      </c>
      <c r="F3063">
        <v>1</v>
      </c>
      <c r="G3063" t="s">
        <v>61</v>
      </c>
      <c r="H3063" t="s">
        <v>45</v>
      </c>
      <c r="I3063" t="s">
        <v>2193</v>
      </c>
      <c r="J3063" s="10">
        <v>0</v>
      </c>
      <c r="K3063" t="b">
        <v>1</v>
      </c>
    </row>
    <row r="3064" spans="1:11">
      <c r="A3064" s="12">
        <v>42023</v>
      </c>
      <c r="B3064">
        <v>2015</v>
      </c>
      <c r="C3064">
        <v>1</v>
      </c>
      <c r="D3064" s="11">
        <v>42005</v>
      </c>
      <c r="E3064" t="s">
        <v>2173</v>
      </c>
      <c r="F3064">
        <v>1</v>
      </c>
      <c r="G3064" t="s">
        <v>61</v>
      </c>
      <c r="H3064" t="s">
        <v>46</v>
      </c>
      <c r="I3064" t="s">
        <v>2194</v>
      </c>
      <c r="J3064" s="10">
        <v>20</v>
      </c>
      <c r="K3064" t="b">
        <v>1</v>
      </c>
    </row>
    <row r="3065" spans="1:11">
      <c r="A3065" s="12">
        <v>42023</v>
      </c>
      <c r="B3065">
        <v>2015</v>
      </c>
      <c r="C3065">
        <v>1</v>
      </c>
      <c r="D3065" s="11">
        <v>42005</v>
      </c>
      <c r="E3065" t="s">
        <v>2173</v>
      </c>
      <c r="F3065">
        <v>1</v>
      </c>
      <c r="G3065" t="s">
        <v>61</v>
      </c>
      <c r="H3065" t="s">
        <v>47</v>
      </c>
      <c r="I3065" t="s">
        <v>2195</v>
      </c>
      <c r="J3065" s="10">
        <v>2</v>
      </c>
      <c r="K3065" t="b">
        <v>1</v>
      </c>
    </row>
    <row r="3066" spans="1:11">
      <c r="A3066" s="12">
        <v>42024</v>
      </c>
      <c r="B3066">
        <v>2015</v>
      </c>
      <c r="C3066">
        <v>1</v>
      </c>
      <c r="D3066" s="11">
        <v>42005</v>
      </c>
      <c r="E3066" t="s">
        <v>2173</v>
      </c>
      <c r="F3066">
        <v>2</v>
      </c>
      <c r="G3066" t="s">
        <v>63</v>
      </c>
      <c r="H3066" t="s">
        <v>40</v>
      </c>
      <c r="I3066" t="s">
        <v>2188</v>
      </c>
      <c r="J3066" s="10">
        <v>4.34</v>
      </c>
      <c r="K3066" t="b">
        <v>1</v>
      </c>
    </row>
    <row r="3067" spans="1:11">
      <c r="A3067" s="12">
        <v>42024</v>
      </c>
      <c r="B3067">
        <v>2015</v>
      </c>
      <c r="C3067">
        <v>1</v>
      </c>
      <c r="D3067" s="11">
        <v>42005</v>
      </c>
      <c r="E3067" t="s">
        <v>2173</v>
      </c>
      <c r="F3067">
        <v>2</v>
      </c>
      <c r="G3067" t="s">
        <v>63</v>
      </c>
      <c r="H3067" t="s">
        <v>41</v>
      </c>
      <c r="I3067" t="s">
        <v>2189</v>
      </c>
      <c r="J3067" s="10">
        <v>0.33</v>
      </c>
      <c r="K3067" t="b">
        <v>1</v>
      </c>
    </row>
    <row r="3068" spans="1:11">
      <c r="A3068" s="12">
        <v>42024</v>
      </c>
      <c r="B3068">
        <v>2015</v>
      </c>
      <c r="C3068">
        <v>1</v>
      </c>
      <c r="D3068" s="11">
        <v>42005</v>
      </c>
      <c r="E3068" t="s">
        <v>2173</v>
      </c>
      <c r="F3068">
        <v>2</v>
      </c>
      <c r="G3068" t="s">
        <v>63</v>
      </c>
      <c r="H3068" t="s">
        <v>42</v>
      </c>
      <c r="I3068" t="s">
        <v>2190</v>
      </c>
      <c r="J3068" s="10">
        <v>6</v>
      </c>
      <c r="K3068" t="b">
        <v>1</v>
      </c>
    </row>
    <row r="3069" spans="1:11">
      <c r="A3069" s="12">
        <v>42024</v>
      </c>
      <c r="B3069">
        <v>2015</v>
      </c>
      <c r="C3069">
        <v>1</v>
      </c>
      <c r="D3069" s="11">
        <v>42005</v>
      </c>
      <c r="E3069" t="s">
        <v>2173</v>
      </c>
      <c r="F3069">
        <v>2</v>
      </c>
      <c r="G3069" t="s">
        <v>63</v>
      </c>
      <c r="H3069" t="s">
        <v>43</v>
      </c>
      <c r="I3069" t="s">
        <v>2191</v>
      </c>
      <c r="J3069" s="10">
        <v>38</v>
      </c>
      <c r="K3069" t="b">
        <v>1</v>
      </c>
    </row>
    <row r="3070" spans="1:11">
      <c r="A3070" s="12">
        <v>42024</v>
      </c>
      <c r="B3070">
        <v>2015</v>
      </c>
      <c r="C3070">
        <v>1</v>
      </c>
      <c r="D3070" s="11">
        <v>42005</v>
      </c>
      <c r="E3070" t="s">
        <v>2173</v>
      </c>
      <c r="F3070">
        <v>2</v>
      </c>
      <c r="G3070" t="s">
        <v>63</v>
      </c>
      <c r="H3070" t="s">
        <v>44</v>
      </c>
      <c r="I3070" t="s">
        <v>2192</v>
      </c>
      <c r="J3070" s="10">
        <v>24</v>
      </c>
      <c r="K3070" t="b">
        <v>1</v>
      </c>
    </row>
    <row r="3071" spans="1:11">
      <c r="A3071" s="12">
        <v>42024</v>
      </c>
      <c r="B3071">
        <v>2015</v>
      </c>
      <c r="C3071">
        <v>1</v>
      </c>
      <c r="D3071" s="11">
        <v>42005</v>
      </c>
      <c r="E3071" t="s">
        <v>2173</v>
      </c>
      <c r="F3071">
        <v>2</v>
      </c>
      <c r="G3071" t="s">
        <v>63</v>
      </c>
      <c r="H3071" t="s">
        <v>45</v>
      </c>
      <c r="I3071" t="s">
        <v>2193</v>
      </c>
      <c r="J3071" s="10">
        <v>1</v>
      </c>
      <c r="K3071" t="b">
        <v>1</v>
      </c>
    </row>
    <row r="3072" spans="1:11">
      <c r="A3072" s="12">
        <v>42024</v>
      </c>
      <c r="B3072">
        <v>2015</v>
      </c>
      <c r="C3072">
        <v>1</v>
      </c>
      <c r="D3072" s="11">
        <v>42005</v>
      </c>
      <c r="E3072" t="s">
        <v>2173</v>
      </c>
      <c r="F3072">
        <v>2</v>
      </c>
      <c r="G3072" t="s">
        <v>63</v>
      </c>
      <c r="H3072" t="s">
        <v>46</v>
      </c>
      <c r="I3072" t="s">
        <v>2194</v>
      </c>
      <c r="J3072" s="10">
        <v>4</v>
      </c>
      <c r="K3072" t="b">
        <v>1</v>
      </c>
    </row>
    <row r="3073" spans="1:11">
      <c r="A3073" s="12">
        <v>42024</v>
      </c>
      <c r="B3073">
        <v>2015</v>
      </c>
      <c r="C3073">
        <v>1</v>
      </c>
      <c r="D3073" s="11">
        <v>42005</v>
      </c>
      <c r="E3073" t="s">
        <v>2173</v>
      </c>
      <c r="F3073">
        <v>2</v>
      </c>
      <c r="G3073" t="s">
        <v>63</v>
      </c>
      <c r="H3073" t="s">
        <v>47</v>
      </c>
      <c r="I3073" t="s">
        <v>2195</v>
      </c>
      <c r="J3073" s="10">
        <v>1</v>
      </c>
      <c r="K3073" t="b">
        <v>1</v>
      </c>
    </row>
    <row r="3074" spans="1:11">
      <c r="A3074" s="12">
        <v>42025</v>
      </c>
      <c r="B3074">
        <v>2015</v>
      </c>
      <c r="C3074">
        <v>1</v>
      </c>
      <c r="D3074" s="11">
        <v>42005</v>
      </c>
      <c r="E3074" t="s">
        <v>2173</v>
      </c>
      <c r="F3074">
        <v>3</v>
      </c>
      <c r="G3074" t="s">
        <v>65</v>
      </c>
      <c r="H3074" t="s">
        <v>40</v>
      </c>
      <c r="I3074" t="s">
        <v>2188</v>
      </c>
      <c r="J3074" s="10">
        <v>4</v>
      </c>
      <c r="K3074" t="b">
        <v>1</v>
      </c>
    </row>
    <row r="3075" spans="1:11">
      <c r="A3075" s="12">
        <v>42025</v>
      </c>
      <c r="B3075">
        <v>2015</v>
      </c>
      <c r="C3075">
        <v>1</v>
      </c>
      <c r="D3075" s="11">
        <v>42005</v>
      </c>
      <c r="E3075" t="s">
        <v>2173</v>
      </c>
      <c r="F3075">
        <v>3</v>
      </c>
      <c r="G3075" t="s">
        <v>65</v>
      </c>
      <c r="H3075" t="s">
        <v>41</v>
      </c>
      <c r="I3075" t="s">
        <v>2189</v>
      </c>
      <c r="J3075" s="10">
        <v>1</v>
      </c>
      <c r="K3075" t="b">
        <v>1</v>
      </c>
    </row>
    <row r="3076" spans="1:11">
      <c r="A3076" s="12">
        <v>42025</v>
      </c>
      <c r="B3076">
        <v>2015</v>
      </c>
      <c r="C3076">
        <v>1</v>
      </c>
      <c r="D3076" s="11">
        <v>42005</v>
      </c>
      <c r="E3076" t="s">
        <v>2173</v>
      </c>
      <c r="F3076">
        <v>3</v>
      </c>
      <c r="G3076" t="s">
        <v>65</v>
      </c>
      <c r="H3076" t="s">
        <v>42</v>
      </c>
      <c r="I3076" t="s">
        <v>2190</v>
      </c>
      <c r="J3076" s="10">
        <v>2</v>
      </c>
      <c r="K3076" t="b">
        <v>1</v>
      </c>
    </row>
    <row r="3077" spans="1:11">
      <c r="A3077" s="12">
        <v>42025</v>
      </c>
      <c r="B3077">
        <v>2015</v>
      </c>
      <c r="C3077">
        <v>1</v>
      </c>
      <c r="D3077" s="11">
        <v>42005</v>
      </c>
      <c r="E3077" t="s">
        <v>2173</v>
      </c>
      <c r="F3077">
        <v>3</v>
      </c>
      <c r="G3077" t="s">
        <v>65</v>
      </c>
      <c r="H3077" t="s">
        <v>43</v>
      </c>
      <c r="I3077" t="s">
        <v>2191</v>
      </c>
      <c r="J3077" s="10">
        <v>37.45</v>
      </c>
      <c r="K3077" t="b">
        <v>1</v>
      </c>
    </row>
    <row r="3078" spans="1:11">
      <c r="A3078" s="12">
        <v>42025</v>
      </c>
      <c r="B3078">
        <v>2015</v>
      </c>
      <c r="C3078">
        <v>1</v>
      </c>
      <c r="D3078" s="11">
        <v>42005</v>
      </c>
      <c r="E3078" t="s">
        <v>2173</v>
      </c>
      <c r="F3078">
        <v>3</v>
      </c>
      <c r="G3078" t="s">
        <v>65</v>
      </c>
      <c r="H3078" t="s">
        <v>44</v>
      </c>
      <c r="I3078" t="s">
        <v>2192</v>
      </c>
      <c r="J3078" s="10">
        <v>17</v>
      </c>
      <c r="K3078" t="b">
        <v>1</v>
      </c>
    </row>
    <row r="3079" spans="1:11">
      <c r="A3079" s="12">
        <v>42025</v>
      </c>
      <c r="B3079">
        <v>2015</v>
      </c>
      <c r="C3079">
        <v>1</v>
      </c>
      <c r="D3079" s="11">
        <v>42005</v>
      </c>
      <c r="E3079" t="s">
        <v>2173</v>
      </c>
      <c r="F3079">
        <v>3</v>
      </c>
      <c r="G3079" t="s">
        <v>65</v>
      </c>
      <c r="H3079" t="s">
        <v>45</v>
      </c>
      <c r="I3079" t="s">
        <v>2193</v>
      </c>
      <c r="J3079" s="10">
        <v>1</v>
      </c>
      <c r="K3079" t="b">
        <v>1</v>
      </c>
    </row>
    <row r="3080" spans="1:11">
      <c r="A3080" s="12">
        <v>42025</v>
      </c>
      <c r="B3080">
        <v>2015</v>
      </c>
      <c r="C3080">
        <v>1</v>
      </c>
      <c r="D3080" s="11">
        <v>42005</v>
      </c>
      <c r="E3080" t="s">
        <v>2173</v>
      </c>
      <c r="F3080">
        <v>3</v>
      </c>
      <c r="G3080" t="s">
        <v>65</v>
      </c>
      <c r="H3080" t="s">
        <v>46</v>
      </c>
      <c r="I3080" t="s">
        <v>2194</v>
      </c>
      <c r="J3080" s="10">
        <v>0</v>
      </c>
      <c r="K3080" t="b">
        <v>1</v>
      </c>
    </row>
    <row r="3081" spans="1:11">
      <c r="A3081" s="12">
        <v>42025</v>
      </c>
      <c r="B3081">
        <v>2015</v>
      </c>
      <c r="C3081">
        <v>1</v>
      </c>
      <c r="D3081" s="11">
        <v>42005</v>
      </c>
      <c r="E3081" t="s">
        <v>2173</v>
      </c>
      <c r="F3081">
        <v>3</v>
      </c>
      <c r="G3081" t="s">
        <v>65</v>
      </c>
      <c r="H3081" t="s">
        <v>47</v>
      </c>
      <c r="I3081" t="s">
        <v>2195</v>
      </c>
      <c r="J3081" s="10">
        <v>1</v>
      </c>
      <c r="K3081" t="b">
        <v>1</v>
      </c>
    </row>
    <row r="3082" spans="1:11">
      <c r="A3082" s="12">
        <v>42026</v>
      </c>
      <c r="B3082">
        <v>2015</v>
      </c>
      <c r="C3082">
        <v>1</v>
      </c>
      <c r="D3082" s="11">
        <v>42005</v>
      </c>
      <c r="E3082" t="s">
        <v>2173</v>
      </c>
      <c r="F3082">
        <v>4</v>
      </c>
      <c r="G3082" t="s">
        <v>53</v>
      </c>
      <c r="H3082" t="s">
        <v>40</v>
      </c>
      <c r="I3082" t="s">
        <v>2188</v>
      </c>
      <c r="J3082" s="10">
        <v>4</v>
      </c>
      <c r="K3082" t="b">
        <v>1</v>
      </c>
    </row>
    <row r="3083" spans="1:11">
      <c r="A3083" s="12">
        <v>42026</v>
      </c>
      <c r="B3083">
        <v>2015</v>
      </c>
      <c r="C3083">
        <v>1</v>
      </c>
      <c r="D3083" s="11">
        <v>42005</v>
      </c>
      <c r="E3083" t="s">
        <v>2173</v>
      </c>
      <c r="F3083">
        <v>4</v>
      </c>
      <c r="G3083" t="s">
        <v>53</v>
      </c>
      <c r="H3083" t="s">
        <v>41</v>
      </c>
      <c r="I3083" t="s">
        <v>2189</v>
      </c>
      <c r="J3083" s="10">
        <v>1.34</v>
      </c>
      <c r="K3083" t="b">
        <v>1</v>
      </c>
    </row>
    <row r="3084" spans="1:11">
      <c r="A3084" s="12">
        <v>42026</v>
      </c>
      <c r="B3084">
        <v>2015</v>
      </c>
      <c r="C3084">
        <v>1</v>
      </c>
      <c r="D3084" s="11">
        <v>42005</v>
      </c>
      <c r="E3084" t="s">
        <v>2173</v>
      </c>
      <c r="F3084">
        <v>4</v>
      </c>
      <c r="G3084" t="s">
        <v>53</v>
      </c>
      <c r="H3084" t="s">
        <v>42</v>
      </c>
      <c r="I3084" t="s">
        <v>2190</v>
      </c>
      <c r="J3084" s="10">
        <v>4</v>
      </c>
      <c r="K3084" t="b">
        <v>1</v>
      </c>
    </row>
    <row r="3085" spans="1:11">
      <c r="A3085" s="12">
        <v>42026</v>
      </c>
      <c r="B3085">
        <v>2015</v>
      </c>
      <c r="C3085">
        <v>1</v>
      </c>
      <c r="D3085" s="11">
        <v>42005</v>
      </c>
      <c r="E3085" t="s">
        <v>2173</v>
      </c>
      <c r="F3085">
        <v>4</v>
      </c>
      <c r="G3085" t="s">
        <v>53</v>
      </c>
      <c r="H3085" t="s">
        <v>43</v>
      </c>
      <c r="I3085" t="s">
        <v>2191</v>
      </c>
      <c r="J3085" s="10">
        <v>21.4</v>
      </c>
      <c r="K3085" t="b">
        <v>1</v>
      </c>
    </row>
    <row r="3086" spans="1:11">
      <c r="A3086" s="12">
        <v>42026</v>
      </c>
      <c r="B3086">
        <v>2015</v>
      </c>
      <c r="C3086">
        <v>1</v>
      </c>
      <c r="D3086" s="11">
        <v>42005</v>
      </c>
      <c r="E3086" t="s">
        <v>2173</v>
      </c>
      <c r="F3086">
        <v>4</v>
      </c>
      <c r="G3086" t="s">
        <v>53</v>
      </c>
      <c r="H3086" t="s">
        <v>44</v>
      </c>
      <c r="I3086" t="s">
        <v>2192</v>
      </c>
      <c r="J3086" s="10">
        <v>19</v>
      </c>
      <c r="K3086" t="b">
        <v>1</v>
      </c>
    </row>
    <row r="3087" spans="1:11">
      <c r="A3087" s="12">
        <v>42026</v>
      </c>
      <c r="B3087">
        <v>2015</v>
      </c>
      <c r="C3087">
        <v>1</v>
      </c>
      <c r="D3087" s="11">
        <v>42005</v>
      </c>
      <c r="E3087" t="s">
        <v>2173</v>
      </c>
      <c r="F3087">
        <v>4</v>
      </c>
      <c r="G3087" t="s">
        <v>53</v>
      </c>
      <c r="H3087" t="s">
        <v>45</v>
      </c>
      <c r="I3087" t="s">
        <v>2193</v>
      </c>
      <c r="J3087" s="10">
        <v>0</v>
      </c>
      <c r="K3087" t="b">
        <v>1</v>
      </c>
    </row>
    <row r="3088" spans="1:11">
      <c r="A3088" s="12">
        <v>42026</v>
      </c>
      <c r="B3088">
        <v>2015</v>
      </c>
      <c r="C3088">
        <v>1</v>
      </c>
      <c r="D3088" s="11">
        <v>42005</v>
      </c>
      <c r="E3088" t="s">
        <v>2173</v>
      </c>
      <c r="F3088">
        <v>4</v>
      </c>
      <c r="G3088" t="s">
        <v>53</v>
      </c>
      <c r="H3088" t="s">
        <v>46</v>
      </c>
      <c r="I3088" t="s">
        <v>2194</v>
      </c>
      <c r="J3088" s="10">
        <v>0</v>
      </c>
      <c r="K3088" t="b">
        <v>1</v>
      </c>
    </row>
    <row r="3089" spans="1:11">
      <c r="A3089" s="12">
        <v>42026</v>
      </c>
      <c r="B3089">
        <v>2015</v>
      </c>
      <c r="C3089">
        <v>1</v>
      </c>
      <c r="D3089" s="11">
        <v>42005</v>
      </c>
      <c r="E3089" t="s">
        <v>2173</v>
      </c>
      <c r="F3089">
        <v>4</v>
      </c>
      <c r="G3089" t="s">
        <v>53</v>
      </c>
      <c r="H3089" t="s">
        <v>47</v>
      </c>
      <c r="I3089" t="s">
        <v>2195</v>
      </c>
      <c r="J3089" s="10">
        <v>1</v>
      </c>
      <c r="K3089" t="b">
        <v>1</v>
      </c>
    </row>
    <row r="3090" spans="1:11">
      <c r="A3090" s="12">
        <v>42027</v>
      </c>
      <c r="B3090">
        <v>2015</v>
      </c>
      <c r="C3090">
        <v>1</v>
      </c>
      <c r="D3090" s="11">
        <v>42005</v>
      </c>
      <c r="E3090" t="s">
        <v>2173</v>
      </c>
      <c r="F3090">
        <v>5</v>
      </c>
      <c r="G3090" t="s">
        <v>55</v>
      </c>
      <c r="H3090" t="s">
        <v>40</v>
      </c>
      <c r="I3090" t="s">
        <v>2188</v>
      </c>
      <c r="J3090" s="10">
        <v>3.67</v>
      </c>
      <c r="K3090" t="b">
        <v>1</v>
      </c>
    </row>
    <row r="3091" spans="1:11">
      <c r="A3091" s="12">
        <v>42027</v>
      </c>
      <c r="B3091">
        <v>2015</v>
      </c>
      <c r="C3091">
        <v>1</v>
      </c>
      <c r="D3091" s="11">
        <v>42005</v>
      </c>
      <c r="E3091" t="s">
        <v>2173</v>
      </c>
      <c r="F3091">
        <v>5</v>
      </c>
      <c r="G3091" t="s">
        <v>55</v>
      </c>
      <c r="H3091" t="s">
        <v>41</v>
      </c>
      <c r="I3091" t="s">
        <v>2189</v>
      </c>
      <c r="J3091" s="10">
        <v>4.728</v>
      </c>
      <c r="K3091" t="b">
        <v>1</v>
      </c>
    </row>
    <row r="3092" spans="1:11">
      <c r="A3092" s="12">
        <v>42027</v>
      </c>
      <c r="B3092">
        <v>2015</v>
      </c>
      <c r="C3092">
        <v>1</v>
      </c>
      <c r="D3092" s="11">
        <v>42005</v>
      </c>
      <c r="E3092" t="s">
        <v>2173</v>
      </c>
      <c r="F3092">
        <v>5</v>
      </c>
      <c r="G3092" t="s">
        <v>55</v>
      </c>
      <c r="H3092" t="s">
        <v>42</v>
      </c>
      <c r="I3092" t="s">
        <v>2190</v>
      </c>
      <c r="J3092" s="10">
        <v>8</v>
      </c>
      <c r="K3092" t="b">
        <v>1</v>
      </c>
    </row>
    <row r="3093" spans="1:11">
      <c r="A3093" s="12">
        <v>42027</v>
      </c>
      <c r="B3093">
        <v>2015</v>
      </c>
      <c r="C3093">
        <v>1</v>
      </c>
      <c r="D3093" s="11">
        <v>42005</v>
      </c>
      <c r="E3093" t="s">
        <v>2173</v>
      </c>
      <c r="F3093">
        <v>5</v>
      </c>
      <c r="G3093" t="s">
        <v>55</v>
      </c>
      <c r="H3093" t="s">
        <v>43</v>
      </c>
      <c r="I3093" t="s">
        <v>2191</v>
      </c>
      <c r="J3093" s="10">
        <v>30</v>
      </c>
      <c r="K3093" t="b">
        <v>1</v>
      </c>
    </row>
    <row r="3094" spans="1:11">
      <c r="A3094" s="12">
        <v>42027</v>
      </c>
      <c r="B3094">
        <v>2015</v>
      </c>
      <c r="C3094">
        <v>1</v>
      </c>
      <c r="D3094" s="11">
        <v>42005</v>
      </c>
      <c r="E3094" t="s">
        <v>2173</v>
      </c>
      <c r="F3094">
        <v>5</v>
      </c>
      <c r="G3094" t="s">
        <v>55</v>
      </c>
      <c r="H3094" t="s">
        <v>44</v>
      </c>
      <c r="I3094" t="s">
        <v>2192</v>
      </c>
      <c r="J3094" s="10">
        <v>14</v>
      </c>
      <c r="K3094" t="b">
        <v>1</v>
      </c>
    </row>
    <row r="3095" spans="1:11">
      <c r="A3095" s="12">
        <v>42027</v>
      </c>
      <c r="B3095">
        <v>2015</v>
      </c>
      <c r="C3095">
        <v>1</v>
      </c>
      <c r="D3095" s="11">
        <v>42005</v>
      </c>
      <c r="E3095" t="s">
        <v>2173</v>
      </c>
      <c r="F3095">
        <v>5</v>
      </c>
      <c r="G3095" t="s">
        <v>55</v>
      </c>
      <c r="H3095" t="s">
        <v>45</v>
      </c>
      <c r="I3095" t="s">
        <v>2193</v>
      </c>
      <c r="J3095" s="10">
        <v>0</v>
      </c>
      <c r="K3095" t="b">
        <v>1</v>
      </c>
    </row>
    <row r="3096" spans="1:11">
      <c r="A3096" s="12">
        <v>42027</v>
      </c>
      <c r="B3096">
        <v>2015</v>
      </c>
      <c r="C3096">
        <v>1</v>
      </c>
      <c r="D3096" s="11">
        <v>42005</v>
      </c>
      <c r="E3096" t="s">
        <v>2173</v>
      </c>
      <c r="F3096">
        <v>5</v>
      </c>
      <c r="G3096" t="s">
        <v>55</v>
      </c>
      <c r="H3096" t="s">
        <v>46</v>
      </c>
      <c r="I3096" t="s">
        <v>2194</v>
      </c>
      <c r="J3096" s="10">
        <v>7</v>
      </c>
      <c r="K3096" t="b">
        <v>1</v>
      </c>
    </row>
    <row r="3097" spans="1:11">
      <c r="A3097" s="12">
        <v>42027</v>
      </c>
      <c r="B3097">
        <v>2015</v>
      </c>
      <c r="C3097">
        <v>1</v>
      </c>
      <c r="D3097" s="11">
        <v>42005</v>
      </c>
      <c r="E3097" t="s">
        <v>2173</v>
      </c>
      <c r="F3097">
        <v>5</v>
      </c>
      <c r="G3097" t="s">
        <v>55</v>
      </c>
      <c r="H3097" t="s">
        <v>47</v>
      </c>
      <c r="I3097" t="s">
        <v>2195</v>
      </c>
      <c r="J3097" s="10">
        <v>2</v>
      </c>
      <c r="K3097" t="b">
        <v>1</v>
      </c>
    </row>
    <row r="3098" spans="1:11">
      <c r="A3098" s="12">
        <v>42028</v>
      </c>
      <c r="B3098">
        <v>2015</v>
      </c>
      <c r="C3098">
        <v>1</v>
      </c>
      <c r="D3098" s="11">
        <v>42005</v>
      </c>
      <c r="E3098" t="s">
        <v>2173</v>
      </c>
      <c r="F3098">
        <v>6</v>
      </c>
      <c r="G3098" t="s">
        <v>57</v>
      </c>
      <c r="H3098" t="s">
        <v>40</v>
      </c>
      <c r="I3098" t="s">
        <v>2188</v>
      </c>
      <c r="J3098" s="10">
        <v>4.34</v>
      </c>
      <c r="K3098" t="b">
        <v>1</v>
      </c>
    </row>
    <row r="3099" spans="1:11">
      <c r="A3099" s="12">
        <v>42028</v>
      </c>
      <c r="B3099">
        <v>2015</v>
      </c>
      <c r="C3099">
        <v>1</v>
      </c>
      <c r="D3099" s="11">
        <v>42005</v>
      </c>
      <c r="E3099" t="s">
        <v>2173</v>
      </c>
      <c r="F3099">
        <v>6</v>
      </c>
      <c r="G3099" t="s">
        <v>57</v>
      </c>
      <c r="H3099" t="s">
        <v>41</v>
      </c>
      <c r="I3099" t="s">
        <v>2189</v>
      </c>
      <c r="J3099" s="10">
        <v>3.33</v>
      </c>
      <c r="K3099" t="b">
        <v>1</v>
      </c>
    </row>
    <row r="3100" spans="1:11">
      <c r="A3100" s="12">
        <v>42028</v>
      </c>
      <c r="B3100">
        <v>2015</v>
      </c>
      <c r="C3100">
        <v>1</v>
      </c>
      <c r="D3100" s="11">
        <v>42005</v>
      </c>
      <c r="E3100" t="s">
        <v>2173</v>
      </c>
      <c r="F3100">
        <v>6</v>
      </c>
      <c r="G3100" t="s">
        <v>57</v>
      </c>
      <c r="H3100" t="s">
        <v>42</v>
      </c>
      <c r="I3100" t="s">
        <v>2190</v>
      </c>
      <c r="J3100" s="10">
        <v>9.199999999999999</v>
      </c>
      <c r="K3100" t="b">
        <v>1</v>
      </c>
    </row>
    <row r="3101" spans="1:11">
      <c r="A3101" s="12">
        <v>42028</v>
      </c>
      <c r="B3101">
        <v>2015</v>
      </c>
      <c r="C3101">
        <v>1</v>
      </c>
      <c r="D3101" s="11">
        <v>42005</v>
      </c>
      <c r="E3101" t="s">
        <v>2173</v>
      </c>
      <c r="F3101">
        <v>6</v>
      </c>
      <c r="G3101" t="s">
        <v>57</v>
      </c>
      <c r="H3101" t="s">
        <v>43</v>
      </c>
      <c r="I3101" t="s">
        <v>2191</v>
      </c>
      <c r="J3101" s="10">
        <v>49.7</v>
      </c>
      <c r="K3101" t="b">
        <v>1</v>
      </c>
    </row>
    <row r="3102" spans="1:11">
      <c r="A3102" s="12">
        <v>42028</v>
      </c>
      <c r="B3102">
        <v>2015</v>
      </c>
      <c r="C3102">
        <v>1</v>
      </c>
      <c r="D3102" s="11">
        <v>42005</v>
      </c>
      <c r="E3102" t="s">
        <v>2173</v>
      </c>
      <c r="F3102">
        <v>6</v>
      </c>
      <c r="G3102" t="s">
        <v>57</v>
      </c>
      <c r="H3102" t="s">
        <v>44</v>
      </c>
      <c r="I3102" t="s">
        <v>2192</v>
      </c>
      <c r="J3102" s="10">
        <v>31</v>
      </c>
      <c r="K3102" t="b">
        <v>1</v>
      </c>
    </row>
    <row r="3103" spans="1:11">
      <c r="A3103" s="12">
        <v>42028</v>
      </c>
      <c r="B3103">
        <v>2015</v>
      </c>
      <c r="C3103">
        <v>1</v>
      </c>
      <c r="D3103" s="11">
        <v>42005</v>
      </c>
      <c r="E3103" t="s">
        <v>2173</v>
      </c>
      <c r="F3103">
        <v>6</v>
      </c>
      <c r="G3103" t="s">
        <v>57</v>
      </c>
      <c r="H3103" t="s">
        <v>45</v>
      </c>
      <c r="I3103" t="s">
        <v>2193</v>
      </c>
      <c r="J3103" s="10">
        <v>0</v>
      </c>
      <c r="K3103" t="b">
        <v>1</v>
      </c>
    </row>
    <row r="3104" spans="1:11">
      <c r="A3104" s="12">
        <v>42028</v>
      </c>
      <c r="B3104">
        <v>2015</v>
      </c>
      <c r="C3104">
        <v>1</v>
      </c>
      <c r="D3104" s="11">
        <v>42005</v>
      </c>
      <c r="E3104" t="s">
        <v>2173</v>
      </c>
      <c r="F3104">
        <v>6</v>
      </c>
      <c r="G3104" t="s">
        <v>57</v>
      </c>
      <c r="H3104" t="s">
        <v>46</v>
      </c>
      <c r="I3104" t="s">
        <v>2194</v>
      </c>
      <c r="J3104" s="10">
        <v>22</v>
      </c>
      <c r="K3104" t="b">
        <v>1</v>
      </c>
    </row>
    <row r="3105" spans="1:11">
      <c r="A3105" s="12">
        <v>42028</v>
      </c>
      <c r="B3105">
        <v>2015</v>
      </c>
      <c r="C3105">
        <v>1</v>
      </c>
      <c r="D3105" s="11">
        <v>42005</v>
      </c>
      <c r="E3105" t="s">
        <v>2173</v>
      </c>
      <c r="F3105">
        <v>6</v>
      </c>
      <c r="G3105" t="s">
        <v>57</v>
      </c>
      <c r="H3105" t="s">
        <v>47</v>
      </c>
      <c r="I3105" t="s">
        <v>2195</v>
      </c>
      <c r="J3105" s="10">
        <v>1</v>
      </c>
      <c r="K3105" t="b">
        <v>1</v>
      </c>
    </row>
    <row r="3106" spans="1:11">
      <c r="A3106" s="12">
        <v>42029</v>
      </c>
      <c r="B3106">
        <v>2015</v>
      </c>
      <c r="C3106">
        <v>1</v>
      </c>
      <c r="D3106" s="11">
        <v>42005</v>
      </c>
      <c r="E3106" t="s">
        <v>2173</v>
      </c>
      <c r="F3106">
        <v>7</v>
      </c>
      <c r="G3106" t="s">
        <v>59</v>
      </c>
      <c r="H3106" t="s">
        <v>40</v>
      </c>
      <c r="I3106" t="s">
        <v>2188</v>
      </c>
      <c r="J3106" s="10">
        <v>4</v>
      </c>
      <c r="K3106" t="b">
        <v>1</v>
      </c>
    </row>
    <row r="3107" spans="1:11">
      <c r="A3107" s="12">
        <v>42029</v>
      </c>
      <c r="B3107">
        <v>2015</v>
      </c>
      <c r="C3107">
        <v>1</v>
      </c>
      <c r="D3107" s="11">
        <v>42005</v>
      </c>
      <c r="E3107" t="s">
        <v>2173</v>
      </c>
      <c r="F3107">
        <v>7</v>
      </c>
      <c r="G3107" t="s">
        <v>59</v>
      </c>
      <c r="H3107" t="s">
        <v>41</v>
      </c>
      <c r="I3107" t="s">
        <v>2189</v>
      </c>
      <c r="J3107" s="10">
        <v>1.13</v>
      </c>
      <c r="K3107" t="b">
        <v>1</v>
      </c>
    </row>
    <row r="3108" spans="1:11">
      <c r="A3108" s="12">
        <v>42029</v>
      </c>
      <c r="B3108">
        <v>2015</v>
      </c>
      <c r="C3108">
        <v>1</v>
      </c>
      <c r="D3108" s="11">
        <v>42005</v>
      </c>
      <c r="E3108" t="s">
        <v>2173</v>
      </c>
      <c r="F3108">
        <v>7</v>
      </c>
      <c r="G3108" t="s">
        <v>59</v>
      </c>
      <c r="H3108" t="s">
        <v>42</v>
      </c>
      <c r="I3108" t="s">
        <v>2190</v>
      </c>
      <c r="J3108" s="10">
        <v>1.9</v>
      </c>
      <c r="K3108" t="b">
        <v>1</v>
      </c>
    </row>
    <row r="3109" spans="1:11">
      <c r="A3109" s="12">
        <v>42029</v>
      </c>
      <c r="B3109">
        <v>2015</v>
      </c>
      <c r="C3109">
        <v>1</v>
      </c>
      <c r="D3109" s="11">
        <v>42005</v>
      </c>
      <c r="E3109" t="s">
        <v>2173</v>
      </c>
      <c r="F3109">
        <v>7</v>
      </c>
      <c r="G3109" t="s">
        <v>59</v>
      </c>
      <c r="H3109" t="s">
        <v>43</v>
      </c>
      <c r="I3109" t="s">
        <v>2191</v>
      </c>
      <c r="J3109" s="10">
        <v>38</v>
      </c>
      <c r="K3109" t="b">
        <v>1</v>
      </c>
    </row>
    <row r="3110" spans="1:11">
      <c r="A3110" s="12">
        <v>42029</v>
      </c>
      <c r="B3110">
        <v>2015</v>
      </c>
      <c r="C3110">
        <v>1</v>
      </c>
      <c r="D3110" s="11">
        <v>42005</v>
      </c>
      <c r="E3110" t="s">
        <v>2173</v>
      </c>
      <c r="F3110">
        <v>7</v>
      </c>
      <c r="G3110" t="s">
        <v>59</v>
      </c>
      <c r="H3110" t="s">
        <v>44</v>
      </c>
      <c r="I3110" t="s">
        <v>2192</v>
      </c>
      <c r="J3110" s="10">
        <v>11</v>
      </c>
      <c r="K3110" t="b">
        <v>1</v>
      </c>
    </row>
    <row r="3111" spans="1:11">
      <c r="A3111" s="12">
        <v>42029</v>
      </c>
      <c r="B3111">
        <v>2015</v>
      </c>
      <c r="C3111">
        <v>1</v>
      </c>
      <c r="D3111" s="11">
        <v>42005</v>
      </c>
      <c r="E3111" t="s">
        <v>2173</v>
      </c>
      <c r="F3111">
        <v>7</v>
      </c>
      <c r="G3111" t="s">
        <v>59</v>
      </c>
      <c r="H3111" t="s">
        <v>45</v>
      </c>
      <c r="I3111" t="s">
        <v>2193</v>
      </c>
      <c r="J3111" s="10">
        <v>1</v>
      </c>
      <c r="K3111" t="b">
        <v>1</v>
      </c>
    </row>
    <row r="3112" spans="1:11">
      <c r="A3112" s="12">
        <v>42029</v>
      </c>
      <c r="B3112">
        <v>2015</v>
      </c>
      <c r="C3112">
        <v>1</v>
      </c>
      <c r="D3112" s="11">
        <v>42005</v>
      </c>
      <c r="E3112" t="s">
        <v>2173</v>
      </c>
      <c r="F3112">
        <v>7</v>
      </c>
      <c r="G3112" t="s">
        <v>59</v>
      </c>
      <c r="H3112" t="s">
        <v>46</v>
      </c>
      <c r="I3112" t="s">
        <v>2194</v>
      </c>
      <c r="J3112" s="10">
        <v>5</v>
      </c>
      <c r="K3112" t="b">
        <v>1</v>
      </c>
    </row>
    <row r="3113" spans="1:11">
      <c r="A3113" s="12">
        <v>42029</v>
      </c>
      <c r="B3113">
        <v>2015</v>
      </c>
      <c r="C3113">
        <v>1</v>
      </c>
      <c r="D3113" s="11">
        <v>42005</v>
      </c>
      <c r="E3113" t="s">
        <v>2173</v>
      </c>
      <c r="F3113">
        <v>7</v>
      </c>
      <c r="G3113" t="s">
        <v>59</v>
      </c>
      <c r="H3113" t="s">
        <v>47</v>
      </c>
      <c r="I3113" t="s">
        <v>2195</v>
      </c>
      <c r="J3113" s="10">
        <v>0</v>
      </c>
      <c r="K3113" t="b">
        <v>1</v>
      </c>
    </row>
    <row r="3114" spans="1:11">
      <c r="A3114" s="12">
        <v>42030</v>
      </c>
      <c r="B3114">
        <v>2015</v>
      </c>
      <c r="C3114">
        <v>1</v>
      </c>
      <c r="D3114" s="11">
        <v>42005</v>
      </c>
      <c r="E3114" t="s">
        <v>2173</v>
      </c>
      <c r="F3114">
        <v>1</v>
      </c>
      <c r="G3114" t="s">
        <v>61</v>
      </c>
      <c r="H3114" t="s">
        <v>40</v>
      </c>
      <c r="I3114" t="s">
        <v>2188</v>
      </c>
      <c r="J3114" s="10">
        <v>8.5</v>
      </c>
      <c r="K3114" t="b">
        <v>1</v>
      </c>
    </row>
    <row r="3115" spans="1:11">
      <c r="A3115" s="12">
        <v>42030</v>
      </c>
      <c r="B3115">
        <v>2015</v>
      </c>
      <c r="C3115">
        <v>1</v>
      </c>
      <c r="D3115" s="11">
        <v>42005</v>
      </c>
      <c r="E3115" t="s">
        <v>2173</v>
      </c>
      <c r="F3115">
        <v>1</v>
      </c>
      <c r="G3115" t="s">
        <v>61</v>
      </c>
      <c r="H3115" t="s">
        <v>41</v>
      </c>
      <c r="I3115" t="s">
        <v>2189</v>
      </c>
      <c r="J3115" s="10">
        <v>4.67</v>
      </c>
      <c r="K3115" t="b">
        <v>1</v>
      </c>
    </row>
    <row r="3116" spans="1:11">
      <c r="A3116" s="12">
        <v>42030</v>
      </c>
      <c r="B3116">
        <v>2015</v>
      </c>
      <c r="C3116">
        <v>1</v>
      </c>
      <c r="D3116" s="11">
        <v>42005</v>
      </c>
      <c r="E3116" t="s">
        <v>2173</v>
      </c>
      <c r="F3116">
        <v>1</v>
      </c>
      <c r="G3116" t="s">
        <v>61</v>
      </c>
      <c r="H3116" t="s">
        <v>42</v>
      </c>
      <c r="I3116" t="s">
        <v>2190</v>
      </c>
      <c r="J3116" s="10">
        <v>4</v>
      </c>
      <c r="K3116" t="b">
        <v>1</v>
      </c>
    </row>
    <row r="3117" spans="1:11">
      <c r="A3117" s="12">
        <v>42030</v>
      </c>
      <c r="B3117">
        <v>2015</v>
      </c>
      <c r="C3117">
        <v>1</v>
      </c>
      <c r="D3117" s="11">
        <v>42005</v>
      </c>
      <c r="E3117" t="s">
        <v>2173</v>
      </c>
      <c r="F3117">
        <v>1</v>
      </c>
      <c r="G3117" t="s">
        <v>61</v>
      </c>
      <c r="H3117" t="s">
        <v>43</v>
      </c>
      <c r="I3117" t="s">
        <v>2191</v>
      </c>
      <c r="J3117" s="10">
        <v>34.4</v>
      </c>
      <c r="K3117" t="b">
        <v>1</v>
      </c>
    </row>
    <row r="3118" spans="1:11">
      <c r="A3118" s="12">
        <v>42030</v>
      </c>
      <c r="B3118">
        <v>2015</v>
      </c>
      <c r="C3118">
        <v>1</v>
      </c>
      <c r="D3118" s="11">
        <v>42005</v>
      </c>
      <c r="E3118" t="s">
        <v>2173</v>
      </c>
      <c r="F3118">
        <v>1</v>
      </c>
      <c r="G3118" t="s">
        <v>61</v>
      </c>
      <c r="H3118" t="s">
        <v>44</v>
      </c>
      <c r="I3118" t="s">
        <v>2192</v>
      </c>
      <c r="J3118" s="10">
        <v>15</v>
      </c>
      <c r="K3118" t="b">
        <v>1</v>
      </c>
    </row>
    <row r="3119" spans="1:11">
      <c r="A3119" s="12">
        <v>42030</v>
      </c>
      <c r="B3119">
        <v>2015</v>
      </c>
      <c r="C3119">
        <v>1</v>
      </c>
      <c r="D3119" s="11">
        <v>42005</v>
      </c>
      <c r="E3119" t="s">
        <v>2173</v>
      </c>
      <c r="F3119">
        <v>1</v>
      </c>
      <c r="G3119" t="s">
        <v>61</v>
      </c>
      <c r="H3119" t="s">
        <v>45</v>
      </c>
      <c r="I3119" t="s">
        <v>2193</v>
      </c>
      <c r="J3119" s="10">
        <v>0</v>
      </c>
      <c r="K3119" t="b">
        <v>1</v>
      </c>
    </row>
    <row r="3120" spans="1:11">
      <c r="A3120" s="12">
        <v>42030</v>
      </c>
      <c r="B3120">
        <v>2015</v>
      </c>
      <c r="C3120">
        <v>1</v>
      </c>
      <c r="D3120" s="11">
        <v>42005</v>
      </c>
      <c r="E3120" t="s">
        <v>2173</v>
      </c>
      <c r="F3120">
        <v>1</v>
      </c>
      <c r="G3120" t="s">
        <v>61</v>
      </c>
      <c r="H3120" t="s">
        <v>46</v>
      </c>
      <c r="I3120" t="s">
        <v>2194</v>
      </c>
      <c r="J3120" s="10">
        <v>13</v>
      </c>
      <c r="K3120" t="b">
        <v>1</v>
      </c>
    </row>
    <row r="3121" spans="1:11">
      <c r="A3121" s="12">
        <v>42030</v>
      </c>
      <c r="B3121">
        <v>2015</v>
      </c>
      <c r="C3121">
        <v>1</v>
      </c>
      <c r="D3121" s="11">
        <v>42005</v>
      </c>
      <c r="E3121" t="s">
        <v>2173</v>
      </c>
      <c r="F3121">
        <v>1</v>
      </c>
      <c r="G3121" t="s">
        <v>61</v>
      </c>
      <c r="H3121" t="s">
        <v>47</v>
      </c>
      <c r="I3121" t="s">
        <v>2195</v>
      </c>
      <c r="J3121" s="10">
        <v>0</v>
      </c>
      <c r="K3121" t="b">
        <v>1</v>
      </c>
    </row>
    <row r="3122" spans="1:11">
      <c r="A3122" s="12">
        <v>42031</v>
      </c>
      <c r="B3122">
        <v>2015</v>
      </c>
      <c r="C3122">
        <v>1</v>
      </c>
      <c r="D3122" s="11">
        <v>42005</v>
      </c>
      <c r="E3122" t="s">
        <v>2173</v>
      </c>
      <c r="F3122">
        <v>2</v>
      </c>
      <c r="G3122" t="s">
        <v>63</v>
      </c>
      <c r="H3122" t="s">
        <v>40</v>
      </c>
      <c r="I3122" t="s">
        <v>2188</v>
      </c>
      <c r="J3122" s="10">
        <v>2.67</v>
      </c>
      <c r="K3122" t="b">
        <v>1</v>
      </c>
    </row>
    <row r="3123" spans="1:11">
      <c r="A3123" s="12">
        <v>42031</v>
      </c>
      <c r="B3123">
        <v>2015</v>
      </c>
      <c r="C3123">
        <v>1</v>
      </c>
      <c r="D3123" s="11">
        <v>42005</v>
      </c>
      <c r="E3123" t="s">
        <v>2173</v>
      </c>
      <c r="F3123">
        <v>2</v>
      </c>
      <c r="G3123" t="s">
        <v>63</v>
      </c>
      <c r="H3123" t="s">
        <v>41</v>
      </c>
      <c r="I3123" t="s">
        <v>2189</v>
      </c>
      <c r="J3123" s="10">
        <v>6.33</v>
      </c>
      <c r="K3123" t="b">
        <v>1</v>
      </c>
    </row>
    <row r="3124" spans="1:11">
      <c r="A3124" s="12">
        <v>42031</v>
      </c>
      <c r="B3124">
        <v>2015</v>
      </c>
      <c r="C3124">
        <v>1</v>
      </c>
      <c r="D3124" s="11">
        <v>42005</v>
      </c>
      <c r="E3124" t="s">
        <v>2173</v>
      </c>
      <c r="F3124">
        <v>2</v>
      </c>
      <c r="G3124" t="s">
        <v>63</v>
      </c>
      <c r="H3124" t="s">
        <v>42</v>
      </c>
      <c r="I3124" t="s">
        <v>2190</v>
      </c>
      <c r="J3124" s="10">
        <v>1</v>
      </c>
      <c r="K3124" t="b">
        <v>1</v>
      </c>
    </row>
    <row r="3125" spans="1:11">
      <c r="A3125" s="12">
        <v>42031</v>
      </c>
      <c r="B3125">
        <v>2015</v>
      </c>
      <c r="C3125">
        <v>1</v>
      </c>
      <c r="D3125" s="11">
        <v>42005</v>
      </c>
      <c r="E3125" t="s">
        <v>2173</v>
      </c>
      <c r="F3125">
        <v>2</v>
      </c>
      <c r="G3125" t="s">
        <v>63</v>
      </c>
      <c r="H3125" t="s">
        <v>43</v>
      </c>
      <c r="I3125" t="s">
        <v>2191</v>
      </c>
      <c r="J3125" s="10">
        <v>20</v>
      </c>
      <c r="K3125" t="b">
        <v>1</v>
      </c>
    </row>
    <row r="3126" spans="1:11">
      <c r="A3126" s="12">
        <v>42031</v>
      </c>
      <c r="B3126">
        <v>2015</v>
      </c>
      <c r="C3126">
        <v>1</v>
      </c>
      <c r="D3126" s="11">
        <v>42005</v>
      </c>
      <c r="E3126" t="s">
        <v>2173</v>
      </c>
      <c r="F3126">
        <v>2</v>
      </c>
      <c r="G3126" t="s">
        <v>63</v>
      </c>
      <c r="H3126" t="s">
        <v>44</v>
      </c>
      <c r="I3126" t="s">
        <v>2192</v>
      </c>
      <c r="J3126" s="10">
        <v>14</v>
      </c>
      <c r="K3126" t="b">
        <v>1</v>
      </c>
    </row>
    <row r="3127" spans="1:11">
      <c r="A3127" s="12">
        <v>42031</v>
      </c>
      <c r="B3127">
        <v>2015</v>
      </c>
      <c r="C3127">
        <v>1</v>
      </c>
      <c r="D3127" s="11">
        <v>42005</v>
      </c>
      <c r="E3127" t="s">
        <v>2173</v>
      </c>
      <c r="F3127">
        <v>2</v>
      </c>
      <c r="G3127" t="s">
        <v>63</v>
      </c>
      <c r="H3127" t="s">
        <v>45</v>
      </c>
      <c r="I3127" t="s">
        <v>2193</v>
      </c>
      <c r="J3127" s="10">
        <v>0</v>
      </c>
      <c r="K3127" t="b">
        <v>1</v>
      </c>
    </row>
    <row r="3128" spans="1:11">
      <c r="A3128" s="12">
        <v>42031</v>
      </c>
      <c r="B3128">
        <v>2015</v>
      </c>
      <c r="C3128">
        <v>1</v>
      </c>
      <c r="D3128" s="11">
        <v>42005</v>
      </c>
      <c r="E3128" t="s">
        <v>2173</v>
      </c>
      <c r="F3128">
        <v>2</v>
      </c>
      <c r="G3128" t="s">
        <v>63</v>
      </c>
      <c r="H3128" t="s">
        <v>46</v>
      </c>
      <c r="I3128" t="s">
        <v>2194</v>
      </c>
      <c r="J3128" s="10">
        <v>0</v>
      </c>
      <c r="K3128" t="b">
        <v>1</v>
      </c>
    </row>
    <row r="3129" spans="1:11">
      <c r="A3129" s="12">
        <v>42031</v>
      </c>
      <c r="B3129">
        <v>2015</v>
      </c>
      <c r="C3129">
        <v>1</v>
      </c>
      <c r="D3129" s="11">
        <v>42005</v>
      </c>
      <c r="E3129" t="s">
        <v>2173</v>
      </c>
      <c r="F3129">
        <v>2</v>
      </c>
      <c r="G3129" t="s">
        <v>63</v>
      </c>
      <c r="H3129" t="s">
        <v>47</v>
      </c>
      <c r="I3129" t="s">
        <v>2195</v>
      </c>
      <c r="J3129" s="10">
        <v>0</v>
      </c>
      <c r="K3129" t="b">
        <v>1</v>
      </c>
    </row>
    <row r="3130" spans="1:11">
      <c r="A3130" s="12">
        <v>42032</v>
      </c>
      <c r="B3130">
        <v>2015</v>
      </c>
      <c r="C3130">
        <v>1</v>
      </c>
      <c r="D3130" s="11">
        <v>42005</v>
      </c>
      <c r="E3130" t="s">
        <v>2173</v>
      </c>
      <c r="F3130">
        <v>3</v>
      </c>
      <c r="G3130" t="s">
        <v>65</v>
      </c>
      <c r="H3130" t="s">
        <v>40</v>
      </c>
      <c r="I3130" t="s">
        <v>2188</v>
      </c>
      <c r="J3130" s="10">
        <v>3</v>
      </c>
      <c r="K3130" t="b">
        <v>1</v>
      </c>
    </row>
    <row r="3131" spans="1:11">
      <c r="A3131" s="12">
        <v>42032</v>
      </c>
      <c r="B3131">
        <v>2015</v>
      </c>
      <c r="C3131">
        <v>1</v>
      </c>
      <c r="D3131" s="11">
        <v>42005</v>
      </c>
      <c r="E3131" t="s">
        <v>2173</v>
      </c>
      <c r="F3131">
        <v>3</v>
      </c>
      <c r="G3131" t="s">
        <v>65</v>
      </c>
      <c r="H3131" t="s">
        <v>41</v>
      </c>
      <c r="I3131" t="s">
        <v>2189</v>
      </c>
      <c r="J3131" s="10">
        <v>5.34</v>
      </c>
      <c r="K3131" t="b">
        <v>1</v>
      </c>
    </row>
    <row r="3132" spans="1:11">
      <c r="A3132" s="12">
        <v>42032</v>
      </c>
      <c r="B3132">
        <v>2015</v>
      </c>
      <c r="C3132">
        <v>1</v>
      </c>
      <c r="D3132" s="11">
        <v>42005</v>
      </c>
      <c r="E3132" t="s">
        <v>2173</v>
      </c>
      <c r="F3132">
        <v>3</v>
      </c>
      <c r="G3132" t="s">
        <v>65</v>
      </c>
      <c r="H3132" t="s">
        <v>42</v>
      </c>
      <c r="I3132" t="s">
        <v>2190</v>
      </c>
      <c r="J3132" s="10">
        <v>3</v>
      </c>
      <c r="K3132" t="b">
        <v>1</v>
      </c>
    </row>
    <row r="3133" spans="1:11">
      <c r="A3133" s="12">
        <v>42032</v>
      </c>
      <c r="B3133">
        <v>2015</v>
      </c>
      <c r="C3133">
        <v>1</v>
      </c>
      <c r="D3133" s="11">
        <v>42005</v>
      </c>
      <c r="E3133" t="s">
        <v>2173</v>
      </c>
      <c r="F3133">
        <v>3</v>
      </c>
      <c r="G3133" t="s">
        <v>65</v>
      </c>
      <c r="H3133" t="s">
        <v>43</v>
      </c>
      <c r="I3133" t="s">
        <v>2191</v>
      </c>
      <c r="J3133" s="10">
        <v>32</v>
      </c>
      <c r="K3133" t="b">
        <v>1</v>
      </c>
    </row>
    <row r="3134" spans="1:11">
      <c r="A3134" s="12">
        <v>42032</v>
      </c>
      <c r="B3134">
        <v>2015</v>
      </c>
      <c r="C3134">
        <v>1</v>
      </c>
      <c r="D3134" s="11">
        <v>42005</v>
      </c>
      <c r="E3134" t="s">
        <v>2173</v>
      </c>
      <c r="F3134">
        <v>3</v>
      </c>
      <c r="G3134" t="s">
        <v>65</v>
      </c>
      <c r="H3134" t="s">
        <v>44</v>
      </c>
      <c r="I3134" t="s">
        <v>2192</v>
      </c>
      <c r="J3134" s="10">
        <v>18</v>
      </c>
      <c r="K3134" t="b">
        <v>1</v>
      </c>
    </row>
    <row r="3135" spans="1:11">
      <c r="A3135" s="12">
        <v>42032</v>
      </c>
      <c r="B3135">
        <v>2015</v>
      </c>
      <c r="C3135">
        <v>1</v>
      </c>
      <c r="D3135" s="11">
        <v>42005</v>
      </c>
      <c r="E3135" t="s">
        <v>2173</v>
      </c>
      <c r="F3135">
        <v>3</v>
      </c>
      <c r="G3135" t="s">
        <v>65</v>
      </c>
      <c r="H3135" t="s">
        <v>45</v>
      </c>
      <c r="I3135" t="s">
        <v>2193</v>
      </c>
      <c r="J3135" s="10">
        <v>3</v>
      </c>
      <c r="K3135" t="b">
        <v>1</v>
      </c>
    </row>
    <row r="3136" spans="1:11">
      <c r="A3136" s="12">
        <v>42032</v>
      </c>
      <c r="B3136">
        <v>2015</v>
      </c>
      <c r="C3136">
        <v>1</v>
      </c>
      <c r="D3136" s="11">
        <v>42005</v>
      </c>
      <c r="E3136" t="s">
        <v>2173</v>
      </c>
      <c r="F3136">
        <v>3</v>
      </c>
      <c r="G3136" t="s">
        <v>65</v>
      </c>
      <c r="H3136" t="s">
        <v>46</v>
      </c>
      <c r="I3136" t="s">
        <v>2194</v>
      </c>
      <c r="J3136" s="10">
        <v>5</v>
      </c>
      <c r="K3136" t="b">
        <v>1</v>
      </c>
    </row>
    <row r="3137" spans="1:11">
      <c r="A3137" s="12">
        <v>42032</v>
      </c>
      <c r="B3137">
        <v>2015</v>
      </c>
      <c r="C3137">
        <v>1</v>
      </c>
      <c r="D3137" s="11">
        <v>42005</v>
      </c>
      <c r="E3137" t="s">
        <v>2173</v>
      </c>
      <c r="F3137">
        <v>3</v>
      </c>
      <c r="G3137" t="s">
        <v>65</v>
      </c>
      <c r="H3137" t="s">
        <v>47</v>
      </c>
      <c r="I3137" t="s">
        <v>2195</v>
      </c>
      <c r="J3137" s="10">
        <v>3</v>
      </c>
      <c r="K3137" t="b">
        <v>1</v>
      </c>
    </row>
    <row r="3138" spans="1:11">
      <c r="A3138" s="12">
        <v>42033</v>
      </c>
      <c r="B3138">
        <v>2015</v>
      </c>
      <c r="C3138">
        <v>1</v>
      </c>
      <c r="D3138" s="11">
        <v>42005</v>
      </c>
      <c r="E3138" t="s">
        <v>2173</v>
      </c>
      <c r="F3138">
        <v>4</v>
      </c>
      <c r="G3138" t="s">
        <v>53</v>
      </c>
      <c r="H3138" t="s">
        <v>40</v>
      </c>
      <c r="I3138" t="s">
        <v>2188</v>
      </c>
      <c r="J3138" s="10">
        <v>4.34</v>
      </c>
      <c r="K3138" t="b">
        <v>1</v>
      </c>
    </row>
    <row r="3139" spans="1:11">
      <c r="A3139" s="12">
        <v>42033</v>
      </c>
      <c r="B3139">
        <v>2015</v>
      </c>
      <c r="C3139">
        <v>1</v>
      </c>
      <c r="D3139" s="11">
        <v>42005</v>
      </c>
      <c r="E3139" t="s">
        <v>2173</v>
      </c>
      <c r="F3139">
        <v>4</v>
      </c>
      <c r="G3139" t="s">
        <v>53</v>
      </c>
      <c r="H3139" t="s">
        <v>41</v>
      </c>
      <c r="I3139" t="s">
        <v>2189</v>
      </c>
      <c r="J3139" s="10">
        <v>5.71</v>
      </c>
      <c r="K3139" t="b">
        <v>1</v>
      </c>
    </row>
    <row r="3140" spans="1:11">
      <c r="A3140" s="12">
        <v>42033</v>
      </c>
      <c r="B3140">
        <v>2015</v>
      </c>
      <c r="C3140">
        <v>1</v>
      </c>
      <c r="D3140" s="11">
        <v>42005</v>
      </c>
      <c r="E3140" t="s">
        <v>2173</v>
      </c>
      <c r="F3140">
        <v>4</v>
      </c>
      <c r="G3140" t="s">
        <v>53</v>
      </c>
      <c r="H3140" t="s">
        <v>42</v>
      </c>
      <c r="I3140" t="s">
        <v>2190</v>
      </c>
      <c r="J3140" s="10">
        <v>8.699999999999999</v>
      </c>
      <c r="K3140" t="b">
        <v>1</v>
      </c>
    </row>
    <row r="3141" spans="1:11">
      <c r="A3141" s="12">
        <v>42033</v>
      </c>
      <c r="B3141">
        <v>2015</v>
      </c>
      <c r="C3141">
        <v>1</v>
      </c>
      <c r="D3141" s="11">
        <v>42005</v>
      </c>
      <c r="E3141" t="s">
        <v>2173</v>
      </c>
      <c r="F3141">
        <v>4</v>
      </c>
      <c r="G3141" t="s">
        <v>53</v>
      </c>
      <c r="H3141" t="s">
        <v>43</v>
      </c>
      <c r="I3141" t="s">
        <v>2191</v>
      </c>
      <c r="J3141" s="10">
        <v>24.4</v>
      </c>
      <c r="K3141" t="b">
        <v>1</v>
      </c>
    </row>
    <row r="3142" spans="1:11">
      <c r="A3142" s="12">
        <v>42033</v>
      </c>
      <c r="B3142">
        <v>2015</v>
      </c>
      <c r="C3142">
        <v>1</v>
      </c>
      <c r="D3142" s="11">
        <v>42005</v>
      </c>
      <c r="E3142" t="s">
        <v>2173</v>
      </c>
      <c r="F3142">
        <v>4</v>
      </c>
      <c r="G3142" t="s">
        <v>53</v>
      </c>
      <c r="H3142" t="s">
        <v>44</v>
      </c>
      <c r="I3142" t="s">
        <v>2192</v>
      </c>
      <c r="J3142" s="10">
        <v>16</v>
      </c>
      <c r="K3142" t="b">
        <v>1</v>
      </c>
    </row>
    <row r="3143" spans="1:11">
      <c r="A3143" s="12">
        <v>42033</v>
      </c>
      <c r="B3143">
        <v>2015</v>
      </c>
      <c r="C3143">
        <v>1</v>
      </c>
      <c r="D3143" s="11">
        <v>42005</v>
      </c>
      <c r="E3143" t="s">
        <v>2173</v>
      </c>
      <c r="F3143">
        <v>4</v>
      </c>
      <c r="G3143" t="s">
        <v>53</v>
      </c>
      <c r="H3143" t="s">
        <v>45</v>
      </c>
      <c r="I3143" t="s">
        <v>2193</v>
      </c>
      <c r="J3143" s="10">
        <v>3</v>
      </c>
      <c r="K3143" t="b">
        <v>1</v>
      </c>
    </row>
    <row r="3144" spans="1:11">
      <c r="A3144" s="12">
        <v>42033</v>
      </c>
      <c r="B3144">
        <v>2015</v>
      </c>
      <c r="C3144">
        <v>1</v>
      </c>
      <c r="D3144" s="11">
        <v>42005</v>
      </c>
      <c r="E3144" t="s">
        <v>2173</v>
      </c>
      <c r="F3144">
        <v>4</v>
      </c>
      <c r="G3144" t="s">
        <v>53</v>
      </c>
      <c r="H3144" t="s">
        <v>46</v>
      </c>
      <c r="I3144" t="s">
        <v>2194</v>
      </c>
      <c r="J3144" s="10">
        <v>11</v>
      </c>
      <c r="K3144" t="b">
        <v>1</v>
      </c>
    </row>
    <row r="3145" spans="1:11">
      <c r="A3145" s="12">
        <v>42033</v>
      </c>
      <c r="B3145">
        <v>2015</v>
      </c>
      <c r="C3145">
        <v>1</v>
      </c>
      <c r="D3145" s="11">
        <v>42005</v>
      </c>
      <c r="E3145" t="s">
        <v>2173</v>
      </c>
      <c r="F3145">
        <v>4</v>
      </c>
      <c r="G3145" t="s">
        <v>53</v>
      </c>
      <c r="H3145" t="s">
        <v>47</v>
      </c>
      <c r="I3145" t="s">
        <v>2195</v>
      </c>
      <c r="J3145" s="10">
        <v>3</v>
      </c>
      <c r="K3145" t="b">
        <v>1</v>
      </c>
    </row>
    <row r="3146" spans="1:11">
      <c r="A3146" s="12">
        <v>42034</v>
      </c>
      <c r="B3146">
        <v>2015</v>
      </c>
      <c r="C3146">
        <v>1</v>
      </c>
      <c r="D3146" s="11">
        <v>42005</v>
      </c>
      <c r="E3146" t="s">
        <v>2173</v>
      </c>
      <c r="F3146">
        <v>5</v>
      </c>
      <c r="G3146" t="s">
        <v>55</v>
      </c>
      <c r="H3146" t="s">
        <v>40</v>
      </c>
      <c r="I3146" t="s">
        <v>2188</v>
      </c>
      <c r="J3146" s="10">
        <v>1</v>
      </c>
      <c r="K3146" t="b">
        <v>1</v>
      </c>
    </row>
    <row r="3147" spans="1:11">
      <c r="A3147" s="12">
        <v>42034</v>
      </c>
      <c r="B3147">
        <v>2015</v>
      </c>
      <c r="C3147">
        <v>1</v>
      </c>
      <c r="D3147" s="11">
        <v>42005</v>
      </c>
      <c r="E3147" t="s">
        <v>2173</v>
      </c>
      <c r="F3147">
        <v>5</v>
      </c>
      <c r="G3147" t="s">
        <v>55</v>
      </c>
      <c r="H3147" t="s">
        <v>41</v>
      </c>
      <c r="I3147" t="s">
        <v>2189</v>
      </c>
      <c r="J3147" s="10">
        <v>1.068</v>
      </c>
      <c r="K3147" t="b">
        <v>1</v>
      </c>
    </row>
    <row r="3148" spans="1:11">
      <c r="A3148" s="12">
        <v>42034</v>
      </c>
      <c r="B3148">
        <v>2015</v>
      </c>
      <c r="C3148">
        <v>1</v>
      </c>
      <c r="D3148" s="11">
        <v>42005</v>
      </c>
      <c r="E3148" t="s">
        <v>2173</v>
      </c>
      <c r="F3148">
        <v>5</v>
      </c>
      <c r="G3148" t="s">
        <v>55</v>
      </c>
      <c r="H3148" t="s">
        <v>42</v>
      </c>
      <c r="I3148" t="s">
        <v>2190</v>
      </c>
      <c r="J3148" s="10">
        <v>1</v>
      </c>
      <c r="K3148" t="b">
        <v>1</v>
      </c>
    </row>
    <row r="3149" spans="1:11">
      <c r="A3149" s="12">
        <v>42034</v>
      </c>
      <c r="B3149">
        <v>2015</v>
      </c>
      <c r="C3149">
        <v>1</v>
      </c>
      <c r="D3149" s="11">
        <v>42005</v>
      </c>
      <c r="E3149" t="s">
        <v>2173</v>
      </c>
      <c r="F3149">
        <v>5</v>
      </c>
      <c r="G3149" t="s">
        <v>55</v>
      </c>
      <c r="H3149" t="s">
        <v>43</v>
      </c>
      <c r="I3149" t="s">
        <v>2191</v>
      </c>
      <c r="J3149" s="10">
        <v>20.5</v>
      </c>
      <c r="K3149" t="b">
        <v>1</v>
      </c>
    </row>
    <row r="3150" spans="1:11">
      <c r="A3150" s="12">
        <v>42034</v>
      </c>
      <c r="B3150">
        <v>2015</v>
      </c>
      <c r="C3150">
        <v>1</v>
      </c>
      <c r="D3150" s="11">
        <v>42005</v>
      </c>
      <c r="E3150" t="s">
        <v>2173</v>
      </c>
      <c r="F3150">
        <v>5</v>
      </c>
      <c r="G3150" t="s">
        <v>55</v>
      </c>
      <c r="H3150" t="s">
        <v>44</v>
      </c>
      <c r="I3150" t="s">
        <v>2192</v>
      </c>
      <c r="J3150" s="10">
        <v>19</v>
      </c>
      <c r="K3150" t="b">
        <v>1</v>
      </c>
    </row>
    <row r="3151" spans="1:11">
      <c r="A3151" s="12">
        <v>42034</v>
      </c>
      <c r="B3151">
        <v>2015</v>
      </c>
      <c r="C3151">
        <v>1</v>
      </c>
      <c r="D3151" s="11">
        <v>42005</v>
      </c>
      <c r="E3151" t="s">
        <v>2173</v>
      </c>
      <c r="F3151">
        <v>5</v>
      </c>
      <c r="G3151" t="s">
        <v>55</v>
      </c>
      <c r="H3151" t="s">
        <v>45</v>
      </c>
      <c r="I3151" t="s">
        <v>2193</v>
      </c>
      <c r="J3151" s="10">
        <v>1</v>
      </c>
      <c r="K3151" t="b">
        <v>1</v>
      </c>
    </row>
    <row r="3152" spans="1:11">
      <c r="A3152" s="12">
        <v>42034</v>
      </c>
      <c r="B3152">
        <v>2015</v>
      </c>
      <c r="C3152">
        <v>1</v>
      </c>
      <c r="D3152" s="11">
        <v>42005</v>
      </c>
      <c r="E3152" t="s">
        <v>2173</v>
      </c>
      <c r="F3152">
        <v>5</v>
      </c>
      <c r="G3152" t="s">
        <v>55</v>
      </c>
      <c r="H3152" t="s">
        <v>46</v>
      </c>
      <c r="I3152" t="s">
        <v>2194</v>
      </c>
      <c r="J3152" s="10">
        <v>0</v>
      </c>
      <c r="K3152" t="b">
        <v>1</v>
      </c>
    </row>
    <row r="3153" spans="1:11">
      <c r="A3153" s="12">
        <v>42034</v>
      </c>
      <c r="B3153">
        <v>2015</v>
      </c>
      <c r="C3153">
        <v>1</v>
      </c>
      <c r="D3153" s="11">
        <v>42005</v>
      </c>
      <c r="E3153" t="s">
        <v>2173</v>
      </c>
      <c r="F3153">
        <v>5</v>
      </c>
      <c r="G3153" t="s">
        <v>55</v>
      </c>
      <c r="H3153" t="s">
        <v>47</v>
      </c>
      <c r="I3153" t="s">
        <v>2195</v>
      </c>
      <c r="J3153" s="10">
        <v>0</v>
      </c>
      <c r="K3153" t="b">
        <v>1</v>
      </c>
    </row>
    <row r="3154" spans="1:11">
      <c r="A3154" s="12">
        <v>42035</v>
      </c>
      <c r="B3154">
        <v>2015</v>
      </c>
      <c r="C3154">
        <v>1</v>
      </c>
      <c r="D3154" s="11">
        <v>42005</v>
      </c>
      <c r="E3154" t="s">
        <v>2173</v>
      </c>
      <c r="F3154">
        <v>6</v>
      </c>
      <c r="G3154" t="s">
        <v>57</v>
      </c>
      <c r="H3154" t="s">
        <v>40</v>
      </c>
      <c r="I3154" t="s">
        <v>2188</v>
      </c>
      <c r="J3154" s="10">
        <v>8.34</v>
      </c>
      <c r="K3154" t="b">
        <v>1</v>
      </c>
    </row>
    <row r="3155" spans="1:11">
      <c r="A3155" s="12">
        <v>42035</v>
      </c>
      <c r="B3155">
        <v>2015</v>
      </c>
      <c r="C3155">
        <v>1</v>
      </c>
      <c r="D3155" s="11">
        <v>42005</v>
      </c>
      <c r="E3155" t="s">
        <v>2173</v>
      </c>
      <c r="F3155">
        <v>6</v>
      </c>
      <c r="G3155" t="s">
        <v>57</v>
      </c>
      <c r="H3155" t="s">
        <v>41</v>
      </c>
      <c r="I3155" t="s">
        <v>2189</v>
      </c>
      <c r="J3155" s="10">
        <v>6.112</v>
      </c>
      <c r="K3155" t="b">
        <v>1</v>
      </c>
    </row>
    <row r="3156" spans="1:11">
      <c r="A3156" s="12">
        <v>42035</v>
      </c>
      <c r="B3156">
        <v>2015</v>
      </c>
      <c r="C3156">
        <v>1</v>
      </c>
      <c r="D3156" s="11">
        <v>42005</v>
      </c>
      <c r="E3156" t="s">
        <v>2173</v>
      </c>
      <c r="F3156">
        <v>6</v>
      </c>
      <c r="G3156" t="s">
        <v>57</v>
      </c>
      <c r="H3156" t="s">
        <v>42</v>
      </c>
      <c r="I3156" t="s">
        <v>2190</v>
      </c>
      <c r="J3156" s="10">
        <v>5</v>
      </c>
      <c r="K3156" t="b">
        <v>1</v>
      </c>
    </row>
    <row r="3157" spans="1:11">
      <c r="A3157" s="12">
        <v>42035</v>
      </c>
      <c r="B3157">
        <v>2015</v>
      </c>
      <c r="C3157">
        <v>1</v>
      </c>
      <c r="D3157" s="11">
        <v>42005</v>
      </c>
      <c r="E3157" t="s">
        <v>2173</v>
      </c>
      <c r="F3157">
        <v>6</v>
      </c>
      <c r="G3157" t="s">
        <v>57</v>
      </c>
      <c r="H3157" t="s">
        <v>43</v>
      </c>
      <c r="I3157" t="s">
        <v>2191</v>
      </c>
      <c r="J3157" s="10">
        <v>32.4</v>
      </c>
      <c r="K3157" t="b">
        <v>1</v>
      </c>
    </row>
    <row r="3158" spans="1:11">
      <c r="A3158" s="12">
        <v>42035</v>
      </c>
      <c r="B3158">
        <v>2015</v>
      </c>
      <c r="C3158">
        <v>1</v>
      </c>
      <c r="D3158" s="11">
        <v>42005</v>
      </c>
      <c r="E3158" t="s">
        <v>2173</v>
      </c>
      <c r="F3158">
        <v>6</v>
      </c>
      <c r="G3158" t="s">
        <v>57</v>
      </c>
      <c r="H3158" t="s">
        <v>44</v>
      </c>
      <c r="I3158" t="s">
        <v>2192</v>
      </c>
      <c r="J3158" s="10">
        <v>12</v>
      </c>
      <c r="K3158" t="b">
        <v>1</v>
      </c>
    </row>
    <row r="3159" spans="1:11">
      <c r="A3159" s="12">
        <v>42035</v>
      </c>
      <c r="B3159">
        <v>2015</v>
      </c>
      <c r="C3159">
        <v>1</v>
      </c>
      <c r="D3159" s="11">
        <v>42005</v>
      </c>
      <c r="E3159" t="s">
        <v>2173</v>
      </c>
      <c r="F3159">
        <v>6</v>
      </c>
      <c r="G3159" t="s">
        <v>57</v>
      </c>
      <c r="H3159" t="s">
        <v>45</v>
      </c>
      <c r="I3159" t="s">
        <v>2193</v>
      </c>
      <c r="J3159" s="10">
        <v>0</v>
      </c>
      <c r="K3159" t="b">
        <v>1</v>
      </c>
    </row>
    <row r="3160" spans="1:11">
      <c r="A3160" s="12">
        <v>42035</v>
      </c>
      <c r="B3160">
        <v>2015</v>
      </c>
      <c r="C3160">
        <v>1</v>
      </c>
      <c r="D3160" s="11">
        <v>42005</v>
      </c>
      <c r="E3160" t="s">
        <v>2173</v>
      </c>
      <c r="F3160">
        <v>6</v>
      </c>
      <c r="G3160" t="s">
        <v>57</v>
      </c>
      <c r="H3160" t="s">
        <v>46</v>
      </c>
      <c r="I3160" t="s">
        <v>2194</v>
      </c>
      <c r="J3160" s="10">
        <v>11</v>
      </c>
      <c r="K3160" t="b">
        <v>1</v>
      </c>
    </row>
    <row r="3161" spans="1:11">
      <c r="A3161" s="12">
        <v>42035</v>
      </c>
      <c r="B3161">
        <v>2015</v>
      </c>
      <c r="C3161">
        <v>1</v>
      </c>
      <c r="D3161" s="11">
        <v>42005</v>
      </c>
      <c r="E3161" t="s">
        <v>2173</v>
      </c>
      <c r="F3161">
        <v>6</v>
      </c>
      <c r="G3161" t="s">
        <v>57</v>
      </c>
      <c r="H3161" t="s">
        <v>47</v>
      </c>
      <c r="I3161" t="s">
        <v>2195</v>
      </c>
      <c r="J3161" s="10">
        <v>2</v>
      </c>
      <c r="K3161" t="b">
        <v>1</v>
      </c>
    </row>
    <row r="3162" spans="1:11">
      <c r="A3162" s="12">
        <v>42036</v>
      </c>
      <c r="B3162">
        <v>2015</v>
      </c>
      <c r="C3162">
        <v>2</v>
      </c>
      <c r="D3162" s="11">
        <v>42036</v>
      </c>
      <c r="E3162" t="s">
        <v>2174</v>
      </c>
      <c r="F3162">
        <v>7</v>
      </c>
      <c r="G3162" t="s">
        <v>59</v>
      </c>
      <c r="H3162" t="s">
        <v>40</v>
      </c>
      <c r="I3162" t="s">
        <v>2188</v>
      </c>
      <c r="J3162" s="10">
        <v>4.34</v>
      </c>
      <c r="K3162" t="b">
        <v>1</v>
      </c>
    </row>
    <row r="3163" spans="1:11">
      <c r="A3163" s="12">
        <v>42036</v>
      </c>
      <c r="B3163">
        <v>2015</v>
      </c>
      <c r="C3163">
        <v>2</v>
      </c>
      <c r="D3163" s="11">
        <v>42036</v>
      </c>
      <c r="E3163" t="s">
        <v>2174</v>
      </c>
      <c r="F3163">
        <v>7</v>
      </c>
      <c r="G3163" t="s">
        <v>59</v>
      </c>
      <c r="H3163" t="s">
        <v>41</v>
      </c>
      <c r="I3163" t="s">
        <v>2189</v>
      </c>
      <c r="J3163" s="10">
        <v>7.35</v>
      </c>
      <c r="K3163" t="b">
        <v>1</v>
      </c>
    </row>
    <row r="3164" spans="1:11">
      <c r="A3164" s="12">
        <v>42036</v>
      </c>
      <c r="B3164">
        <v>2015</v>
      </c>
      <c r="C3164">
        <v>2</v>
      </c>
      <c r="D3164" s="11">
        <v>42036</v>
      </c>
      <c r="E3164" t="s">
        <v>2174</v>
      </c>
      <c r="F3164">
        <v>7</v>
      </c>
      <c r="G3164" t="s">
        <v>59</v>
      </c>
      <c r="H3164" t="s">
        <v>42</v>
      </c>
      <c r="I3164" t="s">
        <v>2190</v>
      </c>
      <c r="J3164" s="10">
        <v>7</v>
      </c>
      <c r="K3164" t="b">
        <v>1</v>
      </c>
    </row>
    <row r="3165" spans="1:11">
      <c r="A3165" s="12">
        <v>42036</v>
      </c>
      <c r="B3165">
        <v>2015</v>
      </c>
      <c r="C3165">
        <v>2</v>
      </c>
      <c r="D3165" s="11">
        <v>42036</v>
      </c>
      <c r="E3165" t="s">
        <v>2174</v>
      </c>
      <c r="F3165">
        <v>7</v>
      </c>
      <c r="G3165" t="s">
        <v>59</v>
      </c>
      <c r="H3165" t="s">
        <v>43</v>
      </c>
      <c r="I3165" t="s">
        <v>2191</v>
      </c>
      <c r="J3165" s="10">
        <v>35.6</v>
      </c>
      <c r="K3165" t="b">
        <v>1</v>
      </c>
    </row>
    <row r="3166" spans="1:11">
      <c r="A3166" s="12">
        <v>42036</v>
      </c>
      <c r="B3166">
        <v>2015</v>
      </c>
      <c r="C3166">
        <v>2</v>
      </c>
      <c r="D3166" s="11">
        <v>42036</v>
      </c>
      <c r="E3166" t="s">
        <v>2174</v>
      </c>
      <c r="F3166">
        <v>7</v>
      </c>
      <c r="G3166" t="s">
        <v>59</v>
      </c>
      <c r="H3166" t="s">
        <v>44</v>
      </c>
      <c r="I3166" t="s">
        <v>2192</v>
      </c>
      <c r="J3166" s="10">
        <v>7</v>
      </c>
      <c r="K3166" t="b">
        <v>1</v>
      </c>
    </row>
    <row r="3167" spans="1:11">
      <c r="A3167" s="12">
        <v>42036</v>
      </c>
      <c r="B3167">
        <v>2015</v>
      </c>
      <c r="C3167">
        <v>2</v>
      </c>
      <c r="D3167" s="11">
        <v>42036</v>
      </c>
      <c r="E3167" t="s">
        <v>2174</v>
      </c>
      <c r="F3167">
        <v>7</v>
      </c>
      <c r="G3167" t="s">
        <v>59</v>
      </c>
      <c r="H3167" t="s">
        <v>45</v>
      </c>
      <c r="I3167" t="s">
        <v>2193</v>
      </c>
      <c r="J3167" s="10">
        <v>1</v>
      </c>
      <c r="K3167" t="b">
        <v>1</v>
      </c>
    </row>
    <row r="3168" spans="1:11">
      <c r="A3168" s="12">
        <v>42036</v>
      </c>
      <c r="B3168">
        <v>2015</v>
      </c>
      <c r="C3168">
        <v>2</v>
      </c>
      <c r="D3168" s="11">
        <v>42036</v>
      </c>
      <c r="E3168" t="s">
        <v>2174</v>
      </c>
      <c r="F3168">
        <v>7</v>
      </c>
      <c r="G3168" t="s">
        <v>59</v>
      </c>
      <c r="H3168" t="s">
        <v>46</v>
      </c>
      <c r="I3168" t="s">
        <v>2194</v>
      </c>
      <c r="J3168" s="10">
        <v>0</v>
      </c>
      <c r="K3168" t="b">
        <v>1</v>
      </c>
    </row>
    <row r="3169" spans="1:11">
      <c r="A3169" s="12">
        <v>42036</v>
      </c>
      <c r="B3169">
        <v>2015</v>
      </c>
      <c r="C3169">
        <v>2</v>
      </c>
      <c r="D3169" s="11">
        <v>42036</v>
      </c>
      <c r="E3169" t="s">
        <v>2174</v>
      </c>
      <c r="F3169">
        <v>7</v>
      </c>
      <c r="G3169" t="s">
        <v>59</v>
      </c>
      <c r="H3169" t="s">
        <v>47</v>
      </c>
      <c r="I3169" t="s">
        <v>2195</v>
      </c>
      <c r="J3169" s="10">
        <v>1</v>
      </c>
      <c r="K3169" t="b">
        <v>1</v>
      </c>
    </row>
    <row r="3170" spans="1:11">
      <c r="A3170" s="12">
        <v>42037</v>
      </c>
      <c r="B3170">
        <v>2015</v>
      </c>
      <c r="C3170">
        <v>2</v>
      </c>
      <c r="D3170" s="11">
        <v>42036</v>
      </c>
      <c r="E3170" t="s">
        <v>2174</v>
      </c>
      <c r="F3170">
        <v>1</v>
      </c>
      <c r="G3170" t="s">
        <v>61</v>
      </c>
      <c r="H3170" t="s">
        <v>40</v>
      </c>
      <c r="I3170" t="s">
        <v>2188</v>
      </c>
      <c r="J3170" s="10">
        <v>6</v>
      </c>
      <c r="K3170" t="b">
        <v>1</v>
      </c>
    </row>
    <row r="3171" spans="1:11">
      <c r="A3171" s="12">
        <v>42037</v>
      </c>
      <c r="B3171">
        <v>2015</v>
      </c>
      <c r="C3171">
        <v>2</v>
      </c>
      <c r="D3171" s="11">
        <v>42036</v>
      </c>
      <c r="E3171" t="s">
        <v>2174</v>
      </c>
      <c r="F3171">
        <v>1</v>
      </c>
      <c r="G3171" t="s">
        <v>61</v>
      </c>
      <c r="H3171" t="s">
        <v>41</v>
      </c>
      <c r="I3171" t="s">
        <v>2189</v>
      </c>
      <c r="J3171" s="10">
        <v>4</v>
      </c>
      <c r="K3171" t="b">
        <v>1</v>
      </c>
    </row>
    <row r="3172" spans="1:11">
      <c r="A3172" s="12">
        <v>42037</v>
      </c>
      <c r="B3172">
        <v>2015</v>
      </c>
      <c r="C3172">
        <v>2</v>
      </c>
      <c r="D3172" s="11">
        <v>42036</v>
      </c>
      <c r="E3172" t="s">
        <v>2174</v>
      </c>
      <c r="F3172">
        <v>1</v>
      </c>
      <c r="G3172" t="s">
        <v>61</v>
      </c>
      <c r="H3172" t="s">
        <v>42</v>
      </c>
      <c r="I3172" t="s">
        <v>2190</v>
      </c>
      <c r="J3172" s="10">
        <v>5.1</v>
      </c>
      <c r="K3172" t="b">
        <v>1</v>
      </c>
    </row>
    <row r="3173" spans="1:11">
      <c r="A3173" s="12">
        <v>42037</v>
      </c>
      <c r="B3173">
        <v>2015</v>
      </c>
      <c r="C3173">
        <v>2</v>
      </c>
      <c r="D3173" s="11">
        <v>42036</v>
      </c>
      <c r="E3173" t="s">
        <v>2174</v>
      </c>
      <c r="F3173">
        <v>1</v>
      </c>
      <c r="G3173" t="s">
        <v>61</v>
      </c>
      <c r="H3173" t="s">
        <v>43</v>
      </c>
      <c r="I3173" t="s">
        <v>2191</v>
      </c>
      <c r="J3173" s="10">
        <v>20.9</v>
      </c>
      <c r="K3173" t="b">
        <v>1</v>
      </c>
    </row>
    <row r="3174" spans="1:11">
      <c r="A3174" s="12">
        <v>42037</v>
      </c>
      <c r="B3174">
        <v>2015</v>
      </c>
      <c r="C3174">
        <v>2</v>
      </c>
      <c r="D3174" s="11">
        <v>42036</v>
      </c>
      <c r="E3174" t="s">
        <v>2174</v>
      </c>
      <c r="F3174">
        <v>1</v>
      </c>
      <c r="G3174" t="s">
        <v>61</v>
      </c>
      <c r="H3174" t="s">
        <v>44</v>
      </c>
      <c r="I3174" t="s">
        <v>2192</v>
      </c>
      <c r="J3174" s="10">
        <v>14</v>
      </c>
      <c r="K3174" t="b">
        <v>1</v>
      </c>
    </row>
    <row r="3175" spans="1:11">
      <c r="A3175" s="12">
        <v>42037</v>
      </c>
      <c r="B3175">
        <v>2015</v>
      </c>
      <c r="C3175">
        <v>2</v>
      </c>
      <c r="D3175" s="11">
        <v>42036</v>
      </c>
      <c r="E3175" t="s">
        <v>2174</v>
      </c>
      <c r="F3175">
        <v>1</v>
      </c>
      <c r="G3175" t="s">
        <v>61</v>
      </c>
      <c r="H3175" t="s">
        <v>45</v>
      </c>
      <c r="I3175" t="s">
        <v>2193</v>
      </c>
      <c r="J3175" s="10">
        <v>0</v>
      </c>
      <c r="K3175" t="b">
        <v>1</v>
      </c>
    </row>
    <row r="3176" spans="1:11">
      <c r="A3176" s="12">
        <v>42037</v>
      </c>
      <c r="B3176">
        <v>2015</v>
      </c>
      <c r="C3176">
        <v>2</v>
      </c>
      <c r="D3176" s="11">
        <v>42036</v>
      </c>
      <c r="E3176" t="s">
        <v>2174</v>
      </c>
      <c r="F3176">
        <v>1</v>
      </c>
      <c r="G3176" t="s">
        <v>61</v>
      </c>
      <c r="H3176" t="s">
        <v>46</v>
      </c>
      <c r="I3176" t="s">
        <v>2194</v>
      </c>
      <c r="J3176" s="10">
        <v>3</v>
      </c>
      <c r="K3176" t="b">
        <v>1</v>
      </c>
    </row>
    <row r="3177" spans="1:11">
      <c r="A3177" s="12">
        <v>42037</v>
      </c>
      <c r="B3177">
        <v>2015</v>
      </c>
      <c r="C3177">
        <v>2</v>
      </c>
      <c r="D3177" s="11">
        <v>42036</v>
      </c>
      <c r="E3177" t="s">
        <v>2174</v>
      </c>
      <c r="F3177">
        <v>1</v>
      </c>
      <c r="G3177" t="s">
        <v>61</v>
      </c>
      <c r="H3177" t="s">
        <v>47</v>
      </c>
      <c r="I3177" t="s">
        <v>2195</v>
      </c>
      <c r="J3177" s="10">
        <v>2</v>
      </c>
      <c r="K3177" t="b">
        <v>1</v>
      </c>
    </row>
    <row r="3178" spans="1:11">
      <c r="A3178" s="12">
        <v>42038</v>
      </c>
      <c r="B3178">
        <v>2015</v>
      </c>
      <c r="C3178">
        <v>2</v>
      </c>
      <c r="D3178" s="11">
        <v>42036</v>
      </c>
      <c r="E3178" t="s">
        <v>2174</v>
      </c>
      <c r="F3178">
        <v>2</v>
      </c>
      <c r="G3178" t="s">
        <v>63</v>
      </c>
      <c r="H3178" t="s">
        <v>40</v>
      </c>
      <c r="I3178" t="s">
        <v>2188</v>
      </c>
      <c r="J3178" s="10">
        <v>3.33</v>
      </c>
      <c r="K3178" t="b">
        <v>1</v>
      </c>
    </row>
    <row r="3179" spans="1:11">
      <c r="A3179" s="12">
        <v>42038</v>
      </c>
      <c r="B3179">
        <v>2015</v>
      </c>
      <c r="C3179">
        <v>2</v>
      </c>
      <c r="D3179" s="11">
        <v>42036</v>
      </c>
      <c r="E3179" t="s">
        <v>2174</v>
      </c>
      <c r="F3179">
        <v>2</v>
      </c>
      <c r="G3179" t="s">
        <v>63</v>
      </c>
      <c r="H3179" t="s">
        <v>41</v>
      </c>
      <c r="I3179" t="s">
        <v>2189</v>
      </c>
      <c r="J3179" s="10">
        <v>3</v>
      </c>
      <c r="K3179" t="b">
        <v>1</v>
      </c>
    </row>
    <row r="3180" spans="1:11">
      <c r="A3180" s="12">
        <v>42038</v>
      </c>
      <c r="B3180">
        <v>2015</v>
      </c>
      <c r="C3180">
        <v>2</v>
      </c>
      <c r="D3180" s="11">
        <v>42036</v>
      </c>
      <c r="E3180" t="s">
        <v>2174</v>
      </c>
      <c r="F3180">
        <v>2</v>
      </c>
      <c r="G3180" t="s">
        <v>63</v>
      </c>
      <c r="H3180" t="s">
        <v>42</v>
      </c>
      <c r="I3180" t="s">
        <v>2190</v>
      </c>
      <c r="J3180" s="10">
        <v>6.2</v>
      </c>
      <c r="K3180" t="b">
        <v>1</v>
      </c>
    </row>
    <row r="3181" spans="1:11">
      <c r="A3181" s="12">
        <v>42038</v>
      </c>
      <c r="B3181">
        <v>2015</v>
      </c>
      <c r="C3181">
        <v>2</v>
      </c>
      <c r="D3181" s="11">
        <v>42036</v>
      </c>
      <c r="E3181" t="s">
        <v>2174</v>
      </c>
      <c r="F3181">
        <v>2</v>
      </c>
      <c r="G3181" t="s">
        <v>63</v>
      </c>
      <c r="H3181" t="s">
        <v>43</v>
      </c>
      <c r="I3181" t="s">
        <v>2191</v>
      </c>
      <c r="J3181" s="10">
        <v>24.2</v>
      </c>
      <c r="K3181" t="b">
        <v>1</v>
      </c>
    </row>
    <row r="3182" spans="1:11">
      <c r="A3182" s="12">
        <v>42038</v>
      </c>
      <c r="B3182">
        <v>2015</v>
      </c>
      <c r="C3182">
        <v>2</v>
      </c>
      <c r="D3182" s="11">
        <v>42036</v>
      </c>
      <c r="E3182" t="s">
        <v>2174</v>
      </c>
      <c r="F3182">
        <v>2</v>
      </c>
      <c r="G3182" t="s">
        <v>63</v>
      </c>
      <c r="H3182" t="s">
        <v>44</v>
      </c>
      <c r="I3182" t="s">
        <v>2192</v>
      </c>
      <c r="J3182" s="10">
        <v>18</v>
      </c>
      <c r="K3182" t="b">
        <v>1</v>
      </c>
    </row>
    <row r="3183" spans="1:11">
      <c r="A3183" s="12">
        <v>42038</v>
      </c>
      <c r="B3183">
        <v>2015</v>
      </c>
      <c r="C3183">
        <v>2</v>
      </c>
      <c r="D3183" s="11">
        <v>42036</v>
      </c>
      <c r="E3183" t="s">
        <v>2174</v>
      </c>
      <c r="F3183">
        <v>2</v>
      </c>
      <c r="G3183" t="s">
        <v>63</v>
      </c>
      <c r="H3183" t="s">
        <v>45</v>
      </c>
      <c r="I3183" t="s">
        <v>2193</v>
      </c>
      <c r="J3183" s="10">
        <v>0</v>
      </c>
      <c r="K3183" t="b">
        <v>1</v>
      </c>
    </row>
    <row r="3184" spans="1:11">
      <c r="A3184" s="12">
        <v>42038</v>
      </c>
      <c r="B3184">
        <v>2015</v>
      </c>
      <c r="C3184">
        <v>2</v>
      </c>
      <c r="D3184" s="11">
        <v>42036</v>
      </c>
      <c r="E3184" t="s">
        <v>2174</v>
      </c>
      <c r="F3184">
        <v>2</v>
      </c>
      <c r="G3184" t="s">
        <v>63</v>
      </c>
      <c r="H3184" t="s">
        <v>46</v>
      </c>
      <c r="I3184" t="s">
        <v>2194</v>
      </c>
      <c r="J3184" s="10">
        <v>6</v>
      </c>
      <c r="K3184" t="b">
        <v>1</v>
      </c>
    </row>
    <row r="3185" spans="1:11">
      <c r="A3185" s="12">
        <v>42038</v>
      </c>
      <c r="B3185">
        <v>2015</v>
      </c>
      <c r="C3185">
        <v>2</v>
      </c>
      <c r="D3185" s="11">
        <v>42036</v>
      </c>
      <c r="E3185" t="s">
        <v>2174</v>
      </c>
      <c r="F3185">
        <v>2</v>
      </c>
      <c r="G3185" t="s">
        <v>63</v>
      </c>
      <c r="H3185" t="s">
        <v>47</v>
      </c>
      <c r="I3185" t="s">
        <v>2195</v>
      </c>
      <c r="J3185" s="10">
        <v>5</v>
      </c>
      <c r="K3185" t="b">
        <v>1</v>
      </c>
    </row>
    <row r="3186" spans="1:11">
      <c r="A3186" s="12">
        <v>42039</v>
      </c>
      <c r="B3186">
        <v>2015</v>
      </c>
      <c r="C3186">
        <v>2</v>
      </c>
      <c r="D3186" s="11">
        <v>42036</v>
      </c>
      <c r="E3186" t="s">
        <v>2174</v>
      </c>
      <c r="F3186">
        <v>3</v>
      </c>
      <c r="G3186" t="s">
        <v>65</v>
      </c>
      <c r="H3186" t="s">
        <v>40</v>
      </c>
      <c r="I3186" t="s">
        <v>2188</v>
      </c>
      <c r="J3186" s="10">
        <v>2.34</v>
      </c>
      <c r="K3186" t="b">
        <v>1</v>
      </c>
    </row>
    <row r="3187" spans="1:11">
      <c r="A3187" s="12">
        <v>42039</v>
      </c>
      <c r="B3187">
        <v>2015</v>
      </c>
      <c r="C3187">
        <v>2</v>
      </c>
      <c r="D3187" s="11">
        <v>42036</v>
      </c>
      <c r="E3187" t="s">
        <v>2174</v>
      </c>
      <c r="F3187">
        <v>3</v>
      </c>
      <c r="G3187" t="s">
        <v>65</v>
      </c>
      <c r="H3187" t="s">
        <v>41</v>
      </c>
      <c r="I3187" t="s">
        <v>2189</v>
      </c>
      <c r="J3187" s="10">
        <v>2.67</v>
      </c>
      <c r="K3187" t="b">
        <v>1</v>
      </c>
    </row>
    <row r="3188" spans="1:11">
      <c r="A3188" s="12">
        <v>42039</v>
      </c>
      <c r="B3188">
        <v>2015</v>
      </c>
      <c r="C3188">
        <v>2</v>
      </c>
      <c r="D3188" s="11">
        <v>42036</v>
      </c>
      <c r="E3188" t="s">
        <v>2174</v>
      </c>
      <c r="F3188">
        <v>3</v>
      </c>
      <c r="G3188" t="s">
        <v>65</v>
      </c>
      <c r="H3188" t="s">
        <v>42</v>
      </c>
      <c r="I3188" t="s">
        <v>2190</v>
      </c>
      <c r="J3188" s="10">
        <v>2.4</v>
      </c>
      <c r="K3188" t="b">
        <v>1</v>
      </c>
    </row>
    <row r="3189" spans="1:11">
      <c r="A3189" s="12">
        <v>42039</v>
      </c>
      <c r="B3189">
        <v>2015</v>
      </c>
      <c r="C3189">
        <v>2</v>
      </c>
      <c r="D3189" s="11">
        <v>42036</v>
      </c>
      <c r="E3189" t="s">
        <v>2174</v>
      </c>
      <c r="F3189">
        <v>3</v>
      </c>
      <c r="G3189" t="s">
        <v>65</v>
      </c>
      <c r="H3189" t="s">
        <v>43</v>
      </c>
      <c r="I3189" t="s">
        <v>2191</v>
      </c>
      <c r="J3189" s="10">
        <v>38.8</v>
      </c>
      <c r="K3189" t="b">
        <v>1</v>
      </c>
    </row>
    <row r="3190" spans="1:11">
      <c r="A3190" s="12">
        <v>42039</v>
      </c>
      <c r="B3190">
        <v>2015</v>
      </c>
      <c r="C3190">
        <v>2</v>
      </c>
      <c r="D3190" s="11">
        <v>42036</v>
      </c>
      <c r="E3190" t="s">
        <v>2174</v>
      </c>
      <c r="F3190">
        <v>3</v>
      </c>
      <c r="G3190" t="s">
        <v>65</v>
      </c>
      <c r="H3190" t="s">
        <v>44</v>
      </c>
      <c r="I3190" t="s">
        <v>2192</v>
      </c>
      <c r="J3190" s="10">
        <v>6</v>
      </c>
      <c r="K3190" t="b">
        <v>1</v>
      </c>
    </row>
    <row r="3191" spans="1:11">
      <c r="A3191" s="12">
        <v>42039</v>
      </c>
      <c r="B3191">
        <v>2015</v>
      </c>
      <c r="C3191">
        <v>2</v>
      </c>
      <c r="D3191" s="11">
        <v>42036</v>
      </c>
      <c r="E3191" t="s">
        <v>2174</v>
      </c>
      <c r="F3191">
        <v>3</v>
      </c>
      <c r="G3191" t="s">
        <v>65</v>
      </c>
      <c r="H3191" t="s">
        <v>45</v>
      </c>
      <c r="I3191" t="s">
        <v>2193</v>
      </c>
      <c r="J3191" s="10">
        <v>0</v>
      </c>
      <c r="K3191" t="b">
        <v>1</v>
      </c>
    </row>
    <row r="3192" spans="1:11">
      <c r="A3192" s="12">
        <v>42039</v>
      </c>
      <c r="B3192">
        <v>2015</v>
      </c>
      <c r="C3192">
        <v>2</v>
      </c>
      <c r="D3192" s="11">
        <v>42036</v>
      </c>
      <c r="E3192" t="s">
        <v>2174</v>
      </c>
      <c r="F3192">
        <v>3</v>
      </c>
      <c r="G3192" t="s">
        <v>65</v>
      </c>
      <c r="H3192" t="s">
        <v>46</v>
      </c>
      <c r="I3192" t="s">
        <v>2194</v>
      </c>
      <c r="J3192" s="10">
        <v>12</v>
      </c>
      <c r="K3192" t="b">
        <v>1</v>
      </c>
    </row>
    <row r="3193" spans="1:11">
      <c r="A3193" s="12">
        <v>42039</v>
      </c>
      <c r="B3193">
        <v>2015</v>
      </c>
      <c r="C3193">
        <v>2</v>
      </c>
      <c r="D3193" s="11">
        <v>42036</v>
      </c>
      <c r="E3193" t="s">
        <v>2174</v>
      </c>
      <c r="F3193">
        <v>3</v>
      </c>
      <c r="G3193" t="s">
        <v>65</v>
      </c>
      <c r="H3193" t="s">
        <v>47</v>
      </c>
      <c r="I3193" t="s">
        <v>2195</v>
      </c>
      <c r="J3193" s="10">
        <v>0</v>
      </c>
      <c r="K3193" t="b">
        <v>1</v>
      </c>
    </row>
    <row r="3194" spans="1:11">
      <c r="A3194" s="12">
        <v>42040</v>
      </c>
      <c r="B3194">
        <v>2015</v>
      </c>
      <c r="C3194">
        <v>2</v>
      </c>
      <c r="D3194" s="11">
        <v>42036</v>
      </c>
      <c r="E3194" t="s">
        <v>2174</v>
      </c>
      <c r="F3194">
        <v>4</v>
      </c>
      <c r="G3194" t="s">
        <v>53</v>
      </c>
      <c r="H3194" t="s">
        <v>40</v>
      </c>
      <c r="I3194" t="s">
        <v>2188</v>
      </c>
      <c r="J3194" s="10">
        <v>2</v>
      </c>
      <c r="K3194" t="b">
        <v>1</v>
      </c>
    </row>
    <row r="3195" spans="1:11">
      <c r="A3195" s="12">
        <v>42040</v>
      </c>
      <c r="B3195">
        <v>2015</v>
      </c>
      <c r="C3195">
        <v>2</v>
      </c>
      <c r="D3195" s="11">
        <v>42036</v>
      </c>
      <c r="E3195" t="s">
        <v>2174</v>
      </c>
      <c r="F3195">
        <v>4</v>
      </c>
      <c r="G3195" t="s">
        <v>53</v>
      </c>
      <c r="H3195" t="s">
        <v>41</v>
      </c>
      <c r="I3195" t="s">
        <v>2189</v>
      </c>
      <c r="J3195" s="10">
        <v>5.57</v>
      </c>
      <c r="K3195" t="b">
        <v>1</v>
      </c>
    </row>
    <row r="3196" spans="1:11">
      <c r="A3196" s="12">
        <v>42040</v>
      </c>
      <c r="B3196">
        <v>2015</v>
      </c>
      <c r="C3196">
        <v>2</v>
      </c>
      <c r="D3196" s="11">
        <v>42036</v>
      </c>
      <c r="E3196" t="s">
        <v>2174</v>
      </c>
      <c r="F3196">
        <v>4</v>
      </c>
      <c r="G3196" t="s">
        <v>53</v>
      </c>
      <c r="H3196" t="s">
        <v>42</v>
      </c>
      <c r="I3196" t="s">
        <v>2190</v>
      </c>
      <c r="J3196" s="10">
        <v>3</v>
      </c>
      <c r="K3196" t="b">
        <v>1</v>
      </c>
    </row>
    <row r="3197" spans="1:11">
      <c r="A3197" s="12">
        <v>42040</v>
      </c>
      <c r="B3197">
        <v>2015</v>
      </c>
      <c r="C3197">
        <v>2</v>
      </c>
      <c r="D3197" s="11">
        <v>42036</v>
      </c>
      <c r="E3197" t="s">
        <v>2174</v>
      </c>
      <c r="F3197">
        <v>4</v>
      </c>
      <c r="G3197" t="s">
        <v>53</v>
      </c>
      <c r="H3197" t="s">
        <v>43</v>
      </c>
      <c r="I3197" t="s">
        <v>2191</v>
      </c>
      <c r="J3197" s="10">
        <v>24.85</v>
      </c>
      <c r="K3197" t="b">
        <v>1</v>
      </c>
    </row>
    <row r="3198" spans="1:11">
      <c r="A3198" s="12">
        <v>42040</v>
      </c>
      <c r="B3198">
        <v>2015</v>
      </c>
      <c r="C3198">
        <v>2</v>
      </c>
      <c r="D3198" s="11">
        <v>42036</v>
      </c>
      <c r="E3198" t="s">
        <v>2174</v>
      </c>
      <c r="F3198">
        <v>4</v>
      </c>
      <c r="G3198" t="s">
        <v>53</v>
      </c>
      <c r="H3198" t="s">
        <v>44</v>
      </c>
      <c r="I3198" t="s">
        <v>2192</v>
      </c>
      <c r="J3198" s="10">
        <v>12</v>
      </c>
      <c r="K3198" t="b">
        <v>1</v>
      </c>
    </row>
    <row r="3199" spans="1:11">
      <c r="A3199" s="12">
        <v>42040</v>
      </c>
      <c r="B3199">
        <v>2015</v>
      </c>
      <c r="C3199">
        <v>2</v>
      </c>
      <c r="D3199" s="11">
        <v>42036</v>
      </c>
      <c r="E3199" t="s">
        <v>2174</v>
      </c>
      <c r="F3199">
        <v>4</v>
      </c>
      <c r="G3199" t="s">
        <v>53</v>
      </c>
      <c r="H3199" t="s">
        <v>45</v>
      </c>
      <c r="I3199" t="s">
        <v>2193</v>
      </c>
      <c r="J3199" s="10">
        <v>0</v>
      </c>
      <c r="K3199" t="b">
        <v>1</v>
      </c>
    </row>
    <row r="3200" spans="1:11">
      <c r="A3200" s="12">
        <v>42040</v>
      </c>
      <c r="B3200">
        <v>2015</v>
      </c>
      <c r="C3200">
        <v>2</v>
      </c>
      <c r="D3200" s="11">
        <v>42036</v>
      </c>
      <c r="E3200" t="s">
        <v>2174</v>
      </c>
      <c r="F3200">
        <v>4</v>
      </c>
      <c r="G3200" t="s">
        <v>53</v>
      </c>
      <c r="H3200" t="s">
        <v>46</v>
      </c>
      <c r="I3200" t="s">
        <v>2194</v>
      </c>
      <c r="J3200" s="10">
        <v>2</v>
      </c>
      <c r="K3200" t="b">
        <v>1</v>
      </c>
    </row>
    <row r="3201" spans="1:11">
      <c r="A3201" s="12">
        <v>42040</v>
      </c>
      <c r="B3201">
        <v>2015</v>
      </c>
      <c r="C3201">
        <v>2</v>
      </c>
      <c r="D3201" s="11">
        <v>42036</v>
      </c>
      <c r="E3201" t="s">
        <v>2174</v>
      </c>
      <c r="F3201">
        <v>4</v>
      </c>
      <c r="G3201" t="s">
        <v>53</v>
      </c>
      <c r="H3201" t="s">
        <v>47</v>
      </c>
      <c r="I3201" t="s">
        <v>2195</v>
      </c>
      <c r="J3201" s="10">
        <v>1</v>
      </c>
      <c r="K3201" t="b">
        <v>1</v>
      </c>
    </row>
    <row r="3202" spans="1:11">
      <c r="A3202" s="12">
        <v>42041</v>
      </c>
      <c r="B3202">
        <v>2015</v>
      </c>
      <c r="C3202">
        <v>2</v>
      </c>
      <c r="D3202" s="11">
        <v>42036</v>
      </c>
      <c r="E3202" t="s">
        <v>2174</v>
      </c>
      <c r="F3202">
        <v>5</v>
      </c>
      <c r="G3202" t="s">
        <v>55</v>
      </c>
      <c r="H3202" t="s">
        <v>40</v>
      </c>
      <c r="I3202" t="s">
        <v>2188</v>
      </c>
      <c r="J3202" s="10">
        <v>3.33</v>
      </c>
      <c r="K3202" t="b">
        <v>1</v>
      </c>
    </row>
    <row r="3203" spans="1:11">
      <c r="A3203" s="12">
        <v>42041</v>
      </c>
      <c r="B3203">
        <v>2015</v>
      </c>
      <c r="C3203">
        <v>2</v>
      </c>
      <c r="D3203" s="11">
        <v>42036</v>
      </c>
      <c r="E3203" t="s">
        <v>2174</v>
      </c>
      <c r="F3203">
        <v>5</v>
      </c>
      <c r="G3203" t="s">
        <v>55</v>
      </c>
      <c r="H3203" t="s">
        <v>41</v>
      </c>
      <c r="I3203" t="s">
        <v>2189</v>
      </c>
      <c r="J3203" s="10">
        <v>3.33</v>
      </c>
      <c r="K3203" t="b">
        <v>1</v>
      </c>
    </row>
    <row r="3204" spans="1:11">
      <c r="A3204" s="12">
        <v>42041</v>
      </c>
      <c r="B3204">
        <v>2015</v>
      </c>
      <c r="C3204">
        <v>2</v>
      </c>
      <c r="D3204" s="11">
        <v>42036</v>
      </c>
      <c r="E3204" t="s">
        <v>2174</v>
      </c>
      <c r="F3204">
        <v>5</v>
      </c>
      <c r="G3204" t="s">
        <v>55</v>
      </c>
      <c r="H3204" t="s">
        <v>42</v>
      </c>
      <c r="I3204" t="s">
        <v>2190</v>
      </c>
      <c r="J3204" s="10">
        <v>7.3</v>
      </c>
      <c r="K3204" t="b">
        <v>1</v>
      </c>
    </row>
    <row r="3205" spans="1:11">
      <c r="A3205" s="12">
        <v>42041</v>
      </c>
      <c r="B3205">
        <v>2015</v>
      </c>
      <c r="C3205">
        <v>2</v>
      </c>
      <c r="D3205" s="11">
        <v>42036</v>
      </c>
      <c r="E3205" t="s">
        <v>2174</v>
      </c>
      <c r="F3205">
        <v>5</v>
      </c>
      <c r="G3205" t="s">
        <v>55</v>
      </c>
      <c r="H3205" t="s">
        <v>43</v>
      </c>
      <c r="I3205" t="s">
        <v>2191</v>
      </c>
      <c r="J3205" s="10">
        <v>23</v>
      </c>
      <c r="K3205" t="b">
        <v>1</v>
      </c>
    </row>
    <row r="3206" spans="1:11">
      <c r="A3206" s="12">
        <v>42041</v>
      </c>
      <c r="B3206">
        <v>2015</v>
      </c>
      <c r="C3206">
        <v>2</v>
      </c>
      <c r="D3206" s="11">
        <v>42036</v>
      </c>
      <c r="E3206" t="s">
        <v>2174</v>
      </c>
      <c r="F3206">
        <v>5</v>
      </c>
      <c r="G3206" t="s">
        <v>55</v>
      </c>
      <c r="H3206" t="s">
        <v>44</v>
      </c>
      <c r="I3206" t="s">
        <v>2192</v>
      </c>
      <c r="J3206" s="10">
        <v>7</v>
      </c>
      <c r="K3206" t="b">
        <v>1</v>
      </c>
    </row>
    <row r="3207" spans="1:11">
      <c r="A3207" s="12">
        <v>42041</v>
      </c>
      <c r="B3207">
        <v>2015</v>
      </c>
      <c r="C3207">
        <v>2</v>
      </c>
      <c r="D3207" s="11">
        <v>42036</v>
      </c>
      <c r="E3207" t="s">
        <v>2174</v>
      </c>
      <c r="F3207">
        <v>5</v>
      </c>
      <c r="G3207" t="s">
        <v>55</v>
      </c>
      <c r="H3207" t="s">
        <v>45</v>
      </c>
      <c r="I3207" t="s">
        <v>2193</v>
      </c>
      <c r="J3207" s="10">
        <v>1</v>
      </c>
      <c r="K3207" t="b">
        <v>1</v>
      </c>
    </row>
    <row r="3208" spans="1:11">
      <c r="A3208" s="12">
        <v>42041</v>
      </c>
      <c r="B3208">
        <v>2015</v>
      </c>
      <c r="C3208">
        <v>2</v>
      </c>
      <c r="D3208" s="11">
        <v>42036</v>
      </c>
      <c r="E3208" t="s">
        <v>2174</v>
      </c>
      <c r="F3208">
        <v>5</v>
      </c>
      <c r="G3208" t="s">
        <v>55</v>
      </c>
      <c r="H3208" t="s">
        <v>46</v>
      </c>
      <c r="I3208" t="s">
        <v>2194</v>
      </c>
      <c r="J3208" s="10">
        <v>13</v>
      </c>
      <c r="K3208" t="b">
        <v>1</v>
      </c>
    </row>
    <row r="3209" spans="1:11">
      <c r="A3209" s="12">
        <v>42041</v>
      </c>
      <c r="B3209">
        <v>2015</v>
      </c>
      <c r="C3209">
        <v>2</v>
      </c>
      <c r="D3209" s="11">
        <v>42036</v>
      </c>
      <c r="E3209" t="s">
        <v>2174</v>
      </c>
      <c r="F3209">
        <v>5</v>
      </c>
      <c r="G3209" t="s">
        <v>55</v>
      </c>
      <c r="H3209" t="s">
        <v>47</v>
      </c>
      <c r="I3209" t="s">
        <v>2195</v>
      </c>
      <c r="J3209" s="10">
        <v>1</v>
      </c>
      <c r="K3209" t="b">
        <v>1</v>
      </c>
    </row>
    <row r="3210" spans="1:11">
      <c r="A3210" s="12">
        <v>42042</v>
      </c>
      <c r="B3210">
        <v>2015</v>
      </c>
      <c r="C3210">
        <v>2</v>
      </c>
      <c r="D3210" s="11">
        <v>42036</v>
      </c>
      <c r="E3210" t="s">
        <v>2174</v>
      </c>
      <c r="F3210">
        <v>6</v>
      </c>
      <c r="G3210" t="s">
        <v>57</v>
      </c>
      <c r="H3210" t="s">
        <v>40</v>
      </c>
      <c r="I3210" t="s">
        <v>2188</v>
      </c>
      <c r="J3210" s="10">
        <v>2</v>
      </c>
      <c r="K3210" t="b">
        <v>1</v>
      </c>
    </row>
    <row r="3211" spans="1:11">
      <c r="A3211" s="12">
        <v>42042</v>
      </c>
      <c r="B3211">
        <v>2015</v>
      </c>
      <c r="C3211">
        <v>2</v>
      </c>
      <c r="D3211" s="11">
        <v>42036</v>
      </c>
      <c r="E3211" t="s">
        <v>2174</v>
      </c>
      <c r="F3211">
        <v>6</v>
      </c>
      <c r="G3211" t="s">
        <v>57</v>
      </c>
      <c r="H3211" t="s">
        <v>41</v>
      </c>
      <c r="I3211" t="s">
        <v>2189</v>
      </c>
      <c r="J3211" s="10">
        <v>5</v>
      </c>
      <c r="K3211" t="b">
        <v>1</v>
      </c>
    </row>
    <row r="3212" spans="1:11">
      <c r="A3212" s="12">
        <v>42042</v>
      </c>
      <c r="B3212">
        <v>2015</v>
      </c>
      <c r="C3212">
        <v>2</v>
      </c>
      <c r="D3212" s="11">
        <v>42036</v>
      </c>
      <c r="E3212" t="s">
        <v>2174</v>
      </c>
      <c r="F3212">
        <v>6</v>
      </c>
      <c r="G3212" t="s">
        <v>57</v>
      </c>
      <c r="H3212" t="s">
        <v>42</v>
      </c>
      <c r="I3212" t="s">
        <v>2190</v>
      </c>
      <c r="J3212" s="10">
        <v>1.9</v>
      </c>
      <c r="K3212" t="b">
        <v>1</v>
      </c>
    </row>
    <row r="3213" spans="1:11">
      <c r="A3213" s="12">
        <v>42042</v>
      </c>
      <c r="B3213">
        <v>2015</v>
      </c>
      <c r="C3213">
        <v>2</v>
      </c>
      <c r="D3213" s="11">
        <v>42036</v>
      </c>
      <c r="E3213" t="s">
        <v>2174</v>
      </c>
      <c r="F3213">
        <v>6</v>
      </c>
      <c r="G3213" t="s">
        <v>57</v>
      </c>
      <c r="H3213" t="s">
        <v>43</v>
      </c>
      <c r="I3213" t="s">
        <v>2191</v>
      </c>
      <c r="J3213" s="10">
        <v>33.6</v>
      </c>
      <c r="K3213" t="b">
        <v>1</v>
      </c>
    </row>
    <row r="3214" spans="1:11">
      <c r="A3214" s="12">
        <v>42042</v>
      </c>
      <c r="B3214">
        <v>2015</v>
      </c>
      <c r="C3214">
        <v>2</v>
      </c>
      <c r="D3214" s="11">
        <v>42036</v>
      </c>
      <c r="E3214" t="s">
        <v>2174</v>
      </c>
      <c r="F3214">
        <v>6</v>
      </c>
      <c r="G3214" t="s">
        <v>57</v>
      </c>
      <c r="H3214" t="s">
        <v>44</v>
      </c>
      <c r="I3214" t="s">
        <v>2192</v>
      </c>
      <c r="J3214" s="10">
        <v>9</v>
      </c>
      <c r="K3214" t="b">
        <v>1</v>
      </c>
    </row>
    <row r="3215" spans="1:11">
      <c r="A3215" s="12">
        <v>42042</v>
      </c>
      <c r="B3215">
        <v>2015</v>
      </c>
      <c r="C3215">
        <v>2</v>
      </c>
      <c r="D3215" s="11">
        <v>42036</v>
      </c>
      <c r="E3215" t="s">
        <v>2174</v>
      </c>
      <c r="F3215">
        <v>6</v>
      </c>
      <c r="G3215" t="s">
        <v>57</v>
      </c>
      <c r="H3215" t="s">
        <v>45</v>
      </c>
      <c r="I3215" t="s">
        <v>2193</v>
      </c>
      <c r="J3215" s="10">
        <v>0</v>
      </c>
      <c r="K3215" t="b">
        <v>1</v>
      </c>
    </row>
    <row r="3216" spans="1:11">
      <c r="A3216" s="12">
        <v>42042</v>
      </c>
      <c r="B3216">
        <v>2015</v>
      </c>
      <c r="C3216">
        <v>2</v>
      </c>
      <c r="D3216" s="11">
        <v>42036</v>
      </c>
      <c r="E3216" t="s">
        <v>2174</v>
      </c>
      <c r="F3216">
        <v>6</v>
      </c>
      <c r="G3216" t="s">
        <v>57</v>
      </c>
      <c r="H3216" t="s">
        <v>46</v>
      </c>
      <c r="I3216" t="s">
        <v>2194</v>
      </c>
      <c r="J3216" s="10">
        <v>0</v>
      </c>
      <c r="K3216" t="b">
        <v>1</v>
      </c>
    </row>
    <row r="3217" spans="1:11">
      <c r="A3217" s="12">
        <v>42042</v>
      </c>
      <c r="B3217">
        <v>2015</v>
      </c>
      <c r="C3217">
        <v>2</v>
      </c>
      <c r="D3217" s="11">
        <v>42036</v>
      </c>
      <c r="E3217" t="s">
        <v>2174</v>
      </c>
      <c r="F3217">
        <v>6</v>
      </c>
      <c r="G3217" t="s">
        <v>57</v>
      </c>
      <c r="H3217" t="s">
        <v>47</v>
      </c>
      <c r="I3217" t="s">
        <v>2195</v>
      </c>
      <c r="J3217" s="10">
        <v>2</v>
      </c>
      <c r="K3217" t="b">
        <v>1</v>
      </c>
    </row>
    <row r="3218" spans="1:11">
      <c r="A3218" s="12">
        <v>42043</v>
      </c>
      <c r="B3218">
        <v>2015</v>
      </c>
      <c r="C3218">
        <v>2</v>
      </c>
      <c r="D3218" s="11">
        <v>42036</v>
      </c>
      <c r="E3218" t="s">
        <v>2174</v>
      </c>
      <c r="F3218">
        <v>7</v>
      </c>
      <c r="G3218" t="s">
        <v>59</v>
      </c>
      <c r="H3218" t="s">
        <v>40</v>
      </c>
      <c r="I3218" t="s">
        <v>2188</v>
      </c>
      <c r="J3218" s="10">
        <v>1.34</v>
      </c>
      <c r="K3218" t="b">
        <v>1</v>
      </c>
    </row>
    <row r="3219" spans="1:11">
      <c r="A3219" s="12">
        <v>42043</v>
      </c>
      <c r="B3219">
        <v>2015</v>
      </c>
      <c r="C3219">
        <v>2</v>
      </c>
      <c r="D3219" s="11">
        <v>42036</v>
      </c>
      <c r="E3219" t="s">
        <v>2174</v>
      </c>
      <c r="F3219">
        <v>7</v>
      </c>
      <c r="G3219" t="s">
        <v>59</v>
      </c>
      <c r="H3219" t="s">
        <v>41</v>
      </c>
      <c r="I3219" t="s">
        <v>2189</v>
      </c>
      <c r="J3219" s="10">
        <v>7.759</v>
      </c>
      <c r="K3219" t="b">
        <v>1</v>
      </c>
    </row>
    <row r="3220" spans="1:11">
      <c r="A3220" s="12">
        <v>42043</v>
      </c>
      <c r="B3220">
        <v>2015</v>
      </c>
      <c r="C3220">
        <v>2</v>
      </c>
      <c r="D3220" s="11">
        <v>42036</v>
      </c>
      <c r="E3220" t="s">
        <v>2174</v>
      </c>
      <c r="F3220">
        <v>7</v>
      </c>
      <c r="G3220" t="s">
        <v>59</v>
      </c>
      <c r="H3220" t="s">
        <v>42</v>
      </c>
      <c r="I3220" t="s">
        <v>2190</v>
      </c>
      <c r="J3220" s="10">
        <v>5.7</v>
      </c>
      <c r="K3220" t="b">
        <v>1</v>
      </c>
    </row>
    <row r="3221" spans="1:11">
      <c r="A3221" s="12">
        <v>42043</v>
      </c>
      <c r="B3221">
        <v>2015</v>
      </c>
      <c r="C3221">
        <v>2</v>
      </c>
      <c r="D3221" s="11">
        <v>42036</v>
      </c>
      <c r="E3221" t="s">
        <v>2174</v>
      </c>
      <c r="F3221">
        <v>7</v>
      </c>
      <c r="G3221" t="s">
        <v>59</v>
      </c>
      <c r="H3221" t="s">
        <v>43</v>
      </c>
      <c r="I3221" t="s">
        <v>2191</v>
      </c>
      <c r="J3221" s="10">
        <v>29.9</v>
      </c>
      <c r="K3221" t="b">
        <v>1</v>
      </c>
    </row>
    <row r="3222" spans="1:11">
      <c r="A3222" s="12">
        <v>42043</v>
      </c>
      <c r="B3222">
        <v>2015</v>
      </c>
      <c r="C3222">
        <v>2</v>
      </c>
      <c r="D3222" s="11">
        <v>42036</v>
      </c>
      <c r="E3222" t="s">
        <v>2174</v>
      </c>
      <c r="F3222">
        <v>7</v>
      </c>
      <c r="G3222" t="s">
        <v>59</v>
      </c>
      <c r="H3222" t="s">
        <v>44</v>
      </c>
      <c r="I3222" t="s">
        <v>2192</v>
      </c>
      <c r="J3222" s="10">
        <v>8</v>
      </c>
      <c r="K3222" t="b">
        <v>1</v>
      </c>
    </row>
    <row r="3223" spans="1:11">
      <c r="A3223" s="12">
        <v>42043</v>
      </c>
      <c r="B3223">
        <v>2015</v>
      </c>
      <c r="C3223">
        <v>2</v>
      </c>
      <c r="D3223" s="11">
        <v>42036</v>
      </c>
      <c r="E3223" t="s">
        <v>2174</v>
      </c>
      <c r="F3223">
        <v>7</v>
      </c>
      <c r="G3223" t="s">
        <v>59</v>
      </c>
      <c r="H3223" t="s">
        <v>45</v>
      </c>
      <c r="I3223" t="s">
        <v>2193</v>
      </c>
      <c r="J3223" s="10">
        <v>0</v>
      </c>
      <c r="K3223" t="b">
        <v>1</v>
      </c>
    </row>
    <row r="3224" spans="1:11">
      <c r="A3224" s="12">
        <v>42043</v>
      </c>
      <c r="B3224">
        <v>2015</v>
      </c>
      <c r="C3224">
        <v>2</v>
      </c>
      <c r="D3224" s="11">
        <v>42036</v>
      </c>
      <c r="E3224" t="s">
        <v>2174</v>
      </c>
      <c r="F3224">
        <v>7</v>
      </c>
      <c r="G3224" t="s">
        <v>59</v>
      </c>
      <c r="H3224" t="s">
        <v>46</v>
      </c>
      <c r="I3224" t="s">
        <v>2194</v>
      </c>
      <c r="J3224" s="10">
        <v>0</v>
      </c>
      <c r="K3224" t="b">
        <v>1</v>
      </c>
    </row>
    <row r="3225" spans="1:11">
      <c r="A3225" s="12">
        <v>42043</v>
      </c>
      <c r="B3225">
        <v>2015</v>
      </c>
      <c r="C3225">
        <v>2</v>
      </c>
      <c r="D3225" s="11">
        <v>42036</v>
      </c>
      <c r="E3225" t="s">
        <v>2174</v>
      </c>
      <c r="F3225">
        <v>7</v>
      </c>
      <c r="G3225" t="s">
        <v>59</v>
      </c>
      <c r="H3225" t="s">
        <v>47</v>
      </c>
      <c r="I3225" t="s">
        <v>2195</v>
      </c>
      <c r="J3225" s="10">
        <v>0</v>
      </c>
      <c r="K3225" t="b">
        <v>1</v>
      </c>
    </row>
    <row r="3226" spans="1:11">
      <c r="A3226" s="12">
        <v>42044</v>
      </c>
      <c r="B3226">
        <v>2015</v>
      </c>
      <c r="C3226">
        <v>2</v>
      </c>
      <c r="D3226" s="11">
        <v>42036</v>
      </c>
      <c r="E3226" t="s">
        <v>2174</v>
      </c>
      <c r="F3226">
        <v>1</v>
      </c>
      <c r="G3226" t="s">
        <v>61</v>
      </c>
      <c r="H3226" t="s">
        <v>40</v>
      </c>
      <c r="I3226" t="s">
        <v>2188</v>
      </c>
      <c r="J3226" s="10">
        <v>3.33</v>
      </c>
      <c r="K3226" t="b">
        <v>1</v>
      </c>
    </row>
    <row r="3227" spans="1:11">
      <c r="A3227" s="12">
        <v>42044</v>
      </c>
      <c r="B3227">
        <v>2015</v>
      </c>
      <c r="C3227">
        <v>2</v>
      </c>
      <c r="D3227" s="11">
        <v>42036</v>
      </c>
      <c r="E3227" t="s">
        <v>2174</v>
      </c>
      <c r="F3227">
        <v>1</v>
      </c>
      <c r="G3227" t="s">
        <v>61</v>
      </c>
      <c r="H3227" t="s">
        <v>41</v>
      </c>
      <c r="I3227" t="s">
        <v>2189</v>
      </c>
      <c r="J3227" s="10">
        <v>3.54</v>
      </c>
      <c r="K3227" t="b">
        <v>1</v>
      </c>
    </row>
    <row r="3228" spans="1:11">
      <c r="A3228" s="12">
        <v>42044</v>
      </c>
      <c r="B3228">
        <v>2015</v>
      </c>
      <c r="C3228">
        <v>2</v>
      </c>
      <c r="D3228" s="11">
        <v>42036</v>
      </c>
      <c r="E3228" t="s">
        <v>2174</v>
      </c>
      <c r="F3228">
        <v>1</v>
      </c>
      <c r="G3228" t="s">
        <v>61</v>
      </c>
      <c r="H3228" t="s">
        <v>42</v>
      </c>
      <c r="I3228" t="s">
        <v>2190</v>
      </c>
      <c r="J3228" s="10">
        <v>9.6</v>
      </c>
      <c r="K3228" t="b">
        <v>1</v>
      </c>
    </row>
    <row r="3229" spans="1:11">
      <c r="A3229" s="12">
        <v>42044</v>
      </c>
      <c r="B3229">
        <v>2015</v>
      </c>
      <c r="C3229">
        <v>2</v>
      </c>
      <c r="D3229" s="11">
        <v>42036</v>
      </c>
      <c r="E3229" t="s">
        <v>2174</v>
      </c>
      <c r="F3229">
        <v>1</v>
      </c>
      <c r="G3229" t="s">
        <v>61</v>
      </c>
      <c r="H3229" t="s">
        <v>43</v>
      </c>
      <c r="I3229" t="s">
        <v>2191</v>
      </c>
      <c r="J3229" s="10">
        <v>20.7</v>
      </c>
      <c r="K3229" t="b">
        <v>1</v>
      </c>
    </row>
    <row r="3230" spans="1:11">
      <c r="A3230" s="12">
        <v>42044</v>
      </c>
      <c r="B3230">
        <v>2015</v>
      </c>
      <c r="C3230">
        <v>2</v>
      </c>
      <c r="D3230" s="11">
        <v>42036</v>
      </c>
      <c r="E3230" t="s">
        <v>2174</v>
      </c>
      <c r="F3230">
        <v>1</v>
      </c>
      <c r="G3230" t="s">
        <v>61</v>
      </c>
      <c r="H3230" t="s">
        <v>44</v>
      </c>
      <c r="I3230" t="s">
        <v>2192</v>
      </c>
      <c r="J3230" s="10">
        <v>8</v>
      </c>
      <c r="K3230" t="b">
        <v>1</v>
      </c>
    </row>
    <row r="3231" spans="1:11">
      <c r="A3231" s="12">
        <v>42044</v>
      </c>
      <c r="B3231">
        <v>2015</v>
      </c>
      <c r="C3231">
        <v>2</v>
      </c>
      <c r="D3231" s="11">
        <v>42036</v>
      </c>
      <c r="E3231" t="s">
        <v>2174</v>
      </c>
      <c r="F3231">
        <v>1</v>
      </c>
      <c r="G3231" t="s">
        <v>61</v>
      </c>
      <c r="H3231" t="s">
        <v>45</v>
      </c>
      <c r="I3231" t="s">
        <v>2193</v>
      </c>
      <c r="J3231" s="10">
        <v>1</v>
      </c>
      <c r="K3231" t="b">
        <v>1</v>
      </c>
    </row>
    <row r="3232" spans="1:11">
      <c r="A3232" s="12">
        <v>42044</v>
      </c>
      <c r="B3232">
        <v>2015</v>
      </c>
      <c r="C3232">
        <v>2</v>
      </c>
      <c r="D3232" s="11">
        <v>42036</v>
      </c>
      <c r="E3232" t="s">
        <v>2174</v>
      </c>
      <c r="F3232">
        <v>1</v>
      </c>
      <c r="G3232" t="s">
        <v>61</v>
      </c>
      <c r="H3232" t="s">
        <v>46</v>
      </c>
      <c r="I3232" t="s">
        <v>2194</v>
      </c>
      <c r="J3232" s="10">
        <v>0</v>
      </c>
      <c r="K3232" t="b">
        <v>1</v>
      </c>
    </row>
    <row r="3233" spans="1:11">
      <c r="A3233" s="12">
        <v>42044</v>
      </c>
      <c r="B3233">
        <v>2015</v>
      </c>
      <c r="C3233">
        <v>2</v>
      </c>
      <c r="D3233" s="11">
        <v>42036</v>
      </c>
      <c r="E3233" t="s">
        <v>2174</v>
      </c>
      <c r="F3233">
        <v>1</v>
      </c>
      <c r="G3233" t="s">
        <v>61</v>
      </c>
      <c r="H3233" t="s">
        <v>47</v>
      </c>
      <c r="I3233" t="s">
        <v>2195</v>
      </c>
      <c r="J3233" s="10">
        <v>1</v>
      </c>
      <c r="K3233" t="b">
        <v>1</v>
      </c>
    </row>
    <row r="3234" spans="1:11">
      <c r="A3234" s="12">
        <v>42045</v>
      </c>
      <c r="B3234">
        <v>2015</v>
      </c>
      <c r="C3234">
        <v>2</v>
      </c>
      <c r="D3234" s="11">
        <v>42036</v>
      </c>
      <c r="E3234" t="s">
        <v>2174</v>
      </c>
      <c r="F3234">
        <v>2</v>
      </c>
      <c r="G3234" t="s">
        <v>63</v>
      </c>
      <c r="H3234" t="s">
        <v>40</v>
      </c>
      <c r="I3234" t="s">
        <v>2188</v>
      </c>
      <c r="J3234" s="10">
        <v>3.66</v>
      </c>
      <c r="K3234" t="b">
        <v>1</v>
      </c>
    </row>
    <row r="3235" spans="1:11">
      <c r="A3235" s="12">
        <v>42045</v>
      </c>
      <c r="B3235">
        <v>2015</v>
      </c>
      <c r="C3235">
        <v>2</v>
      </c>
      <c r="D3235" s="11">
        <v>42036</v>
      </c>
      <c r="E3235" t="s">
        <v>2174</v>
      </c>
      <c r="F3235">
        <v>2</v>
      </c>
      <c r="G3235" t="s">
        <v>63</v>
      </c>
      <c r="H3235" t="s">
        <v>41</v>
      </c>
      <c r="I3235" t="s">
        <v>2189</v>
      </c>
      <c r="J3235" s="10">
        <v>8.67</v>
      </c>
      <c r="K3235" t="b">
        <v>1</v>
      </c>
    </row>
    <row r="3236" spans="1:11">
      <c r="A3236" s="12">
        <v>42045</v>
      </c>
      <c r="B3236">
        <v>2015</v>
      </c>
      <c r="C3236">
        <v>2</v>
      </c>
      <c r="D3236" s="11">
        <v>42036</v>
      </c>
      <c r="E3236" t="s">
        <v>2174</v>
      </c>
      <c r="F3236">
        <v>2</v>
      </c>
      <c r="G3236" t="s">
        <v>63</v>
      </c>
      <c r="H3236" t="s">
        <v>42</v>
      </c>
      <c r="I3236" t="s">
        <v>2190</v>
      </c>
      <c r="J3236" s="10">
        <v>7</v>
      </c>
      <c r="K3236" t="b">
        <v>1</v>
      </c>
    </row>
    <row r="3237" spans="1:11">
      <c r="A3237" s="12">
        <v>42045</v>
      </c>
      <c r="B3237">
        <v>2015</v>
      </c>
      <c r="C3237">
        <v>2</v>
      </c>
      <c r="D3237" s="11">
        <v>42036</v>
      </c>
      <c r="E3237" t="s">
        <v>2174</v>
      </c>
      <c r="F3237">
        <v>2</v>
      </c>
      <c r="G3237" t="s">
        <v>63</v>
      </c>
      <c r="H3237" t="s">
        <v>43</v>
      </c>
      <c r="I3237" t="s">
        <v>2191</v>
      </c>
      <c r="J3237" s="10">
        <v>33</v>
      </c>
      <c r="K3237" t="b">
        <v>1</v>
      </c>
    </row>
    <row r="3238" spans="1:11">
      <c r="A3238" s="12">
        <v>42045</v>
      </c>
      <c r="B3238">
        <v>2015</v>
      </c>
      <c r="C3238">
        <v>2</v>
      </c>
      <c r="D3238" s="11">
        <v>42036</v>
      </c>
      <c r="E3238" t="s">
        <v>2174</v>
      </c>
      <c r="F3238">
        <v>2</v>
      </c>
      <c r="G3238" t="s">
        <v>63</v>
      </c>
      <c r="H3238" t="s">
        <v>44</v>
      </c>
      <c r="I3238" t="s">
        <v>2192</v>
      </c>
      <c r="J3238" s="10">
        <v>11</v>
      </c>
      <c r="K3238" t="b">
        <v>1</v>
      </c>
    </row>
    <row r="3239" spans="1:11">
      <c r="A3239" s="12">
        <v>42045</v>
      </c>
      <c r="B3239">
        <v>2015</v>
      </c>
      <c r="C3239">
        <v>2</v>
      </c>
      <c r="D3239" s="11">
        <v>42036</v>
      </c>
      <c r="E3239" t="s">
        <v>2174</v>
      </c>
      <c r="F3239">
        <v>2</v>
      </c>
      <c r="G3239" t="s">
        <v>63</v>
      </c>
      <c r="H3239" t="s">
        <v>45</v>
      </c>
      <c r="I3239" t="s">
        <v>2193</v>
      </c>
      <c r="J3239" s="10">
        <v>0</v>
      </c>
      <c r="K3239" t="b">
        <v>1</v>
      </c>
    </row>
    <row r="3240" spans="1:11">
      <c r="A3240" s="12">
        <v>42045</v>
      </c>
      <c r="B3240">
        <v>2015</v>
      </c>
      <c r="C3240">
        <v>2</v>
      </c>
      <c r="D3240" s="11">
        <v>42036</v>
      </c>
      <c r="E3240" t="s">
        <v>2174</v>
      </c>
      <c r="F3240">
        <v>2</v>
      </c>
      <c r="G3240" t="s">
        <v>63</v>
      </c>
      <c r="H3240" t="s">
        <v>46</v>
      </c>
      <c r="I3240" t="s">
        <v>2194</v>
      </c>
      <c r="J3240" s="10">
        <v>6</v>
      </c>
      <c r="K3240" t="b">
        <v>1</v>
      </c>
    </row>
    <row r="3241" spans="1:11">
      <c r="A3241" s="12">
        <v>42045</v>
      </c>
      <c r="B3241">
        <v>2015</v>
      </c>
      <c r="C3241">
        <v>2</v>
      </c>
      <c r="D3241" s="11">
        <v>42036</v>
      </c>
      <c r="E3241" t="s">
        <v>2174</v>
      </c>
      <c r="F3241">
        <v>2</v>
      </c>
      <c r="G3241" t="s">
        <v>63</v>
      </c>
      <c r="H3241" t="s">
        <v>47</v>
      </c>
      <c r="I3241" t="s">
        <v>2195</v>
      </c>
      <c r="J3241" s="10">
        <v>3</v>
      </c>
      <c r="K3241" t="b">
        <v>1</v>
      </c>
    </row>
    <row r="3242" spans="1:11">
      <c r="A3242" s="12">
        <v>42046</v>
      </c>
      <c r="B3242">
        <v>2015</v>
      </c>
      <c r="C3242">
        <v>2</v>
      </c>
      <c r="D3242" s="11">
        <v>42036</v>
      </c>
      <c r="E3242" t="s">
        <v>2174</v>
      </c>
      <c r="F3242">
        <v>3</v>
      </c>
      <c r="G3242" t="s">
        <v>65</v>
      </c>
      <c r="H3242" t="s">
        <v>40</v>
      </c>
      <c r="I3242" t="s">
        <v>2188</v>
      </c>
      <c r="J3242" s="10">
        <v>3</v>
      </c>
      <c r="K3242" t="b">
        <v>1</v>
      </c>
    </row>
    <row r="3243" spans="1:11">
      <c r="A3243" s="12">
        <v>42046</v>
      </c>
      <c r="B3243">
        <v>2015</v>
      </c>
      <c r="C3243">
        <v>2</v>
      </c>
      <c r="D3243" s="11">
        <v>42036</v>
      </c>
      <c r="E3243" t="s">
        <v>2174</v>
      </c>
      <c r="F3243">
        <v>3</v>
      </c>
      <c r="G3243" t="s">
        <v>65</v>
      </c>
      <c r="H3243" t="s">
        <v>41</v>
      </c>
      <c r="I3243" t="s">
        <v>2189</v>
      </c>
      <c r="J3243" s="10">
        <v>5.14</v>
      </c>
      <c r="K3243" t="b">
        <v>1</v>
      </c>
    </row>
    <row r="3244" spans="1:11">
      <c r="A3244" s="12">
        <v>42046</v>
      </c>
      <c r="B3244">
        <v>2015</v>
      </c>
      <c r="C3244">
        <v>2</v>
      </c>
      <c r="D3244" s="11">
        <v>42036</v>
      </c>
      <c r="E3244" t="s">
        <v>2174</v>
      </c>
      <c r="F3244">
        <v>3</v>
      </c>
      <c r="G3244" t="s">
        <v>65</v>
      </c>
      <c r="H3244" t="s">
        <v>42</v>
      </c>
      <c r="I3244" t="s">
        <v>2190</v>
      </c>
      <c r="J3244" s="10">
        <v>3.6</v>
      </c>
      <c r="K3244" t="b">
        <v>1</v>
      </c>
    </row>
    <row r="3245" spans="1:11">
      <c r="A3245" s="12">
        <v>42046</v>
      </c>
      <c r="B3245">
        <v>2015</v>
      </c>
      <c r="C3245">
        <v>2</v>
      </c>
      <c r="D3245" s="11">
        <v>42036</v>
      </c>
      <c r="E3245" t="s">
        <v>2174</v>
      </c>
      <c r="F3245">
        <v>3</v>
      </c>
      <c r="G3245" t="s">
        <v>65</v>
      </c>
      <c r="H3245" t="s">
        <v>43</v>
      </c>
      <c r="I3245" t="s">
        <v>2191</v>
      </c>
      <c r="J3245" s="10">
        <v>48.5</v>
      </c>
      <c r="K3245" t="b">
        <v>1</v>
      </c>
    </row>
    <row r="3246" spans="1:11">
      <c r="A3246" s="12">
        <v>42046</v>
      </c>
      <c r="B3246">
        <v>2015</v>
      </c>
      <c r="C3246">
        <v>2</v>
      </c>
      <c r="D3246" s="11">
        <v>42036</v>
      </c>
      <c r="E3246" t="s">
        <v>2174</v>
      </c>
      <c r="F3246">
        <v>3</v>
      </c>
      <c r="G3246" t="s">
        <v>65</v>
      </c>
      <c r="H3246" t="s">
        <v>44</v>
      </c>
      <c r="I3246" t="s">
        <v>2192</v>
      </c>
      <c r="J3246" s="10">
        <v>16</v>
      </c>
      <c r="K3246" t="b">
        <v>1</v>
      </c>
    </row>
    <row r="3247" spans="1:11">
      <c r="A3247" s="12">
        <v>42046</v>
      </c>
      <c r="B3247">
        <v>2015</v>
      </c>
      <c r="C3247">
        <v>2</v>
      </c>
      <c r="D3247" s="11">
        <v>42036</v>
      </c>
      <c r="E3247" t="s">
        <v>2174</v>
      </c>
      <c r="F3247">
        <v>3</v>
      </c>
      <c r="G3247" t="s">
        <v>65</v>
      </c>
      <c r="H3247" t="s">
        <v>45</v>
      </c>
      <c r="I3247" t="s">
        <v>2193</v>
      </c>
      <c r="J3247" s="10">
        <v>0</v>
      </c>
      <c r="K3247" t="b">
        <v>1</v>
      </c>
    </row>
    <row r="3248" spans="1:11">
      <c r="A3248" s="12">
        <v>42046</v>
      </c>
      <c r="B3248">
        <v>2015</v>
      </c>
      <c r="C3248">
        <v>2</v>
      </c>
      <c r="D3248" s="11">
        <v>42036</v>
      </c>
      <c r="E3248" t="s">
        <v>2174</v>
      </c>
      <c r="F3248">
        <v>3</v>
      </c>
      <c r="G3248" t="s">
        <v>65</v>
      </c>
      <c r="H3248" t="s">
        <v>46</v>
      </c>
      <c r="I3248" t="s">
        <v>2194</v>
      </c>
      <c r="J3248" s="10">
        <v>20</v>
      </c>
      <c r="K3248" t="b">
        <v>1</v>
      </c>
    </row>
    <row r="3249" spans="1:11">
      <c r="A3249" s="12">
        <v>42046</v>
      </c>
      <c r="B3249">
        <v>2015</v>
      </c>
      <c r="C3249">
        <v>2</v>
      </c>
      <c r="D3249" s="11">
        <v>42036</v>
      </c>
      <c r="E3249" t="s">
        <v>2174</v>
      </c>
      <c r="F3249">
        <v>3</v>
      </c>
      <c r="G3249" t="s">
        <v>65</v>
      </c>
      <c r="H3249" t="s">
        <v>47</v>
      </c>
      <c r="I3249" t="s">
        <v>2195</v>
      </c>
      <c r="J3249" s="10">
        <v>2</v>
      </c>
      <c r="K3249" t="b">
        <v>1</v>
      </c>
    </row>
    <row r="3250" spans="1:11">
      <c r="A3250" s="12">
        <v>42047</v>
      </c>
      <c r="B3250">
        <v>2015</v>
      </c>
      <c r="C3250">
        <v>2</v>
      </c>
      <c r="D3250" s="11">
        <v>42036</v>
      </c>
      <c r="E3250" t="s">
        <v>2174</v>
      </c>
      <c r="F3250">
        <v>4</v>
      </c>
      <c r="G3250" t="s">
        <v>53</v>
      </c>
      <c r="H3250" t="s">
        <v>40</v>
      </c>
      <c r="I3250" t="s">
        <v>2188</v>
      </c>
      <c r="J3250" s="10">
        <v>3</v>
      </c>
      <c r="K3250" t="b">
        <v>1</v>
      </c>
    </row>
    <row r="3251" spans="1:11">
      <c r="A3251" s="12">
        <v>42047</v>
      </c>
      <c r="B3251">
        <v>2015</v>
      </c>
      <c r="C3251">
        <v>2</v>
      </c>
      <c r="D3251" s="11">
        <v>42036</v>
      </c>
      <c r="E3251" t="s">
        <v>2174</v>
      </c>
      <c r="F3251">
        <v>4</v>
      </c>
      <c r="G3251" t="s">
        <v>53</v>
      </c>
      <c r="H3251" t="s">
        <v>41</v>
      </c>
      <c r="I3251" t="s">
        <v>2189</v>
      </c>
      <c r="J3251" s="10">
        <v>4</v>
      </c>
      <c r="K3251" t="b">
        <v>1</v>
      </c>
    </row>
    <row r="3252" spans="1:11">
      <c r="A3252" s="12">
        <v>42047</v>
      </c>
      <c r="B3252">
        <v>2015</v>
      </c>
      <c r="C3252">
        <v>2</v>
      </c>
      <c r="D3252" s="11">
        <v>42036</v>
      </c>
      <c r="E3252" t="s">
        <v>2174</v>
      </c>
      <c r="F3252">
        <v>4</v>
      </c>
      <c r="G3252" t="s">
        <v>53</v>
      </c>
      <c r="H3252" t="s">
        <v>42</v>
      </c>
      <c r="I3252" t="s">
        <v>2190</v>
      </c>
      <c r="J3252" s="10">
        <v>6</v>
      </c>
      <c r="K3252" t="b">
        <v>1</v>
      </c>
    </row>
    <row r="3253" spans="1:11">
      <c r="A3253" s="12">
        <v>42047</v>
      </c>
      <c r="B3253">
        <v>2015</v>
      </c>
      <c r="C3253">
        <v>2</v>
      </c>
      <c r="D3253" s="11">
        <v>42036</v>
      </c>
      <c r="E3253" t="s">
        <v>2174</v>
      </c>
      <c r="F3253">
        <v>4</v>
      </c>
      <c r="G3253" t="s">
        <v>53</v>
      </c>
      <c r="H3253" t="s">
        <v>43</v>
      </c>
      <c r="I3253" t="s">
        <v>2191</v>
      </c>
      <c r="J3253" s="10">
        <v>23.82</v>
      </c>
      <c r="K3253" t="b">
        <v>1</v>
      </c>
    </row>
    <row r="3254" spans="1:11">
      <c r="A3254" s="12">
        <v>42047</v>
      </c>
      <c r="B3254">
        <v>2015</v>
      </c>
      <c r="C3254">
        <v>2</v>
      </c>
      <c r="D3254" s="11">
        <v>42036</v>
      </c>
      <c r="E3254" t="s">
        <v>2174</v>
      </c>
      <c r="F3254">
        <v>4</v>
      </c>
      <c r="G3254" t="s">
        <v>53</v>
      </c>
      <c r="H3254" t="s">
        <v>44</v>
      </c>
      <c r="I3254" t="s">
        <v>2192</v>
      </c>
      <c r="J3254" s="10">
        <v>11</v>
      </c>
      <c r="K3254" t="b">
        <v>1</v>
      </c>
    </row>
    <row r="3255" spans="1:11">
      <c r="A3255" s="12">
        <v>42047</v>
      </c>
      <c r="B3255">
        <v>2015</v>
      </c>
      <c r="C3255">
        <v>2</v>
      </c>
      <c r="D3255" s="11">
        <v>42036</v>
      </c>
      <c r="E3255" t="s">
        <v>2174</v>
      </c>
      <c r="F3255">
        <v>4</v>
      </c>
      <c r="G3255" t="s">
        <v>53</v>
      </c>
      <c r="H3255" t="s">
        <v>45</v>
      </c>
      <c r="I3255" t="s">
        <v>2193</v>
      </c>
      <c r="J3255" s="10">
        <v>1</v>
      </c>
      <c r="K3255" t="b">
        <v>1</v>
      </c>
    </row>
    <row r="3256" spans="1:11">
      <c r="A3256" s="12">
        <v>42047</v>
      </c>
      <c r="B3256">
        <v>2015</v>
      </c>
      <c r="C3256">
        <v>2</v>
      </c>
      <c r="D3256" s="11">
        <v>42036</v>
      </c>
      <c r="E3256" t="s">
        <v>2174</v>
      </c>
      <c r="F3256">
        <v>4</v>
      </c>
      <c r="G3256" t="s">
        <v>53</v>
      </c>
      <c r="H3256" t="s">
        <v>46</v>
      </c>
      <c r="I3256" t="s">
        <v>2194</v>
      </c>
      <c r="J3256" s="10">
        <v>5</v>
      </c>
      <c r="K3256" t="b">
        <v>1</v>
      </c>
    </row>
    <row r="3257" spans="1:11">
      <c r="A3257" s="12">
        <v>42047</v>
      </c>
      <c r="B3257">
        <v>2015</v>
      </c>
      <c r="C3257">
        <v>2</v>
      </c>
      <c r="D3257" s="11">
        <v>42036</v>
      </c>
      <c r="E3257" t="s">
        <v>2174</v>
      </c>
      <c r="F3257">
        <v>4</v>
      </c>
      <c r="G3257" t="s">
        <v>53</v>
      </c>
      <c r="H3257" t="s">
        <v>47</v>
      </c>
      <c r="I3257" t="s">
        <v>2195</v>
      </c>
      <c r="J3257" s="10">
        <v>0</v>
      </c>
      <c r="K3257" t="b">
        <v>1</v>
      </c>
    </row>
    <row r="3258" spans="1:11">
      <c r="A3258" s="12">
        <v>42048</v>
      </c>
      <c r="B3258">
        <v>2015</v>
      </c>
      <c r="C3258">
        <v>2</v>
      </c>
      <c r="D3258" s="11">
        <v>42036</v>
      </c>
      <c r="E3258" t="s">
        <v>2174</v>
      </c>
      <c r="F3258">
        <v>5</v>
      </c>
      <c r="G3258" t="s">
        <v>55</v>
      </c>
      <c r="H3258" t="s">
        <v>40</v>
      </c>
      <c r="I3258" t="s">
        <v>2188</v>
      </c>
      <c r="J3258" s="10">
        <v>6.01</v>
      </c>
      <c r="K3258" t="b">
        <v>1</v>
      </c>
    </row>
    <row r="3259" spans="1:11">
      <c r="A3259" s="12">
        <v>42048</v>
      </c>
      <c r="B3259">
        <v>2015</v>
      </c>
      <c r="C3259">
        <v>2</v>
      </c>
      <c r="D3259" s="11">
        <v>42036</v>
      </c>
      <c r="E3259" t="s">
        <v>2174</v>
      </c>
      <c r="F3259">
        <v>5</v>
      </c>
      <c r="G3259" t="s">
        <v>55</v>
      </c>
      <c r="H3259" t="s">
        <v>41</v>
      </c>
      <c r="I3259" t="s">
        <v>2189</v>
      </c>
      <c r="J3259" s="10">
        <v>4.23</v>
      </c>
      <c r="K3259" t="b">
        <v>1</v>
      </c>
    </row>
    <row r="3260" spans="1:11">
      <c r="A3260" s="12">
        <v>42048</v>
      </c>
      <c r="B3260">
        <v>2015</v>
      </c>
      <c r="C3260">
        <v>2</v>
      </c>
      <c r="D3260" s="11">
        <v>42036</v>
      </c>
      <c r="E3260" t="s">
        <v>2174</v>
      </c>
      <c r="F3260">
        <v>5</v>
      </c>
      <c r="G3260" t="s">
        <v>55</v>
      </c>
      <c r="H3260" t="s">
        <v>42</v>
      </c>
      <c r="I3260" t="s">
        <v>2190</v>
      </c>
      <c r="J3260" s="10">
        <v>7</v>
      </c>
      <c r="K3260" t="b">
        <v>1</v>
      </c>
    </row>
    <row r="3261" spans="1:11">
      <c r="A3261" s="12">
        <v>42048</v>
      </c>
      <c r="B3261">
        <v>2015</v>
      </c>
      <c r="C3261">
        <v>2</v>
      </c>
      <c r="D3261" s="11">
        <v>42036</v>
      </c>
      <c r="E3261" t="s">
        <v>2174</v>
      </c>
      <c r="F3261">
        <v>5</v>
      </c>
      <c r="G3261" t="s">
        <v>55</v>
      </c>
      <c r="H3261" t="s">
        <v>43</v>
      </c>
      <c r="I3261" t="s">
        <v>2191</v>
      </c>
      <c r="J3261" s="10">
        <v>29.6</v>
      </c>
      <c r="K3261" t="b">
        <v>1</v>
      </c>
    </row>
    <row r="3262" spans="1:11">
      <c r="A3262" s="12">
        <v>42048</v>
      </c>
      <c r="B3262">
        <v>2015</v>
      </c>
      <c r="C3262">
        <v>2</v>
      </c>
      <c r="D3262" s="11">
        <v>42036</v>
      </c>
      <c r="E3262" t="s">
        <v>2174</v>
      </c>
      <c r="F3262">
        <v>5</v>
      </c>
      <c r="G3262" t="s">
        <v>55</v>
      </c>
      <c r="H3262" t="s">
        <v>44</v>
      </c>
      <c r="I3262" t="s">
        <v>2192</v>
      </c>
      <c r="J3262" s="10">
        <v>11</v>
      </c>
      <c r="K3262" t="b">
        <v>1</v>
      </c>
    </row>
    <row r="3263" spans="1:11">
      <c r="A3263" s="12">
        <v>42048</v>
      </c>
      <c r="B3263">
        <v>2015</v>
      </c>
      <c r="C3263">
        <v>2</v>
      </c>
      <c r="D3263" s="11">
        <v>42036</v>
      </c>
      <c r="E3263" t="s">
        <v>2174</v>
      </c>
      <c r="F3263">
        <v>5</v>
      </c>
      <c r="G3263" t="s">
        <v>55</v>
      </c>
      <c r="H3263" t="s">
        <v>45</v>
      </c>
      <c r="I3263" t="s">
        <v>2193</v>
      </c>
      <c r="J3263" s="10">
        <v>1</v>
      </c>
      <c r="K3263" t="b">
        <v>1</v>
      </c>
    </row>
    <row r="3264" spans="1:11">
      <c r="A3264" s="12">
        <v>42048</v>
      </c>
      <c r="B3264">
        <v>2015</v>
      </c>
      <c r="C3264">
        <v>2</v>
      </c>
      <c r="D3264" s="11">
        <v>42036</v>
      </c>
      <c r="E3264" t="s">
        <v>2174</v>
      </c>
      <c r="F3264">
        <v>5</v>
      </c>
      <c r="G3264" t="s">
        <v>55</v>
      </c>
      <c r="H3264" t="s">
        <v>46</v>
      </c>
      <c r="I3264" t="s">
        <v>2194</v>
      </c>
      <c r="J3264" s="10">
        <v>22</v>
      </c>
      <c r="K3264" t="b">
        <v>1</v>
      </c>
    </row>
    <row r="3265" spans="1:11">
      <c r="A3265" s="12">
        <v>42048</v>
      </c>
      <c r="B3265">
        <v>2015</v>
      </c>
      <c r="C3265">
        <v>2</v>
      </c>
      <c r="D3265" s="11">
        <v>42036</v>
      </c>
      <c r="E3265" t="s">
        <v>2174</v>
      </c>
      <c r="F3265">
        <v>5</v>
      </c>
      <c r="G3265" t="s">
        <v>55</v>
      </c>
      <c r="H3265" t="s">
        <v>47</v>
      </c>
      <c r="I3265" t="s">
        <v>2195</v>
      </c>
      <c r="J3265" s="10">
        <v>1</v>
      </c>
      <c r="K3265" t="b">
        <v>1</v>
      </c>
    </row>
    <row r="3266" spans="1:11">
      <c r="A3266" s="12">
        <v>42049</v>
      </c>
      <c r="B3266">
        <v>2015</v>
      </c>
      <c r="C3266">
        <v>2</v>
      </c>
      <c r="D3266" s="11">
        <v>42036</v>
      </c>
      <c r="E3266" t="s">
        <v>2174</v>
      </c>
      <c r="F3266">
        <v>6</v>
      </c>
      <c r="G3266" t="s">
        <v>57</v>
      </c>
      <c r="H3266" t="s">
        <v>40</v>
      </c>
      <c r="I3266" t="s">
        <v>2188</v>
      </c>
      <c r="J3266" s="10">
        <v>4.33</v>
      </c>
      <c r="K3266" t="b">
        <v>1</v>
      </c>
    </row>
    <row r="3267" spans="1:11">
      <c r="A3267" s="12">
        <v>42049</v>
      </c>
      <c r="B3267">
        <v>2015</v>
      </c>
      <c r="C3267">
        <v>2</v>
      </c>
      <c r="D3267" s="11">
        <v>42036</v>
      </c>
      <c r="E3267" t="s">
        <v>2174</v>
      </c>
      <c r="F3267">
        <v>6</v>
      </c>
      <c r="G3267" t="s">
        <v>57</v>
      </c>
      <c r="H3267" t="s">
        <v>41</v>
      </c>
      <c r="I3267" t="s">
        <v>2189</v>
      </c>
      <c r="J3267" s="10">
        <v>1.736</v>
      </c>
      <c r="K3267" t="b">
        <v>1</v>
      </c>
    </row>
    <row r="3268" spans="1:11">
      <c r="A3268" s="12">
        <v>42049</v>
      </c>
      <c r="B3268">
        <v>2015</v>
      </c>
      <c r="C3268">
        <v>2</v>
      </c>
      <c r="D3268" s="11">
        <v>42036</v>
      </c>
      <c r="E3268" t="s">
        <v>2174</v>
      </c>
      <c r="F3268">
        <v>6</v>
      </c>
      <c r="G3268" t="s">
        <v>57</v>
      </c>
      <c r="H3268" t="s">
        <v>42</v>
      </c>
      <c r="I3268" t="s">
        <v>2190</v>
      </c>
      <c r="J3268" s="10">
        <v>6.7</v>
      </c>
      <c r="K3268" t="b">
        <v>1</v>
      </c>
    </row>
    <row r="3269" spans="1:11">
      <c r="A3269" s="12">
        <v>42049</v>
      </c>
      <c r="B3269">
        <v>2015</v>
      </c>
      <c r="C3269">
        <v>2</v>
      </c>
      <c r="D3269" s="11">
        <v>42036</v>
      </c>
      <c r="E3269" t="s">
        <v>2174</v>
      </c>
      <c r="F3269">
        <v>6</v>
      </c>
      <c r="G3269" t="s">
        <v>57</v>
      </c>
      <c r="H3269" t="s">
        <v>43</v>
      </c>
      <c r="I3269" t="s">
        <v>2191</v>
      </c>
      <c r="J3269" s="10">
        <v>29.2</v>
      </c>
      <c r="K3269" t="b">
        <v>1</v>
      </c>
    </row>
    <row r="3270" spans="1:11">
      <c r="A3270" s="12">
        <v>42049</v>
      </c>
      <c r="B3270">
        <v>2015</v>
      </c>
      <c r="C3270">
        <v>2</v>
      </c>
      <c r="D3270" s="11">
        <v>42036</v>
      </c>
      <c r="E3270" t="s">
        <v>2174</v>
      </c>
      <c r="F3270">
        <v>6</v>
      </c>
      <c r="G3270" t="s">
        <v>57</v>
      </c>
      <c r="H3270" t="s">
        <v>44</v>
      </c>
      <c r="I3270" t="s">
        <v>2192</v>
      </c>
      <c r="J3270" s="10">
        <v>13</v>
      </c>
      <c r="K3270" t="b">
        <v>1</v>
      </c>
    </row>
    <row r="3271" spans="1:11">
      <c r="A3271" s="12">
        <v>42049</v>
      </c>
      <c r="B3271">
        <v>2015</v>
      </c>
      <c r="C3271">
        <v>2</v>
      </c>
      <c r="D3271" s="11">
        <v>42036</v>
      </c>
      <c r="E3271" t="s">
        <v>2174</v>
      </c>
      <c r="F3271">
        <v>6</v>
      </c>
      <c r="G3271" t="s">
        <v>57</v>
      </c>
      <c r="H3271" t="s">
        <v>45</v>
      </c>
      <c r="I3271" t="s">
        <v>2193</v>
      </c>
      <c r="J3271" s="10">
        <v>1</v>
      </c>
      <c r="K3271" t="b">
        <v>1</v>
      </c>
    </row>
    <row r="3272" spans="1:11">
      <c r="A3272" s="12">
        <v>42049</v>
      </c>
      <c r="B3272">
        <v>2015</v>
      </c>
      <c r="C3272">
        <v>2</v>
      </c>
      <c r="D3272" s="11">
        <v>42036</v>
      </c>
      <c r="E3272" t="s">
        <v>2174</v>
      </c>
      <c r="F3272">
        <v>6</v>
      </c>
      <c r="G3272" t="s">
        <v>57</v>
      </c>
      <c r="H3272" t="s">
        <v>46</v>
      </c>
      <c r="I3272" t="s">
        <v>2194</v>
      </c>
      <c r="J3272" s="10">
        <v>5</v>
      </c>
      <c r="K3272" t="b">
        <v>1</v>
      </c>
    </row>
    <row r="3273" spans="1:11">
      <c r="A3273" s="12">
        <v>42049</v>
      </c>
      <c r="B3273">
        <v>2015</v>
      </c>
      <c r="C3273">
        <v>2</v>
      </c>
      <c r="D3273" s="11">
        <v>42036</v>
      </c>
      <c r="E3273" t="s">
        <v>2174</v>
      </c>
      <c r="F3273">
        <v>6</v>
      </c>
      <c r="G3273" t="s">
        <v>57</v>
      </c>
      <c r="H3273" t="s">
        <v>47</v>
      </c>
      <c r="I3273" t="s">
        <v>2195</v>
      </c>
      <c r="J3273" s="10">
        <v>4</v>
      </c>
      <c r="K3273" t="b">
        <v>1</v>
      </c>
    </row>
    <row r="3274" spans="1:11">
      <c r="A3274" s="12">
        <v>42050</v>
      </c>
      <c r="B3274">
        <v>2015</v>
      </c>
      <c r="C3274">
        <v>2</v>
      </c>
      <c r="D3274" s="11">
        <v>42036</v>
      </c>
      <c r="E3274" t="s">
        <v>2174</v>
      </c>
      <c r="F3274">
        <v>7</v>
      </c>
      <c r="G3274" t="s">
        <v>59</v>
      </c>
      <c r="H3274" t="s">
        <v>40</v>
      </c>
      <c r="I3274" t="s">
        <v>2188</v>
      </c>
      <c r="J3274" s="10">
        <v>11.68</v>
      </c>
      <c r="K3274" t="b">
        <v>1</v>
      </c>
    </row>
    <row r="3275" spans="1:11">
      <c r="A3275" s="12">
        <v>42050</v>
      </c>
      <c r="B3275">
        <v>2015</v>
      </c>
      <c r="C3275">
        <v>2</v>
      </c>
      <c r="D3275" s="11">
        <v>42036</v>
      </c>
      <c r="E3275" t="s">
        <v>2174</v>
      </c>
      <c r="F3275">
        <v>7</v>
      </c>
      <c r="G3275" t="s">
        <v>59</v>
      </c>
      <c r="H3275" t="s">
        <v>41</v>
      </c>
      <c r="I3275" t="s">
        <v>2189</v>
      </c>
      <c r="J3275" s="10">
        <v>2.33</v>
      </c>
      <c r="K3275" t="b">
        <v>1</v>
      </c>
    </row>
    <row r="3276" spans="1:11">
      <c r="A3276" s="12">
        <v>42050</v>
      </c>
      <c r="B3276">
        <v>2015</v>
      </c>
      <c r="C3276">
        <v>2</v>
      </c>
      <c r="D3276" s="11">
        <v>42036</v>
      </c>
      <c r="E3276" t="s">
        <v>2174</v>
      </c>
      <c r="F3276">
        <v>7</v>
      </c>
      <c r="G3276" t="s">
        <v>59</v>
      </c>
      <c r="H3276" t="s">
        <v>42</v>
      </c>
      <c r="I3276" t="s">
        <v>2190</v>
      </c>
      <c r="J3276" s="10">
        <v>4.3</v>
      </c>
      <c r="K3276" t="b">
        <v>1</v>
      </c>
    </row>
    <row r="3277" spans="1:11">
      <c r="A3277" s="12">
        <v>42050</v>
      </c>
      <c r="B3277">
        <v>2015</v>
      </c>
      <c r="C3277">
        <v>2</v>
      </c>
      <c r="D3277" s="11">
        <v>42036</v>
      </c>
      <c r="E3277" t="s">
        <v>2174</v>
      </c>
      <c r="F3277">
        <v>7</v>
      </c>
      <c r="G3277" t="s">
        <v>59</v>
      </c>
      <c r="H3277" t="s">
        <v>43</v>
      </c>
      <c r="I3277" t="s">
        <v>2191</v>
      </c>
      <c r="J3277" s="10">
        <v>38</v>
      </c>
      <c r="K3277" t="b">
        <v>1</v>
      </c>
    </row>
    <row r="3278" spans="1:11">
      <c r="A3278" s="12">
        <v>42050</v>
      </c>
      <c r="B3278">
        <v>2015</v>
      </c>
      <c r="C3278">
        <v>2</v>
      </c>
      <c r="D3278" s="11">
        <v>42036</v>
      </c>
      <c r="E3278" t="s">
        <v>2174</v>
      </c>
      <c r="F3278">
        <v>7</v>
      </c>
      <c r="G3278" t="s">
        <v>59</v>
      </c>
      <c r="H3278" t="s">
        <v>44</v>
      </c>
      <c r="I3278" t="s">
        <v>2192</v>
      </c>
      <c r="J3278" s="10">
        <v>7</v>
      </c>
      <c r="K3278" t="b">
        <v>1</v>
      </c>
    </row>
    <row r="3279" spans="1:11">
      <c r="A3279" s="12">
        <v>42050</v>
      </c>
      <c r="B3279">
        <v>2015</v>
      </c>
      <c r="C3279">
        <v>2</v>
      </c>
      <c r="D3279" s="11">
        <v>42036</v>
      </c>
      <c r="E3279" t="s">
        <v>2174</v>
      </c>
      <c r="F3279">
        <v>7</v>
      </c>
      <c r="G3279" t="s">
        <v>59</v>
      </c>
      <c r="H3279" t="s">
        <v>45</v>
      </c>
      <c r="I3279" t="s">
        <v>2193</v>
      </c>
      <c r="J3279" s="10">
        <v>0</v>
      </c>
      <c r="K3279" t="b">
        <v>1</v>
      </c>
    </row>
    <row r="3280" spans="1:11">
      <c r="A3280" s="12">
        <v>42050</v>
      </c>
      <c r="B3280">
        <v>2015</v>
      </c>
      <c r="C3280">
        <v>2</v>
      </c>
      <c r="D3280" s="11">
        <v>42036</v>
      </c>
      <c r="E3280" t="s">
        <v>2174</v>
      </c>
      <c r="F3280">
        <v>7</v>
      </c>
      <c r="G3280" t="s">
        <v>59</v>
      </c>
      <c r="H3280" t="s">
        <v>46</v>
      </c>
      <c r="I3280" t="s">
        <v>2194</v>
      </c>
      <c r="J3280" s="10">
        <v>7</v>
      </c>
      <c r="K3280" t="b">
        <v>1</v>
      </c>
    </row>
    <row r="3281" spans="1:11">
      <c r="A3281" s="12">
        <v>42050</v>
      </c>
      <c r="B3281">
        <v>2015</v>
      </c>
      <c r="C3281">
        <v>2</v>
      </c>
      <c r="D3281" s="11">
        <v>42036</v>
      </c>
      <c r="E3281" t="s">
        <v>2174</v>
      </c>
      <c r="F3281">
        <v>7</v>
      </c>
      <c r="G3281" t="s">
        <v>59</v>
      </c>
      <c r="H3281" t="s">
        <v>47</v>
      </c>
      <c r="I3281" t="s">
        <v>2195</v>
      </c>
      <c r="J3281" s="10">
        <v>2</v>
      </c>
      <c r="K3281" t="b">
        <v>1</v>
      </c>
    </row>
    <row r="3282" spans="1:11">
      <c r="A3282" s="12">
        <v>42051</v>
      </c>
      <c r="B3282">
        <v>2015</v>
      </c>
      <c r="C3282">
        <v>2</v>
      </c>
      <c r="D3282" s="11">
        <v>42036</v>
      </c>
      <c r="E3282" t="s">
        <v>2174</v>
      </c>
      <c r="F3282">
        <v>1</v>
      </c>
      <c r="G3282" t="s">
        <v>61</v>
      </c>
      <c r="H3282" t="s">
        <v>40</v>
      </c>
      <c r="I3282" t="s">
        <v>2188</v>
      </c>
      <c r="J3282" s="10">
        <v>3.01</v>
      </c>
      <c r="K3282" t="b">
        <v>1</v>
      </c>
    </row>
    <row r="3283" spans="1:11">
      <c r="A3283" s="12">
        <v>42051</v>
      </c>
      <c r="B3283">
        <v>2015</v>
      </c>
      <c r="C3283">
        <v>2</v>
      </c>
      <c r="D3283" s="11">
        <v>42036</v>
      </c>
      <c r="E3283" t="s">
        <v>2174</v>
      </c>
      <c r="F3283">
        <v>1</v>
      </c>
      <c r="G3283" t="s">
        <v>61</v>
      </c>
      <c r="H3283" t="s">
        <v>41</v>
      </c>
      <c r="I3283" t="s">
        <v>2189</v>
      </c>
      <c r="J3283" s="10">
        <v>3.75</v>
      </c>
      <c r="K3283" t="b">
        <v>1</v>
      </c>
    </row>
    <row r="3284" spans="1:11">
      <c r="A3284" s="12">
        <v>42051</v>
      </c>
      <c r="B3284">
        <v>2015</v>
      </c>
      <c r="C3284">
        <v>2</v>
      </c>
      <c r="D3284" s="11">
        <v>42036</v>
      </c>
      <c r="E3284" t="s">
        <v>2174</v>
      </c>
      <c r="F3284">
        <v>1</v>
      </c>
      <c r="G3284" t="s">
        <v>61</v>
      </c>
      <c r="H3284" t="s">
        <v>42</v>
      </c>
      <c r="I3284" t="s">
        <v>2190</v>
      </c>
      <c r="J3284" s="10">
        <v>4</v>
      </c>
      <c r="K3284" t="b">
        <v>1</v>
      </c>
    </row>
    <row r="3285" spans="1:11">
      <c r="A3285" s="12">
        <v>42051</v>
      </c>
      <c r="B3285">
        <v>2015</v>
      </c>
      <c r="C3285">
        <v>2</v>
      </c>
      <c r="D3285" s="11">
        <v>42036</v>
      </c>
      <c r="E3285" t="s">
        <v>2174</v>
      </c>
      <c r="F3285">
        <v>1</v>
      </c>
      <c r="G3285" t="s">
        <v>61</v>
      </c>
      <c r="H3285" t="s">
        <v>43</v>
      </c>
      <c r="I3285" t="s">
        <v>2191</v>
      </c>
      <c r="J3285" s="10">
        <v>40.1</v>
      </c>
      <c r="K3285" t="b">
        <v>1</v>
      </c>
    </row>
    <row r="3286" spans="1:11">
      <c r="A3286" s="12">
        <v>42051</v>
      </c>
      <c r="B3286">
        <v>2015</v>
      </c>
      <c r="C3286">
        <v>2</v>
      </c>
      <c r="D3286" s="11">
        <v>42036</v>
      </c>
      <c r="E3286" t="s">
        <v>2174</v>
      </c>
      <c r="F3286">
        <v>1</v>
      </c>
      <c r="G3286" t="s">
        <v>61</v>
      </c>
      <c r="H3286" t="s">
        <v>44</v>
      </c>
      <c r="I3286" t="s">
        <v>2192</v>
      </c>
      <c r="J3286" s="10">
        <v>4</v>
      </c>
      <c r="K3286" t="b">
        <v>1</v>
      </c>
    </row>
    <row r="3287" spans="1:11">
      <c r="A3287" s="12">
        <v>42051</v>
      </c>
      <c r="B3287">
        <v>2015</v>
      </c>
      <c r="C3287">
        <v>2</v>
      </c>
      <c r="D3287" s="11">
        <v>42036</v>
      </c>
      <c r="E3287" t="s">
        <v>2174</v>
      </c>
      <c r="F3287">
        <v>1</v>
      </c>
      <c r="G3287" t="s">
        <v>61</v>
      </c>
      <c r="H3287" t="s">
        <v>45</v>
      </c>
      <c r="I3287" t="s">
        <v>2193</v>
      </c>
      <c r="J3287" s="10">
        <v>0</v>
      </c>
      <c r="K3287" t="b">
        <v>1</v>
      </c>
    </row>
    <row r="3288" spans="1:11">
      <c r="A3288" s="12">
        <v>42051</v>
      </c>
      <c r="B3288">
        <v>2015</v>
      </c>
      <c r="C3288">
        <v>2</v>
      </c>
      <c r="D3288" s="11">
        <v>42036</v>
      </c>
      <c r="E3288" t="s">
        <v>2174</v>
      </c>
      <c r="F3288">
        <v>1</v>
      </c>
      <c r="G3288" t="s">
        <v>61</v>
      </c>
      <c r="H3288" t="s">
        <v>46</v>
      </c>
      <c r="I3288" t="s">
        <v>2194</v>
      </c>
      <c r="J3288" s="10">
        <v>10</v>
      </c>
      <c r="K3288" t="b">
        <v>1</v>
      </c>
    </row>
    <row r="3289" spans="1:11">
      <c r="A3289" s="12">
        <v>42051</v>
      </c>
      <c r="B3289">
        <v>2015</v>
      </c>
      <c r="C3289">
        <v>2</v>
      </c>
      <c r="D3289" s="11">
        <v>42036</v>
      </c>
      <c r="E3289" t="s">
        <v>2174</v>
      </c>
      <c r="F3289">
        <v>1</v>
      </c>
      <c r="G3289" t="s">
        <v>61</v>
      </c>
      <c r="H3289" t="s">
        <v>47</v>
      </c>
      <c r="I3289" t="s">
        <v>2195</v>
      </c>
      <c r="J3289" s="10">
        <v>0</v>
      </c>
      <c r="K3289" t="b">
        <v>1</v>
      </c>
    </row>
    <row r="3290" spans="1:11">
      <c r="A3290" s="12">
        <v>42052</v>
      </c>
      <c r="B3290">
        <v>2015</v>
      </c>
      <c r="C3290">
        <v>2</v>
      </c>
      <c r="D3290" s="11">
        <v>42036</v>
      </c>
      <c r="E3290" t="s">
        <v>2174</v>
      </c>
      <c r="F3290">
        <v>2</v>
      </c>
      <c r="G3290" t="s">
        <v>63</v>
      </c>
      <c r="H3290" t="s">
        <v>40</v>
      </c>
      <c r="I3290" t="s">
        <v>2188</v>
      </c>
      <c r="J3290" s="10">
        <v>5.33</v>
      </c>
      <c r="K3290" t="b">
        <v>1</v>
      </c>
    </row>
    <row r="3291" spans="1:11">
      <c r="A3291" s="12">
        <v>42052</v>
      </c>
      <c r="B3291">
        <v>2015</v>
      </c>
      <c r="C3291">
        <v>2</v>
      </c>
      <c r="D3291" s="11">
        <v>42036</v>
      </c>
      <c r="E3291" t="s">
        <v>2174</v>
      </c>
      <c r="F3291">
        <v>2</v>
      </c>
      <c r="G3291" t="s">
        <v>63</v>
      </c>
      <c r="H3291" t="s">
        <v>41</v>
      </c>
      <c r="I3291" t="s">
        <v>2189</v>
      </c>
      <c r="J3291" s="10">
        <v>8.693</v>
      </c>
      <c r="K3291" t="b">
        <v>1</v>
      </c>
    </row>
    <row r="3292" spans="1:11">
      <c r="A3292" s="12">
        <v>42052</v>
      </c>
      <c r="B3292">
        <v>2015</v>
      </c>
      <c r="C3292">
        <v>2</v>
      </c>
      <c r="D3292" s="11">
        <v>42036</v>
      </c>
      <c r="E3292" t="s">
        <v>2174</v>
      </c>
      <c r="F3292">
        <v>2</v>
      </c>
      <c r="G3292" t="s">
        <v>63</v>
      </c>
      <c r="H3292" t="s">
        <v>42</v>
      </c>
      <c r="I3292" t="s">
        <v>2190</v>
      </c>
      <c r="J3292" s="10">
        <v>4</v>
      </c>
      <c r="K3292" t="b">
        <v>1</v>
      </c>
    </row>
    <row r="3293" spans="1:11">
      <c r="A3293" s="12">
        <v>42052</v>
      </c>
      <c r="B3293">
        <v>2015</v>
      </c>
      <c r="C3293">
        <v>2</v>
      </c>
      <c r="D3293" s="11">
        <v>42036</v>
      </c>
      <c r="E3293" t="s">
        <v>2174</v>
      </c>
      <c r="F3293">
        <v>2</v>
      </c>
      <c r="G3293" t="s">
        <v>63</v>
      </c>
      <c r="H3293" t="s">
        <v>43</v>
      </c>
      <c r="I3293" t="s">
        <v>2191</v>
      </c>
      <c r="J3293" s="10">
        <v>36.2</v>
      </c>
      <c r="K3293" t="b">
        <v>1</v>
      </c>
    </row>
    <row r="3294" spans="1:11">
      <c r="A3294" s="12">
        <v>42052</v>
      </c>
      <c r="B3294">
        <v>2015</v>
      </c>
      <c r="C3294">
        <v>2</v>
      </c>
      <c r="D3294" s="11">
        <v>42036</v>
      </c>
      <c r="E3294" t="s">
        <v>2174</v>
      </c>
      <c r="F3294">
        <v>2</v>
      </c>
      <c r="G3294" t="s">
        <v>63</v>
      </c>
      <c r="H3294" t="s">
        <v>44</v>
      </c>
      <c r="I3294" t="s">
        <v>2192</v>
      </c>
      <c r="J3294" s="10">
        <v>3</v>
      </c>
      <c r="K3294" t="b">
        <v>1</v>
      </c>
    </row>
    <row r="3295" spans="1:11">
      <c r="A3295" s="12">
        <v>42052</v>
      </c>
      <c r="B3295">
        <v>2015</v>
      </c>
      <c r="C3295">
        <v>2</v>
      </c>
      <c r="D3295" s="11">
        <v>42036</v>
      </c>
      <c r="E3295" t="s">
        <v>2174</v>
      </c>
      <c r="F3295">
        <v>2</v>
      </c>
      <c r="G3295" t="s">
        <v>63</v>
      </c>
      <c r="H3295" t="s">
        <v>45</v>
      </c>
      <c r="I3295" t="s">
        <v>2193</v>
      </c>
      <c r="J3295" s="10">
        <v>0</v>
      </c>
      <c r="K3295" t="b">
        <v>1</v>
      </c>
    </row>
    <row r="3296" spans="1:11">
      <c r="A3296" s="12">
        <v>42052</v>
      </c>
      <c r="B3296">
        <v>2015</v>
      </c>
      <c r="C3296">
        <v>2</v>
      </c>
      <c r="D3296" s="11">
        <v>42036</v>
      </c>
      <c r="E3296" t="s">
        <v>2174</v>
      </c>
      <c r="F3296">
        <v>2</v>
      </c>
      <c r="G3296" t="s">
        <v>63</v>
      </c>
      <c r="H3296" t="s">
        <v>46</v>
      </c>
      <c r="I3296" t="s">
        <v>2194</v>
      </c>
      <c r="J3296" s="10">
        <v>6</v>
      </c>
      <c r="K3296" t="b">
        <v>1</v>
      </c>
    </row>
    <row r="3297" spans="1:11">
      <c r="A3297" s="12">
        <v>42052</v>
      </c>
      <c r="B3297">
        <v>2015</v>
      </c>
      <c r="C3297">
        <v>2</v>
      </c>
      <c r="D3297" s="11">
        <v>42036</v>
      </c>
      <c r="E3297" t="s">
        <v>2174</v>
      </c>
      <c r="F3297">
        <v>2</v>
      </c>
      <c r="G3297" t="s">
        <v>63</v>
      </c>
      <c r="H3297" t="s">
        <v>47</v>
      </c>
      <c r="I3297" t="s">
        <v>2195</v>
      </c>
      <c r="J3297" s="10">
        <v>1</v>
      </c>
      <c r="K3297" t="b">
        <v>1</v>
      </c>
    </row>
    <row r="3298" spans="1:11">
      <c r="A3298" s="12">
        <v>42053</v>
      </c>
      <c r="B3298">
        <v>2015</v>
      </c>
      <c r="C3298">
        <v>2</v>
      </c>
      <c r="D3298" s="11">
        <v>42036</v>
      </c>
      <c r="E3298" t="s">
        <v>2174</v>
      </c>
      <c r="F3298">
        <v>3</v>
      </c>
      <c r="G3298" t="s">
        <v>65</v>
      </c>
      <c r="H3298" t="s">
        <v>40</v>
      </c>
      <c r="I3298" t="s">
        <v>2188</v>
      </c>
      <c r="J3298" s="10">
        <v>1</v>
      </c>
      <c r="K3298" t="b">
        <v>1</v>
      </c>
    </row>
    <row r="3299" spans="1:11">
      <c r="A3299" s="12">
        <v>42053</v>
      </c>
      <c r="B3299">
        <v>2015</v>
      </c>
      <c r="C3299">
        <v>2</v>
      </c>
      <c r="D3299" s="11">
        <v>42036</v>
      </c>
      <c r="E3299" t="s">
        <v>2174</v>
      </c>
      <c r="F3299">
        <v>3</v>
      </c>
      <c r="G3299" t="s">
        <v>65</v>
      </c>
      <c r="H3299" t="s">
        <v>41</v>
      </c>
      <c r="I3299" t="s">
        <v>2189</v>
      </c>
      <c r="J3299" s="10">
        <v>2.66</v>
      </c>
      <c r="K3299" t="b">
        <v>1</v>
      </c>
    </row>
    <row r="3300" spans="1:11">
      <c r="A3300" s="12">
        <v>42053</v>
      </c>
      <c r="B3300">
        <v>2015</v>
      </c>
      <c r="C3300">
        <v>2</v>
      </c>
      <c r="D3300" s="11">
        <v>42036</v>
      </c>
      <c r="E3300" t="s">
        <v>2174</v>
      </c>
      <c r="F3300">
        <v>3</v>
      </c>
      <c r="G3300" t="s">
        <v>65</v>
      </c>
      <c r="H3300" t="s">
        <v>42</v>
      </c>
      <c r="I3300" t="s">
        <v>2190</v>
      </c>
      <c r="J3300" s="10">
        <v>1.33</v>
      </c>
      <c r="K3300" t="b">
        <v>1</v>
      </c>
    </row>
    <row r="3301" spans="1:11">
      <c r="A3301" s="12">
        <v>42053</v>
      </c>
      <c r="B3301">
        <v>2015</v>
      </c>
      <c r="C3301">
        <v>2</v>
      </c>
      <c r="D3301" s="11">
        <v>42036</v>
      </c>
      <c r="E3301" t="s">
        <v>2174</v>
      </c>
      <c r="F3301">
        <v>3</v>
      </c>
      <c r="G3301" t="s">
        <v>65</v>
      </c>
      <c r="H3301" t="s">
        <v>43</v>
      </c>
      <c r="I3301" t="s">
        <v>2191</v>
      </c>
      <c r="J3301" s="10">
        <v>36.212</v>
      </c>
      <c r="K3301" t="b">
        <v>1</v>
      </c>
    </row>
    <row r="3302" spans="1:11">
      <c r="A3302" s="12">
        <v>42053</v>
      </c>
      <c r="B3302">
        <v>2015</v>
      </c>
      <c r="C3302">
        <v>2</v>
      </c>
      <c r="D3302" s="11">
        <v>42036</v>
      </c>
      <c r="E3302" t="s">
        <v>2174</v>
      </c>
      <c r="F3302">
        <v>3</v>
      </c>
      <c r="G3302" t="s">
        <v>65</v>
      </c>
      <c r="H3302" t="s">
        <v>44</v>
      </c>
      <c r="I3302" t="s">
        <v>2192</v>
      </c>
      <c r="J3302" s="10">
        <v>4</v>
      </c>
      <c r="K3302" t="b">
        <v>1</v>
      </c>
    </row>
    <row r="3303" spans="1:11">
      <c r="A3303" s="12">
        <v>42053</v>
      </c>
      <c r="B3303">
        <v>2015</v>
      </c>
      <c r="C3303">
        <v>2</v>
      </c>
      <c r="D3303" s="11">
        <v>42036</v>
      </c>
      <c r="E3303" t="s">
        <v>2174</v>
      </c>
      <c r="F3303">
        <v>3</v>
      </c>
      <c r="G3303" t="s">
        <v>65</v>
      </c>
      <c r="H3303" t="s">
        <v>45</v>
      </c>
      <c r="I3303" t="s">
        <v>2193</v>
      </c>
      <c r="J3303" s="10">
        <v>0</v>
      </c>
      <c r="K3303" t="b">
        <v>1</v>
      </c>
    </row>
    <row r="3304" spans="1:11">
      <c r="A3304" s="12">
        <v>42053</v>
      </c>
      <c r="B3304">
        <v>2015</v>
      </c>
      <c r="C3304">
        <v>2</v>
      </c>
      <c r="D3304" s="11">
        <v>42036</v>
      </c>
      <c r="E3304" t="s">
        <v>2174</v>
      </c>
      <c r="F3304">
        <v>3</v>
      </c>
      <c r="G3304" t="s">
        <v>65</v>
      </c>
      <c r="H3304" t="s">
        <v>46</v>
      </c>
      <c r="I3304" t="s">
        <v>2194</v>
      </c>
      <c r="J3304" s="10">
        <v>11</v>
      </c>
      <c r="K3304" t="b">
        <v>1</v>
      </c>
    </row>
    <row r="3305" spans="1:11">
      <c r="A3305" s="12">
        <v>42053</v>
      </c>
      <c r="B3305">
        <v>2015</v>
      </c>
      <c r="C3305">
        <v>2</v>
      </c>
      <c r="D3305" s="11">
        <v>42036</v>
      </c>
      <c r="E3305" t="s">
        <v>2174</v>
      </c>
      <c r="F3305">
        <v>3</v>
      </c>
      <c r="G3305" t="s">
        <v>65</v>
      </c>
      <c r="H3305" t="s">
        <v>47</v>
      </c>
      <c r="I3305" t="s">
        <v>2195</v>
      </c>
      <c r="J3305" s="10">
        <v>0</v>
      </c>
      <c r="K3305" t="b">
        <v>1</v>
      </c>
    </row>
    <row r="3306" spans="1:11">
      <c r="A3306" s="12">
        <v>42054</v>
      </c>
      <c r="B3306">
        <v>2015</v>
      </c>
      <c r="C3306">
        <v>2</v>
      </c>
      <c r="D3306" s="11">
        <v>42036</v>
      </c>
      <c r="E3306" t="s">
        <v>2174</v>
      </c>
      <c r="F3306">
        <v>4</v>
      </c>
      <c r="G3306" t="s">
        <v>53</v>
      </c>
      <c r="H3306" t="s">
        <v>40</v>
      </c>
      <c r="I3306" t="s">
        <v>2188</v>
      </c>
      <c r="J3306" s="10">
        <v>2</v>
      </c>
      <c r="K3306" t="b">
        <v>1</v>
      </c>
    </row>
    <row r="3307" spans="1:11">
      <c r="A3307" s="12">
        <v>42054</v>
      </c>
      <c r="B3307">
        <v>2015</v>
      </c>
      <c r="C3307">
        <v>2</v>
      </c>
      <c r="D3307" s="11">
        <v>42036</v>
      </c>
      <c r="E3307" t="s">
        <v>2174</v>
      </c>
      <c r="F3307">
        <v>4</v>
      </c>
      <c r="G3307" t="s">
        <v>53</v>
      </c>
      <c r="H3307" t="s">
        <v>41</v>
      </c>
      <c r="I3307" t="s">
        <v>2189</v>
      </c>
      <c r="J3307" s="10">
        <v>3.332</v>
      </c>
      <c r="K3307" t="b">
        <v>1</v>
      </c>
    </row>
    <row r="3308" spans="1:11">
      <c r="A3308" s="12">
        <v>42054</v>
      </c>
      <c r="B3308">
        <v>2015</v>
      </c>
      <c r="C3308">
        <v>2</v>
      </c>
      <c r="D3308" s="11">
        <v>42036</v>
      </c>
      <c r="E3308" t="s">
        <v>2174</v>
      </c>
      <c r="F3308">
        <v>4</v>
      </c>
      <c r="G3308" t="s">
        <v>53</v>
      </c>
      <c r="H3308" t="s">
        <v>42</v>
      </c>
      <c r="I3308" t="s">
        <v>2190</v>
      </c>
      <c r="J3308" s="10">
        <v>4</v>
      </c>
      <c r="K3308" t="b">
        <v>1</v>
      </c>
    </row>
    <row r="3309" spans="1:11">
      <c r="A3309" s="12">
        <v>42054</v>
      </c>
      <c r="B3309">
        <v>2015</v>
      </c>
      <c r="C3309">
        <v>2</v>
      </c>
      <c r="D3309" s="11">
        <v>42036</v>
      </c>
      <c r="E3309" t="s">
        <v>2174</v>
      </c>
      <c r="F3309">
        <v>4</v>
      </c>
      <c r="G3309" t="s">
        <v>53</v>
      </c>
      <c r="H3309" t="s">
        <v>43</v>
      </c>
      <c r="I3309" t="s">
        <v>2191</v>
      </c>
      <c r="J3309" s="10">
        <v>36.7</v>
      </c>
      <c r="K3309" t="b">
        <v>1</v>
      </c>
    </row>
    <row r="3310" spans="1:11">
      <c r="A3310" s="12">
        <v>42054</v>
      </c>
      <c r="B3310">
        <v>2015</v>
      </c>
      <c r="C3310">
        <v>2</v>
      </c>
      <c r="D3310" s="11">
        <v>42036</v>
      </c>
      <c r="E3310" t="s">
        <v>2174</v>
      </c>
      <c r="F3310">
        <v>4</v>
      </c>
      <c r="G3310" t="s">
        <v>53</v>
      </c>
      <c r="H3310" t="s">
        <v>44</v>
      </c>
      <c r="I3310" t="s">
        <v>2192</v>
      </c>
      <c r="J3310" s="10">
        <v>2</v>
      </c>
      <c r="K3310" t="b">
        <v>1</v>
      </c>
    </row>
    <row r="3311" spans="1:11">
      <c r="A3311" s="12">
        <v>42054</v>
      </c>
      <c r="B3311">
        <v>2015</v>
      </c>
      <c r="C3311">
        <v>2</v>
      </c>
      <c r="D3311" s="11">
        <v>42036</v>
      </c>
      <c r="E3311" t="s">
        <v>2174</v>
      </c>
      <c r="F3311">
        <v>4</v>
      </c>
      <c r="G3311" t="s">
        <v>53</v>
      </c>
      <c r="H3311" t="s">
        <v>45</v>
      </c>
      <c r="I3311" t="s">
        <v>2193</v>
      </c>
      <c r="J3311" s="10">
        <v>2</v>
      </c>
      <c r="K3311" t="b">
        <v>1</v>
      </c>
    </row>
    <row r="3312" spans="1:11">
      <c r="A3312" s="12">
        <v>42054</v>
      </c>
      <c r="B3312">
        <v>2015</v>
      </c>
      <c r="C3312">
        <v>2</v>
      </c>
      <c r="D3312" s="11">
        <v>42036</v>
      </c>
      <c r="E3312" t="s">
        <v>2174</v>
      </c>
      <c r="F3312">
        <v>4</v>
      </c>
      <c r="G3312" t="s">
        <v>53</v>
      </c>
      <c r="H3312" t="s">
        <v>46</v>
      </c>
      <c r="I3312" t="s">
        <v>2194</v>
      </c>
      <c r="J3312" s="10">
        <v>6</v>
      </c>
      <c r="K3312" t="b">
        <v>1</v>
      </c>
    </row>
    <row r="3313" spans="1:11">
      <c r="A3313" s="12">
        <v>42054</v>
      </c>
      <c r="B3313">
        <v>2015</v>
      </c>
      <c r="C3313">
        <v>2</v>
      </c>
      <c r="D3313" s="11">
        <v>42036</v>
      </c>
      <c r="E3313" t="s">
        <v>2174</v>
      </c>
      <c r="F3313">
        <v>4</v>
      </c>
      <c r="G3313" t="s">
        <v>53</v>
      </c>
      <c r="H3313" t="s">
        <v>47</v>
      </c>
      <c r="I3313" t="s">
        <v>2195</v>
      </c>
      <c r="J3313" s="10">
        <v>3</v>
      </c>
      <c r="K3313" t="b">
        <v>1</v>
      </c>
    </row>
    <row r="3314" spans="1:11">
      <c r="A3314" s="12">
        <v>42055</v>
      </c>
      <c r="B3314">
        <v>2015</v>
      </c>
      <c r="C3314">
        <v>2</v>
      </c>
      <c r="D3314" s="11">
        <v>42036</v>
      </c>
      <c r="E3314" t="s">
        <v>2174</v>
      </c>
      <c r="F3314">
        <v>5</v>
      </c>
      <c r="G3314" t="s">
        <v>55</v>
      </c>
      <c r="H3314" t="s">
        <v>40</v>
      </c>
      <c r="I3314" t="s">
        <v>2188</v>
      </c>
      <c r="J3314" s="10">
        <v>5.33</v>
      </c>
      <c r="K3314" t="b">
        <v>1</v>
      </c>
    </row>
    <row r="3315" spans="1:11">
      <c r="A3315" s="12">
        <v>42055</v>
      </c>
      <c r="B3315">
        <v>2015</v>
      </c>
      <c r="C3315">
        <v>2</v>
      </c>
      <c r="D3315" s="11">
        <v>42036</v>
      </c>
      <c r="E3315" t="s">
        <v>2174</v>
      </c>
      <c r="F3315">
        <v>5</v>
      </c>
      <c r="G3315" t="s">
        <v>55</v>
      </c>
      <c r="H3315" t="s">
        <v>41</v>
      </c>
      <c r="I3315" t="s">
        <v>2189</v>
      </c>
      <c r="J3315" s="10">
        <v>4.66</v>
      </c>
      <c r="K3315" t="b">
        <v>1</v>
      </c>
    </row>
    <row r="3316" spans="1:11">
      <c r="A3316" s="12">
        <v>42055</v>
      </c>
      <c r="B3316">
        <v>2015</v>
      </c>
      <c r="C3316">
        <v>2</v>
      </c>
      <c r="D3316" s="11">
        <v>42036</v>
      </c>
      <c r="E3316" t="s">
        <v>2174</v>
      </c>
      <c r="F3316">
        <v>5</v>
      </c>
      <c r="G3316" t="s">
        <v>55</v>
      </c>
      <c r="H3316" t="s">
        <v>42</v>
      </c>
      <c r="I3316" t="s">
        <v>2190</v>
      </c>
      <c r="J3316" s="10">
        <v>0.5</v>
      </c>
      <c r="K3316" t="b">
        <v>1</v>
      </c>
    </row>
    <row r="3317" spans="1:11">
      <c r="A3317" s="12">
        <v>42055</v>
      </c>
      <c r="B3317">
        <v>2015</v>
      </c>
      <c r="C3317">
        <v>2</v>
      </c>
      <c r="D3317" s="11">
        <v>42036</v>
      </c>
      <c r="E3317" t="s">
        <v>2174</v>
      </c>
      <c r="F3317">
        <v>5</v>
      </c>
      <c r="G3317" t="s">
        <v>55</v>
      </c>
      <c r="H3317" t="s">
        <v>43</v>
      </c>
      <c r="I3317" t="s">
        <v>2191</v>
      </c>
      <c r="J3317" s="10">
        <v>27</v>
      </c>
      <c r="K3317" t="b">
        <v>1</v>
      </c>
    </row>
    <row r="3318" spans="1:11">
      <c r="A3318" s="12">
        <v>42055</v>
      </c>
      <c r="B3318">
        <v>2015</v>
      </c>
      <c r="C3318">
        <v>2</v>
      </c>
      <c r="D3318" s="11">
        <v>42036</v>
      </c>
      <c r="E3318" t="s">
        <v>2174</v>
      </c>
      <c r="F3318">
        <v>5</v>
      </c>
      <c r="G3318" t="s">
        <v>55</v>
      </c>
      <c r="H3318" t="s">
        <v>44</v>
      </c>
      <c r="I3318" t="s">
        <v>2192</v>
      </c>
      <c r="J3318" s="10">
        <v>5</v>
      </c>
      <c r="K3318" t="b">
        <v>1</v>
      </c>
    </row>
    <row r="3319" spans="1:11">
      <c r="A3319" s="12">
        <v>42055</v>
      </c>
      <c r="B3319">
        <v>2015</v>
      </c>
      <c r="C3319">
        <v>2</v>
      </c>
      <c r="D3319" s="11">
        <v>42036</v>
      </c>
      <c r="E3319" t="s">
        <v>2174</v>
      </c>
      <c r="F3319">
        <v>5</v>
      </c>
      <c r="G3319" t="s">
        <v>55</v>
      </c>
      <c r="H3319" t="s">
        <v>45</v>
      </c>
      <c r="I3319" t="s">
        <v>2193</v>
      </c>
      <c r="J3319" s="10">
        <v>0</v>
      </c>
      <c r="K3319" t="b">
        <v>1</v>
      </c>
    </row>
    <row r="3320" spans="1:11">
      <c r="A3320" s="12">
        <v>42055</v>
      </c>
      <c r="B3320">
        <v>2015</v>
      </c>
      <c r="C3320">
        <v>2</v>
      </c>
      <c r="D3320" s="11">
        <v>42036</v>
      </c>
      <c r="E3320" t="s">
        <v>2174</v>
      </c>
      <c r="F3320">
        <v>5</v>
      </c>
      <c r="G3320" t="s">
        <v>55</v>
      </c>
      <c r="H3320" t="s">
        <v>46</v>
      </c>
      <c r="I3320" t="s">
        <v>2194</v>
      </c>
      <c r="J3320" s="10">
        <v>25</v>
      </c>
      <c r="K3320" t="b">
        <v>1</v>
      </c>
    </row>
    <row r="3321" spans="1:11">
      <c r="A3321" s="12">
        <v>42055</v>
      </c>
      <c r="B3321">
        <v>2015</v>
      </c>
      <c r="C3321">
        <v>2</v>
      </c>
      <c r="D3321" s="11">
        <v>42036</v>
      </c>
      <c r="E3321" t="s">
        <v>2174</v>
      </c>
      <c r="F3321">
        <v>5</v>
      </c>
      <c r="G3321" t="s">
        <v>55</v>
      </c>
      <c r="H3321" t="s">
        <v>47</v>
      </c>
      <c r="I3321" t="s">
        <v>2195</v>
      </c>
      <c r="J3321" s="10">
        <v>6</v>
      </c>
      <c r="K3321" t="b">
        <v>1</v>
      </c>
    </row>
    <row r="3322" spans="1:11">
      <c r="A3322" s="12">
        <v>42056</v>
      </c>
      <c r="B3322">
        <v>2015</v>
      </c>
      <c r="C3322">
        <v>2</v>
      </c>
      <c r="D3322" s="11">
        <v>42036</v>
      </c>
      <c r="E3322" t="s">
        <v>2174</v>
      </c>
      <c r="F3322">
        <v>6</v>
      </c>
      <c r="G3322" t="s">
        <v>57</v>
      </c>
      <c r="H3322" t="s">
        <v>40</v>
      </c>
      <c r="I3322" t="s">
        <v>2188</v>
      </c>
      <c r="J3322" s="10">
        <v>3</v>
      </c>
      <c r="K3322" t="b">
        <v>1</v>
      </c>
    </row>
    <row r="3323" spans="1:11">
      <c r="A3323" s="12">
        <v>42056</v>
      </c>
      <c r="B3323">
        <v>2015</v>
      </c>
      <c r="C3323">
        <v>2</v>
      </c>
      <c r="D3323" s="11">
        <v>42036</v>
      </c>
      <c r="E3323" t="s">
        <v>2174</v>
      </c>
      <c r="F3323">
        <v>6</v>
      </c>
      <c r="G3323" t="s">
        <v>57</v>
      </c>
      <c r="H3323" t="s">
        <v>41</v>
      </c>
      <c r="I3323" t="s">
        <v>2189</v>
      </c>
      <c r="J3323" s="10">
        <v>5.347</v>
      </c>
      <c r="K3323" t="b">
        <v>1</v>
      </c>
    </row>
    <row r="3324" spans="1:11">
      <c r="A3324" s="12">
        <v>42056</v>
      </c>
      <c r="B3324">
        <v>2015</v>
      </c>
      <c r="C3324">
        <v>2</v>
      </c>
      <c r="D3324" s="11">
        <v>42036</v>
      </c>
      <c r="E3324" t="s">
        <v>2174</v>
      </c>
      <c r="F3324">
        <v>6</v>
      </c>
      <c r="G3324" t="s">
        <v>57</v>
      </c>
      <c r="H3324" t="s">
        <v>42</v>
      </c>
      <c r="I3324" t="s">
        <v>2190</v>
      </c>
      <c r="J3324" s="10">
        <v>4.8</v>
      </c>
      <c r="K3324" t="b">
        <v>1</v>
      </c>
    </row>
    <row r="3325" spans="1:11">
      <c r="A3325" s="12">
        <v>42056</v>
      </c>
      <c r="B3325">
        <v>2015</v>
      </c>
      <c r="C3325">
        <v>2</v>
      </c>
      <c r="D3325" s="11">
        <v>42036</v>
      </c>
      <c r="E3325" t="s">
        <v>2174</v>
      </c>
      <c r="F3325">
        <v>6</v>
      </c>
      <c r="G3325" t="s">
        <v>57</v>
      </c>
      <c r="H3325" t="s">
        <v>43</v>
      </c>
      <c r="I3325" t="s">
        <v>2191</v>
      </c>
      <c r="J3325" s="10">
        <v>57</v>
      </c>
      <c r="K3325" t="b">
        <v>1</v>
      </c>
    </row>
    <row r="3326" spans="1:11">
      <c r="A3326" s="12">
        <v>42056</v>
      </c>
      <c r="B3326">
        <v>2015</v>
      </c>
      <c r="C3326">
        <v>2</v>
      </c>
      <c r="D3326" s="11">
        <v>42036</v>
      </c>
      <c r="E3326" t="s">
        <v>2174</v>
      </c>
      <c r="F3326">
        <v>6</v>
      </c>
      <c r="G3326" t="s">
        <v>57</v>
      </c>
      <c r="H3326" t="s">
        <v>44</v>
      </c>
      <c r="I3326" t="s">
        <v>2192</v>
      </c>
      <c r="J3326" s="10">
        <v>9</v>
      </c>
      <c r="K3326" t="b">
        <v>1</v>
      </c>
    </row>
    <row r="3327" spans="1:11">
      <c r="A3327" s="12">
        <v>42056</v>
      </c>
      <c r="B3327">
        <v>2015</v>
      </c>
      <c r="C3327">
        <v>2</v>
      </c>
      <c r="D3327" s="11">
        <v>42036</v>
      </c>
      <c r="E3327" t="s">
        <v>2174</v>
      </c>
      <c r="F3327">
        <v>6</v>
      </c>
      <c r="G3327" t="s">
        <v>57</v>
      </c>
      <c r="H3327" t="s">
        <v>45</v>
      </c>
      <c r="I3327" t="s">
        <v>2193</v>
      </c>
      <c r="J3327" s="10">
        <v>0</v>
      </c>
      <c r="K3327" t="b">
        <v>1</v>
      </c>
    </row>
    <row r="3328" spans="1:11">
      <c r="A3328" s="12">
        <v>42056</v>
      </c>
      <c r="B3328">
        <v>2015</v>
      </c>
      <c r="C3328">
        <v>2</v>
      </c>
      <c r="D3328" s="11">
        <v>42036</v>
      </c>
      <c r="E3328" t="s">
        <v>2174</v>
      </c>
      <c r="F3328">
        <v>6</v>
      </c>
      <c r="G3328" t="s">
        <v>57</v>
      </c>
      <c r="H3328" t="s">
        <v>46</v>
      </c>
      <c r="I3328" t="s">
        <v>2194</v>
      </c>
      <c r="J3328" s="10">
        <v>0</v>
      </c>
      <c r="K3328" t="b">
        <v>1</v>
      </c>
    </row>
    <row r="3329" spans="1:11">
      <c r="A3329" s="12">
        <v>42056</v>
      </c>
      <c r="B3329">
        <v>2015</v>
      </c>
      <c r="C3329">
        <v>2</v>
      </c>
      <c r="D3329" s="11">
        <v>42036</v>
      </c>
      <c r="E3329" t="s">
        <v>2174</v>
      </c>
      <c r="F3329">
        <v>6</v>
      </c>
      <c r="G3329" t="s">
        <v>57</v>
      </c>
      <c r="H3329" t="s">
        <v>47</v>
      </c>
      <c r="I3329" t="s">
        <v>2195</v>
      </c>
      <c r="J3329" s="10">
        <v>3</v>
      </c>
      <c r="K3329" t="b">
        <v>1</v>
      </c>
    </row>
    <row r="3330" spans="1:11">
      <c r="A3330" s="12">
        <v>42057</v>
      </c>
      <c r="B3330">
        <v>2015</v>
      </c>
      <c r="C3330">
        <v>2</v>
      </c>
      <c r="D3330" s="11">
        <v>42036</v>
      </c>
      <c r="E3330" t="s">
        <v>2174</v>
      </c>
      <c r="F3330">
        <v>7</v>
      </c>
      <c r="G3330" t="s">
        <v>59</v>
      </c>
      <c r="H3330" t="s">
        <v>40</v>
      </c>
      <c r="I3330" t="s">
        <v>2188</v>
      </c>
      <c r="J3330" s="10">
        <v>2</v>
      </c>
      <c r="K3330" t="b">
        <v>1</v>
      </c>
    </row>
    <row r="3331" spans="1:11">
      <c r="A3331" s="12">
        <v>42057</v>
      </c>
      <c r="B3331">
        <v>2015</v>
      </c>
      <c r="C3331">
        <v>2</v>
      </c>
      <c r="D3331" s="11">
        <v>42036</v>
      </c>
      <c r="E3331" t="s">
        <v>2174</v>
      </c>
      <c r="F3331">
        <v>7</v>
      </c>
      <c r="G3331" t="s">
        <v>59</v>
      </c>
      <c r="H3331" t="s">
        <v>41</v>
      </c>
      <c r="I3331" t="s">
        <v>2189</v>
      </c>
      <c r="J3331" s="10">
        <v>4.34</v>
      </c>
      <c r="K3331" t="b">
        <v>1</v>
      </c>
    </row>
    <row r="3332" spans="1:11">
      <c r="A3332" s="12">
        <v>42057</v>
      </c>
      <c r="B3332">
        <v>2015</v>
      </c>
      <c r="C3332">
        <v>2</v>
      </c>
      <c r="D3332" s="11">
        <v>42036</v>
      </c>
      <c r="E3332" t="s">
        <v>2174</v>
      </c>
      <c r="F3332">
        <v>7</v>
      </c>
      <c r="G3332" t="s">
        <v>59</v>
      </c>
      <c r="H3332" t="s">
        <v>42</v>
      </c>
      <c r="I3332" t="s">
        <v>2190</v>
      </c>
      <c r="J3332" s="10">
        <v>2</v>
      </c>
      <c r="K3332" t="b">
        <v>1</v>
      </c>
    </row>
    <row r="3333" spans="1:11">
      <c r="A3333" s="12">
        <v>42057</v>
      </c>
      <c r="B3333">
        <v>2015</v>
      </c>
      <c r="C3333">
        <v>2</v>
      </c>
      <c r="D3333" s="11">
        <v>42036</v>
      </c>
      <c r="E3333" t="s">
        <v>2174</v>
      </c>
      <c r="F3333">
        <v>7</v>
      </c>
      <c r="G3333" t="s">
        <v>59</v>
      </c>
      <c r="H3333" t="s">
        <v>43</v>
      </c>
      <c r="I3333" t="s">
        <v>2191</v>
      </c>
      <c r="J3333" s="10">
        <v>50.6</v>
      </c>
      <c r="K3333" t="b">
        <v>1</v>
      </c>
    </row>
    <row r="3334" spans="1:11">
      <c r="A3334" s="12">
        <v>42057</v>
      </c>
      <c r="B3334">
        <v>2015</v>
      </c>
      <c r="C3334">
        <v>2</v>
      </c>
      <c r="D3334" s="11">
        <v>42036</v>
      </c>
      <c r="E3334" t="s">
        <v>2174</v>
      </c>
      <c r="F3334">
        <v>7</v>
      </c>
      <c r="G3334" t="s">
        <v>59</v>
      </c>
      <c r="H3334" t="s">
        <v>44</v>
      </c>
      <c r="I3334" t="s">
        <v>2192</v>
      </c>
      <c r="J3334" s="10">
        <v>7</v>
      </c>
      <c r="K3334" t="b">
        <v>1</v>
      </c>
    </row>
    <row r="3335" spans="1:11">
      <c r="A3335" s="12">
        <v>42057</v>
      </c>
      <c r="B3335">
        <v>2015</v>
      </c>
      <c r="C3335">
        <v>2</v>
      </c>
      <c r="D3335" s="11">
        <v>42036</v>
      </c>
      <c r="E3335" t="s">
        <v>2174</v>
      </c>
      <c r="F3335">
        <v>7</v>
      </c>
      <c r="G3335" t="s">
        <v>59</v>
      </c>
      <c r="H3335" t="s">
        <v>45</v>
      </c>
      <c r="I3335" t="s">
        <v>2193</v>
      </c>
      <c r="J3335" s="10">
        <v>0</v>
      </c>
      <c r="K3335" t="b">
        <v>1</v>
      </c>
    </row>
    <row r="3336" spans="1:11">
      <c r="A3336" s="12">
        <v>42057</v>
      </c>
      <c r="B3336">
        <v>2015</v>
      </c>
      <c r="C3336">
        <v>2</v>
      </c>
      <c r="D3336" s="11">
        <v>42036</v>
      </c>
      <c r="E3336" t="s">
        <v>2174</v>
      </c>
      <c r="F3336">
        <v>7</v>
      </c>
      <c r="G3336" t="s">
        <v>59</v>
      </c>
      <c r="H3336" t="s">
        <v>46</v>
      </c>
      <c r="I3336" t="s">
        <v>2194</v>
      </c>
      <c r="J3336" s="10">
        <v>11</v>
      </c>
      <c r="K3336" t="b">
        <v>1</v>
      </c>
    </row>
    <row r="3337" spans="1:11">
      <c r="A3337" s="12">
        <v>42057</v>
      </c>
      <c r="B3337">
        <v>2015</v>
      </c>
      <c r="C3337">
        <v>2</v>
      </c>
      <c r="D3337" s="11">
        <v>42036</v>
      </c>
      <c r="E3337" t="s">
        <v>2174</v>
      </c>
      <c r="F3337">
        <v>7</v>
      </c>
      <c r="G3337" t="s">
        <v>59</v>
      </c>
      <c r="H3337" t="s">
        <v>47</v>
      </c>
      <c r="I3337" t="s">
        <v>2195</v>
      </c>
      <c r="J3337" s="10">
        <v>1</v>
      </c>
      <c r="K3337" t="b">
        <v>1</v>
      </c>
    </row>
    <row r="3338" spans="1:11">
      <c r="A3338" s="12">
        <v>42058</v>
      </c>
      <c r="B3338">
        <v>2015</v>
      </c>
      <c r="C3338">
        <v>2</v>
      </c>
      <c r="D3338" s="11">
        <v>42036</v>
      </c>
      <c r="E3338" t="s">
        <v>2174</v>
      </c>
      <c r="F3338">
        <v>1</v>
      </c>
      <c r="G3338" t="s">
        <v>61</v>
      </c>
      <c r="H3338" t="s">
        <v>40</v>
      </c>
      <c r="I3338" t="s">
        <v>2188</v>
      </c>
      <c r="J3338" s="10">
        <v>5</v>
      </c>
      <c r="K3338" t="b">
        <v>1</v>
      </c>
    </row>
    <row r="3339" spans="1:11">
      <c r="A3339" s="12">
        <v>42058</v>
      </c>
      <c r="B3339">
        <v>2015</v>
      </c>
      <c r="C3339">
        <v>2</v>
      </c>
      <c r="D3339" s="11">
        <v>42036</v>
      </c>
      <c r="E3339" t="s">
        <v>2174</v>
      </c>
      <c r="F3339">
        <v>1</v>
      </c>
      <c r="G3339" t="s">
        <v>61</v>
      </c>
      <c r="H3339" t="s">
        <v>41</v>
      </c>
      <c r="I3339" t="s">
        <v>2189</v>
      </c>
      <c r="J3339" s="10">
        <v>3.16</v>
      </c>
      <c r="K3339" t="b">
        <v>1</v>
      </c>
    </row>
    <row r="3340" spans="1:11">
      <c r="A3340" s="12">
        <v>42058</v>
      </c>
      <c r="B3340">
        <v>2015</v>
      </c>
      <c r="C3340">
        <v>2</v>
      </c>
      <c r="D3340" s="11">
        <v>42036</v>
      </c>
      <c r="E3340" t="s">
        <v>2174</v>
      </c>
      <c r="F3340">
        <v>1</v>
      </c>
      <c r="G3340" t="s">
        <v>61</v>
      </c>
      <c r="H3340" t="s">
        <v>42</v>
      </c>
      <c r="I3340" t="s">
        <v>2190</v>
      </c>
      <c r="J3340" s="10">
        <v>7.5</v>
      </c>
      <c r="K3340" t="b">
        <v>1</v>
      </c>
    </row>
    <row r="3341" spans="1:11">
      <c r="A3341" s="12">
        <v>42058</v>
      </c>
      <c r="B3341">
        <v>2015</v>
      </c>
      <c r="C3341">
        <v>2</v>
      </c>
      <c r="D3341" s="11">
        <v>42036</v>
      </c>
      <c r="E3341" t="s">
        <v>2174</v>
      </c>
      <c r="F3341">
        <v>1</v>
      </c>
      <c r="G3341" t="s">
        <v>61</v>
      </c>
      <c r="H3341" t="s">
        <v>43</v>
      </c>
      <c r="I3341" t="s">
        <v>2191</v>
      </c>
      <c r="J3341" s="10">
        <v>55.4</v>
      </c>
      <c r="K3341" t="b">
        <v>1</v>
      </c>
    </row>
    <row r="3342" spans="1:11">
      <c r="A3342" s="12">
        <v>42058</v>
      </c>
      <c r="B3342">
        <v>2015</v>
      </c>
      <c r="C3342">
        <v>2</v>
      </c>
      <c r="D3342" s="11">
        <v>42036</v>
      </c>
      <c r="E3342" t="s">
        <v>2174</v>
      </c>
      <c r="F3342">
        <v>1</v>
      </c>
      <c r="G3342" t="s">
        <v>61</v>
      </c>
      <c r="H3342" t="s">
        <v>44</v>
      </c>
      <c r="I3342" t="s">
        <v>2192</v>
      </c>
      <c r="J3342" s="10">
        <v>9</v>
      </c>
      <c r="K3342" t="b">
        <v>1</v>
      </c>
    </row>
    <row r="3343" spans="1:11">
      <c r="A3343" s="12">
        <v>42058</v>
      </c>
      <c r="B3343">
        <v>2015</v>
      </c>
      <c r="C3343">
        <v>2</v>
      </c>
      <c r="D3343" s="11">
        <v>42036</v>
      </c>
      <c r="E3343" t="s">
        <v>2174</v>
      </c>
      <c r="F3343">
        <v>1</v>
      </c>
      <c r="G3343" t="s">
        <v>61</v>
      </c>
      <c r="H3343" t="s">
        <v>45</v>
      </c>
      <c r="I3343" t="s">
        <v>2193</v>
      </c>
      <c r="J3343" s="10">
        <v>0</v>
      </c>
      <c r="K3343" t="b">
        <v>1</v>
      </c>
    </row>
    <row r="3344" spans="1:11">
      <c r="A3344" s="12">
        <v>42058</v>
      </c>
      <c r="B3344">
        <v>2015</v>
      </c>
      <c r="C3344">
        <v>2</v>
      </c>
      <c r="D3344" s="11">
        <v>42036</v>
      </c>
      <c r="E3344" t="s">
        <v>2174</v>
      </c>
      <c r="F3344">
        <v>1</v>
      </c>
      <c r="G3344" t="s">
        <v>61</v>
      </c>
      <c r="H3344" t="s">
        <v>46</v>
      </c>
      <c r="I3344" t="s">
        <v>2194</v>
      </c>
      <c r="J3344" s="10">
        <v>20</v>
      </c>
      <c r="K3344" t="b">
        <v>1</v>
      </c>
    </row>
    <row r="3345" spans="1:11">
      <c r="A3345" s="12">
        <v>42058</v>
      </c>
      <c r="B3345">
        <v>2015</v>
      </c>
      <c r="C3345">
        <v>2</v>
      </c>
      <c r="D3345" s="11">
        <v>42036</v>
      </c>
      <c r="E3345" t="s">
        <v>2174</v>
      </c>
      <c r="F3345">
        <v>1</v>
      </c>
      <c r="G3345" t="s">
        <v>61</v>
      </c>
      <c r="H3345" t="s">
        <v>47</v>
      </c>
      <c r="I3345" t="s">
        <v>2195</v>
      </c>
      <c r="J3345" s="10">
        <v>0</v>
      </c>
      <c r="K3345" t="b">
        <v>1</v>
      </c>
    </row>
    <row r="3346" spans="1:11">
      <c r="A3346" s="12">
        <v>42059</v>
      </c>
      <c r="B3346">
        <v>2015</v>
      </c>
      <c r="C3346">
        <v>2</v>
      </c>
      <c r="D3346" s="11">
        <v>42036</v>
      </c>
      <c r="E3346" t="s">
        <v>2174</v>
      </c>
      <c r="F3346">
        <v>2</v>
      </c>
      <c r="G3346" t="s">
        <v>63</v>
      </c>
      <c r="H3346" t="s">
        <v>40</v>
      </c>
      <c r="I3346" t="s">
        <v>2188</v>
      </c>
      <c r="J3346" s="10">
        <v>3.68</v>
      </c>
      <c r="K3346" t="b">
        <v>1</v>
      </c>
    </row>
    <row r="3347" spans="1:11">
      <c r="A3347" s="12">
        <v>42059</v>
      </c>
      <c r="B3347">
        <v>2015</v>
      </c>
      <c r="C3347">
        <v>2</v>
      </c>
      <c r="D3347" s="11">
        <v>42036</v>
      </c>
      <c r="E3347" t="s">
        <v>2174</v>
      </c>
      <c r="F3347">
        <v>2</v>
      </c>
      <c r="G3347" t="s">
        <v>63</v>
      </c>
      <c r="H3347" t="s">
        <v>41</v>
      </c>
      <c r="I3347" t="s">
        <v>2189</v>
      </c>
      <c r="J3347" s="10">
        <v>3.34</v>
      </c>
      <c r="K3347" t="b">
        <v>1</v>
      </c>
    </row>
    <row r="3348" spans="1:11">
      <c r="A3348" s="12">
        <v>42059</v>
      </c>
      <c r="B3348">
        <v>2015</v>
      </c>
      <c r="C3348">
        <v>2</v>
      </c>
      <c r="D3348" s="11">
        <v>42036</v>
      </c>
      <c r="E3348" t="s">
        <v>2174</v>
      </c>
      <c r="F3348">
        <v>2</v>
      </c>
      <c r="G3348" t="s">
        <v>63</v>
      </c>
      <c r="H3348" t="s">
        <v>42</v>
      </c>
      <c r="I3348" t="s">
        <v>2190</v>
      </c>
      <c r="J3348" s="10">
        <v>6.2</v>
      </c>
      <c r="K3348" t="b">
        <v>1</v>
      </c>
    </row>
    <row r="3349" spans="1:11">
      <c r="A3349" s="12">
        <v>42059</v>
      </c>
      <c r="B3349">
        <v>2015</v>
      </c>
      <c r="C3349">
        <v>2</v>
      </c>
      <c r="D3349" s="11">
        <v>42036</v>
      </c>
      <c r="E3349" t="s">
        <v>2174</v>
      </c>
      <c r="F3349">
        <v>2</v>
      </c>
      <c r="G3349" t="s">
        <v>63</v>
      </c>
      <c r="H3349" t="s">
        <v>43</v>
      </c>
      <c r="I3349" t="s">
        <v>2191</v>
      </c>
      <c r="J3349" s="10">
        <v>22.07</v>
      </c>
      <c r="K3349" t="b">
        <v>1</v>
      </c>
    </row>
    <row r="3350" spans="1:11">
      <c r="A3350" s="12">
        <v>42059</v>
      </c>
      <c r="B3350">
        <v>2015</v>
      </c>
      <c r="C3350">
        <v>2</v>
      </c>
      <c r="D3350" s="11">
        <v>42036</v>
      </c>
      <c r="E3350" t="s">
        <v>2174</v>
      </c>
      <c r="F3350">
        <v>2</v>
      </c>
      <c r="G3350" t="s">
        <v>63</v>
      </c>
      <c r="H3350" t="s">
        <v>44</v>
      </c>
      <c r="I3350" t="s">
        <v>2192</v>
      </c>
      <c r="J3350" s="10">
        <v>11</v>
      </c>
      <c r="K3350" t="b">
        <v>1</v>
      </c>
    </row>
    <row r="3351" spans="1:11">
      <c r="A3351" s="12">
        <v>42059</v>
      </c>
      <c r="B3351">
        <v>2015</v>
      </c>
      <c r="C3351">
        <v>2</v>
      </c>
      <c r="D3351" s="11">
        <v>42036</v>
      </c>
      <c r="E3351" t="s">
        <v>2174</v>
      </c>
      <c r="F3351">
        <v>2</v>
      </c>
      <c r="G3351" t="s">
        <v>63</v>
      </c>
      <c r="H3351" t="s">
        <v>45</v>
      </c>
      <c r="I3351" t="s">
        <v>2193</v>
      </c>
      <c r="J3351" s="10">
        <v>0</v>
      </c>
      <c r="K3351" t="b">
        <v>1</v>
      </c>
    </row>
    <row r="3352" spans="1:11">
      <c r="A3352" s="12">
        <v>42059</v>
      </c>
      <c r="B3352">
        <v>2015</v>
      </c>
      <c r="C3352">
        <v>2</v>
      </c>
      <c r="D3352" s="11">
        <v>42036</v>
      </c>
      <c r="E3352" t="s">
        <v>2174</v>
      </c>
      <c r="F3352">
        <v>2</v>
      </c>
      <c r="G3352" t="s">
        <v>63</v>
      </c>
      <c r="H3352" t="s">
        <v>46</v>
      </c>
      <c r="I3352" t="s">
        <v>2194</v>
      </c>
      <c r="J3352" s="10">
        <v>11</v>
      </c>
      <c r="K3352" t="b">
        <v>1</v>
      </c>
    </row>
    <row r="3353" spans="1:11">
      <c r="A3353" s="12">
        <v>42059</v>
      </c>
      <c r="B3353">
        <v>2015</v>
      </c>
      <c r="C3353">
        <v>2</v>
      </c>
      <c r="D3353" s="11">
        <v>42036</v>
      </c>
      <c r="E3353" t="s">
        <v>2174</v>
      </c>
      <c r="F3353">
        <v>2</v>
      </c>
      <c r="G3353" t="s">
        <v>63</v>
      </c>
      <c r="H3353" t="s">
        <v>47</v>
      </c>
      <c r="I3353" t="s">
        <v>2195</v>
      </c>
      <c r="J3353" s="10">
        <v>2</v>
      </c>
      <c r="K3353" t="b">
        <v>1</v>
      </c>
    </row>
    <row r="3354" spans="1:11">
      <c r="A3354" s="12">
        <v>42060</v>
      </c>
      <c r="B3354">
        <v>2015</v>
      </c>
      <c r="C3354">
        <v>2</v>
      </c>
      <c r="D3354" s="11">
        <v>42036</v>
      </c>
      <c r="E3354" t="s">
        <v>2174</v>
      </c>
      <c r="F3354">
        <v>3</v>
      </c>
      <c r="G3354" t="s">
        <v>65</v>
      </c>
      <c r="H3354" t="s">
        <v>40</v>
      </c>
      <c r="I3354" t="s">
        <v>2188</v>
      </c>
      <c r="J3354" s="10">
        <v>7</v>
      </c>
      <c r="K3354" t="b">
        <v>1</v>
      </c>
    </row>
    <row r="3355" spans="1:11">
      <c r="A3355" s="12">
        <v>42060</v>
      </c>
      <c r="B3355">
        <v>2015</v>
      </c>
      <c r="C3355">
        <v>2</v>
      </c>
      <c r="D3355" s="11">
        <v>42036</v>
      </c>
      <c r="E3355" t="s">
        <v>2174</v>
      </c>
      <c r="F3355">
        <v>3</v>
      </c>
      <c r="G3355" t="s">
        <v>65</v>
      </c>
      <c r="H3355" t="s">
        <v>41</v>
      </c>
      <c r="I3355" t="s">
        <v>2189</v>
      </c>
      <c r="J3355" s="10">
        <v>6.33</v>
      </c>
      <c r="K3355" t="b">
        <v>1</v>
      </c>
    </row>
    <row r="3356" spans="1:11">
      <c r="A3356" s="12">
        <v>42060</v>
      </c>
      <c r="B3356">
        <v>2015</v>
      </c>
      <c r="C3356">
        <v>2</v>
      </c>
      <c r="D3356" s="11">
        <v>42036</v>
      </c>
      <c r="E3356" t="s">
        <v>2174</v>
      </c>
      <c r="F3356">
        <v>3</v>
      </c>
      <c r="G3356" t="s">
        <v>65</v>
      </c>
      <c r="H3356" t="s">
        <v>42</v>
      </c>
      <c r="I3356" t="s">
        <v>2190</v>
      </c>
      <c r="J3356" s="10">
        <v>6.1</v>
      </c>
      <c r="K3356" t="b">
        <v>1</v>
      </c>
    </row>
    <row r="3357" spans="1:11">
      <c r="A3357" s="12">
        <v>42060</v>
      </c>
      <c r="B3357">
        <v>2015</v>
      </c>
      <c r="C3357">
        <v>2</v>
      </c>
      <c r="D3357" s="11">
        <v>42036</v>
      </c>
      <c r="E3357" t="s">
        <v>2174</v>
      </c>
      <c r="F3357">
        <v>3</v>
      </c>
      <c r="G3357" t="s">
        <v>65</v>
      </c>
      <c r="H3357" t="s">
        <v>43</v>
      </c>
      <c r="I3357" t="s">
        <v>2191</v>
      </c>
      <c r="J3357" s="10">
        <v>24</v>
      </c>
      <c r="K3357" t="b">
        <v>1</v>
      </c>
    </row>
    <row r="3358" spans="1:11">
      <c r="A3358" s="12">
        <v>42060</v>
      </c>
      <c r="B3358">
        <v>2015</v>
      </c>
      <c r="C3358">
        <v>2</v>
      </c>
      <c r="D3358" s="11">
        <v>42036</v>
      </c>
      <c r="E3358" t="s">
        <v>2174</v>
      </c>
      <c r="F3358">
        <v>3</v>
      </c>
      <c r="G3358" t="s">
        <v>65</v>
      </c>
      <c r="H3358" t="s">
        <v>44</v>
      </c>
      <c r="I3358" t="s">
        <v>2192</v>
      </c>
      <c r="J3358" s="10">
        <v>8</v>
      </c>
      <c r="K3358" t="b">
        <v>1</v>
      </c>
    </row>
    <row r="3359" spans="1:11">
      <c r="A3359" s="12">
        <v>42060</v>
      </c>
      <c r="B3359">
        <v>2015</v>
      </c>
      <c r="C3359">
        <v>2</v>
      </c>
      <c r="D3359" s="11">
        <v>42036</v>
      </c>
      <c r="E3359" t="s">
        <v>2174</v>
      </c>
      <c r="F3359">
        <v>3</v>
      </c>
      <c r="G3359" t="s">
        <v>65</v>
      </c>
      <c r="H3359" t="s">
        <v>45</v>
      </c>
      <c r="I3359" t="s">
        <v>2193</v>
      </c>
      <c r="J3359" s="10">
        <v>0</v>
      </c>
      <c r="K3359" t="b">
        <v>1</v>
      </c>
    </row>
    <row r="3360" spans="1:11">
      <c r="A3360" s="12">
        <v>42060</v>
      </c>
      <c r="B3360">
        <v>2015</v>
      </c>
      <c r="C3360">
        <v>2</v>
      </c>
      <c r="D3360" s="11">
        <v>42036</v>
      </c>
      <c r="E3360" t="s">
        <v>2174</v>
      </c>
      <c r="F3360">
        <v>3</v>
      </c>
      <c r="G3360" t="s">
        <v>65</v>
      </c>
      <c r="H3360" t="s">
        <v>46</v>
      </c>
      <c r="I3360" t="s">
        <v>2194</v>
      </c>
      <c r="J3360" s="10">
        <v>2</v>
      </c>
      <c r="K3360" t="b">
        <v>1</v>
      </c>
    </row>
    <row r="3361" spans="1:11">
      <c r="A3361" s="12">
        <v>42060</v>
      </c>
      <c r="B3361">
        <v>2015</v>
      </c>
      <c r="C3361">
        <v>2</v>
      </c>
      <c r="D3361" s="11">
        <v>42036</v>
      </c>
      <c r="E3361" t="s">
        <v>2174</v>
      </c>
      <c r="F3361">
        <v>3</v>
      </c>
      <c r="G3361" t="s">
        <v>65</v>
      </c>
      <c r="H3361" t="s">
        <v>47</v>
      </c>
      <c r="I3361" t="s">
        <v>2195</v>
      </c>
      <c r="J3361" s="10">
        <v>2</v>
      </c>
      <c r="K3361" t="b">
        <v>1</v>
      </c>
    </row>
    <row r="3362" spans="1:11">
      <c r="A3362" s="12">
        <v>42061</v>
      </c>
      <c r="B3362">
        <v>2015</v>
      </c>
      <c r="C3362">
        <v>2</v>
      </c>
      <c r="D3362" s="11">
        <v>42036</v>
      </c>
      <c r="E3362" t="s">
        <v>2174</v>
      </c>
      <c r="F3362">
        <v>4</v>
      </c>
      <c r="G3362" t="s">
        <v>53</v>
      </c>
      <c r="H3362" t="s">
        <v>40</v>
      </c>
      <c r="I3362" t="s">
        <v>2188</v>
      </c>
      <c r="J3362" s="10">
        <v>6</v>
      </c>
      <c r="K3362" t="b">
        <v>1</v>
      </c>
    </row>
    <row r="3363" spans="1:11">
      <c r="A3363" s="12">
        <v>42061</v>
      </c>
      <c r="B3363">
        <v>2015</v>
      </c>
      <c r="C3363">
        <v>2</v>
      </c>
      <c r="D3363" s="11">
        <v>42036</v>
      </c>
      <c r="E3363" t="s">
        <v>2174</v>
      </c>
      <c r="F3363">
        <v>4</v>
      </c>
      <c r="G3363" t="s">
        <v>53</v>
      </c>
      <c r="H3363" t="s">
        <v>41</v>
      </c>
      <c r="I3363" t="s">
        <v>2189</v>
      </c>
      <c r="J3363" s="10">
        <v>2</v>
      </c>
      <c r="K3363" t="b">
        <v>1</v>
      </c>
    </row>
    <row r="3364" spans="1:11">
      <c r="A3364" s="12">
        <v>42061</v>
      </c>
      <c r="B3364">
        <v>2015</v>
      </c>
      <c r="C3364">
        <v>2</v>
      </c>
      <c r="D3364" s="11">
        <v>42036</v>
      </c>
      <c r="E3364" t="s">
        <v>2174</v>
      </c>
      <c r="F3364">
        <v>4</v>
      </c>
      <c r="G3364" t="s">
        <v>53</v>
      </c>
      <c r="H3364" t="s">
        <v>42</v>
      </c>
      <c r="I3364" t="s">
        <v>2190</v>
      </c>
      <c r="J3364" s="10">
        <v>2</v>
      </c>
      <c r="K3364" t="b">
        <v>1</v>
      </c>
    </row>
    <row r="3365" spans="1:11">
      <c r="A3365" s="12">
        <v>42061</v>
      </c>
      <c r="B3365">
        <v>2015</v>
      </c>
      <c r="C3365">
        <v>2</v>
      </c>
      <c r="D3365" s="11">
        <v>42036</v>
      </c>
      <c r="E3365" t="s">
        <v>2174</v>
      </c>
      <c r="F3365">
        <v>4</v>
      </c>
      <c r="G3365" t="s">
        <v>53</v>
      </c>
      <c r="H3365" t="s">
        <v>43</v>
      </c>
      <c r="I3365" t="s">
        <v>2191</v>
      </c>
      <c r="J3365" s="10">
        <v>36.7</v>
      </c>
      <c r="K3365" t="b">
        <v>1</v>
      </c>
    </row>
    <row r="3366" spans="1:11">
      <c r="A3366" s="12">
        <v>42061</v>
      </c>
      <c r="B3366">
        <v>2015</v>
      </c>
      <c r="C3366">
        <v>2</v>
      </c>
      <c r="D3366" s="11">
        <v>42036</v>
      </c>
      <c r="E3366" t="s">
        <v>2174</v>
      </c>
      <c r="F3366">
        <v>4</v>
      </c>
      <c r="G3366" t="s">
        <v>53</v>
      </c>
      <c r="H3366" t="s">
        <v>44</v>
      </c>
      <c r="I3366" t="s">
        <v>2192</v>
      </c>
      <c r="J3366" s="10">
        <v>13</v>
      </c>
      <c r="K3366" t="b">
        <v>1</v>
      </c>
    </row>
    <row r="3367" spans="1:11">
      <c r="A3367" s="12">
        <v>42061</v>
      </c>
      <c r="B3367">
        <v>2015</v>
      </c>
      <c r="C3367">
        <v>2</v>
      </c>
      <c r="D3367" s="11">
        <v>42036</v>
      </c>
      <c r="E3367" t="s">
        <v>2174</v>
      </c>
      <c r="F3367">
        <v>4</v>
      </c>
      <c r="G3367" t="s">
        <v>53</v>
      </c>
      <c r="H3367" t="s">
        <v>45</v>
      </c>
      <c r="I3367" t="s">
        <v>2193</v>
      </c>
      <c r="J3367" s="10">
        <v>0</v>
      </c>
      <c r="K3367" t="b">
        <v>1</v>
      </c>
    </row>
    <row r="3368" spans="1:11">
      <c r="A3368" s="12">
        <v>42061</v>
      </c>
      <c r="B3368">
        <v>2015</v>
      </c>
      <c r="C3368">
        <v>2</v>
      </c>
      <c r="D3368" s="11">
        <v>42036</v>
      </c>
      <c r="E3368" t="s">
        <v>2174</v>
      </c>
      <c r="F3368">
        <v>4</v>
      </c>
      <c r="G3368" t="s">
        <v>53</v>
      </c>
      <c r="H3368" t="s">
        <v>46</v>
      </c>
      <c r="I3368" t="s">
        <v>2194</v>
      </c>
      <c r="J3368" s="10">
        <v>1</v>
      </c>
      <c r="K3368" t="b">
        <v>1</v>
      </c>
    </row>
    <row r="3369" spans="1:11">
      <c r="A3369" s="12">
        <v>42061</v>
      </c>
      <c r="B3369">
        <v>2015</v>
      </c>
      <c r="C3369">
        <v>2</v>
      </c>
      <c r="D3369" s="11">
        <v>42036</v>
      </c>
      <c r="E3369" t="s">
        <v>2174</v>
      </c>
      <c r="F3369">
        <v>4</v>
      </c>
      <c r="G3369" t="s">
        <v>53</v>
      </c>
      <c r="H3369" t="s">
        <v>47</v>
      </c>
      <c r="I3369" t="s">
        <v>2195</v>
      </c>
      <c r="J3369" s="10">
        <v>1</v>
      </c>
      <c r="K3369" t="b">
        <v>1</v>
      </c>
    </row>
    <row r="3370" spans="1:11">
      <c r="A3370" s="12">
        <v>42062</v>
      </c>
      <c r="B3370">
        <v>2015</v>
      </c>
      <c r="C3370">
        <v>2</v>
      </c>
      <c r="D3370" s="11">
        <v>42036</v>
      </c>
      <c r="E3370" t="s">
        <v>2174</v>
      </c>
      <c r="F3370">
        <v>5</v>
      </c>
      <c r="G3370" t="s">
        <v>55</v>
      </c>
      <c r="H3370" t="s">
        <v>40</v>
      </c>
      <c r="I3370" t="s">
        <v>2188</v>
      </c>
      <c r="J3370" s="10">
        <v>6.33</v>
      </c>
      <c r="K3370" t="b">
        <v>1</v>
      </c>
    </row>
    <row r="3371" spans="1:11">
      <c r="A3371" s="12">
        <v>42062</v>
      </c>
      <c r="B3371">
        <v>2015</v>
      </c>
      <c r="C3371">
        <v>2</v>
      </c>
      <c r="D3371" s="11">
        <v>42036</v>
      </c>
      <c r="E3371" t="s">
        <v>2174</v>
      </c>
      <c r="F3371">
        <v>5</v>
      </c>
      <c r="G3371" t="s">
        <v>55</v>
      </c>
      <c r="H3371" t="s">
        <v>41</v>
      </c>
      <c r="I3371" t="s">
        <v>2189</v>
      </c>
      <c r="J3371" s="10">
        <v>4.473</v>
      </c>
      <c r="K3371" t="b">
        <v>1</v>
      </c>
    </row>
    <row r="3372" spans="1:11">
      <c r="A3372" s="12">
        <v>42062</v>
      </c>
      <c r="B3372">
        <v>2015</v>
      </c>
      <c r="C3372">
        <v>2</v>
      </c>
      <c r="D3372" s="11">
        <v>42036</v>
      </c>
      <c r="E3372" t="s">
        <v>2174</v>
      </c>
      <c r="F3372">
        <v>5</v>
      </c>
      <c r="G3372" t="s">
        <v>55</v>
      </c>
      <c r="H3372" t="s">
        <v>42</v>
      </c>
      <c r="I3372" t="s">
        <v>2190</v>
      </c>
      <c r="J3372" s="10">
        <v>5</v>
      </c>
      <c r="K3372" t="b">
        <v>1</v>
      </c>
    </row>
    <row r="3373" spans="1:11">
      <c r="A3373" s="12">
        <v>42062</v>
      </c>
      <c r="B3373">
        <v>2015</v>
      </c>
      <c r="C3373">
        <v>2</v>
      </c>
      <c r="D3373" s="11">
        <v>42036</v>
      </c>
      <c r="E3373" t="s">
        <v>2174</v>
      </c>
      <c r="F3373">
        <v>5</v>
      </c>
      <c r="G3373" t="s">
        <v>55</v>
      </c>
      <c r="H3373" t="s">
        <v>43</v>
      </c>
      <c r="I3373" t="s">
        <v>2191</v>
      </c>
      <c r="J3373" s="10">
        <v>51</v>
      </c>
      <c r="K3373" t="b">
        <v>1</v>
      </c>
    </row>
    <row r="3374" spans="1:11">
      <c r="A3374" s="12">
        <v>42062</v>
      </c>
      <c r="B3374">
        <v>2015</v>
      </c>
      <c r="C3374">
        <v>2</v>
      </c>
      <c r="D3374" s="11">
        <v>42036</v>
      </c>
      <c r="E3374" t="s">
        <v>2174</v>
      </c>
      <c r="F3374">
        <v>5</v>
      </c>
      <c r="G3374" t="s">
        <v>55</v>
      </c>
      <c r="H3374" t="s">
        <v>44</v>
      </c>
      <c r="I3374" t="s">
        <v>2192</v>
      </c>
      <c r="J3374" s="10">
        <v>1</v>
      </c>
      <c r="K3374" t="b">
        <v>1</v>
      </c>
    </row>
    <row r="3375" spans="1:11">
      <c r="A3375" s="12">
        <v>42062</v>
      </c>
      <c r="B3375">
        <v>2015</v>
      </c>
      <c r="C3375">
        <v>2</v>
      </c>
      <c r="D3375" s="11">
        <v>42036</v>
      </c>
      <c r="E3375" t="s">
        <v>2174</v>
      </c>
      <c r="F3375">
        <v>5</v>
      </c>
      <c r="G3375" t="s">
        <v>55</v>
      </c>
      <c r="H3375" t="s">
        <v>45</v>
      </c>
      <c r="I3375" t="s">
        <v>2193</v>
      </c>
      <c r="J3375" s="10">
        <v>1</v>
      </c>
      <c r="K3375" t="b">
        <v>1</v>
      </c>
    </row>
    <row r="3376" spans="1:11">
      <c r="A3376" s="12">
        <v>42062</v>
      </c>
      <c r="B3376">
        <v>2015</v>
      </c>
      <c r="C3376">
        <v>2</v>
      </c>
      <c r="D3376" s="11">
        <v>42036</v>
      </c>
      <c r="E3376" t="s">
        <v>2174</v>
      </c>
      <c r="F3376">
        <v>5</v>
      </c>
      <c r="G3376" t="s">
        <v>55</v>
      </c>
      <c r="H3376" t="s">
        <v>46</v>
      </c>
      <c r="I3376" t="s">
        <v>2194</v>
      </c>
      <c r="J3376" s="10">
        <v>0</v>
      </c>
      <c r="K3376" t="b">
        <v>1</v>
      </c>
    </row>
    <row r="3377" spans="1:11">
      <c r="A3377" s="12">
        <v>42062</v>
      </c>
      <c r="B3377">
        <v>2015</v>
      </c>
      <c r="C3377">
        <v>2</v>
      </c>
      <c r="D3377" s="11">
        <v>42036</v>
      </c>
      <c r="E3377" t="s">
        <v>2174</v>
      </c>
      <c r="F3377">
        <v>5</v>
      </c>
      <c r="G3377" t="s">
        <v>55</v>
      </c>
      <c r="H3377" t="s">
        <v>47</v>
      </c>
      <c r="I3377" t="s">
        <v>2195</v>
      </c>
      <c r="J3377" s="10">
        <v>0</v>
      </c>
      <c r="K3377" t="b">
        <v>1</v>
      </c>
    </row>
    <row r="3378" spans="1:11">
      <c r="A3378" s="12">
        <v>42063</v>
      </c>
      <c r="B3378">
        <v>2015</v>
      </c>
      <c r="C3378">
        <v>2</v>
      </c>
      <c r="D3378" s="11">
        <v>42036</v>
      </c>
      <c r="E3378" t="s">
        <v>2174</v>
      </c>
      <c r="F3378">
        <v>6</v>
      </c>
      <c r="G3378" t="s">
        <v>57</v>
      </c>
      <c r="H3378" t="s">
        <v>40</v>
      </c>
      <c r="I3378" t="s">
        <v>2188</v>
      </c>
      <c r="J3378" s="10">
        <v>6.34</v>
      </c>
      <c r="K3378" t="b">
        <v>1</v>
      </c>
    </row>
    <row r="3379" spans="1:11">
      <c r="A3379" s="12">
        <v>42063</v>
      </c>
      <c r="B3379">
        <v>2015</v>
      </c>
      <c r="C3379">
        <v>2</v>
      </c>
      <c r="D3379" s="11">
        <v>42036</v>
      </c>
      <c r="E3379" t="s">
        <v>2174</v>
      </c>
      <c r="F3379">
        <v>6</v>
      </c>
      <c r="G3379" t="s">
        <v>57</v>
      </c>
      <c r="H3379" t="s">
        <v>41</v>
      </c>
      <c r="I3379" t="s">
        <v>2189</v>
      </c>
      <c r="J3379" s="10">
        <v>3.33</v>
      </c>
      <c r="K3379" t="b">
        <v>1</v>
      </c>
    </row>
    <row r="3380" spans="1:11">
      <c r="A3380" s="12">
        <v>42063</v>
      </c>
      <c r="B3380">
        <v>2015</v>
      </c>
      <c r="C3380">
        <v>2</v>
      </c>
      <c r="D3380" s="11">
        <v>42036</v>
      </c>
      <c r="E3380" t="s">
        <v>2174</v>
      </c>
      <c r="F3380">
        <v>6</v>
      </c>
      <c r="G3380" t="s">
        <v>57</v>
      </c>
      <c r="H3380" t="s">
        <v>42</v>
      </c>
      <c r="I3380" t="s">
        <v>2190</v>
      </c>
      <c r="J3380" s="10">
        <v>1.6</v>
      </c>
      <c r="K3380" t="b">
        <v>1</v>
      </c>
    </row>
    <row r="3381" spans="1:11">
      <c r="A3381" s="12">
        <v>42063</v>
      </c>
      <c r="B3381">
        <v>2015</v>
      </c>
      <c r="C3381">
        <v>2</v>
      </c>
      <c r="D3381" s="11">
        <v>42036</v>
      </c>
      <c r="E3381" t="s">
        <v>2174</v>
      </c>
      <c r="F3381">
        <v>6</v>
      </c>
      <c r="G3381" t="s">
        <v>57</v>
      </c>
      <c r="H3381" t="s">
        <v>43</v>
      </c>
      <c r="I3381" t="s">
        <v>2191</v>
      </c>
      <c r="J3381" s="10">
        <v>26.6</v>
      </c>
      <c r="K3381" t="b">
        <v>1</v>
      </c>
    </row>
    <row r="3382" spans="1:11">
      <c r="A3382" s="12">
        <v>42063</v>
      </c>
      <c r="B3382">
        <v>2015</v>
      </c>
      <c r="C3382">
        <v>2</v>
      </c>
      <c r="D3382" s="11">
        <v>42036</v>
      </c>
      <c r="E3382" t="s">
        <v>2174</v>
      </c>
      <c r="F3382">
        <v>6</v>
      </c>
      <c r="G3382" t="s">
        <v>57</v>
      </c>
      <c r="H3382" t="s">
        <v>44</v>
      </c>
      <c r="I3382" t="s">
        <v>2192</v>
      </c>
      <c r="J3382" s="10">
        <v>9</v>
      </c>
      <c r="K3382" t="b">
        <v>1</v>
      </c>
    </row>
    <row r="3383" spans="1:11">
      <c r="A3383" s="12">
        <v>42063</v>
      </c>
      <c r="B3383">
        <v>2015</v>
      </c>
      <c r="C3383">
        <v>2</v>
      </c>
      <c r="D3383" s="11">
        <v>42036</v>
      </c>
      <c r="E3383" t="s">
        <v>2174</v>
      </c>
      <c r="F3383">
        <v>6</v>
      </c>
      <c r="G3383" t="s">
        <v>57</v>
      </c>
      <c r="H3383" t="s">
        <v>45</v>
      </c>
      <c r="I3383" t="s">
        <v>2193</v>
      </c>
      <c r="J3383" s="10">
        <v>0</v>
      </c>
      <c r="K3383" t="b">
        <v>1</v>
      </c>
    </row>
    <row r="3384" spans="1:11">
      <c r="A3384" s="12">
        <v>42063</v>
      </c>
      <c r="B3384">
        <v>2015</v>
      </c>
      <c r="C3384">
        <v>2</v>
      </c>
      <c r="D3384" s="11">
        <v>42036</v>
      </c>
      <c r="E3384" t="s">
        <v>2174</v>
      </c>
      <c r="F3384">
        <v>6</v>
      </c>
      <c r="G3384" t="s">
        <v>57</v>
      </c>
      <c r="H3384" t="s">
        <v>46</v>
      </c>
      <c r="I3384" t="s">
        <v>2194</v>
      </c>
      <c r="J3384" s="10">
        <v>4</v>
      </c>
      <c r="K3384" t="b">
        <v>1</v>
      </c>
    </row>
    <row r="3385" spans="1:11">
      <c r="A3385" s="12">
        <v>42063</v>
      </c>
      <c r="B3385">
        <v>2015</v>
      </c>
      <c r="C3385">
        <v>2</v>
      </c>
      <c r="D3385" s="11">
        <v>42036</v>
      </c>
      <c r="E3385" t="s">
        <v>2174</v>
      </c>
      <c r="F3385">
        <v>6</v>
      </c>
      <c r="G3385" t="s">
        <v>57</v>
      </c>
      <c r="H3385" t="s">
        <v>47</v>
      </c>
      <c r="I3385" t="s">
        <v>2195</v>
      </c>
      <c r="J3385" s="10">
        <v>3</v>
      </c>
      <c r="K3385" t="b">
        <v>1</v>
      </c>
    </row>
    <row r="3386" spans="1:11">
      <c r="A3386" s="12">
        <v>42064</v>
      </c>
      <c r="B3386">
        <v>2015</v>
      </c>
      <c r="C3386">
        <v>3</v>
      </c>
      <c r="D3386" s="11">
        <v>42064</v>
      </c>
      <c r="E3386" t="s">
        <v>2175</v>
      </c>
      <c r="F3386">
        <v>7</v>
      </c>
      <c r="G3386" t="s">
        <v>59</v>
      </c>
      <c r="H3386" t="s">
        <v>40</v>
      </c>
      <c r="I3386" t="s">
        <v>2188</v>
      </c>
      <c r="J3386" s="10">
        <v>9</v>
      </c>
      <c r="K3386" t="b">
        <v>1</v>
      </c>
    </row>
    <row r="3387" spans="1:11">
      <c r="A3387" s="12">
        <v>42064</v>
      </c>
      <c r="B3387">
        <v>2015</v>
      </c>
      <c r="C3387">
        <v>3</v>
      </c>
      <c r="D3387" s="11">
        <v>42064</v>
      </c>
      <c r="E3387" t="s">
        <v>2175</v>
      </c>
      <c r="F3387">
        <v>7</v>
      </c>
      <c r="G3387" t="s">
        <v>59</v>
      </c>
      <c r="H3387" t="s">
        <v>41</v>
      </c>
      <c r="I3387" t="s">
        <v>2189</v>
      </c>
      <c r="J3387" s="10">
        <v>7.893</v>
      </c>
      <c r="K3387" t="b">
        <v>1</v>
      </c>
    </row>
    <row r="3388" spans="1:11">
      <c r="A3388" s="12">
        <v>42064</v>
      </c>
      <c r="B3388">
        <v>2015</v>
      </c>
      <c r="C3388">
        <v>3</v>
      </c>
      <c r="D3388" s="11">
        <v>42064</v>
      </c>
      <c r="E3388" t="s">
        <v>2175</v>
      </c>
      <c r="F3388">
        <v>7</v>
      </c>
      <c r="G3388" t="s">
        <v>59</v>
      </c>
      <c r="H3388" t="s">
        <v>42</v>
      </c>
      <c r="I3388" t="s">
        <v>2190</v>
      </c>
      <c r="J3388" s="10">
        <v>2.7</v>
      </c>
      <c r="K3388" t="b">
        <v>1</v>
      </c>
    </row>
    <row r="3389" spans="1:11">
      <c r="A3389" s="12">
        <v>42064</v>
      </c>
      <c r="B3389">
        <v>2015</v>
      </c>
      <c r="C3389">
        <v>3</v>
      </c>
      <c r="D3389" s="11">
        <v>42064</v>
      </c>
      <c r="E3389" t="s">
        <v>2175</v>
      </c>
      <c r="F3389">
        <v>7</v>
      </c>
      <c r="G3389" t="s">
        <v>59</v>
      </c>
      <c r="H3389" t="s">
        <v>43</v>
      </c>
      <c r="I3389" t="s">
        <v>2191</v>
      </c>
      <c r="J3389" s="10">
        <v>25.9</v>
      </c>
      <c r="K3389" t="b">
        <v>1</v>
      </c>
    </row>
    <row r="3390" spans="1:11">
      <c r="A3390" s="12">
        <v>42064</v>
      </c>
      <c r="B3390">
        <v>2015</v>
      </c>
      <c r="C3390">
        <v>3</v>
      </c>
      <c r="D3390" s="11">
        <v>42064</v>
      </c>
      <c r="E3390" t="s">
        <v>2175</v>
      </c>
      <c r="F3390">
        <v>7</v>
      </c>
      <c r="G3390" t="s">
        <v>59</v>
      </c>
      <c r="H3390" t="s">
        <v>44</v>
      </c>
      <c r="I3390" t="s">
        <v>2192</v>
      </c>
      <c r="J3390" s="10">
        <v>3</v>
      </c>
      <c r="K3390" t="b">
        <v>1</v>
      </c>
    </row>
    <row r="3391" spans="1:11">
      <c r="A3391" s="12">
        <v>42064</v>
      </c>
      <c r="B3391">
        <v>2015</v>
      </c>
      <c r="C3391">
        <v>3</v>
      </c>
      <c r="D3391" s="11">
        <v>42064</v>
      </c>
      <c r="E3391" t="s">
        <v>2175</v>
      </c>
      <c r="F3391">
        <v>7</v>
      </c>
      <c r="G3391" t="s">
        <v>59</v>
      </c>
      <c r="H3391" t="s">
        <v>45</v>
      </c>
      <c r="I3391" t="s">
        <v>2193</v>
      </c>
      <c r="J3391" s="10">
        <v>4</v>
      </c>
      <c r="K3391" t="b">
        <v>1</v>
      </c>
    </row>
    <row r="3392" spans="1:11">
      <c r="A3392" s="12">
        <v>42064</v>
      </c>
      <c r="B3392">
        <v>2015</v>
      </c>
      <c r="C3392">
        <v>3</v>
      </c>
      <c r="D3392" s="11">
        <v>42064</v>
      </c>
      <c r="E3392" t="s">
        <v>2175</v>
      </c>
      <c r="F3392">
        <v>7</v>
      </c>
      <c r="G3392" t="s">
        <v>59</v>
      </c>
      <c r="H3392" t="s">
        <v>46</v>
      </c>
      <c r="I3392" t="s">
        <v>2194</v>
      </c>
      <c r="J3392" s="10">
        <v>0</v>
      </c>
      <c r="K3392" t="b">
        <v>1</v>
      </c>
    </row>
    <row r="3393" spans="1:11">
      <c r="A3393" s="12">
        <v>42064</v>
      </c>
      <c r="B3393">
        <v>2015</v>
      </c>
      <c r="C3393">
        <v>3</v>
      </c>
      <c r="D3393" s="11">
        <v>42064</v>
      </c>
      <c r="E3393" t="s">
        <v>2175</v>
      </c>
      <c r="F3393">
        <v>7</v>
      </c>
      <c r="G3393" t="s">
        <v>59</v>
      </c>
      <c r="H3393" t="s">
        <v>47</v>
      </c>
      <c r="I3393" t="s">
        <v>2195</v>
      </c>
      <c r="J3393" s="10">
        <v>4</v>
      </c>
      <c r="K3393" t="b">
        <v>1</v>
      </c>
    </row>
    <row r="3394" spans="1:11">
      <c r="A3394" s="12">
        <v>42065</v>
      </c>
      <c r="B3394">
        <v>2015</v>
      </c>
      <c r="C3394">
        <v>3</v>
      </c>
      <c r="D3394" s="11">
        <v>42064</v>
      </c>
      <c r="E3394" t="s">
        <v>2175</v>
      </c>
      <c r="F3394">
        <v>1</v>
      </c>
      <c r="G3394" t="s">
        <v>61</v>
      </c>
      <c r="H3394" t="s">
        <v>40</v>
      </c>
      <c r="I3394" t="s">
        <v>2188</v>
      </c>
      <c r="J3394" s="10">
        <v>6.67</v>
      </c>
      <c r="K3394" t="b">
        <v>1</v>
      </c>
    </row>
    <row r="3395" spans="1:11">
      <c r="A3395" s="12">
        <v>42065</v>
      </c>
      <c r="B3395">
        <v>2015</v>
      </c>
      <c r="C3395">
        <v>3</v>
      </c>
      <c r="D3395" s="11">
        <v>42064</v>
      </c>
      <c r="E3395" t="s">
        <v>2175</v>
      </c>
      <c r="F3395">
        <v>1</v>
      </c>
      <c r="G3395" t="s">
        <v>61</v>
      </c>
      <c r="H3395" t="s">
        <v>41</v>
      </c>
      <c r="I3395" t="s">
        <v>2189</v>
      </c>
      <c r="J3395" s="10">
        <v>4.68</v>
      </c>
      <c r="K3395" t="b">
        <v>1</v>
      </c>
    </row>
    <row r="3396" spans="1:11">
      <c r="A3396" s="12">
        <v>42065</v>
      </c>
      <c r="B3396">
        <v>2015</v>
      </c>
      <c r="C3396">
        <v>3</v>
      </c>
      <c r="D3396" s="11">
        <v>42064</v>
      </c>
      <c r="E3396" t="s">
        <v>2175</v>
      </c>
      <c r="F3396">
        <v>1</v>
      </c>
      <c r="G3396" t="s">
        <v>61</v>
      </c>
      <c r="H3396" t="s">
        <v>42</v>
      </c>
      <c r="I3396" t="s">
        <v>2190</v>
      </c>
      <c r="J3396" s="10">
        <v>3.5</v>
      </c>
      <c r="K3396" t="b">
        <v>1</v>
      </c>
    </row>
    <row r="3397" spans="1:11">
      <c r="A3397" s="12">
        <v>42065</v>
      </c>
      <c r="B3397">
        <v>2015</v>
      </c>
      <c r="C3397">
        <v>3</v>
      </c>
      <c r="D3397" s="11">
        <v>42064</v>
      </c>
      <c r="E3397" t="s">
        <v>2175</v>
      </c>
      <c r="F3397">
        <v>1</v>
      </c>
      <c r="G3397" t="s">
        <v>61</v>
      </c>
      <c r="H3397" t="s">
        <v>43</v>
      </c>
      <c r="I3397" t="s">
        <v>2191</v>
      </c>
      <c r="J3397" s="10">
        <v>40.7</v>
      </c>
      <c r="K3397" t="b">
        <v>1</v>
      </c>
    </row>
    <row r="3398" spans="1:11">
      <c r="A3398" s="12">
        <v>42065</v>
      </c>
      <c r="B3398">
        <v>2015</v>
      </c>
      <c r="C3398">
        <v>3</v>
      </c>
      <c r="D3398" s="11">
        <v>42064</v>
      </c>
      <c r="E3398" t="s">
        <v>2175</v>
      </c>
      <c r="F3398">
        <v>1</v>
      </c>
      <c r="G3398" t="s">
        <v>61</v>
      </c>
      <c r="H3398" t="s">
        <v>44</v>
      </c>
      <c r="I3398" t="s">
        <v>2192</v>
      </c>
      <c r="J3398" s="10">
        <v>6</v>
      </c>
      <c r="K3398" t="b">
        <v>1</v>
      </c>
    </row>
    <row r="3399" spans="1:11">
      <c r="A3399" s="12">
        <v>42065</v>
      </c>
      <c r="B3399">
        <v>2015</v>
      </c>
      <c r="C3399">
        <v>3</v>
      </c>
      <c r="D3399" s="11">
        <v>42064</v>
      </c>
      <c r="E3399" t="s">
        <v>2175</v>
      </c>
      <c r="F3399">
        <v>1</v>
      </c>
      <c r="G3399" t="s">
        <v>61</v>
      </c>
      <c r="H3399" t="s">
        <v>45</v>
      </c>
      <c r="I3399" t="s">
        <v>2193</v>
      </c>
      <c r="J3399" s="10">
        <v>1</v>
      </c>
      <c r="K3399" t="b">
        <v>1</v>
      </c>
    </row>
    <row r="3400" spans="1:11">
      <c r="A3400" s="12">
        <v>42065</v>
      </c>
      <c r="B3400">
        <v>2015</v>
      </c>
      <c r="C3400">
        <v>3</v>
      </c>
      <c r="D3400" s="11">
        <v>42064</v>
      </c>
      <c r="E3400" t="s">
        <v>2175</v>
      </c>
      <c r="F3400">
        <v>1</v>
      </c>
      <c r="G3400" t="s">
        <v>61</v>
      </c>
      <c r="H3400" t="s">
        <v>46</v>
      </c>
      <c r="I3400" t="s">
        <v>2194</v>
      </c>
      <c r="J3400" s="10">
        <v>2</v>
      </c>
      <c r="K3400" t="b">
        <v>1</v>
      </c>
    </row>
    <row r="3401" spans="1:11">
      <c r="A3401" s="12">
        <v>42065</v>
      </c>
      <c r="B3401">
        <v>2015</v>
      </c>
      <c r="C3401">
        <v>3</v>
      </c>
      <c r="D3401" s="11">
        <v>42064</v>
      </c>
      <c r="E3401" t="s">
        <v>2175</v>
      </c>
      <c r="F3401">
        <v>1</v>
      </c>
      <c r="G3401" t="s">
        <v>61</v>
      </c>
      <c r="H3401" t="s">
        <v>47</v>
      </c>
      <c r="I3401" t="s">
        <v>2195</v>
      </c>
      <c r="J3401" s="10">
        <v>3</v>
      </c>
      <c r="K3401" t="b">
        <v>1</v>
      </c>
    </row>
    <row r="3402" spans="1:11">
      <c r="A3402" s="12">
        <v>42066</v>
      </c>
      <c r="B3402">
        <v>2015</v>
      </c>
      <c r="C3402">
        <v>3</v>
      </c>
      <c r="D3402" s="11">
        <v>42064</v>
      </c>
      <c r="E3402" t="s">
        <v>2175</v>
      </c>
      <c r="F3402">
        <v>2</v>
      </c>
      <c r="G3402" t="s">
        <v>63</v>
      </c>
      <c r="H3402" t="s">
        <v>40</v>
      </c>
      <c r="I3402" t="s">
        <v>2188</v>
      </c>
      <c r="J3402" s="10">
        <v>8</v>
      </c>
      <c r="K3402" t="b">
        <v>1</v>
      </c>
    </row>
    <row r="3403" spans="1:11">
      <c r="A3403" s="12">
        <v>42066</v>
      </c>
      <c r="B3403">
        <v>2015</v>
      </c>
      <c r="C3403">
        <v>3</v>
      </c>
      <c r="D3403" s="11">
        <v>42064</v>
      </c>
      <c r="E3403" t="s">
        <v>2175</v>
      </c>
      <c r="F3403">
        <v>2</v>
      </c>
      <c r="G3403" t="s">
        <v>63</v>
      </c>
      <c r="H3403" t="s">
        <v>41</v>
      </c>
      <c r="I3403" t="s">
        <v>2189</v>
      </c>
      <c r="J3403" s="10">
        <v>6.03</v>
      </c>
      <c r="K3403" t="b">
        <v>1</v>
      </c>
    </row>
    <row r="3404" spans="1:11">
      <c r="A3404" s="12">
        <v>42066</v>
      </c>
      <c r="B3404">
        <v>2015</v>
      </c>
      <c r="C3404">
        <v>3</v>
      </c>
      <c r="D3404" s="11">
        <v>42064</v>
      </c>
      <c r="E3404" t="s">
        <v>2175</v>
      </c>
      <c r="F3404">
        <v>2</v>
      </c>
      <c r="G3404" t="s">
        <v>63</v>
      </c>
      <c r="H3404" t="s">
        <v>42</v>
      </c>
      <c r="I3404" t="s">
        <v>2190</v>
      </c>
      <c r="J3404" s="10">
        <v>4.5</v>
      </c>
      <c r="K3404" t="b">
        <v>1</v>
      </c>
    </row>
    <row r="3405" spans="1:11">
      <c r="A3405" s="12">
        <v>42066</v>
      </c>
      <c r="B3405">
        <v>2015</v>
      </c>
      <c r="C3405">
        <v>3</v>
      </c>
      <c r="D3405" s="11">
        <v>42064</v>
      </c>
      <c r="E3405" t="s">
        <v>2175</v>
      </c>
      <c r="F3405">
        <v>2</v>
      </c>
      <c r="G3405" t="s">
        <v>63</v>
      </c>
      <c r="H3405" t="s">
        <v>43</v>
      </c>
      <c r="I3405" t="s">
        <v>2191</v>
      </c>
      <c r="J3405" s="10">
        <v>45.6</v>
      </c>
      <c r="K3405" t="b">
        <v>1</v>
      </c>
    </row>
    <row r="3406" spans="1:11">
      <c r="A3406" s="12">
        <v>42066</v>
      </c>
      <c r="B3406">
        <v>2015</v>
      </c>
      <c r="C3406">
        <v>3</v>
      </c>
      <c r="D3406" s="11">
        <v>42064</v>
      </c>
      <c r="E3406" t="s">
        <v>2175</v>
      </c>
      <c r="F3406">
        <v>2</v>
      </c>
      <c r="G3406" t="s">
        <v>63</v>
      </c>
      <c r="H3406" t="s">
        <v>44</v>
      </c>
      <c r="I3406" t="s">
        <v>2192</v>
      </c>
      <c r="J3406" s="10">
        <v>14</v>
      </c>
      <c r="K3406" t="b">
        <v>1</v>
      </c>
    </row>
    <row r="3407" spans="1:11">
      <c r="A3407" s="12">
        <v>42066</v>
      </c>
      <c r="B3407">
        <v>2015</v>
      </c>
      <c r="C3407">
        <v>3</v>
      </c>
      <c r="D3407" s="11">
        <v>42064</v>
      </c>
      <c r="E3407" t="s">
        <v>2175</v>
      </c>
      <c r="F3407">
        <v>2</v>
      </c>
      <c r="G3407" t="s">
        <v>63</v>
      </c>
      <c r="H3407" t="s">
        <v>45</v>
      </c>
      <c r="I3407" t="s">
        <v>2193</v>
      </c>
      <c r="J3407" s="10">
        <v>0</v>
      </c>
      <c r="K3407" t="b">
        <v>1</v>
      </c>
    </row>
    <row r="3408" spans="1:11">
      <c r="A3408" s="12">
        <v>42066</v>
      </c>
      <c r="B3408">
        <v>2015</v>
      </c>
      <c r="C3408">
        <v>3</v>
      </c>
      <c r="D3408" s="11">
        <v>42064</v>
      </c>
      <c r="E3408" t="s">
        <v>2175</v>
      </c>
      <c r="F3408">
        <v>2</v>
      </c>
      <c r="G3408" t="s">
        <v>63</v>
      </c>
      <c r="H3408" t="s">
        <v>46</v>
      </c>
      <c r="I3408" t="s">
        <v>2194</v>
      </c>
      <c r="J3408" s="10">
        <v>1</v>
      </c>
      <c r="K3408" t="b">
        <v>1</v>
      </c>
    </row>
    <row r="3409" spans="1:11">
      <c r="A3409" s="12">
        <v>42066</v>
      </c>
      <c r="B3409">
        <v>2015</v>
      </c>
      <c r="C3409">
        <v>3</v>
      </c>
      <c r="D3409" s="11">
        <v>42064</v>
      </c>
      <c r="E3409" t="s">
        <v>2175</v>
      </c>
      <c r="F3409">
        <v>2</v>
      </c>
      <c r="G3409" t="s">
        <v>63</v>
      </c>
      <c r="H3409" t="s">
        <v>47</v>
      </c>
      <c r="I3409" t="s">
        <v>2195</v>
      </c>
      <c r="J3409" s="10">
        <v>4</v>
      </c>
      <c r="K3409" t="b">
        <v>1</v>
      </c>
    </row>
    <row r="3410" spans="1:11">
      <c r="A3410" s="12">
        <v>42067</v>
      </c>
      <c r="B3410">
        <v>2015</v>
      </c>
      <c r="C3410">
        <v>3</v>
      </c>
      <c r="D3410" s="11">
        <v>42064</v>
      </c>
      <c r="E3410" t="s">
        <v>2175</v>
      </c>
      <c r="F3410">
        <v>3</v>
      </c>
      <c r="G3410" t="s">
        <v>65</v>
      </c>
      <c r="H3410" t="s">
        <v>40</v>
      </c>
      <c r="I3410" t="s">
        <v>2188</v>
      </c>
      <c r="J3410" s="10">
        <v>9.68</v>
      </c>
      <c r="K3410" t="b">
        <v>1</v>
      </c>
    </row>
    <row r="3411" spans="1:11">
      <c r="A3411" s="12">
        <v>42067</v>
      </c>
      <c r="B3411">
        <v>2015</v>
      </c>
      <c r="C3411">
        <v>3</v>
      </c>
      <c r="D3411" s="11">
        <v>42064</v>
      </c>
      <c r="E3411" t="s">
        <v>2175</v>
      </c>
      <c r="F3411">
        <v>3</v>
      </c>
      <c r="G3411" t="s">
        <v>65</v>
      </c>
      <c r="H3411" t="s">
        <v>41</v>
      </c>
      <c r="I3411" t="s">
        <v>2189</v>
      </c>
      <c r="J3411" s="10">
        <v>5.67</v>
      </c>
      <c r="K3411" t="b">
        <v>1</v>
      </c>
    </row>
    <row r="3412" spans="1:11">
      <c r="A3412" s="12">
        <v>42067</v>
      </c>
      <c r="B3412">
        <v>2015</v>
      </c>
      <c r="C3412">
        <v>3</v>
      </c>
      <c r="D3412" s="11">
        <v>42064</v>
      </c>
      <c r="E3412" t="s">
        <v>2175</v>
      </c>
      <c r="F3412">
        <v>3</v>
      </c>
      <c r="G3412" t="s">
        <v>65</v>
      </c>
      <c r="H3412" t="s">
        <v>42</v>
      </c>
      <c r="I3412" t="s">
        <v>2190</v>
      </c>
      <c r="J3412" s="10">
        <v>3.3</v>
      </c>
      <c r="K3412" t="b">
        <v>1</v>
      </c>
    </row>
    <row r="3413" spans="1:11">
      <c r="A3413" s="12">
        <v>42067</v>
      </c>
      <c r="B3413">
        <v>2015</v>
      </c>
      <c r="C3413">
        <v>3</v>
      </c>
      <c r="D3413" s="11">
        <v>42064</v>
      </c>
      <c r="E3413" t="s">
        <v>2175</v>
      </c>
      <c r="F3413">
        <v>3</v>
      </c>
      <c r="G3413" t="s">
        <v>65</v>
      </c>
      <c r="H3413" t="s">
        <v>43</v>
      </c>
      <c r="I3413" t="s">
        <v>2191</v>
      </c>
      <c r="J3413" s="10">
        <v>46.85</v>
      </c>
      <c r="K3413" t="b">
        <v>1</v>
      </c>
    </row>
    <row r="3414" spans="1:11">
      <c r="A3414" s="12">
        <v>42067</v>
      </c>
      <c r="B3414">
        <v>2015</v>
      </c>
      <c r="C3414">
        <v>3</v>
      </c>
      <c r="D3414" s="11">
        <v>42064</v>
      </c>
      <c r="E3414" t="s">
        <v>2175</v>
      </c>
      <c r="F3414">
        <v>3</v>
      </c>
      <c r="G3414" t="s">
        <v>65</v>
      </c>
      <c r="H3414" t="s">
        <v>44</v>
      </c>
      <c r="I3414" t="s">
        <v>2192</v>
      </c>
      <c r="J3414" s="10">
        <v>4</v>
      </c>
      <c r="K3414" t="b">
        <v>1</v>
      </c>
    </row>
    <row r="3415" spans="1:11">
      <c r="A3415" s="12">
        <v>42067</v>
      </c>
      <c r="B3415">
        <v>2015</v>
      </c>
      <c r="C3415">
        <v>3</v>
      </c>
      <c r="D3415" s="11">
        <v>42064</v>
      </c>
      <c r="E3415" t="s">
        <v>2175</v>
      </c>
      <c r="F3415">
        <v>3</v>
      </c>
      <c r="G3415" t="s">
        <v>65</v>
      </c>
      <c r="H3415" t="s">
        <v>45</v>
      </c>
      <c r="I3415" t="s">
        <v>2193</v>
      </c>
      <c r="J3415" s="10">
        <v>0</v>
      </c>
      <c r="K3415" t="b">
        <v>1</v>
      </c>
    </row>
    <row r="3416" spans="1:11">
      <c r="A3416" s="12">
        <v>42067</v>
      </c>
      <c r="B3416">
        <v>2015</v>
      </c>
      <c r="C3416">
        <v>3</v>
      </c>
      <c r="D3416" s="11">
        <v>42064</v>
      </c>
      <c r="E3416" t="s">
        <v>2175</v>
      </c>
      <c r="F3416">
        <v>3</v>
      </c>
      <c r="G3416" t="s">
        <v>65</v>
      </c>
      <c r="H3416" t="s">
        <v>46</v>
      </c>
      <c r="I3416" t="s">
        <v>2194</v>
      </c>
      <c r="J3416" s="10">
        <v>11</v>
      </c>
      <c r="K3416" t="b">
        <v>1</v>
      </c>
    </row>
    <row r="3417" spans="1:11">
      <c r="A3417" s="12">
        <v>42067</v>
      </c>
      <c r="B3417">
        <v>2015</v>
      </c>
      <c r="C3417">
        <v>3</v>
      </c>
      <c r="D3417" s="11">
        <v>42064</v>
      </c>
      <c r="E3417" t="s">
        <v>2175</v>
      </c>
      <c r="F3417">
        <v>3</v>
      </c>
      <c r="G3417" t="s">
        <v>65</v>
      </c>
      <c r="H3417" t="s">
        <v>47</v>
      </c>
      <c r="I3417" t="s">
        <v>2195</v>
      </c>
      <c r="J3417" s="10">
        <v>1</v>
      </c>
      <c r="K3417" t="b">
        <v>1</v>
      </c>
    </row>
    <row r="3418" spans="1:11">
      <c r="A3418" s="12">
        <v>42068</v>
      </c>
      <c r="B3418">
        <v>2015</v>
      </c>
      <c r="C3418">
        <v>3</v>
      </c>
      <c r="D3418" s="11">
        <v>42064</v>
      </c>
      <c r="E3418" t="s">
        <v>2175</v>
      </c>
      <c r="F3418">
        <v>4</v>
      </c>
      <c r="G3418" t="s">
        <v>53</v>
      </c>
      <c r="H3418" t="s">
        <v>40</v>
      </c>
      <c r="I3418" t="s">
        <v>2188</v>
      </c>
      <c r="J3418" s="10">
        <v>6</v>
      </c>
      <c r="K3418" t="b">
        <v>1</v>
      </c>
    </row>
    <row r="3419" spans="1:11">
      <c r="A3419" s="12">
        <v>42068</v>
      </c>
      <c r="B3419">
        <v>2015</v>
      </c>
      <c r="C3419">
        <v>3</v>
      </c>
      <c r="D3419" s="11">
        <v>42064</v>
      </c>
      <c r="E3419" t="s">
        <v>2175</v>
      </c>
      <c r="F3419">
        <v>4</v>
      </c>
      <c r="G3419" t="s">
        <v>53</v>
      </c>
      <c r="H3419" t="s">
        <v>41</v>
      </c>
      <c r="I3419" t="s">
        <v>2189</v>
      </c>
      <c r="J3419" s="10">
        <v>2.33</v>
      </c>
      <c r="K3419" t="b">
        <v>1</v>
      </c>
    </row>
    <row r="3420" spans="1:11">
      <c r="A3420" s="12">
        <v>42068</v>
      </c>
      <c r="B3420">
        <v>2015</v>
      </c>
      <c r="C3420">
        <v>3</v>
      </c>
      <c r="D3420" s="11">
        <v>42064</v>
      </c>
      <c r="E3420" t="s">
        <v>2175</v>
      </c>
      <c r="F3420">
        <v>4</v>
      </c>
      <c r="G3420" t="s">
        <v>53</v>
      </c>
      <c r="H3420" t="s">
        <v>42</v>
      </c>
      <c r="I3420" t="s">
        <v>2190</v>
      </c>
      <c r="J3420" s="10">
        <v>3</v>
      </c>
      <c r="K3420" t="b">
        <v>1</v>
      </c>
    </row>
    <row r="3421" spans="1:11">
      <c r="A3421" s="12">
        <v>42068</v>
      </c>
      <c r="B3421">
        <v>2015</v>
      </c>
      <c r="C3421">
        <v>3</v>
      </c>
      <c r="D3421" s="11">
        <v>42064</v>
      </c>
      <c r="E3421" t="s">
        <v>2175</v>
      </c>
      <c r="F3421">
        <v>4</v>
      </c>
      <c r="G3421" t="s">
        <v>53</v>
      </c>
      <c r="H3421" t="s">
        <v>43</v>
      </c>
      <c r="I3421" t="s">
        <v>2191</v>
      </c>
      <c r="J3421" s="10">
        <v>35</v>
      </c>
      <c r="K3421" t="b">
        <v>1</v>
      </c>
    </row>
    <row r="3422" spans="1:11">
      <c r="A3422" s="12">
        <v>42068</v>
      </c>
      <c r="B3422">
        <v>2015</v>
      </c>
      <c r="C3422">
        <v>3</v>
      </c>
      <c r="D3422" s="11">
        <v>42064</v>
      </c>
      <c r="E3422" t="s">
        <v>2175</v>
      </c>
      <c r="F3422">
        <v>4</v>
      </c>
      <c r="G3422" t="s">
        <v>53</v>
      </c>
      <c r="H3422" t="s">
        <v>44</v>
      </c>
      <c r="I3422" t="s">
        <v>2192</v>
      </c>
      <c r="J3422" s="10">
        <v>2</v>
      </c>
      <c r="K3422" t="b">
        <v>1</v>
      </c>
    </row>
    <row r="3423" spans="1:11">
      <c r="A3423" s="12">
        <v>42068</v>
      </c>
      <c r="B3423">
        <v>2015</v>
      </c>
      <c r="C3423">
        <v>3</v>
      </c>
      <c r="D3423" s="11">
        <v>42064</v>
      </c>
      <c r="E3423" t="s">
        <v>2175</v>
      </c>
      <c r="F3423">
        <v>4</v>
      </c>
      <c r="G3423" t="s">
        <v>53</v>
      </c>
      <c r="H3423" t="s">
        <v>45</v>
      </c>
      <c r="I3423" t="s">
        <v>2193</v>
      </c>
      <c r="J3423" s="10">
        <v>0</v>
      </c>
      <c r="K3423" t="b">
        <v>1</v>
      </c>
    </row>
    <row r="3424" spans="1:11">
      <c r="A3424" s="12">
        <v>42068</v>
      </c>
      <c r="B3424">
        <v>2015</v>
      </c>
      <c r="C3424">
        <v>3</v>
      </c>
      <c r="D3424" s="11">
        <v>42064</v>
      </c>
      <c r="E3424" t="s">
        <v>2175</v>
      </c>
      <c r="F3424">
        <v>4</v>
      </c>
      <c r="G3424" t="s">
        <v>53</v>
      </c>
      <c r="H3424" t="s">
        <v>46</v>
      </c>
      <c r="I3424" t="s">
        <v>2194</v>
      </c>
      <c r="J3424" s="10">
        <v>0</v>
      </c>
      <c r="K3424" t="b">
        <v>1</v>
      </c>
    </row>
    <row r="3425" spans="1:11">
      <c r="A3425" s="12">
        <v>42068</v>
      </c>
      <c r="B3425">
        <v>2015</v>
      </c>
      <c r="C3425">
        <v>3</v>
      </c>
      <c r="D3425" s="11">
        <v>42064</v>
      </c>
      <c r="E3425" t="s">
        <v>2175</v>
      </c>
      <c r="F3425">
        <v>4</v>
      </c>
      <c r="G3425" t="s">
        <v>53</v>
      </c>
      <c r="H3425" t="s">
        <v>47</v>
      </c>
      <c r="I3425" t="s">
        <v>2195</v>
      </c>
      <c r="J3425" s="10">
        <v>0</v>
      </c>
      <c r="K3425" t="b">
        <v>1</v>
      </c>
    </row>
    <row r="3426" spans="1:11">
      <c r="A3426" s="12">
        <v>42069</v>
      </c>
      <c r="B3426">
        <v>2015</v>
      </c>
      <c r="C3426">
        <v>3</v>
      </c>
      <c r="D3426" s="11">
        <v>42064</v>
      </c>
      <c r="E3426" t="s">
        <v>2175</v>
      </c>
      <c r="F3426">
        <v>5</v>
      </c>
      <c r="G3426" t="s">
        <v>55</v>
      </c>
      <c r="H3426" t="s">
        <v>40</v>
      </c>
      <c r="I3426" t="s">
        <v>2188</v>
      </c>
      <c r="J3426" s="10">
        <v>2</v>
      </c>
      <c r="K3426" t="b">
        <v>1</v>
      </c>
    </row>
    <row r="3427" spans="1:11">
      <c r="A3427" s="12">
        <v>42069</v>
      </c>
      <c r="B3427">
        <v>2015</v>
      </c>
      <c r="C3427">
        <v>3</v>
      </c>
      <c r="D3427" s="11">
        <v>42064</v>
      </c>
      <c r="E3427" t="s">
        <v>2175</v>
      </c>
      <c r="F3427">
        <v>5</v>
      </c>
      <c r="G3427" t="s">
        <v>55</v>
      </c>
      <c r="H3427" t="s">
        <v>41</v>
      </c>
      <c r="I3427" t="s">
        <v>2189</v>
      </c>
      <c r="J3427" s="10">
        <v>2.67</v>
      </c>
      <c r="K3427" t="b">
        <v>1</v>
      </c>
    </row>
    <row r="3428" spans="1:11">
      <c r="A3428" s="12">
        <v>42069</v>
      </c>
      <c r="B3428">
        <v>2015</v>
      </c>
      <c r="C3428">
        <v>3</v>
      </c>
      <c r="D3428" s="11">
        <v>42064</v>
      </c>
      <c r="E3428" t="s">
        <v>2175</v>
      </c>
      <c r="F3428">
        <v>5</v>
      </c>
      <c r="G3428" t="s">
        <v>55</v>
      </c>
      <c r="H3428" t="s">
        <v>42</v>
      </c>
      <c r="I3428" t="s">
        <v>2190</v>
      </c>
      <c r="J3428" s="10">
        <v>6</v>
      </c>
      <c r="K3428" t="b">
        <v>1</v>
      </c>
    </row>
    <row r="3429" spans="1:11">
      <c r="A3429" s="12">
        <v>42069</v>
      </c>
      <c r="B3429">
        <v>2015</v>
      </c>
      <c r="C3429">
        <v>3</v>
      </c>
      <c r="D3429" s="11">
        <v>42064</v>
      </c>
      <c r="E3429" t="s">
        <v>2175</v>
      </c>
      <c r="F3429">
        <v>5</v>
      </c>
      <c r="G3429" t="s">
        <v>55</v>
      </c>
      <c r="H3429" t="s">
        <v>43</v>
      </c>
      <c r="I3429" t="s">
        <v>2191</v>
      </c>
      <c r="J3429" s="10">
        <v>19.8</v>
      </c>
      <c r="K3429" t="b">
        <v>1</v>
      </c>
    </row>
    <row r="3430" spans="1:11">
      <c r="A3430" s="12">
        <v>42069</v>
      </c>
      <c r="B3430">
        <v>2015</v>
      </c>
      <c r="C3430">
        <v>3</v>
      </c>
      <c r="D3430" s="11">
        <v>42064</v>
      </c>
      <c r="E3430" t="s">
        <v>2175</v>
      </c>
      <c r="F3430">
        <v>5</v>
      </c>
      <c r="G3430" t="s">
        <v>55</v>
      </c>
      <c r="H3430" t="s">
        <v>44</v>
      </c>
      <c r="I3430" t="s">
        <v>2192</v>
      </c>
      <c r="J3430" s="10">
        <v>4</v>
      </c>
      <c r="K3430" t="b">
        <v>1</v>
      </c>
    </row>
    <row r="3431" spans="1:11">
      <c r="A3431" s="12">
        <v>42069</v>
      </c>
      <c r="B3431">
        <v>2015</v>
      </c>
      <c r="C3431">
        <v>3</v>
      </c>
      <c r="D3431" s="11">
        <v>42064</v>
      </c>
      <c r="E3431" t="s">
        <v>2175</v>
      </c>
      <c r="F3431">
        <v>5</v>
      </c>
      <c r="G3431" t="s">
        <v>55</v>
      </c>
      <c r="H3431" t="s">
        <v>45</v>
      </c>
      <c r="I3431" t="s">
        <v>2193</v>
      </c>
      <c r="J3431" s="10">
        <v>0</v>
      </c>
      <c r="K3431" t="b">
        <v>1</v>
      </c>
    </row>
    <row r="3432" spans="1:11">
      <c r="A3432" s="12">
        <v>42069</v>
      </c>
      <c r="B3432">
        <v>2015</v>
      </c>
      <c r="C3432">
        <v>3</v>
      </c>
      <c r="D3432" s="11">
        <v>42064</v>
      </c>
      <c r="E3432" t="s">
        <v>2175</v>
      </c>
      <c r="F3432">
        <v>5</v>
      </c>
      <c r="G3432" t="s">
        <v>55</v>
      </c>
      <c r="H3432" t="s">
        <v>46</v>
      </c>
      <c r="I3432" t="s">
        <v>2194</v>
      </c>
      <c r="J3432" s="10">
        <v>1</v>
      </c>
      <c r="K3432" t="b">
        <v>1</v>
      </c>
    </row>
    <row r="3433" spans="1:11">
      <c r="A3433" s="12">
        <v>42069</v>
      </c>
      <c r="B3433">
        <v>2015</v>
      </c>
      <c r="C3433">
        <v>3</v>
      </c>
      <c r="D3433" s="11">
        <v>42064</v>
      </c>
      <c r="E3433" t="s">
        <v>2175</v>
      </c>
      <c r="F3433">
        <v>5</v>
      </c>
      <c r="G3433" t="s">
        <v>55</v>
      </c>
      <c r="H3433" t="s">
        <v>47</v>
      </c>
      <c r="I3433" t="s">
        <v>2195</v>
      </c>
      <c r="J3433" s="10">
        <v>1</v>
      </c>
      <c r="K3433" t="b">
        <v>1</v>
      </c>
    </row>
    <row r="3434" spans="1:11">
      <c r="A3434" s="12">
        <v>42070</v>
      </c>
      <c r="B3434">
        <v>2015</v>
      </c>
      <c r="C3434">
        <v>3</v>
      </c>
      <c r="D3434" s="11">
        <v>42064</v>
      </c>
      <c r="E3434" t="s">
        <v>2175</v>
      </c>
      <c r="F3434">
        <v>6</v>
      </c>
      <c r="G3434" t="s">
        <v>57</v>
      </c>
      <c r="H3434" t="s">
        <v>40</v>
      </c>
      <c r="I3434" t="s">
        <v>2188</v>
      </c>
      <c r="J3434" s="10">
        <v>3.33</v>
      </c>
      <c r="K3434" t="b">
        <v>1</v>
      </c>
    </row>
    <row r="3435" spans="1:11">
      <c r="A3435" s="12">
        <v>42070</v>
      </c>
      <c r="B3435">
        <v>2015</v>
      </c>
      <c r="C3435">
        <v>3</v>
      </c>
      <c r="D3435" s="11">
        <v>42064</v>
      </c>
      <c r="E3435" t="s">
        <v>2175</v>
      </c>
      <c r="F3435">
        <v>6</v>
      </c>
      <c r="G3435" t="s">
        <v>57</v>
      </c>
      <c r="H3435" t="s">
        <v>41</v>
      </c>
      <c r="I3435" t="s">
        <v>2189</v>
      </c>
      <c r="J3435" s="10">
        <v>1</v>
      </c>
      <c r="K3435" t="b">
        <v>1</v>
      </c>
    </row>
    <row r="3436" spans="1:11">
      <c r="A3436" s="12">
        <v>42070</v>
      </c>
      <c r="B3436">
        <v>2015</v>
      </c>
      <c r="C3436">
        <v>3</v>
      </c>
      <c r="D3436" s="11">
        <v>42064</v>
      </c>
      <c r="E3436" t="s">
        <v>2175</v>
      </c>
      <c r="F3436">
        <v>6</v>
      </c>
      <c r="G3436" t="s">
        <v>57</v>
      </c>
      <c r="H3436" t="s">
        <v>42</v>
      </c>
      <c r="I3436" t="s">
        <v>2190</v>
      </c>
      <c r="J3436" s="10">
        <v>1</v>
      </c>
      <c r="K3436" t="b">
        <v>1</v>
      </c>
    </row>
    <row r="3437" spans="1:11">
      <c r="A3437" s="12">
        <v>42070</v>
      </c>
      <c r="B3437">
        <v>2015</v>
      </c>
      <c r="C3437">
        <v>3</v>
      </c>
      <c r="D3437" s="11">
        <v>42064</v>
      </c>
      <c r="E3437" t="s">
        <v>2175</v>
      </c>
      <c r="F3437">
        <v>6</v>
      </c>
      <c r="G3437" t="s">
        <v>57</v>
      </c>
      <c r="H3437" t="s">
        <v>43</v>
      </c>
      <c r="I3437" t="s">
        <v>2191</v>
      </c>
      <c r="J3437" s="10">
        <v>2</v>
      </c>
      <c r="K3437" t="b">
        <v>1</v>
      </c>
    </row>
    <row r="3438" spans="1:11">
      <c r="A3438" s="12">
        <v>42070</v>
      </c>
      <c r="B3438">
        <v>2015</v>
      </c>
      <c r="C3438">
        <v>3</v>
      </c>
      <c r="D3438" s="11">
        <v>42064</v>
      </c>
      <c r="E3438" t="s">
        <v>2175</v>
      </c>
      <c r="F3438">
        <v>6</v>
      </c>
      <c r="G3438" t="s">
        <v>57</v>
      </c>
      <c r="H3438" t="s">
        <v>44</v>
      </c>
      <c r="I3438" t="s">
        <v>2192</v>
      </c>
      <c r="J3438" s="10">
        <v>0</v>
      </c>
      <c r="K3438" t="b">
        <v>1</v>
      </c>
    </row>
    <row r="3439" spans="1:11">
      <c r="A3439" s="12">
        <v>42070</v>
      </c>
      <c r="B3439">
        <v>2015</v>
      </c>
      <c r="C3439">
        <v>3</v>
      </c>
      <c r="D3439" s="11">
        <v>42064</v>
      </c>
      <c r="E3439" t="s">
        <v>2175</v>
      </c>
      <c r="F3439">
        <v>6</v>
      </c>
      <c r="G3439" t="s">
        <v>57</v>
      </c>
      <c r="H3439" t="s">
        <v>45</v>
      </c>
      <c r="I3439" t="s">
        <v>2193</v>
      </c>
      <c r="J3439" s="10">
        <v>0</v>
      </c>
      <c r="K3439" t="b">
        <v>1</v>
      </c>
    </row>
    <row r="3440" spans="1:11">
      <c r="A3440" s="12">
        <v>42070</v>
      </c>
      <c r="B3440">
        <v>2015</v>
      </c>
      <c r="C3440">
        <v>3</v>
      </c>
      <c r="D3440" s="11">
        <v>42064</v>
      </c>
      <c r="E3440" t="s">
        <v>2175</v>
      </c>
      <c r="F3440">
        <v>6</v>
      </c>
      <c r="G3440" t="s">
        <v>57</v>
      </c>
      <c r="H3440" t="s">
        <v>46</v>
      </c>
      <c r="I3440" t="s">
        <v>2194</v>
      </c>
      <c r="J3440" s="10">
        <v>0</v>
      </c>
      <c r="K3440" t="b">
        <v>1</v>
      </c>
    </row>
    <row r="3441" spans="1:11">
      <c r="A3441" s="12">
        <v>42070</v>
      </c>
      <c r="B3441">
        <v>2015</v>
      </c>
      <c r="C3441">
        <v>3</v>
      </c>
      <c r="D3441" s="11">
        <v>42064</v>
      </c>
      <c r="E3441" t="s">
        <v>2175</v>
      </c>
      <c r="F3441">
        <v>6</v>
      </c>
      <c r="G3441" t="s">
        <v>57</v>
      </c>
      <c r="H3441" t="s">
        <v>47</v>
      </c>
      <c r="I3441" t="s">
        <v>2195</v>
      </c>
      <c r="J3441" s="10">
        <v>0</v>
      </c>
      <c r="K3441" t="b">
        <v>1</v>
      </c>
    </row>
    <row r="3442" spans="1:11">
      <c r="A3442" s="12">
        <v>42071</v>
      </c>
      <c r="B3442">
        <v>2015</v>
      </c>
      <c r="C3442">
        <v>3</v>
      </c>
      <c r="D3442" s="11">
        <v>42064</v>
      </c>
      <c r="E3442" t="s">
        <v>2175</v>
      </c>
      <c r="F3442">
        <v>7</v>
      </c>
      <c r="G3442" t="s">
        <v>59</v>
      </c>
      <c r="H3442" t="s">
        <v>40</v>
      </c>
      <c r="I3442" t="s">
        <v>2188</v>
      </c>
      <c r="J3442" s="10">
        <v>6</v>
      </c>
      <c r="K3442" t="b">
        <v>1</v>
      </c>
    </row>
    <row r="3443" spans="1:11">
      <c r="A3443" s="12">
        <v>42071</v>
      </c>
      <c r="B3443">
        <v>2015</v>
      </c>
      <c r="C3443">
        <v>3</v>
      </c>
      <c r="D3443" s="11">
        <v>42064</v>
      </c>
      <c r="E3443" t="s">
        <v>2175</v>
      </c>
      <c r="F3443">
        <v>7</v>
      </c>
      <c r="G3443" t="s">
        <v>59</v>
      </c>
      <c r="H3443" t="s">
        <v>41</v>
      </c>
      <c r="I3443" t="s">
        <v>2189</v>
      </c>
      <c r="J3443" s="10">
        <v>3.397</v>
      </c>
      <c r="K3443" t="b">
        <v>1</v>
      </c>
    </row>
    <row r="3444" spans="1:11">
      <c r="A3444" s="12">
        <v>42071</v>
      </c>
      <c r="B3444">
        <v>2015</v>
      </c>
      <c r="C3444">
        <v>3</v>
      </c>
      <c r="D3444" s="11">
        <v>42064</v>
      </c>
      <c r="E3444" t="s">
        <v>2175</v>
      </c>
      <c r="F3444">
        <v>7</v>
      </c>
      <c r="G3444" t="s">
        <v>59</v>
      </c>
      <c r="H3444" t="s">
        <v>42</v>
      </c>
      <c r="I3444" t="s">
        <v>2190</v>
      </c>
      <c r="J3444" s="10">
        <v>2.4</v>
      </c>
      <c r="K3444" t="b">
        <v>1</v>
      </c>
    </row>
    <row r="3445" spans="1:11">
      <c r="A3445" s="12">
        <v>42071</v>
      </c>
      <c r="B3445">
        <v>2015</v>
      </c>
      <c r="C3445">
        <v>3</v>
      </c>
      <c r="D3445" s="11">
        <v>42064</v>
      </c>
      <c r="E3445" t="s">
        <v>2175</v>
      </c>
      <c r="F3445">
        <v>7</v>
      </c>
      <c r="G3445" t="s">
        <v>59</v>
      </c>
      <c r="H3445" t="s">
        <v>43</v>
      </c>
      <c r="I3445" t="s">
        <v>2191</v>
      </c>
      <c r="J3445" s="10">
        <v>55.4</v>
      </c>
      <c r="K3445" t="b">
        <v>1</v>
      </c>
    </row>
    <row r="3446" spans="1:11">
      <c r="A3446" s="12">
        <v>42071</v>
      </c>
      <c r="B3446">
        <v>2015</v>
      </c>
      <c r="C3446">
        <v>3</v>
      </c>
      <c r="D3446" s="11">
        <v>42064</v>
      </c>
      <c r="E3446" t="s">
        <v>2175</v>
      </c>
      <c r="F3446">
        <v>7</v>
      </c>
      <c r="G3446" t="s">
        <v>59</v>
      </c>
      <c r="H3446" t="s">
        <v>44</v>
      </c>
      <c r="I3446" t="s">
        <v>2192</v>
      </c>
      <c r="J3446" s="10">
        <v>9</v>
      </c>
      <c r="K3446" t="b">
        <v>1</v>
      </c>
    </row>
    <row r="3447" spans="1:11">
      <c r="A3447" s="12">
        <v>42071</v>
      </c>
      <c r="B3447">
        <v>2015</v>
      </c>
      <c r="C3447">
        <v>3</v>
      </c>
      <c r="D3447" s="11">
        <v>42064</v>
      </c>
      <c r="E3447" t="s">
        <v>2175</v>
      </c>
      <c r="F3447">
        <v>7</v>
      </c>
      <c r="G3447" t="s">
        <v>59</v>
      </c>
      <c r="H3447" t="s">
        <v>45</v>
      </c>
      <c r="I3447" t="s">
        <v>2193</v>
      </c>
      <c r="J3447" s="10">
        <v>0</v>
      </c>
      <c r="K3447" t="b">
        <v>1</v>
      </c>
    </row>
    <row r="3448" spans="1:11">
      <c r="A3448" s="12">
        <v>42071</v>
      </c>
      <c r="B3448">
        <v>2015</v>
      </c>
      <c r="C3448">
        <v>3</v>
      </c>
      <c r="D3448" s="11">
        <v>42064</v>
      </c>
      <c r="E3448" t="s">
        <v>2175</v>
      </c>
      <c r="F3448">
        <v>7</v>
      </c>
      <c r="G3448" t="s">
        <v>59</v>
      </c>
      <c r="H3448" t="s">
        <v>46</v>
      </c>
      <c r="I3448" t="s">
        <v>2194</v>
      </c>
      <c r="J3448" s="10">
        <v>2</v>
      </c>
      <c r="K3448" t="b">
        <v>1</v>
      </c>
    </row>
    <row r="3449" spans="1:11">
      <c r="A3449" s="12">
        <v>42071</v>
      </c>
      <c r="B3449">
        <v>2015</v>
      </c>
      <c r="C3449">
        <v>3</v>
      </c>
      <c r="D3449" s="11">
        <v>42064</v>
      </c>
      <c r="E3449" t="s">
        <v>2175</v>
      </c>
      <c r="F3449">
        <v>7</v>
      </c>
      <c r="G3449" t="s">
        <v>59</v>
      </c>
      <c r="H3449" t="s">
        <v>47</v>
      </c>
      <c r="I3449" t="s">
        <v>2195</v>
      </c>
      <c r="J3449" s="10">
        <v>1</v>
      </c>
      <c r="K3449" t="b">
        <v>1</v>
      </c>
    </row>
    <row r="3450" spans="1:11">
      <c r="A3450" s="12">
        <v>42072</v>
      </c>
      <c r="B3450">
        <v>2015</v>
      </c>
      <c r="C3450">
        <v>3</v>
      </c>
      <c r="D3450" s="11">
        <v>42064</v>
      </c>
      <c r="E3450" t="s">
        <v>2175</v>
      </c>
      <c r="F3450">
        <v>1</v>
      </c>
      <c r="G3450" t="s">
        <v>61</v>
      </c>
      <c r="H3450" t="s">
        <v>40</v>
      </c>
      <c r="I3450" t="s">
        <v>2188</v>
      </c>
      <c r="J3450" s="10">
        <v>2</v>
      </c>
      <c r="K3450" t="b">
        <v>1</v>
      </c>
    </row>
    <row r="3451" spans="1:11">
      <c r="A3451" s="12">
        <v>42072</v>
      </c>
      <c r="B3451">
        <v>2015</v>
      </c>
      <c r="C3451">
        <v>3</v>
      </c>
      <c r="D3451" s="11">
        <v>42064</v>
      </c>
      <c r="E3451" t="s">
        <v>2175</v>
      </c>
      <c r="F3451">
        <v>1</v>
      </c>
      <c r="G3451" t="s">
        <v>61</v>
      </c>
      <c r="H3451" t="s">
        <v>41</v>
      </c>
      <c r="I3451" t="s">
        <v>2189</v>
      </c>
      <c r="J3451" s="10">
        <v>3</v>
      </c>
      <c r="K3451" t="b">
        <v>1</v>
      </c>
    </row>
    <row r="3452" spans="1:11">
      <c r="A3452" s="12">
        <v>42072</v>
      </c>
      <c r="B3452">
        <v>2015</v>
      </c>
      <c r="C3452">
        <v>3</v>
      </c>
      <c r="D3452" s="11">
        <v>42064</v>
      </c>
      <c r="E3452" t="s">
        <v>2175</v>
      </c>
      <c r="F3452">
        <v>1</v>
      </c>
      <c r="G3452" t="s">
        <v>61</v>
      </c>
      <c r="H3452" t="s">
        <v>42</v>
      </c>
      <c r="I3452" t="s">
        <v>2190</v>
      </c>
      <c r="J3452" s="10">
        <v>5</v>
      </c>
      <c r="K3452" t="b">
        <v>1</v>
      </c>
    </row>
    <row r="3453" spans="1:11">
      <c r="A3453" s="12">
        <v>42072</v>
      </c>
      <c r="B3453">
        <v>2015</v>
      </c>
      <c r="C3453">
        <v>3</v>
      </c>
      <c r="D3453" s="11">
        <v>42064</v>
      </c>
      <c r="E3453" t="s">
        <v>2175</v>
      </c>
      <c r="F3453">
        <v>1</v>
      </c>
      <c r="G3453" t="s">
        <v>61</v>
      </c>
      <c r="H3453" t="s">
        <v>43</v>
      </c>
      <c r="I3453" t="s">
        <v>2191</v>
      </c>
      <c r="J3453" s="10">
        <v>32.7</v>
      </c>
      <c r="K3453" t="b">
        <v>1</v>
      </c>
    </row>
    <row r="3454" spans="1:11">
      <c r="A3454" s="12">
        <v>42072</v>
      </c>
      <c r="B3454">
        <v>2015</v>
      </c>
      <c r="C3454">
        <v>3</v>
      </c>
      <c r="D3454" s="11">
        <v>42064</v>
      </c>
      <c r="E3454" t="s">
        <v>2175</v>
      </c>
      <c r="F3454">
        <v>1</v>
      </c>
      <c r="G3454" t="s">
        <v>61</v>
      </c>
      <c r="H3454" t="s">
        <v>44</v>
      </c>
      <c r="I3454" t="s">
        <v>2192</v>
      </c>
      <c r="J3454" s="10">
        <v>10</v>
      </c>
      <c r="K3454" t="b">
        <v>1</v>
      </c>
    </row>
    <row r="3455" spans="1:11">
      <c r="A3455" s="12">
        <v>42072</v>
      </c>
      <c r="B3455">
        <v>2015</v>
      </c>
      <c r="C3455">
        <v>3</v>
      </c>
      <c r="D3455" s="11">
        <v>42064</v>
      </c>
      <c r="E3455" t="s">
        <v>2175</v>
      </c>
      <c r="F3455">
        <v>1</v>
      </c>
      <c r="G3455" t="s">
        <v>61</v>
      </c>
      <c r="H3455" t="s">
        <v>45</v>
      </c>
      <c r="I3455" t="s">
        <v>2193</v>
      </c>
      <c r="J3455" s="10">
        <v>0</v>
      </c>
      <c r="K3455" t="b">
        <v>1</v>
      </c>
    </row>
    <row r="3456" spans="1:11">
      <c r="A3456" s="12">
        <v>42072</v>
      </c>
      <c r="B3456">
        <v>2015</v>
      </c>
      <c r="C3456">
        <v>3</v>
      </c>
      <c r="D3456" s="11">
        <v>42064</v>
      </c>
      <c r="E3456" t="s">
        <v>2175</v>
      </c>
      <c r="F3456">
        <v>1</v>
      </c>
      <c r="G3456" t="s">
        <v>61</v>
      </c>
      <c r="H3456" t="s">
        <v>46</v>
      </c>
      <c r="I3456" t="s">
        <v>2194</v>
      </c>
      <c r="J3456" s="10">
        <v>1</v>
      </c>
      <c r="K3456" t="b">
        <v>1</v>
      </c>
    </row>
    <row r="3457" spans="1:11">
      <c r="A3457" s="12">
        <v>42072</v>
      </c>
      <c r="B3457">
        <v>2015</v>
      </c>
      <c r="C3457">
        <v>3</v>
      </c>
      <c r="D3457" s="11">
        <v>42064</v>
      </c>
      <c r="E3457" t="s">
        <v>2175</v>
      </c>
      <c r="F3457">
        <v>1</v>
      </c>
      <c r="G3457" t="s">
        <v>61</v>
      </c>
      <c r="H3457" t="s">
        <v>47</v>
      </c>
      <c r="I3457" t="s">
        <v>2195</v>
      </c>
      <c r="J3457" s="10">
        <v>1</v>
      </c>
      <c r="K3457" t="b">
        <v>1</v>
      </c>
    </row>
    <row r="3458" spans="1:11">
      <c r="A3458" s="12">
        <v>42073</v>
      </c>
      <c r="B3458">
        <v>2015</v>
      </c>
      <c r="C3458">
        <v>3</v>
      </c>
      <c r="D3458" s="11">
        <v>42064</v>
      </c>
      <c r="E3458" t="s">
        <v>2175</v>
      </c>
      <c r="F3458">
        <v>2</v>
      </c>
      <c r="G3458" t="s">
        <v>63</v>
      </c>
      <c r="H3458" t="s">
        <v>40</v>
      </c>
      <c r="I3458" t="s">
        <v>2188</v>
      </c>
      <c r="J3458" s="10">
        <v>1.34</v>
      </c>
      <c r="K3458" t="b">
        <v>1</v>
      </c>
    </row>
    <row r="3459" spans="1:11">
      <c r="A3459" s="12">
        <v>42073</v>
      </c>
      <c r="B3459">
        <v>2015</v>
      </c>
      <c r="C3459">
        <v>3</v>
      </c>
      <c r="D3459" s="11">
        <v>42064</v>
      </c>
      <c r="E3459" t="s">
        <v>2175</v>
      </c>
      <c r="F3459">
        <v>2</v>
      </c>
      <c r="G3459" t="s">
        <v>63</v>
      </c>
      <c r="H3459" t="s">
        <v>41</v>
      </c>
      <c r="I3459" t="s">
        <v>2189</v>
      </c>
      <c r="J3459" s="10">
        <v>3.66</v>
      </c>
      <c r="K3459" t="b">
        <v>1</v>
      </c>
    </row>
    <row r="3460" spans="1:11">
      <c r="A3460" s="12">
        <v>42073</v>
      </c>
      <c r="B3460">
        <v>2015</v>
      </c>
      <c r="C3460">
        <v>3</v>
      </c>
      <c r="D3460" s="11">
        <v>42064</v>
      </c>
      <c r="E3460" t="s">
        <v>2175</v>
      </c>
      <c r="F3460">
        <v>2</v>
      </c>
      <c r="G3460" t="s">
        <v>63</v>
      </c>
      <c r="H3460" t="s">
        <v>42</v>
      </c>
      <c r="I3460" t="s">
        <v>2190</v>
      </c>
      <c r="J3460" s="10">
        <v>5</v>
      </c>
      <c r="K3460" t="b">
        <v>1</v>
      </c>
    </row>
    <row r="3461" spans="1:11">
      <c r="A3461" s="12">
        <v>42073</v>
      </c>
      <c r="B3461">
        <v>2015</v>
      </c>
      <c r="C3461">
        <v>3</v>
      </c>
      <c r="D3461" s="11">
        <v>42064</v>
      </c>
      <c r="E3461" t="s">
        <v>2175</v>
      </c>
      <c r="F3461">
        <v>2</v>
      </c>
      <c r="G3461" t="s">
        <v>63</v>
      </c>
      <c r="H3461" t="s">
        <v>43</v>
      </c>
      <c r="I3461" t="s">
        <v>2191</v>
      </c>
      <c r="J3461" s="10">
        <v>40.4</v>
      </c>
      <c r="K3461" t="b">
        <v>1</v>
      </c>
    </row>
    <row r="3462" spans="1:11">
      <c r="A3462" s="12">
        <v>42073</v>
      </c>
      <c r="B3462">
        <v>2015</v>
      </c>
      <c r="C3462">
        <v>3</v>
      </c>
      <c r="D3462" s="11">
        <v>42064</v>
      </c>
      <c r="E3462" t="s">
        <v>2175</v>
      </c>
      <c r="F3462">
        <v>2</v>
      </c>
      <c r="G3462" t="s">
        <v>63</v>
      </c>
      <c r="H3462" t="s">
        <v>44</v>
      </c>
      <c r="I3462" t="s">
        <v>2192</v>
      </c>
      <c r="J3462" s="10">
        <v>6</v>
      </c>
      <c r="K3462" t="b">
        <v>1</v>
      </c>
    </row>
    <row r="3463" spans="1:11">
      <c r="A3463" s="12">
        <v>42073</v>
      </c>
      <c r="B3463">
        <v>2015</v>
      </c>
      <c r="C3463">
        <v>3</v>
      </c>
      <c r="D3463" s="11">
        <v>42064</v>
      </c>
      <c r="E3463" t="s">
        <v>2175</v>
      </c>
      <c r="F3463">
        <v>2</v>
      </c>
      <c r="G3463" t="s">
        <v>63</v>
      </c>
      <c r="H3463" t="s">
        <v>45</v>
      </c>
      <c r="I3463" t="s">
        <v>2193</v>
      </c>
      <c r="J3463" s="10">
        <v>0</v>
      </c>
      <c r="K3463" t="b">
        <v>1</v>
      </c>
    </row>
    <row r="3464" spans="1:11">
      <c r="A3464" s="12">
        <v>42073</v>
      </c>
      <c r="B3464">
        <v>2015</v>
      </c>
      <c r="C3464">
        <v>3</v>
      </c>
      <c r="D3464" s="11">
        <v>42064</v>
      </c>
      <c r="E3464" t="s">
        <v>2175</v>
      </c>
      <c r="F3464">
        <v>2</v>
      </c>
      <c r="G3464" t="s">
        <v>63</v>
      </c>
      <c r="H3464" t="s">
        <v>46</v>
      </c>
      <c r="I3464" t="s">
        <v>2194</v>
      </c>
      <c r="J3464" s="10">
        <v>6</v>
      </c>
      <c r="K3464" t="b">
        <v>1</v>
      </c>
    </row>
    <row r="3465" spans="1:11">
      <c r="A3465" s="12">
        <v>42073</v>
      </c>
      <c r="B3465">
        <v>2015</v>
      </c>
      <c r="C3465">
        <v>3</v>
      </c>
      <c r="D3465" s="11">
        <v>42064</v>
      </c>
      <c r="E3465" t="s">
        <v>2175</v>
      </c>
      <c r="F3465">
        <v>2</v>
      </c>
      <c r="G3465" t="s">
        <v>63</v>
      </c>
      <c r="H3465" t="s">
        <v>47</v>
      </c>
      <c r="I3465" t="s">
        <v>2195</v>
      </c>
      <c r="J3465" s="10">
        <v>3</v>
      </c>
      <c r="K3465" t="b">
        <v>1</v>
      </c>
    </row>
    <row r="3466" spans="1:11">
      <c r="A3466" s="12">
        <v>42074</v>
      </c>
      <c r="B3466">
        <v>2015</v>
      </c>
      <c r="C3466">
        <v>3</v>
      </c>
      <c r="D3466" s="11">
        <v>42064</v>
      </c>
      <c r="E3466" t="s">
        <v>2175</v>
      </c>
      <c r="F3466">
        <v>3</v>
      </c>
      <c r="G3466" t="s">
        <v>65</v>
      </c>
      <c r="H3466" t="s">
        <v>40</v>
      </c>
      <c r="I3466" t="s">
        <v>2188</v>
      </c>
      <c r="J3466" s="10">
        <v>11</v>
      </c>
      <c r="K3466" t="b">
        <v>1</v>
      </c>
    </row>
    <row r="3467" spans="1:11">
      <c r="A3467" s="12">
        <v>42074</v>
      </c>
      <c r="B3467">
        <v>2015</v>
      </c>
      <c r="C3467">
        <v>3</v>
      </c>
      <c r="D3467" s="11">
        <v>42064</v>
      </c>
      <c r="E3467" t="s">
        <v>2175</v>
      </c>
      <c r="F3467">
        <v>3</v>
      </c>
      <c r="G3467" t="s">
        <v>65</v>
      </c>
      <c r="H3467" t="s">
        <v>41</v>
      </c>
      <c r="I3467" t="s">
        <v>2189</v>
      </c>
      <c r="J3467" s="10">
        <v>5</v>
      </c>
      <c r="K3467" t="b">
        <v>1</v>
      </c>
    </row>
    <row r="3468" spans="1:11">
      <c r="A3468" s="12">
        <v>42074</v>
      </c>
      <c r="B3468">
        <v>2015</v>
      </c>
      <c r="C3468">
        <v>3</v>
      </c>
      <c r="D3468" s="11">
        <v>42064</v>
      </c>
      <c r="E3468" t="s">
        <v>2175</v>
      </c>
      <c r="F3468">
        <v>3</v>
      </c>
      <c r="G3468" t="s">
        <v>65</v>
      </c>
      <c r="H3468" t="s">
        <v>42</v>
      </c>
      <c r="I3468" t="s">
        <v>2190</v>
      </c>
      <c r="J3468" s="10">
        <v>3.2</v>
      </c>
      <c r="K3468" t="b">
        <v>1</v>
      </c>
    </row>
    <row r="3469" spans="1:11">
      <c r="A3469" s="12">
        <v>42074</v>
      </c>
      <c r="B3469">
        <v>2015</v>
      </c>
      <c r="C3469">
        <v>3</v>
      </c>
      <c r="D3469" s="11">
        <v>42064</v>
      </c>
      <c r="E3469" t="s">
        <v>2175</v>
      </c>
      <c r="F3469">
        <v>3</v>
      </c>
      <c r="G3469" t="s">
        <v>65</v>
      </c>
      <c r="H3469" t="s">
        <v>43</v>
      </c>
      <c r="I3469" t="s">
        <v>2191</v>
      </c>
      <c r="J3469" s="10">
        <v>32</v>
      </c>
      <c r="K3469" t="b">
        <v>1</v>
      </c>
    </row>
    <row r="3470" spans="1:11">
      <c r="A3470" s="12">
        <v>42074</v>
      </c>
      <c r="B3470">
        <v>2015</v>
      </c>
      <c r="C3470">
        <v>3</v>
      </c>
      <c r="D3470" s="11">
        <v>42064</v>
      </c>
      <c r="E3470" t="s">
        <v>2175</v>
      </c>
      <c r="F3470">
        <v>3</v>
      </c>
      <c r="G3470" t="s">
        <v>65</v>
      </c>
      <c r="H3470" t="s">
        <v>44</v>
      </c>
      <c r="I3470" t="s">
        <v>2192</v>
      </c>
      <c r="J3470" s="10">
        <v>9</v>
      </c>
      <c r="K3470" t="b">
        <v>1</v>
      </c>
    </row>
    <row r="3471" spans="1:11">
      <c r="A3471" s="12">
        <v>42074</v>
      </c>
      <c r="B3471">
        <v>2015</v>
      </c>
      <c r="C3471">
        <v>3</v>
      </c>
      <c r="D3471" s="11">
        <v>42064</v>
      </c>
      <c r="E3471" t="s">
        <v>2175</v>
      </c>
      <c r="F3471">
        <v>3</v>
      </c>
      <c r="G3471" t="s">
        <v>65</v>
      </c>
      <c r="H3471" t="s">
        <v>45</v>
      </c>
      <c r="I3471" t="s">
        <v>2193</v>
      </c>
      <c r="J3471" s="10">
        <v>0</v>
      </c>
      <c r="K3471" t="b">
        <v>1</v>
      </c>
    </row>
    <row r="3472" spans="1:11">
      <c r="A3472" s="12">
        <v>42074</v>
      </c>
      <c r="B3472">
        <v>2015</v>
      </c>
      <c r="C3472">
        <v>3</v>
      </c>
      <c r="D3472" s="11">
        <v>42064</v>
      </c>
      <c r="E3472" t="s">
        <v>2175</v>
      </c>
      <c r="F3472">
        <v>3</v>
      </c>
      <c r="G3472" t="s">
        <v>65</v>
      </c>
      <c r="H3472" t="s">
        <v>46</v>
      </c>
      <c r="I3472" t="s">
        <v>2194</v>
      </c>
      <c r="J3472" s="10">
        <v>4</v>
      </c>
      <c r="K3472" t="b">
        <v>1</v>
      </c>
    </row>
    <row r="3473" spans="1:11">
      <c r="A3473" s="12">
        <v>42074</v>
      </c>
      <c r="B3473">
        <v>2015</v>
      </c>
      <c r="C3473">
        <v>3</v>
      </c>
      <c r="D3473" s="11">
        <v>42064</v>
      </c>
      <c r="E3473" t="s">
        <v>2175</v>
      </c>
      <c r="F3473">
        <v>3</v>
      </c>
      <c r="G3473" t="s">
        <v>65</v>
      </c>
      <c r="H3473" t="s">
        <v>47</v>
      </c>
      <c r="I3473" t="s">
        <v>2195</v>
      </c>
      <c r="J3473" s="10">
        <v>0</v>
      </c>
      <c r="K3473" t="b">
        <v>1</v>
      </c>
    </row>
    <row r="3474" spans="1:11">
      <c r="A3474" s="12">
        <v>42075</v>
      </c>
      <c r="B3474">
        <v>2015</v>
      </c>
      <c r="C3474">
        <v>3</v>
      </c>
      <c r="D3474" s="11">
        <v>42064</v>
      </c>
      <c r="E3474" t="s">
        <v>2175</v>
      </c>
      <c r="F3474">
        <v>4</v>
      </c>
      <c r="G3474" t="s">
        <v>53</v>
      </c>
      <c r="H3474" t="s">
        <v>40</v>
      </c>
      <c r="I3474" t="s">
        <v>2188</v>
      </c>
      <c r="J3474" s="10">
        <v>2.68</v>
      </c>
      <c r="K3474" t="b">
        <v>1</v>
      </c>
    </row>
    <row r="3475" spans="1:11">
      <c r="A3475" s="12">
        <v>42075</v>
      </c>
      <c r="B3475">
        <v>2015</v>
      </c>
      <c r="C3475">
        <v>3</v>
      </c>
      <c r="D3475" s="11">
        <v>42064</v>
      </c>
      <c r="E3475" t="s">
        <v>2175</v>
      </c>
      <c r="F3475">
        <v>4</v>
      </c>
      <c r="G3475" t="s">
        <v>53</v>
      </c>
      <c r="H3475" t="s">
        <v>41</v>
      </c>
      <c r="I3475" t="s">
        <v>2189</v>
      </c>
      <c r="J3475" s="10">
        <v>6.387</v>
      </c>
      <c r="K3475" t="b">
        <v>1</v>
      </c>
    </row>
    <row r="3476" spans="1:11">
      <c r="A3476" s="12">
        <v>42075</v>
      </c>
      <c r="B3476">
        <v>2015</v>
      </c>
      <c r="C3476">
        <v>3</v>
      </c>
      <c r="D3476" s="11">
        <v>42064</v>
      </c>
      <c r="E3476" t="s">
        <v>2175</v>
      </c>
      <c r="F3476">
        <v>4</v>
      </c>
      <c r="G3476" t="s">
        <v>53</v>
      </c>
      <c r="H3476" t="s">
        <v>42</v>
      </c>
      <c r="I3476" t="s">
        <v>2190</v>
      </c>
      <c r="J3476" s="10">
        <v>6.1</v>
      </c>
      <c r="K3476" t="b">
        <v>1</v>
      </c>
    </row>
    <row r="3477" spans="1:11">
      <c r="A3477" s="12">
        <v>42075</v>
      </c>
      <c r="B3477">
        <v>2015</v>
      </c>
      <c r="C3477">
        <v>3</v>
      </c>
      <c r="D3477" s="11">
        <v>42064</v>
      </c>
      <c r="E3477" t="s">
        <v>2175</v>
      </c>
      <c r="F3477">
        <v>4</v>
      </c>
      <c r="G3477" t="s">
        <v>53</v>
      </c>
      <c r="H3477" t="s">
        <v>43</v>
      </c>
      <c r="I3477" t="s">
        <v>2191</v>
      </c>
      <c r="J3477" s="10">
        <v>19</v>
      </c>
      <c r="K3477" t="b">
        <v>1</v>
      </c>
    </row>
    <row r="3478" spans="1:11">
      <c r="A3478" s="12">
        <v>42075</v>
      </c>
      <c r="B3478">
        <v>2015</v>
      </c>
      <c r="C3478">
        <v>3</v>
      </c>
      <c r="D3478" s="11">
        <v>42064</v>
      </c>
      <c r="E3478" t="s">
        <v>2175</v>
      </c>
      <c r="F3478">
        <v>4</v>
      </c>
      <c r="G3478" t="s">
        <v>53</v>
      </c>
      <c r="H3478" t="s">
        <v>44</v>
      </c>
      <c r="I3478" t="s">
        <v>2192</v>
      </c>
      <c r="J3478" s="10">
        <v>5</v>
      </c>
      <c r="K3478" t="b">
        <v>1</v>
      </c>
    </row>
    <row r="3479" spans="1:11">
      <c r="A3479" s="12">
        <v>42075</v>
      </c>
      <c r="B3479">
        <v>2015</v>
      </c>
      <c r="C3479">
        <v>3</v>
      </c>
      <c r="D3479" s="11">
        <v>42064</v>
      </c>
      <c r="E3479" t="s">
        <v>2175</v>
      </c>
      <c r="F3479">
        <v>4</v>
      </c>
      <c r="G3479" t="s">
        <v>53</v>
      </c>
      <c r="H3479" t="s">
        <v>45</v>
      </c>
      <c r="I3479" t="s">
        <v>2193</v>
      </c>
      <c r="J3479" s="10">
        <v>0</v>
      </c>
      <c r="K3479" t="b">
        <v>1</v>
      </c>
    </row>
    <row r="3480" spans="1:11">
      <c r="A3480" s="12">
        <v>42075</v>
      </c>
      <c r="B3480">
        <v>2015</v>
      </c>
      <c r="C3480">
        <v>3</v>
      </c>
      <c r="D3480" s="11">
        <v>42064</v>
      </c>
      <c r="E3480" t="s">
        <v>2175</v>
      </c>
      <c r="F3480">
        <v>4</v>
      </c>
      <c r="G3480" t="s">
        <v>53</v>
      </c>
      <c r="H3480" t="s">
        <v>46</v>
      </c>
      <c r="I3480" t="s">
        <v>2194</v>
      </c>
      <c r="J3480" s="10">
        <v>2</v>
      </c>
      <c r="K3480" t="b">
        <v>1</v>
      </c>
    </row>
    <row r="3481" spans="1:11">
      <c r="A3481" s="12">
        <v>42075</v>
      </c>
      <c r="B3481">
        <v>2015</v>
      </c>
      <c r="C3481">
        <v>3</v>
      </c>
      <c r="D3481" s="11">
        <v>42064</v>
      </c>
      <c r="E3481" t="s">
        <v>2175</v>
      </c>
      <c r="F3481">
        <v>4</v>
      </c>
      <c r="G3481" t="s">
        <v>53</v>
      </c>
      <c r="H3481" t="s">
        <v>47</v>
      </c>
      <c r="I3481" t="s">
        <v>2195</v>
      </c>
      <c r="J3481" s="10">
        <v>3</v>
      </c>
      <c r="K3481" t="b">
        <v>1</v>
      </c>
    </row>
    <row r="3482" spans="1:11">
      <c r="A3482" s="12">
        <v>42076</v>
      </c>
      <c r="B3482">
        <v>2015</v>
      </c>
      <c r="C3482">
        <v>3</v>
      </c>
      <c r="D3482" s="11">
        <v>42064</v>
      </c>
      <c r="E3482" t="s">
        <v>2175</v>
      </c>
      <c r="F3482">
        <v>5</v>
      </c>
      <c r="G3482" t="s">
        <v>55</v>
      </c>
      <c r="H3482" t="s">
        <v>40</v>
      </c>
      <c r="I3482" t="s">
        <v>2188</v>
      </c>
      <c r="J3482" s="10">
        <v>4</v>
      </c>
      <c r="K3482" t="b">
        <v>1</v>
      </c>
    </row>
    <row r="3483" spans="1:11">
      <c r="A3483" s="12">
        <v>42076</v>
      </c>
      <c r="B3483">
        <v>2015</v>
      </c>
      <c r="C3483">
        <v>3</v>
      </c>
      <c r="D3483" s="11">
        <v>42064</v>
      </c>
      <c r="E3483" t="s">
        <v>2175</v>
      </c>
      <c r="F3483">
        <v>5</v>
      </c>
      <c r="G3483" t="s">
        <v>55</v>
      </c>
      <c r="H3483" t="s">
        <v>41</v>
      </c>
      <c r="I3483" t="s">
        <v>2189</v>
      </c>
      <c r="J3483" s="10">
        <v>3.33</v>
      </c>
      <c r="K3483" t="b">
        <v>1</v>
      </c>
    </row>
    <row r="3484" spans="1:11">
      <c r="A3484" s="12">
        <v>42076</v>
      </c>
      <c r="B3484">
        <v>2015</v>
      </c>
      <c r="C3484">
        <v>3</v>
      </c>
      <c r="D3484" s="11">
        <v>42064</v>
      </c>
      <c r="E3484" t="s">
        <v>2175</v>
      </c>
      <c r="F3484">
        <v>5</v>
      </c>
      <c r="G3484" t="s">
        <v>55</v>
      </c>
      <c r="H3484" t="s">
        <v>42</v>
      </c>
      <c r="I3484" t="s">
        <v>2190</v>
      </c>
      <c r="J3484" s="10">
        <v>6.7</v>
      </c>
      <c r="K3484" t="b">
        <v>1</v>
      </c>
    </row>
    <row r="3485" spans="1:11">
      <c r="A3485" s="12">
        <v>42076</v>
      </c>
      <c r="B3485">
        <v>2015</v>
      </c>
      <c r="C3485">
        <v>3</v>
      </c>
      <c r="D3485" s="11">
        <v>42064</v>
      </c>
      <c r="E3485" t="s">
        <v>2175</v>
      </c>
      <c r="F3485">
        <v>5</v>
      </c>
      <c r="G3485" t="s">
        <v>55</v>
      </c>
      <c r="H3485" t="s">
        <v>43</v>
      </c>
      <c r="I3485" t="s">
        <v>2191</v>
      </c>
      <c r="J3485" s="10">
        <v>63.4</v>
      </c>
      <c r="K3485" t="b">
        <v>1</v>
      </c>
    </row>
    <row r="3486" spans="1:11">
      <c r="A3486" s="12">
        <v>42076</v>
      </c>
      <c r="B3486">
        <v>2015</v>
      </c>
      <c r="C3486">
        <v>3</v>
      </c>
      <c r="D3486" s="11">
        <v>42064</v>
      </c>
      <c r="E3486" t="s">
        <v>2175</v>
      </c>
      <c r="F3486">
        <v>5</v>
      </c>
      <c r="G3486" t="s">
        <v>55</v>
      </c>
      <c r="H3486" t="s">
        <v>44</v>
      </c>
      <c r="I3486" t="s">
        <v>2192</v>
      </c>
      <c r="J3486" s="10">
        <v>11</v>
      </c>
      <c r="K3486" t="b">
        <v>1</v>
      </c>
    </row>
    <row r="3487" spans="1:11">
      <c r="A3487" s="12">
        <v>42076</v>
      </c>
      <c r="B3487">
        <v>2015</v>
      </c>
      <c r="C3487">
        <v>3</v>
      </c>
      <c r="D3487" s="11">
        <v>42064</v>
      </c>
      <c r="E3487" t="s">
        <v>2175</v>
      </c>
      <c r="F3487">
        <v>5</v>
      </c>
      <c r="G3487" t="s">
        <v>55</v>
      </c>
      <c r="H3487" t="s">
        <v>45</v>
      </c>
      <c r="I3487" t="s">
        <v>2193</v>
      </c>
      <c r="J3487" s="10">
        <v>2</v>
      </c>
      <c r="K3487" t="b">
        <v>1</v>
      </c>
    </row>
    <row r="3488" spans="1:11">
      <c r="A3488" s="12">
        <v>42076</v>
      </c>
      <c r="B3488">
        <v>2015</v>
      </c>
      <c r="C3488">
        <v>3</v>
      </c>
      <c r="D3488" s="11">
        <v>42064</v>
      </c>
      <c r="E3488" t="s">
        <v>2175</v>
      </c>
      <c r="F3488">
        <v>5</v>
      </c>
      <c r="G3488" t="s">
        <v>55</v>
      </c>
      <c r="H3488" t="s">
        <v>46</v>
      </c>
      <c r="I3488" t="s">
        <v>2194</v>
      </c>
      <c r="J3488" s="10">
        <v>1</v>
      </c>
      <c r="K3488" t="b">
        <v>1</v>
      </c>
    </row>
    <row r="3489" spans="1:11">
      <c r="A3489" s="12">
        <v>42076</v>
      </c>
      <c r="B3489">
        <v>2015</v>
      </c>
      <c r="C3489">
        <v>3</v>
      </c>
      <c r="D3489" s="11">
        <v>42064</v>
      </c>
      <c r="E3489" t="s">
        <v>2175</v>
      </c>
      <c r="F3489">
        <v>5</v>
      </c>
      <c r="G3489" t="s">
        <v>55</v>
      </c>
      <c r="H3489" t="s">
        <v>47</v>
      </c>
      <c r="I3489" t="s">
        <v>2195</v>
      </c>
      <c r="J3489" s="10">
        <v>0</v>
      </c>
      <c r="K3489" t="b">
        <v>1</v>
      </c>
    </row>
    <row r="3490" spans="1:11">
      <c r="A3490" s="12">
        <v>42077</v>
      </c>
      <c r="B3490">
        <v>2015</v>
      </c>
      <c r="C3490">
        <v>3</v>
      </c>
      <c r="D3490" s="11">
        <v>42064</v>
      </c>
      <c r="E3490" t="s">
        <v>2175</v>
      </c>
      <c r="F3490">
        <v>6</v>
      </c>
      <c r="G3490" t="s">
        <v>57</v>
      </c>
      <c r="H3490" t="s">
        <v>40</v>
      </c>
      <c r="I3490" t="s">
        <v>2188</v>
      </c>
      <c r="J3490" s="10">
        <v>2.66</v>
      </c>
      <c r="K3490" t="b">
        <v>1</v>
      </c>
    </row>
    <row r="3491" spans="1:11">
      <c r="A3491" s="12">
        <v>42077</v>
      </c>
      <c r="B3491">
        <v>2015</v>
      </c>
      <c r="C3491">
        <v>3</v>
      </c>
      <c r="D3491" s="11">
        <v>42064</v>
      </c>
      <c r="E3491" t="s">
        <v>2175</v>
      </c>
      <c r="F3491">
        <v>6</v>
      </c>
      <c r="G3491" t="s">
        <v>57</v>
      </c>
      <c r="H3491" t="s">
        <v>41</v>
      </c>
      <c r="I3491" t="s">
        <v>2189</v>
      </c>
      <c r="J3491" s="10">
        <v>4.33</v>
      </c>
      <c r="K3491" t="b">
        <v>1</v>
      </c>
    </row>
    <row r="3492" spans="1:11">
      <c r="A3492" s="12">
        <v>42077</v>
      </c>
      <c r="B3492">
        <v>2015</v>
      </c>
      <c r="C3492">
        <v>3</v>
      </c>
      <c r="D3492" s="11">
        <v>42064</v>
      </c>
      <c r="E3492" t="s">
        <v>2175</v>
      </c>
      <c r="F3492">
        <v>6</v>
      </c>
      <c r="G3492" t="s">
        <v>57</v>
      </c>
      <c r="H3492" t="s">
        <v>42</v>
      </c>
      <c r="I3492" t="s">
        <v>2190</v>
      </c>
      <c r="J3492" s="10">
        <v>4</v>
      </c>
      <c r="K3492" t="b">
        <v>1</v>
      </c>
    </row>
    <row r="3493" spans="1:11">
      <c r="A3493" s="12">
        <v>42077</v>
      </c>
      <c r="B3493">
        <v>2015</v>
      </c>
      <c r="C3493">
        <v>3</v>
      </c>
      <c r="D3493" s="11">
        <v>42064</v>
      </c>
      <c r="E3493" t="s">
        <v>2175</v>
      </c>
      <c r="F3493">
        <v>6</v>
      </c>
      <c r="G3493" t="s">
        <v>57</v>
      </c>
      <c r="H3493" t="s">
        <v>43</v>
      </c>
      <c r="I3493" t="s">
        <v>2191</v>
      </c>
      <c r="J3493" s="10">
        <v>39.1</v>
      </c>
      <c r="K3493" t="b">
        <v>1</v>
      </c>
    </row>
    <row r="3494" spans="1:11">
      <c r="A3494" s="12">
        <v>42077</v>
      </c>
      <c r="B3494">
        <v>2015</v>
      </c>
      <c r="C3494">
        <v>3</v>
      </c>
      <c r="D3494" s="11">
        <v>42064</v>
      </c>
      <c r="E3494" t="s">
        <v>2175</v>
      </c>
      <c r="F3494">
        <v>6</v>
      </c>
      <c r="G3494" t="s">
        <v>57</v>
      </c>
      <c r="H3494" t="s">
        <v>44</v>
      </c>
      <c r="I3494" t="s">
        <v>2192</v>
      </c>
      <c r="J3494" s="10">
        <v>9</v>
      </c>
      <c r="K3494" t="b">
        <v>1</v>
      </c>
    </row>
    <row r="3495" spans="1:11">
      <c r="A3495" s="12">
        <v>42077</v>
      </c>
      <c r="B3495">
        <v>2015</v>
      </c>
      <c r="C3495">
        <v>3</v>
      </c>
      <c r="D3495" s="11">
        <v>42064</v>
      </c>
      <c r="E3495" t="s">
        <v>2175</v>
      </c>
      <c r="F3495">
        <v>6</v>
      </c>
      <c r="G3495" t="s">
        <v>57</v>
      </c>
      <c r="H3495" t="s">
        <v>45</v>
      </c>
      <c r="I3495" t="s">
        <v>2193</v>
      </c>
      <c r="J3495" s="10">
        <v>0</v>
      </c>
      <c r="K3495" t="b">
        <v>1</v>
      </c>
    </row>
    <row r="3496" spans="1:11">
      <c r="A3496" s="12">
        <v>42077</v>
      </c>
      <c r="B3496">
        <v>2015</v>
      </c>
      <c r="C3496">
        <v>3</v>
      </c>
      <c r="D3496" s="11">
        <v>42064</v>
      </c>
      <c r="E3496" t="s">
        <v>2175</v>
      </c>
      <c r="F3496">
        <v>6</v>
      </c>
      <c r="G3496" t="s">
        <v>57</v>
      </c>
      <c r="H3496" t="s">
        <v>46</v>
      </c>
      <c r="I3496" t="s">
        <v>2194</v>
      </c>
      <c r="J3496" s="10">
        <v>9</v>
      </c>
      <c r="K3496" t="b">
        <v>1</v>
      </c>
    </row>
    <row r="3497" spans="1:11">
      <c r="A3497" s="12">
        <v>42077</v>
      </c>
      <c r="B3497">
        <v>2015</v>
      </c>
      <c r="C3497">
        <v>3</v>
      </c>
      <c r="D3497" s="11">
        <v>42064</v>
      </c>
      <c r="E3497" t="s">
        <v>2175</v>
      </c>
      <c r="F3497">
        <v>6</v>
      </c>
      <c r="G3497" t="s">
        <v>57</v>
      </c>
      <c r="H3497" t="s">
        <v>47</v>
      </c>
      <c r="I3497" t="s">
        <v>2195</v>
      </c>
      <c r="J3497" s="10">
        <v>3</v>
      </c>
      <c r="K3497" t="b">
        <v>1</v>
      </c>
    </row>
    <row r="3498" spans="1:11">
      <c r="A3498" s="12">
        <v>42078</v>
      </c>
      <c r="B3498">
        <v>2015</v>
      </c>
      <c r="C3498">
        <v>3</v>
      </c>
      <c r="D3498" s="11">
        <v>42064</v>
      </c>
      <c r="E3498" t="s">
        <v>2175</v>
      </c>
      <c r="F3498">
        <v>7</v>
      </c>
      <c r="G3498" t="s">
        <v>59</v>
      </c>
      <c r="H3498" t="s">
        <v>40</v>
      </c>
      <c r="I3498" t="s">
        <v>2188</v>
      </c>
      <c r="J3498" s="10">
        <v>3.34</v>
      </c>
      <c r="K3498" t="b">
        <v>1</v>
      </c>
    </row>
    <row r="3499" spans="1:11">
      <c r="A3499" s="12">
        <v>42078</v>
      </c>
      <c r="B3499">
        <v>2015</v>
      </c>
      <c r="C3499">
        <v>3</v>
      </c>
      <c r="D3499" s="11">
        <v>42064</v>
      </c>
      <c r="E3499" t="s">
        <v>2175</v>
      </c>
      <c r="F3499">
        <v>7</v>
      </c>
      <c r="G3499" t="s">
        <v>59</v>
      </c>
      <c r="H3499" t="s">
        <v>41</v>
      </c>
      <c r="I3499" t="s">
        <v>2189</v>
      </c>
      <c r="J3499" s="10">
        <v>4.16</v>
      </c>
      <c r="K3499" t="b">
        <v>1</v>
      </c>
    </row>
    <row r="3500" spans="1:11">
      <c r="A3500" s="12">
        <v>42078</v>
      </c>
      <c r="B3500">
        <v>2015</v>
      </c>
      <c r="C3500">
        <v>3</v>
      </c>
      <c r="D3500" s="11">
        <v>42064</v>
      </c>
      <c r="E3500" t="s">
        <v>2175</v>
      </c>
      <c r="F3500">
        <v>7</v>
      </c>
      <c r="G3500" t="s">
        <v>59</v>
      </c>
      <c r="H3500" t="s">
        <v>42</v>
      </c>
      <c r="I3500" t="s">
        <v>2190</v>
      </c>
      <c r="J3500" s="10">
        <v>3</v>
      </c>
      <c r="K3500" t="b">
        <v>1</v>
      </c>
    </row>
    <row r="3501" spans="1:11">
      <c r="A3501" s="12">
        <v>42078</v>
      </c>
      <c r="B3501">
        <v>2015</v>
      </c>
      <c r="C3501">
        <v>3</v>
      </c>
      <c r="D3501" s="11">
        <v>42064</v>
      </c>
      <c r="E3501" t="s">
        <v>2175</v>
      </c>
      <c r="F3501">
        <v>7</v>
      </c>
      <c r="G3501" t="s">
        <v>59</v>
      </c>
      <c r="H3501" t="s">
        <v>43</v>
      </c>
      <c r="I3501" t="s">
        <v>2191</v>
      </c>
      <c r="J3501" s="10">
        <v>41</v>
      </c>
      <c r="K3501" t="b">
        <v>1</v>
      </c>
    </row>
    <row r="3502" spans="1:11">
      <c r="A3502" s="12">
        <v>42078</v>
      </c>
      <c r="B3502">
        <v>2015</v>
      </c>
      <c r="C3502">
        <v>3</v>
      </c>
      <c r="D3502" s="11">
        <v>42064</v>
      </c>
      <c r="E3502" t="s">
        <v>2175</v>
      </c>
      <c r="F3502">
        <v>7</v>
      </c>
      <c r="G3502" t="s">
        <v>59</v>
      </c>
      <c r="H3502" t="s">
        <v>44</v>
      </c>
      <c r="I3502" t="s">
        <v>2192</v>
      </c>
      <c r="J3502" s="10">
        <v>3</v>
      </c>
      <c r="K3502" t="b">
        <v>1</v>
      </c>
    </row>
    <row r="3503" spans="1:11">
      <c r="A3503" s="12">
        <v>42078</v>
      </c>
      <c r="B3503">
        <v>2015</v>
      </c>
      <c r="C3503">
        <v>3</v>
      </c>
      <c r="D3503" s="11">
        <v>42064</v>
      </c>
      <c r="E3503" t="s">
        <v>2175</v>
      </c>
      <c r="F3503">
        <v>7</v>
      </c>
      <c r="G3503" t="s">
        <v>59</v>
      </c>
      <c r="H3503" t="s">
        <v>45</v>
      </c>
      <c r="I3503" t="s">
        <v>2193</v>
      </c>
      <c r="J3503" s="10">
        <v>0</v>
      </c>
      <c r="K3503" t="b">
        <v>1</v>
      </c>
    </row>
    <row r="3504" spans="1:11">
      <c r="A3504" s="12">
        <v>42078</v>
      </c>
      <c r="B3504">
        <v>2015</v>
      </c>
      <c r="C3504">
        <v>3</v>
      </c>
      <c r="D3504" s="11">
        <v>42064</v>
      </c>
      <c r="E3504" t="s">
        <v>2175</v>
      </c>
      <c r="F3504">
        <v>7</v>
      </c>
      <c r="G3504" t="s">
        <v>59</v>
      </c>
      <c r="H3504" t="s">
        <v>46</v>
      </c>
      <c r="I3504" t="s">
        <v>2194</v>
      </c>
      <c r="J3504" s="10">
        <v>12</v>
      </c>
      <c r="K3504" t="b">
        <v>1</v>
      </c>
    </row>
    <row r="3505" spans="1:11">
      <c r="A3505" s="12">
        <v>42078</v>
      </c>
      <c r="B3505">
        <v>2015</v>
      </c>
      <c r="C3505">
        <v>3</v>
      </c>
      <c r="D3505" s="11">
        <v>42064</v>
      </c>
      <c r="E3505" t="s">
        <v>2175</v>
      </c>
      <c r="F3505">
        <v>7</v>
      </c>
      <c r="G3505" t="s">
        <v>59</v>
      </c>
      <c r="H3505" t="s">
        <v>47</v>
      </c>
      <c r="I3505" t="s">
        <v>2195</v>
      </c>
      <c r="J3505" s="10">
        <v>3</v>
      </c>
      <c r="K3505" t="b">
        <v>1</v>
      </c>
    </row>
    <row r="3506" spans="1:11">
      <c r="A3506" s="12">
        <v>42079</v>
      </c>
      <c r="B3506">
        <v>2015</v>
      </c>
      <c r="C3506">
        <v>3</v>
      </c>
      <c r="D3506" s="11">
        <v>42064</v>
      </c>
      <c r="E3506" t="s">
        <v>2175</v>
      </c>
      <c r="F3506">
        <v>1</v>
      </c>
      <c r="G3506" t="s">
        <v>61</v>
      </c>
      <c r="H3506" t="s">
        <v>40</v>
      </c>
      <c r="I3506" t="s">
        <v>2188</v>
      </c>
      <c r="J3506" s="10">
        <v>8</v>
      </c>
      <c r="K3506" t="b">
        <v>1</v>
      </c>
    </row>
    <row r="3507" spans="1:11">
      <c r="A3507" s="12">
        <v>42079</v>
      </c>
      <c r="B3507">
        <v>2015</v>
      </c>
      <c r="C3507">
        <v>3</v>
      </c>
      <c r="D3507" s="11">
        <v>42064</v>
      </c>
      <c r="E3507" t="s">
        <v>2175</v>
      </c>
      <c r="F3507">
        <v>1</v>
      </c>
      <c r="G3507" t="s">
        <v>61</v>
      </c>
      <c r="H3507" t="s">
        <v>41</v>
      </c>
      <c r="I3507" t="s">
        <v>2189</v>
      </c>
      <c r="J3507" s="10">
        <v>3.01</v>
      </c>
      <c r="K3507" t="b">
        <v>1</v>
      </c>
    </row>
    <row r="3508" spans="1:11">
      <c r="A3508" s="12">
        <v>42079</v>
      </c>
      <c r="B3508">
        <v>2015</v>
      </c>
      <c r="C3508">
        <v>3</v>
      </c>
      <c r="D3508" s="11">
        <v>42064</v>
      </c>
      <c r="E3508" t="s">
        <v>2175</v>
      </c>
      <c r="F3508">
        <v>1</v>
      </c>
      <c r="G3508" t="s">
        <v>61</v>
      </c>
      <c r="H3508" t="s">
        <v>42</v>
      </c>
      <c r="I3508" t="s">
        <v>2190</v>
      </c>
      <c r="J3508" s="10">
        <v>4.9</v>
      </c>
      <c r="K3508" t="b">
        <v>1</v>
      </c>
    </row>
    <row r="3509" spans="1:11">
      <c r="A3509" s="12">
        <v>42079</v>
      </c>
      <c r="B3509">
        <v>2015</v>
      </c>
      <c r="C3509">
        <v>3</v>
      </c>
      <c r="D3509" s="11">
        <v>42064</v>
      </c>
      <c r="E3509" t="s">
        <v>2175</v>
      </c>
      <c r="F3509">
        <v>1</v>
      </c>
      <c r="G3509" t="s">
        <v>61</v>
      </c>
      <c r="H3509" t="s">
        <v>43</v>
      </c>
      <c r="I3509" t="s">
        <v>2191</v>
      </c>
      <c r="J3509" s="10">
        <v>46.8</v>
      </c>
      <c r="K3509" t="b">
        <v>1</v>
      </c>
    </row>
    <row r="3510" spans="1:11">
      <c r="A3510" s="12">
        <v>42079</v>
      </c>
      <c r="B3510">
        <v>2015</v>
      </c>
      <c r="C3510">
        <v>3</v>
      </c>
      <c r="D3510" s="11">
        <v>42064</v>
      </c>
      <c r="E3510" t="s">
        <v>2175</v>
      </c>
      <c r="F3510">
        <v>1</v>
      </c>
      <c r="G3510" t="s">
        <v>61</v>
      </c>
      <c r="H3510" t="s">
        <v>44</v>
      </c>
      <c r="I3510" t="s">
        <v>2192</v>
      </c>
      <c r="J3510" s="10">
        <v>8</v>
      </c>
      <c r="K3510" t="b">
        <v>1</v>
      </c>
    </row>
    <row r="3511" spans="1:11">
      <c r="A3511" s="12">
        <v>42079</v>
      </c>
      <c r="B3511">
        <v>2015</v>
      </c>
      <c r="C3511">
        <v>3</v>
      </c>
      <c r="D3511" s="11">
        <v>42064</v>
      </c>
      <c r="E3511" t="s">
        <v>2175</v>
      </c>
      <c r="F3511">
        <v>1</v>
      </c>
      <c r="G3511" t="s">
        <v>61</v>
      </c>
      <c r="H3511" t="s">
        <v>45</v>
      </c>
      <c r="I3511" t="s">
        <v>2193</v>
      </c>
      <c r="J3511" s="10">
        <v>0</v>
      </c>
      <c r="K3511" t="b">
        <v>1</v>
      </c>
    </row>
    <row r="3512" spans="1:11">
      <c r="A3512" s="12">
        <v>42079</v>
      </c>
      <c r="B3512">
        <v>2015</v>
      </c>
      <c r="C3512">
        <v>3</v>
      </c>
      <c r="D3512" s="11">
        <v>42064</v>
      </c>
      <c r="E3512" t="s">
        <v>2175</v>
      </c>
      <c r="F3512">
        <v>1</v>
      </c>
      <c r="G3512" t="s">
        <v>61</v>
      </c>
      <c r="H3512" t="s">
        <v>46</v>
      </c>
      <c r="I3512" t="s">
        <v>2194</v>
      </c>
      <c r="J3512" s="10">
        <v>0</v>
      </c>
      <c r="K3512" t="b">
        <v>1</v>
      </c>
    </row>
    <row r="3513" spans="1:11">
      <c r="A3513" s="12">
        <v>42079</v>
      </c>
      <c r="B3513">
        <v>2015</v>
      </c>
      <c r="C3513">
        <v>3</v>
      </c>
      <c r="D3513" s="11">
        <v>42064</v>
      </c>
      <c r="E3513" t="s">
        <v>2175</v>
      </c>
      <c r="F3513">
        <v>1</v>
      </c>
      <c r="G3513" t="s">
        <v>61</v>
      </c>
      <c r="H3513" t="s">
        <v>47</v>
      </c>
      <c r="I3513" t="s">
        <v>2195</v>
      </c>
      <c r="J3513" s="10">
        <v>1</v>
      </c>
      <c r="K3513" t="b">
        <v>1</v>
      </c>
    </row>
    <row r="3514" spans="1:11">
      <c r="A3514" s="12">
        <v>42080</v>
      </c>
      <c r="B3514">
        <v>2015</v>
      </c>
      <c r="C3514">
        <v>3</v>
      </c>
      <c r="D3514" s="11">
        <v>42064</v>
      </c>
      <c r="E3514" t="s">
        <v>2175</v>
      </c>
      <c r="F3514">
        <v>2</v>
      </c>
      <c r="G3514" t="s">
        <v>63</v>
      </c>
      <c r="H3514" t="s">
        <v>40</v>
      </c>
      <c r="I3514" t="s">
        <v>2188</v>
      </c>
      <c r="J3514" s="10">
        <v>5</v>
      </c>
      <c r="K3514" t="b">
        <v>1</v>
      </c>
    </row>
    <row r="3515" spans="1:11">
      <c r="A3515" s="12">
        <v>42080</v>
      </c>
      <c r="B3515">
        <v>2015</v>
      </c>
      <c r="C3515">
        <v>3</v>
      </c>
      <c r="D3515" s="11">
        <v>42064</v>
      </c>
      <c r="E3515" t="s">
        <v>2175</v>
      </c>
      <c r="F3515">
        <v>2</v>
      </c>
      <c r="G3515" t="s">
        <v>63</v>
      </c>
      <c r="H3515" t="s">
        <v>41</v>
      </c>
      <c r="I3515" t="s">
        <v>2189</v>
      </c>
      <c r="J3515" s="10">
        <v>3</v>
      </c>
      <c r="K3515" t="b">
        <v>1</v>
      </c>
    </row>
    <row r="3516" spans="1:11">
      <c r="A3516" s="12">
        <v>42080</v>
      </c>
      <c r="B3516">
        <v>2015</v>
      </c>
      <c r="C3516">
        <v>3</v>
      </c>
      <c r="D3516" s="11">
        <v>42064</v>
      </c>
      <c r="E3516" t="s">
        <v>2175</v>
      </c>
      <c r="F3516">
        <v>2</v>
      </c>
      <c r="G3516" t="s">
        <v>63</v>
      </c>
      <c r="H3516" t="s">
        <v>42</v>
      </c>
      <c r="I3516" t="s">
        <v>2190</v>
      </c>
      <c r="J3516" s="10">
        <v>4.6</v>
      </c>
      <c r="K3516" t="b">
        <v>1</v>
      </c>
    </row>
    <row r="3517" spans="1:11">
      <c r="A3517" s="12">
        <v>42080</v>
      </c>
      <c r="B3517">
        <v>2015</v>
      </c>
      <c r="C3517">
        <v>3</v>
      </c>
      <c r="D3517" s="11">
        <v>42064</v>
      </c>
      <c r="E3517" t="s">
        <v>2175</v>
      </c>
      <c r="F3517">
        <v>2</v>
      </c>
      <c r="G3517" t="s">
        <v>63</v>
      </c>
      <c r="H3517" t="s">
        <v>43</v>
      </c>
      <c r="I3517" t="s">
        <v>2191</v>
      </c>
      <c r="J3517" s="10">
        <v>28.8</v>
      </c>
      <c r="K3517" t="b">
        <v>1</v>
      </c>
    </row>
    <row r="3518" spans="1:11">
      <c r="A3518" s="12">
        <v>42080</v>
      </c>
      <c r="B3518">
        <v>2015</v>
      </c>
      <c r="C3518">
        <v>3</v>
      </c>
      <c r="D3518" s="11">
        <v>42064</v>
      </c>
      <c r="E3518" t="s">
        <v>2175</v>
      </c>
      <c r="F3518">
        <v>2</v>
      </c>
      <c r="G3518" t="s">
        <v>63</v>
      </c>
      <c r="H3518" t="s">
        <v>44</v>
      </c>
      <c r="I3518" t="s">
        <v>2192</v>
      </c>
      <c r="J3518" s="10">
        <v>9</v>
      </c>
      <c r="K3518" t="b">
        <v>1</v>
      </c>
    </row>
    <row r="3519" spans="1:11">
      <c r="A3519" s="12">
        <v>42080</v>
      </c>
      <c r="B3519">
        <v>2015</v>
      </c>
      <c r="C3519">
        <v>3</v>
      </c>
      <c r="D3519" s="11">
        <v>42064</v>
      </c>
      <c r="E3519" t="s">
        <v>2175</v>
      </c>
      <c r="F3519">
        <v>2</v>
      </c>
      <c r="G3519" t="s">
        <v>63</v>
      </c>
      <c r="H3519" t="s">
        <v>45</v>
      </c>
      <c r="I3519" t="s">
        <v>2193</v>
      </c>
      <c r="J3519" s="10">
        <v>1</v>
      </c>
      <c r="K3519" t="b">
        <v>1</v>
      </c>
    </row>
    <row r="3520" spans="1:11">
      <c r="A3520" s="12">
        <v>42080</v>
      </c>
      <c r="B3520">
        <v>2015</v>
      </c>
      <c r="C3520">
        <v>3</v>
      </c>
      <c r="D3520" s="11">
        <v>42064</v>
      </c>
      <c r="E3520" t="s">
        <v>2175</v>
      </c>
      <c r="F3520">
        <v>2</v>
      </c>
      <c r="G3520" t="s">
        <v>63</v>
      </c>
      <c r="H3520" t="s">
        <v>46</v>
      </c>
      <c r="I3520" t="s">
        <v>2194</v>
      </c>
      <c r="J3520" s="10">
        <v>2</v>
      </c>
      <c r="K3520" t="b">
        <v>1</v>
      </c>
    </row>
    <row r="3521" spans="1:11">
      <c r="A3521" s="12">
        <v>42080</v>
      </c>
      <c r="B3521">
        <v>2015</v>
      </c>
      <c r="C3521">
        <v>3</v>
      </c>
      <c r="D3521" s="11">
        <v>42064</v>
      </c>
      <c r="E3521" t="s">
        <v>2175</v>
      </c>
      <c r="F3521">
        <v>2</v>
      </c>
      <c r="G3521" t="s">
        <v>63</v>
      </c>
      <c r="H3521" t="s">
        <v>47</v>
      </c>
      <c r="I3521" t="s">
        <v>2195</v>
      </c>
      <c r="J3521" s="10">
        <v>0</v>
      </c>
      <c r="K3521" t="b">
        <v>1</v>
      </c>
    </row>
    <row r="3522" spans="1:11">
      <c r="A3522" s="12">
        <v>42081</v>
      </c>
      <c r="B3522">
        <v>2015</v>
      </c>
      <c r="C3522">
        <v>3</v>
      </c>
      <c r="D3522" s="11">
        <v>42064</v>
      </c>
      <c r="E3522" t="s">
        <v>2175</v>
      </c>
      <c r="F3522">
        <v>3</v>
      </c>
      <c r="G3522" t="s">
        <v>65</v>
      </c>
      <c r="H3522" t="s">
        <v>40</v>
      </c>
      <c r="I3522" t="s">
        <v>2188</v>
      </c>
      <c r="J3522" s="10">
        <v>7.33</v>
      </c>
      <c r="K3522" t="b">
        <v>1</v>
      </c>
    </row>
    <row r="3523" spans="1:11">
      <c r="A3523" s="12">
        <v>42081</v>
      </c>
      <c r="B3523">
        <v>2015</v>
      </c>
      <c r="C3523">
        <v>3</v>
      </c>
      <c r="D3523" s="11">
        <v>42064</v>
      </c>
      <c r="E3523" t="s">
        <v>2175</v>
      </c>
      <c r="F3523">
        <v>3</v>
      </c>
      <c r="G3523" t="s">
        <v>65</v>
      </c>
      <c r="H3523" t="s">
        <v>41</v>
      </c>
      <c r="I3523" t="s">
        <v>2189</v>
      </c>
      <c r="J3523" s="10">
        <v>2</v>
      </c>
      <c r="K3523" t="b">
        <v>1</v>
      </c>
    </row>
    <row r="3524" spans="1:11">
      <c r="A3524" s="12">
        <v>42081</v>
      </c>
      <c r="B3524">
        <v>2015</v>
      </c>
      <c r="C3524">
        <v>3</v>
      </c>
      <c r="D3524" s="11">
        <v>42064</v>
      </c>
      <c r="E3524" t="s">
        <v>2175</v>
      </c>
      <c r="F3524">
        <v>3</v>
      </c>
      <c r="G3524" t="s">
        <v>65</v>
      </c>
      <c r="H3524" t="s">
        <v>42</v>
      </c>
      <c r="I3524" t="s">
        <v>2190</v>
      </c>
      <c r="J3524" s="10">
        <v>5.3</v>
      </c>
      <c r="K3524" t="b">
        <v>1</v>
      </c>
    </row>
    <row r="3525" spans="1:11">
      <c r="A3525" s="12">
        <v>42081</v>
      </c>
      <c r="B3525">
        <v>2015</v>
      </c>
      <c r="C3525">
        <v>3</v>
      </c>
      <c r="D3525" s="11">
        <v>42064</v>
      </c>
      <c r="E3525" t="s">
        <v>2175</v>
      </c>
      <c r="F3525">
        <v>3</v>
      </c>
      <c r="G3525" t="s">
        <v>65</v>
      </c>
      <c r="H3525" t="s">
        <v>43</v>
      </c>
      <c r="I3525" t="s">
        <v>2191</v>
      </c>
      <c r="J3525" s="10">
        <v>24.4</v>
      </c>
      <c r="K3525" t="b">
        <v>1</v>
      </c>
    </row>
    <row r="3526" spans="1:11">
      <c r="A3526" s="12">
        <v>42081</v>
      </c>
      <c r="B3526">
        <v>2015</v>
      </c>
      <c r="C3526">
        <v>3</v>
      </c>
      <c r="D3526" s="11">
        <v>42064</v>
      </c>
      <c r="E3526" t="s">
        <v>2175</v>
      </c>
      <c r="F3526">
        <v>3</v>
      </c>
      <c r="G3526" t="s">
        <v>65</v>
      </c>
      <c r="H3526" t="s">
        <v>44</v>
      </c>
      <c r="I3526" t="s">
        <v>2192</v>
      </c>
      <c r="J3526" s="10">
        <v>5</v>
      </c>
      <c r="K3526" t="b">
        <v>1</v>
      </c>
    </row>
    <row r="3527" spans="1:11">
      <c r="A3527" s="12">
        <v>42081</v>
      </c>
      <c r="B3527">
        <v>2015</v>
      </c>
      <c r="C3527">
        <v>3</v>
      </c>
      <c r="D3527" s="11">
        <v>42064</v>
      </c>
      <c r="E3527" t="s">
        <v>2175</v>
      </c>
      <c r="F3527">
        <v>3</v>
      </c>
      <c r="G3527" t="s">
        <v>65</v>
      </c>
      <c r="H3527" t="s">
        <v>45</v>
      </c>
      <c r="I3527" t="s">
        <v>2193</v>
      </c>
      <c r="J3527" s="10">
        <v>0</v>
      </c>
      <c r="K3527" t="b">
        <v>1</v>
      </c>
    </row>
    <row r="3528" spans="1:11">
      <c r="A3528" s="12">
        <v>42081</v>
      </c>
      <c r="B3528">
        <v>2015</v>
      </c>
      <c r="C3528">
        <v>3</v>
      </c>
      <c r="D3528" s="11">
        <v>42064</v>
      </c>
      <c r="E3528" t="s">
        <v>2175</v>
      </c>
      <c r="F3528">
        <v>3</v>
      </c>
      <c r="G3528" t="s">
        <v>65</v>
      </c>
      <c r="H3528" t="s">
        <v>46</v>
      </c>
      <c r="I3528" t="s">
        <v>2194</v>
      </c>
      <c r="J3528" s="10">
        <v>20</v>
      </c>
      <c r="K3528" t="b">
        <v>1</v>
      </c>
    </row>
    <row r="3529" spans="1:11">
      <c r="A3529" s="12">
        <v>42081</v>
      </c>
      <c r="B3529">
        <v>2015</v>
      </c>
      <c r="C3529">
        <v>3</v>
      </c>
      <c r="D3529" s="11">
        <v>42064</v>
      </c>
      <c r="E3529" t="s">
        <v>2175</v>
      </c>
      <c r="F3529">
        <v>3</v>
      </c>
      <c r="G3529" t="s">
        <v>65</v>
      </c>
      <c r="H3529" t="s">
        <v>47</v>
      </c>
      <c r="I3529" t="s">
        <v>2195</v>
      </c>
      <c r="J3529" s="10">
        <v>2</v>
      </c>
      <c r="K3529" t="b">
        <v>1</v>
      </c>
    </row>
    <row r="3530" spans="1:11">
      <c r="A3530" s="12">
        <v>42082</v>
      </c>
      <c r="B3530">
        <v>2015</v>
      </c>
      <c r="C3530">
        <v>3</v>
      </c>
      <c r="D3530" s="11">
        <v>42064</v>
      </c>
      <c r="E3530" t="s">
        <v>2175</v>
      </c>
      <c r="F3530">
        <v>4</v>
      </c>
      <c r="G3530" t="s">
        <v>53</v>
      </c>
      <c r="H3530" t="s">
        <v>40</v>
      </c>
      <c r="I3530" t="s">
        <v>2188</v>
      </c>
      <c r="J3530" s="10">
        <v>2</v>
      </c>
      <c r="K3530" t="b">
        <v>1</v>
      </c>
    </row>
    <row r="3531" spans="1:11">
      <c r="A3531" s="12">
        <v>42082</v>
      </c>
      <c r="B3531">
        <v>2015</v>
      </c>
      <c r="C3531">
        <v>3</v>
      </c>
      <c r="D3531" s="11">
        <v>42064</v>
      </c>
      <c r="E3531" t="s">
        <v>2175</v>
      </c>
      <c r="F3531">
        <v>4</v>
      </c>
      <c r="G3531" t="s">
        <v>53</v>
      </c>
      <c r="H3531" t="s">
        <v>41</v>
      </c>
      <c r="I3531" t="s">
        <v>2189</v>
      </c>
      <c r="J3531" s="10">
        <v>2.33</v>
      </c>
      <c r="K3531" t="b">
        <v>1</v>
      </c>
    </row>
    <row r="3532" spans="1:11">
      <c r="A3532" s="12">
        <v>42082</v>
      </c>
      <c r="B3532">
        <v>2015</v>
      </c>
      <c r="C3532">
        <v>3</v>
      </c>
      <c r="D3532" s="11">
        <v>42064</v>
      </c>
      <c r="E3532" t="s">
        <v>2175</v>
      </c>
      <c r="F3532">
        <v>4</v>
      </c>
      <c r="G3532" t="s">
        <v>53</v>
      </c>
      <c r="H3532" t="s">
        <v>42</v>
      </c>
      <c r="I3532" t="s">
        <v>2190</v>
      </c>
      <c r="J3532" s="10">
        <v>1.5</v>
      </c>
      <c r="K3532" t="b">
        <v>1</v>
      </c>
    </row>
    <row r="3533" spans="1:11">
      <c r="A3533" s="12">
        <v>42082</v>
      </c>
      <c r="B3533">
        <v>2015</v>
      </c>
      <c r="C3533">
        <v>3</v>
      </c>
      <c r="D3533" s="11">
        <v>42064</v>
      </c>
      <c r="E3533" t="s">
        <v>2175</v>
      </c>
      <c r="F3533">
        <v>4</v>
      </c>
      <c r="G3533" t="s">
        <v>53</v>
      </c>
      <c r="H3533" t="s">
        <v>43</v>
      </c>
      <c r="I3533" t="s">
        <v>2191</v>
      </c>
      <c r="J3533" s="10">
        <v>31</v>
      </c>
      <c r="K3533" t="b">
        <v>1</v>
      </c>
    </row>
    <row r="3534" spans="1:11">
      <c r="A3534" s="12">
        <v>42082</v>
      </c>
      <c r="B3534">
        <v>2015</v>
      </c>
      <c r="C3534">
        <v>3</v>
      </c>
      <c r="D3534" s="11">
        <v>42064</v>
      </c>
      <c r="E3534" t="s">
        <v>2175</v>
      </c>
      <c r="F3534">
        <v>4</v>
      </c>
      <c r="G3534" t="s">
        <v>53</v>
      </c>
      <c r="H3534" t="s">
        <v>44</v>
      </c>
      <c r="I3534" t="s">
        <v>2192</v>
      </c>
      <c r="J3534" s="10">
        <v>7</v>
      </c>
      <c r="K3534" t="b">
        <v>1</v>
      </c>
    </row>
    <row r="3535" spans="1:11">
      <c r="A3535" s="12">
        <v>42082</v>
      </c>
      <c r="B3535">
        <v>2015</v>
      </c>
      <c r="C3535">
        <v>3</v>
      </c>
      <c r="D3535" s="11">
        <v>42064</v>
      </c>
      <c r="E3535" t="s">
        <v>2175</v>
      </c>
      <c r="F3535">
        <v>4</v>
      </c>
      <c r="G3535" t="s">
        <v>53</v>
      </c>
      <c r="H3535" t="s">
        <v>45</v>
      </c>
      <c r="I3535" t="s">
        <v>2193</v>
      </c>
      <c r="J3535" s="10">
        <v>0</v>
      </c>
      <c r="K3535" t="b">
        <v>1</v>
      </c>
    </row>
    <row r="3536" spans="1:11">
      <c r="A3536" s="12">
        <v>42082</v>
      </c>
      <c r="B3536">
        <v>2015</v>
      </c>
      <c r="C3536">
        <v>3</v>
      </c>
      <c r="D3536" s="11">
        <v>42064</v>
      </c>
      <c r="E3536" t="s">
        <v>2175</v>
      </c>
      <c r="F3536">
        <v>4</v>
      </c>
      <c r="G3536" t="s">
        <v>53</v>
      </c>
      <c r="H3536" t="s">
        <v>46</v>
      </c>
      <c r="I3536" t="s">
        <v>2194</v>
      </c>
      <c r="J3536" s="10">
        <v>15</v>
      </c>
      <c r="K3536" t="b">
        <v>1</v>
      </c>
    </row>
    <row r="3537" spans="1:11">
      <c r="A3537" s="12">
        <v>42082</v>
      </c>
      <c r="B3537">
        <v>2015</v>
      </c>
      <c r="C3537">
        <v>3</v>
      </c>
      <c r="D3537" s="11">
        <v>42064</v>
      </c>
      <c r="E3537" t="s">
        <v>2175</v>
      </c>
      <c r="F3537">
        <v>4</v>
      </c>
      <c r="G3537" t="s">
        <v>53</v>
      </c>
      <c r="H3537" t="s">
        <v>47</v>
      </c>
      <c r="I3537" t="s">
        <v>2195</v>
      </c>
      <c r="J3537" s="10">
        <v>0</v>
      </c>
      <c r="K3537" t="b">
        <v>1</v>
      </c>
    </row>
    <row r="3538" spans="1:11">
      <c r="A3538" s="12">
        <v>42083</v>
      </c>
      <c r="B3538">
        <v>2015</v>
      </c>
      <c r="C3538">
        <v>3</v>
      </c>
      <c r="D3538" s="11">
        <v>42064</v>
      </c>
      <c r="E3538" t="s">
        <v>2175</v>
      </c>
      <c r="F3538">
        <v>5</v>
      </c>
      <c r="G3538" t="s">
        <v>55</v>
      </c>
      <c r="H3538" t="s">
        <v>40</v>
      </c>
      <c r="I3538" t="s">
        <v>2188</v>
      </c>
      <c r="J3538" s="10">
        <v>1</v>
      </c>
      <c r="K3538" t="b">
        <v>1</v>
      </c>
    </row>
    <row r="3539" spans="1:11">
      <c r="A3539" s="12">
        <v>42083</v>
      </c>
      <c r="B3539">
        <v>2015</v>
      </c>
      <c r="C3539">
        <v>3</v>
      </c>
      <c r="D3539" s="11">
        <v>42064</v>
      </c>
      <c r="E3539" t="s">
        <v>2175</v>
      </c>
      <c r="F3539">
        <v>5</v>
      </c>
      <c r="G3539" t="s">
        <v>55</v>
      </c>
      <c r="H3539" t="s">
        <v>41</v>
      </c>
      <c r="I3539" t="s">
        <v>2189</v>
      </c>
      <c r="J3539" s="10">
        <v>7</v>
      </c>
      <c r="K3539" t="b">
        <v>1</v>
      </c>
    </row>
    <row r="3540" spans="1:11">
      <c r="A3540" s="12">
        <v>42083</v>
      </c>
      <c r="B3540">
        <v>2015</v>
      </c>
      <c r="C3540">
        <v>3</v>
      </c>
      <c r="D3540" s="11">
        <v>42064</v>
      </c>
      <c r="E3540" t="s">
        <v>2175</v>
      </c>
      <c r="F3540">
        <v>5</v>
      </c>
      <c r="G3540" t="s">
        <v>55</v>
      </c>
      <c r="H3540" t="s">
        <v>42</v>
      </c>
      <c r="I3540" t="s">
        <v>2190</v>
      </c>
      <c r="J3540" s="10">
        <v>3</v>
      </c>
      <c r="K3540" t="b">
        <v>1</v>
      </c>
    </row>
    <row r="3541" spans="1:11">
      <c r="A3541" s="12">
        <v>42083</v>
      </c>
      <c r="B3541">
        <v>2015</v>
      </c>
      <c r="C3541">
        <v>3</v>
      </c>
      <c r="D3541" s="11">
        <v>42064</v>
      </c>
      <c r="E3541" t="s">
        <v>2175</v>
      </c>
      <c r="F3541">
        <v>5</v>
      </c>
      <c r="G3541" t="s">
        <v>55</v>
      </c>
      <c r="H3541" t="s">
        <v>43</v>
      </c>
      <c r="I3541" t="s">
        <v>2191</v>
      </c>
      <c r="J3541" s="10">
        <v>38.6</v>
      </c>
      <c r="K3541" t="b">
        <v>1</v>
      </c>
    </row>
    <row r="3542" spans="1:11">
      <c r="A3542" s="12">
        <v>42083</v>
      </c>
      <c r="B3542">
        <v>2015</v>
      </c>
      <c r="C3542">
        <v>3</v>
      </c>
      <c r="D3542" s="11">
        <v>42064</v>
      </c>
      <c r="E3542" t="s">
        <v>2175</v>
      </c>
      <c r="F3542">
        <v>5</v>
      </c>
      <c r="G3542" t="s">
        <v>55</v>
      </c>
      <c r="H3542" t="s">
        <v>44</v>
      </c>
      <c r="I3542" t="s">
        <v>2192</v>
      </c>
      <c r="J3542" s="10">
        <v>13</v>
      </c>
      <c r="K3542" t="b">
        <v>1</v>
      </c>
    </row>
    <row r="3543" spans="1:11">
      <c r="A3543" s="12">
        <v>42083</v>
      </c>
      <c r="B3543">
        <v>2015</v>
      </c>
      <c r="C3543">
        <v>3</v>
      </c>
      <c r="D3543" s="11">
        <v>42064</v>
      </c>
      <c r="E3543" t="s">
        <v>2175</v>
      </c>
      <c r="F3543">
        <v>5</v>
      </c>
      <c r="G3543" t="s">
        <v>55</v>
      </c>
      <c r="H3543" t="s">
        <v>45</v>
      </c>
      <c r="I3543" t="s">
        <v>2193</v>
      </c>
      <c r="J3543" s="10">
        <v>1</v>
      </c>
      <c r="K3543" t="b">
        <v>1</v>
      </c>
    </row>
    <row r="3544" spans="1:11">
      <c r="A3544" s="12">
        <v>42083</v>
      </c>
      <c r="B3544">
        <v>2015</v>
      </c>
      <c r="C3544">
        <v>3</v>
      </c>
      <c r="D3544" s="11">
        <v>42064</v>
      </c>
      <c r="E3544" t="s">
        <v>2175</v>
      </c>
      <c r="F3544">
        <v>5</v>
      </c>
      <c r="G3544" t="s">
        <v>55</v>
      </c>
      <c r="H3544" t="s">
        <v>46</v>
      </c>
      <c r="I3544" t="s">
        <v>2194</v>
      </c>
      <c r="J3544" s="10">
        <v>5</v>
      </c>
      <c r="K3544" t="b">
        <v>1</v>
      </c>
    </row>
    <row r="3545" spans="1:11">
      <c r="A3545" s="12">
        <v>42083</v>
      </c>
      <c r="B3545">
        <v>2015</v>
      </c>
      <c r="C3545">
        <v>3</v>
      </c>
      <c r="D3545" s="11">
        <v>42064</v>
      </c>
      <c r="E3545" t="s">
        <v>2175</v>
      </c>
      <c r="F3545">
        <v>5</v>
      </c>
      <c r="G3545" t="s">
        <v>55</v>
      </c>
      <c r="H3545" t="s">
        <v>47</v>
      </c>
      <c r="I3545" t="s">
        <v>2195</v>
      </c>
      <c r="J3545" s="10">
        <v>1</v>
      </c>
      <c r="K3545" t="b">
        <v>1</v>
      </c>
    </row>
    <row r="3546" spans="1:11">
      <c r="A3546" s="12">
        <v>42084</v>
      </c>
      <c r="B3546">
        <v>2015</v>
      </c>
      <c r="C3546">
        <v>3</v>
      </c>
      <c r="D3546" s="11">
        <v>42064</v>
      </c>
      <c r="E3546" t="s">
        <v>2175</v>
      </c>
      <c r="F3546">
        <v>6</v>
      </c>
      <c r="G3546" t="s">
        <v>57</v>
      </c>
      <c r="H3546" t="s">
        <v>40</v>
      </c>
      <c r="I3546" t="s">
        <v>2188</v>
      </c>
      <c r="J3546" s="10">
        <v>10.33</v>
      </c>
      <c r="K3546" t="b">
        <v>1</v>
      </c>
    </row>
    <row r="3547" spans="1:11">
      <c r="A3547" s="12">
        <v>42084</v>
      </c>
      <c r="B3547">
        <v>2015</v>
      </c>
      <c r="C3547">
        <v>3</v>
      </c>
      <c r="D3547" s="11">
        <v>42064</v>
      </c>
      <c r="E3547" t="s">
        <v>2175</v>
      </c>
      <c r="F3547">
        <v>6</v>
      </c>
      <c r="G3547" t="s">
        <v>57</v>
      </c>
      <c r="H3547" t="s">
        <v>41</v>
      </c>
      <c r="I3547" t="s">
        <v>2189</v>
      </c>
      <c r="J3547" s="10">
        <v>3.34</v>
      </c>
      <c r="K3547" t="b">
        <v>1</v>
      </c>
    </row>
    <row r="3548" spans="1:11">
      <c r="A3548" s="12">
        <v>42084</v>
      </c>
      <c r="B3548">
        <v>2015</v>
      </c>
      <c r="C3548">
        <v>3</v>
      </c>
      <c r="D3548" s="11">
        <v>42064</v>
      </c>
      <c r="E3548" t="s">
        <v>2175</v>
      </c>
      <c r="F3548">
        <v>6</v>
      </c>
      <c r="G3548" t="s">
        <v>57</v>
      </c>
      <c r="H3548" t="s">
        <v>42</v>
      </c>
      <c r="I3548" t="s">
        <v>2190</v>
      </c>
      <c r="J3548" s="10">
        <v>3</v>
      </c>
      <c r="K3548" t="b">
        <v>1</v>
      </c>
    </row>
    <row r="3549" spans="1:11">
      <c r="A3549" s="12">
        <v>42084</v>
      </c>
      <c r="B3549">
        <v>2015</v>
      </c>
      <c r="C3549">
        <v>3</v>
      </c>
      <c r="D3549" s="11">
        <v>42064</v>
      </c>
      <c r="E3549" t="s">
        <v>2175</v>
      </c>
      <c r="F3549">
        <v>6</v>
      </c>
      <c r="G3549" t="s">
        <v>57</v>
      </c>
      <c r="H3549" t="s">
        <v>43</v>
      </c>
      <c r="I3549" t="s">
        <v>2191</v>
      </c>
      <c r="J3549" s="10">
        <v>41.6</v>
      </c>
      <c r="K3549" t="b">
        <v>1</v>
      </c>
    </row>
    <row r="3550" spans="1:11">
      <c r="A3550" s="12">
        <v>42084</v>
      </c>
      <c r="B3550">
        <v>2015</v>
      </c>
      <c r="C3550">
        <v>3</v>
      </c>
      <c r="D3550" s="11">
        <v>42064</v>
      </c>
      <c r="E3550" t="s">
        <v>2175</v>
      </c>
      <c r="F3550">
        <v>6</v>
      </c>
      <c r="G3550" t="s">
        <v>57</v>
      </c>
      <c r="H3550" t="s">
        <v>44</v>
      </c>
      <c r="I3550" t="s">
        <v>2192</v>
      </c>
      <c r="J3550" s="10">
        <v>4</v>
      </c>
      <c r="K3550" t="b">
        <v>1</v>
      </c>
    </row>
    <row r="3551" spans="1:11">
      <c r="A3551" s="12">
        <v>42084</v>
      </c>
      <c r="B3551">
        <v>2015</v>
      </c>
      <c r="C3551">
        <v>3</v>
      </c>
      <c r="D3551" s="11">
        <v>42064</v>
      </c>
      <c r="E3551" t="s">
        <v>2175</v>
      </c>
      <c r="F3551">
        <v>6</v>
      </c>
      <c r="G3551" t="s">
        <v>57</v>
      </c>
      <c r="H3551" t="s">
        <v>45</v>
      </c>
      <c r="I3551" t="s">
        <v>2193</v>
      </c>
      <c r="J3551" s="10">
        <v>0</v>
      </c>
      <c r="K3551" t="b">
        <v>1</v>
      </c>
    </row>
    <row r="3552" spans="1:11">
      <c r="A3552" s="12">
        <v>42084</v>
      </c>
      <c r="B3552">
        <v>2015</v>
      </c>
      <c r="C3552">
        <v>3</v>
      </c>
      <c r="D3552" s="11">
        <v>42064</v>
      </c>
      <c r="E3552" t="s">
        <v>2175</v>
      </c>
      <c r="F3552">
        <v>6</v>
      </c>
      <c r="G3552" t="s">
        <v>57</v>
      </c>
      <c r="H3552" t="s">
        <v>46</v>
      </c>
      <c r="I3552" t="s">
        <v>2194</v>
      </c>
      <c r="J3552" s="10">
        <v>6</v>
      </c>
      <c r="K3552" t="b">
        <v>1</v>
      </c>
    </row>
    <row r="3553" spans="1:11">
      <c r="A3553" s="12">
        <v>42084</v>
      </c>
      <c r="B3553">
        <v>2015</v>
      </c>
      <c r="C3553">
        <v>3</v>
      </c>
      <c r="D3553" s="11">
        <v>42064</v>
      </c>
      <c r="E3553" t="s">
        <v>2175</v>
      </c>
      <c r="F3553">
        <v>6</v>
      </c>
      <c r="G3553" t="s">
        <v>57</v>
      </c>
      <c r="H3553" t="s">
        <v>47</v>
      </c>
      <c r="I3553" t="s">
        <v>2195</v>
      </c>
      <c r="J3553" s="10">
        <v>2</v>
      </c>
      <c r="K3553" t="b">
        <v>1</v>
      </c>
    </row>
    <row r="3554" spans="1:11">
      <c r="A3554" s="12">
        <v>42085</v>
      </c>
      <c r="B3554">
        <v>2015</v>
      </c>
      <c r="C3554">
        <v>3</v>
      </c>
      <c r="D3554" s="11">
        <v>42064</v>
      </c>
      <c r="E3554" t="s">
        <v>2175</v>
      </c>
      <c r="F3554">
        <v>7</v>
      </c>
      <c r="G3554" t="s">
        <v>59</v>
      </c>
      <c r="H3554" t="s">
        <v>40</v>
      </c>
      <c r="I3554" t="s">
        <v>2188</v>
      </c>
      <c r="J3554" s="10">
        <v>8.34</v>
      </c>
      <c r="K3554" t="b">
        <v>1</v>
      </c>
    </row>
    <row r="3555" spans="1:11">
      <c r="A3555" s="12">
        <v>42085</v>
      </c>
      <c r="B3555">
        <v>2015</v>
      </c>
      <c r="C3555">
        <v>3</v>
      </c>
      <c r="D3555" s="11">
        <v>42064</v>
      </c>
      <c r="E3555" t="s">
        <v>2175</v>
      </c>
      <c r="F3555">
        <v>7</v>
      </c>
      <c r="G3555" t="s">
        <v>59</v>
      </c>
      <c r="H3555" t="s">
        <v>41</v>
      </c>
      <c r="I3555" t="s">
        <v>2189</v>
      </c>
      <c r="J3555" s="10">
        <v>6.67</v>
      </c>
      <c r="K3555" t="b">
        <v>1</v>
      </c>
    </row>
    <row r="3556" spans="1:11">
      <c r="A3556" s="12">
        <v>42085</v>
      </c>
      <c r="B3556">
        <v>2015</v>
      </c>
      <c r="C3556">
        <v>3</v>
      </c>
      <c r="D3556" s="11">
        <v>42064</v>
      </c>
      <c r="E3556" t="s">
        <v>2175</v>
      </c>
      <c r="F3556">
        <v>7</v>
      </c>
      <c r="G3556" t="s">
        <v>59</v>
      </c>
      <c r="H3556" t="s">
        <v>42</v>
      </c>
      <c r="I3556" t="s">
        <v>2190</v>
      </c>
      <c r="J3556" s="10">
        <v>2</v>
      </c>
      <c r="K3556" t="b">
        <v>1</v>
      </c>
    </row>
    <row r="3557" spans="1:11">
      <c r="A3557" s="12">
        <v>42085</v>
      </c>
      <c r="B3557">
        <v>2015</v>
      </c>
      <c r="C3557">
        <v>3</v>
      </c>
      <c r="D3557" s="11">
        <v>42064</v>
      </c>
      <c r="E3557" t="s">
        <v>2175</v>
      </c>
      <c r="F3557">
        <v>7</v>
      </c>
      <c r="G3557" t="s">
        <v>59</v>
      </c>
      <c r="H3557" t="s">
        <v>43</v>
      </c>
      <c r="I3557" t="s">
        <v>2191</v>
      </c>
      <c r="J3557" s="10">
        <v>43.2</v>
      </c>
      <c r="K3557" t="b">
        <v>1</v>
      </c>
    </row>
    <row r="3558" spans="1:11">
      <c r="A3558" s="12">
        <v>42085</v>
      </c>
      <c r="B3558">
        <v>2015</v>
      </c>
      <c r="C3558">
        <v>3</v>
      </c>
      <c r="D3558" s="11">
        <v>42064</v>
      </c>
      <c r="E3558" t="s">
        <v>2175</v>
      </c>
      <c r="F3558">
        <v>7</v>
      </c>
      <c r="G3558" t="s">
        <v>59</v>
      </c>
      <c r="H3558" t="s">
        <v>44</v>
      </c>
      <c r="I3558" t="s">
        <v>2192</v>
      </c>
      <c r="J3558" s="10">
        <v>9</v>
      </c>
      <c r="K3558" t="b">
        <v>1</v>
      </c>
    </row>
    <row r="3559" spans="1:11">
      <c r="A3559" s="12">
        <v>42085</v>
      </c>
      <c r="B3559">
        <v>2015</v>
      </c>
      <c r="C3559">
        <v>3</v>
      </c>
      <c r="D3559" s="11">
        <v>42064</v>
      </c>
      <c r="E3559" t="s">
        <v>2175</v>
      </c>
      <c r="F3559">
        <v>7</v>
      </c>
      <c r="G3559" t="s">
        <v>59</v>
      </c>
      <c r="H3559" t="s">
        <v>45</v>
      </c>
      <c r="I3559" t="s">
        <v>2193</v>
      </c>
      <c r="J3559" s="10">
        <v>0</v>
      </c>
      <c r="K3559" t="b">
        <v>1</v>
      </c>
    </row>
    <row r="3560" spans="1:11">
      <c r="A3560" s="12">
        <v>42085</v>
      </c>
      <c r="B3560">
        <v>2015</v>
      </c>
      <c r="C3560">
        <v>3</v>
      </c>
      <c r="D3560" s="11">
        <v>42064</v>
      </c>
      <c r="E3560" t="s">
        <v>2175</v>
      </c>
      <c r="F3560">
        <v>7</v>
      </c>
      <c r="G3560" t="s">
        <v>59</v>
      </c>
      <c r="H3560" t="s">
        <v>46</v>
      </c>
      <c r="I3560" t="s">
        <v>2194</v>
      </c>
      <c r="J3560" s="10">
        <v>10</v>
      </c>
      <c r="K3560" t="b">
        <v>1</v>
      </c>
    </row>
    <row r="3561" spans="1:11">
      <c r="A3561" s="12">
        <v>42085</v>
      </c>
      <c r="B3561">
        <v>2015</v>
      </c>
      <c r="C3561">
        <v>3</v>
      </c>
      <c r="D3561" s="11">
        <v>42064</v>
      </c>
      <c r="E3561" t="s">
        <v>2175</v>
      </c>
      <c r="F3561">
        <v>7</v>
      </c>
      <c r="G3561" t="s">
        <v>59</v>
      </c>
      <c r="H3561" t="s">
        <v>47</v>
      </c>
      <c r="I3561" t="s">
        <v>2195</v>
      </c>
      <c r="J3561" s="10">
        <v>0</v>
      </c>
      <c r="K3561" t="b">
        <v>1</v>
      </c>
    </row>
    <row r="3562" spans="1:11">
      <c r="A3562" s="12">
        <v>42086</v>
      </c>
      <c r="B3562">
        <v>2015</v>
      </c>
      <c r="C3562">
        <v>3</v>
      </c>
      <c r="D3562" s="11">
        <v>42064</v>
      </c>
      <c r="E3562" t="s">
        <v>2175</v>
      </c>
      <c r="F3562">
        <v>1</v>
      </c>
      <c r="G3562" t="s">
        <v>61</v>
      </c>
      <c r="H3562" t="s">
        <v>40</v>
      </c>
      <c r="I3562" t="s">
        <v>2188</v>
      </c>
      <c r="J3562" s="10">
        <v>2</v>
      </c>
      <c r="K3562" t="b">
        <v>1</v>
      </c>
    </row>
    <row r="3563" spans="1:11">
      <c r="A3563" s="12">
        <v>42086</v>
      </c>
      <c r="B3563">
        <v>2015</v>
      </c>
      <c r="C3563">
        <v>3</v>
      </c>
      <c r="D3563" s="11">
        <v>42064</v>
      </c>
      <c r="E3563" t="s">
        <v>2175</v>
      </c>
      <c r="F3563">
        <v>1</v>
      </c>
      <c r="G3563" t="s">
        <v>61</v>
      </c>
      <c r="H3563" t="s">
        <v>41</v>
      </c>
      <c r="I3563" t="s">
        <v>2189</v>
      </c>
      <c r="J3563" s="10">
        <v>4.34</v>
      </c>
      <c r="K3563" t="b">
        <v>1</v>
      </c>
    </row>
    <row r="3564" spans="1:11">
      <c r="A3564" s="12">
        <v>42086</v>
      </c>
      <c r="B3564">
        <v>2015</v>
      </c>
      <c r="C3564">
        <v>3</v>
      </c>
      <c r="D3564" s="11">
        <v>42064</v>
      </c>
      <c r="E3564" t="s">
        <v>2175</v>
      </c>
      <c r="F3564">
        <v>1</v>
      </c>
      <c r="G3564" t="s">
        <v>61</v>
      </c>
      <c r="H3564" t="s">
        <v>42</v>
      </c>
      <c r="I3564" t="s">
        <v>2190</v>
      </c>
      <c r="J3564" s="10">
        <v>7</v>
      </c>
      <c r="K3564" t="b">
        <v>1</v>
      </c>
    </row>
    <row r="3565" spans="1:11">
      <c r="A3565" s="12">
        <v>42086</v>
      </c>
      <c r="B3565">
        <v>2015</v>
      </c>
      <c r="C3565">
        <v>3</v>
      </c>
      <c r="D3565" s="11">
        <v>42064</v>
      </c>
      <c r="E3565" t="s">
        <v>2175</v>
      </c>
      <c r="F3565">
        <v>1</v>
      </c>
      <c r="G3565" t="s">
        <v>61</v>
      </c>
      <c r="H3565" t="s">
        <v>43</v>
      </c>
      <c r="I3565" t="s">
        <v>2191</v>
      </c>
      <c r="J3565" s="10">
        <v>28</v>
      </c>
      <c r="K3565" t="b">
        <v>1</v>
      </c>
    </row>
    <row r="3566" spans="1:11">
      <c r="A3566" s="12">
        <v>42086</v>
      </c>
      <c r="B3566">
        <v>2015</v>
      </c>
      <c r="C3566">
        <v>3</v>
      </c>
      <c r="D3566" s="11">
        <v>42064</v>
      </c>
      <c r="E3566" t="s">
        <v>2175</v>
      </c>
      <c r="F3566">
        <v>1</v>
      </c>
      <c r="G3566" t="s">
        <v>61</v>
      </c>
      <c r="H3566" t="s">
        <v>44</v>
      </c>
      <c r="I3566" t="s">
        <v>2192</v>
      </c>
      <c r="J3566" s="10">
        <v>5</v>
      </c>
      <c r="K3566" t="b">
        <v>1</v>
      </c>
    </row>
    <row r="3567" spans="1:11">
      <c r="A3567" s="12">
        <v>42086</v>
      </c>
      <c r="B3567">
        <v>2015</v>
      </c>
      <c r="C3567">
        <v>3</v>
      </c>
      <c r="D3567" s="11">
        <v>42064</v>
      </c>
      <c r="E3567" t="s">
        <v>2175</v>
      </c>
      <c r="F3567">
        <v>1</v>
      </c>
      <c r="G3567" t="s">
        <v>61</v>
      </c>
      <c r="H3567" t="s">
        <v>45</v>
      </c>
      <c r="I3567" t="s">
        <v>2193</v>
      </c>
      <c r="J3567" s="10">
        <v>0</v>
      </c>
      <c r="K3567" t="b">
        <v>1</v>
      </c>
    </row>
    <row r="3568" spans="1:11">
      <c r="A3568" s="12">
        <v>42086</v>
      </c>
      <c r="B3568">
        <v>2015</v>
      </c>
      <c r="C3568">
        <v>3</v>
      </c>
      <c r="D3568" s="11">
        <v>42064</v>
      </c>
      <c r="E3568" t="s">
        <v>2175</v>
      </c>
      <c r="F3568">
        <v>1</v>
      </c>
      <c r="G3568" t="s">
        <v>61</v>
      </c>
      <c r="H3568" t="s">
        <v>46</v>
      </c>
      <c r="I3568" t="s">
        <v>2194</v>
      </c>
      <c r="J3568" s="10">
        <v>0</v>
      </c>
      <c r="K3568" t="b">
        <v>1</v>
      </c>
    </row>
    <row r="3569" spans="1:11">
      <c r="A3569" s="12">
        <v>42086</v>
      </c>
      <c r="B3569">
        <v>2015</v>
      </c>
      <c r="C3569">
        <v>3</v>
      </c>
      <c r="D3569" s="11">
        <v>42064</v>
      </c>
      <c r="E3569" t="s">
        <v>2175</v>
      </c>
      <c r="F3569">
        <v>1</v>
      </c>
      <c r="G3569" t="s">
        <v>61</v>
      </c>
      <c r="H3569" t="s">
        <v>47</v>
      </c>
      <c r="I3569" t="s">
        <v>2195</v>
      </c>
      <c r="J3569" s="10">
        <v>2</v>
      </c>
      <c r="K3569" t="b">
        <v>1</v>
      </c>
    </row>
    <row r="3570" spans="1:11">
      <c r="A3570" s="12">
        <v>42087</v>
      </c>
      <c r="B3570">
        <v>2015</v>
      </c>
      <c r="C3570">
        <v>3</v>
      </c>
      <c r="D3570" s="11">
        <v>42064</v>
      </c>
      <c r="E3570" t="s">
        <v>2175</v>
      </c>
      <c r="F3570">
        <v>2</v>
      </c>
      <c r="G3570" t="s">
        <v>63</v>
      </c>
      <c r="H3570" t="s">
        <v>40</v>
      </c>
      <c r="I3570" t="s">
        <v>2188</v>
      </c>
      <c r="J3570" s="10">
        <v>4</v>
      </c>
      <c r="K3570" t="b">
        <v>1</v>
      </c>
    </row>
    <row r="3571" spans="1:11">
      <c r="A3571" s="12">
        <v>42087</v>
      </c>
      <c r="B3571">
        <v>2015</v>
      </c>
      <c r="C3571">
        <v>3</v>
      </c>
      <c r="D3571" s="11">
        <v>42064</v>
      </c>
      <c r="E3571" t="s">
        <v>2175</v>
      </c>
      <c r="F3571">
        <v>2</v>
      </c>
      <c r="G3571" t="s">
        <v>63</v>
      </c>
      <c r="H3571" t="s">
        <v>41</v>
      </c>
      <c r="I3571" t="s">
        <v>2189</v>
      </c>
      <c r="J3571" s="10">
        <v>5.472</v>
      </c>
      <c r="K3571" t="b">
        <v>1</v>
      </c>
    </row>
    <row r="3572" spans="1:11">
      <c r="A3572" s="12">
        <v>42087</v>
      </c>
      <c r="B3572">
        <v>2015</v>
      </c>
      <c r="C3572">
        <v>3</v>
      </c>
      <c r="D3572" s="11">
        <v>42064</v>
      </c>
      <c r="E3572" t="s">
        <v>2175</v>
      </c>
      <c r="F3572">
        <v>2</v>
      </c>
      <c r="G3572" t="s">
        <v>63</v>
      </c>
      <c r="H3572" t="s">
        <v>42</v>
      </c>
      <c r="I3572" t="s">
        <v>2190</v>
      </c>
      <c r="J3572" s="10">
        <v>5.2</v>
      </c>
      <c r="K3572" t="b">
        <v>1</v>
      </c>
    </row>
    <row r="3573" spans="1:11">
      <c r="A3573" s="12">
        <v>42087</v>
      </c>
      <c r="B3573">
        <v>2015</v>
      </c>
      <c r="C3573">
        <v>3</v>
      </c>
      <c r="D3573" s="11">
        <v>42064</v>
      </c>
      <c r="E3573" t="s">
        <v>2175</v>
      </c>
      <c r="F3573">
        <v>2</v>
      </c>
      <c r="G3573" t="s">
        <v>63</v>
      </c>
      <c r="H3573" t="s">
        <v>43</v>
      </c>
      <c r="I3573" t="s">
        <v>2191</v>
      </c>
      <c r="J3573" s="10">
        <v>22.4</v>
      </c>
      <c r="K3573" t="b">
        <v>1</v>
      </c>
    </row>
    <row r="3574" spans="1:11">
      <c r="A3574" s="12">
        <v>42087</v>
      </c>
      <c r="B3574">
        <v>2015</v>
      </c>
      <c r="C3574">
        <v>3</v>
      </c>
      <c r="D3574" s="11">
        <v>42064</v>
      </c>
      <c r="E3574" t="s">
        <v>2175</v>
      </c>
      <c r="F3574">
        <v>2</v>
      </c>
      <c r="G3574" t="s">
        <v>63</v>
      </c>
      <c r="H3574" t="s">
        <v>44</v>
      </c>
      <c r="I3574" t="s">
        <v>2192</v>
      </c>
      <c r="J3574" s="10">
        <v>8</v>
      </c>
      <c r="K3574" t="b">
        <v>1</v>
      </c>
    </row>
    <row r="3575" spans="1:11">
      <c r="A3575" s="12">
        <v>42087</v>
      </c>
      <c r="B3575">
        <v>2015</v>
      </c>
      <c r="C3575">
        <v>3</v>
      </c>
      <c r="D3575" s="11">
        <v>42064</v>
      </c>
      <c r="E3575" t="s">
        <v>2175</v>
      </c>
      <c r="F3575">
        <v>2</v>
      </c>
      <c r="G3575" t="s">
        <v>63</v>
      </c>
      <c r="H3575" t="s">
        <v>45</v>
      </c>
      <c r="I3575" t="s">
        <v>2193</v>
      </c>
      <c r="J3575" s="10">
        <v>2</v>
      </c>
      <c r="K3575" t="b">
        <v>1</v>
      </c>
    </row>
    <row r="3576" spans="1:11">
      <c r="A3576" s="12">
        <v>42087</v>
      </c>
      <c r="B3576">
        <v>2015</v>
      </c>
      <c r="C3576">
        <v>3</v>
      </c>
      <c r="D3576" s="11">
        <v>42064</v>
      </c>
      <c r="E3576" t="s">
        <v>2175</v>
      </c>
      <c r="F3576">
        <v>2</v>
      </c>
      <c r="G3576" t="s">
        <v>63</v>
      </c>
      <c r="H3576" t="s">
        <v>46</v>
      </c>
      <c r="I3576" t="s">
        <v>2194</v>
      </c>
      <c r="J3576" s="10">
        <v>9</v>
      </c>
      <c r="K3576" t="b">
        <v>1</v>
      </c>
    </row>
    <row r="3577" spans="1:11">
      <c r="A3577" s="12">
        <v>42087</v>
      </c>
      <c r="B3577">
        <v>2015</v>
      </c>
      <c r="C3577">
        <v>3</v>
      </c>
      <c r="D3577" s="11">
        <v>42064</v>
      </c>
      <c r="E3577" t="s">
        <v>2175</v>
      </c>
      <c r="F3577">
        <v>2</v>
      </c>
      <c r="G3577" t="s">
        <v>63</v>
      </c>
      <c r="H3577" t="s">
        <v>47</v>
      </c>
      <c r="I3577" t="s">
        <v>2195</v>
      </c>
      <c r="J3577" s="10">
        <v>4</v>
      </c>
      <c r="K3577" t="b">
        <v>1</v>
      </c>
    </row>
    <row r="3578" spans="1:11">
      <c r="A3578" s="12">
        <v>42088</v>
      </c>
      <c r="B3578">
        <v>2015</v>
      </c>
      <c r="C3578">
        <v>3</v>
      </c>
      <c r="D3578" s="11">
        <v>42064</v>
      </c>
      <c r="E3578" t="s">
        <v>2175</v>
      </c>
      <c r="F3578">
        <v>3</v>
      </c>
      <c r="G3578" t="s">
        <v>65</v>
      </c>
      <c r="H3578" t="s">
        <v>40</v>
      </c>
      <c r="I3578" t="s">
        <v>2188</v>
      </c>
      <c r="J3578" s="10">
        <v>3.68</v>
      </c>
      <c r="K3578" t="b">
        <v>1</v>
      </c>
    </row>
    <row r="3579" spans="1:11">
      <c r="A3579" s="12">
        <v>42088</v>
      </c>
      <c r="B3579">
        <v>2015</v>
      </c>
      <c r="C3579">
        <v>3</v>
      </c>
      <c r="D3579" s="11">
        <v>42064</v>
      </c>
      <c r="E3579" t="s">
        <v>2175</v>
      </c>
      <c r="F3579">
        <v>3</v>
      </c>
      <c r="G3579" t="s">
        <v>65</v>
      </c>
      <c r="H3579" t="s">
        <v>41</v>
      </c>
      <c r="I3579" t="s">
        <v>2189</v>
      </c>
      <c r="J3579" s="10">
        <v>8.66</v>
      </c>
      <c r="K3579" t="b">
        <v>1</v>
      </c>
    </row>
    <row r="3580" spans="1:11">
      <c r="A3580" s="12">
        <v>42088</v>
      </c>
      <c r="B3580">
        <v>2015</v>
      </c>
      <c r="C3580">
        <v>3</v>
      </c>
      <c r="D3580" s="11">
        <v>42064</v>
      </c>
      <c r="E3580" t="s">
        <v>2175</v>
      </c>
      <c r="F3580">
        <v>3</v>
      </c>
      <c r="G3580" t="s">
        <v>65</v>
      </c>
      <c r="H3580" t="s">
        <v>42</v>
      </c>
      <c r="I3580" t="s">
        <v>2190</v>
      </c>
      <c r="J3580" s="10">
        <v>6.4</v>
      </c>
      <c r="K3580" t="b">
        <v>1</v>
      </c>
    </row>
    <row r="3581" spans="1:11">
      <c r="A3581" s="12">
        <v>42088</v>
      </c>
      <c r="B3581">
        <v>2015</v>
      </c>
      <c r="C3581">
        <v>3</v>
      </c>
      <c r="D3581" s="11">
        <v>42064</v>
      </c>
      <c r="E3581" t="s">
        <v>2175</v>
      </c>
      <c r="F3581">
        <v>3</v>
      </c>
      <c r="G3581" t="s">
        <v>65</v>
      </c>
      <c r="H3581" t="s">
        <v>43</v>
      </c>
      <c r="I3581" t="s">
        <v>2191</v>
      </c>
      <c r="J3581" s="10">
        <v>17.6</v>
      </c>
      <c r="K3581" t="b">
        <v>1</v>
      </c>
    </row>
    <row r="3582" spans="1:11">
      <c r="A3582" s="12">
        <v>42088</v>
      </c>
      <c r="B3582">
        <v>2015</v>
      </c>
      <c r="C3582">
        <v>3</v>
      </c>
      <c r="D3582" s="11">
        <v>42064</v>
      </c>
      <c r="E3582" t="s">
        <v>2175</v>
      </c>
      <c r="F3582">
        <v>3</v>
      </c>
      <c r="G3582" t="s">
        <v>65</v>
      </c>
      <c r="H3582" t="s">
        <v>44</v>
      </c>
      <c r="I3582" t="s">
        <v>2192</v>
      </c>
      <c r="J3582" s="10">
        <v>10</v>
      </c>
      <c r="K3582" t="b">
        <v>1</v>
      </c>
    </row>
    <row r="3583" spans="1:11">
      <c r="A3583" s="12">
        <v>42088</v>
      </c>
      <c r="B3583">
        <v>2015</v>
      </c>
      <c r="C3583">
        <v>3</v>
      </c>
      <c r="D3583" s="11">
        <v>42064</v>
      </c>
      <c r="E3583" t="s">
        <v>2175</v>
      </c>
      <c r="F3583">
        <v>3</v>
      </c>
      <c r="G3583" t="s">
        <v>65</v>
      </c>
      <c r="H3583" t="s">
        <v>45</v>
      </c>
      <c r="I3583" t="s">
        <v>2193</v>
      </c>
      <c r="J3583" s="10">
        <v>2</v>
      </c>
      <c r="K3583" t="b">
        <v>1</v>
      </c>
    </row>
    <row r="3584" spans="1:11">
      <c r="A3584" s="12">
        <v>42088</v>
      </c>
      <c r="B3584">
        <v>2015</v>
      </c>
      <c r="C3584">
        <v>3</v>
      </c>
      <c r="D3584" s="11">
        <v>42064</v>
      </c>
      <c r="E3584" t="s">
        <v>2175</v>
      </c>
      <c r="F3584">
        <v>3</v>
      </c>
      <c r="G3584" t="s">
        <v>65</v>
      </c>
      <c r="H3584" t="s">
        <v>46</v>
      </c>
      <c r="I3584" t="s">
        <v>2194</v>
      </c>
      <c r="J3584" s="10">
        <v>13</v>
      </c>
      <c r="K3584" t="b">
        <v>1</v>
      </c>
    </row>
    <row r="3585" spans="1:11">
      <c r="A3585" s="12">
        <v>42088</v>
      </c>
      <c r="B3585">
        <v>2015</v>
      </c>
      <c r="C3585">
        <v>3</v>
      </c>
      <c r="D3585" s="11">
        <v>42064</v>
      </c>
      <c r="E3585" t="s">
        <v>2175</v>
      </c>
      <c r="F3585">
        <v>3</v>
      </c>
      <c r="G3585" t="s">
        <v>65</v>
      </c>
      <c r="H3585" t="s">
        <v>47</v>
      </c>
      <c r="I3585" t="s">
        <v>2195</v>
      </c>
      <c r="J3585" s="10">
        <v>1</v>
      </c>
      <c r="K3585" t="b">
        <v>1</v>
      </c>
    </row>
    <row r="3586" spans="1:11">
      <c r="A3586" s="12">
        <v>42089</v>
      </c>
      <c r="B3586">
        <v>2015</v>
      </c>
      <c r="C3586">
        <v>3</v>
      </c>
      <c r="D3586" s="11">
        <v>42064</v>
      </c>
      <c r="E3586" t="s">
        <v>2175</v>
      </c>
      <c r="F3586">
        <v>4</v>
      </c>
      <c r="G3586" t="s">
        <v>53</v>
      </c>
      <c r="H3586" t="s">
        <v>40</v>
      </c>
      <c r="I3586" t="s">
        <v>2188</v>
      </c>
      <c r="J3586" s="10">
        <v>5</v>
      </c>
      <c r="K3586" t="b">
        <v>1</v>
      </c>
    </row>
    <row r="3587" spans="1:11">
      <c r="A3587" s="12">
        <v>42089</v>
      </c>
      <c r="B3587">
        <v>2015</v>
      </c>
      <c r="C3587">
        <v>3</v>
      </c>
      <c r="D3587" s="11">
        <v>42064</v>
      </c>
      <c r="E3587" t="s">
        <v>2175</v>
      </c>
      <c r="F3587">
        <v>4</v>
      </c>
      <c r="G3587" t="s">
        <v>53</v>
      </c>
      <c r="H3587" t="s">
        <v>41</v>
      </c>
      <c r="I3587" t="s">
        <v>2189</v>
      </c>
      <c r="J3587" s="10">
        <v>1.747</v>
      </c>
      <c r="K3587" t="b">
        <v>1</v>
      </c>
    </row>
    <row r="3588" spans="1:11">
      <c r="A3588" s="12">
        <v>42089</v>
      </c>
      <c r="B3588">
        <v>2015</v>
      </c>
      <c r="C3588">
        <v>3</v>
      </c>
      <c r="D3588" s="11">
        <v>42064</v>
      </c>
      <c r="E3588" t="s">
        <v>2175</v>
      </c>
      <c r="F3588">
        <v>4</v>
      </c>
      <c r="G3588" t="s">
        <v>53</v>
      </c>
      <c r="H3588" t="s">
        <v>42</v>
      </c>
      <c r="I3588" t="s">
        <v>2190</v>
      </c>
      <c r="J3588" s="10">
        <v>3</v>
      </c>
      <c r="K3588" t="b">
        <v>1</v>
      </c>
    </row>
    <row r="3589" spans="1:11">
      <c r="A3589" s="12">
        <v>42089</v>
      </c>
      <c r="B3589">
        <v>2015</v>
      </c>
      <c r="C3589">
        <v>3</v>
      </c>
      <c r="D3589" s="11">
        <v>42064</v>
      </c>
      <c r="E3589" t="s">
        <v>2175</v>
      </c>
      <c r="F3589">
        <v>4</v>
      </c>
      <c r="G3589" t="s">
        <v>53</v>
      </c>
      <c r="H3589" t="s">
        <v>43</v>
      </c>
      <c r="I3589" t="s">
        <v>2191</v>
      </c>
      <c r="J3589" s="10">
        <v>51.4</v>
      </c>
      <c r="K3589" t="b">
        <v>1</v>
      </c>
    </row>
    <row r="3590" spans="1:11">
      <c r="A3590" s="12">
        <v>42089</v>
      </c>
      <c r="B3590">
        <v>2015</v>
      </c>
      <c r="C3590">
        <v>3</v>
      </c>
      <c r="D3590" s="11">
        <v>42064</v>
      </c>
      <c r="E3590" t="s">
        <v>2175</v>
      </c>
      <c r="F3590">
        <v>4</v>
      </c>
      <c r="G3590" t="s">
        <v>53</v>
      </c>
      <c r="H3590" t="s">
        <v>44</v>
      </c>
      <c r="I3590" t="s">
        <v>2192</v>
      </c>
      <c r="J3590" s="10">
        <v>10</v>
      </c>
      <c r="K3590" t="b">
        <v>1</v>
      </c>
    </row>
    <row r="3591" spans="1:11">
      <c r="A3591" s="12">
        <v>42089</v>
      </c>
      <c r="B3591">
        <v>2015</v>
      </c>
      <c r="C3591">
        <v>3</v>
      </c>
      <c r="D3591" s="11">
        <v>42064</v>
      </c>
      <c r="E3591" t="s">
        <v>2175</v>
      </c>
      <c r="F3591">
        <v>4</v>
      </c>
      <c r="G3591" t="s">
        <v>53</v>
      </c>
      <c r="H3591" t="s">
        <v>45</v>
      </c>
      <c r="I3591" t="s">
        <v>2193</v>
      </c>
      <c r="J3591" s="10">
        <v>0</v>
      </c>
      <c r="K3591" t="b">
        <v>1</v>
      </c>
    </row>
    <row r="3592" spans="1:11">
      <c r="A3592" s="12">
        <v>42089</v>
      </c>
      <c r="B3592">
        <v>2015</v>
      </c>
      <c r="C3592">
        <v>3</v>
      </c>
      <c r="D3592" s="11">
        <v>42064</v>
      </c>
      <c r="E3592" t="s">
        <v>2175</v>
      </c>
      <c r="F3592">
        <v>4</v>
      </c>
      <c r="G3592" t="s">
        <v>53</v>
      </c>
      <c r="H3592" t="s">
        <v>46</v>
      </c>
      <c r="I3592" t="s">
        <v>2194</v>
      </c>
      <c r="J3592" s="10">
        <v>6</v>
      </c>
      <c r="K3592" t="b">
        <v>1</v>
      </c>
    </row>
    <row r="3593" spans="1:11">
      <c r="A3593" s="12">
        <v>42089</v>
      </c>
      <c r="B3593">
        <v>2015</v>
      </c>
      <c r="C3593">
        <v>3</v>
      </c>
      <c r="D3593" s="11">
        <v>42064</v>
      </c>
      <c r="E3593" t="s">
        <v>2175</v>
      </c>
      <c r="F3593">
        <v>4</v>
      </c>
      <c r="G3593" t="s">
        <v>53</v>
      </c>
      <c r="H3593" t="s">
        <v>47</v>
      </c>
      <c r="I3593" t="s">
        <v>2195</v>
      </c>
      <c r="J3593" s="10">
        <v>5</v>
      </c>
      <c r="K3593" t="b">
        <v>1</v>
      </c>
    </row>
    <row r="3594" spans="1:11">
      <c r="A3594" s="12">
        <v>42090</v>
      </c>
      <c r="B3594">
        <v>2015</v>
      </c>
      <c r="C3594">
        <v>3</v>
      </c>
      <c r="D3594" s="11">
        <v>42064</v>
      </c>
      <c r="E3594" t="s">
        <v>2175</v>
      </c>
      <c r="F3594">
        <v>5</v>
      </c>
      <c r="G3594" t="s">
        <v>55</v>
      </c>
      <c r="H3594" t="s">
        <v>40</v>
      </c>
      <c r="I3594" t="s">
        <v>2188</v>
      </c>
      <c r="J3594" s="10">
        <v>3</v>
      </c>
      <c r="K3594" t="b">
        <v>1</v>
      </c>
    </row>
    <row r="3595" spans="1:11">
      <c r="A3595" s="12">
        <v>42090</v>
      </c>
      <c r="B3595">
        <v>2015</v>
      </c>
      <c r="C3595">
        <v>3</v>
      </c>
      <c r="D3595" s="11">
        <v>42064</v>
      </c>
      <c r="E3595" t="s">
        <v>2175</v>
      </c>
      <c r="F3595">
        <v>5</v>
      </c>
      <c r="G3595" t="s">
        <v>55</v>
      </c>
      <c r="H3595" t="s">
        <v>41</v>
      </c>
      <c r="I3595" t="s">
        <v>2189</v>
      </c>
      <c r="J3595" s="10">
        <v>2.67</v>
      </c>
      <c r="K3595" t="b">
        <v>1</v>
      </c>
    </row>
    <row r="3596" spans="1:11">
      <c r="A3596" s="12">
        <v>42090</v>
      </c>
      <c r="B3596">
        <v>2015</v>
      </c>
      <c r="C3596">
        <v>3</v>
      </c>
      <c r="D3596" s="11">
        <v>42064</v>
      </c>
      <c r="E3596" t="s">
        <v>2175</v>
      </c>
      <c r="F3596">
        <v>5</v>
      </c>
      <c r="G3596" t="s">
        <v>55</v>
      </c>
      <c r="H3596" t="s">
        <v>42</v>
      </c>
      <c r="I3596" t="s">
        <v>2190</v>
      </c>
      <c r="J3596" s="10">
        <v>2</v>
      </c>
      <c r="K3596" t="b">
        <v>1</v>
      </c>
    </row>
    <row r="3597" spans="1:11">
      <c r="A3597" s="12">
        <v>42090</v>
      </c>
      <c r="B3597">
        <v>2015</v>
      </c>
      <c r="C3597">
        <v>3</v>
      </c>
      <c r="D3597" s="11">
        <v>42064</v>
      </c>
      <c r="E3597" t="s">
        <v>2175</v>
      </c>
      <c r="F3597">
        <v>5</v>
      </c>
      <c r="G3597" t="s">
        <v>55</v>
      </c>
      <c r="H3597" t="s">
        <v>43</v>
      </c>
      <c r="I3597" t="s">
        <v>2191</v>
      </c>
      <c r="J3597" s="10">
        <v>27</v>
      </c>
      <c r="K3597" t="b">
        <v>1</v>
      </c>
    </row>
    <row r="3598" spans="1:11">
      <c r="A3598" s="12">
        <v>42090</v>
      </c>
      <c r="B3598">
        <v>2015</v>
      </c>
      <c r="C3598">
        <v>3</v>
      </c>
      <c r="D3598" s="11">
        <v>42064</v>
      </c>
      <c r="E3598" t="s">
        <v>2175</v>
      </c>
      <c r="F3598">
        <v>5</v>
      </c>
      <c r="G3598" t="s">
        <v>55</v>
      </c>
      <c r="H3598" t="s">
        <v>44</v>
      </c>
      <c r="I3598" t="s">
        <v>2192</v>
      </c>
      <c r="J3598" s="10">
        <v>3</v>
      </c>
      <c r="K3598" t="b">
        <v>1</v>
      </c>
    </row>
    <row r="3599" spans="1:11">
      <c r="A3599" s="12">
        <v>42090</v>
      </c>
      <c r="B3599">
        <v>2015</v>
      </c>
      <c r="C3599">
        <v>3</v>
      </c>
      <c r="D3599" s="11">
        <v>42064</v>
      </c>
      <c r="E3599" t="s">
        <v>2175</v>
      </c>
      <c r="F3599">
        <v>5</v>
      </c>
      <c r="G3599" t="s">
        <v>55</v>
      </c>
      <c r="H3599" t="s">
        <v>45</v>
      </c>
      <c r="I3599" t="s">
        <v>2193</v>
      </c>
      <c r="J3599" s="10">
        <v>0</v>
      </c>
      <c r="K3599" t="b">
        <v>1</v>
      </c>
    </row>
    <row r="3600" spans="1:11">
      <c r="A3600" s="12">
        <v>42090</v>
      </c>
      <c r="B3600">
        <v>2015</v>
      </c>
      <c r="C3600">
        <v>3</v>
      </c>
      <c r="D3600" s="11">
        <v>42064</v>
      </c>
      <c r="E3600" t="s">
        <v>2175</v>
      </c>
      <c r="F3600">
        <v>5</v>
      </c>
      <c r="G3600" t="s">
        <v>55</v>
      </c>
      <c r="H3600" t="s">
        <v>46</v>
      </c>
      <c r="I3600" t="s">
        <v>2194</v>
      </c>
      <c r="J3600" s="10">
        <v>22</v>
      </c>
      <c r="K3600" t="b">
        <v>1</v>
      </c>
    </row>
    <row r="3601" spans="1:11">
      <c r="A3601" s="12">
        <v>42090</v>
      </c>
      <c r="B3601">
        <v>2015</v>
      </c>
      <c r="C3601">
        <v>3</v>
      </c>
      <c r="D3601" s="11">
        <v>42064</v>
      </c>
      <c r="E3601" t="s">
        <v>2175</v>
      </c>
      <c r="F3601">
        <v>5</v>
      </c>
      <c r="G3601" t="s">
        <v>55</v>
      </c>
      <c r="H3601" t="s">
        <v>47</v>
      </c>
      <c r="I3601" t="s">
        <v>2195</v>
      </c>
      <c r="J3601" s="10">
        <v>1</v>
      </c>
      <c r="K3601" t="b">
        <v>1</v>
      </c>
    </row>
    <row r="3602" spans="1:11">
      <c r="A3602" s="12">
        <v>42091</v>
      </c>
      <c r="B3602">
        <v>2015</v>
      </c>
      <c r="C3602">
        <v>3</v>
      </c>
      <c r="D3602" s="11">
        <v>42064</v>
      </c>
      <c r="E3602" t="s">
        <v>2175</v>
      </c>
      <c r="F3602">
        <v>6</v>
      </c>
      <c r="G3602" t="s">
        <v>57</v>
      </c>
      <c r="H3602" t="s">
        <v>40</v>
      </c>
      <c r="I3602" t="s">
        <v>2188</v>
      </c>
      <c r="J3602" s="10">
        <v>1.33</v>
      </c>
      <c r="K3602" t="b">
        <v>1</v>
      </c>
    </row>
    <row r="3603" spans="1:11">
      <c r="A3603" s="12">
        <v>42091</v>
      </c>
      <c r="B3603">
        <v>2015</v>
      </c>
      <c r="C3603">
        <v>3</v>
      </c>
      <c r="D3603" s="11">
        <v>42064</v>
      </c>
      <c r="E3603" t="s">
        <v>2175</v>
      </c>
      <c r="F3603">
        <v>6</v>
      </c>
      <c r="G3603" t="s">
        <v>57</v>
      </c>
      <c r="H3603" t="s">
        <v>41</v>
      </c>
      <c r="I3603" t="s">
        <v>2189</v>
      </c>
      <c r="J3603" s="10">
        <v>3.056</v>
      </c>
      <c r="K3603" t="b">
        <v>1</v>
      </c>
    </row>
    <row r="3604" spans="1:11">
      <c r="A3604" s="12">
        <v>42091</v>
      </c>
      <c r="B3604">
        <v>2015</v>
      </c>
      <c r="C3604">
        <v>3</v>
      </c>
      <c r="D3604" s="11">
        <v>42064</v>
      </c>
      <c r="E3604" t="s">
        <v>2175</v>
      </c>
      <c r="F3604">
        <v>6</v>
      </c>
      <c r="G3604" t="s">
        <v>57</v>
      </c>
      <c r="H3604" t="s">
        <v>42</v>
      </c>
      <c r="I3604" t="s">
        <v>2190</v>
      </c>
      <c r="J3604" s="10">
        <v>3</v>
      </c>
      <c r="K3604" t="b">
        <v>1</v>
      </c>
    </row>
    <row r="3605" spans="1:11">
      <c r="A3605" s="12">
        <v>42091</v>
      </c>
      <c r="B3605">
        <v>2015</v>
      </c>
      <c r="C3605">
        <v>3</v>
      </c>
      <c r="D3605" s="11">
        <v>42064</v>
      </c>
      <c r="E3605" t="s">
        <v>2175</v>
      </c>
      <c r="F3605">
        <v>6</v>
      </c>
      <c r="G3605" t="s">
        <v>57</v>
      </c>
      <c r="H3605" t="s">
        <v>43</v>
      </c>
      <c r="I3605" t="s">
        <v>2191</v>
      </c>
      <c r="J3605" s="10">
        <v>50.5</v>
      </c>
      <c r="K3605" t="b">
        <v>1</v>
      </c>
    </row>
    <row r="3606" spans="1:11">
      <c r="A3606" s="12">
        <v>42091</v>
      </c>
      <c r="B3606">
        <v>2015</v>
      </c>
      <c r="C3606">
        <v>3</v>
      </c>
      <c r="D3606" s="11">
        <v>42064</v>
      </c>
      <c r="E3606" t="s">
        <v>2175</v>
      </c>
      <c r="F3606">
        <v>6</v>
      </c>
      <c r="G3606" t="s">
        <v>57</v>
      </c>
      <c r="H3606" t="s">
        <v>44</v>
      </c>
      <c r="I3606" t="s">
        <v>2192</v>
      </c>
      <c r="J3606" s="10">
        <v>6</v>
      </c>
      <c r="K3606" t="b">
        <v>1</v>
      </c>
    </row>
    <row r="3607" spans="1:11">
      <c r="A3607" s="12">
        <v>42091</v>
      </c>
      <c r="B3607">
        <v>2015</v>
      </c>
      <c r="C3607">
        <v>3</v>
      </c>
      <c r="D3607" s="11">
        <v>42064</v>
      </c>
      <c r="E3607" t="s">
        <v>2175</v>
      </c>
      <c r="F3607">
        <v>6</v>
      </c>
      <c r="G3607" t="s">
        <v>57</v>
      </c>
      <c r="H3607" t="s">
        <v>45</v>
      </c>
      <c r="I3607" t="s">
        <v>2193</v>
      </c>
      <c r="J3607" s="10">
        <v>0</v>
      </c>
      <c r="K3607" t="b">
        <v>1</v>
      </c>
    </row>
    <row r="3608" spans="1:11">
      <c r="A3608" s="12">
        <v>42091</v>
      </c>
      <c r="B3608">
        <v>2015</v>
      </c>
      <c r="C3608">
        <v>3</v>
      </c>
      <c r="D3608" s="11">
        <v>42064</v>
      </c>
      <c r="E3608" t="s">
        <v>2175</v>
      </c>
      <c r="F3608">
        <v>6</v>
      </c>
      <c r="G3608" t="s">
        <v>57</v>
      </c>
      <c r="H3608" t="s">
        <v>46</v>
      </c>
      <c r="I3608" t="s">
        <v>2194</v>
      </c>
      <c r="J3608" s="10">
        <v>0</v>
      </c>
      <c r="K3608" t="b">
        <v>1</v>
      </c>
    </row>
    <row r="3609" spans="1:11">
      <c r="A3609" s="12">
        <v>42091</v>
      </c>
      <c r="B3609">
        <v>2015</v>
      </c>
      <c r="C3609">
        <v>3</v>
      </c>
      <c r="D3609" s="11">
        <v>42064</v>
      </c>
      <c r="E3609" t="s">
        <v>2175</v>
      </c>
      <c r="F3609">
        <v>6</v>
      </c>
      <c r="G3609" t="s">
        <v>57</v>
      </c>
      <c r="H3609" t="s">
        <v>47</v>
      </c>
      <c r="I3609" t="s">
        <v>2195</v>
      </c>
      <c r="J3609" s="10">
        <v>2</v>
      </c>
      <c r="K3609" t="b">
        <v>1</v>
      </c>
    </row>
    <row r="3610" spans="1:11">
      <c r="A3610" s="12">
        <v>42092</v>
      </c>
      <c r="B3610">
        <v>2015</v>
      </c>
      <c r="C3610">
        <v>3</v>
      </c>
      <c r="D3610" s="11">
        <v>42064</v>
      </c>
      <c r="E3610" t="s">
        <v>2175</v>
      </c>
      <c r="F3610">
        <v>7</v>
      </c>
      <c r="G3610" t="s">
        <v>59</v>
      </c>
      <c r="H3610" t="s">
        <v>40</v>
      </c>
      <c r="I3610" t="s">
        <v>2188</v>
      </c>
      <c r="J3610" s="10">
        <v>6</v>
      </c>
      <c r="K3610" t="b">
        <v>1</v>
      </c>
    </row>
    <row r="3611" spans="1:11">
      <c r="A3611" s="12">
        <v>42092</v>
      </c>
      <c r="B3611">
        <v>2015</v>
      </c>
      <c r="C3611">
        <v>3</v>
      </c>
      <c r="D3611" s="11">
        <v>42064</v>
      </c>
      <c r="E3611" t="s">
        <v>2175</v>
      </c>
      <c r="F3611">
        <v>7</v>
      </c>
      <c r="G3611" t="s">
        <v>59</v>
      </c>
      <c r="H3611" t="s">
        <v>41</v>
      </c>
      <c r="I3611" t="s">
        <v>2189</v>
      </c>
      <c r="J3611" s="10">
        <v>5.727</v>
      </c>
      <c r="K3611" t="b">
        <v>1</v>
      </c>
    </row>
    <row r="3612" spans="1:11">
      <c r="A3612" s="12">
        <v>42092</v>
      </c>
      <c r="B3612">
        <v>2015</v>
      </c>
      <c r="C3612">
        <v>3</v>
      </c>
      <c r="D3612" s="11">
        <v>42064</v>
      </c>
      <c r="E3612" t="s">
        <v>2175</v>
      </c>
      <c r="F3612">
        <v>7</v>
      </c>
      <c r="G3612" t="s">
        <v>59</v>
      </c>
      <c r="H3612" t="s">
        <v>42</v>
      </c>
      <c r="I3612" t="s">
        <v>2190</v>
      </c>
      <c r="J3612" s="10">
        <v>2.3</v>
      </c>
      <c r="K3612" t="b">
        <v>1</v>
      </c>
    </row>
    <row r="3613" spans="1:11">
      <c r="A3613" s="12">
        <v>42092</v>
      </c>
      <c r="B3613">
        <v>2015</v>
      </c>
      <c r="C3613">
        <v>3</v>
      </c>
      <c r="D3613" s="11">
        <v>42064</v>
      </c>
      <c r="E3613" t="s">
        <v>2175</v>
      </c>
      <c r="F3613">
        <v>7</v>
      </c>
      <c r="G3613" t="s">
        <v>59</v>
      </c>
      <c r="H3613" t="s">
        <v>43</v>
      </c>
      <c r="I3613" t="s">
        <v>2191</v>
      </c>
      <c r="J3613" s="10">
        <v>35.5</v>
      </c>
      <c r="K3613" t="b">
        <v>1</v>
      </c>
    </row>
    <row r="3614" spans="1:11">
      <c r="A3614" s="12">
        <v>42092</v>
      </c>
      <c r="B3614">
        <v>2015</v>
      </c>
      <c r="C3614">
        <v>3</v>
      </c>
      <c r="D3614" s="11">
        <v>42064</v>
      </c>
      <c r="E3614" t="s">
        <v>2175</v>
      </c>
      <c r="F3614">
        <v>7</v>
      </c>
      <c r="G3614" t="s">
        <v>59</v>
      </c>
      <c r="H3614" t="s">
        <v>44</v>
      </c>
      <c r="I3614" t="s">
        <v>2192</v>
      </c>
      <c r="J3614" s="10">
        <v>7</v>
      </c>
      <c r="K3614" t="b">
        <v>1</v>
      </c>
    </row>
    <row r="3615" spans="1:11">
      <c r="A3615" s="12">
        <v>42092</v>
      </c>
      <c r="B3615">
        <v>2015</v>
      </c>
      <c r="C3615">
        <v>3</v>
      </c>
      <c r="D3615" s="11">
        <v>42064</v>
      </c>
      <c r="E3615" t="s">
        <v>2175</v>
      </c>
      <c r="F3615">
        <v>7</v>
      </c>
      <c r="G3615" t="s">
        <v>59</v>
      </c>
      <c r="H3615" t="s">
        <v>45</v>
      </c>
      <c r="I3615" t="s">
        <v>2193</v>
      </c>
      <c r="J3615" s="10">
        <v>0</v>
      </c>
      <c r="K3615" t="b">
        <v>1</v>
      </c>
    </row>
    <row r="3616" spans="1:11">
      <c r="A3616" s="12">
        <v>42092</v>
      </c>
      <c r="B3616">
        <v>2015</v>
      </c>
      <c r="C3616">
        <v>3</v>
      </c>
      <c r="D3616" s="11">
        <v>42064</v>
      </c>
      <c r="E3616" t="s">
        <v>2175</v>
      </c>
      <c r="F3616">
        <v>7</v>
      </c>
      <c r="G3616" t="s">
        <v>59</v>
      </c>
      <c r="H3616" t="s">
        <v>46</v>
      </c>
      <c r="I3616" t="s">
        <v>2194</v>
      </c>
      <c r="J3616" s="10">
        <v>8</v>
      </c>
      <c r="K3616" t="b">
        <v>1</v>
      </c>
    </row>
    <row r="3617" spans="1:11">
      <c r="A3617" s="12">
        <v>42092</v>
      </c>
      <c r="B3617">
        <v>2015</v>
      </c>
      <c r="C3617">
        <v>3</v>
      </c>
      <c r="D3617" s="11">
        <v>42064</v>
      </c>
      <c r="E3617" t="s">
        <v>2175</v>
      </c>
      <c r="F3617">
        <v>7</v>
      </c>
      <c r="G3617" t="s">
        <v>59</v>
      </c>
      <c r="H3617" t="s">
        <v>47</v>
      </c>
      <c r="I3617" t="s">
        <v>2195</v>
      </c>
      <c r="J3617" s="10">
        <v>2</v>
      </c>
      <c r="K3617" t="b">
        <v>1</v>
      </c>
    </row>
    <row r="3618" spans="1:11">
      <c r="A3618" s="12">
        <v>42093</v>
      </c>
      <c r="B3618">
        <v>2015</v>
      </c>
      <c r="C3618">
        <v>3</v>
      </c>
      <c r="D3618" s="11">
        <v>42064</v>
      </c>
      <c r="E3618" t="s">
        <v>2175</v>
      </c>
      <c r="F3618">
        <v>1</v>
      </c>
      <c r="G3618" t="s">
        <v>61</v>
      </c>
      <c r="H3618" t="s">
        <v>40</v>
      </c>
      <c r="I3618" t="s">
        <v>2188</v>
      </c>
      <c r="J3618" s="10">
        <v>6.33</v>
      </c>
      <c r="K3618" t="b">
        <v>1</v>
      </c>
    </row>
    <row r="3619" spans="1:11">
      <c r="A3619" s="12">
        <v>42093</v>
      </c>
      <c r="B3619">
        <v>2015</v>
      </c>
      <c r="C3619">
        <v>3</v>
      </c>
      <c r="D3619" s="11">
        <v>42064</v>
      </c>
      <c r="E3619" t="s">
        <v>2175</v>
      </c>
      <c r="F3619">
        <v>1</v>
      </c>
      <c r="G3619" t="s">
        <v>61</v>
      </c>
      <c r="H3619" t="s">
        <v>41</v>
      </c>
      <c r="I3619" t="s">
        <v>2189</v>
      </c>
      <c r="J3619" s="10">
        <v>4.827</v>
      </c>
      <c r="K3619" t="b">
        <v>1</v>
      </c>
    </row>
    <row r="3620" spans="1:11">
      <c r="A3620" s="12">
        <v>42093</v>
      </c>
      <c r="B3620">
        <v>2015</v>
      </c>
      <c r="C3620">
        <v>3</v>
      </c>
      <c r="D3620" s="11">
        <v>42064</v>
      </c>
      <c r="E3620" t="s">
        <v>2175</v>
      </c>
      <c r="F3620">
        <v>1</v>
      </c>
      <c r="G3620" t="s">
        <v>61</v>
      </c>
      <c r="H3620" t="s">
        <v>42</v>
      </c>
      <c r="I3620" t="s">
        <v>2190</v>
      </c>
      <c r="J3620" s="10">
        <v>10</v>
      </c>
      <c r="K3620" t="b">
        <v>1</v>
      </c>
    </row>
    <row r="3621" spans="1:11">
      <c r="A3621" s="12">
        <v>42093</v>
      </c>
      <c r="B3621">
        <v>2015</v>
      </c>
      <c r="C3621">
        <v>3</v>
      </c>
      <c r="D3621" s="11">
        <v>42064</v>
      </c>
      <c r="E3621" t="s">
        <v>2175</v>
      </c>
      <c r="F3621">
        <v>1</v>
      </c>
      <c r="G3621" t="s">
        <v>61</v>
      </c>
      <c r="H3621" t="s">
        <v>43</v>
      </c>
      <c r="I3621" t="s">
        <v>2191</v>
      </c>
      <c r="J3621" s="10">
        <v>25.7</v>
      </c>
      <c r="K3621" t="b">
        <v>1</v>
      </c>
    </row>
    <row r="3622" spans="1:11">
      <c r="A3622" s="12">
        <v>42093</v>
      </c>
      <c r="B3622">
        <v>2015</v>
      </c>
      <c r="C3622">
        <v>3</v>
      </c>
      <c r="D3622" s="11">
        <v>42064</v>
      </c>
      <c r="E3622" t="s">
        <v>2175</v>
      </c>
      <c r="F3622">
        <v>1</v>
      </c>
      <c r="G3622" t="s">
        <v>61</v>
      </c>
      <c r="H3622" t="s">
        <v>44</v>
      </c>
      <c r="I3622" t="s">
        <v>2192</v>
      </c>
      <c r="J3622" s="10">
        <v>4</v>
      </c>
      <c r="K3622" t="b">
        <v>1</v>
      </c>
    </row>
    <row r="3623" spans="1:11">
      <c r="A3623" s="12">
        <v>42093</v>
      </c>
      <c r="B3623">
        <v>2015</v>
      </c>
      <c r="C3623">
        <v>3</v>
      </c>
      <c r="D3623" s="11">
        <v>42064</v>
      </c>
      <c r="E3623" t="s">
        <v>2175</v>
      </c>
      <c r="F3623">
        <v>1</v>
      </c>
      <c r="G3623" t="s">
        <v>61</v>
      </c>
      <c r="H3623" t="s">
        <v>45</v>
      </c>
      <c r="I3623" t="s">
        <v>2193</v>
      </c>
      <c r="J3623" s="10">
        <v>0</v>
      </c>
      <c r="K3623" t="b">
        <v>1</v>
      </c>
    </row>
    <row r="3624" spans="1:11">
      <c r="A3624" s="12">
        <v>42093</v>
      </c>
      <c r="B3624">
        <v>2015</v>
      </c>
      <c r="C3624">
        <v>3</v>
      </c>
      <c r="D3624" s="11">
        <v>42064</v>
      </c>
      <c r="E3624" t="s">
        <v>2175</v>
      </c>
      <c r="F3624">
        <v>1</v>
      </c>
      <c r="G3624" t="s">
        <v>61</v>
      </c>
      <c r="H3624" t="s">
        <v>46</v>
      </c>
      <c r="I3624" t="s">
        <v>2194</v>
      </c>
      <c r="J3624" s="10">
        <v>0</v>
      </c>
      <c r="K3624" t="b">
        <v>1</v>
      </c>
    </row>
    <row r="3625" spans="1:11">
      <c r="A3625" s="12">
        <v>42093</v>
      </c>
      <c r="B3625">
        <v>2015</v>
      </c>
      <c r="C3625">
        <v>3</v>
      </c>
      <c r="D3625" s="11">
        <v>42064</v>
      </c>
      <c r="E3625" t="s">
        <v>2175</v>
      </c>
      <c r="F3625">
        <v>1</v>
      </c>
      <c r="G3625" t="s">
        <v>61</v>
      </c>
      <c r="H3625" t="s">
        <v>47</v>
      </c>
      <c r="I3625" t="s">
        <v>2195</v>
      </c>
      <c r="J3625" s="10">
        <v>0</v>
      </c>
      <c r="K3625" t="b">
        <v>1</v>
      </c>
    </row>
    <row r="3626" spans="1:11">
      <c r="A3626" s="12">
        <v>42094</v>
      </c>
      <c r="B3626">
        <v>2015</v>
      </c>
      <c r="C3626">
        <v>3</v>
      </c>
      <c r="D3626" s="11">
        <v>42064</v>
      </c>
      <c r="E3626" t="s">
        <v>2175</v>
      </c>
      <c r="F3626">
        <v>2</v>
      </c>
      <c r="G3626" t="s">
        <v>63</v>
      </c>
      <c r="H3626" t="s">
        <v>40</v>
      </c>
      <c r="I3626" t="s">
        <v>2188</v>
      </c>
      <c r="J3626" s="10">
        <v>5</v>
      </c>
      <c r="K3626" t="b">
        <v>1</v>
      </c>
    </row>
    <row r="3627" spans="1:11">
      <c r="A3627" s="12">
        <v>42094</v>
      </c>
      <c r="B3627">
        <v>2015</v>
      </c>
      <c r="C3627">
        <v>3</v>
      </c>
      <c r="D3627" s="11">
        <v>42064</v>
      </c>
      <c r="E3627" t="s">
        <v>2175</v>
      </c>
      <c r="F3627">
        <v>2</v>
      </c>
      <c r="G3627" t="s">
        <v>63</v>
      </c>
      <c r="H3627" t="s">
        <v>41</v>
      </c>
      <c r="I3627" t="s">
        <v>2189</v>
      </c>
      <c r="J3627" s="10">
        <v>2</v>
      </c>
      <c r="K3627" t="b">
        <v>1</v>
      </c>
    </row>
    <row r="3628" spans="1:11">
      <c r="A3628" s="12">
        <v>42094</v>
      </c>
      <c r="B3628">
        <v>2015</v>
      </c>
      <c r="C3628">
        <v>3</v>
      </c>
      <c r="D3628" s="11">
        <v>42064</v>
      </c>
      <c r="E3628" t="s">
        <v>2175</v>
      </c>
      <c r="F3628">
        <v>2</v>
      </c>
      <c r="G3628" t="s">
        <v>63</v>
      </c>
      <c r="H3628" t="s">
        <v>42</v>
      </c>
      <c r="I3628" t="s">
        <v>2190</v>
      </c>
      <c r="J3628" s="10">
        <v>11.2</v>
      </c>
      <c r="K3628" t="b">
        <v>1</v>
      </c>
    </row>
    <row r="3629" spans="1:11">
      <c r="A3629" s="12">
        <v>42094</v>
      </c>
      <c r="B3629">
        <v>2015</v>
      </c>
      <c r="C3629">
        <v>3</v>
      </c>
      <c r="D3629" s="11">
        <v>42064</v>
      </c>
      <c r="E3629" t="s">
        <v>2175</v>
      </c>
      <c r="F3629">
        <v>2</v>
      </c>
      <c r="G3629" t="s">
        <v>63</v>
      </c>
      <c r="H3629" t="s">
        <v>43</v>
      </c>
      <c r="I3629" t="s">
        <v>2191</v>
      </c>
      <c r="J3629" s="10">
        <v>33.5</v>
      </c>
      <c r="K3629" t="b">
        <v>1</v>
      </c>
    </row>
    <row r="3630" spans="1:11">
      <c r="A3630" s="12">
        <v>42094</v>
      </c>
      <c r="B3630">
        <v>2015</v>
      </c>
      <c r="C3630">
        <v>3</v>
      </c>
      <c r="D3630" s="11">
        <v>42064</v>
      </c>
      <c r="E3630" t="s">
        <v>2175</v>
      </c>
      <c r="F3630">
        <v>2</v>
      </c>
      <c r="G3630" t="s">
        <v>63</v>
      </c>
      <c r="H3630" t="s">
        <v>44</v>
      </c>
      <c r="I3630" t="s">
        <v>2192</v>
      </c>
      <c r="J3630" s="10">
        <v>5</v>
      </c>
      <c r="K3630" t="b">
        <v>1</v>
      </c>
    </row>
    <row r="3631" spans="1:11">
      <c r="A3631" s="12">
        <v>42094</v>
      </c>
      <c r="B3631">
        <v>2015</v>
      </c>
      <c r="C3631">
        <v>3</v>
      </c>
      <c r="D3631" s="11">
        <v>42064</v>
      </c>
      <c r="E3631" t="s">
        <v>2175</v>
      </c>
      <c r="F3631">
        <v>2</v>
      </c>
      <c r="G3631" t="s">
        <v>63</v>
      </c>
      <c r="H3631" t="s">
        <v>45</v>
      </c>
      <c r="I3631" t="s">
        <v>2193</v>
      </c>
      <c r="J3631" s="10">
        <v>0</v>
      </c>
      <c r="K3631" t="b">
        <v>1</v>
      </c>
    </row>
    <row r="3632" spans="1:11">
      <c r="A3632" s="12">
        <v>42094</v>
      </c>
      <c r="B3632">
        <v>2015</v>
      </c>
      <c r="C3632">
        <v>3</v>
      </c>
      <c r="D3632" s="11">
        <v>42064</v>
      </c>
      <c r="E3632" t="s">
        <v>2175</v>
      </c>
      <c r="F3632">
        <v>2</v>
      </c>
      <c r="G3632" t="s">
        <v>63</v>
      </c>
      <c r="H3632" t="s">
        <v>46</v>
      </c>
      <c r="I3632" t="s">
        <v>2194</v>
      </c>
      <c r="J3632" s="10">
        <v>2</v>
      </c>
      <c r="K3632" t="b">
        <v>1</v>
      </c>
    </row>
    <row r="3633" spans="1:11">
      <c r="A3633" s="12">
        <v>42094</v>
      </c>
      <c r="B3633">
        <v>2015</v>
      </c>
      <c r="C3633">
        <v>3</v>
      </c>
      <c r="D3633" s="11">
        <v>42064</v>
      </c>
      <c r="E3633" t="s">
        <v>2175</v>
      </c>
      <c r="F3633">
        <v>2</v>
      </c>
      <c r="G3633" t="s">
        <v>63</v>
      </c>
      <c r="H3633" t="s">
        <v>47</v>
      </c>
      <c r="I3633" t="s">
        <v>2195</v>
      </c>
      <c r="J3633" s="10">
        <v>4</v>
      </c>
      <c r="K3633" t="b">
        <v>1</v>
      </c>
    </row>
    <row r="3634" spans="1:11">
      <c r="A3634" s="12">
        <v>42095</v>
      </c>
      <c r="B3634">
        <v>2015</v>
      </c>
      <c r="C3634">
        <v>4</v>
      </c>
      <c r="D3634" s="11">
        <v>42095</v>
      </c>
      <c r="E3634" t="s">
        <v>2176</v>
      </c>
      <c r="F3634">
        <v>3</v>
      </c>
      <c r="G3634" t="s">
        <v>65</v>
      </c>
      <c r="H3634" t="s">
        <v>40</v>
      </c>
      <c r="I3634" t="s">
        <v>2188</v>
      </c>
      <c r="J3634" s="10">
        <v>6.34</v>
      </c>
      <c r="K3634" t="b">
        <v>1</v>
      </c>
    </row>
    <row r="3635" spans="1:11">
      <c r="A3635" s="12">
        <v>42095</v>
      </c>
      <c r="B3635">
        <v>2015</v>
      </c>
      <c r="C3635">
        <v>4</v>
      </c>
      <c r="D3635" s="11">
        <v>42095</v>
      </c>
      <c r="E3635" t="s">
        <v>2176</v>
      </c>
      <c r="F3635">
        <v>3</v>
      </c>
      <c r="G3635" t="s">
        <v>65</v>
      </c>
      <c r="H3635" t="s">
        <v>41</v>
      </c>
      <c r="I3635" t="s">
        <v>2189</v>
      </c>
      <c r="J3635" s="10">
        <v>1.33</v>
      </c>
      <c r="K3635" t="b">
        <v>1</v>
      </c>
    </row>
    <row r="3636" spans="1:11">
      <c r="A3636" s="12">
        <v>42095</v>
      </c>
      <c r="B3636">
        <v>2015</v>
      </c>
      <c r="C3636">
        <v>4</v>
      </c>
      <c r="D3636" s="11">
        <v>42095</v>
      </c>
      <c r="E3636" t="s">
        <v>2176</v>
      </c>
      <c r="F3636">
        <v>3</v>
      </c>
      <c r="G3636" t="s">
        <v>65</v>
      </c>
      <c r="H3636" t="s">
        <v>42</v>
      </c>
      <c r="I3636" t="s">
        <v>2190</v>
      </c>
      <c r="J3636" s="10">
        <v>1</v>
      </c>
      <c r="K3636" t="b">
        <v>1</v>
      </c>
    </row>
    <row r="3637" spans="1:11">
      <c r="A3637" s="12">
        <v>42095</v>
      </c>
      <c r="B3637">
        <v>2015</v>
      </c>
      <c r="C3637">
        <v>4</v>
      </c>
      <c r="D3637" s="11">
        <v>42095</v>
      </c>
      <c r="E3637" t="s">
        <v>2176</v>
      </c>
      <c r="F3637">
        <v>3</v>
      </c>
      <c r="G3637" t="s">
        <v>65</v>
      </c>
      <c r="H3637" t="s">
        <v>43</v>
      </c>
      <c r="I3637" t="s">
        <v>2191</v>
      </c>
      <c r="J3637" s="10">
        <v>24.8</v>
      </c>
      <c r="K3637" t="b">
        <v>1</v>
      </c>
    </row>
    <row r="3638" spans="1:11">
      <c r="A3638" s="12">
        <v>42095</v>
      </c>
      <c r="B3638">
        <v>2015</v>
      </c>
      <c r="C3638">
        <v>4</v>
      </c>
      <c r="D3638" s="11">
        <v>42095</v>
      </c>
      <c r="E3638" t="s">
        <v>2176</v>
      </c>
      <c r="F3638">
        <v>3</v>
      </c>
      <c r="G3638" t="s">
        <v>65</v>
      </c>
      <c r="H3638" t="s">
        <v>44</v>
      </c>
      <c r="I3638" t="s">
        <v>2192</v>
      </c>
      <c r="J3638" s="10">
        <v>7</v>
      </c>
      <c r="K3638" t="b">
        <v>1</v>
      </c>
    </row>
    <row r="3639" spans="1:11">
      <c r="A3639" s="12">
        <v>42095</v>
      </c>
      <c r="B3639">
        <v>2015</v>
      </c>
      <c r="C3639">
        <v>4</v>
      </c>
      <c r="D3639" s="11">
        <v>42095</v>
      </c>
      <c r="E3639" t="s">
        <v>2176</v>
      </c>
      <c r="F3639">
        <v>3</v>
      </c>
      <c r="G3639" t="s">
        <v>65</v>
      </c>
      <c r="H3639" t="s">
        <v>45</v>
      </c>
      <c r="I3639" t="s">
        <v>2193</v>
      </c>
      <c r="J3639" s="10">
        <v>2</v>
      </c>
      <c r="K3639" t="b">
        <v>1</v>
      </c>
    </row>
    <row r="3640" spans="1:11">
      <c r="A3640" s="12">
        <v>42095</v>
      </c>
      <c r="B3640">
        <v>2015</v>
      </c>
      <c r="C3640">
        <v>4</v>
      </c>
      <c r="D3640" s="11">
        <v>42095</v>
      </c>
      <c r="E3640" t="s">
        <v>2176</v>
      </c>
      <c r="F3640">
        <v>3</v>
      </c>
      <c r="G3640" t="s">
        <v>65</v>
      </c>
      <c r="H3640" t="s">
        <v>46</v>
      </c>
      <c r="I3640" t="s">
        <v>2194</v>
      </c>
      <c r="J3640" s="10">
        <v>5</v>
      </c>
      <c r="K3640" t="b">
        <v>1</v>
      </c>
    </row>
    <row r="3641" spans="1:11">
      <c r="A3641" s="12">
        <v>42095</v>
      </c>
      <c r="B3641">
        <v>2015</v>
      </c>
      <c r="C3641">
        <v>4</v>
      </c>
      <c r="D3641" s="11">
        <v>42095</v>
      </c>
      <c r="E3641" t="s">
        <v>2176</v>
      </c>
      <c r="F3641">
        <v>3</v>
      </c>
      <c r="G3641" t="s">
        <v>65</v>
      </c>
      <c r="H3641" t="s">
        <v>47</v>
      </c>
      <c r="I3641" t="s">
        <v>2195</v>
      </c>
      <c r="J3641" s="10">
        <v>1</v>
      </c>
      <c r="K3641" t="b">
        <v>1</v>
      </c>
    </row>
    <row r="3642" spans="1:11">
      <c r="A3642" s="12">
        <v>42096</v>
      </c>
      <c r="B3642">
        <v>2015</v>
      </c>
      <c r="C3642">
        <v>4</v>
      </c>
      <c r="D3642" s="11">
        <v>42095</v>
      </c>
      <c r="E3642" t="s">
        <v>2176</v>
      </c>
      <c r="F3642">
        <v>4</v>
      </c>
      <c r="G3642" t="s">
        <v>53</v>
      </c>
      <c r="H3642" t="s">
        <v>40</v>
      </c>
      <c r="I3642" t="s">
        <v>2188</v>
      </c>
      <c r="J3642" s="10">
        <v>5</v>
      </c>
      <c r="K3642" t="b">
        <v>1</v>
      </c>
    </row>
    <row r="3643" spans="1:11">
      <c r="A3643" s="12">
        <v>42096</v>
      </c>
      <c r="B3643">
        <v>2015</v>
      </c>
      <c r="C3643">
        <v>4</v>
      </c>
      <c r="D3643" s="11">
        <v>42095</v>
      </c>
      <c r="E3643" t="s">
        <v>2176</v>
      </c>
      <c r="F3643">
        <v>4</v>
      </c>
      <c r="G3643" t="s">
        <v>53</v>
      </c>
      <c r="H3643" t="s">
        <v>41</v>
      </c>
      <c r="I3643" t="s">
        <v>2189</v>
      </c>
      <c r="J3643" s="10">
        <v>3.99</v>
      </c>
      <c r="K3643" t="b">
        <v>1</v>
      </c>
    </row>
    <row r="3644" spans="1:11">
      <c r="A3644" s="12">
        <v>42096</v>
      </c>
      <c r="B3644">
        <v>2015</v>
      </c>
      <c r="C3644">
        <v>4</v>
      </c>
      <c r="D3644" s="11">
        <v>42095</v>
      </c>
      <c r="E3644" t="s">
        <v>2176</v>
      </c>
      <c r="F3644">
        <v>4</v>
      </c>
      <c r="G3644" t="s">
        <v>53</v>
      </c>
      <c r="H3644" t="s">
        <v>42</v>
      </c>
      <c r="I3644" t="s">
        <v>2190</v>
      </c>
      <c r="J3644" s="10">
        <v>5.4</v>
      </c>
      <c r="K3644" t="b">
        <v>1</v>
      </c>
    </row>
    <row r="3645" spans="1:11">
      <c r="A3645" s="12">
        <v>42096</v>
      </c>
      <c r="B3645">
        <v>2015</v>
      </c>
      <c r="C3645">
        <v>4</v>
      </c>
      <c r="D3645" s="11">
        <v>42095</v>
      </c>
      <c r="E3645" t="s">
        <v>2176</v>
      </c>
      <c r="F3645">
        <v>4</v>
      </c>
      <c r="G3645" t="s">
        <v>53</v>
      </c>
      <c r="H3645" t="s">
        <v>43</v>
      </c>
      <c r="I3645" t="s">
        <v>2191</v>
      </c>
      <c r="J3645" s="10">
        <v>35.07</v>
      </c>
      <c r="K3645" t="b">
        <v>1</v>
      </c>
    </row>
    <row r="3646" spans="1:11">
      <c r="A3646" s="12">
        <v>42096</v>
      </c>
      <c r="B3646">
        <v>2015</v>
      </c>
      <c r="C3646">
        <v>4</v>
      </c>
      <c r="D3646" s="11">
        <v>42095</v>
      </c>
      <c r="E3646" t="s">
        <v>2176</v>
      </c>
      <c r="F3646">
        <v>4</v>
      </c>
      <c r="G3646" t="s">
        <v>53</v>
      </c>
      <c r="H3646" t="s">
        <v>44</v>
      </c>
      <c r="I3646" t="s">
        <v>2192</v>
      </c>
      <c r="J3646" s="10">
        <v>3</v>
      </c>
      <c r="K3646" t="b">
        <v>1</v>
      </c>
    </row>
    <row r="3647" spans="1:11">
      <c r="A3647" s="12">
        <v>42096</v>
      </c>
      <c r="B3647">
        <v>2015</v>
      </c>
      <c r="C3647">
        <v>4</v>
      </c>
      <c r="D3647" s="11">
        <v>42095</v>
      </c>
      <c r="E3647" t="s">
        <v>2176</v>
      </c>
      <c r="F3647">
        <v>4</v>
      </c>
      <c r="G3647" t="s">
        <v>53</v>
      </c>
      <c r="H3647" t="s">
        <v>45</v>
      </c>
      <c r="I3647" t="s">
        <v>2193</v>
      </c>
      <c r="J3647" s="10">
        <v>0</v>
      </c>
      <c r="K3647" t="b">
        <v>1</v>
      </c>
    </row>
    <row r="3648" spans="1:11">
      <c r="A3648" s="12">
        <v>42096</v>
      </c>
      <c r="B3648">
        <v>2015</v>
      </c>
      <c r="C3648">
        <v>4</v>
      </c>
      <c r="D3648" s="11">
        <v>42095</v>
      </c>
      <c r="E3648" t="s">
        <v>2176</v>
      </c>
      <c r="F3648">
        <v>4</v>
      </c>
      <c r="G3648" t="s">
        <v>53</v>
      </c>
      <c r="H3648" t="s">
        <v>46</v>
      </c>
      <c r="I3648" t="s">
        <v>2194</v>
      </c>
      <c r="J3648" s="10">
        <v>3</v>
      </c>
      <c r="K3648" t="b">
        <v>1</v>
      </c>
    </row>
    <row r="3649" spans="1:11">
      <c r="A3649" s="12">
        <v>42096</v>
      </c>
      <c r="B3649">
        <v>2015</v>
      </c>
      <c r="C3649">
        <v>4</v>
      </c>
      <c r="D3649" s="11">
        <v>42095</v>
      </c>
      <c r="E3649" t="s">
        <v>2176</v>
      </c>
      <c r="F3649">
        <v>4</v>
      </c>
      <c r="G3649" t="s">
        <v>53</v>
      </c>
      <c r="H3649" t="s">
        <v>47</v>
      </c>
      <c r="I3649" t="s">
        <v>2195</v>
      </c>
      <c r="J3649" s="10">
        <v>5</v>
      </c>
      <c r="K3649" t="b">
        <v>1</v>
      </c>
    </row>
    <row r="3650" spans="1:11">
      <c r="A3650" s="12">
        <v>42097</v>
      </c>
      <c r="B3650">
        <v>2015</v>
      </c>
      <c r="C3650">
        <v>4</v>
      </c>
      <c r="D3650" s="11">
        <v>42095</v>
      </c>
      <c r="E3650" t="s">
        <v>2176</v>
      </c>
      <c r="F3650">
        <v>5</v>
      </c>
      <c r="G3650" t="s">
        <v>55</v>
      </c>
      <c r="H3650" t="s">
        <v>40</v>
      </c>
      <c r="I3650" t="s">
        <v>2188</v>
      </c>
      <c r="J3650" s="10">
        <v>5.33</v>
      </c>
      <c r="K3650" t="b">
        <v>1</v>
      </c>
    </row>
    <row r="3651" spans="1:11">
      <c r="A3651" s="12">
        <v>42097</v>
      </c>
      <c r="B3651">
        <v>2015</v>
      </c>
      <c r="C3651">
        <v>4</v>
      </c>
      <c r="D3651" s="11">
        <v>42095</v>
      </c>
      <c r="E3651" t="s">
        <v>2176</v>
      </c>
      <c r="F3651">
        <v>5</v>
      </c>
      <c r="G3651" t="s">
        <v>55</v>
      </c>
      <c r="H3651" t="s">
        <v>41</v>
      </c>
      <c r="I3651" t="s">
        <v>2189</v>
      </c>
      <c r="J3651" s="10">
        <v>2.32</v>
      </c>
      <c r="K3651" t="b">
        <v>1</v>
      </c>
    </row>
    <row r="3652" spans="1:11">
      <c r="A3652" s="12">
        <v>42097</v>
      </c>
      <c r="B3652">
        <v>2015</v>
      </c>
      <c r="C3652">
        <v>4</v>
      </c>
      <c r="D3652" s="11">
        <v>42095</v>
      </c>
      <c r="E3652" t="s">
        <v>2176</v>
      </c>
      <c r="F3652">
        <v>5</v>
      </c>
      <c r="G3652" t="s">
        <v>55</v>
      </c>
      <c r="H3652" t="s">
        <v>42</v>
      </c>
      <c r="I3652" t="s">
        <v>2190</v>
      </c>
      <c r="J3652" s="10">
        <v>4</v>
      </c>
      <c r="K3652" t="b">
        <v>1</v>
      </c>
    </row>
    <row r="3653" spans="1:11">
      <c r="A3653" s="12">
        <v>42097</v>
      </c>
      <c r="B3653">
        <v>2015</v>
      </c>
      <c r="C3653">
        <v>4</v>
      </c>
      <c r="D3653" s="11">
        <v>42095</v>
      </c>
      <c r="E3653" t="s">
        <v>2176</v>
      </c>
      <c r="F3653">
        <v>5</v>
      </c>
      <c r="G3653" t="s">
        <v>55</v>
      </c>
      <c r="H3653" t="s">
        <v>43</v>
      </c>
      <c r="I3653" t="s">
        <v>2191</v>
      </c>
      <c r="J3653" s="10">
        <v>34.2</v>
      </c>
      <c r="K3653" t="b">
        <v>1</v>
      </c>
    </row>
    <row r="3654" spans="1:11">
      <c r="A3654" s="12">
        <v>42097</v>
      </c>
      <c r="B3654">
        <v>2015</v>
      </c>
      <c r="C3654">
        <v>4</v>
      </c>
      <c r="D3654" s="11">
        <v>42095</v>
      </c>
      <c r="E3654" t="s">
        <v>2176</v>
      </c>
      <c r="F3654">
        <v>5</v>
      </c>
      <c r="G3654" t="s">
        <v>55</v>
      </c>
      <c r="H3654" t="s">
        <v>44</v>
      </c>
      <c r="I3654" t="s">
        <v>2192</v>
      </c>
      <c r="J3654" s="10">
        <v>12</v>
      </c>
      <c r="K3654" t="b">
        <v>1</v>
      </c>
    </row>
    <row r="3655" spans="1:11">
      <c r="A3655" s="12">
        <v>42097</v>
      </c>
      <c r="B3655">
        <v>2015</v>
      </c>
      <c r="C3655">
        <v>4</v>
      </c>
      <c r="D3655" s="11">
        <v>42095</v>
      </c>
      <c r="E3655" t="s">
        <v>2176</v>
      </c>
      <c r="F3655">
        <v>5</v>
      </c>
      <c r="G3655" t="s">
        <v>55</v>
      </c>
      <c r="H3655" t="s">
        <v>45</v>
      </c>
      <c r="I3655" t="s">
        <v>2193</v>
      </c>
      <c r="J3655" s="10">
        <v>0</v>
      </c>
      <c r="K3655" t="b">
        <v>1</v>
      </c>
    </row>
    <row r="3656" spans="1:11">
      <c r="A3656" s="12">
        <v>42097</v>
      </c>
      <c r="B3656">
        <v>2015</v>
      </c>
      <c r="C3656">
        <v>4</v>
      </c>
      <c r="D3656" s="11">
        <v>42095</v>
      </c>
      <c r="E3656" t="s">
        <v>2176</v>
      </c>
      <c r="F3656">
        <v>5</v>
      </c>
      <c r="G3656" t="s">
        <v>55</v>
      </c>
      <c r="H3656" t="s">
        <v>46</v>
      </c>
      <c r="I3656" t="s">
        <v>2194</v>
      </c>
      <c r="J3656" s="10">
        <v>0</v>
      </c>
      <c r="K3656" t="b">
        <v>1</v>
      </c>
    </row>
    <row r="3657" spans="1:11">
      <c r="A3657" s="12">
        <v>42097</v>
      </c>
      <c r="B3657">
        <v>2015</v>
      </c>
      <c r="C3657">
        <v>4</v>
      </c>
      <c r="D3657" s="11">
        <v>42095</v>
      </c>
      <c r="E3657" t="s">
        <v>2176</v>
      </c>
      <c r="F3657">
        <v>5</v>
      </c>
      <c r="G3657" t="s">
        <v>55</v>
      </c>
      <c r="H3657" t="s">
        <v>47</v>
      </c>
      <c r="I3657" t="s">
        <v>2195</v>
      </c>
      <c r="J3657" s="10">
        <v>4</v>
      </c>
      <c r="K3657" t="b">
        <v>1</v>
      </c>
    </row>
    <row r="3658" spans="1:11">
      <c r="A3658" s="12">
        <v>42098</v>
      </c>
      <c r="B3658">
        <v>2015</v>
      </c>
      <c r="C3658">
        <v>4</v>
      </c>
      <c r="D3658" s="11">
        <v>42095</v>
      </c>
      <c r="E3658" t="s">
        <v>2176</v>
      </c>
      <c r="F3658">
        <v>6</v>
      </c>
      <c r="G3658" t="s">
        <v>57</v>
      </c>
      <c r="H3658" t="s">
        <v>40</v>
      </c>
      <c r="I3658" t="s">
        <v>2188</v>
      </c>
      <c r="J3658" s="10">
        <v>3.67</v>
      </c>
      <c r="K3658" t="b">
        <v>1</v>
      </c>
    </row>
    <row r="3659" spans="1:11">
      <c r="A3659" s="12">
        <v>42098</v>
      </c>
      <c r="B3659">
        <v>2015</v>
      </c>
      <c r="C3659">
        <v>4</v>
      </c>
      <c r="D3659" s="11">
        <v>42095</v>
      </c>
      <c r="E3659" t="s">
        <v>2176</v>
      </c>
      <c r="F3659">
        <v>6</v>
      </c>
      <c r="G3659" t="s">
        <v>57</v>
      </c>
      <c r="H3659" t="s">
        <v>41</v>
      </c>
      <c r="I3659" t="s">
        <v>2189</v>
      </c>
      <c r="J3659" s="10">
        <v>4.33</v>
      </c>
      <c r="K3659" t="b">
        <v>1</v>
      </c>
    </row>
    <row r="3660" spans="1:11">
      <c r="A3660" s="12">
        <v>42098</v>
      </c>
      <c r="B3660">
        <v>2015</v>
      </c>
      <c r="C3660">
        <v>4</v>
      </c>
      <c r="D3660" s="11">
        <v>42095</v>
      </c>
      <c r="E3660" t="s">
        <v>2176</v>
      </c>
      <c r="F3660">
        <v>6</v>
      </c>
      <c r="G3660" t="s">
        <v>57</v>
      </c>
      <c r="H3660" t="s">
        <v>42</v>
      </c>
      <c r="I3660" t="s">
        <v>2190</v>
      </c>
      <c r="J3660" s="10">
        <v>6</v>
      </c>
      <c r="K3660" t="b">
        <v>1</v>
      </c>
    </row>
    <row r="3661" spans="1:11">
      <c r="A3661" s="12">
        <v>42098</v>
      </c>
      <c r="B3661">
        <v>2015</v>
      </c>
      <c r="C3661">
        <v>4</v>
      </c>
      <c r="D3661" s="11">
        <v>42095</v>
      </c>
      <c r="E3661" t="s">
        <v>2176</v>
      </c>
      <c r="F3661">
        <v>6</v>
      </c>
      <c r="G3661" t="s">
        <v>57</v>
      </c>
      <c r="H3661" t="s">
        <v>43</v>
      </c>
      <c r="I3661" t="s">
        <v>2191</v>
      </c>
      <c r="J3661" s="10">
        <v>43</v>
      </c>
      <c r="K3661" t="b">
        <v>1</v>
      </c>
    </row>
    <row r="3662" spans="1:11">
      <c r="A3662" s="12">
        <v>42098</v>
      </c>
      <c r="B3662">
        <v>2015</v>
      </c>
      <c r="C3662">
        <v>4</v>
      </c>
      <c r="D3662" s="11">
        <v>42095</v>
      </c>
      <c r="E3662" t="s">
        <v>2176</v>
      </c>
      <c r="F3662">
        <v>6</v>
      </c>
      <c r="G3662" t="s">
        <v>57</v>
      </c>
      <c r="H3662" t="s">
        <v>44</v>
      </c>
      <c r="I3662" t="s">
        <v>2192</v>
      </c>
      <c r="J3662" s="10">
        <v>7</v>
      </c>
      <c r="K3662" t="b">
        <v>1</v>
      </c>
    </row>
    <row r="3663" spans="1:11">
      <c r="A3663" s="12">
        <v>42098</v>
      </c>
      <c r="B3663">
        <v>2015</v>
      </c>
      <c r="C3663">
        <v>4</v>
      </c>
      <c r="D3663" s="11">
        <v>42095</v>
      </c>
      <c r="E3663" t="s">
        <v>2176</v>
      </c>
      <c r="F3663">
        <v>6</v>
      </c>
      <c r="G3663" t="s">
        <v>57</v>
      </c>
      <c r="H3663" t="s">
        <v>45</v>
      </c>
      <c r="I3663" t="s">
        <v>2193</v>
      </c>
      <c r="J3663" s="10">
        <v>1</v>
      </c>
      <c r="K3663" t="b">
        <v>1</v>
      </c>
    </row>
    <row r="3664" spans="1:11">
      <c r="A3664" s="12">
        <v>42098</v>
      </c>
      <c r="B3664">
        <v>2015</v>
      </c>
      <c r="C3664">
        <v>4</v>
      </c>
      <c r="D3664" s="11">
        <v>42095</v>
      </c>
      <c r="E3664" t="s">
        <v>2176</v>
      </c>
      <c r="F3664">
        <v>6</v>
      </c>
      <c r="G3664" t="s">
        <v>57</v>
      </c>
      <c r="H3664" t="s">
        <v>46</v>
      </c>
      <c r="I3664" t="s">
        <v>2194</v>
      </c>
      <c r="J3664" s="10">
        <v>5</v>
      </c>
      <c r="K3664" t="b">
        <v>1</v>
      </c>
    </row>
    <row r="3665" spans="1:11">
      <c r="A3665" s="12">
        <v>42098</v>
      </c>
      <c r="B3665">
        <v>2015</v>
      </c>
      <c r="C3665">
        <v>4</v>
      </c>
      <c r="D3665" s="11">
        <v>42095</v>
      </c>
      <c r="E3665" t="s">
        <v>2176</v>
      </c>
      <c r="F3665">
        <v>6</v>
      </c>
      <c r="G3665" t="s">
        <v>57</v>
      </c>
      <c r="H3665" t="s">
        <v>47</v>
      </c>
      <c r="I3665" t="s">
        <v>2195</v>
      </c>
      <c r="J3665" s="10">
        <v>6</v>
      </c>
      <c r="K3665" t="b">
        <v>1</v>
      </c>
    </row>
    <row r="3666" spans="1:11">
      <c r="A3666" s="12">
        <v>42099</v>
      </c>
      <c r="B3666">
        <v>2015</v>
      </c>
      <c r="C3666">
        <v>4</v>
      </c>
      <c r="D3666" s="11">
        <v>42095</v>
      </c>
      <c r="E3666" t="s">
        <v>2176</v>
      </c>
      <c r="F3666">
        <v>7</v>
      </c>
      <c r="G3666" t="s">
        <v>59</v>
      </c>
      <c r="H3666" t="s">
        <v>40</v>
      </c>
      <c r="I3666" t="s">
        <v>2188</v>
      </c>
      <c r="J3666" s="10">
        <v>3.34</v>
      </c>
      <c r="K3666" t="b">
        <v>1</v>
      </c>
    </row>
    <row r="3667" spans="1:11">
      <c r="A3667" s="12">
        <v>42099</v>
      </c>
      <c r="B3667">
        <v>2015</v>
      </c>
      <c r="C3667">
        <v>4</v>
      </c>
      <c r="D3667" s="11">
        <v>42095</v>
      </c>
      <c r="E3667" t="s">
        <v>2176</v>
      </c>
      <c r="F3667">
        <v>7</v>
      </c>
      <c r="G3667" t="s">
        <v>59</v>
      </c>
      <c r="H3667" t="s">
        <v>41</v>
      </c>
      <c r="I3667" t="s">
        <v>2189</v>
      </c>
      <c r="J3667" s="10">
        <v>5.01</v>
      </c>
      <c r="K3667" t="b">
        <v>1</v>
      </c>
    </row>
    <row r="3668" spans="1:11">
      <c r="A3668" s="12">
        <v>42099</v>
      </c>
      <c r="B3668">
        <v>2015</v>
      </c>
      <c r="C3668">
        <v>4</v>
      </c>
      <c r="D3668" s="11">
        <v>42095</v>
      </c>
      <c r="E3668" t="s">
        <v>2176</v>
      </c>
      <c r="F3668">
        <v>7</v>
      </c>
      <c r="G3668" t="s">
        <v>59</v>
      </c>
      <c r="H3668" t="s">
        <v>42</v>
      </c>
      <c r="I3668" t="s">
        <v>2190</v>
      </c>
      <c r="J3668" s="10">
        <v>4.5</v>
      </c>
      <c r="K3668" t="b">
        <v>1</v>
      </c>
    </row>
    <row r="3669" spans="1:11">
      <c r="A3669" s="12">
        <v>42099</v>
      </c>
      <c r="B3669">
        <v>2015</v>
      </c>
      <c r="C3669">
        <v>4</v>
      </c>
      <c r="D3669" s="11">
        <v>42095</v>
      </c>
      <c r="E3669" t="s">
        <v>2176</v>
      </c>
      <c r="F3669">
        <v>7</v>
      </c>
      <c r="G3669" t="s">
        <v>59</v>
      </c>
      <c r="H3669" t="s">
        <v>43</v>
      </c>
      <c r="I3669" t="s">
        <v>2191</v>
      </c>
      <c r="J3669" s="10">
        <v>31.6</v>
      </c>
      <c r="K3669" t="b">
        <v>1</v>
      </c>
    </row>
    <row r="3670" spans="1:11">
      <c r="A3670" s="12">
        <v>42099</v>
      </c>
      <c r="B3670">
        <v>2015</v>
      </c>
      <c r="C3670">
        <v>4</v>
      </c>
      <c r="D3670" s="11">
        <v>42095</v>
      </c>
      <c r="E3670" t="s">
        <v>2176</v>
      </c>
      <c r="F3670">
        <v>7</v>
      </c>
      <c r="G3670" t="s">
        <v>59</v>
      </c>
      <c r="H3670" t="s">
        <v>44</v>
      </c>
      <c r="I3670" t="s">
        <v>2192</v>
      </c>
      <c r="J3670" s="10">
        <v>4</v>
      </c>
      <c r="K3670" t="b">
        <v>1</v>
      </c>
    </row>
    <row r="3671" spans="1:11">
      <c r="A3671" s="12">
        <v>42099</v>
      </c>
      <c r="B3671">
        <v>2015</v>
      </c>
      <c r="C3671">
        <v>4</v>
      </c>
      <c r="D3671" s="11">
        <v>42095</v>
      </c>
      <c r="E3671" t="s">
        <v>2176</v>
      </c>
      <c r="F3671">
        <v>7</v>
      </c>
      <c r="G3671" t="s">
        <v>59</v>
      </c>
      <c r="H3671" t="s">
        <v>45</v>
      </c>
      <c r="I3671" t="s">
        <v>2193</v>
      </c>
      <c r="J3671" s="10">
        <v>0</v>
      </c>
      <c r="K3671" t="b">
        <v>1</v>
      </c>
    </row>
    <row r="3672" spans="1:11">
      <c r="A3672" s="12">
        <v>42099</v>
      </c>
      <c r="B3672">
        <v>2015</v>
      </c>
      <c r="C3672">
        <v>4</v>
      </c>
      <c r="D3672" s="11">
        <v>42095</v>
      </c>
      <c r="E3672" t="s">
        <v>2176</v>
      </c>
      <c r="F3672">
        <v>7</v>
      </c>
      <c r="G3672" t="s">
        <v>59</v>
      </c>
      <c r="H3672" t="s">
        <v>46</v>
      </c>
      <c r="I3672" t="s">
        <v>2194</v>
      </c>
      <c r="J3672" s="10">
        <v>0</v>
      </c>
      <c r="K3672" t="b">
        <v>1</v>
      </c>
    </row>
    <row r="3673" spans="1:11">
      <c r="A3673" s="12">
        <v>42099</v>
      </c>
      <c r="B3673">
        <v>2015</v>
      </c>
      <c r="C3673">
        <v>4</v>
      </c>
      <c r="D3673" s="11">
        <v>42095</v>
      </c>
      <c r="E3673" t="s">
        <v>2176</v>
      </c>
      <c r="F3673">
        <v>7</v>
      </c>
      <c r="G3673" t="s">
        <v>59</v>
      </c>
      <c r="H3673" t="s">
        <v>47</v>
      </c>
      <c r="I3673" t="s">
        <v>2195</v>
      </c>
      <c r="J3673" s="10">
        <v>1</v>
      </c>
      <c r="K3673" t="b">
        <v>1</v>
      </c>
    </row>
    <row r="3674" spans="1:11">
      <c r="A3674" s="12">
        <v>42100</v>
      </c>
      <c r="B3674">
        <v>2015</v>
      </c>
      <c r="C3674">
        <v>4</v>
      </c>
      <c r="D3674" s="11">
        <v>42095</v>
      </c>
      <c r="E3674" t="s">
        <v>2176</v>
      </c>
      <c r="F3674">
        <v>1</v>
      </c>
      <c r="G3674" t="s">
        <v>61</v>
      </c>
      <c r="H3674" t="s">
        <v>40</v>
      </c>
      <c r="I3674" t="s">
        <v>2188</v>
      </c>
      <c r="J3674" s="10">
        <v>7.33</v>
      </c>
      <c r="K3674" t="b">
        <v>1</v>
      </c>
    </row>
    <row r="3675" spans="1:11">
      <c r="A3675" s="12">
        <v>42100</v>
      </c>
      <c r="B3675">
        <v>2015</v>
      </c>
      <c r="C3675">
        <v>4</v>
      </c>
      <c r="D3675" s="11">
        <v>42095</v>
      </c>
      <c r="E3675" t="s">
        <v>2176</v>
      </c>
      <c r="F3675">
        <v>1</v>
      </c>
      <c r="G3675" t="s">
        <v>61</v>
      </c>
      <c r="H3675" t="s">
        <v>41</v>
      </c>
      <c r="I3675" t="s">
        <v>2189</v>
      </c>
      <c r="J3675" s="10">
        <v>3.33</v>
      </c>
      <c r="K3675" t="b">
        <v>1</v>
      </c>
    </row>
    <row r="3676" spans="1:11">
      <c r="A3676" s="12">
        <v>42100</v>
      </c>
      <c r="B3676">
        <v>2015</v>
      </c>
      <c r="C3676">
        <v>4</v>
      </c>
      <c r="D3676" s="11">
        <v>42095</v>
      </c>
      <c r="E3676" t="s">
        <v>2176</v>
      </c>
      <c r="F3676">
        <v>1</v>
      </c>
      <c r="G3676" t="s">
        <v>61</v>
      </c>
      <c r="H3676" t="s">
        <v>42</v>
      </c>
      <c r="I3676" t="s">
        <v>2190</v>
      </c>
      <c r="J3676" s="10">
        <v>5.3</v>
      </c>
      <c r="K3676" t="b">
        <v>1</v>
      </c>
    </row>
    <row r="3677" spans="1:11">
      <c r="A3677" s="12">
        <v>42100</v>
      </c>
      <c r="B3677">
        <v>2015</v>
      </c>
      <c r="C3677">
        <v>4</v>
      </c>
      <c r="D3677" s="11">
        <v>42095</v>
      </c>
      <c r="E3677" t="s">
        <v>2176</v>
      </c>
      <c r="F3677">
        <v>1</v>
      </c>
      <c r="G3677" t="s">
        <v>61</v>
      </c>
      <c r="H3677" t="s">
        <v>43</v>
      </c>
      <c r="I3677" t="s">
        <v>2191</v>
      </c>
      <c r="J3677" s="10">
        <v>32.9</v>
      </c>
      <c r="K3677" t="b">
        <v>1</v>
      </c>
    </row>
    <row r="3678" spans="1:11">
      <c r="A3678" s="12">
        <v>42100</v>
      </c>
      <c r="B3678">
        <v>2015</v>
      </c>
      <c r="C3678">
        <v>4</v>
      </c>
      <c r="D3678" s="11">
        <v>42095</v>
      </c>
      <c r="E3678" t="s">
        <v>2176</v>
      </c>
      <c r="F3678">
        <v>1</v>
      </c>
      <c r="G3678" t="s">
        <v>61</v>
      </c>
      <c r="H3678" t="s">
        <v>44</v>
      </c>
      <c r="I3678" t="s">
        <v>2192</v>
      </c>
      <c r="J3678" s="10">
        <v>4</v>
      </c>
      <c r="K3678" t="b">
        <v>1</v>
      </c>
    </row>
    <row r="3679" spans="1:11">
      <c r="A3679" s="12">
        <v>42100</v>
      </c>
      <c r="B3679">
        <v>2015</v>
      </c>
      <c r="C3679">
        <v>4</v>
      </c>
      <c r="D3679" s="11">
        <v>42095</v>
      </c>
      <c r="E3679" t="s">
        <v>2176</v>
      </c>
      <c r="F3679">
        <v>1</v>
      </c>
      <c r="G3679" t="s">
        <v>61</v>
      </c>
      <c r="H3679" t="s">
        <v>45</v>
      </c>
      <c r="I3679" t="s">
        <v>2193</v>
      </c>
      <c r="J3679" s="10">
        <v>0</v>
      </c>
      <c r="K3679" t="b">
        <v>1</v>
      </c>
    </row>
    <row r="3680" spans="1:11">
      <c r="A3680" s="12">
        <v>42100</v>
      </c>
      <c r="B3680">
        <v>2015</v>
      </c>
      <c r="C3680">
        <v>4</v>
      </c>
      <c r="D3680" s="11">
        <v>42095</v>
      </c>
      <c r="E3680" t="s">
        <v>2176</v>
      </c>
      <c r="F3680">
        <v>1</v>
      </c>
      <c r="G3680" t="s">
        <v>61</v>
      </c>
      <c r="H3680" t="s">
        <v>46</v>
      </c>
      <c r="I3680" t="s">
        <v>2194</v>
      </c>
      <c r="J3680" s="10">
        <v>3</v>
      </c>
      <c r="K3680" t="b">
        <v>1</v>
      </c>
    </row>
    <row r="3681" spans="1:11">
      <c r="A3681" s="12">
        <v>42100</v>
      </c>
      <c r="B3681">
        <v>2015</v>
      </c>
      <c r="C3681">
        <v>4</v>
      </c>
      <c r="D3681" s="11">
        <v>42095</v>
      </c>
      <c r="E3681" t="s">
        <v>2176</v>
      </c>
      <c r="F3681">
        <v>1</v>
      </c>
      <c r="G3681" t="s">
        <v>61</v>
      </c>
      <c r="H3681" t="s">
        <v>47</v>
      </c>
      <c r="I3681" t="s">
        <v>2195</v>
      </c>
      <c r="J3681" s="10">
        <v>2</v>
      </c>
      <c r="K3681" t="b">
        <v>1</v>
      </c>
    </row>
    <row r="3682" spans="1:11">
      <c r="A3682" s="12">
        <v>42101</v>
      </c>
      <c r="B3682">
        <v>2015</v>
      </c>
      <c r="C3682">
        <v>4</v>
      </c>
      <c r="D3682" s="11">
        <v>42095</v>
      </c>
      <c r="E3682" t="s">
        <v>2176</v>
      </c>
      <c r="F3682">
        <v>2</v>
      </c>
      <c r="G3682" t="s">
        <v>63</v>
      </c>
      <c r="H3682" t="s">
        <v>40</v>
      </c>
      <c r="I3682" t="s">
        <v>2188</v>
      </c>
      <c r="J3682" s="10">
        <v>6</v>
      </c>
      <c r="K3682" t="b">
        <v>1</v>
      </c>
    </row>
    <row r="3683" spans="1:11">
      <c r="A3683" s="12">
        <v>42101</v>
      </c>
      <c r="B3683">
        <v>2015</v>
      </c>
      <c r="C3683">
        <v>4</v>
      </c>
      <c r="D3683" s="11">
        <v>42095</v>
      </c>
      <c r="E3683" t="s">
        <v>2176</v>
      </c>
      <c r="F3683">
        <v>2</v>
      </c>
      <c r="G3683" t="s">
        <v>63</v>
      </c>
      <c r="H3683" t="s">
        <v>41</v>
      </c>
      <c r="I3683" t="s">
        <v>2189</v>
      </c>
      <c r="J3683" s="10">
        <v>3.66</v>
      </c>
      <c r="K3683" t="b">
        <v>1</v>
      </c>
    </row>
    <row r="3684" spans="1:11">
      <c r="A3684" s="12">
        <v>42101</v>
      </c>
      <c r="B3684">
        <v>2015</v>
      </c>
      <c r="C3684">
        <v>4</v>
      </c>
      <c r="D3684" s="11">
        <v>42095</v>
      </c>
      <c r="E3684" t="s">
        <v>2176</v>
      </c>
      <c r="F3684">
        <v>2</v>
      </c>
      <c r="G3684" t="s">
        <v>63</v>
      </c>
      <c r="H3684" t="s">
        <v>42</v>
      </c>
      <c r="I3684" t="s">
        <v>2190</v>
      </c>
      <c r="J3684" s="10">
        <v>6.7</v>
      </c>
      <c r="K3684" t="b">
        <v>1</v>
      </c>
    </row>
    <row r="3685" spans="1:11">
      <c r="A3685" s="12">
        <v>42101</v>
      </c>
      <c r="B3685">
        <v>2015</v>
      </c>
      <c r="C3685">
        <v>4</v>
      </c>
      <c r="D3685" s="11">
        <v>42095</v>
      </c>
      <c r="E3685" t="s">
        <v>2176</v>
      </c>
      <c r="F3685">
        <v>2</v>
      </c>
      <c r="G3685" t="s">
        <v>63</v>
      </c>
      <c r="H3685" t="s">
        <v>43</v>
      </c>
      <c r="I3685" t="s">
        <v>2191</v>
      </c>
      <c r="J3685" s="10">
        <v>25</v>
      </c>
      <c r="K3685" t="b">
        <v>1</v>
      </c>
    </row>
    <row r="3686" spans="1:11">
      <c r="A3686" s="12">
        <v>42101</v>
      </c>
      <c r="B3686">
        <v>2015</v>
      </c>
      <c r="C3686">
        <v>4</v>
      </c>
      <c r="D3686" s="11">
        <v>42095</v>
      </c>
      <c r="E3686" t="s">
        <v>2176</v>
      </c>
      <c r="F3686">
        <v>2</v>
      </c>
      <c r="G3686" t="s">
        <v>63</v>
      </c>
      <c r="H3686" t="s">
        <v>44</v>
      </c>
      <c r="I3686" t="s">
        <v>2192</v>
      </c>
      <c r="J3686" s="10">
        <v>8</v>
      </c>
      <c r="K3686" t="b">
        <v>1</v>
      </c>
    </row>
    <row r="3687" spans="1:11">
      <c r="A3687" s="12">
        <v>42101</v>
      </c>
      <c r="B3687">
        <v>2015</v>
      </c>
      <c r="C3687">
        <v>4</v>
      </c>
      <c r="D3687" s="11">
        <v>42095</v>
      </c>
      <c r="E3687" t="s">
        <v>2176</v>
      </c>
      <c r="F3687">
        <v>2</v>
      </c>
      <c r="G3687" t="s">
        <v>63</v>
      </c>
      <c r="H3687" t="s">
        <v>45</v>
      </c>
      <c r="I3687" t="s">
        <v>2193</v>
      </c>
      <c r="J3687" s="10">
        <v>0</v>
      </c>
      <c r="K3687" t="b">
        <v>1</v>
      </c>
    </row>
    <row r="3688" spans="1:11">
      <c r="A3688" s="12">
        <v>42101</v>
      </c>
      <c r="B3688">
        <v>2015</v>
      </c>
      <c r="C3688">
        <v>4</v>
      </c>
      <c r="D3688" s="11">
        <v>42095</v>
      </c>
      <c r="E3688" t="s">
        <v>2176</v>
      </c>
      <c r="F3688">
        <v>2</v>
      </c>
      <c r="G3688" t="s">
        <v>63</v>
      </c>
      <c r="H3688" t="s">
        <v>46</v>
      </c>
      <c r="I3688" t="s">
        <v>2194</v>
      </c>
      <c r="J3688" s="10">
        <v>8</v>
      </c>
      <c r="K3688" t="b">
        <v>1</v>
      </c>
    </row>
    <row r="3689" spans="1:11">
      <c r="A3689" s="12">
        <v>42101</v>
      </c>
      <c r="B3689">
        <v>2015</v>
      </c>
      <c r="C3689">
        <v>4</v>
      </c>
      <c r="D3689" s="11">
        <v>42095</v>
      </c>
      <c r="E3689" t="s">
        <v>2176</v>
      </c>
      <c r="F3689">
        <v>2</v>
      </c>
      <c r="G3689" t="s">
        <v>63</v>
      </c>
      <c r="H3689" t="s">
        <v>47</v>
      </c>
      <c r="I3689" t="s">
        <v>2195</v>
      </c>
      <c r="J3689" s="10">
        <v>1</v>
      </c>
      <c r="K3689" t="b">
        <v>1</v>
      </c>
    </row>
    <row r="3690" spans="1:11">
      <c r="A3690" s="12">
        <v>42102</v>
      </c>
      <c r="B3690">
        <v>2015</v>
      </c>
      <c r="C3690">
        <v>4</v>
      </c>
      <c r="D3690" s="11">
        <v>42095</v>
      </c>
      <c r="E3690" t="s">
        <v>2176</v>
      </c>
      <c r="F3690">
        <v>3</v>
      </c>
      <c r="G3690" t="s">
        <v>65</v>
      </c>
      <c r="H3690" t="s">
        <v>40</v>
      </c>
      <c r="I3690" t="s">
        <v>2188</v>
      </c>
      <c r="J3690" s="10">
        <v>4</v>
      </c>
      <c r="K3690" t="b">
        <v>1</v>
      </c>
    </row>
    <row r="3691" spans="1:11">
      <c r="A3691" s="12">
        <v>42102</v>
      </c>
      <c r="B3691">
        <v>2015</v>
      </c>
      <c r="C3691">
        <v>4</v>
      </c>
      <c r="D3691" s="11">
        <v>42095</v>
      </c>
      <c r="E3691" t="s">
        <v>2176</v>
      </c>
      <c r="F3691">
        <v>3</v>
      </c>
      <c r="G3691" t="s">
        <v>65</v>
      </c>
      <c r="H3691" t="s">
        <v>41</v>
      </c>
      <c r="I3691" t="s">
        <v>2189</v>
      </c>
      <c r="J3691" s="10">
        <v>2.33</v>
      </c>
      <c r="K3691" t="b">
        <v>1</v>
      </c>
    </row>
    <row r="3692" spans="1:11">
      <c r="A3692" s="12">
        <v>42102</v>
      </c>
      <c r="B3692">
        <v>2015</v>
      </c>
      <c r="C3692">
        <v>4</v>
      </c>
      <c r="D3692" s="11">
        <v>42095</v>
      </c>
      <c r="E3692" t="s">
        <v>2176</v>
      </c>
      <c r="F3692">
        <v>3</v>
      </c>
      <c r="G3692" t="s">
        <v>65</v>
      </c>
      <c r="H3692" t="s">
        <v>42</v>
      </c>
      <c r="I3692" t="s">
        <v>2190</v>
      </c>
      <c r="J3692" s="10">
        <v>3</v>
      </c>
      <c r="K3692" t="b">
        <v>1</v>
      </c>
    </row>
    <row r="3693" spans="1:11">
      <c r="A3693" s="12">
        <v>42102</v>
      </c>
      <c r="B3693">
        <v>2015</v>
      </c>
      <c r="C3693">
        <v>4</v>
      </c>
      <c r="D3693" s="11">
        <v>42095</v>
      </c>
      <c r="E3693" t="s">
        <v>2176</v>
      </c>
      <c r="F3693">
        <v>3</v>
      </c>
      <c r="G3693" t="s">
        <v>65</v>
      </c>
      <c r="H3693" t="s">
        <v>43</v>
      </c>
      <c r="I3693" t="s">
        <v>2191</v>
      </c>
      <c r="J3693" s="10">
        <v>18</v>
      </c>
      <c r="K3693" t="b">
        <v>1</v>
      </c>
    </row>
    <row r="3694" spans="1:11">
      <c r="A3694" s="12">
        <v>42102</v>
      </c>
      <c r="B3694">
        <v>2015</v>
      </c>
      <c r="C3694">
        <v>4</v>
      </c>
      <c r="D3694" s="11">
        <v>42095</v>
      </c>
      <c r="E3694" t="s">
        <v>2176</v>
      </c>
      <c r="F3694">
        <v>3</v>
      </c>
      <c r="G3694" t="s">
        <v>65</v>
      </c>
      <c r="H3694" t="s">
        <v>44</v>
      </c>
      <c r="I3694" t="s">
        <v>2192</v>
      </c>
      <c r="J3694" s="10">
        <v>11</v>
      </c>
      <c r="K3694" t="b">
        <v>1</v>
      </c>
    </row>
    <row r="3695" spans="1:11">
      <c r="A3695" s="12">
        <v>42102</v>
      </c>
      <c r="B3695">
        <v>2015</v>
      </c>
      <c r="C3695">
        <v>4</v>
      </c>
      <c r="D3695" s="11">
        <v>42095</v>
      </c>
      <c r="E3695" t="s">
        <v>2176</v>
      </c>
      <c r="F3695">
        <v>3</v>
      </c>
      <c r="G3695" t="s">
        <v>65</v>
      </c>
      <c r="H3695" t="s">
        <v>45</v>
      </c>
      <c r="I3695" t="s">
        <v>2193</v>
      </c>
      <c r="J3695" s="10">
        <v>0</v>
      </c>
      <c r="K3695" t="b">
        <v>1</v>
      </c>
    </row>
    <row r="3696" spans="1:11">
      <c r="A3696" s="12">
        <v>42102</v>
      </c>
      <c r="B3696">
        <v>2015</v>
      </c>
      <c r="C3696">
        <v>4</v>
      </c>
      <c r="D3696" s="11">
        <v>42095</v>
      </c>
      <c r="E3696" t="s">
        <v>2176</v>
      </c>
      <c r="F3696">
        <v>3</v>
      </c>
      <c r="G3696" t="s">
        <v>65</v>
      </c>
      <c r="H3696" t="s">
        <v>46</v>
      </c>
      <c r="I3696" t="s">
        <v>2194</v>
      </c>
      <c r="J3696" s="10">
        <v>10</v>
      </c>
      <c r="K3696" t="b">
        <v>1</v>
      </c>
    </row>
    <row r="3697" spans="1:11">
      <c r="A3697" s="12">
        <v>42102</v>
      </c>
      <c r="B3697">
        <v>2015</v>
      </c>
      <c r="C3697">
        <v>4</v>
      </c>
      <c r="D3697" s="11">
        <v>42095</v>
      </c>
      <c r="E3697" t="s">
        <v>2176</v>
      </c>
      <c r="F3697">
        <v>3</v>
      </c>
      <c r="G3697" t="s">
        <v>65</v>
      </c>
      <c r="H3697" t="s">
        <v>47</v>
      </c>
      <c r="I3697" t="s">
        <v>2195</v>
      </c>
      <c r="J3697" s="10">
        <v>4</v>
      </c>
      <c r="K3697" t="b">
        <v>1</v>
      </c>
    </row>
    <row r="3698" spans="1:11">
      <c r="A3698" s="12">
        <v>42103</v>
      </c>
      <c r="B3698">
        <v>2015</v>
      </c>
      <c r="C3698">
        <v>4</v>
      </c>
      <c r="D3698" s="11">
        <v>42095</v>
      </c>
      <c r="E3698" t="s">
        <v>2176</v>
      </c>
      <c r="F3698">
        <v>4</v>
      </c>
      <c r="G3698" t="s">
        <v>53</v>
      </c>
      <c r="H3698" t="s">
        <v>40</v>
      </c>
      <c r="I3698" t="s">
        <v>2188</v>
      </c>
      <c r="J3698" s="10">
        <v>1.33</v>
      </c>
      <c r="K3698" t="b">
        <v>1</v>
      </c>
    </row>
    <row r="3699" spans="1:11">
      <c r="A3699" s="12">
        <v>42103</v>
      </c>
      <c r="B3699">
        <v>2015</v>
      </c>
      <c r="C3699">
        <v>4</v>
      </c>
      <c r="D3699" s="11">
        <v>42095</v>
      </c>
      <c r="E3699" t="s">
        <v>2176</v>
      </c>
      <c r="F3699">
        <v>4</v>
      </c>
      <c r="G3699" t="s">
        <v>53</v>
      </c>
      <c r="H3699" t="s">
        <v>41</v>
      </c>
      <c r="I3699" t="s">
        <v>2189</v>
      </c>
      <c r="J3699" s="10">
        <v>6</v>
      </c>
      <c r="K3699" t="b">
        <v>1</v>
      </c>
    </row>
    <row r="3700" spans="1:11">
      <c r="A3700" s="12">
        <v>42103</v>
      </c>
      <c r="B3700">
        <v>2015</v>
      </c>
      <c r="C3700">
        <v>4</v>
      </c>
      <c r="D3700" s="11">
        <v>42095</v>
      </c>
      <c r="E3700" t="s">
        <v>2176</v>
      </c>
      <c r="F3700">
        <v>4</v>
      </c>
      <c r="G3700" t="s">
        <v>53</v>
      </c>
      <c r="H3700" t="s">
        <v>42</v>
      </c>
      <c r="I3700" t="s">
        <v>2190</v>
      </c>
      <c r="J3700" s="10">
        <v>8</v>
      </c>
      <c r="K3700" t="b">
        <v>1</v>
      </c>
    </row>
    <row r="3701" spans="1:11">
      <c r="A3701" s="12">
        <v>42103</v>
      </c>
      <c r="B3701">
        <v>2015</v>
      </c>
      <c r="C3701">
        <v>4</v>
      </c>
      <c r="D3701" s="11">
        <v>42095</v>
      </c>
      <c r="E3701" t="s">
        <v>2176</v>
      </c>
      <c r="F3701">
        <v>4</v>
      </c>
      <c r="G3701" t="s">
        <v>53</v>
      </c>
      <c r="H3701" t="s">
        <v>43</v>
      </c>
      <c r="I3701" t="s">
        <v>2191</v>
      </c>
      <c r="J3701" s="10">
        <v>22.2</v>
      </c>
      <c r="K3701" t="b">
        <v>1</v>
      </c>
    </row>
    <row r="3702" spans="1:11">
      <c r="A3702" s="12">
        <v>42103</v>
      </c>
      <c r="B3702">
        <v>2015</v>
      </c>
      <c r="C3702">
        <v>4</v>
      </c>
      <c r="D3702" s="11">
        <v>42095</v>
      </c>
      <c r="E3702" t="s">
        <v>2176</v>
      </c>
      <c r="F3702">
        <v>4</v>
      </c>
      <c r="G3702" t="s">
        <v>53</v>
      </c>
      <c r="H3702" t="s">
        <v>44</v>
      </c>
      <c r="I3702" t="s">
        <v>2192</v>
      </c>
      <c r="J3702" s="10">
        <v>8</v>
      </c>
      <c r="K3702" t="b">
        <v>1</v>
      </c>
    </row>
    <row r="3703" spans="1:11">
      <c r="A3703" s="12">
        <v>42103</v>
      </c>
      <c r="B3703">
        <v>2015</v>
      </c>
      <c r="C3703">
        <v>4</v>
      </c>
      <c r="D3703" s="11">
        <v>42095</v>
      </c>
      <c r="E3703" t="s">
        <v>2176</v>
      </c>
      <c r="F3703">
        <v>4</v>
      </c>
      <c r="G3703" t="s">
        <v>53</v>
      </c>
      <c r="H3703" t="s">
        <v>45</v>
      </c>
      <c r="I3703" t="s">
        <v>2193</v>
      </c>
      <c r="J3703" s="10">
        <v>0</v>
      </c>
      <c r="K3703" t="b">
        <v>1</v>
      </c>
    </row>
    <row r="3704" spans="1:11">
      <c r="A3704" s="12">
        <v>42103</v>
      </c>
      <c r="B3704">
        <v>2015</v>
      </c>
      <c r="C3704">
        <v>4</v>
      </c>
      <c r="D3704" s="11">
        <v>42095</v>
      </c>
      <c r="E3704" t="s">
        <v>2176</v>
      </c>
      <c r="F3704">
        <v>4</v>
      </c>
      <c r="G3704" t="s">
        <v>53</v>
      </c>
      <c r="H3704" t="s">
        <v>46</v>
      </c>
      <c r="I3704" t="s">
        <v>2194</v>
      </c>
      <c r="J3704" s="10">
        <v>6</v>
      </c>
      <c r="K3704" t="b">
        <v>1</v>
      </c>
    </row>
    <row r="3705" spans="1:11">
      <c r="A3705" s="12">
        <v>42103</v>
      </c>
      <c r="B3705">
        <v>2015</v>
      </c>
      <c r="C3705">
        <v>4</v>
      </c>
      <c r="D3705" s="11">
        <v>42095</v>
      </c>
      <c r="E3705" t="s">
        <v>2176</v>
      </c>
      <c r="F3705">
        <v>4</v>
      </c>
      <c r="G3705" t="s">
        <v>53</v>
      </c>
      <c r="H3705" t="s">
        <v>47</v>
      </c>
      <c r="I3705" t="s">
        <v>2195</v>
      </c>
      <c r="J3705" s="10">
        <v>1</v>
      </c>
      <c r="K3705" t="b">
        <v>1</v>
      </c>
    </row>
    <row r="3706" spans="1:11">
      <c r="A3706" s="12">
        <v>42104</v>
      </c>
      <c r="B3706">
        <v>2015</v>
      </c>
      <c r="C3706">
        <v>4</v>
      </c>
      <c r="D3706" s="11">
        <v>42095</v>
      </c>
      <c r="E3706" t="s">
        <v>2176</v>
      </c>
      <c r="F3706">
        <v>5</v>
      </c>
      <c r="G3706" t="s">
        <v>55</v>
      </c>
      <c r="H3706" t="s">
        <v>40</v>
      </c>
      <c r="I3706" t="s">
        <v>2188</v>
      </c>
      <c r="J3706" s="10">
        <v>9.84</v>
      </c>
      <c r="K3706" t="b">
        <v>1</v>
      </c>
    </row>
    <row r="3707" spans="1:11">
      <c r="A3707" s="12">
        <v>42104</v>
      </c>
      <c r="B3707">
        <v>2015</v>
      </c>
      <c r="C3707">
        <v>4</v>
      </c>
      <c r="D3707" s="11">
        <v>42095</v>
      </c>
      <c r="E3707" t="s">
        <v>2176</v>
      </c>
      <c r="F3707">
        <v>5</v>
      </c>
      <c r="G3707" t="s">
        <v>55</v>
      </c>
      <c r="H3707" t="s">
        <v>41</v>
      </c>
      <c r="I3707" t="s">
        <v>2189</v>
      </c>
      <c r="J3707" s="10">
        <v>6.505</v>
      </c>
      <c r="K3707" t="b">
        <v>1</v>
      </c>
    </row>
    <row r="3708" spans="1:11">
      <c r="A3708" s="12">
        <v>42104</v>
      </c>
      <c r="B3708">
        <v>2015</v>
      </c>
      <c r="C3708">
        <v>4</v>
      </c>
      <c r="D3708" s="11">
        <v>42095</v>
      </c>
      <c r="E3708" t="s">
        <v>2176</v>
      </c>
      <c r="F3708">
        <v>5</v>
      </c>
      <c r="G3708" t="s">
        <v>55</v>
      </c>
      <c r="H3708" t="s">
        <v>42</v>
      </c>
      <c r="I3708" t="s">
        <v>2190</v>
      </c>
      <c r="J3708" s="10">
        <v>4</v>
      </c>
      <c r="K3708" t="b">
        <v>1</v>
      </c>
    </row>
    <row r="3709" spans="1:11">
      <c r="A3709" s="12">
        <v>42104</v>
      </c>
      <c r="B3709">
        <v>2015</v>
      </c>
      <c r="C3709">
        <v>4</v>
      </c>
      <c r="D3709" s="11">
        <v>42095</v>
      </c>
      <c r="E3709" t="s">
        <v>2176</v>
      </c>
      <c r="F3709">
        <v>5</v>
      </c>
      <c r="G3709" t="s">
        <v>55</v>
      </c>
      <c r="H3709" t="s">
        <v>43</v>
      </c>
      <c r="I3709" t="s">
        <v>2191</v>
      </c>
      <c r="J3709" s="10">
        <v>65.59999999999999</v>
      </c>
      <c r="K3709" t="b">
        <v>1</v>
      </c>
    </row>
    <row r="3710" spans="1:11">
      <c r="A3710" s="12">
        <v>42104</v>
      </c>
      <c r="B3710">
        <v>2015</v>
      </c>
      <c r="C3710">
        <v>4</v>
      </c>
      <c r="D3710" s="11">
        <v>42095</v>
      </c>
      <c r="E3710" t="s">
        <v>2176</v>
      </c>
      <c r="F3710">
        <v>5</v>
      </c>
      <c r="G3710" t="s">
        <v>55</v>
      </c>
      <c r="H3710" t="s">
        <v>44</v>
      </c>
      <c r="I3710" t="s">
        <v>2192</v>
      </c>
      <c r="J3710" s="10">
        <v>5</v>
      </c>
      <c r="K3710" t="b">
        <v>1</v>
      </c>
    </row>
    <row r="3711" spans="1:11">
      <c r="A3711" s="12">
        <v>42104</v>
      </c>
      <c r="B3711">
        <v>2015</v>
      </c>
      <c r="C3711">
        <v>4</v>
      </c>
      <c r="D3711" s="11">
        <v>42095</v>
      </c>
      <c r="E3711" t="s">
        <v>2176</v>
      </c>
      <c r="F3711">
        <v>5</v>
      </c>
      <c r="G3711" t="s">
        <v>55</v>
      </c>
      <c r="H3711" t="s">
        <v>45</v>
      </c>
      <c r="I3711" t="s">
        <v>2193</v>
      </c>
      <c r="J3711" s="10">
        <v>2</v>
      </c>
      <c r="K3711" t="b">
        <v>1</v>
      </c>
    </row>
    <row r="3712" spans="1:11">
      <c r="A3712" s="12">
        <v>42104</v>
      </c>
      <c r="B3712">
        <v>2015</v>
      </c>
      <c r="C3712">
        <v>4</v>
      </c>
      <c r="D3712" s="11">
        <v>42095</v>
      </c>
      <c r="E3712" t="s">
        <v>2176</v>
      </c>
      <c r="F3712">
        <v>5</v>
      </c>
      <c r="G3712" t="s">
        <v>55</v>
      </c>
      <c r="H3712" t="s">
        <v>46</v>
      </c>
      <c r="I3712" t="s">
        <v>2194</v>
      </c>
      <c r="J3712" s="10">
        <v>8</v>
      </c>
      <c r="K3712" t="b">
        <v>1</v>
      </c>
    </row>
    <row r="3713" spans="1:11">
      <c r="A3713" s="12">
        <v>42104</v>
      </c>
      <c r="B3713">
        <v>2015</v>
      </c>
      <c r="C3713">
        <v>4</v>
      </c>
      <c r="D3713" s="11">
        <v>42095</v>
      </c>
      <c r="E3713" t="s">
        <v>2176</v>
      </c>
      <c r="F3713">
        <v>5</v>
      </c>
      <c r="G3713" t="s">
        <v>55</v>
      </c>
      <c r="H3713" t="s">
        <v>47</v>
      </c>
      <c r="I3713" t="s">
        <v>2195</v>
      </c>
      <c r="J3713" s="10">
        <v>5</v>
      </c>
      <c r="K3713" t="b">
        <v>1</v>
      </c>
    </row>
    <row r="3714" spans="1:11">
      <c r="A3714" s="12">
        <v>42105</v>
      </c>
      <c r="B3714">
        <v>2015</v>
      </c>
      <c r="C3714">
        <v>4</v>
      </c>
      <c r="D3714" s="11">
        <v>42095</v>
      </c>
      <c r="E3714" t="s">
        <v>2176</v>
      </c>
      <c r="F3714">
        <v>6</v>
      </c>
      <c r="G3714" t="s">
        <v>57</v>
      </c>
      <c r="H3714" t="s">
        <v>40</v>
      </c>
      <c r="I3714" t="s">
        <v>2188</v>
      </c>
      <c r="J3714" s="10">
        <v>11.68</v>
      </c>
      <c r="K3714" t="b">
        <v>1</v>
      </c>
    </row>
    <row r="3715" spans="1:11">
      <c r="A3715" s="12">
        <v>42105</v>
      </c>
      <c r="B3715">
        <v>2015</v>
      </c>
      <c r="C3715">
        <v>4</v>
      </c>
      <c r="D3715" s="11">
        <v>42095</v>
      </c>
      <c r="E3715" t="s">
        <v>2176</v>
      </c>
      <c r="F3715">
        <v>6</v>
      </c>
      <c r="G3715" t="s">
        <v>57</v>
      </c>
      <c r="H3715" t="s">
        <v>41</v>
      </c>
      <c r="I3715" t="s">
        <v>2189</v>
      </c>
      <c r="J3715" s="10">
        <v>3</v>
      </c>
      <c r="K3715" t="b">
        <v>1</v>
      </c>
    </row>
    <row r="3716" spans="1:11">
      <c r="A3716" s="12">
        <v>42105</v>
      </c>
      <c r="B3716">
        <v>2015</v>
      </c>
      <c r="C3716">
        <v>4</v>
      </c>
      <c r="D3716" s="11">
        <v>42095</v>
      </c>
      <c r="E3716" t="s">
        <v>2176</v>
      </c>
      <c r="F3716">
        <v>6</v>
      </c>
      <c r="G3716" t="s">
        <v>57</v>
      </c>
      <c r="H3716" t="s">
        <v>42</v>
      </c>
      <c r="I3716" t="s">
        <v>2190</v>
      </c>
      <c r="J3716" s="10">
        <v>3.4</v>
      </c>
      <c r="K3716" t="b">
        <v>1</v>
      </c>
    </row>
    <row r="3717" spans="1:11">
      <c r="A3717" s="12">
        <v>42105</v>
      </c>
      <c r="B3717">
        <v>2015</v>
      </c>
      <c r="C3717">
        <v>4</v>
      </c>
      <c r="D3717" s="11">
        <v>42095</v>
      </c>
      <c r="E3717" t="s">
        <v>2176</v>
      </c>
      <c r="F3717">
        <v>6</v>
      </c>
      <c r="G3717" t="s">
        <v>57</v>
      </c>
      <c r="H3717" t="s">
        <v>43</v>
      </c>
      <c r="I3717" t="s">
        <v>2191</v>
      </c>
      <c r="J3717" s="10">
        <v>26</v>
      </c>
      <c r="K3717" t="b">
        <v>1</v>
      </c>
    </row>
    <row r="3718" spans="1:11">
      <c r="A3718" s="12">
        <v>42105</v>
      </c>
      <c r="B3718">
        <v>2015</v>
      </c>
      <c r="C3718">
        <v>4</v>
      </c>
      <c r="D3718" s="11">
        <v>42095</v>
      </c>
      <c r="E3718" t="s">
        <v>2176</v>
      </c>
      <c r="F3718">
        <v>6</v>
      </c>
      <c r="G3718" t="s">
        <v>57</v>
      </c>
      <c r="H3718" t="s">
        <v>44</v>
      </c>
      <c r="I3718" t="s">
        <v>2192</v>
      </c>
      <c r="J3718" s="10">
        <v>9</v>
      </c>
      <c r="K3718" t="b">
        <v>1</v>
      </c>
    </row>
    <row r="3719" spans="1:11">
      <c r="A3719" s="12">
        <v>42105</v>
      </c>
      <c r="B3719">
        <v>2015</v>
      </c>
      <c r="C3719">
        <v>4</v>
      </c>
      <c r="D3719" s="11">
        <v>42095</v>
      </c>
      <c r="E3719" t="s">
        <v>2176</v>
      </c>
      <c r="F3719">
        <v>6</v>
      </c>
      <c r="G3719" t="s">
        <v>57</v>
      </c>
      <c r="H3719" t="s">
        <v>45</v>
      </c>
      <c r="I3719" t="s">
        <v>2193</v>
      </c>
      <c r="J3719" s="10">
        <v>0</v>
      </c>
      <c r="K3719" t="b">
        <v>1</v>
      </c>
    </row>
    <row r="3720" spans="1:11">
      <c r="A3720" s="12">
        <v>42105</v>
      </c>
      <c r="B3720">
        <v>2015</v>
      </c>
      <c r="C3720">
        <v>4</v>
      </c>
      <c r="D3720" s="11">
        <v>42095</v>
      </c>
      <c r="E3720" t="s">
        <v>2176</v>
      </c>
      <c r="F3720">
        <v>6</v>
      </c>
      <c r="G3720" t="s">
        <v>57</v>
      </c>
      <c r="H3720" t="s">
        <v>46</v>
      </c>
      <c r="I3720" t="s">
        <v>2194</v>
      </c>
      <c r="J3720" s="10">
        <v>5</v>
      </c>
      <c r="K3720" t="b">
        <v>1</v>
      </c>
    </row>
    <row r="3721" spans="1:11">
      <c r="A3721" s="12">
        <v>42105</v>
      </c>
      <c r="B3721">
        <v>2015</v>
      </c>
      <c r="C3721">
        <v>4</v>
      </c>
      <c r="D3721" s="11">
        <v>42095</v>
      </c>
      <c r="E3721" t="s">
        <v>2176</v>
      </c>
      <c r="F3721">
        <v>6</v>
      </c>
      <c r="G3721" t="s">
        <v>57</v>
      </c>
      <c r="H3721" t="s">
        <v>47</v>
      </c>
      <c r="I3721" t="s">
        <v>2195</v>
      </c>
      <c r="J3721" s="10">
        <v>6</v>
      </c>
      <c r="K3721" t="b">
        <v>1</v>
      </c>
    </row>
    <row r="3722" spans="1:11">
      <c r="A3722" s="12">
        <v>42106</v>
      </c>
      <c r="B3722">
        <v>2015</v>
      </c>
      <c r="C3722">
        <v>4</v>
      </c>
      <c r="D3722" s="11">
        <v>42095</v>
      </c>
      <c r="E3722" t="s">
        <v>2176</v>
      </c>
      <c r="F3722">
        <v>7</v>
      </c>
      <c r="G3722" t="s">
        <v>59</v>
      </c>
      <c r="H3722" t="s">
        <v>40</v>
      </c>
      <c r="I3722" t="s">
        <v>2188</v>
      </c>
      <c r="J3722" s="10">
        <v>0</v>
      </c>
      <c r="K3722" t="b">
        <v>1</v>
      </c>
    </row>
    <row r="3723" spans="1:11">
      <c r="A3723" s="12">
        <v>42106</v>
      </c>
      <c r="B3723">
        <v>2015</v>
      </c>
      <c r="C3723">
        <v>4</v>
      </c>
      <c r="D3723" s="11">
        <v>42095</v>
      </c>
      <c r="E3723" t="s">
        <v>2176</v>
      </c>
      <c r="F3723">
        <v>7</v>
      </c>
      <c r="G3723" t="s">
        <v>59</v>
      </c>
      <c r="H3723" t="s">
        <v>41</v>
      </c>
      <c r="I3723" t="s">
        <v>2189</v>
      </c>
      <c r="J3723" s="10">
        <v>0</v>
      </c>
      <c r="K3723" t="b">
        <v>1</v>
      </c>
    </row>
    <row r="3724" spans="1:11">
      <c r="A3724" s="12">
        <v>42106</v>
      </c>
      <c r="B3724">
        <v>2015</v>
      </c>
      <c r="C3724">
        <v>4</v>
      </c>
      <c r="D3724" s="11">
        <v>42095</v>
      </c>
      <c r="E3724" t="s">
        <v>2176</v>
      </c>
      <c r="F3724">
        <v>7</v>
      </c>
      <c r="G3724" t="s">
        <v>59</v>
      </c>
      <c r="H3724" t="s">
        <v>42</v>
      </c>
      <c r="I3724" t="s">
        <v>2190</v>
      </c>
      <c r="J3724" s="10">
        <v>0</v>
      </c>
      <c r="K3724" t="b">
        <v>1</v>
      </c>
    </row>
    <row r="3725" spans="1:11">
      <c r="A3725" s="12">
        <v>42106</v>
      </c>
      <c r="B3725">
        <v>2015</v>
      </c>
      <c r="C3725">
        <v>4</v>
      </c>
      <c r="D3725" s="11">
        <v>42095</v>
      </c>
      <c r="E3725" t="s">
        <v>2176</v>
      </c>
      <c r="F3725">
        <v>7</v>
      </c>
      <c r="G3725" t="s">
        <v>59</v>
      </c>
      <c r="H3725" t="s">
        <v>43</v>
      </c>
      <c r="I3725" t="s">
        <v>2191</v>
      </c>
      <c r="J3725" s="10">
        <v>0</v>
      </c>
      <c r="K3725" t="b">
        <v>1</v>
      </c>
    </row>
    <row r="3726" spans="1:11">
      <c r="A3726" s="12">
        <v>42106</v>
      </c>
      <c r="B3726">
        <v>2015</v>
      </c>
      <c r="C3726">
        <v>4</v>
      </c>
      <c r="D3726" s="11">
        <v>42095</v>
      </c>
      <c r="E3726" t="s">
        <v>2176</v>
      </c>
      <c r="F3726">
        <v>7</v>
      </c>
      <c r="G3726" t="s">
        <v>59</v>
      </c>
      <c r="H3726" t="s">
        <v>44</v>
      </c>
      <c r="I3726" t="s">
        <v>2192</v>
      </c>
      <c r="J3726" s="10">
        <v>0</v>
      </c>
      <c r="K3726" t="b">
        <v>1</v>
      </c>
    </row>
    <row r="3727" spans="1:11">
      <c r="A3727" s="12">
        <v>42106</v>
      </c>
      <c r="B3727">
        <v>2015</v>
      </c>
      <c r="C3727">
        <v>4</v>
      </c>
      <c r="D3727" s="11">
        <v>42095</v>
      </c>
      <c r="E3727" t="s">
        <v>2176</v>
      </c>
      <c r="F3727">
        <v>7</v>
      </c>
      <c r="G3727" t="s">
        <v>59</v>
      </c>
      <c r="H3727" t="s">
        <v>45</v>
      </c>
      <c r="I3727" t="s">
        <v>2193</v>
      </c>
      <c r="J3727" s="10">
        <v>0</v>
      </c>
      <c r="K3727" t="b">
        <v>1</v>
      </c>
    </row>
    <row r="3728" spans="1:11">
      <c r="A3728" s="12">
        <v>42106</v>
      </c>
      <c r="B3728">
        <v>2015</v>
      </c>
      <c r="C3728">
        <v>4</v>
      </c>
      <c r="D3728" s="11">
        <v>42095</v>
      </c>
      <c r="E3728" t="s">
        <v>2176</v>
      </c>
      <c r="F3728">
        <v>7</v>
      </c>
      <c r="G3728" t="s">
        <v>59</v>
      </c>
      <c r="H3728" t="s">
        <v>46</v>
      </c>
      <c r="I3728" t="s">
        <v>2194</v>
      </c>
      <c r="J3728" s="10">
        <v>0</v>
      </c>
      <c r="K3728" t="b">
        <v>1</v>
      </c>
    </row>
    <row r="3729" spans="1:11">
      <c r="A3729" s="12">
        <v>42106</v>
      </c>
      <c r="B3729">
        <v>2015</v>
      </c>
      <c r="C3729">
        <v>4</v>
      </c>
      <c r="D3729" s="11">
        <v>42095</v>
      </c>
      <c r="E3729" t="s">
        <v>2176</v>
      </c>
      <c r="F3729">
        <v>7</v>
      </c>
      <c r="G3729" t="s">
        <v>59</v>
      </c>
      <c r="H3729" t="s">
        <v>47</v>
      </c>
      <c r="I3729" t="s">
        <v>2195</v>
      </c>
      <c r="J3729" s="10">
        <v>0</v>
      </c>
      <c r="K3729" t="b">
        <v>1</v>
      </c>
    </row>
    <row r="3730" spans="1:11">
      <c r="A3730" s="12">
        <v>42107</v>
      </c>
      <c r="B3730">
        <v>2015</v>
      </c>
      <c r="C3730">
        <v>4</v>
      </c>
      <c r="D3730" s="11">
        <v>42095</v>
      </c>
      <c r="E3730" t="s">
        <v>2176</v>
      </c>
      <c r="F3730">
        <v>1</v>
      </c>
      <c r="G3730" t="s">
        <v>61</v>
      </c>
      <c r="H3730" t="s">
        <v>40</v>
      </c>
      <c r="I3730" t="s">
        <v>2188</v>
      </c>
      <c r="J3730" s="10">
        <v>6.67</v>
      </c>
      <c r="K3730" t="b">
        <v>1</v>
      </c>
    </row>
    <row r="3731" spans="1:11">
      <c r="A3731" s="12">
        <v>42107</v>
      </c>
      <c r="B3731">
        <v>2015</v>
      </c>
      <c r="C3731">
        <v>4</v>
      </c>
      <c r="D3731" s="11">
        <v>42095</v>
      </c>
      <c r="E3731" t="s">
        <v>2176</v>
      </c>
      <c r="F3731">
        <v>1</v>
      </c>
      <c r="G3731" t="s">
        <v>61</v>
      </c>
      <c r="H3731" t="s">
        <v>41</v>
      </c>
      <c r="I3731" t="s">
        <v>2189</v>
      </c>
      <c r="J3731" s="10">
        <v>1.34</v>
      </c>
      <c r="K3731" t="b">
        <v>1</v>
      </c>
    </row>
    <row r="3732" spans="1:11">
      <c r="A3732" s="12">
        <v>42107</v>
      </c>
      <c r="B3732">
        <v>2015</v>
      </c>
      <c r="C3732">
        <v>4</v>
      </c>
      <c r="D3732" s="11">
        <v>42095</v>
      </c>
      <c r="E3732" t="s">
        <v>2176</v>
      </c>
      <c r="F3732">
        <v>1</v>
      </c>
      <c r="G3732" t="s">
        <v>61</v>
      </c>
      <c r="H3732" t="s">
        <v>42</v>
      </c>
      <c r="I3732" t="s">
        <v>2190</v>
      </c>
      <c r="J3732" s="10">
        <v>7</v>
      </c>
      <c r="K3732" t="b">
        <v>1</v>
      </c>
    </row>
    <row r="3733" spans="1:11">
      <c r="A3733" s="12">
        <v>42107</v>
      </c>
      <c r="B3733">
        <v>2015</v>
      </c>
      <c r="C3733">
        <v>4</v>
      </c>
      <c r="D3733" s="11">
        <v>42095</v>
      </c>
      <c r="E3733" t="s">
        <v>2176</v>
      </c>
      <c r="F3733">
        <v>1</v>
      </c>
      <c r="G3733" t="s">
        <v>61</v>
      </c>
      <c r="H3733" t="s">
        <v>43</v>
      </c>
      <c r="I3733" t="s">
        <v>2191</v>
      </c>
      <c r="J3733" s="10">
        <v>25.2</v>
      </c>
      <c r="K3733" t="b">
        <v>1</v>
      </c>
    </row>
    <row r="3734" spans="1:11">
      <c r="A3734" s="12">
        <v>42107</v>
      </c>
      <c r="B3734">
        <v>2015</v>
      </c>
      <c r="C3734">
        <v>4</v>
      </c>
      <c r="D3734" s="11">
        <v>42095</v>
      </c>
      <c r="E3734" t="s">
        <v>2176</v>
      </c>
      <c r="F3734">
        <v>1</v>
      </c>
      <c r="G3734" t="s">
        <v>61</v>
      </c>
      <c r="H3734" t="s">
        <v>44</v>
      </c>
      <c r="I3734" t="s">
        <v>2192</v>
      </c>
      <c r="J3734" s="10">
        <v>5</v>
      </c>
      <c r="K3734" t="b">
        <v>1</v>
      </c>
    </row>
    <row r="3735" spans="1:11">
      <c r="A3735" s="12">
        <v>42107</v>
      </c>
      <c r="B3735">
        <v>2015</v>
      </c>
      <c r="C3735">
        <v>4</v>
      </c>
      <c r="D3735" s="11">
        <v>42095</v>
      </c>
      <c r="E3735" t="s">
        <v>2176</v>
      </c>
      <c r="F3735">
        <v>1</v>
      </c>
      <c r="G3735" t="s">
        <v>61</v>
      </c>
      <c r="H3735" t="s">
        <v>45</v>
      </c>
      <c r="I3735" t="s">
        <v>2193</v>
      </c>
      <c r="J3735" s="10">
        <v>0</v>
      </c>
      <c r="K3735" t="b">
        <v>1</v>
      </c>
    </row>
    <row r="3736" spans="1:11">
      <c r="A3736" s="12">
        <v>42107</v>
      </c>
      <c r="B3736">
        <v>2015</v>
      </c>
      <c r="C3736">
        <v>4</v>
      </c>
      <c r="D3736" s="11">
        <v>42095</v>
      </c>
      <c r="E3736" t="s">
        <v>2176</v>
      </c>
      <c r="F3736">
        <v>1</v>
      </c>
      <c r="G3736" t="s">
        <v>61</v>
      </c>
      <c r="H3736" t="s">
        <v>46</v>
      </c>
      <c r="I3736" t="s">
        <v>2194</v>
      </c>
      <c r="J3736" s="10">
        <v>3</v>
      </c>
      <c r="K3736" t="b">
        <v>1</v>
      </c>
    </row>
    <row r="3737" spans="1:11">
      <c r="A3737" s="12">
        <v>42107</v>
      </c>
      <c r="B3737">
        <v>2015</v>
      </c>
      <c r="C3737">
        <v>4</v>
      </c>
      <c r="D3737" s="11">
        <v>42095</v>
      </c>
      <c r="E3737" t="s">
        <v>2176</v>
      </c>
      <c r="F3737">
        <v>1</v>
      </c>
      <c r="G3737" t="s">
        <v>61</v>
      </c>
      <c r="H3737" t="s">
        <v>47</v>
      </c>
      <c r="I3737" t="s">
        <v>2195</v>
      </c>
      <c r="J3737" s="10">
        <v>7</v>
      </c>
      <c r="K3737" t="b">
        <v>1</v>
      </c>
    </row>
    <row r="3738" spans="1:11">
      <c r="A3738" s="12">
        <v>42108</v>
      </c>
      <c r="B3738">
        <v>2015</v>
      </c>
      <c r="C3738">
        <v>4</v>
      </c>
      <c r="D3738" s="11">
        <v>42095</v>
      </c>
      <c r="E3738" t="s">
        <v>2176</v>
      </c>
      <c r="F3738">
        <v>2</v>
      </c>
      <c r="G3738" t="s">
        <v>63</v>
      </c>
      <c r="H3738" t="s">
        <v>40</v>
      </c>
      <c r="I3738" t="s">
        <v>2188</v>
      </c>
      <c r="J3738" s="10">
        <v>4.66</v>
      </c>
      <c r="K3738" t="b">
        <v>1</v>
      </c>
    </row>
    <row r="3739" spans="1:11">
      <c r="A3739" s="12">
        <v>42108</v>
      </c>
      <c r="B3739">
        <v>2015</v>
      </c>
      <c r="C3739">
        <v>4</v>
      </c>
      <c r="D3739" s="11">
        <v>42095</v>
      </c>
      <c r="E3739" t="s">
        <v>2176</v>
      </c>
      <c r="F3739">
        <v>2</v>
      </c>
      <c r="G3739" t="s">
        <v>63</v>
      </c>
      <c r="H3739" t="s">
        <v>41</v>
      </c>
      <c r="I3739" t="s">
        <v>2189</v>
      </c>
      <c r="J3739" s="10">
        <v>6.01</v>
      </c>
      <c r="K3739" t="b">
        <v>1</v>
      </c>
    </row>
    <row r="3740" spans="1:11">
      <c r="A3740" s="12">
        <v>42108</v>
      </c>
      <c r="B3740">
        <v>2015</v>
      </c>
      <c r="C3740">
        <v>4</v>
      </c>
      <c r="D3740" s="11">
        <v>42095</v>
      </c>
      <c r="E3740" t="s">
        <v>2176</v>
      </c>
      <c r="F3740">
        <v>2</v>
      </c>
      <c r="G3740" t="s">
        <v>63</v>
      </c>
      <c r="H3740" t="s">
        <v>42</v>
      </c>
      <c r="I3740" t="s">
        <v>2190</v>
      </c>
      <c r="J3740" s="10">
        <v>7</v>
      </c>
      <c r="K3740" t="b">
        <v>1</v>
      </c>
    </row>
    <row r="3741" spans="1:11">
      <c r="A3741" s="12">
        <v>42108</v>
      </c>
      <c r="B3741">
        <v>2015</v>
      </c>
      <c r="C3741">
        <v>4</v>
      </c>
      <c r="D3741" s="11">
        <v>42095</v>
      </c>
      <c r="E3741" t="s">
        <v>2176</v>
      </c>
      <c r="F3741">
        <v>2</v>
      </c>
      <c r="G3741" t="s">
        <v>63</v>
      </c>
      <c r="H3741" t="s">
        <v>43</v>
      </c>
      <c r="I3741" t="s">
        <v>2191</v>
      </c>
      <c r="J3741" s="10">
        <v>41.8</v>
      </c>
      <c r="K3741" t="b">
        <v>1</v>
      </c>
    </row>
    <row r="3742" spans="1:11">
      <c r="A3742" s="12">
        <v>42108</v>
      </c>
      <c r="B3742">
        <v>2015</v>
      </c>
      <c r="C3742">
        <v>4</v>
      </c>
      <c r="D3742" s="11">
        <v>42095</v>
      </c>
      <c r="E3742" t="s">
        <v>2176</v>
      </c>
      <c r="F3742">
        <v>2</v>
      </c>
      <c r="G3742" t="s">
        <v>63</v>
      </c>
      <c r="H3742" t="s">
        <v>44</v>
      </c>
      <c r="I3742" t="s">
        <v>2192</v>
      </c>
      <c r="J3742" s="10">
        <v>5</v>
      </c>
      <c r="K3742" t="b">
        <v>1</v>
      </c>
    </row>
    <row r="3743" spans="1:11">
      <c r="A3743" s="12">
        <v>42108</v>
      </c>
      <c r="B3743">
        <v>2015</v>
      </c>
      <c r="C3743">
        <v>4</v>
      </c>
      <c r="D3743" s="11">
        <v>42095</v>
      </c>
      <c r="E3743" t="s">
        <v>2176</v>
      </c>
      <c r="F3743">
        <v>2</v>
      </c>
      <c r="G3743" t="s">
        <v>63</v>
      </c>
      <c r="H3743" t="s">
        <v>45</v>
      </c>
      <c r="I3743" t="s">
        <v>2193</v>
      </c>
      <c r="J3743" s="10">
        <v>0</v>
      </c>
      <c r="K3743" t="b">
        <v>1</v>
      </c>
    </row>
    <row r="3744" spans="1:11">
      <c r="A3744" s="12">
        <v>42108</v>
      </c>
      <c r="B3744">
        <v>2015</v>
      </c>
      <c r="C3744">
        <v>4</v>
      </c>
      <c r="D3744" s="11">
        <v>42095</v>
      </c>
      <c r="E3744" t="s">
        <v>2176</v>
      </c>
      <c r="F3744">
        <v>2</v>
      </c>
      <c r="G3744" t="s">
        <v>63</v>
      </c>
      <c r="H3744" t="s">
        <v>46</v>
      </c>
      <c r="I3744" t="s">
        <v>2194</v>
      </c>
      <c r="J3744" s="10">
        <v>5</v>
      </c>
      <c r="K3744" t="b">
        <v>1</v>
      </c>
    </row>
    <row r="3745" spans="1:11">
      <c r="A3745" s="12">
        <v>42108</v>
      </c>
      <c r="B3745">
        <v>2015</v>
      </c>
      <c r="C3745">
        <v>4</v>
      </c>
      <c r="D3745" s="11">
        <v>42095</v>
      </c>
      <c r="E3745" t="s">
        <v>2176</v>
      </c>
      <c r="F3745">
        <v>2</v>
      </c>
      <c r="G3745" t="s">
        <v>63</v>
      </c>
      <c r="H3745" t="s">
        <v>47</v>
      </c>
      <c r="I3745" t="s">
        <v>2195</v>
      </c>
      <c r="J3745" s="10">
        <v>2</v>
      </c>
      <c r="K3745" t="b">
        <v>1</v>
      </c>
    </row>
    <row r="3746" spans="1:11">
      <c r="A3746" s="12">
        <v>42109</v>
      </c>
      <c r="B3746">
        <v>2015</v>
      </c>
      <c r="C3746">
        <v>4</v>
      </c>
      <c r="D3746" s="11">
        <v>42095</v>
      </c>
      <c r="E3746" t="s">
        <v>2176</v>
      </c>
      <c r="F3746">
        <v>3</v>
      </c>
      <c r="G3746" t="s">
        <v>65</v>
      </c>
      <c r="H3746" t="s">
        <v>40</v>
      </c>
      <c r="I3746" t="s">
        <v>2188</v>
      </c>
      <c r="J3746" s="10">
        <v>2</v>
      </c>
      <c r="K3746" t="b">
        <v>1</v>
      </c>
    </row>
    <row r="3747" spans="1:11">
      <c r="A3747" s="12">
        <v>42109</v>
      </c>
      <c r="B3747">
        <v>2015</v>
      </c>
      <c r="C3747">
        <v>4</v>
      </c>
      <c r="D3747" s="11">
        <v>42095</v>
      </c>
      <c r="E3747" t="s">
        <v>2176</v>
      </c>
      <c r="F3747">
        <v>3</v>
      </c>
      <c r="G3747" t="s">
        <v>65</v>
      </c>
      <c r="H3747" t="s">
        <v>41</v>
      </c>
      <c r="I3747" t="s">
        <v>2189</v>
      </c>
      <c r="J3747" s="10">
        <v>2.33</v>
      </c>
      <c r="K3747" t="b">
        <v>1</v>
      </c>
    </row>
    <row r="3748" spans="1:11">
      <c r="A3748" s="12">
        <v>42109</v>
      </c>
      <c r="B3748">
        <v>2015</v>
      </c>
      <c r="C3748">
        <v>4</v>
      </c>
      <c r="D3748" s="11">
        <v>42095</v>
      </c>
      <c r="E3748" t="s">
        <v>2176</v>
      </c>
      <c r="F3748">
        <v>3</v>
      </c>
      <c r="G3748" t="s">
        <v>65</v>
      </c>
      <c r="H3748" t="s">
        <v>42</v>
      </c>
      <c r="I3748" t="s">
        <v>2190</v>
      </c>
      <c r="J3748" s="10">
        <v>3</v>
      </c>
      <c r="K3748" t="b">
        <v>1</v>
      </c>
    </row>
    <row r="3749" spans="1:11">
      <c r="A3749" s="12">
        <v>42109</v>
      </c>
      <c r="B3749">
        <v>2015</v>
      </c>
      <c r="C3749">
        <v>4</v>
      </c>
      <c r="D3749" s="11">
        <v>42095</v>
      </c>
      <c r="E3749" t="s">
        <v>2176</v>
      </c>
      <c r="F3749">
        <v>3</v>
      </c>
      <c r="G3749" t="s">
        <v>65</v>
      </c>
      <c r="H3749" t="s">
        <v>43</v>
      </c>
      <c r="I3749" t="s">
        <v>2191</v>
      </c>
      <c r="J3749" s="10">
        <v>29.25</v>
      </c>
      <c r="K3749" t="b">
        <v>1</v>
      </c>
    </row>
    <row r="3750" spans="1:11">
      <c r="A3750" s="12">
        <v>42109</v>
      </c>
      <c r="B3750">
        <v>2015</v>
      </c>
      <c r="C3750">
        <v>4</v>
      </c>
      <c r="D3750" s="11">
        <v>42095</v>
      </c>
      <c r="E3750" t="s">
        <v>2176</v>
      </c>
      <c r="F3750">
        <v>3</v>
      </c>
      <c r="G3750" t="s">
        <v>65</v>
      </c>
      <c r="H3750" t="s">
        <v>44</v>
      </c>
      <c r="I3750" t="s">
        <v>2192</v>
      </c>
      <c r="J3750" s="10">
        <v>15</v>
      </c>
      <c r="K3750" t="b">
        <v>1</v>
      </c>
    </row>
    <row r="3751" spans="1:11">
      <c r="A3751" s="12">
        <v>42109</v>
      </c>
      <c r="B3751">
        <v>2015</v>
      </c>
      <c r="C3751">
        <v>4</v>
      </c>
      <c r="D3751" s="11">
        <v>42095</v>
      </c>
      <c r="E3751" t="s">
        <v>2176</v>
      </c>
      <c r="F3751">
        <v>3</v>
      </c>
      <c r="G3751" t="s">
        <v>65</v>
      </c>
      <c r="H3751" t="s">
        <v>45</v>
      </c>
      <c r="I3751" t="s">
        <v>2193</v>
      </c>
      <c r="J3751" s="10">
        <v>0</v>
      </c>
      <c r="K3751" t="b">
        <v>1</v>
      </c>
    </row>
    <row r="3752" spans="1:11">
      <c r="A3752" s="12">
        <v>42109</v>
      </c>
      <c r="B3752">
        <v>2015</v>
      </c>
      <c r="C3752">
        <v>4</v>
      </c>
      <c r="D3752" s="11">
        <v>42095</v>
      </c>
      <c r="E3752" t="s">
        <v>2176</v>
      </c>
      <c r="F3752">
        <v>3</v>
      </c>
      <c r="G3752" t="s">
        <v>65</v>
      </c>
      <c r="H3752" t="s">
        <v>46</v>
      </c>
      <c r="I3752" t="s">
        <v>2194</v>
      </c>
      <c r="J3752" s="10">
        <v>0</v>
      </c>
      <c r="K3752" t="b">
        <v>1</v>
      </c>
    </row>
    <row r="3753" spans="1:11">
      <c r="A3753" s="12">
        <v>42109</v>
      </c>
      <c r="B3753">
        <v>2015</v>
      </c>
      <c r="C3753">
        <v>4</v>
      </c>
      <c r="D3753" s="11">
        <v>42095</v>
      </c>
      <c r="E3753" t="s">
        <v>2176</v>
      </c>
      <c r="F3753">
        <v>3</v>
      </c>
      <c r="G3753" t="s">
        <v>65</v>
      </c>
      <c r="H3753" t="s">
        <v>47</v>
      </c>
      <c r="I3753" t="s">
        <v>2195</v>
      </c>
      <c r="J3753" s="10">
        <v>2</v>
      </c>
      <c r="K3753" t="b">
        <v>1</v>
      </c>
    </row>
    <row r="3754" spans="1:11">
      <c r="A3754" s="12">
        <v>42110</v>
      </c>
      <c r="B3754">
        <v>2015</v>
      </c>
      <c r="C3754">
        <v>4</v>
      </c>
      <c r="D3754" s="11">
        <v>42095</v>
      </c>
      <c r="E3754" t="s">
        <v>2176</v>
      </c>
      <c r="F3754">
        <v>4</v>
      </c>
      <c r="G3754" t="s">
        <v>53</v>
      </c>
      <c r="H3754" t="s">
        <v>40</v>
      </c>
      <c r="I3754" t="s">
        <v>2188</v>
      </c>
      <c r="J3754" s="10">
        <v>2.34</v>
      </c>
      <c r="K3754" t="b">
        <v>1</v>
      </c>
    </row>
    <row r="3755" spans="1:11">
      <c r="A3755" s="12">
        <v>42110</v>
      </c>
      <c r="B3755">
        <v>2015</v>
      </c>
      <c r="C3755">
        <v>4</v>
      </c>
      <c r="D3755" s="11">
        <v>42095</v>
      </c>
      <c r="E3755" t="s">
        <v>2176</v>
      </c>
      <c r="F3755">
        <v>4</v>
      </c>
      <c r="G3755" t="s">
        <v>53</v>
      </c>
      <c r="H3755" t="s">
        <v>41</v>
      </c>
      <c r="I3755" t="s">
        <v>2189</v>
      </c>
      <c r="J3755" s="10">
        <v>1</v>
      </c>
      <c r="K3755" t="b">
        <v>1</v>
      </c>
    </row>
    <row r="3756" spans="1:11">
      <c r="A3756" s="12">
        <v>42110</v>
      </c>
      <c r="B3756">
        <v>2015</v>
      </c>
      <c r="C3756">
        <v>4</v>
      </c>
      <c r="D3756" s="11">
        <v>42095</v>
      </c>
      <c r="E3756" t="s">
        <v>2176</v>
      </c>
      <c r="F3756">
        <v>4</v>
      </c>
      <c r="G3756" t="s">
        <v>53</v>
      </c>
      <c r="H3756" t="s">
        <v>42</v>
      </c>
      <c r="I3756" t="s">
        <v>2190</v>
      </c>
      <c r="J3756" s="10">
        <v>7.2</v>
      </c>
      <c r="K3756" t="b">
        <v>1</v>
      </c>
    </row>
    <row r="3757" spans="1:11">
      <c r="A3757" s="12">
        <v>42110</v>
      </c>
      <c r="B3757">
        <v>2015</v>
      </c>
      <c r="C3757">
        <v>4</v>
      </c>
      <c r="D3757" s="11">
        <v>42095</v>
      </c>
      <c r="E3757" t="s">
        <v>2176</v>
      </c>
      <c r="F3757">
        <v>4</v>
      </c>
      <c r="G3757" t="s">
        <v>53</v>
      </c>
      <c r="H3757" t="s">
        <v>43</v>
      </c>
      <c r="I3757" t="s">
        <v>2191</v>
      </c>
      <c r="J3757" s="10">
        <v>30.6</v>
      </c>
      <c r="K3757" t="b">
        <v>1</v>
      </c>
    </row>
    <row r="3758" spans="1:11">
      <c r="A3758" s="12">
        <v>42110</v>
      </c>
      <c r="B3758">
        <v>2015</v>
      </c>
      <c r="C3758">
        <v>4</v>
      </c>
      <c r="D3758" s="11">
        <v>42095</v>
      </c>
      <c r="E3758" t="s">
        <v>2176</v>
      </c>
      <c r="F3758">
        <v>4</v>
      </c>
      <c r="G3758" t="s">
        <v>53</v>
      </c>
      <c r="H3758" t="s">
        <v>44</v>
      </c>
      <c r="I3758" t="s">
        <v>2192</v>
      </c>
      <c r="J3758" s="10">
        <v>7</v>
      </c>
      <c r="K3758" t="b">
        <v>1</v>
      </c>
    </row>
    <row r="3759" spans="1:11">
      <c r="A3759" s="12">
        <v>42110</v>
      </c>
      <c r="B3759">
        <v>2015</v>
      </c>
      <c r="C3759">
        <v>4</v>
      </c>
      <c r="D3759" s="11">
        <v>42095</v>
      </c>
      <c r="E3759" t="s">
        <v>2176</v>
      </c>
      <c r="F3759">
        <v>4</v>
      </c>
      <c r="G3759" t="s">
        <v>53</v>
      </c>
      <c r="H3759" t="s">
        <v>45</v>
      </c>
      <c r="I3759" t="s">
        <v>2193</v>
      </c>
      <c r="J3759" s="10">
        <v>0</v>
      </c>
      <c r="K3759" t="b">
        <v>1</v>
      </c>
    </row>
    <row r="3760" spans="1:11">
      <c r="A3760" s="12">
        <v>42110</v>
      </c>
      <c r="B3760">
        <v>2015</v>
      </c>
      <c r="C3760">
        <v>4</v>
      </c>
      <c r="D3760" s="11">
        <v>42095</v>
      </c>
      <c r="E3760" t="s">
        <v>2176</v>
      </c>
      <c r="F3760">
        <v>4</v>
      </c>
      <c r="G3760" t="s">
        <v>53</v>
      </c>
      <c r="H3760" t="s">
        <v>46</v>
      </c>
      <c r="I3760" t="s">
        <v>2194</v>
      </c>
      <c r="J3760" s="10">
        <v>9</v>
      </c>
      <c r="K3760" t="b">
        <v>1</v>
      </c>
    </row>
    <row r="3761" spans="1:11">
      <c r="A3761" s="12">
        <v>42110</v>
      </c>
      <c r="B3761">
        <v>2015</v>
      </c>
      <c r="C3761">
        <v>4</v>
      </c>
      <c r="D3761" s="11">
        <v>42095</v>
      </c>
      <c r="E3761" t="s">
        <v>2176</v>
      </c>
      <c r="F3761">
        <v>4</v>
      </c>
      <c r="G3761" t="s">
        <v>53</v>
      </c>
      <c r="H3761" t="s">
        <v>47</v>
      </c>
      <c r="I3761" t="s">
        <v>2195</v>
      </c>
      <c r="J3761" s="10">
        <v>4</v>
      </c>
      <c r="K3761" t="b">
        <v>1</v>
      </c>
    </row>
    <row r="3762" spans="1:11">
      <c r="A3762" s="12">
        <v>42111</v>
      </c>
      <c r="B3762">
        <v>2015</v>
      </c>
      <c r="C3762">
        <v>4</v>
      </c>
      <c r="D3762" s="11">
        <v>42095</v>
      </c>
      <c r="E3762" t="s">
        <v>2176</v>
      </c>
      <c r="F3762">
        <v>5</v>
      </c>
      <c r="G3762" t="s">
        <v>55</v>
      </c>
      <c r="H3762" t="s">
        <v>40</v>
      </c>
      <c r="I3762" t="s">
        <v>2188</v>
      </c>
      <c r="J3762" s="10">
        <v>9.33</v>
      </c>
      <c r="K3762" t="b">
        <v>1</v>
      </c>
    </row>
    <row r="3763" spans="1:11">
      <c r="A3763" s="12">
        <v>42111</v>
      </c>
      <c r="B3763">
        <v>2015</v>
      </c>
      <c r="C3763">
        <v>4</v>
      </c>
      <c r="D3763" s="11">
        <v>42095</v>
      </c>
      <c r="E3763" t="s">
        <v>2176</v>
      </c>
      <c r="F3763">
        <v>5</v>
      </c>
      <c r="G3763" t="s">
        <v>55</v>
      </c>
      <c r="H3763" t="s">
        <v>41</v>
      </c>
      <c r="I3763" t="s">
        <v>2189</v>
      </c>
      <c r="J3763" s="10">
        <v>3.66</v>
      </c>
      <c r="K3763" t="b">
        <v>1</v>
      </c>
    </row>
    <row r="3764" spans="1:11">
      <c r="A3764" s="12">
        <v>42111</v>
      </c>
      <c r="B3764">
        <v>2015</v>
      </c>
      <c r="C3764">
        <v>4</v>
      </c>
      <c r="D3764" s="11">
        <v>42095</v>
      </c>
      <c r="E3764" t="s">
        <v>2176</v>
      </c>
      <c r="F3764">
        <v>5</v>
      </c>
      <c r="G3764" t="s">
        <v>55</v>
      </c>
      <c r="H3764" t="s">
        <v>42</v>
      </c>
      <c r="I3764" t="s">
        <v>2190</v>
      </c>
      <c r="J3764" s="10">
        <v>3</v>
      </c>
      <c r="K3764" t="b">
        <v>1</v>
      </c>
    </row>
    <row r="3765" spans="1:11">
      <c r="A3765" s="12">
        <v>42111</v>
      </c>
      <c r="B3765">
        <v>2015</v>
      </c>
      <c r="C3765">
        <v>4</v>
      </c>
      <c r="D3765" s="11">
        <v>42095</v>
      </c>
      <c r="E3765" t="s">
        <v>2176</v>
      </c>
      <c r="F3765">
        <v>5</v>
      </c>
      <c r="G3765" t="s">
        <v>55</v>
      </c>
      <c r="H3765" t="s">
        <v>43</v>
      </c>
      <c r="I3765" t="s">
        <v>2191</v>
      </c>
      <c r="J3765" s="10">
        <v>29.65</v>
      </c>
      <c r="K3765" t="b">
        <v>1</v>
      </c>
    </row>
    <row r="3766" spans="1:11">
      <c r="A3766" s="12">
        <v>42111</v>
      </c>
      <c r="B3766">
        <v>2015</v>
      </c>
      <c r="C3766">
        <v>4</v>
      </c>
      <c r="D3766" s="11">
        <v>42095</v>
      </c>
      <c r="E3766" t="s">
        <v>2176</v>
      </c>
      <c r="F3766">
        <v>5</v>
      </c>
      <c r="G3766" t="s">
        <v>55</v>
      </c>
      <c r="H3766" t="s">
        <v>44</v>
      </c>
      <c r="I3766" t="s">
        <v>2192</v>
      </c>
      <c r="J3766" s="10">
        <v>6</v>
      </c>
      <c r="K3766" t="b">
        <v>1</v>
      </c>
    </row>
    <row r="3767" spans="1:11">
      <c r="A3767" s="12">
        <v>42111</v>
      </c>
      <c r="B3767">
        <v>2015</v>
      </c>
      <c r="C3767">
        <v>4</v>
      </c>
      <c r="D3767" s="11">
        <v>42095</v>
      </c>
      <c r="E3767" t="s">
        <v>2176</v>
      </c>
      <c r="F3767">
        <v>5</v>
      </c>
      <c r="G3767" t="s">
        <v>55</v>
      </c>
      <c r="H3767" t="s">
        <v>45</v>
      </c>
      <c r="I3767" t="s">
        <v>2193</v>
      </c>
      <c r="J3767" s="10">
        <v>0</v>
      </c>
      <c r="K3767" t="b">
        <v>1</v>
      </c>
    </row>
    <row r="3768" spans="1:11">
      <c r="A3768" s="12">
        <v>42111</v>
      </c>
      <c r="B3768">
        <v>2015</v>
      </c>
      <c r="C3768">
        <v>4</v>
      </c>
      <c r="D3768" s="11">
        <v>42095</v>
      </c>
      <c r="E3768" t="s">
        <v>2176</v>
      </c>
      <c r="F3768">
        <v>5</v>
      </c>
      <c r="G3768" t="s">
        <v>55</v>
      </c>
      <c r="H3768" t="s">
        <v>46</v>
      </c>
      <c r="I3768" t="s">
        <v>2194</v>
      </c>
      <c r="J3768" s="10">
        <v>1</v>
      </c>
      <c r="K3768" t="b">
        <v>1</v>
      </c>
    </row>
    <row r="3769" spans="1:11">
      <c r="A3769" s="12">
        <v>42111</v>
      </c>
      <c r="B3769">
        <v>2015</v>
      </c>
      <c r="C3769">
        <v>4</v>
      </c>
      <c r="D3769" s="11">
        <v>42095</v>
      </c>
      <c r="E3769" t="s">
        <v>2176</v>
      </c>
      <c r="F3769">
        <v>5</v>
      </c>
      <c r="G3769" t="s">
        <v>55</v>
      </c>
      <c r="H3769" t="s">
        <v>47</v>
      </c>
      <c r="I3769" t="s">
        <v>2195</v>
      </c>
      <c r="J3769" s="10">
        <v>5</v>
      </c>
      <c r="K3769" t="b">
        <v>1</v>
      </c>
    </row>
    <row r="3770" spans="1:11">
      <c r="A3770" s="12">
        <v>42112</v>
      </c>
      <c r="B3770">
        <v>2015</v>
      </c>
      <c r="C3770">
        <v>4</v>
      </c>
      <c r="D3770" s="11">
        <v>42095</v>
      </c>
      <c r="E3770" t="s">
        <v>2176</v>
      </c>
      <c r="F3770">
        <v>6</v>
      </c>
      <c r="G3770" t="s">
        <v>57</v>
      </c>
      <c r="H3770" t="s">
        <v>40</v>
      </c>
      <c r="I3770" t="s">
        <v>2188</v>
      </c>
      <c r="J3770" s="10">
        <v>7.33</v>
      </c>
      <c r="K3770" t="b">
        <v>1</v>
      </c>
    </row>
    <row r="3771" spans="1:11">
      <c r="A3771" s="12">
        <v>42112</v>
      </c>
      <c r="B3771">
        <v>2015</v>
      </c>
      <c r="C3771">
        <v>4</v>
      </c>
      <c r="D3771" s="11">
        <v>42095</v>
      </c>
      <c r="E3771" t="s">
        <v>2176</v>
      </c>
      <c r="F3771">
        <v>6</v>
      </c>
      <c r="G3771" t="s">
        <v>57</v>
      </c>
      <c r="H3771" t="s">
        <v>41</v>
      </c>
      <c r="I3771" t="s">
        <v>2189</v>
      </c>
      <c r="J3771" s="10">
        <v>3</v>
      </c>
      <c r="K3771" t="b">
        <v>1</v>
      </c>
    </row>
    <row r="3772" spans="1:11">
      <c r="A3772" s="12">
        <v>42112</v>
      </c>
      <c r="B3772">
        <v>2015</v>
      </c>
      <c r="C3772">
        <v>4</v>
      </c>
      <c r="D3772" s="11">
        <v>42095</v>
      </c>
      <c r="E3772" t="s">
        <v>2176</v>
      </c>
      <c r="F3772">
        <v>6</v>
      </c>
      <c r="G3772" t="s">
        <v>57</v>
      </c>
      <c r="H3772" t="s">
        <v>42</v>
      </c>
      <c r="I3772" t="s">
        <v>2190</v>
      </c>
      <c r="J3772" s="10">
        <v>1</v>
      </c>
      <c r="K3772" t="b">
        <v>1</v>
      </c>
    </row>
    <row r="3773" spans="1:11">
      <c r="A3773" s="12">
        <v>42112</v>
      </c>
      <c r="B3773">
        <v>2015</v>
      </c>
      <c r="C3773">
        <v>4</v>
      </c>
      <c r="D3773" s="11">
        <v>42095</v>
      </c>
      <c r="E3773" t="s">
        <v>2176</v>
      </c>
      <c r="F3773">
        <v>6</v>
      </c>
      <c r="G3773" t="s">
        <v>57</v>
      </c>
      <c r="H3773" t="s">
        <v>43</v>
      </c>
      <c r="I3773" t="s">
        <v>2191</v>
      </c>
      <c r="J3773" s="10">
        <v>31.3</v>
      </c>
      <c r="K3773" t="b">
        <v>1</v>
      </c>
    </row>
    <row r="3774" spans="1:11">
      <c r="A3774" s="12">
        <v>42112</v>
      </c>
      <c r="B3774">
        <v>2015</v>
      </c>
      <c r="C3774">
        <v>4</v>
      </c>
      <c r="D3774" s="11">
        <v>42095</v>
      </c>
      <c r="E3774" t="s">
        <v>2176</v>
      </c>
      <c r="F3774">
        <v>6</v>
      </c>
      <c r="G3774" t="s">
        <v>57</v>
      </c>
      <c r="H3774" t="s">
        <v>44</v>
      </c>
      <c r="I3774" t="s">
        <v>2192</v>
      </c>
      <c r="J3774" s="10">
        <v>1</v>
      </c>
      <c r="K3774" t="b">
        <v>1</v>
      </c>
    </row>
    <row r="3775" spans="1:11">
      <c r="A3775" s="12">
        <v>42112</v>
      </c>
      <c r="B3775">
        <v>2015</v>
      </c>
      <c r="C3775">
        <v>4</v>
      </c>
      <c r="D3775" s="11">
        <v>42095</v>
      </c>
      <c r="E3775" t="s">
        <v>2176</v>
      </c>
      <c r="F3775">
        <v>6</v>
      </c>
      <c r="G3775" t="s">
        <v>57</v>
      </c>
      <c r="H3775" t="s">
        <v>45</v>
      </c>
      <c r="I3775" t="s">
        <v>2193</v>
      </c>
      <c r="J3775" s="10">
        <v>0</v>
      </c>
      <c r="K3775" t="b">
        <v>1</v>
      </c>
    </row>
    <row r="3776" spans="1:11">
      <c r="A3776" s="12">
        <v>42112</v>
      </c>
      <c r="B3776">
        <v>2015</v>
      </c>
      <c r="C3776">
        <v>4</v>
      </c>
      <c r="D3776" s="11">
        <v>42095</v>
      </c>
      <c r="E3776" t="s">
        <v>2176</v>
      </c>
      <c r="F3776">
        <v>6</v>
      </c>
      <c r="G3776" t="s">
        <v>57</v>
      </c>
      <c r="H3776" t="s">
        <v>46</v>
      </c>
      <c r="I3776" t="s">
        <v>2194</v>
      </c>
      <c r="J3776" s="10">
        <v>1</v>
      </c>
      <c r="K3776" t="b">
        <v>1</v>
      </c>
    </row>
    <row r="3777" spans="1:11">
      <c r="A3777" s="12">
        <v>42112</v>
      </c>
      <c r="B3777">
        <v>2015</v>
      </c>
      <c r="C3777">
        <v>4</v>
      </c>
      <c r="D3777" s="11">
        <v>42095</v>
      </c>
      <c r="E3777" t="s">
        <v>2176</v>
      </c>
      <c r="F3777">
        <v>6</v>
      </c>
      <c r="G3777" t="s">
        <v>57</v>
      </c>
      <c r="H3777" t="s">
        <v>47</v>
      </c>
      <c r="I3777" t="s">
        <v>2195</v>
      </c>
      <c r="J3777" s="10">
        <v>4</v>
      </c>
      <c r="K3777" t="b">
        <v>1</v>
      </c>
    </row>
    <row r="3778" spans="1:11">
      <c r="A3778" s="12">
        <v>42113</v>
      </c>
      <c r="B3778">
        <v>2015</v>
      </c>
      <c r="C3778">
        <v>4</v>
      </c>
      <c r="D3778" s="11">
        <v>42095</v>
      </c>
      <c r="E3778" t="s">
        <v>2176</v>
      </c>
      <c r="F3778">
        <v>7</v>
      </c>
      <c r="G3778" t="s">
        <v>59</v>
      </c>
      <c r="H3778" t="s">
        <v>40</v>
      </c>
      <c r="I3778" t="s">
        <v>2188</v>
      </c>
      <c r="J3778" s="10">
        <v>9.32</v>
      </c>
      <c r="K3778" t="b">
        <v>1</v>
      </c>
    </row>
    <row r="3779" spans="1:11">
      <c r="A3779" s="12">
        <v>42113</v>
      </c>
      <c r="B3779">
        <v>2015</v>
      </c>
      <c r="C3779">
        <v>4</v>
      </c>
      <c r="D3779" s="11">
        <v>42095</v>
      </c>
      <c r="E3779" t="s">
        <v>2176</v>
      </c>
      <c r="F3779">
        <v>7</v>
      </c>
      <c r="G3779" t="s">
        <v>59</v>
      </c>
      <c r="H3779" t="s">
        <v>41</v>
      </c>
      <c r="I3779" t="s">
        <v>2189</v>
      </c>
      <c r="J3779" s="10">
        <v>5.528</v>
      </c>
      <c r="K3779" t="b">
        <v>1</v>
      </c>
    </row>
    <row r="3780" spans="1:11">
      <c r="A3780" s="12">
        <v>42113</v>
      </c>
      <c r="B3780">
        <v>2015</v>
      </c>
      <c r="C3780">
        <v>4</v>
      </c>
      <c r="D3780" s="11">
        <v>42095</v>
      </c>
      <c r="E3780" t="s">
        <v>2176</v>
      </c>
      <c r="F3780">
        <v>7</v>
      </c>
      <c r="G3780" t="s">
        <v>59</v>
      </c>
      <c r="H3780" t="s">
        <v>42</v>
      </c>
      <c r="I3780" t="s">
        <v>2190</v>
      </c>
      <c r="J3780" s="10">
        <v>3.8</v>
      </c>
      <c r="K3780" t="b">
        <v>1</v>
      </c>
    </row>
    <row r="3781" spans="1:11">
      <c r="A3781" s="12">
        <v>42113</v>
      </c>
      <c r="B3781">
        <v>2015</v>
      </c>
      <c r="C3781">
        <v>4</v>
      </c>
      <c r="D3781" s="11">
        <v>42095</v>
      </c>
      <c r="E3781" t="s">
        <v>2176</v>
      </c>
      <c r="F3781">
        <v>7</v>
      </c>
      <c r="G3781" t="s">
        <v>59</v>
      </c>
      <c r="H3781" t="s">
        <v>43</v>
      </c>
      <c r="I3781" t="s">
        <v>2191</v>
      </c>
      <c r="J3781" s="10">
        <v>36.5</v>
      </c>
      <c r="K3781" t="b">
        <v>1</v>
      </c>
    </row>
    <row r="3782" spans="1:11">
      <c r="A3782" s="12">
        <v>42113</v>
      </c>
      <c r="B3782">
        <v>2015</v>
      </c>
      <c r="C3782">
        <v>4</v>
      </c>
      <c r="D3782" s="11">
        <v>42095</v>
      </c>
      <c r="E3782" t="s">
        <v>2176</v>
      </c>
      <c r="F3782">
        <v>7</v>
      </c>
      <c r="G3782" t="s">
        <v>59</v>
      </c>
      <c r="H3782" t="s">
        <v>44</v>
      </c>
      <c r="I3782" t="s">
        <v>2192</v>
      </c>
      <c r="J3782" s="10">
        <v>3</v>
      </c>
      <c r="K3782" t="b">
        <v>1</v>
      </c>
    </row>
    <row r="3783" spans="1:11">
      <c r="A3783" s="12">
        <v>42113</v>
      </c>
      <c r="B3783">
        <v>2015</v>
      </c>
      <c r="C3783">
        <v>4</v>
      </c>
      <c r="D3783" s="11">
        <v>42095</v>
      </c>
      <c r="E3783" t="s">
        <v>2176</v>
      </c>
      <c r="F3783">
        <v>7</v>
      </c>
      <c r="G3783" t="s">
        <v>59</v>
      </c>
      <c r="H3783" t="s">
        <v>45</v>
      </c>
      <c r="I3783" t="s">
        <v>2193</v>
      </c>
      <c r="J3783" s="10">
        <v>0</v>
      </c>
      <c r="K3783" t="b">
        <v>1</v>
      </c>
    </row>
    <row r="3784" spans="1:11">
      <c r="A3784" s="12">
        <v>42113</v>
      </c>
      <c r="B3784">
        <v>2015</v>
      </c>
      <c r="C3784">
        <v>4</v>
      </c>
      <c r="D3784" s="11">
        <v>42095</v>
      </c>
      <c r="E3784" t="s">
        <v>2176</v>
      </c>
      <c r="F3784">
        <v>7</v>
      </c>
      <c r="G3784" t="s">
        <v>59</v>
      </c>
      <c r="H3784" t="s">
        <v>46</v>
      </c>
      <c r="I3784" t="s">
        <v>2194</v>
      </c>
      <c r="J3784" s="10">
        <v>0</v>
      </c>
      <c r="K3784" t="b">
        <v>1</v>
      </c>
    </row>
    <row r="3785" spans="1:11">
      <c r="A3785" s="12">
        <v>42113</v>
      </c>
      <c r="B3785">
        <v>2015</v>
      </c>
      <c r="C3785">
        <v>4</v>
      </c>
      <c r="D3785" s="11">
        <v>42095</v>
      </c>
      <c r="E3785" t="s">
        <v>2176</v>
      </c>
      <c r="F3785">
        <v>7</v>
      </c>
      <c r="G3785" t="s">
        <v>59</v>
      </c>
      <c r="H3785" t="s">
        <v>47</v>
      </c>
      <c r="I3785" t="s">
        <v>2195</v>
      </c>
      <c r="J3785" s="10">
        <v>2</v>
      </c>
      <c r="K3785" t="b">
        <v>1</v>
      </c>
    </row>
    <row r="3786" spans="1:11">
      <c r="A3786" s="12">
        <v>42114</v>
      </c>
      <c r="B3786">
        <v>2015</v>
      </c>
      <c r="C3786">
        <v>4</v>
      </c>
      <c r="D3786" s="11">
        <v>42095</v>
      </c>
      <c r="E3786" t="s">
        <v>2176</v>
      </c>
      <c r="F3786">
        <v>1</v>
      </c>
      <c r="G3786" t="s">
        <v>61</v>
      </c>
      <c r="H3786" t="s">
        <v>40</v>
      </c>
      <c r="I3786" t="s">
        <v>2188</v>
      </c>
      <c r="J3786" s="10">
        <v>3</v>
      </c>
      <c r="K3786" t="b">
        <v>1</v>
      </c>
    </row>
    <row r="3787" spans="1:11">
      <c r="A3787" s="12">
        <v>42114</v>
      </c>
      <c r="B3787">
        <v>2015</v>
      </c>
      <c r="C3787">
        <v>4</v>
      </c>
      <c r="D3787" s="11">
        <v>42095</v>
      </c>
      <c r="E3787" t="s">
        <v>2176</v>
      </c>
      <c r="F3787">
        <v>1</v>
      </c>
      <c r="G3787" t="s">
        <v>61</v>
      </c>
      <c r="H3787" t="s">
        <v>41</v>
      </c>
      <c r="I3787" t="s">
        <v>2189</v>
      </c>
      <c r="J3787" s="10">
        <v>5.043</v>
      </c>
      <c r="K3787" t="b">
        <v>1</v>
      </c>
    </row>
    <row r="3788" spans="1:11">
      <c r="A3788" s="12">
        <v>42114</v>
      </c>
      <c r="B3788">
        <v>2015</v>
      </c>
      <c r="C3788">
        <v>4</v>
      </c>
      <c r="D3788" s="11">
        <v>42095</v>
      </c>
      <c r="E3788" t="s">
        <v>2176</v>
      </c>
      <c r="F3788">
        <v>1</v>
      </c>
      <c r="G3788" t="s">
        <v>61</v>
      </c>
      <c r="H3788" t="s">
        <v>42</v>
      </c>
      <c r="I3788" t="s">
        <v>2190</v>
      </c>
      <c r="J3788" s="10">
        <v>3.7</v>
      </c>
      <c r="K3788" t="b">
        <v>1</v>
      </c>
    </row>
    <row r="3789" spans="1:11">
      <c r="A3789" s="12">
        <v>42114</v>
      </c>
      <c r="B3789">
        <v>2015</v>
      </c>
      <c r="C3789">
        <v>4</v>
      </c>
      <c r="D3789" s="11">
        <v>42095</v>
      </c>
      <c r="E3789" t="s">
        <v>2176</v>
      </c>
      <c r="F3789">
        <v>1</v>
      </c>
      <c r="G3789" t="s">
        <v>61</v>
      </c>
      <c r="H3789" t="s">
        <v>43</v>
      </c>
      <c r="I3789" t="s">
        <v>2191</v>
      </c>
      <c r="J3789" s="10">
        <v>38</v>
      </c>
      <c r="K3789" t="b">
        <v>1</v>
      </c>
    </row>
    <row r="3790" spans="1:11">
      <c r="A3790" s="12">
        <v>42114</v>
      </c>
      <c r="B3790">
        <v>2015</v>
      </c>
      <c r="C3790">
        <v>4</v>
      </c>
      <c r="D3790" s="11">
        <v>42095</v>
      </c>
      <c r="E3790" t="s">
        <v>2176</v>
      </c>
      <c r="F3790">
        <v>1</v>
      </c>
      <c r="G3790" t="s">
        <v>61</v>
      </c>
      <c r="H3790" t="s">
        <v>44</v>
      </c>
      <c r="I3790" t="s">
        <v>2192</v>
      </c>
      <c r="J3790" s="10">
        <v>13</v>
      </c>
      <c r="K3790" t="b">
        <v>1</v>
      </c>
    </row>
    <row r="3791" spans="1:11">
      <c r="A3791" s="12">
        <v>42114</v>
      </c>
      <c r="B3791">
        <v>2015</v>
      </c>
      <c r="C3791">
        <v>4</v>
      </c>
      <c r="D3791" s="11">
        <v>42095</v>
      </c>
      <c r="E3791" t="s">
        <v>2176</v>
      </c>
      <c r="F3791">
        <v>1</v>
      </c>
      <c r="G3791" t="s">
        <v>61</v>
      </c>
      <c r="H3791" t="s">
        <v>45</v>
      </c>
      <c r="I3791" t="s">
        <v>2193</v>
      </c>
      <c r="J3791" s="10">
        <v>0</v>
      </c>
      <c r="K3791" t="b">
        <v>1</v>
      </c>
    </row>
    <row r="3792" spans="1:11">
      <c r="A3792" s="12">
        <v>42114</v>
      </c>
      <c r="B3792">
        <v>2015</v>
      </c>
      <c r="C3792">
        <v>4</v>
      </c>
      <c r="D3792" s="11">
        <v>42095</v>
      </c>
      <c r="E3792" t="s">
        <v>2176</v>
      </c>
      <c r="F3792">
        <v>1</v>
      </c>
      <c r="G3792" t="s">
        <v>61</v>
      </c>
      <c r="H3792" t="s">
        <v>46</v>
      </c>
      <c r="I3792" t="s">
        <v>2194</v>
      </c>
      <c r="J3792" s="10">
        <v>1</v>
      </c>
      <c r="K3792" t="b">
        <v>1</v>
      </c>
    </row>
    <row r="3793" spans="1:11">
      <c r="A3793" s="12">
        <v>42114</v>
      </c>
      <c r="B3793">
        <v>2015</v>
      </c>
      <c r="C3793">
        <v>4</v>
      </c>
      <c r="D3793" s="11">
        <v>42095</v>
      </c>
      <c r="E3793" t="s">
        <v>2176</v>
      </c>
      <c r="F3793">
        <v>1</v>
      </c>
      <c r="G3793" t="s">
        <v>61</v>
      </c>
      <c r="H3793" t="s">
        <v>47</v>
      </c>
      <c r="I3793" t="s">
        <v>2195</v>
      </c>
      <c r="J3793" s="10">
        <v>3</v>
      </c>
      <c r="K3793" t="b">
        <v>1</v>
      </c>
    </row>
    <row r="3794" spans="1:11">
      <c r="A3794" s="12">
        <v>42115</v>
      </c>
      <c r="B3794">
        <v>2015</v>
      </c>
      <c r="C3794">
        <v>4</v>
      </c>
      <c r="D3794" s="11">
        <v>42095</v>
      </c>
      <c r="E3794" t="s">
        <v>2176</v>
      </c>
      <c r="F3794">
        <v>2</v>
      </c>
      <c r="G3794" t="s">
        <v>63</v>
      </c>
      <c r="H3794" t="s">
        <v>40</v>
      </c>
      <c r="I3794" t="s">
        <v>2188</v>
      </c>
      <c r="J3794" s="10">
        <v>6.33</v>
      </c>
      <c r="K3794" t="b">
        <v>1</v>
      </c>
    </row>
    <row r="3795" spans="1:11">
      <c r="A3795" s="12">
        <v>42115</v>
      </c>
      <c r="B3795">
        <v>2015</v>
      </c>
      <c r="C3795">
        <v>4</v>
      </c>
      <c r="D3795" s="11">
        <v>42095</v>
      </c>
      <c r="E3795" t="s">
        <v>2176</v>
      </c>
      <c r="F3795">
        <v>2</v>
      </c>
      <c r="G3795" t="s">
        <v>63</v>
      </c>
      <c r="H3795" t="s">
        <v>41</v>
      </c>
      <c r="I3795" t="s">
        <v>2189</v>
      </c>
      <c r="J3795" s="10">
        <v>1</v>
      </c>
      <c r="K3795" t="b">
        <v>1</v>
      </c>
    </row>
    <row r="3796" spans="1:11">
      <c r="A3796" s="12">
        <v>42115</v>
      </c>
      <c r="B3796">
        <v>2015</v>
      </c>
      <c r="C3796">
        <v>4</v>
      </c>
      <c r="D3796" s="11">
        <v>42095</v>
      </c>
      <c r="E3796" t="s">
        <v>2176</v>
      </c>
      <c r="F3796">
        <v>2</v>
      </c>
      <c r="G3796" t="s">
        <v>63</v>
      </c>
      <c r="H3796" t="s">
        <v>42</v>
      </c>
      <c r="I3796" t="s">
        <v>2190</v>
      </c>
      <c r="J3796" s="10">
        <v>2</v>
      </c>
      <c r="K3796" t="b">
        <v>1</v>
      </c>
    </row>
    <row r="3797" spans="1:11">
      <c r="A3797" s="12">
        <v>42115</v>
      </c>
      <c r="B3797">
        <v>2015</v>
      </c>
      <c r="C3797">
        <v>4</v>
      </c>
      <c r="D3797" s="11">
        <v>42095</v>
      </c>
      <c r="E3797" t="s">
        <v>2176</v>
      </c>
      <c r="F3797">
        <v>2</v>
      </c>
      <c r="G3797" t="s">
        <v>63</v>
      </c>
      <c r="H3797" t="s">
        <v>43</v>
      </c>
      <c r="I3797" t="s">
        <v>2191</v>
      </c>
      <c r="J3797" s="10">
        <v>35.2</v>
      </c>
      <c r="K3797" t="b">
        <v>1</v>
      </c>
    </row>
    <row r="3798" spans="1:11">
      <c r="A3798" s="12">
        <v>42115</v>
      </c>
      <c r="B3798">
        <v>2015</v>
      </c>
      <c r="C3798">
        <v>4</v>
      </c>
      <c r="D3798" s="11">
        <v>42095</v>
      </c>
      <c r="E3798" t="s">
        <v>2176</v>
      </c>
      <c r="F3798">
        <v>2</v>
      </c>
      <c r="G3798" t="s">
        <v>63</v>
      </c>
      <c r="H3798" t="s">
        <v>44</v>
      </c>
      <c r="I3798" t="s">
        <v>2192</v>
      </c>
      <c r="J3798" s="10">
        <v>9</v>
      </c>
      <c r="K3798" t="b">
        <v>1</v>
      </c>
    </row>
    <row r="3799" spans="1:11">
      <c r="A3799" s="12">
        <v>42115</v>
      </c>
      <c r="B3799">
        <v>2015</v>
      </c>
      <c r="C3799">
        <v>4</v>
      </c>
      <c r="D3799" s="11">
        <v>42095</v>
      </c>
      <c r="E3799" t="s">
        <v>2176</v>
      </c>
      <c r="F3799">
        <v>2</v>
      </c>
      <c r="G3799" t="s">
        <v>63</v>
      </c>
      <c r="H3799" t="s">
        <v>45</v>
      </c>
      <c r="I3799" t="s">
        <v>2193</v>
      </c>
      <c r="J3799" s="10">
        <v>0</v>
      </c>
      <c r="K3799" t="b">
        <v>1</v>
      </c>
    </row>
    <row r="3800" spans="1:11">
      <c r="A3800" s="12">
        <v>42115</v>
      </c>
      <c r="B3800">
        <v>2015</v>
      </c>
      <c r="C3800">
        <v>4</v>
      </c>
      <c r="D3800" s="11">
        <v>42095</v>
      </c>
      <c r="E3800" t="s">
        <v>2176</v>
      </c>
      <c r="F3800">
        <v>2</v>
      </c>
      <c r="G3800" t="s">
        <v>63</v>
      </c>
      <c r="H3800" t="s">
        <v>46</v>
      </c>
      <c r="I3800" t="s">
        <v>2194</v>
      </c>
      <c r="J3800" s="10">
        <v>0</v>
      </c>
      <c r="K3800" t="b">
        <v>1</v>
      </c>
    </row>
    <row r="3801" spans="1:11">
      <c r="A3801" s="12">
        <v>42115</v>
      </c>
      <c r="B3801">
        <v>2015</v>
      </c>
      <c r="C3801">
        <v>4</v>
      </c>
      <c r="D3801" s="11">
        <v>42095</v>
      </c>
      <c r="E3801" t="s">
        <v>2176</v>
      </c>
      <c r="F3801">
        <v>2</v>
      </c>
      <c r="G3801" t="s">
        <v>63</v>
      </c>
      <c r="H3801" t="s">
        <v>47</v>
      </c>
      <c r="I3801" t="s">
        <v>2195</v>
      </c>
      <c r="J3801" s="10">
        <v>6</v>
      </c>
      <c r="K3801" t="b">
        <v>1</v>
      </c>
    </row>
    <row r="3802" spans="1:11">
      <c r="A3802" s="12">
        <v>42116</v>
      </c>
      <c r="B3802">
        <v>2015</v>
      </c>
      <c r="C3802">
        <v>4</v>
      </c>
      <c r="D3802" s="11">
        <v>42095</v>
      </c>
      <c r="E3802" t="s">
        <v>2176</v>
      </c>
      <c r="F3802">
        <v>3</v>
      </c>
      <c r="G3802" t="s">
        <v>65</v>
      </c>
      <c r="H3802" t="s">
        <v>40</v>
      </c>
      <c r="I3802" t="s">
        <v>2188</v>
      </c>
      <c r="J3802" s="10">
        <v>1.33</v>
      </c>
      <c r="K3802" t="b">
        <v>1</v>
      </c>
    </row>
    <row r="3803" spans="1:11">
      <c r="A3803" s="12">
        <v>42116</v>
      </c>
      <c r="B3803">
        <v>2015</v>
      </c>
      <c r="C3803">
        <v>4</v>
      </c>
      <c r="D3803" s="11">
        <v>42095</v>
      </c>
      <c r="E3803" t="s">
        <v>2176</v>
      </c>
      <c r="F3803">
        <v>3</v>
      </c>
      <c r="G3803" t="s">
        <v>65</v>
      </c>
      <c r="H3803" t="s">
        <v>41</v>
      </c>
      <c r="I3803" t="s">
        <v>2189</v>
      </c>
      <c r="J3803" s="10">
        <v>4.627</v>
      </c>
      <c r="K3803" t="b">
        <v>1</v>
      </c>
    </row>
    <row r="3804" spans="1:11">
      <c r="A3804" s="12">
        <v>42116</v>
      </c>
      <c r="B3804">
        <v>2015</v>
      </c>
      <c r="C3804">
        <v>4</v>
      </c>
      <c r="D3804" s="11">
        <v>42095</v>
      </c>
      <c r="E3804" t="s">
        <v>2176</v>
      </c>
      <c r="F3804">
        <v>3</v>
      </c>
      <c r="G3804" t="s">
        <v>65</v>
      </c>
      <c r="H3804" t="s">
        <v>42</v>
      </c>
      <c r="I3804" t="s">
        <v>2190</v>
      </c>
      <c r="J3804" s="10">
        <v>3.2</v>
      </c>
      <c r="K3804" t="b">
        <v>1</v>
      </c>
    </row>
    <row r="3805" spans="1:11">
      <c r="A3805" s="12">
        <v>42116</v>
      </c>
      <c r="B3805">
        <v>2015</v>
      </c>
      <c r="C3805">
        <v>4</v>
      </c>
      <c r="D3805" s="11">
        <v>42095</v>
      </c>
      <c r="E3805" t="s">
        <v>2176</v>
      </c>
      <c r="F3805">
        <v>3</v>
      </c>
      <c r="G3805" t="s">
        <v>65</v>
      </c>
      <c r="H3805" t="s">
        <v>43</v>
      </c>
      <c r="I3805" t="s">
        <v>2191</v>
      </c>
      <c r="J3805" s="10">
        <v>32</v>
      </c>
      <c r="K3805" t="b">
        <v>1</v>
      </c>
    </row>
    <row r="3806" spans="1:11">
      <c r="A3806" s="12">
        <v>42116</v>
      </c>
      <c r="B3806">
        <v>2015</v>
      </c>
      <c r="C3806">
        <v>4</v>
      </c>
      <c r="D3806" s="11">
        <v>42095</v>
      </c>
      <c r="E3806" t="s">
        <v>2176</v>
      </c>
      <c r="F3806">
        <v>3</v>
      </c>
      <c r="G3806" t="s">
        <v>65</v>
      </c>
      <c r="H3806" t="s">
        <v>44</v>
      </c>
      <c r="I3806" t="s">
        <v>2192</v>
      </c>
      <c r="J3806" s="10">
        <v>3</v>
      </c>
      <c r="K3806" t="b">
        <v>1</v>
      </c>
    </row>
    <row r="3807" spans="1:11">
      <c r="A3807" s="12">
        <v>42116</v>
      </c>
      <c r="B3807">
        <v>2015</v>
      </c>
      <c r="C3807">
        <v>4</v>
      </c>
      <c r="D3807" s="11">
        <v>42095</v>
      </c>
      <c r="E3807" t="s">
        <v>2176</v>
      </c>
      <c r="F3807">
        <v>3</v>
      </c>
      <c r="G3807" t="s">
        <v>65</v>
      </c>
      <c r="H3807" t="s">
        <v>45</v>
      </c>
      <c r="I3807" t="s">
        <v>2193</v>
      </c>
      <c r="J3807" s="10">
        <v>0</v>
      </c>
      <c r="K3807" t="b">
        <v>1</v>
      </c>
    </row>
    <row r="3808" spans="1:11">
      <c r="A3808" s="12">
        <v>42116</v>
      </c>
      <c r="B3808">
        <v>2015</v>
      </c>
      <c r="C3808">
        <v>4</v>
      </c>
      <c r="D3808" s="11">
        <v>42095</v>
      </c>
      <c r="E3808" t="s">
        <v>2176</v>
      </c>
      <c r="F3808">
        <v>3</v>
      </c>
      <c r="G3808" t="s">
        <v>65</v>
      </c>
      <c r="H3808" t="s">
        <v>46</v>
      </c>
      <c r="I3808" t="s">
        <v>2194</v>
      </c>
      <c r="J3808" s="10">
        <v>1</v>
      </c>
      <c r="K3808" t="b">
        <v>1</v>
      </c>
    </row>
    <row r="3809" spans="1:11">
      <c r="A3809" s="12">
        <v>42116</v>
      </c>
      <c r="B3809">
        <v>2015</v>
      </c>
      <c r="C3809">
        <v>4</v>
      </c>
      <c r="D3809" s="11">
        <v>42095</v>
      </c>
      <c r="E3809" t="s">
        <v>2176</v>
      </c>
      <c r="F3809">
        <v>3</v>
      </c>
      <c r="G3809" t="s">
        <v>65</v>
      </c>
      <c r="H3809" t="s">
        <v>47</v>
      </c>
      <c r="I3809" t="s">
        <v>2195</v>
      </c>
      <c r="J3809" s="10">
        <v>2</v>
      </c>
      <c r="K3809" t="b">
        <v>1</v>
      </c>
    </row>
    <row r="3810" spans="1:11">
      <c r="A3810" s="12">
        <v>42117</v>
      </c>
      <c r="B3810">
        <v>2015</v>
      </c>
      <c r="C3810">
        <v>4</v>
      </c>
      <c r="D3810" s="11">
        <v>42095</v>
      </c>
      <c r="E3810" t="s">
        <v>2176</v>
      </c>
      <c r="F3810">
        <v>4</v>
      </c>
      <c r="G3810" t="s">
        <v>53</v>
      </c>
      <c r="H3810" t="s">
        <v>40</v>
      </c>
      <c r="I3810" t="s">
        <v>2188</v>
      </c>
      <c r="J3810" s="10">
        <v>4</v>
      </c>
      <c r="K3810" t="b">
        <v>1</v>
      </c>
    </row>
    <row r="3811" spans="1:11">
      <c r="A3811" s="12">
        <v>42117</v>
      </c>
      <c r="B3811">
        <v>2015</v>
      </c>
      <c r="C3811">
        <v>4</v>
      </c>
      <c r="D3811" s="11">
        <v>42095</v>
      </c>
      <c r="E3811" t="s">
        <v>2176</v>
      </c>
      <c r="F3811">
        <v>4</v>
      </c>
      <c r="G3811" t="s">
        <v>53</v>
      </c>
      <c r="H3811" t="s">
        <v>41</v>
      </c>
      <c r="I3811" t="s">
        <v>2189</v>
      </c>
      <c r="J3811" s="10">
        <v>1</v>
      </c>
      <c r="K3811" t="b">
        <v>1</v>
      </c>
    </row>
    <row r="3812" spans="1:11">
      <c r="A3812" s="12">
        <v>42117</v>
      </c>
      <c r="B3812">
        <v>2015</v>
      </c>
      <c r="C3812">
        <v>4</v>
      </c>
      <c r="D3812" s="11">
        <v>42095</v>
      </c>
      <c r="E3812" t="s">
        <v>2176</v>
      </c>
      <c r="F3812">
        <v>4</v>
      </c>
      <c r="G3812" t="s">
        <v>53</v>
      </c>
      <c r="H3812" t="s">
        <v>42</v>
      </c>
      <c r="I3812" t="s">
        <v>2190</v>
      </c>
      <c r="J3812" s="10">
        <v>1</v>
      </c>
      <c r="K3812" t="b">
        <v>1</v>
      </c>
    </row>
    <row r="3813" spans="1:11">
      <c r="A3813" s="12">
        <v>42117</v>
      </c>
      <c r="B3813">
        <v>2015</v>
      </c>
      <c r="C3813">
        <v>4</v>
      </c>
      <c r="D3813" s="11">
        <v>42095</v>
      </c>
      <c r="E3813" t="s">
        <v>2176</v>
      </c>
      <c r="F3813">
        <v>4</v>
      </c>
      <c r="G3813" t="s">
        <v>53</v>
      </c>
      <c r="H3813" t="s">
        <v>43</v>
      </c>
      <c r="I3813" t="s">
        <v>2191</v>
      </c>
      <c r="J3813" s="10">
        <v>28.2</v>
      </c>
      <c r="K3813" t="b">
        <v>1</v>
      </c>
    </row>
    <row r="3814" spans="1:11">
      <c r="A3814" s="12">
        <v>42117</v>
      </c>
      <c r="B3814">
        <v>2015</v>
      </c>
      <c r="C3814">
        <v>4</v>
      </c>
      <c r="D3814" s="11">
        <v>42095</v>
      </c>
      <c r="E3814" t="s">
        <v>2176</v>
      </c>
      <c r="F3814">
        <v>4</v>
      </c>
      <c r="G3814" t="s">
        <v>53</v>
      </c>
      <c r="H3814" t="s">
        <v>44</v>
      </c>
      <c r="I3814" t="s">
        <v>2192</v>
      </c>
      <c r="J3814" s="10">
        <v>8</v>
      </c>
      <c r="K3814" t="b">
        <v>1</v>
      </c>
    </row>
    <row r="3815" spans="1:11">
      <c r="A3815" s="12">
        <v>42117</v>
      </c>
      <c r="B3815">
        <v>2015</v>
      </c>
      <c r="C3815">
        <v>4</v>
      </c>
      <c r="D3815" s="11">
        <v>42095</v>
      </c>
      <c r="E3815" t="s">
        <v>2176</v>
      </c>
      <c r="F3815">
        <v>4</v>
      </c>
      <c r="G3815" t="s">
        <v>53</v>
      </c>
      <c r="H3815" t="s">
        <v>45</v>
      </c>
      <c r="I3815" t="s">
        <v>2193</v>
      </c>
      <c r="J3815" s="10">
        <v>0</v>
      </c>
      <c r="K3815" t="b">
        <v>1</v>
      </c>
    </row>
    <row r="3816" spans="1:11">
      <c r="A3816" s="12">
        <v>42117</v>
      </c>
      <c r="B3816">
        <v>2015</v>
      </c>
      <c r="C3816">
        <v>4</v>
      </c>
      <c r="D3816" s="11">
        <v>42095</v>
      </c>
      <c r="E3816" t="s">
        <v>2176</v>
      </c>
      <c r="F3816">
        <v>4</v>
      </c>
      <c r="G3816" t="s">
        <v>53</v>
      </c>
      <c r="H3816" t="s">
        <v>46</v>
      </c>
      <c r="I3816" t="s">
        <v>2194</v>
      </c>
      <c r="J3816" s="10">
        <v>1</v>
      </c>
      <c r="K3816" t="b">
        <v>1</v>
      </c>
    </row>
    <row r="3817" spans="1:11">
      <c r="A3817" s="12">
        <v>42117</v>
      </c>
      <c r="B3817">
        <v>2015</v>
      </c>
      <c r="C3817">
        <v>4</v>
      </c>
      <c r="D3817" s="11">
        <v>42095</v>
      </c>
      <c r="E3817" t="s">
        <v>2176</v>
      </c>
      <c r="F3817">
        <v>4</v>
      </c>
      <c r="G3817" t="s">
        <v>53</v>
      </c>
      <c r="H3817" t="s">
        <v>47</v>
      </c>
      <c r="I3817" t="s">
        <v>2195</v>
      </c>
      <c r="J3817" s="10">
        <v>4</v>
      </c>
      <c r="K3817" t="b">
        <v>1</v>
      </c>
    </row>
    <row r="3818" spans="1:11">
      <c r="A3818" s="12">
        <v>42118</v>
      </c>
      <c r="B3818">
        <v>2015</v>
      </c>
      <c r="C3818">
        <v>4</v>
      </c>
      <c r="D3818" s="11">
        <v>42095</v>
      </c>
      <c r="E3818" t="s">
        <v>2176</v>
      </c>
      <c r="F3818">
        <v>5</v>
      </c>
      <c r="G3818" t="s">
        <v>55</v>
      </c>
      <c r="H3818" t="s">
        <v>40</v>
      </c>
      <c r="I3818" t="s">
        <v>2188</v>
      </c>
      <c r="J3818" s="10">
        <v>10</v>
      </c>
      <c r="K3818" t="b">
        <v>1</v>
      </c>
    </row>
    <row r="3819" spans="1:11">
      <c r="A3819" s="12">
        <v>42118</v>
      </c>
      <c r="B3819">
        <v>2015</v>
      </c>
      <c r="C3819">
        <v>4</v>
      </c>
      <c r="D3819" s="11">
        <v>42095</v>
      </c>
      <c r="E3819" t="s">
        <v>2176</v>
      </c>
      <c r="F3819">
        <v>5</v>
      </c>
      <c r="G3819" t="s">
        <v>55</v>
      </c>
      <c r="H3819" t="s">
        <v>41</v>
      </c>
      <c r="I3819" t="s">
        <v>2189</v>
      </c>
      <c r="J3819" s="10">
        <v>1</v>
      </c>
      <c r="K3819" t="b">
        <v>1</v>
      </c>
    </row>
    <row r="3820" spans="1:11">
      <c r="A3820" s="12">
        <v>42118</v>
      </c>
      <c r="B3820">
        <v>2015</v>
      </c>
      <c r="C3820">
        <v>4</v>
      </c>
      <c r="D3820" s="11">
        <v>42095</v>
      </c>
      <c r="E3820" t="s">
        <v>2176</v>
      </c>
      <c r="F3820">
        <v>5</v>
      </c>
      <c r="G3820" t="s">
        <v>55</v>
      </c>
      <c r="H3820" t="s">
        <v>42</v>
      </c>
      <c r="I3820" t="s">
        <v>2190</v>
      </c>
      <c r="J3820" s="10">
        <v>4</v>
      </c>
      <c r="K3820" t="b">
        <v>1</v>
      </c>
    </row>
    <row r="3821" spans="1:11">
      <c r="A3821" s="12">
        <v>42118</v>
      </c>
      <c r="B3821">
        <v>2015</v>
      </c>
      <c r="C3821">
        <v>4</v>
      </c>
      <c r="D3821" s="11">
        <v>42095</v>
      </c>
      <c r="E3821" t="s">
        <v>2176</v>
      </c>
      <c r="F3821">
        <v>5</v>
      </c>
      <c r="G3821" t="s">
        <v>55</v>
      </c>
      <c r="H3821" t="s">
        <v>43</v>
      </c>
      <c r="I3821" t="s">
        <v>2191</v>
      </c>
      <c r="J3821" s="10">
        <v>30</v>
      </c>
      <c r="K3821" t="b">
        <v>1</v>
      </c>
    </row>
    <row r="3822" spans="1:11">
      <c r="A3822" s="12">
        <v>42118</v>
      </c>
      <c r="B3822">
        <v>2015</v>
      </c>
      <c r="C3822">
        <v>4</v>
      </c>
      <c r="D3822" s="11">
        <v>42095</v>
      </c>
      <c r="E3822" t="s">
        <v>2176</v>
      </c>
      <c r="F3822">
        <v>5</v>
      </c>
      <c r="G3822" t="s">
        <v>55</v>
      </c>
      <c r="H3822" t="s">
        <v>44</v>
      </c>
      <c r="I3822" t="s">
        <v>2192</v>
      </c>
      <c r="J3822" s="10">
        <v>5</v>
      </c>
      <c r="K3822" t="b">
        <v>1</v>
      </c>
    </row>
    <row r="3823" spans="1:11">
      <c r="A3823" s="12">
        <v>42118</v>
      </c>
      <c r="B3823">
        <v>2015</v>
      </c>
      <c r="C3823">
        <v>4</v>
      </c>
      <c r="D3823" s="11">
        <v>42095</v>
      </c>
      <c r="E3823" t="s">
        <v>2176</v>
      </c>
      <c r="F3823">
        <v>5</v>
      </c>
      <c r="G3823" t="s">
        <v>55</v>
      </c>
      <c r="H3823" t="s">
        <v>45</v>
      </c>
      <c r="I3823" t="s">
        <v>2193</v>
      </c>
      <c r="J3823" s="10">
        <v>0</v>
      </c>
      <c r="K3823" t="b">
        <v>1</v>
      </c>
    </row>
    <row r="3824" spans="1:11">
      <c r="A3824" s="12">
        <v>42118</v>
      </c>
      <c r="B3824">
        <v>2015</v>
      </c>
      <c r="C3824">
        <v>4</v>
      </c>
      <c r="D3824" s="11">
        <v>42095</v>
      </c>
      <c r="E3824" t="s">
        <v>2176</v>
      </c>
      <c r="F3824">
        <v>5</v>
      </c>
      <c r="G3824" t="s">
        <v>55</v>
      </c>
      <c r="H3824" t="s">
        <v>46</v>
      </c>
      <c r="I3824" t="s">
        <v>2194</v>
      </c>
      <c r="J3824" s="10">
        <v>1</v>
      </c>
      <c r="K3824" t="b">
        <v>1</v>
      </c>
    </row>
    <row r="3825" spans="1:11">
      <c r="A3825" s="12">
        <v>42118</v>
      </c>
      <c r="B3825">
        <v>2015</v>
      </c>
      <c r="C3825">
        <v>4</v>
      </c>
      <c r="D3825" s="11">
        <v>42095</v>
      </c>
      <c r="E3825" t="s">
        <v>2176</v>
      </c>
      <c r="F3825">
        <v>5</v>
      </c>
      <c r="G3825" t="s">
        <v>55</v>
      </c>
      <c r="H3825" t="s">
        <v>47</v>
      </c>
      <c r="I3825" t="s">
        <v>2195</v>
      </c>
      <c r="J3825" s="10">
        <v>5</v>
      </c>
      <c r="K3825" t="b">
        <v>1</v>
      </c>
    </row>
    <row r="3826" spans="1:11">
      <c r="A3826" s="12">
        <v>42119</v>
      </c>
      <c r="B3826">
        <v>2015</v>
      </c>
      <c r="C3826">
        <v>4</v>
      </c>
      <c r="D3826" s="11">
        <v>42095</v>
      </c>
      <c r="E3826" t="s">
        <v>2176</v>
      </c>
      <c r="F3826">
        <v>6</v>
      </c>
      <c r="G3826" t="s">
        <v>57</v>
      </c>
      <c r="H3826" t="s">
        <v>40</v>
      </c>
      <c r="I3826" t="s">
        <v>2188</v>
      </c>
      <c r="J3826" s="10">
        <v>5</v>
      </c>
      <c r="K3826" t="b">
        <v>1</v>
      </c>
    </row>
    <row r="3827" spans="1:11">
      <c r="A3827" s="12">
        <v>42119</v>
      </c>
      <c r="B3827">
        <v>2015</v>
      </c>
      <c r="C3827">
        <v>4</v>
      </c>
      <c r="D3827" s="11">
        <v>42095</v>
      </c>
      <c r="E3827" t="s">
        <v>2176</v>
      </c>
      <c r="F3827">
        <v>6</v>
      </c>
      <c r="G3827" t="s">
        <v>57</v>
      </c>
      <c r="H3827" t="s">
        <v>41</v>
      </c>
      <c r="I3827" t="s">
        <v>2189</v>
      </c>
      <c r="J3827" s="10">
        <v>3.165</v>
      </c>
      <c r="K3827" t="b">
        <v>1</v>
      </c>
    </row>
    <row r="3828" spans="1:11">
      <c r="A3828" s="12">
        <v>42119</v>
      </c>
      <c r="B3828">
        <v>2015</v>
      </c>
      <c r="C3828">
        <v>4</v>
      </c>
      <c r="D3828" s="11">
        <v>42095</v>
      </c>
      <c r="E3828" t="s">
        <v>2176</v>
      </c>
      <c r="F3828">
        <v>6</v>
      </c>
      <c r="G3828" t="s">
        <v>57</v>
      </c>
      <c r="H3828" t="s">
        <v>42</v>
      </c>
      <c r="I3828" t="s">
        <v>2190</v>
      </c>
      <c r="J3828" s="10">
        <v>8</v>
      </c>
      <c r="K3828" t="b">
        <v>1</v>
      </c>
    </row>
    <row r="3829" spans="1:11">
      <c r="A3829" s="12">
        <v>42119</v>
      </c>
      <c r="B3829">
        <v>2015</v>
      </c>
      <c r="C3829">
        <v>4</v>
      </c>
      <c r="D3829" s="11">
        <v>42095</v>
      </c>
      <c r="E3829" t="s">
        <v>2176</v>
      </c>
      <c r="F3829">
        <v>6</v>
      </c>
      <c r="G3829" t="s">
        <v>57</v>
      </c>
      <c r="H3829" t="s">
        <v>43</v>
      </c>
      <c r="I3829" t="s">
        <v>2191</v>
      </c>
      <c r="J3829" s="10">
        <v>38.1</v>
      </c>
      <c r="K3829" t="b">
        <v>1</v>
      </c>
    </row>
    <row r="3830" spans="1:11">
      <c r="A3830" s="12">
        <v>42119</v>
      </c>
      <c r="B3830">
        <v>2015</v>
      </c>
      <c r="C3830">
        <v>4</v>
      </c>
      <c r="D3830" s="11">
        <v>42095</v>
      </c>
      <c r="E3830" t="s">
        <v>2176</v>
      </c>
      <c r="F3830">
        <v>6</v>
      </c>
      <c r="G3830" t="s">
        <v>57</v>
      </c>
      <c r="H3830" t="s">
        <v>44</v>
      </c>
      <c r="I3830" t="s">
        <v>2192</v>
      </c>
      <c r="J3830" s="10">
        <v>3</v>
      </c>
      <c r="K3830" t="b">
        <v>1</v>
      </c>
    </row>
    <row r="3831" spans="1:11">
      <c r="A3831" s="12">
        <v>42119</v>
      </c>
      <c r="B3831">
        <v>2015</v>
      </c>
      <c r="C3831">
        <v>4</v>
      </c>
      <c r="D3831" s="11">
        <v>42095</v>
      </c>
      <c r="E3831" t="s">
        <v>2176</v>
      </c>
      <c r="F3831">
        <v>6</v>
      </c>
      <c r="G3831" t="s">
        <v>57</v>
      </c>
      <c r="H3831" t="s">
        <v>45</v>
      </c>
      <c r="I3831" t="s">
        <v>2193</v>
      </c>
      <c r="J3831" s="10">
        <v>0</v>
      </c>
      <c r="K3831" t="b">
        <v>1</v>
      </c>
    </row>
    <row r="3832" spans="1:11">
      <c r="A3832" s="12">
        <v>42119</v>
      </c>
      <c r="B3832">
        <v>2015</v>
      </c>
      <c r="C3832">
        <v>4</v>
      </c>
      <c r="D3832" s="11">
        <v>42095</v>
      </c>
      <c r="E3832" t="s">
        <v>2176</v>
      </c>
      <c r="F3832">
        <v>6</v>
      </c>
      <c r="G3832" t="s">
        <v>57</v>
      </c>
      <c r="H3832" t="s">
        <v>46</v>
      </c>
      <c r="I3832" t="s">
        <v>2194</v>
      </c>
      <c r="J3832" s="10">
        <v>1</v>
      </c>
      <c r="K3832" t="b">
        <v>1</v>
      </c>
    </row>
    <row r="3833" spans="1:11">
      <c r="A3833" s="12">
        <v>42119</v>
      </c>
      <c r="B3833">
        <v>2015</v>
      </c>
      <c r="C3833">
        <v>4</v>
      </c>
      <c r="D3833" s="11">
        <v>42095</v>
      </c>
      <c r="E3833" t="s">
        <v>2176</v>
      </c>
      <c r="F3833">
        <v>6</v>
      </c>
      <c r="G3833" t="s">
        <v>57</v>
      </c>
      <c r="H3833" t="s">
        <v>47</v>
      </c>
      <c r="I3833" t="s">
        <v>2195</v>
      </c>
      <c r="J3833" s="10">
        <v>3</v>
      </c>
      <c r="K3833" t="b">
        <v>1</v>
      </c>
    </row>
    <row r="3834" spans="1:11">
      <c r="A3834" s="12">
        <v>42120</v>
      </c>
      <c r="B3834">
        <v>2015</v>
      </c>
      <c r="C3834">
        <v>4</v>
      </c>
      <c r="D3834" s="11">
        <v>42095</v>
      </c>
      <c r="E3834" t="s">
        <v>2176</v>
      </c>
      <c r="F3834">
        <v>7</v>
      </c>
      <c r="G3834" t="s">
        <v>59</v>
      </c>
      <c r="H3834" t="s">
        <v>40</v>
      </c>
      <c r="I3834" t="s">
        <v>2188</v>
      </c>
      <c r="J3834" s="10">
        <v>7</v>
      </c>
      <c r="K3834" t="b">
        <v>1</v>
      </c>
    </row>
    <row r="3835" spans="1:11">
      <c r="A3835" s="12">
        <v>42120</v>
      </c>
      <c r="B3835">
        <v>2015</v>
      </c>
      <c r="C3835">
        <v>4</v>
      </c>
      <c r="D3835" s="11">
        <v>42095</v>
      </c>
      <c r="E3835" t="s">
        <v>2176</v>
      </c>
      <c r="F3835">
        <v>7</v>
      </c>
      <c r="G3835" t="s">
        <v>59</v>
      </c>
      <c r="H3835" t="s">
        <v>41</v>
      </c>
      <c r="I3835" t="s">
        <v>2189</v>
      </c>
      <c r="J3835" s="10">
        <v>6</v>
      </c>
      <c r="K3835" t="b">
        <v>1</v>
      </c>
    </row>
    <row r="3836" spans="1:11">
      <c r="A3836" s="12">
        <v>42120</v>
      </c>
      <c r="B3836">
        <v>2015</v>
      </c>
      <c r="C3836">
        <v>4</v>
      </c>
      <c r="D3836" s="11">
        <v>42095</v>
      </c>
      <c r="E3836" t="s">
        <v>2176</v>
      </c>
      <c r="F3836">
        <v>7</v>
      </c>
      <c r="G3836" t="s">
        <v>59</v>
      </c>
      <c r="H3836" t="s">
        <v>42</v>
      </c>
      <c r="I3836" t="s">
        <v>2190</v>
      </c>
      <c r="J3836" s="10">
        <v>3</v>
      </c>
      <c r="K3836" t="b">
        <v>1</v>
      </c>
    </row>
    <row r="3837" spans="1:11">
      <c r="A3837" s="12">
        <v>42120</v>
      </c>
      <c r="B3837">
        <v>2015</v>
      </c>
      <c r="C3837">
        <v>4</v>
      </c>
      <c r="D3837" s="11">
        <v>42095</v>
      </c>
      <c r="E3837" t="s">
        <v>2176</v>
      </c>
      <c r="F3837">
        <v>7</v>
      </c>
      <c r="G3837" t="s">
        <v>59</v>
      </c>
      <c r="H3837" t="s">
        <v>43</v>
      </c>
      <c r="I3837" t="s">
        <v>2191</v>
      </c>
      <c r="J3837" s="10">
        <v>37.6</v>
      </c>
      <c r="K3837" t="b">
        <v>1</v>
      </c>
    </row>
    <row r="3838" spans="1:11">
      <c r="A3838" s="12">
        <v>42120</v>
      </c>
      <c r="B3838">
        <v>2015</v>
      </c>
      <c r="C3838">
        <v>4</v>
      </c>
      <c r="D3838" s="11">
        <v>42095</v>
      </c>
      <c r="E3838" t="s">
        <v>2176</v>
      </c>
      <c r="F3838">
        <v>7</v>
      </c>
      <c r="G3838" t="s">
        <v>59</v>
      </c>
      <c r="H3838" t="s">
        <v>44</v>
      </c>
      <c r="I3838" t="s">
        <v>2192</v>
      </c>
      <c r="J3838" s="10">
        <v>5</v>
      </c>
      <c r="K3838" t="b">
        <v>1</v>
      </c>
    </row>
    <row r="3839" spans="1:11">
      <c r="A3839" s="12">
        <v>42120</v>
      </c>
      <c r="B3839">
        <v>2015</v>
      </c>
      <c r="C3839">
        <v>4</v>
      </c>
      <c r="D3839" s="11">
        <v>42095</v>
      </c>
      <c r="E3839" t="s">
        <v>2176</v>
      </c>
      <c r="F3839">
        <v>7</v>
      </c>
      <c r="G3839" t="s">
        <v>59</v>
      </c>
      <c r="H3839" t="s">
        <v>45</v>
      </c>
      <c r="I3839" t="s">
        <v>2193</v>
      </c>
      <c r="J3839" s="10">
        <v>0</v>
      </c>
      <c r="K3839" t="b">
        <v>1</v>
      </c>
    </row>
    <row r="3840" spans="1:11">
      <c r="A3840" s="12">
        <v>42120</v>
      </c>
      <c r="B3840">
        <v>2015</v>
      </c>
      <c r="C3840">
        <v>4</v>
      </c>
      <c r="D3840" s="11">
        <v>42095</v>
      </c>
      <c r="E3840" t="s">
        <v>2176</v>
      </c>
      <c r="F3840">
        <v>7</v>
      </c>
      <c r="G3840" t="s">
        <v>59</v>
      </c>
      <c r="H3840" t="s">
        <v>46</v>
      </c>
      <c r="I3840" t="s">
        <v>2194</v>
      </c>
      <c r="J3840" s="10">
        <v>1</v>
      </c>
      <c r="K3840" t="b">
        <v>1</v>
      </c>
    </row>
    <row r="3841" spans="1:11">
      <c r="A3841" s="12">
        <v>42120</v>
      </c>
      <c r="B3841">
        <v>2015</v>
      </c>
      <c r="C3841">
        <v>4</v>
      </c>
      <c r="D3841" s="11">
        <v>42095</v>
      </c>
      <c r="E3841" t="s">
        <v>2176</v>
      </c>
      <c r="F3841">
        <v>7</v>
      </c>
      <c r="G3841" t="s">
        <v>59</v>
      </c>
      <c r="H3841" t="s">
        <v>47</v>
      </c>
      <c r="I3841" t="s">
        <v>2195</v>
      </c>
      <c r="J3841" s="10">
        <v>1</v>
      </c>
      <c r="K3841" t="b">
        <v>1</v>
      </c>
    </row>
    <row r="3842" spans="1:11">
      <c r="A3842" s="12">
        <v>42121</v>
      </c>
      <c r="B3842">
        <v>2015</v>
      </c>
      <c r="C3842">
        <v>4</v>
      </c>
      <c r="D3842" s="11">
        <v>42095</v>
      </c>
      <c r="E3842" t="s">
        <v>2176</v>
      </c>
      <c r="F3842">
        <v>1</v>
      </c>
      <c r="G3842" t="s">
        <v>61</v>
      </c>
      <c r="H3842" t="s">
        <v>40</v>
      </c>
      <c r="I3842" t="s">
        <v>2188</v>
      </c>
      <c r="J3842" s="10">
        <v>3</v>
      </c>
      <c r="K3842" t="b">
        <v>1</v>
      </c>
    </row>
    <row r="3843" spans="1:11">
      <c r="A3843" s="12">
        <v>42121</v>
      </c>
      <c r="B3843">
        <v>2015</v>
      </c>
      <c r="C3843">
        <v>4</v>
      </c>
      <c r="D3843" s="11">
        <v>42095</v>
      </c>
      <c r="E3843" t="s">
        <v>2176</v>
      </c>
      <c r="F3843">
        <v>1</v>
      </c>
      <c r="G3843" t="s">
        <v>61</v>
      </c>
      <c r="H3843" t="s">
        <v>41</v>
      </c>
      <c r="I3843" t="s">
        <v>2189</v>
      </c>
      <c r="J3843" s="10">
        <v>0.78</v>
      </c>
      <c r="K3843" t="b">
        <v>1</v>
      </c>
    </row>
    <row r="3844" spans="1:11">
      <c r="A3844" s="12">
        <v>42121</v>
      </c>
      <c r="B3844">
        <v>2015</v>
      </c>
      <c r="C3844">
        <v>4</v>
      </c>
      <c r="D3844" s="11">
        <v>42095</v>
      </c>
      <c r="E3844" t="s">
        <v>2176</v>
      </c>
      <c r="F3844">
        <v>1</v>
      </c>
      <c r="G3844" t="s">
        <v>61</v>
      </c>
      <c r="H3844" t="s">
        <v>42</v>
      </c>
      <c r="I3844" t="s">
        <v>2190</v>
      </c>
      <c r="J3844" s="10">
        <v>4</v>
      </c>
      <c r="K3844" t="b">
        <v>1</v>
      </c>
    </row>
    <row r="3845" spans="1:11">
      <c r="A3845" s="12">
        <v>42121</v>
      </c>
      <c r="B3845">
        <v>2015</v>
      </c>
      <c r="C3845">
        <v>4</v>
      </c>
      <c r="D3845" s="11">
        <v>42095</v>
      </c>
      <c r="E3845" t="s">
        <v>2176</v>
      </c>
      <c r="F3845">
        <v>1</v>
      </c>
      <c r="G3845" t="s">
        <v>61</v>
      </c>
      <c r="H3845" t="s">
        <v>43</v>
      </c>
      <c r="I3845" t="s">
        <v>2191</v>
      </c>
      <c r="J3845" s="10">
        <v>43</v>
      </c>
      <c r="K3845" t="b">
        <v>1</v>
      </c>
    </row>
    <row r="3846" spans="1:11">
      <c r="A3846" s="12">
        <v>42121</v>
      </c>
      <c r="B3846">
        <v>2015</v>
      </c>
      <c r="C3846">
        <v>4</v>
      </c>
      <c r="D3846" s="11">
        <v>42095</v>
      </c>
      <c r="E3846" t="s">
        <v>2176</v>
      </c>
      <c r="F3846">
        <v>1</v>
      </c>
      <c r="G3846" t="s">
        <v>61</v>
      </c>
      <c r="H3846" t="s">
        <v>44</v>
      </c>
      <c r="I3846" t="s">
        <v>2192</v>
      </c>
      <c r="J3846" s="10">
        <v>10</v>
      </c>
      <c r="K3846" t="b">
        <v>1</v>
      </c>
    </row>
    <row r="3847" spans="1:11">
      <c r="A3847" s="12">
        <v>42121</v>
      </c>
      <c r="B3847">
        <v>2015</v>
      </c>
      <c r="C3847">
        <v>4</v>
      </c>
      <c r="D3847" s="11">
        <v>42095</v>
      </c>
      <c r="E3847" t="s">
        <v>2176</v>
      </c>
      <c r="F3847">
        <v>1</v>
      </c>
      <c r="G3847" t="s">
        <v>61</v>
      </c>
      <c r="H3847" t="s">
        <v>45</v>
      </c>
      <c r="I3847" t="s">
        <v>2193</v>
      </c>
      <c r="J3847" s="10">
        <v>0</v>
      </c>
      <c r="K3847" t="b">
        <v>1</v>
      </c>
    </row>
    <row r="3848" spans="1:11">
      <c r="A3848" s="12">
        <v>42121</v>
      </c>
      <c r="B3848">
        <v>2015</v>
      </c>
      <c r="C3848">
        <v>4</v>
      </c>
      <c r="D3848" s="11">
        <v>42095</v>
      </c>
      <c r="E3848" t="s">
        <v>2176</v>
      </c>
      <c r="F3848">
        <v>1</v>
      </c>
      <c r="G3848" t="s">
        <v>61</v>
      </c>
      <c r="H3848" t="s">
        <v>46</v>
      </c>
      <c r="I3848" t="s">
        <v>2194</v>
      </c>
      <c r="J3848" s="10">
        <v>0</v>
      </c>
      <c r="K3848" t="b">
        <v>1</v>
      </c>
    </row>
    <row r="3849" spans="1:11">
      <c r="A3849" s="12">
        <v>42121</v>
      </c>
      <c r="B3849">
        <v>2015</v>
      </c>
      <c r="C3849">
        <v>4</v>
      </c>
      <c r="D3849" s="11">
        <v>42095</v>
      </c>
      <c r="E3849" t="s">
        <v>2176</v>
      </c>
      <c r="F3849">
        <v>1</v>
      </c>
      <c r="G3849" t="s">
        <v>61</v>
      </c>
      <c r="H3849" t="s">
        <v>47</v>
      </c>
      <c r="I3849" t="s">
        <v>2195</v>
      </c>
      <c r="J3849" s="10">
        <v>10</v>
      </c>
      <c r="K3849" t="b">
        <v>1</v>
      </c>
    </row>
    <row r="3850" spans="1:11">
      <c r="A3850" s="12">
        <v>42122</v>
      </c>
      <c r="B3850">
        <v>2015</v>
      </c>
      <c r="C3850">
        <v>4</v>
      </c>
      <c r="D3850" s="11">
        <v>42095</v>
      </c>
      <c r="E3850" t="s">
        <v>2176</v>
      </c>
      <c r="F3850">
        <v>2</v>
      </c>
      <c r="G3850" t="s">
        <v>63</v>
      </c>
      <c r="H3850" t="s">
        <v>40</v>
      </c>
      <c r="I3850" t="s">
        <v>2188</v>
      </c>
      <c r="J3850" s="10">
        <v>4.33</v>
      </c>
      <c r="K3850" t="b">
        <v>1</v>
      </c>
    </row>
    <row r="3851" spans="1:11">
      <c r="A3851" s="12">
        <v>42122</v>
      </c>
      <c r="B3851">
        <v>2015</v>
      </c>
      <c r="C3851">
        <v>4</v>
      </c>
      <c r="D3851" s="11">
        <v>42095</v>
      </c>
      <c r="E3851" t="s">
        <v>2176</v>
      </c>
      <c r="F3851">
        <v>2</v>
      </c>
      <c r="G3851" t="s">
        <v>63</v>
      </c>
      <c r="H3851" t="s">
        <v>41</v>
      </c>
      <c r="I3851" t="s">
        <v>2189</v>
      </c>
      <c r="J3851" s="10">
        <v>4.67</v>
      </c>
      <c r="K3851" t="b">
        <v>1</v>
      </c>
    </row>
    <row r="3852" spans="1:11">
      <c r="A3852" s="12">
        <v>42122</v>
      </c>
      <c r="B3852">
        <v>2015</v>
      </c>
      <c r="C3852">
        <v>4</v>
      </c>
      <c r="D3852" s="11">
        <v>42095</v>
      </c>
      <c r="E3852" t="s">
        <v>2176</v>
      </c>
      <c r="F3852">
        <v>2</v>
      </c>
      <c r="G3852" t="s">
        <v>63</v>
      </c>
      <c r="H3852" t="s">
        <v>42</v>
      </c>
      <c r="I3852" t="s">
        <v>2190</v>
      </c>
      <c r="J3852" s="10">
        <v>3.1</v>
      </c>
      <c r="K3852" t="b">
        <v>1</v>
      </c>
    </row>
    <row r="3853" spans="1:11">
      <c r="A3853" s="12">
        <v>42122</v>
      </c>
      <c r="B3853">
        <v>2015</v>
      </c>
      <c r="C3853">
        <v>4</v>
      </c>
      <c r="D3853" s="11">
        <v>42095</v>
      </c>
      <c r="E3853" t="s">
        <v>2176</v>
      </c>
      <c r="F3853">
        <v>2</v>
      </c>
      <c r="G3853" t="s">
        <v>63</v>
      </c>
      <c r="H3853" t="s">
        <v>43</v>
      </c>
      <c r="I3853" t="s">
        <v>2191</v>
      </c>
      <c r="J3853" s="10">
        <v>15.2</v>
      </c>
      <c r="K3853" t="b">
        <v>1</v>
      </c>
    </row>
    <row r="3854" spans="1:11">
      <c r="A3854" s="12">
        <v>42122</v>
      </c>
      <c r="B3854">
        <v>2015</v>
      </c>
      <c r="C3854">
        <v>4</v>
      </c>
      <c r="D3854" s="11">
        <v>42095</v>
      </c>
      <c r="E3854" t="s">
        <v>2176</v>
      </c>
      <c r="F3854">
        <v>2</v>
      </c>
      <c r="G3854" t="s">
        <v>63</v>
      </c>
      <c r="H3854" t="s">
        <v>44</v>
      </c>
      <c r="I3854" t="s">
        <v>2192</v>
      </c>
      <c r="J3854" s="10">
        <v>7</v>
      </c>
      <c r="K3854" t="b">
        <v>1</v>
      </c>
    </row>
    <row r="3855" spans="1:11">
      <c r="A3855" s="12">
        <v>42122</v>
      </c>
      <c r="B3855">
        <v>2015</v>
      </c>
      <c r="C3855">
        <v>4</v>
      </c>
      <c r="D3855" s="11">
        <v>42095</v>
      </c>
      <c r="E3855" t="s">
        <v>2176</v>
      </c>
      <c r="F3855">
        <v>2</v>
      </c>
      <c r="G3855" t="s">
        <v>63</v>
      </c>
      <c r="H3855" t="s">
        <v>45</v>
      </c>
      <c r="I3855" t="s">
        <v>2193</v>
      </c>
      <c r="J3855" s="10">
        <v>0</v>
      </c>
      <c r="K3855" t="b">
        <v>1</v>
      </c>
    </row>
    <row r="3856" spans="1:11">
      <c r="A3856" s="12">
        <v>42122</v>
      </c>
      <c r="B3856">
        <v>2015</v>
      </c>
      <c r="C3856">
        <v>4</v>
      </c>
      <c r="D3856" s="11">
        <v>42095</v>
      </c>
      <c r="E3856" t="s">
        <v>2176</v>
      </c>
      <c r="F3856">
        <v>2</v>
      </c>
      <c r="G3856" t="s">
        <v>63</v>
      </c>
      <c r="H3856" t="s">
        <v>46</v>
      </c>
      <c r="I3856" t="s">
        <v>2194</v>
      </c>
      <c r="J3856" s="10">
        <v>5</v>
      </c>
      <c r="K3856" t="b">
        <v>1</v>
      </c>
    </row>
    <row r="3857" spans="1:11">
      <c r="A3857" s="12">
        <v>42122</v>
      </c>
      <c r="B3857">
        <v>2015</v>
      </c>
      <c r="C3857">
        <v>4</v>
      </c>
      <c r="D3857" s="11">
        <v>42095</v>
      </c>
      <c r="E3857" t="s">
        <v>2176</v>
      </c>
      <c r="F3857">
        <v>2</v>
      </c>
      <c r="G3857" t="s">
        <v>63</v>
      </c>
      <c r="H3857" t="s">
        <v>47</v>
      </c>
      <c r="I3857" t="s">
        <v>2195</v>
      </c>
      <c r="J3857" s="10">
        <v>6</v>
      </c>
      <c r="K3857" t="b">
        <v>1</v>
      </c>
    </row>
    <row r="3858" spans="1:11">
      <c r="A3858" s="12">
        <v>42123</v>
      </c>
      <c r="B3858">
        <v>2015</v>
      </c>
      <c r="C3858">
        <v>4</v>
      </c>
      <c r="D3858" s="11">
        <v>42095</v>
      </c>
      <c r="E3858" t="s">
        <v>2176</v>
      </c>
      <c r="F3858">
        <v>3</v>
      </c>
      <c r="G3858" t="s">
        <v>65</v>
      </c>
      <c r="H3858" t="s">
        <v>40</v>
      </c>
      <c r="I3858" t="s">
        <v>2188</v>
      </c>
      <c r="J3858" s="10">
        <v>2</v>
      </c>
      <c r="K3858" t="b">
        <v>1</v>
      </c>
    </row>
    <row r="3859" spans="1:11">
      <c r="A3859" s="12">
        <v>42123</v>
      </c>
      <c r="B3859">
        <v>2015</v>
      </c>
      <c r="C3859">
        <v>4</v>
      </c>
      <c r="D3859" s="11">
        <v>42095</v>
      </c>
      <c r="E3859" t="s">
        <v>2176</v>
      </c>
      <c r="F3859">
        <v>3</v>
      </c>
      <c r="G3859" t="s">
        <v>65</v>
      </c>
      <c r="H3859" t="s">
        <v>41</v>
      </c>
      <c r="I3859" t="s">
        <v>2189</v>
      </c>
      <c r="J3859" s="10">
        <v>0.43</v>
      </c>
      <c r="K3859" t="b">
        <v>1</v>
      </c>
    </row>
    <row r="3860" spans="1:11">
      <c r="A3860" s="12">
        <v>42123</v>
      </c>
      <c r="B3860">
        <v>2015</v>
      </c>
      <c r="C3860">
        <v>4</v>
      </c>
      <c r="D3860" s="11">
        <v>42095</v>
      </c>
      <c r="E3860" t="s">
        <v>2176</v>
      </c>
      <c r="F3860">
        <v>3</v>
      </c>
      <c r="G3860" t="s">
        <v>65</v>
      </c>
      <c r="H3860" t="s">
        <v>42</v>
      </c>
      <c r="I3860" t="s">
        <v>2190</v>
      </c>
      <c r="J3860" s="10">
        <v>4.2</v>
      </c>
      <c r="K3860" t="b">
        <v>1</v>
      </c>
    </row>
    <row r="3861" spans="1:11">
      <c r="A3861" s="12">
        <v>42123</v>
      </c>
      <c r="B3861">
        <v>2015</v>
      </c>
      <c r="C3861">
        <v>4</v>
      </c>
      <c r="D3861" s="11">
        <v>42095</v>
      </c>
      <c r="E3861" t="s">
        <v>2176</v>
      </c>
      <c r="F3861">
        <v>3</v>
      </c>
      <c r="G3861" t="s">
        <v>65</v>
      </c>
      <c r="H3861" t="s">
        <v>43</v>
      </c>
      <c r="I3861" t="s">
        <v>2191</v>
      </c>
      <c r="J3861" s="10">
        <v>27.6</v>
      </c>
      <c r="K3861" t="b">
        <v>1</v>
      </c>
    </row>
    <row r="3862" spans="1:11">
      <c r="A3862" s="12">
        <v>42123</v>
      </c>
      <c r="B3862">
        <v>2015</v>
      </c>
      <c r="C3862">
        <v>4</v>
      </c>
      <c r="D3862" s="11">
        <v>42095</v>
      </c>
      <c r="E3862" t="s">
        <v>2176</v>
      </c>
      <c r="F3862">
        <v>3</v>
      </c>
      <c r="G3862" t="s">
        <v>65</v>
      </c>
      <c r="H3862" t="s">
        <v>44</v>
      </c>
      <c r="I3862" t="s">
        <v>2192</v>
      </c>
      <c r="J3862" s="10">
        <v>2</v>
      </c>
      <c r="K3862" t="b">
        <v>1</v>
      </c>
    </row>
    <row r="3863" spans="1:11">
      <c r="A3863" s="12">
        <v>42123</v>
      </c>
      <c r="B3863">
        <v>2015</v>
      </c>
      <c r="C3863">
        <v>4</v>
      </c>
      <c r="D3863" s="11">
        <v>42095</v>
      </c>
      <c r="E3863" t="s">
        <v>2176</v>
      </c>
      <c r="F3863">
        <v>3</v>
      </c>
      <c r="G3863" t="s">
        <v>65</v>
      </c>
      <c r="H3863" t="s">
        <v>45</v>
      </c>
      <c r="I3863" t="s">
        <v>2193</v>
      </c>
      <c r="J3863" s="10">
        <v>0</v>
      </c>
      <c r="K3863" t="b">
        <v>1</v>
      </c>
    </row>
    <row r="3864" spans="1:11">
      <c r="A3864" s="12">
        <v>42123</v>
      </c>
      <c r="B3864">
        <v>2015</v>
      </c>
      <c r="C3864">
        <v>4</v>
      </c>
      <c r="D3864" s="11">
        <v>42095</v>
      </c>
      <c r="E3864" t="s">
        <v>2176</v>
      </c>
      <c r="F3864">
        <v>3</v>
      </c>
      <c r="G3864" t="s">
        <v>65</v>
      </c>
      <c r="H3864" t="s">
        <v>46</v>
      </c>
      <c r="I3864" t="s">
        <v>2194</v>
      </c>
      <c r="J3864" s="10">
        <v>11</v>
      </c>
      <c r="K3864" t="b">
        <v>1</v>
      </c>
    </row>
    <row r="3865" spans="1:11">
      <c r="A3865" s="12">
        <v>42123</v>
      </c>
      <c r="B3865">
        <v>2015</v>
      </c>
      <c r="C3865">
        <v>4</v>
      </c>
      <c r="D3865" s="11">
        <v>42095</v>
      </c>
      <c r="E3865" t="s">
        <v>2176</v>
      </c>
      <c r="F3865">
        <v>3</v>
      </c>
      <c r="G3865" t="s">
        <v>65</v>
      </c>
      <c r="H3865" t="s">
        <v>47</v>
      </c>
      <c r="I3865" t="s">
        <v>2195</v>
      </c>
      <c r="J3865" s="10">
        <v>3</v>
      </c>
      <c r="K3865" t="b">
        <v>1</v>
      </c>
    </row>
    <row r="3866" spans="1:11">
      <c r="A3866" s="12">
        <v>42124</v>
      </c>
      <c r="B3866">
        <v>2015</v>
      </c>
      <c r="C3866">
        <v>4</v>
      </c>
      <c r="D3866" s="11">
        <v>42095</v>
      </c>
      <c r="E3866" t="s">
        <v>2176</v>
      </c>
      <c r="F3866">
        <v>4</v>
      </c>
      <c r="G3866" t="s">
        <v>53</v>
      </c>
      <c r="H3866" t="s">
        <v>40</v>
      </c>
      <c r="I3866" t="s">
        <v>2188</v>
      </c>
      <c r="J3866" s="10">
        <v>3</v>
      </c>
      <c r="K3866" t="b">
        <v>1</v>
      </c>
    </row>
    <row r="3867" spans="1:11">
      <c r="A3867" s="12">
        <v>42124</v>
      </c>
      <c r="B3867">
        <v>2015</v>
      </c>
      <c r="C3867">
        <v>4</v>
      </c>
      <c r="D3867" s="11">
        <v>42095</v>
      </c>
      <c r="E3867" t="s">
        <v>2176</v>
      </c>
      <c r="F3867">
        <v>4</v>
      </c>
      <c r="G3867" t="s">
        <v>53</v>
      </c>
      <c r="H3867" t="s">
        <v>41</v>
      </c>
      <c r="I3867" t="s">
        <v>2189</v>
      </c>
      <c r="J3867" s="10">
        <v>8.727</v>
      </c>
      <c r="K3867" t="b">
        <v>1</v>
      </c>
    </row>
    <row r="3868" spans="1:11">
      <c r="A3868" s="12">
        <v>42124</v>
      </c>
      <c r="B3868">
        <v>2015</v>
      </c>
      <c r="C3868">
        <v>4</v>
      </c>
      <c r="D3868" s="11">
        <v>42095</v>
      </c>
      <c r="E3868" t="s">
        <v>2176</v>
      </c>
      <c r="F3868">
        <v>4</v>
      </c>
      <c r="G3868" t="s">
        <v>53</v>
      </c>
      <c r="H3868" t="s">
        <v>42</v>
      </c>
      <c r="I3868" t="s">
        <v>2190</v>
      </c>
      <c r="J3868" s="10">
        <v>2.6</v>
      </c>
      <c r="K3868" t="b">
        <v>1</v>
      </c>
    </row>
    <row r="3869" spans="1:11">
      <c r="A3869" s="12">
        <v>42124</v>
      </c>
      <c r="B3869">
        <v>2015</v>
      </c>
      <c r="C3869">
        <v>4</v>
      </c>
      <c r="D3869" s="11">
        <v>42095</v>
      </c>
      <c r="E3869" t="s">
        <v>2176</v>
      </c>
      <c r="F3869">
        <v>4</v>
      </c>
      <c r="G3869" t="s">
        <v>53</v>
      </c>
      <c r="H3869" t="s">
        <v>43</v>
      </c>
      <c r="I3869" t="s">
        <v>2191</v>
      </c>
      <c r="J3869" s="10">
        <v>32.6</v>
      </c>
      <c r="K3869" t="b">
        <v>1</v>
      </c>
    </row>
    <row r="3870" spans="1:11">
      <c r="A3870" s="12">
        <v>42124</v>
      </c>
      <c r="B3870">
        <v>2015</v>
      </c>
      <c r="C3870">
        <v>4</v>
      </c>
      <c r="D3870" s="11">
        <v>42095</v>
      </c>
      <c r="E3870" t="s">
        <v>2176</v>
      </c>
      <c r="F3870">
        <v>4</v>
      </c>
      <c r="G3870" t="s">
        <v>53</v>
      </c>
      <c r="H3870" t="s">
        <v>44</v>
      </c>
      <c r="I3870" t="s">
        <v>2192</v>
      </c>
      <c r="J3870" s="10">
        <v>7</v>
      </c>
      <c r="K3870" t="b">
        <v>1</v>
      </c>
    </row>
    <row r="3871" spans="1:11">
      <c r="A3871" s="12">
        <v>42124</v>
      </c>
      <c r="B3871">
        <v>2015</v>
      </c>
      <c r="C3871">
        <v>4</v>
      </c>
      <c r="D3871" s="11">
        <v>42095</v>
      </c>
      <c r="E3871" t="s">
        <v>2176</v>
      </c>
      <c r="F3871">
        <v>4</v>
      </c>
      <c r="G3871" t="s">
        <v>53</v>
      </c>
      <c r="H3871" t="s">
        <v>45</v>
      </c>
      <c r="I3871" t="s">
        <v>2193</v>
      </c>
      <c r="J3871" s="10">
        <v>0</v>
      </c>
      <c r="K3871" t="b">
        <v>1</v>
      </c>
    </row>
    <row r="3872" spans="1:11">
      <c r="A3872" s="12">
        <v>42124</v>
      </c>
      <c r="B3872">
        <v>2015</v>
      </c>
      <c r="C3872">
        <v>4</v>
      </c>
      <c r="D3872" s="11">
        <v>42095</v>
      </c>
      <c r="E3872" t="s">
        <v>2176</v>
      </c>
      <c r="F3872">
        <v>4</v>
      </c>
      <c r="G3872" t="s">
        <v>53</v>
      </c>
      <c r="H3872" t="s">
        <v>46</v>
      </c>
      <c r="I3872" t="s">
        <v>2194</v>
      </c>
      <c r="J3872" s="10">
        <v>3</v>
      </c>
      <c r="K3872" t="b">
        <v>1</v>
      </c>
    </row>
    <row r="3873" spans="1:11">
      <c r="A3873" s="12">
        <v>42124</v>
      </c>
      <c r="B3873">
        <v>2015</v>
      </c>
      <c r="C3873">
        <v>4</v>
      </c>
      <c r="D3873" s="11">
        <v>42095</v>
      </c>
      <c r="E3873" t="s">
        <v>2176</v>
      </c>
      <c r="F3873">
        <v>4</v>
      </c>
      <c r="G3873" t="s">
        <v>53</v>
      </c>
      <c r="H3873" t="s">
        <v>47</v>
      </c>
      <c r="I3873" t="s">
        <v>2195</v>
      </c>
      <c r="J3873" s="10">
        <v>7</v>
      </c>
      <c r="K3873" t="b">
        <v>1</v>
      </c>
    </row>
    <row r="3874" spans="1:11">
      <c r="A3874" s="12">
        <v>42125</v>
      </c>
      <c r="B3874">
        <v>2015</v>
      </c>
      <c r="C3874">
        <v>5</v>
      </c>
      <c r="D3874" s="11">
        <v>42125</v>
      </c>
      <c r="E3874" t="s">
        <v>2177</v>
      </c>
      <c r="F3874">
        <v>5</v>
      </c>
      <c r="G3874" t="s">
        <v>55</v>
      </c>
      <c r="H3874" t="s">
        <v>40</v>
      </c>
      <c r="I3874" t="s">
        <v>2188</v>
      </c>
      <c r="J3874" s="10">
        <v>5.34</v>
      </c>
      <c r="K3874" t="b">
        <v>1</v>
      </c>
    </row>
    <row r="3875" spans="1:11">
      <c r="A3875" s="12">
        <v>42125</v>
      </c>
      <c r="B3875">
        <v>2015</v>
      </c>
      <c r="C3875">
        <v>5</v>
      </c>
      <c r="D3875" s="11">
        <v>42125</v>
      </c>
      <c r="E3875" t="s">
        <v>2177</v>
      </c>
      <c r="F3875">
        <v>5</v>
      </c>
      <c r="G3875" t="s">
        <v>55</v>
      </c>
      <c r="H3875" t="s">
        <v>41</v>
      </c>
      <c r="I3875" t="s">
        <v>2189</v>
      </c>
      <c r="J3875" s="10">
        <v>1.68</v>
      </c>
      <c r="K3875" t="b">
        <v>1</v>
      </c>
    </row>
    <row r="3876" spans="1:11">
      <c r="A3876" s="12">
        <v>42125</v>
      </c>
      <c r="B3876">
        <v>2015</v>
      </c>
      <c r="C3876">
        <v>5</v>
      </c>
      <c r="D3876" s="11">
        <v>42125</v>
      </c>
      <c r="E3876" t="s">
        <v>2177</v>
      </c>
      <c r="F3876">
        <v>5</v>
      </c>
      <c r="G3876" t="s">
        <v>55</v>
      </c>
      <c r="H3876" t="s">
        <v>42</v>
      </c>
      <c r="I3876" t="s">
        <v>2190</v>
      </c>
      <c r="J3876" s="10">
        <v>4.94</v>
      </c>
      <c r="K3876" t="b">
        <v>1</v>
      </c>
    </row>
    <row r="3877" spans="1:11">
      <c r="A3877" s="12">
        <v>42125</v>
      </c>
      <c r="B3877">
        <v>2015</v>
      </c>
      <c r="C3877">
        <v>5</v>
      </c>
      <c r="D3877" s="11">
        <v>42125</v>
      </c>
      <c r="E3877" t="s">
        <v>2177</v>
      </c>
      <c r="F3877">
        <v>5</v>
      </c>
      <c r="G3877" t="s">
        <v>55</v>
      </c>
      <c r="H3877" t="s">
        <v>43</v>
      </c>
      <c r="I3877" t="s">
        <v>2191</v>
      </c>
      <c r="J3877" s="10">
        <v>11.4</v>
      </c>
      <c r="K3877" t="b">
        <v>1</v>
      </c>
    </row>
    <row r="3878" spans="1:11">
      <c r="A3878" s="12">
        <v>42125</v>
      </c>
      <c r="B3878">
        <v>2015</v>
      </c>
      <c r="C3878">
        <v>5</v>
      </c>
      <c r="D3878" s="11">
        <v>42125</v>
      </c>
      <c r="E3878" t="s">
        <v>2177</v>
      </c>
      <c r="F3878">
        <v>5</v>
      </c>
      <c r="G3878" t="s">
        <v>55</v>
      </c>
      <c r="H3878" t="s">
        <v>44</v>
      </c>
      <c r="I3878" t="s">
        <v>2192</v>
      </c>
      <c r="J3878" s="10">
        <v>4</v>
      </c>
      <c r="K3878" t="b">
        <v>1</v>
      </c>
    </row>
    <row r="3879" spans="1:11">
      <c r="A3879" s="12">
        <v>42125</v>
      </c>
      <c r="B3879">
        <v>2015</v>
      </c>
      <c r="C3879">
        <v>5</v>
      </c>
      <c r="D3879" s="11">
        <v>42125</v>
      </c>
      <c r="E3879" t="s">
        <v>2177</v>
      </c>
      <c r="F3879">
        <v>5</v>
      </c>
      <c r="G3879" t="s">
        <v>55</v>
      </c>
      <c r="H3879" t="s">
        <v>45</v>
      </c>
      <c r="I3879" t="s">
        <v>2193</v>
      </c>
      <c r="J3879" s="10">
        <v>0</v>
      </c>
      <c r="K3879" t="b">
        <v>1</v>
      </c>
    </row>
    <row r="3880" spans="1:11">
      <c r="A3880" s="12">
        <v>42125</v>
      </c>
      <c r="B3880">
        <v>2015</v>
      </c>
      <c r="C3880">
        <v>5</v>
      </c>
      <c r="D3880" s="11">
        <v>42125</v>
      </c>
      <c r="E3880" t="s">
        <v>2177</v>
      </c>
      <c r="F3880">
        <v>5</v>
      </c>
      <c r="G3880" t="s">
        <v>55</v>
      </c>
      <c r="H3880" t="s">
        <v>46</v>
      </c>
      <c r="I3880" t="s">
        <v>2194</v>
      </c>
      <c r="J3880" s="10">
        <v>0</v>
      </c>
      <c r="K3880" t="b">
        <v>1</v>
      </c>
    </row>
    <row r="3881" spans="1:11">
      <c r="A3881" s="12">
        <v>42125</v>
      </c>
      <c r="B3881">
        <v>2015</v>
      </c>
      <c r="C3881">
        <v>5</v>
      </c>
      <c r="D3881" s="11">
        <v>42125</v>
      </c>
      <c r="E3881" t="s">
        <v>2177</v>
      </c>
      <c r="F3881">
        <v>5</v>
      </c>
      <c r="G3881" t="s">
        <v>55</v>
      </c>
      <c r="H3881" t="s">
        <v>47</v>
      </c>
      <c r="I3881" t="s">
        <v>2195</v>
      </c>
      <c r="J3881" s="10">
        <v>4.7</v>
      </c>
      <c r="K3881" t="b">
        <v>1</v>
      </c>
    </row>
    <row r="3882" spans="1:11">
      <c r="A3882" s="12">
        <v>42126</v>
      </c>
      <c r="B3882">
        <v>2015</v>
      </c>
      <c r="C3882">
        <v>5</v>
      </c>
      <c r="D3882" s="11">
        <v>42125</v>
      </c>
      <c r="E3882" t="s">
        <v>2177</v>
      </c>
      <c r="F3882">
        <v>6</v>
      </c>
      <c r="G3882" t="s">
        <v>57</v>
      </c>
      <c r="H3882" t="s">
        <v>40</v>
      </c>
      <c r="I3882" t="s">
        <v>2188</v>
      </c>
      <c r="J3882" s="10">
        <v>5</v>
      </c>
      <c r="K3882" t="b">
        <v>1</v>
      </c>
    </row>
    <row r="3883" spans="1:11">
      <c r="A3883" s="12">
        <v>42126</v>
      </c>
      <c r="B3883">
        <v>2015</v>
      </c>
      <c r="C3883">
        <v>5</v>
      </c>
      <c r="D3883" s="11">
        <v>42125</v>
      </c>
      <c r="E3883" t="s">
        <v>2177</v>
      </c>
      <c r="F3883">
        <v>6</v>
      </c>
      <c r="G3883" t="s">
        <v>57</v>
      </c>
      <c r="H3883" t="s">
        <v>41</v>
      </c>
      <c r="I3883" t="s">
        <v>2189</v>
      </c>
      <c r="J3883" s="10">
        <v>3.66</v>
      </c>
      <c r="K3883" t="b">
        <v>1</v>
      </c>
    </row>
    <row r="3884" spans="1:11">
      <c r="A3884" s="12">
        <v>42126</v>
      </c>
      <c r="B3884">
        <v>2015</v>
      </c>
      <c r="C3884">
        <v>5</v>
      </c>
      <c r="D3884" s="11">
        <v>42125</v>
      </c>
      <c r="E3884" t="s">
        <v>2177</v>
      </c>
      <c r="F3884">
        <v>6</v>
      </c>
      <c r="G3884" t="s">
        <v>57</v>
      </c>
      <c r="H3884" t="s">
        <v>42</v>
      </c>
      <c r="I3884" t="s">
        <v>2190</v>
      </c>
      <c r="J3884" s="10">
        <v>3</v>
      </c>
      <c r="K3884" t="b">
        <v>1</v>
      </c>
    </row>
    <row r="3885" spans="1:11">
      <c r="A3885" s="12">
        <v>42126</v>
      </c>
      <c r="B3885">
        <v>2015</v>
      </c>
      <c r="C3885">
        <v>5</v>
      </c>
      <c r="D3885" s="11">
        <v>42125</v>
      </c>
      <c r="E3885" t="s">
        <v>2177</v>
      </c>
      <c r="F3885">
        <v>6</v>
      </c>
      <c r="G3885" t="s">
        <v>57</v>
      </c>
      <c r="H3885" t="s">
        <v>43</v>
      </c>
      <c r="I3885" t="s">
        <v>2191</v>
      </c>
      <c r="J3885" s="10">
        <v>47.8</v>
      </c>
      <c r="K3885" t="b">
        <v>1</v>
      </c>
    </row>
    <row r="3886" spans="1:11">
      <c r="A3886" s="12">
        <v>42126</v>
      </c>
      <c r="B3886">
        <v>2015</v>
      </c>
      <c r="C3886">
        <v>5</v>
      </c>
      <c r="D3886" s="11">
        <v>42125</v>
      </c>
      <c r="E3886" t="s">
        <v>2177</v>
      </c>
      <c r="F3886">
        <v>6</v>
      </c>
      <c r="G3886" t="s">
        <v>57</v>
      </c>
      <c r="H3886" t="s">
        <v>44</v>
      </c>
      <c r="I3886" t="s">
        <v>2192</v>
      </c>
      <c r="J3886" s="10">
        <v>6</v>
      </c>
      <c r="K3886" t="b">
        <v>1</v>
      </c>
    </row>
    <row r="3887" spans="1:11">
      <c r="A3887" s="12">
        <v>42126</v>
      </c>
      <c r="B3887">
        <v>2015</v>
      </c>
      <c r="C3887">
        <v>5</v>
      </c>
      <c r="D3887" s="11">
        <v>42125</v>
      </c>
      <c r="E3887" t="s">
        <v>2177</v>
      </c>
      <c r="F3887">
        <v>6</v>
      </c>
      <c r="G3887" t="s">
        <v>57</v>
      </c>
      <c r="H3887" t="s">
        <v>45</v>
      </c>
      <c r="I3887" t="s">
        <v>2193</v>
      </c>
      <c r="J3887" s="10">
        <v>2</v>
      </c>
      <c r="K3887" t="b">
        <v>1</v>
      </c>
    </row>
    <row r="3888" spans="1:11">
      <c r="A3888" s="12">
        <v>42126</v>
      </c>
      <c r="B3888">
        <v>2015</v>
      </c>
      <c r="C3888">
        <v>5</v>
      </c>
      <c r="D3888" s="11">
        <v>42125</v>
      </c>
      <c r="E3888" t="s">
        <v>2177</v>
      </c>
      <c r="F3888">
        <v>6</v>
      </c>
      <c r="G3888" t="s">
        <v>57</v>
      </c>
      <c r="H3888" t="s">
        <v>46</v>
      </c>
      <c r="I3888" t="s">
        <v>2194</v>
      </c>
      <c r="J3888" s="10">
        <v>0</v>
      </c>
      <c r="K3888" t="b">
        <v>1</v>
      </c>
    </row>
    <row r="3889" spans="1:11">
      <c r="A3889" s="12">
        <v>42126</v>
      </c>
      <c r="B3889">
        <v>2015</v>
      </c>
      <c r="C3889">
        <v>5</v>
      </c>
      <c r="D3889" s="11">
        <v>42125</v>
      </c>
      <c r="E3889" t="s">
        <v>2177</v>
      </c>
      <c r="F3889">
        <v>6</v>
      </c>
      <c r="G3889" t="s">
        <v>57</v>
      </c>
      <c r="H3889" t="s">
        <v>47</v>
      </c>
      <c r="I3889" t="s">
        <v>2195</v>
      </c>
      <c r="J3889" s="10">
        <v>5</v>
      </c>
      <c r="K3889" t="b">
        <v>1</v>
      </c>
    </row>
    <row r="3890" spans="1:11">
      <c r="A3890" s="12">
        <v>42127</v>
      </c>
      <c r="B3890">
        <v>2015</v>
      </c>
      <c r="C3890">
        <v>5</v>
      </c>
      <c r="D3890" s="11">
        <v>42125</v>
      </c>
      <c r="E3890" t="s">
        <v>2177</v>
      </c>
      <c r="F3890">
        <v>7</v>
      </c>
      <c r="G3890" t="s">
        <v>59</v>
      </c>
      <c r="H3890" t="s">
        <v>40</v>
      </c>
      <c r="I3890" t="s">
        <v>2188</v>
      </c>
      <c r="J3890" s="10">
        <v>6.67</v>
      </c>
      <c r="K3890" t="b">
        <v>1</v>
      </c>
    </row>
    <row r="3891" spans="1:11">
      <c r="A3891" s="12">
        <v>42127</v>
      </c>
      <c r="B3891">
        <v>2015</v>
      </c>
      <c r="C3891">
        <v>5</v>
      </c>
      <c r="D3891" s="11">
        <v>42125</v>
      </c>
      <c r="E3891" t="s">
        <v>2177</v>
      </c>
      <c r="F3891">
        <v>7</v>
      </c>
      <c r="G3891" t="s">
        <v>59</v>
      </c>
      <c r="H3891" t="s">
        <v>41</v>
      </c>
      <c r="I3891" t="s">
        <v>2189</v>
      </c>
      <c r="J3891" s="10">
        <v>1.066</v>
      </c>
      <c r="K3891" t="b">
        <v>1</v>
      </c>
    </row>
    <row r="3892" spans="1:11">
      <c r="A3892" s="12">
        <v>42127</v>
      </c>
      <c r="B3892">
        <v>2015</v>
      </c>
      <c r="C3892">
        <v>5</v>
      </c>
      <c r="D3892" s="11">
        <v>42125</v>
      </c>
      <c r="E3892" t="s">
        <v>2177</v>
      </c>
      <c r="F3892">
        <v>7</v>
      </c>
      <c r="G3892" t="s">
        <v>59</v>
      </c>
      <c r="H3892" t="s">
        <v>42</v>
      </c>
      <c r="I3892" t="s">
        <v>2190</v>
      </c>
      <c r="J3892" s="10">
        <v>2.1</v>
      </c>
      <c r="K3892" t="b">
        <v>1</v>
      </c>
    </row>
    <row r="3893" spans="1:11">
      <c r="A3893" s="12">
        <v>42127</v>
      </c>
      <c r="B3893">
        <v>2015</v>
      </c>
      <c r="C3893">
        <v>5</v>
      </c>
      <c r="D3893" s="11">
        <v>42125</v>
      </c>
      <c r="E3893" t="s">
        <v>2177</v>
      </c>
      <c r="F3893">
        <v>7</v>
      </c>
      <c r="G3893" t="s">
        <v>59</v>
      </c>
      <c r="H3893" t="s">
        <v>43</v>
      </c>
      <c r="I3893" t="s">
        <v>2191</v>
      </c>
      <c r="J3893" s="10">
        <v>19.2</v>
      </c>
      <c r="K3893" t="b">
        <v>1</v>
      </c>
    </row>
    <row r="3894" spans="1:11">
      <c r="A3894" s="12">
        <v>42127</v>
      </c>
      <c r="B3894">
        <v>2015</v>
      </c>
      <c r="C3894">
        <v>5</v>
      </c>
      <c r="D3894" s="11">
        <v>42125</v>
      </c>
      <c r="E3894" t="s">
        <v>2177</v>
      </c>
      <c r="F3894">
        <v>7</v>
      </c>
      <c r="G3894" t="s">
        <v>59</v>
      </c>
      <c r="H3894" t="s">
        <v>44</v>
      </c>
      <c r="I3894" t="s">
        <v>2192</v>
      </c>
      <c r="J3894" s="10">
        <v>4</v>
      </c>
      <c r="K3894" t="b">
        <v>1</v>
      </c>
    </row>
    <row r="3895" spans="1:11">
      <c r="A3895" s="12">
        <v>42127</v>
      </c>
      <c r="B3895">
        <v>2015</v>
      </c>
      <c r="C3895">
        <v>5</v>
      </c>
      <c r="D3895" s="11">
        <v>42125</v>
      </c>
      <c r="E3895" t="s">
        <v>2177</v>
      </c>
      <c r="F3895">
        <v>7</v>
      </c>
      <c r="G3895" t="s">
        <v>59</v>
      </c>
      <c r="H3895" t="s">
        <v>45</v>
      </c>
      <c r="I3895" t="s">
        <v>2193</v>
      </c>
      <c r="J3895" s="10">
        <v>0</v>
      </c>
      <c r="K3895" t="b">
        <v>1</v>
      </c>
    </row>
    <row r="3896" spans="1:11">
      <c r="A3896" s="12">
        <v>42127</v>
      </c>
      <c r="B3896">
        <v>2015</v>
      </c>
      <c r="C3896">
        <v>5</v>
      </c>
      <c r="D3896" s="11">
        <v>42125</v>
      </c>
      <c r="E3896" t="s">
        <v>2177</v>
      </c>
      <c r="F3896">
        <v>7</v>
      </c>
      <c r="G3896" t="s">
        <v>59</v>
      </c>
      <c r="H3896" t="s">
        <v>46</v>
      </c>
      <c r="I3896" t="s">
        <v>2194</v>
      </c>
      <c r="J3896" s="10">
        <v>1</v>
      </c>
      <c r="K3896" t="b">
        <v>1</v>
      </c>
    </row>
    <row r="3897" spans="1:11">
      <c r="A3897" s="12">
        <v>42127</v>
      </c>
      <c r="B3897">
        <v>2015</v>
      </c>
      <c r="C3897">
        <v>5</v>
      </c>
      <c r="D3897" s="11">
        <v>42125</v>
      </c>
      <c r="E3897" t="s">
        <v>2177</v>
      </c>
      <c r="F3897">
        <v>7</v>
      </c>
      <c r="G3897" t="s">
        <v>59</v>
      </c>
      <c r="H3897" t="s">
        <v>47</v>
      </c>
      <c r="I3897" t="s">
        <v>2195</v>
      </c>
      <c r="J3897" s="10">
        <v>6</v>
      </c>
      <c r="K3897" t="b">
        <v>1</v>
      </c>
    </row>
    <row r="3898" spans="1:11">
      <c r="A3898" s="12">
        <v>42128</v>
      </c>
      <c r="B3898">
        <v>2015</v>
      </c>
      <c r="C3898">
        <v>5</v>
      </c>
      <c r="D3898" s="11">
        <v>42125</v>
      </c>
      <c r="E3898" t="s">
        <v>2177</v>
      </c>
      <c r="F3898">
        <v>1</v>
      </c>
      <c r="G3898" t="s">
        <v>61</v>
      </c>
      <c r="H3898" t="s">
        <v>40</v>
      </c>
      <c r="I3898" t="s">
        <v>2188</v>
      </c>
      <c r="J3898" s="10">
        <v>4</v>
      </c>
      <c r="K3898" t="b">
        <v>1</v>
      </c>
    </row>
    <row r="3899" spans="1:11">
      <c r="A3899" s="12">
        <v>42128</v>
      </c>
      <c r="B3899">
        <v>2015</v>
      </c>
      <c r="C3899">
        <v>5</v>
      </c>
      <c r="D3899" s="11">
        <v>42125</v>
      </c>
      <c r="E3899" t="s">
        <v>2177</v>
      </c>
      <c r="F3899">
        <v>1</v>
      </c>
      <c r="G3899" t="s">
        <v>61</v>
      </c>
      <c r="H3899" t="s">
        <v>41</v>
      </c>
      <c r="I3899" t="s">
        <v>2189</v>
      </c>
      <c r="J3899" s="10">
        <v>4.723</v>
      </c>
      <c r="K3899" t="b">
        <v>1</v>
      </c>
    </row>
    <row r="3900" spans="1:11">
      <c r="A3900" s="12">
        <v>42128</v>
      </c>
      <c r="B3900">
        <v>2015</v>
      </c>
      <c r="C3900">
        <v>5</v>
      </c>
      <c r="D3900" s="11">
        <v>42125</v>
      </c>
      <c r="E3900" t="s">
        <v>2177</v>
      </c>
      <c r="F3900">
        <v>1</v>
      </c>
      <c r="G3900" t="s">
        <v>61</v>
      </c>
      <c r="H3900" t="s">
        <v>42</v>
      </c>
      <c r="I3900" t="s">
        <v>2190</v>
      </c>
      <c r="J3900" s="10">
        <v>8.6</v>
      </c>
      <c r="K3900" t="b">
        <v>1</v>
      </c>
    </row>
    <row r="3901" spans="1:11">
      <c r="A3901" s="12">
        <v>42128</v>
      </c>
      <c r="B3901">
        <v>2015</v>
      </c>
      <c r="C3901">
        <v>5</v>
      </c>
      <c r="D3901" s="11">
        <v>42125</v>
      </c>
      <c r="E3901" t="s">
        <v>2177</v>
      </c>
      <c r="F3901">
        <v>1</v>
      </c>
      <c r="G3901" t="s">
        <v>61</v>
      </c>
      <c r="H3901" t="s">
        <v>43</v>
      </c>
      <c r="I3901" t="s">
        <v>2191</v>
      </c>
      <c r="J3901" s="10">
        <v>36</v>
      </c>
      <c r="K3901" t="b">
        <v>1</v>
      </c>
    </row>
    <row r="3902" spans="1:11">
      <c r="A3902" s="12">
        <v>42128</v>
      </c>
      <c r="B3902">
        <v>2015</v>
      </c>
      <c r="C3902">
        <v>5</v>
      </c>
      <c r="D3902" s="11">
        <v>42125</v>
      </c>
      <c r="E3902" t="s">
        <v>2177</v>
      </c>
      <c r="F3902">
        <v>1</v>
      </c>
      <c r="G3902" t="s">
        <v>61</v>
      </c>
      <c r="H3902" t="s">
        <v>44</v>
      </c>
      <c r="I3902" t="s">
        <v>2192</v>
      </c>
      <c r="J3902" s="10">
        <v>5</v>
      </c>
      <c r="K3902" t="b">
        <v>1</v>
      </c>
    </row>
    <row r="3903" spans="1:11">
      <c r="A3903" s="12">
        <v>42128</v>
      </c>
      <c r="B3903">
        <v>2015</v>
      </c>
      <c r="C3903">
        <v>5</v>
      </c>
      <c r="D3903" s="11">
        <v>42125</v>
      </c>
      <c r="E3903" t="s">
        <v>2177</v>
      </c>
      <c r="F3903">
        <v>1</v>
      </c>
      <c r="G3903" t="s">
        <v>61</v>
      </c>
      <c r="H3903" t="s">
        <v>45</v>
      </c>
      <c r="I3903" t="s">
        <v>2193</v>
      </c>
      <c r="J3903" s="10">
        <v>1</v>
      </c>
      <c r="K3903" t="b">
        <v>1</v>
      </c>
    </row>
    <row r="3904" spans="1:11">
      <c r="A3904" s="12">
        <v>42128</v>
      </c>
      <c r="B3904">
        <v>2015</v>
      </c>
      <c r="C3904">
        <v>5</v>
      </c>
      <c r="D3904" s="11">
        <v>42125</v>
      </c>
      <c r="E3904" t="s">
        <v>2177</v>
      </c>
      <c r="F3904">
        <v>1</v>
      </c>
      <c r="G3904" t="s">
        <v>61</v>
      </c>
      <c r="H3904" t="s">
        <v>46</v>
      </c>
      <c r="I3904" t="s">
        <v>2194</v>
      </c>
      <c r="J3904" s="10">
        <v>10</v>
      </c>
      <c r="K3904" t="b">
        <v>1</v>
      </c>
    </row>
    <row r="3905" spans="1:11">
      <c r="A3905" s="12">
        <v>42128</v>
      </c>
      <c r="B3905">
        <v>2015</v>
      </c>
      <c r="C3905">
        <v>5</v>
      </c>
      <c r="D3905" s="11">
        <v>42125</v>
      </c>
      <c r="E3905" t="s">
        <v>2177</v>
      </c>
      <c r="F3905">
        <v>1</v>
      </c>
      <c r="G3905" t="s">
        <v>61</v>
      </c>
      <c r="H3905" t="s">
        <v>47</v>
      </c>
      <c r="I3905" t="s">
        <v>2195</v>
      </c>
      <c r="J3905" s="10">
        <v>3.3</v>
      </c>
      <c r="K3905" t="b">
        <v>1</v>
      </c>
    </row>
    <row r="3906" spans="1:11">
      <c r="A3906" s="12">
        <v>42129</v>
      </c>
      <c r="B3906">
        <v>2015</v>
      </c>
      <c r="C3906">
        <v>5</v>
      </c>
      <c r="D3906" s="11">
        <v>42125</v>
      </c>
      <c r="E3906" t="s">
        <v>2177</v>
      </c>
      <c r="F3906">
        <v>2</v>
      </c>
      <c r="G3906" t="s">
        <v>63</v>
      </c>
      <c r="H3906" t="s">
        <v>40</v>
      </c>
      <c r="I3906" t="s">
        <v>2188</v>
      </c>
      <c r="J3906" s="10">
        <v>3.34</v>
      </c>
      <c r="K3906" t="b">
        <v>1</v>
      </c>
    </row>
    <row r="3907" spans="1:11">
      <c r="A3907" s="12">
        <v>42129</v>
      </c>
      <c r="B3907">
        <v>2015</v>
      </c>
      <c r="C3907">
        <v>5</v>
      </c>
      <c r="D3907" s="11">
        <v>42125</v>
      </c>
      <c r="E3907" t="s">
        <v>2177</v>
      </c>
      <c r="F3907">
        <v>2</v>
      </c>
      <c r="G3907" t="s">
        <v>63</v>
      </c>
      <c r="H3907" t="s">
        <v>41</v>
      </c>
      <c r="I3907" t="s">
        <v>2189</v>
      </c>
      <c r="J3907" s="10">
        <v>3.462</v>
      </c>
      <c r="K3907" t="b">
        <v>1</v>
      </c>
    </row>
    <row r="3908" spans="1:11">
      <c r="A3908" s="12">
        <v>42129</v>
      </c>
      <c r="B3908">
        <v>2015</v>
      </c>
      <c r="C3908">
        <v>5</v>
      </c>
      <c r="D3908" s="11">
        <v>42125</v>
      </c>
      <c r="E3908" t="s">
        <v>2177</v>
      </c>
      <c r="F3908">
        <v>2</v>
      </c>
      <c r="G3908" t="s">
        <v>63</v>
      </c>
      <c r="H3908" t="s">
        <v>42</v>
      </c>
      <c r="I3908" t="s">
        <v>2190</v>
      </c>
      <c r="J3908" s="10">
        <v>2</v>
      </c>
      <c r="K3908" t="b">
        <v>1</v>
      </c>
    </row>
    <row r="3909" spans="1:11">
      <c r="A3909" s="12">
        <v>42129</v>
      </c>
      <c r="B3909">
        <v>2015</v>
      </c>
      <c r="C3909">
        <v>5</v>
      </c>
      <c r="D3909" s="11">
        <v>42125</v>
      </c>
      <c r="E3909" t="s">
        <v>2177</v>
      </c>
      <c r="F3909">
        <v>2</v>
      </c>
      <c r="G3909" t="s">
        <v>63</v>
      </c>
      <c r="H3909" t="s">
        <v>43</v>
      </c>
      <c r="I3909" t="s">
        <v>2191</v>
      </c>
      <c r="J3909" s="10">
        <v>19</v>
      </c>
      <c r="K3909" t="b">
        <v>1</v>
      </c>
    </row>
    <row r="3910" spans="1:11">
      <c r="A3910" s="12">
        <v>42129</v>
      </c>
      <c r="B3910">
        <v>2015</v>
      </c>
      <c r="C3910">
        <v>5</v>
      </c>
      <c r="D3910" s="11">
        <v>42125</v>
      </c>
      <c r="E3910" t="s">
        <v>2177</v>
      </c>
      <c r="F3910">
        <v>2</v>
      </c>
      <c r="G3910" t="s">
        <v>63</v>
      </c>
      <c r="H3910" t="s">
        <v>44</v>
      </c>
      <c r="I3910" t="s">
        <v>2192</v>
      </c>
      <c r="J3910" s="10">
        <v>6</v>
      </c>
      <c r="K3910" t="b">
        <v>1</v>
      </c>
    </row>
    <row r="3911" spans="1:11">
      <c r="A3911" s="12">
        <v>42129</v>
      </c>
      <c r="B3911">
        <v>2015</v>
      </c>
      <c r="C3911">
        <v>5</v>
      </c>
      <c r="D3911" s="11">
        <v>42125</v>
      </c>
      <c r="E3911" t="s">
        <v>2177</v>
      </c>
      <c r="F3911">
        <v>2</v>
      </c>
      <c r="G3911" t="s">
        <v>63</v>
      </c>
      <c r="H3911" t="s">
        <v>45</v>
      </c>
      <c r="I3911" t="s">
        <v>2193</v>
      </c>
      <c r="J3911" s="10">
        <v>0</v>
      </c>
      <c r="K3911" t="b">
        <v>1</v>
      </c>
    </row>
    <row r="3912" spans="1:11">
      <c r="A3912" s="12">
        <v>42129</v>
      </c>
      <c r="B3912">
        <v>2015</v>
      </c>
      <c r="C3912">
        <v>5</v>
      </c>
      <c r="D3912" s="11">
        <v>42125</v>
      </c>
      <c r="E3912" t="s">
        <v>2177</v>
      </c>
      <c r="F3912">
        <v>2</v>
      </c>
      <c r="G3912" t="s">
        <v>63</v>
      </c>
      <c r="H3912" t="s">
        <v>46</v>
      </c>
      <c r="I3912" t="s">
        <v>2194</v>
      </c>
      <c r="J3912" s="10">
        <v>5</v>
      </c>
      <c r="K3912" t="b">
        <v>1</v>
      </c>
    </row>
    <row r="3913" spans="1:11">
      <c r="A3913" s="12">
        <v>42129</v>
      </c>
      <c r="B3913">
        <v>2015</v>
      </c>
      <c r="C3913">
        <v>5</v>
      </c>
      <c r="D3913" s="11">
        <v>42125</v>
      </c>
      <c r="E3913" t="s">
        <v>2177</v>
      </c>
      <c r="F3913">
        <v>2</v>
      </c>
      <c r="G3913" t="s">
        <v>63</v>
      </c>
      <c r="H3913" t="s">
        <v>47</v>
      </c>
      <c r="I3913" t="s">
        <v>2195</v>
      </c>
      <c r="J3913" s="10">
        <v>2.5</v>
      </c>
      <c r="K3913" t="b">
        <v>1</v>
      </c>
    </row>
    <row r="3914" spans="1:11">
      <c r="A3914" s="12">
        <v>42130</v>
      </c>
      <c r="B3914">
        <v>2015</v>
      </c>
      <c r="C3914">
        <v>5</v>
      </c>
      <c r="D3914" s="11">
        <v>42125</v>
      </c>
      <c r="E3914" t="s">
        <v>2177</v>
      </c>
      <c r="F3914">
        <v>3</v>
      </c>
      <c r="G3914" t="s">
        <v>65</v>
      </c>
      <c r="H3914" t="s">
        <v>40</v>
      </c>
      <c r="I3914" t="s">
        <v>2188</v>
      </c>
      <c r="J3914" s="10">
        <v>4.66</v>
      </c>
      <c r="K3914" t="b">
        <v>1</v>
      </c>
    </row>
    <row r="3915" spans="1:11">
      <c r="A3915" s="12">
        <v>42130</v>
      </c>
      <c r="B3915">
        <v>2015</v>
      </c>
      <c r="C3915">
        <v>5</v>
      </c>
      <c r="D3915" s="11">
        <v>42125</v>
      </c>
      <c r="E3915" t="s">
        <v>2177</v>
      </c>
      <c r="F3915">
        <v>3</v>
      </c>
      <c r="G3915" t="s">
        <v>65</v>
      </c>
      <c r="H3915" t="s">
        <v>41</v>
      </c>
      <c r="I3915" t="s">
        <v>2189</v>
      </c>
      <c r="J3915" s="10">
        <v>6.497</v>
      </c>
      <c r="K3915" t="b">
        <v>1</v>
      </c>
    </row>
    <row r="3916" spans="1:11">
      <c r="A3916" s="12">
        <v>42130</v>
      </c>
      <c r="B3916">
        <v>2015</v>
      </c>
      <c r="C3916">
        <v>5</v>
      </c>
      <c r="D3916" s="11">
        <v>42125</v>
      </c>
      <c r="E3916" t="s">
        <v>2177</v>
      </c>
      <c r="F3916">
        <v>3</v>
      </c>
      <c r="G3916" t="s">
        <v>65</v>
      </c>
      <c r="H3916" t="s">
        <v>42</v>
      </c>
      <c r="I3916" t="s">
        <v>2190</v>
      </c>
      <c r="J3916" s="10">
        <v>2</v>
      </c>
      <c r="K3916" t="b">
        <v>1</v>
      </c>
    </row>
    <row r="3917" spans="1:11">
      <c r="A3917" s="12">
        <v>42130</v>
      </c>
      <c r="B3917">
        <v>2015</v>
      </c>
      <c r="C3917">
        <v>5</v>
      </c>
      <c r="D3917" s="11">
        <v>42125</v>
      </c>
      <c r="E3917" t="s">
        <v>2177</v>
      </c>
      <c r="F3917">
        <v>3</v>
      </c>
      <c r="G3917" t="s">
        <v>65</v>
      </c>
      <c r="H3917" t="s">
        <v>43</v>
      </c>
      <c r="I3917" t="s">
        <v>2191</v>
      </c>
      <c r="J3917" s="10">
        <v>40.2</v>
      </c>
      <c r="K3917" t="b">
        <v>1</v>
      </c>
    </row>
    <row r="3918" spans="1:11">
      <c r="A3918" s="12">
        <v>42130</v>
      </c>
      <c r="B3918">
        <v>2015</v>
      </c>
      <c r="C3918">
        <v>5</v>
      </c>
      <c r="D3918" s="11">
        <v>42125</v>
      </c>
      <c r="E3918" t="s">
        <v>2177</v>
      </c>
      <c r="F3918">
        <v>3</v>
      </c>
      <c r="G3918" t="s">
        <v>65</v>
      </c>
      <c r="H3918" t="s">
        <v>44</v>
      </c>
      <c r="I3918" t="s">
        <v>2192</v>
      </c>
      <c r="J3918" s="10">
        <v>11</v>
      </c>
      <c r="K3918" t="b">
        <v>1</v>
      </c>
    </row>
    <row r="3919" spans="1:11">
      <c r="A3919" s="12">
        <v>42130</v>
      </c>
      <c r="B3919">
        <v>2015</v>
      </c>
      <c r="C3919">
        <v>5</v>
      </c>
      <c r="D3919" s="11">
        <v>42125</v>
      </c>
      <c r="E3919" t="s">
        <v>2177</v>
      </c>
      <c r="F3919">
        <v>3</v>
      </c>
      <c r="G3919" t="s">
        <v>65</v>
      </c>
      <c r="H3919" t="s">
        <v>45</v>
      </c>
      <c r="I3919" t="s">
        <v>2193</v>
      </c>
      <c r="J3919" s="10">
        <v>0</v>
      </c>
      <c r="K3919" t="b">
        <v>1</v>
      </c>
    </row>
    <row r="3920" spans="1:11">
      <c r="A3920" s="12">
        <v>42130</v>
      </c>
      <c r="B3920">
        <v>2015</v>
      </c>
      <c r="C3920">
        <v>5</v>
      </c>
      <c r="D3920" s="11">
        <v>42125</v>
      </c>
      <c r="E3920" t="s">
        <v>2177</v>
      </c>
      <c r="F3920">
        <v>3</v>
      </c>
      <c r="G3920" t="s">
        <v>65</v>
      </c>
      <c r="H3920" t="s">
        <v>46</v>
      </c>
      <c r="I3920" t="s">
        <v>2194</v>
      </c>
      <c r="J3920" s="10">
        <v>0</v>
      </c>
      <c r="K3920" t="b">
        <v>1</v>
      </c>
    </row>
    <row r="3921" spans="1:11">
      <c r="A3921" s="12">
        <v>42130</v>
      </c>
      <c r="B3921">
        <v>2015</v>
      </c>
      <c r="C3921">
        <v>5</v>
      </c>
      <c r="D3921" s="11">
        <v>42125</v>
      </c>
      <c r="E3921" t="s">
        <v>2177</v>
      </c>
      <c r="F3921">
        <v>3</v>
      </c>
      <c r="G3921" t="s">
        <v>65</v>
      </c>
      <c r="H3921" t="s">
        <v>47</v>
      </c>
      <c r="I3921" t="s">
        <v>2195</v>
      </c>
      <c r="J3921" s="10">
        <v>6</v>
      </c>
      <c r="K3921" t="b">
        <v>1</v>
      </c>
    </row>
    <row r="3922" spans="1:11">
      <c r="A3922" s="12">
        <v>42131</v>
      </c>
      <c r="B3922">
        <v>2015</v>
      </c>
      <c r="C3922">
        <v>5</v>
      </c>
      <c r="D3922" s="11">
        <v>42125</v>
      </c>
      <c r="E3922" t="s">
        <v>2177</v>
      </c>
      <c r="F3922">
        <v>4</v>
      </c>
      <c r="G3922" t="s">
        <v>53</v>
      </c>
      <c r="H3922" t="s">
        <v>40</v>
      </c>
      <c r="I3922" t="s">
        <v>2188</v>
      </c>
      <c r="J3922" s="10">
        <v>2</v>
      </c>
      <c r="K3922" t="b">
        <v>1</v>
      </c>
    </row>
    <row r="3923" spans="1:11">
      <c r="A3923" s="12">
        <v>42131</v>
      </c>
      <c r="B3923">
        <v>2015</v>
      </c>
      <c r="C3923">
        <v>5</v>
      </c>
      <c r="D3923" s="11">
        <v>42125</v>
      </c>
      <c r="E3923" t="s">
        <v>2177</v>
      </c>
      <c r="F3923">
        <v>4</v>
      </c>
      <c r="G3923" t="s">
        <v>53</v>
      </c>
      <c r="H3923" t="s">
        <v>41</v>
      </c>
      <c r="I3923" t="s">
        <v>2189</v>
      </c>
      <c r="J3923" s="10">
        <v>3.34</v>
      </c>
      <c r="K3923" t="b">
        <v>1</v>
      </c>
    </row>
    <row r="3924" spans="1:11">
      <c r="A3924" s="12">
        <v>42131</v>
      </c>
      <c r="B3924">
        <v>2015</v>
      </c>
      <c r="C3924">
        <v>5</v>
      </c>
      <c r="D3924" s="11">
        <v>42125</v>
      </c>
      <c r="E3924" t="s">
        <v>2177</v>
      </c>
      <c r="F3924">
        <v>4</v>
      </c>
      <c r="G3924" t="s">
        <v>53</v>
      </c>
      <c r="H3924" t="s">
        <v>42</v>
      </c>
      <c r="I3924" t="s">
        <v>2190</v>
      </c>
      <c r="J3924" s="10">
        <v>2</v>
      </c>
      <c r="K3924" t="b">
        <v>1</v>
      </c>
    </row>
    <row r="3925" spans="1:11">
      <c r="A3925" s="12">
        <v>42131</v>
      </c>
      <c r="B3925">
        <v>2015</v>
      </c>
      <c r="C3925">
        <v>5</v>
      </c>
      <c r="D3925" s="11">
        <v>42125</v>
      </c>
      <c r="E3925" t="s">
        <v>2177</v>
      </c>
      <c r="F3925">
        <v>4</v>
      </c>
      <c r="G3925" t="s">
        <v>53</v>
      </c>
      <c r="H3925" t="s">
        <v>43</v>
      </c>
      <c r="I3925" t="s">
        <v>2191</v>
      </c>
      <c r="J3925" s="10">
        <v>21</v>
      </c>
      <c r="K3925" t="b">
        <v>1</v>
      </c>
    </row>
    <row r="3926" spans="1:11">
      <c r="A3926" s="12">
        <v>42131</v>
      </c>
      <c r="B3926">
        <v>2015</v>
      </c>
      <c r="C3926">
        <v>5</v>
      </c>
      <c r="D3926" s="11">
        <v>42125</v>
      </c>
      <c r="E3926" t="s">
        <v>2177</v>
      </c>
      <c r="F3926">
        <v>4</v>
      </c>
      <c r="G3926" t="s">
        <v>53</v>
      </c>
      <c r="H3926" t="s">
        <v>44</v>
      </c>
      <c r="I3926" t="s">
        <v>2192</v>
      </c>
      <c r="J3926" s="10">
        <v>4</v>
      </c>
      <c r="K3926" t="b">
        <v>1</v>
      </c>
    </row>
    <row r="3927" spans="1:11">
      <c r="A3927" s="12">
        <v>42131</v>
      </c>
      <c r="B3927">
        <v>2015</v>
      </c>
      <c r="C3927">
        <v>5</v>
      </c>
      <c r="D3927" s="11">
        <v>42125</v>
      </c>
      <c r="E3927" t="s">
        <v>2177</v>
      </c>
      <c r="F3927">
        <v>4</v>
      </c>
      <c r="G3927" t="s">
        <v>53</v>
      </c>
      <c r="H3927" t="s">
        <v>45</v>
      </c>
      <c r="I3927" t="s">
        <v>2193</v>
      </c>
      <c r="J3927" s="10">
        <v>1</v>
      </c>
      <c r="K3927" t="b">
        <v>1</v>
      </c>
    </row>
    <row r="3928" spans="1:11">
      <c r="A3928" s="12">
        <v>42131</v>
      </c>
      <c r="B3928">
        <v>2015</v>
      </c>
      <c r="C3928">
        <v>5</v>
      </c>
      <c r="D3928" s="11">
        <v>42125</v>
      </c>
      <c r="E3928" t="s">
        <v>2177</v>
      </c>
      <c r="F3928">
        <v>4</v>
      </c>
      <c r="G3928" t="s">
        <v>53</v>
      </c>
      <c r="H3928" t="s">
        <v>46</v>
      </c>
      <c r="I3928" t="s">
        <v>2194</v>
      </c>
      <c r="J3928" s="10">
        <v>5</v>
      </c>
      <c r="K3928" t="b">
        <v>1</v>
      </c>
    </row>
    <row r="3929" spans="1:11">
      <c r="A3929" s="12">
        <v>42131</v>
      </c>
      <c r="B3929">
        <v>2015</v>
      </c>
      <c r="C3929">
        <v>5</v>
      </c>
      <c r="D3929" s="11">
        <v>42125</v>
      </c>
      <c r="E3929" t="s">
        <v>2177</v>
      </c>
      <c r="F3929">
        <v>4</v>
      </c>
      <c r="G3929" t="s">
        <v>53</v>
      </c>
      <c r="H3929" t="s">
        <v>47</v>
      </c>
      <c r="I3929" t="s">
        <v>2195</v>
      </c>
      <c r="J3929" s="10">
        <v>10</v>
      </c>
      <c r="K3929" t="b">
        <v>1</v>
      </c>
    </row>
    <row r="3930" spans="1:11">
      <c r="A3930" s="12">
        <v>42132</v>
      </c>
      <c r="B3930">
        <v>2015</v>
      </c>
      <c r="C3930">
        <v>5</v>
      </c>
      <c r="D3930" s="11">
        <v>42125</v>
      </c>
      <c r="E3930" t="s">
        <v>2177</v>
      </c>
      <c r="F3930">
        <v>5</v>
      </c>
      <c r="G3930" t="s">
        <v>55</v>
      </c>
      <c r="H3930" t="s">
        <v>40</v>
      </c>
      <c r="I3930" t="s">
        <v>2188</v>
      </c>
      <c r="J3930" s="10">
        <v>1</v>
      </c>
      <c r="K3930" t="b">
        <v>1</v>
      </c>
    </row>
    <row r="3931" spans="1:11">
      <c r="A3931" s="12">
        <v>42132</v>
      </c>
      <c r="B3931">
        <v>2015</v>
      </c>
      <c r="C3931">
        <v>5</v>
      </c>
      <c r="D3931" s="11">
        <v>42125</v>
      </c>
      <c r="E3931" t="s">
        <v>2177</v>
      </c>
      <c r="F3931">
        <v>5</v>
      </c>
      <c r="G3931" t="s">
        <v>55</v>
      </c>
      <c r="H3931" t="s">
        <v>41</v>
      </c>
      <c r="I3931" t="s">
        <v>2189</v>
      </c>
      <c r="J3931" s="10">
        <v>6.34</v>
      </c>
      <c r="K3931" t="b">
        <v>1</v>
      </c>
    </row>
    <row r="3932" spans="1:11">
      <c r="A3932" s="12">
        <v>42132</v>
      </c>
      <c r="B3932">
        <v>2015</v>
      </c>
      <c r="C3932">
        <v>5</v>
      </c>
      <c r="D3932" s="11">
        <v>42125</v>
      </c>
      <c r="E3932" t="s">
        <v>2177</v>
      </c>
      <c r="F3932">
        <v>5</v>
      </c>
      <c r="G3932" t="s">
        <v>55</v>
      </c>
      <c r="H3932" t="s">
        <v>42</v>
      </c>
      <c r="I3932" t="s">
        <v>2190</v>
      </c>
      <c r="J3932" s="10">
        <v>5</v>
      </c>
      <c r="K3932" t="b">
        <v>1</v>
      </c>
    </row>
    <row r="3933" spans="1:11">
      <c r="A3933" s="12">
        <v>42132</v>
      </c>
      <c r="B3933">
        <v>2015</v>
      </c>
      <c r="C3933">
        <v>5</v>
      </c>
      <c r="D3933" s="11">
        <v>42125</v>
      </c>
      <c r="E3933" t="s">
        <v>2177</v>
      </c>
      <c r="F3933">
        <v>5</v>
      </c>
      <c r="G3933" t="s">
        <v>55</v>
      </c>
      <c r="H3933" t="s">
        <v>43</v>
      </c>
      <c r="I3933" t="s">
        <v>2191</v>
      </c>
      <c r="J3933" s="10">
        <v>16</v>
      </c>
      <c r="K3933" t="b">
        <v>1</v>
      </c>
    </row>
    <row r="3934" spans="1:11">
      <c r="A3934" s="12">
        <v>42132</v>
      </c>
      <c r="B3934">
        <v>2015</v>
      </c>
      <c r="C3934">
        <v>5</v>
      </c>
      <c r="D3934" s="11">
        <v>42125</v>
      </c>
      <c r="E3934" t="s">
        <v>2177</v>
      </c>
      <c r="F3934">
        <v>5</v>
      </c>
      <c r="G3934" t="s">
        <v>55</v>
      </c>
      <c r="H3934" t="s">
        <v>44</v>
      </c>
      <c r="I3934" t="s">
        <v>2192</v>
      </c>
      <c r="J3934" s="10">
        <v>8</v>
      </c>
      <c r="K3934" t="b">
        <v>1</v>
      </c>
    </row>
    <row r="3935" spans="1:11">
      <c r="A3935" s="12">
        <v>42132</v>
      </c>
      <c r="B3935">
        <v>2015</v>
      </c>
      <c r="C3935">
        <v>5</v>
      </c>
      <c r="D3935" s="11">
        <v>42125</v>
      </c>
      <c r="E3935" t="s">
        <v>2177</v>
      </c>
      <c r="F3935">
        <v>5</v>
      </c>
      <c r="G3935" t="s">
        <v>55</v>
      </c>
      <c r="H3935" t="s">
        <v>45</v>
      </c>
      <c r="I3935" t="s">
        <v>2193</v>
      </c>
      <c r="J3935" s="10">
        <v>0</v>
      </c>
      <c r="K3935" t="b">
        <v>1</v>
      </c>
    </row>
    <row r="3936" spans="1:11">
      <c r="A3936" s="12">
        <v>42132</v>
      </c>
      <c r="B3936">
        <v>2015</v>
      </c>
      <c r="C3936">
        <v>5</v>
      </c>
      <c r="D3936" s="11">
        <v>42125</v>
      </c>
      <c r="E3936" t="s">
        <v>2177</v>
      </c>
      <c r="F3936">
        <v>5</v>
      </c>
      <c r="G3936" t="s">
        <v>55</v>
      </c>
      <c r="H3936" t="s">
        <v>46</v>
      </c>
      <c r="I3936" t="s">
        <v>2194</v>
      </c>
      <c r="J3936" s="10">
        <v>4</v>
      </c>
      <c r="K3936" t="b">
        <v>1</v>
      </c>
    </row>
    <row r="3937" spans="1:11">
      <c r="A3937" s="12">
        <v>42132</v>
      </c>
      <c r="B3937">
        <v>2015</v>
      </c>
      <c r="C3937">
        <v>5</v>
      </c>
      <c r="D3937" s="11">
        <v>42125</v>
      </c>
      <c r="E3937" t="s">
        <v>2177</v>
      </c>
      <c r="F3937">
        <v>5</v>
      </c>
      <c r="G3937" t="s">
        <v>55</v>
      </c>
      <c r="H3937" t="s">
        <v>47</v>
      </c>
      <c r="I3937" t="s">
        <v>2195</v>
      </c>
      <c r="J3937" s="10">
        <v>1</v>
      </c>
      <c r="K3937" t="b">
        <v>1</v>
      </c>
    </row>
    <row r="3938" spans="1:11">
      <c r="A3938" s="12">
        <v>42133</v>
      </c>
      <c r="B3938">
        <v>2015</v>
      </c>
      <c r="C3938">
        <v>5</v>
      </c>
      <c r="D3938" s="11">
        <v>42125</v>
      </c>
      <c r="E3938" t="s">
        <v>2177</v>
      </c>
      <c r="F3938">
        <v>6</v>
      </c>
      <c r="G3938" t="s">
        <v>57</v>
      </c>
      <c r="H3938" t="s">
        <v>40</v>
      </c>
      <c r="I3938" t="s">
        <v>2188</v>
      </c>
      <c r="J3938" s="10">
        <v>3.66</v>
      </c>
      <c r="K3938" t="b">
        <v>1</v>
      </c>
    </row>
    <row r="3939" spans="1:11">
      <c r="A3939" s="12">
        <v>42133</v>
      </c>
      <c r="B3939">
        <v>2015</v>
      </c>
      <c r="C3939">
        <v>5</v>
      </c>
      <c r="D3939" s="11">
        <v>42125</v>
      </c>
      <c r="E3939" t="s">
        <v>2177</v>
      </c>
      <c r="F3939">
        <v>6</v>
      </c>
      <c r="G3939" t="s">
        <v>57</v>
      </c>
      <c r="H3939" t="s">
        <v>41</v>
      </c>
      <c r="I3939" t="s">
        <v>2189</v>
      </c>
      <c r="J3939" s="10">
        <v>4.34</v>
      </c>
      <c r="K3939" t="b">
        <v>1</v>
      </c>
    </row>
    <row r="3940" spans="1:11">
      <c r="A3940" s="12">
        <v>42133</v>
      </c>
      <c r="B3940">
        <v>2015</v>
      </c>
      <c r="C3940">
        <v>5</v>
      </c>
      <c r="D3940" s="11">
        <v>42125</v>
      </c>
      <c r="E3940" t="s">
        <v>2177</v>
      </c>
      <c r="F3940">
        <v>6</v>
      </c>
      <c r="G3940" t="s">
        <v>57</v>
      </c>
      <c r="H3940" t="s">
        <v>42</v>
      </c>
      <c r="I3940" t="s">
        <v>2190</v>
      </c>
      <c r="J3940" s="10">
        <v>7.4</v>
      </c>
      <c r="K3940" t="b">
        <v>1</v>
      </c>
    </row>
    <row r="3941" spans="1:11">
      <c r="A3941" s="12">
        <v>42133</v>
      </c>
      <c r="B3941">
        <v>2015</v>
      </c>
      <c r="C3941">
        <v>5</v>
      </c>
      <c r="D3941" s="11">
        <v>42125</v>
      </c>
      <c r="E3941" t="s">
        <v>2177</v>
      </c>
      <c r="F3941">
        <v>6</v>
      </c>
      <c r="G3941" t="s">
        <v>57</v>
      </c>
      <c r="H3941" t="s">
        <v>43</v>
      </c>
      <c r="I3941" t="s">
        <v>2191</v>
      </c>
      <c r="J3941" s="10">
        <v>21</v>
      </c>
      <c r="K3941" t="b">
        <v>1</v>
      </c>
    </row>
    <row r="3942" spans="1:11">
      <c r="A3942" s="12">
        <v>42133</v>
      </c>
      <c r="B3942">
        <v>2015</v>
      </c>
      <c r="C3942">
        <v>5</v>
      </c>
      <c r="D3942" s="11">
        <v>42125</v>
      </c>
      <c r="E3942" t="s">
        <v>2177</v>
      </c>
      <c r="F3942">
        <v>6</v>
      </c>
      <c r="G3942" t="s">
        <v>57</v>
      </c>
      <c r="H3942" t="s">
        <v>44</v>
      </c>
      <c r="I3942" t="s">
        <v>2192</v>
      </c>
      <c r="J3942" s="10">
        <v>11</v>
      </c>
      <c r="K3942" t="b">
        <v>1</v>
      </c>
    </row>
    <row r="3943" spans="1:11">
      <c r="A3943" s="12">
        <v>42133</v>
      </c>
      <c r="B3943">
        <v>2015</v>
      </c>
      <c r="C3943">
        <v>5</v>
      </c>
      <c r="D3943" s="11">
        <v>42125</v>
      </c>
      <c r="E3943" t="s">
        <v>2177</v>
      </c>
      <c r="F3943">
        <v>6</v>
      </c>
      <c r="G3943" t="s">
        <v>57</v>
      </c>
      <c r="H3943" t="s">
        <v>45</v>
      </c>
      <c r="I3943" t="s">
        <v>2193</v>
      </c>
      <c r="J3943" s="10">
        <v>1</v>
      </c>
      <c r="K3943" t="b">
        <v>1</v>
      </c>
    </row>
    <row r="3944" spans="1:11">
      <c r="A3944" s="12">
        <v>42133</v>
      </c>
      <c r="B3944">
        <v>2015</v>
      </c>
      <c r="C3944">
        <v>5</v>
      </c>
      <c r="D3944" s="11">
        <v>42125</v>
      </c>
      <c r="E3944" t="s">
        <v>2177</v>
      </c>
      <c r="F3944">
        <v>6</v>
      </c>
      <c r="G3944" t="s">
        <v>57</v>
      </c>
      <c r="H3944" t="s">
        <v>46</v>
      </c>
      <c r="I3944" t="s">
        <v>2194</v>
      </c>
      <c r="J3944" s="10">
        <v>1</v>
      </c>
      <c r="K3944" t="b">
        <v>1</v>
      </c>
    </row>
    <row r="3945" spans="1:11">
      <c r="A3945" s="12">
        <v>42133</v>
      </c>
      <c r="B3945">
        <v>2015</v>
      </c>
      <c r="C3945">
        <v>5</v>
      </c>
      <c r="D3945" s="11">
        <v>42125</v>
      </c>
      <c r="E3945" t="s">
        <v>2177</v>
      </c>
      <c r="F3945">
        <v>6</v>
      </c>
      <c r="G3945" t="s">
        <v>57</v>
      </c>
      <c r="H3945" t="s">
        <v>47</v>
      </c>
      <c r="I3945" t="s">
        <v>2195</v>
      </c>
      <c r="J3945" s="10">
        <v>6</v>
      </c>
      <c r="K3945" t="b">
        <v>1</v>
      </c>
    </row>
    <row r="3946" spans="1:11">
      <c r="A3946" s="12">
        <v>42134</v>
      </c>
      <c r="B3946">
        <v>2015</v>
      </c>
      <c r="C3946">
        <v>5</v>
      </c>
      <c r="D3946" s="11">
        <v>42125</v>
      </c>
      <c r="E3946" t="s">
        <v>2177</v>
      </c>
      <c r="F3946">
        <v>7</v>
      </c>
      <c r="G3946" t="s">
        <v>59</v>
      </c>
      <c r="H3946" t="s">
        <v>40</v>
      </c>
      <c r="I3946" t="s">
        <v>2188</v>
      </c>
      <c r="J3946" s="10">
        <v>3.34</v>
      </c>
      <c r="K3946" t="b">
        <v>1</v>
      </c>
    </row>
    <row r="3947" spans="1:11">
      <c r="A3947" s="12">
        <v>42134</v>
      </c>
      <c r="B3947">
        <v>2015</v>
      </c>
      <c r="C3947">
        <v>5</v>
      </c>
      <c r="D3947" s="11">
        <v>42125</v>
      </c>
      <c r="E3947" t="s">
        <v>2177</v>
      </c>
      <c r="F3947">
        <v>7</v>
      </c>
      <c r="G3947" t="s">
        <v>59</v>
      </c>
      <c r="H3947" t="s">
        <v>41</v>
      </c>
      <c r="I3947" t="s">
        <v>2189</v>
      </c>
      <c r="J3947" s="10">
        <v>5.427</v>
      </c>
      <c r="K3947" t="b">
        <v>1</v>
      </c>
    </row>
    <row r="3948" spans="1:11">
      <c r="A3948" s="12">
        <v>42134</v>
      </c>
      <c r="B3948">
        <v>2015</v>
      </c>
      <c r="C3948">
        <v>5</v>
      </c>
      <c r="D3948" s="11">
        <v>42125</v>
      </c>
      <c r="E3948" t="s">
        <v>2177</v>
      </c>
      <c r="F3948">
        <v>7</v>
      </c>
      <c r="G3948" t="s">
        <v>59</v>
      </c>
      <c r="H3948" t="s">
        <v>42</v>
      </c>
      <c r="I3948" t="s">
        <v>2190</v>
      </c>
      <c r="J3948" s="10">
        <v>3.8</v>
      </c>
      <c r="K3948" t="b">
        <v>1</v>
      </c>
    </row>
    <row r="3949" spans="1:11">
      <c r="A3949" s="12">
        <v>42134</v>
      </c>
      <c r="B3949">
        <v>2015</v>
      </c>
      <c r="C3949">
        <v>5</v>
      </c>
      <c r="D3949" s="11">
        <v>42125</v>
      </c>
      <c r="E3949" t="s">
        <v>2177</v>
      </c>
      <c r="F3949">
        <v>7</v>
      </c>
      <c r="G3949" t="s">
        <v>59</v>
      </c>
      <c r="H3949" t="s">
        <v>43</v>
      </c>
      <c r="I3949" t="s">
        <v>2191</v>
      </c>
      <c r="J3949" s="10">
        <v>13</v>
      </c>
      <c r="K3949" t="b">
        <v>1</v>
      </c>
    </row>
    <row r="3950" spans="1:11">
      <c r="A3950" s="12">
        <v>42134</v>
      </c>
      <c r="B3950">
        <v>2015</v>
      </c>
      <c r="C3950">
        <v>5</v>
      </c>
      <c r="D3950" s="11">
        <v>42125</v>
      </c>
      <c r="E3950" t="s">
        <v>2177</v>
      </c>
      <c r="F3950">
        <v>7</v>
      </c>
      <c r="G3950" t="s">
        <v>59</v>
      </c>
      <c r="H3950" t="s">
        <v>44</v>
      </c>
      <c r="I3950" t="s">
        <v>2192</v>
      </c>
      <c r="J3950" s="10">
        <v>3</v>
      </c>
      <c r="K3950" t="b">
        <v>1</v>
      </c>
    </row>
    <row r="3951" spans="1:11">
      <c r="A3951" s="12">
        <v>42134</v>
      </c>
      <c r="B3951">
        <v>2015</v>
      </c>
      <c r="C3951">
        <v>5</v>
      </c>
      <c r="D3951" s="11">
        <v>42125</v>
      </c>
      <c r="E3951" t="s">
        <v>2177</v>
      </c>
      <c r="F3951">
        <v>7</v>
      </c>
      <c r="G3951" t="s">
        <v>59</v>
      </c>
      <c r="H3951" t="s">
        <v>45</v>
      </c>
      <c r="I3951" t="s">
        <v>2193</v>
      </c>
      <c r="J3951" s="10">
        <v>0</v>
      </c>
      <c r="K3951" t="b">
        <v>1</v>
      </c>
    </row>
    <row r="3952" spans="1:11">
      <c r="A3952" s="12">
        <v>42134</v>
      </c>
      <c r="B3952">
        <v>2015</v>
      </c>
      <c r="C3952">
        <v>5</v>
      </c>
      <c r="D3952" s="11">
        <v>42125</v>
      </c>
      <c r="E3952" t="s">
        <v>2177</v>
      </c>
      <c r="F3952">
        <v>7</v>
      </c>
      <c r="G3952" t="s">
        <v>59</v>
      </c>
      <c r="H3952" t="s">
        <v>46</v>
      </c>
      <c r="I3952" t="s">
        <v>2194</v>
      </c>
      <c r="J3952" s="10">
        <v>1</v>
      </c>
      <c r="K3952" t="b">
        <v>1</v>
      </c>
    </row>
    <row r="3953" spans="1:11">
      <c r="A3953" s="12">
        <v>42134</v>
      </c>
      <c r="B3953">
        <v>2015</v>
      </c>
      <c r="C3953">
        <v>5</v>
      </c>
      <c r="D3953" s="11">
        <v>42125</v>
      </c>
      <c r="E3953" t="s">
        <v>2177</v>
      </c>
      <c r="F3953">
        <v>7</v>
      </c>
      <c r="G3953" t="s">
        <v>59</v>
      </c>
      <c r="H3953" t="s">
        <v>47</v>
      </c>
      <c r="I3953" t="s">
        <v>2195</v>
      </c>
      <c r="J3953" s="10">
        <v>10</v>
      </c>
      <c r="K3953" t="b">
        <v>1</v>
      </c>
    </row>
    <row r="3954" spans="1:11">
      <c r="A3954" s="12">
        <v>42135</v>
      </c>
      <c r="B3954">
        <v>2015</v>
      </c>
      <c r="C3954">
        <v>5</v>
      </c>
      <c r="D3954" s="11">
        <v>42125</v>
      </c>
      <c r="E3954" t="s">
        <v>2177</v>
      </c>
      <c r="F3954">
        <v>1</v>
      </c>
      <c r="G3954" t="s">
        <v>61</v>
      </c>
      <c r="H3954" t="s">
        <v>40</v>
      </c>
      <c r="I3954" t="s">
        <v>2188</v>
      </c>
      <c r="J3954" s="10">
        <v>3.33</v>
      </c>
      <c r="K3954" t="b">
        <v>1</v>
      </c>
    </row>
    <row r="3955" spans="1:11">
      <c r="A3955" s="12">
        <v>42135</v>
      </c>
      <c r="B3955">
        <v>2015</v>
      </c>
      <c r="C3955">
        <v>5</v>
      </c>
      <c r="D3955" s="11">
        <v>42125</v>
      </c>
      <c r="E3955" t="s">
        <v>2177</v>
      </c>
      <c r="F3955">
        <v>1</v>
      </c>
      <c r="G3955" t="s">
        <v>61</v>
      </c>
      <c r="H3955" t="s">
        <v>41</v>
      </c>
      <c r="I3955" t="s">
        <v>2189</v>
      </c>
      <c r="J3955" s="10">
        <v>6.66</v>
      </c>
      <c r="K3955" t="b">
        <v>1</v>
      </c>
    </row>
    <row r="3956" spans="1:11">
      <c r="A3956" s="12">
        <v>42135</v>
      </c>
      <c r="B3956">
        <v>2015</v>
      </c>
      <c r="C3956">
        <v>5</v>
      </c>
      <c r="D3956" s="11">
        <v>42125</v>
      </c>
      <c r="E3956" t="s">
        <v>2177</v>
      </c>
      <c r="F3956">
        <v>1</v>
      </c>
      <c r="G3956" t="s">
        <v>61</v>
      </c>
      <c r="H3956" t="s">
        <v>42</v>
      </c>
      <c r="I3956" t="s">
        <v>2190</v>
      </c>
      <c r="J3956" s="10">
        <v>5.9</v>
      </c>
      <c r="K3956" t="b">
        <v>1</v>
      </c>
    </row>
    <row r="3957" spans="1:11">
      <c r="A3957" s="12">
        <v>42135</v>
      </c>
      <c r="B3957">
        <v>2015</v>
      </c>
      <c r="C3957">
        <v>5</v>
      </c>
      <c r="D3957" s="11">
        <v>42125</v>
      </c>
      <c r="E3957" t="s">
        <v>2177</v>
      </c>
      <c r="F3957">
        <v>1</v>
      </c>
      <c r="G3957" t="s">
        <v>61</v>
      </c>
      <c r="H3957" t="s">
        <v>43</v>
      </c>
      <c r="I3957" t="s">
        <v>2191</v>
      </c>
      <c r="J3957" s="10">
        <v>21</v>
      </c>
      <c r="K3957" t="b">
        <v>1</v>
      </c>
    </row>
    <row r="3958" spans="1:11">
      <c r="A3958" s="12">
        <v>42135</v>
      </c>
      <c r="B3958">
        <v>2015</v>
      </c>
      <c r="C3958">
        <v>5</v>
      </c>
      <c r="D3958" s="11">
        <v>42125</v>
      </c>
      <c r="E3958" t="s">
        <v>2177</v>
      </c>
      <c r="F3958">
        <v>1</v>
      </c>
      <c r="G3958" t="s">
        <v>61</v>
      </c>
      <c r="H3958" t="s">
        <v>44</v>
      </c>
      <c r="I3958" t="s">
        <v>2192</v>
      </c>
      <c r="J3958" s="10">
        <v>3</v>
      </c>
      <c r="K3958" t="b">
        <v>1</v>
      </c>
    </row>
    <row r="3959" spans="1:11">
      <c r="A3959" s="12">
        <v>42135</v>
      </c>
      <c r="B3959">
        <v>2015</v>
      </c>
      <c r="C3959">
        <v>5</v>
      </c>
      <c r="D3959" s="11">
        <v>42125</v>
      </c>
      <c r="E3959" t="s">
        <v>2177</v>
      </c>
      <c r="F3959">
        <v>1</v>
      </c>
      <c r="G3959" t="s">
        <v>61</v>
      </c>
      <c r="H3959" t="s">
        <v>45</v>
      </c>
      <c r="I3959" t="s">
        <v>2193</v>
      </c>
      <c r="J3959" s="10">
        <v>0</v>
      </c>
      <c r="K3959" t="b">
        <v>1</v>
      </c>
    </row>
    <row r="3960" spans="1:11">
      <c r="A3960" s="12">
        <v>42135</v>
      </c>
      <c r="B3960">
        <v>2015</v>
      </c>
      <c r="C3960">
        <v>5</v>
      </c>
      <c r="D3960" s="11">
        <v>42125</v>
      </c>
      <c r="E3960" t="s">
        <v>2177</v>
      </c>
      <c r="F3960">
        <v>1</v>
      </c>
      <c r="G3960" t="s">
        <v>61</v>
      </c>
      <c r="H3960" t="s">
        <v>46</v>
      </c>
      <c r="I3960" t="s">
        <v>2194</v>
      </c>
      <c r="J3960" s="10">
        <v>6</v>
      </c>
      <c r="K3960" t="b">
        <v>1</v>
      </c>
    </row>
    <row r="3961" spans="1:11">
      <c r="A3961" s="12">
        <v>42135</v>
      </c>
      <c r="B3961">
        <v>2015</v>
      </c>
      <c r="C3961">
        <v>5</v>
      </c>
      <c r="D3961" s="11">
        <v>42125</v>
      </c>
      <c r="E3961" t="s">
        <v>2177</v>
      </c>
      <c r="F3961">
        <v>1</v>
      </c>
      <c r="G3961" t="s">
        <v>61</v>
      </c>
      <c r="H3961" t="s">
        <v>47</v>
      </c>
      <c r="I3961" t="s">
        <v>2195</v>
      </c>
      <c r="J3961" s="10">
        <v>4</v>
      </c>
      <c r="K3961" t="b">
        <v>1</v>
      </c>
    </row>
    <row r="3962" spans="1:11">
      <c r="A3962" s="12">
        <v>42136</v>
      </c>
      <c r="B3962">
        <v>2015</v>
      </c>
      <c r="C3962">
        <v>5</v>
      </c>
      <c r="D3962" s="11">
        <v>42125</v>
      </c>
      <c r="E3962" t="s">
        <v>2177</v>
      </c>
      <c r="F3962">
        <v>2</v>
      </c>
      <c r="G3962" t="s">
        <v>63</v>
      </c>
      <c r="H3962" t="s">
        <v>40</v>
      </c>
      <c r="I3962" t="s">
        <v>2188</v>
      </c>
      <c r="J3962" s="10">
        <v>7.33</v>
      </c>
      <c r="K3962" t="b">
        <v>1</v>
      </c>
    </row>
    <row r="3963" spans="1:11">
      <c r="A3963" s="12">
        <v>42136</v>
      </c>
      <c r="B3963">
        <v>2015</v>
      </c>
      <c r="C3963">
        <v>5</v>
      </c>
      <c r="D3963" s="11">
        <v>42125</v>
      </c>
      <c r="E3963" t="s">
        <v>2177</v>
      </c>
      <c r="F3963">
        <v>2</v>
      </c>
      <c r="G3963" t="s">
        <v>63</v>
      </c>
      <c r="H3963" t="s">
        <v>41</v>
      </c>
      <c r="I3963" t="s">
        <v>2189</v>
      </c>
      <c r="J3963" s="10">
        <v>1.99</v>
      </c>
      <c r="K3963" t="b">
        <v>1</v>
      </c>
    </row>
    <row r="3964" spans="1:11">
      <c r="A3964" s="12">
        <v>42136</v>
      </c>
      <c r="B3964">
        <v>2015</v>
      </c>
      <c r="C3964">
        <v>5</v>
      </c>
      <c r="D3964" s="11">
        <v>42125</v>
      </c>
      <c r="E3964" t="s">
        <v>2177</v>
      </c>
      <c r="F3964">
        <v>2</v>
      </c>
      <c r="G3964" t="s">
        <v>63</v>
      </c>
      <c r="H3964" t="s">
        <v>42</v>
      </c>
      <c r="I3964" t="s">
        <v>2190</v>
      </c>
      <c r="J3964" s="10">
        <v>8.199999999999999</v>
      </c>
      <c r="K3964" t="b">
        <v>1</v>
      </c>
    </row>
    <row r="3965" spans="1:11">
      <c r="A3965" s="12">
        <v>42136</v>
      </c>
      <c r="B3965">
        <v>2015</v>
      </c>
      <c r="C3965">
        <v>5</v>
      </c>
      <c r="D3965" s="11">
        <v>42125</v>
      </c>
      <c r="E3965" t="s">
        <v>2177</v>
      </c>
      <c r="F3965">
        <v>2</v>
      </c>
      <c r="G3965" t="s">
        <v>63</v>
      </c>
      <c r="H3965" t="s">
        <v>43</v>
      </c>
      <c r="I3965" t="s">
        <v>2191</v>
      </c>
      <c r="J3965" s="10">
        <v>22.95</v>
      </c>
      <c r="K3965" t="b">
        <v>1</v>
      </c>
    </row>
    <row r="3966" spans="1:11">
      <c r="A3966" s="12">
        <v>42136</v>
      </c>
      <c r="B3966">
        <v>2015</v>
      </c>
      <c r="C3966">
        <v>5</v>
      </c>
      <c r="D3966" s="11">
        <v>42125</v>
      </c>
      <c r="E3966" t="s">
        <v>2177</v>
      </c>
      <c r="F3966">
        <v>2</v>
      </c>
      <c r="G3966" t="s">
        <v>63</v>
      </c>
      <c r="H3966" t="s">
        <v>44</v>
      </c>
      <c r="I3966" t="s">
        <v>2192</v>
      </c>
      <c r="J3966" s="10">
        <v>13</v>
      </c>
      <c r="K3966" t="b">
        <v>1</v>
      </c>
    </row>
    <row r="3967" spans="1:11">
      <c r="A3967" s="12">
        <v>42136</v>
      </c>
      <c r="B3967">
        <v>2015</v>
      </c>
      <c r="C3967">
        <v>5</v>
      </c>
      <c r="D3967" s="11">
        <v>42125</v>
      </c>
      <c r="E3967" t="s">
        <v>2177</v>
      </c>
      <c r="F3967">
        <v>2</v>
      </c>
      <c r="G3967" t="s">
        <v>63</v>
      </c>
      <c r="H3967" t="s">
        <v>45</v>
      </c>
      <c r="I3967" t="s">
        <v>2193</v>
      </c>
      <c r="J3967" s="10">
        <v>0</v>
      </c>
      <c r="K3967" t="b">
        <v>1</v>
      </c>
    </row>
    <row r="3968" spans="1:11">
      <c r="A3968" s="12">
        <v>42136</v>
      </c>
      <c r="B3968">
        <v>2015</v>
      </c>
      <c r="C3968">
        <v>5</v>
      </c>
      <c r="D3968" s="11">
        <v>42125</v>
      </c>
      <c r="E3968" t="s">
        <v>2177</v>
      </c>
      <c r="F3968">
        <v>2</v>
      </c>
      <c r="G3968" t="s">
        <v>63</v>
      </c>
      <c r="H3968" t="s">
        <v>46</v>
      </c>
      <c r="I3968" t="s">
        <v>2194</v>
      </c>
      <c r="J3968" s="10">
        <v>0</v>
      </c>
      <c r="K3968" t="b">
        <v>1</v>
      </c>
    </row>
    <row r="3969" spans="1:11">
      <c r="A3969" s="12">
        <v>42136</v>
      </c>
      <c r="B3969">
        <v>2015</v>
      </c>
      <c r="C3969">
        <v>5</v>
      </c>
      <c r="D3969" s="11">
        <v>42125</v>
      </c>
      <c r="E3969" t="s">
        <v>2177</v>
      </c>
      <c r="F3969">
        <v>2</v>
      </c>
      <c r="G3969" t="s">
        <v>63</v>
      </c>
      <c r="H3969" t="s">
        <v>47</v>
      </c>
      <c r="I3969" t="s">
        <v>2195</v>
      </c>
      <c r="J3969" s="10">
        <v>8</v>
      </c>
      <c r="K3969" t="b">
        <v>1</v>
      </c>
    </row>
    <row r="3970" spans="1:11">
      <c r="A3970" s="12">
        <v>42137</v>
      </c>
      <c r="B3970">
        <v>2015</v>
      </c>
      <c r="C3970">
        <v>5</v>
      </c>
      <c r="D3970" s="11">
        <v>42125</v>
      </c>
      <c r="E3970" t="s">
        <v>2177</v>
      </c>
      <c r="F3970">
        <v>3</v>
      </c>
      <c r="G3970" t="s">
        <v>65</v>
      </c>
      <c r="H3970" t="s">
        <v>40</v>
      </c>
      <c r="I3970" t="s">
        <v>2188</v>
      </c>
      <c r="J3970" s="10">
        <v>8</v>
      </c>
      <c r="K3970" t="b">
        <v>1</v>
      </c>
    </row>
    <row r="3971" spans="1:11">
      <c r="A3971" s="12">
        <v>42137</v>
      </c>
      <c r="B3971">
        <v>2015</v>
      </c>
      <c r="C3971">
        <v>5</v>
      </c>
      <c r="D3971" s="11">
        <v>42125</v>
      </c>
      <c r="E3971" t="s">
        <v>2177</v>
      </c>
      <c r="F3971">
        <v>3</v>
      </c>
      <c r="G3971" t="s">
        <v>65</v>
      </c>
      <c r="H3971" t="s">
        <v>41</v>
      </c>
      <c r="I3971" t="s">
        <v>2189</v>
      </c>
      <c r="J3971" s="10">
        <v>3.44</v>
      </c>
      <c r="K3971" t="b">
        <v>1</v>
      </c>
    </row>
    <row r="3972" spans="1:11">
      <c r="A3972" s="12">
        <v>42137</v>
      </c>
      <c r="B3972">
        <v>2015</v>
      </c>
      <c r="C3972">
        <v>5</v>
      </c>
      <c r="D3972" s="11">
        <v>42125</v>
      </c>
      <c r="E3972" t="s">
        <v>2177</v>
      </c>
      <c r="F3972">
        <v>3</v>
      </c>
      <c r="G3972" t="s">
        <v>65</v>
      </c>
      <c r="H3972" t="s">
        <v>42</v>
      </c>
      <c r="I3972" t="s">
        <v>2190</v>
      </c>
      <c r="J3972" s="10">
        <v>9</v>
      </c>
      <c r="K3972" t="b">
        <v>1</v>
      </c>
    </row>
    <row r="3973" spans="1:11">
      <c r="A3973" s="12">
        <v>42137</v>
      </c>
      <c r="B3973">
        <v>2015</v>
      </c>
      <c r="C3973">
        <v>5</v>
      </c>
      <c r="D3973" s="11">
        <v>42125</v>
      </c>
      <c r="E3973" t="s">
        <v>2177</v>
      </c>
      <c r="F3973">
        <v>3</v>
      </c>
      <c r="G3973" t="s">
        <v>65</v>
      </c>
      <c r="H3973" t="s">
        <v>43</v>
      </c>
      <c r="I3973" t="s">
        <v>2191</v>
      </c>
      <c r="J3973" s="10">
        <v>28.4</v>
      </c>
      <c r="K3973" t="b">
        <v>1</v>
      </c>
    </row>
    <row r="3974" spans="1:11">
      <c r="A3974" s="12">
        <v>42137</v>
      </c>
      <c r="B3974">
        <v>2015</v>
      </c>
      <c r="C3974">
        <v>5</v>
      </c>
      <c r="D3974" s="11">
        <v>42125</v>
      </c>
      <c r="E3974" t="s">
        <v>2177</v>
      </c>
      <c r="F3974">
        <v>3</v>
      </c>
      <c r="G3974" t="s">
        <v>65</v>
      </c>
      <c r="H3974" t="s">
        <v>44</v>
      </c>
      <c r="I3974" t="s">
        <v>2192</v>
      </c>
      <c r="J3974" s="10">
        <v>5</v>
      </c>
      <c r="K3974" t="b">
        <v>1</v>
      </c>
    </row>
    <row r="3975" spans="1:11">
      <c r="A3975" s="12">
        <v>42137</v>
      </c>
      <c r="B3975">
        <v>2015</v>
      </c>
      <c r="C3975">
        <v>5</v>
      </c>
      <c r="D3975" s="11">
        <v>42125</v>
      </c>
      <c r="E3975" t="s">
        <v>2177</v>
      </c>
      <c r="F3975">
        <v>3</v>
      </c>
      <c r="G3975" t="s">
        <v>65</v>
      </c>
      <c r="H3975" t="s">
        <v>45</v>
      </c>
      <c r="I3975" t="s">
        <v>2193</v>
      </c>
      <c r="J3975" s="10">
        <v>0</v>
      </c>
      <c r="K3975" t="b">
        <v>1</v>
      </c>
    </row>
    <row r="3976" spans="1:11">
      <c r="A3976" s="12">
        <v>42137</v>
      </c>
      <c r="B3976">
        <v>2015</v>
      </c>
      <c r="C3976">
        <v>5</v>
      </c>
      <c r="D3976" s="11">
        <v>42125</v>
      </c>
      <c r="E3976" t="s">
        <v>2177</v>
      </c>
      <c r="F3976">
        <v>3</v>
      </c>
      <c r="G3976" t="s">
        <v>65</v>
      </c>
      <c r="H3976" t="s">
        <v>46</v>
      </c>
      <c r="I3976" t="s">
        <v>2194</v>
      </c>
      <c r="J3976" s="10">
        <v>2</v>
      </c>
      <c r="K3976" t="b">
        <v>1</v>
      </c>
    </row>
    <row r="3977" spans="1:11">
      <c r="A3977" s="12">
        <v>42137</v>
      </c>
      <c r="B3977">
        <v>2015</v>
      </c>
      <c r="C3977">
        <v>5</v>
      </c>
      <c r="D3977" s="11">
        <v>42125</v>
      </c>
      <c r="E3977" t="s">
        <v>2177</v>
      </c>
      <c r="F3977">
        <v>3</v>
      </c>
      <c r="G3977" t="s">
        <v>65</v>
      </c>
      <c r="H3977" t="s">
        <v>47</v>
      </c>
      <c r="I3977" t="s">
        <v>2195</v>
      </c>
      <c r="J3977" s="10">
        <v>4.5</v>
      </c>
      <c r="K3977" t="b">
        <v>1</v>
      </c>
    </row>
    <row r="3978" spans="1:11">
      <c r="A3978" s="12">
        <v>42138</v>
      </c>
      <c r="B3978">
        <v>2015</v>
      </c>
      <c r="C3978">
        <v>5</v>
      </c>
      <c r="D3978" s="11">
        <v>42125</v>
      </c>
      <c r="E3978" t="s">
        <v>2177</v>
      </c>
      <c r="F3978">
        <v>4</v>
      </c>
      <c r="G3978" t="s">
        <v>53</v>
      </c>
      <c r="H3978" t="s">
        <v>40</v>
      </c>
      <c r="I3978" t="s">
        <v>2188</v>
      </c>
      <c r="J3978" s="10">
        <v>3</v>
      </c>
      <c r="K3978" t="b">
        <v>1</v>
      </c>
    </row>
    <row r="3979" spans="1:11">
      <c r="A3979" s="12">
        <v>42138</v>
      </c>
      <c r="B3979">
        <v>2015</v>
      </c>
      <c r="C3979">
        <v>5</v>
      </c>
      <c r="D3979" s="11">
        <v>42125</v>
      </c>
      <c r="E3979" t="s">
        <v>2177</v>
      </c>
      <c r="F3979">
        <v>4</v>
      </c>
      <c r="G3979" t="s">
        <v>53</v>
      </c>
      <c r="H3979" t="s">
        <v>41</v>
      </c>
      <c r="I3979" t="s">
        <v>2189</v>
      </c>
      <c r="J3979" s="10">
        <v>5.067</v>
      </c>
      <c r="K3979" t="b">
        <v>1</v>
      </c>
    </row>
    <row r="3980" spans="1:11">
      <c r="A3980" s="12">
        <v>42138</v>
      </c>
      <c r="B3980">
        <v>2015</v>
      </c>
      <c r="C3980">
        <v>5</v>
      </c>
      <c r="D3980" s="11">
        <v>42125</v>
      </c>
      <c r="E3980" t="s">
        <v>2177</v>
      </c>
      <c r="F3980">
        <v>4</v>
      </c>
      <c r="G3980" t="s">
        <v>53</v>
      </c>
      <c r="H3980" t="s">
        <v>42</v>
      </c>
      <c r="I3980" t="s">
        <v>2190</v>
      </c>
      <c r="J3980" s="10">
        <v>3</v>
      </c>
      <c r="K3980" t="b">
        <v>1</v>
      </c>
    </row>
    <row r="3981" spans="1:11">
      <c r="A3981" s="12">
        <v>42138</v>
      </c>
      <c r="B3981">
        <v>2015</v>
      </c>
      <c r="C3981">
        <v>5</v>
      </c>
      <c r="D3981" s="11">
        <v>42125</v>
      </c>
      <c r="E3981" t="s">
        <v>2177</v>
      </c>
      <c r="F3981">
        <v>4</v>
      </c>
      <c r="G3981" t="s">
        <v>53</v>
      </c>
      <c r="H3981" t="s">
        <v>43</v>
      </c>
      <c r="I3981" t="s">
        <v>2191</v>
      </c>
      <c r="J3981" s="10">
        <v>14</v>
      </c>
      <c r="K3981" t="b">
        <v>1</v>
      </c>
    </row>
    <row r="3982" spans="1:11">
      <c r="A3982" s="12">
        <v>42138</v>
      </c>
      <c r="B3982">
        <v>2015</v>
      </c>
      <c r="C3982">
        <v>5</v>
      </c>
      <c r="D3982" s="11">
        <v>42125</v>
      </c>
      <c r="E3982" t="s">
        <v>2177</v>
      </c>
      <c r="F3982">
        <v>4</v>
      </c>
      <c r="G3982" t="s">
        <v>53</v>
      </c>
      <c r="H3982" t="s">
        <v>44</v>
      </c>
      <c r="I3982" t="s">
        <v>2192</v>
      </c>
      <c r="J3982" s="10">
        <v>1</v>
      </c>
      <c r="K3982" t="b">
        <v>1</v>
      </c>
    </row>
    <row r="3983" spans="1:11">
      <c r="A3983" s="12">
        <v>42138</v>
      </c>
      <c r="B3983">
        <v>2015</v>
      </c>
      <c r="C3983">
        <v>5</v>
      </c>
      <c r="D3983" s="11">
        <v>42125</v>
      </c>
      <c r="E3983" t="s">
        <v>2177</v>
      </c>
      <c r="F3983">
        <v>4</v>
      </c>
      <c r="G3983" t="s">
        <v>53</v>
      </c>
      <c r="H3983" t="s">
        <v>45</v>
      </c>
      <c r="I3983" t="s">
        <v>2193</v>
      </c>
      <c r="J3983" s="10">
        <v>0</v>
      </c>
      <c r="K3983" t="b">
        <v>1</v>
      </c>
    </row>
    <row r="3984" spans="1:11">
      <c r="A3984" s="12">
        <v>42138</v>
      </c>
      <c r="B3984">
        <v>2015</v>
      </c>
      <c r="C3984">
        <v>5</v>
      </c>
      <c r="D3984" s="11">
        <v>42125</v>
      </c>
      <c r="E3984" t="s">
        <v>2177</v>
      </c>
      <c r="F3984">
        <v>4</v>
      </c>
      <c r="G3984" t="s">
        <v>53</v>
      </c>
      <c r="H3984" t="s">
        <v>46</v>
      </c>
      <c r="I3984" t="s">
        <v>2194</v>
      </c>
      <c r="J3984" s="10">
        <v>0</v>
      </c>
      <c r="K3984" t="b">
        <v>1</v>
      </c>
    </row>
    <row r="3985" spans="1:11">
      <c r="A3985" s="12">
        <v>42138</v>
      </c>
      <c r="B3985">
        <v>2015</v>
      </c>
      <c r="C3985">
        <v>5</v>
      </c>
      <c r="D3985" s="11">
        <v>42125</v>
      </c>
      <c r="E3985" t="s">
        <v>2177</v>
      </c>
      <c r="F3985">
        <v>4</v>
      </c>
      <c r="G3985" t="s">
        <v>53</v>
      </c>
      <c r="H3985" t="s">
        <v>47</v>
      </c>
      <c r="I3985" t="s">
        <v>2195</v>
      </c>
      <c r="J3985" s="10">
        <v>5</v>
      </c>
      <c r="K3985" t="b">
        <v>1</v>
      </c>
    </row>
    <row r="3986" spans="1:11">
      <c r="A3986" s="12">
        <v>42139</v>
      </c>
      <c r="B3986">
        <v>2015</v>
      </c>
      <c r="C3986">
        <v>5</v>
      </c>
      <c r="D3986" s="11">
        <v>42125</v>
      </c>
      <c r="E3986" t="s">
        <v>2177</v>
      </c>
      <c r="F3986">
        <v>5</v>
      </c>
      <c r="G3986" t="s">
        <v>55</v>
      </c>
      <c r="H3986" t="s">
        <v>40</v>
      </c>
      <c r="I3986" t="s">
        <v>2188</v>
      </c>
      <c r="J3986" s="10">
        <v>3.34</v>
      </c>
      <c r="K3986" t="b">
        <v>1</v>
      </c>
    </row>
    <row r="3987" spans="1:11">
      <c r="A3987" s="12">
        <v>42139</v>
      </c>
      <c r="B3987">
        <v>2015</v>
      </c>
      <c r="C3987">
        <v>5</v>
      </c>
      <c r="D3987" s="11">
        <v>42125</v>
      </c>
      <c r="E3987" t="s">
        <v>2177</v>
      </c>
      <c r="F3987">
        <v>5</v>
      </c>
      <c r="G3987" t="s">
        <v>55</v>
      </c>
      <c r="H3987" t="s">
        <v>41</v>
      </c>
      <c r="I3987" t="s">
        <v>2189</v>
      </c>
      <c r="J3987" s="10">
        <v>6.53</v>
      </c>
      <c r="K3987" t="b">
        <v>1</v>
      </c>
    </row>
    <row r="3988" spans="1:11">
      <c r="A3988" s="12">
        <v>42139</v>
      </c>
      <c r="B3988">
        <v>2015</v>
      </c>
      <c r="C3988">
        <v>5</v>
      </c>
      <c r="D3988" s="11">
        <v>42125</v>
      </c>
      <c r="E3988" t="s">
        <v>2177</v>
      </c>
      <c r="F3988">
        <v>5</v>
      </c>
      <c r="G3988" t="s">
        <v>55</v>
      </c>
      <c r="H3988" t="s">
        <v>42</v>
      </c>
      <c r="I3988" t="s">
        <v>2190</v>
      </c>
      <c r="J3988" s="10">
        <v>4.3</v>
      </c>
      <c r="K3988" t="b">
        <v>1</v>
      </c>
    </row>
    <row r="3989" spans="1:11">
      <c r="A3989" s="12">
        <v>42139</v>
      </c>
      <c r="B3989">
        <v>2015</v>
      </c>
      <c r="C3989">
        <v>5</v>
      </c>
      <c r="D3989" s="11">
        <v>42125</v>
      </c>
      <c r="E3989" t="s">
        <v>2177</v>
      </c>
      <c r="F3989">
        <v>5</v>
      </c>
      <c r="G3989" t="s">
        <v>55</v>
      </c>
      <c r="H3989" t="s">
        <v>43</v>
      </c>
      <c r="I3989" t="s">
        <v>2191</v>
      </c>
      <c r="J3989" s="10">
        <v>48.4</v>
      </c>
      <c r="K3989" t="b">
        <v>1</v>
      </c>
    </row>
    <row r="3990" spans="1:11">
      <c r="A3990" s="12">
        <v>42139</v>
      </c>
      <c r="B3990">
        <v>2015</v>
      </c>
      <c r="C3990">
        <v>5</v>
      </c>
      <c r="D3990" s="11">
        <v>42125</v>
      </c>
      <c r="E3990" t="s">
        <v>2177</v>
      </c>
      <c r="F3990">
        <v>5</v>
      </c>
      <c r="G3990" t="s">
        <v>55</v>
      </c>
      <c r="H3990" t="s">
        <v>44</v>
      </c>
      <c r="I3990" t="s">
        <v>2192</v>
      </c>
      <c r="J3990" s="10">
        <v>8</v>
      </c>
      <c r="K3990" t="b">
        <v>1</v>
      </c>
    </row>
    <row r="3991" spans="1:11">
      <c r="A3991" s="12">
        <v>42139</v>
      </c>
      <c r="B3991">
        <v>2015</v>
      </c>
      <c r="C3991">
        <v>5</v>
      </c>
      <c r="D3991" s="11">
        <v>42125</v>
      </c>
      <c r="E3991" t="s">
        <v>2177</v>
      </c>
      <c r="F3991">
        <v>5</v>
      </c>
      <c r="G3991" t="s">
        <v>55</v>
      </c>
      <c r="H3991" t="s">
        <v>45</v>
      </c>
      <c r="I3991" t="s">
        <v>2193</v>
      </c>
      <c r="J3991" s="10">
        <v>0</v>
      </c>
      <c r="K3991" t="b">
        <v>1</v>
      </c>
    </row>
    <row r="3992" spans="1:11">
      <c r="A3992" s="12">
        <v>42139</v>
      </c>
      <c r="B3992">
        <v>2015</v>
      </c>
      <c r="C3992">
        <v>5</v>
      </c>
      <c r="D3992" s="11">
        <v>42125</v>
      </c>
      <c r="E3992" t="s">
        <v>2177</v>
      </c>
      <c r="F3992">
        <v>5</v>
      </c>
      <c r="G3992" t="s">
        <v>55</v>
      </c>
      <c r="H3992" t="s">
        <v>46</v>
      </c>
      <c r="I3992" t="s">
        <v>2194</v>
      </c>
      <c r="J3992" s="10">
        <v>4</v>
      </c>
      <c r="K3992" t="b">
        <v>1</v>
      </c>
    </row>
    <row r="3993" spans="1:11">
      <c r="A3993" s="12">
        <v>42139</v>
      </c>
      <c r="B3993">
        <v>2015</v>
      </c>
      <c r="C3993">
        <v>5</v>
      </c>
      <c r="D3993" s="11">
        <v>42125</v>
      </c>
      <c r="E3993" t="s">
        <v>2177</v>
      </c>
      <c r="F3993">
        <v>5</v>
      </c>
      <c r="G3993" t="s">
        <v>55</v>
      </c>
      <c r="H3993" t="s">
        <v>47</v>
      </c>
      <c r="I3993" t="s">
        <v>2195</v>
      </c>
      <c r="J3993" s="10">
        <v>3.2</v>
      </c>
      <c r="K3993" t="b">
        <v>1</v>
      </c>
    </row>
    <row r="3994" spans="1:11">
      <c r="A3994" s="12">
        <v>42140</v>
      </c>
      <c r="B3994">
        <v>2015</v>
      </c>
      <c r="C3994">
        <v>5</v>
      </c>
      <c r="D3994" s="11">
        <v>42125</v>
      </c>
      <c r="E3994" t="s">
        <v>2177</v>
      </c>
      <c r="F3994">
        <v>6</v>
      </c>
      <c r="G3994" t="s">
        <v>57</v>
      </c>
      <c r="H3994" t="s">
        <v>40</v>
      </c>
      <c r="I3994" t="s">
        <v>2188</v>
      </c>
      <c r="J3994" s="10">
        <v>5</v>
      </c>
      <c r="K3994" t="b">
        <v>1</v>
      </c>
    </row>
    <row r="3995" spans="1:11">
      <c r="A3995" s="12">
        <v>42140</v>
      </c>
      <c r="B3995">
        <v>2015</v>
      </c>
      <c r="C3995">
        <v>5</v>
      </c>
      <c r="D3995" s="11">
        <v>42125</v>
      </c>
      <c r="E3995" t="s">
        <v>2177</v>
      </c>
      <c r="F3995">
        <v>6</v>
      </c>
      <c r="G3995" t="s">
        <v>57</v>
      </c>
      <c r="H3995" t="s">
        <v>41</v>
      </c>
      <c r="I3995" t="s">
        <v>2189</v>
      </c>
      <c r="J3995" s="10">
        <v>4.066</v>
      </c>
      <c r="K3995" t="b">
        <v>1</v>
      </c>
    </row>
    <row r="3996" spans="1:11">
      <c r="A3996" s="12">
        <v>42140</v>
      </c>
      <c r="B3996">
        <v>2015</v>
      </c>
      <c r="C3996">
        <v>5</v>
      </c>
      <c r="D3996" s="11">
        <v>42125</v>
      </c>
      <c r="E3996" t="s">
        <v>2177</v>
      </c>
      <c r="F3996">
        <v>6</v>
      </c>
      <c r="G3996" t="s">
        <v>57</v>
      </c>
      <c r="H3996" t="s">
        <v>42</v>
      </c>
      <c r="I3996" t="s">
        <v>2190</v>
      </c>
      <c r="J3996" s="10">
        <v>4.1</v>
      </c>
      <c r="K3996" t="b">
        <v>1</v>
      </c>
    </row>
    <row r="3997" spans="1:11">
      <c r="A3997" s="12">
        <v>42140</v>
      </c>
      <c r="B3997">
        <v>2015</v>
      </c>
      <c r="C3997">
        <v>5</v>
      </c>
      <c r="D3997" s="11">
        <v>42125</v>
      </c>
      <c r="E3997" t="s">
        <v>2177</v>
      </c>
      <c r="F3997">
        <v>6</v>
      </c>
      <c r="G3997" t="s">
        <v>57</v>
      </c>
      <c r="H3997" t="s">
        <v>43</v>
      </c>
      <c r="I3997" t="s">
        <v>2191</v>
      </c>
      <c r="J3997" s="10">
        <v>40.4</v>
      </c>
      <c r="K3997" t="b">
        <v>1</v>
      </c>
    </row>
    <row r="3998" spans="1:11">
      <c r="A3998" s="12">
        <v>42140</v>
      </c>
      <c r="B3998">
        <v>2015</v>
      </c>
      <c r="C3998">
        <v>5</v>
      </c>
      <c r="D3998" s="11">
        <v>42125</v>
      </c>
      <c r="E3998" t="s">
        <v>2177</v>
      </c>
      <c r="F3998">
        <v>6</v>
      </c>
      <c r="G3998" t="s">
        <v>57</v>
      </c>
      <c r="H3998" t="s">
        <v>44</v>
      </c>
      <c r="I3998" t="s">
        <v>2192</v>
      </c>
      <c r="J3998" s="10">
        <v>4</v>
      </c>
      <c r="K3998" t="b">
        <v>1</v>
      </c>
    </row>
    <row r="3999" spans="1:11">
      <c r="A3999" s="12">
        <v>42140</v>
      </c>
      <c r="B3999">
        <v>2015</v>
      </c>
      <c r="C3999">
        <v>5</v>
      </c>
      <c r="D3999" s="11">
        <v>42125</v>
      </c>
      <c r="E3999" t="s">
        <v>2177</v>
      </c>
      <c r="F3999">
        <v>6</v>
      </c>
      <c r="G3999" t="s">
        <v>57</v>
      </c>
      <c r="H3999" t="s">
        <v>45</v>
      </c>
      <c r="I3999" t="s">
        <v>2193</v>
      </c>
      <c r="J3999" s="10">
        <v>0</v>
      </c>
      <c r="K3999" t="b">
        <v>1</v>
      </c>
    </row>
    <row r="4000" spans="1:11">
      <c r="A4000" s="12">
        <v>42140</v>
      </c>
      <c r="B4000">
        <v>2015</v>
      </c>
      <c r="C4000">
        <v>5</v>
      </c>
      <c r="D4000" s="11">
        <v>42125</v>
      </c>
      <c r="E4000" t="s">
        <v>2177</v>
      </c>
      <c r="F4000">
        <v>6</v>
      </c>
      <c r="G4000" t="s">
        <v>57</v>
      </c>
      <c r="H4000" t="s">
        <v>46</v>
      </c>
      <c r="I4000" t="s">
        <v>2194</v>
      </c>
      <c r="J4000" s="10">
        <v>0</v>
      </c>
      <c r="K4000" t="b">
        <v>1</v>
      </c>
    </row>
    <row r="4001" spans="1:11">
      <c r="A4001" s="12">
        <v>42140</v>
      </c>
      <c r="B4001">
        <v>2015</v>
      </c>
      <c r="C4001">
        <v>5</v>
      </c>
      <c r="D4001" s="11">
        <v>42125</v>
      </c>
      <c r="E4001" t="s">
        <v>2177</v>
      </c>
      <c r="F4001">
        <v>6</v>
      </c>
      <c r="G4001" t="s">
        <v>57</v>
      </c>
      <c r="H4001" t="s">
        <v>47</v>
      </c>
      <c r="I4001" t="s">
        <v>2195</v>
      </c>
      <c r="J4001" s="10">
        <v>4</v>
      </c>
      <c r="K4001" t="b">
        <v>1</v>
      </c>
    </row>
    <row r="4002" spans="1:11">
      <c r="A4002" s="12">
        <v>42141</v>
      </c>
      <c r="B4002">
        <v>2015</v>
      </c>
      <c r="C4002">
        <v>5</v>
      </c>
      <c r="D4002" s="11">
        <v>42125</v>
      </c>
      <c r="E4002" t="s">
        <v>2177</v>
      </c>
      <c r="F4002">
        <v>7</v>
      </c>
      <c r="G4002" t="s">
        <v>59</v>
      </c>
      <c r="H4002" t="s">
        <v>40</v>
      </c>
      <c r="I4002" t="s">
        <v>2188</v>
      </c>
      <c r="J4002" s="10">
        <v>5</v>
      </c>
      <c r="K4002" t="b">
        <v>1</v>
      </c>
    </row>
    <row r="4003" spans="1:11">
      <c r="A4003" s="12">
        <v>42141</v>
      </c>
      <c r="B4003">
        <v>2015</v>
      </c>
      <c r="C4003">
        <v>5</v>
      </c>
      <c r="D4003" s="11">
        <v>42125</v>
      </c>
      <c r="E4003" t="s">
        <v>2177</v>
      </c>
      <c r="F4003">
        <v>7</v>
      </c>
      <c r="G4003" t="s">
        <v>59</v>
      </c>
      <c r="H4003" t="s">
        <v>41</v>
      </c>
      <c r="I4003" t="s">
        <v>2189</v>
      </c>
      <c r="J4003" s="10">
        <v>3.33</v>
      </c>
      <c r="K4003" t="b">
        <v>1</v>
      </c>
    </row>
    <row r="4004" spans="1:11">
      <c r="A4004" s="12">
        <v>42141</v>
      </c>
      <c r="B4004">
        <v>2015</v>
      </c>
      <c r="C4004">
        <v>5</v>
      </c>
      <c r="D4004" s="11">
        <v>42125</v>
      </c>
      <c r="E4004" t="s">
        <v>2177</v>
      </c>
      <c r="F4004">
        <v>7</v>
      </c>
      <c r="G4004" t="s">
        <v>59</v>
      </c>
      <c r="H4004" t="s">
        <v>42</v>
      </c>
      <c r="I4004" t="s">
        <v>2190</v>
      </c>
      <c r="J4004" s="10">
        <v>5</v>
      </c>
      <c r="K4004" t="b">
        <v>1</v>
      </c>
    </row>
    <row r="4005" spans="1:11">
      <c r="A4005" s="12">
        <v>42141</v>
      </c>
      <c r="B4005">
        <v>2015</v>
      </c>
      <c r="C4005">
        <v>5</v>
      </c>
      <c r="D4005" s="11">
        <v>42125</v>
      </c>
      <c r="E4005" t="s">
        <v>2177</v>
      </c>
      <c r="F4005">
        <v>7</v>
      </c>
      <c r="G4005" t="s">
        <v>59</v>
      </c>
      <c r="H4005" t="s">
        <v>43</v>
      </c>
      <c r="I4005" t="s">
        <v>2191</v>
      </c>
      <c r="J4005" s="10">
        <v>23.2</v>
      </c>
      <c r="K4005" t="b">
        <v>1</v>
      </c>
    </row>
    <row r="4006" spans="1:11">
      <c r="A4006" s="12">
        <v>42141</v>
      </c>
      <c r="B4006">
        <v>2015</v>
      </c>
      <c r="C4006">
        <v>5</v>
      </c>
      <c r="D4006" s="11">
        <v>42125</v>
      </c>
      <c r="E4006" t="s">
        <v>2177</v>
      </c>
      <c r="F4006">
        <v>7</v>
      </c>
      <c r="G4006" t="s">
        <v>59</v>
      </c>
      <c r="H4006" t="s">
        <v>44</v>
      </c>
      <c r="I4006" t="s">
        <v>2192</v>
      </c>
      <c r="J4006" s="10">
        <v>0</v>
      </c>
      <c r="K4006" t="b">
        <v>1</v>
      </c>
    </row>
    <row r="4007" spans="1:11">
      <c r="A4007" s="12">
        <v>42141</v>
      </c>
      <c r="B4007">
        <v>2015</v>
      </c>
      <c r="C4007">
        <v>5</v>
      </c>
      <c r="D4007" s="11">
        <v>42125</v>
      </c>
      <c r="E4007" t="s">
        <v>2177</v>
      </c>
      <c r="F4007">
        <v>7</v>
      </c>
      <c r="G4007" t="s">
        <v>59</v>
      </c>
      <c r="H4007" t="s">
        <v>45</v>
      </c>
      <c r="I4007" t="s">
        <v>2193</v>
      </c>
      <c r="J4007" s="10">
        <v>0</v>
      </c>
      <c r="K4007" t="b">
        <v>1</v>
      </c>
    </row>
    <row r="4008" spans="1:11">
      <c r="A4008" s="12">
        <v>42141</v>
      </c>
      <c r="B4008">
        <v>2015</v>
      </c>
      <c r="C4008">
        <v>5</v>
      </c>
      <c r="D4008" s="11">
        <v>42125</v>
      </c>
      <c r="E4008" t="s">
        <v>2177</v>
      </c>
      <c r="F4008">
        <v>7</v>
      </c>
      <c r="G4008" t="s">
        <v>59</v>
      </c>
      <c r="H4008" t="s">
        <v>46</v>
      </c>
      <c r="I4008" t="s">
        <v>2194</v>
      </c>
      <c r="J4008" s="10">
        <v>0</v>
      </c>
      <c r="K4008" t="b">
        <v>1</v>
      </c>
    </row>
    <row r="4009" spans="1:11">
      <c r="A4009" s="12">
        <v>42141</v>
      </c>
      <c r="B4009">
        <v>2015</v>
      </c>
      <c r="C4009">
        <v>5</v>
      </c>
      <c r="D4009" s="11">
        <v>42125</v>
      </c>
      <c r="E4009" t="s">
        <v>2177</v>
      </c>
      <c r="F4009">
        <v>7</v>
      </c>
      <c r="G4009" t="s">
        <v>59</v>
      </c>
      <c r="H4009" t="s">
        <v>47</v>
      </c>
      <c r="I4009" t="s">
        <v>2195</v>
      </c>
      <c r="J4009" s="10">
        <v>8</v>
      </c>
      <c r="K4009" t="b">
        <v>1</v>
      </c>
    </row>
    <row r="4010" spans="1:11">
      <c r="A4010" s="12">
        <v>42142</v>
      </c>
      <c r="B4010">
        <v>2015</v>
      </c>
      <c r="C4010">
        <v>5</v>
      </c>
      <c r="D4010" s="11">
        <v>42125</v>
      </c>
      <c r="E4010" t="s">
        <v>2177</v>
      </c>
      <c r="F4010">
        <v>1</v>
      </c>
      <c r="G4010" t="s">
        <v>61</v>
      </c>
      <c r="H4010" t="s">
        <v>40</v>
      </c>
      <c r="I4010" t="s">
        <v>2188</v>
      </c>
      <c r="J4010" s="10">
        <v>7</v>
      </c>
      <c r="K4010" t="b">
        <v>1</v>
      </c>
    </row>
    <row r="4011" spans="1:11">
      <c r="A4011" s="12">
        <v>42142</v>
      </c>
      <c r="B4011">
        <v>2015</v>
      </c>
      <c r="C4011">
        <v>5</v>
      </c>
      <c r="D4011" s="11">
        <v>42125</v>
      </c>
      <c r="E4011" t="s">
        <v>2177</v>
      </c>
      <c r="F4011">
        <v>1</v>
      </c>
      <c r="G4011" t="s">
        <v>61</v>
      </c>
      <c r="H4011" t="s">
        <v>41</v>
      </c>
      <c r="I4011" t="s">
        <v>2189</v>
      </c>
      <c r="J4011" s="10">
        <v>2.713</v>
      </c>
      <c r="K4011" t="b">
        <v>1</v>
      </c>
    </row>
    <row r="4012" spans="1:11">
      <c r="A4012" s="12">
        <v>42142</v>
      </c>
      <c r="B4012">
        <v>2015</v>
      </c>
      <c r="C4012">
        <v>5</v>
      </c>
      <c r="D4012" s="11">
        <v>42125</v>
      </c>
      <c r="E4012" t="s">
        <v>2177</v>
      </c>
      <c r="F4012">
        <v>1</v>
      </c>
      <c r="G4012" t="s">
        <v>61</v>
      </c>
      <c r="H4012" t="s">
        <v>42</v>
      </c>
      <c r="I4012" t="s">
        <v>2190</v>
      </c>
      <c r="J4012" s="10">
        <v>5.2</v>
      </c>
      <c r="K4012" t="b">
        <v>1</v>
      </c>
    </row>
    <row r="4013" spans="1:11">
      <c r="A4013" s="12">
        <v>42142</v>
      </c>
      <c r="B4013">
        <v>2015</v>
      </c>
      <c r="C4013">
        <v>5</v>
      </c>
      <c r="D4013" s="11">
        <v>42125</v>
      </c>
      <c r="E4013" t="s">
        <v>2177</v>
      </c>
      <c r="F4013">
        <v>1</v>
      </c>
      <c r="G4013" t="s">
        <v>61</v>
      </c>
      <c r="H4013" t="s">
        <v>43</v>
      </c>
      <c r="I4013" t="s">
        <v>2191</v>
      </c>
      <c r="J4013" s="10">
        <v>21.4</v>
      </c>
      <c r="K4013" t="b">
        <v>1</v>
      </c>
    </row>
    <row r="4014" spans="1:11">
      <c r="A4014" s="12">
        <v>42142</v>
      </c>
      <c r="B4014">
        <v>2015</v>
      </c>
      <c r="C4014">
        <v>5</v>
      </c>
      <c r="D4014" s="11">
        <v>42125</v>
      </c>
      <c r="E4014" t="s">
        <v>2177</v>
      </c>
      <c r="F4014">
        <v>1</v>
      </c>
      <c r="G4014" t="s">
        <v>61</v>
      </c>
      <c r="H4014" t="s">
        <v>44</v>
      </c>
      <c r="I4014" t="s">
        <v>2192</v>
      </c>
      <c r="J4014" s="10">
        <v>6</v>
      </c>
      <c r="K4014" t="b">
        <v>1</v>
      </c>
    </row>
    <row r="4015" spans="1:11">
      <c r="A4015" s="12">
        <v>42142</v>
      </c>
      <c r="B4015">
        <v>2015</v>
      </c>
      <c r="C4015">
        <v>5</v>
      </c>
      <c r="D4015" s="11">
        <v>42125</v>
      </c>
      <c r="E4015" t="s">
        <v>2177</v>
      </c>
      <c r="F4015">
        <v>1</v>
      </c>
      <c r="G4015" t="s">
        <v>61</v>
      </c>
      <c r="H4015" t="s">
        <v>45</v>
      </c>
      <c r="I4015" t="s">
        <v>2193</v>
      </c>
      <c r="J4015" s="10">
        <v>1</v>
      </c>
      <c r="K4015" t="b">
        <v>1</v>
      </c>
    </row>
    <row r="4016" spans="1:11">
      <c r="A4016" s="12">
        <v>42142</v>
      </c>
      <c r="B4016">
        <v>2015</v>
      </c>
      <c r="C4016">
        <v>5</v>
      </c>
      <c r="D4016" s="11">
        <v>42125</v>
      </c>
      <c r="E4016" t="s">
        <v>2177</v>
      </c>
      <c r="F4016">
        <v>1</v>
      </c>
      <c r="G4016" t="s">
        <v>61</v>
      </c>
      <c r="H4016" t="s">
        <v>46</v>
      </c>
      <c r="I4016" t="s">
        <v>2194</v>
      </c>
      <c r="J4016" s="10">
        <v>2</v>
      </c>
      <c r="K4016" t="b">
        <v>1</v>
      </c>
    </row>
    <row r="4017" spans="1:11">
      <c r="A4017" s="12">
        <v>42142</v>
      </c>
      <c r="B4017">
        <v>2015</v>
      </c>
      <c r="C4017">
        <v>5</v>
      </c>
      <c r="D4017" s="11">
        <v>42125</v>
      </c>
      <c r="E4017" t="s">
        <v>2177</v>
      </c>
      <c r="F4017">
        <v>1</v>
      </c>
      <c r="G4017" t="s">
        <v>61</v>
      </c>
      <c r="H4017" t="s">
        <v>47</v>
      </c>
      <c r="I4017" t="s">
        <v>2195</v>
      </c>
      <c r="J4017" s="10">
        <v>2.2</v>
      </c>
      <c r="K4017" t="b">
        <v>1</v>
      </c>
    </row>
    <row r="4018" spans="1:11">
      <c r="A4018" s="12">
        <v>42143</v>
      </c>
      <c r="B4018">
        <v>2015</v>
      </c>
      <c r="C4018">
        <v>5</v>
      </c>
      <c r="D4018" s="11">
        <v>42125</v>
      </c>
      <c r="E4018" t="s">
        <v>2177</v>
      </c>
      <c r="F4018">
        <v>2</v>
      </c>
      <c r="G4018" t="s">
        <v>63</v>
      </c>
      <c r="H4018" t="s">
        <v>40</v>
      </c>
      <c r="I4018" t="s">
        <v>2188</v>
      </c>
      <c r="J4018" s="10">
        <v>3</v>
      </c>
      <c r="K4018" t="b">
        <v>1</v>
      </c>
    </row>
    <row r="4019" spans="1:11">
      <c r="A4019" s="12">
        <v>42143</v>
      </c>
      <c r="B4019">
        <v>2015</v>
      </c>
      <c r="C4019">
        <v>5</v>
      </c>
      <c r="D4019" s="11">
        <v>42125</v>
      </c>
      <c r="E4019" t="s">
        <v>2177</v>
      </c>
      <c r="F4019">
        <v>2</v>
      </c>
      <c r="G4019" t="s">
        <v>63</v>
      </c>
      <c r="H4019" t="s">
        <v>41</v>
      </c>
      <c r="I4019" t="s">
        <v>2189</v>
      </c>
      <c r="J4019" s="10">
        <v>1.66</v>
      </c>
      <c r="K4019" t="b">
        <v>1</v>
      </c>
    </row>
    <row r="4020" spans="1:11">
      <c r="A4020" s="12">
        <v>42143</v>
      </c>
      <c r="B4020">
        <v>2015</v>
      </c>
      <c r="C4020">
        <v>5</v>
      </c>
      <c r="D4020" s="11">
        <v>42125</v>
      </c>
      <c r="E4020" t="s">
        <v>2177</v>
      </c>
      <c r="F4020">
        <v>2</v>
      </c>
      <c r="G4020" t="s">
        <v>63</v>
      </c>
      <c r="H4020" t="s">
        <v>42</v>
      </c>
      <c r="I4020" t="s">
        <v>2190</v>
      </c>
      <c r="J4020" s="10">
        <v>3</v>
      </c>
      <c r="K4020" t="b">
        <v>1</v>
      </c>
    </row>
    <row r="4021" spans="1:11">
      <c r="A4021" s="12">
        <v>42143</v>
      </c>
      <c r="B4021">
        <v>2015</v>
      </c>
      <c r="C4021">
        <v>5</v>
      </c>
      <c r="D4021" s="11">
        <v>42125</v>
      </c>
      <c r="E4021" t="s">
        <v>2177</v>
      </c>
      <c r="F4021">
        <v>2</v>
      </c>
      <c r="G4021" t="s">
        <v>63</v>
      </c>
      <c r="H4021" t="s">
        <v>43</v>
      </c>
      <c r="I4021" t="s">
        <v>2191</v>
      </c>
      <c r="J4021" s="10">
        <v>20</v>
      </c>
      <c r="K4021" t="b">
        <v>1</v>
      </c>
    </row>
    <row r="4022" spans="1:11">
      <c r="A4022" s="12">
        <v>42143</v>
      </c>
      <c r="B4022">
        <v>2015</v>
      </c>
      <c r="C4022">
        <v>5</v>
      </c>
      <c r="D4022" s="11">
        <v>42125</v>
      </c>
      <c r="E4022" t="s">
        <v>2177</v>
      </c>
      <c r="F4022">
        <v>2</v>
      </c>
      <c r="G4022" t="s">
        <v>63</v>
      </c>
      <c r="H4022" t="s">
        <v>44</v>
      </c>
      <c r="I4022" t="s">
        <v>2192</v>
      </c>
      <c r="J4022" s="10">
        <v>8</v>
      </c>
      <c r="K4022" t="b">
        <v>1</v>
      </c>
    </row>
    <row r="4023" spans="1:11">
      <c r="A4023" s="12">
        <v>42143</v>
      </c>
      <c r="B4023">
        <v>2015</v>
      </c>
      <c r="C4023">
        <v>5</v>
      </c>
      <c r="D4023" s="11">
        <v>42125</v>
      </c>
      <c r="E4023" t="s">
        <v>2177</v>
      </c>
      <c r="F4023">
        <v>2</v>
      </c>
      <c r="G4023" t="s">
        <v>63</v>
      </c>
      <c r="H4023" t="s">
        <v>45</v>
      </c>
      <c r="I4023" t="s">
        <v>2193</v>
      </c>
      <c r="J4023" s="10">
        <v>0</v>
      </c>
      <c r="K4023" t="b">
        <v>1</v>
      </c>
    </row>
    <row r="4024" spans="1:11">
      <c r="A4024" s="12">
        <v>42143</v>
      </c>
      <c r="B4024">
        <v>2015</v>
      </c>
      <c r="C4024">
        <v>5</v>
      </c>
      <c r="D4024" s="11">
        <v>42125</v>
      </c>
      <c r="E4024" t="s">
        <v>2177</v>
      </c>
      <c r="F4024">
        <v>2</v>
      </c>
      <c r="G4024" t="s">
        <v>63</v>
      </c>
      <c r="H4024" t="s">
        <v>46</v>
      </c>
      <c r="I4024" t="s">
        <v>2194</v>
      </c>
      <c r="J4024" s="10">
        <v>0</v>
      </c>
      <c r="K4024" t="b">
        <v>1</v>
      </c>
    </row>
    <row r="4025" spans="1:11">
      <c r="A4025" s="12">
        <v>42143</v>
      </c>
      <c r="B4025">
        <v>2015</v>
      </c>
      <c r="C4025">
        <v>5</v>
      </c>
      <c r="D4025" s="11">
        <v>42125</v>
      </c>
      <c r="E4025" t="s">
        <v>2177</v>
      </c>
      <c r="F4025">
        <v>2</v>
      </c>
      <c r="G4025" t="s">
        <v>63</v>
      </c>
      <c r="H4025" t="s">
        <v>47</v>
      </c>
      <c r="I4025" t="s">
        <v>2195</v>
      </c>
      <c r="J4025" s="10">
        <v>3</v>
      </c>
      <c r="K4025" t="b">
        <v>1</v>
      </c>
    </row>
    <row r="4026" spans="1:11">
      <c r="A4026" s="12">
        <v>42144</v>
      </c>
      <c r="B4026">
        <v>2015</v>
      </c>
      <c r="C4026">
        <v>5</v>
      </c>
      <c r="D4026" s="11">
        <v>42125</v>
      </c>
      <c r="E4026" t="s">
        <v>2177</v>
      </c>
      <c r="F4026">
        <v>3</v>
      </c>
      <c r="G4026" t="s">
        <v>65</v>
      </c>
      <c r="H4026" t="s">
        <v>40</v>
      </c>
      <c r="I4026" t="s">
        <v>2188</v>
      </c>
      <c r="J4026" s="10">
        <v>5.67</v>
      </c>
      <c r="K4026" t="b">
        <v>1</v>
      </c>
    </row>
    <row r="4027" spans="1:11">
      <c r="A4027" s="12">
        <v>42144</v>
      </c>
      <c r="B4027">
        <v>2015</v>
      </c>
      <c r="C4027">
        <v>5</v>
      </c>
      <c r="D4027" s="11">
        <v>42125</v>
      </c>
      <c r="E4027" t="s">
        <v>2177</v>
      </c>
      <c r="F4027">
        <v>3</v>
      </c>
      <c r="G4027" t="s">
        <v>65</v>
      </c>
      <c r="H4027" t="s">
        <v>41</v>
      </c>
      <c r="I4027" t="s">
        <v>2189</v>
      </c>
      <c r="J4027" s="10">
        <v>6.465</v>
      </c>
      <c r="K4027" t="b">
        <v>1</v>
      </c>
    </row>
    <row r="4028" spans="1:11">
      <c r="A4028" s="12">
        <v>42144</v>
      </c>
      <c r="B4028">
        <v>2015</v>
      </c>
      <c r="C4028">
        <v>5</v>
      </c>
      <c r="D4028" s="11">
        <v>42125</v>
      </c>
      <c r="E4028" t="s">
        <v>2177</v>
      </c>
      <c r="F4028">
        <v>3</v>
      </c>
      <c r="G4028" t="s">
        <v>65</v>
      </c>
      <c r="H4028" t="s">
        <v>42</v>
      </c>
      <c r="I4028" t="s">
        <v>2190</v>
      </c>
      <c r="J4028" s="10">
        <v>2</v>
      </c>
      <c r="K4028" t="b">
        <v>1</v>
      </c>
    </row>
    <row r="4029" spans="1:11">
      <c r="A4029" s="12">
        <v>42144</v>
      </c>
      <c r="B4029">
        <v>2015</v>
      </c>
      <c r="C4029">
        <v>5</v>
      </c>
      <c r="D4029" s="11">
        <v>42125</v>
      </c>
      <c r="E4029" t="s">
        <v>2177</v>
      </c>
      <c r="F4029">
        <v>3</v>
      </c>
      <c r="G4029" t="s">
        <v>65</v>
      </c>
      <c r="H4029" t="s">
        <v>43</v>
      </c>
      <c r="I4029" t="s">
        <v>2191</v>
      </c>
      <c r="J4029" s="10">
        <v>17</v>
      </c>
      <c r="K4029" t="b">
        <v>1</v>
      </c>
    </row>
    <row r="4030" spans="1:11">
      <c r="A4030" s="12">
        <v>42144</v>
      </c>
      <c r="B4030">
        <v>2015</v>
      </c>
      <c r="C4030">
        <v>5</v>
      </c>
      <c r="D4030" s="11">
        <v>42125</v>
      </c>
      <c r="E4030" t="s">
        <v>2177</v>
      </c>
      <c r="F4030">
        <v>3</v>
      </c>
      <c r="G4030" t="s">
        <v>65</v>
      </c>
      <c r="H4030" t="s">
        <v>44</v>
      </c>
      <c r="I4030" t="s">
        <v>2192</v>
      </c>
      <c r="J4030" s="10">
        <v>12</v>
      </c>
      <c r="K4030" t="b">
        <v>1</v>
      </c>
    </row>
    <row r="4031" spans="1:11">
      <c r="A4031" s="12">
        <v>42144</v>
      </c>
      <c r="B4031">
        <v>2015</v>
      </c>
      <c r="C4031">
        <v>5</v>
      </c>
      <c r="D4031" s="11">
        <v>42125</v>
      </c>
      <c r="E4031" t="s">
        <v>2177</v>
      </c>
      <c r="F4031">
        <v>3</v>
      </c>
      <c r="G4031" t="s">
        <v>65</v>
      </c>
      <c r="H4031" t="s">
        <v>45</v>
      </c>
      <c r="I4031" t="s">
        <v>2193</v>
      </c>
      <c r="J4031" s="10">
        <v>1</v>
      </c>
      <c r="K4031" t="b">
        <v>1</v>
      </c>
    </row>
    <row r="4032" spans="1:11">
      <c r="A4032" s="12">
        <v>42144</v>
      </c>
      <c r="B4032">
        <v>2015</v>
      </c>
      <c r="C4032">
        <v>5</v>
      </c>
      <c r="D4032" s="11">
        <v>42125</v>
      </c>
      <c r="E4032" t="s">
        <v>2177</v>
      </c>
      <c r="F4032">
        <v>3</v>
      </c>
      <c r="G4032" t="s">
        <v>65</v>
      </c>
      <c r="H4032" t="s">
        <v>46</v>
      </c>
      <c r="I4032" t="s">
        <v>2194</v>
      </c>
      <c r="J4032" s="10">
        <v>5</v>
      </c>
      <c r="K4032" t="b">
        <v>1</v>
      </c>
    </row>
    <row r="4033" spans="1:11">
      <c r="A4033" s="12">
        <v>42144</v>
      </c>
      <c r="B4033">
        <v>2015</v>
      </c>
      <c r="C4033">
        <v>5</v>
      </c>
      <c r="D4033" s="11">
        <v>42125</v>
      </c>
      <c r="E4033" t="s">
        <v>2177</v>
      </c>
      <c r="F4033">
        <v>3</v>
      </c>
      <c r="G4033" t="s">
        <v>65</v>
      </c>
      <c r="H4033" t="s">
        <v>47</v>
      </c>
      <c r="I4033" t="s">
        <v>2195</v>
      </c>
      <c r="J4033" s="10">
        <v>6</v>
      </c>
      <c r="K4033" t="b">
        <v>1</v>
      </c>
    </row>
    <row r="4034" spans="1:11">
      <c r="A4034" s="12">
        <v>42145</v>
      </c>
      <c r="B4034">
        <v>2015</v>
      </c>
      <c r="C4034">
        <v>5</v>
      </c>
      <c r="D4034" s="11">
        <v>42125</v>
      </c>
      <c r="E4034" t="s">
        <v>2177</v>
      </c>
      <c r="F4034">
        <v>4</v>
      </c>
      <c r="G4034" t="s">
        <v>53</v>
      </c>
      <c r="H4034" t="s">
        <v>40</v>
      </c>
      <c r="I4034" t="s">
        <v>2188</v>
      </c>
      <c r="J4034" s="10">
        <v>6</v>
      </c>
      <c r="K4034" t="b">
        <v>1</v>
      </c>
    </row>
    <row r="4035" spans="1:11">
      <c r="A4035" s="12">
        <v>42145</v>
      </c>
      <c r="B4035">
        <v>2015</v>
      </c>
      <c r="C4035">
        <v>5</v>
      </c>
      <c r="D4035" s="11">
        <v>42125</v>
      </c>
      <c r="E4035" t="s">
        <v>2177</v>
      </c>
      <c r="F4035">
        <v>4</v>
      </c>
      <c r="G4035" t="s">
        <v>53</v>
      </c>
      <c r="H4035" t="s">
        <v>41</v>
      </c>
      <c r="I4035" t="s">
        <v>2189</v>
      </c>
      <c r="J4035" s="10">
        <v>1.957</v>
      </c>
      <c r="K4035" t="b">
        <v>1</v>
      </c>
    </row>
    <row r="4036" spans="1:11">
      <c r="A4036" s="12">
        <v>42145</v>
      </c>
      <c r="B4036">
        <v>2015</v>
      </c>
      <c r="C4036">
        <v>5</v>
      </c>
      <c r="D4036" s="11">
        <v>42125</v>
      </c>
      <c r="E4036" t="s">
        <v>2177</v>
      </c>
      <c r="F4036">
        <v>4</v>
      </c>
      <c r="G4036" t="s">
        <v>53</v>
      </c>
      <c r="H4036" t="s">
        <v>42</v>
      </c>
      <c r="I4036" t="s">
        <v>2190</v>
      </c>
      <c r="J4036" s="10">
        <v>3</v>
      </c>
      <c r="K4036" t="b">
        <v>1</v>
      </c>
    </row>
    <row r="4037" spans="1:11">
      <c r="A4037" s="12">
        <v>42145</v>
      </c>
      <c r="B4037">
        <v>2015</v>
      </c>
      <c r="C4037">
        <v>5</v>
      </c>
      <c r="D4037" s="11">
        <v>42125</v>
      </c>
      <c r="E4037" t="s">
        <v>2177</v>
      </c>
      <c r="F4037">
        <v>4</v>
      </c>
      <c r="G4037" t="s">
        <v>53</v>
      </c>
      <c r="H4037" t="s">
        <v>43</v>
      </c>
      <c r="I4037" t="s">
        <v>2191</v>
      </c>
      <c r="J4037" s="10">
        <v>10</v>
      </c>
      <c r="K4037" t="b">
        <v>1</v>
      </c>
    </row>
    <row r="4038" spans="1:11">
      <c r="A4038" s="12">
        <v>42145</v>
      </c>
      <c r="B4038">
        <v>2015</v>
      </c>
      <c r="C4038">
        <v>5</v>
      </c>
      <c r="D4038" s="11">
        <v>42125</v>
      </c>
      <c r="E4038" t="s">
        <v>2177</v>
      </c>
      <c r="F4038">
        <v>4</v>
      </c>
      <c r="G4038" t="s">
        <v>53</v>
      </c>
      <c r="H4038" t="s">
        <v>44</v>
      </c>
      <c r="I4038" t="s">
        <v>2192</v>
      </c>
      <c r="J4038" s="10">
        <v>5</v>
      </c>
      <c r="K4038" t="b">
        <v>1</v>
      </c>
    </row>
    <row r="4039" spans="1:11">
      <c r="A4039" s="12">
        <v>42145</v>
      </c>
      <c r="B4039">
        <v>2015</v>
      </c>
      <c r="C4039">
        <v>5</v>
      </c>
      <c r="D4039" s="11">
        <v>42125</v>
      </c>
      <c r="E4039" t="s">
        <v>2177</v>
      </c>
      <c r="F4039">
        <v>4</v>
      </c>
      <c r="G4039" t="s">
        <v>53</v>
      </c>
      <c r="H4039" t="s">
        <v>45</v>
      </c>
      <c r="I4039" t="s">
        <v>2193</v>
      </c>
      <c r="J4039" s="10">
        <v>0</v>
      </c>
      <c r="K4039" t="b">
        <v>1</v>
      </c>
    </row>
    <row r="4040" spans="1:11">
      <c r="A4040" s="12">
        <v>42145</v>
      </c>
      <c r="B4040">
        <v>2015</v>
      </c>
      <c r="C4040">
        <v>5</v>
      </c>
      <c r="D4040" s="11">
        <v>42125</v>
      </c>
      <c r="E4040" t="s">
        <v>2177</v>
      </c>
      <c r="F4040">
        <v>4</v>
      </c>
      <c r="G4040" t="s">
        <v>53</v>
      </c>
      <c r="H4040" t="s">
        <v>46</v>
      </c>
      <c r="I4040" t="s">
        <v>2194</v>
      </c>
      <c r="J4040" s="10">
        <v>1</v>
      </c>
      <c r="K4040" t="b">
        <v>1</v>
      </c>
    </row>
    <row r="4041" spans="1:11">
      <c r="A4041" s="12">
        <v>42145</v>
      </c>
      <c r="B4041">
        <v>2015</v>
      </c>
      <c r="C4041">
        <v>5</v>
      </c>
      <c r="D4041" s="11">
        <v>42125</v>
      </c>
      <c r="E4041" t="s">
        <v>2177</v>
      </c>
      <c r="F4041">
        <v>4</v>
      </c>
      <c r="G4041" t="s">
        <v>53</v>
      </c>
      <c r="H4041" t="s">
        <v>47</v>
      </c>
      <c r="I4041" t="s">
        <v>2195</v>
      </c>
      <c r="J4041" s="10">
        <v>3.3</v>
      </c>
      <c r="K4041" t="b">
        <v>1</v>
      </c>
    </row>
    <row r="4042" spans="1:11">
      <c r="A4042" s="12">
        <v>42146</v>
      </c>
      <c r="B4042">
        <v>2015</v>
      </c>
      <c r="C4042">
        <v>5</v>
      </c>
      <c r="D4042" s="11">
        <v>42125</v>
      </c>
      <c r="E4042" t="s">
        <v>2177</v>
      </c>
      <c r="F4042">
        <v>5</v>
      </c>
      <c r="G4042" t="s">
        <v>55</v>
      </c>
      <c r="H4042" t="s">
        <v>40</v>
      </c>
      <c r="I4042" t="s">
        <v>2188</v>
      </c>
      <c r="J4042" s="10">
        <v>3</v>
      </c>
      <c r="K4042" t="b">
        <v>1</v>
      </c>
    </row>
    <row r="4043" spans="1:11">
      <c r="A4043" s="12">
        <v>42146</v>
      </c>
      <c r="B4043">
        <v>2015</v>
      </c>
      <c r="C4043">
        <v>5</v>
      </c>
      <c r="D4043" s="11">
        <v>42125</v>
      </c>
      <c r="E4043" t="s">
        <v>2177</v>
      </c>
      <c r="F4043">
        <v>5</v>
      </c>
      <c r="G4043" t="s">
        <v>55</v>
      </c>
      <c r="H4043" t="s">
        <v>41</v>
      </c>
      <c r="I4043" t="s">
        <v>2189</v>
      </c>
      <c r="J4043" s="10">
        <v>0.198</v>
      </c>
      <c r="K4043" t="b">
        <v>1</v>
      </c>
    </row>
    <row r="4044" spans="1:11">
      <c r="A4044" s="12">
        <v>42146</v>
      </c>
      <c r="B4044">
        <v>2015</v>
      </c>
      <c r="C4044">
        <v>5</v>
      </c>
      <c r="D4044" s="11">
        <v>42125</v>
      </c>
      <c r="E4044" t="s">
        <v>2177</v>
      </c>
      <c r="F4044">
        <v>5</v>
      </c>
      <c r="G4044" t="s">
        <v>55</v>
      </c>
      <c r="H4044" t="s">
        <v>42</v>
      </c>
      <c r="I4044" t="s">
        <v>2190</v>
      </c>
      <c r="J4044" s="10">
        <v>2</v>
      </c>
      <c r="K4044" t="b">
        <v>1</v>
      </c>
    </row>
    <row r="4045" spans="1:11">
      <c r="A4045" s="12">
        <v>42146</v>
      </c>
      <c r="B4045">
        <v>2015</v>
      </c>
      <c r="C4045">
        <v>5</v>
      </c>
      <c r="D4045" s="11">
        <v>42125</v>
      </c>
      <c r="E4045" t="s">
        <v>2177</v>
      </c>
      <c r="F4045">
        <v>5</v>
      </c>
      <c r="G4045" t="s">
        <v>55</v>
      </c>
      <c r="H4045" t="s">
        <v>43</v>
      </c>
      <c r="I4045" t="s">
        <v>2191</v>
      </c>
      <c r="J4045" s="10">
        <v>15</v>
      </c>
      <c r="K4045" t="b">
        <v>1</v>
      </c>
    </row>
    <row r="4046" spans="1:11">
      <c r="A4046" s="12">
        <v>42146</v>
      </c>
      <c r="B4046">
        <v>2015</v>
      </c>
      <c r="C4046">
        <v>5</v>
      </c>
      <c r="D4046" s="11">
        <v>42125</v>
      </c>
      <c r="E4046" t="s">
        <v>2177</v>
      </c>
      <c r="F4046">
        <v>5</v>
      </c>
      <c r="G4046" t="s">
        <v>55</v>
      </c>
      <c r="H4046" t="s">
        <v>44</v>
      </c>
      <c r="I4046" t="s">
        <v>2192</v>
      </c>
      <c r="J4046" s="10">
        <v>8</v>
      </c>
      <c r="K4046" t="b">
        <v>1</v>
      </c>
    </row>
    <row r="4047" spans="1:11">
      <c r="A4047" s="12">
        <v>42146</v>
      </c>
      <c r="B4047">
        <v>2015</v>
      </c>
      <c r="C4047">
        <v>5</v>
      </c>
      <c r="D4047" s="11">
        <v>42125</v>
      </c>
      <c r="E4047" t="s">
        <v>2177</v>
      </c>
      <c r="F4047">
        <v>5</v>
      </c>
      <c r="G4047" t="s">
        <v>55</v>
      </c>
      <c r="H4047" t="s">
        <v>45</v>
      </c>
      <c r="I4047" t="s">
        <v>2193</v>
      </c>
      <c r="J4047" s="10">
        <v>0</v>
      </c>
      <c r="K4047" t="b">
        <v>1</v>
      </c>
    </row>
    <row r="4048" spans="1:11">
      <c r="A4048" s="12">
        <v>42146</v>
      </c>
      <c r="B4048">
        <v>2015</v>
      </c>
      <c r="C4048">
        <v>5</v>
      </c>
      <c r="D4048" s="11">
        <v>42125</v>
      </c>
      <c r="E4048" t="s">
        <v>2177</v>
      </c>
      <c r="F4048">
        <v>5</v>
      </c>
      <c r="G4048" t="s">
        <v>55</v>
      </c>
      <c r="H4048" t="s">
        <v>46</v>
      </c>
      <c r="I4048" t="s">
        <v>2194</v>
      </c>
      <c r="J4048" s="10">
        <v>0</v>
      </c>
      <c r="K4048" t="b">
        <v>1</v>
      </c>
    </row>
    <row r="4049" spans="1:11">
      <c r="A4049" s="12">
        <v>42146</v>
      </c>
      <c r="B4049">
        <v>2015</v>
      </c>
      <c r="C4049">
        <v>5</v>
      </c>
      <c r="D4049" s="11">
        <v>42125</v>
      </c>
      <c r="E4049" t="s">
        <v>2177</v>
      </c>
      <c r="F4049">
        <v>5</v>
      </c>
      <c r="G4049" t="s">
        <v>55</v>
      </c>
      <c r="H4049" t="s">
        <v>47</v>
      </c>
      <c r="I4049" t="s">
        <v>2195</v>
      </c>
      <c r="J4049" s="10">
        <v>7</v>
      </c>
      <c r="K4049" t="b">
        <v>1</v>
      </c>
    </row>
    <row r="4050" spans="1:11">
      <c r="A4050" s="12">
        <v>42147</v>
      </c>
      <c r="B4050">
        <v>2015</v>
      </c>
      <c r="C4050">
        <v>5</v>
      </c>
      <c r="D4050" s="11">
        <v>42125</v>
      </c>
      <c r="E4050" t="s">
        <v>2177</v>
      </c>
      <c r="F4050">
        <v>6</v>
      </c>
      <c r="G4050" t="s">
        <v>57</v>
      </c>
      <c r="H4050" t="s">
        <v>40</v>
      </c>
      <c r="I4050" t="s">
        <v>2188</v>
      </c>
      <c r="J4050" s="10">
        <v>5.68</v>
      </c>
      <c r="K4050" t="b">
        <v>1</v>
      </c>
    </row>
    <row r="4051" spans="1:11">
      <c r="A4051" s="12">
        <v>42147</v>
      </c>
      <c r="B4051">
        <v>2015</v>
      </c>
      <c r="C4051">
        <v>5</v>
      </c>
      <c r="D4051" s="11">
        <v>42125</v>
      </c>
      <c r="E4051" t="s">
        <v>2177</v>
      </c>
      <c r="F4051">
        <v>6</v>
      </c>
      <c r="G4051" t="s">
        <v>57</v>
      </c>
      <c r="H4051" t="s">
        <v>41</v>
      </c>
      <c r="I4051" t="s">
        <v>2189</v>
      </c>
      <c r="J4051" s="10">
        <v>2.69</v>
      </c>
      <c r="K4051" t="b">
        <v>1</v>
      </c>
    </row>
    <row r="4052" spans="1:11">
      <c r="A4052" s="12">
        <v>42147</v>
      </c>
      <c r="B4052">
        <v>2015</v>
      </c>
      <c r="C4052">
        <v>5</v>
      </c>
      <c r="D4052" s="11">
        <v>42125</v>
      </c>
      <c r="E4052" t="s">
        <v>2177</v>
      </c>
      <c r="F4052">
        <v>6</v>
      </c>
      <c r="G4052" t="s">
        <v>57</v>
      </c>
      <c r="H4052" t="s">
        <v>42</v>
      </c>
      <c r="I4052" t="s">
        <v>2190</v>
      </c>
      <c r="J4052" s="10">
        <v>5</v>
      </c>
      <c r="K4052" t="b">
        <v>1</v>
      </c>
    </row>
    <row r="4053" spans="1:11">
      <c r="A4053" s="12">
        <v>42147</v>
      </c>
      <c r="B4053">
        <v>2015</v>
      </c>
      <c r="C4053">
        <v>5</v>
      </c>
      <c r="D4053" s="11">
        <v>42125</v>
      </c>
      <c r="E4053" t="s">
        <v>2177</v>
      </c>
      <c r="F4053">
        <v>6</v>
      </c>
      <c r="G4053" t="s">
        <v>57</v>
      </c>
      <c r="H4053" t="s">
        <v>43</v>
      </c>
      <c r="I4053" t="s">
        <v>2191</v>
      </c>
      <c r="J4053" s="10">
        <v>23.45</v>
      </c>
      <c r="K4053" t="b">
        <v>1</v>
      </c>
    </row>
    <row r="4054" spans="1:11">
      <c r="A4054" s="12">
        <v>42147</v>
      </c>
      <c r="B4054">
        <v>2015</v>
      </c>
      <c r="C4054">
        <v>5</v>
      </c>
      <c r="D4054" s="11">
        <v>42125</v>
      </c>
      <c r="E4054" t="s">
        <v>2177</v>
      </c>
      <c r="F4054">
        <v>6</v>
      </c>
      <c r="G4054" t="s">
        <v>57</v>
      </c>
      <c r="H4054" t="s">
        <v>44</v>
      </c>
      <c r="I4054" t="s">
        <v>2192</v>
      </c>
      <c r="J4054" s="10">
        <v>10</v>
      </c>
      <c r="K4054" t="b">
        <v>1</v>
      </c>
    </row>
    <row r="4055" spans="1:11">
      <c r="A4055" s="12">
        <v>42147</v>
      </c>
      <c r="B4055">
        <v>2015</v>
      </c>
      <c r="C4055">
        <v>5</v>
      </c>
      <c r="D4055" s="11">
        <v>42125</v>
      </c>
      <c r="E4055" t="s">
        <v>2177</v>
      </c>
      <c r="F4055">
        <v>6</v>
      </c>
      <c r="G4055" t="s">
        <v>57</v>
      </c>
      <c r="H4055" t="s">
        <v>45</v>
      </c>
      <c r="I4055" t="s">
        <v>2193</v>
      </c>
      <c r="J4055" s="10">
        <v>0</v>
      </c>
      <c r="K4055" t="b">
        <v>1</v>
      </c>
    </row>
    <row r="4056" spans="1:11">
      <c r="A4056" s="12">
        <v>42147</v>
      </c>
      <c r="B4056">
        <v>2015</v>
      </c>
      <c r="C4056">
        <v>5</v>
      </c>
      <c r="D4056" s="11">
        <v>42125</v>
      </c>
      <c r="E4056" t="s">
        <v>2177</v>
      </c>
      <c r="F4056">
        <v>6</v>
      </c>
      <c r="G4056" t="s">
        <v>57</v>
      </c>
      <c r="H4056" t="s">
        <v>46</v>
      </c>
      <c r="I4056" t="s">
        <v>2194</v>
      </c>
      <c r="J4056" s="10">
        <v>2</v>
      </c>
      <c r="K4056" t="b">
        <v>1</v>
      </c>
    </row>
    <row r="4057" spans="1:11">
      <c r="A4057" s="12">
        <v>42147</v>
      </c>
      <c r="B4057">
        <v>2015</v>
      </c>
      <c r="C4057">
        <v>5</v>
      </c>
      <c r="D4057" s="11">
        <v>42125</v>
      </c>
      <c r="E4057" t="s">
        <v>2177</v>
      </c>
      <c r="F4057">
        <v>6</v>
      </c>
      <c r="G4057" t="s">
        <v>57</v>
      </c>
      <c r="H4057" t="s">
        <v>47</v>
      </c>
      <c r="I4057" t="s">
        <v>2195</v>
      </c>
      <c r="J4057" s="10">
        <v>7</v>
      </c>
      <c r="K4057" t="b">
        <v>1</v>
      </c>
    </row>
    <row r="4058" spans="1:11">
      <c r="A4058" s="12">
        <v>42148</v>
      </c>
      <c r="B4058">
        <v>2015</v>
      </c>
      <c r="C4058">
        <v>5</v>
      </c>
      <c r="D4058" s="11">
        <v>42125</v>
      </c>
      <c r="E4058" t="s">
        <v>2177</v>
      </c>
      <c r="F4058">
        <v>7</v>
      </c>
      <c r="G4058" t="s">
        <v>59</v>
      </c>
      <c r="H4058" t="s">
        <v>40</v>
      </c>
      <c r="I4058" t="s">
        <v>2188</v>
      </c>
      <c r="J4058" s="10">
        <v>5.33</v>
      </c>
      <c r="K4058" t="b">
        <v>1</v>
      </c>
    </row>
    <row r="4059" spans="1:11">
      <c r="A4059" s="12">
        <v>42148</v>
      </c>
      <c r="B4059">
        <v>2015</v>
      </c>
      <c r="C4059">
        <v>5</v>
      </c>
      <c r="D4059" s="11">
        <v>42125</v>
      </c>
      <c r="E4059" t="s">
        <v>2177</v>
      </c>
      <c r="F4059">
        <v>7</v>
      </c>
      <c r="G4059" t="s">
        <v>59</v>
      </c>
      <c r="H4059" t="s">
        <v>41</v>
      </c>
      <c r="I4059" t="s">
        <v>2189</v>
      </c>
      <c r="J4059" s="10">
        <v>7.769</v>
      </c>
      <c r="K4059" t="b">
        <v>1</v>
      </c>
    </row>
    <row r="4060" spans="1:11">
      <c r="A4060" s="12">
        <v>42148</v>
      </c>
      <c r="B4060">
        <v>2015</v>
      </c>
      <c r="C4060">
        <v>5</v>
      </c>
      <c r="D4060" s="11">
        <v>42125</v>
      </c>
      <c r="E4060" t="s">
        <v>2177</v>
      </c>
      <c r="F4060">
        <v>7</v>
      </c>
      <c r="G4060" t="s">
        <v>59</v>
      </c>
      <c r="H4060" t="s">
        <v>42</v>
      </c>
      <c r="I4060" t="s">
        <v>2190</v>
      </c>
      <c r="J4060" s="10">
        <v>3</v>
      </c>
      <c r="K4060" t="b">
        <v>1</v>
      </c>
    </row>
    <row r="4061" spans="1:11">
      <c r="A4061" s="12">
        <v>42148</v>
      </c>
      <c r="B4061">
        <v>2015</v>
      </c>
      <c r="C4061">
        <v>5</v>
      </c>
      <c r="D4061" s="11">
        <v>42125</v>
      </c>
      <c r="E4061" t="s">
        <v>2177</v>
      </c>
      <c r="F4061">
        <v>7</v>
      </c>
      <c r="G4061" t="s">
        <v>59</v>
      </c>
      <c r="H4061" t="s">
        <v>43</v>
      </c>
      <c r="I4061" t="s">
        <v>2191</v>
      </c>
      <c r="J4061" s="10">
        <v>20</v>
      </c>
      <c r="K4061" t="b">
        <v>1</v>
      </c>
    </row>
    <row r="4062" spans="1:11">
      <c r="A4062" s="12">
        <v>42148</v>
      </c>
      <c r="B4062">
        <v>2015</v>
      </c>
      <c r="C4062">
        <v>5</v>
      </c>
      <c r="D4062" s="11">
        <v>42125</v>
      </c>
      <c r="E4062" t="s">
        <v>2177</v>
      </c>
      <c r="F4062">
        <v>7</v>
      </c>
      <c r="G4062" t="s">
        <v>59</v>
      </c>
      <c r="H4062" t="s">
        <v>44</v>
      </c>
      <c r="I4062" t="s">
        <v>2192</v>
      </c>
      <c r="J4062" s="10">
        <v>5</v>
      </c>
      <c r="K4062" t="b">
        <v>1</v>
      </c>
    </row>
    <row r="4063" spans="1:11">
      <c r="A4063" s="12">
        <v>42148</v>
      </c>
      <c r="B4063">
        <v>2015</v>
      </c>
      <c r="C4063">
        <v>5</v>
      </c>
      <c r="D4063" s="11">
        <v>42125</v>
      </c>
      <c r="E4063" t="s">
        <v>2177</v>
      </c>
      <c r="F4063">
        <v>7</v>
      </c>
      <c r="G4063" t="s">
        <v>59</v>
      </c>
      <c r="H4063" t="s">
        <v>45</v>
      </c>
      <c r="I4063" t="s">
        <v>2193</v>
      </c>
      <c r="J4063" s="10">
        <v>0</v>
      </c>
      <c r="K4063" t="b">
        <v>1</v>
      </c>
    </row>
    <row r="4064" spans="1:11">
      <c r="A4064" s="12">
        <v>42148</v>
      </c>
      <c r="B4064">
        <v>2015</v>
      </c>
      <c r="C4064">
        <v>5</v>
      </c>
      <c r="D4064" s="11">
        <v>42125</v>
      </c>
      <c r="E4064" t="s">
        <v>2177</v>
      </c>
      <c r="F4064">
        <v>7</v>
      </c>
      <c r="G4064" t="s">
        <v>59</v>
      </c>
      <c r="H4064" t="s">
        <v>46</v>
      </c>
      <c r="I4064" t="s">
        <v>2194</v>
      </c>
      <c r="J4064" s="10">
        <v>0</v>
      </c>
      <c r="K4064" t="b">
        <v>1</v>
      </c>
    </row>
    <row r="4065" spans="1:11">
      <c r="A4065" s="12">
        <v>42148</v>
      </c>
      <c r="B4065">
        <v>2015</v>
      </c>
      <c r="C4065">
        <v>5</v>
      </c>
      <c r="D4065" s="11">
        <v>42125</v>
      </c>
      <c r="E4065" t="s">
        <v>2177</v>
      </c>
      <c r="F4065">
        <v>7</v>
      </c>
      <c r="G4065" t="s">
        <v>59</v>
      </c>
      <c r="H4065" t="s">
        <v>47</v>
      </c>
      <c r="I4065" t="s">
        <v>2195</v>
      </c>
      <c r="J4065" s="10">
        <v>1.3</v>
      </c>
      <c r="K4065" t="b">
        <v>1</v>
      </c>
    </row>
    <row r="4066" spans="1:11">
      <c r="A4066" s="12">
        <v>42149</v>
      </c>
      <c r="B4066">
        <v>2015</v>
      </c>
      <c r="C4066">
        <v>5</v>
      </c>
      <c r="D4066" s="11">
        <v>42125</v>
      </c>
      <c r="E4066" t="s">
        <v>2177</v>
      </c>
      <c r="F4066">
        <v>1</v>
      </c>
      <c r="G4066" t="s">
        <v>61</v>
      </c>
      <c r="H4066" t="s">
        <v>40</v>
      </c>
      <c r="I4066" t="s">
        <v>2188</v>
      </c>
      <c r="J4066" s="10">
        <v>9.66</v>
      </c>
      <c r="K4066" t="b">
        <v>1</v>
      </c>
    </row>
    <row r="4067" spans="1:11">
      <c r="A4067" s="12">
        <v>42149</v>
      </c>
      <c r="B4067">
        <v>2015</v>
      </c>
      <c r="C4067">
        <v>5</v>
      </c>
      <c r="D4067" s="11">
        <v>42125</v>
      </c>
      <c r="E4067" t="s">
        <v>2177</v>
      </c>
      <c r="F4067">
        <v>1</v>
      </c>
      <c r="G4067" t="s">
        <v>61</v>
      </c>
      <c r="H4067" t="s">
        <v>41</v>
      </c>
      <c r="I4067" t="s">
        <v>2189</v>
      </c>
      <c r="J4067" s="10">
        <v>3.33</v>
      </c>
      <c r="K4067" t="b">
        <v>1</v>
      </c>
    </row>
    <row r="4068" spans="1:11">
      <c r="A4068" s="12">
        <v>42149</v>
      </c>
      <c r="B4068">
        <v>2015</v>
      </c>
      <c r="C4068">
        <v>5</v>
      </c>
      <c r="D4068" s="11">
        <v>42125</v>
      </c>
      <c r="E4068" t="s">
        <v>2177</v>
      </c>
      <c r="F4068">
        <v>1</v>
      </c>
      <c r="G4068" t="s">
        <v>61</v>
      </c>
      <c r="H4068" t="s">
        <v>42</v>
      </c>
      <c r="I4068" t="s">
        <v>2190</v>
      </c>
      <c r="J4068" s="10">
        <v>4</v>
      </c>
      <c r="K4068" t="b">
        <v>1</v>
      </c>
    </row>
    <row r="4069" spans="1:11">
      <c r="A4069" s="12">
        <v>42149</v>
      </c>
      <c r="B4069">
        <v>2015</v>
      </c>
      <c r="C4069">
        <v>5</v>
      </c>
      <c r="D4069" s="11">
        <v>42125</v>
      </c>
      <c r="E4069" t="s">
        <v>2177</v>
      </c>
      <c r="F4069">
        <v>1</v>
      </c>
      <c r="G4069" t="s">
        <v>61</v>
      </c>
      <c r="H4069" t="s">
        <v>43</v>
      </c>
      <c r="I4069" t="s">
        <v>2191</v>
      </c>
      <c r="J4069" s="10">
        <v>30</v>
      </c>
      <c r="K4069" t="b">
        <v>1</v>
      </c>
    </row>
    <row r="4070" spans="1:11">
      <c r="A4070" s="12">
        <v>42149</v>
      </c>
      <c r="B4070">
        <v>2015</v>
      </c>
      <c r="C4070">
        <v>5</v>
      </c>
      <c r="D4070" s="11">
        <v>42125</v>
      </c>
      <c r="E4070" t="s">
        <v>2177</v>
      </c>
      <c r="F4070">
        <v>1</v>
      </c>
      <c r="G4070" t="s">
        <v>61</v>
      </c>
      <c r="H4070" t="s">
        <v>44</v>
      </c>
      <c r="I4070" t="s">
        <v>2192</v>
      </c>
      <c r="J4070" s="10">
        <v>11</v>
      </c>
      <c r="K4070" t="b">
        <v>1</v>
      </c>
    </row>
    <row r="4071" spans="1:11">
      <c r="A4071" s="12">
        <v>42149</v>
      </c>
      <c r="B4071">
        <v>2015</v>
      </c>
      <c r="C4071">
        <v>5</v>
      </c>
      <c r="D4071" s="11">
        <v>42125</v>
      </c>
      <c r="E4071" t="s">
        <v>2177</v>
      </c>
      <c r="F4071">
        <v>1</v>
      </c>
      <c r="G4071" t="s">
        <v>61</v>
      </c>
      <c r="H4071" t="s">
        <v>45</v>
      </c>
      <c r="I4071" t="s">
        <v>2193</v>
      </c>
      <c r="J4071" s="10">
        <v>3</v>
      </c>
      <c r="K4071" t="b">
        <v>1</v>
      </c>
    </row>
    <row r="4072" spans="1:11">
      <c r="A4072" s="12">
        <v>42149</v>
      </c>
      <c r="B4072">
        <v>2015</v>
      </c>
      <c r="C4072">
        <v>5</v>
      </c>
      <c r="D4072" s="11">
        <v>42125</v>
      </c>
      <c r="E4072" t="s">
        <v>2177</v>
      </c>
      <c r="F4072">
        <v>1</v>
      </c>
      <c r="G4072" t="s">
        <v>61</v>
      </c>
      <c r="H4072" t="s">
        <v>46</v>
      </c>
      <c r="I4072" t="s">
        <v>2194</v>
      </c>
      <c r="J4072" s="10">
        <v>0</v>
      </c>
      <c r="K4072" t="b">
        <v>1</v>
      </c>
    </row>
    <row r="4073" spans="1:11">
      <c r="A4073" s="12">
        <v>42149</v>
      </c>
      <c r="B4073">
        <v>2015</v>
      </c>
      <c r="C4073">
        <v>5</v>
      </c>
      <c r="D4073" s="11">
        <v>42125</v>
      </c>
      <c r="E4073" t="s">
        <v>2177</v>
      </c>
      <c r="F4073">
        <v>1</v>
      </c>
      <c r="G4073" t="s">
        <v>61</v>
      </c>
      <c r="H4073" t="s">
        <v>47</v>
      </c>
      <c r="I4073" t="s">
        <v>2195</v>
      </c>
      <c r="J4073" s="10">
        <v>3</v>
      </c>
      <c r="K4073" t="b">
        <v>1</v>
      </c>
    </row>
    <row r="4074" spans="1:11">
      <c r="A4074" s="12">
        <v>42150</v>
      </c>
      <c r="B4074">
        <v>2015</v>
      </c>
      <c r="C4074">
        <v>5</v>
      </c>
      <c r="D4074" s="11">
        <v>42125</v>
      </c>
      <c r="E4074" t="s">
        <v>2177</v>
      </c>
      <c r="F4074">
        <v>2</v>
      </c>
      <c r="G4074" t="s">
        <v>63</v>
      </c>
      <c r="H4074" t="s">
        <v>40</v>
      </c>
      <c r="I4074" t="s">
        <v>2188</v>
      </c>
      <c r="J4074" s="10">
        <v>7.34</v>
      </c>
      <c r="K4074" t="b">
        <v>1</v>
      </c>
    </row>
    <row r="4075" spans="1:11">
      <c r="A4075" s="12">
        <v>42150</v>
      </c>
      <c r="B4075">
        <v>2015</v>
      </c>
      <c r="C4075">
        <v>5</v>
      </c>
      <c r="D4075" s="11">
        <v>42125</v>
      </c>
      <c r="E4075" t="s">
        <v>2177</v>
      </c>
      <c r="F4075">
        <v>2</v>
      </c>
      <c r="G4075" t="s">
        <v>63</v>
      </c>
      <c r="H4075" t="s">
        <v>41</v>
      </c>
      <c r="I4075" t="s">
        <v>2189</v>
      </c>
      <c r="J4075" s="10">
        <v>3.34</v>
      </c>
      <c r="K4075" t="b">
        <v>1</v>
      </c>
    </row>
    <row r="4076" spans="1:11">
      <c r="A4076" s="12">
        <v>42150</v>
      </c>
      <c r="B4076">
        <v>2015</v>
      </c>
      <c r="C4076">
        <v>5</v>
      </c>
      <c r="D4076" s="11">
        <v>42125</v>
      </c>
      <c r="E4076" t="s">
        <v>2177</v>
      </c>
      <c r="F4076">
        <v>2</v>
      </c>
      <c r="G4076" t="s">
        <v>63</v>
      </c>
      <c r="H4076" t="s">
        <v>42</v>
      </c>
      <c r="I4076" t="s">
        <v>2190</v>
      </c>
      <c r="J4076" s="10">
        <v>4.5</v>
      </c>
      <c r="K4076" t="b">
        <v>1</v>
      </c>
    </row>
    <row r="4077" spans="1:11">
      <c r="A4077" s="12">
        <v>42150</v>
      </c>
      <c r="B4077">
        <v>2015</v>
      </c>
      <c r="C4077">
        <v>5</v>
      </c>
      <c r="D4077" s="11">
        <v>42125</v>
      </c>
      <c r="E4077" t="s">
        <v>2177</v>
      </c>
      <c r="F4077">
        <v>2</v>
      </c>
      <c r="G4077" t="s">
        <v>63</v>
      </c>
      <c r="H4077" t="s">
        <v>43</v>
      </c>
      <c r="I4077" t="s">
        <v>2191</v>
      </c>
      <c r="J4077" s="10">
        <v>27</v>
      </c>
      <c r="K4077" t="b">
        <v>1</v>
      </c>
    </row>
    <row r="4078" spans="1:11">
      <c r="A4078" s="12">
        <v>42150</v>
      </c>
      <c r="B4078">
        <v>2015</v>
      </c>
      <c r="C4078">
        <v>5</v>
      </c>
      <c r="D4078" s="11">
        <v>42125</v>
      </c>
      <c r="E4078" t="s">
        <v>2177</v>
      </c>
      <c r="F4078">
        <v>2</v>
      </c>
      <c r="G4078" t="s">
        <v>63</v>
      </c>
      <c r="H4078" t="s">
        <v>44</v>
      </c>
      <c r="I4078" t="s">
        <v>2192</v>
      </c>
      <c r="J4078" s="10">
        <v>11</v>
      </c>
      <c r="K4078" t="b">
        <v>1</v>
      </c>
    </row>
    <row r="4079" spans="1:11">
      <c r="A4079" s="12">
        <v>42150</v>
      </c>
      <c r="B4079">
        <v>2015</v>
      </c>
      <c r="C4079">
        <v>5</v>
      </c>
      <c r="D4079" s="11">
        <v>42125</v>
      </c>
      <c r="E4079" t="s">
        <v>2177</v>
      </c>
      <c r="F4079">
        <v>2</v>
      </c>
      <c r="G4079" t="s">
        <v>63</v>
      </c>
      <c r="H4079" t="s">
        <v>45</v>
      </c>
      <c r="I4079" t="s">
        <v>2193</v>
      </c>
      <c r="J4079" s="10">
        <v>0</v>
      </c>
      <c r="K4079" t="b">
        <v>1</v>
      </c>
    </row>
    <row r="4080" spans="1:11">
      <c r="A4080" s="12">
        <v>42150</v>
      </c>
      <c r="B4080">
        <v>2015</v>
      </c>
      <c r="C4080">
        <v>5</v>
      </c>
      <c r="D4080" s="11">
        <v>42125</v>
      </c>
      <c r="E4080" t="s">
        <v>2177</v>
      </c>
      <c r="F4080">
        <v>2</v>
      </c>
      <c r="G4080" t="s">
        <v>63</v>
      </c>
      <c r="H4080" t="s">
        <v>46</v>
      </c>
      <c r="I4080" t="s">
        <v>2194</v>
      </c>
      <c r="J4080" s="10">
        <v>22</v>
      </c>
      <c r="K4080" t="b">
        <v>1</v>
      </c>
    </row>
    <row r="4081" spans="1:11">
      <c r="A4081" s="12">
        <v>42150</v>
      </c>
      <c r="B4081">
        <v>2015</v>
      </c>
      <c r="C4081">
        <v>5</v>
      </c>
      <c r="D4081" s="11">
        <v>42125</v>
      </c>
      <c r="E4081" t="s">
        <v>2177</v>
      </c>
      <c r="F4081">
        <v>2</v>
      </c>
      <c r="G4081" t="s">
        <v>63</v>
      </c>
      <c r="H4081" t="s">
        <v>47</v>
      </c>
      <c r="I4081" t="s">
        <v>2195</v>
      </c>
      <c r="J4081" s="10">
        <v>10</v>
      </c>
      <c r="K4081" t="b">
        <v>1</v>
      </c>
    </row>
    <row r="4082" spans="1:11">
      <c r="A4082" s="12">
        <v>42151</v>
      </c>
      <c r="B4082">
        <v>2015</v>
      </c>
      <c r="C4082">
        <v>5</v>
      </c>
      <c r="D4082" s="11">
        <v>42125</v>
      </c>
      <c r="E4082" t="s">
        <v>2177</v>
      </c>
      <c r="F4082">
        <v>3</v>
      </c>
      <c r="G4082" t="s">
        <v>65</v>
      </c>
      <c r="H4082" t="s">
        <v>40</v>
      </c>
      <c r="I4082" t="s">
        <v>2188</v>
      </c>
      <c r="J4082" s="10">
        <v>4</v>
      </c>
      <c r="K4082" t="b">
        <v>1</v>
      </c>
    </row>
    <row r="4083" spans="1:11">
      <c r="A4083" s="12">
        <v>42151</v>
      </c>
      <c r="B4083">
        <v>2015</v>
      </c>
      <c r="C4083">
        <v>5</v>
      </c>
      <c r="D4083" s="11">
        <v>42125</v>
      </c>
      <c r="E4083" t="s">
        <v>2177</v>
      </c>
      <c r="F4083">
        <v>3</v>
      </c>
      <c r="G4083" t="s">
        <v>65</v>
      </c>
      <c r="H4083" t="s">
        <v>41</v>
      </c>
      <c r="I4083" t="s">
        <v>2189</v>
      </c>
      <c r="J4083" s="10">
        <v>2.66</v>
      </c>
      <c r="K4083" t="b">
        <v>1</v>
      </c>
    </row>
    <row r="4084" spans="1:11">
      <c r="A4084" s="12">
        <v>42151</v>
      </c>
      <c r="B4084">
        <v>2015</v>
      </c>
      <c r="C4084">
        <v>5</v>
      </c>
      <c r="D4084" s="11">
        <v>42125</v>
      </c>
      <c r="E4084" t="s">
        <v>2177</v>
      </c>
      <c r="F4084">
        <v>3</v>
      </c>
      <c r="G4084" t="s">
        <v>65</v>
      </c>
      <c r="H4084" t="s">
        <v>42</v>
      </c>
      <c r="I4084" t="s">
        <v>2190</v>
      </c>
      <c r="J4084" s="10">
        <v>2</v>
      </c>
      <c r="K4084" t="b">
        <v>1</v>
      </c>
    </row>
    <row r="4085" spans="1:11">
      <c r="A4085" s="12">
        <v>42151</v>
      </c>
      <c r="B4085">
        <v>2015</v>
      </c>
      <c r="C4085">
        <v>5</v>
      </c>
      <c r="D4085" s="11">
        <v>42125</v>
      </c>
      <c r="E4085" t="s">
        <v>2177</v>
      </c>
      <c r="F4085">
        <v>3</v>
      </c>
      <c r="G4085" t="s">
        <v>65</v>
      </c>
      <c r="H4085" t="s">
        <v>43</v>
      </c>
      <c r="I4085" t="s">
        <v>2191</v>
      </c>
      <c r="J4085" s="10">
        <v>24.2</v>
      </c>
      <c r="K4085" t="b">
        <v>1</v>
      </c>
    </row>
    <row r="4086" spans="1:11">
      <c r="A4086" s="12">
        <v>42151</v>
      </c>
      <c r="B4086">
        <v>2015</v>
      </c>
      <c r="C4086">
        <v>5</v>
      </c>
      <c r="D4086" s="11">
        <v>42125</v>
      </c>
      <c r="E4086" t="s">
        <v>2177</v>
      </c>
      <c r="F4086">
        <v>3</v>
      </c>
      <c r="G4086" t="s">
        <v>65</v>
      </c>
      <c r="H4086" t="s">
        <v>44</v>
      </c>
      <c r="I4086" t="s">
        <v>2192</v>
      </c>
      <c r="J4086" s="10">
        <v>7</v>
      </c>
      <c r="K4086" t="b">
        <v>1</v>
      </c>
    </row>
    <row r="4087" spans="1:11">
      <c r="A4087" s="12">
        <v>42151</v>
      </c>
      <c r="B4087">
        <v>2015</v>
      </c>
      <c r="C4087">
        <v>5</v>
      </c>
      <c r="D4087" s="11">
        <v>42125</v>
      </c>
      <c r="E4087" t="s">
        <v>2177</v>
      </c>
      <c r="F4087">
        <v>3</v>
      </c>
      <c r="G4087" t="s">
        <v>65</v>
      </c>
      <c r="H4087" t="s">
        <v>45</v>
      </c>
      <c r="I4087" t="s">
        <v>2193</v>
      </c>
      <c r="J4087" s="10">
        <v>0</v>
      </c>
      <c r="K4087" t="b">
        <v>1</v>
      </c>
    </row>
    <row r="4088" spans="1:11">
      <c r="A4088" s="12">
        <v>42151</v>
      </c>
      <c r="B4088">
        <v>2015</v>
      </c>
      <c r="C4088">
        <v>5</v>
      </c>
      <c r="D4088" s="11">
        <v>42125</v>
      </c>
      <c r="E4088" t="s">
        <v>2177</v>
      </c>
      <c r="F4088">
        <v>3</v>
      </c>
      <c r="G4088" t="s">
        <v>65</v>
      </c>
      <c r="H4088" t="s">
        <v>46</v>
      </c>
      <c r="I4088" t="s">
        <v>2194</v>
      </c>
      <c r="J4088" s="10">
        <v>0</v>
      </c>
      <c r="K4088" t="b">
        <v>1</v>
      </c>
    </row>
    <row r="4089" spans="1:11">
      <c r="A4089" s="12">
        <v>42151</v>
      </c>
      <c r="B4089">
        <v>2015</v>
      </c>
      <c r="C4089">
        <v>5</v>
      </c>
      <c r="D4089" s="11">
        <v>42125</v>
      </c>
      <c r="E4089" t="s">
        <v>2177</v>
      </c>
      <c r="F4089">
        <v>3</v>
      </c>
      <c r="G4089" t="s">
        <v>65</v>
      </c>
      <c r="H4089" t="s">
        <v>47</v>
      </c>
      <c r="I4089" t="s">
        <v>2195</v>
      </c>
      <c r="J4089" s="10">
        <v>1</v>
      </c>
      <c r="K4089" t="b">
        <v>1</v>
      </c>
    </row>
    <row r="4090" spans="1:11">
      <c r="A4090" s="12">
        <v>42152</v>
      </c>
      <c r="B4090">
        <v>2015</v>
      </c>
      <c r="C4090">
        <v>5</v>
      </c>
      <c r="D4090" s="11">
        <v>42125</v>
      </c>
      <c r="E4090" t="s">
        <v>2177</v>
      </c>
      <c r="F4090">
        <v>4</v>
      </c>
      <c r="G4090" t="s">
        <v>53</v>
      </c>
      <c r="H4090" t="s">
        <v>40</v>
      </c>
      <c r="I4090" t="s">
        <v>2188</v>
      </c>
      <c r="J4090" s="10">
        <v>6</v>
      </c>
      <c r="K4090" t="b">
        <v>1</v>
      </c>
    </row>
    <row r="4091" spans="1:11">
      <c r="A4091" s="12">
        <v>42152</v>
      </c>
      <c r="B4091">
        <v>2015</v>
      </c>
      <c r="C4091">
        <v>5</v>
      </c>
      <c r="D4091" s="11">
        <v>42125</v>
      </c>
      <c r="E4091" t="s">
        <v>2177</v>
      </c>
      <c r="F4091">
        <v>4</v>
      </c>
      <c r="G4091" t="s">
        <v>53</v>
      </c>
      <c r="H4091" t="s">
        <v>41</v>
      </c>
      <c r="I4091" t="s">
        <v>2189</v>
      </c>
      <c r="J4091" s="10">
        <v>2.33</v>
      </c>
      <c r="K4091" t="b">
        <v>1</v>
      </c>
    </row>
    <row r="4092" spans="1:11">
      <c r="A4092" s="12">
        <v>42152</v>
      </c>
      <c r="B4092">
        <v>2015</v>
      </c>
      <c r="C4092">
        <v>5</v>
      </c>
      <c r="D4092" s="11">
        <v>42125</v>
      </c>
      <c r="E4092" t="s">
        <v>2177</v>
      </c>
      <c r="F4092">
        <v>4</v>
      </c>
      <c r="G4092" t="s">
        <v>53</v>
      </c>
      <c r="H4092" t="s">
        <v>42</v>
      </c>
      <c r="I4092" t="s">
        <v>2190</v>
      </c>
      <c r="J4092" s="10">
        <v>6.7</v>
      </c>
      <c r="K4092" t="b">
        <v>1</v>
      </c>
    </row>
    <row r="4093" spans="1:11">
      <c r="A4093" s="12">
        <v>42152</v>
      </c>
      <c r="B4093">
        <v>2015</v>
      </c>
      <c r="C4093">
        <v>5</v>
      </c>
      <c r="D4093" s="11">
        <v>42125</v>
      </c>
      <c r="E4093" t="s">
        <v>2177</v>
      </c>
      <c r="F4093">
        <v>4</v>
      </c>
      <c r="G4093" t="s">
        <v>53</v>
      </c>
      <c r="H4093" t="s">
        <v>43</v>
      </c>
      <c r="I4093" t="s">
        <v>2191</v>
      </c>
      <c r="J4093" s="10">
        <v>17.1</v>
      </c>
      <c r="K4093" t="b">
        <v>1</v>
      </c>
    </row>
    <row r="4094" spans="1:11">
      <c r="A4094" s="12">
        <v>42152</v>
      </c>
      <c r="B4094">
        <v>2015</v>
      </c>
      <c r="C4094">
        <v>5</v>
      </c>
      <c r="D4094" s="11">
        <v>42125</v>
      </c>
      <c r="E4094" t="s">
        <v>2177</v>
      </c>
      <c r="F4094">
        <v>4</v>
      </c>
      <c r="G4094" t="s">
        <v>53</v>
      </c>
      <c r="H4094" t="s">
        <v>44</v>
      </c>
      <c r="I4094" t="s">
        <v>2192</v>
      </c>
      <c r="J4094" s="10">
        <v>3</v>
      </c>
      <c r="K4094" t="b">
        <v>1</v>
      </c>
    </row>
    <row r="4095" spans="1:11">
      <c r="A4095" s="12">
        <v>42152</v>
      </c>
      <c r="B4095">
        <v>2015</v>
      </c>
      <c r="C4095">
        <v>5</v>
      </c>
      <c r="D4095" s="11">
        <v>42125</v>
      </c>
      <c r="E4095" t="s">
        <v>2177</v>
      </c>
      <c r="F4095">
        <v>4</v>
      </c>
      <c r="G4095" t="s">
        <v>53</v>
      </c>
      <c r="H4095" t="s">
        <v>45</v>
      </c>
      <c r="I4095" t="s">
        <v>2193</v>
      </c>
      <c r="J4095" s="10">
        <v>0</v>
      </c>
      <c r="K4095" t="b">
        <v>1</v>
      </c>
    </row>
    <row r="4096" spans="1:11">
      <c r="A4096" s="12">
        <v>42152</v>
      </c>
      <c r="B4096">
        <v>2015</v>
      </c>
      <c r="C4096">
        <v>5</v>
      </c>
      <c r="D4096" s="11">
        <v>42125</v>
      </c>
      <c r="E4096" t="s">
        <v>2177</v>
      </c>
      <c r="F4096">
        <v>4</v>
      </c>
      <c r="G4096" t="s">
        <v>53</v>
      </c>
      <c r="H4096" t="s">
        <v>46</v>
      </c>
      <c r="I4096" t="s">
        <v>2194</v>
      </c>
      <c r="J4096" s="10">
        <v>20</v>
      </c>
      <c r="K4096" t="b">
        <v>1</v>
      </c>
    </row>
    <row r="4097" spans="1:11">
      <c r="A4097" s="12">
        <v>42152</v>
      </c>
      <c r="B4097">
        <v>2015</v>
      </c>
      <c r="C4097">
        <v>5</v>
      </c>
      <c r="D4097" s="11">
        <v>42125</v>
      </c>
      <c r="E4097" t="s">
        <v>2177</v>
      </c>
      <c r="F4097">
        <v>4</v>
      </c>
      <c r="G4097" t="s">
        <v>53</v>
      </c>
      <c r="H4097" t="s">
        <v>47</v>
      </c>
      <c r="I4097" t="s">
        <v>2195</v>
      </c>
      <c r="J4097" s="10">
        <v>3</v>
      </c>
      <c r="K4097" t="b">
        <v>1</v>
      </c>
    </row>
    <row r="4098" spans="1:11">
      <c r="A4098" s="12">
        <v>42153</v>
      </c>
      <c r="B4098">
        <v>2015</v>
      </c>
      <c r="C4098">
        <v>5</v>
      </c>
      <c r="D4098" s="11">
        <v>42125</v>
      </c>
      <c r="E4098" t="s">
        <v>2177</v>
      </c>
      <c r="F4098">
        <v>5</v>
      </c>
      <c r="G4098" t="s">
        <v>55</v>
      </c>
      <c r="H4098" t="s">
        <v>40</v>
      </c>
      <c r="I4098" t="s">
        <v>2188</v>
      </c>
      <c r="J4098" s="10">
        <v>6.33</v>
      </c>
      <c r="K4098" t="b">
        <v>1</v>
      </c>
    </row>
    <row r="4099" spans="1:11">
      <c r="A4099" s="12">
        <v>42153</v>
      </c>
      <c r="B4099">
        <v>2015</v>
      </c>
      <c r="C4099">
        <v>5</v>
      </c>
      <c r="D4099" s="11">
        <v>42125</v>
      </c>
      <c r="E4099" t="s">
        <v>2177</v>
      </c>
      <c r="F4099">
        <v>5</v>
      </c>
      <c r="G4099" t="s">
        <v>55</v>
      </c>
      <c r="H4099" t="s">
        <v>41</v>
      </c>
      <c r="I4099" t="s">
        <v>2189</v>
      </c>
      <c r="J4099" s="10">
        <v>5.01</v>
      </c>
      <c r="K4099" t="b">
        <v>1</v>
      </c>
    </row>
    <row r="4100" spans="1:11">
      <c r="A4100" s="12">
        <v>42153</v>
      </c>
      <c r="B4100">
        <v>2015</v>
      </c>
      <c r="C4100">
        <v>5</v>
      </c>
      <c r="D4100" s="11">
        <v>42125</v>
      </c>
      <c r="E4100" t="s">
        <v>2177</v>
      </c>
      <c r="F4100">
        <v>5</v>
      </c>
      <c r="G4100" t="s">
        <v>55</v>
      </c>
      <c r="H4100" t="s">
        <v>42</v>
      </c>
      <c r="I4100" t="s">
        <v>2190</v>
      </c>
      <c r="J4100" s="10">
        <v>3</v>
      </c>
      <c r="K4100" t="b">
        <v>1</v>
      </c>
    </row>
    <row r="4101" spans="1:11">
      <c r="A4101" s="12">
        <v>42153</v>
      </c>
      <c r="B4101">
        <v>2015</v>
      </c>
      <c r="C4101">
        <v>5</v>
      </c>
      <c r="D4101" s="11">
        <v>42125</v>
      </c>
      <c r="E4101" t="s">
        <v>2177</v>
      </c>
      <c r="F4101">
        <v>5</v>
      </c>
      <c r="G4101" t="s">
        <v>55</v>
      </c>
      <c r="H4101" t="s">
        <v>43</v>
      </c>
      <c r="I4101" t="s">
        <v>2191</v>
      </c>
      <c r="J4101" s="10">
        <v>41.8</v>
      </c>
      <c r="K4101" t="b">
        <v>1</v>
      </c>
    </row>
    <row r="4102" spans="1:11">
      <c r="A4102" s="12">
        <v>42153</v>
      </c>
      <c r="B4102">
        <v>2015</v>
      </c>
      <c r="C4102">
        <v>5</v>
      </c>
      <c r="D4102" s="11">
        <v>42125</v>
      </c>
      <c r="E4102" t="s">
        <v>2177</v>
      </c>
      <c r="F4102">
        <v>5</v>
      </c>
      <c r="G4102" t="s">
        <v>55</v>
      </c>
      <c r="H4102" t="s">
        <v>44</v>
      </c>
      <c r="I4102" t="s">
        <v>2192</v>
      </c>
      <c r="J4102" s="10">
        <v>6</v>
      </c>
      <c r="K4102" t="b">
        <v>1</v>
      </c>
    </row>
    <row r="4103" spans="1:11">
      <c r="A4103" s="12">
        <v>42153</v>
      </c>
      <c r="B4103">
        <v>2015</v>
      </c>
      <c r="C4103">
        <v>5</v>
      </c>
      <c r="D4103" s="11">
        <v>42125</v>
      </c>
      <c r="E4103" t="s">
        <v>2177</v>
      </c>
      <c r="F4103">
        <v>5</v>
      </c>
      <c r="G4103" t="s">
        <v>55</v>
      </c>
      <c r="H4103" t="s">
        <v>45</v>
      </c>
      <c r="I4103" t="s">
        <v>2193</v>
      </c>
      <c r="J4103" s="10">
        <v>0</v>
      </c>
      <c r="K4103" t="b">
        <v>1</v>
      </c>
    </row>
    <row r="4104" spans="1:11">
      <c r="A4104" s="12">
        <v>42153</v>
      </c>
      <c r="B4104">
        <v>2015</v>
      </c>
      <c r="C4104">
        <v>5</v>
      </c>
      <c r="D4104" s="11">
        <v>42125</v>
      </c>
      <c r="E4104" t="s">
        <v>2177</v>
      </c>
      <c r="F4104">
        <v>5</v>
      </c>
      <c r="G4104" t="s">
        <v>55</v>
      </c>
      <c r="H4104" t="s">
        <v>46</v>
      </c>
      <c r="I4104" t="s">
        <v>2194</v>
      </c>
      <c r="J4104" s="10">
        <v>5</v>
      </c>
      <c r="K4104" t="b">
        <v>1</v>
      </c>
    </row>
    <row r="4105" spans="1:11">
      <c r="A4105" s="12">
        <v>42153</v>
      </c>
      <c r="B4105">
        <v>2015</v>
      </c>
      <c r="C4105">
        <v>5</v>
      </c>
      <c r="D4105" s="11">
        <v>42125</v>
      </c>
      <c r="E4105" t="s">
        <v>2177</v>
      </c>
      <c r="F4105">
        <v>5</v>
      </c>
      <c r="G4105" t="s">
        <v>55</v>
      </c>
      <c r="H4105" t="s">
        <v>47</v>
      </c>
      <c r="I4105" t="s">
        <v>2195</v>
      </c>
      <c r="J4105" s="10">
        <v>3</v>
      </c>
      <c r="K4105" t="b">
        <v>1</v>
      </c>
    </row>
    <row r="4106" spans="1:11">
      <c r="A4106" s="12">
        <v>42154</v>
      </c>
      <c r="B4106">
        <v>2015</v>
      </c>
      <c r="C4106">
        <v>5</v>
      </c>
      <c r="D4106" s="11">
        <v>42125</v>
      </c>
      <c r="E4106" t="s">
        <v>2177</v>
      </c>
      <c r="F4106">
        <v>6</v>
      </c>
      <c r="G4106" t="s">
        <v>57</v>
      </c>
      <c r="H4106" t="s">
        <v>40</v>
      </c>
      <c r="I4106" t="s">
        <v>2188</v>
      </c>
      <c r="J4106" s="10">
        <v>14</v>
      </c>
      <c r="K4106" t="b">
        <v>1</v>
      </c>
    </row>
    <row r="4107" spans="1:11">
      <c r="A4107" s="12">
        <v>42154</v>
      </c>
      <c r="B4107">
        <v>2015</v>
      </c>
      <c r="C4107">
        <v>5</v>
      </c>
      <c r="D4107" s="11">
        <v>42125</v>
      </c>
      <c r="E4107" t="s">
        <v>2177</v>
      </c>
      <c r="F4107">
        <v>6</v>
      </c>
      <c r="G4107" t="s">
        <v>57</v>
      </c>
      <c r="H4107" t="s">
        <v>41</v>
      </c>
      <c r="I4107" t="s">
        <v>2189</v>
      </c>
      <c r="J4107" s="10">
        <v>2.68</v>
      </c>
      <c r="K4107" t="b">
        <v>1</v>
      </c>
    </row>
    <row r="4108" spans="1:11">
      <c r="A4108" s="12">
        <v>42154</v>
      </c>
      <c r="B4108">
        <v>2015</v>
      </c>
      <c r="C4108">
        <v>5</v>
      </c>
      <c r="D4108" s="11">
        <v>42125</v>
      </c>
      <c r="E4108" t="s">
        <v>2177</v>
      </c>
      <c r="F4108">
        <v>6</v>
      </c>
      <c r="G4108" t="s">
        <v>57</v>
      </c>
      <c r="H4108" t="s">
        <v>42</v>
      </c>
      <c r="I4108" t="s">
        <v>2190</v>
      </c>
      <c r="J4108" s="10">
        <v>6</v>
      </c>
      <c r="K4108" t="b">
        <v>1</v>
      </c>
    </row>
    <row r="4109" spans="1:11">
      <c r="A4109" s="12">
        <v>42154</v>
      </c>
      <c r="B4109">
        <v>2015</v>
      </c>
      <c r="C4109">
        <v>5</v>
      </c>
      <c r="D4109" s="11">
        <v>42125</v>
      </c>
      <c r="E4109" t="s">
        <v>2177</v>
      </c>
      <c r="F4109">
        <v>6</v>
      </c>
      <c r="G4109" t="s">
        <v>57</v>
      </c>
      <c r="H4109" t="s">
        <v>43</v>
      </c>
      <c r="I4109" t="s">
        <v>2191</v>
      </c>
      <c r="J4109" s="10">
        <v>24.5</v>
      </c>
      <c r="K4109" t="b">
        <v>1</v>
      </c>
    </row>
    <row r="4110" spans="1:11">
      <c r="A4110" s="12">
        <v>42154</v>
      </c>
      <c r="B4110">
        <v>2015</v>
      </c>
      <c r="C4110">
        <v>5</v>
      </c>
      <c r="D4110" s="11">
        <v>42125</v>
      </c>
      <c r="E4110" t="s">
        <v>2177</v>
      </c>
      <c r="F4110">
        <v>6</v>
      </c>
      <c r="G4110" t="s">
        <v>57</v>
      </c>
      <c r="H4110" t="s">
        <v>44</v>
      </c>
      <c r="I4110" t="s">
        <v>2192</v>
      </c>
      <c r="J4110" s="10">
        <v>4</v>
      </c>
      <c r="K4110" t="b">
        <v>1</v>
      </c>
    </row>
    <row r="4111" spans="1:11">
      <c r="A4111" s="12">
        <v>42154</v>
      </c>
      <c r="B4111">
        <v>2015</v>
      </c>
      <c r="C4111">
        <v>5</v>
      </c>
      <c r="D4111" s="11">
        <v>42125</v>
      </c>
      <c r="E4111" t="s">
        <v>2177</v>
      </c>
      <c r="F4111">
        <v>6</v>
      </c>
      <c r="G4111" t="s">
        <v>57</v>
      </c>
      <c r="H4111" t="s">
        <v>45</v>
      </c>
      <c r="I4111" t="s">
        <v>2193</v>
      </c>
      <c r="J4111" s="10">
        <v>0</v>
      </c>
      <c r="K4111" t="b">
        <v>1</v>
      </c>
    </row>
    <row r="4112" spans="1:11">
      <c r="A4112" s="12">
        <v>42154</v>
      </c>
      <c r="B4112">
        <v>2015</v>
      </c>
      <c r="C4112">
        <v>5</v>
      </c>
      <c r="D4112" s="11">
        <v>42125</v>
      </c>
      <c r="E4112" t="s">
        <v>2177</v>
      </c>
      <c r="F4112">
        <v>6</v>
      </c>
      <c r="G4112" t="s">
        <v>57</v>
      </c>
      <c r="H4112" t="s">
        <v>46</v>
      </c>
      <c r="I4112" t="s">
        <v>2194</v>
      </c>
      <c r="J4112" s="10">
        <v>4</v>
      </c>
      <c r="K4112" t="b">
        <v>1</v>
      </c>
    </row>
    <row r="4113" spans="1:11">
      <c r="A4113" s="12">
        <v>42154</v>
      </c>
      <c r="B4113">
        <v>2015</v>
      </c>
      <c r="C4113">
        <v>5</v>
      </c>
      <c r="D4113" s="11">
        <v>42125</v>
      </c>
      <c r="E4113" t="s">
        <v>2177</v>
      </c>
      <c r="F4113">
        <v>6</v>
      </c>
      <c r="G4113" t="s">
        <v>57</v>
      </c>
      <c r="H4113" t="s">
        <v>47</v>
      </c>
      <c r="I4113" t="s">
        <v>2195</v>
      </c>
      <c r="J4113" s="10">
        <v>8</v>
      </c>
      <c r="K4113" t="b">
        <v>1</v>
      </c>
    </row>
    <row r="4114" spans="1:11">
      <c r="A4114" s="12">
        <v>42155</v>
      </c>
      <c r="B4114">
        <v>2015</v>
      </c>
      <c r="C4114">
        <v>5</v>
      </c>
      <c r="D4114" s="11">
        <v>42125</v>
      </c>
      <c r="E4114" t="s">
        <v>2177</v>
      </c>
      <c r="F4114">
        <v>7</v>
      </c>
      <c r="G4114" t="s">
        <v>59</v>
      </c>
      <c r="H4114" t="s">
        <v>40</v>
      </c>
      <c r="I4114" t="s">
        <v>2188</v>
      </c>
      <c r="J4114" s="10">
        <v>3</v>
      </c>
      <c r="K4114" t="b">
        <v>1</v>
      </c>
    </row>
    <row r="4115" spans="1:11">
      <c r="A4115" s="12">
        <v>42155</v>
      </c>
      <c r="B4115">
        <v>2015</v>
      </c>
      <c r="C4115">
        <v>5</v>
      </c>
      <c r="D4115" s="11">
        <v>42125</v>
      </c>
      <c r="E4115" t="s">
        <v>2177</v>
      </c>
      <c r="F4115">
        <v>7</v>
      </c>
      <c r="G4115" t="s">
        <v>59</v>
      </c>
      <c r="H4115" t="s">
        <v>41</v>
      </c>
      <c r="I4115" t="s">
        <v>2189</v>
      </c>
      <c r="J4115" s="10">
        <v>4.697</v>
      </c>
      <c r="K4115" t="b">
        <v>1</v>
      </c>
    </row>
    <row r="4116" spans="1:11">
      <c r="A4116" s="12">
        <v>42155</v>
      </c>
      <c r="B4116">
        <v>2015</v>
      </c>
      <c r="C4116">
        <v>5</v>
      </c>
      <c r="D4116" s="11">
        <v>42125</v>
      </c>
      <c r="E4116" t="s">
        <v>2177</v>
      </c>
      <c r="F4116">
        <v>7</v>
      </c>
      <c r="G4116" t="s">
        <v>59</v>
      </c>
      <c r="H4116" t="s">
        <v>42</v>
      </c>
      <c r="I4116" t="s">
        <v>2190</v>
      </c>
      <c r="J4116" s="10">
        <v>6.3</v>
      </c>
      <c r="K4116" t="b">
        <v>1</v>
      </c>
    </row>
    <row r="4117" spans="1:11">
      <c r="A4117" s="12">
        <v>42155</v>
      </c>
      <c r="B4117">
        <v>2015</v>
      </c>
      <c r="C4117">
        <v>5</v>
      </c>
      <c r="D4117" s="11">
        <v>42125</v>
      </c>
      <c r="E4117" t="s">
        <v>2177</v>
      </c>
      <c r="F4117">
        <v>7</v>
      </c>
      <c r="G4117" t="s">
        <v>59</v>
      </c>
      <c r="H4117" t="s">
        <v>43</v>
      </c>
      <c r="I4117" t="s">
        <v>2191</v>
      </c>
      <c r="J4117" s="10">
        <v>31.5</v>
      </c>
      <c r="K4117" t="b">
        <v>1</v>
      </c>
    </row>
    <row r="4118" spans="1:11">
      <c r="A4118" s="12">
        <v>42155</v>
      </c>
      <c r="B4118">
        <v>2015</v>
      </c>
      <c r="C4118">
        <v>5</v>
      </c>
      <c r="D4118" s="11">
        <v>42125</v>
      </c>
      <c r="E4118" t="s">
        <v>2177</v>
      </c>
      <c r="F4118">
        <v>7</v>
      </c>
      <c r="G4118" t="s">
        <v>59</v>
      </c>
      <c r="H4118" t="s">
        <v>44</v>
      </c>
      <c r="I4118" t="s">
        <v>2192</v>
      </c>
      <c r="J4118" s="10">
        <v>2</v>
      </c>
      <c r="K4118" t="b">
        <v>1</v>
      </c>
    </row>
    <row r="4119" spans="1:11">
      <c r="A4119" s="12">
        <v>42155</v>
      </c>
      <c r="B4119">
        <v>2015</v>
      </c>
      <c r="C4119">
        <v>5</v>
      </c>
      <c r="D4119" s="11">
        <v>42125</v>
      </c>
      <c r="E4119" t="s">
        <v>2177</v>
      </c>
      <c r="F4119">
        <v>7</v>
      </c>
      <c r="G4119" t="s">
        <v>59</v>
      </c>
      <c r="H4119" t="s">
        <v>45</v>
      </c>
      <c r="I4119" t="s">
        <v>2193</v>
      </c>
      <c r="J4119" s="10">
        <v>0</v>
      </c>
      <c r="K4119" t="b">
        <v>1</v>
      </c>
    </row>
    <row r="4120" spans="1:11">
      <c r="A4120" s="12">
        <v>42155</v>
      </c>
      <c r="B4120">
        <v>2015</v>
      </c>
      <c r="C4120">
        <v>5</v>
      </c>
      <c r="D4120" s="11">
        <v>42125</v>
      </c>
      <c r="E4120" t="s">
        <v>2177</v>
      </c>
      <c r="F4120">
        <v>7</v>
      </c>
      <c r="G4120" t="s">
        <v>59</v>
      </c>
      <c r="H4120" t="s">
        <v>46</v>
      </c>
      <c r="I4120" t="s">
        <v>2194</v>
      </c>
      <c r="J4120" s="10">
        <v>0</v>
      </c>
      <c r="K4120" t="b">
        <v>1</v>
      </c>
    </row>
    <row r="4121" spans="1:11">
      <c r="A4121" s="12">
        <v>42155</v>
      </c>
      <c r="B4121">
        <v>2015</v>
      </c>
      <c r="C4121">
        <v>5</v>
      </c>
      <c r="D4121" s="11">
        <v>42125</v>
      </c>
      <c r="E4121" t="s">
        <v>2177</v>
      </c>
      <c r="F4121">
        <v>7</v>
      </c>
      <c r="G4121" t="s">
        <v>59</v>
      </c>
      <c r="H4121" t="s">
        <v>47</v>
      </c>
      <c r="I4121" t="s">
        <v>2195</v>
      </c>
      <c r="J4121" s="10">
        <v>10.5</v>
      </c>
      <c r="K4121" t="b">
        <v>1</v>
      </c>
    </row>
    <row r="4122" spans="1:11">
      <c r="A4122" s="12">
        <v>42156</v>
      </c>
      <c r="B4122">
        <v>2015</v>
      </c>
      <c r="C4122">
        <v>6</v>
      </c>
      <c r="D4122" s="11">
        <v>42156</v>
      </c>
      <c r="E4122" t="s">
        <v>2178</v>
      </c>
      <c r="F4122">
        <v>1</v>
      </c>
      <c r="G4122" t="s">
        <v>61</v>
      </c>
      <c r="H4122" t="s">
        <v>40</v>
      </c>
      <c r="I4122" t="s">
        <v>2188</v>
      </c>
      <c r="J4122" s="10">
        <v>4.66</v>
      </c>
      <c r="K4122" t="b">
        <v>1</v>
      </c>
    </row>
    <row r="4123" spans="1:11">
      <c r="A4123" s="12">
        <v>42156</v>
      </c>
      <c r="B4123">
        <v>2015</v>
      </c>
      <c r="C4123">
        <v>6</v>
      </c>
      <c r="D4123" s="11">
        <v>42156</v>
      </c>
      <c r="E4123" t="s">
        <v>2178</v>
      </c>
      <c r="F4123">
        <v>1</v>
      </c>
      <c r="G4123" t="s">
        <v>61</v>
      </c>
      <c r="H4123" t="s">
        <v>41</v>
      </c>
      <c r="I4123" t="s">
        <v>2189</v>
      </c>
      <c r="J4123" s="10">
        <v>5</v>
      </c>
      <c r="K4123" t="b">
        <v>1</v>
      </c>
    </row>
    <row r="4124" spans="1:11">
      <c r="A4124" s="12">
        <v>42156</v>
      </c>
      <c r="B4124">
        <v>2015</v>
      </c>
      <c r="C4124">
        <v>6</v>
      </c>
      <c r="D4124" s="11">
        <v>42156</v>
      </c>
      <c r="E4124" t="s">
        <v>2178</v>
      </c>
      <c r="F4124">
        <v>1</v>
      </c>
      <c r="G4124" t="s">
        <v>61</v>
      </c>
      <c r="H4124" t="s">
        <v>42</v>
      </c>
      <c r="I4124" t="s">
        <v>2190</v>
      </c>
      <c r="J4124" s="10">
        <v>2.5</v>
      </c>
      <c r="K4124" t="b">
        <v>1</v>
      </c>
    </row>
    <row r="4125" spans="1:11">
      <c r="A4125" s="12">
        <v>42156</v>
      </c>
      <c r="B4125">
        <v>2015</v>
      </c>
      <c r="C4125">
        <v>6</v>
      </c>
      <c r="D4125" s="11">
        <v>42156</v>
      </c>
      <c r="E4125" t="s">
        <v>2178</v>
      </c>
      <c r="F4125">
        <v>1</v>
      </c>
      <c r="G4125" t="s">
        <v>61</v>
      </c>
      <c r="H4125" t="s">
        <v>43</v>
      </c>
      <c r="I4125" t="s">
        <v>2191</v>
      </c>
      <c r="J4125" s="10">
        <v>23.55</v>
      </c>
      <c r="K4125" t="b">
        <v>1</v>
      </c>
    </row>
    <row r="4126" spans="1:11">
      <c r="A4126" s="12">
        <v>42156</v>
      </c>
      <c r="B4126">
        <v>2015</v>
      </c>
      <c r="C4126">
        <v>6</v>
      </c>
      <c r="D4126" s="11">
        <v>42156</v>
      </c>
      <c r="E4126" t="s">
        <v>2178</v>
      </c>
      <c r="F4126">
        <v>1</v>
      </c>
      <c r="G4126" t="s">
        <v>61</v>
      </c>
      <c r="H4126" t="s">
        <v>44</v>
      </c>
      <c r="I4126" t="s">
        <v>2192</v>
      </c>
      <c r="J4126" s="10">
        <v>12</v>
      </c>
      <c r="K4126" t="b">
        <v>1</v>
      </c>
    </row>
    <row r="4127" spans="1:11">
      <c r="A4127" s="12">
        <v>42156</v>
      </c>
      <c r="B4127">
        <v>2015</v>
      </c>
      <c r="C4127">
        <v>6</v>
      </c>
      <c r="D4127" s="11">
        <v>42156</v>
      </c>
      <c r="E4127" t="s">
        <v>2178</v>
      </c>
      <c r="F4127">
        <v>1</v>
      </c>
      <c r="G4127" t="s">
        <v>61</v>
      </c>
      <c r="H4127" t="s">
        <v>45</v>
      </c>
      <c r="I4127" t="s">
        <v>2193</v>
      </c>
      <c r="J4127" s="10">
        <v>0</v>
      </c>
      <c r="K4127" t="b">
        <v>1</v>
      </c>
    </row>
    <row r="4128" spans="1:11">
      <c r="A4128" s="12">
        <v>42156</v>
      </c>
      <c r="B4128">
        <v>2015</v>
      </c>
      <c r="C4128">
        <v>6</v>
      </c>
      <c r="D4128" s="11">
        <v>42156</v>
      </c>
      <c r="E4128" t="s">
        <v>2178</v>
      </c>
      <c r="F4128">
        <v>1</v>
      </c>
      <c r="G4128" t="s">
        <v>61</v>
      </c>
      <c r="H4128" t="s">
        <v>46</v>
      </c>
      <c r="I4128" t="s">
        <v>2194</v>
      </c>
      <c r="J4128" s="10">
        <v>2</v>
      </c>
      <c r="K4128" t="b">
        <v>1</v>
      </c>
    </row>
    <row r="4129" spans="1:11">
      <c r="A4129" s="12">
        <v>42156</v>
      </c>
      <c r="B4129">
        <v>2015</v>
      </c>
      <c r="C4129">
        <v>6</v>
      </c>
      <c r="D4129" s="11">
        <v>42156</v>
      </c>
      <c r="E4129" t="s">
        <v>2178</v>
      </c>
      <c r="F4129">
        <v>1</v>
      </c>
      <c r="G4129" t="s">
        <v>61</v>
      </c>
      <c r="H4129" t="s">
        <v>47</v>
      </c>
      <c r="I4129" t="s">
        <v>2195</v>
      </c>
      <c r="J4129" s="10">
        <v>3</v>
      </c>
      <c r="K4129" t="b">
        <v>1</v>
      </c>
    </row>
    <row r="4130" spans="1:11">
      <c r="A4130" s="12">
        <v>42157</v>
      </c>
      <c r="B4130">
        <v>2015</v>
      </c>
      <c r="C4130">
        <v>6</v>
      </c>
      <c r="D4130" s="11">
        <v>42156</v>
      </c>
      <c r="E4130" t="s">
        <v>2178</v>
      </c>
      <c r="F4130">
        <v>2</v>
      </c>
      <c r="G4130" t="s">
        <v>63</v>
      </c>
      <c r="H4130" t="s">
        <v>40</v>
      </c>
      <c r="I4130" t="s">
        <v>2188</v>
      </c>
      <c r="J4130" s="10">
        <v>8.33</v>
      </c>
      <c r="K4130" t="b">
        <v>1</v>
      </c>
    </row>
    <row r="4131" spans="1:11">
      <c r="A4131" s="12">
        <v>42157</v>
      </c>
      <c r="B4131">
        <v>2015</v>
      </c>
      <c r="C4131">
        <v>6</v>
      </c>
      <c r="D4131" s="11">
        <v>42156</v>
      </c>
      <c r="E4131" t="s">
        <v>2178</v>
      </c>
      <c r="F4131">
        <v>2</v>
      </c>
      <c r="G4131" t="s">
        <v>63</v>
      </c>
      <c r="H4131" t="s">
        <v>41</v>
      </c>
      <c r="I4131" t="s">
        <v>2189</v>
      </c>
      <c r="J4131" s="10">
        <v>8</v>
      </c>
      <c r="K4131" t="b">
        <v>1</v>
      </c>
    </row>
    <row r="4132" spans="1:11">
      <c r="A4132" s="12">
        <v>42157</v>
      </c>
      <c r="B4132">
        <v>2015</v>
      </c>
      <c r="C4132">
        <v>6</v>
      </c>
      <c r="D4132" s="11">
        <v>42156</v>
      </c>
      <c r="E4132" t="s">
        <v>2178</v>
      </c>
      <c r="F4132">
        <v>2</v>
      </c>
      <c r="G4132" t="s">
        <v>63</v>
      </c>
      <c r="H4132" t="s">
        <v>42</v>
      </c>
      <c r="I4132" t="s">
        <v>2190</v>
      </c>
      <c r="J4132" s="10">
        <v>7.9</v>
      </c>
      <c r="K4132" t="b">
        <v>1</v>
      </c>
    </row>
    <row r="4133" spans="1:11">
      <c r="A4133" s="12">
        <v>42157</v>
      </c>
      <c r="B4133">
        <v>2015</v>
      </c>
      <c r="C4133">
        <v>6</v>
      </c>
      <c r="D4133" s="11">
        <v>42156</v>
      </c>
      <c r="E4133" t="s">
        <v>2178</v>
      </c>
      <c r="F4133">
        <v>2</v>
      </c>
      <c r="G4133" t="s">
        <v>63</v>
      </c>
      <c r="H4133" t="s">
        <v>43</v>
      </c>
      <c r="I4133" t="s">
        <v>2191</v>
      </c>
      <c r="J4133" s="10">
        <v>24</v>
      </c>
      <c r="K4133" t="b">
        <v>1</v>
      </c>
    </row>
    <row r="4134" spans="1:11">
      <c r="A4134" s="12">
        <v>42157</v>
      </c>
      <c r="B4134">
        <v>2015</v>
      </c>
      <c r="C4134">
        <v>6</v>
      </c>
      <c r="D4134" s="11">
        <v>42156</v>
      </c>
      <c r="E4134" t="s">
        <v>2178</v>
      </c>
      <c r="F4134">
        <v>2</v>
      </c>
      <c r="G4134" t="s">
        <v>63</v>
      </c>
      <c r="H4134" t="s">
        <v>44</v>
      </c>
      <c r="I4134" t="s">
        <v>2192</v>
      </c>
      <c r="J4134" s="10">
        <v>10</v>
      </c>
      <c r="K4134" t="b">
        <v>1</v>
      </c>
    </row>
    <row r="4135" spans="1:11">
      <c r="A4135" s="12">
        <v>42157</v>
      </c>
      <c r="B4135">
        <v>2015</v>
      </c>
      <c r="C4135">
        <v>6</v>
      </c>
      <c r="D4135" s="11">
        <v>42156</v>
      </c>
      <c r="E4135" t="s">
        <v>2178</v>
      </c>
      <c r="F4135">
        <v>2</v>
      </c>
      <c r="G4135" t="s">
        <v>63</v>
      </c>
      <c r="H4135" t="s">
        <v>45</v>
      </c>
      <c r="I4135" t="s">
        <v>2193</v>
      </c>
      <c r="J4135" s="10">
        <v>4</v>
      </c>
      <c r="K4135" t="b">
        <v>1</v>
      </c>
    </row>
    <row r="4136" spans="1:11">
      <c r="A4136" s="12">
        <v>42157</v>
      </c>
      <c r="B4136">
        <v>2015</v>
      </c>
      <c r="C4136">
        <v>6</v>
      </c>
      <c r="D4136" s="11">
        <v>42156</v>
      </c>
      <c r="E4136" t="s">
        <v>2178</v>
      </c>
      <c r="F4136">
        <v>2</v>
      </c>
      <c r="G4136" t="s">
        <v>63</v>
      </c>
      <c r="H4136" t="s">
        <v>46</v>
      </c>
      <c r="I4136" t="s">
        <v>2194</v>
      </c>
      <c r="J4136" s="10">
        <v>3</v>
      </c>
      <c r="K4136" t="b">
        <v>1</v>
      </c>
    </row>
    <row r="4137" spans="1:11">
      <c r="A4137" s="12">
        <v>42157</v>
      </c>
      <c r="B4137">
        <v>2015</v>
      </c>
      <c r="C4137">
        <v>6</v>
      </c>
      <c r="D4137" s="11">
        <v>42156</v>
      </c>
      <c r="E4137" t="s">
        <v>2178</v>
      </c>
      <c r="F4137">
        <v>2</v>
      </c>
      <c r="G4137" t="s">
        <v>63</v>
      </c>
      <c r="H4137" t="s">
        <v>47</v>
      </c>
      <c r="I4137" t="s">
        <v>2195</v>
      </c>
      <c r="J4137" s="10">
        <v>6</v>
      </c>
      <c r="K4137" t="b">
        <v>1</v>
      </c>
    </row>
    <row r="4138" spans="1:11">
      <c r="A4138" s="12">
        <v>42158</v>
      </c>
      <c r="B4138">
        <v>2015</v>
      </c>
      <c r="C4138">
        <v>6</v>
      </c>
      <c r="D4138" s="11">
        <v>42156</v>
      </c>
      <c r="E4138" t="s">
        <v>2178</v>
      </c>
      <c r="F4138">
        <v>3</v>
      </c>
      <c r="G4138" t="s">
        <v>65</v>
      </c>
      <c r="H4138" t="s">
        <v>40</v>
      </c>
      <c r="I4138" t="s">
        <v>2188</v>
      </c>
      <c r="J4138" s="10">
        <v>5</v>
      </c>
      <c r="K4138" t="b">
        <v>1</v>
      </c>
    </row>
    <row r="4139" spans="1:11">
      <c r="A4139" s="12">
        <v>42158</v>
      </c>
      <c r="B4139">
        <v>2015</v>
      </c>
      <c r="C4139">
        <v>6</v>
      </c>
      <c r="D4139" s="11">
        <v>42156</v>
      </c>
      <c r="E4139" t="s">
        <v>2178</v>
      </c>
      <c r="F4139">
        <v>3</v>
      </c>
      <c r="G4139" t="s">
        <v>65</v>
      </c>
      <c r="H4139" t="s">
        <v>41</v>
      </c>
      <c r="I4139" t="s">
        <v>2189</v>
      </c>
      <c r="J4139" s="10">
        <v>1.66</v>
      </c>
      <c r="K4139" t="b">
        <v>1</v>
      </c>
    </row>
    <row r="4140" spans="1:11">
      <c r="A4140" s="12">
        <v>42158</v>
      </c>
      <c r="B4140">
        <v>2015</v>
      </c>
      <c r="C4140">
        <v>6</v>
      </c>
      <c r="D4140" s="11">
        <v>42156</v>
      </c>
      <c r="E4140" t="s">
        <v>2178</v>
      </c>
      <c r="F4140">
        <v>3</v>
      </c>
      <c r="G4140" t="s">
        <v>65</v>
      </c>
      <c r="H4140" t="s">
        <v>42</v>
      </c>
      <c r="I4140" t="s">
        <v>2190</v>
      </c>
      <c r="J4140" s="10">
        <v>5.3</v>
      </c>
      <c r="K4140" t="b">
        <v>1</v>
      </c>
    </row>
    <row r="4141" spans="1:11">
      <c r="A4141" s="12">
        <v>42158</v>
      </c>
      <c r="B4141">
        <v>2015</v>
      </c>
      <c r="C4141">
        <v>6</v>
      </c>
      <c r="D4141" s="11">
        <v>42156</v>
      </c>
      <c r="E4141" t="s">
        <v>2178</v>
      </c>
      <c r="F4141">
        <v>3</v>
      </c>
      <c r="G4141" t="s">
        <v>65</v>
      </c>
      <c r="H4141" t="s">
        <v>43</v>
      </c>
      <c r="I4141" t="s">
        <v>2191</v>
      </c>
      <c r="J4141" s="10">
        <v>30</v>
      </c>
      <c r="K4141" t="b">
        <v>1</v>
      </c>
    </row>
    <row r="4142" spans="1:11">
      <c r="A4142" s="12">
        <v>42158</v>
      </c>
      <c r="B4142">
        <v>2015</v>
      </c>
      <c r="C4142">
        <v>6</v>
      </c>
      <c r="D4142" s="11">
        <v>42156</v>
      </c>
      <c r="E4142" t="s">
        <v>2178</v>
      </c>
      <c r="F4142">
        <v>3</v>
      </c>
      <c r="G4142" t="s">
        <v>65</v>
      </c>
      <c r="H4142" t="s">
        <v>44</v>
      </c>
      <c r="I4142" t="s">
        <v>2192</v>
      </c>
      <c r="J4142" s="10">
        <v>9</v>
      </c>
      <c r="K4142" t="b">
        <v>1</v>
      </c>
    </row>
    <row r="4143" spans="1:11">
      <c r="A4143" s="12">
        <v>42158</v>
      </c>
      <c r="B4143">
        <v>2015</v>
      </c>
      <c r="C4143">
        <v>6</v>
      </c>
      <c r="D4143" s="11">
        <v>42156</v>
      </c>
      <c r="E4143" t="s">
        <v>2178</v>
      </c>
      <c r="F4143">
        <v>3</v>
      </c>
      <c r="G4143" t="s">
        <v>65</v>
      </c>
      <c r="H4143" t="s">
        <v>45</v>
      </c>
      <c r="I4143" t="s">
        <v>2193</v>
      </c>
      <c r="J4143" s="10">
        <v>0</v>
      </c>
      <c r="K4143" t="b">
        <v>1</v>
      </c>
    </row>
    <row r="4144" spans="1:11">
      <c r="A4144" s="12">
        <v>42158</v>
      </c>
      <c r="B4144">
        <v>2015</v>
      </c>
      <c r="C4144">
        <v>6</v>
      </c>
      <c r="D4144" s="11">
        <v>42156</v>
      </c>
      <c r="E4144" t="s">
        <v>2178</v>
      </c>
      <c r="F4144">
        <v>3</v>
      </c>
      <c r="G4144" t="s">
        <v>65</v>
      </c>
      <c r="H4144" t="s">
        <v>46</v>
      </c>
      <c r="I4144" t="s">
        <v>2194</v>
      </c>
      <c r="J4144" s="10">
        <v>6</v>
      </c>
      <c r="K4144" t="b">
        <v>1</v>
      </c>
    </row>
    <row r="4145" spans="1:11">
      <c r="A4145" s="12">
        <v>42158</v>
      </c>
      <c r="B4145">
        <v>2015</v>
      </c>
      <c r="C4145">
        <v>6</v>
      </c>
      <c r="D4145" s="11">
        <v>42156</v>
      </c>
      <c r="E4145" t="s">
        <v>2178</v>
      </c>
      <c r="F4145">
        <v>3</v>
      </c>
      <c r="G4145" t="s">
        <v>65</v>
      </c>
      <c r="H4145" t="s">
        <v>47</v>
      </c>
      <c r="I4145" t="s">
        <v>2195</v>
      </c>
      <c r="J4145" s="10">
        <v>2</v>
      </c>
      <c r="K4145" t="b">
        <v>1</v>
      </c>
    </row>
    <row r="4146" spans="1:11">
      <c r="A4146" s="12">
        <v>42159</v>
      </c>
      <c r="B4146">
        <v>2015</v>
      </c>
      <c r="C4146">
        <v>6</v>
      </c>
      <c r="D4146" s="11">
        <v>42156</v>
      </c>
      <c r="E4146" t="s">
        <v>2178</v>
      </c>
      <c r="F4146">
        <v>4</v>
      </c>
      <c r="G4146" t="s">
        <v>53</v>
      </c>
      <c r="H4146" t="s">
        <v>40</v>
      </c>
      <c r="I4146" t="s">
        <v>2188</v>
      </c>
      <c r="J4146" s="10">
        <v>2.33</v>
      </c>
      <c r="K4146" t="b">
        <v>1</v>
      </c>
    </row>
    <row r="4147" spans="1:11">
      <c r="A4147" s="12">
        <v>42159</v>
      </c>
      <c r="B4147">
        <v>2015</v>
      </c>
      <c r="C4147">
        <v>6</v>
      </c>
      <c r="D4147" s="11">
        <v>42156</v>
      </c>
      <c r="E4147" t="s">
        <v>2178</v>
      </c>
      <c r="F4147">
        <v>4</v>
      </c>
      <c r="G4147" t="s">
        <v>53</v>
      </c>
      <c r="H4147" t="s">
        <v>41</v>
      </c>
      <c r="I4147" t="s">
        <v>2189</v>
      </c>
      <c r="J4147" s="10">
        <v>4</v>
      </c>
      <c r="K4147" t="b">
        <v>1</v>
      </c>
    </row>
    <row r="4148" spans="1:11">
      <c r="A4148" s="12">
        <v>42159</v>
      </c>
      <c r="B4148">
        <v>2015</v>
      </c>
      <c r="C4148">
        <v>6</v>
      </c>
      <c r="D4148" s="11">
        <v>42156</v>
      </c>
      <c r="E4148" t="s">
        <v>2178</v>
      </c>
      <c r="F4148">
        <v>4</v>
      </c>
      <c r="G4148" t="s">
        <v>53</v>
      </c>
      <c r="H4148" t="s">
        <v>42</v>
      </c>
      <c r="I4148" t="s">
        <v>2190</v>
      </c>
      <c r="J4148" s="10">
        <v>3</v>
      </c>
      <c r="K4148" t="b">
        <v>1</v>
      </c>
    </row>
    <row r="4149" spans="1:11">
      <c r="A4149" s="12">
        <v>42159</v>
      </c>
      <c r="B4149">
        <v>2015</v>
      </c>
      <c r="C4149">
        <v>6</v>
      </c>
      <c r="D4149" s="11">
        <v>42156</v>
      </c>
      <c r="E4149" t="s">
        <v>2178</v>
      </c>
      <c r="F4149">
        <v>4</v>
      </c>
      <c r="G4149" t="s">
        <v>53</v>
      </c>
      <c r="H4149" t="s">
        <v>43</v>
      </c>
      <c r="I4149" t="s">
        <v>2191</v>
      </c>
      <c r="J4149" s="10">
        <v>20</v>
      </c>
      <c r="K4149" t="b">
        <v>1</v>
      </c>
    </row>
    <row r="4150" spans="1:11">
      <c r="A4150" s="12">
        <v>42159</v>
      </c>
      <c r="B4150">
        <v>2015</v>
      </c>
      <c r="C4150">
        <v>6</v>
      </c>
      <c r="D4150" s="11">
        <v>42156</v>
      </c>
      <c r="E4150" t="s">
        <v>2178</v>
      </c>
      <c r="F4150">
        <v>4</v>
      </c>
      <c r="G4150" t="s">
        <v>53</v>
      </c>
      <c r="H4150" t="s">
        <v>44</v>
      </c>
      <c r="I4150" t="s">
        <v>2192</v>
      </c>
      <c r="J4150" s="10">
        <v>5</v>
      </c>
      <c r="K4150" t="b">
        <v>1</v>
      </c>
    </row>
    <row r="4151" spans="1:11">
      <c r="A4151" s="12">
        <v>42159</v>
      </c>
      <c r="B4151">
        <v>2015</v>
      </c>
      <c r="C4151">
        <v>6</v>
      </c>
      <c r="D4151" s="11">
        <v>42156</v>
      </c>
      <c r="E4151" t="s">
        <v>2178</v>
      </c>
      <c r="F4151">
        <v>4</v>
      </c>
      <c r="G4151" t="s">
        <v>53</v>
      </c>
      <c r="H4151" t="s">
        <v>45</v>
      </c>
      <c r="I4151" t="s">
        <v>2193</v>
      </c>
      <c r="J4151" s="10">
        <v>0</v>
      </c>
      <c r="K4151" t="b">
        <v>1</v>
      </c>
    </row>
    <row r="4152" spans="1:11">
      <c r="A4152" s="12">
        <v>42159</v>
      </c>
      <c r="B4152">
        <v>2015</v>
      </c>
      <c r="C4152">
        <v>6</v>
      </c>
      <c r="D4152" s="11">
        <v>42156</v>
      </c>
      <c r="E4152" t="s">
        <v>2178</v>
      </c>
      <c r="F4152">
        <v>4</v>
      </c>
      <c r="G4152" t="s">
        <v>53</v>
      </c>
      <c r="H4152" t="s">
        <v>46</v>
      </c>
      <c r="I4152" t="s">
        <v>2194</v>
      </c>
      <c r="J4152" s="10">
        <v>2</v>
      </c>
      <c r="K4152" t="b">
        <v>1</v>
      </c>
    </row>
    <row r="4153" spans="1:11">
      <c r="A4153" s="12">
        <v>42159</v>
      </c>
      <c r="B4153">
        <v>2015</v>
      </c>
      <c r="C4153">
        <v>6</v>
      </c>
      <c r="D4153" s="11">
        <v>42156</v>
      </c>
      <c r="E4153" t="s">
        <v>2178</v>
      </c>
      <c r="F4153">
        <v>4</v>
      </c>
      <c r="G4153" t="s">
        <v>53</v>
      </c>
      <c r="H4153" t="s">
        <v>47</v>
      </c>
      <c r="I4153" t="s">
        <v>2195</v>
      </c>
      <c r="J4153" s="10">
        <v>2</v>
      </c>
      <c r="K4153" t="b">
        <v>1</v>
      </c>
    </row>
    <row r="4154" spans="1:11">
      <c r="A4154" s="12">
        <v>42160</v>
      </c>
      <c r="B4154">
        <v>2015</v>
      </c>
      <c r="C4154">
        <v>6</v>
      </c>
      <c r="D4154" s="11">
        <v>42156</v>
      </c>
      <c r="E4154" t="s">
        <v>2178</v>
      </c>
      <c r="F4154">
        <v>5</v>
      </c>
      <c r="G4154" t="s">
        <v>55</v>
      </c>
      <c r="H4154" t="s">
        <v>40</v>
      </c>
      <c r="I4154" t="s">
        <v>2188</v>
      </c>
      <c r="J4154" s="10">
        <v>5</v>
      </c>
      <c r="K4154" t="b">
        <v>1</v>
      </c>
    </row>
    <row r="4155" spans="1:11">
      <c r="A4155" s="12">
        <v>42160</v>
      </c>
      <c r="B4155">
        <v>2015</v>
      </c>
      <c r="C4155">
        <v>6</v>
      </c>
      <c r="D4155" s="11">
        <v>42156</v>
      </c>
      <c r="E4155" t="s">
        <v>2178</v>
      </c>
      <c r="F4155">
        <v>5</v>
      </c>
      <c r="G4155" t="s">
        <v>55</v>
      </c>
      <c r="H4155" t="s">
        <v>41</v>
      </c>
      <c r="I4155" t="s">
        <v>2189</v>
      </c>
      <c r="J4155" s="10">
        <v>0.67</v>
      </c>
      <c r="K4155" t="b">
        <v>1</v>
      </c>
    </row>
    <row r="4156" spans="1:11">
      <c r="A4156" s="12">
        <v>42160</v>
      </c>
      <c r="B4156">
        <v>2015</v>
      </c>
      <c r="C4156">
        <v>6</v>
      </c>
      <c r="D4156" s="11">
        <v>42156</v>
      </c>
      <c r="E4156" t="s">
        <v>2178</v>
      </c>
      <c r="F4156">
        <v>5</v>
      </c>
      <c r="G4156" t="s">
        <v>55</v>
      </c>
      <c r="H4156" t="s">
        <v>42</v>
      </c>
      <c r="I4156" t="s">
        <v>2190</v>
      </c>
      <c r="J4156" s="10">
        <v>5</v>
      </c>
      <c r="K4156" t="b">
        <v>1</v>
      </c>
    </row>
    <row r="4157" spans="1:11">
      <c r="A4157" s="12">
        <v>42160</v>
      </c>
      <c r="B4157">
        <v>2015</v>
      </c>
      <c r="C4157">
        <v>6</v>
      </c>
      <c r="D4157" s="11">
        <v>42156</v>
      </c>
      <c r="E4157" t="s">
        <v>2178</v>
      </c>
      <c r="F4157">
        <v>5</v>
      </c>
      <c r="G4157" t="s">
        <v>55</v>
      </c>
      <c r="H4157" t="s">
        <v>43</v>
      </c>
      <c r="I4157" t="s">
        <v>2191</v>
      </c>
      <c r="J4157" s="10">
        <v>13</v>
      </c>
      <c r="K4157" t="b">
        <v>1</v>
      </c>
    </row>
    <row r="4158" spans="1:11">
      <c r="A4158" s="12">
        <v>42160</v>
      </c>
      <c r="B4158">
        <v>2015</v>
      </c>
      <c r="C4158">
        <v>6</v>
      </c>
      <c r="D4158" s="11">
        <v>42156</v>
      </c>
      <c r="E4158" t="s">
        <v>2178</v>
      </c>
      <c r="F4158">
        <v>5</v>
      </c>
      <c r="G4158" t="s">
        <v>55</v>
      </c>
      <c r="H4158" t="s">
        <v>44</v>
      </c>
      <c r="I4158" t="s">
        <v>2192</v>
      </c>
      <c r="J4158" s="10">
        <v>6</v>
      </c>
      <c r="K4158" t="b">
        <v>1</v>
      </c>
    </row>
    <row r="4159" spans="1:11">
      <c r="A4159" s="12">
        <v>42160</v>
      </c>
      <c r="B4159">
        <v>2015</v>
      </c>
      <c r="C4159">
        <v>6</v>
      </c>
      <c r="D4159" s="11">
        <v>42156</v>
      </c>
      <c r="E4159" t="s">
        <v>2178</v>
      </c>
      <c r="F4159">
        <v>5</v>
      </c>
      <c r="G4159" t="s">
        <v>55</v>
      </c>
      <c r="H4159" t="s">
        <v>45</v>
      </c>
      <c r="I4159" t="s">
        <v>2193</v>
      </c>
      <c r="J4159" s="10">
        <v>0</v>
      </c>
      <c r="K4159" t="b">
        <v>1</v>
      </c>
    </row>
    <row r="4160" spans="1:11">
      <c r="A4160" s="12">
        <v>42160</v>
      </c>
      <c r="B4160">
        <v>2015</v>
      </c>
      <c r="C4160">
        <v>6</v>
      </c>
      <c r="D4160" s="11">
        <v>42156</v>
      </c>
      <c r="E4160" t="s">
        <v>2178</v>
      </c>
      <c r="F4160">
        <v>5</v>
      </c>
      <c r="G4160" t="s">
        <v>55</v>
      </c>
      <c r="H4160" t="s">
        <v>46</v>
      </c>
      <c r="I4160" t="s">
        <v>2194</v>
      </c>
      <c r="J4160" s="10">
        <v>1</v>
      </c>
      <c r="K4160" t="b">
        <v>1</v>
      </c>
    </row>
    <row r="4161" spans="1:11">
      <c r="A4161" s="12">
        <v>42160</v>
      </c>
      <c r="B4161">
        <v>2015</v>
      </c>
      <c r="C4161">
        <v>6</v>
      </c>
      <c r="D4161" s="11">
        <v>42156</v>
      </c>
      <c r="E4161" t="s">
        <v>2178</v>
      </c>
      <c r="F4161">
        <v>5</v>
      </c>
      <c r="G4161" t="s">
        <v>55</v>
      </c>
      <c r="H4161" t="s">
        <v>47</v>
      </c>
      <c r="I4161" t="s">
        <v>2195</v>
      </c>
      <c r="J4161" s="10">
        <v>7</v>
      </c>
      <c r="K4161" t="b">
        <v>1</v>
      </c>
    </row>
    <row r="4162" spans="1:11">
      <c r="A4162" s="12">
        <v>42161</v>
      </c>
      <c r="B4162">
        <v>2015</v>
      </c>
      <c r="C4162">
        <v>6</v>
      </c>
      <c r="D4162" s="11">
        <v>42156</v>
      </c>
      <c r="E4162" t="s">
        <v>2178</v>
      </c>
      <c r="F4162">
        <v>6</v>
      </c>
      <c r="G4162" t="s">
        <v>57</v>
      </c>
      <c r="H4162" t="s">
        <v>40</v>
      </c>
      <c r="I4162" t="s">
        <v>2188</v>
      </c>
      <c r="J4162" s="10">
        <v>3.68</v>
      </c>
      <c r="K4162" t="b">
        <v>1</v>
      </c>
    </row>
    <row r="4163" spans="1:11">
      <c r="A4163" s="12">
        <v>42161</v>
      </c>
      <c r="B4163">
        <v>2015</v>
      </c>
      <c r="C4163">
        <v>6</v>
      </c>
      <c r="D4163" s="11">
        <v>42156</v>
      </c>
      <c r="E4163" t="s">
        <v>2178</v>
      </c>
      <c r="F4163">
        <v>6</v>
      </c>
      <c r="G4163" t="s">
        <v>57</v>
      </c>
      <c r="H4163" t="s">
        <v>41</v>
      </c>
      <c r="I4163" t="s">
        <v>2189</v>
      </c>
      <c r="J4163" s="10">
        <v>3.68</v>
      </c>
      <c r="K4163" t="b">
        <v>1</v>
      </c>
    </row>
    <row r="4164" spans="1:11">
      <c r="A4164" s="12">
        <v>42161</v>
      </c>
      <c r="B4164">
        <v>2015</v>
      </c>
      <c r="C4164">
        <v>6</v>
      </c>
      <c r="D4164" s="11">
        <v>42156</v>
      </c>
      <c r="E4164" t="s">
        <v>2178</v>
      </c>
      <c r="F4164">
        <v>6</v>
      </c>
      <c r="G4164" t="s">
        <v>57</v>
      </c>
      <c r="H4164" t="s">
        <v>42</v>
      </c>
      <c r="I4164" t="s">
        <v>2190</v>
      </c>
      <c r="J4164" s="10">
        <v>2</v>
      </c>
      <c r="K4164" t="b">
        <v>1</v>
      </c>
    </row>
    <row r="4165" spans="1:11">
      <c r="A4165" s="12">
        <v>42161</v>
      </c>
      <c r="B4165">
        <v>2015</v>
      </c>
      <c r="C4165">
        <v>6</v>
      </c>
      <c r="D4165" s="11">
        <v>42156</v>
      </c>
      <c r="E4165" t="s">
        <v>2178</v>
      </c>
      <c r="F4165">
        <v>6</v>
      </c>
      <c r="G4165" t="s">
        <v>57</v>
      </c>
      <c r="H4165" t="s">
        <v>43</v>
      </c>
      <c r="I4165" t="s">
        <v>2191</v>
      </c>
      <c r="J4165" s="10">
        <v>16</v>
      </c>
      <c r="K4165" t="b">
        <v>1</v>
      </c>
    </row>
    <row r="4166" spans="1:11">
      <c r="A4166" s="12">
        <v>42161</v>
      </c>
      <c r="B4166">
        <v>2015</v>
      </c>
      <c r="C4166">
        <v>6</v>
      </c>
      <c r="D4166" s="11">
        <v>42156</v>
      </c>
      <c r="E4166" t="s">
        <v>2178</v>
      </c>
      <c r="F4166">
        <v>6</v>
      </c>
      <c r="G4166" t="s">
        <v>57</v>
      </c>
      <c r="H4166" t="s">
        <v>44</v>
      </c>
      <c r="I4166" t="s">
        <v>2192</v>
      </c>
      <c r="J4166" s="10">
        <v>6</v>
      </c>
      <c r="K4166" t="b">
        <v>1</v>
      </c>
    </row>
    <row r="4167" spans="1:11">
      <c r="A4167" s="12">
        <v>42161</v>
      </c>
      <c r="B4167">
        <v>2015</v>
      </c>
      <c r="C4167">
        <v>6</v>
      </c>
      <c r="D4167" s="11">
        <v>42156</v>
      </c>
      <c r="E4167" t="s">
        <v>2178</v>
      </c>
      <c r="F4167">
        <v>6</v>
      </c>
      <c r="G4167" t="s">
        <v>57</v>
      </c>
      <c r="H4167" t="s">
        <v>45</v>
      </c>
      <c r="I4167" t="s">
        <v>2193</v>
      </c>
      <c r="J4167" s="10">
        <v>0</v>
      </c>
      <c r="K4167" t="b">
        <v>1</v>
      </c>
    </row>
    <row r="4168" spans="1:11">
      <c r="A4168" s="12">
        <v>42161</v>
      </c>
      <c r="B4168">
        <v>2015</v>
      </c>
      <c r="C4168">
        <v>6</v>
      </c>
      <c r="D4168" s="11">
        <v>42156</v>
      </c>
      <c r="E4168" t="s">
        <v>2178</v>
      </c>
      <c r="F4168">
        <v>6</v>
      </c>
      <c r="G4168" t="s">
        <v>57</v>
      </c>
      <c r="H4168" t="s">
        <v>46</v>
      </c>
      <c r="I4168" t="s">
        <v>2194</v>
      </c>
      <c r="J4168" s="10">
        <v>17</v>
      </c>
      <c r="K4168" t="b">
        <v>1</v>
      </c>
    </row>
    <row r="4169" spans="1:11">
      <c r="A4169" s="12">
        <v>42161</v>
      </c>
      <c r="B4169">
        <v>2015</v>
      </c>
      <c r="C4169">
        <v>6</v>
      </c>
      <c r="D4169" s="11">
        <v>42156</v>
      </c>
      <c r="E4169" t="s">
        <v>2178</v>
      </c>
      <c r="F4169">
        <v>6</v>
      </c>
      <c r="G4169" t="s">
        <v>57</v>
      </c>
      <c r="H4169" t="s">
        <v>47</v>
      </c>
      <c r="I4169" t="s">
        <v>2195</v>
      </c>
      <c r="J4169" s="10">
        <v>2</v>
      </c>
      <c r="K4169" t="b">
        <v>1</v>
      </c>
    </row>
    <row r="4170" spans="1:11">
      <c r="A4170" s="12">
        <v>42162</v>
      </c>
      <c r="B4170">
        <v>2015</v>
      </c>
      <c r="C4170">
        <v>6</v>
      </c>
      <c r="D4170" s="11">
        <v>42156</v>
      </c>
      <c r="E4170" t="s">
        <v>2178</v>
      </c>
      <c r="F4170">
        <v>7</v>
      </c>
      <c r="G4170" t="s">
        <v>59</v>
      </c>
      <c r="H4170" t="s">
        <v>40</v>
      </c>
      <c r="I4170" t="s">
        <v>2188</v>
      </c>
      <c r="J4170" s="10">
        <v>6.34</v>
      </c>
      <c r="K4170" t="b">
        <v>1</v>
      </c>
    </row>
    <row r="4171" spans="1:11">
      <c r="A4171" s="12">
        <v>42162</v>
      </c>
      <c r="B4171">
        <v>2015</v>
      </c>
      <c r="C4171">
        <v>6</v>
      </c>
      <c r="D4171" s="11">
        <v>42156</v>
      </c>
      <c r="E4171" t="s">
        <v>2178</v>
      </c>
      <c r="F4171">
        <v>7</v>
      </c>
      <c r="G4171" t="s">
        <v>59</v>
      </c>
      <c r="H4171" t="s">
        <v>41</v>
      </c>
      <c r="I4171" t="s">
        <v>2189</v>
      </c>
      <c r="J4171" s="10">
        <v>5.01</v>
      </c>
      <c r="K4171" t="b">
        <v>1</v>
      </c>
    </row>
    <row r="4172" spans="1:11">
      <c r="A4172" s="12">
        <v>42162</v>
      </c>
      <c r="B4172">
        <v>2015</v>
      </c>
      <c r="C4172">
        <v>6</v>
      </c>
      <c r="D4172" s="11">
        <v>42156</v>
      </c>
      <c r="E4172" t="s">
        <v>2178</v>
      </c>
      <c r="F4172">
        <v>7</v>
      </c>
      <c r="G4172" t="s">
        <v>59</v>
      </c>
      <c r="H4172" t="s">
        <v>42</v>
      </c>
      <c r="I4172" t="s">
        <v>2190</v>
      </c>
      <c r="J4172" s="10">
        <v>2</v>
      </c>
      <c r="K4172" t="b">
        <v>1</v>
      </c>
    </row>
    <row r="4173" spans="1:11">
      <c r="A4173" s="12">
        <v>42162</v>
      </c>
      <c r="B4173">
        <v>2015</v>
      </c>
      <c r="C4173">
        <v>6</v>
      </c>
      <c r="D4173" s="11">
        <v>42156</v>
      </c>
      <c r="E4173" t="s">
        <v>2178</v>
      </c>
      <c r="F4173">
        <v>7</v>
      </c>
      <c r="G4173" t="s">
        <v>59</v>
      </c>
      <c r="H4173" t="s">
        <v>43</v>
      </c>
      <c r="I4173" t="s">
        <v>2191</v>
      </c>
      <c r="J4173" s="10">
        <v>17</v>
      </c>
      <c r="K4173" t="b">
        <v>1</v>
      </c>
    </row>
    <row r="4174" spans="1:11">
      <c r="A4174" s="12">
        <v>42162</v>
      </c>
      <c r="B4174">
        <v>2015</v>
      </c>
      <c r="C4174">
        <v>6</v>
      </c>
      <c r="D4174" s="11">
        <v>42156</v>
      </c>
      <c r="E4174" t="s">
        <v>2178</v>
      </c>
      <c r="F4174">
        <v>7</v>
      </c>
      <c r="G4174" t="s">
        <v>59</v>
      </c>
      <c r="H4174" t="s">
        <v>44</v>
      </c>
      <c r="I4174" t="s">
        <v>2192</v>
      </c>
      <c r="J4174" s="10">
        <v>6</v>
      </c>
      <c r="K4174" t="b">
        <v>1</v>
      </c>
    </row>
    <row r="4175" spans="1:11">
      <c r="A4175" s="12">
        <v>42162</v>
      </c>
      <c r="B4175">
        <v>2015</v>
      </c>
      <c r="C4175">
        <v>6</v>
      </c>
      <c r="D4175" s="11">
        <v>42156</v>
      </c>
      <c r="E4175" t="s">
        <v>2178</v>
      </c>
      <c r="F4175">
        <v>7</v>
      </c>
      <c r="G4175" t="s">
        <v>59</v>
      </c>
      <c r="H4175" t="s">
        <v>45</v>
      </c>
      <c r="I4175" t="s">
        <v>2193</v>
      </c>
      <c r="J4175" s="10">
        <v>1</v>
      </c>
      <c r="K4175" t="b">
        <v>1</v>
      </c>
    </row>
    <row r="4176" spans="1:11">
      <c r="A4176" s="12">
        <v>42162</v>
      </c>
      <c r="B4176">
        <v>2015</v>
      </c>
      <c r="C4176">
        <v>6</v>
      </c>
      <c r="D4176" s="11">
        <v>42156</v>
      </c>
      <c r="E4176" t="s">
        <v>2178</v>
      </c>
      <c r="F4176">
        <v>7</v>
      </c>
      <c r="G4176" t="s">
        <v>59</v>
      </c>
      <c r="H4176" t="s">
        <v>46</v>
      </c>
      <c r="I4176" t="s">
        <v>2194</v>
      </c>
      <c r="J4176" s="10">
        <v>22</v>
      </c>
      <c r="K4176" t="b">
        <v>1</v>
      </c>
    </row>
    <row r="4177" spans="1:11">
      <c r="A4177" s="12">
        <v>42162</v>
      </c>
      <c r="B4177">
        <v>2015</v>
      </c>
      <c r="C4177">
        <v>6</v>
      </c>
      <c r="D4177" s="11">
        <v>42156</v>
      </c>
      <c r="E4177" t="s">
        <v>2178</v>
      </c>
      <c r="F4177">
        <v>7</v>
      </c>
      <c r="G4177" t="s">
        <v>59</v>
      </c>
      <c r="H4177" t="s">
        <v>47</v>
      </c>
      <c r="I4177" t="s">
        <v>2195</v>
      </c>
      <c r="J4177" s="10">
        <v>6</v>
      </c>
      <c r="K4177" t="b">
        <v>1</v>
      </c>
    </row>
    <row r="4178" spans="1:11">
      <c r="A4178" s="12">
        <v>42163</v>
      </c>
      <c r="B4178">
        <v>2015</v>
      </c>
      <c r="C4178">
        <v>6</v>
      </c>
      <c r="D4178" s="11">
        <v>42156</v>
      </c>
      <c r="E4178" t="s">
        <v>2178</v>
      </c>
      <c r="F4178">
        <v>1</v>
      </c>
      <c r="G4178" t="s">
        <v>61</v>
      </c>
      <c r="H4178" t="s">
        <v>40</v>
      </c>
      <c r="I4178" t="s">
        <v>2188</v>
      </c>
      <c r="J4178" s="10">
        <v>6</v>
      </c>
      <c r="K4178" t="b">
        <v>1</v>
      </c>
    </row>
    <row r="4179" spans="1:11">
      <c r="A4179" s="12">
        <v>42163</v>
      </c>
      <c r="B4179">
        <v>2015</v>
      </c>
      <c r="C4179">
        <v>6</v>
      </c>
      <c r="D4179" s="11">
        <v>42156</v>
      </c>
      <c r="E4179" t="s">
        <v>2178</v>
      </c>
      <c r="F4179">
        <v>1</v>
      </c>
      <c r="G4179" t="s">
        <v>61</v>
      </c>
      <c r="H4179" t="s">
        <v>41</v>
      </c>
      <c r="I4179" t="s">
        <v>2189</v>
      </c>
      <c r="J4179" s="10">
        <v>5.66</v>
      </c>
      <c r="K4179" t="b">
        <v>1</v>
      </c>
    </row>
    <row r="4180" spans="1:11">
      <c r="A4180" s="12">
        <v>42163</v>
      </c>
      <c r="B4180">
        <v>2015</v>
      </c>
      <c r="C4180">
        <v>6</v>
      </c>
      <c r="D4180" s="11">
        <v>42156</v>
      </c>
      <c r="E4180" t="s">
        <v>2178</v>
      </c>
      <c r="F4180">
        <v>1</v>
      </c>
      <c r="G4180" t="s">
        <v>61</v>
      </c>
      <c r="H4180" t="s">
        <v>42</v>
      </c>
      <c r="I4180" t="s">
        <v>2190</v>
      </c>
      <c r="J4180" s="10">
        <v>2.5</v>
      </c>
      <c r="K4180" t="b">
        <v>1</v>
      </c>
    </row>
    <row r="4181" spans="1:11">
      <c r="A4181" s="12">
        <v>42163</v>
      </c>
      <c r="B4181">
        <v>2015</v>
      </c>
      <c r="C4181">
        <v>6</v>
      </c>
      <c r="D4181" s="11">
        <v>42156</v>
      </c>
      <c r="E4181" t="s">
        <v>2178</v>
      </c>
      <c r="F4181">
        <v>1</v>
      </c>
      <c r="G4181" t="s">
        <v>61</v>
      </c>
      <c r="H4181" t="s">
        <v>43</v>
      </c>
      <c r="I4181" t="s">
        <v>2191</v>
      </c>
      <c r="J4181" s="10">
        <v>31</v>
      </c>
      <c r="K4181" t="b">
        <v>1</v>
      </c>
    </row>
    <row r="4182" spans="1:11">
      <c r="A4182" s="12">
        <v>42163</v>
      </c>
      <c r="B4182">
        <v>2015</v>
      </c>
      <c r="C4182">
        <v>6</v>
      </c>
      <c r="D4182" s="11">
        <v>42156</v>
      </c>
      <c r="E4182" t="s">
        <v>2178</v>
      </c>
      <c r="F4182">
        <v>1</v>
      </c>
      <c r="G4182" t="s">
        <v>61</v>
      </c>
      <c r="H4182" t="s">
        <v>44</v>
      </c>
      <c r="I4182" t="s">
        <v>2192</v>
      </c>
      <c r="J4182" s="10">
        <v>10</v>
      </c>
      <c r="K4182" t="b">
        <v>1</v>
      </c>
    </row>
    <row r="4183" spans="1:11">
      <c r="A4183" s="12">
        <v>42163</v>
      </c>
      <c r="B4183">
        <v>2015</v>
      </c>
      <c r="C4183">
        <v>6</v>
      </c>
      <c r="D4183" s="11">
        <v>42156</v>
      </c>
      <c r="E4183" t="s">
        <v>2178</v>
      </c>
      <c r="F4183">
        <v>1</v>
      </c>
      <c r="G4183" t="s">
        <v>61</v>
      </c>
      <c r="H4183" t="s">
        <v>45</v>
      </c>
      <c r="I4183" t="s">
        <v>2193</v>
      </c>
      <c r="J4183" s="10">
        <v>1</v>
      </c>
      <c r="K4183" t="b">
        <v>1</v>
      </c>
    </row>
    <row r="4184" spans="1:11">
      <c r="A4184" s="12">
        <v>42163</v>
      </c>
      <c r="B4184">
        <v>2015</v>
      </c>
      <c r="C4184">
        <v>6</v>
      </c>
      <c r="D4184" s="11">
        <v>42156</v>
      </c>
      <c r="E4184" t="s">
        <v>2178</v>
      </c>
      <c r="F4184">
        <v>1</v>
      </c>
      <c r="G4184" t="s">
        <v>61</v>
      </c>
      <c r="H4184" t="s">
        <v>46</v>
      </c>
      <c r="I4184" t="s">
        <v>2194</v>
      </c>
      <c r="J4184" s="10">
        <v>3</v>
      </c>
      <c r="K4184" t="b">
        <v>1</v>
      </c>
    </row>
    <row r="4185" spans="1:11">
      <c r="A4185" s="12">
        <v>42163</v>
      </c>
      <c r="B4185">
        <v>2015</v>
      </c>
      <c r="C4185">
        <v>6</v>
      </c>
      <c r="D4185" s="11">
        <v>42156</v>
      </c>
      <c r="E4185" t="s">
        <v>2178</v>
      </c>
      <c r="F4185">
        <v>1</v>
      </c>
      <c r="G4185" t="s">
        <v>61</v>
      </c>
      <c r="H4185" t="s">
        <v>47</v>
      </c>
      <c r="I4185" t="s">
        <v>2195</v>
      </c>
      <c r="J4185" s="10">
        <v>7</v>
      </c>
      <c r="K4185" t="b">
        <v>1</v>
      </c>
    </row>
    <row r="4186" spans="1:11">
      <c r="A4186" s="12">
        <v>42164</v>
      </c>
      <c r="B4186">
        <v>2015</v>
      </c>
      <c r="C4186">
        <v>6</v>
      </c>
      <c r="D4186" s="11">
        <v>42156</v>
      </c>
      <c r="E4186" t="s">
        <v>2178</v>
      </c>
      <c r="F4186">
        <v>2</v>
      </c>
      <c r="G4186" t="s">
        <v>63</v>
      </c>
      <c r="H4186" t="s">
        <v>40</v>
      </c>
      <c r="I4186" t="s">
        <v>2188</v>
      </c>
      <c r="J4186" s="10">
        <v>3</v>
      </c>
      <c r="K4186" t="b">
        <v>1</v>
      </c>
    </row>
    <row r="4187" spans="1:11">
      <c r="A4187" s="12">
        <v>42164</v>
      </c>
      <c r="B4187">
        <v>2015</v>
      </c>
      <c r="C4187">
        <v>6</v>
      </c>
      <c r="D4187" s="11">
        <v>42156</v>
      </c>
      <c r="E4187" t="s">
        <v>2178</v>
      </c>
      <c r="F4187">
        <v>2</v>
      </c>
      <c r="G4187" t="s">
        <v>63</v>
      </c>
      <c r="H4187" t="s">
        <v>41</v>
      </c>
      <c r="I4187" t="s">
        <v>2189</v>
      </c>
      <c r="J4187" s="10">
        <v>4</v>
      </c>
      <c r="K4187" t="b">
        <v>1</v>
      </c>
    </row>
    <row r="4188" spans="1:11">
      <c r="A4188" s="12">
        <v>42164</v>
      </c>
      <c r="B4188">
        <v>2015</v>
      </c>
      <c r="C4188">
        <v>6</v>
      </c>
      <c r="D4188" s="11">
        <v>42156</v>
      </c>
      <c r="E4188" t="s">
        <v>2178</v>
      </c>
      <c r="F4188">
        <v>2</v>
      </c>
      <c r="G4188" t="s">
        <v>63</v>
      </c>
      <c r="H4188" t="s">
        <v>42</v>
      </c>
      <c r="I4188" t="s">
        <v>2190</v>
      </c>
      <c r="J4188" s="10">
        <v>4</v>
      </c>
      <c r="K4188" t="b">
        <v>1</v>
      </c>
    </row>
    <row r="4189" spans="1:11">
      <c r="A4189" s="12">
        <v>42164</v>
      </c>
      <c r="B4189">
        <v>2015</v>
      </c>
      <c r="C4189">
        <v>6</v>
      </c>
      <c r="D4189" s="11">
        <v>42156</v>
      </c>
      <c r="E4189" t="s">
        <v>2178</v>
      </c>
      <c r="F4189">
        <v>2</v>
      </c>
      <c r="G4189" t="s">
        <v>63</v>
      </c>
      <c r="H4189" t="s">
        <v>43</v>
      </c>
      <c r="I4189" t="s">
        <v>2191</v>
      </c>
      <c r="J4189" s="10">
        <v>26.6</v>
      </c>
      <c r="K4189" t="b">
        <v>1</v>
      </c>
    </row>
    <row r="4190" spans="1:11">
      <c r="A4190" s="12">
        <v>42164</v>
      </c>
      <c r="B4190">
        <v>2015</v>
      </c>
      <c r="C4190">
        <v>6</v>
      </c>
      <c r="D4190" s="11">
        <v>42156</v>
      </c>
      <c r="E4190" t="s">
        <v>2178</v>
      </c>
      <c r="F4190">
        <v>2</v>
      </c>
      <c r="G4190" t="s">
        <v>63</v>
      </c>
      <c r="H4190" t="s">
        <v>44</v>
      </c>
      <c r="I4190" t="s">
        <v>2192</v>
      </c>
      <c r="J4190" s="10">
        <v>14</v>
      </c>
      <c r="K4190" t="b">
        <v>1</v>
      </c>
    </row>
    <row r="4191" spans="1:11">
      <c r="A4191" s="12">
        <v>42164</v>
      </c>
      <c r="B4191">
        <v>2015</v>
      </c>
      <c r="C4191">
        <v>6</v>
      </c>
      <c r="D4191" s="11">
        <v>42156</v>
      </c>
      <c r="E4191" t="s">
        <v>2178</v>
      </c>
      <c r="F4191">
        <v>2</v>
      </c>
      <c r="G4191" t="s">
        <v>63</v>
      </c>
      <c r="H4191" t="s">
        <v>45</v>
      </c>
      <c r="I4191" t="s">
        <v>2193</v>
      </c>
      <c r="J4191" s="10">
        <v>0</v>
      </c>
      <c r="K4191" t="b">
        <v>1</v>
      </c>
    </row>
    <row r="4192" spans="1:11">
      <c r="A4192" s="12">
        <v>42164</v>
      </c>
      <c r="B4192">
        <v>2015</v>
      </c>
      <c r="C4192">
        <v>6</v>
      </c>
      <c r="D4192" s="11">
        <v>42156</v>
      </c>
      <c r="E4192" t="s">
        <v>2178</v>
      </c>
      <c r="F4192">
        <v>2</v>
      </c>
      <c r="G4192" t="s">
        <v>63</v>
      </c>
      <c r="H4192" t="s">
        <v>46</v>
      </c>
      <c r="I4192" t="s">
        <v>2194</v>
      </c>
      <c r="J4192" s="10">
        <v>0</v>
      </c>
      <c r="K4192" t="b">
        <v>1</v>
      </c>
    </row>
    <row r="4193" spans="1:11">
      <c r="A4193" s="12">
        <v>42164</v>
      </c>
      <c r="B4193">
        <v>2015</v>
      </c>
      <c r="C4193">
        <v>6</v>
      </c>
      <c r="D4193" s="11">
        <v>42156</v>
      </c>
      <c r="E4193" t="s">
        <v>2178</v>
      </c>
      <c r="F4193">
        <v>2</v>
      </c>
      <c r="G4193" t="s">
        <v>63</v>
      </c>
      <c r="H4193" t="s">
        <v>47</v>
      </c>
      <c r="I4193" t="s">
        <v>2195</v>
      </c>
      <c r="J4193" s="10">
        <v>4.6</v>
      </c>
      <c r="K4193" t="b">
        <v>1</v>
      </c>
    </row>
    <row r="4194" spans="1:11">
      <c r="A4194" s="12">
        <v>42165</v>
      </c>
      <c r="B4194">
        <v>2015</v>
      </c>
      <c r="C4194">
        <v>6</v>
      </c>
      <c r="D4194" s="11">
        <v>42156</v>
      </c>
      <c r="E4194" t="s">
        <v>2178</v>
      </c>
      <c r="F4194">
        <v>3</v>
      </c>
      <c r="G4194" t="s">
        <v>65</v>
      </c>
      <c r="H4194" t="s">
        <v>40</v>
      </c>
      <c r="I4194" t="s">
        <v>2188</v>
      </c>
      <c r="J4194" s="10">
        <v>4.34</v>
      </c>
      <c r="K4194" t="b">
        <v>1</v>
      </c>
    </row>
    <row r="4195" spans="1:11">
      <c r="A4195" s="12">
        <v>42165</v>
      </c>
      <c r="B4195">
        <v>2015</v>
      </c>
      <c r="C4195">
        <v>6</v>
      </c>
      <c r="D4195" s="11">
        <v>42156</v>
      </c>
      <c r="E4195" t="s">
        <v>2178</v>
      </c>
      <c r="F4195">
        <v>3</v>
      </c>
      <c r="G4195" t="s">
        <v>65</v>
      </c>
      <c r="H4195" t="s">
        <v>41</v>
      </c>
      <c r="I4195" t="s">
        <v>2189</v>
      </c>
      <c r="J4195" s="10">
        <v>3.01</v>
      </c>
      <c r="K4195" t="b">
        <v>1</v>
      </c>
    </row>
    <row r="4196" spans="1:11">
      <c r="A4196" s="12">
        <v>42165</v>
      </c>
      <c r="B4196">
        <v>2015</v>
      </c>
      <c r="C4196">
        <v>6</v>
      </c>
      <c r="D4196" s="11">
        <v>42156</v>
      </c>
      <c r="E4196" t="s">
        <v>2178</v>
      </c>
      <c r="F4196">
        <v>3</v>
      </c>
      <c r="G4196" t="s">
        <v>65</v>
      </c>
      <c r="H4196" t="s">
        <v>42</v>
      </c>
      <c r="I4196" t="s">
        <v>2190</v>
      </c>
      <c r="J4196" s="10">
        <v>8</v>
      </c>
      <c r="K4196" t="b">
        <v>1</v>
      </c>
    </row>
    <row r="4197" spans="1:11">
      <c r="A4197" s="12">
        <v>42165</v>
      </c>
      <c r="B4197">
        <v>2015</v>
      </c>
      <c r="C4197">
        <v>6</v>
      </c>
      <c r="D4197" s="11">
        <v>42156</v>
      </c>
      <c r="E4197" t="s">
        <v>2178</v>
      </c>
      <c r="F4197">
        <v>3</v>
      </c>
      <c r="G4197" t="s">
        <v>65</v>
      </c>
      <c r="H4197" t="s">
        <v>43</v>
      </c>
      <c r="I4197" t="s">
        <v>2191</v>
      </c>
      <c r="J4197" s="10">
        <v>18.676</v>
      </c>
      <c r="K4197" t="b">
        <v>1</v>
      </c>
    </row>
    <row r="4198" spans="1:11">
      <c r="A4198" s="12">
        <v>42165</v>
      </c>
      <c r="B4198">
        <v>2015</v>
      </c>
      <c r="C4198">
        <v>6</v>
      </c>
      <c r="D4198" s="11">
        <v>42156</v>
      </c>
      <c r="E4198" t="s">
        <v>2178</v>
      </c>
      <c r="F4198">
        <v>3</v>
      </c>
      <c r="G4198" t="s">
        <v>65</v>
      </c>
      <c r="H4198" t="s">
        <v>44</v>
      </c>
      <c r="I4198" t="s">
        <v>2192</v>
      </c>
      <c r="J4198" s="10">
        <v>6</v>
      </c>
      <c r="K4198" t="b">
        <v>1</v>
      </c>
    </row>
    <row r="4199" spans="1:11">
      <c r="A4199" s="12">
        <v>42165</v>
      </c>
      <c r="B4199">
        <v>2015</v>
      </c>
      <c r="C4199">
        <v>6</v>
      </c>
      <c r="D4199" s="11">
        <v>42156</v>
      </c>
      <c r="E4199" t="s">
        <v>2178</v>
      </c>
      <c r="F4199">
        <v>3</v>
      </c>
      <c r="G4199" t="s">
        <v>65</v>
      </c>
      <c r="H4199" t="s">
        <v>45</v>
      </c>
      <c r="I4199" t="s">
        <v>2193</v>
      </c>
      <c r="J4199" s="10">
        <v>0</v>
      </c>
      <c r="K4199" t="b">
        <v>1</v>
      </c>
    </row>
    <row r="4200" spans="1:11">
      <c r="A4200" s="12">
        <v>42165</v>
      </c>
      <c r="B4200">
        <v>2015</v>
      </c>
      <c r="C4200">
        <v>6</v>
      </c>
      <c r="D4200" s="11">
        <v>42156</v>
      </c>
      <c r="E4200" t="s">
        <v>2178</v>
      </c>
      <c r="F4200">
        <v>3</v>
      </c>
      <c r="G4200" t="s">
        <v>65</v>
      </c>
      <c r="H4200" t="s">
        <v>46</v>
      </c>
      <c r="I4200" t="s">
        <v>2194</v>
      </c>
      <c r="J4200" s="10">
        <v>7</v>
      </c>
      <c r="K4200" t="b">
        <v>1</v>
      </c>
    </row>
    <row r="4201" spans="1:11">
      <c r="A4201" s="12">
        <v>42165</v>
      </c>
      <c r="B4201">
        <v>2015</v>
      </c>
      <c r="C4201">
        <v>6</v>
      </c>
      <c r="D4201" s="11">
        <v>42156</v>
      </c>
      <c r="E4201" t="s">
        <v>2178</v>
      </c>
      <c r="F4201">
        <v>3</v>
      </c>
      <c r="G4201" t="s">
        <v>65</v>
      </c>
      <c r="H4201" t="s">
        <v>47</v>
      </c>
      <c r="I4201" t="s">
        <v>2195</v>
      </c>
      <c r="J4201" s="10">
        <v>2</v>
      </c>
      <c r="K4201" t="b">
        <v>1</v>
      </c>
    </row>
    <row r="4202" spans="1:11">
      <c r="A4202" s="12">
        <v>42166</v>
      </c>
      <c r="B4202">
        <v>2015</v>
      </c>
      <c r="C4202">
        <v>6</v>
      </c>
      <c r="D4202" s="11">
        <v>42156</v>
      </c>
      <c r="E4202" t="s">
        <v>2178</v>
      </c>
      <c r="F4202">
        <v>4</v>
      </c>
      <c r="G4202" t="s">
        <v>53</v>
      </c>
      <c r="H4202" t="s">
        <v>40</v>
      </c>
      <c r="I4202" t="s">
        <v>2188</v>
      </c>
      <c r="J4202" s="10">
        <v>6</v>
      </c>
      <c r="K4202" t="b">
        <v>1</v>
      </c>
    </row>
    <row r="4203" spans="1:11">
      <c r="A4203" s="12">
        <v>42166</v>
      </c>
      <c r="B4203">
        <v>2015</v>
      </c>
      <c r="C4203">
        <v>6</v>
      </c>
      <c r="D4203" s="11">
        <v>42156</v>
      </c>
      <c r="E4203" t="s">
        <v>2178</v>
      </c>
      <c r="F4203">
        <v>4</v>
      </c>
      <c r="G4203" t="s">
        <v>53</v>
      </c>
      <c r="H4203" t="s">
        <v>41</v>
      </c>
      <c r="I4203" t="s">
        <v>2189</v>
      </c>
      <c r="J4203" s="10">
        <v>2.33</v>
      </c>
      <c r="K4203" t="b">
        <v>1</v>
      </c>
    </row>
    <row r="4204" spans="1:11">
      <c r="A4204" s="12">
        <v>42166</v>
      </c>
      <c r="B4204">
        <v>2015</v>
      </c>
      <c r="C4204">
        <v>6</v>
      </c>
      <c r="D4204" s="11">
        <v>42156</v>
      </c>
      <c r="E4204" t="s">
        <v>2178</v>
      </c>
      <c r="F4204">
        <v>4</v>
      </c>
      <c r="G4204" t="s">
        <v>53</v>
      </c>
      <c r="H4204" t="s">
        <v>42</v>
      </c>
      <c r="I4204" t="s">
        <v>2190</v>
      </c>
      <c r="J4204" s="10">
        <v>5.1</v>
      </c>
      <c r="K4204" t="b">
        <v>1</v>
      </c>
    </row>
    <row r="4205" spans="1:11">
      <c r="A4205" s="12">
        <v>42166</v>
      </c>
      <c r="B4205">
        <v>2015</v>
      </c>
      <c r="C4205">
        <v>6</v>
      </c>
      <c r="D4205" s="11">
        <v>42156</v>
      </c>
      <c r="E4205" t="s">
        <v>2178</v>
      </c>
      <c r="F4205">
        <v>4</v>
      </c>
      <c r="G4205" t="s">
        <v>53</v>
      </c>
      <c r="H4205" t="s">
        <v>43</v>
      </c>
      <c r="I4205" t="s">
        <v>2191</v>
      </c>
      <c r="J4205" s="10">
        <v>38.3</v>
      </c>
      <c r="K4205" t="b">
        <v>1</v>
      </c>
    </row>
    <row r="4206" spans="1:11">
      <c r="A4206" s="12">
        <v>42166</v>
      </c>
      <c r="B4206">
        <v>2015</v>
      </c>
      <c r="C4206">
        <v>6</v>
      </c>
      <c r="D4206" s="11">
        <v>42156</v>
      </c>
      <c r="E4206" t="s">
        <v>2178</v>
      </c>
      <c r="F4206">
        <v>4</v>
      </c>
      <c r="G4206" t="s">
        <v>53</v>
      </c>
      <c r="H4206" t="s">
        <v>44</v>
      </c>
      <c r="I4206" t="s">
        <v>2192</v>
      </c>
      <c r="J4206" s="10">
        <v>11</v>
      </c>
      <c r="K4206" t="b">
        <v>1</v>
      </c>
    </row>
    <row r="4207" spans="1:11">
      <c r="A4207" s="12">
        <v>42166</v>
      </c>
      <c r="B4207">
        <v>2015</v>
      </c>
      <c r="C4207">
        <v>6</v>
      </c>
      <c r="D4207" s="11">
        <v>42156</v>
      </c>
      <c r="E4207" t="s">
        <v>2178</v>
      </c>
      <c r="F4207">
        <v>4</v>
      </c>
      <c r="G4207" t="s">
        <v>53</v>
      </c>
      <c r="H4207" t="s">
        <v>45</v>
      </c>
      <c r="I4207" t="s">
        <v>2193</v>
      </c>
      <c r="J4207" s="10">
        <v>0</v>
      </c>
      <c r="K4207" t="b">
        <v>1</v>
      </c>
    </row>
    <row r="4208" spans="1:11">
      <c r="A4208" s="12">
        <v>42166</v>
      </c>
      <c r="B4208">
        <v>2015</v>
      </c>
      <c r="C4208">
        <v>6</v>
      </c>
      <c r="D4208" s="11">
        <v>42156</v>
      </c>
      <c r="E4208" t="s">
        <v>2178</v>
      </c>
      <c r="F4208">
        <v>4</v>
      </c>
      <c r="G4208" t="s">
        <v>53</v>
      </c>
      <c r="H4208" t="s">
        <v>46</v>
      </c>
      <c r="I4208" t="s">
        <v>2194</v>
      </c>
      <c r="J4208" s="10">
        <v>1</v>
      </c>
      <c r="K4208" t="b">
        <v>1</v>
      </c>
    </row>
    <row r="4209" spans="1:11">
      <c r="A4209" s="12">
        <v>42166</v>
      </c>
      <c r="B4209">
        <v>2015</v>
      </c>
      <c r="C4209">
        <v>6</v>
      </c>
      <c r="D4209" s="11">
        <v>42156</v>
      </c>
      <c r="E4209" t="s">
        <v>2178</v>
      </c>
      <c r="F4209">
        <v>4</v>
      </c>
      <c r="G4209" t="s">
        <v>53</v>
      </c>
      <c r="H4209" t="s">
        <v>47</v>
      </c>
      <c r="I4209" t="s">
        <v>2195</v>
      </c>
      <c r="J4209" s="10">
        <v>3</v>
      </c>
      <c r="K4209" t="b">
        <v>1</v>
      </c>
    </row>
    <row r="4210" spans="1:11">
      <c r="A4210" s="12">
        <v>42167</v>
      </c>
      <c r="B4210">
        <v>2015</v>
      </c>
      <c r="C4210">
        <v>6</v>
      </c>
      <c r="D4210" s="11">
        <v>42156</v>
      </c>
      <c r="E4210" t="s">
        <v>2178</v>
      </c>
      <c r="F4210">
        <v>5</v>
      </c>
      <c r="G4210" t="s">
        <v>55</v>
      </c>
      <c r="H4210" t="s">
        <v>40</v>
      </c>
      <c r="I4210" t="s">
        <v>2188</v>
      </c>
      <c r="J4210" s="10">
        <v>1.67</v>
      </c>
      <c r="K4210" t="b">
        <v>1</v>
      </c>
    </row>
    <row r="4211" spans="1:11">
      <c r="A4211" s="12">
        <v>42167</v>
      </c>
      <c r="B4211">
        <v>2015</v>
      </c>
      <c r="C4211">
        <v>6</v>
      </c>
      <c r="D4211" s="11">
        <v>42156</v>
      </c>
      <c r="E4211" t="s">
        <v>2178</v>
      </c>
      <c r="F4211">
        <v>5</v>
      </c>
      <c r="G4211" t="s">
        <v>55</v>
      </c>
      <c r="H4211" t="s">
        <v>41</v>
      </c>
      <c r="I4211" t="s">
        <v>2189</v>
      </c>
      <c r="J4211" s="10">
        <v>1.66</v>
      </c>
      <c r="K4211" t="b">
        <v>1</v>
      </c>
    </row>
    <row r="4212" spans="1:11">
      <c r="A4212" s="12">
        <v>42167</v>
      </c>
      <c r="B4212">
        <v>2015</v>
      </c>
      <c r="C4212">
        <v>6</v>
      </c>
      <c r="D4212" s="11">
        <v>42156</v>
      </c>
      <c r="E4212" t="s">
        <v>2178</v>
      </c>
      <c r="F4212">
        <v>5</v>
      </c>
      <c r="G4212" t="s">
        <v>55</v>
      </c>
      <c r="H4212" t="s">
        <v>42</v>
      </c>
      <c r="I4212" t="s">
        <v>2190</v>
      </c>
      <c r="J4212" s="10">
        <v>2</v>
      </c>
      <c r="K4212" t="b">
        <v>1</v>
      </c>
    </row>
    <row r="4213" spans="1:11">
      <c r="A4213" s="12">
        <v>42167</v>
      </c>
      <c r="B4213">
        <v>2015</v>
      </c>
      <c r="C4213">
        <v>6</v>
      </c>
      <c r="D4213" s="11">
        <v>42156</v>
      </c>
      <c r="E4213" t="s">
        <v>2178</v>
      </c>
      <c r="F4213">
        <v>5</v>
      </c>
      <c r="G4213" t="s">
        <v>55</v>
      </c>
      <c r="H4213" t="s">
        <v>43</v>
      </c>
      <c r="I4213" t="s">
        <v>2191</v>
      </c>
      <c r="J4213" s="10">
        <v>17.5</v>
      </c>
      <c r="K4213" t="b">
        <v>1</v>
      </c>
    </row>
    <row r="4214" spans="1:11">
      <c r="A4214" s="12">
        <v>42167</v>
      </c>
      <c r="B4214">
        <v>2015</v>
      </c>
      <c r="C4214">
        <v>6</v>
      </c>
      <c r="D4214" s="11">
        <v>42156</v>
      </c>
      <c r="E4214" t="s">
        <v>2178</v>
      </c>
      <c r="F4214">
        <v>5</v>
      </c>
      <c r="G4214" t="s">
        <v>55</v>
      </c>
      <c r="H4214" t="s">
        <v>44</v>
      </c>
      <c r="I4214" t="s">
        <v>2192</v>
      </c>
      <c r="J4214" s="10">
        <v>2</v>
      </c>
      <c r="K4214" t="b">
        <v>1</v>
      </c>
    </row>
    <row r="4215" spans="1:11">
      <c r="A4215" s="12">
        <v>42167</v>
      </c>
      <c r="B4215">
        <v>2015</v>
      </c>
      <c r="C4215">
        <v>6</v>
      </c>
      <c r="D4215" s="11">
        <v>42156</v>
      </c>
      <c r="E4215" t="s">
        <v>2178</v>
      </c>
      <c r="F4215">
        <v>5</v>
      </c>
      <c r="G4215" t="s">
        <v>55</v>
      </c>
      <c r="H4215" t="s">
        <v>45</v>
      </c>
      <c r="I4215" t="s">
        <v>2193</v>
      </c>
      <c r="J4215" s="10">
        <v>2</v>
      </c>
      <c r="K4215" t="b">
        <v>1</v>
      </c>
    </row>
    <row r="4216" spans="1:11">
      <c r="A4216" s="12">
        <v>42167</v>
      </c>
      <c r="B4216">
        <v>2015</v>
      </c>
      <c r="C4216">
        <v>6</v>
      </c>
      <c r="D4216" s="11">
        <v>42156</v>
      </c>
      <c r="E4216" t="s">
        <v>2178</v>
      </c>
      <c r="F4216">
        <v>5</v>
      </c>
      <c r="G4216" t="s">
        <v>55</v>
      </c>
      <c r="H4216" t="s">
        <v>46</v>
      </c>
      <c r="I4216" t="s">
        <v>2194</v>
      </c>
      <c r="J4216" s="10">
        <v>0</v>
      </c>
      <c r="K4216" t="b">
        <v>1</v>
      </c>
    </row>
    <row r="4217" spans="1:11">
      <c r="A4217" s="12">
        <v>42167</v>
      </c>
      <c r="B4217">
        <v>2015</v>
      </c>
      <c r="C4217">
        <v>6</v>
      </c>
      <c r="D4217" s="11">
        <v>42156</v>
      </c>
      <c r="E4217" t="s">
        <v>2178</v>
      </c>
      <c r="F4217">
        <v>5</v>
      </c>
      <c r="G4217" t="s">
        <v>55</v>
      </c>
      <c r="H4217" t="s">
        <v>47</v>
      </c>
      <c r="I4217" t="s">
        <v>2195</v>
      </c>
      <c r="J4217" s="10">
        <v>5</v>
      </c>
      <c r="K4217" t="b">
        <v>1</v>
      </c>
    </row>
    <row r="4218" spans="1:11">
      <c r="A4218" s="12">
        <v>42168</v>
      </c>
      <c r="B4218">
        <v>2015</v>
      </c>
      <c r="C4218">
        <v>6</v>
      </c>
      <c r="D4218" s="11">
        <v>42156</v>
      </c>
      <c r="E4218" t="s">
        <v>2178</v>
      </c>
      <c r="F4218">
        <v>6</v>
      </c>
      <c r="G4218" t="s">
        <v>57</v>
      </c>
      <c r="H4218" t="s">
        <v>40</v>
      </c>
      <c r="I4218" t="s">
        <v>2188</v>
      </c>
      <c r="J4218" s="10">
        <v>2.33</v>
      </c>
      <c r="K4218" t="b">
        <v>1</v>
      </c>
    </row>
    <row r="4219" spans="1:11">
      <c r="A4219" s="12">
        <v>42168</v>
      </c>
      <c r="B4219">
        <v>2015</v>
      </c>
      <c r="C4219">
        <v>6</v>
      </c>
      <c r="D4219" s="11">
        <v>42156</v>
      </c>
      <c r="E4219" t="s">
        <v>2178</v>
      </c>
      <c r="F4219">
        <v>6</v>
      </c>
      <c r="G4219" t="s">
        <v>57</v>
      </c>
      <c r="H4219" t="s">
        <v>41</v>
      </c>
      <c r="I4219" t="s">
        <v>2189</v>
      </c>
      <c r="J4219" s="10">
        <v>4.66</v>
      </c>
      <c r="K4219" t="b">
        <v>1</v>
      </c>
    </row>
    <row r="4220" spans="1:11">
      <c r="A4220" s="12">
        <v>42168</v>
      </c>
      <c r="B4220">
        <v>2015</v>
      </c>
      <c r="C4220">
        <v>6</v>
      </c>
      <c r="D4220" s="11">
        <v>42156</v>
      </c>
      <c r="E4220" t="s">
        <v>2178</v>
      </c>
      <c r="F4220">
        <v>6</v>
      </c>
      <c r="G4220" t="s">
        <v>57</v>
      </c>
      <c r="H4220" t="s">
        <v>42</v>
      </c>
      <c r="I4220" t="s">
        <v>2190</v>
      </c>
      <c r="J4220" s="10">
        <v>7.3</v>
      </c>
      <c r="K4220" t="b">
        <v>1</v>
      </c>
    </row>
    <row r="4221" spans="1:11">
      <c r="A4221" s="12">
        <v>42168</v>
      </c>
      <c r="B4221">
        <v>2015</v>
      </c>
      <c r="C4221">
        <v>6</v>
      </c>
      <c r="D4221" s="11">
        <v>42156</v>
      </c>
      <c r="E4221" t="s">
        <v>2178</v>
      </c>
      <c r="F4221">
        <v>6</v>
      </c>
      <c r="G4221" t="s">
        <v>57</v>
      </c>
      <c r="H4221" t="s">
        <v>43</v>
      </c>
      <c r="I4221" t="s">
        <v>2191</v>
      </c>
      <c r="J4221" s="10">
        <v>21.4</v>
      </c>
      <c r="K4221" t="b">
        <v>1</v>
      </c>
    </row>
    <row r="4222" spans="1:11">
      <c r="A4222" s="12">
        <v>42168</v>
      </c>
      <c r="B4222">
        <v>2015</v>
      </c>
      <c r="C4222">
        <v>6</v>
      </c>
      <c r="D4222" s="11">
        <v>42156</v>
      </c>
      <c r="E4222" t="s">
        <v>2178</v>
      </c>
      <c r="F4222">
        <v>6</v>
      </c>
      <c r="G4222" t="s">
        <v>57</v>
      </c>
      <c r="H4222" t="s">
        <v>44</v>
      </c>
      <c r="I4222" t="s">
        <v>2192</v>
      </c>
      <c r="J4222" s="10">
        <v>6</v>
      </c>
      <c r="K4222" t="b">
        <v>1</v>
      </c>
    </row>
    <row r="4223" spans="1:11">
      <c r="A4223" s="12">
        <v>42168</v>
      </c>
      <c r="B4223">
        <v>2015</v>
      </c>
      <c r="C4223">
        <v>6</v>
      </c>
      <c r="D4223" s="11">
        <v>42156</v>
      </c>
      <c r="E4223" t="s">
        <v>2178</v>
      </c>
      <c r="F4223">
        <v>6</v>
      </c>
      <c r="G4223" t="s">
        <v>57</v>
      </c>
      <c r="H4223" t="s">
        <v>45</v>
      </c>
      <c r="I4223" t="s">
        <v>2193</v>
      </c>
      <c r="J4223" s="10">
        <v>0</v>
      </c>
      <c r="K4223" t="b">
        <v>1</v>
      </c>
    </row>
    <row r="4224" spans="1:11">
      <c r="A4224" s="12">
        <v>42168</v>
      </c>
      <c r="B4224">
        <v>2015</v>
      </c>
      <c r="C4224">
        <v>6</v>
      </c>
      <c r="D4224" s="11">
        <v>42156</v>
      </c>
      <c r="E4224" t="s">
        <v>2178</v>
      </c>
      <c r="F4224">
        <v>6</v>
      </c>
      <c r="G4224" t="s">
        <v>57</v>
      </c>
      <c r="H4224" t="s">
        <v>46</v>
      </c>
      <c r="I4224" t="s">
        <v>2194</v>
      </c>
      <c r="J4224" s="10">
        <v>12</v>
      </c>
      <c r="K4224" t="b">
        <v>1</v>
      </c>
    </row>
    <row r="4225" spans="1:11">
      <c r="A4225" s="12">
        <v>42168</v>
      </c>
      <c r="B4225">
        <v>2015</v>
      </c>
      <c r="C4225">
        <v>6</v>
      </c>
      <c r="D4225" s="11">
        <v>42156</v>
      </c>
      <c r="E4225" t="s">
        <v>2178</v>
      </c>
      <c r="F4225">
        <v>6</v>
      </c>
      <c r="G4225" t="s">
        <v>57</v>
      </c>
      <c r="H4225" t="s">
        <v>47</v>
      </c>
      <c r="I4225" t="s">
        <v>2195</v>
      </c>
      <c r="J4225" s="10">
        <v>4</v>
      </c>
      <c r="K4225" t="b">
        <v>1</v>
      </c>
    </row>
    <row r="4226" spans="1:11">
      <c r="A4226" s="12">
        <v>42169</v>
      </c>
      <c r="B4226">
        <v>2015</v>
      </c>
      <c r="C4226">
        <v>6</v>
      </c>
      <c r="D4226" s="11">
        <v>42156</v>
      </c>
      <c r="E4226" t="s">
        <v>2178</v>
      </c>
      <c r="F4226">
        <v>7</v>
      </c>
      <c r="G4226" t="s">
        <v>59</v>
      </c>
      <c r="H4226" t="s">
        <v>40</v>
      </c>
      <c r="I4226" t="s">
        <v>2188</v>
      </c>
      <c r="J4226" s="10">
        <v>5</v>
      </c>
      <c r="K4226" t="b">
        <v>1</v>
      </c>
    </row>
    <row r="4227" spans="1:11">
      <c r="A4227" s="12">
        <v>42169</v>
      </c>
      <c r="B4227">
        <v>2015</v>
      </c>
      <c r="C4227">
        <v>6</v>
      </c>
      <c r="D4227" s="11">
        <v>42156</v>
      </c>
      <c r="E4227" t="s">
        <v>2178</v>
      </c>
      <c r="F4227">
        <v>7</v>
      </c>
      <c r="G4227" t="s">
        <v>59</v>
      </c>
      <c r="H4227" t="s">
        <v>41</v>
      </c>
      <c r="I4227" t="s">
        <v>2189</v>
      </c>
      <c r="J4227" s="10">
        <v>3.67</v>
      </c>
      <c r="K4227" t="b">
        <v>1</v>
      </c>
    </row>
    <row r="4228" spans="1:11">
      <c r="A4228" s="12">
        <v>42169</v>
      </c>
      <c r="B4228">
        <v>2015</v>
      </c>
      <c r="C4228">
        <v>6</v>
      </c>
      <c r="D4228" s="11">
        <v>42156</v>
      </c>
      <c r="E4228" t="s">
        <v>2178</v>
      </c>
      <c r="F4228">
        <v>7</v>
      </c>
      <c r="G4228" t="s">
        <v>59</v>
      </c>
      <c r="H4228" t="s">
        <v>42</v>
      </c>
      <c r="I4228" t="s">
        <v>2190</v>
      </c>
      <c r="J4228" s="10">
        <v>1.6</v>
      </c>
      <c r="K4228" t="b">
        <v>1</v>
      </c>
    </row>
    <row r="4229" spans="1:11">
      <c r="A4229" s="12">
        <v>42169</v>
      </c>
      <c r="B4229">
        <v>2015</v>
      </c>
      <c r="C4229">
        <v>6</v>
      </c>
      <c r="D4229" s="11">
        <v>42156</v>
      </c>
      <c r="E4229" t="s">
        <v>2178</v>
      </c>
      <c r="F4229">
        <v>7</v>
      </c>
      <c r="G4229" t="s">
        <v>59</v>
      </c>
      <c r="H4229" t="s">
        <v>43</v>
      </c>
      <c r="I4229" t="s">
        <v>2191</v>
      </c>
      <c r="J4229" s="10">
        <v>14</v>
      </c>
      <c r="K4229" t="b">
        <v>1</v>
      </c>
    </row>
    <row r="4230" spans="1:11">
      <c r="A4230" s="12">
        <v>42169</v>
      </c>
      <c r="B4230">
        <v>2015</v>
      </c>
      <c r="C4230">
        <v>6</v>
      </c>
      <c r="D4230" s="11">
        <v>42156</v>
      </c>
      <c r="E4230" t="s">
        <v>2178</v>
      </c>
      <c r="F4230">
        <v>7</v>
      </c>
      <c r="G4230" t="s">
        <v>59</v>
      </c>
      <c r="H4230" t="s">
        <v>44</v>
      </c>
      <c r="I4230" t="s">
        <v>2192</v>
      </c>
      <c r="J4230" s="10">
        <v>6</v>
      </c>
      <c r="K4230" t="b">
        <v>1</v>
      </c>
    </row>
    <row r="4231" spans="1:11">
      <c r="A4231" s="12">
        <v>42169</v>
      </c>
      <c r="B4231">
        <v>2015</v>
      </c>
      <c r="C4231">
        <v>6</v>
      </c>
      <c r="D4231" s="11">
        <v>42156</v>
      </c>
      <c r="E4231" t="s">
        <v>2178</v>
      </c>
      <c r="F4231">
        <v>7</v>
      </c>
      <c r="G4231" t="s">
        <v>59</v>
      </c>
      <c r="H4231" t="s">
        <v>45</v>
      </c>
      <c r="I4231" t="s">
        <v>2193</v>
      </c>
      <c r="J4231" s="10">
        <v>0</v>
      </c>
      <c r="K4231" t="b">
        <v>1</v>
      </c>
    </row>
    <row r="4232" spans="1:11">
      <c r="A4232" s="12">
        <v>42169</v>
      </c>
      <c r="B4232">
        <v>2015</v>
      </c>
      <c r="C4232">
        <v>6</v>
      </c>
      <c r="D4232" s="11">
        <v>42156</v>
      </c>
      <c r="E4232" t="s">
        <v>2178</v>
      </c>
      <c r="F4232">
        <v>7</v>
      </c>
      <c r="G4232" t="s">
        <v>59</v>
      </c>
      <c r="H4232" t="s">
        <v>46</v>
      </c>
      <c r="I4232" t="s">
        <v>2194</v>
      </c>
      <c r="J4232" s="10">
        <v>3</v>
      </c>
      <c r="K4232" t="b">
        <v>1</v>
      </c>
    </row>
    <row r="4233" spans="1:11">
      <c r="A4233" s="12">
        <v>42169</v>
      </c>
      <c r="B4233">
        <v>2015</v>
      </c>
      <c r="C4233">
        <v>6</v>
      </c>
      <c r="D4233" s="11">
        <v>42156</v>
      </c>
      <c r="E4233" t="s">
        <v>2178</v>
      </c>
      <c r="F4233">
        <v>7</v>
      </c>
      <c r="G4233" t="s">
        <v>59</v>
      </c>
      <c r="H4233" t="s">
        <v>47</v>
      </c>
      <c r="I4233" t="s">
        <v>2195</v>
      </c>
      <c r="J4233" s="10">
        <v>2</v>
      </c>
      <c r="K4233" t="b">
        <v>1</v>
      </c>
    </row>
    <row r="4234" spans="1:11">
      <c r="A4234" s="12">
        <v>42170</v>
      </c>
      <c r="B4234">
        <v>2015</v>
      </c>
      <c r="C4234">
        <v>6</v>
      </c>
      <c r="D4234" s="11">
        <v>42156</v>
      </c>
      <c r="E4234" t="s">
        <v>2178</v>
      </c>
      <c r="F4234">
        <v>1</v>
      </c>
      <c r="G4234" t="s">
        <v>61</v>
      </c>
      <c r="H4234" t="s">
        <v>40</v>
      </c>
      <c r="I4234" t="s">
        <v>2188</v>
      </c>
      <c r="J4234" s="10">
        <v>4</v>
      </c>
      <c r="K4234" t="b">
        <v>1</v>
      </c>
    </row>
    <row r="4235" spans="1:11">
      <c r="A4235" s="12">
        <v>42170</v>
      </c>
      <c r="B4235">
        <v>2015</v>
      </c>
      <c r="C4235">
        <v>6</v>
      </c>
      <c r="D4235" s="11">
        <v>42156</v>
      </c>
      <c r="E4235" t="s">
        <v>2178</v>
      </c>
      <c r="F4235">
        <v>1</v>
      </c>
      <c r="G4235" t="s">
        <v>61</v>
      </c>
      <c r="H4235" t="s">
        <v>41</v>
      </c>
      <c r="I4235" t="s">
        <v>2189</v>
      </c>
      <c r="J4235" s="10">
        <v>3.36</v>
      </c>
      <c r="K4235" t="b">
        <v>1</v>
      </c>
    </row>
    <row r="4236" spans="1:11">
      <c r="A4236" s="12">
        <v>42170</v>
      </c>
      <c r="B4236">
        <v>2015</v>
      </c>
      <c r="C4236">
        <v>6</v>
      </c>
      <c r="D4236" s="11">
        <v>42156</v>
      </c>
      <c r="E4236" t="s">
        <v>2178</v>
      </c>
      <c r="F4236">
        <v>1</v>
      </c>
      <c r="G4236" t="s">
        <v>61</v>
      </c>
      <c r="H4236" t="s">
        <v>42</v>
      </c>
      <c r="I4236" t="s">
        <v>2190</v>
      </c>
      <c r="J4236" s="10">
        <v>5</v>
      </c>
      <c r="K4236" t="b">
        <v>1</v>
      </c>
    </row>
    <row r="4237" spans="1:11">
      <c r="A4237" s="12">
        <v>42170</v>
      </c>
      <c r="B4237">
        <v>2015</v>
      </c>
      <c r="C4237">
        <v>6</v>
      </c>
      <c r="D4237" s="11">
        <v>42156</v>
      </c>
      <c r="E4237" t="s">
        <v>2178</v>
      </c>
      <c r="F4237">
        <v>1</v>
      </c>
      <c r="G4237" t="s">
        <v>61</v>
      </c>
      <c r="H4237" t="s">
        <v>43</v>
      </c>
      <c r="I4237" t="s">
        <v>2191</v>
      </c>
      <c r="J4237" s="10">
        <v>37</v>
      </c>
      <c r="K4237" t="b">
        <v>1</v>
      </c>
    </row>
    <row r="4238" spans="1:11">
      <c r="A4238" s="12">
        <v>42170</v>
      </c>
      <c r="B4238">
        <v>2015</v>
      </c>
      <c r="C4238">
        <v>6</v>
      </c>
      <c r="D4238" s="11">
        <v>42156</v>
      </c>
      <c r="E4238" t="s">
        <v>2178</v>
      </c>
      <c r="F4238">
        <v>1</v>
      </c>
      <c r="G4238" t="s">
        <v>61</v>
      </c>
      <c r="H4238" t="s">
        <v>44</v>
      </c>
      <c r="I4238" t="s">
        <v>2192</v>
      </c>
      <c r="J4238" s="10">
        <v>9</v>
      </c>
      <c r="K4238" t="b">
        <v>1</v>
      </c>
    </row>
    <row r="4239" spans="1:11">
      <c r="A4239" s="12">
        <v>42170</v>
      </c>
      <c r="B4239">
        <v>2015</v>
      </c>
      <c r="C4239">
        <v>6</v>
      </c>
      <c r="D4239" s="11">
        <v>42156</v>
      </c>
      <c r="E4239" t="s">
        <v>2178</v>
      </c>
      <c r="F4239">
        <v>1</v>
      </c>
      <c r="G4239" t="s">
        <v>61</v>
      </c>
      <c r="H4239" t="s">
        <v>45</v>
      </c>
      <c r="I4239" t="s">
        <v>2193</v>
      </c>
      <c r="J4239" s="10">
        <v>0</v>
      </c>
      <c r="K4239" t="b">
        <v>1</v>
      </c>
    </row>
    <row r="4240" spans="1:11">
      <c r="A4240" s="12">
        <v>42170</v>
      </c>
      <c r="B4240">
        <v>2015</v>
      </c>
      <c r="C4240">
        <v>6</v>
      </c>
      <c r="D4240" s="11">
        <v>42156</v>
      </c>
      <c r="E4240" t="s">
        <v>2178</v>
      </c>
      <c r="F4240">
        <v>1</v>
      </c>
      <c r="G4240" t="s">
        <v>61</v>
      </c>
      <c r="H4240" t="s">
        <v>46</v>
      </c>
      <c r="I4240" t="s">
        <v>2194</v>
      </c>
      <c r="J4240" s="10">
        <v>6</v>
      </c>
      <c r="K4240" t="b">
        <v>1</v>
      </c>
    </row>
    <row r="4241" spans="1:11">
      <c r="A4241" s="12">
        <v>42170</v>
      </c>
      <c r="B4241">
        <v>2015</v>
      </c>
      <c r="C4241">
        <v>6</v>
      </c>
      <c r="D4241" s="11">
        <v>42156</v>
      </c>
      <c r="E4241" t="s">
        <v>2178</v>
      </c>
      <c r="F4241">
        <v>1</v>
      </c>
      <c r="G4241" t="s">
        <v>61</v>
      </c>
      <c r="H4241" t="s">
        <v>47</v>
      </c>
      <c r="I4241" t="s">
        <v>2195</v>
      </c>
      <c r="J4241" s="10">
        <v>9</v>
      </c>
      <c r="K4241" t="b">
        <v>1</v>
      </c>
    </row>
    <row r="4242" spans="1:11">
      <c r="A4242" s="12">
        <v>42171</v>
      </c>
      <c r="B4242">
        <v>2015</v>
      </c>
      <c r="C4242">
        <v>6</v>
      </c>
      <c r="D4242" s="11">
        <v>42156</v>
      </c>
      <c r="E4242" t="s">
        <v>2178</v>
      </c>
      <c r="F4242">
        <v>2</v>
      </c>
      <c r="G4242" t="s">
        <v>63</v>
      </c>
      <c r="H4242" t="s">
        <v>40</v>
      </c>
      <c r="I4242" t="s">
        <v>2188</v>
      </c>
      <c r="J4242" s="10">
        <v>7</v>
      </c>
      <c r="K4242" t="b">
        <v>1</v>
      </c>
    </row>
    <row r="4243" spans="1:11">
      <c r="A4243" s="12">
        <v>42171</v>
      </c>
      <c r="B4243">
        <v>2015</v>
      </c>
      <c r="C4243">
        <v>6</v>
      </c>
      <c r="D4243" s="11">
        <v>42156</v>
      </c>
      <c r="E4243" t="s">
        <v>2178</v>
      </c>
      <c r="F4243">
        <v>2</v>
      </c>
      <c r="G4243" t="s">
        <v>63</v>
      </c>
      <c r="H4243" t="s">
        <v>41</v>
      </c>
      <c r="I4243" t="s">
        <v>2189</v>
      </c>
      <c r="J4243" s="10">
        <v>3.34</v>
      </c>
      <c r="K4243" t="b">
        <v>1</v>
      </c>
    </row>
    <row r="4244" spans="1:11">
      <c r="A4244" s="12">
        <v>42171</v>
      </c>
      <c r="B4244">
        <v>2015</v>
      </c>
      <c r="C4244">
        <v>6</v>
      </c>
      <c r="D4244" s="11">
        <v>42156</v>
      </c>
      <c r="E4244" t="s">
        <v>2178</v>
      </c>
      <c r="F4244">
        <v>2</v>
      </c>
      <c r="G4244" t="s">
        <v>63</v>
      </c>
      <c r="H4244" t="s">
        <v>42</v>
      </c>
      <c r="I4244" t="s">
        <v>2190</v>
      </c>
      <c r="J4244" s="10">
        <v>4</v>
      </c>
      <c r="K4244" t="b">
        <v>1</v>
      </c>
    </row>
    <row r="4245" spans="1:11">
      <c r="A4245" s="12">
        <v>42171</v>
      </c>
      <c r="B4245">
        <v>2015</v>
      </c>
      <c r="C4245">
        <v>6</v>
      </c>
      <c r="D4245" s="11">
        <v>42156</v>
      </c>
      <c r="E4245" t="s">
        <v>2178</v>
      </c>
      <c r="F4245">
        <v>2</v>
      </c>
      <c r="G4245" t="s">
        <v>63</v>
      </c>
      <c r="H4245" t="s">
        <v>43</v>
      </c>
      <c r="I4245" t="s">
        <v>2191</v>
      </c>
      <c r="J4245" s="10">
        <v>20</v>
      </c>
      <c r="K4245" t="b">
        <v>1</v>
      </c>
    </row>
    <row r="4246" spans="1:11">
      <c r="A4246" s="12">
        <v>42171</v>
      </c>
      <c r="B4246">
        <v>2015</v>
      </c>
      <c r="C4246">
        <v>6</v>
      </c>
      <c r="D4246" s="11">
        <v>42156</v>
      </c>
      <c r="E4246" t="s">
        <v>2178</v>
      </c>
      <c r="F4246">
        <v>2</v>
      </c>
      <c r="G4246" t="s">
        <v>63</v>
      </c>
      <c r="H4246" t="s">
        <v>44</v>
      </c>
      <c r="I4246" t="s">
        <v>2192</v>
      </c>
      <c r="J4246" s="10">
        <v>6</v>
      </c>
      <c r="K4246" t="b">
        <v>1</v>
      </c>
    </row>
    <row r="4247" spans="1:11">
      <c r="A4247" s="12">
        <v>42171</v>
      </c>
      <c r="B4247">
        <v>2015</v>
      </c>
      <c r="C4247">
        <v>6</v>
      </c>
      <c r="D4247" s="11">
        <v>42156</v>
      </c>
      <c r="E4247" t="s">
        <v>2178</v>
      </c>
      <c r="F4247">
        <v>2</v>
      </c>
      <c r="G4247" t="s">
        <v>63</v>
      </c>
      <c r="H4247" t="s">
        <v>45</v>
      </c>
      <c r="I4247" t="s">
        <v>2193</v>
      </c>
      <c r="J4247" s="10">
        <v>0</v>
      </c>
      <c r="K4247" t="b">
        <v>1</v>
      </c>
    </row>
    <row r="4248" spans="1:11">
      <c r="A4248" s="12">
        <v>42171</v>
      </c>
      <c r="B4248">
        <v>2015</v>
      </c>
      <c r="C4248">
        <v>6</v>
      </c>
      <c r="D4248" s="11">
        <v>42156</v>
      </c>
      <c r="E4248" t="s">
        <v>2178</v>
      </c>
      <c r="F4248">
        <v>2</v>
      </c>
      <c r="G4248" t="s">
        <v>63</v>
      </c>
      <c r="H4248" t="s">
        <v>46</v>
      </c>
      <c r="I4248" t="s">
        <v>2194</v>
      </c>
      <c r="J4248" s="10">
        <v>8</v>
      </c>
      <c r="K4248" t="b">
        <v>1</v>
      </c>
    </row>
    <row r="4249" spans="1:11">
      <c r="A4249" s="12">
        <v>42171</v>
      </c>
      <c r="B4249">
        <v>2015</v>
      </c>
      <c r="C4249">
        <v>6</v>
      </c>
      <c r="D4249" s="11">
        <v>42156</v>
      </c>
      <c r="E4249" t="s">
        <v>2178</v>
      </c>
      <c r="F4249">
        <v>2</v>
      </c>
      <c r="G4249" t="s">
        <v>63</v>
      </c>
      <c r="H4249" t="s">
        <v>47</v>
      </c>
      <c r="I4249" t="s">
        <v>2195</v>
      </c>
      <c r="J4249" s="10">
        <v>5</v>
      </c>
      <c r="K4249" t="b">
        <v>1</v>
      </c>
    </row>
    <row r="4250" spans="1:11">
      <c r="A4250" s="12">
        <v>42172</v>
      </c>
      <c r="B4250">
        <v>2015</v>
      </c>
      <c r="C4250">
        <v>6</v>
      </c>
      <c r="D4250" s="11">
        <v>42156</v>
      </c>
      <c r="E4250" t="s">
        <v>2178</v>
      </c>
      <c r="F4250">
        <v>3</v>
      </c>
      <c r="G4250" t="s">
        <v>65</v>
      </c>
      <c r="H4250" t="s">
        <v>40</v>
      </c>
      <c r="I4250" t="s">
        <v>2188</v>
      </c>
      <c r="J4250" s="10">
        <v>3.66</v>
      </c>
      <c r="K4250" t="b">
        <v>1</v>
      </c>
    </row>
    <row r="4251" spans="1:11">
      <c r="A4251" s="12">
        <v>42172</v>
      </c>
      <c r="B4251">
        <v>2015</v>
      </c>
      <c r="C4251">
        <v>6</v>
      </c>
      <c r="D4251" s="11">
        <v>42156</v>
      </c>
      <c r="E4251" t="s">
        <v>2178</v>
      </c>
      <c r="F4251">
        <v>3</v>
      </c>
      <c r="G4251" t="s">
        <v>65</v>
      </c>
      <c r="H4251" t="s">
        <v>41</v>
      </c>
      <c r="I4251" t="s">
        <v>2189</v>
      </c>
      <c r="J4251" s="10">
        <v>3.32</v>
      </c>
      <c r="K4251" t="b">
        <v>1</v>
      </c>
    </row>
    <row r="4252" spans="1:11">
      <c r="A4252" s="12">
        <v>42172</v>
      </c>
      <c r="B4252">
        <v>2015</v>
      </c>
      <c r="C4252">
        <v>6</v>
      </c>
      <c r="D4252" s="11">
        <v>42156</v>
      </c>
      <c r="E4252" t="s">
        <v>2178</v>
      </c>
      <c r="F4252">
        <v>3</v>
      </c>
      <c r="G4252" t="s">
        <v>65</v>
      </c>
      <c r="H4252" t="s">
        <v>42</v>
      </c>
      <c r="I4252" t="s">
        <v>2190</v>
      </c>
      <c r="J4252" s="10">
        <v>8.66</v>
      </c>
      <c r="K4252" t="b">
        <v>1</v>
      </c>
    </row>
    <row r="4253" spans="1:11">
      <c r="A4253" s="12">
        <v>42172</v>
      </c>
      <c r="B4253">
        <v>2015</v>
      </c>
      <c r="C4253">
        <v>6</v>
      </c>
      <c r="D4253" s="11">
        <v>42156</v>
      </c>
      <c r="E4253" t="s">
        <v>2178</v>
      </c>
      <c r="F4253">
        <v>3</v>
      </c>
      <c r="G4253" t="s">
        <v>65</v>
      </c>
      <c r="H4253" t="s">
        <v>43</v>
      </c>
      <c r="I4253" t="s">
        <v>2191</v>
      </c>
      <c r="J4253" s="10">
        <v>24</v>
      </c>
      <c r="K4253" t="b">
        <v>1</v>
      </c>
    </row>
    <row r="4254" spans="1:11">
      <c r="A4254" s="12">
        <v>42172</v>
      </c>
      <c r="B4254">
        <v>2015</v>
      </c>
      <c r="C4254">
        <v>6</v>
      </c>
      <c r="D4254" s="11">
        <v>42156</v>
      </c>
      <c r="E4254" t="s">
        <v>2178</v>
      </c>
      <c r="F4254">
        <v>3</v>
      </c>
      <c r="G4254" t="s">
        <v>65</v>
      </c>
      <c r="H4254" t="s">
        <v>44</v>
      </c>
      <c r="I4254" t="s">
        <v>2192</v>
      </c>
      <c r="J4254" s="10">
        <v>10</v>
      </c>
      <c r="K4254" t="b">
        <v>1</v>
      </c>
    </row>
    <row r="4255" spans="1:11">
      <c r="A4255" s="12">
        <v>42172</v>
      </c>
      <c r="B4255">
        <v>2015</v>
      </c>
      <c r="C4255">
        <v>6</v>
      </c>
      <c r="D4255" s="11">
        <v>42156</v>
      </c>
      <c r="E4255" t="s">
        <v>2178</v>
      </c>
      <c r="F4255">
        <v>3</v>
      </c>
      <c r="G4255" t="s">
        <v>65</v>
      </c>
      <c r="H4255" t="s">
        <v>45</v>
      </c>
      <c r="I4255" t="s">
        <v>2193</v>
      </c>
      <c r="J4255" s="10">
        <v>1</v>
      </c>
      <c r="K4255" t="b">
        <v>1</v>
      </c>
    </row>
    <row r="4256" spans="1:11">
      <c r="A4256" s="12">
        <v>42172</v>
      </c>
      <c r="B4256">
        <v>2015</v>
      </c>
      <c r="C4256">
        <v>6</v>
      </c>
      <c r="D4256" s="11">
        <v>42156</v>
      </c>
      <c r="E4256" t="s">
        <v>2178</v>
      </c>
      <c r="F4256">
        <v>3</v>
      </c>
      <c r="G4256" t="s">
        <v>65</v>
      </c>
      <c r="H4256" t="s">
        <v>46</v>
      </c>
      <c r="I4256" t="s">
        <v>2194</v>
      </c>
      <c r="J4256" s="10">
        <v>20</v>
      </c>
      <c r="K4256" t="b">
        <v>1</v>
      </c>
    </row>
    <row r="4257" spans="1:11">
      <c r="A4257" s="12">
        <v>42172</v>
      </c>
      <c r="B4257">
        <v>2015</v>
      </c>
      <c r="C4257">
        <v>6</v>
      </c>
      <c r="D4257" s="11">
        <v>42156</v>
      </c>
      <c r="E4257" t="s">
        <v>2178</v>
      </c>
      <c r="F4257">
        <v>3</v>
      </c>
      <c r="G4257" t="s">
        <v>65</v>
      </c>
      <c r="H4257" t="s">
        <v>47</v>
      </c>
      <c r="I4257" t="s">
        <v>2195</v>
      </c>
      <c r="J4257" s="10">
        <v>2</v>
      </c>
      <c r="K4257" t="b">
        <v>1</v>
      </c>
    </row>
    <row r="4258" spans="1:11">
      <c r="A4258" s="12">
        <v>42173</v>
      </c>
      <c r="B4258">
        <v>2015</v>
      </c>
      <c r="C4258">
        <v>6</v>
      </c>
      <c r="D4258" s="11">
        <v>42156</v>
      </c>
      <c r="E4258" t="s">
        <v>2178</v>
      </c>
      <c r="F4258">
        <v>4</v>
      </c>
      <c r="G4258" t="s">
        <v>53</v>
      </c>
      <c r="H4258" t="s">
        <v>40</v>
      </c>
      <c r="I4258" t="s">
        <v>2188</v>
      </c>
      <c r="J4258" s="10">
        <v>3</v>
      </c>
      <c r="K4258" t="b">
        <v>1</v>
      </c>
    </row>
    <row r="4259" spans="1:11">
      <c r="A4259" s="12">
        <v>42173</v>
      </c>
      <c r="B4259">
        <v>2015</v>
      </c>
      <c r="C4259">
        <v>6</v>
      </c>
      <c r="D4259" s="11">
        <v>42156</v>
      </c>
      <c r="E4259" t="s">
        <v>2178</v>
      </c>
      <c r="F4259">
        <v>4</v>
      </c>
      <c r="G4259" t="s">
        <v>53</v>
      </c>
      <c r="H4259" t="s">
        <v>41</v>
      </c>
      <c r="I4259" t="s">
        <v>2189</v>
      </c>
      <c r="J4259" s="10">
        <v>5.33</v>
      </c>
      <c r="K4259" t="b">
        <v>1</v>
      </c>
    </row>
    <row r="4260" spans="1:11">
      <c r="A4260" s="12">
        <v>42173</v>
      </c>
      <c r="B4260">
        <v>2015</v>
      </c>
      <c r="C4260">
        <v>6</v>
      </c>
      <c r="D4260" s="11">
        <v>42156</v>
      </c>
      <c r="E4260" t="s">
        <v>2178</v>
      </c>
      <c r="F4260">
        <v>4</v>
      </c>
      <c r="G4260" t="s">
        <v>53</v>
      </c>
      <c r="H4260" t="s">
        <v>42</v>
      </c>
      <c r="I4260" t="s">
        <v>2190</v>
      </c>
      <c r="J4260" s="10">
        <v>7</v>
      </c>
      <c r="K4260" t="b">
        <v>1</v>
      </c>
    </row>
    <row r="4261" spans="1:11">
      <c r="A4261" s="12">
        <v>42173</v>
      </c>
      <c r="B4261">
        <v>2015</v>
      </c>
      <c r="C4261">
        <v>6</v>
      </c>
      <c r="D4261" s="11">
        <v>42156</v>
      </c>
      <c r="E4261" t="s">
        <v>2178</v>
      </c>
      <c r="F4261">
        <v>4</v>
      </c>
      <c r="G4261" t="s">
        <v>53</v>
      </c>
      <c r="H4261" t="s">
        <v>43</v>
      </c>
      <c r="I4261" t="s">
        <v>2191</v>
      </c>
      <c r="J4261" s="10">
        <v>24.6</v>
      </c>
      <c r="K4261" t="b">
        <v>1</v>
      </c>
    </row>
    <row r="4262" spans="1:11">
      <c r="A4262" s="12">
        <v>42173</v>
      </c>
      <c r="B4262">
        <v>2015</v>
      </c>
      <c r="C4262">
        <v>6</v>
      </c>
      <c r="D4262" s="11">
        <v>42156</v>
      </c>
      <c r="E4262" t="s">
        <v>2178</v>
      </c>
      <c r="F4262">
        <v>4</v>
      </c>
      <c r="G4262" t="s">
        <v>53</v>
      </c>
      <c r="H4262" t="s">
        <v>44</v>
      </c>
      <c r="I4262" t="s">
        <v>2192</v>
      </c>
      <c r="J4262" s="10">
        <v>4</v>
      </c>
      <c r="K4262" t="b">
        <v>1</v>
      </c>
    </row>
    <row r="4263" spans="1:11">
      <c r="A4263" s="12">
        <v>42173</v>
      </c>
      <c r="B4263">
        <v>2015</v>
      </c>
      <c r="C4263">
        <v>6</v>
      </c>
      <c r="D4263" s="11">
        <v>42156</v>
      </c>
      <c r="E4263" t="s">
        <v>2178</v>
      </c>
      <c r="F4263">
        <v>4</v>
      </c>
      <c r="G4263" t="s">
        <v>53</v>
      </c>
      <c r="H4263" t="s">
        <v>45</v>
      </c>
      <c r="I4263" t="s">
        <v>2193</v>
      </c>
      <c r="J4263" s="10">
        <v>0</v>
      </c>
      <c r="K4263" t="b">
        <v>1</v>
      </c>
    </row>
    <row r="4264" spans="1:11">
      <c r="A4264" s="12">
        <v>42173</v>
      </c>
      <c r="B4264">
        <v>2015</v>
      </c>
      <c r="C4264">
        <v>6</v>
      </c>
      <c r="D4264" s="11">
        <v>42156</v>
      </c>
      <c r="E4264" t="s">
        <v>2178</v>
      </c>
      <c r="F4264">
        <v>4</v>
      </c>
      <c r="G4264" t="s">
        <v>53</v>
      </c>
      <c r="H4264" t="s">
        <v>46</v>
      </c>
      <c r="I4264" t="s">
        <v>2194</v>
      </c>
      <c r="J4264" s="10">
        <v>23</v>
      </c>
      <c r="K4264" t="b">
        <v>1</v>
      </c>
    </row>
    <row r="4265" spans="1:11">
      <c r="A4265" s="12">
        <v>42173</v>
      </c>
      <c r="B4265">
        <v>2015</v>
      </c>
      <c r="C4265">
        <v>6</v>
      </c>
      <c r="D4265" s="11">
        <v>42156</v>
      </c>
      <c r="E4265" t="s">
        <v>2178</v>
      </c>
      <c r="F4265">
        <v>4</v>
      </c>
      <c r="G4265" t="s">
        <v>53</v>
      </c>
      <c r="H4265" t="s">
        <v>47</v>
      </c>
      <c r="I4265" t="s">
        <v>2195</v>
      </c>
      <c r="J4265" s="10">
        <v>3.6</v>
      </c>
      <c r="K4265" t="b">
        <v>1</v>
      </c>
    </row>
    <row r="4266" spans="1:11">
      <c r="A4266" s="12">
        <v>42174</v>
      </c>
      <c r="B4266">
        <v>2015</v>
      </c>
      <c r="C4266">
        <v>6</v>
      </c>
      <c r="D4266" s="11">
        <v>42156</v>
      </c>
      <c r="E4266" t="s">
        <v>2178</v>
      </c>
      <c r="F4266">
        <v>5</v>
      </c>
      <c r="G4266" t="s">
        <v>55</v>
      </c>
      <c r="H4266" t="s">
        <v>40</v>
      </c>
      <c r="I4266" t="s">
        <v>2188</v>
      </c>
      <c r="J4266" s="10">
        <v>5.33</v>
      </c>
      <c r="K4266" t="b">
        <v>1</v>
      </c>
    </row>
    <row r="4267" spans="1:11">
      <c r="A4267" s="12">
        <v>42174</v>
      </c>
      <c r="B4267">
        <v>2015</v>
      </c>
      <c r="C4267">
        <v>6</v>
      </c>
      <c r="D4267" s="11">
        <v>42156</v>
      </c>
      <c r="E4267" t="s">
        <v>2178</v>
      </c>
      <c r="F4267">
        <v>5</v>
      </c>
      <c r="G4267" t="s">
        <v>55</v>
      </c>
      <c r="H4267" t="s">
        <v>41</v>
      </c>
      <c r="I4267" t="s">
        <v>2189</v>
      </c>
      <c r="J4267" s="10">
        <v>4.01</v>
      </c>
      <c r="K4267" t="b">
        <v>1</v>
      </c>
    </row>
    <row r="4268" spans="1:11">
      <c r="A4268" s="12">
        <v>42174</v>
      </c>
      <c r="B4268">
        <v>2015</v>
      </c>
      <c r="C4268">
        <v>6</v>
      </c>
      <c r="D4268" s="11">
        <v>42156</v>
      </c>
      <c r="E4268" t="s">
        <v>2178</v>
      </c>
      <c r="F4268">
        <v>5</v>
      </c>
      <c r="G4268" t="s">
        <v>55</v>
      </c>
      <c r="H4268" t="s">
        <v>42</v>
      </c>
      <c r="I4268" t="s">
        <v>2190</v>
      </c>
      <c r="J4268" s="10">
        <v>3.1</v>
      </c>
      <c r="K4268" t="b">
        <v>1</v>
      </c>
    </row>
    <row r="4269" spans="1:11">
      <c r="A4269" s="12">
        <v>42174</v>
      </c>
      <c r="B4269">
        <v>2015</v>
      </c>
      <c r="C4269">
        <v>6</v>
      </c>
      <c r="D4269" s="11">
        <v>42156</v>
      </c>
      <c r="E4269" t="s">
        <v>2178</v>
      </c>
      <c r="F4269">
        <v>5</v>
      </c>
      <c r="G4269" t="s">
        <v>55</v>
      </c>
      <c r="H4269" t="s">
        <v>43</v>
      </c>
      <c r="I4269" t="s">
        <v>2191</v>
      </c>
      <c r="J4269" s="10">
        <v>24</v>
      </c>
      <c r="K4269" t="b">
        <v>1</v>
      </c>
    </row>
    <row r="4270" spans="1:11">
      <c r="A4270" s="12">
        <v>42174</v>
      </c>
      <c r="B4270">
        <v>2015</v>
      </c>
      <c r="C4270">
        <v>6</v>
      </c>
      <c r="D4270" s="11">
        <v>42156</v>
      </c>
      <c r="E4270" t="s">
        <v>2178</v>
      </c>
      <c r="F4270">
        <v>5</v>
      </c>
      <c r="G4270" t="s">
        <v>55</v>
      </c>
      <c r="H4270" t="s">
        <v>44</v>
      </c>
      <c r="I4270" t="s">
        <v>2192</v>
      </c>
      <c r="J4270" s="10">
        <v>13</v>
      </c>
      <c r="K4270" t="b">
        <v>1</v>
      </c>
    </row>
    <row r="4271" spans="1:11">
      <c r="A4271" s="12">
        <v>42174</v>
      </c>
      <c r="B4271">
        <v>2015</v>
      </c>
      <c r="C4271">
        <v>6</v>
      </c>
      <c r="D4271" s="11">
        <v>42156</v>
      </c>
      <c r="E4271" t="s">
        <v>2178</v>
      </c>
      <c r="F4271">
        <v>5</v>
      </c>
      <c r="G4271" t="s">
        <v>55</v>
      </c>
      <c r="H4271" t="s">
        <v>45</v>
      </c>
      <c r="I4271" t="s">
        <v>2193</v>
      </c>
      <c r="J4271" s="10">
        <v>2</v>
      </c>
      <c r="K4271" t="b">
        <v>1</v>
      </c>
    </row>
    <row r="4272" spans="1:11">
      <c r="A4272" s="12">
        <v>42174</v>
      </c>
      <c r="B4272">
        <v>2015</v>
      </c>
      <c r="C4272">
        <v>6</v>
      </c>
      <c r="D4272" s="11">
        <v>42156</v>
      </c>
      <c r="E4272" t="s">
        <v>2178</v>
      </c>
      <c r="F4272">
        <v>5</v>
      </c>
      <c r="G4272" t="s">
        <v>55</v>
      </c>
      <c r="H4272" t="s">
        <v>46</v>
      </c>
      <c r="I4272" t="s">
        <v>2194</v>
      </c>
      <c r="J4272" s="10">
        <v>10</v>
      </c>
      <c r="K4272" t="b">
        <v>1</v>
      </c>
    </row>
    <row r="4273" spans="1:11">
      <c r="A4273" s="12">
        <v>42174</v>
      </c>
      <c r="B4273">
        <v>2015</v>
      </c>
      <c r="C4273">
        <v>6</v>
      </c>
      <c r="D4273" s="11">
        <v>42156</v>
      </c>
      <c r="E4273" t="s">
        <v>2178</v>
      </c>
      <c r="F4273">
        <v>5</v>
      </c>
      <c r="G4273" t="s">
        <v>55</v>
      </c>
      <c r="H4273" t="s">
        <v>47</v>
      </c>
      <c r="I4273" t="s">
        <v>2195</v>
      </c>
      <c r="J4273" s="10">
        <v>6.3</v>
      </c>
      <c r="K4273" t="b">
        <v>1</v>
      </c>
    </row>
    <row r="4274" spans="1:11">
      <c r="A4274" s="12">
        <v>42175</v>
      </c>
      <c r="B4274">
        <v>2015</v>
      </c>
      <c r="C4274">
        <v>6</v>
      </c>
      <c r="D4274" s="11">
        <v>42156</v>
      </c>
      <c r="E4274" t="s">
        <v>2178</v>
      </c>
      <c r="F4274">
        <v>6</v>
      </c>
      <c r="G4274" t="s">
        <v>57</v>
      </c>
      <c r="H4274" t="s">
        <v>40</v>
      </c>
      <c r="I4274" t="s">
        <v>2188</v>
      </c>
      <c r="J4274" s="10">
        <v>9.34</v>
      </c>
      <c r="K4274" t="b">
        <v>1</v>
      </c>
    </row>
    <row r="4275" spans="1:11">
      <c r="A4275" s="12">
        <v>42175</v>
      </c>
      <c r="B4275">
        <v>2015</v>
      </c>
      <c r="C4275">
        <v>6</v>
      </c>
      <c r="D4275" s="11">
        <v>42156</v>
      </c>
      <c r="E4275" t="s">
        <v>2178</v>
      </c>
      <c r="F4275">
        <v>6</v>
      </c>
      <c r="G4275" t="s">
        <v>57</v>
      </c>
      <c r="H4275" t="s">
        <v>41</v>
      </c>
      <c r="I4275" t="s">
        <v>2189</v>
      </c>
      <c r="J4275" s="10">
        <v>3</v>
      </c>
      <c r="K4275" t="b">
        <v>1</v>
      </c>
    </row>
    <row r="4276" spans="1:11">
      <c r="A4276" s="12">
        <v>42175</v>
      </c>
      <c r="B4276">
        <v>2015</v>
      </c>
      <c r="C4276">
        <v>6</v>
      </c>
      <c r="D4276" s="11">
        <v>42156</v>
      </c>
      <c r="E4276" t="s">
        <v>2178</v>
      </c>
      <c r="F4276">
        <v>6</v>
      </c>
      <c r="G4276" t="s">
        <v>57</v>
      </c>
      <c r="H4276" t="s">
        <v>42</v>
      </c>
      <c r="I4276" t="s">
        <v>2190</v>
      </c>
      <c r="J4276" s="10">
        <v>3</v>
      </c>
      <c r="K4276" t="b">
        <v>1</v>
      </c>
    </row>
    <row r="4277" spans="1:11">
      <c r="A4277" s="12">
        <v>42175</v>
      </c>
      <c r="B4277">
        <v>2015</v>
      </c>
      <c r="C4277">
        <v>6</v>
      </c>
      <c r="D4277" s="11">
        <v>42156</v>
      </c>
      <c r="E4277" t="s">
        <v>2178</v>
      </c>
      <c r="F4277">
        <v>6</v>
      </c>
      <c r="G4277" t="s">
        <v>57</v>
      </c>
      <c r="H4277" t="s">
        <v>43</v>
      </c>
      <c r="I4277" t="s">
        <v>2191</v>
      </c>
      <c r="J4277" s="10">
        <v>26.8</v>
      </c>
      <c r="K4277" t="b">
        <v>1</v>
      </c>
    </row>
    <row r="4278" spans="1:11">
      <c r="A4278" s="12">
        <v>42175</v>
      </c>
      <c r="B4278">
        <v>2015</v>
      </c>
      <c r="C4278">
        <v>6</v>
      </c>
      <c r="D4278" s="11">
        <v>42156</v>
      </c>
      <c r="E4278" t="s">
        <v>2178</v>
      </c>
      <c r="F4278">
        <v>6</v>
      </c>
      <c r="G4278" t="s">
        <v>57</v>
      </c>
      <c r="H4278" t="s">
        <v>44</v>
      </c>
      <c r="I4278" t="s">
        <v>2192</v>
      </c>
      <c r="J4278" s="10">
        <v>5</v>
      </c>
      <c r="K4278" t="b">
        <v>1</v>
      </c>
    </row>
    <row r="4279" spans="1:11">
      <c r="A4279" s="12">
        <v>42175</v>
      </c>
      <c r="B4279">
        <v>2015</v>
      </c>
      <c r="C4279">
        <v>6</v>
      </c>
      <c r="D4279" s="11">
        <v>42156</v>
      </c>
      <c r="E4279" t="s">
        <v>2178</v>
      </c>
      <c r="F4279">
        <v>6</v>
      </c>
      <c r="G4279" t="s">
        <v>57</v>
      </c>
      <c r="H4279" t="s">
        <v>45</v>
      </c>
      <c r="I4279" t="s">
        <v>2193</v>
      </c>
      <c r="J4279" s="10">
        <v>0</v>
      </c>
      <c r="K4279" t="b">
        <v>1</v>
      </c>
    </row>
    <row r="4280" spans="1:11">
      <c r="A4280" s="12">
        <v>42175</v>
      </c>
      <c r="B4280">
        <v>2015</v>
      </c>
      <c r="C4280">
        <v>6</v>
      </c>
      <c r="D4280" s="11">
        <v>42156</v>
      </c>
      <c r="E4280" t="s">
        <v>2178</v>
      </c>
      <c r="F4280">
        <v>6</v>
      </c>
      <c r="G4280" t="s">
        <v>57</v>
      </c>
      <c r="H4280" t="s">
        <v>46</v>
      </c>
      <c r="I4280" t="s">
        <v>2194</v>
      </c>
      <c r="J4280" s="10">
        <v>10</v>
      </c>
      <c r="K4280" t="b">
        <v>1</v>
      </c>
    </row>
    <row r="4281" spans="1:11">
      <c r="A4281" s="12">
        <v>42175</v>
      </c>
      <c r="B4281">
        <v>2015</v>
      </c>
      <c r="C4281">
        <v>6</v>
      </c>
      <c r="D4281" s="11">
        <v>42156</v>
      </c>
      <c r="E4281" t="s">
        <v>2178</v>
      </c>
      <c r="F4281">
        <v>6</v>
      </c>
      <c r="G4281" t="s">
        <v>57</v>
      </c>
      <c r="H4281" t="s">
        <v>47</v>
      </c>
      <c r="I4281" t="s">
        <v>2195</v>
      </c>
      <c r="J4281" s="10">
        <v>7</v>
      </c>
      <c r="K4281" t="b">
        <v>1</v>
      </c>
    </row>
    <row r="4282" spans="1:11">
      <c r="A4282" s="12">
        <v>42176</v>
      </c>
      <c r="B4282">
        <v>2015</v>
      </c>
      <c r="C4282">
        <v>6</v>
      </c>
      <c r="D4282" s="11">
        <v>42156</v>
      </c>
      <c r="E4282" t="s">
        <v>2178</v>
      </c>
      <c r="F4282">
        <v>7</v>
      </c>
      <c r="G4282" t="s">
        <v>59</v>
      </c>
      <c r="H4282" t="s">
        <v>40</v>
      </c>
      <c r="I4282" t="s">
        <v>2188</v>
      </c>
      <c r="J4282" s="10">
        <v>9.34</v>
      </c>
      <c r="K4282" t="b">
        <v>1</v>
      </c>
    </row>
    <row r="4283" spans="1:11">
      <c r="A4283" s="12">
        <v>42176</v>
      </c>
      <c r="B4283">
        <v>2015</v>
      </c>
      <c r="C4283">
        <v>6</v>
      </c>
      <c r="D4283" s="11">
        <v>42156</v>
      </c>
      <c r="E4283" t="s">
        <v>2178</v>
      </c>
      <c r="F4283">
        <v>7</v>
      </c>
      <c r="G4283" t="s">
        <v>59</v>
      </c>
      <c r="H4283" t="s">
        <v>41</v>
      </c>
      <c r="I4283" t="s">
        <v>2189</v>
      </c>
      <c r="J4283" s="10">
        <v>0.68</v>
      </c>
      <c r="K4283" t="b">
        <v>1</v>
      </c>
    </row>
    <row r="4284" spans="1:11">
      <c r="A4284" s="12">
        <v>42176</v>
      </c>
      <c r="B4284">
        <v>2015</v>
      </c>
      <c r="C4284">
        <v>6</v>
      </c>
      <c r="D4284" s="11">
        <v>42156</v>
      </c>
      <c r="E4284" t="s">
        <v>2178</v>
      </c>
      <c r="F4284">
        <v>7</v>
      </c>
      <c r="G4284" t="s">
        <v>59</v>
      </c>
      <c r="H4284" t="s">
        <v>42</v>
      </c>
      <c r="I4284" t="s">
        <v>2190</v>
      </c>
      <c r="J4284" s="10">
        <v>5</v>
      </c>
      <c r="K4284" t="b">
        <v>1</v>
      </c>
    </row>
    <row r="4285" spans="1:11">
      <c r="A4285" s="12">
        <v>42176</v>
      </c>
      <c r="B4285">
        <v>2015</v>
      </c>
      <c r="C4285">
        <v>6</v>
      </c>
      <c r="D4285" s="11">
        <v>42156</v>
      </c>
      <c r="E4285" t="s">
        <v>2178</v>
      </c>
      <c r="F4285">
        <v>7</v>
      </c>
      <c r="G4285" t="s">
        <v>59</v>
      </c>
      <c r="H4285" t="s">
        <v>43</v>
      </c>
      <c r="I4285" t="s">
        <v>2191</v>
      </c>
      <c r="J4285" s="10">
        <v>18</v>
      </c>
      <c r="K4285" t="b">
        <v>1</v>
      </c>
    </row>
    <row r="4286" spans="1:11">
      <c r="A4286" s="12">
        <v>42176</v>
      </c>
      <c r="B4286">
        <v>2015</v>
      </c>
      <c r="C4286">
        <v>6</v>
      </c>
      <c r="D4286" s="11">
        <v>42156</v>
      </c>
      <c r="E4286" t="s">
        <v>2178</v>
      </c>
      <c r="F4286">
        <v>7</v>
      </c>
      <c r="G4286" t="s">
        <v>59</v>
      </c>
      <c r="H4286" t="s">
        <v>44</v>
      </c>
      <c r="I4286" t="s">
        <v>2192</v>
      </c>
      <c r="J4286" s="10">
        <v>5</v>
      </c>
      <c r="K4286" t="b">
        <v>1</v>
      </c>
    </row>
    <row r="4287" spans="1:11">
      <c r="A4287" s="12">
        <v>42176</v>
      </c>
      <c r="B4287">
        <v>2015</v>
      </c>
      <c r="C4287">
        <v>6</v>
      </c>
      <c r="D4287" s="11">
        <v>42156</v>
      </c>
      <c r="E4287" t="s">
        <v>2178</v>
      </c>
      <c r="F4287">
        <v>7</v>
      </c>
      <c r="G4287" t="s">
        <v>59</v>
      </c>
      <c r="H4287" t="s">
        <v>45</v>
      </c>
      <c r="I4287" t="s">
        <v>2193</v>
      </c>
      <c r="J4287" s="10">
        <v>0</v>
      </c>
      <c r="K4287" t="b">
        <v>1</v>
      </c>
    </row>
    <row r="4288" spans="1:11">
      <c r="A4288" s="12">
        <v>42176</v>
      </c>
      <c r="B4288">
        <v>2015</v>
      </c>
      <c r="C4288">
        <v>6</v>
      </c>
      <c r="D4288" s="11">
        <v>42156</v>
      </c>
      <c r="E4288" t="s">
        <v>2178</v>
      </c>
      <c r="F4288">
        <v>7</v>
      </c>
      <c r="G4288" t="s">
        <v>59</v>
      </c>
      <c r="H4288" t="s">
        <v>46</v>
      </c>
      <c r="I4288" t="s">
        <v>2194</v>
      </c>
      <c r="J4288" s="10">
        <v>6</v>
      </c>
      <c r="K4288" t="b">
        <v>1</v>
      </c>
    </row>
    <row r="4289" spans="1:11">
      <c r="A4289" s="12">
        <v>42176</v>
      </c>
      <c r="B4289">
        <v>2015</v>
      </c>
      <c r="C4289">
        <v>6</v>
      </c>
      <c r="D4289" s="11">
        <v>42156</v>
      </c>
      <c r="E4289" t="s">
        <v>2178</v>
      </c>
      <c r="F4289">
        <v>7</v>
      </c>
      <c r="G4289" t="s">
        <v>59</v>
      </c>
      <c r="H4289" t="s">
        <v>47</v>
      </c>
      <c r="I4289" t="s">
        <v>2195</v>
      </c>
      <c r="J4289" s="10">
        <v>2</v>
      </c>
      <c r="K4289" t="b">
        <v>1</v>
      </c>
    </row>
    <row r="4290" spans="1:11">
      <c r="A4290" s="12">
        <v>42177</v>
      </c>
      <c r="B4290">
        <v>2015</v>
      </c>
      <c r="C4290">
        <v>6</v>
      </c>
      <c r="D4290" s="11">
        <v>42156</v>
      </c>
      <c r="E4290" t="s">
        <v>2178</v>
      </c>
      <c r="F4290">
        <v>1</v>
      </c>
      <c r="G4290" t="s">
        <v>61</v>
      </c>
      <c r="H4290" t="s">
        <v>40</v>
      </c>
      <c r="I4290" t="s">
        <v>2188</v>
      </c>
      <c r="J4290" s="10">
        <v>5.17</v>
      </c>
      <c r="K4290" t="b">
        <v>1</v>
      </c>
    </row>
    <row r="4291" spans="1:11">
      <c r="A4291" s="12">
        <v>42177</v>
      </c>
      <c r="B4291">
        <v>2015</v>
      </c>
      <c r="C4291">
        <v>6</v>
      </c>
      <c r="D4291" s="11">
        <v>42156</v>
      </c>
      <c r="E4291" t="s">
        <v>2178</v>
      </c>
      <c r="F4291">
        <v>1</v>
      </c>
      <c r="G4291" t="s">
        <v>61</v>
      </c>
      <c r="H4291" t="s">
        <v>41</v>
      </c>
      <c r="I4291" t="s">
        <v>2189</v>
      </c>
      <c r="J4291" s="10">
        <v>6.99</v>
      </c>
      <c r="K4291" t="b">
        <v>1</v>
      </c>
    </row>
    <row r="4292" spans="1:11">
      <c r="A4292" s="12">
        <v>42177</v>
      </c>
      <c r="B4292">
        <v>2015</v>
      </c>
      <c r="C4292">
        <v>6</v>
      </c>
      <c r="D4292" s="11">
        <v>42156</v>
      </c>
      <c r="E4292" t="s">
        <v>2178</v>
      </c>
      <c r="F4292">
        <v>1</v>
      </c>
      <c r="G4292" t="s">
        <v>61</v>
      </c>
      <c r="H4292" t="s">
        <v>42</v>
      </c>
      <c r="I4292" t="s">
        <v>2190</v>
      </c>
      <c r="J4292" s="10">
        <v>9.6</v>
      </c>
      <c r="K4292" t="b">
        <v>1</v>
      </c>
    </row>
    <row r="4293" spans="1:11">
      <c r="A4293" s="12">
        <v>42177</v>
      </c>
      <c r="B4293">
        <v>2015</v>
      </c>
      <c r="C4293">
        <v>6</v>
      </c>
      <c r="D4293" s="11">
        <v>42156</v>
      </c>
      <c r="E4293" t="s">
        <v>2178</v>
      </c>
      <c r="F4293">
        <v>1</v>
      </c>
      <c r="G4293" t="s">
        <v>61</v>
      </c>
      <c r="H4293" t="s">
        <v>43</v>
      </c>
      <c r="I4293" t="s">
        <v>2191</v>
      </c>
      <c r="J4293" s="10">
        <v>29.062</v>
      </c>
      <c r="K4293" t="b">
        <v>1</v>
      </c>
    </row>
    <row r="4294" spans="1:11">
      <c r="A4294" s="12">
        <v>42177</v>
      </c>
      <c r="B4294">
        <v>2015</v>
      </c>
      <c r="C4294">
        <v>6</v>
      </c>
      <c r="D4294" s="11">
        <v>42156</v>
      </c>
      <c r="E4294" t="s">
        <v>2178</v>
      </c>
      <c r="F4294">
        <v>1</v>
      </c>
      <c r="G4294" t="s">
        <v>61</v>
      </c>
      <c r="H4294" t="s">
        <v>44</v>
      </c>
      <c r="I4294" t="s">
        <v>2192</v>
      </c>
      <c r="J4294" s="10">
        <v>0</v>
      </c>
      <c r="K4294" t="b">
        <v>1</v>
      </c>
    </row>
    <row r="4295" spans="1:11">
      <c r="A4295" s="12">
        <v>42177</v>
      </c>
      <c r="B4295">
        <v>2015</v>
      </c>
      <c r="C4295">
        <v>6</v>
      </c>
      <c r="D4295" s="11">
        <v>42156</v>
      </c>
      <c r="E4295" t="s">
        <v>2178</v>
      </c>
      <c r="F4295">
        <v>1</v>
      </c>
      <c r="G4295" t="s">
        <v>61</v>
      </c>
      <c r="H4295" t="s">
        <v>45</v>
      </c>
      <c r="I4295" t="s">
        <v>2193</v>
      </c>
      <c r="J4295" s="10">
        <v>0</v>
      </c>
      <c r="K4295" t="b">
        <v>1</v>
      </c>
    </row>
    <row r="4296" spans="1:11">
      <c r="A4296" s="12">
        <v>42177</v>
      </c>
      <c r="B4296">
        <v>2015</v>
      </c>
      <c r="C4296">
        <v>6</v>
      </c>
      <c r="D4296" s="11">
        <v>42156</v>
      </c>
      <c r="E4296" t="s">
        <v>2178</v>
      </c>
      <c r="F4296">
        <v>1</v>
      </c>
      <c r="G4296" t="s">
        <v>61</v>
      </c>
      <c r="H4296" t="s">
        <v>46</v>
      </c>
      <c r="I4296" t="s">
        <v>2194</v>
      </c>
      <c r="J4296" s="10">
        <v>1</v>
      </c>
      <c r="K4296" t="b">
        <v>1</v>
      </c>
    </row>
    <row r="4297" spans="1:11">
      <c r="A4297" s="12">
        <v>42177</v>
      </c>
      <c r="B4297">
        <v>2015</v>
      </c>
      <c r="C4297">
        <v>6</v>
      </c>
      <c r="D4297" s="11">
        <v>42156</v>
      </c>
      <c r="E4297" t="s">
        <v>2178</v>
      </c>
      <c r="F4297">
        <v>1</v>
      </c>
      <c r="G4297" t="s">
        <v>61</v>
      </c>
      <c r="H4297" t="s">
        <v>47</v>
      </c>
      <c r="I4297" t="s">
        <v>2195</v>
      </c>
      <c r="J4297" s="10">
        <v>5</v>
      </c>
      <c r="K4297" t="b">
        <v>1</v>
      </c>
    </row>
    <row r="4298" spans="1:11">
      <c r="A4298" s="12">
        <v>42178</v>
      </c>
      <c r="B4298">
        <v>2015</v>
      </c>
      <c r="C4298">
        <v>6</v>
      </c>
      <c r="D4298" s="11">
        <v>42156</v>
      </c>
      <c r="E4298" t="s">
        <v>2178</v>
      </c>
      <c r="F4298">
        <v>2</v>
      </c>
      <c r="G4298" t="s">
        <v>63</v>
      </c>
      <c r="H4298" t="s">
        <v>40</v>
      </c>
      <c r="I4298" t="s">
        <v>2188</v>
      </c>
      <c r="J4298" s="10">
        <v>4.67</v>
      </c>
      <c r="K4298" t="b">
        <v>1</v>
      </c>
    </row>
    <row r="4299" spans="1:11">
      <c r="A4299" s="12">
        <v>42178</v>
      </c>
      <c r="B4299">
        <v>2015</v>
      </c>
      <c r="C4299">
        <v>6</v>
      </c>
      <c r="D4299" s="11">
        <v>42156</v>
      </c>
      <c r="E4299" t="s">
        <v>2178</v>
      </c>
      <c r="F4299">
        <v>2</v>
      </c>
      <c r="G4299" t="s">
        <v>63</v>
      </c>
      <c r="H4299" t="s">
        <v>41</v>
      </c>
      <c r="I4299" t="s">
        <v>2189</v>
      </c>
      <c r="J4299" s="10">
        <v>5.67</v>
      </c>
      <c r="K4299" t="b">
        <v>1</v>
      </c>
    </row>
    <row r="4300" spans="1:11">
      <c r="A4300" s="12">
        <v>42178</v>
      </c>
      <c r="B4300">
        <v>2015</v>
      </c>
      <c r="C4300">
        <v>6</v>
      </c>
      <c r="D4300" s="11">
        <v>42156</v>
      </c>
      <c r="E4300" t="s">
        <v>2178</v>
      </c>
      <c r="F4300">
        <v>2</v>
      </c>
      <c r="G4300" t="s">
        <v>63</v>
      </c>
      <c r="H4300" t="s">
        <v>42</v>
      </c>
      <c r="I4300" t="s">
        <v>2190</v>
      </c>
      <c r="J4300" s="10">
        <v>3.5</v>
      </c>
      <c r="K4300" t="b">
        <v>1</v>
      </c>
    </row>
    <row r="4301" spans="1:11">
      <c r="A4301" s="12">
        <v>42178</v>
      </c>
      <c r="B4301">
        <v>2015</v>
      </c>
      <c r="C4301">
        <v>6</v>
      </c>
      <c r="D4301" s="11">
        <v>42156</v>
      </c>
      <c r="E4301" t="s">
        <v>2178</v>
      </c>
      <c r="F4301">
        <v>2</v>
      </c>
      <c r="G4301" t="s">
        <v>63</v>
      </c>
      <c r="H4301" t="s">
        <v>43</v>
      </c>
      <c r="I4301" t="s">
        <v>2191</v>
      </c>
      <c r="J4301" s="10">
        <v>19</v>
      </c>
      <c r="K4301" t="b">
        <v>1</v>
      </c>
    </row>
    <row r="4302" spans="1:11">
      <c r="A4302" s="12">
        <v>42178</v>
      </c>
      <c r="B4302">
        <v>2015</v>
      </c>
      <c r="C4302">
        <v>6</v>
      </c>
      <c r="D4302" s="11">
        <v>42156</v>
      </c>
      <c r="E4302" t="s">
        <v>2178</v>
      </c>
      <c r="F4302">
        <v>2</v>
      </c>
      <c r="G4302" t="s">
        <v>63</v>
      </c>
      <c r="H4302" t="s">
        <v>44</v>
      </c>
      <c r="I4302" t="s">
        <v>2192</v>
      </c>
      <c r="J4302" s="10">
        <v>7</v>
      </c>
      <c r="K4302" t="b">
        <v>1</v>
      </c>
    </row>
    <row r="4303" spans="1:11">
      <c r="A4303" s="12">
        <v>42178</v>
      </c>
      <c r="B4303">
        <v>2015</v>
      </c>
      <c r="C4303">
        <v>6</v>
      </c>
      <c r="D4303" s="11">
        <v>42156</v>
      </c>
      <c r="E4303" t="s">
        <v>2178</v>
      </c>
      <c r="F4303">
        <v>2</v>
      </c>
      <c r="G4303" t="s">
        <v>63</v>
      </c>
      <c r="H4303" t="s">
        <v>45</v>
      </c>
      <c r="I4303" t="s">
        <v>2193</v>
      </c>
      <c r="J4303" s="10">
        <v>0</v>
      </c>
      <c r="K4303" t="b">
        <v>1</v>
      </c>
    </row>
    <row r="4304" spans="1:11">
      <c r="A4304" s="12">
        <v>42178</v>
      </c>
      <c r="B4304">
        <v>2015</v>
      </c>
      <c r="C4304">
        <v>6</v>
      </c>
      <c r="D4304" s="11">
        <v>42156</v>
      </c>
      <c r="E4304" t="s">
        <v>2178</v>
      </c>
      <c r="F4304">
        <v>2</v>
      </c>
      <c r="G4304" t="s">
        <v>63</v>
      </c>
      <c r="H4304" t="s">
        <v>46</v>
      </c>
      <c r="I4304" t="s">
        <v>2194</v>
      </c>
      <c r="J4304" s="10">
        <v>5</v>
      </c>
      <c r="K4304" t="b">
        <v>1</v>
      </c>
    </row>
    <row r="4305" spans="1:11">
      <c r="A4305" s="12">
        <v>42178</v>
      </c>
      <c r="B4305">
        <v>2015</v>
      </c>
      <c r="C4305">
        <v>6</v>
      </c>
      <c r="D4305" s="11">
        <v>42156</v>
      </c>
      <c r="E4305" t="s">
        <v>2178</v>
      </c>
      <c r="F4305">
        <v>2</v>
      </c>
      <c r="G4305" t="s">
        <v>63</v>
      </c>
      <c r="H4305" t="s">
        <v>47</v>
      </c>
      <c r="I4305" t="s">
        <v>2195</v>
      </c>
      <c r="J4305" s="10">
        <v>5</v>
      </c>
      <c r="K4305" t="b">
        <v>1</v>
      </c>
    </row>
    <row r="4306" spans="1:11">
      <c r="A4306" s="12">
        <v>42179</v>
      </c>
      <c r="B4306">
        <v>2015</v>
      </c>
      <c r="C4306">
        <v>6</v>
      </c>
      <c r="D4306" s="11">
        <v>42156</v>
      </c>
      <c r="E4306" t="s">
        <v>2178</v>
      </c>
      <c r="F4306">
        <v>3</v>
      </c>
      <c r="G4306" t="s">
        <v>65</v>
      </c>
      <c r="H4306" t="s">
        <v>40</v>
      </c>
      <c r="I4306" t="s">
        <v>2188</v>
      </c>
      <c r="J4306" s="10">
        <v>3.83</v>
      </c>
      <c r="K4306" t="b">
        <v>1</v>
      </c>
    </row>
    <row r="4307" spans="1:11">
      <c r="A4307" s="12">
        <v>42179</v>
      </c>
      <c r="B4307">
        <v>2015</v>
      </c>
      <c r="C4307">
        <v>6</v>
      </c>
      <c r="D4307" s="11">
        <v>42156</v>
      </c>
      <c r="E4307" t="s">
        <v>2178</v>
      </c>
      <c r="F4307">
        <v>3</v>
      </c>
      <c r="G4307" t="s">
        <v>65</v>
      </c>
      <c r="H4307" t="s">
        <v>41</v>
      </c>
      <c r="I4307" t="s">
        <v>2189</v>
      </c>
      <c r="J4307" s="10">
        <v>4</v>
      </c>
      <c r="K4307" t="b">
        <v>1</v>
      </c>
    </row>
    <row r="4308" spans="1:11">
      <c r="A4308" s="12">
        <v>42179</v>
      </c>
      <c r="B4308">
        <v>2015</v>
      </c>
      <c r="C4308">
        <v>6</v>
      </c>
      <c r="D4308" s="11">
        <v>42156</v>
      </c>
      <c r="E4308" t="s">
        <v>2178</v>
      </c>
      <c r="F4308">
        <v>3</v>
      </c>
      <c r="G4308" t="s">
        <v>65</v>
      </c>
      <c r="H4308" t="s">
        <v>42</v>
      </c>
      <c r="I4308" t="s">
        <v>2190</v>
      </c>
      <c r="J4308" s="10">
        <v>7</v>
      </c>
      <c r="K4308" t="b">
        <v>1</v>
      </c>
    </row>
    <row r="4309" spans="1:11">
      <c r="A4309" s="12">
        <v>42179</v>
      </c>
      <c r="B4309">
        <v>2015</v>
      </c>
      <c r="C4309">
        <v>6</v>
      </c>
      <c r="D4309" s="11">
        <v>42156</v>
      </c>
      <c r="E4309" t="s">
        <v>2178</v>
      </c>
      <c r="F4309">
        <v>3</v>
      </c>
      <c r="G4309" t="s">
        <v>65</v>
      </c>
      <c r="H4309" t="s">
        <v>43</v>
      </c>
      <c r="I4309" t="s">
        <v>2191</v>
      </c>
      <c r="J4309" s="10">
        <v>23.8</v>
      </c>
      <c r="K4309" t="b">
        <v>1</v>
      </c>
    </row>
    <row r="4310" spans="1:11">
      <c r="A4310" s="12">
        <v>42179</v>
      </c>
      <c r="B4310">
        <v>2015</v>
      </c>
      <c r="C4310">
        <v>6</v>
      </c>
      <c r="D4310" s="11">
        <v>42156</v>
      </c>
      <c r="E4310" t="s">
        <v>2178</v>
      </c>
      <c r="F4310">
        <v>3</v>
      </c>
      <c r="G4310" t="s">
        <v>65</v>
      </c>
      <c r="H4310" t="s">
        <v>44</v>
      </c>
      <c r="I4310" t="s">
        <v>2192</v>
      </c>
      <c r="J4310" s="10">
        <v>5</v>
      </c>
      <c r="K4310" t="b">
        <v>1</v>
      </c>
    </row>
    <row r="4311" spans="1:11">
      <c r="A4311" s="12">
        <v>42179</v>
      </c>
      <c r="B4311">
        <v>2015</v>
      </c>
      <c r="C4311">
        <v>6</v>
      </c>
      <c r="D4311" s="11">
        <v>42156</v>
      </c>
      <c r="E4311" t="s">
        <v>2178</v>
      </c>
      <c r="F4311">
        <v>3</v>
      </c>
      <c r="G4311" t="s">
        <v>65</v>
      </c>
      <c r="H4311" t="s">
        <v>45</v>
      </c>
      <c r="I4311" t="s">
        <v>2193</v>
      </c>
      <c r="J4311" s="10">
        <v>1</v>
      </c>
      <c r="K4311" t="b">
        <v>1</v>
      </c>
    </row>
    <row r="4312" spans="1:11">
      <c r="A4312" s="12">
        <v>42179</v>
      </c>
      <c r="B4312">
        <v>2015</v>
      </c>
      <c r="C4312">
        <v>6</v>
      </c>
      <c r="D4312" s="11">
        <v>42156</v>
      </c>
      <c r="E4312" t="s">
        <v>2178</v>
      </c>
      <c r="F4312">
        <v>3</v>
      </c>
      <c r="G4312" t="s">
        <v>65</v>
      </c>
      <c r="H4312" t="s">
        <v>46</v>
      </c>
      <c r="I4312" t="s">
        <v>2194</v>
      </c>
      <c r="J4312" s="10">
        <v>4</v>
      </c>
      <c r="K4312" t="b">
        <v>1</v>
      </c>
    </row>
    <row r="4313" spans="1:11">
      <c r="A4313" s="12">
        <v>42179</v>
      </c>
      <c r="B4313">
        <v>2015</v>
      </c>
      <c r="C4313">
        <v>6</v>
      </c>
      <c r="D4313" s="11">
        <v>42156</v>
      </c>
      <c r="E4313" t="s">
        <v>2178</v>
      </c>
      <c r="F4313">
        <v>3</v>
      </c>
      <c r="G4313" t="s">
        <v>65</v>
      </c>
      <c r="H4313" t="s">
        <v>47</v>
      </c>
      <c r="I4313" t="s">
        <v>2195</v>
      </c>
      <c r="J4313" s="10">
        <v>3</v>
      </c>
      <c r="K4313" t="b">
        <v>1</v>
      </c>
    </row>
    <row r="4314" spans="1:11">
      <c r="A4314" s="12">
        <v>42180</v>
      </c>
      <c r="B4314">
        <v>2015</v>
      </c>
      <c r="C4314">
        <v>6</v>
      </c>
      <c r="D4314" s="11">
        <v>42156</v>
      </c>
      <c r="E4314" t="s">
        <v>2178</v>
      </c>
      <c r="F4314">
        <v>4</v>
      </c>
      <c r="G4314" t="s">
        <v>53</v>
      </c>
      <c r="H4314" t="s">
        <v>40</v>
      </c>
      <c r="I4314" t="s">
        <v>2188</v>
      </c>
      <c r="J4314" s="10">
        <v>6.33</v>
      </c>
      <c r="K4314" t="b">
        <v>1</v>
      </c>
    </row>
    <row r="4315" spans="1:11">
      <c r="A4315" s="12">
        <v>42180</v>
      </c>
      <c r="B4315">
        <v>2015</v>
      </c>
      <c r="C4315">
        <v>6</v>
      </c>
      <c r="D4315" s="11">
        <v>42156</v>
      </c>
      <c r="E4315" t="s">
        <v>2178</v>
      </c>
      <c r="F4315">
        <v>4</v>
      </c>
      <c r="G4315" t="s">
        <v>53</v>
      </c>
      <c r="H4315" t="s">
        <v>41</v>
      </c>
      <c r="I4315" t="s">
        <v>2189</v>
      </c>
      <c r="J4315" s="10">
        <v>4.34</v>
      </c>
      <c r="K4315" t="b">
        <v>1</v>
      </c>
    </row>
    <row r="4316" spans="1:11">
      <c r="A4316" s="12">
        <v>42180</v>
      </c>
      <c r="B4316">
        <v>2015</v>
      </c>
      <c r="C4316">
        <v>6</v>
      </c>
      <c r="D4316" s="11">
        <v>42156</v>
      </c>
      <c r="E4316" t="s">
        <v>2178</v>
      </c>
      <c r="F4316">
        <v>4</v>
      </c>
      <c r="G4316" t="s">
        <v>53</v>
      </c>
      <c r="H4316" t="s">
        <v>42</v>
      </c>
      <c r="I4316" t="s">
        <v>2190</v>
      </c>
      <c r="J4316" s="10">
        <v>6</v>
      </c>
      <c r="K4316" t="b">
        <v>1</v>
      </c>
    </row>
    <row r="4317" spans="1:11">
      <c r="A4317" s="12">
        <v>42180</v>
      </c>
      <c r="B4317">
        <v>2015</v>
      </c>
      <c r="C4317">
        <v>6</v>
      </c>
      <c r="D4317" s="11">
        <v>42156</v>
      </c>
      <c r="E4317" t="s">
        <v>2178</v>
      </c>
      <c r="F4317">
        <v>4</v>
      </c>
      <c r="G4317" t="s">
        <v>53</v>
      </c>
      <c r="H4317" t="s">
        <v>43</v>
      </c>
      <c r="I4317" t="s">
        <v>2191</v>
      </c>
      <c r="J4317" s="10">
        <v>24.125</v>
      </c>
      <c r="K4317" t="b">
        <v>1</v>
      </c>
    </row>
    <row r="4318" spans="1:11">
      <c r="A4318" s="12">
        <v>42180</v>
      </c>
      <c r="B4318">
        <v>2015</v>
      </c>
      <c r="C4318">
        <v>6</v>
      </c>
      <c r="D4318" s="11">
        <v>42156</v>
      </c>
      <c r="E4318" t="s">
        <v>2178</v>
      </c>
      <c r="F4318">
        <v>4</v>
      </c>
      <c r="G4318" t="s">
        <v>53</v>
      </c>
      <c r="H4318" t="s">
        <v>44</v>
      </c>
      <c r="I4318" t="s">
        <v>2192</v>
      </c>
      <c r="J4318" s="10">
        <v>4</v>
      </c>
      <c r="K4318" t="b">
        <v>1</v>
      </c>
    </row>
    <row r="4319" spans="1:11">
      <c r="A4319" s="12">
        <v>42180</v>
      </c>
      <c r="B4319">
        <v>2015</v>
      </c>
      <c r="C4319">
        <v>6</v>
      </c>
      <c r="D4319" s="11">
        <v>42156</v>
      </c>
      <c r="E4319" t="s">
        <v>2178</v>
      </c>
      <c r="F4319">
        <v>4</v>
      </c>
      <c r="G4319" t="s">
        <v>53</v>
      </c>
      <c r="H4319" t="s">
        <v>45</v>
      </c>
      <c r="I4319" t="s">
        <v>2193</v>
      </c>
      <c r="J4319" s="10">
        <v>0</v>
      </c>
      <c r="K4319" t="b">
        <v>1</v>
      </c>
    </row>
    <row r="4320" spans="1:11">
      <c r="A4320" s="12">
        <v>42180</v>
      </c>
      <c r="B4320">
        <v>2015</v>
      </c>
      <c r="C4320">
        <v>6</v>
      </c>
      <c r="D4320" s="11">
        <v>42156</v>
      </c>
      <c r="E4320" t="s">
        <v>2178</v>
      </c>
      <c r="F4320">
        <v>4</v>
      </c>
      <c r="G4320" t="s">
        <v>53</v>
      </c>
      <c r="H4320" t="s">
        <v>46</v>
      </c>
      <c r="I4320" t="s">
        <v>2194</v>
      </c>
      <c r="J4320" s="10">
        <v>0</v>
      </c>
      <c r="K4320" t="b">
        <v>1</v>
      </c>
    </row>
    <row r="4321" spans="1:11">
      <c r="A4321" s="12">
        <v>42180</v>
      </c>
      <c r="B4321">
        <v>2015</v>
      </c>
      <c r="C4321">
        <v>6</v>
      </c>
      <c r="D4321" s="11">
        <v>42156</v>
      </c>
      <c r="E4321" t="s">
        <v>2178</v>
      </c>
      <c r="F4321">
        <v>4</v>
      </c>
      <c r="G4321" t="s">
        <v>53</v>
      </c>
      <c r="H4321" t="s">
        <v>47</v>
      </c>
      <c r="I4321" t="s">
        <v>2195</v>
      </c>
      <c r="J4321" s="10">
        <v>3</v>
      </c>
      <c r="K4321" t="b">
        <v>1</v>
      </c>
    </row>
    <row r="4322" spans="1:11">
      <c r="A4322" s="12">
        <v>42181</v>
      </c>
      <c r="B4322">
        <v>2015</v>
      </c>
      <c r="C4322">
        <v>6</v>
      </c>
      <c r="D4322" s="11">
        <v>42156</v>
      </c>
      <c r="E4322" t="s">
        <v>2178</v>
      </c>
      <c r="F4322">
        <v>5</v>
      </c>
      <c r="G4322" t="s">
        <v>55</v>
      </c>
      <c r="H4322" t="s">
        <v>40</v>
      </c>
      <c r="I4322" t="s">
        <v>2188</v>
      </c>
      <c r="J4322" s="10">
        <v>7.17</v>
      </c>
      <c r="K4322" t="b">
        <v>1</v>
      </c>
    </row>
    <row r="4323" spans="1:11">
      <c r="A4323" s="12">
        <v>42181</v>
      </c>
      <c r="B4323">
        <v>2015</v>
      </c>
      <c r="C4323">
        <v>6</v>
      </c>
      <c r="D4323" s="11">
        <v>42156</v>
      </c>
      <c r="E4323" t="s">
        <v>2178</v>
      </c>
      <c r="F4323">
        <v>5</v>
      </c>
      <c r="G4323" t="s">
        <v>55</v>
      </c>
      <c r="H4323" t="s">
        <v>41</v>
      </c>
      <c r="I4323" t="s">
        <v>2189</v>
      </c>
      <c r="J4323" s="10">
        <v>0.33</v>
      </c>
      <c r="K4323" t="b">
        <v>1</v>
      </c>
    </row>
    <row r="4324" spans="1:11">
      <c r="A4324" s="12">
        <v>42181</v>
      </c>
      <c r="B4324">
        <v>2015</v>
      </c>
      <c r="C4324">
        <v>6</v>
      </c>
      <c r="D4324" s="11">
        <v>42156</v>
      </c>
      <c r="E4324" t="s">
        <v>2178</v>
      </c>
      <c r="F4324">
        <v>5</v>
      </c>
      <c r="G4324" t="s">
        <v>55</v>
      </c>
      <c r="H4324" t="s">
        <v>42</v>
      </c>
      <c r="I4324" t="s">
        <v>2190</v>
      </c>
      <c r="J4324" s="10">
        <v>2</v>
      </c>
      <c r="K4324" t="b">
        <v>1</v>
      </c>
    </row>
    <row r="4325" spans="1:11">
      <c r="A4325" s="12">
        <v>42181</v>
      </c>
      <c r="B4325">
        <v>2015</v>
      </c>
      <c r="C4325">
        <v>6</v>
      </c>
      <c r="D4325" s="11">
        <v>42156</v>
      </c>
      <c r="E4325" t="s">
        <v>2178</v>
      </c>
      <c r="F4325">
        <v>5</v>
      </c>
      <c r="G4325" t="s">
        <v>55</v>
      </c>
      <c r="H4325" t="s">
        <v>43</v>
      </c>
      <c r="I4325" t="s">
        <v>2191</v>
      </c>
      <c r="J4325" s="10">
        <v>29</v>
      </c>
      <c r="K4325" t="b">
        <v>1</v>
      </c>
    </row>
    <row r="4326" spans="1:11">
      <c r="A4326" s="12">
        <v>42181</v>
      </c>
      <c r="B4326">
        <v>2015</v>
      </c>
      <c r="C4326">
        <v>6</v>
      </c>
      <c r="D4326" s="11">
        <v>42156</v>
      </c>
      <c r="E4326" t="s">
        <v>2178</v>
      </c>
      <c r="F4326">
        <v>5</v>
      </c>
      <c r="G4326" t="s">
        <v>55</v>
      </c>
      <c r="H4326" t="s">
        <v>44</v>
      </c>
      <c r="I4326" t="s">
        <v>2192</v>
      </c>
      <c r="J4326" s="10">
        <v>3</v>
      </c>
      <c r="K4326" t="b">
        <v>1</v>
      </c>
    </row>
    <row r="4327" spans="1:11">
      <c r="A4327" s="12">
        <v>42181</v>
      </c>
      <c r="B4327">
        <v>2015</v>
      </c>
      <c r="C4327">
        <v>6</v>
      </c>
      <c r="D4327" s="11">
        <v>42156</v>
      </c>
      <c r="E4327" t="s">
        <v>2178</v>
      </c>
      <c r="F4327">
        <v>5</v>
      </c>
      <c r="G4327" t="s">
        <v>55</v>
      </c>
      <c r="H4327" t="s">
        <v>45</v>
      </c>
      <c r="I4327" t="s">
        <v>2193</v>
      </c>
      <c r="J4327" s="10">
        <v>0</v>
      </c>
      <c r="K4327" t="b">
        <v>1</v>
      </c>
    </row>
    <row r="4328" spans="1:11">
      <c r="A4328" s="12">
        <v>42181</v>
      </c>
      <c r="B4328">
        <v>2015</v>
      </c>
      <c r="C4328">
        <v>6</v>
      </c>
      <c r="D4328" s="11">
        <v>42156</v>
      </c>
      <c r="E4328" t="s">
        <v>2178</v>
      </c>
      <c r="F4328">
        <v>5</v>
      </c>
      <c r="G4328" t="s">
        <v>55</v>
      </c>
      <c r="H4328" t="s">
        <v>46</v>
      </c>
      <c r="I4328" t="s">
        <v>2194</v>
      </c>
      <c r="J4328" s="10">
        <v>1</v>
      </c>
      <c r="K4328" t="b">
        <v>1</v>
      </c>
    </row>
    <row r="4329" spans="1:11">
      <c r="A4329" s="12">
        <v>42181</v>
      </c>
      <c r="B4329">
        <v>2015</v>
      </c>
      <c r="C4329">
        <v>6</v>
      </c>
      <c r="D4329" s="11">
        <v>42156</v>
      </c>
      <c r="E4329" t="s">
        <v>2178</v>
      </c>
      <c r="F4329">
        <v>5</v>
      </c>
      <c r="G4329" t="s">
        <v>55</v>
      </c>
      <c r="H4329" t="s">
        <v>47</v>
      </c>
      <c r="I4329" t="s">
        <v>2195</v>
      </c>
      <c r="J4329" s="10">
        <v>4</v>
      </c>
      <c r="K4329" t="b">
        <v>1</v>
      </c>
    </row>
    <row r="4330" spans="1:11">
      <c r="A4330" s="12">
        <v>42182</v>
      </c>
      <c r="B4330">
        <v>2015</v>
      </c>
      <c r="C4330">
        <v>6</v>
      </c>
      <c r="D4330" s="11">
        <v>42156</v>
      </c>
      <c r="E4330" t="s">
        <v>2178</v>
      </c>
      <c r="F4330">
        <v>6</v>
      </c>
      <c r="G4330" t="s">
        <v>57</v>
      </c>
      <c r="H4330" t="s">
        <v>40</v>
      </c>
      <c r="I4330" t="s">
        <v>2188</v>
      </c>
      <c r="J4330" s="10">
        <v>7.33</v>
      </c>
      <c r="K4330" t="b">
        <v>1</v>
      </c>
    </row>
    <row r="4331" spans="1:11">
      <c r="A4331" s="12">
        <v>42182</v>
      </c>
      <c r="B4331">
        <v>2015</v>
      </c>
      <c r="C4331">
        <v>6</v>
      </c>
      <c r="D4331" s="11">
        <v>42156</v>
      </c>
      <c r="E4331" t="s">
        <v>2178</v>
      </c>
      <c r="F4331">
        <v>6</v>
      </c>
      <c r="G4331" t="s">
        <v>57</v>
      </c>
      <c r="H4331" t="s">
        <v>41</v>
      </c>
      <c r="I4331" t="s">
        <v>2189</v>
      </c>
      <c r="J4331" s="10">
        <v>3.33</v>
      </c>
      <c r="K4331" t="b">
        <v>1</v>
      </c>
    </row>
    <row r="4332" spans="1:11">
      <c r="A4332" s="12">
        <v>42182</v>
      </c>
      <c r="B4332">
        <v>2015</v>
      </c>
      <c r="C4332">
        <v>6</v>
      </c>
      <c r="D4332" s="11">
        <v>42156</v>
      </c>
      <c r="E4332" t="s">
        <v>2178</v>
      </c>
      <c r="F4332">
        <v>6</v>
      </c>
      <c r="G4332" t="s">
        <v>57</v>
      </c>
      <c r="H4332" t="s">
        <v>42</v>
      </c>
      <c r="I4332" t="s">
        <v>2190</v>
      </c>
      <c r="J4332" s="10">
        <v>6</v>
      </c>
      <c r="K4332" t="b">
        <v>1</v>
      </c>
    </row>
    <row r="4333" spans="1:11">
      <c r="A4333" s="12">
        <v>42182</v>
      </c>
      <c r="B4333">
        <v>2015</v>
      </c>
      <c r="C4333">
        <v>6</v>
      </c>
      <c r="D4333" s="11">
        <v>42156</v>
      </c>
      <c r="E4333" t="s">
        <v>2178</v>
      </c>
      <c r="F4333">
        <v>6</v>
      </c>
      <c r="G4333" t="s">
        <v>57</v>
      </c>
      <c r="H4333" t="s">
        <v>43</v>
      </c>
      <c r="I4333" t="s">
        <v>2191</v>
      </c>
      <c r="J4333" s="10">
        <v>36</v>
      </c>
      <c r="K4333" t="b">
        <v>1</v>
      </c>
    </row>
    <row r="4334" spans="1:11">
      <c r="A4334" s="12">
        <v>42182</v>
      </c>
      <c r="B4334">
        <v>2015</v>
      </c>
      <c r="C4334">
        <v>6</v>
      </c>
      <c r="D4334" s="11">
        <v>42156</v>
      </c>
      <c r="E4334" t="s">
        <v>2178</v>
      </c>
      <c r="F4334">
        <v>6</v>
      </c>
      <c r="G4334" t="s">
        <v>57</v>
      </c>
      <c r="H4334" t="s">
        <v>44</v>
      </c>
      <c r="I4334" t="s">
        <v>2192</v>
      </c>
      <c r="J4334" s="10">
        <v>10</v>
      </c>
      <c r="K4334" t="b">
        <v>1</v>
      </c>
    </row>
    <row r="4335" spans="1:11">
      <c r="A4335" s="12">
        <v>42182</v>
      </c>
      <c r="B4335">
        <v>2015</v>
      </c>
      <c r="C4335">
        <v>6</v>
      </c>
      <c r="D4335" s="11">
        <v>42156</v>
      </c>
      <c r="E4335" t="s">
        <v>2178</v>
      </c>
      <c r="F4335">
        <v>6</v>
      </c>
      <c r="G4335" t="s">
        <v>57</v>
      </c>
      <c r="H4335" t="s">
        <v>45</v>
      </c>
      <c r="I4335" t="s">
        <v>2193</v>
      </c>
      <c r="J4335" s="10">
        <v>0</v>
      </c>
      <c r="K4335" t="b">
        <v>1</v>
      </c>
    </row>
    <row r="4336" spans="1:11">
      <c r="A4336" s="12">
        <v>42182</v>
      </c>
      <c r="B4336">
        <v>2015</v>
      </c>
      <c r="C4336">
        <v>6</v>
      </c>
      <c r="D4336" s="11">
        <v>42156</v>
      </c>
      <c r="E4336" t="s">
        <v>2178</v>
      </c>
      <c r="F4336">
        <v>6</v>
      </c>
      <c r="G4336" t="s">
        <v>57</v>
      </c>
      <c r="H4336" t="s">
        <v>46</v>
      </c>
      <c r="I4336" t="s">
        <v>2194</v>
      </c>
      <c r="J4336" s="10">
        <v>1</v>
      </c>
      <c r="K4336" t="b">
        <v>1</v>
      </c>
    </row>
    <row r="4337" spans="1:11">
      <c r="A4337" s="12">
        <v>42182</v>
      </c>
      <c r="B4337">
        <v>2015</v>
      </c>
      <c r="C4337">
        <v>6</v>
      </c>
      <c r="D4337" s="11">
        <v>42156</v>
      </c>
      <c r="E4337" t="s">
        <v>2178</v>
      </c>
      <c r="F4337">
        <v>6</v>
      </c>
      <c r="G4337" t="s">
        <v>57</v>
      </c>
      <c r="H4337" t="s">
        <v>47</v>
      </c>
      <c r="I4337" t="s">
        <v>2195</v>
      </c>
      <c r="J4337" s="10">
        <v>2</v>
      </c>
      <c r="K4337" t="b">
        <v>1</v>
      </c>
    </row>
    <row r="4338" spans="1:11">
      <c r="A4338" s="12">
        <v>42183</v>
      </c>
      <c r="B4338">
        <v>2015</v>
      </c>
      <c r="C4338">
        <v>6</v>
      </c>
      <c r="D4338" s="11">
        <v>42156</v>
      </c>
      <c r="E4338" t="s">
        <v>2178</v>
      </c>
      <c r="F4338">
        <v>7</v>
      </c>
      <c r="G4338" t="s">
        <v>59</v>
      </c>
      <c r="H4338" t="s">
        <v>40</v>
      </c>
      <c r="I4338" t="s">
        <v>2188</v>
      </c>
      <c r="J4338" s="10">
        <v>5.34</v>
      </c>
      <c r="K4338" t="b">
        <v>1</v>
      </c>
    </row>
    <row r="4339" spans="1:11">
      <c r="A4339" s="12">
        <v>42183</v>
      </c>
      <c r="B4339">
        <v>2015</v>
      </c>
      <c r="C4339">
        <v>6</v>
      </c>
      <c r="D4339" s="11">
        <v>42156</v>
      </c>
      <c r="E4339" t="s">
        <v>2178</v>
      </c>
      <c r="F4339">
        <v>7</v>
      </c>
      <c r="G4339" t="s">
        <v>59</v>
      </c>
      <c r="H4339" t="s">
        <v>41</v>
      </c>
      <c r="I4339" t="s">
        <v>2189</v>
      </c>
      <c r="J4339" s="10">
        <v>4.65</v>
      </c>
      <c r="K4339" t="b">
        <v>1</v>
      </c>
    </row>
    <row r="4340" spans="1:11">
      <c r="A4340" s="12">
        <v>42183</v>
      </c>
      <c r="B4340">
        <v>2015</v>
      </c>
      <c r="C4340">
        <v>6</v>
      </c>
      <c r="D4340" s="11">
        <v>42156</v>
      </c>
      <c r="E4340" t="s">
        <v>2178</v>
      </c>
      <c r="F4340">
        <v>7</v>
      </c>
      <c r="G4340" t="s">
        <v>59</v>
      </c>
      <c r="H4340" t="s">
        <v>42</v>
      </c>
      <c r="I4340" t="s">
        <v>2190</v>
      </c>
      <c r="J4340" s="10">
        <v>7.4</v>
      </c>
      <c r="K4340" t="b">
        <v>1</v>
      </c>
    </row>
    <row r="4341" spans="1:11">
      <c r="A4341" s="12">
        <v>42183</v>
      </c>
      <c r="B4341">
        <v>2015</v>
      </c>
      <c r="C4341">
        <v>6</v>
      </c>
      <c r="D4341" s="11">
        <v>42156</v>
      </c>
      <c r="E4341" t="s">
        <v>2178</v>
      </c>
      <c r="F4341">
        <v>7</v>
      </c>
      <c r="G4341" t="s">
        <v>59</v>
      </c>
      <c r="H4341" t="s">
        <v>43</v>
      </c>
      <c r="I4341" t="s">
        <v>2191</v>
      </c>
      <c r="J4341" s="10">
        <v>12</v>
      </c>
      <c r="K4341" t="b">
        <v>1</v>
      </c>
    </row>
    <row r="4342" spans="1:11">
      <c r="A4342" s="12">
        <v>42183</v>
      </c>
      <c r="B4342">
        <v>2015</v>
      </c>
      <c r="C4342">
        <v>6</v>
      </c>
      <c r="D4342" s="11">
        <v>42156</v>
      </c>
      <c r="E4342" t="s">
        <v>2178</v>
      </c>
      <c r="F4342">
        <v>7</v>
      </c>
      <c r="G4342" t="s">
        <v>59</v>
      </c>
      <c r="H4342" t="s">
        <v>44</v>
      </c>
      <c r="I4342" t="s">
        <v>2192</v>
      </c>
      <c r="J4342" s="10">
        <v>0</v>
      </c>
      <c r="K4342" t="b">
        <v>1</v>
      </c>
    </row>
    <row r="4343" spans="1:11">
      <c r="A4343" s="12">
        <v>42183</v>
      </c>
      <c r="B4343">
        <v>2015</v>
      </c>
      <c r="C4343">
        <v>6</v>
      </c>
      <c r="D4343" s="11">
        <v>42156</v>
      </c>
      <c r="E4343" t="s">
        <v>2178</v>
      </c>
      <c r="F4343">
        <v>7</v>
      </c>
      <c r="G4343" t="s">
        <v>59</v>
      </c>
      <c r="H4343" t="s">
        <v>45</v>
      </c>
      <c r="I4343" t="s">
        <v>2193</v>
      </c>
      <c r="J4343" s="10">
        <v>0</v>
      </c>
      <c r="K4343" t="b">
        <v>1</v>
      </c>
    </row>
    <row r="4344" spans="1:11">
      <c r="A4344" s="12">
        <v>42183</v>
      </c>
      <c r="B4344">
        <v>2015</v>
      </c>
      <c r="C4344">
        <v>6</v>
      </c>
      <c r="D4344" s="11">
        <v>42156</v>
      </c>
      <c r="E4344" t="s">
        <v>2178</v>
      </c>
      <c r="F4344">
        <v>7</v>
      </c>
      <c r="G4344" t="s">
        <v>59</v>
      </c>
      <c r="H4344" t="s">
        <v>46</v>
      </c>
      <c r="I4344" t="s">
        <v>2194</v>
      </c>
      <c r="J4344" s="10">
        <v>6</v>
      </c>
      <c r="K4344" t="b">
        <v>1</v>
      </c>
    </row>
    <row r="4345" spans="1:11">
      <c r="A4345" s="12">
        <v>42183</v>
      </c>
      <c r="B4345">
        <v>2015</v>
      </c>
      <c r="C4345">
        <v>6</v>
      </c>
      <c r="D4345" s="11">
        <v>42156</v>
      </c>
      <c r="E4345" t="s">
        <v>2178</v>
      </c>
      <c r="F4345">
        <v>7</v>
      </c>
      <c r="G4345" t="s">
        <v>59</v>
      </c>
      <c r="H4345" t="s">
        <v>47</v>
      </c>
      <c r="I4345" t="s">
        <v>2195</v>
      </c>
      <c r="J4345" s="10">
        <v>6</v>
      </c>
      <c r="K4345" t="b">
        <v>1</v>
      </c>
    </row>
    <row r="4346" spans="1:11">
      <c r="A4346" s="12">
        <v>42184</v>
      </c>
      <c r="B4346">
        <v>2015</v>
      </c>
      <c r="C4346">
        <v>6</v>
      </c>
      <c r="D4346" s="11">
        <v>42156</v>
      </c>
      <c r="E4346" t="s">
        <v>2178</v>
      </c>
      <c r="F4346">
        <v>1</v>
      </c>
      <c r="G4346" t="s">
        <v>61</v>
      </c>
      <c r="H4346" t="s">
        <v>40</v>
      </c>
      <c r="I4346" t="s">
        <v>2188</v>
      </c>
      <c r="J4346" s="10">
        <v>5.68</v>
      </c>
      <c r="K4346" t="b">
        <v>1</v>
      </c>
    </row>
    <row r="4347" spans="1:11">
      <c r="A4347" s="12">
        <v>42184</v>
      </c>
      <c r="B4347">
        <v>2015</v>
      </c>
      <c r="C4347">
        <v>6</v>
      </c>
      <c r="D4347" s="11">
        <v>42156</v>
      </c>
      <c r="E4347" t="s">
        <v>2178</v>
      </c>
      <c r="F4347">
        <v>1</v>
      </c>
      <c r="G4347" t="s">
        <v>61</v>
      </c>
      <c r="H4347" t="s">
        <v>41</v>
      </c>
      <c r="I4347" t="s">
        <v>2189</v>
      </c>
      <c r="J4347" s="10">
        <v>3.66</v>
      </c>
      <c r="K4347" t="b">
        <v>1</v>
      </c>
    </row>
    <row r="4348" spans="1:11">
      <c r="A4348" s="12">
        <v>42184</v>
      </c>
      <c r="B4348">
        <v>2015</v>
      </c>
      <c r="C4348">
        <v>6</v>
      </c>
      <c r="D4348" s="11">
        <v>42156</v>
      </c>
      <c r="E4348" t="s">
        <v>2178</v>
      </c>
      <c r="F4348">
        <v>1</v>
      </c>
      <c r="G4348" t="s">
        <v>61</v>
      </c>
      <c r="H4348" t="s">
        <v>42</v>
      </c>
      <c r="I4348" t="s">
        <v>2190</v>
      </c>
      <c r="J4348" s="10">
        <v>4</v>
      </c>
      <c r="K4348" t="b">
        <v>1</v>
      </c>
    </row>
    <row r="4349" spans="1:11">
      <c r="A4349" s="12">
        <v>42184</v>
      </c>
      <c r="B4349">
        <v>2015</v>
      </c>
      <c r="C4349">
        <v>6</v>
      </c>
      <c r="D4349" s="11">
        <v>42156</v>
      </c>
      <c r="E4349" t="s">
        <v>2178</v>
      </c>
      <c r="F4349">
        <v>1</v>
      </c>
      <c r="G4349" t="s">
        <v>61</v>
      </c>
      <c r="H4349" t="s">
        <v>43</v>
      </c>
      <c r="I4349" t="s">
        <v>2191</v>
      </c>
      <c r="J4349" s="10">
        <v>22</v>
      </c>
      <c r="K4349" t="b">
        <v>1</v>
      </c>
    </row>
    <row r="4350" spans="1:11">
      <c r="A4350" s="12">
        <v>42184</v>
      </c>
      <c r="B4350">
        <v>2015</v>
      </c>
      <c r="C4350">
        <v>6</v>
      </c>
      <c r="D4350" s="11">
        <v>42156</v>
      </c>
      <c r="E4350" t="s">
        <v>2178</v>
      </c>
      <c r="F4350">
        <v>1</v>
      </c>
      <c r="G4350" t="s">
        <v>61</v>
      </c>
      <c r="H4350" t="s">
        <v>44</v>
      </c>
      <c r="I4350" t="s">
        <v>2192</v>
      </c>
      <c r="J4350" s="10">
        <v>15</v>
      </c>
      <c r="K4350" t="b">
        <v>1</v>
      </c>
    </row>
    <row r="4351" spans="1:11">
      <c r="A4351" s="12">
        <v>42184</v>
      </c>
      <c r="B4351">
        <v>2015</v>
      </c>
      <c r="C4351">
        <v>6</v>
      </c>
      <c r="D4351" s="11">
        <v>42156</v>
      </c>
      <c r="E4351" t="s">
        <v>2178</v>
      </c>
      <c r="F4351">
        <v>1</v>
      </c>
      <c r="G4351" t="s">
        <v>61</v>
      </c>
      <c r="H4351" t="s">
        <v>45</v>
      </c>
      <c r="I4351" t="s">
        <v>2193</v>
      </c>
      <c r="J4351" s="10">
        <v>0</v>
      </c>
      <c r="K4351" t="b">
        <v>1</v>
      </c>
    </row>
    <row r="4352" spans="1:11">
      <c r="A4352" s="12">
        <v>42184</v>
      </c>
      <c r="B4352">
        <v>2015</v>
      </c>
      <c r="C4352">
        <v>6</v>
      </c>
      <c r="D4352" s="11">
        <v>42156</v>
      </c>
      <c r="E4352" t="s">
        <v>2178</v>
      </c>
      <c r="F4352">
        <v>1</v>
      </c>
      <c r="G4352" t="s">
        <v>61</v>
      </c>
      <c r="H4352" t="s">
        <v>46</v>
      </c>
      <c r="I4352" t="s">
        <v>2194</v>
      </c>
      <c r="J4352" s="10">
        <v>11</v>
      </c>
      <c r="K4352" t="b">
        <v>1</v>
      </c>
    </row>
    <row r="4353" spans="1:11">
      <c r="A4353" s="12">
        <v>42184</v>
      </c>
      <c r="B4353">
        <v>2015</v>
      </c>
      <c r="C4353">
        <v>6</v>
      </c>
      <c r="D4353" s="11">
        <v>42156</v>
      </c>
      <c r="E4353" t="s">
        <v>2178</v>
      </c>
      <c r="F4353">
        <v>1</v>
      </c>
      <c r="G4353" t="s">
        <v>61</v>
      </c>
      <c r="H4353" t="s">
        <v>47</v>
      </c>
      <c r="I4353" t="s">
        <v>2195</v>
      </c>
      <c r="J4353" s="10">
        <v>3</v>
      </c>
      <c r="K4353" t="b">
        <v>1</v>
      </c>
    </row>
    <row r="4354" spans="1:11">
      <c r="A4354" s="12">
        <v>42185</v>
      </c>
      <c r="B4354">
        <v>2015</v>
      </c>
      <c r="C4354">
        <v>6</v>
      </c>
      <c r="D4354" s="11">
        <v>42156</v>
      </c>
      <c r="E4354" t="s">
        <v>2178</v>
      </c>
      <c r="F4354">
        <v>2</v>
      </c>
      <c r="G4354" t="s">
        <v>63</v>
      </c>
      <c r="H4354" t="s">
        <v>40</v>
      </c>
      <c r="I4354" t="s">
        <v>2188</v>
      </c>
      <c r="J4354" s="10">
        <v>1</v>
      </c>
      <c r="K4354" t="b">
        <v>1</v>
      </c>
    </row>
    <row r="4355" spans="1:11">
      <c r="A4355" s="12">
        <v>42185</v>
      </c>
      <c r="B4355">
        <v>2015</v>
      </c>
      <c r="C4355">
        <v>6</v>
      </c>
      <c r="D4355" s="11">
        <v>42156</v>
      </c>
      <c r="E4355" t="s">
        <v>2178</v>
      </c>
      <c r="F4355">
        <v>2</v>
      </c>
      <c r="G4355" t="s">
        <v>63</v>
      </c>
      <c r="H4355" t="s">
        <v>41</v>
      </c>
      <c r="I4355" t="s">
        <v>2189</v>
      </c>
      <c r="J4355" s="10">
        <v>4.67</v>
      </c>
      <c r="K4355" t="b">
        <v>1</v>
      </c>
    </row>
    <row r="4356" spans="1:11">
      <c r="A4356" s="12">
        <v>42185</v>
      </c>
      <c r="B4356">
        <v>2015</v>
      </c>
      <c r="C4356">
        <v>6</v>
      </c>
      <c r="D4356" s="11">
        <v>42156</v>
      </c>
      <c r="E4356" t="s">
        <v>2178</v>
      </c>
      <c r="F4356">
        <v>2</v>
      </c>
      <c r="G4356" t="s">
        <v>63</v>
      </c>
      <c r="H4356" t="s">
        <v>42</v>
      </c>
      <c r="I4356" t="s">
        <v>2190</v>
      </c>
      <c r="J4356" s="10">
        <v>6</v>
      </c>
      <c r="K4356" t="b">
        <v>1</v>
      </c>
    </row>
    <row r="4357" spans="1:11">
      <c r="A4357" s="12">
        <v>42185</v>
      </c>
      <c r="B4357">
        <v>2015</v>
      </c>
      <c r="C4357">
        <v>6</v>
      </c>
      <c r="D4357" s="11">
        <v>42156</v>
      </c>
      <c r="E4357" t="s">
        <v>2178</v>
      </c>
      <c r="F4357">
        <v>2</v>
      </c>
      <c r="G4357" t="s">
        <v>63</v>
      </c>
      <c r="H4357" t="s">
        <v>43</v>
      </c>
      <c r="I4357" t="s">
        <v>2191</v>
      </c>
      <c r="J4357" s="10">
        <v>35</v>
      </c>
      <c r="K4357" t="b">
        <v>1</v>
      </c>
    </row>
    <row r="4358" spans="1:11">
      <c r="A4358" s="12">
        <v>42185</v>
      </c>
      <c r="B4358">
        <v>2015</v>
      </c>
      <c r="C4358">
        <v>6</v>
      </c>
      <c r="D4358" s="11">
        <v>42156</v>
      </c>
      <c r="E4358" t="s">
        <v>2178</v>
      </c>
      <c r="F4358">
        <v>2</v>
      </c>
      <c r="G4358" t="s">
        <v>63</v>
      </c>
      <c r="H4358" t="s">
        <v>44</v>
      </c>
      <c r="I4358" t="s">
        <v>2192</v>
      </c>
      <c r="J4358" s="10">
        <v>12</v>
      </c>
      <c r="K4358" t="b">
        <v>1</v>
      </c>
    </row>
    <row r="4359" spans="1:11">
      <c r="A4359" s="12">
        <v>42185</v>
      </c>
      <c r="B4359">
        <v>2015</v>
      </c>
      <c r="C4359">
        <v>6</v>
      </c>
      <c r="D4359" s="11">
        <v>42156</v>
      </c>
      <c r="E4359" t="s">
        <v>2178</v>
      </c>
      <c r="F4359">
        <v>2</v>
      </c>
      <c r="G4359" t="s">
        <v>63</v>
      </c>
      <c r="H4359" t="s">
        <v>45</v>
      </c>
      <c r="I4359" t="s">
        <v>2193</v>
      </c>
      <c r="J4359" s="10">
        <v>0</v>
      </c>
      <c r="K4359" t="b">
        <v>1</v>
      </c>
    </row>
    <row r="4360" spans="1:11">
      <c r="A4360" s="12">
        <v>42185</v>
      </c>
      <c r="B4360">
        <v>2015</v>
      </c>
      <c r="C4360">
        <v>6</v>
      </c>
      <c r="D4360" s="11">
        <v>42156</v>
      </c>
      <c r="E4360" t="s">
        <v>2178</v>
      </c>
      <c r="F4360">
        <v>2</v>
      </c>
      <c r="G4360" t="s">
        <v>63</v>
      </c>
      <c r="H4360" t="s">
        <v>46</v>
      </c>
      <c r="I4360" t="s">
        <v>2194</v>
      </c>
      <c r="J4360" s="10">
        <v>2</v>
      </c>
      <c r="K4360" t="b">
        <v>1</v>
      </c>
    </row>
    <row r="4361" spans="1:11">
      <c r="A4361" s="12">
        <v>42185</v>
      </c>
      <c r="B4361">
        <v>2015</v>
      </c>
      <c r="C4361">
        <v>6</v>
      </c>
      <c r="D4361" s="11">
        <v>42156</v>
      </c>
      <c r="E4361" t="s">
        <v>2178</v>
      </c>
      <c r="F4361">
        <v>2</v>
      </c>
      <c r="G4361" t="s">
        <v>63</v>
      </c>
      <c r="H4361" t="s">
        <v>47</v>
      </c>
      <c r="I4361" t="s">
        <v>2195</v>
      </c>
      <c r="J4361" s="10">
        <v>4.3</v>
      </c>
      <c r="K4361" t="b">
        <v>1</v>
      </c>
    </row>
    <row r="4362" spans="1:11">
      <c r="A4362" s="12">
        <v>42186</v>
      </c>
      <c r="B4362">
        <v>2015</v>
      </c>
      <c r="C4362">
        <v>7</v>
      </c>
      <c r="D4362" s="11">
        <v>42186</v>
      </c>
      <c r="E4362" t="s">
        <v>2179</v>
      </c>
      <c r="F4362">
        <v>3</v>
      </c>
      <c r="G4362" t="s">
        <v>65</v>
      </c>
      <c r="H4362" t="s">
        <v>40</v>
      </c>
      <c r="I4362" t="s">
        <v>2188</v>
      </c>
      <c r="J4362" s="10">
        <v>8.83</v>
      </c>
      <c r="K4362" t="b">
        <v>1</v>
      </c>
    </row>
    <row r="4363" spans="1:11">
      <c r="A4363" s="12">
        <v>42186</v>
      </c>
      <c r="B4363">
        <v>2015</v>
      </c>
      <c r="C4363">
        <v>7</v>
      </c>
      <c r="D4363" s="11">
        <v>42186</v>
      </c>
      <c r="E4363" t="s">
        <v>2179</v>
      </c>
      <c r="F4363">
        <v>3</v>
      </c>
      <c r="G4363" t="s">
        <v>65</v>
      </c>
      <c r="H4363" t="s">
        <v>41</v>
      </c>
      <c r="I4363" t="s">
        <v>2189</v>
      </c>
      <c r="J4363" s="10">
        <v>5.68</v>
      </c>
      <c r="K4363" t="b">
        <v>1</v>
      </c>
    </row>
    <row r="4364" spans="1:11">
      <c r="A4364" s="12">
        <v>42186</v>
      </c>
      <c r="B4364">
        <v>2015</v>
      </c>
      <c r="C4364">
        <v>7</v>
      </c>
      <c r="D4364" s="11">
        <v>42186</v>
      </c>
      <c r="E4364" t="s">
        <v>2179</v>
      </c>
      <c r="F4364">
        <v>3</v>
      </c>
      <c r="G4364" t="s">
        <v>65</v>
      </c>
      <c r="H4364" t="s">
        <v>42</v>
      </c>
      <c r="I4364" t="s">
        <v>2190</v>
      </c>
      <c r="J4364" s="10">
        <v>5.4</v>
      </c>
      <c r="K4364" t="b">
        <v>1</v>
      </c>
    </row>
    <row r="4365" spans="1:11">
      <c r="A4365" s="12">
        <v>42186</v>
      </c>
      <c r="B4365">
        <v>2015</v>
      </c>
      <c r="C4365">
        <v>7</v>
      </c>
      <c r="D4365" s="11">
        <v>42186</v>
      </c>
      <c r="E4365" t="s">
        <v>2179</v>
      </c>
      <c r="F4365">
        <v>3</v>
      </c>
      <c r="G4365" t="s">
        <v>65</v>
      </c>
      <c r="H4365" t="s">
        <v>43</v>
      </c>
      <c r="I4365" t="s">
        <v>2191</v>
      </c>
      <c r="J4365" s="10">
        <v>18.25</v>
      </c>
      <c r="K4365" t="b">
        <v>1</v>
      </c>
    </row>
    <row r="4366" spans="1:11">
      <c r="A4366" s="12">
        <v>42186</v>
      </c>
      <c r="B4366">
        <v>2015</v>
      </c>
      <c r="C4366">
        <v>7</v>
      </c>
      <c r="D4366" s="11">
        <v>42186</v>
      </c>
      <c r="E4366" t="s">
        <v>2179</v>
      </c>
      <c r="F4366">
        <v>3</v>
      </c>
      <c r="G4366" t="s">
        <v>65</v>
      </c>
      <c r="H4366" t="s">
        <v>44</v>
      </c>
      <c r="I4366" t="s">
        <v>2192</v>
      </c>
      <c r="J4366" s="10">
        <v>14</v>
      </c>
      <c r="K4366" t="b">
        <v>1</v>
      </c>
    </row>
    <row r="4367" spans="1:11">
      <c r="A4367" s="12">
        <v>42186</v>
      </c>
      <c r="B4367">
        <v>2015</v>
      </c>
      <c r="C4367">
        <v>7</v>
      </c>
      <c r="D4367" s="11">
        <v>42186</v>
      </c>
      <c r="E4367" t="s">
        <v>2179</v>
      </c>
      <c r="F4367">
        <v>3</v>
      </c>
      <c r="G4367" t="s">
        <v>65</v>
      </c>
      <c r="H4367" t="s">
        <v>45</v>
      </c>
      <c r="I4367" t="s">
        <v>2193</v>
      </c>
      <c r="J4367" s="10">
        <v>1</v>
      </c>
      <c r="K4367" t="b">
        <v>1</v>
      </c>
    </row>
    <row r="4368" spans="1:11">
      <c r="A4368" s="12">
        <v>42186</v>
      </c>
      <c r="B4368">
        <v>2015</v>
      </c>
      <c r="C4368">
        <v>7</v>
      </c>
      <c r="D4368" s="11">
        <v>42186</v>
      </c>
      <c r="E4368" t="s">
        <v>2179</v>
      </c>
      <c r="F4368">
        <v>3</v>
      </c>
      <c r="G4368" t="s">
        <v>65</v>
      </c>
      <c r="H4368" t="s">
        <v>46</v>
      </c>
      <c r="I4368" t="s">
        <v>2194</v>
      </c>
      <c r="J4368" s="10">
        <v>12</v>
      </c>
      <c r="K4368" t="b">
        <v>1</v>
      </c>
    </row>
    <row r="4369" spans="1:11">
      <c r="A4369" s="12">
        <v>42186</v>
      </c>
      <c r="B4369">
        <v>2015</v>
      </c>
      <c r="C4369">
        <v>7</v>
      </c>
      <c r="D4369" s="11">
        <v>42186</v>
      </c>
      <c r="E4369" t="s">
        <v>2179</v>
      </c>
      <c r="F4369">
        <v>3</v>
      </c>
      <c r="G4369" t="s">
        <v>65</v>
      </c>
      <c r="H4369" t="s">
        <v>47</v>
      </c>
      <c r="I4369" t="s">
        <v>2195</v>
      </c>
      <c r="J4369" s="10">
        <v>10</v>
      </c>
      <c r="K4369" t="b">
        <v>1</v>
      </c>
    </row>
    <row r="4370" spans="1:11">
      <c r="A4370" s="12">
        <v>42187</v>
      </c>
      <c r="B4370">
        <v>2015</v>
      </c>
      <c r="C4370">
        <v>7</v>
      </c>
      <c r="D4370" s="11">
        <v>42186</v>
      </c>
      <c r="E4370" t="s">
        <v>2179</v>
      </c>
      <c r="F4370">
        <v>4</v>
      </c>
      <c r="G4370" t="s">
        <v>53</v>
      </c>
      <c r="H4370" t="s">
        <v>40</v>
      </c>
      <c r="I4370" t="s">
        <v>2188</v>
      </c>
      <c r="J4370" s="10">
        <v>3</v>
      </c>
      <c r="K4370" t="b">
        <v>1</v>
      </c>
    </row>
    <row r="4371" spans="1:11">
      <c r="A4371" s="12">
        <v>42187</v>
      </c>
      <c r="B4371">
        <v>2015</v>
      </c>
      <c r="C4371">
        <v>7</v>
      </c>
      <c r="D4371" s="11">
        <v>42186</v>
      </c>
      <c r="E4371" t="s">
        <v>2179</v>
      </c>
      <c r="F4371">
        <v>4</v>
      </c>
      <c r="G4371" t="s">
        <v>53</v>
      </c>
      <c r="H4371" t="s">
        <v>41</v>
      </c>
      <c r="I4371" t="s">
        <v>2189</v>
      </c>
      <c r="J4371" s="10">
        <v>2</v>
      </c>
      <c r="K4371" t="b">
        <v>1</v>
      </c>
    </row>
    <row r="4372" spans="1:11">
      <c r="A4372" s="12">
        <v>42187</v>
      </c>
      <c r="B4372">
        <v>2015</v>
      </c>
      <c r="C4372">
        <v>7</v>
      </c>
      <c r="D4372" s="11">
        <v>42186</v>
      </c>
      <c r="E4372" t="s">
        <v>2179</v>
      </c>
      <c r="F4372">
        <v>4</v>
      </c>
      <c r="G4372" t="s">
        <v>53</v>
      </c>
      <c r="H4372" t="s">
        <v>42</v>
      </c>
      <c r="I4372" t="s">
        <v>2190</v>
      </c>
      <c r="J4372" s="10">
        <v>1</v>
      </c>
      <c r="K4372" t="b">
        <v>1</v>
      </c>
    </row>
    <row r="4373" spans="1:11">
      <c r="A4373" s="12">
        <v>42187</v>
      </c>
      <c r="B4373">
        <v>2015</v>
      </c>
      <c r="C4373">
        <v>7</v>
      </c>
      <c r="D4373" s="11">
        <v>42186</v>
      </c>
      <c r="E4373" t="s">
        <v>2179</v>
      </c>
      <c r="F4373">
        <v>4</v>
      </c>
      <c r="G4373" t="s">
        <v>53</v>
      </c>
      <c r="H4373" t="s">
        <v>43</v>
      </c>
      <c r="I4373" t="s">
        <v>2191</v>
      </c>
      <c r="J4373" s="10">
        <v>23.15</v>
      </c>
      <c r="K4373" t="b">
        <v>1</v>
      </c>
    </row>
    <row r="4374" spans="1:11">
      <c r="A4374" s="12">
        <v>42187</v>
      </c>
      <c r="B4374">
        <v>2015</v>
      </c>
      <c r="C4374">
        <v>7</v>
      </c>
      <c r="D4374" s="11">
        <v>42186</v>
      </c>
      <c r="E4374" t="s">
        <v>2179</v>
      </c>
      <c r="F4374">
        <v>4</v>
      </c>
      <c r="G4374" t="s">
        <v>53</v>
      </c>
      <c r="H4374" t="s">
        <v>44</v>
      </c>
      <c r="I4374" t="s">
        <v>2192</v>
      </c>
      <c r="J4374" s="10">
        <v>3</v>
      </c>
      <c r="K4374" t="b">
        <v>1</v>
      </c>
    </row>
    <row r="4375" spans="1:11">
      <c r="A4375" s="12">
        <v>42187</v>
      </c>
      <c r="B4375">
        <v>2015</v>
      </c>
      <c r="C4375">
        <v>7</v>
      </c>
      <c r="D4375" s="11">
        <v>42186</v>
      </c>
      <c r="E4375" t="s">
        <v>2179</v>
      </c>
      <c r="F4375">
        <v>4</v>
      </c>
      <c r="G4375" t="s">
        <v>53</v>
      </c>
      <c r="H4375" t="s">
        <v>45</v>
      </c>
      <c r="I4375" t="s">
        <v>2193</v>
      </c>
      <c r="J4375" s="10">
        <v>0</v>
      </c>
      <c r="K4375" t="b">
        <v>1</v>
      </c>
    </row>
    <row r="4376" spans="1:11">
      <c r="A4376" s="12">
        <v>42187</v>
      </c>
      <c r="B4376">
        <v>2015</v>
      </c>
      <c r="C4376">
        <v>7</v>
      </c>
      <c r="D4376" s="11">
        <v>42186</v>
      </c>
      <c r="E4376" t="s">
        <v>2179</v>
      </c>
      <c r="F4376">
        <v>4</v>
      </c>
      <c r="G4376" t="s">
        <v>53</v>
      </c>
      <c r="H4376" t="s">
        <v>46</v>
      </c>
      <c r="I4376" t="s">
        <v>2194</v>
      </c>
      <c r="J4376" s="10">
        <v>1</v>
      </c>
      <c r="K4376" t="b">
        <v>1</v>
      </c>
    </row>
    <row r="4377" spans="1:11">
      <c r="A4377" s="12">
        <v>42187</v>
      </c>
      <c r="B4377">
        <v>2015</v>
      </c>
      <c r="C4377">
        <v>7</v>
      </c>
      <c r="D4377" s="11">
        <v>42186</v>
      </c>
      <c r="E4377" t="s">
        <v>2179</v>
      </c>
      <c r="F4377">
        <v>4</v>
      </c>
      <c r="G4377" t="s">
        <v>53</v>
      </c>
      <c r="H4377" t="s">
        <v>47</v>
      </c>
      <c r="I4377" t="s">
        <v>2195</v>
      </c>
      <c r="J4377" s="10">
        <v>2</v>
      </c>
      <c r="K4377" t="b">
        <v>1</v>
      </c>
    </row>
    <row r="4378" spans="1:11">
      <c r="A4378" s="12">
        <v>42188</v>
      </c>
      <c r="B4378">
        <v>2015</v>
      </c>
      <c r="C4378">
        <v>7</v>
      </c>
      <c r="D4378" s="11">
        <v>42186</v>
      </c>
      <c r="E4378" t="s">
        <v>2179</v>
      </c>
      <c r="F4378">
        <v>5</v>
      </c>
      <c r="G4378" t="s">
        <v>55</v>
      </c>
      <c r="H4378" t="s">
        <v>40</v>
      </c>
      <c r="I4378" t="s">
        <v>2188</v>
      </c>
      <c r="J4378" s="10">
        <v>5.5</v>
      </c>
      <c r="K4378" t="b">
        <v>1</v>
      </c>
    </row>
    <row r="4379" spans="1:11">
      <c r="A4379" s="12">
        <v>42188</v>
      </c>
      <c r="B4379">
        <v>2015</v>
      </c>
      <c r="C4379">
        <v>7</v>
      </c>
      <c r="D4379" s="11">
        <v>42186</v>
      </c>
      <c r="E4379" t="s">
        <v>2179</v>
      </c>
      <c r="F4379">
        <v>5</v>
      </c>
      <c r="G4379" t="s">
        <v>55</v>
      </c>
      <c r="H4379" t="s">
        <v>41</v>
      </c>
      <c r="I4379" t="s">
        <v>2189</v>
      </c>
      <c r="J4379" s="10">
        <v>4.33</v>
      </c>
      <c r="K4379" t="b">
        <v>1</v>
      </c>
    </row>
    <row r="4380" spans="1:11">
      <c r="A4380" s="12">
        <v>42188</v>
      </c>
      <c r="B4380">
        <v>2015</v>
      </c>
      <c r="C4380">
        <v>7</v>
      </c>
      <c r="D4380" s="11">
        <v>42186</v>
      </c>
      <c r="E4380" t="s">
        <v>2179</v>
      </c>
      <c r="F4380">
        <v>5</v>
      </c>
      <c r="G4380" t="s">
        <v>55</v>
      </c>
      <c r="H4380" t="s">
        <v>42</v>
      </c>
      <c r="I4380" t="s">
        <v>2190</v>
      </c>
      <c r="J4380" s="10">
        <v>3.5</v>
      </c>
      <c r="K4380" t="b">
        <v>1</v>
      </c>
    </row>
    <row r="4381" spans="1:11">
      <c r="A4381" s="12">
        <v>42188</v>
      </c>
      <c r="B4381">
        <v>2015</v>
      </c>
      <c r="C4381">
        <v>7</v>
      </c>
      <c r="D4381" s="11">
        <v>42186</v>
      </c>
      <c r="E4381" t="s">
        <v>2179</v>
      </c>
      <c r="F4381">
        <v>5</v>
      </c>
      <c r="G4381" t="s">
        <v>55</v>
      </c>
      <c r="H4381" t="s">
        <v>43</v>
      </c>
      <c r="I4381" t="s">
        <v>2191</v>
      </c>
      <c r="J4381" s="10">
        <v>24.5</v>
      </c>
      <c r="K4381" t="b">
        <v>1</v>
      </c>
    </row>
    <row r="4382" spans="1:11">
      <c r="A4382" s="12">
        <v>42188</v>
      </c>
      <c r="B4382">
        <v>2015</v>
      </c>
      <c r="C4382">
        <v>7</v>
      </c>
      <c r="D4382" s="11">
        <v>42186</v>
      </c>
      <c r="E4382" t="s">
        <v>2179</v>
      </c>
      <c r="F4382">
        <v>5</v>
      </c>
      <c r="G4382" t="s">
        <v>55</v>
      </c>
      <c r="H4382" t="s">
        <v>44</v>
      </c>
      <c r="I4382" t="s">
        <v>2192</v>
      </c>
      <c r="J4382" s="10">
        <v>10</v>
      </c>
      <c r="K4382" t="b">
        <v>1</v>
      </c>
    </row>
    <row r="4383" spans="1:11">
      <c r="A4383" s="12">
        <v>42188</v>
      </c>
      <c r="B4383">
        <v>2015</v>
      </c>
      <c r="C4383">
        <v>7</v>
      </c>
      <c r="D4383" s="11">
        <v>42186</v>
      </c>
      <c r="E4383" t="s">
        <v>2179</v>
      </c>
      <c r="F4383">
        <v>5</v>
      </c>
      <c r="G4383" t="s">
        <v>55</v>
      </c>
      <c r="H4383" t="s">
        <v>45</v>
      </c>
      <c r="I4383" t="s">
        <v>2193</v>
      </c>
      <c r="J4383" s="10">
        <v>0</v>
      </c>
      <c r="K4383" t="b">
        <v>1</v>
      </c>
    </row>
    <row r="4384" spans="1:11">
      <c r="A4384" s="12">
        <v>42188</v>
      </c>
      <c r="B4384">
        <v>2015</v>
      </c>
      <c r="C4384">
        <v>7</v>
      </c>
      <c r="D4384" s="11">
        <v>42186</v>
      </c>
      <c r="E4384" t="s">
        <v>2179</v>
      </c>
      <c r="F4384">
        <v>5</v>
      </c>
      <c r="G4384" t="s">
        <v>55</v>
      </c>
      <c r="H4384" t="s">
        <v>46</v>
      </c>
      <c r="I4384" t="s">
        <v>2194</v>
      </c>
      <c r="J4384" s="10">
        <v>8</v>
      </c>
      <c r="K4384" t="b">
        <v>1</v>
      </c>
    </row>
    <row r="4385" spans="1:11">
      <c r="A4385" s="12">
        <v>42188</v>
      </c>
      <c r="B4385">
        <v>2015</v>
      </c>
      <c r="C4385">
        <v>7</v>
      </c>
      <c r="D4385" s="11">
        <v>42186</v>
      </c>
      <c r="E4385" t="s">
        <v>2179</v>
      </c>
      <c r="F4385">
        <v>5</v>
      </c>
      <c r="G4385" t="s">
        <v>55</v>
      </c>
      <c r="H4385" t="s">
        <v>47</v>
      </c>
      <c r="I4385" t="s">
        <v>2195</v>
      </c>
      <c r="J4385" s="10">
        <v>4</v>
      </c>
      <c r="K4385" t="b">
        <v>1</v>
      </c>
    </row>
    <row r="4386" spans="1:11">
      <c r="A4386" s="12">
        <v>42189</v>
      </c>
      <c r="B4386">
        <v>2015</v>
      </c>
      <c r="C4386">
        <v>7</v>
      </c>
      <c r="D4386" s="11">
        <v>42186</v>
      </c>
      <c r="E4386" t="s">
        <v>2179</v>
      </c>
      <c r="F4386">
        <v>6</v>
      </c>
      <c r="G4386" t="s">
        <v>57</v>
      </c>
      <c r="H4386" t="s">
        <v>40</v>
      </c>
      <c r="I4386" t="s">
        <v>2188</v>
      </c>
      <c r="J4386" s="10">
        <v>7.35</v>
      </c>
      <c r="K4386" t="b">
        <v>1</v>
      </c>
    </row>
    <row r="4387" spans="1:11">
      <c r="A4387" s="12">
        <v>42189</v>
      </c>
      <c r="B4387">
        <v>2015</v>
      </c>
      <c r="C4387">
        <v>7</v>
      </c>
      <c r="D4387" s="11">
        <v>42186</v>
      </c>
      <c r="E4387" t="s">
        <v>2179</v>
      </c>
      <c r="F4387">
        <v>6</v>
      </c>
      <c r="G4387" t="s">
        <v>57</v>
      </c>
      <c r="H4387" t="s">
        <v>41</v>
      </c>
      <c r="I4387" t="s">
        <v>2189</v>
      </c>
      <c r="J4387" s="10">
        <v>2.34</v>
      </c>
      <c r="K4387" t="b">
        <v>1</v>
      </c>
    </row>
    <row r="4388" spans="1:11">
      <c r="A4388" s="12">
        <v>42189</v>
      </c>
      <c r="B4388">
        <v>2015</v>
      </c>
      <c r="C4388">
        <v>7</v>
      </c>
      <c r="D4388" s="11">
        <v>42186</v>
      </c>
      <c r="E4388" t="s">
        <v>2179</v>
      </c>
      <c r="F4388">
        <v>6</v>
      </c>
      <c r="G4388" t="s">
        <v>57</v>
      </c>
      <c r="H4388" t="s">
        <v>42</v>
      </c>
      <c r="I4388" t="s">
        <v>2190</v>
      </c>
      <c r="J4388" s="10">
        <v>4.2</v>
      </c>
      <c r="K4388" t="b">
        <v>1</v>
      </c>
    </row>
    <row r="4389" spans="1:11">
      <c r="A4389" s="12">
        <v>42189</v>
      </c>
      <c r="B4389">
        <v>2015</v>
      </c>
      <c r="C4389">
        <v>7</v>
      </c>
      <c r="D4389" s="11">
        <v>42186</v>
      </c>
      <c r="E4389" t="s">
        <v>2179</v>
      </c>
      <c r="F4389">
        <v>6</v>
      </c>
      <c r="G4389" t="s">
        <v>57</v>
      </c>
      <c r="H4389" t="s">
        <v>43</v>
      </c>
      <c r="I4389" t="s">
        <v>2191</v>
      </c>
      <c r="J4389" s="10">
        <v>15.2</v>
      </c>
      <c r="K4389" t="b">
        <v>1</v>
      </c>
    </row>
    <row r="4390" spans="1:11">
      <c r="A4390" s="12">
        <v>42189</v>
      </c>
      <c r="B4390">
        <v>2015</v>
      </c>
      <c r="C4390">
        <v>7</v>
      </c>
      <c r="D4390" s="11">
        <v>42186</v>
      </c>
      <c r="E4390" t="s">
        <v>2179</v>
      </c>
      <c r="F4390">
        <v>6</v>
      </c>
      <c r="G4390" t="s">
        <v>57</v>
      </c>
      <c r="H4390" t="s">
        <v>44</v>
      </c>
      <c r="I4390" t="s">
        <v>2192</v>
      </c>
      <c r="J4390" s="10">
        <v>2</v>
      </c>
      <c r="K4390" t="b">
        <v>1</v>
      </c>
    </row>
    <row r="4391" spans="1:11">
      <c r="A4391" s="12">
        <v>42189</v>
      </c>
      <c r="B4391">
        <v>2015</v>
      </c>
      <c r="C4391">
        <v>7</v>
      </c>
      <c r="D4391" s="11">
        <v>42186</v>
      </c>
      <c r="E4391" t="s">
        <v>2179</v>
      </c>
      <c r="F4391">
        <v>6</v>
      </c>
      <c r="G4391" t="s">
        <v>57</v>
      </c>
      <c r="H4391" t="s">
        <v>45</v>
      </c>
      <c r="I4391" t="s">
        <v>2193</v>
      </c>
      <c r="J4391" s="10">
        <v>0</v>
      </c>
      <c r="K4391" t="b">
        <v>1</v>
      </c>
    </row>
    <row r="4392" spans="1:11">
      <c r="A4392" s="12">
        <v>42189</v>
      </c>
      <c r="B4392">
        <v>2015</v>
      </c>
      <c r="C4392">
        <v>7</v>
      </c>
      <c r="D4392" s="11">
        <v>42186</v>
      </c>
      <c r="E4392" t="s">
        <v>2179</v>
      </c>
      <c r="F4392">
        <v>6</v>
      </c>
      <c r="G4392" t="s">
        <v>57</v>
      </c>
      <c r="H4392" t="s">
        <v>46</v>
      </c>
      <c r="I4392" t="s">
        <v>2194</v>
      </c>
      <c r="J4392" s="10">
        <v>0</v>
      </c>
      <c r="K4392" t="b">
        <v>1</v>
      </c>
    </row>
    <row r="4393" spans="1:11">
      <c r="A4393" s="12">
        <v>42189</v>
      </c>
      <c r="B4393">
        <v>2015</v>
      </c>
      <c r="C4393">
        <v>7</v>
      </c>
      <c r="D4393" s="11">
        <v>42186</v>
      </c>
      <c r="E4393" t="s">
        <v>2179</v>
      </c>
      <c r="F4393">
        <v>6</v>
      </c>
      <c r="G4393" t="s">
        <v>57</v>
      </c>
      <c r="H4393" t="s">
        <v>47</v>
      </c>
      <c r="I4393" t="s">
        <v>2195</v>
      </c>
      <c r="J4393" s="10">
        <v>3</v>
      </c>
      <c r="K4393" t="b">
        <v>1</v>
      </c>
    </row>
    <row r="4394" spans="1:11">
      <c r="A4394" s="12">
        <v>42190</v>
      </c>
      <c r="B4394">
        <v>2015</v>
      </c>
      <c r="C4394">
        <v>7</v>
      </c>
      <c r="D4394" s="11">
        <v>42186</v>
      </c>
      <c r="E4394" t="s">
        <v>2179</v>
      </c>
      <c r="F4394">
        <v>7</v>
      </c>
      <c r="G4394" t="s">
        <v>59</v>
      </c>
      <c r="H4394" t="s">
        <v>40</v>
      </c>
      <c r="I4394" t="s">
        <v>2188</v>
      </c>
      <c r="J4394" s="10">
        <v>5</v>
      </c>
      <c r="K4394" t="b">
        <v>1</v>
      </c>
    </row>
    <row r="4395" spans="1:11">
      <c r="A4395" s="12">
        <v>42190</v>
      </c>
      <c r="B4395">
        <v>2015</v>
      </c>
      <c r="C4395">
        <v>7</v>
      </c>
      <c r="D4395" s="11">
        <v>42186</v>
      </c>
      <c r="E4395" t="s">
        <v>2179</v>
      </c>
      <c r="F4395">
        <v>7</v>
      </c>
      <c r="G4395" t="s">
        <v>59</v>
      </c>
      <c r="H4395" t="s">
        <v>41</v>
      </c>
      <c r="I4395" t="s">
        <v>2189</v>
      </c>
      <c r="J4395" s="10">
        <v>4.34</v>
      </c>
      <c r="K4395" t="b">
        <v>1</v>
      </c>
    </row>
    <row r="4396" spans="1:11">
      <c r="A4396" s="12">
        <v>42190</v>
      </c>
      <c r="B4396">
        <v>2015</v>
      </c>
      <c r="C4396">
        <v>7</v>
      </c>
      <c r="D4396" s="11">
        <v>42186</v>
      </c>
      <c r="E4396" t="s">
        <v>2179</v>
      </c>
      <c r="F4396">
        <v>7</v>
      </c>
      <c r="G4396" t="s">
        <v>59</v>
      </c>
      <c r="H4396" t="s">
        <v>42</v>
      </c>
      <c r="I4396" t="s">
        <v>2190</v>
      </c>
      <c r="J4396" s="10">
        <v>4.2</v>
      </c>
      <c r="K4396" t="b">
        <v>1</v>
      </c>
    </row>
    <row r="4397" spans="1:11">
      <c r="A4397" s="12">
        <v>42190</v>
      </c>
      <c r="B4397">
        <v>2015</v>
      </c>
      <c r="C4397">
        <v>7</v>
      </c>
      <c r="D4397" s="11">
        <v>42186</v>
      </c>
      <c r="E4397" t="s">
        <v>2179</v>
      </c>
      <c r="F4397">
        <v>7</v>
      </c>
      <c r="G4397" t="s">
        <v>59</v>
      </c>
      <c r="H4397" t="s">
        <v>43</v>
      </c>
      <c r="I4397" t="s">
        <v>2191</v>
      </c>
      <c r="J4397" s="10">
        <v>14</v>
      </c>
      <c r="K4397" t="b">
        <v>1</v>
      </c>
    </row>
    <row r="4398" spans="1:11">
      <c r="A4398" s="12">
        <v>42190</v>
      </c>
      <c r="B4398">
        <v>2015</v>
      </c>
      <c r="C4398">
        <v>7</v>
      </c>
      <c r="D4398" s="11">
        <v>42186</v>
      </c>
      <c r="E4398" t="s">
        <v>2179</v>
      </c>
      <c r="F4398">
        <v>7</v>
      </c>
      <c r="G4398" t="s">
        <v>59</v>
      </c>
      <c r="H4398" t="s">
        <v>44</v>
      </c>
      <c r="I4398" t="s">
        <v>2192</v>
      </c>
      <c r="J4398" s="10">
        <v>10</v>
      </c>
      <c r="K4398" t="b">
        <v>1</v>
      </c>
    </row>
    <row r="4399" spans="1:11">
      <c r="A4399" s="12">
        <v>42190</v>
      </c>
      <c r="B4399">
        <v>2015</v>
      </c>
      <c r="C4399">
        <v>7</v>
      </c>
      <c r="D4399" s="11">
        <v>42186</v>
      </c>
      <c r="E4399" t="s">
        <v>2179</v>
      </c>
      <c r="F4399">
        <v>7</v>
      </c>
      <c r="G4399" t="s">
        <v>59</v>
      </c>
      <c r="H4399" t="s">
        <v>45</v>
      </c>
      <c r="I4399" t="s">
        <v>2193</v>
      </c>
      <c r="J4399" s="10">
        <v>0</v>
      </c>
      <c r="K4399" t="b">
        <v>1</v>
      </c>
    </row>
    <row r="4400" spans="1:11">
      <c r="A4400" s="12">
        <v>42190</v>
      </c>
      <c r="B4400">
        <v>2015</v>
      </c>
      <c r="C4400">
        <v>7</v>
      </c>
      <c r="D4400" s="11">
        <v>42186</v>
      </c>
      <c r="E4400" t="s">
        <v>2179</v>
      </c>
      <c r="F4400">
        <v>7</v>
      </c>
      <c r="G4400" t="s">
        <v>59</v>
      </c>
      <c r="H4400" t="s">
        <v>46</v>
      </c>
      <c r="I4400" t="s">
        <v>2194</v>
      </c>
      <c r="J4400" s="10">
        <v>1</v>
      </c>
      <c r="K4400" t="b">
        <v>1</v>
      </c>
    </row>
    <row r="4401" spans="1:11">
      <c r="A4401" s="12">
        <v>42190</v>
      </c>
      <c r="B4401">
        <v>2015</v>
      </c>
      <c r="C4401">
        <v>7</v>
      </c>
      <c r="D4401" s="11">
        <v>42186</v>
      </c>
      <c r="E4401" t="s">
        <v>2179</v>
      </c>
      <c r="F4401">
        <v>7</v>
      </c>
      <c r="G4401" t="s">
        <v>59</v>
      </c>
      <c r="H4401" t="s">
        <v>47</v>
      </c>
      <c r="I4401" t="s">
        <v>2195</v>
      </c>
      <c r="J4401" s="10">
        <v>4</v>
      </c>
      <c r="K4401" t="b">
        <v>1</v>
      </c>
    </row>
    <row r="4402" spans="1:11">
      <c r="A4402" s="12">
        <v>42191</v>
      </c>
      <c r="B4402">
        <v>2015</v>
      </c>
      <c r="C4402">
        <v>7</v>
      </c>
      <c r="D4402" s="11">
        <v>42186</v>
      </c>
      <c r="E4402" t="s">
        <v>2179</v>
      </c>
      <c r="F4402">
        <v>1</v>
      </c>
      <c r="G4402" t="s">
        <v>61</v>
      </c>
      <c r="H4402" t="s">
        <v>40</v>
      </c>
      <c r="I4402" t="s">
        <v>2188</v>
      </c>
      <c r="J4402" s="10">
        <v>5.5</v>
      </c>
      <c r="K4402" t="b">
        <v>1</v>
      </c>
    </row>
    <row r="4403" spans="1:11">
      <c r="A4403" s="12">
        <v>42191</v>
      </c>
      <c r="B4403">
        <v>2015</v>
      </c>
      <c r="C4403">
        <v>7</v>
      </c>
      <c r="D4403" s="11">
        <v>42186</v>
      </c>
      <c r="E4403" t="s">
        <v>2179</v>
      </c>
      <c r="F4403">
        <v>1</v>
      </c>
      <c r="G4403" t="s">
        <v>61</v>
      </c>
      <c r="H4403" t="s">
        <v>41</v>
      </c>
      <c r="I4403" t="s">
        <v>2189</v>
      </c>
      <c r="J4403" s="10">
        <v>4.68</v>
      </c>
      <c r="K4403" t="b">
        <v>1</v>
      </c>
    </row>
    <row r="4404" spans="1:11">
      <c r="A4404" s="12">
        <v>42191</v>
      </c>
      <c r="B4404">
        <v>2015</v>
      </c>
      <c r="C4404">
        <v>7</v>
      </c>
      <c r="D4404" s="11">
        <v>42186</v>
      </c>
      <c r="E4404" t="s">
        <v>2179</v>
      </c>
      <c r="F4404">
        <v>1</v>
      </c>
      <c r="G4404" t="s">
        <v>61</v>
      </c>
      <c r="H4404" t="s">
        <v>42</v>
      </c>
      <c r="I4404" t="s">
        <v>2190</v>
      </c>
      <c r="J4404" s="10">
        <v>2</v>
      </c>
      <c r="K4404" t="b">
        <v>1</v>
      </c>
    </row>
    <row r="4405" spans="1:11">
      <c r="A4405" s="12">
        <v>42191</v>
      </c>
      <c r="B4405">
        <v>2015</v>
      </c>
      <c r="C4405">
        <v>7</v>
      </c>
      <c r="D4405" s="11">
        <v>42186</v>
      </c>
      <c r="E4405" t="s">
        <v>2179</v>
      </c>
      <c r="F4405">
        <v>1</v>
      </c>
      <c r="G4405" t="s">
        <v>61</v>
      </c>
      <c r="H4405" t="s">
        <v>43</v>
      </c>
      <c r="I4405" t="s">
        <v>2191</v>
      </c>
      <c r="J4405" s="10">
        <v>20</v>
      </c>
      <c r="K4405" t="b">
        <v>1</v>
      </c>
    </row>
    <row r="4406" spans="1:11">
      <c r="A4406" s="12">
        <v>42191</v>
      </c>
      <c r="B4406">
        <v>2015</v>
      </c>
      <c r="C4406">
        <v>7</v>
      </c>
      <c r="D4406" s="11">
        <v>42186</v>
      </c>
      <c r="E4406" t="s">
        <v>2179</v>
      </c>
      <c r="F4406">
        <v>1</v>
      </c>
      <c r="G4406" t="s">
        <v>61</v>
      </c>
      <c r="H4406" t="s">
        <v>44</v>
      </c>
      <c r="I4406" t="s">
        <v>2192</v>
      </c>
      <c r="J4406" s="10">
        <v>8</v>
      </c>
      <c r="K4406" t="b">
        <v>1</v>
      </c>
    </row>
    <row r="4407" spans="1:11">
      <c r="A4407" s="12">
        <v>42191</v>
      </c>
      <c r="B4407">
        <v>2015</v>
      </c>
      <c r="C4407">
        <v>7</v>
      </c>
      <c r="D4407" s="11">
        <v>42186</v>
      </c>
      <c r="E4407" t="s">
        <v>2179</v>
      </c>
      <c r="F4407">
        <v>1</v>
      </c>
      <c r="G4407" t="s">
        <v>61</v>
      </c>
      <c r="H4407" t="s">
        <v>45</v>
      </c>
      <c r="I4407" t="s">
        <v>2193</v>
      </c>
      <c r="J4407" s="10">
        <v>0</v>
      </c>
      <c r="K4407" t="b">
        <v>1</v>
      </c>
    </row>
    <row r="4408" spans="1:11">
      <c r="A4408" s="12">
        <v>42191</v>
      </c>
      <c r="B4408">
        <v>2015</v>
      </c>
      <c r="C4408">
        <v>7</v>
      </c>
      <c r="D4408" s="11">
        <v>42186</v>
      </c>
      <c r="E4408" t="s">
        <v>2179</v>
      </c>
      <c r="F4408">
        <v>1</v>
      </c>
      <c r="G4408" t="s">
        <v>61</v>
      </c>
      <c r="H4408" t="s">
        <v>46</v>
      </c>
      <c r="I4408" t="s">
        <v>2194</v>
      </c>
      <c r="J4408" s="10">
        <v>3</v>
      </c>
      <c r="K4408" t="b">
        <v>1</v>
      </c>
    </row>
    <row r="4409" spans="1:11">
      <c r="A4409" s="12">
        <v>42191</v>
      </c>
      <c r="B4409">
        <v>2015</v>
      </c>
      <c r="C4409">
        <v>7</v>
      </c>
      <c r="D4409" s="11">
        <v>42186</v>
      </c>
      <c r="E4409" t="s">
        <v>2179</v>
      </c>
      <c r="F4409">
        <v>1</v>
      </c>
      <c r="G4409" t="s">
        <v>61</v>
      </c>
      <c r="H4409" t="s">
        <v>47</v>
      </c>
      <c r="I4409" t="s">
        <v>2195</v>
      </c>
      <c r="J4409" s="10">
        <v>3</v>
      </c>
      <c r="K4409" t="b">
        <v>1</v>
      </c>
    </row>
    <row r="4410" spans="1:11">
      <c r="A4410" s="12">
        <v>42192</v>
      </c>
      <c r="B4410">
        <v>2015</v>
      </c>
      <c r="C4410">
        <v>7</v>
      </c>
      <c r="D4410" s="11">
        <v>42186</v>
      </c>
      <c r="E4410" t="s">
        <v>2179</v>
      </c>
      <c r="F4410">
        <v>2</v>
      </c>
      <c r="G4410" t="s">
        <v>63</v>
      </c>
      <c r="H4410" t="s">
        <v>40</v>
      </c>
      <c r="I4410" t="s">
        <v>2188</v>
      </c>
      <c r="J4410" s="10">
        <v>4.84</v>
      </c>
      <c r="K4410" t="b">
        <v>1</v>
      </c>
    </row>
    <row r="4411" spans="1:11">
      <c r="A4411" s="12">
        <v>42192</v>
      </c>
      <c r="B4411">
        <v>2015</v>
      </c>
      <c r="C4411">
        <v>7</v>
      </c>
      <c r="D4411" s="11">
        <v>42186</v>
      </c>
      <c r="E4411" t="s">
        <v>2179</v>
      </c>
      <c r="F4411">
        <v>2</v>
      </c>
      <c r="G4411" t="s">
        <v>63</v>
      </c>
      <c r="H4411" t="s">
        <v>41</v>
      </c>
      <c r="I4411" t="s">
        <v>2189</v>
      </c>
      <c r="J4411" s="10">
        <v>4.68</v>
      </c>
      <c r="K4411" t="b">
        <v>1</v>
      </c>
    </row>
    <row r="4412" spans="1:11">
      <c r="A4412" s="12">
        <v>42192</v>
      </c>
      <c r="B4412">
        <v>2015</v>
      </c>
      <c r="C4412">
        <v>7</v>
      </c>
      <c r="D4412" s="11">
        <v>42186</v>
      </c>
      <c r="E4412" t="s">
        <v>2179</v>
      </c>
      <c r="F4412">
        <v>2</v>
      </c>
      <c r="G4412" t="s">
        <v>63</v>
      </c>
      <c r="H4412" t="s">
        <v>42</v>
      </c>
      <c r="I4412" t="s">
        <v>2190</v>
      </c>
      <c r="J4412" s="10">
        <v>2.3</v>
      </c>
      <c r="K4412" t="b">
        <v>1</v>
      </c>
    </row>
    <row r="4413" spans="1:11">
      <c r="A4413" s="12">
        <v>42192</v>
      </c>
      <c r="B4413">
        <v>2015</v>
      </c>
      <c r="C4413">
        <v>7</v>
      </c>
      <c r="D4413" s="11">
        <v>42186</v>
      </c>
      <c r="E4413" t="s">
        <v>2179</v>
      </c>
      <c r="F4413">
        <v>2</v>
      </c>
      <c r="G4413" t="s">
        <v>63</v>
      </c>
      <c r="H4413" t="s">
        <v>43</v>
      </c>
      <c r="I4413" t="s">
        <v>2191</v>
      </c>
      <c r="J4413" s="10">
        <v>19.6</v>
      </c>
      <c r="K4413" t="b">
        <v>1</v>
      </c>
    </row>
    <row r="4414" spans="1:11">
      <c r="A4414" s="12">
        <v>42192</v>
      </c>
      <c r="B4414">
        <v>2015</v>
      </c>
      <c r="C4414">
        <v>7</v>
      </c>
      <c r="D4414" s="11">
        <v>42186</v>
      </c>
      <c r="E4414" t="s">
        <v>2179</v>
      </c>
      <c r="F4414">
        <v>2</v>
      </c>
      <c r="G4414" t="s">
        <v>63</v>
      </c>
      <c r="H4414" t="s">
        <v>44</v>
      </c>
      <c r="I4414" t="s">
        <v>2192</v>
      </c>
      <c r="J4414" s="10">
        <v>5</v>
      </c>
      <c r="K4414" t="b">
        <v>1</v>
      </c>
    </row>
    <row r="4415" spans="1:11">
      <c r="A4415" s="12">
        <v>42192</v>
      </c>
      <c r="B4415">
        <v>2015</v>
      </c>
      <c r="C4415">
        <v>7</v>
      </c>
      <c r="D4415" s="11">
        <v>42186</v>
      </c>
      <c r="E4415" t="s">
        <v>2179</v>
      </c>
      <c r="F4415">
        <v>2</v>
      </c>
      <c r="G4415" t="s">
        <v>63</v>
      </c>
      <c r="H4415" t="s">
        <v>45</v>
      </c>
      <c r="I4415" t="s">
        <v>2193</v>
      </c>
      <c r="J4415" s="10">
        <v>0</v>
      </c>
      <c r="K4415" t="b">
        <v>1</v>
      </c>
    </row>
    <row r="4416" spans="1:11">
      <c r="A4416" s="12">
        <v>42192</v>
      </c>
      <c r="B4416">
        <v>2015</v>
      </c>
      <c r="C4416">
        <v>7</v>
      </c>
      <c r="D4416" s="11">
        <v>42186</v>
      </c>
      <c r="E4416" t="s">
        <v>2179</v>
      </c>
      <c r="F4416">
        <v>2</v>
      </c>
      <c r="G4416" t="s">
        <v>63</v>
      </c>
      <c r="H4416" t="s">
        <v>46</v>
      </c>
      <c r="I4416" t="s">
        <v>2194</v>
      </c>
      <c r="J4416" s="10">
        <v>3</v>
      </c>
      <c r="K4416" t="b">
        <v>1</v>
      </c>
    </row>
    <row r="4417" spans="1:11">
      <c r="A4417" s="12">
        <v>42192</v>
      </c>
      <c r="B4417">
        <v>2015</v>
      </c>
      <c r="C4417">
        <v>7</v>
      </c>
      <c r="D4417" s="11">
        <v>42186</v>
      </c>
      <c r="E4417" t="s">
        <v>2179</v>
      </c>
      <c r="F4417">
        <v>2</v>
      </c>
      <c r="G4417" t="s">
        <v>63</v>
      </c>
      <c r="H4417" t="s">
        <v>47</v>
      </c>
      <c r="I4417" t="s">
        <v>2195</v>
      </c>
      <c r="J4417" s="10">
        <v>7</v>
      </c>
      <c r="K4417" t="b">
        <v>1</v>
      </c>
    </row>
    <row r="4418" spans="1:11">
      <c r="A4418" s="12">
        <v>42193</v>
      </c>
      <c r="B4418">
        <v>2015</v>
      </c>
      <c r="C4418">
        <v>7</v>
      </c>
      <c r="D4418" s="11">
        <v>42186</v>
      </c>
      <c r="E4418" t="s">
        <v>2179</v>
      </c>
      <c r="F4418">
        <v>3</v>
      </c>
      <c r="G4418" t="s">
        <v>65</v>
      </c>
      <c r="H4418" t="s">
        <v>40</v>
      </c>
      <c r="I4418" t="s">
        <v>2188</v>
      </c>
      <c r="J4418" s="10">
        <v>2</v>
      </c>
      <c r="K4418" t="b">
        <v>1</v>
      </c>
    </row>
    <row r="4419" spans="1:11">
      <c r="A4419" s="12">
        <v>42193</v>
      </c>
      <c r="B4419">
        <v>2015</v>
      </c>
      <c r="C4419">
        <v>7</v>
      </c>
      <c r="D4419" s="11">
        <v>42186</v>
      </c>
      <c r="E4419" t="s">
        <v>2179</v>
      </c>
      <c r="F4419">
        <v>3</v>
      </c>
      <c r="G4419" t="s">
        <v>65</v>
      </c>
      <c r="H4419" t="s">
        <v>41</v>
      </c>
      <c r="I4419" t="s">
        <v>2189</v>
      </c>
      <c r="J4419" s="10">
        <v>1.35</v>
      </c>
      <c r="K4419" t="b">
        <v>1</v>
      </c>
    </row>
    <row r="4420" spans="1:11">
      <c r="A4420" s="12">
        <v>42193</v>
      </c>
      <c r="B4420">
        <v>2015</v>
      </c>
      <c r="C4420">
        <v>7</v>
      </c>
      <c r="D4420" s="11">
        <v>42186</v>
      </c>
      <c r="E4420" t="s">
        <v>2179</v>
      </c>
      <c r="F4420">
        <v>3</v>
      </c>
      <c r="G4420" t="s">
        <v>65</v>
      </c>
      <c r="H4420" t="s">
        <v>42</v>
      </c>
      <c r="I4420" t="s">
        <v>2190</v>
      </c>
      <c r="J4420" s="10">
        <v>3</v>
      </c>
      <c r="K4420" t="b">
        <v>1</v>
      </c>
    </row>
    <row r="4421" spans="1:11">
      <c r="A4421" s="12">
        <v>42193</v>
      </c>
      <c r="B4421">
        <v>2015</v>
      </c>
      <c r="C4421">
        <v>7</v>
      </c>
      <c r="D4421" s="11">
        <v>42186</v>
      </c>
      <c r="E4421" t="s">
        <v>2179</v>
      </c>
      <c r="F4421">
        <v>3</v>
      </c>
      <c r="G4421" t="s">
        <v>65</v>
      </c>
      <c r="H4421" t="s">
        <v>43</v>
      </c>
      <c r="I4421" t="s">
        <v>2191</v>
      </c>
      <c r="J4421" s="10">
        <v>18.6</v>
      </c>
      <c r="K4421" t="b">
        <v>1</v>
      </c>
    </row>
    <row r="4422" spans="1:11">
      <c r="A4422" s="12">
        <v>42193</v>
      </c>
      <c r="B4422">
        <v>2015</v>
      </c>
      <c r="C4422">
        <v>7</v>
      </c>
      <c r="D4422" s="11">
        <v>42186</v>
      </c>
      <c r="E4422" t="s">
        <v>2179</v>
      </c>
      <c r="F4422">
        <v>3</v>
      </c>
      <c r="G4422" t="s">
        <v>65</v>
      </c>
      <c r="H4422" t="s">
        <v>44</v>
      </c>
      <c r="I4422" t="s">
        <v>2192</v>
      </c>
      <c r="J4422" s="10">
        <v>6</v>
      </c>
      <c r="K4422" t="b">
        <v>1</v>
      </c>
    </row>
    <row r="4423" spans="1:11">
      <c r="A4423" s="12">
        <v>42193</v>
      </c>
      <c r="B4423">
        <v>2015</v>
      </c>
      <c r="C4423">
        <v>7</v>
      </c>
      <c r="D4423" s="11">
        <v>42186</v>
      </c>
      <c r="E4423" t="s">
        <v>2179</v>
      </c>
      <c r="F4423">
        <v>3</v>
      </c>
      <c r="G4423" t="s">
        <v>65</v>
      </c>
      <c r="H4423" t="s">
        <v>45</v>
      </c>
      <c r="I4423" t="s">
        <v>2193</v>
      </c>
      <c r="J4423" s="10">
        <v>0</v>
      </c>
      <c r="K4423" t="b">
        <v>1</v>
      </c>
    </row>
    <row r="4424" spans="1:11">
      <c r="A4424" s="12">
        <v>42193</v>
      </c>
      <c r="B4424">
        <v>2015</v>
      </c>
      <c r="C4424">
        <v>7</v>
      </c>
      <c r="D4424" s="11">
        <v>42186</v>
      </c>
      <c r="E4424" t="s">
        <v>2179</v>
      </c>
      <c r="F4424">
        <v>3</v>
      </c>
      <c r="G4424" t="s">
        <v>65</v>
      </c>
      <c r="H4424" t="s">
        <v>46</v>
      </c>
      <c r="I4424" t="s">
        <v>2194</v>
      </c>
      <c r="J4424" s="10">
        <v>5</v>
      </c>
      <c r="K4424" t="b">
        <v>1</v>
      </c>
    </row>
    <row r="4425" spans="1:11">
      <c r="A4425" s="12">
        <v>42193</v>
      </c>
      <c r="B4425">
        <v>2015</v>
      </c>
      <c r="C4425">
        <v>7</v>
      </c>
      <c r="D4425" s="11">
        <v>42186</v>
      </c>
      <c r="E4425" t="s">
        <v>2179</v>
      </c>
      <c r="F4425">
        <v>3</v>
      </c>
      <c r="G4425" t="s">
        <v>65</v>
      </c>
      <c r="H4425" t="s">
        <v>47</v>
      </c>
      <c r="I4425" t="s">
        <v>2195</v>
      </c>
      <c r="J4425" s="10">
        <v>3</v>
      </c>
      <c r="K4425" t="b">
        <v>1</v>
      </c>
    </row>
    <row r="4426" spans="1:11">
      <c r="A4426" s="12">
        <v>42194</v>
      </c>
      <c r="B4426">
        <v>2015</v>
      </c>
      <c r="C4426">
        <v>7</v>
      </c>
      <c r="D4426" s="11">
        <v>42186</v>
      </c>
      <c r="E4426" t="s">
        <v>2179</v>
      </c>
      <c r="F4426">
        <v>4</v>
      </c>
      <c r="G4426" t="s">
        <v>53</v>
      </c>
      <c r="H4426" t="s">
        <v>40</v>
      </c>
      <c r="I4426" t="s">
        <v>2188</v>
      </c>
      <c r="J4426" s="10">
        <v>2.34</v>
      </c>
      <c r="K4426" t="b">
        <v>1</v>
      </c>
    </row>
    <row r="4427" spans="1:11">
      <c r="A4427" s="12">
        <v>42194</v>
      </c>
      <c r="B4427">
        <v>2015</v>
      </c>
      <c r="C4427">
        <v>7</v>
      </c>
      <c r="D4427" s="11">
        <v>42186</v>
      </c>
      <c r="E4427" t="s">
        <v>2179</v>
      </c>
      <c r="F4427">
        <v>4</v>
      </c>
      <c r="G4427" t="s">
        <v>53</v>
      </c>
      <c r="H4427" t="s">
        <v>41</v>
      </c>
      <c r="I4427" t="s">
        <v>2189</v>
      </c>
      <c r="J4427" s="10">
        <v>1.67</v>
      </c>
      <c r="K4427" t="b">
        <v>1</v>
      </c>
    </row>
    <row r="4428" spans="1:11">
      <c r="A4428" s="12">
        <v>42194</v>
      </c>
      <c r="B4428">
        <v>2015</v>
      </c>
      <c r="C4428">
        <v>7</v>
      </c>
      <c r="D4428" s="11">
        <v>42186</v>
      </c>
      <c r="E4428" t="s">
        <v>2179</v>
      </c>
      <c r="F4428">
        <v>4</v>
      </c>
      <c r="G4428" t="s">
        <v>53</v>
      </c>
      <c r="H4428" t="s">
        <v>42</v>
      </c>
      <c r="I4428" t="s">
        <v>2190</v>
      </c>
      <c r="J4428" s="10">
        <v>2</v>
      </c>
      <c r="K4428" t="b">
        <v>1</v>
      </c>
    </row>
    <row r="4429" spans="1:11">
      <c r="A4429" s="12">
        <v>42194</v>
      </c>
      <c r="B4429">
        <v>2015</v>
      </c>
      <c r="C4429">
        <v>7</v>
      </c>
      <c r="D4429" s="11">
        <v>42186</v>
      </c>
      <c r="E4429" t="s">
        <v>2179</v>
      </c>
      <c r="F4429">
        <v>4</v>
      </c>
      <c r="G4429" t="s">
        <v>53</v>
      </c>
      <c r="H4429" t="s">
        <v>43</v>
      </c>
      <c r="I4429" t="s">
        <v>2191</v>
      </c>
      <c r="J4429" s="10">
        <v>32.75</v>
      </c>
      <c r="K4429" t="b">
        <v>1</v>
      </c>
    </row>
    <row r="4430" spans="1:11">
      <c r="A4430" s="12">
        <v>42194</v>
      </c>
      <c r="B4430">
        <v>2015</v>
      </c>
      <c r="C4430">
        <v>7</v>
      </c>
      <c r="D4430" s="11">
        <v>42186</v>
      </c>
      <c r="E4430" t="s">
        <v>2179</v>
      </c>
      <c r="F4430">
        <v>4</v>
      </c>
      <c r="G4430" t="s">
        <v>53</v>
      </c>
      <c r="H4430" t="s">
        <v>44</v>
      </c>
      <c r="I4430" t="s">
        <v>2192</v>
      </c>
      <c r="J4430" s="10">
        <v>4</v>
      </c>
      <c r="K4430" t="b">
        <v>1</v>
      </c>
    </row>
    <row r="4431" spans="1:11">
      <c r="A4431" s="12">
        <v>42194</v>
      </c>
      <c r="B4431">
        <v>2015</v>
      </c>
      <c r="C4431">
        <v>7</v>
      </c>
      <c r="D4431" s="11">
        <v>42186</v>
      </c>
      <c r="E4431" t="s">
        <v>2179</v>
      </c>
      <c r="F4431">
        <v>4</v>
      </c>
      <c r="G4431" t="s">
        <v>53</v>
      </c>
      <c r="H4431" t="s">
        <v>45</v>
      </c>
      <c r="I4431" t="s">
        <v>2193</v>
      </c>
      <c r="J4431" s="10">
        <v>0</v>
      </c>
      <c r="K4431" t="b">
        <v>1</v>
      </c>
    </row>
    <row r="4432" spans="1:11">
      <c r="A4432" s="12">
        <v>42194</v>
      </c>
      <c r="B4432">
        <v>2015</v>
      </c>
      <c r="C4432">
        <v>7</v>
      </c>
      <c r="D4432" s="11">
        <v>42186</v>
      </c>
      <c r="E4432" t="s">
        <v>2179</v>
      </c>
      <c r="F4432">
        <v>4</v>
      </c>
      <c r="G4432" t="s">
        <v>53</v>
      </c>
      <c r="H4432" t="s">
        <v>46</v>
      </c>
      <c r="I4432" t="s">
        <v>2194</v>
      </c>
      <c r="J4432" s="10">
        <v>0</v>
      </c>
      <c r="K4432" t="b">
        <v>1</v>
      </c>
    </row>
    <row r="4433" spans="1:11">
      <c r="A4433" s="12">
        <v>42194</v>
      </c>
      <c r="B4433">
        <v>2015</v>
      </c>
      <c r="C4433">
        <v>7</v>
      </c>
      <c r="D4433" s="11">
        <v>42186</v>
      </c>
      <c r="E4433" t="s">
        <v>2179</v>
      </c>
      <c r="F4433">
        <v>4</v>
      </c>
      <c r="G4433" t="s">
        <v>53</v>
      </c>
      <c r="H4433" t="s">
        <v>47</v>
      </c>
      <c r="I4433" t="s">
        <v>2195</v>
      </c>
      <c r="J4433" s="10">
        <v>5</v>
      </c>
      <c r="K4433" t="b">
        <v>1</v>
      </c>
    </row>
    <row r="4434" spans="1:11">
      <c r="A4434" s="12">
        <v>42195</v>
      </c>
      <c r="B4434">
        <v>2015</v>
      </c>
      <c r="C4434">
        <v>7</v>
      </c>
      <c r="D4434" s="11">
        <v>42186</v>
      </c>
      <c r="E4434" t="s">
        <v>2179</v>
      </c>
      <c r="F4434">
        <v>5</v>
      </c>
      <c r="G4434" t="s">
        <v>55</v>
      </c>
      <c r="H4434" t="s">
        <v>40</v>
      </c>
      <c r="I4434" t="s">
        <v>2188</v>
      </c>
      <c r="J4434" s="10">
        <v>5.5</v>
      </c>
      <c r="K4434" t="b">
        <v>1</v>
      </c>
    </row>
    <row r="4435" spans="1:11">
      <c r="A4435" s="12">
        <v>42195</v>
      </c>
      <c r="B4435">
        <v>2015</v>
      </c>
      <c r="C4435">
        <v>7</v>
      </c>
      <c r="D4435" s="11">
        <v>42186</v>
      </c>
      <c r="E4435" t="s">
        <v>2179</v>
      </c>
      <c r="F4435">
        <v>5</v>
      </c>
      <c r="G4435" t="s">
        <v>55</v>
      </c>
      <c r="H4435" t="s">
        <v>41</v>
      </c>
      <c r="I4435" t="s">
        <v>2189</v>
      </c>
      <c r="J4435" s="10">
        <v>6.34</v>
      </c>
      <c r="K4435" t="b">
        <v>1</v>
      </c>
    </row>
    <row r="4436" spans="1:11">
      <c r="A4436" s="12">
        <v>42195</v>
      </c>
      <c r="B4436">
        <v>2015</v>
      </c>
      <c r="C4436">
        <v>7</v>
      </c>
      <c r="D4436" s="11">
        <v>42186</v>
      </c>
      <c r="E4436" t="s">
        <v>2179</v>
      </c>
      <c r="F4436">
        <v>5</v>
      </c>
      <c r="G4436" t="s">
        <v>55</v>
      </c>
      <c r="H4436" t="s">
        <v>42</v>
      </c>
      <c r="I4436" t="s">
        <v>2190</v>
      </c>
      <c r="J4436" s="10">
        <v>5</v>
      </c>
      <c r="K4436" t="b">
        <v>1</v>
      </c>
    </row>
    <row r="4437" spans="1:11">
      <c r="A4437" s="12">
        <v>42195</v>
      </c>
      <c r="B4437">
        <v>2015</v>
      </c>
      <c r="C4437">
        <v>7</v>
      </c>
      <c r="D4437" s="11">
        <v>42186</v>
      </c>
      <c r="E4437" t="s">
        <v>2179</v>
      </c>
      <c r="F4437">
        <v>5</v>
      </c>
      <c r="G4437" t="s">
        <v>55</v>
      </c>
      <c r="H4437" t="s">
        <v>43</v>
      </c>
      <c r="I4437" t="s">
        <v>2191</v>
      </c>
      <c r="J4437" s="10">
        <v>37</v>
      </c>
      <c r="K4437" t="b">
        <v>1</v>
      </c>
    </row>
    <row r="4438" spans="1:11">
      <c r="A4438" s="12">
        <v>42195</v>
      </c>
      <c r="B4438">
        <v>2015</v>
      </c>
      <c r="C4438">
        <v>7</v>
      </c>
      <c r="D4438" s="11">
        <v>42186</v>
      </c>
      <c r="E4438" t="s">
        <v>2179</v>
      </c>
      <c r="F4438">
        <v>5</v>
      </c>
      <c r="G4438" t="s">
        <v>55</v>
      </c>
      <c r="H4438" t="s">
        <v>44</v>
      </c>
      <c r="I4438" t="s">
        <v>2192</v>
      </c>
      <c r="J4438" s="10">
        <v>15</v>
      </c>
      <c r="K4438" t="b">
        <v>1</v>
      </c>
    </row>
    <row r="4439" spans="1:11">
      <c r="A4439" s="12">
        <v>42195</v>
      </c>
      <c r="B4439">
        <v>2015</v>
      </c>
      <c r="C4439">
        <v>7</v>
      </c>
      <c r="D4439" s="11">
        <v>42186</v>
      </c>
      <c r="E4439" t="s">
        <v>2179</v>
      </c>
      <c r="F4439">
        <v>5</v>
      </c>
      <c r="G4439" t="s">
        <v>55</v>
      </c>
      <c r="H4439" t="s">
        <v>45</v>
      </c>
      <c r="I4439" t="s">
        <v>2193</v>
      </c>
      <c r="J4439" s="10">
        <v>0</v>
      </c>
      <c r="K4439" t="b">
        <v>1</v>
      </c>
    </row>
    <row r="4440" spans="1:11">
      <c r="A4440" s="12">
        <v>42195</v>
      </c>
      <c r="B4440">
        <v>2015</v>
      </c>
      <c r="C4440">
        <v>7</v>
      </c>
      <c r="D4440" s="11">
        <v>42186</v>
      </c>
      <c r="E4440" t="s">
        <v>2179</v>
      </c>
      <c r="F4440">
        <v>5</v>
      </c>
      <c r="G4440" t="s">
        <v>55</v>
      </c>
      <c r="H4440" t="s">
        <v>46</v>
      </c>
      <c r="I4440" t="s">
        <v>2194</v>
      </c>
      <c r="J4440" s="10">
        <v>8</v>
      </c>
      <c r="K4440" t="b">
        <v>1</v>
      </c>
    </row>
    <row r="4441" spans="1:11">
      <c r="A4441" s="12">
        <v>42195</v>
      </c>
      <c r="B4441">
        <v>2015</v>
      </c>
      <c r="C4441">
        <v>7</v>
      </c>
      <c r="D4441" s="11">
        <v>42186</v>
      </c>
      <c r="E4441" t="s">
        <v>2179</v>
      </c>
      <c r="F4441">
        <v>5</v>
      </c>
      <c r="G4441" t="s">
        <v>55</v>
      </c>
      <c r="H4441" t="s">
        <v>47</v>
      </c>
      <c r="I4441" t="s">
        <v>2195</v>
      </c>
      <c r="J4441" s="10">
        <v>6</v>
      </c>
      <c r="K4441" t="b">
        <v>1</v>
      </c>
    </row>
    <row r="4442" spans="1:11">
      <c r="A4442" s="12">
        <v>42196</v>
      </c>
      <c r="B4442">
        <v>2015</v>
      </c>
      <c r="C4442">
        <v>7</v>
      </c>
      <c r="D4442" s="11">
        <v>42186</v>
      </c>
      <c r="E4442" t="s">
        <v>2179</v>
      </c>
      <c r="F4442">
        <v>6</v>
      </c>
      <c r="G4442" t="s">
        <v>57</v>
      </c>
      <c r="H4442" t="s">
        <v>40</v>
      </c>
      <c r="I4442" t="s">
        <v>2188</v>
      </c>
      <c r="J4442" s="10">
        <v>4</v>
      </c>
      <c r="K4442" t="b">
        <v>1</v>
      </c>
    </row>
    <row r="4443" spans="1:11">
      <c r="A4443" s="12">
        <v>42196</v>
      </c>
      <c r="B4443">
        <v>2015</v>
      </c>
      <c r="C4443">
        <v>7</v>
      </c>
      <c r="D4443" s="11">
        <v>42186</v>
      </c>
      <c r="E4443" t="s">
        <v>2179</v>
      </c>
      <c r="F4443">
        <v>6</v>
      </c>
      <c r="G4443" t="s">
        <v>57</v>
      </c>
      <c r="H4443" t="s">
        <v>41</v>
      </c>
      <c r="I4443" t="s">
        <v>2189</v>
      </c>
      <c r="J4443" s="10">
        <v>2.33</v>
      </c>
      <c r="K4443" t="b">
        <v>1</v>
      </c>
    </row>
    <row r="4444" spans="1:11">
      <c r="A4444" s="12">
        <v>42196</v>
      </c>
      <c r="B4444">
        <v>2015</v>
      </c>
      <c r="C4444">
        <v>7</v>
      </c>
      <c r="D4444" s="11">
        <v>42186</v>
      </c>
      <c r="E4444" t="s">
        <v>2179</v>
      </c>
      <c r="F4444">
        <v>6</v>
      </c>
      <c r="G4444" t="s">
        <v>57</v>
      </c>
      <c r="H4444" t="s">
        <v>42</v>
      </c>
      <c r="I4444" t="s">
        <v>2190</v>
      </c>
      <c r="J4444" s="10">
        <v>4.9</v>
      </c>
      <c r="K4444" t="b">
        <v>1</v>
      </c>
    </row>
    <row r="4445" spans="1:11">
      <c r="A4445" s="12">
        <v>42196</v>
      </c>
      <c r="B4445">
        <v>2015</v>
      </c>
      <c r="C4445">
        <v>7</v>
      </c>
      <c r="D4445" s="11">
        <v>42186</v>
      </c>
      <c r="E4445" t="s">
        <v>2179</v>
      </c>
      <c r="F4445">
        <v>6</v>
      </c>
      <c r="G4445" t="s">
        <v>57</v>
      </c>
      <c r="H4445" t="s">
        <v>43</v>
      </c>
      <c r="I4445" t="s">
        <v>2191</v>
      </c>
      <c r="J4445" s="10">
        <v>45</v>
      </c>
      <c r="K4445" t="b">
        <v>1</v>
      </c>
    </row>
    <row r="4446" spans="1:11">
      <c r="A4446" s="12">
        <v>42196</v>
      </c>
      <c r="B4446">
        <v>2015</v>
      </c>
      <c r="C4446">
        <v>7</v>
      </c>
      <c r="D4446" s="11">
        <v>42186</v>
      </c>
      <c r="E4446" t="s">
        <v>2179</v>
      </c>
      <c r="F4446">
        <v>6</v>
      </c>
      <c r="G4446" t="s">
        <v>57</v>
      </c>
      <c r="H4446" t="s">
        <v>44</v>
      </c>
      <c r="I4446" t="s">
        <v>2192</v>
      </c>
      <c r="J4446" s="10">
        <v>9</v>
      </c>
      <c r="K4446" t="b">
        <v>1</v>
      </c>
    </row>
    <row r="4447" spans="1:11">
      <c r="A4447" s="12">
        <v>42196</v>
      </c>
      <c r="B4447">
        <v>2015</v>
      </c>
      <c r="C4447">
        <v>7</v>
      </c>
      <c r="D4447" s="11">
        <v>42186</v>
      </c>
      <c r="E4447" t="s">
        <v>2179</v>
      </c>
      <c r="F4447">
        <v>6</v>
      </c>
      <c r="G4447" t="s">
        <v>57</v>
      </c>
      <c r="H4447" t="s">
        <v>45</v>
      </c>
      <c r="I4447" t="s">
        <v>2193</v>
      </c>
      <c r="J4447" s="10">
        <v>0</v>
      </c>
      <c r="K4447" t="b">
        <v>1</v>
      </c>
    </row>
    <row r="4448" spans="1:11">
      <c r="A4448" s="12">
        <v>42196</v>
      </c>
      <c r="B4448">
        <v>2015</v>
      </c>
      <c r="C4448">
        <v>7</v>
      </c>
      <c r="D4448" s="11">
        <v>42186</v>
      </c>
      <c r="E4448" t="s">
        <v>2179</v>
      </c>
      <c r="F4448">
        <v>6</v>
      </c>
      <c r="G4448" t="s">
        <v>57</v>
      </c>
      <c r="H4448" t="s">
        <v>46</v>
      </c>
      <c r="I4448" t="s">
        <v>2194</v>
      </c>
      <c r="J4448" s="10">
        <v>2</v>
      </c>
      <c r="K4448" t="b">
        <v>1</v>
      </c>
    </row>
    <row r="4449" spans="1:11">
      <c r="A4449" s="12">
        <v>42196</v>
      </c>
      <c r="B4449">
        <v>2015</v>
      </c>
      <c r="C4449">
        <v>7</v>
      </c>
      <c r="D4449" s="11">
        <v>42186</v>
      </c>
      <c r="E4449" t="s">
        <v>2179</v>
      </c>
      <c r="F4449">
        <v>6</v>
      </c>
      <c r="G4449" t="s">
        <v>57</v>
      </c>
      <c r="H4449" t="s">
        <v>47</v>
      </c>
      <c r="I4449" t="s">
        <v>2195</v>
      </c>
      <c r="J4449" s="10">
        <v>10</v>
      </c>
      <c r="K4449" t="b">
        <v>1</v>
      </c>
    </row>
    <row r="4450" spans="1:11">
      <c r="A4450" s="12">
        <v>42197</v>
      </c>
      <c r="B4450">
        <v>2015</v>
      </c>
      <c r="C4450">
        <v>7</v>
      </c>
      <c r="D4450" s="11">
        <v>42186</v>
      </c>
      <c r="E4450" t="s">
        <v>2179</v>
      </c>
      <c r="F4450">
        <v>7</v>
      </c>
      <c r="G4450" t="s">
        <v>59</v>
      </c>
      <c r="H4450" t="s">
        <v>40</v>
      </c>
      <c r="I4450" t="s">
        <v>2188</v>
      </c>
      <c r="J4450" s="10">
        <v>6.33</v>
      </c>
      <c r="K4450" t="b">
        <v>1</v>
      </c>
    </row>
    <row r="4451" spans="1:11">
      <c r="A4451" s="12">
        <v>42197</v>
      </c>
      <c r="B4451">
        <v>2015</v>
      </c>
      <c r="C4451">
        <v>7</v>
      </c>
      <c r="D4451" s="11">
        <v>42186</v>
      </c>
      <c r="E4451" t="s">
        <v>2179</v>
      </c>
      <c r="F4451">
        <v>7</v>
      </c>
      <c r="G4451" t="s">
        <v>59</v>
      </c>
      <c r="H4451" t="s">
        <v>41</v>
      </c>
      <c r="I4451" t="s">
        <v>2189</v>
      </c>
      <c r="J4451" s="10">
        <v>5.33</v>
      </c>
      <c r="K4451" t="b">
        <v>1</v>
      </c>
    </row>
    <row r="4452" spans="1:11">
      <c r="A4452" s="12">
        <v>42197</v>
      </c>
      <c r="B4452">
        <v>2015</v>
      </c>
      <c r="C4452">
        <v>7</v>
      </c>
      <c r="D4452" s="11">
        <v>42186</v>
      </c>
      <c r="E4452" t="s">
        <v>2179</v>
      </c>
      <c r="F4452">
        <v>7</v>
      </c>
      <c r="G4452" t="s">
        <v>59</v>
      </c>
      <c r="H4452" t="s">
        <v>42</v>
      </c>
      <c r="I4452" t="s">
        <v>2190</v>
      </c>
      <c r="J4452" s="10">
        <v>5</v>
      </c>
      <c r="K4452" t="b">
        <v>1</v>
      </c>
    </row>
    <row r="4453" spans="1:11">
      <c r="A4453" s="12">
        <v>42197</v>
      </c>
      <c r="B4453">
        <v>2015</v>
      </c>
      <c r="C4453">
        <v>7</v>
      </c>
      <c r="D4453" s="11">
        <v>42186</v>
      </c>
      <c r="E4453" t="s">
        <v>2179</v>
      </c>
      <c r="F4453">
        <v>7</v>
      </c>
      <c r="G4453" t="s">
        <v>59</v>
      </c>
      <c r="H4453" t="s">
        <v>43</v>
      </c>
      <c r="I4453" t="s">
        <v>2191</v>
      </c>
      <c r="J4453" s="10">
        <v>25.3</v>
      </c>
      <c r="K4453" t="b">
        <v>1</v>
      </c>
    </row>
    <row r="4454" spans="1:11">
      <c r="A4454" s="12">
        <v>42197</v>
      </c>
      <c r="B4454">
        <v>2015</v>
      </c>
      <c r="C4454">
        <v>7</v>
      </c>
      <c r="D4454" s="11">
        <v>42186</v>
      </c>
      <c r="E4454" t="s">
        <v>2179</v>
      </c>
      <c r="F4454">
        <v>7</v>
      </c>
      <c r="G4454" t="s">
        <v>59</v>
      </c>
      <c r="H4454" t="s">
        <v>44</v>
      </c>
      <c r="I4454" t="s">
        <v>2192</v>
      </c>
      <c r="J4454" s="10">
        <v>5</v>
      </c>
      <c r="K4454" t="b">
        <v>1</v>
      </c>
    </row>
    <row r="4455" spans="1:11">
      <c r="A4455" s="12">
        <v>42197</v>
      </c>
      <c r="B4455">
        <v>2015</v>
      </c>
      <c r="C4455">
        <v>7</v>
      </c>
      <c r="D4455" s="11">
        <v>42186</v>
      </c>
      <c r="E4455" t="s">
        <v>2179</v>
      </c>
      <c r="F4455">
        <v>7</v>
      </c>
      <c r="G4455" t="s">
        <v>59</v>
      </c>
      <c r="H4455" t="s">
        <v>45</v>
      </c>
      <c r="I4455" t="s">
        <v>2193</v>
      </c>
      <c r="J4455" s="10">
        <v>0</v>
      </c>
      <c r="K4455" t="b">
        <v>1</v>
      </c>
    </row>
    <row r="4456" spans="1:11">
      <c r="A4456" s="12">
        <v>42197</v>
      </c>
      <c r="B4456">
        <v>2015</v>
      </c>
      <c r="C4456">
        <v>7</v>
      </c>
      <c r="D4456" s="11">
        <v>42186</v>
      </c>
      <c r="E4456" t="s">
        <v>2179</v>
      </c>
      <c r="F4456">
        <v>7</v>
      </c>
      <c r="G4456" t="s">
        <v>59</v>
      </c>
      <c r="H4456" t="s">
        <v>46</v>
      </c>
      <c r="I4456" t="s">
        <v>2194</v>
      </c>
      <c r="J4456" s="10">
        <v>0</v>
      </c>
      <c r="K4456" t="b">
        <v>1</v>
      </c>
    </row>
    <row r="4457" spans="1:11">
      <c r="A4457" s="12">
        <v>42197</v>
      </c>
      <c r="B4457">
        <v>2015</v>
      </c>
      <c r="C4457">
        <v>7</v>
      </c>
      <c r="D4457" s="11">
        <v>42186</v>
      </c>
      <c r="E4457" t="s">
        <v>2179</v>
      </c>
      <c r="F4457">
        <v>7</v>
      </c>
      <c r="G4457" t="s">
        <v>59</v>
      </c>
      <c r="H4457" t="s">
        <v>47</v>
      </c>
      <c r="I4457" t="s">
        <v>2195</v>
      </c>
      <c r="J4457" s="10">
        <v>6.5</v>
      </c>
      <c r="K4457" t="b">
        <v>1</v>
      </c>
    </row>
    <row r="4458" spans="1:11">
      <c r="A4458" s="12">
        <v>42198</v>
      </c>
      <c r="B4458">
        <v>2015</v>
      </c>
      <c r="C4458">
        <v>7</v>
      </c>
      <c r="D4458" s="11">
        <v>42186</v>
      </c>
      <c r="E4458" t="s">
        <v>2179</v>
      </c>
      <c r="F4458">
        <v>1</v>
      </c>
      <c r="G4458" t="s">
        <v>61</v>
      </c>
      <c r="H4458" t="s">
        <v>40</v>
      </c>
      <c r="I4458" t="s">
        <v>2188</v>
      </c>
      <c r="J4458" s="10">
        <v>3.68</v>
      </c>
      <c r="K4458" t="b">
        <v>1</v>
      </c>
    </row>
    <row r="4459" spans="1:11">
      <c r="A4459" s="12">
        <v>42198</v>
      </c>
      <c r="B4459">
        <v>2015</v>
      </c>
      <c r="C4459">
        <v>7</v>
      </c>
      <c r="D4459" s="11">
        <v>42186</v>
      </c>
      <c r="E4459" t="s">
        <v>2179</v>
      </c>
      <c r="F4459">
        <v>1</v>
      </c>
      <c r="G4459" t="s">
        <v>61</v>
      </c>
      <c r="H4459" t="s">
        <v>41</v>
      </c>
      <c r="I4459" t="s">
        <v>2189</v>
      </c>
      <c r="J4459" s="10">
        <v>0.66</v>
      </c>
      <c r="K4459" t="b">
        <v>1</v>
      </c>
    </row>
    <row r="4460" spans="1:11">
      <c r="A4460" s="12">
        <v>42198</v>
      </c>
      <c r="B4460">
        <v>2015</v>
      </c>
      <c r="C4460">
        <v>7</v>
      </c>
      <c r="D4460" s="11">
        <v>42186</v>
      </c>
      <c r="E4460" t="s">
        <v>2179</v>
      </c>
      <c r="F4460">
        <v>1</v>
      </c>
      <c r="G4460" t="s">
        <v>61</v>
      </c>
      <c r="H4460" t="s">
        <v>42</v>
      </c>
      <c r="I4460" t="s">
        <v>2190</v>
      </c>
      <c r="J4460" s="10">
        <v>8</v>
      </c>
      <c r="K4460" t="b">
        <v>1</v>
      </c>
    </row>
    <row r="4461" spans="1:11">
      <c r="A4461" s="12">
        <v>42198</v>
      </c>
      <c r="B4461">
        <v>2015</v>
      </c>
      <c r="C4461">
        <v>7</v>
      </c>
      <c r="D4461" s="11">
        <v>42186</v>
      </c>
      <c r="E4461" t="s">
        <v>2179</v>
      </c>
      <c r="F4461">
        <v>1</v>
      </c>
      <c r="G4461" t="s">
        <v>61</v>
      </c>
      <c r="H4461" t="s">
        <v>43</v>
      </c>
      <c r="I4461" t="s">
        <v>2191</v>
      </c>
      <c r="J4461" s="10">
        <v>22.55</v>
      </c>
      <c r="K4461" t="b">
        <v>1</v>
      </c>
    </row>
    <row r="4462" spans="1:11">
      <c r="A4462" s="12">
        <v>42198</v>
      </c>
      <c r="B4462">
        <v>2015</v>
      </c>
      <c r="C4462">
        <v>7</v>
      </c>
      <c r="D4462" s="11">
        <v>42186</v>
      </c>
      <c r="E4462" t="s">
        <v>2179</v>
      </c>
      <c r="F4462">
        <v>1</v>
      </c>
      <c r="G4462" t="s">
        <v>61</v>
      </c>
      <c r="H4462" t="s">
        <v>44</v>
      </c>
      <c r="I4462" t="s">
        <v>2192</v>
      </c>
      <c r="J4462" s="10">
        <v>5</v>
      </c>
      <c r="K4462" t="b">
        <v>1</v>
      </c>
    </row>
    <row r="4463" spans="1:11">
      <c r="A4463" s="12">
        <v>42198</v>
      </c>
      <c r="B4463">
        <v>2015</v>
      </c>
      <c r="C4463">
        <v>7</v>
      </c>
      <c r="D4463" s="11">
        <v>42186</v>
      </c>
      <c r="E4463" t="s">
        <v>2179</v>
      </c>
      <c r="F4463">
        <v>1</v>
      </c>
      <c r="G4463" t="s">
        <v>61</v>
      </c>
      <c r="H4463" t="s">
        <v>45</v>
      </c>
      <c r="I4463" t="s">
        <v>2193</v>
      </c>
      <c r="J4463" s="10">
        <v>0</v>
      </c>
      <c r="K4463" t="b">
        <v>1</v>
      </c>
    </row>
    <row r="4464" spans="1:11">
      <c r="A4464" s="12">
        <v>42198</v>
      </c>
      <c r="B4464">
        <v>2015</v>
      </c>
      <c r="C4464">
        <v>7</v>
      </c>
      <c r="D4464" s="11">
        <v>42186</v>
      </c>
      <c r="E4464" t="s">
        <v>2179</v>
      </c>
      <c r="F4464">
        <v>1</v>
      </c>
      <c r="G4464" t="s">
        <v>61</v>
      </c>
      <c r="H4464" t="s">
        <v>46</v>
      </c>
      <c r="I4464" t="s">
        <v>2194</v>
      </c>
      <c r="J4464" s="10">
        <v>0</v>
      </c>
      <c r="K4464" t="b">
        <v>1</v>
      </c>
    </row>
    <row r="4465" spans="1:11">
      <c r="A4465" s="12">
        <v>42198</v>
      </c>
      <c r="B4465">
        <v>2015</v>
      </c>
      <c r="C4465">
        <v>7</v>
      </c>
      <c r="D4465" s="11">
        <v>42186</v>
      </c>
      <c r="E4465" t="s">
        <v>2179</v>
      </c>
      <c r="F4465">
        <v>1</v>
      </c>
      <c r="G4465" t="s">
        <v>61</v>
      </c>
      <c r="H4465" t="s">
        <v>47</v>
      </c>
      <c r="I4465" t="s">
        <v>2195</v>
      </c>
      <c r="J4465" s="10">
        <v>3</v>
      </c>
      <c r="K4465" t="b">
        <v>1</v>
      </c>
    </row>
    <row r="4466" spans="1:11">
      <c r="A4466" s="12">
        <v>42199</v>
      </c>
      <c r="B4466">
        <v>2015</v>
      </c>
      <c r="C4466">
        <v>7</v>
      </c>
      <c r="D4466" s="11">
        <v>42186</v>
      </c>
      <c r="E4466" t="s">
        <v>2179</v>
      </c>
      <c r="F4466">
        <v>2</v>
      </c>
      <c r="G4466" t="s">
        <v>63</v>
      </c>
      <c r="H4466" t="s">
        <v>40</v>
      </c>
      <c r="I4466" t="s">
        <v>2188</v>
      </c>
      <c r="J4466" s="10">
        <v>0.34</v>
      </c>
      <c r="K4466" t="b">
        <v>1</v>
      </c>
    </row>
    <row r="4467" spans="1:11">
      <c r="A4467" s="12">
        <v>42199</v>
      </c>
      <c r="B4467">
        <v>2015</v>
      </c>
      <c r="C4467">
        <v>7</v>
      </c>
      <c r="D4467" s="11">
        <v>42186</v>
      </c>
      <c r="E4467" t="s">
        <v>2179</v>
      </c>
      <c r="F4467">
        <v>2</v>
      </c>
      <c r="G4467" t="s">
        <v>63</v>
      </c>
      <c r="H4467" t="s">
        <v>41</v>
      </c>
      <c r="I4467" t="s">
        <v>2189</v>
      </c>
      <c r="J4467" s="10">
        <v>4.33</v>
      </c>
      <c r="K4467" t="b">
        <v>1</v>
      </c>
    </row>
    <row r="4468" spans="1:11">
      <c r="A4468" s="12">
        <v>42199</v>
      </c>
      <c r="B4468">
        <v>2015</v>
      </c>
      <c r="C4468">
        <v>7</v>
      </c>
      <c r="D4468" s="11">
        <v>42186</v>
      </c>
      <c r="E4468" t="s">
        <v>2179</v>
      </c>
      <c r="F4468">
        <v>2</v>
      </c>
      <c r="G4468" t="s">
        <v>63</v>
      </c>
      <c r="H4468" t="s">
        <v>42</v>
      </c>
      <c r="I4468" t="s">
        <v>2190</v>
      </c>
      <c r="J4468" s="10">
        <v>5</v>
      </c>
      <c r="K4468" t="b">
        <v>1</v>
      </c>
    </row>
    <row r="4469" spans="1:11">
      <c r="A4469" s="12">
        <v>42199</v>
      </c>
      <c r="B4469">
        <v>2015</v>
      </c>
      <c r="C4469">
        <v>7</v>
      </c>
      <c r="D4469" s="11">
        <v>42186</v>
      </c>
      <c r="E4469" t="s">
        <v>2179</v>
      </c>
      <c r="F4469">
        <v>2</v>
      </c>
      <c r="G4469" t="s">
        <v>63</v>
      </c>
      <c r="H4469" t="s">
        <v>43</v>
      </c>
      <c r="I4469" t="s">
        <v>2191</v>
      </c>
      <c r="J4469" s="10">
        <v>14</v>
      </c>
      <c r="K4469" t="b">
        <v>1</v>
      </c>
    </row>
    <row r="4470" spans="1:11">
      <c r="A4470" s="12">
        <v>42199</v>
      </c>
      <c r="B4470">
        <v>2015</v>
      </c>
      <c r="C4470">
        <v>7</v>
      </c>
      <c r="D4470" s="11">
        <v>42186</v>
      </c>
      <c r="E4470" t="s">
        <v>2179</v>
      </c>
      <c r="F4470">
        <v>2</v>
      </c>
      <c r="G4470" t="s">
        <v>63</v>
      </c>
      <c r="H4470" t="s">
        <v>44</v>
      </c>
      <c r="I4470" t="s">
        <v>2192</v>
      </c>
      <c r="J4470" s="10">
        <v>1</v>
      </c>
      <c r="K4470" t="b">
        <v>1</v>
      </c>
    </row>
    <row r="4471" spans="1:11">
      <c r="A4471" s="12">
        <v>42199</v>
      </c>
      <c r="B4471">
        <v>2015</v>
      </c>
      <c r="C4471">
        <v>7</v>
      </c>
      <c r="D4471" s="11">
        <v>42186</v>
      </c>
      <c r="E4471" t="s">
        <v>2179</v>
      </c>
      <c r="F4471">
        <v>2</v>
      </c>
      <c r="G4471" t="s">
        <v>63</v>
      </c>
      <c r="H4471" t="s">
        <v>45</v>
      </c>
      <c r="I4471" t="s">
        <v>2193</v>
      </c>
      <c r="J4471" s="10">
        <v>0</v>
      </c>
      <c r="K4471" t="b">
        <v>1</v>
      </c>
    </row>
    <row r="4472" spans="1:11">
      <c r="A4472" s="12">
        <v>42199</v>
      </c>
      <c r="B4472">
        <v>2015</v>
      </c>
      <c r="C4472">
        <v>7</v>
      </c>
      <c r="D4472" s="11">
        <v>42186</v>
      </c>
      <c r="E4472" t="s">
        <v>2179</v>
      </c>
      <c r="F4472">
        <v>2</v>
      </c>
      <c r="G4472" t="s">
        <v>63</v>
      </c>
      <c r="H4472" t="s">
        <v>46</v>
      </c>
      <c r="I4472" t="s">
        <v>2194</v>
      </c>
      <c r="J4472" s="10">
        <v>2</v>
      </c>
      <c r="K4472" t="b">
        <v>1</v>
      </c>
    </row>
    <row r="4473" spans="1:11">
      <c r="A4473" s="12">
        <v>42199</v>
      </c>
      <c r="B4473">
        <v>2015</v>
      </c>
      <c r="C4473">
        <v>7</v>
      </c>
      <c r="D4473" s="11">
        <v>42186</v>
      </c>
      <c r="E4473" t="s">
        <v>2179</v>
      </c>
      <c r="F4473">
        <v>2</v>
      </c>
      <c r="G4473" t="s">
        <v>63</v>
      </c>
      <c r="H4473" t="s">
        <v>47</v>
      </c>
      <c r="I4473" t="s">
        <v>2195</v>
      </c>
      <c r="J4473" s="10">
        <v>2</v>
      </c>
      <c r="K4473" t="b">
        <v>1</v>
      </c>
    </row>
    <row r="4474" spans="1:11">
      <c r="A4474" s="12">
        <v>42200</v>
      </c>
      <c r="B4474">
        <v>2015</v>
      </c>
      <c r="C4474">
        <v>7</v>
      </c>
      <c r="D4474" s="11">
        <v>42186</v>
      </c>
      <c r="E4474" t="s">
        <v>2179</v>
      </c>
      <c r="F4474">
        <v>3</v>
      </c>
      <c r="G4474" t="s">
        <v>65</v>
      </c>
      <c r="H4474" t="s">
        <v>40</v>
      </c>
      <c r="I4474" t="s">
        <v>2188</v>
      </c>
      <c r="J4474" s="10">
        <v>8.49</v>
      </c>
      <c r="K4474" t="b">
        <v>1</v>
      </c>
    </row>
    <row r="4475" spans="1:11">
      <c r="A4475" s="12">
        <v>42200</v>
      </c>
      <c r="B4475">
        <v>2015</v>
      </c>
      <c r="C4475">
        <v>7</v>
      </c>
      <c r="D4475" s="11">
        <v>42186</v>
      </c>
      <c r="E4475" t="s">
        <v>2179</v>
      </c>
      <c r="F4475">
        <v>3</v>
      </c>
      <c r="G4475" t="s">
        <v>65</v>
      </c>
      <c r="H4475" t="s">
        <v>41</v>
      </c>
      <c r="I4475" t="s">
        <v>2189</v>
      </c>
      <c r="J4475" s="10">
        <v>1.66</v>
      </c>
      <c r="K4475" t="b">
        <v>1</v>
      </c>
    </row>
    <row r="4476" spans="1:11">
      <c r="A4476" s="12">
        <v>42200</v>
      </c>
      <c r="B4476">
        <v>2015</v>
      </c>
      <c r="C4476">
        <v>7</v>
      </c>
      <c r="D4476" s="11">
        <v>42186</v>
      </c>
      <c r="E4476" t="s">
        <v>2179</v>
      </c>
      <c r="F4476">
        <v>3</v>
      </c>
      <c r="G4476" t="s">
        <v>65</v>
      </c>
      <c r="H4476" t="s">
        <v>42</v>
      </c>
      <c r="I4476" t="s">
        <v>2190</v>
      </c>
      <c r="J4476" s="10">
        <v>4</v>
      </c>
      <c r="K4476" t="b">
        <v>1</v>
      </c>
    </row>
    <row r="4477" spans="1:11">
      <c r="A4477" s="12">
        <v>42200</v>
      </c>
      <c r="B4477">
        <v>2015</v>
      </c>
      <c r="C4477">
        <v>7</v>
      </c>
      <c r="D4477" s="11">
        <v>42186</v>
      </c>
      <c r="E4477" t="s">
        <v>2179</v>
      </c>
      <c r="F4477">
        <v>3</v>
      </c>
      <c r="G4477" t="s">
        <v>65</v>
      </c>
      <c r="H4477" t="s">
        <v>43</v>
      </c>
      <c r="I4477" t="s">
        <v>2191</v>
      </c>
      <c r="J4477" s="10">
        <v>20.2</v>
      </c>
      <c r="K4477" t="b">
        <v>1</v>
      </c>
    </row>
    <row r="4478" spans="1:11">
      <c r="A4478" s="12">
        <v>42200</v>
      </c>
      <c r="B4478">
        <v>2015</v>
      </c>
      <c r="C4478">
        <v>7</v>
      </c>
      <c r="D4478" s="11">
        <v>42186</v>
      </c>
      <c r="E4478" t="s">
        <v>2179</v>
      </c>
      <c r="F4478">
        <v>3</v>
      </c>
      <c r="G4478" t="s">
        <v>65</v>
      </c>
      <c r="H4478" t="s">
        <v>44</v>
      </c>
      <c r="I4478" t="s">
        <v>2192</v>
      </c>
      <c r="J4478" s="10">
        <v>5</v>
      </c>
      <c r="K4478" t="b">
        <v>1</v>
      </c>
    </row>
    <row r="4479" spans="1:11">
      <c r="A4479" s="12">
        <v>42200</v>
      </c>
      <c r="B4479">
        <v>2015</v>
      </c>
      <c r="C4479">
        <v>7</v>
      </c>
      <c r="D4479" s="11">
        <v>42186</v>
      </c>
      <c r="E4479" t="s">
        <v>2179</v>
      </c>
      <c r="F4479">
        <v>3</v>
      </c>
      <c r="G4479" t="s">
        <v>65</v>
      </c>
      <c r="H4479" t="s">
        <v>45</v>
      </c>
      <c r="I4479" t="s">
        <v>2193</v>
      </c>
      <c r="J4479" s="10">
        <v>0</v>
      </c>
      <c r="K4479" t="b">
        <v>1</v>
      </c>
    </row>
    <row r="4480" spans="1:11">
      <c r="A4480" s="12">
        <v>42200</v>
      </c>
      <c r="B4480">
        <v>2015</v>
      </c>
      <c r="C4480">
        <v>7</v>
      </c>
      <c r="D4480" s="11">
        <v>42186</v>
      </c>
      <c r="E4480" t="s">
        <v>2179</v>
      </c>
      <c r="F4480">
        <v>3</v>
      </c>
      <c r="G4480" t="s">
        <v>65</v>
      </c>
      <c r="H4480" t="s">
        <v>46</v>
      </c>
      <c r="I4480" t="s">
        <v>2194</v>
      </c>
      <c r="J4480" s="10">
        <v>1</v>
      </c>
      <c r="K4480" t="b">
        <v>1</v>
      </c>
    </row>
    <row r="4481" spans="1:11">
      <c r="A4481" s="12">
        <v>42200</v>
      </c>
      <c r="B4481">
        <v>2015</v>
      </c>
      <c r="C4481">
        <v>7</v>
      </c>
      <c r="D4481" s="11">
        <v>42186</v>
      </c>
      <c r="E4481" t="s">
        <v>2179</v>
      </c>
      <c r="F4481">
        <v>3</v>
      </c>
      <c r="G4481" t="s">
        <v>65</v>
      </c>
      <c r="H4481" t="s">
        <v>47</v>
      </c>
      <c r="I4481" t="s">
        <v>2195</v>
      </c>
      <c r="J4481" s="10">
        <v>9</v>
      </c>
      <c r="K4481" t="b">
        <v>1</v>
      </c>
    </row>
    <row r="4482" spans="1:11">
      <c r="A4482" s="12">
        <v>42201</v>
      </c>
      <c r="B4482">
        <v>2015</v>
      </c>
      <c r="C4482">
        <v>7</v>
      </c>
      <c r="D4482" s="11">
        <v>42186</v>
      </c>
      <c r="E4482" t="s">
        <v>2179</v>
      </c>
      <c r="F4482">
        <v>4</v>
      </c>
      <c r="G4482" t="s">
        <v>53</v>
      </c>
      <c r="H4482" t="s">
        <v>40</v>
      </c>
      <c r="I4482" t="s">
        <v>2188</v>
      </c>
      <c r="J4482" s="10">
        <v>8.34</v>
      </c>
      <c r="K4482" t="b">
        <v>1</v>
      </c>
    </row>
    <row r="4483" spans="1:11">
      <c r="A4483" s="12">
        <v>42201</v>
      </c>
      <c r="B4483">
        <v>2015</v>
      </c>
      <c r="C4483">
        <v>7</v>
      </c>
      <c r="D4483" s="11">
        <v>42186</v>
      </c>
      <c r="E4483" t="s">
        <v>2179</v>
      </c>
      <c r="F4483">
        <v>4</v>
      </c>
      <c r="G4483" t="s">
        <v>53</v>
      </c>
      <c r="H4483" t="s">
        <v>41</v>
      </c>
      <c r="I4483" t="s">
        <v>2189</v>
      </c>
      <c r="J4483" s="10">
        <v>3.33</v>
      </c>
      <c r="K4483" t="b">
        <v>1</v>
      </c>
    </row>
    <row r="4484" spans="1:11">
      <c r="A4484" s="12">
        <v>42201</v>
      </c>
      <c r="B4484">
        <v>2015</v>
      </c>
      <c r="C4484">
        <v>7</v>
      </c>
      <c r="D4484" s="11">
        <v>42186</v>
      </c>
      <c r="E4484" t="s">
        <v>2179</v>
      </c>
      <c r="F4484">
        <v>4</v>
      </c>
      <c r="G4484" t="s">
        <v>53</v>
      </c>
      <c r="H4484" t="s">
        <v>42</v>
      </c>
      <c r="I4484" t="s">
        <v>2190</v>
      </c>
      <c r="J4484" s="10">
        <v>1</v>
      </c>
      <c r="K4484" t="b">
        <v>1</v>
      </c>
    </row>
    <row r="4485" spans="1:11">
      <c r="A4485" s="12">
        <v>42201</v>
      </c>
      <c r="B4485">
        <v>2015</v>
      </c>
      <c r="C4485">
        <v>7</v>
      </c>
      <c r="D4485" s="11">
        <v>42186</v>
      </c>
      <c r="E4485" t="s">
        <v>2179</v>
      </c>
      <c r="F4485">
        <v>4</v>
      </c>
      <c r="G4485" t="s">
        <v>53</v>
      </c>
      <c r="H4485" t="s">
        <v>43</v>
      </c>
      <c r="I4485" t="s">
        <v>2191</v>
      </c>
      <c r="J4485" s="10">
        <v>18</v>
      </c>
      <c r="K4485" t="b">
        <v>1</v>
      </c>
    </row>
    <row r="4486" spans="1:11">
      <c r="A4486" s="12">
        <v>42201</v>
      </c>
      <c r="B4486">
        <v>2015</v>
      </c>
      <c r="C4486">
        <v>7</v>
      </c>
      <c r="D4486" s="11">
        <v>42186</v>
      </c>
      <c r="E4486" t="s">
        <v>2179</v>
      </c>
      <c r="F4486">
        <v>4</v>
      </c>
      <c r="G4486" t="s">
        <v>53</v>
      </c>
      <c r="H4486" t="s">
        <v>44</v>
      </c>
      <c r="I4486" t="s">
        <v>2192</v>
      </c>
      <c r="J4486" s="10">
        <v>3</v>
      </c>
      <c r="K4486" t="b">
        <v>1</v>
      </c>
    </row>
    <row r="4487" spans="1:11">
      <c r="A4487" s="12">
        <v>42201</v>
      </c>
      <c r="B4487">
        <v>2015</v>
      </c>
      <c r="C4487">
        <v>7</v>
      </c>
      <c r="D4487" s="11">
        <v>42186</v>
      </c>
      <c r="E4487" t="s">
        <v>2179</v>
      </c>
      <c r="F4487">
        <v>4</v>
      </c>
      <c r="G4487" t="s">
        <v>53</v>
      </c>
      <c r="H4487" t="s">
        <v>45</v>
      </c>
      <c r="I4487" t="s">
        <v>2193</v>
      </c>
      <c r="J4487" s="10">
        <v>0</v>
      </c>
      <c r="K4487" t="b">
        <v>1</v>
      </c>
    </row>
    <row r="4488" spans="1:11">
      <c r="A4488" s="12">
        <v>42201</v>
      </c>
      <c r="B4488">
        <v>2015</v>
      </c>
      <c r="C4488">
        <v>7</v>
      </c>
      <c r="D4488" s="11">
        <v>42186</v>
      </c>
      <c r="E4488" t="s">
        <v>2179</v>
      </c>
      <c r="F4488">
        <v>4</v>
      </c>
      <c r="G4488" t="s">
        <v>53</v>
      </c>
      <c r="H4488" t="s">
        <v>46</v>
      </c>
      <c r="I4488" t="s">
        <v>2194</v>
      </c>
      <c r="J4488" s="10">
        <v>2</v>
      </c>
      <c r="K4488" t="b">
        <v>1</v>
      </c>
    </row>
    <row r="4489" spans="1:11">
      <c r="A4489" s="12">
        <v>42201</v>
      </c>
      <c r="B4489">
        <v>2015</v>
      </c>
      <c r="C4489">
        <v>7</v>
      </c>
      <c r="D4489" s="11">
        <v>42186</v>
      </c>
      <c r="E4489" t="s">
        <v>2179</v>
      </c>
      <c r="F4489">
        <v>4</v>
      </c>
      <c r="G4489" t="s">
        <v>53</v>
      </c>
      <c r="H4489" t="s">
        <v>47</v>
      </c>
      <c r="I4489" t="s">
        <v>2195</v>
      </c>
      <c r="J4489" s="10">
        <v>4</v>
      </c>
      <c r="K4489" t="b">
        <v>1</v>
      </c>
    </row>
    <row r="4490" spans="1:11">
      <c r="A4490" s="12">
        <v>42202</v>
      </c>
      <c r="B4490">
        <v>2015</v>
      </c>
      <c r="C4490">
        <v>7</v>
      </c>
      <c r="D4490" s="11">
        <v>42186</v>
      </c>
      <c r="E4490" t="s">
        <v>2179</v>
      </c>
      <c r="F4490">
        <v>5</v>
      </c>
      <c r="G4490" t="s">
        <v>55</v>
      </c>
      <c r="H4490" t="s">
        <v>40</v>
      </c>
      <c r="I4490" t="s">
        <v>2188</v>
      </c>
      <c r="J4490" s="10">
        <v>2.5</v>
      </c>
      <c r="K4490" t="b">
        <v>1</v>
      </c>
    </row>
    <row r="4491" spans="1:11">
      <c r="A4491" s="12">
        <v>42202</v>
      </c>
      <c r="B4491">
        <v>2015</v>
      </c>
      <c r="C4491">
        <v>7</v>
      </c>
      <c r="D4491" s="11">
        <v>42186</v>
      </c>
      <c r="E4491" t="s">
        <v>2179</v>
      </c>
      <c r="F4491">
        <v>5</v>
      </c>
      <c r="G4491" t="s">
        <v>55</v>
      </c>
      <c r="H4491" t="s">
        <v>41</v>
      </c>
      <c r="I4491" t="s">
        <v>2189</v>
      </c>
      <c r="J4491" s="10">
        <v>1.33</v>
      </c>
      <c r="K4491" t="b">
        <v>1</v>
      </c>
    </row>
    <row r="4492" spans="1:11">
      <c r="A4492" s="12">
        <v>42202</v>
      </c>
      <c r="B4492">
        <v>2015</v>
      </c>
      <c r="C4492">
        <v>7</v>
      </c>
      <c r="D4492" s="11">
        <v>42186</v>
      </c>
      <c r="E4492" t="s">
        <v>2179</v>
      </c>
      <c r="F4492">
        <v>5</v>
      </c>
      <c r="G4492" t="s">
        <v>55</v>
      </c>
      <c r="H4492" t="s">
        <v>42</v>
      </c>
      <c r="I4492" t="s">
        <v>2190</v>
      </c>
      <c r="J4492" s="10">
        <v>1</v>
      </c>
      <c r="K4492" t="b">
        <v>1</v>
      </c>
    </row>
    <row r="4493" spans="1:11">
      <c r="A4493" s="12">
        <v>42202</v>
      </c>
      <c r="B4493">
        <v>2015</v>
      </c>
      <c r="C4493">
        <v>7</v>
      </c>
      <c r="D4493" s="11">
        <v>42186</v>
      </c>
      <c r="E4493" t="s">
        <v>2179</v>
      </c>
      <c r="F4493">
        <v>5</v>
      </c>
      <c r="G4493" t="s">
        <v>55</v>
      </c>
      <c r="H4493" t="s">
        <v>43</v>
      </c>
      <c r="I4493" t="s">
        <v>2191</v>
      </c>
      <c r="J4493" s="10">
        <v>28</v>
      </c>
      <c r="K4493" t="b">
        <v>1</v>
      </c>
    </row>
    <row r="4494" spans="1:11">
      <c r="A4494" s="12">
        <v>42202</v>
      </c>
      <c r="B4494">
        <v>2015</v>
      </c>
      <c r="C4494">
        <v>7</v>
      </c>
      <c r="D4494" s="11">
        <v>42186</v>
      </c>
      <c r="E4494" t="s">
        <v>2179</v>
      </c>
      <c r="F4494">
        <v>5</v>
      </c>
      <c r="G4494" t="s">
        <v>55</v>
      </c>
      <c r="H4494" t="s">
        <v>44</v>
      </c>
      <c r="I4494" t="s">
        <v>2192</v>
      </c>
      <c r="J4494" s="10">
        <v>3</v>
      </c>
      <c r="K4494" t="b">
        <v>1</v>
      </c>
    </row>
    <row r="4495" spans="1:11">
      <c r="A4495" s="12">
        <v>42202</v>
      </c>
      <c r="B4495">
        <v>2015</v>
      </c>
      <c r="C4495">
        <v>7</v>
      </c>
      <c r="D4495" s="11">
        <v>42186</v>
      </c>
      <c r="E4495" t="s">
        <v>2179</v>
      </c>
      <c r="F4495">
        <v>5</v>
      </c>
      <c r="G4495" t="s">
        <v>55</v>
      </c>
      <c r="H4495" t="s">
        <v>45</v>
      </c>
      <c r="I4495" t="s">
        <v>2193</v>
      </c>
      <c r="J4495" s="10">
        <v>0</v>
      </c>
      <c r="K4495" t="b">
        <v>1</v>
      </c>
    </row>
    <row r="4496" spans="1:11">
      <c r="A4496" s="12">
        <v>42202</v>
      </c>
      <c r="B4496">
        <v>2015</v>
      </c>
      <c r="C4496">
        <v>7</v>
      </c>
      <c r="D4496" s="11">
        <v>42186</v>
      </c>
      <c r="E4496" t="s">
        <v>2179</v>
      </c>
      <c r="F4496">
        <v>5</v>
      </c>
      <c r="G4496" t="s">
        <v>55</v>
      </c>
      <c r="H4496" t="s">
        <v>46</v>
      </c>
      <c r="I4496" t="s">
        <v>2194</v>
      </c>
      <c r="J4496" s="10">
        <v>0</v>
      </c>
      <c r="K4496" t="b">
        <v>1</v>
      </c>
    </row>
    <row r="4497" spans="1:11">
      <c r="A4497" s="12">
        <v>42202</v>
      </c>
      <c r="B4497">
        <v>2015</v>
      </c>
      <c r="C4497">
        <v>7</v>
      </c>
      <c r="D4497" s="11">
        <v>42186</v>
      </c>
      <c r="E4497" t="s">
        <v>2179</v>
      </c>
      <c r="F4497">
        <v>5</v>
      </c>
      <c r="G4497" t="s">
        <v>55</v>
      </c>
      <c r="H4497" t="s">
        <v>47</v>
      </c>
      <c r="I4497" t="s">
        <v>2195</v>
      </c>
      <c r="J4497" s="10">
        <v>2.3</v>
      </c>
      <c r="K4497" t="b">
        <v>1</v>
      </c>
    </row>
    <row r="4498" spans="1:11">
      <c r="A4498" s="12">
        <v>42203</v>
      </c>
      <c r="B4498">
        <v>2015</v>
      </c>
      <c r="C4498">
        <v>7</v>
      </c>
      <c r="D4498" s="11">
        <v>42186</v>
      </c>
      <c r="E4498" t="s">
        <v>2179</v>
      </c>
      <c r="F4498">
        <v>6</v>
      </c>
      <c r="G4498" t="s">
        <v>57</v>
      </c>
      <c r="H4498" t="s">
        <v>40</v>
      </c>
      <c r="I4498" t="s">
        <v>2188</v>
      </c>
      <c r="J4498" s="10">
        <v>3.68</v>
      </c>
      <c r="K4498" t="b">
        <v>1</v>
      </c>
    </row>
    <row r="4499" spans="1:11">
      <c r="A4499" s="12">
        <v>42203</v>
      </c>
      <c r="B4499">
        <v>2015</v>
      </c>
      <c r="C4499">
        <v>7</v>
      </c>
      <c r="D4499" s="11">
        <v>42186</v>
      </c>
      <c r="E4499" t="s">
        <v>2179</v>
      </c>
      <c r="F4499">
        <v>6</v>
      </c>
      <c r="G4499" t="s">
        <v>57</v>
      </c>
      <c r="H4499" t="s">
        <v>41</v>
      </c>
      <c r="I4499" t="s">
        <v>2189</v>
      </c>
      <c r="J4499" s="10">
        <v>7.38</v>
      </c>
      <c r="K4499" t="b">
        <v>1</v>
      </c>
    </row>
    <row r="4500" spans="1:11">
      <c r="A4500" s="12">
        <v>42203</v>
      </c>
      <c r="B4500">
        <v>2015</v>
      </c>
      <c r="C4500">
        <v>7</v>
      </c>
      <c r="D4500" s="11">
        <v>42186</v>
      </c>
      <c r="E4500" t="s">
        <v>2179</v>
      </c>
      <c r="F4500">
        <v>6</v>
      </c>
      <c r="G4500" t="s">
        <v>57</v>
      </c>
      <c r="H4500" t="s">
        <v>42</v>
      </c>
      <c r="I4500" t="s">
        <v>2190</v>
      </c>
      <c r="J4500" s="10">
        <v>2</v>
      </c>
      <c r="K4500" t="b">
        <v>1</v>
      </c>
    </row>
    <row r="4501" spans="1:11">
      <c r="A4501" s="12">
        <v>42203</v>
      </c>
      <c r="B4501">
        <v>2015</v>
      </c>
      <c r="C4501">
        <v>7</v>
      </c>
      <c r="D4501" s="11">
        <v>42186</v>
      </c>
      <c r="E4501" t="s">
        <v>2179</v>
      </c>
      <c r="F4501">
        <v>6</v>
      </c>
      <c r="G4501" t="s">
        <v>57</v>
      </c>
      <c r="H4501" t="s">
        <v>43</v>
      </c>
      <c r="I4501" t="s">
        <v>2191</v>
      </c>
      <c r="J4501" s="10">
        <v>25</v>
      </c>
      <c r="K4501" t="b">
        <v>1</v>
      </c>
    </row>
    <row r="4502" spans="1:11">
      <c r="A4502" s="12">
        <v>42203</v>
      </c>
      <c r="B4502">
        <v>2015</v>
      </c>
      <c r="C4502">
        <v>7</v>
      </c>
      <c r="D4502" s="11">
        <v>42186</v>
      </c>
      <c r="E4502" t="s">
        <v>2179</v>
      </c>
      <c r="F4502">
        <v>6</v>
      </c>
      <c r="G4502" t="s">
        <v>57</v>
      </c>
      <c r="H4502" t="s">
        <v>44</v>
      </c>
      <c r="I4502" t="s">
        <v>2192</v>
      </c>
      <c r="J4502" s="10">
        <v>8</v>
      </c>
      <c r="K4502" t="b">
        <v>1</v>
      </c>
    </row>
    <row r="4503" spans="1:11">
      <c r="A4503" s="12">
        <v>42203</v>
      </c>
      <c r="B4503">
        <v>2015</v>
      </c>
      <c r="C4503">
        <v>7</v>
      </c>
      <c r="D4503" s="11">
        <v>42186</v>
      </c>
      <c r="E4503" t="s">
        <v>2179</v>
      </c>
      <c r="F4503">
        <v>6</v>
      </c>
      <c r="G4503" t="s">
        <v>57</v>
      </c>
      <c r="H4503" t="s">
        <v>45</v>
      </c>
      <c r="I4503" t="s">
        <v>2193</v>
      </c>
      <c r="J4503" s="10">
        <v>3</v>
      </c>
      <c r="K4503" t="b">
        <v>1</v>
      </c>
    </row>
    <row r="4504" spans="1:11">
      <c r="A4504" s="12">
        <v>42203</v>
      </c>
      <c r="B4504">
        <v>2015</v>
      </c>
      <c r="C4504">
        <v>7</v>
      </c>
      <c r="D4504" s="11">
        <v>42186</v>
      </c>
      <c r="E4504" t="s">
        <v>2179</v>
      </c>
      <c r="F4504">
        <v>6</v>
      </c>
      <c r="G4504" t="s">
        <v>57</v>
      </c>
      <c r="H4504" t="s">
        <v>46</v>
      </c>
      <c r="I4504" t="s">
        <v>2194</v>
      </c>
      <c r="J4504" s="10">
        <v>1</v>
      </c>
      <c r="K4504" t="b">
        <v>1</v>
      </c>
    </row>
    <row r="4505" spans="1:11">
      <c r="A4505" s="12">
        <v>42203</v>
      </c>
      <c r="B4505">
        <v>2015</v>
      </c>
      <c r="C4505">
        <v>7</v>
      </c>
      <c r="D4505" s="11">
        <v>42186</v>
      </c>
      <c r="E4505" t="s">
        <v>2179</v>
      </c>
      <c r="F4505">
        <v>6</v>
      </c>
      <c r="G4505" t="s">
        <v>57</v>
      </c>
      <c r="H4505" t="s">
        <v>47</v>
      </c>
      <c r="I4505" t="s">
        <v>2195</v>
      </c>
      <c r="J4505" s="10">
        <v>3</v>
      </c>
      <c r="K4505" t="b">
        <v>1</v>
      </c>
    </row>
    <row r="4506" spans="1:11">
      <c r="A4506" s="12">
        <v>42204</v>
      </c>
      <c r="B4506">
        <v>2015</v>
      </c>
      <c r="C4506">
        <v>7</v>
      </c>
      <c r="D4506" s="11">
        <v>42186</v>
      </c>
      <c r="E4506" t="s">
        <v>2179</v>
      </c>
      <c r="F4506">
        <v>7</v>
      </c>
      <c r="G4506" t="s">
        <v>59</v>
      </c>
      <c r="H4506" t="s">
        <v>40</v>
      </c>
      <c r="I4506" t="s">
        <v>2188</v>
      </c>
      <c r="J4506" s="10">
        <v>11.68</v>
      </c>
      <c r="K4506" t="b">
        <v>1</v>
      </c>
    </row>
    <row r="4507" spans="1:11">
      <c r="A4507" s="12">
        <v>42204</v>
      </c>
      <c r="B4507">
        <v>2015</v>
      </c>
      <c r="C4507">
        <v>7</v>
      </c>
      <c r="D4507" s="11">
        <v>42186</v>
      </c>
      <c r="E4507" t="s">
        <v>2179</v>
      </c>
      <c r="F4507">
        <v>7</v>
      </c>
      <c r="G4507" t="s">
        <v>59</v>
      </c>
      <c r="H4507" t="s">
        <v>41</v>
      </c>
      <c r="I4507" t="s">
        <v>2189</v>
      </c>
      <c r="J4507" s="10">
        <v>1.68</v>
      </c>
      <c r="K4507" t="b">
        <v>1</v>
      </c>
    </row>
    <row r="4508" spans="1:11">
      <c r="A4508" s="12">
        <v>42204</v>
      </c>
      <c r="B4508">
        <v>2015</v>
      </c>
      <c r="C4508">
        <v>7</v>
      </c>
      <c r="D4508" s="11">
        <v>42186</v>
      </c>
      <c r="E4508" t="s">
        <v>2179</v>
      </c>
      <c r="F4508">
        <v>7</v>
      </c>
      <c r="G4508" t="s">
        <v>59</v>
      </c>
      <c r="H4508" t="s">
        <v>42</v>
      </c>
      <c r="I4508" t="s">
        <v>2190</v>
      </c>
      <c r="J4508" s="10">
        <v>2</v>
      </c>
      <c r="K4508" t="b">
        <v>1</v>
      </c>
    </row>
    <row r="4509" spans="1:11">
      <c r="A4509" s="12">
        <v>42204</v>
      </c>
      <c r="B4509">
        <v>2015</v>
      </c>
      <c r="C4509">
        <v>7</v>
      </c>
      <c r="D4509" s="11">
        <v>42186</v>
      </c>
      <c r="E4509" t="s">
        <v>2179</v>
      </c>
      <c r="F4509">
        <v>7</v>
      </c>
      <c r="G4509" t="s">
        <v>59</v>
      </c>
      <c r="H4509" t="s">
        <v>43</v>
      </c>
      <c r="I4509" t="s">
        <v>2191</v>
      </c>
      <c r="J4509" s="10">
        <v>15</v>
      </c>
      <c r="K4509" t="b">
        <v>1</v>
      </c>
    </row>
    <row r="4510" spans="1:11">
      <c r="A4510" s="12">
        <v>42204</v>
      </c>
      <c r="B4510">
        <v>2015</v>
      </c>
      <c r="C4510">
        <v>7</v>
      </c>
      <c r="D4510" s="11">
        <v>42186</v>
      </c>
      <c r="E4510" t="s">
        <v>2179</v>
      </c>
      <c r="F4510">
        <v>7</v>
      </c>
      <c r="G4510" t="s">
        <v>59</v>
      </c>
      <c r="H4510" t="s">
        <v>44</v>
      </c>
      <c r="I4510" t="s">
        <v>2192</v>
      </c>
      <c r="J4510" s="10">
        <v>1</v>
      </c>
      <c r="K4510" t="b">
        <v>1</v>
      </c>
    </row>
    <row r="4511" spans="1:11">
      <c r="A4511" s="12">
        <v>42204</v>
      </c>
      <c r="B4511">
        <v>2015</v>
      </c>
      <c r="C4511">
        <v>7</v>
      </c>
      <c r="D4511" s="11">
        <v>42186</v>
      </c>
      <c r="E4511" t="s">
        <v>2179</v>
      </c>
      <c r="F4511">
        <v>7</v>
      </c>
      <c r="G4511" t="s">
        <v>59</v>
      </c>
      <c r="H4511" t="s">
        <v>45</v>
      </c>
      <c r="I4511" t="s">
        <v>2193</v>
      </c>
      <c r="J4511" s="10">
        <v>0</v>
      </c>
      <c r="K4511" t="b">
        <v>1</v>
      </c>
    </row>
    <row r="4512" spans="1:11">
      <c r="A4512" s="12">
        <v>42204</v>
      </c>
      <c r="B4512">
        <v>2015</v>
      </c>
      <c r="C4512">
        <v>7</v>
      </c>
      <c r="D4512" s="11">
        <v>42186</v>
      </c>
      <c r="E4512" t="s">
        <v>2179</v>
      </c>
      <c r="F4512">
        <v>7</v>
      </c>
      <c r="G4512" t="s">
        <v>59</v>
      </c>
      <c r="H4512" t="s">
        <v>46</v>
      </c>
      <c r="I4512" t="s">
        <v>2194</v>
      </c>
      <c r="J4512" s="10">
        <v>1</v>
      </c>
      <c r="K4512" t="b">
        <v>1</v>
      </c>
    </row>
    <row r="4513" spans="1:11">
      <c r="A4513" s="12">
        <v>42204</v>
      </c>
      <c r="B4513">
        <v>2015</v>
      </c>
      <c r="C4513">
        <v>7</v>
      </c>
      <c r="D4513" s="11">
        <v>42186</v>
      </c>
      <c r="E4513" t="s">
        <v>2179</v>
      </c>
      <c r="F4513">
        <v>7</v>
      </c>
      <c r="G4513" t="s">
        <v>59</v>
      </c>
      <c r="H4513" t="s">
        <v>47</v>
      </c>
      <c r="I4513" t="s">
        <v>2195</v>
      </c>
      <c r="J4513" s="10">
        <v>3</v>
      </c>
      <c r="K4513" t="b">
        <v>1</v>
      </c>
    </row>
    <row r="4514" spans="1:11">
      <c r="A4514" s="12">
        <v>42205</v>
      </c>
      <c r="B4514">
        <v>2015</v>
      </c>
      <c r="C4514">
        <v>7</v>
      </c>
      <c r="D4514" s="11">
        <v>42186</v>
      </c>
      <c r="E4514" t="s">
        <v>2179</v>
      </c>
      <c r="F4514">
        <v>1</v>
      </c>
      <c r="G4514" t="s">
        <v>61</v>
      </c>
      <c r="H4514" t="s">
        <v>40</v>
      </c>
      <c r="I4514" t="s">
        <v>2188</v>
      </c>
      <c r="J4514" s="10">
        <v>5.84</v>
      </c>
      <c r="K4514" t="b">
        <v>1</v>
      </c>
    </row>
    <row r="4515" spans="1:11">
      <c r="A4515" s="12">
        <v>42205</v>
      </c>
      <c r="B4515">
        <v>2015</v>
      </c>
      <c r="C4515">
        <v>7</v>
      </c>
      <c r="D4515" s="11">
        <v>42186</v>
      </c>
      <c r="E4515" t="s">
        <v>2179</v>
      </c>
      <c r="F4515">
        <v>1</v>
      </c>
      <c r="G4515" t="s">
        <v>61</v>
      </c>
      <c r="H4515" t="s">
        <v>41</v>
      </c>
      <c r="I4515" t="s">
        <v>2189</v>
      </c>
      <c r="J4515" s="10">
        <v>4.67</v>
      </c>
      <c r="K4515" t="b">
        <v>1</v>
      </c>
    </row>
    <row r="4516" spans="1:11">
      <c r="A4516" s="12">
        <v>42205</v>
      </c>
      <c r="B4516">
        <v>2015</v>
      </c>
      <c r="C4516">
        <v>7</v>
      </c>
      <c r="D4516" s="11">
        <v>42186</v>
      </c>
      <c r="E4516" t="s">
        <v>2179</v>
      </c>
      <c r="F4516">
        <v>1</v>
      </c>
      <c r="G4516" t="s">
        <v>61</v>
      </c>
      <c r="H4516" t="s">
        <v>42</v>
      </c>
      <c r="I4516" t="s">
        <v>2190</v>
      </c>
      <c r="J4516" s="10">
        <v>5</v>
      </c>
      <c r="K4516" t="b">
        <v>1</v>
      </c>
    </row>
    <row r="4517" spans="1:11">
      <c r="A4517" s="12">
        <v>42205</v>
      </c>
      <c r="B4517">
        <v>2015</v>
      </c>
      <c r="C4517">
        <v>7</v>
      </c>
      <c r="D4517" s="11">
        <v>42186</v>
      </c>
      <c r="E4517" t="s">
        <v>2179</v>
      </c>
      <c r="F4517">
        <v>1</v>
      </c>
      <c r="G4517" t="s">
        <v>61</v>
      </c>
      <c r="H4517" t="s">
        <v>43</v>
      </c>
      <c r="I4517" t="s">
        <v>2191</v>
      </c>
      <c r="J4517" s="10">
        <v>41</v>
      </c>
      <c r="K4517" t="b">
        <v>1</v>
      </c>
    </row>
    <row r="4518" spans="1:11">
      <c r="A4518" s="12">
        <v>42205</v>
      </c>
      <c r="B4518">
        <v>2015</v>
      </c>
      <c r="C4518">
        <v>7</v>
      </c>
      <c r="D4518" s="11">
        <v>42186</v>
      </c>
      <c r="E4518" t="s">
        <v>2179</v>
      </c>
      <c r="F4518">
        <v>1</v>
      </c>
      <c r="G4518" t="s">
        <v>61</v>
      </c>
      <c r="H4518" t="s">
        <v>44</v>
      </c>
      <c r="I4518" t="s">
        <v>2192</v>
      </c>
      <c r="J4518" s="10">
        <v>4</v>
      </c>
      <c r="K4518" t="b">
        <v>1</v>
      </c>
    </row>
    <row r="4519" spans="1:11">
      <c r="A4519" s="12">
        <v>42205</v>
      </c>
      <c r="B4519">
        <v>2015</v>
      </c>
      <c r="C4519">
        <v>7</v>
      </c>
      <c r="D4519" s="11">
        <v>42186</v>
      </c>
      <c r="E4519" t="s">
        <v>2179</v>
      </c>
      <c r="F4519">
        <v>1</v>
      </c>
      <c r="G4519" t="s">
        <v>61</v>
      </c>
      <c r="H4519" t="s">
        <v>45</v>
      </c>
      <c r="I4519" t="s">
        <v>2193</v>
      </c>
      <c r="J4519" s="10">
        <v>0</v>
      </c>
      <c r="K4519" t="b">
        <v>1</v>
      </c>
    </row>
    <row r="4520" spans="1:11">
      <c r="A4520" s="12">
        <v>42205</v>
      </c>
      <c r="B4520">
        <v>2015</v>
      </c>
      <c r="C4520">
        <v>7</v>
      </c>
      <c r="D4520" s="11">
        <v>42186</v>
      </c>
      <c r="E4520" t="s">
        <v>2179</v>
      </c>
      <c r="F4520">
        <v>1</v>
      </c>
      <c r="G4520" t="s">
        <v>61</v>
      </c>
      <c r="H4520" t="s">
        <v>46</v>
      </c>
      <c r="I4520" t="s">
        <v>2194</v>
      </c>
      <c r="J4520" s="10">
        <v>0</v>
      </c>
      <c r="K4520" t="b">
        <v>1</v>
      </c>
    </row>
    <row r="4521" spans="1:11">
      <c r="A4521" s="12">
        <v>42205</v>
      </c>
      <c r="B4521">
        <v>2015</v>
      </c>
      <c r="C4521">
        <v>7</v>
      </c>
      <c r="D4521" s="11">
        <v>42186</v>
      </c>
      <c r="E4521" t="s">
        <v>2179</v>
      </c>
      <c r="F4521">
        <v>1</v>
      </c>
      <c r="G4521" t="s">
        <v>61</v>
      </c>
      <c r="H4521" t="s">
        <v>47</v>
      </c>
      <c r="I4521" t="s">
        <v>2195</v>
      </c>
      <c r="J4521" s="10">
        <v>2</v>
      </c>
      <c r="K4521" t="b">
        <v>1</v>
      </c>
    </row>
    <row r="4522" spans="1:11">
      <c r="A4522" s="12">
        <v>42206</v>
      </c>
      <c r="B4522">
        <v>2015</v>
      </c>
      <c r="C4522">
        <v>7</v>
      </c>
      <c r="D4522" s="11">
        <v>42186</v>
      </c>
      <c r="E4522" t="s">
        <v>2179</v>
      </c>
      <c r="F4522">
        <v>2</v>
      </c>
      <c r="G4522" t="s">
        <v>63</v>
      </c>
      <c r="H4522" t="s">
        <v>40</v>
      </c>
      <c r="I4522" t="s">
        <v>2188</v>
      </c>
      <c r="J4522" s="10">
        <v>4.68</v>
      </c>
      <c r="K4522" t="b">
        <v>1</v>
      </c>
    </row>
    <row r="4523" spans="1:11">
      <c r="A4523" s="12">
        <v>42206</v>
      </c>
      <c r="B4523">
        <v>2015</v>
      </c>
      <c r="C4523">
        <v>7</v>
      </c>
      <c r="D4523" s="11">
        <v>42186</v>
      </c>
      <c r="E4523" t="s">
        <v>2179</v>
      </c>
      <c r="F4523">
        <v>2</v>
      </c>
      <c r="G4523" t="s">
        <v>63</v>
      </c>
      <c r="H4523" t="s">
        <v>41</v>
      </c>
      <c r="I4523" t="s">
        <v>2189</v>
      </c>
      <c r="J4523" s="10">
        <v>1</v>
      </c>
      <c r="K4523" t="b">
        <v>1</v>
      </c>
    </row>
    <row r="4524" spans="1:11">
      <c r="A4524" s="12">
        <v>42206</v>
      </c>
      <c r="B4524">
        <v>2015</v>
      </c>
      <c r="C4524">
        <v>7</v>
      </c>
      <c r="D4524" s="11">
        <v>42186</v>
      </c>
      <c r="E4524" t="s">
        <v>2179</v>
      </c>
      <c r="F4524">
        <v>2</v>
      </c>
      <c r="G4524" t="s">
        <v>63</v>
      </c>
      <c r="H4524" t="s">
        <v>42</v>
      </c>
      <c r="I4524" t="s">
        <v>2190</v>
      </c>
      <c r="J4524" s="10">
        <v>3.2</v>
      </c>
      <c r="K4524" t="b">
        <v>1</v>
      </c>
    </row>
    <row r="4525" spans="1:11">
      <c r="A4525" s="12">
        <v>42206</v>
      </c>
      <c r="B4525">
        <v>2015</v>
      </c>
      <c r="C4525">
        <v>7</v>
      </c>
      <c r="D4525" s="11">
        <v>42186</v>
      </c>
      <c r="E4525" t="s">
        <v>2179</v>
      </c>
      <c r="F4525">
        <v>2</v>
      </c>
      <c r="G4525" t="s">
        <v>63</v>
      </c>
      <c r="H4525" t="s">
        <v>43</v>
      </c>
      <c r="I4525" t="s">
        <v>2191</v>
      </c>
      <c r="J4525" s="10">
        <v>14.25</v>
      </c>
      <c r="K4525" t="b">
        <v>1</v>
      </c>
    </row>
    <row r="4526" spans="1:11">
      <c r="A4526" s="12">
        <v>42206</v>
      </c>
      <c r="B4526">
        <v>2015</v>
      </c>
      <c r="C4526">
        <v>7</v>
      </c>
      <c r="D4526" s="11">
        <v>42186</v>
      </c>
      <c r="E4526" t="s">
        <v>2179</v>
      </c>
      <c r="F4526">
        <v>2</v>
      </c>
      <c r="G4526" t="s">
        <v>63</v>
      </c>
      <c r="H4526" t="s">
        <v>44</v>
      </c>
      <c r="I4526" t="s">
        <v>2192</v>
      </c>
      <c r="J4526" s="10">
        <v>7</v>
      </c>
      <c r="K4526" t="b">
        <v>1</v>
      </c>
    </row>
    <row r="4527" spans="1:11">
      <c r="A4527" s="12">
        <v>42206</v>
      </c>
      <c r="B4527">
        <v>2015</v>
      </c>
      <c r="C4527">
        <v>7</v>
      </c>
      <c r="D4527" s="11">
        <v>42186</v>
      </c>
      <c r="E4527" t="s">
        <v>2179</v>
      </c>
      <c r="F4527">
        <v>2</v>
      </c>
      <c r="G4527" t="s">
        <v>63</v>
      </c>
      <c r="H4527" t="s">
        <v>45</v>
      </c>
      <c r="I4527" t="s">
        <v>2193</v>
      </c>
      <c r="J4527" s="10">
        <v>0</v>
      </c>
      <c r="K4527" t="b">
        <v>1</v>
      </c>
    </row>
    <row r="4528" spans="1:11">
      <c r="A4528" s="12">
        <v>42206</v>
      </c>
      <c r="B4528">
        <v>2015</v>
      </c>
      <c r="C4528">
        <v>7</v>
      </c>
      <c r="D4528" s="11">
        <v>42186</v>
      </c>
      <c r="E4528" t="s">
        <v>2179</v>
      </c>
      <c r="F4528">
        <v>2</v>
      </c>
      <c r="G4528" t="s">
        <v>63</v>
      </c>
      <c r="H4528" t="s">
        <v>46</v>
      </c>
      <c r="I4528" t="s">
        <v>2194</v>
      </c>
      <c r="J4528" s="10">
        <v>1</v>
      </c>
      <c r="K4528" t="b">
        <v>1</v>
      </c>
    </row>
    <row r="4529" spans="1:11">
      <c r="A4529" s="12">
        <v>42206</v>
      </c>
      <c r="B4529">
        <v>2015</v>
      </c>
      <c r="C4529">
        <v>7</v>
      </c>
      <c r="D4529" s="11">
        <v>42186</v>
      </c>
      <c r="E4529" t="s">
        <v>2179</v>
      </c>
      <c r="F4529">
        <v>2</v>
      </c>
      <c r="G4529" t="s">
        <v>63</v>
      </c>
      <c r="H4529" t="s">
        <v>47</v>
      </c>
      <c r="I4529" t="s">
        <v>2195</v>
      </c>
      <c r="J4529" s="10">
        <v>4</v>
      </c>
      <c r="K4529" t="b">
        <v>1</v>
      </c>
    </row>
    <row r="4530" spans="1:11">
      <c r="A4530" s="12">
        <v>42207</v>
      </c>
      <c r="B4530">
        <v>2015</v>
      </c>
      <c r="C4530">
        <v>7</v>
      </c>
      <c r="D4530" s="11">
        <v>42186</v>
      </c>
      <c r="E4530" t="s">
        <v>2179</v>
      </c>
      <c r="F4530">
        <v>3</v>
      </c>
      <c r="G4530" t="s">
        <v>65</v>
      </c>
      <c r="H4530" t="s">
        <v>40</v>
      </c>
      <c r="I4530" t="s">
        <v>2188</v>
      </c>
      <c r="J4530" s="10">
        <v>9.33</v>
      </c>
      <c r="K4530" t="b">
        <v>1</v>
      </c>
    </row>
    <row r="4531" spans="1:11">
      <c r="A4531" s="12">
        <v>42207</v>
      </c>
      <c r="B4531">
        <v>2015</v>
      </c>
      <c r="C4531">
        <v>7</v>
      </c>
      <c r="D4531" s="11">
        <v>42186</v>
      </c>
      <c r="E4531" t="s">
        <v>2179</v>
      </c>
      <c r="F4531">
        <v>3</v>
      </c>
      <c r="G4531" t="s">
        <v>65</v>
      </c>
      <c r="H4531" t="s">
        <v>41</v>
      </c>
      <c r="I4531" t="s">
        <v>2189</v>
      </c>
      <c r="J4531" s="10">
        <v>0.34</v>
      </c>
      <c r="K4531" t="b">
        <v>1</v>
      </c>
    </row>
    <row r="4532" spans="1:11">
      <c r="A4532" s="12">
        <v>42207</v>
      </c>
      <c r="B4532">
        <v>2015</v>
      </c>
      <c r="C4532">
        <v>7</v>
      </c>
      <c r="D4532" s="11">
        <v>42186</v>
      </c>
      <c r="E4532" t="s">
        <v>2179</v>
      </c>
      <c r="F4532">
        <v>3</v>
      </c>
      <c r="G4532" t="s">
        <v>65</v>
      </c>
      <c r="H4532" t="s">
        <v>42</v>
      </c>
      <c r="I4532" t="s">
        <v>2190</v>
      </c>
      <c r="J4532" s="10">
        <v>5</v>
      </c>
      <c r="K4532" t="b">
        <v>1</v>
      </c>
    </row>
    <row r="4533" spans="1:11">
      <c r="A4533" s="12">
        <v>42207</v>
      </c>
      <c r="B4533">
        <v>2015</v>
      </c>
      <c r="C4533">
        <v>7</v>
      </c>
      <c r="D4533" s="11">
        <v>42186</v>
      </c>
      <c r="E4533" t="s">
        <v>2179</v>
      </c>
      <c r="F4533">
        <v>3</v>
      </c>
      <c r="G4533" t="s">
        <v>65</v>
      </c>
      <c r="H4533" t="s">
        <v>43</v>
      </c>
      <c r="I4533" t="s">
        <v>2191</v>
      </c>
      <c r="J4533" s="10">
        <v>22</v>
      </c>
      <c r="K4533" t="b">
        <v>1</v>
      </c>
    </row>
    <row r="4534" spans="1:11">
      <c r="A4534" s="12">
        <v>42207</v>
      </c>
      <c r="B4534">
        <v>2015</v>
      </c>
      <c r="C4534">
        <v>7</v>
      </c>
      <c r="D4534" s="11">
        <v>42186</v>
      </c>
      <c r="E4534" t="s">
        <v>2179</v>
      </c>
      <c r="F4534">
        <v>3</v>
      </c>
      <c r="G4534" t="s">
        <v>65</v>
      </c>
      <c r="H4534" t="s">
        <v>44</v>
      </c>
      <c r="I4534" t="s">
        <v>2192</v>
      </c>
      <c r="J4534" s="10">
        <v>10</v>
      </c>
      <c r="K4534" t="b">
        <v>1</v>
      </c>
    </row>
    <row r="4535" spans="1:11">
      <c r="A4535" s="12">
        <v>42207</v>
      </c>
      <c r="B4535">
        <v>2015</v>
      </c>
      <c r="C4535">
        <v>7</v>
      </c>
      <c r="D4535" s="11">
        <v>42186</v>
      </c>
      <c r="E4535" t="s">
        <v>2179</v>
      </c>
      <c r="F4535">
        <v>3</v>
      </c>
      <c r="G4535" t="s">
        <v>65</v>
      </c>
      <c r="H4535" t="s">
        <v>45</v>
      </c>
      <c r="I4535" t="s">
        <v>2193</v>
      </c>
      <c r="J4535" s="10">
        <v>0</v>
      </c>
      <c r="K4535" t="b">
        <v>1</v>
      </c>
    </row>
    <row r="4536" spans="1:11">
      <c r="A4536" s="12">
        <v>42207</v>
      </c>
      <c r="B4536">
        <v>2015</v>
      </c>
      <c r="C4536">
        <v>7</v>
      </c>
      <c r="D4536" s="11">
        <v>42186</v>
      </c>
      <c r="E4536" t="s">
        <v>2179</v>
      </c>
      <c r="F4536">
        <v>3</v>
      </c>
      <c r="G4536" t="s">
        <v>65</v>
      </c>
      <c r="H4536" t="s">
        <v>46</v>
      </c>
      <c r="I4536" t="s">
        <v>2194</v>
      </c>
      <c r="J4536" s="10">
        <v>5</v>
      </c>
      <c r="K4536" t="b">
        <v>1</v>
      </c>
    </row>
    <row r="4537" spans="1:11">
      <c r="A4537" s="12">
        <v>42207</v>
      </c>
      <c r="B4537">
        <v>2015</v>
      </c>
      <c r="C4537">
        <v>7</v>
      </c>
      <c r="D4537" s="11">
        <v>42186</v>
      </c>
      <c r="E4537" t="s">
        <v>2179</v>
      </c>
      <c r="F4537">
        <v>3</v>
      </c>
      <c r="G4537" t="s">
        <v>65</v>
      </c>
      <c r="H4537" t="s">
        <v>47</v>
      </c>
      <c r="I4537" t="s">
        <v>2195</v>
      </c>
      <c r="J4537" s="10">
        <v>3</v>
      </c>
      <c r="K4537" t="b">
        <v>1</v>
      </c>
    </row>
    <row r="4538" spans="1:11">
      <c r="A4538" s="12">
        <v>42208</v>
      </c>
      <c r="B4538">
        <v>2015</v>
      </c>
      <c r="C4538">
        <v>7</v>
      </c>
      <c r="D4538" s="11">
        <v>42186</v>
      </c>
      <c r="E4538" t="s">
        <v>2179</v>
      </c>
      <c r="F4538">
        <v>4</v>
      </c>
      <c r="G4538" t="s">
        <v>53</v>
      </c>
      <c r="H4538" t="s">
        <v>40</v>
      </c>
      <c r="I4538" t="s">
        <v>2188</v>
      </c>
      <c r="J4538" s="10">
        <v>1.5</v>
      </c>
      <c r="K4538" t="b">
        <v>1</v>
      </c>
    </row>
    <row r="4539" spans="1:11">
      <c r="A4539" s="12">
        <v>42208</v>
      </c>
      <c r="B4539">
        <v>2015</v>
      </c>
      <c r="C4539">
        <v>7</v>
      </c>
      <c r="D4539" s="11">
        <v>42186</v>
      </c>
      <c r="E4539" t="s">
        <v>2179</v>
      </c>
      <c r="F4539">
        <v>4</v>
      </c>
      <c r="G4539" t="s">
        <v>53</v>
      </c>
      <c r="H4539" t="s">
        <v>41</v>
      </c>
      <c r="I4539" t="s">
        <v>2189</v>
      </c>
      <c r="J4539" s="10">
        <v>4</v>
      </c>
      <c r="K4539" t="b">
        <v>1</v>
      </c>
    </row>
    <row r="4540" spans="1:11">
      <c r="A4540" s="12">
        <v>42208</v>
      </c>
      <c r="B4540">
        <v>2015</v>
      </c>
      <c r="C4540">
        <v>7</v>
      </c>
      <c r="D4540" s="11">
        <v>42186</v>
      </c>
      <c r="E4540" t="s">
        <v>2179</v>
      </c>
      <c r="F4540">
        <v>4</v>
      </c>
      <c r="G4540" t="s">
        <v>53</v>
      </c>
      <c r="H4540" t="s">
        <v>42</v>
      </c>
      <c r="I4540" t="s">
        <v>2190</v>
      </c>
      <c r="J4540" s="10">
        <v>3</v>
      </c>
      <c r="K4540" t="b">
        <v>1</v>
      </c>
    </row>
    <row r="4541" spans="1:11">
      <c r="A4541" s="12">
        <v>42208</v>
      </c>
      <c r="B4541">
        <v>2015</v>
      </c>
      <c r="C4541">
        <v>7</v>
      </c>
      <c r="D4541" s="11">
        <v>42186</v>
      </c>
      <c r="E4541" t="s">
        <v>2179</v>
      </c>
      <c r="F4541">
        <v>4</v>
      </c>
      <c r="G4541" t="s">
        <v>53</v>
      </c>
      <c r="H4541" t="s">
        <v>43</v>
      </c>
      <c r="I4541" t="s">
        <v>2191</v>
      </c>
      <c r="J4541" s="10">
        <v>14</v>
      </c>
      <c r="K4541" t="b">
        <v>1</v>
      </c>
    </row>
    <row r="4542" spans="1:11">
      <c r="A4542" s="12">
        <v>42208</v>
      </c>
      <c r="B4542">
        <v>2015</v>
      </c>
      <c r="C4542">
        <v>7</v>
      </c>
      <c r="D4542" s="11">
        <v>42186</v>
      </c>
      <c r="E4542" t="s">
        <v>2179</v>
      </c>
      <c r="F4542">
        <v>4</v>
      </c>
      <c r="G4542" t="s">
        <v>53</v>
      </c>
      <c r="H4542" t="s">
        <v>44</v>
      </c>
      <c r="I4542" t="s">
        <v>2192</v>
      </c>
      <c r="J4542" s="10">
        <v>3</v>
      </c>
      <c r="K4542" t="b">
        <v>1</v>
      </c>
    </row>
    <row r="4543" spans="1:11">
      <c r="A4543" s="12">
        <v>42208</v>
      </c>
      <c r="B4543">
        <v>2015</v>
      </c>
      <c r="C4543">
        <v>7</v>
      </c>
      <c r="D4543" s="11">
        <v>42186</v>
      </c>
      <c r="E4543" t="s">
        <v>2179</v>
      </c>
      <c r="F4543">
        <v>4</v>
      </c>
      <c r="G4543" t="s">
        <v>53</v>
      </c>
      <c r="H4543" t="s">
        <v>45</v>
      </c>
      <c r="I4543" t="s">
        <v>2193</v>
      </c>
      <c r="J4543" s="10">
        <v>0</v>
      </c>
      <c r="K4543" t="b">
        <v>1</v>
      </c>
    </row>
    <row r="4544" spans="1:11">
      <c r="A4544" s="12">
        <v>42208</v>
      </c>
      <c r="B4544">
        <v>2015</v>
      </c>
      <c r="C4544">
        <v>7</v>
      </c>
      <c r="D4544" s="11">
        <v>42186</v>
      </c>
      <c r="E4544" t="s">
        <v>2179</v>
      </c>
      <c r="F4544">
        <v>4</v>
      </c>
      <c r="G4544" t="s">
        <v>53</v>
      </c>
      <c r="H4544" t="s">
        <v>46</v>
      </c>
      <c r="I4544" t="s">
        <v>2194</v>
      </c>
      <c r="J4544" s="10">
        <v>0</v>
      </c>
      <c r="K4544" t="b">
        <v>1</v>
      </c>
    </row>
    <row r="4545" spans="1:11">
      <c r="A4545" s="12">
        <v>42208</v>
      </c>
      <c r="B4545">
        <v>2015</v>
      </c>
      <c r="C4545">
        <v>7</v>
      </c>
      <c r="D4545" s="11">
        <v>42186</v>
      </c>
      <c r="E4545" t="s">
        <v>2179</v>
      </c>
      <c r="F4545">
        <v>4</v>
      </c>
      <c r="G4545" t="s">
        <v>53</v>
      </c>
      <c r="H4545" t="s">
        <v>47</v>
      </c>
      <c r="I4545" t="s">
        <v>2195</v>
      </c>
      <c r="J4545" s="10">
        <v>2</v>
      </c>
      <c r="K4545" t="b">
        <v>1</v>
      </c>
    </row>
    <row r="4546" spans="1:11">
      <c r="A4546" s="12">
        <v>42209</v>
      </c>
      <c r="B4546">
        <v>2015</v>
      </c>
      <c r="C4546">
        <v>7</v>
      </c>
      <c r="D4546" s="11">
        <v>42186</v>
      </c>
      <c r="E4546" t="s">
        <v>2179</v>
      </c>
      <c r="F4546">
        <v>5</v>
      </c>
      <c r="G4546" t="s">
        <v>55</v>
      </c>
      <c r="H4546" t="s">
        <v>40</v>
      </c>
      <c r="I4546" t="s">
        <v>2188</v>
      </c>
      <c r="J4546" s="10">
        <v>6</v>
      </c>
      <c r="K4546" t="b">
        <v>1</v>
      </c>
    </row>
    <row r="4547" spans="1:11">
      <c r="A4547" s="12">
        <v>42209</v>
      </c>
      <c r="B4547">
        <v>2015</v>
      </c>
      <c r="C4547">
        <v>7</v>
      </c>
      <c r="D4547" s="11">
        <v>42186</v>
      </c>
      <c r="E4547" t="s">
        <v>2179</v>
      </c>
      <c r="F4547">
        <v>5</v>
      </c>
      <c r="G4547" t="s">
        <v>55</v>
      </c>
      <c r="H4547" t="s">
        <v>41</v>
      </c>
      <c r="I4547" t="s">
        <v>2189</v>
      </c>
      <c r="J4547" s="10">
        <v>6.34</v>
      </c>
      <c r="K4547" t="b">
        <v>1</v>
      </c>
    </row>
    <row r="4548" spans="1:11">
      <c r="A4548" s="12">
        <v>42209</v>
      </c>
      <c r="B4548">
        <v>2015</v>
      </c>
      <c r="C4548">
        <v>7</v>
      </c>
      <c r="D4548" s="11">
        <v>42186</v>
      </c>
      <c r="E4548" t="s">
        <v>2179</v>
      </c>
      <c r="F4548">
        <v>5</v>
      </c>
      <c r="G4548" t="s">
        <v>55</v>
      </c>
      <c r="H4548" t="s">
        <v>42</v>
      </c>
      <c r="I4548" t="s">
        <v>2190</v>
      </c>
      <c r="J4548" s="10">
        <v>3.6</v>
      </c>
      <c r="K4548" t="b">
        <v>1</v>
      </c>
    </row>
    <row r="4549" spans="1:11">
      <c r="A4549" s="12">
        <v>42209</v>
      </c>
      <c r="B4549">
        <v>2015</v>
      </c>
      <c r="C4549">
        <v>7</v>
      </c>
      <c r="D4549" s="11">
        <v>42186</v>
      </c>
      <c r="E4549" t="s">
        <v>2179</v>
      </c>
      <c r="F4549">
        <v>5</v>
      </c>
      <c r="G4549" t="s">
        <v>55</v>
      </c>
      <c r="H4549" t="s">
        <v>43</v>
      </c>
      <c r="I4549" t="s">
        <v>2191</v>
      </c>
      <c r="J4549" s="10">
        <v>29.6</v>
      </c>
      <c r="K4549" t="b">
        <v>1</v>
      </c>
    </row>
    <row r="4550" spans="1:11">
      <c r="A4550" s="12">
        <v>42209</v>
      </c>
      <c r="B4550">
        <v>2015</v>
      </c>
      <c r="C4550">
        <v>7</v>
      </c>
      <c r="D4550" s="11">
        <v>42186</v>
      </c>
      <c r="E4550" t="s">
        <v>2179</v>
      </c>
      <c r="F4550">
        <v>5</v>
      </c>
      <c r="G4550" t="s">
        <v>55</v>
      </c>
      <c r="H4550" t="s">
        <v>44</v>
      </c>
      <c r="I4550" t="s">
        <v>2192</v>
      </c>
      <c r="J4550" s="10">
        <v>9</v>
      </c>
      <c r="K4550" t="b">
        <v>1</v>
      </c>
    </row>
    <row r="4551" spans="1:11">
      <c r="A4551" s="12">
        <v>42209</v>
      </c>
      <c r="B4551">
        <v>2015</v>
      </c>
      <c r="C4551">
        <v>7</v>
      </c>
      <c r="D4551" s="11">
        <v>42186</v>
      </c>
      <c r="E4551" t="s">
        <v>2179</v>
      </c>
      <c r="F4551">
        <v>5</v>
      </c>
      <c r="G4551" t="s">
        <v>55</v>
      </c>
      <c r="H4551" t="s">
        <v>45</v>
      </c>
      <c r="I4551" t="s">
        <v>2193</v>
      </c>
      <c r="J4551" s="10">
        <v>1</v>
      </c>
      <c r="K4551" t="b">
        <v>1</v>
      </c>
    </row>
    <row r="4552" spans="1:11">
      <c r="A4552" s="12">
        <v>42209</v>
      </c>
      <c r="B4552">
        <v>2015</v>
      </c>
      <c r="C4552">
        <v>7</v>
      </c>
      <c r="D4552" s="11">
        <v>42186</v>
      </c>
      <c r="E4552" t="s">
        <v>2179</v>
      </c>
      <c r="F4552">
        <v>5</v>
      </c>
      <c r="G4552" t="s">
        <v>55</v>
      </c>
      <c r="H4552" t="s">
        <v>46</v>
      </c>
      <c r="I4552" t="s">
        <v>2194</v>
      </c>
      <c r="J4552" s="10">
        <v>1</v>
      </c>
      <c r="K4552" t="b">
        <v>1</v>
      </c>
    </row>
    <row r="4553" spans="1:11">
      <c r="A4553" s="12">
        <v>42209</v>
      </c>
      <c r="B4553">
        <v>2015</v>
      </c>
      <c r="C4553">
        <v>7</v>
      </c>
      <c r="D4553" s="11">
        <v>42186</v>
      </c>
      <c r="E4553" t="s">
        <v>2179</v>
      </c>
      <c r="F4553">
        <v>5</v>
      </c>
      <c r="G4553" t="s">
        <v>55</v>
      </c>
      <c r="H4553" t="s">
        <v>47</v>
      </c>
      <c r="I4553" t="s">
        <v>2195</v>
      </c>
      <c r="J4553" s="10">
        <v>10</v>
      </c>
      <c r="K4553" t="b">
        <v>1</v>
      </c>
    </row>
    <row r="4554" spans="1:11">
      <c r="A4554" s="12">
        <v>42210</v>
      </c>
      <c r="B4554">
        <v>2015</v>
      </c>
      <c r="C4554">
        <v>7</v>
      </c>
      <c r="D4554" s="11">
        <v>42186</v>
      </c>
      <c r="E4554" t="s">
        <v>2179</v>
      </c>
      <c r="F4554">
        <v>6</v>
      </c>
      <c r="G4554" t="s">
        <v>57</v>
      </c>
      <c r="H4554" t="s">
        <v>40</v>
      </c>
      <c r="I4554" t="s">
        <v>2188</v>
      </c>
      <c r="J4554" s="10">
        <v>4</v>
      </c>
      <c r="K4554" t="b">
        <v>1</v>
      </c>
    </row>
    <row r="4555" spans="1:11">
      <c r="A4555" s="12">
        <v>42210</v>
      </c>
      <c r="B4555">
        <v>2015</v>
      </c>
      <c r="C4555">
        <v>7</v>
      </c>
      <c r="D4555" s="11">
        <v>42186</v>
      </c>
      <c r="E4555" t="s">
        <v>2179</v>
      </c>
      <c r="F4555">
        <v>6</v>
      </c>
      <c r="G4555" t="s">
        <v>57</v>
      </c>
      <c r="H4555" t="s">
        <v>41</v>
      </c>
      <c r="I4555" t="s">
        <v>2189</v>
      </c>
      <c r="J4555" s="10">
        <v>4</v>
      </c>
      <c r="K4555" t="b">
        <v>1</v>
      </c>
    </row>
    <row r="4556" spans="1:11">
      <c r="A4556" s="12">
        <v>42210</v>
      </c>
      <c r="B4556">
        <v>2015</v>
      </c>
      <c r="C4556">
        <v>7</v>
      </c>
      <c r="D4556" s="11">
        <v>42186</v>
      </c>
      <c r="E4556" t="s">
        <v>2179</v>
      </c>
      <c r="F4556">
        <v>6</v>
      </c>
      <c r="G4556" t="s">
        <v>57</v>
      </c>
      <c r="H4556" t="s">
        <v>42</v>
      </c>
      <c r="I4556" t="s">
        <v>2190</v>
      </c>
      <c r="J4556" s="10">
        <v>5</v>
      </c>
      <c r="K4556" t="b">
        <v>1</v>
      </c>
    </row>
    <row r="4557" spans="1:11">
      <c r="A4557" s="12">
        <v>42210</v>
      </c>
      <c r="B4557">
        <v>2015</v>
      </c>
      <c r="C4557">
        <v>7</v>
      </c>
      <c r="D4557" s="11">
        <v>42186</v>
      </c>
      <c r="E4557" t="s">
        <v>2179</v>
      </c>
      <c r="F4557">
        <v>6</v>
      </c>
      <c r="G4557" t="s">
        <v>57</v>
      </c>
      <c r="H4557" t="s">
        <v>43</v>
      </c>
      <c r="I4557" t="s">
        <v>2191</v>
      </c>
      <c r="J4557" s="10">
        <v>22</v>
      </c>
      <c r="K4557" t="b">
        <v>1</v>
      </c>
    </row>
    <row r="4558" spans="1:11">
      <c r="A4558" s="12">
        <v>42210</v>
      </c>
      <c r="B4558">
        <v>2015</v>
      </c>
      <c r="C4558">
        <v>7</v>
      </c>
      <c r="D4558" s="11">
        <v>42186</v>
      </c>
      <c r="E4558" t="s">
        <v>2179</v>
      </c>
      <c r="F4558">
        <v>6</v>
      </c>
      <c r="G4558" t="s">
        <v>57</v>
      </c>
      <c r="H4558" t="s">
        <v>44</v>
      </c>
      <c r="I4558" t="s">
        <v>2192</v>
      </c>
      <c r="J4558" s="10">
        <v>7</v>
      </c>
      <c r="K4558" t="b">
        <v>1</v>
      </c>
    </row>
    <row r="4559" spans="1:11">
      <c r="A4559" s="12">
        <v>42210</v>
      </c>
      <c r="B4559">
        <v>2015</v>
      </c>
      <c r="C4559">
        <v>7</v>
      </c>
      <c r="D4559" s="11">
        <v>42186</v>
      </c>
      <c r="E4559" t="s">
        <v>2179</v>
      </c>
      <c r="F4559">
        <v>6</v>
      </c>
      <c r="G4559" t="s">
        <v>57</v>
      </c>
      <c r="H4559" t="s">
        <v>45</v>
      </c>
      <c r="I4559" t="s">
        <v>2193</v>
      </c>
      <c r="J4559" s="10">
        <v>1</v>
      </c>
      <c r="K4559" t="b">
        <v>1</v>
      </c>
    </row>
    <row r="4560" spans="1:11">
      <c r="A4560" s="12">
        <v>42210</v>
      </c>
      <c r="B4560">
        <v>2015</v>
      </c>
      <c r="C4560">
        <v>7</v>
      </c>
      <c r="D4560" s="11">
        <v>42186</v>
      </c>
      <c r="E4560" t="s">
        <v>2179</v>
      </c>
      <c r="F4560">
        <v>6</v>
      </c>
      <c r="G4560" t="s">
        <v>57</v>
      </c>
      <c r="H4560" t="s">
        <v>46</v>
      </c>
      <c r="I4560" t="s">
        <v>2194</v>
      </c>
      <c r="J4560" s="10">
        <v>0</v>
      </c>
      <c r="K4560" t="b">
        <v>1</v>
      </c>
    </row>
    <row r="4561" spans="1:11">
      <c r="A4561" s="12">
        <v>42210</v>
      </c>
      <c r="B4561">
        <v>2015</v>
      </c>
      <c r="C4561">
        <v>7</v>
      </c>
      <c r="D4561" s="11">
        <v>42186</v>
      </c>
      <c r="E4561" t="s">
        <v>2179</v>
      </c>
      <c r="F4561">
        <v>6</v>
      </c>
      <c r="G4561" t="s">
        <v>57</v>
      </c>
      <c r="H4561" t="s">
        <v>47</v>
      </c>
      <c r="I4561" t="s">
        <v>2195</v>
      </c>
      <c r="J4561" s="10">
        <v>4</v>
      </c>
      <c r="K4561" t="b">
        <v>1</v>
      </c>
    </row>
    <row r="4562" spans="1:11">
      <c r="A4562" s="12">
        <v>42211</v>
      </c>
      <c r="B4562">
        <v>2015</v>
      </c>
      <c r="C4562">
        <v>7</v>
      </c>
      <c r="D4562" s="11">
        <v>42186</v>
      </c>
      <c r="E4562" t="s">
        <v>2179</v>
      </c>
      <c r="F4562">
        <v>7</v>
      </c>
      <c r="G4562" t="s">
        <v>59</v>
      </c>
      <c r="H4562" t="s">
        <v>40</v>
      </c>
      <c r="I4562" t="s">
        <v>2188</v>
      </c>
      <c r="J4562" s="10">
        <v>5</v>
      </c>
      <c r="K4562" t="b">
        <v>1</v>
      </c>
    </row>
    <row r="4563" spans="1:11">
      <c r="A4563" s="12">
        <v>42211</v>
      </c>
      <c r="B4563">
        <v>2015</v>
      </c>
      <c r="C4563">
        <v>7</v>
      </c>
      <c r="D4563" s="11">
        <v>42186</v>
      </c>
      <c r="E4563" t="s">
        <v>2179</v>
      </c>
      <c r="F4563">
        <v>7</v>
      </c>
      <c r="G4563" t="s">
        <v>59</v>
      </c>
      <c r="H4563" t="s">
        <v>41</v>
      </c>
      <c r="I4563" t="s">
        <v>2189</v>
      </c>
      <c r="J4563" s="10">
        <v>2.99</v>
      </c>
      <c r="K4563" t="b">
        <v>1</v>
      </c>
    </row>
    <row r="4564" spans="1:11">
      <c r="A4564" s="12">
        <v>42211</v>
      </c>
      <c r="B4564">
        <v>2015</v>
      </c>
      <c r="C4564">
        <v>7</v>
      </c>
      <c r="D4564" s="11">
        <v>42186</v>
      </c>
      <c r="E4564" t="s">
        <v>2179</v>
      </c>
      <c r="F4564">
        <v>7</v>
      </c>
      <c r="G4564" t="s">
        <v>59</v>
      </c>
      <c r="H4564" t="s">
        <v>42</v>
      </c>
      <c r="I4564" t="s">
        <v>2190</v>
      </c>
      <c r="J4564" s="10">
        <v>3</v>
      </c>
      <c r="K4564" t="b">
        <v>1</v>
      </c>
    </row>
    <row r="4565" spans="1:11">
      <c r="A4565" s="12">
        <v>42211</v>
      </c>
      <c r="B4565">
        <v>2015</v>
      </c>
      <c r="C4565">
        <v>7</v>
      </c>
      <c r="D4565" s="11">
        <v>42186</v>
      </c>
      <c r="E4565" t="s">
        <v>2179</v>
      </c>
      <c r="F4565">
        <v>7</v>
      </c>
      <c r="G4565" t="s">
        <v>59</v>
      </c>
      <c r="H4565" t="s">
        <v>43</v>
      </c>
      <c r="I4565" t="s">
        <v>2191</v>
      </c>
      <c r="J4565" s="10">
        <v>29</v>
      </c>
      <c r="K4565" t="b">
        <v>1</v>
      </c>
    </row>
    <row r="4566" spans="1:11">
      <c r="A4566" s="12">
        <v>42211</v>
      </c>
      <c r="B4566">
        <v>2015</v>
      </c>
      <c r="C4566">
        <v>7</v>
      </c>
      <c r="D4566" s="11">
        <v>42186</v>
      </c>
      <c r="E4566" t="s">
        <v>2179</v>
      </c>
      <c r="F4566">
        <v>7</v>
      </c>
      <c r="G4566" t="s">
        <v>59</v>
      </c>
      <c r="H4566" t="s">
        <v>44</v>
      </c>
      <c r="I4566" t="s">
        <v>2192</v>
      </c>
      <c r="J4566" s="10">
        <v>4</v>
      </c>
      <c r="K4566" t="b">
        <v>1</v>
      </c>
    </row>
    <row r="4567" spans="1:11">
      <c r="A4567" s="12">
        <v>42211</v>
      </c>
      <c r="B4567">
        <v>2015</v>
      </c>
      <c r="C4567">
        <v>7</v>
      </c>
      <c r="D4567" s="11">
        <v>42186</v>
      </c>
      <c r="E4567" t="s">
        <v>2179</v>
      </c>
      <c r="F4567">
        <v>7</v>
      </c>
      <c r="G4567" t="s">
        <v>59</v>
      </c>
      <c r="H4567" t="s">
        <v>45</v>
      </c>
      <c r="I4567" t="s">
        <v>2193</v>
      </c>
      <c r="J4567" s="10">
        <v>0</v>
      </c>
      <c r="K4567" t="b">
        <v>1</v>
      </c>
    </row>
    <row r="4568" spans="1:11">
      <c r="A4568" s="12">
        <v>42211</v>
      </c>
      <c r="B4568">
        <v>2015</v>
      </c>
      <c r="C4568">
        <v>7</v>
      </c>
      <c r="D4568" s="11">
        <v>42186</v>
      </c>
      <c r="E4568" t="s">
        <v>2179</v>
      </c>
      <c r="F4568">
        <v>7</v>
      </c>
      <c r="G4568" t="s">
        <v>59</v>
      </c>
      <c r="H4568" t="s">
        <v>46</v>
      </c>
      <c r="I4568" t="s">
        <v>2194</v>
      </c>
      <c r="J4568" s="10">
        <v>0</v>
      </c>
      <c r="K4568" t="b">
        <v>1</v>
      </c>
    </row>
    <row r="4569" spans="1:11">
      <c r="A4569" s="12">
        <v>42211</v>
      </c>
      <c r="B4569">
        <v>2015</v>
      </c>
      <c r="C4569">
        <v>7</v>
      </c>
      <c r="D4569" s="11">
        <v>42186</v>
      </c>
      <c r="E4569" t="s">
        <v>2179</v>
      </c>
      <c r="F4569">
        <v>7</v>
      </c>
      <c r="G4569" t="s">
        <v>59</v>
      </c>
      <c r="H4569" t="s">
        <v>47</v>
      </c>
      <c r="I4569" t="s">
        <v>2195</v>
      </c>
      <c r="J4569" s="10">
        <v>0</v>
      </c>
      <c r="K4569" t="b">
        <v>1</v>
      </c>
    </row>
    <row r="4570" spans="1:11">
      <c r="A4570" s="12">
        <v>42212</v>
      </c>
      <c r="B4570">
        <v>2015</v>
      </c>
      <c r="C4570">
        <v>7</v>
      </c>
      <c r="D4570" s="11">
        <v>42186</v>
      </c>
      <c r="E4570" t="s">
        <v>2179</v>
      </c>
      <c r="F4570">
        <v>1</v>
      </c>
      <c r="G4570" t="s">
        <v>61</v>
      </c>
      <c r="H4570" t="s">
        <v>40</v>
      </c>
      <c r="I4570" t="s">
        <v>2188</v>
      </c>
      <c r="J4570" s="10">
        <v>7.34</v>
      </c>
      <c r="K4570" t="b">
        <v>1</v>
      </c>
    </row>
    <row r="4571" spans="1:11">
      <c r="A4571" s="12">
        <v>42212</v>
      </c>
      <c r="B4571">
        <v>2015</v>
      </c>
      <c r="C4571">
        <v>7</v>
      </c>
      <c r="D4571" s="11">
        <v>42186</v>
      </c>
      <c r="E4571" t="s">
        <v>2179</v>
      </c>
      <c r="F4571">
        <v>1</v>
      </c>
      <c r="G4571" t="s">
        <v>61</v>
      </c>
      <c r="H4571" t="s">
        <v>41</v>
      </c>
      <c r="I4571" t="s">
        <v>2189</v>
      </c>
      <c r="J4571" s="10">
        <v>3.34</v>
      </c>
      <c r="K4571" t="b">
        <v>1</v>
      </c>
    </row>
    <row r="4572" spans="1:11">
      <c r="A4572" s="12">
        <v>42212</v>
      </c>
      <c r="B4572">
        <v>2015</v>
      </c>
      <c r="C4572">
        <v>7</v>
      </c>
      <c r="D4572" s="11">
        <v>42186</v>
      </c>
      <c r="E4572" t="s">
        <v>2179</v>
      </c>
      <c r="F4572">
        <v>1</v>
      </c>
      <c r="G4572" t="s">
        <v>61</v>
      </c>
      <c r="H4572" t="s">
        <v>42</v>
      </c>
      <c r="I4572" t="s">
        <v>2190</v>
      </c>
      <c r="J4572" s="10">
        <v>7</v>
      </c>
      <c r="K4572" t="b">
        <v>1</v>
      </c>
    </row>
    <row r="4573" spans="1:11">
      <c r="A4573" s="12">
        <v>42212</v>
      </c>
      <c r="B4573">
        <v>2015</v>
      </c>
      <c r="C4573">
        <v>7</v>
      </c>
      <c r="D4573" s="11">
        <v>42186</v>
      </c>
      <c r="E4573" t="s">
        <v>2179</v>
      </c>
      <c r="F4573">
        <v>1</v>
      </c>
      <c r="G4573" t="s">
        <v>61</v>
      </c>
      <c r="H4573" t="s">
        <v>43</v>
      </c>
      <c r="I4573" t="s">
        <v>2191</v>
      </c>
      <c r="J4573" s="10">
        <v>24</v>
      </c>
      <c r="K4573" t="b">
        <v>1</v>
      </c>
    </row>
    <row r="4574" spans="1:11">
      <c r="A4574" s="12">
        <v>42212</v>
      </c>
      <c r="B4574">
        <v>2015</v>
      </c>
      <c r="C4574">
        <v>7</v>
      </c>
      <c r="D4574" s="11">
        <v>42186</v>
      </c>
      <c r="E4574" t="s">
        <v>2179</v>
      </c>
      <c r="F4574">
        <v>1</v>
      </c>
      <c r="G4574" t="s">
        <v>61</v>
      </c>
      <c r="H4574" t="s">
        <v>44</v>
      </c>
      <c r="I4574" t="s">
        <v>2192</v>
      </c>
      <c r="J4574" s="10">
        <v>9</v>
      </c>
      <c r="K4574" t="b">
        <v>1</v>
      </c>
    </row>
    <row r="4575" spans="1:11">
      <c r="A4575" s="12">
        <v>42212</v>
      </c>
      <c r="B4575">
        <v>2015</v>
      </c>
      <c r="C4575">
        <v>7</v>
      </c>
      <c r="D4575" s="11">
        <v>42186</v>
      </c>
      <c r="E4575" t="s">
        <v>2179</v>
      </c>
      <c r="F4575">
        <v>1</v>
      </c>
      <c r="G4575" t="s">
        <v>61</v>
      </c>
      <c r="H4575" t="s">
        <v>45</v>
      </c>
      <c r="I4575" t="s">
        <v>2193</v>
      </c>
      <c r="J4575" s="10">
        <v>0</v>
      </c>
      <c r="K4575" t="b">
        <v>1</v>
      </c>
    </row>
    <row r="4576" spans="1:11">
      <c r="A4576" s="12">
        <v>42212</v>
      </c>
      <c r="B4576">
        <v>2015</v>
      </c>
      <c r="C4576">
        <v>7</v>
      </c>
      <c r="D4576" s="11">
        <v>42186</v>
      </c>
      <c r="E4576" t="s">
        <v>2179</v>
      </c>
      <c r="F4576">
        <v>1</v>
      </c>
      <c r="G4576" t="s">
        <v>61</v>
      </c>
      <c r="H4576" t="s">
        <v>46</v>
      </c>
      <c r="I4576" t="s">
        <v>2194</v>
      </c>
      <c r="J4576" s="10">
        <v>0</v>
      </c>
      <c r="K4576" t="b">
        <v>1</v>
      </c>
    </row>
    <row r="4577" spans="1:11">
      <c r="A4577" s="12">
        <v>42212</v>
      </c>
      <c r="B4577">
        <v>2015</v>
      </c>
      <c r="C4577">
        <v>7</v>
      </c>
      <c r="D4577" s="11">
        <v>42186</v>
      </c>
      <c r="E4577" t="s">
        <v>2179</v>
      </c>
      <c r="F4577">
        <v>1</v>
      </c>
      <c r="G4577" t="s">
        <v>61</v>
      </c>
      <c r="H4577" t="s">
        <v>47</v>
      </c>
      <c r="I4577" t="s">
        <v>2195</v>
      </c>
      <c r="J4577" s="10">
        <v>1.5</v>
      </c>
      <c r="K4577" t="b">
        <v>1</v>
      </c>
    </row>
    <row r="4578" spans="1:11">
      <c r="A4578" s="12">
        <v>42213</v>
      </c>
      <c r="B4578">
        <v>2015</v>
      </c>
      <c r="C4578">
        <v>7</v>
      </c>
      <c r="D4578" s="11">
        <v>42186</v>
      </c>
      <c r="E4578" t="s">
        <v>2179</v>
      </c>
      <c r="F4578">
        <v>2</v>
      </c>
      <c r="G4578" t="s">
        <v>63</v>
      </c>
      <c r="H4578" t="s">
        <v>40</v>
      </c>
      <c r="I4578" t="s">
        <v>2188</v>
      </c>
      <c r="J4578" s="10">
        <v>14.18</v>
      </c>
      <c r="K4578" t="b">
        <v>1</v>
      </c>
    </row>
    <row r="4579" spans="1:11">
      <c r="A4579" s="12">
        <v>42213</v>
      </c>
      <c r="B4579">
        <v>2015</v>
      </c>
      <c r="C4579">
        <v>7</v>
      </c>
      <c r="D4579" s="11">
        <v>42186</v>
      </c>
      <c r="E4579" t="s">
        <v>2179</v>
      </c>
      <c r="F4579">
        <v>2</v>
      </c>
      <c r="G4579" t="s">
        <v>63</v>
      </c>
      <c r="H4579" t="s">
        <v>41</v>
      </c>
      <c r="I4579" t="s">
        <v>2189</v>
      </c>
      <c r="J4579" s="10">
        <v>6.02</v>
      </c>
      <c r="K4579" t="b">
        <v>1</v>
      </c>
    </row>
    <row r="4580" spans="1:11">
      <c r="A4580" s="12">
        <v>42213</v>
      </c>
      <c r="B4580">
        <v>2015</v>
      </c>
      <c r="C4580">
        <v>7</v>
      </c>
      <c r="D4580" s="11">
        <v>42186</v>
      </c>
      <c r="E4580" t="s">
        <v>2179</v>
      </c>
      <c r="F4580">
        <v>2</v>
      </c>
      <c r="G4580" t="s">
        <v>63</v>
      </c>
      <c r="H4580" t="s">
        <v>42</v>
      </c>
      <c r="I4580" t="s">
        <v>2190</v>
      </c>
      <c r="J4580" s="10">
        <v>1</v>
      </c>
      <c r="K4580" t="b">
        <v>1</v>
      </c>
    </row>
    <row r="4581" spans="1:11">
      <c r="A4581" s="12">
        <v>42213</v>
      </c>
      <c r="B4581">
        <v>2015</v>
      </c>
      <c r="C4581">
        <v>7</v>
      </c>
      <c r="D4581" s="11">
        <v>42186</v>
      </c>
      <c r="E4581" t="s">
        <v>2179</v>
      </c>
      <c r="F4581">
        <v>2</v>
      </c>
      <c r="G4581" t="s">
        <v>63</v>
      </c>
      <c r="H4581" t="s">
        <v>43</v>
      </c>
      <c r="I4581" t="s">
        <v>2191</v>
      </c>
      <c r="J4581" s="10">
        <v>15.2</v>
      </c>
      <c r="K4581" t="b">
        <v>1</v>
      </c>
    </row>
    <row r="4582" spans="1:11">
      <c r="A4582" s="12">
        <v>42213</v>
      </c>
      <c r="B4582">
        <v>2015</v>
      </c>
      <c r="C4582">
        <v>7</v>
      </c>
      <c r="D4582" s="11">
        <v>42186</v>
      </c>
      <c r="E4582" t="s">
        <v>2179</v>
      </c>
      <c r="F4582">
        <v>2</v>
      </c>
      <c r="G4582" t="s">
        <v>63</v>
      </c>
      <c r="H4582" t="s">
        <v>44</v>
      </c>
      <c r="I4582" t="s">
        <v>2192</v>
      </c>
      <c r="J4582" s="10">
        <v>14</v>
      </c>
      <c r="K4582" t="b">
        <v>1</v>
      </c>
    </row>
    <row r="4583" spans="1:11">
      <c r="A4583" s="12">
        <v>42213</v>
      </c>
      <c r="B4583">
        <v>2015</v>
      </c>
      <c r="C4583">
        <v>7</v>
      </c>
      <c r="D4583" s="11">
        <v>42186</v>
      </c>
      <c r="E4583" t="s">
        <v>2179</v>
      </c>
      <c r="F4583">
        <v>2</v>
      </c>
      <c r="G4583" t="s">
        <v>63</v>
      </c>
      <c r="H4583" t="s">
        <v>45</v>
      </c>
      <c r="I4583" t="s">
        <v>2193</v>
      </c>
      <c r="J4583" s="10">
        <v>0</v>
      </c>
      <c r="K4583" t="b">
        <v>1</v>
      </c>
    </row>
    <row r="4584" spans="1:11">
      <c r="A4584" s="12">
        <v>42213</v>
      </c>
      <c r="B4584">
        <v>2015</v>
      </c>
      <c r="C4584">
        <v>7</v>
      </c>
      <c r="D4584" s="11">
        <v>42186</v>
      </c>
      <c r="E4584" t="s">
        <v>2179</v>
      </c>
      <c r="F4584">
        <v>2</v>
      </c>
      <c r="G4584" t="s">
        <v>63</v>
      </c>
      <c r="H4584" t="s">
        <v>46</v>
      </c>
      <c r="I4584" t="s">
        <v>2194</v>
      </c>
      <c r="J4584" s="10">
        <v>1</v>
      </c>
      <c r="K4584" t="b">
        <v>1</v>
      </c>
    </row>
    <row r="4585" spans="1:11">
      <c r="A4585" s="12">
        <v>42213</v>
      </c>
      <c r="B4585">
        <v>2015</v>
      </c>
      <c r="C4585">
        <v>7</v>
      </c>
      <c r="D4585" s="11">
        <v>42186</v>
      </c>
      <c r="E4585" t="s">
        <v>2179</v>
      </c>
      <c r="F4585">
        <v>2</v>
      </c>
      <c r="G4585" t="s">
        <v>63</v>
      </c>
      <c r="H4585" t="s">
        <v>47</v>
      </c>
      <c r="I4585" t="s">
        <v>2195</v>
      </c>
      <c r="J4585" s="10">
        <v>3</v>
      </c>
      <c r="K4585" t="b">
        <v>1</v>
      </c>
    </row>
    <row r="4586" spans="1:11">
      <c r="A4586" s="12">
        <v>42214</v>
      </c>
      <c r="B4586">
        <v>2015</v>
      </c>
      <c r="C4586">
        <v>7</v>
      </c>
      <c r="D4586" s="11">
        <v>42186</v>
      </c>
      <c r="E4586" t="s">
        <v>2179</v>
      </c>
      <c r="F4586">
        <v>3</v>
      </c>
      <c r="G4586" t="s">
        <v>65</v>
      </c>
      <c r="H4586" t="s">
        <v>40</v>
      </c>
      <c r="I4586" t="s">
        <v>2188</v>
      </c>
      <c r="J4586" s="10">
        <v>10.34</v>
      </c>
      <c r="K4586" t="b">
        <v>1</v>
      </c>
    </row>
    <row r="4587" spans="1:11">
      <c r="A4587" s="12">
        <v>42214</v>
      </c>
      <c r="B4587">
        <v>2015</v>
      </c>
      <c r="C4587">
        <v>7</v>
      </c>
      <c r="D4587" s="11">
        <v>42186</v>
      </c>
      <c r="E4587" t="s">
        <v>2179</v>
      </c>
      <c r="F4587">
        <v>3</v>
      </c>
      <c r="G4587" t="s">
        <v>65</v>
      </c>
      <c r="H4587" t="s">
        <v>41</v>
      </c>
      <c r="I4587" t="s">
        <v>2189</v>
      </c>
      <c r="J4587" s="10">
        <v>3.34</v>
      </c>
      <c r="K4587" t="b">
        <v>1</v>
      </c>
    </row>
    <row r="4588" spans="1:11">
      <c r="A4588" s="12">
        <v>42214</v>
      </c>
      <c r="B4588">
        <v>2015</v>
      </c>
      <c r="C4588">
        <v>7</v>
      </c>
      <c r="D4588" s="11">
        <v>42186</v>
      </c>
      <c r="E4588" t="s">
        <v>2179</v>
      </c>
      <c r="F4588">
        <v>3</v>
      </c>
      <c r="G4588" t="s">
        <v>65</v>
      </c>
      <c r="H4588" t="s">
        <v>42</v>
      </c>
      <c r="I4588" t="s">
        <v>2190</v>
      </c>
      <c r="J4588" s="10">
        <v>4</v>
      </c>
      <c r="K4588" t="b">
        <v>1</v>
      </c>
    </row>
    <row r="4589" spans="1:11">
      <c r="A4589" s="12">
        <v>42214</v>
      </c>
      <c r="B4589">
        <v>2015</v>
      </c>
      <c r="C4589">
        <v>7</v>
      </c>
      <c r="D4589" s="11">
        <v>42186</v>
      </c>
      <c r="E4589" t="s">
        <v>2179</v>
      </c>
      <c r="F4589">
        <v>3</v>
      </c>
      <c r="G4589" t="s">
        <v>65</v>
      </c>
      <c r="H4589" t="s">
        <v>43</v>
      </c>
      <c r="I4589" t="s">
        <v>2191</v>
      </c>
      <c r="J4589" s="10">
        <v>21.378</v>
      </c>
      <c r="K4589" t="b">
        <v>1</v>
      </c>
    </row>
    <row r="4590" spans="1:11">
      <c r="A4590" s="12">
        <v>42214</v>
      </c>
      <c r="B4590">
        <v>2015</v>
      </c>
      <c r="C4590">
        <v>7</v>
      </c>
      <c r="D4590" s="11">
        <v>42186</v>
      </c>
      <c r="E4590" t="s">
        <v>2179</v>
      </c>
      <c r="F4590">
        <v>3</v>
      </c>
      <c r="G4590" t="s">
        <v>65</v>
      </c>
      <c r="H4590" t="s">
        <v>44</v>
      </c>
      <c r="I4590" t="s">
        <v>2192</v>
      </c>
      <c r="J4590" s="10">
        <v>8</v>
      </c>
      <c r="K4590" t="b">
        <v>1</v>
      </c>
    </row>
    <row r="4591" spans="1:11">
      <c r="A4591" s="12">
        <v>42214</v>
      </c>
      <c r="B4591">
        <v>2015</v>
      </c>
      <c r="C4591">
        <v>7</v>
      </c>
      <c r="D4591" s="11">
        <v>42186</v>
      </c>
      <c r="E4591" t="s">
        <v>2179</v>
      </c>
      <c r="F4591">
        <v>3</v>
      </c>
      <c r="G4591" t="s">
        <v>65</v>
      </c>
      <c r="H4591" t="s">
        <v>45</v>
      </c>
      <c r="I4591" t="s">
        <v>2193</v>
      </c>
      <c r="J4591" s="10">
        <v>0</v>
      </c>
      <c r="K4591" t="b">
        <v>1</v>
      </c>
    </row>
    <row r="4592" spans="1:11">
      <c r="A4592" s="12">
        <v>42214</v>
      </c>
      <c r="B4592">
        <v>2015</v>
      </c>
      <c r="C4592">
        <v>7</v>
      </c>
      <c r="D4592" s="11">
        <v>42186</v>
      </c>
      <c r="E4592" t="s">
        <v>2179</v>
      </c>
      <c r="F4592">
        <v>3</v>
      </c>
      <c r="G4592" t="s">
        <v>65</v>
      </c>
      <c r="H4592" t="s">
        <v>46</v>
      </c>
      <c r="I4592" t="s">
        <v>2194</v>
      </c>
      <c r="J4592" s="10">
        <v>2</v>
      </c>
      <c r="K4592" t="b">
        <v>1</v>
      </c>
    </row>
    <row r="4593" spans="1:11">
      <c r="A4593" s="12">
        <v>42214</v>
      </c>
      <c r="B4593">
        <v>2015</v>
      </c>
      <c r="C4593">
        <v>7</v>
      </c>
      <c r="D4593" s="11">
        <v>42186</v>
      </c>
      <c r="E4593" t="s">
        <v>2179</v>
      </c>
      <c r="F4593">
        <v>3</v>
      </c>
      <c r="G4593" t="s">
        <v>65</v>
      </c>
      <c r="H4593" t="s">
        <v>47</v>
      </c>
      <c r="I4593" t="s">
        <v>2195</v>
      </c>
      <c r="J4593" s="10">
        <v>1</v>
      </c>
      <c r="K4593" t="b">
        <v>1</v>
      </c>
    </row>
    <row r="4594" spans="1:11">
      <c r="A4594" s="12">
        <v>42215</v>
      </c>
      <c r="B4594">
        <v>2015</v>
      </c>
      <c r="C4594">
        <v>7</v>
      </c>
      <c r="D4594" s="11">
        <v>42186</v>
      </c>
      <c r="E4594" t="s">
        <v>2179</v>
      </c>
      <c r="F4594">
        <v>4</v>
      </c>
      <c r="G4594" t="s">
        <v>53</v>
      </c>
      <c r="H4594" t="s">
        <v>40</v>
      </c>
      <c r="I4594" t="s">
        <v>2188</v>
      </c>
      <c r="J4594" s="10">
        <v>3</v>
      </c>
      <c r="K4594" t="b">
        <v>1</v>
      </c>
    </row>
    <row r="4595" spans="1:11">
      <c r="A4595" s="12">
        <v>42215</v>
      </c>
      <c r="B4595">
        <v>2015</v>
      </c>
      <c r="C4595">
        <v>7</v>
      </c>
      <c r="D4595" s="11">
        <v>42186</v>
      </c>
      <c r="E4595" t="s">
        <v>2179</v>
      </c>
      <c r="F4595">
        <v>4</v>
      </c>
      <c r="G4595" t="s">
        <v>53</v>
      </c>
      <c r="H4595" t="s">
        <v>41</v>
      </c>
      <c r="I4595" t="s">
        <v>2189</v>
      </c>
      <c r="J4595" s="10">
        <v>3.33</v>
      </c>
      <c r="K4595" t="b">
        <v>1</v>
      </c>
    </row>
    <row r="4596" spans="1:11">
      <c r="A4596" s="12">
        <v>42215</v>
      </c>
      <c r="B4596">
        <v>2015</v>
      </c>
      <c r="C4596">
        <v>7</v>
      </c>
      <c r="D4596" s="11">
        <v>42186</v>
      </c>
      <c r="E4596" t="s">
        <v>2179</v>
      </c>
      <c r="F4596">
        <v>4</v>
      </c>
      <c r="G4596" t="s">
        <v>53</v>
      </c>
      <c r="H4596" t="s">
        <v>42</v>
      </c>
      <c r="I4596" t="s">
        <v>2190</v>
      </c>
      <c r="J4596" s="10">
        <v>14</v>
      </c>
      <c r="K4596" t="b">
        <v>1</v>
      </c>
    </row>
    <row r="4597" spans="1:11">
      <c r="A4597" s="12">
        <v>42215</v>
      </c>
      <c r="B4597">
        <v>2015</v>
      </c>
      <c r="C4597">
        <v>7</v>
      </c>
      <c r="D4597" s="11">
        <v>42186</v>
      </c>
      <c r="E4597" t="s">
        <v>2179</v>
      </c>
      <c r="F4597">
        <v>4</v>
      </c>
      <c r="G4597" t="s">
        <v>53</v>
      </c>
      <c r="H4597" t="s">
        <v>43</v>
      </c>
      <c r="I4597" t="s">
        <v>2191</v>
      </c>
      <c r="J4597" s="10">
        <v>16.3</v>
      </c>
      <c r="K4597" t="b">
        <v>1</v>
      </c>
    </row>
    <row r="4598" spans="1:11">
      <c r="A4598" s="12">
        <v>42215</v>
      </c>
      <c r="B4598">
        <v>2015</v>
      </c>
      <c r="C4598">
        <v>7</v>
      </c>
      <c r="D4598" s="11">
        <v>42186</v>
      </c>
      <c r="E4598" t="s">
        <v>2179</v>
      </c>
      <c r="F4598">
        <v>4</v>
      </c>
      <c r="G4598" t="s">
        <v>53</v>
      </c>
      <c r="H4598" t="s">
        <v>44</v>
      </c>
      <c r="I4598" t="s">
        <v>2192</v>
      </c>
      <c r="J4598" s="10">
        <v>3</v>
      </c>
      <c r="K4598" t="b">
        <v>1</v>
      </c>
    </row>
    <row r="4599" spans="1:11">
      <c r="A4599" s="12">
        <v>42215</v>
      </c>
      <c r="B4599">
        <v>2015</v>
      </c>
      <c r="C4599">
        <v>7</v>
      </c>
      <c r="D4599" s="11">
        <v>42186</v>
      </c>
      <c r="E4599" t="s">
        <v>2179</v>
      </c>
      <c r="F4599">
        <v>4</v>
      </c>
      <c r="G4599" t="s">
        <v>53</v>
      </c>
      <c r="H4599" t="s">
        <v>45</v>
      </c>
      <c r="I4599" t="s">
        <v>2193</v>
      </c>
      <c r="J4599" s="10">
        <v>0</v>
      </c>
      <c r="K4599" t="b">
        <v>1</v>
      </c>
    </row>
    <row r="4600" spans="1:11">
      <c r="A4600" s="12">
        <v>42215</v>
      </c>
      <c r="B4600">
        <v>2015</v>
      </c>
      <c r="C4600">
        <v>7</v>
      </c>
      <c r="D4600" s="11">
        <v>42186</v>
      </c>
      <c r="E4600" t="s">
        <v>2179</v>
      </c>
      <c r="F4600">
        <v>4</v>
      </c>
      <c r="G4600" t="s">
        <v>53</v>
      </c>
      <c r="H4600" t="s">
        <v>46</v>
      </c>
      <c r="I4600" t="s">
        <v>2194</v>
      </c>
      <c r="J4600" s="10">
        <v>0</v>
      </c>
      <c r="K4600" t="b">
        <v>1</v>
      </c>
    </row>
    <row r="4601" spans="1:11">
      <c r="A4601" s="12">
        <v>42215</v>
      </c>
      <c r="B4601">
        <v>2015</v>
      </c>
      <c r="C4601">
        <v>7</v>
      </c>
      <c r="D4601" s="11">
        <v>42186</v>
      </c>
      <c r="E4601" t="s">
        <v>2179</v>
      </c>
      <c r="F4601">
        <v>4</v>
      </c>
      <c r="G4601" t="s">
        <v>53</v>
      </c>
      <c r="H4601" t="s">
        <v>47</v>
      </c>
      <c r="I4601" t="s">
        <v>2195</v>
      </c>
      <c r="J4601" s="10">
        <v>4</v>
      </c>
      <c r="K4601" t="b">
        <v>1</v>
      </c>
    </row>
    <row r="4602" spans="1:11">
      <c r="A4602" s="12">
        <v>42216</v>
      </c>
      <c r="B4602">
        <v>2015</v>
      </c>
      <c r="C4602">
        <v>7</v>
      </c>
      <c r="D4602" s="11">
        <v>42186</v>
      </c>
      <c r="E4602" t="s">
        <v>2179</v>
      </c>
      <c r="F4602">
        <v>5</v>
      </c>
      <c r="G4602" t="s">
        <v>55</v>
      </c>
      <c r="H4602" t="s">
        <v>40</v>
      </c>
      <c r="I4602" t="s">
        <v>2188</v>
      </c>
      <c r="J4602" s="10">
        <v>5.5</v>
      </c>
      <c r="K4602" t="b">
        <v>1</v>
      </c>
    </row>
    <row r="4603" spans="1:11">
      <c r="A4603" s="12">
        <v>42216</v>
      </c>
      <c r="B4603">
        <v>2015</v>
      </c>
      <c r="C4603">
        <v>7</v>
      </c>
      <c r="D4603" s="11">
        <v>42186</v>
      </c>
      <c r="E4603" t="s">
        <v>2179</v>
      </c>
      <c r="F4603">
        <v>5</v>
      </c>
      <c r="G4603" t="s">
        <v>55</v>
      </c>
      <c r="H4603" t="s">
        <v>41</v>
      </c>
      <c r="I4603" t="s">
        <v>2189</v>
      </c>
      <c r="J4603" s="10">
        <v>9</v>
      </c>
      <c r="K4603" t="b">
        <v>1</v>
      </c>
    </row>
    <row r="4604" spans="1:11">
      <c r="A4604" s="12">
        <v>42216</v>
      </c>
      <c r="B4604">
        <v>2015</v>
      </c>
      <c r="C4604">
        <v>7</v>
      </c>
      <c r="D4604" s="11">
        <v>42186</v>
      </c>
      <c r="E4604" t="s">
        <v>2179</v>
      </c>
      <c r="F4604">
        <v>5</v>
      </c>
      <c r="G4604" t="s">
        <v>55</v>
      </c>
      <c r="H4604" t="s">
        <v>42</v>
      </c>
      <c r="I4604" t="s">
        <v>2190</v>
      </c>
      <c r="J4604" s="10">
        <v>6.2</v>
      </c>
      <c r="K4604" t="b">
        <v>1</v>
      </c>
    </row>
    <row r="4605" spans="1:11">
      <c r="A4605" s="12">
        <v>42216</v>
      </c>
      <c r="B4605">
        <v>2015</v>
      </c>
      <c r="C4605">
        <v>7</v>
      </c>
      <c r="D4605" s="11">
        <v>42186</v>
      </c>
      <c r="E4605" t="s">
        <v>2179</v>
      </c>
      <c r="F4605">
        <v>5</v>
      </c>
      <c r="G4605" t="s">
        <v>55</v>
      </c>
      <c r="H4605" t="s">
        <v>43</v>
      </c>
      <c r="I4605" t="s">
        <v>2191</v>
      </c>
      <c r="J4605" s="10">
        <v>24</v>
      </c>
      <c r="K4605" t="b">
        <v>1</v>
      </c>
    </row>
    <row r="4606" spans="1:11">
      <c r="A4606" s="12">
        <v>42216</v>
      </c>
      <c r="B4606">
        <v>2015</v>
      </c>
      <c r="C4606">
        <v>7</v>
      </c>
      <c r="D4606" s="11">
        <v>42186</v>
      </c>
      <c r="E4606" t="s">
        <v>2179</v>
      </c>
      <c r="F4606">
        <v>5</v>
      </c>
      <c r="G4606" t="s">
        <v>55</v>
      </c>
      <c r="H4606" t="s">
        <v>44</v>
      </c>
      <c r="I4606" t="s">
        <v>2192</v>
      </c>
      <c r="J4606" s="10">
        <v>8</v>
      </c>
      <c r="K4606" t="b">
        <v>1</v>
      </c>
    </row>
    <row r="4607" spans="1:11">
      <c r="A4607" s="12">
        <v>42216</v>
      </c>
      <c r="B4607">
        <v>2015</v>
      </c>
      <c r="C4607">
        <v>7</v>
      </c>
      <c r="D4607" s="11">
        <v>42186</v>
      </c>
      <c r="E4607" t="s">
        <v>2179</v>
      </c>
      <c r="F4607">
        <v>5</v>
      </c>
      <c r="G4607" t="s">
        <v>55</v>
      </c>
      <c r="H4607" t="s">
        <v>45</v>
      </c>
      <c r="I4607" t="s">
        <v>2193</v>
      </c>
      <c r="J4607" s="10">
        <v>0</v>
      </c>
      <c r="K4607" t="b">
        <v>1</v>
      </c>
    </row>
    <row r="4608" spans="1:11">
      <c r="A4608" s="12">
        <v>42216</v>
      </c>
      <c r="B4608">
        <v>2015</v>
      </c>
      <c r="C4608">
        <v>7</v>
      </c>
      <c r="D4608" s="11">
        <v>42186</v>
      </c>
      <c r="E4608" t="s">
        <v>2179</v>
      </c>
      <c r="F4608">
        <v>5</v>
      </c>
      <c r="G4608" t="s">
        <v>55</v>
      </c>
      <c r="H4608" t="s">
        <v>46</v>
      </c>
      <c r="I4608" t="s">
        <v>2194</v>
      </c>
      <c r="J4608" s="10">
        <v>0</v>
      </c>
      <c r="K4608" t="b">
        <v>1</v>
      </c>
    </row>
    <row r="4609" spans="1:11">
      <c r="A4609" s="12">
        <v>42216</v>
      </c>
      <c r="B4609">
        <v>2015</v>
      </c>
      <c r="C4609">
        <v>7</v>
      </c>
      <c r="D4609" s="11">
        <v>42186</v>
      </c>
      <c r="E4609" t="s">
        <v>2179</v>
      </c>
      <c r="F4609">
        <v>5</v>
      </c>
      <c r="G4609" t="s">
        <v>55</v>
      </c>
      <c r="H4609" t="s">
        <v>47</v>
      </c>
      <c r="I4609" t="s">
        <v>2195</v>
      </c>
      <c r="J4609" s="10">
        <v>6</v>
      </c>
      <c r="K4609" t="b">
        <v>1</v>
      </c>
    </row>
    <row r="4610" spans="1:11">
      <c r="A4610" s="12">
        <v>42217</v>
      </c>
      <c r="B4610">
        <v>2015</v>
      </c>
      <c r="C4610">
        <v>8</v>
      </c>
      <c r="D4610" s="11">
        <v>42217</v>
      </c>
      <c r="E4610" t="s">
        <v>2180</v>
      </c>
      <c r="F4610">
        <v>6</v>
      </c>
      <c r="G4610" t="s">
        <v>57</v>
      </c>
      <c r="H4610" t="s">
        <v>40</v>
      </c>
      <c r="I4610" t="s">
        <v>2188</v>
      </c>
      <c r="J4610" s="10">
        <v>5</v>
      </c>
      <c r="K4610" t="b">
        <v>1</v>
      </c>
    </row>
    <row r="4611" spans="1:11">
      <c r="A4611" s="12">
        <v>42217</v>
      </c>
      <c r="B4611">
        <v>2015</v>
      </c>
      <c r="C4611">
        <v>8</v>
      </c>
      <c r="D4611" s="11">
        <v>42217</v>
      </c>
      <c r="E4611" t="s">
        <v>2180</v>
      </c>
      <c r="F4611">
        <v>6</v>
      </c>
      <c r="G4611" t="s">
        <v>57</v>
      </c>
      <c r="H4611" t="s">
        <v>41</v>
      </c>
      <c r="I4611" t="s">
        <v>2189</v>
      </c>
      <c r="J4611" s="10">
        <v>5</v>
      </c>
      <c r="K4611" t="b">
        <v>1</v>
      </c>
    </row>
    <row r="4612" spans="1:11">
      <c r="A4612" s="12">
        <v>42217</v>
      </c>
      <c r="B4612">
        <v>2015</v>
      </c>
      <c r="C4612">
        <v>8</v>
      </c>
      <c r="D4612" s="11">
        <v>42217</v>
      </c>
      <c r="E4612" t="s">
        <v>2180</v>
      </c>
      <c r="F4612">
        <v>6</v>
      </c>
      <c r="G4612" t="s">
        <v>57</v>
      </c>
      <c r="H4612" t="s">
        <v>42</v>
      </c>
      <c r="I4612" t="s">
        <v>2190</v>
      </c>
      <c r="J4612" s="10">
        <v>4</v>
      </c>
      <c r="K4612" t="b">
        <v>1</v>
      </c>
    </row>
    <row r="4613" spans="1:11">
      <c r="A4613" s="12">
        <v>42217</v>
      </c>
      <c r="B4613">
        <v>2015</v>
      </c>
      <c r="C4613">
        <v>8</v>
      </c>
      <c r="D4613" s="11">
        <v>42217</v>
      </c>
      <c r="E4613" t="s">
        <v>2180</v>
      </c>
      <c r="F4613">
        <v>6</v>
      </c>
      <c r="G4613" t="s">
        <v>57</v>
      </c>
      <c r="H4613" t="s">
        <v>43</v>
      </c>
      <c r="I4613" t="s">
        <v>2191</v>
      </c>
      <c r="J4613" s="10">
        <v>19</v>
      </c>
      <c r="K4613" t="b">
        <v>1</v>
      </c>
    </row>
    <row r="4614" spans="1:11">
      <c r="A4614" s="12">
        <v>42217</v>
      </c>
      <c r="B4614">
        <v>2015</v>
      </c>
      <c r="C4614">
        <v>8</v>
      </c>
      <c r="D4614" s="11">
        <v>42217</v>
      </c>
      <c r="E4614" t="s">
        <v>2180</v>
      </c>
      <c r="F4614">
        <v>6</v>
      </c>
      <c r="G4614" t="s">
        <v>57</v>
      </c>
      <c r="H4614" t="s">
        <v>44</v>
      </c>
      <c r="I4614" t="s">
        <v>2192</v>
      </c>
      <c r="J4614" s="10">
        <v>14</v>
      </c>
      <c r="K4614" t="b">
        <v>1</v>
      </c>
    </row>
    <row r="4615" spans="1:11">
      <c r="A4615" s="12">
        <v>42217</v>
      </c>
      <c r="B4615">
        <v>2015</v>
      </c>
      <c r="C4615">
        <v>8</v>
      </c>
      <c r="D4615" s="11">
        <v>42217</v>
      </c>
      <c r="E4615" t="s">
        <v>2180</v>
      </c>
      <c r="F4615">
        <v>6</v>
      </c>
      <c r="G4615" t="s">
        <v>57</v>
      </c>
      <c r="H4615" t="s">
        <v>45</v>
      </c>
      <c r="I4615" t="s">
        <v>2193</v>
      </c>
      <c r="J4615" s="10">
        <v>0</v>
      </c>
      <c r="K4615" t="b">
        <v>1</v>
      </c>
    </row>
    <row r="4616" spans="1:11">
      <c r="A4616" s="12">
        <v>42217</v>
      </c>
      <c r="B4616">
        <v>2015</v>
      </c>
      <c r="C4616">
        <v>8</v>
      </c>
      <c r="D4616" s="11">
        <v>42217</v>
      </c>
      <c r="E4616" t="s">
        <v>2180</v>
      </c>
      <c r="F4616">
        <v>6</v>
      </c>
      <c r="G4616" t="s">
        <v>57</v>
      </c>
      <c r="H4616" t="s">
        <v>46</v>
      </c>
      <c r="I4616" t="s">
        <v>2194</v>
      </c>
      <c r="J4616" s="10">
        <v>0</v>
      </c>
      <c r="K4616" t="b">
        <v>1</v>
      </c>
    </row>
    <row r="4617" spans="1:11">
      <c r="A4617" s="12">
        <v>42217</v>
      </c>
      <c r="B4617">
        <v>2015</v>
      </c>
      <c r="C4617">
        <v>8</v>
      </c>
      <c r="D4617" s="11">
        <v>42217</v>
      </c>
      <c r="E4617" t="s">
        <v>2180</v>
      </c>
      <c r="F4617">
        <v>6</v>
      </c>
      <c r="G4617" t="s">
        <v>57</v>
      </c>
      <c r="H4617" t="s">
        <v>47</v>
      </c>
      <c r="I4617" t="s">
        <v>2195</v>
      </c>
      <c r="J4617" s="10">
        <v>2</v>
      </c>
      <c r="K4617" t="b">
        <v>1</v>
      </c>
    </row>
    <row r="4618" spans="1:11">
      <c r="A4618" s="12">
        <v>42218</v>
      </c>
      <c r="B4618">
        <v>2015</v>
      </c>
      <c r="C4618">
        <v>8</v>
      </c>
      <c r="D4618" s="11">
        <v>42217</v>
      </c>
      <c r="E4618" t="s">
        <v>2180</v>
      </c>
      <c r="F4618">
        <v>7</v>
      </c>
      <c r="G4618" t="s">
        <v>59</v>
      </c>
      <c r="H4618" t="s">
        <v>40</v>
      </c>
      <c r="I4618" t="s">
        <v>2188</v>
      </c>
      <c r="J4618" s="10">
        <v>5</v>
      </c>
      <c r="K4618" t="b">
        <v>1</v>
      </c>
    </row>
    <row r="4619" spans="1:11">
      <c r="A4619" s="12">
        <v>42218</v>
      </c>
      <c r="B4619">
        <v>2015</v>
      </c>
      <c r="C4619">
        <v>8</v>
      </c>
      <c r="D4619" s="11">
        <v>42217</v>
      </c>
      <c r="E4619" t="s">
        <v>2180</v>
      </c>
      <c r="F4619">
        <v>7</v>
      </c>
      <c r="G4619" t="s">
        <v>59</v>
      </c>
      <c r="H4619" t="s">
        <v>41</v>
      </c>
      <c r="I4619" t="s">
        <v>2189</v>
      </c>
      <c r="J4619" s="10">
        <v>6.7</v>
      </c>
      <c r="K4619" t="b">
        <v>1</v>
      </c>
    </row>
    <row r="4620" spans="1:11">
      <c r="A4620" s="12">
        <v>42218</v>
      </c>
      <c r="B4620">
        <v>2015</v>
      </c>
      <c r="C4620">
        <v>8</v>
      </c>
      <c r="D4620" s="11">
        <v>42217</v>
      </c>
      <c r="E4620" t="s">
        <v>2180</v>
      </c>
      <c r="F4620">
        <v>7</v>
      </c>
      <c r="G4620" t="s">
        <v>59</v>
      </c>
      <c r="H4620" t="s">
        <v>42</v>
      </c>
      <c r="I4620" t="s">
        <v>2190</v>
      </c>
      <c r="J4620" s="10">
        <v>4</v>
      </c>
      <c r="K4620" t="b">
        <v>1</v>
      </c>
    </row>
    <row r="4621" spans="1:11">
      <c r="A4621" s="12">
        <v>42218</v>
      </c>
      <c r="B4621">
        <v>2015</v>
      </c>
      <c r="C4621">
        <v>8</v>
      </c>
      <c r="D4621" s="11">
        <v>42217</v>
      </c>
      <c r="E4621" t="s">
        <v>2180</v>
      </c>
      <c r="F4621">
        <v>7</v>
      </c>
      <c r="G4621" t="s">
        <v>59</v>
      </c>
      <c r="H4621" t="s">
        <v>43</v>
      </c>
      <c r="I4621" t="s">
        <v>2191</v>
      </c>
      <c r="J4621" s="10">
        <v>15</v>
      </c>
      <c r="K4621" t="b">
        <v>1</v>
      </c>
    </row>
    <row r="4622" spans="1:11">
      <c r="A4622" s="12">
        <v>42218</v>
      </c>
      <c r="B4622">
        <v>2015</v>
      </c>
      <c r="C4622">
        <v>8</v>
      </c>
      <c r="D4622" s="11">
        <v>42217</v>
      </c>
      <c r="E4622" t="s">
        <v>2180</v>
      </c>
      <c r="F4622">
        <v>7</v>
      </c>
      <c r="G4622" t="s">
        <v>59</v>
      </c>
      <c r="H4622" t="s">
        <v>44</v>
      </c>
      <c r="I4622" t="s">
        <v>2192</v>
      </c>
      <c r="J4622" s="10">
        <v>9</v>
      </c>
      <c r="K4622" t="b">
        <v>1</v>
      </c>
    </row>
    <row r="4623" spans="1:11">
      <c r="A4623" s="12">
        <v>42218</v>
      </c>
      <c r="B4623">
        <v>2015</v>
      </c>
      <c r="C4623">
        <v>8</v>
      </c>
      <c r="D4623" s="11">
        <v>42217</v>
      </c>
      <c r="E4623" t="s">
        <v>2180</v>
      </c>
      <c r="F4623">
        <v>7</v>
      </c>
      <c r="G4623" t="s">
        <v>59</v>
      </c>
      <c r="H4623" t="s">
        <v>45</v>
      </c>
      <c r="I4623" t="s">
        <v>2193</v>
      </c>
      <c r="J4623" s="10">
        <v>0</v>
      </c>
      <c r="K4623" t="b">
        <v>1</v>
      </c>
    </row>
    <row r="4624" spans="1:11">
      <c r="A4624" s="12">
        <v>42218</v>
      </c>
      <c r="B4624">
        <v>2015</v>
      </c>
      <c r="C4624">
        <v>8</v>
      </c>
      <c r="D4624" s="11">
        <v>42217</v>
      </c>
      <c r="E4624" t="s">
        <v>2180</v>
      </c>
      <c r="F4624">
        <v>7</v>
      </c>
      <c r="G4624" t="s">
        <v>59</v>
      </c>
      <c r="H4624" t="s">
        <v>46</v>
      </c>
      <c r="I4624" t="s">
        <v>2194</v>
      </c>
      <c r="J4624" s="10">
        <v>0</v>
      </c>
      <c r="K4624" t="b">
        <v>1</v>
      </c>
    </row>
    <row r="4625" spans="1:11">
      <c r="A4625" s="12">
        <v>42218</v>
      </c>
      <c r="B4625">
        <v>2015</v>
      </c>
      <c r="C4625">
        <v>8</v>
      </c>
      <c r="D4625" s="11">
        <v>42217</v>
      </c>
      <c r="E4625" t="s">
        <v>2180</v>
      </c>
      <c r="F4625">
        <v>7</v>
      </c>
      <c r="G4625" t="s">
        <v>59</v>
      </c>
      <c r="H4625" t="s">
        <v>47</v>
      </c>
      <c r="I4625" t="s">
        <v>2195</v>
      </c>
      <c r="J4625" s="10">
        <v>2</v>
      </c>
      <c r="K4625" t="b">
        <v>1</v>
      </c>
    </row>
    <row r="4626" spans="1:11">
      <c r="A4626" s="12">
        <v>42219</v>
      </c>
      <c r="B4626">
        <v>2015</v>
      </c>
      <c r="C4626">
        <v>8</v>
      </c>
      <c r="D4626" s="11">
        <v>42217</v>
      </c>
      <c r="E4626" t="s">
        <v>2180</v>
      </c>
      <c r="F4626">
        <v>1</v>
      </c>
      <c r="G4626" t="s">
        <v>61</v>
      </c>
      <c r="H4626" t="s">
        <v>40</v>
      </c>
      <c r="I4626" t="s">
        <v>2188</v>
      </c>
      <c r="J4626" s="10">
        <v>1.5</v>
      </c>
      <c r="K4626" t="b">
        <v>1</v>
      </c>
    </row>
    <row r="4627" spans="1:11">
      <c r="A4627" s="12">
        <v>42219</v>
      </c>
      <c r="B4627">
        <v>2015</v>
      </c>
      <c r="C4627">
        <v>8</v>
      </c>
      <c r="D4627" s="11">
        <v>42217</v>
      </c>
      <c r="E4627" t="s">
        <v>2180</v>
      </c>
      <c r="F4627">
        <v>1</v>
      </c>
      <c r="G4627" t="s">
        <v>61</v>
      </c>
      <c r="H4627" t="s">
        <v>41</v>
      </c>
      <c r="I4627" t="s">
        <v>2189</v>
      </c>
      <c r="J4627" s="10">
        <v>2.33</v>
      </c>
      <c r="K4627" t="b">
        <v>1</v>
      </c>
    </row>
    <row r="4628" spans="1:11">
      <c r="A4628" s="12">
        <v>42219</v>
      </c>
      <c r="B4628">
        <v>2015</v>
      </c>
      <c r="C4628">
        <v>8</v>
      </c>
      <c r="D4628" s="11">
        <v>42217</v>
      </c>
      <c r="E4628" t="s">
        <v>2180</v>
      </c>
      <c r="F4628">
        <v>1</v>
      </c>
      <c r="G4628" t="s">
        <v>61</v>
      </c>
      <c r="H4628" t="s">
        <v>42</v>
      </c>
      <c r="I4628" t="s">
        <v>2190</v>
      </c>
      <c r="J4628" s="10">
        <v>1.5</v>
      </c>
      <c r="K4628" t="b">
        <v>1</v>
      </c>
    </row>
    <row r="4629" spans="1:11">
      <c r="A4629" s="12">
        <v>42219</v>
      </c>
      <c r="B4629">
        <v>2015</v>
      </c>
      <c r="C4629">
        <v>8</v>
      </c>
      <c r="D4629" s="11">
        <v>42217</v>
      </c>
      <c r="E4629" t="s">
        <v>2180</v>
      </c>
      <c r="F4629">
        <v>1</v>
      </c>
      <c r="G4629" t="s">
        <v>61</v>
      </c>
      <c r="H4629" t="s">
        <v>43</v>
      </c>
      <c r="I4629" t="s">
        <v>2191</v>
      </c>
      <c r="J4629" s="10">
        <v>23</v>
      </c>
      <c r="K4629" t="b">
        <v>1</v>
      </c>
    </row>
    <row r="4630" spans="1:11">
      <c r="A4630" s="12">
        <v>42219</v>
      </c>
      <c r="B4630">
        <v>2015</v>
      </c>
      <c r="C4630">
        <v>8</v>
      </c>
      <c r="D4630" s="11">
        <v>42217</v>
      </c>
      <c r="E4630" t="s">
        <v>2180</v>
      </c>
      <c r="F4630">
        <v>1</v>
      </c>
      <c r="G4630" t="s">
        <v>61</v>
      </c>
      <c r="H4630" t="s">
        <v>44</v>
      </c>
      <c r="I4630" t="s">
        <v>2192</v>
      </c>
      <c r="J4630" s="10">
        <v>3.5</v>
      </c>
      <c r="K4630" t="b">
        <v>1</v>
      </c>
    </row>
    <row r="4631" spans="1:11">
      <c r="A4631" s="12">
        <v>42219</v>
      </c>
      <c r="B4631">
        <v>2015</v>
      </c>
      <c r="C4631">
        <v>8</v>
      </c>
      <c r="D4631" s="11">
        <v>42217</v>
      </c>
      <c r="E4631" t="s">
        <v>2180</v>
      </c>
      <c r="F4631">
        <v>1</v>
      </c>
      <c r="G4631" t="s">
        <v>61</v>
      </c>
      <c r="H4631" t="s">
        <v>45</v>
      </c>
      <c r="I4631" t="s">
        <v>2193</v>
      </c>
      <c r="J4631" s="10">
        <v>1</v>
      </c>
      <c r="K4631" t="b">
        <v>1</v>
      </c>
    </row>
    <row r="4632" spans="1:11">
      <c r="A4632" s="12">
        <v>42219</v>
      </c>
      <c r="B4632">
        <v>2015</v>
      </c>
      <c r="C4632">
        <v>8</v>
      </c>
      <c r="D4632" s="11">
        <v>42217</v>
      </c>
      <c r="E4632" t="s">
        <v>2180</v>
      </c>
      <c r="F4632">
        <v>1</v>
      </c>
      <c r="G4632" t="s">
        <v>61</v>
      </c>
      <c r="H4632" t="s">
        <v>46</v>
      </c>
      <c r="I4632" t="s">
        <v>2194</v>
      </c>
      <c r="J4632" s="10">
        <v>5</v>
      </c>
      <c r="K4632" t="b">
        <v>1</v>
      </c>
    </row>
    <row r="4633" spans="1:11">
      <c r="A4633" s="12">
        <v>42219</v>
      </c>
      <c r="B4633">
        <v>2015</v>
      </c>
      <c r="C4633">
        <v>8</v>
      </c>
      <c r="D4633" s="11">
        <v>42217</v>
      </c>
      <c r="E4633" t="s">
        <v>2180</v>
      </c>
      <c r="F4633">
        <v>1</v>
      </c>
      <c r="G4633" t="s">
        <v>61</v>
      </c>
      <c r="H4633" t="s">
        <v>47</v>
      </c>
      <c r="I4633" t="s">
        <v>2195</v>
      </c>
      <c r="J4633" s="10">
        <v>1</v>
      </c>
      <c r="K4633" t="b">
        <v>1</v>
      </c>
    </row>
    <row r="4634" spans="1:11">
      <c r="A4634" s="12">
        <v>42220</v>
      </c>
      <c r="B4634">
        <v>2015</v>
      </c>
      <c r="C4634">
        <v>8</v>
      </c>
      <c r="D4634" s="11">
        <v>42217</v>
      </c>
      <c r="E4634" t="s">
        <v>2180</v>
      </c>
      <c r="F4634">
        <v>2</v>
      </c>
      <c r="G4634" t="s">
        <v>63</v>
      </c>
      <c r="H4634" t="s">
        <v>40</v>
      </c>
      <c r="I4634" t="s">
        <v>2188</v>
      </c>
      <c r="J4634" s="10">
        <v>6.34</v>
      </c>
      <c r="K4634" t="b">
        <v>1</v>
      </c>
    </row>
    <row r="4635" spans="1:11">
      <c r="A4635" s="12">
        <v>42220</v>
      </c>
      <c r="B4635">
        <v>2015</v>
      </c>
      <c r="C4635">
        <v>8</v>
      </c>
      <c r="D4635" s="11">
        <v>42217</v>
      </c>
      <c r="E4635" t="s">
        <v>2180</v>
      </c>
      <c r="F4635">
        <v>2</v>
      </c>
      <c r="G4635" t="s">
        <v>63</v>
      </c>
      <c r="H4635" t="s">
        <v>41</v>
      </c>
      <c r="I4635" t="s">
        <v>2189</v>
      </c>
      <c r="J4635" s="10">
        <v>2.33</v>
      </c>
      <c r="K4635" t="b">
        <v>1</v>
      </c>
    </row>
    <row r="4636" spans="1:11">
      <c r="A4636" s="12">
        <v>42220</v>
      </c>
      <c r="B4636">
        <v>2015</v>
      </c>
      <c r="C4636">
        <v>8</v>
      </c>
      <c r="D4636" s="11">
        <v>42217</v>
      </c>
      <c r="E4636" t="s">
        <v>2180</v>
      </c>
      <c r="F4636">
        <v>2</v>
      </c>
      <c r="G4636" t="s">
        <v>63</v>
      </c>
      <c r="H4636" t="s">
        <v>42</v>
      </c>
      <c r="I4636" t="s">
        <v>2190</v>
      </c>
      <c r="J4636" s="10">
        <v>3</v>
      </c>
      <c r="K4636" t="b">
        <v>1</v>
      </c>
    </row>
    <row r="4637" spans="1:11">
      <c r="A4637" s="12">
        <v>42220</v>
      </c>
      <c r="B4637">
        <v>2015</v>
      </c>
      <c r="C4637">
        <v>8</v>
      </c>
      <c r="D4637" s="11">
        <v>42217</v>
      </c>
      <c r="E4637" t="s">
        <v>2180</v>
      </c>
      <c r="F4637">
        <v>2</v>
      </c>
      <c r="G4637" t="s">
        <v>63</v>
      </c>
      <c r="H4637" t="s">
        <v>43</v>
      </c>
      <c r="I4637" t="s">
        <v>2191</v>
      </c>
      <c r="J4637" s="10">
        <v>23</v>
      </c>
      <c r="K4637" t="b">
        <v>1</v>
      </c>
    </row>
    <row r="4638" spans="1:11">
      <c r="A4638" s="12">
        <v>42220</v>
      </c>
      <c r="B4638">
        <v>2015</v>
      </c>
      <c r="C4638">
        <v>8</v>
      </c>
      <c r="D4638" s="11">
        <v>42217</v>
      </c>
      <c r="E4638" t="s">
        <v>2180</v>
      </c>
      <c r="F4638">
        <v>2</v>
      </c>
      <c r="G4638" t="s">
        <v>63</v>
      </c>
      <c r="H4638" t="s">
        <v>44</v>
      </c>
      <c r="I4638" t="s">
        <v>2192</v>
      </c>
      <c r="J4638" s="10">
        <v>5</v>
      </c>
      <c r="K4638" t="b">
        <v>1</v>
      </c>
    </row>
    <row r="4639" spans="1:11">
      <c r="A4639" s="12">
        <v>42220</v>
      </c>
      <c r="B4639">
        <v>2015</v>
      </c>
      <c r="C4639">
        <v>8</v>
      </c>
      <c r="D4639" s="11">
        <v>42217</v>
      </c>
      <c r="E4639" t="s">
        <v>2180</v>
      </c>
      <c r="F4639">
        <v>2</v>
      </c>
      <c r="G4639" t="s">
        <v>63</v>
      </c>
      <c r="H4639" t="s">
        <v>45</v>
      </c>
      <c r="I4639" t="s">
        <v>2193</v>
      </c>
      <c r="J4639" s="10">
        <v>1</v>
      </c>
      <c r="K4639" t="b">
        <v>1</v>
      </c>
    </row>
    <row r="4640" spans="1:11">
      <c r="A4640" s="12">
        <v>42220</v>
      </c>
      <c r="B4640">
        <v>2015</v>
      </c>
      <c r="C4640">
        <v>8</v>
      </c>
      <c r="D4640" s="11">
        <v>42217</v>
      </c>
      <c r="E4640" t="s">
        <v>2180</v>
      </c>
      <c r="F4640">
        <v>2</v>
      </c>
      <c r="G4640" t="s">
        <v>63</v>
      </c>
      <c r="H4640" t="s">
        <v>46</v>
      </c>
      <c r="I4640" t="s">
        <v>2194</v>
      </c>
      <c r="J4640" s="10">
        <v>0</v>
      </c>
      <c r="K4640" t="b">
        <v>1</v>
      </c>
    </row>
    <row r="4641" spans="1:11">
      <c r="A4641" s="12">
        <v>42220</v>
      </c>
      <c r="B4641">
        <v>2015</v>
      </c>
      <c r="C4641">
        <v>8</v>
      </c>
      <c r="D4641" s="11">
        <v>42217</v>
      </c>
      <c r="E4641" t="s">
        <v>2180</v>
      </c>
      <c r="F4641">
        <v>2</v>
      </c>
      <c r="G4641" t="s">
        <v>63</v>
      </c>
      <c r="H4641" t="s">
        <v>47</v>
      </c>
      <c r="I4641" t="s">
        <v>2195</v>
      </c>
      <c r="J4641" s="10">
        <v>4</v>
      </c>
      <c r="K4641" t="b">
        <v>1</v>
      </c>
    </row>
    <row r="4642" spans="1:11">
      <c r="A4642" s="12">
        <v>42221</v>
      </c>
      <c r="B4642">
        <v>2015</v>
      </c>
      <c r="C4642">
        <v>8</v>
      </c>
      <c r="D4642" s="11">
        <v>42217</v>
      </c>
      <c r="E4642" t="s">
        <v>2180</v>
      </c>
      <c r="F4642">
        <v>3</v>
      </c>
      <c r="G4642" t="s">
        <v>65</v>
      </c>
      <c r="H4642" t="s">
        <v>40</v>
      </c>
      <c r="I4642" t="s">
        <v>2188</v>
      </c>
      <c r="J4642" s="10">
        <v>5</v>
      </c>
      <c r="K4642" t="b">
        <v>1</v>
      </c>
    </row>
    <row r="4643" spans="1:11">
      <c r="A4643" s="12">
        <v>42221</v>
      </c>
      <c r="B4643">
        <v>2015</v>
      </c>
      <c r="C4643">
        <v>8</v>
      </c>
      <c r="D4643" s="11">
        <v>42217</v>
      </c>
      <c r="E4643" t="s">
        <v>2180</v>
      </c>
      <c r="F4643">
        <v>3</v>
      </c>
      <c r="G4643" t="s">
        <v>65</v>
      </c>
      <c r="H4643" t="s">
        <v>41</v>
      </c>
      <c r="I4643" t="s">
        <v>2189</v>
      </c>
      <c r="J4643" s="10">
        <v>3.33</v>
      </c>
      <c r="K4643" t="b">
        <v>1</v>
      </c>
    </row>
    <row r="4644" spans="1:11">
      <c r="A4644" s="12">
        <v>42221</v>
      </c>
      <c r="B4644">
        <v>2015</v>
      </c>
      <c r="C4644">
        <v>8</v>
      </c>
      <c r="D4644" s="11">
        <v>42217</v>
      </c>
      <c r="E4644" t="s">
        <v>2180</v>
      </c>
      <c r="F4644">
        <v>3</v>
      </c>
      <c r="G4644" t="s">
        <v>65</v>
      </c>
      <c r="H4644" t="s">
        <v>42</v>
      </c>
      <c r="I4644" t="s">
        <v>2190</v>
      </c>
      <c r="J4644" s="10">
        <v>4.2</v>
      </c>
      <c r="K4644" t="b">
        <v>1</v>
      </c>
    </row>
    <row r="4645" spans="1:11">
      <c r="A4645" s="12">
        <v>42221</v>
      </c>
      <c r="B4645">
        <v>2015</v>
      </c>
      <c r="C4645">
        <v>8</v>
      </c>
      <c r="D4645" s="11">
        <v>42217</v>
      </c>
      <c r="E4645" t="s">
        <v>2180</v>
      </c>
      <c r="F4645">
        <v>3</v>
      </c>
      <c r="G4645" t="s">
        <v>65</v>
      </c>
      <c r="H4645" t="s">
        <v>43</v>
      </c>
      <c r="I4645" t="s">
        <v>2191</v>
      </c>
      <c r="J4645" s="10">
        <v>22.2</v>
      </c>
      <c r="K4645" t="b">
        <v>1</v>
      </c>
    </row>
    <row r="4646" spans="1:11">
      <c r="A4646" s="12">
        <v>42221</v>
      </c>
      <c r="B4646">
        <v>2015</v>
      </c>
      <c r="C4646">
        <v>8</v>
      </c>
      <c r="D4646" s="11">
        <v>42217</v>
      </c>
      <c r="E4646" t="s">
        <v>2180</v>
      </c>
      <c r="F4646">
        <v>3</v>
      </c>
      <c r="G4646" t="s">
        <v>65</v>
      </c>
      <c r="H4646" t="s">
        <v>44</v>
      </c>
      <c r="I4646" t="s">
        <v>2192</v>
      </c>
      <c r="J4646" s="10">
        <v>3.5</v>
      </c>
      <c r="K4646" t="b">
        <v>1</v>
      </c>
    </row>
    <row r="4647" spans="1:11">
      <c r="A4647" s="12">
        <v>42221</v>
      </c>
      <c r="B4647">
        <v>2015</v>
      </c>
      <c r="C4647">
        <v>8</v>
      </c>
      <c r="D4647" s="11">
        <v>42217</v>
      </c>
      <c r="E4647" t="s">
        <v>2180</v>
      </c>
      <c r="F4647">
        <v>3</v>
      </c>
      <c r="G4647" t="s">
        <v>65</v>
      </c>
      <c r="H4647" t="s">
        <v>45</v>
      </c>
      <c r="I4647" t="s">
        <v>2193</v>
      </c>
      <c r="J4647" s="10">
        <v>0</v>
      </c>
      <c r="K4647" t="b">
        <v>1</v>
      </c>
    </row>
    <row r="4648" spans="1:11">
      <c r="A4648" s="12">
        <v>42221</v>
      </c>
      <c r="B4648">
        <v>2015</v>
      </c>
      <c r="C4648">
        <v>8</v>
      </c>
      <c r="D4648" s="11">
        <v>42217</v>
      </c>
      <c r="E4648" t="s">
        <v>2180</v>
      </c>
      <c r="F4648">
        <v>3</v>
      </c>
      <c r="G4648" t="s">
        <v>65</v>
      </c>
      <c r="H4648" t="s">
        <v>46</v>
      </c>
      <c r="I4648" t="s">
        <v>2194</v>
      </c>
      <c r="J4648" s="10">
        <v>0</v>
      </c>
      <c r="K4648" t="b">
        <v>1</v>
      </c>
    </row>
    <row r="4649" spans="1:11">
      <c r="A4649" s="12">
        <v>42221</v>
      </c>
      <c r="B4649">
        <v>2015</v>
      </c>
      <c r="C4649">
        <v>8</v>
      </c>
      <c r="D4649" s="11">
        <v>42217</v>
      </c>
      <c r="E4649" t="s">
        <v>2180</v>
      </c>
      <c r="F4649">
        <v>3</v>
      </c>
      <c r="G4649" t="s">
        <v>65</v>
      </c>
      <c r="H4649" t="s">
        <v>47</v>
      </c>
      <c r="I4649" t="s">
        <v>2195</v>
      </c>
      <c r="J4649" s="10">
        <v>1</v>
      </c>
      <c r="K4649" t="b">
        <v>1</v>
      </c>
    </row>
    <row r="4650" spans="1:11">
      <c r="A4650" s="12">
        <v>42222</v>
      </c>
      <c r="B4650">
        <v>2015</v>
      </c>
      <c r="C4650">
        <v>8</v>
      </c>
      <c r="D4650" s="11">
        <v>42217</v>
      </c>
      <c r="E4650" t="s">
        <v>2180</v>
      </c>
      <c r="F4650">
        <v>4</v>
      </c>
      <c r="G4650" t="s">
        <v>53</v>
      </c>
      <c r="H4650" t="s">
        <v>40</v>
      </c>
      <c r="I4650" t="s">
        <v>2188</v>
      </c>
      <c r="J4650" s="10">
        <v>5.33</v>
      </c>
      <c r="K4650" t="b">
        <v>1</v>
      </c>
    </row>
    <row r="4651" spans="1:11">
      <c r="A4651" s="12">
        <v>42222</v>
      </c>
      <c r="B4651">
        <v>2015</v>
      </c>
      <c r="C4651">
        <v>8</v>
      </c>
      <c r="D4651" s="11">
        <v>42217</v>
      </c>
      <c r="E4651" t="s">
        <v>2180</v>
      </c>
      <c r="F4651">
        <v>4</v>
      </c>
      <c r="G4651" t="s">
        <v>53</v>
      </c>
      <c r="H4651" t="s">
        <v>41</v>
      </c>
      <c r="I4651" t="s">
        <v>2189</v>
      </c>
      <c r="J4651" s="10">
        <v>1.67</v>
      </c>
      <c r="K4651" t="b">
        <v>1</v>
      </c>
    </row>
    <row r="4652" spans="1:11">
      <c r="A4652" s="12">
        <v>42222</v>
      </c>
      <c r="B4652">
        <v>2015</v>
      </c>
      <c r="C4652">
        <v>8</v>
      </c>
      <c r="D4652" s="11">
        <v>42217</v>
      </c>
      <c r="E4652" t="s">
        <v>2180</v>
      </c>
      <c r="F4652">
        <v>4</v>
      </c>
      <c r="G4652" t="s">
        <v>53</v>
      </c>
      <c r="H4652" t="s">
        <v>42</v>
      </c>
      <c r="I4652" t="s">
        <v>2190</v>
      </c>
      <c r="J4652" s="10">
        <v>8</v>
      </c>
      <c r="K4652" t="b">
        <v>1</v>
      </c>
    </row>
    <row r="4653" spans="1:11">
      <c r="A4653" s="12">
        <v>42222</v>
      </c>
      <c r="B4653">
        <v>2015</v>
      </c>
      <c r="C4653">
        <v>8</v>
      </c>
      <c r="D4653" s="11">
        <v>42217</v>
      </c>
      <c r="E4653" t="s">
        <v>2180</v>
      </c>
      <c r="F4653">
        <v>4</v>
      </c>
      <c r="G4653" t="s">
        <v>53</v>
      </c>
      <c r="H4653" t="s">
        <v>43</v>
      </c>
      <c r="I4653" t="s">
        <v>2191</v>
      </c>
      <c r="J4653" s="10">
        <v>35</v>
      </c>
      <c r="K4653" t="b">
        <v>1</v>
      </c>
    </row>
    <row r="4654" spans="1:11">
      <c r="A4654" s="12">
        <v>42222</v>
      </c>
      <c r="B4654">
        <v>2015</v>
      </c>
      <c r="C4654">
        <v>8</v>
      </c>
      <c r="D4654" s="11">
        <v>42217</v>
      </c>
      <c r="E4654" t="s">
        <v>2180</v>
      </c>
      <c r="F4654">
        <v>4</v>
      </c>
      <c r="G4654" t="s">
        <v>53</v>
      </c>
      <c r="H4654" t="s">
        <v>44</v>
      </c>
      <c r="I4654" t="s">
        <v>2192</v>
      </c>
      <c r="J4654" s="10">
        <v>11</v>
      </c>
      <c r="K4654" t="b">
        <v>1</v>
      </c>
    </row>
    <row r="4655" spans="1:11">
      <c r="A4655" s="12">
        <v>42222</v>
      </c>
      <c r="B4655">
        <v>2015</v>
      </c>
      <c r="C4655">
        <v>8</v>
      </c>
      <c r="D4655" s="11">
        <v>42217</v>
      </c>
      <c r="E4655" t="s">
        <v>2180</v>
      </c>
      <c r="F4655">
        <v>4</v>
      </c>
      <c r="G4655" t="s">
        <v>53</v>
      </c>
      <c r="H4655" t="s">
        <v>45</v>
      </c>
      <c r="I4655" t="s">
        <v>2193</v>
      </c>
      <c r="J4655" s="10">
        <v>0</v>
      </c>
      <c r="K4655" t="b">
        <v>1</v>
      </c>
    </row>
    <row r="4656" spans="1:11">
      <c r="A4656" s="12">
        <v>42222</v>
      </c>
      <c r="B4656">
        <v>2015</v>
      </c>
      <c r="C4656">
        <v>8</v>
      </c>
      <c r="D4656" s="11">
        <v>42217</v>
      </c>
      <c r="E4656" t="s">
        <v>2180</v>
      </c>
      <c r="F4656">
        <v>4</v>
      </c>
      <c r="G4656" t="s">
        <v>53</v>
      </c>
      <c r="H4656" t="s">
        <v>46</v>
      </c>
      <c r="I4656" t="s">
        <v>2194</v>
      </c>
      <c r="J4656" s="10">
        <v>3</v>
      </c>
      <c r="K4656" t="b">
        <v>1</v>
      </c>
    </row>
    <row r="4657" spans="1:11">
      <c r="A4657" s="12">
        <v>42222</v>
      </c>
      <c r="B4657">
        <v>2015</v>
      </c>
      <c r="C4657">
        <v>8</v>
      </c>
      <c r="D4657" s="11">
        <v>42217</v>
      </c>
      <c r="E4657" t="s">
        <v>2180</v>
      </c>
      <c r="F4657">
        <v>4</v>
      </c>
      <c r="G4657" t="s">
        <v>53</v>
      </c>
      <c r="H4657" t="s">
        <v>47</v>
      </c>
      <c r="I4657" t="s">
        <v>2195</v>
      </c>
      <c r="J4657" s="10">
        <v>2</v>
      </c>
      <c r="K4657" t="b">
        <v>1</v>
      </c>
    </row>
    <row r="4658" spans="1:11">
      <c r="A4658" s="12">
        <v>42223</v>
      </c>
      <c r="B4658">
        <v>2015</v>
      </c>
      <c r="C4658">
        <v>8</v>
      </c>
      <c r="D4658" s="11">
        <v>42217</v>
      </c>
      <c r="E4658" t="s">
        <v>2180</v>
      </c>
      <c r="F4658">
        <v>5</v>
      </c>
      <c r="G4658" t="s">
        <v>55</v>
      </c>
      <c r="H4658" t="s">
        <v>40</v>
      </c>
      <c r="I4658" t="s">
        <v>2188</v>
      </c>
      <c r="J4658" s="10">
        <v>4.33</v>
      </c>
      <c r="K4658" t="b">
        <v>1</v>
      </c>
    </row>
    <row r="4659" spans="1:11">
      <c r="A4659" s="12">
        <v>42223</v>
      </c>
      <c r="B4659">
        <v>2015</v>
      </c>
      <c r="C4659">
        <v>8</v>
      </c>
      <c r="D4659" s="11">
        <v>42217</v>
      </c>
      <c r="E4659" t="s">
        <v>2180</v>
      </c>
      <c r="F4659">
        <v>5</v>
      </c>
      <c r="G4659" t="s">
        <v>55</v>
      </c>
      <c r="H4659" t="s">
        <v>41</v>
      </c>
      <c r="I4659" t="s">
        <v>2189</v>
      </c>
      <c r="J4659" s="10">
        <v>4</v>
      </c>
      <c r="K4659" t="b">
        <v>1</v>
      </c>
    </row>
    <row r="4660" spans="1:11">
      <c r="A4660" s="12">
        <v>42223</v>
      </c>
      <c r="B4660">
        <v>2015</v>
      </c>
      <c r="C4660">
        <v>8</v>
      </c>
      <c r="D4660" s="11">
        <v>42217</v>
      </c>
      <c r="E4660" t="s">
        <v>2180</v>
      </c>
      <c r="F4660">
        <v>5</v>
      </c>
      <c r="G4660" t="s">
        <v>55</v>
      </c>
      <c r="H4660" t="s">
        <v>42</v>
      </c>
      <c r="I4660" t="s">
        <v>2190</v>
      </c>
      <c r="J4660" s="10">
        <v>6</v>
      </c>
      <c r="K4660" t="b">
        <v>1</v>
      </c>
    </row>
    <row r="4661" spans="1:11">
      <c r="A4661" s="12">
        <v>42223</v>
      </c>
      <c r="B4661">
        <v>2015</v>
      </c>
      <c r="C4661">
        <v>8</v>
      </c>
      <c r="D4661" s="11">
        <v>42217</v>
      </c>
      <c r="E4661" t="s">
        <v>2180</v>
      </c>
      <c r="F4661">
        <v>5</v>
      </c>
      <c r="G4661" t="s">
        <v>55</v>
      </c>
      <c r="H4661" t="s">
        <v>43</v>
      </c>
      <c r="I4661" t="s">
        <v>2191</v>
      </c>
      <c r="J4661" s="10">
        <v>22</v>
      </c>
      <c r="K4661" t="b">
        <v>1</v>
      </c>
    </row>
    <row r="4662" spans="1:11">
      <c r="A4662" s="12">
        <v>42223</v>
      </c>
      <c r="B4662">
        <v>2015</v>
      </c>
      <c r="C4662">
        <v>8</v>
      </c>
      <c r="D4662" s="11">
        <v>42217</v>
      </c>
      <c r="E4662" t="s">
        <v>2180</v>
      </c>
      <c r="F4662">
        <v>5</v>
      </c>
      <c r="G4662" t="s">
        <v>55</v>
      </c>
      <c r="H4662" t="s">
        <v>44</v>
      </c>
      <c r="I4662" t="s">
        <v>2192</v>
      </c>
      <c r="J4662" s="10">
        <v>9</v>
      </c>
      <c r="K4662" t="b">
        <v>1</v>
      </c>
    </row>
    <row r="4663" spans="1:11">
      <c r="A4663" s="12">
        <v>42223</v>
      </c>
      <c r="B4663">
        <v>2015</v>
      </c>
      <c r="C4663">
        <v>8</v>
      </c>
      <c r="D4663" s="11">
        <v>42217</v>
      </c>
      <c r="E4663" t="s">
        <v>2180</v>
      </c>
      <c r="F4663">
        <v>5</v>
      </c>
      <c r="G4663" t="s">
        <v>55</v>
      </c>
      <c r="H4663" t="s">
        <v>45</v>
      </c>
      <c r="I4663" t="s">
        <v>2193</v>
      </c>
      <c r="J4663" s="10">
        <v>2</v>
      </c>
      <c r="K4663" t="b">
        <v>1</v>
      </c>
    </row>
    <row r="4664" spans="1:11">
      <c r="A4664" s="12">
        <v>42223</v>
      </c>
      <c r="B4664">
        <v>2015</v>
      </c>
      <c r="C4664">
        <v>8</v>
      </c>
      <c r="D4664" s="11">
        <v>42217</v>
      </c>
      <c r="E4664" t="s">
        <v>2180</v>
      </c>
      <c r="F4664">
        <v>5</v>
      </c>
      <c r="G4664" t="s">
        <v>55</v>
      </c>
      <c r="H4664" t="s">
        <v>46</v>
      </c>
      <c r="I4664" t="s">
        <v>2194</v>
      </c>
      <c r="J4664" s="10">
        <v>1</v>
      </c>
      <c r="K4664" t="b">
        <v>1</v>
      </c>
    </row>
    <row r="4665" spans="1:11">
      <c r="A4665" s="12">
        <v>42223</v>
      </c>
      <c r="B4665">
        <v>2015</v>
      </c>
      <c r="C4665">
        <v>8</v>
      </c>
      <c r="D4665" s="11">
        <v>42217</v>
      </c>
      <c r="E4665" t="s">
        <v>2180</v>
      </c>
      <c r="F4665">
        <v>5</v>
      </c>
      <c r="G4665" t="s">
        <v>55</v>
      </c>
      <c r="H4665" t="s">
        <v>47</v>
      </c>
      <c r="I4665" t="s">
        <v>2195</v>
      </c>
      <c r="J4665" s="10">
        <v>6</v>
      </c>
      <c r="K4665" t="b">
        <v>1</v>
      </c>
    </row>
    <row r="4666" spans="1:11">
      <c r="A4666" s="12">
        <v>42224</v>
      </c>
      <c r="B4666">
        <v>2015</v>
      </c>
      <c r="C4666">
        <v>8</v>
      </c>
      <c r="D4666" s="11">
        <v>42217</v>
      </c>
      <c r="E4666" t="s">
        <v>2180</v>
      </c>
      <c r="F4666">
        <v>6</v>
      </c>
      <c r="G4666" t="s">
        <v>57</v>
      </c>
      <c r="H4666" t="s">
        <v>40</v>
      </c>
      <c r="I4666" t="s">
        <v>2188</v>
      </c>
      <c r="J4666" s="10">
        <v>6.33</v>
      </c>
      <c r="K4666" t="b">
        <v>1</v>
      </c>
    </row>
    <row r="4667" spans="1:11">
      <c r="A4667" s="12">
        <v>42224</v>
      </c>
      <c r="B4667">
        <v>2015</v>
      </c>
      <c r="C4667">
        <v>8</v>
      </c>
      <c r="D4667" s="11">
        <v>42217</v>
      </c>
      <c r="E4667" t="s">
        <v>2180</v>
      </c>
      <c r="F4667">
        <v>6</v>
      </c>
      <c r="G4667" t="s">
        <v>57</v>
      </c>
      <c r="H4667" t="s">
        <v>41</v>
      </c>
      <c r="I4667" t="s">
        <v>2189</v>
      </c>
      <c r="J4667" s="10">
        <v>5.33</v>
      </c>
      <c r="K4667" t="b">
        <v>1</v>
      </c>
    </row>
    <row r="4668" spans="1:11">
      <c r="A4668" s="12">
        <v>42224</v>
      </c>
      <c r="B4668">
        <v>2015</v>
      </c>
      <c r="C4668">
        <v>8</v>
      </c>
      <c r="D4668" s="11">
        <v>42217</v>
      </c>
      <c r="E4668" t="s">
        <v>2180</v>
      </c>
      <c r="F4668">
        <v>6</v>
      </c>
      <c r="G4668" t="s">
        <v>57</v>
      </c>
      <c r="H4668" t="s">
        <v>42</v>
      </c>
      <c r="I4668" t="s">
        <v>2190</v>
      </c>
      <c r="J4668" s="10">
        <v>7</v>
      </c>
      <c r="K4668" t="b">
        <v>1</v>
      </c>
    </row>
    <row r="4669" spans="1:11">
      <c r="A4669" s="12">
        <v>42224</v>
      </c>
      <c r="B4669">
        <v>2015</v>
      </c>
      <c r="C4669">
        <v>8</v>
      </c>
      <c r="D4669" s="11">
        <v>42217</v>
      </c>
      <c r="E4669" t="s">
        <v>2180</v>
      </c>
      <c r="F4669">
        <v>6</v>
      </c>
      <c r="G4669" t="s">
        <v>57</v>
      </c>
      <c r="H4669" t="s">
        <v>43</v>
      </c>
      <c r="I4669" t="s">
        <v>2191</v>
      </c>
      <c r="J4669" s="10">
        <v>22</v>
      </c>
      <c r="K4669" t="b">
        <v>1</v>
      </c>
    </row>
    <row r="4670" spans="1:11">
      <c r="A4670" s="12">
        <v>42224</v>
      </c>
      <c r="B4670">
        <v>2015</v>
      </c>
      <c r="C4670">
        <v>8</v>
      </c>
      <c r="D4670" s="11">
        <v>42217</v>
      </c>
      <c r="E4670" t="s">
        <v>2180</v>
      </c>
      <c r="F4670">
        <v>6</v>
      </c>
      <c r="G4670" t="s">
        <v>57</v>
      </c>
      <c r="H4670" t="s">
        <v>44</v>
      </c>
      <c r="I4670" t="s">
        <v>2192</v>
      </c>
      <c r="J4670" s="10">
        <v>5</v>
      </c>
      <c r="K4670" t="b">
        <v>1</v>
      </c>
    </row>
    <row r="4671" spans="1:11">
      <c r="A4671" s="12">
        <v>42224</v>
      </c>
      <c r="B4671">
        <v>2015</v>
      </c>
      <c r="C4671">
        <v>8</v>
      </c>
      <c r="D4671" s="11">
        <v>42217</v>
      </c>
      <c r="E4671" t="s">
        <v>2180</v>
      </c>
      <c r="F4671">
        <v>6</v>
      </c>
      <c r="G4671" t="s">
        <v>57</v>
      </c>
      <c r="H4671" t="s">
        <v>45</v>
      </c>
      <c r="I4671" t="s">
        <v>2193</v>
      </c>
      <c r="J4671" s="10">
        <v>0</v>
      </c>
      <c r="K4671" t="b">
        <v>1</v>
      </c>
    </row>
    <row r="4672" spans="1:11">
      <c r="A4672" s="12">
        <v>42224</v>
      </c>
      <c r="B4672">
        <v>2015</v>
      </c>
      <c r="C4672">
        <v>8</v>
      </c>
      <c r="D4672" s="11">
        <v>42217</v>
      </c>
      <c r="E4672" t="s">
        <v>2180</v>
      </c>
      <c r="F4672">
        <v>6</v>
      </c>
      <c r="G4672" t="s">
        <v>57</v>
      </c>
      <c r="H4672" t="s">
        <v>46</v>
      </c>
      <c r="I4672" t="s">
        <v>2194</v>
      </c>
      <c r="J4672" s="10">
        <v>0</v>
      </c>
      <c r="K4672" t="b">
        <v>1</v>
      </c>
    </row>
    <row r="4673" spans="1:11">
      <c r="A4673" s="12">
        <v>42224</v>
      </c>
      <c r="B4673">
        <v>2015</v>
      </c>
      <c r="C4673">
        <v>8</v>
      </c>
      <c r="D4673" s="11">
        <v>42217</v>
      </c>
      <c r="E4673" t="s">
        <v>2180</v>
      </c>
      <c r="F4673">
        <v>6</v>
      </c>
      <c r="G4673" t="s">
        <v>57</v>
      </c>
      <c r="H4673" t="s">
        <v>47</v>
      </c>
      <c r="I4673" t="s">
        <v>2195</v>
      </c>
      <c r="J4673" s="10">
        <v>0.7</v>
      </c>
      <c r="K4673" t="b">
        <v>1</v>
      </c>
    </row>
    <row r="4674" spans="1:11">
      <c r="A4674" s="12">
        <v>42225</v>
      </c>
      <c r="B4674">
        <v>2015</v>
      </c>
      <c r="C4674">
        <v>8</v>
      </c>
      <c r="D4674" s="11">
        <v>42217</v>
      </c>
      <c r="E4674" t="s">
        <v>2180</v>
      </c>
      <c r="F4674">
        <v>7</v>
      </c>
      <c r="G4674" t="s">
        <v>59</v>
      </c>
      <c r="H4674" t="s">
        <v>40</v>
      </c>
      <c r="I4674" t="s">
        <v>2188</v>
      </c>
      <c r="J4674" s="10">
        <v>5</v>
      </c>
      <c r="K4674" t="b">
        <v>1</v>
      </c>
    </row>
    <row r="4675" spans="1:11">
      <c r="A4675" s="12">
        <v>42225</v>
      </c>
      <c r="B4675">
        <v>2015</v>
      </c>
      <c r="C4675">
        <v>8</v>
      </c>
      <c r="D4675" s="11">
        <v>42217</v>
      </c>
      <c r="E4675" t="s">
        <v>2180</v>
      </c>
      <c r="F4675">
        <v>7</v>
      </c>
      <c r="G4675" t="s">
        <v>59</v>
      </c>
      <c r="H4675" t="s">
        <v>41</v>
      </c>
      <c r="I4675" t="s">
        <v>2189</v>
      </c>
      <c r="J4675" s="10">
        <v>3.66</v>
      </c>
      <c r="K4675" t="b">
        <v>1</v>
      </c>
    </row>
    <row r="4676" spans="1:11">
      <c r="A4676" s="12">
        <v>42225</v>
      </c>
      <c r="B4676">
        <v>2015</v>
      </c>
      <c r="C4676">
        <v>8</v>
      </c>
      <c r="D4676" s="11">
        <v>42217</v>
      </c>
      <c r="E4676" t="s">
        <v>2180</v>
      </c>
      <c r="F4676">
        <v>7</v>
      </c>
      <c r="G4676" t="s">
        <v>59</v>
      </c>
      <c r="H4676" t="s">
        <v>42</v>
      </c>
      <c r="I4676" t="s">
        <v>2190</v>
      </c>
      <c r="J4676" s="10">
        <v>2</v>
      </c>
      <c r="K4676" t="b">
        <v>1</v>
      </c>
    </row>
    <row r="4677" spans="1:11">
      <c r="A4677" s="12">
        <v>42225</v>
      </c>
      <c r="B4677">
        <v>2015</v>
      </c>
      <c r="C4677">
        <v>8</v>
      </c>
      <c r="D4677" s="11">
        <v>42217</v>
      </c>
      <c r="E4677" t="s">
        <v>2180</v>
      </c>
      <c r="F4677">
        <v>7</v>
      </c>
      <c r="G4677" t="s">
        <v>59</v>
      </c>
      <c r="H4677" t="s">
        <v>43</v>
      </c>
      <c r="I4677" t="s">
        <v>2191</v>
      </c>
      <c r="J4677" s="10">
        <v>21</v>
      </c>
      <c r="K4677" t="b">
        <v>1</v>
      </c>
    </row>
    <row r="4678" spans="1:11">
      <c r="A4678" s="12">
        <v>42225</v>
      </c>
      <c r="B4678">
        <v>2015</v>
      </c>
      <c r="C4678">
        <v>8</v>
      </c>
      <c r="D4678" s="11">
        <v>42217</v>
      </c>
      <c r="E4678" t="s">
        <v>2180</v>
      </c>
      <c r="F4678">
        <v>7</v>
      </c>
      <c r="G4678" t="s">
        <v>59</v>
      </c>
      <c r="H4678" t="s">
        <v>44</v>
      </c>
      <c r="I4678" t="s">
        <v>2192</v>
      </c>
      <c r="J4678" s="10">
        <v>5</v>
      </c>
      <c r="K4678" t="b">
        <v>1</v>
      </c>
    </row>
    <row r="4679" spans="1:11">
      <c r="A4679" s="12">
        <v>42225</v>
      </c>
      <c r="B4679">
        <v>2015</v>
      </c>
      <c r="C4679">
        <v>8</v>
      </c>
      <c r="D4679" s="11">
        <v>42217</v>
      </c>
      <c r="E4679" t="s">
        <v>2180</v>
      </c>
      <c r="F4679">
        <v>7</v>
      </c>
      <c r="G4679" t="s">
        <v>59</v>
      </c>
      <c r="H4679" t="s">
        <v>45</v>
      </c>
      <c r="I4679" t="s">
        <v>2193</v>
      </c>
      <c r="J4679" s="10">
        <v>0</v>
      </c>
      <c r="K4679" t="b">
        <v>1</v>
      </c>
    </row>
    <row r="4680" spans="1:11">
      <c r="A4680" s="12">
        <v>42225</v>
      </c>
      <c r="B4680">
        <v>2015</v>
      </c>
      <c r="C4680">
        <v>8</v>
      </c>
      <c r="D4680" s="11">
        <v>42217</v>
      </c>
      <c r="E4680" t="s">
        <v>2180</v>
      </c>
      <c r="F4680">
        <v>7</v>
      </c>
      <c r="G4680" t="s">
        <v>59</v>
      </c>
      <c r="H4680" t="s">
        <v>46</v>
      </c>
      <c r="I4680" t="s">
        <v>2194</v>
      </c>
      <c r="J4680" s="10">
        <v>2</v>
      </c>
      <c r="K4680" t="b">
        <v>1</v>
      </c>
    </row>
    <row r="4681" spans="1:11">
      <c r="A4681" s="12">
        <v>42225</v>
      </c>
      <c r="B4681">
        <v>2015</v>
      </c>
      <c r="C4681">
        <v>8</v>
      </c>
      <c r="D4681" s="11">
        <v>42217</v>
      </c>
      <c r="E4681" t="s">
        <v>2180</v>
      </c>
      <c r="F4681">
        <v>7</v>
      </c>
      <c r="G4681" t="s">
        <v>59</v>
      </c>
      <c r="H4681" t="s">
        <v>47</v>
      </c>
      <c r="I4681" t="s">
        <v>2195</v>
      </c>
      <c r="J4681" s="10">
        <v>3</v>
      </c>
      <c r="K4681" t="b">
        <v>1</v>
      </c>
    </row>
    <row r="4682" spans="1:11">
      <c r="A4682" s="12">
        <v>42226</v>
      </c>
      <c r="B4682">
        <v>2015</v>
      </c>
      <c r="C4682">
        <v>8</v>
      </c>
      <c r="D4682" s="11">
        <v>42217</v>
      </c>
      <c r="E4682" t="s">
        <v>2180</v>
      </c>
      <c r="F4682">
        <v>1</v>
      </c>
      <c r="G4682" t="s">
        <v>61</v>
      </c>
      <c r="H4682" t="s">
        <v>40</v>
      </c>
      <c r="I4682" t="s">
        <v>2188</v>
      </c>
      <c r="J4682" s="10">
        <v>3.67</v>
      </c>
      <c r="K4682" t="b">
        <v>1</v>
      </c>
    </row>
    <row r="4683" spans="1:11">
      <c r="A4683" s="12">
        <v>42226</v>
      </c>
      <c r="B4683">
        <v>2015</v>
      </c>
      <c r="C4683">
        <v>8</v>
      </c>
      <c r="D4683" s="11">
        <v>42217</v>
      </c>
      <c r="E4683" t="s">
        <v>2180</v>
      </c>
      <c r="F4683">
        <v>1</v>
      </c>
      <c r="G4683" t="s">
        <v>61</v>
      </c>
      <c r="H4683" t="s">
        <v>41</v>
      </c>
      <c r="I4683" t="s">
        <v>2189</v>
      </c>
      <c r="J4683" s="10">
        <v>5.68</v>
      </c>
      <c r="K4683" t="b">
        <v>1</v>
      </c>
    </row>
    <row r="4684" spans="1:11">
      <c r="A4684" s="12">
        <v>42226</v>
      </c>
      <c r="B4684">
        <v>2015</v>
      </c>
      <c r="C4684">
        <v>8</v>
      </c>
      <c r="D4684" s="11">
        <v>42217</v>
      </c>
      <c r="E4684" t="s">
        <v>2180</v>
      </c>
      <c r="F4684">
        <v>1</v>
      </c>
      <c r="G4684" t="s">
        <v>61</v>
      </c>
      <c r="H4684" t="s">
        <v>42</v>
      </c>
      <c r="I4684" t="s">
        <v>2190</v>
      </c>
      <c r="J4684" s="10">
        <v>4.2</v>
      </c>
      <c r="K4684" t="b">
        <v>1</v>
      </c>
    </row>
    <row r="4685" spans="1:11">
      <c r="A4685" s="12">
        <v>42226</v>
      </c>
      <c r="B4685">
        <v>2015</v>
      </c>
      <c r="C4685">
        <v>8</v>
      </c>
      <c r="D4685" s="11">
        <v>42217</v>
      </c>
      <c r="E4685" t="s">
        <v>2180</v>
      </c>
      <c r="F4685">
        <v>1</v>
      </c>
      <c r="G4685" t="s">
        <v>61</v>
      </c>
      <c r="H4685" t="s">
        <v>43</v>
      </c>
      <c r="I4685" t="s">
        <v>2191</v>
      </c>
      <c r="J4685" s="10">
        <v>29</v>
      </c>
      <c r="K4685" t="b">
        <v>1</v>
      </c>
    </row>
    <row r="4686" spans="1:11">
      <c r="A4686" s="12">
        <v>42226</v>
      </c>
      <c r="B4686">
        <v>2015</v>
      </c>
      <c r="C4686">
        <v>8</v>
      </c>
      <c r="D4686" s="11">
        <v>42217</v>
      </c>
      <c r="E4686" t="s">
        <v>2180</v>
      </c>
      <c r="F4686">
        <v>1</v>
      </c>
      <c r="G4686" t="s">
        <v>61</v>
      </c>
      <c r="H4686" t="s">
        <v>44</v>
      </c>
      <c r="I4686" t="s">
        <v>2192</v>
      </c>
      <c r="J4686" s="10">
        <v>12.5</v>
      </c>
      <c r="K4686" t="b">
        <v>1</v>
      </c>
    </row>
    <row r="4687" spans="1:11">
      <c r="A4687" s="12">
        <v>42226</v>
      </c>
      <c r="B4687">
        <v>2015</v>
      </c>
      <c r="C4687">
        <v>8</v>
      </c>
      <c r="D4687" s="11">
        <v>42217</v>
      </c>
      <c r="E4687" t="s">
        <v>2180</v>
      </c>
      <c r="F4687">
        <v>1</v>
      </c>
      <c r="G4687" t="s">
        <v>61</v>
      </c>
      <c r="H4687" t="s">
        <v>45</v>
      </c>
      <c r="I4687" t="s">
        <v>2193</v>
      </c>
      <c r="J4687" s="10">
        <v>0</v>
      </c>
      <c r="K4687" t="b">
        <v>1</v>
      </c>
    </row>
    <row r="4688" spans="1:11">
      <c r="A4688" s="12">
        <v>42226</v>
      </c>
      <c r="B4688">
        <v>2015</v>
      </c>
      <c r="C4688">
        <v>8</v>
      </c>
      <c r="D4688" s="11">
        <v>42217</v>
      </c>
      <c r="E4688" t="s">
        <v>2180</v>
      </c>
      <c r="F4688">
        <v>1</v>
      </c>
      <c r="G4688" t="s">
        <v>61</v>
      </c>
      <c r="H4688" t="s">
        <v>46</v>
      </c>
      <c r="I4688" t="s">
        <v>2194</v>
      </c>
      <c r="J4688" s="10">
        <v>1</v>
      </c>
      <c r="K4688" t="b">
        <v>1</v>
      </c>
    </row>
    <row r="4689" spans="1:11">
      <c r="A4689" s="12">
        <v>42226</v>
      </c>
      <c r="B4689">
        <v>2015</v>
      </c>
      <c r="C4689">
        <v>8</v>
      </c>
      <c r="D4689" s="11">
        <v>42217</v>
      </c>
      <c r="E4689" t="s">
        <v>2180</v>
      </c>
      <c r="F4689">
        <v>1</v>
      </c>
      <c r="G4689" t="s">
        <v>61</v>
      </c>
      <c r="H4689" t="s">
        <v>47</v>
      </c>
      <c r="I4689" t="s">
        <v>2195</v>
      </c>
      <c r="J4689" s="10">
        <v>5</v>
      </c>
      <c r="K4689" t="b">
        <v>1</v>
      </c>
    </row>
    <row r="4690" spans="1:11">
      <c r="A4690" s="12">
        <v>42227</v>
      </c>
      <c r="B4690">
        <v>2015</v>
      </c>
      <c r="C4690">
        <v>8</v>
      </c>
      <c r="D4690" s="11">
        <v>42217</v>
      </c>
      <c r="E4690" t="s">
        <v>2180</v>
      </c>
      <c r="F4690">
        <v>2</v>
      </c>
      <c r="G4690" t="s">
        <v>63</v>
      </c>
      <c r="H4690" t="s">
        <v>40</v>
      </c>
      <c r="I4690" t="s">
        <v>2188</v>
      </c>
      <c r="J4690" s="10">
        <v>12.33</v>
      </c>
      <c r="K4690" t="b">
        <v>1</v>
      </c>
    </row>
    <row r="4691" spans="1:11">
      <c r="A4691" s="12">
        <v>42227</v>
      </c>
      <c r="B4691">
        <v>2015</v>
      </c>
      <c r="C4691">
        <v>8</v>
      </c>
      <c r="D4691" s="11">
        <v>42217</v>
      </c>
      <c r="E4691" t="s">
        <v>2180</v>
      </c>
      <c r="F4691">
        <v>2</v>
      </c>
      <c r="G4691" t="s">
        <v>63</v>
      </c>
      <c r="H4691" t="s">
        <v>41</v>
      </c>
      <c r="I4691" t="s">
        <v>2189</v>
      </c>
      <c r="J4691" s="10">
        <v>6.66</v>
      </c>
      <c r="K4691" t="b">
        <v>1</v>
      </c>
    </row>
    <row r="4692" spans="1:11">
      <c r="A4692" s="12">
        <v>42227</v>
      </c>
      <c r="B4692">
        <v>2015</v>
      </c>
      <c r="C4692">
        <v>8</v>
      </c>
      <c r="D4692" s="11">
        <v>42217</v>
      </c>
      <c r="E4692" t="s">
        <v>2180</v>
      </c>
      <c r="F4692">
        <v>2</v>
      </c>
      <c r="G4692" t="s">
        <v>63</v>
      </c>
      <c r="H4692" t="s">
        <v>42</v>
      </c>
      <c r="I4692" t="s">
        <v>2190</v>
      </c>
      <c r="J4692" s="10">
        <v>7.4</v>
      </c>
      <c r="K4692" t="b">
        <v>1</v>
      </c>
    </row>
    <row r="4693" spans="1:11">
      <c r="A4693" s="12">
        <v>42227</v>
      </c>
      <c r="B4693">
        <v>2015</v>
      </c>
      <c r="C4693">
        <v>8</v>
      </c>
      <c r="D4693" s="11">
        <v>42217</v>
      </c>
      <c r="E4693" t="s">
        <v>2180</v>
      </c>
      <c r="F4693">
        <v>2</v>
      </c>
      <c r="G4693" t="s">
        <v>63</v>
      </c>
      <c r="H4693" t="s">
        <v>43</v>
      </c>
      <c r="I4693" t="s">
        <v>2191</v>
      </c>
      <c r="J4693" s="10">
        <v>18.1</v>
      </c>
      <c r="K4693" t="b">
        <v>1</v>
      </c>
    </row>
    <row r="4694" spans="1:11">
      <c r="A4694" s="12">
        <v>42227</v>
      </c>
      <c r="B4694">
        <v>2015</v>
      </c>
      <c r="C4694">
        <v>8</v>
      </c>
      <c r="D4694" s="11">
        <v>42217</v>
      </c>
      <c r="E4694" t="s">
        <v>2180</v>
      </c>
      <c r="F4694">
        <v>2</v>
      </c>
      <c r="G4694" t="s">
        <v>63</v>
      </c>
      <c r="H4694" t="s">
        <v>44</v>
      </c>
      <c r="I4694" t="s">
        <v>2192</v>
      </c>
      <c r="J4694" s="10">
        <v>10</v>
      </c>
      <c r="K4694" t="b">
        <v>1</v>
      </c>
    </row>
    <row r="4695" spans="1:11">
      <c r="A4695" s="12">
        <v>42227</v>
      </c>
      <c r="B4695">
        <v>2015</v>
      </c>
      <c r="C4695">
        <v>8</v>
      </c>
      <c r="D4695" s="11">
        <v>42217</v>
      </c>
      <c r="E4695" t="s">
        <v>2180</v>
      </c>
      <c r="F4695">
        <v>2</v>
      </c>
      <c r="G4695" t="s">
        <v>63</v>
      </c>
      <c r="H4695" t="s">
        <v>45</v>
      </c>
      <c r="I4695" t="s">
        <v>2193</v>
      </c>
      <c r="J4695" s="10">
        <v>0</v>
      </c>
      <c r="K4695" t="b">
        <v>1</v>
      </c>
    </row>
    <row r="4696" spans="1:11">
      <c r="A4696" s="12">
        <v>42227</v>
      </c>
      <c r="B4696">
        <v>2015</v>
      </c>
      <c r="C4696">
        <v>8</v>
      </c>
      <c r="D4696" s="11">
        <v>42217</v>
      </c>
      <c r="E4696" t="s">
        <v>2180</v>
      </c>
      <c r="F4696">
        <v>2</v>
      </c>
      <c r="G4696" t="s">
        <v>63</v>
      </c>
      <c r="H4696" t="s">
        <v>46</v>
      </c>
      <c r="I4696" t="s">
        <v>2194</v>
      </c>
      <c r="J4696" s="10">
        <v>0</v>
      </c>
      <c r="K4696" t="b">
        <v>1</v>
      </c>
    </row>
    <row r="4697" spans="1:11">
      <c r="A4697" s="12">
        <v>42227</v>
      </c>
      <c r="B4697">
        <v>2015</v>
      </c>
      <c r="C4697">
        <v>8</v>
      </c>
      <c r="D4697" s="11">
        <v>42217</v>
      </c>
      <c r="E4697" t="s">
        <v>2180</v>
      </c>
      <c r="F4697">
        <v>2</v>
      </c>
      <c r="G4697" t="s">
        <v>63</v>
      </c>
      <c r="H4697" t="s">
        <v>47</v>
      </c>
      <c r="I4697" t="s">
        <v>2195</v>
      </c>
      <c r="J4697" s="10">
        <v>4</v>
      </c>
      <c r="K4697" t="b">
        <v>1</v>
      </c>
    </row>
    <row r="4698" spans="1:11">
      <c r="A4698" s="12">
        <v>42228</v>
      </c>
      <c r="B4698">
        <v>2015</v>
      </c>
      <c r="C4698">
        <v>8</v>
      </c>
      <c r="D4698" s="11">
        <v>42217</v>
      </c>
      <c r="E4698" t="s">
        <v>2180</v>
      </c>
      <c r="F4698">
        <v>3</v>
      </c>
      <c r="G4698" t="s">
        <v>65</v>
      </c>
      <c r="H4698" t="s">
        <v>40</v>
      </c>
      <c r="I4698" t="s">
        <v>2188</v>
      </c>
      <c r="J4698" s="10">
        <v>8.67</v>
      </c>
      <c r="K4698" t="b">
        <v>1</v>
      </c>
    </row>
    <row r="4699" spans="1:11">
      <c r="A4699" s="12">
        <v>42228</v>
      </c>
      <c r="B4699">
        <v>2015</v>
      </c>
      <c r="C4699">
        <v>8</v>
      </c>
      <c r="D4699" s="11">
        <v>42217</v>
      </c>
      <c r="E4699" t="s">
        <v>2180</v>
      </c>
      <c r="F4699">
        <v>3</v>
      </c>
      <c r="G4699" t="s">
        <v>65</v>
      </c>
      <c r="H4699" t="s">
        <v>41</v>
      </c>
      <c r="I4699" t="s">
        <v>2189</v>
      </c>
      <c r="J4699" s="10">
        <v>7.693</v>
      </c>
      <c r="K4699" t="b">
        <v>1</v>
      </c>
    </row>
    <row r="4700" spans="1:11">
      <c r="A4700" s="12">
        <v>42228</v>
      </c>
      <c r="B4700">
        <v>2015</v>
      </c>
      <c r="C4700">
        <v>8</v>
      </c>
      <c r="D4700" s="11">
        <v>42217</v>
      </c>
      <c r="E4700" t="s">
        <v>2180</v>
      </c>
      <c r="F4700">
        <v>3</v>
      </c>
      <c r="G4700" t="s">
        <v>65</v>
      </c>
      <c r="H4700" t="s">
        <v>42</v>
      </c>
      <c r="I4700" t="s">
        <v>2190</v>
      </c>
      <c r="J4700" s="10">
        <v>4</v>
      </c>
      <c r="K4700" t="b">
        <v>1</v>
      </c>
    </row>
    <row r="4701" spans="1:11">
      <c r="A4701" s="12">
        <v>42228</v>
      </c>
      <c r="B4701">
        <v>2015</v>
      </c>
      <c r="C4701">
        <v>8</v>
      </c>
      <c r="D4701" s="11">
        <v>42217</v>
      </c>
      <c r="E4701" t="s">
        <v>2180</v>
      </c>
      <c r="F4701">
        <v>3</v>
      </c>
      <c r="G4701" t="s">
        <v>65</v>
      </c>
      <c r="H4701" t="s">
        <v>43</v>
      </c>
      <c r="I4701" t="s">
        <v>2191</v>
      </c>
      <c r="J4701" s="10">
        <v>28.2</v>
      </c>
      <c r="K4701" t="b">
        <v>1</v>
      </c>
    </row>
    <row r="4702" spans="1:11">
      <c r="A4702" s="12">
        <v>42228</v>
      </c>
      <c r="B4702">
        <v>2015</v>
      </c>
      <c r="C4702">
        <v>8</v>
      </c>
      <c r="D4702" s="11">
        <v>42217</v>
      </c>
      <c r="E4702" t="s">
        <v>2180</v>
      </c>
      <c r="F4702">
        <v>3</v>
      </c>
      <c r="G4702" t="s">
        <v>65</v>
      </c>
      <c r="H4702" t="s">
        <v>44</v>
      </c>
      <c r="I4702" t="s">
        <v>2192</v>
      </c>
      <c r="J4702" s="10">
        <v>9.5</v>
      </c>
      <c r="K4702" t="b">
        <v>1</v>
      </c>
    </row>
    <row r="4703" spans="1:11">
      <c r="A4703" s="12">
        <v>42228</v>
      </c>
      <c r="B4703">
        <v>2015</v>
      </c>
      <c r="C4703">
        <v>8</v>
      </c>
      <c r="D4703" s="11">
        <v>42217</v>
      </c>
      <c r="E4703" t="s">
        <v>2180</v>
      </c>
      <c r="F4703">
        <v>3</v>
      </c>
      <c r="G4703" t="s">
        <v>65</v>
      </c>
      <c r="H4703" t="s">
        <v>45</v>
      </c>
      <c r="I4703" t="s">
        <v>2193</v>
      </c>
      <c r="J4703" s="10">
        <v>0</v>
      </c>
      <c r="K4703" t="b">
        <v>1</v>
      </c>
    </row>
    <row r="4704" spans="1:11">
      <c r="A4704" s="12">
        <v>42228</v>
      </c>
      <c r="B4704">
        <v>2015</v>
      </c>
      <c r="C4704">
        <v>8</v>
      </c>
      <c r="D4704" s="11">
        <v>42217</v>
      </c>
      <c r="E4704" t="s">
        <v>2180</v>
      </c>
      <c r="F4704">
        <v>3</v>
      </c>
      <c r="G4704" t="s">
        <v>65</v>
      </c>
      <c r="H4704" t="s">
        <v>46</v>
      </c>
      <c r="I4704" t="s">
        <v>2194</v>
      </c>
      <c r="J4704" s="10">
        <v>1</v>
      </c>
      <c r="K4704" t="b">
        <v>1</v>
      </c>
    </row>
    <row r="4705" spans="1:11">
      <c r="A4705" s="12">
        <v>42228</v>
      </c>
      <c r="B4705">
        <v>2015</v>
      </c>
      <c r="C4705">
        <v>8</v>
      </c>
      <c r="D4705" s="11">
        <v>42217</v>
      </c>
      <c r="E4705" t="s">
        <v>2180</v>
      </c>
      <c r="F4705">
        <v>3</v>
      </c>
      <c r="G4705" t="s">
        <v>65</v>
      </c>
      <c r="H4705" t="s">
        <v>47</v>
      </c>
      <c r="I4705" t="s">
        <v>2195</v>
      </c>
      <c r="J4705" s="10">
        <v>1</v>
      </c>
      <c r="K4705" t="b">
        <v>1</v>
      </c>
    </row>
    <row r="4706" spans="1:11">
      <c r="A4706" s="12">
        <v>42229</v>
      </c>
      <c r="B4706">
        <v>2015</v>
      </c>
      <c r="C4706">
        <v>8</v>
      </c>
      <c r="D4706" s="11">
        <v>42217</v>
      </c>
      <c r="E4706" t="s">
        <v>2180</v>
      </c>
      <c r="F4706">
        <v>4</v>
      </c>
      <c r="G4706" t="s">
        <v>53</v>
      </c>
      <c r="H4706" t="s">
        <v>40</v>
      </c>
      <c r="I4706" t="s">
        <v>2188</v>
      </c>
      <c r="J4706" s="10">
        <v>8</v>
      </c>
      <c r="K4706" t="b">
        <v>1</v>
      </c>
    </row>
    <row r="4707" spans="1:11">
      <c r="A4707" s="12">
        <v>42229</v>
      </c>
      <c r="B4707">
        <v>2015</v>
      </c>
      <c r="C4707">
        <v>8</v>
      </c>
      <c r="D4707" s="11">
        <v>42217</v>
      </c>
      <c r="E4707" t="s">
        <v>2180</v>
      </c>
      <c r="F4707">
        <v>4</v>
      </c>
      <c r="G4707" t="s">
        <v>53</v>
      </c>
      <c r="H4707" t="s">
        <v>41</v>
      </c>
      <c r="I4707" t="s">
        <v>2189</v>
      </c>
      <c r="J4707" s="10">
        <v>2</v>
      </c>
      <c r="K4707" t="b">
        <v>1</v>
      </c>
    </row>
    <row r="4708" spans="1:11">
      <c r="A4708" s="12">
        <v>42229</v>
      </c>
      <c r="B4708">
        <v>2015</v>
      </c>
      <c r="C4708">
        <v>8</v>
      </c>
      <c r="D4708" s="11">
        <v>42217</v>
      </c>
      <c r="E4708" t="s">
        <v>2180</v>
      </c>
      <c r="F4708">
        <v>4</v>
      </c>
      <c r="G4708" t="s">
        <v>53</v>
      </c>
      <c r="H4708" t="s">
        <v>42</v>
      </c>
      <c r="I4708" t="s">
        <v>2190</v>
      </c>
      <c r="J4708" s="10">
        <v>6</v>
      </c>
      <c r="K4708" t="b">
        <v>1</v>
      </c>
    </row>
    <row r="4709" spans="1:11">
      <c r="A4709" s="12">
        <v>42229</v>
      </c>
      <c r="B4709">
        <v>2015</v>
      </c>
      <c r="C4709">
        <v>8</v>
      </c>
      <c r="D4709" s="11">
        <v>42217</v>
      </c>
      <c r="E4709" t="s">
        <v>2180</v>
      </c>
      <c r="F4709">
        <v>4</v>
      </c>
      <c r="G4709" t="s">
        <v>53</v>
      </c>
      <c r="H4709" t="s">
        <v>43</v>
      </c>
      <c r="I4709" t="s">
        <v>2191</v>
      </c>
      <c r="J4709" s="10">
        <v>23.438</v>
      </c>
      <c r="K4709" t="b">
        <v>1</v>
      </c>
    </row>
    <row r="4710" spans="1:11">
      <c r="A4710" s="12">
        <v>42229</v>
      </c>
      <c r="B4710">
        <v>2015</v>
      </c>
      <c r="C4710">
        <v>8</v>
      </c>
      <c r="D4710" s="11">
        <v>42217</v>
      </c>
      <c r="E4710" t="s">
        <v>2180</v>
      </c>
      <c r="F4710">
        <v>4</v>
      </c>
      <c r="G4710" t="s">
        <v>53</v>
      </c>
      <c r="H4710" t="s">
        <v>44</v>
      </c>
      <c r="I4710" t="s">
        <v>2192</v>
      </c>
      <c r="J4710" s="10">
        <v>9</v>
      </c>
      <c r="K4710" t="b">
        <v>1</v>
      </c>
    </row>
    <row r="4711" spans="1:11">
      <c r="A4711" s="12">
        <v>42229</v>
      </c>
      <c r="B4711">
        <v>2015</v>
      </c>
      <c r="C4711">
        <v>8</v>
      </c>
      <c r="D4711" s="11">
        <v>42217</v>
      </c>
      <c r="E4711" t="s">
        <v>2180</v>
      </c>
      <c r="F4711">
        <v>4</v>
      </c>
      <c r="G4711" t="s">
        <v>53</v>
      </c>
      <c r="H4711" t="s">
        <v>45</v>
      </c>
      <c r="I4711" t="s">
        <v>2193</v>
      </c>
      <c r="J4711" s="10">
        <v>0</v>
      </c>
      <c r="K4711" t="b">
        <v>1</v>
      </c>
    </row>
    <row r="4712" spans="1:11">
      <c r="A4712" s="12">
        <v>42229</v>
      </c>
      <c r="B4712">
        <v>2015</v>
      </c>
      <c r="C4712">
        <v>8</v>
      </c>
      <c r="D4712" s="11">
        <v>42217</v>
      </c>
      <c r="E4712" t="s">
        <v>2180</v>
      </c>
      <c r="F4712">
        <v>4</v>
      </c>
      <c r="G4712" t="s">
        <v>53</v>
      </c>
      <c r="H4712" t="s">
        <v>46</v>
      </c>
      <c r="I4712" t="s">
        <v>2194</v>
      </c>
      <c r="J4712" s="10">
        <v>3</v>
      </c>
      <c r="K4712" t="b">
        <v>1</v>
      </c>
    </row>
    <row r="4713" spans="1:11">
      <c r="A4713" s="12">
        <v>42229</v>
      </c>
      <c r="B4713">
        <v>2015</v>
      </c>
      <c r="C4713">
        <v>8</v>
      </c>
      <c r="D4713" s="11">
        <v>42217</v>
      </c>
      <c r="E4713" t="s">
        <v>2180</v>
      </c>
      <c r="F4713">
        <v>4</v>
      </c>
      <c r="G4713" t="s">
        <v>53</v>
      </c>
      <c r="H4713" t="s">
        <v>47</v>
      </c>
      <c r="I4713" t="s">
        <v>2195</v>
      </c>
      <c r="J4713" s="10">
        <v>3</v>
      </c>
      <c r="K4713" t="b">
        <v>1</v>
      </c>
    </row>
    <row r="4714" spans="1:11">
      <c r="A4714" s="12">
        <v>42230</v>
      </c>
      <c r="B4714">
        <v>2015</v>
      </c>
      <c r="C4714">
        <v>8</v>
      </c>
      <c r="D4714" s="11">
        <v>42217</v>
      </c>
      <c r="E4714" t="s">
        <v>2180</v>
      </c>
      <c r="F4714">
        <v>5</v>
      </c>
      <c r="G4714" t="s">
        <v>55</v>
      </c>
      <c r="H4714" t="s">
        <v>40</v>
      </c>
      <c r="I4714" t="s">
        <v>2188</v>
      </c>
      <c r="J4714" s="10">
        <v>3</v>
      </c>
      <c r="K4714" t="b">
        <v>1</v>
      </c>
    </row>
    <row r="4715" spans="1:11">
      <c r="A4715" s="12">
        <v>42230</v>
      </c>
      <c r="B4715">
        <v>2015</v>
      </c>
      <c r="C4715">
        <v>8</v>
      </c>
      <c r="D4715" s="11">
        <v>42217</v>
      </c>
      <c r="E4715" t="s">
        <v>2180</v>
      </c>
      <c r="F4715">
        <v>5</v>
      </c>
      <c r="G4715" t="s">
        <v>55</v>
      </c>
      <c r="H4715" t="s">
        <v>41</v>
      </c>
      <c r="I4715" t="s">
        <v>2189</v>
      </c>
      <c r="J4715" s="10">
        <v>4.66</v>
      </c>
      <c r="K4715" t="b">
        <v>1</v>
      </c>
    </row>
    <row r="4716" spans="1:11">
      <c r="A4716" s="12">
        <v>42230</v>
      </c>
      <c r="B4716">
        <v>2015</v>
      </c>
      <c r="C4716">
        <v>8</v>
      </c>
      <c r="D4716" s="11">
        <v>42217</v>
      </c>
      <c r="E4716" t="s">
        <v>2180</v>
      </c>
      <c r="F4716">
        <v>5</v>
      </c>
      <c r="G4716" t="s">
        <v>55</v>
      </c>
      <c r="H4716" t="s">
        <v>42</v>
      </c>
      <c r="I4716" t="s">
        <v>2190</v>
      </c>
      <c r="J4716" s="10">
        <v>4</v>
      </c>
      <c r="K4716" t="b">
        <v>1</v>
      </c>
    </row>
    <row r="4717" spans="1:11">
      <c r="A4717" s="12">
        <v>42230</v>
      </c>
      <c r="B4717">
        <v>2015</v>
      </c>
      <c r="C4717">
        <v>8</v>
      </c>
      <c r="D4717" s="11">
        <v>42217</v>
      </c>
      <c r="E4717" t="s">
        <v>2180</v>
      </c>
      <c r="F4717">
        <v>5</v>
      </c>
      <c r="G4717" t="s">
        <v>55</v>
      </c>
      <c r="H4717" t="s">
        <v>43</v>
      </c>
      <c r="I4717" t="s">
        <v>2191</v>
      </c>
      <c r="J4717" s="10">
        <v>16.7</v>
      </c>
      <c r="K4717" t="b">
        <v>1</v>
      </c>
    </row>
    <row r="4718" spans="1:11">
      <c r="A4718" s="12">
        <v>42230</v>
      </c>
      <c r="B4718">
        <v>2015</v>
      </c>
      <c r="C4718">
        <v>8</v>
      </c>
      <c r="D4718" s="11">
        <v>42217</v>
      </c>
      <c r="E4718" t="s">
        <v>2180</v>
      </c>
      <c r="F4718">
        <v>5</v>
      </c>
      <c r="G4718" t="s">
        <v>55</v>
      </c>
      <c r="H4718" t="s">
        <v>44</v>
      </c>
      <c r="I4718" t="s">
        <v>2192</v>
      </c>
      <c r="J4718" s="10">
        <v>5</v>
      </c>
      <c r="K4718" t="b">
        <v>1</v>
      </c>
    </row>
    <row r="4719" spans="1:11">
      <c r="A4719" s="12">
        <v>42230</v>
      </c>
      <c r="B4719">
        <v>2015</v>
      </c>
      <c r="C4719">
        <v>8</v>
      </c>
      <c r="D4719" s="11">
        <v>42217</v>
      </c>
      <c r="E4719" t="s">
        <v>2180</v>
      </c>
      <c r="F4719">
        <v>5</v>
      </c>
      <c r="G4719" t="s">
        <v>55</v>
      </c>
      <c r="H4719" t="s">
        <v>45</v>
      </c>
      <c r="I4719" t="s">
        <v>2193</v>
      </c>
      <c r="J4719" s="10">
        <v>0</v>
      </c>
      <c r="K4719" t="b">
        <v>1</v>
      </c>
    </row>
    <row r="4720" spans="1:11">
      <c r="A4720" s="12">
        <v>42230</v>
      </c>
      <c r="B4720">
        <v>2015</v>
      </c>
      <c r="C4720">
        <v>8</v>
      </c>
      <c r="D4720" s="11">
        <v>42217</v>
      </c>
      <c r="E4720" t="s">
        <v>2180</v>
      </c>
      <c r="F4720">
        <v>5</v>
      </c>
      <c r="G4720" t="s">
        <v>55</v>
      </c>
      <c r="H4720" t="s">
        <v>46</v>
      </c>
      <c r="I4720" t="s">
        <v>2194</v>
      </c>
      <c r="J4720" s="10">
        <v>1</v>
      </c>
      <c r="K4720" t="b">
        <v>1</v>
      </c>
    </row>
    <row r="4721" spans="1:11">
      <c r="A4721" s="12">
        <v>42230</v>
      </c>
      <c r="B4721">
        <v>2015</v>
      </c>
      <c r="C4721">
        <v>8</v>
      </c>
      <c r="D4721" s="11">
        <v>42217</v>
      </c>
      <c r="E4721" t="s">
        <v>2180</v>
      </c>
      <c r="F4721">
        <v>5</v>
      </c>
      <c r="G4721" t="s">
        <v>55</v>
      </c>
      <c r="H4721" t="s">
        <v>47</v>
      </c>
      <c r="I4721" t="s">
        <v>2195</v>
      </c>
      <c r="J4721" s="10">
        <v>4</v>
      </c>
      <c r="K4721" t="b">
        <v>1</v>
      </c>
    </row>
    <row r="4722" spans="1:11">
      <c r="A4722" s="12">
        <v>42231</v>
      </c>
      <c r="B4722">
        <v>2015</v>
      </c>
      <c r="C4722">
        <v>8</v>
      </c>
      <c r="D4722" s="11">
        <v>42217</v>
      </c>
      <c r="E4722" t="s">
        <v>2180</v>
      </c>
      <c r="F4722">
        <v>6</v>
      </c>
      <c r="G4722" t="s">
        <v>57</v>
      </c>
      <c r="H4722" t="s">
        <v>40</v>
      </c>
      <c r="I4722" t="s">
        <v>2188</v>
      </c>
      <c r="J4722" s="10">
        <v>3.34</v>
      </c>
      <c r="K4722" t="b">
        <v>1</v>
      </c>
    </row>
    <row r="4723" spans="1:11">
      <c r="A4723" s="12">
        <v>42231</v>
      </c>
      <c r="B4723">
        <v>2015</v>
      </c>
      <c r="C4723">
        <v>8</v>
      </c>
      <c r="D4723" s="11">
        <v>42217</v>
      </c>
      <c r="E4723" t="s">
        <v>2180</v>
      </c>
      <c r="F4723">
        <v>6</v>
      </c>
      <c r="G4723" t="s">
        <v>57</v>
      </c>
      <c r="H4723" t="s">
        <v>41</v>
      </c>
      <c r="I4723" t="s">
        <v>2189</v>
      </c>
      <c r="J4723" s="10">
        <v>6.34</v>
      </c>
      <c r="K4723" t="b">
        <v>1</v>
      </c>
    </row>
    <row r="4724" spans="1:11">
      <c r="A4724" s="12">
        <v>42231</v>
      </c>
      <c r="B4724">
        <v>2015</v>
      </c>
      <c r="C4724">
        <v>8</v>
      </c>
      <c r="D4724" s="11">
        <v>42217</v>
      </c>
      <c r="E4724" t="s">
        <v>2180</v>
      </c>
      <c r="F4724">
        <v>6</v>
      </c>
      <c r="G4724" t="s">
        <v>57</v>
      </c>
      <c r="H4724" t="s">
        <v>42</v>
      </c>
      <c r="I4724" t="s">
        <v>2190</v>
      </c>
      <c r="J4724" s="10">
        <v>6</v>
      </c>
      <c r="K4724" t="b">
        <v>1</v>
      </c>
    </row>
    <row r="4725" spans="1:11">
      <c r="A4725" s="12">
        <v>42231</v>
      </c>
      <c r="B4725">
        <v>2015</v>
      </c>
      <c r="C4725">
        <v>8</v>
      </c>
      <c r="D4725" s="11">
        <v>42217</v>
      </c>
      <c r="E4725" t="s">
        <v>2180</v>
      </c>
      <c r="F4725">
        <v>6</v>
      </c>
      <c r="G4725" t="s">
        <v>57</v>
      </c>
      <c r="H4725" t="s">
        <v>43</v>
      </c>
      <c r="I4725" t="s">
        <v>2191</v>
      </c>
      <c r="J4725" s="10">
        <v>35</v>
      </c>
      <c r="K4725" t="b">
        <v>1</v>
      </c>
    </row>
    <row r="4726" spans="1:11">
      <c r="A4726" s="12">
        <v>42231</v>
      </c>
      <c r="B4726">
        <v>2015</v>
      </c>
      <c r="C4726">
        <v>8</v>
      </c>
      <c r="D4726" s="11">
        <v>42217</v>
      </c>
      <c r="E4726" t="s">
        <v>2180</v>
      </c>
      <c r="F4726">
        <v>6</v>
      </c>
      <c r="G4726" t="s">
        <v>57</v>
      </c>
      <c r="H4726" t="s">
        <v>44</v>
      </c>
      <c r="I4726" t="s">
        <v>2192</v>
      </c>
      <c r="J4726" s="10">
        <v>14</v>
      </c>
      <c r="K4726" t="b">
        <v>1</v>
      </c>
    </row>
    <row r="4727" spans="1:11">
      <c r="A4727" s="12">
        <v>42231</v>
      </c>
      <c r="B4727">
        <v>2015</v>
      </c>
      <c r="C4727">
        <v>8</v>
      </c>
      <c r="D4727" s="11">
        <v>42217</v>
      </c>
      <c r="E4727" t="s">
        <v>2180</v>
      </c>
      <c r="F4727">
        <v>6</v>
      </c>
      <c r="G4727" t="s">
        <v>57</v>
      </c>
      <c r="H4727" t="s">
        <v>45</v>
      </c>
      <c r="I4727" t="s">
        <v>2193</v>
      </c>
      <c r="J4727" s="10">
        <v>1</v>
      </c>
      <c r="K4727" t="b">
        <v>1</v>
      </c>
    </row>
    <row r="4728" spans="1:11">
      <c r="A4728" s="12">
        <v>42231</v>
      </c>
      <c r="B4728">
        <v>2015</v>
      </c>
      <c r="C4728">
        <v>8</v>
      </c>
      <c r="D4728" s="11">
        <v>42217</v>
      </c>
      <c r="E4728" t="s">
        <v>2180</v>
      </c>
      <c r="F4728">
        <v>6</v>
      </c>
      <c r="G4728" t="s">
        <v>57</v>
      </c>
      <c r="H4728" t="s">
        <v>46</v>
      </c>
      <c r="I4728" t="s">
        <v>2194</v>
      </c>
      <c r="J4728" s="10">
        <v>1</v>
      </c>
      <c r="K4728" t="b">
        <v>1</v>
      </c>
    </row>
    <row r="4729" spans="1:11">
      <c r="A4729" s="12">
        <v>42231</v>
      </c>
      <c r="B4729">
        <v>2015</v>
      </c>
      <c r="C4729">
        <v>8</v>
      </c>
      <c r="D4729" s="11">
        <v>42217</v>
      </c>
      <c r="E4729" t="s">
        <v>2180</v>
      </c>
      <c r="F4729">
        <v>6</v>
      </c>
      <c r="G4729" t="s">
        <v>57</v>
      </c>
      <c r="H4729" t="s">
        <v>47</v>
      </c>
      <c r="I4729" t="s">
        <v>2195</v>
      </c>
      <c r="J4729" s="10">
        <v>1</v>
      </c>
      <c r="K4729" t="b">
        <v>1</v>
      </c>
    </row>
    <row r="4730" spans="1:11">
      <c r="A4730" s="12">
        <v>42232</v>
      </c>
      <c r="B4730">
        <v>2015</v>
      </c>
      <c r="C4730">
        <v>8</v>
      </c>
      <c r="D4730" s="11">
        <v>42217</v>
      </c>
      <c r="E4730" t="s">
        <v>2180</v>
      </c>
      <c r="F4730">
        <v>7</v>
      </c>
      <c r="G4730" t="s">
        <v>59</v>
      </c>
      <c r="H4730" t="s">
        <v>40</v>
      </c>
      <c r="I4730" t="s">
        <v>2188</v>
      </c>
      <c r="J4730" s="10">
        <v>2</v>
      </c>
      <c r="K4730" t="b">
        <v>1</v>
      </c>
    </row>
    <row r="4731" spans="1:11">
      <c r="A4731" s="12">
        <v>42232</v>
      </c>
      <c r="B4731">
        <v>2015</v>
      </c>
      <c r="C4731">
        <v>8</v>
      </c>
      <c r="D4731" s="11">
        <v>42217</v>
      </c>
      <c r="E4731" t="s">
        <v>2180</v>
      </c>
      <c r="F4731">
        <v>7</v>
      </c>
      <c r="G4731" t="s">
        <v>59</v>
      </c>
      <c r="H4731" t="s">
        <v>41</v>
      </c>
      <c r="I4731" t="s">
        <v>2189</v>
      </c>
      <c r="J4731" s="10">
        <v>4.67</v>
      </c>
      <c r="K4731" t="b">
        <v>1</v>
      </c>
    </row>
    <row r="4732" spans="1:11">
      <c r="A4732" s="12">
        <v>42232</v>
      </c>
      <c r="B4732">
        <v>2015</v>
      </c>
      <c r="C4732">
        <v>8</v>
      </c>
      <c r="D4732" s="11">
        <v>42217</v>
      </c>
      <c r="E4732" t="s">
        <v>2180</v>
      </c>
      <c r="F4732">
        <v>7</v>
      </c>
      <c r="G4732" t="s">
        <v>59</v>
      </c>
      <c r="H4732" t="s">
        <v>42</v>
      </c>
      <c r="I4732" t="s">
        <v>2190</v>
      </c>
      <c r="J4732" s="10">
        <v>2</v>
      </c>
      <c r="K4732" t="b">
        <v>1</v>
      </c>
    </row>
    <row r="4733" spans="1:11">
      <c r="A4733" s="12">
        <v>42232</v>
      </c>
      <c r="B4733">
        <v>2015</v>
      </c>
      <c r="C4733">
        <v>8</v>
      </c>
      <c r="D4733" s="11">
        <v>42217</v>
      </c>
      <c r="E4733" t="s">
        <v>2180</v>
      </c>
      <c r="F4733">
        <v>7</v>
      </c>
      <c r="G4733" t="s">
        <v>59</v>
      </c>
      <c r="H4733" t="s">
        <v>43</v>
      </c>
      <c r="I4733" t="s">
        <v>2191</v>
      </c>
      <c r="J4733" s="10">
        <v>19.25</v>
      </c>
      <c r="K4733" t="b">
        <v>1</v>
      </c>
    </row>
    <row r="4734" spans="1:11">
      <c r="A4734" s="12">
        <v>42232</v>
      </c>
      <c r="B4734">
        <v>2015</v>
      </c>
      <c r="C4734">
        <v>8</v>
      </c>
      <c r="D4734" s="11">
        <v>42217</v>
      </c>
      <c r="E4734" t="s">
        <v>2180</v>
      </c>
      <c r="F4734">
        <v>7</v>
      </c>
      <c r="G4734" t="s">
        <v>59</v>
      </c>
      <c r="H4734" t="s">
        <v>44</v>
      </c>
      <c r="I4734" t="s">
        <v>2192</v>
      </c>
      <c r="J4734" s="10">
        <v>4</v>
      </c>
      <c r="K4734" t="b">
        <v>1</v>
      </c>
    </row>
    <row r="4735" spans="1:11">
      <c r="A4735" s="12">
        <v>42232</v>
      </c>
      <c r="B4735">
        <v>2015</v>
      </c>
      <c r="C4735">
        <v>8</v>
      </c>
      <c r="D4735" s="11">
        <v>42217</v>
      </c>
      <c r="E4735" t="s">
        <v>2180</v>
      </c>
      <c r="F4735">
        <v>7</v>
      </c>
      <c r="G4735" t="s">
        <v>59</v>
      </c>
      <c r="H4735" t="s">
        <v>45</v>
      </c>
      <c r="I4735" t="s">
        <v>2193</v>
      </c>
      <c r="J4735" s="10">
        <v>2</v>
      </c>
      <c r="K4735" t="b">
        <v>1</v>
      </c>
    </row>
    <row r="4736" spans="1:11">
      <c r="A4736" s="12">
        <v>42232</v>
      </c>
      <c r="B4736">
        <v>2015</v>
      </c>
      <c r="C4736">
        <v>8</v>
      </c>
      <c r="D4736" s="11">
        <v>42217</v>
      </c>
      <c r="E4736" t="s">
        <v>2180</v>
      </c>
      <c r="F4736">
        <v>7</v>
      </c>
      <c r="G4736" t="s">
        <v>59</v>
      </c>
      <c r="H4736" t="s">
        <v>46</v>
      </c>
      <c r="I4736" t="s">
        <v>2194</v>
      </c>
      <c r="J4736" s="10">
        <v>0</v>
      </c>
      <c r="K4736" t="b">
        <v>1</v>
      </c>
    </row>
    <row r="4737" spans="1:11">
      <c r="A4737" s="12">
        <v>42232</v>
      </c>
      <c r="B4737">
        <v>2015</v>
      </c>
      <c r="C4737">
        <v>8</v>
      </c>
      <c r="D4737" s="11">
        <v>42217</v>
      </c>
      <c r="E4737" t="s">
        <v>2180</v>
      </c>
      <c r="F4737">
        <v>7</v>
      </c>
      <c r="G4737" t="s">
        <v>59</v>
      </c>
      <c r="H4737" t="s">
        <v>47</v>
      </c>
      <c r="I4737" t="s">
        <v>2195</v>
      </c>
      <c r="J4737" s="10">
        <v>2</v>
      </c>
      <c r="K4737" t="b">
        <v>1</v>
      </c>
    </row>
    <row r="4738" spans="1:11">
      <c r="A4738" s="12">
        <v>42233</v>
      </c>
      <c r="B4738">
        <v>2015</v>
      </c>
      <c r="C4738">
        <v>8</v>
      </c>
      <c r="D4738" s="11">
        <v>42217</v>
      </c>
      <c r="E4738" t="s">
        <v>2180</v>
      </c>
      <c r="F4738">
        <v>1</v>
      </c>
      <c r="G4738" t="s">
        <v>61</v>
      </c>
      <c r="H4738" t="s">
        <v>40</v>
      </c>
      <c r="I4738" t="s">
        <v>2188</v>
      </c>
      <c r="J4738" s="10">
        <v>8</v>
      </c>
      <c r="K4738" t="b">
        <v>1</v>
      </c>
    </row>
    <row r="4739" spans="1:11">
      <c r="A4739" s="12">
        <v>42233</v>
      </c>
      <c r="B4739">
        <v>2015</v>
      </c>
      <c r="C4739">
        <v>8</v>
      </c>
      <c r="D4739" s="11">
        <v>42217</v>
      </c>
      <c r="E4739" t="s">
        <v>2180</v>
      </c>
      <c r="F4739">
        <v>1</v>
      </c>
      <c r="G4739" t="s">
        <v>61</v>
      </c>
      <c r="H4739" t="s">
        <v>41</v>
      </c>
      <c r="I4739" t="s">
        <v>2189</v>
      </c>
      <c r="J4739" s="10">
        <v>3</v>
      </c>
      <c r="K4739" t="b">
        <v>1</v>
      </c>
    </row>
    <row r="4740" spans="1:11">
      <c r="A4740" s="12">
        <v>42233</v>
      </c>
      <c r="B4740">
        <v>2015</v>
      </c>
      <c r="C4740">
        <v>8</v>
      </c>
      <c r="D4740" s="11">
        <v>42217</v>
      </c>
      <c r="E4740" t="s">
        <v>2180</v>
      </c>
      <c r="F4740">
        <v>1</v>
      </c>
      <c r="G4740" t="s">
        <v>61</v>
      </c>
      <c r="H4740" t="s">
        <v>42</v>
      </c>
      <c r="I4740" t="s">
        <v>2190</v>
      </c>
      <c r="J4740" s="10">
        <v>3</v>
      </c>
      <c r="K4740" t="b">
        <v>1</v>
      </c>
    </row>
    <row r="4741" spans="1:11">
      <c r="A4741" s="12">
        <v>42233</v>
      </c>
      <c r="B4741">
        <v>2015</v>
      </c>
      <c r="C4741">
        <v>8</v>
      </c>
      <c r="D4741" s="11">
        <v>42217</v>
      </c>
      <c r="E4741" t="s">
        <v>2180</v>
      </c>
      <c r="F4741">
        <v>1</v>
      </c>
      <c r="G4741" t="s">
        <v>61</v>
      </c>
      <c r="H4741" t="s">
        <v>43</v>
      </c>
      <c r="I4741" t="s">
        <v>2191</v>
      </c>
      <c r="J4741" s="10">
        <v>33</v>
      </c>
      <c r="K4741" t="b">
        <v>1</v>
      </c>
    </row>
    <row r="4742" spans="1:11">
      <c r="A4742" s="12">
        <v>42233</v>
      </c>
      <c r="B4742">
        <v>2015</v>
      </c>
      <c r="C4742">
        <v>8</v>
      </c>
      <c r="D4742" s="11">
        <v>42217</v>
      </c>
      <c r="E4742" t="s">
        <v>2180</v>
      </c>
      <c r="F4742">
        <v>1</v>
      </c>
      <c r="G4742" t="s">
        <v>61</v>
      </c>
      <c r="H4742" t="s">
        <v>44</v>
      </c>
      <c r="I4742" t="s">
        <v>2192</v>
      </c>
      <c r="J4742" s="10">
        <v>6</v>
      </c>
      <c r="K4742" t="b">
        <v>1</v>
      </c>
    </row>
    <row r="4743" spans="1:11">
      <c r="A4743" s="12">
        <v>42233</v>
      </c>
      <c r="B4743">
        <v>2015</v>
      </c>
      <c r="C4743">
        <v>8</v>
      </c>
      <c r="D4743" s="11">
        <v>42217</v>
      </c>
      <c r="E4743" t="s">
        <v>2180</v>
      </c>
      <c r="F4743">
        <v>1</v>
      </c>
      <c r="G4743" t="s">
        <v>61</v>
      </c>
      <c r="H4743" t="s">
        <v>45</v>
      </c>
      <c r="I4743" t="s">
        <v>2193</v>
      </c>
      <c r="J4743" s="10">
        <v>0</v>
      </c>
      <c r="K4743" t="b">
        <v>1</v>
      </c>
    </row>
    <row r="4744" spans="1:11">
      <c r="A4744" s="12">
        <v>42233</v>
      </c>
      <c r="B4744">
        <v>2015</v>
      </c>
      <c r="C4744">
        <v>8</v>
      </c>
      <c r="D4744" s="11">
        <v>42217</v>
      </c>
      <c r="E4744" t="s">
        <v>2180</v>
      </c>
      <c r="F4744">
        <v>1</v>
      </c>
      <c r="G4744" t="s">
        <v>61</v>
      </c>
      <c r="H4744" t="s">
        <v>46</v>
      </c>
      <c r="I4744" t="s">
        <v>2194</v>
      </c>
      <c r="J4744" s="10">
        <v>0</v>
      </c>
      <c r="K4744" t="b">
        <v>1</v>
      </c>
    </row>
    <row r="4745" spans="1:11">
      <c r="A4745" s="12">
        <v>42233</v>
      </c>
      <c r="B4745">
        <v>2015</v>
      </c>
      <c r="C4745">
        <v>8</v>
      </c>
      <c r="D4745" s="11">
        <v>42217</v>
      </c>
      <c r="E4745" t="s">
        <v>2180</v>
      </c>
      <c r="F4745">
        <v>1</v>
      </c>
      <c r="G4745" t="s">
        <v>61</v>
      </c>
      <c r="H4745" t="s">
        <v>47</v>
      </c>
      <c r="I4745" t="s">
        <v>2195</v>
      </c>
      <c r="J4745" s="10">
        <v>2</v>
      </c>
      <c r="K4745" t="b">
        <v>1</v>
      </c>
    </row>
    <row r="4746" spans="1:11">
      <c r="A4746" s="12">
        <v>42234</v>
      </c>
      <c r="B4746">
        <v>2015</v>
      </c>
      <c r="C4746">
        <v>8</v>
      </c>
      <c r="D4746" s="11">
        <v>42217</v>
      </c>
      <c r="E4746" t="s">
        <v>2180</v>
      </c>
      <c r="F4746">
        <v>2</v>
      </c>
      <c r="G4746" t="s">
        <v>63</v>
      </c>
      <c r="H4746" t="s">
        <v>40</v>
      </c>
      <c r="I4746" t="s">
        <v>2188</v>
      </c>
      <c r="J4746" s="10">
        <v>6.01</v>
      </c>
      <c r="K4746" t="b">
        <v>1</v>
      </c>
    </row>
    <row r="4747" spans="1:11">
      <c r="A4747" s="12">
        <v>42234</v>
      </c>
      <c r="B4747">
        <v>2015</v>
      </c>
      <c r="C4747">
        <v>8</v>
      </c>
      <c r="D4747" s="11">
        <v>42217</v>
      </c>
      <c r="E4747" t="s">
        <v>2180</v>
      </c>
      <c r="F4747">
        <v>2</v>
      </c>
      <c r="G4747" t="s">
        <v>63</v>
      </c>
      <c r="H4747" t="s">
        <v>41</v>
      </c>
      <c r="I4747" t="s">
        <v>2189</v>
      </c>
      <c r="J4747" s="10">
        <v>2.67</v>
      </c>
      <c r="K4747" t="b">
        <v>1</v>
      </c>
    </row>
    <row r="4748" spans="1:11">
      <c r="A4748" s="12">
        <v>42234</v>
      </c>
      <c r="B4748">
        <v>2015</v>
      </c>
      <c r="C4748">
        <v>8</v>
      </c>
      <c r="D4748" s="11">
        <v>42217</v>
      </c>
      <c r="E4748" t="s">
        <v>2180</v>
      </c>
      <c r="F4748">
        <v>2</v>
      </c>
      <c r="G4748" t="s">
        <v>63</v>
      </c>
      <c r="H4748" t="s">
        <v>42</v>
      </c>
      <c r="I4748" t="s">
        <v>2190</v>
      </c>
      <c r="J4748" s="10">
        <v>3</v>
      </c>
      <c r="K4748" t="b">
        <v>1</v>
      </c>
    </row>
    <row r="4749" spans="1:11">
      <c r="A4749" s="12">
        <v>42234</v>
      </c>
      <c r="B4749">
        <v>2015</v>
      </c>
      <c r="C4749">
        <v>8</v>
      </c>
      <c r="D4749" s="11">
        <v>42217</v>
      </c>
      <c r="E4749" t="s">
        <v>2180</v>
      </c>
      <c r="F4749">
        <v>2</v>
      </c>
      <c r="G4749" t="s">
        <v>63</v>
      </c>
      <c r="H4749" t="s">
        <v>43</v>
      </c>
      <c r="I4749" t="s">
        <v>2191</v>
      </c>
      <c r="J4749" s="10">
        <v>24</v>
      </c>
      <c r="K4749" t="b">
        <v>1</v>
      </c>
    </row>
    <row r="4750" spans="1:11">
      <c r="A4750" s="12">
        <v>42234</v>
      </c>
      <c r="B4750">
        <v>2015</v>
      </c>
      <c r="C4750">
        <v>8</v>
      </c>
      <c r="D4750" s="11">
        <v>42217</v>
      </c>
      <c r="E4750" t="s">
        <v>2180</v>
      </c>
      <c r="F4750">
        <v>2</v>
      </c>
      <c r="G4750" t="s">
        <v>63</v>
      </c>
      <c r="H4750" t="s">
        <v>44</v>
      </c>
      <c r="I4750" t="s">
        <v>2192</v>
      </c>
      <c r="J4750" s="10">
        <v>16</v>
      </c>
      <c r="K4750" t="b">
        <v>1</v>
      </c>
    </row>
    <row r="4751" spans="1:11">
      <c r="A4751" s="12">
        <v>42234</v>
      </c>
      <c r="B4751">
        <v>2015</v>
      </c>
      <c r="C4751">
        <v>8</v>
      </c>
      <c r="D4751" s="11">
        <v>42217</v>
      </c>
      <c r="E4751" t="s">
        <v>2180</v>
      </c>
      <c r="F4751">
        <v>2</v>
      </c>
      <c r="G4751" t="s">
        <v>63</v>
      </c>
      <c r="H4751" t="s">
        <v>45</v>
      </c>
      <c r="I4751" t="s">
        <v>2193</v>
      </c>
      <c r="J4751" s="10">
        <v>0</v>
      </c>
      <c r="K4751" t="b">
        <v>1</v>
      </c>
    </row>
    <row r="4752" spans="1:11">
      <c r="A4752" s="12">
        <v>42234</v>
      </c>
      <c r="B4752">
        <v>2015</v>
      </c>
      <c r="C4752">
        <v>8</v>
      </c>
      <c r="D4752" s="11">
        <v>42217</v>
      </c>
      <c r="E4752" t="s">
        <v>2180</v>
      </c>
      <c r="F4752">
        <v>2</v>
      </c>
      <c r="G4752" t="s">
        <v>63</v>
      </c>
      <c r="H4752" t="s">
        <v>46</v>
      </c>
      <c r="I4752" t="s">
        <v>2194</v>
      </c>
      <c r="J4752" s="10">
        <v>3</v>
      </c>
      <c r="K4752" t="b">
        <v>1</v>
      </c>
    </row>
    <row r="4753" spans="1:11">
      <c r="A4753" s="12">
        <v>42234</v>
      </c>
      <c r="B4753">
        <v>2015</v>
      </c>
      <c r="C4753">
        <v>8</v>
      </c>
      <c r="D4753" s="11">
        <v>42217</v>
      </c>
      <c r="E4753" t="s">
        <v>2180</v>
      </c>
      <c r="F4753">
        <v>2</v>
      </c>
      <c r="G4753" t="s">
        <v>63</v>
      </c>
      <c r="H4753" t="s">
        <v>47</v>
      </c>
      <c r="I4753" t="s">
        <v>2195</v>
      </c>
      <c r="J4753" s="10">
        <v>1</v>
      </c>
      <c r="K4753" t="b">
        <v>1</v>
      </c>
    </row>
    <row r="4754" spans="1:11">
      <c r="A4754" s="12">
        <v>42235</v>
      </c>
      <c r="B4754">
        <v>2015</v>
      </c>
      <c r="C4754">
        <v>8</v>
      </c>
      <c r="D4754" s="11">
        <v>42217</v>
      </c>
      <c r="E4754" t="s">
        <v>2180</v>
      </c>
      <c r="F4754">
        <v>3</v>
      </c>
      <c r="G4754" t="s">
        <v>65</v>
      </c>
      <c r="H4754" t="s">
        <v>40</v>
      </c>
      <c r="I4754" t="s">
        <v>2188</v>
      </c>
      <c r="J4754" s="10">
        <v>6.33</v>
      </c>
      <c r="K4754" t="b">
        <v>1</v>
      </c>
    </row>
    <row r="4755" spans="1:11">
      <c r="A4755" s="12">
        <v>42235</v>
      </c>
      <c r="B4755">
        <v>2015</v>
      </c>
      <c r="C4755">
        <v>8</v>
      </c>
      <c r="D4755" s="11">
        <v>42217</v>
      </c>
      <c r="E4755" t="s">
        <v>2180</v>
      </c>
      <c r="F4755">
        <v>3</v>
      </c>
      <c r="G4755" t="s">
        <v>65</v>
      </c>
      <c r="H4755" t="s">
        <v>41</v>
      </c>
      <c r="I4755" t="s">
        <v>2189</v>
      </c>
      <c r="J4755" s="10">
        <v>2.66</v>
      </c>
      <c r="K4755" t="b">
        <v>1</v>
      </c>
    </row>
    <row r="4756" spans="1:11">
      <c r="A4756" s="12">
        <v>42235</v>
      </c>
      <c r="B4756">
        <v>2015</v>
      </c>
      <c r="C4756">
        <v>8</v>
      </c>
      <c r="D4756" s="11">
        <v>42217</v>
      </c>
      <c r="E4756" t="s">
        <v>2180</v>
      </c>
      <c r="F4756">
        <v>3</v>
      </c>
      <c r="G4756" t="s">
        <v>65</v>
      </c>
      <c r="H4756" t="s">
        <v>42</v>
      </c>
      <c r="I4756" t="s">
        <v>2190</v>
      </c>
      <c r="J4756" s="10">
        <v>8</v>
      </c>
      <c r="K4756" t="b">
        <v>1</v>
      </c>
    </row>
    <row r="4757" spans="1:11">
      <c r="A4757" s="12">
        <v>42235</v>
      </c>
      <c r="B4757">
        <v>2015</v>
      </c>
      <c r="C4757">
        <v>8</v>
      </c>
      <c r="D4757" s="11">
        <v>42217</v>
      </c>
      <c r="E4757" t="s">
        <v>2180</v>
      </c>
      <c r="F4757">
        <v>3</v>
      </c>
      <c r="G4757" t="s">
        <v>65</v>
      </c>
      <c r="H4757" t="s">
        <v>43</v>
      </c>
      <c r="I4757" t="s">
        <v>2191</v>
      </c>
      <c r="J4757" s="10">
        <v>28</v>
      </c>
      <c r="K4757" t="b">
        <v>1</v>
      </c>
    </row>
    <row r="4758" spans="1:11">
      <c r="A4758" s="12">
        <v>42235</v>
      </c>
      <c r="B4758">
        <v>2015</v>
      </c>
      <c r="C4758">
        <v>8</v>
      </c>
      <c r="D4758" s="11">
        <v>42217</v>
      </c>
      <c r="E4758" t="s">
        <v>2180</v>
      </c>
      <c r="F4758">
        <v>3</v>
      </c>
      <c r="G4758" t="s">
        <v>65</v>
      </c>
      <c r="H4758" t="s">
        <v>44</v>
      </c>
      <c r="I4758" t="s">
        <v>2192</v>
      </c>
      <c r="J4758" s="10">
        <v>15</v>
      </c>
      <c r="K4758" t="b">
        <v>1</v>
      </c>
    </row>
    <row r="4759" spans="1:11">
      <c r="A4759" s="12">
        <v>42235</v>
      </c>
      <c r="B4759">
        <v>2015</v>
      </c>
      <c r="C4759">
        <v>8</v>
      </c>
      <c r="D4759" s="11">
        <v>42217</v>
      </c>
      <c r="E4759" t="s">
        <v>2180</v>
      </c>
      <c r="F4759">
        <v>3</v>
      </c>
      <c r="G4759" t="s">
        <v>65</v>
      </c>
      <c r="H4759" t="s">
        <v>45</v>
      </c>
      <c r="I4759" t="s">
        <v>2193</v>
      </c>
      <c r="J4759" s="10">
        <v>0</v>
      </c>
      <c r="K4759" t="b">
        <v>1</v>
      </c>
    </row>
    <row r="4760" spans="1:11">
      <c r="A4760" s="12">
        <v>42235</v>
      </c>
      <c r="B4760">
        <v>2015</v>
      </c>
      <c r="C4760">
        <v>8</v>
      </c>
      <c r="D4760" s="11">
        <v>42217</v>
      </c>
      <c r="E4760" t="s">
        <v>2180</v>
      </c>
      <c r="F4760">
        <v>3</v>
      </c>
      <c r="G4760" t="s">
        <v>65</v>
      </c>
      <c r="H4760" t="s">
        <v>46</v>
      </c>
      <c r="I4760" t="s">
        <v>2194</v>
      </c>
      <c r="J4760" s="10">
        <v>3</v>
      </c>
      <c r="K4760" t="b">
        <v>1</v>
      </c>
    </row>
    <row r="4761" spans="1:11">
      <c r="A4761" s="12">
        <v>42235</v>
      </c>
      <c r="B4761">
        <v>2015</v>
      </c>
      <c r="C4761">
        <v>8</v>
      </c>
      <c r="D4761" s="11">
        <v>42217</v>
      </c>
      <c r="E4761" t="s">
        <v>2180</v>
      </c>
      <c r="F4761">
        <v>3</v>
      </c>
      <c r="G4761" t="s">
        <v>65</v>
      </c>
      <c r="H4761" t="s">
        <v>47</v>
      </c>
      <c r="I4761" t="s">
        <v>2195</v>
      </c>
      <c r="J4761" s="10">
        <v>3</v>
      </c>
      <c r="K4761" t="b">
        <v>1</v>
      </c>
    </row>
    <row r="4762" spans="1:11">
      <c r="A4762" s="12">
        <v>42236</v>
      </c>
      <c r="B4762">
        <v>2015</v>
      </c>
      <c r="C4762">
        <v>8</v>
      </c>
      <c r="D4762" s="11">
        <v>42217</v>
      </c>
      <c r="E4762" t="s">
        <v>2180</v>
      </c>
      <c r="F4762">
        <v>4</v>
      </c>
      <c r="G4762" t="s">
        <v>53</v>
      </c>
      <c r="H4762" t="s">
        <v>40</v>
      </c>
      <c r="I4762" t="s">
        <v>2188</v>
      </c>
      <c r="J4762" s="10">
        <v>3.5</v>
      </c>
      <c r="K4762" t="b">
        <v>1</v>
      </c>
    </row>
    <row r="4763" spans="1:11">
      <c r="A4763" s="12">
        <v>42236</v>
      </c>
      <c r="B4763">
        <v>2015</v>
      </c>
      <c r="C4763">
        <v>8</v>
      </c>
      <c r="D4763" s="11">
        <v>42217</v>
      </c>
      <c r="E4763" t="s">
        <v>2180</v>
      </c>
      <c r="F4763">
        <v>4</v>
      </c>
      <c r="G4763" t="s">
        <v>53</v>
      </c>
      <c r="H4763" t="s">
        <v>41</v>
      </c>
      <c r="I4763" t="s">
        <v>2189</v>
      </c>
      <c r="J4763" s="10">
        <v>3.68</v>
      </c>
      <c r="K4763" t="b">
        <v>1</v>
      </c>
    </row>
    <row r="4764" spans="1:11">
      <c r="A4764" s="12">
        <v>42236</v>
      </c>
      <c r="B4764">
        <v>2015</v>
      </c>
      <c r="C4764">
        <v>8</v>
      </c>
      <c r="D4764" s="11">
        <v>42217</v>
      </c>
      <c r="E4764" t="s">
        <v>2180</v>
      </c>
      <c r="F4764">
        <v>4</v>
      </c>
      <c r="G4764" t="s">
        <v>53</v>
      </c>
      <c r="H4764" t="s">
        <v>42</v>
      </c>
      <c r="I4764" t="s">
        <v>2190</v>
      </c>
      <c r="J4764" s="10">
        <v>5</v>
      </c>
      <c r="K4764" t="b">
        <v>1</v>
      </c>
    </row>
    <row r="4765" spans="1:11">
      <c r="A4765" s="12">
        <v>42236</v>
      </c>
      <c r="B4765">
        <v>2015</v>
      </c>
      <c r="C4765">
        <v>8</v>
      </c>
      <c r="D4765" s="11">
        <v>42217</v>
      </c>
      <c r="E4765" t="s">
        <v>2180</v>
      </c>
      <c r="F4765">
        <v>4</v>
      </c>
      <c r="G4765" t="s">
        <v>53</v>
      </c>
      <c r="H4765" t="s">
        <v>43</v>
      </c>
      <c r="I4765" t="s">
        <v>2191</v>
      </c>
      <c r="J4765" s="10">
        <v>19</v>
      </c>
      <c r="K4765" t="b">
        <v>1</v>
      </c>
    </row>
    <row r="4766" spans="1:11">
      <c r="A4766" s="12">
        <v>42236</v>
      </c>
      <c r="B4766">
        <v>2015</v>
      </c>
      <c r="C4766">
        <v>8</v>
      </c>
      <c r="D4766" s="11">
        <v>42217</v>
      </c>
      <c r="E4766" t="s">
        <v>2180</v>
      </c>
      <c r="F4766">
        <v>4</v>
      </c>
      <c r="G4766" t="s">
        <v>53</v>
      </c>
      <c r="H4766" t="s">
        <v>44</v>
      </c>
      <c r="I4766" t="s">
        <v>2192</v>
      </c>
      <c r="J4766" s="10">
        <v>6</v>
      </c>
      <c r="K4766" t="b">
        <v>1</v>
      </c>
    </row>
    <row r="4767" spans="1:11">
      <c r="A4767" s="12">
        <v>42236</v>
      </c>
      <c r="B4767">
        <v>2015</v>
      </c>
      <c r="C4767">
        <v>8</v>
      </c>
      <c r="D4767" s="11">
        <v>42217</v>
      </c>
      <c r="E4767" t="s">
        <v>2180</v>
      </c>
      <c r="F4767">
        <v>4</v>
      </c>
      <c r="G4767" t="s">
        <v>53</v>
      </c>
      <c r="H4767" t="s">
        <v>45</v>
      </c>
      <c r="I4767" t="s">
        <v>2193</v>
      </c>
      <c r="J4767" s="10">
        <v>1</v>
      </c>
      <c r="K4767" t="b">
        <v>1</v>
      </c>
    </row>
    <row r="4768" spans="1:11">
      <c r="A4768" s="12">
        <v>42236</v>
      </c>
      <c r="B4768">
        <v>2015</v>
      </c>
      <c r="C4768">
        <v>8</v>
      </c>
      <c r="D4768" s="11">
        <v>42217</v>
      </c>
      <c r="E4768" t="s">
        <v>2180</v>
      </c>
      <c r="F4768">
        <v>4</v>
      </c>
      <c r="G4768" t="s">
        <v>53</v>
      </c>
      <c r="H4768" t="s">
        <v>46</v>
      </c>
      <c r="I4768" t="s">
        <v>2194</v>
      </c>
      <c r="J4768" s="10">
        <v>0</v>
      </c>
      <c r="K4768" t="b">
        <v>1</v>
      </c>
    </row>
    <row r="4769" spans="1:11">
      <c r="A4769" s="12">
        <v>42236</v>
      </c>
      <c r="B4769">
        <v>2015</v>
      </c>
      <c r="C4769">
        <v>8</v>
      </c>
      <c r="D4769" s="11">
        <v>42217</v>
      </c>
      <c r="E4769" t="s">
        <v>2180</v>
      </c>
      <c r="F4769">
        <v>4</v>
      </c>
      <c r="G4769" t="s">
        <v>53</v>
      </c>
      <c r="H4769" t="s">
        <v>47</v>
      </c>
      <c r="I4769" t="s">
        <v>2195</v>
      </c>
      <c r="J4769" s="10">
        <v>0</v>
      </c>
      <c r="K4769" t="b">
        <v>1</v>
      </c>
    </row>
    <row r="4770" spans="1:11">
      <c r="A4770" s="12">
        <v>42237</v>
      </c>
      <c r="B4770">
        <v>2015</v>
      </c>
      <c r="C4770">
        <v>8</v>
      </c>
      <c r="D4770" s="11">
        <v>42217</v>
      </c>
      <c r="E4770" t="s">
        <v>2180</v>
      </c>
      <c r="F4770">
        <v>5</v>
      </c>
      <c r="G4770" t="s">
        <v>55</v>
      </c>
      <c r="H4770" t="s">
        <v>40</v>
      </c>
      <c r="I4770" t="s">
        <v>2188</v>
      </c>
      <c r="J4770" s="10">
        <v>6</v>
      </c>
      <c r="K4770" t="b">
        <v>1</v>
      </c>
    </row>
    <row r="4771" spans="1:11">
      <c r="A4771" s="12">
        <v>42237</v>
      </c>
      <c r="B4771">
        <v>2015</v>
      </c>
      <c r="C4771">
        <v>8</v>
      </c>
      <c r="D4771" s="11">
        <v>42217</v>
      </c>
      <c r="E4771" t="s">
        <v>2180</v>
      </c>
      <c r="F4771">
        <v>5</v>
      </c>
      <c r="G4771" t="s">
        <v>55</v>
      </c>
      <c r="H4771" t="s">
        <v>41</v>
      </c>
      <c r="I4771" t="s">
        <v>2189</v>
      </c>
      <c r="J4771" s="10">
        <v>0.67</v>
      </c>
      <c r="K4771" t="b">
        <v>1</v>
      </c>
    </row>
    <row r="4772" spans="1:11">
      <c r="A4772" s="12">
        <v>42237</v>
      </c>
      <c r="B4772">
        <v>2015</v>
      </c>
      <c r="C4772">
        <v>8</v>
      </c>
      <c r="D4772" s="11">
        <v>42217</v>
      </c>
      <c r="E4772" t="s">
        <v>2180</v>
      </c>
      <c r="F4772">
        <v>5</v>
      </c>
      <c r="G4772" t="s">
        <v>55</v>
      </c>
      <c r="H4772" t="s">
        <v>42</v>
      </c>
      <c r="I4772" t="s">
        <v>2190</v>
      </c>
      <c r="J4772" s="10">
        <v>3</v>
      </c>
      <c r="K4772" t="b">
        <v>1</v>
      </c>
    </row>
    <row r="4773" spans="1:11">
      <c r="A4773" s="12">
        <v>42237</v>
      </c>
      <c r="B4773">
        <v>2015</v>
      </c>
      <c r="C4773">
        <v>8</v>
      </c>
      <c r="D4773" s="11">
        <v>42217</v>
      </c>
      <c r="E4773" t="s">
        <v>2180</v>
      </c>
      <c r="F4773">
        <v>5</v>
      </c>
      <c r="G4773" t="s">
        <v>55</v>
      </c>
      <c r="H4773" t="s">
        <v>43</v>
      </c>
      <c r="I4773" t="s">
        <v>2191</v>
      </c>
      <c r="J4773" s="10">
        <v>34</v>
      </c>
      <c r="K4773" t="b">
        <v>1</v>
      </c>
    </row>
    <row r="4774" spans="1:11">
      <c r="A4774" s="12">
        <v>42237</v>
      </c>
      <c r="B4774">
        <v>2015</v>
      </c>
      <c r="C4774">
        <v>8</v>
      </c>
      <c r="D4774" s="11">
        <v>42217</v>
      </c>
      <c r="E4774" t="s">
        <v>2180</v>
      </c>
      <c r="F4774">
        <v>5</v>
      </c>
      <c r="G4774" t="s">
        <v>55</v>
      </c>
      <c r="H4774" t="s">
        <v>44</v>
      </c>
      <c r="I4774" t="s">
        <v>2192</v>
      </c>
      <c r="J4774" s="10">
        <v>8</v>
      </c>
      <c r="K4774" t="b">
        <v>1</v>
      </c>
    </row>
    <row r="4775" spans="1:11">
      <c r="A4775" s="12">
        <v>42237</v>
      </c>
      <c r="B4775">
        <v>2015</v>
      </c>
      <c r="C4775">
        <v>8</v>
      </c>
      <c r="D4775" s="11">
        <v>42217</v>
      </c>
      <c r="E4775" t="s">
        <v>2180</v>
      </c>
      <c r="F4775">
        <v>5</v>
      </c>
      <c r="G4775" t="s">
        <v>55</v>
      </c>
      <c r="H4775" t="s">
        <v>45</v>
      </c>
      <c r="I4775" t="s">
        <v>2193</v>
      </c>
      <c r="J4775" s="10">
        <v>1</v>
      </c>
      <c r="K4775" t="b">
        <v>1</v>
      </c>
    </row>
    <row r="4776" spans="1:11">
      <c r="A4776" s="12">
        <v>42237</v>
      </c>
      <c r="B4776">
        <v>2015</v>
      </c>
      <c r="C4776">
        <v>8</v>
      </c>
      <c r="D4776" s="11">
        <v>42217</v>
      </c>
      <c r="E4776" t="s">
        <v>2180</v>
      </c>
      <c r="F4776">
        <v>5</v>
      </c>
      <c r="G4776" t="s">
        <v>55</v>
      </c>
      <c r="H4776" t="s">
        <v>46</v>
      </c>
      <c r="I4776" t="s">
        <v>2194</v>
      </c>
      <c r="J4776" s="10">
        <v>1</v>
      </c>
      <c r="K4776" t="b">
        <v>1</v>
      </c>
    </row>
    <row r="4777" spans="1:11">
      <c r="A4777" s="12">
        <v>42237</v>
      </c>
      <c r="B4777">
        <v>2015</v>
      </c>
      <c r="C4777">
        <v>8</v>
      </c>
      <c r="D4777" s="11">
        <v>42217</v>
      </c>
      <c r="E4777" t="s">
        <v>2180</v>
      </c>
      <c r="F4777">
        <v>5</v>
      </c>
      <c r="G4777" t="s">
        <v>55</v>
      </c>
      <c r="H4777" t="s">
        <v>47</v>
      </c>
      <c r="I4777" t="s">
        <v>2195</v>
      </c>
      <c r="J4777" s="10">
        <v>4</v>
      </c>
      <c r="K4777" t="b">
        <v>1</v>
      </c>
    </row>
    <row r="4778" spans="1:11">
      <c r="A4778" s="12">
        <v>42238</v>
      </c>
      <c r="B4778">
        <v>2015</v>
      </c>
      <c r="C4778">
        <v>8</v>
      </c>
      <c r="D4778" s="11">
        <v>42217</v>
      </c>
      <c r="E4778" t="s">
        <v>2180</v>
      </c>
      <c r="F4778">
        <v>6</v>
      </c>
      <c r="G4778" t="s">
        <v>57</v>
      </c>
      <c r="H4778" t="s">
        <v>40</v>
      </c>
      <c r="I4778" t="s">
        <v>2188</v>
      </c>
      <c r="J4778" s="10">
        <v>2.34</v>
      </c>
      <c r="K4778" t="b">
        <v>1</v>
      </c>
    </row>
    <row r="4779" spans="1:11">
      <c r="A4779" s="12">
        <v>42238</v>
      </c>
      <c r="B4779">
        <v>2015</v>
      </c>
      <c r="C4779">
        <v>8</v>
      </c>
      <c r="D4779" s="11">
        <v>42217</v>
      </c>
      <c r="E4779" t="s">
        <v>2180</v>
      </c>
      <c r="F4779">
        <v>6</v>
      </c>
      <c r="G4779" t="s">
        <v>57</v>
      </c>
      <c r="H4779" t="s">
        <v>41</v>
      </c>
      <c r="I4779" t="s">
        <v>2189</v>
      </c>
      <c r="J4779" s="10">
        <v>6.736</v>
      </c>
      <c r="K4779" t="b">
        <v>1</v>
      </c>
    </row>
    <row r="4780" spans="1:11">
      <c r="A4780" s="12">
        <v>42238</v>
      </c>
      <c r="B4780">
        <v>2015</v>
      </c>
      <c r="C4780">
        <v>8</v>
      </c>
      <c r="D4780" s="11">
        <v>42217</v>
      </c>
      <c r="E4780" t="s">
        <v>2180</v>
      </c>
      <c r="F4780">
        <v>6</v>
      </c>
      <c r="G4780" t="s">
        <v>57</v>
      </c>
      <c r="H4780" t="s">
        <v>42</v>
      </c>
      <c r="I4780" t="s">
        <v>2190</v>
      </c>
      <c r="J4780" s="10">
        <v>4</v>
      </c>
      <c r="K4780" t="b">
        <v>1</v>
      </c>
    </row>
    <row r="4781" spans="1:11">
      <c r="A4781" s="12">
        <v>42238</v>
      </c>
      <c r="B4781">
        <v>2015</v>
      </c>
      <c r="C4781">
        <v>8</v>
      </c>
      <c r="D4781" s="11">
        <v>42217</v>
      </c>
      <c r="E4781" t="s">
        <v>2180</v>
      </c>
      <c r="F4781">
        <v>6</v>
      </c>
      <c r="G4781" t="s">
        <v>57</v>
      </c>
      <c r="H4781" t="s">
        <v>43</v>
      </c>
      <c r="I4781" t="s">
        <v>2191</v>
      </c>
      <c r="J4781" s="10">
        <v>28</v>
      </c>
      <c r="K4781" t="b">
        <v>1</v>
      </c>
    </row>
    <row r="4782" spans="1:11">
      <c r="A4782" s="12">
        <v>42238</v>
      </c>
      <c r="B4782">
        <v>2015</v>
      </c>
      <c r="C4782">
        <v>8</v>
      </c>
      <c r="D4782" s="11">
        <v>42217</v>
      </c>
      <c r="E4782" t="s">
        <v>2180</v>
      </c>
      <c r="F4782">
        <v>6</v>
      </c>
      <c r="G4782" t="s">
        <v>57</v>
      </c>
      <c r="H4782" t="s">
        <v>44</v>
      </c>
      <c r="I4782" t="s">
        <v>2192</v>
      </c>
      <c r="J4782" s="10">
        <v>6</v>
      </c>
      <c r="K4782" t="b">
        <v>1</v>
      </c>
    </row>
    <row r="4783" spans="1:11">
      <c r="A4783" s="12">
        <v>42238</v>
      </c>
      <c r="B4783">
        <v>2015</v>
      </c>
      <c r="C4783">
        <v>8</v>
      </c>
      <c r="D4783" s="11">
        <v>42217</v>
      </c>
      <c r="E4783" t="s">
        <v>2180</v>
      </c>
      <c r="F4783">
        <v>6</v>
      </c>
      <c r="G4783" t="s">
        <v>57</v>
      </c>
      <c r="H4783" t="s">
        <v>45</v>
      </c>
      <c r="I4783" t="s">
        <v>2193</v>
      </c>
      <c r="J4783" s="10">
        <v>3</v>
      </c>
      <c r="K4783" t="b">
        <v>1</v>
      </c>
    </row>
    <row r="4784" spans="1:11">
      <c r="A4784" s="12">
        <v>42238</v>
      </c>
      <c r="B4784">
        <v>2015</v>
      </c>
      <c r="C4784">
        <v>8</v>
      </c>
      <c r="D4784" s="11">
        <v>42217</v>
      </c>
      <c r="E4784" t="s">
        <v>2180</v>
      </c>
      <c r="F4784">
        <v>6</v>
      </c>
      <c r="G4784" t="s">
        <v>57</v>
      </c>
      <c r="H4784" t="s">
        <v>46</v>
      </c>
      <c r="I4784" t="s">
        <v>2194</v>
      </c>
      <c r="J4784" s="10">
        <v>1</v>
      </c>
      <c r="K4784" t="b">
        <v>1</v>
      </c>
    </row>
    <row r="4785" spans="1:11">
      <c r="A4785" s="12">
        <v>42238</v>
      </c>
      <c r="B4785">
        <v>2015</v>
      </c>
      <c r="C4785">
        <v>8</v>
      </c>
      <c r="D4785" s="11">
        <v>42217</v>
      </c>
      <c r="E4785" t="s">
        <v>2180</v>
      </c>
      <c r="F4785">
        <v>6</v>
      </c>
      <c r="G4785" t="s">
        <v>57</v>
      </c>
      <c r="H4785" t="s">
        <v>47</v>
      </c>
      <c r="I4785" t="s">
        <v>2195</v>
      </c>
      <c r="J4785" s="10">
        <v>6</v>
      </c>
      <c r="K4785" t="b">
        <v>1</v>
      </c>
    </row>
    <row r="4786" spans="1:11">
      <c r="A4786" s="12">
        <v>42239</v>
      </c>
      <c r="B4786">
        <v>2015</v>
      </c>
      <c r="C4786">
        <v>8</v>
      </c>
      <c r="D4786" s="11">
        <v>42217</v>
      </c>
      <c r="E4786" t="s">
        <v>2180</v>
      </c>
      <c r="F4786">
        <v>7</v>
      </c>
      <c r="G4786" t="s">
        <v>59</v>
      </c>
      <c r="H4786" t="s">
        <v>40</v>
      </c>
      <c r="I4786" t="s">
        <v>2188</v>
      </c>
      <c r="J4786" s="10">
        <v>8.99</v>
      </c>
      <c r="K4786" t="b">
        <v>1</v>
      </c>
    </row>
    <row r="4787" spans="1:11">
      <c r="A4787" s="12">
        <v>42239</v>
      </c>
      <c r="B4787">
        <v>2015</v>
      </c>
      <c r="C4787">
        <v>8</v>
      </c>
      <c r="D4787" s="11">
        <v>42217</v>
      </c>
      <c r="E4787" t="s">
        <v>2180</v>
      </c>
      <c r="F4787">
        <v>7</v>
      </c>
      <c r="G4787" t="s">
        <v>59</v>
      </c>
      <c r="H4787" t="s">
        <v>41</v>
      </c>
      <c r="I4787" t="s">
        <v>2189</v>
      </c>
      <c r="J4787" s="10">
        <v>5.33</v>
      </c>
      <c r="K4787" t="b">
        <v>1</v>
      </c>
    </row>
    <row r="4788" spans="1:11">
      <c r="A4788" s="12">
        <v>42239</v>
      </c>
      <c r="B4788">
        <v>2015</v>
      </c>
      <c r="C4788">
        <v>8</v>
      </c>
      <c r="D4788" s="11">
        <v>42217</v>
      </c>
      <c r="E4788" t="s">
        <v>2180</v>
      </c>
      <c r="F4788">
        <v>7</v>
      </c>
      <c r="G4788" t="s">
        <v>59</v>
      </c>
      <c r="H4788" t="s">
        <v>42</v>
      </c>
      <c r="I4788" t="s">
        <v>2190</v>
      </c>
      <c r="J4788" s="10">
        <v>3</v>
      </c>
      <c r="K4788" t="b">
        <v>1</v>
      </c>
    </row>
    <row r="4789" spans="1:11">
      <c r="A4789" s="12">
        <v>42239</v>
      </c>
      <c r="B4789">
        <v>2015</v>
      </c>
      <c r="C4789">
        <v>8</v>
      </c>
      <c r="D4789" s="11">
        <v>42217</v>
      </c>
      <c r="E4789" t="s">
        <v>2180</v>
      </c>
      <c r="F4789">
        <v>7</v>
      </c>
      <c r="G4789" t="s">
        <v>59</v>
      </c>
      <c r="H4789" t="s">
        <v>43</v>
      </c>
      <c r="I4789" t="s">
        <v>2191</v>
      </c>
      <c r="J4789" s="10">
        <v>28</v>
      </c>
      <c r="K4789" t="b">
        <v>1</v>
      </c>
    </row>
    <row r="4790" spans="1:11">
      <c r="A4790" s="12">
        <v>42239</v>
      </c>
      <c r="B4790">
        <v>2015</v>
      </c>
      <c r="C4790">
        <v>8</v>
      </c>
      <c r="D4790" s="11">
        <v>42217</v>
      </c>
      <c r="E4790" t="s">
        <v>2180</v>
      </c>
      <c r="F4790">
        <v>7</v>
      </c>
      <c r="G4790" t="s">
        <v>59</v>
      </c>
      <c r="H4790" t="s">
        <v>44</v>
      </c>
      <c r="I4790" t="s">
        <v>2192</v>
      </c>
      <c r="J4790" s="10">
        <v>8</v>
      </c>
      <c r="K4790" t="b">
        <v>1</v>
      </c>
    </row>
    <row r="4791" spans="1:11">
      <c r="A4791" s="12">
        <v>42239</v>
      </c>
      <c r="B4791">
        <v>2015</v>
      </c>
      <c r="C4791">
        <v>8</v>
      </c>
      <c r="D4791" s="11">
        <v>42217</v>
      </c>
      <c r="E4791" t="s">
        <v>2180</v>
      </c>
      <c r="F4791">
        <v>7</v>
      </c>
      <c r="G4791" t="s">
        <v>59</v>
      </c>
      <c r="H4791" t="s">
        <v>45</v>
      </c>
      <c r="I4791" t="s">
        <v>2193</v>
      </c>
      <c r="J4791" s="10">
        <v>0</v>
      </c>
      <c r="K4791" t="b">
        <v>1</v>
      </c>
    </row>
    <row r="4792" spans="1:11">
      <c r="A4792" s="12">
        <v>42239</v>
      </c>
      <c r="B4792">
        <v>2015</v>
      </c>
      <c r="C4792">
        <v>8</v>
      </c>
      <c r="D4792" s="11">
        <v>42217</v>
      </c>
      <c r="E4792" t="s">
        <v>2180</v>
      </c>
      <c r="F4792">
        <v>7</v>
      </c>
      <c r="G4792" t="s">
        <v>59</v>
      </c>
      <c r="H4792" t="s">
        <v>46</v>
      </c>
      <c r="I4792" t="s">
        <v>2194</v>
      </c>
      <c r="J4792" s="10">
        <v>2</v>
      </c>
      <c r="K4792" t="b">
        <v>1</v>
      </c>
    </row>
    <row r="4793" spans="1:11">
      <c r="A4793" s="12">
        <v>42239</v>
      </c>
      <c r="B4793">
        <v>2015</v>
      </c>
      <c r="C4793">
        <v>8</v>
      </c>
      <c r="D4793" s="11">
        <v>42217</v>
      </c>
      <c r="E4793" t="s">
        <v>2180</v>
      </c>
      <c r="F4793">
        <v>7</v>
      </c>
      <c r="G4793" t="s">
        <v>59</v>
      </c>
      <c r="H4793" t="s">
        <v>47</v>
      </c>
      <c r="I4793" t="s">
        <v>2195</v>
      </c>
      <c r="J4793" s="10">
        <v>2</v>
      </c>
      <c r="K4793" t="b">
        <v>1</v>
      </c>
    </row>
    <row r="4794" spans="1:11">
      <c r="A4794" s="12">
        <v>42240</v>
      </c>
      <c r="B4794">
        <v>2015</v>
      </c>
      <c r="C4794">
        <v>8</v>
      </c>
      <c r="D4794" s="11">
        <v>42217</v>
      </c>
      <c r="E4794" t="s">
        <v>2180</v>
      </c>
      <c r="F4794">
        <v>1</v>
      </c>
      <c r="G4794" t="s">
        <v>61</v>
      </c>
      <c r="H4794" t="s">
        <v>40</v>
      </c>
      <c r="I4794" t="s">
        <v>2188</v>
      </c>
      <c r="J4794" s="10">
        <v>8.5</v>
      </c>
      <c r="K4794" t="b">
        <v>1</v>
      </c>
    </row>
    <row r="4795" spans="1:11">
      <c r="A4795" s="12">
        <v>42240</v>
      </c>
      <c r="B4795">
        <v>2015</v>
      </c>
      <c r="C4795">
        <v>8</v>
      </c>
      <c r="D4795" s="11">
        <v>42217</v>
      </c>
      <c r="E4795" t="s">
        <v>2180</v>
      </c>
      <c r="F4795">
        <v>1</v>
      </c>
      <c r="G4795" t="s">
        <v>61</v>
      </c>
      <c r="H4795" t="s">
        <v>41</v>
      </c>
      <c r="I4795" t="s">
        <v>2189</v>
      </c>
      <c r="J4795" s="10">
        <v>3.66</v>
      </c>
      <c r="K4795" t="b">
        <v>1</v>
      </c>
    </row>
    <row r="4796" spans="1:11">
      <c r="A4796" s="12">
        <v>42240</v>
      </c>
      <c r="B4796">
        <v>2015</v>
      </c>
      <c r="C4796">
        <v>8</v>
      </c>
      <c r="D4796" s="11">
        <v>42217</v>
      </c>
      <c r="E4796" t="s">
        <v>2180</v>
      </c>
      <c r="F4796">
        <v>1</v>
      </c>
      <c r="G4796" t="s">
        <v>61</v>
      </c>
      <c r="H4796" t="s">
        <v>42</v>
      </c>
      <c r="I4796" t="s">
        <v>2190</v>
      </c>
      <c r="J4796" s="10">
        <v>3.4</v>
      </c>
      <c r="K4796" t="b">
        <v>1</v>
      </c>
    </row>
    <row r="4797" spans="1:11">
      <c r="A4797" s="12">
        <v>42240</v>
      </c>
      <c r="B4797">
        <v>2015</v>
      </c>
      <c r="C4797">
        <v>8</v>
      </c>
      <c r="D4797" s="11">
        <v>42217</v>
      </c>
      <c r="E4797" t="s">
        <v>2180</v>
      </c>
      <c r="F4797">
        <v>1</v>
      </c>
      <c r="G4797" t="s">
        <v>61</v>
      </c>
      <c r="H4797" t="s">
        <v>43</v>
      </c>
      <c r="I4797" t="s">
        <v>2191</v>
      </c>
      <c r="J4797" s="10">
        <v>45.1</v>
      </c>
      <c r="K4797" t="b">
        <v>1</v>
      </c>
    </row>
    <row r="4798" spans="1:11">
      <c r="A4798" s="12">
        <v>42240</v>
      </c>
      <c r="B4798">
        <v>2015</v>
      </c>
      <c r="C4798">
        <v>8</v>
      </c>
      <c r="D4798" s="11">
        <v>42217</v>
      </c>
      <c r="E4798" t="s">
        <v>2180</v>
      </c>
      <c r="F4798">
        <v>1</v>
      </c>
      <c r="G4798" t="s">
        <v>61</v>
      </c>
      <c r="H4798" t="s">
        <v>44</v>
      </c>
      <c r="I4798" t="s">
        <v>2192</v>
      </c>
      <c r="J4798" s="10">
        <v>8</v>
      </c>
      <c r="K4798" t="b">
        <v>1</v>
      </c>
    </row>
    <row r="4799" spans="1:11">
      <c r="A4799" s="12">
        <v>42240</v>
      </c>
      <c r="B4799">
        <v>2015</v>
      </c>
      <c r="C4799">
        <v>8</v>
      </c>
      <c r="D4799" s="11">
        <v>42217</v>
      </c>
      <c r="E4799" t="s">
        <v>2180</v>
      </c>
      <c r="F4799">
        <v>1</v>
      </c>
      <c r="G4799" t="s">
        <v>61</v>
      </c>
      <c r="H4799" t="s">
        <v>45</v>
      </c>
      <c r="I4799" t="s">
        <v>2193</v>
      </c>
      <c r="J4799" s="10">
        <v>0</v>
      </c>
      <c r="K4799" t="b">
        <v>1</v>
      </c>
    </row>
    <row r="4800" spans="1:11">
      <c r="A4800" s="12">
        <v>42240</v>
      </c>
      <c r="B4800">
        <v>2015</v>
      </c>
      <c r="C4800">
        <v>8</v>
      </c>
      <c r="D4800" s="11">
        <v>42217</v>
      </c>
      <c r="E4800" t="s">
        <v>2180</v>
      </c>
      <c r="F4800">
        <v>1</v>
      </c>
      <c r="G4800" t="s">
        <v>61</v>
      </c>
      <c r="H4800" t="s">
        <v>46</v>
      </c>
      <c r="I4800" t="s">
        <v>2194</v>
      </c>
      <c r="J4800" s="10">
        <v>0</v>
      </c>
      <c r="K4800" t="b">
        <v>1</v>
      </c>
    </row>
    <row r="4801" spans="1:11">
      <c r="A4801" s="12">
        <v>42240</v>
      </c>
      <c r="B4801">
        <v>2015</v>
      </c>
      <c r="C4801">
        <v>8</v>
      </c>
      <c r="D4801" s="11">
        <v>42217</v>
      </c>
      <c r="E4801" t="s">
        <v>2180</v>
      </c>
      <c r="F4801">
        <v>1</v>
      </c>
      <c r="G4801" t="s">
        <v>61</v>
      </c>
      <c r="H4801" t="s">
        <v>47</v>
      </c>
      <c r="I4801" t="s">
        <v>2195</v>
      </c>
      <c r="J4801" s="10">
        <v>1</v>
      </c>
      <c r="K4801" t="b">
        <v>1</v>
      </c>
    </row>
    <row r="4802" spans="1:11">
      <c r="A4802" s="12">
        <v>42241</v>
      </c>
      <c r="B4802">
        <v>2015</v>
      </c>
      <c r="C4802">
        <v>8</v>
      </c>
      <c r="D4802" s="11">
        <v>42217</v>
      </c>
      <c r="E4802" t="s">
        <v>2180</v>
      </c>
      <c r="F4802">
        <v>2</v>
      </c>
      <c r="G4802" t="s">
        <v>63</v>
      </c>
      <c r="H4802" t="s">
        <v>40</v>
      </c>
      <c r="I4802" t="s">
        <v>2188</v>
      </c>
      <c r="J4802" s="10">
        <v>2.34</v>
      </c>
      <c r="K4802" t="b">
        <v>1</v>
      </c>
    </row>
    <row r="4803" spans="1:11">
      <c r="A4803" s="12">
        <v>42241</v>
      </c>
      <c r="B4803">
        <v>2015</v>
      </c>
      <c r="C4803">
        <v>8</v>
      </c>
      <c r="D4803" s="11">
        <v>42217</v>
      </c>
      <c r="E4803" t="s">
        <v>2180</v>
      </c>
      <c r="F4803">
        <v>2</v>
      </c>
      <c r="G4803" t="s">
        <v>63</v>
      </c>
      <c r="H4803" t="s">
        <v>41</v>
      </c>
      <c r="I4803" t="s">
        <v>2189</v>
      </c>
      <c r="J4803" s="10">
        <v>2.67</v>
      </c>
      <c r="K4803" t="b">
        <v>1</v>
      </c>
    </row>
    <row r="4804" spans="1:11">
      <c r="A4804" s="12">
        <v>42241</v>
      </c>
      <c r="B4804">
        <v>2015</v>
      </c>
      <c r="C4804">
        <v>8</v>
      </c>
      <c r="D4804" s="11">
        <v>42217</v>
      </c>
      <c r="E4804" t="s">
        <v>2180</v>
      </c>
      <c r="F4804">
        <v>2</v>
      </c>
      <c r="G4804" t="s">
        <v>63</v>
      </c>
      <c r="H4804" t="s">
        <v>42</v>
      </c>
      <c r="I4804" t="s">
        <v>2190</v>
      </c>
      <c r="J4804" s="10">
        <v>4</v>
      </c>
      <c r="K4804" t="b">
        <v>1</v>
      </c>
    </row>
    <row r="4805" spans="1:11">
      <c r="A4805" s="12">
        <v>42241</v>
      </c>
      <c r="B4805">
        <v>2015</v>
      </c>
      <c r="C4805">
        <v>8</v>
      </c>
      <c r="D4805" s="11">
        <v>42217</v>
      </c>
      <c r="E4805" t="s">
        <v>2180</v>
      </c>
      <c r="F4805">
        <v>2</v>
      </c>
      <c r="G4805" t="s">
        <v>63</v>
      </c>
      <c r="H4805" t="s">
        <v>43</v>
      </c>
      <c r="I4805" t="s">
        <v>2191</v>
      </c>
      <c r="J4805" s="10">
        <v>23.5</v>
      </c>
      <c r="K4805" t="b">
        <v>1</v>
      </c>
    </row>
    <row r="4806" spans="1:11">
      <c r="A4806" s="12">
        <v>42241</v>
      </c>
      <c r="B4806">
        <v>2015</v>
      </c>
      <c r="C4806">
        <v>8</v>
      </c>
      <c r="D4806" s="11">
        <v>42217</v>
      </c>
      <c r="E4806" t="s">
        <v>2180</v>
      </c>
      <c r="F4806">
        <v>2</v>
      </c>
      <c r="G4806" t="s">
        <v>63</v>
      </c>
      <c r="H4806" t="s">
        <v>44</v>
      </c>
      <c r="I4806" t="s">
        <v>2192</v>
      </c>
      <c r="J4806" s="10">
        <v>20</v>
      </c>
      <c r="K4806" t="b">
        <v>1</v>
      </c>
    </row>
    <row r="4807" spans="1:11">
      <c r="A4807" s="12">
        <v>42241</v>
      </c>
      <c r="B4807">
        <v>2015</v>
      </c>
      <c r="C4807">
        <v>8</v>
      </c>
      <c r="D4807" s="11">
        <v>42217</v>
      </c>
      <c r="E4807" t="s">
        <v>2180</v>
      </c>
      <c r="F4807">
        <v>2</v>
      </c>
      <c r="G4807" t="s">
        <v>63</v>
      </c>
      <c r="H4807" t="s">
        <v>45</v>
      </c>
      <c r="I4807" t="s">
        <v>2193</v>
      </c>
      <c r="J4807" s="10">
        <v>0</v>
      </c>
      <c r="K4807" t="b">
        <v>1</v>
      </c>
    </row>
    <row r="4808" spans="1:11">
      <c r="A4808" s="12">
        <v>42241</v>
      </c>
      <c r="B4808">
        <v>2015</v>
      </c>
      <c r="C4808">
        <v>8</v>
      </c>
      <c r="D4808" s="11">
        <v>42217</v>
      </c>
      <c r="E4808" t="s">
        <v>2180</v>
      </c>
      <c r="F4808">
        <v>2</v>
      </c>
      <c r="G4808" t="s">
        <v>63</v>
      </c>
      <c r="H4808" t="s">
        <v>46</v>
      </c>
      <c r="I4808" t="s">
        <v>2194</v>
      </c>
      <c r="J4808" s="10">
        <v>1</v>
      </c>
      <c r="K4808" t="b">
        <v>1</v>
      </c>
    </row>
    <row r="4809" spans="1:11">
      <c r="A4809" s="12">
        <v>42241</v>
      </c>
      <c r="B4809">
        <v>2015</v>
      </c>
      <c r="C4809">
        <v>8</v>
      </c>
      <c r="D4809" s="11">
        <v>42217</v>
      </c>
      <c r="E4809" t="s">
        <v>2180</v>
      </c>
      <c r="F4809">
        <v>2</v>
      </c>
      <c r="G4809" t="s">
        <v>63</v>
      </c>
      <c r="H4809" t="s">
        <v>47</v>
      </c>
      <c r="I4809" t="s">
        <v>2195</v>
      </c>
      <c r="J4809" s="10">
        <v>3</v>
      </c>
      <c r="K4809" t="b">
        <v>1</v>
      </c>
    </row>
    <row r="4810" spans="1:11">
      <c r="A4810" s="12">
        <v>42242</v>
      </c>
      <c r="B4810">
        <v>2015</v>
      </c>
      <c r="C4810">
        <v>8</v>
      </c>
      <c r="D4810" s="11">
        <v>42217</v>
      </c>
      <c r="E4810" t="s">
        <v>2180</v>
      </c>
      <c r="F4810">
        <v>3</v>
      </c>
      <c r="G4810" t="s">
        <v>65</v>
      </c>
      <c r="H4810" t="s">
        <v>40</v>
      </c>
      <c r="I4810" t="s">
        <v>2188</v>
      </c>
      <c r="J4810" s="10">
        <v>2.67</v>
      </c>
      <c r="K4810" t="b">
        <v>1</v>
      </c>
    </row>
    <row r="4811" spans="1:11">
      <c r="A4811" s="12">
        <v>42242</v>
      </c>
      <c r="B4811">
        <v>2015</v>
      </c>
      <c r="C4811">
        <v>8</v>
      </c>
      <c r="D4811" s="11">
        <v>42217</v>
      </c>
      <c r="E4811" t="s">
        <v>2180</v>
      </c>
      <c r="F4811">
        <v>3</v>
      </c>
      <c r="G4811" t="s">
        <v>65</v>
      </c>
      <c r="H4811" t="s">
        <v>41</v>
      </c>
      <c r="I4811" t="s">
        <v>2189</v>
      </c>
      <c r="J4811" s="10">
        <v>4.02</v>
      </c>
      <c r="K4811" t="b">
        <v>1</v>
      </c>
    </row>
    <row r="4812" spans="1:11">
      <c r="A4812" s="12">
        <v>42242</v>
      </c>
      <c r="B4812">
        <v>2015</v>
      </c>
      <c r="C4812">
        <v>8</v>
      </c>
      <c r="D4812" s="11">
        <v>42217</v>
      </c>
      <c r="E4812" t="s">
        <v>2180</v>
      </c>
      <c r="F4812">
        <v>3</v>
      </c>
      <c r="G4812" t="s">
        <v>65</v>
      </c>
      <c r="H4812" t="s">
        <v>42</v>
      </c>
      <c r="I4812" t="s">
        <v>2190</v>
      </c>
      <c r="J4812" s="10">
        <v>7.3</v>
      </c>
      <c r="K4812" t="b">
        <v>1</v>
      </c>
    </row>
    <row r="4813" spans="1:11">
      <c r="A4813" s="12">
        <v>42242</v>
      </c>
      <c r="B4813">
        <v>2015</v>
      </c>
      <c r="C4813">
        <v>8</v>
      </c>
      <c r="D4813" s="11">
        <v>42217</v>
      </c>
      <c r="E4813" t="s">
        <v>2180</v>
      </c>
      <c r="F4813">
        <v>3</v>
      </c>
      <c r="G4813" t="s">
        <v>65</v>
      </c>
      <c r="H4813" t="s">
        <v>43</v>
      </c>
      <c r="I4813" t="s">
        <v>2191</v>
      </c>
      <c r="J4813" s="10">
        <v>27</v>
      </c>
      <c r="K4813" t="b">
        <v>1</v>
      </c>
    </row>
    <row r="4814" spans="1:11">
      <c r="A4814" s="12">
        <v>42242</v>
      </c>
      <c r="B4814">
        <v>2015</v>
      </c>
      <c r="C4814">
        <v>8</v>
      </c>
      <c r="D4814" s="11">
        <v>42217</v>
      </c>
      <c r="E4814" t="s">
        <v>2180</v>
      </c>
      <c r="F4814">
        <v>3</v>
      </c>
      <c r="G4814" t="s">
        <v>65</v>
      </c>
      <c r="H4814" t="s">
        <v>44</v>
      </c>
      <c r="I4814" t="s">
        <v>2192</v>
      </c>
      <c r="J4814" s="10">
        <v>7</v>
      </c>
      <c r="K4814" t="b">
        <v>1</v>
      </c>
    </row>
    <row r="4815" spans="1:11">
      <c r="A4815" s="12">
        <v>42242</v>
      </c>
      <c r="B4815">
        <v>2015</v>
      </c>
      <c r="C4815">
        <v>8</v>
      </c>
      <c r="D4815" s="11">
        <v>42217</v>
      </c>
      <c r="E4815" t="s">
        <v>2180</v>
      </c>
      <c r="F4815">
        <v>3</v>
      </c>
      <c r="G4815" t="s">
        <v>65</v>
      </c>
      <c r="H4815" t="s">
        <v>45</v>
      </c>
      <c r="I4815" t="s">
        <v>2193</v>
      </c>
      <c r="J4815" s="10">
        <v>0</v>
      </c>
      <c r="K4815" t="b">
        <v>1</v>
      </c>
    </row>
    <row r="4816" spans="1:11">
      <c r="A4816" s="12">
        <v>42242</v>
      </c>
      <c r="B4816">
        <v>2015</v>
      </c>
      <c r="C4816">
        <v>8</v>
      </c>
      <c r="D4816" s="11">
        <v>42217</v>
      </c>
      <c r="E4816" t="s">
        <v>2180</v>
      </c>
      <c r="F4816">
        <v>3</v>
      </c>
      <c r="G4816" t="s">
        <v>65</v>
      </c>
      <c r="H4816" t="s">
        <v>46</v>
      </c>
      <c r="I4816" t="s">
        <v>2194</v>
      </c>
      <c r="J4816" s="10">
        <v>1</v>
      </c>
      <c r="K4816" t="b">
        <v>1</v>
      </c>
    </row>
    <row r="4817" spans="1:11">
      <c r="A4817" s="12">
        <v>42242</v>
      </c>
      <c r="B4817">
        <v>2015</v>
      </c>
      <c r="C4817">
        <v>8</v>
      </c>
      <c r="D4817" s="11">
        <v>42217</v>
      </c>
      <c r="E4817" t="s">
        <v>2180</v>
      </c>
      <c r="F4817">
        <v>3</v>
      </c>
      <c r="G4817" t="s">
        <v>65</v>
      </c>
      <c r="H4817" t="s">
        <v>47</v>
      </c>
      <c r="I4817" t="s">
        <v>2195</v>
      </c>
      <c r="J4817" s="10">
        <v>6</v>
      </c>
      <c r="K4817" t="b">
        <v>1</v>
      </c>
    </row>
    <row r="4818" spans="1:11">
      <c r="A4818" s="12">
        <v>42243</v>
      </c>
      <c r="B4818">
        <v>2015</v>
      </c>
      <c r="C4818">
        <v>8</v>
      </c>
      <c r="D4818" s="11">
        <v>42217</v>
      </c>
      <c r="E4818" t="s">
        <v>2180</v>
      </c>
      <c r="F4818">
        <v>4</v>
      </c>
      <c r="G4818" t="s">
        <v>53</v>
      </c>
      <c r="H4818" t="s">
        <v>40</v>
      </c>
      <c r="I4818" t="s">
        <v>2188</v>
      </c>
      <c r="J4818" s="10">
        <v>9.33</v>
      </c>
      <c r="K4818" t="b">
        <v>1</v>
      </c>
    </row>
    <row r="4819" spans="1:11">
      <c r="A4819" s="12">
        <v>42243</v>
      </c>
      <c r="B4819">
        <v>2015</v>
      </c>
      <c r="C4819">
        <v>8</v>
      </c>
      <c r="D4819" s="11">
        <v>42217</v>
      </c>
      <c r="E4819" t="s">
        <v>2180</v>
      </c>
      <c r="F4819">
        <v>4</v>
      </c>
      <c r="G4819" t="s">
        <v>53</v>
      </c>
      <c r="H4819" t="s">
        <v>41</v>
      </c>
      <c r="I4819" t="s">
        <v>2189</v>
      </c>
      <c r="J4819" s="10">
        <v>3</v>
      </c>
      <c r="K4819" t="b">
        <v>1</v>
      </c>
    </row>
    <row r="4820" spans="1:11">
      <c r="A4820" s="12">
        <v>42243</v>
      </c>
      <c r="B4820">
        <v>2015</v>
      </c>
      <c r="C4820">
        <v>8</v>
      </c>
      <c r="D4820" s="11">
        <v>42217</v>
      </c>
      <c r="E4820" t="s">
        <v>2180</v>
      </c>
      <c r="F4820">
        <v>4</v>
      </c>
      <c r="G4820" t="s">
        <v>53</v>
      </c>
      <c r="H4820" t="s">
        <v>42</v>
      </c>
      <c r="I4820" t="s">
        <v>2190</v>
      </c>
      <c r="J4820" s="10">
        <v>4.5</v>
      </c>
      <c r="K4820" t="b">
        <v>1</v>
      </c>
    </row>
    <row r="4821" spans="1:11">
      <c r="A4821" s="12">
        <v>42243</v>
      </c>
      <c r="B4821">
        <v>2015</v>
      </c>
      <c r="C4821">
        <v>8</v>
      </c>
      <c r="D4821" s="11">
        <v>42217</v>
      </c>
      <c r="E4821" t="s">
        <v>2180</v>
      </c>
      <c r="F4821">
        <v>4</v>
      </c>
      <c r="G4821" t="s">
        <v>53</v>
      </c>
      <c r="H4821" t="s">
        <v>43</v>
      </c>
      <c r="I4821" t="s">
        <v>2191</v>
      </c>
      <c r="J4821" s="10">
        <v>32</v>
      </c>
      <c r="K4821" t="b">
        <v>1</v>
      </c>
    </row>
    <row r="4822" spans="1:11">
      <c r="A4822" s="12">
        <v>42243</v>
      </c>
      <c r="B4822">
        <v>2015</v>
      </c>
      <c r="C4822">
        <v>8</v>
      </c>
      <c r="D4822" s="11">
        <v>42217</v>
      </c>
      <c r="E4822" t="s">
        <v>2180</v>
      </c>
      <c r="F4822">
        <v>4</v>
      </c>
      <c r="G4822" t="s">
        <v>53</v>
      </c>
      <c r="H4822" t="s">
        <v>44</v>
      </c>
      <c r="I4822" t="s">
        <v>2192</v>
      </c>
      <c r="J4822" s="10">
        <v>8</v>
      </c>
      <c r="K4822" t="b">
        <v>1</v>
      </c>
    </row>
    <row r="4823" spans="1:11">
      <c r="A4823" s="12">
        <v>42243</v>
      </c>
      <c r="B4823">
        <v>2015</v>
      </c>
      <c r="C4823">
        <v>8</v>
      </c>
      <c r="D4823" s="11">
        <v>42217</v>
      </c>
      <c r="E4823" t="s">
        <v>2180</v>
      </c>
      <c r="F4823">
        <v>4</v>
      </c>
      <c r="G4823" t="s">
        <v>53</v>
      </c>
      <c r="H4823" t="s">
        <v>45</v>
      </c>
      <c r="I4823" t="s">
        <v>2193</v>
      </c>
      <c r="J4823" s="10">
        <v>0</v>
      </c>
      <c r="K4823" t="b">
        <v>1</v>
      </c>
    </row>
    <row r="4824" spans="1:11">
      <c r="A4824" s="12">
        <v>42243</v>
      </c>
      <c r="B4824">
        <v>2015</v>
      </c>
      <c r="C4824">
        <v>8</v>
      </c>
      <c r="D4824" s="11">
        <v>42217</v>
      </c>
      <c r="E4824" t="s">
        <v>2180</v>
      </c>
      <c r="F4824">
        <v>4</v>
      </c>
      <c r="G4824" t="s">
        <v>53</v>
      </c>
      <c r="H4824" t="s">
        <v>46</v>
      </c>
      <c r="I4824" t="s">
        <v>2194</v>
      </c>
      <c r="J4824" s="10">
        <v>0</v>
      </c>
      <c r="K4824" t="b">
        <v>1</v>
      </c>
    </row>
    <row r="4825" spans="1:11">
      <c r="A4825" s="12">
        <v>42243</v>
      </c>
      <c r="B4825">
        <v>2015</v>
      </c>
      <c r="C4825">
        <v>8</v>
      </c>
      <c r="D4825" s="11">
        <v>42217</v>
      </c>
      <c r="E4825" t="s">
        <v>2180</v>
      </c>
      <c r="F4825">
        <v>4</v>
      </c>
      <c r="G4825" t="s">
        <v>53</v>
      </c>
      <c r="H4825" t="s">
        <v>47</v>
      </c>
      <c r="I4825" t="s">
        <v>2195</v>
      </c>
      <c r="J4825" s="10">
        <v>3</v>
      </c>
      <c r="K4825" t="b">
        <v>1</v>
      </c>
    </row>
    <row r="4826" spans="1:11">
      <c r="A4826" s="12">
        <v>42244</v>
      </c>
      <c r="B4826">
        <v>2015</v>
      </c>
      <c r="C4826">
        <v>8</v>
      </c>
      <c r="D4826" s="11">
        <v>42217</v>
      </c>
      <c r="E4826" t="s">
        <v>2180</v>
      </c>
      <c r="F4826">
        <v>5</v>
      </c>
      <c r="G4826" t="s">
        <v>55</v>
      </c>
      <c r="H4826" t="s">
        <v>40</v>
      </c>
      <c r="I4826" t="s">
        <v>2188</v>
      </c>
      <c r="J4826" s="10">
        <v>7</v>
      </c>
      <c r="K4826" t="b">
        <v>1</v>
      </c>
    </row>
    <row r="4827" spans="1:11">
      <c r="A4827" s="12">
        <v>42244</v>
      </c>
      <c r="B4827">
        <v>2015</v>
      </c>
      <c r="C4827">
        <v>8</v>
      </c>
      <c r="D4827" s="11">
        <v>42217</v>
      </c>
      <c r="E4827" t="s">
        <v>2180</v>
      </c>
      <c r="F4827">
        <v>5</v>
      </c>
      <c r="G4827" t="s">
        <v>55</v>
      </c>
      <c r="H4827" t="s">
        <v>41</v>
      </c>
      <c r="I4827" t="s">
        <v>2189</v>
      </c>
      <c r="J4827" s="10">
        <v>8.67</v>
      </c>
      <c r="K4827" t="b">
        <v>1</v>
      </c>
    </row>
    <row r="4828" spans="1:11">
      <c r="A4828" s="12">
        <v>42244</v>
      </c>
      <c r="B4828">
        <v>2015</v>
      </c>
      <c r="C4828">
        <v>8</v>
      </c>
      <c r="D4828" s="11">
        <v>42217</v>
      </c>
      <c r="E4828" t="s">
        <v>2180</v>
      </c>
      <c r="F4828">
        <v>5</v>
      </c>
      <c r="G4828" t="s">
        <v>55</v>
      </c>
      <c r="H4828" t="s">
        <v>42</v>
      </c>
      <c r="I4828" t="s">
        <v>2190</v>
      </c>
      <c r="J4828" s="10">
        <v>1</v>
      </c>
      <c r="K4828" t="b">
        <v>1</v>
      </c>
    </row>
    <row r="4829" spans="1:11">
      <c r="A4829" s="12">
        <v>42244</v>
      </c>
      <c r="B4829">
        <v>2015</v>
      </c>
      <c r="C4829">
        <v>8</v>
      </c>
      <c r="D4829" s="11">
        <v>42217</v>
      </c>
      <c r="E4829" t="s">
        <v>2180</v>
      </c>
      <c r="F4829">
        <v>5</v>
      </c>
      <c r="G4829" t="s">
        <v>55</v>
      </c>
      <c r="H4829" t="s">
        <v>43</v>
      </c>
      <c r="I4829" t="s">
        <v>2191</v>
      </c>
      <c r="J4829" s="10">
        <v>15.1</v>
      </c>
      <c r="K4829" t="b">
        <v>1</v>
      </c>
    </row>
    <row r="4830" spans="1:11">
      <c r="A4830" s="12">
        <v>42244</v>
      </c>
      <c r="B4830">
        <v>2015</v>
      </c>
      <c r="C4830">
        <v>8</v>
      </c>
      <c r="D4830" s="11">
        <v>42217</v>
      </c>
      <c r="E4830" t="s">
        <v>2180</v>
      </c>
      <c r="F4830">
        <v>5</v>
      </c>
      <c r="G4830" t="s">
        <v>55</v>
      </c>
      <c r="H4830" t="s">
        <v>44</v>
      </c>
      <c r="I4830" t="s">
        <v>2192</v>
      </c>
      <c r="J4830" s="10">
        <v>12</v>
      </c>
      <c r="K4830" t="b">
        <v>1</v>
      </c>
    </row>
    <row r="4831" spans="1:11">
      <c r="A4831" s="12">
        <v>42244</v>
      </c>
      <c r="B4831">
        <v>2015</v>
      </c>
      <c r="C4831">
        <v>8</v>
      </c>
      <c r="D4831" s="11">
        <v>42217</v>
      </c>
      <c r="E4831" t="s">
        <v>2180</v>
      </c>
      <c r="F4831">
        <v>5</v>
      </c>
      <c r="G4831" t="s">
        <v>55</v>
      </c>
      <c r="H4831" t="s">
        <v>45</v>
      </c>
      <c r="I4831" t="s">
        <v>2193</v>
      </c>
      <c r="J4831" s="10">
        <v>0</v>
      </c>
      <c r="K4831" t="b">
        <v>1</v>
      </c>
    </row>
    <row r="4832" spans="1:11">
      <c r="A4832" s="12">
        <v>42244</v>
      </c>
      <c r="B4832">
        <v>2015</v>
      </c>
      <c r="C4832">
        <v>8</v>
      </c>
      <c r="D4832" s="11">
        <v>42217</v>
      </c>
      <c r="E4832" t="s">
        <v>2180</v>
      </c>
      <c r="F4832">
        <v>5</v>
      </c>
      <c r="G4832" t="s">
        <v>55</v>
      </c>
      <c r="H4832" t="s">
        <v>46</v>
      </c>
      <c r="I4832" t="s">
        <v>2194</v>
      </c>
      <c r="J4832" s="10">
        <v>0</v>
      </c>
      <c r="K4832" t="b">
        <v>1</v>
      </c>
    </row>
    <row r="4833" spans="1:11">
      <c r="A4833" s="12">
        <v>42244</v>
      </c>
      <c r="B4833">
        <v>2015</v>
      </c>
      <c r="C4833">
        <v>8</v>
      </c>
      <c r="D4833" s="11">
        <v>42217</v>
      </c>
      <c r="E4833" t="s">
        <v>2180</v>
      </c>
      <c r="F4833">
        <v>5</v>
      </c>
      <c r="G4833" t="s">
        <v>55</v>
      </c>
      <c r="H4833" t="s">
        <v>47</v>
      </c>
      <c r="I4833" t="s">
        <v>2195</v>
      </c>
      <c r="J4833" s="10">
        <v>3</v>
      </c>
      <c r="K4833" t="b">
        <v>1</v>
      </c>
    </row>
    <row r="4834" spans="1:11">
      <c r="A4834" s="12">
        <v>42245</v>
      </c>
      <c r="B4834">
        <v>2015</v>
      </c>
      <c r="C4834">
        <v>8</v>
      </c>
      <c r="D4834" s="11">
        <v>42217</v>
      </c>
      <c r="E4834" t="s">
        <v>2180</v>
      </c>
      <c r="F4834">
        <v>6</v>
      </c>
      <c r="G4834" t="s">
        <v>57</v>
      </c>
      <c r="H4834" t="s">
        <v>40</v>
      </c>
      <c r="I4834" t="s">
        <v>2188</v>
      </c>
      <c r="J4834" s="10">
        <v>10.84</v>
      </c>
      <c r="K4834" t="b">
        <v>1</v>
      </c>
    </row>
    <row r="4835" spans="1:11">
      <c r="A4835" s="12">
        <v>42245</v>
      </c>
      <c r="B4835">
        <v>2015</v>
      </c>
      <c r="C4835">
        <v>8</v>
      </c>
      <c r="D4835" s="11">
        <v>42217</v>
      </c>
      <c r="E4835" t="s">
        <v>2180</v>
      </c>
      <c r="F4835">
        <v>6</v>
      </c>
      <c r="G4835" t="s">
        <v>57</v>
      </c>
      <c r="H4835" t="s">
        <v>41</v>
      </c>
      <c r="I4835" t="s">
        <v>2189</v>
      </c>
      <c r="J4835" s="10">
        <v>10.34</v>
      </c>
      <c r="K4835" t="b">
        <v>1</v>
      </c>
    </row>
    <row r="4836" spans="1:11">
      <c r="A4836" s="12">
        <v>42245</v>
      </c>
      <c r="B4836">
        <v>2015</v>
      </c>
      <c r="C4836">
        <v>8</v>
      </c>
      <c r="D4836" s="11">
        <v>42217</v>
      </c>
      <c r="E4836" t="s">
        <v>2180</v>
      </c>
      <c r="F4836">
        <v>6</v>
      </c>
      <c r="G4836" t="s">
        <v>57</v>
      </c>
      <c r="H4836" t="s">
        <v>42</v>
      </c>
      <c r="I4836" t="s">
        <v>2190</v>
      </c>
      <c r="J4836" s="10">
        <v>4</v>
      </c>
      <c r="K4836" t="b">
        <v>1</v>
      </c>
    </row>
    <row r="4837" spans="1:11">
      <c r="A4837" s="12">
        <v>42245</v>
      </c>
      <c r="B4837">
        <v>2015</v>
      </c>
      <c r="C4837">
        <v>8</v>
      </c>
      <c r="D4837" s="11">
        <v>42217</v>
      </c>
      <c r="E4837" t="s">
        <v>2180</v>
      </c>
      <c r="F4837">
        <v>6</v>
      </c>
      <c r="G4837" t="s">
        <v>57</v>
      </c>
      <c r="H4837" t="s">
        <v>43</v>
      </c>
      <c r="I4837" t="s">
        <v>2191</v>
      </c>
      <c r="J4837" s="10">
        <v>23.2</v>
      </c>
      <c r="K4837" t="b">
        <v>1</v>
      </c>
    </row>
    <row r="4838" spans="1:11">
      <c r="A4838" s="12">
        <v>42245</v>
      </c>
      <c r="B4838">
        <v>2015</v>
      </c>
      <c r="C4838">
        <v>8</v>
      </c>
      <c r="D4838" s="11">
        <v>42217</v>
      </c>
      <c r="E4838" t="s">
        <v>2180</v>
      </c>
      <c r="F4838">
        <v>6</v>
      </c>
      <c r="G4838" t="s">
        <v>57</v>
      </c>
      <c r="H4838" t="s">
        <v>44</v>
      </c>
      <c r="I4838" t="s">
        <v>2192</v>
      </c>
      <c r="J4838" s="10">
        <v>4</v>
      </c>
      <c r="K4838" t="b">
        <v>1</v>
      </c>
    </row>
    <row r="4839" spans="1:11">
      <c r="A4839" s="12">
        <v>42245</v>
      </c>
      <c r="B4839">
        <v>2015</v>
      </c>
      <c r="C4839">
        <v>8</v>
      </c>
      <c r="D4839" s="11">
        <v>42217</v>
      </c>
      <c r="E4839" t="s">
        <v>2180</v>
      </c>
      <c r="F4839">
        <v>6</v>
      </c>
      <c r="G4839" t="s">
        <v>57</v>
      </c>
      <c r="H4839" t="s">
        <v>45</v>
      </c>
      <c r="I4839" t="s">
        <v>2193</v>
      </c>
      <c r="J4839" s="10">
        <v>3</v>
      </c>
      <c r="K4839" t="b">
        <v>1</v>
      </c>
    </row>
    <row r="4840" spans="1:11">
      <c r="A4840" s="12">
        <v>42245</v>
      </c>
      <c r="B4840">
        <v>2015</v>
      </c>
      <c r="C4840">
        <v>8</v>
      </c>
      <c r="D4840" s="11">
        <v>42217</v>
      </c>
      <c r="E4840" t="s">
        <v>2180</v>
      </c>
      <c r="F4840">
        <v>6</v>
      </c>
      <c r="G4840" t="s">
        <v>57</v>
      </c>
      <c r="H4840" t="s">
        <v>46</v>
      </c>
      <c r="I4840" t="s">
        <v>2194</v>
      </c>
      <c r="J4840" s="10">
        <v>3</v>
      </c>
      <c r="K4840" t="b">
        <v>1</v>
      </c>
    </row>
    <row r="4841" spans="1:11">
      <c r="A4841" s="12">
        <v>42245</v>
      </c>
      <c r="B4841">
        <v>2015</v>
      </c>
      <c r="C4841">
        <v>8</v>
      </c>
      <c r="D4841" s="11">
        <v>42217</v>
      </c>
      <c r="E4841" t="s">
        <v>2180</v>
      </c>
      <c r="F4841">
        <v>6</v>
      </c>
      <c r="G4841" t="s">
        <v>57</v>
      </c>
      <c r="H4841" t="s">
        <v>47</v>
      </c>
      <c r="I4841" t="s">
        <v>2195</v>
      </c>
      <c r="J4841" s="10">
        <v>2</v>
      </c>
      <c r="K4841" t="b">
        <v>1</v>
      </c>
    </row>
    <row r="4842" spans="1:11">
      <c r="A4842" s="12">
        <v>42246</v>
      </c>
      <c r="B4842">
        <v>2015</v>
      </c>
      <c r="C4842">
        <v>8</v>
      </c>
      <c r="D4842" s="11">
        <v>42217</v>
      </c>
      <c r="E4842" t="s">
        <v>2180</v>
      </c>
      <c r="F4842">
        <v>7</v>
      </c>
      <c r="G4842" t="s">
        <v>59</v>
      </c>
      <c r="H4842" t="s">
        <v>40</v>
      </c>
      <c r="I4842" t="s">
        <v>2188</v>
      </c>
      <c r="J4842" s="10">
        <v>11</v>
      </c>
      <c r="K4842" t="b">
        <v>1</v>
      </c>
    </row>
    <row r="4843" spans="1:11">
      <c r="A4843" s="12">
        <v>42246</v>
      </c>
      <c r="B4843">
        <v>2015</v>
      </c>
      <c r="C4843">
        <v>8</v>
      </c>
      <c r="D4843" s="11">
        <v>42217</v>
      </c>
      <c r="E4843" t="s">
        <v>2180</v>
      </c>
      <c r="F4843">
        <v>7</v>
      </c>
      <c r="G4843" t="s">
        <v>59</v>
      </c>
      <c r="H4843" t="s">
        <v>41</v>
      </c>
      <c r="I4843" t="s">
        <v>2189</v>
      </c>
      <c r="J4843" s="10">
        <v>6.02</v>
      </c>
      <c r="K4843" t="b">
        <v>1</v>
      </c>
    </row>
    <row r="4844" spans="1:11">
      <c r="A4844" s="12">
        <v>42246</v>
      </c>
      <c r="B4844">
        <v>2015</v>
      </c>
      <c r="C4844">
        <v>8</v>
      </c>
      <c r="D4844" s="11">
        <v>42217</v>
      </c>
      <c r="E4844" t="s">
        <v>2180</v>
      </c>
      <c r="F4844">
        <v>7</v>
      </c>
      <c r="G4844" t="s">
        <v>59</v>
      </c>
      <c r="H4844" t="s">
        <v>42</v>
      </c>
      <c r="I4844" t="s">
        <v>2190</v>
      </c>
      <c r="J4844" s="10">
        <v>3.5</v>
      </c>
      <c r="K4844" t="b">
        <v>1</v>
      </c>
    </row>
    <row r="4845" spans="1:11">
      <c r="A4845" s="12">
        <v>42246</v>
      </c>
      <c r="B4845">
        <v>2015</v>
      </c>
      <c r="C4845">
        <v>8</v>
      </c>
      <c r="D4845" s="11">
        <v>42217</v>
      </c>
      <c r="E4845" t="s">
        <v>2180</v>
      </c>
      <c r="F4845">
        <v>7</v>
      </c>
      <c r="G4845" t="s">
        <v>59</v>
      </c>
      <c r="H4845" t="s">
        <v>43</v>
      </c>
      <c r="I4845" t="s">
        <v>2191</v>
      </c>
      <c r="J4845" s="10">
        <v>21</v>
      </c>
      <c r="K4845" t="b">
        <v>1</v>
      </c>
    </row>
    <row r="4846" spans="1:11">
      <c r="A4846" s="12">
        <v>42246</v>
      </c>
      <c r="B4846">
        <v>2015</v>
      </c>
      <c r="C4846">
        <v>8</v>
      </c>
      <c r="D4846" s="11">
        <v>42217</v>
      </c>
      <c r="E4846" t="s">
        <v>2180</v>
      </c>
      <c r="F4846">
        <v>7</v>
      </c>
      <c r="G4846" t="s">
        <v>59</v>
      </c>
      <c r="H4846" t="s">
        <v>44</v>
      </c>
      <c r="I4846" t="s">
        <v>2192</v>
      </c>
      <c r="J4846" s="10">
        <v>3</v>
      </c>
      <c r="K4846" t="b">
        <v>1</v>
      </c>
    </row>
    <row r="4847" spans="1:11">
      <c r="A4847" s="12">
        <v>42246</v>
      </c>
      <c r="B4847">
        <v>2015</v>
      </c>
      <c r="C4847">
        <v>8</v>
      </c>
      <c r="D4847" s="11">
        <v>42217</v>
      </c>
      <c r="E4847" t="s">
        <v>2180</v>
      </c>
      <c r="F4847">
        <v>7</v>
      </c>
      <c r="G4847" t="s">
        <v>59</v>
      </c>
      <c r="H4847" t="s">
        <v>45</v>
      </c>
      <c r="I4847" t="s">
        <v>2193</v>
      </c>
      <c r="J4847" s="10">
        <v>0</v>
      </c>
      <c r="K4847" t="b">
        <v>1</v>
      </c>
    </row>
    <row r="4848" spans="1:11">
      <c r="A4848" s="12">
        <v>42246</v>
      </c>
      <c r="B4848">
        <v>2015</v>
      </c>
      <c r="C4848">
        <v>8</v>
      </c>
      <c r="D4848" s="11">
        <v>42217</v>
      </c>
      <c r="E4848" t="s">
        <v>2180</v>
      </c>
      <c r="F4848">
        <v>7</v>
      </c>
      <c r="G4848" t="s">
        <v>59</v>
      </c>
      <c r="H4848" t="s">
        <v>46</v>
      </c>
      <c r="I4848" t="s">
        <v>2194</v>
      </c>
      <c r="J4848" s="10">
        <v>6</v>
      </c>
      <c r="K4848" t="b">
        <v>1</v>
      </c>
    </row>
    <row r="4849" spans="1:11">
      <c r="A4849" s="12">
        <v>42246</v>
      </c>
      <c r="B4849">
        <v>2015</v>
      </c>
      <c r="C4849">
        <v>8</v>
      </c>
      <c r="D4849" s="11">
        <v>42217</v>
      </c>
      <c r="E4849" t="s">
        <v>2180</v>
      </c>
      <c r="F4849">
        <v>7</v>
      </c>
      <c r="G4849" t="s">
        <v>59</v>
      </c>
      <c r="H4849" t="s">
        <v>47</v>
      </c>
      <c r="I4849" t="s">
        <v>2195</v>
      </c>
      <c r="J4849" s="10">
        <v>4</v>
      </c>
      <c r="K4849" t="b">
        <v>1</v>
      </c>
    </row>
    <row r="4850" spans="1:11">
      <c r="A4850" s="12">
        <v>42247</v>
      </c>
      <c r="B4850">
        <v>2015</v>
      </c>
      <c r="C4850">
        <v>8</v>
      </c>
      <c r="D4850" s="11">
        <v>42217</v>
      </c>
      <c r="E4850" t="s">
        <v>2180</v>
      </c>
      <c r="F4850">
        <v>1</v>
      </c>
      <c r="G4850" t="s">
        <v>61</v>
      </c>
      <c r="H4850" t="s">
        <v>40</v>
      </c>
      <c r="I4850" t="s">
        <v>2188</v>
      </c>
      <c r="J4850" s="10">
        <v>4</v>
      </c>
      <c r="K4850" t="b">
        <v>1</v>
      </c>
    </row>
    <row r="4851" spans="1:11">
      <c r="A4851" s="12">
        <v>42247</v>
      </c>
      <c r="B4851">
        <v>2015</v>
      </c>
      <c r="C4851">
        <v>8</v>
      </c>
      <c r="D4851" s="11">
        <v>42217</v>
      </c>
      <c r="E4851" t="s">
        <v>2180</v>
      </c>
      <c r="F4851">
        <v>1</v>
      </c>
      <c r="G4851" t="s">
        <v>61</v>
      </c>
      <c r="H4851" t="s">
        <v>41</v>
      </c>
      <c r="I4851" t="s">
        <v>2189</v>
      </c>
      <c r="J4851" s="10">
        <v>9.34</v>
      </c>
      <c r="K4851" t="b">
        <v>1</v>
      </c>
    </row>
    <row r="4852" spans="1:11">
      <c r="A4852" s="12">
        <v>42247</v>
      </c>
      <c r="B4852">
        <v>2015</v>
      </c>
      <c r="C4852">
        <v>8</v>
      </c>
      <c r="D4852" s="11">
        <v>42217</v>
      </c>
      <c r="E4852" t="s">
        <v>2180</v>
      </c>
      <c r="F4852">
        <v>1</v>
      </c>
      <c r="G4852" t="s">
        <v>61</v>
      </c>
      <c r="H4852" t="s">
        <v>42</v>
      </c>
      <c r="I4852" t="s">
        <v>2190</v>
      </c>
      <c r="J4852" s="10">
        <v>3.4</v>
      </c>
      <c r="K4852" t="b">
        <v>1</v>
      </c>
    </row>
    <row r="4853" spans="1:11">
      <c r="A4853" s="12">
        <v>42247</v>
      </c>
      <c r="B4853">
        <v>2015</v>
      </c>
      <c r="C4853">
        <v>8</v>
      </c>
      <c r="D4853" s="11">
        <v>42217</v>
      </c>
      <c r="E4853" t="s">
        <v>2180</v>
      </c>
      <c r="F4853">
        <v>1</v>
      </c>
      <c r="G4853" t="s">
        <v>61</v>
      </c>
      <c r="H4853" t="s">
        <v>43</v>
      </c>
      <c r="I4853" t="s">
        <v>2191</v>
      </c>
      <c r="J4853" s="10">
        <v>38</v>
      </c>
      <c r="K4853" t="b">
        <v>1</v>
      </c>
    </row>
    <row r="4854" spans="1:11">
      <c r="A4854" s="12">
        <v>42247</v>
      </c>
      <c r="B4854">
        <v>2015</v>
      </c>
      <c r="C4854">
        <v>8</v>
      </c>
      <c r="D4854" s="11">
        <v>42217</v>
      </c>
      <c r="E4854" t="s">
        <v>2180</v>
      </c>
      <c r="F4854">
        <v>1</v>
      </c>
      <c r="G4854" t="s">
        <v>61</v>
      </c>
      <c r="H4854" t="s">
        <v>44</v>
      </c>
      <c r="I4854" t="s">
        <v>2192</v>
      </c>
      <c r="J4854" s="10">
        <v>9.5</v>
      </c>
      <c r="K4854" t="b">
        <v>1</v>
      </c>
    </row>
    <row r="4855" spans="1:11">
      <c r="A4855" s="12">
        <v>42247</v>
      </c>
      <c r="B4855">
        <v>2015</v>
      </c>
      <c r="C4855">
        <v>8</v>
      </c>
      <c r="D4855" s="11">
        <v>42217</v>
      </c>
      <c r="E4855" t="s">
        <v>2180</v>
      </c>
      <c r="F4855">
        <v>1</v>
      </c>
      <c r="G4855" t="s">
        <v>61</v>
      </c>
      <c r="H4855" t="s">
        <v>45</v>
      </c>
      <c r="I4855" t="s">
        <v>2193</v>
      </c>
      <c r="J4855" s="10">
        <v>0</v>
      </c>
      <c r="K4855" t="b">
        <v>1</v>
      </c>
    </row>
    <row r="4856" spans="1:11">
      <c r="A4856" s="12">
        <v>42247</v>
      </c>
      <c r="B4856">
        <v>2015</v>
      </c>
      <c r="C4856">
        <v>8</v>
      </c>
      <c r="D4856" s="11">
        <v>42217</v>
      </c>
      <c r="E4856" t="s">
        <v>2180</v>
      </c>
      <c r="F4856">
        <v>1</v>
      </c>
      <c r="G4856" t="s">
        <v>61</v>
      </c>
      <c r="H4856" t="s">
        <v>46</v>
      </c>
      <c r="I4856" t="s">
        <v>2194</v>
      </c>
      <c r="J4856" s="10">
        <v>6</v>
      </c>
      <c r="K4856" t="b">
        <v>1</v>
      </c>
    </row>
    <row r="4857" spans="1:11">
      <c r="A4857" s="12">
        <v>42247</v>
      </c>
      <c r="B4857">
        <v>2015</v>
      </c>
      <c r="C4857">
        <v>8</v>
      </c>
      <c r="D4857" s="11">
        <v>42217</v>
      </c>
      <c r="E4857" t="s">
        <v>2180</v>
      </c>
      <c r="F4857">
        <v>1</v>
      </c>
      <c r="G4857" t="s">
        <v>61</v>
      </c>
      <c r="H4857" t="s">
        <v>47</v>
      </c>
      <c r="I4857" t="s">
        <v>2195</v>
      </c>
      <c r="J4857" s="10">
        <v>2</v>
      </c>
      <c r="K4857" t="b">
        <v>1</v>
      </c>
    </row>
    <row r="4858" spans="1:11">
      <c r="A4858" s="12">
        <v>42248</v>
      </c>
      <c r="B4858">
        <v>2015</v>
      </c>
      <c r="C4858">
        <v>9</v>
      </c>
      <c r="D4858" s="11">
        <v>42248</v>
      </c>
      <c r="E4858" t="s">
        <v>2181</v>
      </c>
      <c r="F4858">
        <v>2</v>
      </c>
      <c r="G4858" t="s">
        <v>63</v>
      </c>
      <c r="H4858" t="s">
        <v>40</v>
      </c>
      <c r="I4858" t="s">
        <v>2188</v>
      </c>
      <c r="J4858" s="10">
        <v>8.18</v>
      </c>
      <c r="K4858" t="b">
        <v>1</v>
      </c>
    </row>
    <row r="4859" spans="1:11">
      <c r="A4859" s="12">
        <v>42248</v>
      </c>
      <c r="B4859">
        <v>2015</v>
      </c>
      <c r="C4859">
        <v>9</v>
      </c>
      <c r="D4859" s="11">
        <v>42248</v>
      </c>
      <c r="E4859" t="s">
        <v>2181</v>
      </c>
      <c r="F4859">
        <v>2</v>
      </c>
      <c r="G4859" t="s">
        <v>63</v>
      </c>
      <c r="H4859" t="s">
        <v>41</v>
      </c>
      <c r="I4859" t="s">
        <v>2189</v>
      </c>
      <c r="J4859" s="10">
        <v>2.84</v>
      </c>
      <c r="K4859" t="b">
        <v>1</v>
      </c>
    </row>
    <row r="4860" spans="1:11">
      <c r="A4860" s="12">
        <v>42248</v>
      </c>
      <c r="B4860">
        <v>2015</v>
      </c>
      <c r="C4860">
        <v>9</v>
      </c>
      <c r="D4860" s="11">
        <v>42248</v>
      </c>
      <c r="E4860" t="s">
        <v>2181</v>
      </c>
      <c r="F4860">
        <v>2</v>
      </c>
      <c r="G4860" t="s">
        <v>63</v>
      </c>
      <c r="H4860" t="s">
        <v>42</v>
      </c>
      <c r="I4860" t="s">
        <v>2190</v>
      </c>
      <c r="J4860" s="10">
        <v>4.4</v>
      </c>
      <c r="K4860" t="b">
        <v>1</v>
      </c>
    </row>
    <row r="4861" spans="1:11">
      <c r="A4861" s="12">
        <v>42248</v>
      </c>
      <c r="B4861">
        <v>2015</v>
      </c>
      <c r="C4861">
        <v>9</v>
      </c>
      <c r="D4861" s="11">
        <v>42248</v>
      </c>
      <c r="E4861" t="s">
        <v>2181</v>
      </c>
      <c r="F4861">
        <v>2</v>
      </c>
      <c r="G4861" t="s">
        <v>63</v>
      </c>
      <c r="H4861" t="s">
        <v>43</v>
      </c>
      <c r="I4861" t="s">
        <v>2191</v>
      </c>
      <c r="J4861" s="10">
        <v>28.25</v>
      </c>
      <c r="K4861" t="b">
        <v>1</v>
      </c>
    </row>
    <row r="4862" spans="1:11">
      <c r="A4862" s="12">
        <v>42248</v>
      </c>
      <c r="B4862">
        <v>2015</v>
      </c>
      <c r="C4862">
        <v>9</v>
      </c>
      <c r="D4862" s="11">
        <v>42248</v>
      </c>
      <c r="E4862" t="s">
        <v>2181</v>
      </c>
      <c r="F4862">
        <v>2</v>
      </c>
      <c r="G4862" t="s">
        <v>63</v>
      </c>
      <c r="H4862" t="s">
        <v>44</v>
      </c>
      <c r="I4862" t="s">
        <v>2192</v>
      </c>
      <c r="J4862" s="10">
        <v>8</v>
      </c>
      <c r="K4862" t="b">
        <v>1</v>
      </c>
    </row>
    <row r="4863" spans="1:11">
      <c r="A4863" s="12">
        <v>42248</v>
      </c>
      <c r="B4863">
        <v>2015</v>
      </c>
      <c r="C4863">
        <v>9</v>
      </c>
      <c r="D4863" s="11">
        <v>42248</v>
      </c>
      <c r="E4863" t="s">
        <v>2181</v>
      </c>
      <c r="F4863">
        <v>2</v>
      </c>
      <c r="G4863" t="s">
        <v>63</v>
      </c>
      <c r="H4863" t="s">
        <v>45</v>
      </c>
      <c r="I4863" t="s">
        <v>2193</v>
      </c>
      <c r="J4863" s="10">
        <v>0</v>
      </c>
      <c r="K4863" t="b">
        <v>1</v>
      </c>
    </row>
    <row r="4864" spans="1:11">
      <c r="A4864" s="12">
        <v>42248</v>
      </c>
      <c r="B4864">
        <v>2015</v>
      </c>
      <c r="C4864">
        <v>9</v>
      </c>
      <c r="D4864" s="11">
        <v>42248</v>
      </c>
      <c r="E4864" t="s">
        <v>2181</v>
      </c>
      <c r="F4864">
        <v>2</v>
      </c>
      <c r="G4864" t="s">
        <v>63</v>
      </c>
      <c r="H4864" t="s">
        <v>46</v>
      </c>
      <c r="I4864" t="s">
        <v>2194</v>
      </c>
      <c r="J4864" s="10">
        <v>0</v>
      </c>
      <c r="K4864" t="b">
        <v>1</v>
      </c>
    </row>
    <row r="4865" spans="1:11">
      <c r="A4865" s="12">
        <v>42248</v>
      </c>
      <c r="B4865">
        <v>2015</v>
      </c>
      <c r="C4865">
        <v>9</v>
      </c>
      <c r="D4865" s="11">
        <v>42248</v>
      </c>
      <c r="E4865" t="s">
        <v>2181</v>
      </c>
      <c r="F4865">
        <v>2</v>
      </c>
      <c r="G4865" t="s">
        <v>63</v>
      </c>
      <c r="H4865" t="s">
        <v>47</v>
      </c>
      <c r="I4865" t="s">
        <v>2195</v>
      </c>
      <c r="J4865" s="10">
        <v>3</v>
      </c>
      <c r="K4865" t="b">
        <v>1</v>
      </c>
    </row>
    <row r="4866" spans="1:11">
      <c r="A4866" s="12">
        <v>42249</v>
      </c>
      <c r="B4866">
        <v>2015</v>
      </c>
      <c r="C4866">
        <v>9</v>
      </c>
      <c r="D4866" s="11">
        <v>42248</v>
      </c>
      <c r="E4866" t="s">
        <v>2181</v>
      </c>
      <c r="F4866">
        <v>3</v>
      </c>
      <c r="G4866" t="s">
        <v>65</v>
      </c>
      <c r="H4866" t="s">
        <v>40</v>
      </c>
      <c r="I4866" t="s">
        <v>2188</v>
      </c>
      <c r="J4866" s="10">
        <v>5.33</v>
      </c>
      <c r="K4866" t="b">
        <v>1</v>
      </c>
    </row>
    <row r="4867" spans="1:11">
      <c r="A4867" s="12">
        <v>42249</v>
      </c>
      <c r="B4867">
        <v>2015</v>
      </c>
      <c r="C4867">
        <v>9</v>
      </c>
      <c r="D4867" s="11">
        <v>42248</v>
      </c>
      <c r="E4867" t="s">
        <v>2181</v>
      </c>
      <c r="F4867">
        <v>3</v>
      </c>
      <c r="G4867" t="s">
        <v>65</v>
      </c>
      <c r="H4867" t="s">
        <v>41</v>
      </c>
      <c r="I4867" t="s">
        <v>2189</v>
      </c>
      <c r="J4867" s="10">
        <v>7</v>
      </c>
      <c r="K4867" t="b">
        <v>1</v>
      </c>
    </row>
    <row r="4868" spans="1:11">
      <c r="A4868" s="12">
        <v>42249</v>
      </c>
      <c r="B4868">
        <v>2015</v>
      </c>
      <c r="C4868">
        <v>9</v>
      </c>
      <c r="D4868" s="11">
        <v>42248</v>
      </c>
      <c r="E4868" t="s">
        <v>2181</v>
      </c>
      <c r="F4868">
        <v>3</v>
      </c>
      <c r="G4868" t="s">
        <v>65</v>
      </c>
      <c r="H4868" t="s">
        <v>42</v>
      </c>
      <c r="I4868" t="s">
        <v>2190</v>
      </c>
      <c r="J4868" s="10">
        <v>3</v>
      </c>
      <c r="K4868" t="b">
        <v>1</v>
      </c>
    </row>
    <row r="4869" spans="1:11">
      <c r="A4869" s="12">
        <v>42249</v>
      </c>
      <c r="B4869">
        <v>2015</v>
      </c>
      <c r="C4869">
        <v>9</v>
      </c>
      <c r="D4869" s="11">
        <v>42248</v>
      </c>
      <c r="E4869" t="s">
        <v>2181</v>
      </c>
      <c r="F4869">
        <v>3</v>
      </c>
      <c r="G4869" t="s">
        <v>65</v>
      </c>
      <c r="H4869" t="s">
        <v>43</v>
      </c>
      <c r="I4869" t="s">
        <v>2191</v>
      </c>
      <c r="J4869" s="10">
        <v>31.3</v>
      </c>
      <c r="K4869" t="b">
        <v>1</v>
      </c>
    </row>
    <row r="4870" spans="1:11">
      <c r="A4870" s="12">
        <v>42249</v>
      </c>
      <c r="B4870">
        <v>2015</v>
      </c>
      <c r="C4870">
        <v>9</v>
      </c>
      <c r="D4870" s="11">
        <v>42248</v>
      </c>
      <c r="E4870" t="s">
        <v>2181</v>
      </c>
      <c r="F4870">
        <v>3</v>
      </c>
      <c r="G4870" t="s">
        <v>65</v>
      </c>
      <c r="H4870" t="s">
        <v>44</v>
      </c>
      <c r="I4870" t="s">
        <v>2192</v>
      </c>
      <c r="J4870" s="10">
        <v>9.5</v>
      </c>
      <c r="K4870" t="b">
        <v>1</v>
      </c>
    </row>
    <row r="4871" spans="1:11">
      <c r="A4871" s="12">
        <v>42249</v>
      </c>
      <c r="B4871">
        <v>2015</v>
      </c>
      <c r="C4871">
        <v>9</v>
      </c>
      <c r="D4871" s="11">
        <v>42248</v>
      </c>
      <c r="E4871" t="s">
        <v>2181</v>
      </c>
      <c r="F4871">
        <v>3</v>
      </c>
      <c r="G4871" t="s">
        <v>65</v>
      </c>
      <c r="H4871" t="s">
        <v>45</v>
      </c>
      <c r="I4871" t="s">
        <v>2193</v>
      </c>
      <c r="J4871" s="10">
        <v>0</v>
      </c>
      <c r="K4871" t="b">
        <v>1</v>
      </c>
    </row>
    <row r="4872" spans="1:11">
      <c r="A4872" s="12">
        <v>42249</v>
      </c>
      <c r="B4872">
        <v>2015</v>
      </c>
      <c r="C4872">
        <v>9</v>
      </c>
      <c r="D4872" s="11">
        <v>42248</v>
      </c>
      <c r="E4872" t="s">
        <v>2181</v>
      </c>
      <c r="F4872">
        <v>3</v>
      </c>
      <c r="G4872" t="s">
        <v>65</v>
      </c>
      <c r="H4872" t="s">
        <v>46</v>
      </c>
      <c r="I4872" t="s">
        <v>2194</v>
      </c>
      <c r="J4872" s="10">
        <v>5</v>
      </c>
      <c r="K4872" t="b">
        <v>1</v>
      </c>
    </row>
    <row r="4873" spans="1:11">
      <c r="A4873" s="12">
        <v>42249</v>
      </c>
      <c r="B4873">
        <v>2015</v>
      </c>
      <c r="C4873">
        <v>9</v>
      </c>
      <c r="D4873" s="11">
        <v>42248</v>
      </c>
      <c r="E4873" t="s">
        <v>2181</v>
      </c>
      <c r="F4873">
        <v>3</v>
      </c>
      <c r="G4873" t="s">
        <v>65</v>
      </c>
      <c r="H4873" t="s">
        <v>47</v>
      </c>
      <c r="I4873" t="s">
        <v>2195</v>
      </c>
      <c r="J4873" s="10">
        <v>5</v>
      </c>
      <c r="K4873" t="b">
        <v>1</v>
      </c>
    </row>
    <row r="4874" spans="1:11">
      <c r="A4874" s="12">
        <v>42250</v>
      </c>
      <c r="B4874">
        <v>2015</v>
      </c>
      <c r="C4874">
        <v>9</v>
      </c>
      <c r="D4874" s="11">
        <v>42248</v>
      </c>
      <c r="E4874" t="s">
        <v>2181</v>
      </c>
      <c r="F4874">
        <v>4</v>
      </c>
      <c r="G4874" t="s">
        <v>53</v>
      </c>
      <c r="H4874" t="s">
        <v>40</v>
      </c>
      <c r="I4874" t="s">
        <v>2188</v>
      </c>
      <c r="J4874" s="10">
        <v>1.34</v>
      </c>
      <c r="K4874" t="b">
        <v>1</v>
      </c>
    </row>
    <row r="4875" spans="1:11">
      <c r="A4875" s="12">
        <v>42250</v>
      </c>
      <c r="B4875">
        <v>2015</v>
      </c>
      <c r="C4875">
        <v>9</v>
      </c>
      <c r="D4875" s="11">
        <v>42248</v>
      </c>
      <c r="E4875" t="s">
        <v>2181</v>
      </c>
      <c r="F4875">
        <v>4</v>
      </c>
      <c r="G4875" t="s">
        <v>53</v>
      </c>
      <c r="H4875" t="s">
        <v>41</v>
      </c>
      <c r="I4875" t="s">
        <v>2189</v>
      </c>
      <c r="J4875" s="10">
        <v>3.68</v>
      </c>
      <c r="K4875" t="b">
        <v>1</v>
      </c>
    </row>
    <row r="4876" spans="1:11">
      <c r="A4876" s="12">
        <v>42250</v>
      </c>
      <c r="B4876">
        <v>2015</v>
      </c>
      <c r="C4876">
        <v>9</v>
      </c>
      <c r="D4876" s="11">
        <v>42248</v>
      </c>
      <c r="E4876" t="s">
        <v>2181</v>
      </c>
      <c r="F4876">
        <v>4</v>
      </c>
      <c r="G4876" t="s">
        <v>53</v>
      </c>
      <c r="H4876" t="s">
        <v>42</v>
      </c>
      <c r="I4876" t="s">
        <v>2190</v>
      </c>
      <c r="J4876" s="10">
        <v>2.2</v>
      </c>
      <c r="K4876" t="b">
        <v>1</v>
      </c>
    </row>
    <row r="4877" spans="1:11">
      <c r="A4877" s="12">
        <v>42250</v>
      </c>
      <c r="B4877">
        <v>2015</v>
      </c>
      <c r="C4877">
        <v>9</v>
      </c>
      <c r="D4877" s="11">
        <v>42248</v>
      </c>
      <c r="E4877" t="s">
        <v>2181</v>
      </c>
      <c r="F4877">
        <v>4</v>
      </c>
      <c r="G4877" t="s">
        <v>53</v>
      </c>
      <c r="H4877" t="s">
        <v>43</v>
      </c>
      <c r="I4877" t="s">
        <v>2191</v>
      </c>
      <c r="J4877" s="10">
        <v>19</v>
      </c>
      <c r="K4877" t="b">
        <v>1</v>
      </c>
    </row>
    <row r="4878" spans="1:11">
      <c r="A4878" s="12">
        <v>42250</v>
      </c>
      <c r="B4878">
        <v>2015</v>
      </c>
      <c r="C4878">
        <v>9</v>
      </c>
      <c r="D4878" s="11">
        <v>42248</v>
      </c>
      <c r="E4878" t="s">
        <v>2181</v>
      </c>
      <c r="F4878">
        <v>4</v>
      </c>
      <c r="G4878" t="s">
        <v>53</v>
      </c>
      <c r="H4878" t="s">
        <v>44</v>
      </c>
      <c r="I4878" t="s">
        <v>2192</v>
      </c>
      <c r="J4878" s="10">
        <v>13</v>
      </c>
      <c r="K4878" t="b">
        <v>1</v>
      </c>
    </row>
    <row r="4879" spans="1:11">
      <c r="A4879" s="12">
        <v>42250</v>
      </c>
      <c r="B4879">
        <v>2015</v>
      </c>
      <c r="C4879">
        <v>9</v>
      </c>
      <c r="D4879" s="11">
        <v>42248</v>
      </c>
      <c r="E4879" t="s">
        <v>2181</v>
      </c>
      <c r="F4879">
        <v>4</v>
      </c>
      <c r="G4879" t="s">
        <v>53</v>
      </c>
      <c r="H4879" t="s">
        <v>45</v>
      </c>
      <c r="I4879" t="s">
        <v>2193</v>
      </c>
      <c r="J4879" s="10">
        <v>0</v>
      </c>
      <c r="K4879" t="b">
        <v>1</v>
      </c>
    </row>
    <row r="4880" spans="1:11">
      <c r="A4880" s="12">
        <v>42250</v>
      </c>
      <c r="B4880">
        <v>2015</v>
      </c>
      <c r="C4880">
        <v>9</v>
      </c>
      <c r="D4880" s="11">
        <v>42248</v>
      </c>
      <c r="E4880" t="s">
        <v>2181</v>
      </c>
      <c r="F4880">
        <v>4</v>
      </c>
      <c r="G4880" t="s">
        <v>53</v>
      </c>
      <c r="H4880" t="s">
        <v>46</v>
      </c>
      <c r="I4880" t="s">
        <v>2194</v>
      </c>
      <c r="J4880" s="10">
        <v>4</v>
      </c>
      <c r="K4880" t="b">
        <v>1</v>
      </c>
    </row>
    <row r="4881" spans="1:11">
      <c r="A4881" s="12">
        <v>42250</v>
      </c>
      <c r="B4881">
        <v>2015</v>
      </c>
      <c r="C4881">
        <v>9</v>
      </c>
      <c r="D4881" s="11">
        <v>42248</v>
      </c>
      <c r="E4881" t="s">
        <v>2181</v>
      </c>
      <c r="F4881">
        <v>4</v>
      </c>
      <c r="G4881" t="s">
        <v>53</v>
      </c>
      <c r="H4881" t="s">
        <v>47</v>
      </c>
      <c r="I4881" t="s">
        <v>2195</v>
      </c>
      <c r="J4881" s="10">
        <v>2</v>
      </c>
      <c r="K4881" t="b">
        <v>1</v>
      </c>
    </row>
    <row r="4882" spans="1:11">
      <c r="A4882" s="12">
        <v>42251</v>
      </c>
      <c r="B4882">
        <v>2015</v>
      </c>
      <c r="C4882">
        <v>9</v>
      </c>
      <c r="D4882" s="11">
        <v>42248</v>
      </c>
      <c r="E4882" t="s">
        <v>2181</v>
      </c>
      <c r="F4882">
        <v>5</v>
      </c>
      <c r="G4882" t="s">
        <v>55</v>
      </c>
      <c r="H4882" t="s">
        <v>40</v>
      </c>
      <c r="I4882" t="s">
        <v>2188</v>
      </c>
      <c r="J4882" s="10">
        <v>3.34</v>
      </c>
      <c r="K4882" t="b">
        <v>1</v>
      </c>
    </row>
    <row r="4883" spans="1:11">
      <c r="A4883" s="12">
        <v>42251</v>
      </c>
      <c r="B4883">
        <v>2015</v>
      </c>
      <c r="C4883">
        <v>9</v>
      </c>
      <c r="D4883" s="11">
        <v>42248</v>
      </c>
      <c r="E4883" t="s">
        <v>2181</v>
      </c>
      <c r="F4883">
        <v>5</v>
      </c>
      <c r="G4883" t="s">
        <v>55</v>
      </c>
      <c r="H4883" t="s">
        <v>41</v>
      </c>
      <c r="I4883" t="s">
        <v>2189</v>
      </c>
      <c r="J4883" s="10">
        <v>2.68</v>
      </c>
      <c r="K4883" t="b">
        <v>1</v>
      </c>
    </row>
    <row r="4884" spans="1:11">
      <c r="A4884" s="12">
        <v>42251</v>
      </c>
      <c r="B4884">
        <v>2015</v>
      </c>
      <c r="C4884">
        <v>9</v>
      </c>
      <c r="D4884" s="11">
        <v>42248</v>
      </c>
      <c r="E4884" t="s">
        <v>2181</v>
      </c>
      <c r="F4884">
        <v>5</v>
      </c>
      <c r="G4884" t="s">
        <v>55</v>
      </c>
      <c r="H4884" t="s">
        <v>42</v>
      </c>
      <c r="I4884" t="s">
        <v>2190</v>
      </c>
      <c r="J4884" s="10">
        <v>3.1</v>
      </c>
      <c r="K4884" t="b">
        <v>1</v>
      </c>
    </row>
    <row r="4885" spans="1:11">
      <c r="A4885" s="12">
        <v>42251</v>
      </c>
      <c r="B4885">
        <v>2015</v>
      </c>
      <c r="C4885">
        <v>9</v>
      </c>
      <c r="D4885" s="11">
        <v>42248</v>
      </c>
      <c r="E4885" t="s">
        <v>2181</v>
      </c>
      <c r="F4885">
        <v>5</v>
      </c>
      <c r="G4885" t="s">
        <v>55</v>
      </c>
      <c r="H4885" t="s">
        <v>43</v>
      </c>
      <c r="I4885" t="s">
        <v>2191</v>
      </c>
      <c r="J4885" s="10">
        <v>20</v>
      </c>
      <c r="K4885" t="b">
        <v>1</v>
      </c>
    </row>
    <row r="4886" spans="1:11">
      <c r="A4886" s="12">
        <v>42251</v>
      </c>
      <c r="B4886">
        <v>2015</v>
      </c>
      <c r="C4886">
        <v>9</v>
      </c>
      <c r="D4886" s="11">
        <v>42248</v>
      </c>
      <c r="E4886" t="s">
        <v>2181</v>
      </c>
      <c r="F4886">
        <v>5</v>
      </c>
      <c r="G4886" t="s">
        <v>55</v>
      </c>
      <c r="H4886" t="s">
        <v>44</v>
      </c>
      <c r="I4886" t="s">
        <v>2192</v>
      </c>
      <c r="J4886" s="10">
        <v>8</v>
      </c>
      <c r="K4886" t="b">
        <v>1</v>
      </c>
    </row>
    <row r="4887" spans="1:11">
      <c r="A4887" s="12">
        <v>42251</v>
      </c>
      <c r="B4887">
        <v>2015</v>
      </c>
      <c r="C4887">
        <v>9</v>
      </c>
      <c r="D4887" s="11">
        <v>42248</v>
      </c>
      <c r="E4887" t="s">
        <v>2181</v>
      </c>
      <c r="F4887">
        <v>5</v>
      </c>
      <c r="G4887" t="s">
        <v>55</v>
      </c>
      <c r="H4887" t="s">
        <v>45</v>
      </c>
      <c r="I4887" t="s">
        <v>2193</v>
      </c>
      <c r="J4887" s="10">
        <v>1</v>
      </c>
      <c r="K4887" t="b">
        <v>1</v>
      </c>
    </row>
    <row r="4888" spans="1:11">
      <c r="A4888" s="12">
        <v>42251</v>
      </c>
      <c r="B4888">
        <v>2015</v>
      </c>
      <c r="C4888">
        <v>9</v>
      </c>
      <c r="D4888" s="11">
        <v>42248</v>
      </c>
      <c r="E4888" t="s">
        <v>2181</v>
      </c>
      <c r="F4888">
        <v>5</v>
      </c>
      <c r="G4888" t="s">
        <v>55</v>
      </c>
      <c r="H4888" t="s">
        <v>46</v>
      </c>
      <c r="I4888" t="s">
        <v>2194</v>
      </c>
      <c r="J4888" s="10">
        <v>1</v>
      </c>
      <c r="K4888" t="b">
        <v>1</v>
      </c>
    </row>
    <row r="4889" spans="1:11">
      <c r="A4889" s="12">
        <v>42251</v>
      </c>
      <c r="B4889">
        <v>2015</v>
      </c>
      <c r="C4889">
        <v>9</v>
      </c>
      <c r="D4889" s="11">
        <v>42248</v>
      </c>
      <c r="E4889" t="s">
        <v>2181</v>
      </c>
      <c r="F4889">
        <v>5</v>
      </c>
      <c r="G4889" t="s">
        <v>55</v>
      </c>
      <c r="H4889" t="s">
        <v>47</v>
      </c>
      <c r="I4889" t="s">
        <v>2195</v>
      </c>
      <c r="J4889" s="10">
        <v>2</v>
      </c>
      <c r="K4889" t="b">
        <v>1</v>
      </c>
    </row>
    <row r="4890" spans="1:11">
      <c r="A4890" s="12">
        <v>42252</v>
      </c>
      <c r="B4890">
        <v>2015</v>
      </c>
      <c r="C4890">
        <v>9</v>
      </c>
      <c r="D4890" s="11">
        <v>42248</v>
      </c>
      <c r="E4890" t="s">
        <v>2181</v>
      </c>
      <c r="F4890">
        <v>6</v>
      </c>
      <c r="G4890" t="s">
        <v>57</v>
      </c>
      <c r="H4890" t="s">
        <v>40</v>
      </c>
      <c r="I4890" t="s">
        <v>2188</v>
      </c>
      <c r="J4890" s="10">
        <v>8.83</v>
      </c>
      <c r="K4890" t="b">
        <v>1</v>
      </c>
    </row>
    <row r="4891" spans="1:11">
      <c r="A4891" s="12">
        <v>42252</v>
      </c>
      <c r="B4891">
        <v>2015</v>
      </c>
      <c r="C4891">
        <v>9</v>
      </c>
      <c r="D4891" s="11">
        <v>42248</v>
      </c>
      <c r="E4891" t="s">
        <v>2181</v>
      </c>
      <c r="F4891">
        <v>6</v>
      </c>
      <c r="G4891" t="s">
        <v>57</v>
      </c>
      <c r="H4891" t="s">
        <v>41</v>
      </c>
      <c r="I4891" t="s">
        <v>2189</v>
      </c>
      <c r="J4891" s="10">
        <v>6.01</v>
      </c>
      <c r="K4891" t="b">
        <v>1</v>
      </c>
    </row>
    <row r="4892" spans="1:11">
      <c r="A4892" s="12">
        <v>42252</v>
      </c>
      <c r="B4892">
        <v>2015</v>
      </c>
      <c r="C4892">
        <v>9</v>
      </c>
      <c r="D4892" s="11">
        <v>42248</v>
      </c>
      <c r="E4892" t="s">
        <v>2181</v>
      </c>
      <c r="F4892">
        <v>6</v>
      </c>
      <c r="G4892" t="s">
        <v>57</v>
      </c>
      <c r="H4892" t="s">
        <v>42</v>
      </c>
      <c r="I4892" t="s">
        <v>2190</v>
      </c>
      <c r="J4892" s="10">
        <v>3.2</v>
      </c>
      <c r="K4892" t="b">
        <v>1</v>
      </c>
    </row>
    <row r="4893" spans="1:11">
      <c r="A4893" s="12">
        <v>42252</v>
      </c>
      <c r="B4893">
        <v>2015</v>
      </c>
      <c r="C4893">
        <v>9</v>
      </c>
      <c r="D4893" s="11">
        <v>42248</v>
      </c>
      <c r="E4893" t="s">
        <v>2181</v>
      </c>
      <c r="F4893">
        <v>6</v>
      </c>
      <c r="G4893" t="s">
        <v>57</v>
      </c>
      <c r="H4893" t="s">
        <v>43</v>
      </c>
      <c r="I4893" t="s">
        <v>2191</v>
      </c>
      <c r="J4893" s="10">
        <v>20</v>
      </c>
      <c r="K4893" t="b">
        <v>1</v>
      </c>
    </row>
    <row r="4894" spans="1:11">
      <c r="A4894" s="12">
        <v>42252</v>
      </c>
      <c r="B4894">
        <v>2015</v>
      </c>
      <c r="C4894">
        <v>9</v>
      </c>
      <c r="D4894" s="11">
        <v>42248</v>
      </c>
      <c r="E4894" t="s">
        <v>2181</v>
      </c>
      <c r="F4894">
        <v>6</v>
      </c>
      <c r="G4894" t="s">
        <v>57</v>
      </c>
      <c r="H4894" t="s">
        <v>44</v>
      </c>
      <c r="I4894" t="s">
        <v>2192</v>
      </c>
      <c r="J4894" s="10">
        <v>10.5</v>
      </c>
      <c r="K4894" t="b">
        <v>1</v>
      </c>
    </row>
    <row r="4895" spans="1:11">
      <c r="A4895" s="12">
        <v>42252</v>
      </c>
      <c r="B4895">
        <v>2015</v>
      </c>
      <c r="C4895">
        <v>9</v>
      </c>
      <c r="D4895" s="11">
        <v>42248</v>
      </c>
      <c r="E4895" t="s">
        <v>2181</v>
      </c>
      <c r="F4895">
        <v>6</v>
      </c>
      <c r="G4895" t="s">
        <v>57</v>
      </c>
      <c r="H4895" t="s">
        <v>45</v>
      </c>
      <c r="I4895" t="s">
        <v>2193</v>
      </c>
      <c r="J4895" s="10">
        <v>1</v>
      </c>
      <c r="K4895" t="b">
        <v>1</v>
      </c>
    </row>
    <row r="4896" spans="1:11">
      <c r="A4896" s="12">
        <v>42252</v>
      </c>
      <c r="B4896">
        <v>2015</v>
      </c>
      <c r="C4896">
        <v>9</v>
      </c>
      <c r="D4896" s="11">
        <v>42248</v>
      </c>
      <c r="E4896" t="s">
        <v>2181</v>
      </c>
      <c r="F4896">
        <v>6</v>
      </c>
      <c r="G4896" t="s">
        <v>57</v>
      </c>
      <c r="H4896" t="s">
        <v>46</v>
      </c>
      <c r="I4896" t="s">
        <v>2194</v>
      </c>
      <c r="J4896" s="10">
        <v>6</v>
      </c>
      <c r="K4896" t="b">
        <v>1</v>
      </c>
    </row>
    <row r="4897" spans="1:11">
      <c r="A4897" s="12">
        <v>42252</v>
      </c>
      <c r="B4897">
        <v>2015</v>
      </c>
      <c r="C4897">
        <v>9</v>
      </c>
      <c r="D4897" s="11">
        <v>42248</v>
      </c>
      <c r="E4897" t="s">
        <v>2181</v>
      </c>
      <c r="F4897">
        <v>6</v>
      </c>
      <c r="G4897" t="s">
        <v>57</v>
      </c>
      <c r="H4897" t="s">
        <v>47</v>
      </c>
      <c r="I4897" t="s">
        <v>2195</v>
      </c>
      <c r="J4897" s="10">
        <v>4</v>
      </c>
      <c r="K4897" t="b">
        <v>1</v>
      </c>
    </row>
    <row r="4898" spans="1:11">
      <c r="A4898" s="12">
        <v>42253</v>
      </c>
      <c r="B4898">
        <v>2015</v>
      </c>
      <c r="C4898">
        <v>9</v>
      </c>
      <c r="D4898" s="11">
        <v>42248</v>
      </c>
      <c r="E4898" t="s">
        <v>2181</v>
      </c>
      <c r="F4898">
        <v>7</v>
      </c>
      <c r="G4898" t="s">
        <v>59</v>
      </c>
      <c r="H4898" t="s">
        <v>40</v>
      </c>
      <c r="I4898" t="s">
        <v>2188</v>
      </c>
      <c r="J4898" s="10">
        <v>8.33</v>
      </c>
      <c r="K4898" t="b">
        <v>1</v>
      </c>
    </row>
    <row r="4899" spans="1:11">
      <c r="A4899" s="12">
        <v>42253</v>
      </c>
      <c r="B4899">
        <v>2015</v>
      </c>
      <c r="C4899">
        <v>9</v>
      </c>
      <c r="D4899" s="11">
        <v>42248</v>
      </c>
      <c r="E4899" t="s">
        <v>2181</v>
      </c>
      <c r="F4899">
        <v>7</v>
      </c>
      <c r="G4899" t="s">
        <v>59</v>
      </c>
      <c r="H4899" t="s">
        <v>41</v>
      </c>
      <c r="I4899" t="s">
        <v>2189</v>
      </c>
      <c r="J4899" s="10">
        <v>9.67</v>
      </c>
      <c r="K4899" t="b">
        <v>1</v>
      </c>
    </row>
    <row r="4900" spans="1:11">
      <c r="A4900" s="12">
        <v>42253</v>
      </c>
      <c r="B4900">
        <v>2015</v>
      </c>
      <c r="C4900">
        <v>9</v>
      </c>
      <c r="D4900" s="11">
        <v>42248</v>
      </c>
      <c r="E4900" t="s">
        <v>2181</v>
      </c>
      <c r="F4900">
        <v>7</v>
      </c>
      <c r="G4900" t="s">
        <v>59</v>
      </c>
      <c r="H4900" t="s">
        <v>42</v>
      </c>
      <c r="I4900" t="s">
        <v>2190</v>
      </c>
      <c r="J4900" s="10">
        <v>6</v>
      </c>
      <c r="K4900" t="b">
        <v>1</v>
      </c>
    </row>
    <row r="4901" spans="1:11">
      <c r="A4901" s="12">
        <v>42253</v>
      </c>
      <c r="B4901">
        <v>2015</v>
      </c>
      <c r="C4901">
        <v>9</v>
      </c>
      <c r="D4901" s="11">
        <v>42248</v>
      </c>
      <c r="E4901" t="s">
        <v>2181</v>
      </c>
      <c r="F4901">
        <v>7</v>
      </c>
      <c r="G4901" t="s">
        <v>59</v>
      </c>
      <c r="H4901" t="s">
        <v>43</v>
      </c>
      <c r="I4901" t="s">
        <v>2191</v>
      </c>
      <c r="J4901" s="10">
        <v>23.6</v>
      </c>
      <c r="K4901" t="b">
        <v>1</v>
      </c>
    </row>
    <row r="4902" spans="1:11">
      <c r="A4902" s="12">
        <v>42253</v>
      </c>
      <c r="B4902">
        <v>2015</v>
      </c>
      <c r="C4902">
        <v>9</v>
      </c>
      <c r="D4902" s="11">
        <v>42248</v>
      </c>
      <c r="E4902" t="s">
        <v>2181</v>
      </c>
      <c r="F4902">
        <v>7</v>
      </c>
      <c r="G4902" t="s">
        <v>59</v>
      </c>
      <c r="H4902" t="s">
        <v>44</v>
      </c>
      <c r="I4902" t="s">
        <v>2192</v>
      </c>
      <c r="J4902" s="10">
        <v>8</v>
      </c>
      <c r="K4902" t="b">
        <v>1</v>
      </c>
    </row>
    <row r="4903" spans="1:11">
      <c r="A4903" s="12">
        <v>42253</v>
      </c>
      <c r="B4903">
        <v>2015</v>
      </c>
      <c r="C4903">
        <v>9</v>
      </c>
      <c r="D4903" s="11">
        <v>42248</v>
      </c>
      <c r="E4903" t="s">
        <v>2181</v>
      </c>
      <c r="F4903">
        <v>7</v>
      </c>
      <c r="G4903" t="s">
        <v>59</v>
      </c>
      <c r="H4903" t="s">
        <v>45</v>
      </c>
      <c r="I4903" t="s">
        <v>2193</v>
      </c>
      <c r="J4903" s="10">
        <v>1</v>
      </c>
      <c r="K4903" t="b">
        <v>1</v>
      </c>
    </row>
    <row r="4904" spans="1:11">
      <c r="A4904" s="12">
        <v>42253</v>
      </c>
      <c r="B4904">
        <v>2015</v>
      </c>
      <c r="C4904">
        <v>9</v>
      </c>
      <c r="D4904" s="11">
        <v>42248</v>
      </c>
      <c r="E4904" t="s">
        <v>2181</v>
      </c>
      <c r="F4904">
        <v>7</v>
      </c>
      <c r="G4904" t="s">
        <v>59</v>
      </c>
      <c r="H4904" t="s">
        <v>46</v>
      </c>
      <c r="I4904" t="s">
        <v>2194</v>
      </c>
      <c r="J4904" s="10">
        <v>0</v>
      </c>
      <c r="K4904" t="b">
        <v>1</v>
      </c>
    </row>
    <row r="4905" spans="1:11">
      <c r="A4905" s="12">
        <v>42253</v>
      </c>
      <c r="B4905">
        <v>2015</v>
      </c>
      <c r="C4905">
        <v>9</v>
      </c>
      <c r="D4905" s="11">
        <v>42248</v>
      </c>
      <c r="E4905" t="s">
        <v>2181</v>
      </c>
      <c r="F4905">
        <v>7</v>
      </c>
      <c r="G4905" t="s">
        <v>59</v>
      </c>
      <c r="H4905" t="s">
        <v>47</v>
      </c>
      <c r="I4905" t="s">
        <v>2195</v>
      </c>
      <c r="J4905" s="10">
        <v>3</v>
      </c>
      <c r="K4905" t="b">
        <v>1</v>
      </c>
    </row>
    <row r="4906" spans="1:11">
      <c r="A4906" s="12">
        <v>42254</v>
      </c>
      <c r="B4906">
        <v>2015</v>
      </c>
      <c r="C4906">
        <v>9</v>
      </c>
      <c r="D4906" s="11">
        <v>42248</v>
      </c>
      <c r="E4906" t="s">
        <v>2181</v>
      </c>
      <c r="F4906">
        <v>1</v>
      </c>
      <c r="G4906" t="s">
        <v>61</v>
      </c>
      <c r="H4906" t="s">
        <v>40</v>
      </c>
      <c r="I4906" t="s">
        <v>2188</v>
      </c>
      <c r="J4906" s="10">
        <v>4.34</v>
      </c>
      <c r="K4906" t="b">
        <v>1</v>
      </c>
    </row>
    <row r="4907" spans="1:11">
      <c r="A4907" s="12">
        <v>42254</v>
      </c>
      <c r="B4907">
        <v>2015</v>
      </c>
      <c r="C4907">
        <v>9</v>
      </c>
      <c r="D4907" s="11">
        <v>42248</v>
      </c>
      <c r="E4907" t="s">
        <v>2181</v>
      </c>
      <c r="F4907">
        <v>1</v>
      </c>
      <c r="G4907" t="s">
        <v>61</v>
      </c>
      <c r="H4907" t="s">
        <v>41</v>
      </c>
      <c r="I4907" t="s">
        <v>2189</v>
      </c>
      <c r="J4907" s="10">
        <v>6.124</v>
      </c>
      <c r="K4907" t="b">
        <v>1</v>
      </c>
    </row>
    <row r="4908" spans="1:11">
      <c r="A4908" s="12">
        <v>42254</v>
      </c>
      <c r="B4908">
        <v>2015</v>
      </c>
      <c r="C4908">
        <v>9</v>
      </c>
      <c r="D4908" s="11">
        <v>42248</v>
      </c>
      <c r="E4908" t="s">
        <v>2181</v>
      </c>
      <c r="F4908">
        <v>1</v>
      </c>
      <c r="G4908" t="s">
        <v>61</v>
      </c>
      <c r="H4908" t="s">
        <v>42</v>
      </c>
      <c r="I4908" t="s">
        <v>2190</v>
      </c>
      <c r="J4908" s="10">
        <v>2.5</v>
      </c>
      <c r="K4908" t="b">
        <v>1</v>
      </c>
    </row>
    <row r="4909" spans="1:11">
      <c r="A4909" s="12">
        <v>42254</v>
      </c>
      <c r="B4909">
        <v>2015</v>
      </c>
      <c r="C4909">
        <v>9</v>
      </c>
      <c r="D4909" s="11">
        <v>42248</v>
      </c>
      <c r="E4909" t="s">
        <v>2181</v>
      </c>
      <c r="F4909">
        <v>1</v>
      </c>
      <c r="G4909" t="s">
        <v>61</v>
      </c>
      <c r="H4909" t="s">
        <v>43</v>
      </c>
      <c r="I4909" t="s">
        <v>2191</v>
      </c>
      <c r="J4909" s="10">
        <v>32.8</v>
      </c>
      <c r="K4909" t="b">
        <v>1</v>
      </c>
    </row>
    <row r="4910" spans="1:11">
      <c r="A4910" s="12">
        <v>42254</v>
      </c>
      <c r="B4910">
        <v>2015</v>
      </c>
      <c r="C4910">
        <v>9</v>
      </c>
      <c r="D4910" s="11">
        <v>42248</v>
      </c>
      <c r="E4910" t="s">
        <v>2181</v>
      </c>
      <c r="F4910">
        <v>1</v>
      </c>
      <c r="G4910" t="s">
        <v>61</v>
      </c>
      <c r="H4910" t="s">
        <v>44</v>
      </c>
      <c r="I4910" t="s">
        <v>2192</v>
      </c>
      <c r="J4910" s="10">
        <v>7</v>
      </c>
      <c r="K4910" t="b">
        <v>1</v>
      </c>
    </row>
    <row r="4911" spans="1:11">
      <c r="A4911" s="12">
        <v>42254</v>
      </c>
      <c r="B4911">
        <v>2015</v>
      </c>
      <c r="C4911">
        <v>9</v>
      </c>
      <c r="D4911" s="11">
        <v>42248</v>
      </c>
      <c r="E4911" t="s">
        <v>2181</v>
      </c>
      <c r="F4911">
        <v>1</v>
      </c>
      <c r="G4911" t="s">
        <v>61</v>
      </c>
      <c r="H4911" t="s">
        <v>45</v>
      </c>
      <c r="I4911" t="s">
        <v>2193</v>
      </c>
      <c r="J4911" s="10">
        <v>1</v>
      </c>
      <c r="K4911" t="b">
        <v>1</v>
      </c>
    </row>
    <row r="4912" spans="1:11">
      <c r="A4912" s="12">
        <v>42254</v>
      </c>
      <c r="B4912">
        <v>2015</v>
      </c>
      <c r="C4912">
        <v>9</v>
      </c>
      <c r="D4912" s="11">
        <v>42248</v>
      </c>
      <c r="E4912" t="s">
        <v>2181</v>
      </c>
      <c r="F4912">
        <v>1</v>
      </c>
      <c r="G4912" t="s">
        <v>61</v>
      </c>
      <c r="H4912" t="s">
        <v>46</v>
      </c>
      <c r="I4912" t="s">
        <v>2194</v>
      </c>
      <c r="J4912" s="10">
        <v>5</v>
      </c>
      <c r="K4912" t="b">
        <v>1</v>
      </c>
    </row>
    <row r="4913" spans="1:11">
      <c r="A4913" s="12">
        <v>42254</v>
      </c>
      <c r="B4913">
        <v>2015</v>
      </c>
      <c r="C4913">
        <v>9</v>
      </c>
      <c r="D4913" s="11">
        <v>42248</v>
      </c>
      <c r="E4913" t="s">
        <v>2181</v>
      </c>
      <c r="F4913">
        <v>1</v>
      </c>
      <c r="G4913" t="s">
        <v>61</v>
      </c>
      <c r="H4913" t="s">
        <v>47</v>
      </c>
      <c r="I4913" t="s">
        <v>2195</v>
      </c>
      <c r="J4913" s="10">
        <v>2</v>
      </c>
      <c r="K4913" t="b">
        <v>1</v>
      </c>
    </row>
    <row r="4914" spans="1:11">
      <c r="A4914" s="12">
        <v>42255</v>
      </c>
      <c r="B4914">
        <v>2015</v>
      </c>
      <c r="C4914">
        <v>9</v>
      </c>
      <c r="D4914" s="11">
        <v>42248</v>
      </c>
      <c r="E4914" t="s">
        <v>2181</v>
      </c>
      <c r="F4914">
        <v>2</v>
      </c>
      <c r="G4914" t="s">
        <v>63</v>
      </c>
      <c r="H4914" t="s">
        <v>40</v>
      </c>
      <c r="I4914" t="s">
        <v>2188</v>
      </c>
      <c r="J4914" s="10">
        <v>2.67</v>
      </c>
      <c r="K4914" t="b">
        <v>1</v>
      </c>
    </row>
    <row r="4915" spans="1:11">
      <c r="A4915" s="12">
        <v>42255</v>
      </c>
      <c r="B4915">
        <v>2015</v>
      </c>
      <c r="C4915">
        <v>9</v>
      </c>
      <c r="D4915" s="11">
        <v>42248</v>
      </c>
      <c r="E4915" t="s">
        <v>2181</v>
      </c>
      <c r="F4915">
        <v>2</v>
      </c>
      <c r="G4915" t="s">
        <v>63</v>
      </c>
      <c r="H4915" t="s">
        <v>41</v>
      </c>
      <c r="I4915" t="s">
        <v>2189</v>
      </c>
      <c r="J4915" s="10">
        <v>1.693</v>
      </c>
      <c r="K4915" t="b">
        <v>1</v>
      </c>
    </row>
    <row r="4916" spans="1:11">
      <c r="A4916" s="12">
        <v>42255</v>
      </c>
      <c r="B4916">
        <v>2015</v>
      </c>
      <c r="C4916">
        <v>9</v>
      </c>
      <c r="D4916" s="11">
        <v>42248</v>
      </c>
      <c r="E4916" t="s">
        <v>2181</v>
      </c>
      <c r="F4916">
        <v>2</v>
      </c>
      <c r="G4916" t="s">
        <v>63</v>
      </c>
      <c r="H4916" t="s">
        <v>42</v>
      </c>
      <c r="I4916" t="s">
        <v>2190</v>
      </c>
      <c r="J4916" s="10">
        <v>5</v>
      </c>
      <c r="K4916" t="b">
        <v>1</v>
      </c>
    </row>
    <row r="4917" spans="1:11">
      <c r="A4917" s="12">
        <v>42255</v>
      </c>
      <c r="B4917">
        <v>2015</v>
      </c>
      <c r="C4917">
        <v>9</v>
      </c>
      <c r="D4917" s="11">
        <v>42248</v>
      </c>
      <c r="E4917" t="s">
        <v>2181</v>
      </c>
      <c r="F4917">
        <v>2</v>
      </c>
      <c r="G4917" t="s">
        <v>63</v>
      </c>
      <c r="H4917" t="s">
        <v>43</v>
      </c>
      <c r="I4917" t="s">
        <v>2191</v>
      </c>
      <c r="J4917" s="10">
        <v>29.2</v>
      </c>
      <c r="K4917" t="b">
        <v>1</v>
      </c>
    </row>
    <row r="4918" spans="1:11">
      <c r="A4918" s="12">
        <v>42255</v>
      </c>
      <c r="B4918">
        <v>2015</v>
      </c>
      <c r="C4918">
        <v>9</v>
      </c>
      <c r="D4918" s="11">
        <v>42248</v>
      </c>
      <c r="E4918" t="s">
        <v>2181</v>
      </c>
      <c r="F4918">
        <v>2</v>
      </c>
      <c r="G4918" t="s">
        <v>63</v>
      </c>
      <c r="H4918" t="s">
        <v>44</v>
      </c>
      <c r="I4918" t="s">
        <v>2192</v>
      </c>
      <c r="J4918" s="10">
        <v>4</v>
      </c>
      <c r="K4918" t="b">
        <v>1</v>
      </c>
    </row>
    <row r="4919" spans="1:11">
      <c r="A4919" s="12">
        <v>42255</v>
      </c>
      <c r="B4919">
        <v>2015</v>
      </c>
      <c r="C4919">
        <v>9</v>
      </c>
      <c r="D4919" s="11">
        <v>42248</v>
      </c>
      <c r="E4919" t="s">
        <v>2181</v>
      </c>
      <c r="F4919">
        <v>2</v>
      </c>
      <c r="G4919" t="s">
        <v>63</v>
      </c>
      <c r="H4919" t="s">
        <v>45</v>
      </c>
      <c r="I4919" t="s">
        <v>2193</v>
      </c>
      <c r="J4919" s="10">
        <v>0</v>
      </c>
      <c r="K4919" t="b">
        <v>1</v>
      </c>
    </row>
    <row r="4920" spans="1:11">
      <c r="A4920" s="12">
        <v>42255</v>
      </c>
      <c r="B4920">
        <v>2015</v>
      </c>
      <c r="C4920">
        <v>9</v>
      </c>
      <c r="D4920" s="11">
        <v>42248</v>
      </c>
      <c r="E4920" t="s">
        <v>2181</v>
      </c>
      <c r="F4920">
        <v>2</v>
      </c>
      <c r="G4920" t="s">
        <v>63</v>
      </c>
      <c r="H4920" t="s">
        <v>46</v>
      </c>
      <c r="I4920" t="s">
        <v>2194</v>
      </c>
      <c r="J4920" s="10">
        <v>2</v>
      </c>
      <c r="K4920" t="b">
        <v>1</v>
      </c>
    </row>
    <row r="4921" spans="1:11">
      <c r="A4921" s="12">
        <v>42255</v>
      </c>
      <c r="B4921">
        <v>2015</v>
      </c>
      <c r="C4921">
        <v>9</v>
      </c>
      <c r="D4921" s="11">
        <v>42248</v>
      </c>
      <c r="E4921" t="s">
        <v>2181</v>
      </c>
      <c r="F4921">
        <v>2</v>
      </c>
      <c r="G4921" t="s">
        <v>63</v>
      </c>
      <c r="H4921" t="s">
        <v>47</v>
      </c>
      <c r="I4921" t="s">
        <v>2195</v>
      </c>
      <c r="J4921" s="10">
        <v>4</v>
      </c>
      <c r="K4921" t="b">
        <v>1</v>
      </c>
    </row>
    <row r="4922" spans="1:11">
      <c r="A4922" s="12">
        <v>42256</v>
      </c>
      <c r="B4922">
        <v>2015</v>
      </c>
      <c r="C4922">
        <v>9</v>
      </c>
      <c r="D4922" s="11">
        <v>42248</v>
      </c>
      <c r="E4922" t="s">
        <v>2181</v>
      </c>
      <c r="F4922">
        <v>3</v>
      </c>
      <c r="G4922" t="s">
        <v>65</v>
      </c>
      <c r="H4922" t="s">
        <v>40</v>
      </c>
      <c r="I4922" t="s">
        <v>2188</v>
      </c>
      <c r="J4922" s="10">
        <v>2</v>
      </c>
      <c r="K4922" t="b">
        <v>1</v>
      </c>
    </row>
    <row r="4923" spans="1:11">
      <c r="A4923" s="12">
        <v>42256</v>
      </c>
      <c r="B4923">
        <v>2015</v>
      </c>
      <c r="C4923">
        <v>9</v>
      </c>
      <c r="D4923" s="11">
        <v>42248</v>
      </c>
      <c r="E4923" t="s">
        <v>2181</v>
      </c>
      <c r="F4923">
        <v>3</v>
      </c>
      <c r="G4923" t="s">
        <v>65</v>
      </c>
      <c r="H4923" t="s">
        <v>41</v>
      </c>
      <c r="I4923" t="s">
        <v>2189</v>
      </c>
      <c r="J4923" s="10">
        <v>3</v>
      </c>
      <c r="K4923" t="b">
        <v>1</v>
      </c>
    </row>
    <row r="4924" spans="1:11">
      <c r="A4924" s="12">
        <v>42256</v>
      </c>
      <c r="B4924">
        <v>2015</v>
      </c>
      <c r="C4924">
        <v>9</v>
      </c>
      <c r="D4924" s="11">
        <v>42248</v>
      </c>
      <c r="E4924" t="s">
        <v>2181</v>
      </c>
      <c r="F4924">
        <v>3</v>
      </c>
      <c r="G4924" t="s">
        <v>65</v>
      </c>
      <c r="H4924" t="s">
        <v>42</v>
      </c>
      <c r="I4924" t="s">
        <v>2190</v>
      </c>
      <c r="J4924" s="10">
        <v>1</v>
      </c>
      <c r="K4924" t="b">
        <v>1</v>
      </c>
    </row>
    <row r="4925" spans="1:11">
      <c r="A4925" s="12">
        <v>42256</v>
      </c>
      <c r="B4925">
        <v>2015</v>
      </c>
      <c r="C4925">
        <v>9</v>
      </c>
      <c r="D4925" s="11">
        <v>42248</v>
      </c>
      <c r="E4925" t="s">
        <v>2181</v>
      </c>
      <c r="F4925">
        <v>3</v>
      </c>
      <c r="G4925" t="s">
        <v>65</v>
      </c>
      <c r="H4925" t="s">
        <v>43</v>
      </c>
      <c r="I4925" t="s">
        <v>2191</v>
      </c>
      <c r="J4925" s="10">
        <v>34.7</v>
      </c>
      <c r="K4925" t="b">
        <v>1</v>
      </c>
    </row>
    <row r="4926" spans="1:11">
      <c r="A4926" s="12">
        <v>42256</v>
      </c>
      <c r="B4926">
        <v>2015</v>
      </c>
      <c r="C4926">
        <v>9</v>
      </c>
      <c r="D4926" s="11">
        <v>42248</v>
      </c>
      <c r="E4926" t="s">
        <v>2181</v>
      </c>
      <c r="F4926">
        <v>3</v>
      </c>
      <c r="G4926" t="s">
        <v>65</v>
      </c>
      <c r="H4926" t="s">
        <v>44</v>
      </c>
      <c r="I4926" t="s">
        <v>2192</v>
      </c>
      <c r="J4926" s="10">
        <v>8</v>
      </c>
      <c r="K4926" t="b">
        <v>1</v>
      </c>
    </row>
    <row r="4927" spans="1:11">
      <c r="A4927" s="12">
        <v>42256</v>
      </c>
      <c r="B4927">
        <v>2015</v>
      </c>
      <c r="C4927">
        <v>9</v>
      </c>
      <c r="D4927" s="11">
        <v>42248</v>
      </c>
      <c r="E4927" t="s">
        <v>2181</v>
      </c>
      <c r="F4927">
        <v>3</v>
      </c>
      <c r="G4927" t="s">
        <v>65</v>
      </c>
      <c r="H4927" t="s">
        <v>45</v>
      </c>
      <c r="I4927" t="s">
        <v>2193</v>
      </c>
      <c r="J4927" s="10">
        <v>0</v>
      </c>
      <c r="K4927" t="b">
        <v>1</v>
      </c>
    </row>
    <row r="4928" spans="1:11">
      <c r="A4928" s="12">
        <v>42256</v>
      </c>
      <c r="B4928">
        <v>2015</v>
      </c>
      <c r="C4928">
        <v>9</v>
      </c>
      <c r="D4928" s="11">
        <v>42248</v>
      </c>
      <c r="E4928" t="s">
        <v>2181</v>
      </c>
      <c r="F4928">
        <v>3</v>
      </c>
      <c r="G4928" t="s">
        <v>65</v>
      </c>
      <c r="H4928" t="s">
        <v>46</v>
      </c>
      <c r="I4928" t="s">
        <v>2194</v>
      </c>
      <c r="J4928" s="10">
        <v>2</v>
      </c>
      <c r="K4928" t="b">
        <v>1</v>
      </c>
    </row>
    <row r="4929" spans="1:11">
      <c r="A4929" s="12">
        <v>42256</v>
      </c>
      <c r="B4929">
        <v>2015</v>
      </c>
      <c r="C4929">
        <v>9</v>
      </c>
      <c r="D4929" s="11">
        <v>42248</v>
      </c>
      <c r="E4929" t="s">
        <v>2181</v>
      </c>
      <c r="F4929">
        <v>3</v>
      </c>
      <c r="G4929" t="s">
        <v>65</v>
      </c>
      <c r="H4929" t="s">
        <v>47</v>
      </c>
      <c r="I4929" t="s">
        <v>2195</v>
      </c>
      <c r="J4929" s="10">
        <v>2</v>
      </c>
      <c r="K4929" t="b">
        <v>1</v>
      </c>
    </row>
    <row r="4930" spans="1:11">
      <c r="A4930" s="12">
        <v>42257</v>
      </c>
      <c r="B4930">
        <v>2015</v>
      </c>
      <c r="C4930">
        <v>9</v>
      </c>
      <c r="D4930" s="11">
        <v>42248</v>
      </c>
      <c r="E4930" t="s">
        <v>2181</v>
      </c>
      <c r="F4930">
        <v>4</v>
      </c>
      <c r="G4930" t="s">
        <v>53</v>
      </c>
      <c r="H4930" t="s">
        <v>40</v>
      </c>
      <c r="I4930" t="s">
        <v>2188</v>
      </c>
      <c r="J4930" s="10">
        <v>6</v>
      </c>
      <c r="K4930" t="b">
        <v>1</v>
      </c>
    </row>
    <row r="4931" spans="1:11">
      <c r="A4931" s="12">
        <v>42257</v>
      </c>
      <c r="B4931">
        <v>2015</v>
      </c>
      <c r="C4931">
        <v>9</v>
      </c>
      <c r="D4931" s="11">
        <v>42248</v>
      </c>
      <c r="E4931" t="s">
        <v>2181</v>
      </c>
      <c r="F4931">
        <v>4</v>
      </c>
      <c r="G4931" t="s">
        <v>53</v>
      </c>
      <c r="H4931" t="s">
        <v>41</v>
      </c>
      <c r="I4931" t="s">
        <v>2189</v>
      </c>
      <c r="J4931" s="10">
        <v>3.99</v>
      </c>
      <c r="K4931" t="b">
        <v>1</v>
      </c>
    </row>
    <row r="4932" spans="1:11">
      <c r="A4932" s="12">
        <v>42257</v>
      </c>
      <c r="B4932">
        <v>2015</v>
      </c>
      <c r="C4932">
        <v>9</v>
      </c>
      <c r="D4932" s="11">
        <v>42248</v>
      </c>
      <c r="E4932" t="s">
        <v>2181</v>
      </c>
      <c r="F4932">
        <v>4</v>
      </c>
      <c r="G4932" t="s">
        <v>53</v>
      </c>
      <c r="H4932" t="s">
        <v>42</v>
      </c>
      <c r="I4932" t="s">
        <v>2190</v>
      </c>
      <c r="J4932" s="10">
        <v>4.2</v>
      </c>
      <c r="K4932" t="b">
        <v>1</v>
      </c>
    </row>
    <row r="4933" spans="1:11">
      <c r="A4933" s="12">
        <v>42257</v>
      </c>
      <c r="B4933">
        <v>2015</v>
      </c>
      <c r="C4933">
        <v>9</v>
      </c>
      <c r="D4933" s="11">
        <v>42248</v>
      </c>
      <c r="E4933" t="s">
        <v>2181</v>
      </c>
      <c r="F4933">
        <v>4</v>
      </c>
      <c r="G4933" t="s">
        <v>53</v>
      </c>
      <c r="H4933" t="s">
        <v>43</v>
      </c>
      <c r="I4933" t="s">
        <v>2191</v>
      </c>
      <c r="J4933" s="10">
        <v>21.2</v>
      </c>
      <c r="K4933" t="b">
        <v>1</v>
      </c>
    </row>
    <row r="4934" spans="1:11">
      <c r="A4934" s="12">
        <v>42257</v>
      </c>
      <c r="B4934">
        <v>2015</v>
      </c>
      <c r="C4934">
        <v>9</v>
      </c>
      <c r="D4934" s="11">
        <v>42248</v>
      </c>
      <c r="E4934" t="s">
        <v>2181</v>
      </c>
      <c r="F4934">
        <v>4</v>
      </c>
      <c r="G4934" t="s">
        <v>53</v>
      </c>
      <c r="H4934" t="s">
        <v>44</v>
      </c>
      <c r="I4934" t="s">
        <v>2192</v>
      </c>
      <c r="J4934" s="10">
        <v>18</v>
      </c>
      <c r="K4934" t="b">
        <v>1</v>
      </c>
    </row>
    <row r="4935" spans="1:11">
      <c r="A4935" s="12">
        <v>42257</v>
      </c>
      <c r="B4935">
        <v>2015</v>
      </c>
      <c r="C4935">
        <v>9</v>
      </c>
      <c r="D4935" s="11">
        <v>42248</v>
      </c>
      <c r="E4935" t="s">
        <v>2181</v>
      </c>
      <c r="F4935">
        <v>4</v>
      </c>
      <c r="G4935" t="s">
        <v>53</v>
      </c>
      <c r="H4935" t="s">
        <v>45</v>
      </c>
      <c r="I4935" t="s">
        <v>2193</v>
      </c>
      <c r="J4935" s="10">
        <v>0</v>
      </c>
      <c r="K4935" t="b">
        <v>1</v>
      </c>
    </row>
    <row r="4936" spans="1:11">
      <c r="A4936" s="12">
        <v>42257</v>
      </c>
      <c r="B4936">
        <v>2015</v>
      </c>
      <c r="C4936">
        <v>9</v>
      </c>
      <c r="D4936" s="11">
        <v>42248</v>
      </c>
      <c r="E4936" t="s">
        <v>2181</v>
      </c>
      <c r="F4936">
        <v>4</v>
      </c>
      <c r="G4936" t="s">
        <v>53</v>
      </c>
      <c r="H4936" t="s">
        <v>46</v>
      </c>
      <c r="I4936" t="s">
        <v>2194</v>
      </c>
      <c r="J4936" s="10">
        <v>2</v>
      </c>
      <c r="K4936" t="b">
        <v>1</v>
      </c>
    </row>
    <row r="4937" spans="1:11">
      <c r="A4937" s="12">
        <v>42257</v>
      </c>
      <c r="B4937">
        <v>2015</v>
      </c>
      <c r="C4937">
        <v>9</v>
      </c>
      <c r="D4937" s="11">
        <v>42248</v>
      </c>
      <c r="E4937" t="s">
        <v>2181</v>
      </c>
      <c r="F4937">
        <v>4</v>
      </c>
      <c r="G4937" t="s">
        <v>53</v>
      </c>
      <c r="H4937" t="s">
        <v>47</v>
      </c>
      <c r="I4937" t="s">
        <v>2195</v>
      </c>
      <c r="J4937" s="10">
        <v>2</v>
      </c>
      <c r="K4937" t="b">
        <v>1</v>
      </c>
    </row>
    <row r="4938" spans="1:11">
      <c r="A4938" s="12">
        <v>42258</v>
      </c>
      <c r="B4938">
        <v>2015</v>
      </c>
      <c r="C4938">
        <v>9</v>
      </c>
      <c r="D4938" s="11">
        <v>42248</v>
      </c>
      <c r="E4938" t="s">
        <v>2181</v>
      </c>
      <c r="F4938">
        <v>5</v>
      </c>
      <c r="G4938" t="s">
        <v>55</v>
      </c>
      <c r="H4938" t="s">
        <v>40</v>
      </c>
      <c r="I4938" t="s">
        <v>2188</v>
      </c>
      <c r="J4938" s="10">
        <v>11.33</v>
      </c>
      <c r="K4938" t="b">
        <v>1</v>
      </c>
    </row>
    <row r="4939" spans="1:11">
      <c r="A4939" s="12">
        <v>42258</v>
      </c>
      <c r="B4939">
        <v>2015</v>
      </c>
      <c r="C4939">
        <v>9</v>
      </c>
      <c r="D4939" s="11">
        <v>42248</v>
      </c>
      <c r="E4939" t="s">
        <v>2181</v>
      </c>
      <c r="F4939">
        <v>5</v>
      </c>
      <c r="G4939" t="s">
        <v>55</v>
      </c>
      <c r="H4939" t="s">
        <v>41</v>
      </c>
      <c r="I4939" t="s">
        <v>2189</v>
      </c>
      <c r="J4939" s="10">
        <v>5</v>
      </c>
      <c r="K4939" t="b">
        <v>1</v>
      </c>
    </row>
    <row r="4940" spans="1:11">
      <c r="A4940" s="12">
        <v>42258</v>
      </c>
      <c r="B4940">
        <v>2015</v>
      </c>
      <c r="C4940">
        <v>9</v>
      </c>
      <c r="D4940" s="11">
        <v>42248</v>
      </c>
      <c r="E4940" t="s">
        <v>2181</v>
      </c>
      <c r="F4940">
        <v>5</v>
      </c>
      <c r="G4940" t="s">
        <v>55</v>
      </c>
      <c r="H4940" t="s">
        <v>42</v>
      </c>
      <c r="I4940" t="s">
        <v>2190</v>
      </c>
      <c r="J4940" s="10">
        <v>9</v>
      </c>
      <c r="K4940" t="b">
        <v>1</v>
      </c>
    </row>
    <row r="4941" spans="1:11">
      <c r="A4941" s="12">
        <v>42258</v>
      </c>
      <c r="B4941">
        <v>2015</v>
      </c>
      <c r="C4941">
        <v>9</v>
      </c>
      <c r="D4941" s="11">
        <v>42248</v>
      </c>
      <c r="E4941" t="s">
        <v>2181</v>
      </c>
      <c r="F4941">
        <v>5</v>
      </c>
      <c r="G4941" t="s">
        <v>55</v>
      </c>
      <c r="H4941" t="s">
        <v>43</v>
      </c>
      <c r="I4941" t="s">
        <v>2191</v>
      </c>
      <c r="J4941" s="10">
        <v>30</v>
      </c>
      <c r="K4941" t="b">
        <v>1</v>
      </c>
    </row>
    <row r="4942" spans="1:11">
      <c r="A4942" s="12">
        <v>42258</v>
      </c>
      <c r="B4942">
        <v>2015</v>
      </c>
      <c r="C4942">
        <v>9</v>
      </c>
      <c r="D4942" s="11">
        <v>42248</v>
      </c>
      <c r="E4942" t="s">
        <v>2181</v>
      </c>
      <c r="F4942">
        <v>5</v>
      </c>
      <c r="G4942" t="s">
        <v>55</v>
      </c>
      <c r="H4942" t="s">
        <v>44</v>
      </c>
      <c r="I4942" t="s">
        <v>2192</v>
      </c>
      <c r="J4942" s="10">
        <v>9</v>
      </c>
      <c r="K4942" t="b">
        <v>1</v>
      </c>
    </row>
    <row r="4943" spans="1:11">
      <c r="A4943" s="12">
        <v>42258</v>
      </c>
      <c r="B4943">
        <v>2015</v>
      </c>
      <c r="C4943">
        <v>9</v>
      </c>
      <c r="D4943" s="11">
        <v>42248</v>
      </c>
      <c r="E4943" t="s">
        <v>2181</v>
      </c>
      <c r="F4943">
        <v>5</v>
      </c>
      <c r="G4943" t="s">
        <v>55</v>
      </c>
      <c r="H4943" t="s">
        <v>45</v>
      </c>
      <c r="I4943" t="s">
        <v>2193</v>
      </c>
      <c r="J4943" s="10">
        <v>0</v>
      </c>
      <c r="K4943" t="b">
        <v>1</v>
      </c>
    </row>
    <row r="4944" spans="1:11">
      <c r="A4944" s="12">
        <v>42258</v>
      </c>
      <c r="B4944">
        <v>2015</v>
      </c>
      <c r="C4944">
        <v>9</v>
      </c>
      <c r="D4944" s="11">
        <v>42248</v>
      </c>
      <c r="E4944" t="s">
        <v>2181</v>
      </c>
      <c r="F4944">
        <v>5</v>
      </c>
      <c r="G4944" t="s">
        <v>55</v>
      </c>
      <c r="H4944" t="s">
        <v>46</v>
      </c>
      <c r="I4944" t="s">
        <v>2194</v>
      </c>
      <c r="J4944" s="10">
        <v>2</v>
      </c>
      <c r="K4944" t="b">
        <v>1</v>
      </c>
    </row>
    <row r="4945" spans="1:11">
      <c r="A4945" s="12">
        <v>42258</v>
      </c>
      <c r="B4945">
        <v>2015</v>
      </c>
      <c r="C4945">
        <v>9</v>
      </c>
      <c r="D4945" s="11">
        <v>42248</v>
      </c>
      <c r="E4945" t="s">
        <v>2181</v>
      </c>
      <c r="F4945">
        <v>5</v>
      </c>
      <c r="G4945" t="s">
        <v>55</v>
      </c>
      <c r="H4945" t="s">
        <v>47</v>
      </c>
      <c r="I4945" t="s">
        <v>2195</v>
      </c>
      <c r="J4945" s="10">
        <v>2</v>
      </c>
      <c r="K4945" t="b">
        <v>1</v>
      </c>
    </row>
    <row r="4946" spans="1:11">
      <c r="A4946" s="12">
        <v>42259</v>
      </c>
      <c r="B4946">
        <v>2015</v>
      </c>
      <c r="C4946">
        <v>9</v>
      </c>
      <c r="D4946" s="11">
        <v>42248</v>
      </c>
      <c r="E4946" t="s">
        <v>2181</v>
      </c>
      <c r="F4946">
        <v>6</v>
      </c>
      <c r="G4946" t="s">
        <v>57</v>
      </c>
      <c r="H4946" t="s">
        <v>40</v>
      </c>
      <c r="I4946" t="s">
        <v>2188</v>
      </c>
      <c r="J4946" s="10">
        <v>4.66</v>
      </c>
      <c r="K4946" t="b">
        <v>1</v>
      </c>
    </row>
    <row r="4947" spans="1:11">
      <c r="A4947" s="12">
        <v>42259</v>
      </c>
      <c r="B4947">
        <v>2015</v>
      </c>
      <c r="C4947">
        <v>9</v>
      </c>
      <c r="D4947" s="11">
        <v>42248</v>
      </c>
      <c r="E4947" t="s">
        <v>2181</v>
      </c>
      <c r="F4947">
        <v>6</v>
      </c>
      <c r="G4947" t="s">
        <v>57</v>
      </c>
      <c r="H4947" t="s">
        <v>41</v>
      </c>
      <c r="I4947" t="s">
        <v>2189</v>
      </c>
      <c r="J4947" s="10">
        <v>7.66</v>
      </c>
      <c r="K4947" t="b">
        <v>1</v>
      </c>
    </row>
    <row r="4948" spans="1:11">
      <c r="A4948" s="12">
        <v>42259</v>
      </c>
      <c r="B4948">
        <v>2015</v>
      </c>
      <c r="C4948">
        <v>9</v>
      </c>
      <c r="D4948" s="11">
        <v>42248</v>
      </c>
      <c r="E4948" t="s">
        <v>2181</v>
      </c>
      <c r="F4948">
        <v>6</v>
      </c>
      <c r="G4948" t="s">
        <v>57</v>
      </c>
      <c r="H4948" t="s">
        <v>42</v>
      </c>
      <c r="I4948" t="s">
        <v>2190</v>
      </c>
      <c r="J4948" s="10">
        <v>5.2</v>
      </c>
      <c r="K4948" t="b">
        <v>1</v>
      </c>
    </row>
    <row r="4949" spans="1:11">
      <c r="A4949" s="12">
        <v>42259</v>
      </c>
      <c r="B4949">
        <v>2015</v>
      </c>
      <c r="C4949">
        <v>9</v>
      </c>
      <c r="D4949" s="11">
        <v>42248</v>
      </c>
      <c r="E4949" t="s">
        <v>2181</v>
      </c>
      <c r="F4949">
        <v>6</v>
      </c>
      <c r="G4949" t="s">
        <v>57</v>
      </c>
      <c r="H4949" t="s">
        <v>43</v>
      </c>
      <c r="I4949" t="s">
        <v>2191</v>
      </c>
      <c r="J4949" s="10">
        <v>63.3</v>
      </c>
      <c r="K4949" t="b">
        <v>1</v>
      </c>
    </row>
    <row r="4950" spans="1:11">
      <c r="A4950" s="12">
        <v>42259</v>
      </c>
      <c r="B4950">
        <v>2015</v>
      </c>
      <c r="C4950">
        <v>9</v>
      </c>
      <c r="D4950" s="11">
        <v>42248</v>
      </c>
      <c r="E4950" t="s">
        <v>2181</v>
      </c>
      <c r="F4950">
        <v>6</v>
      </c>
      <c r="G4950" t="s">
        <v>57</v>
      </c>
      <c r="H4950" t="s">
        <v>44</v>
      </c>
      <c r="I4950" t="s">
        <v>2192</v>
      </c>
      <c r="J4950" s="10">
        <v>6</v>
      </c>
      <c r="K4950" t="b">
        <v>1</v>
      </c>
    </row>
    <row r="4951" spans="1:11">
      <c r="A4951" s="12">
        <v>42259</v>
      </c>
      <c r="B4951">
        <v>2015</v>
      </c>
      <c r="C4951">
        <v>9</v>
      </c>
      <c r="D4951" s="11">
        <v>42248</v>
      </c>
      <c r="E4951" t="s">
        <v>2181</v>
      </c>
      <c r="F4951">
        <v>6</v>
      </c>
      <c r="G4951" t="s">
        <v>57</v>
      </c>
      <c r="H4951" t="s">
        <v>45</v>
      </c>
      <c r="I4951" t="s">
        <v>2193</v>
      </c>
      <c r="J4951" s="10">
        <v>3</v>
      </c>
      <c r="K4951" t="b">
        <v>1</v>
      </c>
    </row>
    <row r="4952" spans="1:11">
      <c r="A4952" s="12">
        <v>42259</v>
      </c>
      <c r="B4952">
        <v>2015</v>
      </c>
      <c r="C4952">
        <v>9</v>
      </c>
      <c r="D4952" s="11">
        <v>42248</v>
      </c>
      <c r="E4952" t="s">
        <v>2181</v>
      </c>
      <c r="F4952">
        <v>6</v>
      </c>
      <c r="G4952" t="s">
        <v>57</v>
      </c>
      <c r="H4952" t="s">
        <v>46</v>
      </c>
      <c r="I4952" t="s">
        <v>2194</v>
      </c>
      <c r="J4952" s="10">
        <v>0</v>
      </c>
      <c r="K4952" t="b">
        <v>1</v>
      </c>
    </row>
    <row r="4953" spans="1:11">
      <c r="A4953" s="12">
        <v>42259</v>
      </c>
      <c r="B4953">
        <v>2015</v>
      </c>
      <c r="C4953">
        <v>9</v>
      </c>
      <c r="D4953" s="11">
        <v>42248</v>
      </c>
      <c r="E4953" t="s">
        <v>2181</v>
      </c>
      <c r="F4953">
        <v>6</v>
      </c>
      <c r="G4953" t="s">
        <v>57</v>
      </c>
      <c r="H4953" t="s">
        <v>47</v>
      </c>
      <c r="I4953" t="s">
        <v>2195</v>
      </c>
      <c r="J4953" s="10">
        <v>2</v>
      </c>
      <c r="K4953" t="b">
        <v>1</v>
      </c>
    </row>
    <row r="4954" spans="1:11">
      <c r="A4954" s="12">
        <v>42260</v>
      </c>
      <c r="B4954">
        <v>2015</v>
      </c>
      <c r="C4954">
        <v>9</v>
      </c>
      <c r="D4954" s="11">
        <v>42248</v>
      </c>
      <c r="E4954" t="s">
        <v>2181</v>
      </c>
      <c r="F4954">
        <v>7</v>
      </c>
      <c r="G4954" t="s">
        <v>59</v>
      </c>
      <c r="H4954" t="s">
        <v>40</v>
      </c>
      <c r="I4954" t="s">
        <v>2188</v>
      </c>
      <c r="J4954" s="10">
        <v>7.33</v>
      </c>
      <c r="K4954" t="b">
        <v>1</v>
      </c>
    </row>
    <row r="4955" spans="1:11">
      <c r="A4955" s="12">
        <v>42260</v>
      </c>
      <c r="B4955">
        <v>2015</v>
      </c>
      <c r="C4955">
        <v>9</v>
      </c>
      <c r="D4955" s="11">
        <v>42248</v>
      </c>
      <c r="E4955" t="s">
        <v>2181</v>
      </c>
      <c r="F4955">
        <v>7</v>
      </c>
      <c r="G4955" t="s">
        <v>59</v>
      </c>
      <c r="H4955" t="s">
        <v>41</v>
      </c>
      <c r="I4955" t="s">
        <v>2189</v>
      </c>
      <c r="J4955" s="10">
        <v>6.165</v>
      </c>
      <c r="K4955" t="b">
        <v>1</v>
      </c>
    </row>
    <row r="4956" spans="1:11">
      <c r="A4956" s="12">
        <v>42260</v>
      </c>
      <c r="B4956">
        <v>2015</v>
      </c>
      <c r="C4956">
        <v>9</v>
      </c>
      <c r="D4956" s="11">
        <v>42248</v>
      </c>
      <c r="E4956" t="s">
        <v>2181</v>
      </c>
      <c r="F4956">
        <v>7</v>
      </c>
      <c r="G4956" t="s">
        <v>59</v>
      </c>
      <c r="H4956" t="s">
        <v>42</v>
      </c>
      <c r="I4956" t="s">
        <v>2190</v>
      </c>
      <c r="J4956" s="10">
        <v>7.2</v>
      </c>
      <c r="K4956" t="b">
        <v>1</v>
      </c>
    </row>
    <row r="4957" spans="1:11">
      <c r="A4957" s="12">
        <v>42260</v>
      </c>
      <c r="B4957">
        <v>2015</v>
      </c>
      <c r="C4957">
        <v>9</v>
      </c>
      <c r="D4957" s="11">
        <v>42248</v>
      </c>
      <c r="E4957" t="s">
        <v>2181</v>
      </c>
      <c r="F4957">
        <v>7</v>
      </c>
      <c r="G4957" t="s">
        <v>59</v>
      </c>
      <c r="H4957" t="s">
        <v>43</v>
      </c>
      <c r="I4957" t="s">
        <v>2191</v>
      </c>
      <c r="J4957" s="10">
        <v>25</v>
      </c>
      <c r="K4957" t="b">
        <v>1</v>
      </c>
    </row>
    <row r="4958" spans="1:11">
      <c r="A4958" s="12">
        <v>42260</v>
      </c>
      <c r="B4958">
        <v>2015</v>
      </c>
      <c r="C4958">
        <v>9</v>
      </c>
      <c r="D4958" s="11">
        <v>42248</v>
      </c>
      <c r="E4958" t="s">
        <v>2181</v>
      </c>
      <c r="F4958">
        <v>7</v>
      </c>
      <c r="G4958" t="s">
        <v>59</v>
      </c>
      <c r="H4958" t="s">
        <v>44</v>
      </c>
      <c r="I4958" t="s">
        <v>2192</v>
      </c>
      <c r="J4958" s="10">
        <v>4</v>
      </c>
      <c r="K4958" t="b">
        <v>1</v>
      </c>
    </row>
    <row r="4959" spans="1:11">
      <c r="A4959" s="12">
        <v>42260</v>
      </c>
      <c r="B4959">
        <v>2015</v>
      </c>
      <c r="C4959">
        <v>9</v>
      </c>
      <c r="D4959" s="11">
        <v>42248</v>
      </c>
      <c r="E4959" t="s">
        <v>2181</v>
      </c>
      <c r="F4959">
        <v>7</v>
      </c>
      <c r="G4959" t="s">
        <v>59</v>
      </c>
      <c r="H4959" t="s">
        <v>45</v>
      </c>
      <c r="I4959" t="s">
        <v>2193</v>
      </c>
      <c r="J4959" s="10">
        <v>0</v>
      </c>
      <c r="K4959" t="b">
        <v>1</v>
      </c>
    </row>
    <row r="4960" spans="1:11">
      <c r="A4960" s="12">
        <v>42260</v>
      </c>
      <c r="B4960">
        <v>2015</v>
      </c>
      <c r="C4960">
        <v>9</v>
      </c>
      <c r="D4960" s="11">
        <v>42248</v>
      </c>
      <c r="E4960" t="s">
        <v>2181</v>
      </c>
      <c r="F4960">
        <v>7</v>
      </c>
      <c r="G4960" t="s">
        <v>59</v>
      </c>
      <c r="H4960" t="s">
        <v>46</v>
      </c>
      <c r="I4960" t="s">
        <v>2194</v>
      </c>
      <c r="J4960" s="10">
        <v>11</v>
      </c>
      <c r="K4960" t="b">
        <v>1</v>
      </c>
    </row>
    <row r="4961" spans="1:11">
      <c r="A4961" s="12">
        <v>42260</v>
      </c>
      <c r="B4961">
        <v>2015</v>
      </c>
      <c r="C4961">
        <v>9</v>
      </c>
      <c r="D4961" s="11">
        <v>42248</v>
      </c>
      <c r="E4961" t="s">
        <v>2181</v>
      </c>
      <c r="F4961">
        <v>7</v>
      </c>
      <c r="G4961" t="s">
        <v>59</v>
      </c>
      <c r="H4961" t="s">
        <v>47</v>
      </c>
      <c r="I4961" t="s">
        <v>2195</v>
      </c>
      <c r="J4961" s="10">
        <v>3</v>
      </c>
      <c r="K4961" t="b">
        <v>1</v>
      </c>
    </row>
    <row r="4962" spans="1:11">
      <c r="A4962" s="12">
        <v>42261</v>
      </c>
      <c r="B4962">
        <v>2015</v>
      </c>
      <c r="C4962">
        <v>9</v>
      </c>
      <c r="D4962" s="11">
        <v>42248</v>
      </c>
      <c r="E4962" t="s">
        <v>2181</v>
      </c>
      <c r="F4962">
        <v>1</v>
      </c>
      <c r="G4962" t="s">
        <v>61</v>
      </c>
      <c r="H4962" t="s">
        <v>40</v>
      </c>
      <c r="I4962" t="s">
        <v>2188</v>
      </c>
      <c r="J4962" s="10">
        <v>4.68</v>
      </c>
      <c r="K4962" t="b">
        <v>1</v>
      </c>
    </row>
    <row r="4963" spans="1:11">
      <c r="A4963" s="12">
        <v>42261</v>
      </c>
      <c r="B4963">
        <v>2015</v>
      </c>
      <c r="C4963">
        <v>9</v>
      </c>
      <c r="D4963" s="11">
        <v>42248</v>
      </c>
      <c r="E4963" t="s">
        <v>2181</v>
      </c>
      <c r="F4963">
        <v>1</v>
      </c>
      <c r="G4963" t="s">
        <v>61</v>
      </c>
      <c r="H4963" t="s">
        <v>41</v>
      </c>
      <c r="I4963" t="s">
        <v>2189</v>
      </c>
      <c r="J4963" s="10">
        <v>5</v>
      </c>
      <c r="K4963" t="b">
        <v>1</v>
      </c>
    </row>
    <row r="4964" spans="1:11">
      <c r="A4964" s="12">
        <v>42261</v>
      </c>
      <c r="B4964">
        <v>2015</v>
      </c>
      <c r="C4964">
        <v>9</v>
      </c>
      <c r="D4964" s="11">
        <v>42248</v>
      </c>
      <c r="E4964" t="s">
        <v>2181</v>
      </c>
      <c r="F4964">
        <v>1</v>
      </c>
      <c r="G4964" t="s">
        <v>61</v>
      </c>
      <c r="H4964" t="s">
        <v>42</v>
      </c>
      <c r="I4964" t="s">
        <v>2190</v>
      </c>
      <c r="J4964" s="10">
        <v>1</v>
      </c>
      <c r="K4964" t="b">
        <v>1</v>
      </c>
    </row>
    <row r="4965" spans="1:11">
      <c r="A4965" s="12">
        <v>42261</v>
      </c>
      <c r="B4965">
        <v>2015</v>
      </c>
      <c r="C4965">
        <v>9</v>
      </c>
      <c r="D4965" s="11">
        <v>42248</v>
      </c>
      <c r="E4965" t="s">
        <v>2181</v>
      </c>
      <c r="F4965">
        <v>1</v>
      </c>
      <c r="G4965" t="s">
        <v>61</v>
      </c>
      <c r="H4965" t="s">
        <v>43</v>
      </c>
      <c r="I4965" t="s">
        <v>2191</v>
      </c>
      <c r="J4965" s="10">
        <v>31.3</v>
      </c>
      <c r="K4965" t="b">
        <v>1</v>
      </c>
    </row>
    <row r="4966" spans="1:11">
      <c r="A4966" s="12">
        <v>42261</v>
      </c>
      <c r="B4966">
        <v>2015</v>
      </c>
      <c r="C4966">
        <v>9</v>
      </c>
      <c r="D4966" s="11">
        <v>42248</v>
      </c>
      <c r="E4966" t="s">
        <v>2181</v>
      </c>
      <c r="F4966">
        <v>1</v>
      </c>
      <c r="G4966" t="s">
        <v>61</v>
      </c>
      <c r="H4966" t="s">
        <v>44</v>
      </c>
      <c r="I4966" t="s">
        <v>2192</v>
      </c>
      <c r="J4966" s="10">
        <v>14</v>
      </c>
      <c r="K4966" t="b">
        <v>1</v>
      </c>
    </row>
    <row r="4967" spans="1:11">
      <c r="A4967" s="12">
        <v>42261</v>
      </c>
      <c r="B4967">
        <v>2015</v>
      </c>
      <c r="C4967">
        <v>9</v>
      </c>
      <c r="D4967" s="11">
        <v>42248</v>
      </c>
      <c r="E4967" t="s">
        <v>2181</v>
      </c>
      <c r="F4967">
        <v>1</v>
      </c>
      <c r="G4967" t="s">
        <v>61</v>
      </c>
      <c r="H4967" t="s">
        <v>45</v>
      </c>
      <c r="I4967" t="s">
        <v>2193</v>
      </c>
      <c r="J4967" s="10">
        <v>0</v>
      </c>
      <c r="K4967" t="b">
        <v>1</v>
      </c>
    </row>
    <row r="4968" spans="1:11">
      <c r="A4968" s="12">
        <v>42261</v>
      </c>
      <c r="B4968">
        <v>2015</v>
      </c>
      <c r="C4968">
        <v>9</v>
      </c>
      <c r="D4968" s="11">
        <v>42248</v>
      </c>
      <c r="E4968" t="s">
        <v>2181</v>
      </c>
      <c r="F4968">
        <v>1</v>
      </c>
      <c r="G4968" t="s">
        <v>61</v>
      </c>
      <c r="H4968" t="s">
        <v>46</v>
      </c>
      <c r="I4968" t="s">
        <v>2194</v>
      </c>
      <c r="J4968" s="10">
        <v>0</v>
      </c>
      <c r="K4968" t="b">
        <v>1</v>
      </c>
    </row>
    <row r="4969" spans="1:11">
      <c r="A4969" s="12">
        <v>42261</v>
      </c>
      <c r="B4969">
        <v>2015</v>
      </c>
      <c r="C4969">
        <v>9</v>
      </c>
      <c r="D4969" s="11">
        <v>42248</v>
      </c>
      <c r="E4969" t="s">
        <v>2181</v>
      </c>
      <c r="F4969">
        <v>1</v>
      </c>
      <c r="G4969" t="s">
        <v>61</v>
      </c>
      <c r="H4969" t="s">
        <v>47</v>
      </c>
      <c r="I4969" t="s">
        <v>2195</v>
      </c>
      <c r="J4969" s="10">
        <v>0</v>
      </c>
      <c r="K4969" t="b">
        <v>1</v>
      </c>
    </row>
    <row r="4970" spans="1:11">
      <c r="A4970" s="12">
        <v>42262</v>
      </c>
      <c r="B4970">
        <v>2015</v>
      </c>
      <c r="C4970">
        <v>9</v>
      </c>
      <c r="D4970" s="11">
        <v>42248</v>
      </c>
      <c r="E4970" t="s">
        <v>2181</v>
      </c>
      <c r="F4970">
        <v>2</v>
      </c>
      <c r="G4970" t="s">
        <v>63</v>
      </c>
      <c r="H4970" t="s">
        <v>40</v>
      </c>
      <c r="I4970" t="s">
        <v>2188</v>
      </c>
      <c r="J4970" s="10">
        <v>3.33</v>
      </c>
      <c r="K4970" t="b">
        <v>1</v>
      </c>
    </row>
    <row r="4971" spans="1:11">
      <c r="A4971" s="12">
        <v>42262</v>
      </c>
      <c r="B4971">
        <v>2015</v>
      </c>
      <c r="C4971">
        <v>9</v>
      </c>
      <c r="D4971" s="11">
        <v>42248</v>
      </c>
      <c r="E4971" t="s">
        <v>2181</v>
      </c>
      <c r="F4971">
        <v>2</v>
      </c>
      <c r="G4971" t="s">
        <v>63</v>
      </c>
      <c r="H4971" t="s">
        <v>41</v>
      </c>
      <c r="I4971" t="s">
        <v>2189</v>
      </c>
      <c r="J4971" s="10">
        <v>5.076</v>
      </c>
      <c r="K4971" t="b">
        <v>1</v>
      </c>
    </row>
    <row r="4972" spans="1:11">
      <c r="A4972" s="12">
        <v>42262</v>
      </c>
      <c r="B4972">
        <v>2015</v>
      </c>
      <c r="C4972">
        <v>9</v>
      </c>
      <c r="D4972" s="11">
        <v>42248</v>
      </c>
      <c r="E4972" t="s">
        <v>2181</v>
      </c>
      <c r="F4972">
        <v>2</v>
      </c>
      <c r="G4972" t="s">
        <v>63</v>
      </c>
      <c r="H4972" t="s">
        <v>42</v>
      </c>
      <c r="I4972" t="s">
        <v>2190</v>
      </c>
      <c r="J4972" s="10">
        <v>4.2</v>
      </c>
      <c r="K4972" t="b">
        <v>1</v>
      </c>
    </row>
    <row r="4973" spans="1:11">
      <c r="A4973" s="12">
        <v>42262</v>
      </c>
      <c r="B4973">
        <v>2015</v>
      </c>
      <c r="C4973">
        <v>9</v>
      </c>
      <c r="D4973" s="11">
        <v>42248</v>
      </c>
      <c r="E4973" t="s">
        <v>2181</v>
      </c>
      <c r="F4973">
        <v>2</v>
      </c>
      <c r="G4973" t="s">
        <v>63</v>
      </c>
      <c r="H4973" t="s">
        <v>43</v>
      </c>
      <c r="I4973" t="s">
        <v>2191</v>
      </c>
      <c r="J4973" s="10">
        <v>23.8</v>
      </c>
      <c r="K4973" t="b">
        <v>1</v>
      </c>
    </row>
    <row r="4974" spans="1:11">
      <c r="A4974" s="12">
        <v>42262</v>
      </c>
      <c r="B4974">
        <v>2015</v>
      </c>
      <c r="C4974">
        <v>9</v>
      </c>
      <c r="D4974" s="11">
        <v>42248</v>
      </c>
      <c r="E4974" t="s">
        <v>2181</v>
      </c>
      <c r="F4974">
        <v>2</v>
      </c>
      <c r="G4974" t="s">
        <v>63</v>
      </c>
      <c r="H4974" t="s">
        <v>44</v>
      </c>
      <c r="I4974" t="s">
        <v>2192</v>
      </c>
      <c r="J4974" s="10">
        <v>7.5</v>
      </c>
      <c r="K4974" t="b">
        <v>1</v>
      </c>
    </row>
    <row r="4975" spans="1:11">
      <c r="A4975" s="12">
        <v>42262</v>
      </c>
      <c r="B4975">
        <v>2015</v>
      </c>
      <c r="C4975">
        <v>9</v>
      </c>
      <c r="D4975" s="11">
        <v>42248</v>
      </c>
      <c r="E4975" t="s">
        <v>2181</v>
      </c>
      <c r="F4975">
        <v>2</v>
      </c>
      <c r="G4975" t="s">
        <v>63</v>
      </c>
      <c r="H4975" t="s">
        <v>45</v>
      </c>
      <c r="I4975" t="s">
        <v>2193</v>
      </c>
      <c r="J4975" s="10">
        <v>0</v>
      </c>
      <c r="K4975" t="b">
        <v>1</v>
      </c>
    </row>
    <row r="4976" spans="1:11">
      <c r="A4976" s="12">
        <v>42262</v>
      </c>
      <c r="B4976">
        <v>2015</v>
      </c>
      <c r="C4976">
        <v>9</v>
      </c>
      <c r="D4976" s="11">
        <v>42248</v>
      </c>
      <c r="E4976" t="s">
        <v>2181</v>
      </c>
      <c r="F4976">
        <v>2</v>
      </c>
      <c r="G4976" t="s">
        <v>63</v>
      </c>
      <c r="H4976" t="s">
        <v>46</v>
      </c>
      <c r="I4976" t="s">
        <v>2194</v>
      </c>
      <c r="J4976" s="10">
        <v>6</v>
      </c>
      <c r="K4976" t="b">
        <v>1</v>
      </c>
    </row>
    <row r="4977" spans="1:11">
      <c r="A4977" s="12">
        <v>42262</v>
      </c>
      <c r="B4977">
        <v>2015</v>
      </c>
      <c r="C4977">
        <v>9</v>
      </c>
      <c r="D4977" s="11">
        <v>42248</v>
      </c>
      <c r="E4977" t="s">
        <v>2181</v>
      </c>
      <c r="F4977">
        <v>2</v>
      </c>
      <c r="G4977" t="s">
        <v>63</v>
      </c>
      <c r="H4977" t="s">
        <v>47</v>
      </c>
      <c r="I4977" t="s">
        <v>2195</v>
      </c>
      <c r="J4977" s="10">
        <v>5</v>
      </c>
      <c r="K4977" t="b">
        <v>1</v>
      </c>
    </row>
    <row r="4978" spans="1:11">
      <c r="A4978" s="12">
        <v>42263</v>
      </c>
      <c r="B4978">
        <v>2015</v>
      </c>
      <c r="C4978">
        <v>9</v>
      </c>
      <c r="D4978" s="11">
        <v>42248</v>
      </c>
      <c r="E4978" t="s">
        <v>2181</v>
      </c>
      <c r="F4978">
        <v>3</v>
      </c>
      <c r="G4978" t="s">
        <v>65</v>
      </c>
      <c r="H4978" t="s">
        <v>40</v>
      </c>
      <c r="I4978" t="s">
        <v>2188</v>
      </c>
      <c r="J4978" s="10">
        <v>0.67</v>
      </c>
      <c r="K4978" t="b">
        <v>1</v>
      </c>
    </row>
    <row r="4979" spans="1:11">
      <c r="A4979" s="12">
        <v>42263</v>
      </c>
      <c r="B4979">
        <v>2015</v>
      </c>
      <c r="C4979">
        <v>9</v>
      </c>
      <c r="D4979" s="11">
        <v>42248</v>
      </c>
      <c r="E4979" t="s">
        <v>2181</v>
      </c>
      <c r="F4979">
        <v>3</v>
      </c>
      <c r="G4979" t="s">
        <v>65</v>
      </c>
      <c r="H4979" t="s">
        <v>41</v>
      </c>
      <c r="I4979" t="s">
        <v>2189</v>
      </c>
      <c r="J4979" s="10">
        <v>4.835</v>
      </c>
      <c r="K4979" t="b">
        <v>1</v>
      </c>
    </row>
    <row r="4980" spans="1:11">
      <c r="A4980" s="12">
        <v>42263</v>
      </c>
      <c r="B4980">
        <v>2015</v>
      </c>
      <c r="C4980">
        <v>9</v>
      </c>
      <c r="D4980" s="11">
        <v>42248</v>
      </c>
      <c r="E4980" t="s">
        <v>2181</v>
      </c>
      <c r="F4980">
        <v>3</v>
      </c>
      <c r="G4980" t="s">
        <v>65</v>
      </c>
      <c r="H4980" t="s">
        <v>42</v>
      </c>
      <c r="I4980" t="s">
        <v>2190</v>
      </c>
      <c r="J4980" s="10">
        <v>2.2</v>
      </c>
      <c r="K4980" t="b">
        <v>1</v>
      </c>
    </row>
    <row r="4981" spans="1:11">
      <c r="A4981" s="12">
        <v>42263</v>
      </c>
      <c r="B4981">
        <v>2015</v>
      </c>
      <c r="C4981">
        <v>9</v>
      </c>
      <c r="D4981" s="11">
        <v>42248</v>
      </c>
      <c r="E4981" t="s">
        <v>2181</v>
      </c>
      <c r="F4981">
        <v>3</v>
      </c>
      <c r="G4981" t="s">
        <v>65</v>
      </c>
      <c r="H4981" t="s">
        <v>43</v>
      </c>
      <c r="I4981" t="s">
        <v>2191</v>
      </c>
      <c r="J4981" s="10">
        <v>16.6</v>
      </c>
      <c r="K4981" t="b">
        <v>1</v>
      </c>
    </row>
    <row r="4982" spans="1:11">
      <c r="A4982" s="12">
        <v>42263</v>
      </c>
      <c r="B4982">
        <v>2015</v>
      </c>
      <c r="C4982">
        <v>9</v>
      </c>
      <c r="D4982" s="11">
        <v>42248</v>
      </c>
      <c r="E4982" t="s">
        <v>2181</v>
      </c>
      <c r="F4982">
        <v>3</v>
      </c>
      <c r="G4982" t="s">
        <v>65</v>
      </c>
      <c r="H4982" t="s">
        <v>44</v>
      </c>
      <c r="I4982" t="s">
        <v>2192</v>
      </c>
      <c r="J4982" s="10">
        <v>6</v>
      </c>
      <c r="K4982" t="b">
        <v>1</v>
      </c>
    </row>
    <row r="4983" spans="1:11">
      <c r="A4983" s="12">
        <v>42263</v>
      </c>
      <c r="B4983">
        <v>2015</v>
      </c>
      <c r="C4983">
        <v>9</v>
      </c>
      <c r="D4983" s="11">
        <v>42248</v>
      </c>
      <c r="E4983" t="s">
        <v>2181</v>
      </c>
      <c r="F4983">
        <v>3</v>
      </c>
      <c r="G4983" t="s">
        <v>65</v>
      </c>
      <c r="H4983" t="s">
        <v>45</v>
      </c>
      <c r="I4983" t="s">
        <v>2193</v>
      </c>
      <c r="J4983" s="10">
        <v>0</v>
      </c>
      <c r="K4983" t="b">
        <v>1</v>
      </c>
    </row>
    <row r="4984" spans="1:11">
      <c r="A4984" s="12">
        <v>42263</v>
      </c>
      <c r="B4984">
        <v>2015</v>
      </c>
      <c r="C4984">
        <v>9</v>
      </c>
      <c r="D4984" s="11">
        <v>42248</v>
      </c>
      <c r="E4984" t="s">
        <v>2181</v>
      </c>
      <c r="F4984">
        <v>3</v>
      </c>
      <c r="G4984" t="s">
        <v>65</v>
      </c>
      <c r="H4984" t="s">
        <v>46</v>
      </c>
      <c r="I4984" t="s">
        <v>2194</v>
      </c>
      <c r="J4984" s="10">
        <v>2</v>
      </c>
      <c r="K4984" t="b">
        <v>1</v>
      </c>
    </row>
    <row r="4985" spans="1:11">
      <c r="A4985" s="12">
        <v>42263</v>
      </c>
      <c r="B4985">
        <v>2015</v>
      </c>
      <c r="C4985">
        <v>9</v>
      </c>
      <c r="D4985" s="11">
        <v>42248</v>
      </c>
      <c r="E4985" t="s">
        <v>2181</v>
      </c>
      <c r="F4985">
        <v>3</v>
      </c>
      <c r="G4985" t="s">
        <v>65</v>
      </c>
      <c r="H4985" t="s">
        <v>47</v>
      </c>
      <c r="I4985" t="s">
        <v>2195</v>
      </c>
      <c r="J4985" s="10">
        <v>1</v>
      </c>
      <c r="K4985" t="b">
        <v>1</v>
      </c>
    </row>
    <row r="4986" spans="1:11">
      <c r="A4986" s="12">
        <v>42264</v>
      </c>
      <c r="B4986">
        <v>2015</v>
      </c>
      <c r="C4986">
        <v>9</v>
      </c>
      <c r="D4986" s="11">
        <v>42248</v>
      </c>
      <c r="E4986" t="s">
        <v>2181</v>
      </c>
      <c r="F4986">
        <v>4</v>
      </c>
      <c r="G4986" t="s">
        <v>53</v>
      </c>
      <c r="H4986" t="s">
        <v>40</v>
      </c>
      <c r="I4986" t="s">
        <v>2188</v>
      </c>
      <c r="J4986" s="10">
        <v>9.83</v>
      </c>
      <c r="K4986" t="b">
        <v>1</v>
      </c>
    </row>
    <row r="4987" spans="1:11">
      <c r="A4987" s="12">
        <v>42264</v>
      </c>
      <c r="B4987">
        <v>2015</v>
      </c>
      <c r="C4987">
        <v>9</v>
      </c>
      <c r="D4987" s="11">
        <v>42248</v>
      </c>
      <c r="E4987" t="s">
        <v>2181</v>
      </c>
      <c r="F4987">
        <v>4</v>
      </c>
      <c r="G4987" t="s">
        <v>53</v>
      </c>
      <c r="H4987" t="s">
        <v>41</v>
      </c>
      <c r="I4987" t="s">
        <v>2189</v>
      </c>
      <c r="J4987" s="10">
        <v>6.33</v>
      </c>
      <c r="K4987" t="b">
        <v>1</v>
      </c>
    </row>
    <row r="4988" spans="1:11">
      <c r="A4988" s="12">
        <v>42264</v>
      </c>
      <c r="B4988">
        <v>2015</v>
      </c>
      <c r="C4988">
        <v>9</v>
      </c>
      <c r="D4988" s="11">
        <v>42248</v>
      </c>
      <c r="E4988" t="s">
        <v>2181</v>
      </c>
      <c r="F4988">
        <v>4</v>
      </c>
      <c r="G4988" t="s">
        <v>53</v>
      </c>
      <c r="H4988" t="s">
        <v>42</v>
      </c>
      <c r="I4988" t="s">
        <v>2190</v>
      </c>
      <c r="J4988" s="10">
        <v>0</v>
      </c>
      <c r="K4988" t="b">
        <v>1</v>
      </c>
    </row>
    <row r="4989" spans="1:11">
      <c r="A4989" s="12">
        <v>42264</v>
      </c>
      <c r="B4989">
        <v>2015</v>
      </c>
      <c r="C4989">
        <v>9</v>
      </c>
      <c r="D4989" s="11">
        <v>42248</v>
      </c>
      <c r="E4989" t="s">
        <v>2181</v>
      </c>
      <c r="F4989">
        <v>4</v>
      </c>
      <c r="G4989" t="s">
        <v>53</v>
      </c>
      <c r="H4989" t="s">
        <v>43</v>
      </c>
      <c r="I4989" t="s">
        <v>2191</v>
      </c>
      <c r="J4989" s="10">
        <v>35.5</v>
      </c>
      <c r="K4989" t="b">
        <v>1</v>
      </c>
    </row>
    <row r="4990" spans="1:11">
      <c r="A4990" s="12">
        <v>42264</v>
      </c>
      <c r="B4990">
        <v>2015</v>
      </c>
      <c r="C4990">
        <v>9</v>
      </c>
      <c r="D4990" s="11">
        <v>42248</v>
      </c>
      <c r="E4990" t="s">
        <v>2181</v>
      </c>
      <c r="F4990">
        <v>4</v>
      </c>
      <c r="G4990" t="s">
        <v>53</v>
      </c>
      <c r="H4990" t="s">
        <v>44</v>
      </c>
      <c r="I4990" t="s">
        <v>2192</v>
      </c>
      <c r="J4990" s="10">
        <v>3</v>
      </c>
      <c r="K4990" t="b">
        <v>1</v>
      </c>
    </row>
    <row r="4991" spans="1:11">
      <c r="A4991" s="12">
        <v>42264</v>
      </c>
      <c r="B4991">
        <v>2015</v>
      </c>
      <c r="C4991">
        <v>9</v>
      </c>
      <c r="D4991" s="11">
        <v>42248</v>
      </c>
      <c r="E4991" t="s">
        <v>2181</v>
      </c>
      <c r="F4991">
        <v>4</v>
      </c>
      <c r="G4991" t="s">
        <v>53</v>
      </c>
      <c r="H4991" t="s">
        <v>45</v>
      </c>
      <c r="I4991" t="s">
        <v>2193</v>
      </c>
      <c r="J4991" s="10">
        <v>0</v>
      </c>
      <c r="K4991" t="b">
        <v>1</v>
      </c>
    </row>
    <row r="4992" spans="1:11">
      <c r="A4992" s="12">
        <v>42264</v>
      </c>
      <c r="B4992">
        <v>2015</v>
      </c>
      <c r="C4992">
        <v>9</v>
      </c>
      <c r="D4992" s="11">
        <v>42248</v>
      </c>
      <c r="E4992" t="s">
        <v>2181</v>
      </c>
      <c r="F4992">
        <v>4</v>
      </c>
      <c r="G4992" t="s">
        <v>53</v>
      </c>
      <c r="H4992" t="s">
        <v>46</v>
      </c>
      <c r="I4992" t="s">
        <v>2194</v>
      </c>
      <c r="J4992" s="10">
        <v>1</v>
      </c>
      <c r="K4992" t="b">
        <v>1</v>
      </c>
    </row>
    <row r="4993" spans="1:11">
      <c r="A4993" s="12">
        <v>42264</v>
      </c>
      <c r="B4993">
        <v>2015</v>
      </c>
      <c r="C4993">
        <v>9</v>
      </c>
      <c r="D4993" s="11">
        <v>42248</v>
      </c>
      <c r="E4993" t="s">
        <v>2181</v>
      </c>
      <c r="F4993">
        <v>4</v>
      </c>
      <c r="G4993" t="s">
        <v>53</v>
      </c>
      <c r="H4993" t="s">
        <v>47</v>
      </c>
      <c r="I4993" t="s">
        <v>2195</v>
      </c>
      <c r="J4993" s="10">
        <v>2</v>
      </c>
      <c r="K4993" t="b">
        <v>1</v>
      </c>
    </row>
    <row r="4994" spans="1:11">
      <c r="A4994" s="12">
        <v>42265</v>
      </c>
      <c r="B4994">
        <v>2015</v>
      </c>
      <c r="C4994">
        <v>9</v>
      </c>
      <c r="D4994" s="11">
        <v>42248</v>
      </c>
      <c r="E4994" t="s">
        <v>2181</v>
      </c>
      <c r="F4994">
        <v>5</v>
      </c>
      <c r="G4994" t="s">
        <v>55</v>
      </c>
      <c r="H4994" t="s">
        <v>40</v>
      </c>
      <c r="I4994" t="s">
        <v>2188</v>
      </c>
      <c r="J4994" s="10">
        <v>3.34</v>
      </c>
      <c r="K4994" t="b">
        <v>1</v>
      </c>
    </row>
    <row r="4995" spans="1:11">
      <c r="A4995" s="12">
        <v>42265</v>
      </c>
      <c r="B4995">
        <v>2015</v>
      </c>
      <c r="C4995">
        <v>9</v>
      </c>
      <c r="D4995" s="11">
        <v>42248</v>
      </c>
      <c r="E4995" t="s">
        <v>2181</v>
      </c>
      <c r="F4995">
        <v>5</v>
      </c>
      <c r="G4995" t="s">
        <v>55</v>
      </c>
      <c r="H4995" t="s">
        <v>41</v>
      </c>
      <c r="I4995" t="s">
        <v>2189</v>
      </c>
      <c r="J4995" s="10">
        <v>1.33</v>
      </c>
      <c r="K4995" t="b">
        <v>1</v>
      </c>
    </row>
    <row r="4996" spans="1:11">
      <c r="A4996" s="12">
        <v>42265</v>
      </c>
      <c r="B4996">
        <v>2015</v>
      </c>
      <c r="C4996">
        <v>9</v>
      </c>
      <c r="D4996" s="11">
        <v>42248</v>
      </c>
      <c r="E4996" t="s">
        <v>2181</v>
      </c>
      <c r="F4996">
        <v>5</v>
      </c>
      <c r="G4996" t="s">
        <v>55</v>
      </c>
      <c r="H4996" t="s">
        <v>42</v>
      </c>
      <c r="I4996" t="s">
        <v>2190</v>
      </c>
      <c r="J4996" s="10">
        <v>3</v>
      </c>
      <c r="K4996" t="b">
        <v>1</v>
      </c>
    </row>
    <row r="4997" spans="1:11">
      <c r="A4997" s="12">
        <v>42265</v>
      </c>
      <c r="B4997">
        <v>2015</v>
      </c>
      <c r="C4997">
        <v>9</v>
      </c>
      <c r="D4997" s="11">
        <v>42248</v>
      </c>
      <c r="E4997" t="s">
        <v>2181</v>
      </c>
      <c r="F4997">
        <v>5</v>
      </c>
      <c r="G4997" t="s">
        <v>55</v>
      </c>
      <c r="H4997" t="s">
        <v>43</v>
      </c>
      <c r="I4997" t="s">
        <v>2191</v>
      </c>
      <c r="J4997" s="10">
        <v>16</v>
      </c>
      <c r="K4997" t="b">
        <v>1</v>
      </c>
    </row>
    <row r="4998" spans="1:11">
      <c r="A4998" s="12">
        <v>42265</v>
      </c>
      <c r="B4998">
        <v>2015</v>
      </c>
      <c r="C4998">
        <v>9</v>
      </c>
      <c r="D4998" s="11">
        <v>42248</v>
      </c>
      <c r="E4998" t="s">
        <v>2181</v>
      </c>
      <c r="F4998">
        <v>5</v>
      </c>
      <c r="G4998" t="s">
        <v>55</v>
      </c>
      <c r="H4998" t="s">
        <v>44</v>
      </c>
      <c r="I4998" t="s">
        <v>2192</v>
      </c>
      <c r="J4998" s="10">
        <v>4</v>
      </c>
      <c r="K4998" t="b">
        <v>1</v>
      </c>
    </row>
    <row r="4999" spans="1:11">
      <c r="A4999" s="12">
        <v>42265</v>
      </c>
      <c r="B4999">
        <v>2015</v>
      </c>
      <c r="C4999">
        <v>9</v>
      </c>
      <c r="D4999" s="11">
        <v>42248</v>
      </c>
      <c r="E4999" t="s">
        <v>2181</v>
      </c>
      <c r="F4999">
        <v>5</v>
      </c>
      <c r="G4999" t="s">
        <v>55</v>
      </c>
      <c r="H4999" t="s">
        <v>45</v>
      </c>
      <c r="I4999" t="s">
        <v>2193</v>
      </c>
      <c r="J4999" s="10">
        <v>0</v>
      </c>
      <c r="K4999" t="b">
        <v>1</v>
      </c>
    </row>
    <row r="5000" spans="1:11">
      <c r="A5000" s="12">
        <v>42265</v>
      </c>
      <c r="B5000">
        <v>2015</v>
      </c>
      <c r="C5000">
        <v>9</v>
      </c>
      <c r="D5000" s="11">
        <v>42248</v>
      </c>
      <c r="E5000" t="s">
        <v>2181</v>
      </c>
      <c r="F5000">
        <v>5</v>
      </c>
      <c r="G5000" t="s">
        <v>55</v>
      </c>
      <c r="H5000" t="s">
        <v>46</v>
      </c>
      <c r="I5000" t="s">
        <v>2194</v>
      </c>
      <c r="J5000" s="10">
        <v>4</v>
      </c>
      <c r="K5000" t="b">
        <v>1</v>
      </c>
    </row>
    <row r="5001" spans="1:11">
      <c r="A5001" s="12">
        <v>42265</v>
      </c>
      <c r="B5001">
        <v>2015</v>
      </c>
      <c r="C5001">
        <v>9</v>
      </c>
      <c r="D5001" s="11">
        <v>42248</v>
      </c>
      <c r="E5001" t="s">
        <v>2181</v>
      </c>
      <c r="F5001">
        <v>5</v>
      </c>
      <c r="G5001" t="s">
        <v>55</v>
      </c>
      <c r="H5001" t="s">
        <v>47</v>
      </c>
      <c r="I5001" t="s">
        <v>2195</v>
      </c>
      <c r="J5001" s="10">
        <v>3</v>
      </c>
      <c r="K5001" t="b">
        <v>1</v>
      </c>
    </row>
    <row r="5002" spans="1:11">
      <c r="A5002" s="12">
        <v>42266</v>
      </c>
      <c r="B5002">
        <v>2015</v>
      </c>
      <c r="C5002">
        <v>9</v>
      </c>
      <c r="D5002" s="11">
        <v>42248</v>
      </c>
      <c r="E5002" t="s">
        <v>2181</v>
      </c>
      <c r="F5002">
        <v>6</v>
      </c>
      <c r="G5002" t="s">
        <v>57</v>
      </c>
      <c r="H5002" t="s">
        <v>40</v>
      </c>
      <c r="I5002" t="s">
        <v>2188</v>
      </c>
      <c r="J5002" s="10">
        <v>6.83</v>
      </c>
      <c r="K5002" t="b">
        <v>1</v>
      </c>
    </row>
    <row r="5003" spans="1:11">
      <c r="A5003" s="12">
        <v>42266</v>
      </c>
      <c r="B5003">
        <v>2015</v>
      </c>
      <c r="C5003">
        <v>9</v>
      </c>
      <c r="D5003" s="11">
        <v>42248</v>
      </c>
      <c r="E5003" t="s">
        <v>2181</v>
      </c>
      <c r="F5003">
        <v>6</v>
      </c>
      <c r="G5003" t="s">
        <v>57</v>
      </c>
      <c r="H5003" t="s">
        <v>41</v>
      </c>
      <c r="I5003" t="s">
        <v>2189</v>
      </c>
      <c r="J5003" s="10">
        <v>0.99</v>
      </c>
      <c r="K5003" t="b">
        <v>1</v>
      </c>
    </row>
    <row r="5004" spans="1:11">
      <c r="A5004" s="12">
        <v>42266</v>
      </c>
      <c r="B5004">
        <v>2015</v>
      </c>
      <c r="C5004">
        <v>9</v>
      </c>
      <c r="D5004" s="11">
        <v>42248</v>
      </c>
      <c r="E5004" t="s">
        <v>2181</v>
      </c>
      <c r="F5004">
        <v>6</v>
      </c>
      <c r="G5004" t="s">
        <v>57</v>
      </c>
      <c r="H5004" t="s">
        <v>42</v>
      </c>
      <c r="I5004" t="s">
        <v>2190</v>
      </c>
      <c r="J5004" s="10">
        <v>7</v>
      </c>
      <c r="K5004" t="b">
        <v>1</v>
      </c>
    </row>
    <row r="5005" spans="1:11">
      <c r="A5005" s="12">
        <v>42266</v>
      </c>
      <c r="B5005">
        <v>2015</v>
      </c>
      <c r="C5005">
        <v>9</v>
      </c>
      <c r="D5005" s="11">
        <v>42248</v>
      </c>
      <c r="E5005" t="s">
        <v>2181</v>
      </c>
      <c r="F5005">
        <v>6</v>
      </c>
      <c r="G5005" t="s">
        <v>57</v>
      </c>
      <c r="H5005" t="s">
        <v>43</v>
      </c>
      <c r="I5005" t="s">
        <v>2191</v>
      </c>
      <c r="J5005" s="10">
        <v>37</v>
      </c>
      <c r="K5005" t="b">
        <v>1</v>
      </c>
    </row>
    <row r="5006" spans="1:11">
      <c r="A5006" s="12">
        <v>42266</v>
      </c>
      <c r="B5006">
        <v>2015</v>
      </c>
      <c r="C5006">
        <v>9</v>
      </c>
      <c r="D5006" s="11">
        <v>42248</v>
      </c>
      <c r="E5006" t="s">
        <v>2181</v>
      </c>
      <c r="F5006">
        <v>6</v>
      </c>
      <c r="G5006" t="s">
        <v>57</v>
      </c>
      <c r="H5006" t="s">
        <v>44</v>
      </c>
      <c r="I5006" t="s">
        <v>2192</v>
      </c>
      <c r="J5006" s="10">
        <v>7</v>
      </c>
      <c r="K5006" t="b">
        <v>1</v>
      </c>
    </row>
    <row r="5007" spans="1:11">
      <c r="A5007" s="12">
        <v>42266</v>
      </c>
      <c r="B5007">
        <v>2015</v>
      </c>
      <c r="C5007">
        <v>9</v>
      </c>
      <c r="D5007" s="11">
        <v>42248</v>
      </c>
      <c r="E5007" t="s">
        <v>2181</v>
      </c>
      <c r="F5007">
        <v>6</v>
      </c>
      <c r="G5007" t="s">
        <v>57</v>
      </c>
      <c r="H5007" t="s">
        <v>45</v>
      </c>
      <c r="I5007" t="s">
        <v>2193</v>
      </c>
      <c r="J5007" s="10">
        <v>0</v>
      </c>
      <c r="K5007" t="b">
        <v>1</v>
      </c>
    </row>
    <row r="5008" spans="1:11">
      <c r="A5008" s="12">
        <v>42266</v>
      </c>
      <c r="B5008">
        <v>2015</v>
      </c>
      <c r="C5008">
        <v>9</v>
      </c>
      <c r="D5008" s="11">
        <v>42248</v>
      </c>
      <c r="E5008" t="s">
        <v>2181</v>
      </c>
      <c r="F5008">
        <v>6</v>
      </c>
      <c r="G5008" t="s">
        <v>57</v>
      </c>
      <c r="H5008" t="s">
        <v>46</v>
      </c>
      <c r="I5008" t="s">
        <v>2194</v>
      </c>
      <c r="J5008" s="10">
        <v>4</v>
      </c>
      <c r="K5008" t="b">
        <v>1</v>
      </c>
    </row>
    <row r="5009" spans="1:11">
      <c r="A5009" s="12">
        <v>42266</v>
      </c>
      <c r="B5009">
        <v>2015</v>
      </c>
      <c r="C5009">
        <v>9</v>
      </c>
      <c r="D5009" s="11">
        <v>42248</v>
      </c>
      <c r="E5009" t="s">
        <v>2181</v>
      </c>
      <c r="F5009">
        <v>6</v>
      </c>
      <c r="G5009" t="s">
        <v>57</v>
      </c>
      <c r="H5009" t="s">
        <v>47</v>
      </c>
      <c r="I5009" t="s">
        <v>2195</v>
      </c>
      <c r="J5009" s="10">
        <v>5</v>
      </c>
      <c r="K5009" t="b">
        <v>1</v>
      </c>
    </row>
    <row r="5010" spans="1:11">
      <c r="A5010" s="12">
        <v>42267</v>
      </c>
      <c r="B5010">
        <v>2015</v>
      </c>
      <c r="C5010">
        <v>9</v>
      </c>
      <c r="D5010" s="11">
        <v>42248</v>
      </c>
      <c r="E5010" t="s">
        <v>2181</v>
      </c>
      <c r="F5010">
        <v>7</v>
      </c>
      <c r="G5010" t="s">
        <v>59</v>
      </c>
      <c r="H5010" t="s">
        <v>40</v>
      </c>
      <c r="I5010" t="s">
        <v>2188</v>
      </c>
      <c r="J5010" s="10">
        <v>9.99</v>
      </c>
      <c r="K5010" t="b">
        <v>1</v>
      </c>
    </row>
    <row r="5011" spans="1:11">
      <c r="A5011" s="12">
        <v>42267</v>
      </c>
      <c r="B5011">
        <v>2015</v>
      </c>
      <c r="C5011">
        <v>9</v>
      </c>
      <c r="D5011" s="11">
        <v>42248</v>
      </c>
      <c r="E5011" t="s">
        <v>2181</v>
      </c>
      <c r="F5011">
        <v>7</v>
      </c>
      <c r="G5011" t="s">
        <v>59</v>
      </c>
      <c r="H5011" t="s">
        <v>41</v>
      </c>
      <c r="I5011" t="s">
        <v>2189</v>
      </c>
      <c r="J5011" s="10">
        <v>3.99</v>
      </c>
      <c r="K5011" t="b">
        <v>1</v>
      </c>
    </row>
    <row r="5012" spans="1:11">
      <c r="A5012" s="12">
        <v>42267</v>
      </c>
      <c r="B5012">
        <v>2015</v>
      </c>
      <c r="C5012">
        <v>9</v>
      </c>
      <c r="D5012" s="11">
        <v>42248</v>
      </c>
      <c r="E5012" t="s">
        <v>2181</v>
      </c>
      <c r="F5012">
        <v>7</v>
      </c>
      <c r="G5012" t="s">
        <v>59</v>
      </c>
      <c r="H5012" t="s">
        <v>42</v>
      </c>
      <c r="I5012" t="s">
        <v>2190</v>
      </c>
      <c r="J5012" s="10">
        <v>6.5</v>
      </c>
      <c r="K5012" t="b">
        <v>1</v>
      </c>
    </row>
    <row r="5013" spans="1:11">
      <c r="A5013" s="12">
        <v>42267</v>
      </c>
      <c r="B5013">
        <v>2015</v>
      </c>
      <c r="C5013">
        <v>9</v>
      </c>
      <c r="D5013" s="11">
        <v>42248</v>
      </c>
      <c r="E5013" t="s">
        <v>2181</v>
      </c>
      <c r="F5013">
        <v>7</v>
      </c>
      <c r="G5013" t="s">
        <v>59</v>
      </c>
      <c r="H5013" t="s">
        <v>43</v>
      </c>
      <c r="I5013" t="s">
        <v>2191</v>
      </c>
      <c r="J5013" s="10">
        <v>28.9</v>
      </c>
      <c r="K5013" t="b">
        <v>1</v>
      </c>
    </row>
    <row r="5014" spans="1:11">
      <c r="A5014" s="12">
        <v>42267</v>
      </c>
      <c r="B5014">
        <v>2015</v>
      </c>
      <c r="C5014">
        <v>9</v>
      </c>
      <c r="D5014" s="11">
        <v>42248</v>
      </c>
      <c r="E5014" t="s">
        <v>2181</v>
      </c>
      <c r="F5014">
        <v>7</v>
      </c>
      <c r="G5014" t="s">
        <v>59</v>
      </c>
      <c r="H5014" t="s">
        <v>44</v>
      </c>
      <c r="I5014" t="s">
        <v>2192</v>
      </c>
      <c r="J5014" s="10">
        <v>15</v>
      </c>
      <c r="K5014" t="b">
        <v>1</v>
      </c>
    </row>
    <row r="5015" spans="1:11">
      <c r="A5015" s="12">
        <v>42267</v>
      </c>
      <c r="B5015">
        <v>2015</v>
      </c>
      <c r="C5015">
        <v>9</v>
      </c>
      <c r="D5015" s="11">
        <v>42248</v>
      </c>
      <c r="E5015" t="s">
        <v>2181</v>
      </c>
      <c r="F5015">
        <v>7</v>
      </c>
      <c r="G5015" t="s">
        <v>59</v>
      </c>
      <c r="H5015" t="s">
        <v>45</v>
      </c>
      <c r="I5015" t="s">
        <v>2193</v>
      </c>
      <c r="J5015" s="10">
        <v>0</v>
      </c>
      <c r="K5015" t="b">
        <v>1</v>
      </c>
    </row>
    <row r="5016" spans="1:11">
      <c r="A5016" s="12">
        <v>42267</v>
      </c>
      <c r="B5016">
        <v>2015</v>
      </c>
      <c r="C5016">
        <v>9</v>
      </c>
      <c r="D5016" s="11">
        <v>42248</v>
      </c>
      <c r="E5016" t="s">
        <v>2181</v>
      </c>
      <c r="F5016">
        <v>7</v>
      </c>
      <c r="G5016" t="s">
        <v>59</v>
      </c>
      <c r="H5016" t="s">
        <v>46</v>
      </c>
      <c r="I5016" t="s">
        <v>2194</v>
      </c>
      <c r="J5016" s="10">
        <v>0</v>
      </c>
      <c r="K5016" t="b">
        <v>1</v>
      </c>
    </row>
    <row r="5017" spans="1:11">
      <c r="A5017" s="12">
        <v>42267</v>
      </c>
      <c r="B5017">
        <v>2015</v>
      </c>
      <c r="C5017">
        <v>9</v>
      </c>
      <c r="D5017" s="11">
        <v>42248</v>
      </c>
      <c r="E5017" t="s">
        <v>2181</v>
      </c>
      <c r="F5017">
        <v>7</v>
      </c>
      <c r="G5017" t="s">
        <v>59</v>
      </c>
      <c r="H5017" t="s">
        <v>47</v>
      </c>
      <c r="I5017" t="s">
        <v>2195</v>
      </c>
      <c r="J5017" s="10">
        <v>2</v>
      </c>
      <c r="K5017" t="b">
        <v>1</v>
      </c>
    </row>
    <row r="5018" spans="1:11">
      <c r="A5018" s="12">
        <v>42268</v>
      </c>
      <c r="B5018">
        <v>2015</v>
      </c>
      <c r="C5018">
        <v>9</v>
      </c>
      <c r="D5018" s="11">
        <v>42248</v>
      </c>
      <c r="E5018" t="s">
        <v>2181</v>
      </c>
      <c r="F5018">
        <v>1</v>
      </c>
      <c r="G5018" t="s">
        <v>61</v>
      </c>
      <c r="H5018" t="s">
        <v>40</v>
      </c>
      <c r="I5018" t="s">
        <v>2188</v>
      </c>
      <c r="J5018" s="10">
        <v>2</v>
      </c>
      <c r="K5018" t="b">
        <v>1</v>
      </c>
    </row>
    <row r="5019" spans="1:11">
      <c r="A5019" s="12">
        <v>42268</v>
      </c>
      <c r="B5019">
        <v>2015</v>
      </c>
      <c r="C5019">
        <v>9</v>
      </c>
      <c r="D5019" s="11">
        <v>42248</v>
      </c>
      <c r="E5019" t="s">
        <v>2181</v>
      </c>
      <c r="F5019">
        <v>1</v>
      </c>
      <c r="G5019" t="s">
        <v>61</v>
      </c>
      <c r="H5019" t="s">
        <v>41</v>
      </c>
      <c r="I5019" t="s">
        <v>2189</v>
      </c>
      <c r="J5019" s="10">
        <v>10</v>
      </c>
      <c r="K5019" t="b">
        <v>1</v>
      </c>
    </row>
    <row r="5020" spans="1:11">
      <c r="A5020" s="12">
        <v>42268</v>
      </c>
      <c r="B5020">
        <v>2015</v>
      </c>
      <c r="C5020">
        <v>9</v>
      </c>
      <c r="D5020" s="11">
        <v>42248</v>
      </c>
      <c r="E5020" t="s">
        <v>2181</v>
      </c>
      <c r="F5020">
        <v>1</v>
      </c>
      <c r="G5020" t="s">
        <v>61</v>
      </c>
      <c r="H5020" t="s">
        <v>42</v>
      </c>
      <c r="I5020" t="s">
        <v>2190</v>
      </c>
      <c r="J5020" s="10">
        <v>2</v>
      </c>
      <c r="K5020" t="b">
        <v>1</v>
      </c>
    </row>
    <row r="5021" spans="1:11">
      <c r="A5021" s="12">
        <v>42268</v>
      </c>
      <c r="B5021">
        <v>2015</v>
      </c>
      <c r="C5021">
        <v>9</v>
      </c>
      <c r="D5021" s="11">
        <v>42248</v>
      </c>
      <c r="E5021" t="s">
        <v>2181</v>
      </c>
      <c r="F5021">
        <v>1</v>
      </c>
      <c r="G5021" t="s">
        <v>61</v>
      </c>
      <c r="H5021" t="s">
        <v>43</v>
      </c>
      <c r="I5021" t="s">
        <v>2191</v>
      </c>
      <c r="J5021" s="10">
        <v>46.7</v>
      </c>
      <c r="K5021" t="b">
        <v>1</v>
      </c>
    </row>
    <row r="5022" spans="1:11">
      <c r="A5022" s="12">
        <v>42268</v>
      </c>
      <c r="B5022">
        <v>2015</v>
      </c>
      <c r="C5022">
        <v>9</v>
      </c>
      <c r="D5022" s="11">
        <v>42248</v>
      </c>
      <c r="E5022" t="s">
        <v>2181</v>
      </c>
      <c r="F5022">
        <v>1</v>
      </c>
      <c r="G5022" t="s">
        <v>61</v>
      </c>
      <c r="H5022" t="s">
        <v>44</v>
      </c>
      <c r="I5022" t="s">
        <v>2192</v>
      </c>
      <c r="J5022" s="10">
        <v>6</v>
      </c>
      <c r="K5022" t="b">
        <v>1</v>
      </c>
    </row>
    <row r="5023" spans="1:11">
      <c r="A5023" s="12">
        <v>42268</v>
      </c>
      <c r="B5023">
        <v>2015</v>
      </c>
      <c r="C5023">
        <v>9</v>
      </c>
      <c r="D5023" s="11">
        <v>42248</v>
      </c>
      <c r="E5023" t="s">
        <v>2181</v>
      </c>
      <c r="F5023">
        <v>1</v>
      </c>
      <c r="G5023" t="s">
        <v>61</v>
      </c>
      <c r="H5023" t="s">
        <v>45</v>
      </c>
      <c r="I5023" t="s">
        <v>2193</v>
      </c>
      <c r="J5023" s="10">
        <v>0</v>
      </c>
      <c r="K5023" t="b">
        <v>1</v>
      </c>
    </row>
    <row r="5024" spans="1:11">
      <c r="A5024" s="12">
        <v>42268</v>
      </c>
      <c r="B5024">
        <v>2015</v>
      </c>
      <c r="C5024">
        <v>9</v>
      </c>
      <c r="D5024" s="11">
        <v>42248</v>
      </c>
      <c r="E5024" t="s">
        <v>2181</v>
      </c>
      <c r="F5024">
        <v>1</v>
      </c>
      <c r="G5024" t="s">
        <v>61</v>
      </c>
      <c r="H5024" t="s">
        <v>46</v>
      </c>
      <c r="I5024" t="s">
        <v>2194</v>
      </c>
      <c r="J5024" s="10">
        <v>0</v>
      </c>
      <c r="K5024" t="b">
        <v>1</v>
      </c>
    </row>
    <row r="5025" spans="1:11">
      <c r="A5025" s="12">
        <v>42268</v>
      </c>
      <c r="B5025">
        <v>2015</v>
      </c>
      <c r="C5025">
        <v>9</v>
      </c>
      <c r="D5025" s="11">
        <v>42248</v>
      </c>
      <c r="E5025" t="s">
        <v>2181</v>
      </c>
      <c r="F5025">
        <v>1</v>
      </c>
      <c r="G5025" t="s">
        <v>61</v>
      </c>
      <c r="H5025" t="s">
        <v>47</v>
      </c>
      <c r="I5025" t="s">
        <v>2195</v>
      </c>
      <c r="J5025" s="10">
        <v>2</v>
      </c>
      <c r="K5025" t="b">
        <v>1</v>
      </c>
    </row>
    <row r="5026" spans="1:11">
      <c r="A5026" s="12">
        <v>42269</v>
      </c>
      <c r="B5026">
        <v>2015</v>
      </c>
      <c r="C5026">
        <v>9</v>
      </c>
      <c r="D5026" s="11">
        <v>42248</v>
      </c>
      <c r="E5026" t="s">
        <v>2181</v>
      </c>
      <c r="F5026">
        <v>2</v>
      </c>
      <c r="G5026" t="s">
        <v>63</v>
      </c>
      <c r="H5026" t="s">
        <v>40</v>
      </c>
      <c r="I5026" t="s">
        <v>2188</v>
      </c>
      <c r="J5026" s="10">
        <v>6.99</v>
      </c>
      <c r="K5026" t="b">
        <v>1</v>
      </c>
    </row>
    <row r="5027" spans="1:11">
      <c r="A5027" s="12">
        <v>42269</v>
      </c>
      <c r="B5027">
        <v>2015</v>
      </c>
      <c r="C5027">
        <v>9</v>
      </c>
      <c r="D5027" s="11">
        <v>42248</v>
      </c>
      <c r="E5027" t="s">
        <v>2181</v>
      </c>
      <c r="F5027">
        <v>2</v>
      </c>
      <c r="G5027" t="s">
        <v>63</v>
      </c>
      <c r="H5027" t="s">
        <v>41</v>
      </c>
      <c r="I5027" t="s">
        <v>2189</v>
      </c>
      <c r="J5027" s="10">
        <v>1.33</v>
      </c>
      <c r="K5027" t="b">
        <v>1</v>
      </c>
    </row>
    <row r="5028" spans="1:11">
      <c r="A5028" s="12">
        <v>42269</v>
      </c>
      <c r="B5028">
        <v>2015</v>
      </c>
      <c r="C5028">
        <v>9</v>
      </c>
      <c r="D5028" s="11">
        <v>42248</v>
      </c>
      <c r="E5028" t="s">
        <v>2181</v>
      </c>
      <c r="F5028">
        <v>2</v>
      </c>
      <c r="G5028" t="s">
        <v>63</v>
      </c>
      <c r="H5028" t="s">
        <v>42</v>
      </c>
      <c r="I5028" t="s">
        <v>2190</v>
      </c>
      <c r="J5028" s="10">
        <v>4</v>
      </c>
      <c r="K5028" t="b">
        <v>1</v>
      </c>
    </row>
    <row r="5029" spans="1:11">
      <c r="A5029" s="12">
        <v>42269</v>
      </c>
      <c r="B5029">
        <v>2015</v>
      </c>
      <c r="C5029">
        <v>9</v>
      </c>
      <c r="D5029" s="11">
        <v>42248</v>
      </c>
      <c r="E5029" t="s">
        <v>2181</v>
      </c>
      <c r="F5029">
        <v>2</v>
      </c>
      <c r="G5029" t="s">
        <v>63</v>
      </c>
      <c r="H5029" t="s">
        <v>43</v>
      </c>
      <c r="I5029" t="s">
        <v>2191</v>
      </c>
      <c r="J5029" s="10">
        <v>19.5</v>
      </c>
      <c r="K5029" t="b">
        <v>1</v>
      </c>
    </row>
    <row r="5030" spans="1:11">
      <c r="A5030" s="12">
        <v>42269</v>
      </c>
      <c r="B5030">
        <v>2015</v>
      </c>
      <c r="C5030">
        <v>9</v>
      </c>
      <c r="D5030" s="11">
        <v>42248</v>
      </c>
      <c r="E5030" t="s">
        <v>2181</v>
      </c>
      <c r="F5030">
        <v>2</v>
      </c>
      <c r="G5030" t="s">
        <v>63</v>
      </c>
      <c r="H5030" t="s">
        <v>44</v>
      </c>
      <c r="I5030" t="s">
        <v>2192</v>
      </c>
      <c r="J5030" s="10">
        <v>10</v>
      </c>
      <c r="K5030" t="b">
        <v>1</v>
      </c>
    </row>
    <row r="5031" spans="1:11">
      <c r="A5031" s="12">
        <v>42269</v>
      </c>
      <c r="B5031">
        <v>2015</v>
      </c>
      <c r="C5031">
        <v>9</v>
      </c>
      <c r="D5031" s="11">
        <v>42248</v>
      </c>
      <c r="E5031" t="s">
        <v>2181</v>
      </c>
      <c r="F5031">
        <v>2</v>
      </c>
      <c r="G5031" t="s">
        <v>63</v>
      </c>
      <c r="H5031" t="s">
        <v>45</v>
      </c>
      <c r="I5031" t="s">
        <v>2193</v>
      </c>
      <c r="J5031" s="10">
        <v>2</v>
      </c>
      <c r="K5031" t="b">
        <v>1</v>
      </c>
    </row>
    <row r="5032" spans="1:11">
      <c r="A5032" s="12">
        <v>42269</v>
      </c>
      <c r="B5032">
        <v>2015</v>
      </c>
      <c r="C5032">
        <v>9</v>
      </c>
      <c r="D5032" s="11">
        <v>42248</v>
      </c>
      <c r="E5032" t="s">
        <v>2181</v>
      </c>
      <c r="F5032">
        <v>2</v>
      </c>
      <c r="G5032" t="s">
        <v>63</v>
      </c>
      <c r="H5032" t="s">
        <v>46</v>
      </c>
      <c r="I5032" t="s">
        <v>2194</v>
      </c>
      <c r="J5032" s="10">
        <v>5</v>
      </c>
      <c r="K5032" t="b">
        <v>1</v>
      </c>
    </row>
    <row r="5033" spans="1:11">
      <c r="A5033" s="12">
        <v>42269</v>
      </c>
      <c r="B5033">
        <v>2015</v>
      </c>
      <c r="C5033">
        <v>9</v>
      </c>
      <c r="D5033" s="11">
        <v>42248</v>
      </c>
      <c r="E5033" t="s">
        <v>2181</v>
      </c>
      <c r="F5033">
        <v>2</v>
      </c>
      <c r="G5033" t="s">
        <v>63</v>
      </c>
      <c r="H5033" t="s">
        <v>47</v>
      </c>
      <c r="I5033" t="s">
        <v>2195</v>
      </c>
      <c r="J5033" s="10">
        <v>5</v>
      </c>
      <c r="K5033" t="b">
        <v>1</v>
      </c>
    </row>
    <row r="5034" spans="1:11">
      <c r="A5034" s="12">
        <v>42270</v>
      </c>
      <c r="B5034">
        <v>2015</v>
      </c>
      <c r="C5034">
        <v>9</v>
      </c>
      <c r="D5034" s="11">
        <v>42248</v>
      </c>
      <c r="E5034" t="s">
        <v>2181</v>
      </c>
      <c r="F5034">
        <v>3</v>
      </c>
      <c r="G5034" t="s">
        <v>65</v>
      </c>
      <c r="H5034" t="s">
        <v>40</v>
      </c>
      <c r="I5034" t="s">
        <v>2188</v>
      </c>
      <c r="J5034" s="10">
        <v>6.16</v>
      </c>
      <c r="K5034" t="b">
        <v>1</v>
      </c>
    </row>
    <row r="5035" spans="1:11">
      <c r="A5035" s="12">
        <v>42270</v>
      </c>
      <c r="B5035">
        <v>2015</v>
      </c>
      <c r="C5035">
        <v>9</v>
      </c>
      <c r="D5035" s="11">
        <v>42248</v>
      </c>
      <c r="E5035" t="s">
        <v>2181</v>
      </c>
      <c r="F5035">
        <v>3</v>
      </c>
      <c r="G5035" t="s">
        <v>65</v>
      </c>
      <c r="H5035" t="s">
        <v>41</v>
      </c>
      <c r="I5035" t="s">
        <v>2189</v>
      </c>
      <c r="J5035" s="10">
        <v>4.056</v>
      </c>
      <c r="K5035" t="b">
        <v>1</v>
      </c>
    </row>
    <row r="5036" spans="1:11">
      <c r="A5036" s="12">
        <v>42270</v>
      </c>
      <c r="B5036">
        <v>2015</v>
      </c>
      <c r="C5036">
        <v>9</v>
      </c>
      <c r="D5036" s="11">
        <v>42248</v>
      </c>
      <c r="E5036" t="s">
        <v>2181</v>
      </c>
      <c r="F5036">
        <v>3</v>
      </c>
      <c r="G5036" t="s">
        <v>65</v>
      </c>
      <c r="H5036" t="s">
        <v>42</v>
      </c>
      <c r="I5036" t="s">
        <v>2190</v>
      </c>
      <c r="J5036" s="10">
        <v>3.3</v>
      </c>
      <c r="K5036" t="b">
        <v>1</v>
      </c>
    </row>
    <row r="5037" spans="1:11">
      <c r="A5037" s="12">
        <v>42270</v>
      </c>
      <c r="B5037">
        <v>2015</v>
      </c>
      <c r="C5037">
        <v>9</v>
      </c>
      <c r="D5037" s="11">
        <v>42248</v>
      </c>
      <c r="E5037" t="s">
        <v>2181</v>
      </c>
      <c r="F5037">
        <v>3</v>
      </c>
      <c r="G5037" t="s">
        <v>65</v>
      </c>
      <c r="H5037" t="s">
        <v>43</v>
      </c>
      <c r="I5037" t="s">
        <v>2191</v>
      </c>
      <c r="J5037" s="10">
        <v>34.65</v>
      </c>
      <c r="K5037" t="b">
        <v>1</v>
      </c>
    </row>
    <row r="5038" spans="1:11">
      <c r="A5038" s="12">
        <v>42270</v>
      </c>
      <c r="B5038">
        <v>2015</v>
      </c>
      <c r="C5038">
        <v>9</v>
      </c>
      <c r="D5038" s="11">
        <v>42248</v>
      </c>
      <c r="E5038" t="s">
        <v>2181</v>
      </c>
      <c r="F5038">
        <v>3</v>
      </c>
      <c r="G5038" t="s">
        <v>65</v>
      </c>
      <c r="H5038" t="s">
        <v>44</v>
      </c>
      <c r="I5038" t="s">
        <v>2192</v>
      </c>
      <c r="J5038" s="10">
        <v>7</v>
      </c>
      <c r="K5038" t="b">
        <v>1</v>
      </c>
    </row>
    <row r="5039" spans="1:11">
      <c r="A5039" s="12">
        <v>42270</v>
      </c>
      <c r="B5039">
        <v>2015</v>
      </c>
      <c r="C5039">
        <v>9</v>
      </c>
      <c r="D5039" s="11">
        <v>42248</v>
      </c>
      <c r="E5039" t="s">
        <v>2181</v>
      </c>
      <c r="F5039">
        <v>3</v>
      </c>
      <c r="G5039" t="s">
        <v>65</v>
      </c>
      <c r="H5039" t="s">
        <v>45</v>
      </c>
      <c r="I5039" t="s">
        <v>2193</v>
      </c>
      <c r="J5039" s="10">
        <v>0</v>
      </c>
      <c r="K5039" t="b">
        <v>1</v>
      </c>
    </row>
    <row r="5040" spans="1:11">
      <c r="A5040" s="12">
        <v>42270</v>
      </c>
      <c r="B5040">
        <v>2015</v>
      </c>
      <c r="C5040">
        <v>9</v>
      </c>
      <c r="D5040" s="11">
        <v>42248</v>
      </c>
      <c r="E5040" t="s">
        <v>2181</v>
      </c>
      <c r="F5040">
        <v>3</v>
      </c>
      <c r="G5040" t="s">
        <v>65</v>
      </c>
      <c r="H5040" t="s">
        <v>46</v>
      </c>
      <c r="I5040" t="s">
        <v>2194</v>
      </c>
      <c r="J5040" s="10">
        <v>2</v>
      </c>
      <c r="K5040" t="b">
        <v>1</v>
      </c>
    </row>
    <row r="5041" spans="1:11">
      <c r="A5041" s="12">
        <v>42270</v>
      </c>
      <c r="B5041">
        <v>2015</v>
      </c>
      <c r="C5041">
        <v>9</v>
      </c>
      <c r="D5041" s="11">
        <v>42248</v>
      </c>
      <c r="E5041" t="s">
        <v>2181</v>
      </c>
      <c r="F5041">
        <v>3</v>
      </c>
      <c r="G5041" t="s">
        <v>65</v>
      </c>
      <c r="H5041" t="s">
        <v>47</v>
      </c>
      <c r="I5041" t="s">
        <v>2195</v>
      </c>
      <c r="J5041" s="10">
        <v>1</v>
      </c>
      <c r="K5041" t="b">
        <v>1</v>
      </c>
    </row>
    <row r="5042" spans="1:11">
      <c r="A5042" s="12">
        <v>42271</v>
      </c>
      <c r="B5042">
        <v>2015</v>
      </c>
      <c r="C5042">
        <v>9</v>
      </c>
      <c r="D5042" s="11">
        <v>42248</v>
      </c>
      <c r="E5042" t="s">
        <v>2181</v>
      </c>
      <c r="F5042">
        <v>4</v>
      </c>
      <c r="G5042" t="s">
        <v>53</v>
      </c>
      <c r="H5042" t="s">
        <v>40</v>
      </c>
      <c r="I5042" t="s">
        <v>2188</v>
      </c>
      <c r="J5042" s="10">
        <v>2.99</v>
      </c>
      <c r="K5042" t="b">
        <v>1</v>
      </c>
    </row>
    <row r="5043" spans="1:11">
      <c r="A5043" s="12">
        <v>42271</v>
      </c>
      <c r="B5043">
        <v>2015</v>
      </c>
      <c r="C5043">
        <v>9</v>
      </c>
      <c r="D5043" s="11">
        <v>42248</v>
      </c>
      <c r="E5043" t="s">
        <v>2181</v>
      </c>
      <c r="F5043">
        <v>4</v>
      </c>
      <c r="G5043" t="s">
        <v>53</v>
      </c>
      <c r="H5043" t="s">
        <v>41</v>
      </c>
      <c r="I5043" t="s">
        <v>2189</v>
      </c>
      <c r="J5043" s="10">
        <v>4.34</v>
      </c>
      <c r="K5043" t="b">
        <v>1</v>
      </c>
    </row>
    <row r="5044" spans="1:11">
      <c r="A5044" s="12">
        <v>42271</v>
      </c>
      <c r="B5044">
        <v>2015</v>
      </c>
      <c r="C5044">
        <v>9</v>
      </c>
      <c r="D5044" s="11">
        <v>42248</v>
      </c>
      <c r="E5044" t="s">
        <v>2181</v>
      </c>
      <c r="F5044">
        <v>4</v>
      </c>
      <c r="G5044" t="s">
        <v>53</v>
      </c>
      <c r="H5044" t="s">
        <v>42</v>
      </c>
      <c r="I5044" t="s">
        <v>2190</v>
      </c>
      <c r="J5044" s="10">
        <v>4.2</v>
      </c>
      <c r="K5044" t="b">
        <v>1</v>
      </c>
    </row>
    <row r="5045" spans="1:11">
      <c r="A5045" s="12">
        <v>42271</v>
      </c>
      <c r="B5045">
        <v>2015</v>
      </c>
      <c r="C5045">
        <v>9</v>
      </c>
      <c r="D5045" s="11">
        <v>42248</v>
      </c>
      <c r="E5045" t="s">
        <v>2181</v>
      </c>
      <c r="F5045">
        <v>4</v>
      </c>
      <c r="G5045" t="s">
        <v>53</v>
      </c>
      <c r="H5045" t="s">
        <v>43</v>
      </c>
      <c r="I5045" t="s">
        <v>2191</v>
      </c>
      <c r="J5045" s="10">
        <v>37.6</v>
      </c>
      <c r="K5045" t="b">
        <v>1</v>
      </c>
    </row>
    <row r="5046" spans="1:11">
      <c r="A5046" s="12">
        <v>42271</v>
      </c>
      <c r="B5046">
        <v>2015</v>
      </c>
      <c r="C5046">
        <v>9</v>
      </c>
      <c r="D5046" s="11">
        <v>42248</v>
      </c>
      <c r="E5046" t="s">
        <v>2181</v>
      </c>
      <c r="F5046">
        <v>4</v>
      </c>
      <c r="G5046" t="s">
        <v>53</v>
      </c>
      <c r="H5046" t="s">
        <v>44</v>
      </c>
      <c r="I5046" t="s">
        <v>2192</v>
      </c>
      <c r="J5046" s="10">
        <v>7</v>
      </c>
      <c r="K5046" t="b">
        <v>1</v>
      </c>
    </row>
    <row r="5047" spans="1:11">
      <c r="A5047" s="12">
        <v>42271</v>
      </c>
      <c r="B5047">
        <v>2015</v>
      </c>
      <c r="C5047">
        <v>9</v>
      </c>
      <c r="D5047" s="11">
        <v>42248</v>
      </c>
      <c r="E5047" t="s">
        <v>2181</v>
      </c>
      <c r="F5047">
        <v>4</v>
      </c>
      <c r="G5047" t="s">
        <v>53</v>
      </c>
      <c r="H5047" t="s">
        <v>45</v>
      </c>
      <c r="I5047" t="s">
        <v>2193</v>
      </c>
      <c r="J5047" s="10">
        <v>0</v>
      </c>
      <c r="K5047" t="b">
        <v>1</v>
      </c>
    </row>
    <row r="5048" spans="1:11">
      <c r="A5048" s="12">
        <v>42271</v>
      </c>
      <c r="B5048">
        <v>2015</v>
      </c>
      <c r="C5048">
        <v>9</v>
      </c>
      <c r="D5048" s="11">
        <v>42248</v>
      </c>
      <c r="E5048" t="s">
        <v>2181</v>
      </c>
      <c r="F5048">
        <v>4</v>
      </c>
      <c r="G5048" t="s">
        <v>53</v>
      </c>
      <c r="H5048" t="s">
        <v>46</v>
      </c>
      <c r="I5048" t="s">
        <v>2194</v>
      </c>
      <c r="J5048" s="10">
        <v>0</v>
      </c>
      <c r="K5048" t="b">
        <v>1</v>
      </c>
    </row>
    <row r="5049" spans="1:11">
      <c r="A5049" s="12">
        <v>42271</v>
      </c>
      <c r="B5049">
        <v>2015</v>
      </c>
      <c r="C5049">
        <v>9</v>
      </c>
      <c r="D5049" s="11">
        <v>42248</v>
      </c>
      <c r="E5049" t="s">
        <v>2181</v>
      </c>
      <c r="F5049">
        <v>4</v>
      </c>
      <c r="G5049" t="s">
        <v>53</v>
      </c>
      <c r="H5049" t="s">
        <v>47</v>
      </c>
      <c r="I5049" t="s">
        <v>2195</v>
      </c>
      <c r="J5049" s="10">
        <v>0</v>
      </c>
      <c r="K5049" t="b">
        <v>1</v>
      </c>
    </row>
    <row r="5050" spans="1:11">
      <c r="A5050" s="12">
        <v>42272</v>
      </c>
      <c r="B5050">
        <v>2015</v>
      </c>
      <c r="C5050">
        <v>9</v>
      </c>
      <c r="D5050" s="11">
        <v>42248</v>
      </c>
      <c r="E5050" t="s">
        <v>2181</v>
      </c>
      <c r="F5050">
        <v>5</v>
      </c>
      <c r="G5050" t="s">
        <v>55</v>
      </c>
      <c r="H5050" t="s">
        <v>40</v>
      </c>
      <c r="I5050" t="s">
        <v>2188</v>
      </c>
      <c r="J5050" s="10">
        <v>4.83</v>
      </c>
      <c r="K5050" t="b">
        <v>1</v>
      </c>
    </row>
    <row r="5051" spans="1:11">
      <c r="A5051" s="12">
        <v>42272</v>
      </c>
      <c r="B5051">
        <v>2015</v>
      </c>
      <c r="C5051">
        <v>9</v>
      </c>
      <c r="D5051" s="11">
        <v>42248</v>
      </c>
      <c r="E5051" t="s">
        <v>2181</v>
      </c>
      <c r="F5051">
        <v>5</v>
      </c>
      <c r="G5051" t="s">
        <v>55</v>
      </c>
      <c r="H5051" t="s">
        <v>41</v>
      </c>
      <c r="I5051" t="s">
        <v>2189</v>
      </c>
      <c r="J5051" s="10">
        <v>4.98</v>
      </c>
      <c r="K5051" t="b">
        <v>1</v>
      </c>
    </row>
    <row r="5052" spans="1:11">
      <c r="A5052" s="12">
        <v>42272</v>
      </c>
      <c r="B5052">
        <v>2015</v>
      </c>
      <c r="C5052">
        <v>9</v>
      </c>
      <c r="D5052" s="11">
        <v>42248</v>
      </c>
      <c r="E5052" t="s">
        <v>2181</v>
      </c>
      <c r="F5052">
        <v>5</v>
      </c>
      <c r="G5052" t="s">
        <v>55</v>
      </c>
      <c r="H5052" t="s">
        <v>42</v>
      </c>
      <c r="I5052" t="s">
        <v>2190</v>
      </c>
      <c r="J5052" s="10">
        <v>5.2</v>
      </c>
      <c r="K5052" t="b">
        <v>1</v>
      </c>
    </row>
    <row r="5053" spans="1:11">
      <c r="A5053" s="12">
        <v>42272</v>
      </c>
      <c r="B5053">
        <v>2015</v>
      </c>
      <c r="C5053">
        <v>9</v>
      </c>
      <c r="D5053" s="11">
        <v>42248</v>
      </c>
      <c r="E5053" t="s">
        <v>2181</v>
      </c>
      <c r="F5053">
        <v>5</v>
      </c>
      <c r="G5053" t="s">
        <v>55</v>
      </c>
      <c r="H5053" t="s">
        <v>43</v>
      </c>
      <c r="I5053" t="s">
        <v>2191</v>
      </c>
      <c r="J5053" s="10">
        <v>25.2</v>
      </c>
      <c r="K5053" t="b">
        <v>1</v>
      </c>
    </row>
    <row r="5054" spans="1:11">
      <c r="A5054" s="12">
        <v>42272</v>
      </c>
      <c r="B5054">
        <v>2015</v>
      </c>
      <c r="C5054">
        <v>9</v>
      </c>
      <c r="D5054" s="11">
        <v>42248</v>
      </c>
      <c r="E5054" t="s">
        <v>2181</v>
      </c>
      <c r="F5054">
        <v>5</v>
      </c>
      <c r="G5054" t="s">
        <v>55</v>
      </c>
      <c r="H5054" t="s">
        <v>44</v>
      </c>
      <c r="I5054" t="s">
        <v>2192</v>
      </c>
      <c r="J5054" s="10">
        <v>11</v>
      </c>
      <c r="K5054" t="b">
        <v>1</v>
      </c>
    </row>
    <row r="5055" spans="1:11">
      <c r="A5055" s="12">
        <v>42272</v>
      </c>
      <c r="B5055">
        <v>2015</v>
      </c>
      <c r="C5055">
        <v>9</v>
      </c>
      <c r="D5055" s="11">
        <v>42248</v>
      </c>
      <c r="E5055" t="s">
        <v>2181</v>
      </c>
      <c r="F5055">
        <v>5</v>
      </c>
      <c r="G5055" t="s">
        <v>55</v>
      </c>
      <c r="H5055" t="s">
        <v>45</v>
      </c>
      <c r="I5055" t="s">
        <v>2193</v>
      </c>
      <c r="J5055" s="10">
        <v>0</v>
      </c>
      <c r="K5055" t="b">
        <v>1</v>
      </c>
    </row>
    <row r="5056" spans="1:11">
      <c r="A5056" s="12">
        <v>42272</v>
      </c>
      <c r="B5056">
        <v>2015</v>
      </c>
      <c r="C5056">
        <v>9</v>
      </c>
      <c r="D5056" s="11">
        <v>42248</v>
      </c>
      <c r="E5056" t="s">
        <v>2181</v>
      </c>
      <c r="F5056">
        <v>5</v>
      </c>
      <c r="G5056" t="s">
        <v>55</v>
      </c>
      <c r="H5056" t="s">
        <v>46</v>
      </c>
      <c r="I5056" t="s">
        <v>2194</v>
      </c>
      <c r="J5056" s="10">
        <v>1</v>
      </c>
      <c r="K5056" t="b">
        <v>1</v>
      </c>
    </row>
    <row r="5057" spans="1:11">
      <c r="A5057" s="12">
        <v>42272</v>
      </c>
      <c r="B5057">
        <v>2015</v>
      </c>
      <c r="C5057">
        <v>9</v>
      </c>
      <c r="D5057" s="11">
        <v>42248</v>
      </c>
      <c r="E5057" t="s">
        <v>2181</v>
      </c>
      <c r="F5057">
        <v>5</v>
      </c>
      <c r="G5057" t="s">
        <v>55</v>
      </c>
      <c r="H5057" t="s">
        <v>47</v>
      </c>
      <c r="I5057" t="s">
        <v>2195</v>
      </c>
      <c r="J5057" s="10">
        <v>3</v>
      </c>
      <c r="K5057" t="b">
        <v>1</v>
      </c>
    </row>
    <row r="5058" spans="1:11">
      <c r="A5058" s="12">
        <v>42273</v>
      </c>
      <c r="B5058">
        <v>2015</v>
      </c>
      <c r="C5058">
        <v>9</v>
      </c>
      <c r="D5058" s="11">
        <v>42248</v>
      </c>
      <c r="E5058" t="s">
        <v>2181</v>
      </c>
      <c r="F5058">
        <v>6</v>
      </c>
      <c r="G5058" t="s">
        <v>57</v>
      </c>
      <c r="H5058" t="s">
        <v>40</v>
      </c>
      <c r="I5058" t="s">
        <v>2188</v>
      </c>
      <c r="J5058" s="10">
        <v>12.42</v>
      </c>
      <c r="K5058" t="b">
        <v>1</v>
      </c>
    </row>
    <row r="5059" spans="1:11">
      <c r="A5059" s="12">
        <v>42273</v>
      </c>
      <c r="B5059">
        <v>2015</v>
      </c>
      <c r="C5059">
        <v>9</v>
      </c>
      <c r="D5059" s="11">
        <v>42248</v>
      </c>
      <c r="E5059" t="s">
        <v>2181</v>
      </c>
      <c r="F5059">
        <v>6</v>
      </c>
      <c r="G5059" t="s">
        <v>57</v>
      </c>
      <c r="H5059" t="s">
        <v>41</v>
      </c>
      <c r="I5059" t="s">
        <v>2189</v>
      </c>
      <c r="J5059" s="10">
        <v>3.33</v>
      </c>
      <c r="K5059" t="b">
        <v>1</v>
      </c>
    </row>
    <row r="5060" spans="1:11">
      <c r="A5060" s="12">
        <v>42273</v>
      </c>
      <c r="B5060">
        <v>2015</v>
      </c>
      <c r="C5060">
        <v>9</v>
      </c>
      <c r="D5060" s="11">
        <v>42248</v>
      </c>
      <c r="E5060" t="s">
        <v>2181</v>
      </c>
      <c r="F5060">
        <v>6</v>
      </c>
      <c r="G5060" t="s">
        <v>57</v>
      </c>
      <c r="H5060" t="s">
        <v>42</v>
      </c>
      <c r="I5060" t="s">
        <v>2190</v>
      </c>
      <c r="J5060" s="10">
        <v>2.5</v>
      </c>
      <c r="K5060" t="b">
        <v>1</v>
      </c>
    </row>
    <row r="5061" spans="1:11">
      <c r="A5061" s="12">
        <v>42273</v>
      </c>
      <c r="B5061">
        <v>2015</v>
      </c>
      <c r="C5061">
        <v>9</v>
      </c>
      <c r="D5061" s="11">
        <v>42248</v>
      </c>
      <c r="E5061" t="s">
        <v>2181</v>
      </c>
      <c r="F5061">
        <v>6</v>
      </c>
      <c r="G5061" t="s">
        <v>57</v>
      </c>
      <c r="H5061" t="s">
        <v>43</v>
      </c>
      <c r="I5061" t="s">
        <v>2191</v>
      </c>
      <c r="J5061" s="10">
        <v>33</v>
      </c>
      <c r="K5061" t="b">
        <v>1</v>
      </c>
    </row>
    <row r="5062" spans="1:11">
      <c r="A5062" s="12">
        <v>42273</v>
      </c>
      <c r="B5062">
        <v>2015</v>
      </c>
      <c r="C5062">
        <v>9</v>
      </c>
      <c r="D5062" s="11">
        <v>42248</v>
      </c>
      <c r="E5062" t="s">
        <v>2181</v>
      </c>
      <c r="F5062">
        <v>6</v>
      </c>
      <c r="G5062" t="s">
        <v>57</v>
      </c>
      <c r="H5062" t="s">
        <v>44</v>
      </c>
      <c r="I5062" t="s">
        <v>2192</v>
      </c>
      <c r="J5062" s="10">
        <v>6</v>
      </c>
      <c r="K5062" t="b">
        <v>1</v>
      </c>
    </row>
    <row r="5063" spans="1:11">
      <c r="A5063" s="12">
        <v>42273</v>
      </c>
      <c r="B5063">
        <v>2015</v>
      </c>
      <c r="C5063">
        <v>9</v>
      </c>
      <c r="D5063" s="11">
        <v>42248</v>
      </c>
      <c r="E5063" t="s">
        <v>2181</v>
      </c>
      <c r="F5063">
        <v>6</v>
      </c>
      <c r="G5063" t="s">
        <v>57</v>
      </c>
      <c r="H5063" t="s">
        <v>45</v>
      </c>
      <c r="I5063" t="s">
        <v>2193</v>
      </c>
      <c r="J5063" s="10">
        <v>1</v>
      </c>
      <c r="K5063" t="b">
        <v>1</v>
      </c>
    </row>
    <row r="5064" spans="1:11">
      <c r="A5064" s="12">
        <v>42273</v>
      </c>
      <c r="B5064">
        <v>2015</v>
      </c>
      <c r="C5064">
        <v>9</v>
      </c>
      <c r="D5064" s="11">
        <v>42248</v>
      </c>
      <c r="E5064" t="s">
        <v>2181</v>
      </c>
      <c r="F5064">
        <v>6</v>
      </c>
      <c r="G5064" t="s">
        <v>57</v>
      </c>
      <c r="H5064" t="s">
        <v>46</v>
      </c>
      <c r="I5064" t="s">
        <v>2194</v>
      </c>
      <c r="J5064" s="10">
        <v>7</v>
      </c>
      <c r="K5064" t="b">
        <v>1</v>
      </c>
    </row>
    <row r="5065" spans="1:11">
      <c r="A5065" s="12">
        <v>42273</v>
      </c>
      <c r="B5065">
        <v>2015</v>
      </c>
      <c r="C5065">
        <v>9</v>
      </c>
      <c r="D5065" s="11">
        <v>42248</v>
      </c>
      <c r="E5065" t="s">
        <v>2181</v>
      </c>
      <c r="F5065">
        <v>6</v>
      </c>
      <c r="G5065" t="s">
        <v>57</v>
      </c>
      <c r="H5065" t="s">
        <v>47</v>
      </c>
      <c r="I5065" t="s">
        <v>2195</v>
      </c>
      <c r="J5065" s="10">
        <v>2</v>
      </c>
      <c r="K5065" t="b">
        <v>1</v>
      </c>
    </row>
    <row r="5066" spans="1:11">
      <c r="A5066" s="12">
        <v>42274</v>
      </c>
      <c r="B5066">
        <v>2015</v>
      </c>
      <c r="C5066">
        <v>9</v>
      </c>
      <c r="D5066" s="11">
        <v>42248</v>
      </c>
      <c r="E5066" t="s">
        <v>2181</v>
      </c>
      <c r="F5066">
        <v>7</v>
      </c>
      <c r="G5066" t="s">
        <v>59</v>
      </c>
      <c r="H5066" t="s">
        <v>40</v>
      </c>
      <c r="I5066" t="s">
        <v>2188</v>
      </c>
      <c r="J5066" s="10">
        <v>5.83</v>
      </c>
      <c r="K5066" t="b">
        <v>1</v>
      </c>
    </row>
    <row r="5067" spans="1:11">
      <c r="A5067" s="12">
        <v>42274</v>
      </c>
      <c r="B5067">
        <v>2015</v>
      </c>
      <c r="C5067">
        <v>9</v>
      </c>
      <c r="D5067" s="11">
        <v>42248</v>
      </c>
      <c r="E5067" t="s">
        <v>2181</v>
      </c>
      <c r="F5067">
        <v>7</v>
      </c>
      <c r="G5067" t="s">
        <v>59</v>
      </c>
      <c r="H5067" t="s">
        <v>41</v>
      </c>
      <c r="I5067" t="s">
        <v>2189</v>
      </c>
      <c r="J5067" s="10">
        <v>3</v>
      </c>
      <c r="K5067" t="b">
        <v>1</v>
      </c>
    </row>
    <row r="5068" spans="1:11">
      <c r="A5068" s="12">
        <v>42274</v>
      </c>
      <c r="B5068">
        <v>2015</v>
      </c>
      <c r="C5068">
        <v>9</v>
      </c>
      <c r="D5068" s="11">
        <v>42248</v>
      </c>
      <c r="E5068" t="s">
        <v>2181</v>
      </c>
      <c r="F5068">
        <v>7</v>
      </c>
      <c r="G5068" t="s">
        <v>59</v>
      </c>
      <c r="H5068" t="s">
        <v>42</v>
      </c>
      <c r="I5068" t="s">
        <v>2190</v>
      </c>
      <c r="J5068" s="10">
        <v>2.3</v>
      </c>
      <c r="K5068" t="b">
        <v>1</v>
      </c>
    </row>
    <row r="5069" spans="1:11">
      <c r="A5069" s="12">
        <v>42274</v>
      </c>
      <c r="B5069">
        <v>2015</v>
      </c>
      <c r="C5069">
        <v>9</v>
      </c>
      <c r="D5069" s="11">
        <v>42248</v>
      </c>
      <c r="E5069" t="s">
        <v>2181</v>
      </c>
      <c r="F5069">
        <v>7</v>
      </c>
      <c r="G5069" t="s">
        <v>59</v>
      </c>
      <c r="H5069" t="s">
        <v>43</v>
      </c>
      <c r="I5069" t="s">
        <v>2191</v>
      </c>
      <c r="J5069" s="10">
        <v>10.425</v>
      </c>
      <c r="K5069" t="b">
        <v>1</v>
      </c>
    </row>
    <row r="5070" spans="1:11">
      <c r="A5070" s="12">
        <v>42274</v>
      </c>
      <c r="B5070">
        <v>2015</v>
      </c>
      <c r="C5070">
        <v>9</v>
      </c>
      <c r="D5070" s="11">
        <v>42248</v>
      </c>
      <c r="E5070" t="s">
        <v>2181</v>
      </c>
      <c r="F5070">
        <v>7</v>
      </c>
      <c r="G5070" t="s">
        <v>59</v>
      </c>
      <c r="H5070" t="s">
        <v>44</v>
      </c>
      <c r="I5070" t="s">
        <v>2192</v>
      </c>
      <c r="J5070" s="10">
        <v>3</v>
      </c>
      <c r="K5070" t="b">
        <v>1</v>
      </c>
    </row>
    <row r="5071" spans="1:11">
      <c r="A5071" s="12">
        <v>42274</v>
      </c>
      <c r="B5071">
        <v>2015</v>
      </c>
      <c r="C5071">
        <v>9</v>
      </c>
      <c r="D5071" s="11">
        <v>42248</v>
      </c>
      <c r="E5071" t="s">
        <v>2181</v>
      </c>
      <c r="F5071">
        <v>7</v>
      </c>
      <c r="G5071" t="s">
        <v>59</v>
      </c>
      <c r="H5071" t="s">
        <v>45</v>
      </c>
      <c r="I5071" t="s">
        <v>2193</v>
      </c>
      <c r="J5071" s="10">
        <v>1</v>
      </c>
      <c r="K5071" t="b">
        <v>1</v>
      </c>
    </row>
    <row r="5072" spans="1:11">
      <c r="A5072" s="12">
        <v>42274</v>
      </c>
      <c r="B5072">
        <v>2015</v>
      </c>
      <c r="C5072">
        <v>9</v>
      </c>
      <c r="D5072" s="11">
        <v>42248</v>
      </c>
      <c r="E5072" t="s">
        <v>2181</v>
      </c>
      <c r="F5072">
        <v>7</v>
      </c>
      <c r="G5072" t="s">
        <v>59</v>
      </c>
      <c r="H5072" t="s">
        <v>46</v>
      </c>
      <c r="I5072" t="s">
        <v>2194</v>
      </c>
      <c r="J5072" s="10">
        <v>2</v>
      </c>
      <c r="K5072" t="b">
        <v>1</v>
      </c>
    </row>
    <row r="5073" spans="1:11">
      <c r="A5073" s="12">
        <v>42274</v>
      </c>
      <c r="B5073">
        <v>2015</v>
      </c>
      <c r="C5073">
        <v>9</v>
      </c>
      <c r="D5073" s="11">
        <v>42248</v>
      </c>
      <c r="E5073" t="s">
        <v>2181</v>
      </c>
      <c r="F5073">
        <v>7</v>
      </c>
      <c r="G5073" t="s">
        <v>59</v>
      </c>
      <c r="H5073" t="s">
        <v>47</v>
      </c>
      <c r="I5073" t="s">
        <v>2195</v>
      </c>
      <c r="J5073" s="10">
        <v>1</v>
      </c>
      <c r="K5073" t="b">
        <v>1</v>
      </c>
    </row>
    <row r="5074" spans="1:11">
      <c r="A5074" s="12">
        <v>42275</v>
      </c>
      <c r="B5074">
        <v>2015</v>
      </c>
      <c r="C5074">
        <v>9</v>
      </c>
      <c r="D5074" s="11">
        <v>42248</v>
      </c>
      <c r="E5074" t="s">
        <v>2181</v>
      </c>
      <c r="F5074">
        <v>1</v>
      </c>
      <c r="G5074" t="s">
        <v>61</v>
      </c>
      <c r="H5074" t="s">
        <v>40</v>
      </c>
      <c r="I5074" t="s">
        <v>2188</v>
      </c>
      <c r="J5074" s="10">
        <v>1</v>
      </c>
      <c r="K5074" t="b">
        <v>1</v>
      </c>
    </row>
    <row r="5075" spans="1:11">
      <c r="A5075" s="12">
        <v>42275</v>
      </c>
      <c r="B5075">
        <v>2015</v>
      </c>
      <c r="C5075">
        <v>9</v>
      </c>
      <c r="D5075" s="11">
        <v>42248</v>
      </c>
      <c r="E5075" t="s">
        <v>2181</v>
      </c>
      <c r="F5075">
        <v>1</v>
      </c>
      <c r="G5075" t="s">
        <v>61</v>
      </c>
      <c r="H5075" t="s">
        <v>41</v>
      </c>
      <c r="I5075" t="s">
        <v>2189</v>
      </c>
      <c r="J5075" s="10">
        <v>1.33</v>
      </c>
      <c r="K5075" t="b">
        <v>1</v>
      </c>
    </row>
    <row r="5076" spans="1:11">
      <c r="A5076" s="12">
        <v>42275</v>
      </c>
      <c r="B5076">
        <v>2015</v>
      </c>
      <c r="C5076">
        <v>9</v>
      </c>
      <c r="D5076" s="11">
        <v>42248</v>
      </c>
      <c r="E5076" t="s">
        <v>2181</v>
      </c>
      <c r="F5076">
        <v>1</v>
      </c>
      <c r="G5076" t="s">
        <v>61</v>
      </c>
      <c r="H5076" t="s">
        <v>42</v>
      </c>
      <c r="I5076" t="s">
        <v>2190</v>
      </c>
      <c r="J5076" s="10">
        <v>2</v>
      </c>
      <c r="K5076" t="b">
        <v>1</v>
      </c>
    </row>
    <row r="5077" spans="1:11">
      <c r="A5077" s="12">
        <v>42275</v>
      </c>
      <c r="B5077">
        <v>2015</v>
      </c>
      <c r="C5077">
        <v>9</v>
      </c>
      <c r="D5077" s="11">
        <v>42248</v>
      </c>
      <c r="E5077" t="s">
        <v>2181</v>
      </c>
      <c r="F5077">
        <v>1</v>
      </c>
      <c r="G5077" t="s">
        <v>61</v>
      </c>
      <c r="H5077" t="s">
        <v>43</v>
      </c>
      <c r="I5077" t="s">
        <v>2191</v>
      </c>
      <c r="J5077" s="10">
        <v>15.4</v>
      </c>
      <c r="K5077" t="b">
        <v>1</v>
      </c>
    </row>
    <row r="5078" spans="1:11">
      <c r="A5078" s="12">
        <v>42275</v>
      </c>
      <c r="B5078">
        <v>2015</v>
      </c>
      <c r="C5078">
        <v>9</v>
      </c>
      <c r="D5078" s="11">
        <v>42248</v>
      </c>
      <c r="E5078" t="s">
        <v>2181</v>
      </c>
      <c r="F5078">
        <v>1</v>
      </c>
      <c r="G5078" t="s">
        <v>61</v>
      </c>
      <c r="H5078" t="s">
        <v>44</v>
      </c>
      <c r="I5078" t="s">
        <v>2192</v>
      </c>
      <c r="J5078" s="10">
        <v>8</v>
      </c>
      <c r="K5078" t="b">
        <v>1</v>
      </c>
    </row>
    <row r="5079" spans="1:11">
      <c r="A5079" s="12">
        <v>42275</v>
      </c>
      <c r="B5079">
        <v>2015</v>
      </c>
      <c r="C5079">
        <v>9</v>
      </c>
      <c r="D5079" s="11">
        <v>42248</v>
      </c>
      <c r="E5079" t="s">
        <v>2181</v>
      </c>
      <c r="F5079">
        <v>1</v>
      </c>
      <c r="G5079" t="s">
        <v>61</v>
      </c>
      <c r="H5079" t="s">
        <v>45</v>
      </c>
      <c r="I5079" t="s">
        <v>2193</v>
      </c>
      <c r="J5079" s="10">
        <v>0</v>
      </c>
      <c r="K5079" t="b">
        <v>1</v>
      </c>
    </row>
    <row r="5080" spans="1:11">
      <c r="A5080" s="12">
        <v>42275</v>
      </c>
      <c r="B5080">
        <v>2015</v>
      </c>
      <c r="C5080">
        <v>9</v>
      </c>
      <c r="D5080" s="11">
        <v>42248</v>
      </c>
      <c r="E5080" t="s">
        <v>2181</v>
      </c>
      <c r="F5080">
        <v>1</v>
      </c>
      <c r="G5080" t="s">
        <v>61</v>
      </c>
      <c r="H5080" t="s">
        <v>46</v>
      </c>
      <c r="I5080" t="s">
        <v>2194</v>
      </c>
      <c r="J5080" s="10">
        <v>17</v>
      </c>
      <c r="K5080" t="b">
        <v>1</v>
      </c>
    </row>
    <row r="5081" spans="1:11">
      <c r="A5081" s="12">
        <v>42275</v>
      </c>
      <c r="B5081">
        <v>2015</v>
      </c>
      <c r="C5081">
        <v>9</v>
      </c>
      <c r="D5081" s="11">
        <v>42248</v>
      </c>
      <c r="E5081" t="s">
        <v>2181</v>
      </c>
      <c r="F5081">
        <v>1</v>
      </c>
      <c r="G5081" t="s">
        <v>61</v>
      </c>
      <c r="H5081" t="s">
        <v>47</v>
      </c>
      <c r="I5081" t="s">
        <v>2195</v>
      </c>
      <c r="J5081" s="10">
        <v>2</v>
      </c>
      <c r="K5081" t="b">
        <v>1</v>
      </c>
    </row>
    <row r="5082" spans="1:11">
      <c r="A5082" s="12">
        <v>42276</v>
      </c>
      <c r="B5082">
        <v>2015</v>
      </c>
      <c r="C5082">
        <v>9</v>
      </c>
      <c r="D5082" s="11">
        <v>42248</v>
      </c>
      <c r="E5082" t="s">
        <v>2181</v>
      </c>
      <c r="F5082">
        <v>2</v>
      </c>
      <c r="G5082" t="s">
        <v>63</v>
      </c>
      <c r="H5082" t="s">
        <v>40</v>
      </c>
      <c r="I5082" t="s">
        <v>2188</v>
      </c>
      <c r="J5082" s="10">
        <v>6.33</v>
      </c>
      <c r="K5082" t="b">
        <v>1</v>
      </c>
    </row>
    <row r="5083" spans="1:11">
      <c r="A5083" s="12">
        <v>42276</v>
      </c>
      <c r="B5083">
        <v>2015</v>
      </c>
      <c r="C5083">
        <v>9</v>
      </c>
      <c r="D5083" s="11">
        <v>42248</v>
      </c>
      <c r="E5083" t="s">
        <v>2181</v>
      </c>
      <c r="F5083">
        <v>2</v>
      </c>
      <c r="G5083" t="s">
        <v>63</v>
      </c>
      <c r="H5083" t="s">
        <v>41</v>
      </c>
      <c r="I5083" t="s">
        <v>2189</v>
      </c>
      <c r="J5083" s="10">
        <v>4.363</v>
      </c>
      <c r="K5083" t="b">
        <v>1</v>
      </c>
    </row>
    <row r="5084" spans="1:11">
      <c r="A5084" s="12">
        <v>42276</v>
      </c>
      <c r="B5084">
        <v>2015</v>
      </c>
      <c r="C5084">
        <v>9</v>
      </c>
      <c r="D5084" s="11">
        <v>42248</v>
      </c>
      <c r="E5084" t="s">
        <v>2181</v>
      </c>
      <c r="F5084">
        <v>2</v>
      </c>
      <c r="G5084" t="s">
        <v>63</v>
      </c>
      <c r="H5084" t="s">
        <v>42</v>
      </c>
      <c r="I5084" t="s">
        <v>2190</v>
      </c>
      <c r="J5084" s="10">
        <v>1</v>
      </c>
      <c r="K5084" t="b">
        <v>1</v>
      </c>
    </row>
    <row r="5085" spans="1:11">
      <c r="A5085" s="12">
        <v>42276</v>
      </c>
      <c r="B5085">
        <v>2015</v>
      </c>
      <c r="C5085">
        <v>9</v>
      </c>
      <c r="D5085" s="11">
        <v>42248</v>
      </c>
      <c r="E5085" t="s">
        <v>2181</v>
      </c>
      <c r="F5085">
        <v>2</v>
      </c>
      <c r="G5085" t="s">
        <v>63</v>
      </c>
      <c r="H5085" t="s">
        <v>43</v>
      </c>
      <c r="I5085" t="s">
        <v>2191</v>
      </c>
      <c r="J5085" s="10">
        <v>39.7</v>
      </c>
      <c r="K5085" t="b">
        <v>1</v>
      </c>
    </row>
    <row r="5086" spans="1:11">
      <c r="A5086" s="12">
        <v>42276</v>
      </c>
      <c r="B5086">
        <v>2015</v>
      </c>
      <c r="C5086">
        <v>9</v>
      </c>
      <c r="D5086" s="11">
        <v>42248</v>
      </c>
      <c r="E5086" t="s">
        <v>2181</v>
      </c>
      <c r="F5086">
        <v>2</v>
      </c>
      <c r="G5086" t="s">
        <v>63</v>
      </c>
      <c r="H5086" t="s">
        <v>44</v>
      </c>
      <c r="I5086" t="s">
        <v>2192</v>
      </c>
      <c r="J5086" s="10">
        <v>7</v>
      </c>
      <c r="K5086" t="b">
        <v>1</v>
      </c>
    </row>
    <row r="5087" spans="1:11">
      <c r="A5087" s="12">
        <v>42276</v>
      </c>
      <c r="B5087">
        <v>2015</v>
      </c>
      <c r="C5087">
        <v>9</v>
      </c>
      <c r="D5087" s="11">
        <v>42248</v>
      </c>
      <c r="E5087" t="s">
        <v>2181</v>
      </c>
      <c r="F5087">
        <v>2</v>
      </c>
      <c r="G5087" t="s">
        <v>63</v>
      </c>
      <c r="H5087" t="s">
        <v>45</v>
      </c>
      <c r="I5087" t="s">
        <v>2193</v>
      </c>
      <c r="J5087" s="10">
        <v>0</v>
      </c>
      <c r="K5087" t="b">
        <v>1</v>
      </c>
    </row>
    <row r="5088" spans="1:11">
      <c r="A5088" s="12">
        <v>42276</v>
      </c>
      <c r="B5088">
        <v>2015</v>
      </c>
      <c r="C5088">
        <v>9</v>
      </c>
      <c r="D5088" s="11">
        <v>42248</v>
      </c>
      <c r="E5088" t="s">
        <v>2181</v>
      </c>
      <c r="F5088">
        <v>2</v>
      </c>
      <c r="G5088" t="s">
        <v>63</v>
      </c>
      <c r="H5088" t="s">
        <v>46</v>
      </c>
      <c r="I5088" t="s">
        <v>2194</v>
      </c>
      <c r="J5088" s="10">
        <v>0</v>
      </c>
      <c r="K5088" t="b">
        <v>1</v>
      </c>
    </row>
    <row r="5089" spans="1:11">
      <c r="A5089" s="12">
        <v>42276</v>
      </c>
      <c r="B5089">
        <v>2015</v>
      </c>
      <c r="C5089">
        <v>9</v>
      </c>
      <c r="D5089" s="11">
        <v>42248</v>
      </c>
      <c r="E5089" t="s">
        <v>2181</v>
      </c>
      <c r="F5089">
        <v>2</v>
      </c>
      <c r="G5089" t="s">
        <v>63</v>
      </c>
      <c r="H5089" t="s">
        <v>47</v>
      </c>
      <c r="I5089" t="s">
        <v>2195</v>
      </c>
      <c r="J5089" s="10">
        <v>0</v>
      </c>
      <c r="K5089" t="b">
        <v>1</v>
      </c>
    </row>
    <row r="5090" spans="1:11">
      <c r="A5090" s="12">
        <v>42277</v>
      </c>
      <c r="B5090">
        <v>2015</v>
      </c>
      <c r="C5090">
        <v>9</v>
      </c>
      <c r="D5090" s="11">
        <v>42248</v>
      </c>
      <c r="E5090" t="s">
        <v>2181</v>
      </c>
      <c r="F5090">
        <v>3</v>
      </c>
      <c r="G5090" t="s">
        <v>65</v>
      </c>
      <c r="H5090" t="s">
        <v>40</v>
      </c>
      <c r="I5090" t="s">
        <v>2188</v>
      </c>
      <c r="J5090" s="10">
        <v>5.32</v>
      </c>
      <c r="K5090" t="b">
        <v>1</v>
      </c>
    </row>
    <row r="5091" spans="1:11">
      <c r="A5091" s="12">
        <v>42277</v>
      </c>
      <c r="B5091">
        <v>2015</v>
      </c>
      <c r="C5091">
        <v>9</v>
      </c>
      <c r="D5091" s="11">
        <v>42248</v>
      </c>
      <c r="E5091" t="s">
        <v>2181</v>
      </c>
      <c r="F5091">
        <v>3</v>
      </c>
      <c r="G5091" t="s">
        <v>65</v>
      </c>
      <c r="H5091" t="s">
        <v>41</v>
      </c>
      <c r="I5091" t="s">
        <v>2189</v>
      </c>
      <c r="J5091" s="10">
        <v>4.33</v>
      </c>
      <c r="K5091" t="b">
        <v>1</v>
      </c>
    </row>
    <row r="5092" spans="1:11">
      <c r="A5092" s="12">
        <v>42277</v>
      </c>
      <c r="B5092">
        <v>2015</v>
      </c>
      <c r="C5092">
        <v>9</v>
      </c>
      <c r="D5092" s="11">
        <v>42248</v>
      </c>
      <c r="E5092" t="s">
        <v>2181</v>
      </c>
      <c r="F5092">
        <v>3</v>
      </c>
      <c r="G5092" t="s">
        <v>65</v>
      </c>
      <c r="H5092" t="s">
        <v>42</v>
      </c>
      <c r="I5092" t="s">
        <v>2190</v>
      </c>
      <c r="J5092" s="10">
        <v>4</v>
      </c>
      <c r="K5092" t="b">
        <v>1</v>
      </c>
    </row>
    <row r="5093" spans="1:11">
      <c r="A5093" s="12">
        <v>42277</v>
      </c>
      <c r="B5093">
        <v>2015</v>
      </c>
      <c r="C5093">
        <v>9</v>
      </c>
      <c r="D5093" s="11">
        <v>42248</v>
      </c>
      <c r="E5093" t="s">
        <v>2181</v>
      </c>
      <c r="F5093">
        <v>3</v>
      </c>
      <c r="G5093" t="s">
        <v>65</v>
      </c>
      <c r="H5093" t="s">
        <v>43</v>
      </c>
      <c r="I5093" t="s">
        <v>2191</v>
      </c>
      <c r="J5093" s="10">
        <v>22.5</v>
      </c>
      <c r="K5093" t="b">
        <v>1</v>
      </c>
    </row>
    <row r="5094" spans="1:11">
      <c r="A5094" s="12">
        <v>42277</v>
      </c>
      <c r="B5094">
        <v>2015</v>
      </c>
      <c r="C5094">
        <v>9</v>
      </c>
      <c r="D5094" s="11">
        <v>42248</v>
      </c>
      <c r="E5094" t="s">
        <v>2181</v>
      </c>
      <c r="F5094">
        <v>3</v>
      </c>
      <c r="G5094" t="s">
        <v>65</v>
      </c>
      <c r="H5094" t="s">
        <v>44</v>
      </c>
      <c r="I5094" t="s">
        <v>2192</v>
      </c>
      <c r="J5094" s="10">
        <v>9</v>
      </c>
      <c r="K5094" t="b">
        <v>1</v>
      </c>
    </row>
    <row r="5095" spans="1:11">
      <c r="A5095" s="12">
        <v>42277</v>
      </c>
      <c r="B5095">
        <v>2015</v>
      </c>
      <c r="C5095">
        <v>9</v>
      </c>
      <c r="D5095" s="11">
        <v>42248</v>
      </c>
      <c r="E5095" t="s">
        <v>2181</v>
      </c>
      <c r="F5095">
        <v>3</v>
      </c>
      <c r="G5095" t="s">
        <v>65</v>
      </c>
      <c r="H5095" t="s">
        <v>45</v>
      </c>
      <c r="I5095" t="s">
        <v>2193</v>
      </c>
      <c r="J5095" s="10">
        <v>0</v>
      </c>
      <c r="K5095" t="b">
        <v>1</v>
      </c>
    </row>
    <row r="5096" spans="1:11">
      <c r="A5096" s="12">
        <v>42277</v>
      </c>
      <c r="B5096">
        <v>2015</v>
      </c>
      <c r="C5096">
        <v>9</v>
      </c>
      <c r="D5096" s="11">
        <v>42248</v>
      </c>
      <c r="E5096" t="s">
        <v>2181</v>
      </c>
      <c r="F5096">
        <v>3</v>
      </c>
      <c r="G5096" t="s">
        <v>65</v>
      </c>
      <c r="H5096" t="s">
        <v>46</v>
      </c>
      <c r="I5096" t="s">
        <v>2194</v>
      </c>
      <c r="J5096" s="10">
        <v>0</v>
      </c>
      <c r="K5096" t="b">
        <v>1</v>
      </c>
    </row>
    <row r="5097" spans="1:11">
      <c r="A5097" s="12">
        <v>42277</v>
      </c>
      <c r="B5097">
        <v>2015</v>
      </c>
      <c r="C5097">
        <v>9</v>
      </c>
      <c r="D5097" s="11">
        <v>42248</v>
      </c>
      <c r="E5097" t="s">
        <v>2181</v>
      </c>
      <c r="F5097">
        <v>3</v>
      </c>
      <c r="G5097" t="s">
        <v>65</v>
      </c>
      <c r="H5097" t="s">
        <v>47</v>
      </c>
      <c r="I5097" t="s">
        <v>2195</v>
      </c>
      <c r="J5097" s="10">
        <v>1</v>
      </c>
      <c r="K5097" t="b">
        <v>1</v>
      </c>
    </row>
    <row r="5098" spans="1:11">
      <c r="A5098" s="12">
        <v>42278</v>
      </c>
      <c r="B5098">
        <v>2015</v>
      </c>
      <c r="C5098">
        <v>10</v>
      </c>
      <c r="D5098" s="11">
        <v>42278</v>
      </c>
      <c r="E5098" t="s">
        <v>2182</v>
      </c>
      <c r="F5098">
        <v>4</v>
      </c>
      <c r="G5098" t="s">
        <v>53</v>
      </c>
      <c r="H5098" t="s">
        <v>40</v>
      </c>
      <c r="I5098" t="s">
        <v>2188</v>
      </c>
      <c r="J5098" s="10">
        <v>9.66</v>
      </c>
      <c r="K5098" t="b">
        <v>1</v>
      </c>
    </row>
    <row r="5099" spans="1:11">
      <c r="A5099" s="12">
        <v>42278</v>
      </c>
      <c r="B5099">
        <v>2015</v>
      </c>
      <c r="C5099">
        <v>10</v>
      </c>
      <c r="D5099" s="11">
        <v>42278</v>
      </c>
      <c r="E5099" t="s">
        <v>2182</v>
      </c>
      <c r="F5099">
        <v>4</v>
      </c>
      <c r="G5099" t="s">
        <v>53</v>
      </c>
      <c r="H5099" t="s">
        <v>41</v>
      </c>
      <c r="I5099" t="s">
        <v>2189</v>
      </c>
      <c r="J5099" s="10">
        <v>5.99</v>
      </c>
      <c r="K5099" t="b">
        <v>1</v>
      </c>
    </row>
    <row r="5100" spans="1:11">
      <c r="A5100" s="12">
        <v>42278</v>
      </c>
      <c r="B5100">
        <v>2015</v>
      </c>
      <c r="C5100">
        <v>10</v>
      </c>
      <c r="D5100" s="11">
        <v>42278</v>
      </c>
      <c r="E5100" t="s">
        <v>2182</v>
      </c>
      <c r="F5100">
        <v>4</v>
      </c>
      <c r="G5100" t="s">
        <v>53</v>
      </c>
      <c r="H5100" t="s">
        <v>42</v>
      </c>
      <c r="I5100" t="s">
        <v>2190</v>
      </c>
      <c r="J5100" s="10">
        <v>4</v>
      </c>
      <c r="K5100" t="b">
        <v>1</v>
      </c>
    </row>
    <row r="5101" spans="1:11">
      <c r="A5101" s="12">
        <v>42278</v>
      </c>
      <c r="B5101">
        <v>2015</v>
      </c>
      <c r="C5101">
        <v>10</v>
      </c>
      <c r="D5101" s="11">
        <v>42278</v>
      </c>
      <c r="E5101" t="s">
        <v>2182</v>
      </c>
      <c r="F5101">
        <v>4</v>
      </c>
      <c r="G5101" t="s">
        <v>53</v>
      </c>
      <c r="H5101" t="s">
        <v>43</v>
      </c>
      <c r="I5101" t="s">
        <v>2191</v>
      </c>
      <c r="J5101" s="10">
        <v>34.562</v>
      </c>
      <c r="K5101" t="b">
        <v>1</v>
      </c>
    </row>
    <row r="5102" spans="1:11">
      <c r="A5102" s="12">
        <v>42278</v>
      </c>
      <c r="B5102">
        <v>2015</v>
      </c>
      <c r="C5102">
        <v>10</v>
      </c>
      <c r="D5102" s="11">
        <v>42278</v>
      </c>
      <c r="E5102" t="s">
        <v>2182</v>
      </c>
      <c r="F5102">
        <v>4</v>
      </c>
      <c r="G5102" t="s">
        <v>53</v>
      </c>
      <c r="H5102" t="s">
        <v>44</v>
      </c>
      <c r="I5102" t="s">
        <v>2192</v>
      </c>
      <c r="J5102" s="10">
        <v>2</v>
      </c>
      <c r="K5102" t="b">
        <v>1</v>
      </c>
    </row>
    <row r="5103" spans="1:11">
      <c r="A5103" s="12">
        <v>42278</v>
      </c>
      <c r="B5103">
        <v>2015</v>
      </c>
      <c r="C5103">
        <v>10</v>
      </c>
      <c r="D5103" s="11">
        <v>42278</v>
      </c>
      <c r="E5103" t="s">
        <v>2182</v>
      </c>
      <c r="F5103">
        <v>4</v>
      </c>
      <c r="G5103" t="s">
        <v>53</v>
      </c>
      <c r="H5103" t="s">
        <v>45</v>
      </c>
      <c r="I5103" t="s">
        <v>2193</v>
      </c>
      <c r="J5103" s="10">
        <v>0</v>
      </c>
      <c r="K5103" t="b">
        <v>1</v>
      </c>
    </row>
    <row r="5104" spans="1:11">
      <c r="A5104" s="12">
        <v>42278</v>
      </c>
      <c r="B5104">
        <v>2015</v>
      </c>
      <c r="C5104">
        <v>10</v>
      </c>
      <c r="D5104" s="11">
        <v>42278</v>
      </c>
      <c r="E5104" t="s">
        <v>2182</v>
      </c>
      <c r="F5104">
        <v>4</v>
      </c>
      <c r="G5104" t="s">
        <v>53</v>
      </c>
      <c r="H5104" t="s">
        <v>46</v>
      </c>
      <c r="I5104" t="s">
        <v>2194</v>
      </c>
      <c r="J5104" s="10">
        <v>5</v>
      </c>
      <c r="K5104" t="b">
        <v>1</v>
      </c>
    </row>
    <row r="5105" spans="1:11">
      <c r="A5105" s="12">
        <v>42278</v>
      </c>
      <c r="B5105">
        <v>2015</v>
      </c>
      <c r="C5105">
        <v>10</v>
      </c>
      <c r="D5105" s="11">
        <v>42278</v>
      </c>
      <c r="E5105" t="s">
        <v>2182</v>
      </c>
      <c r="F5105">
        <v>4</v>
      </c>
      <c r="G5105" t="s">
        <v>53</v>
      </c>
      <c r="H5105" t="s">
        <v>47</v>
      </c>
      <c r="I5105" t="s">
        <v>2195</v>
      </c>
      <c r="J5105" s="10">
        <v>2</v>
      </c>
      <c r="K5105" t="b">
        <v>1</v>
      </c>
    </row>
    <row r="5106" spans="1:11">
      <c r="A5106" s="12">
        <v>42279</v>
      </c>
      <c r="B5106">
        <v>2015</v>
      </c>
      <c r="C5106">
        <v>10</v>
      </c>
      <c r="D5106" s="11">
        <v>42278</v>
      </c>
      <c r="E5106" t="s">
        <v>2182</v>
      </c>
      <c r="F5106">
        <v>5</v>
      </c>
      <c r="G5106" t="s">
        <v>55</v>
      </c>
      <c r="H5106" t="s">
        <v>40</v>
      </c>
      <c r="I5106" t="s">
        <v>2188</v>
      </c>
      <c r="J5106" s="10">
        <v>5</v>
      </c>
      <c r="K5106" t="b">
        <v>1</v>
      </c>
    </row>
    <row r="5107" spans="1:11">
      <c r="A5107" s="12">
        <v>42279</v>
      </c>
      <c r="B5107">
        <v>2015</v>
      </c>
      <c r="C5107">
        <v>10</v>
      </c>
      <c r="D5107" s="11">
        <v>42278</v>
      </c>
      <c r="E5107" t="s">
        <v>2182</v>
      </c>
      <c r="F5107">
        <v>5</v>
      </c>
      <c r="G5107" t="s">
        <v>55</v>
      </c>
      <c r="H5107" t="s">
        <v>41</v>
      </c>
      <c r="I5107" t="s">
        <v>2189</v>
      </c>
      <c r="J5107" s="10">
        <v>4.726</v>
      </c>
      <c r="K5107" t="b">
        <v>1</v>
      </c>
    </row>
    <row r="5108" spans="1:11">
      <c r="A5108" s="12">
        <v>42279</v>
      </c>
      <c r="B5108">
        <v>2015</v>
      </c>
      <c r="C5108">
        <v>10</v>
      </c>
      <c r="D5108" s="11">
        <v>42278</v>
      </c>
      <c r="E5108" t="s">
        <v>2182</v>
      </c>
      <c r="F5108">
        <v>5</v>
      </c>
      <c r="G5108" t="s">
        <v>55</v>
      </c>
      <c r="H5108" t="s">
        <v>42</v>
      </c>
      <c r="I5108" t="s">
        <v>2190</v>
      </c>
      <c r="J5108" s="10">
        <v>4</v>
      </c>
      <c r="K5108" t="b">
        <v>1</v>
      </c>
    </row>
    <row r="5109" spans="1:11">
      <c r="A5109" s="12">
        <v>42279</v>
      </c>
      <c r="B5109">
        <v>2015</v>
      </c>
      <c r="C5109">
        <v>10</v>
      </c>
      <c r="D5109" s="11">
        <v>42278</v>
      </c>
      <c r="E5109" t="s">
        <v>2182</v>
      </c>
      <c r="F5109">
        <v>5</v>
      </c>
      <c r="G5109" t="s">
        <v>55</v>
      </c>
      <c r="H5109" t="s">
        <v>43</v>
      </c>
      <c r="I5109" t="s">
        <v>2191</v>
      </c>
      <c r="J5109" s="10">
        <v>37.3</v>
      </c>
      <c r="K5109" t="b">
        <v>1</v>
      </c>
    </row>
    <row r="5110" spans="1:11">
      <c r="A5110" s="12">
        <v>42279</v>
      </c>
      <c r="B5110">
        <v>2015</v>
      </c>
      <c r="C5110">
        <v>10</v>
      </c>
      <c r="D5110" s="11">
        <v>42278</v>
      </c>
      <c r="E5110" t="s">
        <v>2182</v>
      </c>
      <c r="F5110">
        <v>5</v>
      </c>
      <c r="G5110" t="s">
        <v>55</v>
      </c>
      <c r="H5110" t="s">
        <v>44</v>
      </c>
      <c r="I5110" t="s">
        <v>2192</v>
      </c>
      <c r="J5110" s="10">
        <v>5</v>
      </c>
      <c r="K5110" t="b">
        <v>1</v>
      </c>
    </row>
    <row r="5111" spans="1:11">
      <c r="A5111" s="12">
        <v>42279</v>
      </c>
      <c r="B5111">
        <v>2015</v>
      </c>
      <c r="C5111">
        <v>10</v>
      </c>
      <c r="D5111" s="11">
        <v>42278</v>
      </c>
      <c r="E5111" t="s">
        <v>2182</v>
      </c>
      <c r="F5111">
        <v>5</v>
      </c>
      <c r="G5111" t="s">
        <v>55</v>
      </c>
      <c r="H5111" t="s">
        <v>45</v>
      </c>
      <c r="I5111" t="s">
        <v>2193</v>
      </c>
      <c r="J5111" s="10">
        <v>0</v>
      </c>
      <c r="K5111" t="b">
        <v>1</v>
      </c>
    </row>
    <row r="5112" spans="1:11">
      <c r="A5112" s="12">
        <v>42279</v>
      </c>
      <c r="B5112">
        <v>2015</v>
      </c>
      <c r="C5112">
        <v>10</v>
      </c>
      <c r="D5112" s="11">
        <v>42278</v>
      </c>
      <c r="E5112" t="s">
        <v>2182</v>
      </c>
      <c r="F5112">
        <v>5</v>
      </c>
      <c r="G5112" t="s">
        <v>55</v>
      </c>
      <c r="H5112" t="s">
        <v>46</v>
      </c>
      <c r="I5112" t="s">
        <v>2194</v>
      </c>
      <c r="J5112" s="10">
        <v>5</v>
      </c>
      <c r="K5112" t="b">
        <v>1</v>
      </c>
    </row>
    <row r="5113" spans="1:11">
      <c r="A5113" s="12">
        <v>42279</v>
      </c>
      <c r="B5113">
        <v>2015</v>
      </c>
      <c r="C5113">
        <v>10</v>
      </c>
      <c r="D5113" s="11">
        <v>42278</v>
      </c>
      <c r="E5113" t="s">
        <v>2182</v>
      </c>
      <c r="F5113">
        <v>5</v>
      </c>
      <c r="G5113" t="s">
        <v>55</v>
      </c>
      <c r="H5113" t="s">
        <v>47</v>
      </c>
      <c r="I5113" t="s">
        <v>2195</v>
      </c>
      <c r="J5113" s="10">
        <v>1</v>
      </c>
      <c r="K5113" t="b">
        <v>1</v>
      </c>
    </row>
    <row r="5114" spans="1:11">
      <c r="A5114" s="12">
        <v>42280</v>
      </c>
      <c r="B5114">
        <v>2015</v>
      </c>
      <c r="C5114">
        <v>10</v>
      </c>
      <c r="D5114" s="11">
        <v>42278</v>
      </c>
      <c r="E5114" t="s">
        <v>2182</v>
      </c>
      <c r="F5114">
        <v>6</v>
      </c>
      <c r="G5114" t="s">
        <v>57</v>
      </c>
      <c r="H5114" t="s">
        <v>40</v>
      </c>
      <c r="I5114" t="s">
        <v>2188</v>
      </c>
      <c r="J5114" s="10">
        <v>10.34</v>
      </c>
      <c r="K5114" t="b">
        <v>1</v>
      </c>
    </row>
    <row r="5115" spans="1:11">
      <c r="A5115" s="12">
        <v>42280</v>
      </c>
      <c r="B5115">
        <v>2015</v>
      </c>
      <c r="C5115">
        <v>10</v>
      </c>
      <c r="D5115" s="11">
        <v>42278</v>
      </c>
      <c r="E5115" t="s">
        <v>2182</v>
      </c>
      <c r="F5115">
        <v>6</v>
      </c>
      <c r="G5115" t="s">
        <v>57</v>
      </c>
      <c r="H5115" t="s">
        <v>41</v>
      </c>
      <c r="I5115" t="s">
        <v>2189</v>
      </c>
      <c r="J5115" s="10">
        <v>5.34</v>
      </c>
      <c r="K5115" t="b">
        <v>1</v>
      </c>
    </row>
    <row r="5116" spans="1:11">
      <c r="A5116" s="12">
        <v>42280</v>
      </c>
      <c r="B5116">
        <v>2015</v>
      </c>
      <c r="C5116">
        <v>10</v>
      </c>
      <c r="D5116" s="11">
        <v>42278</v>
      </c>
      <c r="E5116" t="s">
        <v>2182</v>
      </c>
      <c r="F5116">
        <v>6</v>
      </c>
      <c r="G5116" t="s">
        <v>57</v>
      </c>
      <c r="H5116" t="s">
        <v>42</v>
      </c>
      <c r="I5116" t="s">
        <v>2190</v>
      </c>
      <c r="J5116" s="10">
        <v>3</v>
      </c>
      <c r="K5116" t="b">
        <v>1</v>
      </c>
    </row>
    <row r="5117" spans="1:11">
      <c r="A5117" s="12">
        <v>42280</v>
      </c>
      <c r="B5117">
        <v>2015</v>
      </c>
      <c r="C5117">
        <v>10</v>
      </c>
      <c r="D5117" s="11">
        <v>42278</v>
      </c>
      <c r="E5117" t="s">
        <v>2182</v>
      </c>
      <c r="F5117">
        <v>6</v>
      </c>
      <c r="G5117" t="s">
        <v>57</v>
      </c>
      <c r="H5117" t="s">
        <v>43</v>
      </c>
      <c r="I5117" t="s">
        <v>2191</v>
      </c>
      <c r="J5117" s="10">
        <v>37.2</v>
      </c>
      <c r="K5117" t="b">
        <v>1</v>
      </c>
    </row>
    <row r="5118" spans="1:11">
      <c r="A5118" s="12">
        <v>42280</v>
      </c>
      <c r="B5118">
        <v>2015</v>
      </c>
      <c r="C5118">
        <v>10</v>
      </c>
      <c r="D5118" s="11">
        <v>42278</v>
      </c>
      <c r="E5118" t="s">
        <v>2182</v>
      </c>
      <c r="F5118">
        <v>6</v>
      </c>
      <c r="G5118" t="s">
        <v>57</v>
      </c>
      <c r="H5118" t="s">
        <v>44</v>
      </c>
      <c r="I5118" t="s">
        <v>2192</v>
      </c>
      <c r="J5118" s="10">
        <v>7</v>
      </c>
      <c r="K5118" t="b">
        <v>1</v>
      </c>
    </row>
    <row r="5119" spans="1:11">
      <c r="A5119" s="12">
        <v>42280</v>
      </c>
      <c r="B5119">
        <v>2015</v>
      </c>
      <c r="C5119">
        <v>10</v>
      </c>
      <c r="D5119" s="11">
        <v>42278</v>
      </c>
      <c r="E5119" t="s">
        <v>2182</v>
      </c>
      <c r="F5119">
        <v>6</v>
      </c>
      <c r="G5119" t="s">
        <v>57</v>
      </c>
      <c r="H5119" t="s">
        <v>45</v>
      </c>
      <c r="I5119" t="s">
        <v>2193</v>
      </c>
      <c r="J5119" s="10">
        <v>0</v>
      </c>
      <c r="K5119" t="b">
        <v>1</v>
      </c>
    </row>
    <row r="5120" spans="1:11">
      <c r="A5120" s="12">
        <v>42280</v>
      </c>
      <c r="B5120">
        <v>2015</v>
      </c>
      <c r="C5120">
        <v>10</v>
      </c>
      <c r="D5120" s="11">
        <v>42278</v>
      </c>
      <c r="E5120" t="s">
        <v>2182</v>
      </c>
      <c r="F5120">
        <v>6</v>
      </c>
      <c r="G5120" t="s">
        <v>57</v>
      </c>
      <c r="H5120" t="s">
        <v>46</v>
      </c>
      <c r="I5120" t="s">
        <v>2194</v>
      </c>
      <c r="J5120" s="10">
        <v>7</v>
      </c>
      <c r="K5120" t="b">
        <v>1</v>
      </c>
    </row>
    <row r="5121" spans="1:11">
      <c r="A5121" s="12">
        <v>42280</v>
      </c>
      <c r="B5121">
        <v>2015</v>
      </c>
      <c r="C5121">
        <v>10</v>
      </c>
      <c r="D5121" s="11">
        <v>42278</v>
      </c>
      <c r="E5121" t="s">
        <v>2182</v>
      </c>
      <c r="F5121">
        <v>6</v>
      </c>
      <c r="G5121" t="s">
        <v>57</v>
      </c>
      <c r="H5121" t="s">
        <v>47</v>
      </c>
      <c r="I5121" t="s">
        <v>2195</v>
      </c>
      <c r="J5121" s="10">
        <v>2</v>
      </c>
      <c r="K5121" t="b">
        <v>1</v>
      </c>
    </row>
    <row r="5122" spans="1:11">
      <c r="A5122" s="12">
        <v>42281</v>
      </c>
      <c r="B5122">
        <v>2015</v>
      </c>
      <c r="C5122">
        <v>10</v>
      </c>
      <c r="D5122" s="11">
        <v>42278</v>
      </c>
      <c r="E5122" t="s">
        <v>2182</v>
      </c>
      <c r="F5122">
        <v>7</v>
      </c>
      <c r="G5122" t="s">
        <v>59</v>
      </c>
      <c r="H5122" t="s">
        <v>40</v>
      </c>
      <c r="I5122" t="s">
        <v>2188</v>
      </c>
      <c r="J5122" s="10">
        <v>7</v>
      </c>
      <c r="K5122" t="b">
        <v>1</v>
      </c>
    </row>
    <row r="5123" spans="1:11">
      <c r="A5123" s="12">
        <v>42281</v>
      </c>
      <c r="B5123">
        <v>2015</v>
      </c>
      <c r="C5123">
        <v>10</v>
      </c>
      <c r="D5123" s="11">
        <v>42278</v>
      </c>
      <c r="E5123" t="s">
        <v>2182</v>
      </c>
      <c r="F5123">
        <v>7</v>
      </c>
      <c r="G5123" t="s">
        <v>59</v>
      </c>
      <c r="H5123" t="s">
        <v>41</v>
      </c>
      <c r="I5123" t="s">
        <v>2189</v>
      </c>
      <c r="J5123" s="10">
        <v>4</v>
      </c>
      <c r="K5123" t="b">
        <v>1</v>
      </c>
    </row>
    <row r="5124" spans="1:11">
      <c r="A5124" s="12">
        <v>42281</v>
      </c>
      <c r="B5124">
        <v>2015</v>
      </c>
      <c r="C5124">
        <v>10</v>
      </c>
      <c r="D5124" s="11">
        <v>42278</v>
      </c>
      <c r="E5124" t="s">
        <v>2182</v>
      </c>
      <c r="F5124">
        <v>7</v>
      </c>
      <c r="G5124" t="s">
        <v>59</v>
      </c>
      <c r="H5124" t="s">
        <v>42</v>
      </c>
      <c r="I5124" t="s">
        <v>2190</v>
      </c>
      <c r="J5124" s="10">
        <v>4</v>
      </c>
      <c r="K5124" t="b">
        <v>1</v>
      </c>
    </row>
    <row r="5125" spans="1:11">
      <c r="A5125" s="12">
        <v>42281</v>
      </c>
      <c r="B5125">
        <v>2015</v>
      </c>
      <c r="C5125">
        <v>10</v>
      </c>
      <c r="D5125" s="11">
        <v>42278</v>
      </c>
      <c r="E5125" t="s">
        <v>2182</v>
      </c>
      <c r="F5125">
        <v>7</v>
      </c>
      <c r="G5125" t="s">
        <v>59</v>
      </c>
      <c r="H5125" t="s">
        <v>43</v>
      </c>
      <c r="I5125" t="s">
        <v>2191</v>
      </c>
      <c r="J5125" s="10">
        <v>59</v>
      </c>
      <c r="K5125" t="b">
        <v>1</v>
      </c>
    </row>
    <row r="5126" spans="1:11">
      <c r="A5126" s="12">
        <v>42281</v>
      </c>
      <c r="B5126">
        <v>2015</v>
      </c>
      <c r="C5126">
        <v>10</v>
      </c>
      <c r="D5126" s="11">
        <v>42278</v>
      </c>
      <c r="E5126" t="s">
        <v>2182</v>
      </c>
      <c r="F5126">
        <v>7</v>
      </c>
      <c r="G5126" t="s">
        <v>59</v>
      </c>
      <c r="H5126" t="s">
        <v>44</v>
      </c>
      <c r="I5126" t="s">
        <v>2192</v>
      </c>
      <c r="J5126" s="10">
        <v>3</v>
      </c>
      <c r="K5126" t="b">
        <v>1</v>
      </c>
    </row>
    <row r="5127" spans="1:11">
      <c r="A5127" s="12">
        <v>42281</v>
      </c>
      <c r="B5127">
        <v>2015</v>
      </c>
      <c r="C5127">
        <v>10</v>
      </c>
      <c r="D5127" s="11">
        <v>42278</v>
      </c>
      <c r="E5127" t="s">
        <v>2182</v>
      </c>
      <c r="F5127">
        <v>7</v>
      </c>
      <c r="G5127" t="s">
        <v>59</v>
      </c>
      <c r="H5127" t="s">
        <v>45</v>
      </c>
      <c r="I5127" t="s">
        <v>2193</v>
      </c>
      <c r="J5127" s="10">
        <v>0</v>
      </c>
      <c r="K5127" t="b">
        <v>1</v>
      </c>
    </row>
    <row r="5128" spans="1:11">
      <c r="A5128" s="12">
        <v>42281</v>
      </c>
      <c r="B5128">
        <v>2015</v>
      </c>
      <c r="C5128">
        <v>10</v>
      </c>
      <c r="D5128" s="11">
        <v>42278</v>
      </c>
      <c r="E5128" t="s">
        <v>2182</v>
      </c>
      <c r="F5128">
        <v>7</v>
      </c>
      <c r="G5128" t="s">
        <v>59</v>
      </c>
      <c r="H5128" t="s">
        <v>46</v>
      </c>
      <c r="I5128" t="s">
        <v>2194</v>
      </c>
      <c r="J5128" s="10">
        <v>16</v>
      </c>
      <c r="K5128" t="b">
        <v>1</v>
      </c>
    </row>
    <row r="5129" spans="1:11">
      <c r="A5129" s="12">
        <v>42281</v>
      </c>
      <c r="B5129">
        <v>2015</v>
      </c>
      <c r="C5129">
        <v>10</v>
      </c>
      <c r="D5129" s="11">
        <v>42278</v>
      </c>
      <c r="E5129" t="s">
        <v>2182</v>
      </c>
      <c r="F5129">
        <v>7</v>
      </c>
      <c r="G5129" t="s">
        <v>59</v>
      </c>
      <c r="H5129" t="s">
        <v>47</v>
      </c>
      <c r="I5129" t="s">
        <v>2195</v>
      </c>
      <c r="J5129" s="10">
        <v>2</v>
      </c>
      <c r="K5129" t="b">
        <v>1</v>
      </c>
    </row>
    <row r="5130" spans="1:11">
      <c r="A5130" s="12">
        <v>42282</v>
      </c>
      <c r="B5130">
        <v>2015</v>
      </c>
      <c r="C5130">
        <v>10</v>
      </c>
      <c r="D5130" s="11">
        <v>42278</v>
      </c>
      <c r="E5130" t="s">
        <v>2182</v>
      </c>
      <c r="F5130">
        <v>1</v>
      </c>
      <c r="G5130" t="s">
        <v>61</v>
      </c>
      <c r="H5130" t="s">
        <v>40</v>
      </c>
      <c r="I5130" t="s">
        <v>2188</v>
      </c>
      <c r="J5130" s="10">
        <v>5</v>
      </c>
      <c r="K5130" t="b">
        <v>1</v>
      </c>
    </row>
    <row r="5131" spans="1:11">
      <c r="A5131" s="12">
        <v>42282</v>
      </c>
      <c r="B5131">
        <v>2015</v>
      </c>
      <c r="C5131">
        <v>10</v>
      </c>
      <c r="D5131" s="11">
        <v>42278</v>
      </c>
      <c r="E5131" t="s">
        <v>2182</v>
      </c>
      <c r="F5131">
        <v>1</v>
      </c>
      <c r="G5131" t="s">
        <v>61</v>
      </c>
      <c r="H5131" t="s">
        <v>41</v>
      </c>
      <c r="I5131" t="s">
        <v>2189</v>
      </c>
      <c r="J5131" s="10">
        <v>2.373</v>
      </c>
      <c r="K5131" t="b">
        <v>1</v>
      </c>
    </row>
    <row r="5132" spans="1:11">
      <c r="A5132" s="12">
        <v>42282</v>
      </c>
      <c r="B5132">
        <v>2015</v>
      </c>
      <c r="C5132">
        <v>10</v>
      </c>
      <c r="D5132" s="11">
        <v>42278</v>
      </c>
      <c r="E5132" t="s">
        <v>2182</v>
      </c>
      <c r="F5132">
        <v>1</v>
      </c>
      <c r="G5132" t="s">
        <v>61</v>
      </c>
      <c r="H5132" t="s">
        <v>42</v>
      </c>
      <c r="I5132" t="s">
        <v>2190</v>
      </c>
      <c r="J5132" s="10">
        <v>2.2</v>
      </c>
      <c r="K5132" t="b">
        <v>1</v>
      </c>
    </row>
    <row r="5133" spans="1:11">
      <c r="A5133" s="12">
        <v>42282</v>
      </c>
      <c r="B5133">
        <v>2015</v>
      </c>
      <c r="C5133">
        <v>10</v>
      </c>
      <c r="D5133" s="11">
        <v>42278</v>
      </c>
      <c r="E5133" t="s">
        <v>2182</v>
      </c>
      <c r="F5133">
        <v>1</v>
      </c>
      <c r="G5133" t="s">
        <v>61</v>
      </c>
      <c r="H5133" t="s">
        <v>43</v>
      </c>
      <c r="I5133" t="s">
        <v>2191</v>
      </c>
      <c r="J5133" s="10">
        <v>70.95</v>
      </c>
      <c r="K5133" t="b">
        <v>1</v>
      </c>
    </row>
    <row r="5134" spans="1:11">
      <c r="A5134" s="12">
        <v>42282</v>
      </c>
      <c r="B5134">
        <v>2015</v>
      </c>
      <c r="C5134">
        <v>10</v>
      </c>
      <c r="D5134" s="11">
        <v>42278</v>
      </c>
      <c r="E5134" t="s">
        <v>2182</v>
      </c>
      <c r="F5134">
        <v>1</v>
      </c>
      <c r="G5134" t="s">
        <v>61</v>
      </c>
      <c r="H5134" t="s">
        <v>44</v>
      </c>
      <c r="I5134" t="s">
        <v>2192</v>
      </c>
      <c r="J5134" s="10">
        <v>11</v>
      </c>
      <c r="K5134" t="b">
        <v>1</v>
      </c>
    </row>
    <row r="5135" spans="1:11">
      <c r="A5135" s="12">
        <v>42282</v>
      </c>
      <c r="B5135">
        <v>2015</v>
      </c>
      <c r="C5135">
        <v>10</v>
      </c>
      <c r="D5135" s="11">
        <v>42278</v>
      </c>
      <c r="E5135" t="s">
        <v>2182</v>
      </c>
      <c r="F5135">
        <v>1</v>
      </c>
      <c r="G5135" t="s">
        <v>61</v>
      </c>
      <c r="H5135" t="s">
        <v>45</v>
      </c>
      <c r="I5135" t="s">
        <v>2193</v>
      </c>
      <c r="J5135" s="10">
        <v>1</v>
      </c>
      <c r="K5135" t="b">
        <v>1</v>
      </c>
    </row>
    <row r="5136" spans="1:11">
      <c r="A5136" s="12">
        <v>42282</v>
      </c>
      <c r="B5136">
        <v>2015</v>
      </c>
      <c r="C5136">
        <v>10</v>
      </c>
      <c r="D5136" s="11">
        <v>42278</v>
      </c>
      <c r="E5136" t="s">
        <v>2182</v>
      </c>
      <c r="F5136">
        <v>1</v>
      </c>
      <c r="G5136" t="s">
        <v>61</v>
      </c>
      <c r="H5136" t="s">
        <v>46</v>
      </c>
      <c r="I5136" t="s">
        <v>2194</v>
      </c>
      <c r="J5136" s="10">
        <v>7</v>
      </c>
      <c r="K5136" t="b">
        <v>1</v>
      </c>
    </row>
    <row r="5137" spans="1:11">
      <c r="A5137" s="12">
        <v>42282</v>
      </c>
      <c r="B5137">
        <v>2015</v>
      </c>
      <c r="C5137">
        <v>10</v>
      </c>
      <c r="D5137" s="11">
        <v>42278</v>
      </c>
      <c r="E5137" t="s">
        <v>2182</v>
      </c>
      <c r="F5137">
        <v>1</v>
      </c>
      <c r="G5137" t="s">
        <v>61</v>
      </c>
      <c r="H5137" t="s">
        <v>47</v>
      </c>
      <c r="I5137" t="s">
        <v>2195</v>
      </c>
      <c r="J5137" s="10">
        <v>5</v>
      </c>
      <c r="K5137" t="b">
        <v>1</v>
      </c>
    </row>
    <row r="5138" spans="1:11">
      <c r="A5138" s="12">
        <v>42283</v>
      </c>
      <c r="B5138">
        <v>2015</v>
      </c>
      <c r="C5138">
        <v>10</v>
      </c>
      <c r="D5138" s="11">
        <v>42278</v>
      </c>
      <c r="E5138" t="s">
        <v>2182</v>
      </c>
      <c r="F5138">
        <v>2</v>
      </c>
      <c r="G5138" t="s">
        <v>63</v>
      </c>
      <c r="H5138" t="s">
        <v>40</v>
      </c>
      <c r="I5138" t="s">
        <v>2188</v>
      </c>
      <c r="J5138" s="10">
        <v>5.69</v>
      </c>
      <c r="K5138" t="b">
        <v>1</v>
      </c>
    </row>
    <row r="5139" spans="1:11">
      <c r="A5139" s="12">
        <v>42283</v>
      </c>
      <c r="B5139">
        <v>2015</v>
      </c>
      <c r="C5139">
        <v>10</v>
      </c>
      <c r="D5139" s="11">
        <v>42278</v>
      </c>
      <c r="E5139" t="s">
        <v>2182</v>
      </c>
      <c r="F5139">
        <v>2</v>
      </c>
      <c r="G5139" t="s">
        <v>63</v>
      </c>
      <c r="H5139" t="s">
        <v>41</v>
      </c>
      <c r="I5139" t="s">
        <v>2189</v>
      </c>
      <c r="J5139" s="10">
        <v>3.66</v>
      </c>
      <c r="K5139" t="b">
        <v>1</v>
      </c>
    </row>
    <row r="5140" spans="1:11">
      <c r="A5140" s="12">
        <v>42283</v>
      </c>
      <c r="B5140">
        <v>2015</v>
      </c>
      <c r="C5140">
        <v>10</v>
      </c>
      <c r="D5140" s="11">
        <v>42278</v>
      </c>
      <c r="E5140" t="s">
        <v>2182</v>
      </c>
      <c r="F5140">
        <v>2</v>
      </c>
      <c r="G5140" t="s">
        <v>63</v>
      </c>
      <c r="H5140" t="s">
        <v>42</v>
      </c>
      <c r="I5140" t="s">
        <v>2190</v>
      </c>
      <c r="J5140" s="10">
        <v>5.5</v>
      </c>
      <c r="K5140" t="b">
        <v>1</v>
      </c>
    </row>
    <row r="5141" spans="1:11">
      <c r="A5141" s="12">
        <v>42283</v>
      </c>
      <c r="B5141">
        <v>2015</v>
      </c>
      <c r="C5141">
        <v>10</v>
      </c>
      <c r="D5141" s="11">
        <v>42278</v>
      </c>
      <c r="E5141" t="s">
        <v>2182</v>
      </c>
      <c r="F5141">
        <v>2</v>
      </c>
      <c r="G5141" t="s">
        <v>63</v>
      </c>
      <c r="H5141" t="s">
        <v>43</v>
      </c>
      <c r="I5141" t="s">
        <v>2191</v>
      </c>
      <c r="J5141" s="10">
        <v>42.725</v>
      </c>
      <c r="K5141" t="b">
        <v>1</v>
      </c>
    </row>
    <row r="5142" spans="1:11">
      <c r="A5142" s="12">
        <v>42283</v>
      </c>
      <c r="B5142">
        <v>2015</v>
      </c>
      <c r="C5142">
        <v>10</v>
      </c>
      <c r="D5142" s="11">
        <v>42278</v>
      </c>
      <c r="E5142" t="s">
        <v>2182</v>
      </c>
      <c r="F5142">
        <v>2</v>
      </c>
      <c r="G5142" t="s">
        <v>63</v>
      </c>
      <c r="H5142" t="s">
        <v>44</v>
      </c>
      <c r="I5142" t="s">
        <v>2192</v>
      </c>
      <c r="J5142" s="10">
        <v>9</v>
      </c>
      <c r="K5142" t="b">
        <v>1</v>
      </c>
    </row>
    <row r="5143" spans="1:11">
      <c r="A5143" s="12">
        <v>42283</v>
      </c>
      <c r="B5143">
        <v>2015</v>
      </c>
      <c r="C5143">
        <v>10</v>
      </c>
      <c r="D5143" s="11">
        <v>42278</v>
      </c>
      <c r="E5143" t="s">
        <v>2182</v>
      </c>
      <c r="F5143">
        <v>2</v>
      </c>
      <c r="G5143" t="s">
        <v>63</v>
      </c>
      <c r="H5143" t="s">
        <v>45</v>
      </c>
      <c r="I5143" t="s">
        <v>2193</v>
      </c>
      <c r="J5143" s="10">
        <v>1</v>
      </c>
      <c r="K5143" t="b">
        <v>1</v>
      </c>
    </row>
    <row r="5144" spans="1:11">
      <c r="A5144" s="12">
        <v>42283</v>
      </c>
      <c r="B5144">
        <v>2015</v>
      </c>
      <c r="C5144">
        <v>10</v>
      </c>
      <c r="D5144" s="11">
        <v>42278</v>
      </c>
      <c r="E5144" t="s">
        <v>2182</v>
      </c>
      <c r="F5144">
        <v>2</v>
      </c>
      <c r="G5144" t="s">
        <v>63</v>
      </c>
      <c r="H5144" t="s">
        <v>46</v>
      </c>
      <c r="I5144" t="s">
        <v>2194</v>
      </c>
      <c r="J5144" s="10">
        <v>5</v>
      </c>
      <c r="K5144" t="b">
        <v>1</v>
      </c>
    </row>
    <row r="5145" spans="1:11">
      <c r="A5145" s="12">
        <v>42283</v>
      </c>
      <c r="B5145">
        <v>2015</v>
      </c>
      <c r="C5145">
        <v>10</v>
      </c>
      <c r="D5145" s="11">
        <v>42278</v>
      </c>
      <c r="E5145" t="s">
        <v>2182</v>
      </c>
      <c r="F5145">
        <v>2</v>
      </c>
      <c r="G5145" t="s">
        <v>63</v>
      </c>
      <c r="H5145" t="s">
        <v>47</v>
      </c>
      <c r="I5145" t="s">
        <v>2195</v>
      </c>
      <c r="J5145" s="10">
        <v>4</v>
      </c>
      <c r="K5145" t="b">
        <v>1</v>
      </c>
    </row>
    <row r="5146" spans="1:11">
      <c r="A5146" s="12">
        <v>42284</v>
      </c>
      <c r="B5146">
        <v>2015</v>
      </c>
      <c r="C5146">
        <v>10</v>
      </c>
      <c r="D5146" s="11">
        <v>42278</v>
      </c>
      <c r="E5146" t="s">
        <v>2182</v>
      </c>
      <c r="F5146">
        <v>3</v>
      </c>
      <c r="G5146" t="s">
        <v>65</v>
      </c>
      <c r="H5146" t="s">
        <v>40</v>
      </c>
      <c r="I5146" t="s">
        <v>2188</v>
      </c>
      <c r="J5146" s="10">
        <v>7.33</v>
      </c>
      <c r="K5146" t="b">
        <v>1</v>
      </c>
    </row>
    <row r="5147" spans="1:11">
      <c r="A5147" s="12">
        <v>42284</v>
      </c>
      <c r="B5147">
        <v>2015</v>
      </c>
      <c r="C5147">
        <v>10</v>
      </c>
      <c r="D5147" s="11">
        <v>42278</v>
      </c>
      <c r="E5147" t="s">
        <v>2182</v>
      </c>
      <c r="F5147">
        <v>3</v>
      </c>
      <c r="G5147" t="s">
        <v>65</v>
      </c>
      <c r="H5147" t="s">
        <v>41</v>
      </c>
      <c r="I5147" t="s">
        <v>2189</v>
      </c>
      <c r="J5147" s="10">
        <v>2.66</v>
      </c>
      <c r="K5147" t="b">
        <v>1</v>
      </c>
    </row>
    <row r="5148" spans="1:11">
      <c r="A5148" s="12">
        <v>42284</v>
      </c>
      <c r="B5148">
        <v>2015</v>
      </c>
      <c r="C5148">
        <v>10</v>
      </c>
      <c r="D5148" s="11">
        <v>42278</v>
      </c>
      <c r="E5148" t="s">
        <v>2182</v>
      </c>
      <c r="F5148">
        <v>3</v>
      </c>
      <c r="G5148" t="s">
        <v>65</v>
      </c>
      <c r="H5148" t="s">
        <v>42</v>
      </c>
      <c r="I5148" t="s">
        <v>2190</v>
      </c>
      <c r="J5148" s="10">
        <v>6</v>
      </c>
      <c r="K5148" t="b">
        <v>1</v>
      </c>
    </row>
    <row r="5149" spans="1:11">
      <c r="A5149" s="12">
        <v>42284</v>
      </c>
      <c r="B5149">
        <v>2015</v>
      </c>
      <c r="C5149">
        <v>10</v>
      </c>
      <c r="D5149" s="11">
        <v>42278</v>
      </c>
      <c r="E5149" t="s">
        <v>2182</v>
      </c>
      <c r="F5149">
        <v>3</v>
      </c>
      <c r="G5149" t="s">
        <v>65</v>
      </c>
      <c r="H5149" t="s">
        <v>43</v>
      </c>
      <c r="I5149" t="s">
        <v>2191</v>
      </c>
      <c r="J5149" s="10">
        <v>44.3</v>
      </c>
      <c r="K5149" t="b">
        <v>1</v>
      </c>
    </row>
    <row r="5150" spans="1:11">
      <c r="A5150" s="12">
        <v>42284</v>
      </c>
      <c r="B5150">
        <v>2015</v>
      </c>
      <c r="C5150">
        <v>10</v>
      </c>
      <c r="D5150" s="11">
        <v>42278</v>
      </c>
      <c r="E5150" t="s">
        <v>2182</v>
      </c>
      <c r="F5150">
        <v>3</v>
      </c>
      <c r="G5150" t="s">
        <v>65</v>
      </c>
      <c r="H5150" t="s">
        <v>44</v>
      </c>
      <c r="I5150" t="s">
        <v>2192</v>
      </c>
      <c r="J5150" s="10">
        <v>8</v>
      </c>
      <c r="K5150" t="b">
        <v>1</v>
      </c>
    </row>
    <row r="5151" spans="1:11">
      <c r="A5151" s="12">
        <v>42284</v>
      </c>
      <c r="B5151">
        <v>2015</v>
      </c>
      <c r="C5151">
        <v>10</v>
      </c>
      <c r="D5151" s="11">
        <v>42278</v>
      </c>
      <c r="E5151" t="s">
        <v>2182</v>
      </c>
      <c r="F5151">
        <v>3</v>
      </c>
      <c r="G5151" t="s">
        <v>65</v>
      </c>
      <c r="H5151" t="s">
        <v>45</v>
      </c>
      <c r="I5151" t="s">
        <v>2193</v>
      </c>
      <c r="J5151" s="10">
        <v>0</v>
      </c>
      <c r="K5151" t="b">
        <v>1</v>
      </c>
    </row>
    <row r="5152" spans="1:11">
      <c r="A5152" s="12">
        <v>42284</v>
      </c>
      <c r="B5152">
        <v>2015</v>
      </c>
      <c r="C5152">
        <v>10</v>
      </c>
      <c r="D5152" s="11">
        <v>42278</v>
      </c>
      <c r="E5152" t="s">
        <v>2182</v>
      </c>
      <c r="F5152">
        <v>3</v>
      </c>
      <c r="G5152" t="s">
        <v>65</v>
      </c>
      <c r="H5152" t="s">
        <v>46</v>
      </c>
      <c r="I5152" t="s">
        <v>2194</v>
      </c>
      <c r="J5152" s="10">
        <v>5</v>
      </c>
      <c r="K5152" t="b">
        <v>1</v>
      </c>
    </row>
    <row r="5153" spans="1:11">
      <c r="A5153" s="12">
        <v>42284</v>
      </c>
      <c r="B5153">
        <v>2015</v>
      </c>
      <c r="C5153">
        <v>10</v>
      </c>
      <c r="D5153" s="11">
        <v>42278</v>
      </c>
      <c r="E5153" t="s">
        <v>2182</v>
      </c>
      <c r="F5153">
        <v>3</v>
      </c>
      <c r="G5153" t="s">
        <v>65</v>
      </c>
      <c r="H5153" t="s">
        <v>47</v>
      </c>
      <c r="I5153" t="s">
        <v>2195</v>
      </c>
      <c r="J5153" s="10">
        <v>2</v>
      </c>
      <c r="K5153" t="b">
        <v>1</v>
      </c>
    </row>
    <row r="5154" spans="1:11">
      <c r="A5154" s="12">
        <v>42285</v>
      </c>
      <c r="B5154">
        <v>2015</v>
      </c>
      <c r="C5154">
        <v>10</v>
      </c>
      <c r="D5154" s="11">
        <v>42278</v>
      </c>
      <c r="E5154" t="s">
        <v>2182</v>
      </c>
      <c r="F5154">
        <v>4</v>
      </c>
      <c r="G5154" t="s">
        <v>53</v>
      </c>
      <c r="H5154" t="s">
        <v>40</v>
      </c>
      <c r="I5154" t="s">
        <v>2188</v>
      </c>
      <c r="J5154" s="10">
        <v>8.82</v>
      </c>
      <c r="K5154" t="b">
        <v>1</v>
      </c>
    </row>
    <row r="5155" spans="1:11">
      <c r="A5155" s="12">
        <v>42285</v>
      </c>
      <c r="B5155">
        <v>2015</v>
      </c>
      <c r="C5155">
        <v>10</v>
      </c>
      <c r="D5155" s="11">
        <v>42278</v>
      </c>
      <c r="E5155" t="s">
        <v>2182</v>
      </c>
      <c r="F5155">
        <v>4</v>
      </c>
      <c r="G5155" t="s">
        <v>53</v>
      </c>
      <c r="H5155" t="s">
        <v>41</v>
      </c>
      <c r="I5155" t="s">
        <v>2189</v>
      </c>
      <c r="J5155" s="10">
        <v>4.33</v>
      </c>
      <c r="K5155" t="b">
        <v>1</v>
      </c>
    </row>
    <row r="5156" spans="1:11">
      <c r="A5156" s="12">
        <v>42285</v>
      </c>
      <c r="B5156">
        <v>2015</v>
      </c>
      <c r="C5156">
        <v>10</v>
      </c>
      <c r="D5156" s="11">
        <v>42278</v>
      </c>
      <c r="E5156" t="s">
        <v>2182</v>
      </c>
      <c r="F5156">
        <v>4</v>
      </c>
      <c r="G5156" t="s">
        <v>53</v>
      </c>
      <c r="H5156" t="s">
        <v>42</v>
      </c>
      <c r="I5156" t="s">
        <v>2190</v>
      </c>
      <c r="J5156" s="10">
        <v>3</v>
      </c>
      <c r="K5156" t="b">
        <v>1</v>
      </c>
    </row>
    <row r="5157" spans="1:11">
      <c r="A5157" s="12">
        <v>42285</v>
      </c>
      <c r="B5157">
        <v>2015</v>
      </c>
      <c r="C5157">
        <v>10</v>
      </c>
      <c r="D5157" s="11">
        <v>42278</v>
      </c>
      <c r="E5157" t="s">
        <v>2182</v>
      </c>
      <c r="F5157">
        <v>4</v>
      </c>
      <c r="G5157" t="s">
        <v>53</v>
      </c>
      <c r="H5157" t="s">
        <v>43</v>
      </c>
      <c r="I5157" t="s">
        <v>2191</v>
      </c>
      <c r="J5157" s="10">
        <v>30.7</v>
      </c>
      <c r="K5157" t="b">
        <v>1</v>
      </c>
    </row>
    <row r="5158" spans="1:11">
      <c r="A5158" s="12">
        <v>42285</v>
      </c>
      <c r="B5158">
        <v>2015</v>
      </c>
      <c r="C5158">
        <v>10</v>
      </c>
      <c r="D5158" s="11">
        <v>42278</v>
      </c>
      <c r="E5158" t="s">
        <v>2182</v>
      </c>
      <c r="F5158">
        <v>4</v>
      </c>
      <c r="G5158" t="s">
        <v>53</v>
      </c>
      <c r="H5158" t="s">
        <v>44</v>
      </c>
      <c r="I5158" t="s">
        <v>2192</v>
      </c>
      <c r="J5158" s="10">
        <v>5</v>
      </c>
      <c r="K5158" t="b">
        <v>1</v>
      </c>
    </row>
    <row r="5159" spans="1:11">
      <c r="A5159" s="12">
        <v>42285</v>
      </c>
      <c r="B5159">
        <v>2015</v>
      </c>
      <c r="C5159">
        <v>10</v>
      </c>
      <c r="D5159" s="11">
        <v>42278</v>
      </c>
      <c r="E5159" t="s">
        <v>2182</v>
      </c>
      <c r="F5159">
        <v>4</v>
      </c>
      <c r="G5159" t="s">
        <v>53</v>
      </c>
      <c r="H5159" t="s">
        <v>45</v>
      </c>
      <c r="I5159" t="s">
        <v>2193</v>
      </c>
      <c r="J5159" s="10">
        <v>0</v>
      </c>
      <c r="K5159" t="b">
        <v>1</v>
      </c>
    </row>
    <row r="5160" spans="1:11">
      <c r="A5160" s="12">
        <v>42285</v>
      </c>
      <c r="B5160">
        <v>2015</v>
      </c>
      <c r="C5160">
        <v>10</v>
      </c>
      <c r="D5160" s="11">
        <v>42278</v>
      </c>
      <c r="E5160" t="s">
        <v>2182</v>
      </c>
      <c r="F5160">
        <v>4</v>
      </c>
      <c r="G5160" t="s">
        <v>53</v>
      </c>
      <c r="H5160" t="s">
        <v>46</v>
      </c>
      <c r="I5160" t="s">
        <v>2194</v>
      </c>
      <c r="J5160" s="10">
        <v>20</v>
      </c>
      <c r="K5160" t="b">
        <v>1</v>
      </c>
    </row>
    <row r="5161" spans="1:11">
      <c r="A5161" s="12">
        <v>42285</v>
      </c>
      <c r="B5161">
        <v>2015</v>
      </c>
      <c r="C5161">
        <v>10</v>
      </c>
      <c r="D5161" s="11">
        <v>42278</v>
      </c>
      <c r="E5161" t="s">
        <v>2182</v>
      </c>
      <c r="F5161">
        <v>4</v>
      </c>
      <c r="G5161" t="s">
        <v>53</v>
      </c>
      <c r="H5161" t="s">
        <v>47</v>
      </c>
      <c r="I5161" t="s">
        <v>2195</v>
      </c>
      <c r="J5161" s="10">
        <v>0</v>
      </c>
      <c r="K5161" t="b">
        <v>1</v>
      </c>
    </row>
    <row r="5162" spans="1:11">
      <c r="A5162" s="12">
        <v>42286</v>
      </c>
      <c r="B5162">
        <v>2015</v>
      </c>
      <c r="C5162">
        <v>10</v>
      </c>
      <c r="D5162" s="11">
        <v>42278</v>
      </c>
      <c r="E5162" t="s">
        <v>2182</v>
      </c>
      <c r="F5162">
        <v>5</v>
      </c>
      <c r="G5162" t="s">
        <v>55</v>
      </c>
      <c r="H5162" t="s">
        <v>40</v>
      </c>
      <c r="I5162" t="s">
        <v>2188</v>
      </c>
      <c r="J5162" s="10">
        <v>2</v>
      </c>
      <c r="K5162" t="b">
        <v>1</v>
      </c>
    </row>
    <row r="5163" spans="1:11">
      <c r="A5163" s="12">
        <v>42286</v>
      </c>
      <c r="B5163">
        <v>2015</v>
      </c>
      <c r="C5163">
        <v>10</v>
      </c>
      <c r="D5163" s="11">
        <v>42278</v>
      </c>
      <c r="E5163" t="s">
        <v>2182</v>
      </c>
      <c r="F5163">
        <v>5</v>
      </c>
      <c r="G5163" t="s">
        <v>55</v>
      </c>
      <c r="H5163" t="s">
        <v>41</v>
      </c>
      <c r="I5163" t="s">
        <v>2189</v>
      </c>
      <c r="J5163" s="10">
        <v>2.769</v>
      </c>
      <c r="K5163" t="b">
        <v>1</v>
      </c>
    </row>
    <row r="5164" spans="1:11">
      <c r="A5164" s="12">
        <v>42286</v>
      </c>
      <c r="B5164">
        <v>2015</v>
      </c>
      <c r="C5164">
        <v>10</v>
      </c>
      <c r="D5164" s="11">
        <v>42278</v>
      </c>
      <c r="E5164" t="s">
        <v>2182</v>
      </c>
      <c r="F5164">
        <v>5</v>
      </c>
      <c r="G5164" t="s">
        <v>55</v>
      </c>
      <c r="H5164" t="s">
        <v>42</v>
      </c>
      <c r="I5164" t="s">
        <v>2190</v>
      </c>
      <c r="J5164" s="10">
        <v>7.6</v>
      </c>
      <c r="K5164" t="b">
        <v>1</v>
      </c>
    </row>
    <row r="5165" spans="1:11">
      <c r="A5165" s="12">
        <v>42286</v>
      </c>
      <c r="B5165">
        <v>2015</v>
      </c>
      <c r="C5165">
        <v>10</v>
      </c>
      <c r="D5165" s="11">
        <v>42278</v>
      </c>
      <c r="E5165" t="s">
        <v>2182</v>
      </c>
      <c r="F5165">
        <v>5</v>
      </c>
      <c r="G5165" t="s">
        <v>55</v>
      </c>
      <c r="H5165" t="s">
        <v>43</v>
      </c>
      <c r="I5165" t="s">
        <v>2191</v>
      </c>
      <c r="J5165" s="10">
        <v>28.062</v>
      </c>
      <c r="K5165" t="b">
        <v>1</v>
      </c>
    </row>
    <row r="5166" spans="1:11">
      <c r="A5166" s="12">
        <v>42286</v>
      </c>
      <c r="B5166">
        <v>2015</v>
      </c>
      <c r="C5166">
        <v>10</v>
      </c>
      <c r="D5166" s="11">
        <v>42278</v>
      </c>
      <c r="E5166" t="s">
        <v>2182</v>
      </c>
      <c r="F5166">
        <v>5</v>
      </c>
      <c r="G5166" t="s">
        <v>55</v>
      </c>
      <c r="H5166" t="s">
        <v>44</v>
      </c>
      <c r="I5166" t="s">
        <v>2192</v>
      </c>
      <c r="J5166" s="10">
        <v>13</v>
      </c>
      <c r="K5166" t="b">
        <v>1</v>
      </c>
    </row>
    <row r="5167" spans="1:11">
      <c r="A5167" s="12">
        <v>42286</v>
      </c>
      <c r="B5167">
        <v>2015</v>
      </c>
      <c r="C5167">
        <v>10</v>
      </c>
      <c r="D5167" s="11">
        <v>42278</v>
      </c>
      <c r="E5167" t="s">
        <v>2182</v>
      </c>
      <c r="F5167">
        <v>5</v>
      </c>
      <c r="G5167" t="s">
        <v>55</v>
      </c>
      <c r="H5167" t="s">
        <v>45</v>
      </c>
      <c r="I5167" t="s">
        <v>2193</v>
      </c>
      <c r="J5167" s="10">
        <v>2</v>
      </c>
      <c r="K5167" t="b">
        <v>1</v>
      </c>
    </row>
    <row r="5168" spans="1:11">
      <c r="A5168" s="12">
        <v>42286</v>
      </c>
      <c r="B5168">
        <v>2015</v>
      </c>
      <c r="C5168">
        <v>10</v>
      </c>
      <c r="D5168" s="11">
        <v>42278</v>
      </c>
      <c r="E5168" t="s">
        <v>2182</v>
      </c>
      <c r="F5168">
        <v>5</v>
      </c>
      <c r="G5168" t="s">
        <v>55</v>
      </c>
      <c r="H5168" t="s">
        <v>46</v>
      </c>
      <c r="I5168" t="s">
        <v>2194</v>
      </c>
      <c r="J5168" s="10">
        <v>10</v>
      </c>
      <c r="K5168" t="b">
        <v>1</v>
      </c>
    </row>
    <row r="5169" spans="1:11">
      <c r="A5169" s="12">
        <v>42286</v>
      </c>
      <c r="B5169">
        <v>2015</v>
      </c>
      <c r="C5169">
        <v>10</v>
      </c>
      <c r="D5169" s="11">
        <v>42278</v>
      </c>
      <c r="E5169" t="s">
        <v>2182</v>
      </c>
      <c r="F5169">
        <v>5</v>
      </c>
      <c r="G5169" t="s">
        <v>55</v>
      </c>
      <c r="H5169" t="s">
        <v>47</v>
      </c>
      <c r="I5169" t="s">
        <v>2195</v>
      </c>
      <c r="J5169" s="10">
        <v>2</v>
      </c>
      <c r="K5169" t="b">
        <v>1</v>
      </c>
    </row>
    <row r="5170" spans="1:11">
      <c r="A5170" s="12">
        <v>42287</v>
      </c>
      <c r="B5170">
        <v>2015</v>
      </c>
      <c r="C5170">
        <v>10</v>
      </c>
      <c r="D5170" s="11">
        <v>42278</v>
      </c>
      <c r="E5170" t="s">
        <v>2182</v>
      </c>
      <c r="F5170">
        <v>6</v>
      </c>
      <c r="G5170" t="s">
        <v>57</v>
      </c>
      <c r="H5170" t="s">
        <v>40</v>
      </c>
      <c r="I5170" t="s">
        <v>2188</v>
      </c>
      <c r="J5170" s="10">
        <v>6.16</v>
      </c>
      <c r="K5170" t="b">
        <v>1</v>
      </c>
    </row>
    <row r="5171" spans="1:11">
      <c r="A5171" s="12">
        <v>42287</v>
      </c>
      <c r="B5171">
        <v>2015</v>
      </c>
      <c r="C5171">
        <v>10</v>
      </c>
      <c r="D5171" s="11">
        <v>42278</v>
      </c>
      <c r="E5171" t="s">
        <v>2182</v>
      </c>
      <c r="F5171">
        <v>6</v>
      </c>
      <c r="G5171" t="s">
        <v>57</v>
      </c>
      <c r="H5171" t="s">
        <v>41</v>
      </c>
      <c r="I5171" t="s">
        <v>2189</v>
      </c>
      <c r="J5171" s="10">
        <v>5.66</v>
      </c>
      <c r="K5171" t="b">
        <v>1</v>
      </c>
    </row>
    <row r="5172" spans="1:11">
      <c r="A5172" s="12">
        <v>42287</v>
      </c>
      <c r="B5172">
        <v>2015</v>
      </c>
      <c r="C5172">
        <v>10</v>
      </c>
      <c r="D5172" s="11">
        <v>42278</v>
      </c>
      <c r="E5172" t="s">
        <v>2182</v>
      </c>
      <c r="F5172">
        <v>6</v>
      </c>
      <c r="G5172" t="s">
        <v>57</v>
      </c>
      <c r="H5172" t="s">
        <v>42</v>
      </c>
      <c r="I5172" t="s">
        <v>2190</v>
      </c>
      <c r="J5172" s="10">
        <v>3</v>
      </c>
      <c r="K5172" t="b">
        <v>1</v>
      </c>
    </row>
    <row r="5173" spans="1:11">
      <c r="A5173" s="12">
        <v>42287</v>
      </c>
      <c r="B5173">
        <v>2015</v>
      </c>
      <c r="C5173">
        <v>10</v>
      </c>
      <c r="D5173" s="11">
        <v>42278</v>
      </c>
      <c r="E5173" t="s">
        <v>2182</v>
      </c>
      <c r="F5173">
        <v>6</v>
      </c>
      <c r="G5173" t="s">
        <v>57</v>
      </c>
      <c r="H5173" t="s">
        <v>43</v>
      </c>
      <c r="I5173" t="s">
        <v>2191</v>
      </c>
      <c r="J5173" s="10">
        <v>46.3</v>
      </c>
      <c r="K5173" t="b">
        <v>1</v>
      </c>
    </row>
    <row r="5174" spans="1:11">
      <c r="A5174" s="12">
        <v>42287</v>
      </c>
      <c r="B5174">
        <v>2015</v>
      </c>
      <c r="C5174">
        <v>10</v>
      </c>
      <c r="D5174" s="11">
        <v>42278</v>
      </c>
      <c r="E5174" t="s">
        <v>2182</v>
      </c>
      <c r="F5174">
        <v>6</v>
      </c>
      <c r="G5174" t="s">
        <v>57</v>
      </c>
      <c r="H5174" t="s">
        <v>44</v>
      </c>
      <c r="I5174" t="s">
        <v>2192</v>
      </c>
      <c r="J5174" s="10">
        <v>19.5</v>
      </c>
      <c r="K5174" t="b">
        <v>1</v>
      </c>
    </row>
    <row r="5175" spans="1:11">
      <c r="A5175" s="12">
        <v>42287</v>
      </c>
      <c r="B5175">
        <v>2015</v>
      </c>
      <c r="C5175">
        <v>10</v>
      </c>
      <c r="D5175" s="11">
        <v>42278</v>
      </c>
      <c r="E5175" t="s">
        <v>2182</v>
      </c>
      <c r="F5175">
        <v>6</v>
      </c>
      <c r="G5175" t="s">
        <v>57</v>
      </c>
      <c r="H5175" t="s">
        <v>45</v>
      </c>
      <c r="I5175" t="s">
        <v>2193</v>
      </c>
      <c r="J5175" s="10">
        <v>0</v>
      </c>
      <c r="K5175" t="b">
        <v>1</v>
      </c>
    </row>
    <row r="5176" spans="1:11">
      <c r="A5176" s="12">
        <v>42287</v>
      </c>
      <c r="B5176">
        <v>2015</v>
      </c>
      <c r="C5176">
        <v>10</v>
      </c>
      <c r="D5176" s="11">
        <v>42278</v>
      </c>
      <c r="E5176" t="s">
        <v>2182</v>
      </c>
      <c r="F5176">
        <v>6</v>
      </c>
      <c r="G5176" t="s">
        <v>57</v>
      </c>
      <c r="H5176" t="s">
        <v>46</v>
      </c>
      <c r="I5176" t="s">
        <v>2194</v>
      </c>
      <c r="J5176" s="10">
        <v>1</v>
      </c>
      <c r="K5176" t="b">
        <v>1</v>
      </c>
    </row>
    <row r="5177" spans="1:11">
      <c r="A5177" s="12">
        <v>42287</v>
      </c>
      <c r="B5177">
        <v>2015</v>
      </c>
      <c r="C5177">
        <v>10</v>
      </c>
      <c r="D5177" s="11">
        <v>42278</v>
      </c>
      <c r="E5177" t="s">
        <v>2182</v>
      </c>
      <c r="F5177">
        <v>6</v>
      </c>
      <c r="G5177" t="s">
        <v>57</v>
      </c>
      <c r="H5177" t="s">
        <v>47</v>
      </c>
      <c r="I5177" t="s">
        <v>2195</v>
      </c>
      <c r="J5177" s="10">
        <v>0</v>
      </c>
      <c r="K5177" t="b">
        <v>1</v>
      </c>
    </row>
    <row r="5178" spans="1:11">
      <c r="A5178" s="12">
        <v>42288</v>
      </c>
      <c r="B5178">
        <v>2015</v>
      </c>
      <c r="C5178">
        <v>10</v>
      </c>
      <c r="D5178" s="11">
        <v>42278</v>
      </c>
      <c r="E5178" t="s">
        <v>2182</v>
      </c>
      <c r="F5178">
        <v>7</v>
      </c>
      <c r="G5178" t="s">
        <v>59</v>
      </c>
      <c r="H5178" t="s">
        <v>40</v>
      </c>
      <c r="I5178" t="s">
        <v>2188</v>
      </c>
      <c r="J5178" s="10">
        <v>10.33</v>
      </c>
      <c r="K5178" t="b">
        <v>1</v>
      </c>
    </row>
    <row r="5179" spans="1:11">
      <c r="A5179" s="12">
        <v>42288</v>
      </c>
      <c r="B5179">
        <v>2015</v>
      </c>
      <c r="C5179">
        <v>10</v>
      </c>
      <c r="D5179" s="11">
        <v>42278</v>
      </c>
      <c r="E5179" t="s">
        <v>2182</v>
      </c>
      <c r="F5179">
        <v>7</v>
      </c>
      <c r="G5179" t="s">
        <v>59</v>
      </c>
      <c r="H5179" t="s">
        <v>41</v>
      </c>
      <c r="I5179" t="s">
        <v>2189</v>
      </c>
      <c r="J5179" s="10">
        <v>2.792</v>
      </c>
      <c r="K5179" t="b">
        <v>1</v>
      </c>
    </row>
    <row r="5180" spans="1:11">
      <c r="A5180" s="12">
        <v>42288</v>
      </c>
      <c r="B5180">
        <v>2015</v>
      </c>
      <c r="C5180">
        <v>10</v>
      </c>
      <c r="D5180" s="11">
        <v>42278</v>
      </c>
      <c r="E5180" t="s">
        <v>2182</v>
      </c>
      <c r="F5180">
        <v>7</v>
      </c>
      <c r="G5180" t="s">
        <v>59</v>
      </c>
      <c r="H5180" t="s">
        <v>42</v>
      </c>
      <c r="I5180" t="s">
        <v>2190</v>
      </c>
      <c r="J5180" s="10">
        <v>7.1</v>
      </c>
      <c r="K5180" t="b">
        <v>1</v>
      </c>
    </row>
    <row r="5181" spans="1:11">
      <c r="A5181" s="12">
        <v>42288</v>
      </c>
      <c r="B5181">
        <v>2015</v>
      </c>
      <c r="C5181">
        <v>10</v>
      </c>
      <c r="D5181" s="11">
        <v>42278</v>
      </c>
      <c r="E5181" t="s">
        <v>2182</v>
      </c>
      <c r="F5181">
        <v>7</v>
      </c>
      <c r="G5181" t="s">
        <v>59</v>
      </c>
      <c r="H5181" t="s">
        <v>43</v>
      </c>
      <c r="I5181" t="s">
        <v>2191</v>
      </c>
      <c r="J5181" s="10">
        <v>70.3</v>
      </c>
      <c r="K5181" t="b">
        <v>1</v>
      </c>
    </row>
    <row r="5182" spans="1:11">
      <c r="A5182" s="12">
        <v>42288</v>
      </c>
      <c r="B5182">
        <v>2015</v>
      </c>
      <c r="C5182">
        <v>10</v>
      </c>
      <c r="D5182" s="11">
        <v>42278</v>
      </c>
      <c r="E5182" t="s">
        <v>2182</v>
      </c>
      <c r="F5182">
        <v>7</v>
      </c>
      <c r="G5182" t="s">
        <v>59</v>
      </c>
      <c r="H5182" t="s">
        <v>44</v>
      </c>
      <c r="I5182" t="s">
        <v>2192</v>
      </c>
      <c r="J5182" s="10">
        <v>8</v>
      </c>
      <c r="K5182" t="b">
        <v>1</v>
      </c>
    </row>
    <row r="5183" spans="1:11">
      <c r="A5183" s="12">
        <v>42288</v>
      </c>
      <c r="B5183">
        <v>2015</v>
      </c>
      <c r="C5183">
        <v>10</v>
      </c>
      <c r="D5183" s="11">
        <v>42278</v>
      </c>
      <c r="E5183" t="s">
        <v>2182</v>
      </c>
      <c r="F5183">
        <v>7</v>
      </c>
      <c r="G5183" t="s">
        <v>59</v>
      </c>
      <c r="H5183" t="s">
        <v>45</v>
      </c>
      <c r="I5183" t="s">
        <v>2193</v>
      </c>
      <c r="J5183" s="10">
        <v>0</v>
      </c>
      <c r="K5183" t="b">
        <v>1</v>
      </c>
    </row>
    <row r="5184" spans="1:11">
      <c r="A5184" s="12">
        <v>42288</v>
      </c>
      <c r="B5184">
        <v>2015</v>
      </c>
      <c r="C5184">
        <v>10</v>
      </c>
      <c r="D5184" s="11">
        <v>42278</v>
      </c>
      <c r="E5184" t="s">
        <v>2182</v>
      </c>
      <c r="F5184">
        <v>7</v>
      </c>
      <c r="G5184" t="s">
        <v>59</v>
      </c>
      <c r="H5184" t="s">
        <v>46</v>
      </c>
      <c r="I5184" t="s">
        <v>2194</v>
      </c>
      <c r="J5184" s="10">
        <v>3</v>
      </c>
      <c r="K5184" t="b">
        <v>1</v>
      </c>
    </row>
    <row r="5185" spans="1:11">
      <c r="A5185" s="12">
        <v>42288</v>
      </c>
      <c r="B5185">
        <v>2015</v>
      </c>
      <c r="C5185">
        <v>10</v>
      </c>
      <c r="D5185" s="11">
        <v>42278</v>
      </c>
      <c r="E5185" t="s">
        <v>2182</v>
      </c>
      <c r="F5185">
        <v>7</v>
      </c>
      <c r="G5185" t="s">
        <v>59</v>
      </c>
      <c r="H5185" t="s">
        <v>47</v>
      </c>
      <c r="I5185" t="s">
        <v>2195</v>
      </c>
      <c r="J5185" s="10">
        <v>5</v>
      </c>
      <c r="K5185" t="b">
        <v>1</v>
      </c>
    </row>
    <row r="5186" spans="1:11">
      <c r="A5186" s="12">
        <v>42289</v>
      </c>
      <c r="B5186">
        <v>2015</v>
      </c>
      <c r="C5186">
        <v>10</v>
      </c>
      <c r="D5186" s="11">
        <v>42278</v>
      </c>
      <c r="E5186" t="s">
        <v>2182</v>
      </c>
      <c r="F5186">
        <v>1</v>
      </c>
      <c r="G5186" t="s">
        <v>61</v>
      </c>
      <c r="H5186" t="s">
        <v>40</v>
      </c>
      <c r="I5186" t="s">
        <v>2188</v>
      </c>
      <c r="J5186" s="10">
        <v>9.66</v>
      </c>
      <c r="K5186" t="b">
        <v>1</v>
      </c>
    </row>
    <row r="5187" spans="1:11">
      <c r="A5187" s="12">
        <v>42289</v>
      </c>
      <c r="B5187">
        <v>2015</v>
      </c>
      <c r="C5187">
        <v>10</v>
      </c>
      <c r="D5187" s="11">
        <v>42278</v>
      </c>
      <c r="E5187" t="s">
        <v>2182</v>
      </c>
      <c r="F5187">
        <v>1</v>
      </c>
      <c r="G5187" t="s">
        <v>61</v>
      </c>
      <c r="H5187" t="s">
        <v>41</v>
      </c>
      <c r="I5187" t="s">
        <v>2189</v>
      </c>
      <c r="J5187" s="10">
        <v>7.33</v>
      </c>
      <c r="K5187" t="b">
        <v>1</v>
      </c>
    </row>
    <row r="5188" spans="1:11">
      <c r="A5188" s="12">
        <v>42289</v>
      </c>
      <c r="B5188">
        <v>2015</v>
      </c>
      <c r="C5188">
        <v>10</v>
      </c>
      <c r="D5188" s="11">
        <v>42278</v>
      </c>
      <c r="E5188" t="s">
        <v>2182</v>
      </c>
      <c r="F5188">
        <v>1</v>
      </c>
      <c r="G5188" t="s">
        <v>61</v>
      </c>
      <c r="H5188" t="s">
        <v>42</v>
      </c>
      <c r="I5188" t="s">
        <v>2190</v>
      </c>
      <c r="J5188" s="10">
        <v>6</v>
      </c>
      <c r="K5188" t="b">
        <v>1</v>
      </c>
    </row>
    <row r="5189" spans="1:11">
      <c r="A5189" s="12">
        <v>42289</v>
      </c>
      <c r="B5189">
        <v>2015</v>
      </c>
      <c r="C5189">
        <v>10</v>
      </c>
      <c r="D5189" s="11">
        <v>42278</v>
      </c>
      <c r="E5189" t="s">
        <v>2182</v>
      </c>
      <c r="F5189">
        <v>1</v>
      </c>
      <c r="G5189" t="s">
        <v>61</v>
      </c>
      <c r="H5189" t="s">
        <v>43</v>
      </c>
      <c r="I5189" t="s">
        <v>2191</v>
      </c>
      <c r="J5189" s="10">
        <v>68.84999999999999</v>
      </c>
      <c r="K5189" t="b">
        <v>1</v>
      </c>
    </row>
    <row r="5190" spans="1:11">
      <c r="A5190" s="12">
        <v>42289</v>
      </c>
      <c r="B5190">
        <v>2015</v>
      </c>
      <c r="C5190">
        <v>10</v>
      </c>
      <c r="D5190" s="11">
        <v>42278</v>
      </c>
      <c r="E5190" t="s">
        <v>2182</v>
      </c>
      <c r="F5190">
        <v>1</v>
      </c>
      <c r="G5190" t="s">
        <v>61</v>
      </c>
      <c r="H5190" t="s">
        <v>44</v>
      </c>
      <c r="I5190" t="s">
        <v>2192</v>
      </c>
      <c r="J5190" s="10">
        <v>12</v>
      </c>
      <c r="K5190" t="b">
        <v>1</v>
      </c>
    </row>
    <row r="5191" spans="1:11">
      <c r="A5191" s="12">
        <v>42289</v>
      </c>
      <c r="B5191">
        <v>2015</v>
      </c>
      <c r="C5191">
        <v>10</v>
      </c>
      <c r="D5191" s="11">
        <v>42278</v>
      </c>
      <c r="E5191" t="s">
        <v>2182</v>
      </c>
      <c r="F5191">
        <v>1</v>
      </c>
      <c r="G5191" t="s">
        <v>61</v>
      </c>
      <c r="H5191" t="s">
        <v>45</v>
      </c>
      <c r="I5191" t="s">
        <v>2193</v>
      </c>
      <c r="J5191" s="10">
        <v>0</v>
      </c>
      <c r="K5191" t="b">
        <v>1</v>
      </c>
    </row>
    <row r="5192" spans="1:11">
      <c r="A5192" s="12">
        <v>42289</v>
      </c>
      <c r="B5192">
        <v>2015</v>
      </c>
      <c r="C5192">
        <v>10</v>
      </c>
      <c r="D5192" s="11">
        <v>42278</v>
      </c>
      <c r="E5192" t="s">
        <v>2182</v>
      </c>
      <c r="F5192">
        <v>1</v>
      </c>
      <c r="G5192" t="s">
        <v>61</v>
      </c>
      <c r="H5192" t="s">
        <v>46</v>
      </c>
      <c r="I5192" t="s">
        <v>2194</v>
      </c>
      <c r="J5192" s="10">
        <v>5</v>
      </c>
      <c r="K5192" t="b">
        <v>1</v>
      </c>
    </row>
    <row r="5193" spans="1:11">
      <c r="A5193" s="12">
        <v>42289</v>
      </c>
      <c r="B5193">
        <v>2015</v>
      </c>
      <c r="C5193">
        <v>10</v>
      </c>
      <c r="D5193" s="11">
        <v>42278</v>
      </c>
      <c r="E5193" t="s">
        <v>2182</v>
      </c>
      <c r="F5193">
        <v>1</v>
      </c>
      <c r="G5193" t="s">
        <v>61</v>
      </c>
      <c r="H5193" t="s">
        <v>47</v>
      </c>
      <c r="I5193" t="s">
        <v>2195</v>
      </c>
      <c r="J5193" s="10">
        <v>3</v>
      </c>
      <c r="K5193" t="b">
        <v>1</v>
      </c>
    </row>
    <row r="5194" spans="1:11">
      <c r="A5194" s="12">
        <v>42290</v>
      </c>
      <c r="B5194">
        <v>2015</v>
      </c>
      <c r="C5194">
        <v>10</v>
      </c>
      <c r="D5194" s="11">
        <v>42278</v>
      </c>
      <c r="E5194" t="s">
        <v>2182</v>
      </c>
      <c r="F5194">
        <v>2</v>
      </c>
      <c r="G5194" t="s">
        <v>63</v>
      </c>
      <c r="H5194" t="s">
        <v>40</v>
      </c>
      <c r="I5194" t="s">
        <v>2188</v>
      </c>
      <c r="J5194" s="10">
        <v>3.83</v>
      </c>
      <c r="K5194" t="b">
        <v>1</v>
      </c>
    </row>
    <row r="5195" spans="1:11">
      <c r="A5195" s="12">
        <v>42290</v>
      </c>
      <c r="B5195">
        <v>2015</v>
      </c>
      <c r="C5195">
        <v>10</v>
      </c>
      <c r="D5195" s="11">
        <v>42278</v>
      </c>
      <c r="E5195" t="s">
        <v>2182</v>
      </c>
      <c r="F5195">
        <v>2</v>
      </c>
      <c r="G5195" t="s">
        <v>63</v>
      </c>
      <c r="H5195" t="s">
        <v>41</v>
      </c>
      <c r="I5195" t="s">
        <v>2189</v>
      </c>
      <c r="J5195" s="10">
        <v>7</v>
      </c>
      <c r="K5195" t="b">
        <v>1</v>
      </c>
    </row>
    <row r="5196" spans="1:11">
      <c r="A5196" s="12">
        <v>42290</v>
      </c>
      <c r="B5196">
        <v>2015</v>
      </c>
      <c r="C5196">
        <v>10</v>
      </c>
      <c r="D5196" s="11">
        <v>42278</v>
      </c>
      <c r="E5196" t="s">
        <v>2182</v>
      </c>
      <c r="F5196">
        <v>2</v>
      </c>
      <c r="G5196" t="s">
        <v>63</v>
      </c>
      <c r="H5196" t="s">
        <v>42</v>
      </c>
      <c r="I5196" t="s">
        <v>2190</v>
      </c>
      <c r="J5196" s="10">
        <v>5.2</v>
      </c>
      <c r="K5196" t="b">
        <v>1</v>
      </c>
    </row>
    <row r="5197" spans="1:11">
      <c r="A5197" s="12">
        <v>42290</v>
      </c>
      <c r="B5197">
        <v>2015</v>
      </c>
      <c r="C5197">
        <v>10</v>
      </c>
      <c r="D5197" s="11">
        <v>42278</v>
      </c>
      <c r="E5197" t="s">
        <v>2182</v>
      </c>
      <c r="F5197">
        <v>2</v>
      </c>
      <c r="G5197" t="s">
        <v>63</v>
      </c>
      <c r="H5197" t="s">
        <v>43</v>
      </c>
      <c r="I5197" t="s">
        <v>2191</v>
      </c>
      <c r="J5197" s="10">
        <v>63.8</v>
      </c>
      <c r="K5197" t="b">
        <v>1</v>
      </c>
    </row>
    <row r="5198" spans="1:11">
      <c r="A5198" s="12">
        <v>42290</v>
      </c>
      <c r="B5198">
        <v>2015</v>
      </c>
      <c r="C5198">
        <v>10</v>
      </c>
      <c r="D5198" s="11">
        <v>42278</v>
      </c>
      <c r="E5198" t="s">
        <v>2182</v>
      </c>
      <c r="F5198">
        <v>2</v>
      </c>
      <c r="G5198" t="s">
        <v>63</v>
      </c>
      <c r="H5198" t="s">
        <v>44</v>
      </c>
      <c r="I5198" t="s">
        <v>2192</v>
      </c>
      <c r="J5198" s="10">
        <v>5.5</v>
      </c>
      <c r="K5198" t="b">
        <v>1</v>
      </c>
    </row>
    <row r="5199" spans="1:11">
      <c r="A5199" s="12">
        <v>42290</v>
      </c>
      <c r="B5199">
        <v>2015</v>
      </c>
      <c r="C5199">
        <v>10</v>
      </c>
      <c r="D5199" s="11">
        <v>42278</v>
      </c>
      <c r="E5199" t="s">
        <v>2182</v>
      </c>
      <c r="F5199">
        <v>2</v>
      </c>
      <c r="G5199" t="s">
        <v>63</v>
      </c>
      <c r="H5199" t="s">
        <v>45</v>
      </c>
      <c r="I5199" t="s">
        <v>2193</v>
      </c>
      <c r="J5199" s="10">
        <v>0</v>
      </c>
      <c r="K5199" t="b">
        <v>1</v>
      </c>
    </row>
    <row r="5200" spans="1:11">
      <c r="A5200" s="12">
        <v>42290</v>
      </c>
      <c r="B5200">
        <v>2015</v>
      </c>
      <c r="C5200">
        <v>10</v>
      </c>
      <c r="D5200" s="11">
        <v>42278</v>
      </c>
      <c r="E5200" t="s">
        <v>2182</v>
      </c>
      <c r="F5200">
        <v>2</v>
      </c>
      <c r="G5200" t="s">
        <v>63</v>
      </c>
      <c r="H5200" t="s">
        <v>46</v>
      </c>
      <c r="I5200" t="s">
        <v>2194</v>
      </c>
      <c r="J5200" s="10">
        <v>5</v>
      </c>
      <c r="K5200" t="b">
        <v>1</v>
      </c>
    </row>
    <row r="5201" spans="1:11">
      <c r="A5201" s="12">
        <v>42290</v>
      </c>
      <c r="B5201">
        <v>2015</v>
      </c>
      <c r="C5201">
        <v>10</v>
      </c>
      <c r="D5201" s="11">
        <v>42278</v>
      </c>
      <c r="E5201" t="s">
        <v>2182</v>
      </c>
      <c r="F5201">
        <v>2</v>
      </c>
      <c r="G5201" t="s">
        <v>63</v>
      </c>
      <c r="H5201" t="s">
        <v>47</v>
      </c>
      <c r="I5201" t="s">
        <v>2195</v>
      </c>
      <c r="J5201" s="10">
        <v>1</v>
      </c>
      <c r="K5201" t="b">
        <v>1</v>
      </c>
    </row>
    <row r="5202" spans="1:11">
      <c r="A5202" s="12">
        <v>42291</v>
      </c>
      <c r="B5202">
        <v>2015</v>
      </c>
      <c r="C5202">
        <v>10</v>
      </c>
      <c r="D5202" s="11">
        <v>42278</v>
      </c>
      <c r="E5202" t="s">
        <v>2182</v>
      </c>
      <c r="F5202">
        <v>3</v>
      </c>
      <c r="G5202" t="s">
        <v>65</v>
      </c>
      <c r="H5202" t="s">
        <v>40</v>
      </c>
      <c r="I5202" t="s">
        <v>2188</v>
      </c>
      <c r="J5202" s="10">
        <v>4.66</v>
      </c>
      <c r="K5202" t="b">
        <v>1</v>
      </c>
    </row>
    <row r="5203" spans="1:11">
      <c r="A5203" s="12">
        <v>42291</v>
      </c>
      <c r="B5203">
        <v>2015</v>
      </c>
      <c r="C5203">
        <v>10</v>
      </c>
      <c r="D5203" s="11">
        <v>42278</v>
      </c>
      <c r="E5203" t="s">
        <v>2182</v>
      </c>
      <c r="F5203">
        <v>3</v>
      </c>
      <c r="G5203" t="s">
        <v>65</v>
      </c>
      <c r="H5203" t="s">
        <v>41</v>
      </c>
      <c r="I5203" t="s">
        <v>2189</v>
      </c>
      <c r="J5203" s="10">
        <v>7.33</v>
      </c>
      <c r="K5203" t="b">
        <v>1</v>
      </c>
    </row>
    <row r="5204" spans="1:11">
      <c r="A5204" s="12">
        <v>42291</v>
      </c>
      <c r="B5204">
        <v>2015</v>
      </c>
      <c r="C5204">
        <v>10</v>
      </c>
      <c r="D5204" s="11">
        <v>42278</v>
      </c>
      <c r="E5204" t="s">
        <v>2182</v>
      </c>
      <c r="F5204">
        <v>3</v>
      </c>
      <c r="G5204" t="s">
        <v>65</v>
      </c>
      <c r="H5204" t="s">
        <v>42</v>
      </c>
      <c r="I5204" t="s">
        <v>2190</v>
      </c>
      <c r="J5204" s="10">
        <v>3.9</v>
      </c>
      <c r="K5204" t="b">
        <v>1</v>
      </c>
    </row>
    <row r="5205" spans="1:11">
      <c r="A5205" s="12">
        <v>42291</v>
      </c>
      <c r="B5205">
        <v>2015</v>
      </c>
      <c r="C5205">
        <v>10</v>
      </c>
      <c r="D5205" s="11">
        <v>42278</v>
      </c>
      <c r="E5205" t="s">
        <v>2182</v>
      </c>
      <c r="F5205">
        <v>3</v>
      </c>
      <c r="G5205" t="s">
        <v>65</v>
      </c>
      <c r="H5205" t="s">
        <v>43</v>
      </c>
      <c r="I5205" t="s">
        <v>2191</v>
      </c>
      <c r="J5205" s="10">
        <v>38.6</v>
      </c>
      <c r="K5205" t="b">
        <v>1</v>
      </c>
    </row>
    <row r="5206" spans="1:11">
      <c r="A5206" s="12">
        <v>42291</v>
      </c>
      <c r="B5206">
        <v>2015</v>
      </c>
      <c r="C5206">
        <v>10</v>
      </c>
      <c r="D5206" s="11">
        <v>42278</v>
      </c>
      <c r="E5206" t="s">
        <v>2182</v>
      </c>
      <c r="F5206">
        <v>3</v>
      </c>
      <c r="G5206" t="s">
        <v>65</v>
      </c>
      <c r="H5206" t="s">
        <v>44</v>
      </c>
      <c r="I5206" t="s">
        <v>2192</v>
      </c>
      <c r="J5206" s="10">
        <v>7</v>
      </c>
      <c r="K5206" t="b">
        <v>1</v>
      </c>
    </row>
    <row r="5207" spans="1:11">
      <c r="A5207" s="12">
        <v>42291</v>
      </c>
      <c r="B5207">
        <v>2015</v>
      </c>
      <c r="C5207">
        <v>10</v>
      </c>
      <c r="D5207" s="11">
        <v>42278</v>
      </c>
      <c r="E5207" t="s">
        <v>2182</v>
      </c>
      <c r="F5207">
        <v>3</v>
      </c>
      <c r="G5207" t="s">
        <v>65</v>
      </c>
      <c r="H5207" t="s">
        <v>45</v>
      </c>
      <c r="I5207" t="s">
        <v>2193</v>
      </c>
      <c r="J5207" s="10">
        <v>0</v>
      </c>
      <c r="K5207" t="b">
        <v>1</v>
      </c>
    </row>
    <row r="5208" spans="1:11">
      <c r="A5208" s="12">
        <v>42291</v>
      </c>
      <c r="B5208">
        <v>2015</v>
      </c>
      <c r="C5208">
        <v>10</v>
      </c>
      <c r="D5208" s="11">
        <v>42278</v>
      </c>
      <c r="E5208" t="s">
        <v>2182</v>
      </c>
      <c r="F5208">
        <v>3</v>
      </c>
      <c r="G5208" t="s">
        <v>65</v>
      </c>
      <c r="H5208" t="s">
        <v>46</v>
      </c>
      <c r="I5208" t="s">
        <v>2194</v>
      </c>
      <c r="J5208" s="10">
        <v>0</v>
      </c>
      <c r="K5208" t="b">
        <v>1</v>
      </c>
    </row>
    <row r="5209" spans="1:11">
      <c r="A5209" s="12">
        <v>42291</v>
      </c>
      <c r="B5209">
        <v>2015</v>
      </c>
      <c r="C5209">
        <v>10</v>
      </c>
      <c r="D5209" s="11">
        <v>42278</v>
      </c>
      <c r="E5209" t="s">
        <v>2182</v>
      </c>
      <c r="F5209">
        <v>3</v>
      </c>
      <c r="G5209" t="s">
        <v>65</v>
      </c>
      <c r="H5209" t="s">
        <v>47</v>
      </c>
      <c r="I5209" t="s">
        <v>2195</v>
      </c>
      <c r="J5209" s="10">
        <v>1</v>
      </c>
      <c r="K5209" t="b">
        <v>1</v>
      </c>
    </row>
    <row r="5210" spans="1:11">
      <c r="A5210" s="12">
        <v>42292</v>
      </c>
      <c r="B5210">
        <v>2015</v>
      </c>
      <c r="C5210">
        <v>10</v>
      </c>
      <c r="D5210" s="11">
        <v>42278</v>
      </c>
      <c r="E5210" t="s">
        <v>2182</v>
      </c>
      <c r="F5210">
        <v>4</v>
      </c>
      <c r="G5210" t="s">
        <v>53</v>
      </c>
      <c r="H5210" t="s">
        <v>40</v>
      </c>
      <c r="I5210" t="s">
        <v>2188</v>
      </c>
      <c r="J5210" s="10">
        <v>5.16</v>
      </c>
      <c r="K5210" t="b">
        <v>1</v>
      </c>
    </row>
    <row r="5211" spans="1:11">
      <c r="A5211" s="12">
        <v>42292</v>
      </c>
      <c r="B5211">
        <v>2015</v>
      </c>
      <c r="C5211">
        <v>10</v>
      </c>
      <c r="D5211" s="11">
        <v>42278</v>
      </c>
      <c r="E5211" t="s">
        <v>2182</v>
      </c>
      <c r="F5211">
        <v>4</v>
      </c>
      <c r="G5211" t="s">
        <v>53</v>
      </c>
      <c r="H5211" t="s">
        <v>41</v>
      </c>
      <c r="I5211" t="s">
        <v>2189</v>
      </c>
      <c r="J5211" s="10">
        <v>5.726</v>
      </c>
      <c r="K5211" t="b">
        <v>1</v>
      </c>
    </row>
    <row r="5212" spans="1:11">
      <c r="A5212" s="12">
        <v>42292</v>
      </c>
      <c r="B5212">
        <v>2015</v>
      </c>
      <c r="C5212">
        <v>10</v>
      </c>
      <c r="D5212" s="11">
        <v>42278</v>
      </c>
      <c r="E5212" t="s">
        <v>2182</v>
      </c>
      <c r="F5212">
        <v>4</v>
      </c>
      <c r="G5212" t="s">
        <v>53</v>
      </c>
      <c r="H5212" t="s">
        <v>42</v>
      </c>
      <c r="I5212" t="s">
        <v>2190</v>
      </c>
      <c r="J5212" s="10">
        <v>7.3</v>
      </c>
      <c r="K5212" t="b">
        <v>1</v>
      </c>
    </row>
    <row r="5213" spans="1:11">
      <c r="A5213" s="12">
        <v>42292</v>
      </c>
      <c r="B5213">
        <v>2015</v>
      </c>
      <c r="C5213">
        <v>10</v>
      </c>
      <c r="D5213" s="11">
        <v>42278</v>
      </c>
      <c r="E5213" t="s">
        <v>2182</v>
      </c>
      <c r="F5213">
        <v>4</v>
      </c>
      <c r="G5213" t="s">
        <v>53</v>
      </c>
      <c r="H5213" t="s">
        <v>43</v>
      </c>
      <c r="I5213" t="s">
        <v>2191</v>
      </c>
      <c r="J5213" s="10">
        <v>64.724</v>
      </c>
      <c r="K5213" t="b">
        <v>1</v>
      </c>
    </row>
    <row r="5214" spans="1:11">
      <c r="A5214" s="12">
        <v>42292</v>
      </c>
      <c r="B5214">
        <v>2015</v>
      </c>
      <c r="C5214">
        <v>10</v>
      </c>
      <c r="D5214" s="11">
        <v>42278</v>
      </c>
      <c r="E5214" t="s">
        <v>2182</v>
      </c>
      <c r="F5214">
        <v>4</v>
      </c>
      <c r="G5214" t="s">
        <v>53</v>
      </c>
      <c r="H5214" t="s">
        <v>44</v>
      </c>
      <c r="I5214" t="s">
        <v>2192</v>
      </c>
      <c r="J5214" s="10">
        <v>4</v>
      </c>
      <c r="K5214" t="b">
        <v>1</v>
      </c>
    </row>
    <row r="5215" spans="1:11">
      <c r="A5215" s="12">
        <v>42292</v>
      </c>
      <c r="B5215">
        <v>2015</v>
      </c>
      <c r="C5215">
        <v>10</v>
      </c>
      <c r="D5215" s="11">
        <v>42278</v>
      </c>
      <c r="E5215" t="s">
        <v>2182</v>
      </c>
      <c r="F5215">
        <v>4</v>
      </c>
      <c r="G5215" t="s">
        <v>53</v>
      </c>
      <c r="H5215" t="s">
        <v>45</v>
      </c>
      <c r="I5215" t="s">
        <v>2193</v>
      </c>
      <c r="J5215" s="10">
        <v>0</v>
      </c>
      <c r="K5215" t="b">
        <v>1</v>
      </c>
    </row>
    <row r="5216" spans="1:11">
      <c r="A5216" s="12">
        <v>42292</v>
      </c>
      <c r="B5216">
        <v>2015</v>
      </c>
      <c r="C5216">
        <v>10</v>
      </c>
      <c r="D5216" s="11">
        <v>42278</v>
      </c>
      <c r="E5216" t="s">
        <v>2182</v>
      </c>
      <c r="F5216">
        <v>4</v>
      </c>
      <c r="G5216" t="s">
        <v>53</v>
      </c>
      <c r="H5216" t="s">
        <v>46</v>
      </c>
      <c r="I5216" t="s">
        <v>2194</v>
      </c>
      <c r="J5216" s="10">
        <v>9</v>
      </c>
      <c r="K5216" t="b">
        <v>1</v>
      </c>
    </row>
    <row r="5217" spans="1:11">
      <c r="A5217" s="12">
        <v>42292</v>
      </c>
      <c r="B5217">
        <v>2015</v>
      </c>
      <c r="C5217">
        <v>10</v>
      </c>
      <c r="D5217" s="11">
        <v>42278</v>
      </c>
      <c r="E5217" t="s">
        <v>2182</v>
      </c>
      <c r="F5217">
        <v>4</v>
      </c>
      <c r="G5217" t="s">
        <v>53</v>
      </c>
      <c r="H5217" t="s">
        <v>47</v>
      </c>
      <c r="I5217" t="s">
        <v>2195</v>
      </c>
      <c r="J5217" s="10">
        <v>1</v>
      </c>
      <c r="K5217" t="b">
        <v>1</v>
      </c>
    </row>
    <row r="5218" spans="1:11">
      <c r="A5218" s="12">
        <v>42293</v>
      </c>
      <c r="B5218">
        <v>2015</v>
      </c>
      <c r="C5218">
        <v>10</v>
      </c>
      <c r="D5218" s="11">
        <v>42278</v>
      </c>
      <c r="E5218" t="s">
        <v>2182</v>
      </c>
      <c r="F5218">
        <v>5</v>
      </c>
      <c r="G5218" t="s">
        <v>55</v>
      </c>
      <c r="H5218" t="s">
        <v>40</v>
      </c>
      <c r="I5218" t="s">
        <v>2188</v>
      </c>
      <c r="J5218" s="10">
        <v>1.67</v>
      </c>
      <c r="K5218" t="b">
        <v>1</v>
      </c>
    </row>
    <row r="5219" spans="1:11">
      <c r="A5219" s="12">
        <v>42293</v>
      </c>
      <c r="B5219">
        <v>2015</v>
      </c>
      <c r="C5219">
        <v>10</v>
      </c>
      <c r="D5219" s="11">
        <v>42278</v>
      </c>
      <c r="E5219" t="s">
        <v>2182</v>
      </c>
      <c r="F5219">
        <v>5</v>
      </c>
      <c r="G5219" t="s">
        <v>55</v>
      </c>
      <c r="H5219" t="s">
        <v>41</v>
      </c>
      <c r="I5219" t="s">
        <v>2189</v>
      </c>
      <c r="J5219" s="10">
        <v>3.33</v>
      </c>
      <c r="K5219" t="b">
        <v>1</v>
      </c>
    </row>
    <row r="5220" spans="1:11">
      <c r="A5220" s="12">
        <v>42293</v>
      </c>
      <c r="B5220">
        <v>2015</v>
      </c>
      <c r="C5220">
        <v>10</v>
      </c>
      <c r="D5220" s="11">
        <v>42278</v>
      </c>
      <c r="E5220" t="s">
        <v>2182</v>
      </c>
      <c r="F5220">
        <v>5</v>
      </c>
      <c r="G5220" t="s">
        <v>55</v>
      </c>
      <c r="H5220" t="s">
        <v>42</v>
      </c>
      <c r="I5220" t="s">
        <v>2190</v>
      </c>
      <c r="J5220" s="10">
        <v>5.2</v>
      </c>
      <c r="K5220" t="b">
        <v>1</v>
      </c>
    </row>
    <row r="5221" spans="1:11">
      <c r="A5221" s="12">
        <v>42293</v>
      </c>
      <c r="B5221">
        <v>2015</v>
      </c>
      <c r="C5221">
        <v>10</v>
      </c>
      <c r="D5221" s="11">
        <v>42278</v>
      </c>
      <c r="E5221" t="s">
        <v>2182</v>
      </c>
      <c r="F5221">
        <v>5</v>
      </c>
      <c r="G5221" t="s">
        <v>55</v>
      </c>
      <c r="H5221" t="s">
        <v>43</v>
      </c>
      <c r="I5221" t="s">
        <v>2191</v>
      </c>
      <c r="J5221" s="10">
        <v>57.3</v>
      </c>
      <c r="K5221" t="b">
        <v>1</v>
      </c>
    </row>
    <row r="5222" spans="1:11">
      <c r="A5222" s="12">
        <v>42293</v>
      </c>
      <c r="B5222">
        <v>2015</v>
      </c>
      <c r="C5222">
        <v>10</v>
      </c>
      <c r="D5222" s="11">
        <v>42278</v>
      </c>
      <c r="E5222" t="s">
        <v>2182</v>
      </c>
      <c r="F5222">
        <v>5</v>
      </c>
      <c r="G5222" t="s">
        <v>55</v>
      </c>
      <c r="H5222" t="s">
        <v>44</v>
      </c>
      <c r="I5222" t="s">
        <v>2192</v>
      </c>
      <c r="J5222" s="10">
        <v>2</v>
      </c>
      <c r="K5222" t="b">
        <v>1</v>
      </c>
    </row>
    <row r="5223" spans="1:11">
      <c r="A5223" s="12">
        <v>42293</v>
      </c>
      <c r="B5223">
        <v>2015</v>
      </c>
      <c r="C5223">
        <v>10</v>
      </c>
      <c r="D5223" s="11">
        <v>42278</v>
      </c>
      <c r="E5223" t="s">
        <v>2182</v>
      </c>
      <c r="F5223">
        <v>5</v>
      </c>
      <c r="G5223" t="s">
        <v>55</v>
      </c>
      <c r="H5223" t="s">
        <v>45</v>
      </c>
      <c r="I5223" t="s">
        <v>2193</v>
      </c>
      <c r="J5223" s="10">
        <v>0</v>
      </c>
      <c r="K5223" t="b">
        <v>1</v>
      </c>
    </row>
    <row r="5224" spans="1:11">
      <c r="A5224" s="12">
        <v>42293</v>
      </c>
      <c r="B5224">
        <v>2015</v>
      </c>
      <c r="C5224">
        <v>10</v>
      </c>
      <c r="D5224" s="11">
        <v>42278</v>
      </c>
      <c r="E5224" t="s">
        <v>2182</v>
      </c>
      <c r="F5224">
        <v>5</v>
      </c>
      <c r="G5224" t="s">
        <v>55</v>
      </c>
      <c r="H5224" t="s">
        <v>46</v>
      </c>
      <c r="I5224" t="s">
        <v>2194</v>
      </c>
      <c r="J5224" s="10">
        <v>5</v>
      </c>
      <c r="K5224" t="b">
        <v>1</v>
      </c>
    </row>
    <row r="5225" spans="1:11">
      <c r="A5225" s="12">
        <v>42293</v>
      </c>
      <c r="B5225">
        <v>2015</v>
      </c>
      <c r="C5225">
        <v>10</v>
      </c>
      <c r="D5225" s="11">
        <v>42278</v>
      </c>
      <c r="E5225" t="s">
        <v>2182</v>
      </c>
      <c r="F5225">
        <v>5</v>
      </c>
      <c r="G5225" t="s">
        <v>55</v>
      </c>
      <c r="H5225" t="s">
        <v>47</v>
      </c>
      <c r="I5225" t="s">
        <v>2195</v>
      </c>
      <c r="J5225" s="10">
        <v>1</v>
      </c>
      <c r="K5225" t="b">
        <v>1</v>
      </c>
    </row>
    <row r="5226" spans="1:11">
      <c r="A5226" s="12">
        <v>42294</v>
      </c>
      <c r="B5226">
        <v>2015</v>
      </c>
      <c r="C5226">
        <v>10</v>
      </c>
      <c r="D5226" s="11">
        <v>42278</v>
      </c>
      <c r="E5226" t="s">
        <v>2182</v>
      </c>
      <c r="F5226">
        <v>6</v>
      </c>
      <c r="G5226" t="s">
        <v>57</v>
      </c>
      <c r="H5226" t="s">
        <v>40</v>
      </c>
      <c r="I5226" t="s">
        <v>2188</v>
      </c>
      <c r="J5226" s="10">
        <v>10.34</v>
      </c>
      <c r="K5226" t="b">
        <v>1</v>
      </c>
    </row>
    <row r="5227" spans="1:11">
      <c r="A5227" s="12">
        <v>42294</v>
      </c>
      <c r="B5227">
        <v>2015</v>
      </c>
      <c r="C5227">
        <v>10</v>
      </c>
      <c r="D5227" s="11">
        <v>42278</v>
      </c>
      <c r="E5227" t="s">
        <v>2182</v>
      </c>
      <c r="F5227">
        <v>6</v>
      </c>
      <c r="G5227" t="s">
        <v>57</v>
      </c>
      <c r="H5227" t="s">
        <v>41</v>
      </c>
      <c r="I5227" t="s">
        <v>2189</v>
      </c>
      <c r="J5227" s="10">
        <v>2.837</v>
      </c>
      <c r="K5227" t="b">
        <v>1</v>
      </c>
    </row>
    <row r="5228" spans="1:11">
      <c r="A5228" s="12">
        <v>42294</v>
      </c>
      <c r="B5228">
        <v>2015</v>
      </c>
      <c r="C5228">
        <v>10</v>
      </c>
      <c r="D5228" s="11">
        <v>42278</v>
      </c>
      <c r="E5228" t="s">
        <v>2182</v>
      </c>
      <c r="F5228">
        <v>6</v>
      </c>
      <c r="G5228" t="s">
        <v>57</v>
      </c>
      <c r="H5228" t="s">
        <v>42</v>
      </c>
      <c r="I5228" t="s">
        <v>2190</v>
      </c>
      <c r="J5228" s="10">
        <v>3.4</v>
      </c>
      <c r="K5228" t="b">
        <v>1</v>
      </c>
    </row>
    <row r="5229" spans="1:11">
      <c r="A5229" s="12">
        <v>42294</v>
      </c>
      <c r="B5229">
        <v>2015</v>
      </c>
      <c r="C5229">
        <v>10</v>
      </c>
      <c r="D5229" s="11">
        <v>42278</v>
      </c>
      <c r="E5229" t="s">
        <v>2182</v>
      </c>
      <c r="F5229">
        <v>6</v>
      </c>
      <c r="G5229" t="s">
        <v>57</v>
      </c>
      <c r="H5229" t="s">
        <v>43</v>
      </c>
      <c r="I5229" t="s">
        <v>2191</v>
      </c>
      <c r="J5229" s="10">
        <v>74.3</v>
      </c>
      <c r="K5229" t="b">
        <v>1</v>
      </c>
    </row>
    <row r="5230" spans="1:11">
      <c r="A5230" s="12">
        <v>42294</v>
      </c>
      <c r="B5230">
        <v>2015</v>
      </c>
      <c r="C5230">
        <v>10</v>
      </c>
      <c r="D5230" s="11">
        <v>42278</v>
      </c>
      <c r="E5230" t="s">
        <v>2182</v>
      </c>
      <c r="F5230">
        <v>6</v>
      </c>
      <c r="G5230" t="s">
        <v>57</v>
      </c>
      <c r="H5230" t="s">
        <v>44</v>
      </c>
      <c r="I5230" t="s">
        <v>2192</v>
      </c>
      <c r="J5230" s="10">
        <v>8</v>
      </c>
      <c r="K5230" t="b">
        <v>1</v>
      </c>
    </row>
    <row r="5231" spans="1:11">
      <c r="A5231" s="12">
        <v>42294</v>
      </c>
      <c r="B5231">
        <v>2015</v>
      </c>
      <c r="C5231">
        <v>10</v>
      </c>
      <c r="D5231" s="11">
        <v>42278</v>
      </c>
      <c r="E5231" t="s">
        <v>2182</v>
      </c>
      <c r="F5231">
        <v>6</v>
      </c>
      <c r="G5231" t="s">
        <v>57</v>
      </c>
      <c r="H5231" t="s">
        <v>45</v>
      </c>
      <c r="I5231" t="s">
        <v>2193</v>
      </c>
      <c r="J5231" s="10">
        <v>0</v>
      </c>
      <c r="K5231" t="b">
        <v>1</v>
      </c>
    </row>
    <row r="5232" spans="1:11">
      <c r="A5232" s="12">
        <v>42294</v>
      </c>
      <c r="B5232">
        <v>2015</v>
      </c>
      <c r="C5232">
        <v>10</v>
      </c>
      <c r="D5232" s="11">
        <v>42278</v>
      </c>
      <c r="E5232" t="s">
        <v>2182</v>
      </c>
      <c r="F5232">
        <v>6</v>
      </c>
      <c r="G5232" t="s">
        <v>57</v>
      </c>
      <c r="H5232" t="s">
        <v>46</v>
      </c>
      <c r="I5232" t="s">
        <v>2194</v>
      </c>
      <c r="J5232" s="10">
        <v>0</v>
      </c>
      <c r="K5232" t="b">
        <v>1</v>
      </c>
    </row>
    <row r="5233" spans="1:11">
      <c r="A5233" s="12">
        <v>42294</v>
      </c>
      <c r="B5233">
        <v>2015</v>
      </c>
      <c r="C5233">
        <v>10</v>
      </c>
      <c r="D5233" s="11">
        <v>42278</v>
      </c>
      <c r="E5233" t="s">
        <v>2182</v>
      </c>
      <c r="F5233">
        <v>6</v>
      </c>
      <c r="G5233" t="s">
        <v>57</v>
      </c>
      <c r="H5233" t="s">
        <v>47</v>
      </c>
      <c r="I5233" t="s">
        <v>2195</v>
      </c>
      <c r="J5233" s="10">
        <v>1</v>
      </c>
      <c r="K5233" t="b">
        <v>1</v>
      </c>
    </row>
    <row r="5234" spans="1:11">
      <c r="A5234" s="12">
        <v>42295</v>
      </c>
      <c r="B5234">
        <v>2015</v>
      </c>
      <c r="C5234">
        <v>10</v>
      </c>
      <c r="D5234" s="11">
        <v>42278</v>
      </c>
      <c r="E5234" t="s">
        <v>2182</v>
      </c>
      <c r="F5234">
        <v>7</v>
      </c>
      <c r="G5234" t="s">
        <v>59</v>
      </c>
      <c r="H5234" t="s">
        <v>40</v>
      </c>
      <c r="I5234" t="s">
        <v>2188</v>
      </c>
      <c r="J5234" s="10">
        <v>7.34</v>
      </c>
      <c r="K5234" t="b">
        <v>1</v>
      </c>
    </row>
    <row r="5235" spans="1:11">
      <c r="A5235" s="12">
        <v>42295</v>
      </c>
      <c r="B5235">
        <v>2015</v>
      </c>
      <c r="C5235">
        <v>10</v>
      </c>
      <c r="D5235" s="11">
        <v>42278</v>
      </c>
      <c r="E5235" t="s">
        <v>2182</v>
      </c>
      <c r="F5235">
        <v>7</v>
      </c>
      <c r="G5235" t="s">
        <v>59</v>
      </c>
      <c r="H5235" t="s">
        <v>41</v>
      </c>
      <c r="I5235" t="s">
        <v>2189</v>
      </c>
      <c r="J5235" s="10">
        <v>6.54</v>
      </c>
      <c r="K5235" t="b">
        <v>1</v>
      </c>
    </row>
    <row r="5236" spans="1:11">
      <c r="A5236" s="12">
        <v>42295</v>
      </c>
      <c r="B5236">
        <v>2015</v>
      </c>
      <c r="C5236">
        <v>10</v>
      </c>
      <c r="D5236" s="11">
        <v>42278</v>
      </c>
      <c r="E5236" t="s">
        <v>2182</v>
      </c>
      <c r="F5236">
        <v>7</v>
      </c>
      <c r="G5236" t="s">
        <v>59</v>
      </c>
      <c r="H5236" t="s">
        <v>42</v>
      </c>
      <c r="I5236" t="s">
        <v>2190</v>
      </c>
      <c r="J5236" s="10">
        <v>4.9</v>
      </c>
      <c r="K5236" t="b">
        <v>1</v>
      </c>
    </row>
    <row r="5237" spans="1:11">
      <c r="A5237" s="12">
        <v>42295</v>
      </c>
      <c r="B5237">
        <v>2015</v>
      </c>
      <c r="C5237">
        <v>10</v>
      </c>
      <c r="D5237" s="11">
        <v>42278</v>
      </c>
      <c r="E5237" t="s">
        <v>2182</v>
      </c>
      <c r="F5237">
        <v>7</v>
      </c>
      <c r="G5237" t="s">
        <v>59</v>
      </c>
      <c r="H5237" t="s">
        <v>43</v>
      </c>
      <c r="I5237" t="s">
        <v>2191</v>
      </c>
      <c r="J5237" s="10">
        <v>55.6</v>
      </c>
      <c r="K5237" t="b">
        <v>1</v>
      </c>
    </row>
    <row r="5238" spans="1:11">
      <c r="A5238" s="12">
        <v>42295</v>
      </c>
      <c r="B5238">
        <v>2015</v>
      </c>
      <c r="C5238">
        <v>10</v>
      </c>
      <c r="D5238" s="11">
        <v>42278</v>
      </c>
      <c r="E5238" t="s">
        <v>2182</v>
      </c>
      <c r="F5238">
        <v>7</v>
      </c>
      <c r="G5238" t="s">
        <v>59</v>
      </c>
      <c r="H5238" t="s">
        <v>44</v>
      </c>
      <c r="I5238" t="s">
        <v>2192</v>
      </c>
      <c r="J5238" s="10">
        <v>3</v>
      </c>
      <c r="K5238" t="b">
        <v>1</v>
      </c>
    </row>
    <row r="5239" spans="1:11">
      <c r="A5239" s="12">
        <v>42295</v>
      </c>
      <c r="B5239">
        <v>2015</v>
      </c>
      <c r="C5239">
        <v>10</v>
      </c>
      <c r="D5239" s="11">
        <v>42278</v>
      </c>
      <c r="E5239" t="s">
        <v>2182</v>
      </c>
      <c r="F5239">
        <v>7</v>
      </c>
      <c r="G5239" t="s">
        <v>59</v>
      </c>
      <c r="H5239" t="s">
        <v>45</v>
      </c>
      <c r="I5239" t="s">
        <v>2193</v>
      </c>
      <c r="J5239" s="10">
        <v>1</v>
      </c>
      <c r="K5239" t="b">
        <v>1</v>
      </c>
    </row>
    <row r="5240" spans="1:11">
      <c r="A5240" s="12">
        <v>42295</v>
      </c>
      <c r="B5240">
        <v>2015</v>
      </c>
      <c r="C5240">
        <v>10</v>
      </c>
      <c r="D5240" s="11">
        <v>42278</v>
      </c>
      <c r="E5240" t="s">
        <v>2182</v>
      </c>
      <c r="F5240">
        <v>7</v>
      </c>
      <c r="G5240" t="s">
        <v>59</v>
      </c>
      <c r="H5240" t="s">
        <v>46</v>
      </c>
      <c r="I5240" t="s">
        <v>2194</v>
      </c>
      <c r="J5240" s="10">
        <v>8</v>
      </c>
      <c r="K5240" t="b">
        <v>1</v>
      </c>
    </row>
    <row r="5241" spans="1:11">
      <c r="A5241" s="12">
        <v>42295</v>
      </c>
      <c r="B5241">
        <v>2015</v>
      </c>
      <c r="C5241">
        <v>10</v>
      </c>
      <c r="D5241" s="11">
        <v>42278</v>
      </c>
      <c r="E5241" t="s">
        <v>2182</v>
      </c>
      <c r="F5241">
        <v>7</v>
      </c>
      <c r="G5241" t="s">
        <v>59</v>
      </c>
      <c r="H5241" t="s">
        <v>47</v>
      </c>
      <c r="I5241" t="s">
        <v>2195</v>
      </c>
      <c r="J5241" s="10">
        <v>8</v>
      </c>
      <c r="K5241" t="b">
        <v>1</v>
      </c>
    </row>
    <row r="5242" spans="1:11">
      <c r="A5242" s="12">
        <v>42296</v>
      </c>
      <c r="B5242">
        <v>2015</v>
      </c>
      <c r="C5242">
        <v>10</v>
      </c>
      <c r="D5242" s="11">
        <v>42278</v>
      </c>
      <c r="E5242" t="s">
        <v>2182</v>
      </c>
      <c r="F5242">
        <v>1</v>
      </c>
      <c r="G5242" t="s">
        <v>61</v>
      </c>
      <c r="H5242" t="s">
        <v>40</v>
      </c>
      <c r="I5242" t="s">
        <v>2188</v>
      </c>
      <c r="J5242" s="10">
        <v>12</v>
      </c>
      <c r="K5242" t="b">
        <v>1</v>
      </c>
    </row>
    <row r="5243" spans="1:11">
      <c r="A5243" s="12">
        <v>42296</v>
      </c>
      <c r="B5243">
        <v>2015</v>
      </c>
      <c r="C5243">
        <v>10</v>
      </c>
      <c r="D5243" s="11">
        <v>42278</v>
      </c>
      <c r="E5243" t="s">
        <v>2182</v>
      </c>
      <c r="F5243">
        <v>1</v>
      </c>
      <c r="G5243" t="s">
        <v>61</v>
      </c>
      <c r="H5243" t="s">
        <v>41</v>
      </c>
      <c r="I5243" t="s">
        <v>2189</v>
      </c>
      <c r="J5243" s="10">
        <v>3.802</v>
      </c>
      <c r="K5243" t="b">
        <v>1</v>
      </c>
    </row>
    <row r="5244" spans="1:11">
      <c r="A5244" s="12">
        <v>42296</v>
      </c>
      <c r="B5244">
        <v>2015</v>
      </c>
      <c r="C5244">
        <v>10</v>
      </c>
      <c r="D5244" s="11">
        <v>42278</v>
      </c>
      <c r="E5244" t="s">
        <v>2182</v>
      </c>
      <c r="F5244">
        <v>1</v>
      </c>
      <c r="G5244" t="s">
        <v>61</v>
      </c>
      <c r="H5244" t="s">
        <v>42</v>
      </c>
      <c r="I5244" t="s">
        <v>2190</v>
      </c>
      <c r="J5244" s="10">
        <v>3</v>
      </c>
      <c r="K5244" t="b">
        <v>1</v>
      </c>
    </row>
    <row r="5245" spans="1:11">
      <c r="A5245" s="12">
        <v>42296</v>
      </c>
      <c r="B5245">
        <v>2015</v>
      </c>
      <c r="C5245">
        <v>10</v>
      </c>
      <c r="D5245" s="11">
        <v>42278</v>
      </c>
      <c r="E5245" t="s">
        <v>2182</v>
      </c>
      <c r="F5245">
        <v>1</v>
      </c>
      <c r="G5245" t="s">
        <v>61</v>
      </c>
      <c r="H5245" t="s">
        <v>43</v>
      </c>
      <c r="I5245" t="s">
        <v>2191</v>
      </c>
      <c r="J5245" s="10">
        <v>62.6</v>
      </c>
      <c r="K5245" t="b">
        <v>1</v>
      </c>
    </row>
    <row r="5246" spans="1:11">
      <c r="A5246" s="12">
        <v>42296</v>
      </c>
      <c r="B5246">
        <v>2015</v>
      </c>
      <c r="C5246">
        <v>10</v>
      </c>
      <c r="D5246" s="11">
        <v>42278</v>
      </c>
      <c r="E5246" t="s">
        <v>2182</v>
      </c>
      <c r="F5246">
        <v>1</v>
      </c>
      <c r="G5246" t="s">
        <v>61</v>
      </c>
      <c r="H5246" t="s">
        <v>44</v>
      </c>
      <c r="I5246" t="s">
        <v>2192</v>
      </c>
      <c r="J5246" s="10">
        <v>3</v>
      </c>
      <c r="K5246" t="b">
        <v>1</v>
      </c>
    </row>
    <row r="5247" spans="1:11">
      <c r="A5247" s="12">
        <v>42296</v>
      </c>
      <c r="B5247">
        <v>2015</v>
      </c>
      <c r="C5247">
        <v>10</v>
      </c>
      <c r="D5247" s="11">
        <v>42278</v>
      </c>
      <c r="E5247" t="s">
        <v>2182</v>
      </c>
      <c r="F5247">
        <v>1</v>
      </c>
      <c r="G5247" t="s">
        <v>61</v>
      </c>
      <c r="H5247" t="s">
        <v>45</v>
      </c>
      <c r="I5247" t="s">
        <v>2193</v>
      </c>
      <c r="J5247" s="10">
        <v>0</v>
      </c>
      <c r="K5247" t="b">
        <v>1</v>
      </c>
    </row>
    <row r="5248" spans="1:11">
      <c r="A5248" s="12">
        <v>42296</v>
      </c>
      <c r="B5248">
        <v>2015</v>
      </c>
      <c r="C5248">
        <v>10</v>
      </c>
      <c r="D5248" s="11">
        <v>42278</v>
      </c>
      <c r="E5248" t="s">
        <v>2182</v>
      </c>
      <c r="F5248">
        <v>1</v>
      </c>
      <c r="G5248" t="s">
        <v>61</v>
      </c>
      <c r="H5248" t="s">
        <v>46</v>
      </c>
      <c r="I5248" t="s">
        <v>2194</v>
      </c>
      <c r="J5248" s="10">
        <v>17</v>
      </c>
      <c r="K5248" t="b">
        <v>1</v>
      </c>
    </row>
    <row r="5249" spans="1:11">
      <c r="A5249" s="12">
        <v>42296</v>
      </c>
      <c r="B5249">
        <v>2015</v>
      </c>
      <c r="C5249">
        <v>10</v>
      </c>
      <c r="D5249" s="11">
        <v>42278</v>
      </c>
      <c r="E5249" t="s">
        <v>2182</v>
      </c>
      <c r="F5249">
        <v>1</v>
      </c>
      <c r="G5249" t="s">
        <v>61</v>
      </c>
      <c r="H5249" t="s">
        <v>47</v>
      </c>
      <c r="I5249" t="s">
        <v>2195</v>
      </c>
      <c r="J5249" s="10">
        <v>0</v>
      </c>
      <c r="K5249" t="b">
        <v>1</v>
      </c>
    </row>
    <row r="5250" spans="1:11">
      <c r="A5250" s="12">
        <v>42297</v>
      </c>
      <c r="B5250">
        <v>2015</v>
      </c>
      <c r="C5250">
        <v>10</v>
      </c>
      <c r="D5250" s="11">
        <v>42278</v>
      </c>
      <c r="E5250" t="s">
        <v>2182</v>
      </c>
      <c r="F5250">
        <v>2</v>
      </c>
      <c r="G5250" t="s">
        <v>63</v>
      </c>
      <c r="H5250" t="s">
        <v>40</v>
      </c>
      <c r="I5250" t="s">
        <v>2188</v>
      </c>
      <c r="J5250" s="10">
        <v>3.34</v>
      </c>
      <c r="K5250" t="b">
        <v>1</v>
      </c>
    </row>
    <row r="5251" spans="1:11">
      <c r="A5251" s="12">
        <v>42297</v>
      </c>
      <c r="B5251">
        <v>2015</v>
      </c>
      <c r="C5251">
        <v>10</v>
      </c>
      <c r="D5251" s="11">
        <v>42278</v>
      </c>
      <c r="E5251" t="s">
        <v>2182</v>
      </c>
      <c r="F5251">
        <v>2</v>
      </c>
      <c r="G5251" t="s">
        <v>63</v>
      </c>
      <c r="H5251" t="s">
        <v>41</v>
      </c>
      <c r="I5251" t="s">
        <v>2189</v>
      </c>
      <c r="J5251" s="10">
        <v>1.99</v>
      </c>
      <c r="K5251" t="b">
        <v>1</v>
      </c>
    </row>
    <row r="5252" spans="1:11">
      <c r="A5252" s="12">
        <v>42297</v>
      </c>
      <c r="B5252">
        <v>2015</v>
      </c>
      <c r="C5252">
        <v>10</v>
      </c>
      <c r="D5252" s="11">
        <v>42278</v>
      </c>
      <c r="E5252" t="s">
        <v>2182</v>
      </c>
      <c r="F5252">
        <v>2</v>
      </c>
      <c r="G5252" t="s">
        <v>63</v>
      </c>
      <c r="H5252" t="s">
        <v>42</v>
      </c>
      <c r="I5252" t="s">
        <v>2190</v>
      </c>
      <c r="J5252" s="10">
        <v>2.3</v>
      </c>
      <c r="K5252" t="b">
        <v>1</v>
      </c>
    </row>
    <row r="5253" spans="1:11">
      <c r="A5253" s="12">
        <v>42297</v>
      </c>
      <c r="B5253">
        <v>2015</v>
      </c>
      <c r="C5253">
        <v>10</v>
      </c>
      <c r="D5253" s="11">
        <v>42278</v>
      </c>
      <c r="E5253" t="s">
        <v>2182</v>
      </c>
      <c r="F5253">
        <v>2</v>
      </c>
      <c r="G5253" t="s">
        <v>63</v>
      </c>
      <c r="H5253" t="s">
        <v>43</v>
      </c>
      <c r="I5253" t="s">
        <v>2191</v>
      </c>
      <c r="J5253" s="10">
        <v>44.7</v>
      </c>
      <c r="K5253" t="b">
        <v>1</v>
      </c>
    </row>
    <row r="5254" spans="1:11">
      <c r="A5254" s="12">
        <v>42297</v>
      </c>
      <c r="B5254">
        <v>2015</v>
      </c>
      <c r="C5254">
        <v>10</v>
      </c>
      <c r="D5254" s="11">
        <v>42278</v>
      </c>
      <c r="E5254" t="s">
        <v>2182</v>
      </c>
      <c r="F5254">
        <v>2</v>
      </c>
      <c r="G5254" t="s">
        <v>63</v>
      </c>
      <c r="H5254" t="s">
        <v>44</v>
      </c>
      <c r="I5254" t="s">
        <v>2192</v>
      </c>
      <c r="J5254" s="10">
        <v>6</v>
      </c>
      <c r="K5254" t="b">
        <v>1</v>
      </c>
    </row>
    <row r="5255" spans="1:11">
      <c r="A5255" s="12">
        <v>42297</v>
      </c>
      <c r="B5255">
        <v>2015</v>
      </c>
      <c r="C5255">
        <v>10</v>
      </c>
      <c r="D5255" s="11">
        <v>42278</v>
      </c>
      <c r="E5255" t="s">
        <v>2182</v>
      </c>
      <c r="F5255">
        <v>2</v>
      </c>
      <c r="G5255" t="s">
        <v>63</v>
      </c>
      <c r="H5255" t="s">
        <v>45</v>
      </c>
      <c r="I5255" t="s">
        <v>2193</v>
      </c>
      <c r="J5255" s="10">
        <v>0</v>
      </c>
      <c r="K5255" t="b">
        <v>1</v>
      </c>
    </row>
    <row r="5256" spans="1:11">
      <c r="A5256" s="12">
        <v>42297</v>
      </c>
      <c r="B5256">
        <v>2015</v>
      </c>
      <c r="C5256">
        <v>10</v>
      </c>
      <c r="D5256" s="11">
        <v>42278</v>
      </c>
      <c r="E5256" t="s">
        <v>2182</v>
      </c>
      <c r="F5256">
        <v>2</v>
      </c>
      <c r="G5256" t="s">
        <v>63</v>
      </c>
      <c r="H5256" t="s">
        <v>46</v>
      </c>
      <c r="I5256" t="s">
        <v>2194</v>
      </c>
      <c r="J5256" s="10">
        <v>10</v>
      </c>
      <c r="K5256" t="b">
        <v>1</v>
      </c>
    </row>
    <row r="5257" spans="1:11">
      <c r="A5257" s="12">
        <v>42297</v>
      </c>
      <c r="B5257">
        <v>2015</v>
      </c>
      <c r="C5257">
        <v>10</v>
      </c>
      <c r="D5257" s="11">
        <v>42278</v>
      </c>
      <c r="E5257" t="s">
        <v>2182</v>
      </c>
      <c r="F5257">
        <v>2</v>
      </c>
      <c r="G5257" t="s">
        <v>63</v>
      </c>
      <c r="H5257" t="s">
        <v>47</v>
      </c>
      <c r="I5257" t="s">
        <v>2195</v>
      </c>
      <c r="J5257" s="10">
        <v>5</v>
      </c>
      <c r="K5257" t="b">
        <v>1</v>
      </c>
    </row>
    <row r="5258" spans="1:11">
      <c r="A5258" s="12">
        <v>42298</v>
      </c>
      <c r="B5258">
        <v>2015</v>
      </c>
      <c r="C5258">
        <v>10</v>
      </c>
      <c r="D5258" s="11">
        <v>42278</v>
      </c>
      <c r="E5258" t="s">
        <v>2182</v>
      </c>
      <c r="F5258">
        <v>3</v>
      </c>
      <c r="G5258" t="s">
        <v>65</v>
      </c>
      <c r="H5258" t="s">
        <v>40</v>
      </c>
      <c r="I5258" t="s">
        <v>2188</v>
      </c>
      <c r="J5258" s="10">
        <v>8.66</v>
      </c>
      <c r="K5258" t="b">
        <v>1</v>
      </c>
    </row>
    <row r="5259" spans="1:11">
      <c r="A5259" s="12">
        <v>42298</v>
      </c>
      <c r="B5259">
        <v>2015</v>
      </c>
      <c r="C5259">
        <v>10</v>
      </c>
      <c r="D5259" s="11">
        <v>42278</v>
      </c>
      <c r="E5259" t="s">
        <v>2182</v>
      </c>
      <c r="F5259">
        <v>3</v>
      </c>
      <c r="G5259" t="s">
        <v>65</v>
      </c>
      <c r="H5259" t="s">
        <v>41</v>
      </c>
      <c r="I5259" t="s">
        <v>2189</v>
      </c>
      <c r="J5259" s="10">
        <v>2.363</v>
      </c>
      <c r="K5259" t="b">
        <v>1</v>
      </c>
    </row>
    <row r="5260" spans="1:11">
      <c r="A5260" s="12">
        <v>42298</v>
      </c>
      <c r="B5260">
        <v>2015</v>
      </c>
      <c r="C5260">
        <v>10</v>
      </c>
      <c r="D5260" s="11">
        <v>42278</v>
      </c>
      <c r="E5260" t="s">
        <v>2182</v>
      </c>
      <c r="F5260">
        <v>3</v>
      </c>
      <c r="G5260" t="s">
        <v>65</v>
      </c>
      <c r="H5260" t="s">
        <v>42</v>
      </c>
      <c r="I5260" t="s">
        <v>2190</v>
      </c>
      <c r="J5260" s="10">
        <v>3.2</v>
      </c>
      <c r="K5260" t="b">
        <v>1</v>
      </c>
    </row>
    <row r="5261" spans="1:11">
      <c r="A5261" s="12">
        <v>42298</v>
      </c>
      <c r="B5261">
        <v>2015</v>
      </c>
      <c r="C5261">
        <v>10</v>
      </c>
      <c r="D5261" s="11">
        <v>42278</v>
      </c>
      <c r="E5261" t="s">
        <v>2182</v>
      </c>
      <c r="F5261">
        <v>3</v>
      </c>
      <c r="G5261" t="s">
        <v>65</v>
      </c>
      <c r="H5261" t="s">
        <v>43</v>
      </c>
      <c r="I5261" t="s">
        <v>2191</v>
      </c>
      <c r="J5261" s="10">
        <v>36.8</v>
      </c>
      <c r="K5261" t="b">
        <v>1</v>
      </c>
    </row>
    <row r="5262" spans="1:11">
      <c r="A5262" s="12">
        <v>42298</v>
      </c>
      <c r="B5262">
        <v>2015</v>
      </c>
      <c r="C5262">
        <v>10</v>
      </c>
      <c r="D5262" s="11">
        <v>42278</v>
      </c>
      <c r="E5262" t="s">
        <v>2182</v>
      </c>
      <c r="F5262">
        <v>3</v>
      </c>
      <c r="G5262" t="s">
        <v>65</v>
      </c>
      <c r="H5262" t="s">
        <v>44</v>
      </c>
      <c r="I5262" t="s">
        <v>2192</v>
      </c>
      <c r="J5262" s="10">
        <v>9</v>
      </c>
      <c r="K5262" t="b">
        <v>1</v>
      </c>
    </row>
    <row r="5263" spans="1:11">
      <c r="A5263" s="12">
        <v>42298</v>
      </c>
      <c r="B5263">
        <v>2015</v>
      </c>
      <c r="C5263">
        <v>10</v>
      </c>
      <c r="D5263" s="11">
        <v>42278</v>
      </c>
      <c r="E5263" t="s">
        <v>2182</v>
      </c>
      <c r="F5263">
        <v>3</v>
      </c>
      <c r="G5263" t="s">
        <v>65</v>
      </c>
      <c r="H5263" t="s">
        <v>45</v>
      </c>
      <c r="I5263" t="s">
        <v>2193</v>
      </c>
      <c r="J5263" s="10">
        <v>1</v>
      </c>
      <c r="K5263" t="b">
        <v>1</v>
      </c>
    </row>
    <row r="5264" spans="1:11">
      <c r="A5264" s="12">
        <v>42298</v>
      </c>
      <c r="B5264">
        <v>2015</v>
      </c>
      <c r="C5264">
        <v>10</v>
      </c>
      <c r="D5264" s="11">
        <v>42278</v>
      </c>
      <c r="E5264" t="s">
        <v>2182</v>
      </c>
      <c r="F5264">
        <v>3</v>
      </c>
      <c r="G5264" t="s">
        <v>65</v>
      </c>
      <c r="H5264" t="s">
        <v>46</v>
      </c>
      <c r="I5264" t="s">
        <v>2194</v>
      </c>
      <c r="J5264" s="10">
        <v>1</v>
      </c>
      <c r="K5264" t="b">
        <v>1</v>
      </c>
    </row>
    <row r="5265" spans="1:11">
      <c r="A5265" s="12">
        <v>42298</v>
      </c>
      <c r="B5265">
        <v>2015</v>
      </c>
      <c r="C5265">
        <v>10</v>
      </c>
      <c r="D5265" s="11">
        <v>42278</v>
      </c>
      <c r="E5265" t="s">
        <v>2182</v>
      </c>
      <c r="F5265">
        <v>3</v>
      </c>
      <c r="G5265" t="s">
        <v>65</v>
      </c>
      <c r="H5265" t="s">
        <v>47</v>
      </c>
      <c r="I5265" t="s">
        <v>2195</v>
      </c>
      <c r="J5265" s="10">
        <v>4</v>
      </c>
      <c r="K5265" t="b">
        <v>1</v>
      </c>
    </row>
    <row r="5266" spans="1:11">
      <c r="A5266" s="12">
        <v>42299</v>
      </c>
      <c r="B5266">
        <v>2015</v>
      </c>
      <c r="C5266">
        <v>10</v>
      </c>
      <c r="D5266" s="11">
        <v>42278</v>
      </c>
      <c r="E5266" t="s">
        <v>2182</v>
      </c>
      <c r="F5266">
        <v>4</v>
      </c>
      <c r="G5266" t="s">
        <v>53</v>
      </c>
      <c r="H5266" t="s">
        <v>40</v>
      </c>
      <c r="I5266" t="s">
        <v>2188</v>
      </c>
      <c r="J5266" s="10">
        <v>4.33</v>
      </c>
      <c r="K5266" t="b">
        <v>1</v>
      </c>
    </row>
    <row r="5267" spans="1:11">
      <c r="A5267" s="12">
        <v>42299</v>
      </c>
      <c r="B5267">
        <v>2015</v>
      </c>
      <c r="C5267">
        <v>10</v>
      </c>
      <c r="D5267" s="11">
        <v>42278</v>
      </c>
      <c r="E5267" t="s">
        <v>2182</v>
      </c>
      <c r="F5267">
        <v>4</v>
      </c>
      <c r="G5267" t="s">
        <v>53</v>
      </c>
      <c r="H5267" t="s">
        <v>41</v>
      </c>
      <c r="I5267" t="s">
        <v>2189</v>
      </c>
      <c r="J5267" s="10">
        <v>0.34</v>
      </c>
      <c r="K5267" t="b">
        <v>1</v>
      </c>
    </row>
    <row r="5268" spans="1:11">
      <c r="A5268" s="12">
        <v>42299</v>
      </c>
      <c r="B5268">
        <v>2015</v>
      </c>
      <c r="C5268">
        <v>10</v>
      </c>
      <c r="D5268" s="11">
        <v>42278</v>
      </c>
      <c r="E5268" t="s">
        <v>2182</v>
      </c>
      <c r="F5268">
        <v>4</v>
      </c>
      <c r="G5268" t="s">
        <v>53</v>
      </c>
      <c r="H5268" t="s">
        <v>42</v>
      </c>
      <c r="I5268" t="s">
        <v>2190</v>
      </c>
      <c r="J5268" s="10">
        <v>0</v>
      </c>
      <c r="K5268" t="b">
        <v>1</v>
      </c>
    </row>
    <row r="5269" spans="1:11">
      <c r="A5269" s="12">
        <v>42299</v>
      </c>
      <c r="B5269">
        <v>2015</v>
      </c>
      <c r="C5269">
        <v>10</v>
      </c>
      <c r="D5269" s="11">
        <v>42278</v>
      </c>
      <c r="E5269" t="s">
        <v>2182</v>
      </c>
      <c r="F5269">
        <v>4</v>
      </c>
      <c r="G5269" t="s">
        <v>53</v>
      </c>
      <c r="H5269" t="s">
        <v>43</v>
      </c>
      <c r="I5269" t="s">
        <v>2191</v>
      </c>
      <c r="J5269" s="10">
        <v>35.262</v>
      </c>
      <c r="K5269" t="b">
        <v>1</v>
      </c>
    </row>
    <row r="5270" spans="1:11">
      <c r="A5270" s="12">
        <v>42299</v>
      </c>
      <c r="B5270">
        <v>2015</v>
      </c>
      <c r="C5270">
        <v>10</v>
      </c>
      <c r="D5270" s="11">
        <v>42278</v>
      </c>
      <c r="E5270" t="s">
        <v>2182</v>
      </c>
      <c r="F5270">
        <v>4</v>
      </c>
      <c r="G5270" t="s">
        <v>53</v>
      </c>
      <c r="H5270" t="s">
        <v>44</v>
      </c>
      <c r="I5270" t="s">
        <v>2192</v>
      </c>
      <c r="J5270" s="10">
        <v>9</v>
      </c>
      <c r="K5270" t="b">
        <v>1</v>
      </c>
    </row>
    <row r="5271" spans="1:11">
      <c r="A5271" s="12">
        <v>42299</v>
      </c>
      <c r="B5271">
        <v>2015</v>
      </c>
      <c r="C5271">
        <v>10</v>
      </c>
      <c r="D5271" s="11">
        <v>42278</v>
      </c>
      <c r="E5271" t="s">
        <v>2182</v>
      </c>
      <c r="F5271">
        <v>4</v>
      </c>
      <c r="G5271" t="s">
        <v>53</v>
      </c>
      <c r="H5271" t="s">
        <v>45</v>
      </c>
      <c r="I5271" t="s">
        <v>2193</v>
      </c>
      <c r="J5271" s="10">
        <v>0</v>
      </c>
      <c r="K5271" t="b">
        <v>1</v>
      </c>
    </row>
    <row r="5272" spans="1:11">
      <c r="A5272" s="12">
        <v>42299</v>
      </c>
      <c r="B5272">
        <v>2015</v>
      </c>
      <c r="C5272">
        <v>10</v>
      </c>
      <c r="D5272" s="11">
        <v>42278</v>
      </c>
      <c r="E5272" t="s">
        <v>2182</v>
      </c>
      <c r="F5272">
        <v>4</v>
      </c>
      <c r="G5272" t="s">
        <v>53</v>
      </c>
      <c r="H5272" t="s">
        <v>46</v>
      </c>
      <c r="I5272" t="s">
        <v>2194</v>
      </c>
      <c r="J5272" s="10">
        <v>2</v>
      </c>
      <c r="K5272" t="b">
        <v>1</v>
      </c>
    </row>
    <row r="5273" spans="1:11">
      <c r="A5273" s="12">
        <v>42299</v>
      </c>
      <c r="B5273">
        <v>2015</v>
      </c>
      <c r="C5273">
        <v>10</v>
      </c>
      <c r="D5273" s="11">
        <v>42278</v>
      </c>
      <c r="E5273" t="s">
        <v>2182</v>
      </c>
      <c r="F5273">
        <v>4</v>
      </c>
      <c r="G5273" t="s">
        <v>53</v>
      </c>
      <c r="H5273" t="s">
        <v>47</v>
      </c>
      <c r="I5273" t="s">
        <v>2195</v>
      </c>
      <c r="J5273" s="10">
        <v>2</v>
      </c>
      <c r="K5273" t="b">
        <v>1</v>
      </c>
    </row>
    <row r="5274" spans="1:11">
      <c r="A5274" s="12">
        <v>42300</v>
      </c>
      <c r="B5274">
        <v>2015</v>
      </c>
      <c r="C5274">
        <v>10</v>
      </c>
      <c r="D5274" s="11">
        <v>42278</v>
      </c>
      <c r="E5274" t="s">
        <v>2182</v>
      </c>
      <c r="F5274">
        <v>5</v>
      </c>
      <c r="G5274" t="s">
        <v>55</v>
      </c>
      <c r="H5274" t="s">
        <v>40</v>
      </c>
      <c r="I5274" t="s">
        <v>2188</v>
      </c>
      <c r="J5274" s="10">
        <v>7</v>
      </c>
      <c r="K5274" t="b">
        <v>1</v>
      </c>
    </row>
    <row r="5275" spans="1:11">
      <c r="A5275" s="12">
        <v>42300</v>
      </c>
      <c r="B5275">
        <v>2015</v>
      </c>
      <c r="C5275">
        <v>10</v>
      </c>
      <c r="D5275" s="11">
        <v>42278</v>
      </c>
      <c r="E5275" t="s">
        <v>2182</v>
      </c>
      <c r="F5275">
        <v>5</v>
      </c>
      <c r="G5275" t="s">
        <v>55</v>
      </c>
      <c r="H5275" t="s">
        <v>41</v>
      </c>
      <c r="I5275" t="s">
        <v>2189</v>
      </c>
      <c r="J5275" s="10">
        <v>1.66</v>
      </c>
      <c r="K5275" t="b">
        <v>1</v>
      </c>
    </row>
    <row r="5276" spans="1:11">
      <c r="A5276" s="12">
        <v>42300</v>
      </c>
      <c r="B5276">
        <v>2015</v>
      </c>
      <c r="C5276">
        <v>10</v>
      </c>
      <c r="D5276" s="11">
        <v>42278</v>
      </c>
      <c r="E5276" t="s">
        <v>2182</v>
      </c>
      <c r="F5276">
        <v>5</v>
      </c>
      <c r="G5276" t="s">
        <v>55</v>
      </c>
      <c r="H5276" t="s">
        <v>42</v>
      </c>
      <c r="I5276" t="s">
        <v>2190</v>
      </c>
      <c r="J5276" s="10">
        <v>10.2</v>
      </c>
      <c r="K5276" t="b">
        <v>1</v>
      </c>
    </row>
    <row r="5277" spans="1:11">
      <c r="A5277" s="12">
        <v>42300</v>
      </c>
      <c r="B5277">
        <v>2015</v>
      </c>
      <c r="C5277">
        <v>10</v>
      </c>
      <c r="D5277" s="11">
        <v>42278</v>
      </c>
      <c r="E5277" t="s">
        <v>2182</v>
      </c>
      <c r="F5277">
        <v>5</v>
      </c>
      <c r="G5277" t="s">
        <v>55</v>
      </c>
      <c r="H5277" t="s">
        <v>43</v>
      </c>
      <c r="I5277" t="s">
        <v>2191</v>
      </c>
      <c r="J5277" s="10">
        <v>41.4</v>
      </c>
      <c r="K5277" t="b">
        <v>1</v>
      </c>
    </row>
    <row r="5278" spans="1:11">
      <c r="A5278" s="12">
        <v>42300</v>
      </c>
      <c r="B5278">
        <v>2015</v>
      </c>
      <c r="C5278">
        <v>10</v>
      </c>
      <c r="D5278" s="11">
        <v>42278</v>
      </c>
      <c r="E5278" t="s">
        <v>2182</v>
      </c>
      <c r="F5278">
        <v>5</v>
      </c>
      <c r="G5278" t="s">
        <v>55</v>
      </c>
      <c r="H5278" t="s">
        <v>44</v>
      </c>
      <c r="I5278" t="s">
        <v>2192</v>
      </c>
      <c r="J5278" s="10">
        <v>3</v>
      </c>
      <c r="K5278" t="b">
        <v>1</v>
      </c>
    </row>
    <row r="5279" spans="1:11">
      <c r="A5279" s="12">
        <v>42300</v>
      </c>
      <c r="B5279">
        <v>2015</v>
      </c>
      <c r="C5279">
        <v>10</v>
      </c>
      <c r="D5279" s="11">
        <v>42278</v>
      </c>
      <c r="E5279" t="s">
        <v>2182</v>
      </c>
      <c r="F5279">
        <v>5</v>
      </c>
      <c r="G5279" t="s">
        <v>55</v>
      </c>
      <c r="H5279" t="s">
        <v>45</v>
      </c>
      <c r="I5279" t="s">
        <v>2193</v>
      </c>
      <c r="J5279" s="10">
        <v>0</v>
      </c>
      <c r="K5279" t="b">
        <v>1</v>
      </c>
    </row>
    <row r="5280" spans="1:11">
      <c r="A5280" s="12">
        <v>42300</v>
      </c>
      <c r="B5280">
        <v>2015</v>
      </c>
      <c r="C5280">
        <v>10</v>
      </c>
      <c r="D5280" s="11">
        <v>42278</v>
      </c>
      <c r="E5280" t="s">
        <v>2182</v>
      </c>
      <c r="F5280">
        <v>5</v>
      </c>
      <c r="G5280" t="s">
        <v>55</v>
      </c>
      <c r="H5280" t="s">
        <v>46</v>
      </c>
      <c r="I5280" t="s">
        <v>2194</v>
      </c>
      <c r="J5280" s="10">
        <v>6</v>
      </c>
      <c r="K5280" t="b">
        <v>1</v>
      </c>
    </row>
    <row r="5281" spans="1:11">
      <c r="A5281" s="12">
        <v>42300</v>
      </c>
      <c r="B5281">
        <v>2015</v>
      </c>
      <c r="C5281">
        <v>10</v>
      </c>
      <c r="D5281" s="11">
        <v>42278</v>
      </c>
      <c r="E5281" t="s">
        <v>2182</v>
      </c>
      <c r="F5281">
        <v>5</v>
      </c>
      <c r="G5281" t="s">
        <v>55</v>
      </c>
      <c r="H5281" t="s">
        <v>47</v>
      </c>
      <c r="I5281" t="s">
        <v>2195</v>
      </c>
      <c r="J5281" s="10">
        <v>2</v>
      </c>
      <c r="K5281" t="b">
        <v>1</v>
      </c>
    </row>
    <row r="5282" spans="1:11">
      <c r="A5282" s="12">
        <v>42301</v>
      </c>
      <c r="B5282">
        <v>2015</v>
      </c>
      <c r="C5282">
        <v>10</v>
      </c>
      <c r="D5282" s="11">
        <v>42278</v>
      </c>
      <c r="E5282" t="s">
        <v>2182</v>
      </c>
      <c r="F5282">
        <v>6</v>
      </c>
      <c r="G5282" t="s">
        <v>57</v>
      </c>
      <c r="H5282" t="s">
        <v>40</v>
      </c>
      <c r="I5282" t="s">
        <v>2188</v>
      </c>
      <c r="J5282" s="10">
        <v>9.84</v>
      </c>
      <c r="K5282" t="b">
        <v>1</v>
      </c>
    </row>
    <row r="5283" spans="1:11">
      <c r="A5283" s="12">
        <v>42301</v>
      </c>
      <c r="B5283">
        <v>2015</v>
      </c>
      <c r="C5283">
        <v>10</v>
      </c>
      <c r="D5283" s="11">
        <v>42278</v>
      </c>
      <c r="E5283" t="s">
        <v>2182</v>
      </c>
      <c r="F5283">
        <v>6</v>
      </c>
      <c r="G5283" t="s">
        <v>57</v>
      </c>
      <c r="H5283" t="s">
        <v>41</v>
      </c>
      <c r="I5283" t="s">
        <v>2189</v>
      </c>
      <c r="J5283" s="10">
        <v>8.35</v>
      </c>
      <c r="K5283" t="b">
        <v>1</v>
      </c>
    </row>
    <row r="5284" spans="1:11">
      <c r="A5284" s="12">
        <v>42301</v>
      </c>
      <c r="B5284">
        <v>2015</v>
      </c>
      <c r="C5284">
        <v>10</v>
      </c>
      <c r="D5284" s="11">
        <v>42278</v>
      </c>
      <c r="E5284" t="s">
        <v>2182</v>
      </c>
      <c r="F5284">
        <v>6</v>
      </c>
      <c r="G5284" t="s">
        <v>57</v>
      </c>
      <c r="H5284" t="s">
        <v>42</v>
      </c>
      <c r="I5284" t="s">
        <v>2190</v>
      </c>
      <c r="J5284" s="10">
        <v>9.1</v>
      </c>
      <c r="K5284" t="b">
        <v>1</v>
      </c>
    </row>
    <row r="5285" spans="1:11">
      <c r="A5285" s="12">
        <v>42301</v>
      </c>
      <c r="B5285">
        <v>2015</v>
      </c>
      <c r="C5285">
        <v>10</v>
      </c>
      <c r="D5285" s="11">
        <v>42278</v>
      </c>
      <c r="E5285" t="s">
        <v>2182</v>
      </c>
      <c r="F5285">
        <v>6</v>
      </c>
      <c r="G5285" t="s">
        <v>57</v>
      </c>
      <c r="H5285" t="s">
        <v>43</v>
      </c>
      <c r="I5285" t="s">
        <v>2191</v>
      </c>
      <c r="J5285" s="10">
        <v>67.40000000000001</v>
      </c>
      <c r="K5285" t="b">
        <v>1</v>
      </c>
    </row>
    <row r="5286" spans="1:11">
      <c r="A5286" s="12">
        <v>42301</v>
      </c>
      <c r="B5286">
        <v>2015</v>
      </c>
      <c r="C5286">
        <v>10</v>
      </c>
      <c r="D5286" s="11">
        <v>42278</v>
      </c>
      <c r="E5286" t="s">
        <v>2182</v>
      </c>
      <c r="F5286">
        <v>6</v>
      </c>
      <c r="G5286" t="s">
        <v>57</v>
      </c>
      <c r="H5286" t="s">
        <v>44</v>
      </c>
      <c r="I5286" t="s">
        <v>2192</v>
      </c>
      <c r="J5286" s="10">
        <v>8</v>
      </c>
      <c r="K5286" t="b">
        <v>1</v>
      </c>
    </row>
    <row r="5287" spans="1:11">
      <c r="A5287" s="12">
        <v>42301</v>
      </c>
      <c r="B5287">
        <v>2015</v>
      </c>
      <c r="C5287">
        <v>10</v>
      </c>
      <c r="D5287" s="11">
        <v>42278</v>
      </c>
      <c r="E5287" t="s">
        <v>2182</v>
      </c>
      <c r="F5287">
        <v>6</v>
      </c>
      <c r="G5287" t="s">
        <v>57</v>
      </c>
      <c r="H5287" t="s">
        <v>45</v>
      </c>
      <c r="I5287" t="s">
        <v>2193</v>
      </c>
      <c r="J5287" s="10">
        <v>0</v>
      </c>
      <c r="K5287" t="b">
        <v>1</v>
      </c>
    </row>
    <row r="5288" spans="1:11">
      <c r="A5288" s="12">
        <v>42301</v>
      </c>
      <c r="B5288">
        <v>2015</v>
      </c>
      <c r="C5288">
        <v>10</v>
      </c>
      <c r="D5288" s="11">
        <v>42278</v>
      </c>
      <c r="E5288" t="s">
        <v>2182</v>
      </c>
      <c r="F5288">
        <v>6</v>
      </c>
      <c r="G5288" t="s">
        <v>57</v>
      </c>
      <c r="H5288" t="s">
        <v>46</v>
      </c>
      <c r="I5288" t="s">
        <v>2194</v>
      </c>
      <c r="J5288" s="10">
        <v>4</v>
      </c>
      <c r="K5288" t="b">
        <v>1</v>
      </c>
    </row>
    <row r="5289" spans="1:11">
      <c r="A5289" s="12">
        <v>42301</v>
      </c>
      <c r="B5289">
        <v>2015</v>
      </c>
      <c r="C5289">
        <v>10</v>
      </c>
      <c r="D5289" s="11">
        <v>42278</v>
      </c>
      <c r="E5289" t="s">
        <v>2182</v>
      </c>
      <c r="F5289">
        <v>6</v>
      </c>
      <c r="G5289" t="s">
        <v>57</v>
      </c>
      <c r="H5289" t="s">
        <v>47</v>
      </c>
      <c r="I5289" t="s">
        <v>2195</v>
      </c>
      <c r="J5289" s="10">
        <v>2</v>
      </c>
      <c r="K5289" t="b">
        <v>1</v>
      </c>
    </row>
    <row r="5290" spans="1:11">
      <c r="A5290" s="12">
        <v>42302</v>
      </c>
      <c r="B5290">
        <v>2015</v>
      </c>
      <c r="C5290">
        <v>10</v>
      </c>
      <c r="D5290" s="11">
        <v>42278</v>
      </c>
      <c r="E5290" t="s">
        <v>2182</v>
      </c>
      <c r="F5290">
        <v>7</v>
      </c>
      <c r="G5290" t="s">
        <v>59</v>
      </c>
      <c r="H5290" t="s">
        <v>40</v>
      </c>
      <c r="I5290" t="s">
        <v>2188</v>
      </c>
      <c r="J5290" s="10">
        <v>3</v>
      </c>
      <c r="K5290" t="b">
        <v>1</v>
      </c>
    </row>
    <row r="5291" spans="1:11">
      <c r="A5291" s="12">
        <v>42302</v>
      </c>
      <c r="B5291">
        <v>2015</v>
      </c>
      <c r="C5291">
        <v>10</v>
      </c>
      <c r="D5291" s="11">
        <v>42278</v>
      </c>
      <c r="E5291" t="s">
        <v>2182</v>
      </c>
      <c r="F5291">
        <v>7</v>
      </c>
      <c r="G5291" t="s">
        <v>59</v>
      </c>
      <c r="H5291" t="s">
        <v>41</v>
      </c>
      <c r="I5291" t="s">
        <v>2189</v>
      </c>
      <c r="J5291" s="10">
        <v>3.33</v>
      </c>
      <c r="K5291" t="b">
        <v>1</v>
      </c>
    </row>
    <row r="5292" spans="1:11">
      <c r="A5292" s="12">
        <v>42302</v>
      </c>
      <c r="B5292">
        <v>2015</v>
      </c>
      <c r="C5292">
        <v>10</v>
      </c>
      <c r="D5292" s="11">
        <v>42278</v>
      </c>
      <c r="E5292" t="s">
        <v>2182</v>
      </c>
      <c r="F5292">
        <v>7</v>
      </c>
      <c r="G5292" t="s">
        <v>59</v>
      </c>
      <c r="H5292" t="s">
        <v>42</v>
      </c>
      <c r="I5292" t="s">
        <v>2190</v>
      </c>
      <c r="J5292" s="10">
        <v>3.1</v>
      </c>
      <c r="K5292" t="b">
        <v>1</v>
      </c>
    </row>
    <row r="5293" spans="1:11">
      <c r="A5293" s="12">
        <v>42302</v>
      </c>
      <c r="B5293">
        <v>2015</v>
      </c>
      <c r="C5293">
        <v>10</v>
      </c>
      <c r="D5293" s="11">
        <v>42278</v>
      </c>
      <c r="E5293" t="s">
        <v>2182</v>
      </c>
      <c r="F5293">
        <v>7</v>
      </c>
      <c r="G5293" t="s">
        <v>59</v>
      </c>
      <c r="H5293" t="s">
        <v>43</v>
      </c>
      <c r="I5293" t="s">
        <v>2191</v>
      </c>
      <c r="J5293" s="10">
        <v>64.59999999999999</v>
      </c>
      <c r="K5293" t="b">
        <v>1</v>
      </c>
    </row>
    <row r="5294" spans="1:11">
      <c r="A5294" s="12">
        <v>42302</v>
      </c>
      <c r="B5294">
        <v>2015</v>
      </c>
      <c r="C5294">
        <v>10</v>
      </c>
      <c r="D5294" s="11">
        <v>42278</v>
      </c>
      <c r="E5294" t="s">
        <v>2182</v>
      </c>
      <c r="F5294">
        <v>7</v>
      </c>
      <c r="G5294" t="s">
        <v>59</v>
      </c>
      <c r="H5294" t="s">
        <v>44</v>
      </c>
      <c r="I5294" t="s">
        <v>2192</v>
      </c>
      <c r="J5294" s="10">
        <v>4</v>
      </c>
      <c r="K5294" t="b">
        <v>1</v>
      </c>
    </row>
    <row r="5295" spans="1:11">
      <c r="A5295" s="12">
        <v>42302</v>
      </c>
      <c r="B5295">
        <v>2015</v>
      </c>
      <c r="C5295">
        <v>10</v>
      </c>
      <c r="D5295" s="11">
        <v>42278</v>
      </c>
      <c r="E5295" t="s">
        <v>2182</v>
      </c>
      <c r="F5295">
        <v>7</v>
      </c>
      <c r="G5295" t="s">
        <v>59</v>
      </c>
      <c r="H5295" t="s">
        <v>45</v>
      </c>
      <c r="I5295" t="s">
        <v>2193</v>
      </c>
      <c r="J5295" s="10">
        <v>0</v>
      </c>
      <c r="K5295" t="b">
        <v>1</v>
      </c>
    </row>
    <row r="5296" spans="1:11">
      <c r="A5296" s="12">
        <v>42302</v>
      </c>
      <c r="B5296">
        <v>2015</v>
      </c>
      <c r="C5296">
        <v>10</v>
      </c>
      <c r="D5296" s="11">
        <v>42278</v>
      </c>
      <c r="E5296" t="s">
        <v>2182</v>
      </c>
      <c r="F5296">
        <v>7</v>
      </c>
      <c r="G5296" t="s">
        <v>59</v>
      </c>
      <c r="H5296" t="s">
        <v>46</v>
      </c>
      <c r="I5296" t="s">
        <v>2194</v>
      </c>
      <c r="J5296" s="10">
        <v>0</v>
      </c>
      <c r="K5296" t="b">
        <v>1</v>
      </c>
    </row>
    <row r="5297" spans="1:11">
      <c r="A5297" s="12">
        <v>42302</v>
      </c>
      <c r="B5297">
        <v>2015</v>
      </c>
      <c r="C5297">
        <v>10</v>
      </c>
      <c r="D5297" s="11">
        <v>42278</v>
      </c>
      <c r="E5297" t="s">
        <v>2182</v>
      </c>
      <c r="F5297">
        <v>7</v>
      </c>
      <c r="G5297" t="s">
        <v>59</v>
      </c>
      <c r="H5297" t="s">
        <v>47</v>
      </c>
      <c r="I5297" t="s">
        <v>2195</v>
      </c>
      <c r="J5297" s="10">
        <v>4</v>
      </c>
      <c r="K5297" t="b">
        <v>1</v>
      </c>
    </row>
    <row r="5298" spans="1:11">
      <c r="A5298" s="12">
        <v>42303</v>
      </c>
      <c r="B5298">
        <v>2015</v>
      </c>
      <c r="C5298">
        <v>10</v>
      </c>
      <c r="D5298" s="11">
        <v>42278</v>
      </c>
      <c r="E5298" t="s">
        <v>2182</v>
      </c>
      <c r="F5298">
        <v>1</v>
      </c>
      <c r="G5298" t="s">
        <v>61</v>
      </c>
      <c r="H5298" t="s">
        <v>40</v>
      </c>
      <c r="I5298" t="s">
        <v>2188</v>
      </c>
      <c r="J5298" s="10">
        <v>9</v>
      </c>
      <c r="K5298" t="b">
        <v>1</v>
      </c>
    </row>
    <row r="5299" spans="1:11">
      <c r="A5299" s="12">
        <v>42303</v>
      </c>
      <c r="B5299">
        <v>2015</v>
      </c>
      <c r="C5299">
        <v>10</v>
      </c>
      <c r="D5299" s="11">
        <v>42278</v>
      </c>
      <c r="E5299" t="s">
        <v>2182</v>
      </c>
      <c r="F5299">
        <v>1</v>
      </c>
      <c r="G5299" t="s">
        <v>61</v>
      </c>
      <c r="H5299" t="s">
        <v>41</v>
      </c>
      <c r="I5299" t="s">
        <v>2189</v>
      </c>
      <c r="J5299" s="10">
        <v>5.33</v>
      </c>
      <c r="K5299" t="b">
        <v>1</v>
      </c>
    </row>
    <row r="5300" spans="1:11">
      <c r="A5300" s="12">
        <v>42303</v>
      </c>
      <c r="B5300">
        <v>2015</v>
      </c>
      <c r="C5300">
        <v>10</v>
      </c>
      <c r="D5300" s="11">
        <v>42278</v>
      </c>
      <c r="E5300" t="s">
        <v>2182</v>
      </c>
      <c r="F5300">
        <v>1</v>
      </c>
      <c r="G5300" t="s">
        <v>61</v>
      </c>
      <c r="H5300" t="s">
        <v>42</v>
      </c>
      <c r="I5300" t="s">
        <v>2190</v>
      </c>
      <c r="J5300" s="10">
        <v>8</v>
      </c>
      <c r="K5300" t="b">
        <v>1</v>
      </c>
    </row>
    <row r="5301" spans="1:11">
      <c r="A5301" s="12">
        <v>42303</v>
      </c>
      <c r="B5301">
        <v>2015</v>
      </c>
      <c r="C5301">
        <v>10</v>
      </c>
      <c r="D5301" s="11">
        <v>42278</v>
      </c>
      <c r="E5301" t="s">
        <v>2182</v>
      </c>
      <c r="F5301">
        <v>1</v>
      </c>
      <c r="G5301" t="s">
        <v>61</v>
      </c>
      <c r="H5301" t="s">
        <v>43</v>
      </c>
      <c r="I5301" t="s">
        <v>2191</v>
      </c>
      <c r="J5301" s="10">
        <v>53.3</v>
      </c>
      <c r="K5301" t="b">
        <v>1</v>
      </c>
    </row>
    <row r="5302" spans="1:11">
      <c r="A5302" s="12">
        <v>42303</v>
      </c>
      <c r="B5302">
        <v>2015</v>
      </c>
      <c r="C5302">
        <v>10</v>
      </c>
      <c r="D5302" s="11">
        <v>42278</v>
      </c>
      <c r="E5302" t="s">
        <v>2182</v>
      </c>
      <c r="F5302">
        <v>1</v>
      </c>
      <c r="G5302" t="s">
        <v>61</v>
      </c>
      <c r="H5302" t="s">
        <v>44</v>
      </c>
      <c r="I5302" t="s">
        <v>2192</v>
      </c>
      <c r="J5302" s="10">
        <v>8</v>
      </c>
      <c r="K5302" t="b">
        <v>1</v>
      </c>
    </row>
    <row r="5303" spans="1:11">
      <c r="A5303" s="12">
        <v>42303</v>
      </c>
      <c r="B5303">
        <v>2015</v>
      </c>
      <c r="C5303">
        <v>10</v>
      </c>
      <c r="D5303" s="11">
        <v>42278</v>
      </c>
      <c r="E5303" t="s">
        <v>2182</v>
      </c>
      <c r="F5303">
        <v>1</v>
      </c>
      <c r="G5303" t="s">
        <v>61</v>
      </c>
      <c r="H5303" t="s">
        <v>45</v>
      </c>
      <c r="I5303" t="s">
        <v>2193</v>
      </c>
      <c r="J5303" s="10">
        <v>1</v>
      </c>
      <c r="K5303" t="b">
        <v>1</v>
      </c>
    </row>
    <row r="5304" spans="1:11">
      <c r="A5304" s="12">
        <v>42303</v>
      </c>
      <c r="B5304">
        <v>2015</v>
      </c>
      <c r="C5304">
        <v>10</v>
      </c>
      <c r="D5304" s="11">
        <v>42278</v>
      </c>
      <c r="E5304" t="s">
        <v>2182</v>
      </c>
      <c r="F5304">
        <v>1</v>
      </c>
      <c r="G5304" t="s">
        <v>61</v>
      </c>
      <c r="H5304" t="s">
        <v>46</v>
      </c>
      <c r="I5304" t="s">
        <v>2194</v>
      </c>
      <c r="J5304" s="10">
        <v>2</v>
      </c>
      <c r="K5304" t="b">
        <v>1</v>
      </c>
    </row>
    <row r="5305" spans="1:11">
      <c r="A5305" s="12">
        <v>42303</v>
      </c>
      <c r="B5305">
        <v>2015</v>
      </c>
      <c r="C5305">
        <v>10</v>
      </c>
      <c r="D5305" s="11">
        <v>42278</v>
      </c>
      <c r="E5305" t="s">
        <v>2182</v>
      </c>
      <c r="F5305">
        <v>1</v>
      </c>
      <c r="G5305" t="s">
        <v>61</v>
      </c>
      <c r="H5305" t="s">
        <v>47</v>
      </c>
      <c r="I5305" t="s">
        <v>2195</v>
      </c>
      <c r="J5305" s="10">
        <v>2</v>
      </c>
      <c r="K5305" t="b">
        <v>1</v>
      </c>
    </row>
    <row r="5306" spans="1:11">
      <c r="A5306" s="12">
        <v>42304</v>
      </c>
      <c r="B5306">
        <v>2015</v>
      </c>
      <c r="C5306">
        <v>10</v>
      </c>
      <c r="D5306" s="11">
        <v>42278</v>
      </c>
      <c r="E5306" t="s">
        <v>2182</v>
      </c>
      <c r="F5306">
        <v>2</v>
      </c>
      <c r="G5306" t="s">
        <v>63</v>
      </c>
      <c r="H5306" t="s">
        <v>40</v>
      </c>
      <c r="I5306" t="s">
        <v>2188</v>
      </c>
      <c r="J5306" s="10">
        <v>4.33</v>
      </c>
      <c r="K5306" t="b">
        <v>1</v>
      </c>
    </row>
    <row r="5307" spans="1:11">
      <c r="A5307" s="12">
        <v>42304</v>
      </c>
      <c r="B5307">
        <v>2015</v>
      </c>
      <c r="C5307">
        <v>10</v>
      </c>
      <c r="D5307" s="11">
        <v>42278</v>
      </c>
      <c r="E5307" t="s">
        <v>2182</v>
      </c>
      <c r="F5307">
        <v>2</v>
      </c>
      <c r="G5307" t="s">
        <v>63</v>
      </c>
      <c r="H5307" t="s">
        <v>41</v>
      </c>
      <c r="I5307" t="s">
        <v>2189</v>
      </c>
      <c r="J5307" s="10">
        <v>2</v>
      </c>
      <c r="K5307" t="b">
        <v>1</v>
      </c>
    </row>
    <row r="5308" spans="1:11">
      <c r="A5308" s="12">
        <v>42304</v>
      </c>
      <c r="B5308">
        <v>2015</v>
      </c>
      <c r="C5308">
        <v>10</v>
      </c>
      <c r="D5308" s="11">
        <v>42278</v>
      </c>
      <c r="E5308" t="s">
        <v>2182</v>
      </c>
      <c r="F5308">
        <v>2</v>
      </c>
      <c r="G5308" t="s">
        <v>63</v>
      </c>
      <c r="H5308" t="s">
        <v>42</v>
      </c>
      <c r="I5308" t="s">
        <v>2190</v>
      </c>
      <c r="J5308" s="10">
        <v>8.5</v>
      </c>
      <c r="K5308" t="b">
        <v>1</v>
      </c>
    </row>
    <row r="5309" spans="1:11">
      <c r="A5309" s="12">
        <v>42304</v>
      </c>
      <c r="B5309">
        <v>2015</v>
      </c>
      <c r="C5309">
        <v>10</v>
      </c>
      <c r="D5309" s="11">
        <v>42278</v>
      </c>
      <c r="E5309" t="s">
        <v>2182</v>
      </c>
      <c r="F5309">
        <v>2</v>
      </c>
      <c r="G5309" t="s">
        <v>63</v>
      </c>
      <c r="H5309" t="s">
        <v>43</v>
      </c>
      <c r="I5309" t="s">
        <v>2191</v>
      </c>
      <c r="J5309" s="10">
        <v>64.40000000000001</v>
      </c>
      <c r="K5309" t="b">
        <v>1</v>
      </c>
    </row>
    <row r="5310" spans="1:11">
      <c r="A5310" s="12">
        <v>42304</v>
      </c>
      <c r="B5310">
        <v>2015</v>
      </c>
      <c r="C5310">
        <v>10</v>
      </c>
      <c r="D5310" s="11">
        <v>42278</v>
      </c>
      <c r="E5310" t="s">
        <v>2182</v>
      </c>
      <c r="F5310">
        <v>2</v>
      </c>
      <c r="G5310" t="s">
        <v>63</v>
      </c>
      <c r="H5310" t="s">
        <v>44</v>
      </c>
      <c r="I5310" t="s">
        <v>2192</v>
      </c>
      <c r="J5310" s="10">
        <v>7</v>
      </c>
      <c r="K5310" t="b">
        <v>1</v>
      </c>
    </row>
    <row r="5311" spans="1:11">
      <c r="A5311" s="12">
        <v>42304</v>
      </c>
      <c r="B5311">
        <v>2015</v>
      </c>
      <c r="C5311">
        <v>10</v>
      </c>
      <c r="D5311" s="11">
        <v>42278</v>
      </c>
      <c r="E5311" t="s">
        <v>2182</v>
      </c>
      <c r="F5311">
        <v>2</v>
      </c>
      <c r="G5311" t="s">
        <v>63</v>
      </c>
      <c r="H5311" t="s">
        <v>45</v>
      </c>
      <c r="I5311" t="s">
        <v>2193</v>
      </c>
      <c r="J5311" s="10">
        <v>0</v>
      </c>
      <c r="K5311" t="b">
        <v>1</v>
      </c>
    </row>
    <row r="5312" spans="1:11">
      <c r="A5312" s="12">
        <v>42304</v>
      </c>
      <c r="B5312">
        <v>2015</v>
      </c>
      <c r="C5312">
        <v>10</v>
      </c>
      <c r="D5312" s="11">
        <v>42278</v>
      </c>
      <c r="E5312" t="s">
        <v>2182</v>
      </c>
      <c r="F5312">
        <v>2</v>
      </c>
      <c r="G5312" t="s">
        <v>63</v>
      </c>
      <c r="H5312" t="s">
        <v>46</v>
      </c>
      <c r="I5312" t="s">
        <v>2194</v>
      </c>
      <c r="J5312" s="10">
        <v>8</v>
      </c>
      <c r="K5312" t="b">
        <v>1</v>
      </c>
    </row>
    <row r="5313" spans="1:11">
      <c r="A5313" s="12">
        <v>42304</v>
      </c>
      <c r="B5313">
        <v>2015</v>
      </c>
      <c r="C5313">
        <v>10</v>
      </c>
      <c r="D5313" s="11">
        <v>42278</v>
      </c>
      <c r="E5313" t="s">
        <v>2182</v>
      </c>
      <c r="F5313">
        <v>2</v>
      </c>
      <c r="G5313" t="s">
        <v>63</v>
      </c>
      <c r="H5313" t="s">
        <v>47</v>
      </c>
      <c r="I5313" t="s">
        <v>2195</v>
      </c>
      <c r="J5313" s="10">
        <v>3</v>
      </c>
      <c r="K5313" t="b">
        <v>1</v>
      </c>
    </row>
    <row r="5314" spans="1:11">
      <c r="A5314" s="12">
        <v>42305</v>
      </c>
      <c r="B5314">
        <v>2015</v>
      </c>
      <c r="C5314">
        <v>10</v>
      </c>
      <c r="D5314" s="11">
        <v>42278</v>
      </c>
      <c r="E5314" t="s">
        <v>2182</v>
      </c>
      <c r="F5314">
        <v>3</v>
      </c>
      <c r="G5314" t="s">
        <v>65</v>
      </c>
      <c r="H5314" t="s">
        <v>40</v>
      </c>
      <c r="I5314" t="s">
        <v>2188</v>
      </c>
      <c r="J5314" s="10">
        <v>1</v>
      </c>
      <c r="K5314" t="b">
        <v>1</v>
      </c>
    </row>
    <row r="5315" spans="1:11">
      <c r="A5315" s="12">
        <v>42305</v>
      </c>
      <c r="B5315">
        <v>2015</v>
      </c>
      <c r="C5315">
        <v>10</v>
      </c>
      <c r="D5315" s="11">
        <v>42278</v>
      </c>
      <c r="E5315" t="s">
        <v>2182</v>
      </c>
      <c r="F5315">
        <v>3</v>
      </c>
      <c r="G5315" t="s">
        <v>65</v>
      </c>
      <c r="H5315" t="s">
        <v>41</v>
      </c>
      <c r="I5315" t="s">
        <v>2189</v>
      </c>
      <c r="J5315" s="10">
        <v>1.66</v>
      </c>
      <c r="K5315" t="b">
        <v>1</v>
      </c>
    </row>
    <row r="5316" spans="1:11">
      <c r="A5316" s="12">
        <v>42305</v>
      </c>
      <c r="B5316">
        <v>2015</v>
      </c>
      <c r="C5316">
        <v>10</v>
      </c>
      <c r="D5316" s="11">
        <v>42278</v>
      </c>
      <c r="E5316" t="s">
        <v>2182</v>
      </c>
      <c r="F5316">
        <v>3</v>
      </c>
      <c r="G5316" t="s">
        <v>65</v>
      </c>
      <c r="H5316" t="s">
        <v>42</v>
      </c>
      <c r="I5316" t="s">
        <v>2190</v>
      </c>
      <c r="J5316" s="10">
        <v>1</v>
      </c>
      <c r="K5316" t="b">
        <v>1</v>
      </c>
    </row>
    <row r="5317" spans="1:11">
      <c r="A5317" s="12">
        <v>42305</v>
      </c>
      <c r="B5317">
        <v>2015</v>
      </c>
      <c r="C5317">
        <v>10</v>
      </c>
      <c r="D5317" s="11">
        <v>42278</v>
      </c>
      <c r="E5317" t="s">
        <v>2182</v>
      </c>
      <c r="F5317">
        <v>3</v>
      </c>
      <c r="G5317" t="s">
        <v>65</v>
      </c>
      <c r="H5317" t="s">
        <v>43</v>
      </c>
      <c r="I5317" t="s">
        <v>2191</v>
      </c>
      <c r="J5317" s="10">
        <v>33</v>
      </c>
      <c r="K5317" t="b">
        <v>1</v>
      </c>
    </row>
    <row r="5318" spans="1:11">
      <c r="A5318" s="12">
        <v>42305</v>
      </c>
      <c r="B5318">
        <v>2015</v>
      </c>
      <c r="C5318">
        <v>10</v>
      </c>
      <c r="D5318" s="11">
        <v>42278</v>
      </c>
      <c r="E5318" t="s">
        <v>2182</v>
      </c>
      <c r="F5318">
        <v>3</v>
      </c>
      <c r="G5318" t="s">
        <v>65</v>
      </c>
      <c r="H5318" t="s">
        <v>44</v>
      </c>
      <c r="I5318" t="s">
        <v>2192</v>
      </c>
      <c r="J5318" s="10">
        <v>11</v>
      </c>
      <c r="K5318" t="b">
        <v>1</v>
      </c>
    </row>
    <row r="5319" spans="1:11">
      <c r="A5319" s="12">
        <v>42305</v>
      </c>
      <c r="B5319">
        <v>2015</v>
      </c>
      <c r="C5319">
        <v>10</v>
      </c>
      <c r="D5319" s="11">
        <v>42278</v>
      </c>
      <c r="E5319" t="s">
        <v>2182</v>
      </c>
      <c r="F5319">
        <v>3</v>
      </c>
      <c r="G5319" t="s">
        <v>65</v>
      </c>
      <c r="H5319" t="s">
        <v>45</v>
      </c>
      <c r="I5319" t="s">
        <v>2193</v>
      </c>
      <c r="J5319" s="10">
        <v>1</v>
      </c>
      <c r="K5319" t="b">
        <v>1</v>
      </c>
    </row>
    <row r="5320" spans="1:11">
      <c r="A5320" s="12">
        <v>42305</v>
      </c>
      <c r="B5320">
        <v>2015</v>
      </c>
      <c r="C5320">
        <v>10</v>
      </c>
      <c r="D5320" s="11">
        <v>42278</v>
      </c>
      <c r="E5320" t="s">
        <v>2182</v>
      </c>
      <c r="F5320">
        <v>3</v>
      </c>
      <c r="G5320" t="s">
        <v>65</v>
      </c>
      <c r="H5320" t="s">
        <v>46</v>
      </c>
      <c r="I5320" t="s">
        <v>2194</v>
      </c>
      <c r="J5320" s="10">
        <v>6</v>
      </c>
      <c r="K5320" t="b">
        <v>1</v>
      </c>
    </row>
    <row r="5321" spans="1:11">
      <c r="A5321" s="12">
        <v>42305</v>
      </c>
      <c r="B5321">
        <v>2015</v>
      </c>
      <c r="C5321">
        <v>10</v>
      </c>
      <c r="D5321" s="11">
        <v>42278</v>
      </c>
      <c r="E5321" t="s">
        <v>2182</v>
      </c>
      <c r="F5321">
        <v>3</v>
      </c>
      <c r="G5321" t="s">
        <v>65</v>
      </c>
      <c r="H5321" t="s">
        <v>47</v>
      </c>
      <c r="I5321" t="s">
        <v>2195</v>
      </c>
      <c r="J5321" s="10">
        <v>2</v>
      </c>
      <c r="K5321" t="b">
        <v>1</v>
      </c>
    </row>
    <row r="5322" spans="1:11">
      <c r="A5322" s="12">
        <v>42306</v>
      </c>
      <c r="B5322">
        <v>2015</v>
      </c>
      <c r="C5322">
        <v>10</v>
      </c>
      <c r="D5322" s="11">
        <v>42278</v>
      </c>
      <c r="E5322" t="s">
        <v>2182</v>
      </c>
      <c r="F5322">
        <v>4</v>
      </c>
      <c r="G5322" t="s">
        <v>53</v>
      </c>
      <c r="H5322" t="s">
        <v>40</v>
      </c>
      <c r="I5322" t="s">
        <v>2188</v>
      </c>
      <c r="J5322" s="10">
        <v>2.33</v>
      </c>
      <c r="K5322" t="b">
        <v>1</v>
      </c>
    </row>
    <row r="5323" spans="1:11">
      <c r="A5323" s="12">
        <v>42306</v>
      </c>
      <c r="B5323">
        <v>2015</v>
      </c>
      <c r="C5323">
        <v>10</v>
      </c>
      <c r="D5323" s="11">
        <v>42278</v>
      </c>
      <c r="E5323" t="s">
        <v>2182</v>
      </c>
      <c r="F5323">
        <v>4</v>
      </c>
      <c r="G5323" t="s">
        <v>53</v>
      </c>
      <c r="H5323" t="s">
        <v>41</v>
      </c>
      <c r="I5323" t="s">
        <v>2189</v>
      </c>
      <c r="J5323" s="10">
        <v>3.693</v>
      </c>
      <c r="K5323" t="b">
        <v>1</v>
      </c>
    </row>
    <row r="5324" spans="1:11">
      <c r="A5324" s="12">
        <v>42306</v>
      </c>
      <c r="B5324">
        <v>2015</v>
      </c>
      <c r="C5324">
        <v>10</v>
      </c>
      <c r="D5324" s="11">
        <v>42278</v>
      </c>
      <c r="E5324" t="s">
        <v>2182</v>
      </c>
      <c r="F5324">
        <v>4</v>
      </c>
      <c r="G5324" t="s">
        <v>53</v>
      </c>
      <c r="H5324" t="s">
        <v>42</v>
      </c>
      <c r="I5324" t="s">
        <v>2190</v>
      </c>
      <c r="J5324" s="10">
        <v>1.3</v>
      </c>
      <c r="K5324" t="b">
        <v>1</v>
      </c>
    </row>
    <row r="5325" spans="1:11">
      <c r="A5325" s="12">
        <v>42306</v>
      </c>
      <c r="B5325">
        <v>2015</v>
      </c>
      <c r="C5325">
        <v>10</v>
      </c>
      <c r="D5325" s="11">
        <v>42278</v>
      </c>
      <c r="E5325" t="s">
        <v>2182</v>
      </c>
      <c r="F5325">
        <v>4</v>
      </c>
      <c r="G5325" t="s">
        <v>53</v>
      </c>
      <c r="H5325" t="s">
        <v>43</v>
      </c>
      <c r="I5325" t="s">
        <v>2191</v>
      </c>
      <c r="J5325" s="10">
        <v>38.3</v>
      </c>
      <c r="K5325" t="b">
        <v>1</v>
      </c>
    </row>
    <row r="5326" spans="1:11">
      <c r="A5326" s="12">
        <v>42306</v>
      </c>
      <c r="B5326">
        <v>2015</v>
      </c>
      <c r="C5326">
        <v>10</v>
      </c>
      <c r="D5326" s="11">
        <v>42278</v>
      </c>
      <c r="E5326" t="s">
        <v>2182</v>
      </c>
      <c r="F5326">
        <v>4</v>
      </c>
      <c r="G5326" t="s">
        <v>53</v>
      </c>
      <c r="H5326" t="s">
        <v>44</v>
      </c>
      <c r="I5326" t="s">
        <v>2192</v>
      </c>
      <c r="J5326" s="10">
        <v>8</v>
      </c>
      <c r="K5326" t="b">
        <v>1</v>
      </c>
    </row>
    <row r="5327" spans="1:11">
      <c r="A5327" s="12">
        <v>42306</v>
      </c>
      <c r="B5327">
        <v>2015</v>
      </c>
      <c r="C5327">
        <v>10</v>
      </c>
      <c r="D5327" s="11">
        <v>42278</v>
      </c>
      <c r="E5327" t="s">
        <v>2182</v>
      </c>
      <c r="F5327">
        <v>4</v>
      </c>
      <c r="G5327" t="s">
        <v>53</v>
      </c>
      <c r="H5327" t="s">
        <v>45</v>
      </c>
      <c r="I5327" t="s">
        <v>2193</v>
      </c>
      <c r="J5327" s="10">
        <v>0</v>
      </c>
      <c r="K5327" t="b">
        <v>1</v>
      </c>
    </row>
    <row r="5328" spans="1:11">
      <c r="A5328" s="12">
        <v>42306</v>
      </c>
      <c r="B5328">
        <v>2015</v>
      </c>
      <c r="C5328">
        <v>10</v>
      </c>
      <c r="D5328" s="11">
        <v>42278</v>
      </c>
      <c r="E5328" t="s">
        <v>2182</v>
      </c>
      <c r="F5328">
        <v>4</v>
      </c>
      <c r="G5328" t="s">
        <v>53</v>
      </c>
      <c r="H5328" t="s">
        <v>46</v>
      </c>
      <c r="I5328" t="s">
        <v>2194</v>
      </c>
      <c r="J5328" s="10">
        <v>0</v>
      </c>
      <c r="K5328" t="b">
        <v>1</v>
      </c>
    </row>
    <row r="5329" spans="1:11">
      <c r="A5329" s="12">
        <v>42306</v>
      </c>
      <c r="B5329">
        <v>2015</v>
      </c>
      <c r="C5329">
        <v>10</v>
      </c>
      <c r="D5329" s="11">
        <v>42278</v>
      </c>
      <c r="E5329" t="s">
        <v>2182</v>
      </c>
      <c r="F5329">
        <v>4</v>
      </c>
      <c r="G5329" t="s">
        <v>53</v>
      </c>
      <c r="H5329" t="s">
        <v>47</v>
      </c>
      <c r="I5329" t="s">
        <v>2195</v>
      </c>
      <c r="J5329" s="10">
        <v>1</v>
      </c>
      <c r="K5329" t="b">
        <v>1</v>
      </c>
    </row>
    <row r="5330" spans="1:11">
      <c r="A5330" s="12">
        <v>42307</v>
      </c>
      <c r="B5330">
        <v>2015</v>
      </c>
      <c r="C5330">
        <v>10</v>
      </c>
      <c r="D5330" s="11">
        <v>42278</v>
      </c>
      <c r="E5330" t="s">
        <v>2182</v>
      </c>
      <c r="F5330">
        <v>5</v>
      </c>
      <c r="G5330" t="s">
        <v>55</v>
      </c>
      <c r="H5330" t="s">
        <v>40</v>
      </c>
      <c r="I5330" t="s">
        <v>2188</v>
      </c>
      <c r="J5330" s="10">
        <v>5.33</v>
      </c>
      <c r="K5330" t="b">
        <v>1</v>
      </c>
    </row>
    <row r="5331" spans="1:11">
      <c r="A5331" s="12">
        <v>42307</v>
      </c>
      <c r="B5331">
        <v>2015</v>
      </c>
      <c r="C5331">
        <v>10</v>
      </c>
      <c r="D5331" s="11">
        <v>42278</v>
      </c>
      <c r="E5331" t="s">
        <v>2182</v>
      </c>
      <c r="F5331">
        <v>5</v>
      </c>
      <c r="G5331" t="s">
        <v>55</v>
      </c>
      <c r="H5331" t="s">
        <v>41</v>
      </c>
      <c r="I5331" t="s">
        <v>2189</v>
      </c>
      <c r="J5331" s="10">
        <v>3.67</v>
      </c>
      <c r="K5331" t="b">
        <v>1</v>
      </c>
    </row>
    <row r="5332" spans="1:11">
      <c r="A5332" s="12">
        <v>42307</v>
      </c>
      <c r="B5332">
        <v>2015</v>
      </c>
      <c r="C5332">
        <v>10</v>
      </c>
      <c r="D5332" s="11">
        <v>42278</v>
      </c>
      <c r="E5332" t="s">
        <v>2182</v>
      </c>
      <c r="F5332">
        <v>5</v>
      </c>
      <c r="G5332" t="s">
        <v>55</v>
      </c>
      <c r="H5332" t="s">
        <v>42</v>
      </c>
      <c r="I5332" t="s">
        <v>2190</v>
      </c>
      <c r="J5332" s="10">
        <v>3.2</v>
      </c>
      <c r="K5332" t="b">
        <v>1</v>
      </c>
    </row>
    <row r="5333" spans="1:11">
      <c r="A5333" s="12">
        <v>42307</v>
      </c>
      <c r="B5333">
        <v>2015</v>
      </c>
      <c r="C5333">
        <v>10</v>
      </c>
      <c r="D5333" s="11">
        <v>42278</v>
      </c>
      <c r="E5333" t="s">
        <v>2182</v>
      </c>
      <c r="F5333">
        <v>5</v>
      </c>
      <c r="G5333" t="s">
        <v>55</v>
      </c>
      <c r="H5333" t="s">
        <v>43</v>
      </c>
      <c r="I5333" t="s">
        <v>2191</v>
      </c>
      <c r="J5333" s="10">
        <v>49.6</v>
      </c>
      <c r="K5333" t="b">
        <v>1</v>
      </c>
    </row>
    <row r="5334" spans="1:11">
      <c r="A5334" s="12">
        <v>42307</v>
      </c>
      <c r="B5334">
        <v>2015</v>
      </c>
      <c r="C5334">
        <v>10</v>
      </c>
      <c r="D5334" s="11">
        <v>42278</v>
      </c>
      <c r="E5334" t="s">
        <v>2182</v>
      </c>
      <c r="F5334">
        <v>5</v>
      </c>
      <c r="G5334" t="s">
        <v>55</v>
      </c>
      <c r="H5334" t="s">
        <v>44</v>
      </c>
      <c r="I5334" t="s">
        <v>2192</v>
      </c>
      <c r="J5334" s="10">
        <v>8</v>
      </c>
      <c r="K5334" t="b">
        <v>1</v>
      </c>
    </row>
    <row r="5335" spans="1:11">
      <c r="A5335" s="12">
        <v>42307</v>
      </c>
      <c r="B5335">
        <v>2015</v>
      </c>
      <c r="C5335">
        <v>10</v>
      </c>
      <c r="D5335" s="11">
        <v>42278</v>
      </c>
      <c r="E5335" t="s">
        <v>2182</v>
      </c>
      <c r="F5335">
        <v>5</v>
      </c>
      <c r="G5335" t="s">
        <v>55</v>
      </c>
      <c r="H5335" t="s">
        <v>45</v>
      </c>
      <c r="I5335" t="s">
        <v>2193</v>
      </c>
      <c r="J5335" s="10">
        <v>0</v>
      </c>
      <c r="K5335" t="b">
        <v>1</v>
      </c>
    </row>
    <row r="5336" spans="1:11">
      <c r="A5336" s="12">
        <v>42307</v>
      </c>
      <c r="B5336">
        <v>2015</v>
      </c>
      <c r="C5336">
        <v>10</v>
      </c>
      <c r="D5336" s="11">
        <v>42278</v>
      </c>
      <c r="E5336" t="s">
        <v>2182</v>
      </c>
      <c r="F5336">
        <v>5</v>
      </c>
      <c r="G5336" t="s">
        <v>55</v>
      </c>
      <c r="H5336" t="s">
        <v>46</v>
      </c>
      <c r="I5336" t="s">
        <v>2194</v>
      </c>
      <c r="J5336" s="10">
        <v>5</v>
      </c>
      <c r="K5336" t="b">
        <v>1</v>
      </c>
    </row>
    <row r="5337" spans="1:11">
      <c r="A5337" s="12">
        <v>42307</v>
      </c>
      <c r="B5337">
        <v>2015</v>
      </c>
      <c r="C5337">
        <v>10</v>
      </c>
      <c r="D5337" s="11">
        <v>42278</v>
      </c>
      <c r="E5337" t="s">
        <v>2182</v>
      </c>
      <c r="F5337">
        <v>5</v>
      </c>
      <c r="G5337" t="s">
        <v>55</v>
      </c>
      <c r="H5337" t="s">
        <v>47</v>
      </c>
      <c r="I5337" t="s">
        <v>2195</v>
      </c>
      <c r="J5337" s="10">
        <v>3</v>
      </c>
      <c r="K5337" t="b">
        <v>1</v>
      </c>
    </row>
    <row r="5338" spans="1:11">
      <c r="A5338" s="12">
        <v>42308</v>
      </c>
      <c r="B5338">
        <v>2015</v>
      </c>
      <c r="C5338">
        <v>10</v>
      </c>
      <c r="D5338" s="11">
        <v>42278</v>
      </c>
      <c r="E5338" t="s">
        <v>2182</v>
      </c>
      <c r="F5338">
        <v>6</v>
      </c>
      <c r="G5338" t="s">
        <v>57</v>
      </c>
      <c r="H5338" t="s">
        <v>40</v>
      </c>
      <c r="I5338" t="s">
        <v>2188</v>
      </c>
      <c r="J5338" s="10">
        <v>5.66</v>
      </c>
      <c r="K5338" t="b">
        <v>1</v>
      </c>
    </row>
    <row r="5339" spans="1:11">
      <c r="A5339" s="12">
        <v>42308</v>
      </c>
      <c r="B5339">
        <v>2015</v>
      </c>
      <c r="C5339">
        <v>10</v>
      </c>
      <c r="D5339" s="11">
        <v>42278</v>
      </c>
      <c r="E5339" t="s">
        <v>2182</v>
      </c>
      <c r="F5339">
        <v>6</v>
      </c>
      <c r="G5339" t="s">
        <v>57</v>
      </c>
      <c r="H5339" t="s">
        <v>41</v>
      </c>
      <c r="I5339" t="s">
        <v>2189</v>
      </c>
      <c r="J5339" s="10">
        <v>4.65</v>
      </c>
      <c r="K5339" t="b">
        <v>1</v>
      </c>
    </row>
    <row r="5340" spans="1:11">
      <c r="A5340" s="12">
        <v>42308</v>
      </c>
      <c r="B5340">
        <v>2015</v>
      </c>
      <c r="C5340">
        <v>10</v>
      </c>
      <c r="D5340" s="11">
        <v>42278</v>
      </c>
      <c r="E5340" t="s">
        <v>2182</v>
      </c>
      <c r="F5340">
        <v>6</v>
      </c>
      <c r="G5340" t="s">
        <v>57</v>
      </c>
      <c r="H5340" t="s">
        <v>42</v>
      </c>
      <c r="I5340" t="s">
        <v>2190</v>
      </c>
      <c r="J5340" s="10">
        <v>8</v>
      </c>
      <c r="K5340" t="b">
        <v>1</v>
      </c>
    </row>
    <row r="5341" spans="1:11">
      <c r="A5341" s="12">
        <v>42308</v>
      </c>
      <c r="B5341">
        <v>2015</v>
      </c>
      <c r="C5341">
        <v>10</v>
      </c>
      <c r="D5341" s="11">
        <v>42278</v>
      </c>
      <c r="E5341" t="s">
        <v>2182</v>
      </c>
      <c r="F5341">
        <v>6</v>
      </c>
      <c r="G5341" t="s">
        <v>57</v>
      </c>
      <c r="H5341" t="s">
        <v>43</v>
      </c>
      <c r="I5341" t="s">
        <v>2191</v>
      </c>
      <c r="J5341" s="10">
        <v>58.4</v>
      </c>
      <c r="K5341" t="b">
        <v>1</v>
      </c>
    </row>
    <row r="5342" spans="1:11">
      <c r="A5342" s="12">
        <v>42308</v>
      </c>
      <c r="B5342">
        <v>2015</v>
      </c>
      <c r="C5342">
        <v>10</v>
      </c>
      <c r="D5342" s="11">
        <v>42278</v>
      </c>
      <c r="E5342" t="s">
        <v>2182</v>
      </c>
      <c r="F5342">
        <v>6</v>
      </c>
      <c r="G5342" t="s">
        <v>57</v>
      </c>
      <c r="H5342" t="s">
        <v>44</v>
      </c>
      <c r="I5342" t="s">
        <v>2192</v>
      </c>
      <c r="J5342" s="10">
        <v>6</v>
      </c>
      <c r="K5342" t="b">
        <v>1</v>
      </c>
    </row>
    <row r="5343" spans="1:11">
      <c r="A5343" s="12">
        <v>42308</v>
      </c>
      <c r="B5343">
        <v>2015</v>
      </c>
      <c r="C5343">
        <v>10</v>
      </c>
      <c r="D5343" s="11">
        <v>42278</v>
      </c>
      <c r="E5343" t="s">
        <v>2182</v>
      </c>
      <c r="F5343">
        <v>6</v>
      </c>
      <c r="G5343" t="s">
        <v>57</v>
      </c>
      <c r="H5343" t="s">
        <v>45</v>
      </c>
      <c r="I5343" t="s">
        <v>2193</v>
      </c>
      <c r="J5343" s="10">
        <v>0</v>
      </c>
      <c r="K5343" t="b">
        <v>1</v>
      </c>
    </row>
    <row r="5344" spans="1:11">
      <c r="A5344" s="12">
        <v>42308</v>
      </c>
      <c r="B5344">
        <v>2015</v>
      </c>
      <c r="C5344">
        <v>10</v>
      </c>
      <c r="D5344" s="11">
        <v>42278</v>
      </c>
      <c r="E5344" t="s">
        <v>2182</v>
      </c>
      <c r="F5344">
        <v>6</v>
      </c>
      <c r="G5344" t="s">
        <v>57</v>
      </c>
      <c r="H5344" t="s">
        <v>46</v>
      </c>
      <c r="I5344" t="s">
        <v>2194</v>
      </c>
      <c r="J5344" s="10">
        <v>7</v>
      </c>
      <c r="K5344" t="b">
        <v>1</v>
      </c>
    </row>
    <row r="5345" spans="1:11">
      <c r="A5345" s="12">
        <v>42308</v>
      </c>
      <c r="B5345">
        <v>2015</v>
      </c>
      <c r="C5345">
        <v>10</v>
      </c>
      <c r="D5345" s="11">
        <v>42278</v>
      </c>
      <c r="E5345" t="s">
        <v>2182</v>
      </c>
      <c r="F5345">
        <v>6</v>
      </c>
      <c r="G5345" t="s">
        <v>57</v>
      </c>
      <c r="H5345" t="s">
        <v>47</v>
      </c>
      <c r="I5345" t="s">
        <v>2195</v>
      </c>
      <c r="J5345" s="10">
        <v>1</v>
      </c>
      <c r="K5345" t="b">
        <v>1</v>
      </c>
    </row>
    <row r="5346" spans="1:11">
      <c r="A5346" s="12">
        <v>42309</v>
      </c>
      <c r="B5346">
        <v>2015</v>
      </c>
      <c r="C5346">
        <v>11</v>
      </c>
      <c r="D5346" s="11">
        <v>42309</v>
      </c>
      <c r="E5346" t="s">
        <v>2183</v>
      </c>
      <c r="F5346">
        <v>7</v>
      </c>
      <c r="G5346" t="s">
        <v>59</v>
      </c>
      <c r="H5346" t="s">
        <v>40</v>
      </c>
      <c r="I5346" t="s">
        <v>2188</v>
      </c>
      <c r="J5346" s="10">
        <v>2.33</v>
      </c>
      <c r="K5346" t="b">
        <v>1</v>
      </c>
    </row>
    <row r="5347" spans="1:11">
      <c r="A5347" s="12">
        <v>42309</v>
      </c>
      <c r="B5347">
        <v>2015</v>
      </c>
      <c r="C5347">
        <v>11</v>
      </c>
      <c r="D5347" s="11">
        <v>42309</v>
      </c>
      <c r="E5347" t="s">
        <v>2183</v>
      </c>
      <c r="F5347">
        <v>7</v>
      </c>
      <c r="G5347" t="s">
        <v>59</v>
      </c>
      <c r="H5347" t="s">
        <v>41</v>
      </c>
      <c r="I5347" t="s">
        <v>2189</v>
      </c>
      <c r="J5347" s="10">
        <v>7.99</v>
      </c>
      <c r="K5347" t="b">
        <v>1</v>
      </c>
    </row>
    <row r="5348" spans="1:11">
      <c r="A5348" s="12">
        <v>42309</v>
      </c>
      <c r="B5348">
        <v>2015</v>
      </c>
      <c r="C5348">
        <v>11</v>
      </c>
      <c r="D5348" s="11">
        <v>42309</v>
      </c>
      <c r="E5348" t="s">
        <v>2183</v>
      </c>
      <c r="F5348">
        <v>7</v>
      </c>
      <c r="G5348" t="s">
        <v>59</v>
      </c>
      <c r="H5348" t="s">
        <v>42</v>
      </c>
      <c r="I5348" t="s">
        <v>2190</v>
      </c>
      <c r="J5348" s="10">
        <v>5.6</v>
      </c>
      <c r="K5348" t="b">
        <v>1</v>
      </c>
    </row>
    <row r="5349" spans="1:11">
      <c r="A5349" s="12">
        <v>42309</v>
      </c>
      <c r="B5349">
        <v>2015</v>
      </c>
      <c r="C5349">
        <v>11</v>
      </c>
      <c r="D5349" s="11">
        <v>42309</v>
      </c>
      <c r="E5349" t="s">
        <v>2183</v>
      </c>
      <c r="F5349">
        <v>7</v>
      </c>
      <c r="G5349" t="s">
        <v>59</v>
      </c>
      <c r="H5349" t="s">
        <v>43</v>
      </c>
      <c r="I5349" t="s">
        <v>2191</v>
      </c>
      <c r="J5349" s="10">
        <v>80.40000000000001</v>
      </c>
      <c r="K5349" t="b">
        <v>1</v>
      </c>
    </row>
    <row r="5350" spans="1:11">
      <c r="A5350" s="12">
        <v>42309</v>
      </c>
      <c r="B5350">
        <v>2015</v>
      </c>
      <c r="C5350">
        <v>11</v>
      </c>
      <c r="D5350" s="11">
        <v>42309</v>
      </c>
      <c r="E5350" t="s">
        <v>2183</v>
      </c>
      <c r="F5350">
        <v>7</v>
      </c>
      <c r="G5350" t="s">
        <v>59</v>
      </c>
      <c r="H5350" t="s">
        <v>44</v>
      </c>
      <c r="I5350" t="s">
        <v>2192</v>
      </c>
      <c r="J5350" s="10">
        <v>11</v>
      </c>
      <c r="K5350" t="b">
        <v>1</v>
      </c>
    </row>
    <row r="5351" spans="1:11">
      <c r="A5351" s="12">
        <v>42309</v>
      </c>
      <c r="B5351">
        <v>2015</v>
      </c>
      <c r="C5351">
        <v>11</v>
      </c>
      <c r="D5351" s="11">
        <v>42309</v>
      </c>
      <c r="E5351" t="s">
        <v>2183</v>
      </c>
      <c r="F5351">
        <v>7</v>
      </c>
      <c r="G5351" t="s">
        <v>59</v>
      </c>
      <c r="H5351" t="s">
        <v>45</v>
      </c>
      <c r="I5351" t="s">
        <v>2193</v>
      </c>
      <c r="J5351" s="10">
        <v>0</v>
      </c>
      <c r="K5351" t="b">
        <v>1</v>
      </c>
    </row>
    <row r="5352" spans="1:11">
      <c r="A5352" s="12">
        <v>42309</v>
      </c>
      <c r="B5352">
        <v>2015</v>
      </c>
      <c r="C5352">
        <v>11</v>
      </c>
      <c r="D5352" s="11">
        <v>42309</v>
      </c>
      <c r="E5352" t="s">
        <v>2183</v>
      </c>
      <c r="F5352">
        <v>7</v>
      </c>
      <c r="G5352" t="s">
        <v>59</v>
      </c>
      <c r="H5352" t="s">
        <v>46</v>
      </c>
      <c r="I5352" t="s">
        <v>2194</v>
      </c>
      <c r="J5352" s="10">
        <v>5</v>
      </c>
      <c r="K5352" t="b">
        <v>1</v>
      </c>
    </row>
    <row r="5353" spans="1:11">
      <c r="A5353" s="12">
        <v>42309</v>
      </c>
      <c r="B5353">
        <v>2015</v>
      </c>
      <c r="C5353">
        <v>11</v>
      </c>
      <c r="D5353" s="11">
        <v>42309</v>
      </c>
      <c r="E5353" t="s">
        <v>2183</v>
      </c>
      <c r="F5353">
        <v>7</v>
      </c>
      <c r="G5353" t="s">
        <v>59</v>
      </c>
      <c r="H5353" t="s">
        <v>47</v>
      </c>
      <c r="I5353" t="s">
        <v>2195</v>
      </c>
      <c r="J5353" s="10">
        <v>0</v>
      </c>
      <c r="K5353" t="b">
        <v>1</v>
      </c>
    </row>
    <row r="5354" spans="1:11">
      <c r="A5354" s="12">
        <v>42310</v>
      </c>
      <c r="B5354">
        <v>2015</v>
      </c>
      <c r="C5354">
        <v>11</v>
      </c>
      <c r="D5354" s="11">
        <v>42309</v>
      </c>
      <c r="E5354" t="s">
        <v>2183</v>
      </c>
      <c r="F5354">
        <v>1</v>
      </c>
      <c r="G5354" t="s">
        <v>61</v>
      </c>
      <c r="H5354" t="s">
        <v>40</v>
      </c>
      <c r="I5354" t="s">
        <v>2188</v>
      </c>
      <c r="J5354" s="10">
        <v>4.66</v>
      </c>
      <c r="K5354" t="b">
        <v>1</v>
      </c>
    </row>
    <row r="5355" spans="1:11">
      <c r="A5355" s="12">
        <v>42310</v>
      </c>
      <c r="B5355">
        <v>2015</v>
      </c>
      <c r="C5355">
        <v>11</v>
      </c>
      <c r="D5355" s="11">
        <v>42309</v>
      </c>
      <c r="E5355" t="s">
        <v>2183</v>
      </c>
      <c r="F5355">
        <v>1</v>
      </c>
      <c r="G5355" t="s">
        <v>61</v>
      </c>
      <c r="H5355" t="s">
        <v>41</v>
      </c>
      <c r="I5355" t="s">
        <v>2189</v>
      </c>
      <c r="J5355" s="10">
        <v>4.33</v>
      </c>
      <c r="K5355" t="b">
        <v>1</v>
      </c>
    </row>
    <row r="5356" spans="1:11">
      <c r="A5356" s="12">
        <v>42310</v>
      </c>
      <c r="B5356">
        <v>2015</v>
      </c>
      <c r="C5356">
        <v>11</v>
      </c>
      <c r="D5356" s="11">
        <v>42309</v>
      </c>
      <c r="E5356" t="s">
        <v>2183</v>
      </c>
      <c r="F5356">
        <v>1</v>
      </c>
      <c r="G5356" t="s">
        <v>61</v>
      </c>
      <c r="H5356" t="s">
        <v>42</v>
      </c>
      <c r="I5356" t="s">
        <v>2190</v>
      </c>
      <c r="J5356" s="10">
        <v>4</v>
      </c>
      <c r="K5356" t="b">
        <v>1</v>
      </c>
    </row>
    <row r="5357" spans="1:11">
      <c r="A5357" s="12">
        <v>42310</v>
      </c>
      <c r="B5357">
        <v>2015</v>
      </c>
      <c r="C5357">
        <v>11</v>
      </c>
      <c r="D5357" s="11">
        <v>42309</v>
      </c>
      <c r="E5357" t="s">
        <v>2183</v>
      </c>
      <c r="F5357">
        <v>1</v>
      </c>
      <c r="G5357" t="s">
        <v>61</v>
      </c>
      <c r="H5357" t="s">
        <v>43</v>
      </c>
      <c r="I5357" t="s">
        <v>2191</v>
      </c>
      <c r="J5357" s="10">
        <v>46.3</v>
      </c>
      <c r="K5357" t="b">
        <v>1</v>
      </c>
    </row>
    <row r="5358" spans="1:11">
      <c r="A5358" s="12">
        <v>42310</v>
      </c>
      <c r="B5358">
        <v>2015</v>
      </c>
      <c r="C5358">
        <v>11</v>
      </c>
      <c r="D5358" s="11">
        <v>42309</v>
      </c>
      <c r="E5358" t="s">
        <v>2183</v>
      </c>
      <c r="F5358">
        <v>1</v>
      </c>
      <c r="G5358" t="s">
        <v>61</v>
      </c>
      <c r="H5358" t="s">
        <v>44</v>
      </c>
      <c r="I5358" t="s">
        <v>2192</v>
      </c>
      <c r="J5358" s="10">
        <v>7</v>
      </c>
      <c r="K5358" t="b">
        <v>1</v>
      </c>
    </row>
    <row r="5359" spans="1:11">
      <c r="A5359" s="12">
        <v>42310</v>
      </c>
      <c r="B5359">
        <v>2015</v>
      </c>
      <c r="C5359">
        <v>11</v>
      </c>
      <c r="D5359" s="11">
        <v>42309</v>
      </c>
      <c r="E5359" t="s">
        <v>2183</v>
      </c>
      <c r="F5359">
        <v>1</v>
      </c>
      <c r="G5359" t="s">
        <v>61</v>
      </c>
      <c r="H5359" t="s">
        <v>45</v>
      </c>
      <c r="I5359" t="s">
        <v>2193</v>
      </c>
      <c r="J5359" s="10">
        <v>0</v>
      </c>
      <c r="K5359" t="b">
        <v>1</v>
      </c>
    </row>
    <row r="5360" spans="1:11">
      <c r="A5360" s="12">
        <v>42310</v>
      </c>
      <c r="B5360">
        <v>2015</v>
      </c>
      <c r="C5360">
        <v>11</v>
      </c>
      <c r="D5360" s="11">
        <v>42309</v>
      </c>
      <c r="E5360" t="s">
        <v>2183</v>
      </c>
      <c r="F5360">
        <v>1</v>
      </c>
      <c r="G5360" t="s">
        <v>61</v>
      </c>
      <c r="H5360" t="s">
        <v>46</v>
      </c>
      <c r="I5360" t="s">
        <v>2194</v>
      </c>
      <c r="J5360" s="10">
        <v>7</v>
      </c>
      <c r="K5360" t="b">
        <v>1</v>
      </c>
    </row>
    <row r="5361" spans="1:11">
      <c r="A5361" s="12">
        <v>42310</v>
      </c>
      <c r="B5361">
        <v>2015</v>
      </c>
      <c r="C5361">
        <v>11</v>
      </c>
      <c r="D5361" s="11">
        <v>42309</v>
      </c>
      <c r="E5361" t="s">
        <v>2183</v>
      </c>
      <c r="F5361">
        <v>1</v>
      </c>
      <c r="G5361" t="s">
        <v>61</v>
      </c>
      <c r="H5361" t="s">
        <v>47</v>
      </c>
      <c r="I5361" t="s">
        <v>2195</v>
      </c>
      <c r="J5361" s="10">
        <v>2</v>
      </c>
      <c r="K5361" t="b">
        <v>1</v>
      </c>
    </row>
    <row r="5362" spans="1:11">
      <c r="A5362" s="12">
        <v>42311</v>
      </c>
      <c r="B5362">
        <v>2015</v>
      </c>
      <c r="C5362">
        <v>11</v>
      </c>
      <c r="D5362" s="11">
        <v>42309</v>
      </c>
      <c r="E5362" t="s">
        <v>2183</v>
      </c>
      <c r="F5362">
        <v>2</v>
      </c>
      <c r="G5362" t="s">
        <v>63</v>
      </c>
      <c r="H5362" t="s">
        <v>40</v>
      </c>
      <c r="I5362" t="s">
        <v>2188</v>
      </c>
      <c r="J5362" s="10">
        <v>1.34</v>
      </c>
      <c r="K5362" t="b">
        <v>1</v>
      </c>
    </row>
    <row r="5363" spans="1:11">
      <c r="A5363" s="12">
        <v>42311</v>
      </c>
      <c r="B5363">
        <v>2015</v>
      </c>
      <c r="C5363">
        <v>11</v>
      </c>
      <c r="D5363" s="11">
        <v>42309</v>
      </c>
      <c r="E5363" t="s">
        <v>2183</v>
      </c>
      <c r="F5363">
        <v>2</v>
      </c>
      <c r="G5363" t="s">
        <v>63</v>
      </c>
      <c r="H5363" t="s">
        <v>41</v>
      </c>
      <c r="I5363" t="s">
        <v>2189</v>
      </c>
      <c r="J5363" s="10">
        <v>4.35</v>
      </c>
      <c r="K5363" t="b">
        <v>1</v>
      </c>
    </row>
    <row r="5364" spans="1:11">
      <c r="A5364" s="12">
        <v>42311</v>
      </c>
      <c r="B5364">
        <v>2015</v>
      </c>
      <c r="C5364">
        <v>11</v>
      </c>
      <c r="D5364" s="11">
        <v>42309</v>
      </c>
      <c r="E5364" t="s">
        <v>2183</v>
      </c>
      <c r="F5364">
        <v>2</v>
      </c>
      <c r="G5364" t="s">
        <v>63</v>
      </c>
      <c r="H5364" t="s">
        <v>42</v>
      </c>
      <c r="I5364" t="s">
        <v>2190</v>
      </c>
      <c r="J5364" s="10">
        <v>4.3</v>
      </c>
      <c r="K5364" t="b">
        <v>1</v>
      </c>
    </row>
    <row r="5365" spans="1:11">
      <c r="A5365" s="12">
        <v>42311</v>
      </c>
      <c r="B5365">
        <v>2015</v>
      </c>
      <c r="C5365">
        <v>11</v>
      </c>
      <c r="D5365" s="11">
        <v>42309</v>
      </c>
      <c r="E5365" t="s">
        <v>2183</v>
      </c>
      <c r="F5365">
        <v>2</v>
      </c>
      <c r="G5365" t="s">
        <v>63</v>
      </c>
      <c r="H5365" t="s">
        <v>43</v>
      </c>
      <c r="I5365" t="s">
        <v>2191</v>
      </c>
      <c r="J5365" s="10">
        <v>41.8</v>
      </c>
      <c r="K5365" t="b">
        <v>1</v>
      </c>
    </row>
    <row r="5366" spans="1:11">
      <c r="A5366" s="12">
        <v>42311</v>
      </c>
      <c r="B5366">
        <v>2015</v>
      </c>
      <c r="C5366">
        <v>11</v>
      </c>
      <c r="D5366" s="11">
        <v>42309</v>
      </c>
      <c r="E5366" t="s">
        <v>2183</v>
      </c>
      <c r="F5366">
        <v>2</v>
      </c>
      <c r="G5366" t="s">
        <v>63</v>
      </c>
      <c r="H5366" t="s">
        <v>44</v>
      </c>
      <c r="I5366" t="s">
        <v>2192</v>
      </c>
      <c r="J5366" s="10">
        <v>5</v>
      </c>
      <c r="K5366" t="b">
        <v>1</v>
      </c>
    </row>
    <row r="5367" spans="1:11">
      <c r="A5367" s="12">
        <v>42311</v>
      </c>
      <c r="B5367">
        <v>2015</v>
      </c>
      <c r="C5367">
        <v>11</v>
      </c>
      <c r="D5367" s="11">
        <v>42309</v>
      </c>
      <c r="E5367" t="s">
        <v>2183</v>
      </c>
      <c r="F5367">
        <v>2</v>
      </c>
      <c r="G5367" t="s">
        <v>63</v>
      </c>
      <c r="H5367" t="s">
        <v>45</v>
      </c>
      <c r="I5367" t="s">
        <v>2193</v>
      </c>
      <c r="J5367" s="10">
        <v>0</v>
      </c>
      <c r="K5367" t="b">
        <v>1</v>
      </c>
    </row>
    <row r="5368" spans="1:11">
      <c r="A5368" s="12">
        <v>42311</v>
      </c>
      <c r="B5368">
        <v>2015</v>
      </c>
      <c r="C5368">
        <v>11</v>
      </c>
      <c r="D5368" s="11">
        <v>42309</v>
      </c>
      <c r="E5368" t="s">
        <v>2183</v>
      </c>
      <c r="F5368">
        <v>2</v>
      </c>
      <c r="G5368" t="s">
        <v>63</v>
      </c>
      <c r="H5368" t="s">
        <v>46</v>
      </c>
      <c r="I5368" t="s">
        <v>2194</v>
      </c>
      <c r="J5368" s="10">
        <v>3</v>
      </c>
      <c r="K5368" t="b">
        <v>1</v>
      </c>
    </row>
    <row r="5369" spans="1:11">
      <c r="A5369" s="12">
        <v>42311</v>
      </c>
      <c r="B5369">
        <v>2015</v>
      </c>
      <c r="C5369">
        <v>11</v>
      </c>
      <c r="D5369" s="11">
        <v>42309</v>
      </c>
      <c r="E5369" t="s">
        <v>2183</v>
      </c>
      <c r="F5369">
        <v>2</v>
      </c>
      <c r="G5369" t="s">
        <v>63</v>
      </c>
      <c r="H5369" t="s">
        <v>47</v>
      </c>
      <c r="I5369" t="s">
        <v>2195</v>
      </c>
      <c r="J5369" s="10">
        <v>0</v>
      </c>
      <c r="K5369" t="b">
        <v>1</v>
      </c>
    </row>
    <row r="5370" spans="1:11">
      <c r="A5370" s="12">
        <v>42312</v>
      </c>
      <c r="B5370">
        <v>2015</v>
      </c>
      <c r="C5370">
        <v>11</v>
      </c>
      <c r="D5370" s="11">
        <v>42309</v>
      </c>
      <c r="E5370" t="s">
        <v>2183</v>
      </c>
      <c r="F5370">
        <v>3</v>
      </c>
      <c r="G5370" t="s">
        <v>65</v>
      </c>
      <c r="H5370" t="s">
        <v>40</v>
      </c>
      <c r="I5370" t="s">
        <v>2188</v>
      </c>
      <c r="J5370" s="10">
        <v>8.5</v>
      </c>
      <c r="K5370" t="b">
        <v>1</v>
      </c>
    </row>
    <row r="5371" spans="1:11">
      <c r="A5371" s="12">
        <v>42312</v>
      </c>
      <c r="B5371">
        <v>2015</v>
      </c>
      <c r="C5371">
        <v>11</v>
      </c>
      <c r="D5371" s="11">
        <v>42309</v>
      </c>
      <c r="E5371" t="s">
        <v>2183</v>
      </c>
      <c r="F5371">
        <v>3</v>
      </c>
      <c r="G5371" t="s">
        <v>65</v>
      </c>
      <c r="H5371" t="s">
        <v>41</v>
      </c>
      <c r="I5371" t="s">
        <v>2189</v>
      </c>
      <c r="J5371" s="10">
        <v>2.34</v>
      </c>
      <c r="K5371" t="b">
        <v>1</v>
      </c>
    </row>
    <row r="5372" spans="1:11">
      <c r="A5372" s="12">
        <v>42312</v>
      </c>
      <c r="B5372">
        <v>2015</v>
      </c>
      <c r="C5372">
        <v>11</v>
      </c>
      <c r="D5372" s="11">
        <v>42309</v>
      </c>
      <c r="E5372" t="s">
        <v>2183</v>
      </c>
      <c r="F5372">
        <v>3</v>
      </c>
      <c r="G5372" t="s">
        <v>65</v>
      </c>
      <c r="H5372" t="s">
        <v>42</v>
      </c>
      <c r="I5372" t="s">
        <v>2190</v>
      </c>
      <c r="J5372" s="10">
        <v>3</v>
      </c>
      <c r="K5372" t="b">
        <v>1</v>
      </c>
    </row>
    <row r="5373" spans="1:11">
      <c r="A5373" s="12">
        <v>42312</v>
      </c>
      <c r="B5373">
        <v>2015</v>
      </c>
      <c r="C5373">
        <v>11</v>
      </c>
      <c r="D5373" s="11">
        <v>42309</v>
      </c>
      <c r="E5373" t="s">
        <v>2183</v>
      </c>
      <c r="F5373">
        <v>3</v>
      </c>
      <c r="G5373" t="s">
        <v>65</v>
      </c>
      <c r="H5373" t="s">
        <v>43</v>
      </c>
      <c r="I5373" t="s">
        <v>2191</v>
      </c>
      <c r="J5373" s="10">
        <v>59.8</v>
      </c>
      <c r="K5373" t="b">
        <v>1</v>
      </c>
    </row>
    <row r="5374" spans="1:11">
      <c r="A5374" s="12">
        <v>42312</v>
      </c>
      <c r="B5374">
        <v>2015</v>
      </c>
      <c r="C5374">
        <v>11</v>
      </c>
      <c r="D5374" s="11">
        <v>42309</v>
      </c>
      <c r="E5374" t="s">
        <v>2183</v>
      </c>
      <c r="F5374">
        <v>3</v>
      </c>
      <c r="G5374" t="s">
        <v>65</v>
      </c>
      <c r="H5374" t="s">
        <v>44</v>
      </c>
      <c r="I5374" t="s">
        <v>2192</v>
      </c>
      <c r="J5374" s="10">
        <v>18</v>
      </c>
      <c r="K5374" t="b">
        <v>1</v>
      </c>
    </row>
    <row r="5375" spans="1:11">
      <c r="A5375" s="12">
        <v>42312</v>
      </c>
      <c r="B5375">
        <v>2015</v>
      </c>
      <c r="C5375">
        <v>11</v>
      </c>
      <c r="D5375" s="11">
        <v>42309</v>
      </c>
      <c r="E5375" t="s">
        <v>2183</v>
      </c>
      <c r="F5375">
        <v>3</v>
      </c>
      <c r="G5375" t="s">
        <v>65</v>
      </c>
      <c r="H5375" t="s">
        <v>45</v>
      </c>
      <c r="I5375" t="s">
        <v>2193</v>
      </c>
      <c r="J5375" s="10">
        <v>3</v>
      </c>
      <c r="K5375" t="b">
        <v>1</v>
      </c>
    </row>
    <row r="5376" spans="1:11">
      <c r="A5376" s="12">
        <v>42312</v>
      </c>
      <c r="B5376">
        <v>2015</v>
      </c>
      <c r="C5376">
        <v>11</v>
      </c>
      <c r="D5376" s="11">
        <v>42309</v>
      </c>
      <c r="E5376" t="s">
        <v>2183</v>
      </c>
      <c r="F5376">
        <v>3</v>
      </c>
      <c r="G5376" t="s">
        <v>65</v>
      </c>
      <c r="H5376" t="s">
        <v>46</v>
      </c>
      <c r="I5376" t="s">
        <v>2194</v>
      </c>
      <c r="J5376" s="10">
        <v>3</v>
      </c>
      <c r="K5376" t="b">
        <v>1</v>
      </c>
    </row>
    <row r="5377" spans="1:11">
      <c r="A5377" s="12">
        <v>42312</v>
      </c>
      <c r="B5377">
        <v>2015</v>
      </c>
      <c r="C5377">
        <v>11</v>
      </c>
      <c r="D5377" s="11">
        <v>42309</v>
      </c>
      <c r="E5377" t="s">
        <v>2183</v>
      </c>
      <c r="F5377">
        <v>3</v>
      </c>
      <c r="G5377" t="s">
        <v>65</v>
      </c>
      <c r="H5377" t="s">
        <v>47</v>
      </c>
      <c r="I5377" t="s">
        <v>2195</v>
      </c>
      <c r="J5377" s="10">
        <v>4</v>
      </c>
      <c r="K5377" t="b">
        <v>1</v>
      </c>
    </row>
    <row r="5378" spans="1:11">
      <c r="A5378" s="12">
        <v>42313</v>
      </c>
      <c r="B5378">
        <v>2015</v>
      </c>
      <c r="C5378">
        <v>11</v>
      </c>
      <c r="D5378" s="11">
        <v>42309</v>
      </c>
      <c r="E5378" t="s">
        <v>2183</v>
      </c>
      <c r="F5378">
        <v>4</v>
      </c>
      <c r="G5378" t="s">
        <v>53</v>
      </c>
      <c r="H5378" t="s">
        <v>40</v>
      </c>
      <c r="I5378" t="s">
        <v>2188</v>
      </c>
      <c r="J5378" s="10">
        <v>4.33</v>
      </c>
      <c r="K5378" t="b">
        <v>1</v>
      </c>
    </row>
    <row r="5379" spans="1:11">
      <c r="A5379" s="12">
        <v>42313</v>
      </c>
      <c r="B5379">
        <v>2015</v>
      </c>
      <c r="C5379">
        <v>11</v>
      </c>
      <c r="D5379" s="11">
        <v>42309</v>
      </c>
      <c r="E5379" t="s">
        <v>2183</v>
      </c>
      <c r="F5379">
        <v>4</v>
      </c>
      <c r="G5379" t="s">
        <v>53</v>
      </c>
      <c r="H5379" t="s">
        <v>41</v>
      </c>
      <c r="I5379" t="s">
        <v>2189</v>
      </c>
      <c r="J5379" s="10">
        <v>3.561</v>
      </c>
      <c r="K5379" t="b">
        <v>1</v>
      </c>
    </row>
    <row r="5380" spans="1:11">
      <c r="A5380" s="12">
        <v>42313</v>
      </c>
      <c r="B5380">
        <v>2015</v>
      </c>
      <c r="C5380">
        <v>11</v>
      </c>
      <c r="D5380" s="11">
        <v>42309</v>
      </c>
      <c r="E5380" t="s">
        <v>2183</v>
      </c>
      <c r="F5380">
        <v>4</v>
      </c>
      <c r="G5380" t="s">
        <v>53</v>
      </c>
      <c r="H5380" t="s">
        <v>42</v>
      </c>
      <c r="I5380" t="s">
        <v>2190</v>
      </c>
      <c r="J5380" s="10">
        <v>7.4</v>
      </c>
      <c r="K5380" t="b">
        <v>1</v>
      </c>
    </row>
    <row r="5381" spans="1:11">
      <c r="A5381" s="12">
        <v>42313</v>
      </c>
      <c r="B5381">
        <v>2015</v>
      </c>
      <c r="C5381">
        <v>11</v>
      </c>
      <c r="D5381" s="11">
        <v>42309</v>
      </c>
      <c r="E5381" t="s">
        <v>2183</v>
      </c>
      <c r="F5381">
        <v>4</v>
      </c>
      <c r="G5381" t="s">
        <v>53</v>
      </c>
      <c r="H5381" t="s">
        <v>43</v>
      </c>
      <c r="I5381" t="s">
        <v>2191</v>
      </c>
      <c r="J5381" s="10">
        <v>45</v>
      </c>
      <c r="K5381" t="b">
        <v>1</v>
      </c>
    </row>
    <row r="5382" spans="1:11">
      <c r="A5382" s="12">
        <v>42313</v>
      </c>
      <c r="B5382">
        <v>2015</v>
      </c>
      <c r="C5382">
        <v>11</v>
      </c>
      <c r="D5382" s="11">
        <v>42309</v>
      </c>
      <c r="E5382" t="s">
        <v>2183</v>
      </c>
      <c r="F5382">
        <v>4</v>
      </c>
      <c r="G5382" t="s">
        <v>53</v>
      </c>
      <c r="H5382" t="s">
        <v>44</v>
      </c>
      <c r="I5382" t="s">
        <v>2192</v>
      </c>
      <c r="J5382" s="10">
        <v>3</v>
      </c>
      <c r="K5382" t="b">
        <v>1</v>
      </c>
    </row>
    <row r="5383" spans="1:11">
      <c r="A5383" s="12">
        <v>42313</v>
      </c>
      <c r="B5383">
        <v>2015</v>
      </c>
      <c r="C5383">
        <v>11</v>
      </c>
      <c r="D5383" s="11">
        <v>42309</v>
      </c>
      <c r="E5383" t="s">
        <v>2183</v>
      </c>
      <c r="F5383">
        <v>4</v>
      </c>
      <c r="G5383" t="s">
        <v>53</v>
      </c>
      <c r="H5383" t="s">
        <v>45</v>
      </c>
      <c r="I5383" t="s">
        <v>2193</v>
      </c>
      <c r="J5383" s="10">
        <v>0</v>
      </c>
      <c r="K5383" t="b">
        <v>1</v>
      </c>
    </row>
    <row r="5384" spans="1:11">
      <c r="A5384" s="12">
        <v>42313</v>
      </c>
      <c r="B5384">
        <v>2015</v>
      </c>
      <c r="C5384">
        <v>11</v>
      </c>
      <c r="D5384" s="11">
        <v>42309</v>
      </c>
      <c r="E5384" t="s">
        <v>2183</v>
      </c>
      <c r="F5384">
        <v>4</v>
      </c>
      <c r="G5384" t="s">
        <v>53</v>
      </c>
      <c r="H5384" t="s">
        <v>46</v>
      </c>
      <c r="I5384" t="s">
        <v>2194</v>
      </c>
      <c r="J5384" s="10">
        <v>0</v>
      </c>
      <c r="K5384" t="b">
        <v>1</v>
      </c>
    </row>
    <row r="5385" spans="1:11">
      <c r="A5385" s="12">
        <v>42313</v>
      </c>
      <c r="B5385">
        <v>2015</v>
      </c>
      <c r="C5385">
        <v>11</v>
      </c>
      <c r="D5385" s="11">
        <v>42309</v>
      </c>
      <c r="E5385" t="s">
        <v>2183</v>
      </c>
      <c r="F5385">
        <v>4</v>
      </c>
      <c r="G5385" t="s">
        <v>53</v>
      </c>
      <c r="H5385" t="s">
        <v>47</v>
      </c>
      <c r="I5385" t="s">
        <v>2195</v>
      </c>
      <c r="J5385" s="10">
        <v>2</v>
      </c>
      <c r="K5385" t="b">
        <v>1</v>
      </c>
    </row>
    <row r="5386" spans="1:11">
      <c r="A5386" s="12">
        <v>42314</v>
      </c>
      <c r="B5386">
        <v>2015</v>
      </c>
      <c r="C5386">
        <v>11</v>
      </c>
      <c r="D5386" s="11">
        <v>42309</v>
      </c>
      <c r="E5386" t="s">
        <v>2183</v>
      </c>
      <c r="F5386">
        <v>5</v>
      </c>
      <c r="G5386" t="s">
        <v>55</v>
      </c>
      <c r="H5386" t="s">
        <v>40</v>
      </c>
      <c r="I5386" t="s">
        <v>2188</v>
      </c>
      <c r="J5386" s="10">
        <v>3.33</v>
      </c>
      <c r="K5386" t="b">
        <v>1</v>
      </c>
    </row>
    <row r="5387" spans="1:11">
      <c r="A5387" s="12">
        <v>42314</v>
      </c>
      <c r="B5387">
        <v>2015</v>
      </c>
      <c r="C5387">
        <v>11</v>
      </c>
      <c r="D5387" s="11">
        <v>42309</v>
      </c>
      <c r="E5387" t="s">
        <v>2183</v>
      </c>
      <c r="F5387">
        <v>5</v>
      </c>
      <c r="G5387" t="s">
        <v>55</v>
      </c>
      <c r="H5387" t="s">
        <v>41</v>
      </c>
      <c r="I5387" t="s">
        <v>2189</v>
      </c>
      <c r="J5387" s="10">
        <v>6.736</v>
      </c>
      <c r="K5387" t="b">
        <v>1</v>
      </c>
    </row>
    <row r="5388" spans="1:11">
      <c r="A5388" s="12">
        <v>42314</v>
      </c>
      <c r="B5388">
        <v>2015</v>
      </c>
      <c r="C5388">
        <v>11</v>
      </c>
      <c r="D5388" s="11">
        <v>42309</v>
      </c>
      <c r="E5388" t="s">
        <v>2183</v>
      </c>
      <c r="F5388">
        <v>5</v>
      </c>
      <c r="G5388" t="s">
        <v>55</v>
      </c>
      <c r="H5388" t="s">
        <v>42</v>
      </c>
      <c r="I5388" t="s">
        <v>2190</v>
      </c>
      <c r="J5388" s="10">
        <v>4</v>
      </c>
      <c r="K5388" t="b">
        <v>1</v>
      </c>
    </row>
    <row r="5389" spans="1:11">
      <c r="A5389" s="12">
        <v>42314</v>
      </c>
      <c r="B5389">
        <v>2015</v>
      </c>
      <c r="C5389">
        <v>11</v>
      </c>
      <c r="D5389" s="11">
        <v>42309</v>
      </c>
      <c r="E5389" t="s">
        <v>2183</v>
      </c>
      <c r="F5389">
        <v>5</v>
      </c>
      <c r="G5389" t="s">
        <v>55</v>
      </c>
      <c r="H5389" t="s">
        <v>43</v>
      </c>
      <c r="I5389" t="s">
        <v>2191</v>
      </c>
      <c r="J5389" s="10">
        <v>31.475</v>
      </c>
      <c r="K5389" t="b">
        <v>1</v>
      </c>
    </row>
    <row r="5390" spans="1:11">
      <c r="A5390" s="12">
        <v>42314</v>
      </c>
      <c r="B5390">
        <v>2015</v>
      </c>
      <c r="C5390">
        <v>11</v>
      </c>
      <c r="D5390" s="11">
        <v>42309</v>
      </c>
      <c r="E5390" t="s">
        <v>2183</v>
      </c>
      <c r="F5390">
        <v>5</v>
      </c>
      <c r="G5390" t="s">
        <v>55</v>
      </c>
      <c r="H5390" t="s">
        <v>44</v>
      </c>
      <c r="I5390" t="s">
        <v>2192</v>
      </c>
      <c r="J5390" s="10">
        <v>5</v>
      </c>
      <c r="K5390" t="b">
        <v>1</v>
      </c>
    </row>
    <row r="5391" spans="1:11">
      <c r="A5391" s="12">
        <v>42314</v>
      </c>
      <c r="B5391">
        <v>2015</v>
      </c>
      <c r="C5391">
        <v>11</v>
      </c>
      <c r="D5391" s="11">
        <v>42309</v>
      </c>
      <c r="E5391" t="s">
        <v>2183</v>
      </c>
      <c r="F5391">
        <v>5</v>
      </c>
      <c r="G5391" t="s">
        <v>55</v>
      </c>
      <c r="H5391" t="s">
        <v>45</v>
      </c>
      <c r="I5391" t="s">
        <v>2193</v>
      </c>
      <c r="J5391" s="10">
        <v>2</v>
      </c>
      <c r="K5391" t="b">
        <v>1</v>
      </c>
    </row>
    <row r="5392" spans="1:11">
      <c r="A5392" s="12">
        <v>42314</v>
      </c>
      <c r="B5392">
        <v>2015</v>
      </c>
      <c r="C5392">
        <v>11</v>
      </c>
      <c r="D5392" s="11">
        <v>42309</v>
      </c>
      <c r="E5392" t="s">
        <v>2183</v>
      </c>
      <c r="F5392">
        <v>5</v>
      </c>
      <c r="G5392" t="s">
        <v>55</v>
      </c>
      <c r="H5392" t="s">
        <v>46</v>
      </c>
      <c r="I5392" t="s">
        <v>2194</v>
      </c>
      <c r="J5392" s="10">
        <v>1</v>
      </c>
      <c r="K5392" t="b">
        <v>1</v>
      </c>
    </row>
    <row r="5393" spans="1:11">
      <c r="A5393" s="12">
        <v>42314</v>
      </c>
      <c r="B5393">
        <v>2015</v>
      </c>
      <c r="C5393">
        <v>11</v>
      </c>
      <c r="D5393" s="11">
        <v>42309</v>
      </c>
      <c r="E5393" t="s">
        <v>2183</v>
      </c>
      <c r="F5393">
        <v>5</v>
      </c>
      <c r="G5393" t="s">
        <v>55</v>
      </c>
      <c r="H5393" t="s">
        <v>47</v>
      </c>
      <c r="I5393" t="s">
        <v>2195</v>
      </c>
      <c r="J5393" s="10">
        <v>0</v>
      </c>
      <c r="K5393" t="b">
        <v>1</v>
      </c>
    </row>
    <row r="5394" spans="1:11">
      <c r="A5394" s="12">
        <v>42315</v>
      </c>
      <c r="B5394">
        <v>2015</v>
      </c>
      <c r="C5394">
        <v>11</v>
      </c>
      <c r="D5394" s="11">
        <v>42309</v>
      </c>
      <c r="E5394" t="s">
        <v>2183</v>
      </c>
      <c r="F5394">
        <v>6</v>
      </c>
      <c r="G5394" t="s">
        <v>57</v>
      </c>
      <c r="H5394" t="s">
        <v>40</v>
      </c>
      <c r="I5394" t="s">
        <v>2188</v>
      </c>
      <c r="J5394" s="10">
        <v>4</v>
      </c>
      <c r="K5394" t="b">
        <v>1</v>
      </c>
    </row>
    <row r="5395" spans="1:11">
      <c r="A5395" s="12">
        <v>42315</v>
      </c>
      <c r="B5395">
        <v>2015</v>
      </c>
      <c r="C5395">
        <v>11</v>
      </c>
      <c r="D5395" s="11">
        <v>42309</v>
      </c>
      <c r="E5395" t="s">
        <v>2183</v>
      </c>
      <c r="F5395">
        <v>6</v>
      </c>
      <c r="G5395" t="s">
        <v>57</v>
      </c>
      <c r="H5395" t="s">
        <v>41</v>
      </c>
      <c r="I5395" t="s">
        <v>2189</v>
      </c>
      <c r="J5395" s="10">
        <v>3.11</v>
      </c>
      <c r="K5395" t="b">
        <v>1</v>
      </c>
    </row>
    <row r="5396" spans="1:11">
      <c r="A5396" s="12">
        <v>42315</v>
      </c>
      <c r="B5396">
        <v>2015</v>
      </c>
      <c r="C5396">
        <v>11</v>
      </c>
      <c r="D5396" s="11">
        <v>42309</v>
      </c>
      <c r="E5396" t="s">
        <v>2183</v>
      </c>
      <c r="F5396">
        <v>6</v>
      </c>
      <c r="G5396" t="s">
        <v>57</v>
      </c>
      <c r="H5396" t="s">
        <v>42</v>
      </c>
      <c r="I5396" t="s">
        <v>2190</v>
      </c>
      <c r="J5396" s="10">
        <v>4.8</v>
      </c>
      <c r="K5396" t="b">
        <v>1</v>
      </c>
    </row>
    <row r="5397" spans="1:11">
      <c r="A5397" s="12">
        <v>42315</v>
      </c>
      <c r="B5397">
        <v>2015</v>
      </c>
      <c r="C5397">
        <v>11</v>
      </c>
      <c r="D5397" s="11">
        <v>42309</v>
      </c>
      <c r="E5397" t="s">
        <v>2183</v>
      </c>
      <c r="F5397">
        <v>6</v>
      </c>
      <c r="G5397" t="s">
        <v>57</v>
      </c>
      <c r="H5397" t="s">
        <v>43</v>
      </c>
      <c r="I5397" t="s">
        <v>2191</v>
      </c>
      <c r="J5397" s="10">
        <v>69.90000000000001</v>
      </c>
      <c r="K5397" t="b">
        <v>1</v>
      </c>
    </row>
    <row r="5398" spans="1:11">
      <c r="A5398" s="12">
        <v>42315</v>
      </c>
      <c r="B5398">
        <v>2015</v>
      </c>
      <c r="C5398">
        <v>11</v>
      </c>
      <c r="D5398" s="11">
        <v>42309</v>
      </c>
      <c r="E5398" t="s">
        <v>2183</v>
      </c>
      <c r="F5398">
        <v>6</v>
      </c>
      <c r="G5398" t="s">
        <v>57</v>
      </c>
      <c r="H5398" t="s">
        <v>44</v>
      </c>
      <c r="I5398" t="s">
        <v>2192</v>
      </c>
      <c r="J5398" s="10">
        <v>15</v>
      </c>
      <c r="K5398" t="b">
        <v>1</v>
      </c>
    </row>
    <row r="5399" spans="1:11">
      <c r="A5399" s="12">
        <v>42315</v>
      </c>
      <c r="B5399">
        <v>2015</v>
      </c>
      <c r="C5399">
        <v>11</v>
      </c>
      <c r="D5399" s="11">
        <v>42309</v>
      </c>
      <c r="E5399" t="s">
        <v>2183</v>
      </c>
      <c r="F5399">
        <v>6</v>
      </c>
      <c r="G5399" t="s">
        <v>57</v>
      </c>
      <c r="H5399" t="s">
        <v>45</v>
      </c>
      <c r="I5399" t="s">
        <v>2193</v>
      </c>
      <c r="J5399" s="10">
        <v>1</v>
      </c>
      <c r="K5399" t="b">
        <v>1</v>
      </c>
    </row>
    <row r="5400" spans="1:11">
      <c r="A5400" s="12">
        <v>42315</v>
      </c>
      <c r="B5400">
        <v>2015</v>
      </c>
      <c r="C5400">
        <v>11</v>
      </c>
      <c r="D5400" s="11">
        <v>42309</v>
      </c>
      <c r="E5400" t="s">
        <v>2183</v>
      </c>
      <c r="F5400">
        <v>6</v>
      </c>
      <c r="G5400" t="s">
        <v>57</v>
      </c>
      <c r="H5400" t="s">
        <v>46</v>
      </c>
      <c r="I5400" t="s">
        <v>2194</v>
      </c>
      <c r="J5400" s="10">
        <v>6</v>
      </c>
      <c r="K5400" t="b">
        <v>1</v>
      </c>
    </row>
    <row r="5401" spans="1:11">
      <c r="A5401" s="12">
        <v>42315</v>
      </c>
      <c r="B5401">
        <v>2015</v>
      </c>
      <c r="C5401">
        <v>11</v>
      </c>
      <c r="D5401" s="11">
        <v>42309</v>
      </c>
      <c r="E5401" t="s">
        <v>2183</v>
      </c>
      <c r="F5401">
        <v>6</v>
      </c>
      <c r="G5401" t="s">
        <v>57</v>
      </c>
      <c r="H5401" t="s">
        <v>47</v>
      </c>
      <c r="I5401" t="s">
        <v>2195</v>
      </c>
      <c r="J5401" s="10">
        <v>1</v>
      </c>
      <c r="K5401" t="b">
        <v>1</v>
      </c>
    </row>
    <row r="5402" spans="1:11">
      <c r="A5402" s="12">
        <v>42316</v>
      </c>
      <c r="B5402">
        <v>2015</v>
      </c>
      <c r="C5402">
        <v>11</v>
      </c>
      <c r="D5402" s="11">
        <v>42309</v>
      </c>
      <c r="E5402" t="s">
        <v>2183</v>
      </c>
      <c r="F5402">
        <v>7</v>
      </c>
      <c r="G5402" t="s">
        <v>59</v>
      </c>
      <c r="H5402" t="s">
        <v>40</v>
      </c>
      <c r="I5402" t="s">
        <v>2188</v>
      </c>
      <c r="J5402" s="10">
        <v>6.33</v>
      </c>
      <c r="K5402" t="b">
        <v>1</v>
      </c>
    </row>
    <row r="5403" spans="1:11">
      <c r="A5403" s="12">
        <v>42316</v>
      </c>
      <c r="B5403">
        <v>2015</v>
      </c>
      <c r="C5403">
        <v>11</v>
      </c>
      <c r="D5403" s="11">
        <v>42309</v>
      </c>
      <c r="E5403" t="s">
        <v>2183</v>
      </c>
      <c r="F5403">
        <v>7</v>
      </c>
      <c r="G5403" t="s">
        <v>59</v>
      </c>
      <c r="H5403" t="s">
        <v>41</v>
      </c>
      <c r="I5403" t="s">
        <v>2189</v>
      </c>
      <c r="J5403" s="10">
        <v>3.67</v>
      </c>
      <c r="K5403" t="b">
        <v>1</v>
      </c>
    </row>
    <row r="5404" spans="1:11">
      <c r="A5404" s="12">
        <v>42316</v>
      </c>
      <c r="B5404">
        <v>2015</v>
      </c>
      <c r="C5404">
        <v>11</v>
      </c>
      <c r="D5404" s="11">
        <v>42309</v>
      </c>
      <c r="E5404" t="s">
        <v>2183</v>
      </c>
      <c r="F5404">
        <v>7</v>
      </c>
      <c r="G5404" t="s">
        <v>59</v>
      </c>
      <c r="H5404" t="s">
        <v>42</v>
      </c>
      <c r="I5404" t="s">
        <v>2190</v>
      </c>
      <c r="J5404" s="10">
        <v>7.2</v>
      </c>
      <c r="K5404" t="b">
        <v>1</v>
      </c>
    </row>
    <row r="5405" spans="1:11">
      <c r="A5405" s="12">
        <v>42316</v>
      </c>
      <c r="B5405">
        <v>2015</v>
      </c>
      <c r="C5405">
        <v>11</v>
      </c>
      <c r="D5405" s="11">
        <v>42309</v>
      </c>
      <c r="E5405" t="s">
        <v>2183</v>
      </c>
      <c r="F5405">
        <v>7</v>
      </c>
      <c r="G5405" t="s">
        <v>59</v>
      </c>
      <c r="H5405" t="s">
        <v>43</v>
      </c>
      <c r="I5405" t="s">
        <v>2191</v>
      </c>
      <c r="J5405" s="10">
        <v>48.6</v>
      </c>
      <c r="K5405" t="b">
        <v>1</v>
      </c>
    </row>
    <row r="5406" spans="1:11">
      <c r="A5406" s="12">
        <v>42316</v>
      </c>
      <c r="B5406">
        <v>2015</v>
      </c>
      <c r="C5406">
        <v>11</v>
      </c>
      <c r="D5406" s="11">
        <v>42309</v>
      </c>
      <c r="E5406" t="s">
        <v>2183</v>
      </c>
      <c r="F5406">
        <v>7</v>
      </c>
      <c r="G5406" t="s">
        <v>59</v>
      </c>
      <c r="H5406" t="s">
        <v>44</v>
      </c>
      <c r="I5406" t="s">
        <v>2192</v>
      </c>
      <c r="J5406" s="10">
        <v>7</v>
      </c>
      <c r="K5406" t="b">
        <v>1</v>
      </c>
    </row>
    <row r="5407" spans="1:11">
      <c r="A5407" s="12">
        <v>42316</v>
      </c>
      <c r="B5407">
        <v>2015</v>
      </c>
      <c r="C5407">
        <v>11</v>
      </c>
      <c r="D5407" s="11">
        <v>42309</v>
      </c>
      <c r="E5407" t="s">
        <v>2183</v>
      </c>
      <c r="F5407">
        <v>7</v>
      </c>
      <c r="G5407" t="s">
        <v>59</v>
      </c>
      <c r="H5407" t="s">
        <v>45</v>
      </c>
      <c r="I5407" t="s">
        <v>2193</v>
      </c>
      <c r="J5407" s="10">
        <v>0</v>
      </c>
      <c r="K5407" t="b">
        <v>1</v>
      </c>
    </row>
    <row r="5408" spans="1:11">
      <c r="A5408" s="12">
        <v>42316</v>
      </c>
      <c r="B5408">
        <v>2015</v>
      </c>
      <c r="C5408">
        <v>11</v>
      </c>
      <c r="D5408" s="11">
        <v>42309</v>
      </c>
      <c r="E5408" t="s">
        <v>2183</v>
      </c>
      <c r="F5408">
        <v>7</v>
      </c>
      <c r="G5408" t="s">
        <v>59</v>
      </c>
      <c r="H5408" t="s">
        <v>46</v>
      </c>
      <c r="I5408" t="s">
        <v>2194</v>
      </c>
      <c r="J5408" s="10">
        <v>13</v>
      </c>
      <c r="K5408" t="b">
        <v>1</v>
      </c>
    </row>
    <row r="5409" spans="1:11">
      <c r="A5409" s="12">
        <v>42316</v>
      </c>
      <c r="B5409">
        <v>2015</v>
      </c>
      <c r="C5409">
        <v>11</v>
      </c>
      <c r="D5409" s="11">
        <v>42309</v>
      </c>
      <c r="E5409" t="s">
        <v>2183</v>
      </c>
      <c r="F5409">
        <v>7</v>
      </c>
      <c r="G5409" t="s">
        <v>59</v>
      </c>
      <c r="H5409" t="s">
        <v>47</v>
      </c>
      <c r="I5409" t="s">
        <v>2195</v>
      </c>
      <c r="J5409" s="10">
        <v>1</v>
      </c>
      <c r="K5409" t="b">
        <v>1</v>
      </c>
    </row>
    <row r="5410" spans="1:11">
      <c r="A5410" s="12">
        <v>42317</v>
      </c>
      <c r="B5410">
        <v>2015</v>
      </c>
      <c r="C5410">
        <v>11</v>
      </c>
      <c r="D5410" s="11">
        <v>42309</v>
      </c>
      <c r="E5410" t="s">
        <v>2183</v>
      </c>
      <c r="F5410">
        <v>1</v>
      </c>
      <c r="G5410" t="s">
        <v>61</v>
      </c>
      <c r="H5410" t="s">
        <v>40</v>
      </c>
      <c r="I5410" t="s">
        <v>2188</v>
      </c>
      <c r="J5410" s="10">
        <v>3.66</v>
      </c>
      <c r="K5410" t="b">
        <v>1</v>
      </c>
    </row>
    <row r="5411" spans="1:11">
      <c r="A5411" s="12">
        <v>42317</v>
      </c>
      <c r="B5411">
        <v>2015</v>
      </c>
      <c r="C5411">
        <v>11</v>
      </c>
      <c r="D5411" s="11">
        <v>42309</v>
      </c>
      <c r="E5411" t="s">
        <v>2183</v>
      </c>
      <c r="F5411">
        <v>1</v>
      </c>
      <c r="G5411" t="s">
        <v>61</v>
      </c>
      <c r="H5411" t="s">
        <v>41</v>
      </c>
      <c r="I5411" t="s">
        <v>2189</v>
      </c>
      <c r="J5411" s="10">
        <v>6.198</v>
      </c>
      <c r="K5411" t="b">
        <v>1</v>
      </c>
    </row>
    <row r="5412" spans="1:11">
      <c r="A5412" s="12">
        <v>42317</v>
      </c>
      <c r="B5412">
        <v>2015</v>
      </c>
      <c r="C5412">
        <v>11</v>
      </c>
      <c r="D5412" s="11">
        <v>42309</v>
      </c>
      <c r="E5412" t="s">
        <v>2183</v>
      </c>
      <c r="F5412">
        <v>1</v>
      </c>
      <c r="G5412" t="s">
        <v>61</v>
      </c>
      <c r="H5412" t="s">
        <v>42</v>
      </c>
      <c r="I5412" t="s">
        <v>2190</v>
      </c>
      <c r="J5412" s="10">
        <v>4.2</v>
      </c>
      <c r="K5412" t="b">
        <v>1</v>
      </c>
    </row>
    <row r="5413" spans="1:11">
      <c r="A5413" s="12">
        <v>42317</v>
      </c>
      <c r="B5413">
        <v>2015</v>
      </c>
      <c r="C5413">
        <v>11</v>
      </c>
      <c r="D5413" s="11">
        <v>42309</v>
      </c>
      <c r="E5413" t="s">
        <v>2183</v>
      </c>
      <c r="F5413">
        <v>1</v>
      </c>
      <c r="G5413" t="s">
        <v>61</v>
      </c>
      <c r="H5413" t="s">
        <v>43</v>
      </c>
      <c r="I5413" t="s">
        <v>2191</v>
      </c>
      <c r="J5413" s="10">
        <v>40.75</v>
      </c>
      <c r="K5413" t="b">
        <v>1</v>
      </c>
    </row>
    <row r="5414" spans="1:11">
      <c r="A5414" s="12">
        <v>42317</v>
      </c>
      <c r="B5414">
        <v>2015</v>
      </c>
      <c r="C5414">
        <v>11</v>
      </c>
      <c r="D5414" s="11">
        <v>42309</v>
      </c>
      <c r="E5414" t="s">
        <v>2183</v>
      </c>
      <c r="F5414">
        <v>1</v>
      </c>
      <c r="G5414" t="s">
        <v>61</v>
      </c>
      <c r="H5414" t="s">
        <v>44</v>
      </c>
      <c r="I5414" t="s">
        <v>2192</v>
      </c>
      <c r="J5414" s="10">
        <v>3</v>
      </c>
      <c r="K5414" t="b">
        <v>1</v>
      </c>
    </row>
    <row r="5415" spans="1:11">
      <c r="A5415" s="12">
        <v>42317</v>
      </c>
      <c r="B5415">
        <v>2015</v>
      </c>
      <c r="C5415">
        <v>11</v>
      </c>
      <c r="D5415" s="11">
        <v>42309</v>
      </c>
      <c r="E5415" t="s">
        <v>2183</v>
      </c>
      <c r="F5415">
        <v>1</v>
      </c>
      <c r="G5415" t="s">
        <v>61</v>
      </c>
      <c r="H5415" t="s">
        <v>45</v>
      </c>
      <c r="I5415" t="s">
        <v>2193</v>
      </c>
      <c r="J5415" s="10">
        <v>1</v>
      </c>
      <c r="K5415" t="b">
        <v>1</v>
      </c>
    </row>
    <row r="5416" spans="1:11">
      <c r="A5416" s="12">
        <v>42317</v>
      </c>
      <c r="B5416">
        <v>2015</v>
      </c>
      <c r="C5416">
        <v>11</v>
      </c>
      <c r="D5416" s="11">
        <v>42309</v>
      </c>
      <c r="E5416" t="s">
        <v>2183</v>
      </c>
      <c r="F5416">
        <v>1</v>
      </c>
      <c r="G5416" t="s">
        <v>61</v>
      </c>
      <c r="H5416" t="s">
        <v>46</v>
      </c>
      <c r="I5416" t="s">
        <v>2194</v>
      </c>
      <c r="J5416" s="10">
        <v>12</v>
      </c>
      <c r="K5416" t="b">
        <v>1</v>
      </c>
    </row>
    <row r="5417" spans="1:11">
      <c r="A5417" s="12">
        <v>42317</v>
      </c>
      <c r="B5417">
        <v>2015</v>
      </c>
      <c r="C5417">
        <v>11</v>
      </c>
      <c r="D5417" s="11">
        <v>42309</v>
      </c>
      <c r="E5417" t="s">
        <v>2183</v>
      </c>
      <c r="F5417">
        <v>1</v>
      </c>
      <c r="G5417" t="s">
        <v>61</v>
      </c>
      <c r="H5417" t="s">
        <v>47</v>
      </c>
      <c r="I5417" t="s">
        <v>2195</v>
      </c>
      <c r="J5417" s="10">
        <v>1</v>
      </c>
      <c r="K5417" t="b">
        <v>1</v>
      </c>
    </row>
    <row r="5418" spans="1:11">
      <c r="A5418" s="12">
        <v>42318</v>
      </c>
      <c r="B5418">
        <v>2015</v>
      </c>
      <c r="C5418">
        <v>11</v>
      </c>
      <c r="D5418" s="11">
        <v>42309</v>
      </c>
      <c r="E5418" t="s">
        <v>2183</v>
      </c>
      <c r="F5418">
        <v>2</v>
      </c>
      <c r="G5418" t="s">
        <v>63</v>
      </c>
      <c r="H5418" t="s">
        <v>40</v>
      </c>
      <c r="I5418" t="s">
        <v>2188</v>
      </c>
      <c r="J5418" s="10">
        <v>6.33</v>
      </c>
      <c r="K5418" t="b">
        <v>1</v>
      </c>
    </row>
    <row r="5419" spans="1:11">
      <c r="A5419" s="12">
        <v>42318</v>
      </c>
      <c r="B5419">
        <v>2015</v>
      </c>
      <c r="C5419">
        <v>11</v>
      </c>
      <c r="D5419" s="11">
        <v>42309</v>
      </c>
      <c r="E5419" t="s">
        <v>2183</v>
      </c>
      <c r="F5419">
        <v>2</v>
      </c>
      <c r="G5419" t="s">
        <v>63</v>
      </c>
      <c r="H5419" t="s">
        <v>41</v>
      </c>
      <c r="I5419" t="s">
        <v>2189</v>
      </c>
      <c r="J5419" s="10">
        <v>7.482</v>
      </c>
      <c r="K5419" t="b">
        <v>1</v>
      </c>
    </row>
    <row r="5420" spans="1:11">
      <c r="A5420" s="12">
        <v>42318</v>
      </c>
      <c r="B5420">
        <v>2015</v>
      </c>
      <c r="C5420">
        <v>11</v>
      </c>
      <c r="D5420" s="11">
        <v>42309</v>
      </c>
      <c r="E5420" t="s">
        <v>2183</v>
      </c>
      <c r="F5420">
        <v>2</v>
      </c>
      <c r="G5420" t="s">
        <v>63</v>
      </c>
      <c r="H5420" t="s">
        <v>42</v>
      </c>
      <c r="I5420" t="s">
        <v>2190</v>
      </c>
      <c r="J5420" s="10">
        <v>10</v>
      </c>
      <c r="K5420" t="b">
        <v>1</v>
      </c>
    </row>
    <row r="5421" spans="1:11">
      <c r="A5421" s="12">
        <v>42318</v>
      </c>
      <c r="B5421">
        <v>2015</v>
      </c>
      <c r="C5421">
        <v>11</v>
      </c>
      <c r="D5421" s="11">
        <v>42309</v>
      </c>
      <c r="E5421" t="s">
        <v>2183</v>
      </c>
      <c r="F5421">
        <v>2</v>
      </c>
      <c r="G5421" t="s">
        <v>63</v>
      </c>
      <c r="H5421" t="s">
        <v>43</v>
      </c>
      <c r="I5421" t="s">
        <v>2191</v>
      </c>
      <c r="J5421" s="10">
        <v>41.2</v>
      </c>
      <c r="K5421" t="b">
        <v>1</v>
      </c>
    </row>
    <row r="5422" spans="1:11">
      <c r="A5422" s="12">
        <v>42318</v>
      </c>
      <c r="B5422">
        <v>2015</v>
      </c>
      <c r="C5422">
        <v>11</v>
      </c>
      <c r="D5422" s="11">
        <v>42309</v>
      </c>
      <c r="E5422" t="s">
        <v>2183</v>
      </c>
      <c r="F5422">
        <v>2</v>
      </c>
      <c r="G5422" t="s">
        <v>63</v>
      </c>
      <c r="H5422" t="s">
        <v>44</v>
      </c>
      <c r="I5422" t="s">
        <v>2192</v>
      </c>
      <c r="J5422" s="10">
        <v>8</v>
      </c>
      <c r="K5422" t="b">
        <v>1</v>
      </c>
    </row>
    <row r="5423" spans="1:11">
      <c r="A5423" s="12">
        <v>42318</v>
      </c>
      <c r="B5423">
        <v>2015</v>
      </c>
      <c r="C5423">
        <v>11</v>
      </c>
      <c r="D5423" s="11">
        <v>42309</v>
      </c>
      <c r="E5423" t="s">
        <v>2183</v>
      </c>
      <c r="F5423">
        <v>2</v>
      </c>
      <c r="G5423" t="s">
        <v>63</v>
      </c>
      <c r="H5423" t="s">
        <v>45</v>
      </c>
      <c r="I5423" t="s">
        <v>2193</v>
      </c>
      <c r="J5423" s="10">
        <v>0</v>
      </c>
      <c r="K5423" t="b">
        <v>1</v>
      </c>
    </row>
    <row r="5424" spans="1:11">
      <c r="A5424" s="12">
        <v>42318</v>
      </c>
      <c r="B5424">
        <v>2015</v>
      </c>
      <c r="C5424">
        <v>11</v>
      </c>
      <c r="D5424" s="11">
        <v>42309</v>
      </c>
      <c r="E5424" t="s">
        <v>2183</v>
      </c>
      <c r="F5424">
        <v>2</v>
      </c>
      <c r="G5424" t="s">
        <v>63</v>
      </c>
      <c r="H5424" t="s">
        <v>46</v>
      </c>
      <c r="I5424" t="s">
        <v>2194</v>
      </c>
      <c r="J5424" s="10">
        <v>9</v>
      </c>
      <c r="K5424" t="b">
        <v>1</v>
      </c>
    </row>
    <row r="5425" spans="1:11">
      <c r="A5425" s="12">
        <v>42318</v>
      </c>
      <c r="B5425">
        <v>2015</v>
      </c>
      <c r="C5425">
        <v>11</v>
      </c>
      <c r="D5425" s="11">
        <v>42309</v>
      </c>
      <c r="E5425" t="s">
        <v>2183</v>
      </c>
      <c r="F5425">
        <v>2</v>
      </c>
      <c r="G5425" t="s">
        <v>63</v>
      </c>
      <c r="H5425" t="s">
        <v>47</v>
      </c>
      <c r="I5425" t="s">
        <v>2195</v>
      </c>
      <c r="J5425" s="10">
        <v>2</v>
      </c>
      <c r="K5425" t="b">
        <v>1</v>
      </c>
    </row>
    <row r="5426" spans="1:11">
      <c r="A5426" s="12">
        <v>42319</v>
      </c>
      <c r="B5426">
        <v>2015</v>
      </c>
      <c r="C5426">
        <v>11</v>
      </c>
      <c r="D5426" s="11">
        <v>42309</v>
      </c>
      <c r="E5426" t="s">
        <v>2183</v>
      </c>
      <c r="F5426">
        <v>3</v>
      </c>
      <c r="G5426" t="s">
        <v>65</v>
      </c>
      <c r="H5426" t="s">
        <v>40</v>
      </c>
      <c r="I5426" t="s">
        <v>2188</v>
      </c>
      <c r="J5426" s="10">
        <v>9.66</v>
      </c>
      <c r="K5426" t="b">
        <v>1</v>
      </c>
    </row>
    <row r="5427" spans="1:11">
      <c r="A5427" s="12">
        <v>42319</v>
      </c>
      <c r="B5427">
        <v>2015</v>
      </c>
      <c r="C5427">
        <v>11</v>
      </c>
      <c r="D5427" s="11">
        <v>42309</v>
      </c>
      <c r="E5427" t="s">
        <v>2183</v>
      </c>
      <c r="F5427">
        <v>3</v>
      </c>
      <c r="G5427" t="s">
        <v>65</v>
      </c>
      <c r="H5427" t="s">
        <v>41</v>
      </c>
      <c r="I5427" t="s">
        <v>2189</v>
      </c>
      <c r="J5427" s="10">
        <v>5.34</v>
      </c>
      <c r="K5427" t="b">
        <v>1</v>
      </c>
    </row>
    <row r="5428" spans="1:11">
      <c r="A5428" s="12">
        <v>42319</v>
      </c>
      <c r="B5428">
        <v>2015</v>
      </c>
      <c r="C5428">
        <v>11</v>
      </c>
      <c r="D5428" s="11">
        <v>42309</v>
      </c>
      <c r="E5428" t="s">
        <v>2183</v>
      </c>
      <c r="F5428">
        <v>3</v>
      </c>
      <c r="G5428" t="s">
        <v>65</v>
      </c>
      <c r="H5428" t="s">
        <v>42</v>
      </c>
      <c r="I5428" t="s">
        <v>2190</v>
      </c>
      <c r="J5428" s="10">
        <v>7.2</v>
      </c>
      <c r="K5428" t="b">
        <v>1</v>
      </c>
    </row>
    <row r="5429" spans="1:11">
      <c r="A5429" s="12">
        <v>42319</v>
      </c>
      <c r="B5429">
        <v>2015</v>
      </c>
      <c r="C5429">
        <v>11</v>
      </c>
      <c r="D5429" s="11">
        <v>42309</v>
      </c>
      <c r="E5429" t="s">
        <v>2183</v>
      </c>
      <c r="F5429">
        <v>3</v>
      </c>
      <c r="G5429" t="s">
        <v>65</v>
      </c>
      <c r="H5429" t="s">
        <v>43</v>
      </c>
      <c r="I5429" t="s">
        <v>2191</v>
      </c>
      <c r="J5429" s="10">
        <v>60</v>
      </c>
      <c r="K5429" t="b">
        <v>1</v>
      </c>
    </row>
    <row r="5430" spans="1:11">
      <c r="A5430" s="12">
        <v>42319</v>
      </c>
      <c r="B5430">
        <v>2015</v>
      </c>
      <c r="C5430">
        <v>11</v>
      </c>
      <c r="D5430" s="11">
        <v>42309</v>
      </c>
      <c r="E5430" t="s">
        <v>2183</v>
      </c>
      <c r="F5430">
        <v>3</v>
      </c>
      <c r="G5430" t="s">
        <v>65</v>
      </c>
      <c r="H5430" t="s">
        <v>44</v>
      </c>
      <c r="I5430" t="s">
        <v>2192</v>
      </c>
      <c r="J5430" s="10">
        <v>4</v>
      </c>
      <c r="K5430" t="b">
        <v>1</v>
      </c>
    </row>
    <row r="5431" spans="1:11">
      <c r="A5431" s="12">
        <v>42319</v>
      </c>
      <c r="B5431">
        <v>2015</v>
      </c>
      <c r="C5431">
        <v>11</v>
      </c>
      <c r="D5431" s="11">
        <v>42309</v>
      </c>
      <c r="E5431" t="s">
        <v>2183</v>
      </c>
      <c r="F5431">
        <v>3</v>
      </c>
      <c r="G5431" t="s">
        <v>65</v>
      </c>
      <c r="H5431" t="s">
        <v>45</v>
      </c>
      <c r="I5431" t="s">
        <v>2193</v>
      </c>
      <c r="J5431" s="10">
        <v>0</v>
      </c>
      <c r="K5431" t="b">
        <v>1</v>
      </c>
    </row>
    <row r="5432" spans="1:11">
      <c r="A5432" s="12">
        <v>42319</v>
      </c>
      <c r="B5432">
        <v>2015</v>
      </c>
      <c r="C5432">
        <v>11</v>
      </c>
      <c r="D5432" s="11">
        <v>42309</v>
      </c>
      <c r="E5432" t="s">
        <v>2183</v>
      </c>
      <c r="F5432">
        <v>3</v>
      </c>
      <c r="G5432" t="s">
        <v>65</v>
      </c>
      <c r="H5432" t="s">
        <v>46</v>
      </c>
      <c r="I5432" t="s">
        <v>2194</v>
      </c>
      <c r="J5432" s="10">
        <v>12</v>
      </c>
      <c r="K5432" t="b">
        <v>1</v>
      </c>
    </row>
    <row r="5433" spans="1:11">
      <c r="A5433" s="12">
        <v>42319</v>
      </c>
      <c r="B5433">
        <v>2015</v>
      </c>
      <c r="C5433">
        <v>11</v>
      </c>
      <c r="D5433" s="11">
        <v>42309</v>
      </c>
      <c r="E5433" t="s">
        <v>2183</v>
      </c>
      <c r="F5433">
        <v>3</v>
      </c>
      <c r="G5433" t="s">
        <v>65</v>
      </c>
      <c r="H5433" t="s">
        <v>47</v>
      </c>
      <c r="I5433" t="s">
        <v>2195</v>
      </c>
      <c r="J5433" s="10">
        <v>3</v>
      </c>
      <c r="K5433" t="b">
        <v>1</v>
      </c>
    </row>
    <row r="5434" spans="1:11">
      <c r="A5434" s="12">
        <v>42320</v>
      </c>
      <c r="B5434">
        <v>2015</v>
      </c>
      <c r="C5434">
        <v>11</v>
      </c>
      <c r="D5434" s="11">
        <v>42309</v>
      </c>
      <c r="E5434" t="s">
        <v>2183</v>
      </c>
      <c r="F5434">
        <v>4</v>
      </c>
      <c r="G5434" t="s">
        <v>53</v>
      </c>
      <c r="H5434" t="s">
        <v>40</v>
      </c>
      <c r="I5434" t="s">
        <v>2188</v>
      </c>
      <c r="J5434" s="10">
        <v>6</v>
      </c>
      <c r="K5434" t="b">
        <v>1</v>
      </c>
    </row>
    <row r="5435" spans="1:11">
      <c r="A5435" s="12">
        <v>42320</v>
      </c>
      <c r="B5435">
        <v>2015</v>
      </c>
      <c r="C5435">
        <v>11</v>
      </c>
      <c r="D5435" s="11">
        <v>42309</v>
      </c>
      <c r="E5435" t="s">
        <v>2183</v>
      </c>
      <c r="F5435">
        <v>4</v>
      </c>
      <c r="G5435" t="s">
        <v>53</v>
      </c>
      <c r="H5435" t="s">
        <v>41</v>
      </c>
      <c r="I5435" t="s">
        <v>2189</v>
      </c>
      <c r="J5435" s="10">
        <v>4.33</v>
      </c>
      <c r="K5435" t="b">
        <v>1</v>
      </c>
    </row>
    <row r="5436" spans="1:11">
      <c r="A5436" s="12">
        <v>42320</v>
      </c>
      <c r="B5436">
        <v>2015</v>
      </c>
      <c r="C5436">
        <v>11</v>
      </c>
      <c r="D5436" s="11">
        <v>42309</v>
      </c>
      <c r="E5436" t="s">
        <v>2183</v>
      </c>
      <c r="F5436">
        <v>4</v>
      </c>
      <c r="G5436" t="s">
        <v>53</v>
      </c>
      <c r="H5436" t="s">
        <v>42</v>
      </c>
      <c r="I5436" t="s">
        <v>2190</v>
      </c>
      <c r="J5436" s="10">
        <v>6</v>
      </c>
      <c r="K5436" t="b">
        <v>1</v>
      </c>
    </row>
    <row r="5437" spans="1:11">
      <c r="A5437" s="12">
        <v>42320</v>
      </c>
      <c r="B5437">
        <v>2015</v>
      </c>
      <c r="C5437">
        <v>11</v>
      </c>
      <c r="D5437" s="11">
        <v>42309</v>
      </c>
      <c r="E5437" t="s">
        <v>2183</v>
      </c>
      <c r="F5437">
        <v>4</v>
      </c>
      <c r="G5437" t="s">
        <v>53</v>
      </c>
      <c r="H5437" t="s">
        <v>43</v>
      </c>
      <c r="I5437" t="s">
        <v>2191</v>
      </c>
      <c r="J5437" s="10">
        <v>24</v>
      </c>
      <c r="K5437" t="b">
        <v>1</v>
      </c>
    </row>
    <row r="5438" spans="1:11">
      <c r="A5438" s="12">
        <v>42320</v>
      </c>
      <c r="B5438">
        <v>2015</v>
      </c>
      <c r="C5438">
        <v>11</v>
      </c>
      <c r="D5438" s="11">
        <v>42309</v>
      </c>
      <c r="E5438" t="s">
        <v>2183</v>
      </c>
      <c r="F5438">
        <v>4</v>
      </c>
      <c r="G5438" t="s">
        <v>53</v>
      </c>
      <c r="H5438" t="s">
        <v>44</v>
      </c>
      <c r="I5438" t="s">
        <v>2192</v>
      </c>
      <c r="J5438" s="10">
        <v>11</v>
      </c>
      <c r="K5438" t="b">
        <v>1</v>
      </c>
    </row>
    <row r="5439" spans="1:11">
      <c r="A5439" s="12">
        <v>42320</v>
      </c>
      <c r="B5439">
        <v>2015</v>
      </c>
      <c r="C5439">
        <v>11</v>
      </c>
      <c r="D5439" s="11">
        <v>42309</v>
      </c>
      <c r="E5439" t="s">
        <v>2183</v>
      </c>
      <c r="F5439">
        <v>4</v>
      </c>
      <c r="G5439" t="s">
        <v>53</v>
      </c>
      <c r="H5439" t="s">
        <v>45</v>
      </c>
      <c r="I5439" t="s">
        <v>2193</v>
      </c>
      <c r="J5439" s="10">
        <v>0</v>
      </c>
      <c r="K5439" t="b">
        <v>1</v>
      </c>
    </row>
    <row r="5440" spans="1:11">
      <c r="A5440" s="12">
        <v>42320</v>
      </c>
      <c r="B5440">
        <v>2015</v>
      </c>
      <c r="C5440">
        <v>11</v>
      </c>
      <c r="D5440" s="11">
        <v>42309</v>
      </c>
      <c r="E5440" t="s">
        <v>2183</v>
      </c>
      <c r="F5440">
        <v>4</v>
      </c>
      <c r="G5440" t="s">
        <v>53</v>
      </c>
      <c r="H5440" t="s">
        <v>46</v>
      </c>
      <c r="I5440" t="s">
        <v>2194</v>
      </c>
      <c r="J5440" s="10">
        <v>20</v>
      </c>
      <c r="K5440" t="b">
        <v>1</v>
      </c>
    </row>
    <row r="5441" spans="1:11">
      <c r="A5441" s="12">
        <v>42320</v>
      </c>
      <c r="B5441">
        <v>2015</v>
      </c>
      <c r="C5441">
        <v>11</v>
      </c>
      <c r="D5441" s="11">
        <v>42309</v>
      </c>
      <c r="E5441" t="s">
        <v>2183</v>
      </c>
      <c r="F5441">
        <v>4</v>
      </c>
      <c r="G5441" t="s">
        <v>53</v>
      </c>
      <c r="H5441" t="s">
        <v>47</v>
      </c>
      <c r="I5441" t="s">
        <v>2195</v>
      </c>
      <c r="J5441" s="10">
        <v>0</v>
      </c>
      <c r="K5441" t="b">
        <v>1</v>
      </c>
    </row>
    <row r="5442" spans="1:11">
      <c r="A5442" s="12">
        <v>42321</v>
      </c>
      <c r="B5442">
        <v>2015</v>
      </c>
      <c r="C5442">
        <v>11</v>
      </c>
      <c r="D5442" s="11">
        <v>42309</v>
      </c>
      <c r="E5442" t="s">
        <v>2183</v>
      </c>
      <c r="F5442">
        <v>5</v>
      </c>
      <c r="G5442" t="s">
        <v>55</v>
      </c>
      <c r="H5442" t="s">
        <v>40</v>
      </c>
      <c r="I5442" t="s">
        <v>2188</v>
      </c>
      <c r="J5442" s="10">
        <v>5</v>
      </c>
      <c r="K5442" t="b">
        <v>1</v>
      </c>
    </row>
    <row r="5443" spans="1:11">
      <c r="A5443" s="12">
        <v>42321</v>
      </c>
      <c r="B5443">
        <v>2015</v>
      </c>
      <c r="C5443">
        <v>11</v>
      </c>
      <c r="D5443" s="11">
        <v>42309</v>
      </c>
      <c r="E5443" t="s">
        <v>2183</v>
      </c>
      <c r="F5443">
        <v>5</v>
      </c>
      <c r="G5443" t="s">
        <v>55</v>
      </c>
      <c r="H5443" t="s">
        <v>41</v>
      </c>
      <c r="I5443" t="s">
        <v>2189</v>
      </c>
      <c r="J5443" s="10">
        <v>2.44</v>
      </c>
      <c r="K5443" t="b">
        <v>1</v>
      </c>
    </row>
    <row r="5444" spans="1:11">
      <c r="A5444" s="12">
        <v>42321</v>
      </c>
      <c r="B5444">
        <v>2015</v>
      </c>
      <c r="C5444">
        <v>11</v>
      </c>
      <c r="D5444" s="11">
        <v>42309</v>
      </c>
      <c r="E5444" t="s">
        <v>2183</v>
      </c>
      <c r="F5444">
        <v>5</v>
      </c>
      <c r="G5444" t="s">
        <v>55</v>
      </c>
      <c r="H5444" t="s">
        <v>42</v>
      </c>
      <c r="I5444" t="s">
        <v>2190</v>
      </c>
      <c r="J5444" s="10">
        <v>2</v>
      </c>
      <c r="K5444" t="b">
        <v>1</v>
      </c>
    </row>
    <row r="5445" spans="1:11">
      <c r="A5445" s="12">
        <v>42321</v>
      </c>
      <c r="B5445">
        <v>2015</v>
      </c>
      <c r="C5445">
        <v>11</v>
      </c>
      <c r="D5445" s="11">
        <v>42309</v>
      </c>
      <c r="E5445" t="s">
        <v>2183</v>
      </c>
      <c r="F5445">
        <v>5</v>
      </c>
      <c r="G5445" t="s">
        <v>55</v>
      </c>
      <c r="H5445" t="s">
        <v>43</v>
      </c>
      <c r="I5445" t="s">
        <v>2191</v>
      </c>
      <c r="J5445" s="10">
        <v>22</v>
      </c>
      <c r="K5445" t="b">
        <v>1</v>
      </c>
    </row>
    <row r="5446" spans="1:11">
      <c r="A5446" s="12">
        <v>42321</v>
      </c>
      <c r="B5446">
        <v>2015</v>
      </c>
      <c r="C5446">
        <v>11</v>
      </c>
      <c r="D5446" s="11">
        <v>42309</v>
      </c>
      <c r="E5446" t="s">
        <v>2183</v>
      </c>
      <c r="F5446">
        <v>5</v>
      </c>
      <c r="G5446" t="s">
        <v>55</v>
      </c>
      <c r="H5446" t="s">
        <v>44</v>
      </c>
      <c r="I5446" t="s">
        <v>2192</v>
      </c>
      <c r="J5446" s="10">
        <v>13</v>
      </c>
      <c r="K5446" t="b">
        <v>1</v>
      </c>
    </row>
    <row r="5447" spans="1:11">
      <c r="A5447" s="12">
        <v>42321</v>
      </c>
      <c r="B5447">
        <v>2015</v>
      </c>
      <c r="C5447">
        <v>11</v>
      </c>
      <c r="D5447" s="11">
        <v>42309</v>
      </c>
      <c r="E5447" t="s">
        <v>2183</v>
      </c>
      <c r="F5447">
        <v>5</v>
      </c>
      <c r="G5447" t="s">
        <v>55</v>
      </c>
      <c r="H5447" t="s">
        <v>45</v>
      </c>
      <c r="I5447" t="s">
        <v>2193</v>
      </c>
      <c r="J5447" s="10">
        <v>0</v>
      </c>
      <c r="K5447" t="b">
        <v>1</v>
      </c>
    </row>
    <row r="5448" spans="1:11">
      <c r="A5448" s="12">
        <v>42321</v>
      </c>
      <c r="B5448">
        <v>2015</v>
      </c>
      <c r="C5448">
        <v>11</v>
      </c>
      <c r="D5448" s="11">
        <v>42309</v>
      </c>
      <c r="E5448" t="s">
        <v>2183</v>
      </c>
      <c r="F5448">
        <v>5</v>
      </c>
      <c r="G5448" t="s">
        <v>55</v>
      </c>
      <c r="H5448" t="s">
        <v>46</v>
      </c>
      <c r="I5448" t="s">
        <v>2194</v>
      </c>
      <c r="J5448" s="10">
        <v>0</v>
      </c>
      <c r="K5448" t="b">
        <v>1</v>
      </c>
    </row>
    <row r="5449" spans="1:11">
      <c r="A5449" s="12">
        <v>42321</v>
      </c>
      <c r="B5449">
        <v>2015</v>
      </c>
      <c r="C5449">
        <v>11</v>
      </c>
      <c r="D5449" s="11">
        <v>42309</v>
      </c>
      <c r="E5449" t="s">
        <v>2183</v>
      </c>
      <c r="F5449">
        <v>5</v>
      </c>
      <c r="G5449" t="s">
        <v>55</v>
      </c>
      <c r="H5449" t="s">
        <v>47</v>
      </c>
      <c r="I5449" t="s">
        <v>2195</v>
      </c>
      <c r="J5449" s="10">
        <v>0</v>
      </c>
      <c r="K5449" t="b">
        <v>1</v>
      </c>
    </row>
    <row r="5450" spans="1:11">
      <c r="A5450" s="12">
        <v>42322</v>
      </c>
      <c r="B5450">
        <v>2015</v>
      </c>
      <c r="C5450">
        <v>11</v>
      </c>
      <c r="D5450" s="11">
        <v>42309</v>
      </c>
      <c r="E5450" t="s">
        <v>2183</v>
      </c>
      <c r="F5450">
        <v>6</v>
      </c>
      <c r="G5450" t="s">
        <v>57</v>
      </c>
      <c r="H5450" t="s">
        <v>40</v>
      </c>
      <c r="I5450" t="s">
        <v>2188</v>
      </c>
      <c r="J5450" s="10">
        <v>4.99</v>
      </c>
      <c r="K5450" t="b">
        <v>1</v>
      </c>
    </row>
    <row r="5451" spans="1:11">
      <c r="A5451" s="12">
        <v>42322</v>
      </c>
      <c r="B5451">
        <v>2015</v>
      </c>
      <c r="C5451">
        <v>11</v>
      </c>
      <c r="D5451" s="11">
        <v>42309</v>
      </c>
      <c r="E5451" t="s">
        <v>2183</v>
      </c>
      <c r="F5451">
        <v>6</v>
      </c>
      <c r="G5451" t="s">
        <v>57</v>
      </c>
      <c r="H5451" t="s">
        <v>41</v>
      </c>
      <c r="I5451" t="s">
        <v>2189</v>
      </c>
      <c r="J5451" s="10">
        <v>0.33</v>
      </c>
      <c r="K5451" t="b">
        <v>1</v>
      </c>
    </row>
    <row r="5452" spans="1:11">
      <c r="A5452" s="12">
        <v>42322</v>
      </c>
      <c r="B5452">
        <v>2015</v>
      </c>
      <c r="C5452">
        <v>11</v>
      </c>
      <c r="D5452" s="11">
        <v>42309</v>
      </c>
      <c r="E5452" t="s">
        <v>2183</v>
      </c>
      <c r="F5452">
        <v>6</v>
      </c>
      <c r="G5452" t="s">
        <v>57</v>
      </c>
      <c r="H5452" t="s">
        <v>42</v>
      </c>
      <c r="I5452" t="s">
        <v>2190</v>
      </c>
      <c r="J5452" s="10">
        <v>3.7</v>
      </c>
      <c r="K5452" t="b">
        <v>1</v>
      </c>
    </row>
    <row r="5453" spans="1:11">
      <c r="A5453" s="12">
        <v>42322</v>
      </c>
      <c r="B5453">
        <v>2015</v>
      </c>
      <c r="C5453">
        <v>11</v>
      </c>
      <c r="D5453" s="11">
        <v>42309</v>
      </c>
      <c r="E5453" t="s">
        <v>2183</v>
      </c>
      <c r="F5453">
        <v>6</v>
      </c>
      <c r="G5453" t="s">
        <v>57</v>
      </c>
      <c r="H5453" t="s">
        <v>43</v>
      </c>
      <c r="I5453" t="s">
        <v>2191</v>
      </c>
      <c r="J5453" s="10">
        <v>19</v>
      </c>
      <c r="K5453" t="b">
        <v>1</v>
      </c>
    </row>
    <row r="5454" spans="1:11">
      <c r="A5454" s="12">
        <v>42322</v>
      </c>
      <c r="B5454">
        <v>2015</v>
      </c>
      <c r="C5454">
        <v>11</v>
      </c>
      <c r="D5454" s="11">
        <v>42309</v>
      </c>
      <c r="E5454" t="s">
        <v>2183</v>
      </c>
      <c r="F5454">
        <v>6</v>
      </c>
      <c r="G5454" t="s">
        <v>57</v>
      </c>
      <c r="H5454" t="s">
        <v>44</v>
      </c>
      <c r="I5454" t="s">
        <v>2192</v>
      </c>
      <c r="J5454" s="10">
        <v>5</v>
      </c>
      <c r="K5454" t="b">
        <v>1</v>
      </c>
    </row>
    <row r="5455" spans="1:11">
      <c r="A5455" s="12">
        <v>42322</v>
      </c>
      <c r="B5455">
        <v>2015</v>
      </c>
      <c r="C5455">
        <v>11</v>
      </c>
      <c r="D5455" s="11">
        <v>42309</v>
      </c>
      <c r="E5455" t="s">
        <v>2183</v>
      </c>
      <c r="F5455">
        <v>6</v>
      </c>
      <c r="G5455" t="s">
        <v>57</v>
      </c>
      <c r="H5455" t="s">
        <v>45</v>
      </c>
      <c r="I5455" t="s">
        <v>2193</v>
      </c>
      <c r="J5455" s="10">
        <v>1</v>
      </c>
      <c r="K5455" t="b">
        <v>1</v>
      </c>
    </row>
    <row r="5456" spans="1:11">
      <c r="A5456" s="12">
        <v>42322</v>
      </c>
      <c r="B5456">
        <v>2015</v>
      </c>
      <c r="C5456">
        <v>11</v>
      </c>
      <c r="D5456" s="11">
        <v>42309</v>
      </c>
      <c r="E5456" t="s">
        <v>2183</v>
      </c>
      <c r="F5456">
        <v>6</v>
      </c>
      <c r="G5456" t="s">
        <v>57</v>
      </c>
      <c r="H5456" t="s">
        <v>46</v>
      </c>
      <c r="I5456" t="s">
        <v>2194</v>
      </c>
      <c r="J5456" s="10">
        <v>0</v>
      </c>
      <c r="K5456" t="b">
        <v>1</v>
      </c>
    </row>
    <row r="5457" spans="1:11">
      <c r="A5457" s="12">
        <v>42322</v>
      </c>
      <c r="B5457">
        <v>2015</v>
      </c>
      <c r="C5457">
        <v>11</v>
      </c>
      <c r="D5457" s="11">
        <v>42309</v>
      </c>
      <c r="E5457" t="s">
        <v>2183</v>
      </c>
      <c r="F5457">
        <v>6</v>
      </c>
      <c r="G5457" t="s">
        <v>57</v>
      </c>
      <c r="H5457" t="s">
        <v>47</v>
      </c>
      <c r="I5457" t="s">
        <v>2195</v>
      </c>
      <c r="J5457" s="10">
        <v>1</v>
      </c>
      <c r="K5457" t="b">
        <v>1</v>
      </c>
    </row>
    <row r="5458" spans="1:11">
      <c r="A5458" s="12">
        <v>42323</v>
      </c>
      <c r="B5458">
        <v>2015</v>
      </c>
      <c r="C5458">
        <v>11</v>
      </c>
      <c r="D5458" s="11">
        <v>42309</v>
      </c>
      <c r="E5458" t="s">
        <v>2183</v>
      </c>
      <c r="F5458">
        <v>7</v>
      </c>
      <c r="G5458" t="s">
        <v>59</v>
      </c>
      <c r="H5458" t="s">
        <v>40</v>
      </c>
      <c r="I5458" t="s">
        <v>2188</v>
      </c>
      <c r="J5458" s="10">
        <v>1.33</v>
      </c>
      <c r="K5458" t="b">
        <v>1</v>
      </c>
    </row>
    <row r="5459" spans="1:11">
      <c r="A5459" s="12">
        <v>42323</v>
      </c>
      <c r="B5459">
        <v>2015</v>
      </c>
      <c r="C5459">
        <v>11</v>
      </c>
      <c r="D5459" s="11">
        <v>42309</v>
      </c>
      <c r="E5459" t="s">
        <v>2183</v>
      </c>
      <c r="F5459">
        <v>7</v>
      </c>
      <c r="G5459" t="s">
        <v>59</v>
      </c>
      <c r="H5459" t="s">
        <v>41</v>
      </c>
      <c r="I5459" t="s">
        <v>2189</v>
      </c>
      <c r="J5459" s="10">
        <v>11.99</v>
      </c>
      <c r="K5459" t="b">
        <v>1</v>
      </c>
    </row>
    <row r="5460" spans="1:11">
      <c r="A5460" s="12">
        <v>42323</v>
      </c>
      <c r="B5460">
        <v>2015</v>
      </c>
      <c r="C5460">
        <v>11</v>
      </c>
      <c r="D5460" s="11">
        <v>42309</v>
      </c>
      <c r="E5460" t="s">
        <v>2183</v>
      </c>
      <c r="F5460">
        <v>7</v>
      </c>
      <c r="G5460" t="s">
        <v>59</v>
      </c>
      <c r="H5460" t="s">
        <v>42</v>
      </c>
      <c r="I5460" t="s">
        <v>2190</v>
      </c>
      <c r="J5460" s="10">
        <v>9.300000000000001</v>
      </c>
      <c r="K5460" t="b">
        <v>1</v>
      </c>
    </row>
    <row r="5461" spans="1:11">
      <c r="A5461" s="12">
        <v>42323</v>
      </c>
      <c r="B5461">
        <v>2015</v>
      </c>
      <c r="C5461">
        <v>11</v>
      </c>
      <c r="D5461" s="11">
        <v>42309</v>
      </c>
      <c r="E5461" t="s">
        <v>2183</v>
      </c>
      <c r="F5461">
        <v>7</v>
      </c>
      <c r="G5461" t="s">
        <v>59</v>
      </c>
      <c r="H5461" t="s">
        <v>43</v>
      </c>
      <c r="I5461" t="s">
        <v>2191</v>
      </c>
      <c r="J5461" s="10">
        <v>42.35</v>
      </c>
      <c r="K5461" t="b">
        <v>1</v>
      </c>
    </row>
    <row r="5462" spans="1:11">
      <c r="A5462" s="12">
        <v>42323</v>
      </c>
      <c r="B5462">
        <v>2015</v>
      </c>
      <c r="C5462">
        <v>11</v>
      </c>
      <c r="D5462" s="11">
        <v>42309</v>
      </c>
      <c r="E5462" t="s">
        <v>2183</v>
      </c>
      <c r="F5462">
        <v>7</v>
      </c>
      <c r="G5462" t="s">
        <v>59</v>
      </c>
      <c r="H5462" t="s">
        <v>44</v>
      </c>
      <c r="I5462" t="s">
        <v>2192</v>
      </c>
      <c r="J5462" s="10">
        <v>8</v>
      </c>
      <c r="K5462" t="b">
        <v>1</v>
      </c>
    </row>
    <row r="5463" spans="1:11">
      <c r="A5463" s="12">
        <v>42323</v>
      </c>
      <c r="B5463">
        <v>2015</v>
      </c>
      <c r="C5463">
        <v>11</v>
      </c>
      <c r="D5463" s="11">
        <v>42309</v>
      </c>
      <c r="E5463" t="s">
        <v>2183</v>
      </c>
      <c r="F5463">
        <v>7</v>
      </c>
      <c r="G5463" t="s">
        <v>59</v>
      </c>
      <c r="H5463" t="s">
        <v>45</v>
      </c>
      <c r="I5463" t="s">
        <v>2193</v>
      </c>
      <c r="J5463" s="10">
        <v>2</v>
      </c>
      <c r="K5463" t="b">
        <v>1</v>
      </c>
    </row>
    <row r="5464" spans="1:11">
      <c r="A5464" s="12">
        <v>42323</v>
      </c>
      <c r="B5464">
        <v>2015</v>
      </c>
      <c r="C5464">
        <v>11</v>
      </c>
      <c r="D5464" s="11">
        <v>42309</v>
      </c>
      <c r="E5464" t="s">
        <v>2183</v>
      </c>
      <c r="F5464">
        <v>7</v>
      </c>
      <c r="G5464" t="s">
        <v>59</v>
      </c>
      <c r="H5464" t="s">
        <v>46</v>
      </c>
      <c r="I5464" t="s">
        <v>2194</v>
      </c>
      <c r="J5464" s="10">
        <v>17</v>
      </c>
      <c r="K5464" t="b">
        <v>1</v>
      </c>
    </row>
    <row r="5465" spans="1:11">
      <c r="A5465" s="12">
        <v>42323</v>
      </c>
      <c r="B5465">
        <v>2015</v>
      </c>
      <c r="C5465">
        <v>11</v>
      </c>
      <c r="D5465" s="11">
        <v>42309</v>
      </c>
      <c r="E5465" t="s">
        <v>2183</v>
      </c>
      <c r="F5465">
        <v>7</v>
      </c>
      <c r="G5465" t="s">
        <v>59</v>
      </c>
      <c r="H5465" t="s">
        <v>47</v>
      </c>
      <c r="I5465" t="s">
        <v>2195</v>
      </c>
      <c r="J5465" s="10">
        <v>0</v>
      </c>
      <c r="K5465" t="b">
        <v>1</v>
      </c>
    </row>
    <row r="5466" spans="1:11">
      <c r="A5466" s="12">
        <v>42324</v>
      </c>
      <c r="B5466">
        <v>2015</v>
      </c>
      <c r="C5466">
        <v>11</v>
      </c>
      <c r="D5466" s="11">
        <v>42309</v>
      </c>
      <c r="E5466" t="s">
        <v>2183</v>
      </c>
      <c r="F5466">
        <v>1</v>
      </c>
      <c r="G5466" t="s">
        <v>61</v>
      </c>
      <c r="H5466" t="s">
        <v>40</v>
      </c>
      <c r="I5466" t="s">
        <v>2188</v>
      </c>
      <c r="J5466" s="10">
        <v>5.67</v>
      </c>
      <c r="K5466" t="b">
        <v>1</v>
      </c>
    </row>
    <row r="5467" spans="1:11">
      <c r="A5467" s="12">
        <v>42324</v>
      </c>
      <c r="B5467">
        <v>2015</v>
      </c>
      <c r="C5467">
        <v>11</v>
      </c>
      <c r="D5467" s="11">
        <v>42309</v>
      </c>
      <c r="E5467" t="s">
        <v>2183</v>
      </c>
      <c r="F5467">
        <v>1</v>
      </c>
      <c r="G5467" t="s">
        <v>61</v>
      </c>
      <c r="H5467" t="s">
        <v>41</v>
      </c>
      <c r="I5467" t="s">
        <v>2189</v>
      </c>
      <c r="J5467" s="10">
        <v>3.67</v>
      </c>
      <c r="K5467" t="b">
        <v>1</v>
      </c>
    </row>
    <row r="5468" spans="1:11">
      <c r="A5468" s="12">
        <v>42324</v>
      </c>
      <c r="B5468">
        <v>2015</v>
      </c>
      <c r="C5468">
        <v>11</v>
      </c>
      <c r="D5468" s="11">
        <v>42309</v>
      </c>
      <c r="E5468" t="s">
        <v>2183</v>
      </c>
      <c r="F5468">
        <v>1</v>
      </c>
      <c r="G5468" t="s">
        <v>61</v>
      </c>
      <c r="H5468" t="s">
        <v>42</v>
      </c>
      <c r="I5468" t="s">
        <v>2190</v>
      </c>
      <c r="J5468" s="10">
        <v>6</v>
      </c>
      <c r="K5468" t="b">
        <v>1</v>
      </c>
    </row>
    <row r="5469" spans="1:11">
      <c r="A5469" s="12">
        <v>42324</v>
      </c>
      <c r="B5469">
        <v>2015</v>
      </c>
      <c r="C5469">
        <v>11</v>
      </c>
      <c r="D5469" s="11">
        <v>42309</v>
      </c>
      <c r="E5469" t="s">
        <v>2183</v>
      </c>
      <c r="F5469">
        <v>1</v>
      </c>
      <c r="G5469" t="s">
        <v>61</v>
      </c>
      <c r="H5469" t="s">
        <v>43</v>
      </c>
      <c r="I5469" t="s">
        <v>2191</v>
      </c>
      <c r="J5469" s="10">
        <v>50.3</v>
      </c>
      <c r="K5469" t="b">
        <v>1</v>
      </c>
    </row>
    <row r="5470" spans="1:11">
      <c r="A5470" s="12">
        <v>42324</v>
      </c>
      <c r="B5470">
        <v>2015</v>
      </c>
      <c r="C5470">
        <v>11</v>
      </c>
      <c r="D5470" s="11">
        <v>42309</v>
      </c>
      <c r="E5470" t="s">
        <v>2183</v>
      </c>
      <c r="F5470">
        <v>1</v>
      </c>
      <c r="G5470" t="s">
        <v>61</v>
      </c>
      <c r="H5470" t="s">
        <v>44</v>
      </c>
      <c r="I5470" t="s">
        <v>2192</v>
      </c>
      <c r="J5470" s="10">
        <v>9</v>
      </c>
      <c r="K5470" t="b">
        <v>1</v>
      </c>
    </row>
    <row r="5471" spans="1:11">
      <c r="A5471" s="12">
        <v>42324</v>
      </c>
      <c r="B5471">
        <v>2015</v>
      </c>
      <c r="C5471">
        <v>11</v>
      </c>
      <c r="D5471" s="11">
        <v>42309</v>
      </c>
      <c r="E5471" t="s">
        <v>2183</v>
      </c>
      <c r="F5471">
        <v>1</v>
      </c>
      <c r="G5471" t="s">
        <v>61</v>
      </c>
      <c r="H5471" t="s">
        <v>45</v>
      </c>
      <c r="I5471" t="s">
        <v>2193</v>
      </c>
      <c r="J5471" s="10">
        <v>0</v>
      </c>
      <c r="K5471" t="b">
        <v>1</v>
      </c>
    </row>
    <row r="5472" spans="1:11">
      <c r="A5472" s="12">
        <v>42324</v>
      </c>
      <c r="B5472">
        <v>2015</v>
      </c>
      <c r="C5472">
        <v>11</v>
      </c>
      <c r="D5472" s="11">
        <v>42309</v>
      </c>
      <c r="E5472" t="s">
        <v>2183</v>
      </c>
      <c r="F5472">
        <v>1</v>
      </c>
      <c r="G5472" t="s">
        <v>61</v>
      </c>
      <c r="H5472" t="s">
        <v>46</v>
      </c>
      <c r="I5472" t="s">
        <v>2194</v>
      </c>
      <c r="J5472" s="10">
        <v>3</v>
      </c>
      <c r="K5472" t="b">
        <v>1</v>
      </c>
    </row>
    <row r="5473" spans="1:11">
      <c r="A5473" s="12">
        <v>42324</v>
      </c>
      <c r="B5473">
        <v>2015</v>
      </c>
      <c r="C5473">
        <v>11</v>
      </c>
      <c r="D5473" s="11">
        <v>42309</v>
      </c>
      <c r="E5473" t="s">
        <v>2183</v>
      </c>
      <c r="F5473">
        <v>1</v>
      </c>
      <c r="G5473" t="s">
        <v>61</v>
      </c>
      <c r="H5473" t="s">
        <v>47</v>
      </c>
      <c r="I5473" t="s">
        <v>2195</v>
      </c>
      <c r="J5473" s="10">
        <v>2</v>
      </c>
      <c r="K5473" t="b">
        <v>1</v>
      </c>
    </row>
    <row r="5474" spans="1:11">
      <c r="A5474" s="12">
        <v>42325</v>
      </c>
      <c r="B5474">
        <v>2015</v>
      </c>
      <c r="C5474">
        <v>11</v>
      </c>
      <c r="D5474" s="11">
        <v>42309</v>
      </c>
      <c r="E5474" t="s">
        <v>2183</v>
      </c>
      <c r="F5474">
        <v>2</v>
      </c>
      <c r="G5474" t="s">
        <v>63</v>
      </c>
      <c r="H5474" t="s">
        <v>40</v>
      </c>
      <c r="I5474" t="s">
        <v>2188</v>
      </c>
      <c r="J5474" s="10">
        <v>6.34</v>
      </c>
      <c r="K5474" t="b">
        <v>1</v>
      </c>
    </row>
    <row r="5475" spans="1:11">
      <c r="A5475" s="12">
        <v>42325</v>
      </c>
      <c r="B5475">
        <v>2015</v>
      </c>
      <c r="C5475">
        <v>11</v>
      </c>
      <c r="D5475" s="11">
        <v>42309</v>
      </c>
      <c r="E5475" t="s">
        <v>2183</v>
      </c>
      <c r="F5475">
        <v>2</v>
      </c>
      <c r="G5475" t="s">
        <v>63</v>
      </c>
      <c r="H5475" t="s">
        <v>41</v>
      </c>
      <c r="I5475" t="s">
        <v>2189</v>
      </c>
      <c r="J5475" s="10">
        <v>4.693</v>
      </c>
      <c r="K5475" t="b">
        <v>1</v>
      </c>
    </row>
    <row r="5476" spans="1:11">
      <c r="A5476" s="12">
        <v>42325</v>
      </c>
      <c r="B5476">
        <v>2015</v>
      </c>
      <c r="C5476">
        <v>11</v>
      </c>
      <c r="D5476" s="11">
        <v>42309</v>
      </c>
      <c r="E5476" t="s">
        <v>2183</v>
      </c>
      <c r="F5476">
        <v>2</v>
      </c>
      <c r="G5476" t="s">
        <v>63</v>
      </c>
      <c r="H5476" t="s">
        <v>42</v>
      </c>
      <c r="I5476" t="s">
        <v>2190</v>
      </c>
      <c r="J5476" s="10">
        <v>4.7</v>
      </c>
      <c r="K5476" t="b">
        <v>1</v>
      </c>
    </row>
    <row r="5477" spans="1:11">
      <c r="A5477" s="12">
        <v>42325</v>
      </c>
      <c r="B5477">
        <v>2015</v>
      </c>
      <c r="C5477">
        <v>11</v>
      </c>
      <c r="D5477" s="11">
        <v>42309</v>
      </c>
      <c r="E5477" t="s">
        <v>2183</v>
      </c>
      <c r="F5477">
        <v>2</v>
      </c>
      <c r="G5477" t="s">
        <v>63</v>
      </c>
      <c r="H5477" t="s">
        <v>43</v>
      </c>
      <c r="I5477" t="s">
        <v>2191</v>
      </c>
      <c r="J5477" s="10">
        <v>60</v>
      </c>
      <c r="K5477" t="b">
        <v>1</v>
      </c>
    </row>
    <row r="5478" spans="1:11">
      <c r="A5478" s="12">
        <v>42325</v>
      </c>
      <c r="B5478">
        <v>2015</v>
      </c>
      <c r="C5478">
        <v>11</v>
      </c>
      <c r="D5478" s="11">
        <v>42309</v>
      </c>
      <c r="E5478" t="s">
        <v>2183</v>
      </c>
      <c r="F5478">
        <v>2</v>
      </c>
      <c r="G5478" t="s">
        <v>63</v>
      </c>
      <c r="H5478" t="s">
        <v>44</v>
      </c>
      <c r="I5478" t="s">
        <v>2192</v>
      </c>
      <c r="J5478" s="10">
        <v>1</v>
      </c>
      <c r="K5478" t="b">
        <v>1</v>
      </c>
    </row>
    <row r="5479" spans="1:11">
      <c r="A5479" s="12">
        <v>42325</v>
      </c>
      <c r="B5479">
        <v>2015</v>
      </c>
      <c r="C5479">
        <v>11</v>
      </c>
      <c r="D5479" s="11">
        <v>42309</v>
      </c>
      <c r="E5479" t="s">
        <v>2183</v>
      </c>
      <c r="F5479">
        <v>2</v>
      </c>
      <c r="G5479" t="s">
        <v>63</v>
      </c>
      <c r="H5479" t="s">
        <v>45</v>
      </c>
      <c r="I5479" t="s">
        <v>2193</v>
      </c>
      <c r="J5479" s="10">
        <v>0</v>
      </c>
      <c r="K5479" t="b">
        <v>1</v>
      </c>
    </row>
    <row r="5480" spans="1:11">
      <c r="A5480" s="12">
        <v>42325</v>
      </c>
      <c r="B5480">
        <v>2015</v>
      </c>
      <c r="C5480">
        <v>11</v>
      </c>
      <c r="D5480" s="11">
        <v>42309</v>
      </c>
      <c r="E5480" t="s">
        <v>2183</v>
      </c>
      <c r="F5480">
        <v>2</v>
      </c>
      <c r="G5480" t="s">
        <v>63</v>
      </c>
      <c r="H5480" t="s">
        <v>46</v>
      </c>
      <c r="I5480" t="s">
        <v>2194</v>
      </c>
      <c r="J5480" s="10">
        <v>0</v>
      </c>
      <c r="K5480" t="b">
        <v>1</v>
      </c>
    </row>
    <row r="5481" spans="1:11">
      <c r="A5481" s="12">
        <v>42325</v>
      </c>
      <c r="B5481">
        <v>2015</v>
      </c>
      <c r="C5481">
        <v>11</v>
      </c>
      <c r="D5481" s="11">
        <v>42309</v>
      </c>
      <c r="E5481" t="s">
        <v>2183</v>
      </c>
      <c r="F5481">
        <v>2</v>
      </c>
      <c r="G5481" t="s">
        <v>63</v>
      </c>
      <c r="H5481" t="s">
        <v>47</v>
      </c>
      <c r="I5481" t="s">
        <v>2195</v>
      </c>
      <c r="J5481" s="10">
        <v>2</v>
      </c>
      <c r="K5481" t="b">
        <v>1</v>
      </c>
    </row>
    <row r="5482" spans="1:11">
      <c r="A5482" s="12">
        <v>42326</v>
      </c>
      <c r="B5482">
        <v>2015</v>
      </c>
      <c r="C5482">
        <v>11</v>
      </c>
      <c r="D5482" s="11">
        <v>42309</v>
      </c>
      <c r="E5482" t="s">
        <v>2183</v>
      </c>
      <c r="F5482">
        <v>3</v>
      </c>
      <c r="G5482" t="s">
        <v>65</v>
      </c>
      <c r="H5482" t="s">
        <v>40</v>
      </c>
      <c r="I5482" t="s">
        <v>2188</v>
      </c>
      <c r="J5482" s="10">
        <v>6.34</v>
      </c>
      <c r="K5482" t="b">
        <v>1</v>
      </c>
    </row>
    <row r="5483" spans="1:11">
      <c r="A5483" s="12">
        <v>42326</v>
      </c>
      <c r="B5483">
        <v>2015</v>
      </c>
      <c r="C5483">
        <v>11</v>
      </c>
      <c r="D5483" s="11">
        <v>42309</v>
      </c>
      <c r="E5483" t="s">
        <v>2183</v>
      </c>
      <c r="F5483">
        <v>3</v>
      </c>
      <c r="G5483" t="s">
        <v>65</v>
      </c>
      <c r="H5483" t="s">
        <v>41</v>
      </c>
      <c r="I5483" t="s">
        <v>2189</v>
      </c>
      <c r="J5483" s="10">
        <v>5.33</v>
      </c>
      <c r="K5483" t="b">
        <v>1</v>
      </c>
    </row>
    <row r="5484" spans="1:11">
      <c r="A5484" s="12">
        <v>42326</v>
      </c>
      <c r="B5484">
        <v>2015</v>
      </c>
      <c r="C5484">
        <v>11</v>
      </c>
      <c r="D5484" s="11">
        <v>42309</v>
      </c>
      <c r="E5484" t="s">
        <v>2183</v>
      </c>
      <c r="F5484">
        <v>3</v>
      </c>
      <c r="G5484" t="s">
        <v>65</v>
      </c>
      <c r="H5484" t="s">
        <v>42</v>
      </c>
      <c r="I5484" t="s">
        <v>2190</v>
      </c>
      <c r="J5484" s="10">
        <v>5.5</v>
      </c>
      <c r="K5484" t="b">
        <v>1</v>
      </c>
    </row>
    <row r="5485" spans="1:11">
      <c r="A5485" s="12">
        <v>42326</v>
      </c>
      <c r="B5485">
        <v>2015</v>
      </c>
      <c r="C5485">
        <v>11</v>
      </c>
      <c r="D5485" s="11">
        <v>42309</v>
      </c>
      <c r="E5485" t="s">
        <v>2183</v>
      </c>
      <c r="F5485">
        <v>3</v>
      </c>
      <c r="G5485" t="s">
        <v>65</v>
      </c>
      <c r="H5485" t="s">
        <v>43</v>
      </c>
      <c r="I5485" t="s">
        <v>2191</v>
      </c>
      <c r="J5485" s="10">
        <v>24.5</v>
      </c>
      <c r="K5485" t="b">
        <v>1</v>
      </c>
    </row>
    <row r="5486" spans="1:11">
      <c r="A5486" s="12">
        <v>42326</v>
      </c>
      <c r="B5486">
        <v>2015</v>
      </c>
      <c r="C5486">
        <v>11</v>
      </c>
      <c r="D5486" s="11">
        <v>42309</v>
      </c>
      <c r="E5486" t="s">
        <v>2183</v>
      </c>
      <c r="F5486">
        <v>3</v>
      </c>
      <c r="G5486" t="s">
        <v>65</v>
      </c>
      <c r="H5486" t="s">
        <v>44</v>
      </c>
      <c r="I5486" t="s">
        <v>2192</v>
      </c>
      <c r="J5486" s="10">
        <v>11</v>
      </c>
      <c r="K5486" t="b">
        <v>1</v>
      </c>
    </row>
    <row r="5487" spans="1:11">
      <c r="A5487" s="12">
        <v>42326</v>
      </c>
      <c r="B5487">
        <v>2015</v>
      </c>
      <c r="C5487">
        <v>11</v>
      </c>
      <c r="D5487" s="11">
        <v>42309</v>
      </c>
      <c r="E5487" t="s">
        <v>2183</v>
      </c>
      <c r="F5487">
        <v>3</v>
      </c>
      <c r="G5487" t="s">
        <v>65</v>
      </c>
      <c r="H5487" t="s">
        <v>45</v>
      </c>
      <c r="I5487" t="s">
        <v>2193</v>
      </c>
      <c r="J5487" s="10">
        <v>0</v>
      </c>
      <c r="K5487" t="b">
        <v>1</v>
      </c>
    </row>
    <row r="5488" spans="1:11">
      <c r="A5488" s="12">
        <v>42326</v>
      </c>
      <c r="B5488">
        <v>2015</v>
      </c>
      <c r="C5488">
        <v>11</v>
      </c>
      <c r="D5488" s="11">
        <v>42309</v>
      </c>
      <c r="E5488" t="s">
        <v>2183</v>
      </c>
      <c r="F5488">
        <v>3</v>
      </c>
      <c r="G5488" t="s">
        <v>65</v>
      </c>
      <c r="H5488" t="s">
        <v>46</v>
      </c>
      <c r="I5488" t="s">
        <v>2194</v>
      </c>
      <c r="J5488" s="10">
        <v>0</v>
      </c>
      <c r="K5488" t="b">
        <v>1</v>
      </c>
    </row>
    <row r="5489" spans="1:11">
      <c r="A5489" s="12">
        <v>42326</v>
      </c>
      <c r="B5489">
        <v>2015</v>
      </c>
      <c r="C5489">
        <v>11</v>
      </c>
      <c r="D5489" s="11">
        <v>42309</v>
      </c>
      <c r="E5489" t="s">
        <v>2183</v>
      </c>
      <c r="F5489">
        <v>3</v>
      </c>
      <c r="G5489" t="s">
        <v>65</v>
      </c>
      <c r="H5489" t="s">
        <v>47</v>
      </c>
      <c r="I5489" t="s">
        <v>2195</v>
      </c>
      <c r="J5489" s="10">
        <v>2</v>
      </c>
      <c r="K5489" t="b">
        <v>1</v>
      </c>
    </row>
    <row r="5490" spans="1:11">
      <c r="A5490" s="12">
        <v>42327</v>
      </c>
      <c r="B5490">
        <v>2015</v>
      </c>
      <c r="C5490">
        <v>11</v>
      </c>
      <c r="D5490" s="11">
        <v>42309</v>
      </c>
      <c r="E5490" t="s">
        <v>2183</v>
      </c>
      <c r="F5490">
        <v>4</v>
      </c>
      <c r="G5490" t="s">
        <v>53</v>
      </c>
      <c r="H5490" t="s">
        <v>40</v>
      </c>
      <c r="I5490" t="s">
        <v>2188</v>
      </c>
      <c r="J5490" s="10">
        <v>2</v>
      </c>
      <c r="K5490" t="b">
        <v>1</v>
      </c>
    </row>
    <row r="5491" spans="1:11">
      <c r="A5491" s="12">
        <v>42327</v>
      </c>
      <c r="B5491">
        <v>2015</v>
      </c>
      <c r="C5491">
        <v>11</v>
      </c>
      <c r="D5491" s="11">
        <v>42309</v>
      </c>
      <c r="E5491" t="s">
        <v>2183</v>
      </c>
      <c r="F5491">
        <v>4</v>
      </c>
      <c r="G5491" t="s">
        <v>53</v>
      </c>
      <c r="H5491" t="s">
        <v>41</v>
      </c>
      <c r="I5491" t="s">
        <v>2189</v>
      </c>
      <c r="J5491" s="10">
        <v>2.99</v>
      </c>
      <c r="K5491" t="b">
        <v>1</v>
      </c>
    </row>
    <row r="5492" spans="1:11">
      <c r="A5492" s="12">
        <v>42327</v>
      </c>
      <c r="B5492">
        <v>2015</v>
      </c>
      <c r="C5492">
        <v>11</v>
      </c>
      <c r="D5492" s="11">
        <v>42309</v>
      </c>
      <c r="E5492" t="s">
        <v>2183</v>
      </c>
      <c r="F5492">
        <v>4</v>
      </c>
      <c r="G5492" t="s">
        <v>53</v>
      </c>
      <c r="H5492" t="s">
        <v>42</v>
      </c>
      <c r="I5492" t="s">
        <v>2190</v>
      </c>
      <c r="J5492" s="10">
        <v>2.1</v>
      </c>
      <c r="K5492" t="b">
        <v>1</v>
      </c>
    </row>
    <row r="5493" spans="1:11">
      <c r="A5493" s="12">
        <v>42327</v>
      </c>
      <c r="B5493">
        <v>2015</v>
      </c>
      <c r="C5493">
        <v>11</v>
      </c>
      <c r="D5493" s="11">
        <v>42309</v>
      </c>
      <c r="E5493" t="s">
        <v>2183</v>
      </c>
      <c r="F5493">
        <v>4</v>
      </c>
      <c r="G5493" t="s">
        <v>53</v>
      </c>
      <c r="H5493" t="s">
        <v>43</v>
      </c>
      <c r="I5493" t="s">
        <v>2191</v>
      </c>
      <c r="J5493" s="10">
        <v>26.4</v>
      </c>
      <c r="K5493" t="b">
        <v>1</v>
      </c>
    </row>
    <row r="5494" spans="1:11">
      <c r="A5494" s="12">
        <v>42327</v>
      </c>
      <c r="B5494">
        <v>2015</v>
      </c>
      <c r="C5494">
        <v>11</v>
      </c>
      <c r="D5494" s="11">
        <v>42309</v>
      </c>
      <c r="E5494" t="s">
        <v>2183</v>
      </c>
      <c r="F5494">
        <v>4</v>
      </c>
      <c r="G5494" t="s">
        <v>53</v>
      </c>
      <c r="H5494" t="s">
        <v>44</v>
      </c>
      <c r="I5494" t="s">
        <v>2192</v>
      </c>
      <c r="J5494" s="10">
        <v>22</v>
      </c>
      <c r="K5494" t="b">
        <v>1</v>
      </c>
    </row>
    <row r="5495" spans="1:11">
      <c r="A5495" s="12">
        <v>42327</v>
      </c>
      <c r="B5495">
        <v>2015</v>
      </c>
      <c r="C5495">
        <v>11</v>
      </c>
      <c r="D5495" s="11">
        <v>42309</v>
      </c>
      <c r="E5495" t="s">
        <v>2183</v>
      </c>
      <c r="F5495">
        <v>4</v>
      </c>
      <c r="G5495" t="s">
        <v>53</v>
      </c>
      <c r="H5495" t="s">
        <v>45</v>
      </c>
      <c r="I5495" t="s">
        <v>2193</v>
      </c>
      <c r="J5495" s="10">
        <v>0</v>
      </c>
      <c r="K5495" t="b">
        <v>1</v>
      </c>
    </row>
    <row r="5496" spans="1:11">
      <c r="A5496" s="12">
        <v>42327</v>
      </c>
      <c r="B5496">
        <v>2015</v>
      </c>
      <c r="C5496">
        <v>11</v>
      </c>
      <c r="D5496" s="11">
        <v>42309</v>
      </c>
      <c r="E5496" t="s">
        <v>2183</v>
      </c>
      <c r="F5496">
        <v>4</v>
      </c>
      <c r="G5496" t="s">
        <v>53</v>
      </c>
      <c r="H5496" t="s">
        <v>46</v>
      </c>
      <c r="I5496" t="s">
        <v>2194</v>
      </c>
      <c r="J5496" s="10">
        <v>0</v>
      </c>
      <c r="K5496" t="b">
        <v>1</v>
      </c>
    </row>
    <row r="5497" spans="1:11">
      <c r="A5497" s="12">
        <v>42327</v>
      </c>
      <c r="B5497">
        <v>2015</v>
      </c>
      <c r="C5497">
        <v>11</v>
      </c>
      <c r="D5497" s="11">
        <v>42309</v>
      </c>
      <c r="E5497" t="s">
        <v>2183</v>
      </c>
      <c r="F5497">
        <v>4</v>
      </c>
      <c r="G5497" t="s">
        <v>53</v>
      </c>
      <c r="H5497" t="s">
        <v>47</v>
      </c>
      <c r="I5497" t="s">
        <v>2195</v>
      </c>
      <c r="J5497" s="10">
        <v>0</v>
      </c>
      <c r="K5497" t="b">
        <v>1</v>
      </c>
    </row>
    <row r="5498" spans="1:11">
      <c r="A5498" s="12">
        <v>42328</v>
      </c>
      <c r="B5498">
        <v>2015</v>
      </c>
      <c r="C5498">
        <v>11</v>
      </c>
      <c r="D5498" s="11">
        <v>42309</v>
      </c>
      <c r="E5498" t="s">
        <v>2183</v>
      </c>
      <c r="F5498">
        <v>5</v>
      </c>
      <c r="G5498" t="s">
        <v>55</v>
      </c>
      <c r="H5498" t="s">
        <v>40</v>
      </c>
      <c r="I5498" t="s">
        <v>2188</v>
      </c>
      <c r="J5498" s="10">
        <v>5.66</v>
      </c>
      <c r="K5498" t="b">
        <v>1</v>
      </c>
    </row>
    <row r="5499" spans="1:11">
      <c r="A5499" s="12">
        <v>42328</v>
      </c>
      <c r="B5499">
        <v>2015</v>
      </c>
      <c r="C5499">
        <v>11</v>
      </c>
      <c r="D5499" s="11">
        <v>42309</v>
      </c>
      <c r="E5499" t="s">
        <v>2183</v>
      </c>
      <c r="F5499">
        <v>5</v>
      </c>
      <c r="G5499" t="s">
        <v>55</v>
      </c>
      <c r="H5499" t="s">
        <v>41</v>
      </c>
      <c r="I5499" t="s">
        <v>2189</v>
      </c>
      <c r="J5499" s="10">
        <v>1.66</v>
      </c>
      <c r="K5499" t="b">
        <v>1</v>
      </c>
    </row>
    <row r="5500" spans="1:11">
      <c r="A5500" s="12">
        <v>42328</v>
      </c>
      <c r="B5500">
        <v>2015</v>
      </c>
      <c r="C5500">
        <v>11</v>
      </c>
      <c r="D5500" s="11">
        <v>42309</v>
      </c>
      <c r="E5500" t="s">
        <v>2183</v>
      </c>
      <c r="F5500">
        <v>5</v>
      </c>
      <c r="G5500" t="s">
        <v>55</v>
      </c>
      <c r="H5500" t="s">
        <v>42</v>
      </c>
      <c r="I5500" t="s">
        <v>2190</v>
      </c>
      <c r="J5500" s="10">
        <v>3.8</v>
      </c>
      <c r="K5500" t="b">
        <v>1</v>
      </c>
    </row>
    <row r="5501" spans="1:11">
      <c r="A5501" s="12">
        <v>42328</v>
      </c>
      <c r="B5501">
        <v>2015</v>
      </c>
      <c r="C5501">
        <v>11</v>
      </c>
      <c r="D5501" s="11">
        <v>42309</v>
      </c>
      <c r="E5501" t="s">
        <v>2183</v>
      </c>
      <c r="F5501">
        <v>5</v>
      </c>
      <c r="G5501" t="s">
        <v>55</v>
      </c>
      <c r="H5501" t="s">
        <v>43</v>
      </c>
      <c r="I5501" t="s">
        <v>2191</v>
      </c>
      <c r="J5501" s="10">
        <v>25.6</v>
      </c>
      <c r="K5501" t="b">
        <v>1</v>
      </c>
    </row>
    <row r="5502" spans="1:11">
      <c r="A5502" s="12">
        <v>42328</v>
      </c>
      <c r="B5502">
        <v>2015</v>
      </c>
      <c r="C5502">
        <v>11</v>
      </c>
      <c r="D5502" s="11">
        <v>42309</v>
      </c>
      <c r="E5502" t="s">
        <v>2183</v>
      </c>
      <c r="F5502">
        <v>5</v>
      </c>
      <c r="G5502" t="s">
        <v>55</v>
      </c>
      <c r="H5502" t="s">
        <v>44</v>
      </c>
      <c r="I5502" t="s">
        <v>2192</v>
      </c>
      <c r="J5502" s="10">
        <v>2</v>
      </c>
      <c r="K5502" t="b">
        <v>1</v>
      </c>
    </row>
    <row r="5503" spans="1:11">
      <c r="A5503" s="12">
        <v>42328</v>
      </c>
      <c r="B5503">
        <v>2015</v>
      </c>
      <c r="C5503">
        <v>11</v>
      </c>
      <c r="D5503" s="11">
        <v>42309</v>
      </c>
      <c r="E5503" t="s">
        <v>2183</v>
      </c>
      <c r="F5503">
        <v>5</v>
      </c>
      <c r="G5503" t="s">
        <v>55</v>
      </c>
      <c r="H5503" t="s">
        <v>45</v>
      </c>
      <c r="I5503" t="s">
        <v>2193</v>
      </c>
      <c r="J5503" s="10">
        <v>2</v>
      </c>
      <c r="K5503" t="b">
        <v>1</v>
      </c>
    </row>
    <row r="5504" spans="1:11">
      <c r="A5504" s="12">
        <v>42328</v>
      </c>
      <c r="B5504">
        <v>2015</v>
      </c>
      <c r="C5504">
        <v>11</v>
      </c>
      <c r="D5504" s="11">
        <v>42309</v>
      </c>
      <c r="E5504" t="s">
        <v>2183</v>
      </c>
      <c r="F5504">
        <v>5</v>
      </c>
      <c r="G5504" t="s">
        <v>55</v>
      </c>
      <c r="H5504" t="s">
        <v>46</v>
      </c>
      <c r="I5504" t="s">
        <v>2194</v>
      </c>
      <c r="J5504" s="10">
        <v>10</v>
      </c>
      <c r="K5504" t="b">
        <v>1</v>
      </c>
    </row>
    <row r="5505" spans="1:11">
      <c r="A5505" s="12">
        <v>42328</v>
      </c>
      <c r="B5505">
        <v>2015</v>
      </c>
      <c r="C5505">
        <v>11</v>
      </c>
      <c r="D5505" s="11">
        <v>42309</v>
      </c>
      <c r="E5505" t="s">
        <v>2183</v>
      </c>
      <c r="F5505">
        <v>5</v>
      </c>
      <c r="G5505" t="s">
        <v>55</v>
      </c>
      <c r="H5505" t="s">
        <v>47</v>
      </c>
      <c r="I5505" t="s">
        <v>2195</v>
      </c>
      <c r="J5505" s="10">
        <v>3</v>
      </c>
      <c r="K5505" t="b">
        <v>1</v>
      </c>
    </row>
    <row r="5506" spans="1:11">
      <c r="A5506" s="12">
        <v>42329</v>
      </c>
      <c r="B5506">
        <v>2015</v>
      </c>
      <c r="C5506">
        <v>11</v>
      </c>
      <c r="D5506" s="11">
        <v>42309</v>
      </c>
      <c r="E5506" t="s">
        <v>2183</v>
      </c>
      <c r="F5506">
        <v>6</v>
      </c>
      <c r="G5506" t="s">
        <v>57</v>
      </c>
      <c r="H5506" t="s">
        <v>40</v>
      </c>
      <c r="I5506" t="s">
        <v>2188</v>
      </c>
      <c r="J5506" s="10">
        <v>4</v>
      </c>
      <c r="K5506" t="b">
        <v>1</v>
      </c>
    </row>
    <row r="5507" spans="1:11">
      <c r="A5507" s="12">
        <v>42329</v>
      </c>
      <c r="B5507">
        <v>2015</v>
      </c>
      <c r="C5507">
        <v>11</v>
      </c>
      <c r="D5507" s="11">
        <v>42309</v>
      </c>
      <c r="E5507" t="s">
        <v>2183</v>
      </c>
      <c r="F5507">
        <v>6</v>
      </c>
      <c r="G5507" t="s">
        <v>57</v>
      </c>
      <c r="H5507" t="s">
        <v>41</v>
      </c>
      <c r="I5507" t="s">
        <v>2189</v>
      </c>
      <c r="J5507" s="10">
        <v>2.01</v>
      </c>
      <c r="K5507" t="b">
        <v>1</v>
      </c>
    </row>
    <row r="5508" spans="1:11">
      <c r="A5508" s="12">
        <v>42329</v>
      </c>
      <c r="B5508">
        <v>2015</v>
      </c>
      <c r="C5508">
        <v>11</v>
      </c>
      <c r="D5508" s="11">
        <v>42309</v>
      </c>
      <c r="E5508" t="s">
        <v>2183</v>
      </c>
      <c r="F5508">
        <v>6</v>
      </c>
      <c r="G5508" t="s">
        <v>57</v>
      </c>
      <c r="H5508" t="s">
        <v>42</v>
      </c>
      <c r="I5508" t="s">
        <v>2190</v>
      </c>
      <c r="J5508" s="10">
        <v>5.2</v>
      </c>
      <c r="K5508" t="b">
        <v>1</v>
      </c>
    </row>
    <row r="5509" spans="1:11">
      <c r="A5509" s="12">
        <v>42329</v>
      </c>
      <c r="B5509">
        <v>2015</v>
      </c>
      <c r="C5509">
        <v>11</v>
      </c>
      <c r="D5509" s="11">
        <v>42309</v>
      </c>
      <c r="E5509" t="s">
        <v>2183</v>
      </c>
      <c r="F5509">
        <v>6</v>
      </c>
      <c r="G5509" t="s">
        <v>57</v>
      </c>
      <c r="H5509" t="s">
        <v>43</v>
      </c>
      <c r="I5509" t="s">
        <v>2191</v>
      </c>
      <c r="J5509" s="10">
        <v>45.5</v>
      </c>
      <c r="K5509" t="b">
        <v>1</v>
      </c>
    </row>
    <row r="5510" spans="1:11">
      <c r="A5510" s="12">
        <v>42329</v>
      </c>
      <c r="B5510">
        <v>2015</v>
      </c>
      <c r="C5510">
        <v>11</v>
      </c>
      <c r="D5510" s="11">
        <v>42309</v>
      </c>
      <c r="E5510" t="s">
        <v>2183</v>
      </c>
      <c r="F5510">
        <v>6</v>
      </c>
      <c r="G5510" t="s">
        <v>57</v>
      </c>
      <c r="H5510" t="s">
        <v>44</v>
      </c>
      <c r="I5510" t="s">
        <v>2192</v>
      </c>
      <c r="J5510" s="10">
        <v>4</v>
      </c>
      <c r="K5510" t="b">
        <v>1</v>
      </c>
    </row>
    <row r="5511" spans="1:11">
      <c r="A5511" s="12">
        <v>42329</v>
      </c>
      <c r="B5511">
        <v>2015</v>
      </c>
      <c r="C5511">
        <v>11</v>
      </c>
      <c r="D5511" s="11">
        <v>42309</v>
      </c>
      <c r="E5511" t="s">
        <v>2183</v>
      </c>
      <c r="F5511">
        <v>6</v>
      </c>
      <c r="G5511" t="s">
        <v>57</v>
      </c>
      <c r="H5511" t="s">
        <v>45</v>
      </c>
      <c r="I5511" t="s">
        <v>2193</v>
      </c>
      <c r="J5511" s="10">
        <v>0</v>
      </c>
      <c r="K5511" t="b">
        <v>1</v>
      </c>
    </row>
    <row r="5512" spans="1:11">
      <c r="A5512" s="12">
        <v>42329</v>
      </c>
      <c r="B5512">
        <v>2015</v>
      </c>
      <c r="C5512">
        <v>11</v>
      </c>
      <c r="D5512" s="11">
        <v>42309</v>
      </c>
      <c r="E5512" t="s">
        <v>2183</v>
      </c>
      <c r="F5512">
        <v>6</v>
      </c>
      <c r="G5512" t="s">
        <v>57</v>
      </c>
      <c r="H5512" t="s">
        <v>46</v>
      </c>
      <c r="I5512" t="s">
        <v>2194</v>
      </c>
      <c r="J5512" s="10">
        <v>17</v>
      </c>
      <c r="K5512" t="b">
        <v>1</v>
      </c>
    </row>
    <row r="5513" spans="1:11">
      <c r="A5513" s="12">
        <v>42329</v>
      </c>
      <c r="B5513">
        <v>2015</v>
      </c>
      <c r="C5513">
        <v>11</v>
      </c>
      <c r="D5513" s="11">
        <v>42309</v>
      </c>
      <c r="E5513" t="s">
        <v>2183</v>
      </c>
      <c r="F5513">
        <v>6</v>
      </c>
      <c r="G5513" t="s">
        <v>57</v>
      </c>
      <c r="H5513" t="s">
        <v>47</v>
      </c>
      <c r="I5513" t="s">
        <v>2195</v>
      </c>
      <c r="J5513" s="10">
        <v>3</v>
      </c>
      <c r="K5513" t="b">
        <v>1</v>
      </c>
    </row>
    <row r="5514" spans="1:11">
      <c r="A5514" s="12">
        <v>42330</v>
      </c>
      <c r="B5514">
        <v>2015</v>
      </c>
      <c r="C5514">
        <v>11</v>
      </c>
      <c r="D5514" s="11">
        <v>42309</v>
      </c>
      <c r="E5514" t="s">
        <v>2183</v>
      </c>
      <c r="F5514">
        <v>7</v>
      </c>
      <c r="G5514" t="s">
        <v>59</v>
      </c>
      <c r="H5514" t="s">
        <v>40</v>
      </c>
      <c r="I5514" t="s">
        <v>2188</v>
      </c>
      <c r="J5514" s="10">
        <v>2</v>
      </c>
      <c r="K5514" t="b">
        <v>1</v>
      </c>
    </row>
    <row r="5515" spans="1:11">
      <c r="A5515" s="12">
        <v>42330</v>
      </c>
      <c r="B5515">
        <v>2015</v>
      </c>
      <c r="C5515">
        <v>11</v>
      </c>
      <c r="D5515" s="11">
        <v>42309</v>
      </c>
      <c r="E5515" t="s">
        <v>2183</v>
      </c>
      <c r="F5515">
        <v>7</v>
      </c>
      <c r="G5515" t="s">
        <v>59</v>
      </c>
      <c r="H5515" t="s">
        <v>41</v>
      </c>
      <c r="I5515" t="s">
        <v>2189</v>
      </c>
      <c r="J5515" s="10">
        <v>3.439</v>
      </c>
      <c r="K5515" t="b">
        <v>1</v>
      </c>
    </row>
    <row r="5516" spans="1:11">
      <c r="A5516" s="12">
        <v>42330</v>
      </c>
      <c r="B5516">
        <v>2015</v>
      </c>
      <c r="C5516">
        <v>11</v>
      </c>
      <c r="D5516" s="11">
        <v>42309</v>
      </c>
      <c r="E5516" t="s">
        <v>2183</v>
      </c>
      <c r="F5516">
        <v>7</v>
      </c>
      <c r="G5516" t="s">
        <v>59</v>
      </c>
      <c r="H5516" t="s">
        <v>42</v>
      </c>
      <c r="I5516" t="s">
        <v>2190</v>
      </c>
      <c r="J5516" s="10">
        <v>2.6</v>
      </c>
      <c r="K5516" t="b">
        <v>1</v>
      </c>
    </row>
    <row r="5517" spans="1:11">
      <c r="A5517" s="12">
        <v>42330</v>
      </c>
      <c r="B5517">
        <v>2015</v>
      </c>
      <c r="C5517">
        <v>11</v>
      </c>
      <c r="D5517" s="11">
        <v>42309</v>
      </c>
      <c r="E5517" t="s">
        <v>2183</v>
      </c>
      <c r="F5517">
        <v>7</v>
      </c>
      <c r="G5517" t="s">
        <v>59</v>
      </c>
      <c r="H5517" t="s">
        <v>43</v>
      </c>
      <c r="I5517" t="s">
        <v>2191</v>
      </c>
      <c r="J5517" s="10">
        <v>41.2</v>
      </c>
      <c r="K5517" t="b">
        <v>1</v>
      </c>
    </row>
    <row r="5518" spans="1:11">
      <c r="A5518" s="12">
        <v>42330</v>
      </c>
      <c r="B5518">
        <v>2015</v>
      </c>
      <c r="C5518">
        <v>11</v>
      </c>
      <c r="D5518" s="11">
        <v>42309</v>
      </c>
      <c r="E5518" t="s">
        <v>2183</v>
      </c>
      <c r="F5518">
        <v>7</v>
      </c>
      <c r="G5518" t="s">
        <v>59</v>
      </c>
      <c r="H5518" t="s">
        <v>44</v>
      </c>
      <c r="I5518" t="s">
        <v>2192</v>
      </c>
      <c r="J5518" s="10">
        <v>6</v>
      </c>
      <c r="K5518" t="b">
        <v>1</v>
      </c>
    </row>
    <row r="5519" spans="1:11">
      <c r="A5519" s="12">
        <v>42330</v>
      </c>
      <c r="B5519">
        <v>2015</v>
      </c>
      <c r="C5519">
        <v>11</v>
      </c>
      <c r="D5519" s="11">
        <v>42309</v>
      </c>
      <c r="E5519" t="s">
        <v>2183</v>
      </c>
      <c r="F5519">
        <v>7</v>
      </c>
      <c r="G5519" t="s">
        <v>59</v>
      </c>
      <c r="H5519" t="s">
        <v>45</v>
      </c>
      <c r="I5519" t="s">
        <v>2193</v>
      </c>
      <c r="J5519" s="10">
        <v>2</v>
      </c>
      <c r="K5519" t="b">
        <v>1</v>
      </c>
    </row>
    <row r="5520" spans="1:11">
      <c r="A5520" s="12">
        <v>42330</v>
      </c>
      <c r="B5520">
        <v>2015</v>
      </c>
      <c r="C5520">
        <v>11</v>
      </c>
      <c r="D5520" s="11">
        <v>42309</v>
      </c>
      <c r="E5520" t="s">
        <v>2183</v>
      </c>
      <c r="F5520">
        <v>7</v>
      </c>
      <c r="G5520" t="s">
        <v>59</v>
      </c>
      <c r="H5520" t="s">
        <v>46</v>
      </c>
      <c r="I5520" t="s">
        <v>2194</v>
      </c>
      <c r="J5520" s="10">
        <v>2</v>
      </c>
      <c r="K5520" t="b">
        <v>1</v>
      </c>
    </row>
    <row r="5521" spans="1:11">
      <c r="A5521" s="12">
        <v>42330</v>
      </c>
      <c r="B5521">
        <v>2015</v>
      </c>
      <c r="C5521">
        <v>11</v>
      </c>
      <c r="D5521" s="11">
        <v>42309</v>
      </c>
      <c r="E5521" t="s">
        <v>2183</v>
      </c>
      <c r="F5521">
        <v>7</v>
      </c>
      <c r="G5521" t="s">
        <v>59</v>
      </c>
      <c r="H5521" t="s">
        <v>47</v>
      </c>
      <c r="I5521" t="s">
        <v>2195</v>
      </c>
      <c r="J5521" s="10">
        <v>1</v>
      </c>
      <c r="K5521" t="b">
        <v>1</v>
      </c>
    </row>
    <row r="5522" spans="1:11">
      <c r="A5522" s="12">
        <v>42331</v>
      </c>
      <c r="B5522">
        <v>2015</v>
      </c>
      <c r="C5522">
        <v>11</v>
      </c>
      <c r="D5522" s="11">
        <v>42309</v>
      </c>
      <c r="E5522" t="s">
        <v>2183</v>
      </c>
      <c r="F5522">
        <v>1</v>
      </c>
      <c r="G5522" t="s">
        <v>61</v>
      </c>
      <c r="H5522" t="s">
        <v>40</v>
      </c>
      <c r="I5522" t="s">
        <v>2188</v>
      </c>
      <c r="J5522" s="10">
        <v>3</v>
      </c>
      <c r="K5522" t="b">
        <v>1</v>
      </c>
    </row>
    <row r="5523" spans="1:11">
      <c r="A5523" s="12">
        <v>42331</v>
      </c>
      <c r="B5523">
        <v>2015</v>
      </c>
      <c r="C5523">
        <v>11</v>
      </c>
      <c r="D5523" s="11">
        <v>42309</v>
      </c>
      <c r="E5523" t="s">
        <v>2183</v>
      </c>
      <c r="F5523">
        <v>1</v>
      </c>
      <c r="G5523" t="s">
        <v>61</v>
      </c>
      <c r="H5523" t="s">
        <v>41</v>
      </c>
      <c r="I5523" t="s">
        <v>2189</v>
      </c>
      <c r="J5523" s="10">
        <v>1</v>
      </c>
      <c r="K5523" t="b">
        <v>1</v>
      </c>
    </row>
    <row r="5524" spans="1:11">
      <c r="A5524" s="12">
        <v>42331</v>
      </c>
      <c r="B5524">
        <v>2015</v>
      </c>
      <c r="C5524">
        <v>11</v>
      </c>
      <c r="D5524" s="11">
        <v>42309</v>
      </c>
      <c r="E5524" t="s">
        <v>2183</v>
      </c>
      <c r="F5524">
        <v>1</v>
      </c>
      <c r="G5524" t="s">
        <v>61</v>
      </c>
      <c r="H5524" t="s">
        <v>42</v>
      </c>
      <c r="I5524" t="s">
        <v>2190</v>
      </c>
      <c r="J5524" s="10">
        <v>4.7</v>
      </c>
      <c r="K5524" t="b">
        <v>1</v>
      </c>
    </row>
    <row r="5525" spans="1:11">
      <c r="A5525" s="12">
        <v>42331</v>
      </c>
      <c r="B5525">
        <v>2015</v>
      </c>
      <c r="C5525">
        <v>11</v>
      </c>
      <c r="D5525" s="11">
        <v>42309</v>
      </c>
      <c r="E5525" t="s">
        <v>2183</v>
      </c>
      <c r="F5525">
        <v>1</v>
      </c>
      <c r="G5525" t="s">
        <v>61</v>
      </c>
      <c r="H5525" t="s">
        <v>43</v>
      </c>
      <c r="I5525" t="s">
        <v>2191</v>
      </c>
      <c r="J5525" s="10">
        <v>69</v>
      </c>
      <c r="K5525" t="b">
        <v>1</v>
      </c>
    </row>
    <row r="5526" spans="1:11">
      <c r="A5526" s="12">
        <v>42331</v>
      </c>
      <c r="B5526">
        <v>2015</v>
      </c>
      <c r="C5526">
        <v>11</v>
      </c>
      <c r="D5526" s="11">
        <v>42309</v>
      </c>
      <c r="E5526" t="s">
        <v>2183</v>
      </c>
      <c r="F5526">
        <v>1</v>
      </c>
      <c r="G5526" t="s">
        <v>61</v>
      </c>
      <c r="H5526" t="s">
        <v>44</v>
      </c>
      <c r="I5526" t="s">
        <v>2192</v>
      </c>
      <c r="J5526" s="10">
        <v>3</v>
      </c>
      <c r="K5526" t="b">
        <v>1</v>
      </c>
    </row>
    <row r="5527" spans="1:11">
      <c r="A5527" s="12">
        <v>42331</v>
      </c>
      <c r="B5527">
        <v>2015</v>
      </c>
      <c r="C5527">
        <v>11</v>
      </c>
      <c r="D5527" s="11">
        <v>42309</v>
      </c>
      <c r="E5527" t="s">
        <v>2183</v>
      </c>
      <c r="F5527">
        <v>1</v>
      </c>
      <c r="G5527" t="s">
        <v>61</v>
      </c>
      <c r="H5527" t="s">
        <v>45</v>
      </c>
      <c r="I5527" t="s">
        <v>2193</v>
      </c>
      <c r="J5527" s="10">
        <v>0</v>
      </c>
      <c r="K5527" t="b">
        <v>1</v>
      </c>
    </row>
    <row r="5528" spans="1:11">
      <c r="A5528" s="12">
        <v>42331</v>
      </c>
      <c r="B5528">
        <v>2015</v>
      </c>
      <c r="C5528">
        <v>11</v>
      </c>
      <c r="D5528" s="11">
        <v>42309</v>
      </c>
      <c r="E5528" t="s">
        <v>2183</v>
      </c>
      <c r="F5528">
        <v>1</v>
      </c>
      <c r="G5528" t="s">
        <v>61</v>
      </c>
      <c r="H5528" t="s">
        <v>46</v>
      </c>
      <c r="I5528" t="s">
        <v>2194</v>
      </c>
      <c r="J5528" s="10">
        <v>1</v>
      </c>
      <c r="K5528" t="b">
        <v>1</v>
      </c>
    </row>
    <row r="5529" spans="1:11">
      <c r="A5529" s="12">
        <v>42331</v>
      </c>
      <c r="B5529">
        <v>2015</v>
      </c>
      <c r="C5529">
        <v>11</v>
      </c>
      <c r="D5529" s="11">
        <v>42309</v>
      </c>
      <c r="E5529" t="s">
        <v>2183</v>
      </c>
      <c r="F5529">
        <v>1</v>
      </c>
      <c r="G5529" t="s">
        <v>61</v>
      </c>
      <c r="H5529" t="s">
        <v>47</v>
      </c>
      <c r="I5529" t="s">
        <v>2195</v>
      </c>
      <c r="J5529" s="10">
        <v>2</v>
      </c>
      <c r="K5529" t="b">
        <v>1</v>
      </c>
    </row>
    <row r="5530" spans="1:11">
      <c r="A5530" s="12">
        <v>42332</v>
      </c>
      <c r="B5530">
        <v>2015</v>
      </c>
      <c r="C5530">
        <v>11</v>
      </c>
      <c r="D5530" s="11">
        <v>42309</v>
      </c>
      <c r="E5530" t="s">
        <v>2183</v>
      </c>
      <c r="F5530">
        <v>2</v>
      </c>
      <c r="G5530" t="s">
        <v>63</v>
      </c>
      <c r="H5530" t="s">
        <v>40</v>
      </c>
      <c r="I5530" t="s">
        <v>2188</v>
      </c>
      <c r="J5530" s="10">
        <v>5</v>
      </c>
      <c r="K5530" t="b">
        <v>1</v>
      </c>
    </row>
    <row r="5531" spans="1:11">
      <c r="A5531" s="12">
        <v>42332</v>
      </c>
      <c r="B5531">
        <v>2015</v>
      </c>
      <c r="C5531">
        <v>11</v>
      </c>
      <c r="D5531" s="11">
        <v>42309</v>
      </c>
      <c r="E5531" t="s">
        <v>2183</v>
      </c>
      <c r="F5531">
        <v>2</v>
      </c>
      <c r="G5531" t="s">
        <v>63</v>
      </c>
      <c r="H5531" t="s">
        <v>41</v>
      </c>
      <c r="I5531" t="s">
        <v>2189</v>
      </c>
      <c r="J5531" s="10">
        <v>6.33</v>
      </c>
      <c r="K5531" t="b">
        <v>1</v>
      </c>
    </row>
    <row r="5532" spans="1:11">
      <c r="A5532" s="12">
        <v>42332</v>
      </c>
      <c r="B5532">
        <v>2015</v>
      </c>
      <c r="C5532">
        <v>11</v>
      </c>
      <c r="D5532" s="11">
        <v>42309</v>
      </c>
      <c r="E5532" t="s">
        <v>2183</v>
      </c>
      <c r="F5532">
        <v>2</v>
      </c>
      <c r="G5532" t="s">
        <v>63</v>
      </c>
      <c r="H5532" t="s">
        <v>42</v>
      </c>
      <c r="I5532" t="s">
        <v>2190</v>
      </c>
      <c r="J5532" s="10">
        <v>6.4</v>
      </c>
      <c r="K5532" t="b">
        <v>1</v>
      </c>
    </row>
    <row r="5533" spans="1:11">
      <c r="A5533" s="12">
        <v>42332</v>
      </c>
      <c r="B5533">
        <v>2015</v>
      </c>
      <c r="C5533">
        <v>11</v>
      </c>
      <c r="D5533" s="11">
        <v>42309</v>
      </c>
      <c r="E5533" t="s">
        <v>2183</v>
      </c>
      <c r="F5533">
        <v>2</v>
      </c>
      <c r="G5533" t="s">
        <v>63</v>
      </c>
      <c r="H5533" t="s">
        <v>43</v>
      </c>
      <c r="I5533" t="s">
        <v>2191</v>
      </c>
      <c r="J5533" s="10">
        <v>19.8</v>
      </c>
      <c r="K5533" t="b">
        <v>1</v>
      </c>
    </row>
    <row r="5534" spans="1:11">
      <c r="A5534" s="12">
        <v>42332</v>
      </c>
      <c r="B5534">
        <v>2015</v>
      </c>
      <c r="C5534">
        <v>11</v>
      </c>
      <c r="D5534" s="11">
        <v>42309</v>
      </c>
      <c r="E5534" t="s">
        <v>2183</v>
      </c>
      <c r="F5534">
        <v>2</v>
      </c>
      <c r="G5534" t="s">
        <v>63</v>
      </c>
      <c r="H5534" t="s">
        <v>44</v>
      </c>
      <c r="I5534" t="s">
        <v>2192</v>
      </c>
      <c r="J5534" s="10">
        <v>12</v>
      </c>
      <c r="K5534" t="b">
        <v>1</v>
      </c>
    </row>
    <row r="5535" spans="1:11">
      <c r="A5535" s="12">
        <v>42332</v>
      </c>
      <c r="B5535">
        <v>2015</v>
      </c>
      <c r="C5535">
        <v>11</v>
      </c>
      <c r="D5535" s="11">
        <v>42309</v>
      </c>
      <c r="E5535" t="s">
        <v>2183</v>
      </c>
      <c r="F5535">
        <v>2</v>
      </c>
      <c r="G5535" t="s">
        <v>63</v>
      </c>
      <c r="H5535" t="s">
        <v>45</v>
      </c>
      <c r="I5535" t="s">
        <v>2193</v>
      </c>
      <c r="J5535" s="10">
        <v>3</v>
      </c>
      <c r="K5535" t="b">
        <v>1</v>
      </c>
    </row>
    <row r="5536" spans="1:11">
      <c r="A5536" s="12">
        <v>42332</v>
      </c>
      <c r="B5536">
        <v>2015</v>
      </c>
      <c r="C5536">
        <v>11</v>
      </c>
      <c r="D5536" s="11">
        <v>42309</v>
      </c>
      <c r="E5536" t="s">
        <v>2183</v>
      </c>
      <c r="F5536">
        <v>2</v>
      </c>
      <c r="G5536" t="s">
        <v>63</v>
      </c>
      <c r="H5536" t="s">
        <v>46</v>
      </c>
      <c r="I5536" t="s">
        <v>2194</v>
      </c>
      <c r="J5536" s="10">
        <v>1</v>
      </c>
      <c r="K5536" t="b">
        <v>1</v>
      </c>
    </row>
    <row r="5537" spans="1:11">
      <c r="A5537" s="12">
        <v>42332</v>
      </c>
      <c r="B5537">
        <v>2015</v>
      </c>
      <c r="C5537">
        <v>11</v>
      </c>
      <c r="D5537" s="11">
        <v>42309</v>
      </c>
      <c r="E5537" t="s">
        <v>2183</v>
      </c>
      <c r="F5537">
        <v>2</v>
      </c>
      <c r="G5537" t="s">
        <v>63</v>
      </c>
      <c r="H5537" t="s">
        <v>47</v>
      </c>
      <c r="I5537" t="s">
        <v>2195</v>
      </c>
      <c r="J5537" s="10">
        <v>5</v>
      </c>
      <c r="K5537" t="b">
        <v>1</v>
      </c>
    </row>
    <row r="5538" spans="1:11">
      <c r="A5538" s="12">
        <v>42333</v>
      </c>
      <c r="B5538">
        <v>2015</v>
      </c>
      <c r="C5538">
        <v>11</v>
      </c>
      <c r="D5538" s="11">
        <v>42309</v>
      </c>
      <c r="E5538" t="s">
        <v>2183</v>
      </c>
      <c r="F5538">
        <v>3</v>
      </c>
      <c r="G5538" t="s">
        <v>65</v>
      </c>
      <c r="H5538" t="s">
        <v>40</v>
      </c>
      <c r="I5538" t="s">
        <v>2188</v>
      </c>
      <c r="J5538" s="10">
        <v>5.66</v>
      </c>
      <c r="K5538" t="b">
        <v>1</v>
      </c>
    </row>
    <row r="5539" spans="1:11">
      <c r="A5539" s="12">
        <v>42333</v>
      </c>
      <c r="B5539">
        <v>2015</v>
      </c>
      <c r="C5539">
        <v>11</v>
      </c>
      <c r="D5539" s="11">
        <v>42309</v>
      </c>
      <c r="E5539" t="s">
        <v>2183</v>
      </c>
      <c r="F5539">
        <v>3</v>
      </c>
      <c r="G5539" t="s">
        <v>65</v>
      </c>
      <c r="H5539" t="s">
        <v>41</v>
      </c>
      <c r="I5539" t="s">
        <v>2189</v>
      </c>
      <c r="J5539" s="10">
        <v>5.33</v>
      </c>
      <c r="K5539" t="b">
        <v>1</v>
      </c>
    </row>
    <row r="5540" spans="1:11">
      <c r="A5540" s="12">
        <v>42333</v>
      </c>
      <c r="B5540">
        <v>2015</v>
      </c>
      <c r="C5540">
        <v>11</v>
      </c>
      <c r="D5540" s="11">
        <v>42309</v>
      </c>
      <c r="E5540" t="s">
        <v>2183</v>
      </c>
      <c r="F5540">
        <v>3</v>
      </c>
      <c r="G5540" t="s">
        <v>65</v>
      </c>
      <c r="H5540" t="s">
        <v>42</v>
      </c>
      <c r="I5540" t="s">
        <v>2190</v>
      </c>
      <c r="J5540" s="10">
        <v>3.2</v>
      </c>
      <c r="K5540" t="b">
        <v>1</v>
      </c>
    </row>
    <row r="5541" spans="1:11">
      <c r="A5541" s="12">
        <v>42333</v>
      </c>
      <c r="B5541">
        <v>2015</v>
      </c>
      <c r="C5541">
        <v>11</v>
      </c>
      <c r="D5541" s="11">
        <v>42309</v>
      </c>
      <c r="E5541" t="s">
        <v>2183</v>
      </c>
      <c r="F5541">
        <v>3</v>
      </c>
      <c r="G5541" t="s">
        <v>65</v>
      </c>
      <c r="H5541" t="s">
        <v>43</v>
      </c>
      <c r="I5541" t="s">
        <v>2191</v>
      </c>
      <c r="J5541" s="10">
        <v>29</v>
      </c>
      <c r="K5541" t="b">
        <v>1</v>
      </c>
    </row>
    <row r="5542" spans="1:11">
      <c r="A5542" s="12">
        <v>42333</v>
      </c>
      <c r="B5542">
        <v>2015</v>
      </c>
      <c r="C5542">
        <v>11</v>
      </c>
      <c r="D5542" s="11">
        <v>42309</v>
      </c>
      <c r="E5542" t="s">
        <v>2183</v>
      </c>
      <c r="F5542">
        <v>3</v>
      </c>
      <c r="G5542" t="s">
        <v>65</v>
      </c>
      <c r="H5542" t="s">
        <v>44</v>
      </c>
      <c r="I5542" t="s">
        <v>2192</v>
      </c>
      <c r="J5542" s="10">
        <v>11</v>
      </c>
      <c r="K5542" t="b">
        <v>1</v>
      </c>
    </row>
    <row r="5543" spans="1:11">
      <c r="A5543" s="12">
        <v>42333</v>
      </c>
      <c r="B5543">
        <v>2015</v>
      </c>
      <c r="C5543">
        <v>11</v>
      </c>
      <c r="D5543" s="11">
        <v>42309</v>
      </c>
      <c r="E5543" t="s">
        <v>2183</v>
      </c>
      <c r="F5543">
        <v>3</v>
      </c>
      <c r="G5543" t="s">
        <v>65</v>
      </c>
      <c r="H5543" t="s">
        <v>45</v>
      </c>
      <c r="I5543" t="s">
        <v>2193</v>
      </c>
      <c r="J5543" s="10">
        <v>0</v>
      </c>
      <c r="K5543" t="b">
        <v>1</v>
      </c>
    </row>
    <row r="5544" spans="1:11">
      <c r="A5544" s="12">
        <v>42333</v>
      </c>
      <c r="B5544">
        <v>2015</v>
      </c>
      <c r="C5544">
        <v>11</v>
      </c>
      <c r="D5544" s="11">
        <v>42309</v>
      </c>
      <c r="E5544" t="s">
        <v>2183</v>
      </c>
      <c r="F5544">
        <v>3</v>
      </c>
      <c r="G5544" t="s">
        <v>65</v>
      </c>
      <c r="H5544" t="s">
        <v>46</v>
      </c>
      <c r="I5544" t="s">
        <v>2194</v>
      </c>
      <c r="J5544" s="10">
        <v>3</v>
      </c>
      <c r="K5544" t="b">
        <v>1</v>
      </c>
    </row>
    <row r="5545" spans="1:11">
      <c r="A5545" s="12">
        <v>42333</v>
      </c>
      <c r="B5545">
        <v>2015</v>
      </c>
      <c r="C5545">
        <v>11</v>
      </c>
      <c r="D5545" s="11">
        <v>42309</v>
      </c>
      <c r="E5545" t="s">
        <v>2183</v>
      </c>
      <c r="F5545">
        <v>3</v>
      </c>
      <c r="G5545" t="s">
        <v>65</v>
      </c>
      <c r="H5545" t="s">
        <v>47</v>
      </c>
      <c r="I5545" t="s">
        <v>2195</v>
      </c>
      <c r="J5545" s="10">
        <v>3</v>
      </c>
      <c r="K5545" t="b">
        <v>1</v>
      </c>
    </row>
    <row r="5546" spans="1:11">
      <c r="A5546" s="12">
        <v>42334</v>
      </c>
      <c r="B5546">
        <v>2015</v>
      </c>
      <c r="C5546">
        <v>11</v>
      </c>
      <c r="D5546" s="11">
        <v>42309</v>
      </c>
      <c r="E5546" t="s">
        <v>2183</v>
      </c>
      <c r="F5546">
        <v>4</v>
      </c>
      <c r="G5546" t="s">
        <v>53</v>
      </c>
      <c r="H5546" t="s">
        <v>40</v>
      </c>
      <c r="I5546" t="s">
        <v>2188</v>
      </c>
      <c r="J5546" s="10">
        <v>4.33</v>
      </c>
      <c r="K5546" t="b">
        <v>1</v>
      </c>
    </row>
    <row r="5547" spans="1:11">
      <c r="A5547" s="12">
        <v>42334</v>
      </c>
      <c r="B5547">
        <v>2015</v>
      </c>
      <c r="C5547">
        <v>11</v>
      </c>
      <c r="D5547" s="11">
        <v>42309</v>
      </c>
      <c r="E5547" t="s">
        <v>2183</v>
      </c>
      <c r="F5547">
        <v>4</v>
      </c>
      <c r="G5547" t="s">
        <v>53</v>
      </c>
      <c r="H5547" t="s">
        <v>41</v>
      </c>
      <c r="I5547" t="s">
        <v>2189</v>
      </c>
      <c r="J5547" s="10">
        <v>4</v>
      </c>
      <c r="K5547" t="b">
        <v>1</v>
      </c>
    </row>
    <row r="5548" spans="1:11">
      <c r="A5548" s="12">
        <v>42334</v>
      </c>
      <c r="B5548">
        <v>2015</v>
      </c>
      <c r="C5548">
        <v>11</v>
      </c>
      <c r="D5548" s="11">
        <v>42309</v>
      </c>
      <c r="E5548" t="s">
        <v>2183</v>
      </c>
      <c r="F5548">
        <v>4</v>
      </c>
      <c r="G5548" t="s">
        <v>53</v>
      </c>
      <c r="H5548" t="s">
        <v>42</v>
      </c>
      <c r="I5548" t="s">
        <v>2190</v>
      </c>
      <c r="J5548" s="10">
        <v>2</v>
      </c>
      <c r="K5548" t="b">
        <v>1</v>
      </c>
    </row>
    <row r="5549" spans="1:11">
      <c r="A5549" s="12">
        <v>42334</v>
      </c>
      <c r="B5549">
        <v>2015</v>
      </c>
      <c r="C5549">
        <v>11</v>
      </c>
      <c r="D5549" s="11">
        <v>42309</v>
      </c>
      <c r="E5549" t="s">
        <v>2183</v>
      </c>
      <c r="F5549">
        <v>4</v>
      </c>
      <c r="G5549" t="s">
        <v>53</v>
      </c>
      <c r="H5549" t="s">
        <v>43</v>
      </c>
      <c r="I5549" t="s">
        <v>2191</v>
      </c>
      <c r="J5549" s="10">
        <v>25.975</v>
      </c>
      <c r="K5549" t="b">
        <v>1</v>
      </c>
    </row>
    <row r="5550" spans="1:11">
      <c r="A5550" s="12">
        <v>42334</v>
      </c>
      <c r="B5550">
        <v>2015</v>
      </c>
      <c r="C5550">
        <v>11</v>
      </c>
      <c r="D5550" s="11">
        <v>42309</v>
      </c>
      <c r="E5550" t="s">
        <v>2183</v>
      </c>
      <c r="F5550">
        <v>4</v>
      </c>
      <c r="G5550" t="s">
        <v>53</v>
      </c>
      <c r="H5550" t="s">
        <v>44</v>
      </c>
      <c r="I5550" t="s">
        <v>2192</v>
      </c>
      <c r="J5550" s="10">
        <v>8</v>
      </c>
      <c r="K5550" t="b">
        <v>1</v>
      </c>
    </row>
    <row r="5551" spans="1:11">
      <c r="A5551" s="12">
        <v>42334</v>
      </c>
      <c r="B5551">
        <v>2015</v>
      </c>
      <c r="C5551">
        <v>11</v>
      </c>
      <c r="D5551" s="11">
        <v>42309</v>
      </c>
      <c r="E5551" t="s">
        <v>2183</v>
      </c>
      <c r="F5551">
        <v>4</v>
      </c>
      <c r="G5551" t="s">
        <v>53</v>
      </c>
      <c r="H5551" t="s">
        <v>45</v>
      </c>
      <c r="I5551" t="s">
        <v>2193</v>
      </c>
      <c r="J5551" s="10">
        <v>0</v>
      </c>
      <c r="K5551" t="b">
        <v>1</v>
      </c>
    </row>
    <row r="5552" spans="1:11">
      <c r="A5552" s="12">
        <v>42334</v>
      </c>
      <c r="B5552">
        <v>2015</v>
      </c>
      <c r="C5552">
        <v>11</v>
      </c>
      <c r="D5552" s="11">
        <v>42309</v>
      </c>
      <c r="E5552" t="s">
        <v>2183</v>
      </c>
      <c r="F5552">
        <v>4</v>
      </c>
      <c r="G5552" t="s">
        <v>53</v>
      </c>
      <c r="H5552" t="s">
        <v>46</v>
      </c>
      <c r="I5552" t="s">
        <v>2194</v>
      </c>
      <c r="J5552" s="10">
        <v>0</v>
      </c>
      <c r="K5552" t="b">
        <v>1</v>
      </c>
    </row>
    <row r="5553" spans="1:11">
      <c r="A5553" s="12">
        <v>42334</v>
      </c>
      <c r="B5553">
        <v>2015</v>
      </c>
      <c r="C5553">
        <v>11</v>
      </c>
      <c r="D5553" s="11">
        <v>42309</v>
      </c>
      <c r="E5553" t="s">
        <v>2183</v>
      </c>
      <c r="F5553">
        <v>4</v>
      </c>
      <c r="G5553" t="s">
        <v>53</v>
      </c>
      <c r="H5553" t="s">
        <v>47</v>
      </c>
      <c r="I5553" t="s">
        <v>2195</v>
      </c>
      <c r="J5553" s="10">
        <v>0</v>
      </c>
      <c r="K5553" t="b">
        <v>1</v>
      </c>
    </row>
    <row r="5554" spans="1:11">
      <c r="A5554" s="12">
        <v>42335</v>
      </c>
      <c r="B5554">
        <v>2015</v>
      </c>
      <c r="C5554">
        <v>11</v>
      </c>
      <c r="D5554" s="11">
        <v>42309</v>
      </c>
      <c r="E5554" t="s">
        <v>2183</v>
      </c>
      <c r="F5554">
        <v>5</v>
      </c>
      <c r="G5554" t="s">
        <v>55</v>
      </c>
      <c r="H5554" t="s">
        <v>40</v>
      </c>
      <c r="I5554" t="s">
        <v>2188</v>
      </c>
      <c r="J5554" s="10">
        <v>0.67</v>
      </c>
      <c r="K5554" t="b">
        <v>1</v>
      </c>
    </row>
    <row r="5555" spans="1:11">
      <c r="A5555" s="12">
        <v>42335</v>
      </c>
      <c r="B5555">
        <v>2015</v>
      </c>
      <c r="C5555">
        <v>11</v>
      </c>
      <c r="D5555" s="11">
        <v>42309</v>
      </c>
      <c r="E5555" t="s">
        <v>2183</v>
      </c>
      <c r="F5555">
        <v>5</v>
      </c>
      <c r="G5555" t="s">
        <v>55</v>
      </c>
      <c r="H5555" t="s">
        <v>41</v>
      </c>
      <c r="I5555" t="s">
        <v>2189</v>
      </c>
      <c r="J5555" s="10">
        <v>4.373</v>
      </c>
      <c r="K5555" t="b">
        <v>1</v>
      </c>
    </row>
    <row r="5556" spans="1:11">
      <c r="A5556" s="12">
        <v>42335</v>
      </c>
      <c r="B5556">
        <v>2015</v>
      </c>
      <c r="C5556">
        <v>11</v>
      </c>
      <c r="D5556" s="11">
        <v>42309</v>
      </c>
      <c r="E5556" t="s">
        <v>2183</v>
      </c>
      <c r="F5556">
        <v>5</v>
      </c>
      <c r="G5556" t="s">
        <v>55</v>
      </c>
      <c r="H5556" t="s">
        <v>42</v>
      </c>
      <c r="I5556" t="s">
        <v>2190</v>
      </c>
      <c r="J5556" s="10">
        <v>2</v>
      </c>
      <c r="K5556" t="b">
        <v>1</v>
      </c>
    </row>
    <row r="5557" spans="1:11">
      <c r="A5557" s="12">
        <v>42335</v>
      </c>
      <c r="B5557">
        <v>2015</v>
      </c>
      <c r="C5557">
        <v>11</v>
      </c>
      <c r="D5557" s="11">
        <v>42309</v>
      </c>
      <c r="E5557" t="s">
        <v>2183</v>
      </c>
      <c r="F5557">
        <v>5</v>
      </c>
      <c r="G5557" t="s">
        <v>55</v>
      </c>
      <c r="H5557" t="s">
        <v>43</v>
      </c>
      <c r="I5557" t="s">
        <v>2191</v>
      </c>
      <c r="J5557" s="10">
        <v>20.8</v>
      </c>
      <c r="K5557" t="b">
        <v>1</v>
      </c>
    </row>
    <row r="5558" spans="1:11">
      <c r="A5558" s="12">
        <v>42335</v>
      </c>
      <c r="B5558">
        <v>2015</v>
      </c>
      <c r="C5558">
        <v>11</v>
      </c>
      <c r="D5558" s="11">
        <v>42309</v>
      </c>
      <c r="E5558" t="s">
        <v>2183</v>
      </c>
      <c r="F5558">
        <v>5</v>
      </c>
      <c r="G5558" t="s">
        <v>55</v>
      </c>
      <c r="H5558" t="s">
        <v>44</v>
      </c>
      <c r="I5558" t="s">
        <v>2192</v>
      </c>
      <c r="J5558" s="10">
        <v>7</v>
      </c>
      <c r="K5558" t="b">
        <v>1</v>
      </c>
    </row>
    <row r="5559" spans="1:11">
      <c r="A5559" s="12">
        <v>42335</v>
      </c>
      <c r="B5559">
        <v>2015</v>
      </c>
      <c r="C5559">
        <v>11</v>
      </c>
      <c r="D5559" s="11">
        <v>42309</v>
      </c>
      <c r="E5559" t="s">
        <v>2183</v>
      </c>
      <c r="F5559">
        <v>5</v>
      </c>
      <c r="G5559" t="s">
        <v>55</v>
      </c>
      <c r="H5559" t="s">
        <v>45</v>
      </c>
      <c r="I5559" t="s">
        <v>2193</v>
      </c>
      <c r="J5559" s="10">
        <v>0</v>
      </c>
      <c r="K5559" t="b">
        <v>1</v>
      </c>
    </row>
    <row r="5560" spans="1:11">
      <c r="A5560" s="12">
        <v>42335</v>
      </c>
      <c r="B5560">
        <v>2015</v>
      </c>
      <c r="C5560">
        <v>11</v>
      </c>
      <c r="D5560" s="11">
        <v>42309</v>
      </c>
      <c r="E5560" t="s">
        <v>2183</v>
      </c>
      <c r="F5560">
        <v>5</v>
      </c>
      <c r="G5560" t="s">
        <v>55</v>
      </c>
      <c r="H5560" t="s">
        <v>46</v>
      </c>
      <c r="I5560" t="s">
        <v>2194</v>
      </c>
      <c r="J5560" s="10">
        <v>0</v>
      </c>
      <c r="K5560" t="b">
        <v>1</v>
      </c>
    </row>
    <row r="5561" spans="1:11">
      <c r="A5561" s="12">
        <v>42335</v>
      </c>
      <c r="B5561">
        <v>2015</v>
      </c>
      <c r="C5561">
        <v>11</v>
      </c>
      <c r="D5561" s="11">
        <v>42309</v>
      </c>
      <c r="E5561" t="s">
        <v>2183</v>
      </c>
      <c r="F5561">
        <v>5</v>
      </c>
      <c r="G5561" t="s">
        <v>55</v>
      </c>
      <c r="H5561" t="s">
        <v>47</v>
      </c>
      <c r="I5561" t="s">
        <v>2195</v>
      </c>
      <c r="J5561" s="10">
        <v>0</v>
      </c>
      <c r="K5561" t="b">
        <v>1</v>
      </c>
    </row>
    <row r="5562" spans="1:11">
      <c r="A5562" s="12">
        <v>42336</v>
      </c>
      <c r="B5562">
        <v>2015</v>
      </c>
      <c r="C5562">
        <v>11</v>
      </c>
      <c r="D5562" s="11">
        <v>42309</v>
      </c>
      <c r="E5562" t="s">
        <v>2183</v>
      </c>
      <c r="F5562">
        <v>6</v>
      </c>
      <c r="G5562" t="s">
        <v>57</v>
      </c>
      <c r="H5562" t="s">
        <v>40</v>
      </c>
      <c r="I5562" t="s">
        <v>2188</v>
      </c>
      <c r="J5562" s="10">
        <v>6.33</v>
      </c>
      <c r="K5562" t="b">
        <v>1</v>
      </c>
    </row>
    <row r="5563" spans="1:11">
      <c r="A5563" s="12">
        <v>42336</v>
      </c>
      <c r="B5563">
        <v>2015</v>
      </c>
      <c r="C5563">
        <v>11</v>
      </c>
      <c r="D5563" s="11">
        <v>42309</v>
      </c>
      <c r="E5563" t="s">
        <v>2183</v>
      </c>
      <c r="F5563">
        <v>6</v>
      </c>
      <c r="G5563" t="s">
        <v>57</v>
      </c>
      <c r="H5563" t="s">
        <v>41</v>
      </c>
      <c r="I5563" t="s">
        <v>2189</v>
      </c>
      <c r="J5563" s="10">
        <v>3.66</v>
      </c>
      <c r="K5563" t="b">
        <v>1</v>
      </c>
    </row>
    <row r="5564" spans="1:11">
      <c r="A5564" s="12">
        <v>42336</v>
      </c>
      <c r="B5564">
        <v>2015</v>
      </c>
      <c r="C5564">
        <v>11</v>
      </c>
      <c r="D5564" s="11">
        <v>42309</v>
      </c>
      <c r="E5564" t="s">
        <v>2183</v>
      </c>
      <c r="F5564">
        <v>6</v>
      </c>
      <c r="G5564" t="s">
        <v>57</v>
      </c>
      <c r="H5564" t="s">
        <v>42</v>
      </c>
      <c r="I5564" t="s">
        <v>2190</v>
      </c>
      <c r="J5564" s="10">
        <v>4</v>
      </c>
      <c r="K5564" t="b">
        <v>1</v>
      </c>
    </row>
    <row r="5565" spans="1:11">
      <c r="A5565" s="12">
        <v>42336</v>
      </c>
      <c r="B5565">
        <v>2015</v>
      </c>
      <c r="C5565">
        <v>11</v>
      </c>
      <c r="D5565" s="11">
        <v>42309</v>
      </c>
      <c r="E5565" t="s">
        <v>2183</v>
      </c>
      <c r="F5565">
        <v>6</v>
      </c>
      <c r="G5565" t="s">
        <v>57</v>
      </c>
      <c r="H5565" t="s">
        <v>43</v>
      </c>
      <c r="I5565" t="s">
        <v>2191</v>
      </c>
      <c r="J5565" s="10">
        <v>46.825</v>
      </c>
      <c r="K5565" t="b">
        <v>1</v>
      </c>
    </row>
    <row r="5566" spans="1:11">
      <c r="A5566" s="12">
        <v>42336</v>
      </c>
      <c r="B5566">
        <v>2015</v>
      </c>
      <c r="C5566">
        <v>11</v>
      </c>
      <c r="D5566" s="11">
        <v>42309</v>
      </c>
      <c r="E5566" t="s">
        <v>2183</v>
      </c>
      <c r="F5566">
        <v>6</v>
      </c>
      <c r="G5566" t="s">
        <v>57</v>
      </c>
      <c r="H5566" t="s">
        <v>44</v>
      </c>
      <c r="I5566" t="s">
        <v>2192</v>
      </c>
      <c r="J5566" s="10">
        <v>3</v>
      </c>
      <c r="K5566" t="b">
        <v>1</v>
      </c>
    </row>
    <row r="5567" spans="1:11">
      <c r="A5567" s="12">
        <v>42336</v>
      </c>
      <c r="B5567">
        <v>2015</v>
      </c>
      <c r="C5567">
        <v>11</v>
      </c>
      <c r="D5567" s="11">
        <v>42309</v>
      </c>
      <c r="E5567" t="s">
        <v>2183</v>
      </c>
      <c r="F5567">
        <v>6</v>
      </c>
      <c r="G5567" t="s">
        <v>57</v>
      </c>
      <c r="H5567" t="s">
        <v>45</v>
      </c>
      <c r="I5567" t="s">
        <v>2193</v>
      </c>
      <c r="J5567" s="10">
        <v>0</v>
      </c>
      <c r="K5567" t="b">
        <v>1</v>
      </c>
    </row>
    <row r="5568" spans="1:11">
      <c r="A5568" s="12">
        <v>42336</v>
      </c>
      <c r="B5568">
        <v>2015</v>
      </c>
      <c r="C5568">
        <v>11</v>
      </c>
      <c r="D5568" s="11">
        <v>42309</v>
      </c>
      <c r="E5568" t="s">
        <v>2183</v>
      </c>
      <c r="F5568">
        <v>6</v>
      </c>
      <c r="G5568" t="s">
        <v>57</v>
      </c>
      <c r="H5568" t="s">
        <v>46</v>
      </c>
      <c r="I5568" t="s">
        <v>2194</v>
      </c>
      <c r="J5568" s="10">
        <v>10</v>
      </c>
      <c r="K5568" t="b">
        <v>1</v>
      </c>
    </row>
    <row r="5569" spans="1:11">
      <c r="A5569" s="12">
        <v>42336</v>
      </c>
      <c r="B5569">
        <v>2015</v>
      </c>
      <c r="C5569">
        <v>11</v>
      </c>
      <c r="D5569" s="11">
        <v>42309</v>
      </c>
      <c r="E5569" t="s">
        <v>2183</v>
      </c>
      <c r="F5569">
        <v>6</v>
      </c>
      <c r="G5569" t="s">
        <v>57</v>
      </c>
      <c r="H5569" t="s">
        <v>47</v>
      </c>
      <c r="I5569" t="s">
        <v>2195</v>
      </c>
      <c r="J5569" s="10">
        <v>1</v>
      </c>
      <c r="K5569" t="b">
        <v>1</v>
      </c>
    </row>
    <row r="5570" spans="1:11">
      <c r="A5570" s="12">
        <v>42337</v>
      </c>
      <c r="B5570">
        <v>2015</v>
      </c>
      <c r="C5570">
        <v>11</v>
      </c>
      <c r="D5570" s="11">
        <v>42309</v>
      </c>
      <c r="E5570" t="s">
        <v>2183</v>
      </c>
      <c r="F5570">
        <v>7</v>
      </c>
      <c r="G5570" t="s">
        <v>59</v>
      </c>
      <c r="H5570" t="s">
        <v>40</v>
      </c>
      <c r="I5570" t="s">
        <v>2188</v>
      </c>
      <c r="J5570" s="10">
        <v>6.66</v>
      </c>
      <c r="K5570" t="b">
        <v>1</v>
      </c>
    </row>
    <row r="5571" spans="1:11">
      <c r="A5571" s="12">
        <v>42337</v>
      </c>
      <c r="B5571">
        <v>2015</v>
      </c>
      <c r="C5571">
        <v>11</v>
      </c>
      <c r="D5571" s="11">
        <v>42309</v>
      </c>
      <c r="E5571" t="s">
        <v>2183</v>
      </c>
      <c r="F5571">
        <v>7</v>
      </c>
      <c r="G5571" t="s">
        <v>59</v>
      </c>
      <c r="H5571" t="s">
        <v>41</v>
      </c>
      <c r="I5571" t="s">
        <v>2189</v>
      </c>
      <c r="J5571" s="10">
        <v>3.726</v>
      </c>
      <c r="K5571" t="b">
        <v>1</v>
      </c>
    </row>
    <row r="5572" spans="1:11">
      <c r="A5572" s="12">
        <v>42337</v>
      </c>
      <c r="B5572">
        <v>2015</v>
      </c>
      <c r="C5572">
        <v>11</v>
      </c>
      <c r="D5572" s="11">
        <v>42309</v>
      </c>
      <c r="E5572" t="s">
        <v>2183</v>
      </c>
      <c r="F5572">
        <v>7</v>
      </c>
      <c r="G5572" t="s">
        <v>59</v>
      </c>
      <c r="H5572" t="s">
        <v>42</v>
      </c>
      <c r="I5572" t="s">
        <v>2190</v>
      </c>
      <c r="J5572" s="10">
        <v>6</v>
      </c>
      <c r="K5572" t="b">
        <v>1</v>
      </c>
    </row>
    <row r="5573" spans="1:11">
      <c r="A5573" s="12">
        <v>42337</v>
      </c>
      <c r="B5573">
        <v>2015</v>
      </c>
      <c r="C5573">
        <v>11</v>
      </c>
      <c r="D5573" s="11">
        <v>42309</v>
      </c>
      <c r="E5573" t="s">
        <v>2183</v>
      </c>
      <c r="F5573">
        <v>7</v>
      </c>
      <c r="G5573" t="s">
        <v>59</v>
      </c>
      <c r="H5573" t="s">
        <v>43</v>
      </c>
      <c r="I5573" t="s">
        <v>2191</v>
      </c>
      <c r="J5573" s="10">
        <v>42.2</v>
      </c>
      <c r="K5573" t="b">
        <v>1</v>
      </c>
    </row>
    <row r="5574" spans="1:11">
      <c r="A5574" s="12">
        <v>42337</v>
      </c>
      <c r="B5574">
        <v>2015</v>
      </c>
      <c r="C5574">
        <v>11</v>
      </c>
      <c r="D5574" s="11">
        <v>42309</v>
      </c>
      <c r="E5574" t="s">
        <v>2183</v>
      </c>
      <c r="F5574">
        <v>7</v>
      </c>
      <c r="G5574" t="s">
        <v>59</v>
      </c>
      <c r="H5574" t="s">
        <v>44</v>
      </c>
      <c r="I5574" t="s">
        <v>2192</v>
      </c>
      <c r="J5574" s="10">
        <v>1</v>
      </c>
      <c r="K5574" t="b">
        <v>1</v>
      </c>
    </row>
    <row r="5575" spans="1:11">
      <c r="A5575" s="12">
        <v>42337</v>
      </c>
      <c r="B5575">
        <v>2015</v>
      </c>
      <c r="C5575">
        <v>11</v>
      </c>
      <c r="D5575" s="11">
        <v>42309</v>
      </c>
      <c r="E5575" t="s">
        <v>2183</v>
      </c>
      <c r="F5575">
        <v>7</v>
      </c>
      <c r="G5575" t="s">
        <v>59</v>
      </c>
      <c r="H5575" t="s">
        <v>45</v>
      </c>
      <c r="I5575" t="s">
        <v>2193</v>
      </c>
      <c r="J5575" s="10">
        <v>0</v>
      </c>
      <c r="K5575" t="b">
        <v>1</v>
      </c>
    </row>
    <row r="5576" spans="1:11">
      <c r="A5576" s="12">
        <v>42337</v>
      </c>
      <c r="B5576">
        <v>2015</v>
      </c>
      <c r="C5576">
        <v>11</v>
      </c>
      <c r="D5576" s="11">
        <v>42309</v>
      </c>
      <c r="E5576" t="s">
        <v>2183</v>
      </c>
      <c r="F5576">
        <v>7</v>
      </c>
      <c r="G5576" t="s">
        <v>59</v>
      </c>
      <c r="H5576" t="s">
        <v>46</v>
      </c>
      <c r="I5576" t="s">
        <v>2194</v>
      </c>
      <c r="J5576" s="10">
        <v>4</v>
      </c>
      <c r="K5576" t="b">
        <v>1</v>
      </c>
    </row>
    <row r="5577" spans="1:11">
      <c r="A5577" s="12">
        <v>42337</v>
      </c>
      <c r="B5577">
        <v>2015</v>
      </c>
      <c r="C5577">
        <v>11</v>
      </c>
      <c r="D5577" s="11">
        <v>42309</v>
      </c>
      <c r="E5577" t="s">
        <v>2183</v>
      </c>
      <c r="F5577">
        <v>7</v>
      </c>
      <c r="G5577" t="s">
        <v>59</v>
      </c>
      <c r="H5577" t="s">
        <v>47</v>
      </c>
      <c r="I5577" t="s">
        <v>2195</v>
      </c>
      <c r="J5577" s="10">
        <v>0</v>
      </c>
      <c r="K5577" t="b">
        <v>1</v>
      </c>
    </row>
    <row r="5578" spans="1:11">
      <c r="A5578" s="12">
        <v>42338</v>
      </c>
      <c r="B5578">
        <v>2015</v>
      </c>
      <c r="C5578">
        <v>11</v>
      </c>
      <c r="D5578" s="11">
        <v>42309</v>
      </c>
      <c r="E5578" t="s">
        <v>2183</v>
      </c>
      <c r="F5578">
        <v>1</v>
      </c>
      <c r="G5578" t="s">
        <v>61</v>
      </c>
      <c r="H5578" t="s">
        <v>40</v>
      </c>
      <c r="I5578" t="s">
        <v>2188</v>
      </c>
      <c r="J5578" s="10">
        <v>7.33</v>
      </c>
      <c r="K5578" t="b">
        <v>1</v>
      </c>
    </row>
    <row r="5579" spans="1:11">
      <c r="A5579" s="12">
        <v>42338</v>
      </c>
      <c r="B5579">
        <v>2015</v>
      </c>
      <c r="C5579">
        <v>11</v>
      </c>
      <c r="D5579" s="11">
        <v>42309</v>
      </c>
      <c r="E5579" t="s">
        <v>2183</v>
      </c>
      <c r="F5579">
        <v>1</v>
      </c>
      <c r="G5579" t="s">
        <v>61</v>
      </c>
      <c r="H5579" t="s">
        <v>41</v>
      </c>
      <c r="I5579" t="s">
        <v>2189</v>
      </c>
      <c r="J5579" s="10">
        <v>1.825</v>
      </c>
      <c r="K5579" t="b">
        <v>1</v>
      </c>
    </row>
    <row r="5580" spans="1:11">
      <c r="A5580" s="12">
        <v>42338</v>
      </c>
      <c r="B5580">
        <v>2015</v>
      </c>
      <c r="C5580">
        <v>11</v>
      </c>
      <c r="D5580" s="11">
        <v>42309</v>
      </c>
      <c r="E5580" t="s">
        <v>2183</v>
      </c>
      <c r="F5580">
        <v>1</v>
      </c>
      <c r="G5580" t="s">
        <v>61</v>
      </c>
      <c r="H5580" t="s">
        <v>42</v>
      </c>
      <c r="I5580" t="s">
        <v>2190</v>
      </c>
      <c r="J5580" s="10">
        <v>5</v>
      </c>
      <c r="K5580" t="b">
        <v>1</v>
      </c>
    </row>
    <row r="5581" spans="1:11">
      <c r="A5581" s="12">
        <v>42338</v>
      </c>
      <c r="B5581">
        <v>2015</v>
      </c>
      <c r="C5581">
        <v>11</v>
      </c>
      <c r="D5581" s="11">
        <v>42309</v>
      </c>
      <c r="E5581" t="s">
        <v>2183</v>
      </c>
      <c r="F5581">
        <v>1</v>
      </c>
      <c r="G5581" t="s">
        <v>61</v>
      </c>
      <c r="H5581" t="s">
        <v>43</v>
      </c>
      <c r="I5581" t="s">
        <v>2191</v>
      </c>
      <c r="J5581" s="10">
        <v>35.3</v>
      </c>
      <c r="K5581" t="b">
        <v>1</v>
      </c>
    </row>
    <row r="5582" spans="1:11">
      <c r="A5582" s="12">
        <v>42338</v>
      </c>
      <c r="B5582">
        <v>2015</v>
      </c>
      <c r="C5582">
        <v>11</v>
      </c>
      <c r="D5582" s="11">
        <v>42309</v>
      </c>
      <c r="E5582" t="s">
        <v>2183</v>
      </c>
      <c r="F5582">
        <v>1</v>
      </c>
      <c r="G5582" t="s">
        <v>61</v>
      </c>
      <c r="H5582" t="s">
        <v>44</v>
      </c>
      <c r="I5582" t="s">
        <v>2192</v>
      </c>
      <c r="J5582" s="10">
        <v>5</v>
      </c>
      <c r="K5582" t="b">
        <v>1</v>
      </c>
    </row>
    <row r="5583" spans="1:11">
      <c r="A5583" s="12">
        <v>42338</v>
      </c>
      <c r="B5583">
        <v>2015</v>
      </c>
      <c r="C5583">
        <v>11</v>
      </c>
      <c r="D5583" s="11">
        <v>42309</v>
      </c>
      <c r="E5583" t="s">
        <v>2183</v>
      </c>
      <c r="F5583">
        <v>1</v>
      </c>
      <c r="G5583" t="s">
        <v>61</v>
      </c>
      <c r="H5583" t="s">
        <v>45</v>
      </c>
      <c r="I5583" t="s">
        <v>2193</v>
      </c>
      <c r="J5583" s="10">
        <v>1</v>
      </c>
      <c r="K5583" t="b">
        <v>1</v>
      </c>
    </row>
    <row r="5584" spans="1:11">
      <c r="A5584" s="12">
        <v>42338</v>
      </c>
      <c r="B5584">
        <v>2015</v>
      </c>
      <c r="C5584">
        <v>11</v>
      </c>
      <c r="D5584" s="11">
        <v>42309</v>
      </c>
      <c r="E5584" t="s">
        <v>2183</v>
      </c>
      <c r="F5584">
        <v>1</v>
      </c>
      <c r="G5584" t="s">
        <v>61</v>
      </c>
      <c r="H5584" t="s">
        <v>46</v>
      </c>
      <c r="I5584" t="s">
        <v>2194</v>
      </c>
      <c r="J5584" s="10">
        <v>6</v>
      </c>
      <c r="K5584" t="b">
        <v>1</v>
      </c>
    </row>
    <row r="5585" spans="1:11">
      <c r="A5585" s="12">
        <v>42338</v>
      </c>
      <c r="B5585">
        <v>2015</v>
      </c>
      <c r="C5585">
        <v>11</v>
      </c>
      <c r="D5585" s="11">
        <v>42309</v>
      </c>
      <c r="E5585" t="s">
        <v>2183</v>
      </c>
      <c r="F5585">
        <v>1</v>
      </c>
      <c r="G5585" t="s">
        <v>61</v>
      </c>
      <c r="H5585" t="s">
        <v>47</v>
      </c>
      <c r="I5585" t="s">
        <v>2195</v>
      </c>
      <c r="J5585" s="10">
        <v>3</v>
      </c>
      <c r="K5585" t="b">
        <v>1</v>
      </c>
    </row>
    <row r="5586" spans="1:11">
      <c r="A5586" s="12">
        <v>42339</v>
      </c>
      <c r="B5586">
        <v>2015</v>
      </c>
      <c r="C5586">
        <v>12</v>
      </c>
      <c r="D5586" s="11">
        <v>42339</v>
      </c>
      <c r="E5586" t="s">
        <v>2184</v>
      </c>
      <c r="F5586">
        <v>2</v>
      </c>
      <c r="G5586" t="s">
        <v>63</v>
      </c>
      <c r="H5586" t="s">
        <v>40</v>
      </c>
      <c r="I5586" t="s">
        <v>2188</v>
      </c>
      <c r="J5586" s="10">
        <v>1.99</v>
      </c>
      <c r="K5586" t="b">
        <v>1</v>
      </c>
    </row>
    <row r="5587" spans="1:11">
      <c r="A5587" s="12">
        <v>42339</v>
      </c>
      <c r="B5587">
        <v>2015</v>
      </c>
      <c r="C5587">
        <v>12</v>
      </c>
      <c r="D5587" s="11">
        <v>42339</v>
      </c>
      <c r="E5587" t="s">
        <v>2184</v>
      </c>
      <c r="F5587">
        <v>2</v>
      </c>
      <c r="G5587" t="s">
        <v>63</v>
      </c>
      <c r="H5587" t="s">
        <v>41</v>
      </c>
      <c r="I5587" t="s">
        <v>2189</v>
      </c>
      <c r="J5587" s="10">
        <v>2.023</v>
      </c>
      <c r="K5587" t="b">
        <v>1</v>
      </c>
    </row>
    <row r="5588" spans="1:11">
      <c r="A5588" s="12">
        <v>42339</v>
      </c>
      <c r="B5588">
        <v>2015</v>
      </c>
      <c r="C5588">
        <v>12</v>
      </c>
      <c r="D5588" s="11">
        <v>42339</v>
      </c>
      <c r="E5588" t="s">
        <v>2184</v>
      </c>
      <c r="F5588">
        <v>2</v>
      </c>
      <c r="G5588" t="s">
        <v>63</v>
      </c>
      <c r="H5588" t="s">
        <v>42</v>
      </c>
      <c r="I5588" t="s">
        <v>2190</v>
      </c>
      <c r="J5588" s="10">
        <v>6.3</v>
      </c>
      <c r="K5588" t="b">
        <v>1</v>
      </c>
    </row>
    <row r="5589" spans="1:11">
      <c r="A5589" s="12">
        <v>42339</v>
      </c>
      <c r="B5589">
        <v>2015</v>
      </c>
      <c r="C5589">
        <v>12</v>
      </c>
      <c r="D5589" s="11">
        <v>42339</v>
      </c>
      <c r="E5589" t="s">
        <v>2184</v>
      </c>
      <c r="F5589">
        <v>2</v>
      </c>
      <c r="G5589" t="s">
        <v>63</v>
      </c>
      <c r="H5589" t="s">
        <v>43</v>
      </c>
      <c r="I5589" t="s">
        <v>2191</v>
      </c>
      <c r="J5589" s="10">
        <v>23.9</v>
      </c>
      <c r="K5589" t="b">
        <v>1</v>
      </c>
    </row>
    <row r="5590" spans="1:11">
      <c r="A5590" s="12">
        <v>42339</v>
      </c>
      <c r="B5590">
        <v>2015</v>
      </c>
      <c r="C5590">
        <v>12</v>
      </c>
      <c r="D5590" s="11">
        <v>42339</v>
      </c>
      <c r="E5590" t="s">
        <v>2184</v>
      </c>
      <c r="F5590">
        <v>2</v>
      </c>
      <c r="G5590" t="s">
        <v>63</v>
      </c>
      <c r="H5590" t="s">
        <v>44</v>
      </c>
      <c r="I5590" t="s">
        <v>2192</v>
      </c>
      <c r="J5590" s="10">
        <v>4</v>
      </c>
      <c r="K5590" t="b">
        <v>1</v>
      </c>
    </row>
    <row r="5591" spans="1:11">
      <c r="A5591" s="12">
        <v>42339</v>
      </c>
      <c r="B5591">
        <v>2015</v>
      </c>
      <c r="C5591">
        <v>12</v>
      </c>
      <c r="D5591" s="11">
        <v>42339</v>
      </c>
      <c r="E5591" t="s">
        <v>2184</v>
      </c>
      <c r="F5591">
        <v>2</v>
      </c>
      <c r="G5591" t="s">
        <v>63</v>
      </c>
      <c r="H5591" t="s">
        <v>45</v>
      </c>
      <c r="I5591" t="s">
        <v>2193</v>
      </c>
      <c r="J5591" s="10">
        <v>1</v>
      </c>
      <c r="K5591" t="b">
        <v>1</v>
      </c>
    </row>
    <row r="5592" spans="1:11">
      <c r="A5592" s="12">
        <v>42339</v>
      </c>
      <c r="B5592">
        <v>2015</v>
      </c>
      <c r="C5592">
        <v>12</v>
      </c>
      <c r="D5592" s="11">
        <v>42339</v>
      </c>
      <c r="E5592" t="s">
        <v>2184</v>
      </c>
      <c r="F5592">
        <v>2</v>
      </c>
      <c r="G5592" t="s">
        <v>63</v>
      </c>
      <c r="H5592" t="s">
        <v>46</v>
      </c>
      <c r="I5592" t="s">
        <v>2194</v>
      </c>
      <c r="J5592" s="10">
        <v>5</v>
      </c>
      <c r="K5592" t="b">
        <v>1</v>
      </c>
    </row>
    <row r="5593" spans="1:11">
      <c r="A5593" s="12">
        <v>42339</v>
      </c>
      <c r="B5593">
        <v>2015</v>
      </c>
      <c r="C5593">
        <v>12</v>
      </c>
      <c r="D5593" s="11">
        <v>42339</v>
      </c>
      <c r="E5593" t="s">
        <v>2184</v>
      </c>
      <c r="F5593">
        <v>2</v>
      </c>
      <c r="G5593" t="s">
        <v>63</v>
      </c>
      <c r="H5593" t="s">
        <v>47</v>
      </c>
      <c r="I5593" t="s">
        <v>2195</v>
      </c>
      <c r="J5593" s="10">
        <v>1</v>
      </c>
      <c r="K5593" t="b">
        <v>1</v>
      </c>
    </row>
    <row r="5594" spans="1:11">
      <c r="A5594" s="12">
        <v>42340</v>
      </c>
      <c r="B5594">
        <v>2015</v>
      </c>
      <c r="C5594">
        <v>12</v>
      </c>
      <c r="D5594" s="11">
        <v>42339</v>
      </c>
      <c r="E5594" t="s">
        <v>2184</v>
      </c>
      <c r="F5594">
        <v>3</v>
      </c>
      <c r="G5594" t="s">
        <v>65</v>
      </c>
      <c r="H5594" t="s">
        <v>40</v>
      </c>
      <c r="I5594" t="s">
        <v>2188</v>
      </c>
      <c r="J5594" s="10">
        <v>1</v>
      </c>
      <c r="K5594" t="b">
        <v>1</v>
      </c>
    </row>
    <row r="5595" spans="1:11">
      <c r="A5595" s="12">
        <v>42340</v>
      </c>
      <c r="B5595">
        <v>2015</v>
      </c>
      <c r="C5595">
        <v>12</v>
      </c>
      <c r="D5595" s="11">
        <v>42339</v>
      </c>
      <c r="E5595" t="s">
        <v>2184</v>
      </c>
      <c r="F5595">
        <v>3</v>
      </c>
      <c r="G5595" t="s">
        <v>65</v>
      </c>
      <c r="H5595" t="s">
        <v>41</v>
      </c>
      <c r="I5595" t="s">
        <v>2189</v>
      </c>
      <c r="J5595" s="10">
        <v>3.33</v>
      </c>
      <c r="K5595" t="b">
        <v>1</v>
      </c>
    </row>
    <row r="5596" spans="1:11">
      <c r="A5596" s="12">
        <v>42340</v>
      </c>
      <c r="B5596">
        <v>2015</v>
      </c>
      <c r="C5596">
        <v>12</v>
      </c>
      <c r="D5596" s="11">
        <v>42339</v>
      </c>
      <c r="E5596" t="s">
        <v>2184</v>
      </c>
      <c r="F5596">
        <v>3</v>
      </c>
      <c r="G5596" t="s">
        <v>65</v>
      </c>
      <c r="H5596" t="s">
        <v>42</v>
      </c>
      <c r="I5596" t="s">
        <v>2190</v>
      </c>
      <c r="J5596" s="10">
        <v>2.4</v>
      </c>
      <c r="K5596" t="b">
        <v>1</v>
      </c>
    </row>
    <row r="5597" spans="1:11">
      <c r="A5597" s="12">
        <v>42340</v>
      </c>
      <c r="B5597">
        <v>2015</v>
      </c>
      <c r="C5597">
        <v>12</v>
      </c>
      <c r="D5597" s="11">
        <v>42339</v>
      </c>
      <c r="E5597" t="s">
        <v>2184</v>
      </c>
      <c r="F5597">
        <v>3</v>
      </c>
      <c r="G5597" t="s">
        <v>65</v>
      </c>
      <c r="H5597" t="s">
        <v>43</v>
      </c>
      <c r="I5597" t="s">
        <v>2191</v>
      </c>
      <c r="J5597" s="10">
        <v>42</v>
      </c>
      <c r="K5597" t="b">
        <v>1</v>
      </c>
    </row>
    <row r="5598" spans="1:11">
      <c r="A5598" s="12">
        <v>42340</v>
      </c>
      <c r="B5598">
        <v>2015</v>
      </c>
      <c r="C5598">
        <v>12</v>
      </c>
      <c r="D5598" s="11">
        <v>42339</v>
      </c>
      <c r="E5598" t="s">
        <v>2184</v>
      </c>
      <c r="F5598">
        <v>3</v>
      </c>
      <c r="G5598" t="s">
        <v>65</v>
      </c>
      <c r="H5598" t="s">
        <v>44</v>
      </c>
      <c r="I5598" t="s">
        <v>2192</v>
      </c>
      <c r="J5598" s="10">
        <v>23</v>
      </c>
      <c r="K5598" t="b">
        <v>1</v>
      </c>
    </row>
    <row r="5599" spans="1:11">
      <c r="A5599" s="12">
        <v>42340</v>
      </c>
      <c r="B5599">
        <v>2015</v>
      </c>
      <c r="C5599">
        <v>12</v>
      </c>
      <c r="D5599" s="11">
        <v>42339</v>
      </c>
      <c r="E5599" t="s">
        <v>2184</v>
      </c>
      <c r="F5599">
        <v>3</v>
      </c>
      <c r="G5599" t="s">
        <v>65</v>
      </c>
      <c r="H5599" t="s">
        <v>45</v>
      </c>
      <c r="I5599" t="s">
        <v>2193</v>
      </c>
      <c r="J5599" s="10">
        <v>4</v>
      </c>
      <c r="K5599" t="b">
        <v>1</v>
      </c>
    </row>
    <row r="5600" spans="1:11">
      <c r="A5600" s="12">
        <v>42340</v>
      </c>
      <c r="B5600">
        <v>2015</v>
      </c>
      <c r="C5600">
        <v>12</v>
      </c>
      <c r="D5600" s="11">
        <v>42339</v>
      </c>
      <c r="E5600" t="s">
        <v>2184</v>
      </c>
      <c r="F5600">
        <v>3</v>
      </c>
      <c r="G5600" t="s">
        <v>65</v>
      </c>
      <c r="H5600" t="s">
        <v>46</v>
      </c>
      <c r="I5600" t="s">
        <v>2194</v>
      </c>
      <c r="J5600" s="10">
        <v>0</v>
      </c>
      <c r="K5600" t="b">
        <v>1</v>
      </c>
    </row>
    <row r="5601" spans="1:11">
      <c r="A5601" s="12">
        <v>42340</v>
      </c>
      <c r="B5601">
        <v>2015</v>
      </c>
      <c r="C5601">
        <v>12</v>
      </c>
      <c r="D5601" s="11">
        <v>42339</v>
      </c>
      <c r="E5601" t="s">
        <v>2184</v>
      </c>
      <c r="F5601">
        <v>3</v>
      </c>
      <c r="G5601" t="s">
        <v>65</v>
      </c>
      <c r="H5601" t="s">
        <v>47</v>
      </c>
      <c r="I5601" t="s">
        <v>2195</v>
      </c>
      <c r="J5601" s="10">
        <v>0</v>
      </c>
      <c r="K5601" t="b">
        <v>1</v>
      </c>
    </row>
    <row r="5602" spans="1:11">
      <c r="A5602" s="12">
        <v>42341</v>
      </c>
      <c r="B5602">
        <v>2015</v>
      </c>
      <c r="C5602">
        <v>12</v>
      </c>
      <c r="D5602" s="11">
        <v>42339</v>
      </c>
      <c r="E5602" t="s">
        <v>2184</v>
      </c>
      <c r="F5602">
        <v>4</v>
      </c>
      <c r="G5602" t="s">
        <v>53</v>
      </c>
      <c r="H5602" t="s">
        <v>40</v>
      </c>
      <c r="I5602" t="s">
        <v>2188</v>
      </c>
      <c r="J5602" s="10">
        <v>4</v>
      </c>
      <c r="K5602" t="b">
        <v>1</v>
      </c>
    </row>
    <row r="5603" spans="1:11">
      <c r="A5603" s="12">
        <v>42341</v>
      </c>
      <c r="B5603">
        <v>2015</v>
      </c>
      <c r="C5603">
        <v>12</v>
      </c>
      <c r="D5603" s="11">
        <v>42339</v>
      </c>
      <c r="E5603" t="s">
        <v>2184</v>
      </c>
      <c r="F5603">
        <v>4</v>
      </c>
      <c r="G5603" t="s">
        <v>53</v>
      </c>
      <c r="H5603" t="s">
        <v>41</v>
      </c>
      <c r="I5603" t="s">
        <v>2189</v>
      </c>
      <c r="J5603" s="10">
        <v>3</v>
      </c>
      <c r="K5603" t="b">
        <v>1</v>
      </c>
    </row>
    <row r="5604" spans="1:11">
      <c r="A5604" s="12">
        <v>42341</v>
      </c>
      <c r="B5604">
        <v>2015</v>
      </c>
      <c r="C5604">
        <v>12</v>
      </c>
      <c r="D5604" s="11">
        <v>42339</v>
      </c>
      <c r="E5604" t="s">
        <v>2184</v>
      </c>
      <c r="F5604">
        <v>4</v>
      </c>
      <c r="G5604" t="s">
        <v>53</v>
      </c>
      <c r="H5604" t="s">
        <v>42</v>
      </c>
      <c r="I5604" t="s">
        <v>2190</v>
      </c>
      <c r="J5604" s="10">
        <v>5.6</v>
      </c>
      <c r="K5604" t="b">
        <v>1</v>
      </c>
    </row>
    <row r="5605" spans="1:11">
      <c r="A5605" s="12">
        <v>42341</v>
      </c>
      <c r="B5605">
        <v>2015</v>
      </c>
      <c r="C5605">
        <v>12</v>
      </c>
      <c r="D5605" s="11">
        <v>42339</v>
      </c>
      <c r="E5605" t="s">
        <v>2184</v>
      </c>
      <c r="F5605">
        <v>4</v>
      </c>
      <c r="G5605" t="s">
        <v>53</v>
      </c>
      <c r="H5605" t="s">
        <v>43</v>
      </c>
      <c r="I5605" t="s">
        <v>2191</v>
      </c>
      <c r="J5605" s="10">
        <v>56</v>
      </c>
      <c r="K5605" t="b">
        <v>1</v>
      </c>
    </row>
    <row r="5606" spans="1:11">
      <c r="A5606" s="12">
        <v>42341</v>
      </c>
      <c r="B5606">
        <v>2015</v>
      </c>
      <c r="C5606">
        <v>12</v>
      </c>
      <c r="D5606" s="11">
        <v>42339</v>
      </c>
      <c r="E5606" t="s">
        <v>2184</v>
      </c>
      <c r="F5606">
        <v>4</v>
      </c>
      <c r="G5606" t="s">
        <v>53</v>
      </c>
      <c r="H5606" t="s">
        <v>44</v>
      </c>
      <c r="I5606" t="s">
        <v>2192</v>
      </c>
      <c r="J5606" s="10">
        <v>6</v>
      </c>
      <c r="K5606" t="b">
        <v>1</v>
      </c>
    </row>
    <row r="5607" spans="1:11">
      <c r="A5607" s="12">
        <v>42341</v>
      </c>
      <c r="B5607">
        <v>2015</v>
      </c>
      <c r="C5607">
        <v>12</v>
      </c>
      <c r="D5607" s="11">
        <v>42339</v>
      </c>
      <c r="E5607" t="s">
        <v>2184</v>
      </c>
      <c r="F5607">
        <v>4</v>
      </c>
      <c r="G5607" t="s">
        <v>53</v>
      </c>
      <c r="H5607" t="s">
        <v>45</v>
      </c>
      <c r="I5607" t="s">
        <v>2193</v>
      </c>
      <c r="J5607" s="10">
        <v>1</v>
      </c>
      <c r="K5607" t="b">
        <v>1</v>
      </c>
    </row>
    <row r="5608" spans="1:11">
      <c r="A5608" s="12">
        <v>42341</v>
      </c>
      <c r="B5608">
        <v>2015</v>
      </c>
      <c r="C5608">
        <v>12</v>
      </c>
      <c r="D5608" s="11">
        <v>42339</v>
      </c>
      <c r="E5608" t="s">
        <v>2184</v>
      </c>
      <c r="F5608">
        <v>4</v>
      </c>
      <c r="G5608" t="s">
        <v>53</v>
      </c>
      <c r="H5608" t="s">
        <v>46</v>
      </c>
      <c r="I5608" t="s">
        <v>2194</v>
      </c>
      <c r="J5608" s="10">
        <v>1</v>
      </c>
      <c r="K5608" t="b">
        <v>1</v>
      </c>
    </row>
    <row r="5609" spans="1:11">
      <c r="A5609" s="12">
        <v>42341</v>
      </c>
      <c r="B5609">
        <v>2015</v>
      </c>
      <c r="C5609">
        <v>12</v>
      </c>
      <c r="D5609" s="11">
        <v>42339</v>
      </c>
      <c r="E5609" t="s">
        <v>2184</v>
      </c>
      <c r="F5609">
        <v>4</v>
      </c>
      <c r="G5609" t="s">
        <v>53</v>
      </c>
      <c r="H5609" t="s">
        <v>47</v>
      </c>
      <c r="I5609" t="s">
        <v>2195</v>
      </c>
      <c r="J5609" s="10">
        <v>1</v>
      </c>
      <c r="K5609" t="b">
        <v>1</v>
      </c>
    </row>
    <row r="5610" spans="1:11">
      <c r="A5610" s="12">
        <v>42342</v>
      </c>
      <c r="B5610">
        <v>2015</v>
      </c>
      <c r="C5610">
        <v>12</v>
      </c>
      <c r="D5610" s="11">
        <v>42339</v>
      </c>
      <c r="E5610" t="s">
        <v>2184</v>
      </c>
      <c r="F5610">
        <v>5</v>
      </c>
      <c r="G5610" t="s">
        <v>55</v>
      </c>
      <c r="H5610" t="s">
        <v>40</v>
      </c>
      <c r="I5610" t="s">
        <v>2188</v>
      </c>
      <c r="J5610" s="10">
        <v>3.33</v>
      </c>
      <c r="K5610" t="b">
        <v>1</v>
      </c>
    </row>
    <row r="5611" spans="1:11">
      <c r="A5611" s="12">
        <v>42342</v>
      </c>
      <c r="B5611">
        <v>2015</v>
      </c>
      <c r="C5611">
        <v>12</v>
      </c>
      <c r="D5611" s="11">
        <v>42339</v>
      </c>
      <c r="E5611" t="s">
        <v>2184</v>
      </c>
      <c r="F5611">
        <v>5</v>
      </c>
      <c r="G5611" t="s">
        <v>55</v>
      </c>
      <c r="H5611" t="s">
        <v>41</v>
      </c>
      <c r="I5611" t="s">
        <v>2189</v>
      </c>
      <c r="J5611" s="10">
        <v>4.759</v>
      </c>
      <c r="K5611" t="b">
        <v>1</v>
      </c>
    </row>
    <row r="5612" spans="1:11">
      <c r="A5612" s="12">
        <v>42342</v>
      </c>
      <c r="B5612">
        <v>2015</v>
      </c>
      <c r="C5612">
        <v>12</v>
      </c>
      <c r="D5612" s="11">
        <v>42339</v>
      </c>
      <c r="E5612" t="s">
        <v>2184</v>
      </c>
      <c r="F5612">
        <v>5</v>
      </c>
      <c r="G5612" t="s">
        <v>55</v>
      </c>
      <c r="H5612" t="s">
        <v>42</v>
      </c>
      <c r="I5612" t="s">
        <v>2190</v>
      </c>
      <c r="J5612" s="10">
        <v>4.7</v>
      </c>
      <c r="K5612" t="b">
        <v>1</v>
      </c>
    </row>
    <row r="5613" spans="1:11">
      <c r="A5613" s="12">
        <v>42342</v>
      </c>
      <c r="B5613">
        <v>2015</v>
      </c>
      <c r="C5613">
        <v>12</v>
      </c>
      <c r="D5613" s="11">
        <v>42339</v>
      </c>
      <c r="E5613" t="s">
        <v>2184</v>
      </c>
      <c r="F5613">
        <v>5</v>
      </c>
      <c r="G5613" t="s">
        <v>55</v>
      </c>
      <c r="H5613" t="s">
        <v>43</v>
      </c>
      <c r="I5613" t="s">
        <v>2191</v>
      </c>
      <c r="J5613" s="10">
        <v>25.6</v>
      </c>
      <c r="K5613" t="b">
        <v>1</v>
      </c>
    </row>
    <row r="5614" spans="1:11">
      <c r="A5614" s="12">
        <v>42342</v>
      </c>
      <c r="B5614">
        <v>2015</v>
      </c>
      <c r="C5614">
        <v>12</v>
      </c>
      <c r="D5614" s="11">
        <v>42339</v>
      </c>
      <c r="E5614" t="s">
        <v>2184</v>
      </c>
      <c r="F5614">
        <v>5</v>
      </c>
      <c r="G5614" t="s">
        <v>55</v>
      </c>
      <c r="H5614" t="s">
        <v>44</v>
      </c>
      <c r="I5614" t="s">
        <v>2192</v>
      </c>
      <c r="J5614" s="10">
        <v>9</v>
      </c>
      <c r="K5614" t="b">
        <v>1</v>
      </c>
    </row>
    <row r="5615" spans="1:11">
      <c r="A5615" s="12">
        <v>42342</v>
      </c>
      <c r="B5615">
        <v>2015</v>
      </c>
      <c r="C5615">
        <v>12</v>
      </c>
      <c r="D5615" s="11">
        <v>42339</v>
      </c>
      <c r="E5615" t="s">
        <v>2184</v>
      </c>
      <c r="F5615">
        <v>5</v>
      </c>
      <c r="G5615" t="s">
        <v>55</v>
      </c>
      <c r="H5615" t="s">
        <v>45</v>
      </c>
      <c r="I5615" t="s">
        <v>2193</v>
      </c>
      <c r="J5615" s="10">
        <v>3</v>
      </c>
      <c r="K5615" t="b">
        <v>1</v>
      </c>
    </row>
    <row r="5616" spans="1:11">
      <c r="A5616" s="12">
        <v>42342</v>
      </c>
      <c r="B5616">
        <v>2015</v>
      </c>
      <c r="C5616">
        <v>12</v>
      </c>
      <c r="D5616" s="11">
        <v>42339</v>
      </c>
      <c r="E5616" t="s">
        <v>2184</v>
      </c>
      <c r="F5616">
        <v>5</v>
      </c>
      <c r="G5616" t="s">
        <v>55</v>
      </c>
      <c r="H5616" t="s">
        <v>46</v>
      </c>
      <c r="I5616" t="s">
        <v>2194</v>
      </c>
      <c r="J5616" s="10">
        <v>3</v>
      </c>
      <c r="K5616" t="b">
        <v>1</v>
      </c>
    </row>
    <row r="5617" spans="1:11">
      <c r="A5617" s="12">
        <v>42342</v>
      </c>
      <c r="B5617">
        <v>2015</v>
      </c>
      <c r="C5617">
        <v>12</v>
      </c>
      <c r="D5617" s="11">
        <v>42339</v>
      </c>
      <c r="E5617" t="s">
        <v>2184</v>
      </c>
      <c r="F5617">
        <v>5</v>
      </c>
      <c r="G5617" t="s">
        <v>55</v>
      </c>
      <c r="H5617" t="s">
        <v>47</v>
      </c>
      <c r="I5617" t="s">
        <v>2195</v>
      </c>
      <c r="J5617" s="10">
        <v>1</v>
      </c>
      <c r="K5617" t="b">
        <v>1</v>
      </c>
    </row>
    <row r="5618" spans="1:11">
      <c r="A5618" s="12">
        <v>42343</v>
      </c>
      <c r="B5618">
        <v>2015</v>
      </c>
      <c r="C5618">
        <v>12</v>
      </c>
      <c r="D5618" s="11">
        <v>42339</v>
      </c>
      <c r="E5618" t="s">
        <v>2184</v>
      </c>
      <c r="F5618">
        <v>6</v>
      </c>
      <c r="G5618" t="s">
        <v>57</v>
      </c>
      <c r="H5618" t="s">
        <v>40</v>
      </c>
      <c r="I5618" t="s">
        <v>2188</v>
      </c>
      <c r="J5618" s="10">
        <v>8</v>
      </c>
      <c r="K5618" t="b">
        <v>1</v>
      </c>
    </row>
    <row r="5619" spans="1:11">
      <c r="A5619" s="12">
        <v>42343</v>
      </c>
      <c r="B5619">
        <v>2015</v>
      </c>
      <c r="C5619">
        <v>12</v>
      </c>
      <c r="D5619" s="11">
        <v>42339</v>
      </c>
      <c r="E5619" t="s">
        <v>2184</v>
      </c>
      <c r="F5619">
        <v>6</v>
      </c>
      <c r="G5619" t="s">
        <v>57</v>
      </c>
      <c r="H5619" t="s">
        <v>41</v>
      </c>
      <c r="I5619" t="s">
        <v>2189</v>
      </c>
      <c r="J5619" s="10">
        <v>3.033</v>
      </c>
      <c r="K5619" t="b">
        <v>1</v>
      </c>
    </row>
    <row r="5620" spans="1:11">
      <c r="A5620" s="12">
        <v>42343</v>
      </c>
      <c r="B5620">
        <v>2015</v>
      </c>
      <c r="C5620">
        <v>12</v>
      </c>
      <c r="D5620" s="11">
        <v>42339</v>
      </c>
      <c r="E5620" t="s">
        <v>2184</v>
      </c>
      <c r="F5620">
        <v>6</v>
      </c>
      <c r="G5620" t="s">
        <v>57</v>
      </c>
      <c r="H5620" t="s">
        <v>42</v>
      </c>
      <c r="I5620" t="s">
        <v>2190</v>
      </c>
      <c r="J5620" s="10">
        <v>2</v>
      </c>
      <c r="K5620" t="b">
        <v>1</v>
      </c>
    </row>
    <row r="5621" spans="1:11">
      <c r="A5621" s="12">
        <v>42343</v>
      </c>
      <c r="B5621">
        <v>2015</v>
      </c>
      <c r="C5621">
        <v>12</v>
      </c>
      <c r="D5621" s="11">
        <v>42339</v>
      </c>
      <c r="E5621" t="s">
        <v>2184</v>
      </c>
      <c r="F5621">
        <v>6</v>
      </c>
      <c r="G5621" t="s">
        <v>57</v>
      </c>
      <c r="H5621" t="s">
        <v>43</v>
      </c>
      <c r="I5621" t="s">
        <v>2191</v>
      </c>
      <c r="J5621" s="10">
        <v>35.05</v>
      </c>
      <c r="K5621" t="b">
        <v>1</v>
      </c>
    </row>
    <row r="5622" spans="1:11">
      <c r="A5622" s="12">
        <v>42343</v>
      </c>
      <c r="B5622">
        <v>2015</v>
      </c>
      <c r="C5622">
        <v>12</v>
      </c>
      <c r="D5622" s="11">
        <v>42339</v>
      </c>
      <c r="E5622" t="s">
        <v>2184</v>
      </c>
      <c r="F5622">
        <v>6</v>
      </c>
      <c r="G5622" t="s">
        <v>57</v>
      </c>
      <c r="H5622" t="s">
        <v>44</v>
      </c>
      <c r="I5622" t="s">
        <v>2192</v>
      </c>
      <c r="J5622" s="10">
        <v>2</v>
      </c>
      <c r="K5622" t="b">
        <v>1</v>
      </c>
    </row>
    <row r="5623" spans="1:11">
      <c r="A5623" s="12">
        <v>42343</v>
      </c>
      <c r="B5623">
        <v>2015</v>
      </c>
      <c r="C5623">
        <v>12</v>
      </c>
      <c r="D5623" s="11">
        <v>42339</v>
      </c>
      <c r="E5623" t="s">
        <v>2184</v>
      </c>
      <c r="F5623">
        <v>6</v>
      </c>
      <c r="G5623" t="s">
        <v>57</v>
      </c>
      <c r="H5623" t="s">
        <v>45</v>
      </c>
      <c r="I5623" t="s">
        <v>2193</v>
      </c>
      <c r="J5623" s="10">
        <v>0</v>
      </c>
      <c r="K5623" t="b">
        <v>1</v>
      </c>
    </row>
    <row r="5624" spans="1:11">
      <c r="A5624" s="12">
        <v>42343</v>
      </c>
      <c r="B5624">
        <v>2015</v>
      </c>
      <c r="C5624">
        <v>12</v>
      </c>
      <c r="D5624" s="11">
        <v>42339</v>
      </c>
      <c r="E5624" t="s">
        <v>2184</v>
      </c>
      <c r="F5624">
        <v>6</v>
      </c>
      <c r="G5624" t="s">
        <v>57</v>
      </c>
      <c r="H5624" t="s">
        <v>46</v>
      </c>
      <c r="I5624" t="s">
        <v>2194</v>
      </c>
      <c r="J5624" s="10">
        <v>7</v>
      </c>
      <c r="K5624" t="b">
        <v>1</v>
      </c>
    </row>
    <row r="5625" spans="1:11">
      <c r="A5625" s="12">
        <v>42343</v>
      </c>
      <c r="B5625">
        <v>2015</v>
      </c>
      <c r="C5625">
        <v>12</v>
      </c>
      <c r="D5625" s="11">
        <v>42339</v>
      </c>
      <c r="E5625" t="s">
        <v>2184</v>
      </c>
      <c r="F5625">
        <v>6</v>
      </c>
      <c r="G5625" t="s">
        <v>57</v>
      </c>
      <c r="H5625" t="s">
        <v>47</v>
      </c>
      <c r="I5625" t="s">
        <v>2195</v>
      </c>
      <c r="J5625" s="10">
        <v>2.33</v>
      </c>
      <c r="K5625" t="b">
        <v>1</v>
      </c>
    </row>
    <row r="5626" spans="1:11">
      <c r="A5626" s="12">
        <v>42344</v>
      </c>
      <c r="B5626">
        <v>2015</v>
      </c>
      <c r="C5626">
        <v>12</v>
      </c>
      <c r="D5626" s="11">
        <v>42339</v>
      </c>
      <c r="E5626" t="s">
        <v>2184</v>
      </c>
      <c r="F5626">
        <v>7</v>
      </c>
      <c r="G5626" t="s">
        <v>59</v>
      </c>
      <c r="H5626" t="s">
        <v>40</v>
      </c>
      <c r="I5626" t="s">
        <v>2188</v>
      </c>
      <c r="J5626" s="10">
        <v>5.67</v>
      </c>
      <c r="K5626" t="b">
        <v>1</v>
      </c>
    </row>
    <row r="5627" spans="1:11">
      <c r="A5627" s="12">
        <v>42344</v>
      </c>
      <c r="B5627">
        <v>2015</v>
      </c>
      <c r="C5627">
        <v>12</v>
      </c>
      <c r="D5627" s="11">
        <v>42339</v>
      </c>
      <c r="E5627" t="s">
        <v>2184</v>
      </c>
      <c r="F5627">
        <v>7</v>
      </c>
      <c r="G5627" t="s">
        <v>59</v>
      </c>
      <c r="H5627" t="s">
        <v>41</v>
      </c>
      <c r="I5627" t="s">
        <v>2189</v>
      </c>
      <c r="J5627" s="10">
        <v>7</v>
      </c>
      <c r="K5627" t="b">
        <v>1</v>
      </c>
    </row>
    <row r="5628" spans="1:11">
      <c r="A5628" s="12">
        <v>42344</v>
      </c>
      <c r="B5628">
        <v>2015</v>
      </c>
      <c r="C5628">
        <v>12</v>
      </c>
      <c r="D5628" s="11">
        <v>42339</v>
      </c>
      <c r="E5628" t="s">
        <v>2184</v>
      </c>
      <c r="F5628">
        <v>7</v>
      </c>
      <c r="G5628" t="s">
        <v>59</v>
      </c>
      <c r="H5628" t="s">
        <v>42</v>
      </c>
      <c r="I5628" t="s">
        <v>2190</v>
      </c>
      <c r="J5628" s="10">
        <v>3.4</v>
      </c>
      <c r="K5628" t="b">
        <v>1</v>
      </c>
    </row>
    <row r="5629" spans="1:11">
      <c r="A5629" s="12">
        <v>42344</v>
      </c>
      <c r="B5629">
        <v>2015</v>
      </c>
      <c r="C5629">
        <v>12</v>
      </c>
      <c r="D5629" s="11">
        <v>42339</v>
      </c>
      <c r="E5629" t="s">
        <v>2184</v>
      </c>
      <c r="F5629">
        <v>7</v>
      </c>
      <c r="G5629" t="s">
        <v>59</v>
      </c>
      <c r="H5629" t="s">
        <v>43</v>
      </c>
      <c r="I5629" t="s">
        <v>2191</v>
      </c>
      <c r="J5629" s="10">
        <v>60.4</v>
      </c>
      <c r="K5629" t="b">
        <v>1</v>
      </c>
    </row>
    <row r="5630" spans="1:11">
      <c r="A5630" s="12">
        <v>42344</v>
      </c>
      <c r="B5630">
        <v>2015</v>
      </c>
      <c r="C5630">
        <v>12</v>
      </c>
      <c r="D5630" s="11">
        <v>42339</v>
      </c>
      <c r="E5630" t="s">
        <v>2184</v>
      </c>
      <c r="F5630">
        <v>7</v>
      </c>
      <c r="G5630" t="s">
        <v>59</v>
      </c>
      <c r="H5630" t="s">
        <v>44</v>
      </c>
      <c r="I5630" t="s">
        <v>2192</v>
      </c>
      <c r="J5630" s="10">
        <v>5</v>
      </c>
      <c r="K5630" t="b">
        <v>1</v>
      </c>
    </row>
    <row r="5631" spans="1:11">
      <c r="A5631" s="12">
        <v>42344</v>
      </c>
      <c r="B5631">
        <v>2015</v>
      </c>
      <c r="C5631">
        <v>12</v>
      </c>
      <c r="D5631" s="11">
        <v>42339</v>
      </c>
      <c r="E5631" t="s">
        <v>2184</v>
      </c>
      <c r="F5631">
        <v>7</v>
      </c>
      <c r="G5631" t="s">
        <v>59</v>
      </c>
      <c r="H5631" t="s">
        <v>45</v>
      </c>
      <c r="I5631" t="s">
        <v>2193</v>
      </c>
      <c r="J5631" s="10">
        <v>2</v>
      </c>
      <c r="K5631" t="b">
        <v>1</v>
      </c>
    </row>
    <row r="5632" spans="1:11">
      <c r="A5632" s="12">
        <v>42344</v>
      </c>
      <c r="B5632">
        <v>2015</v>
      </c>
      <c r="C5632">
        <v>12</v>
      </c>
      <c r="D5632" s="11">
        <v>42339</v>
      </c>
      <c r="E5632" t="s">
        <v>2184</v>
      </c>
      <c r="F5632">
        <v>7</v>
      </c>
      <c r="G5632" t="s">
        <v>59</v>
      </c>
      <c r="H5632" t="s">
        <v>46</v>
      </c>
      <c r="I5632" t="s">
        <v>2194</v>
      </c>
      <c r="J5632" s="10">
        <v>3</v>
      </c>
      <c r="K5632" t="b">
        <v>1</v>
      </c>
    </row>
    <row r="5633" spans="1:11">
      <c r="A5633" s="12">
        <v>42344</v>
      </c>
      <c r="B5633">
        <v>2015</v>
      </c>
      <c r="C5633">
        <v>12</v>
      </c>
      <c r="D5633" s="11">
        <v>42339</v>
      </c>
      <c r="E5633" t="s">
        <v>2184</v>
      </c>
      <c r="F5633">
        <v>7</v>
      </c>
      <c r="G5633" t="s">
        <v>59</v>
      </c>
      <c r="H5633" t="s">
        <v>47</v>
      </c>
      <c r="I5633" t="s">
        <v>2195</v>
      </c>
      <c r="J5633" s="10">
        <v>1</v>
      </c>
      <c r="K5633" t="b">
        <v>1</v>
      </c>
    </row>
    <row r="5634" spans="1:11">
      <c r="A5634" s="12">
        <v>42345</v>
      </c>
      <c r="B5634">
        <v>2015</v>
      </c>
      <c r="C5634">
        <v>12</v>
      </c>
      <c r="D5634" s="11">
        <v>42339</v>
      </c>
      <c r="E5634" t="s">
        <v>2184</v>
      </c>
      <c r="F5634">
        <v>1</v>
      </c>
      <c r="G5634" t="s">
        <v>61</v>
      </c>
      <c r="H5634" t="s">
        <v>40</v>
      </c>
      <c r="I5634" t="s">
        <v>2188</v>
      </c>
      <c r="J5634" s="10">
        <v>3</v>
      </c>
      <c r="K5634" t="b">
        <v>1</v>
      </c>
    </row>
    <row r="5635" spans="1:11">
      <c r="A5635" s="12">
        <v>42345</v>
      </c>
      <c r="B5635">
        <v>2015</v>
      </c>
      <c r="C5635">
        <v>12</v>
      </c>
      <c r="D5635" s="11">
        <v>42339</v>
      </c>
      <c r="E5635" t="s">
        <v>2184</v>
      </c>
      <c r="F5635">
        <v>1</v>
      </c>
      <c r="G5635" t="s">
        <v>61</v>
      </c>
      <c r="H5635" t="s">
        <v>41</v>
      </c>
      <c r="I5635" t="s">
        <v>2189</v>
      </c>
      <c r="J5635" s="10">
        <v>2.099</v>
      </c>
      <c r="K5635" t="b">
        <v>1</v>
      </c>
    </row>
    <row r="5636" spans="1:11">
      <c r="A5636" s="12">
        <v>42345</v>
      </c>
      <c r="B5636">
        <v>2015</v>
      </c>
      <c r="C5636">
        <v>12</v>
      </c>
      <c r="D5636" s="11">
        <v>42339</v>
      </c>
      <c r="E5636" t="s">
        <v>2184</v>
      </c>
      <c r="F5636">
        <v>1</v>
      </c>
      <c r="G5636" t="s">
        <v>61</v>
      </c>
      <c r="H5636" t="s">
        <v>42</v>
      </c>
      <c r="I5636" t="s">
        <v>2190</v>
      </c>
      <c r="J5636" s="10">
        <v>2.2</v>
      </c>
      <c r="K5636" t="b">
        <v>1</v>
      </c>
    </row>
    <row r="5637" spans="1:11">
      <c r="A5637" s="12">
        <v>42345</v>
      </c>
      <c r="B5637">
        <v>2015</v>
      </c>
      <c r="C5637">
        <v>12</v>
      </c>
      <c r="D5637" s="11">
        <v>42339</v>
      </c>
      <c r="E5637" t="s">
        <v>2184</v>
      </c>
      <c r="F5637">
        <v>1</v>
      </c>
      <c r="G5637" t="s">
        <v>61</v>
      </c>
      <c r="H5637" t="s">
        <v>43</v>
      </c>
      <c r="I5637" t="s">
        <v>2191</v>
      </c>
      <c r="J5637" s="10">
        <v>26.5</v>
      </c>
      <c r="K5637" t="b">
        <v>1</v>
      </c>
    </row>
    <row r="5638" spans="1:11">
      <c r="A5638" s="12">
        <v>42345</v>
      </c>
      <c r="B5638">
        <v>2015</v>
      </c>
      <c r="C5638">
        <v>12</v>
      </c>
      <c r="D5638" s="11">
        <v>42339</v>
      </c>
      <c r="E5638" t="s">
        <v>2184</v>
      </c>
      <c r="F5638">
        <v>1</v>
      </c>
      <c r="G5638" t="s">
        <v>61</v>
      </c>
      <c r="H5638" t="s">
        <v>44</v>
      </c>
      <c r="I5638" t="s">
        <v>2192</v>
      </c>
      <c r="J5638" s="10">
        <v>6</v>
      </c>
      <c r="K5638" t="b">
        <v>1</v>
      </c>
    </row>
    <row r="5639" spans="1:11">
      <c r="A5639" s="12">
        <v>42345</v>
      </c>
      <c r="B5639">
        <v>2015</v>
      </c>
      <c r="C5639">
        <v>12</v>
      </c>
      <c r="D5639" s="11">
        <v>42339</v>
      </c>
      <c r="E5639" t="s">
        <v>2184</v>
      </c>
      <c r="F5639">
        <v>1</v>
      </c>
      <c r="G5639" t="s">
        <v>61</v>
      </c>
      <c r="H5639" t="s">
        <v>45</v>
      </c>
      <c r="I5639" t="s">
        <v>2193</v>
      </c>
      <c r="J5639" s="10">
        <v>1</v>
      </c>
      <c r="K5639" t="b">
        <v>1</v>
      </c>
    </row>
    <row r="5640" spans="1:11">
      <c r="A5640" s="12">
        <v>42345</v>
      </c>
      <c r="B5640">
        <v>2015</v>
      </c>
      <c r="C5640">
        <v>12</v>
      </c>
      <c r="D5640" s="11">
        <v>42339</v>
      </c>
      <c r="E5640" t="s">
        <v>2184</v>
      </c>
      <c r="F5640">
        <v>1</v>
      </c>
      <c r="G5640" t="s">
        <v>61</v>
      </c>
      <c r="H5640" t="s">
        <v>46</v>
      </c>
      <c r="I5640" t="s">
        <v>2194</v>
      </c>
      <c r="J5640" s="10">
        <v>11</v>
      </c>
      <c r="K5640" t="b">
        <v>1</v>
      </c>
    </row>
    <row r="5641" spans="1:11">
      <c r="A5641" s="12">
        <v>42345</v>
      </c>
      <c r="B5641">
        <v>2015</v>
      </c>
      <c r="C5641">
        <v>12</v>
      </c>
      <c r="D5641" s="11">
        <v>42339</v>
      </c>
      <c r="E5641" t="s">
        <v>2184</v>
      </c>
      <c r="F5641">
        <v>1</v>
      </c>
      <c r="G5641" t="s">
        <v>61</v>
      </c>
      <c r="H5641" t="s">
        <v>47</v>
      </c>
      <c r="I5641" t="s">
        <v>2195</v>
      </c>
      <c r="J5641" s="10">
        <v>6</v>
      </c>
      <c r="K5641" t="b">
        <v>1</v>
      </c>
    </row>
    <row r="5642" spans="1:11">
      <c r="A5642" s="12">
        <v>42346</v>
      </c>
      <c r="B5642">
        <v>2015</v>
      </c>
      <c r="C5642">
        <v>12</v>
      </c>
      <c r="D5642" s="11">
        <v>42339</v>
      </c>
      <c r="E5642" t="s">
        <v>2184</v>
      </c>
      <c r="F5642">
        <v>2</v>
      </c>
      <c r="G5642" t="s">
        <v>63</v>
      </c>
      <c r="H5642" t="s">
        <v>40</v>
      </c>
      <c r="I5642" t="s">
        <v>2188</v>
      </c>
      <c r="J5642" s="10">
        <v>2</v>
      </c>
      <c r="K5642" t="b">
        <v>1</v>
      </c>
    </row>
    <row r="5643" spans="1:11">
      <c r="A5643" s="12">
        <v>42346</v>
      </c>
      <c r="B5643">
        <v>2015</v>
      </c>
      <c r="C5643">
        <v>12</v>
      </c>
      <c r="D5643" s="11">
        <v>42339</v>
      </c>
      <c r="E5643" t="s">
        <v>2184</v>
      </c>
      <c r="F5643">
        <v>2</v>
      </c>
      <c r="G5643" t="s">
        <v>63</v>
      </c>
      <c r="H5643" t="s">
        <v>41</v>
      </c>
      <c r="I5643" t="s">
        <v>2189</v>
      </c>
      <c r="J5643" s="10">
        <v>6.34</v>
      </c>
      <c r="K5643" t="b">
        <v>1</v>
      </c>
    </row>
    <row r="5644" spans="1:11">
      <c r="A5644" s="12">
        <v>42346</v>
      </c>
      <c r="B5644">
        <v>2015</v>
      </c>
      <c r="C5644">
        <v>12</v>
      </c>
      <c r="D5644" s="11">
        <v>42339</v>
      </c>
      <c r="E5644" t="s">
        <v>2184</v>
      </c>
      <c r="F5644">
        <v>2</v>
      </c>
      <c r="G5644" t="s">
        <v>63</v>
      </c>
      <c r="H5644" t="s">
        <v>42</v>
      </c>
      <c r="I5644" t="s">
        <v>2190</v>
      </c>
      <c r="J5644" s="10">
        <v>2</v>
      </c>
      <c r="K5644" t="b">
        <v>1</v>
      </c>
    </row>
    <row r="5645" spans="1:11">
      <c r="A5645" s="12">
        <v>42346</v>
      </c>
      <c r="B5645">
        <v>2015</v>
      </c>
      <c r="C5645">
        <v>12</v>
      </c>
      <c r="D5645" s="11">
        <v>42339</v>
      </c>
      <c r="E5645" t="s">
        <v>2184</v>
      </c>
      <c r="F5645">
        <v>2</v>
      </c>
      <c r="G5645" t="s">
        <v>63</v>
      </c>
      <c r="H5645" t="s">
        <v>43</v>
      </c>
      <c r="I5645" t="s">
        <v>2191</v>
      </c>
      <c r="J5645" s="10">
        <v>41.325</v>
      </c>
      <c r="K5645" t="b">
        <v>1</v>
      </c>
    </row>
    <row r="5646" spans="1:11">
      <c r="A5646" s="12">
        <v>42346</v>
      </c>
      <c r="B5646">
        <v>2015</v>
      </c>
      <c r="C5646">
        <v>12</v>
      </c>
      <c r="D5646" s="11">
        <v>42339</v>
      </c>
      <c r="E5646" t="s">
        <v>2184</v>
      </c>
      <c r="F5646">
        <v>2</v>
      </c>
      <c r="G5646" t="s">
        <v>63</v>
      </c>
      <c r="H5646" t="s">
        <v>44</v>
      </c>
      <c r="I5646" t="s">
        <v>2192</v>
      </c>
      <c r="J5646" s="10">
        <v>8</v>
      </c>
      <c r="K5646" t="b">
        <v>1</v>
      </c>
    </row>
    <row r="5647" spans="1:11">
      <c r="A5647" s="12">
        <v>42346</v>
      </c>
      <c r="B5647">
        <v>2015</v>
      </c>
      <c r="C5647">
        <v>12</v>
      </c>
      <c r="D5647" s="11">
        <v>42339</v>
      </c>
      <c r="E5647" t="s">
        <v>2184</v>
      </c>
      <c r="F5647">
        <v>2</v>
      </c>
      <c r="G5647" t="s">
        <v>63</v>
      </c>
      <c r="H5647" t="s">
        <v>45</v>
      </c>
      <c r="I5647" t="s">
        <v>2193</v>
      </c>
      <c r="J5647" s="10">
        <v>0</v>
      </c>
      <c r="K5647" t="b">
        <v>1</v>
      </c>
    </row>
    <row r="5648" spans="1:11">
      <c r="A5648" s="12">
        <v>42346</v>
      </c>
      <c r="B5648">
        <v>2015</v>
      </c>
      <c r="C5648">
        <v>12</v>
      </c>
      <c r="D5648" s="11">
        <v>42339</v>
      </c>
      <c r="E5648" t="s">
        <v>2184</v>
      </c>
      <c r="F5648">
        <v>2</v>
      </c>
      <c r="G5648" t="s">
        <v>63</v>
      </c>
      <c r="H5648" t="s">
        <v>46</v>
      </c>
      <c r="I5648" t="s">
        <v>2194</v>
      </c>
      <c r="J5648" s="10">
        <v>0</v>
      </c>
      <c r="K5648" t="b">
        <v>1</v>
      </c>
    </row>
    <row r="5649" spans="1:11">
      <c r="A5649" s="12">
        <v>42346</v>
      </c>
      <c r="B5649">
        <v>2015</v>
      </c>
      <c r="C5649">
        <v>12</v>
      </c>
      <c r="D5649" s="11">
        <v>42339</v>
      </c>
      <c r="E5649" t="s">
        <v>2184</v>
      </c>
      <c r="F5649">
        <v>2</v>
      </c>
      <c r="G5649" t="s">
        <v>63</v>
      </c>
      <c r="H5649" t="s">
        <v>47</v>
      </c>
      <c r="I5649" t="s">
        <v>2195</v>
      </c>
      <c r="J5649" s="10">
        <v>0</v>
      </c>
      <c r="K5649" t="b">
        <v>1</v>
      </c>
    </row>
    <row r="5650" spans="1:11">
      <c r="A5650" s="12">
        <v>42347</v>
      </c>
      <c r="B5650">
        <v>2015</v>
      </c>
      <c r="C5650">
        <v>12</v>
      </c>
      <c r="D5650" s="11">
        <v>42339</v>
      </c>
      <c r="E5650" t="s">
        <v>2184</v>
      </c>
      <c r="F5650">
        <v>3</v>
      </c>
      <c r="G5650" t="s">
        <v>65</v>
      </c>
      <c r="H5650" t="s">
        <v>40</v>
      </c>
      <c r="I5650" t="s">
        <v>2188</v>
      </c>
      <c r="J5650" s="10">
        <v>3.34</v>
      </c>
      <c r="K5650" t="b">
        <v>1</v>
      </c>
    </row>
    <row r="5651" spans="1:11">
      <c r="A5651" s="12">
        <v>42347</v>
      </c>
      <c r="B5651">
        <v>2015</v>
      </c>
      <c r="C5651">
        <v>12</v>
      </c>
      <c r="D5651" s="11">
        <v>42339</v>
      </c>
      <c r="E5651" t="s">
        <v>2184</v>
      </c>
      <c r="F5651">
        <v>3</v>
      </c>
      <c r="G5651" t="s">
        <v>65</v>
      </c>
      <c r="H5651" t="s">
        <v>41</v>
      </c>
      <c r="I5651" t="s">
        <v>2189</v>
      </c>
      <c r="J5651" s="10">
        <v>3.472</v>
      </c>
      <c r="K5651" t="b">
        <v>1</v>
      </c>
    </row>
    <row r="5652" spans="1:11">
      <c r="A5652" s="12">
        <v>42347</v>
      </c>
      <c r="B5652">
        <v>2015</v>
      </c>
      <c r="C5652">
        <v>12</v>
      </c>
      <c r="D5652" s="11">
        <v>42339</v>
      </c>
      <c r="E5652" t="s">
        <v>2184</v>
      </c>
      <c r="F5652">
        <v>3</v>
      </c>
      <c r="G5652" t="s">
        <v>65</v>
      </c>
      <c r="H5652" t="s">
        <v>42</v>
      </c>
      <c r="I5652" t="s">
        <v>2190</v>
      </c>
      <c r="J5652" s="10">
        <v>7</v>
      </c>
      <c r="K5652" t="b">
        <v>1</v>
      </c>
    </row>
    <row r="5653" spans="1:11">
      <c r="A5653" s="12">
        <v>42347</v>
      </c>
      <c r="B5653">
        <v>2015</v>
      </c>
      <c r="C5653">
        <v>12</v>
      </c>
      <c r="D5653" s="11">
        <v>42339</v>
      </c>
      <c r="E5653" t="s">
        <v>2184</v>
      </c>
      <c r="F5653">
        <v>3</v>
      </c>
      <c r="G5653" t="s">
        <v>65</v>
      </c>
      <c r="H5653" t="s">
        <v>43</v>
      </c>
      <c r="I5653" t="s">
        <v>2191</v>
      </c>
      <c r="J5653" s="10">
        <v>41.262</v>
      </c>
      <c r="K5653" t="b">
        <v>1</v>
      </c>
    </row>
    <row r="5654" spans="1:11">
      <c r="A5654" s="12">
        <v>42347</v>
      </c>
      <c r="B5654">
        <v>2015</v>
      </c>
      <c r="C5654">
        <v>12</v>
      </c>
      <c r="D5654" s="11">
        <v>42339</v>
      </c>
      <c r="E5654" t="s">
        <v>2184</v>
      </c>
      <c r="F5654">
        <v>3</v>
      </c>
      <c r="G5654" t="s">
        <v>65</v>
      </c>
      <c r="H5654" t="s">
        <v>44</v>
      </c>
      <c r="I5654" t="s">
        <v>2192</v>
      </c>
      <c r="J5654" s="10">
        <v>16</v>
      </c>
      <c r="K5654" t="b">
        <v>1</v>
      </c>
    </row>
    <row r="5655" spans="1:11">
      <c r="A5655" s="12">
        <v>42347</v>
      </c>
      <c r="B5655">
        <v>2015</v>
      </c>
      <c r="C5655">
        <v>12</v>
      </c>
      <c r="D5655" s="11">
        <v>42339</v>
      </c>
      <c r="E5655" t="s">
        <v>2184</v>
      </c>
      <c r="F5655">
        <v>3</v>
      </c>
      <c r="G5655" t="s">
        <v>65</v>
      </c>
      <c r="H5655" t="s">
        <v>45</v>
      </c>
      <c r="I5655" t="s">
        <v>2193</v>
      </c>
      <c r="J5655" s="10">
        <v>0</v>
      </c>
      <c r="K5655" t="b">
        <v>1</v>
      </c>
    </row>
    <row r="5656" spans="1:11">
      <c r="A5656" s="12">
        <v>42347</v>
      </c>
      <c r="B5656">
        <v>2015</v>
      </c>
      <c r="C5656">
        <v>12</v>
      </c>
      <c r="D5656" s="11">
        <v>42339</v>
      </c>
      <c r="E5656" t="s">
        <v>2184</v>
      </c>
      <c r="F5656">
        <v>3</v>
      </c>
      <c r="G5656" t="s">
        <v>65</v>
      </c>
      <c r="H5656" t="s">
        <v>46</v>
      </c>
      <c r="I5656" t="s">
        <v>2194</v>
      </c>
      <c r="J5656" s="10">
        <v>3</v>
      </c>
      <c r="K5656" t="b">
        <v>1</v>
      </c>
    </row>
    <row r="5657" spans="1:11">
      <c r="A5657" s="12">
        <v>42347</v>
      </c>
      <c r="B5657">
        <v>2015</v>
      </c>
      <c r="C5657">
        <v>12</v>
      </c>
      <c r="D5657" s="11">
        <v>42339</v>
      </c>
      <c r="E5657" t="s">
        <v>2184</v>
      </c>
      <c r="F5657">
        <v>3</v>
      </c>
      <c r="G5657" t="s">
        <v>65</v>
      </c>
      <c r="H5657" t="s">
        <v>47</v>
      </c>
      <c r="I5657" t="s">
        <v>2195</v>
      </c>
      <c r="J5657" s="10">
        <v>1</v>
      </c>
      <c r="K5657" t="b">
        <v>1</v>
      </c>
    </row>
    <row r="5658" spans="1:11">
      <c r="A5658" s="12">
        <v>42348</v>
      </c>
      <c r="B5658">
        <v>2015</v>
      </c>
      <c r="C5658">
        <v>12</v>
      </c>
      <c r="D5658" s="11">
        <v>42339</v>
      </c>
      <c r="E5658" t="s">
        <v>2184</v>
      </c>
      <c r="F5658">
        <v>4</v>
      </c>
      <c r="G5658" t="s">
        <v>53</v>
      </c>
      <c r="H5658" t="s">
        <v>40</v>
      </c>
      <c r="I5658" t="s">
        <v>2188</v>
      </c>
      <c r="J5658" s="10">
        <v>11.66</v>
      </c>
      <c r="K5658" t="b">
        <v>1</v>
      </c>
    </row>
    <row r="5659" spans="1:11">
      <c r="A5659" s="12">
        <v>42348</v>
      </c>
      <c r="B5659">
        <v>2015</v>
      </c>
      <c r="C5659">
        <v>12</v>
      </c>
      <c r="D5659" s="11">
        <v>42339</v>
      </c>
      <c r="E5659" t="s">
        <v>2184</v>
      </c>
      <c r="F5659">
        <v>4</v>
      </c>
      <c r="G5659" t="s">
        <v>53</v>
      </c>
      <c r="H5659" t="s">
        <v>41</v>
      </c>
      <c r="I5659" t="s">
        <v>2189</v>
      </c>
      <c r="J5659" s="10">
        <v>10.69</v>
      </c>
      <c r="K5659" t="b">
        <v>1</v>
      </c>
    </row>
    <row r="5660" spans="1:11">
      <c r="A5660" s="12">
        <v>42348</v>
      </c>
      <c r="B5660">
        <v>2015</v>
      </c>
      <c r="C5660">
        <v>12</v>
      </c>
      <c r="D5660" s="11">
        <v>42339</v>
      </c>
      <c r="E5660" t="s">
        <v>2184</v>
      </c>
      <c r="F5660">
        <v>4</v>
      </c>
      <c r="G5660" t="s">
        <v>53</v>
      </c>
      <c r="H5660" t="s">
        <v>42</v>
      </c>
      <c r="I5660" t="s">
        <v>2190</v>
      </c>
      <c r="J5660" s="10">
        <v>16</v>
      </c>
      <c r="K5660" t="b">
        <v>1</v>
      </c>
    </row>
    <row r="5661" spans="1:11">
      <c r="A5661" s="12">
        <v>42348</v>
      </c>
      <c r="B5661">
        <v>2015</v>
      </c>
      <c r="C5661">
        <v>12</v>
      </c>
      <c r="D5661" s="11">
        <v>42339</v>
      </c>
      <c r="E5661" t="s">
        <v>2184</v>
      </c>
      <c r="F5661">
        <v>4</v>
      </c>
      <c r="G5661" t="s">
        <v>53</v>
      </c>
      <c r="H5661" t="s">
        <v>43</v>
      </c>
      <c r="I5661" t="s">
        <v>2191</v>
      </c>
      <c r="J5661" s="10">
        <v>31.9</v>
      </c>
      <c r="K5661" t="b">
        <v>1</v>
      </c>
    </row>
    <row r="5662" spans="1:11">
      <c r="A5662" s="12">
        <v>42348</v>
      </c>
      <c r="B5662">
        <v>2015</v>
      </c>
      <c r="C5662">
        <v>12</v>
      </c>
      <c r="D5662" s="11">
        <v>42339</v>
      </c>
      <c r="E5662" t="s">
        <v>2184</v>
      </c>
      <c r="F5662">
        <v>4</v>
      </c>
      <c r="G5662" t="s">
        <v>53</v>
      </c>
      <c r="H5662" t="s">
        <v>44</v>
      </c>
      <c r="I5662" t="s">
        <v>2192</v>
      </c>
      <c r="J5662" s="10">
        <v>9</v>
      </c>
      <c r="K5662" t="b">
        <v>1</v>
      </c>
    </row>
    <row r="5663" spans="1:11">
      <c r="A5663" s="12">
        <v>42348</v>
      </c>
      <c r="B5663">
        <v>2015</v>
      </c>
      <c r="C5663">
        <v>12</v>
      </c>
      <c r="D5663" s="11">
        <v>42339</v>
      </c>
      <c r="E5663" t="s">
        <v>2184</v>
      </c>
      <c r="F5663">
        <v>4</v>
      </c>
      <c r="G5663" t="s">
        <v>53</v>
      </c>
      <c r="H5663" t="s">
        <v>45</v>
      </c>
      <c r="I5663" t="s">
        <v>2193</v>
      </c>
      <c r="J5663" s="10">
        <v>0</v>
      </c>
      <c r="K5663" t="b">
        <v>1</v>
      </c>
    </row>
    <row r="5664" spans="1:11">
      <c r="A5664" s="12">
        <v>42348</v>
      </c>
      <c r="B5664">
        <v>2015</v>
      </c>
      <c r="C5664">
        <v>12</v>
      </c>
      <c r="D5664" s="11">
        <v>42339</v>
      </c>
      <c r="E5664" t="s">
        <v>2184</v>
      </c>
      <c r="F5664">
        <v>4</v>
      </c>
      <c r="G5664" t="s">
        <v>53</v>
      </c>
      <c r="H5664" t="s">
        <v>46</v>
      </c>
      <c r="I5664" t="s">
        <v>2194</v>
      </c>
      <c r="J5664" s="10">
        <v>9</v>
      </c>
      <c r="K5664" t="b">
        <v>1</v>
      </c>
    </row>
    <row r="5665" spans="1:11">
      <c r="A5665" s="12">
        <v>42348</v>
      </c>
      <c r="B5665">
        <v>2015</v>
      </c>
      <c r="C5665">
        <v>12</v>
      </c>
      <c r="D5665" s="11">
        <v>42339</v>
      </c>
      <c r="E5665" t="s">
        <v>2184</v>
      </c>
      <c r="F5665">
        <v>4</v>
      </c>
      <c r="G5665" t="s">
        <v>53</v>
      </c>
      <c r="H5665" t="s">
        <v>47</v>
      </c>
      <c r="I5665" t="s">
        <v>2195</v>
      </c>
      <c r="J5665" s="10">
        <v>2.1</v>
      </c>
      <c r="K5665" t="b">
        <v>1</v>
      </c>
    </row>
    <row r="5666" spans="1:11">
      <c r="A5666" s="12">
        <v>42349</v>
      </c>
      <c r="B5666">
        <v>2015</v>
      </c>
      <c r="C5666">
        <v>12</v>
      </c>
      <c r="D5666" s="11">
        <v>42339</v>
      </c>
      <c r="E5666" t="s">
        <v>2184</v>
      </c>
      <c r="F5666">
        <v>5</v>
      </c>
      <c r="G5666" t="s">
        <v>55</v>
      </c>
      <c r="H5666" t="s">
        <v>40</v>
      </c>
      <c r="I5666" t="s">
        <v>2188</v>
      </c>
      <c r="J5666" s="10">
        <v>5.84</v>
      </c>
      <c r="K5666" t="b">
        <v>1</v>
      </c>
    </row>
    <row r="5667" spans="1:11">
      <c r="A5667" s="12">
        <v>42349</v>
      </c>
      <c r="B5667">
        <v>2015</v>
      </c>
      <c r="C5667">
        <v>12</v>
      </c>
      <c r="D5667" s="11">
        <v>42339</v>
      </c>
      <c r="E5667" t="s">
        <v>2184</v>
      </c>
      <c r="F5667">
        <v>5</v>
      </c>
      <c r="G5667" t="s">
        <v>55</v>
      </c>
      <c r="H5667" t="s">
        <v>41</v>
      </c>
      <c r="I5667" t="s">
        <v>2189</v>
      </c>
      <c r="J5667" s="10">
        <v>6.165</v>
      </c>
      <c r="K5667" t="b">
        <v>1</v>
      </c>
    </row>
    <row r="5668" spans="1:11">
      <c r="A5668" s="12">
        <v>42349</v>
      </c>
      <c r="B5668">
        <v>2015</v>
      </c>
      <c r="C5668">
        <v>12</v>
      </c>
      <c r="D5668" s="11">
        <v>42339</v>
      </c>
      <c r="E5668" t="s">
        <v>2184</v>
      </c>
      <c r="F5668">
        <v>5</v>
      </c>
      <c r="G5668" t="s">
        <v>55</v>
      </c>
      <c r="H5668" t="s">
        <v>42</v>
      </c>
      <c r="I5668" t="s">
        <v>2190</v>
      </c>
      <c r="J5668" s="10">
        <v>3</v>
      </c>
      <c r="K5668" t="b">
        <v>1</v>
      </c>
    </row>
    <row r="5669" spans="1:11">
      <c r="A5669" s="12">
        <v>42349</v>
      </c>
      <c r="B5669">
        <v>2015</v>
      </c>
      <c r="C5669">
        <v>12</v>
      </c>
      <c r="D5669" s="11">
        <v>42339</v>
      </c>
      <c r="E5669" t="s">
        <v>2184</v>
      </c>
      <c r="F5669">
        <v>5</v>
      </c>
      <c r="G5669" t="s">
        <v>55</v>
      </c>
      <c r="H5669" t="s">
        <v>43</v>
      </c>
      <c r="I5669" t="s">
        <v>2191</v>
      </c>
      <c r="J5669" s="10">
        <v>22.7</v>
      </c>
      <c r="K5669" t="b">
        <v>1</v>
      </c>
    </row>
    <row r="5670" spans="1:11">
      <c r="A5670" s="12">
        <v>42349</v>
      </c>
      <c r="B5670">
        <v>2015</v>
      </c>
      <c r="C5670">
        <v>12</v>
      </c>
      <c r="D5670" s="11">
        <v>42339</v>
      </c>
      <c r="E5670" t="s">
        <v>2184</v>
      </c>
      <c r="F5670">
        <v>5</v>
      </c>
      <c r="G5670" t="s">
        <v>55</v>
      </c>
      <c r="H5670" t="s">
        <v>44</v>
      </c>
      <c r="I5670" t="s">
        <v>2192</v>
      </c>
      <c r="J5670" s="10">
        <v>9</v>
      </c>
      <c r="K5670" t="b">
        <v>1</v>
      </c>
    </row>
    <row r="5671" spans="1:11">
      <c r="A5671" s="12">
        <v>42349</v>
      </c>
      <c r="B5671">
        <v>2015</v>
      </c>
      <c r="C5671">
        <v>12</v>
      </c>
      <c r="D5671" s="11">
        <v>42339</v>
      </c>
      <c r="E5671" t="s">
        <v>2184</v>
      </c>
      <c r="F5671">
        <v>5</v>
      </c>
      <c r="G5671" t="s">
        <v>55</v>
      </c>
      <c r="H5671" t="s">
        <v>45</v>
      </c>
      <c r="I5671" t="s">
        <v>2193</v>
      </c>
      <c r="J5671" s="10">
        <v>0</v>
      </c>
      <c r="K5671" t="b">
        <v>1</v>
      </c>
    </row>
    <row r="5672" spans="1:11">
      <c r="A5672" s="12">
        <v>42349</v>
      </c>
      <c r="B5672">
        <v>2015</v>
      </c>
      <c r="C5672">
        <v>12</v>
      </c>
      <c r="D5672" s="11">
        <v>42339</v>
      </c>
      <c r="E5672" t="s">
        <v>2184</v>
      </c>
      <c r="F5672">
        <v>5</v>
      </c>
      <c r="G5672" t="s">
        <v>55</v>
      </c>
      <c r="H5672" t="s">
        <v>46</v>
      </c>
      <c r="I5672" t="s">
        <v>2194</v>
      </c>
      <c r="J5672" s="10">
        <v>16</v>
      </c>
      <c r="K5672" t="b">
        <v>1</v>
      </c>
    </row>
    <row r="5673" spans="1:11">
      <c r="A5673" s="12">
        <v>42349</v>
      </c>
      <c r="B5673">
        <v>2015</v>
      </c>
      <c r="C5673">
        <v>12</v>
      </c>
      <c r="D5673" s="11">
        <v>42339</v>
      </c>
      <c r="E5673" t="s">
        <v>2184</v>
      </c>
      <c r="F5673">
        <v>5</v>
      </c>
      <c r="G5673" t="s">
        <v>55</v>
      </c>
      <c r="H5673" t="s">
        <v>47</v>
      </c>
      <c r="I5673" t="s">
        <v>2195</v>
      </c>
      <c r="J5673" s="10">
        <v>1</v>
      </c>
      <c r="K5673" t="b">
        <v>1</v>
      </c>
    </row>
    <row r="5674" spans="1:11">
      <c r="A5674" s="12">
        <v>42350</v>
      </c>
      <c r="B5674">
        <v>2015</v>
      </c>
      <c r="C5674">
        <v>12</v>
      </c>
      <c r="D5674" s="11">
        <v>42339</v>
      </c>
      <c r="E5674" t="s">
        <v>2184</v>
      </c>
      <c r="F5674">
        <v>6</v>
      </c>
      <c r="G5674" t="s">
        <v>57</v>
      </c>
      <c r="H5674" t="s">
        <v>40</v>
      </c>
      <c r="I5674" t="s">
        <v>2188</v>
      </c>
      <c r="J5674" s="10">
        <v>6.34</v>
      </c>
      <c r="K5674" t="b">
        <v>1</v>
      </c>
    </row>
    <row r="5675" spans="1:11">
      <c r="A5675" s="12">
        <v>42350</v>
      </c>
      <c r="B5675">
        <v>2015</v>
      </c>
      <c r="C5675">
        <v>12</v>
      </c>
      <c r="D5675" s="11">
        <v>42339</v>
      </c>
      <c r="E5675" t="s">
        <v>2184</v>
      </c>
      <c r="F5675">
        <v>6</v>
      </c>
      <c r="G5675" t="s">
        <v>57</v>
      </c>
      <c r="H5675" t="s">
        <v>41</v>
      </c>
      <c r="I5675" t="s">
        <v>2189</v>
      </c>
      <c r="J5675" s="10">
        <v>3.2</v>
      </c>
      <c r="K5675" t="b">
        <v>1</v>
      </c>
    </row>
    <row r="5676" spans="1:11">
      <c r="A5676" s="12">
        <v>42350</v>
      </c>
      <c r="B5676">
        <v>2015</v>
      </c>
      <c r="C5676">
        <v>12</v>
      </c>
      <c r="D5676" s="11">
        <v>42339</v>
      </c>
      <c r="E5676" t="s">
        <v>2184</v>
      </c>
      <c r="F5676">
        <v>6</v>
      </c>
      <c r="G5676" t="s">
        <v>57</v>
      </c>
      <c r="H5676" t="s">
        <v>42</v>
      </c>
      <c r="I5676" t="s">
        <v>2190</v>
      </c>
      <c r="J5676" s="10">
        <v>3</v>
      </c>
      <c r="K5676" t="b">
        <v>1</v>
      </c>
    </row>
    <row r="5677" spans="1:11">
      <c r="A5677" s="12">
        <v>42350</v>
      </c>
      <c r="B5677">
        <v>2015</v>
      </c>
      <c r="C5677">
        <v>12</v>
      </c>
      <c r="D5677" s="11">
        <v>42339</v>
      </c>
      <c r="E5677" t="s">
        <v>2184</v>
      </c>
      <c r="F5677">
        <v>6</v>
      </c>
      <c r="G5677" t="s">
        <v>57</v>
      </c>
      <c r="H5677" t="s">
        <v>43</v>
      </c>
      <c r="I5677" t="s">
        <v>2191</v>
      </c>
      <c r="J5677" s="10">
        <v>42.2</v>
      </c>
      <c r="K5677" t="b">
        <v>1</v>
      </c>
    </row>
    <row r="5678" spans="1:11">
      <c r="A5678" s="12">
        <v>42350</v>
      </c>
      <c r="B5678">
        <v>2015</v>
      </c>
      <c r="C5678">
        <v>12</v>
      </c>
      <c r="D5678" s="11">
        <v>42339</v>
      </c>
      <c r="E5678" t="s">
        <v>2184</v>
      </c>
      <c r="F5678">
        <v>6</v>
      </c>
      <c r="G5678" t="s">
        <v>57</v>
      </c>
      <c r="H5678" t="s">
        <v>44</v>
      </c>
      <c r="I5678" t="s">
        <v>2192</v>
      </c>
      <c r="J5678" s="10">
        <v>5</v>
      </c>
      <c r="K5678" t="b">
        <v>1</v>
      </c>
    </row>
    <row r="5679" spans="1:11">
      <c r="A5679" s="12">
        <v>42350</v>
      </c>
      <c r="B5679">
        <v>2015</v>
      </c>
      <c r="C5679">
        <v>12</v>
      </c>
      <c r="D5679" s="11">
        <v>42339</v>
      </c>
      <c r="E5679" t="s">
        <v>2184</v>
      </c>
      <c r="F5679">
        <v>6</v>
      </c>
      <c r="G5679" t="s">
        <v>57</v>
      </c>
      <c r="H5679" t="s">
        <v>45</v>
      </c>
      <c r="I5679" t="s">
        <v>2193</v>
      </c>
      <c r="J5679" s="10">
        <v>2</v>
      </c>
      <c r="K5679" t="b">
        <v>1</v>
      </c>
    </row>
    <row r="5680" spans="1:11">
      <c r="A5680" s="12">
        <v>42350</v>
      </c>
      <c r="B5680">
        <v>2015</v>
      </c>
      <c r="C5680">
        <v>12</v>
      </c>
      <c r="D5680" s="11">
        <v>42339</v>
      </c>
      <c r="E5680" t="s">
        <v>2184</v>
      </c>
      <c r="F5680">
        <v>6</v>
      </c>
      <c r="G5680" t="s">
        <v>57</v>
      </c>
      <c r="H5680" t="s">
        <v>46</v>
      </c>
      <c r="I5680" t="s">
        <v>2194</v>
      </c>
      <c r="J5680" s="10">
        <v>6</v>
      </c>
      <c r="K5680" t="b">
        <v>1</v>
      </c>
    </row>
    <row r="5681" spans="1:11">
      <c r="A5681" s="12">
        <v>42350</v>
      </c>
      <c r="B5681">
        <v>2015</v>
      </c>
      <c r="C5681">
        <v>12</v>
      </c>
      <c r="D5681" s="11">
        <v>42339</v>
      </c>
      <c r="E5681" t="s">
        <v>2184</v>
      </c>
      <c r="F5681">
        <v>6</v>
      </c>
      <c r="G5681" t="s">
        <v>57</v>
      </c>
      <c r="H5681" t="s">
        <v>47</v>
      </c>
      <c r="I5681" t="s">
        <v>2195</v>
      </c>
      <c r="J5681" s="10">
        <v>1</v>
      </c>
      <c r="K5681" t="b">
        <v>1</v>
      </c>
    </row>
    <row r="5682" spans="1:11">
      <c r="A5682" s="12">
        <v>42351</v>
      </c>
      <c r="B5682">
        <v>2015</v>
      </c>
      <c r="C5682">
        <v>12</v>
      </c>
      <c r="D5682" s="11">
        <v>42339</v>
      </c>
      <c r="E5682" t="s">
        <v>2184</v>
      </c>
      <c r="F5682">
        <v>7</v>
      </c>
      <c r="G5682" t="s">
        <v>59</v>
      </c>
      <c r="H5682" t="s">
        <v>40</v>
      </c>
      <c r="I5682" t="s">
        <v>2188</v>
      </c>
      <c r="J5682" s="10">
        <v>9.33</v>
      </c>
      <c r="K5682" t="b">
        <v>1</v>
      </c>
    </row>
    <row r="5683" spans="1:11">
      <c r="A5683" s="12">
        <v>42351</v>
      </c>
      <c r="B5683">
        <v>2015</v>
      </c>
      <c r="C5683">
        <v>12</v>
      </c>
      <c r="D5683" s="11">
        <v>42339</v>
      </c>
      <c r="E5683" t="s">
        <v>2184</v>
      </c>
      <c r="F5683">
        <v>7</v>
      </c>
      <c r="G5683" t="s">
        <v>59</v>
      </c>
      <c r="H5683" t="s">
        <v>41</v>
      </c>
      <c r="I5683" t="s">
        <v>2189</v>
      </c>
      <c r="J5683" s="10">
        <v>4.32</v>
      </c>
      <c r="K5683" t="b">
        <v>1</v>
      </c>
    </row>
    <row r="5684" spans="1:11">
      <c r="A5684" s="12">
        <v>42351</v>
      </c>
      <c r="B5684">
        <v>2015</v>
      </c>
      <c r="C5684">
        <v>12</v>
      </c>
      <c r="D5684" s="11">
        <v>42339</v>
      </c>
      <c r="E5684" t="s">
        <v>2184</v>
      </c>
      <c r="F5684">
        <v>7</v>
      </c>
      <c r="G5684" t="s">
        <v>59</v>
      </c>
      <c r="H5684" t="s">
        <v>42</v>
      </c>
      <c r="I5684" t="s">
        <v>2190</v>
      </c>
      <c r="J5684" s="10">
        <v>7</v>
      </c>
      <c r="K5684" t="b">
        <v>1</v>
      </c>
    </row>
    <row r="5685" spans="1:11">
      <c r="A5685" s="12">
        <v>42351</v>
      </c>
      <c r="B5685">
        <v>2015</v>
      </c>
      <c r="C5685">
        <v>12</v>
      </c>
      <c r="D5685" s="11">
        <v>42339</v>
      </c>
      <c r="E5685" t="s">
        <v>2184</v>
      </c>
      <c r="F5685">
        <v>7</v>
      </c>
      <c r="G5685" t="s">
        <v>59</v>
      </c>
      <c r="H5685" t="s">
        <v>43</v>
      </c>
      <c r="I5685" t="s">
        <v>2191</v>
      </c>
      <c r="J5685" s="10">
        <v>29</v>
      </c>
      <c r="K5685" t="b">
        <v>1</v>
      </c>
    </row>
    <row r="5686" spans="1:11">
      <c r="A5686" s="12">
        <v>42351</v>
      </c>
      <c r="B5686">
        <v>2015</v>
      </c>
      <c r="C5686">
        <v>12</v>
      </c>
      <c r="D5686" s="11">
        <v>42339</v>
      </c>
      <c r="E5686" t="s">
        <v>2184</v>
      </c>
      <c r="F5686">
        <v>7</v>
      </c>
      <c r="G5686" t="s">
        <v>59</v>
      </c>
      <c r="H5686" t="s">
        <v>44</v>
      </c>
      <c r="I5686" t="s">
        <v>2192</v>
      </c>
      <c r="J5686" s="10">
        <v>5</v>
      </c>
      <c r="K5686" t="b">
        <v>1</v>
      </c>
    </row>
    <row r="5687" spans="1:11">
      <c r="A5687" s="12">
        <v>42351</v>
      </c>
      <c r="B5687">
        <v>2015</v>
      </c>
      <c r="C5687">
        <v>12</v>
      </c>
      <c r="D5687" s="11">
        <v>42339</v>
      </c>
      <c r="E5687" t="s">
        <v>2184</v>
      </c>
      <c r="F5687">
        <v>7</v>
      </c>
      <c r="G5687" t="s">
        <v>59</v>
      </c>
      <c r="H5687" t="s">
        <v>45</v>
      </c>
      <c r="I5687" t="s">
        <v>2193</v>
      </c>
      <c r="J5687" s="10">
        <v>0</v>
      </c>
      <c r="K5687" t="b">
        <v>1</v>
      </c>
    </row>
    <row r="5688" spans="1:11">
      <c r="A5688" s="12">
        <v>42351</v>
      </c>
      <c r="B5688">
        <v>2015</v>
      </c>
      <c r="C5688">
        <v>12</v>
      </c>
      <c r="D5688" s="11">
        <v>42339</v>
      </c>
      <c r="E5688" t="s">
        <v>2184</v>
      </c>
      <c r="F5688">
        <v>7</v>
      </c>
      <c r="G5688" t="s">
        <v>59</v>
      </c>
      <c r="H5688" t="s">
        <v>46</v>
      </c>
      <c r="I5688" t="s">
        <v>2194</v>
      </c>
      <c r="J5688" s="10">
        <v>27</v>
      </c>
      <c r="K5688" t="b">
        <v>1</v>
      </c>
    </row>
    <row r="5689" spans="1:11">
      <c r="A5689" s="12">
        <v>42351</v>
      </c>
      <c r="B5689">
        <v>2015</v>
      </c>
      <c r="C5689">
        <v>12</v>
      </c>
      <c r="D5689" s="11">
        <v>42339</v>
      </c>
      <c r="E5689" t="s">
        <v>2184</v>
      </c>
      <c r="F5689">
        <v>7</v>
      </c>
      <c r="G5689" t="s">
        <v>59</v>
      </c>
      <c r="H5689" t="s">
        <v>47</v>
      </c>
      <c r="I5689" t="s">
        <v>2195</v>
      </c>
      <c r="J5689" s="10">
        <v>0</v>
      </c>
      <c r="K5689" t="b">
        <v>1</v>
      </c>
    </row>
    <row r="5690" spans="1:11">
      <c r="A5690" s="12">
        <v>42352</v>
      </c>
      <c r="B5690">
        <v>2015</v>
      </c>
      <c r="C5690">
        <v>12</v>
      </c>
      <c r="D5690" s="11">
        <v>42339</v>
      </c>
      <c r="E5690" t="s">
        <v>2184</v>
      </c>
      <c r="F5690">
        <v>1</v>
      </c>
      <c r="G5690" t="s">
        <v>61</v>
      </c>
      <c r="H5690" t="s">
        <v>40</v>
      </c>
      <c r="I5690" t="s">
        <v>2188</v>
      </c>
      <c r="J5690" s="10">
        <v>5</v>
      </c>
      <c r="K5690" t="b">
        <v>1</v>
      </c>
    </row>
    <row r="5691" spans="1:11">
      <c r="A5691" s="12">
        <v>42352</v>
      </c>
      <c r="B5691">
        <v>2015</v>
      </c>
      <c r="C5691">
        <v>12</v>
      </c>
      <c r="D5691" s="11">
        <v>42339</v>
      </c>
      <c r="E5691" t="s">
        <v>2184</v>
      </c>
      <c r="F5691">
        <v>1</v>
      </c>
      <c r="G5691" t="s">
        <v>61</v>
      </c>
      <c r="H5691" t="s">
        <v>41</v>
      </c>
      <c r="I5691" t="s">
        <v>2189</v>
      </c>
      <c r="J5691" s="10">
        <v>3</v>
      </c>
      <c r="K5691" t="b">
        <v>1</v>
      </c>
    </row>
    <row r="5692" spans="1:11">
      <c r="A5692" s="12">
        <v>42352</v>
      </c>
      <c r="B5692">
        <v>2015</v>
      </c>
      <c r="C5692">
        <v>12</v>
      </c>
      <c r="D5692" s="11">
        <v>42339</v>
      </c>
      <c r="E5692" t="s">
        <v>2184</v>
      </c>
      <c r="F5692">
        <v>1</v>
      </c>
      <c r="G5692" t="s">
        <v>61</v>
      </c>
      <c r="H5692" t="s">
        <v>42</v>
      </c>
      <c r="I5692" t="s">
        <v>2190</v>
      </c>
      <c r="J5692" s="10">
        <v>6.6</v>
      </c>
      <c r="K5692" t="b">
        <v>1</v>
      </c>
    </row>
    <row r="5693" spans="1:11">
      <c r="A5693" s="12">
        <v>42352</v>
      </c>
      <c r="B5693">
        <v>2015</v>
      </c>
      <c r="C5693">
        <v>12</v>
      </c>
      <c r="D5693" s="11">
        <v>42339</v>
      </c>
      <c r="E5693" t="s">
        <v>2184</v>
      </c>
      <c r="F5693">
        <v>1</v>
      </c>
      <c r="G5693" t="s">
        <v>61</v>
      </c>
      <c r="H5693" t="s">
        <v>43</v>
      </c>
      <c r="I5693" t="s">
        <v>2191</v>
      </c>
      <c r="J5693" s="10">
        <v>37.4</v>
      </c>
      <c r="K5693" t="b">
        <v>1</v>
      </c>
    </row>
    <row r="5694" spans="1:11">
      <c r="A5694" s="12">
        <v>42352</v>
      </c>
      <c r="B5694">
        <v>2015</v>
      </c>
      <c r="C5694">
        <v>12</v>
      </c>
      <c r="D5694" s="11">
        <v>42339</v>
      </c>
      <c r="E5694" t="s">
        <v>2184</v>
      </c>
      <c r="F5694">
        <v>1</v>
      </c>
      <c r="G5694" t="s">
        <v>61</v>
      </c>
      <c r="H5694" t="s">
        <v>44</v>
      </c>
      <c r="I5694" t="s">
        <v>2192</v>
      </c>
      <c r="J5694" s="10">
        <v>11</v>
      </c>
      <c r="K5694" t="b">
        <v>1</v>
      </c>
    </row>
    <row r="5695" spans="1:11">
      <c r="A5695" s="12">
        <v>42352</v>
      </c>
      <c r="B5695">
        <v>2015</v>
      </c>
      <c r="C5695">
        <v>12</v>
      </c>
      <c r="D5695" s="11">
        <v>42339</v>
      </c>
      <c r="E5695" t="s">
        <v>2184</v>
      </c>
      <c r="F5695">
        <v>1</v>
      </c>
      <c r="G5695" t="s">
        <v>61</v>
      </c>
      <c r="H5695" t="s">
        <v>45</v>
      </c>
      <c r="I5695" t="s">
        <v>2193</v>
      </c>
      <c r="J5695" s="10">
        <v>0</v>
      </c>
      <c r="K5695" t="b">
        <v>1</v>
      </c>
    </row>
    <row r="5696" spans="1:11">
      <c r="A5696" s="12">
        <v>42352</v>
      </c>
      <c r="B5696">
        <v>2015</v>
      </c>
      <c r="C5696">
        <v>12</v>
      </c>
      <c r="D5696" s="11">
        <v>42339</v>
      </c>
      <c r="E5696" t="s">
        <v>2184</v>
      </c>
      <c r="F5696">
        <v>1</v>
      </c>
      <c r="G5696" t="s">
        <v>61</v>
      </c>
      <c r="H5696" t="s">
        <v>46</v>
      </c>
      <c r="I5696" t="s">
        <v>2194</v>
      </c>
      <c r="J5696" s="10">
        <v>21</v>
      </c>
      <c r="K5696" t="b">
        <v>1</v>
      </c>
    </row>
    <row r="5697" spans="1:11">
      <c r="A5697" s="12">
        <v>42352</v>
      </c>
      <c r="B5697">
        <v>2015</v>
      </c>
      <c r="C5697">
        <v>12</v>
      </c>
      <c r="D5697" s="11">
        <v>42339</v>
      </c>
      <c r="E5697" t="s">
        <v>2184</v>
      </c>
      <c r="F5697">
        <v>1</v>
      </c>
      <c r="G5697" t="s">
        <v>61</v>
      </c>
      <c r="H5697" t="s">
        <v>47</v>
      </c>
      <c r="I5697" t="s">
        <v>2195</v>
      </c>
      <c r="J5697" s="10">
        <v>1</v>
      </c>
      <c r="K5697" t="b">
        <v>1</v>
      </c>
    </row>
    <row r="5698" spans="1:11">
      <c r="A5698" s="12">
        <v>42353</v>
      </c>
      <c r="B5698">
        <v>2015</v>
      </c>
      <c r="C5698">
        <v>12</v>
      </c>
      <c r="D5698" s="11">
        <v>42339</v>
      </c>
      <c r="E5698" t="s">
        <v>2184</v>
      </c>
      <c r="F5698">
        <v>2</v>
      </c>
      <c r="G5698" t="s">
        <v>63</v>
      </c>
      <c r="H5698" t="s">
        <v>40</v>
      </c>
      <c r="I5698" t="s">
        <v>2188</v>
      </c>
      <c r="J5698" s="10">
        <v>4.99</v>
      </c>
      <c r="K5698" t="b">
        <v>1</v>
      </c>
    </row>
    <row r="5699" spans="1:11">
      <c r="A5699" s="12">
        <v>42353</v>
      </c>
      <c r="B5699">
        <v>2015</v>
      </c>
      <c r="C5699">
        <v>12</v>
      </c>
      <c r="D5699" s="11">
        <v>42339</v>
      </c>
      <c r="E5699" t="s">
        <v>2184</v>
      </c>
      <c r="F5699">
        <v>2</v>
      </c>
      <c r="G5699" t="s">
        <v>63</v>
      </c>
      <c r="H5699" t="s">
        <v>41</v>
      </c>
      <c r="I5699" t="s">
        <v>2189</v>
      </c>
      <c r="J5699" s="10">
        <v>2</v>
      </c>
      <c r="K5699" t="b">
        <v>1</v>
      </c>
    </row>
    <row r="5700" spans="1:11">
      <c r="A5700" s="12">
        <v>42353</v>
      </c>
      <c r="B5700">
        <v>2015</v>
      </c>
      <c r="C5700">
        <v>12</v>
      </c>
      <c r="D5700" s="11">
        <v>42339</v>
      </c>
      <c r="E5700" t="s">
        <v>2184</v>
      </c>
      <c r="F5700">
        <v>2</v>
      </c>
      <c r="G5700" t="s">
        <v>63</v>
      </c>
      <c r="H5700" t="s">
        <v>42</v>
      </c>
      <c r="I5700" t="s">
        <v>2190</v>
      </c>
      <c r="J5700" s="10">
        <v>5</v>
      </c>
      <c r="K5700" t="b">
        <v>1</v>
      </c>
    </row>
    <row r="5701" spans="1:11">
      <c r="A5701" s="12">
        <v>42353</v>
      </c>
      <c r="B5701">
        <v>2015</v>
      </c>
      <c r="C5701">
        <v>12</v>
      </c>
      <c r="D5701" s="11">
        <v>42339</v>
      </c>
      <c r="E5701" t="s">
        <v>2184</v>
      </c>
      <c r="F5701">
        <v>2</v>
      </c>
      <c r="G5701" t="s">
        <v>63</v>
      </c>
      <c r="H5701" t="s">
        <v>43</v>
      </c>
      <c r="I5701" t="s">
        <v>2191</v>
      </c>
      <c r="J5701" s="10">
        <v>42</v>
      </c>
      <c r="K5701" t="b">
        <v>1</v>
      </c>
    </row>
    <row r="5702" spans="1:11">
      <c r="A5702" s="12">
        <v>42353</v>
      </c>
      <c r="B5702">
        <v>2015</v>
      </c>
      <c r="C5702">
        <v>12</v>
      </c>
      <c r="D5702" s="11">
        <v>42339</v>
      </c>
      <c r="E5702" t="s">
        <v>2184</v>
      </c>
      <c r="F5702">
        <v>2</v>
      </c>
      <c r="G5702" t="s">
        <v>63</v>
      </c>
      <c r="H5702" t="s">
        <v>44</v>
      </c>
      <c r="I5702" t="s">
        <v>2192</v>
      </c>
      <c r="J5702" s="10">
        <v>3</v>
      </c>
      <c r="K5702" t="b">
        <v>1</v>
      </c>
    </row>
    <row r="5703" spans="1:11">
      <c r="A5703" s="12">
        <v>42353</v>
      </c>
      <c r="B5703">
        <v>2015</v>
      </c>
      <c r="C5703">
        <v>12</v>
      </c>
      <c r="D5703" s="11">
        <v>42339</v>
      </c>
      <c r="E5703" t="s">
        <v>2184</v>
      </c>
      <c r="F5703">
        <v>2</v>
      </c>
      <c r="G5703" t="s">
        <v>63</v>
      </c>
      <c r="H5703" t="s">
        <v>45</v>
      </c>
      <c r="I5703" t="s">
        <v>2193</v>
      </c>
      <c r="J5703" s="10">
        <v>1</v>
      </c>
      <c r="K5703" t="b">
        <v>1</v>
      </c>
    </row>
    <row r="5704" spans="1:11">
      <c r="A5704" s="12">
        <v>42353</v>
      </c>
      <c r="B5704">
        <v>2015</v>
      </c>
      <c r="C5704">
        <v>12</v>
      </c>
      <c r="D5704" s="11">
        <v>42339</v>
      </c>
      <c r="E5704" t="s">
        <v>2184</v>
      </c>
      <c r="F5704">
        <v>2</v>
      </c>
      <c r="G5704" t="s">
        <v>63</v>
      </c>
      <c r="H5704" t="s">
        <v>46</v>
      </c>
      <c r="I5704" t="s">
        <v>2194</v>
      </c>
      <c r="J5704" s="10">
        <v>2</v>
      </c>
      <c r="K5704" t="b">
        <v>1</v>
      </c>
    </row>
    <row r="5705" spans="1:11">
      <c r="A5705" s="12">
        <v>42353</v>
      </c>
      <c r="B5705">
        <v>2015</v>
      </c>
      <c r="C5705">
        <v>12</v>
      </c>
      <c r="D5705" s="11">
        <v>42339</v>
      </c>
      <c r="E5705" t="s">
        <v>2184</v>
      </c>
      <c r="F5705">
        <v>2</v>
      </c>
      <c r="G5705" t="s">
        <v>63</v>
      </c>
      <c r="H5705" t="s">
        <v>47</v>
      </c>
      <c r="I5705" t="s">
        <v>2195</v>
      </c>
      <c r="J5705" s="10">
        <v>1</v>
      </c>
      <c r="K5705" t="b">
        <v>1</v>
      </c>
    </row>
    <row r="5706" spans="1:11">
      <c r="A5706" s="12">
        <v>42354</v>
      </c>
      <c r="B5706">
        <v>2015</v>
      </c>
      <c r="C5706">
        <v>12</v>
      </c>
      <c r="D5706" s="11">
        <v>42339</v>
      </c>
      <c r="E5706" t="s">
        <v>2184</v>
      </c>
      <c r="F5706">
        <v>3</v>
      </c>
      <c r="G5706" t="s">
        <v>65</v>
      </c>
      <c r="H5706" t="s">
        <v>40</v>
      </c>
      <c r="I5706" t="s">
        <v>2188</v>
      </c>
      <c r="J5706" s="10">
        <v>6.67</v>
      </c>
      <c r="K5706" t="b">
        <v>1</v>
      </c>
    </row>
    <row r="5707" spans="1:11">
      <c r="A5707" s="12">
        <v>42354</v>
      </c>
      <c r="B5707">
        <v>2015</v>
      </c>
      <c r="C5707">
        <v>12</v>
      </c>
      <c r="D5707" s="11">
        <v>42339</v>
      </c>
      <c r="E5707" t="s">
        <v>2184</v>
      </c>
      <c r="F5707">
        <v>3</v>
      </c>
      <c r="G5707" t="s">
        <v>65</v>
      </c>
      <c r="H5707" t="s">
        <v>41</v>
      </c>
      <c r="I5707" t="s">
        <v>2189</v>
      </c>
      <c r="J5707" s="10">
        <v>4</v>
      </c>
      <c r="K5707" t="b">
        <v>1</v>
      </c>
    </row>
    <row r="5708" spans="1:11">
      <c r="A5708" s="12">
        <v>42354</v>
      </c>
      <c r="B5708">
        <v>2015</v>
      </c>
      <c r="C5708">
        <v>12</v>
      </c>
      <c r="D5708" s="11">
        <v>42339</v>
      </c>
      <c r="E5708" t="s">
        <v>2184</v>
      </c>
      <c r="F5708">
        <v>3</v>
      </c>
      <c r="G5708" t="s">
        <v>65</v>
      </c>
      <c r="H5708" t="s">
        <v>42</v>
      </c>
      <c r="I5708" t="s">
        <v>2190</v>
      </c>
      <c r="J5708" s="10">
        <v>4</v>
      </c>
      <c r="K5708" t="b">
        <v>1</v>
      </c>
    </row>
    <row r="5709" spans="1:11">
      <c r="A5709" s="12">
        <v>42354</v>
      </c>
      <c r="B5709">
        <v>2015</v>
      </c>
      <c r="C5709">
        <v>12</v>
      </c>
      <c r="D5709" s="11">
        <v>42339</v>
      </c>
      <c r="E5709" t="s">
        <v>2184</v>
      </c>
      <c r="F5709">
        <v>3</v>
      </c>
      <c r="G5709" t="s">
        <v>65</v>
      </c>
      <c r="H5709" t="s">
        <v>43</v>
      </c>
      <c r="I5709" t="s">
        <v>2191</v>
      </c>
      <c r="J5709" s="10">
        <v>42</v>
      </c>
      <c r="K5709" t="b">
        <v>1</v>
      </c>
    </row>
    <row r="5710" spans="1:11">
      <c r="A5710" s="12">
        <v>42354</v>
      </c>
      <c r="B5710">
        <v>2015</v>
      </c>
      <c r="C5710">
        <v>12</v>
      </c>
      <c r="D5710" s="11">
        <v>42339</v>
      </c>
      <c r="E5710" t="s">
        <v>2184</v>
      </c>
      <c r="F5710">
        <v>3</v>
      </c>
      <c r="G5710" t="s">
        <v>65</v>
      </c>
      <c r="H5710" t="s">
        <v>44</v>
      </c>
      <c r="I5710" t="s">
        <v>2192</v>
      </c>
      <c r="J5710" s="10">
        <v>11</v>
      </c>
      <c r="K5710" t="b">
        <v>1</v>
      </c>
    </row>
    <row r="5711" spans="1:11">
      <c r="A5711" s="12">
        <v>42354</v>
      </c>
      <c r="B5711">
        <v>2015</v>
      </c>
      <c r="C5711">
        <v>12</v>
      </c>
      <c r="D5711" s="11">
        <v>42339</v>
      </c>
      <c r="E5711" t="s">
        <v>2184</v>
      </c>
      <c r="F5711">
        <v>3</v>
      </c>
      <c r="G5711" t="s">
        <v>65</v>
      </c>
      <c r="H5711" t="s">
        <v>45</v>
      </c>
      <c r="I5711" t="s">
        <v>2193</v>
      </c>
      <c r="J5711" s="10">
        <v>1</v>
      </c>
      <c r="K5711" t="b">
        <v>1</v>
      </c>
    </row>
    <row r="5712" spans="1:11">
      <c r="A5712" s="12">
        <v>42354</v>
      </c>
      <c r="B5712">
        <v>2015</v>
      </c>
      <c r="C5712">
        <v>12</v>
      </c>
      <c r="D5712" s="11">
        <v>42339</v>
      </c>
      <c r="E5712" t="s">
        <v>2184</v>
      </c>
      <c r="F5712">
        <v>3</v>
      </c>
      <c r="G5712" t="s">
        <v>65</v>
      </c>
      <c r="H5712" t="s">
        <v>46</v>
      </c>
      <c r="I5712" t="s">
        <v>2194</v>
      </c>
      <c r="J5712" s="10">
        <v>11</v>
      </c>
      <c r="K5712" t="b">
        <v>1</v>
      </c>
    </row>
    <row r="5713" spans="1:11">
      <c r="A5713" s="12">
        <v>42354</v>
      </c>
      <c r="B5713">
        <v>2015</v>
      </c>
      <c r="C5713">
        <v>12</v>
      </c>
      <c r="D5713" s="11">
        <v>42339</v>
      </c>
      <c r="E5713" t="s">
        <v>2184</v>
      </c>
      <c r="F5713">
        <v>3</v>
      </c>
      <c r="G5713" t="s">
        <v>65</v>
      </c>
      <c r="H5713" t="s">
        <v>47</v>
      </c>
      <c r="I5713" t="s">
        <v>2195</v>
      </c>
      <c r="J5713" s="10">
        <v>0</v>
      </c>
      <c r="K5713" t="b">
        <v>1</v>
      </c>
    </row>
    <row r="5714" spans="1:11">
      <c r="A5714" s="12">
        <v>42355</v>
      </c>
      <c r="B5714">
        <v>2015</v>
      </c>
      <c r="C5714">
        <v>12</v>
      </c>
      <c r="D5714" s="11">
        <v>42339</v>
      </c>
      <c r="E5714" t="s">
        <v>2184</v>
      </c>
      <c r="F5714">
        <v>4</v>
      </c>
      <c r="G5714" t="s">
        <v>53</v>
      </c>
      <c r="H5714" t="s">
        <v>40</v>
      </c>
      <c r="I5714" t="s">
        <v>2188</v>
      </c>
      <c r="J5714" s="10">
        <v>9</v>
      </c>
      <c r="K5714" t="b">
        <v>1</v>
      </c>
    </row>
    <row r="5715" spans="1:11">
      <c r="A5715" s="12">
        <v>42355</v>
      </c>
      <c r="B5715">
        <v>2015</v>
      </c>
      <c r="C5715">
        <v>12</v>
      </c>
      <c r="D5715" s="11">
        <v>42339</v>
      </c>
      <c r="E5715" t="s">
        <v>2184</v>
      </c>
      <c r="F5715">
        <v>4</v>
      </c>
      <c r="G5715" t="s">
        <v>53</v>
      </c>
      <c r="H5715" t="s">
        <v>41</v>
      </c>
      <c r="I5715" t="s">
        <v>2189</v>
      </c>
      <c r="J5715" s="10">
        <v>3.01</v>
      </c>
      <c r="K5715" t="b">
        <v>1</v>
      </c>
    </row>
    <row r="5716" spans="1:11">
      <c r="A5716" s="12">
        <v>42355</v>
      </c>
      <c r="B5716">
        <v>2015</v>
      </c>
      <c r="C5716">
        <v>12</v>
      </c>
      <c r="D5716" s="11">
        <v>42339</v>
      </c>
      <c r="E5716" t="s">
        <v>2184</v>
      </c>
      <c r="F5716">
        <v>4</v>
      </c>
      <c r="G5716" t="s">
        <v>53</v>
      </c>
      <c r="H5716" t="s">
        <v>42</v>
      </c>
      <c r="I5716" t="s">
        <v>2190</v>
      </c>
      <c r="J5716" s="10">
        <v>3</v>
      </c>
      <c r="K5716" t="b">
        <v>1</v>
      </c>
    </row>
    <row r="5717" spans="1:11">
      <c r="A5717" s="12">
        <v>42355</v>
      </c>
      <c r="B5717">
        <v>2015</v>
      </c>
      <c r="C5717">
        <v>12</v>
      </c>
      <c r="D5717" s="11">
        <v>42339</v>
      </c>
      <c r="E5717" t="s">
        <v>2184</v>
      </c>
      <c r="F5717">
        <v>4</v>
      </c>
      <c r="G5717" t="s">
        <v>53</v>
      </c>
      <c r="H5717" t="s">
        <v>43</v>
      </c>
      <c r="I5717" t="s">
        <v>2191</v>
      </c>
      <c r="J5717" s="10">
        <v>25</v>
      </c>
      <c r="K5717" t="b">
        <v>1</v>
      </c>
    </row>
    <row r="5718" spans="1:11">
      <c r="A5718" s="12">
        <v>42355</v>
      </c>
      <c r="B5718">
        <v>2015</v>
      </c>
      <c r="C5718">
        <v>12</v>
      </c>
      <c r="D5718" s="11">
        <v>42339</v>
      </c>
      <c r="E5718" t="s">
        <v>2184</v>
      </c>
      <c r="F5718">
        <v>4</v>
      </c>
      <c r="G5718" t="s">
        <v>53</v>
      </c>
      <c r="H5718" t="s">
        <v>44</v>
      </c>
      <c r="I5718" t="s">
        <v>2192</v>
      </c>
      <c r="J5718" s="10">
        <v>7</v>
      </c>
      <c r="K5718" t="b">
        <v>1</v>
      </c>
    </row>
    <row r="5719" spans="1:11">
      <c r="A5719" s="12">
        <v>42355</v>
      </c>
      <c r="B5719">
        <v>2015</v>
      </c>
      <c r="C5719">
        <v>12</v>
      </c>
      <c r="D5719" s="11">
        <v>42339</v>
      </c>
      <c r="E5719" t="s">
        <v>2184</v>
      </c>
      <c r="F5719">
        <v>4</v>
      </c>
      <c r="G5719" t="s">
        <v>53</v>
      </c>
      <c r="H5719" t="s">
        <v>45</v>
      </c>
      <c r="I5719" t="s">
        <v>2193</v>
      </c>
      <c r="J5719" s="10">
        <v>0</v>
      </c>
      <c r="K5719" t="b">
        <v>1</v>
      </c>
    </row>
    <row r="5720" spans="1:11">
      <c r="A5720" s="12">
        <v>42355</v>
      </c>
      <c r="B5720">
        <v>2015</v>
      </c>
      <c r="C5720">
        <v>12</v>
      </c>
      <c r="D5720" s="11">
        <v>42339</v>
      </c>
      <c r="E5720" t="s">
        <v>2184</v>
      </c>
      <c r="F5720">
        <v>4</v>
      </c>
      <c r="G5720" t="s">
        <v>53</v>
      </c>
      <c r="H5720" t="s">
        <v>46</v>
      </c>
      <c r="I5720" t="s">
        <v>2194</v>
      </c>
      <c r="J5720" s="10">
        <v>0</v>
      </c>
      <c r="K5720" t="b">
        <v>1</v>
      </c>
    </row>
    <row r="5721" spans="1:11">
      <c r="A5721" s="12">
        <v>42355</v>
      </c>
      <c r="B5721">
        <v>2015</v>
      </c>
      <c r="C5721">
        <v>12</v>
      </c>
      <c r="D5721" s="11">
        <v>42339</v>
      </c>
      <c r="E5721" t="s">
        <v>2184</v>
      </c>
      <c r="F5721">
        <v>4</v>
      </c>
      <c r="G5721" t="s">
        <v>53</v>
      </c>
      <c r="H5721" t="s">
        <v>47</v>
      </c>
      <c r="I5721" t="s">
        <v>2195</v>
      </c>
      <c r="J5721" s="10">
        <v>2</v>
      </c>
      <c r="K5721" t="b">
        <v>1</v>
      </c>
    </row>
    <row r="5722" spans="1:11">
      <c r="A5722" s="12">
        <v>42356</v>
      </c>
      <c r="B5722">
        <v>2015</v>
      </c>
      <c r="C5722">
        <v>12</v>
      </c>
      <c r="D5722" s="11">
        <v>42339</v>
      </c>
      <c r="E5722" t="s">
        <v>2184</v>
      </c>
      <c r="F5722">
        <v>5</v>
      </c>
      <c r="G5722" t="s">
        <v>55</v>
      </c>
      <c r="H5722" t="s">
        <v>40</v>
      </c>
      <c r="I5722" t="s">
        <v>2188</v>
      </c>
      <c r="J5722" s="10">
        <v>4.33</v>
      </c>
      <c r="K5722" t="b">
        <v>1</v>
      </c>
    </row>
    <row r="5723" spans="1:11">
      <c r="A5723" s="12">
        <v>42356</v>
      </c>
      <c r="B5723">
        <v>2015</v>
      </c>
      <c r="C5723">
        <v>12</v>
      </c>
      <c r="D5723" s="11">
        <v>42339</v>
      </c>
      <c r="E5723" t="s">
        <v>2184</v>
      </c>
      <c r="F5723">
        <v>5</v>
      </c>
      <c r="G5723" t="s">
        <v>55</v>
      </c>
      <c r="H5723" t="s">
        <v>41</v>
      </c>
      <c r="I5723" t="s">
        <v>2189</v>
      </c>
      <c r="J5723" s="10">
        <v>8.901</v>
      </c>
      <c r="K5723" t="b">
        <v>1</v>
      </c>
    </row>
    <row r="5724" spans="1:11">
      <c r="A5724" s="12">
        <v>42356</v>
      </c>
      <c r="B5724">
        <v>2015</v>
      </c>
      <c r="C5724">
        <v>12</v>
      </c>
      <c r="D5724" s="11">
        <v>42339</v>
      </c>
      <c r="E5724" t="s">
        <v>2184</v>
      </c>
      <c r="F5724">
        <v>5</v>
      </c>
      <c r="G5724" t="s">
        <v>55</v>
      </c>
      <c r="H5724" t="s">
        <v>42</v>
      </c>
      <c r="I5724" t="s">
        <v>2190</v>
      </c>
      <c r="J5724" s="10">
        <v>4.3</v>
      </c>
      <c r="K5724" t="b">
        <v>1</v>
      </c>
    </row>
    <row r="5725" spans="1:11">
      <c r="A5725" s="12">
        <v>42356</v>
      </c>
      <c r="B5725">
        <v>2015</v>
      </c>
      <c r="C5725">
        <v>12</v>
      </c>
      <c r="D5725" s="11">
        <v>42339</v>
      </c>
      <c r="E5725" t="s">
        <v>2184</v>
      </c>
      <c r="F5725">
        <v>5</v>
      </c>
      <c r="G5725" t="s">
        <v>55</v>
      </c>
      <c r="H5725" t="s">
        <v>43</v>
      </c>
      <c r="I5725" t="s">
        <v>2191</v>
      </c>
      <c r="J5725" s="10">
        <v>27.2</v>
      </c>
      <c r="K5725" t="b">
        <v>1</v>
      </c>
    </row>
    <row r="5726" spans="1:11">
      <c r="A5726" s="12">
        <v>42356</v>
      </c>
      <c r="B5726">
        <v>2015</v>
      </c>
      <c r="C5726">
        <v>12</v>
      </c>
      <c r="D5726" s="11">
        <v>42339</v>
      </c>
      <c r="E5726" t="s">
        <v>2184</v>
      </c>
      <c r="F5726">
        <v>5</v>
      </c>
      <c r="G5726" t="s">
        <v>55</v>
      </c>
      <c r="H5726" t="s">
        <v>44</v>
      </c>
      <c r="I5726" t="s">
        <v>2192</v>
      </c>
      <c r="J5726" s="10">
        <v>12</v>
      </c>
      <c r="K5726" t="b">
        <v>1</v>
      </c>
    </row>
    <row r="5727" spans="1:11">
      <c r="A5727" s="12">
        <v>42356</v>
      </c>
      <c r="B5727">
        <v>2015</v>
      </c>
      <c r="C5727">
        <v>12</v>
      </c>
      <c r="D5727" s="11">
        <v>42339</v>
      </c>
      <c r="E5727" t="s">
        <v>2184</v>
      </c>
      <c r="F5727">
        <v>5</v>
      </c>
      <c r="G5727" t="s">
        <v>55</v>
      </c>
      <c r="H5727" t="s">
        <v>45</v>
      </c>
      <c r="I5727" t="s">
        <v>2193</v>
      </c>
      <c r="J5727" s="10">
        <v>4</v>
      </c>
      <c r="K5727" t="b">
        <v>1</v>
      </c>
    </row>
    <row r="5728" spans="1:11">
      <c r="A5728" s="12">
        <v>42356</v>
      </c>
      <c r="B5728">
        <v>2015</v>
      </c>
      <c r="C5728">
        <v>12</v>
      </c>
      <c r="D5728" s="11">
        <v>42339</v>
      </c>
      <c r="E5728" t="s">
        <v>2184</v>
      </c>
      <c r="F5728">
        <v>5</v>
      </c>
      <c r="G5728" t="s">
        <v>55</v>
      </c>
      <c r="H5728" t="s">
        <v>46</v>
      </c>
      <c r="I5728" t="s">
        <v>2194</v>
      </c>
      <c r="J5728" s="10">
        <v>2</v>
      </c>
      <c r="K5728" t="b">
        <v>1</v>
      </c>
    </row>
    <row r="5729" spans="1:11">
      <c r="A5729" s="12">
        <v>42356</v>
      </c>
      <c r="B5729">
        <v>2015</v>
      </c>
      <c r="C5729">
        <v>12</v>
      </c>
      <c r="D5729" s="11">
        <v>42339</v>
      </c>
      <c r="E5729" t="s">
        <v>2184</v>
      </c>
      <c r="F5729">
        <v>5</v>
      </c>
      <c r="G5729" t="s">
        <v>55</v>
      </c>
      <c r="H5729" t="s">
        <v>47</v>
      </c>
      <c r="I5729" t="s">
        <v>2195</v>
      </c>
      <c r="J5729" s="10">
        <v>1</v>
      </c>
      <c r="K5729" t="b">
        <v>1</v>
      </c>
    </row>
    <row r="5730" spans="1:11">
      <c r="A5730" s="12">
        <v>42357</v>
      </c>
      <c r="B5730">
        <v>2015</v>
      </c>
      <c r="C5730">
        <v>12</v>
      </c>
      <c r="D5730" s="11">
        <v>42339</v>
      </c>
      <c r="E5730" t="s">
        <v>2184</v>
      </c>
      <c r="F5730">
        <v>6</v>
      </c>
      <c r="G5730" t="s">
        <v>57</v>
      </c>
      <c r="H5730" t="s">
        <v>40</v>
      </c>
      <c r="I5730" t="s">
        <v>2188</v>
      </c>
      <c r="J5730" s="10">
        <v>0</v>
      </c>
      <c r="K5730" t="b">
        <v>1</v>
      </c>
    </row>
    <row r="5731" spans="1:11">
      <c r="A5731" s="12">
        <v>42357</v>
      </c>
      <c r="B5731">
        <v>2015</v>
      </c>
      <c r="C5731">
        <v>12</v>
      </c>
      <c r="D5731" s="11">
        <v>42339</v>
      </c>
      <c r="E5731" t="s">
        <v>2184</v>
      </c>
      <c r="F5731">
        <v>6</v>
      </c>
      <c r="G5731" t="s">
        <v>57</v>
      </c>
      <c r="H5731" t="s">
        <v>41</v>
      </c>
      <c r="I5731" t="s">
        <v>2189</v>
      </c>
      <c r="J5731" s="10">
        <v>0</v>
      </c>
      <c r="K5731" t="b">
        <v>1</v>
      </c>
    </row>
    <row r="5732" spans="1:11">
      <c r="A5732" s="12">
        <v>42357</v>
      </c>
      <c r="B5732">
        <v>2015</v>
      </c>
      <c r="C5732">
        <v>12</v>
      </c>
      <c r="D5732" s="11">
        <v>42339</v>
      </c>
      <c r="E5732" t="s">
        <v>2184</v>
      </c>
      <c r="F5732">
        <v>6</v>
      </c>
      <c r="G5732" t="s">
        <v>57</v>
      </c>
      <c r="H5732" t="s">
        <v>42</v>
      </c>
      <c r="I5732" t="s">
        <v>2190</v>
      </c>
      <c r="J5732" s="10">
        <v>0</v>
      </c>
      <c r="K5732" t="b">
        <v>1</v>
      </c>
    </row>
    <row r="5733" spans="1:11">
      <c r="A5733" s="12">
        <v>42357</v>
      </c>
      <c r="B5733">
        <v>2015</v>
      </c>
      <c r="C5733">
        <v>12</v>
      </c>
      <c r="D5733" s="11">
        <v>42339</v>
      </c>
      <c r="E5733" t="s">
        <v>2184</v>
      </c>
      <c r="F5733">
        <v>6</v>
      </c>
      <c r="G5733" t="s">
        <v>57</v>
      </c>
      <c r="H5733" t="s">
        <v>43</v>
      </c>
      <c r="I5733" t="s">
        <v>2191</v>
      </c>
      <c r="J5733" s="10">
        <v>0</v>
      </c>
      <c r="K5733" t="b">
        <v>1</v>
      </c>
    </row>
    <row r="5734" spans="1:11">
      <c r="A5734" s="12">
        <v>42357</v>
      </c>
      <c r="B5734">
        <v>2015</v>
      </c>
      <c r="C5734">
        <v>12</v>
      </c>
      <c r="D5734" s="11">
        <v>42339</v>
      </c>
      <c r="E5734" t="s">
        <v>2184</v>
      </c>
      <c r="F5734">
        <v>6</v>
      </c>
      <c r="G5734" t="s">
        <v>57</v>
      </c>
      <c r="H5734" t="s">
        <v>44</v>
      </c>
      <c r="I5734" t="s">
        <v>2192</v>
      </c>
      <c r="J5734" s="10">
        <v>0</v>
      </c>
      <c r="K5734" t="b">
        <v>1</v>
      </c>
    </row>
    <row r="5735" spans="1:11">
      <c r="A5735" s="12">
        <v>42357</v>
      </c>
      <c r="B5735">
        <v>2015</v>
      </c>
      <c r="C5735">
        <v>12</v>
      </c>
      <c r="D5735" s="11">
        <v>42339</v>
      </c>
      <c r="E5735" t="s">
        <v>2184</v>
      </c>
      <c r="F5735">
        <v>6</v>
      </c>
      <c r="G5735" t="s">
        <v>57</v>
      </c>
      <c r="H5735" t="s">
        <v>45</v>
      </c>
      <c r="I5735" t="s">
        <v>2193</v>
      </c>
      <c r="J5735" s="10">
        <v>0</v>
      </c>
      <c r="K5735" t="b">
        <v>1</v>
      </c>
    </row>
    <row r="5736" spans="1:11">
      <c r="A5736" s="12">
        <v>42357</v>
      </c>
      <c r="B5736">
        <v>2015</v>
      </c>
      <c r="C5736">
        <v>12</v>
      </c>
      <c r="D5736" s="11">
        <v>42339</v>
      </c>
      <c r="E5736" t="s">
        <v>2184</v>
      </c>
      <c r="F5736">
        <v>6</v>
      </c>
      <c r="G5736" t="s">
        <v>57</v>
      </c>
      <c r="H5736" t="s">
        <v>46</v>
      </c>
      <c r="I5736" t="s">
        <v>2194</v>
      </c>
      <c r="J5736" s="10">
        <v>0</v>
      </c>
      <c r="K5736" t="b">
        <v>1</v>
      </c>
    </row>
    <row r="5737" spans="1:11">
      <c r="A5737" s="12">
        <v>42357</v>
      </c>
      <c r="B5737">
        <v>2015</v>
      </c>
      <c r="C5737">
        <v>12</v>
      </c>
      <c r="D5737" s="11">
        <v>42339</v>
      </c>
      <c r="E5737" t="s">
        <v>2184</v>
      </c>
      <c r="F5737">
        <v>6</v>
      </c>
      <c r="G5737" t="s">
        <v>57</v>
      </c>
      <c r="H5737" t="s">
        <v>47</v>
      </c>
      <c r="I5737" t="s">
        <v>2195</v>
      </c>
      <c r="J5737" s="10">
        <v>0</v>
      </c>
      <c r="K5737" t="b">
        <v>1</v>
      </c>
    </row>
    <row r="5738" spans="1:11">
      <c r="A5738" s="12">
        <v>42358</v>
      </c>
      <c r="B5738">
        <v>2015</v>
      </c>
      <c r="C5738">
        <v>12</v>
      </c>
      <c r="D5738" s="11">
        <v>42339</v>
      </c>
      <c r="E5738" t="s">
        <v>2184</v>
      </c>
      <c r="F5738">
        <v>7</v>
      </c>
      <c r="G5738" t="s">
        <v>59</v>
      </c>
      <c r="H5738" t="s">
        <v>40</v>
      </c>
      <c r="I5738" t="s">
        <v>2188</v>
      </c>
      <c r="J5738" s="10">
        <v>3</v>
      </c>
      <c r="K5738" t="b">
        <v>1</v>
      </c>
    </row>
    <row r="5739" spans="1:11">
      <c r="A5739" s="12">
        <v>42358</v>
      </c>
      <c r="B5739">
        <v>2015</v>
      </c>
      <c r="C5739">
        <v>12</v>
      </c>
      <c r="D5739" s="11">
        <v>42339</v>
      </c>
      <c r="E5739" t="s">
        <v>2184</v>
      </c>
      <c r="F5739">
        <v>7</v>
      </c>
      <c r="G5739" t="s">
        <v>59</v>
      </c>
      <c r="H5739" t="s">
        <v>41</v>
      </c>
      <c r="I5739" t="s">
        <v>2189</v>
      </c>
      <c r="J5739" s="10">
        <v>3.474</v>
      </c>
      <c r="K5739" t="b">
        <v>1</v>
      </c>
    </row>
    <row r="5740" spans="1:11">
      <c r="A5740" s="12">
        <v>42358</v>
      </c>
      <c r="B5740">
        <v>2015</v>
      </c>
      <c r="C5740">
        <v>12</v>
      </c>
      <c r="D5740" s="11">
        <v>42339</v>
      </c>
      <c r="E5740" t="s">
        <v>2184</v>
      </c>
      <c r="F5740">
        <v>7</v>
      </c>
      <c r="G5740" t="s">
        <v>59</v>
      </c>
      <c r="H5740" t="s">
        <v>42</v>
      </c>
      <c r="I5740" t="s">
        <v>2190</v>
      </c>
      <c r="J5740" s="10">
        <v>2.2</v>
      </c>
      <c r="K5740" t="b">
        <v>1</v>
      </c>
    </row>
    <row r="5741" spans="1:11">
      <c r="A5741" s="12">
        <v>42358</v>
      </c>
      <c r="B5741">
        <v>2015</v>
      </c>
      <c r="C5741">
        <v>12</v>
      </c>
      <c r="D5741" s="11">
        <v>42339</v>
      </c>
      <c r="E5741" t="s">
        <v>2184</v>
      </c>
      <c r="F5741">
        <v>7</v>
      </c>
      <c r="G5741" t="s">
        <v>59</v>
      </c>
      <c r="H5741" t="s">
        <v>43</v>
      </c>
      <c r="I5741" t="s">
        <v>2191</v>
      </c>
      <c r="J5741" s="10">
        <v>43</v>
      </c>
      <c r="K5741" t="b">
        <v>1</v>
      </c>
    </row>
    <row r="5742" spans="1:11">
      <c r="A5742" s="12">
        <v>42358</v>
      </c>
      <c r="B5742">
        <v>2015</v>
      </c>
      <c r="C5742">
        <v>12</v>
      </c>
      <c r="D5742" s="11">
        <v>42339</v>
      </c>
      <c r="E5742" t="s">
        <v>2184</v>
      </c>
      <c r="F5742">
        <v>7</v>
      </c>
      <c r="G5742" t="s">
        <v>59</v>
      </c>
      <c r="H5742" t="s">
        <v>44</v>
      </c>
      <c r="I5742" t="s">
        <v>2192</v>
      </c>
      <c r="J5742" s="10">
        <v>3</v>
      </c>
      <c r="K5742" t="b">
        <v>1</v>
      </c>
    </row>
    <row r="5743" spans="1:11">
      <c r="A5743" s="12">
        <v>42358</v>
      </c>
      <c r="B5743">
        <v>2015</v>
      </c>
      <c r="C5743">
        <v>12</v>
      </c>
      <c r="D5743" s="11">
        <v>42339</v>
      </c>
      <c r="E5743" t="s">
        <v>2184</v>
      </c>
      <c r="F5743">
        <v>7</v>
      </c>
      <c r="G5743" t="s">
        <v>59</v>
      </c>
      <c r="H5743" t="s">
        <v>45</v>
      </c>
      <c r="I5743" t="s">
        <v>2193</v>
      </c>
      <c r="J5743" s="10">
        <v>0</v>
      </c>
      <c r="K5743" t="b">
        <v>1</v>
      </c>
    </row>
    <row r="5744" spans="1:11">
      <c r="A5744" s="12">
        <v>42358</v>
      </c>
      <c r="B5744">
        <v>2015</v>
      </c>
      <c r="C5744">
        <v>12</v>
      </c>
      <c r="D5744" s="11">
        <v>42339</v>
      </c>
      <c r="E5744" t="s">
        <v>2184</v>
      </c>
      <c r="F5744">
        <v>7</v>
      </c>
      <c r="G5744" t="s">
        <v>59</v>
      </c>
      <c r="H5744" t="s">
        <v>46</v>
      </c>
      <c r="I5744" t="s">
        <v>2194</v>
      </c>
      <c r="J5744" s="10">
        <v>16</v>
      </c>
      <c r="K5744" t="b">
        <v>1</v>
      </c>
    </row>
    <row r="5745" spans="1:11">
      <c r="A5745" s="12">
        <v>42358</v>
      </c>
      <c r="B5745">
        <v>2015</v>
      </c>
      <c r="C5745">
        <v>12</v>
      </c>
      <c r="D5745" s="11">
        <v>42339</v>
      </c>
      <c r="E5745" t="s">
        <v>2184</v>
      </c>
      <c r="F5745">
        <v>7</v>
      </c>
      <c r="G5745" t="s">
        <v>59</v>
      </c>
      <c r="H5745" t="s">
        <v>47</v>
      </c>
      <c r="I5745" t="s">
        <v>2195</v>
      </c>
      <c r="J5745" s="10">
        <v>1</v>
      </c>
      <c r="K5745" t="b">
        <v>1</v>
      </c>
    </row>
    <row r="5746" spans="1:11">
      <c r="A5746" s="12">
        <v>42359</v>
      </c>
      <c r="B5746">
        <v>2015</v>
      </c>
      <c r="C5746">
        <v>12</v>
      </c>
      <c r="D5746" s="11">
        <v>42339</v>
      </c>
      <c r="E5746" t="s">
        <v>2184</v>
      </c>
      <c r="F5746">
        <v>1</v>
      </c>
      <c r="G5746" t="s">
        <v>61</v>
      </c>
      <c r="H5746" t="s">
        <v>40</v>
      </c>
      <c r="I5746" t="s">
        <v>2188</v>
      </c>
      <c r="J5746" s="10">
        <v>5</v>
      </c>
      <c r="K5746" t="b">
        <v>1</v>
      </c>
    </row>
    <row r="5747" spans="1:11">
      <c r="A5747" s="12">
        <v>42359</v>
      </c>
      <c r="B5747">
        <v>2015</v>
      </c>
      <c r="C5747">
        <v>12</v>
      </c>
      <c r="D5747" s="11">
        <v>42339</v>
      </c>
      <c r="E5747" t="s">
        <v>2184</v>
      </c>
      <c r="F5747">
        <v>1</v>
      </c>
      <c r="G5747" t="s">
        <v>61</v>
      </c>
      <c r="H5747" t="s">
        <v>41</v>
      </c>
      <c r="I5747" t="s">
        <v>2189</v>
      </c>
      <c r="J5747" s="10">
        <v>6.34</v>
      </c>
      <c r="K5747" t="b">
        <v>1</v>
      </c>
    </row>
    <row r="5748" spans="1:11">
      <c r="A5748" s="12">
        <v>42359</v>
      </c>
      <c r="B5748">
        <v>2015</v>
      </c>
      <c r="C5748">
        <v>12</v>
      </c>
      <c r="D5748" s="11">
        <v>42339</v>
      </c>
      <c r="E5748" t="s">
        <v>2184</v>
      </c>
      <c r="F5748">
        <v>1</v>
      </c>
      <c r="G5748" t="s">
        <v>61</v>
      </c>
      <c r="H5748" t="s">
        <v>42</v>
      </c>
      <c r="I5748" t="s">
        <v>2190</v>
      </c>
      <c r="J5748" s="10">
        <v>2</v>
      </c>
      <c r="K5748" t="b">
        <v>1</v>
      </c>
    </row>
    <row r="5749" spans="1:11">
      <c r="A5749" s="12">
        <v>42359</v>
      </c>
      <c r="B5749">
        <v>2015</v>
      </c>
      <c r="C5749">
        <v>12</v>
      </c>
      <c r="D5749" s="11">
        <v>42339</v>
      </c>
      <c r="E5749" t="s">
        <v>2184</v>
      </c>
      <c r="F5749">
        <v>1</v>
      </c>
      <c r="G5749" t="s">
        <v>61</v>
      </c>
      <c r="H5749" t="s">
        <v>43</v>
      </c>
      <c r="I5749" t="s">
        <v>2191</v>
      </c>
      <c r="J5749" s="10">
        <v>53.6</v>
      </c>
      <c r="K5749" t="b">
        <v>1</v>
      </c>
    </row>
    <row r="5750" spans="1:11">
      <c r="A5750" s="12">
        <v>42359</v>
      </c>
      <c r="B5750">
        <v>2015</v>
      </c>
      <c r="C5750">
        <v>12</v>
      </c>
      <c r="D5750" s="11">
        <v>42339</v>
      </c>
      <c r="E5750" t="s">
        <v>2184</v>
      </c>
      <c r="F5750">
        <v>1</v>
      </c>
      <c r="G5750" t="s">
        <v>61</v>
      </c>
      <c r="H5750" t="s">
        <v>44</v>
      </c>
      <c r="I5750" t="s">
        <v>2192</v>
      </c>
      <c r="J5750" s="10">
        <v>14</v>
      </c>
      <c r="K5750" t="b">
        <v>1</v>
      </c>
    </row>
    <row r="5751" spans="1:11">
      <c r="A5751" s="12">
        <v>42359</v>
      </c>
      <c r="B5751">
        <v>2015</v>
      </c>
      <c r="C5751">
        <v>12</v>
      </c>
      <c r="D5751" s="11">
        <v>42339</v>
      </c>
      <c r="E5751" t="s">
        <v>2184</v>
      </c>
      <c r="F5751">
        <v>1</v>
      </c>
      <c r="G5751" t="s">
        <v>61</v>
      </c>
      <c r="H5751" t="s">
        <v>45</v>
      </c>
      <c r="I5751" t="s">
        <v>2193</v>
      </c>
      <c r="J5751" s="10">
        <v>0</v>
      </c>
      <c r="K5751" t="b">
        <v>1</v>
      </c>
    </row>
    <row r="5752" spans="1:11">
      <c r="A5752" s="12">
        <v>42359</v>
      </c>
      <c r="B5752">
        <v>2015</v>
      </c>
      <c r="C5752">
        <v>12</v>
      </c>
      <c r="D5752" s="11">
        <v>42339</v>
      </c>
      <c r="E5752" t="s">
        <v>2184</v>
      </c>
      <c r="F5752">
        <v>1</v>
      </c>
      <c r="G5752" t="s">
        <v>61</v>
      </c>
      <c r="H5752" t="s">
        <v>46</v>
      </c>
      <c r="I5752" t="s">
        <v>2194</v>
      </c>
      <c r="J5752" s="10">
        <v>6</v>
      </c>
      <c r="K5752" t="b">
        <v>1</v>
      </c>
    </row>
    <row r="5753" spans="1:11">
      <c r="A5753" s="12">
        <v>42359</v>
      </c>
      <c r="B5753">
        <v>2015</v>
      </c>
      <c r="C5753">
        <v>12</v>
      </c>
      <c r="D5753" s="11">
        <v>42339</v>
      </c>
      <c r="E5753" t="s">
        <v>2184</v>
      </c>
      <c r="F5753">
        <v>1</v>
      </c>
      <c r="G5753" t="s">
        <v>61</v>
      </c>
      <c r="H5753" t="s">
        <v>47</v>
      </c>
      <c r="I5753" t="s">
        <v>2195</v>
      </c>
      <c r="J5753" s="10">
        <v>0.4</v>
      </c>
      <c r="K5753" t="b">
        <v>1</v>
      </c>
    </row>
    <row r="5754" spans="1:11">
      <c r="A5754" s="12">
        <v>42360</v>
      </c>
      <c r="B5754">
        <v>2015</v>
      </c>
      <c r="C5754">
        <v>12</v>
      </c>
      <c r="D5754" s="11">
        <v>42339</v>
      </c>
      <c r="E5754" t="s">
        <v>2184</v>
      </c>
      <c r="F5754">
        <v>2</v>
      </c>
      <c r="G5754" t="s">
        <v>63</v>
      </c>
      <c r="H5754" t="s">
        <v>40</v>
      </c>
      <c r="I5754" t="s">
        <v>2188</v>
      </c>
      <c r="J5754" s="10">
        <v>5.66</v>
      </c>
      <c r="K5754" t="b">
        <v>1</v>
      </c>
    </row>
    <row r="5755" spans="1:11">
      <c r="A5755" s="12">
        <v>42360</v>
      </c>
      <c r="B5755">
        <v>2015</v>
      </c>
      <c r="C5755">
        <v>12</v>
      </c>
      <c r="D5755" s="11">
        <v>42339</v>
      </c>
      <c r="E5755" t="s">
        <v>2184</v>
      </c>
      <c r="F5755">
        <v>2</v>
      </c>
      <c r="G5755" t="s">
        <v>63</v>
      </c>
      <c r="H5755" t="s">
        <v>41</v>
      </c>
      <c r="I5755" t="s">
        <v>2189</v>
      </c>
      <c r="J5755" s="10">
        <v>0</v>
      </c>
      <c r="K5755" t="b">
        <v>1</v>
      </c>
    </row>
    <row r="5756" spans="1:11">
      <c r="A5756" s="12">
        <v>42360</v>
      </c>
      <c r="B5756">
        <v>2015</v>
      </c>
      <c r="C5756">
        <v>12</v>
      </c>
      <c r="D5756" s="11">
        <v>42339</v>
      </c>
      <c r="E5756" t="s">
        <v>2184</v>
      </c>
      <c r="F5756">
        <v>2</v>
      </c>
      <c r="G5756" t="s">
        <v>63</v>
      </c>
      <c r="H5756" t="s">
        <v>42</v>
      </c>
      <c r="I5756" t="s">
        <v>2190</v>
      </c>
      <c r="J5756" s="10">
        <v>5</v>
      </c>
      <c r="K5756" t="b">
        <v>1</v>
      </c>
    </row>
    <row r="5757" spans="1:11">
      <c r="A5757" s="12">
        <v>42360</v>
      </c>
      <c r="B5757">
        <v>2015</v>
      </c>
      <c r="C5757">
        <v>12</v>
      </c>
      <c r="D5757" s="11">
        <v>42339</v>
      </c>
      <c r="E5757" t="s">
        <v>2184</v>
      </c>
      <c r="F5757">
        <v>2</v>
      </c>
      <c r="G5757" t="s">
        <v>63</v>
      </c>
      <c r="H5757" t="s">
        <v>43</v>
      </c>
      <c r="I5757" t="s">
        <v>2191</v>
      </c>
      <c r="J5757" s="10">
        <v>48</v>
      </c>
      <c r="K5757" t="b">
        <v>1</v>
      </c>
    </row>
    <row r="5758" spans="1:11">
      <c r="A5758" s="12">
        <v>42360</v>
      </c>
      <c r="B5758">
        <v>2015</v>
      </c>
      <c r="C5758">
        <v>12</v>
      </c>
      <c r="D5758" s="11">
        <v>42339</v>
      </c>
      <c r="E5758" t="s">
        <v>2184</v>
      </c>
      <c r="F5758">
        <v>2</v>
      </c>
      <c r="G5758" t="s">
        <v>63</v>
      </c>
      <c r="H5758" t="s">
        <v>44</v>
      </c>
      <c r="I5758" t="s">
        <v>2192</v>
      </c>
      <c r="J5758" s="10">
        <v>6</v>
      </c>
      <c r="K5758" t="b">
        <v>1</v>
      </c>
    </row>
    <row r="5759" spans="1:11">
      <c r="A5759" s="12">
        <v>42360</v>
      </c>
      <c r="B5759">
        <v>2015</v>
      </c>
      <c r="C5759">
        <v>12</v>
      </c>
      <c r="D5759" s="11">
        <v>42339</v>
      </c>
      <c r="E5759" t="s">
        <v>2184</v>
      </c>
      <c r="F5759">
        <v>2</v>
      </c>
      <c r="G5759" t="s">
        <v>63</v>
      </c>
      <c r="H5759" t="s">
        <v>45</v>
      </c>
      <c r="I5759" t="s">
        <v>2193</v>
      </c>
      <c r="J5759" s="10">
        <v>0</v>
      </c>
      <c r="K5759" t="b">
        <v>1</v>
      </c>
    </row>
    <row r="5760" spans="1:11">
      <c r="A5760" s="12">
        <v>42360</v>
      </c>
      <c r="B5760">
        <v>2015</v>
      </c>
      <c r="C5760">
        <v>12</v>
      </c>
      <c r="D5760" s="11">
        <v>42339</v>
      </c>
      <c r="E5760" t="s">
        <v>2184</v>
      </c>
      <c r="F5760">
        <v>2</v>
      </c>
      <c r="G5760" t="s">
        <v>63</v>
      </c>
      <c r="H5760" t="s">
        <v>46</v>
      </c>
      <c r="I5760" t="s">
        <v>2194</v>
      </c>
      <c r="J5760" s="10">
        <v>13</v>
      </c>
      <c r="K5760" t="b">
        <v>1</v>
      </c>
    </row>
    <row r="5761" spans="1:11">
      <c r="A5761" s="12">
        <v>42360</v>
      </c>
      <c r="B5761">
        <v>2015</v>
      </c>
      <c r="C5761">
        <v>12</v>
      </c>
      <c r="D5761" s="11">
        <v>42339</v>
      </c>
      <c r="E5761" t="s">
        <v>2184</v>
      </c>
      <c r="F5761">
        <v>2</v>
      </c>
      <c r="G5761" t="s">
        <v>63</v>
      </c>
      <c r="H5761" t="s">
        <v>47</v>
      </c>
      <c r="I5761" t="s">
        <v>2195</v>
      </c>
      <c r="J5761" s="10">
        <v>1</v>
      </c>
      <c r="K5761" t="b">
        <v>1</v>
      </c>
    </row>
    <row r="5762" spans="1:11">
      <c r="A5762" s="12">
        <v>42361</v>
      </c>
      <c r="B5762">
        <v>2015</v>
      </c>
      <c r="C5762">
        <v>12</v>
      </c>
      <c r="D5762" s="11">
        <v>42339</v>
      </c>
      <c r="E5762" t="s">
        <v>2184</v>
      </c>
      <c r="F5762">
        <v>3</v>
      </c>
      <c r="G5762" t="s">
        <v>65</v>
      </c>
      <c r="H5762" t="s">
        <v>40</v>
      </c>
      <c r="I5762" t="s">
        <v>2188</v>
      </c>
      <c r="J5762" s="10">
        <v>3.33</v>
      </c>
      <c r="K5762" t="b">
        <v>1</v>
      </c>
    </row>
    <row r="5763" spans="1:11">
      <c r="A5763" s="12">
        <v>42361</v>
      </c>
      <c r="B5763">
        <v>2015</v>
      </c>
      <c r="C5763">
        <v>12</v>
      </c>
      <c r="D5763" s="11">
        <v>42339</v>
      </c>
      <c r="E5763" t="s">
        <v>2184</v>
      </c>
      <c r="F5763">
        <v>3</v>
      </c>
      <c r="G5763" t="s">
        <v>65</v>
      </c>
      <c r="H5763" t="s">
        <v>41</v>
      </c>
      <c r="I5763" t="s">
        <v>2189</v>
      </c>
      <c r="J5763" s="10">
        <v>4.01</v>
      </c>
      <c r="K5763" t="b">
        <v>1</v>
      </c>
    </row>
    <row r="5764" spans="1:11">
      <c r="A5764" s="12">
        <v>42361</v>
      </c>
      <c r="B5764">
        <v>2015</v>
      </c>
      <c r="C5764">
        <v>12</v>
      </c>
      <c r="D5764" s="11">
        <v>42339</v>
      </c>
      <c r="E5764" t="s">
        <v>2184</v>
      </c>
      <c r="F5764">
        <v>3</v>
      </c>
      <c r="G5764" t="s">
        <v>65</v>
      </c>
      <c r="H5764" t="s">
        <v>42</v>
      </c>
      <c r="I5764" t="s">
        <v>2190</v>
      </c>
      <c r="J5764" s="10">
        <v>2.3</v>
      </c>
      <c r="K5764" t="b">
        <v>1</v>
      </c>
    </row>
    <row r="5765" spans="1:11">
      <c r="A5765" s="12">
        <v>42361</v>
      </c>
      <c r="B5765">
        <v>2015</v>
      </c>
      <c r="C5765">
        <v>12</v>
      </c>
      <c r="D5765" s="11">
        <v>42339</v>
      </c>
      <c r="E5765" t="s">
        <v>2184</v>
      </c>
      <c r="F5765">
        <v>3</v>
      </c>
      <c r="G5765" t="s">
        <v>65</v>
      </c>
      <c r="H5765" t="s">
        <v>43</v>
      </c>
      <c r="I5765" t="s">
        <v>2191</v>
      </c>
      <c r="J5765" s="10">
        <v>28.8</v>
      </c>
      <c r="K5765" t="b">
        <v>1</v>
      </c>
    </row>
    <row r="5766" spans="1:11">
      <c r="A5766" s="12">
        <v>42361</v>
      </c>
      <c r="B5766">
        <v>2015</v>
      </c>
      <c r="C5766">
        <v>12</v>
      </c>
      <c r="D5766" s="11">
        <v>42339</v>
      </c>
      <c r="E5766" t="s">
        <v>2184</v>
      </c>
      <c r="F5766">
        <v>3</v>
      </c>
      <c r="G5766" t="s">
        <v>65</v>
      </c>
      <c r="H5766" t="s">
        <v>44</v>
      </c>
      <c r="I5766" t="s">
        <v>2192</v>
      </c>
      <c r="J5766" s="10">
        <v>3</v>
      </c>
      <c r="K5766" t="b">
        <v>1</v>
      </c>
    </row>
    <row r="5767" spans="1:11">
      <c r="A5767" s="12">
        <v>42361</v>
      </c>
      <c r="B5767">
        <v>2015</v>
      </c>
      <c r="C5767">
        <v>12</v>
      </c>
      <c r="D5767" s="11">
        <v>42339</v>
      </c>
      <c r="E5767" t="s">
        <v>2184</v>
      </c>
      <c r="F5767">
        <v>3</v>
      </c>
      <c r="G5767" t="s">
        <v>65</v>
      </c>
      <c r="H5767" t="s">
        <v>45</v>
      </c>
      <c r="I5767" t="s">
        <v>2193</v>
      </c>
      <c r="J5767" s="10">
        <v>0</v>
      </c>
      <c r="K5767" t="b">
        <v>1</v>
      </c>
    </row>
    <row r="5768" spans="1:11">
      <c r="A5768" s="12">
        <v>42361</v>
      </c>
      <c r="B5768">
        <v>2015</v>
      </c>
      <c r="C5768">
        <v>12</v>
      </c>
      <c r="D5768" s="11">
        <v>42339</v>
      </c>
      <c r="E5768" t="s">
        <v>2184</v>
      </c>
      <c r="F5768">
        <v>3</v>
      </c>
      <c r="G5768" t="s">
        <v>65</v>
      </c>
      <c r="H5768" t="s">
        <v>46</v>
      </c>
      <c r="I5768" t="s">
        <v>2194</v>
      </c>
      <c r="J5768" s="10">
        <v>0</v>
      </c>
      <c r="K5768" t="b">
        <v>1</v>
      </c>
    </row>
    <row r="5769" spans="1:11">
      <c r="A5769" s="12">
        <v>42361</v>
      </c>
      <c r="B5769">
        <v>2015</v>
      </c>
      <c r="C5769">
        <v>12</v>
      </c>
      <c r="D5769" s="11">
        <v>42339</v>
      </c>
      <c r="E5769" t="s">
        <v>2184</v>
      </c>
      <c r="F5769">
        <v>3</v>
      </c>
      <c r="G5769" t="s">
        <v>65</v>
      </c>
      <c r="H5769" t="s">
        <v>47</v>
      </c>
      <c r="I5769" t="s">
        <v>2195</v>
      </c>
      <c r="J5769" s="10">
        <v>0</v>
      </c>
      <c r="K5769" t="b">
        <v>1</v>
      </c>
    </row>
    <row r="5770" spans="1:11">
      <c r="A5770" s="12">
        <v>42362</v>
      </c>
      <c r="B5770">
        <v>2015</v>
      </c>
      <c r="C5770">
        <v>12</v>
      </c>
      <c r="D5770" s="11">
        <v>42339</v>
      </c>
      <c r="E5770" t="s">
        <v>2184</v>
      </c>
      <c r="F5770">
        <v>4</v>
      </c>
      <c r="G5770" t="s">
        <v>53</v>
      </c>
      <c r="H5770" t="s">
        <v>40</v>
      </c>
      <c r="I5770" t="s">
        <v>2188</v>
      </c>
      <c r="J5770" s="10">
        <v>7.33</v>
      </c>
      <c r="K5770" t="b">
        <v>1</v>
      </c>
    </row>
    <row r="5771" spans="1:11">
      <c r="A5771" s="12">
        <v>42362</v>
      </c>
      <c r="B5771">
        <v>2015</v>
      </c>
      <c r="C5771">
        <v>12</v>
      </c>
      <c r="D5771" s="11">
        <v>42339</v>
      </c>
      <c r="E5771" t="s">
        <v>2184</v>
      </c>
      <c r="F5771">
        <v>4</v>
      </c>
      <c r="G5771" t="s">
        <v>53</v>
      </c>
      <c r="H5771" t="s">
        <v>41</v>
      </c>
      <c r="I5771" t="s">
        <v>2189</v>
      </c>
      <c r="J5771" s="10">
        <v>3.396</v>
      </c>
      <c r="K5771" t="b">
        <v>1</v>
      </c>
    </row>
    <row r="5772" spans="1:11">
      <c r="A5772" s="12">
        <v>42362</v>
      </c>
      <c r="B5772">
        <v>2015</v>
      </c>
      <c r="C5772">
        <v>12</v>
      </c>
      <c r="D5772" s="11">
        <v>42339</v>
      </c>
      <c r="E5772" t="s">
        <v>2184</v>
      </c>
      <c r="F5772">
        <v>4</v>
      </c>
      <c r="G5772" t="s">
        <v>53</v>
      </c>
      <c r="H5772" t="s">
        <v>42</v>
      </c>
      <c r="I5772" t="s">
        <v>2190</v>
      </c>
      <c r="J5772" s="10">
        <v>5</v>
      </c>
      <c r="K5772" t="b">
        <v>1</v>
      </c>
    </row>
    <row r="5773" spans="1:11">
      <c r="A5773" s="12">
        <v>42362</v>
      </c>
      <c r="B5773">
        <v>2015</v>
      </c>
      <c r="C5773">
        <v>12</v>
      </c>
      <c r="D5773" s="11">
        <v>42339</v>
      </c>
      <c r="E5773" t="s">
        <v>2184</v>
      </c>
      <c r="F5773">
        <v>4</v>
      </c>
      <c r="G5773" t="s">
        <v>53</v>
      </c>
      <c r="H5773" t="s">
        <v>43</v>
      </c>
      <c r="I5773" t="s">
        <v>2191</v>
      </c>
      <c r="J5773" s="10">
        <v>28.3</v>
      </c>
      <c r="K5773" t="b">
        <v>1</v>
      </c>
    </row>
    <row r="5774" spans="1:11">
      <c r="A5774" s="12">
        <v>42362</v>
      </c>
      <c r="B5774">
        <v>2015</v>
      </c>
      <c r="C5774">
        <v>12</v>
      </c>
      <c r="D5774" s="11">
        <v>42339</v>
      </c>
      <c r="E5774" t="s">
        <v>2184</v>
      </c>
      <c r="F5774">
        <v>4</v>
      </c>
      <c r="G5774" t="s">
        <v>53</v>
      </c>
      <c r="H5774" t="s">
        <v>44</v>
      </c>
      <c r="I5774" t="s">
        <v>2192</v>
      </c>
      <c r="J5774" s="10">
        <v>5</v>
      </c>
      <c r="K5774" t="b">
        <v>1</v>
      </c>
    </row>
    <row r="5775" spans="1:11">
      <c r="A5775" s="12">
        <v>42362</v>
      </c>
      <c r="B5775">
        <v>2015</v>
      </c>
      <c r="C5775">
        <v>12</v>
      </c>
      <c r="D5775" s="11">
        <v>42339</v>
      </c>
      <c r="E5775" t="s">
        <v>2184</v>
      </c>
      <c r="F5775">
        <v>4</v>
      </c>
      <c r="G5775" t="s">
        <v>53</v>
      </c>
      <c r="H5775" t="s">
        <v>45</v>
      </c>
      <c r="I5775" t="s">
        <v>2193</v>
      </c>
      <c r="J5775" s="10">
        <v>0</v>
      </c>
      <c r="K5775" t="b">
        <v>1</v>
      </c>
    </row>
    <row r="5776" spans="1:11">
      <c r="A5776" s="12">
        <v>42362</v>
      </c>
      <c r="B5776">
        <v>2015</v>
      </c>
      <c r="C5776">
        <v>12</v>
      </c>
      <c r="D5776" s="11">
        <v>42339</v>
      </c>
      <c r="E5776" t="s">
        <v>2184</v>
      </c>
      <c r="F5776">
        <v>4</v>
      </c>
      <c r="G5776" t="s">
        <v>53</v>
      </c>
      <c r="H5776" t="s">
        <v>46</v>
      </c>
      <c r="I5776" t="s">
        <v>2194</v>
      </c>
      <c r="J5776" s="10">
        <v>16</v>
      </c>
      <c r="K5776" t="b">
        <v>1</v>
      </c>
    </row>
    <row r="5777" spans="1:11">
      <c r="A5777" s="12">
        <v>42362</v>
      </c>
      <c r="B5777">
        <v>2015</v>
      </c>
      <c r="C5777">
        <v>12</v>
      </c>
      <c r="D5777" s="11">
        <v>42339</v>
      </c>
      <c r="E5777" t="s">
        <v>2184</v>
      </c>
      <c r="F5777">
        <v>4</v>
      </c>
      <c r="G5777" t="s">
        <v>53</v>
      </c>
      <c r="H5777" t="s">
        <v>47</v>
      </c>
      <c r="I5777" t="s">
        <v>2195</v>
      </c>
      <c r="J5777" s="10">
        <v>0</v>
      </c>
      <c r="K5777" t="b">
        <v>1</v>
      </c>
    </row>
    <row r="5778" spans="1:11">
      <c r="A5778" s="12">
        <v>42363</v>
      </c>
      <c r="B5778">
        <v>2015</v>
      </c>
      <c r="C5778">
        <v>12</v>
      </c>
      <c r="D5778" s="11">
        <v>42339</v>
      </c>
      <c r="E5778" t="s">
        <v>2184</v>
      </c>
      <c r="F5778">
        <v>5</v>
      </c>
      <c r="G5778" t="s">
        <v>55</v>
      </c>
      <c r="H5778" t="s">
        <v>40</v>
      </c>
      <c r="I5778" t="s">
        <v>2188</v>
      </c>
      <c r="J5778" s="10">
        <v>0.66</v>
      </c>
      <c r="K5778" t="b">
        <v>1</v>
      </c>
    </row>
    <row r="5779" spans="1:11">
      <c r="A5779" s="12">
        <v>42363</v>
      </c>
      <c r="B5779">
        <v>2015</v>
      </c>
      <c r="C5779">
        <v>12</v>
      </c>
      <c r="D5779" s="11">
        <v>42339</v>
      </c>
      <c r="E5779" t="s">
        <v>2184</v>
      </c>
      <c r="F5779">
        <v>5</v>
      </c>
      <c r="G5779" t="s">
        <v>55</v>
      </c>
      <c r="H5779" t="s">
        <v>41</v>
      </c>
      <c r="I5779" t="s">
        <v>2189</v>
      </c>
      <c r="J5779" s="10">
        <v>4.66</v>
      </c>
      <c r="K5779" t="b">
        <v>1</v>
      </c>
    </row>
    <row r="5780" spans="1:11">
      <c r="A5780" s="12">
        <v>42363</v>
      </c>
      <c r="B5780">
        <v>2015</v>
      </c>
      <c r="C5780">
        <v>12</v>
      </c>
      <c r="D5780" s="11">
        <v>42339</v>
      </c>
      <c r="E5780" t="s">
        <v>2184</v>
      </c>
      <c r="F5780">
        <v>5</v>
      </c>
      <c r="G5780" t="s">
        <v>55</v>
      </c>
      <c r="H5780" t="s">
        <v>42</v>
      </c>
      <c r="I5780" t="s">
        <v>2190</v>
      </c>
      <c r="J5780" s="10">
        <v>2</v>
      </c>
      <c r="K5780" t="b">
        <v>1</v>
      </c>
    </row>
    <row r="5781" spans="1:11">
      <c r="A5781" s="12">
        <v>42363</v>
      </c>
      <c r="B5781">
        <v>2015</v>
      </c>
      <c r="C5781">
        <v>12</v>
      </c>
      <c r="D5781" s="11">
        <v>42339</v>
      </c>
      <c r="E5781" t="s">
        <v>2184</v>
      </c>
      <c r="F5781">
        <v>5</v>
      </c>
      <c r="G5781" t="s">
        <v>55</v>
      </c>
      <c r="H5781" t="s">
        <v>43</v>
      </c>
      <c r="I5781" t="s">
        <v>2191</v>
      </c>
      <c r="J5781" s="10">
        <v>20.662</v>
      </c>
      <c r="K5781" t="b">
        <v>1</v>
      </c>
    </row>
    <row r="5782" spans="1:11">
      <c r="A5782" s="12">
        <v>42363</v>
      </c>
      <c r="B5782">
        <v>2015</v>
      </c>
      <c r="C5782">
        <v>12</v>
      </c>
      <c r="D5782" s="11">
        <v>42339</v>
      </c>
      <c r="E5782" t="s">
        <v>2184</v>
      </c>
      <c r="F5782">
        <v>5</v>
      </c>
      <c r="G5782" t="s">
        <v>55</v>
      </c>
      <c r="H5782" t="s">
        <v>44</v>
      </c>
      <c r="I5782" t="s">
        <v>2192</v>
      </c>
      <c r="J5782" s="10">
        <v>28</v>
      </c>
      <c r="K5782" t="b">
        <v>1</v>
      </c>
    </row>
    <row r="5783" spans="1:11">
      <c r="A5783" s="12">
        <v>42363</v>
      </c>
      <c r="B5783">
        <v>2015</v>
      </c>
      <c r="C5783">
        <v>12</v>
      </c>
      <c r="D5783" s="11">
        <v>42339</v>
      </c>
      <c r="E5783" t="s">
        <v>2184</v>
      </c>
      <c r="F5783">
        <v>5</v>
      </c>
      <c r="G5783" t="s">
        <v>55</v>
      </c>
      <c r="H5783" t="s">
        <v>45</v>
      </c>
      <c r="I5783" t="s">
        <v>2193</v>
      </c>
      <c r="J5783" s="10">
        <v>2</v>
      </c>
      <c r="K5783" t="b">
        <v>1</v>
      </c>
    </row>
    <row r="5784" spans="1:11">
      <c r="A5784" s="12">
        <v>42363</v>
      </c>
      <c r="B5784">
        <v>2015</v>
      </c>
      <c r="C5784">
        <v>12</v>
      </c>
      <c r="D5784" s="11">
        <v>42339</v>
      </c>
      <c r="E5784" t="s">
        <v>2184</v>
      </c>
      <c r="F5784">
        <v>5</v>
      </c>
      <c r="G5784" t="s">
        <v>55</v>
      </c>
      <c r="H5784" t="s">
        <v>46</v>
      </c>
      <c r="I5784" t="s">
        <v>2194</v>
      </c>
      <c r="J5784" s="10">
        <v>1</v>
      </c>
      <c r="K5784" t="b">
        <v>1</v>
      </c>
    </row>
    <row r="5785" spans="1:11">
      <c r="A5785" s="12">
        <v>42363</v>
      </c>
      <c r="B5785">
        <v>2015</v>
      </c>
      <c r="C5785">
        <v>12</v>
      </c>
      <c r="D5785" s="11">
        <v>42339</v>
      </c>
      <c r="E5785" t="s">
        <v>2184</v>
      </c>
      <c r="F5785">
        <v>5</v>
      </c>
      <c r="G5785" t="s">
        <v>55</v>
      </c>
      <c r="H5785" t="s">
        <v>47</v>
      </c>
      <c r="I5785" t="s">
        <v>2195</v>
      </c>
      <c r="J5785" s="10">
        <v>1</v>
      </c>
      <c r="K5785" t="b">
        <v>1</v>
      </c>
    </row>
    <row r="5786" spans="1:11">
      <c r="A5786" s="12">
        <v>42364</v>
      </c>
      <c r="B5786">
        <v>2015</v>
      </c>
      <c r="C5786">
        <v>12</v>
      </c>
      <c r="D5786" s="11">
        <v>42339</v>
      </c>
      <c r="E5786" t="s">
        <v>2184</v>
      </c>
      <c r="F5786">
        <v>6</v>
      </c>
      <c r="G5786" t="s">
        <v>57</v>
      </c>
      <c r="H5786" t="s">
        <v>40</v>
      </c>
      <c r="I5786" t="s">
        <v>2188</v>
      </c>
      <c r="J5786" s="10">
        <v>4.67</v>
      </c>
      <c r="K5786" t="b">
        <v>1</v>
      </c>
    </row>
    <row r="5787" spans="1:11">
      <c r="A5787" s="12">
        <v>42364</v>
      </c>
      <c r="B5787">
        <v>2015</v>
      </c>
      <c r="C5787">
        <v>12</v>
      </c>
      <c r="D5787" s="11">
        <v>42339</v>
      </c>
      <c r="E5787" t="s">
        <v>2184</v>
      </c>
      <c r="F5787">
        <v>6</v>
      </c>
      <c r="G5787" t="s">
        <v>57</v>
      </c>
      <c r="H5787" t="s">
        <v>41</v>
      </c>
      <c r="I5787" t="s">
        <v>2189</v>
      </c>
      <c r="J5787" s="10">
        <v>1.66</v>
      </c>
      <c r="K5787" t="b">
        <v>1</v>
      </c>
    </row>
    <row r="5788" spans="1:11">
      <c r="A5788" s="12">
        <v>42364</v>
      </c>
      <c r="B5788">
        <v>2015</v>
      </c>
      <c r="C5788">
        <v>12</v>
      </c>
      <c r="D5788" s="11">
        <v>42339</v>
      </c>
      <c r="E5788" t="s">
        <v>2184</v>
      </c>
      <c r="F5788">
        <v>6</v>
      </c>
      <c r="G5788" t="s">
        <v>57</v>
      </c>
      <c r="H5788" t="s">
        <v>42</v>
      </c>
      <c r="I5788" t="s">
        <v>2190</v>
      </c>
      <c r="J5788" s="10">
        <v>5</v>
      </c>
      <c r="K5788" t="b">
        <v>1</v>
      </c>
    </row>
    <row r="5789" spans="1:11">
      <c r="A5789" s="12">
        <v>42364</v>
      </c>
      <c r="B5789">
        <v>2015</v>
      </c>
      <c r="C5789">
        <v>12</v>
      </c>
      <c r="D5789" s="11">
        <v>42339</v>
      </c>
      <c r="E5789" t="s">
        <v>2184</v>
      </c>
      <c r="F5789">
        <v>6</v>
      </c>
      <c r="G5789" t="s">
        <v>57</v>
      </c>
      <c r="H5789" t="s">
        <v>43</v>
      </c>
      <c r="I5789" t="s">
        <v>2191</v>
      </c>
      <c r="J5789" s="10">
        <v>87.2</v>
      </c>
      <c r="K5789" t="b">
        <v>1</v>
      </c>
    </row>
    <row r="5790" spans="1:11">
      <c r="A5790" s="12">
        <v>42364</v>
      </c>
      <c r="B5790">
        <v>2015</v>
      </c>
      <c r="C5790">
        <v>12</v>
      </c>
      <c r="D5790" s="11">
        <v>42339</v>
      </c>
      <c r="E5790" t="s">
        <v>2184</v>
      </c>
      <c r="F5790">
        <v>6</v>
      </c>
      <c r="G5790" t="s">
        <v>57</v>
      </c>
      <c r="H5790" t="s">
        <v>44</v>
      </c>
      <c r="I5790" t="s">
        <v>2192</v>
      </c>
      <c r="J5790" s="10">
        <v>15</v>
      </c>
      <c r="K5790" t="b">
        <v>1</v>
      </c>
    </row>
    <row r="5791" spans="1:11">
      <c r="A5791" s="12">
        <v>42364</v>
      </c>
      <c r="B5791">
        <v>2015</v>
      </c>
      <c r="C5791">
        <v>12</v>
      </c>
      <c r="D5791" s="11">
        <v>42339</v>
      </c>
      <c r="E5791" t="s">
        <v>2184</v>
      </c>
      <c r="F5791">
        <v>6</v>
      </c>
      <c r="G5791" t="s">
        <v>57</v>
      </c>
      <c r="H5791" t="s">
        <v>45</v>
      </c>
      <c r="I5791" t="s">
        <v>2193</v>
      </c>
      <c r="J5791" s="10">
        <v>3</v>
      </c>
      <c r="K5791" t="b">
        <v>1</v>
      </c>
    </row>
    <row r="5792" spans="1:11">
      <c r="A5792" s="12">
        <v>42364</v>
      </c>
      <c r="B5792">
        <v>2015</v>
      </c>
      <c r="C5792">
        <v>12</v>
      </c>
      <c r="D5792" s="11">
        <v>42339</v>
      </c>
      <c r="E5792" t="s">
        <v>2184</v>
      </c>
      <c r="F5792">
        <v>6</v>
      </c>
      <c r="G5792" t="s">
        <v>57</v>
      </c>
      <c r="H5792" t="s">
        <v>46</v>
      </c>
      <c r="I5792" t="s">
        <v>2194</v>
      </c>
      <c r="J5792" s="10">
        <v>0</v>
      </c>
      <c r="K5792" t="b">
        <v>1</v>
      </c>
    </row>
    <row r="5793" spans="1:11">
      <c r="A5793" s="12">
        <v>42364</v>
      </c>
      <c r="B5793">
        <v>2015</v>
      </c>
      <c r="C5793">
        <v>12</v>
      </c>
      <c r="D5793" s="11">
        <v>42339</v>
      </c>
      <c r="E5793" t="s">
        <v>2184</v>
      </c>
      <c r="F5793">
        <v>6</v>
      </c>
      <c r="G5793" t="s">
        <v>57</v>
      </c>
      <c r="H5793" t="s">
        <v>47</v>
      </c>
      <c r="I5793" t="s">
        <v>2195</v>
      </c>
      <c r="J5793" s="10">
        <v>4.3</v>
      </c>
      <c r="K5793" t="b">
        <v>1</v>
      </c>
    </row>
    <row r="5794" spans="1:11">
      <c r="A5794" s="12">
        <v>42365</v>
      </c>
      <c r="B5794">
        <v>2015</v>
      </c>
      <c r="C5794">
        <v>12</v>
      </c>
      <c r="D5794" s="11">
        <v>42339</v>
      </c>
      <c r="E5794" t="s">
        <v>2184</v>
      </c>
      <c r="F5794">
        <v>7</v>
      </c>
      <c r="G5794" t="s">
        <v>59</v>
      </c>
      <c r="H5794" t="s">
        <v>40</v>
      </c>
      <c r="I5794" t="s">
        <v>2188</v>
      </c>
      <c r="J5794" s="10">
        <v>5.33</v>
      </c>
      <c r="K5794" t="b">
        <v>1</v>
      </c>
    </row>
    <row r="5795" spans="1:11">
      <c r="A5795" s="12">
        <v>42365</v>
      </c>
      <c r="B5795">
        <v>2015</v>
      </c>
      <c r="C5795">
        <v>12</v>
      </c>
      <c r="D5795" s="11">
        <v>42339</v>
      </c>
      <c r="E5795" t="s">
        <v>2184</v>
      </c>
      <c r="F5795">
        <v>7</v>
      </c>
      <c r="G5795" t="s">
        <v>59</v>
      </c>
      <c r="H5795" t="s">
        <v>41</v>
      </c>
      <c r="I5795" t="s">
        <v>2189</v>
      </c>
      <c r="J5795" s="10">
        <v>6.792</v>
      </c>
      <c r="K5795" t="b">
        <v>1</v>
      </c>
    </row>
    <row r="5796" spans="1:11">
      <c r="A5796" s="12">
        <v>42365</v>
      </c>
      <c r="B5796">
        <v>2015</v>
      </c>
      <c r="C5796">
        <v>12</v>
      </c>
      <c r="D5796" s="11">
        <v>42339</v>
      </c>
      <c r="E5796" t="s">
        <v>2184</v>
      </c>
      <c r="F5796">
        <v>7</v>
      </c>
      <c r="G5796" t="s">
        <v>59</v>
      </c>
      <c r="H5796" t="s">
        <v>42</v>
      </c>
      <c r="I5796" t="s">
        <v>2190</v>
      </c>
      <c r="J5796" s="10">
        <v>5.2</v>
      </c>
      <c r="K5796" t="b">
        <v>1</v>
      </c>
    </row>
    <row r="5797" spans="1:11">
      <c r="A5797" s="12">
        <v>42365</v>
      </c>
      <c r="B5797">
        <v>2015</v>
      </c>
      <c r="C5797">
        <v>12</v>
      </c>
      <c r="D5797" s="11">
        <v>42339</v>
      </c>
      <c r="E5797" t="s">
        <v>2184</v>
      </c>
      <c r="F5797">
        <v>7</v>
      </c>
      <c r="G5797" t="s">
        <v>59</v>
      </c>
      <c r="H5797" t="s">
        <v>43</v>
      </c>
      <c r="I5797" t="s">
        <v>2191</v>
      </c>
      <c r="J5797" s="10">
        <v>63.5</v>
      </c>
      <c r="K5797" t="b">
        <v>1</v>
      </c>
    </row>
    <row r="5798" spans="1:11">
      <c r="A5798" s="12">
        <v>42365</v>
      </c>
      <c r="B5798">
        <v>2015</v>
      </c>
      <c r="C5798">
        <v>12</v>
      </c>
      <c r="D5798" s="11">
        <v>42339</v>
      </c>
      <c r="E5798" t="s">
        <v>2184</v>
      </c>
      <c r="F5798">
        <v>7</v>
      </c>
      <c r="G5798" t="s">
        <v>59</v>
      </c>
      <c r="H5798" t="s">
        <v>44</v>
      </c>
      <c r="I5798" t="s">
        <v>2192</v>
      </c>
      <c r="J5798" s="10">
        <v>4</v>
      </c>
      <c r="K5798" t="b">
        <v>1</v>
      </c>
    </row>
    <row r="5799" spans="1:11">
      <c r="A5799" s="12">
        <v>42365</v>
      </c>
      <c r="B5799">
        <v>2015</v>
      </c>
      <c r="C5799">
        <v>12</v>
      </c>
      <c r="D5799" s="11">
        <v>42339</v>
      </c>
      <c r="E5799" t="s">
        <v>2184</v>
      </c>
      <c r="F5799">
        <v>7</v>
      </c>
      <c r="G5799" t="s">
        <v>59</v>
      </c>
      <c r="H5799" t="s">
        <v>45</v>
      </c>
      <c r="I5799" t="s">
        <v>2193</v>
      </c>
      <c r="J5799" s="10">
        <v>0</v>
      </c>
      <c r="K5799" t="b">
        <v>1</v>
      </c>
    </row>
    <row r="5800" spans="1:11">
      <c r="A5800" s="12">
        <v>42365</v>
      </c>
      <c r="B5800">
        <v>2015</v>
      </c>
      <c r="C5800">
        <v>12</v>
      </c>
      <c r="D5800" s="11">
        <v>42339</v>
      </c>
      <c r="E5800" t="s">
        <v>2184</v>
      </c>
      <c r="F5800">
        <v>7</v>
      </c>
      <c r="G5800" t="s">
        <v>59</v>
      </c>
      <c r="H5800" t="s">
        <v>46</v>
      </c>
      <c r="I5800" t="s">
        <v>2194</v>
      </c>
      <c r="J5800" s="10">
        <v>14</v>
      </c>
      <c r="K5800" t="b">
        <v>1</v>
      </c>
    </row>
    <row r="5801" spans="1:11">
      <c r="A5801" s="12">
        <v>42365</v>
      </c>
      <c r="B5801">
        <v>2015</v>
      </c>
      <c r="C5801">
        <v>12</v>
      </c>
      <c r="D5801" s="11">
        <v>42339</v>
      </c>
      <c r="E5801" t="s">
        <v>2184</v>
      </c>
      <c r="F5801">
        <v>7</v>
      </c>
      <c r="G5801" t="s">
        <v>59</v>
      </c>
      <c r="H5801" t="s">
        <v>47</v>
      </c>
      <c r="I5801" t="s">
        <v>2195</v>
      </c>
      <c r="J5801" s="10">
        <v>4.6</v>
      </c>
      <c r="K5801" t="b">
        <v>1</v>
      </c>
    </row>
    <row r="5802" spans="1:11">
      <c r="A5802" s="12">
        <v>42366</v>
      </c>
      <c r="B5802">
        <v>2015</v>
      </c>
      <c r="C5802">
        <v>12</v>
      </c>
      <c r="D5802" s="11">
        <v>42339</v>
      </c>
      <c r="E5802" t="s">
        <v>2184</v>
      </c>
      <c r="F5802">
        <v>1</v>
      </c>
      <c r="G5802" t="s">
        <v>61</v>
      </c>
      <c r="H5802" t="s">
        <v>40</v>
      </c>
      <c r="I5802" t="s">
        <v>2188</v>
      </c>
      <c r="J5802" s="10">
        <v>4</v>
      </c>
      <c r="K5802" t="b">
        <v>1</v>
      </c>
    </row>
    <row r="5803" spans="1:11">
      <c r="A5803" s="12">
        <v>42366</v>
      </c>
      <c r="B5803">
        <v>2015</v>
      </c>
      <c r="C5803">
        <v>12</v>
      </c>
      <c r="D5803" s="11">
        <v>42339</v>
      </c>
      <c r="E5803" t="s">
        <v>2184</v>
      </c>
      <c r="F5803">
        <v>1</v>
      </c>
      <c r="G5803" t="s">
        <v>61</v>
      </c>
      <c r="H5803" t="s">
        <v>41</v>
      </c>
      <c r="I5803" t="s">
        <v>2189</v>
      </c>
      <c r="J5803" s="10">
        <v>5.099</v>
      </c>
      <c r="K5803" t="b">
        <v>1</v>
      </c>
    </row>
    <row r="5804" spans="1:11">
      <c r="A5804" s="12">
        <v>42366</v>
      </c>
      <c r="B5804">
        <v>2015</v>
      </c>
      <c r="C5804">
        <v>12</v>
      </c>
      <c r="D5804" s="11">
        <v>42339</v>
      </c>
      <c r="E5804" t="s">
        <v>2184</v>
      </c>
      <c r="F5804">
        <v>1</v>
      </c>
      <c r="G5804" t="s">
        <v>61</v>
      </c>
      <c r="H5804" t="s">
        <v>42</v>
      </c>
      <c r="I5804" t="s">
        <v>2190</v>
      </c>
      <c r="J5804" s="10">
        <v>9.199999999999999</v>
      </c>
      <c r="K5804" t="b">
        <v>1</v>
      </c>
    </row>
    <row r="5805" spans="1:11">
      <c r="A5805" s="12">
        <v>42366</v>
      </c>
      <c r="B5805">
        <v>2015</v>
      </c>
      <c r="C5805">
        <v>12</v>
      </c>
      <c r="D5805" s="11">
        <v>42339</v>
      </c>
      <c r="E5805" t="s">
        <v>2184</v>
      </c>
      <c r="F5805">
        <v>1</v>
      </c>
      <c r="G5805" t="s">
        <v>61</v>
      </c>
      <c r="H5805" t="s">
        <v>43</v>
      </c>
      <c r="I5805" t="s">
        <v>2191</v>
      </c>
      <c r="J5805" s="10">
        <v>61.5</v>
      </c>
      <c r="K5805" t="b">
        <v>1</v>
      </c>
    </row>
    <row r="5806" spans="1:11">
      <c r="A5806" s="12">
        <v>42366</v>
      </c>
      <c r="B5806">
        <v>2015</v>
      </c>
      <c r="C5806">
        <v>12</v>
      </c>
      <c r="D5806" s="11">
        <v>42339</v>
      </c>
      <c r="E5806" t="s">
        <v>2184</v>
      </c>
      <c r="F5806">
        <v>1</v>
      </c>
      <c r="G5806" t="s">
        <v>61</v>
      </c>
      <c r="H5806" t="s">
        <v>44</v>
      </c>
      <c r="I5806" t="s">
        <v>2192</v>
      </c>
      <c r="J5806" s="10">
        <v>18</v>
      </c>
      <c r="K5806" t="b">
        <v>1</v>
      </c>
    </row>
    <row r="5807" spans="1:11">
      <c r="A5807" s="12">
        <v>42366</v>
      </c>
      <c r="B5807">
        <v>2015</v>
      </c>
      <c r="C5807">
        <v>12</v>
      </c>
      <c r="D5807" s="11">
        <v>42339</v>
      </c>
      <c r="E5807" t="s">
        <v>2184</v>
      </c>
      <c r="F5807">
        <v>1</v>
      </c>
      <c r="G5807" t="s">
        <v>61</v>
      </c>
      <c r="H5807" t="s">
        <v>45</v>
      </c>
      <c r="I5807" t="s">
        <v>2193</v>
      </c>
      <c r="J5807" s="10">
        <v>3</v>
      </c>
      <c r="K5807" t="b">
        <v>1</v>
      </c>
    </row>
    <row r="5808" spans="1:11">
      <c r="A5808" s="12">
        <v>42366</v>
      </c>
      <c r="B5808">
        <v>2015</v>
      </c>
      <c r="C5808">
        <v>12</v>
      </c>
      <c r="D5808" s="11">
        <v>42339</v>
      </c>
      <c r="E5808" t="s">
        <v>2184</v>
      </c>
      <c r="F5808">
        <v>1</v>
      </c>
      <c r="G5808" t="s">
        <v>61</v>
      </c>
      <c r="H5808" t="s">
        <v>46</v>
      </c>
      <c r="I5808" t="s">
        <v>2194</v>
      </c>
      <c r="J5808" s="10">
        <v>26</v>
      </c>
      <c r="K5808" t="b">
        <v>1</v>
      </c>
    </row>
    <row r="5809" spans="1:11">
      <c r="A5809" s="12">
        <v>42366</v>
      </c>
      <c r="B5809">
        <v>2015</v>
      </c>
      <c r="C5809">
        <v>12</v>
      </c>
      <c r="D5809" s="11">
        <v>42339</v>
      </c>
      <c r="E5809" t="s">
        <v>2184</v>
      </c>
      <c r="F5809">
        <v>1</v>
      </c>
      <c r="G5809" t="s">
        <v>61</v>
      </c>
      <c r="H5809" t="s">
        <v>47</v>
      </c>
      <c r="I5809" t="s">
        <v>2195</v>
      </c>
      <c r="J5809" s="10">
        <v>1</v>
      </c>
      <c r="K5809" t="b">
        <v>1</v>
      </c>
    </row>
    <row r="5810" spans="1:11">
      <c r="A5810" s="12">
        <v>42367</v>
      </c>
      <c r="B5810">
        <v>2015</v>
      </c>
      <c r="C5810">
        <v>12</v>
      </c>
      <c r="D5810" s="11">
        <v>42339</v>
      </c>
      <c r="E5810" t="s">
        <v>2184</v>
      </c>
      <c r="F5810">
        <v>2</v>
      </c>
      <c r="G5810" t="s">
        <v>63</v>
      </c>
      <c r="H5810" t="s">
        <v>40</v>
      </c>
      <c r="I5810" t="s">
        <v>2188</v>
      </c>
      <c r="J5810" s="10">
        <v>10.67</v>
      </c>
      <c r="K5810" t="b">
        <v>1</v>
      </c>
    </row>
    <row r="5811" spans="1:11">
      <c r="A5811" s="12">
        <v>42367</v>
      </c>
      <c r="B5811">
        <v>2015</v>
      </c>
      <c r="C5811">
        <v>12</v>
      </c>
      <c r="D5811" s="11">
        <v>42339</v>
      </c>
      <c r="E5811" t="s">
        <v>2184</v>
      </c>
      <c r="F5811">
        <v>2</v>
      </c>
      <c r="G5811" t="s">
        <v>63</v>
      </c>
      <c r="H5811" t="s">
        <v>41</v>
      </c>
      <c r="I5811" t="s">
        <v>2189</v>
      </c>
      <c r="J5811" s="10">
        <v>2.33</v>
      </c>
      <c r="K5811" t="b">
        <v>1</v>
      </c>
    </row>
    <row r="5812" spans="1:11">
      <c r="A5812" s="12">
        <v>42367</v>
      </c>
      <c r="B5812">
        <v>2015</v>
      </c>
      <c r="C5812">
        <v>12</v>
      </c>
      <c r="D5812" s="11">
        <v>42339</v>
      </c>
      <c r="E5812" t="s">
        <v>2184</v>
      </c>
      <c r="F5812">
        <v>2</v>
      </c>
      <c r="G5812" t="s">
        <v>63</v>
      </c>
      <c r="H5812" t="s">
        <v>42</v>
      </c>
      <c r="I5812" t="s">
        <v>2190</v>
      </c>
      <c r="J5812" s="10">
        <v>2</v>
      </c>
      <c r="K5812" t="b">
        <v>1</v>
      </c>
    </row>
    <row r="5813" spans="1:11">
      <c r="A5813" s="12">
        <v>42367</v>
      </c>
      <c r="B5813">
        <v>2015</v>
      </c>
      <c r="C5813">
        <v>12</v>
      </c>
      <c r="D5813" s="11">
        <v>42339</v>
      </c>
      <c r="E5813" t="s">
        <v>2184</v>
      </c>
      <c r="F5813">
        <v>2</v>
      </c>
      <c r="G5813" t="s">
        <v>63</v>
      </c>
      <c r="H5813" t="s">
        <v>43</v>
      </c>
      <c r="I5813" t="s">
        <v>2191</v>
      </c>
      <c r="J5813" s="10">
        <v>71.59999999999999</v>
      </c>
      <c r="K5813" t="b">
        <v>1</v>
      </c>
    </row>
    <row r="5814" spans="1:11">
      <c r="A5814" s="12">
        <v>42367</v>
      </c>
      <c r="B5814">
        <v>2015</v>
      </c>
      <c r="C5814">
        <v>12</v>
      </c>
      <c r="D5814" s="11">
        <v>42339</v>
      </c>
      <c r="E5814" t="s">
        <v>2184</v>
      </c>
      <c r="F5814">
        <v>2</v>
      </c>
      <c r="G5814" t="s">
        <v>63</v>
      </c>
      <c r="H5814" t="s">
        <v>44</v>
      </c>
      <c r="I5814" t="s">
        <v>2192</v>
      </c>
      <c r="J5814" s="10">
        <v>9</v>
      </c>
      <c r="K5814" t="b">
        <v>1</v>
      </c>
    </row>
    <row r="5815" spans="1:11">
      <c r="A5815" s="12">
        <v>42367</v>
      </c>
      <c r="B5815">
        <v>2015</v>
      </c>
      <c r="C5815">
        <v>12</v>
      </c>
      <c r="D5815" s="11">
        <v>42339</v>
      </c>
      <c r="E5815" t="s">
        <v>2184</v>
      </c>
      <c r="F5815">
        <v>2</v>
      </c>
      <c r="G5815" t="s">
        <v>63</v>
      </c>
      <c r="H5815" t="s">
        <v>45</v>
      </c>
      <c r="I5815" t="s">
        <v>2193</v>
      </c>
      <c r="J5815" s="10">
        <v>0</v>
      </c>
      <c r="K5815" t="b">
        <v>1</v>
      </c>
    </row>
    <row r="5816" spans="1:11">
      <c r="A5816" s="12">
        <v>42367</v>
      </c>
      <c r="B5816">
        <v>2015</v>
      </c>
      <c r="C5816">
        <v>12</v>
      </c>
      <c r="D5816" s="11">
        <v>42339</v>
      </c>
      <c r="E5816" t="s">
        <v>2184</v>
      </c>
      <c r="F5816">
        <v>2</v>
      </c>
      <c r="G5816" t="s">
        <v>63</v>
      </c>
      <c r="H5816" t="s">
        <v>46</v>
      </c>
      <c r="I5816" t="s">
        <v>2194</v>
      </c>
      <c r="J5816" s="10">
        <v>2</v>
      </c>
      <c r="K5816" t="b">
        <v>1</v>
      </c>
    </row>
    <row r="5817" spans="1:11">
      <c r="A5817" s="12">
        <v>42367</v>
      </c>
      <c r="B5817">
        <v>2015</v>
      </c>
      <c r="C5817">
        <v>12</v>
      </c>
      <c r="D5817" s="11">
        <v>42339</v>
      </c>
      <c r="E5817" t="s">
        <v>2184</v>
      </c>
      <c r="F5817">
        <v>2</v>
      </c>
      <c r="G5817" t="s">
        <v>63</v>
      </c>
      <c r="H5817" t="s">
        <v>47</v>
      </c>
      <c r="I5817" t="s">
        <v>2195</v>
      </c>
      <c r="J5817" s="10">
        <v>3</v>
      </c>
      <c r="K5817" t="b">
        <v>1</v>
      </c>
    </row>
    <row r="5818" spans="1:11">
      <c r="A5818" s="12">
        <v>42368</v>
      </c>
      <c r="B5818">
        <v>2015</v>
      </c>
      <c r="C5818">
        <v>12</v>
      </c>
      <c r="D5818" s="11">
        <v>42339</v>
      </c>
      <c r="E5818" t="s">
        <v>2184</v>
      </c>
      <c r="F5818">
        <v>3</v>
      </c>
      <c r="G5818" t="s">
        <v>65</v>
      </c>
      <c r="H5818" t="s">
        <v>40</v>
      </c>
      <c r="I5818" t="s">
        <v>2188</v>
      </c>
      <c r="J5818" s="10">
        <v>6.66</v>
      </c>
      <c r="K5818" t="b">
        <v>1</v>
      </c>
    </row>
    <row r="5819" spans="1:11">
      <c r="A5819" s="12">
        <v>42368</v>
      </c>
      <c r="B5819">
        <v>2015</v>
      </c>
      <c r="C5819">
        <v>12</v>
      </c>
      <c r="D5819" s="11">
        <v>42339</v>
      </c>
      <c r="E5819" t="s">
        <v>2184</v>
      </c>
      <c r="F5819">
        <v>3</v>
      </c>
      <c r="G5819" t="s">
        <v>65</v>
      </c>
      <c r="H5819" t="s">
        <v>41</v>
      </c>
      <c r="I5819" t="s">
        <v>2189</v>
      </c>
      <c r="J5819" s="10">
        <v>7.089</v>
      </c>
      <c r="K5819" t="b">
        <v>1</v>
      </c>
    </row>
    <row r="5820" spans="1:11">
      <c r="A5820" s="12">
        <v>42368</v>
      </c>
      <c r="B5820">
        <v>2015</v>
      </c>
      <c r="C5820">
        <v>12</v>
      </c>
      <c r="D5820" s="11">
        <v>42339</v>
      </c>
      <c r="E5820" t="s">
        <v>2184</v>
      </c>
      <c r="F5820">
        <v>3</v>
      </c>
      <c r="G5820" t="s">
        <v>65</v>
      </c>
      <c r="H5820" t="s">
        <v>42</v>
      </c>
      <c r="I5820" t="s">
        <v>2190</v>
      </c>
      <c r="J5820" s="10">
        <v>2</v>
      </c>
      <c r="K5820" t="b">
        <v>1</v>
      </c>
    </row>
    <row r="5821" spans="1:11">
      <c r="A5821" s="12">
        <v>42368</v>
      </c>
      <c r="B5821">
        <v>2015</v>
      </c>
      <c r="C5821">
        <v>12</v>
      </c>
      <c r="D5821" s="11">
        <v>42339</v>
      </c>
      <c r="E5821" t="s">
        <v>2184</v>
      </c>
      <c r="F5821">
        <v>3</v>
      </c>
      <c r="G5821" t="s">
        <v>65</v>
      </c>
      <c r="H5821" t="s">
        <v>43</v>
      </c>
      <c r="I5821" t="s">
        <v>2191</v>
      </c>
      <c r="J5821" s="10">
        <v>56.4</v>
      </c>
      <c r="K5821" t="b">
        <v>1</v>
      </c>
    </row>
    <row r="5822" spans="1:11">
      <c r="A5822" s="12">
        <v>42368</v>
      </c>
      <c r="B5822">
        <v>2015</v>
      </c>
      <c r="C5822">
        <v>12</v>
      </c>
      <c r="D5822" s="11">
        <v>42339</v>
      </c>
      <c r="E5822" t="s">
        <v>2184</v>
      </c>
      <c r="F5822">
        <v>3</v>
      </c>
      <c r="G5822" t="s">
        <v>65</v>
      </c>
      <c r="H5822" t="s">
        <v>44</v>
      </c>
      <c r="I5822" t="s">
        <v>2192</v>
      </c>
      <c r="J5822" s="10">
        <v>12</v>
      </c>
      <c r="K5822" t="b">
        <v>1</v>
      </c>
    </row>
    <row r="5823" spans="1:11">
      <c r="A5823" s="12">
        <v>42368</v>
      </c>
      <c r="B5823">
        <v>2015</v>
      </c>
      <c r="C5823">
        <v>12</v>
      </c>
      <c r="D5823" s="11">
        <v>42339</v>
      </c>
      <c r="E5823" t="s">
        <v>2184</v>
      </c>
      <c r="F5823">
        <v>3</v>
      </c>
      <c r="G5823" t="s">
        <v>65</v>
      </c>
      <c r="H5823" t="s">
        <v>45</v>
      </c>
      <c r="I5823" t="s">
        <v>2193</v>
      </c>
      <c r="J5823" s="10">
        <v>0</v>
      </c>
      <c r="K5823" t="b">
        <v>1</v>
      </c>
    </row>
    <row r="5824" spans="1:11">
      <c r="A5824" s="12">
        <v>42368</v>
      </c>
      <c r="B5824">
        <v>2015</v>
      </c>
      <c r="C5824">
        <v>12</v>
      </c>
      <c r="D5824" s="11">
        <v>42339</v>
      </c>
      <c r="E5824" t="s">
        <v>2184</v>
      </c>
      <c r="F5824">
        <v>3</v>
      </c>
      <c r="G5824" t="s">
        <v>65</v>
      </c>
      <c r="H5824" t="s">
        <v>46</v>
      </c>
      <c r="I5824" t="s">
        <v>2194</v>
      </c>
      <c r="J5824" s="10">
        <v>4</v>
      </c>
      <c r="K5824" t="b">
        <v>1</v>
      </c>
    </row>
    <row r="5825" spans="1:11">
      <c r="A5825" s="12">
        <v>42368</v>
      </c>
      <c r="B5825">
        <v>2015</v>
      </c>
      <c r="C5825">
        <v>12</v>
      </c>
      <c r="D5825" s="11">
        <v>42339</v>
      </c>
      <c r="E5825" t="s">
        <v>2184</v>
      </c>
      <c r="F5825">
        <v>3</v>
      </c>
      <c r="G5825" t="s">
        <v>65</v>
      </c>
      <c r="H5825" t="s">
        <v>47</v>
      </c>
      <c r="I5825" t="s">
        <v>2195</v>
      </c>
      <c r="J5825" s="10">
        <v>2</v>
      </c>
      <c r="K5825" t="b">
        <v>1</v>
      </c>
    </row>
    <row r="5826" spans="1:11">
      <c r="A5826" s="12">
        <v>42369</v>
      </c>
      <c r="B5826">
        <v>2015</v>
      </c>
      <c r="C5826">
        <v>12</v>
      </c>
      <c r="D5826" s="11">
        <v>42339</v>
      </c>
      <c r="E5826" t="s">
        <v>2184</v>
      </c>
      <c r="F5826">
        <v>4</v>
      </c>
      <c r="G5826" t="s">
        <v>53</v>
      </c>
      <c r="H5826" t="s">
        <v>40</v>
      </c>
      <c r="I5826" t="s">
        <v>2188</v>
      </c>
      <c r="J5826" s="10">
        <v>7.66</v>
      </c>
      <c r="K5826" t="b">
        <v>1</v>
      </c>
    </row>
    <row r="5827" spans="1:11">
      <c r="A5827" s="12">
        <v>42369</v>
      </c>
      <c r="B5827">
        <v>2015</v>
      </c>
      <c r="C5827">
        <v>12</v>
      </c>
      <c r="D5827" s="11">
        <v>42339</v>
      </c>
      <c r="E5827" t="s">
        <v>2184</v>
      </c>
      <c r="F5827">
        <v>4</v>
      </c>
      <c r="G5827" t="s">
        <v>53</v>
      </c>
      <c r="H5827" t="s">
        <v>41</v>
      </c>
      <c r="I5827" t="s">
        <v>2189</v>
      </c>
      <c r="J5827" s="10">
        <v>6.099</v>
      </c>
      <c r="K5827" t="b">
        <v>1</v>
      </c>
    </row>
    <row r="5828" spans="1:11">
      <c r="A5828" s="12">
        <v>42369</v>
      </c>
      <c r="B5828">
        <v>2015</v>
      </c>
      <c r="C5828">
        <v>12</v>
      </c>
      <c r="D5828" s="11">
        <v>42339</v>
      </c>
      <c r="E5828" t="s">
        <v>2184</v>
      </c>
      <c r="F5828">
        <v>4</v>
      </c>
      <c r="G5828" t="s">
        <v>53</v>
      </c>
      <c r="H5828" t="s">
        <v>42</v>
      </c>
      <c r="I5828" t="s">
        <v>2190</v>
      </c>
      <c r="J5828" s="10">
        <v>7.6</v>
      </c>
      <c r="K5828" t="b">
        <v>1</v>
      </c>
    </row>
    <row r="5829" spans="1:11">
      <c r="A5829" s="12">
        <v>42369</v>
      </c>
      <c r="B5829">
        <v>2015</v>
      </c>
      <c r="C5829">
        <v>12</v>
      </c>
      <c r="D5829" s="11">
        <v>42339</v>
      </c>
      <c r="E5829" t="s">
        <v>2184</v>
      </c>
      <c r="F5829">
        <v>4</v>
      </c>
      <c r="G5829" t="s">
        <v>53</v>
      </c>
      <c r="H5829" t="s">
        <v>43</v>
      </c>
      <c r="I5829" t="s">
        <v>2191</v>
      </c>
      <c r="J5829" s="10">
        <v>44.35</v>
      </c>
      <c r="K5829" t="b">
        <v>1</v>
      </c>
    </row>
    <row r="5830" spans="1:11">
      <c r="A5830" s="12">
        <v>42369</v>
      </c>
      <c r="B5830">
        <v>2015</v>
      </c>
      <c r="C5830">
        <v>12</v>
      </c>
      <c r="D5830" s="11">
        <v>42339</v>
      </c>
      <c r="E5830" t="s">
        <v>2184</v>
      </c>
      <c r="F5830">
        <v>4</v>
      </c>
      <c r="G5830" t="s">
        <v>53</v>
      </c>
      <c r="H5830" t="s">
        <v>44</v>
      </c>
      <c r="I5830" t="s">
        <v>2192</v>
      </c>
      <c r="J5830" s="10">
        <v>18</v>
      </c>
      <c r="K5830" t="b">
        <v>1</v>
      </c>
    </row>
    <row r="5831" spans="1:11">
      <c r="A5831" s="12">
        <v>42369</v>
      </c>
      <c r="B5831">
        <v>2015</v>
      </c>
      <c r="C5831">
        <v>12</v>
      </c>
      <c r="D5831" s="11">
        <v>42339</v>
      </c>
      <c r="E5831" t="s">
        <v>2184</v>
      </c>
      <c r="F5831">
        <v>4</v>
      </c>
      <c r="G5831" t="s">
        <v>53</v>
      </c>
      <c r="H5831" t="s">
        <v>45</v>
      </c>
      <c r="I5831" t="s">
        <v>2193</v>
      </c>
      <c r="J5831" s="10">
        <v>0</v>
      </c>
      <c r="K5831" t="b">
        <v>1</v>
      </c>
    </row>
    <row r="5832" spans="1:11">
      <c r="A5832" s="12">
        <v>42369</v>
      </c>
      <c r="B5832">
        <v>2015</v>
      </c>
      <c r="C5832">
        <v>12</v>
      </c>
      <c r="D5832" s="11">
        <v>42339</v>
      </c>
      <c r="E5832" t="s">
        <v>2184</v>
      </c>
      <c r="F5832">
        <v>4</v>
      </c>
      <c r="G5832" t="s">
        <v>53</v>
      </c>
      <c r="H5832" t="s">
        <v>46</v>
      </c>
      <c r="I5832" t="s">
        <v>2194</v>
      </c>
      <c r="J5832" s="10">
        <v>6</v>
      </c>
      <c r="K5832" t="b">
        <v>1</v>
      </c>
    </row>
    <row r="5833" spans="1:11">
      <c r="A5833" s="12">
        <v>42369</v>
      </c>
      <c r="B5833">
        <v>2015</v>
      </c>
      <c r="C5833">
        <v>12</v>
      </c>
      <c r="D5833" s="11">
        <v>42339</v>
      </c>
      <c r="E5833" t="s">
        <v>2184</v>
      </c>
      <c r="F5833">
        <v>4</v>
      </c>
      <c r="G5833" t="s">
        <v>53</v>
      </c>
      <c r="H5833" t="s">
        <v>47</v>
      </c>
      <c r="I5833" t="s">
        <v>2195</v>
      </c>
      <c r="J5833" s="10">
        <v>1</v>
      </c>
      <c r="K5833" t="b">
        <v>1</v>
      </c>
    </row>
    <row r="5834" spans="1:11">
      <c r="A5834" s="12">
        <v>42370</v>
      </c>
      <c r="B5834">
        <v>2016</v>
      </c>
      <c r="C5834">
        <v>1</v>
      </c>
      <c r="D5834" s="11">
        <v>42370</v>
      </c>
      <c r="E5834" t="s">
        <v>2173</v>
      </c>
      <c r="F5834">
        <v>5</v>
      </c>
      <c r="G5834" t="s">
        <v>55</v>
      </c>
      <c r="H5834" t="s">
        <v>40</v>
      </c>
      <c r="I5834" t="s">
        <v>2188</v>
      </c>
      <c r="J5834" s="10">
        <v>0</v>
      </c>
      <c r="K5834" t="b">
        <v>1</v>
      </c>
    </row>
    <row r="5835" spans="1:11">
      <c r="A5835" s="12">
        <v>42370</v>
      </c>
      <c r="B5835">
        <v>2016</v>
      </c>
      <c r="C5835">
        <v>1</v>
      </c>
      <c r="D5835" s="11">
        <v>42370</v>
      </c>
      <c r="E5835" t="s">
        <v>2173</v>
      </c>
      <c r="F5835">
        <v>5</v>
      </c>
      <c r="G5835" t="s">
        <v>55</v>
      </c>
      <c r="H5835" t="s">
        <v>41</v>
      </c>
      <c r="I5835" t="s">
        <v>2189</v>
      </c>
      <c r="J5835" s="10">
        <v>0</v>
      </c>
      <c r="K5835" t="b">
        <v>1</v>
      </c>
    </row>
    <row r="5836" spans="1:11">
      <c r="A5836" s="12">
        <v>42370</v>
      </c>
      <c r="B5836">
        <v>2016</v>
      </c>
      <c r="C5836">
        <v>1</v>
      </c>
      <c r="D5836" s="11">
        <v>42370</v>
      </c>
      <c r="E5836" t="s">
        <v>2173</v>
      </c>
      <c r="F5836">
        <v>5</v>
      </c>
      <c r="G5836" t="s">
        <v>55</v>
      </c>
      <c r="H5836" t="s">
        <v>42</v>
      </c>
      <c r="I5836" t="s">
        <v>2190</v>
      </c>
      <c r="J5836" s="10">
        <v>0</v>
      </c>
      <c r="K5836" t="b">
        <v>1</v>
      </c>
    </row>
    <row r="5837" spans="1:11">
      <c r="A5837" s="12">
        <v>42370</v>
      </c>
      <c r="B5837">
        <v>2016</v>
      </c>
      <c r="C5837">
        <v>1</v>
      </c>
      <c r="D5837" s="11">
        <v>42370</v>
      </c>
      <c r="E5837" t="s">
        <v>2173</v>
      </c>
      <c r="F5837">
        <v>5</v>
      </c>
      <c r="G5837" t="s">
        <v>55</v>
      </c>
      <c r="H5837" t="s">
        <v>43</v>
      </c>
      <c r="I5837" t="s">
        <v>2191</v>
      </c>
      <c r="J5837" s="10">
        <v>0</v>
      </c>
      <c r="K5837" t="b">
        <v>1</v>
      </c>
    </row>
    <row r="5838" spans="1:11">
      <c r="A5838" s="12">
        <v>42370</v>
      </c>
      <c r="B5838">
        <v>2016</v>
      </c>
      <c r="C5838">
        <v>1</v>
      </c>
      <c r="D5838" s="11">
        <v>42370</v>
      </c>
      <c r="E5838" t="s">
        <v>2173</v>
      </c>
      <c r="F5838">
        <v>5</v>
      </c>
      <c r="G5838" t="s">
        <v>55</v>
      </c>
      <c r="H5838" t="s">
        <v>44</v>
      </c>
      <c r="I5838" t="s">
        <v>2192</v>
      </c>
      <c r="J5838" s="10">
        <v>0</v>
      </c>
      <c r="K5838" t="b">
        <v>1</v>
      </c>
    </row>
    <row r="5839" spans="1:11">
      <c r="A5839" s="12">
        <v>42370</v>
      </c>
      <c r="B5839">
        <v>2016</v>
      </c>
      <c r="C5839">
        <v>1</v>
      </c>
      <c r="D5839" s="11">
        <v>42370</v>
      </c>
      <c r="E5839" t="s">
        <v>2173</v>
      </c>
      <c r="F5839">
        <v>5</v>
      </c>
      <c r="G5839" t="s">
        <v>55</v>
      </c>
      <c r="H5839" t="s">
        <v>45</v>
      </c>
      <c r="I5839" t="s">
        <v>2193</v>
      </c>
      <c r="J5839" s="10">
        <v>0</v>
      </c>
      <c r="K5839" t="b">
        <v>1</v>
      </c>
    </row>
    <row r="5840" spans="1:11">
      <c r="A5840" s="12">
        <v>42370</v>
      </c>
      <c r="B5840">
        <v>2016</v>
      </c>
      <c r="C5840">
        <v>1</v>
      </c>
      <c r="D5840" s="11">
        <v>42370</v>
      </c>
      <c r="E5840" t="s">
        <v>2173</v>
      </c>
      <c r="F5840">
        <v>5</v>
      </c>
      <c r="G5840" t="s">
        <v>55</v>
      </c>
      <c r="H5840" t="s">
        <v>46</v>
      </c>
      <c r="I5840" t="s">
        <v>2194</v>
      </c>
      <c r="J5840" s="10">
        <v>0</v>
      </c>
      <c r="K5840" t="b">
        <v>1</v>
      </c>
    </row>
    <row r="5841" spans="1:11">
      <c r="A5841" s="12">
        <v>42370</v>
      </c>
      <c r="B5841">
        <v>2016</v>
      </c>
      <c r="C5841">
        <v>1</v>
      </c>
      <c r="D5841" s="11">
        <v>42370</v>
      </c>
      <c r="E5841" t="s">
        <v>2173</v>
      </c>
      <c r="F5841">
        <v>5</v>
      </c>
      <c r="G5841" t="s">
        <v>55</v>
      </c>
      <c r="H5841" t="s">
        <v>47</v>
      </c>
      <c r="I5841" t="s">
        <v>2195</v>
      </c>
      <c r="J5841" s="10">
        <v>0</v>
      </c>
      <c r="K5841" t="b">
        <v>1</v>
      </c>
    </row>
    <row r="5842" spans="1:11">
      <c r="A5842" s="12">
        <v>42371</v>
      </c>
      <c r="B5842">
        <v>2016</v>
      </c>
      <c r="C5842">
        <v>1</v>
      </c>
      <c r="D5842" s="11">
        <v>42370</v>
      </c>
      <c r="E5842" t="s">
        <v>2173</v>
      </c>
      <c r="F5842">
        <v>6</v>
      </c>
      <c r="G5842" t="s">
        <v>57</v>
      </c>
      <c r="H5842" t="s">
        <v>40</v>
      </c>
      <c r="I5842" t="s">
        <v>2188</v>
      </c>
      <c r="J5842" s="10">
        <v>0.34</v>
      </c>
      <c r="K5842" t="b">
        <v>1</v>
      </c>
    </row>
    <row r="5843" spans="1:11">
      <c r="A5843" s="12">
        <v>42371</v>
      </c>
      <c r="B5843">
        <v>2016</v>
      </c>
      <c r="C5843">
        <v>1</v>
      </c>
      <c r="D5843" s="11">
        <v>42370</v>
      </c>
      <c r="E5843" t="s">
        <v>2173</v>
      </c>
      <c r="F5843">
        <v>6</v>
      </c>
      <c r="G5843" t="s">
        <v>57</v>
      </c>
      <c r="H5843" t="s">
        <v>41</v>
      </c>
      <c r="I5843" t="s">
        <v>2189</v>
      </c>
      <c r="J5843" s="10">
        <v>1.02</v>
      </c>
      <c r="K5843" t="b">
        <v>1</v>
      </c>
    </row>
    <row r="5844" spans="1:11">
      <c r="A5844" s="12">
        <v>42371</v>
      </c>
      <c r="B5844">
        <v>2016</v>
      </c>
      <c r="C5844">
        <v>1</v>
      </c>
      <c r="D5844" s="11">
        <v>42370</v>
      </c>
      <c r="E5844" t="s">
        <v>2173</v>
      </c>
      <c r="F5844">
        <v>6</v>
      </c>
      <c r="G5844" t="s">
        <v>57</v>
      </c>
      <c r="H5844" t="s">
        <v>42</v>
      </c>
      <c r="I5844" t="s">
        <v>2190</v>
      </c>
      <c r="J5844" s="10">
        <v>1</v>
      </c>
      <c r="K5844" t="b">
        <v>1</v>
      </c>
    </row>
    <row r="5845" spans="1:11">
      <c r="A5845" s="12">
        <v>42371</v>
      </c>
      <c r="B5845">
        <v>2016</v>
      </c>
      <c r="C5845">
        <v>1</v>
      </c>
      <c r="D5845" s="11">
        <v>42370</v>
      </c>
      <c r="E5845" t="s">
        <v>2173</v>
      </c>
      <c r="F5845">
        <v>6</v>
      </c>
      <c r="G5845" t="s">
        <v>57</v>
      </c>
      <c r="H5845" t="s">
        <v>43</v>
      </c>
      <c r="I5845" t="s">
        <v>2191</v>
      </c>
      <c r="J5845" s="10">
        <v>51.2</v>
      </c>
      <c r="K5845" t="b">
        <v>1</v>
      </c>
    </row>
    <row r="5846" spans="1:11">
      <c r="A5846" s="12">
        <v>42371</v>
      </c>
      <c r="B5846">
        <v>2016</v>
      </c>
      <c r="C5846">
        <v>1</v>
      </c>
      <c r="D5846" s="11">
        <v>42370</v>
      </c>
      <c r="E5846" t="s">
        <v>2173</v>
      </c>
      <c r="F5846">
        <v>6</v>
      </c>
      <c r="G5846" t="s">
        <v>57</v>
      </c>
      <c r="H5846" t="s">
        <v>44</v>
      </c>
      <c r="I5846" t="s">
        <v>2192</v>
      </c>
      <c r="J5846" s="10">
        <v>0</v>
      </c>
      <c r="K5846" t="b">
        <v>1</v>
      </c>
    </row>
    <row r="5847" spans="1:11">
      <c r="A5847" s="12">
        <v>42371</v>
      </c>
      <c r="B5847">
        <v>2016</v>
      </c>
      <c r="C5847">
        <v>1</v>
      </c>
      <c r="D5847" s="11">
        <v>42370</v>
      </c>
      <c r="E5847" t="s">
        <v>2173</v>
      </c>
      <c r="F5847">
        <v>6</v>
      </c>
      <c r="G5847" t="s">
        <v>57</v>
      </c>
      <c r="H5847" t="s">
        <v>45</v>
      </c>
      <c r="I5847" t="s">
        <v>2193</v>
      </c>
      <c r="J5847" s="10">
        <v>1</v>
      </c>
      <c r="K5847" t="b">
        <v>1</v>
      </c>
    </row>
    <row r="5848" spans="1:11">
      <c r="A5848" s="12">
        <v>42371</v>
      </c>
      <c r="B5848">
        <v>2016</v>
      </c>
      <c r="C5848">
        <v>1</v>
      </c>
      <c r="D5848" s="11">
        <v>42370</v>
      </c>
      <c r="E5848" t="s">
        <v>2173</v>
      </c>
      <c r="F5848">
        <v>6</v>
      </c>
      <c r="G5848" t="s">
        <v>57</v>
      </c>
      <c r="H5848" t="s">
        <v>46</v>
      </c>
      <c r="I5848" t="s">
        <v>2194</v>
      </c>
      <c r="J5848" s="10">
        <v>5</v>
      </c>
      <c r="K5848" t="b">
        <v>1</v>
      </c>
    </row>
    <row r="5849" spans="1:11">
      <c r="A5849" s="12">
        <v>42371</v>
      </c>
      <c r="B5849">
        <v>2016</v>
      </c>
      <c r="C5849">
        <v>1</v>
      </c>
      <c r="D5849" s="11">
        <v>42370</v>
      </c>
      <c r="E5849" t="s">
        <v>2173</v>
      </c>
      <c r="F5849">
        <v>6</v>
      </c>
      <c r="G5849" t="s">
        <v>57</v>
      </c>
      <c r="H5849" t="s">
        <v>47</v>
      </c>
      <c r="I5849" t="s">
        <v>2195</v>
      </c>
      <c r="J5849" s="10">
        <v>5</v>
      </c>
      <c r="K5849" t="b">
        <v>1</v>
      </c>
    </row>
    <row r="5850" spans="1:11">
      <c r="A5850" s="12">
        <v>42372</v>
      </c>
      <c r="B5850">
        <v>2016</v>
      </c>
      <c r="C5850">
        <v>1</v>
      </c>
      <c r="D5850" s="11">
        <v>42370</v>
      </c>
      <c r="E5850" t="s">
        <v>2173</v>
      </c>
      <c r="F5850">
        <v>7</v>
      </c>
      <c r="G5850" t="s">
        <v>59</v>
      </c>
      <c r="H5850" t="s">
        <v>40</v>
      </c>
      <c r="I5850" t="s">
        <v>2188</v>
      </c>
      <c r="J5850" s="10">
        <v>4</v>
      </c>
      <c r="K5850" t="b">
        <v>1</v>
      </c>
    </row>
    <row r="5851" spans="1:11">
      <c r="A5851" s="12">
        <v>42372</v>
      </c>
      <c r="B5851">
        <v>2016</v>
      </c>
      <c r="C5851">
        <v>1</v>
      </c>
      <c r="D5851" s="11">
        <v>42370</v>
      </c>
      <c r="E5851" t="s">
        <v>2173</v>
      </c>
      <c r="F5851">
        <v>7</v>
      </c>
      <c r="G5851" t="s">
        <v>59</v>
      </c>
      <c r="H5851" t="s">
        <v>41</v>
      </c>
      <c r="I5851" t="s">
        <v>2189</v>
      </c>
      <c r="J5851" s="10">
        <v>4</v>
      </c>
      <c r="K5851" t="b">
        <v>1</v>
      </c>
    </row>
    <row r="5852" spans="1:11">
      <c r="A5852" s="12">
        <v>42372</v>
      </c>
      <c r="B5852">
        <v>2016</v>
      </c>
      <c r="C5852">
        <v>1</v>
      </c>
      <c r="D5852" s="11">
        <v>42370</v>
      </c>
      <c r="E5852" t="s">
        <v>2173</v>
      </c>
      <c r="F5852">
        <v>7</v>
      </c>
      <c r="G5852" t="s">
        <v>59</v>
      </c>
      <c r="H5852" t="s">
        <v>42</v>
      </c>
      <c r="I5852" t="s">
        <v>2190</v>
      </c>
      <c r="J5852" s="10">
        <v>2.5</v>
      </c>
      <c r="K5852" t="b">
        <v>1</v>
      </c>
    </row>
    <row r="5853" spans="1:11">
      <c r="A5853" s="12">
        <v>42372</v>
      </c>
      <c r="B5853">
        <v>2016</v>
      </c>
      <c r="C5853">
        <v>1</v>
      </c>
      <c r="D5853" s="11">
        <v>42370</v>
      </c>
      <c r="E5853" t="s">
        <v>2173</v>
      </c>
      <c r="F5853">
        <v>7</v>
      </c>
      <c r="G5853" t="s">
        <v>59</v>
      </c>
      <c r="H5853" t="s">
        <v>43</v>
      </c>
      <c r="I5853" t="s">
        <v>2191</v>
      </c>
      <c r="J5853" s="10">
        <v>56.1</v>
      </c>
      <c r="K5853" t="b">
        <v>1</v>
      </c>
    </row>
    <row r="5854" spans="1:11">
      <c r="A5854" s="12">
        <v>42372</v>
      </c>
      <c r="B5854">
        <v>2016</v>
      </c>
      <c r="C5854">
        <v>1</v>
      </c>
      <c r="D5854" s="11">
        <v>42370</v>
      </c>
      <c r="E5854" t="s">
        <v>2173</v>
      </c>
      <c r="F5854">
        <v>7</v>
      </c>
      <c r="G5854" t="s">
        <v>59</v>
      </c>
      <c r="H5854" t="s">
        <v>44</v>
      </c>
      <c r="I5854" t="s">
        <v>2192</v>
      </c>
      <c r="J5854" s="10">
        <v>1</v>
      </c>
      <c r="K5854" t="b">
        <v>1</v>
      </c>
    </row>
    <row r="5855" spans="1:11">
      <c r="A5855" s="12">
        <v>42372</v>
      </c>
      <c r="B5855">
        <v>2016</v>
      </c>
      <c r="C5855">
        <v>1</v>
      </c>
      <c r="D5855" s="11">
        <v>42370</v>
      </c>
      <c r="E5855" t="s">
        <v>2173</v>
      </c>
      <c r="F5855">
        <v>7</v>
      </c>
      <c r="G5855" t="s">
        <v>59</v>
      </c>
      <c r="H5855" t="s">
        <v>45</v>
      </c>
      <c r="I5855" t="s">
        <v>2193</v>
      </c>
      <c r="J5855" s="10">
        <v>0</v>
      </c>
      <c r="K5855" t="b">
        <v>1</v>
      </c>
    </row>
    <row r="5856" spans="1:11">
      <c r="A5856" s="12">
        <v>42372</v>
      </c>
      <c r="B5856">
        <v>2016</v>
      </c>
      <c r="C5856">
        <v>1</v>
      </c>
      <c r="D5856" s="11">
        <v>42370</v>
      </c>
      <c r="E5856" t="s">
        <v>2173</v>
      </c>
      <c r="F5856">
        <v>7</v>
      </c>
      <c r="G5856" t="s">
        <v>59</v>
      </c>
      <c r="H5856" t="s">
        <v>46</v>
      </c>
      <c r="I5856" t="s">
        <v>2194</v>
      </c>
      <c r="J5856" s="10">
        <v>5</v>
      </c>
      <c r="K5856" t="b">
        <v>1</v>
      </c>
    </row>
    <row r="5857" spans="1:11">
      <c r="A5857" s="12">
        <v>42372</v>
      </c>
      <c r="B5857">
        <v>2016</v>
      </c>
      <c r="C5857">
        <v>1</v>
      </c>
      <c r="D5857" s="11">
        <v>42370</v>
      </c>
      <c r="E5857" t="s">
        <v>2173</v>
      </c>
      <c r="F5857">
        <v>7</v>
      </c>
      <c r="G5857" t="s">
        <v>59</v>
      </c>
      <c r="H5857" t="s">
        <v>47</v>
      </c>
      <c r="I5857" t="s">
        <v>2195</v>
      </c>
      <c r="J5857" s="10">
        <v>1</v>
      </c>
      <c r="K5857" t="b">
        <v>1</v>
      </c>
    </row>
    <row r="5858" spans="1:11">
      <c r="A5858" s="12">
        <v>42373</v>
      </c>
      <c r="B5858">
        <v>2016</v>
      </c>
      <c r="C5858">
        <v>1</v>
      </c>
      <c r="D5858" s="11">
        <v>42370</v>
      </c>
      <c r="E5858" t="s">
        <v>2173</v>
      </c>
      <c r="F5858">
        <v>1</v>
      </c>
      <c r="G5858" t="s">
        <v>61</v>
      </c>
      <c r="H5858" t="s">
        <v>40</v>
      </c>
      <c r="I5858" t="s">
        <v>2188</v>
      </c>
      <c r="J5858" s="10">
        <v>7.33</v>
      </c>
      <c r="K5858" t="b">
        <v>1</v>
      </c>
    </row>
    <row r="5859" spans="1:11">
      <c r="A5859" s="12">
        <v>42373</v>
      </c>
      <c r="B5859">
        <v>2016</v>
      </c>
      <c r="C5859">
        <v>1</v>
      </c>
      <c r="D5859" s="11">
        <v>42370</v>
      </c>
      <c r="E5859" t="s">
        <v>2173</v>
      </c>
      <c r="F5859">
        <v>1</v>
      </c>
      <c r="G5859" t="s">
        <v>61</v>
      </c>
      <c r="H5859" t="s">
        <v>41</v>
      </c>
      <c r="I5859" t="s">
        <v>2189</v>
      </c>
      <c r="J5859" s="10">
        <v>5.99</v>
      </c>
      <c r="K5859" t="b">
        <v>1</v>
      </c>
    </row>
    <row r="5860" spans="1:11">
      <c r="A5860" s="12">
        <v>42373</v>
      </c>
      <c r="B5860">
        <v>2016</v>
      </c>
      <c r="C5860">
        <v>1</v>
      </c>
      <c r="D5860" s="11">
        <v>42370</v>
      </c>
      <c r="E5860" t="s">
        <v>2173</v>
      </c>
      <c r="F5860">
        <v>1</v>
      </c>
      <c r="G5860" t="s">
        <v>61</v>
      </c>
      <c r="H5860" t="s">
        <v>42</v>
      </c>
      <c r="I5860" t="s">
        <v>2190</v>
      </c>
      <c r="J5860" s="10">
        <v>6</v>
      </c>
      <c r="K5860" t="b">
        <v>1</v>
      </c>
    </row>
    <row r="5861" spans="1:11">
      <c r="A5861" s="12">
        <v>42373</v>
      </c>
      <c r="B5861">
        <v>2016</v>
      </c>
      <c r="C5861">
        <v>1</v>
      </c>
      <c r="D5861" s="11">
        <v>42370</v>
      </c>
      <c r="E5861" t="s">
        <v>2173</v>
      </c>
      <c r="F5861">
        <v>1</v>
      </c>
      <c r="G5861" t="s">
        <v>61</v>
      </c>
      <c r="H5861" t="s">
        <v>43</v>
      </c>
      <c r="I5861" t="s">
        <v>2191</v>
      </c>
      <c r="J5861" s="10">
        <v>46.6</v>
      </c>
      <c r="K5861" t="b">
        <v>1</v>
      </c>
    </row>
    <row r="5862" spans="1:11">
      <c r="A5862" s="12">
        <v>42373</v>
      </c>
      <c r="B5862">
        <v>2016</v>
      </c>
      <c r="C5862">
        <v>1</v>
      </c>
      <c r="D5862" s="11">
        <v>42370</v>
      </c>
      <c r="E5862" t="s">
        <v>2173</v>
      </c>
      <c r="F5862">
        <v>1</v>
      </c>
      <c r="G5862" t="s">
        <v>61</v>
      </c>
      <c r="H5862" t="s">
        <v>44</v>
      </c>
      <c r="I5862" t="s">
        <v>2192</v>
      </c>
      <c r="J5862" s="10">
        <v>6</v>
      </c>
      <c r="K5862" t="b">
        <v>1</v>
      </c>
    </row>
    <row r="5863" spans="1:11">
      <c r="A5863" s="12">
        <v>42373</v>
      </c>
      <c r="B5863">
        <v>2016</v>
      </c>
      <c r="C5863">
        <v>1</v>
      </c>
      <c r="D5863" s="11">
        <v>42370</v>
      </c>
      <c r="E5863" t="s">
        <v>2173</v>
      </c>
      <c r="F5863">
        <v>1</v>
      </c>
      <c r="G5863" t="s">
        <v>61</v>
      </c>
      <c r="H5863" t="s">
        <v>45</v>
      </c>
      <c r="I5863" t="s">
        <v>2193</v>
      </c>
      <c r="J5863" s="10">
        <v>0</v>
      </c>
      <c r="K5863" t="b">
        <v>1</v>
      </c>
    </row>
    <row r="5864" spans="1:11">
      <c r="A5864" s="12">
        <v>42373</v>
      </c>
      <c r="B5864">
        <v>2016</v>
      </c>
      <c r="C5864">
        <v>1</v>
      </c>
      <c r="D5864" s="11">
        <v>42370</v>
      </c>
      <c r="E5864" t="s">
        <v>2173</v>
      </c>
      <c r="F5864">
        <v>1</v>
      </c>
      <c r="G5864" t="s">
        <v>61</v>
      </c>
      <c r="H5864" t="s">
        <v>46</v>
      </c>
      <c r="I5864" t="s">
        <v>2194</v>
      </c>
      <c r="J5864" s="10">
        <v>12</v>
      </c>
      <c r="K5864" t="b">
        <v>1</v>
      </c>
    </row>
    <row r="5865" spans="1:11">
      <c r="A5865" s="12">
        <v>42373</v>
      </c>
      <c r="B5865">
        <v>2016</v>
      </c>
      <c r="C5865">
        <v>1</v>
      </c>
      <c r="D5865" s="11">
        <v>42370</v>
      </c>
      <c r="E5865" t="s">
        <v>2173</v>
      </c>
      <c r="F5865">
        <v>1</v>
      </c>
      <c r="G5865" t="s">
        <v>61</v>
      </c>
      <c r="H5865" t="s">
        <v>47</v>
      </c>
      <c r="I5865" t="s">
        <v>2195</v>
      </c>
      <c r="J5865" s="10">
        <v>1</v>
      </c>
      <c r="K5865" t="b">
        <v>1</v>
      </c>
    </row>
    <row r="5866" spans="1:11">
      <c r="A5866" s="12">
        <v>42374</v>
      </c>
      <c r="B5866">
        <v>2016</v>
      </c>
      <c r="C5866">
        <v>1</v>
      </c>
      <c r="D5866" s="11">
        <v>42370</v>
      </c>
      <c r="E5866" t="s">
        <v>2173</v>
      </c>
      <c r="F5866">
        <v>2</v>
      </c>
      <c r="G5866" t="s">
        <v>63</v>
      </c>
      <c r="H5866" t="s">
        <v>40</v>
      </c>
      <c r="I5866" t="s">
        <v>2188</v>
      </c>
      <c r="J5866" s="10">
        <v>5.33</v>
      </c>
      <c r="K5866" t="b">
        <v>1</v>
      </c>
    </row>
    <row r="5867" spans="1:11">
      <c r="A5867" s="12">
        <v>42374</v>
      </c>
      <c r="B5867">
        <v>2016</v>
      </c>
      <c r="C5867">
        <v>1</v>
      </c>
      <c r="D5867" s="11">
        <v>42370</v>
      </c>
      <c r="E5867" t="s">
        <v>2173</v>
      </c>
      <c r="F5867">
        <v>2</v>
      </c>
      <c r="G5867" t="s">
        <v>63</v>
      </c>
      <c r="H5867" t="s">
        <v>41</v>
      </c>
      <c r="I5867" t="s">
        <v>2189</v>
      </c>
      <c r="J5867" s="10">
        <v>5.99</v>
      </c>
      <c r="K5867" t="b">
        <v>1</v>
      </c>
    </row>
    <row r="5868" spans="1:11">
      <c r="A5868" s="12">
        <v>42374</v>
      </c>
      <c r="B5868">
        <v>2016</v>
      </c>
      <c r="C5868">
        <v>1</v>
      </c>
      <c r="D5868" s="11">
        <v>42370</v>
      </c>
      <c r="E5868" t="s">
        <v>2173</v>
      </c>
      <c r="F5868">
        <v>2</v>
      </c>
      <c r="G5868" t="s">
        <v>63</v>
      </c>
      <c r="H5868" t="s">
        <v>42</v>
      </c>
      <c r="I5868" t="s">
        <v>2190</v>
      </c>
      <c r="J5868" s="10">
        <v>4.6</v>
      </c>
      <c r="K5868" t="b">
        <v>1</v>
      </c>
    </row>
    <row r="5869" spans="1:11">
      <c r="A5869" s="12">
        <v>42374</v>
      </c>
      <c r="B5869">
        <v>2016</v>
      </c>
      <c r="C5869">
        <v>1</v>
      </c>
      <c r="D5869" s="11">
        <v>42370</v>
      </c>
      <c r="E5869" t="s">
        <v>2173</v>
      </c>
      <c r="F5869">
        <v>2</v>
      </c>
      <c r="G5869" t="s">
        <v>63</v>
      </c>
      <c r="H5869" t="s">
        <v>43</v>
      </c>
      <c r="I5869" t="s">
        <v>2191</v>
      </c>
      <c r="J5869" s="10">
        <v>38.6</v>
      </c>
      <c r="K5869" t="b">
        <v>1</v>
      </c>
    </row>
    <row r="5870" spans="1:11">
      <c r="A5870" s="12">
        <v>42374</v>
      </c>
      <c r="B5870">
        <v>2016</v>
      </c>
      <c r="C5870">
        <v>1</v>
      </c>
      <c r="D5870" s="11">
        <v>42370</v>
      </c>
      <c r="E5870" t="s">
        <v>2173</v>
      </c>
      <c r="F5870">
        <v>2</v>
      </c>
      <c r="G5870" t="s">
        <v>63</v>
      </c>
      <c r="H5870" t="s">
        <v>44</v>
      </c>
      <c r="I5870" t="s">
        <v>2192</v>
      </c>
      <c r="J5870" s="10">
        <v>15</v>
      </c>
      <c r="K5870" t="b">
        <v>1</v>
      </c>
    </row>
    <row r="5871" spans="1:11">
      <c r="A5871" s="12">
        <v>42374</v>
      </c>
      <c r="B5871">
        <v>2016</v>
      </c>
      <c r="C5871">
        <v>1</v>
      </c>
      <c r="D5871" s="11">
        <v>42370</v>
      </c>
      <c r="E5871" t="s">
        <v>2173</v>
      </c>
      <c r="F5871">
        <v>2</v>
      </c>
      <c r="G5871" t="s">
        <v>63</v>
      </c>
      <c r="H5871" t="s">
        <v>45</v>
      </c>
      <c r="I5871" t="s">
        <v>2193</v>
      </c>
      <c r="J5871" s="10">
        <v>0</v>
      </c>
      <c r="K5871" t="b">
        <v>1</v>
      </c>
    </row>
    <row r="5872" spans="1:11">
      <c r="A5872" s="12">
        <v>42374</v>
      </c>
      <c r="B5872">
        <v>2016</v>
      </c>
      <c r="C5872">
        <v>1</v>
      </c>
      <c r="D5872" s="11">
        <v>42370</v>
      </c>
      <c r="E5872" t="s">
        <v>2173</v>
      </c>
      <c r="F5872">
        <v>2</v>
      </c>
      <c r="G5872" t="s">
        <v>63</v>
      </c>
      <c r="H5872" t="s">
        <v>46</v>
      </c>
      <c r="I5872" t="s">
        <v>2194</v>
      </c>
      <c r="J5872" s="10">
        <v>5</v>
      </c>
      <c r="K5872" t="b">
        <v>1</v>
      </c>
    </row>
    <row r="5873" spans="1:11">
      <c r="A5873" s="12">
        <v>42374</v>
      </c>
      <c r="B5873">
        <v>2016</v>
      </c>
      <c r="C5873">
        <v>1</v>
      </c>
      <c r="D5873" s="11">
        <v>42370</v>
      </c>
      <c r="E5873" t="s">
        <v>2173</v>
      </c>
      <c r="F5873">
        <v>2</v>
      </c>
      <c r="G5873" t="s">
        <v>63</v>
      </c>
      <c r="H5873" t="s">
        <v>47</v>
      </c>
      <c r="I5873" t="s">
        <v>2195</v>
      </c>
      <c r="J5873" s="10">
        <v>1</v>
      </c>
      <c r="K5873" t="b">
        <v>1</v>
      </c>
    </row>
    <row r="5874" spans="1:11">
      <c r="A5874" s="12">
        <v>42375</v>
      </c>
      <c r="B5874">
        <v>2016</v>
      </c>
      <c r="C5874">
        <v>1</v>
      </c>
      <c r="D5874" s="11">
        <v>42370</v>
      </c>
      <c r="E5874" t="s">
        <v>2173</v>
      </c>
      <c r="F5874">
        <v>3</v>
      </c>
      <c r="G5874" t="s">
        <v>65</v>
      </c>
      <c r="H5874" t="s">
        <v>40</v>
      </c>
      <c r="I5874" t="s">
        <v>2188</v>
      </c>
      <c r="J5874" s="10">
        <v>6.66</v>
      </c>
      <c r="K5874" t="b">
        <v>1</v>
      </c>
    </row>
    <row r="5875" spans="1:11">
      <c r="A5875" s="12">
        <v>42375</v>
      </c>
      <c r="B5875">
        <v>2016</v>
      </c>
      <c r="C5875">
        <v>1</v>
      </c>
      <c r="D5875" s="11">
        <v>42370</v>
      </c>
      <c r="E5875" t="s">
        <v>2173</v>
      </c>
      <c r="F5875">
        <v>3</v>
      </c>
      <c r="G5875" t="s">
        <v>65</v>
      </c>
      <c r="H5875" t="s">
        <v>41</v>
      </c>
      <c r="I5875" t="s">
        <v>2189</v>
      </c>
      <c r="J5875" s="10">
        <v>3</v>
      </c>
      <c r="K5875" t="b">
        <v>1</v>
      </c>
    </row>
    <row r="5876" spans="1:11">
      <c r="A5876" s="12">
        <v>42375</v>
      </c>
      <c r="B5876">
        <v>2016</v>
      </c>
      <c r="C5876">
        <v>1</v>
      </c>
      <c r="D5876" s="11">
        <v>42370</v>
      </c>
      <c r="E5876" t="s">
        <v>2173</v>
      </c>
      <c r="F5876">
        <v>3</v>
      </c>
      <c r="G5876" t="s">
        <v>65</v>
      </c>
      <c r="H5876" t="s">
        <v>42</v>
      </c>
      <c r="I5876" t="s">
        <v>2190</v>
      </c>
      <c r="J5876" s="10">
        <v>6</v>
      </c>
      <c r="K5876" t="b">
        <v>1</v>
      </c>
    </row>
    <row r="5877" spans="1:11">
      <c r="A5877" s="12">
        <v>42375</v>
      </c>
      <c r="B5877">
        <v>2016</v>
      </c>
      <c r="C5877">
        <v>1</v>
      </c>
      <c r="D5877" s="11">
        <v>42370</v>
      </c>
      <c r="E5877" t="s">
        <v>2173</v>
      </c>
      <c r="F5877">
        <v>3</v>
      </c>
      <c r="G5877" t="s">
        <v>65</v>
      </c>
      <c r="H5877" t="s">
        <v>43</v>
      </c>
      <c r="I5877" t="s">
        <v>2191</v>
      </c>
      <c r="J5877" s="10">
        <v>61.9</v>
      </c>
      <c r="K5877" t="b">
        <v>1</v>
      </c>
    </row>
    <row r="5878" spans="1:11">
      <c r="A5878" s="12">
        <v>42375</v>
      </c>
      <c r="B5878">
        <v>2016</v>
      </c>
      <c r="C5878">
        <v>1</v>
      </c>
      <c r="D5878" s="11">
        <v>42370</v>
      </c>
      <c r="E5878" t="s">
        <v>2173</v>
      </c>
      <c r="F5878">
        <v>3</v>
      </c>
      <c r="G5878" t="s">
        <v>65</v>
      </c>
      <c r="H5878" t="s">
        <v>44</v>
      </c>
      <c r="I5878" t="s">
        <v>2192</v>
      </c>
      <c r="J5878" s="10">
        <v>2</v>
      </c>
      <c r="K5878" t="b">
        <v>1</v>
      </c>
    </row>
    <row r="5879" spans="1:11">
      <c r="A5879" s="12">
        <v>42375</v>
      </c>
      <c r="B5879">
        <v>2016</v>
      </c>
      <c r="C5879">
        <v>1</v>
      </c>
      <c r="D5879" s="11">
        <v>42370</v>
      </c>
      <c r="E5879" t="s">
        <v>2173</v>
      </c>
      <c r="F5879">
        <v>3</v>
      </c>
      <c r="G5879" t="s">
        <v>65</v>
      </c>
      <c r="H5879" t="s">
        <v>45</v>
      </c>
      <c r="I5879" t="s">
        <v>2193</v>
      </c>
      <c r="J5879" s="10">
        <v>0</v>
      </c>
      <c r="K5879" t="b">
        <v>1</v>
      </c>
    </row>
    <row r="5880" spans="1:11">
      <c r="A5880" s="12">
        <v>42375</v>
      </c>
      <c r="B5880">
        <v>2016</v>
      </c>
      <c r="C5880">
        <v>1</v>
      </c>
      <c r="D5880" s="11">
        <v>42370</v>
      </c>
      <c r="E5880" t="s">
        <v>2173</v>
      </c>
      <c r="F5880">
        <v>3</v>
      </c>
      <c r="G5880" t="s">
        <v>65</v>
      </c>
      <c r="H5880" t="s">
        <v>46</v>
      </c>
      <c r="I5880" t="s">
        <v>2194</v>
      </c>
      <c r="J5880" s="10">
        <v>12</v>
      </c>
      <c r="K5880" t="b">
        <v>1</v>
      </c>
    </row>
    <row r="5881" spans="1:11">
      <c r="A5881" s="12">
        <v>42375</v>
      </c>
      <c r="B5881">
        <v>2016</v>
      </c>
      <c r="C5881">
        <v>1</v>
      </c>
      <c r="D5881" s="11">
        <v>42370</v>
      </c>
      <c r="E5881" t="s">
        <v>2173</v>
      </c>
      <c r="F5881">
        <v>3</v>
      </c>
      <c r="G5881" t="s">
        <v>65</v>
      </c>
      <c r="H5881" t="s">
        <v>47</v>
      </c>
      <c r="I5881" t="s">
        <v>2195</v>
      </c>
      <c r="J5881" s="10">
        <v>2</v>
      </c>
      <c r="K5881" t="b">
        <v>1</v>
      </c>
    </row>
    <row r="5882" spans="1:11">
      <c r="A5882" s="12">
        <v>42376</v>
      </c>
      <c r="B5882">
        <v>2016</v>
      </c>
      <c r="C5882">
        <v>1</v>
      </c>
      <c r="D5882" s="11">
        <v>42370</v>
      </c>
      <c r="E5882" t="s">
        <v>2173</v>
      </c>
      <c r="F5882">
        <v>4</v>
      </c>
      <c r="G5882" t="s">
        <v>53</v>
      </c>
      <c r="H5882" t="s">
        <v>40</v>
      </c>
      <c r="I5882" t="s">
        <v>2188</v>
      </c>
      <c r="J5882" s="10">
        <v>0</v>
      </c>
      <c r="K5882" t="b">
        <v>1</v>
      </c>
    </row>
    <row r="5883" spans="1:11">
      <c r="A5883" s="12">
        <v>42376</v>
      </c>
      <c r="B5883">
        <v>2016</v>
      </c>
      <c r="C5883">
        <v>1</v>
      </c>
      <c r="D5883" s="11">
        <v>42370</v>
      </c>
      <c r="E5883" t="s">
        <v>2173</v>
      </c>
      <c r="F5883">
        <v>4</v>
      </c>
      <c r="G5883" t="s">
        <v>53</v>
      </c>
      <c r="H5883" t="s">
        <v>41</v>
      </c>
      <c r="I5883" t="s">
        <v>2189</v>
      </c>
      <c r="J5883" s="10">
        <v>0</v>
      </c>
      <c r="K5883" t="b">
        <v>1</v>
      </c>
    </row>
    <row r="5884" spans="1:11">
      <c r="A5884" s="12">
        <v>42376</v>
      </c>
      <c r="B5884">
        <v>2016</v>
      </c>
      <c r="C5884">
        <v>1</v>
      </c>
      <c r="D5884" s="11">
        <v>42370</v>
      </c>
      <c r="E5884" t="s">
        <v>2173</v>
      </c>
      <c r="F5884">
        <v>4</v>
      </c>
      <c r="G5884" t="s">
        <v>53</v>
      </c>
      <c r="H5884" t="s">
        <v>42</v>
      </c>
      <c r="I5884" t="s">
        <v>2190</v>
      </c>
      <c r="J5884" s="10">
        <v>0</v>
      </c>
      <c r="K5884" t="b">
        <v>1</v>
      </c>
    </row>
    <row r="5885" spans="1:11">
      <c r="A5885" s="12">
        <v>42376</v>
      </c>
      <c r="B5885">
        <v>2016</v>
      </c>
      <c r="C5885">
        <v>1</v>
      </c>
      <c r="D5885" s="11">
        <v>42370</v>
      </c>
      <c r="E5885" t="s">
        <v>2173</v>
      </c>
      <c r="F5885">
        <v>4</v>
      </c>
      <c r="G5885" t="s">
        <v>53</v>
      </c>
      <c r="H5885" t="s">
        <v>43</v>
      </c>
      <c r="I5885" t="s">
        <v>2191</v>
      </c>
      <c r="J5885" s="10">
        <v>0</v>
      </c>
      <c r="K5885" t="b">
        <v>1</v>
      </c>
    </row>
    <row r="5886" spans="1:11">
      <c r="A5886" s="12">
        <v>42376</v>
      </c>
      <c r="B5886">
        <v>2016</v>
      </c>
      <c r="C5886">
        <v>1</v>
      </c>
      <c r="D5886" s="11">
        <v>42370</v>
      </c>
      <c r="E5886" t="s">
        <v>2173</v>
      </c>
      <c r="F5886">
        <v>4</v>
      </c>
      <c r="G5886" t="s">
        <v>53</v>
      </c>
      <c r="H5886" t="s">
        <v>44</v>
      </c>
      <c r="I5886" t="s">
        <v>2192</v>
      </c>
      <c r="J5886" s="10">
        <v>0</v>
      </c>
      <c r="K5886" t="b">
        <v>1</v>
      </c>
    </row>
    <row r="5887" spans="1:11">
      <c r="A5887" s="12">
        <v>42376</v>
      </c>
      <c r="B5887">
        <v>2016</v>
      </c>
      <c r="C5887">
        <v>1</v>
      </c>
      <c r="D5887" s="11">
        <v>42370</v>
      </c>
      <c r="E5887" t="s">
        <v>2173</v>
      </c>
      <c r="F5887">
        <v>4</v>
      </c>
      <c r="G5887" t="s">
        <v>53</v>
      </c>
      <c r="H5887" t="s">
        <v>45</v>
      </c>
      <c r="I5887" t="s">
        <v>2193</v>
      </c>
      <c r="J5887" s="10">
        <v>0</v>
      </c>
      <c r="K5887" t="b">
        <v>1</v>
      </c>
    </row>
    <row r="5888" spans="1:11">
      <c r="A5888" s="12">
        <v>42376</v>
      </c>
      <c r="B5888">
        <v>2016</v>
      </c>
      <c r="C5888">
        <v>1</v>
      </c>
      <c r="D5888" s="11">
        <v>42370</v>
      </c>
      <c r="E5888" t="s">
        <v>2173</v>
      </c>
      <c r="F5888">
        <v>4</v>
      </c>
      <c r="G5888" t="s">
        <v>53</v>
      </c>
      <c r="H5888" t="s">
        <v>46</v>
      </c>
      <c r="I5888" t="s">
        <v>2194</v>
      </c>
      <c r="J5888" s="10">
        <v>0</v>
      </c>
      <c r="K5888" t="b">
        <v>1</v>
      </c>
    </row>
    <row r="5889" spans="1:11">
      <c r="A5889" s="12">
        <v>42376</v>
      </c>
      <c r="B5889">
        <v>2016</v>
      </c>
      <c r="C5889">
        <v>1</v>
      </c>
      <c r="D5889" s="11">
        <v>42370</v>
      </c>
      <c r="E5889" t="s">
        <v>2173</v>
      </c>
      <c r="F5889">
        <v>4</v>
      </c>
      <c r="G5889" t="s">
        <v>53</v>
      </c>
      <c r="H5889" t="s">
        <v>47</v>
      </c>
      <c r="I5889" t="s">
        <v>2195</v>
      </c>
      <c r="J5889" s="10">
        <v>0</v>
      </c>
      <c r="K5889" t="b">
        <v>1</v>
      </c>
    </row>
    <row r="5890" spans="1:11">
      <c r="A5890" s="12">
        <v>42377</v>
      </c>
      <c r="B5890">
        <v>2016</v>
      </c>
      <c r="C5890">
        <v>1</v>
      </c>
      <c r="D5890" s="11">
        <v>42370</v>
      </c>
      <c r="E5890" t="s">
        <v>2173</v>
      </c>
      <c r="F5890">
        <v>5</v>
      </c>
      <c r="G5890" t="s">
        <v>55</v>
      </c>
      <c r="H5890" t="s">
        <v>40</v>
      </c>
      <c r="I5890" t="s">
        <v>2188</v>
      </c>
      <c r="J5890" s="10">
        <v>8</v>
      </c>
      <c r="K5890" t="b">
        <v>1</v>
      </c>
    </row>
    <row r="5891" spans="1:11">
      <c r="A5891" s="12">
        <v>42377</v>
      </c>
      <c r="B5891">
        <v>2016</v>
      </c>
      <c r="C5891">
        <v>1</v>
      </c>
      <c r="D5891" s="11">
        <v>42370</v>
      </c>
      <c r="E5891" t="s">
        <v>2173</v>
      </c>
      <c r="F5891">
        <v>5</v>
      </c>
      <c r="G5891" t="s">
        <v>55</v>
      </c>
      <c r="H5891" t="s">
        <v>41</v>
      </c>
      <c r="I5891" t="s">
        <v>2189</v>
      </c>
      <c r="J5891" s="10">
        <v>3.463</v>
      </c>
      <c r="K5891" t="b">
        <v>1</v>
      </c>
    </row>
    <row r="5892" spans="1:11">
      <c r="A5892" s="12">
        <v>42377</v>
      </c>
      <c r="B5892">
        <v>2016</v>
      </c>
      <c r="C5892">
        <v>1</v>
      </c>
      <c r="D5892" s="11">
        <v>42370</v>
      </c>
      <c r="E5892" t="s">
        <v>2173</v>
      </c>
      <c r="F5892">
        <v>5</v>
      </c>
      <c r="G5892" t="s">
        <v>55</v>
      </c>
      <c r="H5892" t="s">
        <v>42</v>
      </c>
      <c r="I5892" t="s">
        <v>2190</v>
      </c>
      <c r="J5892" s="10">
        <v>7.7</v>
      </c>
      <c r="K5892" t="b">
        <v>1</v>
      </c>
    </row>
    <row r="5893" spans="1:11">
      <c r="A5893" s="12">
        <v>42377</v>
      </c>
      <c r="B5893">
        <v>2016</v>
      </c>
      <c r="C5893">
        <v>1</v>
      </c>
      <c r="D5893" s="11">
        <v>42370</v>
      </c>
      <c r="E5893" t="s">
        <v>2173</v>
      </c>
      <c r="F5893">
        <v>5</v>
      </c>
      <c r="G5893" t="s">
        <v>55</v>
      </c>
      <c r="H5893" t="s">
        <v>43</v>
      </c>
      <c r="I5893" t="s">
        <v>2191</v>
      </c>
      <c r="J5893" s="10">
        <v>39.2</v>
      </c>
      <c r="K5893" t="b">
        <v>1</v>
      </c>
    </row>
    <row r="5894" spans="1:11">
      <c r="A5894" s="12">
        <v>42377</v>
      </c>
      <c r="B5894">
        <v>2016</v>
      </c>
      <c r="C5894">
        <v>1</v>
      </c>
      <c r="D5894" s="11">
        <v>42370</v>
      </c>
      <c r="E5894" t="s">
        <v>2173</v>
      </c>
      <c r="F5894">
        <v>5</v>
      </c>
      <c r="G5894" t="s">
        <v>55</v>
      </c>
      <c r="H5894" t="s">
        <v>44</v>
      </c>
      <c r="I5894" t="s">
        <v>2192</v>
      </c>
      <c r="J5894" s="10">
        <v>8</v>
      </c>
      <c r="K5894" t="b">
        <v>1</v>
      </c>
    </row>
    <row r="5895" spans="1:11">
      <c r="A5895" s="12">
        <v>42377</v>
      </c>
      <c r="B5895">
        <v>2016</v>
      </c>
      <c r="C5895">
        <v>1</v>
      </c>
      <c r="D5895" s="11">
        <v>42370</v>
      </c>
      <c r="E5895" t="s">
        <v>2173</v>
      </c>
      <c r="F5895">
        <v>5</v>
      </c>
      <c r="G5895" t="s">
        <v>55</v>
      </c>
      <c r="H5895" t="s">
        <v>45</v>
      </c>
      <c r="I5895" t="s">
        <v>2193</v>
      </c>
      <c r="J5895" s="10">
        <v>3</v>
      </c>
      <c r="K5895" t="b">
        <v>1</v>
      </c>
    </row>
    <row r="5896" spans="1:11">
      <c r="A5896" s="12">
        <v>42377</v>
      </c>
      <c r="B5896">
        <v>2016</v>
      </c>
      <c r="C5896">
        <v>1</v>
      </c>
      <c r="D5896" s="11">
        <v>42370</v>
      </c>
      <c r="E5896" t="s">
        <v>2173</v>
      </c>
      <c r="F5896">
        <v>5</v>
      </c>
      <c r="G5896" t="s">
        <v>55</v>
      </c>
      <c r="H5896" t="s">
        <v>46</v>
      </c>
      <c r="I5896" t="s">
        <v>2194</v>
      </c>
      <c r="J5896" s="10">
        <v>2</v>
      </c>
      <c r="K5896" t="b">
        <v>1</v>
      </c>
    </row>
    <row r="5897" spans="1:11">
      <c r="A5897" s="12">
        <v>42377</v>
      </c>
      <c r="B5897">
        <v>2016</v>
      </c>
      <c r="C5897">
        <v>1</v>
      </c>
      <c r="D5897" s="11">
        <v>42370</v>
      </c>
      <c r="E5897" t="s">
        <v>2173</v>
      </c>
      <c r="F5897">
        <v>5</v>
      </c>
      <c r="G5897" t="s">
        <v>55</v>
      </c>
      <c r="H5897" t="s">
        <v>47</v>
      </c>
      <c r="I5897" t="s">
        <v>2195</v>
      </c>
      <c r="J5897" s="10">
        <v>2</v>
      </c>
      <c r="K5897" t="b">
        <v>1</v>
      </c>
    </row>
    <row r="5898" spans="1:11">
      <c r="A5898" s="12">
        <v>42378</v>
      </c>
      <c r="B5898">
        <v>2016</v>
      </c>
      <c r="C5898">
        <v>1</v>
      </c>
      <c r="D5898" s="11">
        <v>42370</v>
      </c>
      <c r="E5898" t="s">
        <v>2173</v>
      </c>
      <c r="F5898">
        <v>6</v>
      </c>
      <c r="G5898" t="s">
        <v>57</v>
      </c>
      <c r="H5898" t="s">
        <v>40</v>
      </c>
      <c r="I5898" t="s">
        <v>2188</v>
      </c>
      <c r="J5898" s="10">
        <v>7.33</v>
      </c>
      <c r="K5898" t="b">
        <v>1</v>
      </c>
    </row>
    <row r="5899" spans="1:11">
      <c r="A5899" s="12">
        <v>42378</v>
      </c>
      <c r="B5899">
        <v>2016</v>
      </c>
      <c r="C5899">
        <v>1</v>
      </c>
      <c r="D5899" s="11">
        <v>42370</v>
      </c>
      <c r="E5899" t="s">
        <v>2173</v>
      </c>
      <c r="F5899">
        <v>6</v>
      </c>
      <c r="G5899" t="s">
        <v>57</v>
      </c>
      <c r="H5899" t="s">
        <v>41</v>
      </c>
      <c r="I5899" t="s">
        <v>2189</v>
      </c>
      <c r="J5899" s="10">
        <v>2.66</v>
      </c>
      <c r="K5899" t="b">
        <v>1</v>
      </c>
    </row>
    <row r="5900" spans="1:11">
      <c r="A5900" s="12">
        <v>42378</v>
      </c>
      <c r="B5900">
        <v>2016</v>
      </c>
      <c r="C5900">
        <v>1</v>
      </c>
      <c r="D5900" s="11">
        <v>42370</v>
      </c>
      <c r="E5900" t="s">
        <v>2173</v>
      </c>
      <c r="F5900">
        <v>6</v>
      </c>
      <c r="G5900" t="s">
        <v>57</v>
      </c>
      <c r="H5900" t="s">
        <v>42</v>
      </c>
      <c r="I5900" t="s">
        <v>2190</v>
      </c>
      <c r="J5900" s="10">
        <v>5</v>
      </c>
      <c r="K5900" t="b">
        <v>1</v>
      </c>
    </row>
    <row r="5901" spans="1:11">
      <c r="A5901" s="12">
        <v>42378</v>
      </c>
      <c r="B5901">
        <v>2016</v>
      </c>
      <c r="C5901">
        <v>1</v>
      </c>
      <c r="D5901" s="11">
        <v>42370</v>
      </c>
      <c r="E5901" t="s">
        <v>2173</v>
      </c>
      <c r="F5901">
        <v>6</v>
      </c>
      <c r="G5901" t="s">
        <v>57</v>
      </c>
      <c r="H5901" t="s">
        <v>43</v>
      </c>
      <c r="I5901" t="s">
        <v>2191</v>
      </c>
      <c r="J5901" s="10">
        <v>88.3</v>
      </c>
      <c r="K5901" t="b">
        <v>1</v>
      </c>
    </row>
    <row r="5902" spans="1:11">
      <c r="A5902" s="12">
        <v>42378</v>
      </c>
      <c r="B5902">
        <v>2016</v>
      </c>
      <c r="C5902">
        <v>1</v>
      </c>
      <c r="D5902" s="11">
        <v>42370</v>
      </c>
      <c r="E5902" t="s">
        <v>2173</v>
      </c>
      <c r="F5902">
        <v>6</v>
      </c>
      <c r="G5902" t="s">
        <v>57</v>
      </c>
      <c r="H5902" t="s">
        <v>44</v>
      </c>
      <c r="I5902" t="s">
        <v>2192</v>
      </c>
      <c r="J5902" s="10">
        <v>9</v>
      </c>
      <c r="K5902" t="b">
        <v>1</v>
      </c>
    </row>
    <row r="5903" spans="1:11">
      <c r="A5903" s="12">
        <v>42378</v>
      </c>
      <c r="B5903">
        <v>2016</v>
      </c>
      <c r="C5903">
        <v>1</v>
      </c>
      <c r="D5903" s="11">
        <v>42370</v>
      </c>
      <c r="E5903" t="s">
        <v>2173</v>
      </c>
      <c r="F5903">
        <v>6</v>
      </c>
      <c r="G5903" t="s">
        <v>57</v>
      </c>
      <c r="H5903" t="s">
        <v>45</v>
      </c>
      <c r="I5903" t="s">
        <v>2193</v>
      </c>
      <c r="J5903" s="10">
        <v>0</v>
      </c>
      <c r="K5903" t="b">
        <v>1</v>
      </c>
    </row>
    <row r="5904" spans="1:11">
      <c r="A5904" s="12">
        <v>42378</v>
      </c>
      <c r="B5904">
        <v>2016</v>
      </c>
      <c r="C5904">
        <v>1</v>
      </c>
      <c r="D5904" s="11">
        <v>42370</v>
      </c>
      <c r="E5904" t="s">
        <v>2173</v>
      </c>
      <c r="F5904">
        <v>6</v>
      </c>
      <c r="G5904" t="s">
        <v>57</v>
      </c>
      <c r="H5904" t="s">
        <v>46</v>
      </c>
      <c r="I5904" t="s">
        <v>2194</v>
      </c>
      <c r="J5904" s="10">
        <v>3</v>
      </c>
      <c r="K5904" t="b">
        <v>1</v>
      </c>
    </row>
    <row r="5905" spans="1:11">
      <c r="A5905" s="12">
        <v>42378</v>
      </c>
      <c r="B5905">
        <v>2016</v>
      </c>
      <c r="C5905">
        <v>1</v>
      </c>
      <c r="D5905" s="11">
        <v>42370</v>
      </c>
      <c r="E5905" t="s">
        <v>2173</v>
      </c>
      <c r="F5905">
        <v>6</v>
      </c>
      <c r="G5905" t="s">
        <v>57</v>
      </c>
      <c r="H5905" t="s">
        <v>47</v>
      </c>
      <c r="I5905" t="s">
        <v>2195</v>
      </c>
      <c r="J5905" s="10">
        <v>3</v>
      </c>
      <c r="K5905" t="b">
        <v>1</v>
      </c>
    </row>
    <row r="5906" spans="1:11">
      <c r="A5906" s="12">
        <v>42379</v>
      </c>
      <c r="B5906">
        <v>2016</v>
      </c>
      <c r="C5906">
        <v>1</v>
      </c>
      <c r="D5906" s="11">
        <v>42370</v>
      </c>
      <c r="E5906" t="s">
        <v>2173</v>
      </c>
      <c r="F5906">
        <v>7</v>
      </c>
      <c r="G5906" t="s">
        <v>59</v>
      </c>
      <c r="H5906" t="s">
        <v>40</v>
      </c>
      <c r="I5906" t="s">
        <v>2188</v>
      </c>
      <c r="J5906" s="10">
        <v>7</v>
      </c>
      <c r="K5906" t="b">
        <v>1</v>
      </c>
    </row>
    <row r="5907" spans="1:11">
      <c r="A5907" s="12">
        <v>42379</v>
      </c>
      <c r="B5907">
        <v>2016</v>
      </c>
      <c r="C5907">
        <v>1</v>
      </c>
      <c r="D5907" s="11">
        <v>42370</v>
      </c>
      <c r="E5907" t="s">
        <v>2173</v>
      </c>
      <c r="F5907">
        <v>7</v>
      </c>
      <c r="G5907" t="s">
        <v>59</v>
      </c>
      <c r="H5907" t="s">
        <v>41</v>
      </c>
      <c r="I5907" t="s">
        <v>2189</v>
      </c>
      <c r="J5907" s="10">
        <v>4.033</v>
      </c>
      <c r="K5907" t="b">
        <v>1</v>
      </c>
    </row>
    <row r="5908" spans="1:11">
      <c r="A5908" s="12">
        <v>42379</v>
      </c>
      <c r="B5908">
        <v>2016</v>
      </c>
      <c r="C5908">
        <v>1</v>
      </c>
      <c r="D5908" s="11">
        <v>42370</v>
      </c>
      <c r="E5908" t="s">
        <v>2173</v>
      </c>
      <c r="F5908">
        <v>7</v>
      </c>
      <c r="G5908" t="s">
        <v>59</v>
      </c>
      <c r="H5908" t="s">
        <v>42</v>
      </c>
      <c r="I5908" t="s">
        <v>2190</v>
      </c>
      <c r="J5908" s="10">
        <v>12</v>
      </c>
      <c r="K5908" t="b">
        <v>1</v>
      </c>
    </row>
    <row r="5909" spans="1:11">
      <c r="A5909" s="12">
        <v>42379</v>
      </c>
      <c r="B5909">
        <v>2016</v>
      </c>
      <c r="C5909">
        <v>1</v>
      </c>
      <c r="D5909" s="11">
        <v>42370</v>
      </c>
      <c r="E5909" t="s">
        <v>2173</v>
      </c>
      <c r="F5909">
        <v>7</v>
      </c>
      <c r="G5909" t="s">
        <v>59</v>
      </c>
      <c r="H5909" t="s">
        <v>43</v>
      </c>
      <c r="I5909" t="s">
        <v>2191</v>
      </c>
      <c r="J5909" s="10">
        <v>67.59999999999999</v>
      </c>
      <c r="K5909" t="b">
        <v>1</v>
      </c>
    </row>
    <row r="5910" spans="1:11">
      <c r="A5910" s="12">
        <v>42379</v>
      </c>
      <c r="B5910">
        <v>2016</v>
      </c>
      <c r="C5910">
        <v>1</v>
      </c>
      <c r="D5910" s="11">
        <v>42370</v>
      </c>
      <c r="E5910" t="s">
        <v>2173</v>
      </c>
      <c r="F5910">
        <v>7</v>
      </c>
      <c r="G5910" t="s">
        <v>59</v>
      </c>
      <c r="H5910" t="s">
        <v>44</v>
      </c>
      <c r="I5910" t="s">
        <v>2192</v>
      </c>
      <c r="J5910" s="10">
        <v>8</v>
      </c>
      <c r="K5910" t="b">
        <v>1</v>
      </c>
    </row>
    <row r="5911" spans="1:11">
      <c r="A5911" s="12">
        <v>42379</v>
      </c>
      <c r="B5911">
        <v>2016</v>
      </c>
      <c r="C5911">
        <v>1</v>
      </c>
      <c r="D5911" s="11">
        <v>42370</v>
      </c>
      <c r="E5911" t="s">
        <v>2173</v>
      </c>
      <c r="F5911">
        <v>7</v>
      </c>
      <c r="G5911" t="s">
        <v>59</v>
      </c>
      <c r="H5911" t="s">
        <v>45</v>
      </c>
      <c r="I5911" t="s">
        <v>2193</v>
      </c>
      <c r="J5911" s="10">
        <v>1</v>
      </c>
      <c r="K5911" t="b">
        <v>1</v>
      </c>
    </row>
    <row r="5912" spans="1:11">
      <c r="A5912" s="12">
        <v>42379</v>
      </c>
      <c r="B5912">
        <v>2016</v>
      </c>
      <c r="C5912">
        <v>1</v>
      </c>
      <c r="D5912" s="11">
        <v>42370</v>
      </c>
      <c r="E5912" t="s">
        <v>2173</v>
      </c>
      <c r="F5912">
        <v>7</v>
      </c>
      <c r="G5912" t="s">
        <v>59</v>
      </c>
      <c r="H5912" t="s">
        <v>46</v>
      </c>
      <c r="I5912" t="s">
        <v>2194</v>
      </c>
      <c r="J5912" s="10">
        <v>1</v>
      </c>
      <c r="K5912" t="b">
        <v>1</v>
      </c>
    </row>
    <row r="5913" spans="1:11">
      <c r="A5913" s="12">
        <v>42379</v>
      </c>
      <c r="B5913">
        <v>2016</v>
      </c>
      <c r="C5913">
        <v>1</v>
      </c>
      <c r="D5913" s="11">
        <v>42370</v>
      </c>
      <c r="E5913" t="s">
        <v>2173</v>
      </c>
      <c r="F5913">
        <v>7</v>
      </c>
      <c r="G5913" t="s">
        <v>59</v>
      </c>
      <c r="H5913" t="s">
        <v>47</v>
      </c>
      <c r="I5913" t="s">
        <v>2195</v>
      </c>
      <c r="J5913" s="10">
        <v>0</v>
      </c>
      <c r="K5913" t="b">
        <v>1</v>
      </c>
    </row>
    <row r="5914" spans="1:11">
      <c r="A5914" s="12">
        <v>42380</v>
      </c>
      <c r="B5914">
        <v>2016</v>
      </c>
      <c r="C5914">
        <v>1</v>
      </c>
      <c r="D5914" s="11">
        <v>42370</v>
      </c>
      <c r="E5914" t="s">
        <v>2173</v>
      </c>
      <c r="F5914">
        <v>1</v>
      </c>
      <c r="G5914" t="s">
        <v>61</v>
      </c>
      <c r="H5914" t="s">
        <v>40</v>
      </c>
      <c r="I5914" t="s">
        <v>2188</v>
      </c>
      <c r="J5914" s="10">
        <v>9.34</v>
      </c>
      <c r="K5914" t="b">
        <v>1</v>
      </c>
    </row>
    <row r="5915" spans="1:11">
      <c r="A5915" s="12">
        <v>42380</v>
      </c>
      <c r="B5915">
        <v>2016</v>
      </c>
      <c r="C5915">
        <v>1</v>
      </c>
      <c r="D5915" s="11">
        <v>42370</v>
      </c>
      <c r="E5915" t="s">
        <v>2173</v>
      </c>
      <c r="F5915">
        <v>1</v>
      </c>
      <c r="G5915" t="s">
        <v>61</v>
      </c>
      <c r="H5915" t="s">
        <v>41</v>
      </c>
      <c r="I5915" t="s">
        <v>2189</v>
      </c>
      <c r="J5915" s="10">
        <v>5.66</v>
      </c>
      <c r="K5915" t="b">
        <v>1</v>
      </c>
    </row>
    <row r="5916" spans="1:11">
      <c r="A5916" s="12">
        <v>42380</v>
      </c>
      <c r="B5916">
        <v>2016</v>
      </c>
      <c r="C5916">
        <v>1</v>
      </c>
      <c r="D5916" s="11">
        <v>42370</v>
      </c>
      <c r="E5916" t="s">
        <v>2173</v>
      </c>
      <c r="F5916">
        <v>1</v>
      </c>
      <c r="G5916" t="s">
        <v>61</v>
      </c>
      <c r="H5916" t="s">
        <v>42</v>
      </c>
      <c r="I5916" t="s">
        <v>2190</v>
      </c>
      <c r="J5916" s="10">
        <v>7</v>
      </c>
      <c r="K5916" t="b">
        <v>1</v>
      </c>
    </row>
    <row r="5917" spans="1:11">
      <c r="A5917" s="12">
        <v>42380</v>
      </c>
      <c r="B5917">
        <v>2016</v>
      </c>
      <c r="C5917">
        <v>1</v>
      </c>
      <c r="D5917" s="11">
        <v>42370</v>
      </c>
      <c r="E5917" t="s">
        <v>2173</v>
      </c>
      <c r="F5917">
        <v>1</v>
      </c>
      <c r="G5917" t="s">
        <v>61</v>
      </c>
      <c r="H5917" t="s">
        <v>43</v>
      </c>
      <c r="I5917" t="s">
        <v>2191</v>
      </c>
      <c r="J5917" s="10">
        <v>64.90000000000001</v>
      </c>
      <c r="K5917" t="b">
        <v>1</v>
      </c>
    </row>
    <row r="5918" spans="1:11">
      <c r="A5918" s="12">
        <v>42380</v>
      </c>
      <c r="B5918">
        <v>2016</v>
      </c>
      <c r="C5918">
        <v>1</v>
      </c>
      <c r="D5918" s="11">
        <v>42370</v>
      </c>
      <c r="E5918" t="s">
        <v>2173</v>
      </c>
      <c r="F5918">
        <v>1</v>
      </c>
      <c r="G5918" t="s">
        <v>61</v>
      </c>
      <c r="H5918" t="s">
        <v>44</v>
      </c>
      <c r="I5918" t="s">
        <v>2192</v>
      </c>
      <c r="J5918" s="10">
        <v>18</v>
      </c>
      <c r="K5918" t="b">
        <v>1</v>
      </c>
    </row>
    <row r="5919" spans="1:11">
      <c r="A5919" s="12">
        <v>42380</v>
      </c>
      <c r="B5919">
        <v>2016</v>
      </c>
      <c r="C5919">
        <v>1</v>
      </c>
      <c r="D5919" s="11">
        <v>42370</v>
      </c>
      <c r="E5919" t="s">
        <v>2173</v>
      </c>
      <c r="F5919">
        <v>1</v>
      </c>
      <c r="G5919" t="s">
        <v>61</v>
      </c>
      <c r="H5919" t="s">
        <v>45</v>
      </c>
      <c r="I5919" t="s">
        <v>2193</v>
      </c>
      <c r="J5919" s="10">
        <v>0</v>
      </c>
      <c r="K5919" t="b">
        <v>1</v>
      </c>
    </row>
    <row r="5920" spans="1:11">
      <c r="A5920" s="12">
        <v>42380</v>
      </c>
      <c r="B5920">
        <v>2016</v>
      </c>
      <c r="C5920">
        <v>1</v>
      </c>
      <c r="D5920" s="11">
        <v>42370</v>
      </c>
      <c r="E5920" t="s">
        <v>2173</v>
      </c>
      <c r="F5920">
        <v>1</v>
      </c>
      <c r="G5920" t="s">
        <v>61</v>
      </c>
      <c r="H5920" t="s">
        <v>46</v>
      </c>
      <c r="I5920" t="s">
        <v>2194</v>
      </c>
      <c r="J5920" s="10">
        <v>0</v>
      </c>
      <c r="K5920" t="b">
        <v>1</v>
      </c>
    </row>
    <row r="5921" spans="1:11">
      <c r="A5921" s="12">
        <v>42380</v>
      </c>
      <c r="B5921">
        <v>2016</v>
      </c>
      <c r="C5921">
        <v>1</v>
      </c>
      <c r="D5921" s="11">
        <v>42370</v>
      </c>
      <c r="E5921" t="s">
        <v>2173</v>
      </c>
      <c r="F5921">
        <v>1</v>
      </c>
      <c r="G5921" t="s">
        <v>61</v>
      </c>
      <c r="H5921" t="s">
        <v>47</v>
      </c>
      <c r="I5921" t="s">
        <v>2195</v>
      </c>
      <c r="J5921" s="10">
        <v>4</v>
      </c>
      <c r="K5921" t="b">
        <v>1</v>
      </c>
    </row>
    <row r="5922" spans="1:11">
      <c r="A5922" s="12">
        <v>42381</v>
      </c>
      <c r="B5922">
        <v>2016</v>
      </c>
      <c r="C5922">
        <v>1</v>
      </c>
      <c r="D5922" s="11">
        <v>42370</v>
      </c>
      <c r="E5922" t="s">
        <v>2173</v>
      </c>
      <c r="F5922">
        <v>2</v>
      </c>
      <c r="G5922" t="s">
        <v>63</v>
      </c>
      <c r="H5922" t="s">
        <v>40</v>
      </c>
      <c r="I5922" t="s">
        <v>2188</v>
      </c>
      <c r="J5922" s="10">
        <v>12</v>
      </c>
      <c r="K5922" t="b">
        <v>1</v>
      </c>
    </row>
    <row r="5923" spans="1:11">
      <c r="A5923" s="12">
        <v>42381</v>
      </c>
      <c r="B5923">
        <v>2016</v>
      </c>
      <c r="C5923">
        <v>1</v>
      </c>
      <c r="D5923" s="11">
        <v>42370</v>
      </c>
      <c r="E5923" t="s">
        <v>2173</v>
      </c>
      <c r="F5923">
        <v>2</v>
      </c>
      <c r="G5923" t="s">
        <v>63</v>
      </c>
      <c r="H5923" t="s">
        <v>41</v>
      </c>
      <c r="I5923" t="s">
        <v>2189</v>
      </c>
      <c r="J5923" s="10">
        <v>3.132</v>
      </c>
      <c r="K5923" t="b">
        <v>1</v>
      </c>
    </row>
    <row r="5924" spans="1:11">
      <c r="A5924" s="12">
        <v>42381</v>
      </c>
      <c r="B5924">
        <v>2016</v>
      </c>
      <c r="C5924">
        <v>1</v>
      </c>
      <c r="D5924" s="11">
        <v>42370</v>
      </c>
      <c r="E5924" t="s">
        <v>2173</v>
      </c>
      <c r="F5924">
        <v>2</v>
      </c>
      <c r="G5924" t="s">
        <v>63</v>
      </c>
      <c r="H5924" t="s">
        <v>42</v>
      </c>
      <c r="I5924" t="s">
        <v>2190</v>
      </c>
      <c r="J5924" s="10">
        <v>12</v>
      </c>
      <c r="K5924" t="b">
        <v>1</v>
      </c>
    </row>
    <row r="5925" spans="1:11">
      <c r="A5925" s="12">
        <v>42381</v>
      </c>
      <c r="B5925">
        <v>2016</v>
      </c>
      <c r="C5925">
        <v>1</v>
      </c>
      <c r="D5925" s="11">
        <v>42370</v>
      </c>
      <c r="E5925" t="s">
        <v>2173</v>
      </c>
      <c r="F5925">
        <v>2</v>
      </c>
      <c r="G5925" t="s">
        <v>63</v>
      </c>
      <c r="H5925" t="s">
        <v>43</v>
      </c>
      <c r="I5925" t="s">
        <v>2191</v>
      </c>
      <c r="J5925" s="10">
        <v>61.35</v>
      </c>
      <c r="K5925" t="b">
        <v>1</v>
      </c>
    </row>
    <row r="5926" spans="1:11">
      <c r="A5926" s="12">
        <v>42381</v>
      </c>
      <c r="B5926">
        <v>2016</v>
      </c>
      <c r="C5926">
        <v>1</v>
      </c>
      <c r="D5926" s="11">
        <v>42370</v>
      </c>
      <c r="E5926" t="s">
        <v>2173</v>
      </c>
      <c r="F5926">
        <v>2</v>
      </c>
      <c r="G5926" t="s">
        <v>63</v>
      </c>
      <c r="H5926" t="s">
        <v>44</v>
      </c>
      <c r="I5926" t="s">
        <v>2192</v>
      </c>
      <c r="J5926" s="10">
        <v>8</v>
      </c>
      <c r="K5926" t="b">
        <v>1</v>
      </c>
    </row>
    <row r="5927" spans="1:11">
      <c r="A5927" s="12">
        <v>42381</v>
      </c>
      <c r="B5927">
        <v>2016</v>
      </c>
      <c r="C5927">
        <v>1</v>
      </c>
      <c r="D5927" s="11">
        <v>42370</v>
      </c>
      <c r="E5927" t="s">
        <v>2173</v>
      </c>
      <c r="F5927">
        <v>2</v>
      </c>
      <c r="G5927" t="s">
        <v>63</v>
      </c>
      <c r="H5927" t="s">
        <v>45</v>
      </c>
      <c r="I5927" t="s">
        <v>2193</v>
      </c>
      <c r="J5927" s="10">
        <v>0</v>
      </c>
      <c r="K5927" t="b">
        <v>1</v>
      </c>
    </row>
    <row r="5928" spans="1:11">
      <c r="A5928" s="12">
        <v>42381</v>
      </c>
      <c r="B5928">
        <v>2016</v>
      </c>
      <c r="C5928">
        <v>1</v>
      </c>
      <c r="D5928" s="11">
        <v>42370</v>
      </c>
      <c r="E5928" t="s">
        <v>2173</v>
      </c>
      <c r="F5928">
        <v>2</v>
      </c>
      <c r="G5928" t="s">
        <v>63</v>
      </c>
      <c r="H5928" t="s">
        <v>46</v>
      </c>
      <c r="I5928" t="s">
        <v>2194</v>
      </c>
      <c r="J5928" s="10">
        <v>0</v>
      </c>
      <c r="K5928" t="b">
        <v>1</v>
      </c>
    </row>
    <row r="5929" spans="1:11">
      <c r="A5929" s="12">
        <v>42381</v>
      </c>
      <c r="B5929">
        <v>2016</v>
      </c>
      <c r="C5929">
        <v>1</v>
      </c>
      <c r="D5929" s="11">
        <v>42370</v>
      </c>
      <c r="E5929" t="s">
        <v>2173</v>
      </c>
      <c r="F5929">
        <v>2</v>
      </c>
      <c r="G5929" t="s">
        <v>63</v>
      </c>
      <c r="H5929" t="s">
        <v>47</v>
      </c>
      <c r="I5929" t="s">
        <v>2195</v>
      </c>
      <c r="J5929" s="10">
        <v>0</v>
      </c>
      <c r="K5929" t="b">
        <v>1</v>
      </c>
    </row>
    <row r="5930" spans="1:11">
      <c r="A5930" s="12">
        <v>42382</v>
      </c>
      <c r="B5930">
        <v>2016</v>
      </c>
      <c r="C5930">
        <v>1</v>
      </c>
      <c r="D5930" s="11">
        <v>42370</v>
      </c>
      <c r="E5930" t="s">
        <v>2173</v>
      </c>
      <c r="F5930">
        <v>3</v>
      </c>
      <c r="G5930" t="s">
        <v>65</v>
      </c>
      <c r="H5930" t="s">
        <v>40</v>
      </c>
      <c r="I5930" t="s">
        <v>2188</v>
      </c>
      <c r="J5930" s="10">
        <v>9</v>
      </c>
      <c r="K5930" t="b">
        <v>1</v>
      </c>
    </row>
    <row r="5931" spans="1:11">
      <c r="A5931" s="12">
        <v>42382</v>
      </c>
      <c r="B5931">
        <v>2016</v>
      </c>
      <c r="C5931">
        <v>1</v>
      </c>
      <c r="D5931" s="11">
        <v>42370</v>
      </c>
      <c r="E5931" t="s">
        <v>2173</v>
      </c>
      <c r="F5931">
        <v>3</v>
      </c>
      <c r="G5931" t="s">
        <v>65</v>
      </c>
      <c r="H5931" t="s">
        <v>41</v>
      </c>
      <c r="I5931" t="s">
        <v>2189</v>
      </c>
      <c r="J5931" s="10">
        <v>1.66</v>
      </c>
      <c r="K5931" t="b">
        <v>1</v>
      </c>
    </row>
    <row r="5932" spans="1:11">
      <c r="A5932" s="12">
        <v>42382</v>
      </c>
      <c r="B5932">
        <v>2016</v>
      </c>
      <c r="C5932">
        <v>1</v>
      </c>
      <c r="D5932" s="11">
        <v>42370</v>
      </c>
      <c r="E5932" t="s">
        <v>2173</v>
      </c>
      <c r="F5932">
        <v>3</v>
      </c>
      <c r="G5932" t="s">
        <v>65</v>
      </c>
      <c r="H5932" t="s">
        <v>42</v>
      </c>
      <c r="I5932" t="s">
        <v>2190</v>
      </c>
      <c r="J5932" s="10">
        <v>5</v>
      </c>
      <c r="K5932" t="b">
        <v>1</v>
      </c>
    </row>
    <row r="5933" spans="1:11">
      <c r="A5933" s="12">
        <v>42382</v>
      </c>
      <c r="B5933">
        <v>2016</v>
      </c>
      <c r="C5933">
        <v>1</v>
      </c>
      <c r="D5933" s="11">
        <v>42370</v>
      </c>
      <c r="E5933" t="s">
        <v>2173</v>
      </c>
      <c r="F5933">
        <v>3</v>
      </c>
      <c r="G5933" t="s">
        <v>65</v>
      </c>
      <c r="H5933" t="s">
        <v>43</v>
      </c>
      <c r="I5933" t="s">
        <v>2191</v>
      </c>
      <c r="J5933" s="10">
        <v>41.7</v>
      </c>
      <c r="K5933" t="b">
        <v>1</v>
      </c>
    </row>
    <row r="5934" spans="1:11">
      <c r="A5934" s="12">
        <v>42382</v>
      </c>
      <c r="B5934">
        <v>2016</v>
      </c>
      <c r="C5934">
        <v>1</v>
      </c>
      <c r="D5934" s="11">
        <v>42370</v>
      </c>
      <c r="E5934" t="s">
        <v>2173</v>
      </c>
      <c r="F5934">
        <v>3</v>
      </c>
      <c r="G5934" t="s">
        <v>65</v>
      </c>
      <c r="H5934" t="s">
        <v>44</v>
      </c>
      <c r="I5934" t="s">
        <v>2192</v>
      </c>
      <c r="J5934" s="10">
        <v>15</v>
      </c>
      <c r="K5934" t="b">
        <v>1</v>
      </c>
    </row>
    <row r="5935" spans="1:11">
      <c r="A5935" s="12">
        <v>42382</v>
      </c>
      <c r="B5935">
        <v>2016</v>
      </c>
      <c r="C5935">
        <v>1</v>
      </c>
      <c r="D5935" s="11">
        <v>42370</v>
      </c>
      <c r="E5935" t="s">
        <v>2173</v>
      </c>
      <c r="F5935">
        <v>3</v>
      </c>
      <c r="G5935" t="s">
        <v>65</v>
      </c>
      <c r="H5935" t="s">
        <v>45</v>
      </c>
      <c r="I5935" t="s">
        <v>2193</v>
      </c>
      <c r="J5935" s="10">
        <v>0</v>
      </c>
      <c r="K5935" t="b">
        <v>1</v>
      </c>
    </row>
    <row r="5936" spans="1:11">
      <c r="A5936" s="12">
        <v>42382</v>
      </c>
      <c r="B5936">
        <v>2016</v>
      </c>
      <c r="C5936">
        <v>1</v>
      </c>
      <c r="D5936" s="11">
        <v>42370</v>
      </c>
      <c r="E5936" t="s">
        <v>2173</v>
      </c>
      <c r="F5936">
        <v>3</v>
      </c>
      <c r="G5936" t="s">
        <v>65</v>
      </c>
      <c r="H5936" t="s">
        <v>46</v>
      </c>
      <c r="I5936" t="s">
        <v>2194</v>
      </c>
      <c r="J5936" s="10">
        <v>1</v>
      </c>
      <c r="K5936" t="b">
        <v>1</v>
      </c>
    </row>
    <row r="5937" spans="1:11">
      <c r="A5937" s="12">
        <v>42382</v>
      </c>
      <c r="B5937">
        <v>2016</v>
      </c>
      <c r="C5937">
        <v>1</v>
      </c>
      <c r="D5937" s="11">
        <v>42370</v>
      </c>
      <c r="E5937" t="s">
        <v>2173</v>
      </c>
      <c r="F5937">
        <v>3</v>
      </c>
      <c r="G5937" t="s">
        <v>65</v>
      </c>
      <c r="H5937" t="s">
        <v>47</v>
      </c>
      <c r="I5937" t="s">
        <v>2195</v>
      </c>
      <c r="J5937" s="10">
        <v>2</v>
      </c>
      <c r="K5937" t="b">
        <v>1</v>
      </c>
    </row>
    <row r="5938" spans="1:11">
      <c r="A5938" s="12">
        <v>42383</v>
      </c>
      <c r="B5938">
        <v>2016</v>
      </c>
      <c r="C5938">
        <v>1</v>
      </c>
      <c r="D5938" s="11">
        <v>42370</v>
      </c>
      <c r="E5938" t="s">
        <v>2173</v>
      </c>
      <c r="F5938">
        <v>4</v>
      </c>
      <c r="G5938" t="s">
        <v>53</v>
      </c>
      <c r="H5938" t="s">
        <v>40</v>
      </c>
      <c r="I5938" t="s">
        <v>2188</v>
      </c>
      <c r="J5938" s="10">
        <v>2</v>
      </c>
      <c r="K5938" t="b">
        <v>1</v>
      </c>
    </row>
    <row r="5939" spans="1:11">
      <c r="A5939" s="12">
        <v>42383</v>
      </c>
      <c r="B5939">
        <v>2016</v>
      </c>
      <c r="C5939">
        <v>1</v>
      </c>
      <c r="D5939" s="11">
        <v>42370</v>
      </c>
      <c r="E5939" t="s">
        <v>2173</v>
      </c>
      <c r="F5939">
        <v>4</v>
      </c>
      <c r="G5939" t="s">
        <v>53</v>
      </c>
      <c r="H5939" t="s">
        <v>41</v>
      </c>
      <c r="I5939" t="s">
        <v>2189</v>
      </c>
      <c r="J5939" s="10">
        <v>5.155</v>
      </c>
      <c r="K5939" t="b">
        <v>1</v>
      </c>
    </row>
    <row r="5940" spans="1:11">
      <c r="A5940" s="12">
        <v>42383</v>
      </c>
      <c r="B5940">
        <v>2016</v>
      </c>
      <c r="C5940">
        <v>1</v>
      </c>
      <c r="D5940" s="11">
        <v>42370</v>
      </c>
      <c r="E5940" t="s">
        <v>2173</v>
      </c>
      <c r="F5940">
        <v>4</v>
      </c>
      <c r="G5940" t="s">
        <v>53</v>
      </c>
      <c r="H5940" t="s">
        <v>42</v>
      </c>
      <c r="I5940" t="s">
        <v>2190</v>
      </c>
      <c r="J5940" s="10">
        <v>6</v>
      </c>
      <c r="K5940" t="b">
        <v>1</v>
      </c>
    </row>
    <row r="5941" spans="1:11">
      <c r="A5941" s="12">
        <v>42383</v>
      </c>
      <c r="B5941">
        <v>2016</v>
      </c>
      <c r="C5941">
        <v>1</v>
      </c>
      <c r="D5941" s="11">
        <v>42370</v>
      </c>
      <c r="E5941" t="s">
        <v>2173</v>
      </c>
      <c r="F5941">
        <v>4</v>
      </c>
      <c r="G5941" t="s">
        <v>53</v>
      </c>
      <c r="H5941" t="s">
        <v>43</v>
      </c>
      <c r="I5941" t="s">
        <v>2191</v>
      </c>
      <c r="J5941" s="10">
        <v>69</v>
      </c>
      <c r="K5941" t="b">
        <v>1</v>
      </c>
    </row>
    <row r="5942" spans="1:11">
      <c r="A5942" s="12">
        <v>42383</v>
      </c>
      <c r="B5942">
        <v>2016</v>
      </c>
      <c r="C5942">
        <v>1</v>
      </c>
      <c r="D5942" s="11">
        <v>42370</v>
      </c>
      <c r="E5942" t="s">
        <v>2173</v>
      </c>
      <c r="F5942">
        <v>4</v>
      </c>
      <c r="G5942" t="s">
        <v>53</v>
      </c>
      <c r="H5942" t="s">
        <v>44</v>
      </c>
      <c r="I5942" t="s">
        <v>2192</v>
      </c>
      <c r="J5942" s="10">
        <v>18</v>
      </c>
      <c r="K5942" t="b">
        <v>1</v>
      </c>
    </row>
    <row r="5943" spans="1:11">
      <c r="A5943" s="12">
        <v>42383</v>
      </c>
      <c r="B5943">
        <v>2016</v>
      </c>
      <c r="C5943">
        <v>1</v>
      </c>
      <c r="D5943" s="11">
        <v>42370</v>
      </c>
      <c r="E5943" t="s">
        <v>2173</v>
      </c>
      <c r="F5943">
        <v>4</v>
      </c>
      <c r="G5943" t="s">
        <v>53</v>
      </c>
      <c r="H5943" t="s">
        <v>45</v>
      </c>
      <c r="I5943" t="s">
        <v>2193</v>
      </c>
      <c r="J5943" s="10">
        <v>0</v>
      </c>
      <c r="K5943" t="b">
        <v>1</v>
      </c>
    </row>
    <row r="5944" spans="1:11">
      <c r="A5944" s="12">
        <v>42383</v>
      </c>
      <c r="B5944">
        <v>2016</v>
      </c>
      <c r="C5944">
        <v>1</v>
      </c>
      <c r="D5944" s="11">
        <v>42370</v>
      </c>
      <c r="E5944" t="s">
        <v>2173</v>
      </c>
      <c r="F5944">
        <v>4</v>
      </c>
      <c r="G5944" t="s">
        <v>53</v>
      </c>
      <c r="H5944" t="s">
        <v>46</v>
      </c>
      <c r="I5944" t="s">
        <v>2194</v>
      </c>
      <c r="J5944" s="10">
        <v>8</v>
      </c>
      <c r="K5944" t="b">
        <v>1</v>
      </c>
    </row>
    <row r="5945" spans="1:11">
      <c r="A5945" s="12">
        <v>42383</v>
      </c>
      <c r="B5945">
        <v>2016</v>
      </c>
      <c r="C5945">
        <v>1</v>
      </c>
      <c r="D5945" s="11">
        <v>42370</v>
      </c>
      <c r="E5945" t="s">
        <v>2173</v>
      </c>
      <c r="F5945">
        <v>4</v>
      </c>
      <c r="G5945" t="s">
        <v>53</v>
      </c>
      <c r="H5945" t="s">
        <v>47</v>
      </c>
      <c r="I5945" t="s">
        <v>2195</v>
      </c>
      <c r="J5945" s="10">
        <v>2</v>
      </c>
      <c r="K5945" t="b">
        <v>1</v>
      </c>
    </row>
    <row r="5946" spans="1:11">
      <c r="A5946" s="12">
        <v>42384</v>
      </c>
      <c r="B5946">
        <v>2016</v>
      </c>
      <c r="C5946">
        <v>1</v>
      </c>
      <c r="D5946" s="11">
        <v>42370</v>
      </c>
      <c r="E5946" t="s">
        <v>2173</v>
      </c>
      <c r="F5946">
        <v>5</v>
      </c>
      <c r="G5946" t="s">
        <v>55</v>
      </c>
      <c r="H5946" t="s">
        <v>40</v>
      </c>
      <c r="I5946" t="s">
        <v>2188</v>
      </c>
      <c r="J5946" s="10">
        <v>8.98</v>
      </c>
      <c r="K5946" t="b">
        <v>1</v>
      </c>
    </row>
    <row r="5947" spans="1:11">
      <c r="A5947" s="12">
        <v>42384</v>
      </c>
      <c r="B5947">
        <v>2016</v>
      </c>
      <c r="C5947">
        <v>1</v>
      </c>
      <c r="D5947" s="11">
        <v>42370</v>
      </c>
      <c r="E5947" t="s">
        <v>2173</v>
      </c>
      <c r="F5947">
        <v>5</v>
      </c>
      <c r="G5947" t="s">
        <v>55</v>
      </c>
      <c r="H5947" t="s">
        <v>41</v>
      </c>
      <c r="I5947" t="s">
        <v>2189</v>
      </c>
      <c r="J5947" s="10">
        <v>4.66</v>
      </c>
      <c r="K5947" t="b">
        <v>1</v>
      </c>
    </row>
    <row r="5948" spans="1:11">
      <c r="A5948" s="12">
        <v>42384</v>
      </c>
      <c r="B5948">
        <v>2016</v>
      </c>
      <c r="C5948">
        <v>1</v>
      </c>
      <c r="D5948" s="11">
        <v>42370</v>
      </c>
      <c r="E5948" t="s">
        <v>2173</v>
      </c>
      <c r="F5948">
        <v>5</v>
      </c>
      <c r="G5948" t="s">
        <v>55</v>
      </c>
      <c r="H5948" t="s">
        <v>42</v>
      </c>
      <c r="I5948" t="s">
        <v>2190</v>
      </c>
      <c r="J5948" s="10">
        <v>10.6</v>
      </c>
      <c r="K5948" t="b">
        <v>1</v>
      </c>
    </row>
    <row r="5949" spans="1:11">
      <c r="A5949" s="12">
        <v>42384</v>
      </c>
      <c r="B5949">
        <v>2016</v>
      </c>
      <c r="C5949">
        <v>1</v>
      </c>
      <c r="D5949" s="11">
        <v>42370</v>
      </c>
      <c r="E5949" t="s">
        <v>2173</v>
      </c>
      <c r="F5949">
        <v>5</v>
      </c>
      <c r="G5949" t="s">
        <v>55</v>
      </c>
      <c r="H5949" t="s">
        <v>43</v>
      </c>
      <c r="I5949" t="s">
        <v>2191</v>
      </c>
      <c r="J5949" s="10">
        <v>18.1</v>
      </c>
      <c r="K5949" t="b">
        <v>1</v>
      </c>
    </row>
    <row r="5950" spans="1:11">
      <c r="A5950" s="12">
        <v>42384</v>
      </c>
      <c r="B5950">
        <v>2016</v>
      </c>
      <c r="C5950">
        <v>1</v>
      </c>
      <c r="D5950" s="11">
        <v>42370</v>
      </c>
      <c r="E5950" t="s">
        <v>2173</v>
      </c>
      <c r="F5950">
        <v>5</v>
      </c>
      <c r="G5950" t="s">
        <v>55</v>
      </c>
      <c r="H5950" t="s">
        <v>44</v>
      </c>
      <c r="I5950" t="s">
        <v>2192</v>
      </c>
      <c r="J5950" s="10">
        <v>8</v>
      </c>
      <c r="K5950" t="b">
        <v>1</v>
      </c>
    </row>
    <row r="5951" spans="1:11">
      <c r="A5951" s="12">
        <v>42384</v>
      </c>
      <c r="B5951">
        <v>2016</v>
      </c>
      <c r="C5951">
        <v>1</v>
      </c>
      <c r="D5951" s="11">
        <v>42370</v>
      </c>
      <c r="E5951" t="s">
        <v>2173</v>
      </c>
      <c r="F5951">
        <v>5</v>
      </c>
      <c r="G5951" t="s">
        <v>55</v>
      </c>
      <c r="H5951" t="s">
        <v>45</v>
      </c>
      <c r="I5951" t="s">
        <v>2193</v>
      </c>
      <c r="J5951" s="10">
        <v>0</v>
      </c>
      <c r="K5951" t="b">
        <v>1</v>
      </c>
    </row>
    <row r="5952" spans="1:11">
      <c r="A5952" s="12">
        <v>42384</v>
      </c>
      <c r="B5952">
        <v>2016</v>
      </c>
      <c r="C5952">
        <v>1</v>
      </c>
      <c r="D5952" s="11">
        <v>42370</v>
      </c>
      <c r="E5952" t="s">
        <v>2173</v>
      </c>
      <c r="F5952">
        <v>5</v>
      </c>
      <c r="G5952" t="s">
        <v>55</v>
      </c>
      <c r="H5952" t="s">
        <v>46</v>
      </c>
      <c r="I5952" t="s">
        <v>2194</v>
      </c>
      <c r="J5952" s="10">
        <v>10</v>
      </c>
      <c r="K5952" t="b">
        <v>1</v>
      </c>
    </row>
    <row r="5953" spans="1:11">
      <c r="A5953" s="12">
        <v>42384</v>
      </c>
      <c r="B5953">
        <v>2016</v>
      </c>
      <c r="C5953">
        <v>1</v>
      </c>
      <c r="D5953" s="11">
        <v>42370</v>
      </c>
      <c r="E5953" t="s">
        <v>2173</v>
      </c>
      <c r="F5953">
        <v>5</v>
      </c>
      <c r="G5953" t="s">
        <v>55</v>
      </c>
      <c r="H5953" t="s">
        <v>47</v>
      </c>
      <c r="I5953" t="s">
        <v>2195</v>
      </c>
      <c r="J5953" s="10">
        <v>2</v>
      </c>
      <c r="K5953" t="b">
        <v>1</v>
      </c>
    </row>
    <row r="5954" spans="1:11">
      <c r="A5954" s="12">
        <v>42385</v>
      </c>
      <c r="B5954">
        <v>2016</v>
      </c>
      <c r="C5954">
        <v>1</v>
      </c>
      <c r="D5954" s="11">
        <v>42370</v>
      </c>
      <c r="E5954" t="s">
        <v>2173</v>
      </c>
      <c r="F5954">
        <v>6</v>
      </c>
      <c r="G5954" t="s">
        <v>57</v>
      </c>
      <c r="H5954" t="s">
        <v>40</v>
      </c>
      <c r="I5954" t="s">
        <v>2188</v>
      </c>
      <c r="J5954" s="10">
        <v>3.34</v>
      </c>
      <c r="K5954" t="b">
        <v>1</v>
      </c>
    </row>
    <row r="5955" spans="1:11">
      <c r="A5955" s="12">
        <v>42385</v>
      </c>
      <c r="B5955">
        <v>2016</v>
      </c>
      <c r="C5955">
        <v>1</v>
      </c>
      <c r="D5955" s="11">
        <v>42370</v>
      </c>
      <c r="E5955" t="s">
        <v>2173</v>
      </c>
      <c r="F5955">
        <v>6</v>
      </c>
      <c r="G5955" t="s">
        <v>57</v>
      </c>
      <c r="H5955" t="s">
        <v>41</v>
      </c>
      <c r="I5955" t="s">
        <v>2189</v>
      </c>
      <c r="J5955" s="10">
        <v>5.34</v>
      </c>
      <c r="K5955" t="b">
        <v>1</v>
      </c>
    </row>
    <row r="5956" spans="1:11">
      <c r="A5956" s="12">
        <v>42385</v>
      </c>
      <c r="B5956">
        <v>2016</v>
      </c>
      <c r="C5956">
        <v>1</v>
      </c>
      <c r="D5956" s="11">
        <v>42370</v>
      </c>
      <c r="E5956" t="s">
        <v>2173</v>
      </c>
      <c r="F5956">
        <v>6</v>
      </c>
      <c r="G5956" t="s">
        <v>57</v>
      </c>
      <c r="H5956" t="s">
        <v>42</v>
      </c>
      <c r="I5956" t="s">
        <v>2190</v>
      </c>
      <c r="J5956" s="10">
        <v>6</v>
      </c>
      <c r="K5956" t="b">
        <v>1</v>
      </c>
    </row>
    <row r="5957" spans="1:11">
      <c r="A5957" s="12">
        <v>42385</v>
      </c>
      <c r="B5957">
        <v>2016</v>
      </c>
      <c r="C5957">
        <v>1</v>
      </c>
      <c r="D5957" s="11">
        <v>42370</v>
      </c>
      <c r="E5957" t="s">
        <v>2173</v>
      </c>
      <c r="F5957">
        <v>6</v>
      </c>
      <c r="G5957" t="s">
        <v>57</v>
      </c>
      <c r="H5957" t="s">
        <v>43</v>
      </c>
      <c r="I5957" t="s">
        <v>2191</v>
      </c>
      <c r="J5957" s="10">
        <v>63.6</v>
      </c>
      <c r="K5957" t="b">
        <v>1</v>
      </c>
    </row>
    <row r="5958" spans="1:11">
      <c r="A5958" s="12">
        <v>42385</v>
      </c>
      <c r="B5958">
        <v>2016</v>
      </c>
      <c r="C5958">
        <v>1</v>
      </c>
      <c r="D5958" s="11">
        <v>42370</v>
      </c>
      <c r="E5958" t="s">
        <v>2173</v>
      </c>
      <c r="F5958">
        <v>6</v>
      </c>
      <c r="G5958" t="s">
        <v>57</v>
      </c>
      <c r="H5958" t="s">
        <v>44</v>
      </c>
      <c r="I5958" t="s">
        <v>2192</v>
      </c>
      <c r="J5958" s="10">
        <v>11</v>
      </c>
      <c r="K5958" t="b">
        <v>1</v>
      </c>
    </row>
    <row r="5959" spans="1:11">
      <c r="A5959" s="12">
        <v>42385</v>
      </c>
      <c r="B5959">
        <v>2016</v>
      </c>
      <c r="C5959">
        <v>1</v>
      </c>
      <c r="D5959" s="11">
        <v>42370</v>
      </c>
      <c r="E5959" t="s">
        <v>2173</v>
      </c>
      <c r="F5959">
        <v>6</v>
      </c>
      <c r="G5959" t="s">
        <v>57</v>
      </c>
      <c r="H5959" t="s">
        <v>45</v>
      </c>
      <c r="I5959" t="s">
        <v>2193</v>
      </c>
      <c r="J5959" s="10">
        <v>0</v>
      </c>
      <c r="K5959" t="b">
        <v>1</v>
      </c>
    </row>
    <row r="5960" spans="1:11">
      <c r="A5960" s="12">
        <v>42385</v>
      </c>
      <c r="B5960">
        <v>2016</v>
      </c>
      <c r="C5960">
        <v>1</v>
      </c>
      <c r="D5960" s="11">
        <v>42370</v>
      </c>
      <c r="E5960" t="s">
        <v>2173</v>
      </c>
      <c r="F5960">
        <v>6</v>
      </c>
      <c r="G5960" t="s">
        <v>57</v>
      </c>
      <c r="H5960" t="s">
        <v>46</v>
      </c>
      <c r="I5960" t="s">
        <v>2194</v>
      </c>
      <c r="J5960" s="10">
        <v>2</v>
      </c>
      <c r="K5960" t="b">
        <v>1</v>
      </c>
    </row>
    <row r="5961" spans="1:11">
      <c r="A5961" s="12">
        <v>42385</v>
      </c>
      <c r="B5961">
        <v>2016</v>
      </c>
      <c r="C5961">
        <v>1</v>
      </c>
      <c r="D5961" s="11">
        <v>42370</v>
      </c>
      <c r="E5961" t="s">
        <v>2173</v>
      </c>
      <c r="F5961">
        <v>6</v>
      </c>
      <c r="G5961" t="s">
        <v>57</v>
      </c>
      <c r="H5961" t="s">
        <v>47</v>
      </c>
      <c r="I5961" t="s">
        <v>2195</v>
      </c>
      <c r="J5961" s="10">
        <v>1</v>
      </c>
      <c r="K5961" t="b">
        <v>1</v>
      </c>
    </row>
    <row r="5962" spans="1:11">
      <c r="A5962" s="12">
        <v>42386</v>
      </c>
      <c r="B5962">
        <v>2016</v>
      </c>
      <c r="C5962">
        <v>1</v>
      </c>
      <c r="D5962" s="11">
        <v>42370</v>
      </c>
      <c r="E5962" t="s">
        <v>2173</v>
      </c>
      <c r="F5962">
        <v>7</v>
      </c>
      <c r="G5962" t="s">
        <v>59</v>
      </c>
      <c r="H5962" t="s">
        <v>40</v>
      </c>
      <c r="I5962" t="s">
        <v>2188</v>
      </c>
      <c r="J5962" s="10">
        <v>7.01</v>
      </c>
      <c r="K5962" t="b">
        <v>1</v>
      </c>
    </row>
    <row r="5963" spans="1:11">
      <c r="A5963" s="12">
        <v>42386</v>
      </c>
      <c r="B5963">
        <v>2016</v>
      </c>
      <c r="C5963">
        <v>1</v>
      </c>
      <c r="D5963" s="11">
        <v>42370</v>
      </c>
      <c r="E5963" t="s">
        <v>2173</v>
      </c>
      <c r="F5963">
        <v>7</v>
      </c>
      <c r="G5963" t="s">
        <v>59</v>
      </c>
      <c r="H5963" t="s">
        <v>41</v>
      </c>
      <c r="I5963" t="s">
        <v>2189</v>
      </c>
      <c r="J5963" s="10">
        <v>1.604</v>
      </c>
      <c r="K5963" t="b">
        <v>1</v>
      </c>
    </row>
    <row r="5964" spans="1:11">
      <c r="A5964" s="12">
        <v>42386</v>
      </c>
      <c r="B5964">
        <v>2016</v>
      </c>
      <c r="C5964">
        <v>1</v>
      </c>
      <c r="D5964" s="11">
        <v>42370</v>
      </c>
      <c r="E5964" t="s">
        <v>2173</v>
      </c>
      <c r="F5964">
        <v>7</v>
      </c>
      <c r="G5964" t="s">
        <v>59</v>
      </c>
      <c r="H5964" t="s">
        <v>42</v>
      </c>
      <c r="I5964" t="s">
        <v>2190</v>
      </c>
      <c r="J5964" s="10">
        <v>3.9</v>
      </c>
      <c r="K5964" t="b">
        <v>1</v>
      </c>
    </row>
    <row r="5965" spans="1:11">
      <c r="A5965" s="12">
        <v>42386</v>
      </c>
      <c r="B5965">
        <v>2016</v>
      </c>
      <c r="C5965">
        <v>1</v>
      </c>
      <c r="D5965" s="11">
        <v>42370</v>
      </c>
      <c r="E5965" t="s">
        <v>2173</v>
      </c>
      <c r="F5965">
        <v>7</v>
      </c>
      <c r="G5965" t="s">
        <v>59</v>
      </c>
      <c r="H5965" t="s">
        <v>43</v>
      </c>
      <c r="I5965" t="s">
        <v>2191</v>
      </c>
      <c r="J5965" s="10">
        <v>46.6</v>
      </c>
      <c r="K5965" t="b">
        <v>1</v>
      </c>
    </row>
    <row r="5966" spans="1:11">
      <c r="A5966" s="12">
        <v>42386</v>
      </c>
      <c r="B5966">
        <v>2016</v>
      </c>
      <c r="C5966">
        <v>1</v>
      </c>
      <c r="D5966" s="11">
        <v>42370</v>
      </c>
      <c r="E5966" t="s">
        <v>2173</v>
      </c>
      <c r="F5966">
        <v>7</v>
      </c>
      <c r="G5966" t="s">
        <v>59</v>
      </c>
      <c r="H5966" t="s">
        <v>44</v>
      </c>
      <c r="I5966" t="s">
        <v>2192</v>
      </c>
      <c r="J5966" s="10">
        <v>4</v>
      </c>
      <c r="K5966" t="b">
        <v>1</v>
      </c>
    </row>
    <row r="5967" spans="1:11">
      <c r="A5967" s="12">
        <v>42386</v>
      </c>
      <c r="B5967">
        <v>2016</v>
      </c>
      <c r="C5967">
        <v>1</v>
      </c>
      <c r="D5967" s="11">
        <v>42370</v>
      </c>
      <c r="E5967" t="s">
        <v>2173</v>
      </c>
      <c r="F5967">
        <v>7</v>
      </c>
      <c r="G5967" t="s">
        <v>59</v>
      </c>
      <c r="H5967" t="s">
        <v>45</v>
      </c>
      <c r="I5967" t="s">
        <v>2193</v>
      </c>
      <c r="J5967" s="10">
        <v>0</v>
      </c>
      <c r="K5967" t="b">
        <v>1</v>
      </c>
    </row>
    <row r="5968" spans="1:11">
      <c r="A5968" s="12">
        <v>42386</v>
      </c>
      <c r="B5968">
        <v>2016</v>
      </c>
      <c r="C5968">
        <v>1</v>
      </c>
      <c r="D5968" s="11">
        <v>42370</v>
      </c>
      <c r="E5968" t="s">
        <v>2173</v>
      </c>
      <c r="F5968">
        <v>7</v>
      </c>
      <c r="G5968" t="s">
        <v>59</v>
      </c>
      <c r="H5968" t="s">
        <v>46</v>
      </c>
      <c r="I5968" t="s">
        <v>2194</v>
      </c>
      <c r="J5968" s="10">
        <v>0</v>
      </c>
      <c r="K5968" t="b">
        <v>1</v>
      </c>
    </row>
    <row r="5969" spans="1:11">
      <c r="A5969" s="12">
        <v>42386</v>
      </c>
      <c r="B5969">
        <v>2016</v>
      </c>
      <c r="C5969">
        <v>1</v>
      </c>
      <c r="D5969" s="11">
        <v>42370</v>
      </c>
      <c r="E5969" t="s">
        <v>2173</v>
      </c>
      <c r="F5969">
        <v>7</v>
      </c>
      <c r="G5969" t="s">
        <v>59</v>
      </c>
      <c r="H5969" t="s">
        <v>47</v>
      </c>
      <c r="I5969" t="s">
        <v>2195</v>
      </c>
      <c r="J5969" s="10">
        <v>1</v>
      </c>
      <c r="K5969" t="b">
        <v>1</v>
      </c>
    </row>
    <row r="5970" spans="1:11">
      <c r="A5970" s="12">
        <v>42387</v>
      </c>
      <c r="B5970">
        <v>2016</v>
      </c>
      <c r="C5970">
        <v>1</v>
      </c>
      <c r="D5970" s="11">
        <v>42370</v>
      </c>
      <c r="E5970" t="s">
        <v>2173</v>
      </c>
      <c r="F5970">
        <v>1</v>
      </c>
      <c r="G5970" t="s">
        <v>61</v>
      </c>
      <c r="H5970" t="s">
        <v>40</v>
      </c>
      <c r="I5970" t="s">
        <v>2188</v>
      </c>
      <c r="J5970" s="10">
        <v>3.5</v>
      </c>
      <c r="K5970" t="b">
        <v>1</v>
      </c>
    </row>
    <row r="5971" spans="1:11">
      <c r="A5971" s="12">
        <v>42387</v>
      </c>
      <c r="B5971">
        <v>2016</v>
      </c>
      <c r="C5971">
        <v>1</v>
      </c>
      <c r="D5971" s="11">
        <v>42370</v>
      </c>
      <c r="E5971" t="s">
        <v>2173</v>
      </c>
      <c r="F5971">
        <v>1</v>
      </c>
      <c r="G5971" t="s">
        <v>61</v>
      </c>
      <c r="H5971" t="s">
        <v>41</v>
      </c>
      <c r="I5971" t="s">
        <v>2189</v>
      </c>
      <c r="J5971" s="10">
        <v>2.99</v>
      </c>
      <c r="K5971" t="b">
        <v>1</v>
      </c>
    </row>
    <row r="5972" spans="1:11">
      <c r="A5972" s="12">
        <v>42387</v>
      </c>
      <c r="B5972">
        <v>2016</v>
      </c>
      <c r="C5972">
        <v>1</v>
      </c>
      <c r="D5972" s="11">
        <v>42370</v>
      </c>
      <c r="E5972" t="s">
        <v>2173</v>
      </c>
      <c r="F5972">
        <v>1</v>
      </c>
      <c r="G5972" t="s">
        <v>61</v>
      </c>
      <c r="H5972" t="s">
        <v>42</v>
      </c>
      <c r="I5972" t="s">
        <v>2190</v>
      </c>
      <c r="J5972" s="10">
        <v>4.3</v>
      </c>
      <c r="K5972" t="b">
        <v>1</v>
      </c>
    </row>
    <row r="5973" spans="1:11">
      <c r="A5973" s="12">
        <v>42387</v>
      </c>
      <c r="B5973">
        <v>2016</v>
      </c>
      <c r="C5973">
        <v>1</v>
      </c>
      <c r="D5973" s="11">
        <v>42370</v>
      </c>
      <c r="E5973" t="s">
        <v>2173</v>
      </c>
      <c r="F5973">
        <v>1</v>
      </c>
      <c r="G5973" t="s">
        <v>61</v>
      </c>
      <c r="H5973" t="s">
        <v>43</v>
      </c>
      <c r="I5973" t="s">
        <v>2191</v>
      </c>
      <c r="J5973" s="10">
        <v>62.8</v>
      </c>
      <c r="K5973" t="b">
        <v>1</v>
      </c>
    </row>
    <row r="5974" spans="1:11">
      <c r="A5974" s="12">
        <v>42387</v>
      </c>
      <c r="B5974">
        <v>2016</v>
      </c>
      <c r="C5974">
        <v>1</v>
      </c>
      <c r="D5974" s="11">
        <v>42370</v>
      </c>
      <c r="E5974" t="s">
        <v>2173</v>
      </c>
      <c r="F5974">
        <v>1</v>
      </c>
      <c r="G5974" t="s">
        <v>61</v>
      </c>
      <c r="H5974" t="s">
        <v>44</v>
      </c>
      <c r="I5974" t="s">
        <v>2192</v>
      </c>
      <c r="J5974" s="10">
        <v>3</v>
      </c>
      <c r="K5974" t="b">
        <v>1</v>
      </c>
    </row>
    <row r="5975" spans="1:11">
      <c r="A5975" s="12">
        <v>42387</v>
      </c>
      <c r="B5975">
        <v>2016</v>
      </c>
      <c r="C5975">
        <v>1</v>
      </c>
      <c r="D5975" s="11">
        <v>42370</v>
      </c>
      <c r="E5975" t="s">
        <v>2173</v>
      </c>
      <c r="F5975">
        <v>1</v>
      </c>
      <c r="G5975" t="s">
        <v>61</v>
      </c>
      <c r="H5975" t="s">
        <v>45</v>
      </c>
      <c r="I5975" t="s">
        <v>2193</v>
      </c>
      <c r="J5975" s="10">
        <v>2</v>
      </c>
      <c r="K5975" t="b">
        <v>1</v>
      </c>
    </row>
    <row r="5976" spans="1:11">
      <c r="A5976" s="12">
        <v>42387</v>
      </c>
      <c r="B5976">
        <v>2016</v>
      </c>
      <c r="C5976">
        <v>1</v>
      </c>
      <c r="D5976" s="11">
        <v>42370</v>
      </c>
      <c r="E5976" t="s">
        <v>2173</v>
      </c>
      <c r="F5976">
        <v>1</v>
      </c>
      <c r="G5976" t="s">
        <v>61</v>
      </c>
      <c r="H5976" t="s">
        <v>46</v>
      </c>
      <c r="I5976" t="s">
        <v>2194</v>
      </c>
      <c r="J5976" s="10">
        <v>9</v>
      </c>
      <c r="K5976" t="b">
        <v>1</v>
      </c>
    </row>
    <row r="5977" spans="1:11">
      <c r="A5977" s="12">
        <v>42387</v>
      </c>
      <c r="B5977">
        <v>2016</v>
      </c>
      <c r="C5977">
        <v>1</v>
      </c>
      <c r="D5977" s="11">
        <v>42370</v>
      </c>
      <c r="E5977" t="s">
        <v>2173</v>
      </c>
      <c r="F5977">
        <v>1</v>
      </c>
      <c r="G5977" t="s">
        <v>61</v>
      </c>
      <c r="H5977" t="s">
        <v>47</v>
      </c>
      <c r="I5977" t="s">
        <v>2195</v>
      </c>
      <c r="J5977" s="10">
        <v>2</v>
      </c>
      <c r="K5977" t="b">
        <v>1</v>
      </c>
    </row>
    <row r="5978" spans="1:11">
      <c r="A5978" s="12">
        <v>42388</v>
      </c>
      <c r="B5978">
        <v>2016</v>
      </c>
      <c r="C5978">
        <v>1</v>
      </c>
      <c r="D5978" s="11">
        <v>42370</v>
      </c>
      <c r="E5978" t="s">
        <v>2173</v>
      </c>
      <c r="F5978">
        <v>2</v>
      </c>
      <c r="G5978" t="s">
        <v>63</v>
      </c>
      <c r="H5978" t="s">
        <v>40</v>
      </c>
      <c r="I5978" t="s">
        <v>2188</v>
      </c>
      <c r="J5978" s="10">
        <v>6</v>
      </c>
      <c r="K5978" t="b">
        <v>1</v>
      </c>
    </row>
    <row r="5979" spans="1:11">
      <c r="A5979" s="12">
        <v>42388</v>
      </c>
      <c r="B5979">
        <v>2016</v>
      </c>
      <c r="C5979">
        <v>1</v>
      </c>
      <c r="D5979" s="11">
        <v>42370</v>
      </c>
      <c r="E5979" t="s">
        <v>2173</v>
      </c>
      <c r="F5979">
        <v>2</v>
      </c>
      <c r="G5979" t="s">
        <v>63</v>
      </c>
      <c r="H5979" t="s">
        <v>41</v>
      </c>
      <c r="I5979" t="s">
        <v>2189</v>
      </c>
      <c r="J5979" s="10">
        <v>5.66</v>
      </c>
      <c r="K5979" t="b">
        <v>1</v>
      </c>
    </row>
    <row r="5980" spans="1:11">
      <c r="A5980" s="12">
        <v>42388</v>
      </c>
      <c r="B5980">
        <v>2016</v>
      </c>
      <c r="C5980">
        <v>1</v>
      </c>
      <c r="D5980" s="11">
        <v>42370</v>
      </c>
      <c r="E5980" t="s">
        <v>2173</v>
      </c>
      <c r="F5980">
        <v>2</v>
      </c>
      <c r="G5980" t="s">
        <v>63</v>
      </c>
      <c r="H5980" t="s">
        <v>42</v>
      </c>
      <c r="I5980" t="s">
        <v>2190</v>
      </c>
      <c r="J5980" s="10">
        <v>6</v>
      </c>
      <c r="K5980" t="b">
        <v>1</v>
      </c>
    </row>
    <row r="5981" spans="1:11">
      <c r="A5981" s="12">
        <v>42388</v>
      </c>
      <c r="B5981">
        <v>2016</v>
      </c>
      <c r="C5981">
        <v>1</v>
      </c>
      <c r="D5981" s="11">
        <v>42370</v>
      </c>
      <c r="E5981" t="s">
        <v>2173</v>
      </c>
      <c r="F5981">
        <v>2</v>
      </c>
      <c r="G5981" t="s">
        <v>63</v>
      </c>
      <c r="H5981" t="s">
        <v>43</v>
      </c>
      <c r="I5981" t="s">
        <v>2191</v>
      </c>
      <c r="J5981" s="10">
        <v>49.8</v>
      </c>
      <c r="K5981" t="b">
        <v>1</v>
      </c>
    </row>
    <row r="5982" spans="1:11">
      <c r="A5982" s="12">
        <v>42388</v>
      </c>
      <c r="B5982">
        <v>2016</v>
      </c>
      <c r="C5982">
        <v>1</v>
      </c>
      <c r="D5982" s="11">
        <v>42370</v>
      </c>
      <c r="E5982" t="s">
        <v>2173</v>
      </c>
      <c r="F5982">
        <v>2</v>
      </c>
      <c r="G5982" t="s">
        <v>63</v>
      </c>
      <c r="H5982" t="s">
        <v>44</v>
      </c>
      <c r="I5982" t="s">
        <v>2192</v>
      </c>
      <c r="J5982" s="10">
        <v>7</v>
      </c>
      <c r="K5982" t="b">
        <v>1</v>
      </c>
    </row>
    <row r="5983" spans="1:11">
      <c r="A5983" s="12">
        <v>42388</v>
      </c>
      <c r="B5983">
        <v>2016</v>
      </c>
      <c r="C5983">
        <v>1</v>
      </c>
      <c r="D5983" s="11">
        <v>42370</v>
      </c>
      <c r="E5983" t="s">
        <v>2173</v>
      </c>
      <c r="F5983">
        <v>2</v>
      </c>
      <c r="G5983" t="s">
        <v>63</v>
      </c>
      <c r="H5983" t="s">
        <v>45</v>
      </c>
      <c r="I5983" t="s">
        <v>2193</v>
      </c>
      <c r="J5983" s="10">
        <v>0</v>
      </c>
      <c r="K5983" t="b">
        <v>1</v>
      </c>
    </row>
    <row r="5984" spans="1:11">
      <c r="A5984" s="12">
        <v>42388</v>
      </c>
      <c r="B5984">
        <v>2016</v>
      </c>
      <c r="C5984">
        <v>1</v>
      </c>
      <c r="D5984" s="11">
        <v>42370</v>
      </c>
      <c r="E5984" t="s">
        <v>2173</v>
      </c>
      <c r="F5984">
        <v>2</v>
      </c>
      <c r="G5984" t="s">
        <v>63</v>
      </c>
      <c r="H5984" t="s">
        <v>46</v>
      </c>
      <c r="I5984" t="s">
        <v>2194</v>
      </c>
      <c r="J5984" s="10">
        <v>0</v>
      </c>
      <c r="K5984" t="b">
        <v>1</v>
      </c>
    </row>
    <row r="5985" spans="1:11">
      <c r="A5985" s="12">
        <v>42388</v>
      </c>
      <c r="B5985">
        <v>2016</v>
      </c>
      <c r="C5985">
        <v>1</v>
      </c>
      <c r="D5985" s="11">
        <v>42370</v>
      </c>
      <c r="E5985" t="s">
        <v>2173</v>
      </c>
      <c r="F5985">
        <v>2</v>
      </c>
      <c r="G5985" t="s">
        <v>63</v>
      </c>
      <c r="H5985" t="s">
        <v>47</v>
      </c>
      <c r="I5985" t="s">
        <v>2195</v>
      </c>
      <c r="J5985" s="10">
        <v>3</v>
      </c>
      <c r="K5985" t="b">
        <v>1</v>
      </c>
    </row>
    <row r="5986" spans="1:11">
      <c r="A5986" s="12">
        <v>42389</v>
      </c>
      <c r="B5986">
        <v>2016</v>
      </c>
      <c r="C5986">
        <v>1</v>
      </c>
      <c r="D5986" s="11">
        <v>42370</v>
      </c>
      <c r="E5986" t="s">
        <v>2173</v>
      </c>
      <c r="F5986">
        <v>3</v>
      </c>
      <c r="G5986" t="s">
        <v>65</v>
      </c>
      <c r="H5986" t="s">
        <v>40</v>
      </c>
      <c r="I5986" t="s">
        <v>2188</v>
      </c>
      <c r="J5986" s="10">
        <v>2.32</v>
      </c>
      <c r="K5986" t="b">
        <v>1</v>
      </c>
    </row>
    <row r="5987" spans="1:11">
      <c r="A5987" s="12">
        <v>42389</v>
      </c>
      <c r="B5987">
        <v>2016</v>
      </c>
      <c r="C5987">
        <v>1</v>
      </c>
      <c r="D5987" s="11">
        <v>42370</v>
      </c>
      <c r="E5987" t="s">
        <v>2173</v>
      </c>
      <c r="F5987">
        <v>3</v>
      </c>
      <c r="G5987" t="s">
        <v>65</v>
      </c>
      <c r="H5987" t="s">
        <v>41</v>
      </c>
      <c r="I5987" t="s">
        <v>2189</v>
      </c>
      <c r="J5987" s="10">
        <v>3.363</v>
      </c>
      <c r="K5987" t="b">
        <v>1</v>
      </c>
    </row>
    <row r="5988" spans="1:11">
      <c r="A5988" s="12">
        <v>42389</v>
      </c>
      <c r="B5988">
        <v>2016</v>
      </c>
      <c r="C5988">
        <v>1</v>
      </c>
      <c r="D5988" s="11">
        <v>42370</v>
      </c>
      <c r="E5988" t="s">
        <v>2173</v>
      </c>
      <c r="F5988">
        <v>3</v>
      </c>
      <c r="G5988" t="s">
        <v>65</v>
      </c>
      <c r="H5988" t="s">
        <v>42</v>
      </c>
      <c r="I5988" t="s">
        <v>2190</v>
      </c>
      <c r="J5988" s="10">
        <v>3</v>
      </c>
      <c r="K5988" t="b">
        <v>1</v>
      </c>
    </row>
    <row r="5989" spans="1:11">
      <c r="A5989" s="12">
        <v>42389</v>
      </c>
      <c r="B5989">
        <v>2016</v>
      </c>
      <c r="C5989">
        <v>1</v>
      </c>
      <c r="D5989" s="11">
        <v>42370</v>
      </c>
      <c r="E5989" t="s">
        <v>2173</v>
      </c>
      <c r="F5989">
        <v>3</v>
      </c>
      <c r="G5989" t="s">
        <v>65</v>
      </c>
      <c r="H5989" t="s">
        <v>43</v>
      </c>
      <c r="I5989" t="s">
        <v>2191</v>
      </c>
      <c r="J5989" s="10">
        <v>15.1</v>
      </c>
      <c r="K5989" t="b">
        <v>1</v>
      </c>
    </row>
    <row r="5990" spans="1:11">
      <c r="A5990" s="12">
        <v>42389</v>
      </c>
      <c r="B5990">
        <v>2016</v>
      </c>
      <c r="C5990">
        <v>1</v>
      </c>
      <c r="D5990" s="11">
        <v>42370</v>
      </c>
      <c r="E5990" t="s">
        <v>2173</v>
      </c>
      <c r="F5990">
        <v>3</v>
      </c>
      <c r="G5990" t="s">
        <v>65</v>
      </c>
      <c r="H5990" t="s">
        <v>44</v>
      </c>
      <c r="I5990" t="s">
        <v>2192</v>
      </c>
      <c r="J5990" s="10">
        <v>29</v>
      </c>
      <c r="K5990" t="b">
        <v>1</v>
      </c>
    </row>
    <row r="5991" spans="1:11">
      <c r="A5991" s="12">
        <v>42389</v>
      </c>
      <c r="B5991">
        <v>2016</v>
      </c>
      <c r="C5991">
        <v>1</v>
      </c>
      <c r="D5991" s="11">
        <v>42370</v>
      </c>
      <c r="E5991" t="s">
        <v>2173</v>
      </c>
      <c r="F5991">
        <v>3</v>
      </c>
      <c r="G5991" t="s">
        <v>65</v>
      </c>
      <c r="H5991" t="s">
        <v>45</v>
      </c>
      <c r="I5991" t="s">
        <v>2193</v>
      </c>
      <c r="J5991" s="10">
        <v>3</v>
      </c>
      <c r="K5991" t="b">
        <v>1</v>
      </c>
    </row>
    <row r="5992" spans="1:11">
      <c r="A5992" s="12">
        <v>42389</v>
      </c>
      <c r="B5992">
        <v>2016</v>
      </c>
      <c r="C5992">
        <v>1</v>
      </c>
      <c r="D5992" s="11">
        <v>42370</v>
      </c>
      <c r="E5992" t="s">
        <v>2173</v>
      </c>
      <c r="F5992">
        <v>3</v>
      </c>
      <c r="G5992" t="s">
        <v>65</v>
      </c>
      <c r="H5992" t="s">
        <v>46</v>
      </c>
      <c r="I5992" t="s">
        <v>2194</v>
      </c>
      <c r="J5992" s="10">
        <v>3</v>
      </c>
      <c r="K5992" t="b">
        <v>1</v>
      </c>
    </row>
    <row r="5993" spans="1:11">
      <c r="A5993" s="12">
        <v>42389</v>
      </c>
      <c r="B5993">
        <v>2016</v>
      </c>
      <c r="C5993">
        <v>1</v>
      </c>
      <c r="D5993" s="11">
        <v>42370</v>
      </c>
      <c r="E5993" t="s">
        <v>2173</v>
      </c>
      <c r="F5993">
        <v>3</v>
      </c>
      <c r="G5993" t="s">
        <v>65</v>
      </c>
      <c r="H5993" t="s">
        <v>47</v>
      </c>
      <c r="I5993" t="s">
        <v>2195</v>
      </c>
      <c r="J5993" s="10">
        <v>2</v>
      </c>
      <c r="K5993" t="b">
        <v>1</v>
      </c>
    </row>
    <row r="5994" spans="1:11">
      <c r="A5994" s="12">
        <v>42390</v>
      </c>
      <c r="B5994">
        <v>2016</v>
      </c>
      <c r="C5994">
        <v>1</v>
      </c>
      <c r="D5994" s="11">
        <v>42370</v>
      </c>
      <c r="E5994" t="s">
        <v>2173</v>
      </c>
      <c r="F5994">
        <v>4</v>
      </c>
      <c r="G5994" t="s">
        <v>53</v>
      </c>
      <c r="H5994" t="s">
        <v>40</v>
      </c>
      <c r="I5994" t="s">
        <v>2188</v>
      </c>
      <c r="J5994" s="10">
        <v>5</v>
      </c>
      <c r="K5994" t="b">
        <v>1</v>
      </c>
    </row>
    <row r="5995" spans="1:11">
      <c r="A5995" s="12">
        <v>42390</v>
      </c>
      <c r="B5995">
        <v>2016</v>
      </c>
      <c r="C5995">
        <v>1</v>
      </c>
      <c r="D5995" s="11">
        <v>42370</v>
      </c>
      <c r="E5995" t="s">
        <v>2173</v>
      </c>
      <c r="F5995">
        <v>4</v>
      </c>
      <c r="G5995" t="s">
        <v>53</v>
      </c>
      <c r="H5995" t="s">
        <v>41</v>
      </c>
      <c r="I5995" t="s">
        <v>2189</v>
      </c>
      <c r="J5995" s="10">
        <v>1.43</v>
      </c>
      <c r="K5995" t="b">
        <v>1</v>
      </c>
    </row>
    <row r="5996" spans="1:11">
      <c r="A5996" s="12">
        <v>42390</v>
      </c>
      <c r="B5996">
        <v>2016</v>
      </c>
      <c r="C5996">
        <v>1</v>
      </c>
      <c r="D5996" s="11">
        <v>42370</v>
      </c>
      <c r="E5996" t="s">
        <v>2173</v>
      </c>
      <c r="F5996">
        <v>4</v>
      </c>
      <c r="G5996" t="s">
        <v>53</v>
      </c>
      <c r="H5996" t="s">
        <v>42</v>
      </c>
      <c r="I5996" t="s">
        <v>2190</v>
      </c>
      <c r="J5996" s="10">
        <v>1</v>
      </c>
      <c r="K5996" t="b">
        <v>1</v>
      </c>
    </row>
    <row r="5997" spans="1:11">
      <c r="A5997" s="12">
        <v>42390</v>
      </c>
      <c r="B5997">
        <v>2016</v>
      </c>
      <c r="C5997">
        <v>1</v>
      </c>
      <c r="D5997" s="11">
        <v>42370</v>
      </c>
      <c r="E5997" t="s">
        <v>2173</v>
      </c>
      <c r="F5997">
        <v>4</v>
      </c>
      <c r="G5997" t="s">
        <v>53</v>
      </c>
      <c r="H5997" t="s">
        <v>43</v>
      </c>
      <c r="I5997" t="s">
        <v>2191</v>
      </c>
      <c r="J5997" s="10">
        <v>68.40000000000001</v>
      </c>
      <c r="K5997" t="b">
        <v>1</v>
      </c>
    </row>
    <row r="5998" spans="1:11">
      <c r="A5998" s="12">
        <v>42390</v>
      </c>
      <c r="B5998">
        <v>2016</v>
      </c>
      <c r="C5998">
        <v>1</v>
      </c>
      <c r="D5998" s="11">
        <v>42370</v>
      </c>
      <c r="E5998" t="s">
        <v>2173</v>
      </c>
      <c r="F5998">
        <v>4</v>
      </c>
      <c r="G5998" t="s">
        <v>53</v>
      </c>
      <c r="H5998" t="s">
        <v>44</v>
      </c>
      <c r="I5998" t="s">
        <v>2192</v>
      </c>
      <c r="J5998" s="10">
        <v>8</v>
      </c>
      <c r="K5998" t="b">
        <v>1</v>
      </c>
    </row>
    <row r="5999" spans="1:11">
      <c r="A5999" s="12">
        <v>42390</v>
      </c>
      <c r="B5999">
        <v>2016</v>
      </c>
      <c r="C5999">
        <v>1</v>
      </c>
      <c r="D5999" s="11">
        <v>42370</v>
      </c>
      <c r="E5999" t="s">
        <v>2173</v>
      </c>
      <c r="F5999">
        <v>4</v>
      </c>
      <c r="G5999" t="s">
        <v>53</v>
      </c>
      <c r="H5999" t="s">
        <v>45</v>
      </c>
      <c r="I5999" t="s">
        <v>2193</v>
      </c>
      <c r="J5999" s="10">
        <v>4</v>
      </c>
      <c r="K5999" t="b">
        <v>1</v>
      </c>
    </row>
    <row r="6000" spans="1:11">
      <c r="A6000" s="12">
        <v>42390</v>
      </c>
      <c r="B6000">
        <v>2016</v>
      </c>
      <c r="C6000">
        <v>1</v>
      </c>
      <c r="D6000" s="11">
        <v>42370</v>
      </c>
      <c r="E6000" t="s">
        <v>2173</v>
      </c>
      <c r="F6000">
        <v>4</v>
      </c>
      <c r="G6000" t="s">
        <v>53</v>
      </c>
      <c r="H6000" t="s">
        <v>46</v>
      </c>
      <c r="I6000" t="s">
        <v>2194</v>
      </c>
      <c r="J6000" s="10">
        <v>6</v>
      </c>
      <c r="K6000" t="b">
        <v>1</v>
      </c>
    </row>
    <row r="6001" spans="1:11">
      <c r="A6001" s="12">
        <v>42390</v>
      </c>
      <c r="B6001">
        <v>2016</v>
      </c>
      <c r="C6001">
        <v>1</v>
      </c>
      <c r="D6001" s="11">
        <v>42370</v>
      </c>
      <c r="E6001" t="s">
        <v>2173</v>
      </c>
      <c r="F6001">
        <v>4</v>
      </c>
      <c r="G6001" t="s">
        <v>53</v>
      </c>
      <c r="H6001" t="s">
        <v>47</v>
      </c>
      <c r="I6001" t="s">
        <v>2195</v>
      </c>
      <c r="J6001" s="10">
        <v>5</v>
      </c>
      <c r="K6001" t="b">
        <v>1</v>
      </c>
    </row>
    <row r="6002" spans="1:11">
      <c r="A6002" s="12">
        <v>42391</v>
      </c>
      <c r="B6002">
        <v>2016</v>
      </c>
      <c r="C6002">
        <v>1</v>
      </c>
      <c r="D6002" s="11">
        <v>42370</v>
      </c>
      <c r="E6002" t="s">
        <v>2173</v>
      </c>
      <c r="F6002">
        <v>5</v>
      </c>
      <c r="G6002" t="s">
        <v>55</v>
      </c>
      <c r="H6002" t="s">
        <v>40</v>
      </c>
      <c r="I6002" t="s">
        <v>2188</v>
      </c>
      <c r="J6002" s="10">
        <v>0.83</v>
      </c>
      <c r="K6002" t="b">
        <v>1</v>
      </c>
    </row>
    <row r="6003" spans="1:11">
      <c r="A6003" s="12">
        <v>42391</v>
      </c>
      <c r="B6003">
        <v>2016</v>
      </c>
      <c r="C6003">
        <v>1</v>
      </c>
      <c r="D6003" s="11">
        <v>42370</v>
      </c>
      <c r="E6003" t="s">
        <v>2173</v>
      </c>
      <c r="F6003">
        <v>5</v>
      </c>
      <c r="G6003" t="s">
        <v>55</v>
      </c>
      <c r="H6003" t="s">
        <v>41</v>
      </c>
      <c r="I6003" t="s">
        <v>2189</v>
      </c>
      <c r="J6003" s="10">
        <v>7.678</v>
      </c>
      <c r="K6003" t="b">
        <v>1</v>
      </c>
    </row>
    <row r="6004" spans="1:11">
      <c r="A6004" s="12">
        <v>42391</v>
      </c>
      <c r="B6004">
        <v>2016</v>
      </c>
      <c r="C6004">
        <v>1</v>
      </c>
      <c r="D6004" s="11">
        <v>42370</v>
      </c>
      <c r="E6004" t="s">
        <v>2173</v>
      </c>
      <c r="F6004">
        <v>5</v>
      </c>
      <c r="G6004" t="s">
        <v>55</v>
      </c>
      <c r="H6004" t="s">
        <v>42</v>
      </c>
      <c r="I6004" t="s">
        <v>2190</v>
      </c>
      <c r="J6004" s="10">
        <v>7</v>
      </c>
      <c r="K6004" t="b">
        <v>1</v>
      </c>
    </row>
    <row r="6005" spans="1:11">
      <c r="A6005" s="12">
        <v>42391</v>
      </c>
      <c r="B6005">
        <v>2016</v>
      </c>
      <c r="C6005">
        <v>1</v>
      </c>
      <c r="D6005" s="11">
        <v>42370</v>
      </c>
      <c r="E6005" t="s">
        <v>2173</v>
      </c>
      <c r="F6005">
        <v>5</v>
      </c>
      <c r="G6005" t="s">
        <v>55</v>
      </c>
      <c r="H6005" t="s">
        <v>43</v>
      </c>
      <c r="I6005" t="s">
        <v>2191</v>
      </c>
      <c r="J6005" s="10">
        <v>39.5</v>
      </c>
      <c r="K6005" t="b">
        <v>1</v>
      </c>
    </row>
    <row r="6006" spans="1:11">
      <c r="A6006" s="12">
        <v>42391</v>
      </c>
      <c r="B6006">
        <v>2016</v>
      </c>
      <c r="C6006">
        <v>1</v>
      </c>
      <c r="D6006" s="11">
        <v>42370</v>
      </c>
      <c r="E6006" t="s">
        <v>2173</v>
      </c>
      <c r="F6006">
        <v>5</v>
      </c>
      <c r="G6006" t="s">
        <v>55</v>
      </c>
      <c r="H6006" t="s">
        <v>44</v>
      </c>
      <c r="I6006" t="s">
        <v>2192</v>
      </c>
      <c r="J6006" s="10">
        <v>11</v>
      </c>
      <c r="K6006" t="b">
        <v>1</v>
      </c>
    </row>
    <row r="6007" spans="1:11">
      <c r="A6007" s="12">
        <v>42391</v>
      </c>
      <c r="B6007">
        <v>2016</v>
      </c>
      <c r="C6007">
        <v>1</v>
      </c>
      <c r="D6007" s="11">
        <v>42370</v>
      </c>
      <c r="E6007" t="s">
        <v>2173</v>
      </c>
      <c r="F6007">
        <v>5</v>
      </c>
      <c r="G6007" t="s">
        <v>55</v>
      </c>
      <c r="H6007" t="s">
        <v>45</v>
      </c>
      <c r="I6007" t="s">
        <v>2193</v>
      </c>
      <c r="J6007" s="10">
        <v>0</v>
      </c>
      <c r="K6007" t="b">
        <v>1</v>
      </c>
    </row>
    <row r="6008" spans="1:11">
      <c r="A6008" s="12">
        <v>42391</v>
      </c>
      <c r="B6008">
        <v>2016</v>
      </c>
      <c r="C6008">
        <v>1</v>
      </c>
      <c r="D6008" s="11">
        <v>42370</v>
      </c>
      <c r="E6008" t="s">
        <v>2173</v>
      </c>
      <c r="F6008">
        <v>5</v>
      </c>
      <c r="G6008" t="s">
        <v>55</v>
      </c>
      <c r="H6008" t="s">
        <v>46</v>
      </c>
      <c r="I6008" t="s">
        <v>2194</v>
      </c>
      <c r="J6008" s="10">
        <v>10</v>
      </c>
      <c r="K6008" t="b">
        <v>1</v>
      </c>
    </row>
    <row r="6009" spans="1:11">
      <c r="A6009" s="12">
        <v>42391</v>
      </c>
      <c r="B6009">
        <v>2016</v>
      </c>
      <c r="C6009">
        <v>1</v>
      </c>
      <c r="D6009" s="11">
        <v>42370</v>
      </c>
      <c r="E6009" t="s">
        <v>2173</v>
      </c>
      <c r="F6009">
        <v>5</v>
      </c>
      <c r="G6009" t="s">
        <v>55</v>
      </c>
      <c r="H6009" t="s">
        <v>47</v>
      </c>
      <c r="I6009" t="s">
        <v>2195</v>
      </c>
      <c r="J6009" s="10">
        <v>0</v>
      </c>
      <c r="K6009" t="b">
        <v>1</v>
      </c>
    </row>
    <row r="6010" spans="1:11">
      <c r="A6010" s="12">
        <v>42392</v>
      </c>
      <c r="B6010">
        <v>2016</v>
      </c>
      <c r="C6010">
        <v>1</v>
      </c>
      <c r="D6010" s="11">
        <v>42370</v>
      </c>
      <c r="E6010" t="s">
        <v>2173</v>
      </c>
      <c r="F6010">
        <v>6</v>
      </c>
      <c r="G6010" t="s">
        <v>57</v>
      </c>
      <c r="H6010" t="s">
        <v>40</v>
      </c>
      <c r="I6010" t="s">
        <v>2188</v>
      </c>
      <c r="J6010" s="10">
        <v>6.33</v>
      </c>
      <c r="K6010" t="b">
        <v>1</v>
      </c>
    </row>
    <row r="6011" spans="1:11">
      <c r="A6011" s="12">
        <v>42392</v>
      </c>
      <c r="B6011">
        <v>2016</v>
      </c>
      <c r="C6011">
        <v>1</v>
      </c>
      <c r="D6011" s="11">
        <v>42370</v>
      </c>
      <c r="E6011" t="s">
        <v>2173</v>
      </c>
      <c r="F6011">
        <v>6</v>
      </c>
      <c r="G6011" t="s">
        <v>57</v>
      </c>
      <c r="H6011" t="s">
        <v>41</v>
      </c>
      <c r="I6011" t="s">
        <v>2189</v>
      </c>
      <c r="J6011" s="10">
        <v>6.132</v>
      </c>
      <c r="K6011" t="b">
        <v>1</v>
      </c>
    </row>
    <row r="6012" spans="1:11">
      <c r="A6012" s="12">
        <v>42392</v>
      </c>
      <c r="B6012">
        <v>2016</v>
      </c>
      <c r="C6012">
        <v>1</v>
      </c>
      <c r="D6012" s="11">
        <v>42370</v>
      </c>
      <c r="E6012" t="s">
        <v>2173</v>
      </c>
      <c r="F6012">
        <v>6</v>
      </c>
      <c r="G6012" t="s">
        <v>57</v>
      </c>
      <c r="H6012" t="s">
        <v>42</v>
      </c>
      <c r="I6012" t="s">
        <v>2190</v>
      </c>
      <c r="J6012" s="10">
        <v>7.1</v>
      </c>
      <c r="K6012" t="b">
        <v>1</v>
      </c>
    </row>
    <row r="6013" spans="1:11">
      <c r="A6013" s="12">
        <v>42392</v>
      </c>
      <c r="B6013">
        <v>2016</v>
      </c>
      <c r="C6013">
        <v>1</v>
      </c>
      <c r="D6013" s="11">
        <v>42370</v>
      </c>
      <c r="E6013" t="s">
        <v>2173</v>
      </c>
      <c r="F6013">
        <v>6</v>
      </c>
      <c r="G6013" t="s">
        <v>57</v>
      </c>
      <c r="H6013" t="s">
        <v>43</v>
      </c>
      <c r="I6013" t="s">
        <v>2191</v>
      </c>
      <c r="J6013" s="10">
        <v>36.8</v>
      </c>
      <c r="K6013" t="b">
        <v>1</v>
      </c>
    </row>
    <row r="6014" spans="1:11">
      <c r="A6014" s="12">
        <v>42392</v>
      </c>
      <c r="B6014">
        <v>2016</v>
      </c>
      <c r="C6014">
        <v>1</v>
      </c>
      <c r="D6014" s="11">
        <v>42370</v>
      </c>
      <c r="E6014" t="s">
        <v>2173</v>
      </c>
      <c r="F6014">
        <v>6</v>
      </c>
      <c r="G6014" t="s">
        <v>57</v>
      </c>
      <c r="H6014" t="s">
        <v>44</v>
      </c>
      <c r="I6014" t="s">
        <v>2192</v>
      </c>
      <c r="J6014" s="10">
        <v>4</v>
      </c>
      <c r="K6014" t="b">
        <v>1</v>
      </c>
    </row>
    <row r="6015" spans="1:11">
      <c r="A6015" s="12">
        <v>42392</v>
      </c>
      <c r="B6015">
        <v>2016</v>
      </c>
      <c r="C6015">
        <v>1</v>
      </c>
      <c r="D6015" s="11">
        <v>42370</v>
      </c>
      <c r="E6015" t="s">
        <v>2173</v>
      </c>
      <c r="F6015">
        <v>6</v>
      </c>
      <c r="G6015" t="s">
        <v>57</v>
      </c>
      <c r="H6015" t="s">
        <v>45</v>
      </c>
      <c r="I6015" t="s">
        <v>2193</v>
      </c>
      <c r="J6015" s="10">
        <v>0</v>
      </c>
      <c r="K6015" t="b">
        <v>1</v>
      </c>
    </row>
    <row r="6016" spans="1:11">
      <c r="A6016" s="12">
        <v>42392</v>
      </c>
      <c r="B6016">
        <v>2016</v>
      </c>
      <c r="C6016">
        <v>1</v>
      </c>
      <c r="D6016" s="11">
        <v>42370</v>
      </c>
      <c r="E6016" t="s">
        <v>2173</v>
      </c>
      <c r="F6016">
        <v>6</v>
      </c>
      <c r="G6016" t="s">
        <v>57</v>
      </c>
      <c r="H6016" t="s">
        <v>46</v>
      </c>
      <c r="I6016" t="s">
        <v>2194</v>
      </c>
      <c r="J6016" s="10">
        <v>6</v>
      </c>
      <c r="K6016" t="b">
        <v>1</v>
      </c>
    </row>
    <row r="6017" spans="1:11">
      <c r="A6017" s="12">
        <v>42392</v>
      </c>
      <c r="B6017">
        <v>2016</v>
      </c>
      <c r="C6017">
        <v>1</v>
      </c>
      <c r="D6017" s="11">
        <v>42370</v>
      </c>
      <c r="E6017" t="s">
        <v>2173</v>
      </c>
      <c r="F6017">
        <v>6</v>
      </c>
      <c r="G6017" t="s">
        <v>57</v>
      </c>
      <c r="H6017" t="s">
        <v>47</v>
      </c>
      <c r="I6017" t="s">
        <v>2195</v>
      </c>
      <c r="J6017" s="10">
        <v>2</v>
      </c>
      <c r="K6017" t="b">
        <v>1</v>
      </c>
    </row>
    <row r="6018" spans="1:11">
      <c r="A6018" s="12">
        <v>42393</v>
      </c>
      <c r="B6018">
        <v>2016</v>
      </c>
      <c r="C6018">
        <v>1</v>
      </c>
      <c r="D6018" s="11">
        <v>42370</v>
      </c>
      <c r="E6018" t="s">
        <v>2173</v>
      </c>
      <c r="F6018">
        <v>7</v>
      </c>
      <c r="G6018" t="s">
        <v>59</v>
      </c>
      <c r="H6018" t="s">
        <v>40</v>
      </c>
      <c r="I6018" t="s">
        <v>2188</v>
      </c>
      <c r="J6018" s="10">
        <v>4</v>
      </c>
      <c r="K6018" t="b">
        <v>1</v>
      </c>
    </row>
    <row r="6019" spans="1:11">
      <c r="A6019" s="12">
        <v>42393</v>
      </c>
      <c r="B6019">
        <v>2016</v>
      </c>
      <c r="C6019">
        <v>1</v>
      </c>
      <c r="D6019" s="11">
        <v>42370</v>
      </c>
      <c r="E6019" t="s">
        <v>2173</v>
      </c>
      <c r="F6019">
        <v>7</v>
      </c>
      <c r="G6019" t="s">
        <v>59</v>
      </c>
      <c r="H6019" t="s">
        <v>41</v>
      </c>
      <c r="I6019" t="s">
        <v>2189</v>
      </c>
      <c r="J6019" s="10">
        <v>6.122</v>
      </c>
      <c r="K6019" t="b">
        <v>1</v>
      </c>
    </row>
    <row r="6020" spans="1:11">
      <c r="A6020" s="12">
        <v>42393</v>
      </c>
      <c r="B6020">
        <v>2016</v>
      </c>
      <c r="C6020">
        <v>1</v>
      </c>
      <c r="D6020" s="11">
        <v>42370</v>
      </c>
      <c r="E6020" t="s">
        <v>2173</v>
      </c>
      <c r="F6020">
        <v>7</v>
      </c>
      <c r="G6020" t="s">
        <v>59</v>
      </c>
      <c r="H6020" t="s">
        <v>42</v>
      </c>
      <c r="I6020" t="s">
        <v>2190</v>
      </c>
      <c r="J6020" s="10">
        <v>11.3</v>
      </c>
      <c r="K6020" t="b">
        <v>1</v>
      </c>
    </row>
    <row r="6021" spans="1:11">
      <c r="A6021" s="12">
        <v>42393</v>
      </c>
      <c r="B6021">
        <v>2016</v>
      </c>
      <c r="C6021">
        <v>1</v>
      </c>
      <c r="D6021" s="11">
        <v>42370</v>
      </c>
      <c r="E6021" t="s">
        <v>2173</v>
      </c>
      <c r="F6021">
        <v>7</v>
      </c>
      <c r="G6021" t="s">
        <v>59</v>
      </c>
      <c r="H6021" t="s">
        <v>43</v>
      </c>
      <c r="I6021" t="s">
        <v>2191</v>
      </c>
      <c r="J6021" s="10">
        <v>48.1</v>
      </c>
      <c r="K6021" t="b">
        <v>1</v>
      </c>
    </row>
    <row r="6022" spans="1:11">
      <c r="A6022" s="12">
        <v>42393</v>
      </c>
      <c r="B6022">
        <v>2016</v>
      </c>
      <c r="C6022">
        <v>1</v>
      </c>
      <c r="D6022" s="11">
        <v>42370</v>
      </c>
      <c r="E6022" t="s">
        <v>2173</v>
      </c>
      <c r="F6022">
        <v>7</v>
      </c>
      <c r="G6022" t="s">
        <v>59</v>
      </c>
      <c r="H6022" t="s">
        <v>44</v>
      </c>
      <c r="I6022" t="s">
        <v>2192</v>
      </c>
      <c r="J6022" s="10">
        <v>3</v>
      </c>
      <c r="K6022" t="b">
        <v>1</v>
      </c>
    </row>
    <row r="6023" spans="1:11">
      <c r="A6023" s="12">
        <v>42393</v>
      </c>
      <c r="B6023">
        <v>2016</v>
      </c>
      <c r="C6023">
        <v>1</v>
      </c>
      <c r="D6023" s="11">
        <v>42370</v>
      </c>
      <c r="E6023" t="s">
        <v>2173</v>
      </c>
      <c r="F6023">
        <v>7</v>
      </c>
      <c r="G6023" t="s">
        <v>59</v>
      </c>
      <c r="H6023" t="s">
        <v>45</v>
      </c>
      <c r="I6023" t="s">
        <v>2193</v>
      </c>
      <c r="J6023" s="10">
        <v>0</v>
      </c>
      <c r="K6023" t="b">
        <v>1</v>
      </c>
    </row>
    <row r="6024" spans="1:11">
      <c r="A6024" s="12">
        <v>42393</v>
      </c>
      <c r="B6024">
        <v>2016</v>
      </c>
      <c r="C6024">
        <v>1</v>
      </c>
      <c r="D6024" s="11">
        <v>42370</v>
      </c>
      <c r="E6024" t="s">
        <v>2173</v>
      </c>
      <c r="F6024">
        <v>7</v>
      </c>
      <c r="G6024" t="s">
        <v>59</v>
      </c>
      <c r="H6024" t="s">
        <v>46</v>
      </c>
      <c r="I6024" t="s">
        <v>2194</v>
      </c>
      <c r="J6024" s="10">
        <v>12</v>
      </c>
      <c r="K6024" t="b">
        <v>1</v>
      </c>
    </row>
    <row r="6025" spans="1:11">
      <c r="A6025" s="12">
        <v>42393</v>
      </c>
      <c r="B6025">
        <v>2016</v>
      </c>
      <c r="C6025">
        <v>1</v>
      </c>
      <c r="D6025" s="11">
        <v>42370</v>
      </c>
      <c r="E6025" t="s">
        <v>2173</v>
      </c>
      <c r="F6025">
        <v>7</v>
      </c>
      <c r="G6025" t="s">
        <v>59</v>
      </c>
      <c r="H6025" t="s">
        <v>47</v>
      </c>
      <c r="I6025" t="s">
        <v>2195</v>
      </c>
      <c r="J6025" s="10">
        <v>3</v>
      </c>
      <c r="K6025" t="b">
        <v>1</v>
      </c>
    </row>
    <row r="6026" spans="1:11">
      <c r="A6026" s="12">
        <v>42394</v>
      </c>
      <c r="B6026">
        <v>2016</v>
      </c>
      <c r="C6026">
        <v>1</v>
      </c>
      <c r="D6026" s="11">
        <v>42370</v>
      </c>
      <c r="E6026" t="s">
        <v>2173</v>
      </c>
      <c r="F6026">
        <v>1</v>
      </c>
      <c r="G6026" t="s">
        <v>61</v>
      </c>
      <c r="H6026" t="s">
        <v>40</v>
      </c>
      <c r="I6026" t="s">
        <v>2188</v>
      </c>
      <c r="J6026" s="10">
        <v>10.33</v>
      </c>
      <c r="K6026" t="b">
        <v>1</v>
      </c>
    </row>
    <row r="6027" spans="1:11">
      <c r="A6027" s="12">
        <v>42394</v>
      </c>
      <c r="B6027">
        <v>2016</v>
      </c>
      <c r="C6027">
        <v>1</v>
      </c>
      <c r="D6027" s="11">
        <v>42370</v>
      </c>
      <c r="E6027" t="s">
        <v>2173</v>
      </c>
      <c r="F6027">
        <v>1</v>
      </c>
      <c r="G6027" t="s">
        <v>61</v>
      </c>
      <c r="H6027" t="s">
        <v>41</v>
      </c>
      <c r="I6027" t="s">
        <v>2189</v>
      </c>
      <c r="J6027" s="10">
        <v>4.26</v>
      </c>
      <c r="K6027" t="b">
        <v>1</v>
      </c>
    </row>
    <row r="6028" spans="1:11">
      <c r="A6028" s="12">
        <v>42394</v>
      </c>
      <c r="B6028">
        <v>2016</v>
      </c>
      <c r="C6028">
        <v>1</v>
      </c>
      <c r="D6028" s="11">
        <v>42370</v>
      </c>
      <c r="E6028" t="s">
        <v>2173</v>
      </c>
      <c r="F6028">
        <v>1</v>
      </c>
      <c r="G6028" t="s">
        <v>61</v>
      </c>
      <c r="H6028" t="s">
        <v>42</v>
      </c>
      <c r="I6028" t="s">
        <v>2190</v>
      </c>
      <c r="J6028" s="10">
        <v>4</v>
      </c>
      <c r="K6028" t="b">
        <v>1</v>
      </c>
    </row>
    <row r="6029" spans="1:11">
      <c r="A6029" s="12">
        <v>42394</v>
      </c>
      <c r="B6029">
        <v>2016</v>
      </c>
      <c r="C6029">
        <v>1</v>
      </c>
      <c r="D6029" s="11">
        <v>42370</v>
      </c>
      <c r="E6029" t="s">
        <v>2173</v>
      </c>
      <c r="F6029">
        <v>1</v>
      </c>
      <c r="G6029" t="s">
        <v>61</v>
      </c>
      <c r="H6029" t="s">
        <v>43</v>
      </c>
      <c r="I6029" t="s">
        <v>2191</v>
      </c>
      <c r="J6029" s="10">
        <v>46.95</v>
      </c>
      <c r="K6029" t="b">
        <v>1</v>
      </c>
    </row>
    <row r="6030" spans="1:11">
      <c r="A6030" s="12">
        <v>42394</v>
      </c>
      <c r="B6030">
        <v>2016</v>
      </c>
      <c r="C6030">
        <v>1</v>
      </c>
      <c r="D6030" s="11">
        <v>42370</v>
      </c>
      <c r="E6030" t="s">
        <v>2173</v>
      </c>
      <c r="F6030">
        <v>1</v>
      </c>
      <c r="G6030" t="s">
        <v>61</v>
      </c>
      <c r="H6030" t="s">
        <v>44</v>
      </c>
      <c r="I6030" t="s">
        <v>2192</v>
      </c>
      <c r="J6030" s="10">
        <v>12</v>
      </c>
      <c r="K6030" t="b">
        <v>1</v>
      </c>
    </row>
    <row r="6031" spans="1:11">
      <c r="A6031" s="12">
        <v>42394</v>
      </c>
      <c r="B6031">
        <v>2016</v>
      </c>
      <c r="C6031">
        <v>1</v>
      </c>
      <c r="D6031" s="11">
        <v>42370</v>
      </c>
      <c r="E6031" t="s">
        <v>2173</v>
      </c>
      <c r="F6031">
        <v>1</v>
      </c>
      <c r="G6031" t="s">
        <v>61</v>
      </c>
      <c r="H6031" t="s">
        <v>45</v>
      </c>
      <c r="I6031" t="s">
        <v>2193</v>
      </c>
      <c r="J6031" s="10">
        <v>2</v>
      </c>
      <c r="K6031" t="b">
        <v>1</v>
      </c>
    </row>
    <row r="6032" spans="1:11">
      <c r="A6032" s="12">
        <v>42394</v>
      </c>
      <c r="B6032">
        <v>2016</v>
      </c>
      <c r="C6032">
        <v>1</v>
      </c>
      <c r="D6032" s="11">
        <v>42370</v>
      </c>
      <c r="E6032" t="s">
        <v>2173</v>
      </c>
      <c r="F6032">
        <v>1</v>
      </c>
      <c r="G6032" t="s">
        <v>61</v>
      </c>
      <c r="H6032" t="s">
        <v>46</v>
      </c>
      <c r="I6032" t="s">
        <v>2194</v>
      </c>
      <c r="J6032" s="10">
        <v>10</v>
      </c>
      <c r="K6032" t="b">
        <v>1</v>
      </c>
    </row>
    <row r="6033" spans="1:11">
      <c r="A6033" s="12">
        <v>42394</v>
      </c>
      <c r="B6033">
        <v>2016</v>
      </c>
      <c r="C6033">
        <v>1</v>
      </c>
      <c r="D6033" s="11">
        <v>42370</v>
      </c>
      <c r="E6033" t="s">
        <v>2173</v>
      </c>
      <c r="F6033">
        <v>1</v>
      </c>
      <c r="G6033" t="s">
        <v>61</v>
      </c>
      <c r="H6033" t="s">
        <v>47</v>
      </c>
      <c r="I6033" t="s">
        <v>2195</v>
      </c>
      <c r="J6033" s="10">
        <v>1.5</v>
      </c>
      <c r="K6033" t="b">
        <v>1</v>
      </c>
    </row>
    <row r="6034" spans="1:11">
      <c r="A6034" s="12">
        <v>42395</v>
      </c>
      <c r="B6034">
        <v>2016</v>
      </c>
      <c r="C6034">
        <v>1</v>
      </c>
      <c r="D6034" s="11">
        <v>42370</v>
      </c>
      <c r="E6034" t="s">
        <v>2173</v>
      </c>
      <c r="F6034">
        <v>2</v>
      </c>
      <c r="G6034" t="s">
        <v>63</v>
      </c>
      <c r="H6034" t="s">
        <v>40</v>
      </c>
      <c r="I6034" t="s">
        <v>2188</v>
      </c>
      <c r="J6034" s="10">
        <v>5.68</v>
      </c>
      <c r="K6034" t="b">
        <v>1</v>
      </c>
    </row>
    <row r="6035" spans="1:11">
      <c r="A6035" s="12">
        <v>42395</v>
      </c>
      <c r="B6035">
        <v>2016</v>
      </c>
      <c r="C6035">
        <v>1</v>
      </c>
      <c r="D6035" s="11">
        <v>42370</v>
      </c>
      <c r="E6035" t="s">
        <v>2173</v>
      </c>
      <c r="F6035">
        <v>2</v>
      </c>
      <c r="G6035" t="s">
        <v>63</v>
      </c>
      <c r="H6035" t="s">
        <v>41</v>
      </c>
      <c r="I6035" t="s">
        <v>2189</v>
      </c>
      <c r="J6035" s="10">
        <v>4.069</v>
      </c>
      <c r="K6035" t="b">
        <v>1</v>
      </c>
    </row>
    <row r="6036" spans="1:11">
      <c r="A6036" s="12">
        <v>42395</v>
      </c>
      <c r="B6036">
        <v>2016</v>
      </c>
      <c r="C6036">
        <v>1</v>
      </c>
      <c r="D6036" s="11">
        <v>42370</v>
      </c>
      <c r="E6036" t="s">
        <v>2173</v>
      </c>
      <c r="F6036">
        <v>2</v>
      </c>
      <c r="G6036" t="s">
        <v>63</v>
      </c>
      <c r="H6036" t="s">
        <v>42</v>
      </c>
      <c r="I6036" t="s">
        <v>2190</v>
      </c>
      <c r="J6036" s="10">
        <v>8</v>
      </c>
      <c r="K6036" t="b">
        <v>1</v>
      </c>
    </row>
    <row r="6037" spans="1:11">
      <c r="A6037" s="12">
        <v>42395</v>
      </c>
      <c r="B6037">
        <v>2016</v>
      </c>
      <c r="C6037">
        <v>1</v>
      </c>
      <c r="D6037" s="11">
        <v>42370</v>
      </c>
      <c r="E6037" t="s">
        <v>2173</v>
      </c>
      <c r="F6037">
        <v>2</v>
      </c>
      <c r="G6037" t="s">
        <v>63</v>
      </c>
      <c r="H6037" t="s">
        <v>43</v>
      </c>
      <c r="I6037" t="s">
        <v>2191</v>
      </c>
      <c r="J6037" s="10">
        <v>30.3</v>
      </c>
      <c r="K6037" t="b">
        <v>1</v>
      </c>
    </row>
    <row r="6038" spans="1:11">
      <c r="A6038" s="12">
        <v>42395</v>
      </c>
      <c r="B6038">
        <v>2016</v>
      </c>
      <c r="C6038">
        <v>1</v>
      </c>
      <c r="D6038" s="11">
        <v>42370</v>
      </c>
      <c r="E6038" t="s">
        <v>2173</v>
      </c>
      <c r="F6038">
        <v>2</v>
      </c>
      <c r="G6038" t="s">
        <v>63</v>
      </c>
      <c r="H6038" t="s">
        <v>44</v>
      </c>
      <c r="I6038" t="s">
        <v>2192</v>
      </c>
      <c r="J6038" s="10">
        <v>9</v>
      </c>
      <c r="K6038" t="b">
        <v>1</v>
      </c>
    </row>
    <row r="6039" spans="1:11">
      <c r="A6039" s="12">
        <v>42395</v>
      </c>
      <c r="B6039">
        <v>2016</v>
      </c>
      <c r="C6039">
        <v>1</v>
      </c>
      <c r="D6039" s="11">
        <v>42370</v>
      </c>
      <c r="E6039" t="s">
        <v>2173</v>
      </c>
      <c r="F6039">
        <v>2</v>
      </c>
      <c r="G6039" t="s">
        <v>63</v>
      </c>
      <c r="H6039" t="s">
        <v>45</v>
      </c>
      <c r="I6039" t="s">
        <v>2193</v>
      </c>
      <c r="J6039" s="10">
        <v>0</v>
      </c>
      <c r="K6039" t="b">
        <v>1</v>
      </c>
    </row>
    <row r="6040" spans="1:11">
      <c r="A6040" s="12">
        <v>42395</v>
      </c>
      <c r="B6040">
        <v>2016</v>
      </c>
      <c r="C6040">
        <v>1</v>
      </c>
      <c r="D6040" s="11">
        <v>42370</v>
      </c>
      <c r="E6040" t="s">
        <v>2173</v>
      </c>
      <c r="F6040">
        <v>2</v>
      </c>
      <c r="G6040" t="s">
        <v>63</v>
      </c>
      <c r="H6040" t="s">
        <v>46</v>
      </c>
      <c r="I6040" t="s">
        <v>2194</v>
      </c>
      <c r="J6040" s="10">
        <v>15</v>
      </c>
      <c r="K6040" t="b">
        <v>1</v>
      </c>
    </row>
    <row r="6041" spans="1:11">
      <c r="A6041" s="12">
        <v>42395</v>
      </c>
      <c r="B6041">
        <v>2016</v>
      </c>
      <c r="C6041">
        <v>1</v>
      </c>
      <c r="D6041" s="11">
        <v>42370</v>
      </c>
      <c r="E6041" t="s">
        <v>2173</v>
      </c>
      <c r="F6041">
        <v>2</v>
      </c>
      <c r="G6041" t="s">
        <v>63</v>
      </c>
      <c r="H6041" t="s">
        <v>47</v>
      </c>
      <c r="I6041" t="s">
        <v>2195</v>
      </c>
      <c r="J6041" s="10">
        <v>0</v>
      </c>
      <c r="K6041" t="b">
        <v>1</v>
      </c>
    </row>
    <row r="6042" spans="1:11">
      <c r="A6042" s="12">
        <v>42396</v>
      </c>
      <c r="B6042">
        <v>2016</v>
      </c>
      <c r="C6042">
        <v>1</v>
      </c>
      <c r="D6042" s="11">
        <v>42370</v>
      </c>
      <c r="E6042" t="s">
        <v>2173</v>
      </c>
      <c r="F6042">
        <v>3</v>
      </c>
      <c r="G6042" t="s">
        <v>65</v>
      </c>
      <c r="H6042" t="s">
        <v>40</v>
      </c>
      <c r="I6042" t="s">
        <v>2188</v>
      </c>
      <c r="J6042" s="10">
        <v>4.34</v>
      </c>
      <c r="K6042" t="b">
        <v>1</v>
      </c>
    </row>
    <row r="6043" spans="1:11">
      <c r="A6043" s="12">
        <v>42396</v>
      </c>
      <c r="B6043">
        <v>2016</v>
      </c>
      <c r="C6043">
        <v>1</v>
      </c>
      <c r="D6043" s="11">
        <v>42370</v>
      </c>
      <c r="E6043" t="s">
        <v>2173</v>
      </c>
      <c r="F6043">
        <v>3</v>
      </c>
      <c r="G6043" t="s">
        <v>65</v>
      </c>
      <c r="H6043" t="s">
        <v>41</v>
      </c>
      <c r="I6043" t="s">
        <v>2189</v>
      </c>
      <c r="J6043" s="10">
        <v>4.429</v>
      </c>
      <c r="K6043" t="b">
        <v>1</v>
      </c>
    </row>
    <row r="6044" spans="1:11">
      <c r="A6044" s="12">
        <v>42396</v>
      </c>
      <c r="B6044">
        <v>2016</v>
      </c>
      <c r="C6044">
        <v>1</v>
      </c>
      <c r="D6044" s="11">
        <v>42370</v>
      </c>
      <c r="E6044" t="s">
        <v>2173</v>
      </c>
      <c r="F6044">
        <v>3</v>
      </c>
      <c r="G6044" t="s">
        <v>65</v>
      </c>
      <c r="H6044" t="s">
        <v>42</v>
      </c>
      <c r="I6044" t="s">
        <v>2190</v>
      </c>
      <c r="J6044" s="10">
        <v>3.4</v>
      </c>
      <c r="K6044" t="b">
        <v>1</v>
      </c>
    </row>
    <row r="6045" spans="1:11">
      <c r="A6045" s="12">
        <v>42396</v>
      </c>
      <c r="B6045">
        <v>2016</v>
      </c>
      <c r="C6045">
        <v>1</v>
      </c>
      <c r="D6045" s="11">
        <v>42370</v>
      </c>
      <c r="E6045" t="s">
        <v>2173</v>
      </c>
      <c r="F6045">
        <v>3</v>
      </c>
      <c r="G6045" t="s">
        <v>65</v>
      </c>
      <c r="H6045" t="s">
        <v>43</v>
      </c>
      <c r="I6045" t="s">
        <v>2191</v>
      </c>
      <c r="J6045" s="10">
        <v>30.062</v>
      </c>
      <c r="K6045" t="b">
        <v>1</v>
      </c>
    </row>
    <row r="6046" spans="1:11">
      <c r="A6046" s="12">
        <v>42396</v>
      </c>
      <c r="B6046">
        <v>2016</v>
      </c>
      <c r="C6046">
        <v>1</v>
      </c>
      <c r="D6046" s="11">
        <v>42370</v>
      </c>
      <c r="E6046" t="s">
        <v>2173</v>
      </c>
      <c r="F6046">
        <v>3</v>
      </c>
      <c r="G6046" t="s">
        <v>65</v>
      </c>
      <c r="H6046" t="s">
        <v>44</v>
      </c>
      <c r="I6046" t="s">
        <v>2192</v>
      </c>
      <c r="J6046" s="10">
        <v>18</v>
      </c>
      <c r="K6046" t="b">
        <v>1</v>
      </c>
    </row>
    <row r="6047" spans="1:11">
      <c r="A6047" s="12">
        <v>42396</v>
      </c>
      <c r="B6047">
        <v>2016</v>
      </c>
      <c r="C6047">
        <v>1</v>
      </c>
      <c r="D6047" s="11">
        <v>42370</v>
      </c>
      <c r="E6047" t="s">
        <v>2173</v>
      </c>
      <c r="F6047">
        <v>3</v>
      </c>
      <c r="G6047" t="s">
        <v>65</v>
      </c>
      <c r="H6047" t="s">
        <v>45</v>
      </c>
      <c r="I6047" t="s">
        <v>2193</v>
      </c>
      <c r="J6047" s="10">
        <v>5</v>
      </c>
      <c r="K6047" t="b">
        <v>1</v>
      </c>
    </row>
    <row r="6048" spans="1:11">
      <c r="A6048" s="12">
        <v>42396</v>
      </c>
      <c r="B6048">
        <v>2016</v>
      </c>
      <c r="C6048">
        <v>1</v>
      </c>
      <c r="D6048" s="11">
        <v>42370</v>
      </c>
      <c r="E6048" t="s">
        <v>2173</v>
      </c>
      <c r="F6048">
        <v>3</v>
      </c>
      <c r="G6048" t="s">
        <v>65</v>
      </c>
      <c r="H6048" t="s">
        <v>46</v>
      </c>
      <c r="I6048" t="s">
        <v>2194</v>
      </c>
      <c r="J6048" s="10">
        <v>5</v>
      </c>
      <c r="K6048" t="b">
        <v>1</v>
      </c>
    </row>
    <row r="6049" spans="1:11">
      <c r="A6049" s="12">
        <v>42396</v>
      </c>
      <c r="B6049">
        <v>2016</v>
      </c>
      <c r="C6049">
        <v>1</v>
      </c>
      <c r="D6049" s="11">
        <v>42370</v>
      </c>
      <c r="E6049" t="s">
        <v>2173</v>
      </c>
      <c r="F6049">
        <v>3</v>
      </c>
      <c r="G6049" t="s">
        <v>65</v>
      </c>
      <c r="H6049" t="s">
        <v>47</v>
      </c>
      <c r="I6049" t="s">
        <v>2195</v>
      </c>
      <c r="J6049" s="10">
        <v>2</v>
      </c>
      <c r="K6049" t="b">
        <v>1</v>
      </c>
    </row>
    <row r="6050" spans="1:11">
      <c r="A6050" s="12">
        <v>42397</v>
      </c>
      <c r="B6050">
        <v>2016</v>
      </c>
      <c r="C6050">
        <v>1</v>
      </c>
      <c r="D6050" s="11">
        <v>42370</v>
      </c>
      <c r="E6050" t="s">
        <v>2173</v>
      </c>
      <c r="F6050">
        <v>4</v>
      </c>
      <c r="G6050" t="s">
        <v>53</v>
      </c>
      <c r="H6050" t="s">
        <v>40</v>
      </c>
      <c r="I6050" t="s">
        <v>2188</v>
      </c>
      <c r="J6050" s="10">
        <v>7.33</v>
      </c>
      <c r="K6050" t="b">
        <v>1</v>
      </c>
    </row>
    <row r="6051" spans="1:11">
      <c r="A6051" s="12">
        <v>42397</v>
      </c>
      <c r="B6051">
        <v>2016</v>
      </c>
      <c r="C6051">
        <v>1</v>
      </c>
      <c r="D6051" s="11">
        <v>42370</v>
      </c>
      <c r="E6051" t="s">
        <v>2173</v>
      </c>
      <c r="F6051">
        <v>4</v>
      </c>
      <c r="G6051" t="s">
        <v>53</v>
      </c>
      <c r="H6051" t="s">
        <v>41</v>
      </c>
      <c r="I6051" t="s">
        <v>2189</v>
      </c>
      <c r="J6051" s="10">
        <v>6.66</v>
      </c>
      <c r="K6051" t="b">
        <v>1</v>
      </c>
    </row>
    <row r="6052" spans="1:11">
      <c r="A6052" s="12">
        <v>42397</v>
      </c>
      <c r="B6052">
        <v>2016</v>
      </c>
      <c r="C6052">
        <v>1</v>
      </c>
      <c r="D6052" s="11">
        <v>42370</v>
      </c>
      <c r="E6052" t="s">
        <v>2173</v>
      </c>
      <c r="F6052">
        <v>4</v>
      </c>
      <c r="G6052" t="s">
        <v>53</v>
      </c>
      <c r="H6052" t="s">
        <v>42</v>
      </c>
      <c r="I6052" t="s">
        <v>2190</v>
      </c>
      <c r="J6052" s="10">
        <v>4.4</v>
      </c>
      <c r="K6052" t="b">
        <v>1</v>
      </c>
    </row>
    <row r="6053" spans="1:11">
      <c r="A6053" s="12">
        <v>42397</v>
      </c>
      <c r="B6053">
        <v>2016</v>
      </c>
      <c r="C6053">
        <v>1</v>
      </c>
      <c r="D6053" s="11">
        <v>42370</v>
      </c>
      <c r="E6053" t="s">
        <v>2173</v>
      </c>
      <c r="F6053">
        <v>4</v>
      </c>
      <c r="G6053" t="s">
        <v>53</v>
      </c>
      <c r="H6053" t="s">
        <v>43</v>
      </c>
      <c r="I6053" t="s">
        <v>2191</v>
      </c>
      <c r="J6053" s="10">
        <v>33</v>
      </c>
      <c r="K6053" t="b">
        <v>1</v>
      </c>
    </row>
    <row r="6054" spans="1:11">
      <c r="A6054" s="12">
        <v>42397</v>
      </c>
      <c r="B6054">
        <v>2016</v>
      </c>
      <c r="C6054">
        <v>1</v>
      </c>
      <c r="D6054" s="11">
        <v>42370</v>
      </c>
      <c r="E6054" t="s">
        <v>2173</v>
      </c>
      <c r="F6054">
        <v>4</v>
      </c>
      <c r="G6054" t="s">
        <v>53</v>
      </c>
      <c r="H6054" t="s">
        <v>44</v>
      </c>
      <c r="I6054" t="s">
        <v>2192</v>
      </c>
      <c r="J6054" s="10">
        <v>4</v>
      </c>
      <c r="K6054" t="b">
        <v>1</v>
      </c>
    </row>
    <row r="6055" spans="1:11">
      <c r="A6055" s="12">
        <v>42397</v>
      </c>
      <c r="B6055">
        <v>2016</v>
      </c>
      <c r="C6055">
        <v>1</v>
      </c>
      <c r="D6055" s="11">
        <v>42370</v>
      </c>
      <c r="E6055" t="s">
        <v>2173</v>
      </c>
      <c r="F6055">
        <v>4</v>
      </c>
      <c r="G6055" t="s">
        <v>53</v>
      </c>
      <c r="H6055" t="s">
        <v>45</v>
      </c>
      <c r="I6055" t="s">
        <v>2193</v>
      </c>
      <c r="J6055" s="10">
        <v>0</v>
      </c>
      <c r="K6055" t="b">
        <v>1</v>
      </c>
    </row>
    <row r="6056" spans="1:11">
      <c r="A6056" s="12">
        <v>42397</v>
      </c>
      <c r="B6056">
        <v>2016</v>
      </c>
      <c r="C6056">
        <v>1</v>
      </c>
      <c r="D6056" s="11">
        <v>42370</v>
      </c>
      <c r="E6056" t="s">
        <v>2173</v>
      </c>
      <c r="F6056">
        <v>4</v>
      </c>
      <c r="G6056" t="s">
        <v>53</v>
      </c>
      <c r="H6056" t="s">
        <v>46</v>
      </c>
      <c r="I6056" t="s">
        <v>2194</v>
      </c>
      <c r="J6056" s="10">
        <v>4</v>
      </c>
      <c r="K6056" t="b">
        <v>1</v>
      </c>
    </row>
    <row r="6057" spans="1:11">
      <c r="A6057" s="12">
        <v>42397</v>
      </c>
      <c r="B6057">
        <v>2016</v>
      </c>
      <c r="C6057">
        <v>1</v>
      </c>
      <c r="D6057" s="11">
        <v>42370</v>
      </c>
      <c r="E6057" t="s">
        <v>2173</v>
      </c>
      <c r="F6057">
        <v>4</v>
      </c>
      <c r="G6057" t="s">
        <v>53</v>
      </c>
      <c r="H6057" t="s">
        <v>47</v>
      </c>
      <c r="I6057" t="s">
        <v>2195</v>
      </c>
      <c r="J6057" s="10">
        <v>3</v>
      </c>
      <c r="K6057" t="b">
        <v>1</v>
      </c>
    </row>
    <row r="6058" spans="1:11">
      <c r="A6058" s="12">
        <v>42398</v>
      </c>
      <c r="B6058">
        <v>2016</v>
      </c>
      <c r="C6058">
        <v>1</v>
      </c>
      <c r="D6058" s="11">
        <v>42370</v>
      </c>
      <c r="E6058" t="s">
        <v>2173</v>
      </c>
      <c r="F6058">
        <v>5</v>
      </c>
      <c r="G6058" t="s">
        <v>55</v>
      </c>
      <c r="H6058" t="s">
        <v>40</v>
      </c>
      <c r="I6058" t="s">
        <v>2188</v>
      </c>
      <c r="J6058" s="10">
        <v>5</v>
      </c>
      <c r="K6058" t="b">
        <v>1</v>
      </c>
    </row>
    <row r="6059" spans="1:11">
      <c r="A6059" s="12">
        <v>42398</v>
      </c>
      <c r="B6059">
        <v>2016</v>
      </c>
      <c r="C6059">
        <v>1</v>
      </c>
      <c r="D6059" s="11">
        <v>42370</v>
      </c>
      <c r="E6059" t="s">
        <v>2173</v>
      </c>
      <c r="F6059">
        <v>5</v>
      </c>
      <c r="G6059" t="s">
        <v>55</v>
      </c>
      <c r="H6059" t="s">
        <v>41</v>
      </c>
      <c r="I6059" t="s">
        <v>2189</v>
      </c>
      <c r="J6059" s="10">
        <v>8.67</v>
      </c>
      <c r="K6059" t="b">
        <v>1</v>
      </c>
    </row>
    <row r="6060" spans="1:11">
      <c r="A6060" s="12">
        <v>42398</v>
      </c>
      <c r="B6060">
        <v>2016</v>
      </c>
      <c r="C6060">
        <v>1</v>
      </c>
      <c r="D6060" s="11">
        <v>42370</v>
      </c>
      <c r="E6060" t="s">
        <v>2173</v>
      </c>
      <c r="F6060">
        <v>5</v>
      </c>
      <c r="G6060" t="s">
        <v>55</v>
      </c>
      <c r="H6060" t="s">
        <v>42</v>
      </c>
      <c r="I6060" t="s">
        <v>2190</v>
      </c>
      <c r="J6060" s="10">
        <v>8.6</v>
      </c>
      <c r="K6060" t="b">
        <v>1</v>
      </c>
    </row>
    <row r="6061" spans="1:11">
      <c r="A6061" s="12">
        <v>42398</v>
      </c>
      <c r="B6061">
        <v>2016</v>
      </c>
      <c r="C6061">
        <v>1</v>
      </c>
      <c r="D6061" s="11">
        <v>42370</v>
      </c>
      <c r="E6061" t="s">
        <v>2173</v>
      </c>
      <c r="F6061">
        <v>5</v>
      </c>
      <c r="G6061" t="s">
        <v>55</v>
      </c>
      <c r="H6061" t="s">
        <v>43</v>
      </c>
      <c r="I6061" t="s">
        <v>2191</v>
      </c>
      <c r="J6061" s="10">
        <v>74.40000000000001</v>
      </c>
      <c r="K6061" t="b">
        <v>1</v>
      </c>
    </row>
    <row r="6062" spans="1:11">
      <c r="A6062" s="12">
        <v>42398</v>
      </c>
      <c r="B6062">
        <v>2016</v>
      </c>
      <c r="C6062">
        <v>1</v>
      </c>
      <c r="D6062" s="11">
        <v>42370</v>
      </c>
      <c r="E6062" t="s">
        <v>2173</v>
      </c>
      <c r="F6062">
        <v>5</v>
      </c>
      <c r="G6062" t="s">
        <v>55</v>
      </c>
      <c r="H6062" t="s">
        <v>44</v>
      </c>
      <c r="I6062" t="s">
        <v>2192</v>
      </c>
      <c r="J6062" s="10">
        <v>3</v>
      </c>
      <c r="K6062" t="b">
        <v>1</v>
      </c>
    </row>
    <row r="6063" spans="1:11">
      <c r="A6063" s="12">
        <v>42398</v>
      </c>
      <c r="B6063">
        <v>2016</v>
      </c>
      <c r="C6063">
        <v>1</v>
      </c>
      <c r="D6063" s="11">
        <v>42370</v>
      </c>
      <c r="E6063" t="s">
        <v>2173</v>
      </c>
      <c r="F6063">
        <v>5</v>
      </c>
      <c r="G6063" t="s">
        <v>55</v>
      </c>
      <c r="H6063" t="s">
        <v>45</v>
      </c>
      <c r="I6063" t="s">
        <v>2193</v>
      </c>
      <c r="J6063" s="10">
        <v>1</v>
      </c>
      <c r="K6063" t="b">
        <v>1</v>
      </c>
    </row>
    <row r="6064" spans="1:11">
      <c r="A6064" s="12">
        <v>42398</v>
      </c>
      <c r="B6064">
        <v>2016</v>
      </c>
      <c r="C6064">
        <v>1</v>
      </c>
      <c r="D6064" s="11">
        <v>42370</v>
      </c>
      <c r="E6064" t="s">
        <v>2173</v>
      </c>
      <c r="F6064">
        <v>5</v>
      </c>
      <c r="G6064" t="s">
        <v>55</v>
      </c>
      <c r="H6064" t="s">
        <v>46</v>
      </c>
      <c r="I6064" t="s">
        <v>2194</v>
      </c>
      <c r="J6064" s="10">
        <v>17</v>
      </c>
      <c r="K6064" t="b">
        <v>1</v>
      </c>
    </row>
    <row r="6065" spans="1:11">
      <c r="A6065" s="12">
        <v>42398</v>
      </c>
      <c r="B6065">
        <v>2016</v>
      </c>
      <c r="C6065">
        <v>1</v>
      </c>
      <c r="D6065" s="11">
        <v>42370</v>
      </c>
      <c r="E6065" t="s">
        <v>2173</v>
      </c>
      <c r="F6065">
        <v>5</v>
      </c>
      <c r="G6065" t="s">
        <v>55</v>
      </c>
      <c r="H6065" t="s">
        <v>47</v>
      </c>
      <c r="I6065" t="s">
        <v>2195</v>
      </c>
      <c r="J6065" s="10">
        <v>2</v>
      </c>
      <c r="K6065" t="b">
        <v>1</v>
      </c>
    </row>
    <row r="6066" spans="1:11">
      <c r="A6066" s="12">
        <v>42399</v>
      </c>
      <c r="B6066">
        <v>2016</v>
      </c>
      <c r="C6066">
        <v>1</v>
      </c>
      <c r="D6066" s="11">
        <v>42370</v>
      </c>
      <c r="E6066" t="s">
        <v>2173</v>
      </c>
      <c r="F6066">
        <v>6</v>
      </c>
      <c r="G6066" t="s">
        <v>57</v>
      </c>
      <c r="H6066" t="s">
        <v>40</v>
      </c>
      <c r="I6066" t="s">
        <v>2188</v>
      </c>
      <c r="J6066" s="10">
        <v>9</v>
      </c>
      <c r="K6066" t="b">
        <v>1</v>
      </c>
    </row>
    <row r="6067" spans="1:11">
      <c r="A6067" s="12">
        <v>42399</v>
      </c>
      <c r="B6067">
        <v>2016</v>
      </c>
      <c r="C6067">
        <v>1</v>
      </c>
      <c r="D6067" s="11">
        <v>42370</v>
      </c>
      <c r="E6067" t="s">
        <v>2173</v>
      </c>
      <c r="F6067">
        <v>6</v>
      </c>
      <c r="G6067" t="s">
        <v>57</v>
      </c>
      <c r="H6067" t="s">
        <v>41</v>
      </c>
      <c r="I6067" t="s">
        <v>2189</v>
      </c>
      <c r="J6067" s="10">
        <v>4.429</v>
      </c>
      <c r="K6067" t="b">
        <v>1</v>
      </c>
    </row>
    <row r="6068" spans="1:11">
      <c r="A6068" s="12">
        <v>42399</v>
      </c>
      <c r="B6068">
        <v>2016</v>
      </c>
      <c r="C6068">
        <v>1</v>
      </c>
      <c r="D6068" s="11">
        <v>42370</v>
      </c>
      <c r="E6068" t="s">
        <v>2173</v>
      </c>
      <c r="F6068">
        <v>6</v>
      </c>
      <c r="G6068" t="s">
        <v>57</v>
      </c>
      <c r="H6068" t="s">
        <v>42</v>
      </c>
      <c r="I6068" t="s">
        <v>2190</v>
      </c>
      <c r="J6068" s="10">
        <v>5.3</v>
      </c>
      <c r="K6068" t="b">
        <v>1</v>
      </c>
    </row>
    <row r="6069" spans="1:11">
      <c r="A6069" s="12">
        <v>42399</v>
      </c>
      <c r="B6069">
        <v>2016</v>
      </c>
      <c r="C6069">
        <v>1</v>
      </c>
      <c r="D6069" s="11">
        <v>42370</v>
      </c>
      <c r="E6069" t="s">
        <v>2173</v>
      </c>
      <c r="F6069">
        <v>6</v>
      </c>
      <c r="G6069" t="s">
        <v>57</v>
      </c>
      <c r="H6069" t="s">
        <v>43</v>
      </c>
      <c r="I6069" t="s">
        <v>2191</v>
      </c>
      <c r="J6069" s="10">
        <v>47.462</v>
      </c>
      <c r="K6069" t="b">
        <v>1</v>
      </c>
    </row>
    <row r="6070" spans="1:11">
      <c r="A6070" s="12">
        <v>42399</v>
      </c>
      <c r="B6070">
        <v>2016</v>
      </c>
      <c r="C6070">
        <v>1</v>
      </c>
      <c r="D6070" s="11">
        <v>42370</v>
      </c>
      <c r="E6070" t="s">
        <v>2173</v>
      </c>
      <c r="F6070">
        <v>6</v>
      </c>
      <c r="G6070" t="s">
        <v>57</v>
      </c>
      <c r="H6070" t="s">
        <v>44</v>
      </c>
      <c r="I6070" t="s">
        <v>2192</v>
      </c>
      <c r="J6070" s="10">
        <v>3</v>
      </c>
      <c r="K6070" t="b">
        <v>1</v>
      </c>
    </row>
    <row r="6071" spans="1:11">
      <c r="A6071" s="12">
        <v>42399</v>
      </c>
      <c r="B6071">
        <v>2016</v>
      </c>
      <c r="C6071">
        <v>1</v>
      </c>
      <c r="D6071" s="11">
        <v>42370</v>
      </c>
      <c r="E6071" t="s">
        <v>2173</v>
      </c>
      <c r="F6071">
        <v>6</v>
      </c>
      <c r="G6071" t="s">
        <v>57</v>
      </c>
      <c r="H6071" t="s">
        <v>45</v>
      </c>
      <c r="I6071" t="s">
        <v>2193</v>
      </c>
      <c r="J6071" s="10">
        <v>2</v>
      </c>
      <c r="K6071" t="b">
        <v>1</v>
      </c>
    </row>
    <row r="6072" spans="1:11">
      <c r="A6072" s="12">
        <v>42399</v>
      </c>
      <c r="B6072">
        <v>2016</v>
      </c>
      <c r="C6072">
        <v>1</v>
      </c>
      <c r="D6072" s="11">
        <v>42370</v>
      </c>
      <c r="E6072" t="s">
        <v>2173</v>
      </c>
      <c r="F6072">
        <v>6</v>
      </c>
      <c r="G6072" t="s">
        <v>57</v>
      </c>
      <c r="H6072" t="s">
        <v>46</v>
      </c>
      <c r="I6072" t="s">
        <v>2194</v>
      </c>
      <c r="J6072" s="10">
        <v>5</v>
      </c>
      <c r="K6072" t="b">
        <v>1</v>
      </c>
    </row>
    <row r="6073" spans="1:11">
      <c r="A6073" s="12">
        <v>42399</v>
      </c>
      <c r="B6073">
        <v>2016</v>
      </c>
      <c r="C6073">
        <v>1</v>
      </c>
      <c r="D6073" s="11">
        <v>42370</v>
      </c>
      <c r="E6073" t="s">
        <v>2173</v>
      </c>
      <c r="F6073">
        <v>6</v>
      </c>
      <c r="G6073" t="s">
        <v>57</v>
      </c>
      <c r="H6073" t="s">
        <v>47</v>
      </c>
      <c r="I6073" t="s">
        <v>2195</v>
      </c>
      <c r="J6073" s="10">
        <v>2</v>
      </c>
      <c r="K6073" t="b">
        <v>1</v>
      </c>
    </row>
    <row r="6074" spans="1:11">
      <c r="A6074" s="12">
        <v>42400</v>
      </c>
      <c r="B6074">
        <v>2016</v>
      </c>
      <c r="C6074">
        <v>1</v>
      </c>
      <c r="D6074" s="11">
        <v>42370</v>
      </c>
      <c r="E6074" t="s">
        <v>2173</v>
      </c>
      <c r="F6074">
        <v>7</v>
      </c>
      <c r="G6074" t="s">
        <v>59</v>
      </c>
      <c r="H6074" t="s">
        <v>40</v>
      </c>
      <c r="I6074" t="s">
        <v>2188</v>
      </c>
      <c r="J6074" s="10">
        <v>4.33</v>
      </c>
      <c r="K6074" t="b">
        <v>1</v>
      </c>
    </row>
    <row r="6075" spans="1:11">
      <c r="A6075" s="12">
        <v>42400</v>
      </c>
      <c r="B6075">
        <v>2016</v>
      </c>
      <c r="C6075">
        <v>1</v>
      </c>
      <c r="D6075" s="11">
        <v>42370</v>
      </c>
      <c r="E6075" t="s">
        <v>2173</v>
      </c>
      <c r="F6075">
        <v>7</v>
      </c>
      <c r="G6075" t="s">
        <v>59</v>
      </c>
      <c r="H6075" t="s">
        <v>41</v>
      </c>
      <c r="I6075" t="s">
        <v>2189</v>
      </c>
      <c r="J6075" s="10">
        <v>5.143</v>
      </c>
      <c r="K6075" t="b">
        <v>1</v>
      </c>
    </row>
    <row r="6076" spans="1:11">
      <c r="A6076" s="12">
        <v>42400</v>
      </c>
      <c r="B6076">
        <v>2016</v>
      </c>
      <c r="C6076">
        <v>1</v>
      </c>
      <c r="D6076" s="11">
        <v>42370</v>
      </c>
      <c r="E6076" t="s">
        <v>2173</v>
      </c>
      <c r="F6076">
        <v>7</v>
      </c>
      <c r="G6076" t="s">
        <v>59</v>
      </c>
      <c r="H6076" t="s">
        <v>42</v>
      </c>
      <c r="I6076" t="s">
        <v>2190</v>
      </c>
      <c r="J6076" s="10">
        <v>3.8</v>
      </c>
      <c r="K6076" t="b">
        <v>1</v>
      </c>
    </row>
    <row r="6077" spans="1:11">
      <c r="A6077" s="12">
        <v>42400</v>
      </c>
      <c r="B6077">
        <v>2016</v>
      </c>
      <c r="C6077">
        <v>1</v>
      </c>
      <c r="D6077" s="11">
        <v>42370</v>
      </c>
      <c r="E6077" t="s">
        <v>2173</v>
      </c>
      <c r="F6077">
        <v>7</v>
      </c>
      <c r="G6077" t="s">
        <v>59</v>
      </c>
      <c r="H6077" t="s">
        <v>43</v>
      </c>
      <c r="I6077" t="s">
        <v>2191</v>
      </c>
      <c r="J6077" s="10">
        <v>78.90000000000001</v>
      </c>
      <c r="K6077" t="b">
        <v>1</v>
      </c>
    </row>
    <row r="6078" spans="1:11">
      <c r="A6078" s="12">
        <v>42400</v>
      </c>
      <c r="B6078">
        <v>2016</v>
      </c>
      <c r="C6078">
        <v>1</v>
      </c>
      <c r="D6078" s="11">
        <v>42370</v>
      </c>
      <c r="E6078" t="s">
        <v>2173</v>
      </c>
      <c r="F6078">
        <v>7</v>
      </c>
      <c r="G6078" t="s">
        <v>59</v>
      </c>
      <c r="H6078" t="s">
        <v>44</v>
      </c>
      <c r="I6078" t="s">
        <v>2192</v>
      </c>
      <c r="J6078" s="10">
        <v>3</v>
      </c>
      <c r="K6078" t="b">
        <v>1</v>
      </c>
    </row>
    <row r="6079" spans="1:11">
      <c r="A6079" s="12">
        <v>42400</v>
      </c>
      <c r="B6079">
        <v>2016</v>
      </c>
      <c r="C6079">
        <v>1</v>
      </c>
      <c r="D6079" s="11">
        <v>42370</v>
      </c>
      <c r="E6079" t="s">
        <v>2173</v>
      </c>
      <c r="F6079">
        <v>7</v>
      </c>
      <c r="G6079" t="s">
        <v>59</v>
      </c>
      <c r="H6079" t="s">
        <v>45</v>
      </c>
      <c r="I6079" t="s">
        <v>2193</v>
      </c>
      <c r="J6079" s="10">
        <v>0</v>
      </c>
      <c r="K6079" t="b">
        <v>1</v>
      </c>
    </row>
    <row r="6080" spans="1:11">
      <c r="A6080" s="12">
        <v>42400</v>
      </c>
      <c r="B6080">
        <v>2016</v>
      </c>
      <c r="C6080">
        <v>1</v>
      </c>
      <c r="D6080" s="11">
        <v>42370</v>
      </c>
      <c r="E6080" t="s">
        <v>2173</v>
      </c>
      <c r="F6080">
        <v>7</v>
      </c>
      <c r="G6080" t="s">
        <v>59</v>
      </c>
      <c r="H6080" t="s">
        <v>46</v>
      </c>
      <c r="I6080" t="s">
        <v>2194</v>
      </c>
      <c r="J6080" s="10">
        <v>6</v>
      </c>
      <c r="K6080" t="b">
        <v>1</v>
      </c>
    </row>
    <row r="6081" spans="1:11">
      <c r="A6081" s="12">
        <v>42400</v>
      </c>
      <c r="B6081">
        <v>2016</v>
      </c>
      <c r="C6081">
        <v>1</v>
      </c>
      <c r="D6081" s="11">
        <v>42370</v>
      </c>
      <c r="E6081" t="s">
        <v>2173</v>
      </c>
      <c r="F6081">
        <v>7</v>
      </c>
      <c r="G6081" t="s">
        <v>59</v>
      </c>
      <c r="H6081" t="s">
        <v>47</v>
      </c>
      <c r="I6081" t="s">
        <v>2195</v>
      </c>
      <c r="J6081" s="10">
        <v>2</v>
      </c>
      <c r="K6081" t="b">
        <v>1</v>
      </c>
    </row>
    <row r="6082" spans="1:11">
      <c r="A6082" s="12">
        <v>42401</v>
      </c>
      <c r="B6082">
        <v>2016</v>
      </c>
      <c r="C6082">
        <v>2</v>
      </c>
      <c r="D6082" s="11">
        <v>42401</v>
      </c>
      <c r="E6082" t="s">
        <v>2174</v>
      </c>
      <c r="F6082">
        <v>1</v>
      </c>
      <c r="G6082" t="s">
        <v>61</v>
      </c>
      <c r="H6082" t="s">
        <v>40</v>
      </c>
      <c r="I6082" t="s">
        <v>2188</v>
      </c>
      <c r="J6082" s="10">
        <v>6.34</v>
      </c>
      <c r="K6082" t="b">
        <v>1</v>
      </c>
    </row>
    <row r="6083" spans="1:11">
      <c r="A6083" s="12">
        <v>42401</v>
      </c>
      <c r="B6083">
        <v>2016</v>
      </c>
      <c r="C6083">
        <v>2</v>
      </c>
      <c r="D6083" s="11">
        <v>42401</v>
      </c>
      <c r="E6083" t="s">
        <v>2174</v>
      </c>
      <c r="F6083">
        <v>1</v>
      </c>
      <c r="G6083" t="s">
        <v>61</v>
      </c>
      <c r="H6083" t="s">
        <v>41</v>
      </c>
      <c r="I6083" t="s">
        <v>2189</v>
      </c>
      <c r="J6083" s="10">
        <v>5</v>
      </c>
      <c r="K6083" t="b">
        <v>1</v>
      </c>
    </row>
    <row r="6084" spans="1:11">
      <c r="A6084" s="12">
        <v>42401</v>
      </c>
      <c r="B6084">
        <v>2016</v>
      </c>
      <c r="C6084">
        <v>2</v>
      </c>
      <c r="D6084" s="11">
        <v>42401</v>
      </c>
      <c r="E6084" t="s">
        <v>2174</v>
      </c>
      <c r="F6084">
        <v>1</v>
      </c>
      <c r="G6084" t="s">
        <v>61</v>
      </c>
      <c r="H6084" t="s">
        <v>42</v>
      </c>
      <c r="I6084" t="s">
        <v>2190</v>
      </c>
      <c r="J6084" s="10">
        <v>7.1</v>
      </c>
      <c r="K6084" t="b">
        <v>1</v>
      </c>
    </row>
    <row r="6085" spans="1:11">
      <c r="A6085" s="12">
        <v>42401</v>
      </c>
      <c r="B6085">
        <v>2016</v>
      </c>
      <c r="C6085">
        <v>2</v>
      </c>
      <c r="D6085" s="11">
        <v>42401</v>
      </c>
      <c r="E6085" t="s">
        <v>2174</v>
      </c>
      <c r="F6085">
        <v>1</v>
      </c>
      <c r="G6085" t="s">
        <v>61</v>
      </c>
      <c r="H6085" t="s">
        <v>43</v>
      </c>
      <c r="I6085" t="s">
        <v>2191</v>
      </c>
      <c r="J6085" s="10">
        <v>18</v>
      </c>
      <c r="K6085" t="b">
        <v>1</v>
      </c>
    </row>
    <row r="6086" spans="1:11">
      <c r="A6086" s="12">
        <v>42401</v>
      </c>
      <c r="B6086">
        <v>2016</v>
      </c>
      <c r="C6086">
        <v>2</v>
      </c>
      <c r="D6086" s="11">
        <v>42401</v>
      </c>
      <c r="E6086" t="s">
        <v>2174</v>
      </c>
      <c r="F6086">
        <v>1</v>
      </c>
      <c r="G6086" t="s">
        <v>61</v>
      </c>
      <c r="H6086" t="s">
        <v>44</v>
      </c>
      <c r="I6086" t="s">
        <v>2192</v>
      </c>
      <c r="J6086" s="10">
        <v>7</v>
      </c>
      <c r="K6086" t="b">
        <v>1</v>
      </c>
    </row>
    <row r="6087" spans="1:11">
      <c r="A6087" s="12">
        <v>42401</v>
      </c>
      <c r="B6087">
        <v>2016</v>
      </c>
      <c r="C6087">
        <v>2</v>
      </c>
      <c r="D6087" s="11">
        <v>42401</v>
      </c>
      <c r="E6087" t="s">
        <v>2174</v>
      </c>
      <c r="F6087">
        <v>1</v>
      </c>
      <c r="G6087" t="s">
        <v>61</v>
      </c>
      <c r="H6087" t="s">
        <v>45</v>
      </c>
      <c r="I6087" t="s">
        <v>2193</v>
      </c>
      <c r="J6087" s="10">
        <v>0</v>
      </c>
      <c r="K6087" t="b">
        <v>1</v>
      </c>
    </row>
    <row r="6088" spans="1:11">
      <c r="A6088" s="12">
        <v>42401</v>
      </c>
      <c r="B6088">
        <v>2016</v>
      </c>
      <c r="C6088">
        <v>2</v>
      </c>
      <c r="D6088" s="11">
        <v>42401</v>
      </c>
      <c r="E6088" t="s">
        <v>2174</v>
      </c>
      <c r="F6088">
        <v>1</v>
      </c>
      <c r="G6088" t="s">
        <v>61</v>
      </c>
      <c r="H6088" t="s">
        <v>46</v>
      </c>
      <c r="I6088" t="s">
        <v>2194</v>
      </c>
      <c r="J6088" s="10">
        <v>6</v>
      </c>
      <c r="K6088" t="b">
        <v>1</v>
      </c>
    </row>
    <row r="6089" spans="1:11">
      <c r="A6089" s="12">
        <v>42401</v>
      </c>
      <c r="B6089">
        <v>2016</v>
      </c>
      <c r="C6089">
        <v>2</v>
      </c>
      <c r="D6089" s="11">
        <v>42401</v>
      </c>
      <c r="E6089" t="s">
        <v>2174</v>
      </c>
      <c r="F6089">
        <v>1</v>
      </c>
      <c r="G6089" t="s">
        <v>61</v>
      </c>
      <c r="H6089" t="s">
        <v>47</v>
      </c>
      <c r="I6089" t="s">
        <v>2195</v>
      </c>
      <c r="J6089" s="10">
        <v>1</v>
      </c>
      <c r="K6089" t="b">
        <v>1</v>
      </c>
    </row>
    <row r="6090" spans="1:11">
      <c r="A6090" s="12">
        <v>42402</v>
      </c>
      <c r="B6090">
        <v>2016</v>
      </c>
      <c r="C6090">
        <v>2</v>
      </c>
      <c r="D6090" s="11">
        <v>42401</v>
      </c>
      <c r="E6090" t="s">
        <v>2174</v>
      </c>
      <c r="F6090">
        <v>2</v>
      </c>
      <c r="G6090" t="s">
        <v>63</v>
      </c>
      <c r="H6090" t="s">
        <v>40</v>
      </c>
      <c r="I6090" t="s">
        <v>2188</v>
      </c>
      <c r="J6090" s="10">
        <v>14.33</v>
      </c>
      <c r="K6090" t="b">
        <v>1</v>
      </c>
    </row>
    <row r="6091" spans="1:11">
      <c r="A6091" s="12">
        <v>42402</v>
      </c>
      <c r="B6091">
        <v>2016</v>
      </c>
      <c r="C6091">
        <v>2</v>
      </c>
      <c r="D6091" s="11">
        <v>42401</v>
      </c>
      <c r="E6091" t="s">
        <v>2174</v>
      </c>
      <c r="F6091">
        <v>2</v>
      </c>
      <c r="G6091" t="s">
        <v>63</v>
      </c>
      <c r="H6091" t="s">
        <v>41</v>
      </c>
      <c r="I6091" t="s">
        <v>2189</v>
      </c>
      <c r="J6091" s="10">
        <v>4.878</v>
      </c>
      <c r="K6091" t="b">
        <v>1</v>
      </c>
    </row>
    <row r="6092" spans="1:11">
      <c r="A6092" s="12">
        <v>42402</v>
      </c>
      <c r="B6092">
        <v>2016</v>
      </c>
      <c r="C6092">
        <v>2</v>
      </c>
      <c r="D6092" s="11">
        <v>42401</v>
      </c>
      <c r="E6092" t="s">
        <v>2174</v>
      </c>
      <c r="F6092">
        <v>2</v>
      </c>
      <c r="G6092" t="s">
        <v>63</v>
      </c>
      <c r="H6092" t="s">
        <v>42</v>
      </c>
      <c r="I6092" t="s">
        <v>2190</v>
      </c>
      <c r="J6092" s="10">
        <v>1.3</v>
      </c>
      <c r="K6092" t="b">
        <v>1</v>
      </c>
    </row>
    <row r="6093" spans="1:11">
      <c r="A6093" s="12">
        <v>42402</v>
      </c>
      <c r="B6093">
        <v>2016</v>
      </c>
      <c r="C6093">
        <v>2</v>
      </c>
      <c r="D6093" s="11">
        <v>42401</v>
      </c>
      <c r="E6093" t="s">
        <v>2174</v>
      </c>
      <c r="F6093">
        <v>2</v>
      </c>
      <c r="G6093" t="s">
        <v>63</v>
      </c>
      <c r="H6093" t="s">
        <v>43</v>
      </c>
      <c r="I6093" t="s">
        <v>2191</v>
      </c>
      <c r="J6093" s="10">
        <v>39</v>
      </c>
      <c r="K6093" t="b">
        <v>1</v>
      </c>
    </row>
    <row r="6094" spans="1:11">
      <c r="A6094" s="12">
        <v>42402</v>
      </c>
      <c r="B6094">
        <v>2016</v>
      </c>
      <c r="C6094">
        <v>2</v>
      </c>
      <c r="D6094" s="11">
        <v>42401</v>
      </c>
      <c r="E6094" t="s">
        <v>2174</v>
      </c>
      <c r="F6094">
        <v>2</v>
      </c>
      <c r="G6094" t="s">
        <v>63</v>
      </c>
      <c r="H6094" t="s">
        <v>44</v>
      </c>
      <c r="I6094" t="s">
        <v>2192</v>
      </c>
      <c r="J6094" s="10">
        <v>6</v>
      </c>
      <c r="K6094" t="b">
        <v>1</v>
      </c>
    </row>
    <row r="6095" spans="1:11">
      <c r="A6095" s="12">
        <v>42402</v>
      </c>
      <c r="B6095">
        <v>2016</v>
      </c>
      <c r="C6095">
        <v>2</v>
      </c>
      <c r="D6095" s="11">
        <v>42401</v>
      </c>
      <c r="E6095" t="s">
        <v>2174</v>
      </c>
      <c r="F6095">
        <v>2</v>
      </c>
      <c r="G6095" t="s">
        <v>63</v>
      </c>
      <c r="H6095" t="s">
        <v>45</v>
      </c>
      <c r="I6095" t="s">
        <v>2193</v>
      </c>
      <c r="J6095" s="10">
        <v>0</v>
      </c>
      <c r="K6095" t="b">
        <v>1</v>
      </c>
    </row>
    <row r="6096" spans="1:11">
      <c r="A6096" s="12">
        <v>42402</v>
      </c>
      <c r="B6096">
        <v>2016</v>
      </c>
      <c r="C6096">
        <v>2</v>
      </c>
      <c r="D6096" s="11">
        <v>42401</v>
      </c>
      <c r="E6096" t="s">
        <v>2174</v>
      </c>
      <c r="F6096">
        <v>2</v>
      </c>
      <c r="G6096" t="s">
        <v>63</v>
      </c>
      <c r="H6096" t="s">
        <v>46</v>
      </c>
      <c r="I6096" t="s">
        <v>2194</v>
      </c>
      <c r="J6096" s="10">
        <v>0</v>
      </c>
      <c r="K6096" t="b">
        <v>1</v>
      </c>
    </row>
    <row r="6097" spans="1:11">
      <c r="A6097" s="12">
        <v>42402</v>
      </c>
      <c r="B6097">
        <v>2016</v>
      </c>
      <c r="C6097">
        <v>2</v>
      </c>
      <c r="D6097" s="11">
        <v>42401</v>
      </c>
      <c r="E6097" t="s">
        <v>2174</v>
      </c>
      <c r="F6097">
        <v>2</v>
      </c>
      <c r="G6097" t="s">
        <v>63</v>
      </c>
      <c r="H6097" t="s">
        <v>47</v>
      </c>
      <c r="I6097" t="s">
        <v>2195</v>
      </c>
      <c r="J6097" s="10">
        <v>1</v>
      </c>
      <c r="K6097" t="b">
        <v>1</v>
      </c>
    </row>
    <row r="6098" spans="1:11">
      <c r="A6098" s="12">
        <v>42403</v>
      </c>
      <c r="B6098">
        <v>2016</v>
      </c>
      <c r="C6098">
        <v>2</v>
      </c>
      <c r="D6098" s="11">
        <v>42401</v>
      </c>
      <c r="E6098" t="s">
        <v>2174</v>
      </c>
      <c r="F6098">
        <v>3</v>
      </c>
      <c r="G6098" t="s">
        <v>65</v>
      </c>
      <c r="H6098" t="s">
        <v>40</v>
      </c>
      <c r="I6098" t="s">
        <v>2188</v>
      </c>
      <c r="J6098" s="10">
        <v>8</v>
      </c>
      <c r="K6098" t="b">
        <v>1</v>
      </c>
    </row>
    <row r="6099" spans="1:11">
      <c r="A6099" s="12">
        <v>42403</v>
      </c>
      <c r="B6099">
        <v>2016</v>
      </c>
      <c r="C6099">
        <v>2</v>
      </c>
      <c r="D6099" s="11">
        <v>42401</v>
      </c>
      <c r="E6099" t="s">
        <v>2174</v>
      </c>
      <c r="F6099">
        <v>3</v>
      </c>
      <c r="G6099" t="s">
        <v>65</v>
      </c>
      <c r="H6099" t="s">
        <v>41</v>
      </c>
      <c r="I6099" t="s">
        <v>2189</v>
      </c>
      <c r="J6099" s="10">
        <v>6.693</v>
      </c>
      <c r="K6099" t="b">
        <v>1</v>
      </c>
    </row>
    <row r="6100" spans="1:11">
      <c r="A6100" s="12">
        <v>42403</v>
      </c>
      <c r="B6100">
        <v>2016</v>
      </c>
      <c r="C6100">
        <v>2</v>
      </c>
      <c r="D6100" s="11">
        <v>42401</v>
      </c>
      <c r="E6100" t="s">
        <v>2174</v>
      </c>
      <c r="F6100">
        <v>3</v>
      </c>
      <c r="G6100" t="s">
        <v>65</v>
      </c>
      <c r="H6100" t="s">
        <v>42</v>
      </c>
      <c r="I6100" t="s">
        <v>2190</v>
      </c>
      <c r="J6100" s="10">
        <v>11.5</v>
      </c>
      <c r="K6100" t="b">
        <v>1</v>
      </c>
    </row>
    <row r="6101" spans="1:11">
      <c r="A6101" s="12">
        <v>42403</v>
      </c>
      <c r="B6101">
        <v>2016</v>
      </c>
      <c r="C6101">
        <v>2</v>
      </c>
      <c r="D6101" s="11">
        <v>42401</v>
      </c>
      <c r="E6101" t="s">
        <v>2174</v>
      </c>
      <c r="F6101">
        <v>3</v>
      </c>
      <c r="G6101" t="s">
        <v>65</v>
      </c>
      <c r="H6101" t="s">
        <v>43</v>
      </c>
      <c r="I6101" t="s">
        <v>2191</v>
      </c>
      <c r="J6101" s="10">
        <v>39.062</v>
      </c>
      <c r="K6101" t="b">
        <v>1</v>
      </c>
    </row>
    <row r="6102" spans="1:11">
      <c r="A6102" s="12">
        <v>42403</v>
      </c>
      <c r="B6102">
        <v>2016</v>
      </c>
      <c r="C6102">
        <v>2</v>
      </c>
      <c r="D6102" s="11">
        <v>42401</v>
      </c>
      <c r="E6102" t="s">
        <v>2174</v>
      </c>
      <c r="F6102">
        <v>3</v>
      </c>
      <c r="G6102" t="s">
        <v>65</v>
      </c>
      <c r="H6102" t="s">
        <v>44</v>
      </c>
      <c r="I6102" t="s">
        <v>2192</v>
      </c>
      <c r="J6102" s="10">
        <v>11</v>
      </c>
      <c r="K6102" t="b">
        <v>1</v>
      </c>
    </row>
    <row r="6103" spans="1:11">
      <c r="A6103" s="12">
        <v>42403</v>
      </c>
      <c r="B6103">
        <v>2016</v>
      </c>
      <c r="C6103">
        <v>2</v>
      </c>
      <c r="D6103" s="11">
        <v>42401</v>
      </c>
      <c r="E6103" t="s">
        <v>2174</v>
      </c>
      <c r="F6103">
        <v>3</v>
      </c>
      <c r="G6103" t="s">
        <v>65</v>
      </c>
      <c r="H6103" t="s">
        <v>45</v>
      </c>
      <c r="I6103" t="s">
        <v>2193</v>
      </c>
      <c r="J6103" s="10">
        <v>5</v>
      </c>
      <c r="K6103" t="b">
        <v>1</v>
      </c>
    </row>
    <row r="6104" spans="1:11">
      <c r="A6104" s="12">
        <v>42403</v>
      </c>
      <c r="B6104">
        <v>2016</v>
      </c>
      <c r="C6104">
        <v>2</v>
      </c>
      <c r="D6104" s="11">
        <v>42401</v>
      </c>
      <c r="E6104" t="s">
        <v>2174</v>
      </c>
      <c r="F6104">
        <v>3</v>
      </c>
      <c r="G6104" t="s">
        <v>65</v>
      </c>
      <c r="H6104" t="s">
        <v>46</v>
      </c>
      <c r="I6104" t="s">
        <v>2194</v>
      </c>
      <c r="J6104" s="10">
        <v>0</v>
      </c>
      <c r="K6104" t="b">
        <v>1</v>
      </c>
    </row>
    <row r="6105" spans="1:11">
      <c r="A6105" s="12">
        <v>42403</v>
      </c>
      <c r="B6105">
        <v>2016</v>
      </c>
      <c r="C6105">
        <v>2</v>
      </c>
      <c r="D6105" s="11">
        <v>42401</v>
      </c>
      <c r="E6105" t="s">
        <v>2174</v>
      </c>
      <c r="F6105">
        <v>3</v>
      </c>
      <c r="G6105" t="s">
        <v>65</v>
      </c>
      <c r="H6105" t="s">
        <v>47</v>
      </c>
      <c r="I6105" t="s">
        <v>2195</v>
      </c>
      <c r="J6105" s="10">
        <v>0</v>
      </c>
      <c r="K6105" t="b">
        <v>1</v>
      </c>
    </row>
    <row r="6106" spans="1:11">
      <c r="A6106" s="12">
        <v>42404</v>
      </c>
      <c r="B6106">
        <v>2016</v>
      </c>
      <c r="C6106">
        <v>2</v>
      </c>
      <c r="D6106" s="11">
        <v>42401</v>
      </c>
      <c r="E6106" t="s">
        <v>2174</v>
      </c>
      <c r="F6106">
        <v>4</v>
      </c>
      <c r="G6106" t="s">
        <v>53</v>
      </c>
      <c r="H6106" t="s">
        <v>40</v>
      </c>
      <c r="I6106" t="s">
        <v>2188</v>
      </c>
      <c r="J6106" s="10">
        <v>8.34</v>
      </c>
      <c r="K6106" t="b">
        <v>1</v>
      </c>
    </row>
    <row r="6107" spans="1:11">
      <c r="A6107" s="12">
        <v>42404</v>
      </c>
      <c r="B6107">
        <v>2016</v>
      </c>
      <c r="C6107">
        <v>2</v>
      </c>
      <c r="D6107" s="11">
        <v>42401</v>
      </c>
      <c r="E6107" t="s">
        <v>2174</v>
      </c>
      <c r="F6107">
        <v>4</v>
      </c>
      <c r="G6107" t="s">
        <v>53</v>
      </c>
      <c r="H6107" t="s">
        <v>41</v>
      </c>
      <c r="I6107" t="s">
        <v>2189</v>
      </c>
      <c r="J6107" s="10">
        <v>4</v>
      </c>
      <c r="K6107" t="b">
        <v>1</v>
      </c>
    </row>
    <row r="6108" spans="1:11">
      <c r="A6108" s="12">
        <v>42404</v>
      </c>
      <c r="B6108">
        <v>2016</v>
      </c>
      <c r="C6108">
        <v>2</v>
      </c>
      <c r="D6108" s="11">
        <v>42401</v>
      </c>
      <c r="E6108" t="s">
        <v>2174</v>
      </c>
      <c r="F6108">
        <v>4</v>
      </c>
      <c r="G6108" t="s">
        <v>53</v>
      </c>
      <c r="H6108" t="s">
        <v>42</v>
      </c>
      <c r="I6108" t="s">
        <v>2190</v>
      </c>
      <c r="J6108" s="10">
        <v>4.2</v>
      </c>
      <c r="K6108" t="b">
        <v>1</v>
      </c>
    </row>
    <row r="6109" spans="1:11">
      <c r="A6109" s="12">
        <v>42404</v>
      </c>
      <c r="B6109">
        <v>2016</v>
      </c>
      <c r="C6109">
        <v>2</v>
      </c>
      <c r="D6109" s="11">
        <v>42401</v>
      </c>
      <c r="E6109" t="s">
        <v>2174</v>
      </c>
      <c r="F6109">
        <v>4</v>
      </c>
      <c r="G6109" t="s">
        <v>53</v>
      </c>
      <c r="H6109" t="s">
        <v>43</v>
      </c>
      <c r="I6109" t="s">
        <v>2191</v>
      </c>
      <c r="J6109" s="10">
        <v>28.8</v>
      </c>
      <c r="K6109" t="b">
        <v>1</v>
      </c>
    </row>
    <row r="6110" spans="1:11">
      <c r="A6110" s="12">
        <v>42404</v>
      </c>
      <c r="B6110">
        <v>2016</v>
      </c>
      <c r="C6110">
        <v>2</v>
      </c>
      <c r="D6110" s="11">
        <v>42401</v>
      </c>
      <c r="E6110" t="s">
        <v>2174</v>
      </c>
      <c r="F6110">
        <v>4</v>
      </c>
      <c r="G6110" t="s">
        <v>53</v>
      </c>
      <c r="H6110" t="s">
        <v>44</v>
      </c>
      <c r="I6110" t="s">
        <v>2192</v>
      </c>
      <c r="J6110" s="10">
        <v>5</v>
      </c>
      <c r="K6110" t="b">
        <v>1</v>
      </c>
    </row>
    <row r="6111" spans="1:11">
      <c r="A6111" s="12">
        <v>42404</v>
      </c>
      <c r="B6111">
        <v>2016</v>
      </c>
      <c r="C6111">
        <v>2</v>
      </c>
      <c r="D6111" s="11">
        <v>42401</v>
      </c>
      <c r="E6111" t="s">
        <v>2174</v>
      </c>
      <c r="F6111">
        <v>4</v>
      </c>
      <c r="G6111" t="s">
        <v>53</v>
      </c>
      <c r="H6111" t="s">
        <v>45</v>
      </c>
      <c r="I6111" t="s">
        <v>2193</v>
      </c>
      <c r="J6111" s="10">
        <v>0</v>
      </c>
      <c r="K6111" t="b">
        <v>1</v>
      </c>
    </row>
    <row r="6112" spans="1:11">
      <c r="A6112" s="12">
        <v>42404</v>
      </c>
      <c r="B6112">
        <v>2016</v>
      </c>
      <c r="C6112">
        <v>2</v>
      </c>
      <c r="D6112" s="11">
        <v>42401</v>
      </c>
      <c r="E6112" t="s">
        <v>2174</v>
      </c>
      <c r="F6112">
        <v>4</v>
      </c>
      <c r="G6112" t="s">
        <v>53</v>
      </c>
      <c r="H6112" t="s">
        <v>46</v>
      </c>
      <c r="I6112" t="s">
        <v>2194</v>
      </c>
      <c r="J6112" s="10">
        <v>4</v>
      </c>
      <c r="K6112" t="b">
        <v>1</v>
      </c>
    </row>
    <row r="6113" spans="1:11">
      <c r="A6113" s="12">
        <v>42404</v>
      </c>
      <c r="B6113">
        <v>2016</v>
      </c>
      <c r="C6113">
        <v>2</v>
      </c>
      <c r="D6113" s="11">
        <v>42401</v>
      </c>
      <c r="E6113" t="s">
        <v>2174</v>
      </c>
      <c r="F6113">
        <v>4</v>
      </c>
      <c r="G6113" t="s">
        <v>53</v>
      </c>
      <c r="H6113" t="s">
        <v>47</v>
      </c>
      <c r="I6113" t="s">
        <v>2195</v>
      </c>
      <c r="J6113" s="10">
        <v>4</v>
      </c>
      <c r="K6113" t="b">
        <v>1</v>
      </c>
    </row>
    <row r="6114" spans="1:11">
      <c r="A6114" s="12">
        <v>42405</v>
      </c>
      <c r="B6114">
        <v>2016</v>
      </c>
      <c r="C6114">
        <v>2</v>
      </c>
      <c r="D6114" s="11">
        <v>42401</v>
      </c>
      <c r="E6114" t="s">
        <v>2174</v>
      </c>
      <c r="F6114">
        <v>5</v>
      </c>
      <c r="G6114" t="s">
        <v>55</v>
      </c>
      <c r="H6114" t="s">
        <v>40</v>
      </c>
      <c r="I6114" t="s">
        <v>2188</v>
      </c>
      <c r="J6114" s="10">
        <v>5.66</v>
      </c>
      <c r="K6114" t="b">
        <v>1</v>
      </c>
    </row>
    <row r="6115" spans="1:11">
      <c r="A6115" s="12">
        <v>42405</v>
      </c>
      <c r="B6115">
        <v>2016</v>
      </c>
      <c r="C6115">
        <v>2</v>
      </c>
      <c r="D6115" s="11">
        <v>42401</v>
      </c>
      <c r="E6115" t="s">
        <v>2174</v>
      </c>
      <c r="F6115">
        <v>5</v>
      </c>
      <c r="G6115" t="s">
        <v>55</v>
      </c>
      <c r="H6115" t="s">
        <v>41</v>
      </c>
      <c r="I6115" t="s">
        <v>2189</v>
      </c>
      <c r="J6115" s="10">
        <v>2</v>
      </c>
      <c r="K6115" t="b">
        <v>1</v>
      </c>
    </row>
    <row r="6116" spans="1:11">
      <c r="A6116" s="12">
        <v>42405</v>
      </c>
      <c r="B6116">
        <v>2016</v>
      </c>
      <c r="C6116">
        <v>2</v>
      </c>
      <c r="D6116" s="11">
        <v>42401</v>
      </c>
      <c r="E6116" t="s">
        <v>2174</v>
      </c>
      <c r="F6116">
        <v>5</v>
      </c>
      <c r="G6116" t="s">
        <v>55</v>
      </c>
      <c r="H6116" t="s">
        <v>42</v>
      </c>
      <c r="I6116" t="s">
        <v>2190</v>
      </c>
      <c r="J6116" s="10">
        <v>3</v>
      </c>
      <c r="K6116" t="b">
        <v>1</v>
      </c>
    </row>
    <row r="6117" spans="1:11">
      <c r="A6117" s="12">
        <v>42405</v>
      </c>
      <c r="B6117">
        <v>2016</v>
      </c>
      <c r="C6117">
        <v>2</v>
      </c>
      <c r="D6117" s="11">
        <v>42401</v>
      </c>
      <c r="E6117" t="s">
        <v>2174</v>
      </c>
      <c r="F6117">
        <v>5</v>
      </c>
      <c r="G6117" t="s">
        <v>55</v>
      </c>
      <c r="H6117" t="s">
        <v>43</v>
      </c>
      <c r="I6117" t="s">
        <v>2191</v>
      </c>
      <c r="J6117" s="10">
        <v>51.6</v>
      </c>
      <c r="K6117" t="b">
        <v>1</v>
      </c>
    </row>
    <row r="6118" spans="1:11">
      <c r="A6118" s="12">
        <v>42405</v>
      </c>
      <c r="B6118">
        <v>2016</v>
      </c>
      <c r="C6118">
        <v>2</v>
      </c>
      <c r="D6118" s="11">
        <v>42401</v>
      </c>
      <c r="E6118" t="s">
        <v>2174</v>
      </c>
      <c r="F6118">
        <v>5</v>
      </c>
      <c r="G6118" t="s">
        <v>55</v>
      </c>
      <c r="H6118" t="s">
        <v>44</v>
      </c>
      <c r="I6118" t="s">
        <v>2192</v>
      </c>
      <c r="J6118" s="10">
        <v>7</v>
      </c>
      <c r="K6118" t="b">
        <v>1</v>
      </c>
    </row>
    <row r="6119" spans="1:11">
      <c r="A6119" s="12">
        <v>42405</v>
      </c>
      <c r="B6119">
        <v>2016</v>
      </c>
      <c r="C6119">
        <v>2</v>
      </c>
      <c r="D6119" s="11">
        <v>42401</v>
      </c>
      <c r="E6119" t="s">
        <v>2174</v>
      </c>
      <c r="F6119">
        <v>5</v>
      </c>
      <c r="G6119" t="s">
        <v>55</v>
      </c>
      <c r="H6119" t="s">
        <v>45</v>
      </c>
      <c r="I6119" t="s">
        <v>2193</v>
      </c>
      <c r="J6119" s="10">
        <v>0</v>
      </c>
      <c r="K6119" t="b">
        <v>1</v>
      </c>
    </row>
    <row r="6120" spans="1:11">
      <c r="A6120" s="12">
        <v>42405</v>
      </c>
      <c r="B6120">
        <v>2016</v>
      </c>
      <c r="C6120">
        <v>2</v>
      </c>
      <c r="D6120" s="11">
        <v>42401</v>
      </c>
      <c r="E6120" t="s">
        <v>2174</v>
      </c>
      <c r="F6120">
        <v>5</v>
      </c>
      <c r="G6120" t="s">
        <v>55</v>
      </c>
      <c r="H6120" t="s">
        <v>46</v>
      </c>
      <c r="I6120" t="s">
        <v>2194</v>
      </c>
      <c r="J6120" s="10">
        <v>3</v>
      </c>
      <c r="K6120" t="b">
        <v>1</v>
      </c>
    </row>
    <row r="6121" spans="1:11">
      <c r="A6121" s="12">
        <v>42405</v>
      </c>
      <c r="B6121">
        <v>2016</v>
      </c>
      <c r="C6121">
        <v>2</v>
      </c>
      <c r="D6121" s="11">
        <v>42401</v>
      </c>
      <c r="E6121" t="s">
        <v>2174</v>
      </c>
      <c r="F6121">
        <v>5</v>
      </c>
      <c r="G6121" t="s">
        <v>55</v>
      </c>
      <c r="H6121" t="s">
        <v>47</v>
      </c>
      <c r="I6121" t="s">
        <v>2195</v>
      </c>
      <c r="J6121" s="10">
        <v>1</v>
      </c>
      <c r="K6121" t="b">
        <v>1</v>
      </c>
    </row>
    <row r="6122" spans="1:11">
      <c r="A6122" s="12">
        <v>42406</v>
      </c>
      <c r="B6122">
        <v>2016</v>
      </c>
      <c r="C6122">
        <v>2</v>
      </c>
      <c r="D6122" s="11">
        <v>42401</v>
      </c>
      <c r="E6122" t="s">
        <v>2174</v>
      </c>
      <c r="F6122">
        <v>6</v>
      </c>
      <c r="G6122" t="s">
        <v>57</v>
      </c>
      <c r="H6122" t="s">
        <v>40</v>
      </c>
      <c r="I6122" t="s">
        <v>2188</v>
      </c>
      <c r="J6122" s="10">
        <v>5.33</v>
      </c>
      <c r="K6122" t="b">
        <v>1</v>
      </c>
    </row>
    <row r="6123" spans="1:11">
      <c r="A6123" s="12">
        <v>42406</v>
      </c>
      <c r="B6123">
        <v>2016</v>
      </c>
      <c r="C6123">
        <v>2</v>
      </c>
      <c r="D6123" s="11">
        <v>42401</v>
      </c>
      <c r="E6123" t="s">
        <v>2174</v>
      </c>
      <c r="F6123">
        <v>6</v>
      </c>
      <c r="G6123" t="s">
        <v>57</v>
      </c>
      <c r="H6123" t="s">
        <v>41</v>
      </c>
      <c r="I6123" t="s">
        <v>2189</v>
      </c>
      <c r="J6123" s="10">
        <v>10.33</v>
      </c>
      <c r="K6123" t="b">
        <v>1</v>
      </c>
    </row>
    <row r="6124" spans="1:11">
      <c r="A6124" s="12">
        <v>42406</v>
      </c>
      <c r="B6124">
        <v>2016</v>
      </c>
      <c r="C6124">
        <v>2</v>
      </c>
      <c r="D6124" s="11">
        <v>42401</v>
      </c>
      <c r="E6124" t="s">
        <v>2174</v>
      </c>
      <c r="F6124">
        <v>6</v>
      </c>
      <c r="G6124" t="s">
        <v>57</v>
      </c>
      <c r="H6124" t="s">
        <v>42</v>
      </c>
      <c r="I6124" t="s">
        <v>2190</v>
      </c>
      <c r="J6124" s="10">
        <v>3</v>
      </c>
      <c r="K6124" t="b">
        <v>1</v>
      </c>
    </row>
    <row r="6125" spans="1:11">
      <c r="A6125" s="12">
        <v>42406</v>
      </c>
      <c r="B6125">
        <v>2016</v>
      </c>
      <c r="C6125">
        <v>2</v>
      </c>
      <c r="D6125" s="11">
        <v>42401</v>
      </c>
      <c r="E6125" t="s">
        <v>2174</v>
      </c>
      <c r="F6125">
        <v>6</v>
      </c>
      <c r="G6125" t="s">
        <v>57</v>
      </c>
      <c r="H6125" t="s">
        <v>43</v>
      </c>
      <c r="I6125" t="s">
        <v>2191</v>
      </c>
      <c r="J6125" s="10">
        <v>57.162</v>
      </c>
      <c r="K6125" t="b">
        <v>1</v>
      </c>
    </row>
    <row r="6126" spans="1:11">
      <c r="A6126" s="12">
        <v>42406</v>
      </c>
      <c r="B6126">
        <v>2016</v>
      </c>
      <c r="C6126">
        <v>2</v>
      </c>
      <c r="D6126" s="11">
        <v>42401</v>
      </c>
      <c r="E6126" t="s">
        <v>2174</v>
      </c>
      <c r="F6126">
        <v>6</v>
      </c>
      <c r="G6126" t="s">
        <v>57</v>
      </c>
      <c r="H6126" t="s">
        <v>44</v>
      </c>
      <c r="I6126" t="s">
        <v>2192</v>
      </c>
      <c r="J6126" s="10">
        <v>1</v>
      </c>
      <c r="K6126" t="b">
        <v>1</v>
      </c>
    </row>
    <row r="6127" spans="1:11">
      <c r="A6127" s="12">
        <v>42406</v>
      </c>
      <c r="B6127">
        <v>2016</v>
      </c>
      <c r="C6127">
        <v>2</v>
      </c>
      <c r="D6127" s="11">
        <v>42401</v>
      </c>
      <c r="E6127" t="s">
        <v>2174</v>
      </c>
      <c r="F6127">
        <v>6</v>
      </c>
      <c r="G6127" t="s">
        <v>57</v>
      </c>
      <c r="H6127" t="s">
        <v>45</v>
      </c>
      <c r="I6127" t="s">
        <v>2193</v>
      </c>
      <c r="J6127" s="10">
        <v>0</v>
      </c>
      <c r="K6127" t="b">
        <v>1</v>
      </c>
    </row>
    <row r="6128" spans="1:11">
      <c r="A6128" s="12">
        <v>42406</v>
      </c>
      <c r="B6128">
        <v>2016</v>
      </c>
      <c r="C6128">
        <v>2</v>
      </c>
      <c r="D6128" s="11">
        <v>42401</v>
      </c>
      <c r="E6128" t="s">
        <v>2174</v>
      </c>
      <c r="F6128">
        <v>6</v>
      </c>
      <c r="G6128" t="s">
        <v>57</v>
      </c>
      <c r="H6128" t="s">
        <v>46</v>
      </c>
      <c r="I6128" t="s">
        <v>2194</v>
      </c>
      <c r="J6128" s="10">
        <v>11</v>
      </c>
      <c r="K6128" t="b">
        <v>1</v>
      </c>
    </row>
    <row r="6129" spans="1:11">
      <c r="A6129" s="12">
        <v>42406</v>
      </c>
      <c r="B6129">
        <v>2016</v>
      </c>
      <c r="C6129">
        <v>2</v>
      </c>
      <c r="D6129" s="11">
        <v>42401</v>
      </c>
      <c r="E6129" t="s">
        <v>2174</v>
      </c>
      <c r="F6129">
        <v>6</v>
      </c>
      <c r="G6129" t="s">
        <v>57</v>
      </c>
      <c r="H6129" t="s">
        <v>47</v>
      </c>
      <c r="I6129" t="s">
        <v>2195</v>
      </c>
      <c r="J6129" s="10">
        <v>2</v>
      </c>
      <c r="K6129" t="b">
        <v>1</v>
      </c>
    </row>
    <row r="6130" spans="1:11">
      <c r="A6130" s="12">
        <v>42407</v>
      </c>
      <c r="B6130">
        <v>2016</v>
      </c>
      <c r="C6130">
        <v>2</v>
      </c>
      <c r="D6130" s="11">
        <v>42401</v>
      </c>
      <c r="E6130" t="s">
        <v>2174</v>
      </c>
      <c r="F6130">
        <v>7</v>
      </c>
      <c r="G6130" t="s">
        <v>59</v>
      </c>
      <c r="H6130" t="s">
        <v>40</v>
      </c>
      <c r="I6130" t="s">
        <v>2188</v>
      </c>
      <c r="J6130" s="10">
        <v>3.66</v>
      </c>
      <c r="K6130" t="b">
        <v>1</v>
      </c>
    </row>
    <row r="6131" spans="1:11">
      <c r="A6131" s="12">
        <v>42407</v>
      </c>
      <c r="B6131">
        <v>2016</v>
      </c>
      <c r="C6131">
        <v>2</v>
      </c>
      <c r="D6131" s="11">
        <v>42401</v>
      </c>
      <c r="E6131" t="s">
        <v>2174</v>
      </c>
      <c r="F6131">
        <v>7</v>
      </c>
      <c r="G6131" t="s">
        <v>59</v>
      </c>
      <c r="H6131" t="s">
        <v>41</v>
      </c>
      <c r="I6131" t="s">
        <v>2189</v>
      </c>
      <c r="J6131" s="10">
        <v>6.056</v>
      </c>
      <c r="K6131" t="b">
        <v>1</v>
      </c>
    </row>
    <row r="6132" spans="1:11">
      <c r="A6132" s="12">
        <v>42407</v>
      </c>
      <c r="B6132">
        <v>2016</v>
      </c>
      <c r="C6132">
        <v>2</v>
      </c>
      <c r="D6132" s="11">
        <v>42401</v>
      </c>
      <c r="E6132" t="s">
        <v>2174</v>
      </c>
      <c r="F6132">
        <v>7</v>
      </c>
      <c r="G6132" t="s">
        <v>59</v>
      </c>
      <c r="H6132" t="s">
        <v>42</v>
      </c>
      <c r="I6132" t="s">
        <v>2190</v>
      </c>
      <c r="J6132" s="10">
        <v>4.5</v>
      </c>
      <c r="K6132" t="b">
        <v>1</v>
      </c>
    </row>
    <row r="6133" spans="1:11">
      <c r="A6133" s="12">
        <v>42407</v>
      </c>
      <c r="B6133">
        <v>2016</v>
      </c>
      <c r="C6133">
        <v>2</v>
      </c>
      <c r="D6133" s="11">
        <v>42401</v>
      </c>
      <c r="E6133" t="s">
        <v>2174</v>
      </c>
      <c r="F6133">
        <v>7</v>
      </c>
      <c r="G6133" t="s">
        <v>59</v>
      </c>
      <c r="H6133" t="s">
        <v>43</v>
      </c>
      <c r="I6133" t="s">
        <v>2191</v>
      </c>
      <c r="J6133" s="10">
        <v>88.2</v>
      </c>
      <c r="K6133" t="b">
        <v>1</v>
      </c>
    </row>
    <row r="6134" spans="1:11">
      <c r="A6134" s="12">
        <v>42407</v>
      </c>
      <c r="B6134">
        <v>2016</v>
      </c>
      <c r="C6134">
        <v>2</v>
      </c>
      <c r="D6134" s="11">
        <v>42401</v>
      </c>
      <c r="E6134" t="s">
        <v>2174</v>
      </c>
      <c r="F6134">
        <v>7</v>
      </c>
      <c r="G6134" t="s">
        <v>59</v>
      </c>
      <c r="H6134" t="s">
        <v>44</v>
      </c>
      <c r="I6134" t="s">
        <v>2192</v>
      </c>
      <c r="J6134" s="10">
        <v>2</v>
      </c>
      <c r="K6134" t="b">
        <v>1</v>
      </c>
    </row>
    <row r="6135" spans="1:11">
      <c r="A6135" s="12">
        <v>42407</v>
      </c>
      <c r="B6135">
        <v>2016</v>
      </c>
      <c r="C6135">
        <v>2</v>
      </c>
      <c r="D6135" s="11">
        <v>42401</v>
      </c>
      <c r="E6135" t="s">
        <v>2174</v>
      </c>
      <c r="F6135">
        <v>7</v>
      </c>
      <c r="G6135" t="s">
        <v>59</v>
      </c>
      <c r="H6135" t="s">
        <v>45</v>
      </c>
      <c r="I6135" t="s">
        <v>2193</v>
      </c>
      <c r="J6135" s="10">
        <v>0</v>
      </c>
      <c r="K6135" t="b">
        <v>1</v>
      </c>
    </row>
    <row r="6136" spans="1:11">
      <c r="A6136" s="12">
        <v>42407</v>
      </c>
      <c r="B6136">
        <v>2016</v>
      </c>
      <c r="C6136">
        <v>2</v>
      </c>
      <c r="D6136" s="11">
        <v>42401</v>
      </c>
      <c r="E6136" t="s">
        <v>2174</v>
      </c>
      <c r="F6136">
        <v>7</v>
      </c>
      <c r="G6136" t="s">
        <v>59</v>
      </c>
      <c r="H6136" t="s">
        <v>46</v>
      </c>
      <c r="I6136" t="s">
        <v>2194</v>
      </c>
      <c r="J6136" s="10">
        <v>13</v>
      </c>
      <c r="K6136" t="b">
        <v>1</v>
      </c>
    </row>
    <row r="6137" spans="1:11">
      <c r="A6137" s="12">
        <v>42407</v>
      </c>
      <c r="B6137">
        <v>2016</v>
      </c>
      <c r="C6137">
        <v>2</v>
      </c>
      <c r="D6137" s="11">
        <v>42401</v>
      </c>
      <c r="E6137" t="s">
        <v>2174</v>
      </c>
      <c r="F6137">
        <v>7</v>
      </c>
      <c r="G6137" t="s">
        <v>59</v>
      </c>
      <c r="H6137" t="s">
        <v>47</v>
      </c>
      <c r="I6137" t="s">
        <v>2195</v>
      </c>
      <c r="J6137" s="10">
        <v>1</v>
      </c>
      <c r="K6137" t="b">
        <v>1</v>
      </c>
    </row>
    <row r="6138" spans="1:11">
      <c r="A6138" s="12">
        <v>42408</v>
      </c>
      <c r="B6138">
        <v>2016</v>
      </c>
      <c r="C6138">
        <v>2</v>
      </c>
      <c r="D6138" s="11">
        <v>42401</v>
      </c>
      <c r="E6138" t="s">
        <v>2174</v>
      </c>
      <c r="F6138">
        <v>1</v>
      </c>
      <c r="G6138" t="s">
        <v>61</v>
      </c>
      <c r="H6138" t="s">
        <v>40</v>
      </c>
      <c r="I6138" t="s">
        <v>2188</v>
      </c>
      <c r="J6138" s="10">
        <v>6.33</v>
      </c>
      <c r="K6138" t="b">
        <v>1</v>
      </c>
    </row>
    <row r="6139" spans="1:11">
      <c r="A6139" s="12">
        <v>42408</v>
      </c>
      <c r="B6139">
        <v>2016</v>
      </c>
      <c r="C6139">
        <v>2</v>
      </c>
      <c r="D6139" s="11">
        <v>42401</v>
      </c>
      <c r="E6139" t="s">
        <v>2174</v>
      </c>
      <c r="F6139">
        <v>1</v>
      </c>
      <c r="G6139" t="s">
        <v>61</v>
      </c>
      <c r="H6139" t="s">
        <v>41</v>
      </c>
      <c r="I6139" t="s">
        <v>2189</v>
      </c>
      <c r="J6139" s="10">
        <v>6.99</v>
      </c>
      <c r="K6139" t="b">
        <v>1</v>
      </c>
    </row>
    <row r="6140" spans="1:11">
      <c r="A6140" s="12">
        <v>42408</v>
      </c>
      <c r="B6140">
        <v>2016</v>
      </c>
      <c r="C6140">
        <v>2</v>
      </c>
      <c r="D6140" s="11">
        <v>42401</v>
      </c>
      <c r="E6140" t="s">
        <v>2174</v>
      </c>
      <c r="F6140">
        <v>1</v>
      </c>
      <c r="G6140" t="s">
        <v>61</v>
      </c>
      <c r="H6140" t="s">
        <v>42</v>
      </c>
      <c r="I6140" t="s">
        <v>2190</v>
      </c>
      <c r="J6140" s="10">
        <v>5.5</v>
      </c>
      <c r="K6140" t="b">
        <v>1</v>
      </c>
    </row>
    <row r="6141" spans="1:11">
      <c r="A6141" s="12">
        <v>42408</v>
      </c>
      <c r="B6141">
        <v>2016</v>
      </c>
      <c r="C6141">
        <v>2</v>
      </c>
      <c r="D6141" s="11">
        <v>42401</v>
      </c>
      <c r="E6141" t="s">
        <v>2174</v>
      </c>
      <c r="F6141">
        <v>1</v>
      </c>
      <c r="G6141" t="s">
        <v>61</v>
      </c>
      <c r="H6141" t="s">
        <v>43</v>
      </c>
      <c r="I6141" t="s">
        <v>2191</v>
      </c>
      <c r="J6141" s="10">
        <v>28.038</v>
      </c>
      <c r="K6141" t="b">
        <v>1</v>
      </c>
    </row>
    <row r="6142" spans="1:11">
      <c r="A6142" s="12">
        <v>42408</v>
      </c>
      <c r="B6142">
        <v>2016</v>
      </c>
      <c r="C6142">
        <v>2</v>
      </c>
      <c r="D6142" s="11">
        <v>42401</v>
      </c>
      <c r="E6142" t="s">
        <v>2174</v>
      </c>
      <c r="F6142">
        <v>1</v>
      </c>
      <c r="G6142" t="s">
        <v>61</v>
      </c>
      <c r="H6142" t="s">
        <v>44</v>
      </c>
      <c r="I6142" t="s">
        <v>2192</v>
      </c>
      <c r="J6142" s="10">
        <v>5</v>
      </c>
      <c r="K6142" t="b">
        <v>1</v>
      </c>
    </row>
    <row r="6143" spans="1:11">
      <c r="A6143" s="12">
        <v>42408</v>
      </c>
      <c r="B6143">
        <v>2016</v>
      </c>
      <c r="C6143">
        <v>2</v>
      </c>
      <c r="D6143" s="11">
        <v>42401</v>
      </c>
      <c r="E6143" t="s">
        <v>2174</v>
      </c>
      <c r="F6143">
        <v>1</v>
      </c>
      <c r="G6143" t="s">
        <v>61</v>
      </c>
      <c r="H6143" t="s">
        <v>45</v>
      </c>
      <c r="I6143" t="s">
        <v>2193</v>
      </c>
      <c r="J6143" s="10">
        <v>0</v>
      </c>
      <c r="K6143" t="b">
        <v>1</v>
      </c>
    </row>
    <row r="6144" spans="1:11">
      <c r="A6144" s="12">
        <v>42408</v>
      </c>
      <c r="B6144">
        <v>2016</v>
      </c>
      <c r="C6144">
        <v>2</v>
      </c>
      <c r="D6144" s="11">
        <v>42401</v>
      </c>
      <c r="E6144" t="s">
        <v>2174</v>
      </c>
      <c r="F6144">
        <v>1</v>
      </c>
      <c r="G6144" t="s">
        <v>61</v>
      </c>
      <c r="H6144" t="s">
        <v>46</v>
      </c>
      <c r="I6144" t="s">
        <v>2194</v>
      </c>
      <c r="J6144" s="10">
        <v>23</v>
      </c>
      <c r="K6144" t="b">
        <v>1</v>
      </c>
    </row>
    <row r="6145" spans="1:11">
      <c r="A6145" s="12">
        <v>42408</v>
      </c>
      <c r="B6145">
        <v>2016</v>
      </c>
      <c r="C6145">
        <v>2</v>
      </c>
      <c r="D6145" s="11">
        <v>42401</v>
      </c>
      <c r="E6145" t="s">
        <v>2174</v>
      </c>
      <c r="F6145">
        <v>1</v>
      </c>
      <c r="G6145" t="s">
        <v>61</v>
      </c>
      <c r="H6145" t="s">
        <v>47</v>
      </c>
      <c r="I6145" t="s">
        <v>2195</v>
      </c>
      <c r="J6145" s="10">
        <v>1</v>
      </c>
      <c r="K6145" t="b">
        <v>1</v>
      </c>
    </row>
    <row r="6146" spans="1:11">
      <c r="A6146" s="12">
        <v>42409</v>
      </c>
      <c r="B6146">
        <v>2016</v>
      </c>
      <c r="C6146">
        <v>2</v>
      </c>
      <c r="D6146" s="11">
        <v>42401</v>
      </c>
      <c r="E6146" t="s">
        <v>2174</v>
      </c>
      <c r="F6146">
        <v>2</v>
      </c>
      <c r="G6146" t="s">
        <v>63</v>
      </c>
      <c r="H6146" t="s">
        <v>40</v>
      </c>
      <c r="I6146" t="s">
        <v>2188</v>
      </c>
      <c r="J6146" s="10">
        <v>7</v>
      </c>
      <c r="K6146" t="b">
        <v>1</v>
      </c>
    </row>
    <row r="6147" spans="1:11">
      <c r="A6147" s="12">
        <v>42409</v>
      </c>
      <c r="B6147">
        <v>2016</v>
      </c>
      <c r="C6147">
        <v>2</v>
      </c>
      <c r="D6147" s="11">
        <v>42401</v>
      </c>
      <c r="E6147" t="s">
        <v>2174</v>
      </c>
      <c r="F6147">
        <v>2</v>
      </c>
      <c r="G6147" t="s">
        <v>63</v>
      </c>
      <c r="H6147" t="s">
        <v>41</v>
      </c>
      <c r="I6147" t="s">
        <v>2189</v>
      </c>
      <c r="J6147" s="10">
        <v>3.33</v>
      </c>
      <c r="K6147" t="b">
        <v>1</v>
      </c>
    </row>
    <row r="6148" spans="1:11">
      <c r="A6148" s="12">
        <v>42409</v>
      </c>
      <c r="B6148">
        <v>2016</v>
      </c>
      <c r="C6148">
        <v>2</v>
      </c>
      <c r="D6148" s="11">
        <v>42401</v>
      </c>
      <c r="E6148" t="s">
        <v>2174</v>
      </c>
      <c r="F6148">
        <v>2</v>
      </c>
      <c r="G6148" t="s">
        <v>63</v>
      </c>
      <c r="H6148" t="s">
        <v>42</v>
      </c>
      <c r="I6148" t="s">
        <v>2190</v>
      </c>
      <c r="J6148" s="10">
        <v>4.4</v>
      </c>
      <c r="K6148" t="b">
        <v>1</v>
      </c>
    </row>
    <row r="6149" spans="1:11">
      <c r="A6149" s="12">
        <v>42409</v>
      </c>
      <c r="B6149">
        <v>2016</v>
      </c>
      <c r="C6149">
        <v>2</v>
      </c>
      <c r="D6149" s="11">
        <v>42401</v>
      </c>
      <c r="E6149" t="s">
        <v>2174</v>
      </c>
      <c r="F6149">
        <v>2</v>
      </c>
      <c r="G6149" t="s">
        <v>63</v>
      </c>
      <c r="H6149" t="s">
        <v>43</v>
      </c>
      <c r="I6149" t="s">
        <v>2191</v>
      </c>
      <c r="J6149" s="10">
        <v>47.7</v>
      </c>
      <c r="K6149" t="b">
        <v>1</v>
      </c>
    </row>
    <row r="6150" spans="1:11">
      <c r="A6150" s="12">
        <v>42409</v>
      </c>
      <c r="B6150">
        <v>2016</v>
      </c>
      <c r="C6150">
        <v>2</v>
      </c>
      <c r="D6150" s="11">
        <v>42401</v>
      </c>
      <c r="E6150" t="s">
        <v>2174</v>
      </c>
      <c r="F6150">
        <v>2</v>
      </c>
      <c r="G6150" t="s">
        <v>63</v>
      </c>
      <c r="H6150" t="s">
        <v>44</v>
      </c>
      <c r="I6150" t="s">
        <v>2192</v>
      </c>
      <c r="J6150" s="10">
        <v>16</v>
      </c>
      <c r="K6150" t="b">
        <v>1</v>
      </c>
    </row>
    <row r="6151" spans="1:11">
      <c r="A6151" s="12">
        <v>42409</v>
      </c>
      <c r="B6151">
        <v>2016</v>
      </c>
      <c r="C6151">
        <v>2</v>
      </c>
      <c r="D6151" s="11">
        <v>42401</v>
      </c>
      <c r="E6151" t="s">
        <v>2174</v>
      </c>
      <c r="F6151">
        <v>2</v>
      </c>
      <c r="G6151" t="s">
        <v>63</v>
      </c>
      <c r="H6151" t="s">
        <v>45</v>
      </c>
      <c r="I6151" t="s">
        <v>2193</v>
      </c>
      <c r="J6151" s="10">
        <v>2</v>
      </c>
      <c r="K6151" t="b">
        <v>1</v>
      </c>
    </row>
    <row r="6152" spans="1:11">
      <c r="A6152" s="12">
        <v>42409</v>
      </c>
      <c r="B6152">
        <v>2016</v>
      </c>
      <c r="C6152">
        <v>2</v>
      </c>
      <c r="D6152" s="11">
        <v>42401</v>
      </c>
      <c r="E6152" t="s">
        <v>2174</v>
      </c>
      <c r="F6152">
        <v>2</v>
      </c>
      <c r="G6152" t="s">
        <v>63</v>
      </c>
      <c r="H6152" t="s">
        <v>46</v>
      </c>
      <c r="I6152" t="s">
        <v>2194</v>
      </c>
      <c r="J6152" s="10">
        <v>1</v>
      </c>
      <c r="K6152" t="b">
        <v>1</v>
      </c>
    </row>
    <row r="6153" spans="1:11">
      <c r="A6153" s="12">
        <v>42409</v>
      </c>
      <c r="B6153">
        <v>2016</v>
      </c>
      <c r="C6153">
        <v>2</v>
      </c>
      <c r="D6153" s="11">
        <v>42401</v>
      </c>
      <c r="E6153" t="s">
        <v>2174</v>
      </c>
      <c r="F6153">
        <v>2</v>
      </c>
      <c r="G6153" t="s">
        <v>63</v>
      </c>
      <c r="H6153" t="s">
        <v>47</v>
      </c>
      <c r="I6153" t="s">
        <v>2195</v>
      </c>
      <c r="J6153" s="10">
        <v>2</v>
      </c>
      <c r="K6153" t="b">
        <v>1</v>
      </c>
    </row>
    <row r="6154" spans="1:11">
      <c r="A6154" s="12">
        <v>42410</v>
      </c>
      <c r="B6154">
        <v>2016</v>
      </c>
      <c r="C6154">
        <v>2</v>
      </c>
      <c r="D6154" s="11">
        <v>42401</v>
      </c>
      <c r="E6154" t="s">
        <v>2174</v>
      </c>
      <c r="F6154">
        <v>3</v>
      </c>
      <c r="G6154" t="s">
        <v>65</v>
      </c>
      <c r="H6154" t="s">
        <v>40</v>
      </c>
      <c r="I6154" t="s">
        <v>2188</v>
      </c>
      <c r="J6154" s="10">
        <v>4.34</v>
      </c>
      <c r="K6154" t="b">
        <v>1</v>
      </c>
    </row>
    <row r="6155" spans="1:11">
      <c r="A6155" s="12">
        <v>42410</v>
      </c>
      <c r="B6155">
        <v>2016</v>
      </c>
      <c r="C6155">
        <v>2</v>
      </c>
      <c r="D6155" s="11">
        <v>42401</v>
      </c>
      <c r="E6155" t="s">
        <v>2174</v>
      </c>
      <c r="F6155">
        <v>3</v>
      </c>
      <c r="G6155" t="s">
        <v>65</v>
      </c>
      <c r="H6155" t="s">
        <v>41</v>
      </c>
      <c r="I6155" t="s">
        <v>2189</v>
      </c>
      <c r="J6155" s="10">
        <v>4.703</v>
      </c>
      <c r="K6155" t="b">
        <v>1</v>
      </c>
    </row>
    <row r="6156" spans="1:11">
      <c r="A6156" s="12">
        <v>42410</v>
      </c>
      <c r="B6156">
        <v>2016</v>
      </c>
      <c r="C6156">
        <v>2</v>
      </c>
      <c r="D6156" s="11">
        <v>42401</v>
      </c>
      <c r="E6156" t="s">
        <v>2174</v>
      </c>
      <c r="F6156">
        <v>3</v>
      </c>
      <c r="G6156" t="s">
        <v>65</v>
      </c>
      <c r="H6156" t="s">
        <v>42</v>
      </c>
      <c r="I6156" t="s">
        <v>2190</v>
      </c>
      <c r="J6156" s="10">
        <v>7.2</v>
      </c>
      <c r="K6156" t="b">
        <v>1</v>
      </c>
    </row>
    <row r="6157" spans="1:11">
      <c r="A6157" s="12">
        <v>42410</v>
      </c>
      <c r="B6157">
        <v>2016</v>
      </c>
      <c r="C6157">
        <v>2</v>
      </c>
      <c r="D6157" s="11">
        <v>42401</v>
      </c>
      <c r="E6157" t="s">
        <v>2174</v>
      </c>
      <c r="F6157">
        <v>3</v>
      </c>
      <c r="G6157" t="s">
        <v>65</v>
      </c>
      <c r="H6157" t="s">
        <v>43</v>
      </c>
      <c r="I6157" t="s">
        <v>2191</v>
      </c>
      <c r="J6157" s="10">
        <v>34.1</v>
      </c>
      <c r="K6157" t="b">
        <v>1</v>
      </c>
    </row>
    <row r="6158" spans="1:11">
      <c r="A6158" s="12">
        <v>42410</v>
      </c>
      <c r="B6158">
        <v>2016</v>
      </c>
      <c r="C6158">
        <v>2</v>
      </c>
      <c r="D6158" s="11">
        <v>42401</v>
      </c>
      <c r="E6158" t="s">
        <v>2174</v>
      </c>
      <c r="F6158">
        <v>3</v>
      </c>
      <c r="G6158" t="s">
        <v>65</v>
      </c>
      <c r="H6158" t="s">
        <v>44</v>
      </c>
      <c r="I6158" t="s">
        <v>2192</v>
      </c>
      <c r="J6158" s="10">
        <v>29</v>
      </c>
      <c r="K6158" t="b">
        <v>1</v>
      </c>
    </row>
    <row r="6159" spans="1:11">
      <c r="A6159" s="12">
        <v>42410</v>
      </c>
      <c r="B6159">
        <v>2016</v>
      </c>
      <c r="C6159">
        <v>2</v>
      </c>
      <c r="D6159" s="11">
        <v>42401</v>
      </c>
      <c r="E6159" t="s">
        <v>2174</v>
      </c>
      <c r="F6159">
        <v>3</v>
      </c>
      <c r="G6159" t="s">
        <v>65</v>
      </c>
      <c r="H6159" t="s">
        <v>45</v>
      </c>
      <c r="I6159" t="s">
        <v>2193</v>
      </c>
      <c r="J6159" s="10">
        <v>0</v>
      </c>
      <c r="K6159" t="b">
        <v>1</v>
      </c>
    </row>
    <row r="6160" spans="1:11">
      <c r="A6160" s="12">
        <v>42410</v>
      </c>
      <c r="B6160">
        <v>2016</v>
      </c>
      <c r="C6160">
        <v>2</v>
      </c>
      <c r="D6160" s="11">
        <v>42401</v>
      </c>
      <c r="E6160" t="s">
        <v>2174</v>
      </c>
      <c r="F6160">
        <v>3</v>
      </c>
      <c r="G6160" t="s">
        <v>65</v>
      </c>
      <c r="H6160" t="s">
        <v>46</v>
      </c>
      <c r="I6160" t="s">
        <v>2194</v>
      </c>
      <c r="J6160" s="10">
        <v>4</v>
      </c>
      <c r="K6160" t="b">
        <v>1</v>
      </c>
    </row>
    <row r="6161" spans="1:11">
      <c r="A6161" s="12">
        <v>42410</v>
      </c>
      <c r="B6161">
        <v>2016</v>
      </c>
      <c r="C6161">
        <v>2</v>
      </c>
      <c r="D6161" s="11">
        <v>42401</v>
      </c>
      <c r="E6161" t="s">
        <v>2174</v>
      </c>
      <c r="F6161">
        <v>3</v>
      </c>
      <c r="G6161" t="s">
        <v>65</v>
      </c>
      <c r="H6161" t="s">
        <v>47</v>
      </c>
      <c r="I6161" t="s">
        <v>2195</v>
      </c>
      <c r="J6161" s="10">
        <v>2</v>
      </c>
      <c r="K6161" t="b">
        <v>1</v>
      </c>
    </row>
    <row r="6162" spans="1:11">
      <c r="A6162" s="12">
        <v>42411</v>
      </c>
      <c r="B6162">
        <v>2016</v>
      </c>
      <c r="C6162">
        <v>2</v>
      </c>
      <c r="D6162" s="11">
        <v>42401</v>
      </c>
      <c r="E6162" t="s">
        <v>2174</v>
      </c>
      <c r="F6162">
        <v>4</v>
      </c>
      <c r="G6162" t="s">
        <v>53</v>
      </c>
      <c r="H6162" t="s">
        <v>40</v>
      </c>
      <c r="I6162" t="s">
        <v>2188</v>
      </c>
      <c r="J6162" s="10">
        <v>1.66</v>
      </c>
      <c r="K6162" t="b">
        <v>1</v>
      </c>
    </row>
    <row r="6163" spans="1:11">
      <c r="A6163" s="12">
        <v>42411</v>
      </c>
      <c r="B6163">
        <v>2016</v>
      </c>
      <c r="C6163">
        <v>2</v>
      </c>
      <c r="D6163" s="11">
        <v>42401</v>
      </c>
      <c r="E6163" t="s">
        <v>2174</v>
      </c>
      <c r="F6163">
        <v>4</v>
      </c>
      <c r="G6163" t="s">
        <v>53</v>
      </c>
      <c r="H6163" t="s">
        <v>41</v>
      </c>
      <c r="I6163" t="s">
        <v>2189</v>
      </c>
      <c r="J6163" s="10">
        <v>4.156</v>
      </c>
      <c r="K6163" t="b">
        <v>1</v>
      </c>
    </row>
    <row r="6164" spans="1:11">
      <c r="A6164" s="12">
        <v>42411</v>
      </c>
      <c r="B6164">
        <v>2016</v>
      </c>
      <c r="C6164">
        <v>2</v>
      </c>
      <c r="D6164" s="11">
        <v>42401</v>
      </c>
      <c r="E6164" t="s">
        <v>2174</v>
      </c>
      <c r="F6164">
        <v>4</v>
      </c>
      <c r="G6164" t="s">
        <v>53</v>
      </c>
      <c r="H6164" t="s">
        <v>42</v>
      </c>
      <c r="I6164" t="s">
        <v>2190</v>
      </c>
      <c r="J6164" s="10">
        <v>2.7</v>
      </c>
      <c r="K6164" t="b">
        <v>1</v>
      </c>
    </row>
    <row r="6165" spans="1:11">
      <c r="A6165" s="12">
        <v>42411</v>
      </c>
      <c r="B6165">
        <v>2016</v>
      </c>
      <c r="C6165">
        <v>2</v>
      </c>
      <c r="D6165" s="11">
        <v>42401</v>
      </c>
      <c r="E6165" t="s">
        <v>2174</v>
      </c>
      <c r="F6165">
        <v>4</v>
      </c>
      <c r="G6165" t="s">
        <v>53</v>
      </c>
      <c r="H6165" t="s">
        <v>43</v>
      </c>
      <c r="I6165" t="s">
        <v>2191</v>
      </c>
      <c r="J6165" s="10">
        <v>38.1</v>
      </c>
      <c r="K6165" t="b">
        <v>1</v>
      </c>
    </row>
    <row r="6166" spans="1:11">
      <c r="A6166" s="12">
        <v>42411</v>
      </c>
      <c r="B6166">
        <v>2016</v>
      </c>
      <c r="C6166">
        <v>2</v>
      </c>
      <c r="D6166" s="11">
        <v>42401</v>
      </c>
      <c r="E6166" t="s">
        <v>2174</v>
      </c>
      <c r="F6166">
        <v>4</v>
      </c>
      <c r="G6166" t="s">
        <v>53</v>
      </c>
      <c r="H6166" t="s">
        <v>44</v>
      </c>
      <c r="I6166" t="s">
        <v>2192</v>
      </c>
      <c r="J6166" s="10">
        <v>10</v>
      </c>
      <c r="K6166" t="b">
        <v>1</v>
      </c>
    </row>
    <row r="6167" spans="1:11">
      <c r="A6167" s="12">
        <v>42411</v>
      </c>
      <c r="B6167">
        <v>2016</v>
      </c>
      <c r="C6167">
        <v>2</v>
      </c>
      <c r="D6167" s="11">
        <v>42401</v>
      </c>
      <c r="E6167" t="s">
        <v>2174</v>
      </c>
      <c r="F6167">
        <v>4</v>
      </c>
      <c r="G6167" t="s">
        <v>53</v>
      </c>
      <c r="H6167" t="s">
        <v>45</v>
      </c>
      <c r="I6167" t="s">
        <v>2193</v>
      </c>
      <c r="J6167" s="10">
        <v>1</v>
      </c>
      <c r="K6167" t="b">
        <v>1</v>
      </c>
    </row>
    <row r="6168" spans="1:11">
      <c r="A6168" s="12">
        <v>42411</v>
      </c>
      <c r="B6168">
        <v>2016</v>
      </c>
      <c r="C6168">
        <v>2</v>
      </c>
      <c r="D6168" s="11">
        <v>42401</v>
      </c>
      <c r="E6168" t="s">
        <v>2174</v>
      </c>
      <c r="F6168">
        <v>4</v>
      </c>
      <c r="G6168" t="s">
        <v>53</v>
      </c>
      <c r="H6168" t="s">
        <v>46</v>
      </c>
      <c r="I6168" t="s">
        <v>2194</v>
      </c>
      <c r="J6168" s="10">
        <v>13</v>
      </c>
      <c r="K6168" t="b">
        <v>1</v>
      </c>
    </row>
    <row r="6169" spans="1:11">
      <c r="A6169" s="12">
        <v>42411</v>
      </c>
      <c r="B6169">
        <v>2016</v>
      </c>
      <c r="C6169">
        <v>2</v>
      </c>
      <c r="D6169" s="11">
        <v>42401</v>
      </c>
      <c r="E6169" t="s">
        <v>2174</v>
      </c>
      <c r="F6169">
        <v>4</v>
      </c>
      <c r="G6169" t="s">
        <v>53</v>
      </c>
      <c r="H6169" t="s">
        <v>47</v>
      </c>
      <c r="I6169" t="s">
        <v>2195</v>
      </c>
      <c r="J6169" s="10">
        <v>4</v>
      </c>
      <c r="K6169" t="b">
        <v>1</v>
      </c>
    </row>
    <row r="6170" spans="1:11">
      <c r="A6170" s="12">
        <v>42412</v>
      </c>
      <c r="B6170">
        <v>2016</v>
      </c>
      <c r="C6170">
        <v>2</v>
      </c>
      <c r="D6170" s="11">
        <v>42401</v>
      </c>
      <c r="E6170" t="s">
        <v>2174</v>
      </c>
      <c r="F6170">
        <v>5</v>
      </c>
      <c r="G6170" t="s">
        <v>55</v>
      </c>
      <c r="H6170" t="s">
        <v>40</v>
      </c>
      <c r="I6170" t="s">
        <v>2188</v>
      </c>
      <c r="J6170" s="10">
        <v>5.99</v>
      </c>
      <c r="K6170" t="b">
        <v>1</v>
      </c>
    </row>
    <row r="6171" spans="1:11">
      <c r="A6171" s="12">
        <v>42412</v>
      </c>
      <c r="B6171">
        <v>2016</v>
      </c>
      <c r="C6171">
        <v>2</v>
      </c>
      <c r="D6171" s="11">
        <v>42401</v>
      </c>
      <c r="E6171" t="s">
        <v>2174</v>
      </c>
      <c r="F6171">
        <v>5</v>
      </c>
      <c r="G6171" t="s">
        <v>55</v>
      </c>
      <c r="H6171" t="s">
        <v>41</v>
      </c>
      <c r="I6171" t="s">
        <v>2189</v>
      </c>
      <c r="J6171" s="10">
        <v>6.429</v>
      </c>
      <c r="K6171" t="b">
        <v>1</v>
      </c>
    </row>
    <row r="6172" spans="1:11">
      <c r="A6172" s="12">
        <v>42412</v>
      </c>
      <c r="B6172">
        <v>2016</v>
      </c>
      <c r="C6172">
        <v>2</v>
      </c>
      <c r="D6172" s="11">
        <v>42401</v>
      </c>
      <c r="E6172" t="s">
        <v>2174</v>
      </c>
      <c r="F6172">
        <v>5</v>
      </c>
      <c r="G6172" t="s">
        <v>55</v>
      </c>
      <c r="H6172" t="s">
        <v>42</v>
      </c>
      <c r="I6172" t="s">
        <v>2190</v>
      </c>
      <c r="J6172" s="10">
        <v>8.5</v>
      </c>
      <c r="K6172" t="b">
        <v>1</v>
      </c>
    </row>
    <row r="6173" spans="1:11">
      <c r="A6173" s="12">
        <v>42412</v>
      </c>
      <c r="B6173">
        <v>2016</v>
      </c>
      <c r="C6173">
        <v>2</v>
      </c>
      <c r="D6173" s="11">
        <v>42401</v>
      </c>
      <c r="E6173" t="s">
        <v>2174</v>
      </c>
      <c r="F6173">
        <v>5</v>
      </c>
      <c r="G6173" t="s">
        <v>55</v>
      </c>
      <c r="H6173" t="s">
        <v>43</v>
      </c>
      <c r="I6173" t="s">
        <v>2191</v>
      </c>
      <c r="J6173" s="10">
        <v>60.675</v>
      </c>
      <c r="K6173" t="b">
        <v>1</v>
      </c>
    </row>
    <row r="6174" spans="1:11">
      <c r="A6174" s="12">
        <v>42412</v>
      </c>
      <c r="B6174">
        <v>2016</v>
      </c>
      <c r="C6174">
        <v>2</v>
      </c>
      <c r="D6174" s="11">
        <v>42401</v>
      </c>
      <c r="E6174" t="s">
        <v>2174</v>
      </c>
      <c r="F6174">
        <v>5</v>
      </c>
      <c r="G6174" t="s">
        <v>55</v>
      </c>
      <c r="H6174" t="s">
        <v>44</v>
      </c>
      <c r="I6174" t="s">
        <v>2192</v>
      </c>
      <c r="J6174" s="10">
        <v>4</v>
      </c>
      <c r="K6174" t="b">
        <v>1</v>
      </c>
    </row>
    <row r="6175" spans="1:11">
      <c r="A6175" s="12">
        <v>42412</v>
      </c>
      <c r="B6175">
        <v>2016</v>
      </c>
      <c r="C6175">
        <v>2</v>
      </c>
      <c r="D6175" s="11">
        <v>42401</v>
      </c>
      <c r="E6175" t="s">
        <v>2174</v>
      </c>
      <c r="F6175">
        <v>5</v>
      </c>
      <c r="G6175" t="s">
        <v>55</v>
      </c>
      <c r="H6175" t="s">
        <v>45</v>
      </c>
      <c r="I6175" t="s">
        <v>2193</v>
      </c>
      <c r="J6175" s="10">
        <v>0</v>
      </c>
      <c r="K6175" t="b">
        <v>1</v>
      </c>
    </row>
    <row r="6176" spans="1:11">
      <c r="A6176" s="12">
        <v>42412</v>
      </c>
      <c r="B6176">
        <v>2016</v>
      </c>
      <c r="C6176">
        <v>2</v>
      </c>
      <c r="D6176" s="11">
        <v>42401</v>
      </c>
      <c r="E6176" t="s">
        <v>2174</v>
      </c>
      <c r="F6176">
        <v>5</v>
      </c>
      <c r="G6176" t="s">
        <v>55</v>
      </c>
      <c r="H6176" t="s">
        <v>46</v>
      </c>
      <c r="I6176" t="s">
        <v>2194</v>
      </c>
      <c r="J6176" s="10">
        <v>20</v>
      </c>
      <c r="K6176" t="b">
        <v>1</v>
      </c>
    </row>
    <row r="6177" spans="1:11">
      <c r="A6177" s="12">
        <v>42412</v>
      </c>
      <c r="B6177">
        <v>2016</v>
      </c>
      <c r="C6177">
        <v>2</v>
      </c>
      <c r="D6177" s="11">
        <v>42401</v>
      </c>
      <c r="E6177" t="s">
        <v>2174</v>
      </c>
      <c r="F6177">
        <v>5</v>
      </c>
      <c r="G6177" t="s">
        <v>55</v>
      </c>
      <c r="H6177" t="s">
        <v>47</v>
      </c>
      <c r="I6177" t="s">
        <v>2195</v>
      </c>
      <c r="J6177" s="10">
        <v>1</v>
      </c>
      <c r="K6177" t="b">
        <v>1</v>
      </c>
    </row>
    <row r="6178" spans="1:11">
      <c r="A6178" s="12">
        <v>42413</v>
      </c>
      <c r="B6178">
        <v>2016</v>
      </c>
      <c r="C6178">
        <v>2</v>
      </c>
      <c r="D6178" s="11">
        <v>42401</v>
      </c>
      <c r="E6178" t="s">
        <v>2174</v>
      </c>
      <c r="F6178">
        <v>6</v>
      </c>
      <c r="G6178" t="s">
        <v>57</v>
      </c>
      <c r="H6178" t="s">
        <v>40</v>
      </c>
      <c r="I6178" t="s">
        <v>2188</v>
      </c>
      <c r="J6178" s="10">
        <v>2.67</v>
      </c>
      <c r="K6178" t="b">
        <v>1</v>
      </c>
    </row>
    <row r="6179" spans="1:11">
      <c r="A6179" s="12">
        <v>42413</v>
      </c>
      <c r="B6179">
        <v>2016</v>
      </c>
      <c r="C6179">
        <v>2</v>
      </c>
      <c r="D6179" s="11">
        <v>42401</v>
      </c>
      <c r="E6179" t="s">
        <v>2174</v>
      </c>
      <c r="F6179">
        <v>6</v>
      </c>
      <c r="G6179" t="s">
        <v>57</v>
      </c>
      <c r="H6179" t="s">
        <v>41</v>
      </c>
      <c r="I6179" t="s">
        <v>2189</v>
      </c>
      <c r="J6179" s="10">
        <v>3.67</v>
      </c>
      <c r="K6179" t="b">
        <v>1</v>
      </c>
    </row>
    <row r="6180" spans="1:11">
      <c r="A6180" s="12">
        <v>42413</v>
      </c>
      <c r="B6180">
        <v>2016</v>
      </c>
      <c r="C6180">
        <v>2</v>
      </c>
      <c r="D6180" s="11">
        <v>42401</v>
      </c>
      <c r="E6180" t="s">
        <v>2174</v>
      </c>
      <c r="F6180">
        <v>6</v>
      </c>
      <c r="G6180" t="s">
        <v>57</v>
      </c>
      <c r="H6180" t="s">
        <v>42</v>
      </c>
      <c r="I6180" t="s">
        <v>2190</v>
      </c>
      <c r="J6180" s="10">
        <v>5</v>
      </c>
      <c r="K6180" t="b">
        <v>1</v>
      </c>
    </row>
    <row r="6181" spans="1:11">
      <c r="A6181" s="12">
        <v>42413</v>
      </c>
      <c r="B6181">
        <v>2016</v>
      </c>
      <c r="C6181">
        <v>2</v>
      </c>
      <c r="D6181" s="11">
        <v>42401</v>
      </c>
      <c r="E6181" t="s">
        <v>2174</v>
      </c>
      <c r="F6181">
        <v>6</v>
      </c>
      <c r="G6181" t="s">
        <v>57</v>
      </c>
      <c r="H6181" t="s">
        <v>43</v>
      </c>
      <c r="I6181" t="s">
        <v>2191</v>
      </c>
      <c r="J6181" s="10">
        <v>42.4</v>
      </c>
      <c r="K6181" t="b">
        <v>1</v>
      </c>
    </row>
    <row r="6182" spans="1:11">
      <c r="A6182" s="12">
        <v>42413</v>
      </c>
      <c r="B6182">
        <v>2016</v>
      </c>
      <c r="C6182">
        <v>2</v>
      </c>
      <c r="D6182" s="11">
        <v>42401</v>
      </c>
      <c r="E6182" t="s">
        <v>2174</v>
      </c>
      <c r="F6182">
        <v>6</v>
      </c>
      <c r="G6182" t="s">
        <v>57</v>
      </c>
      <c r="H6182" t="s">
        <v>44</v>
      </c>
      <c r="I6182" t="s">
        <v>2192</v>
      </c>
      <c r="J6182" s="10">
        <v>2</v>
      </c>
      <c r="K6182" t="b">
        <v>1</v>
      </c>
    </row>
    <row r="6183" spans="1:11">
      <c r="A6183" s="12">
        <v>42413</v>
      </c>
      <c r="B6183">
        <v>2016</v>
      </c>
      <c r="C6183">
        <v>2</v>
      </c>
      <c r="D6183" s="11">
        <v>42401</v>
      </c>
      <c r="E6183" t="s">
        <v>2174</v>
      </c>
      <c r="F6183">
        <v>6</v>
      </c>
      <c r="G6183" t="s">
        <v>57</v>
      </c>
      <c r="H6183" t="s">
        <v>45</v>
      </c>
      <c r="I6183" t="s">
        <v>2193</v>
      </c>
      <c r="J6183" s="10">
        <v>0</v>
      </c>
      <c r="K6183" t="b">
        <v>1</v>
      </c>
    </row>
    <row r="6184" spans="1:11">
      <c r="A6184" s="12">
        <v>42413</v>
      </c>
      <c r="B6184">
        <v>2016</v>
      </c>
      <c r="C6184">
        <v>2</v>
      </c>
      <c r="D6184" s="11">
        <v>42401</v>
      </c>
      <c r="E6184" t="s">
        <v>2174</v>
      </c>
      <c r="F6184">
        <v>6</v>
      </c>
      <c r="G6184" t="s">
        <v>57</v>
      </c>
      <c r="H6184" t="s">
        <v>46</v>
      </c>
      <c r="I6184" t="s">
        <v>2194</v>
      </c>
      <c r="J6184" s="10">
        <v>10</v>
      </c>
      <c r="K6184" t="b">
        <v>1</v>
      </c>
    </row>
    <row r="6185" spans="1:11">
      <c r="A6185" s="12">
        <v>42413</v>
      </c>
      <c r="B6185">
        <v>2016</v>
      </c>
      <c r="C6185">
        <v>2</v>
      </c>
      <c r="D6185" s="11">
        <v>42401</v>
      </c>
      <c r="E6185" t="s">
        <v>2174</v>
      </c>
      <c r="F6185">
        <v>6</v>
      </c>
      <c r="G6185" t="s">
        <v>57</v>
      </c>
      <c r="H6185" t="s">
        <v>47</v>
      </c>
      <c r="I6185" t="s">
        <v>2195</v>
      </c>
      <c r="J6185" s="10">
        <v>2</v>
      </c>
      <c r="K6185" t="b">
        <v>1</v>
      </c>
    </row>
    <row r="6186" spans="1:11">
      <c r="A6186" s="12">
        <v>42414</v>
      </c>
      <c r="B6186">
        <v>2016</v>
      </c>
      <c r="C6186">
        <v>2</v>
      </c>
      <c r="D6186" s="11">
        <v>42401</v>
      </c>
      <c r="E6186" t="s">
        <v>2174</v>
      </c>
      <c r="F6186">
        <v>7</v>
      </c>
      <c r="G6186" t="s">
        <v>59</v>
      </c>
      <c r="H6186" t="s">
        <v>40</v>
      </c>
      <c r="I6186" t="s">
        <v>2188</v>
      </c>
      <c r="J6186" s="10">
        <v>5.84</v>
      </c>
      <c r="K6186" t="b">
        <v>1</v>
      </c>
    </row>
    <row r="6187" spans="1:11">
      <c r="A6187" s="12">
        <v>42414</v>
      </c>
      <c r="B6187">
        <v>2016</v>
      </c>
      <c r="C6187">
        <v>2</v>
      </c>
      <c r="D6187" s="11">
        <v>42401</v>
      </c>
      <c r="E6187" t="s">
        <v>2174</v>
      </c>
      <c r="F6187">
        <v>7</v>
      </c>
      <c r="G6187" t="s">
        <v>59</v>
      </c>
      <c r="H6187" t="s">
        <v>41</v>
      </c>
      <c r="I6187" t="s">
        <v>2189</v>
      </c>
      <c r="J6187" s="10">
        <v>7.34</v>
      </c>
      <c r="K6187" t="b">
        <v>1</v>
      </c>
    </row>
    <row r="6188" spans="1:11">
      <c r="A6188" s="12">
        <v>42414</v>
      </c>
      <c r="B6188">
        <v>2016</v>
      </c>
      <c r="C6188">
        <v>2</v>
      </c>
      <c r="D6188" s="11">
        <v>42401</v>
      </c>
      <c r="E6188" t="s">
        <v>2174</v>
      </c>
      <c r="F6188">
        <v>7</v>
      </c>
      <c r="G6188" t="s">
        <v>59</v>
      </c>
      <c r="H6188" t="s">
        <v>42</v>
      </c>
      <c r="I6188" t="s">
        <v>2190</v>
      </c>
      <c r="J6188" s="10">
        <v>3.8</v>
      </c>
      <c r="K6188" t="b">
        <v>1</v>
      </c>
    </row>
    <row r="6189" spans="1:11">
      <c r="A6189" s="12">
        <v>42414</v>
      </c>
      <c r="B6189">
        <v>2016</v>
      </c>
      <c r="C6189">
        <v>2</v>
      </c>
      <c r="D6189" s="11">
        <v>42401</v>
      </c>
      <c r="E6189" t="s">
        <v>2174</v>
      </c>
      <c r="F6189">
        <v>7</v>
      </c>
      <c r="G6189" t="s">
        <v>59</v>
      </c>
      <c r="H6189" t="s">
        <v>43</v>
      </c>
      <c r="I6189" t="s">
        <v>2191</v>
      </c>
      <c r="J6189" s="10">
        <v>43.6</v>
      </c>
      <c r="K6189" t="b">
        <v>1</v>
      </c>
    </row>
    <row r="6190" spans="1:11">
      <c r="A6190" s="12">
        <v>42414</v>
      </c>
      <c r="B6190">
        <v>2016</v>
      </c>
      <c r="C6190">
        <v>2</v>
      </c>
      <c r="D6190" s="11">
        <v>42401</v>
      </c>
      <c r="E6190" t="s">
        <v>2174</v>
      </c>
      <c r="F6190">
        <v>7</v>
      </c>
      <c r="G6190" t="s">
        <v>59</v>
      </c>
      <c r="H6190" t="s">
        <v>44</v>
      </c>
      <c r="I6190" t="s">
        <v>2192</v>
      </c>
      <c r="J6190" s="10">
        <v>5</v>
      </c>
      <c r="K6190" t="b">
        <v>1</v>
      </c>
    </row>
    <row r="6191" spans="1:11">
      <c r="A6191" s="12">
        <v>42414</v>
      </c>
      <c r="B6191">
        <v>2016</v>
      </c>
      <c r="C6191">
        <v>2</v>
      </c>
      <c r="D6191" s="11">
        <v>42401</v>
      </c>
      <c r="E6191" t="s">
        <v>2174</v>
      </c>
      <c r="F6191">
        <v>7</v>
      </c>
      <c r="G6191" t="s">
        <v>59</v>
      </c>
      <c r="H6191" t="s">
        <v>45</v>
      </c>
      <c r="I6191" t="s">
        <v>2193</v>
      </c>
      <c r="J6191" s="10">
        <v>0</v>
      </c>
      <c r="K6191" t="b">
        <v>1</v>
      </c>
    </row>
    <row r="6192" spans="1:11">
      <c r="A6192" s="12">
        <v>42414</v>
      </c>
      <c r="B6192">
        <v>2016</v>
      </c>
      <c r="C6192">
        <v>2</v>
      </c>
      <c r="D6192" s="11">
        <v>42401</v>
      </c>
      <c r="E6192" t="s">
        <v>2174</v>
      </c>
      <c r="F6192">
        <v>7</v>
      </c>
      <c r="G6192" t="s">
        <v>59</v>
      </c>
      <c r="H6192" t="s">
        <v>46</v>
      </c>
      <c r="I6192" t="s">
        <v>2194</v>
      </c>
      <c r="J6192" s="10">
        <v>7</v>
      </c>
      <c r="K6192" t="b">
        <v>1</v>
      </c>
    </row>
    <row r="6193" spans="1:11">
      <c r="A6193" s="12">
        <v>42414</v>
      </c>
      <c r="B6193">
        <v>2016</v>
      </c>
      <c r="C6193">
        <v>2</v>
      </c>
      <c r="D6193" s="11">
        <v>42401</v>
      </c>
      <c r="E6193" t="s">
        <v>2174</v>
      </c>
      <c r="F6193">
        <v>7</v>
      </c>
      <c r="G6193" t="s">
        <v>59</v>
      </c>
      <c r="H6193" t="s">
        <v>47</v>
      </c>
      <c r="I6193" t="s">
        <v>2195</v>
      </c>
      <c r="J6193" s="10">
        <v>4</v>
      </c>
      <c r="K6193" t="b">
        <v>1</v>
      </c>
    </row>
    <row r="6194" spans="1:11">
      <c r="A6194" s="12">
        <v>42415</v>
      </c>
      <c r="B6194">
        <v>2016</v>
      </c>
      <c r="C6194">
        <v>2</v>
      </c>
      <c r="D6194" s="11">
        <v>42401</v>
      </c>
      <c r="E6194" t="s">
        <v>2174</v>
      </c>
      <c r="F6194">
        <v>1</v>
      </c>
      <c r="G6194" t="s">
        <v>61</v>
      </c>
      <c r="H6194" t="s">
        <v>40</v>
      </c>
      <c r="I6194" t="s">
        <v>2188</v>
      </c>
      <c r="J6194" s="10">
        <v>5.33</v>
      </c>
      <c r="K6194" t="b">
        <v>1</v>
      </c>
    </row>
    <row r="6195" spans="1:11">
      <c r="A6195" s="12">
        <v>42415</v>
      </c>
      <c r="B6195">
        <v>2016</v>
      </c>
      <c r="C6195">
        <v>2</v>
      </c>
      <c r="D6195" s="11">
        <v>42401</v>
      </c>
      <c r="E6195" t="s">
        <v>2174</v>
      </c>
      <c r="F6195">
        <v>1</v>
      </c>
      <c r="G6195" t="s">
        <v>61</v>
      </c>
      <c r="H6195" t="s">
        <v>41</v>
      </c>
      <c r="I6195" t="s">
        <v>2189</v>
      </c>
      <c r="J6195" s="10">
        <v>5.33</v>
      </c>
      <c r="K6195" t="b">
        <v>1</v>
      </c>
    </row>
    <row r="6196" spans="1:11">
      <c r="A6196" s="12">
        <v>42415</v>
      </c>
      <c r="B6196">
        <v>2016</v>
      </c>
      <c r="C6196">
        <v>2</v>
      </c>
      <c r="D6196" s="11">
        <v>42401</v>
      </c>
      <c r="E6196" t="s">
        <v>2174</v>
      </c>
      <c r="F6196">
        <v>1</v>
      </c>
      <c r="G6196" t="s">
        <v>61</v>
      </c>
      <c r="H6196" t="s">
        <v>42</v>
      </c>
      <c r="I6196" t="s">
        <v>2190</v>
      </c>
      <c r="J6196" s="10">
        <v>5.3</v>
      </c>
      <c r="K6196" t="b">
        <v>1</v>
      </c>
    </row>
    <row r="6197" spans="1:11">
      <c r="A6197" s="12">
        <v>42415</v>
      </c>
      <c r="B6197">
        <v>2016</v>
      </c>
      <c r="C6197">
        <v>2</v>
      </c>
      <c r="D6197" s="11">
        <v>42401</v>
      </c>
      <c r="E6197" t="s">
        <v>2174</v>
      </c>
      <c r="F6197">
        <v>1</v>
      </c>
      <c r="G6197" t="s">
        <v>61</v>
      </c>
      <c r="H6197" t="s">
        <v>43</v>
      </c>
      <c r="I6197" t="s">
        <v>2191</v>
      </c>
      <c r="J6197" s="10">
        <v>52.2</v>
      </c>
      <c r="K6197" t="b">
        <v>1</v>
      </c>
    </row>
    <row r="6198" spans="1:11">
      <c r="A6198" s="12">
        <v>42415</v>
      </c>
      <c r="B6198">
        <v>2016</v>
      </c>
      <c r="C6198">
        <v>2</v>
      </c>
      <c r="D6198" s="11">
        <v>42401</v>
      </c>
      <c r="E6198" t="s">
        <v>2174</v>
      </c>
      <c r="F6198">
        <v>1</v>
      </c>
      <c r="G6198" t="s">
        <v>61</v>
      </c>
      <c r="H6198" t="s">
        <v>44</v>
      </c>
      <c r="I6198" t="s">
        <v>2192</v>
      </c>
      <c r="J6198" s="10">
        <v>6</v>
      </c>
      <c r="K6198" t="b">
        <v>1</v>
      </c>
    </row>
    <row r="6199" spans="1:11">
      <c r="A6199" s="12">
        <v>42415</v>
      </c>
      <c r="B6199">
        <v>2016</v>
      </c>
      <c r="C6199">
        <v>2</v>
      </c>
      <c r="D6199" s="11">
        <v>42401</v>
      </c>
      <c r="E6199" t="s">
        <v>2174</v>
      </c>
      <c r="F6199">
        <v>1</v>
      </c>
      <c r="G6199" t="s">
        <v>61</v>
      </c>
      <c r="H6199" t="s">
        <v>45</v>
      </c>
      <c r="I6199" t="s">
        <v>2193</v>
      </c>
      <c r="J6199" s="10">
        <v>0</v>
      </c>
      <c r="K6199" t="b">
        <v>1</v>
      </c>
    </row>
    <row r="6200" spans="1:11">
      <c r="A6200" s="12">
        <v>42415</v>
      </c>
      <c r="B6200">
        <v>2016</v>
      </c>
      <c r="C6200">
        <v>2</v>
      </c>
      <c r="D6200" s="11">
        <v>42401</v>
      </c>
      <c r="E6200" t="s">
        <v>2174</v>
      </c>
      <c r="F6200">
        <v>1</v>
      </c>
      <c r="G6200" t="s">
        <v>61</v>
      </c>
      <c r="H6200" t="s">
        <v>46</v>
      </c>
      <c r="I6200" t="s">
        <v>2194</v>
      </c>
      <c r="J6200" s="10">
        <v>0</v>
      </c>
      <c r="K6200" t="b">
        <v>1</v>
      </c>
    </row>
    <row r="6201" spans="1:11">
      <c r="A6201" s="12">
        <v>42415</v>
      </c>
      <c r="B6201">
        <v>2016</v>
      </c>
      <c r="C6201">
        <v>2</v>
      </c>
      <c r="D6201" s="11">
        <v>42401</v>
      </c>
      <c r="E6201" t="s">
        <v>2174</v>
      </c>
      <c r="F6201">
        <v>1</v>
      </c>
      <c r="G6201" t="s">
        <v>61</v>
      </c>
      <c r="H6201" t="s">
        <v>47</v>
      </c>
      <c r="I6201" t="s">
        <v>2195</v>
      </c>
      <c r="J6201" s="10">
        <v>0</v>
      </c>
      <c r="K6201" t="b">
        <v>1</v>
      </c>
    </row>
    <row r="6202" spans="1:11">
      <c r="A6202" s="12">
        <v>42416</v>
      </c>
      <c r="B6202">
        <v>2016</v>
      </c>
      <c r="C6202">
        <v>2</v>
      </c>
      <c r="D6202" s="11">
        <v>42401</v>
      </c>
      <c r="E6202" t="s">
        <v>2174</v>
      </c>
      <c r="F6202">
        <v>2</v>
      </c>
      <c r="G6202" t="s">
        <v>63</v>
      </c>
      <c r="H6202" t="s">
        <v>40</v>
      </c>
      <c r="I6202" t="s">
        <v>2188</v>
      </c>
      <c r="J6202" s="10">
        <v>7.33</v>
      </c>
      <c r="K6202" t="b">
        <v>1</v>
      </c>
    </row>
    <row r="6203" spans="1:11">
      <c r="A6203" s="12">
        <v>42416</v>
      </c>
      <c r="B6203">
        <v>2016</v>
      </c>
      <c r="C6203">
        <v>2</v>
      </c>
      <c r="D6203" s="11">
        <v>42401</v>
      </c>
      <c r="E6203" t="s">
        <v>2174</v>
      </c>
      <c r="F6203">
        <v>2</v>
      </c>
      <c r="G6203" t="s">
        <v>63</v>
      </c>
      <c r="H6203" t="s">
        <v>41</v>
      </c>
      <c r="I6203" t="s">
        <v>2189</v>
      </c>
      <c r="J6203" s="10">
        <v>2.32</v>
      </c>
      <c r="K6203" t="b">
        <v>1</v>
      </c>
    </row>
    <row r="6204" spans="1:11">
      <c r="A6204" s="12">
        <v>42416</v>
      </c>
      <c r="B6204">
        <v>2016</v>
      </c>
      <c r="C6204">
        <v>2</v>
      </c>
      <c r="D6204" s="11">
        <v>42401</v>
      </c>
      <c r="E6204" t="s">
        <v>2174</v>
      </c>
      <c r="F6204">
        <v>2</v>
      </c>
      <c r="G6204" t="s">
        <v>63</v>
      </c>
      <c r="H6204" t="s">
        <v>42</v>
      </c>
      <c r="I6204" t="s">
        <v>2190</v>
      </c>
      <c r="J6204" s="10">
        <v>3</v>
      </c>
      <c r="K6204" t="b">
        <v>1</v>
      </c>
    </row>
    <row r="6205" spans="1:11">
      <c r="A6205" s="12">
        <v>42416</v>
      </c>
      <c r="B6205">
        <v>2016</v>
      </c>
      <c r="C6205">
        <v>2</v>
      </c>
      <c r="D6205" s="11">
        <v>42401</v>
      </c>
      <c r="E6205" t="s">
        <v>2174</v>
      </c>
      <c r="F6205">
        <v>2</v>
      </c>
      <c r="G6205" t="s">
        <v>63</v>
      </c>
      <c r="H6205" t="s">
        <v>43</v>
      </c>
      <c r="I6205" t="s">
        <v>2191</v>
      </c>
      <c r="J6205" s="10">
        <v>29</v>
      </c>
      <c r="K6205" t="b">
        <v>1</v>
      </c>
    </row>
    <row r="6206" spans="1:11">
      <c r="A6206" s="12">
        <v>42416</v>
      </c>
      <c r="B6206">
        <v>2016</v>
      </c>
      <c r="C6206">
        <v>2</v>
      </c>
      <c r="D6206" s="11">
        <v>42401</v>
      </c>
      <c r="E6206" t="s">
        <v>2174</v>
      </c>
      <c r="F6206">
        <v>2</v>
      </c>
      <c r="G6206" t="s">
        <v>63</v>
      </c>
      <c r="H6206" t="s">
        <v>44</v>
      </c>
      <c r="I6206" t="s">
        <v>2192</v>
      </c>
      <c r="J6206" s="10">
        <v>3</v>
      </c>
      <c r="K6206" t="b">
        <v>1</v>
      </c>
    </row>
    <row r="6207" spans="1:11">
      <c r="A6207" s="12">
        <v>42416</v>
      </c>
      <c r="B6207">
        <v>2016</v>
      </c>
      <c r="C6207">
        <v>2</v>
      </c>
      <c r="D6207" s="11">
        <v>42401</v>
      </c>
      <c r="E6207" t="s">
        <v>2174</v>
      </c>
      <c r="F6207">
        <v>2</v>
      </c>
      <c r="G6207" t="s">
        <v>63</v>
      </c>
      <c r="H6207" t="s">
        <v>45</v>
      </c>
      <c r="I6207" t="s">
        <v>2193</v>
      </c>
      <c r="J6207" s="10">
        <v>2</v>
      </c>
      <c r="K6207" t="b">
        <v>1</v>
      </c>
    </row>
    <row r="6208" spans="1:11">
      <c r="A6208" s="12">
        <v>42416</v>
      </c>
      <c r="B6208">
        <v>2016</v>
      </c>
      <c r="C6208">
        <v>2</v>
      </c>
      <c r="D6208" s="11">
        <v>42401</v>
      </c>
      <c r="E6208" t="s">
        <v>2174</v>
      </c>
      <c r="F6208">
        <v>2</v>
      </c>
      <c r="G6208" t="s">
        <v>63</v>
      </c>
      <c r="H6208" t="s">
        <v>46</v>
      </c>
      <c r="I6208" t="s">
        <v>2194</v>
      </c>
      <c r="J6208" s="10">
        <v>9</v>
      </c>
      <c r="K6208" t="b">
        <v>1</v>
      </c>
    </row>
    <row r="6209" spans="1:11">
      <c r="A6209" s="12">
        <v>42416</v>
      </c>
      <c r="B6209">
        <v>2016</v>
      </c>
      <c r="C6209">
        <v>2</v>
      </c>
      <c r="D6209" s="11">
        <v>42401</v>
      </c>
      <c r="E6209" t="s">
        <v>2174</v>
      </c>
      <c r="F6209">
        <v>2</v>
      </c>
      <c r="G6209" t="s">
        <v>63</v>
      </c>
      <c r="H6209" t="s">
        <v>47</v>
      </c>
      <c r="I6209" t="s">
        <v>2195</v>
      </c>
      <c r="J6209" s="10">
        <v>3</v>
      </c>
      <c r="K6209" t="b">
        <v>1</v>
      </c>
    </row>
    <row r="6210" spans="1:11">
      <c r="A6210" s="12">
        <v>42417</v>
      </c>
      <c r="B6210">
        <v>2016</v>
      </c>
      <c r="C6210">
        <v>2</v>
      </c>
      <c r="D6210" s="11">
        <v>42401</v>
      </c>
      <c r="E6210" t="s">
        <v>2174</v>
      </c>
      <c r="F6210">
        <v>3</v>
      </c>
      <c r="G6210" t="s">
        <v>65</v>
      </c>
      <c r="H6210" t="s">
        <v>40</v>
      </c>
      <c r="I6210" t="s">
        <v>2188</v>
      </c>
      <c r="J6210" s="10">
        <v>3</v>
      </c>
      <c r="K6210" t="b">
        <v>1</v>
      </c>
    </row>
    <row r="6211" spans="1:11">
      <c r="A6211" s="12">
        <v>42417</v>
      </c>
      <c r="B6211">
        <v>2016</v>
      </c>
      <c r="C6211">
        <v>2</v>
      </c>
      <c r="D6211" s="11">
        <v>42401</v>
      </c>
      <c r="E6211" t="s">
        <v>2174</v>
      </c>
      <c r="F6211">
        <v>3</v>
      </c>
      <c r="G6211" t="s">
        <v>65</v>
      </c>
      <c r="H6211" t="s">
        <v>41</v>
      </c>
      <c r="I6211" t="s">
        <v>2189</v>
      </c>
      <c r="J6211" s="10">
        <v>5</v>
      </c>
      <c r="K6211" t="b">
        <v>1</v>
      </c>
    </row>
    <row r="6212" spans="1:11">
      <c r="A6212" s="12">
        <v>42417</v>
      </c>
      <c r="B6212">
        <v>2016</v>
      </c>
      <c r="C6212">
        <v>2</v>
      </c>
      <c r="D6212" s="11">
        <v>42401</v>
      </c>
      <c r="E6212" t="s">
        <v>2174</v>
      </c>
      <c r="F6212">
        <v>3</v>
      </c>
      <c r="G6212" t="s">
        <v>65</v>
      </c>
      <c r="H6212" t="s">
        <v>42</v>
      </c>
      <c r="I6212" t="s">
        <v>2190</v>
      </c>
      <c r="J6212" s="10">
        <v>4</v>
      </c>
      <c r="K6212" t="b">
        <v>1</v>
      </c>
    </row>
    <row r="6213" spans="1:11">
      <c r="A6213" s="12">
        <v>42417</v>
      </c>
      <c r="B6213">
        <v>2016</v>
      </c>
      <c r="C6213">
        <v>2</v>
      </c>
      <c r="D6213" s="11">
        <v>42401</v>
      </c>
      <c r="E6213" t="s">
        <v>2174</v>
      </c>
      <c r="F6213">
        <v>3</v>
      </c>
      <c r="G6213" t="s">
        <v>65</v>
      </c>
      <c r="H6213" t="s">
        <v>43</v>
      </c>
      <c r="I6213" t="s">
        <v>2191</v>
      </c>
      <c r="J6213" s="10">
        <v>26.6</v>
      </c>
      <c r="K6213" t="b">
        <v>1</v>
      </c>
    </row>
    <row r="6214" spans="1:11">
      <c r="A6214" s="12">
        <v>42417</v>
      </c>
      <c r="B6214">
        <v>2016</v>
      </c>
      <c r="C6214">
        <v>2</v>
      </c>
      <c r="D6214" s="11">
        <v>42401</v>
      </c>
      <c r="E6214" t="s">
        <v>2174</v>
      </c>
      <c r="F6214">
        <v>3</v>
      </c>
      <c r="G6214" t="s">
        <v>65</v>
      </c>
      <c r="H6214" t="s">
        <v>44</v>
      </c>
      <c r="I6214" t="s">
        <v>2192</v>
      </c>
      <c r="J6214" s="10">
        <v>12</v>
      </c>
      <c r="K6214" t="b">
        <v>1</v>
      </c>
    </row>
    <row r="6215" spans="1:11">
      <c r="A6215" s="12">
        <v>42417</v>
      </c>
      <c r="B6215">
        <v>2016</v>
      </c>
      <c r="C6215">
        <v>2</v>
      </c>
      <c r="D6215" s="11">
        <v>42401</v>
      </c>
      <c r="E6215" t="s">
        <v>2174</v>
      </c>
      <c r="F6215">
        <v>3</v>
      </c>
      <c r="G6215" t="s">
        <v>65</v>
      </c>
      <c r="H6215" t="s">
        <v>45</v>
      </c>
      <c r="I6215" t="s">
        <v>2193</v>
      </c>
      <c r="J6215" s="10">
        <v>1</v>
      </c>
      <c r="K6215" t="b">
        <v>1</v>
      </c>
    </row>
    <row r="6216" spans="1:11">
      <c r="A6216" s="12">
        <v>42417</v>
      </c>
      <c r="B6216">
        <v>2016</v>
      </c>
      <c r="C6216">
        <v>2</v>
      </c>
      <c r="D6216" s="11">
        <v>42401</v>
      </c>
      <c r="E6216" t="s">
        <v>2174</v>
      </c>
      <c r="F6216">
        <v>3</v>
      </c>
      <c r="G6216" t="s">
        <v>65</v>
      </c>
      <c r="H6216" t="s">
        <v>46</v>
      </c>
      <c r="I6216" t="s">
        <v>2194</v>
      </c>
      <c r="J6216" s="10">
        <v>1</v>
      </c>
      <c r="K6216" t="b">
        <v>1</v>
      </c>
    </row>
    <row r="6217" spans="1:11">
      <c r="A6217" s="12">
        <v>42417</v>
      </c>
      <c r="B6217">
        <v>2016</v>
      </c>
      <c r="C6217">
        <v>2</v>
      </c>
      <c r="D6217" s="11">
        <v>42401</v>
      </c>
      <c r="E6217" t="s">
        <v>2174</v>
      </c>
      <c r="F6217">
        <v>3</v>
      </c>
      <c r="G6217" t="s">
        <v>65</v>
      </c>
      <c r="H6217" t="s">
        <v>47</v>
      </c>
      <c r="I6217" t="s">
        <v>2195</v>
      </c>
      <c r="J6217" s="10">
        <v>0</v>
      </c>
      <c r="K6217" t="b">
        <v>1</v>
      </c>
    </row>
    <row r="6218" spans="1:11">
      <c r="A6218" s="12">
        <v>42418</v>
      </c>
      <c r="B6218">
        <v>2016</v>
      </c>
      <c r="C6218">
        <v>2</v>
      </c>
      <c r="D6218" s="11">
        <v>42401</v>
      </c>
      <c r="E6218" t="s">
        <v>2174</v>
      </c>
      <c r="F6218">
        <v>4</v>
      </c>
      <c r="G6218" t="s">
        <v>53</v>
      </c>
      <c r="H6218" t="s">
        <v>40</v>
      </c>
      <c r="I6218" t="s">
        <v>2188</v>
      </c>
      <c r="J6218" s="10">
        <v>2.34</v>
      </c>
      <c r="K6218" t="b">
        <v>1</v>
      </c>
    </row>
    <row r="6219" spans="1:11">
      <c r="A6219" s="12">
        <v>42418</v>
      </c>
      <c r="B6219">
        <v>2016</v>
      </c>
      <c r="C6219">
        <v>2</v>
      </c>
      <c r="D6219" s="11">
        <v>42401</v>
      </c>
      <c r="E6219" t="s">
        <v>2174</v>
      </c>
      <c r="F6219">
        <v>4</v>
      </c>
      <c r="G6219" t="s">
        <v>53</v>
      </c>
      <c r="H6219" t="s">
        <v>41</v>
      </c>
      <c r="I6219" t="s">
        <v>2189</v>
      </c>
      <c r="J6219" s="10">
        <v>1</v>
      </c>
      <c r="K6219" t="b">
        <v>1</v>
      </c>
    </row>
    <row r="6220" spans="1:11">
      <c r="A6220" s="12">
        <v>42418</v>
      </c>
      <c r="B6220">
        <v>2016</v>
      </c>
      <c r="C6220">
        <v>2</v>
      </c>
      <c r="D6220" s="11">
        <v>42401</v>
      </c>
      <c r="E6220" t="s">
        <v>2174</v>
      </c>
      <c r="F6220">
        <v>4</v>
      </c>
      <c r="G6220" t="s">
        <v>53</v>
      </c>
      <c r="H6220" t="s">
        <v>42</v>
      </c>
      <c r="I6220" t="s">
        <v>2190</v>
      </c>
      <c r="J6220" s="10">
        <v>4.3</v>
      </c>
      <c r="K6220" t="b">
        <v>1</v>
      </c>
    </row>
    <row r="6221" spans="1:11">
      <c r="A6221" s="12">
        <v>42418</v>
      </c>
      <c r="B6221">
        <v>2016</v>
      </c>
      <c r="C6221">
        <v>2</v>
      </c>
      <c r="D6221" s="11">
        <v>42401</v>
      </c>
      <c r="E6221" t="s">
        <v>2174</v>
      </c>
      <c r="F6221">
        <v>4</v>
      </c>
      <c r="G6221" t="s">
        <v>53</v>
      </c>
      <c r="H6221" t="s">
        <v>43</v>
      </c>
      <c r="I6221" t="s">
        <v>2191</v>
      </c>
      <c r="J6221" s="10">
        <v>43.85</v>
      </c>
      <c r="K6221" t="b">
        <v>1</v>
      </c>
    </row>
    <row r="6222" spans="1:11">
      <c r="A6222" s="12">
        <v>42418</v>
      </c>
      <c r="B6222">
        <v>2016</v>
      </c>
      <c r="C6222">
        <v>2</v>
      </c>
      <c r="D6222" s="11">
        <v>42401</v>
      </c>
      <c r="E6222" t="s">
        <v>2174</v>
      </c>
      <c r="F6222">
        <v>4</v>
      </c>
      <c r="G6222" t="s">
        <v>53</v>
      </c>
      <c r="H6222" t="s">
        <v>44</v>
      </c>
      <c r="I6222" t="s">
        <v>2192</v>
      </c>
      <c r="J6222" s="10">
        <v>3</v>
      </c>
      <c r="K6222" t="b">
        <v>1</v>
      </c>
    </row>
    <row r="6223" spans="1:11">
      <c r="A6223" s="12">
        <v>42418</v>
      </c>
      <c r="B6223">
        <v>2016</v>
      </c>
      <c r="C6223">
        <v>2</v>
      </c>
      <c r="D6223" s="11">
        <v>42401</v>
      </c>
      <c r="E6223" t="s">
        <v>2174</v>
      </c>
      <c r="F6223">
        <v>4</v>
      </c>
      <c r="G6223" t="s">
        <v>53</v>
      </c>
      <c r="H6223" t="s">
        <v>45</v>
      </c>
      <c r="I6223" t="s">
        <v>2193</v>
      </c>
      <c r="J6223" s="10">
        <v>0</v>
      </c>
      <c r="K6223" t="b">
        <v>1</v>
      </c>
    </row>
    <row r="6224" spans="1:11">
      <c r="A6224" s="12">
        <v>42418</v>
      </c>
      <c r="B6224">
        <v>2016</v>
      </c>
      <c r="C6224">
        <v>2</v>
      </c>
      <c r="D6224" s="11">
        <v>42401</v>
      </c>
      <c r="E6224" t="s">
        <v>2174</v>
      </c>
      <c r="F6224">
        <v>4</v>
      </c>
      <c r="G6224" t="s">
        <v>53</v>
      </c>
      <c r="H6224" t="s">
        <v>46</v>
      </c>
      <c r="I6224" t="s">
        <v>2194</v>
      </c>
      <c r="J6224" s="10">
        <v>9</v>
      </c>
      <c r="K6224" t="b">
        <v>1</v>
      </c>
    </row>
    <row r="6225" spans="1:11">
      <c r="A6225" s="12">
        <v>42418</v>
      </c>
      <c r="B6225">
        <v>2016</v>
      </c>
      <c r="C6225">
        <v>2</v>
      </c>
      <c r="D6225" s="11">
        <v>42401</v>
      </c>
      <c r="E6225" t="s">
        <v>2174</v>
      </c>
      <c r="F6225">
        <v>4</v>
      </c>
      <c r="G6225" t="s">
        <v>53</v>
      </c>
      <c r="H6225" t="s">
        <v>47</v>
      </c>
      <c r="I6225" t="s">
        <v>2195</v>
      </c>
      <c r="J6225" s="10">
        <v>1</v>
      </c>
      <c r="K6225" t="b">
        <v>1</v>
      </c>
    </row>
    <row r="6226" spans="1:11">
      <c r="A6226" s="12">
        <v>42419</v>
      </c>
      <c r="B6226">
        <v>2016</v>
      </c>
      <c r="C6226">
        <v>2</v>
      </c>
      <c r="D6226" s="11">
        <v>42401</v>
      </c>
      <c r="E6226" t="s">
        <v>2174</v>
      </c>
      <c r="F6226">
        <v>5</v>
      </c>
      <c r="G6226" t="s">
        <v>55</v>
      </c>
      <c r="H6226" t="s">
        <v>40</v>
      </c>
      <c r="I6226" t="s">
        <v>2188</v>
      </c>
      <c r="J6226" s="10">
        <v>4</v>
      </c>
      <c r="K6226" t="b">
        <v>1</v>
      </c>
    </row>
    <row r="6227" spans="1:11">
      <c r="A6227" s="12">
        <v>42419</v>
      </c>
      <c r="B6227">
        <v>2016</v>
      </c>
      <c r="C6227">
        <v>2</v>
      </c>
      <c r="D6227" s="11">
        <v>42401</v>
      </c>
      <c r="E6227" t="s">
        <v>2174</v>
      </c>
      <c r="F6227">
        <v>5</v>
      </c>
      <c r="G6227" t="s">
        <v>55</v>
      </c>
      <c r="H6227" t="s">
        <v>41</v>
      </c>
      <c r="I6227" t="s">
        <v>2189</v>
      </c>
      <c r="J6227" s="10">
        <v>1.67</v>
      </c>
      <c r="K6227" t="b">
        <v>1</v>
      </c>
    </row>
    <row r="6228" spans="1:11">
      <c r="A6228" s="12">
        <v>42419</v>
      </c>
      <c r="B6228">
        <v>2016</v>
      </c>
      <c r="C6228">
        <v>2</v>
      </c>
      <c r="D6228" s="11">
        <v>42401</v>
      </c>
      <c r="E6228" t="s">
        <v>2174</v>
      </c>
      <c r="F6228">
        <v>5</v>
      </c>
      <c r="G6228" t="s">
        <v>55</v>
      </c>
      <c r="H6228" t="s">
        <v>42</v>
      </c>
      <c r="I6228" t="s">
        <v>2190</v>
      </c>
      <c r="J6228" s="10">
        <v>4</v>
      </c>
      <c r="K6228" t="b">
        <v>1</v>
      </c>
    </row>
    <row r="6229" spans="1:11">
      <c r="A6229" s="12">
        <v>42419</v>
      </c>
      <c r="B6229">
        <v>2016</v>
      </c>
      <c r="C6229">
        <v>2</v>
      </c>
      <c r="D6229" s="11">
        <v>42401</v>
      </c>
      <c r="E6229" t="s">
        <v>2174</v>
      </c>
      <c r="F6229">
        <v>5</v>
      </c>
      <c r="G6229" t="s">
        <v>55</v>
      </c>
      <c r="H6229" t="s">
        <v>43</v>
      </c>
      <c r="I6229" t="s">
        <v>2191</v>
      </c>
      <c r="J6229" s="10">
        <v>28.7</v>
      </c>
      <c r="K6229" t="b">
        <v>1</v>
      </c>
    </row>
    <row r="6230" spans="1:11">
      <c r="A6230" s="12">
        <v>42419</v>
      </c>
      <c r="B6230">
        <v>2016</v>
      </c>
      <c r="C6230">
        <v>2</v>
      </c>
      <c r="D6230" s="11">
        <v>42401</v>
      </c>
      <c r="E6230" t="s">
        <v>2174</v>
      </c>
      <c r="F6230">
        <v>5</v>
      </c>
      <c r="G6230" t="s">
        <v>55</v>
      </c>
      <c r="H6230" t="s">
        <v>44</v>
      </c>
      <c r="I6230" t="s">
        <v>2192</v>
      </c>
      <c r="J6230" s="10">
        <v>18</v>
      </c>
      <c r="K6230" t="b">
        <v>1</v>
      </c>
    </row>
    <row r="6231" spans="1:11">
      <c r="A6231" s="12">
        <v>42419</v>
      </c>
      <c r="B6231">
        <v>2016</v>
      </c>
      <c r="C6231">
        <v>2</v>
      </c>
      <c r="D6231" s="11">
        <v>42401</v>
      </c>
      <c r="E6231" t="s">
        <v>2174</v>
      </c>
      <c r="F6231">
        <v>5</v>
      </c>
      <c r="G6231" t="s">
        <v>55</v>
      </c>
      <c r="H6231" t="s">
        <v>45</v>
      </c>
      <c r="I6231" t="s">
        <v>2193</v>
      </c>
      <c r="J6231" s="10">
        <v>2</v>
      </c>
      <c r="K6231" t="b">
        <v>1</v>
      </c>
    </row>
    <row r="6232" spans="1:11">
      <c r="A6232" s="12">
        <v>42419</v>
      </c>
      <c r="B6232">
        <v>2016</v>
      </c>
      <c r="C6232">
        <v>2</v>
      </c>
      <c r="D6232" s="11">
        <v>42401</v>
      </c>
      <c r="E6232" t="s">
        <v>2174</v>
      </c>
      <c r="F6232">
        <v>5</v>
      </c>
      <c r="G6232" t="s">
        <v>55</v>
      </c>
      <c r="H6232" t="s">
        <v>46</v>
      </c>
      <c r="I6232" t="s">
        <v>2194</v>
      </c>
      <c r="J6232" s="10">
        <v>26</v>
      </c>
      <c r="K6232" t="b">
        <v>1</v>
      </c>
    </row>
    <row r="6233" spans="1:11">
      <c r="A6233" s="12">
        <v>42419</v>
      </c>
      <c r="B6233">
        <v>2016</v>
      </c>
      <c r="C6233">
        <v>2</v>
      </c>
      <c r="D6233" s="11">
        <v>42401</v>
      </c>
      <c r="E6233" t="s">
        <v>2174</v>
      </c>
      <c r="F6233">
        <v>5</v>
      </c>
      <c r="G6233" t="s">
        <v>55</v>
      </c>
      <c r="H6233" t="s">
        <v>47</v>
      </c>
      <c r="I6233" t="s">
        <v>2195</v>
      </c>
      <c r="J6233" s="10">
        <v>1</v>
      </c>
      <c r="K6233" t="b">
        <v>1</v>
      </c>
    </row>
    <row r="6234" spans="1:11">
      <c r="A6234" s="12">
        <v>42420</v>
      </c>
      <c r="B6234">
        <v>2016</v>
      </c>
      <c r="C6234">
        <v>2</v>
      </c>
      <c r="D6234" s="11">
        <v>42401</v>
      </c>
      <c r="E6234" t="s">
        <v>2174</v>
      </c>
      <c r="F6234">
        <v>6</v>
      </c>
      <c r="G6234" t="s">
        <v>57</v>
      </c>
      <c r="H6234" t="s">
        <v>40</v>
      </c>
      <c r="I6234" t="s">
        <v>2188</v>
      </c>
      <c r="J6234" s="10">
        <v>10.33</v>
      </c>
      <c r="K6234" t="b">
        <v>1</v>
      </c>
    </row>
    <row r="6235" spans="1:11">
      <c r="A6235" s="12">
        <v>42420</v>
      </c>
      <c r="B6235">
        <v>2016</v>
      </c>
      <c r="C6235">
        <v>2</v>
      </c>
      <c r="D6235" s="11">
        <v>42401</v>
      </c>
      <c r="E6235" t="s">
        <v>2174</v>
      </c>
      <c r="F6235">
        <v>6</v>
      </c>
      <c r="G6235" t="s">
        <v>57</v>
      </c>
      <c r="H6235" t="s">
        <v>41</v>
      </c>
      <c r="I6235" t="s">
        <v>2189</v>
      </c>
      <c r="J6235" s="10">
        <v>4.122</v>
      </c>
      <c r="K6235" t="b">
        <v>1</v>
      </c>
    </row>
    <row r="6236" spans="1:11">
      <c r="A6236" s="12">
        <v>42420</v>
      </c>
      <c r="B6236">
        <v>2016</v>
      </c>
      <c r="C6236">
        <v>2</v>
      </c>
      <c r="D6236" s="11">
        <v>42401</v>
      </c>
      <c r="E6236" t="s">
        <v>2174</v>
      </c>
      <c r="F6236">
        <v>6</v>
      </c>
      <c r="G6236" t="s">
        <v>57</v>
      </c>
      <c r="H6236" t="s">
        <v>42</v>
      </c>
      <c r="I6236" t="s">
        <v>2190</v>
      </c>
      <c r="J6236" s="10">
        <v>4</v>
      </c>
      <c r="K6236" t="b">
        <v>1</v>
      </c>
    </row>
    <row r="6237" spans="1:11">
      <c r="A6237" s="12">
        <v>42420</v>
      </c>
      <c r="B6237">
        <v>2016</v>
      </c>
      <c r="C6237">
        <v>2</v>
      </c>
      <c r="D6237" s="11">
        <v>42401</v>
      </c>
      <c r="E6237" t="s">
        <v>2174</v>
      </c>
      <c r="F6237">
        <v>6</v>
      </c>
      <c r="G6237" t="s">
        <v>57</v>
      </c>
      <c r="H6237" t="s">
        <v>43</v>
      </c>
      <c r="I6237" t="s">
        <v>2191</v>
      </c>
      <c r="J6237" s="10">
        <v>36.9</v>
      </c>
      <c r="K6237" t="b">
        <v>1</v>
      </c>
    </row>
    <row r="6238" spans="1:11">
      <c r="A6238" s="12">
        <v>42420</v>
      </c>
      <c r="B6238">
        <v>2016</v>
      </c>
      <c r="C6238">
        <v>2</v>
      </c>
      <c r="D6238" s="11">
        <v>42401</v>
      </c>
      <c r="E6238" t="s">
        <v>2174</v>
      </c>
      <c r="F6238">
        <v>6</v>
      </c>
      <c r="G6238" t="s">
        <v>57</v>
      </c>
      <c r="H6238" t="s">
        <v>44</v>
      </c>
      <c r="I6238" t="s">
        <v>2192</v>
      </c>
      <c r="J6238" s="10">
        <v>5</v>
      </c>
      <c r="K6238" t="b">
        <v>1</v>
      </c>
    </row>
    <row r="6239" spans="1:11">
      <c r="A6239" s="12">
        <v>42420</v>
      </c>
      <c r="B6239">
        <v>2016</v>
      </c>
      <c r="C6239">
        <v>2</v>
      </c>
      <c r="D6239" s="11">
        <v>42401</v>
      </c>
      <c r="E6239" t="s">
        <v>2174</v>
      </c>
      <c r="F6239">
        <v>6</v>
      </c>
      <c r="G6239" t="s">
        <v>57</v>
      </c>
      <c r="H6239" t="s">
        <v>45</v>
      </c>
      <c r="I6239" t="s">
        <v>2193</v>
      </c>
      <c r="J6239" s="10">
        <v>0</v>
      </c>
      <c r="K6239" t="b">
        <v>1</v>
      </c>
    </row>
    <row r="6240" spans="1:11">
      <c r="A6240" s="12">
        <v>42420</v>
      </c>
      <c r="B6240">
        <v>2016</v>
      </c>
      <c r="C6240">
        <v>2</v>
      </c>
      <c r="D6240" s="11">
        <v>42401</v>
      </c>
      <c r="E6240" t="s">
        <v>2174</v>
      </c>
      <c r="F6240">
        <v>6</v>
      </c>
      <c r="G6240" t="s">
        <v>57</v>
      </c>
      <c r="H6240" t="s">
        <v>46</v>
      </c>
      <c r="I6240" t="s">
        <v>2194</v>
      </c>
      <c r="J6240" s="10">
        <v>8</v>
      </c>
      <c r="K6240" t="b">
        <v>1</v>
      </c>
    </row>
    <row r="6241" spans="1:11">
      <c r="A6241" s="12">
        <v>42420</v>
      </c>
      <c r="B6241">
        <v>2016</v>
      </c>
      <c r="C6241">
        <v>2</v>
      </c>
      <c r="D6241" s="11">
        <v>42401</v>
      </c>
      <c r="E6241" t="s">
        <v>2174</v>
      </c>
      <c r="F6241">
        <v>6</v>
      </c>
      <c r="G6241" t="s">
        <v>57</v>
      </c>
      <c r="H6241" t="s">
        <v>47</v>
      </c>
      <c r="I6241" t="s">
        <v>2195</v>
      </c>
      <c r="J6241" s="10">
        <v>3</v>
      </c>
      <c r="K6241" t="b">
        <v>1</v>
      </c>
    </row>
    <row r="6242" spans="1:11">
      <c r="A6242" s="12">
        <v>42421</v>
      </c>
      <c r="B6242">
        <v>2016</v>
      </c>
      <c r="C6242">
        <v>2</v>
      </c>
      <c r="D6242" s="11">
        <v>42401</v>
      </c>
      <c r="E6242" t="s">
        <v>2174</v>
      </c>
      <c r="F6242">
        <v>7</v>
      </c>
      <c r="G6242" t="s">
        <v>59</v>
      </c>
      <c r="H6242" t="s">
        <v>40</v>
      </c>
      <c r="I6242" t="s">
        <v>2188</v>
      </c>
      <c r="J6242" s="10">
        <v>6.34</v>
      </c>
      <c r="K6242" t="b">
        <v>1</v>
      </c>
    </row>
    <row r="6243" spans="1:11">
      <c r="A6243" s="12">
        <v>42421</v>
      </c>
      <c r="B6243">
        <v>2016</v>
      </c>
      <c r="C6243">
        <v>2</v>
      </c>
      <c r="D6243" s="11">
        <v>42401</v>
      </c>
      <c r="E6243" t="s">
        <v>2174</v>
      </c>
      <c r="F6243">
        <v>7</v>
      </c>
      <c r="G6243" t="s">
        <v>59</v>
      </c>
      <c r="H6243" t="s">
        <v>41</v>
      </c>
      <c r="I6243" t="s">
        <v>2189</v>
      </c>
      <c r="J6243" s="10">
        <v>4</v>
      </c>
      <c r="K6243" t="b">
        <v>1</v>
      </c>
    </row>
    <row r="6244" spans="1:11">
      <c r="A6244" s="12">
        <v>42421</v>
      </c>
      <c r="B6244">
        <v>2016</v>
      </c>
      <c r="C6244">
        <v>2</v>
      </c>
      <c r="D6244" s="11">
        <v>42401</v>
      </c>
      <c r="E6244" t="s">
        <v>2174</v>
      </c>
      <c r="F6244">
        <v>7</v>
      </c>
      <c r="G6244" t="s">
        <v>59</v>
      </c>
      <c r="H6244" t="s">
        <v>42</v>
      </c>
      <c r="I6244" t="s">
        <v>2190</v>
      </c>
      <c r="J6244" s="10">
        <v>0</v>
      </c>
      <c r="K6244" t="b">
        <v>1</v>
      </c>
    </row>
    <row r="6245" spans="1:11">
      <c r="A6245" s="12">
        <v>42421</v>
      </c>
      <c r="B6245">
        <v>2016</v>
      </c>
      <c r="C6245">
        <v>2</v>
      </c>
      <c r="D6245" s="11">
        <v>42401</v>
      </c>
      <c r="E6245" t="s">
        <v>2174</v>
      </c>
      <c r="F6245">
        <v>7</v>
      </c>
      <c r="G6245" t="s">
        <v>59</v>
      </c>
      <c r="H6245" t="s">
        <v>43</v>
      </c>
      <c r="I6245" t="s">
        <v>2191</v>
      </c>
      <c r="J6245" s="10">
        <v>55.7</v>
      </c>
      <c r="K6245" t="b">
        <v>1</v>
      </c>
    </row>
    <row r="6246" spans="1:11">
      <c r="A6246" s="12">
        <v>42421</v>
      </c>
      <c r="B6246">
        <v>2016</v>
      </c>
      <c r="C6246">
        <v>2</v>
      </c>
      <c r="D6246" s="11">
        <v>42401</v>
      </c>
      <c r="E6246" t="s">
        <v>2174</v>
      </c>
      <c r="F6246">
        <v>7</v>
      </c>
      <c r="G6246" t="s">
        <v>59</v>
      </c>
      <c r="H6246" t="s">
        <v>44</v>
      </c>
      <c r="I6246" t="s">
        <v>2192</v>
      </c>
      <c r="J6246" s="10">
        <v>5</v>
      </c>
      <c r="K6246" t="b">
        <v>1</v>
      </c>
    </row>
    <row r="6247" spans="1:11">
      <c r="A6247" s="12">
        <v>42421</v>
      </c>
      <c r="B6247">
        <v>2016</v>
      </c>
      <c r="C6247">
        <v>2</v>
      </c>
      <c r="D6247" s="11">
        <v>42401</v>
      </c>
      <c r="E6247" t="s">
        <v>2174</v>
      </c>
      <c r="F6247">
        <v>7</v>
      </c>
      <c r="G6247" t="s">
        <v>59</v>
      </c>
      <c r="H6247" t="s">
        <v>45</v>
      </c>
      <c r="I6247" t="s">
        <v>2193</v>
      </c>
      <c r="J6247" s="10">
        <v>2</v>
      </c>
      <c r="K6247" t="b">
        <v>1</v>
      </c>
    </row>
    <row r="6248" spans="1:11">
      <c r="A6248" s="12">
        <v>42421</v>
      </c>
      <c r="B6248">
        <v>2016</v>
      </c>
      <c r="C6248">
        <v>2</v>
      </c>
      <c r="D6248" s="11">
        <v>42401</v>
      </c>
      <c r="E6248" t="s">
        <v>2174</v>
      </c>
      <c r="F6248">
        <v>7</v>
      </c>
      <c r="G6248" t="s">
        <v>59</v>
      </c>
      <c r="H6248" t="s">
        <v>46</v>
      </c>
      <c r="I6248" t="s">
        <v>2194</v>
      </c>
      <c r="J6248" s="10">
        <v>7</v>
      </c>
      <c r="K6248" t="b">
        <v>1</v>
      </c>
    </row>
    <row r="6249" spans="1:11">
      <c r="A6249" s="12">
        <v>42421</v>
      </c>
      <c r="B6249">
        <v>2016</v>
      </c>
      <c r="C6249">
        <v>2</v>
      </c>
      <c r="D6249" s="11">
        <v>42401</v>
      </c>
      <c r="E6249" t="s">
        <v>2174</v>
      </c>
      <c r="F6249">
        <v>7</v>
      </c>
      <c r="G6249" t="s">
        <v>59</v>
      </c>
      <c r="H6249" t="s">
        <v>47</v>
      </c>
      <c r="I6249" t="s">
        <v>2195</v>
      </c>
      <c r="J6249" s="10">
        <v>4</v>
      </c>
      <c r="K6249" t="b">
        <v>1</v>
      </c>
    </row>
    <row r="6250" spans="1:11">
      <c r="A6250" s="12">
        <v>42422</v>
      </c>
      <c r="B6250">
        <v>2016</v>
      </c>
      <c r="C6250">
        <v>2</v>
      </c>
      <c r="D6250" s="11">
        <v>42401</v>
      </c>
      <c r="E6250" t="s">
        <v>2174</v>
      </c>
      <c r="F6250">
        <v>1</v>
      </c>
      <c r="G6250" t="s">
        <v>61</v>
      </c>
      <c r="H6250" t="s">
        <v>40</v>
      </c>
      <c r="I6250" t="s">
        <v>2188</v>
      </c>
      <c r="J6250" s="10">
        <v>3</v>
      </c>
      <c r="K6250" t="b">
        <v>1</v>
      </c>
    </row>
    <row r="6251" spans="1:11">
      <c r="A6251" s="12">
        <v>42422</v>
      </c>
      <c r="B6251">
        <v>2016</v>
      </c>
      <c r="C6251">
        <v>2</v>
      </c>
      <c r="D6251" s="11">
        <v>42401</v>
      </c>
      <c r="E6251" t="s">
        <v>2174</v>
      </c>
      <c r="F6251">
        <v>1</v>
      </c>
      <c r="G6251" t="s">
        <v>61</v>
      </c>
      <c r="H6251" t="s">
        <v>41</v>
      </c>
      <c r="I6251" t="s">
        <v>2189</v>
      </c>
      <c r="J6251" s="10">
        <v>5.32</v>
      </c>
      <c r="K6251" t="b">
        <v>1</v>
      </c>
    </row>
    <row r="6252" spans="1:11">
      <c r="A6252" s="12">
        <v>42422</v>
      </c>
      <c r="B6252">
        <v>2016</v>
      </c>
      <c r="C6252">
        <v>2</v>
      </c>
      <c r="D6252" s="11">
        <v>42401</v>
      </c>
      <c r="E6252" t="s">
        <v>2174</v>
      </c>
      <c r="F6252">
        <v>1</v>
      </c>
      <c r="G6252" t="s">
        <v>61</v>
      </c>
      <c r="H6252" t="s">
        <v>42</v>
      </c>
      <c r="I6252" t="s">
        <v>2190</v>
      </c>
      <c r="J6252" s="10">
        <v>3</v>
      </c>
      <c r="K6252" t="b">
        <v>1</v>
      </c>
    </row>
    <row r="6253" spans="1:11">
      <c r="A6253" s="12">
        <v>42422</v>
      </c>
      <c r="B6253">
        <v>2016</v>
      </c>
      <c r="C6253">
        <v>2</v>
      </c>
      <c r="D6253" s="11">
        <v>42401</v>
      </c>
      <c r="E6253" t="s">
        <v>2174</v>
      </c>
      <c r="F6253">
        <v>1</v>
      </c>
      <c r="G6253" t="s">
        <v>61</v>
      </c>
      <c r="H6253" t="s">
        <v>43</v>
      </c>
      <c r="I6253" t="s">
        <v>2191</v>
      </c>
      <c r="J6253" s="10">
        <v>51.125</v>
      </c>
      <c r="K6253" t="b">
        <v>1</v>
      </c>
    </row>
    <row r="6254" spans="1:11">
      <c r="A6254" s="12">
        <v>42422</v>
      </c>
      <c r="B6254">
        <v>2016</v>
      </c>
      <c r="C6254">
        <v>2</v>
      </c>
      <c r="D6254" s="11">
        <v>42401</v>
      </c>
      <c r="E6254" t="s">
        <v>2174</v>
      </c>
      <c r="F6254">
        <v>1</v>
      </c>
      <c r="G6254" t="s">
        <v>61</v>
      </c>
      <c r="H6254" t="s">
        <v>44</v>
      </c>
      <c r="I6254" t="s">
        <v>2192</v>
      </c>
      <c r="J6254" s="10">
        <v>10</v>
      </c>
      <c r="K6254" t="b">
        <v>1</v>
      </c>
    </row>
    <row r="6255" spans="1:11">
      <c r="A6255" s="12">
        <v>42422</v>
      </c>
      <c r="B6255">
        <v>2016</v>
      </c>
      <c r="C6255">
        <v>2</v>
      </c>
      <c r="D6255" s="11">
        <v>42401</v>
      </c>
      <c r="E6255" t="s">
        <v>2174</v>
      </c>
      <c r="F6255">
        <v>1</v>
      </c>
      <c r="G6255" t="s">
        <v>61</v>
      </c>
      <c r="H6255" t="s">
        <v>45</v>
      </c>
      <c r="I6255" t="s">
        <v>2193</v>
      </c>
      <c r="J6255" s="10">
        <v>0</v>
      </c>
      <c r="K6255" t="b">
        <v>1</v>
      </c>
    </row>
    <row r="6256" spans="1:11">
      <c r="A6256" s="12">
        <v>42422</v>
      </c>
      <c r="B6256">
        <v>2016</v>
      </c>
      <c r="C6256">
        <v>2</v>
      </c>
      <c r="D6256" s="11">
        <v>42401</v>
      </c>
      <c r="E6256" t="s">
        <v>2174</v>
      </c>
      <c r="F6256">
        <v>1</v>
      </c>
      <c r="G6256" t="s">
        <v>61</v>
      </c>
      <c r="H6256" t="s">
        <v>46</v>
      </c>
      <c r="I6256" t="s">
        <v>2194</v>
      </c>
      <c r="J6256" s="10">
        <v>12</v>
      </c>
      <c r="K6256" t="b">
        <v>1</v>
      </c>
    </row>
    <row r="6257" spans="1:11">
      <c r="A6257" s="12">
        <v>42422</v>
      </c>
      <c r="B6257">
        <v>2016</v>
      </c>
      <c r="C6257">
        <v>2</v>
      </c>
      <c r="D6257" s="11">
        <v>42401</v>
      </c>
      <c r="E6257" t="s">
        <v>2174</v>
      </c>
      <c r="F6257">
        <v>1</v>
      </c>
      <c r="G6257" t="s">
        <v>61</v>
      </c>
      <c r="H6257" t="s">
        <v>47</v>
      </c>
      <c r="I6257" t="s">
        <v>2195</v>
      </c>
      <c r="J6257" s="10">
        <v>4</v>
      </c>
      <c r="K6257" t="b">
        <v>1</v>
      </c>
    </row>
    <row r="6258" spans="1:11">
      <c r="A6258" s="12">
        <v>42423</v>
      </c>
      <c r="B6258">
        <v>2016</v>
      </c>
      <c r="C6258">
        <v>2</v>
      </c>
      <c r="D6258" s="11">
        <v>42401</v>
      </c>
      <c r="E6258" t="s">
        <v>2174</v>
      </c>
      <c r="F6258">
        <v>2</v>
      </c>
      <c r="G6258" t="s">
        <v>63</v>
      </c>
      <c r="H6258" t="s">
        <v>40</v>
      </c>
      <c r="I6258" t="s">
        <v>2188</v>
      </c>
      <c r="J6258" s="10">
        <v>3</v>
      </c>
      <c r="K6258" t="b">
        <v>1</v>
      </c>
    </row>
    <row r="6259" spans="1:11">
      <c r="A6259" s="12">
        <v>42423</v>
      </c>
      <c r="B6259">
        <v>2016</v>
      </c>
      <c r="C6259">
        <v>2</v>
      </c>
      <c r="D6259" s="11">
        <v>42401</v>
      </c>
      <c r="E6259" t="s">
        <v>2174</v>
      </c>
      <c r="F6259">
        <v>2</v>
      </c>
      <c r="G6259" t="s">
        <v>63</v>
      </c>
      <c r="H6259" t="s">
        <v>41</v>
      </c>
      <c r="I6259" t="s">
        <v>2189</v>
      </c>
      <c r="J6259" s="10">
        <v>2.33</v>
      </c>
      <c r="K6259" t="b">
        <v>1</v>
      </c>
    </row>
    <row r="6260" spans="1:11">
      <c r="A6260" s="12">
        <v>42423</v>
      </c>
      <c r="B6260">
        <v>2016</v>
      </c>
      <c r="C6260">
        <v>2</v>
      </c>
      <c r="D6260" s="11">
        <v>42401</v>
      </c>
      <c r="E6260" t="s">
        <v>2174</v>
      </c>
      <c r="F6260">
        <v>2</v>
      </c>
      <c r="G6260" t="s">
        <v>63</v>
      </c>
      <c r="H6260" t="s">
        <v>42</v>
      </c>
      <c r="I6260" t="s">
        <v>2190</v>
      </c>
      <c r="J6260" s="10">
        <v>2.6</v>
      </c>
      <c r="K6260" t="b">
        <v>1</v>
      </c>
    </row>
    <row r="6261" spans="1:11">
      <c r="A6261" s="12">
        <v>42423</v>
      </c>
      <c r="B6261">
        <v>2016</v>
      </c>
      <c r="C6261">
        <v>2</v>
      </c>
      <c r="D6261" s="11">
        <v>42401</v>
      </c>
      <c r="E6261" t="s">
        <v>2174</v>
      </c>
      <c r="F6261">
        <v>2</v>
      </c>
      <c r="G6261" t="s">
        <v>63</v>
      </c>
      <c r="H6261" t="s">
        <v>43</v>
      </c>
      <c r="I6261" t="s">
        <v>2191</v>
      </c>
      <c r="J6261" s="10">
        <v>41.3</v>
      </c>
      <c r="K6261" t="b">
        <v>1</v>
      </c>
    </row>
    <row r="6262" spans="1:11">
      <c r="A6262" s="12">
        <v>42423</v>
      </c>
      <c r="B6262">
        <v>2016</v>
      </c>
      <c r="C6262">
        <v>2</v>
      </c>
      <c r="D6262" s="11">
        <v>42401</v>
      </c>
      <c r="E6262" t="s">
        <v>2174</v>
      </c>
      <c r="F6262">
        <v>2</v>
      </c>
      <c r="G6262" t="s">
        <v>63</v>
      </c>
      <c r="H6262" t="s">
        <v>44</v>
      </c>
      <c r="I6262" t="s">
        <v>2192</v>
      </c>
      <c r="J6262" s="10">
        <v>11</v>
      </c>
      <c r="K6262" t="b">
        <v>1</v>
      </c>
    </row>
    <row r="6263" spans="1:11">
      <c r="A6263" s="12">
        <v>42423</v>
      </c>
      <c r="B6263">
        <v>2016</v>
      </c>
      <c r="C6263">
        <v>2</v>
      </c>
      <c r="D6263" s="11">
        <v>42401</v>
      </c>
      <c r="E6263" t="s">
        <v>2174</v>
      </c>
      <c r="F6263">
        <v>2</v>
      </c>
      <c r="G6263" t="s">
        <v>63</v>
      </c>
      <c r="H6263" t="s">
        <v>45</v>
      </c>
      <c r="I6263" t="s">
        <v>2193</v>
      </c>
      <c r="J6263" s="10">
        <v>0</v>
      </c>
      <c r="K6263" t="b">
        <v>1</v>
      </c>
    </row>
    <row r="6264" spans="1:11">
      <c r="A6264" s="12">
        <v>42423</v>
      </c>
      <c r="B6264">
        <v>2016</v>
      </c>
      <c r="C6264">
        <v>2</v>
      </c>
      <c r="D6264" s="11">
        <v>42401</v>
      </c>
      <c r="E6264" t="s">
        <v>2174</v>
      </c>
      <c r="F6264">
        <v>2</v>
      </c>
      <c r="G6264" t="s">
        <v>63</v>
      </c>
      <c r="H6264" t="s">
        <v>46</v>
      </c>
      <c r="I6264" t="s">
        <v>2194</v>
      </c>
      <c r="J6264" s="10">
        <v>15</v>
      </c>
      <c r="K6264" t="b">
        <v>1</v>
      </c>
    </row>
    <row r="6265" spans="1:11">
      <c r="A6265" s="12">
        <v>42423</v>
      </c>
      <c r="B6265">
        <v>2016</v>
      </c>
      <c r="C6265">
        <v>2</v>
      </c>
      <c r="D6265" s="11">
        <v>42401</v>
      </c>
      <c r="E6265" t="s">
        <v>2174</v>
      </c>
      <c r="F6265">
        <v>2</v>
      </c>
      <c r="G6265" t="s">
        <v>63</v>
      </c>
      <c r="H6265" t="s">
        <v>47</v>
      </c>
      <c r="I6265" t="s">
        <v>2195</v>
      </c>
      <c r="J6265" s="10">
        <v>3</v>
      </c>
      <c r="K6265" t="b">
        <v>1</v>
      </c>
    </row>
    <row r="6266" spans="1:11">
      <c r="A6266" s="12">
        <v>42424</v>
      </c>
      <c r="B6266">
        <v>2016</v>
      </c>
      <c r="C6266">
        <v>2</v>
      </c>
      <c r="D6266" s="11">
        <v>42401</v>
      </c>
      <c r="E6266" t="s">
        <v>2174</v>
      </c>
      <c r="F6266">
        <v>3</v>
      </c>
      <c r="G6266" t="s">
        <v>65</v>
      </c>
      <c r="H6266" t="s">
        <v>40</v>
      </c>
      <c r="I6266" t="s">
        <v>2188</v>
      </c>
      <c r="J6266" s="10">
        <v>7.66</v>
      </c>
      <c r="K6266" t="b">
        <v>1</v>
      </c>
    </row>
    <row r="6267" spans="1:11">
      <c r="A6267" s="12">
        <v>42424</v>
      </c>
      <c r="B6267">
        <v>2016</v>
      </c>
      <c r="C6267">
        <v>2</v>
      </c>
      <c r="D6267" s="11">
        <v>42401</v>
      </c>
      <c r="E6267" t="s">
        <v>2174</v>
      </c>
      <c r="F6267">
        <v>3</v>
      </c>
      <c r="G6267" t="s">
        <v>65</v>
      </c>
      <c r="H6267" t="s">
        <v>41</v>
      </c>
      <c r="I6267" t="s">
        <v>2189</v>
      </c>
      <c r="J6267" s="10">
        <v>2.33</v>
      </c>
      <c r="K6267" t="b">
        <v>1</v>
      </c>
    </row>
    <row r="6268" spans="1:11">
      <c r="A6268" s="12">
        <v>42424</v>
      </c>
      <c r="B6268">
        <v>2016</v>
      </c>
      <c r="C6268">
        <v>2</v>
      </c>
      <c r="D6268" s="11">
        <v>42401</v>
      </c>
      <c r="E6268" t="s">
        <v>2174</v>
      </c>
      <c r="F6268">
        <v>3</v>
      </c>
      <c r="G6268" t="s">
        <v>65</v>
      </c>
      <c r="H6268" t="s">
        <v>42</v>
      </c>
      <c r="I6268" t="s">
        <v>2190</v>
      </c>
      <c r="J6268" s="10">
        <v>2.1</v>
      </c>
      <c r="K6268" t="b">
        <v>1</v>
      </c>
    </row>
    <row r="6269" spans="1:11">
      <c r="A6269" s="12">
        <v>42424</v>
      </c>
      <c r="B6269">
        <v>2016</v>
      </c>
      <c r="C6269">
        <v>2</v>
      </c>
      <c r="D6269" s="11">
        <v>42401</v>
      </c>
      <c r="E6269" t="s">
        <v>2174</v>
      </c>
      <c r="F6269">
        <v>3</v>
      </c>
      <c r="G6269" t="s">
        <v>65</v>
      </c>
      <c r="H6269" t="s">
        <v>43</v>
      </c>
      <c r="I6269" t="s">
        <v>2191</v>
      </c>
      <c r="J6269" s="10">
        <v>35</v>
      </c>
      <c r="K6269" t="b">
        <v>1</v>
      </c>
    </row>
    <row r="6270" spans="1:11">
      <c r="A6270" s="12">
        <v>42424</v>
      </c>
      <c r="B6270">
        <v>2016</v>
      </c>
      <c r="C6270">
        <v>2</v>
      </c>
      <c r="D6270" s="11">
        <v>42401</v>
      </c>
      <c r="E6270" t="s">
        <v>2174</v>
      </c>
      <c r="F6270">
        <v>3</v>
      </c>
      <c r="G6270" t="s">
        <v>65</v>
      </c>
      <c r="H6270" t="s">
        <v>44</v>
      </c>
      <c r="I6270" t="s">
        <v>2192</v>
      </c>
      <c r="J6270" s="10">
        <v>6</v>
      </c>
      <c r="K6270" t="b">
        <v>1</v>
      </c>
    </row>
    <row r="6271" spans="1:11">
      <c r="A6271" s="12">
        <v>42424</v>
      </c>
      <c r="B6271">
        <v>2016</v>
      </c>
      <c r="C6271">
        <v>2</v>
      </c>
      <c r="D6271" s="11">
        <v>42401</v>
      </c>
      <c r="E6271" t="s">
        <v>2174</v>
      </c>
      <c r="F6271">
        <v>3</v>
      </c>
      <c r="G6271" t="s">
        <v>65</v>
      </c>
      <c r="H6271" t="s">
        <v>45</v>
      </c>
      <c r="I6271" t="s">
        <v>2193</v>
      </c>
      <c r="J6271" s="10">
        <v>2</v>
      </c>
      <c r="K6271" t="b">
        <v>1</v>
      </c>
    </row>
    <row r="6272" spans="1:11">
      <c r="A6272" s="12">
        <v>42424</v>
      </c>
      <c r="B6272">
        <v>2016</v>
      </c>
      <c r="C6272">
        <v>2</v>
      </c>
      <c r="D6272" s="11">
        <v>42401</v>
      </c>
      <c r="E6272" t="s">
        <v>2174</v>
      </c>
      <c r="F6272">
        <v>3</v>
      </c>
      <c r="G6272" t="s">
        <v>65</v>
      </c>
      <c r="H6272" t="s">
        <v>46</v>
      </c>
      <c r="I6272" t="s">
        <v>2194</v>
      </c>
      <c r="J6272" s="10">
        <v>5</v>
      </c>
      <c r="K6272" t="b">
        <v>1</v>
      </c>
    </row>
    <row r="6273" spans="1:11">
      <c r="A6273" s="12">
        <v>42424</v>
      </c>
      <c r="B6273">
        <v>2016</v>
      </c>
      <c r="C6273">
        <v>2</v>
      </c>
      <c r="D6273" s="11">
        <v>42401</v>
      </c>
      <c r="E6273" t="s">
        <v>2174</v>
      </c>
      <c r="F6273">
        <v>3</v>
      </c>
      <c r="G6273" t="s">
        <v>65</v>
      </c>
      <c r="H6273" t="s">
        <v>47</v>
      </c>
      <c r="I6273" t="s">
        <v>2195</v>
      </c>
      <c r="J6273" s="10">
        <v>1</v>
      </c>
      <c r="K6273" t="b">
        <v>1</v>
      </c>
    </row>
    <row r="6274" spans="1:11">
      <c r="A6274" s="12">
        <v>42425</v>
      </c>
      <c r="B6274">
        <v>2016</v>
      </c>
      <c r="C6274">
        <v>2</v>
      </c>
      <c r="D6274" s="11">
        <v>42401</v>
      </c>
      <c r="E6274" t="s">
        <v>2174</v>
      </c>
      <c r="F6274">
        <v>4</v>
      </c>
      <c r="G6274" t="s">
        <v>53</v>
      </c>
      <c r="H6274" t="s">
        <v>40</v>
      </c>
      <c r="I6274" t="s">
        <v>2188</v>
      </c>
      <c r="J6274" s="10">
        <v>7.99</v>
      </c>
      <c r="K6274" t="b">
        <v>1</v>
      </c>
    </row>
    <row r="6275" spans="1:11">
      <c r="A6275" s="12">
        <v>42425</v>
      </c>
      <c r="B6275">
        <v>2016</v>
      </c>
      <c r="C6275">
        <v>2</v>
      </c>
      <c r="D6275" s="11">
        <v>42401</v>
      </c>
      <c r="E6275" t="s">
        <v>2174</v>
      </c>
      <c r="F6275">
        <v>4</v>
      </c>
      <c r="G6275" t="s">
        <v>53</v>
      </c>
      <c r="H6275" t="s">
        <v>41</v>
      </c>
      <c r="I6275" t="s">
        <v>2189</v>
      </c>
      <c r="J6275" s="10">
        <v>3.99</v>
      </c>
      <c r="K6275" t="b">
        <v>1</v>
      </c>
    </row>
    <row r="6276" spans="1:11">
      <c r="A6276" s="12">
        <v>42425</v>
      </c>
      <c r="B6276">
        <v>2016</v>
      </c>
      <c r="C6276">
        <v>2</v>
      </c>
      <c r="D6276" s="11">
        <v>42401</v>
      </c>
      <c r="E6276" t="s">
        <v>2174</v>
      </c>
      <c r="F6276">
        <v>4</v>
      </c>
      <c r="G6276" t="s">
        <v>53</v>
      </c>
      <c r="H6276" t="s">
        <v>42</v>
      </c>
      <c r="I6276" t="s">
        <v>2190</v>
      </c>
      <c r="J6276" s="10">
        <v>5</v>
      </c>
      <c r="K6276" t="b">
        <v>1</v>
      </c>
    </row>
    <row r="6277" spans="1:11">
      <c r="A6277" s="12">
        <v>42425</v>
      </c>
      <c r="B6277">
        <v>2016</v>
      </c>
      <c r="C6277">
        <v>2</v>
      </c>
      <c r="D6277" s="11">
        <v>42401</v>
      </c>
      <c r="E6277" t="s">
        <v>2174</v>
      </c>
      <c r="F6277">
        <v>4</v>
      </c>
      <c r="G6277" t="s">
        <v>53</v>
      </c>
      <c r="H6277" t="s">
        <v>43</v>
      </c>
      <c r="I6277" t="s">
        <v>2191</v>
      </c>
      <c r="J6277" s="10">
        <v>41</v>
      </c>
      <c r="K6277" t="b">
        <v>1</v>
      </c>
    </row>
    <row r="6278" spans="1:11">
      <c r="A6278" s="12">
        <v>42425</v>
      </c>
      <c r="B6278">
        <v>2016</v>
      </c>
      <c r="C6278">
        <v>2</v>
      </c>
      <c r="D6278" s="11">
        <v>42401</v>
      </c>
      <c r="E6278" t="s">
        <v>2174</v>
      </c>
      <c r="F6278">
        <v>4</v>
      </c>
      <c r="G6278" t="s">
        <v>53</v>
      </c>
      <c r="H6278" t="s">
        <v>44</v>
      </c>
      <c r="I6278" t="s">
        <v>2192</v>
      </c>
      <c r="J6278" s="10">
        <v>22</v>
      </c>
      <c r="K6278" t="b">
        <v>1</v>
      </c>
    </row>
    <row r="6279" spans="1:11">
      <c r="A6279" s="12">
        <v>42425</v>
      </c>
      <c r="B6279">
        <v>2016</v>
      </c>
      <c r="C6279">
        <v>2</v>
      </c>
      <c r="D6279" s="11">
        <v>42401</v>
      </c>
      <c r="E6279" t="s">
        <v>2174</v>
      </c>
      <c r="F6279">
        <v>4</v>
      </c>
      <c r="G6279" t="s">
        <v>53</v>
      </c>
      <c r="H6279" t="s">
        <v>45</v>
      </c>
      <c r="I6279" t="s">
        <v>2193</v>
      </c>
      <c r="J6279" s="10">
        <v>1</v>
      </c>
      <c r="K6279" t="b">
        <v>1</v>
      </c>
    </row>
    <row r="6280" spans="1:11">
      <c r="A6280" s="12">
        <v>42425</v>
      </c>
      <c r="B6280">
        <v>2016</v>
      </c>
      <c r="C6280">
        <v>2</v>
      </c>
      <c r="D6280" s="11">
        <v>42401</v>
      </c>
      <c r="E6280" t="s">
        <v>2174</v>
      </c>
      <c r="F6280">
        <v>4</v>
      </c>
      <c r="G6280" t="s">
        <v>53</v>
      </c>
      <c r="H6280" t="s">
        <v>46</v>
      </c>
      <c r="I6280" t="s">
        <v>2194</v>
      </c>
      <c r="J6280" s="10">
        <v>4</v>
      </c>
      <c r="K6280" t="b">
        <v>1</v>
      </c>
    </row>
    <row r="6281" spans="1:11">
      <c r="A6281" s="12">
        <v>42425</v>
      </c>
      <c r="B6281">
        <v>2016</v>
      </c>
      <c r="C6281">
        <v>2</v>
      </c>
      <c r="D6281" s="11">
        <v>42401</v>
      </c>
      <c r="E6281" t="s">
        <v>2174</v>
      </c>
      <c r="F6281">
        <v>4</v>
      </c>
      <c r="G6281" t="s">
        <v>53</v>
      </c>
      <c r="H6281" t="s">
        <v>47</v>
      </c>
      <c r="I6281" t="s">
        <v>2195</v>
      </c>
      <c r="J6281" s="10">
        <v>3</v>
      </c>
      <c r="K6281" t="b">
        <v>1</v>
      </c>
    </row>
    <row r="6282" spans="1:11">
      <c r="A6282" s="12">
        <v>42426</v>
      </c>
      <c r="B6282">
        <v>2016</v>
      </c>
      <c r="C6282">
        <v>2</v>
      </c>
      <c r="D6282" s="11">
        <v>42401</v>
      </c>
      <c r="E6282" t="s">
        <v>2174</v>
      </c>
      <c r="F6282">
        <v>5</v>
      </c>
      <c r="G6282" t="s">
        <v>55</v>
      </c>
      <c r="H6282" t="s">
        <v>40</v>
      </c>
      <c r="I6282" t="s">
        <v>2188</v>
      </c>
      <c r="J6282" s="10">
        <v>5</v>
      </c>
      <c r="K6282" t="b">
        <v>1</v>
      </c>
    </row>
    <row r="6283" spans="1:11">
      <c r="A6283" s="12">
        <v>42426</v>
      </c>
      <c r="B6283">
        <v>2016</v>
      </c>
      <c r="C6283">
        <v>2</v>
      </c>
      <c r="D6283" s="11">
        <v>42401</v>
      </c>
      <c r="E6283" t="s">
        <v>2174</v>
      </c>
      <c r="F6283">
        <v>5</v>
      </c>
      <c r="G6283" t="s">
        <v>55</v>
      </c>
      <c r="H6283" t="s">
        <v>41</v>
      </c>
      <c r="I6283" t="s">
        <v>2189</v>
      </c>
      <c r="J6283" s="10">
        <v>5.848</v>
      </c>
      <c r="K6283" t="b">
        <v>1</v>
      </c>
    </row>
    <row r="6284" spans="1:11">
      <c r="A6284" s="12">
        <v>42426</v>
      </c>
      <c r="B6284">
        <v>2016</v>
      </c>
      <c r="C6284">
        <v>2</v>
      </c>
      <c r="D6284" s="11">
        <v>42401</v>
      </c>
      <c r="E6284" t="s">
        <v>2174</v>
      </c>
      <c r="F6284">
        <v>5</v>
      </c>
      <c r="G6284" t="s">
        <v>55</v>
      </c>
      <c r="H6284" t="s">
        <v>42</v>
      </c>
      <c r="I6284" t="s">
        <v>2190</v>
      </c>
      <c r="J6284" s="10">
        <v>4.5</v>
      </c>
      <c r="K6284" t="b">
        <v>1</v>
      </c>
    </row>
    <row r="6285" spans="1:11">
      <c r="A6285" s="12">
        <v>42426</v>
      </c>
      <c r="B6285">
        <v>2016</v>
      </c>
      <c r="C6285">
        <v>2</v>
      </c>
      <c r="D6285" s="11">
        <v>42401</v>
      </c>
      <c r="E6285" t="s">
        <v>2174</v>
      </c>
      <c r="F6285">
        <v>5</v>
      </c>
      <c r="G6285" t="s">
        <v>55</v>
      </c>
      <c r="H6285" t="s">
        <v>43</v>
      </c>
      <c r="I6285" t="s">
        <v>2191</v>
      </c>
      <c r="J6285" s="10">
        <v>28.55</v>
      </c>
      <c r="K6285" t="b">
        <v>1</v>
      </c>
    </row>
    <row r="6286" spans="1:11">
      <c r="A6286" s="12">
        <v>42426</v>
      </c>
      <c r="B6286">
        <v>2016</v>
      </c>
      <c r="C6286">
        <v>2</v>
      </c>
      <c r="D6286" s="11">
        <v>42401</v>
      </c>
      <c r="E6286" t="s">
        <v>2174</v>
      </c>
      <c r="F6286">
        <v>5</v>
      </c>
      <c r="G6286" t="s">
        <v>55</v>
      </c>
      <c r="H6286" t="s">
        <v>44</v>
      </c>
      <c r="I6286" t="s">
        <v>2192</v>
      </c>
      <c r="J6286" s="10">
        <v>6</v>
      </c>
      <c r="K6286" t="b">
        <v>1</v>
      </c>
    </row>
    <row r="6287" spans="1:11">
      <c r="A6287" s="12">
        <v>42426</v>
      </c>
      <c r="B6287">
        <v>2016</v>
      </c>
      <c r="C6287">
        <v>2</v>
      </c>
      <c r="D6287" s="11">
        <v>42401</v>
      </c>
      <c r="E6287" t="s">
        <v>2174</v>
      </c>
      <c r="F6287">
        <v>5</v>
      </c>
      <c r="G6287" t="s">
        <v>55</v>
      </c>
      <c r="H6287" t="s">
        <v>45</v>
      </c>
      <c r="I6287" t="s">
        <v>2193</v>
      </c>
      <c r="J6287" s="10">
        <v>2</v>
      </c>
      <c r="K6287" t="b">
        <v>1</v>
      </c>
    </row>
    <row r="6288" spans="1:11">
      <c r="A6288" s="12">
        <v>42426</v>
      </c>
      <c r="B6288">
        <v>2016</v>
      </c>
      <c r="C6288">
        <v>2</v>
      </c>
      <c r="D6288" s="11">
        <v>42401</v>
      </c>
      <c r="E6288" t="s">
        <v>2174</v>
      </c>
      <c r="F6288">
        <v>5</v>
      </c>
      <c r="G6288" t="s">
        <v>55</v>
      </c>
      <c r="H6288" t="s">
        <v>46</v>
      </c>
      <c r="I6288" t="s">
        <v>2194</v>
      </c>
      <c r="J6288" s="10">
        <v>0</v>
      </c>
      <c r="K6288" t="b">
        <v>1</v>
      </c>
    </row>
    <row r="6289" spans="1:11">
      <c r="A6289" s="12">
        <v>42426</v>
      </c>
      <c r="B6289">
        <v>2016</v>
      </c>
      <c r="C6289">
        <v>2</v>
      </c>
      <c r="D6289" s="11">
        <v>42401</v>
      </c>
      <c r="E6289" t="s">
        <v>2174</v>
      </c>
      <c r="F6289">
        <v>5</v>
      </c>
      <c r="G6289" t="s">
        <v>55</v>
      </c>
      <c r="H6289" t="s">
        <v>47</v>
      </c>
      <c r="I6289" t="s">
        <v>2195</v>
      </c>
      <c r="J6289" s="10">
        <v>1</v>
      </c>
      <c r="K6289" t="b">
        <v>1</v>
      </c>
    </row>
    <row r="6290" spans="1:11">
      <c r="A6290" s="12">
        <v>42427</v>
      </c>
      <c r="B6290">
        <v>2016</v>
      </c>
      <c r="C6290">
        <v>2</v>
      </c>
      <c r="D6290" s="11">
        <v>42401</v>
      </c>
      <c r="E6290" t="s">
        <v>2174</v>
      </c>
      <c r="F6290">
        <v>6</v>
      </c>
      <c r="G6290" t="s">
        <v>57</v>
      </c>
      <c r="H6290" t="s">
        <v>40</v>
      </c>
      <c r="I6290" t="s">
        <v>2188</v>
      </c>
      <c r="J6290" s="10">
        <v>8</v>
      </c>
      <c r="K6290" t="b">
        <v>1</v>
      </c>
    </row>
    <row r="6291" spans="1:11">
      <c r="A6291" s="12">
        <v>42427</v>
      </c>
      <c r="B6291">
        <v>2016</v>
      </c>
      <c r="C6291">
        <v>2</v>
      </c>
      <c r="D6291" s="11">
        <v>42401</v>
      </c>
      <c r="E6291" t="s">
        <v>2174</v>
      </c>
      <c r="F6291">
        <v>6</v>
      </c>
      <c r="G6291" t="s">
        <v>57</v>
      </c>
      <c r="H6291" t="s">
        <v>41</v>
      </c>
      <c r="I6291" t="s">
        <v>2189</v>
      </c>
      <c r="J6291" s="10">
        <v>7</v>
      </c>
      <c r="K6291" t="b">
        <v>1</v>
      </c>
    </row>
    <row r="6292" spans="1:11">
      <c r="A6292" s="12">
        <v>42427</v>
      </c>
      <c r="B6292">
        <v>2016</v>
      </c>
      <c r="C6292">
        <v>2</v>
      </c>
      <c r="D6292" s="11">
        <v>42401</v>
      </c>
      <c r="E6292" t="s">
        <v>2174</v>
      </c>
      <c r="F6292">
        <v>6</v>
      </c>
      <c r="G6292" t="s">
        <v>57</v>
      </c>
      <c r="H6292" t="s">
        <v>42</v>
      </c>
      <c r="I6292" t="s">
        <v>2190</v>
      </c>
      <c r="J6292" s="10">
        <v>6.6</v>
      </c>
      <c r="K6292" t="b">
        <v>1</v>
      </c>
    </row>
    <row r="6293" spans="1:11">
      <c r="A6293" s="12">
        <v>42427</v>
      </c>
      <c r="B6293">
        <v>2016</v>
      </c>
      <c r="C6293">
        <v>2</v>
      </c>
      <c r="D6293" s="11">
        <v>42401</v>
      </c>
      <c r="E6293" t="s">
        <v>2174</v>
      </c>
      <c r="F6293">
        <v>6</v>
      </c>
      <c r="G6293" t="s">
        <v>57</v>
      </c>
      <c r="H6293" t="s">
        <v>43</v>
      </c>
      <c r="I6293" t="s">
        <v>2191</v>
      </c>
      <c r="J6293" s="10">
        <v>25.8</v>
      </c>
      <c r="K6293" t="b">
        <v>1</v>
      </c>
    </row>
    <row r="6294" spans="1:11">
      <c r="A6294" s="12">
        <v>42427</v>
      </c>
      <c r="B6294">
        <v>2016</v>
      </c>
      <c r="C6294">
        <v>2</v>
      </c>
      <c r="D6294" s="11">
        <v>42401</v>
      </c>
      <c r="E6294" t="s">
        <v>2174</v>
      </c>
      <c r="F6294">
        <v>6</v>
      </c>
      <c r="G6294" t="s">
        <v>57</v>
      </c>
      <c r="H6294" t="s">
        <v>44</v>
      </c>
      <c r="I6294" t="s">
        <v>2192</v>
      </c>
      <c r="J6294" s="10">
        <v>3</v>
      </c>
      <c r="K6294" t="b">
        <v>1</v>
      </c>
    </row>
    <row r="6295" spans="1:11">
      <c r="A6295" s="12">
        <v>42427</v>
      </c>
      <c r="B6295">
        <v>2016</v>
      </c>
      <c r="C6295">
        <v>2</v>
      </c>
      <c r="D6295" s="11">
        <v>42401</v>
      </c>
      <c r="E6295" t="s">
        <v>2174</v>
      </c>
      <c r="F6295">
        <v>6</v>
      </c>
      <c r="G6295" t="s">
        <v>57</v>
      </c>
      <c r="H6295" t="s">
        <v>45</v>
      </c>
      <c r="I6295" t="s">
        <v>2193</v>
      </c>
      <c r="J6295" s="10">
        <v>0</v>
      </c>
      <c r="K6295" t="b">
        <v>1</v>
      </c>
    </row>
    <row r="6296" spans="1:11">
      <c r="A6296" s="12">
        <v>42427</v>
      </c>
      <c r="B6296">
        <v>2016</v>
      </c>
      <c r="C6296">
        <v>2</v>
      </c>
      <c r="D6296" s="11">
        <v>42401</v>
      </c>
      <c r="E6296" t="s">
        <v>2174</v>
      </c>
      <c r="F6296">
        <v>6</v>
      </c>
      <c r="G6296" t="s">
        <v>57</v>
      </c>
      <c r="H6296" t="s">
        <v>46</v>
      </c>
      <c r="I6296" t="s">
        <v>2194</v>
      </c>
      <c r="J6296" s="10">
        <v>5</v>
      </c>
      <c r="K6296" t="b">
        <v>1</v>
      </c>
    </row>
    <row r="6297" spans="1:11">
      <c r="A6297" s="12">
        <v>42427</v>
      </c>
      <c r="B6297">
        <v>2016</v>
      </c>
      <c r="C6297">
        <v>2</v>
      </c>
      <c r="D6297" s="11">
        <v>42401</v>
      </c>
      <c r="E6297" t="s">
        <v>2174</v>
      </c>
      <c r="F6297">
        <v>6</v>
      </c>
      <c r="G6297" t="s">
        <v>57</v>
      </c>
      <c r="H6297" t="s">
        <v>47</v>
      </c>
      <c r="I6297" t="s">
        <v>2195</v>
      </c>
      <c r="J6297" s="10">
        <v>2</v>
      </c>
      <c r="K6297" t="b">
        <v>1</v>
      </c>
    </row>
    <row r="6298" spans="1:11">
      <c r="A6298" s="12">
        <v>42428</v>
      </c>
      <c r="B6298">
        <v>2016</v>
      </c>
      <c r="C6298">
        <v>2</v>
      </c>
      <c r="D6298" s="11">
        <v>42401</v>
      </c>
      <c r="E6298" t="s">
        <v>2174</v>
      </c>
      <c r="F6298">
        <v>7</v>
      </c>
      <c r="G6298" t="s">
        <v>59</v>
      </c>
      <c r="H6298" t="s">
        <v>40</v>
      </c>
      <c r="I6298" t="s">
        <v>2188</v>
      </c>
      <c r="J6298" s="10">
        <v>8</v>
      </c>
      <c r="K6298" t="b">
        <v>1</v>
      </c>
    </row>
    <row r="6299" spans="1:11">
      <c r="A6299" s="12">
        <v>42428</v>
      </c>
      <c r="B6299">
        <v>2016</v>
      </c>
      <c r="C6299">
        <v>2</v>
      </c>
      <c r="D6299" s="11">
        <v>42401</v>
      </c>
      <c r="E6299" t="s">
        <v>2174</v>
      </c>
      <c r="F6299">
        <v>7</v>
      </c>
      <c r="G6299" t="s">
        <v>59</v>
      </c>
      <c r="H6299" t="s">
        <v>41</v>
      </c>
      <c r="I6299" t="s">
        <v>2189</v>
      </c>
      <c r="J6299" s="10">
        <v>4.033</v>
      </c>
      <c r="K6299" t="b">
        <v>1</v>
      </c>
    </row>
    <row r="6300" spans="1:11">
      <c r="A6300" s="12">
        <v>42428</v>
      </c>
      <c r="B6300">
        <v>2016</v>
      </c>
      <c r="C6300">
        <v>2</v>
      </c>
      <c r="D6300" s="11">
        <v>42401</v>
      </c>
      <c r="E6300" t="s">
        <v>2174</v>
      </c>
      <c r="F6300">
        <v>7</v>
      </c>
      <c r="G6300" t="s">
        <v>59</v>
      </c>
      <c r="H6300" t="s">
        <v>42</v>
      </c>
      <c r="I6300" t="s">
        <v>2190</v>
      </c>
      <c r="J6300" s="10">
        <v>10.1</v>
      </c>
      <c r="K6300" t="b">
        <v>1</v>
      </c>
    </row>
    <row r="6301" spans="1:11">
      <c r="A6301" s="12">
        <v>42428</v>
      </c>
      <c r="B6301">
        <v>2016</v>
      </c>
      <c r="C6301">
        <v>2</v>
      </c>
      <c r="D6301" s="11">
        <v>42401</v>
      </c>
      <c r="E6301" t="s">
        <v>2174</v>
      </c>
      <c r="F6301">
        <v>7</v>
      </c>
      <c r="G6301" t="s">
        <v>59</v>
      </c>
      <c r="H6301" t="s">
        <v>43</v>
      </c>
      <c r="I6301" t="s">
        <v>2191</v>
      </c>
      <c r="J6301" s="10">
        <v>66.5</v>
      </c>
      <c r="K6301" t="b">
        <v>1</v>
      </c>
    </row>
    <row r="6302" spans="1:11">
      <c r="A6302" s="12">
        <v>42428</v>
      </c>
      <c r="B6302">
        <v>2016</v>
      </c>
      <c r="C6302">
        <v>2</v>
      </c>
      <c r="D6302" s="11">
        <v>42401</v>
      </c>
      <c r="E6302" t="s">
        <v>2174</v>
      </c>
      <c r="F6302">
        <v>7</v>
      </c>
      <c r="G6302" t="s">
        <v>59</v>
      </c>
      <c r="H6302" t="s">
        <v>44</v>
      </c>
      <c r="I6302" t="s">
        <v>2192</v>
      </c>
      <c r="J6302" s="10">
        <v>6</v>
      </c>
      <c r="K6302" t="b">
        <v>1</v>
      </c>
    </row>
    <row r="6303" spans="1:11">
      <c r="A6303" s="12">
        <v>42428</v>
      </c>
      <c r="B6303">
        <v>2016</v>
      </c>
      <c r="C6303">
        <v>2</v>
      </c>
      <c r="D6303" s="11">
        <v>42401</v>
      </c>
      <c r="E6303" t="s">
        <v>2174</v>
      </c>
      <c r="F6303">
        <v>7</v>
      </c>
      <c r="G6303" t="s">
        <v>59</v>
      </c>
      <c r="H6303" t="s">
        <v>45</v>
      </c>
      <c r="I6303" t="s">
        <v>2193</v>
      </c>
      <c r="J6303" s="10">
        <v>0</v>
      </c>
      <c r="K6303" t="b">
        <v>1</v>
      </c>
    </row>
    <row r="6304" spans="1:11">
      <c r="A6304" s="12">
        <v>42428</v>
      </c>
      <c r="B6304">
        <v>2016</v>
      </c>
      <c r="C6304">
        <v>2</v>
      </c>
      <c r="D6304" s="11">
        <v>42401</v>
      </c>
      <c r="E6304" t="s">
        <v>2174</v>
      </c>
      <c r="F6304">
        <v>7</v>
      </c>
      <c r="G6304" t="s">
        <v>59</v>
      </c>
      <c r="H6304" t="s">
        <v>46</v>
      </c>
      <c r="I6304" t="s">
        <v>2194</v>
      </c>
      <c r="J6304" s="10">
        <v>26</v>
      </c>
      <c r="K6304" t="b">
        <v>1</v>
      </c>
    </row>
    <row r="6305" spans="1:11">
      <c r="A6305" s="12">
        <v>42428</v>
      </c>
      <c r="B6305">
        <v>2016</v>
      </c>
      <c r="C6305">
        <v>2</v>
      </c>
      <c r="D6305" s="11">
        <v>42401</v>
      </c>
      <c r="E6305" t="s">
        <v>2174</v>
      </c>
      <c r="F6305">
        <v>7</v>
      </c>
      <c r="G6305" t="s">
        <v>59</v>
      </c>
      <c r="H6305" t="s">
        <v>47</v>
      </c>
      <c r="I6305" t="s">
        <v>2195</v>
      </c>
      <c r="J6305" s="10">
        <v>5</v>
      </c>
      <c r="K6305" t="b">
        <v>1</v>
      </c>
    </row>
    <row r="6306" spans="1:11">
      <c r="A6306" s="12">
        <v>42429</v>
      </c>
      <c r="B6306">
        <v>2016</v>
      </c>
      <c r="C6306">
        <v>2</v>
      </c>
      <c r="D6306" s="11">
        <v>42401</v>
      </c>
      <c r="E6306" t="s">
        <v>2174</v>
      </c>
      <c r="F6306">
        <v>1</v>
      </c>
      <c r="G6306" t="s">
        <v>61</v>
      </c>
      <c r="H6306" t="s">
        <v>40</v>
      </c>
      <c r="I6306" t="s">
        <v>2188</v>
      </c>
      <c r="J6306" s="10">
        <v>7</v>
      </c>
      <c r="K6306" t="b">
        <v>1</v>
      </c>
    </row>
    <row r="6307" spans="1:11">
      <c r="A6307" s="12">
        <v>42429</v>
      </c>
      <c r="B6307">
        <v>2016</v>
      </c>
      <c r="C6307">
        <v>2</v>
      </c>
      <c r="D6307" s="11">
        <v>42401</v>
      </c>
      <c r="E6307" t="s">
        <v>2174</v>
      </c>
      <c r="F6307">
        <v>1</v>
      </c>
      <c r="G6307" t="s">
        <v>61</v>
      </c>
      <c r="H6307" t="s">
        <v>41</v>
      </c>
      <c r="I6307" t="s">
        <v>2189</v>
      </c>
      <c r="J6307" s="10">
        <v>7.66</v>
      </c>
      <c r="K6307" t="b">
        <v>1</v>
      </c>
    </row>
    <row r="6308" spans="1:11">
      <c r="A6308" s="12">
        <v>42429</v>
      </c>
      <c r="B6308">
        <v>2016</v>
      </c>
      <c r="C6308">
        <v>2</v>
      </c>
      <c r="D6308" s="11">
        <v>42401</v>
      </c>
      <c r="E6308" t="s">
        <v>2174</v>
      </c>
      <c r="F6308">
        <v>1</v>
      </c>
      <c r="G6308" t="s">
        <v>61</v>
      </c>
      <c r="H6308" t="s">
        <v>42</v>
      </c>
      <c r="I6308" t="s">
        <v>2190</v>
      </c>
      <c r="J6308" s="10">
        <v>4</v>
      </c>
      <c r="K6308" t="b">
        <v>1</v>
      </c>
    </row>
    <row r="6309" spans="1:11">
      <c r="A6309" s="12">
        <v>42429</v>
      </c>
      <c r="B6309">
        <v>2016</v>
      </c>
      <c r="C6309">
        <v>2</v>
      </c>
      <c r="D6309" s="11">
        <v>42401</v>
      </c>
      <c r="E6309" t="s">
        <v>2174</v>
      </c>
      <c r="F6309">
        <v>1</v>
      </c>
      <c r="G6309" t="s">
        <v>61</v>
      </c>
      <c r="H6309" t="s">
        <v>43</v>
      </c>
      <c r="I6309" t="s">
        <v>2191</v>
      </c>
      <c r="J6309" s="10">
        <v>46.2</v>
      </c>
      <c r="K6309" t="b">
        <v>1</v>
      </c>
    </row>
    <row r="6310" spans="1:11">
      <c r="A6310" s="12">
        <v>42429</v>
      </c>
      <c r="B6310">
        <v>2016</v>
      </c>
      <c r="C6310">
        <v>2</v>
      </c>
      <c r="D6310" s="11">
        <v>42401</v>
      </c>
      <c r="E6310" t="s">
        <v>2174</v>
      </c>
      <c r="F6310">
        <v>1</v>
      </c>
      <c r="G6310" t="s">
        <v>61</v>
      </c>
      <c r="H6310" t="s">
        <v>44</v>
      </c>
      <c r="I6310" t="s">
        <v>2192</v>
      </c>
      <c r="J6310" s="10">
        <v>13</v>
      </c>
      <c r="K6310" t="b">
        <v>1</v>
      </c>
    </row>
    <row r="6311" spans="1:11">
      <c r="A6311" s="12">
        <v>42429</v>
      </c>
      <c r="B6311">
        <v>2016</v>
      </c>
      <c r="C6311">
        <v>2</v>
      </c>
      <c r="D6311" s="11">
        <v>42401</v>
      </c>
      <c r="E6311" t="s">
        <v>2174</v>
      </c>
      <c r="F6311">
        <v>1</v>
      </c>
      <c r="G6311" t="s">
        <v>61</v>
      </c>
      <c r="H6311" t="s">
        <v>45</v>
      </c>
      <c r="I6311" t="s">
        <v>2193</v>
      </c>
      <c r="J6311" s="10">
        <v>0</v>
      </c>
      <c r="K6311" t="b">
        <v>1</v>
      </c>
    </row>
    <row r="6312" spans="1:11">
      <c r="A6312" s="12">
        <v>42429</v>
      </c>
      <c r="B6312">
        <v>2016</v>
      </c>
      <c r="C6312">
        <v>2</v>
      </c>
      <c r="D6312" s="11">
        <v>42401</v>
      </c>
      <c r="E6312" t="s">
        <v>2174</v>
      </c>
      <c r="F6312">
        <v>1</v>
      </c>
      <c r="G6312" t="s">
        <v>61</v>
      </c>
      <c r="H6312" t="s">
        <v>46</v>
      </c>
      <c r="I6312" t="s">
        <v>2194</v>
      </c>
      <c r="J6312" s="10">
        <v>3</v>
      </c>
      <c r="K6312" t="b">
        <v>1</v>
      </c>
    </row>
    <row r="6313" spans="1:11">
      <c r="A6313" s="12">
        <v>42429</v>
      </c>
      <c r="B6313">
        <v>2016</v>
      </c>
      <c r="C6313">
        <v>2</v>
      </c>
      <c r="D6313" s="11">
        <v>42401</v>
      </c>
      <c r="E6313" t="s">
        <v>2174</v>
      </c>
      <c r="F6313">
        <v>1</v>
      </c>
      <c r="G6313" t="s">
        <v>61</v>
      </c>
      <c r="H6313" t="s">
        <v>47</v>
      </c>
      <c r="I6313" t="s">
        <v>2195</v>
      </c>
      <c r="J6313" s="10">
        <v>1</v>
      </c>
      <c r="K6313" t="b">
        <v>1</v>
      </c>
    </row>
    <row r="6314" spans="1:11">
      <c r="A6314" s="12">
        <v>42430</v>
      </c>
      <c r="B6314">
        <v>2016</v>
      </c>
      <c r="C6314">
        <v>3</v>
      </c>
      <c r="D6314" s="11">
        <v>42430</v>
      </c>
      <c r="E6314" t="s">
        <v>2175</v>
      </c>
      <c r="F6314">
        <v>2</v>
      </c>
      <c r="G6314" t="s">
        <v>63</v>
      </c>
      <c r="H6314" t="s">
        <v>40</v>
      </c>
      <c r="I6314" t="s">
        <v>2188</v>
      </c>
      <c r="J6314" s="10">
        <v>10</v>
      </c>
      <c r="K6314" t="b">
        <v>1</v>
      </c>
    </row>
    <row r="6315" spans="1:11">
      <c r="A6315" s="12">
        <v>42430</v>
      </c>
      <c r="B6315">
        <v>2016</v>
      </c>
      <c r="C6315">
        <v>3</v>
      </c>
      <c r="D6315" s="11">
        <v>42430</v>
      </c>
      <c r="E6315" t="s">
        <v>2175</v>
      </c>
      <c r="F6315">
        <v>2</v>
      </c>
      <c r="G6315" t="s">
        <v>63</v>
      </c>
      <c r="H6315" t="s">
        <v>41</v>
      </c>
      <c r="I6315" t="s">
        <v>2189</v>
      </c>
      <c r="J6315" s="10">
        <v>4</v>
      </c>
      <c r="K6315" t="b">
        <v>1</v>
      </c>
    </row>
    <row r="6316" spans="1:11">
      <c r="A6316" s="12">
        <v>42430</v>
      </c>
      <c r="B6316">
        <v>2016</v>
      </c>
      <c r="C6316">
        <v>3</v>
      </c>
      <c r="D6316" s="11">
        <v>42430</v>
      </c>
      <c r="E6316" t="s">
        <v>2175</v>
      </c>
      <c r="F6316">
        <v>2</v>
      </c>
      <c r="G6316" t="s">
        <v>63</v>
      </c>
      <c r="H6316" t="s">
        <v>42</v>
      </c>
      <c r="I6316" t="s">
        <v>2190</v>
      </c>
      <c r="J6316" s="10">
        <v>2.2</v>
      </c>
      <c r="K6316" t="b">
        <v>1</v>
      </c>
    </row>
    <row r="6317" spans="1:11">
      <c r="A6317" s="12">
        <v>42430</v>
      </c>
      <c r="B6317">
        <v>2016</v>
      </c>
      <c r="C6317">
        <v>3</v>
      </c>
      <c r="D6317" s="11">
        <v>42430</v>
      </c>
      <c r="E6317" t="s">
        <v>2175</v>
      </c>
      <c r="F6317">
        <v>2</v>
      </c>
      <c r="G6317" t="s">
        <v>63</v>
      </c>
      <c r="H6317" t="s">
        <v>43</v>
      </c>
      <c r="I6317" t="s">
        <v>2191</v>
      </c>
      <c r="J6317" s="10">
        <v>31</v>
      </c>
      <c r="K6317" t="b">
        <v>1</v>
      </c>
    </row>
    <row r="6318" spans="1:11">
      <c r="A6318" s="12">
        <v>42430</v>
      </c>
      <c r="B6318">
        <v>2016</v>
      </c>
      <c r="C6318">
        <v>3</v>
      </c>
      <c r="D6318" s="11">
        <v>42430</v>
      </c>
      <c r="E6318" t="s">
        <v>2175</v>
      </c>
      <c r="F6318">
        <v>2</v>
      </c>
      <c r="G6318" t="s">
        <v>63</v>
      </c>
      <c r="H6318" t="s">
        <v>44</v>
      </c>
      <c r="I6318" t="s">
        <v>2192</v>
      </c>
      <c r="J6318" s="10">
        <v>11</v>
      </c>
      <c r="K6318" t="b">
        <v>1</v>
      </c>
    </row>
    <row r="6319" spans="1:11">
      <c r="A6319" s="12">
        <v>42430</v>
      </c>
      <c r="B6319">
        <v>2016</v>
      </c>
      <c r="C6319">
        <v>3</v>
      </c>
      <c r="D6319" s="11">
        <v>42430</v>
      </c>
      <c r="E6319" t="s">
        <v>2175</v>
      </c>
      <c r="F6319">
        <v>2</v>
      </c>
      <c r="G6319" t="s">
        <v>63</v>
      </c>
      <c r="H6319" t="s">
        <v>45</v>
      </c>
      <c r="I6319" t="s">
        <v>2193</v>
      </c>
      <c r="J6319" s="10">
        <v>2</v>
      </c>
      <c r="K6319" t="b">
        <v>1</v>
      </c>
    </row>
    <row r="6320" spans="1:11">
      <c r="A6320" s="12">
        <v>42430</v>
      </c>
      <c r="B6320">
        <v>2016</v>
      </c>
      <c r="C6320">
        <v>3</v>
      </c>
      <c r="D6320" s="11">
        <v>42430</v>
      </c>
      <c r="E6320" t="s">
        <v>2175</v>
      </c>
      <c r="F6320">
        <v>2</v>
      </c>
      <c r="G6320" t="s">
        <v>63</v>
      </c>
      <c r="H6320" t="s">
        <v>46</v>
      </c>
      <c r="I6320" t="s">
        <v>2194</v>
      </c>
      <c r="J6320" s="10">
        <v>0</v>
      </c>
      <c r="K6320" t="b">
        <v>1</v>
      </c>
    </row>
    <row r="6321" spans="1:11">
      <c r="A6321" s="12">
        <v>42430</v>
      </c>
      <c r="B6321">
        <v>2016</v>
      </c>
      <c r="C6321">
        <v>3</v>
      </c>
      <c r="D6321" s="11">
        <v>42430</v>
      </c>
      <c r="E6321" t="s">
        <v>2175</v>
      </c>
      <c r="F6321">
        <v>2</v>
      </c>
      <c r="G6321" t="s">
        <v>63</v>
      </c>
      <c r="H6321" t="s">
        <v>47</v>
      </c>
      <c r="I6321" t="s">
        <v>2195</v>
      </c>
      <c r="J6321" s="10">
        <v>2</v>
      </c>
      <c r="K6321" t="b">
        <v>1</v>
      </c>
    </row>
    <row r="6322" spans="1:11">
      <c r="A6322" s="12">
        <v>42431</v>
      </c>
      <c r="B6322">
        <v>2016</v>
      </c>
      <c r="C6322">
        <v>3</v>
      </c>
      <c r="D6322" s="11">
        <v>42430</v>
      </c>
      <c r="E6322" t="s">
        <v>2175</v>
      </c>
      <c r="F6322">
        <v>3</v>
      </c>
      <c r="G6322" t="s">
        <v>65</v>
      </c>
      <c r="H6322" t="s">
        <v>40</v>
      </c>
      <c r="I6322" t="s">
        <v>2188</v>
      </c>
      <c r="J6322" s="10">
        <v>3.33</v>
      </c>
      <c r="K6322" t="b">
        <v>1</v>
      </c>
    </row>
    <row r="6323" spans="1:11">
      <c r="A6323" s="12">
        <v>42431</v>
      </c>
      <c r="B6323">
        <v>2016</v>
      </c>
      <c r="C6323">
        <v>3</v>
      </c>
      <c r="D6323" s="11">
        <v>42430</v>
      </c>
      <c r="E6323" t="s">
        <v>2175</v>
      </c>
      <c r="F6323">
        <v>3</v>
      </c>
      <c r="G6323" t="s">
        <v>65</v>
      </c>
      <c r="H6323" t="s">
        <v>41</v>
      </c>
      <c r="I6323" t="s">
        <v>2189</v>
      </c>
      <c r="J6323" s="10">
        <v>10.396</v>
      </c>
      <c r="K6323" t="b">
        <v>1</v>
      </c>
    </row>
    <row r="6324" spans="1:11">
      <c r="A6324" s="12">
        <v>42431</v>
      </c>
      <c r="B6324">
        <v>2016</v>
      </c>
      <c r="C6324">
        <v>3</v>
      </c>
      <c r="D6324" s="11">
        <v>42430</v>
      </c>
      <c r="E6324" t="s">
        <v>2175</v>
      </c>
      <c r="F6324">
        <v>3</v>
      </c>
      <c r="G6324" t="s">
        <v>65</v>
      </c>
      <c r="H6324" t="s">
        <v>42</v>
      </c>
      <c r="I6324" t="s">
        <v>2190</v>
      </c>
      <c r="J6324" s="10">
        <v>5.3</v>
      </c>
      <c r="K6324" t="b">
        <v>1</v>
      </c>
    </row>
    <row r="6325" spans="1:11">
      <c r="A6325" s="12">
        <v>42431</v>
      </c>
      <c r="B6325">
        <v>2016</v>
      </c>
      <c r="C6325">
        <v>3</v>
      </c>
      <c r="D6325" s="11">
        <v>42430</v>
      </c>
      <c r="E6325" t="s">
        <v>2175</v>
      </c>
      <c r="F6325">
        <v>3</v>
      </c>
      <c r="G6325" t="s">
        <v>65</v>
      </c>
      <c r="H6325" t="s">
        <v>43</v>
      </c>
      <c r="I6325" t="s">
        <v>2191</v>
      </c>
      <c r="J6325" s="10">
        <v>21.3</v>
      </c>
      <c r="K6325" t="b">
        <v>1</v>
      </c>
    </row>
    <row r="6326" spans="1:11">
      <c r="A6326" s="12">
        <v>42431</v>
      </c>
      <c r="B6326">
        <v>2016</v>
      </c>
      <c r="C6326">
        <v>3</v>
      </c>
      <c r="D6326" s="11">
        <v>42430</v>
      </c>
      <c r="E6326" t="s">
        <v>2175</v>
      </c>
      <c r="F6326">
        <v>3</v>
      </c>
      <c r="G6326" t="s">
        <v>65</v>
      </c>
      <c r="H6326" t="s">
        <v>44</v>
      </c>
      <c r="I6326" t="s">
        <v>2192</v>
      </c>
      <c r="J6326" s="10">
        <v>15</v>
      </c>
      <c r="K6326" t="b">
        <v>1</v>
      </c>
    </row>
    <row r="6327" spans="1:11">
      <c r="A6327" s="12">
        <v>42431</v>
      </c>
      <c r="B6327">
        <v>2016</v>
      </c>
      <c r="C6327">
        <v>3</v>
      </c>
      <c r="D6327" s="11">
        <v>42430</v>
      </c>
      <c r="E6327" t="s">
        <v>2175</v>
      </c>
      <c r="F6327">
        <v>3</v>
      </c>
      <c r="G6327" t="s">
        <v>65</v>
      </c>
      <c r="H6327" t="s">
        <v>45</v>
      </c>
      <c r="I6327" t="s">
        <v>2193</v>
      </c>
      <c r="J6327" s="10">
        <v>2</v>
      </c>
      <c r="K6327" t="b">
        <v>1</v>
      </c>
    </row>
    <row r="6328" spans="1:11">
      <c r="A6328" s="12">
        <v>42431</v>
      </c>
      <c r="B6328">
        <v>2016</v>
      </c>
      <c r="C6328">
        <v>3</v>
      </c>
      <c r="D6328" s="11">
        <v>42430</v>
      </c>
      <c r="E6328" t="s">
        <v>2175</v>
      </c>
      <c r="F6328">
        <v>3</v>
      </c>
      <c r="G6328" t="s">
        <v>65</v>
      </c>
      <c r="H6328" t="s">
        <v>46</v>
      </c>
      <c r="I6328" t="s">
        <v>2194</v>
      </c>
      <c r="J6328" s="10">
        <v>1</v>
      </c>
      <c r="K6328" t="b">
        <v>1</v>
      </c>
    </row>
    <row r="6329" spans="1:11">
      <c r="A6329" s="12">
        <v>42431</v>
      </c>
      <c r="B6329">
        <v>2016</v>
      </c>
      <c r="C6329">
        <v>3</v>
      </c>
      <c r="D6329" s="11">
        <v>42430</v>
      </c>
      <c r="E6329" t="s">
        <v>2175</v>
      </c>
      <c r="F6329">
        <v>3</v>
      </c>
      <c r="G6329" t="s">
        <v>65</v>
      </c>
      <c r="H6329" t="s">
        <v>47</v>
      </c>
      <c r="I6329" t="s">
        <v>2195</v>
      </c>
      <c r="J6329" s="10">
        <v>0</v>
      </c>
      <c r="K6329" t="b">
        <v>1</v>
      </c>
    </row>
    <row r="6330" spans="1:11">
      <c r="A6330" s="12">
        <v>42432</v>
      </c>
      <c r="B6330">
        <v>2016</v>
      </c>
      <c r="C6330">
        <v>3</v>
      </c>
      <c r="D6330" s="11">
        <v>42430</v>
      </c>
      <c r="E6330" t="s">
        <v>2175</v>
      </c>
      <c r="F6330">
        <v>4</v>
      </c>
      <c r="G6330" t="s">
        <v>53</v>
      </c>
      <c r="H6330" t="s">
        <v>40</v>
      </c>
      <c r="I6330" t="s">
        <v>2188</v>
      </c>
      <c r="J6330" s="10">
        <v>2.83</v>
      </c>
      <c r="K6330" t="b">
        <v>1</v>
      </c>
    </row>
    <row r="6331" spans="1:11">
      <c r="A6331" s="12">
        <v>42432</v>
      </c>
      <c r="B6331">
        <v>2016</v>
      </c>
      <c r="C6331">
        <v>3</v>
      </c>
      <c r="D6331" s="11">
        <v>42430</v>
      </c>
      <c r="E6331" t="s">
        <v>2175</v>
      </c>
      <c r="F6331">
        <v>4</v>
      </c>
      <c r="G6331" t="s">
        <v>53</v>
      </c>
      <c r="H6331" t="s">
        <v>41</v>
      </c>
      <c r="I6331" t="s">
        <v>2189</v>
      </c>
      <c r="J6331" s="10">
        <v>2</v>
      </c>
      <c r="K6331" t="b">
        <v>1</v>
      </c>
    </row>
    <row r="6332" spans="1:11">
      <c r="A6332" s="12">
        <v>42432</v>
      </c>
      <c r="B6332">
        <v>2016</v>
      </c>
      <c r="C6332">
        <v>3</v>
      </c>
      <c r="D6332" s="11">
        <v>42430</v>
      </c>
      <c r="E6332" t="s">
        <v>2175</v>
      </c>
      <c r="F6332">
        <v>4</v>
      </c>
      <c r="G6332" t="s">
        <v>53</v>
      </c>
      <c r="H6332" t="s">
        <v>42</v>
      </c>
      <c r="I6332" t="s">
        <v>2190</v>
      </c>
      <c r="J6332" s="10">
        <v>5</v>
      </c>
      <c r="K6332" t="b">
        <v>1</v>
      </c>
    </row>
    <row r="6333" spans="1:11">
      <c r="A6333" s="12">
        <v>42432</v>
      </c>
      <c r="B6333">
        <v>2016</v>
      </c>
      <c r="C6333">
        <v>3</v>
      </c>
      <c r="D6333" s="11">
        <v>42430</v>
      </c>
      <c r="E6333" t="s">
        <v>2175</v>
      </c>
      <c r="F6333">
        <v>4</v>
      </c>
      <c r="G6333" t="s">
        <v>53</v>
      </c>
      <c r="H6333" t="s">
        <v>43</v>
      </c>
      <c r="I6333" t="s">
        <v>2191</v>
      </c>
      <c r="J6333" s="10">
        <v>55.8</v>
      </c>
      <c r="K6333" t="b">
        <v>1</v>
      </c>
    </row>
    <row r="6334" spans="1:11">
      <c r="A6334" s="12">
        <v>42432</v>
      </c>
      <c r="B6334">
        <v>2016</v>
      </c>
      <c r="C6334">
        <v>3</v>
      </c>
      <c r="D6334" s="11">
        <v>42430</v>
      </c>
      <c r="E6334" t="s">
        <v>2175</v>
      </c>
      <c r="F6334">
        <v>4</v>
      </c>
      <c r="G6334" t="s">
        <v>53</v>
      </c>
      <c r="H6334" t="s">
        <v>44</v>
      </c>
      <c r="I6334" t="s">
        <v>2192</v>
      </c>
      <c r="J6334" s="10">
        <v>2</v>
      </c>
      <c r="K6334" t="b">
        <v>1</v>
      </c>
    </row>
    <row r="6335" spans="1:11">
      <c r="A6335" s="12">
        <v>42432</v>
      </c>
      <c r="B6335">
        <v>2016</v>
      </c>
      <c r="C6335">
        <v>3</v>
      </c>
      <c r="D6335" s="11">
        <v>42430</v>
      </c>
      <c r="E6335" t="s">
        <v>2175</v>
      </c>
      <c r="F6335">
        <v>4</v>
      </c>
      <c r="G6335" t="s">
        <v>53</v>
      </c>
      <c r="H6335" t="s">
        <v>45</v>
      </c>
      <c r="I6335" t="s">
        <v>2193</v>
      </c>
      <c r="J6335" s="10">
        <v>0</v>
      </c>
      <c r="K6335" t="b">
        <v>1</v>
      </c>
    </row>
    <row r="6336" spans="1:11">
      <c r="A6336" s="12">
        <v>42432</v>
      </c>
      <c r="B6336">
        <v>2016</v>
      </c>
      <c r="C6336">
        <v>3</v>
      </c>
      <c r="D6336" s="11">
        <v>42430</v>
      </c>
      <c r="E6336" t="s">
        <v>2175</v>
      </c>
      <c r="F6336">
        <v>4</v>
      </c>
      <c r="G6336" t="s">
        <v>53</v>
      </c>
      <c r="H6336" t="s">
        <v>46</v>
      </c>
      <c r="I6336" t="s">
        <v>2194</v>
      </c>
      <c r="J6336" s="10">
        <v>9</v>
      </c>
      <c r="K6336" t="b">
        <v>1</v>
      </c>
    </row>
    <row r="6337" spans="1:11">
      <c r="A6337" s="12">
        <v>42432</v>
      </c>
      <c r="B6337">
        <v>2016</v>
      </c>
      <c r="C6337">
        <v>3</v>
      </c>
      <c r="D6337" s="11">
        <v>42430</v>
      </c>
      <c r="E6337" t="s">
        <v>2175</v>
      </c>
      <c r="F6337">
        <v>4</v>
      </c>
      <c r="G6337" t="s">
        <v>53</v>
      </c>
      <c r="H6337" t="s">
        <v>47</v>
      </c>
      <c r="I6337" t="s">
        <v>2195</v>
      </c>
      <c r="J6337" s="10">
        <v>4</v>
      </c>
      <c r="K6337" t="b">
        <v>1</v>
      </c>
    </row>
    <row r="6338" spans="1:11">
      <c r="A6338" s="12">
        <v>42433</v>
      </c>
      <c r="B6338">
        <v>2016</v>
      </c>
      <c r="C6338">
        <v>3</v>
      </c>
      <c r="D6338" s="11">
        <v>42430</v>
      </c>
      <c r="E6338" t="s">
        <v>2175</v>
      </c>
      <c r="F6338">
        <v>5</v>
      </c>
      <c r="G6338" t="s">
        <v>55</v>
      </c>
      <c r="H6338" t="s">
        <v>40</v>
      </c>
      <c r="I6338" t="s">
        <v>2188</v>
      </c>
      <c r="J6338" s="10">
        <v>5</v>
      </c>
      <c r="K6338" t="b">
        <v>1</v>
      </c>
    </row>
    <row r="6339" spans="1:11">
      <c r="A6339" s="12">
        <v>42433</v>
      </c>
      <c r="B6339">
        <v>2016</v>
      </c>
      <c r="C6339">
        <v>3</v>
      </c>
      <c r="D6339" s="11">
        <v>42430</v>
      </c>
      <c r="E6339" t="s">
        <v>2175</v>
      </c>
      <c r="F6339">
        <v>5</v>
      </c>
      <c r="G6339" t="s">
        <v>55</v>
      </c>
      <c r="H6339" t="s">
        <v>41</v>
      </c>
      <c r="I6339" t="s">
        <v>2189</v>
      </c>
      <c r="J6339" s="10">
        <v>0.99</v>
      </c>
      <c r="K6339" t="b">
        <v>1</v>
      </c>
    </row>
    <row r="6340" spans="1:11">
      <c r="A6340" s="12">
        <v>42433</v>
      </c>
      <c r="B6340">
        <v>2016</v>
      </c>
      <c r="C6340">
        <v>3</v>
      </c>
      <c r="D6340" s="11">
        <v>42430</v>
      </c>
      <c r="E6340" t="s">
        <v>2175</v>
      </c>
      <c r="F6340">
        <v>5</v>
      </c>
      <c r="G6340" t="s">
        <v>55</v>
      </c>
      <c r="H6340" t="s">
        <v>42</v>
      </c>
      <c r="I6340" t="s">
        <v>2190</v>
      </c>
      <c r="J6340" s="10">
        <v>4.4</v>
      </c>
      <c r="K6340" t="b">
        <v>1</v>
      </c>
    </row>
    <row r="6341" spans="1:11">
      <c r="A6341" s="12">
        <v>42433</v>
      </c>
      <c r="B6341">
        <v>2016</v>
      </c>
      <c r="C6341">
        <v>3</v>
      </c>
      <c r="D6341" s="11">
        <v>42430</v>
      </c>
      <c r="E6341" t="s">
        <v>2175</v>
      </c>
      <c r="F6341">
        <v>5</v>
      </c>
      <c r="G6341" t="s">
        <v>55</v>
      </c>
      <c r="H6341" t="s">
        <v>43</v>
      </c>
      <c r="I6341" t="s">
        <v>2191</v>
      </c>
      <c r="J6341" s="10">
        <v>26.6</v>
      </c>
      <c r="K6341" t="b">
        <v>1</v>
      </c>
    </row>
    <row r="6342" spans="1:11">
      <c r="A6342" s="12">
        <v>42433</v>
      </c>
      <c r="B6342">
        <v>2016</v>
      </c>
      <c r="C6342">
        <v>3</v>
      </c>
      <c r="D6342" s="11">
        <v>42430</v>
      </c>
      <c r="E6342" t="s">
        <v>2175</v>
      </c>
      <c r="F6342">
        <v>5</v>
      </c>
      <c r="G6342" t="s">
        <v>55</v>
      </c>
      <c r="H6342" t="s">
        <v>44</v>
      </c>
      <c r="I6342" t="s">
        <v>2192</v>
      </c>
      <c r="J6342" s="10">
        <v>3</v>
      </c>
      <c r="K6342" t="b">
        <v>1</v>
      </c>
    </row>
    <row r="6343" spans="1:11">
      <c r="A6343" s="12">
        <v>42433</v>
      </c>
      <c r="B6343">
        <v>2016</v>
      </c>
      <c r="C6343">
        <v>3</v>
      </c>
      <c r="D6343" s="11">
        <v>42430</v>
      </c>
      <c r="E6343" t="s">
        <v>2175</v>
      </c>
      <c r="F6343">
        <v>5</v>
      </c>
      <c r="G6343" t="s">
        <v>55</v>
      </c>
      <c r="H6343" t="s">
        <v>45</v>
      </c>
      <c r="I6343" t="s">
        <v>2193</v>
      </c>
      <c r="J6343" s="10">
        <v>0</v>
      </c>
      <c r="K6343" t="b">
        <v>1</v>
      </c>
    </row>
    <row r="6344" spans="1:11">
      <c r="A6344" s="12">
        <v>42433</v>
      </c>
      <c r="B6344">
        <v>2016</v>
      </c>
      <c r="C6344">
        <v>3</v>
      </c>
      <c r="D6344" s="11">
        <v>42430</v>
      </c>
      <c r="E6344" t="s">
        <v>2175</v>
      </c>
      <c r="F6344">
        <v>5</v>
      </c>
      <c r="G6344" t="s">
        <v>55</v>
      </c>
      <c r="H6344" t="s">
        <v>46</v>
      </c>
      <c r="I6344" t="s">
        <v>2194</v>
      </c>
      <c r="J6344" s="10">
        <v>0</v>
      </c>
      <c r="K6344" t="b">
        <v>1</v>
      </c>
    </row>
    <row r="6345" spans="1:11">
      <c r="A6345" s="12">
        <v>42433</v>
      </c>
      <c r="B6345">
        <v>2016</v>
      </c>
      <c r="C6345">
        <v>3</v>
      </c>
      <c r="D6345" s="11">
        <v>42430</v>
      </c>
      <c r="E6345" t="s">
        <v>2175</v>
      </c>
      <c r="F6345">
        <v>5</v>
      </c>
      <c r="G6345" t="s">
        <v>55</v>
      </c>
      <c r="H6345" t="s">
        <v>47</v>
      </c>
      <c r="I6345" t="s">
        <v>2195</v>
      </c>
      <c r="J6345" s="10">
        <v>0</v>
      </c>
      <c r="K6345" t="b">
        <v>1</v>
      </c>
    </row>
    <row r="6346" spans="1:11">
      <c r="A6346" s="12">
        <v>42434</v>
      </c>
      <c r="B6346">
        <v>2016</v>
      </c>
      <c r="C6346">
        <v>3</v>
      </c>
      <c r="D6346" s="11">
        <v>42430</v>
      </c>
      <c r="E6346" t="s">
        <v>2175</v>
      </c>
      <c r="F6346">
        <v>6</v>
      </c>
      <c r="G6346" t="s">
        <v>57</v>
      </c>
      <c r="H6346" t="s">
        <v>40</v>
      </c>
      <c r="I6346" t="s">
        <v>2188</v>
      </c>
      <c r="J6346" s="10">
        <v>5</v>
      </c>
      <c r="K6346" t="b">
        <v>1</v>
      </c>
    </row>
    <row r="6347" spans="1:11">
      <c r="A6347" s="12">
        <v>42434</v>
      </c>
      <c r="B6347">
        <v>2016</v>
      </c>
      <c r="C6347">
        <v>3</v>
      </c>
      <c r="D6347" s="11">
        <v>42430</v>
      </c>
      <c r="E6347" t="s">
        <v>2175</v>
      </c>
      <c r="F6347">
        <v>6</v>
      </c>
      <c r="G6347" t="s">
        <v>57</v>
      </c>
      <c r="H6347" t="s">
        <v>41</v>
      </c>
      <c r="I6347" t="s">
        <v>2189</v>
      </c>
      <c r="J6347" s="10">
        <v>4.891</v>
      </c>
      <c r="K6347" t="b">
        <v>1</v>
      </c>
    </row>
    <row r="6348" spans="1:11">
      <c r="A6348" s="12">
        <v>42434</v>
      </c>
      <c r="B6348">
        <v>2016</v>
      </c>
      <c r="C6348">
        <v>3</v>
      </c>
      <c r="D6348" s="11">
        <v>42430</v>
      </c>
      <c r="E6348" t="s">
        <v>2175</v>
      </c>
      <c r="F6348">
        <v>6</v>
      </c>
      <c r="G6348" t="s">
        <v>57</v>
      </c>
      <c r="H6348" t="s">
        <v>42</v>
      </c>
      <c r="I6348" t="s">
        <v>2190</v>
      </c>
      <c r="J6348" s="10">
        <v>8</v>
      </c>
      <c r="K6348" t="b">
        <v>1</v>
      </c>
    </row>
    <row r="6349" spans="1:11">
      <c r="A6349" s="12">
        <v>42434</v>
      </c>
      <c r="B6349">
        <v>2016</v>
      </c>
      <c r="C6349">
        <v>3</v>
      </c>
      <c r="D6349" s="11">
        <v>42430</v>
      </c>
      <c r="E6349" t="s">
        <v>2175</v>
      </c>
      <c r="F6349">
        <v>6</v>
      </c>
      <c r="G6349" t="s">
        <v>57</v>
      </c>
      <c r="H6349" t="s">
        <v>43</v>
      </c>
      <c r="I6349" t="s">
        <v>2191</v>
      </c>
      <c r="J6349" s="10">
        <v>38</v>
      </c>
      <c r="K6349" t="b">
        <v>1</v>
      </c>
    </row>
    <row r="6350" spans="1:11">
      <c r="A6350" s="12">
        <v>42434</v>
      </c>
      <c r="B6350">
        <v>2016</v>
      </c>
      <c r="C6350">
        <v>3</v>
      </c>
      <c r="D6350" s="11">
        <v>42430</v>
      </c>
      <c r="E6350" t="s">
        <v>2175</v>
      </c>
      <c r="F6350">
        <v>6</v>
      </c>
      <c r="G6350" t="s">
        <v>57</v>
      </c>
      <c r="H6350" t="s">
        <v>44</v>
      </c>
      <c r="I6350" t="s">
        <v>2192</v>
      </c>
      <c r="J6350" s="10">
        <v>9</v>
      </c>
      <c r="K6350" t="b">
        <v>1</v>
      </c>
    </row>
    <row r="6351" spans="1:11">
      <c r="A6351" s="12">
        <v>42434</v>
      </c>
      <c r="B6351">
        <v>2016</v>
      </c>
      <c r="C6351">
        <v>3</v>
      </c>
      <c r="D6351" s="11">
        <v>42430</v>
      </c>
      <c r="E6351" t="s">
        <v>2175</v>
      </c>
      <c r="F6351">
        <v>6</v>
      </c>
      <c r="G6351" t="s">
        <v>57</v>
      </c>
      <c r="H6351" t="s">
        <v>45</v>
      </c>
      <c r="I6351" t="s">
        <v>2193</v>
      </c>
      <c r="J6351" s="10">
        <v>0</v>
      </c>
      <c r="K6351" t="b">
        <v>1</v>
      </c>
    </row>
    <row r="6352" spans="1:11">
      <c r="A6352" s="12">
        <v>42434</v>
      </c>
      <c r="B6352">
        <v>2016</v>
      </c>
      <c r="C6352">
        <v>3</v>
      </c>
      <c r="D6352" s="11">
        <v>42430</v>
      </c>
      <c r="E6352" t="s">
        <v>2175</v>
      </c>
      <c r="F6352">
        <v>6</v>
      </c>
      <c r="G6352" t="s">
        <v>57</v>
      </c>
      <c r="H6352" t="s">
        <v>46</v>
      </c>
      <c r="I6352" t="s">
        <v>2194</v>
      </c>
      <c r="J6352" s="10">
        <v>10</v>
      </c>
      <c r="K6352" t="b">
        <v>1</v>
      </c>
    </row>
    <row r="6353" spans="1:11">
      <c r="A6353" s="12">
        <v>42434</v>
      </c>
      <c r="B6353">
        <v>2016</v>
      </c>
      <c r="C6353">
        <v>3</v>
      </c>
      <c r="D6353" s="11">
        <v>42430</v>
      </c>
      <c r="E6353" t="s">
        <v>2175</v>
      </c>
      <c r="F6353">
        <v>6</v>
      </c>
      <c r="G6353" t="s">
        <v>57</v>
      </c>
      <c r="H6353" t="s">
        <v>47</v>
      </c>
      <c r="I6353" t="s">
        <v>2195</v>
      </c>
      <c r="J6353" s="10">
        <v>5</v>
      </c>
      <c r="K6353" t="b">
        <v>1</v>
      </c>
    </row>
    <row r="6354" spans="1:11">
      <c r="A6354" s="12">
        <v>42435</v>
      </c>
      <c r="B6354">
        <v>2016</v>
      </c>
      <c r="C6354">
        <v>3</v>
      </c>
      <c r="D6354" s="11">
        <v>42430</v>
      </c>
      <c r="E6354" t="s">
        <v>2175</v>
      </c>
      <c r="F6354">
        <v>7</v>
      </c>
      <c r="G6354" t="s">
        <v>59</v>
      </c>
      <c r="H6354" t="s">
        <v>40</v>
      </c>
      <c r="I6354" t="s">
        <v>2188</v>
      </c>
      <c r="J6354" s="10">
        <v>5</v>
      </c>
      <c r="K6354" t="b">
        <v>1</v>
      </c>
    </row>
    <row r="6355" spans="1:11">
      <c r="A6355" s="12">
        <v>42435</v>
      </c>
      <c r="B6355">
        <v>2016</v>
      </c>
      <c r="C6355">
        <v>3</v>
      </c>
      <c r="D6355" s="11">
        <v>42430</v>
      </c>
      <c r="E6355" t="s">
        <v>2175</v>
      </c>
      <c r="F6355">
        <v>7</v>
      </c>
      <c r="G6355" t="s">
        <v>59</v>
      </c>
      <c r="H6355" t="s">
        <v>41</v>
      </c>
      <c r="I6355" t="s">
        <v>2189</v>
      </c>
      <c r="J6355" s="10">
        <v>8.145</v>
      </c>
      <c r="K6355" t="b">
        <v>1</v>
      </c>
    </row>
    <row r="6356" spans="1:11">
      <c r="A6356" s="12">
        <v>42435</v>
      </c>
      <c r="B6356">
        <v>2016</v>
      </c>
      <c r="C6356">
        <v>3</v>
      </c>
      <c r="D6356" s="11">
        <v>42430</v>
      </c>
      <c r="E6356" t="s">
        <v>2175</v>
      </c>
      <c r="F6356">
        <v>7</v>
      </c>
      <c r="G6356" t="s">
        <v>59</v>
      </c>
      <c r="H6356" t="s">
        <v>42</v>
      </c>
      <c r="I6356" t="s">
        <v>2190</v>
      </c>
      <c r="J6356" s="10">
        <v>4.9</v>
      </c>
      <c r="K6356" t="b">
        <v>1</v>
      </c>
    </row>
    <row r="6357" spans="1:11">
      <c r="A6357" s="12">
        <v>42435</v>
      </c>
      <c r="B6357">
        <v>2016</v>
      </c>
      <c r="C6357">
        <v>3</v>
      </c>
      <c r="D6357" s="11">
        <v>42430</v>
      </c>
      <c r="E6357" t="s">
        <v>2175</v>
      </c>
      <c r="F6357">
        <v>7</v>
      </c>
      <c r="G6357" t="s">
        <v>59</v>
      </c>
      <c r="H6357" t="s">
        <v>43</v>
      </c>
      <c r="I6357" t="s">
        <v>2191</v>
      </c>
      <c r="J6357" s="10">
        <v>79.90000000000001</v>
      </c>
      <c r="K6357" t="b">
        <v>1</v>
      </c>
    </row>
    <row r="6358" spans="1:11">
      <c r="A6358" s="12">
        <v>42435</v>
      </c>
      <c r="B6358">
        <v>2016</v>
      </c>
      <c r="C6358">
        <v>3</v>
      </c>
      <c r="D6358" s="11">
        <v>42430</v>
      </c>
      <c r="E6358" t="s">
        <v>2175</v>
      </c>
      <c r="F6358">
        <v>7</v>
      </c>
      <c r="G6358" t="s">
        <v>59</v>
      </c>
      <c r="H6358" t="s">
        <v>44</v>
      </c>
      <c r="I6358" t="s">
        <v>2192</v>
      </c>
      <c r="J6358" s="10">
        <v>2</v>
      </c>
      <c r="K6358" t="b">
        <v>1</v>
      </c>
    </row>
    <row r="6359" spans="1:11">
      <c r="A6359" s="12">
        <v>42435</v>
      </c>
      <c r="B6359">
        <v>2016</v>
      </c>
      <c r="C6359">
        <v>3</v>
      </c>
      <c r="D6359" s="11">
        <v>42430</v>
      </c>
      <c r="E6359" t="s">
        <v>2175</v>
      </c>
      <c r="F6359">
        <v>7</v>
      </c>
      <c r="G6359" t="s">
        <v>59</v>
      </c>
      <c r="H6359" t="s">
        <v>45</v>
      </c>
      <c r="I6359" t="s">
        <v>2193</v>
      </c>
      <c r="J6359" s="10">
        <v>0</v>
      </c>
      <c r="K6359" t="b">
        <v>1</v>
      </c>
    </row>
    <row r="6360" spans="1:11">
      <c r="A6360" s="12">
        <v>42435</v>
      </c>
      <c r="B6360">
        <v>2016</v>
      </c>
      <c r="C6360">
        <v>3</v>
      </c>
      <c r="D6360" s="11">
        <v>42430</v>
      </c>
      <c r="E6360" t="s">
        <v>2175</v>
      </c>
      <c r="F6360">
        <v>7</v>
      </c>
      <c r="G6360" t="s">
        <v>59</v>
      </c>
      <c r="H6360" t="s">
        <v>46</v>
      </c>
      <c r="I6360" t="s">
        <v>2194</v>
      </c>
      <c r="J6360" s="10">
        <v>5</v>
      </c>
      <c r="K6360" t="b">
        <v>1</v>
      </c>
    </row>
    <row r="6361" spans="1:11">
      <c r="A6361" s="12">
        <v>42435</v>
      </c>
      <c r="B6361">
        <v>2016</v>
      </c>
      <c r="C6361">
        <v>3</v>
      </c>
      <c r="D6361" s="11">
        <v>42430</v>
      </c>
      <c r="E6361" t="s">
        <v>2175</v>
      </c>
      <c r="F6361">
        <v>7</v>
      </c>
      <c r="G6361" t="s">
        <v>59</v>
      </c>
      <c r="H6361" t="s">
        <v>47</v>
      </c>
      <c r="I6361" t="s">
        <v>2195</v>
      </c>
      <c r="J6361" s="10">
        <v>7</v>
      </c>
      <c r="K6361" t="b">
        <v>1</v>
      </c>
    </row>
    <row r="6362" spans="1:11">
      <c r="A6362" s="12">
        <v>42436</v>
      </c>
      <c r="B6362">
        <v>2016</v>
      </c>
      <c r="C6362">
        <v>3</v>
      </c>
      <c r="D6362" s="11">
        <v>42430</v>
      </c>
      <c r="E6362" t="s">
        <v>2175</v>
      </c>
      <c r="F6362">
        <v>1</v>
      </c>
      <c r="G6362" t="s">
        <v>61</v>
      </c>
      <c r="H6362" t="s">
        <v>40</v>
      </c>
      <c r="I6362" t="s">
        <v>2188</v>
      </c>
      <c r="J6362" s="10">
        <v>5.33</v>
      </c>
      <c r="K6362" t="b">
        <v>1</v>
      </c>
    </row>
    <row r="6363" spans="1:11">
      <c r="A6363" s="12">
        <v>42436</v>
      </c>
      <c r="B6363">
        <v>2016</v>
      </c>
      <c r="C6363">
        <v>3</v>
      </c>
      <c r="D6363" s="11">
        <v>42430</v>
      </c>
      <c r="E6363" t="s">
        <v>2175</v>
      </c>
      <c r="F6363">
        <v>1</v>
      </c>
      <c r="G6363" t="s">
        <v>61</v>
      </c>
      <c r="H6363" t="s">
        <v>41</v>
      </c>
      <c r="I6363" t="s">
        <v>2189</v>
      </c>
      <c r="J6363" s="10">
        <v>7.34</v>
      </c>
      <c r="K6363" t="b">
        <v>1</v>
      </c>
    </row>
    <row r="6364" spans="1:11">
      <c r="A6364" s="12">
        <v>42436</v>
      </c>
      <c r="B6364">
        <v>2016</v>
      </c>
      <c r="C6364">
        <v>3</v>
      </c>
      <c r="D6364" s="11">
        <v>42430</v>
      </c>
      <c r="E6364" t="s">
        <v>2175</v>
      </c>
      <c r="F6364">
        <v>1</v>
      </c>
      <c r="G6364" t="s">
        <v>61</v>
      </c>
      <c r="H6364" t="s">
        <v>42</v>
      </c>
      <c r="I6364" t="s">
        <v>2190</v>
      </c>
      <c r="J6364" s="10">
        <v>4</v>
      </c>
      <c r="K6364" t="b">
        <v>1</v>
      </c>
    </row>
    <row r="6365" spans="1:11">
      <c r="A6365" s="12">
        <v>42436</v>
      </c>
      <c r="B6365">
        <v>2016</v>
      </c>
      <c r="C6365">
        <v>3</v>
      </c>
      <c r="D6365" s="11">
        <v>42430</v>
      </c>
      <c r="E6365" t="s">
        <v>2175</v>
      </c>
      <c r="F6365">
        <v>1</v>
      </c>
      <c r="G6365" t="s">
        <v>61</v>
      </c>
      <c r="H6365" t="s">
        <v>43</v>
      </c>
      <c r="I6365" t="s">
        <v>2191</v>
      </c>
      <c r="J6365" s="10">
        <v>43.5</v>
      </c>
      <c r="K6365" t="b">
        <v>1</v>
      </c>
    </row>
    <row r="6366" spans="1:11">
      <c r="A6366" s="12">
        <v>42436</v>
      </c>
      <c r="B6366">
        <v>2016</v>
      </c>
      <c r="C6366">
        <v>3</v>
      </c>
      <c r="D6366" s="11">
        <v>42430</v>
      </c>
      <c r="E6366" t="s">
        <v>2175</v>
      </c>
      <c r="F6366">
        <v>1</v>
      </c>
      <c r="G6366" t="s">
        <v>61</v>
      </c>
      <c r="H6366" t="s">
        <v>44</v>
      </c>
      <c r="I6366" t="s">
        <v>2192</v>
      </c>
      <c r="J6366" s="10">
        <v>3</v>
      </c>
      <c r="K6366" t="b">
        <v>1</v>
      </c>
    </row>
    <row r="6367" spans="1:11">
      <c r="A6367" s="12">
        <v>42436</v>
      </c>
      <c r="B6367">
        <v>2016</v>
      </c>
      <c r="C6367">
        <v>3</v>
      </c>
      <c r="D6367" s="11">
        <v>42430</v>
      </c>
      <c r="E6367" t="s">
        <v>2175</v>
      </c>
      <c r="F6367">
        <v>1</v>
      </c>
      <c r="G6367" t="s">
        <v>61</v>
      </c>
      <c r="H6367" t="s">
        <v>45</v>
      </c>
      <c r="I6367" t="s">
        <v>2193</v>
      </c>
      <c r="J6367" s="10">
        <v>1</v>
      </c>
      <c r="K6367" t="b">
        <v>1</v>
      </c>
    </row>
    <row r="6368" spans="1:11">
      <c r="A6368" s="12">
        <v>42436</v>
      </c>
      <c r="B6368">
        <v>2016</v>
      </c>
      <c r="C6368">
        <v>3</v>
      </c>
      <c r="D6368" s="11">
        <v>42430</v>
      </c>
      <c r="E6368" t="s">
        <v>2175</v>
      </c>
      <c r="F6368">
        <v>1</v>
      </c>
      <c r="G6368" t="s">
        <v>61</v>
      </c>
      <c r="H6368" t="s">
        <v>46</v>
      </c>
      <c r="I6368" t="s">
        <v>2194</v>
      </c>
      <c r="J6368" s="10">
        <v>6</v>
      </c>
      <c r="K6368" t="b">
        <v>1</v>
      </c>
    </row>
    <row r="6369" spans="1:11">
      <c r="A6369" s="12">
        <v>42436</v>
      </c>
      <c r="B6369">
        <v>2016</v>
      </c>
      <c r="C6369">
        <v>3</v>
      </c>
      <c r="D6369" s="11">
        <v>42430</v>
      </c>
      <c r="E6369" t="s">
        <v>2175</v>
      </c>
      <c r="F6369">
        <v>1</v>
      </c>
      <c r="G6369" t="s">
        <v>61</v>
      </c>
      <c r="H6369" t="s">
        <v>47</v>
      </c>
      <c r="I6369" t="s">
        <v>2195</v>
      </c>
      <c r="J6369" s="10">
        <v>1</v>
      </c>
      <c r="K6369" t="b">
        <v>1</v>
      </c>
    </row>
    <row r="6370" spans="1:11">
      <c r="A6370" s="12">
        <v>42437</v>
      </c>
      <c r="B6370">
        <v>2016</v>
      </c>
      <c r="C6370">
        <v>3</v>
      </c>
      <c r="D6370" s="11">
        <v>42430</v>
      </c>
      <c r="E6370" t="s">
        <v>2175</v>
      </c>
      <c r="F6370">
        <v>2</v>
      </c>
      <c r="G6370" t="s">
        <v>63</v>
      </c>
      <c r="H6370" t="s">
        <v>40</v>
      </c>
      <c r="I6370" t="s">
        <v>2188</v>
      </c>
      <c r="J6370" s="10">
        <v>4</v>
      </c>
      <c r="K6370" t="b">
        <v>1</v>
      </c>
    </row>
    <row r="6371" spans="1:11">
      <c r="A6371" s="12">
        <v>42437</v>
      </c>
      <c r="B6371">
        <v>2016</v>
      </c>
      <c r="C6371">
        <v>3</v>
      </c>
      <c r="D6371" s="11">
        <v>42430</v>
      </c>
      <c r="E6371" t="s">
        <v>2175</v>
      </c>
      <c r="F6371">
        <v>2</v>
      </c>
      <c r="G6371" t="s">
        <v>63</v>
      </c>
      <c r="H6371" t="s">
        <v>41</v>
      </c>
      <c r="I6371" t="s">
        <v>2189</v>
      </c>
      <c r="J6371" s="10">
        <v>6.66</v>
      </c>
      <c r="K6371" t="b">
        <v>1</v>
      </c>
    </row>
    <row r="6372" spans="1:11">
      <c r="A6372" s="12">
        <v>42437</v>
      </c>
      <c r="B6372">
        <v>2016</v>
      </c>
      <c r="C6372">
        <v>3</v>
      </c>
      <c r="D6372" s="11">
        <v>42430</v>
      </c>
      <c r="E6372" t="s">
        <v>2175</v>
      </c>
      <c r="F6372">
        <v>2</v>
      </c>
      <c r="G6372" t="s">
        <v>63</v>
      </c>
      <c r="H6372" t="s">
        <v>42</v>
      </c>
      <c r="I6372" t="s">
        <v>2190</v>
      </c>
      <c r="J6372" s="10">
        <v>3</v>
      </c>
      <c r="K6372" t="b">
        <v>1</v>
      </c>
    </row>
    <row r="6373" spans="1:11">
      <c r="A6373" s="12">
        <v>42437</v>
      </c>
      <c r="B6373">
        <v>2016</v>
      </c>
      <c r="C6373">
        <v>3</v>
      </c>
      <c r="D6373" s="11">
        <v>42430</v>
      </c>
      <c r="E6373" t="s">
        <v>2175</v>
      </c>
      <c r="F6373">
        <v>2</v>
      </c>
      <c r="G6373" t="s">
        <v>63</v>
      </c>
      <c r="H6373" t="s">
        <v>43</v>
      </c>
      <c r="I6373" t="s">
        <v>2191</v>
      </c>
      <c r="J6373" s="10">
        <v>44</v>
      </c>
      <c r="K6373" t="b">
        <v>1</v>
      </c>
    </row>
    <row r="6374" spans="1:11">
      <c r="A6374" s="12">
        <v>42437</v>
      </c>
      <c r="B6374">
        <v>2016</v>
      </c>
      <c r="C6374">
        <v>3</v>
      </c>
      <c r="D6374" s="11">
        <v>42430</v>
      </c>
      <c r="E6374" t="s">
        <v>2175</v>
      </c>
      <c r="F6374">
        <v>2</v>
      </c>
      <c r="G6374" t="s">
        <v>63</v>
      </c>
      <c r="H6374" t="s">
        <v>44</v>
      </c>
      <c r="I6374" t="s">
        <v>2192</v>
      </c>
      <c r="J6374" s="10">
        <v>7</v>
      </c>
      <c r="K6374" t="b">
        <v>1</v>
      </c>
    </row>
    <row r="6375" spans="1:11">
      <c r="A6375" s="12">
        <v>42437</v>
      </c>
      <c r="B6375">
        <v>2016</v>
      </c>
      <c r="C6375">
        <v>3</v>
      </c>
      <c r="D6375" s="11">
        <v>42430</v>
      </c>
      <c r="E6375" t="s">
        <v>2175</v>
      </c>
      <c r="F6375">
        <v>2</v>
      </c>
      <c r="G6375" t="s">
        <v>63</v>
      </c>
      <c r="H6375" t="s">
        <v>45</v>
      </c>
      <c r="I6375" t="s">
        <v>2193</v>
      </c>
      <c r="J6375" s="10">
        <v>0</v>
      </c>
      <c r="K6375" t="b">
        <v>1</v>
      </c>
    </row>
    <row r="6376" spans="1:11">
      <c r="A6376" s="12">
        <v>42437</v>
      </c>
      <c r="B6376">
        <v>2016</v>
      </c>
      <c r="C6376">
        <v>3</v>
      </c>
      <c r="D6376" s="11">
        <v>42430</v>
      </c>
      <c r="E6376" t="s">
        <v>2175</v>
      </c>
      <c r="F6376">
        <v>2</v>
      </c>
      <c r="G6376" t="s">
        <v>63</v>
      </c>
      <c r="H6376" t="s">
        <v>46</v>
      </c>
      <c r="I6376" t="s">
        <v>2194</v>
      </c>
      <c r="J6376" s="10">
        <v>3</v>
      </c>
      <c r="K6376" t="b">
        <v>1</v>
      </c>
    </row>
    <row r="6377" spans="1:11">
      <c r="A6377" s="12">
        <v>42437</v>
      </c>
      <c r="B6377">
        <v>2016</v>
      </c>
      <c r="C6377">
        <v>3</v>
      </c>
      <c r="D6377" s="11">
        <v>42430</v>
      </c>
      <c r="E6377" t="s">
        <v>2175</v>
      </c>
      <c r="F6377">
        <v>2</v>
      </c>
      <c r="G6377" t="s">
        <v>63</v>
      </c>
      <c r="H6377" t="s">
        <v>47</v>
      </c>
      <c r="I6377" t="s">
        <v>2195</v>
      </c>
      <c r="J6377" s="10">
        <v>3</v>
      </c>
      <c r="K6377" t="b">
        <v>1</v>
      </c>
    </row>
    <row r="6378" spans="1:11">
      <c r="A6378" s="12">
        <v>42438</v>
      </c>
      <c r="B6378">
        <v>2016</v>
      </c>
      <c r="C6378">
        <v>3</v>
      </c>
      <c r="D6378" s="11">
        <v>42430</v>
      </c>
      <c r="E6378" t="s">
        <v>2175</v>
      </c>
      <c r="F6378">
        <v>3</v>
      </c>
      <c r="G6378" t="s">
        <v>65</v>
      </c>
      <c r="H6378" t="s">
        <v>40</v>
      </c>
      <c r="I6378" t="s">
        <v>2188</v>
      </c>
      <c r="J6378" s="10">
        <v>4.34</v>
      </c>
      <c r="K6378" t="b">
        <v>1</v>
      </c>
    </row>
    <row r="6379" spans="1:11">
      <c r="A6379" s="12">
        <v>42438</v>
      </c>
      <c r="B6379">
        <v>2016</v>
      </c>
      <c r="C6379">
        <v>3</v>
      </c>
      <c r="D6379" s="11">
        <v>42430</v>
      </c>
      <c r="E6379" t="s">
        <v>2175</v>
      </c>
      <c r="F6379">
        <v>3</v>
      </c>
      <c r="G6379" t="s">
        <v>65</v>
      </c>
      <c r="H6379" t="s">
        <v>41</v>
      </c>
      <c r="I6379" t="s">
        <v>2189</v>
      </c>
      <c r="J6379" s="10">
        <v>5.67</v>
      </c>
      <c r="K6379" t="b">
        <v>1</v>
      </c>
    </row>
    <row r="6380" spans="1:11">
      <c r="A6380" s="12">
        <v>42438</v>
      </c>
      <c r="B6380">
        <v>2016</v>
      </c>
      <c r="C6380">
        <v>3</v>
      </c>
      <c r="D6380" s="11">
        <v>42430</v>
      </c>
      <c r="E6380" t="s">
        <v>2175</v>
      </c>
      <c r="F6380">
        <v>3</v>
      </c>
      <c r="G6380" t="s">
        <v>65</v>
      </c>
      <c r="H6380" t="s">
        <v>42</v>
      </c>
      <c r="I6380" t="s">
        <v>2190</v>
      </c>
      <c r="J6380" s="10">
        <v>7</v>
      </c>
      <c r="K6380" t="b">
        <v>1</v>
      </c>
    </row>
    <row r="6381" spans="1:11">
      <c r="A6381" s="12">
        <v>42438</v>
      </c>
      <c r="B6381">
        <v>2016</v>
      </c>
      <c r="C6381">
        <v>3</v>
      </c>
      <c r="D6381" s="11">
        <v>42430</v>
      </c>
      <c r="E6381" t="s">
        <v>2175</v>
      </c>
      <c r="F6381">
        <v>3</v>
      </c>
      <c r="G6381" t="s">
        <v>65</v>
      </c>
      <c r="H6381" t="s">
        <v>43</v>
      </c>
      <c r="I6381" t="s">
        <v>2191</v>
      </c>
      <c r="J6381" s="10">
        <v>21.8</v>
      </c>
      <c r="K6381" t="b">
        <v>1</v>
      </c>
    </row>
    <row r="6382" spans="1:11">
      <c r="A6382" s="12">
        <v>42438</v>
      </c>
      <c r="B6382">
        <v>2016</v>
      </c>
      <c r="C6382">
        <v>3</v>
      </c>
      <c r="D6382" s="11">
        <v>42430</v>
      </c>
      <c r="E6382" t="s">
        <v>2175</v>
      </c>
      <c r="F6382">
        <v>3</v>
      </c>
      <c r="G6382" t="s">
        <v>65</v>
      </c>
      <c r="H6382" t="s">
        <v>44</v>
      </c>
      <c r="I6382" t="s">
        <v>2192</v>
      </c>
      <c r="J6382" s="10">
        <v>7</v>
      </c>
      <c r="K6382" t="b">
        <v>1</v>
      </c>
    </row>
    <row r="6383" spans="1:11">
      <c r="A6383" s="12">
        <v>42438</v>
      </c>
      <c r="B6383">
        <v>2016</v>
      </c>
      <c r="C6383">
        <v>3</v>
      </c>
      <c r="D6383" s="11">
        <v>42430</v>
      </c>
      <c r="E6383" t="s">
        <v>2175</v>
      </c>
      <c r="F6383">
        <v>3</v>
      </c>
      <c r="G6383" t="s">
        <v>65</v>
      </c>
      <c r="H6383" t="s">
        <v>45</v>
      </c>
      <c r="I6383" t="s">
        <v>2193</v>
      </c>
      <c r="J6383" s="10">
        <v>1</v>
      </c>
      <c r="K6383" t="b">
        <v>1</v>
      </c>
    </row>
    <row r="6384" spans="1:11">
      <c r="A6384" s="12">
        <v>42438</v>
      </c>
      <c r="B6384">
        <v>2016</v>
      </c>
      <c r="C6384">
        <v>3</v>
      </c>
      <c r="D6384" s="11">
        <v>42430</v>
      </c>
      <c r="E6384" t="s">
        <v>2175</v>
      </c>
      <c r="F6384">
        <v>3</v>
      </c>
      <c r="G6384" t="s">
        <v>65</v>
      </c>
      <c r="H6384" t="s">
        <v>46</v>
      </c>
      <c r="I6384" t="s">
        <v>2194</v>
      </c>
      <c r="J6384" s="10">
        <v>6</v>
      </c>
      <c r="K6384" t="b">
        <v>1</v>
      </c>
    </row>
    <row r="6385" spans="1:11">
      <c r="A6385" s="12">
        <v>42438</v>
      </c>
      <c r="B6385">
        <v>2016</v>
      </c>
      <c r="C6385">
        <v>3</v>
      </c>
      <c r="D6385" s="11">
        <v>42430</v>
      </c>
      <c r="E6385" t="s">
        <v>2175</v>
      </c>
      <c r="F6385">
        <v>3</v>
      </c>
      <c r="G6385" t="s">
        <v>65</v>
      </c>
      <c r="H6385" t="s">
        <v>47</v>
      </c>
      <c r="I6385" t="s">
        <v>2195</v>
      </c>
      <c r="J6385" s="10">
        <v>4</v>
      </c>
      <c r="K6385" t="b">
        <v>1</v>
      </c>
    </row>
    <row r="6386" spans="1:11">
      <c r="A6386" s="12">
        <v>42439</v>
      </c>
      <c r="B6386">
        <v>2016</v>
      </c>
      <c r="C6386">
        <v>3</v>
      </c>
      <c r="D6386" s="11">
        <v>42430</v>
      </c>
      <c r="E6386" t="s">
        <v>2175</v>
      </c>
      <c r="F6386">
        <v>4</v>
      </c>
      <c r="G6386" t="s">
        <v>53</v>
      </c>
      <c r="H6386" t="s">
        <v>40</v>
      </c>
      <c r="I6386" t="s">
        <v>2188</v>
      </c>
      <c r="J6386" s="10">
        <v>6.33</v>
      </c>
      <c r="K6386" t="b">
        <v>1</v>
      </c>
    </row>
    <row r="6387" spans="1:11">
      <c r="A6387" s="12">
        <v>42439</v>
      </c>
      <c r="B6387">
        <v>2016</v>
      </c>
      <c r="C6387">
        <v>3</v>
      </c>
      <c r="D6387" s="11">
        <v>42430</v>
      </c>
      <c r="E6387" t="s">
        <v>2175</v>
      </c>
      <c r="F6387">
        <v>4</v>
      </c>
      <c r="G6387" t="s">
        <v>53</v>
      </c>
      <c r="H6387" t="s">
        <v>41</v>
      </c>
      <c r="I6387" t="s">
        <v>2189</v>
      </c>
      <c r="J6387" s="10">
        <v>10.33</v>
      </c>
      <c r="K6387" t="b">
        <v>1</v>
      </c>
    </row>
    <row r="6388" spans="1:11">
      <c r="A6388" s="12">
        <v>42439</v>
      </c>
      <c r="B6388">
        <v>2016</v>
      </c>
      <c r="C6388">
        <v>3</v>
      </c>
      <c r="D6388" s="11">
        <v>42430</v>
      </c>
      <c r="E6388" t="s">
        <v>2175</v>
      </c>
      <c r="F6388">
        <v>4</v>
      </c>
      <c r="G6388" t="s">
        <v>53</v>
      </c>
      <c r="H6388" t="s">
        <v>42</v>
      </c>
      <c r="I6388" t="s">
        <v>2190</v>
      </c>
      <c r="J6388" s="10">
        <v>2</v>
      </c>
      <c r="K6388" t="b">
        <v>1</v>
      </c>
    </row>
    <row r="6389" spans="1:11">
      <c r="A6389" s="12">
        <v>42439</v>
      </c>
      <c r="B6389">
        <v>2016</v>
      </c>
      <c r="C6389">
        <v>3</v>
      </c>
      <c r="D6389" s="11">
        <v>42430</v>
      </c>
      <c r="E6389" t="s">
        <v>2175</v>
      </c>
      <c r="F6389">
        <v>4</v>
      </c>
      <c r="G6389" t="s">
        <v>53</v>
      </c>
      <c r="H6389" t="s">
        <v>43</v>
      </c>
      <c r="I6389" t="s">
        <v>2191</v>
      </c>
      <c r="J6389" s="10">
        <v>23.4</v>
      </c>
      <c r="K6389" t="b">
        <v>1</v>
      </c>
    </row>
    <row r="6390" spans="1:11">
      <c r="A6390" s="12">
        <v>42439</v>
      </c>
      <c r="B6390">
        <v>2016</v>
      </c>
      <c r="C6390">
        <v>3</v>
      </c>
      <c r="D6390" s="11">
        <v>42430</v>
      </c>
      <c r="E6390" t="s">
        <v>2175</v>
      </c>
      <c r="F6390">
        <v>4</v>
      </c>
      <c r="G6390" t="s">
        <v>53</v>
      </c>
      <c r="H6390" t="s">
        <v>44</v>
      </c>
      <c r="I6390" t="s">
        <v>2192</v>
      </c>
      <c r="J6390" s="10">
        <v>8</v>
      </c>
      <c r="K6390" t="b">
        <v>1</v>
      </c>
    </row>
    <row r="6391" spans="1:11">
      <c r="A6391" s="12">
        <v>42439</v>
      </c>
      <c r="B6391">
        <v>2016</v>
      </c>
      <c r="C6391">
        <v>3</v>
      </c>
      <c r="D6391" s="11">
        <v>42430</v>
      </c>
      <c r="E6391" t="s">
        <v>2175</v>
      </c>
      <c r="F6391">
        <v>4</v>
      </c>
      <c r="G6391" t="s">
        <v>53</v>
      </c>
      <c r="H6391" t="s">
        <v>45</v>
      </c>
      <c r="I6391" t="s">
        <v>2193</v>
      </c>
      <c r="J6391" s="10">
        <v>0</v>
      </c>
      <c r="K6391" t="b">
        <v>1</v>
      </c>
    </row>
    <row r="6392" spans="1:11">
      <c r="A6392" s="12">
        <v>42439</v>
      </c>
      <c r="B6392">
        <v>2016</v>
      </c>
      <c r="C6392">
        <v>3</v>
      </c>
      <c r="D6392" s="11">
        <v>42430</v>
      </c>
      <c r="E6392" t="s">
        <v>2175</v>
      </c>
      <c r="F6392">
        <v>4</v>
      </c>
      <c r="G6392" t="s">
        <v>53</v>
      </c>
      <c r="H6392" t="s">
        <v>46</v>
      </c>
      <c r="I6392" t="s">
        <v>2194</v>
      </c>
      <c r="J6392" s="10">
        <v>2</v>
      </c>
      <c r="K6392" t="b">
        <v>1</v>
      </c>
    </row>
    <row r="6393" spans="1:11">
      <c r="A6393" s="12">
        <v>42439</v>
      </c>
      <c r="B6393">
        <v>2016</v>
      </c>
      <c r="C6393">
        <v>3</v>
      </c>
      <c r="D6393" s="11">
        <v>42430</v>
      </c>
      <c r="E6393" t="s">
        <v>2175</v>
      </c>
      <c r="F6393">
        <v>4</v>
      </c>
      <c r="G6393" t="s">
        <v>53</v>
      </c>
      <c r="H6393" t="s">
        <v>47</v>
      </c>
      <c r="I6393" t="s">
        <v>2195</v>
      </c>
      <c r="J6393" s="10">
        <v>2</v>
      </c>
      <c r="K6393" t="b">
        <v>1</v>
      </c>
    </row>
    <row r="6394" spans="1:11">
      <c r="A6394" s="12">
        <v>42440</v>
      </c>
      <c r="B6394">
        <v>2016</v>
      </c>
      <c r="C6394">
        <v>3</v>
      </c>
      <c r="D6394" s="11">
        <v>42430</v>
      </c>
      <c r="E6394" t="s">
        <v>2175</v>
      </c>
      <c r="F6394">
        <v>5</v>
      </c>
      <c r="G6394" t="s">
        <v>55</v>
      </c>
      <c r="H6394" t="s">
        <v>40</v>
      </c>
      <c r="I6394" t="s">
        <v>2188</v>
      </c>
      <c r="J6394" s="10">
        <v>3.33</v>
      </c>
      <c r="K6394" t="b">
        <v>1</v>
      </c>
    </row>
    <row r="6395" spans="1:11">
      <c r="A6395" s="12">
        <v>42440</v>
      </c>
      <c r="B6395">
        <v>2016</v>
      </c>
      <c r="C6395">
        <v>3</v>
      </c>
      <c r="D6395" s="11">
        <v>42430</v>
      </c>
      <c r="E6395" t="s">
        <v>2175</v>
      </c>
      <c r="F6395">
        <v>5</v>
      </c>
      <c r="G6395" t="s">
        <v>55</v>
      </c>
      <c r="H6395" t="s">
        <v>41</v>
      </c>
      <c r="I6395" t="s">
        <v>2189</v>
      </c>
      <c r="J6395" s="10">
        <v>4.363</v>
      </c>
      <c r="K6395" t="b">
        <v>1</v>
      </c>
    </row>
    <row r="6396" spans="1:11">
      <c r="A6396" s="12">
        <v>42440</v>
      </c>
      <c r="B6396">
        <v>2016</v>
      </c>
      <c r="C6396">
        <v>3</v>
      </c>
      <c r="D6396" s="11">
        <v>42430</v>
      </c>
      <c r="E6396" t="s">
        <v>2175</v>
      </c>
      <c r="F6396">
        <v>5</v>
      </c>
      <c r="G6396" t="s">
        <v>55</v>
      </c>
      <c r="H6396" t="s">
        <v>42</v>
      </c>
      <c r="I6396" t="s">
        <v>2190</v>
      </c>
      <c r="J6396" s="10">
        <v>6.2</v>
      </c>
      <c r="K6396" t="b">
        <v>1</v>
      </c>
    </row>
    <row r="6397" spans="1:11">
      <c r="A6397" s="12">
        <v>42440</v>
      </c>
      <c r="B6397">
        <v>2016</v>
      </c>
      <c r="C6397">
        <v>3</v>
      </c>
      <c r="D6397" s="11">
        <v>42430</v>
      </c>
      <c r="E6397" t="s">
        <v>2175</v>
      </c>
      <c r="F6397">
        <v>5</v>
      </c>
      <c r="G6397" t="s">
        <v>55</v>
      </c>
      <c r="H6397" t="s">
        <v>43</v>
      </c>
      <c r="I6397" t="s">
        <v>2191</v>
      </c>
      <c r="J6397" s="10">
        <v>22</v>
      </c>
      <c r="K6397" t="b">
        <v>1</v>
      </c>
    </row>
    <row r="6398" spans="1:11">
      <c r="A6398" s="12">
        <v>42440</v>
      </c>
      <c r="B6398">
        <v>2016</v>
      </c>
      <c r="C6398">
        <v>3</v>
      </c>
      <c r="D6398" s="11">
        <v>42430</v>
      </c>
      <c r="E6398" t="s">
        <v>2175</v>
      </c>
      <c r="F6398">
        <v>5</v>
      </c>
      <c r="G6398" t="s">
        <v>55</v>
      </c>
      <c r="H6398" t="s">
        <v>44</v>
      </c>
      <c r="I6398" t="s">
        <v>2192</v>
      </c>
      <c r="J6398" s="10">
        <v>8</v>
      </c>
      <c r="K6398" t="b">
        <v>1</v>
      </c>
    </row>
    <row r="6399" spans="1:11">
      <c r="A6399" s="12">
        <v>42440</v>
      </c>
      <c r="B6399">
        <v>2016</v>
      </c>
      <c r="C6399">
        <v>3</v>
      </c>
      <c r="D6399" s="11">
        <v>42430</v>
      </c>
      <c r="E6399" t="s">
        <v>2175</v>
      </c>
      <c r="F6399">
        <v>5</v>
      </c>
      <c r="G6399" t="s">
        <v>55</v>
      </c>
      <c r="H6399" t="s">
        <v>45</v>
      </c>
      <c r="I6399" t="s">
        <v>2193</v>
      </c>
      <c r="J6399" s="10">
        <v>0</v>
      </c>
      <c r="K6399" t="b">
        <v>1</v>
      </c>
    </row>
    <row r="6400" spans="1:11">
      <c r="A6400" s="12">
        <v>42440</v>
      </c>
      <c r="B6400">
        <v>2016</v>
      </c>
      <c r="C6400">
        <v>3</v>
      </c>
      <c r="D6400" s="11">
        <v>42430</v>
      </c>
      <c r="E6400" t="s">
        <v>2175</v>
      </c>
      <c r="F6400">
        <v>5</v>
      </c>
      <c r="G6400" t="s">
        <v>55</v>
      </c>
      <c r="H6400" t="s">
        <v>46</v>
      </c>
      <c r="I6400" t="s">
        <v>2194</v>
      </c>
      <c r="J6400" s="10">
        <v>18</v>
      </c>
      <c r="K6400" t="b">
        <v>1</v>
      </c>
    </row>
    <row r="6401" spans="1:11">
      <c r="A6401" s="12">
        <v>42440</v>
      </c>
      <c r="B6401">
        <v>2016</v>
      </c>
      <c r="C6401">
        <v>3</v>
      </c>
      <c r="D6401" s="11">
        <v>42430</v>
      </c>
      <c r="E6401" t="s">
        <v>2175</v>
      </c>
      <c r="F6401">
        <v>5</v>
      </c>
      <c r="G6401" t="s">
        <v>55</v>
      </c>
      <c r="H6401" t="s">
        <v>47</v>
      </c>
      <c r="I6401" t="s">
        <v>2195</v>
      </c>
      <c r="J6401" s="10">
        <v>1</v>
      </c>
      <c r="K6401" t="b">
        <v>1</v>
      </c>
    </row>
    <row r="6402" spans="1:11">
      <c r="A6402" s="12">
        <v>42441</v>
      </c>
      <c r="B6402">
        <v>2016</v>
      </c>
      <c r="C6402">
        <v>3</v>
      </c>
      <c r="D6402" s="11">
        <v>42430</v>
      </c>
      <c r="E6402" t="s">
        <v>2175</v>
      </c>
      <c r="F6402">
        <v>6</v>
      </c>
      <c r="G6402" t="s">
        <v>57</v>
      </c>
      <c r="H6402" t="s">
        <v>40</v>
      </c>
      <c r="I6402" t="s">
        <v>2188</v>
      </c>
      <c r="J6402" s="10">
        <v>3</v>
      </c>
      <c r="K6402" t="b">
        <v>1</v>
      </c>
    </row>
    <row r="6403" spans="1:11">
      <c r="A6403" s="12">
        <v>42441</v>
      </c>
      <c r="B6403">
        <v>2016</v>
      </c>
      <c r="C6403">
        <v>3</v>
      </c>
      <c r="D6403" s="11">
        <v>42430</v>
      </c>
      <c r="E6403" t="s">
        <v>2175</v>
      </c>
      <c r="F6403">
        <v>6</v>
      </c>
      <c r="G6403" t="s">
        <v>57</v>
      </c>
      <c r="H6403" t="s">
        <v>41</v>
      </c>
      <c r="I6403" t="s">
        <v>2189</v>
      </c>
      <c r="J6403" s="10">
        <v>6.373</v>
      </c>
      <c r="K6403" t="b">
        <v>1</v>
      </c>
    </row>
    <row r="6404" spans="1:11">
      <c r="A6404" s="12">
        <v>42441</v>
      </c>
      <c r="B6404">
        <v>2016</v>
      </c>
      <c r="C6404">
        <v>3</v>
      </c>
      <c r="D6404" s="11">
        <v>42430</v>
      </c>
      <c r="E6404" t="s">
        <v>2175</v>
      </c>
      <c r="F6404">
        <v>6</v>
      </c>
      <c r="G6404" t="s">
        <v>57</v>
      </c>
      <c r="H6404" t="s">
        <v>42</v>
      </c>
      <c r="I6404" t="s">
        <v>2190</v>
      </c>
      <c r="J6404" s="10">
        <v>1.4</v>
      </c>
      <c r="K6404" t="b">
        <v>1</v>
      </c>
    </row>
    <row r="6405" spans="1:11">
      <c r="A6405" s="12">
        <v>42441</v>
      </c>
      <c r="B6405">
        <v>2016</v>
      </c>
      <c r="C6405">
        <v>3</v>
      </c>
      <c r="D6405" s="11">
        <v>42430</v>
      </c>
      <c r="E6405" t="s">
        <v>2175</v>
      </c>
      <c r="F6405">
        <v>6</v>
      </c>
      <c r="G6405" t="s">
        <v>57</v>
      </c>
      <c r="H6405" t="s">
        <v>43</v>
      </c>
      <c r="I6405" t="s">
        <v>2191</v>
      </c>
      <c r="J6405" s="10">
        <v>41.8</v>
      </c>
      <c r="K6405" t="b">
        <v>1</v>
      </c>
    </row>
    <row r="6406" spans="1:11">
      <c r="A6406" s="12">
        <v>42441</v>
      </c>
      <c r="B6406">
        <v>2016</v>
      </c>
      <c r="C6406">
        <v>3</v>
      </c>
      <c r="D6406" s="11">
        <v>42430</v>
      </c>
      <c r="E6406" t="s">
        <v>2175</v>
      </c>
      <c r="F6406">
        <v>6</v>
      </c>
      <c r="G6406" t="s">
        <v>57</v>
      </c>
      <c r="H6406" t="s">
        <v>44</v>
      </c>
      <c r="I6406" t="s">
        <v>2192</v>
      </c>
      <c r="J6406" s="10">
        <v>4</v>
      </c>
      <c r="K6406" t="b">
        <v>1</v>
      </c>
    </row>
    <row r="6407" spans="1:11">
      <c r="A6407" s="12">
        <v>42441</v>
      </c>
      <c r="B6407">
        <v>2016</v>
      </c>
      <c r="C6407">
        <v>3</v>
      </c>
      <c r="D6407" s="11">
        <v>42430</v>
      </c>
      <c r="E6407" t="s">
        <v>2175</v>
      </c>
      <c r="F6407">
        <v>6</v>
      </c>
      <c r="G6407" t="s">
        <v>57</v>
      </c>
      <c r="H6407" t="s">
        <v>45</v>
      </c>
      <c r="I6407" t="s">
        <v>2193</v>
      </c>
      <c r="J6407" s="10">
        <v>0</v>
      </c>
      <c r="K6407" t="b">
        <v>1</v>
      </c>
    </row>
    <row r="6408" spans="1:11">
      <c r="A6408" s="12">
        <v>42441</v>
      </c>
      <c r="B6408">
        <v>2016</v>
      </c>
      <c r="C6408">
        <v>3</v>
      </c>
      <c r="D6408" s="11">
        <v>42430</v>
      </c>
      <c r="E6408" t="s">
        <v>2175</v>
      </c>
      <c r="F6408">
        <v>6</v>
      </c>
      <c r="G6408" t="s">
        <v>57</v>
      </c>
      <c r="H6408" t="s">
        <v>46</v>
      </c>
      <c r="I6408" t="s">
        <v>2194</v>
      </c>
      <c r="J6408" s="10">
        <v>23</v>
      </c>
      <c r="K6408" t="b">
        <v>1</v>
      </c>
    </row>
    <row r="6409" spans="1:11">
      <c r="A6409" s="12">
        <v>42441</v>
      </c>
      <c r="B6409">
        <v>2016</v>
      </c>
      <c r="C6409">
        <v>3</v>
      </c>
      <c r="D6409" s="11">
        <v>42430</v>
      </c>
      <c r="E6409" t="s">
        <v>2175</v>
      </c>
      <c r="F6409">
        <v>6</v>
      </c>
      <c r="G6409" t="s">
        <v>57</v>
      </c>
      <c r="H6409" t="s">
        <v>47</v>
      </c>
      <c r="I6409" t="s">
        <v>2195</v>
      </c>
      <c r="J6409" s="10">
        <v>1</v>
      </c>
      <c r="K6409" t="b">
        <v>1</v>
      </c>
    </row>
    <row r="6410" spans="1:11">
      <c r="A6410" s="12">
        <v>42442</v>
      </c>
      <c r="B6410">
        <v>2016</v>
      </c>
      <c r="C6410">
        <v>3</v>
      </c>
      <c r="D6410" s="11">
        <v>42430</v>
      </c>
      <c r="E6410" t="s">
        <v>2175</v>
      </c>
      <c r="F6410">
        <v>7</v>
      </c>
      <c r="G6410" t="s">
        <v>59</v>
      </c>
      <c r="H6410" t="s">
        <v>40</v>
      </c>
      <c r="I6410" t="s">
        <v>2188</v>
      </c>
      <c r="J6410" s="10">
        <v>2.5</v>
      </c>
      <c r="K6410" t="b">
        <v>1</v>
      </c>
    </row>
    <row r="6411" spans="1:11">
      <c r="A6411" s="12">
        <v>42442</v>
      </c>
      <c r="B6411">
        <v>2016</v>
      </c>
      <c r="C6411">
        <v>3</v>
      </c>
      <c r="D6411" s="11">
        <v>42430</v>
      </c>
      <c r="E6411" t="s">
        <v>2175</v>
      </c>
      <c r="F6411">
        <v>7</v>
      </c>
      <c r="G6411" t="s">
        <v>59</v>
      </c>
      <c r="H6411" t="s">
        <v>41</v>
      </c>
      <c r="I6411" t="s">
        <v>2189</v>
      </c>
      <c r="J6411" s="10">
        <v>4.134</v>
      </c>
      <c r="K6411" t="b">
        <v>1</v>
      </c>
    </row>
    <row r="6412" spans="1:11">
      <c r="A6412" s="12">
        <v>42442</v>
      </c>
      <c r="B6412">
        <v>2016</v>
      </c>
      <c r="C6412">
        <v>3</v>
      </c>
      <c r="D6412" s="11">
        <v>42430</v>
      </c>
      <c r="E6412" t="s">
        <v>2175</v>
      </c>
      <c r="F6412">
        <v>7</v>
      </c>
      <c r="G6412" t="s">
        <v>59</v>
      </c>
      <c r="H6412" t="s">
        <v>42</v>
      </c>
      <c r="I6412" t="s">
        <v>2190</v>
      </c>
      <c r="J6412" s="10">
        <v>1.5</v>
      </c>
      <c r="K6412" t="b">
        <v>1</v>
      </c>
    </row>
    <row r="6413" spans="1:11">
      <c r="A6413" s="12">
        <v>42442</v>
      </c>
      <c r="B6413">
        <v>2016</v>
      </c>
      <c r="C6413">
        <v>3</v>
      </c>
      <c r="D6413" s="11">
        <v>42430</v>
      </c>
      <c r="E6413" t="s">
        <v>2175</v>
      </c>
      <c r="F6413">
        <v>7</v>
      </c>
      <c r="G6413" t="s">
        <v>59</v>
      </c>
      <c r="H6413" t="s">
        <v>43</v>
      </c>
      <c r="I6413" t="s">
        <v>2191</v>
      </c>
      <c r="J6413" s="10">
        <v>59.2</v>
      </c>
      <c r="K6413" t="b">
        <v>1</v>
      </c>
    </row>
    <row r="6414" spans="1:11">
      <c r="A6414" s="12">
        <v>42442</v>
      </c>
      <c r="B6414">
        <v>2016</v>
      </c>
      <c r="C6414">
        <v>3</v>
      </c>
      <c r="D6414" s="11">
        <v>42430</v>
      </c>
      <c r="E6414" t="s">
        <v>2175</v>
      </c>
      <c r="F6414">
        <v>7</v>
      </c>
      <c r="G6414" t="s">
        <v>59</v>
      </c>
      <c r="H6414" t="s">
        <v>44</v>
      </c>
      <c r="I6414" t="s">
        <v>2192</v>
      </c>
      <c r="J6414" s="10">
        <v>4</v>
      </c>
      <c r="K6414" t="b">
        <v>1</v>
      </c>
    </row>
    <row r="6415" spans="1:11">
      <c r="A6415" s="12">
        <v>42442</v>
      </c>
      <c r="B6415">
        <v>2016</v>
      </c>
      <c r="C6415">
        <v>3</v>
      </c>
      <c r="D6415" s="11">
        <v>42430</v>
      </c>
      <c r="E6415" t="s">
        <v>2175</v>
      </c>
      <c r="F6415">
        <v>7</v>
      </c>
      <c r="G6415" t="s">
        <v>59</v>
      </c>
      <c r="H6415" t="s">
        <v>45</v>
      </c>
      <c r="I6415" t="s">
        <v>2193</v>
      </c>
      <c r="J6415" s="10">
        <v>0</v>
      </c>
      <c r="K6415" t="b">
        <v>1</v>
      </c>
    </row>
    <row r="6416" spans="1:11">
      <c r="A6416" s="12">
        <v>42442</v>
      </c>
      <c r="B6416">
        <v>2016</v>
      </c>
      <c r="C6416">
        <v>3</v>
      </c>
      <c r="D6416" s="11">
        <v>42430</v>
      </c>
      <c r="E6416" t="s">
        <v>2175</v>
      </c>
      <c r="F6416">
        <v>7</v>
      </c>
      <c r="G6416" t="s">
        <v>59</v>
      </c>
      <c r="H6416" t="s">
        <v>46</v>
      </c>
      <c r="I6416" t="s">
        <v>2194</v>
      </c>
      <c r="J6416" s="10">
        <v>4</v>
      </c>
      <c r="K6416" t="b">
        <v>1</v>
      </c>
    </row>
    <row r="6417" spans="1:11">
      <c r="A6417" s="12">
        <v>42442</v>
      </c>
      <c r="B6417">
        <v>2016</v>
      </c>
      <c r="C6417">
        <v>3</v>
      </c>
      <c r="D6417" s="11">
        <v>42430</v>
      </c>
      <c r="E6417" t="s">
        <v>2175</v>
      </c>
      <c r="F6417">
        <v>7</v>
      </c>
      <c r="G6417" t="s">
        <v>59</v>
      </c>
      <c r="H6417" t="s">
        <v>47</v>
      </c>
      <c r="I6417" t="s">
        <v>2195</v>
      </c>
      <c r="J6417" s="10">
        <v>0.34</v>
      </c>
      <c r="K6417" t="b">
        <v>1</v>
      </c>
    </row>
    <row r="6418" spans="1:11">
      <c r="A6418" s="12">
        <v>42443</v>
      </c>
      <c r="B6418">
        <v>2016</v>
      </c>
      <c r="C6418">
        <v>3</v>
      </c>
      <c r="D6418" s="11">
        <v>42430</v>
      </c>
      <c r="E6418" t="s">
        <v>2175</v>
      </c>
      <c r="F6418">
        <v>1</v>
      </c>
      <c r="G6418" t="s">
        <v>61</v>
      </c>
      <c r="H6418" t="s">
        <v>40</v>
      </c>
      <c r="I6418" t="s">
        <v>2188</v>
      </c>
      <c r="J6418" s="10">
        <v>4.33</v>
      </c>
      <c r="K6418" t="b">
        <v>1</v>
      </c>
    </row>
    <row r="6419" spans="1:11">
      <c r="A6419" s="12">
        <v>42443</v>
      </c>
      <c r="B6419">
        <v>2016</v>
      </c>
      <c r="C6419">
        <v>3</v>
      </c>
      <c r="D6419" s="11">
        <v>42430</v>
      </c>
      <c r="E6419" t="s">
        <v>2175</v>
      </c>
      <c r="F6419">
        <v>1</v>
      </c>
      <c r="G6419" t="s">
        <v>61</v>
      </c>
      <c r="H6419" t="s">
        <v>41</v>
      </c>
      <c r="I6419" t="s">
        <v>2189</v>
      </c>
      <c r="J6419" s="10">
        <v>3.32</v>
      </c>
      <c r="K6419" t="b">
        <v>1</v>
      </c>
    </row>
    <row r="6420" spans="1:11">
      <c r="A6420" s="12">
        <v>42443</v>
      </c>
      <c r="B6420">
        <v>2016</v>
      </c>
      <c r="C6420">
        <v>3</v>
      </c>
      <c r="D6420" s="11">
        <v>42430</v>
      </c>
      <c r="E6420" t="s">
        <v>2175</v>
      </c>
      <c r="F6420">
        <v>1</v>
      </c>
      <c r="G6420" t="s">
        <v>61</v>
      </c>
      <c r="H6420" t="s">
        <v>42</v>
      </c>
      <c r="I6420" t="s">
        <v>2190</v>
      </c>
      <c r="J6420" s="10">
        <v>10</v>
      </c>
      <c r="K6420" t="b">
        <v>1</v>
      </c>
    </row>
    <row r="6421" spans="1:11">
      <c r="A6421" s="12">
        <v>42443</v>
      </c>
      <c r="B6421">
        <v>2016</v>
      </c>
      <c r="C6421">
        <v>3</v>
      </c>
      <c r="D6421" s="11">
        <v>42430</v>
      </c>
      <c r="E6421" t="s">
        <v>2175</v>
      </c>
      <c r="F6421">
        <v>1</v>
      </c>
      <c r="G6421" t="s">
        <v>61</v>
      </c>
      <c r="H6421" t="s">
        <v>43</v>
      </c>
      <c r="I6421" t="s">
        <v>2191</v>
      </c>
      <c r="J6421" s="10">
        <v>35.9</v>
      </c>
      <c r="K6421" t="b">
        <v>1</v>
      </c>
    </row>
    <row r="6422" spans="1:11">
      <c r="A6422" s="12">
        <v>42443</v>
      </c>
      <c r="B6422">
        <v>2016</v>
      </c>
      <c r="C6422">
        <v>3</v>
      </c>
      <c r="D6422" s="11">
        <v>42430</v>
      </c>
      <c r="E6422" t="s">
        <v>2175</v>
      </c>
      <c r="F6422">
        <v>1</v>
      </c>
      <c r="G6422" t="s">
        <v>61</v>
      </c>
      <c r="H6422" t="s">
        <v>44</v>
      </c>
      <c r="I6422" t="s">
        <v>2192</v>
      </c>
      <c r="J6422" s="10">
        <v>12</v>
      </c>
      <c r="K6422" t="b">
        <v>1</v>
      </c>
    </row>
    <row r="6423" spans="1:11">
      <c r="A6423" s="12">
        <v>42443</v>
      </c>
      <c r="B6423">
        <v>2016</v>
      </c>
      <c r="C6423">
        <v>3</v>
      </c>
      <c r="D6423" s="11">
        <v>42430</v>
      </c>
      <c r="E6423" t="s">
        <v>2175</v>
      </c>
      <c r="F6423">
        <v>1</v>
      </c>
      <c r="G6423" t="s">
        <v>61</v>
      </c>
      <c r="H6423" t="s">
        <v>45</v>
      </c>
      <c r="I6423" t="s">
        <v>2193</v>
      </c>
      <c r="J6423" s="10">
        <v>0</v>
      </c>
      <c r="K6423" t="b">
        <v>1</v>
      </c>
    </row>
    <row r="6424" spans="1:11">
      <c r="A6424" s="12">
        <v>42443</v>
      </c>
      <c r="B6424">
        <v>2016</v>
      </c>
      <c r="C6424">
        <v>3</v>
      </c>
      <c r="D6424" s="11">
        <v>42430</v>
      </c>
      <c r="E6424" t="s">
        <v>2175</v>
      </c>
      <c r="F6424">
        <v>1</v>
      </c>
      <c r="G6424" t="s">
        <v>61</v>
      </c>
      <c r="H6424" t="s">
        <v>46</v>
      </c>
      <c r="I6424" t="s">
        <v>2194</v>
      </c>
      <c r="J6424" s="10">
        <v>23</v>
      </c>
      <c r="K6424" t="b">
        <v>1</v>
      </c>
    </row>
    <row r="6425" spans="1:11">
      <c r="A6425" s="12">
        <v>42443</v>
      </c>
      <c r="B6425">
        <v>2016</v>
      </c>
      <c r="C6425">
        <v>3</v>
      </c>
      <c r="D6425" s="11">
        <v>42430</v>
      </c>
      <c r="E6425" t="s">
        <v>2175</v>
      </c>
      <c r="F6425">
        <v>1</v>
      </c>
      <c r="G6425" t="s">
        <v>61</v>
      </c>
      <c r="H6425" t="s">
        <v>47</v>
      </c>
      <c r="I6425" t="s">
        <v>2195</v>
      </c>
      <c r="J6425" s="10">
        <v>1</v>
      </c>
      <c r="K6425" t="b">
        <v>1</v>
      </c>
    </row>
    <row r="6426" spans="1:11">
      <c r="A6426" s="12">
        <v>42444</v>
      </c>
      <c r="B6426">
        <v>2016</v>
      </c>
      <c r="C6426">
        <v>3</v>
      </c>
      <c r="D6426" s="11">
        <v>42430</v>
      </c>
      <c r="E6426" t="s">
        <v>2175</v>
      </c>
      <c r="F6426">
        <v>2</v>
      </c>
      <c r="G6426" t="s">
        <v>63</v>
      </c>
      <c r="H6426" t="s">
        <v>40</v>
      </c>
      <c r="I6426" t="s">
        <v>2188</v>
      </c>
      <c r="J6426" s="10">
        <v>5.33</v>
      </c>
      <c r="K6426" t="b">
        <v>1</v>
      </c>
    </row>
    <row r="6427" spans="1:11">
      <c r="A6427" s="12">
        <v>42444</v>
      </c>
      <c r="B6427">
        <v>2016</v>
      </c>
      <c r="C6427">
        <v>3</v>
      </c>
      <c r="D6427" s="11">
        <v>42430</v>
      </c>
      <c r="E6427" t="s">
        <v>2175</v>
      </c>
      <c r="F6427">
        <v>2</v>
      </c>
      <c r="G6427" t="s">
        <v>63</v>
      </c>
      <c r="H6427" t="s">
        <v>41</v>
      </c>
      <c r="I6427" t="s">
        <v>2189</v>
      </c>
      <c r="J6427" s="10">
        <v>3.32</v>
      </c>
      <c r="K6427" t="b">
        <v>1</v>
      </c>
    </row>
    <row r="6428" spans="1:11">
      <c r="A6428" s="12">
        <v>42444</v>
      </c>
      <c r="B6428">
        <v>2016</v>
      </c>
      <c r="C6428">
        <v>3</v>
      </c>
      <c r="D6428" s="11">
        <v>42430</v>
      </c>
      <c r="E6428" t="s">
        <v>2175</v>
      </c>
      <c r="F6428">
        <v>2</v>
      </c>
      <c r="G6428" t="s">
        <v>63</v>
      </c>
      <c r="H6428" t="s">
        <v>42</v>
      </c>
      <c r="I6428" t="s">
        <v>2190</v>
      </c>
      <c r="J6428" s="10">
        <v>2</v>
      </c>
      <c r="K6428" t="b">
        <v>1</v>
      </c>
    </row>
    <row r="6429" spans="1:11">
      <c r="A6429" s="12">
        <v>42444</v>
      </c>
      <c r="B6429">
        <v>2016</v>
      </c>
      <c r="C6429">
        <v>3</v>
      </c>
      <c r="D6429" s="11">
        <v>42430</v>
      </c>
      <c r="E6429" t="s">
        <v>2175</v>
      </c>
      <c r="F6429">
        <v>2</v>
      </c>
      <c r="G6429" t="s">
        <v>63</v>
      </c>
      <c r="H6429" t="s">
        <v>43</v>
      </c>
      <c r="I6429" t="s">
        <v>2191</v>
      </c>
      <c r="J6429" s="10">
        <v>24</v>
      </c>
      <c r="K6429" t="b">
        <v>1</v>
      </c>
    </row>
    <row r="6430" spans="1:11">
      <c r="A6430" s="12">
        <v>42444</v>
      </c>
      <c r="B6430">
        <v>2016</v>
      </c>
      <c r="C6430">
        <v>3</v>
      </c>
      <c r="D6430" s="11">
        <v>42430</v>
      </c>
      <c r="E6430" t="s">
        <v>2175</v>
      </c>
      <c r="F6430">
        <v>2</v>
      </c>
      <c r="G6430" t="s">
        <v>63</v>
      </c>
      <c r="H6430" t="s">
        <v>44</v>
      </c>
      <c r="I6430" t="s">
        <v>2192</v>
      </c>
      <c r="J6430" s="10">
        <v>7</v>
      </c>
      <c r="K6430" t="b">
        <v>1</v>
      </c>
    </row>
    <row r="6431" spans="1:11">
      <c r="A6431" s="12">
        <v>42444</v>
      </c>
      <c r="B6431">
        <v>2016</v>
      </c>
      <c r="C6431">
        <v>3</v>
      </c>
      <c r="D6431" s="11">
        <v>42430</v>
      </c>
      <c r="E6431" t="s">
        <v>2175</v>
      </c>
      <c r="F6431">
        <v>2</v>
      </c>
      <c r="G6431" t="s">
        <v>63</v>
      </c>
      <c r="H6431" t="s">
        <v>45</v>
      </c>
      <c r="I6431" t="s">
        <v>2193</v>
      </c>
      <c r="J6431" s="10">
        <v>0</v>
      </c>
      <c r="K6431" t="b">
        <v>1</v>
      </c>
    </row>
    <row r="6432" spans="1:11">
      <c r="A6432" s="12">
        <v>42444</v>
      </c>
      <c r="B6432">
        <v>2016</v>
      </c>
      <c r="C6432">
        <v>3</v>
      </c>
      <c r="D6432" s="11">
        <v>42430</v>
      </c>
      <c r="E6432" t="s">
        <v>2175</v>
      </c>
      <c r="F6432">
        <v>2</v>
      </c>
      <c r="G6432" t="s">
        <v>63</v>
      </c>
      <c r="H6432" t="s">
        <v>46</v>
      </c>
      <c r="I6432" t="s">
        <v>2194</v>
      </c>
      <c r="J6432" s="10">
        <v>18</v>
      </c>
      <c r="K6432" t="b">
        <v>1</v>
      </c>
    </row>
    <row r="6433" spans="1:11">
      <c r="A6433" s="12">
        <v>42444</v>
      </c>
      <c r="B6433">
        <v>2016</v>
      </c>
      <c r="C6433">
        <v>3</v>
      </c>
      <c r="D6433" s="11">
        <v>42430</v>
      </c>
      <c r="E6433" t="s">
        <v>2175</v>
      </c>
      <c r="F6433">
        <v>2</v>
      </c>
      <c r="G6433" t="s">
        <v>63</v>
      </c>
      <c r="H6433" t="s">
        <v>47</v>
      </c>
      <c r="I6433" t="s">
        <v>2195</v>
      </c>
      <c r="J6433" s="10">
        <v>3</v>
      </c>
      <c r="K6433" t="b">
        <v>1</v>
      </c>
    </row>
    <row r="6434" spans="1:11">
      <c r="A6434" s="12">
        <v>42445</v>
      </c>
      <c r="B6434">
        <v>2016</v>
      </c>
      <c r="C6434">
        <v>3</v>
      </c>
      <c r="D6434" s="11">
        <v>42430</v>
      </c>
      <c r="E6434" t="s">
        <v>2175</v>
      </c>
      <c r="F6434">
        <v>3</v>
      </c>
      <c r="G6434" t="s">
        <v>65</v>
      </c>
      <c r="H6434" t="s">
        <v>40</v>
      </c>
      <c r="I6434" t="s">
        <v>2188</v>
      </c>
      <c r="J6434" s="10">
        <v>5.33</v>
      </c>
      <c r="K6434" t="b">
        <v>1</v>
      </c>
    </row>
    <row r="6435" spans="1:11">
      <c r="A6435" s="12">
        <v>42445</v>
      </c>
      <c r="B6435">
        <v>2016</v>
      </c>
      <c r="C6435">
        <v>3</v>
      </c>
      <c r="D6435" s="11">
        <v>42430</v>
      </c>
      <c r="E6435" t="s">
        <v>2175</v>
      </c>
      <c r="F6435">
        <v>3</v>
      </c>
      <c r="G6435" t="s">
        <v>65</v>
      </c>
      <c r="H6435" t="s">
        <v>41</v>
      </c>
      <c r="I6435" t="s">
        <v>2189</v>
      </c>
      <c r="J6435" s="10">
        <v>13.34</v>
      </c>
      <c r="K6435" t="b">
        <v>1</v>
      </c>
    </row>
    <row r="6436" spans="1:11">
      <c r="A6436" s="12">
        <v>42445</v>
      </c>
      <c r="B6436">
        <v>2016</v>
      </c>
      <c r="C6436">
        <v>3</v>
      </c>
      <c r="D6436" s="11">
        <v>42430</v>
      </c>
      <c r="E6436" t="s">
        <v>2175</v>
      </c>
      <c r="F6436">
        <v>3</v>
      </c>
      <c r="G6436" t="s">
        <v>65</v>
      </c>
      <c r="H6436" t="s">
        <v>42</v>
      </c>
      <c r="I6436" t="s">
        <v>2190</v>
      </c>
      <c r="J6436" s="10">
        <v>5.7</v>
      </c>
      <c r="K6436" t="b">
        <v>1</v>
      </c>
    </row>
    <row r="6437" spans="1:11">
      <c r="A6437" s="12">
        <v>42445</v>
      </c>
      <c r="B6437">
        <v>2016</v>
      </c>
      <c r="C6437">
        <v>3</v>
      </c>
      <c r="D6437" s="11">
        <v>42430</v>
      </c>
      <c r="E6437" t="s">
        <v>2175</v>
      </c>
      <c r="F6437">
        <v>3</v>
      </c>
      <c r="G6437" t="s">
        <v>65</v>
      </c>
      <c r="H6437" t="s">
        <v>43</v>
      </c>
      <c r="I6437" t="s">
        <v>2191</v>
      </c>
      <c r="J6437" s="10">
        <v>37.4</v>
      </c>
      <c r="K6437" t="b">
        <v>1</v>
      </c>
    </row>
    <row r="6438" spans="1:11">
      <c r="A6438" s="12">
        <v>42445</v>
      </c>
      <c r="B6438">
        <v>2016</v>
      </c>
      <c r="C6438">
        <v>3</v>
      </c>
      <c r="D6438" s="11">
        <v>42430</v>
      </c>
      <c r="E6438" t="s">
        <v>2175</v>
      </c>
      <c r="F6438">
        <v>3</v>
      </c>
      <c r="G6438" t="s">
        <v>65</v>
      </c>
      <c r="H6438" t="s">
        <v>44</v>
      </c>
      <c r="I6438" t="s">
        <v>2192</v>
      </c>
      <c r="J6438" s="10">
        <v>16</v>
      </c>
      <c r="K6438" t="b">
        <v>1</v>
      </c>
    </row>
    <row r="6439" spans="1:11">
      <c r="A6439" s="12">
        <v>42445</v>
      </c>
      <c r="B6439">
        <v>2016</v>
      </c>
      <c r="C6439">
        <v>3</v>
      </c>
      <c r="D6439" s="11">
        <v>42430</v>
      </c>
      <c r="E6439" t="s">
        <v>2175</v>
      </c>
      <c r="F6439">
        <v>3</v>
      </c>
      <c r="G6439" t="s">
        <v>65</v>
      </c>
      <c r="H6439" t="s">
        <v>45</v>
      </c>
      <c r="I6439" t="s">
        <v>2193</v>
      </c>
      <c r="J6439" s="10">
        <v>0</v>
      </c>
      <c r="K6439" t="b">
        <v>1</v>
      </c>
    </row>
    <row r="6440" spans="1:11">
      <c r="A6440" s="12">
        <v>42445</v>
      </c>
      <c r="B6440">
        <v>2016</v>
      </c>
      <c r="C6440">
        <v>3</v>
      </c>
      <c r="D6440" s="11">
        <v>42430</v>
      </c>
      <c r="E6440" t="s">
        <v>2175</v>
      </c>
      <c r="F6440">
        <v>3</v>
      </c>
      <c r="G6440" t="s">
        <v>65</v>
      </c>
      <c r="H6440" t="s">
        <v>46</v>
      </c>
      <c r="I6440" t="s">
        <v>2194</v>
      </c>
      <c r="J6440" s="10">
        <v>4</v>
      </c>
      <c r="K6440" t="b">
        <v>1</v>
      </c>
    </row>
    <row r="6441" spans="1:11">
      <c r="A6441" s="12">
        <v>42445</v>
      </c>
      <c r="B6441">
        <v>2016</v>
      </c>
      <c r="C6441">
        <v>3</v>
      </c>
      <c r="D6441" s="11">
        <v>42430</v>
      </c>
      <c r="E6441" t="s">
        <v>2175</v>
      </c>
      <c r="F6441">
        <v>3</v>
      </c>
      <c r="G6441" t="s">
        <v>65</v>
      </c>
      <c r="H6441" t="s">
        <v>47</v>
      </c>
      <c r="I6441" t="s">
        <v>2195</v>
      </c>
      <c r="J6441" s="10">
        <v>4</v>
      </c>
      <c r="K6441" t="b">
        <v>1</v>
      </c>
    </row>
    <row r="6442" spans="1:11">
      <c r="A6442" s="12">
        <v>42446</v>
      </c>
      <c r="B6442">
        <v>2016</v>
      </c>
      <c r="C6442">
        <v>3</v>
      </c>
      <c r="D6442" s="11">
        <v>42430</v>
      </c>
      <c r="E6442" t="s">
        <v>2175</v>
      </c>
      <c r="F6442">
        <v>4</v>
      </c>
      <c r="G6442" t="s">
        <v>53</v>
      </c>
      <c r="H6442" t="s">
        <v>40</v>
      </c>
      <c r="I6442" t="s">
        <v>2188</v>
      </c>
      <c r="J6442" s="10">
        <v>5.66</v>
      </c>
      <c r="K6442" t="b">
        <v>1</v>
      </c>
    </row>
    <row r="6443" spans="1:11">
      <c r="A6443" s="12">
        <v>42446</v>
      </c>
      <c r="B6443">
        <v>2016</v>
      </c>
      <c r="C6443">
        <v>3</v>
      </c>
      <c r="D6443" s="11">
        <v>42430</v>
      </c>
      <c r="E6443" t="s">
        <v>2175</v>
      </c>
      <c r="F6443">
        <v>4</v>
      </c>
      <c r="G6443" t="s">
        <v>53</v>
      </c>
      <c r="H6443" t="s">
        <v>41</v>
      </c>
      <c r="I6443" t="s">
        <v>2189</v>
      </c>
      <c r="J6443" s="10">
        <v>5.396</v>
      </c>
      <c r="K6443" t="b">
        <v>1</v>
      </c>
    </row>
    <row r="6444" spans="1:11">
      <c r="A6444" s="12">
        <v>42446</v>
      </c>
      <c r="B6444">
        <v>2016</v>
      </c>
      <c r="C6444">
        <v>3</v>
      </c>
      <c r="D6444" s="11">
        <v>42430</v>
      </c>
      <c r="E6444" t="s">
        <v>2175</v>
      </c>
      <c r="F6444">
        <v>4</v>
      </c>
      <c r="G6444" t="s">
        <v>53</v>
      </c>
      <c r="H6444" t="s">
        <v>42</v>
      </c>
      <c r="I6444" t="s">
        <v>2190</v>
      </c>
      <c r="J6444" s="10">
        <v>5</v>
      </c>
      <c r="K6444" t="b">
        <v>1</v>
      </c>
    </row>
    <row r="6445" spans="1:11">
      <c r="A6445" s="12">
        <v>42446</v>
      </c>
      <c r="B6445">
        <v>2016</v>
      </c>
      <c r="C6445">
        <v>3</v>
      </c>
      <c r="D6445" s="11">
        <v>42430</v>
      </c>
      <c r="E6445" t="s">
        <v>2175</v>
      </c>
      <c r="F6445">
        <v>4</v>
      </c>
      <c r="G6445" t="s">
        <v>53</v>
      </c>
      <c r="H6445" t="s">
        <v>43</v>
      </c>
      <c r="I6445" t="s">
        <v>2191</v>
      </c>
      <c r="J6445" s="10">
        <v>60.2</v>
      </c>
      <c r="K6445" t="b">
        <v>1</v>
      </c>
    </row>
    <row r="6446" spans="1:11">
      <c r="A6446" s="12">
        <v>42446</v>
      </c>
      <c r="B6446">
        <v>2016</v>
      </c>
      <c r="C6446">
        <v>3</v>
      </c>
      <c r="D6446" s="11">
        <v>42430</v>
      </c>
      <c r="E6446" t="s">
        <v>2175</v>
      </c>
      <c r="F6446">
        <v>4</v>
      </c>
      <c r="G6446" t="s">
        <v>53</v>
      </c>
      <c r="H6446" t="s">
        <v>44</v>
      </c>
      <c r="I6446" t="s">
        <v>2192</v>
      </c>
      <c r="J6446" s="10">
        <v>10</v>
      </c>
      <c r="K6446" t="b">
        <v>1</v>
      </c>
    </row>
    <row r="6447" spans="1:11">
      <c r="A6447" s="12">
        <v>42446</v>
      </c>
      <c r="B6447">
        <v>2016</v>
      </c>
      <c r="C6447">
        <v>3</v>
      </c>
      <c r="D6447" s="11">
        <v>42430</v>
      </c>
      <c r="E6447" t="s">
        <v>2175</v>
      </c>
      <c r="F6447">
        <v>4</v>
      </c>
      <c r="G6447" t="s">
        <v>53</v>
      </c>
      <c r="H6447" t="s">
        <v>45</v>
      </c>
      <c r="I6447" t="s">
        <v>2193</v>
      </c>
      <c r="J6447" s="10">
        <v>0</v>
      </c>
      <c r="K6447" t="b">
        <v>1</v>
      </c>
    </row>
    <row r="6448" spans="1:11">
      <c r="A6448" s="12">
        <v>42446</v>
      </c>
      <c r="B6448">
        <v>2016</v>
      </c>
      <c r="C6448">
        <v>3</v>
      </c>
      <c r="D6448" s="11">
        <v>42430</v>
      </c>
      <c r="E6448" t="s">
        <v>2175</v>
      </c>
      <c r="F6448">
        <v>4</v>
      </c>
      <c r="G6448" t="s">
        <v>53</v>
      </c>
      <c r="H6448" t="s">
        <v>46</v>
      </c>
      <c r="I6448" t="s">
        <v>2194</v>
      </c>
      <c r="J6448" s="10">
        <v>8</v>
      </c>
      <c r="K6448" t="b">
        <v>1</v>
      </c>
    </row>
    <row r="6449" spans="1:11">
      <c r="A6449" s="12">
        <v>42446</v>
      </c>
      <c r="B6449">
        <v>2016</v>
      </c>
      <c r="C6449">
        <v>3</v>
      </c>
      <c r="D6449" s="11">
        <v>42430</v>
      </c>
      <c r="E6449" t="s">
        <v>2175</v>
      </c>
      <c r="F6449">
        <v>4</v>
      </c>
      <c r="G6449" t="s">
        <v>53</v>
      </c>
      <c r="H6449" t="s">
        <v>47</v>
      </c>
      <c r="I6449" t="s">
        <v>2195</v>
      </c>
      <c r="J6449" s="10">
        <v>5</v>
      </c>
      <c r="K6449" t="b">
        <v>1</v>
      </c>
    </row>
    <row r="6450" spans="1:11">
      <c r="A6450" s="12">
        <v>42447</v>
      </c>
      <c r="B6450">
        <v>2016</v>
      </c>
      <c r="C6450">
        <v>3</v>
      </c>
      <c r="D6450" s="11">
        <v>42430</v>
      </c>
      <c r="E6450" t="s">
        <v>2175</v>
      </c>
      <c r="F6450">
        <v>5</v>
      </c>
      <c r="G6450" t="s">
        <v>55</v>
      </c>
      <c r="H6450" t="s">
        <v>40</v>
      </c>
      <c r="I6450" t="s">
        <v>2188</v>
      </c>
      <c r="J6450" s="10">
        <v>3.34</v>
      </c>
      <c r="K6450" t="b">
        <v>1</v>
      </c>
    </row>
    <row r="6451" spans="1:11">
      <c r="A6451" s="12">
        <v>42447</v>
      </c>
      <c r="B6451">
        <v>2016</v>
      </c>
      <c r="C6451">
        <v>3</v>
      </c>
      <c r="D6451" s="11">
        <v>42430</v>
      </c>
      <c r="E6451" t="s">
        <v>2175</v>
      </c>
      <c r="F6451">
        <v>5</v>
      </c>
      <c r="G6451" t="s">
        <v>55</v>
      </c>
      <c r="H6451" t="s">
        <v>41</v>
      </c>
      <c r="I6451" t="s">
        <v>2189</v>
      </c>
      <c r="J6451" s="10">
        <v>5.353</v>
      </c>
      <c r="K6451" t="b">
        <v>1</v>
      </c>
    </row>
    <row r="6452" spans="1:11">
      <c r="A6452" s="12">
        <v>42447</v>
      </c>
      <c r="B6452">
        <v>2016</v>
      </c>
      <c r="C6452">
        <v>3</v>
      </c>
      <c r="D6452" s="11">
        <v>42430</v>
      </c>
      <c r="E6452" t="s">
        <v>2175</v>
      </c>
      <c r="F6452">
        <v>5</v>
      </c>
      <c r="G6452" t="s">
        <v>55</v>
      </c>
      <c r="H6452" t="s">
        <v>42</v>
      </c>
      <c r="I6452" t="s">
        <v>2190</v>
      </c>
      <c r="J6452" s="10">
        <v>5.2</v>
      </c>
      <c r="K6452" t="b">
        <v>1</v>
      </c>
    </row>
    <row r="6453" spans="1:11">
      <c r="A6453" s="12">
        <v>42447</v>
      </c>
      <c r="B6453">
        <v>2016</v>
      </c>
      <c r="C6453">
        <v>3</v>
      </c>
      <c r="D6453" s="11">
        <v>42430</v>
      </c>
      <c r="E6453" t="s">
        <v>2175</v>
      </c>
      <c r="F6453">
        <v>5</v>
      </c>
      <c r="G6453" t="s">
        <v>55</v>
      </c>
      <c r="H6453" t="s">
        <v>43</v>
      </c>
      <c r="I6453" t="s">
        <v>2191</v>
      </c>
      <c r="J6453" s="10">
        <v>25.462</v>
      </c>
      <c r="K6453" t="b">
        <v>1</v>
      </c>
    </row>
    <row r="6454" spans="1:11">
      <c r="A6454" s="12">
        <v>42447</v>
      </c>
      <c r="B6454">
        <v>2016</v>
      </c>
      <c r="C6454">
        <v>3</v>
      </c>
      <c r="D6454" s="11">
        <v>42430</v>
      </c>
      <c r="E6454" t="s">
        <v>2175</v>
      </c>
      <c r="F6454">
        <v>5</v>
      </c>
      <c r="G6454" t="s">
        <v>55</v>
      </c>
      <c r="H6454" t="s">
        <v>44</v>
      </c>
      <c r="I6454" t="s">
        <v>2192</v>
      </c>
      <c r="J6454" s="10">
        <v>15</v>
      </c>
      <c r="K6454" t="b">
        <v>1</v>
      </c>
    </row>
    <row r="6455" spans="1:11">
      <c r="A6455" s="12">
        <v>42447</v>
      </c>
      <c r="B6455">
        <v>2016</v>
      </c>
      <c r="C6455">
        <v>3</v>
      </c>
      <c r="D6455" s="11">
        <v>42430</v>
      </c>
      <c r="E6455" t="s">
        <v>2175</v>
      </c>
      <c r="F6455">
        <v>5</v>
      </c>
      <c r="G6455" t="s">
        <v>55</v>
      </c>
      <c r="H6455" t="s">
        <v>45</v>
      </c>
      <c r="I6455" t="s">
        <v>2193</v>
      </c>
      <c r="J6455" s="10">
        <v>2</v>
      </c>
      <c r="K6455" t="b">
        <v>1</v>
      </c>
    </row>
    <row r="6456" spans="1:11">
      <c r="A6456" s="12">
        <v>42447</v>
      </c>
      <c r="B6456">
        <v>2016</v>
      </c>
      <c r="C6456">
        <v>3</v>
      </c>
      <c r="D6456" s="11">
        <v>42430</v>
      </c>
      <c r="E6456" t="s">
        <v>2175</v>
      </c>
      <c r="F6456">
        <v>5</v>
      </c>
      <c r="G6456" t="s">
        <v>55</v>
      </c>
      <c r="H6456" t="s">
        <v>46</v>
      </c>
      <c r="I6456" t="s">
        <v>2194</v>
      </c>
      <c r="J6456" s="10">
        <v>8</v>
      </c>
      <c r="K6456" t="b">
        <v>1</v>
      </c>
    </row>
    <row r="6457" spans="1:11">
      <c r="A6457" s="12">
        <v>42447</v>
      </c>
      <c r="B6457">
        <v>2016</v>
      </c>
      <c r="C6457">
        <v>3</v>
      </c>
      <c r="D6457" s="11">
        <v>42430</v>
      </c>
      <c r="E6457" t="s">
        <v>2175</v>
      </c>
      <c r="F6457">
        <v>5</v>
      </c>
      <c r="G6457" t="s">
        <v>55</v>
      </c>
      <c r="H6457" t="s">
        <v>47</v>
      </c>
      <c r="I6457" t="s">
        <v>2195</v>
      </c>
      <c r="J6457" s="10">
        <v>3</v>
      </c>
      <c r="K6457" t="b">
        <v>1</v>
      </c>
    </row>
    <row r="6458" spans="1:11">
      <c r="A6458" s="12">
        <v>42448</v>
      </c>
      <c r="B6458">
        <v>2016</v>
      </c>
      <c r="C6458">
        <v>3</v>
      </c>
      <c r="D6458" s="11">
        <v>42430</v>
      </c>
      <c r="E6458" t="s">
        <v>2175</v>
      </c>
      <c r="F6458">
        <v>6</v>
      </c>
      <c r="G6458" t="s">
        <v>57</v>
      </c>
      <c r="H6458" t="s">
        <v>40</v>
      </c>
      <c r="I6458" t="s">
        <v>2188</v>
      </c>
      <c r="J6458" s="10">
        <v>10.66</v>
      </c>
      <c r="K6458" t="b">
        <v>1</v>
      </c>
    </row>
    <row r="6459" spans="1:11">
      <c r="A6459" s="12">
        <v>42448</v>
      </c>
      <c r="B6459">
        <v>2016</v>
      </c>
      <c r="C6459">
        <v>3</v>
      </c>
      <c r="D6459" s="11">
        <v>42430</v>
      </c>
      <c r="E6459" t="s">
        <v>2175</v>
      </c>
      <c r="F6459">
        <v>6</v>
      </c>
      <c r="G6459" t="s">
        <v>57</v>
      </c>
      <c r="H6459" t="s">
        <v>41</v>
      </c>
      <c r="I6459" t="s">
        <v>2189</v>
      </c>
      <c r="J6459" s="10">
        <v>8.33</v>
      </c>
      <c r="K6459" t="b">
        <v>1</v>
      </c>
    </row>
    <row r="6460" spans="1:11">
      <c r="A6460" s="12">
        <v>42448</v>
      </c>
      <c r="B6460">
        <v>2016</v>
      </c>
      <c r="C6460">
        <v>3</v>
      </c>
      <c r="D6460" s="11">
        <v>42430</v>
      </c>
      <c r="E6460" t="s">
        <v>2175</v>
      </c>
      <c r="F6460">
        <v>6</v>
      </c>
      <c r="G6460" t="s">
        <v>57</v>
      </c>
      <c r="H6460" t="s">
        <v>42</v>
      </c>
      <c r="I6460" t="s">
        <v>2190</v>
      </c>
      <c r="J6460" s="10">
        <v>2.8</v>
      </c>
      <c r="K6460" t="b">
        <v>1</v>
      </c>
    </row>
    <row r="6461" spans="1:11">
      <c r="A6461" s="12">
        <v>42448</v>
      </c>
      <c r="B6461">
        <v>2016</v>
      </c>
      <c r="C6461">
        <v>3</v>
      </c>
      <c r="D6461" s="11">
        <v>42430</v>
      </c>
      <c r="E6461" t="s">
        <v>2175</v>
      </c>
      <c r="F6461">
        <v>6</v>
      </c>
      <c r="G6461" t="s">
        <v>57</v>
      </c>
      <c r="H6461" t="s">
        <v>43</v>
      </c>
      <c r="I6461" t="s">
        <v>2191</v>
      </c>
      <c r="J6461" s="10">
        <v>19.5</v>
      </c>
      <c r="K6461" t="b">
        <v>1</v>
      </c>
    </row>
    <row r="6462" spans="1:11">
      <c r="A6462" s="12">
        <v>42448</v>
      </c>
      <c r="B6462">
        <v>2016</v>
      </c>
      <c r="C6462">
        <v>3</v>
      </c>
      <c r="D6462" s="11">
        <v>42430</v>
      </c>
      <c r="E6462" t="s">
        <v>2175</v>
      </c>
      <c r="F6462">
        <v>6</v>
      </c>
      <c r="G6462" t="s">
        <v>57</v>
      </c>
      <c r="H6462" t="s">
        <v>44</v>
      </c>
      <c r="I6462" t="s">
        <v>2192</v>
      </c>
      <c r="J6462" s="10">
        <v>6</v>
      </c>
      <c r="K6462" t="b">
        <v>1</v>
      </c>
    </row>
    <row r="6463" spans="1:11">
      <c r="A6463" s="12">
        <v>42448</v>
      </c>
      <c r="B6463">
        <v>2016</v>
      </c>
      <c r="C6463">
        <v>3</v>
      </c>
      <c r="D6463" s="11">
        <v>42430</v>
      </c>
      <c r="E6463" t="s">
        <v>2175</v>
      </c>
      <c r="F6463">
        <v>6</v>
      </c>
      <c r="G6463" t="s">
        <v>57</v>
      </c>
      <c r="H6463" t="s">
        <v>45</v>
      </c>
      <c r="I6463" t="s">
        <v>2193</v>
      </c>
      <c r="J6463" s="10">
        <v>1</v>
      </c>
      <c r="K6463" t="b">
        <v>1</v>
      </c>
    </row>
    <row r="6464" spans="1:11">
      <c r="A6464" s="12">
        <v>42448</v>
      </c>
      <c r="B6464">
        <v>2016</v>
      </c>
      <c r="C6464">
        <v>3</v>
      </c>
      <c r="D6464" s="11">
        <v>42430</v>
      </c>
      <c r="E6464" t="s">
        <v>2175</v>
      </c>
      <c r="F6464">
        <v>6</v>
      </c>
      <c r="G6464" t="s">
        <v>57</v>
      </c>
      <c r="H6464" t="s">
        <v>46</v>
      </c>
      <c r="I6464" t="s">
        <v>2194</v>
      </c>
      <c r="J6464" s="10">
        <v>5</v>
      </c>
      <c r="K6464" t="b">
        <v>1</v>
      </c>
    </row>
    <row r="6465" spans="1:11">
      <c r="A6465" s="12">
        <v>42448</v>
      </c>
      <c r="B6465">
        <v>2016</v>
      </c>
      <c r="C6465">
        <v>3</v>
      </c>
      <c r="D6465" s="11">
        <v>42430</v>
      </c>
      <c r="E6465" t="s">
        <v>2175</v>
      </c>
      <c r="F6465">
        <v>6</v>
      </c>
      <c r="G6465" t="s">
        <v>57</v>
      </c>
      <c r="H6465" t="s">
        <v>47</v>
      </c>
      <c r="I6465" t="s">
        <v>2195</v>
      </c>
      <c r="J6465" s="10">
        <v>5</v>
      </c>
      <c r="K6465" t="b">
        <v>1</v>
      </c>
    </row>
    <row r="6466" spans="1:11">
      <c r="A6466" s="12">
        <v>42449</v>
      </c>
      <c r="B6466">
        <v>2016</v>
      </c>
      <c r="C6466">
        <v>3</v>
      </c>
      <c r="D6466" s="11">
        <v>42430</v>
      </c>
      <c r="E6466" t="s">
        <v>2175</v>
      </c>
      <c r="F6466">
        <v>7</v>
      </c>
      <c r="G6466" t="s">
        <v>59</v>
      </c>
      <c r="H6466" t="s">
        <v>40</v>
      </c>
      <c r="I6466" t="s">
        <v>2188</v>
      </c>
      <c r="J6466" s="10">
        <v>7.99</v>
      </c>
      <c r="K6466" t="b">
        <v>1</v>
      </c>
    </row>
    <row r="6467" spans="1:11">
      <c r="A6467" s="12">
        <v>42449</v>
      </c>
      <c r="B6467">
        <v>2016</v>
      </c>
      <c r="C6467">
        <v>3</v>
      </c>
      <c r="D6467" s="11">
        <v>42430</v>
      </c>
      <c r="E6467" t="s">
        <v>2175</v>
      </c>
      <c r="F6467">
        <v>7</v>
      </c>
      <c r="G6467" t="s">
        <v>59</v>
      </c>
      <c r="H6467" t="s">
        <v>41</v>
      </c>
      <c r="I6467" t="s">
        <v>2189</v>
      </c>
      <c r="J6467" s="10">
        <v>9.693</v>
      </c>
      <c r="K6467" t="b">
        <v>1</v>
      </c>
    </row>
    <row r="6468" spans="1:11">
      <c r="A6468" s="12">
        <v>42449</v>
      </c>
      <c r="B6468">
        <v>2016</v>
      </c>
      <c r="C6468">
        <v>3</v>
      </c>
      <c r="D6468" s="11">
        <v>42430</v>
      </c>
      <c r="E6468" t="s">
        <v>2175</v>
      </c>
      <c r="F6468">
        <v>7</v>
      </c>
      <c r="G6468" t="s">
        <v>59</v>
      </c>
      <c r="H6468" t="s">
        <v>42</v>
      </c>
      <c r="I6468" t="s">
        <v>2190</v>
      </c>
      <c r="J6468" s="10">
        <v>2.2</v>
      </c>
      <c r="K6468" t="b">
        <v>1</v>
      </c>
    </row>
    <row r="6469" spans="1:11">
      <c r="A6469" s="12">
        <v>42449</v>
      </c>
      <c r="B6469">
        <v>2016</v>
      </c>
      <c r="C6469">
        <v>3</v>
      </c>
      <c r="D6469" s="11">
        <v>42430</v>
      </c>
      <c r="E6469" t="s">
        <v>2175</v>
      </c>
      <c r="F6469">
        <v>7</v>
      </c>
      <c r="G6469" t="s">
        <v>59</v>
      </c>
      <c r="H6469" t="s">
        <v>43</v>
      </c>
      <c r="I6469" t="s">
        <v>2191</v>
      </c>
      <c r="J6469" s="10">
        <v>42.2</v>
      </c>
      <c r="K6469" t="b">
        <v>1</v>
      </c>
    </row>
    <row r="6470" spans="1:11">
      <c r="A6470" s="12">
        <v>42449</v>
      </c>
      <c r="B6470">
        <v>2016</v>
      </c>
      <c r="C6470">
        <v>3</v>
      </c>
      <c r="D6470" s="11">
        <v>42430</v>
      </c>
      <c r="E6470" t="s">
        <v>2175</v>
      </c>
      <c r="F6470">
        <v>7</v>
      </c>
      <c r="G6470" t="s">
        <v>59</v>
      </c>
      <c r="H6470" t="s">
        <v>44</v>
      </c>
      <c r="I6470" t="s">
        <v>2192</v>
      </c>
      <c r="J6470" s="10">
        <v>1</v>
      </c>
      <c r="K6470" t="b">
        <v>1</v>
      </c>
    </row>
    <row r="6471" spans="1:11">
      <c r="A6471" s="12">
        <v>42449</v>
      </c>
      <c r="B6471">
        <v>2016</v>
      </c>
      <c r="C6471">
        <v>3</v>
      </c>
      <c r="D6471" s="11">
        <v>42430</v>
      </c>
      <c r="E6471" t="s">
        <v>2175</v>
      </c>
      <c r="F6471">
        <v>7</v>
      </c>
      <c r="G6471" t="s">
        <v>59</v>
      </c>
      <c r="H6471" t="s">
        <v>45</v>
      </c>
      <c r="I6471" t="s">
        <v>2193</v>
      </c>
      <c r="J6471" s="10">
        <v>0</v>
      </c>
      <c r="K6471" t="b">
        <v>1</v>
      </c>
    </row>
    <row r="6472" spans="1:11">
      <c r="A6472" s="12">
        <v>42449</v>
      </c>
      <c r="B6472">
        <v>2016</v>
      </c>
      <c r="C6472">
        <v>3</v>
      </c>
      <c r="D6472" s="11">
        <v>42430</v>
      </c>
      <c r="E6472" t="s">
        <v>2175</v>
      </c>
      <c r="F6472">
        <v>7</v>
      </c>
      <c r="G6472" t="s">
        <v>59</v>
      </c>
      <c r="H6472" t="s">
        <v>46</v>
      </c>
      <c r="I6472" t="s">
        <v>2194</v>
      </c>
      <c r="J6472" s="10">
        <v>15</v>
      </c>
      <c r="K6472" t="b">
        <v>1</v>
      </c>
    </row>
    <row r="6473" spans="1:11">
      <c r="A6473" s="12">
        <v>42449</v>
      </c>
      <c r="B6473">
        <v>2016</v>
      </c>
      <c r="C6473">
        <v>3</v>
      </c>
      <c r="D6473" s="11">
        <v>42430</v>
      </c>
      <c r="E6473" t="s">
        <v>2175</v>
      </c>
      <c r="F6473">
        <v>7</v>
      </c>
      <c r="G6473" t="s">
        <v>59</v>
      </c>
      <c r="H6473" t="s">
        <v>47</v>
      </c>
      <c r="I6473" t="s">
        <v>2195</v>
      </c>
      <c r="J6473" s="10">
        <v>5</v>
      </c>
      <c r="K6473" t="b">
        <v>1</v>
      </c>
    </row>
    <row r="6474" spans="1:11">
      <c r="A6474" s="12">
        <v>42450</v>
      </c>
      <c r="B6474">
        <v>2016</v>
      </c>
      <c r="C6474">
        <v>3</v>
      </c>
      <c r="D6474" s="11">
        <v>42430</v>
      </c>
      <c r="E6474" t="s">
        <v>2175</v>
      </c>
      <c r="F6474">
        <v>1</v>
      </c>
      <c r="G6474" t="s">
        <v>61</v>
      </c>
      <c r="H6474" t="s">
        <v>40</v>
      </c>
      <c r="I6474" t="s">
        <v>2188</v>
      </c>
      <c r="J6474" s="10">
        <v>5</v>
      </c>
      <c r="K6474" t="b">
        <v>1</v>
      </c>
    </row>
    <row r="6475" spans="1:11">
      <c r="A6475" s="12">
        <v>42450</v>
      </c>
      <c r="B6475">
        <v>2016</v>
      </c>
      <c r="C6475">
        <v>3</v>
      </c>
      <c r="D6475" s="11">
        <v>42430</v>
      </c>
      <c r="E6475" t="s">
        <v>2175</v>
      </c>
      <c r="F6475">
        <v>1</v>
      </c>
      <c r="G6475" t="s">
        <v>61</v>
      </c>
      <c r="H6475" t="s">
        <v>41</v>
      </c>
      <c r="I6475" t="s">
        <v>2189</v>
      </c>
      <c r="J6475" s="10">
        <v>8.055999999999999</v>
      </c>
      <c r="K6475" t="b">
        <v>1</v>
      </c>
    </row>
    <row r="6476" spans="1:11">
      <c r="A6476" s="12">
        <v>42450</v>
      </c>
      <c r="B6476">
        <v>2016</v>
      </c>
      <c r="C6476">
        <v>3</v>
      </c>
      <c r="D6476" s="11">
        <v>42430</v>
      </c>
      <c r="E6476" t="s">
        <v>2175</v>
      </c>
      <c r="F6476">
        <v>1</v>
      </c>
      <c r="G6476" t="s">
        <v>61</v>
      </c>
      <c r="H6476" t="s">
        <v>42</v>
      </c>
      <c r="I6476" t="s">
        <v>2190</v>
      </c>
      <c r="J6476" s="10">
        <v>6</v>
      </c>
      <c r="K6476" t="b">
        <v>1</v>
      </c>
    </row>
    <row r="6477" spans="1:11">
      <c r="A6477" s="12">
        <v>42450</v>
      </c>
      <c r="B6477">
        <v>2016</v>
      </c>
      <c r="C6477">
        <v>3</v>
      </c>
      <c r="D6477" s="11">
        <v>42430</v>
      </c>
      <c r="E6477" t="s">
        <v>2175</v>
      </c>
      <c r="F6477">
        <v>1</v>
      </c>
      <c r="G6477" t="s">
        <v>61</v>
      </c>
      <c r="H6477" t="s">
        <v>43</v>
      </c>
      <c r="I6477" t="s">
        <v>2191</v>
      </c>
      <c r="J6477" s="10">
        <v>45.7</v>
      </c>
      <c r="K6477" t="b">
        <v>1</v>
      </c>
    </row>
    <row r="6478" spans="1:11">
      <c r="A6478" s="12">
        <v>42450</v>
      </c>
      <c r="B6478">
        <v>2016</v>
      </c>
      <c r="C6478">
        <v>3</v>
      </c>
      <c r="D6478" s="11">
        <v>42430</v>
      </c>
      <c r="E6478" t="s">
        <v>2175</v>
      </c>
      <c r="F6478">
        <v>1</v>
      </c>
      <c r="G6478" t="s">
        <v>61</v>
      </c>
      <c r="H6478" t="s">
        <v>44</v>
      </c>
      <c r="I6478" t="s">
        <v>2192</v>
      </c>
      <c r="J6478" s="10">
        <v>11</v>
      </c>
      <c r="K6478" t="b">
        <v>1</v>
      </c>
    </row>
    <row r="6479" spans="1:11">
      <c r="A6479" s="12">
        <v>42450</v>
      </c>
      <c r="B6479">
        <v>2016</v>
      </c>
      <c r="C6479">
        <v>3</v>
      </c>
      <c r="D6479" s="11">
        <v>42430</v>
      </c>
      <c r="E6479" t="s">
        <v>2175</v>
      </c>
      <c r="F6479">
        <v>1</v>
      </c>
      <c r="G6479" t="s">
        <v>61</v>
      </c>
      <c r="H6479" t="s">
        <v>45</v>
      </c>
      <c r="I6479" t="s">
        <v>2193</v>
      </c>
      <c r="J6479" s="10">
        <v>0</v>
      </c>
      <c r="K6479" t="b">
        <v>1</v>
      </c>
    </row>
    <row r="6480" spans="1:11">
      <c r="A6480" s="12">
        <v>42450</v>
      </c>
      <c r="B6480">
        <v>2016</v>
      </c>
      <c r="C6480">
        <v>3</v>
      </c>
      <c r="D6480" s="11">
        <v>42430</v>
      </c>
      <c r="E6480" t="s">
        <v>2175</v>
      </c>
      <c r="F6480">
        <v>1</v>
      </c>
      <c r="G6480" t="s">
        <v>61</v>
      </c>
      <c r="H6480" t="s">
        <v>46</v>
      </c>
      <c r="I6480" t="s">
        <v>2194</v>
      </c>
      <c r="J6480" s="10">
        <v>36</v>
      </c>
      <c r="K6480" t="b">
        <v>1</v>
      </c>
    </row>
    <row r="6481" spans="1:11">
      <c r="A6481" s="12">
        <v>42450</v>
      </c>
      <c r="B6481">
        <v>2016</v>
      </c>
      <c r="C6481">
        <v>3</v>
      </c>
      <c r="D6481" s="11">
        <v>42430</v>
      </c>
      <c r="E6481" t="s">
        <v>2175</v>
      </c>
      <c r="F6481">
        <v>1</v>
      </c>
      <c r="G6481" t="s">
        <v>61</v>
      </c>
      <c r="H6481" t="s">
        <v>47</v>
      </c>
      <c r="I6481" t="s">
        <v>2195</v>
      </c>
      <c r="J6481" s="10">
        <v>7</v>
      </c>
      <c r="K6481" t="b">
        <v>1</v>
      </c>
    </row>
    <row r="6482" spans="1:11">
      <c r="A6482" s="12">
        <v>42451</v>
      </c>
      <c r="B6482">
        <v>2016</v>
      </c>
      <c r="C6482">
        <v>3</v>
      </c>
      <c r="D6482" s="11">
        <v>42430</v>
      </c>
      <c r="E6482" t="s">
        <v>2175</v>
      </c>
      <c r="F6482">
        <v>2</v>
      </c>
      <c r="G6482" t="s">
        <v>63</v>
      </c>
      <c r="H6482" t="s">
        <v>40</v>
      </c>
      <c r="I6482" t="s">
        <v>2188</v>
      </c>
      <c r="J6482" s="10">
        <v>2.33</v>
      </c>
      <c r="K6482" t="b">
        <v>1</v>
      </c>
    </row>
    <row r="6483" spans="1:11">
      <c r="A6483" s="12">
        <v>42451</v>
      </c>
      <c r="B6483">
        <v>2016</v>
      </c>
      <c r="C6483">
        <v>3</v>
      </c>
      <c r="D6483" s="11">
        <v>42430</v>
      </c>
      <c r="E6483" t="s">
        <v>2175</v>
      </c>
      <c r="F6483">
        <v>2</v>
      </c>
      <c r="G6483" t="s">
        <v>63</v>
      </c>
      <c r="H6483" t="s">
        <v>41</v>
      </c>
      <c r="I6483" t="s">
        <v>2189</v>
      </c>
      <c r="J6483" s="10">
        <v>0</v>
      </c>
      <c r="K6483" t="b">
        <v>1</v>
      </c>
    </row>
    <row r="6484" spans="1:11">
      <c r="A6484" s="12">
        <v>42451</v>
      </c>
      <c r="B6484">
        <v>2016</v>
      </c>
      <c r="C6484">
        <v>3</v>
      </c>
      <c r="D6484" s="11">
        <v>42430</v>
      </c>
      <c r="E6484" t="s">
        <v>2175</v>
      </c>
      <c r="F6484">
        <v>2</v>
      </c>
      <c r="G6484" t="s">
        <v>63</v>
      </c>
      <c r="H6484" t="s">
        <v>42</v>
      </c>
      <c r="I6484" t="s">
        <v>2190</v>
      </c>
      <c r="J6484" s="10">
        <v>5</v>
      </c>
      <c r="K6484" t="b">
        <v>1</v>
      </c>
    </row>
    <row r="6485" spans="1:11">
      <c r="A6485" s="12">
        <v>42451</v>
      </c>
      <c r="B6485">
        <v>2016</v>
      </c>
      <c r="C6485">
        <v>3</v>
      </c>
      <c r="D6485" s="11">
        <v>42430</v>
      </c>
      <c r="E6485" t="s">
        <v>2175</v>
      </c>
      <c r="F6485">
        <v>2</v>
      </c>
      <c r="G6485" t="s">
        <v>63</v>
      </c>
      <c r="H6485" t="s">
        <v>43</v>
      </c>
      <c r="I6485" t="s">
        <v>2191</v>
      </c>
      <c r="J6485" s="10">
        <v>42.188</v>
      </c>
      <c r="K6485" t="b">
        <v>1</v>
      </c>
    </row>
    <row r="6486" spans="1:11">
      <c r="A6486" s="12">
        <v>42451</v>
      </c>
      <c r="B6486">
        <v>2016</v>
      </c>
      <c r="C6486">
        <v>3</v>
      </c>
      <c r="D6486" s="11">
        <v>42430</v>
      </c>
      <c r="E6486" t="s">
        <v>2175</v>
      </c>
      <c r="F6486">
        <v>2</v>
      </c>
      <c r="G6486" t="s">
        <v>63</v>
      </c>
      <c r="H6486" t="s">
        <v>44</v>
      </c>
      <c r="I6486" t="s">
        <v>2192</v>
      </c>
      <c r="J6486" s="10">
        <v>12</v>
      </c>
      <c r="K6486" t="b">
        <v>1</v>
      </c>
    </row>
    <row r="6487" spans="1:11">
      <c r="A6487" s="12">
        <v>42451</v>
      </c>
      <c r="B6487">
        <v>2016</v>
      </c>
      <c r="C6487">
        <v>3</v>
      </c>
      <c r="D6487" s="11">
        <v>42430</v>
      </c>
      <c r="E6487" t="s">
        <v>2175</v>
      </c>
      <c r="F6487">
        <v>2</v>
      </c>
      <c r="G6487" t="s">
        <v>63</v>
      </c>
      <c r="H6487" t="s">
        <v>45</v>
      </c>
      <c r="I6487" t="s">
        <v>2193</v>
      </c>
      <c r="J6487" s="10">
        <v>2</v>
      </c>
      <c r="K6487" t="b">
        <v>1</v>
      </c>
    </row>
    <row r="6488" spans="1:11">
      <c r="A6488" s="12">
        <v>42451</v>
      </c>
      <c r="B6488">
        <v>2016</v>
      </c>
      <c r="C6488">
        <v>3</v>
      </c>
      <c r="D6488" s="11">
        <v>42430</v>
      </c>
      <c r="E6488" t="s">
        <v>2175</v>
      </c>
      <c r="F6488">
        <v>2</v>
      </c>
      <c r="G6488" t="s">
        <v>63</v>
      </c>
      <c r="H6488" t="s">
        <v>46</v>
      </c>
      <c r="I6488" t="s">
        <v>2194</v>
      </c>
      <c r="J6488" s="10">
        <v>4</v>
      </c>
      <c r="K6488" t="b">
        <v>1</v>
      </c>
    </row>
    <row r="6489" spans="1:11">
      <c r="A6489" s="12">
        <v>42451</v>
      </c>
      <c r="B6489">
        <v>2016</v>
      </c>
      <c r="C6489">
        <v>3</v>
      </c>
      <c r="D6489" s="11">
        <v>42430</v>
      </c>
      <c r="E6489" t="s">
        <v>2175</v>
      </c>
      <c r="F6489">
        <v>2</v>
      </c>
      <c r="G6489" t="s">
        <v>63</v>
      </c>
      <c r="H6489" t="s">
        <v>47</v>
      </c>
      <c r="I6489" t="s">
        <v>2195</v>
      </c>
      <c r="J6489" s="10">
        <v>2</v>
      </c>
      <c r="K6489" t="b">
        <v>1</v>
      </c>
    </row>
    <row r="6490" spans="1:11">
      <c r="A6490" s="12">
        <v>42452</v>
      </c>
      <c r="B6490">
        <v>2016</v>
      </c>
      <c r="C6490">
        <v>3</v>
      </c>
      <c r="D6490" s="11">
        <v>42430</v>
      </c>
      <c r="E6490" t="s">
        <v>2175</v>
      </c>
      <c r="F6490">
        <v>3</v>
      </c>
      <c r="G6490" t="s">
        <v>65</v>
      </c>
      <c r="H6490" t="s">
        <v>40</v>
      </c>
      <c r="I6490" t="s">
        <v>2188</v>
      </c>
      <c r="J6490" s="10">
        <v>4</v>
      </c>
      <c r="K6490" t="b">
        <v>1</v>
      </c>
    </row>
    <row r="6491" spans="1:11">
      <c r="A6491" s="12">
        <v>42452</v>
      </c>
      <c r="B6491">
        <v>2016</v>
      </c>
      <c r="C6491">
        <v>3</v>
      </c>
      <c r="D6491" s="11">
        <v>42430</v>
      </c>
      <c r="E6491" t="s">
        <v>2175</v>
      </c>
      <c r="F6491">
        <v>3</v>
      </c>
      <c r="G6491" t="s">
        <v>65</v>
      </c>
      <c r="H6491" t="s">
        <v>41</v>
      </c>
      <c r="I6491" t="s">
        <v>2189</v>
      </c>
      <c r="J6491" s="10">
        <v>3</v>
      </c>
      <c r="K6491" t="b">
        <v>1</v>
      </c>
    </row>
    <row r="6492" spans="1:11">
      <c r="A6492" s="12">
        <v>42452</v>
      </c>
      <c r="B6492">
        <v>2016</v>
      </c>
      <c r="C6492">
        <v>3</v>
      </c>
      <c r="D6492" s="11">
        <v>42430</v>
      </c>
      <c r="E6492" t="s">
        <v>2175</v>
      </c>
      <c r="F6492">
        <v>3</v>
      </c>
      <c r="G6492" t="s">
        <v>65</v>
      </c>
      <c r="H6492" t="s">
        <v>42</v>
      </c>
      <c r="I6492" t="s">
        <v>2190</v>
      </c>
      <c r="J6492" s="10">
        <v>6</v>
      </c>
      <c r="K6492" t="b">
        <v>1</v>
      </c>
    </row>
    <row r="6493" spans="1:11">
      <c r="A6493" s="12">
        <v>42452</v>
      </c>
      <c r="B6493">
        <v>2016</v>
      </c>
      <c r="C6493">
        <v>3</v>
      </c>
      <c r="D6493" s="11">
        <v>42430</v>
      </c>
      <c r="E6493" t="s">
        <v>2175</v>
      </c>
      <c r="F6493">
        <v>3</v>
      </c>
      <c r="G6493" t="s">
        <v>65</v>
      </c>
      <c r="H6493" t="s">
        <v>43</v>
      </c>
      <c r="I6493" t="s">
        <v>2191</v>
      </c>
      <c r="J6493" s="10">
        <v>24.25</v>
      </c>
      <c r="K6493" t="b">
        <v>1</v>
      </c>
    </row>
    <row r="6494" spans="1:11">
      <c r="A6494" s="12">
        <v>42452</v>
      </c>
      <c r="B6494">
        <v>2016</v>
      </c>
      <c r="C6494">
        <v>3</v>
      </c>
      <c r="D6494" s="11">
        <v>42430</v>
      </c>
      <c r="E6494" t="s">
        <v>2175</v>
      </c>
      <c r="F6494">
        <v>3</v>
      </c>
      <c r="G6494" t="s">
        <v>65</v>
      </c>
      <c r="H6494" t="s">
        <v>44</v>
      </c>
      <c r="I6494" t="s">
        <v>2192</v>
      </c>
      <c r="J6494" s="10">
        <v>22</v>
      </c>
      <c r="K6494" t="b">
        <v>1</v>
      </c>
    </row>
    <row r="6495" spans="1:11">
      <c r="A6495" s="12">
        <v>42452</v>
      </c>
      <c r="B6495">
        <v>2016</v>
      </c>
      <c r="C6495">
        <v>3</v>
      </c>
      <c r="D6495" s="11">
        <v>42430</v>
      </c>
      <c r="E6495" t="s">
        <v>2175</v>
      </c>
      <c r="F6495">
        <v>3</v>
      </c>
      <c r="G6495" t="s">
        <v>65</v>
      </c>
      <c r="H6495" t="s">
        <v>45</v>
      </c>
      <c r="I6495" t="s">
        <v>2193</v>
      </c>
      <c r="J6495" s="10">
        <v>1</v>
      </c>
      <c r="K6495" t="b">
        <v>1</v>
      </c>
    </row>
    <row r="6496" spans="1:11">
      <c r="A6496" s="12">
        <v>42452</v>
      </c>
      <c r="B6496">
        <v>2016</v>
      </c>
      <c r="C6496">
        <v>3</v>
      </c>
      <c r="D6496" s="11">
        <v>42430</v>
      </c>
      <c r="E6496" t="s">
        <v>2175</v>
      </c>
      <c r="F6496">
        <v>3</v>
      </c>
      <c r="G6496" t="s">
        <v>65</v>
      </c>
      <c r="H6496" t="s">
        <v>46</v>
      </c>
      <c r="I6496" t="s">
        <v>2194</v>
      </c>
      <c r="J6496" s="10">
        <v>0</v>
      </c>
      <c r="K6496" t="b">
        <v>1</v>
      </c>
    </row>
    <row r="6497" spans="1:11">
      <c r="A6497" s="12">
        <v>42452</v>
      </c>
      <c r="B6497">
        <v>2016</v>
      </c>
      <c r="C6497">
        <v>3</v>
      </c>
      <c r="D6497" s="11">
        <v>42430</v>
      </c>
      <c r="E6497" t="s">
        <v>2175</v>
      </c>
      <c r="F6497">
        <v>3</v>
      </c>
      <c r="G6497" t="s">
        <v>65</v>
      </c>
      <c r="H6497" t="s">
        <v>47</v>
      </c>
      <c r="I6497" t="s">
        <v>2195</v>
      </c>
      <c r="J6497" s="10">
        <v>3</v>
      </c>
      <c r="K6497" t="b">
        <v>1</v>
      </c>
    </row>
    <row r="6498" spans="1:11">
      <c r="A6498" s="12">
        <v>42453</v>
      </c>
      <c r="B6498">
        <v>2016</v>
      </c>
      <c r="C6498">
        <v>3</v>
      </c>
      <c r="D6498" s="11">
        <v>42430</v>
      </c>
      <c r="E6498" t="s">
        <v>2175</v>
      </c>
      <c r="F6498">
        <v>4</v>
      </c>
      <c r="G6498" t="s">
        <v>53</v>
      </c>
      <c r="H6498" t="s">
        <v>40</v>
      </c>
      <c r="I6498" t="s">
        <v>2188</v>
      </c>
      <c r="J6498" s="10">
        <v>6.84</v>
      </c>
      <c r="K6498" t="b">
        <v>1</v>
      </c>
    </row>
    <row r="6499" spans="1:11">
      <c r="A6499" s="12">
        <v>42453</v>
      </c>
      <c r="B6499">
        <v>2016</v>
      </c>
      <c r="C6499">
        <v>3</v>
      </c>
      <c r="D6499" s="11">
        <v>42430</v>
      </c>
      <c r="E6499" t="s">
        <v>2175</v>
      </c>
      <c r="F6499">
        <v>4</v>
      </c>
      <c r="G6499" t="s">
        <v>53</v>
      </c>
      <c r="H6499" t="s">
        <v>41</v>
      </c>
      <c r="I6499" t="s">
        <v>2189</v>
      </c>
      <c r="J6499" s="10">
        <v>2</v>
      </c>
      <c r="K6499" t="b">
        <v>1</v>
      </c>
    </row>
    <row r="6500" spans="1:11">
      <c r="A6500" s="12">
        <v>42453</v>
      </c>
      <c r="B6500">
        <v>2016</v>
      </c>
      <c r="C6500">
        <v>3</v>
      </c>
      <c r="D6500" s="11">
        <v>42430</v>
      </c>
      <c r="E6500" t="s">
        <v>2175</v>
      </c>
      <c r="F6500">
        <v>4</v>
      </c>
      <c r="G6500" t="s">
        <v>53</v>
      </c>
      <c r="H6500" t="s">
        <v>42</v>
      </c>
      <c r="I6500" t="s">
        <v>2190</v>
      </c>
      <c r="J6500" s="10">
        <v>3</v>
      </c>
      <c r="K6500" t="b">
        <v>1</v>
      </c>
    </row>
    <row r="6501" spans="1:11">
      <c r="A6501" s="12">
        <v>42453</v>
      </c>
      <c r="B6501">
        <v>2016</v>
      </c>
      <c r="C6501">
        <v>3</v>
      </c>
      <c r="D6501" s="11">
        <v>42430</v>
      </c>
      <c r="E6501" t="s">
        <v>2175</v>
      </c>
      <c r="F6501">
        <v>4</v>
      </c>
      <c r="G6501" t="s">
        <v>53</v>
      </c>
      <c r="H6501" t="s">
        <v>43</v>
      </c>
      <c r="I6501" t="s">
        <v>2191</v>
      </c>
      <c r="J6501" s="10">
        <v>32</v>
      </c>
      <c r="K6501" t="b">
        <v>1</v>
      </c>
    </row>
    <row r="6502" spans="1:11">
      <c r="A6502" s="12">
        <v>42453</v>
      </c>
      <c r="B6502">
        <v>2016</v>
      </c>
      <c r="C6502">
        <v>3</v>
      </c>
      <c r="D6502" s="11">
        <v>42430</v>
      </c>
      <c r="E6502" t="s">
        <v>2175</v>
      </c>
      <c r="F6502">
        <v>4</v>
      </c>
      <c r="G6502" t="s">
        <v>53</v>
      </c>
      <c r="H6502" t="s">
        <v>44</v>
      </c>
      <c r="I6502" t="s">
        <v>2192</v>
      </c>
      <c r="J6502" s="10">
        <v>4</v>
      </c>
      <c r="K6502" t="b">
        <v>1</v>
      </c>
    </row>
    <row r="6503" spans="1:11">
      <c r="A6503" s="12">
        <v>42453</v>
      </c>
      <c r="B6503">
        <v>2016</v>
      </c>
      <c r="C6503">
        <v>3</v>
      </c>
      <c r="D6503" s="11">
        <v>42430</v>
      </c>
      <c r="E6503" t="s">
        <v>2175</v>
      </c>
      <c r="F6503">
        <v>4</v>
      </c>
      <c r="G6503" t="s">
        <v>53</v>
      </c>
      <c r="H6503" t="s">
        <v>45</v>
      </c>
      <c r="I6503" t="s">
        <v>2193</v>
      </c>
      <c r="J6503" s="10">
        <v>0</v>
      </c>
      <c r="K6503" t="b">
        <v>1</v>
      </c>
    </row>
    <row r="6504" spans="1:11">
      <c r="A6504" s="12">
        <v>42453</v>
      </c>
      <c r="B6504">
        <v>2016</v>
      </c>
      <c r="C6504">
        <v>3</v>
      </c>
      <c r="D6504" s="11">
        <v>42430</v>
      </c>
      <c r="E6504" t="s">
        <v>2175</v>
      </c>
      <c r="F6504">
        <v>4</v>
      </c>
      <c r="G6504" t="s">
        <v>53</v>
      </c>
      <c r="H6504" t="s">
        <v>46</v>
      </c>
      <c r="I6504" t="s">
        <v>2194</v>
      </c>
      <c r="J6504" s="10">
        <v>8</v>
      </c>
      <c r="K6504" t="b">
        <v>1</v>
      </c>
    </row>
    <row r="6505" spans="1:11">
      <c r="A6505" s="12">
        <v>42453</v>
      </c>
      <c r="B6505">
        <v>2016</v>
      </c>
      <c r="C6505">
        <v>3</v>
      </c>
      <c r="D6505" s="11">
        <v>42430</v>
      </c>
      <c r="E6505" t="s">
        <v>2175</v>
      </c>
      <c r="F6505">
        <v>4</v>
      </c>
      <c r="G6505" t="s">
        <v>53</v>
      </c>
      <c r="H6505" t="s">
        <v>47</v>
      </c>
      <c r="I6505" t="s">
        <v>2195</v>
      </c>
      <c r="J6505" s="10">
        <v>2</v>
      </c>
      <c r="K6505" t="b">
        <v>1</v>
      </c>
    </row>
    <row r="6506" spans="1:11">
      <c r="A6506" s="12">
        <v>42454</v>
      </c>
      <c r="B6506">
        <v>2016</v>
      </c>
      <c r="C6506">
        <v>3</v>
      </c>
      <c r="D6506" s="11">
        <v>42430</v>
      </c>
      <c r="E6506" t="s">
        <v>2175</v>
      </c>
      <c r="F6506">
        <v>5</v>
      </c>
      <c r="G6506" t="s">
        <v>55</v>
      </c>
      <c r="H6506" t="s">
        <v>40</v>
      </c>
      <c r="I6506" t="s">
        <v>2188</v>
      </c>
      <c r="J6506" s="10">
        <v>7</v>
      </c>
      <c r="K6506" t="b">
        <v>1</v>
      </c>
    </row>
    <row r="6507" spans="1:11">
      <c r="A6507" s="12">
        <v>42454</v>
      </c>
      <c r="B6507">
        <v>2016</v>
      </c>
      <c r="C6507">
        <v>3</v>
      </c>
      <c r="D6507" s="11">
        <v>42430</v>
      </c>
      <c r="E6507" t="s">
        <v>2175</v>
      </c>
      <c r="F6507">
        <v>5</v>
      </c>
      <c r="G6507" t="s">
        <v>55</v>
      </c>
      <c r="H6507" t="s">
        <v>41</v>
      </c>
      <c r="I6507" t="s">
        <v>2189</v>
      </c>
      <c r="J6507" s="10">
        <v>7.35</v>
      </c>
      <c r="K6507" t="b">
        <v>1</v>
      </c>
    </row>
    <row r="6508" spans="1:11">
      <c r="A6508" s="12">
        <v>42454</v>
      </c>
      <c r="B6508">
        <v>2016</v>
      </c>
      <c r="C6508">
        <v>3</v>
      </c>
      <c r="D6508" s="11">
        <v>42430</v>
      </c>
      <c r="E6508" t="s">
        <v>2175</v>
      </c>
      <c r="F6508">
        <v>5</v>
      </c>
      <c r="G6508" t="s">
        <v>55</v>
      </c>
      <c r="H6508" t="s">
        <v>42</v>
      </c>
      <c r="I6508" t="s">
        <v>2190</v>
      </c>
      <c r="J6508" s="10">
        <v>4.2</v>
      </c>
      <c r="K6508" t="b">
        <v>1</v>
      </c>
    </row>
    <row r="6509" spans="1:11">
      <c r="A6509" s="12">
        <v>42454</v>
      </c>
      <c r="B6509">
        <v>2016</v>
      </c>
      <c r="C6509">
        <v>3</v>
      </c>
      <c r="D6509" s="11">
        <v>42430</v>
      </c>
      <c r="E6509" t="s">
        <v>2175</v>
      </c>
      <c r="F6509">
        <v>5</v>
      </c>
      <c r="G6509" t="s">
        <v>55</v>
      </c>
      <c r="H6509" t="s">
        <v>43</v>
      </c>
      <c r="I6509" t="s">
        <v>2191</v>
      </c>
      <c r="J6509" s="10">
        <v>42.8</v>
      </c>
      <c r="K6509" t="b">
        <v>1</v>
      </c>
    </row>
    <row r="6510" spans="1:11">
      <c r="A6510" s="12">
        <v>42454</v>
      </c>
      <c r="B6510">
        <v>2016</v>
      </c>
      <c r="C6510">
        <v>3</v>
      </c>
      <c r="D6510" s="11">
        <v>42430</v>
      </c>
      <c r="E6510" t="s">
        <v>2175</v>
      </c>
      <c r="F6510">
        <v>5</v>
      </c>
      <c r="G6510" t="s">
        <v>55</v>
      </c>
      <c r="H6510" t="s">
        <v>44</v>
      </c>
      <c r="I6510" t="s">
        <v>2192</v>
      </c>
      <c r="J6510" s="10">
        <v>8</v>
      </c>
      <c r="K6510" t="b">
        <v>1</v>
      </c>
    </row>
    <row r="6511" spans="1:11">
      <c r="A6511" s="12">
        <v>42454</v>
      </c>
      <c r="B6511">
        <v>2016</v>
      </c>
      <c r="C6511">
        <v>3</v>
      </c>
      <c r="D6511" s="11">
        <v>42430</v>
      </c>
      <c r="E6511" t="s">
        <v>2175</v>
      </c>
      <c r="F6511">
        <v>5</v>
      </c>
      <c r="G6511" t="s">
        <v>55</v>
      </c>
      <c r="H6511" t="s">
        <v>45</v>
      </c>
      <c r="I6511" t="s">
        <v>2193</v>
      </c>
      <c r="J6511" s="10">
        <v>0</v>
      </c>
      <c r="K6511" t="b">
        <v>1</v>
      </c>
    </row>
    <row r="6512" spans="1:11">
      <c r="A6512" s="12">
        <v>42454</v>
      </c>
      <c r="B6512">
        <v>2016</v>
      </c>
      <c r="C6512">
        <v>3</v>
      </c>
      <c r="D6512" s="11">
        <v>42430</v>
      </c>
      <c r="E6512" t="s">
        <v>2175</v>
      </c>
      <c r="F6512">
        <v>5</v>
      </c>
      <c r="G6512" t="s">
        <v>55</v>
      </c>
      <c r="H6512" t="s">
        <v>46</v>
      </c>
      <c r="I6512" t="s">
        <v>2194</v>
      </c>
      <c r="J6512" s="10">
        <v>3</v>
      </c>
      <c r="K6512" t="b">
        <v>1</v>
      </c>
    </row>
    <row r="6513" spans="1:11">
      <c r="A6513" s="12">
        <v>42454</v>
      </c>
      <c r="B6513">
        <v>2016</v>
      </c>
      <c r="C6513">
        <v>3</v>
      </c>
      <c r="D6513" s="11">
        <v>42430</v>
      </c>
      <c r="E6513" t="s">
        <v>2175</v>
      </c>
      <c r="F6513">
        <v>5</v>
      </c>
      <c r="G6513" t="s">
        <v>55</v>
      </c>
      <c r="H6513" t="s">
        <v>47</v>
      </c>
      <c r="I6513" t="s">
        <v>2195</v>
      </c>
      <c r="J6513" s="10">
        <v>3</v>
      </c>
      <c r="K6513" t="b">
        <v>1</v>
      </c>
    </row>
    <row r="6514" spans="1:11">
      <c r="A6514" s="12">
        <v>42455</v>
      </c>
      <c r="B6514">
        <v>2016</v>
      </c>
      <c r="C6514">
        <v>3</v>
      </c>
      <c r="D6514" s="11">
        <v>42430</v>
      </c>
      <c r="E6514" t="s">
        <v>2175</v>
      </c>
      <c r="F6514">
        <v>6</v>
      </c>
      <c r="G6514" t="s">
        <v>57</v>
      </c>
      <c r="H6514" t="s">
        <v>40</v>
      </c>
      <c r="I6514" t="s">
        <v>2188</v>
      </c>
      <c r="J6514" s="10">
        <v>2.5</v>
      </c>
      <c r="K6514" t="b">
        <v>1</v>
      </c>
    </row>
    <row r="6515" spans="1:11">
      <c r="A6515" s="12">
        <v>42455</v>
      </c>
      <c r="B6515">
        <v>2016</v>
      </c>
      <c r="C6515">
        <v>3</v>
      </c>
      <c r="D6515" s="11">
        <v>42430</v>
      </c>
      <c r="E6515" t="s">
        <v>2175</v>
      </c>
      <c r="F6515">
        <v>6</v>
      </c>
      <c r="G6515" t="s">
        <v>57</v>
      </c>
      <c r="H6515" t="s">
        <v>41</v>
      </c>
      <c r="I6515" t="s">
        <v>2189</v>
      </c>
      <c r="J6515" s="10">
        <v>0.66</v>
      </c>
      <c r="K6515" t="b">
        <v>1</v>
      </c>
    </row>
    <row r="6516" spans="1:11">
      <c r="A6516" s="12">
        <v>42455</v>
      </c>
      <c r="B6516">
        <v>2016</v>
      </c>
      <c r="C6516">
        <v>3</v>
      </c>
      <c r="D6516" s="11">
        <v>42430</v>
      </c>
      <c r="E6516" t="s">
        <v>2175</v>
      </c>
      <c r="F6516">
        <v>6</v>
      </c>
      <c r="G6516" t="s">
        <v>57</v>
      </c>
      <c r="H6516" t="s">
        <v>42</v>
      </c>
      <c r="I6516" t="s">
        <v>2190</v>
      </c>
      <c r="J6516" s="10">
        <v>7.5</v>
      </c>
      <c r="K6516" t="b">
        <v>1</v>
      </c>
    </row>
    <row r="6517" spans="1:11">
      <c r="A6517" s="12">
        <v>42455</v>
      </c>
      <c r="B6517">
        <v>2016</v>
      </c>
      <c r="C6517">
        <v>3</v>
      </c>
      <c r="D6517" s="11">
        <v>42430</v>
      </c>
      <c r="E6517" t="s">
        <v>2175</v>
      </c>
      <c r="F6517">
        <v>6</v>
      </c>
      <c r="G6517" t="s">
        <v>57</v>
      </c>
      <c r="H6517" t="s">
        <v>43</v>
      </c>
      <c r="I6517" t="s">
        <v>2191</v>
      </c>
      <c r="J6517" s="10">
        <v>33.25</v>
      </c>
      <c r="K6517" t="b">
        <v>1</v>
      </c>
    </row>
    <row r="6518" spans="1:11">
      <c r="A6518" s="12">
        <v>42455</v>
      </c>
      <c r="B6518">
        <v>2016</v>
      </c>
      <c r="C6518">
        <v>3</v>
      </c>
      <c r="D6518" s="11">
        <v>42430</v>
      </c>
      <c r="E6518" t="s">
        <v>2175</v>
      </c>
      <c r="F6518">
        <v>6</v>
      </c>
      <c r="G6518" t="s">
        <v>57</v>
      </c>
      <c r="H6518" t="s">
        <v>44</v>
      </c>
      <c r="I6518" t="s">
        <v>2192</v>
      </c>
      <c r="J6518" s="10">
        <v>4</v>
      </c>
      <c r="K6518" t="b">
        <v>1</v>
      </c>
    </row>
    <row r="6519" spans="1:11">
      <c r="A6519" s="12">
        <v>42455</v>
      </c>
      <c r="B6519">
        <v>2016</v>
      </c>
      <c r="C6519">
        <v>3</v>
      </c>
      <c r="D6519" s="11">
        <v>42430</v>
      </c>
      <c r="E6519" t="s">
        <v>2175</v>
      </c>
      <c r="F6519">
        <v>6</v>
      </c>
      <c r="G6519" t="s">
        <v>57</v>
      </c>
      <c r="H6519" t="s">
        <v>45</v>
      </c>
      <c r="I6519" t="s">
        <v>2193</v>
      </c>
      <c r="J6519" s="10">
        <v>0</v>
      </c>
      <c r="K6519" t="b">
        <v>1</v>
      </c>
    </row>
    <row r="6520" spans="1:11">
      <c r="A6520" s="12">
        <v>42455</v>
      </c>
      <c r="B6520">
        <v>2016</v>
      </c>
      <c r="C6520">
        <v>3</v>
      </c>
      <c r="D6520" s="11">
        <v>42430</v>
      </c>
      <c r="E6520" t="s">
        <v>2175</v>
      </c>
      <c r="F6520">
        <v>6</v>
      </c>
      <c r="G6520" t="s">
        <v>57</v>
      </c>
      <c r="H6520" t="s">
        <v>46</v>
      </c>
      <c r="I6520" t="s">
        <v>2194</v>
      </c>
      <c r="J6520" s="10">
        <v>0</v>
      </c>
      <c r="K6520" t="b">
        <v>1</v>
      </c>
    </row>
    <row r="6521" spans="1:11">
      <c r="A6521" s="12">
        <v>42455</v>
      </c>
      <c r="B6521">
        <v>2016</v>
      </c>
      <c r="C6521">
        <v>3</v>
      </c>
      <c r="D6521" s="11">
        <v>42430</v>
      </c>
      <c r="E6521" t="s">
        <v>2175</v>
      </c>
      <c r="F6521">
        <v>6</v>
      </c>
      <c r="G6521" t="s">
        <v>57</v>
      </c>
      <c r="H6521" t="s">
        <v>47</v>
      </c>
      <c r="I6521" t="s">
        <v>2195</v>
      </c>
      <c r="J6521" s="10">
        <v>5</v>
      </c>
      <c r="K6521" t="b">
        <v>1</v>
      </c>
    </row>
    <row r="6522" spans="1:11">
      <c r="A6522" s="12">
        <v>42456</v>
      </c>
      <c r="B6522">
        <v>2016</v>
      </c>
      <c r="C6522">
        <v>3</v>
      </c>
      <c r="D6522" s="11">
        <v>42430</v>
      </c>
      <c r="E6522" t="s">
        <v>2175</v>
      </c>
      <c r="F6522">
        <v>7</v>
      </c>
      <c r="G6522" t="s">
        <v>59</v>
      </c>
      <c r="H6522" t="s">
        <v>40</v>
      </c>
      <c r="I6522" t="s">
        <v>2188</v>
      </c>
      <c r="J6522" s="10">
        <v>7.83</v>
      </c>
      <c r="K6522" t="b">
        <v>1</v>
      </c>
    </row>
    <row r="6523" spans="1:11">
      <c r="A6523" s="12">
        <v>42456</v>
      </c>
      <c r="B6523">
        <v>2016</v>
      </c>
      <c r="C6523">
        <v>3</v>
      </c>
      <c r="D6523" s="11">
        <v>42430</v>
      </c>
      <c r="E6523" t="s">
        <v>2175</v>
      </c>
      <c r="F6523">
        <v>7</v>
      </c>
      <c r="G6523" t="s">
        <v>59</v>
      </c>
      <c r="H6523" t="s">
        <v>41</v>
      </c>
      <c r="I6523" t="s">
        <v>2189</v>
      </c>
      <c r="J6523" s="10">
        <v>5.449</v>
      </c>
      <c r="K6523" t="b">
        <v>1</v>
      </c>
    </row>
    <row r="6524" spans="1:11">
      <c r="A6524" s="12">
        <v>42456</v>
      </c>
      <c r="B6524">
        <v>2016</v>
      </c>
      <c r="C6524">
        <v>3</v>
      </c>
      <c r="D6524" s="11">
        <v>42430</v>
      </c>
      <c r="E6524" t="s">
        <v>2175</v>
      </c>
      <c r="F6524">
        <v>7</v>
      </c>
      <c r="G6524" t="s">
        <v>59</v>
      </c>
      <c r="H6524" t="s">
        <v>42</v>
      </c>
      <c r="I6524" t="s">
        <v>2190</v>
      </c>
      <c r="J6524" s="10">
        <v>13.7</v>
      </c>
      <c r="K6524" t="b">
        <v>1</v>
      </c>
    </row>
    <row r="6525" spans="1:11">
      <c r="A6525" s="12">
        <v>42456</v>
      </c>
      <c r="B6525">
        <v>2016</v>
      </c>
      <c r="C6525">
        <v>3</v>
      </c>
      <c r="D6525" s="11">
        <v>42430</v>
      </c>
      <c r="E6525" t="s">
        <v>2175</v>
      </c>
      <c r="F6525">
        <v>7</v>
      </c>
      <c r="G6525" t="s">
        <v>59</v>
      </c>
      <c r="H6525" t="s">
        <v>43</v>
      </c>
      <c r="I6525" t="s">
        <v>2191</v>
      </c>
      <c r="J6525" s="10">
        <v>63.3</v>
      </c>
      <c r="K6525" t="b">
        <v>1</v>
      </c>
    </row>
    <row r="6526" spans="1:11">
      <c r="A6526" s="12">
        <v>42456</v>
      </c>
      <c r="B6526">
        <v>2016</v>
      </c>
      <c r="C6526">
        <v>3</v>
      </c>
      <c r="D6526" s="11">
        <v>42430</v>
      </c>
      <c r="E6526" t="s">
        <v>2175</v>
      </c>
      <c r="F6526">
        <v>7</v>
      </c>
      <c r="G6526" t="s">
        <v>59</v>
      </c>
      <c r="H6526" t="s">
        <v>44</v>
      </c>
      <c r="I6526" t="s">
        <v>2192</v>
      </c>
      <c r="J6526" s="10">
        <v>11</v>
      </c>
      <c r="K6526" t="b">
        <v>1</v>
      </c>
    </row>
    <row r="6527" spans="1:11">
      <c r="A6527" s="12">
        <v>42456</v>
      </c>
      <c r="B6527">
        <v>2016</v>
      </c>
      <c r="C6527">
        <v>3</v>
      </c>
      <c r="D6527" s="11">
        <v>42430</v>
      </c>
      <c r="E6527" t="s">
        <v>2175</v>
      </c>
      <c r="F6527">
        <v>7</v>
      </c>
      <c r="G6527" t="s">
        <v>59</v>
      </c>
      <c r="H6527" t="s">
        <v>45</v>
      </c>
      <c r="I6527" t="s">
        <v>2193</v>
      </c>
      <c r="J6527" s="10">
        <v>1</v>
      </c>
      <c r="K6527" t="b">
        <v>1</v>
      </c>
    </row>
    <row r="6528" spans="1:11">
      <c r="A6528" s="12">
        <v>42456</v>
      </c>
      <c r="B6528">
        <v>2016</v>
      </c>
      <c r="C6528">
        <v>3</v>
      </c>
      <c r="D6528" s="11">
        <v>42430</v>
      </c>
      <c r="E6528" t="s">
        <v>2175</v>
      </c>
      <c r="F6528">
        <v>7</v>
      </c>
      <c r="G6528" t="s">
        <v>59</v>
      </c>
      <c r="H6528" t="s">
        <v>46</v>
      </c>
      <c r="I6528" t="s">
        <v>2194</v>
      </c>
      <c r="J6528" s="10">
        <v>1</v>
      </c>
      <c r="K6528" t="b">
        <v>1</v>
      </c>
    </row>
    <row r="6529" spans="1:11">
      <c r="A6529" s="12">
        <v>42456</v>
      </c>
      <c r="B6529">
        <v>2016</v>
      </c>
      <c r="C6529">
        <v>3</v>
      </c>
      <c r="D6529" s="11">
        <v>42430</v>
      </c>
      <c r="E6529" t="s">
        <v>2175</v>
      </c>
      <c r="F6529">
        <v>7</v>
      </c>
      <c r="G6529" t="s">
        <v>59</v>
      </c>
      <c r="H6529" t="s">
        <v>47</v>
      </c>
      <c r="I6529" t="s">
        <v>2195</v>
      </c>
      <c r="J6529" s="10">
        <v>4</v>
      </c>
      <c r="K6529" t="b">
        <v>1</v>
      </c>
    </row>
    <row r="6530" spans="1:11">
      <c r="A6530" s="12">
        <v>42457</v>
      </c>
      <c r="B6530">
        <v>2016</v>
      </c>
      <c r="C6530">
        <v>3</v>
      </c>
      <c r="D6530" s="11">
        <v>42430</v>
      </c>
      <c r="E6530" t="s">
        <v>2175</v>
      </c>
      <c r="F6530">
        <v>1</v>
      </c>
      <c r="G6530" t="s">
        <v>61</v>
      </c>
      <c r="H6530" t="s">
        <v>40</v>
      </c>
      <c r="I6530" t="s">
        <v>2188</v>
      </c>
      <c r="J6530" s="10">
        <v>3.34</v>
      </c>
      <c r="K6530" t="b">
        <v>1</v>
      </c>
    </row>
    <row r="6531" spans="1:11">
      <c r="A6531" s="12">
        <v>42457</v>
      </c>
      <c r="B6531">
        <v>2016</v>
      </c>
      <c r="C6531">
        <v>3</v>
      </c>
      <c r="D6531" s="11">
        <v>42430</v>
      </c>
      <c r="E6531" t="s">
        <v>2175</v>
      </c>
      <c r="F6531">
        <v>1</v>
      </c>
      <c r="G6531" t="s">
        <v>61</v>
      </c>
      <c r="H6531" t="s">
        <v>41</v>
      </c>
      <c r="I6531" t="s">
        <v>2189</v>
      </c>
      <c r="J6531" s="10">
        <v>2.34</v>
      </c>
      <c r="K6531" t="b">
        <v>1</v>
      </c>
    </row>
    <row r="6532" spans="1:11">
      <c r="A6532" s="12">
        <v>42457</v>
      </c>
      <c r="B6532">
        <v>2016</v>
      </c>
      <c r="C6532">
        <v>3</v>
      </c>
      <c r="D6532" s="11">
        <v>42430</v>
      </c>
      <c r="E6532" t="s">
        <v>2175</v>
      </c>
      <c r="F6532">
        <v>1</v>
      </c>
      <c r="G6532" t="s">
        <v>61</v>
      </c>
      <c r="H6532" t="s">
        <v>42</v>
      </c>
      <c r="I6532" t="s">
        <v>2190</v>
      </c>
      <c r="J6532" s="10">
        <v>1.7</v>
      </c>
      <c r="K6532" t="b">
        <v>1</v>
      </c>
    </row>
    <row r="6533" spans="1:11">
      <c r="A6533" s="12">
        <v>42457</v>
      </c>
      <c r="B6533">
        <v>2016</v>
      </c>
      <c r="C6533">
        <v>3</v>
      </c>
      <c r="D6533" s="11">
        <v>42430</v>
      </c>
      <c r="E6533" t="s">
        <v>2175</v>
      </c>
      <c r="F6533">
        <v>1</v>
      </c>
      <c r="G6533" t="s">
        <v>61</v>
      </c>
      <c r="H6533" t="s">
        <v>43</v>
      </c>
      <c r="I6533" t="s">
        <v>2191</v>
      </c>
      <c r="J6533" s="10">
        <v>24.6</v>
      </c>
      <c r="K6533" t="b">
        <v>1</v>
      </c>
    </row>
    <row r="6534" spans="1:11">
      <c r="A6534" s="12">
        <v>42457</v>
      </c>
      <c r="B6534">
        <v>2016</v>
      </c>
      <c r="C6534">
        <v>3</v>
      </c>
      <c r="D6534" s="11">
        <v>42430</v>
      </c>
      <c r="E6534" t="s">
        <v>2175</v>
      </c>
      <c r="F6534">
        <v>1</v>
      </c>
      <c r="G6534" t="s">
        <v>61</v>
      </c>
      <c r="H6534" t="s">
        <v>44</v>
      </c>
      <c r="I6534" t="s">
        <v>2192</v>
      </c>
      <c r="J6534" s="10">
        <v>20</v>
      </c>
      <c r="K6534" t="b">
        <v>1</v>
      </c>
    </row>
    <row r="6535" spans="1:11">
      <c r="A6535" s="12">
        <v>42457</v>
      </c>
      <c r="B6535">
        <v>2016</v>
      </c>
      <c r="C6535">
        <v>3</v>
      </c>
      <c r="D6535" s="11">
        <v>42430</v>
      </c>
      <c r="E6535" t="s">
        <v>2175</v>
      </c>
      <c r="F6535">
        <v>1</v>
      </c>
      <c r="G6535" t="s">
        <v>61</v>
      </c>
      <c r="H6535" t="s">
        <v>45</v>
      </c>
      <c r="I6535" t="s">
        <v>2193</v>
      </c>
      <c r="J6535" s="10">
        <v>0</v>
      </c>
      <c r="K6535" t="b">
        <v>1</v>
      </c>
    </row>
    <row r="6536" spans="1:11">
      <c r="A6536" s="12">
        <v>42457</v>
      </c>
      <c r="B6536">
        <v>2016</v>
      </c>
      <c r="C6536">
        <v>3</v>
      </c>
      <c r="D6536" s="11">
        <v>42430</v>
      </c>
      <c r="E6536" t="s">
        <v>2175</v>
      </c>
      <c r="F6536">
        <v>1</v>
      </c>
      <c r="G6536" t="s">
        <v>61</v>
      </c>
      <c r="H6536" t="s">
        <v>46</v>
      </c>
      <c r="I6536" t="s">
        <v>2194</v>
      </c>
      <c r="J6536" s="10">
        <v>4</v>
      </c>
      <c r="K6536" t="b">
        <v>1</v>
      </c>
    </row>
    <row r="6537" spans="1:11">
      <c r="A6537" s="12">
        <v>42457</v>
      </c>
      <c r="B6537">
        <v>2016</v>
      </c>
      <c r="C6537">
        <v>3</v>
      </c>
      <c r="D6537" s="11">
        <v>42430</v>
      </c>
      <c r="E6537" t="s">
        <v>2175</v>
      </c>
      <c r="F6537">
        <v>1</v>
      </c>
      <c r="G6537" t="s">
        <v>61</v>
      </c>
      <c r="H6537" t="s">
        <v>47</v>
      </c>
      <c r="I6537" t="s">
        <v>2195</v>
      </c>
      <c r="J6537" s="10">
        <v>4.5</v>
      </c>
      <c r="K6537" t="b">
        <v>1</v>
      </c>
    </row>
    <row r="6538" spans="1:11">
      <c r="A6538" s="12">
        <v>42458</v>
      </c>
      <c r="B6538">
        <v>2016</v>
      </c>
      <c r="C6538">
        <v>3</v>
      </c>
      <c r="D6538" s="11">
        <v>42430</v>
      </c>
      <c r="E6538" t="s">
        <v>2175</v>
      </c>
      <c r="F6538">
        <v>2</v>
      </c>
      <c r="G6538" t="s">
        <v>63</v>
      </c>
      <c r="H6538" t="s">
        <v>40</v>
      </c>
      <c r="I6538" t="s">
        <v>2188</v>
      </c>
      <c r="J6538" s="10">
        <v>5.68</v>
      </c>
      <c r="K6538" t="b">
        <v>1</v>
      </c>
    </row>
    <row r="6539" spans="1:11">
      <c r="A6539" s="12">
        <v>42458</v>
      </c>
      <c r="B6539">
        <v>2016</v>
      </c>
      <c r="C6539">
        <v>3</v>
      </c>
      <c r="D6539" s="11">
        <v>42430</v>
      </c>
      <c r="E6539" t="s">
        <v>2175</v>
      </c>
      <c r="F6539">
        <v>2</v>
      </c>
      <c r="G6539" t="s">
        <v>63</v>
      </c>
      <c r="H6539" t="s">
        <v>41</v>
      </c>
      <c r="I6539" t="s">
        <v>2189</v>
      </c>
      <c r="J6539" s="10">
        <v>1.33</v>
      </c>
      <c r="K6539" t="b">
        <v>1</v>
      </c>
    </row>
    <row r="6540" spans="1:11">
      <c r="A6540" s="12">
        <v>42458</v>
      </c>
      <c r="B6540">
        <v>2016</v>
      </c>
      <c r="C6540">
        <v>3</v>
      </c>
      <c r="D6540" s="11">
        <v>42430</v>
      </c>
      <c r="E6540" t="s">
        <v>2175</v>
      </c>
      <c r="F6540">
        <v>2</v>
      </c>
      <c r="G6540" t="s">
        <v>63</v>
      </c>
      <c r="H6540" t="s">
        <v>42</v>
      </c>
      <c r="I6540" t="s">
        <v>2190</v>
      </c>
      <c r="J6540" s="10">
        <v>3.2</v>
      </c>
      <c r="K6540" t="b">
        <v>1</v>
      </c>
    </row>
    <row r="6541" spans="1:11">
      <c r="A6541" s="12">
        <v>42458</v>
      </c>
      <c r="B6541">
        <v>2016</v>
      </c>
      <c r="C6541">
        <v>3</v>
      </c>
      <c r="D6541" s="11">
        <v>42430</v>
      </c>
      <c r="E6541" t="s">
        <v>2175</v>
      </c>
      <c r="F6541">
        <v>2</v>
      </c>
      <c r="G6541" t="s">
        <v>63</v>
      </c>
      <c r="H6541" t="s">
        <v>43</v>
      </c>
      <c r="I6541" t="s">
        <v>2191</v>
      </c>
      <c r="J6541" s="10">
        <v>36.2</v>
      </c>
      <c r="K6541" t="b">
        <v>1</v>
      </c>
    </row>
    <row r="6542" spans="1:11">
      <c r="A6542" s="12">
        <v>42458</v>
      </c>
      <c r="B6542">
        <v>2016</v>
      </c>
      <c r="C6542">
        <v>3</v>
      </c>
      <c r="D6542" s="11">
        <v>42430</v>
      </c>
      <c r="E6542" t="s">
        <v>2175</v>
      </c>
      <c r="F6542">
        <v>2</v>
      </c>
      <c r="G6542" t="s">
        <v>63</v>
      </c>
      <c r="H6542" t="s">
        <v>44</v>
      </c>
      <c r="I6542" t="s">
        <v>2192</v>
      </c>
      <c r="J6542" s="10">
        <v>4</v>
      </c>
      <c r="K6542" t="b">
        <v>1</v>
      </c>
    </row>
    <row r="6543" spans="1:11">
      <c r="A6543" s="12">
        <v>42458</v>
      </c>
      <c r="B6543">
        <v>2016</v>
      </c>
      <c r="C6543">
        <v>3</v>
      </c>
      <c r="D6543" s="11">
        <v>42430</v>
      </c>
      <c r="E6543" t="s">
        <v>2175</v>
      </c>
      <c r="F6543">
        <v>2</v>
      </c>
      <c r="G6543" t="s">
        <v>63</v>
      </c>
      <c r="H6543" t="s">
        <v>45</v>
      </c>
      <c r="I6543" t="s">
        <v>2193</v>
      </c>
      <c r="J6543" s="10">
        <v>0</v>
      </c>
      <c r="K6543" t="b">
        <v>1</v>
      </c>
    </row>
    <row r="6544" spans="1:11">
      <c r="A6544" s="12">
        <v>42458</v>
      </c>
      <c r="B6544">
        <v>2016</v>
      </c>
      <c r="C6544">
        <v>3</v>
      </c>
      <c r="D6544" s="11">
        <v>42430</v>
      </c>
      <c r="E6544" t="s">
        <v>2175</v>
      </c>
      <c r="F6544">
        <v>2</v>
      </c>
      <c r="G6544" t="s">
        <v>63</v>
      </c>
      <c r="H6544" t="s">
        <v>46</v>
      </c>
      <c r="I6544" t="s">
        <v>2194</v>
      </c>
      <c r="J6544" s="10">
        <v>12</v>
      </c>
      <c r="K6544" t="b">
        <v>1</v>
      </c>
    </row>
    <row r="6545" spans="1:11">
      <c r="A6545" s="12">
        <v>42458</v>
      </c>
      <c r="B6545">
        <v>2016</v>
      </c>
      <c r="C6545">
        <v>3</v>
      </c>
      <c r="D6545" s="11">
        <v>42430</v>
      </c>
      <c r="E6545" t="s">
        <v>2175</v>
      </c>
      <c r="F6545">
        <v>2</v>
      </c>
      <c r="G6545" t="s">
        <v>63</v>
      </c>
      <c r="H6545" t="s">
        <v>47</v>
      </c>
      <c r="I6545" t="s">
        <v>2195</v>
      </c>
      <c r="J6545" s="10">
        <v>1</v>
      </c>
      <c r="K6545" t="b">
        <v>1</v>
      </c>
    </row>
    <row r="6546" spans="1:11">
      <c r="A6546" s="12">
        <v>42459</v>
      </c>
      <c r="B6546">
        <v>2016</v>
      </c>
      <c r="C6546">
        <v>3</v>
      </c>
      <c r="D6546" s="11">
        <v>42430</v>
      </c>
      <c r="E6546" t="s">
        <v>2175</v>
      </c>
      <c r="F6546">
        <v>3</v>
      </c>
      <c r="G6546" t="s">
        <v>65</v>
      </c>
      <c r="H6546" t="s">
        <v>40</v>
      </c>
      <c r="I6546" t="s">
        <v>2188</v>
      </c>
      <c r="J6546" s="10">
        <v>7.16</v>
      </c>
      <c r="K6546" t="b">
        <v>1</v>
      </c>
    </row>
    <row r="6547" spans="1:11">
      <c r="A6547" s="12">
        <v>42459</v>
      </c>
      <c r="B6547">
        <v>2016</v>
      </c>
      <c r="C6547">
        <v>3</v>
      </c>
      <c r="D6547" s="11">
        <v>42430</v>
      </c>
      <c r="E6547" t="s">
        <v>2175</v>
      </c>
      <c r="F6547">
        <v>3</v>
      </c>
      <c r="G6547" t="s">
        <v>65</v>
      </c>
      <c r="H6547" t="s">
        <v>41</v>
      </c>
      <c r="I6547" t="s">
        <v>2189</v>
      </c>
      <c r="J6547" s="10">
        <v>2.68</v>
      </c>
      <c r="K6547" t="b">
        <v>1</v>
      </c>
    </row>
    <row r="6548" spans="1:11">
      <c r="A6548" s="12">
        <v>42459</v>
      </c>
      <c r="B6548">
        <v>2016</v>
      </c>
      <c r="C6548">
        <v>3</v>
      </c>
      <c r="D6548" s="11">
        <v>42430</v>
      </c>
      <c r="E6548" t="s">
        <v>2175</v>
      </c>
      <c r="F6548">
        <v>3</v>
      </c>
      <c r="G6548" t="s">
        <v>65</v>
      </c>
      <c r="H6548" t="s">
        <v>42</v>
      </c>
      <c r="I6548" t="s">
        <v>2190</v>
      </c>
      <c r="J6548" s="10">
        <v>7.4</v>
      </c>
      <c r="K6548" t="b">
        <v>1</v>
      </c>
    </row>
    <row r="6549" spans="1:11">
      <c r="A6549" s="12">
        <v>42459</v>
      </c>
      <c r="B6549">
        <v>2016</v>
      </c>
      <c r="C6549">
        <v>3</v>
      </c>
      <c r="D6549" s="11">
        <v>42430</v>
      </c>
      <c r="E6549" t="s">
        <v>2175</v>
      </c>
      <c r="F6549">
        <v>3</v>
      </c>
      <c r="G6549" t="s">
        <v>65</v>
      </c>
      <c r="H6549" t="s">
        <v>43</v>
      </c>
      <c r="I6549" t="s">
        <v>2191</v>
      </c>
      <c r="J6549" s="10">
        <v>22.2</v>
      </c>
      <c r="K6549" t="b">
        <v>1</v>
      </c>
    </row>
    <row r="6550" spans="1:11">
      <c r="A6550" s="12">
        <v>42459</v>
      </c>
      <c r="B6550">
        <v>2016</v>
      </c>
      <c r="C6550">
        <v>3</v>
      </c>
      <c r="D6550" s="11">
        <v>42430</v>
      </c>
      <c r="E6550" t="s">
        <v>2175</v>
      </c>
      <c r="F6550">
        <v>3</v>
      </c>
      <c r="G6550" t="s">
        <v>65</v>
      </c>
      <c r="H6550" t="s">
        <v>44</v>
      </c>
      <c r="I6550" t="s">
        <v>2192</v>
      </c>
      <c r="J6550" s="10">
        <v>3</v>
      </c>
      <c r="K6550" t="b">
        <v>1</v>
      </c>
    </row>
    <row r="6551" spans="1:11">
      <c r="A6551" s="12">
        <v>42459</v>
      </c>
      <c r="B6551">
        <v>2016</v>
      </c>
      <c r="C6551">
        <v>3</v>
      </c>
      <c r="D6551" s="11">
        <v>42430</v>
      </c>
      <c r="E6551" t="s">
        <v>2175</v>
      </c>
      <c r="F6551">
        <v>3</v>
      </c>
      <c r="G6551" t="s">
        <v>65</v>
      </c>
      <c r="H6551" t="s">
        <v>45</v>
      </c>
      <c r="I6551" t="s">
        <v>2193</v>
      </c>
      <c r="J6551" s="10">
        <v>0</v>
      </c>
      <c r="K6551" t="b">
        <v>1</v>
      </c>
    </row>
    <row r="6552" spans="1:11">
      <c r="A6552" s="12">
        <v>42459</v>
      </c>
      <c r="B6552">
        <v>2016</v>
      </c>
      <c r="C6552">
        <v>3</v>
      </c>
      <c r="D6552" s="11">
        <v>42430</v>
      </c>
      <c r="E6552" t="s">
        <v>2175</v>
      </c>
      <c r="F6552">
        <v>3</v>
      </c>
      <c r="G6552" t="s">
        <v>65</v>
      </c>
      <c r="H6552" t="s">
        <v>46</v>
      </c>
      <c r="I6552" t="s">
        <v>2194</v>
      </c>
      <c r="J6552" s="10">
        <v>12</v>
      </c>
      <c r="K6552" t="b">
        <v>1</v>
      </c>
    </row>
    <row r="6553" spans="1:11">
      <c r="A6553" s="12">
        <v>42459</v>
      </c>
      <c r="B6553">
        <v>2016</v>
      </c>
      <c r="C6553">
        <v>3</v>
      </c>
      <c r="D6553" s="11">
        <v>42430</v>
      </c>
      <c r="E6553" t="s">
        <v>2175</v>
      </c>
      <c r="F6553">
        <v>3</v>
      </c>
      <c r="G6553" t="s">
        <v>65</v>
      </c>
      <c r="H6553" t="s">
        <v>47</v>
      </c>
      <c r="I6553" t="s">
        <v>2195</v>
      </c>
      <c r="J6553" s="10">
        <v>5</v>
      </c>
      <c r="K6553" t="b">
        <v>1</v>
      </c>
    </row>
    <row r="6554" spans="1:11">
      <c r="A6554" s="12">
        <v>42460</v>
      </c>
      <c r="B6554">
        <v>2016</v>
      </c>
      <c r="C6554">
        <v>3</v>
      </c>
      <c r="D6554" s="11">
        <v>42430</v>
      </c>
      <c r="E6554" t="s">
        <v>2175</v>
      </c>
      <c r="F6554">
        <v>4</v>
      </c>
      <c r="G6554" t="s">
        <v>53</v>
      </c>
      <c r="H6554" t="s">
        <v>40</v>
      </c>
      <c r="I6554" t="s">
        <v>2188</v>
      </c>
      <c r="J6554" s="10">
        <v>2.33</v>
      </c>
      <c r="K6554" t="b">
        <v>1</v>
      </c>
    </row>
    <row r="6555" spans="1:11">
      <c r="A6555" s="12">
        <v>42460</v>
      </c>
      <c r="B6555">
        <v>2016</v>
      </c>
      <c r="C6555">
        <v>3</v>
      </c>
      <c r="D6555" s="11">
        <v>42430</v>
      </c>
      <c r="E6555" t="s">
        <v>2175</v>
      </c>
      <c r="F6555">
        <v>4</v>
      </c>
      <c r="G6555" t="s">
        <v>53</v>
      </c>
      <c r="H6555" t="s">
        <v>41</v>
      </c>
      <c r="I6555" t="s">
        <v>2189</v>
      </c>
      <c r="J6555" s="10">
        <v>8.68</v>
      </c>
      <c r="K6555" t="b">
        <v>1</v>
      </c>
    </row>
    <row r="6556" spans="1:11">
      <c r="A6556" s="12">
        <v>42460</v>
      </c>
      <c r="B6556">
        <v>2016</v>
      </c>
      <c r="C6556">
        <v>3</v>
      </c>
      <c r="D6556" s="11">
        <v>42430</v>
      </c>
      <c r="E6556" t="s">
        <v>2175</v>
      </c>
      <c r="F6556">
        <v>4</v>
      </c>
      <c r="G6556" t="s">
        <v>53</v>
      </c>
      <c r="H6556" t="s">
        <v>42</v>
      </c>
      <c r="I6556" t="s">
        <v>2190</v>
      </c>
      <c r="J6556" s="10">
        <v>2.9</v>
      </c>
      <c r="K6556" t="b">
        <v>1</v>
      </c>
    </row>
    <row r="6557" spans="1:11">
      <c r="A6557" s="12">
        <v>42460</v>
      </c>
      <c r="B6557">
        <v>2016</v>
      </c>
      <c r="C6557">
        <v>3</v>
      </c>
      <c r="D6557" s="11">
        <v>42430</v>
      </c>
      <c r="E6557" t="s">
        <v>2175</v>
      </c>
      <c r="F6557">
        <v>4</v>
      </c>
      <c r="G6557" t="s">
        <v>53</v>
      </c>
      <c r="H6557" t="s">
        <v>43</v>
      </c>
      <c r="I6557" t="s">
        <v>2191</v>
      </c>
      <c r="J6557" s="10">
        <v>31.25</v>
      </c>
      <c r="K6557" t="b">
        <v>1</v>
      </c>
    </row>
    <row r="6558" spans="1:11">
      <c r="A6558" s="12">
        <v>42460</v>
      </c>
      <c r="B6558">
        <v>2016</v>
      </c>
      <c r="C6558">
        <v>3</v>
      </c>
      <c r="D6558" s="11">
        <v>42430</v>
      </c>
      <c r="E6558" t="s">
        <v>2175</v>
      </c>
      <c r="F6558">
        <v>4</v>
      </c>
      <c r="G6558" t="s">
        <v>53</v>
      </c>
      <c r="H6558" t="s">
        <v>44</v>
      </c>
      <c r="I6558" t="s">
        <v>2192</v>
      </c>
      <c r="J6558" s="10">
        <v>1</v>
      </c>
      <c r="K6558" t="b">
        <v>1</v>
      </c>
    </row>
    <row r="6559" spans="1:11">
      <c r="A6559" s="12">
        <v>42460</v>
      </c>
      <c r="B6559">
        <v>2016</v>
      </c>
      <c r="C6559">
        <v>3</v>
      </c>
      <c r="D6559" s="11">
        <v>42430</v>
      </c>
      <c r="E6559" t="s">
        <v>2175</v>
      </c>
      <c r="F6559">
        <v>4</v>
      </c>
      <c r="G6559" t="s">
        <v>53</v>
      </c>
      <c r="H6559" t="s">
        <v>45</v>
      </c>
      <c r="I6559" t="s">
        <v>2193</v>
      </c>
      <c r="J6559" s="10">
        <v>0</v>
      </c>
      <c r="K6559" t="b">
        <v>1</v>
      </c>
    </row>
    <row r="6560" spans="1:11">
      <c r="A6560" s="12">
        <v>42460</v>
      </c>
      <c r="B6560">
        <v>2016</v>
      </c>
      <c r="C6560">
        <v>3</v>
      </c>
      <c r="D6560" s="11">
        <v>42430</v>
      </c>
      <c r="E6560" t="s">
        <v>2175</v>
      </c>
      <c r="F6560">
        <v>4</v>
      </c>
      <c r="G6560" t="s">
        <v>53</v>
      </c>
      <c r="H6560" t="s">
        <v>46</v>
      </c>
      <c r="I6560" t="s">
        <v>2194</v>
      </c>
      <c r="J6560" s="10">
        <v>5</v>
      </c>
      <c r="K6560" t="b">
        <v>1</v>
      </c>
    </row>
    <row r="6561" spans="1:11">
      <c r="A6561" s="12">
        <v>42460</v>
      </c>
      <c r="B6561">
        <v>2016</v>
      </c>
      <c r="C6561">
        <v>3</v>
      </c>
      <c r="D6561" s="11">
        <v>42430</v>
      </c>
      <c r="E6561" t="s">
        <v>2175</v>
      </c>
      <c r="F6561">
        <v>4</v>
      </c>
      <c r="G6561" t="s">
        <v>53</v>
      </c>
      <c r="H6561" t="s">
        <v>47</v>
      </c>
      <c r="I6561" t="s">
        <v>2195</v>
      </c>
      <c r="J6561" s="10">
        <v>5</v>
      </c>
      <c r="K6561" t="b">
        <v>1</v>
      </c>
    </row>
    <row r="6562" spans="1:11">
      <c r="A6562" s="12">
        <v>42461</v>
      </c>
      <c r="B6562">
        <v>2016</v>
      </c>
      <c r="C6562">
        <v>4</v>
      </c>
      <c r="D6562" s="11">
        <v>42461</v>
      </c>
      <c r="E6562" t="s">
        <v>2176</v>
      </c>
      <c r="F6562">
        <v>5</v>
      </c>
      <c r="G6562" t="s">
        <v>55</v>
      </c>
      <c r="H6562" t="s">
        <v>40</v>
      </c>
      <c r="I6562" t="s">
        <v>2188</v>
      </c>
      <c r="J6562" s="10">
        <v>6.33</v>
      </c>
      <c r="K6562" t="b">
        <v>1</v>
      </c>
    </row>
    <row r="6563" spans="1:11">
      <c r="A6563" s="12">
        <v>42461</v>
      </c>
      <c r="B6563">
        <v>2016</v>
      </c>
      <c r="C6563">
        <v>4</v>
      </c>
      <c r="D6563" s="11">
        <v>42461</v>
      </c>
      <c r="E6563" t="s">
        <v>2176</v>
      </c>
      <c r="F6563">
        <v>5</v>
      </c>
      <c r="G6563" t="s">
        <v>55</v>
      </c>
      <c r="H6563" t="s">
        <v>41</v>
      </c>
      <c r="I6563" t="s">
        <v>2189</v>
      </c>
      <c r="J6563" s="10">
        <v>3.01</v>
      </c>
      <c r="K6563" t="b">
        <v>1</v>
      </c>
    </row>
    <row r="6564" spans="1:11">
      <c r="A6564" s="12">
        <v>42461</v>
      </c>
      <c r="B6564">
        <v>2016</v>
      </c>
      <c r="C6564">
        <v>4</v>
      </c>
      <c r="D6564" s="11">
        <v>42461</v>
      </c>
      <c r="E6564" t="s">
        <v>2176</v>
      </c>
      <c r="F6564">
        <v>5</v>
      </c>
      <c r="G6564" t="s">
        <v>55</v>
      </c>
      <c r="H6564" t="s">
        <v>42</v>
      </c>
      <c r="I6564" t="s">
        <v>2190</v>
      </c>
      <c r="J6564" s="10">
        <v>2.7</v>
      </c>
      <c r="K6564" t="b">
        <v>1</v>
      </c>
    </row>
    <row r="6565" spans="1:11">
      <c r="A6565" s="12">
        <v>42461</v>
      </c>
      <c r="B6565">
        <v>2016</v>
      </c>
      <c r="C6565">
        <v>4</v>
      </c>
      <c r="D6565" s="11">
        <v>42461</v>
      </c>
      <c r="E6565" t="s">
        <v>2176</v>
      </c>
      <c r="F6565">
        <v>5</v>
      </c>
      <c r="G6565" t="s">
        <v>55</v>
      </c>
      <c r="H6565" t="s">
        <v>43</v>
      </c>
      <c r="I6565" t="s">
        <v>2191</v>
      </c>
      <c r="J6565" s="10">
        <v>50.4</v>
      </c>
      <c r="K6565" t="b">
        <v>1</v>
      </c>
    </row>
    <row r="6566" spans="1:11">
      <c r="A6566" s="12">
        <v>42461</v>
      </c>
      <c r="B6566">
        <v>2016</v>
      </c>
      <c r="C6566">
        <v>4</v>
      </c>
      <c r="D6566" s="11">
        <v>42461</v>
      </c>
      <c r="E6566" t="s">
        <v>2176</v>
      </c>
      <c r="F6566">
        <v>5</v>
      </c>
      <c r="G6566" t="s">
        <v>55</v>
      </c>
      <c r="H6566" t="s">
        <v>44</v>
      </c>
      <c r="I6566" t="s">
        <v>2192</v>
      </c>
      <c r="J6566" s="10">
        <v>4</v>
      </c>
      <c r="K6566" t="b">
        <v>1</v>
      </c>
    </row>
    <row r="6567" spans="1:11">
      <c r="A6567" s="12">
        <v>42461</v>
      </c>
      <c r="B6567">
        <v>2016</v>
      </c>
      <c r="C6567">
        <v>4</v>
      </c>
      <c r="D6567" s="11">
        <v>42461</v>
      </c>
      <c r="E6567" t="s">
        <v>2176</v>
      </c>
      <c r="F6567">
        <v>5</v>
      </c>
      <c r="G6567" t="s">
        <v>55</v>
      </c>
      <c r="H6567" t="s">
        <v>45</v>
      </c>
      <c r="I6567" t="s">
        <v>2193</v>
      </c>
      <c r="J6567" s="10">
        <v>0</v>
      </c>
      <c r="K6567" t="b">
        <v>1</v>
      </c>
    </row>
    <row r="6568" spans="1:11">
      <c r="A6568" s="12">
        <v>42461</v>
      </c>
      <c r="B6568">
        <v>2016</v>
      </c>
      <c r="C6568">
        <v>4</v>
      </c>
      <c r="D6568" s="11">
        <v>42461</v>
      </c>
      <c r="E6568" t="s">
        <v>2176</v>
      </c>
      <c r="F6568">
        <v>5</v>
      </c>
      <c r="G6568" t="s">
        <v>55</v>
      </c>
      <c r="H6568" t="s">
        <v>46</v>
      </c>
      <c r="I6568" t="s">
        <v>2194</v>
      </c>
      <c r="J6568" s="10">
        <v>16</v>
      </c>
      <c r="K6568" t="b">
        <v>1</v>
      </c>
    </row>
    <row r="6569" spans="1:11">
      <c r="A6569" s="12">
        <v>42461</v>
      </c>
      <c r="B6569">
        <v>2016</v>
      </c>
      <c r="C6569">
        <v>4</v>
      </c>
      <c r="D6569" s="11">
        <v>42461</v>
      </c>
      <c r="E6569" t="s">
        <v>2176</v>
      </c>
      <c r="F6569">
        <v>5</v>
      </c>
      <c r="G6569" t="s">
        <v>55</v>
      </c>
      <c r="H6569" t="s">
        <v>47</v>
      </c>
      <c r="I6569" t="s">
        <v>2195</v>
      </c>
      <c r="J6569" s="10">
        <v>10.5</v>
      </c>
      <c r="K6569" t="b">
        <v>1</v>
      </c>
    </row>
    <row r="6570" spans="1:11">
      <c r="A6570" s="12">
        <v>42462</v>
      </c>
      <c r="B6570">
        <v>2016</v>
      </c>
      <c r="C6570">
        <v>4</v>
      </c>
      <c r="D6570" s="11">
        <v>42461</v>
      </c>
      <c r="E6570" t="s">
        <v>2176</v>
      </c>
      <c r="F6570">
        <v>6</v>
      </c>
      <c r="G6570" t="s">
        <v>57</v>
      </c>
      <c r="H6570" t="s">
        <v>40</v>
      </c>
      <c r="I6570" t="s">
        <v>2188</v>
      </c>
      <c r="J6570" s="10">
        <v>3.67</v>
      </c>
      <c r="K6570" t="b">
        <v>1</v>
      </c>
    </row>
    <row r="6571" spans="1:11">
      <c r="A6571" s="12">
        <v>42462</v>
      </c>
      <c r="B6571">
        <v>2016</v>
      </c>
      <c r="C6571">
        <v>4</v>
      </c>
      <c r="D6571" s="11">
        <v>42461</v>
      </c>
      <c r="E6571" t="s">
        <v>2176</v>
      </c>
      <c r="F6571">
        <v>6</v>
      </c>
      <c r="G6571" t="s">
        <v>57</v>
      </c>
      <c r="H6571" t="s">
        <v>41</v>
      </c>
      <c r="I6571" t="s">
        <v>2189</v>
      </c>
      <c r="J6571" s="10">
        <v>2</v>
      </c>
      <c r="K6571" t="b">
        <v>1</v>
      </c>
    </row>
    <row r="6572" spans="1:11">
      <c r="A6572" s="12">
        <v>42462</v>
      </c>
      <c r="B6572">
        <v>2016</v>
      </c>
      <c r="C6572">
        <v>4</v>
      </c>
      <c r="D6572" s="11">
        <v>42461</v>
      </c>
      <c r="E6572" t="s">
        <v>2176</v>
      </c>
      <c r="F6572">
        <v>6</v>
      </c>
      <c r="G6572" t="s">
        <v>57</v>
      </c>
      <c r="H6572" t="s">
        <v>42</v>
      </c>
      <c r="I6572" t="s">
        <v>2190</v>
      </c>
      <c r="J6572" s="10">
        <v>7</v>
      </c>
      <c r="K6572" t="b">
        <v>1</v>
      </c>
    </row>
    <row r="6573" spans="1:11">
      <c r="A6573" s="12">
        <v>42462</v>
      </c>
      <c r="B6573">
        <v>2016</v>
      </c>
      <c r="C6573">
        <v>4</v>
      </c>
      <c r="D6573" s="11">
        <v>42461</v>
      </c>
      <c r="E6573" t="s">
        <v>2176</v>
      </c>
      <c r="F6573">
        <v>6</v>
      </c>
      <c r="G6573" t="s">
        <v>57</v>
      </c>
      <c r="H6573" t="s">
        <v>43</v>
      </c>
      <c r="I6573" t="s">
        <v>2191</v>
      </c>
      <c r="J6573" s="10">
        <v>32.3</v>
      </c>
      <c r="K6573" t="b">
        <v>1</v>
      </c>
    </row>
    <row r="6574" spans="1:11">
      <c r="A6574" s="12">
        <v>42462</v>
      </c>
      <c r="B6574">
        <v>2016</v>
      </c>
      <c r="C6574">
        <v>4</v>
      </c>
      <c r="D6574" s="11">
        <v>42461</v>
      </c>
      <c r="E6574" t="s">
        <v>2176</v>
      </c>
      <c r="F6574">
        <v>6</v>
      </c>
      <c r="G6574" t="s">
        <v>57</v>
      </c>
      <c r="H6574" t="s">
        <v>44</v>
      </c>
      <c r="I6574" t="s">
        <v>2192</v>
      </c>
      <c r="J6574" s="10">
        <v>4</v>
      </c>
      <c r="K6574" t="b">
        <v>1</v>
      </c>
    </row>
    <row r="6575" spans="1:11">
      <c r="A6575" s="12">
        <v>42462</v>
      </c>
      <c r="B6575">
        <v>2016</v>
      </c>
      <c r="C6575">
        <v>4</v>
      </c>
      <c r="D6575" s="11">
        <v>42461</v>
      </c>
      <c r="E6575" t="s">
        <v>2176</v>
      </c>
      <c r="F6575">
        <v>6</v>
      </c>
      <c r="G6575" t="s">
        <v>57</v>
      </c>
      <c r="H6575" t="s">
        <v>45</v>
      </c>
      <c r="I6575" t="s">
        <v>2193</v>
      </c>
      <c r="J6575" s="10">
        <v>0</v>
      </c>
      <c r="K6575" t="b">
        <v>1</v>
      </c>
    </row>
    <row r="6576" spans="1:11">
      <c r="A6576" s="12">
        <v>42462</v>
      </c>
      <c r="B6576">
        <v>2016</v>
      </c>
      <c r="C6576">
        <v>4</v>
      </c>
      <c r="D6576" s="11">
        <v>42461</v>
      </c>
      <c r="E6576" t="s">
        <v>2176</v>
      </c>
      <c r="F6576">
        <v>6</v>
      </c>
      <c r="G6576" t="s">
        <v>57</v>
      </c>
      <c r="H6576" t="s">
        <v>46</v>
      </c>
      <c r="I6576" t="s">
        <v>2194</v>
      </c>
      <c r="J6576" s="10">
        <v>19</v>
      </c>
      <c r="K6576" t="b">
        <v>1</v>
      </c>
    </row>
    <row r="6577" spans="1:11">
      <c r="A6577" s="12">
        <v>42462</v>
      </c>
      <c r="B6577">
        <v>2016</v>
      </c>
      <c r="C6577">
        <v>4</v>
      </c>
      <c r="D6577" s="11">
        <v>42461</v>
      </c>
      <c r="E6577" t="s">
        <v>2176</v>
      </c>
      <c r="F6577">
        <v>6</v>
      </c>
      <c r="G6577" t="s">
        <v>57</v>
      </c>
      <c r="H6577" t="s">
        <v>47</v>
      </c>
      <c r="I6577" t="s">
        <v>2195</v>
      </c>
      <c r="J6577" s="10">
        <v>7.4</v>
      </c>
      <c r="K6577" t="b">
        <v>1</v>
      </c>
    </row>
    <row r="6578" spans="1:11">
      <c r="A6578" s="12">
        <v>42463</v>
      </c>
      <c r="B6578">
        <v>2016</v>
      </c>
      <c r="C6578">
        <v>4</v>
      </c>
      <c r="D6578" s="11">
        <v>42461</v>
      </c>
      <c r="E6578" t="s">
        <v>2176</v>
      </c>
      <c r="F6578">
        <v>7</v>
      </c>
      <c r="G6578" t="s">
        <v>59</v>
      </c>
      <c r="H6578" t="s">
        <v>40</v>
      </c>
      <c r="I6578" t="s">
        <v>2188</v>
      </c>
      <c r="J6578" s="10">
        <v>9.67</v>
      </c>
      <c r="K6578" t="b">
        <v>1</v>
      </c>
    </row>
    <row r="6579" spans="1:11">
      <c r="A6579" s="12">
        <v>42463</v>
      </c>
      <c r="B6579">
        <v>2016</v>
      </c>
      <c r="C6579">
        <v>4</v>
      </c>
      <c r="D6579" s="11">
        <v>42461</v>
      </c>
      <c r="E6579" t="s">
        <v>2176</v>
      </c>
      <c r="F6579">
        <v>7</v>
      </c>
      <c r="G6579" t="s">
        <v>59</v>
      </c>
      <c r="H6579" t="s">
        <v>41</v>
      </c>
      <c r="I6579" t="s">
        <v>2189</v>
      </c>
      <c r="J6579" s="10">
        <v>7.396</v>
      </c>
      <c r="K6579" t="b">
        <v>1</v>
      </c>
    </row>
    <row r="6580" spans="1:11">
      <c r="A6580" s="12">
        <v>42463</v>
      </c>
      <c r="B6580">
        <v>2016</v>
      </c>
      <c r="C6580">
        <v>4</v>
      </c>
      <c r="D6580" s="11">
        <v>42461</v>
      </c>
      <c r="E6580" t="s">
        <v>2176</v>
      </c>
      <c r="F6580">
        <v>7</v>
      </c>
      <c r="G6580" t="s">
        <v>59</v>
      </c>
      <c r="H6580" t="s">
        <v>42</v>
      </c>
      <c r="I6580" t="s">
        <v>2190</v>
      </c>
      <c r="J6580" s="10">
        <v>5.3</v>
      </c>
      <c r="K6580" t="b">
        <v>1</v>
      </c>
    </row>
    <row r="6581" spans="1:11">
      <c r="A6581" s="12">
        <v>42463</v>
      </c>
      <c r="B6581">
        <v>2016</v>
      </c>
      <c r="C6581">
        <v>4</v>
      </c>
      <c r="D6581" s="11">
        <v>42461</v>
      </c>
      <c r="E6581" t="s">
        <v>2176</v>
      </c>
      <c r="F6581">
        <v>7</v>
      </c>
      <c r="G6581" t="s">
        <v>59</v>
      </c>
      <c r="H6581" t="s">
        <v>43</v>
      </c>
      <c r="I6581" t="s">
        <v>2191</v>
      </c>
      <c r="J6581" s="10">
        <v>73.5</v>
      </c>
      <c r="K6581" t="b">
        <v>1</v>
      </c>
    </row>
    <row r="6582" spans="1:11">
      <c r="A6582" s="12">
        <v>42463</v>
      </c>
      <c r="B6582">
        <v>2016</v>
      </c>
      <c r="C6582">
        <v>4</v>
      </c>
      <c r="D6582" s="11">
        <v>42461</v>
      </c>
      <c r="E6582" t="s">
        <v>2176</v>
      </c>
      <c r="F6582">
        <v>7</v>
      </c>
      <c r="G6582" t="s">
        <v>59</v>
      </c>
      <c r="H6582" t="s">
        <v>44</v>
      </c>
      <c r="I6582" t="s">
        <v>2192</v>
      </c>
      <c r="J6582" s="10">
        <v>5</v>
      </c>
      <c r="K6582" t="b">
        <v>1</v>
      </c>
    </row>
    <row r="6583" spans="1:11">
      <c r="A6583" s="12">
        <v>42463</v>
      </c>
      <c r="B6583">
        <v>2016</v>
      </c>
      <c r="C6583">
        <v>4</v>
      </c>
      <c r="D6583" s="11">
        <v>42461</v>
      </c>
      <c r="E6583" t="s">
        <v>2176</v>
      </c>
      <c r="F6583">
        <v>7</v>
      </c>
      <c r="G6583" t="s">
        <v>59</v>
      </c>
      <c r="H6583" t="s">
        <v>45</v>
      </c>
      <c r="I6583" t="s">
        <v>2193</v>
      </c>
      <c r="J6583" s="10">
        <v>0</v>
      </c>
      <c r="K6583" t="b">
        <v>1</v>
      </c>
    </row>
    <row r="6584" spans="1:11">
      <c r="A6584" s="12">
        <v>42463</v>
      </c>
      <c r="B6584">
        <v>2016</v>
      </c>
      <c r="C6584">
        <v>4</v>
      </c>
      <c r="D6584" s="11">
        <v>42461</v>
      </c>
      <c r="E6584" t="s">
        <v>2176</v>
      </c>
      <c r="F6584">
        <v>7</v>
      </c>
      <c r="G6584" t="s">
        <v>59</v>
      </c>
      <c r="H6584" t="s">
        <v>46</v>
      </c>
      <c r="I6584" t="s">
        <v>2194</v>
      </c>
      <c r="J6584" s="10">
        <v>6</v>
      </c>
      <c r="K6584" t="b">
        <v>1</v>
      </c>
    </row>
    <row r="6585" spans="1:11">
      <c r="A6585" s="12">
        <v>42463</v>
      </c>
      <c r="B6585">
        <v>2016</v>
      </c>
      <c r="C6585">
        <v>4</v>
      </c>
      <c r="D6585" s="11">
        <v>42461</v>
      </c>
      <c r="E6585" t="s">
        <v>2176</v>
      </c>
      <c r="F6585">
        <v>7</v>
      </c>
      <c r="G6585" t="s">
        <v>59</v>
      </c>
      <c r="H6585" t="s">
        <v>47</v>
      </c>
      <c r="I6585" t="s">
        <v>2195</v>
      </c>
      <c r="J6585" s="10">
        <v>11</v>
      </c>
      <c r="K6585" t="b">
        <v>1</v>
      </c>
    </row>
    <row r="6586" spans="1:11">
      <c r="A6586" s="12">
        <v>42464</v>
      </c>
      <c r="B6586">
        <v>2016</v>
      </c>
      <c r="C6586">
        <v>4</v>
      </c>
      <c r="D6586" s="11">
        <v>42461</v>
      </c>
      <c r="E6586" t="s">
        <v>2176</v>
      </c>
      <c r="F6586">
        <v>1</v>
      </c>
      <c r="G6586" t="s">
        <v>61</v>
      </c>
      <c r="H6586" t="s">
        <v>40</v>
      </c>
      <c r="I6586" t="s">
        <v>2188</v>
      </c>
      <c r="J6586" s="10">
        <v>7</v>
      </c>
      <c r="K6586" t="b">
        <v>1</v>
      </c>
    </row>
    <row r="6587" spans="1:11">
      <c r="A6587" s="12">
        <v>42464</v>
      </c>
      <c r="B6587">
        <v>2016</v>
      </c>
      <c r="C6587">
        <v>4</v>
      </c>
      <c r="D6587" s="11">
        <v>42461</v>
      </c>
      <c r="E6587" t="s">
        <v>2176</v>
      </c>
      <c r="F6587">
        <v>1</v>
      </c>
      <c r="G6587" t="s">
        <v>61</v>
      </c>
      <c r="H6587" t="s">
        <v>41</v>
      </c>
      <c r="I6587" t="s">
        <v>2189</v>
      </c>
      <c r="J6587" s="10">
        <v>5.231</v>
      </c>
      <c r="K6587" t="b">
        <v>1</v>
      </c>
    </row>
    <row r="6588" spans="1:11">
      <c r="A6588" s="12">
        <v>42464</v>
      </c>
      <c r="B6588">
        <v>2016</v>
      </c>
      <c r="C6588">
        <v>4</v>
      </c>
      <c r="D6588" s="11">
        <v>42461</v>
      </c>
      <c r="E6588" t="s">
        <v>2176</v>
      </c>
      <c r="F6588">
        <v>1</v>
      </c>
      <c r="G6588" t="s">
        <v>61</v>
      </c>
      <c r="H6588" t="s">
        <v>42</v>
      </c>
      <c r="I6588" t="s">
        <v>2190</v>
      </c>
      <c r="J6588" s="10">
        <v>5</v>
      </c>
      <c r="K6588" t="b">
        <v>1</v>
      </c>
    </row>
    <row r="6589" spans="1:11">
      <c r="A6589" s="12">
        <v>42464</v>
      </c>
      <c r="B6589">
        <v>2016</v>
      </c>
      <c r="C6589">
        <v>4</v>
      </c>
      <c r="D6589" s="11">
        <v>42461</v>
      </c>
      <c r="E6589" t="s">
        <v>2176</v>
      </c>
      <c r="F6589">
        <v>1</v>
      </c>
      <c r="G6589" t="s">
        <v>61</v>
      </c>
      <c r="H6589" t="s">
        <v>43</v>
      </c>
      <c r="I6589" t="s">
        <v>2191</v>
      </c>
      <c r="J6589" s="10">
        <v>21.6</v>
      </c>
      <c r="K6589" t="b">
        <v>1</v>
      </c>
    </row>
    <row r="6590" spans="1:11">
      <c r="A6590" s="12">
        <v>42464</v>
      </c>
      <c r="B6590">
        <v>2016</v>
      </c>
      <c r="C6590">
        <v>4</v>
      </c>
      <c r="D6590" s="11">
        <v>42461</v>
      </c>
      <c r="E6590" t="s">
        <v>2176</v>
      </c>
      <c r="F6590">
        <v>1</v>
      </c>
      <c r="G6590" t="s">
        <v>61</v>
      </c>
      <c r="H6590" t="s">
        <v>44</v>
      </c>
      <c r="I6590" t="s">
        <v>2192</v>
      </c>
      <c r="J6590" s="10">
        <v>3</v>
      </c>
      <c r="K6590" t="b">
        <v>1</v>
      </c>
    </row>
    <row r="6591" spans="1:11">
      <c r="A6591" s="12">
        <v>42464</v>
      </c>
      <c r="B6591">
        <v>2016</v>
      </c>
      <c r="C6591">
        <v>4</v>
      </c>
      <c r="D6591" s="11">
        <v>42461</v>
      </c>
      <c r="E6591" t="s">
        <v>2176</v>
      </c>
      <c r="F6591">
        <v>1</v>
      </c>
      <c r="G6591" t="s">
        <v>61</v>
      </c>
      <c r="H6591" t="s">
        <v>45</v>
      </c>
      <c r="I6591" t="s">
        <v>2193</v>
      </c>
      <c r="J6591" s="10">
        <v>1</v>
      </c>
      <c r="K6591" t="b">
        <v>1</v>
      </c>
    </row>
    <row r="6592" spans="1:11">
      <c r="A6592" s="12">
        <v>42464</v>
      </c>
      <c r="B6592">
        <v>2016</v>
      </c>
      <c r="C6592">
        <v>4</v>
      </c>
      <c r="D6592" s="11">
        <v>42461</v>
      </c>
      <c r="E6592" t="s">
        <v>2176</v>
      </c>
      <c r="F6592">
        <v>1</v>
      </c>
      <c r="G6592" t="s">
        <v>61</v>
      </c>
      <c r="H6592" t="s">
        <v>46</v>
      </c>
      <c r="I6592" t="s">
        <v>2194</v>
      </c>
      <c r="J6592" s="10">
        <v>11</v>
      </c>
      <c r="K6592" t="b">
        <v>1</v>
      </c>
    </row>
    <row r="6593" spans="1:11">
      <c r="A6593" s="12">
        <v>42464</v>
      </c>
      <c r="B6593">
        <v>2016</v>
      </c>
      <c r="C6593">
        <v>4</v>
      </c>
      <c r="D6593" s="11">
        <v>42461</v>
      </c>
      <c r="E6593" t="s">
        <v>2176</v>
      </c>
      <c r="F6593">
        <v>1</v>
      </c>
      <c r="G6593" t="s">
        <v>61</v>
      </c>
      <c r="H6593" t="s">
        <v>47</v>
      </c>
      <c r="I6593" t="s">
        <v>2195</v>
      </c>
      <c r="J6593" s="10">
        <v>2</v>
      </c>
      <c r="K6593" t="b">
        <v>1</v>
      </c>
    </row>
    <row r="6594" spans="1:11">
      <c r="A6594" s="12">
        <v>42465</v>
      </c>
      <c r="B6594">
        <v>2016</v>
      </c>
      <c r="C6594">
        <v>4</v>
      </c>
      <c r="D6594" s="11">
        <v>42461</v>
      </c>
      <c r="E6594" t="s">
        <v>2176</v>
      </c>
      <c r="F6594">
        <v>2</v>
      </c>
      <c r="G6594" t="s">
        <v>63</v>
      </c>
      <c r="H6594" t="s">
        <v>40</v>
      </c>
      <c r="I6594" t="s">
        <v>2188</v>
      </c>
      <c r="J6594" s="10">
        <v>6</v>
      </c>
      <c r="K6594" t="b">
        <v>1</v>
      </c>
    </row>
    <row r="6595" spans="1:11">
      <c r="A6595" s="12">
        <v>42465</v>
      </c>
      <c r="B6595">
        <v>2016</v>
      </c>
      <c r="C6595">
        <v>4</v>
      </c>
      <c r="D6595" s="11">
        <v>42461</v>
      </c>
      <c r="E6595" t="s">
        <v>2176</v>
      </c>
      <c r="F6595">
        <v>2</v>
      </c>
      <c r="G6595" t="s">
        <v>63</v>
      </c>
      <c r="H6595" t="s">
        <v>41</v>
      </c>
      <c r="I6595" t="s">
        <v>2189</v>
      </c>
      <c r="J6595" s="10">
        <v>5.33</v>
      </c>
      <c r="K6595" t="b">
        <v>1</v>
      </c>
    </row>
    <row r="6596" spans="1:11">
      <c r="A6596" s="12">
        <v>42465</v>
      </c>
      <c r="B6596">
        <v>2016</v>
      </c>
      <c r="C6596">
        <v>4</v>
      </c>
      <c r="D6596" s="11">
        <v>42461</v>
      </c>
      <c r="E6596" t="s">
        <v>2176</v>
      </c>
      <c r="F6596">
        <v>2</v>
      </c>
      <c r="G6596" t="s">
        <v>63</v>
      </c>
      <c r="H6596" t="s">
        <v>42</v>
      </c>
      <c r="I6596" t="s">
        <v>2190</v>
      </c>
      <c r="J6596" s="10">
        <v>4</v>
      </c>
      <c r="K6596" t="b">
        <v>1</v>
      </c>
    </row>
    <row r="6597" spans="1:11">
      <c r="A6597" s="12">
        <v>42465</v>
      </c>
      <c r="B6597">
        <v>2016</v>
      </c>
      <c r="C6597">
        <v>4</v>
      </c>
      <c r="D6597" s="11">
        <v>42461</v>
      </c>
      <c r="E6597" t="s">
        <v>2176</v>
      </c>
      <c r="F6597">
        <v>2</v>
      </c>
      <c r="G6597" t="s">
        <v>63</v>
      </c>
      <c r="H6597" t="s">
        <v>43</v>
      </c>
      <c r="I6597" t="s">
        <v>2191</v>
      </c>
      <c r="J6597" s="10">
        <v>40.3</v>
      </c>
      <c r="K6597" t="b">
        <v>1</v>
      </c>
    </row>
    <row r="6598" spans="1:11">
      <c r="A6598" s="12">
        <v>42465</v>
      </c>
      <c r="B6598">
        <v>2016</v>
      </c>
      <c r="C6598">
        <v>4</v>
      </c>
      <c r="D6598" s="11">
        <v>42461</v>
      </c>
      <c r="E6598" t="s">
        <v>2176</v>
      </c>
      <c r="F6598">
        <v>2</v>
      </c>
      <c r="G6598" t="s">
        <v>63</v>
      </c>
      <c r="H6598" t="s">
        <v>44</v>
      </c>
      <c r="I6598" t="s">
        <v>2192</v>
      </c>
      <c r="J6598" s="10">
        <v>5</v>
      </c>
      <c r="K6598" t="b">
        <v>1</v>
      </c>
    </row>
    <row r="6599" spans="1:11">
      <c r="A6599" s="12">
        <v>42465</v>
      </c>
      <c r="B6599">
        <v>2016</v>
      </c>
      <c r="C6599">
        <v>4</v>
      </c>
      <c r="D6599" s="11">
        <v>42461</v>
      </c>
      <c r="E6599" t="s">
        <v>2176</v>
      </c>
      <c r="F6599">
        <v>2</v>
      </c>
      <c r="G6599" t="s">
        <v>63</v>
      </c>
      <c r="H6599" t="s">
        <v>45</v>
      </c>
      <c r="I6599" t="s">
        <v>2193</v>
      </c>
      <c r="J6599" s="10">
        <v>1</v>
      </c>
      <c r="K6599" t="b">
        <v>1</v>
      </c>
    </row>
    <row r="6600" spans="1:11">
      <c r="A6600" s="12">
        <v>42465</v>
      </c>
      <c r="B6600">
        <v>2016</v>
      </c>
      <c r="C6600">
        <v>4</v>
      </c>
      <c r="D6600" s="11">
        <v>42461</v>
      </c>
      <c r="E6600" t="s">
        <v>2176</v>
      </c>
      <c r="F6600">
        <v>2</v>
      </c>
      <c r="G6600" t="s">
        <v>63</v>
      </c>
      <c r="H6600" t="s">
        <v>46</v>
      </c>
      <c r="I6600" t="s">
        <v>2194</v>
      </c>
      <c r="J6600" s="10">
        <v>11</v>
      </c>
      <c r="K6600" t="b">
        <v>1</v>
      </c>
    </row>
    <row r="6601" spans="1:11">
      <c r="A6601" s="12">
        <v>42465</v>
      </c>
      <c r="B6601">
        <v>2016</v>
      </c>
      <c r="C6601">
        <v>4</v>
      </c>
      <c r="D6601" s="11">
        <v>42461</v>
      </c>
      <c r="E6601" t="s">
        <v>2176</v>
      </c>
      <c r="F6601">
        <v>2</v>
      </c>
      <c r="G6601" t="s">
        <v>63</v>
      </c>
      <c r="H6601" t="s">
        <v>47</v>
      </c>
      <c r="I6601" t="s">
        <v>2195</v>
      </c>
      <c r="J6601" s="10">
        <v>12</v>
      </c>
      <c r="K6601" t="b">
        <v>1</v>
      </c>
    </row>
    <row r="6602" spans="1:11">
      <c r="A6602" s="12">
        <v>42466</v>
      </c>
      <c r="B6602">
        <v>2016</v>
      </c>
      <c r="C6602">
        <v>4</v>
      </c>
      <c r="D6602" s="11">
        <v>42461</v>
      </c>
      <c r="E6602" t="s">
        <v>2176</v>
      </c>
      <c r="F6602">
        <v>3</v>
      </c>
      <c r="G6602" t="s">
        <v>65</v>
      </c>
      <c r="H6602" t="s">
        <v>40</v>
      </c>
      <c r="I6602" t="s">
        <v>2188</v>
      </c>
      <c r="J6602" s="10">
        <v>6.66</v>
      </c>
      <c r="K6602" t="b">
        <v>1</v>
      </c>
    </row>
    <row r="6603" spans="1:11">
      <c r="A6603" s="12">
        <v>42466</v>
      </c>
      <c r="B6603">
        <v>2016</v>
      </c>
      <c r="C6603">
        <v>4</v>
      </c>
      <c r="D6603" s="11">
        <v>42461</v>
      </c>
      <c r="E6603" t="s">
        <v>2176</v>
      </c>
      <c r="F6603">
        <v>3</v>
      </c>
      <c r="G6603" t="s">
        <v>65</v>
      </c>
      <c r="H6603" t="s">
        <v>41</v>
      </c>
      <c r="I6603" t="s">
        <v>2189</v>
      </c>
      <c r="J6603" s="10">
        <v>5.363</v>
      </c>
      <c r="K6603" t="b">
        <v>1</v>
      </c>
    </row>
    <row r="6604" spans="1:11">
      <c r="A6604" s="12">
        <v>42466</v>
      </c>
      <c r="B6604">
        <v>2016</v>
      </c>
      <c r="C6604">
        <v>4</v>
      </c>
      <c r="D6604" s="11">
        <v>42461</v>
      </c>
      <c r="E6604" t="s">
        <v>2176</v>
      </c>
      <c r="F6604">
        <v>3</v>
      </c>
      <c r="G6604" t="s">
        <v>65</v>
      </c>
      <c r="H6604" t="s">
        <v>42</v>
      </c>
      <c r="I6604" t="s">
        <v>2190</v>
      </c>
      <c r="J6604" s="10">
        <v>2</v>
      </c>
      <c r="K6604" t="b">
        <v>1</v>
      </c>
    </row>
    <row r="6605" spans="1:11">
      <c r="A6605" s="12">
        <v>42466</v>
      </c>
      <c r="B6605">
        <v>2016</v>
      </c>
      <c r="C6605">
        <v>4</v>
      </c>
      <c r="D6605" s="11">
        <v>42461</v>
      </c>
      <c r="E6605" t="s">
        <v>2176</v>
      </c>
      <c r="F6605">
        <v>3</v>
      </c>
      <c r="G6605" t="s">
        <v>65</v>
      </c>
      <c r="H6605" t="s">
        <v>43</v>
      </c>
      <c r="I6605" t="s">
        <v>2191</v>
      </c>
      <c r="J6605" s="10">
        <v>15.25</v>
      </c>
      <c r="K6605" t="b">
        <v>1</v>
      </c>
    </row>
    <row r="6606" spans="1:11">
      <c r="A6606" s="12">
        <v>42466</v>
      </c>
      <c r="B6606">
        <v>2016</v>
      </c>
      <c r="C6606">
        <v>4</v>
      </c>
      <c r="D6606" s="11">
        <v>42461</v>
      </c>
      <c r="E6606" t="s">
        <v>2176</v>
      </c>
      <c r="F6606">
        <v>3</v>
      </c>
      <c r="G6606" t="s">
        <v>65</v>
      </c>
      <c r="H6606" t="s">
        <v>44</v>
      </c>
      <c r="I6606" t="s">
        <v>2192</v>
      </c>
      <c r="J6606" s="10">
        <v>7</v>
      </c>
      <c r="K6606" t="b">
        <v>1</v>
      </c>
    </row>
    <row r="6607" spans="1:11">
      <c r="A6607" s="12">
        <v>42466</v>
      </c>
      <c r="B6607">
        <v>2016</v>
      </c>
      <c r="C6607">
        <v>4</v>
      </c>
      <c r="D6607" s="11">
        <v>42461</v>
      </c>
      <c r="E6607" t="s">
        <v>2176</v>
      </c>
      <c r="F6607">
        <v>3</v>
      </c>
      <c r="G6607" t="s">
        <v>65</v>
      </c>
      <c r="H6607" t="s">
        <v>45</v>
      </c>
      <c r="I6607" t="s">
        <v>2193</v>
      </c>
      <c r="J6607" s="10">
        <v>0</v>
      </c>
      <c r="K6607" t="b">
        <v>1</v>
      </c>
    </row>
    <row r="6608" spans="1:11">
      <c r="A6608" s="12">
        <v>42466</v>
      </c>
      <c r="B6608">
        <v>2016</v>
      </c>
      <c r="C6608">
        <v>4</v>
      </c>
      <c r="D6608" s="11">
        <v>42461</v>
      </c>
      <c r="E6608" t="s">
        <v>2176</v>
      </c>
      <c r="F6608">
        <v>3</v>
      </c>
      <c r="G6608" t="s">
        <v>65</v>
      </c>
      <c r="H6608" t="s">
        <v>46</v>
      </c>
      <c r="I6608" t="s">
        <v>2194</v>
      </c>
      <c r="J6608" s="10">
        <v>6</v>
      </c>
      <c r="K6608" t="b">
        <v>1</v>
      </c>
    </row>
    <row r="6609" spans="1:11">
      <c r="A6609" s="12">
        <v>42466</v>
      </c>
      <c r="B6609">
        <v>2016</v>
      </c>
      <c r="C6609">
        <v>4</v>
      </c>
      <c r="D6609" s="11">
        <v>42461</v>
      </c>
      <c r="E6609" t="s">
        <v>2176</v>
      </c>
      <c r="F6609">
        <v>3</v>
      </c>
      <c r="G6609" t="s">
        <v>65</v>
      </c>
      <c r="H6609" t="s">
        <v>47</v>
      </c>
      <c r="I6609" t="s">
        <v>2195</v>
      </c>
      <c r="J6609" s="10">
        <v>3</v>
      </c>
      <c r="K6609" t="b">
        <v>1</v>
      </c>
    </row>
    <row r="6610" spans="1:11">
      <c r="A6610" s="12">
        <v>42467</v>
      </c>
      <c r="B6610">
        <v>2016</v>
      </c>
      <c r="C6610">
        <v>4</v>
      </c>
      <c r="D6610" s="11">
        <v>42461</v>
      </c>
      <c r="E6610" t="s">
        <v>2176</v>
      </c>
      <c r="F6610">
        <v>4</v>
      </c>
      <c r="G6610" t="s">
        <v>53</v>
      </c>
      <c r="H6610" t="s">
        <v>40</v>
      </c>
      <c r="I6610" t="s">
        <v>2188</v>
      </c>
      <c r="J6610" s="10">
        <v>6.33</v>
      </c>
      <c r="K6610" t="b">
        <v>1</v>
      </c>
    </row>
    <row r="6611" spans="1:11">
      <c r="A6611" s="12">
        <v>42467</v>
      </c>
      <c r="B6611">
        <v>2016</v>
      </c>
      <c r="C6611">
        <v>4</v>
      </c>
      <c r="D6611" s="11">
        <v>42461</v>
      </c>
      <c r="E6611" t="s">
        <v>2176</v>
      </c>
      <c r="F6611">
        <v>4</v>
      </c>
      <c r="G6611" t="s">
        <v>53</v>
      </c>
      <c r="H6611" t="s">
        <v>41</v>
      </c>
      <c r="I6611" t="s">
        <v>2189</v>
      </c>
      <c r="J6611" s="10">
        <v>5.98</v>
      </c>
      <c r="K6611" t="b">
        <v>1</v>
      </c>
    </row>
    <row r="6612" spans="1:11">
      <c r="A6612" s="12">
        <v>42467</v>
      </c>
      <c r="B6612">
        <v>2016</v>
      </c>
      <c r="C6612">
        <v>4</v>
      </c>
      <c r="D6612" s="11">
        <v>42461</v>
      </c>
      <c r="E6612" t="s">
        <v>2176</v>
      </c>
      <c r="F6612">
        <v>4</v>
      </c>
      <c r="G6612" t="s">
        <v>53</v>
      </c>
      <c r="H6612" t="s">
        <v>42</v>
      </c>
      <c r="I6612" t="s">
        <v>2190</v>
      </c>
      <c r="J6612" s="10">
        <v>4</v>
      </c>
      <c r="K6612" t="b">
        <v>1</v>
      </c>
    </row>
    <row r="6613" spans="1:11">
      <c r="A6613" s="12">
        <v>42467</v>
      </c>
      <c r="B6613">
        <v>2016</v>
      </c>
      <c r="C6613">
        <v>4</v>
      </c>
      <c r="D6613" s="11">
        <v>42461</v>
      </c>
      <c r="E6613" t="s">
        <v>2176</v>
      </c>
      <c r="F6613">
        <v>4</v>
      </c>
      <c r="G6613" t="s">
        <v>53</v>
      </c>
      <c r="H6613" t="s">
        <v>43</v>
      </c>
      <c r="I6613" t="s">
        <v>2191</v>
      </c>
      <c r="J6613" s="10">
        <v>21</v>
      </c>
      <c r="K6613" t="b">
        <v>1</v>
      </c>
    </row>
    <row r="6614" spans="1:11">
      <c r="A6614" s="12">
        <v>42467</v>
      </c>
      <c r="B6614">
        <v>2016</v>
      </c>
      <c r="C6614">
        <v>4</v>
      </c>
      <c r="D6614" s="11">
        <v>42461</v>
      </c>
      <c r="E6614" t="s">
        <v>2176</v>
      </c>
      <c r="F6614">
        <v>4</v>
      </c>
      <c r="G6614" t="s">
        <v>53</v>
      </c>
      <c r="H6614" t="s">
        <v>44</v>
      </c>
      <c r="I6614" t="s">
        <v>2192</v>
      </c>
      <c r="J6614" s="10">
        <v>7</v>
      </c>
      <c r="K6614" t="b">
        <v>1</v>
      </c>
    </row>
    <row r="6615" spans="1:11">
      <c r="A6615" s="12">
        <v>42467</v>
      </c>
      <c r="B6615">
        <v>2016</v>
      </c>
      <c r="C6615">
        <v>4</v>
      </c>
      <c r="D6615" s="11">
        <v>42461</v>
      </c>
      <c r="E6615" t="s">
        <v>2176</v>
      </c>
      <c r="F6615">
        <v>4</v>
      </c>
      <c r="G6615" t="s">
        <v>53</v>
      </c>
      <c r="H6615" t="s">
        <v>45</v>
      </c>
      <c r="I6615" t="s">
        <v>2193</v>
      </c>
      <c r="J6615" s="10">
        <v>2</v>
      </c>
      <c r="K6615" t="b">
        <v>1</v>
      </c>
    </row>
    <row r="6616" spans="1:11">
      <c r="A6616" s="12">
        <v>42467</v>
      </c>
      <c r="B6616">
        <v>2016</v>
      </c>
      <c r="C6616">
        <v>4</v>
      </c>
      <c r="D6616" s="11">
        <v>42461</v>
      </c>
      <c r="E6616" t="s">
        <v>2176</v>
      </c>
      <c r="F6616">
        <v>4</v>
      </c>
      <c r="G6616" t="s">
        <v>53</v>
      </c>
      <c r="H6616" t="s">
        <v>46</v>
      </c>
      <c r="I6616" t="s">
        <v>2194</v>
      </c>
      <c r="J6616" s="10">
        <v>4</v>
      </c>
      <c r="K6616" t="b">
        <v>1</v>
      </c>
    </row>
    <row r="6617" spans="1:11">
      <c r="A6617" s="12">
        <v>42467</v>
      </c>
      <c r="B6617">
        <v>2016</v>
      </c>
      <c r="C6617">
        <v>4</v>
      </c>
      <c r="D6617" s="11">
        <v>42461</v>
      </c>
      <c r="E6617" t="s">
        <v>2176</v>
      </c>
      <c r="F6617">
        <v>4</v>
      </c>
      <c r="G6617" t="s">
        <v>53</v>
      </c>
      <c r="H6617" t="s">
        <v>47</v>
      </c>
      <c r="I6617" t="s">
        <v>2195</v>
      </c>
      <c r="J6617" s="10">
        <v>8.199999999999999</v>
      </c>
      <c r="K6617" t="b">
        <v>1</v>
      </c>
    </row>
    <row r="6618" spans="1:11">
      <c r="A6618" s="12">
        <v>42468</v>
      </c>
      <c r="B6618">
        <v>2016</v>
      </c>
      <c r="C6618">
        <v>4</v>
      </c>
      <c r="D6618" s="11">
        <v>42461</v>
      </c>
      <c r="E6618" t="s">
        <v>2176</v>
      </c>
      <c r="F6618">
        <v>5</v>
      </c>
      <c r="G6618" t="s">
        <v>55</v>
      </c>
      <c r="H6618" t="s">
        <v>40</v>
      </c>
      <c r="I6618" t="s">
        <v>2188</v>
      </c>
      <c r="J6618" s="10">
        <v>7.67</v>
      </c>
      <c r="K6618" t="b">
        <v>1</v>
      </c>
    </row>
    <row r="6619" spans="1:11">
      <c r="A6619" s="12">
        <v>42468</v>
      </c>
      <c r="B6619">
        <v>2016</v>
      </c>
      <c r="C6619">
        <v>4</v>
      </c>
      <c r="D6619" s="11">
        <v>42461</v>
      </c>
      <c r="E6619" t="s">
        <v>2176</v>
      </c>
      <c r="F6619">
        <v>5</v>
      </c>
      <c r="G6619" t="s">
        <v>55</v>
      </c>
      <c r="H6619" t="s">
        <v>41</v>
      </c>
      <c r="I6619" t="s">
        <v>2189</v>
      </c>
      <c r="J6619" s="10">
        <v>3.66</v>
      </c>
      <c r="K6619" t="b">
        <v>1</v>
      </c>
    </row>
    <row r="6620" spans="1:11">
      <c r="A6620" s="12">
        <v>42468</v>
      </c>
      <c r="B6620">
        <v>2016</v>
      </c>
      <c r="C6620">
        <v>4</v>
      </c>
      <c r="D6620" s="11">
        <v>42461</v>
      </c>
      <c r="E6620" t="s">
        <v>2176</v>
      </c>
      <c r="F6620">
        <v>5</v>
      </c>
      <c r="G6620" t="s">
        <v>55</v>
      </c>
      <c r="H6620" t="s">
        <v>42</v>
      </c>
      <c r="I6620" t="s">
        <v>2190</v>
      </c>
      <c r="J6620" s="10">
        <v>5</v>
      </c>
      <c r="K6620" t="b">
        <v>1</v>
      </c>
    </row>
    <row r="6621" spans="1:11">
      <c r="A6621" s="12">
        <v>42468</v>
      </c>
      <c r="B6621">
        <v>2016</v>
      </c>
      <c r="C6621">
        <v>4</v>
      </c>
      <c r="D6621" s="11">
        <v>42461</v>
      </c>
      <c r="E6621" t="s">
        <v>2176</v>
      </c>
      <c r="F6621">
        <v>5</v>
      </c>
      <c r="G6621" t="s">
        <v>55</v>
      </c>
      <c r="H6621" t="s">
        <v>43</v>
      </c>
      <c r="I6621" t="s">
        <v>2191</v>
      </c>
      <c r="J6621" s="10">
        <v>42.3</v>
      </c>
      <c r="K6621" t="b">
        <v>1</v>
      </c>
    </row>
    <row r="6622" spans="1:11">
      <c r="A6622" s="12">
        <v>42468</v>
      </c>
      <c r="B6622">
        <v>2016</v>
      </c>
      <c r="C6622">
        <v>4</v>
      </c>
      <c r="D6622" s="11">
        <v>42461</v>
      </c>
      <c r="E6622" t="s">
        <v>2176</v>
      </c>
      <c r="F6622">
        <v>5</v>
      </c>
      <c r="G6622" t="s">
        <v>55</v>
      </c>
      <c r="H6622" t="s">
        <v>44</v>
      </c>
      <c r="I6622" t="s">
        <v>2192</v>
      </c>
      <c r="J6622" s="10">
        <v>2</v>
      </c>
      <c r="K6622" t="b">
        <v>1</v>
      </c>
    </row>
    <row r="6623" spans="1:11">
      <c r="A6623" s="12">
        <v>42468</v>
      </c>
      <c r="B6623">
        <v>2016</v>
      </c>
      <c r="C6623">
        <v>4</v>
      </c>
      <c r="D6623" s="11">
        <v>42461</v>
      </c>
      <c r="E6623" t="s">
        <v>2176</v>
      </c>
      <c r="F6623">
        <v>5</v>
      </c>
      <c r="G6623" t="s">
        <v>55</v>
      </c>
      <c r="H6623" t="s">
        <v>45</v>
      </c>
      <c r="I6623" t="s">
        <v>2193</v>
      </c>
      <c r="J6623" s="10">
        <v>1</v>
      </c>
      <c r="K6623" t="b">
        <v>1</v>
      </c>
    </row>
    <row r="6624" spans="1:11">
      <c r="A6624" s="12">
        <v>42468</v>
      </c>
      <c r="B6624">
        <v>2016</v>
      </c>
      <c r="C6624">
        <v>4</v>
      </c>
      <c r="D6624" s="11">
        <v>42461</v>
      </c>
      <c r="E6624" t="s">
        <v>2176</v>
      </c>
      <c r="F6624">
        <v>5</v>
      </c>
      <c r="G6624" t="s">
        <v>55</v>
      </c>
      <c r="H6624" t="s">
        <v>46</v>
      </c>
      <c r="I6624" t="s">
        <v>2194</v>
      </c>
      <c r="J6624" s="10">
        <v>3</v>
      </c>
      <c r="K6624" t="b">
        <v>1</v>
      </c>
    </row>
    <row r="6625" spans="1:11">
      <c r="A6625" s="12">
        <v>42468</v>
      </c>
      <c r="B6625">
        <v>2016</v>
      </c>
      <c r="C6625">
        <v>4</v>
      </c>
      <c r="D6625" s="11">
        <v>42461</v>
      </c>
      <c r="E6625" t="s">
        <v>2176</v>
      </c>
      <c r="F6625">
        <v>5</v>
      </c>
      <c r="G6625" t="s">
        <v>55</v>
      </c>
      <c r="H6625" t="s">
        <v>47</v>
      </c>
      <c r="I6625" t="s">
        <v>2195</v>
      </c>
      <c r="J6625" s="10">
        <v>4.4</v>
      </c>
      <c r="K6625" t="b">
        <v>1</v>
      </c>
    </row>
    <row r="6626" spans="1:11">
      <c r="A6626" s="12">
        <v>42469</v>
      </c>
      <c r="B6626">
        <v>2016</v>
      </c>
      <c r="C6626">
        <v>4</v>
      </c>
      <c r="D6626" s="11">
        <v>42461</v>
      </c>
      <c r="E6626" t="s">
        <v>2176</v>
      </c>
      <c r="F6626">
        <v>6</v>
      </c>
      <c r="G6626" t="s">
        <v>57</v>
      </c>
      <c r="H6626" t="s">
        <v>40</v>
      </c>
      <c r="I6626" t="s">
        <v>2188</v>
      </c>
      <c r="J6626" s="10">
        <v>9</v>
      </c>
      <c r="K6626" t="b">
        <v>1</v>
      </c>
    </row>
    <row r="6627" spans="1:11">
      <c r="A6627" s="12">
        <v>42469</v>
      </c>
      <c r="B6627">
        <v>2016</v>
      </c>
      <c r="C6627">
        <v>4</v>
      </c>
      <c r="D6627" s="11">
        <v>42461</v>
      </c>
      <c r="E6627" t="s">
        <v>2176</v>
      </c>
      <c r="F6627">
        <v>6</v>
      </c>
      <c r="G6627" t="s">
        <v>57</v>
      </c>
      <c r="H6627" t="s">
        <v>41</v>
      </c>
      <c r="I6627" t="s">
        <v>2189</v>
      </c>
      <c r="J6627" s="10">
        <v>9.01</v>
      </c>
      <c r="K6627" t="b">
        <v>1</v>
      </c>
    </row>
    <row r="6628" spans="1:11">
      <c r="A6628" s="12">
        <v>42469</v>
      </c>
      <c r="B6628">
        <v>2016</v>
      </c>
      <c r="C6628">
        <v>4</v>
      </c>
      <c r="D6628" s="11">
        <v>42461</v>
      </c>
      <c r="E6628" t="s">
        <v>2176</v>
      </c>
      <c r="F6628">
        <v>6</v>
      </c>
      <c r="G6628" t="s">
        <v>57</v>
      </c>
      <c r="H6628" t="s">
        <v>42</v>
      </c>
      <c r="I6628" t="s">
        <v>2190</v>
      </c>
      <c r="J6628" s="10">
        <v>3.1</v>
      </c>
      <c r="K6628" t="b">
        <v>1</v>
      </c>
    </row>
    <row r="6629" spans="1:11">
      <c r="A6629" s="12">
        <v>42469</v>
      </c>
      <c r="B6629">
        <v>2016</v>
      </c>
      <c r="C6629">
        <v>4</v>
      </c>
      <c r="D6629" s="11">
        <v>42461</v>
      </c>
      <c r="E6629" t="s">
        <v>2176</v>
      </c>
      <c r="F6629">
        <v>6</v>
      </c>
      <c r="G6629" t="s">
        <v>57</v>
      </c>
      <c r="H6629" t="s">
        <v>43</v>
      </c>
      <c r="I6629" t="s">
        <v>2191</v>
      </c>
      <c r="J6629" s="10">
        <v>38.8</v>
      </c>
      <c r="K6629" t="b">
        <v>1</v>
      </c>
    </row>
    <row r="6630" spans="1:11">
      <c r="A6630" s="12">
        <v>42469</v>
      </c>
      <c r="B6630">
        <v>2016</v>
      </c>
      <c r="C6630">
        <v>4</v>
      </c>
      <c r="D6630" s="11">
        <v>42461</v>
      </c>
      <c r="E6630" t="s">
        <v>2176</v>
      </c>
      <c r="F6630">
        <v>6</v>
      </c>
      <c r="G6630" t="s">
        <v>57</v>
      </c>
      <c r="H6630" t="s">
        <v>44</v>
      </c>
      <c r="I6630" t="s">
        <v>2192</v>
      </c>
      <c r="J6630" s="10">
        <v>7</v>
      </c>
      <c r="K6630" t="b">
        <v>1</v>
      </c>
    </row>
    <row r="6631" spans="1:11">
      <c r="A6631" s="12">
        <v>42469</v>
      </c>
      <c r="B6631">
        <v>2016</v>
      </c>
      <c r="C6631">
        <v>4</v>
      </c>
      <c r="D6631" s="11">
        <v>42461</v>
      </c>
      <c r="E6631" t="s">
        <v>2176</v>
      </c>
      <c r="F6631">
        <v>6</v>
      </c>
      <c r="G6631" t="s">
        <v>57</v>
      </c>
      <c r="H6631" t="s">
        <v>45</v>
      </c>
      <c r="I6631" t="s">
        <v>2193</v>
      </c>
      <c r="J6631" s="10">
        <v>0</v>
      </c>
      <c r="K6631" t="b">
        <v>1</v>
      </c>
    </row>
    <row r="6632" spans="1:11">
      <c r="A6632" s="12">
        <v>42469</v>
      </c>
      <c r="B6632">
        <v>2016</v>
      </c>
      <c r="C6632">
        <v>4</v>
      </c>
      <c r="D6632" s="11">
        <v>42461</v>
      </c>
      <c r="E6632" t="s">
        <v>2176</v>
      </c>
      <c r="F6632">
        <v>6</v>
      </c>
      <c r="G6632" t="s">
        <v>57</v>
      </c>
      <c r="H6632" t="s">
        <v>46</v>
      </c>
      <c r="I6632" t="s">
        <v>2194</v>
      </c>
      <c r="J6632" s="10">
        <v>14</v>
      </c>
      <c r="K6632" t="b">
        <v>1</v>
      </c>
    </row>
    <row r="6633" spans="1:11">
      <c r="A6633" s="12">
        <v>42469</v>
      </c>
      <c r="B6633">
        <v>2016</v>
      </c>
      <c r="C6633">
        <v>4</v>
      </c>
      <c r="D6633" s="11">
        <v>42461</v>
      </c>
      <c r="E6633" t="s">
        <v>2176</v>
      </c>
      <c r="F6633">
        <v>6</v>
      </c>
      <c r="G6633" t="s">
        <v>57</v>
      </c>
      <c r="H6633" t="s">
        <v>47</v>
      </c>
      <c r="I6633" t="s">
        <v>2195</v>
      </c>
      <c r="J6633" s="10">
        <v>3</v>
      </c>
      <c r="K6633" t="b">
        <v>1</v>
      </c>
    </row>
    <row r="6634" spans="1:11">
      <c r="A6634" s="12">
        <v>42470</v>
      </c>
      <c r="B6634">
        <v>2016</v>
      </c>
      <c r="C6634">
        <v>4</v>
      </c>
      <c r="D6634" s="11">
        <v>42461</v>
      </c>
      <c r="E6634" t="s">
        <v>2176</v>
      </c>
      <c r="F6634">
        <v>7</v>
      </c>
      <c r="G6634" t="s">
        <v>59</v>
      </c>
      <c r="H6634" t="s">
        <v>40</v>
      </c>
      <c r="I6634" t="s">
        <v>2188</v>
      </c>
      <c r="J6634" s="10">
        <v>5</v>
      </c>
      <c r="K6634" t="b">
        <v>1</v>
      </c>
    </row>
    <row r="6635" spans="1:11">
      <c r="A6635" s="12">
        <v>42470</v>
      </c>
      <c r="B6635">
        <v>2016</v>
      </c>
      <c r="C6635">
        <v>4</v>
      </c>
      <c r="D6635" s="11">
        <v>42461</v>
      </c>
      <c r="E6635" t="s">
        <v>2176</v>
      </c>
      <c r="F6635">
        <v>7</v>
      </c>
      <c r="G6635" t="s">
        <v>59</v>
      </c>
      <c r="H6635" t="s">
        <v>41</v>
      </c>
      <c r="I6635" t="s">
        <v>2189</v>
      </c>
      <c r="J6635" s="10">
        <v>6.67</v>
      </c>
      <c r="K6635" t="b">
        <v>1</v>
      </c>
    </row>
    <row r="6636" spans="1:11">
      <c r="A6636" s="12">
        <v>42470</v>
      </c>
      <c r="B6636">
        <v>2016</v>
      </c>
      <c r="C6636">
        <v>4</v>
      </c>
      <c r="D6636" s="11">
        <v>42461</v>
      </c>
      <c r="E6636" t="s">
        <v>2176</v>
      </c>
      <c r="F6636">
        <v>7</v>
      </c>
      <c r="G6636" t="s">
        <v>59</v>
      </c>
      <c r="H6636" t="s">
        <v>42</v>
      </c>
      <c r="I6636" t="s">
        <v>2190</v>
      </c>
      <c r="J6636" s="10">
        <v>5.15</v>
      </c>
      <c r="K6636" t="b">
        <v>1</v>
      </c>
    </row>
    <row r="6637" spans="1:11">
      <c r="A6637" s="12">
        <v>42470</v>
      </c>
      <c r="B6637">
        <v>2016</v>
      </c>
      <c r="C6637">
        <v>4</v>
      </c>
      <c r="D6637" s="11">
        <v>42461</v>
      </c>
      <c r="E6637" t="s">
        <v>2176</v>
      </c>
      <c r="F6637">
        <v>7</v>
      </c>
      <c r="G6637" t="s">
        <v>59</v>
      </c>
      <c r="H6637" t="s">
        <v>43</v>
      </c>
      <c r="I6637" t="s">
        <v>2191</v>
      </c>
      <c r="J6637" s="10">
        <v>21.4</v>
      </c>
      <c r="K6637" t="b">
        <v>1</v>
      </c>
    </row>
    <row r="6638" spans="1:11">
      <c r="A6638" s="12">
        <v>42470</v>
      </c>
      <c r="B6638">
        <v>2016</v>
      </c>
      <c r="C6638">
        <v>4</v>
      </c>
      <c r="D6638" s="11">
        <v>42461</v>
      </c>
      <c r="E6638" t="s">
        <v>2176</v>
      </c>
      <c r="F6638">
        <v>7</v>
      </c>
      <c r="G6638" t="s">
        <v>59</v>
      </c>
      <c r="H6638" t="s">
        <v>44</v>
      </c>
      <c r="I6638" t="s">
        <v>2192</v>
      </c>
      <c r="J6638" s="10">
        <v>4</v>
      </c>
      <c r="K6638" t="b">
        <v>1</v>
      </c>
    </row>
    <row r="6639" spans="1:11">
      <c r="A6639" s="12">
        <v>42470</v>
      </c>
      <c r="B6639">
        <v>2016</v>
      </c>
      <c r="C6639">
        <v>4</v>
      </c>
      <c r="D6639" s="11">
        <v>42461</v>
      </c>
      <c r="E6639" t="s">
        <v>2176</v>
      </c>
      <c r="F6639">
        <v>7</v>
      </c>
      <c r="G6639" t="s">
        <v>59</v>
      </c>
      <c r="H6639" t="s">
        <v>45</v>
      </c>
      <c r="I6639" t="s">
        <v>2193</v>
      </c>
      <c r="J6639" s="10">
        <v>1</v>
      </c>
      <c r="K6639" t="b">
        <v>1</v>
      </c>
    </row>
    <row r="6640" spans="1:11">
      <c r="A6640" s="12">
        <v>42470</v>
      </c>
      <c r="B6640">
        <v>2016</v>
      </c>
      <c r="C6640">
        <v>4</v>
      </c>
      <c r="D6640" s="11">
        <v>42461</v>
      </c>
      <c r="E6640" t="s">
        <v>2176</v>
      </c>
      <c r="F6640">
        <v>7</v>
      </c>
      <c r="G6640" t="s">
        <v>59</v>
      </c>
      <c r="H6640" t="s">
        <v>46</v>
      </c>
      <c r="I6640" t="s">
        <v>2194</v>
      </c>
      <c r="J6640" s="10">
        <v>11</v>
      </c>
      <c r="K6640" t="b">
        <v>1</v>
      </c>
    </row>
    <row r="6641" spans="1:11">
      <c r="A6641" s="12">
        <v>42470</v>
      </c>
      <c r="B6641">
        <v>2016</v>
      </c>
      <c r="C6641">
        <v>4</v>
      </c>
      <c r="D6641" s="11">
        <v>42461</v>
      </c>
      <c r="E6641" t="s">
        <v>2176</v>
      </c>
      <c r="F6641">
        <v>7</v>
      </c>
      <c r="G6641" t="s">
        <v>59</v>
      </c>
      <c r="H6641" t="s">
        <v>47</v>
      </c>
      <c r="I6641" t="s">
        <v>2195</v>
      </c>
      <c r="J6641" s="10">
        <v>8</v>
      </c>
      <c r="K6641" t="b">
        <v>1</v>
      </c>
    </row>
    <row r="6642" spans="1:11">
      <c r="A6642" s="12">
        <v>42471</v>
      </c>
      <c r="B6642">
        <v>2016</v>
      </c>
      <c r="C6642">
        <v>4</v>
      </c>
      <c r="D6642" s="11">
        <v>42461</v>
      </c>
      <c r="E6642" t="s">
        <v>2176</v>
      </c>
      <c r="F6642">
        <v>1</v>
      </c>
      <c r="G6642" t="s">
        <v>61</v>
      </c>
      <c r="H6642" t="s">
        <v>40</v>
      </c>
      <c r="I6642" t="s">
        <v>2188</v>
      </c>
      <c r="J6642" s="10">
        <v>0.33</v>
      </c>
      <c r="K6642" t="b">
        <v>1</v>
      </c>
    </row>
    <row r="6643" spans="1:11">
      <c r="A6643" s="12">
        <v>42471</v>
      </c>
      <c r="B6643">
        <v>2016</v>
      </c>
      <c r="C6643">
        <v>4</v>
      </c>
      <c r="D6643" s="11">
        <v>42461</v>
      </c>
      <c r="E6643" t="s">
        <v>2176</v>
      </c>
      <c r="F6643">
        <v>1</v>
      </c>
      <c r="G6643" t="s">
        <v>61</v>
      </c>
      <c r="H6643" t="s">
        <v>41</v>
      </c>
      <c r="I6643" t="s">
        <v>2189</v>
      </c>
      <c r="J6643" s="10">
        <v>4.99</v>
      </c>
      <c r="K6643" t="b">
        <v>1</v>
      </c>
    </row>
    <row r="6644" spans="1:11">
      <c r="A6644" s="12">
        <v>42471</v>
      </c>
      <c r="B6644">
        <v>2016</v>
      </c>
      <c r="C6644">
        <v>4</v>
      </c>
      <c r="D6644" s="11">
        <v>42461</v>
      </c>
      <c r="E6644" t="s">
        <v>2176</v>
      </c>
      <c r="F6644">
        <v>1</v>
      </c>
      <c r="G6644" t="s">
        <v>61</v>
      </c>
      <c r="H6644" t="s">
        <v>42</v>
      </c>
      <c r="I6644" t="s">
        <v>2190</v>
      </c>
      <c r="J6644" s="10">
        <v>3</v>
      </c>
      <c r="K6644" t="b">
        <v>1</v>
      </c>
    </row>
    <row r="6645" spans="1:11">
      <c r="A6645" s="12">
        <v>42471</v>
      </c>
      <c r="B6645">
        <v>2016</v>
      </c>
      <c r="C6645">
        <v>4</v>
      </c>
      <c r="D6645" s="11">
        <v>42461</v>
      </c>
      <c r="E6645" t="s">
        <v>2176</v>
      </c>
      <c r="F6645">
        <v>1</v>
      </c>
      <c r="G6645" t="s">
        <v>61</v>
      </c>
      <c r="H6645" t="s">
        <v>43</v>
      </c>
      <c r="I6645" t="s">
        <v>2191</v>
      </c>
      <c r="J6645" s="10">
        <v>26</v>
      </c>
      <c r="K6645" t="b">
        <v>1</v>
      </c>
    </row>
    <row r="6646" spans="1:11">
      <c r="A6646" s="12">
        <v>42471</v>
      </c>
      <c r="B6646">
        <v>2016</v>
      </c>
      <c r="C6646">
        <v>4</v>
      </c>
      <c r="D6646" s="11">
        <v>42461</v>
      </c>
      <c r="E6646" t="s">
        <v>2176</v>
      </c>
      <c r="F6646">
        <v>1</v>
      </c>
      <c r="G6646" t="s">
        <v>61</v>
      </c>
      <c r="H6646" t="s">
        <v>44</v>
      </c>
      <c r="I6646" t="s">
        <v>2192</v>
      </c>
      <c r="J6646" s="10">
        <v>11</v>
      </c>
      <c r="K6646" t="b">
        <v>1</v>
      </c>
    </row>
    <row r="6647" spans="1:11">
      <c r="A6647" s="12">
        <v>42471</v>
      </c>
      <c r="B6647">
        <v>2016</v>
      </c>
      <c r="C6647">
        <v>4</v>
      </c>
      <c r="D6647" s="11">
        <v>42461</v>
      </c>
      <c r="E6647" t="s">
        <v>2176</v>
      </c>
      <c r="F6647">
        <v>1</v>
      </c>
      <c r="G6647" t="s">
        <v>61</v>
      </c>
      <c r="H6647" t="s">
        <v>45</v>
      </c>
      <c r="I6647" t="s">
        <v>2193</v>
      </c>
      <c r="J6647" s="10">
        <v>2</v>
      </c>
      <c r="K6647" t="b">
        <v>1</v>
      </c>
    </row>
    <row r="6648" spans="1:11">
      <c r="A6648" s="12">
        <v>42471</v>
      </c>
      <c r="B6648">
        <v>2016</v>
      </c>
      <c r="C6648">
        <v>4</v>
      </c>
      <c r="D6648" s="11">
        <v>42461</v>
      </c>
      <c r="E6648" t="s">
        <v>2176</v>
      </c>
      <c r="F6648">
        <v>1</v>
      </c>
      <c r="G6648" t="s">
        <v>61</v>
      </c>
      <c r="H6648" t="s">
        <v>46</v>
      </c>
      <c r="I6648" t="s">
        <v>2194</v>
      </c>
      <c r="J6648" s="10">
        <v>17</v>
      </c>
      <c r="K6648" t="b">
        <v>1</v>
      </c>
    </row>
    <row r="6649" spans="1:11">
      <c r="A6649" s="12">
        <v>42471</v>
      </c>
      <c r="B6649">
        <v>2016</v>
      </c>
      <c r="C6649">
        <v>4</v>
      </c>
      <c r="D6649" s="11">
        <v>42461</v>
      </c>
      <c r="E6649" t="s">
        <v>2176</v>
      </c>
      <c r="F6649">
        <v>1</v>
      </c>
      <c r="G6649" t="s">
        <v>61</v>
      </c>
      <c r="H6649" t="s">
        <v>47</v>
      </c>
      <c r="I6649" t="s">
        <v>2195</v>
      </c>
      <c r="J6649" s="10">
        <v>6</v>
      </c>
      <c r="K6649" t="b">
        <v>1</v>
      </c>
    </row>
    <row r="6650" spans="1:11">
      <c r="A6650" s="12">
        <v>42472</v>
      </c>
      <c r="B6650">
        <v>2016</v>
      </c>
      <c r="C6650">
        <v>4</v>
      </c>
      <c r="D6650" s="11">
        <v>42461</v>
      </c>
      <c r="E6650" t="s">
        <v>2176</v>
      </c>
      <c r="F6650">
        <v>2</v>
      </c>
      <c r="G6650" t="s">
        <v>63</v>
      </c>
      <c r="H6650" t="s">
        <v>40</v>
      </c>
      <c r="I6650" t="s">
        <v>2188</v>
      </c>
      <c r="J6650" s="10">
        <v>4.34</v>
      </c>
      <c r="K6650" t="b">
        <v>1</v>
      </c>
    </row>
    <row r="6651" spans="1:11">
      <c r="A6651" s="12">
        <v>42472</v>
      </c>
      <c r="B6651">
        <v>2016</v>
      </c>
      <c r="C6651">
        <v>4</v>
      </c>
      <c r="D6651" s="11">
        <v>42461</v>
      </c>
      <c r="E6651" t="s">
        <v>2176</v>
      </c>
      <c r="F6651">
        <v>2</v>
      </c>
      <c r="G6651" t="s">
        <v>63</v>
      </c>
      <c r="H6651" t="s">
        <v>41</v>
      </c>
      <c r="I6651" t="s">
        <v>2189</v>
      </c>
      <c r="J6651" s="10">
        <v>4.65</v>
      </c>
      <c r="K6651" t="b">
        <v>1</v>
      </c>
    </row>
    <row r="6652" spans="1:11">
      <c r="A6652" s="12">
        <v>42472</v>
      </c>
      <c r="B6652">
        <v>2016</v>
      </c>
      <c r="C6652">
        <v>4</v>
      </c>
      <c r="D6652" s="11">
        <v>42461</v>
      </c>
      <c r="E6652" t="s">
        <v>2176</v>
      </c>
      <c r="F6652">
        <v>2</v>
      </c>
      <c r="G6652" t="s">
        <v>63</v>
      </c>
      <c r="H6652" t="s">
        <v>42</v>
      </c>
      <c r="I6652" t="s">
        <v>2190</v>
      </c>
      <c r="J6652" s="10">
        <v>6</v>
      </c>
      <c r="K6652" t="b">
        <v>1</v>
      </c>
    </row>
    <row r="6653" spans="1:11">
      <c r="A6653" s="12">
        <v>42472</v>
      </c>
      <c r="B6653">
        <v>2016</v>
      </c>
      <c r="C6653">
        <v>4</v>
      </c>
      <c r="D6653" s="11">
        <v>42461</v>
      </c>
      <c r="E6653" t="s">
        <v>2176</v>
      </c>
      <c r="F6653">
        <v>2</v>
      </c>
      <c r="G6653" t="s">
        <v>63</v>
      </c>
      <c r="H6653" t="s">
        <v>43</v>
      </c>
      <c r="I6653" t="s">
        <v>2191</v>
      </c>
      <c r="J6653" s="10">
        <v>41.6</v>
      </c>
      <c r="K6653" t="b">
        <v>1</v>
      </c>
    </row>
    <row r="6654" spans="1:11">
      <c r="A6654" s="12">
        <v>42472</v>
      </c>
      <c r="B6654">
        <v>2016</v>
      </c>
      <c r="C6654">
        <v>4</v>
      </c>
      <c r="D6654" s="11">
        <v>42461</v>
      </c>
      <c r="E6654" t="s">
        <v>2176</v>
      </c>
      <c r="F6654">
        <v>2</v>
      </c>
      <c r="G6654" t="s">
        <v>63</v>
      </c>
      <c r="H6654" t="s">
        <v>44</v>
      </c>
      <c r="I6654" t="s">
        <v>2192</v>
      </c>
      <c r="J6654" s="10">
        <v>19</v>
      </c>
      <c r="K6654" t="b">
        <v>1</v>
      </c>
    </row>
    <row r="6655" spans="1:11">
      <c r="A6655" s="12">
        <v>42472</v>
      </c>
      <c r="B6655">
        <v>2016</v>
      </c>
      <c r="C6655">
        <v>4</v>
      </c>
      <c r="D6655" s="11">
        <v>42461</v>
      </c>
      <c r="E6655" t="s">
        <v>2176</v>
      </c>
      <c r="F6655">
        <v>2</v>
      </c>
      <c r="G6655" t="s">
        <v>63</v>
      </c>
      <c r="H6655" t="s">
        <v>45</v>
      </c>
      <c r="I6655" t="s">
        <v>2193</v>
      </c>
      <c r="J6655" s="10">
        <v>1</v>
      </c>
      <c r="K6655" t="b">
        <v>1</v>
      </c>
    </row>
    <row r="6656" spans="1:11">
      <c r="A6656" s="12">
        <v>42472</v>
      </c>
      <c r="B6656">
        <v>2016</v>
      </c>
      <c r="C6656">
        <v>4</v>
      </c>
      <c r="D6656" s="11">
        <v>42461</v>
      </c>
      <c r="E6656" t="s">
        <v>2176</v>
      </c>
      <c r="F6656">
        <v>2</v>
      </c>
      <c r="G6656" t="s">
        <v>63</v>
      </c>
      <c r="H6656" t="s">
        <v>46</v>
      </c>
      <c r="I6656" t="s">
        <v>2194</v>
      </c>
      <c r="J6656" s="10">
        <v>2</v>
      </c>
      <c r="K6656" t="b">
        <v>1</v>
      </c>
    </row>
    <row r="6657" spans="1:11">
      <c r="A6657" s="12">
        <v>42472</v>
      </c>
      <c r="B6657">
        <v>2016</v>
      </c>
      <c r="C6657">
        <v>4</v>
      </c>
      <c r="D6657" s="11">
        <v>42461</v>
      </c>
      <c r="E6657" t="s">
        <v>2176</v>
      </c>
      <c r="F6657">
        <v>2</v>
      </c>
      <c r="G6657" t="s">
        <v>63</v>
      </c>
      <c r="H6657" t="s">
        <v>47</v>
      </c>
      <c r="I6657" t="s">
        <v>2195</v>
      </c>
      <c r="J6657" s="10">
        <v>5</v>
      </c>
      <c r="K6657" t="b">
        <v>1</v>
      </c>
    </row>
    <row r="6658" spans="1:11">
      <c r="A6658" s="12">
        <v>42473</v>
      </c>
      <c r="B6658">
        <v>2016</v>
      </c>
      <c r="C6658">
        <v>4</v>
      </c>
      <c r="D6658" s="11">
        <v>42461</v>
      </c>
      <c r="E6658" t="s">
        <v>2176</v>
      </c>
      <c r="F6658">
        <v>3</v>
      </c>
      <c r="G6658" t="s">
        <v>65</v>
      </c>
      <c r="H6658" t="s">
        <v>40</v>
      </c>
      <c r="I6658" t="s">
        <v>2188</v>
      </c>
      <c r="J6658" s="10">
        <v>6.33</v>
      </c>
      <c r="K6658" t="b">
        <v>1</v>
      </c>
    </row>
    <row r="6659" spans="1:11">
      <c r="A6659" s="12">
        <v>42473</v>
      </c>
      <c r="B6659">
        <v>2016</v>
      </c>
      <c r="C6659">
        <v>4</v>
      </c>
      <c r="D6659" s="11">
        <v>42461</v>
      </c>
      <c r="E6659" t="s">
        <v>2176</v>
      </c>
      <c r="F6659">
        <v>3</v>
      </c>
      <c r="G6659" t="s">
        <v>65</v>
      </c>
      <c r="H6659" t="s">
        <v>41</v>
      </c>
      <c r="I6659" t="s">
        <v>2189</v>
      </c>
      <c r="J6659" s="10">
        <v>3.066</v>
      </c>
      <c r="K6659" t="b">
        <v>1</v>
      </c>
    </row>
    <row r="6660" spans="1:11">
      <c r="A6660" s="12">
        <v>42473</v>
      </c>
      <c r="B6660">
        <v>2016</v>
      </c>
      <c r="C6660">
        <v>4</v>
      </c>
      <c r="D6660" s="11">
        <v>42461</v>
      </c>
      <c r="E6660" t="s">
        <v>2176</v>
      </c>
      <c r="F6660">
        <v>3</v>
      </c>
      <c r="G6660" t="s">
        <v>65</v>
      </c>
      <c r="H6660" t="s">
        <v>42</v>
      </c>
      <c r="I6660" t="s">
        <v>2190</v>
      </c>
      <c r="J6660" s="10">
        <v>3</v>
      </c>
      <c r="K6660" t="b">
        <v>1</v>
      </c>
    </row>
    <row r="6661" spans="1:11">
      <c r="A6661" s="12">
        <v>42473</v>
      </c>
      <c r="B6661">
        <v>2016</v>
      </c>
      <c r="C6661">
        <v>4</v>
      </c>
      <c r="D6661" s="11">
        <v>42461</v>
      </c>
      <c r="E6661" t="s">
        <v>2176</v>
      </c>
      <c r="F6661">
        <v>3</v>
      </c>
      <c r="G6661" t="s">
        <v>65</v>
      </c>
      <c r="H6661" t="s">
        <v>43</v>
      </c>
      <c r="I6661" t="s">
        <v>2191</v>
      </c>
      <c r="J6661" s="10">
        <v>34</v>
      </c>
      <c r="K6661" t="b">
        <v>1</v>
      </c>
    </row>
    <row r="6662" spans="1:11">
      <c r="A6662" s="12">
        <v>42473</v>
      </c>
      <c r="B6662">
        <v>2016</v>
      </c>
      <c r="C6662">
        <v>4</v>
      </c>
      <c r="D6662" s="11">
        <v>42461</v>
      </c>
      <c r="E6662" t="s">
        <v>2176</v>
      </c>
      <c r="F6662">
        <v>3</v>
      </c>
      <c r="G6662" t="s">
        <v>65</v>
      </c>
      <c r="H6662" t="s">
        <v>44</v>
      </c>
      <c r="I6662" t="s">
        <v>2192</v>
      </c>
      <c r="J6662" s="10">
        <v>22.33333333</v>
      </c>
      <c r="K6662" t="b">
        <v>1</v>
      </c>
    </row>
    <row r="6663" spans="1:11">
      <c r="A6663" s="12">
        <v>42473</v>
      </c>
      <c r="B6663">
        <v>2016</v>
      </c>
      <c r="C6663">
        <v>4</v>
      </c>
      <c r="D6663" s="11">
        <v>42461</v>
      </c>
      <c r="E6663" t="s">
        <v>2176</v>
      </c>
      <c r="F6663">
        <v>3</v>
      </c>
      <c r="G6663" t="s">
        <v>65</v>
      </c>
      <c r="H6663" t="s">
        <v>45</v>
      </c>
      <c r="I6663" t="s">
        <v>2193</v>
      </c>
      <c r="J6663" s="10">
        <v>0</v>
      </c>
      <c r="K6663" t="b">
        <v>1</v>
      </c>
    </row>
    <row r="6664" spans="1:11">
      <c r="A6664" s="12">
        <v>42473</v>
      </c>
      <c r="B6664">
        <v>2016</v>
      </c>
      <c r="C6664">
        <v>4</v>
      </c>
      <c r="D6664" s="11">
        <v>42461</v>
      </c>
      <c r="E6664" t="s">
        <v>2176</v>
      </c>
      <c r="F6664">
        <v>3</v>
      </c>
      <c r="G6664" t="s">
        <v>65</v>
      </c>
      <c r="H6664" t="s">
        <v>46</v>
      </c>
      <c r="I6664" t="s">
        <v>2194</v>
      </c>
      <c r="J6664" s="10">
        <v>2</v>
      </c>
      <c r="K6664" t="b">
        <v>1</v>
      </c>
    </row>
    <row r="6665" spans="1:11">
      <c r="A6665" s="12">
        <v>42473</v>
      </c>
      <c r="B6665">
        <v>2016</v>
      </c>
      <c r="C6665">
        <v>4</v>
      </c>
      <c r="D6665" s="11">
        <v>42461</v>
      </c>
      <c r="E6665" t="s">
        <v>2176</v>
      </c>
      <c r="F6665">
        <v>3</v>
      </c>
      <c r="G6665" t="s">
        <v>65</v>
      </c>
      <c r="H6665" t="s">
        <v>47</v>
      </c>
      <c r="I6665" t="s">
        <v>2195</v>
      </c>
      <c r="J6665" s="10">
        <v>3</v>
      </c>
      <c r="K6665" t="b">
        <v>1</v>
      </c>
    </row>
    <row r="6666" spans="1:11">
      <c r="A6666" s="12">
        <v>42474</v>
      </c>
      <c r="B6666">
        <v>2016</v>
      </c>
      <c r="C6666">
        <v>4</v>
      </c>
      <c r="D6666" s="11">
        <v>42461</v>
      </c>
      <c r="E6666" t="s">
        <v>2176</v>
      </c>
      <c r="F6666">
        <v>4</v>
      </c>
      <c r="G6666" t="s">
        <v>53</v>
      </c>
      <c r="H6666" t="s">
        <v>40</v>
      </c>
      <c r="I6666" t="s">
        <v>2188</v>
      </c>
      <c r="J6666" s="10">
        <v>2.66</v>
      </c>
      <c r="K6666" t="b">
        <v>1</v>
      </c>
    </row>
    <row r="6667" spans="1:11">
      <c r="A6667" s="12">
        <v>42474</v>
      </c>
      <c r="B6667">
        <v>2016</v>
      </c>
      <c r="C6667">
        <v>4</v>
      </c>
      <c r="D6667" s="11">
        <v>42461</v>
      </c>
      <c r="E6667" t="s">
        <v>2176</v>
      </c>
      <c r="F6667">
        <v>4</v>
      </c>
      <c r="G6667" t="s">
        <v>53</v>
      </c>
      <c r="H6667" t="s">
        <v>41</v>
      </c>
      <c r="I6667" t="s">
        <v>2189</v>
      </c>
      <c r="J6667" s="10">
        <v>2.32</v>
      </c>
      <c r="K6667" t="b">
        <v>1</v>
      </c>
    </row>
    <row r="6668" spans="1:11">
      <c r="A6668" s="12">
        <v>42474</v>
      </c>
      <c r="B6668">
        <v>2016</v>
      </c>
      <c r="C6668">
        <v>4</v>
      </c>
      <c r="D6668" s="11">
        <v>42461</v>
      </c>
      <c r="E6668" t="s">
        <v>2176</v>
      </c>
      <c r="F6668">
        <v>4</v>
      </c>
      <c r="G6668" t="s">
        <v>53</v>
      </c>
      <c r="H6668" t="s">
        <v>42</v>
      </c>
      <c r="I6668" t="s">
        <v>2190</v>
      </c>
      <c r="J6668" s="10">
        <v>8.5</v>
      </c>
      <c r="K6668" t="b">
        <v>1</v>
      </c>
    </row>
    <row r="6669" spans="1:11">
      <c r="A6669" s="12">
        <v>42474</v>
      </c>
      <c r="B6669">
        <v>2016</v>
      </c>
      <c r="C6669">
        <v>4</v>
      </c>
      <c r="D6669" s="11">
        <v>42461</v>
      </c>
      <c r="E6669" t="s">
        <v>2176</v>
      </c>
      <c r="F6669">
        <v>4</v>
      </c>
      <c r="G6669" t="s">
        <v>53</v>
      </c>
      <c r="H6669" t="s">
        <v>43</v>
      </c>
      <c r="I6669" t="s">
        <v>2191</v>
      </c>
      <c r="J6669" s="10">
        <v>44.225</v>
      </c>
      <c r="K6669" t="b">
        <v>1</v>
      </c>
    </row>
    <row r="6670" spans="1:11">
      <c r="A6670" s="12">
        <v>42474</v>
      </c>
      <c r="B6670">
        <v>2016</v>
      </c>
      <c r="C6670">
        <v>4</v>
      </c>
      <c r="D6670" s="11">
        <v>42461</v>
      </c>
      <c r="E6670" t="s">
        <v>2176</v>
      </c>
      <c r="F6670">
        <v>4</v>
      </c>
      <c r="G6670" t="s">
        <v>53</v>
      </c>
      <c r="H6670" t="s">
        <v>44</v>
      </c>
      <c r="I6670" t="s">
        <v>2192</v>
      </c>
      <c r="J6670" s="10">
        <v>9</v>
      </c>
      <c r="K6670" t="b">
        <v>1</v>
      </c>
    </row>
    <row r="6671" spans="1:11">
      <c r="A6671" s="12">
        <v>42474</v>
      </c>
      <c r="B6671">
        <v>2016</v>
      </c>
      <c r="C6671">
        <v>4</v>
      </c>
      <c r="D6671" s="11">
        <v>42461</v>
      </c>
      <c r="E6671" t="s">
        <v>2176</v>
      </c>
      <c r="F6671">
        <v>4</v>
      </c>
      <c r="G6671" t="s">
        <v>53</v>
      </c>
      <c r="H6671" t="s">
        <v>45</v>
      </c>
      <c r="I6671" t="s">
        <v>2193</v>
      </c>
      <c r="J6671" s="10">
        <v>0</v>
      </c>
      <c r="K6671" t="b">
        <v>1</v>
      </c>
    </row>
    <row r="6672" spans="1:11">
      <c r="A6672" s="12">
        <v>42474</v>
      </c>
      <c r="B6672">
        <v>2016</v>
      </c>
      <c r="C6672">
        <v>4</v>
      </c>
      <c r="D6672" s="11">
        <v>42461</v>
      </c>
      <c r="E6672" t="s">
        <v>2176</v>
      </c>
      <c r="F6672">
        <v>4</v>
      </c>
      <c r="G6672" t="s">
        <v>53</v>
      </c>
      <c r="H6672" t="s">
        <v>46</v>
      </c>
      <c r="I6672" t="s">
        <v>2194</v>
      </c>
      <c r="J6672" s="10">
        <v>4</v>
      </c>
      <c r="K6672" t="b">
        <v>1</v>
      </c>
    </row>
    <row r="6673" spans="1:11">
      <c r="A6673" s="12">
        <v>42474</v>
      </c>
      <c r="B6673">
        <v>2016</v>
      </c>
      <c r="C6673">
        <v>4</v>
      </c>
      <c r="D6673" s="11">
        <v>42461</v>
      </c>
      <c r="E6673" t="s">
        <v>2176</v>
      </c>
      <c r="F6673">
        <v>4</v>
      </c>
      <c r="G6673" t="s">
        <v>53</v>
      </c>
      <c r="H6673" t="s">
        <v>47</v>
      </c>
      <c r="I6673" t="s">
        <v>2195</v>
      </c>
      <c r="J6673" s="10">
        <v>6</v>
      </c>
      <c r="K6673" t="b">
        <v>1</v>
      </c>
    </row>
    <row r="6674" spans="1:11">
      <c r="A6674" s="12">
        <v>42475</v>
      </c>
      <c r="B6674">
        <v>2016</v>
      </c>
      <c r="C6674">
        <v>4</v>
      </c>
      <c r="D6674" s="11">
        <v>42461</v>
      </c>
      <c r="E6674" t="s">
        <v>2176</v>
      </c>
      <c r="F6674">
        <v>5</v>
      </c>
      <c r="G6674" t="s">
        <v>55</v>
      </c>
      <c r="H6674" t="s">
        <v>40</v>
      </c>
      <c r="I6674" t="s">
        <v>2188</v>
      </c>
      <c r="J6674" s="10">
        <v>4.33</v>
      </c>
      <c r="K6674" t="b">
        <v>1</v>
      </c>
    </row>
    <row r="6675" spans="1:11">
      <c r="A6675" s="12">
        <v>42475</v>
      </c>
      <c r="B6675">
        <v>2016</v>
      </c>
      <c r="C6675">
        <v>4</v>
      </c>
      <c r="D6675" s="11">
        <v>42461</v>
      </c>
      <c r="E6675" t="s">
        <v>2176</v>
      </c>
      <c r="F6675">
        <v>5</v>
      </c>
      <c r="G6675" t="s">
        <v>55</v>
      </c>
      <c r="H6675" t="s">
        <v>41</v>
      </c>
      <c r="I6675" t="s">
        <v>2189</v>
      </c>
      <c r="J6675" s="10">
        <v>3.056</v>
      </c>
      <c r="K6675" t="b">
        <v>1</v>
      </c>
    </row>
    <row r="6676" spans="1:11">
      <c r="A6676" s="12">
        <v>42475</v>
      </c>
      <c r="B6676">
        <v>2016</v>
      </c>
      <c r="C6676">
        <v>4</v>
      </c>
      <c r="D6676" s="11">
        <v>42461</v>
      </c>
      <c r="E6676" t="s">
        <v>2176</v>
      </c>
      <c r="F6676">
        <v>5</v>
      </c>
      <c r="G6676" t="s">
        <v>55</v>
      </c>
      <c r="H6676" t="s">
        <v>42</v>
      </c>
      <c r="I6676" t="s">
        <v>2190</v>
      </c>
      <c r="J6676" s="10">
        <v>2.7</v>
      </c>
      <c r="K6676" t="b">
        <v>1</v>
      </c>
    </row>
    <row r="6677" spans="1:11">
      <c r="A6677" s="12">
        <v>42475</v>
      </c>
      <c r="B6677">
        <v>2016</v>
      </c>
      <c r="C6677">
        <v>4</v>
      </c>
      <c r="D6677" s="11">
        <v>42461</v>
      </c>
      <c r="E6677" t="s">
        <v>2176</v>
      </c>
      <c r="F6677">
        <v>5</v>
      </c>
      <c r="G6677" t="s">
        <v>55</v>
      </c>
      <c r="H6677" t="s">
        <v>43</v>
      </c>
      <c r="I6677" t="s">
        <v>2191</v>
      </c>
      <c r="J6677" s="10">
        <v>23.6</v>
      </c>
      <c r="K6677" t="b">
        <v>1</v>
      </c>
    </row>
    <row r="6678" spans="1:11">
      <c r="A6678" s="12">
        <v>42475</v>
      </c>
      <c r="B6678">
        <v>2016</v>
      </c>
      <c r="C6678">
        <v>4</v>
      </c>
      <c r="D6678" s="11">
        <v>42461</v>
      </c>
      <c r="E6678" t="s">
        <v>2176</v>
      </c>
      <c r="F6678">
        <v>5</v>
      </c>
      <c r="G6678" t="s">
        <v>55</v>
      </c>
      <c r="H6678" t="s">
        <v>44</v>
      </c>
      <c r="I6678" t="s">
        <v>2192</v>
      </c>
      <c r="J6678" s="10">
        <v>6</v>
      </c>
      <c r="K6678" t="b">
        <v>1</v>
      </c>
    </row>
    <row r="6679" spans="1:11">
      <c r="A6679" s="12">
        <v>42475</v>
      </c>
      <c r="B6679">
        <v>2016</v>
      </c>
      <c r="C6679">
        <v>4</v>
      </c>
      <c r="D6679" s="11">
        <v>42461</v>
      </c>
      <c r="E6679" t="s">
        <v>2176</v>
      </c>
      <c r="F6679">
        <v>5</v>
      </c>
      <c r="G6679" t="s">
        <v>55</v>
      </c>
      <c r="H6679" t="s">
        <v>45</v>
      </c>
      <c r="I6679" t="s">
        <v>2193</v>
      </c>
      <c r="J6679" s="10">
        <v>0</v>
      </c>
      <c r="K6679" t="b">
        <v>1</v>
      </c>
    </row>
    <row r="6680" spans="1:11">
      <c r="A6680" s="12">
        <v>42475</v>
      </c>
      <c r="B6680">
        <v>2016</v>
      </c>
      <c r="C6680">
        <v>4</v>
      </c>
      <c r="D6680" s="11">
        <v>42461</v>
      </c>
      <c r="E6680" t="s">
        <v>2176</v>
      </c>
      <c r="F6680">
        <v>5</v>
      </c>
      <c r="G6680" t="s">
        <v>55</v>
      </c>
      <c r="H6680" t="s">
        <v>46</v>
      </c>
      <c r="I6680" t="s">
        <v>2194</v>
      </c>
      <c r="J6680" s="10">
        <v>10</v>
      </c>
      <c r="K6680" t="b">
        <v>1</v>
      </c>
    </row>
    <row r="6681" spans="1:11">
      <c r="A6681" s="12">
        <v>42475</v>
      </c>
      <c r="B6681">
        <v>2016</v>
      </c>
      <c r="C6681">
        <v>4</v>
      </c>
      <c r="D6681" s="11">
        <v>42461</v>
      </c>
      <c r="E6681" t="s">
        <v>2176</v>
      </c>
      <c r="F6681">
        <v>5</v>
      </c>
      <c r="G6681" t="s">
        <v>55</v>
      </c>
      <c r="H6681" t="s">
        <v>47</v>
      </c>
      <c r="I6681" t="s">
        <v>2195</v>
      </c>
      <c r="J6681" s="10">
        <v>4.2</v>
      </c>
      <c r="K6681" t="b">
        <v>1</v>
      </c>
    </row>
    <row r="6682" spans="1:11">
      <c r="A6682" s="12">
        <v>42476</v>
      </c>
      <c r="B6682">
        <v>2016</v>
      </c>
      <c r="C6682">
        <v>4</v>
      </c>
      <c r="D6682" s="11">
        <v>42461</v>
      </c>
      <c r="E6682" t="s">
        <v>2176</v>
      </c>
      <c r="F6682">
        <v>6</v>
      </c>
      <c r="G6682" t="s">
        <v>57</v>
      </c>
      <c r="H6682" t="s">
        <v>40</v>
      </c>
      <c r="I6682" t="s">
        <v>2188</v>
      </c>
      <c r="J6682" s="10">
        <v>5.34</v>
      </c>
      <c r="K6682" t="b">
        <v>1</v>
      </c>
    </row>
    <row r="6683" spans="1:11">
      <c r="A6683" s="12">
        <v>42476</v>
      </c>
      <c r="B6683">
        <v>2016</v>
      </c>
      <c r="C6683">
        <v>4</v>
      </c>
      <c r="D6683" s="11">
        <v>42461</v>
      </c>
      <c r="E6683" t="s">
        <v>2176</v>
      </c>
      <c r="F6683">
        <v>6</v>
      </c>
      <c r="G6683" t="s">
        <v>57</v>
      </c>
      <c r="H6683" t="s">
        <v>41</v>
      </c>
      <c r="I6683" t="s">
        <v>2189</v>
      </c>
      <c r="J6683" s="10">
        <v>6.66</v>
      </c>
      <c r="K6683" t="b">
        <v>1</v>
      </c>
    </row>
    <row r="6684" spans="1:11">
      <c r="A6684" s="12">
        <v>42476</v>
      </c>
      <c r="B6684">
        <v>2016</v>
      </c>
      <c r="C6684">
        <v>4</v>
      </c>
      <c r="D6684" s="11">
        <v>42461</v>
      </c>
      <c r="E6684" t="s">
        <v>2176</v>
      </c>
      <c r="F6684">
        <v>6</v>
      </c>
      <c r="G6684" t="s">
        <v>57</v>
      </c>
      <c r="H6684" t="s">
        <v>42</v>
      </c>
      <c r="I6684" t="s">
        <v>2190</v>
      </c>
      <c r="J6684" s="10">
        <v>5.3</v>
      </c>
      <c r="K6684" t="b">
        <v>1</v>
      </c>
    </row>
    <row r="6685" spans="1:11">
      <c r="A6685" s="12">
        <v>42476</v>
      </c>
      <c r="B6685">
        <v>2016</v>
      </c>
      <c r="C6685">
        <v>4</v>
      </c>
      <c r="D6685" s="11">
        <v>42461</v>
      </c>
      <c r="E6685" t="s">
        <v>2176</v>
      </c>
      <c r="F6685">
        <v>6</v>
      </c>
      <c r="G6685" t="s">
        <v>57</v>
      </c>
      <c r="H6685" t="s">
        <v>43</v>
      </c>
      <c r="I6685" t="s">
        <v>2191</v>
      </c>
      <c r="J6685" s="10">
        <v>33</v>
      </c>
      <c r="K6685" t="b">
        <v>1</v>
      </c>
    </row>
    <row r="6686" spans="1:11">
      <c r="A6686" s="12">
        <v>42476</v>
      </c>
      <c r="B6686">
        <v>2016</v>
      </c>
      <c r="C6686">
        <v>4</v>
      </c>
      <c r="D6686" s="11">
        <v>42461</v>
      </c>
      <c r="E6686" t="s">
        <v>2176</v>
      </c>
      <c r="F6686">
        <v>6</v>
      </c>
      <c r="G6686" t="s">
        <v>57</v>
      </c>
      <c r="H6686" t="s">
        <v>44</v>
      </c>
      <c r="I6686" t="s">
        <v>2192</v>
      </c>
      <c r="J6686" s="10">
        <v>11</v>
      </c>
      <c r="K6686" t="b">
        <v>1</v>
      </c>
    </row>
    <row r="6687" spans="1:11">
      <c r="A6687" s="12">
        <v>42476</v>
      </c>
      <c r="B6687">
        <v>2016</v>
      </c>
      <c r="C6687">
        <v>4</v>
      </c>
      <c r="D6687" s="11">
        <v>42461</v>
      </c>
      <c r="E6687" t="s">
        <v>2176</v>
      </c>
      <c r="F6687">
        <v>6</v>
      </c>
      <c r="G6687" t="s">
        <v>57</v>
      </c>
      <c r="H6687" t="s">
        <v>45</v>
      </c>
      <c r="I6687" t="s">
        <v>2193</v>
      </c>
      <c r="J6687" s="10">
        <v>0</v>
      </c>
      <c r="K6687" t="b">
        <v>1</v>
      </c>
    </row>
    <row r="6688" spans="1:11">
      <c r="A6688" s="12">
        <v>42476</v>
      </c>
      <c r="B6688">
        <v>2016</v>
      </c>
      <c r="C6688">
        <v>4</v>
      </c>
      <c r="D6688" s="11">
        <v>42461</v>
      </c>
      <c r="E6688" t="s">
        <v>2176</v>
      </c>
      <c r="F6688">
        <v>6</v>
      </c>
      <c r="G6688" t="s">
        <v>57</v>
      </c>
      <c r="H6688" t="s">
        <v>46</v>
      </c>
      <c r="I6688" t="s">
        <v>2194</v>
      </c>
      <c r="J6688" s="10">
        <v>8</v>
      </c>
      <c r="K6688" t="b">
        <v>1</v>
      </c>
    </row>
    <row r="6689" spans="1:11">
      <c r="A6689" s="12">
        <v>42476</v>
      </c>
      <c r="B6689">
        <v>2016</v>
      </c>
      <c r="C6689">
        <v>4</v>
      </c>
      <c r="D6689" s="11">
        <v>42461</v>
      </c>
      <c r="E6689" t="s">
        <v>2176</v>
      </c>
      <c r="F6689">
        <v>6</v>
      </c>
      <c r="G6689" t="s">
        <v>57</v>
      </c>
      <c r="H6689" t="s">
        <v>47</v>
      </c>
      <c r="I6689" t="s">
        <v>2195</v>
      </c>
      <c r="J6689" s="10">
        <v>8.5</v>
      </c>
      <c r="K6689" t="b">
        <v>1</v>
      </c>
    </row>
    <row r="6690" spans="1:11">
      <c r="A6690" s="12">
        <v>42477</v>
      </c>
      <c r="B6690">
        <v>2016</v>
      </c>
      <c r="C6690">
        <v>4</v>
      </c>
      <c r="D6690" s="11">
        <v>42461</v>
      </c>
      <c r="E6690" t="s">
        <v>2176</v>
      </c>
      <c r="F6690">
        <v>7</v>
      </c>
      <c r="G6690" t="s">
        <v>59</v>
      </c>
      <c r="H6690" t="s">
        <v>40</v>
      </c>
      <c r="I6690" t="s">
        <v>2188</v>
      </c>
      <c r="J6690" s="10">
        <v>4.33</v>
      </c>
      <c r="K6690" t="b">
        <v>1</v>
      </c>
    </row>
    <row r="6691" spans="1:11">
      <c r="A6691" s="12">
        <v>42477</v>
      </c>
      <c r="B6691">
        <v>2016</v>
      </c>
      <c r="C6691">
        <v>4</v>
      </c>
      <c r="D6691" s="11">
        <v>42461</v>
      </c>
      <c r="E6691" t="s">
        <v>2176</v>
      </c>
      <c r="F6691">
        <v>7</v>
      </c>
      <c r="G6691" t="s">
        <v>59</v>
      </c>
      <c r="H6691" t="s">
        <v>41</v>
      </c>
      <c r="I6691" t="s">
        <v>2189</v>
      </c>
      <c r="J6691" s="10">
        <v>8.175000000000001</v>
      </c>
      <c r="K6691" t="b">
        <v>1</v>
      </c>
    </row>
    <row r="6692" spans="1:11">
      <c r="A6692" s="12">
        <v>42477</v>
      </c>
      <c r="B6692">
        <v>2016</v>
      </c>
      <c r="C6692">
        <v>4</v>
      </c>
      <c r="D6692" s="11">
        <v>42461</v>
      </c>
      <c r="E6692" t="s">
        <v>2176</v>
      </c>
      <c r="F6692">
        <v>7</v>
      </c>
      <c r="G6692" t="s">
        <v>59</v>
      </c>
      <c r="H6692" t="s">
        <v>42</v>
      </c>
      <c r="I6692" t="s">
        <v>2190</v>
      </c>
      <c r="J6692" s="10">
        <v>3</v>
      </c>
      <c r="K6692" t="b">
        <v>1</v>
      </c>
    </row>
    <row r="6693" spans="1:11">
      <c r="A6693" s="12">
        <v>42477</v>
      </c>
      <c r="B6693">
        <v>2016</v>
      </c>
      <c r="C6693">
        <v>4</v>
      </c>
      <c r="D6693" s="11">
        <v>42461</v>
      </c>
      <c r="E6693" t="s">
        <v>2176</v>
      </c>
      <c r="F6693">
        <v>7</v>
      </c>
      <c r="G6693" t="s">
        <v>59</v>
      </c>
      <c r="H6693" t="s">
        <v>43</v>
      </c>
      <c r="I6693" t="s">
        <v>2191</v>
      </c>
      <c r="J6693" s="10">
        <v>52.8</v>
      </c>
      <c r="K6693" t="b">
        <v>1</v>
      </c>
    </row>
    <row r="6694" spans="1:11">
      <c r="A6694" s="12">
        <v>42477</v>
      </c>
      <c r="B6694">
        <v>2016</v>
      </c>
      <c r="C6694">
        <v>4</v>
      </c>
      <c r="D6694" s="11">
        <v>42461</v>
      </c>
      <c r="E6694" t="s">
        <v>2176</v>
      </c>
      <c r="F6694">
        <v>7</v>
      </c>
      <c r="G6694" t="s">
        <v>59</v>
      </c>
      <c r="H6694" t="s">
        <v>44</v>
      </c>
      <c r="I6694" t="s">
        <v>2192</v>
      </c>
      <c r="J6694" s="10">
        <v>2</v>
      </c>
      <c r="K6694" t="b">
        <v>1</v>
      </c>
    </row>
    <row r="6695" spans="1:11">
      <c r="A6695" s="12">
        <v>42477</v>
      </c>
      <c r="B6695">
        <v>2016</v>
      </c>
      <c r="C6695">
        <v>4</v>
      </c>
      <c r="D6695" s="11">
        <v>42461</v>
      </c>
      <c r="E6695" t="s">
        <v>2176</v>
      </c>
      <c r="F6695">
        <v>7</v>
      </c>
      <c r="G6695" t="s">
        <v>59</v>
      </c>
      <c r="H6695" t="s">
        <v>45</v>
      </c>
      <c r="I6695" t="s">
        <v>2193</v>
      </c>
      <c r="J6695" s="10">
        <v>0</v>
      </c>
      <c r="K6695" t="b">
        <v>1</v>
      </c>
    </row>
    <row r="6696" spans="1:11">
      <c r="A6696" s="12">
        <v>42477</v>
      </c>
      <c r="B6696">
        <v>2016</v>
      </c>
      <c r="C6696">
        <v>4</v>
      </c>
      <c r="D6696" s="11">
        <v>42461</v>
      </c>
      <c r="E6696" t="s">
        <v>2176</v>
      </c>
      <c r="F6696">
        <v>7</v>
      </c>
      <c r="G6696" t="s">
        <v>59</v>
      </c>
      <c r="H6696" t="s">
        <v>46</v>
      </c>
      <c r="I6696" t="s">
        <v>2194</v>
      </c>
      <c r="J6696" s="10">
        <v>7</v>
      </c>
      <c r="K6696" t="b">
        <v>1</v>
      </c>
    </row>
    <row r="6697" spans="1:11">
      <c r="A6697" s="12">
        <v>42477</v>
      </c>
      <c r="B6697">
        <v>2016</v>
      </c>
      <c r="C6697">
        <v>4</v>
      </c>
      <c r="D6697" s="11">
        <v>42461</v>
      </c>
      <c r="E6697" t="s">
        <v>2176</v>
      </c>
      <c r="F6697">
        <v>7</v>
      </c>
      <c r="G6697" t="s">
        <v>59</v>
      </c>
      <c r="H6697" t="s">
        <v>47</v>
      </c>
      <c r="I6697" t="s">
        <v>2195</v>
      </c>
      <c r="J6697" s="10">
        <v>7.2</v>
      </c>
      <c r="K6697" t="b">
        <v>1</v>
      </c>
    </row>
    <row r="6698" spans="1:11">
      <c r="A6698" s="12">
        <v>42478</v>
      </c>
      <c r="B6698">
        <v>2016</v>
      </c>
      <c r="C6698">
        <v>4</v>
      </c>
      <c r="D6698" s="11">
        <v>42461</v>
      </c>
      <c r="E6698" t="s">
        <v>2176</v>
      </c>
      <c r="F6698">
        <v>1</v>
      </c>
      <c r="G6698" t="s">
        <v>61</v>
      </c>
      <c r="H6698" t="s">
        <v>40</v>
      </c>
      <c r="I6698" t="s">
        <v>2188</v>
      </c>
      <c r="J6698" s="10">
        <v>3.66</v>
      </c>
      <c r="K6698" t="b">
        <v>1</v>
      </c>
    </row>
    <row r="6699" spans="1:11">
      <c r="A6699" s="12">
        <v>42478</v>
      </c>
      <c r="B6699">
        <v>2016</v>
      </c>
      <c r="C6699">
        <v>4</v>
      </c>
      <c r="D6699" s="11">
        <v>42461</v>
      </c>
      <c r="E6699" t="s">
        <v>2176</v>
      </c>
      <c r="F6699">
        <v>1</v>
      </c>
      <c r="G6699" t="s">
        <v>61</v>
      </c>
      <c r="H6699" t="s">
        <v>41</v>
      </c>
      <c r="I6699" t="s">
        <v>2189</v>
      </c>
      <c r="J6699" s="10">
        <v>2</v>
      </c>
      <c r="K6699" t="b">
        <v>1</v>
      </c>
    </row>
    <row r="6700" spans="1:11">
      <c r="A6700" s="12">
        <v>42478</v>
      </c>
      <c r="B6700">
        <v>2016</v>
      </c>
      <c r="C6700">
        <v>4</v>
      </c>
      <c r="D6700" s="11">
        <v>42461</v>
      </c>
      <c r="E6700" t="s">
        <v>2176</v>
      </c>
      <c r="F6700">
        <v>1</v>
      </c>
      <c r="G6700" t="s">
        <v>61</v>
      </c>
      <c r="H6700" t="s">
        <v>42</v>
      </c>
      <c r="I6700" t="s">
        <v>2190</v>
      </c>
      <c r="J6700" s="10">
        <v>5</v>
      </c>
      <c r="K6700" t="b">
        <v>1</v>
      </c>
    </row>
    <row r="6701" spans="1:11">
      <c r="A6701" s="12">
        <v>42478</v>
      </c>
      <c r="B6701">
        <v>2016</v>
      </c>
      <c r="C6701">
        <v>4</v>
      </c>
      <c r="D6701" s="11">
        <v>42461</v>
      </c>
      <c r="E6701" t="s">
        <v>2176</v>
      </c>
      <c r="F6701">
        <v>1</v>
      </c>
      <c r="G6701" t="s">
        <v>61</v>
      </c>
      <c r="H6701" t="s">
        <v>43</v>
      </c>
      <c r="I6701" t="s">
        <v>2191</v>
      </c>
      <c r="J6701" s="10">
        <v>22.1</v>
      </c>
      <c r="K6701" t="b">
        <v>1</v>
      </c>
    </row>
    <row r="6702" spans="1:11">
      <c r="A6702" s="12">
        <v>42478</v>
      </c>
      <c r="B6702">
        <v>2016</v>
      </c>
      <c r="C6702">
        <v>4</v>
      </c>
      <c r="D6702" s="11">
        <v>42461</v>
      </c>
      <c r="E6702" t="s">
        <v>2176</v>
      </c>
      <c r="F6702">
        <v>1</v>
      </c>
      <c r="G6702" t="s">
        <v>61</v>
      </c>
      <c r="H6702" t="s">
        <v>44</v>
      </c>
      <c r="I6702" t="s">
        <v>2192</v>
      </c>
      <c r="J6702" s="10">
        <v>15</v>
      </c>
      <c r="K6702" t="b">
        <v>1</v>
      </c>
    </row>
    <row r="6703" spans="1:11">
      <c r="A6703" s="12">
        <v>42478</v>
      </c>
      <c r="B6703">
        <v>2016</v>
      </c>
      <c r="C6703">
        <v>4</v>
      </c>
      <c r="D6703" s="11">
        <v>42461</v>
      </c>
      <c r="E6703" t="s">
        <v>2176</v>
      </c>
      <c r="F6703">
        <v>1</v>
      </c>
      <c r="G6703" t="s">
        <v>61</v>
      </c>
      <c r="H6703" t="s">
        <v>45</v>
      </c>
      <c r="I6703" t="s">
        <v>2193</v>
      </c>
      <c r="J6703" s="10">
        <v>3</v>
      </c>
      <c r="K6703" t="b">
        <v>1</v>
      </c>
    </row>
    <row r="6704" spans="1:11">
      <c r="A6704" s="12">
        <v>42478</v>
      </c>
      <c r="B6704">
        <v>2016</v>
      </c>
      <c r="C6704">
        <v>4</v>
      </c>
      <c r="D6704" s="11">
        <v>42461</v>
      </c>
      <c r="E6704" t="s">
        <v>2176</v>
      </c>
      <c r="F6704">
        <v>1</v>
      </c>
      <c r="G6704" t="s">
        <v>61</v>
      </c>
      <c r="H6704" t="s">
        <v>46</v>
      </c>
      <c r="I6704" t="s">
        <v>2194</v>
      </c>
      <c r="J6704" s="10">
        <v>7</v>
      </c>
      <c r="K6704" t="b">
        <v>1</v>
      </c>
    </row>
    <row r="6705" spans="1:11">
      <c r="A6705" s="12">
        <v>42478</v>
      </c>
      <c r="B6705">
        <v>2016</v>
      </c>
      <c r="C6705">
        <v>4</v>
      </c>
      <c r="D6705" s="11">
        <v>42461</v>
      </c>
      <c r="E6705" t="s">
        <v>2176</v>
      </c>
      <c r="F6705">
        <v>1</v>
      </c>
      <c r="G6705" t="s">
        <v>61</v>
      </c>
      <c r="H6705" t="s">
        <v>47</v>
      </c>
      <c r="I6705" t="s">
        <v>2195</v>
      </c>
      <c r="J6705" s="10">
        <v>7</v>
      </c>
      <c r="K6705" t="b">
        <v>1</v>
      </c>
    </row>
    <row r="6706" spans="1:11">
      <c r="A6706" s="12">
        <v>42479</v>
      </c>
      <c r="B6706">
        <v>2016</v>
      </c>
      <c r="C6706">
        <v>4</v>
      </c>
      <c r="D6706" s="11">
        <v>42461</v>
      </c>
      <c r="E6706" t="s">
        <v>2176</v>
      </c>
      <c r="F6706">
        <v>2</v>
      </c>
      <c r="G6706" t="s">
        <v>63</v>
      </c>
      <c r="H6706" t="s">
        <v>40</v>
      </c>
      <c r="I6706" t="s">
        <v>2188</v>
      </c>
      <c r="J6706" s="10">
        <v>3</v>
      </c>
      <c r="K6706" t="b">
        <v>1</v>
      </c>
    </row>
    <row r="6707" spans="1:11">
      <c r="A6707" s="12">
        <v>42479</v>
      </c>
      <c r="B6707">
        <v>2016</v>
      </c>
      <c r="C6707">
        <v>4</v>
      </c>
      <c r="D6707" s="11">
        <v>42461</v>
      </c>
      <c r="E6707" t="s">
        <v>2176</v>
      </c>
      <c r="F6707">
        <v>2</v>
      </c>
      <c r="G6707" t="s">
        <v>63</v>
      </c>
      <c r="H6707" t="s">
        <v>41</v>
      </c>
      <c r="I6707" t="s">
        <v>2189</v>
      </c>
      <c r="J6707" s="10">
        <v>1.34</v>
      </c>
      <c r="K6707" t="b">
        <v>1</v>
      </c>
    </row>
    <row r="6708" spans="1:11">
      <c r="A6708" s="12">
        <v>42479</v>
      </c>
      <c r="B6708">
        <v>2016</v>
      </c>
      <c r="C6708">
        <v>4</v>
      </c>
      <c r="D6708" s="11">
        <v>42461</v>
      </c>
      <c r="E6708" t="s">
        <v>2176</v>
      </c>
      <c r="F6708">
        <v>2</v>
      </c>
      <c r="G6708" t="s">
        <v>63</v>
      </c>
      <c r="H6708" t="s">
        <v>42</v>
      </c>
      <c r="I6708" t="s">
        <v>2190</v>
      </c>
      <c r="J6708" s="10">
        <v>8.300000000000001</v>
      </c>
      <c r="K6708" t="b">
        <v>1</v>
      </c>
    </row>
    <row r="6709" spans="1:11">
      <c r="A6709" s="12">
        <v>42479</v>
      </c>
      <c r="B6709">
        <v>2016</v>
      </c>
      <c r="C6709">
        <v>4</v>
      </c>
      <c r="D6709" s="11">
        <v>42461</v>
      </c>
      <c r="E6709" t="s">
        <v>2176</v>
      </c>
      <c r="F6709">
        <v>2</v>
      </c>
      <c r="G6709" t="s">
        <v>63</v>
      </c>
      <c r="H6709" t="s">
        <v>43</v>
      </c>
      <c r="I6709" t="s">
        <v>2191</v>
      </c>
      <c r="J6709" s="10">
        <v>24.3</v>
      </c>
      <c r="K6709" t="b">
        <v>1</v>
      </c>
    </row>
    <row r="6710" spans="1:11">
      <c r="A6710" s="12">
        <v>42479</v>
      </c>
      <c r="B6710">
        <v>2016</v>
      </c>
      <c r="C6710">
        <v>4</v>
      </c>
      <c r="D6710" s="11">
        <v>42461</v>
      </c>
      <c r="E6710" t="s">
        <v>2176</v>
      </c>
      <c r="F6710">
        <v>2</v>
      </c>
      <c r="G6710" t="s">
        <v>63</v>
      </c>
      <c r="H6710" t="s">
        <v>44</v>
      </c>
      <c r="I6710" t="s">
        <v>2192</v>
      </c>
      <c r="J6710" s="10">
        <v>7</v>
      </c>
      <c r="K6710" t="b">
        <v>1</v>
      </c>
    </row>
    <row r="6711" spans="1:11">
      <c r="A6711" s="12">
        <v>42479</v>
      </c>
      <c r="B6711">
        <v>2016</v>
      </c>
      <c r="C6711">
        <v>4</v>
      </c>
      <c r="D6711" s="11">
        <v>42461</v>
      </c>
      <c r="E6711" t="s">
        <v>2176</v>
      </c>
      <c r="F6711">
        <v>2</v>
      </c>
      <c r="G6711" t="s">
        <v>63</v>
      </c>
      <c r="H6711" t="s">
        <v>45</v>
      </c>
      <c r="I6711" t="s">
        <v>2193</v>
      </c>
      <c r="J6711" s="10">
        <v>0</v>
      </c>
      <c r="K6711" t="b">
        <v>1</v>
      </c>
    </row>
    <row r="6712" spans="1:11">
      <c r="A6712" s="12">
        <v>42479</v>
      </c>
      <c r="B6712">
        <v>2016</v>
      </c>
      <c r="C6712">
        <v>4</v>
      </c>
      <c r="D6712" s="11">
        <v>42461</v>
      </c>
      <c r="E6712" t="s">
        <v>2176</v>
      </c>
      <c r="F6712">
        <v>2</v>
      </c>
      <c r="G6712" t="s">
        <v>63</v>
      </c>
      <c r="H6712" t="s">
        <v>46</v>
      </c>
      <c r="I6712" t="s">
        <v>2194</v>
      </c>
      <c r="J6712" s="10">
        <v>6</v>
      </c>
      <c r="K6712" t="b">
        <v>1</v>
      </c>
    </row>
    <row r="6713" spans="1:11">
      <c r="A6713" s="12">
        <v>42479</v>
      </c>
      <c r="B6713">
        <v>2016</v>
      </c>
      <c r="C6713">
        <v>4</v>
      </c>
      <c r="D6713" s="11">
        <v>42461</v>
      </c>
      <c r="E6713" t="s">
        <v>2176</v>
      </c>
      <c r="F6713">
        <v>2</v>
      </c>
      <c r="G6713" t="s">
        <v>63</v>
      </c>
      <c r="H6713" t="s">
        <v>47</v>
      </c>
      <c r="I6713" t="s">
        <v>2195</v>
      </c>
      <c r="J6713" s="10">
        <v>4</v>
      </c>
      <c r="K6713" t="b">
        <v>1</v>
      </c>
    </row>
    <row r="6714" spans="1:11">
      <c r="A6714" s="12">
        <v>42480</v>
      </c>
      <c r="B6714">
        <v>2016</v>
      </c>
      <c r="C6714">
        <v>4</v>
      </c>
      <c r="D6714" s="11">
        <v>42461</v>
      </c>
      <c r="E6714" t="s">
        <v>2176</v>
      </c>
      <c r="F6714">
        <v>3</v>
      </c>
      <c r="G6714" t="s">
        <v>65</v>
      </c>
      <c r="H6714" t="s">
        <v>40</v>
      </c>
      <c r="I6714" t="s">
        <v>2188</v>
      </c>
      <c r="J6714" s="10">
        <v>2.66</v>
      </c>
      <c r="K6714" t="b">
        <v>1</v>
      </c>
    </row>
    <row r="6715" spans="1:11">
      <c r="A6715" s="12">
        <v>42480</v>
      </c>
      <c r="B6715">
        <v>2016</v>
      </c>
      <c r="C6715">
        <v>4</v>
      </c>
      <c r="D6715" s="11">
        <v>42461</v>
      </c>
      <c r="E6715" t="s">
        <v>2176</v>
      </c>
      <c r="F6715">
        <v>3</v>
      </c>
      <c r="G6715" t="s">
        <v>65</v>
      </c>
      <c r="H6715" t="s">
        <v>41</v>
      </c>
      <c r="I6715" t="s">
        <v>2189</v>
      </c>
      <c r="J6715" s="10">
        <v>3.33</v>
      </c>
      <c r="K6715" t="b">
        <v>1</v>
      </c>
    </row>
    <row r="6716" spans="1:11">
      <c r="A6716" s="12">
        <v>42480</v>
      </c>
      <c r="B6716">
        <v>2016</v>
      </c>
      <c r="C6716">
        <v>4</v>
      </c>
      <c r="D6716" s="11">
        <v>42461</v>
      </c>
      <c r="E6716" t="s">
        <v>2176</v>
      </c>
      <c r="F6716">
        <v>3</v>
      </c>
      <c r="G6716" t="s">
        <v>65</v>
      </c>
      <c r="H6716" t="s">
        <v>42</v>
      </c>
      <c r="I6716" t="s">
        <v>2190</v>
      </c>
      <c r="J6716" s="10">
        <v>2.4</v>
      </c>
      <c r="K6716" t="b">
        <v>1</v>
      </c>
    </row>
    <row r="6717" spans="1:11">
      <c r="A6717" s="12">
        <v>42480</v>
      </c>
      <c r="B6717">
        <v>2016</v>
      </c>
      <c r="C6717">
        <v>4</v>
      </c>
      <c r="D6717" s="11">
        <v>42461</v>
      </c>
      <c r="E6717" t="s">
        <v>2176</v>
      </c>
      <c r="F6717">
        <v>3</v>
      </c>
      <c r="G6717" t="s">
        <v>65</v>
      </c>
      <c r="H6717" t="s">
        <v>43</v>
      </c>
      <c r="I6717" t="s">
        <v>2191</v>
      </c>
      <c r="J6717" s="10">
        <v>17.1</v>
      </c>
      <c r="K6717" t="b">
        <v>1</v>
      </c>
    </row>
    <row r="6718" spans="1:11">
      <c r="A6718" s="12">
        <v>42480</v>
      </c>
      <c r="B6718">
        <v>2016</v>
      </c>
      <c r="C6718">
        <v>4</v>
      </c>
      <c r="D6718" s="11">
        <v>42461</v>
      </c>
      <c r="E6718" t="s">
        <v>2176</v>
      </c>
      <c r="F6718">
        <v>3</v>
      </c>
      <c r="G6718" t="s">
        <v>65</v>
      </c>
      <c r="H6718" t="s">
        <v>44</v>
      </c>
      <c r="I6718" t="s">
        <v>2192</v>
      </c>
      <c r="J6718" s="10">
        <v>11</v>
      </c>
      <c r="K6718" t="b">
        <v>1</v>
      </c>
    </row>
    <row r="6719" spans="1:11">
      <c r="A6719" s="12">
        <v>42480</v>
      </c>
      <c r="B6719">
        <v>2016</v>
      </c>
      <c r="C6719">
        <v>4</v>
      </c>
      <c r="D6719" s="11">
        <v>42461</v>
      </c>
      <c r="E6719" t="s">
        <v>2176</v>
      </c>
      <c r="F6719">
        <v>3</v>
      </c>
      <c r="G6719" t="s">
        <v>65</v>
      </c>
      <c r="H6719" t="s">
        <v>45</v>
      </c>
      <c r="I6719" t="s">
        <v>2193</v>
      </c>
      <c r="J6719" s="10">
        <v>5</v>
      </c>
      <c r="K6719" t="b">
        <v>1</v>
      </c>
    </row>
    <row r="6720" spans="1:11">
      <c r="A6720" s="12">
        <v>42480</v>
      </c>
      <c r="B6720">
        <v>2016</v>
      </c>
      <c r="C6720">
        <v>4</v>
      </c>
      <c r="D6720" s="11">
        <v>42461</v>
      </c>
      <c r="E6720" t="s">
        <v>2176</v>
      </c>
      <c r="F6720">
        <v>3</v>
      </c>
      <c r="G6720" t="s">
        <v>65</v>
      </c>
      <c r="H6720" t="s">
        <v>46</v>
      </c>
      <c r="I6720" t="s">
        <v>2194</v>
      </c>
      <c r="J6720" s="10">
        <v>15</v>
      </c>
      <c r="K6720" t="b">
        <v>1</v>
      </c>
    </row>
    <row r="6721" spans="1:11">
      <c r="A6721" s="12">
        <v>42480</v>
      </c>
      <c r="B6721">
        <v>2016</v>
      </c>
      <c r="C6721">
        <v>4</v>
      </c>
      <c r="D6721" s="11">
        <v>42461</v>
      </c>
      <c r="E6721" t="s">
        <v>2176</v>
      </c>
      <c r="F6721">
        <v>3</v>
      </c>
      <c r="G6721" t="s">
        <v>65</v>
      </c>
      <c r="H6721" t="s">
        <v>47</v>
      </c>
      <c r="I6721" t="s">
        <v>2195</v>
      </c>
      <c r="J6721" s="10">
        <v>3</v>
      </c>
      <c r="K6721" t="b">
        <v>1</v>
      </c>
    </row>
    <row r="6722" spans="1:11">
      <c r="A6722" s="12">
        <v>42481</v>
      </c>
      <c r="B6722">
        <v>2016</v>
      </c>
      <c r="C6722">
        <v>4</v>
      </c>
      <c r="D6722" s="11">
        <v>42461</v>
      </c>
      <c r="E6722" t="s">
        <v>2176</v>
      </c>
      <c r="F6722">
        <v>4</v>
      </c>
      <c r="G6722" t="s">
        <v>53</v>
      </c>
      <c r="H6722" t="s">
        <v>40</v>
      </c>
      <c r="I6722" t="s">
        <v>2188</v>
      </c>
      <c r="J6722" s="10">
        <v>3</v>
      </c>
      <c r="K6722" t="b">
        <v>1</v>
      </c>
    </row>
    <row r="6723" spans="1:11">
      <c r="A6723" s="12">
        <v>42481</v>
      </c>
      <c r="B6723">
        <v>2016</v>
      </c>
      <c r="C6723">
        <v>4</v>
      </c>
      <c r="D6723" s="11">
        <v>42461</v>
      </c>
      <c r="E6723" t="s">
        <v>2176</v>
      </c>
      <c r="F6723">
        <v>4</v>
      </c>
      <c r="G6723" t="s">
        <v>53</v>
      </c>
      <c r="H6723" t="s">
        <v>41</v>
      </c>
      <c r="I6723" t="s">
        <v>2189</v>
      </c>
      <c r="J6723" s="10">
        <v>3.464</v>
      </c>
      <c r="K6723" t="b">
        <v>1</v>
      </c>
    </row>
    <row r="6724" spans="1:11">
      <c r="A6724" s="12">
        <v>42481</v>
      </c>
      <c r="B6724">
        <v>2016</v>
      </c>
      <c r="C6724">
        <v>4</v>
      </c>
      <c r="D6724" s="11">
        <v>42461</v>
      </c>
      <c r="E6724" t="s">
        <v>2176</v>
      </c>
      <c r="F6724">
        <v>4</v>
      </c>
      <c r="G6724" t="s">
        <v>53</v>
      </c>
      <c r="H6724" t="s">
        <v>42</v>
      </c>
      <c r="I6724" t="s">
        <v>2190</v>
      </c>
      <c r="J6724" s="10">
        <v>3</v>
      </c>
      <c r="K6724" t="b">
        <v>1</v>
      </c>
    </row>
    <row r="6725" spans="1:11">
      <c r="A6725" s="12">
        <v>42481</v>
      </c>
      <c r="B6725">
        <v>2016</v>
      </c>
      <c r="C6725">
        <v>4</v>
      </c>
      <c r="D6725" s="11">
        <v>42461</v>
      </c>
      <c r="E6725" t="s">
        <v>2176</v>
      </c>
      <c r="F6725">
        <v>4</v>
      </c>
      <c r="G6725" t="s">
        <v>53</v>
      </c>
      <c r="H6725" t="s">
        <v>43</v>
      </c>
      <c r="I6725" t="s">
        <v>2191</v>
      </c>
      <c r="J6725" s="10">
        <v>21.6</v>
      </c>
      <c r="K6725" t="b">
        <v>1</v>
      </c>
    </row>
    <row r="6726" spans="1:11">
      <c r="A6726" s="12">
        <v>42481</v>
      </c>
      <c r="B6726">
        <v>2016</v>
      </c>
      <c r="C6726">
        <v>4</v>
      </c>
      <c r="D6726" s="11">
        <v>42461</v>
      </c>
      <c r="E6726" t="s">
        <v>2176</v>
      </c>
      <c r="F6726">
        <v>4</v>
      </c>
      <c r="G6726" t="s">
        <v>53</v>
      </c>
      <c r="H6726" t="s">
        <v>44</v>
      </c>
      <c r="I6726" t="s">
        <v>2192</v>
      </c>
      <c r="J6726" s="10">
        <v>6</v>
      </c>
      <c r="K6726" t="b">
        <v>1</v>
      </c>
    </row>
    <row r="6727" spans="1:11">
      <c r="A6727" s="12">
        <v>42481</v>
      </c>
      <c r="B6727">
        <v>2016</v>
      </c>
      <c r="C6727">
        <v>4</v>
      </c>
      <c r="D6727" s="11">
        <v>42461</v>
      </c>
      <c r="E6727" t="s">
        <v>2176</v>
      </c>
      <c r="F6727">
        <v>4</v>
      </c>
      <c r="G6727" t="s">
        <v>53</v>
      </c>
      <c r="H6727" t="s">
        <v>45</v>
      </c>
      <c r="I6727" t="s">
        <v>2193</v>
      </c>
      <c r="J6727" s="10">
        <v>0</v>
      </c>
      <c r="K6727" t="b">
        <v>1</v>
      </c>
    </row>
    <row r="6728" spans="1:11">
      <c r="A6728" s="12">
        <v>42481</v>
      </c>
      <c r="B6728">
        <v>2016</v>
      </c>
      <c r="C6728">
        <v>4</v>
      </c>
      <c r="D6728" s="11">
        <v>42461</v>
      </c>
      <c r="E6728" t="s">
        <v>2176</v>
      </c>
      <c r="F6728">
        <v>4</v>
      </c>
      <c r="G6728" t="s">
        <v>53</v>
      </c>
      <c r="H6728" t="s">
        <v>46</v>
      </c>
      <c r="I6728" t="s">
        <v>2194</v>
      </c>
      <c r="J6728" s="10">
        <v>0</v>
      </c>
      <c r="K6728" t="b">
        <v>1</v>
      </c>
    </row>
    <row r="6729" spans="1:11">
      <c r="A6729" s="12">
        <v>42481</v>
      </c>
      <c r="B6729">
        <v>2016</v>
      </c>
      <c r="C6729">
        <v>4</v>
      </c>
      <c r="D6729" s="11">
        <v>42461</v>
      </c>
      <c r="E6729" t="s">
        <v>2176</v>
      </c>
      <c r="F6729">
        <v>4</v>
      </c>
      <c r="G6729" t="s">
        <v>53</v>
      </c>
      <c r="H6729" t="s">
        <v>47</v>
      </c>
      <c r="I6729" t="s">
        <v>2195</v>
      </c>
      <c r="J6729" s="10">
        <v>2.3</v>
      </c>
      <c r="K6729" t="b">
        <v>1</v>
      </c>
    </row>
    <row r="6730" spans="1:11">
      <c r="A6730" s="12">
        <v>42482</v>
      </c>
      <c r="B6730">
        <v>2016</v>
      </c>
      <c r="C6730">
        <v>4</v>
      </c>
      <c r="D6730" s="11">
        <v>42461</v>
      </c>
      <c r="E6730" t="s">
        <v>2176</v>
      </c>
      <c r="F6730">
        <v>5</v>
      </c>
      <c r="G6730" t="s">
        <v>55</v>
      </c>
      <c r="H6730" t="s">
        <v>40</v>
      </c>
      <c r="I6730" t="s">
        <v>2188</v>
      </c>
      <c r="J6730" s="10">
        <v>6</v>
      </c>
      <c r="K6730" t="b">
        <v>1</v>
      </c>
    </row>
    <row r="6731" spans="1:11">
      <c r="A6731" s="12">
        <v>42482</v>
      </c>
      <c r="B6731">
        <v>2016</v>
      </c>
      <c r="C6731">
        <v>4</v>
      </c>
      <c r="D6731" s="11">
        <v>42461</v>
      </c>
      <c r="E6731" t="s">
        <v>2176</v>
      </c>
      <c r="F6731">
        <v>5</v>
      </c>
      <c r="G6731" t="s">
        <v>55</v>
      </c>
      <c r="H6731" t="s">
        <v>41</v>
      </c>
      <c r="I6731" t="s">
        <v>2189</v>
      </c>
      <c r="J6731" s="10">
        <v>5.67</v>
      </c>
      <c r="K6731" t="b">
        <v>1</v>
      </c>
    </row>
    <row r="6732" spans="1:11">
      <c r="A6732" s="12">
        <v>42482</v>
      </c>
      <c r="B6732">
        <v>2016</v>
      </c>
      <c r="C6732">
        <v>4</v>
      </c>
      <c r="D6732" s="11">
        <v>42461</v>
      </c>
      <c r="E6732" t="s">
        <v>2176</v>
      </c>
      <c r="F6732">
        <v>5</v>
      </c>
      <c r="G6732" t="s">
        <v>55</v>
      </c>
      <c r="H6732" t="s">
        <v>42</v>
      </c>
      <c r="I6732" t="s">
        <v>2190</v>
      </c>
      <c r="J6732" s="10">
        <v>4</v>
      </c>
      <c r="K6732" t="b">
        <v>1</v>
      </c>
    </row>
    <row r="6733" spans="1:11">
      <c r="A6733" s="12">
        <v>42482</v>
      </c>
      <c r="B6733">
        <v>2016</v>
      </c>
      <c r="C6733">
        <v>4</v>
      </c>
      <c r="D6733" s="11">
        <v>42461</v>
      </c>
      <c r="E6733" t="s">
        <v>2176</v>
      </c>
      <c r="F6733">
        <v>5</v>
      </c>
      <c r="G6733" t="s">
        <v>55</v>
      </c>
      <c r="H6733" t="s">
        <v>43</v>
      </c>
      <c r="I6733" t="s">
        <v>2191</v>
      </c>
      <c r="J6733" s="10">
        <v>21.9</v>
      </c>
      <c r="K6733" t="b">
        <v>1</v>
      </c>
    </row>
    <row r="6734" spans="1:11">
      <c r="A6734" s="12">
        <v>42482</v>
      </c>
      <c r="B6734">
        <v>2016</v>
      </c>
      <c r="C6734">
        <v>4</v>
      </c>
      <c r="D6734" s="11">
        <v>42461</v>
      </c>
      <c r="E6734" t="s">
        <v>2176</v>
      </c>
      <c r="F6734">
        <v>5</v>
      </c>
      <c r="G6734" t="s">
        <v>55</v>
      </c>
      <c r="H6734" t="s">
        <v>44</v>
      </c>
      <c r="I6734" t="s">
        <v>2192</v>
      </c>
      <c r="J6734" s="10">
        <v>4</v>
      </c>
      <c r="K6734" t="b">
        <v>1</v>
      </c>
    </row>
    <row r="6735" spans="1:11">
      <c r="A6735" s="12">
        <v>42482</v>
      </c>
      <c r="B6735">
        <v>2016</v>
      </c>
      <c r="C6735">
        <v>4</v>
      </c>
      <c r="D6735" s="11">
        <v>42461</v>
      </c>
      <c r="E6735" t="s">
        <v>2176</v>
      </c>
      <c r="F6735">
        <v>5</v>
      </c>
      <c r="G6735" t="s">
        <v>55</v>
      </c>
      <c r="H6735" t="s">
        <v>45</v>
      </c>
      <c r="I6735" t="s">
        <v>2193</v>
      </c>
      <c r="J6735" s="10">
        <v>0</v>
      </c>
      <c r="K6735" t="b">
        <v>1</v>
      </c>
    </row>
    <row r="6736" spans="1:11">
      <c r="A6736" s="12">
        <v>42482</v>
      </c>
      <c r="B6736">
        <v>2016</v>
      </c>
      <c r="C6736">
        <v>4</v>
      </c>
      <c r="D6736" s="11">
        <v>42461</v>
      </c>
      <c r="E6736" t="s">
        <v>2176</v>
      </c>
      <c r="F6736">
        <v>5</v>
      </c>
      <c r="G6736" t="s">
        <v>55</v>
      </c>
      <c r="H6736" t="s">
        <v>46</v>
      </c>
      <c r="I6736" t="s">
        <v>2194</v>
      </c>
      <c r="J6736" s="10">
        <v>6</v>
      </c>
      <c r="K6736" t="b">
        <v>1</v>
      </c>
    </row>
    <row r="6737" spans="1:11">
      <c r="A6737" s="12">
        <v>42482</v>
      </c>
      <c r="B6737">
        <v>2016</v>
      </c>
      <c r="C6737">
        <v>4</v>
      </c>
      <c r="D6737" s="11">
        <v>42461</v>
      </c>
      <c r="E6737" t="s">
        <v>2176</v>
      </c>
      <c r="F6737">
        <v>5</v>
      </c>
      <c r="G6737" t="s">
        <v>55</v>
      </c>
      <c r="H6737" t="s">
        <v>47</v>
      </c>
      <c r="I6737" t="s">
        <v>2195</v>
      </c>
      <c r="J6737" s="10">
        <v>1</v>
      </c>
      <c r="K6737" t="b">
        <v>1</v>
      </c>
    </row>
    <row r="6738" spans="1:11">
      <c r="A6738" s="12">
        <v>42483</v>
      </c>
      <c r="B6738">
        <v>2016</v>
      </c>
      <c r="C6738">
        <v>4</v>
      </c>
      <c r="D6738" s="11">
        <v>42461</v>
      </c>
      <c r="E6738" t="s">
        <v>2176</v>
      </c>
      <c r="F6738">
        <v>6</v>
      </c>
      <c r="G6738" t="s">
        <v>57</v>
      </c>
      <c r="H6738" t="s">
        <v>40</v>
      </c>
      <c r="I6738" t="s">
        <v>2188</v>
      </c>
      <c r="J6738" s="10">
        <v>13.66</v>
      </c>
      <c r="K6738" t="b">
        <v>1</v>
      </c>
    </row>
    <row r="6739" spans="1:11">
      <c r="A6739" s="12">
        <v>42483</v>
      </c>
      <c r="B6739">
        <v>2016</v>
      </c>
      <c r="C6739">
        <v>4</v>
      </c>
      <c r="D6739" s="11">
        <v>42461</v>
      </c>
      <c r="E6739" t="s">
        <v>2176</v>
      </c>
      <c r="F6739">
        <v>6</v>
      </c>
      <c r="G6739" t="s">
        <v>57</v>
      </c>
      <c r="H6739" t="s">
        <v>41</v>
      </c>
      <c r="I6739" t="s">
        <v>2189</v>
      </c>
      <c r="J6739" s="10">
        <v>3.69</v>
      </c>
      <c r="K6739" t="b">
        <v>1</v>
      </c>
    </row>
    <row r="6740" spans="1:11">
      <c r="A6740" s="12">
        <v>42483</v>
      </c>
      <c r="B6740">
        <v>2016</v>
      </c>
      <c r="C6740">
        <v>4</v>
      </c>
      <c r="D6740" s="11">
        <v>42461</v>
      </c>
      <c r="E6740" t="s">
        <v>2176</v>
      </c>
      <c r="F6740">
        <v>6</v>
      </c>
      <c r="G6740" t="s">
        <v>57</v>
      </c>
      <c r="H6740" t="s">
        <v>42</v>
      </c>
      <c r="I6740" t="s">
        <v>2190</v>
      </c>
      <c r="J6740" s="10">
        <v>8</v>
      </c>
      <c r="K6740" t="b">
        <v>1</v>
      </c>
    </row>
    <row r="6741" spans="1:11">
      <c r="A6741" s="12">
        <v>42483</v>
      </c>
      <c r="B6741">
        <v>2016</v>
      </c>
      <c r="C6741">
        <v>4</v>
      </c>
      <c r="D6741" s="11">
        <v>42461</v>
      </c>
      <c r="E6741" t="s">
        <v>2176</v>
      </c>
      <c r="F6741">
        <v>6</v>
      </c>
      <c r="G6741" t="s">
        <v>57</v>
      </c>
      <c r="H6741" t="s">
        <v>43</v>
      </c>
      <c r="I6741" t="s">
        <v>2191</v>
      </c>
      <c r="J6741" s="10">
        <v>33.2</v>
      </c>
      <c r="K6741" t="b">
        <v>1</v>
      </c>
    </row>
    <row r="6742" spans="1:11">
      <c r="A6742" s="12">
        <v>42483</v>
      </c>
      <c r="B6742">
        <v>2016</v>
      </c>
      <c r="C6742">
        <v>4</v>
      </c>
      <c r="D6742" s="11">
        <v>42461</v>
      </c>
      <c r="E6742" t="s">
        <v>2176</v>
      </c>
      <c r="F6742">
        <v>6</v>
      </c>
      <c r="G6742" t="s">
        <v>57</v>
      </c>
      <c r="H6742" t="s">
        <v>44</v>
      </c>
      <c r="I6742" t="s">
        <v>2192</v>
      </c>
      <c r="J6742" s="10">
        <v>8</v>
      </c>
      <c r="K6742" t="b">
        <v>1</v>
      </c>
    </row>
    <row r="6743" spans="1:11">
      <c r="A6743" s="12">
        <v>42483</v>
      </c>
      <c r="B6743">
        <v>2016</v>
      </c>
      <c r="C6743">
        <v>4</v>
      </c>
      <c r="D6743" s="11">
        <v>42461</v>
      </c>
      <c r="E6743" t="s">
        <v>2176</v>
      </c>
      <c r="F6743">
        <v>6</v>
      </c>
      <c r="G6743" t="s">
        <v>57</v>
      </c>
      <c r="H6743" t="s">
        <v>45</v>
      </c>
      <c r="I6743" t="s">
        <v>2193</v>
      </c>
      <c r="J6743" s="10">
        <v>0</v>
      </c>
      <c r="K6743" t="b">
        <v>1</v>
      </c>
    </row>
    <row r="6744" spans="1:11">
      <c r="A6744" s="12">
        <v>42483</v>
      </c>
      <c r="B6744">
        <v>2016</v>
      </c>
      <c r="C6744">
        <v>4</v>
      </c>
      <c r="D6744" s="11">
        <v>42461</v>
      </c>
      <c r="E6744" t="s">
        <v>2176</v>
      </c>
      <c r="F6744">
        <v>6</v>
      </c>
      <c r="G6744" t="s">
        <v>57</v>
      </c>
      <c r="H6744" t="s">
        <v>46</v>
      </c>
      <c r="I6744" t="s">
        <v>2194</v>
      </c>
      <c r="J6744" s="10">
        <v>0</v>
      </c>
      <c r="K6744" t="b">
        <v>1</v>
      </c>
    </row>
    <row r="6745" spans="1:11">
      <c r="A6745" s="12">
        <v>42483</v>
      </c>
      <c r="B6745">
        <v>2016</v>
      </c>
      <c r="C6745">
        <v>4</v>
      </c>
      <c r="D6745" s="11">
        <v>42461</v>
      </c>
      <c r="E6745" t="s">
        <v>2176</v>
      </c>
      <c r="F6745">
        <v>6</v>
      </c>
      <c r="G6745" t="s">
        <v>57</v>
      </c>
      <c r="H6745" t="s">
        <v>47</v>
      </c>
      <c r="I6745" t="s">
        <v>2195</v>
      </c>
      <c r="J6745" s="10">
        <v>4.5</v>
      </c>
      <c r="K6745" t="b">
        <v>1</v>
      </c>
    </row>
    <row r="6746" spans="1:11">
      <c r="A6746" s="12">
        <v>42484</v>
      </c>
      <c r="B6746">
        <v>2016</v>
      </c>
      <c r="C6746">
        <v>4</v>
      </c>
      <c r="D6746" s="11">
        <v>42461</v>
      </c>
      <c r="E6746" t="s">
        <v>2176</v>
      </c>
      <c r="F6746">
        <v>7</v>
      </c>
      <c r="G6746" t="s">
        <v>59</v>
      </c>
      <c r="H6746" t="s">
        <v>40</v>
      </c>
      <c r="I6746" t="s">
        <v>2188</v>
      </c>
      <c r="J6746" s="10">
        <v>1</v>
      </c>
      <c r="K6746" t="b">
        <v>1</v>
      </c>
    </row>
    <row r="6747" spans="1:11">
      <c r="A6747" s="12">
        <v>42484</v>
      </c>
      <c r="B6747">
        <v>2016</v>
      </c>
      <c r="C6747">
        <v>4</v>
      </c>
      <c r="D6747" s="11">
        <v>42461</v>
      </c>
      <c r="E6747" t="s">
        <v>2176</v>
      </c>
      <c r="F6747">
        <v>7</v>
      </c>
      <c r="G6747" t="s">
        <v>59</v>
      </c>
      <c r="H6747" t="s">
        <v>41</v>
      </c>
      <c r="I6747" t="s">
        <v>2189</v>
      </c>
      <c r="J6747" s="10">
        <v>6.66</v>
      </c>
      <c r="K6747" t="b">
        <v>1</v>
      </c>
    </row>
    <row r="6748" spans="1:11">
      <c r="A6748" s="12">
        <v>42484</v>
      </c>
      <c r="B6748">
        <v>2016</v>
      </c>
      <c r="C6748">
        <v>4</v>
      </c>
      <c r="D6748" s="11">
        <v>42461</v>
      </c>
      <c r="E6748" t="s">
        <v>2176</v>
      </c>
      <c r="F6748">
        <v>7</v>
      </c>
      <c r="G6748" t="s">
        <v>59</v>
      </c>
      <c r="H6748" t="s">
        <v>42</v>
      </c>
      <c r="I6748" t="s">
        <v>2190</v>
      </c>
      <c r="J6748" s="10">
        <v>5.5</v>
      </c>
      <c r="K6748" t="b">
        <v>1</v>
      </c>
    </row>
    <row r="6749" spans="1:11">
      <c r="A6749" s="12">
        <v>42484</v>
      </c>
      <c r="B6749">
        <v>2016</v>
      </c>
      <c r="C6749">
        <v>4</v>
      </c>
      <c r="D6749" s="11">
        <v>42461</v>
      </c>
      <c r="E6749" t="s">
        <v>2176</v>
      </c>
      <c r="F6749">
        <v>7</v>
      </c>
      <c r="G6749" t="s">
        <v>59</v>
      </c>
      <c r="H6749" t="s">
        <v>43</v>
      </c>
      <c r="I6749" t="s">
        <v>2191</v>
      </c>
      <c r="J6749" s="10">
        <v>36.95</v>
      </c>
      <c r="K6749" t="b">
        <v>1</v>
      </c>
    </row>
    <row r="6750" spans="1:11">
      <c r="A6750" s="12">
        <v>42484</v>
      </c>
      <c r="B6750">
        <v>2016</v>
      </c>
      <c r="C6750">
        <v>4</v>
      </c>
      <c r="D6750" s="11">
        <v>42461</v>
      </c>
      <c r="E6750" t="s">
        <v>2176</v>
      </c>
      <c r="F6750">
        <v>7</v>
      </c>
      <c r="G6750" t="s">
        <v>59</v>
      </c>
      <c r="H6750" t="s">
        <v>44</v>
      </c>
      <c r="I6750" t="s">
        <v>2192</v>
      </c>
      <c r="J6750" s="10">
        <v>3</v>
      </c>
      <c r="K6750" t="b">
        <v>1</v>
      </c>
    </row>
    <row r="6751" spans="1:11">
      <c r="A6751" s="12">
        <v>42484</v>
      </c>
      <c r="B6751">
        <v>2016</v>
      </c>
      <c r="C6751">
        <v>4</v>
      </c>
      <c r="D6751" s="11">
        <v>42461</v>
      </c>
      <c r="E6751" t="s">
        <v>2176</v>
      </c>
      <c r="F6751">
        <v>7</v>
      </c>
      <c r="G6751" t="s">
        <v>59</v>
      </c>
      <c r="H6751" t="s">
        <v>45</v>
      </c>
      <c r="I6751" t="s">
        <v>2193</v>
      </c>
      <c r="J6751" s="10">
        <v>0</v>
      </c>
      <c r="K6751" t="b">
        <v>1</v>
      </c>
    </row>
    <row r="6752" spans="1:11">
      <c r="A6752" s="12">
        <v>42484</v>
      </c>
      <c r="B6752">
        <v>2016</v>
      </c>
      <c r="C6752">
        <v>4</v>
      </c>
      <c r="D6752" s="11">
        <v>42461</v>
      </c>
      <c r="E6752" t="s">
        <v>2176</v>
      </c>
      <c r="F6752">
        <v>7</v>
      </c>
      <c r="G6752" t="s">
        <v>59</v>
      </c>
      <c r="H6752" t="s">
        <v>46</v>
      </c>
      <c r="I6752" t="s">
        <v>2194</v>
      </c>
      <c r="J6752" s="10">
        <v>6</v>
      </c>
      <c r="K6752" t="b">
        <v>1</v>
      </c>
    </row>
    <row r="6753" spans="1:11">
      <c r="A6753" s="12">
        <v>42484</v>
      </c>
      <c r="B6753">
        <v>2016</v>
      </c>
      <c r="C6753">
        <v>4</v>
      </c>
      <c r="D6753" s="11">
        <v>42461</v>
      </c>
      <c r="E6753" t="s">
        <v>2176</v>
      </c>
      <c r="F6753">
        <v>7</v>
      </c>
      <c r="G6753" t="s">
        <v>59</v>
      </c>
      <c r="H6753" t="s">
        <v>47</v>
      </c>
      <c r="I6753" t="s">
        <v>2195</v>
      </c>
      <c r="J6753" s="10">
        <v>5</v>
      </c>
      <c r="K6753" t="b">
        <v>1</v>
      </c>
    </row>
    <row r="6754" spans="1:11">
      <c r="A6754" s="12">
        <v>42485</v>
      </c>
      <c r="B6754">
        <v>2016</v>
      </c>
      <c r="C6754">
        <v>4</v>
      </c>
      <c r="D6754" s="11">
        <v>42461</v>
      </c>
      <c r="E6754" t="s">
        <v>2176</v>
      </c>
      <c r="F6754">
        <v>1</v>
      </c>
      <c r="G6754" t="s">
        <v>61</v>
      </c>
      <c r="H6754" t="s">
        <v>40</v>
      </c>
      <c r="I6754" t="s">
        <v>2188</v>
      </c>
      <c r="J6754" s="10">
        <v>6.67</v>
      </c>
      <c r="K6754" t="b">
        <v>1</v>
      </c>
    </row>
    <row r="6755" spans="1:11">
      <c r="A6755" s="12">
        <v>42485</v>
      </c>
      <c r="B6755">
        <v>2016</v>
      </c>
      <c r="C6755">
        <v>4</v>
      </c>
      <c r="D6755" s="11">
        <v>42461</v>
      </c>
      <c r="E6755" t="s">
        <v>2176</v>
      </c>
      <c r="F6755">
        <v>1</v>
      </c>
      <c r="G6755" t="s">
        <v>61</v>
      </c>
      <c r="H6755" t="s">
        <v>41</v>
      </c>
      <c r="I6755" t="s">
        <v>2189</v>
      </c>
      <c r="J6755" s="10">
        <v>1.66</v>
      </c>
      <c r="K6755" t="b">
        <v>1</v>
      </c>
    </row>
    <row r="6756" spans="1:11">
      <c r="A6756" s="12">
        <v>42485</v>
      </c>
      <c r="B6756">
        <v>2016</v>
      </c>
      <c r="C6756">
        <v>4</v>
      </c>
      <c r="D6756" s="11">
        <v>42461</v>
      </c>
      <c r="E6756" t="s">
        <v>2176</v>
      </c>
      <c r="F6756">
        <v>1</v>
      </c>
      <c r="G6756" t="s">
        <v>61</v>
      </c>
      <c r="H6756" t="s">
        <v>42</v>
      </c>
      <c r="I6756" t="s">
        <v>2190</v>
      </c>
      <c r="J6756" s="10">
        <v>7.25</v>
      </c>
      <c r="K6756" t="b">
        <v>1</v>
      </c>
    </row>
    <row r="6757" spans="1:11">
      <c r="A6757" s="12">
        <v>42485</v>
      </c>
      <c r="B6757">
        <v>2016</v>
      </c>
      <c r="C6757">
        <v>4</v>
      </c>
      <c r="D6757" s="11">
        <v>42461</v>
      </c>
      <c r="E6757" t="s">
        <v>2176</v>
      </c>
      <c r="F6757">
        <v>1</v>
      </c>
      <c r="G6757" t="s">
        <v>61</v>
      </c>
      <c r="H6757" t="s">
        <v>43</v>
      </c>
      <c r="I6757" t="s">
        <v>2191</v>
      </c>
      <c r="J6757" s="10">
        <v>21.7</v>
      </c>
      <c r="K6757" t="b">
        <v>1</v>
      </c>
    </row>
    <row r="6758" spans="1:11">
      <c r="A6758" s="12">
        <v>42485</v>
      </c>
      <c r="B6758">
        <v>2016</v>
      </c>
      <c r="C6758">
        <v>4</v>
      </c>
      <c r="D6758" s="11">
        <v>42461</v>
      </c>
      <c r="E6758" t="s">
        <v>2176</v>
      </c>
      <c r="F6758">
        <v>1</v>
      </c>
      <c r="G6758" t="s">
        <v>61</v>
      </c>
      <c r="H6758" t="s">
        <v>44</v>
      </c>
      <c r="I6758" t="s">
        <v>2192</v>
      </c>
      <c r="J6758" s="10">
        <v>20</v>
      </c>
      <c r="K6758" t="b">
        <v>1</v>
      </c>
    </row>
    <row r="6759" spans="1:11">
      <c r="A6759" s="12">
        <v>42485</v>
      </c>
      <c r="B6759">
        <v>2016</v>
      </c>
      <c r="C6759">
        <v>4</v>
      </c>
      <c r="D6759" s="11">
        <v>42461</v>
      </c>
      <c r="E6759" t="s">
        <v>2176</v>
      </c>
      <c r="F6759">
        <v>1</v>
      </c>
      <c r="G6759" t="s">
        <v>61</v>
      </c>
      <c r="H6759" t="s">
        <v>45</v>
      </c>
      <c r="I6759" t="s">
        <v>2193</v>
      </c>
      <c r="J6759" s="10">
        <v>1</v>
      </c>
      <c r="K6759" t="b">
        <v>1</v>
      </c>
    </row>
    <row r="6760" spans="1:11">
      <c r="A6760" s="12">
        <v>42485</v>
      </c>
      <c r="B6760">
        <v>2016</v>
      </c>
      <c r="C6760">
        <v>4</v>
      </c>
      <c r="D6760" s="11">
        <v>42461</v>
      </c>
      <c r="E6760" t="s">
        <v>2176</v>
      </c>
      <c r="F6760">
        <v>1</v>
      </c>
      <c r="G6760" t="s">
        <v>61</v>
      </c>
      <c r="H6760" t="s">
        <v>46</v>
      </c>
      <c r="I6760" t="s">
        <v>2194</v>
      </c>
      <c r="J6760" s="10">
        <v>3</v>
      </c>
      <c r="K6760" t="b">
        <v>1</v>
      </c>
    </row>
    <row r="6761" spans="1:11">
      <c r="A6761" s="12">
        <v>42485</v>
      </c>
      <c r="B6761">
        <v>2016</v>
      </c>
      <c r="C6761">
        <v>4</v>
      </c>
      <c r="D6761" s="11">
        <v>42461</v>
      </c>
      <c r="E6761" t="s">
        <v>2176</v>
      </c>
      <c r="F6761">
        <v>1</v>
      </c>
      <c r="G6761" t="s">
        <v>61</v>
      </c>
      <c r="H6761" t="s">
        <v>47</v>
      </c>
      <c r="I6761" t="s">
        <v>2195</v>
      </c>
      <c r="J6761" s="10">
        <v>2.5</v>
      </c>
      <c r="K6761" t="b">
        <v>1</v>
      </c>
    </row>
    <row r="6762" spans="1:11">
      <c r="A6762" s="12">
        <v>42486</v>
      </c>
      <c r="B6762">
        <v>2016</v>
      </c>
      <c r="C6762">
        <v>4</v>
      </c>
      <c r="D6762" s="11">
        <v>42461</v>
      </c>
      <c r="E6762" t="s">
        <v>2176</v>
      </c>
      <c r="F6762">
        <v>2</v>
      </c>
      <c r="G6762" t="s">
        <v>63</v>
      </c>
      <c r="H6762" t="s">
        <v>40</v>
      </c>
      <c r="I6762" t="s">
        <v>2188</v>
      </c>
      <c r="J6762" s="10">
        <v>5.33</v>
      </c>
      <c r="K6762" t="b">
        <v>1</v>
      </c>
    </row>
    <row r="6763" spans="1:11">
      <c r="A6763" s="12">
        <v>42486</v>
      </c>
      <c r="B6763">
        <v>2016</v>
      </c>
      <c r="C6763">
        <v>4</v>
      </c>
      <c r="D6763" s="11">
        <v>42461</v>
      </c>
      <c r="E6763" t="s">
        <v>2176</v>
      </c>
      <c r="F6763">
        <v>2</v>
      </c>
      <c r="G6763" t="s">
        <v>63</v>
      </c>
      <c r="H6763" t="s">
        <v>41</v>
      </c>
      <c r="I6763" t="s">
        <v>2189</v>
      </c>
      <c r="J6763" s="10">
        <v>4.99</v>
      </c>
      <c r="K6763" t="b">
        <v>1</v>
      </c>
    </row>
    <row r="6764" spans="1:11">
      <c r="A6764" s="12">
        <v>42486</v>
      </c>
      <c r="B6764">
        <v>2016</v>
      </c>
      <c r="C6764">
        <v>4</v>
      </c>
      <c r="D6764" s="11">
        <v>42461</v>
      </c>
      <c r="E6764" t="s">
        <v>2176</v>
      </c>
      <c r="F6764">
        <v>2</v>
      </c>
      <c r="G6764" t="s">
        <v>63</v>
      </c>
      <c r="H6764" t="s">
        <v>42</v>
      </c>
      <c r="I6764" t="s">
        <v>2190</v>
      </c>
      <c r="J6764" s="10">
        <v>7</v>
      </c>
      <c r="K6764" t="b">
        <v>1</v>
      </c>
    </row>
    <row r="6765" spans="1:11">
      <c r="A6765" s="12">
        <v>42486</v>
      </c>
      <c r="B6765">
        <v>2016</v>
      </c>
      <c r="C6765">
        <v>4</v>
      </c>
      <c r="D6765" s="11">
        <v>42461</v>
      </c>
      <c r="E6765" t="s">
        <v>2176</v>
      </c>
      <c r="F6765">
        <v>2</v>
      </c>
      <c r="G6765" t="s">
        <v>63</v>
      </c>
      <c r="H6765" t="s">
        <v>43</v>
      </c>
      <c r="I6765" t="s">
        <v>2191</v>
      </c>
      <c r="J6765" s="10">
        <v>27.2</v>
      </c>
      <c r="K6765" t="b">
        <v>1</v>
      </c>
    </row>
    <row r="6766" spans="1:11">
      <c r="A6766" s="12">
        <v>42486</v>
      </c>
      <c r="B6766">
        <v>2016</v>
      </c>
      <c r="C6766">
        <v>4</v>
      </c>
      <c r="D6766" s="11">
        <v>42461</v>
      </c>
      <c r="E6766" t="s">
        <v>2176</v>
      </c>
      <c r="F6766">
        <v>2</v>
      </c>
      <c r="G6766" t="s">
        <v>63</v>
      </c>
      <c r="H6766" t="s">
        <v>44</v>
      </c>
      <c r="I6766" t="s">
        <v>2192</v>
      </c>
      <c r="J6766" s="10">
        <v>19</v>
      </c>
      <c r="K6766" t="b">
        <v>1</v>
      </c>
    </row>
    <row r="6767" spans="1:11">
      <c r="A6767" s="12">
        <v>42486</v>
      </c>
      <c r="B6767">
        <v>2016</v>
      </c>
      <c r="C6767">
        <v>4</v>
      </c>
      <c r="D6767" s="11">
        <v>42461</v>
      </c>
      <c r="E6767" t="s">
        <v>2176</v>
      </c>
      <c r="F6767">
        <v>2</v>
      </c>
      <c r="G6767" t="s">
        <v>63</v>
      </c>
      <c r="H6767" t="s">
        <v>45</v>
      </c>
      <c r="I6767" t="s">
        <v>2193</v>
      </c>
      <c r="J6767" s="10">
        <v>0</v>
      </c>
      <c r="K6767" t="b">
        <v>1</v>
      </c>
    </row>
    <row r="6768" spans="1:11">
      <c r="A6768" s="12">
        <v>42486</v>
      </c>
      <c r="B6768">
        <v>2016</v>
      </c>
      <c r="C6768">
        <v>4</v>
      </c>
      <c r="D6768" s="11">
        <v>42461</v>
      </c>
      <c r="E6768" t="s">
        <v>2176</v>
      </c>
      <c r="F6768">
        <v>2</v>
      </c>
      <c r="G6768" t="s">
        <v>63</v>
      </c>
      <c r="H6768" t="s">
        <v>46</v>
      </c>
      <c r="I6768" t="s">
        <v>2194</v>
      </c>
      <c r="J6768" s="10">
        <v>7</v>
      </c>
      <c r="K6768" t="b">
        <v>1</v>
      </c>
    </row>
    <row r="6769" spans="1:11">
      <c r="A6769" s="12">
        <v>42486</v>
      </c>
      <c r="B6769">
        <v>2016</v>
      </c>
      <c r="C6769">
        <v>4</v>
      </c>
      <c r="D6769" s="11">
        <v>42461</v>
      </c>
      <c r="E6769" t="s">
        <v>2176</v>
      </c>
      <c r="F6769">
        <v>2</v>
      </c>
      <c r="G6769" t="s">
        <v>63</v>
      </c>
      <c r="H6769" t="s">
        <v>47</v>
      </c>
      <c r="I6769" t="s">
        <v>2195</v>
      </c>
      <c r="J6769" s="10">
        <v>2</v>
      </c>
      <c r="K6769" t="b">
        <v>1</v>
      </c>
    </row>
    <row r="6770" spans="1:11">
      <c r="A6770" s="12">
        <v>42487</v>
      </c>
      <c r="B6770">
        <v>2016</v>
      </c>
      <c r="C6770">
        <v>4</v>
      </c>
      <c r="D6770" s="11">
        <v>42461</v>
      </c>
      <c r="E6770" t="s">
        <v>2176</v>
      </c>
      <c r="F6770">
        <v>3</v>
      </c>
      <c r="G6770" t="s">
        <v>65</v>
      </c>
      <c r="H6770" t="s">
        <v>40</v>
      </c>
      <c r="I6770" t="s">
        <v>2188</v>
      </c>
      <c r="J6770" s="10">
        <v>5.66</v>
      </c>
      <c r="K6770" t="b">
        <v>1</v>
      </c>
    </row>
    <row r="6771" spans="1:11">
      <c r="A6771" s="12">
        <v>42487</v>
      </c>
      <c r="B6771">
        <v>2016</v>
      </c>
      <c r="C6771">
        <v>4</v>
      </c>
      <c r="D6771" s="11">
        <v>42461</v>
      </c>
      <c r="E6771" t="s">
        <v>2176</v>
      </c>
      <c r="F6771">
        <v>3</v>
      </c>
      <c r="G6771" t="s">
        <v>65</v>
      </c>
      <c r="H6771" t="s">
        <v>41</v>
      </c>
      <c r="I6771" t="s">
        <v>2189</v>
      </c>
      <c r="J6771" s="10">
        <v>7.495</v>
      </c>
      <c r="K6771" t="b">
        <v>1</v>
      </c>
    </row>
    <row r="6772" spans="1:11">
      <c r="A6772" s="12">
        <v>42487</v>
      </c>
      <c r="B6772">
        <v>2016</v>
      </c>
      <c r="C6772">
        <v>4</v>
      </c>
      <c r="D6772" s="11">
        <v>42461</v>
      </c>
      <c r="E6772" t="s">
        <v>2176</v>
      </c>
      <c r="F6772">
        <v>3</v>
      </c>
      <c r="G6772" t="s">
        <v>65</v>
      </c>
      <c r="H6772" t="s">
        <v>42</v>
      </c>
      <c r="I6772" t="s">
        <v>2190</v>
      </c>
      <c r="J6772" s="10">
        <v>7</v>
      </c>
      <c r="K6772" t="b">
        <v>1</v>
      </c>
    </row>
    <row r="6773" spans="1:11">
      <c r="A6773" s="12">
        <v>42487</v>
      </c>
      <c r="B6773">
        <v>2016</v>
      </c>
      <c r="C6773">
        <v>4</v>
      </c>
      <c r="D6773" s="11">
        <v>42461</v>
      </c>
      <c r="E6773" t="s">
        <v>2176</v>
      </c>
      <c r="F6773">
        <v>3</v>
      </c>
      <c r="G6773" t="s">
        <v>65</v>
      </c>
      <c r="H6773" t="s">
        <v>43</v>
      </c>
      <c r="I6773" t="s">
        <v>2191</v>
      </c>
      <c r="J6773" s="10">
        <v>47.4</v>
      </c>
      <c r="K6773" t="b">
        <v>1</v>
      </c>
    </row>
    <row r="6774" spans="1:11">
      <c r="A6774" s="12">
        <v>42487</v>
      </c>
      <c r="B6774">
        <v>2016</v>
      </c>
      <c r="C6774">
        <v>4</v>
      </c>
      <c r="D6774" s="11">
        <v>42461</v>
      </c>
      <c r="E6774" t="s">
        <v>2176</v>
      </c>
      <c r="F6774">
        <v>3</v>
      </c>
      <c r="G6774" t="s">
        <v>65</v>
      </c>
      <c r="H6774" t="s">
        <v>44</v>
      </c>
      <c r="I6774" t="s">
        <v>2192</v>
      </c>
      <c r="J6774" s="10">
        <v>27</v>
      </c>
      <c r="K6774" t="b">
        <v>1</v>
      </c>
    </row>
    <row r="6775" spans="1:11">
      <c r="A6775" s="12">
        <v>42487</v>
      </c>
      <c r="B6775">
        <v>2016</v>
      </c>
      <c r="C6775">
        <v>4</v>
      </c>
      <c r="D6775" s="11">
        <v>42461</v>
      </c>
      <c r="E6775" t="s">
        <v>2176</v>
      </c>
      <c r="F6775">
        <v>3</v>
      </c>
      <c r="G6775" t="s">
        <v>65</v>
      </c>
      <c r="H6775" t="s">
        <v>45</v>
      </c>
      <c r="I6775" t="s">
        <v>2193</v>
      </c>
      <c r="J6775" s="10">
        <v>0</v>
      </c>
      <c r="K6775" t="b">
        <v>1</v>
      </c>
    </row>
    <row r="6776" spans="1:11">
      <c r="A6776" s="12">
        <v>42487</v>
      </c>
      <c r="B6776">
        <v>2016</v>
      </c>
      <c r="C6776">
        <v>4</v>
      </c>
      <c r="D6776" s="11">
        <v>42461</v>
      </c>
      <c r="E6776" t="s">
        <v>2176</v>
      </c>
      <c r="F6776">
        <v>3</v>
      </c>
      <c r="G6776" t="s">
        <v>65</v>
      </c>
      <c r="H6776" t="s">
        <v>46</v>
      </c>
      <c r="I6776" t="s">
        <v>2194</v>
      </c>
      <c r="J6776" s="10">
        <v>1</v>
      </c>
      <c r="K6776" t="b">
        <v>1</v>
      </c>
    </row>
    <row r="6777" spans="1:11">
      <c r="A6777" s="12">
        <v>42487</v>
      </c>
      <c r="B6777">
        <v>2016</v>
      </c>
      <c r="C6777">
        <v>4</v>
      </c>
      <c r="D6777" s="11">
        <v>42461</v>
      </c>
      <c r="E6777" t="s">
        <v>2176</v>
      </c>
      <c r="F6777">
        <v>3</v>
      </c>
      <c r="G6777" t="s">
        <v>65</v>
      </c>
      <c r="H6777" t="s">
        <v>47</v>
      </c>
      <c r="I6777" t="s">
        <v>2195</v>
      </c>
      <c r="J6777" s="10">
        <v>2</v>
      </c>
      <c r="K6777" t="b">
        <v>1</v>
      </c>
    </row>
    <row r="6778" spans="1:11">
      <c r="A6778" s="12">
        <v>42488</v>
      </c>
      <c r="B6778">
        <v>2016</v>
      </c>
      <c r="C6778">
        <v>4</v>
      </c>
      <c r="D6778" s="11">
        <v>42461</v>
      </c>
      <c r="E6778" t="s">
        <v>2176</v>
      </c>
      <c r="F6778">
        <v>4</v>
      </c>
      <c r="G6778" t="s">
        <v>53</v>
      </c>
      <c r="H6778" t="s">
        <v>40</v>
      </c>
      <c r="I6778" t="s">
        <v>2188</v>
      </c>
      <c r="J6778" s="10">
        <v>4.66</v>
      </c>
      <c r="K6778" t="b">
        <v>1</v>
      </c>
    </row>
    <row r="6779" spans="1:11">
      <c r="A6779" s="12">
        <v>42488</v>
      </c>
      <c r="B6779">
        <v>2016</v>
      </c>
      <c r="C6779">
        <v>4</v>
      </c>
      <c r="D6779" s="11">
        <v>42461</v>
      </c>
      <c r="E6779" t="s">
        <v>2176</v>
      </c>
      <c r="F6779">
        <v>4</v>
      </c>
      <c r="G6779" t="s">
        <v>53</v>
      </c>
      <c r="H6779" t="s">
        <v>41</v>
      </c>
      <c r="I6779" t="s">
        <v>2189</v>
      </c>
      <c r="J6779" s="10">
        <v>6.34</v>
      </c>
      <c r="K6779" t="b">
        <v>1</v>
      </c>
    </row>
    <row r="6780" spans="1:11">
      <c r="A6780" s="12">
        <v>42488</v>
      </c>
      <c r="B6780">
        <v>2016</v>
      </c>
      <c r="C6780">
        <v>4</v>
      </c>
      <c r="D6780" s="11">
        <v>42461</v>
      </c>
      <c r="E6780" t="s">
        <v>2176</v>
      </c>
      <c r="F6780">
        <v>4</v>
      </c>
      <c r="G6780" t="s">
        <v>53</v>
      </c>
      <c r="H6780" t="s">
        <v>42</v>
      </c>
      <c r="I6780" t="s">
        <v>2190</v>
      </c>
      <c r="J6780" s="10">
        <v>6</v>
      </c>
      <c r="K6780" t="b">
        <v>1</v>
      </c>
    </row>
    <row r="6781" spans="1:11">
      <c r="A6781" s="12">
        <v>42488</v>
      </c>
      <c r="B6781">
        <v>2016</v>
      </c>
      <c r="C6781">
        <v>4</v>
      </c>
      <c r="D6781" s="11">
        <v>42461</v>
      </c>
      <c r="E6781" t="s">
        <v>2176</v>
      </c>
      <c r="F6781">
        <v>4</v>
      </c>
      <c r="G6781" t="s">
        <v>53</v>
      </c>
      <c r="H6781" t="s">
        <v>43</v>
      </c>
      <c r="I6781" t="s">
        <v>2191</v>
      </c>
      <c r="J6781" s="10">
        <v>28</v>
      </c>
      <c r="K6781" t="b">
        <v>1</v>
      </c>
    </row>
    <row r="6782" spans="1:11">
      <c r="A6782" s="12">
        <v>42488</v>
      </c>
      <c r="B6782">
        <v>2016</v>
      </c>
      <c r="C6782">
        <v>4</v>
      </c>
      <c r="D6782" s="11">
        <v>42461</v>
      </c>
      <c r="E6782" t="s">
        <v>2176</v>
      </c>
      <c r="F6782">
        <v>4</v>
      </c>
      <c r="G6782" t="s">
        <v>53</v>
      </c>
      <c r="H6782" t="s">
        <v>44</v>
      </c>
      <c r="I6782" t="s">
        <v>2192</v>
      </c>
      <c r="J6782" s="10">
        <v>17.66666667</v>
      </c>
      <c r="K6782" t="b">
        <v>1</v>
      </c>
    </row>
    <row r="6783" spans="1:11">
      <c r="A6783" s="12">
        <v>42488</v>
      </c>
      <c r="B6783">
        <v>2016</v>
      </c>
      <c r="C6783">
        <v>4</v>
      </c>
      <c r="D6783" s="11">
        <v>42461</v>
      </c>
      <c r="E6783" t="s">
        <v>2176</v>
      </c>
      <c r="F6783">
        <v>4</v>
      </c>
      <c r="G6783" t="s">
        <v>53</v>
      </c>
      <c r="H6783" t="s">
        <v>45</v>
      </c>
      <c r="I6783" t="s">
        <v>2193</v>
      </c>
      <c r="J6783" s="10">
        <v>0</v>
      </c>
      <c r="K6783" t="b">
        <v>1</v>
      </c>
    </row>
    <row r="6784" spans="1:11">
      <c r="A6784" s="12">
        <v>42488</v>
      </c>
      <c r="B6784">
        <v>2016</v>
      </c>
      <c r="C6784">
        <v>4</v>
      </c>
      <c r="D6784" s="11">
        <v>42461</v>
      </c>
      <c r="E6784" t="s">
        <v>2176</v>
      </c>
      <c r="F6784">
        <v>4</v>
      </c>
      <c r="G6784" t="s">
        <v>53</v>
      </c>
      <c r="H6784" t="s">
        <v>46</v>
      </c>
      <c r="I6784" t="s">
        <v>2194</v>
      </c>
      <c r="J6784" s="10">
        <v>12</v>
      </c>
      <c r="K6784" t="b">
        <v>1</v>
      </c>
    </row>
    <row r="6785" spans="1:11">
      <c r="A6785" s="12">
        <v>42488</v>
      </c>
      <c r="B6785">
        <v>2016</v>
      </c>
      <c r="C6785">
        <v>4</v>
      </c>
      <c r="D6785" s="11">
        <v>42461</v>
      </c>
      <c r="E6785" t="s">
        <v>2176</v>
      </c>
      <c r="F6785">
        <v>4</v>
      </c>
      <c r="G6785" t="s">
        <v>53</v>
      </c>
      <c r="H6785" t="s">
        <v>47</v>
      </c>
      <c r="I6785" t="s">
        <v>2195</v>
      </c>
      <c r="J6785" s="10">
        <v>12</v>
      </c>
      <c r="K6785" t="b">
        <v>1</v>
      </c>
    </row>
    <row r="6786" spans="1:11">
      <c r="A6786" s="12">
        <v>42489</v>
      </c>
      <c r="B6786">
        <v>2016</v>
      </c>
      <c r="C6786">
        <v>4</v>
      </c>
      <c r="D6786" s="11">
        <v>42461</v>
      </c>
      <c r="E6786" t="s">
        <v>2176</v>
      </c>
      <c r="F6786">
        <v>5</v>
      </c>
      <c r="G6786" t="s">
        <v>55</v>
      </c>
      <c r="H6786" t="s">
        <v>40</v>
      </c>
      <c r="I6786" t="s">
        <v>2188</v>
      </c>
      <c r="J6786" s="10">
        <v>6.66</v>
      </c>
      <c r="K6786" t="b">
        <v>1</v>
      </c>
    </row>
    <row r="6787" spans="1:11">
      <c r="A6787" s="12">
        <v>42489</v>
      </c>
      <c r="B6787">
        <v>2016</v>
      </c>
      <c r="C6787">
        <v>4</v>
      </c>
      <c r="D6787" s="11">
        <v>42461</v>
      </c>
      <c r="E6787" t="s">
        <v>2176</v>
      </c>
      <c r="F6787">
        <v>5</v>
      </c>
      <c r="G6787" t="s">
        <v>55</v>
      </c>
      <c r="H6787" t="s">
        <v>41</v>
      </c>
      <c r="I6787" t="s">
        <v>2189</v>
      </c>
      <c r="J6787" s="10">
        <v>3</v>
      </c>
      <c r="K6787" t="b">
        <v>1</v>
      </c>
    </row>
    <row r="6788" spans="1:11">
      <c r="A6788" s="12">
        <v>42489</v>
      </c>
      <c r="B6788">
        <v>2016</v>
      </c>
      <c r="C6788">
        <v>4</v>
      </c>
      <c r="D6788" s="11">
        <v>42461</v>
      </c>
      <c r="E6788" t="s">
        <v>2176</v>
      </c>
      <c r="F6788">
        <v>5</v>
      </c>
      <c r="G6788" t="s">
        <v>55</v>
      </c>
      <c r="H6788" t="s">
        <v>42</v>
      </c>
      <c r="I6788" t="s">
        <v>2190</v>
      </c>
      <c r="J6788" s="10">
        <v>2.5</v>
      </c>
      <c r="K6788" t="b">
        <v>1</v>
      </c>
    </row>
    <row r="6789" spans="1:11">
      <c r="A6789" s="12">
        <v>42489</v>
      </c>
      <c r="B6789">
        <v>2016</v>
      </c>
      <c r="C6789">
        <v>4</v>
      </c>
      <c r="D6789" s="11">
        <v>42461</v>
      </c>
      <c r="E6789" t="s">
        <v>2176</v>
      </c>
      <c r="F6789">
        <v>5</v>
      </c>
      <c r="G6789" t="s">
        <v>55</v>
      </c>
      <c r="H6789" t="s">
        <v>43</v>
      </c>
      <c r="I6789" t="s">
        <v>2191</v>
      </c>
      <c r="J6789" s="10">
        <v>37</v>
      </c>
      <c r="K6789" t="b">
        <v>1</v>
      </c>
    </row>
    <row r="6790" spans="1:11">
      <c r="A6790" s="12">
        <v>42489</v>
      </c>
      <c r="B6790">
        <v>2016</v>
      </c>
      <c r="C6790">
        <v>4</v>
      </c>
      <c r="D6790" s="11">
        <v>42461</v>
      </c>
      <c r="E6790" t="s">
        <v>2176</v>
      </c>
      <c r="F6790">
        <v>5</v>
      </c>
      <c r="G6790" t="s">
        <v>55</v>
      </c>
      <c r="H6790" t="s">
        <v>44</v>
      </c>
      <c r="I6790" t="s">
        <v>2192</v>
      </c>
      <c r="J6790" s="10">
        <v>15</v>
      </c>
      <c r="K6790" t="b">
        <v>1</v>
      </c>
    </row>
    <row r="6791" spans="1:11">
      <c r="A6791" s="12">
        <v>42489</v>
      </c>
      <c r="B6791">
        <v>2016</v>
      </c>
      <c r="C6791">
        <v>4</v>
      </c>
      <c r="D6791" s="11">
        <v>42461</v>
      </c>
      <c r="E6791" t="s">
        <v>2176</v>
      </c>
      <c r="F6791">
        <v>5</v>
      </c>
      <c r="G6791" t="s">
        <v>55</v>
      </c>
      <c r="H6791" t="s">
        <v>45</v>
      </c>
      <c r="I6791" t="s">
        <v>2193</v>
      </c>
      <c r="J6791" s="10">
        <v>0</v>
      </c>
      <c r="K6791" t="b">
        <v>1</v>
      </c>
    </row>
    <row r="6792" spans="1:11">
      <c r="A6792" s="12">
        <v>42489</v>
      </c>
      <c r="B6792">
        <v>2016</v>
      </c>
      <c r="C6792">
        <v>4</v>
      </c>
      <c r="D6792" s="11">
        <v>42461</v>
      </c>
      <c r="E6792" t="s">
        <v>2176</v>
      </c>
      <c r="F6792">
        <v>5</v>
      </c>
      <c r="G6792" t="s">
        <v>55</v>
      </c>
      <c r="H6792" t="s">
        <v>46</v>
      </c>
      <c r="I6792" t="s">
        <v>2194</v>
      </c>
      <c r="J6792" s="10">
        <v>1</v>
      </c>
      <c r="K6792" t="b">
        <v>1</v>
      </c>
    </row>
    <row r="6793" spans="1:11">
      <c r="A6793" s="12">
        <v>42489</v>
      </c>
      <c r="B6793">
        <v>2016</v>
      </c>
      <c r="C6793">
        <v>4</v>
      </c>
      <c r="D6793" s="11">
        <v>42461</v>
      </c>
      <c r="E6793" t="s">
        <v>2176</v>
      </c>
      <c r="F6793">
        <v>5</v>
      </c>
      <c r="G6793" t="s">
        <v>55</v>
      </c>
      <c r="H6793" t="s">
        <v>47</v>
      </c>
      <c r="I6793" t="s">
        <v>2195</v>
      </c>
      <c r="J6793" s="10">
        <v>3.2</v>
      </c>
      <c r="K6793" t="b">
        <v>1</v>
      </c>
    </row>
    <row r="6794" spans="1:11">
      <c r="A6794" s="12">
        <v>42490</v>
      </c>
      <c r="B6794">
        <v>2016</v>
      </c>
      <c r="C6794">
        <v>4</v>
      </c>
      <c r="D6794" s="11">
        <v>42461</v>
      </c>
      <c r="E6794" t="s">
        <v>2176</v>
      </c>
      <c r="F6794">
        <v>6</v>
      </c>
      <c r="G6794" t="s">
        <v>57</v>
      </c>
      <c r="H6794" t="s">
        <v>40</v>
      </c>
      <c r="I6794" t="s">
        <v>2188</v>
      </c>
      <c r="J6794" s="10">
        <v>9.66</v>
      </c>
      <c r="K6794" t="b">
        <v>1</v>
      </c>
    </row>
    <row r="6795" spans="1:11">
      <c r="A6795" s="12">
        <v>42490</v>
      </c>
      <c r="B6795">
        <v>2016</v>
      </c>
      <c r="C6795">
        <v>4</v>
      </c>
      <c r="D6795" s="11">
        <v>42461</v>
      </c>
      <c r="E6795" t="s">
        <v>2176</v>
      </c>
      <c r="F6795">
        <v>6</v>
      </c>
      <c r="G6795" t="s">
        <v>57</v>
      </c>
      <c r="H6795" t="s">
        <v>41</v>
      </c>
      <c r="I6795" t="s">
        <v>2189</v>
      </c>
      <c r="J6795" s="10">
        <v>10.32</v>
      </c>
      <c r="K6795" t="b">
        <v>1</v>
      </c>
    </row>
    <row r="6796" spans="1:11">
      <c r="A6796" s="12">
        <v>42490</v>
      </c>
      <c r="B6796">
        <v>2016</v>
      </c>
      <c r="C6796">
        <v>4</v>
      </c>
      <c r="D6796" s="11">
        <v>42461</v>
      </c>
      <c r="E6796" t="s">
        <v>2176</v>
      </c>
      <c r="F6796">
        <v>6</v>
      </c>
      <c r="G6796" t="s">
        <v>57</v>
      </c>
      <c r="H6796" t="s">
        <v>42</v>
      </c>
      <c r="I6796" t="s">
        <v>2190</v>
      </c>
      <c r="J6796" s="10">
        <v>7</v>
      </c>
      <c r="K6796" t="b">
        <v>1</v>
      </c>
    </row>
    <row r="6797" spans="1:11">
      <c r="A6797" s="12">
        <v>42490</v>
      </c>
      <c r="B6797">
        <v>2016</v>
      </c>
      <c r="C6797">
        <v>4</v>
      </c>
      <c r="D6797" s="11">
        <v>42461</v>
      </c>
      <c r="E6797" t="s">
        <v>2176</v>
      </c>
      <c r="F6797">
        <v>6</v>
      </c>
      <c r="G6797" t="s">
        <v>57</v>
      </c>
      <c r="H6797" t="s">
        <v>43</v>
      </c>
      <c r="I6797" t="s">
        <v>2191</v>
      </c>
      <c r="J6797" s="10">
        <v>47.812</v>
      </c>
      <c r="K6797" t="b">
        <v>1</v>
      </c>
    </row>
    <row r="6798" spans="1:11">
      <c r="A6798" s="12">
        <v>42490</v>
      </c>
      <c r="B6798">
        <v>2016</v>
      </c>
      <c r="C6798">
        <v>4</v>
      </c>
      <c r="D6798" s="11">
        <v>42461</v>
      </c>
      <c r="E6798" t="s">
        <v>2176</v>
      </c>
      <c r="F6798">
        <v>6</v>
      </c>
      <c r="G6798" t="s">
        <v>57</v>
      </c>
      <c r="H6798" t="s">
        <v>44</v>
      </c>
      <c r="I6798" t="s">
        <v>2192</v>
      </c>
      <c r="J6798" s="10">
        <v>11</v>
      </c>
      <c r="K6798" t="b">
        <v>1</v>
      </c>
    </row>
    <row r="6799" spans="1:11">
      <c r="A6799" s="12">
        <v>42490</v>
      </c>
      <c r="B6799">
        <v>2016</v>
      </c>
      <c r="C6799">
        <v>4</v>
      </c>
      <c r="D6799" s="11">
        <v>42461</v>
      </c>
      <c r="E6799" t="s">
        <v>2176</v>
      </c>
      <c r="F6799">
        <v>6</v>
      </c>
      <c r="G6799" t="s">
        <v>57</v>
      </c>
      <c r="H6799" t="s">
        <v>45</v>
      </c>
      <c r="I6799" t="s">
        <v>2193</v>
      </c>
      <c r="J6799" s="10">
        <v>0</v>
      </c>
      <c r="K6799" t="b">
        <v>1</v>
      </c>
    </row>
    <row r="6800" spans="1:11">
      <c r="A6800" s="12">
        <v>42490</v>
      </c>
      <c r="B6800">
        <v>2016</v>
      </c>
      <c r="C6800">
        <v>4</v>
      </c>
      <c r="D6800" s="11">
        <v>42461</v>
      </c>
      <c r="E6800" t="s">
        <v>2176</v>
      </c>
      <c r="F6800">
        <v>6</v>
      </c>
      <c r="G6800" t="s">
        <v>57</v>
      </c>
      <c r="H6800" t="s">
        <v>46</v>
      </c>
      <c r="I6800" t="s">
        <v>2194</v>
      </c>
      <c r="J6800" s="10">
        <v>1</v>
      </c>
      <c r="K6800" t="b">
        <v>1</v>
      </c>
    </row>
    <row r="6801" spans="1:11">
      <c r="A6801" s="12">
        <v>42490</v>
      </c>
      <c r="B6801">
        <v>2016</v>
      </c>
      <c r="C6801">
        <v>4</v>
      </c>
      <c r="D6801" s="11">
        <v>42461</v>
      </c>
      <c r="E6801" t="s">
        <v>2176</v>
      </c>
      <c r="F6801">
        <v>6</v>
      </c>
      <c r="G6801" t="s">
        <v>57</v>
      </c>
      <c r="H6801" t="s">
        <v>47</v>
      </c>
      <c r="I6801" t="s">
        <v>2195</v>
      </c>
      <c r="J6801" s="10">
        <v>4.5</v>
      </c>
      <c r="K6801" t="b">
        <v>1</v>
      </c>
    </row>
    <row r="6802" spans="1:11">
      <c r="A6802" s="12">
        <v>42491</v>
      </c>
      <c r="B6802">
        <v>2016</v>
      </c>
      <c r="C6802">
        <v>5</v>
      </c>
      <c r="D6802" s="11">
        <v>42491</v>
      </c>
      <c r="E6802" t="s">
        <v>2177</v>
      </c>
      <c r="F6802">
        <v>7</v>
      </c>
      <c r="G6802" t="s">
        <v>59</v>
      </c>
      <c r="H6802" t="s">
        <v>40</v>
      </c>
      <c r="I6802" t="s">
        <v>2188</v>
      </c>
      <c r="J6802" s="10">
        <v>0</v>
      </c>
      <c r="K6802" t="b">
        <v>1</v>
      </c>
    </row>
    <row r="6803" spans="1:11">
      <c r="A6803" s="12">
        <v>42491</v>
      </c>
      <c r="B6803">
        <v>2016</v>
      </c>
      <c r="C6803">
        <v>5</v>
      </c>
      <c r="D6803" s="11">
        <v>42491</v>
      </c>
      <c r="E6803" t="s">
        <v>2177</v>
      </c>
      <c r="F6803">
        <v>7</v>
      </c>
      <c r="G6803" t="s">
        <v>59</v>
      </c>
      <c r="H6803" t="s">
        <v>41</v>
      </c>
      <c r="I6803" t="s">
        <v>2189</v>
      </c>
      <c r="J6803" s="10">
        <v>0</v>
      </c>
      <c r="K6803" t="b">
        <v>1</v>
      </c>
    </row>
    <row r="6804" spans="1:11">
      <c r="A6804" s="12">
        <v>42491</v>
      </c>
      <c r="B6804">
        <v>2016</v>
      </c>
      <c r="C6804">
        <v>5</v>
      </c>
      <c r="D6804" s="11">
        <v>42491</v>
      </c>
      <c r="E6804" t="s">
        <v>2177</v>
      </c>
      <c r="F6804">
        <v>7</v>
      </c>
      <c r="G6804" t="s">
        <v>59</v>
      </c>
      <c r="H6804" t="s">
        <v>42</v>
      </c>
      <c r="I6804" t="s">
        <v>2190</v>
      </c>
      <c r="J6804" s="10">
        <v>0</v>
      </c>
      <c r="K6804" t="b">
        <v>1</v>
      </c>
    </row>
    <row r="6805" spans="1:11">
      <c r="A6805" s="12">
        <v>42491</v>
      </c>
      <c r="B6805">
        <v>2016</v>
      </c>
      <c r="C6805">
        <v>5</v>
      </c>
      <c r="D6805" s="11">
        <v>42491</v>
      </c>
      <c r="E6805" t="s">
        <v>2177</v>
      </c>
      <c r="F6805">
        <v>7</v>
      </c>
      <c r="G6805" t="s">
        <v>59</v>
      </c>
      <c r="H6805" t="s">
        <v>43</v>
      </c>
      <c r="I6805" t="s">
        <v>2191</v>
      </c>
      <c r="J6805" s="10">
        <v>0</v>
      </c>
      <c r="K6805" t="b">
        <v>1</v>
      </c>
    </row>
    <row r="6806" spans="1:11">
      <c r="A6806" s="12">
        <v>42491</v>
      </c>
      <c r="B6806">
        <v>2016</v>
      </c>
      <c r="C6806">
        <v>5</v>
      </c>
      <c r="D6806" s="11">
        <v>42491</v>
      </c>
      <c r="E6806" t="s">
        <v>2177</v>
      </c>
      <c r="F6806">
        <v>7</v>
      </c>
      <c r="G6806" t="s">
        <v>59</v>
      </c>
      <c r="H6806" t="s">
        <v>44</v>
      </c>
      <c r="I6806" t="s">
        <v>2192</v>
      </c>
      <c r="J6806" s="10">
        <v>0</v>
      </c>
      <c r="K6806" t="b">
        <v>1</v>
      </c>
    </row>
    <row r="6807" spans="1:11">
      <c r="A6807" s="12">
        <v>42491</v>
      </c>
      <c r="B6807">
        <v>2016</v>
      </c>
      <c r="C6807">
        <v>5</v>
      </c>
      <c r="D6807" s="11">
        <v>42491</v>
      </c>
      <c r="E6807" t="s">
        <v>2177</v>
      </c>
      <c r="F6807">
        <v>7</v>
      </c>
      <c r="G6807" t="s">
        <v>59</v>
      </c>
      <c r="H6807" t="s">
        <v>45</v>
      </c>
      <c r="I6807" t="s">
        <v>2193</v>
      </c>
      <c r="J6807" s="10">
        <v>0</v>
      </c>
      <c r="K6807" t="b">
        <v>1</v>
      </c>
    </row>
    <row r="6808" spans="1:11">
      <c r="A6808" s="12">
        <v>42491</v>
      </c>
      <c r="B6808">
        <v>2016</v>
      </c>
      <c r="C6808">
        <v>5</v>
      </c>
      <c r="D6808" s="11">
        <v>42491</v>
      </c>
      <c r="E6808" t="s">
        <v>2177</v>
      </c>
      <c r="F6808">
        <v>7</v>
      </c>
      <c r="G6808" t="s">
        <v>59</v>
      </c>
      <c r="H6808" t="s">
        <v>46</v>
      </c>
      <c r="I6808" t="s">
        <v>2194</v>
      </c>
      <c r="J6808" s="10">
        <v>0</v>
      </c>
      <c r="K6808" t="b">
        <v>1</v>
      </c>
    </row>
    <row r="6809" spans="1:11">
      <c r="A6809" s="12">
        <v>42491</v>
      </c>
      <c r="B6809">
        <v>2016</v>
      </c>
      <c r="C6809">
        <v>5</v>
      </c>
      <c r="D6809" s="11">
        <v>42491</v>
      </c>
      <c r="E6809" t="s">
        <v>2177</v>
      </c>
      <c r="F6809">
        <v>7</v>
      </c>
      <c r="G6809" t="s">
        <v>59</v>
      </c>
      <c r="H6809" t="s">
        <v>47</v>
      </c>
      <c r="I6809" t="s">
        <v>2195</v>
      </c>
      <c r="J6809" s="10">
        <v>0</v>
      </c>
      <c r="K6809" t="b">
        <v>1</v>
      </c>
    </row>
    <row r="6810" spans="1:11">
      <c r="A6810" s="12">
        <v>42492</v>
      </c>
      <c r="B6810">
        <v>2016</v>
      </c>
      <c r="C6810">
        <v>5</v>
      </c>
      <c r="D6810" s="11">
        <v>42491</v>
      </c>
      <c r="E6810" t="s">
        <v>2177</v>
      </c>
      <c r="F6810">
        <v>1</v>
      </c>
      <c r="G6810" t="s">
        <v>61</v>
      </c>
      <c r="H6810" t="s">
        <v>40</v>
      </c>
      <c r="I6810" t="s">
        <v>2188</v>
      </c>
      <c r="J6810" s="10">
        <v>4</v>
      </c>
      <c r="K6810" t="b">
        <v>1</v>
      </c>
    </row>
    <row r="6811" spans="1:11">
      <c r="A6811" s="12">
        <v>42492</v>
      </c>
      <c r="B6811">
        <v>2016</v>
      </c>
      <c r="C6811">
        <v>5</v>
      </c>
      <c r="D6811" s="11">
        <v>42491</v>
      </c>
      <c r="E6811" t="s">
        <v>2177</v>
      </c>
      <c r="F6811">
        <v>1</v>
      </c>
      <c r="G6811" t="s">
        <v>61</v>
      </c>
      <c r="H6811" t="s">
        <v>41</v>
      </c>
      <c r="I6811" t="s">
        <v>2189</v>
      </c>
      <c r="J6811" s="10">
        <v>1.02</v>
      </c>
      <c r="K6811" t="b">
        <v>1</v>
      </c>
    </row>
    <row r="6812" spans="1:11">
      <c r="A6812" s="12">
        <v>42492</v>
      </c>
      <c r="B6812">
        <v>2016</v>
      </c>
      <c r="C6812">
        <v>5</v>
      </c>
      <c r="D6812" s="11">
        <v>42491</v>
      </c>
      <c r="E6812" t="s">
        <v>2177</v>
      </c>
      <c r="F6812">
        <v>1</v>
      </c>
      <c r="G6812" t="s">
        <v>61</v>
      </c>
      <c r="H6812" t="s">
        <v>42</v>
      </c>
      <c r="I6812" t="s">
        <v>2190</v>
      </c>
      <c r="J6812" s="10">
        <v>1</v>
      </c>
      <c r="K6812" t="b">
        <v>1</v>
      </c>
    </row>
    <row r="6813" spans="1:11">
      <c r="A6813" s="12">
        <v>42492</v>
      </c>
      <c r="B6813">
        <v>2016</v>
      </c>
      <c r="C6813">
        <v>5</v>
      </c>
      <c r="D6813" s="11">
        <v>42491</v>
      </c>
      <c r="E6813" t="s">
        <v>2177</v>
      </c>
      <c r="F6813">
        <v>1</v>
      </c>
      <c r="G6813" t="s">
        <v>61</v>
      </c>
      <c r="H6813" t="s">
        <v>43</v>
      </c>
      <c r="I6813" t="s">
        <v>2191</v>
      </c>
      <c r="J6813" s="10">
        <v>39.2</v>
      </c>
      <c r="K6813" t="b">
        <v>1</v>
      </c>
    </row>
    <row r="6814" spans="1:11">
      <c r="A6814" s="12">
        <v>42492</v>
      </c>
      <c r="B6814">
        <v>2016</v>
      </c>
      <c r="C6814">
        <v>5</v>
      </c>
      <c r="D6814" s="11">
        <v>42491</v>
      </c>
      <c r="E6814" t="s">
        <v>2177</v>
      </c>
      <c r="F6814">
        <v>1</v>
      </c>
      <c r="G6814" t="s">
        <v>61</v>
      </c>
      <c r="H6814" t="s">
        <v>44</v>
      </c>
      <c r="I6814" t="s">
        <v>2192</v>
      </c>
      <c r="J6814" s="10">
        <v>7</v>
      </c>
      <c r="K6814" t="b">
        <v>1</v>
      </c>
    </row>
    <row r="6815" spans="1:11">
      <c r="A6815" s="12">
        <v>42492</v>
      </c>
      <c r="B6815">
        <v>2016</v>
      </c>
      <c r="C6815">
        <v>5</v>
      </c>
      <c r="D6815" s="11">
        <v>42491</v>
      </c>
      <c r="E6815" t="s">
        <v>2177</v>
      </c>
      <c r="F6815">
        <v>1</v>
      </c>
      <c r="G6815" t="s">
        <v>61</v>
      </c>
      <c r="H6815" t="s">
        <v>45</v>
      </c>
      <c r="I6815" t="s">
        <v>2193</v>
      </c>
      <c r="J6815" s="10">
        <v>0</v>
      </c>
      <c r="K6815" t="b">
        <v>1</v>
      </c>
    </row>
    <row r="6816" spans="1:11">
      <c r="A6816" s="12">
        <v>42492</v>
      </c>
      <c r="B6816">
        <v>2016</v>
      </c>
      <c r="C6816">
        <v>5</v>
      </c>
      <c r="D6816" s="11">
        <v>42491</v>
      </c>
      <c r="E6816" t="s">
        <v>2177</v>
      </c>
      <c r="F6816">
        <v>1</v>
      </c>
      <c r="G6816" t="s">
        <v>61</v>
      </c>
      <c r="H6816" t="s">
        <v>46</v>
      </c>
      <c r="I6816" t="s">
        <v>2194</v>
      </c>
      <c r="J6816" s="10">
        <v>5</v>
      </c>
      <c r="K6816" t="b">
        <v>1</v>
      </c>
    </row>
    <row r="6817" spans="1:11">
      <c r="A6817" s="12">
        <v>42492</v>
      </c>
      <c r="B6817">
        <v>2016</v>
      </c>
      <c r="C6817">
        <v>5</v>
      </c>
      <c r="D6817" s="11">
        <v>42491</v>
      </c>
      <c r="E6817" t="s">
        <v>2177</v>
      </c>
      <c r="F6817">
        <v>1</v>
      </c>
      <c r="G6817" t="s">
        <v>61</v>
      </c>
      <c r="H6817" t="s">
        <v>47</v>
      </c>
      <c r="I6817" t="s">
        <v>2195</v>
      </c>
      <c r="J6817" s="10">
        <v>2</v>
      </c>
      <c r="K6817" t="b">
        <v>1</v>
      </c>
    </row>
    <row r="6818" spans="1:11">
      <c r="A6818" s="12">
        <v>42493</v>
      </c>
      <c r="B6818">
        <v>2016</v>
      </c>
      <c r="C6818">
        <v>5</v>
      </c>
      <c r="D6818" s="11">
        <v>42491</v>
      </c>
      <c r="E6818" t="s">
        <v>2177</v>
      </c>
      <c r="F6818">
        <v>2</v>
      </c>
      <c r="G6818" t="s">
        <v>63</v>
      </c>
      <c r="H6818" t="s">
        <v>40</v>
      </c>
      <c r="I6818" t="s">
        <v>2188</v>
      </c>
      <c r="J6818" s="10">
        <v>6.33</v>
      </c>
      <c r="K6818" t="b">
        <v>1</v>
      </c>
    </row>
    <row r="6819" spans="1:11">
      <c r="A6819" s="12">
        <v>42493</v>
      </c>
      <c r="B6819">
        <v>2016</v>
      </c>
      <c r="C6819">
        <v>5</v>
      </c>
      <c r="D6819" s="11">
        <v>42491</v>
      </c>
      <c r="E6819" t="s">
        <v>2177</v>
      </c>
      <c r="F6819">
        <v>2</v>
      </c>
      <c r="G6819" t="s">
        <v>63</v>
      </c>
      <c r="H6819" t="s">
        <v>41</v>
      </c>
      <c r="I6819" t="s">
        <v>2189</v>
      </c>
      <c r="J6819" s="10">
        <v>5.99</v>
      </c>
      <c r="K6819" t="b">
        <v>1</v>
      </c>
    </row>
    <row r="6820" spans="1:11">
      <c r="A6820" s="12">
        <v>42493</v>
      </c>
      <c r="B6820">
        <v>2016</v>
      </c>
      <c r="C6820">
        <v>5</v>
      </c>
      <c r="D6820" s="11">
        <v>42491</v>
      </c>
      <c r="E6820" t="s">
        <v>2177</v>
      </c>
      <c r="F6820">
        <v>2</v>
      </c>
      <c r="G6820" t="s">
        <v>63</v>
      </c>
      <c r="H6820" t="s">
        <v>42</v>
      </c>
      <c r="I6820" t="s">
        <v>2190</v>
      </c>
      <c r="J6820" s="10">
        <v>3</v>
      </c>
      <c r="K6820" t="b">
        <v>1</v>
      </c>
    </row>
    <row r="6821" spans="1:11">
      <c r="A6821" s="12">
        <v>42493</v>
      </c>
      <c r="B6821">
        <v>2016</v>
      </c>
      <c r="C6821">
        <v>5</v>
      </c>
      <c r="D6821" s="11">
        <v>42491</v>
      </c>
      <c r="E6821" t="s">
        <v>2177</v>
      </c>
      <c r="F6821">
        <v>2</v>
      </c>
      <c r="G6821" t="s">
        <v>63</v>
      </c>
      <c r="H6821" t="s">
        <v>43</v>
      </c>
      <c r="I6821" t="s">
        <v>2191</v>
      </c>
      <c r="J6821" s="10">
        <v>23.9</v>
      </c>
      <c r="K6821" t="b">
        <v>1</v>
      </c>
    </row>
    <row r="6822" spans="1:11">
      <c r="A6822" s="12">
        <v>42493</v>
      </c>
      <c r="B6822">
        <v>2016</v>
      </c>
      <c r="C6822">
        <v>5</v>
      </c>
      <c r="D6822" s="11">
        <v>42491</v>
      </c>
      <c r="E6822" t="s">
        <v>2177</v>
      </c>
      <c r="F6822">
        <v>2</v>
      </c>
      <c r="G6822" t="s">
        <v>63</v>
      </c>
      <c r="H6822" t="s">
        <v>44</v>
      </c>
      <c r="I6822" t="s">
        <v>2192</v>
      </c>
      <c r="J6822" s="10">
        <v>3</v>
      </c>
      <c r="K6822" t="b">
        <v>1</v>
      </c>
    </row>
    <row r="6823" spans="1:11">
      <c r="A6823" s="12">
        <v>42493</v>
      </c>
      <c r="B6823">
        <v>2016</v>
      </c>
      <c r="C6823">
        <v>5</v>
      </c>
      <c r="D6823" s="11">
        <v>42491</v>
      </c>
      <c r="E6823" t="s">
        <v>2177</v>
      </c>
      <c r="F6823">
        <v>2</v>
      </c>
      <c r="G6823" t="s">
        <v>63</v>
      </c>
      <c r="H6823" t="s">
        <v>45</v>
      </c>
      <c r="I6823" t="s">
        <v>2193</v>
      </c>
      <c r="J6823" s="10">
        <v>0</v>
      </c>
      <c r="K6823" t="b">
        <v>1</v>
      </c>
    </row>
    <row r="6824" spans="1:11">
      <c r="A6824" s="12">
        <v>42493</v>
      </c>
      <c r="B6824">
        <v>2016</v>
      </c>
      <c r="C6824">
        <v>5</v>
      </c>
      <c r="D6824" s="11">
        <v>42491</v>
      </c>
      <c r="E6824" t="s">
        <v>2177</v>
      </c>
      <c r="F6824">
        <v>2</v>
      </c>
      <c r="G6824" t="s">
        <v>63</v>
      </c>
      <c r="H6824" t="s">
        <v>46</v>
      </c>
      <c r="I6824" t="s">
        <v>2194</v>
      </c>
      <c r="J6824" s="10">
        <v>0</v>
      </c>
      <c r="K6824" t="b">
        <v>1</v>
      </c>
    </row>
    <row r="6825" spans="1:11">
      <c r="A6825" s="12">
        <v>42493</v>
      </c>
      <c r="B6825">
        <v>2016</v>
      </c>
      <c r="C6825">
        <v>5</v>
      </c>
      <c r="D6825" s="11">
        <v>42491</v>
      </c>
      <c r="E6825" t="s">
        <v>2177</v>
      </c>
      <c r="F6825">
        <v>2</v>
      </c>
      <c r="G6825" t="s">
        <v>63</v>
      </c>
      <c r="H6825" t="s">
        <v>47</v>
      </c>
      <c r="I6825" t="s">
        <v>2195</v>
      </c>
      <c r="J6825" s="10">
        <v>2</v>
      </c>
      <c r="K6825" t="b">
        <v>1</v>
      </c>
    </row>
    <row r="6826" spans="1:11">
      <c r="A6826" s="12">
        <v>42494</v>
      </c>
      <c r="B6826">
        <v>2016</v>
      </c>
      <c r="C6826">
        <v>5</v>
      </c>
      <c r="D6826" s="11">
        <v>42491</v>
      </c>
      <c r="E6826" t="s">
        <v>2177</v>
      </c>
      <c r="F6826">
        <v>3</v>
      </c>
      <c r="G6826" t="s">
        <v>65</v>
      </c>
      <c r="H6826" t="s">
        <v>40</v>
      </c>
      <c r="I6826" t="s">
        <v>2188</v>
      </c>
      <c r="J6826" s="10">
        <v>7.34</v>
      </c>
      <c r="K6826" t="b">
        <v>1</v>
      </c>
    </row>
    <row r="6827" spans="1:11">
      <c r="A6827" s="12">
        <v>42494</v>
      </c>
      <c r="B6827">
        <v>2016</v>
      </c>
      <c r="C6827">
        <v>5</v>
      </c>
      <c r="D6827" s="11">
        <v>42491</v>
      </c>
      <c r="E6827" t="s">
        <v>2177</v>
      </c>
      <c r="F6827">
        <v>3</v>
      </c>
      <c r="G6827" t="s">
        <v>65</v>
      </c>
      <c r="H6827" t="s">
        <v>41</v>
      </c>
      <c r="I6827" t="s">
        <v>2189</v>
      </c>
      <c r="J6827" s="10">
        <v>3</v>
      </c>
      <c r="K6827" t="b">
        <v>1</v>
      </c>
    </row>
    <row r="6828" spans="1:11">
      <c r="A6828" s="12">
        <v>42494</v>
      </c>
      <c r="B6828">
        <v>2016</v>
      </c>
      <c r="C6828">
        <v>5</v>
      </c>
      <c r="D6828" s="11">
        <v>42491</v>
      </c>
      <c r="E6828" t="s">
        <v>2177</v>
      </c>
      <c r="F6828">
        <v>3</v>
      </c>
      <c r="G6828" t="s">
        <v>65</v>
      </c>
      <c r="H6828" t="s">
        <v>42</v>
      </c>
      <c r="I6828" t="s">
        <v>2190</v>
      </c>
      <c r="J6828" s="10">
        <v>5</v>
      </c>
      <c r="K6828" t="b">
        <v>1</v>
      </c>
    </row>
    <row r="6829" spans="1:11">
      <c r="A6829" s="12">
        <v>42494</v>
      </c>
      <c r="B6829">
        <v>2016</v>
      </c>
      <c r="C6829">
        <v>5</v>
      </c>
      <c r="D6829" s="11">
        <v>42491</v>
      </c>
      <c r="E6829" t="s">
        <v>2177</v>
      </c>
      <c r="F6829">
        <v>3</v>
      </c>
      <c r="G6829" t="s">
        <v>65</v>
      </c>
      <c r="H6829" t="s">
        <v>43</v>
      </c>
      <c r="I6829" t="s">
        <v>2191</v>
      </c>
      <c r="J6829" s="10">
        <v>32.2</v>
      </c>
      <c r="K6829" t="b">
        <v>1</v>
      </c>
    </row>
    <row r="6830" spans="1:11">
      <c r="A6830" s="12">
        <v>42494</v>
      </c>
      <c r="B6830">
        <v>2016</v>
      </c>
      <c r="C6830">
        <v>5</v>
      </c>
      <c r="D6830" s="11">
        <v>42491</v>
      </c>
      <c r="E6830" t="s">
        <v>2177</v>
      </c>
      <c r="F6830">
        <v>3</v>
      </c>
      <c r="G6830" t="s">
        <v>65</v>
      </c>
      <c r="H6830" t="s">
        <v>44</v>
      </c>
      <c r="I6830" t="s">
        <v>2192</v>
      </c>
      <c r="J6830" s="10">
        <v>4</v>
      </c>
      <c r="K6830" t="b">
        <v>1</v>
      </c>
    </row>
    <row r="6831" spans="1:11">
      <c r="A6831" s="12">
        <v>42494</v>
      </c>
      <c r="B6831">
        <v>2016</v>
      </c>
      <c r="C6831">
        <v>5</v>
      </c>
      <c r="D6831" s="11">
        <v>42491</v>
      </c>
      <c r="E6831" t="s">
        <v>2177</v>
      </c>
      <c r="F6831">
        <v>3</v>
      </c>
      <c r="G6831" t="s">
        <v>65</v>
      </c>
      <c r="H6831" t="s">
        <v>45</v>
      </c>
      <c r="I6831" t="s">
        <v>2193</v>
      </c>
      <c r="J6831" s="10">
        <v>0</v>
      </c>
      <c r="K6831" t="b">
        <v>1</v>
      </c>
    </row>
    <row r="6832" spans="1:11">
      <c r="A6832" s="12">
        <v>42494</v>
      </c>
      <c r="B6832">
        <v>2016</v>
      </c>
      <c r="C6832">
        <v>5</v>
      </c>
      <c r="D6832" s="11">
        <v>42491</v>
      </c>
      <c r="E6832" t="s">
        <v>2177</v>
      </c>
      <c r="F6832">
        <v>3</v>
      </c>
      <c r="G6832" t="s">
        <v>65</v>
      </c>
      <c r="H6832" t="s">
        <v>46</v>
      </c>
      <c r="I6832" t="s">
        <v>2194</v>
      </c>
      <c r="J6832" s="10">
        <v>1</v>
      </c>
      <c r="K6832" t="b">
        <v>1</v>
      </c>
    </row>
    <row r="6833" spans="1:11">
      <c r="A6833" s="12">
        <v>42494</v>
      </c>
      <c r="B6833">
        <v>2016</v>
      </c>
      <c r="C6833">
        <v>5</v>
      </c>
      <c r="D6833" s="11">
        <v>42491</v>
      </c>
      <c r="E6833" t="s">
        <v>2177</v>
      </c>
      <c r="F6833">
        <v>3</v>
      </c>
      <c r="G6833" t="s">
        <v>65</v>
      </c>
      <c r="H6833" t="s">
        <v>47</v>
      </c>
      <c r="I6833" t="s">
        <v>2195</v>
      </c>
      <c r="J6833" s="10">
        <v>2</v>
      </c>
      <c r="K6833" t="b">
        <v>1</v>
      </c>
    </row>
    <row r="6834" spans="1:11">
      <c r="A6834" s="12">
        <v>42495</v>
      </c>
      <c r="B6834">
        <v>2016</v>
      </c>
      <c r="C6834">
        <v>5</v>
      </c>
      <c r="D6834" s="11">
        <v>42491</v>
      </c>
      <c r="E6834" t="s">
        <v>2177</v>
      </c>
      <c r="F6834">
        <v>4</v>
      </c>
      <c r="G6834" t="s">
        <v>53</v>
      </c>
      <c r="H6834" t="s">
        <v>40</v>
      </c>
      <c r="I6834" t="s">
        <v>2188</v>
      </c>
      <c r="J6834" s="10">
        <v>4.66</v>
      </c>
      <c r="K6834" t="b">
        <v>1</v>
      </c>
    </row>
    <row r="6835" spans="1:11">
      <c r="A6835" s="12">
        <v>42495</v>
      </c>
      <c r="B6835">
        <v>2016</v>
      </c>
      <c r="C6835">
        <v>5</v>
      </c>
      <c r="D6835" s="11">
        <v>42491</v>
      </c>
      <c r="E6835" t="s">
        <v>2177</v>
      </c>
      <c r="F6835">
        <v>4</v>
      </c>
      <c r="G6835" t="s">
        <v>53</v>
      </c>
      <c r="H6835" t="s">
        <v>41</v>
      </c>
      <c r="I6835" t="s">
        <v>2189</v>
      </c>
      <c r="J6835" s="10">
        <v>3</v>
      </c>
      <c r="K6835" t="b">
        <v>1</v>
      </c>
    </row>
    <row r="6836" spans="1:11">
      <c r="A6836" s="12">
        <v>42495</v>
      </c>
      <c r="B6836">
        <v>2016</v>
      </c>
      <c r="C6836">
        <v>5</v>
      </c>
      <c r="D6836" s="11">
        <v>42491</v>
      </c>
      <c r="E6836" t="s">
        <v>2177</v>
      </c>
      <c r="F6836">
        <v>4</v>
      </c>
      <c r="G6836" t="s">
        <v>53</v>
      </c>
      <c r="H6836" t="s">
        <v>42</v>
      </c>
      <c r="I6836" t="s">
        <v>2190</v>
      </c>
      <c r="J6836" s="10">
        <v>6</v>
      </c>
      <c r="K6836" t="b">
        <v>1</v>
      </c>
    </row>
    <row r="6837" spans="1:11">
      <c r="A6837" s="12">
        <v>42495</v>
      </c>
      <c r="B6837">
        <v>2016</v>
      </c>
      <c r="C6837">
        <v>5</v>
      </c>
      <c r="D6837" s="11">
        <v>42491</v>
      </c>
      <c r="E6837" t="s">
        <v>2177</v>
      </c>
      <c r="F6837">
        <v>4</v>
      </c>
      <c r="G6837" t="s">
        <v>53</v>
      </c>
      <c r="H6837" t="s">
        <v>43</v>
      </c>
      <c r="I6837" t="s">
        <v>2191</v>
      </c>
      <c r="J6837" s="10">
        <v>41</v>
      </c>
      <c r="K6837" t="b">
        <v>1</v>
      </c>
    </row>
    <row r="6838" spans="1:11">
      <c r="A6838" s="12">
        <v>42495</v>
      </c>
      <c r="B6838">
        <v>2016</v>
      </c>
      <c r="C6838">
        <v>5</v>
      </c>
      <c r="D6838" s="11">
        <v>42491</v>
      </c>
      <c r="E6838" t="s">
        <v>2177</v>
      </c>
      <c r="F6838">
        <v>4</v>
      </c>
      <c r="G6838" t="s">
        <v>53</v>
      </c>
      <c r="H6838" t="s">
        <v>44</v>
      </c>
      <c r="I6838" t="s">
        <v>2192</v>
      </c>
      <c r="J6838" s="10">
        <v>16</v>
      </c>
      <c r="K6838" t="b">
        <v>1</v>
      </c>
    </row>
    <row r="6839" spans="1:11">
      <c r="A6839" s="12">
        <v>42495</v>
      </c>
      <c r="B6839">
        <v>2016</v>
      </c>
      <c r="C6839">
        <v>5</v>
      </c>
      <c r="D6839" s="11">
        <v>42491</v>
      </c>
      <c r="E6839" t="s">
        <v>2177</v>
      </c>
      <c r="F6839">
        <v>4</v>
      </c>
      <c r="G6839" t="s">
        <v>53</v>
      </c>
      <c r="H6839" t="s">
        <v>45</v>
      </c>
      <c r="I6839" t="s">
        <v>2193</v>
      </c>
      <c r="J6839" s="10">
        <v>3</v>
      </c>
      <c r="K6839" t="b">
        <v>1</v>
      </c>
    </row>
    <row r="6840" spans="1:11">
      <c r="A6840" s="12">
        <v>42495</v>
      </c>
      <c r="B6840">
        <v>2016</v>
      </c>
      <c r="C6840">
        <v>5</v>
      </c>
      <c r="D6840" s="11">
        <v>42491</v>
      </c>
      <c r="E6840" t="s">
        <v>2177</v>
      </c>
      <c r="F6840">
        <v>4</v>
      </c>
      <c r="G6840" t="s">
        <v>53</v>
      </c>
      <c r="H6840" t="s">
        <v>46</v>
      </c>
      <c r="I6840" t="s">
        <v>2194</v>
      </c>
      <c r="J6840" s="10">
        <v>1</v>
      </c>
      <c r="K6840" t="b">
        <v>1</v>
      </c>
    </row>
    <row r="6841" spans="1:11">
      <c r="A6841" s="12">
        <v>42495</v>
      </c>
      <c r="B6841">
        <v>2016</v>
      </c>
      <c r="C6841">
        <v>5</v>
      </c>
      <c r="D6841" s="11">
        <v>42491</v>
      </c>
      <c r="E6841" t="s">
        <v>2177</v>
      </c>
      <c r="F6841">
        <v>4</v>
      </c>
      <c r="G6841" t="s">
        <v>53</v>
      </c>
      <c r="H6841" t="s">
        <v>47</v>
      </c>
      <c r="I6841" t="s">
        <v>2195</v>
      </c>
      <c r="J6841" s="10">
        <v>2</v>
      </c>
      <c r="K6841" t="b">
        <v>1</v>
      </c>
    </row>
    <row r="6842" spans="1:11">
      <c r="A6842" s="12">
        <v>42496</v>
      </c>
      <c r="B6842">
        <v>2016</v>
      </c>
      <c r="C6842">
        <v>5</v>
      </c>
      <c r="D6842" s="11">
        <v>42491</v>
      </c>
      <c r="E6842" t="s">
        <v>2177</v>
      </c>
      <c r="F6842">
        <v>5</v>
      </c>
      <c r="G6842" t="s">
        <v>55</v>
      </c>
      <c r="H6842" t="s">
        <v>40</v>
      </c>
      <c r="I6842" t="s">
        <v>2188</v>
      </c>
      <c r="J6842" s="10">
        <v>4</v>
      </c>
      <c r="K6842" t="b">
        <v>1</v>
      </c>
    </row>
    <row r="6843" spans="1:11">
      <c r="A6843" s="12">
        <v>42496</v>
      </c>
      <c r="B6843">
        <v>2016</v>
      </c>
      <c r="C6843">
        <v>5</v>
      </c>
      <c r="D6843" s="11">
        <v>42491</v>
      </c>
      <c r="E6843" t="s">
        <v>2177</v>
      </c>
      <c r="F6843">
        <v>5</v>
      </c>
      <c r="G6843" t="s">
        <v>55</v>
      </c>
      <c r="H6843" t="s">
        <v>41</v>
      </c>
      <c r="I6843" t="s">
        <v>2189</v>
      </c>
      <c r="J6843" s="10">
        <v>2.99</v>
      </c>
      <c r="K6843" t="b">
        <v>1</v>
      </c>
    </row>
    <row r="6844" spans="1:11">
      <c r="A6844" s="12">
        <v>42496</v>
      </c>
      <c r="B6844">
        <v>2016</v>
      </c>
      <c r="C6844">
        <v>5</v>
      </c>
      <c r="D6844" s="11">
        <v>42491</v>
      </c>
      <c r="E6844" t="s">
        <v>2177</v>
      </c>
      <c r="F6844">
        <v>5</v>
      </c>
      <c r="G6844" t="s">
        <v>55</v>
      </c>
      <c r="H6844" t="s">
        <v>42</v>
      </c>
      <c r="I6844" t="s">
        <v>2190</v>
      </c>
      <c r="J6844" s="10">
        <v>1</v>
      </c>
      <c r="K6844" t="b">
        <v>1</v>
      </c>
    </row>
    <row r="6845" spans="1:11">
      <c r="A6845" s="12">
        <v>42496</v>
      </c>
      <c r="B6845">
        <v>2016</v>
      </c>
      <c r="C6845">
        <v>5</v>
      </c>
      <c r="D6845" s="11">
        <v>42491</v>
      </c>
      <c r="E6845" t="s">
        <v>2177</v>
      </c>
      <c r="F6845">
        <v>5</v>
      </c>
      <c r="G6845" t="s">
        <v>55</v>
      </c>
      <c r="H6845" t="s">
        <v>43</v>
      </c>
      <c r="I6845" t="s">
        <v>2191</v>
      </c>
      <c r="J6845" s="10">
        <v>33.6</v>
      </c>
      <c r="K6845" t="b">
        <v>1</v>
      </c>
    </row>
    <row r="6846" spans="1:11">
      <c r="A6846" s="12">
        <v>42496</v>
      </c>
      <c r="B6846">
        <v>2016</v>
      </c>
      <c r="C6846">
        <v>5</v>
      </c>
      <c r="D6846" s="11">
        <v>42491</v>
      </c>
      <c r="E6846" t="s">
        <v>2177</v>
      </c>
      <c r="F6846">
        <v>5</v>
      </c>
      <c r="G6846" t="s">
        <v>55</v>
      </c>
      <c r="H6846" t="s">
        <v>44</v>
      </c>
      <c r="I6846" t="s">
        <v>2192</v>
      </c>
      <c r="J6846" s="10">
        <v>7</v>
      </c>
      <c r="K6846" t="b">
        <v>1</v>
      </c>
    </row>
    <row r="6847" spans="1:11">
      <c r="A6847" s="12">
        <v>42496</v>
      </c>
      <c r="B6847">
        <v>2016</v>
      </c>
      <c r="C6847">
        <v>5</v>
      </c>
      <c r="D6847" s="11">
        <v>42491</v>
      </c>
      <c r="E6847" t="s">
        <v>2177</v>
      </c>
      <c r="F6847">
        <v>5</v>
      </c>
      <c r="G6847" t="s">
        <v>55</v>
      </c>
      <c r="H6847" t="s">
        <v>45</v>
      </c>
      <c r="I6847" t="s">
        <v>2193</v>
      </c>
      <c r="J6847" s="10">
        <v>0</v>
      </c>
      <c r="K6847" t="b">
        <v>1</v>
      </c>
    </row>
    <row r="6848" spans="1:11">
      <c r="A6848" s="12">
        <v>42496</v>
      </c>
      <c r="B6848">
        <v>2016</v>
      </c>
      <c r="C6848">
        <v>5</v>
      </c>
      <c r="D6848" s="11">
        <v>42491</v>
      </c>
      <c r="E6848" t="s">
        <v>2177</v>
      </c>
      <c r="F6848">
        <v>5</v>
      </c>
      <c r="G6848" t="s">
        <v>55</v>
      </c>
      <c r="H6848" t="s">
        <v>46</v>
      </c>
      <c r="I6848" t="s">
        <v>2194</v>
      </c>
      <c r="J6848" s="10">
        <v>1</v>
      </c>
      <c r="K6848" t="b">
        <v>1</v>
      </c>
    </row>
    <row r="6849" spans="1:11">
      <c r="A6849" s="12">
        <v>42496</v>
      </c>
      <c r="B6849">
        <v>2016</v>
      </c>
      <c r="C6849">
        <v>5</v>
      </c>
      <c r="D6849" s="11">
        <v>42491</v>
      </c>
      <c r="E6849" t="s">
        <v>2177</v>
      </c>
      <c r="F6849">
        <v>5</v>
      </c>
      <c r="G6849" t="s">
        <v>55</v>
      </c>
      <c r="H6849" t="s">
        <v>47</v>
      </c>
      <c r="I6849" t="s">
        <v>2195</v>
      </c>
      <c r="J6849" s="10">
        <v>3</v>
      </c>
      <c r="K6849" t="b">
        <v>1</v>
      </c>
    </row>
    <row r="6850" spans="1:11">
      <c r="A6850" s="12">
        <v>42497</v>
      </c>
      <c r="B6850">
        <v>2016</v>
      </c>
      <c r="C6850">
        <v>5</v>
      </c>
      <c r="D6850" s="11">
        <v>42491</v>
      </c>
      <c r="E6850" t="s">
        <v>2177</v>
      </c>
      <c r="F6850">
        <v>6</v>
      </c>
      <c r="G6850" t="s">
        <v>57</v>
      </c>
      <c r="H6850" t="s">
        <v>40</v>
      </c>
      <c r="I6850" t="s">
        <v>2188</v>
      </c>
      <c r="J6850" s="10">
        <v>3.99</v>
      </c>
      <c r="K6850" t="b">
        <v>1</v>
      </c>
    </row>
    <row r="6851" spans="1:11">
      <c r="A6851" s="12">
        <v>42497</v>
      </c>
      <c r="B6851">
        <v>2016</v>
      </c>
      <c r="C6851">
        <v>5</v>
      </c>
      <c r="D6851" s="11">
        <v>42491</v>
      </c>
      <c r="E6851" t="s">
        <v>2177</v>
      </c>
      <c r="F6851">
        <v>6</v>
      </c>
      <c r="G6851" t="s">
        <v>57</v>
      </c>
      <c r="H6851" t="s">
        <v>41</v>
      </c>
      <c r="I6851" t="s">
        <v>2189</v>
      </c>
      <c r="J6851" s="10">
        <v>8.34</v>
      </c>
      <c r="K6851" t="b">
        <v>1</v>
      </c>
    </row>
    <row r="6852" spans="1:11">
      <c r="A6852" s="12">
        <v>42497</v>
      </c>
      <c r="B6852">
        <v>2016</v>
      </c>
      <c r="C6852">
        <v>5</v>
      </c>
      <c r="D6852" s="11">
        <v>42491</v>
      </c>
      <c r="E6852" t="s">
        <v>2177</v>
      </c>
      <c r="F6852">
        <v>6</v>
      </c>
      <c r="G6852" t="s">
        <v>57</v>
      </c>
      <c r="H6852" t="s">
        <v>42</v>
      </c>
      <c r="I6852" t="s">
        <v>2190</v>
      </c>
      <c r="J6852" s="10">
        <v>4</v>
      </c>
      <c r="K6852" t="b">
        <v>1</v>
      </c>
    </row>
    <row r="6853" spans="1:11">
      <c r="A6853" s="12">
        <v>42497</v>
      </c>
      <c r="B6853">
        <v>2016</v>
      </c>
      <c r="C6853">
        <v>5</v>
      </c>
      <c r="D6853" s="11">
        <v>42491</v>
      </c>
      <c r="E6853" t="s">
        <v>2177</v>
      </c>
      <c r="F6853">
        <v>6</v>
      </c>
      <c r="G6853" t="s">
        <v>57</v>
      </c>
      <c r="H6853" t="s">
        <v>43</v>
      </c>
      <c r="I6853" t="s">
        <v>2191</v>
      </c>
      <c r="J6853" s="10">
        <v>47.2</v>
      </c>
      <c r="K6853" t="b">
        <v>1</v>
      </c>
    </row>
    <row r="6854" spans="1:11">
      <c r="A6854" s="12">
        <v>42497</v>
      </c>
      <c r="B6854">
        <v>2016</v>
      </c>
      <c r="C6854">
        <v>5</v>
      </c>
      <c r="D6854" s="11">
        <v>42491</v>
      </c>
      <c r="E6854" t="s">
        <v>2177</v>
      </c>
      <c r="F6854">
        <v>6</v>
      </c>
      <c r="G6854" t="s">
        <v>57</v>
      </c>
      <c r="H6854" t="s">
        <v>44</v>
      </c>
      <c r="I6854" t="s">
        <v>2192</v>
      </c>
      <c r="J6854" s="10">
        <v>5</v>
      </c>
      <c r="K6854" t="b">
        <v>1</v>
      </c>
    </row>
    <row r="6855" spans="1:11">
      <c r="A6855" s="12">
        <v>42497</v>
      </c>
      <c r="B6855">
        <v>2016</v>
      </c>
      <c r="C6855">
        <v>5</v>
      </c>
      <c r="D6855" s="11">
        <v>42491</v>
      </c>
      <c r="E6855" t="s">
        <v>2177</v>
      </c>
      <c r="F6855">
        <v>6</v>
      </c>
      <c r="G6855" t="s">
        <v>57</v>
      </c>
      <c r="H6855" t="s">
        <v>45</v>
      </c>
      <c r="I6855" t="s">
        <v>2193</v>
      </c>
      <c r="J6855" s="10">
        <v>1</v>
      </c>
      <c r="K6855" t="b">
        <v>1</v>
      </c>
    </row>
    <row r="6856" spans="1:11">
      <c r="A6856" s="12">
        <v>42497</v>
      </c>
      <c r="B6856">
        <v>2016</v>
      </c>
      <c r="C6856">
        <v>5</v>
      </c>
      <c r="D6856" s="11">
        <v>42491</v>
      </c>
      <c r="E6856" t="s">
        <v>2177</v>
      </c>
      <c r="F6856">
        <v>6</v>
      </c>
      <c r="G6856" t="s">
        <v>57</v>
      </c>
      <c r="H6856" t="s">
        <v>46</v>
      </c>
      <c r="I6856" t="s">
        <v>2194</v>
      </c>
      <c r="J6856" s="10">
        <v>0</v>
      </c>
      <c r="K6856" t="b">
        <v>1</v>
      </c>
    </row>
    <row r="6857" spans="1:11">
      <c r="A6857" s="12">
        <v>42497</v>
      </c>
      <c r="B6857">
        <v>2016</v>
      </c>
      <c r="C6857">
        <v>5</v>
      </c>
      <c r="D6857" s="11">
        <v>42491</v>
      </c>
      <c r="E6857" t="s">
        <v>2177</v>
      </c>
      <c r="F6857">
        <v>6</v>
      </c>
      <c r="G6857" t="s">
        <v>57</v>
      </c>
      <c r="H6857" t="s">
        <v>47</v>
      </c>
      <c r="I6857" t="s">
        <v>2195</v>
      </c>
      <c r="J6857" s="10">
        <v>10</v>
      </c>
      <c r="K6857" t="b">
        <v>1</v>
      </c>
    </row>
    <row r="6858" spans="1:11">
      <c r="A6858" s="12">
        <v>42498</v>
      </c>
      <c r="B6858">
        <v>2016</v>
      </c>
      <c r="C6858">
        <v>5</v>
      </c>
      <c r="D6858" s="11">
        <v>42491</v>
      </c>
      <c r="E6858" t="s">
        <v>2177</v>
      </c>
      <c r="F6858">
        <v>7</v>
      </c>
      <c r="G6858" t="s">
        <v>59</v>
      </c>
      <c r="H6858" t="s">
        <v>40</v>
      </c>
      <c r="I6858" t="s">
        <v>2188</v>
      </c>
      <c r="J6858" s="10">
        <v>5</v>
      </c>
      <c r="K6858" t="b">
        <v>1</v>
      </c>
    </row>
    <row r="6859" spans="1:11">
      <c r="A6859" s="12">
        <v>42498</v>
      </c>
      <c r="B6859">
        <v>2016</v>
      </c>
      <c r="C6859">
        <v>5</v>
      </c>
      <c r="D6859" s="11">
        <v>42491</v>
      </c>
      <c r="E6859" t="s">
        <v>2177</v>
      </c>
      <c r="F6859">
        <v>7</v>
      </c>
      <c r="G6859" t="s">
        <v>59</v>
      </c>
      <c r="H6859" t="s">
        <v>41</v>
      </c>
      <c r="I6859" t="s">
        <v>2189</v>
      </c>
      <c r="J6859" s="10">
        <v>10.66</v>
      </c>
      <c r="K6859" t="b">
        <v>1</v>
      </c>
    </row>
    <row r="6860" spans="1:11">
      <c r="A6860" s="12">
        <v>42498</v>
      </c>
      <c r="B6860">
        <v>2016</v>
      </c>
      <c r="C6860">
        <v>5</v>
      </c>
      <c r="D6860" s="11">
        <v>42491</v>
      </c>
      <c r="E6860" t="s">
        <v>2177</v>
      </c>
      <c r="F6860">
        <v>7</v>
      </c>
      <c r="G6860" t="s">
        <v>59</v>
      </c>
      <c r="H6860" t="s">
        <v>42</v>
      </c>
      <c r="I6860" t="s">
        <v>2190</v>
      </c>
      <c r="J6860" s="10">
        <v>1</v>
      </c>
      <c r="K6860" t="b">
        <v>1</v>
      </c>
    </row>
    <row r="6861" spans="1:11">
      <c r="A6861" s="12">
        <v>42498</v>
      </c>
      <c r="B6861">
        <v>2016</v>
      </c>
      <c r="C6861">
        <v>5</v>
      </c>
      <c r="D6861" s="11">
        <v>42491</v>
      </c>
      <c r="E6861" t="s">
        <v>2177</v>
      </c>
      <c r="F6861">
        <v>7</v>
      </c>
      <c r="G6861" t="s">
        <v>59</v>
      </c>
      <c r="H6861" t="s">
        <v>43</v>
      </c>
      <c r="I6861" t="s">
        <v>2191</v>
      </c>
      <c r="J6861" s="10">
        <v>40.4</v>
      </c>
      <c r="K6861" t="b">
        <v>1</v>
      </c>
    </row>
    <row r="6862" spans="1:11">
      <c r="A6862" s="12">
        <v>42498</v>
      </c>
      <c r="B6862">
        <v>2016</v>
      </c>
      <c r="C6862">
        <v>5</v>
      </c>
      <c r="D6862" s="11">
        <v>42491</v>
      </c>
      <c r="E6862" t="s">
        <v>2177</v>
      </c>
      <c r="F6862">
        <v>7</v>
      </c>
      <c r="G6862" t="s">
        <v>59</v>
      </c>
      <c r="H6862" t="s">
        <v>44</v>
      </c>
      <c r="I6862" t="s">
        <v>2192</v>
      </c>
      <c r="J6862" s="10">
        <v>12</v>
      </c>
      <c r="K6862" t="b">
        <v>1</v>
      </c>
    </row>
    <row r="6863" spans="1:11">
      <c r="A6863" s="12">
        <v>42498</v>
      </c>
      <c r="B6863">
        <v>2016</v>
      </c>
      <c r="C6863">
        <v>5</v>
      </c>
      <c r="D6863" s="11">
        <v>42491</v>
      </c>
      <c r="E6863" t="s">
        <v>2177</v>
      </c>
      <c r="F6863">
        <v>7</v>
      </c>
      <c r="G6863" t="s">
        <v>59</v>
      </c>
      <c r="H6863" t="s">
        <v>45</v>
      </c>
      <c r="I6863" t="s">
        <v>2193</v>
      </c>
      <c r="J6863" s="10">
        <v>0</v>
      </c>
      <c r="K6863" t="b">
        <v>1</v>
      </c>
    </row>
    <row r="6864" spans="1:11">
      <c r="A6864" s="12">
        <v>42498</v>
      </c>
      <c r="B6864">
        <v>2016</v>
      </c>
      <c r="C6864">
        <v>5</v>
      </c>
      <c r="D6864" s="11">
        <v>42491</v>
      </c>
      <c r="E6864" t="s">
        <v>2177</v>
      </c>
      <c r="F6864">
        <v>7</v>
      </c>
      <c r="G6864" t="s">
        <v>59</v>
      </c>
      <c r="H6864" t="s">
        <v>46</v>
      </c>
      <c r="I6864" t="s">
        <v>2194</v>
      </c>
      <c r="J6864" s="10">
        <v>1</v>
      </c>
      <c r="K6864" t="b">
        <v>1</v>
      </c>
    </row>
    <row r="6865" spans="1:11">
      <c r="A6865" s="12">
        <v>42498</v>
      </c>
      <c r="B6865">
        <v>2016</v>
      </c>
      <c r="C6865">
        <v>5</v>
      </c>
      <c r="D6865" s="11">
        <v>42491</v>
      </c>
      <c r="E6865" t="s">
        <v>2177</v>
      </c>
      <c r="F6865">
        <v>7</v>
      </c>
      <c r="G6865" t="s">
        <v>59</v>
      </c>
      <c r="H6865" t="s">
        <v>47</v>
      </c>
      <c r="I6865" t="s">
        <v>2195</v>
      </c>
      <c r="J6865" s="10">
        <v>11</v>
      </c>
      <c r="K6865" t="b">
        <v>1</v>
      </c>
    </row>
    <row r="6866" spans="1:11">
      <c r="A6866" s="12">
        <v>42499</v>
      </c>
      <c r="B6866">
        <v>2016</v>
      </c>
      <c r="C6866">
        <v>5</v>
      </c>
      <c r="D6866" s="11">
        <v>42491</v>
      </c>
      <c r="E6866" t="s">
        <v>2177</v>
      </c>
      <c r="F6866">
        <v>1</v>
      </c>
      <c r="G6866" t="s">
        <v>61</v>
      </c>
      <c r="H6866" t="s">
        <v>40</v>
      </c>
      <c r="I6866" t="s">
        <v>2188</v>
      </c>
      <c r="J6866" s="10">
        <v>5.67</v>
      </c>
      <c r="K6866" t="b">
        <v>1</v>
      </c>
    </row>
    <row r="6867" spans="1:11">
      <c r="A6867" s="12">
        <v>42499</v>
      </c>
      <c r="B6867">
        <v>2016</v>
      </c>
      <c r="C6867">
        <v>5</v>
      </c>
      <c r="D6867" s="11">
        <v>42491</v>
      </c>
      <c r="E6867" t="s">
        <v>2177</v>
      </c>
      <c r="F6867">
        <v>1</v>
      </c>
      <c r="G6867" t="s">
        <v>61</v>
      </c>
      <c r="H6867" t="s">
        <v>41</v>
      </c>
      <c r="I6867" t="s">
        <v>2189</v>
      </c>
      <c r="J6867" s="10">
        <v>6.363</v>
      </c>
      <c r="K6867" t="b">
        <v>1</v>
      </c>
    </row>
    <row r="6868" spans="1:11">
      <c r="A6868" s="12">
        <v>42499</v>
      </c>
      <c r="B6868">
        <v>2016</v>
      </c>
      <c r="C6868">
        <v>5</v>
      </c>
      <c r="D6868" s="11">
        <v>42491</v>
      </c>
      <c r="E6868" t="s">
        <v>2177</v>
      </c>
      <c r="F6868">
        <v>1</v>
      </c>
      <c r="G6868" t="s">
        <v>61</v>
      </c>
      <c r="H6868" t="s">
        <v>42</v>
      </c>
      <c r="I6868" t="s">
        <v>2190</v>
      </c>
      <c r="J6868" s="10">
        <v>5</v>
      </c>
      <c r="K6868" t="b">
        <v>1</v>
      </c>
    </row>
    <row r="6869" spans="1:11">
      <c r="A6869" s="12">
        <v>42499</v>
      </c>
      <c r="B6869">
        <v>2016</v>
      </c>
      <c r="C6869">
        <v>5</v>
      </c>
      <c r="D6869" s="11">
        <v>42491</v>
      </c>
      <c r="E6869" t="s">
        <v>2177</v>
      </c>
      <c r="F6869">
        <v>1</v>
      </c>
      <c r="G6869" t="s">
        <v>61</v>
      </c>
      <c r="H6869" t="s">
        <v>43</v>
      </c>
      <c r="I6869" t="s">
        <v>2191</v>
      </c>
      <c r="J6869" s="10">
        <v>29.2</v>
      </c>
      <c r="K6869" t="b">
        <v>1</v>
      </c>
    </row>
    <row r="6870" spans="1:11">
      <c r="A6870" s="12">
        <v>42499</v>
      </c>
      <c r="B6870">
        <v>2016</v>
      </c>
      <c r="C6870">
        <v>5</v>
      </c>
      <c r="D6870" s="11">
        <v>42491</v>
      </c>
      <c r="E6870" t="s">
        <v>2177</v>
      </c>
      <c r="F6870">
        <v>1</v>
      </c>
      <c r="G6870" t="s">
        <v>61</v>
      </c>
      <c r="H6870" t="s">
        <v>44</v>
      </c>
      <c r="I6870" t="s">
        <v>2192</v>
      </c>
      <c r="J6870" s="10">
        <v>3</v>
      </c>
      <c r="K6870" t="b">
        <v>1</v>
      </c>
    </row>
    <row r="6871" spans="1:11">
      <c r="A6871" s="12">
        <v>42499</v>
      </c>
      <c r="B6871">
        <v>2016</v>
      </c>
      <c r="C6871">
        <v>5</v>
      </c>
      <c r="D6871" s="11">
        <v>42491</v>
      </c>
      <c r="E6871" t="s">
        <v>2177</v>
      </c>
      <c r="F6871">
        <v>1</v>
      </c>
      <c r="G6871" t="s">
        <v>61</v>
      </c>
      <c r="H6871" t="s">
        <v>45</v>
      </c>
      <c r="I6871" t="s">
        <v>2193</v>
      </c>
      <c r="J6871" s="10">
        <v>0</v>
      </c>
      <c r="K6871" t="b">
        <v>1</v>
      </c>
    </row>
    <row r="6872" spans="1:11">
      <c r="A6872" s="12">
        <v>42499</v>
      </c>
      <c r="B6872">
        <v>2016</v>
      </c>
      <c r="C6872">
        <v>5</v>
      </c>
      <c r="D6872" s="11">
        <v>42491</v>
      </c>
      <c r="E6872" t="s">
        <v>2177</v>
      </c>
      <c r="F6872">
        <v>1</v>
      </c>
      <c r="G6872" t="s">
        <v>61</v>
      </c>
      <c r="H6872" t="s">
        <v>46</v>
      </c>
      <c r="I6872" t="s">
        <v>2194</v>
      </c>
      <c r="J6872" s="10">
        <v>2</v>
      </c>
      <c r="K6872" t="b">
        <v>1</v>
      </c>
    </row>
    <row r="6873" spans="1:11">
      <c r="A6873" s="12">
        <v>42499</v>
      </c>
      <c r="B6873">
        <v>2016</v>
      </c>
      <c r="C6873">
        <v>5</v>
      </c>
      <c r="D6873" s="11">
        <v>42491</v>
      </c>
      <c r="E6873" t="s">
        <v>2177</v>
      </c>
      <c r="F6873">
        <v>1</v>
      </c>
      <c r="G6873" t="s">
        <v>61</v>
      </c>
      <c r="H6873" t="s">
        <v>47</v>
      </c>
      <c r="I6873" t="s">
        <v>2195</v>
      </c>
      <c r="J6873" s="10">
        <v>5</v>
      </c>
      <c r="K6873" t="b">
        <v>1</v>
      </c>
    </row>
    <row r="6874" spans="1:11">
      <c r="A6874" s="12">
        <v>42500</v>
      </c>
      <c r="B6874">
        <v>2016</v>
      </c>
      <c r="C6874">
        <v>5</v>
      </c>
      <c r="D6874" s="11">
        <v>42491</v>
      </c>
      <c r="E6874" t="s">
        <v>2177</v>
      </c>
      <c r="F6874">
        <v>2</v>
      </c>
      <c r="G6874" t="s">
        <v>63</v>
      </c>
      <c r="H6874" t="s">
        <v>40</v>
      </c>
      <c r="I6874" t="s">
        <v>2188</v>
      </c>
      <c r="J6874" s="10">
        <v>7.33</v>
      </c>
      <c r="K6874" t="b">
        <v>1</v>
      </c>
    </row>
    <row r="6875" spans="1:11">
      <c r="A6875" s="12">
        <v>42500</v>
      </c>
      <c r="B6875">
        <v>2016</v>
      </c>
      <c r="C6875">
        <v>5</v>
      </c>
      <c r="D6875" s="11">
        <v>42491</v>
      </c>
      <c r="E6875" t="s">
        <v>2177</v>
      </c>
      <c r="F6875">
        <v>2</v>
      </c>
      <c r="G6875" t="s">
        <v>63</v>
      </c>
      <c r="H6875" t="s">
        <v>41</v>
      </c>
      <c r="I6875" t="s">
        <v>2189</v>
      </c>
      <c r="J6875" s="10">
        <v>3.67</v>
      </c>
      <c r="K6875" t="b">
        <v>1</v>
      </c>
    </row>
    <row r="6876" spans="1:11">
      <c r="A6876" s="12">
        <v>42500</v>
      </c>
      <c r="B6876">
        <v>2016</v>
      </c>
      <c r="C6876">
        <v>5</v>
      </c>
      <c r="D6876" s="11">
        <v>42491</v>
      </c>
      <c r="E6876" t="s">
        <v>2177</v>
      </c>
      <c r="F6876">
        <v>2</v>
      </c>
      <c r="G6876" t="s">
        <v>63</v>
      </c>
      <c r="H6876" t="s">
        <v>42</v>
      </c>
      <c r="I6876" t="s">
        <v>2190</v>
      </c>
      <c r="J6876" s="10">
        <v>7</v>
      </c>
      <c r="K6876" t="b">
        <v>1</v>
      </c>
    </row>
    <row r="6877" spans="1:11">
      <c r="A6877" s="12">
        <v>42500</v>
      </c>
      <c r="B6877">
        <v>2016</v>
      </c>
      <c r="C6877">
        <v>5</v>
      </c>
      <c r="D6877" s="11">
        <v>42491</v>
      </c>
      <c r="E6877" t="s">
        <v>2177</v>
      </c>
      <c r="F6877">
        <v>2</v>
      </c>
      <c r="G6877" t="s">
        <v>63</v>
      </c>
      <c r="H6877" t="s">
        <v>43</v>
      </c>
      <c r="I6877" t="s">
        <v>2191</v>
      </c>
      <c r="J6877" s="10">
        <v>28.25</v>
      </c>
      <c r="K6877" t="b">
        <v>1</v>
      </c>
    </row>
    <row r="6878" spans="1:11">
      <c r="A6878" s="12">
        <v>42500</v>
      </c>
      <c r="B6878">
        <v>2016</v>
      </c>
      <c r="C6878">
        <v>5</v>
      </c>
      <c r="D6878" s="11">
        <v>42491</v>
      </c>
      <c r="E6878" t="s">
        <v>2177</v>
      </c>
      <c r="F6878">
        <v>2</v>
      </c>
      <c r="G6878" t="s">
        <v>63</v>
      </c>
      <c r="H6878" t="s">
        <v>44</v>
      </c>
      <c r="I6878" t="s">
        <v>2192</v>
      </c>
      <c r="J6878" s="10">
        <v>4</v>
      </c>
      <c r="K6878" t="b">
        <v>1</v>
      </c>
    </row>
    <row r="6879" spans="1:11">
      <c r="A6879" s="12">
        <v>42500</v>
      </c>
      <c r="B6879">
        <v>2016</v>
      </c>
      <c r="C6879">
        <v>5</v>
      </c>
      <c r="D6879" s="11">
        <v>42491</v>
      </c>
      <c r="E6879" t="s">
        <v>2177</v>
      </c>
      <c r="F6879">
        <v>2</v>
      </c>
      <c r="G6879" t="s">
        <v>63</v>
      </c>
      <c r="H6879" t="s">
        <v>45</v>
      </c>
      <c r="I6879" t="s">
        <v>2193</v>
      </c>
      <c r="J6879" s="10">
        <v>0</v>
      </c>
      <c r="K6879" t="b">
        <v>1</v>
      </c>
    </row>
    <row r="6880" spans="1:11">
      <c r="A6880" s="12">
        <v>42500</v>
      </c>
      <c r="B6880">
        <v>2016</v>
      </c>
      <c r="C6880">
        <v>5</v>
      </c>
      <c r="D6880" s="11">
        <v>42491</v>
      </c>
      <c r="E6880" t="s">
        <v>2177</v>
      </c>
      <c r="F6880">
        <v>2</v>
      </c>
      <c r="G6880" t="s">
        <v>63</v>
      </c>
      <c r="H6880" t="s">
        <v>46</v>
      </c>
      <c r="I6880" t="s">
        <v>2194</v>
      </c>
      <c r="J6880" s="10">
        <v>2</v>
      </c>
      <c r="K6880" t="b">
        <v>1</v>
      </c>
    </row>
    <row r="6881" spans="1:11">
      <c r="A6881" s="12">
        <v>42500</v>
      </c>
      <c r="B6881">
        <v>2016</v>
      </c>
      <c r="C6881">
        <v>5</v>
      </c>
      <c r="D6881" s="11">
        <v>42491</v>
      </c>
      <c r="E6881" t="s">
        <v>2177</v>
      </c>
      <c r="F6881">
        <v>2</v>
      </c>
      <c r="G6881" t="s">
        <v>63</v>
      </c>
      <c r="H6881" t="s">
        <v>47</v>
      </c>
      <c r="I6881" t="s">
        <v>2195</v>
      </c>
      <c r="J6881" s="10">
        <v>3.5</v>
      </c>
      <c r="K6881" t="b">
        <v>1</v>
      </c>
    </row>
    <row r="6882" spans="1:11">
      <c r="A6882" s="12">
        <v>42501</v>
      </c>
      <c r="B6882">
        <v>2016</v>
      </c>
      <c r="C6882">
        <v>5</v>
      </c>
      <c r="D6882" s="11">
        <v>42491</v>
      </c>
      <c r="E6882" t="s">
        <v>2177</v>
      </c>
      <c r="F6882">
        <v>3</v>
      </c>
      <c r="G6882" t="s">
        <v>65</v>
      </c>
      <c r="H6882" t="s">
        <v>40</v>
      </c>
      <c r="I6882" t="s">
        <v>2188</v>
      </c>
      <c r="J6882" s="10">
        <v>5.33</v>
      </c>
      <c r="K6882" t="b">
        <v>1</v>
      </c>
    </row>
    <row r="6883" spans="1:11">
      <c r="A6883" s="12">
        <v>42501</v>
      </c>
      <c r="B6883">
        <v>2016</v>
      </c>
      <c r="C6883">
        <v>5</v>
      </c>
      <c r="D6883" s="11">
        <v>42491</v>
      </c>
      <c r="E6883" t="s">
        <v>2177</v>
      </c>
      <c r="F6883">
        <v>3</v>
      </c>
      <c r="G6883" t="s">
        <v>65</v>
      </c>
      <c r="H6883" t="s">
        <v>41</v>
      </c>
      <c r="I6883" t="s">
        <v>2189</v>
      </c>
      <c r="J6883" s="10">
        <v>4.66</v>
      </c>
      <c r="K6883" t="b">
        <v>1</v>
      </c>
    </row>
    <row r="6884" spans="1:11">
      <c r="A6884" s="12">
        <v>42501</v>
      </c>
      <c r="B6884">
        <v>2016</v>
      </c>
      <c r="C6884">
        <v>5</v>
      </c>
      <c r="D6884" s="11">
        <v>42491</v>
      </c>
      <c r="E6884" t="s">
        <v>2177</v>
      </c>
      <c r="F6884">
        <v>3</v>
      </c>
      <c r="G6884" t="s">
        <v>65</v>
      </c>
      <c r="H6884" t="s">
        <v>42</v>
      </c>
      <c r="I6884" t="s">
        <v>2190</v>
      </c>
      <c r="J6884" s="10">
        <v>4</v>
      </c>
      <c r="K6884" t="b">
        <v>1</v>
      </c>
    </row>
    <row r="6885" spans="1:11">
      <c r="A6885" s="12">
        <v>42501</v>
      </c>
      <c r="B6885">
        <v>2016</v>
      </c>
      <c r="C6885">
        <v>5</v>
      </c>
      <c r="D6885" s="11">
        <v>42491</v>
      </c>
      <c r="E6885" t="s">
        <v>2177</v>
      </c>
      <c r="F6885">
        <v>3</v>
      </c>
      <c r="G6885" t="s">
        <v>65</v>
      </c>
      <c r="H6885" t="s">
        <v>43</v>
      </c>
      <c r="I6885" t="s">
        <v>2191</v>
      </c>
      <c r="J6885" s="10">
        <v>23</v>
      </c>
      <c r="K6885" t="b">
        <v>1</v>
      </c>
    </row>
    <row r="6886" spans="1:11">
      <c r="A6886" s="12">
        <v>42501</v>
      </c>
      <c r="B6886">
        <v>2016</v>
      </c>
      <c r="C6886">
        <v>5</v>
      </c>
      <c r="D6886" s="11">
        <v>42491</v>
      </c>
      <c r="E6886" t="s">
        <v>2177</v>
      </c>
      <c r="F6886">
        <v>3</v>
      </c>
      <c r="G6886" t="s">
        <v>65</v>
      </c>
      <c r="H6886" t="s">
        <v>44</v>
      </c>
      <c r="I6886" t="s">
        <v>2192</v>
      </c>
      <c r="J6886" s="10">
        <v>13</v>
      </c>
      <c r="K6886" t="b">
        <v>1</v>
      </c>
    </row>
    <row r="6887" spans="1:11">
      <c r="A6887" s="12">
        <v>42501</v>
      </c>
      <c r="B6887">
        <v>2016</v>
      </c>
      <c r="C6887">
        <v>5</v>
      </c>
      <c r="D6887" s="11">
        <v>42491</v>
      </c>
      <c r="E6887" t="s">
        <v>2177</v>
      </c>
      <c r="F6887">
        <v>3</v>
      </c>
      <c r="G6887" t="s">
        <v>65</v>
      </c>
      <c r="H6887" t="s">
        <v>45</v>
      </c>
      <c r="I6887" t="s">
        <v>2193</v>
      </c>
      <c r="J6887" s="10">
        <v>0</v>
      </c>
      <c r="K6887" t="b">
        <v>1</v>
      </c>
    </row>
    <row r="6888" spans="1:11">
      <c r="A6888" s="12">
        <v>42501</v>
      </c>
      <c r="B6888">
        <v>2016</v>
      </c>
      <c r="C6888">
        <v>5</v>
      </c>
      <c r="D6888" s="11">
        <v>42491</v>
      </c>
      <c r="E6888" t="s">
        <v>2177</v>
      </c>
      <c r="F6888">
        <v>3</v>
      </c>
      <c r="G6888" t="s">
        <v>65</v>
      </c>
      <c r="H6888" t="s">
        <v>46</v>
      </c>
      <c r="I6888" t="s">
        <v>2194</v>
      </c>
      <c r="J6888" s="10">
        <v>3</v>
      </c>
      <c r="K6888" t="b">
        <v>1</v>
      </c>
    </row>
    <row r="6889" spans="1:11">
      <c r="A6889" s="12">
        <v>42501</v>
      </c>
      <c r="B6889">
        <v>2016</v>
      </c>
      <c r="C6889">
        <v>5</v>
      </c>
      <c r="D6889" s="11">
        <v>42491</v>
      </c>
      <c r="E6889" t="s">
        <v>2177</v>
      </c>
      <c r="F6889">
        <v>3</v>
      </c>
      <c r="G6889" t="s">
        <v>65</v>
      </c>
      <c r="H6889" t="s">
        <v>47</v>
      </c>
      <c r="I6889" t="s">
        <v>2195</v>
      </c>
      <c r="J6889" s="10">
        <v>2</v>
      </c>
      <c r="K6889" t="b">
        <v>1</v>
      </c>
    </row>
    <row r="6890" spans="1:11">
      <c r="A6890" s="12">
        <v>42502</v>
      </c>
      <c r="B6890">
        <v>2016</v>
      </c>
      <c r="C6890">
        <v>5</v>
      </c>
      <c r="D6890" s="11">
        <v>42491</v>
      </c>
      <c r="E6890" t="s">
        <v>2177</v>
      </c>
      <c r="F6890">
        <v>4</v>
      </c>
      <c r="G6890" t="s">
        <v>53</v>
      </c>
      <c r="H6890" t="s">
        <v>40</v>
      </c>
      <c r="I6890" t="s">
        <v>2188</v>
      </c>
      <c r="J6890" s="10">
        <v>3.01</v>
      </c>
      <c r="K6890" t="b">
        <v>1</v>
      </c>
    </row>
    <row r="6891" spans="1:11">
      <c r="A6891" s="12">
        <v>42502</v>
      </c>
      <c r="B6891">
        <v>2016</v>
      </c>
      <c r="C6891">
        <v>5</v>
      </c>
      <c r="D6891" s="11">
        <v>42491</v>
      </c>
      <c r="E6891" t="s">
        <v>2177</v>
      </c>
      <c r="F6891">
        <v>4</v>
      </c>
      <c r="G6891" t="s">
        <v>53</v>
      </c>
      <c r="H6891" t="s">
        <v>41</v>
      </c>
      <c r="I6891" t="s">
        <v>2189</v>
      </c>
      <c r="J6891" s="10">
        <v>1.759</v>
      </c>
      <c r="K6891" t="b">
        <v>1</v>
      </c>
    </row>
    <row r="6892" spans="1:11">
      <c r="A6892" s="12">
        <v>42502</v>
      </c>
      <c r="B6892">
        <v>2016</v>
      </c>
      <c r="C6892">
        <v>5</v>
      </c>
      <c r="D6892" s="11">
        <v>42491</v>
      </c>
      <c r="E6892" t="s">
        <v>2177</v>
      </c>
      <c r="F6892">
        <v>4</v>
      </c>
      <c r="G6892" t="s">
        <v>53</v>
      </c>
      <c r="H6892" t="s">
        <v>42</v>
      </c>
      <c r="I6892" t="s">
        <v>2190</v>
      </c>
      <c r="J6892" s="10">
        <v>8</v>
      </c>
      <c r="K6892" t="b">
        <v>1</v>
      </c>
    </row>
    <row r="6893" spans="1:11">
      <c r="A6893" s="12">
        <v>42502</v>
      </c>
      <c r="B6893">
        <v>2016</v>
      </c>
      <c r="C6893">
        <v>5</v>
      </c>
      <c r="D6893" s="11">
        <v>42491</v>
      </c>
      <c r="E6893" t="s">
        <v>2177</v>
      </c>
      <c r="F6893">
        <v>4</v>
      </c>
      <c r="G6893" t="s">
        <v>53</v>
      </c>
      <c r="H6893" t="s">
        <v>43</v>
      </c>
      <c r="I6893" t="s">
        <v>2191</v>
      </c>
      <c r="J6893" s="10">
        <v>28.1</v>
      </c>
      <c r="K6893" t="b">
        <v>1</v>
      </c>
    </row>
    <row r="6894" spans="1:11">
      <c r="A6894" s="12">
        <v>42502</v>
      </c>
      <c r="B6894">
        <v>2016</v>
      </c>
      <c r="C6894">
        <v>5</v>
      </c>
      <c r="D6894" s="11">
        <v>42491</v>
      </c>
      <c r="E6894" t="s">
        <v>2177</v>
      </c>
      <c r="F6894">
        <v>4</v>
      </c>
      <c r="G6894" t="s">
        <v>53</v>
      </c>
      <c r="H6894" t="s">
        <v>44</v>
      </c>
      <c r="I6894" t="s">
        <v>2192</v>
      </c>
      <c r="J6894" s="10">
        <v>8</v>
      </c>
      <c r="K6894" t="b">
        <v>1</v>
      </c>
    </row>
    <row r="6895" spans="1:11">
      <c r="A6895" s="12">
        <v>42502</v>
      </c>
      <c r="B6895">
        <v>2016</v>
      </c>
      <c r="C6895">
        <v>5</v>
      </c>
      <c r="D6895" s="11">
        <v>42491</v>
      </c>
      <c r="E6895" t="s">
        <v>2177</v>
      </c>
      <c r="F6895">
        <v>4</v>
      </c>
      <c r="G6895" t="s">
        <v>53</v>
      </c>
      <c r="H6895" t="s">
        <v>45</v>
      </c>
      <c r="I6895" t="s">
        <v>2193</v>
      </c>
      <c r="J6895" s="10">
        <v>1</v>
      </c>
      <c r="K6895" t="b">
        <v>1</v>
      </c>
    </row>
    <row r="6896" spans="1:11">
      <c r="A6896" s="12">
        <v>42502</v>
      </c>
      <c r="B6896">
        <v>2016</v>
      </c>
      <c r="C6896">
        <v>5</v>
      </c>
      <c r="D6896" s="11">
        <v>42491</v>
      </c>
      <c r="E6896" t="s">
        <v>2177</v>
      </c>
      <c r="F6896">
        <v>4</v>
      </c>
      <c r="G6896" t="s">
        <v>53</v>
      </c>
      <c r="H6896" t="s">
        <v>46</v>
      </c>
      <c r="I6896" t="s">
        <v>2194</v>
      </c>
      <c r="J6896" s="10">
        <v>2</v>
      </c>
      <c r="K6896" t="b">
        <v>1</v>
      </c>
    </row>
    <row r="6897" spans="1:11">
      <c r="A6897" s="12">
        <v>42502</v>
      </c>
      <c r="B6897">
        <v>2016</v>
      </c>
      <c r="C6897">
        <v>5</v>
      </c>
      <c r="D6897" s="11">
        <v>42491</v>
      </c>
      <c r="E6897" t="s">
        <v>2177</v>
      </c>
      <c r="F6897">
        <v>4</v>
      </c>
      <c r="G6897" t="s">
        <v>53</v>
      </c>
      <c r="H6897" t="s">
        <v>47</v>
      </c>
      <c r="I6897" t="s">
        <v>2195</v>
      </c>
      <c r="J6897" s="10">
        <v>0</v>
      </c>
      <c r="K6897" t="b">
        <v>1</v>
      </c>
    </row>
    <row r="6898" spans="1:11">
      <c r="A6898" s="12">
        <v>42503</v>
      </c>
      <c r="B6898">
        <v>2016</v>
      </c>
      <c r="C6898">
        <v>5</v>
      </c>
      <c r="D6898" s="11">
        <v>42491</v>
      </c>
      <c r="E6898" t="s">
        <v>2177</v>
      </c>
      <c r="F6898">
        <v>5</v>
      </c>
      <c r="G6898" t="s">
        <v>55</v>
      </c>
      <c r="H6898" t="s">
        <v>40</v>
      </c>
      <c r="I6898" t="s">
        <v>2188</v>
      </c>
      <c r="J6898" s="10">
        <v>2.33</v>
      </c>
      <c r="K6898" t="b">
        <v>1</v>
      </c>
    </row>
    <row r="6899" spans="1:11">
      <c r="A6899" s="12">
        <v>42503</v>
      </c>
      <c r="B6899">
        <v>2016</v>
      </c>
      <c r="C6899">
        <v>5</v>
      </c>
      <c r="D6899" s="11">
        <v>42491</v>
      </c>
      <c r="E6899" t="s">
        <v>2177</v>
      </c>
      <c r="F6899">
        <v>5</v>
      </c>
      <c r="G6899" t="s">
        <v>55</v>
      </c>
      <c r="H6899" t="s">
        <v>41</v>
      </c>
      <c r="I6899" t="s">
        <v>2189</v>
      </c>
      <c r="J6899" s="10">
        <v>2.33</v>
      </c>
      <c r="K6899" t="b">
        <v>1</v>
      </c>
    </row>
    <row r="6900" spans="1:11">
      <c r="A6900" s="12">
        <v>42503</v>
      </c>
      <c r="B6900">
        <v>2016</v>
      </c>
      <c r="C6900">
        <v>5</v>
      </c>
      <c r="D6900" s="11">
        <v>42491</v>
      </c>
      <c r="E6900" t="s">
        <v>2177</v>
      </c>
      <c r="F6900">
        <v>5</v>
      </c>
      <c r="G6900" t="s">
        <v>55</v>
      </c>
      <c r="H6900" t="s">
        <v>42</v>
      </c>
      <c r="I6900" t="s">
        <v>2190</v>
      </c>
      <c r="J6900" s="10">
        <v>3</v>
      </c>
      <c r="K6900" t="b">
        <v>1</v>
      </c>
    </row>
    <row r="6901" spans="1:11">
      <c r="A6901" s="12">
        <v>42503</v>
      </c>
      <c r="B6901">
        <v>2016</v>
      </c>
      <c r="C6901">
        <v>5</v>
      </c>
      <c r="D6901" s="11">
        <v>42491</v>
      </c>
      <c r="E6901" t="s">
        <v>2177</v>
      </c>
      <c r="F6901">
        <v>5</v>
      </c>
      <c r="G6901" t="s">
        <v>55</v>
      </c>
      <c r="H6901" t="s">
        <v>43</v>
      </c>
      <c r="I6901" t="s">
        <v>2191</v>
      </c>
      <c r="J6901" s="10">
        <v>37</v>
      </c>
      <c r="K6901" t="b">
        <v>1</v>
      </c>
    </row>
    <row r="6902" spans="1:11">
      <c r="A6902" s="12">
        <v>42503</v>
      </c>
      <c r="B6902">
        <v>2016</v>
      </c>
      <c r="C6902">
        <v>5</v>
      </c>
      <c r="D6902" s="11">
        <v>42491</v>
      </c>
      <c r="E6902" t="s">
        <v>2177</v>
      </c>
      <c r="F6902">
        <v>5</v>
      </c>
      <c r="G6902" t="s">
        <v>55</v>
      </c>
      <c r="H6902" t="s">
        <v>44</v>
      </c>
      <c r="I6902" t="s">
        <v>2192</v>
      </c>
      <c r="J6902" s="10">
        <v>9</v>
      </c>
      <c r="K6902" t="b">
        <v>1</v>
      </c>
    </row>
    <row r="6903" spans="1:11">
      <c r="A6903" s="12">
        <v>42503</v>
      </c>
      <c r="B6903">
        <v>2016</v>
      </c>
      <c r="C6903">
        <v>5</v>
      </c>
      <c r="D6903" s="11">
        <v>42491</v>
      </c>
      <c r="E6903" t="s">
        <v>2177</v>
      </c>
      <c r="F6903">
        <v>5</v>
      </c>
      <c r="G6903" t="s">
        <v>55</v>
      </c>
      <c r="H6903" t="s">
        <v>45</v>
      </c>
      <c r="I6903" t="s">
        <v>2193</v>
      </c>
      <c r="J6903" s="10">
        <v>0</v>
      </c>
      <c r="K6903" t="b">
        <v>1</v>
      </c>
    </row>
    <row r="6904" spans="1:11">
      <c r="A6904" s="12">
        <v>42503</v>
      </c>
      <c r="B6904">
        <v>2016</v>
      </c>
      <c r="C6904">
        <v>5</v>
      </c>
      <c r="D6904" s="11">
        <v>42491</v>
      </c>
      <c r="E6904" t="s">
        <v>2177</v>
      </c>
      <c r="F6904">
        <v>5</v>
      </c>
      <c r="G6904" t="s">
        <v>55</v>
      </c>
      <c r="H6904" t="s">
        <v>46</v>
      </c>
      <c r="I6904" t="s">
        <v>2194</v>
      </c>
      <c r="J6904" s="10">
        <v>0</v>
      </c>
      <c r="K6904" t="b">
        <v>1</v>
      </c>
    </row>
    <row r="6905" spans="1:11">
      <c r="A6905" s="12">
        <v>42503</v>
      </c>
      <c r="B6905">
        <v>2016</v>
      </c>
      <c r="C6905">
        <v>5</v>
      </c>
      <c r="D6905" s="11">
        <v>42491</v>
      </c>
      <c r="E6905" t="s">
        <v>2177</v>
      </c>
      <c r="F6905">
        <v>5</v>
      </c>
      <c r="G6905" t="s">
        <v>55</v>
      </c>
      <c r="H6905" t="s">
        <v>47</v>
      </c>
      <c r="I6905" t="s">
        <v>2195</v>
      </c>
      <c r="J6905" s="10">
        <v>5</v>
      </c>
      <c r="K6905" t="b">
        <v>1</v>
      </c>
    </row>
    <row r="6906" spans="1:11">
      <c r="A6906" s="12">
        <v>42504</v>
      </c>
      <c r="B6906">
        <v>2016</v>
      </c>
      <c r="C6906">
        <v>5</v>
      </c>
      <c r="D6906" s="11">
        <v>42491</v>
      </c>
      <c r="E6906" t="s">
        <v>2177</v>
      </c>
      <c r="F6906">
        <v>6</v>
      </c>
      <c r="G6906" t="s">
        <v>57</v>
      </c>
      <c r="H6906" t="s">
        <v>40</v>
      </c>
      <c r="I6906" t="s">
        <v>2188</v>
      </c>
      <c r="J6906" s="10">
        <v>5.34</v>
      </c>
      <c r="K6906" t="b">
        <v>1</v>
      </c>
    </row>
    <row r="6907" spans="1:11">
      <c r="A6907" s="12">
        <v>42504</v>
      </c>
      <c r="B6907">
        <v>2016</v>
      </c>
      <c r="C6907">
        <v>5</v>
      </c>
      <c r="D6907" s="11">
        <v>42491</v>
      </c>
      <c r="E6907" t="s">
        <v>2177</v>
      </c>
      <c r="F6907">
        <v>6</v>
      </c>
      <c r="G6907" t="s">
        <v>57</v>
      </c>
      <c r="H6907" t="s">
        <v>41</v>
      </c>
      <c r="I6907" t="s">
        <v>2189</v>
      </c>
      <c r="J6907" s="10">
        <v>4.67</v>
      </c>
      <c r="K6907" t="b">
        <v>1</v>
      </c>
    </row>
    <row r="6908" spans="1:11">
      <c r="A6908" s="12">
        <v>42504</v>
      </c>
      <c r="B6908">
        <v>2016</v>
      </c>
      <c r="C6908">
        <v>5</v>
      </c>
      <c r="D6908" s="11">
        <v>42491</v>
      </c>
      <c r="E6908" t="s">
        <v>2177</v>
      </c>
      <c r="F6908">
        <v>6</v>
      </c>
      <c r="G6908" t="s">
        <v>57</v>
      </c>
      <c r="H6908" t="s">
        <v>42</v>
      </c>
      <c r="I6908" t="s">
        <v>2190</v>
      </c>
      <c r="J6908" s="10">
        <v>5.55</v>
      </c>
      <c r="K6908" t="b">
        <v>1</v>
      </c>
    </row>
    <row r="6909" spans="1:11">
      <c r="A6909" s="12">
        <v>42504</v>
      </c>
      <c r="B6909">
        <v>2016</v>
      </c>
      <c r="C6909">
        <v>5</v>
      </c>
      <c r="D6909" s="11">
        <v>42491</v>
      </c>
      <c r="E6909" t="s">
        <v>2177</v>
      </c>
      <c r="F6909">
        <v>6</v>
      </c>
      <c r="G6909" t="s">
        <v>57</v>
      </c>
      <c r="H6909" t="s">
        <v>43</v>
      </c>
      <c r="I6909" t="s">
        <v>2191</v>
      </c>
      <c r="J6909" s="10">
        <v>31.25</v>
      </c>
      <c r="K6909" t="b">
        <v>1</v>
      </c>
    </row>
    <row r="6910" spans="1:11">
      <c r="A6910" s="12">
        <v>42504</v>
      </c>
      <c r="B6910">
        <v>2016</v>
      </c>
      <c r="C6910">
        <v>5</v>
      </c>
      <c r="D6910" s="11">
        <v>42491</v>
      </c>
      <c r="E6910" t="s">
        <v>2177</v>
      </c>
      <c r="F6910">
        <v>6</v>
      </c>
      <c r="G6910" t="s">
        <v>57</v>
      </c>
      <c r="H6910" t="s">
        <v>44</v>
      </c>
      <c r="I6910" t="s">
        <v>2192</v>
      </c>
      <c r="J6910" s="10">
        <v>13</v>
      </c>
      <c r="K6910" t="b">
        <v>1</v>
      </c>
    </row>
    <row r="6911" spans="1:11">
      <c r="A6911" s="12">
        <v>42504</v>
      </c>
      <c r="B6911">
        <v>2016</v>
      </c>
      <c r="C6911">
        <v>5</v>
      </c>
      <c r="D6911" s="11">
        <v>42491</v>
      </c>
      <c r="E6911" t="s">
        <v>2177</v>
      </c>
      <c r="F6911">
        <v>6</v>
      </c>
      <c r="G6911" t="s">
        <v>57</v>
      </c>
      <c r="H6911" t="s">
        <v>45</v>
      </c>
      <c r="I6911" t="s">
        <v>2193</v>
      </c>
      <c r="J6911" s="10">
        <v>0</v>
      </c>
      <c r="K6911" t="b">
        <v>1</v>
      </c>
    </row>
    <row r="6912" spans="1:11">
      <c r="A6912" s="12">
        <v>42504</v>
      </c>
      <c r="B6912">
        <v>2016</v>
      </c>
      <c r="C6912">
        <v>5</v>
      </c>
      <c r="D6912" s="11">
        <v>42491</v>
      </c>
      <c r="E6912" t="s">
        <v>2177</v>
      </c>
      <c r="F6912">
        <v>6</v>
      </c>
      <c r="G6912" t="s">
        <v>57</v>
      </c>
      <c r="H6912" t="s">
        <v>46</v>
      </c>
      <c r="I6912" t="s">
        <v>2194</v>
      </c>
      <c r="J6912" s="10">
        <v>21</v>
      </c>
      <c r="K6912" t="b">
        <v>1</v>
      </c>
    </row>
    <row r="6913" spans="1:11">
      <c r="A6913" s="12">
        <v>42504</v>
      </c>
      <c r="B6913">
        <v>2016</v>
      </c>
      <c r="C6913">
        <v>5</v>
      </c>
      <c r="D6913" s="11">
        <v>42491</v>
      </c>
      <c r="E6913" t="s">
        <v>2177</v>
      </c>
      <c r="F6913">
        <v>6</v>
      </c>
      <c r="G6913" t="s">
        <v>57</v>
      </c>
      <c r="H6913" t="s">
        <v>47</v>
      </c>
      <c r="I6913" t="s">
        <v>2195</v>
      </c>
      <c r="J6913" s="10">
        <v>1</v>
      </c>
      <c r="K6913" t="b">
        <v>1</v>
      </c>
    </row>
    <row r="6914" spans="1:11">
      <c r="A6914" s="12">
        <v>42505</v>
      </c>
      <c r="B6914">
        <v>2016</v>
      </c>
      <c r="C6914">
        <v>5</v>
      </c>
      <c r="D6914" s="11">
        <v>42491</v>
      </c>
      <c r="E6914" t="s">
        <v>2177</v>
      </c>
      <c r="F6914">
        <v>7</v>
      </c>
      <c r="G6914" t="s">
        <v>59</v>
      </c>
      <c r="H6914" t="s">
        <v>40</v>
      </c>
      <c r="I6914" t="s">
        <v>2188</v>
      </c>
      <c r="J6914" s="10">
        <v>5.33</v>
      </c>
      <c r="K6914" t="b">
        <v>1</v>
      </c>
    </row>
    <row r="6915" spans="1:11">
      <c r="A6915" s="12">
        <v>42505</v>
      </c>
      <c r="B6915">
        <v>2016</v>
      </c>
      <c r="C6915">
        <v>5</v>
      </c>
      <c r="D6915" s="11">
        <v>42491</v>
      </c>
      <c r="E6915" t="s">
        <v>2177</v>
      </c>
      <c r="F6915">
        <v>7</v>
      </c>
      <c r="G6915" t="s">
        <v>59</v>
      </c>
      <c r="H6915" t="s">
        <v>41</v>
      </c>
      <c r="I6915" t="s">
        <v>2189</v>
      </c>
      <c r="J6915" s="10">
        <v>8.188000000000001</v>
      </c>
      <c r="K6915" t="b">
        <v>1</v>
      </c>
    </row>
    <row r="6916" spans="1:11">
      <c r="A6916" s="12">
        <v>42505</v>
      </c>
      <c r="B6916">
        <v>2016</v>
      </c>
      <c r="C6916">
        <v>5</v>
      </c>
      <c r="D6916" s="11">
        <v>42491</v>
      </c>
      <c r="E6916" t="s">
        <v>2177</v>
      </c>
      <c r="F6916">
        <v>7</v>
      </c>
      <c r="G6916" t="s">
        <v>59</v>
      </c>
      <c r="H6916" t="s">
        <v>42</v>
      </c>
      <c r="I6916" t="s">
        <v>2190</v>
      </c>
      <c r="J6916" s="10">
        <v>1.2</v>
      </c>
      <c r="K6916" t="b">
        <v>1</v>
      </c>
    </row>
    <row r="6917" spans="1:11">
      <c r="A6917" s="12">
        <v>42505</v>
      </c>
      <c r="B6917">
        <v>2016</v>
      </c>
      <c r="C6917">
        <v>5</v>
      </c>
      <c r="D6917" s="11">
        <v>42491</v>
      </c>
      <c r="E6917" t="s">
        <v>2177</v>
      </c>
      <c r="F6917">
        <v>7</v>
      </c>
      <c r="G6917" t="s">
        <v>59</v>
      </c>
      <c r="H6917" t="s">
        <v>43</v>
      </c>
      <c r="I6917" t="s">
        <v>2191</v>
      </c>
      <c r="J6917" s="10">
        <v>44.1</v>
      </c>
      <c r="K6917" t="b">
        <v>1</v>
      </c>
    </row>
    <row r="6918" spans="1:11">
      <c r="A6918" s="12">
        <v>42505</v>
      </c>
      <c r="B6918">
        <v>2016</v>
      </c>
      <c r="C6918">
        <v>5</v>
      </c>
      <c r="D6918" s="11">
        <v>42491</v>
      </c>
      <c r="E6918" t="s">
        <v>2177</v>
      </c>
      <c r="F6918">
        <v>7</v>
      </c>
      <c r="G6918" t="s">
        <v>59</v>
      </c>
      <c r="H6918" t="s">
        <v>44</v>
      </c>
      <c r="I6918" t="s">
        <v>2192</v>
      </c>
      <c r="J6918" s="10">
        <v>6</v>
      </c>
      <c r="K6918" t="b">
        <v>1</v>
      </c>
    </row>
    <row r="6919" spans="1:11">
      <c r="A6919" s="12">
        <v>42505</v>
      </c>
      <c r="B6919">
        <v>2016</v>
      </c>
      <c r="C6919">
        <v>5</v>
      </c>
      <c r="D6919" s="11">
        <v>42491</v>
      </c>
      <c r="E6919" t="s">
        <v>2177</v>
      </c>
      <c r="F6919">
        <v>7</v>
      </c>
      <c r="G6919" t="s">
        <v>59</v>
      </c>
      <c r="H6919" t="s">
        <v>45</v>
      </c>
      <c r="I6919" t="s">
        <v>2193</v>
      </c>
      <c r="J6919" s="10">
        <v>0</v>
      </c>
      <c r="K6919" t="b">
        <v>1</v>
      </c>
    </row>
    <row r="6920" spans="1:11">
      <c r="A6920" s="12">
        <v>42505</v>
      </c>
      <c r="B6920">
        <v>2016</v>
      </c>
      <c r="C6920">
        <v>5</v>
      </c>
      <c r="D6920" s="11">
        <v>42491</v>
      </c>
      <c r="E6920" t="s">
        <v>2177</v>
      </c>
      <c r="F6920">
        <v>7</v>
      </c>
      <c r="G6920" t="s">
        <v>59</v>
      </c>
      <c r="H6920" t="s">
        <v>46</v>
      </c>
      <c r="I6920" t="s">
        <v>2194</v>
      </c>
      <c r="J6920" s="10">
        <v>5</v>
      </c>
      <c r="K6920" t="b">
        <v>1</v>
      </c>
    </row>
    <row r="6921" spans="1:11">
      <c r="A6921" s="12">
        <v>42505</v>
      </c>
      <c r="B6921">
        <v>2016</v>
      </c>
      <c r="C6921">
        <v>5</v>
      </c>
      <c r="D6921" s="11">
        <v>42491</v>
      </c>
      <c r="E6921" t="s">
        <v>2177</v>
      </c>
      <c r="F6921">
        <v>7</v>
      </c>
      <c r="G6921" t="s">
        <v>59</v>
      </c>
      <c r="H6921" t="s">
        <v>47</v>
      </c>
      <c r="I6921" t="s">
        <v>2195</v>
      </c>
      <c r="J6921" s="10">
        <v>4</v>
      </c>
      <c r="K6921" t="b">
        <v>1</v>
      </c>
    </row>
    <row r="6922" spans="1:11">
      <c r="A6922" s="12">
        <v>42506</v>
      </c>
      <c r="B6922">
        <v>2016</v>
      </c>
      <c r="C6922">
        <v>5</v>
      </c>
      <c r="D6922" s="11">
        <v>42491</v>
      </c>
      <c r="E6922" t="s">
        <v>2177</v>
      </c>
      <c r="F6922">
        <v>1</v>
      </c>
      <c r="G6922" t="s">
        <v>61</v>
      </c>
      <c r="H6922" t="s">
        <v>40</v>
      </c>
      <c r="I6922" t="s">
        <v>2188</v>
      </c>
      <c r="J6922" s="10">
        <v>5</v>
      </c>
      <c r="K6922" t="b">
        <v>1</v>
      </c>
    </row>
    <row r="6923" spans="1:11">
      <c r="A6923" s="12">
        <v>42506</v>
      </c>
      <c r="B6923">
        <v>2016</v>
      </c>
      <c r="C6923">
        <v>5</v>
      </c>
      <c r="D6923" s="11">
        <v>42491</v>
      </c>
      <c r="E6923" t="s">
        <v>2177</v>
      </c>
      <c r="F6923">
        <v>1</v>
      </c>
      <c r="G6923" t="s">
        <v>61</v>
      </c>
      <c r="H6923" t="s">
        <v>41</v>
      </c>
      <c r="I6923" t="s">
        <v>2189</v>
      </c>
      <c r="J6923" s="10">
        <v>3.66</v>
      </c>
      <c r="K6923" t="b">
        <v>1</v>
      </c>
    </row>
    <row r="6924" spans="1:11">
      <c r="A6924" s="12">
        <v>42506</v>
      </c>
      <c r="B6924">
        <v>2016</v>
      </c>
      <c r="C6924">
        <v>5</v>
      </c>
      <c r="D6924" s="11">
        <v>42491</v>
      </c>
      <c r="E6924" t="s">
        <v>2177</v>
      </c>
      <c r="F6924">
        <v>1</v>
      </c>
      <c r="G6924" t="s">
        <v>61</v>
      </c>
      <c r="H6924" t="s">
        <v>42</v>
      </c>
      <c r="I6924" t="s">
        <v>2190</v>
      </c>
      <c r="J6924" s="10">
        <v>2</v>
      </c>
      <c r="K6924" t="b">
        <v>1</v>
      </c>
    </row>
    <row r="6925" spans="1:11">
      <c r="A6925" s="12">
        <v>42506</v>
      </c>
      <c r="B6925">
        <v>2016</v>
      </c>
      <c r="C6925">
        <v>5</v>
      </c>
      <c r="D6925" s="11">
        <v>42491</v>
      </c>
      <c r="E6925" t="s">
        <v>2177</v>
      </c>
      <c r="F6925">
        <v>1</v>
      </c>
      <c r="G6925" t="s">
        <v>61</v>
      </c>
      <c r="H6925" t="s">
        <v>43</v>
      </c>
      <c r="I6925" t="s">
        <v>2191</v>
      </c>
      <c r="J6925" s="10">
        <v>24</v>
      </c>
      <c r="K6925" t="b">
        <v>1</v>
      </c>
    </row>
    <row r="6926" spans="1:11">
      <c r="A6926" s="12">
        <v>42506</v>
      </c>
      <c r="B6926">
        <v>2016</v>
      </c>
      <c r="C6926">
        <v>5</v>
      </c>
      <c r="D6926" s="11">
        <v>42491</v>
      </c>
      <c r="E6926" t="s">
        <v>2177</v>
      </c>
      <c r="F6926">
        <v>1</v>
      </c>
      <c r="G6926" t="s">
        <v>61</v>
      </c>
      <c r="H6926" t="s">
        <v>44</v>
      </c>
      <c r="I6926" t="s">
        <v>2192</v>
      </c>
      <c r="J6926" s="10">
        <v>17</v>
      </c>
      <c r="K6926" t="b">
        <v>1</v>
      </c>
    </row>
    <row r="6927" spans="1:11">
      <c r="A6927" s="12">
        <v>42506</v>
      </c>
      <c r="B6927">
        <v>2016</v>
      </c>
      <c r="C6927">
        <v>5</v>
      </c>
      <c r="D6927" s="11">
        <v>42491</v>
      </c>
      <c r="E6927" t="s">
        <v>2177</v>
      </c>
      <c r="F6927">
        <v>1</v>
      </c>
      <c r="G6927" t="s">
        <v>61</v>
      </c>
      <c r="H6927" t="s">
        <v>45</v>
      </c>
      <c r="I6927" t="s">
        <v>2193</v>
      </c>
      <c r="J6927" s="10">
        <v>0</v>
      </c>
      <c r="K6927" t="b">
        <v>1</v>
      </c>
    </row>
    <row r="6928" spans="1:11">
      <c r="A6928" s="12">
        <v>42506</v>
      </c>
      <c r="B6928">
        <v>2016</v>
      </c>
      <c r="C6928">
        <v>5</v>
      </c>
      <c r="D6928" s="11">
        <v>42491</v>
      </c>
      <c r="E6928" t="s">
        <v>2177</v>
      </c>
      <c r="F6928">
        <v>1</v>
      </c>
      <c r="G6928" t="s">
        <v>61</v>
      </c>
      <c r="H6928" t="s">
        <v>46</v>
      </c>
      <c r="I6928" t="s">
        <v>2194</v>
      </c>
      <c r="J6928" s="10">
        <v>2</v>
      </c>
      <c r="K6928" t="b">
        <v>1</v>
      </c>
    </row>
    <row r="6929" spans="1:11">
      <c r="A6929" s="12">
        <v>42506</v>
      </c>
      <c r="B6929">
        <v>2016</v>
      </c>
      <c r="C6929">
        <v>5</v>
      </c>
      <c r="D6929" s="11">
        <v>42491</v>
      </c>
      <c r="E6929" t="s">
        <v>2177</v>
      </c>
      <c r="F6929">
        <v>1</v>
      </c>
      <c r="G6929" t="s">
        <v>61</v>
      </c>
      <c r="H6929" t="s">
        <v>47</v>
      </c>
      <c r="I6929" t="s">
        <v>2195</v>
      </c>
      <c r="J6929" s="10">
        <v>3</v>
      </c>
      <c r="K6929" t="b">
        <v>1</v>
      </c>
    </row>
    <row r="6930" spans="1:11">
      <c r="A6930" s="12">
        <v>42507</v>
      </c>
      <c r="B6930">
        <v>2016</v>
      </c>
      <c r="C6930">
        <v>5</v>
      </c>
      <c r="D6930" s="11">
        <v>42491</v>
      </c>
      <c r="E6930" t="s">
        <v>2177</v>
      </c>
      <c r="F6930">
        <v>2</v>
      </c>
      <c r="G6930" t="s">
        <v>63</v>
      </c>
      <c r="H6930" t="s">
        <v>40</v>
      </c>
      <c r="I6930" t="s">
        <v>2188</v>
      </c>
      <c r="J6930" s="10">
        <v>4</v>
      </c>
      <c r="K6930" t="b">
        <v>1</v>
      </c>
    </row>
    <row r="6931" spans="1:11">
      <c r="A6931" s="12">
        <v>42507</v>
      </c>
      <c r="B6931">
        <v>2016</v>
      </c>
      <c r="C6931">
        <v>5</v>
      </c>
      <c r="D6931" s="11">
        <v>42491</v>
      </c>
      <c r="E6931" t="s">
        <v>2177</v>
      </c>
      <c r="F6931">
        <v>2</v>
      </c>
      <c r="G6931" t="s">
        <v>63</v>
      </c>
      <c r="H6931" t="s">
        <v>41</v>
      </c>
      <c r="I6931" t="s">
        <v>2189</v>
      </c>
      <c r="J6931" s="10">
        <v>2.33</v>
      </c>
      <c r="K6931" t="b">
        <v>1</v>
      </c>
    </row>
    <row r="6932" spans="1:11">
      <c r="A6932" s="12">
        <v>42507</v>
      </c>
      <c r="B6932">
        <v>2016</v>
      </c>
      <c r="C6932">
        <v>5</v>
      </c>
      <c r="D6932" s="11">
        <v>42491</v>
      </c>
      <c r="E6932" t="s">
        <v>2177</v>
      </c>
      <c r="F6932">
        <v>2</v>
      </c>
      <c r="G6932" t="s">
        <v>63</v>
      </c>
      <c r="H6932" t="s">
        <v>42</v>
      </c>
      <c r="I6932" t="s">
        <v>2190</v>
      </c>
      <c r="J6932" s="10">
        <v>7.1</v>
      </c>
      <c r="K6932" t="b">
        <v>1</v>
      </c>
    </row>
    <row r="6933" spans="1:11">
      <c r="A6933" s="12">
        <v>42507</v>
      </c>
      <c r="B6933">
        <v>2016</v>
      </c>
      <c r="C6933">
        <v>5</v>
      </c>
      <c r="D6933" s="11">
        <v>42491</v>
      </c>
      <c r="E6933" t="s">
        <v>2177</v>
      </c>
      <c r="F6933">
        <v>2</v>
      </c>
      <c r="G6933" t="s">
        <v>63</v>
      </c>
      <c r="H6933" t="s">
        <v>43</v>
      </c>
      <c r="I6933" t="s">
        <v>2191</v>
      </c>
      <c r="J6933" s="10">
        <v>38.4</v>
      </c>
      <c r="K6933" t="b">
        <v>1</v>
      </c>
    </row>
    <row r="6934" spans="1:11">
      <c r="A6934" s="12">
        <v>42507</v>
      </c>
      <c r="B6934">
        <v>2016</v>
      </c>
      <c r="C6934">
        <v>5</v>
      </c>
      <c r="D6934" s="11">
        <v>42491</v>
      </c>
      <c r="E6934" t="s">
        <v>2177</v>
      </c>
      <c r="F6934">
        <v>2</v>
      </c>
      <c r="G6934" t="s">
        <v>63</v>
      </c>
      <c r="H6934" t="s">
        <v>44</v>
      </c>
      <c r="I6934" t="s">
        <v>2192</v>
      </c>
      <c r="J6934" s="10">
        <v>4</v>
      </c>
      <c r="K6934" t="b">
        <v>1</v>
      </c>
    </row>
    <row r="6935" spans="1:11">
      <c r="A6935" s="12">
        <v>42507</v>
      </c>
      <c r="B6935">
        <v>2016</v>
      </c>
      <c r="C6935">
        <v>5</v>
      </c>
      <c r="D6935" s="11">
        <v>42491</v>
      </c>
      <c r="E6935" t="s">
        <v>2177</v>
      </c>
      <c r="F6935">
        <v>2</v>
      </c>
      <c r="G6935" t="s">
        <v>63</v>
      </c>
      <c r="H6935" t="s">
        <v>45</v>
      </c>
      <c r="I6935" t="s">
        <v>2193</v>
      </c>
      <c r="J6935" s="10">
        <v>0</v>
      </c>
      <c r="K6935" t="b">
        <v>1</v>
      </c>
    </row>
    <row r="6936" spans="1:11">
      <c r="A6936" s="12">
        <v>42507</v>
      </c>
      <c r="B6936">
        <v>2016</v>
      </c>
      <c r="C6936">
        <v>5</v>
      </c>
      <c r="D6936" s="11">
        <v>42491</v>
      </c>
      <c r="E6936" t="s">
        <v>2177</v>
      </c>
      <c r="F6936">
        <v>2</v>
      </c>
      <c r="G6936" t="s">
        <v>63</v>
      </c>
      <c r="H6936" t="s">
        <v>46</v>
      </c>
      <c r="I6936" t="s">
        <v>2194</v>
      </c>
      <c r="J6936" s="10">
        <v>1</v>
      </c>
      <c r="K6936" t="b">
        <v>1</v>
      </c>
    </row>
    <row r="6937" spans="1:11">
      <c r="A6937" s="12">
        <v>42507</v>
      </c>
      <c r="B6937">
        <v>2016</v>
      </c>
      <c r="C6937">
        <v>5</v>
      </c>
      <c r="D6937" s="11">
        <v>42491</v>
      </c>
      <c r="E6937" t="s">
        <v>2177</v>
      </c>
      <c r="F6937">
        <v>2</v>
      </c>
      <c r="G6937" t="s">
        <v>63</v>
      </c>
      <c r="H6937" t="s">
        <v>47</v>
      </c>
      <c r="I6937" t="s">
        <v>2195</v>
      </c>
      <c r="J6937" s="10">
        <v>3.2</v>
      </c>
      <c r="K6937" t="b">
        <v>1</v>
      </c>
    </row>
    <row r="6938" spans="1:11">
      <c r="A6938" s="12">
        <v>42508</v>
      </c>
      <c r="B6938">
        <v>2016</v>
      </c>
      <c r="C6938">
        <v>5</v>
      </c>
      <c r="D6938" s="11">
        <v>42491</v>
      </c>
      <c r="E6938" t="s">
        <v>2177</v>
      </c>
      <c r="F6938">
        <v>3</v>
      </c>
      <c r="G6938" t="s">
        <v>65</v>
      </c>
      <c r="H6938" t="s">
        <v>40</v>
      </c>
      <c r="I6938" t="s">
        <v>2188</v>
      </c>
      <c r="J6938" s="10">
        <v>4</v>
      </c>
      <c r="K6938" t="b">
        <v>1</v>
      </c>
    </row>
    <row r="6939" spans="1:11">
      <c r="A6939" s="12">
        <v>42508</v>
      </c>
      <c r="B6939">
        <v>2016</v>
      </c>
      <c r="C6939">
        <v>5</v>
      </c>
      <c r="D6939" s="11">
        <v>42491</v>
      </c>
      <c r="E6939" t="s">
        <v>2177</v>
      </c>
      <c r="F6939">
        <v>3</v>
      </c>
      <c r="G6939" t="s">
        <v>65</v>
      </c>
      <c r="H6939" t="s">
        <v>41</v>
      </c>
      <c r="I6939" t="s">
        <v>2189</v>
      </c>
      <c r="J6939" s="10">
        <v>5.33</v>
      </c>
      <c r="K6939" t="b">
        <v>1</v>
      </c>
    </row>
    <row r="6940" spans="1:11">
      <c r="A6940" s="12">
        <v>42508</v>
      </c>
      <c r="B6940">
        <v>2016</v>
      </c>
      <c r="C6940">
        <v>5</v>
      </c>
      <c r="D6940" s="11">
        <v>42491</v>
      </c>
      <c r="E6940" t="s">
        <v>2177</v>
      </c>
      <c r="F6940">
        <v>3</v>
      </c>
      <c r="G6940" t="s">
        <v>65</v>
      </c>
      <c r="H6940" t="s">
        <v>42</v>
      </c>
      <c r="I6940" t="s">
        <v>2190</v>
      </c>
      <c r="J6940" s="10">
        <v>5.25</v>
      </c>
      <c r="K6940" t="b">
        <v>1</v>
      </c>
    </row>
    <row r="6941" spans="1:11">
      <c r="A6941" s="12">
        <v>42508</v>
      </c>
      <c r="B6941">
        <v>2016</v>
      </c>
      <c r="C6941">
        <v>5</v>
      </c>
      <c r="D6941" s="11">
        <v>42491</v>
      </c>
      <c r="E6941" t="s">
        <v>2177</v>
      </c>
      <c r="F6941">
        <v>3</v>
      </c>
      <c r="G6941" t="s">
        <v>65</v>
      </c>
      <c r="H6941" t="s">
        <v>43</v>
      </c>
      <c r="I6941" t="s">
        <v>2191</v>
      </c>
      <c r="J6941" s="10">
        <v>35</v>
      </c>
      <c r="K6941" t="b">
        <v>1</v>
      </c>
    </row>
    <row r="6942" spans="1:11">
      <c r="A6942" s="12">
        <v>42508</v>
      </c>
      <c r="B6942">
        <v>2016</v>
      </c>
      <c r="C6942">
        <v>5</v>
      </c>
      <c r="D6942" s="11">
        <v>42491</v>
      </c>
      <c r="E6942" t="s">
        <v>2177</v>
      </c>
      <c r="F6942">
        <v>3</v>
      </c>
      <c r="G6942" t="s">
        <v>65</v>
      </c>
      <c r="H6942" t="s">
        <v>44</v>
      </c>
      <c r="I6942" t="s">
        <v>2192</v>
      </c>
      <c r="J6942" s="10">
        <v>7</v>
      </c>
      <c r="K6942" t="b">
        <v>1</v>
      </c>
    </row>
    <row r="6943" spans="1:11">
      <c r="A6943" s="12">
        <v>42508</v>
      </c>
      <c r="B6943">
        <v>2016</v>
      </c>
      <c r="C6943">
        <v>5</v>
      </c>
      <c r="D6943" s="11">
        <v>42491</v>
      </c>
      <c r="E6943" t="s">
        <v>2177</v>
      </c>
      <c r="F6943">
        <v>3</v>
      </c>
      <c r="G6943" t="s">
        <v>65</v>
      </c>
      <c r="H6943" t="s">
        <v>45</v>
      </c>
      <c r="I6943" t="s">
        <v>2193</v>
      </c>
      <c r="J6943" s="10">
        <v>0</v>
      </c>
      <c r="K6943" t="b">
        <v>1</v>
      </c>
    </row>
    <row r="6944" spans="1:11">
      <c r="A6944" s="12">
        <v>42508</v>
      </c>
      <c r="B6944">
        <v>2016</v>
      </c>
      <c r="C6944">
        <v>5</v>
      </c>
      <c r="D6944" s="11">
        <v>42491</v>
      </c>
      <c r="E6944" t="s">
        <v>2177</v>
      </c>
      <c r="F6944">
        <v>3</v>
      </c>
      <c r="G6944" t="s">
        <v>65</v>
      </c>
      <c r="H6944" t="s">
        <v>46</v>
      </c>
      <c r="I6944" t="s">
        <v>2194</v>
      </c>
      <c r="J6944" s="10">
        <v>1</v>
      </c>
      <c r="K6944" t="b">
        <v>1</v>
      </c>
    </row>
    <row r="6945" spans="1:11">
      <c r="A6945" s="12">
        <v>42508</v>
      </c>
      <c r="B6945">
        <v>2016</v>
      </c>
      <c r="C6945">
        <v>5</v>
      </c>
      <c r="D6945" s="11">
        <v>42491</v>
      </c>
      <c r="E6945" t="s">
        <v>2177</v>
      </c>
      <c r="F6945">
        <v>3</v>
      </c>
      <c r="G6945" t="s">
        <v>65</v>
      </c>
      <c r="H6945" t="s">
        <v>47</v>
      </c>
      <c r="I6945" t="s">
        <v>2195</v>
      </c>
      <c r="J6945" s="10">
        <v>5</v>
      </c>
      <c r="K6945" t="b">
        <v>1</v>
      </c>
    </row>
    <row r="6946" spans="1:11">
      <c r="A6946" s="12">
        <v>42509</v>
      </c>
      <c r="B6946">
        <v>2016</v>
      </c>
      <c r="C6946">
        <v>5</v>
      </c>
      <c r="D6946" s="11">
        <v>42491</v>
      </c>
      <c r="E6946" t="s">
        <v>2177</v>
      </c>
      <c r="F6946">
        <v>4</v>
      </c>
      <c r="G6946" t="s">
        <v>53</v>
      </c>
      <c r="H6946" t="s">
        <v>40</v>
      </c>
      <c r="I6946" t="s">
        <v>2188</v>
      </c>
      <c r="J6946" s="10">
        <v>6.34</v>
      </c>
      <c r="K6946" t="b">
        <v>1</v>
      </c>
    </row>
    <row r="6947" spans="1:11">
      <c r="A6947" s="12">
        <v>42509</v>
      </c>
      <c r="B6947">
        <v>2016</v>
      </c>
      <c r="C6947">
        <v>5</v>
      </c>
      <c r="D6947" s="11">
        <v>42491</v>
      </c>
      <c r="E6947" t="s">
        <v>2177</v>
      </c>
      <c r="F6947">
        <v>4</v>
      </c>
      <c r="G6947" t="s">
        <v>53</v>
      </c>
      <c r="H6947" t="s">
        <v>41</v>
      </c>
      <c r="I6947" t="s">
        <v>2189</v>
      </c>
      <c r="J6947" s="10">
        <v>5.66</v>
      </c>
      <c r="K6947" t="b">
        <v>1</v>
      </c>
    </row>
    <row r="6948" spans="1:11">
      <c r="A6948" s="12">
        <v>42509</v>
      </c>
      <c r="B6948">
        <v>2016</v>
      </c>
      <c r="C6948">
        <v>5</v>
      </c>
      <c r="D6948" s="11">
        <v>42491</v>
      </c>
      <c r="E6948" t="s">
        <v>2177</v>
      </c>
      <c r="F6948">
        <v>4</v>
      </c>
      <c r="G6948" t="s">
        <v>53</v>
      </c>
      <c r="H6948" t="s">
        <v>42</v>
      </c>
      <c r="I6948" t="s">
        <v>2190</v>
      </c>
      <c r="J6948" s="10">
        <v>2</v>
      </c>
      <c r="K6948" t="b">
        <v>1</v>
      </c>
    </row>
    <row r="6949" spans="1:11">
      <c r="A6949" s="12">
        <v>42509</v>
      </c>
      <c r="B6949">
        <v>2016</v>
      </c>
      <c r="C6949">
        <v>5</v>
      </c>
      <c r="D6949" s="11">
        <v>42491</v>
      </c>
      <c r="E6949" t="s">
        <v>2177</v>
      </c>
      <c r="F6949">
        <v>4</v>
      </c>
      <c r="G6949" t="s">
        <v>53</v>
      </c>
      <c r="H6949" t="s">
        <v>43</v>
      </c>
      <c r="I6949" t="s">
        <v>2191</v>
      </c>
      <c r="J6949" s="10">
        <v>30.5</v>
      </c>
      <c r="K6949" t="b">
        <v>1</v>
      </c>
    </row>
    <row r="6950" spans="1:11">
      <c r="A6950" s="12">
        <v>42509</v>
      </c>
      <c r="B6950">
        <v>2016</v>
      </c>
      <c r="C6950">
        <v>5</v>
      </c>
      <c r="D6950" s="11">
        <v>42491</v>
      </c>
      <c r="E6950" t="s">
        <v>2177</v>
      </c>
      <c r="F6950">
        <v>4</v>
      </c>
      <c r="G6950" t="s">
        <v>53</v>
      </c>
      <c r="H6950" t="s">
        <v>44</v>
      </c>
      <c r="I6950" t="s">
        <v>2192</v>
      </c>
      <c r="J6950" s="10">
        <v>10</v>
      </c>
      <c r="K6950" t="b">
        <v>1</v>
      </c>
    </row>
    <row r="6951" spans="1:11">
      <c r="A6951" s="12">
        <v>42509</v>
      </c>
      <c r="B6951">
        <v>2016</v>
      </c>
      <c r="C6951">
        <v>5</v>
      </c>
      <c r="D6951" s="11">
        <v>42491</v>
      </c>
      <c r="E6951" t="s">
        <v>2177</v>
      </c>
      <c r="F6951">
        <v>4</v>
      </c>
      <c r="G6951" t="s">
        <v>53</v>
      </c>
      <c r="H6951" t="s">
        <v>45</v>
      </c>
      <c r="I6951" t="s">
        <v>2193</v>
      </c>
      <c r="J6951" s="10">
        <v>0</v>
      </c>
      <c r="K6951" t="b">
        <v>1</v>
      </c>
    </row>
    <row r="6952" spans="1:11">
      <c r="A6952" s="12">
        <v>42509</v>
      </c>
      <c r="B6952">
        <v>2016</v>
      </c>
      <c r="C6952">
        <v>5</v>
      </c>
      <c r="D6952" s="11">
        <v>42491</v>
      </c>
      <c r="E6952" t="s">
        <v>2177</v>
      </c>
      <c r="F6952">
        <v>4</v>
      </c>
      <c r="G6952" t="s">
        <v>53</v>
      </c>
      <c r="H6952" t="s">
        <v>46</v>
      </c>
      <c r="I6952" t="s">
        <v>2194</v>
      </c>
      <c r="J6952" s="10">
        <v>16</v>
      </c>
      <c r="K6952" t="b">
        <v>1</v>
      </c>
    </row>
    <row r="6953" spans="1:11">
      <c r="A6953" s="12">
        <v>42509</v>
      </c>
      <c r="B6953">
        <v>2016</v>
      </c>
      <c r="C6953">
        <v>5</v>
      </c>
      <c r="D6953" s="11">
        <v>42491</v>
      </c>
      <c r="E6953" t="s">
        <v>2177</v>
      </c>
      <c r="F6953">
        <v>4</v>
      </c>
      <c r="G6953" t="s">
        <v>53</v>
      </c>
      <c r="H6953" t="s">
        <v>47</v>
      </c>
      <c r="I6953" t="s">
        <v>2195</v>
      </c>
      <c r="J6953" s="10">
        <v>3</v>
      </c>
      <c r="K6953" t="b">
        <v>1</v>
      </c>
    </row>
    <row r="6954" spans="1:11">
      <c r="A6954" s="12">
        <v>42510</v>
      </c>
      <c r="B6954">
        <v>2016</v>
      </c>
      <c r="C6954">
        <v>5</v>
      </c>
      <c r="D6954" s="11">
        <v>42491</v>
      </c>
      <c r="E6954" t="s">
        <v>2177</v>
      </c>
      <c r="F6954">
        <v>5</v>
      </c>
      <c r="G6954" t="s">
        <v>55</v>
      </c>
      <c r="H6954" t="s">
        <v>40</v>
      </c>
      <c r="I6954" t="s">
        <v>2188</v>
      </c>
      <c r="J6954" s="10">
        <v>3</v>
      </c>
      <c r="K6954" t="b">
        <v>1</v>
      </c>
    </row>
    <row r="6955" spans="1:11">
      <c r="A6955" s="12">
        <v>42510</v>
      </c>
      <c r="B6955">
        <v>2016</v>
      </c>
      <c r="C6955">
        <v>5</v>
      </c>
      <c r="D6955" s="11">
        <v>42491</v>
      </c>
      <c r="E6955" t="s">
        <v>2177</v>
      </c>
      <c r="F6955">
        <v>5</v>
      </c>
      <c r="G6955" t="s">
        <v>55</v>
      </c>
      <c r="H6955" t="s">
        <v>41</v>
      </c>
      <c r="I6955" t="s">
        <v>2189</v>
      </c>
      <c r="J6955" s="10">
        <v>1.132</v>
      </c>
      <c r="K6955" t="b">
        <v>1</v>
      </c>
    </row>
    <row r="6956" spans="1:11">
      <c r="A6956" s="12">
        <v>42510</v>
      </c>
      <c r="B6956">
        <v>2016</v>
      </c>
      <c r="C6956">
        <v>5</v>
      </c>
      <c r="D6956" s="11">
        <v>42491</v>
      </c>
      <c r="E6956" t="s">
        <v>2177</v>
      </c>
      <c r="F6956">
        <v>5</v>
      </c>
      <c r="G6956" t="s">
        <v>55</v>
      </c>
      <c r="H6956" t="s">
        <v>42</v>
      </c>
      <c r="I6956" t="s">
        <v>2190</v>
      </c>
      <c r="J6956" s="10">
        <v>3</v>
      </c>
      <c r="K6956" t="b">
        <v>1</v>
      </c>
    </row>
    <row r="6957" spans="1:11">
      <c r="A6957" s="12">
        <v>42510</v>
      </c>
      <c r="B6957">
        <v>2016</v>
      </c>
      <c r="C6957">
        <v>5</v>
      </c>
      <c r="D6957" s="11">
        <v>42491</v>
      </c>
      <c r="E6957" t="s">
        <v>2177</v>
      </c>
      <c r="F6957">
        <v>5</v>
      </c>
      <c r="G6957" t="s">
        <v>55</v>
      </c>
      <c r="H6957" t="s">
        <v>43</v>
      </c>
      <c r="I6957" t="s">
        <v>2191</v>
      </c>
      <c r="J6957" s="10">
        <v>14</v>
      </c>
      <c r="K6957" t="b">
        <v>1</v>
      </c>
    </row>
    <row r="6958" spans="1:11">
      <c r="A6958" s="12">
        <v>42510</v>
      </c>
      <c r="B6958">
        <v>2016</v>
      </c>
      <c r="C6958">
        <v>5</v>
      </c>
      <c r="D6958" s="11">
        <v>42491</v>
      </c>
      <c r="E6958" t="s">
        <v>2177</v>
      </c>
      <c r="F6958">
        <v>5</v>
      </c>
      <c r="G6958" t="s">
        <v>55</v>
      </c>
      <c r="H6958" t="s">
        <v>44</v>
      </c>
      <c r="I6958" t="s">
        <v>2192</v>
      </c>
      <c r="J6958" s="10">
        <v>14</v>
      </c>
      <c r="K6958" t="b">
        <v>1</v>
      </c>
    </row>
    <row r="6959" spans="1:11">
      <c r="A6959" s="12">
        <v>42510</v>
      </c>
      <c r="B6959">
        <v>2016</v>
      </c>
      <c r="C6959">
        <v>5</v>
      </c>
      <c r="D6959" s="11">
        <v>42491</v>
      </c>
      <c r="E6959" t="s">
        <v>2177</v>
      </c>
      <c r="F6959">
        <v>5</v>
      </c>
      <c r="G6959" t="s">
        <v>55</v>
      </c>
      <c r="H6959" t="s">
        <v>45</v>
      </c>
      <c r="I6959" t="s">
        <v>2193</v>
      </c>
      <c r="J6959" s="10">
        <v>2</v>
      </c>
      <c r="K6959" t="b">
        <v>1</v>
      </c>
    </row>
    <row r="6960" spans="1:11">
      <c r="A6960" s="12">
        <v>42510</v>
      </c>
      <c r="B6960">
        <v>2016</v>
      </c>
      <c r="C6960">
        <v>5</v>
      </c>
      <c r="D6960" s="11">
        <v>42491</v>
      </c>
      <c r="E6960" t="s">
        <v>2177</v>
      </c>
      <c r="F6960">
        <v>5</v>
      </c>
      <c r="G6960" t="s">
        <v>55</v>
      </c>
      <c r="H6960" t="s">
        <v>46</v>
      </c>
      <c r="I6960" t="s">
        <v>2194</v>
      </c>
      <c r="J6960" s="10">
        <v>9</v>
      </c>
      <c r="K6960" t="b">
        <v>1</v>
      </c>
    </row>
    <row r="6961" spans="1:11">
      <c r="A6961" s="12">
        <v>42510</v>
      </c>
      <c r="B6961">
        <v>2016</v>
      </c>
      <c r="C6961">
        <v>5</v>
      </c>
      <c r="D6961" s="11">
        <v>42491</v>
      </c>
      <c r="E6961" t="s">
        <v>2177</v>
      </c>
      <c r="F6961">
        <v>5</v>
      </c>
      <c r="G6961" t="s">
        <v>55</v>
      </c>
      <c r="H6961" t="s">
        <v>47</v>
      </c>
      <c r="I6961" t="s">
        <v>2195</v>
      </c>
      <c r="J6961" s="10">
        <v>5</v>
      </c>
      <c r="K6961" t="b">
        <v>1</v>
      </c>
    </row>
    <row r="6962" spans="1:11">
      <c r="A6962" s="12">
        <v>42511</v>
      </c>
      <c r="B6962">
        <v>2016</v>
      </c>
      <c r="C6962">
        <v>5</v>
      </c>
      <c r="D6962" s="11">
        <v>42491</v>
      </c>
      <c r="E6962" t="s">
        <v>2177</v>
      </c>
      <c r="F6962">
        <v>6</v>
      </c>
      <c r="G6962" t="s">
        <v>57</v>
      </c>
      <c r="H6962" t="s">
        <v>40</v>
      </c>
      <c r="I6962" t="s">
        <v>2188</v>
      </c>
      <c r="J6962" s="10">
        <v>2</v>
      </c>
      <c r="K6962" t="b">
        <v>1</v>
      </c>
    </row>
    <row r="6963" spans="1:11">
      <c r="A6963" s="12">
        <v>42511</v>
      </c>
      <c r="B6963">
        <v>2016</v>
      </c>
      <c r="C6963">
        <v>5</v>
      </c>
      <c r="D6963" s="11">
        <v>42491</v>
      </c>
      <c r="E6963" t="s">
        <v>2177</v>
      </c>
      <c r="F6963">
        <v>6</v>
      </c>
      <c r="G6963" t="s">
        <v>57</v>
      </c>
      <c r="H6963" t="s">
        <v>41</v>
      </c>
      <c r="I6963" t="s">
        <v>2189</v>
      </c>
      <c r="J6963" s="10">
        <v>5.34</v>
      </c>
      <c r="K6963" t="b">
        <v>1</v>
      </c>
    </row>
    <row r="6964" spans="1:11">
      <c r="A6964" s="12">
        <v>42511</v>
      </c>
      <c r="B6964">
        <v>2016</v>
      </c>
      <c r="C6964">
        <v>5</v>
      </c>
      <c r="D6964" s="11">
        <v>42491</v>
      </c>
      <c r="E6964" t="s">
        <v>2177</v>
      </c>
      <c r="F6964">
        <v>6</v>
      </c>
      <c r="G6964" t="s">
        <v>57</v>
      </c>
      <c r="H6964" t="s">
        <v>42</v>
      </c>
      <c r="I6964" t="s">
        <v>2190</v>
      </c>
      <c r="J6964" s="10">
        <v>5.2</v>
      </c>
      <c r="K6964" t="b">
        <v>1</v>
      </c>
    </row>
    <row r="6965" spans="1:11">
      <c r="A6965" s="12">
        <v>42511</v>
      </c>
      <c r="B6965">
        <v>2016</v>
      </c>
      <c r="C6965">
        <v>5</v>
      </c>
      <c r="D6965" s="11">
        <v>42491</v>
      </c>
      <c r="E6965" t="s">
        <v>2177</v>
      </c>
      <c r="F6965">
        <v>6</v>
      </c>
      <c r="G6965" t="s">
        <v>57</v>
      </c>
      <c r="H6965" t="s">
        <v>43</v>
      </c>
      <c r="I6965" t="s">
        <v>2191</v>
      </c>
      <c r="J6965" s="10">
        <v>42.5</v>
      </c>
      <c r="K6965" t="b">
        <v>1</v>
      </c>
    </row>
    <row r="6966" spans="1:11">
      <c r="A6966" s="12">
        <v>42511</v>
      </c>
      <c r="B6966">
        <v>2016</v>
      </c>
      <c r="C6966">
        <v>5</v>
      </c>
      <c r="D6966" s="11">
        <v>42491</v>
      </c>
      <c r="E6966" t="s">
        <v>2177</v>
      </c>
      <c r="F6966">
        <v>6</v>
      </c>
      <c r="G6966" t="s">
        <v>57</v>
      </c>
      <c r="H6966" t="s">
        <v>44</v>
      </c>
      <c r="I6966" t="s">
        <v>2192</v>
      </c>
      <c r="J6966" s="10">
        <v>3</v>
      </c>
      <c r="K6966" t="b">
        <v>1</v>
      </c>
    </row>
    <row r="6967" spans="1:11">
      <c r="A6967" s="12">
        <v>42511</v>
      </c>
      <c r="B6967">
        <v>2016</v>
      </c>
      <c r="C6967">
        <v>5</v>
      </c>
      <c r="D6967" s="11">
        <v>42491</v>
      </c>
      <c r="E6967" t="s">
        <v>2177</v>
      </c>
      <c r="F6967">
        <v>6</v>
      </c>
      <c r="G6967" t="s">
        <v>57</v>
      </c>
      <c r="H6967" t="s">
        <v>45</v>
      </c>
      <c r="I6967" t="s">
        <v>2193</v>
      </c>
      <c r="J6967" s="10">
        <v>0</v>
      </c>
      <c r="K6967" t="b">
        <v>1</v>
      </c>
    </row>
    <row r="6968" spans="1:11">
      <c r="A6968" s="12">
        <v>42511</v>
      </c>
      <c r="B6968">
        <v>2016</v>
      </c>
      <c r="C6968">
        <v>5</v>
      </c>
      <c r="D6968" s="11">
        <v>42491</v>
      </c>
      <c r="E6968" t="s">
        <v>2177</v>
      </c>
      <c r="F6968">
        <v>6</v>
      </c>
      <c r="G6968" t="s">
        <v>57</v>
      </c>
      <c r="H6968" t="s">
        <v>46</v>
      </c>
      <c r="I6968" t="s">
        <v>2194</v>
      </c>
      <c r="J6968" s="10">
        <v>17</v>
      </c>
      <c r="K6968" t="b">
        <v>1</v>
      </c>
    </row>
    <row r="6969" spans="1:11">
      <c r="A6969" s="12">
        <v>42511</v>
      </c>
      <c r="B6969">
        <v>2016</v>
      </c>
      <c r="C6969">
        <v>5</v>
      </c>
      <c r="D6969" s="11">
        <v>42491</v>
      </c>
      <c r="E6969" t="s">
        <v>2177</v>
      </c>
      <c r="F6969">
        <v>6</v>
      </c>
      <c r="G6969" t="s">
        <v>57</v>
      </c>
      <c r="H6969" t="s">
        <v>47</v>
      </c>
      <c r="I6969" t="s">
        <v>2195</v>
      </c>
      <c r="J6969" s="10">
        <v>5</v>
      </c>
      <c r="K6969" t="b">
        <v>1</v>
      </c>
    </row>
    <row r="6970" spans="1:11">
      <c r="A6970" s="12">
        <v>42512</v>
      </c>
      <c r="B6970">
        <v>2016</v>
      </c>
      <c r="C6970">
        <v>5</v>
      </c>
      <c r="D6970" s="11">
        <v>42491</v>
      </c>
      <c r="E6970" t="s">
        <v>2177</v>
      </c>
      <c r="F6970">
        <v>7</v>
      </c>
      <c r="G6970" t="s">
        <v>59</v>
      </c>
      <c r="H6970" t="s">
        <v>40</v>
      </c>
      <c r="I6970" t="s">
        <v>2188</v>
      </c>
      <c r="J6970" s="10">
        <v>4.34</v>
      </c>
      <c r="K6970" t="b">
        <v>1</v>
      </c>
    </row>
    <row r="6971" spans="1:11">
      <c r="A6971" s="12">
        <v>42512</v>
      </c>
      <c r="B6971">
        <v>2016</v>
      </c>
      <c r="C6971">
        <v>5</v>
      </c>
      <c r="D6971" s="11">
        <v>42491</v>
      </c>
      <c r="E6971" t="s">
        <v>2177</v>
      </c>
      <c r="F6971">
        <v>7</v>
      </c>
      <c r="G6971" t="s">
        <v>59</v>
      </c>
      <c r="H6971" t="s">
        <v>41</v>
      </c>
      <c r="I6971" t="s">
        <v>2189</v>
      </c>
      <c r="J6971" s="10">
        <v>4.51</v>
      </c>
      <c r="K6971" t="b">
        <v>1</v>
      </c>
    </row>
    <row r="6972" spans="1:11">
      <c r="A6972" s="12">
        <v>42512</v>
      </c>
      <c r="B6972">
        <v>2016</v>
      </c>
      <c r="C6972">
        <v>5</v>
      </c>
      <c r="D6972" s="11">
        <v>42491</v>
      </c>
      <c r="E6972" t="s">
        <v>2177</v>
      </c>
      <c r="F6972">
        <v>7</v>
      </c>
      <c r="G6972" t="s">
        <v>59</v>
      </c>
      <c r="H6972" t="s">
        <v>42</v>
      </c>
      <c r="I6972" t="s">
        <v>2190</v>
      </c>
      <c r="J6972" s="10">
        <v>9.050000000000001</v>
      </c>
      <c r="K6972" t="b">
        <v>1</v>
      </c>
    </row>
    <row r="6973" spans="1:11">
      <c r="A6973" s="12">
        <v>42512</v>
      </c>
      <c r="B6973">
        <v>2016</v>
      </c>
      <c r="C6973">
        <v>5</v>
      </c>
      <c r="D6973" s="11">
        <v>42491</v>
      </c>
      <c r="E6973" t="s">
        <v>2177</v>
      </c>
      <c r="F6973">
        <v>7</v>
      </c>
      <c r="G6973" t="s">
        <v>59</v>
      </c>
      <c r="H6973" t="s">
        <v>43</v>
      </c>
      <c r="I6973" t="s">
        <v>2191</v>
      </c>
      <c r="J6973" s="10">
        <v>55.6</v>
      </c>
      <c r="K6973" t="b">
        <v>1</v>
      </c>
    </row>
    <row r="6974" spans="1:11">
      <c r="A6974" s="12">
        <v>42512</v>
      </c>
      <c r="B6974">
        <v>2016</v>
      </c>
      <c r="C6974">
        <v>5</v>
      </c>
      <c r="D6974" s="11">
        <v>42491</v>
      </c>
      <c r="E6974" t="s">
        <v>2177</v>
      </c>
      <c r="F6974">
        <v>7</v>
      </c>
      <c r="G6974" t="s">
        <v>59</v>
      </c>
      <c r="H6974" t="s">
        <v>44</v>
      </c>
      <c r="I6974" t="s">
        <v>2192</v>
      </c>
      <c r="J6974" s="10">
        <v>6</v>
      </c>
      <c r="K6974" t="b">
        <v>1</v>
      </c>
    </row>
    <row r="6975" spans="1:11">
      <c r="A6975" s="12">
        <v>42512</v>
      </c>
      <c r="B6975">
        <v>2016</v>
      </c>
      <c r="C6975">
        <v>5</v>
      </c>
      <c r="D6975" s="11">
        <v>42491</v>
      </c>
      <c r="E6975" t="s">
        <v>2177</v>
      </c>
      <c r="F6975">
        <v>7</v>
      </c>
      <c r="G6975" t="s">
        <v>59</v>
      </c>
      <c r="H6975" t="s">
        <v>45</v>
      </c>
      <c r="I6975" t="s">
        <v>2193</v>
      </c>
      <c r="J6975" s="10">
        <v>1</v>
      </c>
      <c r="K6975" t="b">
        <v>1</v>
      </c>
    </row>
    <row r="6976" spans="1:11">
      <c r="A6976" s="12">
        <v>42512</v>
      </c>
      <c r="B6976">
        <v>2016</v>
      </c>
      <c r="C6976">
        <v>5</v>
      </c>
      <c r="D6976" s="11">
        <v>42491</v>
      </c>
      <c r="E6976" t="s">
        <v>2177</v>
      </c>
      <c r="F6976">
        <v>7</v>
      </c>
      <c r="G6976" t="s">
        <v>59</v>
      </c>
      <c r="H6976" t="s">
        <v>46</v>
      </c>
      <c r="I6976" t="s">
        <v>2194</v>
      </c>
      <c r="J6976" s="10">
        <v>0</v>
      </c>
      <c r="K6976" t="b">
        <v>1</v>
      </c>
    </row>
    <row r="6977" spans="1:11">
      <c r="A6977" s="12">
        <v>42512</v>
      </c>
      <c r="B6977">
        <v>2016</v>
      </c>
      <c r="C6977">
        <v>5</v>
      </c>
      <c r="D6977" s="11">
        <v>42491</v>
      </c>
      <c r="E6977" t="s">
        <v>2177</v>
      </c>
      <c r="F6977">
        <v>7</v>
      </c>
      <c r="G6977" t="s">
        <v>59</v>
      </c>
      <c r="H6977" t="s">
        <v>47</v>
      </c>
      <c r="I6977" t="s">
        <v>2195</v>
      </c>
      <c r="J6977" s="10">
        <v>10</v>
      </c>
      <c r="K6977" t="b">
        <v>1</v>
      </c>
    </row>
    <row r="6978" spans="1:11">
      <c r="A6978" s="12">
        <v>42513</v>
      </c>
      <c r="B6978">
        <v>2016</v>
      </c>
      <c r="C6978">
        <v>5</v>
      </c>
      <c r="D6978" s="11">
        <v>42491</v>
      </c>
      <c r="E6978" t="s">
        <v>2177</v>
      </c>
      <c r="F6978">
        <v>1</v>
      </c>
      <c r="G6978" t="s">
        <v>61</v>
      </c>
      <c r="H6978" t="s">
        <v>40</v>
      </c>
      <c r="I6978" t="s">
        <v>2188</v>
      </c>
      <c r="J6978" s="10">
        <v>5</v>
      </c>
      <c r="K6978" t="b">
        <v>1</v>
      </c>
    </row>
    <row r="6979" spans="1:11">
      <c r="A6979" s="12">
        <v>42513</v>
      </c>
      <c r="B6979">
        <v>2016</v>
      </c>
      <c r="C6979">
        <v>5</v>
      </c>
      <c r="D6979" s="11">
        <v>42491</v>
      </c>
      <c r="E6979" t="s">
        <v>2177</v>
      </c>
      <c r="F6979">
        <v>1</v>
      </c>
      <c r="G6979" t="s">
        <v>61</v>
      </c>
      <c r="H6979" t="s">
        <v>41</v>
      </c>
      <c r="I6979" t="s">
        <v>2189</v>
      </c>
      <c r="J6979" s="10">
        <v>2.363</v>
      </c>
      <c r="K6979" t="b">
        <v>1</v>
      </c>
    </row>
    <row r="6980" spans="1:11">
      <c r="A6980" s="12">
        <v>42513</v>
      </c>
      <c r="B6980">
        <v>2016</v>
      </c>
      <c r="C6980">
        <v>5</v>
      </c>
      <c r="D6980" s="11">
        <v>42491</v>
      </c>
      <c r="E6980" t="s">
        <v>2177</v>
      </c>
      <c r="F6980">
        <v>1</v>
      </c>
      <c r="G6980" t="s">
        <v>61</v>
      </c>
      <c r="H6980" t="s">
        <v>42</v>
      </c>
      <c r="I6980" t="s">
        <v>2190</v>
      </c>
      <c r="J6980" s="10">
        <v>5</v>
      </c>
      <c r="K6980" t="b">
        <v>1</v>
      </c>
    </row>
    <row r="6981" spans="1:11">
      <c r="A6981" s="12">
        <v>42513</v>
      </c>
      <c r="B6981">
        <v>2016</v>
      </c>
      <c r="C6981">
        <v>5</v>
      </c>
      <c r="D6981" s="11">
        <v>42491</v>
      </c>
      <c r="E6981" t="s">
        <v>2177</v>
      </c>
      <c r="F6981">
        <v>1</v>
      </c>
      <c r="G6981" t="s">
        <v>61</v>
      </c>
      <c r="H6981" t="s">
        <v>43</v>
      </c>
      <c r="I6981" t="s">
        <v>2191</v>
      </c>
      <c r="J6981" s="10">
        <v>54.7</v>
      </c>
      <c r="K6981" t="b">
        <v>1</v>
      </c>
    </row>
    <row r="6982" spans="1:11">
      <c r="A6982" s="12">
        <v>42513</v>
      </c>
      <c r="B6982">
        <v>2016</v>
      </c>
      <c r="C6982">
        <v>5</v>
      </c>
      <c r="D6982" s="11">
        <v>42491</v>
      </c>
      <c r="E6982" t="s">
        <v>2177</v>
      </c>
      <c r="F6982">
        <v>1</v>
      </c>
      <c r="G6982" t="s">
        <v>61</v>
      </c>
      <c r="H6982" t="s">
        <v>44</v>
      </c>
      <c r="I6982" t="s">
        <v>2192</v>
      </c>
      <c r="J6982" s="10">
        <v>19</v>
      </c>
      <c r="K6982" t="b">
        <v>1</v>
      </c>
    </row>
    <row r="6983" spans="1:11">
      <c r="A6983" s="12">
        <v>42513</v>
      </c>
      <c r="B6983">
        <v>2016</v>
      </c>
      <c r="C6983">
        <v>5</v>
      </c>
      <c r="D6983" s="11">
        <v>42491</v>
      </c>
      <c r="E6983" t="s">
        <v>2177</v>
      </c>
      <c r="F6983">
        <v>1</v>
      </c>
      <c r="G6983" t="s">
        <v>61</v>
      </c>
      <c r="H6983" t="s">
        <v>45</v>
      </c>
      <c r="I6983" t="s">
        <v>2193</v>
      </c>
      <c r="J6983" s="10">
        <v>0</v>
      </c>
      <c r="K6983" t="b">
        <v>1</v>
      </c>
    </row>
    <row r="6984" spans="1:11">
      <c r="A6984" s="12">
        <v>42513</v>
      </c>
      <c r="B6984">
        <v>2016</v>
      </c>
      <c r="C6984">
        <v>5</v>
      </c>
      <c r="D6984" s="11">
        <v>42491</v>
      </c>
      <c r="E6984" t="s">
        <v>2177</v>
      </c>
      <c r="F6984">
        <v>1</v>
      </c>
      <c r="G6984" t="s">
        <v>61</v>
      </c>
      <c r="H6984" t="s">
        <v>46</v>
      </c>
      <c r="I6984" t="s">
        <v>2194</v>
      </c>
      <c r="J6984" s="10">
        <v>7</v>
      </c>
      <c r="K6984" t="b">
        <v>1</v>
      </c>
    </row>
    <row r="6985" spans="1:11">
      <c r="A6985" s="12">
        <v>42513</v>
      </c>
      <c r="B6985">
        <v>2016</v>
      </c>
      <c r="C6985">
        <v>5</v>
      </c>
      <c r="D6985" s="11">
        <v>42491</v>
      </c>
      <c r="E6985" t="s">
        <v>2177</v>
      </c>
      <c r="F6985">
        <v>1</v>
      </c>
      <c r="G6985" t="s">
        <v>61</v>
      </c>
      <c r="H6985" t="s">
        <v>47</v>
      </c>
      <c r="I6985" t="s">
        <v>2195</v>
      </c>
      <c r="J6985" s="10">
        <v>4</v>
      </c>
      <c r="K6985" t="b">
        <v>1</v>
      </c>
    </row>
    <row r="6986" spans="1:11">
      <c r="A6986" s="12">
        <v>42514</v>
      </c>
      <c r="B6986">
        <v>2016</v>
      </c>
      <c r="C6986">
        <v>5</v>
      </c>
      <c r="D6986" s="11">
        <v>42491</v>
      </c>
      <c r="E6986" t="s">
        <v>2177</v>
      </c>
      <c r="F6986">
        <v>2</v>
      </c>
      <c r="G6986" t="s">
        <v>63</v>
      </c>
      <c r="H6986" t="s">
        <v>40</v>
      </c>
      <c r="I6986" t="s">
        <v>2188</v>
      </c>
      <c r="J6986" s="10">
        <v>12</v>
      </c>
      <c r="K6986" t="b">
        <v>1</v>
      </c>
    </row>
    <row r="6987" spans="1:11">
      <c r="A6987" s="12">
        <v>42514</v>
      </c>
      <c r="B6987">
        <v>2016</v>
      </c>
      <c r="C6987">
        <v>5</v>
      </c>
      <c r="D6987" s="11">
        <v>42491</v>
      </c>
      <c r="E6987" t="s">
        <v>2177</v>
      </c>
      <c r="F6987">
        <v>2</v>
      </c>
      <c r="G6987" t="s">
        <v>63</v>
      </c>
      <c r="H6987" t="s">
        <v>41</v>
      </c>
      <c r="I6987" t="s">
        <v>2189</v>
      </c>
      <c r="J6987" s="10">
        <v>3.167</v>
      </c>
      <c r="K6987" t="b">
        <v>1</v>
      </c>
    </row>
    <row r="6988" spans="1:11">
      <c r="A6988" s="12">
        <v>42514</v>
      </c>
      <c r="B6988">
        <v>2016</v>
      </c>
      <c r="C6988">
        <v>5</v>
      </c>
      <c r="D6988" s="11">
        <v>42491</v>
      </c>
      <c r="E6988" t="s">
        <v>2177</v>
      </c>
      <c r="F6988">
        <v>2</v>
      </c>
      <c r="G6988" t="s">
        <v>63</v>
      </c>
      <c r="H6988" t="s">
        <v>42</v>
      </c>
      <c r="I6988" t="s">
        <v>2190</v>
      </c>
      <c r="J6988" s="10">
        <v>4</v>
      </c>
      <c r="K6988" t="b">
        <v>1</v>
      </c>
    </row>
    <row r="6989" spans="1:11">
      <c r="A6989" s="12">
        <v>42514</v>
      </c>
      <c r="B6989">
        <v>2016</v>
      </c>
      <c r="C6989">
        <v>5</v>
      </c>
      <c r="D6989" s="11">
        <v>42491</v>
      </c>
      <c r="E6989" t="s">
        <v>2177</v>
      </c>
      <c r="F6989">
        <v>2</v>
      </c>
      <c r="G6989" t="s">
        <v>63</v>
      </c>
      <c r="H6989" t="s">
        <v>43</v>
      </c>
      <c r="I6989" t="s">
        <v>2191</v>
      </c>
      <c r="J6989" s="10">
        <v>32</v>
      </c>
      <c r="K6989" t="b">
        <v>1</v>
      </c>
    </row>
    <row r="6990" spans="1:11">
      <c r="A6990" s="12">
        <v>42514</v>
      </c>
      <c r="B6990">
        <v>2016</v>
      </c>
      <c r="C6990">
        <v>5</v>
      </c>
      <c r="D6990" s="11">
        <v>42491</v>
      </c>
      <c r="E6990" t="s">
        <v>2177</v>
      </c>
      <c r="F6990">
        <v>2</v>
      </c>
      <c r="G6990" t="s">
        <v>63</v>
      </c>
      <c r="H6990" t="s">
        <v>44</v>
      </c>
      <c r="I6990" t="s">
        <v>2192</v>
      </c>
      <c r="J6990" s="10">
        <v>3</v>
      </c>
      <c r="K6990" t="b">
        <v>1</v>
      </c>
    </row>
    <row r="6991" spans="1:11">
      <c r="A6991" s="12">
        <v>42514</v>
      </c>
      <c r="B6991">
        <v>2016</v>
      </c>
      <c r="C6991">
        <v>5</v>
      </c>
      <c r="D6991" s="11">
        <v>42491</v>
      </c>
      <c r="E6991" t="s">
        <v>2177</v>
      </c>
      <c r="F6991">
        <v>2</v>
      </c>
      <c r="G6991" t="s">
        <v>63</v>
      </c>
      <c r="H6991" t="s">
        <v>45</v>
      </c>
      <c r="I6991" t="s">
        <v>2193</v>
      </c>
      <c r="J6991" s="10">
        <v>0</v>
      </c>
      <c r="K6991" t="b">
        <v>1</v>
      </c>
    </row>
    <row r="6992" spans="1:11">
      <c r="A6992" s="12">
        <v>42514</v>
      </c>
      <c r="B6992">
        <v>2016</v>
      </c>
      <c r="C6992">
        <v>5</v>
      </c>
      <c r="D6992" s="11">
        <v>42491</v>
      </c>
      <c r="E6992" t="s">
        <v>2177</v>
      </c>
      <c r="F6992">
        <v>2</v>
      </c>
      <c r="G6992" t="s">
        <v>63</v>
      </c>
      <c r="H6992" t="s">
        <v>46</v>
      </c>
      <c r="I6992" t="s">
        <v>2194</v>
      </c>
      <c r="J6992" s="10">
        <v>3</v>
      </c>
      <c r="K6992" t="b">
        <v>1</v>
      </c>
    </row>
    <row r="6993" spans="1:11">
      <c r="A6993" s="12">
        <v>42514</v>
      </c>
      <c r="B6993">
        <v>2016</v>
      </c>
      <c r="C6993">
        <v>5</v>
      </c>
      <c r="D6993" s="11">
        <v>42491</v>
      </c>
      <c r="E6993" t="s">
        <v>2177</v>
      </c>
      <c r="F6993">
        <v>2</v>
      </c>
      <c r="G6993" t="s">
        <v>63</v>
      </c>
      <c r="H6993" t="s">
        <v>47</v>
      </c>
      <c r="I6993" t="s">
        <v>2195</v>
      </c>
      <c r="J6993" s="10">
        <v>2</v>
      </c>
      <c r="K6993" t="b">
        <v>1</v>
      </c>
    </row>
    <row r="6994" spans="1:11">
      <c r="A6994" s="12">
        <v>42515</v>
      </c>
      <c r="B6994">
        <v>2016</v>
      </c>
      <c r="C6994">
        <v>5</v>
      </c>
      <c r="D6994" s="11">
        <v>42491</v>
      </c>
      <c r="E6994" t="s">
        <v>2177</v>
      </c>
      <c r="F6994">
        <v>3</v>
      </c>
      <c r="G6994" t="s">
        <v>65</v>
      </c>
      <c r="H6994" t="s">
        <v>40</v>
      </c>
      <c r="I6994" t="s">
        <v>2188</v>
      </c>
      <c r="J6994" s="10">
        <v>8.34</v>
      </c>
      <c r="K6994" t="b">
        <v>1</v>
      </c>
    </row>
    <row r="6995" spans="1:11">
      <c r="A6995" s="12">
        <v>42515</v>
      </c>
      <c r="B6995">
        <v>2016</v>
      </c>
      <c r="C6995">
        <v>5</v>
      </c>
      <c r="D6995" s="11">
        <v>42491</v>
      </c>
      <c r="E6995" t="s">
        <v>2177</v>
      </c>
      <c r="F6995">
        <v>3</v>
      </c>
      <c r="G6995" t="s">
        <v>65</v>
      </c>
      <c r="H6995" t="s">
        <v>41</v>
      </c>
      <c r="I6995" t="s">
        <v>2189</v>
      </c>
      <c r="J6995" s="10">
        <v>1.67</v>
      </c>
      <c r="K6995" t="b">
        <v>1</v>
      </c>
    </row>
    <row r="6996" spans="1:11">
      <c r="A6996" s="12">
        <v>42515</v>
      </c>
      <c r="B6996">
        <v>2016</v>
      </c>
      <c r="C6996">
        <v>5</v>
      </c>
      <c r="D6996" s="11">
        <v>42491</v>
      </c>
      <c r="E6996" t="s">
        <v>2177</v>
      </c>
      <c r="F6996">
        <v>3</v>
      </c>
      <c r="G6996" t="s">
        <v>65</v>
      </c>
      <c r="H6996" t="s">
        <v>42</v>
      </c>
      <c r="I6996" t="s">
        <v>2190</v>
      </c>
      <c r="J6996" s="10">
        <v>6</v>
      </c>
      <c r="K6996" t="b">
        <v>1</v>
      </c>
    </row>
    <row r="6997" spans="1:11">
      <c r="A6997" s="12">
        <v>42515</v>
      </c>
      <c r="B6997">
        <v>2016</v>
      </c>
      <c r="C6997">
        <v>5</v>
      </c>
      <c r="D6997" s="11">
        <v>42491</v>
      </c>
      <c r="E6997" t="s">
        <v>2177</v>
      </c>
      <c r="F6997">
        <v>3</v>
      </c>
      <c r="G6997" t="s">
        <v>65</v>
      </c>
      <c r="H6997" t="s">
        <v>43</v>
      </c>
      <c r="I6997" t="s">
        <v>2191</v>
      </c>
      <c r="J6997" s="10">
        <v>25.05</v>
      </c>
      <c r="K6997" t="b">
        <v>1</v>
      </c>
    </row>
    <row r="6998" spans="1:11">
      <c r="A6998" s="12">
        <v>42515</v>
      </c>
      <c r="B6998">
        <v>2016</v>
      </c>
      <c r="C6998">
        <v>5</v>
      </c>
      <c r="D6998" s="11">
        <v>42491</v>
      </c>
      <c r="E6998" t="s">
        <v>2177</v>
      </c>
      <c r="F6998">
        <v>3</v>
      </c>
      <c r="G6998" t="s">
        <v>65</v>
      </c>
      <c r="H6998" t="s">
        <v>44</v>
      </c>
      <c r="I6998" t="s">
        <v>2192</v>
      </c>
      <c r="J6998" s="10">
        <v>16</v>
      </c>
      <c r="K6998" t="b">
        <v>1</v>
      </c>
    </row>
    <row r="6999" spans="1:11">
      <c r="A6999" s="12">
        <v>42515</v>
      </c>
      <c r="B6999">
        <v>2016</v>
      </c>
      <c r="C6999">
        <v>5</v>
      </c>
      <c r="D6999" s="11">
        <v>42491</v>
      </c>
      <c r="E6999" t="s">
        <v>2177</v>
      </c>
      <c r="F6999">
        <v>3</v>
      </c>
      <c r="G6999" t="s">
        <v>65</v>
      </c>
      <c r="H6999" t="s">
        <v>45</v>
      </c>
      <c r="I6999" t="s">
        <v>2193</v>
      </c>
      <c r="J6999" s="10">
        <v>1</v>
      </c>
      <c r="K6999" t="b">
        <v>1</v>
      </c>
    </row>
    <row r="7000" spans="1:11">
      <c r="A7000" s="12">
        <v>42515</v>
      </c>
      <c r="B7000">
        <v>2016</v>
      </c>
      <c r="C7000">
        <v>5</v>
      </c>
      <c r="D7000" s="11">
        <v>42491</v>
      </c>
      <c r="E7000" t="s">
        <v>2177</v>
      </c>
      <c r="F7000">
        <v>3</v>
      </c>
      <c r="G7000" t="s">
        <v>65</v>
      </c>
      <c r="H7000" t="s">
        <v>46</v>
      </c>
      <c r="I7000" t="s">
        <v>2194</v>
      </c>
      <c r="J7000" s="10">
        <v>0</v>
      </c>
      <c r="K7000" t="b">
        <v>1</v>
      </c>
    </row>
    <row r="7001" spans="1:11">
      <c r="A7001" s="12">
        <v>42515</v>
      </c>
      <c r="B7001">
        <v>2016</v>
      </c>
      <c r="C7001">
        <v>5</v>
      </c>
      <c r="D7001" s="11">
        <v>42491</v>
      </c>
      <c r="E7001" t="s">
        <v>2177</v>
      </c>
      <c r="F7001">
        <v>3</v>
      </c>
      <c r="G7001" t="s">
        <v>65</v>
      </c>
      <c r="H7001" t="s">
        <v>47</v>
      </c>
      <c r="I7001" t="s">
        <v>2195</v>
      </c>
      <c r="J7001" s="10">
        <v>1.2</v>
      </c>
      <c r="K7001" t="b">
        <v>1</v>
      </c>
    </row>
    <row r="7002" spans="1:11">
      <c r="A7002" s="12">
        <v>42516</v>
      </c>
      <c r="B7002">
        <v>2016</v>
      </c>
      <c r="C7002">
        <v>5</v>
      </c>
      <c r="D7002" s="11">
        <v>42491</v>
      </c>
      <c r="E7002" t="s">
        <v>2177</v>
      </c>
      <c r="F7002">
        <v>4</v>
      </c>
      <c r="G7002" t="s">
        <v>53</v>
      </c>
      <c r="H7002" t="s">
        <v>40</v>
      </c>
      <c r="I7002" t="s">
        <v>2188</v>
      </c>
      <c r="J7002" s="10">
        <v>4.67</v>
      </c>
      <c r="K7002" t="b">
        <v>1</v>
      </c>
    </row>
    <row r="7003" spans="1:11">
      <c r="A7003" s="12">
        <v>42516</v>
      </c>
      <c r="B7003">
        <v>2016</v>
      </c>
      <c r="C7003">
        <v>5</v>
      </c>
      <c r="D7003" s="11">
        <v>42491</v>
      </c>
      <c r="E7003" t="s">
        <v>2177</v>
      </c>
      <c r="F7003">
        <v>4</v>
      </c>
      <c r="G7003" t="s">
        <v>53</v>
      </c>
      <c r="H7003" t="s">
        <v>41</v>
      </c>
      <c r="I7003" t="s">
        <v>2189</v>
      </c>
      <c r="J7003" s="10">
        <v>5.33</v>
      </c>
      <c r="K7003" t="b">
        <v>1</v>
      </c>
    </row>
    <row r="7004" spans="1:11">
      <c r="A7004" s="12">
        <v>42516</v>
      </c>
      <c r="B7004">
        <v>2016</v>
      </c>
      <c r="C7004">
        <v>5</v>
      </c>
      <c r="D7004" s="11">
        <v>42491</v>
      </c>
      <c r="E7004" t="s">
        <v>2177</v>
      </c>
      <c r="F7004">
        <v>4</v>
      </c>
      <c r="G7004" t="s">
        <v>53</v>
      </c>
      <c r="H7004" t="s">
        <v>42</v>
      </c>
      <c r="I7004" t="s">
        <v>2190</v>
      </c>
      <c r="J7004" s="10">
        <v>5.35</v>
      </c>
      <c r="K7004" t="b">
        <v>1</v>
      </c>
    </row>
    <row r="7005" spans="1:11">
      <c r="A7005" s="12">
        <v>42516</v>
      </c>
      <c r="B7005">
        <v>2016</v>
      </c>
      <c r="C7005">
        <v>5</v>
      </c>
      <c r="D7005" s="11">
        <v>42491</v>
      </c>
      <c r="E7005" t="s">
        <v>2177</v>
      </c>
      <c r="F7005">
        <v>4</v>
      </c>
      <c r="G7005" t="s">
        <v>53</v>
      </c>
      <c r="H7005" t="s">
        <v>43</v>
      </c>
      <c r="I7005" t="s">
        <v>2191</v>
      </c>
      <c r="J7005" s="10">
        <v>24.8</v>
      </c>
      <c r="K7005" t="b">
        <v>1</v>
      </c>
    </row>
    <row r="7006" spans="1:11">
      <c r="A7006" s="12">
        <v>42516</v>
      </c>
      <c r="B7006">
        <v>2016</v>
      </c>
      <c r="C7006">
        <v>5</v>
      </c>
      <c r="D7006" s="11">
        <v>42491</v>
      </c>
      <c r="E7006" t="s">
        <v>2177</v>
      </c>
      <c r="F7006">
        <v>4</v>
      </c>
      <c r="G7006" t="s">
        <v>53</v>
      </c>
      <c r="H7006" t="s">
        <v>44</v>
      </c>
      <c r="I7006" t="s">
        <v>2192</v>
      </c>
      <c r="J7006" s="10">
        <v>20</v>
      </c>
      <c r="K7006" t="b">
        <v>1</v>
      </c>
    </row>
    <row r="7007" spans="1:11">
      <c r="A7007" s="12">
        <v>42516</v>
      </c>
      <c r="B7007">
        <v>2016</v>
      </c>
      <c r="C7007">
        <v>5</v>
      </c>
      <c r="D7007" s="11">
        <v>42491</v>
      </c>
      <c r="E7007" t="s">
        <v>2177</v>
      </c>
      <c r="F7007">
        <v>4</v>
      </c>
      <c r="G7007" t="s">
        <v>53</v>
      </c>
      <c r="H7007" t="s">
        <v>45</v>
      </c>
      <c r="I7007" t="s">
        <v>2193</v>
      </c>
      <c r="J7007" s="10">
        <v>1</v>
      </c>
      <c r="K7007" t="b">
        <v>1</v>
      </c>
    </row>
    <row r="7008" spans="1:11">
      <c r="A7008" s="12">
        <v>42516</v>
      </c>
      <c r="B7008">
        <v>2016</v>
      </c>
      <c r="C7008">
        <v>5</v>
      </c>
      <c r="D7008" s="11">
        <v>42491</v>
      </c>
      <c r="E7008" t="s">
        <v>2177</v>
      </c>
      <c r="F7008">
        <v>4</v>
      </c>
      <c r="G7008" t="s">
        <v>53</v>
      </c>
      <c r="H7008" t="s">
        <v>46</v>
      </c>
      <c r="I7008" t="s">
        <v>2194</v>
      </c>
      <c r="J7008" s="10">
        <v>0</v>
      </c>
      <c r="K7008" t="b">
        <v>1</v>
      </c>
    </row>
    <row r="7009" spans="1:11">
      <c r="A7009" s="12">
        <v>42516</v>
      </c>
      <c r="B7009">
        <v>2016</v>
      </c>
      <c r="C7009">
        <v>5</v>
      </c>
      <c r="D7009" s="11">
        <v>42491</v>
      </c>
      <c r="E7009" t="s">
        <v>2177</v>
      </c>
      <c r="F7009">
        <v>4</v>
      </c>
      <c r="G7009" t="s">
        <v>53</v>
      </c>
      <c r="H7009" t="s">
        <v>47</v>
      </c>
      <c r="I7009" t="s">
        <v>2195</v>
      </c>
      <c r="J7009" s="10">
        <v>9</v>
      </c>
      <c r="K7009" t="b">
        <v>1</v>
      </c>
    </row>
    <row r="7010" spans="1:11">
      <c r="A7010" s="12">
        <v>42517</v>
      </c>
      <c r="B7010">
        <v>2016</v>
      </c>
      <c r="C7010">
        <v>5</v>
      </c>
      <c r="D7010" s="11">
        <v>42491</v>
      </c>
      <c r="E7010" t="s">
        <v>2177</v>
      </c>
      <c r="F7010">
        <v>5</v>
      </c>
      <c r="G7010" t="s">
        <v>55</v>
      </c>
      <c r="H7010" t="s">
        <v>40</v>
      </c>
      <c r="I7010" t="s">
        <v>2188</v>
      </c>
      <c r="J7010" s="10">
        <v>8.67</v>
      </c>
      <c r="K7010" t="b">
        <v>1</v>
      </c>
    </row>
    <row r="7011" spans="1:11">
      <c r="A7011" s="12">
        <v>42517</v>
      </c>
      <c r="B7011">
        <v>2016</v>
      </c>
      <c r="C7011">
        <v>5</v>
      </c>
      <c r="D7011" s="11">
        <v>42491</v>
      </c>
      <c r="E7011" t="s">
        <v>2177</v>
      </c>
      <c r="F7011">
        <v>5</v>
      </c>
      <c r="G7011" t="s">
        <v>55</v>
      </c>
      <c r="H7011" t="s">
        <v>41</v>
      </c>
      <c r="I7011" t="s">
        <v>2189</v>
      </c>
      <c r="J7011" s="10">
        <v>2.683</v>
      </c>
      <c r="K7011" t="b">
        <v>1</v>
      </c>
    </row>
    <row r="7012" spans="1:11">
      <c r="A7012" s="12">
        <v>42517</v>
      </c>
      <c r="B7012">
        <v>2016</v>
      </c>
      <c r="C7012">
        <v>5</v>
      </c>
      <c r="D7012" s="11">
        <v>42491</v>
      </c>
      <c r="E7012" t="s">
        <v>2177</v>
      </c>
      <c r="F7012">
        <v>5</v>
      </c>
      <c r="G7012" t="s">
        <v>55</v>
      </c>
      <c r="H7012" t="s">
        <v>42</v>
      </c>
      <c r="I7012" t="s">
        <v>2190</v>
      </c>
      <c r="J7012" s="10">
        <v>5.25</v>
      </c>
      <c r="K7012" t="b">
        <v>1</v>
      </c>
    </row>
    <row r="7013" spans="1:11">
      <c r="A7013" s="12">
        <v>42517</v>
      </c>
      <c r="B7013">
        <v>2016</v>
      </c>
      <c r="C7013">
        <v>5</v>
      </c>
      <c r="D7013" s="11">
        <v>42491</v>
      </c>
      <c r="E7013" t="s">
        <v>2177</v>
      </c>
      <c r="F7013">
        <v>5</v>
      </c>
      <c r="G7013" t="s">
        <v>55</v>
      </c>
      <c r="H7013" t="s">
        <v>43</v>
      </c>
      <c r="I7013" t="s">
        <v>2191</v>
      </c>
      <c r="J7013" s="10">
        <v>17</v>
      </c>
      <c r="K7013" t="b">
        <v>1</v>
      </c>
    </row>
    <row r="7014" spans="1:11">
      <c r="A7014" s="12">
        <v>42517</v>
      </c>
      <c r="B7014">
        <v>2016</v>
      </c>
      <c r="C7014">
        <v>5</v>
      </c>
      <c r="D7014" s="11">
        <v>42491</v>
      </c>
      <c r="E7014" t="s">
        <v>2177</v>
      </c>
      <c r="F7014">
        <v>5</v>
      </c>
      <c r="G7014" t="s">
        <v>55</v>
      </c>
      <c r="H7014" t="s">
        <v>44</v>
      </c>
      <c r="I7014" t="s">
        <v>2192</v>
      </c>
      <c r="J7014" s="10">
        <v>14</v>
      </c>
      <c r="K7014" t="b">
        <v>1</v>
      </c>
    </row>
    <row r="7015" spans="1:11">
      <c r="A7015" s="12">
        <v>42517</v>
      </c>
      <c r="B7015">
        <v>2016</v>
      </c>
      <c r="C7015">
        <v>5</v>
      </c>
      <c r="D7015" s="11">
        <v>42491</v>
      </c>
      <c r="E7015" t="s">
        <v>2177</v>
      </c>
      <c r="F7015">
        <v>5</v>
      </c>
      <c r="G7015" t="s">
        <v>55</v>
      </c>
      <c r="H7015" t="s">
        <v>45</v>
      </c>
      <c r="I7015" t="s">
        <v>2193</v>
      </c>
      <c r="J7015" s="10">
        <v>7</v>
      </c>
      <c r="K7015" t="b">
        <v>1</v>
      </c>
    </row>
    <row r="7016" spans="1:11">
      <c r="A7016" s="12">
        <v>42517</v>
      </c>
      <c r="B7016">
        <v>2016</v>
      </c>
      <c r="C7016">
        <v>5</v>
      </c>
      <c r="D7016" s="11">
        <v>42491</v>
      </c>
      <c r="E7016" t="s">
        <v>2177</v>
      </c>
      <c r="F7016">
        <v>5</v>
      </c>
      <c r="G7016" t="s">
        <v>55</v>
      </c>
      <c r="H7016" t="s">
        <v>46</v>
      </c>
      <c r="I7016" t="s">
        <v>2194</v>
      </c>
      <c r="J7016" s="10">
        <v>2</v>
      </c>
      <c r="K7016" t="b">
        <v>1</v>
      </c>
    </row>
    <row r="7017" spans="1:11">
      <c r="A7017" s="12">
        <v>42517</v>
      </c>
      <c r="B7017">
        <v>2016</v>
      </c>
      <c r="C7017">
        <v>5</v>
      </c>
      <c r="D7017" s="11">
        <v>42491</v>
      </c>
      <c r="E7017" t="s">
        <v>2177</v>
      </c>
      <c r="F7017">
        <v>5</v>
      </c>
      <c r="G7017" t="s">
        <v>55</v>
      </c>
      <c r="H7017" t="s">
        <v>47</v>
      </c>
      <c r="I7017" t="s">
        <v>2195</v>
      </c>
      <c r="J7017" s="10">
        <v>6</v>
      </c>
      <c r="K7017" t="b">
        <v>1</v>
      </c>
    </row>
    <row r="7018" spans="1:11">
      <c r="A7018" s="12">
        <v>42518</v>
      </c>
      <c r="B7018">
        <v>2016</v>
      </c>
      <c r="C7018">
        <v>5</v>
      </c>
      <c r="D7018" s="11">
        <v>42491</v>
      </c>
      <c r="E7018" t="s">
        <v>2177</v>
      </c>
      <c r="F7018">
        <v>6</v>
      </c>
      <c r="G7018" t="s">
        <v>57</v>
      </c>
      <c r="H7018" t="s">
        <v>40</v>
      </c>
      <c r="I7018" t="s">
        <v>2188</v>
      </c>
      <c r="J7018" s="10">
        <v>12.33</v>
      </c>
      <c r="K7018" t="b">
        <v>1</v>
      </c>
    </row>
    <row r="7019" spans="1:11">
      <c r="A7019" s="12">
        <v>42518</v>
      </c>
      <c r="B7019">
        <v>2016</v>
      </c>
      <c r="C7019">
        <v>5</v>
      </c>
      <c r="D7019" s="11">
        <v>42491</v>
      </c>
      <c r="E7019" t="s">
        <v>2177</v>
      </c>
      <c r="F7019">
        <v>6</v>
      </c>
      <c r="G7019" t="s">
        <v>57</v>
      </c>
      <c r="H7019" t="s">
        <v>41</v>
      </c>
      <c r="I7019" t="s">
        <v>2189</v>
      </c>
      <c r="J7019" s="10">
        <v>0.363</v>
      </c>
      <c r="K7019" t="b">
        <v>1</v>
      </c>
    </row>
    <row r="7020" spans="1:11">
      <c r="A7020" s="12">
        <v>42518</v>
      </c>
      <c r="B7020">
        <v>2016</v>
      </c>
      <c r="C7020">
        <v>5</v>
      </c>
      <c r="D7020" s="11">
        <v>42491</v>
      </c>
      <c r="E7020" t="s">
        <v>2177</v>
      </c>
      <c r="F7020">
        <v>6</v>
      </c>
      <c r="G7020" t="s">
        <v>57</v>
      </c>
      <c r="H7020" t="s">
        <v>42</v>
      </c>
      <c r="I7020" t="s">
        <v>2190</v>
      </c>
      <c r="J7020" s="10">
        <v>3</v>
      </c>
      <c r="K7020" t="b">
        <v>1</v>
      </c>
    </row>
    <row r="7021" spans="1:11">
      <c r="A7021" s="12">
        <v>42518</v>
      </c>
      <c r="B7021">
        <v>2016</v>
      </c>
      <c r="C7021">
        <v>5</v>
      </c>
      <c r="D7021" s="11">
        <v>42491</v>
      </c>
      <c r="E7021" t="s">
        <v>2177</v>
      </c>
      <c r="F7021">
        <v>6</v>
      </c>
      <c r="G7021" t="s">
        <v>57</v>
      </c>
      <c r="H7021" t="s">
        <v>43</v>
      </c>
      <c r="I7021" t="s">
        <v>2191</v>
      </c>
      <c r="J7021" s="10">
        <v>43</v>
      </c>
      <c r="K7021" t="b">
        <v>1</v>
      </c>
    </row>
    <row r="7022" spans="1:11">
      <c r="A7022" s="12">
        <v>42518</v>
      </c>
      <c r="B7022">
        <v>2016</v>
      </c>
      <c r="C7022">
        <v>5</v>
      </c>
      <c r="D7022" s="11">
        <v>42491</v>
      </c>
      <c r="E7022" t="s">
        <v>2177</v>
      </c>
      <c r="F7022">
        <v>6</v>
      </c>
      <c r="G7022" t="s">
        <v>57</v>
      </c>
      <c r="H7022" t="s">
        <v>44</v>
      </c>
      <c r="I7022" t="s">
        <v>2192</v>
      </c>
      <c r="J7022" s="10">
        <v>4</v>
      </c>
      <c r="K7022" t="b">
        <v>1</v>
      </c>
    </row>
    <row r="7023" spans="1:11">
      <c r="A7023" s="12">
        <v>42518</v>
      </c>
      <c r="B7023">
        <v>2016</v>
      </c>
      <c r="C7023">
        <v>5</v>
      </c>
      <c r="D7023" s="11">
        <v>42491</v>
      </c>
      <c r="E7023" t="s">
        <v>2177</v>
      </c>
      <c r="F7023">
        <v>6</v>
      </c>
      <c r="G7023" t="s">
        <v>57</v>
      </c>
      <c r="H7023" t="s">
        <v>45</v>
      </c>
      <c r="I7023" t="s">
        <v>2193</v>
      </c>
      <c r="J7023" s="10">
        <v>0</v>
      </c>
      <c r="K7023" t="b">
        <v>1</v>
      </c>
    </row>
    <row r="7024" spans="1:11">
      <c r="A7024" s="12">
        <v>42518</v>
      </c>
      <c r="B7024">
        <v>2016</v>
      </c>
      <c r="C7024">
        <v>5</v>
      </c>
      <c r="D7024" s="11">
        <v>42491</v>
      </c>
      <c r="E7024" t="s">
        <v>2177</v>
      </c>
      <c r="F7024">
        <v>6</v>
      </c>
      <c r="G7024" t="s">
        <v>57</v>
      </c>
      <c r="H7024" t="s">
        <v>46</v>
      </c>
      <c r="I7024" t="s">
        <v>2194</v>
      </c>
      <c r="J7024" s="10">
        <v>4</v>
      </c>
      <c r="K7024" t="b">
        <v>1</v>
      </c>
    </row>
    <row r="7025" spans="1:11">
      <c r="A7025" s="12">
        <v>42518</v>
      </c>
      <c r="B7025">
        <v>2016</v>
      </c>
      <c r="C7025">
        <v>5</v>
      </c>
      <c r="D7025" s="11">
        <v>42491</v>
      </c>
      <c r="E7025" t="s">
        <v>2177</v>
      </c>
      <c r="F7025">
        <v>6</v>
      </c>
      <c r="G7025" t="s">
        <v>57</v>
      </c>
      <c r="H7025" t="s">
        <v>47</v>
      </c>
      <c r="I7025" t="s">
        <v>2195</v>
      </c>
      <c r="J7025" s="10">
        <v>9</v>
      </c>
      <c r="K7025" t="b">
        <v>1</v>
      </c>
    </row>
    <row r="7026" spans="1:11">
      <c r="A7026" s="12">
        <v>42519</v>
      </c>
      <c r="B7026">
        <v>2016</v>
      </c>
      <c r="C7026">
        <v>5</v>
      </c>
      <c r="D7026" s="11">
        <v>42491</v>
      </c>
      <c r="E7026" t="s">
        <v>2177</v>
      </c>
      <c r="F7026">
        <v>7</v>
      </c>
      <c r="G7026" t="s">
        <v>59</v>
      </c>
      <c r="H7026" t="s">
        <v>40</v>
      </c>
      <c r="I7026" t="s">
        <v>2188</v>
      </c>
      <c r="J7026" s="10">
        <v>8.67</v>
      </c>
      <c r="K7026" t="b">
        <v>1</v>
      </c>
    </row>
    <row r="7027" spans="1:11">
      <c r="A7027" s="12">
        <v>42519</v>
      </c>
      <c r="B7027">
        <v>2016</v>
      </c>
      <c r="C7027">
        <v>5</v>
      </c>
      <c r="D7027" s="11">
        <v>42491</v>
      </c>
      <c r="E7027" t="s">
        <v>2177</v>
      </c>
      <c r="F7027">
        <v>7</v>
      </c>
      <c r="G7027" t="s">
        <v>59</v>
      </c>
      <c r="H7027" t="s">
        <v>41</v>
      </c>
      <c r="I7027" t="s">
        <v>2189</v>
      </c>
      <c r="J7027" s="10">
        <v>4.33</v>
      </c>
      <c r="K7027" t="b">
        <v>1</v>
      </c>
    </row>
    <row r="7028" spans="1:11">
      <c r="A7028" s="12">
        <v>42519</v>
      </c>
      <c r="B7028">
        <v>2016</v>
      </c>
      <c r="C7028">
        <v>5</v>
      </c>
      <c r="D7028" s="11">
        <v>42491</v>
      </c>
      <c r="E7028" t="s">
        <v>2177</v>
      </c>
      <c r="F7028">
        <v>7</v>
      </c>
      <c r="G7028" t="s">
        <v>59</v>
      </c>
      <c r="H7028" t="s">
        <v>42</v>
      </c>
      <c r="I7028" t="s">
        <v>2190</v>
      </c>
      <c r="J7028" s="10">
        <v>6</v>
      </c>
      <c r="K7028" t="b">
        <v>1</v>
      </c>
    </row>
    <row r="7029" spans="1:11">
      <c r="A7029" s="12">
        <v>42519</v>
      </c>
      <c r="B7029">
        <v>2016</v>
      </c>
      <c r="C7029">
        <v>5</v>
      </c>
      <c r="D7029" s="11">
        <v>42491</v>
      </c>
      <c r="E7029" t="s">
        <v>2177</v>
      </c>
      <c r="F7029">
        <v>7</v>
      </c>
      <c r="G7029" t="s">
        <v>59</v>
      </c>
      <c r="H7029" t="s">
        <v>43</v>
      </c>
      <c r="I7029" t="s">
        <v>2191</v>
      </c>
      <c r="J7029" s="10">
        <v>31.8</v>
      </c>
      <c r="K7029" t="b">
        <v>1</v>
      </c>
    </row>
    <row r="7030" spans="1:11">
      <c r="A7030" s="12">
        <v>42519</v>
      </c>
      <c r="B7030">
        <v>2016</v>
      </c>
      <c r="C7030">
        <v>5</v>
      </c>
      <c r="D7030" s="11">
        <v>42491</v>
      </c>
      <c r="E7030" t="s">
        <v>2177</v>
      </c>
      <c r="F7030">
        <v>7</v>
      </c>
      <c r="G7030" t="s">
        <v>59</v>
      </c>
      <c r="H7030" t="s">
        <v>44</v>
      </c>
      <c r="I7030" t="s">
        <v>2192</v>
      </c>
      <c r="J7030" s="10">
        <v>2</v>
      </c>
      <c r="K7030" t="b">
        <v>1</v>
      </c>
    </row>
    <row r="7031" spans="1:11">
      <c r="A7031" s="12">
        <v>42519</v>
      </c>
      <c r="B7031">
        <v>2016</v>
      </c>
      <c r="C7031">
        <v>5</v>
      </c>
      <c r="D7031" s="11">
        <v>42491</v>
      </c>
      <c r="E7031" t="s">
        <v>2177</v>
      </c>
      <c r="F7031">
        <v>7</v>
      </c>
      <c r="G7031" t="s">
        <v>59</v>
      </c>
      <c r="H7031" t="s">
        <v>45</v>
      </c>
      <c r="I7031" t="s">
        <v>2193</v>
      </c>
      <c r="J7031" s="10">
        <v>1</v>
      </c>
      <c r="K7031" t="b">
        <v>1</v>
      </c>
    </row>
    <row r="7032" spans="1:11">
      <c r="A7032" s="12">
        <v>42519</v>
      </c>
      <c r="B7032">
        <v>2016</v>
      </c>
      <c r="C7032">
        <v>5</v>
      </c>
      <c r="D7032" s="11">
        <v>42491</v>
      </c>
      <c r="E7032" t="s">
        <v>2177</v>
      </c>
      <c r="F7032">
        <v>7</v>
      </c>
      <c r="G7032" t="s">
        <v>59</v>
      </c>
      <c r="H7032" t="s">
        <v>46</v>
      </c>
      <c r="I7032" t="s">
        <v>2194</v>
      </c>
      <c r="J7032" s="10">
        <v>5</v>
      </c>
      <c r="K7032" t="b">
        <v>1</v>
      </c>
    </row>
    <row r="7033" spans="1:11">
      <c r="A7033" s="12">
        <v>42519</v>
      </c>
      <c r="B7033">
        <v>2016</v>
      </c>
      <c r="C7033">
        <v>5</v>
      </c>
      <c r="D7033" s="11">
        <v>42491</v>
      </c>
      <c r="E7033" t="s">
        <v>2177</v>
      </c>
      <c r="F7033">
        <v>7</v>
      </c>
      <c r="G7033" t="s">
        <v>59</v>
      </c>
      <c r="H7033" t="s">
        <v>47</v>
      </c>
      <c r="I7033" t="s">
        <v>2195</v>
      </c>
      <c r="J7033" s="10">
        <v>9.199999999999999</v>
      </c>
      <c r="K7033" t="b">
        <v>1</v>
      </c>
    </row>
    <row r="7034" spans="1:11">
      <c r="A7034" s="12">
        <v>42520</v>
      </c>
      <c r="B7034">
        <v>2016</v>
      </c>
      <c r="C7034">
        <v>5</v>
      </c>
      <c r="D7034" s="11">
        <v>42491</v>
      </c>
      <c r="E7034" t="s">
        <v>2177</v>
      </c>
      <c r="F7034">
        <v>1</v>
      </c>
      <c r="G7034" t="s">
        <v>61</v>
      </c>
      <c r="H7034" t="s">
        <v>40</v>
      </c>
      <c r="I7034" t="s">
        <v>2188</v>
      </c>
      <c r="J7034" s="10">
        <v>3.34</v>
      </c>
      <c r="K7034" t="b">
        <v>1</v>
      </c>
    </row>
    <row r="7035" spans="1:11">
      <c r="A7035" s="12">
        <v>42520</v>
      </c>
      <c r="B7035">
        <v>2016</v>
      </c>
      <c r="C7035">
        <v>5</v>
      </c>
      <c r="D7035" s="11">
        <v>42491</v>
      </c>
      <c r="E7035" t="s">
        <v>2177</v>
      </c>
      <c r="F7035">
        <v>1</v>
      </c>
      <c r="G7035" t="s">
        <v>61</v>
      </c>
      <c r="H7035" t="s">
        <v>41</v>
      </c>
      <c r="I7035" t="s">
        <v>2189</v>
      </c>
      <c r="J7035" s="10">
        <v>3.023</v>
      </c>
      <c r="K7035" t="b">
        <v>1</v>
      </c>
    </row>
    <row r="7036" spans="1:11">
      <c r="A7036" s="12">
        <v>42520</v>
      </c>
      <c r="B7036">
        <v>2016</v>
      </c>
      <c r="C7036">
        <v>5</v>
      </c>
      <c r="D7036" s="11">
        <v>42491</v>
      </c>
      <c r="E7036" t="s">
        <v>2177</v>
      </c>
      <c r="F7036">
        <v>1</v>
      </c>
      <c r="G7036" t="s">
        <v>61</v>
      </c>
      <c r="H7036" t="s">
        <v>42</v>
      </c>
      <c r="I7036" t="s">
        <v>2190</v>
      </c>
      <c r="J7036" s="10">
        <v>4.1</v>
      </c>
      <c r="K7036" t="b">
        <v>1</v>
      </c>
    </row>
    <row r="7037" spans="1:11">
      <c r="A7037" s="12">
        <v>42520</v>
      </c>
      <c r="B7037">
        <v>2016</v>
      </c>
      <c r="C7037">
        <v>5</v>
      </c>
      <c r="D7037" s="11">
        <v>42491</v>
      </c>
      <c r="E7037" t="s">
        <v>2177</v>
      </c>
      <c r="F7037">
        <v>1</v>
      </c>
      <c r="G7037" t="s">
        <v>61</v>
      </c>
      <c r="H7037" t="s">
        <v>43</v>
      </c>
      <c r="I7037" t="s">
        <v>2191</v>
      </c>
      <c r="J7037" s="10">
        <v>29.4</v>
      </c>
      <c r="K7037" t="b">
        <v>1</v>
      </c>
    </row>
    <row r="7038" spans="1:11">
      <c r="A7038" s="12">
        <v>42520</v>
      </c>
      <c r="B7038">
        <v>2016</v>
      </c>
      <c r="C7038">
        <v>5</v>
      </c>
      <c r="D7038" s="11">
        <v>42491</v>
      </c>
      <c r="E7038" t="s">
        <v>2177</v>
      </c>
      <c r="F7038">
        <v>1</v>
      </c>
      <c r="G7038" t="s">
        <v>61</v>
      </c>
      <c r="H7038" t="s">
        <v>44</v>
      </c>
      <c r="I7038" t="s">
        <v>2192</v>
      </c>
      <c r="J7038" s="10">
        <v>3</v>
      </c>
      <c r="K7038" t="b">
        <v>1</v>
      </c>
    </row>
    <row r="7039" spans="1:11">
      <c r="A7039" s="12">
        <v>42520</v>
      </c>
      <c r="B7039">
        <v>2016</v>
      </c>
      <c r="C7039">
        <v>5</v>
      </c>
      <c r="D7039" s="11">
        <v>42491</v>
      </c>
      <c r="E7039" t="s">
        <v>2177</v>
      </c>
      <c r="F7039">
        <v>1</v>
      </c>
      <c r="G7039" t="s">
        <v>61</v>
      </c>
      <c r="H7039" t="s">
        <v>45</v>
      </c>
      <c r="I7039" t="s">
        <v>2193</v>
      </c>
      <c r="J7039" s="10">
        <v>0</v>
      </c>
      <c r="K7039" t="b">
        <v>1</v>
      </c>
    </row>
    <row r="7040" spans="1:11">
      <c r="A7040" s="12">
        <v>42520</v>
      </c>
      <c r="B7040">
        <v>2016</v>
      </c>
      <c r="C7040">
        <v>5</v>
      </c>
      <c r="D7040" s="11">
        <v>42491</v>
      </c>
      <c r="E7040" t="s">
        <v>2177</v>
      </c>
      <c r="F7040">
        <v>1</v>
      </c>
      <c r="G7040" t="s">
        <v>61</v>
      </c>
      <c r="H7040" t="s">
        <v>46</v>
      </c>
      <c r="I7040" t="s">
        <v>2194</v>
      </c>
      <c r="J7040" s="10">
        <v>7</v>
      </c>
      <c r="K7040" t="b">
        <v>1</v>
      </c>
    </row>
    <row r="7041" spans="1:11">
      <c r="A7041" s="12">
        <v>42520</v>
      </c>
      <c r="B7041">
        <v>2016</v>
      </c>
      <c r="C7041">
        <v>5</v>
      </c>
      <c r="D7041" s="11">
        <v>42491</v>
      </c>
      <c r="E7041" t="s">
        <v>2177</v>
      </c>
      <c r="F7041">
        <v>1</v>
      </c>
      <c r="G7041" t="s">
        <v>61</v>
      </c>
      <c r="H7041" t="s">
        <v>47</v>
      </c>
      <c r="I7041" t="s">
        <v>2195</v>
      </c>
      <c r="J7041" s="10">
        <v>8</v>
      </c>
      <c r="K7041" t="b">
        <v>1</v>
      </c>
    </row>
    <row r="7042" spans="1:11">
      <c r="A7042" s="12">
        <v>42521</v>
      </c>
      <c r="B7042">
        <v>2016</v>
      </c>
      <c r="C7042">
        <v>5</v>
      </c>
      <c r="D7042" s="11">
        <v>42491</v>
      </c>
      <c r="E7042" t="s">
        <v>2177</v>
      </c>
      <c r="F7042">
        <v>2</v>
      </c>
      <c r="G7042" t="s">
        <v>63</v>
      </c>
      <c r="H7042" t="s">
        <v>40</v>
      </c>
      <c r="I7042" t="s">
        <v>2188</v>
      </c>
      <c r="J7042" s="10">
        <v>6</v>
      </c>
      <c r="K7042" t="b">
        <v>1</v>
      </c>
    </row>
    <row r="7043" spans="1:11">
      <c r="A7043" s="12">
        <v>42521</v>
      </c>
      <c r="B7043">
        <v>2016</v>
      </c>
      <c r="C7043">
        <v>5</v>
      </c>
      <c r="D7043" s="11">
        <v>42491</v>
      </c>
      <c r="E7043" t="s">
        <v>2177</v>
      </c>
      <c r="F7043">
        <v>2</v>
      </c>
      <c r="G7043" t="s">
        <v>63</v>
      </c>
      <c r="H7043" t="s">
        <v>41</v>
      </c>
      <c r="I7043" t="s">
        <v>2189</v>
      </c>
      <c r="J7043" s="10">
        <v>3.33</v>
      </c>
      <c r="K7043" t="b">
        <v>1</v>
      </c>
    </row>
    <row r="7044" spans="1:11">
      <c r="A7044" s="12">
        <v>42521</v>
      </c>
      <c r="B7044">
        <v>2016</v>
      </c>
      <c r="C7044">
        <v>5</v>
      </c>
      <c r="D7044" s="11">
        <v>42491</v>
      </c>
      <c r="E7044" t="s">
        <v>2177</v>
      </c>
      <c r="F7044">
        <v>2</v>
      </c>
      <c r="G7044" t="s">
        <v>63</v>
      </c>
      <c r="H7044" t="s">
        <v>42</v>
      </c>
      <c r="I7044" t="s">
        <v>2190</v>
      </c>
      <c r="J7044" s="10">
        <v>3.5</v>
      </c>
      <c r="K7044" t="b">
        <v>1</v>
      </c>
    </row>
    <row r="7045" spans="1:11">
      <c r="A7045" s="12">
        <v>42521</v>
      </c>
      <c r="B7045">
        <v>2016</v>
      </c>
      <c r="C7045">
        <v>5</v>
      </c>
      <c r="D7045" s="11">
        <v>42491</v>
      </c>
      <c r="E7045" t="s">
        <v>2177</v>
      </c>
      <c r="F7045">
        <v>2</v>
      </c>
      <c r="G7045" t="s">
        <v>63</v>
      </c>
      <c r="H7045" t="s">
        <v>43</v>
      </c>
      <c r="I7045" t="s">
        <v>2191</v>
      </c>
      <c r="J7045" s="10">
        <v>21</v>
      </c>
      <c r="K7045" t="b">
        <v>1</v>
      </c>
    </row>
    <row r="7046" spans="1:11">
      <c r="A7046" s="12">
        <v>42521</v>
      </c>
      <c r="B7046">
        <v>2016</v>
      </c>
      <c r="C7046">
        <v>5</v>
      </c>
      <c r="D7046" s="11">
        <v>42491</v>
      </c>
      <c r="E7046" t="s">
        <v>2177</v>
      </c>
      <c r="F7046">
        <v>2</v>
      </c>
      <c r="G7046" t="s">
        <v>63</v>
      </c>
      <c r="H7046" t="s">
        <v>44</v>
      </c>
      <c r="I7046" t="s">
        <v>2192</v>
      </c>
      <c r="J7046" s="10">
        <v>3</v>
      </c>
      <c r="K7046" t="b">
        <v>1</v>
      </c>
    </row>
    <row r="7047" spans="1:11">
      <c r="A7047" s="12">
        <v>42521</v>
      </c>
      <c r="B7047">
        <v>2016</v>
      </c>
      <c r="C7047">
        <v>5</v>
      </c>
      <c r="D7047" s="11">
        <v>42491</v>
      </c>
      <c r="E7047" t="s">
        <v>2177</v>
      </c>
      <c r="F7047">
        <v>2</v>
      </c>
      <c r="G7047" t="s">
        <v>63</v>
      </c>
      <c r="H7047" t="s">
        <v>45</v>
      </c>
      <c r="I7047" t="s">
        <v>2193</v>
      </c>
      <c r="J7047" s="10">
        <v>0</v>
      </c>
      <c r="K7047" t="b">
        <v>1</v>
      </c>
    </row>
    <row r="7048" spans="1:11">
      <c r="A7048" s="12">
        <v>42521</v>
      </c>
      <c r="B7048">
        <v>2016</v>
      </c>
      <c r="C7048">
        <v>5</v>
      </c>
      <c r="D7048" s="11">
        <v>42491</v>
      </c>
      <c r="E7048" t="s">
        <v>2177</v>
      </c>
      <c r="F7048">
        <v>2</v>
      </c>
      <c r="G7048" t="s">
        <v>63</v>
      </c>
      <c r="H7048" t="s">
        <v>46</v>
      </c>
      <c r="I7048" t="s">
        <v>2194</v>
      </c>
      <c r="J7048" s="10">
        <v>13</v>
      </c>
      <c r="K7048" t="b">
        <v>1</v>
      </c>
    </row>
    <row r="7049" spans="1:11">
      <c r="A7049" s="12">
        <v>42521</v>
      </c>
      <c r="B7049">
        <v>2016</v>
      </c>
      <c r="C7049">
        <v>5</v>
      </c>
      <c r="D7049" s="11">
        <v>42491</v>
      </c>
      <c r="E7049" t="s">
        <v>2177</v>
      </c>
      <c r="F7049">
        <v>2</v>
      </c>
      <c r="G7049" t="s">
        <v>63</v>
      </c>
      <c r="H7049" t="s">
        <v>47</v>
      </c>
      <c r="I7049" t="s">
        <v>2195</v>
      </c>
      <c r="J7049" s="10">
        <v>2</v>
      </c>
      <c r="K7049" t="b">
        <v>1</v>
      </c>
    </row>
    <row r="7050" spans="1:11">
      <c r="A7050" s="12">
        <v>42522</v>
      </c>
      <c r="B7050">
        <v>2016</v>
      </c>
      <c r="C7050">
        <v>6</v>
      </c>
      <c r="D7050" s="11">
        <v>42522</v>
      </c>
      <c r="E7050" t="s">
        <v>2178</v>
      </c>
      <c r="F7050">
        <v>3</v>
      </c>
      <c r="G7050" t="s">
        <v>65</v>
      </c>
      <c r="H7050" t="s">
        <v>40</v>
      </c>
      <c r="I7050" t="s">
        <v>2188</v>
      </c>
      <c r="J7050" s="10">
        <v>9</v>
      </c>
      <c r="K7050" t="b">
        <v>1</v>
      </c>
    </row>
    <row r="7051" spans="1:11">
      <c r="A7051" s="12">
        <v>42522</v>
      </c>
      <c r="B7051">
        <v>2016</v>
      </c>
      <c r="C7051">
        <v>6</v>
      </c>
      <c r="D7051" s="11">
        <v>42522</v>
      </c>
      <c r="E7051" t="s">
        <v>2178</v>
      </c>
      <c r="F7051">
        <v>3</v>
      </c>
      <c r="G7051" t="s">
        <v>65</v>
      </c>
      <c r="H7051" t="s">
        <v>41</v>
      </c>
      <c r="I7051" t="s">
        <v>2189</v>
      </c>
      <c r="J7051" s="10">
        <v>1.1</v>
      </c>
      <c r="K7051" t="b">
        <v>1</v>
      </c>
    </row>
    <row r="7052" spans="1:11">
      <c r="A7052" s="12">
        <v>42522</v>
      </c>
      <c r="B7052">
        <v>2016</v>
      </c>
      <c r="C7052">
        <v>6</v>
      </c>
      <c r="D7052" s="11">
        <v>42522</v>
      </c>
      <c r="E7052" t="s">
        <v>2178</v>
      </c>
      <c r="F7052">
        <v>3</v>
      </c>
      <c r="G7052" t="s">
        <v>65</v>
      </c>
      <c r="H7052" t="s">
        <v>42</v>
      </c>
      <c r="I7052" t="s">
        <v>2190</v>
      </c>
      <c r="J7052" s="10">
        <v>2</v>
      </c>
      <c r="K7052" t="b">
        <v>1</v>
      </c>
    </row>
    <row r="7053" spans="1:11">
      <c r="A7053" s="12">
        <v>42522</v>
      </c>
      <c r="B7053">
        <v>2016</v>
      </c>
      <c r="C7053">
        <v>6</v>
      </c>
      <c r="D7053" s="11">
        <v>42522</v>
      </c>
      <c r="E7053" t="s">
        <v>2178</v>
      </c>
      <c r="F7053">
        <v>3</v>
      </c>
      <c r="G7053" t="s">
        <v>65</v>
      </c>
      <c r="H7053" t="s">
        <v>43</v>
      </c>
      <c r="I7053" t="s">
        <v>2191</v>
      </c>
      <c r="J7053" s="10">
        <v>20</v>
      </c>
      <c r="K7053" t="b">
        <v>1</v>
      </c>
    </row>
    <row r="7054" spans="1:11">
      <c r="A7054" s="12">
        <v>42522</v>
      </c>
      <c r="B7054">
        <v>2016</v>
      </c>
      <c r="C7054">
        <v>6</v>
      </c>
      <c r="D7054" s="11">
        <v>42522</v>
      </c>
      <c r="E7054" t="s">
        <v>2178</v>
      </c>
      <c r="F7054">
        <v>3</v>
      </c>
      <c r="G7054" t="s">
        <v>65</v>
      </c>
      <c r="H7054" t="s">
        <v>44</v>
      </c>
      <c r="I7054" t="s">
        <v>2192</v>
      </c>
      <c r="J7054" s="10">
        <v>11</v>
      </c>
      <c r="K7054" t="b">
        <v>1</v>
      </c>
    </row>
    <row r="7055" spans="1:11">
      <c r="A7055" s="12">
        <v>42522</v>
      </c>
      <c r="B7055">
        <v>2016</v>
      </c>
      <c r="C7055">
        <v>6</v>
      </c>
      <c r="D7055" s="11">
        <v>42522</v>
      </c>
      <c r="E7055" t="s">
        <v>2178</v>
      </c>
      <c r="F7055">
        <v>3</v>
      </c>
      <c r="G7055" t="s">
        <v>65</v>
      </c>
      <c r="H7055" t="s">
        <v>45</v>
      </c>
      <c r="I7055" t="s">
        <v>2193</v>
      </c>
      <c r="J7055" s="10">
        <v>0</v>
      </c>
      <c r="K7055" t="b">
        <v>1</v>
      </c>
    </row>
    <row r="7056" spans="1:11">
      <c r="A7056" s="12">
        <v>42522</v>
      </c>
      <c r="B7056">
        <v>2016</v>
      </c>
      <c r="C7056">
        <v>6</v>
      </c>
      <c r="D7056" s="11">
        <v>42522</v>
      </c>
      <c r="E7056" t="s">
        <v>2178</v>
      </c>
      <c r="F7056">
        <v>3</v>
      </c>
      <c r="G7056" t="s">
        <v>65</v>
      </c>
      <c r="H7056" t="s">
        <v>46</v>
      </c>
      <c r="I7056" t="s">
        <v>2194</v>
      </c>
      <c r="J7056" s="10">
        <v>7</v>
      </c>
      <c r="K7056" t="b">
        <v>1</v>
      </c>
    </row>
    <row r="7057" spans="1:11">
      <c r="A7057" s="12">
        <v>42522</v>
      </c>
      <c r="B7057">
        <v>2016</v>
      </c>
      <c r="C7057">
        <v>6</v>
      </c>
      <c r="D7057" s="11">
        <v>42522</v>
      </c>
      <c r="E7057" t="s">
        <v>2178</v>
      </c>
      <c r="F7057">
        <v>3</v>
      </c>
      <c r="G7057" t="s">
        <v>65</v>
      </c>
      <c r="H7057" t="s">
        <v>47</v>
      </c>
      <c r="I7057" t="s">
        <v>2195</v>
      </c>
      <c r="J7057" s="10">
        <v>5</v>
      </c>
      <c r="K7057" t="b">
        <v>1</v>
      </c>
    </row>
    <row r="7058" spans="1:11">
      <c r="A7058" s="12">
        <v>42523</v>
      </c>
      <c r="B7058">
        <v>2016</v>
      </c>
      <c r="C7058">
        <v>6</v>
      </c>
      <c r="D7058" s="11">
        <v>42522</v>
      </c>
      <c r="E7058" t="s">
        <v>2178</v>
      </c>
      <c r="F7058">
        <v>4</v>
      </c>
      <c r="G7058" t="s">
        <v>53</v>
      </c>
      <c r="H7058" t="s">
        <v>40</v>
      </c>
      <c r="I7058" t="s">
        <v>2188</v>
      </c>
      <c r="J7058" s="10">
        <v>2.33</v>
      </c>
      <c r="K7058" t="b">
        <v>1</v>
      </c>
    </row>
    <row r="7059" spans="1:11">
      <c r="A7059" s="12">
        <v>42523</v>
      </c>
      <c r="B7059">
        <v>2016</v>
      </c>
      <c r="C7059">
        <v>6</v>
      </c>
      <c r="D7059" s="11">
        <v>42522</v>
      </c>
      <c r="E7059" t="s">
        <v>2178</v>
      </c>
      <c r="F7059">
        <v>4</v>
      </c>
      <c r="G7059" t="s">
        <v>53</v>
      </c>
      <c r="H7059" t="s">
        <v>41</v>
      </c>
      <c r="I7059" t="s">
        <v>2189</v>
      </c>
      <c r="J7059" s="10">
        <v>6</v>
      </c>
      <c r="K7059" t="b">
        <v>1</v>
      </c>
    </row>
    <row r="7060" spans="1:11">
      <c r="A7060" s="12">
        <v>42523</v>
      </c>
      <c r="B7060">
        <v>2016</v>
      </c>
      <c r="C7060">
        <v>6</v>
      </c>
      <c r="D7060" s="11">
        <v>42522</v>
      </c>
      <c r="E7060" t="s">
        <v>2178</v>
      </c>
      <c r="F7060">
        <v>4</v>
      </c>
      <c r="G7060" t="s">
        <v>53</v>
      </c>
      <c r="H7060" t="s">
        <v>42</v>
      </c>
      <c r="I7060" t="s">
        <v>2190</v>
      </c>
      <c r="J7060" s="10">
        <v>1.05</v>
      </c>
      <c r="K7060" t="b">
        <v>1</v>
      </c>
    </row>
    <row r="7061" spans="1:11">
      <c r="A7061" s="12">
        <v>42523</v>
      </c>
      <c r="B7061">
        <v>2016</v>
      </c>
      <c r="C7061">
        <v>6</v>
      </c>
      <c r="D7061" s="11">
        <v>42522</v>
      </c>
      <c r="E7061" t="s">
        <v>2178</v>
      </c>
      <c r="F7061">
        <v>4</v>
      </c>
      <c r="G7061" t="s">
        <v>53</v>
      </c>
      <c r="H7061" t="s">
        <v>43</v>
      </c>
      <c r="I7061" t="s">
        <v>2191</v>
      </c>
      <c r="J7061" s="10">
        <v>21.25</v>
      </c>
      <c r="K7061" t="b">
        <v>1</v>
      </c>
    </row>
    <row r="7062" spans="1:11">
      <c r="A7062" s="12">
        <v>42523</v>
      </c>
      <c r="B7062">
        <v>2016</v>
      </c>
      <c r="C7062">
        <v>6</v>
      </c>
      <c r="D7062" s="11">
        <v>42522</v>
      </c>
      <c r="E7062" t="s">
        <v>2178</v>
      </c>
      <c r="F7062">
        <v>4</v>
      </c>
      <c r="G7062" t="s">
        <v>53</v>
      </c>
      <c r="H7062" t="s">
        <v>44</v>
      </c>
      <c r="I7062" t="s">
        <v>2192</v>
      </c>
      <c r="J7062" s="10">
        <v>18</v>
      </c>
      <c r="K7062" t="b">
        <v>1</v>
      </c>
    </row>
    <row r="7063" spans="1:11">
      <c r="A7063" s="12">
        <v>42523</v>
      </c>
      <c r="B7063">
        <v>2016</v>
      </c>
      <c r="C7063">
        <v>6</v>
      </c>
      <c r="D7063" s="11">
        <v>42522</v>
      </c>
      <c r="E7063" t="s">
        <v>2178</v>
      </c>
      <c r="F7063">
        <v>4</v>
      </c>
      <c r="G7063" t="s">
        <v>53</v>
      </c>
      <c r="H7063" t="s">
        <v>45</v>
      </c>
      <c r="I7063" t="s">
        <v>2193</v>
      </c>
      <c r="J7063" s="10">
        <v>3</v>
      </c>
      <c r="K7063" t="b">
        <v>1</v>
      </c>
    </row>
    <row r="7064" spans="1:11">
      <c r="A7064" s="12">
        <v>42523</v>
      </c>
      <c r="B7064">
        <v>2016</v>
      </c>
      <c r="C7064">
        <v>6</v>
      </c>
      <c r="D7064" s="11">
        <v>42522</v>
      </c>
      <c r="E7064" t="s">
        <v>2178</v>
      </c>
      <c r="F7064">
        <v>4</v>
      </c>
      <c r="G7064" t="s">
        <v>53</v>
      </c>
      <c r="H7064" t="s">
        <v>46</v>
      </c>
      <c r="I7064" t="s">
        <v>2194</v>
      </c>
      <c r="J7064" s="10">
        <v>4</v>
      </c>
      <c r="K7064" t="b">
        <v>1</v>
      </c>
    </row>
    <row r="7065" spans="1:11">
      <c r="A7065" s="12">
        <v>42523</v>
      </c>
      <c r="B7065">
        <v>2016</v>
      </c>
      <c r="C7065">
        <v>6</v>
      </c>
      <c r="D7065" s="11">
        <v>42522</v>
      </c>
      <c r="E7065" t="s">
        <v>2178</v>
      </c>
      <c r="F7065">
        <v>4</v>
      </c>
      <c r="G7065" t="s">
        <v>53</v>
      </c>
      <c r="H7065" t="s">
        <v>47</v>
      </c>
      <c r="I7065" t="s">
        <v>2195</v>
      </c>
      <c r="J7065" s="10">
        <v>1</v>
      </c>
      <c r="K7065" t="b">
        <v>1</v>
      </c>
    </row>
    <row r="7066" spans="1:11">
      <c r="A7066" s="12">
        <v>42524</v>
      </c>
      <c r="B7066">
        <v>2016</v>
      </c>
      <c r="C7066">
        <v>6</v>
      </c>
      <c r="D7066" s="11">
        <v>42522</v>
      </c>
      <c r="E7066" t="s">
        <v>2178</v>
      </c>
      <c r="F7066">
        <v>5</v>
      </c>
      <c r="G7066" t="s">
        <v>55</v>
      </c>
      <c r="H7066" t="s">
        <v>40</v>
      </c>
      <c r="I7066" t="s">
        <v>2188</v>
      </c>
      <c r="J7066" s="10">
        <v>7.33</v>
      </c>
      <c r="K7066" t="b">
        <v>1</v>
      </c>
    </row>
    <row r="7067" spans="1:11">
      <c r="A7067" s="12">
        <v>42524</v>
      </c>
      <c r="B7067">
        <v>2016</v>
      </c>
      <c r="C7067">
        <v>6</v>
      </c>
      <c r="D7067" s="11">
        <v>42522</v>
      </c>
      <c r="E7067" t="s">
        <v>2178</v>
      </c>
      <c r="F7067">
        <v>5</v>
      </c>
      <c r="G7067" t="s">
        <v>55</v>
      </c>
      <c r="H7067" t="s">
        <v>41</v>
      </c>
      <c r="I7067" t="s">
        <v>2189</v>
      </c>
      <c r="J7067" s="10">
        <v>3</v>
      </c>
      <c r="K7067" t="b">
        <v>1</v>
      </c>
    </row>
    <row r="7068" spans="1:11">
      <c r="A7068" s="12">
        <v>42524</v>
      </c>
      <c r="B7068">
        <v>2016</v>
      </c>
      <c r="C7068">
        <v>6</v>
      </c>
      <c r="D7068" s="11">
        <v>42522</v>
      </c>
      <c r="E7068" t="s">
        <v>2178</v>
      </c>
      <c r="F7068">
        <v>5</v>
      </c>
      <c r="G7068" t="s">
        <v>55</v>
      </c>
      <c r="H7068" t="s">
        <v>42</v>
      </c>
      <c r="I7068" t="s">
        <v>2190</v>
      </c>
      <c r="J7068" s="10">
        <v>4</v>
      </c>
      <c r="K7068" t="b">
        <v>1</v>
      </c>
    </row>
    <row r="7069" spans="1:11">
      <c r="A7069" s="12">
        <v>42524</v>
      </c>
      <c r="B7069">
        <v>2016</v>
      </c>
      <c r="C7069">
        <v>6</v>
      </c>
      <c r="D7069" s="11">
        <v>42522</v>
      </c>
      <c r="E7069" t="s">
        <v>2178</v>
      </c>
      <c r="F7069">
        <v>5</v>
      </c>
      <c r="G7069" t="s">
        <v>55</v>
      </c>
      <c r="H7069" t="s">
        <v>43</v>
      </c>
      <c r="I7069" t="s">
        <v>2191</v>
      </c>
      <c r="J7069" s="10">
        <v>18</v>
      </c>
      <c r="K7069" t="b">
        <v>1</v>
      </c>
    </row>
    <row r="7070" spans="1:11">
      <c r="A7070" s="12">
        <v>42524</v>
      </c>
      <c r="B7070">
        <v>2016</v>
      </c>
      <c r="C7070">
        <v>6</v>
      </c>
      <c r="D7070" s="11">
        <v>42522</v>
      </c>
      <c r="E7070" t="s">
        <v>2178</v>
      </c>
      <c r="F7070">
        <v>5</v>
      </c>
      <c r="G7070" t="s">
        <v>55</v>
      </c>
      <c r="H7070" t="s">
        <v>44</v>
      </c>
      <c r="I7070" t="s">
        <v>2192</v>
      </c>
      <c r="J7070" s="10">
        <v>8</v>
      </c>
      <c r="K7070" t="b">
        <v>1</v>
      </c>
    </row>
    <row r="7071" spans="1:11">
      <c r="A7071" s="12">
        <v>42524</v>
      </c>
      <c r="B7071">
        <v>2016</v>
      </c>
      <c r="C7071">
        <v>6</v>
      </c>
      <c r="D7071" s="11">
        <v>42522</v>
      </c>
      <c r="E7071" t="s">
        <v>2178</v>
      </c>
      <c r="F7071">
        <v>5</v>
      </c>
      <c r="G7071" t="s">
        <v>55</v>
      </c>
      <c r="H7071" t="s">
        <v>45</v>
      </c>
      <c r="I7071" t="s">
        <v>2193</v>
      </c>
      <c r="J7071" s="10">
        <v>0</v>
      </c>
      <c r="K7071" t="b">
        <v>1</v>
      </c>
    </row>
    <row r="7072" spans="1:11">
      <c r="A7072" s="12">
        <v>42524</v>
      </c>
      <c r="B7072">
        <v>2016</v>
      </c>
      <c r="C7072">
        <v>6</v>
      </c>
      <c r="D7072" s="11">
        <v>42522</v>
      </c>
      <c r="E7072" t="s">
        <v>2178</v>
      </c>
      <c r="F7072">
        <v>5</v>
      </c>
      <c r="G7072" t="s">
        <v>55</v>
      </c>
      <c r="H7072" t="s">
        <v>46</v>
      </c>
      <c r="I7072" t="s">
        <v>2194</v>
      </c>
      <c r="J7072" s="10">
        <v>1</v>
      </c>
      <c r="K7072" t="b">
        <v>1</v>
      </c>
    </row>
    <row r="7073" spans="1:11">
      <c r="A7073" s="12">
        <v>42524</v>
      </c>
      <c r="B7073">
        <v>2016</v>
      </c>
      <c r="C7073">
        <v>6</v>
      </c>
      <c r="D7073" s="11">
        <v>42522</v>
      </c>
      <c r="E7073" t="s">
        <v>2178</v>
      </c>
      <c r="F7073">
        <v>5</v>
      </c>
      <c r="G7073" t="s">
        <v>55</v>
      </c>
      <c r="H7073" t="s">
        <v>47</v>
      </c>
      <c r="I7073" t="s">
        <v>2195</v>
      </c>
      <c r="J7073" s="10">
        <v>7</v>
      </c>
      <c r="K7073" t="b">
        <v>1</v>
      </c>
    </row>
    <row r="7074" spans="1:11">
      <c r="A7074" s="12">
        <v>42525</v>
      </c>
      <c r="B7074">
        <v>2016</v>
      </c>
      <c r="C7074">
        <v>6</v>
      </c>
      <c r="D7074" s="11">
        <v>42522</v>
      </c>
      <c r="E7074" t="s">
        <v>2178</v>
      </c>
      <c r="F7074">
        <v>6</v>
      </c>
      <c r="G7074" t="s">
        <v>57</v>
      </c>
      <c r="H7074" t="s">
        <v>40</v>
      </c>
      <c r="I7074" t="s">
        <v>2188</v>
      </c>
      <c r="J7074" s="10">
        <v>3.33</v>
      </c>
      <c r="K7074" t="b">
        <v>1</v>
      </c>
    </row>
    <row r="7075" spans="1:11">
      <c r="A7075" s="12">
        <v>42525</v>
      </c>
      <c r="B7075">
        <v>2016</v>
      </c>
      <c r="C7075">
        <v>6</v>
      </c>
      <c r="D7075" s="11">
        <v>42522</v>
      </c>
      <c r="E7075" t="s">
        <v>2178</v>
      </c>
      <c r="F7075">
        <v>6</v>
      </c>
      <c r="G7075" t="s">
        <v>57</v>
      </c>
      <c r="H7075" t="s">
        <v>41</v>
      </c>
      <c r="I7075" t="s">
        <v>2189</v>
      </c>
      <c r="J7075" s="10">
        <v>3.34</v>
      </c>
      <c r="K7075" t="b">
        <v>1</v>
      </c>
    </row>
    <row r="7076" spans="1:11">
      <c r="A7076" s="12">
        <v>42525</v>
      </c>
      <c r="B7076">
        <v>2016</v>
      </c>
      <c r="C7076">
        <v>6</v>
      </c>
      <c r="D7076" s="11">
        <v>42522</v>
      </c>
      <c r="E7076" t="s">
        <v>2178</v>
      </c>
      <c r="F7076">
        <v>6</v>
      </c>
      <c r="G7076" t="s">
        <v>57</v>
      </c>
      <c r="H7076" t="s">
        <v>42</v>
      </c>
      <c r="I7076" t="s">
        <v>2190</v>
      </c>
      <c r="J7076" s="10">
        <v>3.3</v>
      </c>
      <c r="K7076" t="b">
        <v>1</v>
      </c>
    </row>
    <row r="7077" spans="1:11">
      <c r="A7077" s="12">
        <v>42525</v>
      </c>
      <c r="B7077">
        <v>2016</v>
      </c>
      <c r="C7077">
        <v>6</v>
      </c>
      <c r="D7077" s="11">
        <v>42522</v>
      </c>
      <c r="E7077" t="s">
        <v>2178</v>
      </c>
      <c r="F7077">
        <v>6</v>
      </c>
      <c r="G7077" t="s">
        <v>57</v>
      </c>
      <c r="H7077" t="s">
        <v>43</v>
      </c>
      <c r="I7077" t="s">
        <v>2191</v>
      </c>
      <c r="J7077" s="10">
        <v>21</v>
      </c>
      <c r="K7077" t="b">
        <v>1</v>
      </c>
    </row>
    <row r="7078" spans="1:11">
      <c r="A7078" s="12">
        <v>42525</v>
      </c>
      <c r="B7078">
        <v>2016</v>
      </c>
      <c r="C7078">
        <v>6</v>
      </c>
      <c r="D7078" s="11">
        <v>42522</v>
      </c>
      <c r="E7078" t="s">
        <v>2178</v>
      </c>
      <c r="F7078">
        <v>6</v>
      </c>
      <c r="G7078" t="s">
        <v>57</v>
      </c>
      <c r="H7078" t="s">
        <v>44</v>
      </c>
      <c r="I7078" t="s">
        <v>2192</v>
      </c>
      <c r="J7078" s="10">
        <v>2</v>
      </c>
      <c r="K7078" t="b">
        <v>1</v>
      </c>
    </row>
    <row r="7079" spans="1:11">
      <c r="A7079" s="12">
        <v>42525</v>
      </c>
      <c r="B7079">
        <v>2016</v>
      </c>
      <c r="C7079">
        <v>6</v>
      </c>
      <c r="D7079" s="11">
        <v>42522</v>
      </c>
      <c r="E7079" t="s">
        <v>2178</v>
      </c>
      <c r="F7079">
        <v>6</v>
      </c>
      <c r="G7079" t="s">
        <v>57</v>
      </c>
      <c r="H7079" t="s">
        <v>45</v>
      </c>
      <c r="I7079" t="s">
        <v>2193</v>
      </c>
      <c r="J7079" s="10">
        <v>0</v>
      </c>
      <c r="K7079" t="b">
        <v>1</v>
      </c>
    </row>
    <row r="7080" spans="1:11">
      <c r="A7080" s="12">
        <v>42525</v>
      </c>
      <c r="B7080">
        <v>2016</v>
      </c>
      <c r="C7080">
        <v>6</v>
      </c>
      <c r="D7080" s="11">
        <v>42522</v>
      </c>
      <c r="E7080" t="s">
        <v>2178</v>
      </c>
      <c r="F7080">
        <v>6</v>
      </c>
      <c r="G7080" t="s">
        <v>57</v>
      </c>
      <c r="H7080" t="s">
        <v>46</v>
      </c>
      <c r="I7080" t="s">
        <v>2194</v>
      </c>
      <c r="J7080" s="10">
        <v>0</v>
      </c>
      <c r="K7080" t="b">
        <v>1</v>
      </c>
    </row>
    <row r="7081" spans="1:11">
      <c r="A7081" s="12">
        <v>42525</v>
      </c>
      <c r="B7081">
        <v>2016</v>
      </c>
      <c r="C7081">
        <v>6</v>
      </c>
      <c r="D7081" s="11">
        <v>42522</v>
      </c>
      <c r="E7081" t="s">
        <v>2178</v>
      </c>
      <c r="F7081">
        <v>6</v>
      </c>
      <c r="G7081" t="s">
        <v>57</v>
      </c>
      <c r="H7081" t="s">
        <v>47</v>
      </c>
      <c r="I7081" t="s">
        <v>2195</v>
      </c>
      <c r="J7081" s="10">
        <v>4</v>
      </c>
      <c r="K7081" t="b">
        <v>1</v>
      </c>
    </row>
    <row r="7082" spans="1:11">
      <c r="A7082" s="12">
        <v>42526</v>
      </c>
      <c r="B7082">
        <v>2016</v>
      </c>
      <c r="C7082">
        <v>6</v>
      </c>
      <c r="D7082" s="11">
        <v>42522</v>
      </c>
      <c r="E7082" t="s">
        <v>2178</v>
      </c>
      <c r="F7082">
        <v>7</v>
      </c>
      <c r="G7082" t="s">
        <v>59</v>
      </c>
      <c r="H7082" t="s">
        <v>40</v>
      </c>
      <c r="I7082" t="s">
        <v>2188</v>
      </c>
      <c r="J7082" s="10">
        <v>10.34</v>
      </c>
      <c r="K7082" t="b">
        <v>1</v>
      </c>
    </row>
    <row r="7083" spans="1:11">
      <c r="A7083" s="12">
        <v>42526</v>
      </c>
      <c r="B7083">
        <v>2016</v>
      </c>
      <c r="C7083">
        <v>6</v>
      </c>
      <c r="D7083" s="11">
        <v>42522</v>
      </c>
      <c r="E7083" t="s">
        <v>2178</v>
      </c>
      <c r="F7083">
        <v>7</v>
      </c>
      <c r="G7083" t="s">
        <v>59</v>
      </c>
      <c r="H7083" t="s">
        <v>41</v>
      </c>
      <c r="I7083" t="s">
        <v>2189</v>
      </c>
      <c r="J7083" s="10">
        <v>3.066</v>
      </c>
      <c r="K7083" t="b">
        <v>1</v>
      </c>
    </row>
    <row r="7084" spans="1:11">
      <c r="A7084" s="12">
        <v>42526</v>
      </c>
      <c r="B7084">
        <v>2016</v>
      </c>
      <c r="C7084">
        <v>6</v>
      </c>
      <c r="D7084" s="11">
        <v>42522</v>
      </c>
      <c r="E7084" t="s">
        <v>2178</v>
      </c>
      <c r="F7084">
        <v>7</v>
      </c>
      <c r="G7084" t="s">
        <v>59</v>
      </c>
      <c r="H7084" t="s">
        <v>42</v>
      </c>
      <c r="I7084" t="s">
        <v>2190</v>
      </c>
      <c r="J7084" s="10">
        <v>4.3</v>
      </c>
      <c r="K7084" t="b">
        <v>1</v>
      </c>
    </row>
    <row r="7085" spans="1:11">
      <c r="A7085" s="12">
        <v>42526</v>
      </c>
      <c r="B7085">
        <v>2016</v>
      </c>
      <c r="C7085">
        <v>6</v>
      </c>
      <c r="D7085" s="11">
        <v>42522</v>
      </c>
      <c r="E7085" t="s">
        <v>2178</v>
      </c>
      <c r="F7085">
        <v>7</v>
      </c>
      <c r="G7085" t="s">
        <v>59</v>
      </c>
      <c r="H7085" t="s">
        <v>43</v>
      </c>
      <c r="I7085" t="s">
        <v>2191</v>
      </c>
      <c r="J7085" s="10">
        <v>23.4</v>
      </c>
      <c r="K7085" t="b">
        <v>1</v>
      </c>
    </row>
    <row r="7086" spans="1:11">
      <c r="A7086" s="12">
        <v>42526</v>
      </c>
      <c r="B7086">
        <v>2016</v>
      </c>
      <c r="C7086">
        <v>6</v>
      </c>
      <c r="D7086" s="11">
        <v>42522</v>
      </c>
      <c r="E7086" t="s">
        <v>2178</v>
      </c>
      <c r="F7086">
        <v>7</v>
      </c>
      <c r="G7086" t="s">
        <v>59</v>
      </c>
      <c r="H7086" t="s">
        <v>44</v>
      </c>
      <c r="I7086" t="s">
        <v>2192</v>
      </c>
      <c r="J7086" s="10">
        <v>5</v>
      </c>
      <c r="K7086" t="b">
        <v>1</v>
      </c>
    </row>
    <row r="7087" spans="1:11">
      <c r="A7087" s="12">
        <v>42526</v>
      </c>
      <c r="B7087">
        <v>2016</v>
      </c>
      <c r="C7087">
        <v>6</v>
      </c>
      <c r="D7087" s="11">
        <v>42522</v>
      </c>
      <c r="E7087" t="s">
        <v>2178</v>
      </c>
      <c r="F7087">
        <v>7</v>
      </c>
      <c r="G7087" t="s">
        <v>59</v>
      </c>
      <c r="H7087" t="s">
        <v>45</v>
      </c>
      <c r="I7087" t="s">
        <v>2193</v>
      </c>
      <c r="J7087" s="10">
        <v>0</v>
      </c>
      <c r="K7087" t="b">
        <v>1</v>
      </c>
    </row>
    <row r="7088" spans="1:11">
      <c r="A7088" s="12">
        <v>42526</v>
      </c>
      <c r="B7088">
        <v>2016</v>
      </c>
      <c r="C7088">
        <v>6</v>
      </c>
      <c r="D7088" s="11">
        <v>42522</v>
      </c>
      <c r="E7088" t="s">
        <v>2178</v>
      </c>
      <c r="F7088">
        <v>7</v>
      </c>
      <c r="G7088" t="s">
        <v>59</v>
      </c>
      <c r="H7088" t="s">
        <v>46</v>
      </c>
      <c r="I7088" t="s">
        <v>2194</v>
      </c>
      <c r="J7088" s="10">
        <v>3</v>
      </c>
      <c r="K7088" t="b">
        <v>1</v>
      </c>
    </row>
    <row r="7089" spans="1:11">
      <c r="A7089" s="12">
        <v>42526</v>
      </c>
      <c r="B7089">
        <v>2016</v>
      </c>
      <c r="C7089">
        <v>6</v>
      </c>
      <c r="D7089" s="11">
        <v>42522</v>
      </c>
      <c r="E7089" t="s">
        <v>2178</v>
      </c>
      <c r="F7089">
        <v>7</v>
      </c>
      <c r="G7089" t="s">
        <v>59</v>
      </c>
      <c r="H7089" t="s">
        <v>47</v>
      </c>
      <c r="I7089" t="s">
        <v>2195</v>
      </c>
      <c r="J7089" s="10">
        <v>4</v>
      </c>
      <c r="K7089" t="b">
        <v>1</v>
      </c>
    </row>
    <row r="7090" spans="1:11">
      <c r="A7090" s="12">
        <v>42527</v>
      </c>
      <c r="B7090">
        <v>2016</v>
      </c>
      <c r="C7090">
        <v>6</v>
      </c>
      <c r="D7090" s="11">
        <v>42522</v>
      </c>
      <c r="E7090" t="s">
        <v>2178</v>
      </c>
      <c r="F7090">
        <v>1</v>
      </c>
      <c r="G7090" t="s">
        <v>61</v>
      </c>
      <c r="H7090" t="s">
        <v>40</v>
      </c>
      <c r="I7090" t="s">
        <v>2188</v>
      </c>
      <c r="J7090" s="10">
        <v>5.33</v>
      </c>
      <c r="K7090" t="b">
        <v>1</v>
      </c>
    </row>
    <row r="7091" spans="1:11">
      <c r="A7091" s="12">
        <v>42527</v>
      </c>
      <c r="B7091">
        <v>2016</v>
      </c>
      <c r="C7091">
        <v>6</v>
      </c>
      <c r="D7091" s="11">
        <v>42522</v>
      </c>
      <c r="E7091" t="s">
        <v>2178</v>
      </c>
      <c r="F7091">
        <v>1</v>
      </c>
      <c r="G7091" t="s">
        <v>61</v>
      </c>
      <c r="H7091" t="s">
        <v>41</v>
      </c>
      <c r="I7091" t="s">
        <v>2189</v>
      </c>
      <c r="J7091" s="10">
        <v>2.802</v>
      </c>
      <c r="K7091" t="b">
        <v>1</v>
      </c>
    </row>
    <row r="7092" spans="1:11">
      <c r="A7092" s="12">
        <v>42527</v>
      </c>
      <c r="B7092">
        <v>2016</v>
      </c>
      <c r="C7092">
        <v>6</v>
      </c>
      <c r="D7092" s="11">
        <v>42522</v>
      </c>
      <c r="E7092" t="s">
        <v>2178</v>
      </c>
      <c r="F7092">
        <v>1</v>
      </c>
      <c r="G7092" t="s">
        <v>61</v>
      </c>
      <c r="H7092" t="s">
        <v>42</v>
      </c>
      <c r="I7092" t="s">
        <v>2190</v>
      </c>
      <c r="J7092" s="10">
        <v>4</v>
      </c>
      <c r="K7092" t="b">
        <v>1</v>
      </c>
    </row>
    <row r="7093" spans="1:11">
      <c r="A7093" s="12">
        <v>42527</v>
      </c>
      <c r="B7093">
        <v>2016</v>
      </c>
      <c r="C7093">
        <v>6</v>
      </c>
      <c r="D7093" s="11">
        <v>42522</v>
      </c>
      <c r="E7093" t="s">
        <v>2178</v>
      </c>
      <c r="F7093">
        <v>1</v>
      </c>
      <c r="G7093" t="s">
        <v>61</v>
      </c>
      <c r="H7093" t="s">
        <v>43</v>
      </c>
      <c r="I7093" t="s">
        <v>2191</v>
      </c>
      <c r="J7093" s="10">
        <v>26.2</v>
      </c>
      <c r="K7093" t="b">
        <v>1</v>
      </c>
    </row>
    <row r="7094" spans="1:11">
      <c r="A7094" s="12">
        <v>42527</v>
      </c>
      <c r="B7094">
        <v>2016</v>
      </c>
      <c r="C7094">
        <v>6</v>
      </c>
      <c r="D7094" s="11">
        <v>42522</v>
      </c>
      <c r="E7094" t="s">
        <v>2178</v>
      </c>
      <c r="F7094">
        <v>1</v>
      </c>
      <c r="G7094" t="s">
        <v>61</v>
      </c>
      <c r="H7094" t="s">
        <v>44</v>
      </c>
      <c r="I7094" t="s">
        <v>2192</v>
      </c>
      <c r="J7094" s="10">
        <v>5</v>
      </c>
      <c r="K7094" t="b">
        <v>1</v>
      </c>
    </row>
    <row r="7095" spans="1:11">
      <c r="A7095" s="12">
        <v>42527</v>
      </c>
      <c r="B7095">
        <v>2016</v>
      </c>
      <c r="C7095">
        <v>6</v>
      </c>
      <c r="D7095" s="11">
        <v>42522</v>
      </c>
      <c r="E7095" t="s">
        <v>2178</v>
      </c>
      <c r="F7095">
        <v>1</v>
      </c>
      <c r="G7095" t="s">
        <v>61</v>
      </c>
      <c r="H7095" t="s">
        <v>45</v>
      </c>
      <c r="I7095" t="s">
        <v>2193</v>
      </c>
      <c r="J7095" s="10">
        <v>0</v>
      </c>
      <c r="K7095" t="b">
        <v>1</v>
      </c>
    </row>
    <row r="7096" spans="1:11">
      <c r="A7096" s="12">
        <v>42527</v>
      </c>
      <c r="B7096">
        <v>2016</v>
      </c>
      <c r="C7096">
        <v>6</v>
      </c>
      <c r="D7096" s="11">
        <v>42522</v>
      </c>
      <c r="E7096" t="s">
        <v>2178</v>
      </c>
      <c r="F7096">
        <v>1</v>
      </c>
      <c r="G7096" t="s">
        <v>61</v>
      </c>
      <c r="H7096" t="s">
        <v>46</v>
      </c>
      <c r="I7096" t="s">
        <v>2194</v>
      </c>
      <c r="J7096" s="10">
        <v>6</v>
      </c>
      <c r="K7096" t="b">
        <v>1</v>
      </c>
    </row>
    <row r="7097" spans="1:11">
      <c r="A7097" s="12">
        <v>42527</v>
      </c>
      <c r="B7097">
        <v>2016</v>
      </c>
      <c r="C7097">
        <v>6</v>
      </c>
      <c r="D7097" s="11">
        <v>42522</v>
      </c>
      <c r="E7097" t="s">
        <v>2178</v>
      </c>
      <c r="F7097">
        <v>1</v>
      </c>
      <c r="G7097" t="s">
        <v>61</v>
      </c>
      <c r="H7097" t="s">
        <v>47</v>
      </c>
      <c r="I7097" t="s">
        <v>2195</v>
      </c>
      <c r="J7097" s="10">
        <v>6</v>
      </c>
      <c r="K7097" t="b">
        <v>1</v>
      </c>
    </row>
    <row r="7098" spans="1:11">
      <c r="A7098" s="12">
        <v>42528</v>
      </c>
      <c r="B7098">
        <v>2016</v>
      </c>
      <c r="C7098">
        <v>6</v>
      </c>
      <c r="D7098" s="11">
        <v>42522</v>
      </c>
      <c r="E7098" t="s">
        <v>2178</v>
      </c>
      <c r="F7098">
        <v>2</v>
      </c>
      <c r="G7098" t="s">
        <v>63</v>
      </c>
      <c r="H7098" t="s">
        <v>40</v>
      </c>
      <c r="I7098" t="s">
        <v>2188</v>
      </c>
      <c r="J7098" s="10">
        <v>6</v>
      </c>
      <c r="K7098" t="b">
        <v>1</v>
      </c>
    </row>
    <row r="7099" spans="1:11">
      <c r="A7099" s="12">
        <v>42528</v>
      </c>
      <c r="B7099">
        <v>2016</v>
      </c>
      <c r="C7099">
        <v>6</v>
      </c>
      <c r="D7099" s="11">
        <v>42522</v>
      </c>
      <c r="E7099" t="s">
        <v>2178</v>
      </c>
      <c r="F7099">
        <v>2</v>
      </c>
      <c r="G7099" t="s">
        <v>63</v>
      </c>
      <c r="H7099" t="s">
        <v>41</v>
      </c>
      <c r="I7099" t="s">
        <v>2189</v>
      </c>
      <c r="J7099" s="10">
        <v>3.363</v>
      </c>
      <c r="K7099" t="b">
        <v>1</v>
      </c>
    </row>
    <row r="7100" spans="1:11">
      <c r="A7100" s="12">
        <v>42528</v>
      </c>
      <c r="B7100">
        <v>2016</v>
      </c>
      <c r="C7100">
        <v>6</v>
      </c>
      <c r="D7100" s="11">
        <v>42522</v>
      </c>
      <c r="E7100" t="s">
        <v>2178</v>
      </c>
      <c r="F7100">
        <v>2</v>
      </c>
      <c r="G7100" t="s">
        <v>63</v>
      </c>
      <c r="H7100" t="s">
        <v>42</v>
      </c>
      <c r="I7100" t="s">
        <v>2190</v>
      </c>
      <c r="J7100" s="10">
        <v>4.1</v>
      </c>
      <c r="K7100" t="b">
        <v>1</v>
      </c>
    </row>
    <row r="7101" spans="1:11">
      <c r="A7101" s="12">
        <v>42528</v>
      </c>
      <c r="B7101">
        <v>2016</v>
      </c>
      <c r="C7101">
        <v>6</v>
      </c>
      <c r="D7101" s="11">
        <v>42522</v>
      </c>
      <c r="E7101" t="s">
        <v>2178</v>
      </c>
      <c r="F7101">
        <v>2</v>
      </c>
      <c r="G7101" t="s">
        <v>63</v>
      </c>
      <c r="H7101" t="s">
        <v>43</v>
      </c>
      <c r="I7101" t="s">
        <v>2191</v>
      </c>
      <c r="J7101" s="10">
        <v>28.5</v>
      </c>
      <c r="K7101" t="b">
        <v>1</v>
      </c>
    </row>
    <row r="7102" spans="1:11">
      <c r="A7102" s="12">
        <v>42528</v>
      </c>
      <c r="B7102">
        <v>2016</v>
      </c>
      <c r="C7102">
        <v>6</v>
      </c>
      <c r="D7102" s="11">
        <v>42522</v>
      </c>
      <c r="E7102" t="s">
        <v>2178</v>
      </c>
      <c r="F7102">
        <v>2</v>
      </c>
      <c r="G7102" t="s">
        <v>63</v>
      </c>
      <c r="H7102" t="s">
        <v>44</v>
      </c>
      <c r="I7102" t="s">
        <v>2192</v>
      </c>
      <c r="J7102" s="10">
        <v>13</v>
      </c>
      <c r="K7102" t="b">
        <v>1</v>
      </c>
    </row>
    <row r="7103" spans="1:11">
      <c r="A7103" s="12">
        <v>42528</v>
      </c>
      <c r="B7103">
        <v>2016</v>
      </c>
      <c r="C7103">
        <v>6</v>
      </c>
      <c r="D7103" s="11">
        <v>42522</v>
      </c>
      <c r="E7103" t="s">
        <v>2178</v>
      </c>
      <c r="F7103">
        <v>2</v>
      </c>
      <c r="G7103" t="s">
        <v>63</v>
      </c>
      <c r="H7103" t="s">
        <v>45</v>
      </c>
      <c r="I7103" t="s">
        <v>2193</v>
      </c>
      <c r="J7103" s="10">
        <v>0</v>
      </c>
      <c r="K7103" t="b">
        <v>1</v>
      </c>
    </row>
    <row r="7104" spans="1:11">
      <c r="A7104" s="12">
        <v>42528</v>
      </c>
      <c r="B7104">
        <v>2016</v>
      </c>
      <c r="C7104">
        <v>6</v>
      </c>
      <c r="D7104" s="11">
        <v>42522</v>
      </c>
      <c r="E7104" t="s">
        <v>2178</v>
      </c>
      <c r="F7104">
        <v>2</v>
      </c>
      <c r="G7104" t="s">
        <v>63</v>
      </c>
      <c r="H7104" t="s">
        <v>46</v>
      </c>
      <c r="I7104" t="s">
        <v>2194</v>
      </c>
      <c r="J7104" s="10">
        <v>10</v>
      </c>
      <c r="K7104" t="b">
        <v>1</v>
      </c>
    </row>
    <row r="7105" spans="1:11">
      <c r="A7105" s="12">
        <v>42528</v>
      </c>
      <c r="B7105">
        <v>2016</v>
      </c>
      <c r="C7105">
        <v>6</v>
      </c>
      <c r="D7105" s="11">
        <v>42522</v>
      </c>
      <c r="E7105" t="s">
        <v>2178</v>
      </c>
      <c r="F7105">
        <v>2</v>
      </c>
      <c r="G7105" t="s">
        <v>63</v>
      </c>
      <c r="H7105" t="s">
        <v>47</v>
      </c>
      <c r="I7105" t="s">
        <v>2195</v>
      </c>
      <c r="J7105" s="10">
        <v>3</v>
      </c>
      <c r="K7105" t="b">
        <v>1</v>
      </c>
    </row>
    <row r="7106" spans="1:11">
      <c r="A7106" s="12">
        <v>42529</v>
      </c>
      <c r="B7106">
        <v>2016</v>
      </c>
      <c r="C7106">
        <v>6</v>
      </c>
      <c r="D7106" s="11">
        <v>42522</v>
      </c>
      <c r="E7106" t="s">
        <v>2178</v>
      </c>
      <c r="F7106">
        <v>3</v>
      </c>
      <c r="G7106" t="s">
        <v>65</v>
      </c>
      <c r="H7106" t="s">
        <v>40</v>
      </c>
      <c r="I7106" t="s">
        <v>2188</v>
      </c>
      <c r="J7106" s="10">
        <v>8.66</v>
      </c>
      <c r="K7106" t="b">
        <v>1</v>
      </c>
    </row>
    <row r="7107" spans="1:11">
      <c r="A7107" s="12">
        <v>42529</v>
      </c>
      <c r="B7107">
        <v>2016</v>
      </c>
      <c r="C7107">
        <v>6</v>
      </c>
      <c r="D7107" s="11">
        <v>42522</v>
      </c>
      <c r="E7107" t="s">
        <v>2178</v>
      </c>
      <c r="F7107">
        <v>3</v>
      </c>
      <c r="G7107" t="s">
        <v>65</v>
      </c>
      <c r="H7107" t="s">
        <v>41</v>
      </c>
      <c r="I7107" t="s">
        <v>2189</v>
      </c>
      <c r="J7107" s="10">
        <v>1.33</v>
      </c>
      <c r="K7107" t="b">
        <v>1</v>
      </c>
    </row>
    <row r="7108" spans="1:11">
      <c r="A7108" s="12">
        <v>42529</v>
      </c>
      <c r="B7108">
        <v>2016</v>
      </c>
      <c r="C7108">
        <v>6</v>
      </c>
      <c r="D7108" s="11">
        <v>42522</v>
      </c>
      <c r="E7108" t="s">
        <v>2178</v>
      </c>
      <c r="F7108">
        <v>3</v>
      </c>
      <c r="G7108" t="s">
        <v>65</v>
      </c>
      <c r="H7108" t="s">
        <v>42</v>
      </c>
      <c r="I7108" t="s">
        <v>2190</v>
      </c>
      <c r="J7108" s="10">
        <v>5.5</v>
      </c>
      <c r="K7108" t="b">
        <v>1</v>
      </c>
    </row>
    <row r="7109" spans="1:11">
      <c r="A7109" s="12">
        <v>42529</v>
      </c>
      <c r="B7109">
        <v>2016</v>
      </c>
      <c r="C7109">
        <v>6</v>
      </c>
      <c r="D7109" s="11">
        <v>42522</v>
      </c>
      <c r="E7109" t="s">
        <v>2178</v>
      </c>
      <c r="F7109">
        <v>3</v>
      </c>
      <c r="G7109" t="s">
        <v>65</v>
      </c>
      <c r="H7109" t="s">
        <v>43</v>
      </c>
      <c r="I7109" t="s">
        <v>2191</v>
      </c>
      <c r="J7109" s="10">
        <v>45.062</v>
      </c>
      <c r="K7109" t="b">
        <v>1</v>
      </c>
    </row>
    <row r="7110" spans="1:11">
      <c r="A7110" s="12">
        <v>42529</v>
      </c>
      <c r="B7110">
        <v>2016</v>
      </c>
      <c r="C7110">
        <v>6</v>
      </c>
      <c r="D7110" s="11">
        <v>42522</v>
      </c>
      <c r="E7110" t="s">
        <v>2178</v>
      </c>
      <c r="F7110">
        <v>3</v>
      </c>
      <c r="G7110" t="s">
        <v>65</v>
      </c>
      <c r="H7110" t="s">
        <v>44</v>
      </c>
      <c r="I7110" t="s">
        <v>2192</v>
      </c>
      <c r="J7110" s="10">
        <v>10</v>
      </c>
      <c r="K7110" t="b">
        <v>1</v>
      </c>
    </row>
    <row r="7111" spans="1:11">
      <c r="A7111" s="12">
        <v>42529</v>
      </c>
      <c r="B7111">
        <v>2016</v>
      </c>
      <c r="C7111">
        <v>6</v>
      </c>
      <c r="D7111" s="11">
        <v>42522</v>
      </c>
      <c r="E7111" t="s">
        <v>2178</v>
      </c>
      <c r="F7111">
        <v>3</v>
      </c>
      <c r="G7111" t="s">
        <v>65</v>
      </c>
      <c r="H7111" t="s">
        <v>45</v>
      </c>
      <c r="I7111" t="s">
        <v>2193</v>
      </c>
      <c r="J7111" s="10">
        <v>0</v>
      </c>
      <c r="K7111" t="b">
        <v>1</v>
      </c>
    </row>
    <row r="7112" spans="1:11">
      <c r="A7112" s="12">
        <v>42529</v>
      </c>
      <c r="B7112">
        <v>2016</v>
      </c>
      <c r="C7112">
        <v>6</v>
      </c>
      <c r="D7112" s="11">
        <v>42522</v>
      </c>
      <c r="E7112" t="s">
        <v>2178</v>
      </c>
      <c r="F7112">
        <v>3</v>
      </c>
      <c r="G7112" t="s">
        <v>65</v>
      </c>
      <c r="H7112" t="s">
        <v>46</v>
      </c>
      <c r="I7112" t="s">
        <v>2194</v>
      </c>
      <c r="J7112" s="10">
        <v>5</v>
      </c>
      <c r="K7112" t="b">
        <v>1</v>
      </c>
    </row>
    <row r="7113" spans="1:11">
      <c r="A7113" s="12">
        <v>42529</v>
      </c>
      <c r="B7113">
        <v>2016</v>
      </c>
      <c r="C7113">
        <v>6</v>
      </c>
      <c r="D7113" s="11">
        <v>42522</v>
      </c>
      <c r="E7113" t="s">
        <v>2178</v>
      </c>
      <c r="F7113">
        <v>3</v>
      </c>
      <c r="G7113" t="s">
        <v>65</v>
      </c>
      <c r="H7113" t="s">
        <v>47</v>
      </c>
      <c r="I7113" t="s">
        <v>2195</v>
      </c>
      <c r="J7113" s="10">
        <v>6</v>
      </c>
      <c r="K7113" t="b">
        <v>1</v>
      </c>
    </row>
    <row r="7114" spans="1:11">
      <c r="A7114" s="12">
        <v>42530</v>
      </c>
      <c r="B7114">
        <v>2016</v>
      </c>
      <c r="C7114">
        <v>6</v>
      </c>
      <c r="D7114" s="11">
        <v>42522</v>
      </c>
      <c r="E7114" t="s">
        <v>2178</v>
      </c>
      <c r="F7114">
        <v>4</v>
      </c>
      <c r="G7114" t="s">
        <v>53</v>
      </c>
      <c r="H7114" t="s">
        <v>40</v>
      </c>
      <c r="I7114" t="s">
        <v>2188</v>
      </c>
      <c r="J7114" s="10">
        <v>8.67</v>
      </c>
      <c r="K7114" t="b">
        <v>1</v>
      </c>
    </row>
    <row r="7115" spans="1:11">
      <c r="A7115" s="12">
        <v>42530</v>
      </c>
      <c r="B7115">
        <v>2016</v>
      </c>
      <c r="C7115">
        <v>6</v>
      </c>
      <c r="D7115" s="11">
        <v>42522</v>
      </c>
      <c r="E7115" t="s">
        <v>2178</v>
      </c>
      <c r="F7115">
        <v>4</v>
      </c>
      <c r="G7115" t="s">
        <v>53</v>
      </c>
      <c r="H7115" t="s">
        <v>41</v>
      </c>
      <c r="I7115" t="s">
        <v>2189</v>
      </c>
      <c r="J7115" s="10">
        <v>4.33</v>
      </c>
      <c r="K7115" t="b">
        <v>1</v>
      </c>
    </row>
    <row r="7116" spans="1:11">
      <c r="A7116" s="12">
        <v>42530</v>
      </c>
      <c r="B7116">
        <v>2016</v>
      </c>
      <c r="C7116">
        <v>6</v>
      </c>
      <c r="D7116" s="11">
        <v>42522</v>
      </c>
      <c r="E7116" t="s">
        <v>2178</v>
      </c>
      <c r="F7116">
        <v>4</v>
      </c>
      <c r="G7116" t="s">
        <v>53</v>
      </c>
      <c r="H7116" t="s">
        <v>42</v>
      </c>
      <c r="I7116" t="s">
        <v>2190</v>
      </c>
      <c r="J7116" s="10">
        <v>2</v>
      </c>
      <c r="K7116" t="b">
        <v>1</v>
      </c>
    </row>
    <row r="7117" spans="1:11">
      <c r="A7117" s="12">
        <v>42530</v>
      </c>
      <c r="B7117">
        <v>2016</v>
      </c>
      <c r="C7117">
        <v>6</v>
      </c>
      <c r="D7117" s="11">
        <v>42522</v>
      </c>
      <c r="E7117" t="s">
        <v>2178</v>
      </c>
      <c r="F7117">
        <v>4</v>
      </c>
      <c r="G7117" t="s">
        <v>53</v>
      </c>
      <c r="H7117" t="s">
        <v>43</v>
      </c>
      <c r="I7117" t="s">
        <v>2191</v>
      </c>
      <c r="J7117" s="10">
        <v>20.6</v>
      </c>
      <c r="K7117" t="b">
        <v>1</v>
      </c>
    </row>
    <row r="7118" spans="1:11">
      <c r="A7118" s="12">
        <v>42530</v>
      </c>
      <c r="B7118">
        <v>2016</v>
      </c>
      <c r="C7118">
        <v>6</v>
      </c>
      <c r="D7118" s="11">
        <v>42522</v>
      </c>
      <c r="E7118" t="s">
        <v>2178</v>
      </c>
      <c r="F7118">
        <v>4</v>
      </c>
      <c r="G7118" t="s">
        <v>53</v>
      </c>
      <c r="H7118" t="s">
        <v>44</v>
      </c>
      <c r="I7118" t="s">
        <v>2192</v>
      </c>
      <c r="J7118" s="10">
        <v>7</v>
      </c>
      <c r="K7118" t="b">
        <v>1</v>
      </c>
    </row>
    <row r="7119" spans="1:11">
      <c r="A7119" s="12">
        <v>42530</v>
      </c>
      <c r="B7119">
        <v>2016</v>
      </c>
      <c r="C7119">
        <v>6</v>
      </c>
      <c r="D7119" s="11">
        <v>42522</v>
      </c>
      <c r="E7119" t="s">
        <v>2178</v>
      </c>
      <c r="F7119">
        <v>4</v>
      </c>
      <c r="G7119" t="s">
        <v>53</v>
      </c>
      <c r="H7119" t="s">
        <v>45</v>
      </c>
      <c r="I7119" t="s">
        <v>2193</v>
      </c>
      <c r="J7119" s="10">
        <v>0</v>
      </c>
      <c r="K7119" t="b">
        <v>1</v>
      </c>
    </row>
    <row r="7120" spans="1:11">
      <c r="A7120" s="12">
        <v>42530</v>
      </c>
      <c r="B7120">
        <v>2016</v>
      </c>
      <c r="C7120">
        <v>6</v>
      </c>
      <c r="D7120" s="11">
        <v>42522</v>
      </c>
      <c r="E7120" t="s">
        <v>2178</v>
      </c>
      <c r="F7120">
        <v>4</v>
      </c>
      <c r="G7120" t="s">
        <v>53</v>
      </c>
      <c r="H7120" t="s">
        <v>46</v>
      </c>
      <c r="I7120" t="s">
        <v>2194</v>
      </c>
      <c r="J7120" s="10">
        <v>1</v>
      </c>
      <c r="K7120" t="b">
        <v>1</v>
      </c>
    </row>
    <row r="7121" spans="1:11">
      <c r="A7121" s="12">
        <v>42530</v>
      </c>
      <c r="B7121">
        <v>2016</v>
      </c>
      <c r="C7121">
        <v>6</v>
      </c>
      <c r="D7121" s="11">
        <v>42522</v>
      </c>
      <c r="E7121" t="s">
        <v>2178</v>
      </c>
      <c r="F7121">
        <v>4</v>
      </c>
      <c r="G7121" t="s">
        <v>53</v>
      </c>
      <c r="H7121" t="s">
        <v>47</v>
      </c>
      <c r="I7121" t="s">
        <v>2195</v>
      </c>
      <c r="J7121" s="10">
        <v>4.2</v>
      </c>
      <c r="K7121" t="b">
        <v>1</v>
      </c>
    </row>
    <row r="7122" spans="1:11">
      <c r="A7122" s="12">
        <v>42531</v>
      </c>
      <c r="B7122">
        <v>2016</v>
      </c>
      <c r="C7122">
        <v>6</v>
      </c>
      <c r="D7122" s="11">
        <v>42522</v>
      </c>
      <c r="E7122" t="s">
        <v>2178</v>
      </c>
      <c r="F7122">
        <v>5</v>
      </c>
      <c r="G7122" t="s">
        <v>55</v>
      </c>
      <c r="H7122" t="s">
        <v>40</v>
      </c>
      <c r="I7122" t="s">
        <v>2188</v>
      </c>
      <c r="J7122" s="10">
        <v>8.33</v>
      </c>
      <c r="K7122" t="b">
        <v>1</v>
      </c>
    </row>
    <row r="7123" spans="1:11">
      <c r="A7123" s="12">
        <v>42531</v>
      </c>
      <c r="B7123">
        <v>2016</v>
      </c>
      <c r="C7123">
        <v>6</v>
      </c>
      <c r="D7123" s="11">
        <v>42522</v>
      </c>
      <c r="E7123" t="s">
        <v>2178</v>
      </c>
      <c r="F7123">
        <v>5</v>
      </c>
      <c r="G7123" t="s">
        <v>55</v>
      </c>
      <c r="H7123" t="s">
        <v>41</v>
      </c>
      <c r="I7123" t="s">
        <v>2189</v>
      </c>
      <c r="J7123" s="10">
        <v>4</v>
      </c>
      <c r="K7123" t="b">
        <v>1</v>
      </c>
    </row>
    <row r="7124" spans="1:11">
      <c r="A7124" s="12">
        <v>42531</v>
      </c>
      <c r="B7124">
        <v>2016</v>
      </c>
      <c r="C7124">
        <v>6</v>
      </c>
      <c r="D7124" s="11">
        <v>42522</v>
      </c>
      <c r="E7124" t="s">
        <v>2178</v>
      </c>
      <c r="F7124">
        <v>5</v>
      </c>
      <c r="G7124" t="s">
        <v>55</v>
      </c>
      <c r="H7124" t="s">
        <v>42</v>
      </c>
      <c r="I7124" t="s">
        <v>2190</v>
      </c>
      <c r="J7124" s="10">
        <v>4</v>
      </c>
      <c r="K7124" t="b">
        <v>1</v>
      </c>
    </row>
    <row r="7125" spans="1:11">
      <c r="A7125" s="12">
        <v>42531</v>
      </c>
      <c r="B7125">
        <v>2016</v>
      </c>
      <c r="C7125">
        <v>6</v>
      </c>
      <c r="D7125" s="11">
        <v>42522</v>
      </c>
      <c r="E7125" t="s">
        <v>2178</v>
      </c>
      <c r="F7125">
        <v>5</v>
      </c>
      <c r="G7125" t="s">
        <v>55</v>
      </c>
      <c r="H7125" t="s">
        <v>43</v>
      </c>
      <c r="I7125" t="s">
        <v>2191</v>
      </c>
      <c r="J7125" s="10">
        <v>26</v>
      </c>
      <c r="K7125" t="b">
        <v>1</v>
      </c>
    </row>
    <row r="7126" spans="1:11">
      <c r="A7126" s="12">
        <v>42531</v>
      </c>
      <c r="B7126">
        <v>2016</v>
      </c>
      <c r="C7126">
        <v>6</v>
      </c>
      <c r="D7126" s="11">
        <v>42522</v>
      </c>
      <c r="E7126" t="s">
        <v>2178</v>
      </c>
      <c r="F7126">
        <v>5</v>
      </c>
      <c r="G7126" t="s">
        <v>55</v>
      </c>
      <c r="H7126" t="s">
        <v>44</v>
      </c>
      <c r="I7126" t="s">
        <v>2192</v>
      </c>
      <c r="J7126" s="10">
        <v>11</v>
      </c>
      <c r="K7126" t="b">
        <v>1</v>
      </c>
    </row>
    <row r="7127" spans="1:11">
      <c r="A7127" s="12">
        <v>42531</v>
      </c>
      <c r="B7127">
        <v>2016</v>
      </c>
      <c r="C7127">
        <v>6</v>
      </c>
      <c r="D7127" s="11">
        <v>42522</v>
      </c>
      <c r="E7127" t="s">
        <v>2178</v>
      </c>
      <c r="F7127">
        <v>5</v>
      </c>
      <c r="G7127" t="s">
        <v>55</v>
      </c>
      <c r="H7127" t="s">
        <v>45</v>
      </c>
      <c r="I7127" t="s">
        <v>2193</v>
      </c>
      <c r="J7127" s="10">
        <v>2</v>
      </c>
      <c r="K7127" t="b">
        <v>1</v>
      </c>
    </row>
    <row r="7128" spans="1:11">
      <c r="A7128" s="12">
        <v>42531</v>
      </c>
      <c r="B7128">
        <v>2016</v>
      </c>
      <c r="C7128">
        <v>6</v>
      </c>
      <c r="D7128" s="11">
        <v>42522</v>
      </c>
      <c r="E7128" t="s">
        <v>2178</v>
      </c>
      <c r="F7128">
        <v>5</v>
      </c>
      <c r="G7128" t="s">
        <v>55</v>
      </c>
      <c r="H7128" t="s">
        <v>46</v>
      </c>
      <c r="I7128" t="s">
        <v>2194</v>
      </c>
      <c r="J7128" s="10">
        <v>0</v>
      </c>
      <c r="K7128" t="b">
        <v>1</v>
      </c>
    </row>
    <row r="7129" spans="1:11">
      <c r="A7129" s="12">
        <v>42531</v>
      </c>
      <c r="B7129">
        <v>2016</v>
      </c>
      <c r="C7129">
        <v>6</v>
      </c>
      <c r="D7129" s="11">
        <v>42522</v>
      </c>
      <c r="E7129" t="s">
        <v>2178</v>
      </c>
      <c r="F7129">
        <v>5</v>
      </c>
      <c r="G7129" t="s">
        <v>55</v>
      </c>
      <c r="H7129" t="s">
        <v>47</v>
      </c>
      <c r="I7129" t="s">
        <v>2195</v>
      </c>
      <c r="J7129" s="10">
        <v>5</v>
      </c>
      <c r="K7129" t="b">
        <v>1</v>
      </c>
    </row>
    <row r="7130" spans="1:11">
      <c r="A7130" s="12">
        <v>42532</v>
      </c>
      <c r="B7130">
        <v>2016</v>
      </c>
      <c r="C7130">
        <v>6</v>
      </c>
      <c r="D7130" s="11">
        <v>42522</v>
      </c>
      <c r="E7130" t="s">
        <v>2178</v>
      </c>
      <c r="F7130">
        <v>6</v>
      </c>
      <c r="G7130" t="s">
        <v>57</v>
      </c>
      <c r="H7130" t="s">
        <v>40</v>
      </c>
      <c r="I7130" t="s">
        <v>2188</v>
      </c>
      <c r="J7130" s="10">
        <v>10.66</v>
      </c>
      <c r="K7130" t="b">
        <v>1</v>
      </c>
    </row>
    <row r="7131" spans="1:11">
      <c r="A7131" s="12">
        <v>42532</v>
      </c>
      <c r="B7131">
        <v>2016</v>
      </c>
      <c r="C7131">
        <v>6</v>
      </c>
      <c r="D7131" s="11">
        <v>42522</v>
      </c>
      <c r="E7131" t="s">
        <v>2178</v>
      </c>
      <c r="F7131">
        <v>6</v>
      </c>
      <c r="G7131" t="s">
        <v>57</v>
      </c>
      <c r="H7131" t="s">
        <v>41</v>
      </c>
      <c r="I7131" t="s">
        <v>2189</v>
      </c>
      <c r="J7131" s="10">
        <v>2.825</v>
      </c>
      <c r="K7131" t="b">
        <v>1</v>
      </c>
    </row>
    <row r="7132" spans="1:11">
      <c r="A7132" s="12">
        <v>42532</v>
      </c>
      <c r="B7132">
        <v>2016</v>
      </c>
      <c r="C7132">
        <v>6</v>
      </c>
      <c r="D7132" s="11">
        <v>42522</v>
      </c>
      <c r="E7132" t="s">
        <v>2178</v>
      </c>
      <c r="F7132">
        <v>6</v>
      </c>
      <c r="G7132" t="s">
        <v>57</v>
      </c>
      <c r="H7132" t="s">
        <v>42</v>
      </c>
      <c r="I7132" t="s">
        <v>2190</v>
      </c>
      <c r="J7132" s="10">
        <v>2</v>
      </c>
      <c r="K7132" t="b">
        <v>1</v>
      </c>
    </row>
    <row r="7133" spans="1:11">
      <c r="A7133" s="12">
        <v>42532</v>
      </c>
      <c r="B7133">
        <v>2016</v>
      </c>
      <c r="C7133">
        <v>6</v>
      </c>
      <c r="D7133" s="11">
        <v>42522</v>
      </c>
      <c r="E7133" t="s">
        <v>2178</v>
      </c>
      <c r="F7133">
        <v>6</v>
      </c>
      <c r="G7133" t="s">
        <v>57</v>
      </c>
      <c r="H7133" t="s">
        <v>43</v>
      </c>
      <c r="I7133" t="s">
        <v>2191</v>
      </c>
      <c r="J7133" s="10">
        <v>35.6</v>
      </c>
      <c r="K7133" t="b">
        <v>1</v>
      </c>
    </row>
    <row r="7134" spans="1:11">
      <c r="A7134" s="12">
        <v>42532</v>
      </c>
      <c r="B7134">
        <v>2016</v>
      </c>
      <c r="C7134">
        <v>6</v>
      </c>
      <c r="D7134" s="11">
        <v>42522</v>
      </c>
      <c r="E7134" t="s">
        <v>2178</v>
      </c>
      <c r="F7134">
        <v>6</v>
      </c>
      <c r="G7134" t="s">
        <v>57</v>
      </c>
      <c r="H7134" t="s">
        <v>44</v>
      </c>
      <c r="I7134" t="s">
        <v>2192</v>
      </c>
      <c r="J7134" s="10">
        <v>4</v>
      </c>
      <c r="K7134" t="b">
        <v>1</v>
      </c>
    </row>
    <row r="7135" spans="1:11">
      <c r="A7135" s="12">
        <v>42532</v>
      </c>
      <c r="B7135">
        <v>2016</v>
      </c>
      <c r="C7135">
        <v>6</v>
      </c>
      <c r="D7135" s="11">
        <v>42522</v>
      </c>
      <c r="E7135" t="s">
        <v>2178</v>
      </c>
      <c r="F7135">
        <v>6</v>
      </c>
      <c r="G7135" t="s">
        <v>57</v>
      </c>
      <c r="H7135" t="s">
        <v>45</v>
      </c>
      <c r="I7135" t="s">
        <v>2193</v>
      </c>
      <c r="J7135" s="10">
        <v>1</v>
      </c>
      <c r="K7135" t="b">
        <v>1</v>
      </c>
    </row>
    <row r="7136" spans="1:11">
      <c r="A7136" s="12">
        <v>42532</v>
      </c>
      <c r="B7136">
        <v>2016</v>
      </c>
      <c r="C7136">
        <v>6</v>
      </c>
      <c r="D7136" s="11">
        <v>42522</v>
      </c>
      <c r="E7136" t="s">
        <v>2178</v>
      </c>
      <c r="F7136">
        <v>6</v>
      </c>
      <c r="G7136" t="s">
        <v>57</v>
      </c>
      <c r="H7136" t="s">
        <v>46</v>
      </c>
      <c r="I7136" t="s">
        <v>2194</v>
      </c>
      <c r="J7136" s="10">
        <v>10</v>
      </c>
      <c r="K7136" t="b">
        <v>1</v>
      </c>
    </row>
    <row r="7137" spans="1:11">
      <c r="A7137" s="12">
        <v>42532</v>
      </c>
      <c r="B7137">
        <v>2016</v>
      </c>
      <c r="C7137">
        <v>6</v>
      </c>
      <c r="D7137" s="11">
        <v>42522</v>
      </c>
      <c r="E7137" t="s">
        <v>2178</v>
      </c>
      <c r="F7137">
        <v>6</v>
      </c>
      <c r="G7137" t="s">
        <v>57</v>
      </c>
      <c r="H7137" t="s">
        <v>47</v>
      </c>
      <c r="I7137" t="s">
        <v>2195</v>
      </c>
      <c r="J7137" s="10">
        <v>8</v>
      </c>
      <c r="K7137" t="b">
        <v>1</v>
      </c>
    </row>
    <row r="7138" spans="1:11">
      <c r="A7138" s="12">
        <v>42533</v>
      </c>
      <c r="B7138">
        <v>2016</v>
      </c>
      <c r="C7138">
        <v>6</v>
      </c>
      <c r="D7138" s="11">
        <v>42522</v>
      </c>
      <c r="E7138" t="s">
        <v>2178</v>
      </c>
      <c r="F7138">
        <v>7</v>
      </c>
      <c r="G7138" t="s">
        <v>59</v>
      </c>
      <c r="H7138" t="s">
        <v>40</v>
      </c>
      <c r="I7138" t="s">
        <v>2188</v>
      </c>
      <c r="J7138" s="10">
        <v>8.34</v>
      </c>
      <c r="K7138" t="b">
        <v>1</v>
      </c>
    </row>
    <row r="7139" spans="1:11">
      <c r="A7139" s="12">
        <v>42533</v>
      </c>
      <c r="B7139">
        <v>2016</v>
      </c>
      <c r="C7139">
        <v>6</v>
      </c>
      <c r="D7139" s="11">
        <v>42522</v>
      </c>
      <c r="E7139" t="s">
        <v>2178</v>
      </c>
      <c r="F7139">
        <v>7</v>
      </c>
      <c r="G7139" t="s">
        <v>59</v>
      </c>
      <c r="H7139" t="s">
        <v>41</v>
      </c>
      <c r="I7139" t="s">
        <v>2189</v>
      </c>
      <c r="J7139" s="10">
        <v>7.353</v>
      </c>
      <c r="K7139" t="b">
        <v>1</v>
      </c>
    </row>
    <row r="7140" spans="1:11">
      <c r="A7140" s="12">
        <v>42533</v>
      </c>
      <c r="B7140">
        <v>2016</v>
      </c>
      <c r="C7140">
        <v>6</v>
      </c>
      <c r="D7140" s="11">
        <v>42522</v>
      </c>
      <c r="E7140" t="s">
        <v>2178</v>
      </c>
      <c r="F7140">
        <v>7</v>
      </c>
      <c r="G7140" t="s">
        <v>59</v>
      </c>
      <c r="H7140" t="s">
        <v>42</v>
      </c>
      <c r="I7140" t="s">
        <v>2190</v>
      </c>
      <c r="J7140" s="10">
        <v>3.4</v>
      </c>
      <c r="K7140" t="b">
        <v>1</v>
      </c>
    </row>
    <row r="7141" spans="1:11">
      <c r="A7141" s="12">
        <v>42533</v>
      </c>
      <c r="B7141">
        <v>2016</v>
      </c>
      <c r="C7141">
        <v>6</v>
      </c>
      <c r="D7141" s="11">
        <v>42522</v>
      </c>
      <c r="E7141" t="s">
        <v>2178</v>
      </c>
      <c r="F7141">
        <v>7</v>
      </c>
      <c r="G7141" t="s">
        <v>59</v>
      </c>
      <c r="H7141" t="s">
        <v>43</v>
      </c>
      <c r="I7141" t="s">
        <v>2191</v>
      </c>
      <c r="J7141" s="10">
        <v>47</v>
      </c>
      <c r="K7141" t="b">
        <v>1</v>
      </c>
    </row>
    <row r="7142" spans="1:11">
      <c r="A7142" s="12">
        <v>42533</v>
      </c>
      <c r="B7142">
        <v>2016</v>
      </c>
      <c r="C7142">
        <v>6</v>
      </c>
      <c r="D7142" s="11">
        <v>42522</v>
      </c>
      <c r="E7142" t="s">
        <v>2178</v>
      </c>
      <c r="F7142">
        <v>7</v>
      </c>
      <c r="G7142" t="s">
        <v>59</v>
      </c>
      <c r="H7142" t="s">
        <v>44</v>
      </c>
      <c r="I7142" t="s">
        <v>2192</v>
      </c>
      <c r="J7142" s="10">
        <v>8</v>
      </c>
      <c r="K7142" t="b">
        <v>1</v>
      </c>
    </row>
    <row r="7143" spans="1:11">
      <c r="A7143" s="12">
        <v>42533</v>
      </c>
      <c r="B7143">
        <v>2016</v>
      </c>
      <c r="C7143">
        <v>6</v>
      </c>
      <c r="D7143" s="11">
        <v>42522</v>
      </c>
      <c r="E7143" t="s">
        <v>2178</v>
      </c>
      <c r="F7143">
        <v>7</v>
      </c>
      <c r="G7143" t="s">
        <v>59</v>
      </c>
      <c r="H7143" t="s">
        <v>45</v>
      </c>
      <c r="I7143" t="s">
        <v>2193</v>
      </c>
      <c r="J7143" s="10">
        <v>0</v>
      </c>
      <c r="K7143" t="b">
        <v>1</v>
      </c>
    </row>
    <row r="7144" spans="1:11">
      <c r="A7144" s="12">
        <v>42533</v>
      </c>
      <c r="B7144">
        <v>2016</v>
      </c>
      <c r="C7144">
        <v>6</v>
      </c>
      <c r="D7144" s="11">
        <v>42522</v>
      </c>
      <c r="E7144" t="s">
        <v>2178</v>
      </c>
      <c r="F7144">
        <v>7</v>
      </c>
      <c r="G7144" t="s">
        <v>59</v>
      </c>
      <c r="H7144" t="s">
        <v>46</v>
      </c>
      <c r="I7144" t="s">
        <v>2194</v>
      </c>
      <c r="J7144" s="10">
        <v>4</v>
      </c>
      <c r="K7144" t="b">
        <v>1</v>
      </c>
    </row>
    <row r="7145" spans="1:11">
      <c r="A7145" s="12">
        <v>42533</v>
      </c>
      <c r="B7145">
        <v>2016</v>
      </c>
      <c r="C7145">
        <v>6</v>
      </c>
      <c r="D7145" s="11">
        <v>42522</v>
      </c>
      <c r="E7145" t="s">
        <v>2178</v>
      </c>
      <c r="F7145">
        <v>7</v>
      </c>
      <c r="G7145" t="s">
        <v>59</v>
      </c>
      <c r="H7145" t="s">
        <v>47</v>
      </c>
      <c r="I7145" t="s">
        <v>2195</v>
      </c>
      <c r="J7145" s="10">
        <v>6</v>
      </c>
      <c r="K7145" t="b">
        <v>1</v>
      </c>
    </row>
    <row r="7146" spans="1:11">
      <c r="A7146" s="12">
        <v>42534</v>
      </c>
      <c r="B7146">
        <v>2016</v>
      </c>
      <c r="C7146">
        <v>6</v>
      </c>
      <c r="D7146" s="11">
        <v>42522</v>
      </c>
      <c r="E7146" t="s">
        <v>2178</v>
      </c>
      <c r="F7146">
        <v>1</v>
      </c>
      <c r="G7146" t="s">
        <v>61</v>
      </c>
      <c r="H7146" t="s">
        <v>40</v>
      </c>
      <c r="I7146" t="s">
        <v>2188</v>
      </c>
      <c r="J7146" s="10">
        <v>5.66</v>
      </c>
      <c r="K7146" t="b">
        <v>1</v>
      </c>
    </row>
    <row r="7147" spans="1:11">
      <c r="A7147" s="12">
        <v>42534</v>
      </c>
      <c r="B7147">
        <v>2016</v>
      </c>
      <c r="C7147">
        <v>6</v>
      </c>
      <c r="D7147" s="11">
        <v>42522</v>
      </c>
      <c r="E7147" t="s">
        <v>2178</v>
      </c>
      <c r="F7147">
        <v>1</v>
      </c>
      <c r="G7147" t="s">
        <v>61</v>
      </c>
      <c r="H7147" t="s">
        <v>41</v>
      </c>
      <c r="I7147" t="s">
        <v>2189</v>
      </c>
      <c r="J7147" s="10">
        <v>4.736</v>
      </c>
      <c r="K7147" t="b">
        <v>1</v>
      </c>
    </row>
    <row r="7148" spans="1:11">
      <c r="A7148" s="12">
        <v>42534</v>
      </c>
      <c r="B7148">
        <v>2016</v>
      </c>
      <c r="C7148">
        <v>6</v>
      </c>
      <c r="D7148" s="11">
        <v>42522</v>
      </c>
      <c r="E7148" t="s">
        <v>2178</v>
      </c>
      <c r="F7148">
        <v>1</v>
      </c>
      <c r="G7148" t="s">
        <v>61</v>
      </c>
      <c r="H7148" t="s">
        <v>42</v>
      </c>
      <c r="I7148" t="s">
        <v>2190</v>
      </c>
      <c r="J7148" s="10">
        <v>1</v>
      </c>
      <c r="K7148" t="b">
        <v>1</v>
      </c>
    </row>
    <row r="7149" spans="1:11">
      <c r="A7149" s="12">
        <v>42534</v>
      </c>
      <c r="B7149">
        <v>2016</v>
      </c>
      <c r="C7149">
        <v>6</v>
      </c>
      <c r="D7149" s="11">
        <v>42522</v>
      </c>
      <c r="E7149" t="s">
        <v>2178</v>
      </c>
      <c r="F7149">
        <v>1</v>
      </c>
      <c r="G7149" t="s">
        <v>61</v>
      </c>
      <c r="H7149" t="s">
        <v>43</v>
      </c>
      <c r="I7149" t="s">
        <v>2191</v>
      </c>
      <c r="J7149" s="10">
        <v>15</v>
      </c>
      <c r="K7149" t="b">
        <v>1</v>
      </c>
    </row>
    <row r="7150" spans="1:11">
      <c r="A7150" s="12">
        <v>42534</v>
      </c>
      <c r="B7150">
        <v>2016</v>
      </c>
      <c r="C7150">
        <v>6</v>
      </c>
      <c r="D7150" s="11">
        <v>42522</v>
      </c>
      <c r="E7150" t="s">
        <v>2178</v>
      </c>
      <c r="F7150">
        <v>1</v>
      </c>
      <c r="G7150" t="s">
        <v>61</v>
      </c>
      <c r="H7150" t="s">
        <v>44</v>
      </c>
      <c r="I7150" t="s">
        <v>2192</v>
      </c>
      <c r="J7150" s="10">
        <v>7</v>
      </c>
      <c r="K7150" t="b">
        <v>1</v>
      </c>
    </row>
    <row r="7151" spans="1:11">
      <c r="A7151" s="12">
        <v>42534</v>
      </c>
      <c r="B7151">
        <v>2016</v>
      </c>
      <c r="C7151">
        <v>6</v>
      </c>
      <c r="D7151" s="11">
        <v>42522</v>
      </c>
      <c r="E7151" t="s">
        <v>2178</v>
      </c>
      <c r="F7151">
        <v>1</v>
      </c>
      <c r="G7151" t="s">
        <v>61</v>
      </c>
      <c r="H7151" t="s">
        <v>45</v>
      </c>
      <c r="I7151" t="s">
        <v>2193</v>
      </c>
      <c r="J7151" s="10">
        <v>0</v>
      </c>
      <c r="K7151" t="b">
        <v>1</v>
      </c>
    </row>
    <row r="7152" spans="1:11">
      <c r="A7152" s="12">
        <v>42534</v>
      </c>
      <c r="B7152">
        <v>2016</v>
      </c>
      <c r="C7152">
        <v>6</v>
      </c>
      <c r="D7152" s="11">
        <v>42522</v>
      </c>
      <c r="E7152" t="s">
        <v>2178</v>
      </c>
      <c r="F7152">
        <v>1</v>
      </c>
      <c r="G7152" t="s">
        <v>61</v>
      </c>
      <c r="H7152" t="s">
        <v>46</v>
      </c>
      <c r="I7152" t="s">
        <v>2194</v>
      </c>
      <c r="J7152" s="10">
        <v>1</v>
      </c>
      <c r="K7152" t="b">
        <v>1</v>
      </c>
    </row>
    <row r="7153" spans="1:11">
      <c r="A7153" s="12">
        <v>42534</v>
      </c>
      <c r="B7153">
        <v>2016</v>
      </c>
      <c r="C7153">
        <v>6</v>
      </c>
      <c r="D7153" s="11">
        <v>42522</v>
      </c>
      <c r="E7153" t="s">
        <v>2178</v>
      </c>
      <c r="F7153">
        <v>1</v>
      </c>
      <c r="G7153" t="s">
        <v>61</v>
      </c>
      <c r="H7153" t="s">
        <v>47</v>
      </c>
      <c r="I7153" t="s">
        <v>2195</v>
      </c>
      <c r="J7153" s="10">
        <v>2</v>
      </c>
      <c r="K7153" t="b">
        <v>1</v>
      </c>
    </row>
    <row r="7154" spans="1:11">
      <c r="A7154" s="12">
        <v>42535</v>
      </c>
      <c r="B7154">
        <v>2016</v>
      </c>
      <c r="C7154">
        <v>6</v>
      </c>
      <c r="D7154" s="11">
        <v>42522</v>
      </c>
      <c r="E7154" t="s">
        <v>2178</v>
      </c>
      <c r="F7154">
        <v>2</v>
      </c>
      <c r="G7154" t="s">
        <v>63</v>
      </c>
      <c r="H7154" t="s">
        <v>40</v>
      </c>
      <c r="I7154" t="s">
        <v>2188</v>
      </c>
      <c r="J7154" s="10">
        <v>2.33</v>
      </c>
      <c r="K7154" t="b">
        <v>1</v>
      </c>
    </row>
    <row r="7155" spans="1:11">
      <c r="A7155" s="12">
        <v>42535</v>
      </c>
      <c r="B7155">
        <v>2016</v>
      </c>
      <c r="C7155">
        <v>6</v>
      </c>
      <c r="D7155" s="11">
        <v>42522</v>
      </c>
      <c r="E7155" t="s">
        <v>2178</v>
      </c>
      <c r="F7155">
        <v>2</v>
      </c>
      <c r="G7155" t="s">
        <v>63</v>
      </c>
      <c r="H7155" t="s">
        <v>41</v>
      </c>
      <c r="I7155" t="s">
        <v>2189</v>
      </c>
      <c r="J7155" s="10">
        <v>6</v>
      </c>
      <c r="K7155" t="b">
        <v>1</v>
      </c>
    </row>
    <row r="7156" spans="1:11">
      <c r="A7156" s="12">
        <v>42535</v>
      </c>
      <c r="B7156">
        <v>2016</v>
      </c>
      <c r="C7156">
        <v>6</v>
      </c>
      <c r="D7156" s="11">
        <v>42522</v>
      </c>
      <c r="E7156" t="s">
        <v>2178</v>
      </c>
      <c r="F7156">
        <v>2</v>
      </c>
      <c r="G7156" t="s">
        <v>63</v>
      </c>
      <c r="H7156" t="s">
        <v>42</v>
      </c>
      <c r="I7156" t="s">
        <v>2190</v>
      </c>
      <c r="J7156" s="10">
        <v>6.1</v>
      </c>
      <c r="K7156" t="b">
        <v>1</v>
      </c>
    </row>
    <row r="7157" spans="1:11">
      <c r="A7157" s="12">
        <v>42535</v>
      </c>
      <c r="B7157">
        <v>2016</v>
      </c>
      <c r="C7157">
        <v>6</v>
      </c>
      <c r="D7157" s="11">
        <v>42522</v>
      </c>
      <c r="E7157" t="s">
        <v>2178</v>
      </c>
      <c r="F7157">
        <v>2</v>
      </c>
      <c r="G7157" t="s">
        <v>63</v>
      </c>
      <c r="H7157" t="s">
        <v>43</v>
      </c>
      <c r="I7157" t="s">
        <v>2191</v>
      </c>
      <c r="J7157" s="10">
        <v>17.4</v>
      </c>
      <c r="K7157" t="b">
        <v>1</v>
      </c>
    </row>
    <row r="7158" spans="1:11">
      <c r="A7158" s="12">
        <v>42535</v>
      </c>
      <c r="B7158">
        <v>2016</v>
      </c>
      <c r="C7158">
        <v>6</v>
      </c>
      <c r="D7158" s="11">
        <v>42522</v>
      </c>
      <c r="E7158" t="s">
        <v>2178</v>
      </c>
      <c r="F7158">
        <v>2</v>
      </c>
      <c r="G7158" t="s">
        <v>63</v>
      </c>
      <c r="H7158" t="s">
        <v>44</v>
      </c>
      <c r="I7158" t="s">
        <v>2192</v>
      </c>
      <c r="J7158" s="10">
        <v>17</v>
      </c>
      <c r="K7158" t="b">
        <v>1</v>
      </c>
    </row>
    <row r="7159" spans="1:11">
      <c r="A7159" s="12">
        <v>42535</v>
      </c>
      <c r="B7159">
        <v>2016</v>
      </c>
      <c r="C7159">
        <v>6</v>
      </c>
      <c r="D7159" s="11">
        <v>42522</v>
      </c>
      <c r="E7159" t="s">
        <v>2178</v>
      </c>
      <c r="F7159">
        <v>2</v>
      </c>
      <c r="G7159" t="s">
        <v>63</v>
      </c>
      <c r="H7159" t="s">
        <v>45</v>
      </c>
      <c r="I7159" t="s">
        <v>2193</v>
      </c>
      <c r="J7159" s="10">
        <v>1</v>
      </c>
      <c r="K7159" t="b">
        <v>1</v>
      </c>
    </row>
    <row r="7160" spans="1:11">
      <c r="A7160" s="12">
        <v>42535</v>
      </c>
      <c r="B7160">
        <v>2016</v>
      </c>
      <c r="C7160">
        <v>6</v>
      </c>
      <c r="D7160" s="11">
        <v>42522</v>
      </c>
      <c r="E7160" t="s">
        <v>2178</v>
      </c>
      <c r="F7160">
        <v>2</v>
      </c>
      <c r="G7160" t="s">
        <v>63</v>
      </c>
      <c r="H7160" t="s">
        <v>46</v>
      </c>
      <c r="I7160" t="s">
        <v>2194</v>
      </c>
      <c r="J7160" s="10">
        <v>2</v>
      </c>
      <c r="K7160" t="b">
        <v>1</v>
      </c>
    </row>
    <row r="7161" spans="1:11">
      <c r="A7161" s="12">
        <v>42535</v>
      </c>
      <c r="B7161">
        <v>2016</v>
      </c>
      <c r="C7161">
        <v>6</v>
      </c>
      <c r="D7161" s="11">
        <v>42522</v>
      </c>
      <c r="E7161" t="s">
        <v>2178</v>
      </c>
      <c r="F7161">
        <v>2</v>
      </c>
      <c r="G7161" t="s">
        <v>63</v>
      </c>
      <c r="H7161" t="s">
        <v>47</v>
      </c>
      <c r="I7161" t="s">
        <v>2195</v>
      </c>
      <c r="J7161" s="10">
        <v>3</v>
      </c>
      <c r="K7161" t="b">
        <v>1</v>
      </c>
    </row>
    <row r="7162" spans="1:11">
      <c r="A7162" s="12">
        <v>42536</v>
      </c>
      <c r="B7162">
        <v>2016</v>
      </c>
      <c r="C7162">
        <v>6</v>
      </c>
      <c r="D7162" s="11">
        <v>42522</v>
      </c>
      <c r="E7162" t="s">
        <v>2178</v>
      </c>
      <c r="F7162">
        <v>3</v>
      </c>
      <c r="G7162" t="s">
        <v>65</v>
      </c>
      <c r="H7162" t="s">
        <v>40</v>
      </c>
      <c r="I7162" t="s">
        <v>2188</v>
      </c>
      <c r="J7162" s="10">
        <v>5</v>
      </c>
      <c r="K7162" t="b">
        <v>1</v>
      </c>
    </row>
    <row r="7163" spans="1:11">
      <c r="A7163" s="12">
        <v>42536</v>
      </c>
      <c r="B7163">
        <v>2016</v>
      </c>
      <c r="C7163">
        <v>6</v>
      </c>
      <c r="D7163" s="11">
        <v>42522</v>
      </c>
      <c r="E7163" t="s">
        <v>2178</v>
      </c>
      <c r="F7163">
        <v>3</v>
      </c>
      <c r="G7163" t="s">
        <v>65</v>
      </c>
      <c r="H7163" t="s">
        <v>41</v>
      </c>
      <c r="I7163" t="s">
        <v>2189</v>
      </c>
      <c r="J7163" s="10">
        <v>5.495</v>
      </c>
      <c r="K7163" t="b">
        <v>1</v>
      </c>
    </row>
    <row r="7164" spans="1:11">
      <c r="A7164" s="12">
        <v>42536</v>
      </c>
      <c r="B7164">
        <v>2016</v>
      </c>
      <c r="C7164">
        <v>6</v>
      </c>
      <c r="D7164" s="11">
        <v>42522</v>
      </c>
      <c r="E7164" t="s">
        <v>2178</v>
      </c>
      <c r="F7164">
        <v>3</v>
      </c>
      <c r="G7164" t="s">
        <v>65</v>
      </c>
      <c r="H7164" t="s">
        <v>42</v>
      </c>
      <c r="I7164" t="s">
        <v>2190</v>
      </c>
      <c r="J7164" s="10">
        <v>7</v>
      </c>
      <c r="K7164" t="b">
        <v>1</v>
      </c>
    </row>
    <row r="7165" spans="1:11">
      <c r="A7165" s="12">
        <v>42536</v>
      </c>
      <c r="B7165">
        <v>2016</v>
      </c>
      <c r="C7165">
        <v>6</v>
      </c>
      <c r="D7165" s="11">
        <v>42522</v>
      </c>
      <c r="E7165" t="s">
        <v>2178</v>
      </c>
      <c r="F7165">
        <v>3</v>
      </c>
      <c r="G7165" t="s">
        <v>65</v>
      </c>
      <c r="H7165" t="s">
        <v>43</v>
      </c>
      <c r="I7165" t="s">
        <v>2191</v>
      </c>
      <c r="J7165" s="10">
        <v>35</v>
      </c>
      <c r="K7165" t="b">
        <v>1</v>
      </c>
    </row>
    <row r="7166" spans="1:11">
      <c r="A7166" s="12">
        <v>42536</v>
      </c>
      <c r="B7166">
        <v>2016</v>
      </c>
      <c r="C7166">
        <v>6</v>
      </c>
      <c r="D7166" s="11">
        <v>42522</v>
      </c>
      <c r="E7166" t="s">
        <v>2178</v>
      </c>
      <c r="F7166">
        <v>3</v>
      </c>
      <c r="G7166" t="s">
        <v>65</v>
      </c>
      <c r="H7166" t="s">
        <v>44</v>
      </c>
      <c r="I7166" t="s">
        <v>2192</v>
      </c>
      <c r="J7166" s="10">
        <v>22</v>
      </c>
      <c r="K7166" t="b">
        <v>1</v>
      </c>
    </row>
    <row r="7167" spans="1:11">
      <c r="A7167" s="12">
        <v>42536</v>
      </c>
      <c r="B7167">
        <v>2016</v>
      </c>
      <c r="C7167">
        <v>6</v>
      </c>
      <c r="D7167" s="11">
        <v>42522</v>
      </c>
      <c r="E7167" t="s">
        <v>2178</v>
      </c>
      <c r="F7167">
        <v>3</v>
      </c>
      <c r="G7167" t="s">
        <v>65</v>
      </c>
      <c r="H7167" t="s">
        <v>45</v>
      </c>
      <c r="I7167" t="s">
        <v>2193</v>
      </c>
      <c r="J7167" s="10">
        <v>1</v>
      </c>
      <c r="K7167" t="b">
        <v>1</v>
      </c>
    </row>
    <row r="7168" spans="1:11">
      <c r="A7168" s="12">
        <v>42536</v>
      </c>
      <c r="B7168">
        <v>2016</v>
      </c>
      <c r="C7168">
        <v>6</v>
      </c>
      <c r="D7168" s="11">
        <v>42522</v>
      </c>
      <c r="E7168" t="s">
        <v>2178</v>
      </c>
      <c r="F7168">
        <v>3</v>
      </c>
      <c r="G7168" t="s">
        <v>65</v>
      </c>
      <c r="H7168" t="s">
        <v>46</v>
      </c>
      <c r="I7168" t="s">
        <v>2194</v>
      </c>
      <c r="J7168" s="10">
        <v>1</v>
      </c>
      <c r="K7168" t="b">
        <v>1</v>
      </c>
    </row>
    <row r="7169" spans="1:11">
      <c r="A7169" s="12">
        <v>42536</v>
      </c>
      <c r="B7169">
        <v>2016</v>
      </c>
      <c r="C7169">
        <v>6</v>
      </c>
      <c r="D7169" s="11">
        <v>42522</v>
      </c>
      <c r="E7169" t="s">
        <v>2178</v>
      </c>
      <c r="F7169">
        <v>3</v>
      </c>
      <c r="G7169" t="s">
        <v>65</v>
      </c>
      <c r="H7169" t="s">
        <v>47</v>
      </c>
      <c r="I7169" t="s">
        <v>2195</v>
      </c>
      <c r="J7169" s="10">
        <v>6</v>
      </c>
      <c r="K7169" t="b">
        <v>1</v>
      </c>
    </row>
    <row r="7170" spans="1:11">
      <c r="A7170" s="12">
        <v>42537</v>
      </c>
      <c r="B7170">
        <v>2016</v>
      </c>
      <c r="C7170">
        <v>6</v>
      </c>
      <c r="D7170" s="11">
        <v>42522</v>
      </c>
      <c r="E7170" t="s">
        <v>2178</v>
      </c>
      <c r="F7170">
        <v>4</v>
      </c>
      <c r="G7170" t="s">
        <v>53</v>
      </c>
      <c r="H7170" t="s">
        <v>40</v>
      </c>
      <c r="I7170" t="s">
        <v>2188</v>
      </c>
      <c r="J7170" s="10">
        <v>4</v>
      </c>
      <c r="K7170" t="b">
        <v>1</v>
      </c>
    </row>
    <row r="7171" spans="1:11">
      <c r="A7171" s="12">
        <v>42537</v>
      </c>
      <c r="B7171">
        <v>2016</v>
      </c>
      <c r="C7171">
        <v>6</v>
      </c>
      <c r="D7171" s="11">
        <v>42522</v>
      </c>
      <c r="E7171" t="s">
        <v>2178</v>
      </c>
      <c r="F7171">
        <v>4</v>
      </c>
      <c r="G7171" t="s">
        <v>53</v>
      </c>
      <c r="H7171" t="s">
        <v>41</v>
      </c>
      <c r="I7171" t="s">
        <v>2189</v>
      </c>
      <c r="J7171" s="10">
        <v>0.33</v>
      </c>
      <c r="K7171" t="b">
        <v>1</v>
      </c>
    </row>
    <row r="7172" spans="1:11">
      <c r="A7172" s="12">
        <v>42537</v>
      </c>
      <c r="B7172">
        <v>2016</v>
      </c>
      <c r="C7172">
        <v>6</v>
      </c>
      <c r="D7172" s="11">
        <v>42522</v>
      </c>
      <c r="E7172" t="s">
        <v>2178</v>
      </c>
      <c r="F7172">
        <v>4</v>
      </c>
      <c r="G7172" t="s">
        <v>53</v>
      </c>
      <c r="H7172" t="s">
        <v>42</v>
      </c>
      <c r="I7172" t="s">
        <v>2190</v>
      </c>
      <c r="J7172" s="10">
        <v>1</v>
      </c>
      <c r="K7172" t="b">
        <v>1</v>
      </c>
    </row>
    <row r="7173" spans="1:11">
      <c r="A7173" s="12">
        <v>42537</v>
      </c>
      <c r="B7173">
        <v>2016</v>
      </c>
      <c r="C7173">
        <v>6</v>
      </c>
      <c r="D7173" s="11">
        <v>42522</v>
      </c>
      <c r="E7173" t="s">
        <v>2178</v>
      </c>
      <c r="F7173">
        <v>4</v>
      </c>
      <c r="G7173" t="s">
        <v>53</v>
      </c>
      <c r="H7173" t="s">
        <v>43</v>
      </c>
      <c r="I7173" t="s">
        <v>2191</v>
      </c>
      <c r="J7173" s="10">
        <v>20.5</v>
      </c>
      <c r="K7173" t="b">
        <v>1</v>
      </c>
    </row>
    <row r="7174" spans="1:11">
      <c r="A7174" s="12">
        <v>42537</v>
      </c>
      <c r="B7174">
        <v>2016</v>
      </c>
      <c r="C7174">
        <v>6</v>
      </c>
      <c r="D7174" s="11">
        <v>42522</v>
      </c>
      <c r="E7174" t="s">
        <v>2178</v>
      </c>
      <c r="F7174">
        <v>4</v>
      </c>
      <c r="G7174" t="s">
        <v>53</v>
      </c>
      <c r="H7174" t="s">
        <v>44</v>
      </c>
      <c r="I7174" t="s">
        <v>2192</v>
      </c>
      <c r="J7174" s="10">
        <v>4</v>
      </c>
      <c r="K7174" t="b">
        <v>1</v>
      </c>
    </row>
    <row r="7175" spans="1:11">
      <c r="A7175" s="12">
        <v>42537</v>
      </c>
      <c r="B7175">
        <v>2016</v>
      </c>
      <c r="C7175">
        <v>6</v>
      </c>
      <c r="D7175" s="11">
        <v>42522</v>
      </c>
      <c r="E7175" t="s">
        <v>2178</v>
      </c>
      <c r="F7175">
        <v>4</v>
      </c>
      <c r="G7175" t="s">
        <v>53</v>
      </c>
      <c r="H7175" t="s">
        <v>45</v>
      </c>
      <c r="I7175" t="s">
        <v>2193</v>
      </c>
      <c r="J7175" s="10">
        <v>0</v>
      </c>
      <c r="K7175" t="b">
        <v>1</v>
      </c>
    </row>
    <row r="7176" spans="1:11">
      <c r="A7176" s="12">
        <v>42537</v>
      </c>
      <c r="B7176">
        <v>2016</v>
      </c>
      <c r="C7176">
        <v>6</v>
      </c>
      <c r="D7176" s="11">
        <v>42522</v>
      </c>
      <c r="E7176" t="s">
        <v>2178</v>
      </c>
      <c r="F7176">
        <v>4</v>
      </c>
      <c r="G7176" t="s">
        <v>53</v>
      </c>
      <c r="H7176" t="s">
        <v>46</v>
      </c>
      <c r="I7176" t="s">
        <v>2194</v>
      </c>
      <c r="J7176" s="10">
        <v>22</v>
      </c>
      <c r="K7176" t="b">
        <v>1</v>
      </c>
    </row>
    <row r="7177" spans="1:11">
      <c r="A7177" s="12">
        <v>42537</v>
      </c>
      <c r="B7177">
        <v>2016</v>
      </c>
      <c r="C7177">
        <v>6</v>
      </c>
      <c r="D7177" s="11">
        <v>42522</v>
      </c>
      <c r="E7177" t="s">
        <v>2178</v>
      </c>
      <c r="F7177">
        <v>4</v>
      </c>
      <c r="G7177" t="s">
        <v>53</v>
      </c>
      <c r="H7177" t="s">
        <v>47</v>
      </c>
      <c r="I7177" t="s">
        <v>2195</v>
      </c>
      <c r="J7177" s="10">
        <v>3</v>
      </c>
      <c r="K7177" t="b">
        <v>1</v>
      </c>
    </row>
    <row r="7178" spans="1:11">
      <c r="A7178" s="12">
        <v>42538</v>
      </c>
      <c r="B7178">
        <v>2016</v>
      </c>
      <c r="C7178">
        <v>6</v>
      </c>
      <c r="D7178" s="11">
        <v>42522</v>
      </c>
      <c r="E7178" t="s">
        <v>2178</v>
      </c>
      <c r="F7178">
        <v>5</v>
      </c>
      <c r="G7178" t="s">
        <v>55</v>
      </c>
      <c r="H7178" t="s">
        <v>40</v>
      </c>
      <c r="I7178" t="s">
        <v>2188</v>
      </c>
      <c r="J7178" s="10">
        <v>3.34</v>
      </c>
      <c r="K7178" t="b">
        <v>1</v>
      </c>
    </row>
    <row r="7179" spans="1:11">
      <c r="A7179" s="12">
        <v>42538</v>
      </c>
      <c r="B7179">
        <v>2016</v>
      </c>
      <c r="C7179">
        <v>6</v>
      </c>
      <c r="D7179" s="11">
        <v>42522</v>
      </c>
      <c r="E7179" t="s">
        <v>2178</v>
      </c>
      <c r="F7179">
        <v>5</v>
      </c>
      <c r="G7179" t="s">
        <v>55</v>
      </c>
      <c r="H7179" t="s">
        <v>41</v>
      </c>
      <c r="I7179" t="s">
        <v>2189</v>
      </c>
      <c r="J7179" s="10">
        <v>3.67</v>
      </c>
      <c r="K7179" t="b">
        <v>1</v>
      </c>
    </row>
    <row r="7180" spans="1:11">
      <c r="A7180" s="12">
        <v>42538</v>
      </c>
      <c r="B7180">
        <v>2016</v>
      </c>
      <c r="C7180">
        <v>6</v>
      </c>
      <c r="D7180" s="11">
        <v>42522</v>
      </c>
      <c r="E7180" t="s">
        <v>2178</v>
      </c>
      <c r="F7180">
        <v>5</v>
      </c>
      <c r="G7180" t="s">
        <v>55</v>
      </c>
      <c r="H7180" t="s">
        <v>42</v>
      </c>
      <c r="I7180" t="s">
        <v>2190</v>
      </c>
      <c r="J7180" s="10">
        <v>3.65</v>
      </c>
      <c r="K7180" t="b">
        <v>1</v>
      </c>
    </row>
    <row r="7181" spans="1:11">
      <c r="A7181" s="12">
        <v>42538</v>
      </c>
      <c r="B7181">
        <v>2016</v>
      </c>
      <c r="C7181">
        <v>6</v>
      </c>
      <c r="D7181" s="11">
        <v>42522</v>
      </c>
      <c r="E7181" t="s">
        <v>2178</v>
      </c>
      <c r="F7181">
        <v>5</v>
      </c>
      <c r="G7181" t="s">
        <v>55</v>
      </c>
      <c r="H7181" t="s">
        <v>43</v>
      </c>
      <c r="I7181" t="s">
        <v>2191</v>
      </c>
      <c r="J7181" s="10">
        <v>20</v>
      </c>
      <c r="K7181" t="b">
        <v>1</v>
      </c>
    </row>
    <row r="7182" spans="1:11">
      <c r="A7182" s="12">
        <v>42538</v>
      </c>
      <c r="B7182">
        <v>2016</v>
      </c>
      <c r="C7182">
        <v>6</v>
      </c>
      <c r="D7182" s="11">
        <v>42522</v>
      </c>
      <c r="E7182" t="s">
        <v>2178</v>
      </c>
      <c r="F7182">
        <v>5</v>
      </c>
      <c r="G7182" t="s">
        <v>55</v>
      </c>
      <c r="H7182" t="s">
        <v>44</v>
      </c>
      <c r="I7182" t="s">
        <v>2192</v>
      </c>
      <c r="J7182" s="10">
        <v>8</v>
      </c>
      <c r="K7182" t="b">
        <v>1</v>
      </c>
    </row>
    <row r="7183" spans="1:11">
      <c r="A7183" s="12">
        <v>42538</v>
      </c>
      <c r="B7183">
        <v>2016</v>
      </c>
      <c r="C7183">
        <v>6</v>
      </c>
      <c r="D7183" s="11">
        <v>42522</v>
      </c>
      <c r="E7183" t="s">
        <v>2178</v>
      </c>
      <c r="F7183">
        <v>5</v>
      </c>
      <c r="G7183" t="s">
        <v>55</v>
      </c>
      <c r="H7183" t="s">
        <v>45</v>
      </c>
      <c r="I7183" t="s">
        <v>2193</v>
      </c>
      <c r="J7183" s="10">
        <v>0</v>
      </c>
      <c r="K7183" t="b">
        <v>1</v>
      </c>
    </row>
    <row r="7184" spans="1:11">
      <c r="A7184" s="12">
        <v>42538</v>
      </c>
      <c r="B7184">
        <v>2016</v>
      </c>
      <c r="C7184">
        <v>6</v>
      </c>
      <c r="D7184" s="11">
        <v>42522</v>
      </c>
      <c r="E7184" t="s">
        <v>2178</v>
      </c>
      <c r="F7184">
        <v>5</v>
      </c>
      <c r="G7184" t="s">
        <v>55</v>
      </c>
      <c r="H7184" t="s">
        <v>46</v>
      </c>
      <c r="I7184" t="s">
        <v>2194</v>
      </c>
      <c r="J7184" s="10">
        <v>4</v>
      </c>
      <c r="K7184" t="b">
        <v>1</v>
      </c>
    </row>
    <row r="7185" spans="1:11">
      <c r="A7185" s="12">
        <v>42538</v>
      </c>
      <c r="B7185">
        <v>2016</v>
      </c>
      <c r="C7185">
        <v>6</v>
      </c>
      <c r="D7185" s="11">
        <v>42522</v>
      </c>
      <c r="E7185" t="s">
        <v>2178</v>
      </c>
      <c r="F7185">
        <v>5</v>
      </c>
      <c r="G7185" t="s">
        <v>55</v>
      </c>
      <c r="H7185" t="s">
        <v>47</v>
      </c>
      <c r="I7185" t="s">
        <v>2195</v>
      </c>
      <c r="J7185" s="10">
        <v>4</v>
      </c>
      <c r="K7185" t="b">
        <v>1</v>
      </c>
    </row>
    <row r="7186" spans="1:11">
      <c r="A7186" s="12">
        <v>42539</v>
      </c>
      <c r="B7186">
        <v>2016</v>
      </c>
      <c r="C7186">
        <v>6</v>
      </c>
      <c r="D7186" s="11">
        <v>42522</v>
      </c>
      <c r="E7186" t="s">
        <v>2178</v>
      </c>
      <c r="F7186">
        <v>6</v>
      </c>
      <c r="G7186" t="s">
        <v>57</v>
      </c>
      <c r="H7186" t="s">
        <v>40</v>
      </c>
      <c r="I7186" t="s">
        <v>2188</v>
      </c>
      <c r="J7186" s="10">
        <v>2</v>
      </c>
      <c r="K7186" t="b">
        <v>1</v>
      </c>
    </row>
    <row r="7187" spans="1:11">
      <c r="A7187" s="12">
        <v>42539</v>
      </c>
      <c r="B7187">
        <v>2016</v>
      </c>
      <c r="C7187">
        <v>6</v>
      </c>
      <c r="D7187" s="11">
        <v>42522</v>
      </c>
      <c r="E7187" t="s">
        <v>2178</v>
      </c>
      <c r="F7187">
        <v>6</v>
      </c>
      <c r="G7187" t="s">
        <v>57</v>
      </c>
      <c r="H7187" t="s">
        <v>41</v>
      </c>
      <c r="I7187" t="s">
        <v>2189</v>
      </c>
      <c r="J7187" s="10">
        <v>4.33</v>
      </c>
      <c r="K7187" t="b">
        <v>1</v>
      </c>
    </row>
    <row r="7188" spans="1:11">
      <c r="A7188" s="12">
        <v>42539</v>
      </c>
      <c r="B7188">
        <v>2016</v>
      </c>
      <c r="C7188">
        <v>6</v>
      </c>
      <c r="D7188" s="11">
        <v>42522</v>
      </c>
      <c r="E7188" t="s">
        <v>2178</v>
      </c>
      <c r="F7188">
        <v>6</v>
      </c>
      <c r="G7188" t="s">
        <v>57</v>
      </c>
      <c r="H7188" t="s">
        <v>42</v>
      </c>
      <c r="I7188" t="s">
        <v>2190</v>
      </c>
      <c r="J7188" s="10">
        <v>6.5</v>
      </c>
      <c r="K7188" t="b">
        <v>1</v>
      </c>
    </row>
    <row r="7189" spans="1:11">
      <c r="A7189" s="12">
        <v>42539</v>
      </c>
      <c r="B7189">
        <v>2016</v>
      </c>
      <c r="C7189">
        <v>6</v>
      </c>
      <c r="D7189" s="11">
        <v>42522</v>
      </c>
      <c r="E7189" t="s">
        <v>2178</v>
      </c>
      <c r="F7189">
        <v>6</v>
      </c>
      <c r="G7189" t="s">
        <v>57</v>
      </c>
      <c r="H7189" t="s">
        <v>43</v>
      </c>
      <c r="I7189" t="s">
        <v>2191</v>
      </c>
      <c r="J7189" s="10">
        <v>37.5</v>
      </c>
      <c r="K7189" t="b">
        <v>1</v>
      </c>
    </row>
    <row r="7190" spans="1:11">
      <c r="A7190" s="12">
        <v>42539</v>
      </c>
      <c r="B7190">
        <v>2016</v>
      </c>
      <c r="C7190">
        <v>6</v>
      </c>
      <c r="D7190" s="11">
        <v>42522</v>
      </c>
      <c r="E7190" t="s">
        <v>2178</v>
      </c>
      <c r="F7190">
        <v>6</v>
      </c>
      <c r="G7190" t="s">
        <v>57</v>
      </c>
      <c r="H7190" t="s">
        <v>44</v>
      </c>
      <c r="I7190" t="s">
        <v>2192</v>
      </c>
      <c r="J7190" s="10">
        <v>1</v>
      </c>
      <c r="K7190" t="b">
        <v>1</v>
      </c>
    </row>
    <row r="7191" spans="1:11">
      <c r="A7191" s="12">
        <v>42539</v>
      </c>
      <c r="B7191">
        <v>2016</v>
      </c>
      <c r="C7191">
        <v>6</v>
      </c>
      <c r="D7191" s="11">
        <v>42522</v>
      </c>
      <c r="E7191" t="s">
        <v>2178</v>
      </c>
      <c r="F7191">
        <v>6</v>
      </c>
      <c r="G7191" t="s">
        <v>57</v>
      </c>
      <c r="H7191" t="s">
        <v>45</v>
      </c>
      <c r="I7191" t="s">
        <v>2193</v>
      </c>
      <c r="J7191" s="10">
        <v>0</v>
      </c>
      <c r="K7191" t="b">
        <v>1</v>
      </c>
    </row>
    <row r="7192" spans="1:11">
      <c r="A7192" s="12">
        <v>42539</v>
      </c>
      <c r="B7192">
        <v>2016</v>
      </c>
      <c r="C7192">
        <v>6</v>
      </c>
      <c r="D7192" s="11">
        <v>42522</v>
      </c>
      <c r="E7192" t="s">
        <v>2178</v>
      </c>
      <c r="F7192">
        <v>6</v>
      </c>
      <c r="G7192" t="s">
        <v>57</v>
      </c>
      <c r="H7192" t="s">
        <v>46</v>
      </c>
      <c r="I7192" t="s">
        <v>2194</v>
      </c>
      <c r="J7192" s="10">
        <v>5</v>
      </c>
      <c r="K7192" t="b">
        <v>1</v>
      </c>
    </row>
    <row r="7193" spans="1:11">
      <c r="A7193" s="12">
        <v>42539</v>
      </c>
      <c r="B7193">
        <v>2016</v>
      </c>
      <c r="C7193">
        <v>6</v>
      </c>
      <c r="D7193" s="11">
        <v>42522</v>
      </c>
      <c r="E7193" t="s">
        <v>2178</v>
      </c>
      <c r="F7193">
        <v>6</v>
      </c>
      <c r="G7193" t="s">
        <v>57</v>
      </c>
      <c r="H7193" t="s">
        <v>47</v>
      </c>
      <c r="I7193" t="s">
        <v>2195</v>
      </c>
      <c r="J7193" s="10">
        <v>4</v>
      </c>
      <c r="K7193" t="b">
        <v>1</v>
      </c>
    </row>
    <row r="7194" spans="1:11">
      <c r="A7194" s="12">
        <v>42540</v>
      </c>
      <c r="B7194">
        <v>2016</v>
      </c>
      <c r="C7194">
        <v>6</v>
      </c>
      <c r="D7194" s="11">
        <v>42522</v>
      </c>
      <c r="E7194" t="s">
        <v>2178</v>
      </c>
      <c r="F7194">
        <v>7</v>
      </c>
      <c r="G7194" t="s">
        <v>59</v>
      </c>
      <c r="H7194" t="s">
        <v>40</v>
      </c>
      <c r="I7194" t="s">
        <v>2188</v>
      </c>
      <c r="J7194" s="10">
        <v>6.34</v>
      </c>
      <c r="K7194" t="b">
        <v>1</v>
      </c>
    </row>
    <row r="7195" spans="1:11">
      <c r="A7195" s="12">
        <v>42540</v>
      </c>
      <c r="B7195">
        <v>2016</v>
      </c>
      <c r="C7195">
        <v>6</v>
      </c>
      <c r="D7195" s="11">
        <v>42522</v>
      </c>
      <c r="E7195" t="s">
        <v>2178</v>
      </c>
      <c r="F7195">
        <v>7</v>
      </c>
      <c r="G7195" t="s">
        <v>59</v>
      </c>
      <c r="H7195" t="s">
        <v>41</v>
      </c>
      <c r="I7195" t="s">
        <v>2189</v>
      </c>
      <c r="J7195" s="10">
        <v>6.01</v>
      </c>
      <c r="K7195" t="b">
        <v>1</v>
      </c>
    </row>
    <row r="7196" spans="1:11">
      <c r="A7196" s="12">
        <v>42540</v>
      </c>
      <c r="B7196">
        <v>2016</v>
      </c>
      <c r="C7196">
        <v>6</v>
      </c>
      <c r="D7196" s="11">
        <v>42522</v>
      </c>
      <c r="E7196" t="s">
        <v>2178</v>
      </c>
      <c r="F7196">
        <v>7</v>
      </c>
      <c r="G7196" t="s">
        <v>59</v>
      </c>
      <c r="H7196" t="s">
        <v>42</v>
      </c>
      <c r="I7196" t="s">
        <v>2190</v>
      </c>
      <c r="J7196" s="10">
        <v>3</v>
      </c>
      <c r="K7196" t="b">
        <v>1</v>
      </c>
    </row>
    <row r="7197" spans="1:11">
      <c r="A7197" s="12">
        <v>42540</v>
      </c>
      <c r="B7197">
        <v>2016</v>
      </c>
      <c r="C7197">
        <v>6</v>
      </c>
      <c r="D7197" s="11">
        <v>42522</v>
      </c>
      <c r="E7197" t="s">
        <v>2178</v>
      </c>
      <c r="F7197">
        <v>7</v>
      </c>
      <c r="G7197" t="s">
        <v>59</v>
      </c>
      <c r="H7197" t="s">
        <v>43</v>
      </c>
      <c r="I7197" t="s">
        <v>2191</v>
      </c>
      <c r="J7197" s="10">
        <v>40</v>
      </c>
      <c r="K7197" t="b">
        <v>1</v>
      </c>
    </row>
    <row r="7198" spans="1:11">
      <c r="A7198" s="12">
        <v>42540</v>
      </c>
      <c r="B7198">
        <v>2016</v>
      </c>
      <c r="C7198">
        <v>6</v>
      </c>
      <c r="D7198" s="11">
        <v>42522</v>
      </c>
      <c r="E7198" t="s">
        <v>2178</v>
      </c>
      <c r="F7198">
        <v>7</v>
      </c>
      <c r="G7198" t="s">
        <v>59</v>
      </c>
      <c r="H7198" t="s">
        <v>44</v>
      </c>
      <c r="I7198" t="s">
        <v>2192</v>
      </c>
      <c r="J7198" s="10">
        <v>1</v>
      </c>
      <c r="K7198" t="b">
        <v>1</v>
      </c>
    </row>
    <row r="7199" spans="1:11">
      <c r="A7199" s="12">
        <v>42540</v>
      </c>
      <c r="B7199">
        <v>2016</v>
      </c>
      <c r="C7199">
        <v>6</v>
      </c>
      <c r="D7199" s="11">
        <v>42522</v>
      </c>
      <c r="E7199" t="s">
        <v>2178</v>
      </c>
      <c r="F7199">
        <v>7</v>
      </c>
      <c r="G7199" t="s">
        <v>59</v>
      </c>
      <c r="H7199" t="s">
        <v>45</v>
      </c>
      <c r="I7199" t="s">
        <v>2193</v>
      </c>
      <c r="J7199" s="10">
        <v>0</v>
      </c>
      <c r="K7199" t="b">
        <v>1</v>
      </c>
    </row>
    <row r="7200" spans="1:11">
      <c r="A7200" s="12">
        <v>42540</v>
      </c>
      <c r="B7200">
        <v>2016</v>
      </c>
      <c r="C7200">
        <v>6</v>
      </c>
      <c r="D7200" s="11">
        <v>42522</v>
      </c>
      <c r="E7200" t="s">
        <v>2178</v>
      </c>
      <c r="F7200">
        <v>7</v>
      </c>
      <c r="G7200" t="s">
        <v>59</v>
      </c>
      <c r="H7200" t="s">
        <v>46</v>
      </c>
      <c r="I7200" t="s">
        <v>2194</v>
      </c>
      <c r="J7200" s="10">
        <v>7</v>
      </c>
      <c r="K7200" t="b">
        <v>1</v>
      </c>
    </row>
    <row r="7201" spans="1:11">
      <c r="A7201" s="12">
        <v>42540</v>
      </c>
      <c r="B7201">
        <v>2016</v>
      </c>
      <c r="C7201">
        <v>6</v>
      </c>
      <c r="D7201" s="11">
        <v>42522</v>
      </c>
      <c r="E7201" t="s">
        <v>2178</v>
      </c>
      <c r="F7201">
        <v>7</v>
      </c>
      <c r="G7201" t="s">
        <v>59</v>
      </c>
      <c r="H7201" t="s">
        <v>47</v>
      </c>
      <c r="I7201" t="s">
        <v>2195</v>
      </c>
      <c r="J7201" s="10">
        <v>15</v>
      </c>
      <c r="K7201" t="b">
        <v>1</v>
      </c>
    </row>
    <row r="7202" spans="1:11">
      <c r="A7202" s="12">
        <v>42541</v>
      </c>
      <c r="B7202">
        <v>2016</v>
      </c>
      <c r="C7202">
        <v>6</v>
      </c>
      <c r="D7202" s="11">
        <v>42522</v>
      </c>
      <c r="E7202" t="s">
        <v>2178</v>
      </c>
      <c r="F7202">
        <v>1</v>
      </c>
      <c r="G7202" t="s">
        <v>61</v>
      </c>
      <c r="H7202" t="s">
        <v>40</v>
      </c>
      <c r="I7202" t="s">
        <v>2188</v>
      </c>
      <c r="J7202" s="10">
        <v>7.34</v>
      </c>
      <c r="K7202" t="b">
        <v>1</v>
      </c>
    </row>
    <row r="7203" spans="1:11">
      <c r="A7203" s="12">
        <v>42541</v>
      </c>
      <c r="B7203">
        <v>2016</v>
      </c>
      <c r="C7203">
        <v>6</v>
      </c>
      <c r="D7203" s="11">
        <v>42522</v>
      </c>
      <c r="E7203" t="s">
        <v>2178</v>
      </c>
      <c r="F7203">
        <v>1</v>
      </c>
      <c r="G7203" t="s">
        <v>61</v>
      </c>
      <c r="H7203" t="s">
        <v>41</v>
      </c>
      <c r="I7203" t="s">
        <v>2189</v>
      </c>
      <c r="J7203" s="10">
        <v>3.34</v>
      </c>
      <c r="K7203" t="b">
        <v>1</v>
      </c>
    </row>
    <row r="7204" spans="1:11">
      <c r="A7204" s="12">
        <v>42541</v>
      </c>
      <c r="B7204">
        <v>2016</v>
      </c>
      <c r="C7204">
        <v>6</v>
      </c>
      <c r="D7204" s="11">
        <v>42522</v>
      </c>
      <c r="E7204" t="s">
        <v>2178</v>
      </c>
      <c r="F7204">
        <v>1</v>
      </c>
      <c r="G7204" t="s">
        <v>61</v>
      </c>
      <c r="H7204" t="s">
        <v>42</v>
      </c>
      <c r="I7204" t="s">
        <v>2190</v>
      </c>
      <c r="J7204" s="10">
        <v>6</v>
      </c>
      <c r="K7204" t="b">
        <v>1</v>
      </c>
    </row>
    <row r="7205" spans="1:11">
      <c r="A7205" s="12">
        <v>42541</v>
      </c>
      <c r="B7205">
        <v>2016</v>
      </c>
      <c r="C7205">
        <v>6</v>
      </c>
      <c r="D7205" s="11">
        <v>42522</v>
      </c>
      <c r="E7205" t="s">
        <v>2178</v>
      </c>
      <c r="F7205">
        <v>1</v>
      </c>
      <c r="G7205" t="s">
        <v>61</v>
      </c>
      <c r="H7205" t="s">
        <v>43</v>
      </c>
      <c r="I7205" t="s">
        <v>2191</v>
      </c>
      <c r="J7205" s="10">
        <v>22.388</v>
      </c>
      <c r="K7205" t="b">
        <v>1</v>
      </c>
    </row>
    <row r="7206" spans="1:11">
      <c r="A7206" s="12">
        <v>42541</v>
      </c>
      <c r="B7206">
        <v>2016</v>
      </c>
      <c r="C7206">
        <v>6</v>
      </c>
      <c r="D7206" s="11">
        <v>42522</v>
      </c>
      <c r="E7206" t="s">
        <v>2178</v>
      </c>
      <c r="F7206">
        <v>1</v>
      </c>
      <c r="G7206" t="s">
        <v>61</v>
      </c>
      <c r="H7206" t="s">
        <v>44</v>
      </c>
      <c r="I7206" t="s">
        <v>2192</v>
      </c>
      <c r="J7206" s="10">
        <v>5</v>
      </c>
      <c r="K7206" t="b">
        <v>1</v>
      </c>
    </row>
    <row r="7207" spans="1:11">
      <c r="A7207" s="12">
        <v>42541</v>
      </c>
      <c r="B7207">
        <v>2016</v>
      </c>
      <c r="C7207">
        <v>6</v>
      </c>
      <c r="D7207" s="11">
        <v>42522</v>
      </c>
      <c r="E7207" t="s">
        <v>2178</v>
      </c>
      <c r="F7207">
        <v>1</v>
      </c>
      <c r="G7207" t="s">
        <v>61</v>
      </c>
      <c r="H7207" t="s">
        <v>45</v>
      </c>
      <c r="I7207" t="s">
        <v>2193</v>
      </c>
      <c r="J7207" s="10">
        <v>0</v>
      </c>
      <c r="K7207" t="b">
        <v>1</v>
      </c>
    </row>
    <row r="7208" spans="1:11">
      <c r="A7208" s="12">
        <v>42541</v>
      </c>
      <c r="B7208">
        <v>2016</v>
      </c>
      <c r="C7208">
        <v>6</v>
      </c>
      <c r="D7208" s="11">
        <v>42522</v>
      </c>
      <c r="E7208" t="s">
        <v>2178</v>
      </c>
      <c r="F7208">
        <v>1</v>
      </c>
      <c r="G7208" t="s">
        <v>61</v>
      </c>
      <c r="H7208" t="s">
        <v>46</v>
      </c>
      <c r="I7208" t="s">
        <v>2194</v>
      </c>
      <c r="J7208" s="10">
        <v>8</v>
      </c>
      <c r="K7208" t="b">
        <v>1</v>
      </c>
    </row>
    <row r="7209" spans="1:11">
      <c r="A7209" s="12">
        <v>42541</v>
      </c>
      <c r="B7209">
        <v>2016</v>
      </c>
      <c r="C7209">
        <v>6</v>
      </c>
      <c r="D7209" s="11">
        <v>42522</v>
      </c>
      <c r="E7209" t="s">
        <v>2178</v>
      </c>
      <c r="F7209">
        <v>1</v>
      </c>
      <c r="G7209" t="s">
        <v>61</v>
      </c>
      <c r="H7209" t="s">
        <v>47</v>
      </c>
      <c r="I7209" t="s">
        <v>2195</v>
      </c>
      <c r="J7209" s="10">
        <v>6</v>
      </c>
      <c r="K7209" t="b">
        <v>1</v>
      </c>
    </row>
    <row r="7210" spans="1:11">
      <c r="A7210" s="12">
        <v>42542</v>
      </c>
      <c r="B7210">
        <v>2016</v>
      </c>
      <c r="C7210">
        <v>6</v>
      </c>
      <c r="D7210" s="11">
        <v>42522</v>
      </c>
      <c r="E7210" t="s">
        <v>2178</v>
      </c>
      <c r="F7210">
        <v>2</v>
      </c>
      <c r="G7210" t="s">
        <v>63</v>
      </c>
      <c r="H7210" t="s">
        <v>40</v>
      </c>
      <c r="I7210" t="s">
        <v>2188</v>
      </c>
      <c r="J7210" s="10">
        <v>7.33</v>
      </c>
      <c r="K7210" t="b">
        <v>1</v>
      </c>
    </row>
    <row r="7211" spans="1:11">
      <c r="A7211" s="12">
        <v>42542</v>
      </c>
      <c r="B7211">
        <v>2016</v>
      </c>
      <c r="C7211">
        <v>6</v>
      </c>
      <c r="D7211" s="11">
        <v>42522</v>
      </c>
      <c r="E7211" t="s">
        <v>2178</v>
      </c>
      <c r="F7211">
        <v>2</v>
      </c>
      <c r="G7211" t="s">
        <v>63</v>
      </c>
      <c r="H7211" t="s">
        <v>41</v>
      </c>
      <c r="I7211" t="s">
        <v>2189</v>
      </c>
      <c r="J7211" s="10">
        <v>4.66</v>
      </c>
      <c r="K7211" t="b">
        <v>1</v>
      </c>
    </row>
    <row r="7212" spans="1:11">
      <c r="A7212" s="12">
        <v>42542</v>
      </c>
      <c r="B7212">
        <v>2016</v>
      </c>
      <c r="C7212">
        <v>6</v>
      </c>
      <c r="D7212" s="11">
        <v>42522</v>
      </c>
      <c r="E7212" t="s">
        <v>2178</v>
      </c>
      <c r="F7212">
        <v>2</v>
      </c>
      <c r="G7212" t="s">
        <v>63</v>
      </c>
      <c r="H7212" t="s">
        <v>42</v>
      </c>
      <c r="I7212" t="s">
        <v>2190</v>
      </c>
      <c r="J7212" s="10">
        <v>9</v>
      </c>
      <c r="K7212" t="b">
        <v>1</v>
      </c>
    </row>
    <row r="7213" spans="1:11">
      <c r="A7213" s="12">
        <v>42542</v>
      </c>
      <c r="B7213">
        <v>2016</v>
      </c>
      <c r="C7213">
        <v>6</v>
      </c>
      <c r="D7213" s="11">
        <v>42522</v>
      </c>
      <c r="E7213" t="s">
        <v>2178</v>
      </c>
      <c r="F7213">
        <v>2</v>
      </c>
      <c r="G7213" t="s">
        <v>63</v>
      </c>
      <c r="H7213" t="s">
        <v>43</v>
      </c>
      <c r="I7213" t="s">
        <v>2191</v>
      </c>
      <c r="J7213" s="10">
        <v>23</v>
      </c>
      <c r="K7213" t="b">
        <v>1</v>
      </c>
    </row>
    <row r="7214" spans="1:11">
      <c r="A7214" s="12">
        <v>42542</v>
      </c>
      <c r="B7214">
        <v>2016</v>
      </c>
      <c r="C7214">
        <v>6</v>
      </c>
      <c r="D7214" s="11">
        <v>42522</v>
      </c>
      <c r="E7214" t="s">
        <v>2178</v>
      </c>
      <c r="F7214">
        <v>2</v>
      </c>
      <c r="G7214" t="s">
        <v>63</v>
      </c>
      <c r="H7214" t="s">
        <v>44</v>
      </c>
      <c r="I7214" t="s">
        <v>2192</v>
      </c>
      <c r="J7214" s="10">
        <v>15</v>
      </c>
      <c r="K7214" t="b">
        <v>1</v>
      </c>
    </row>
    <row r="7215" spans="1:11">
      <c r="A7215" s="12">
        <v>42542</v>
      </c>
      <c r="B7215">
        <v>2016</v>
      </c>
      <c r="C7215">
        <v>6</v>
      </c>
      <c r="D7215" s="11">
        <v>42522</v>
      </c>
      <c r="E7215" t="s">
        <v>2178</v>
      </c>
      <c r="F7215">
        <v>2</v>
      </c>
      <c r="G7215" t="s">
        <v>63</v>
      </c>
      <c r="H7215" t="s">
        <v>45</v>
      </c>
      <c r="I7215" t="s">
        <v>2193</v>
      </c>
      <c r="J7215" s="10">
        <v>0</v>
      </c>
      <c r="K7215" t="b">
        <v>1</v>
      </c>
    </row>
    <row r="7216" spans="1:11">
      <c r="A7216" s="12">
        <v>42542</v>
      </c>
      <c r="B7216">
        <v>2016</v>
      </c>
      <c r="C7216">
        <v>6</v>
      </c>
      <c r="D7216" s="11">
        <v>42522</v>
      </c>
      <c r="E7216" t="s">
        <v>2178</v>
      </c>
      <c r="F7216">
        <v>2</v>
      </c>
      <c r="G7216" t="s">
        <v>63</v>
      </c>
      <c r="H7216" t="s">
        <v>46</v>
      </c>
      <c r="I7216" t="s">
        <v>2194</v>
      </c>
      <c r="J7216" s="10">
        <v>7</v>
      </c>
      <c r="K7216" t="b">
        <v>1</v>
      </c>
    </row>
    <row r="7217" spans="1:11">
      <c r="A7217" s="12">
        <v>42542</v>
      </c>
      <c r="B7217">
        <v>2016</v>
      </c>
      <c r="C7217">
        <v>6</v>
      </c>
      <c r="D7217" s="11">
        <v>42522</v>
      </c>
      <c r="E7217" t="s">
        <v>2178</v>
      </c>
      <c r="F7217">
        <v>2</v>
      </c>
      <c r="G7217" t="s">
        <v>63</v>
      </c>
      <c r="H7217" t="s">
        <v>47</v>
      </c>
      <c r="I7217" t="s">
        <v>2195</v>
      </c>
      <c r="J7217" s="10">
        <v>5.6</v>
      </c>
      <c r="K7217" t="b">
        <v>1</v>
      </c>
    </row>
    <row r="7218" spans="1:11">
      <c r="A7218" s="12">
        <v>42543</v>
      </c>
      <c r="B7218">
        <v>2016</v>
      </c>
      <c r="C7218">
        <v>6</v>
      </c>
      <c r="D7218" s="11">
        <v>42522</v>
      </c>
      <c r="E7218" t="s">
        <v>2178</v>
      </c>
      <c r="F7218">
        <v>3</v>
      </c>
      <c r="G7218" t="s">
        <v>65</v>
      </c>
      <c r="H7218" t="s">
        <v>40</v>
      </c>
      <c r="I7218" t="s">
        <v>2188</v>
      </c>
      <c r="J7218" s="10">
        <v>2</v>
      </c>
      <c r="K7218" t="b">
        <v>1</v>
      </c>
    </row>
    <row r="7219" spans="1:11">
      <c r="A7219" s="12">
        <v>42543</v>
      </c>
      <c r="B7219">
        <v>2016</v>
      </c>
      <c r="C7219">
        <v>6</v>
      </c>
      <c r="D7219" s="11">
        <v>42522</v>
      </c>
      <c r="E7219" t="s">
        <v>2178</v>
      </c>
      <c r="F7219">
        <v>3</v>
      </c>
      <c r="G7219" t="s">
        <v>65</v>
      </c>
      <c r="H7219" t="s">
        <v>41</v>
      </c>
      <c r="I7219" t="s">
        <v>2189</v>
      </c>
      <c r="J7219" s="10">
        <v>6.067</v>
      </c>
      <c r="K7219" t="b">
        <v>1</v>
      </c>
    </row>
    <row r="7220" spans="1:11">
      <c r="A7220" s="12">
        <v>42543</v>
      </c>
      <c r="B7220">
        <v>2016</v>
      </c>
      <c r="C7220">
        <v>6</v>
      </c>
      <c r="D7220" s="11">
        <v>42522</v>
      </c>
      <c r="E7220" t="s">
        <v>2178</v>
      </c>
      <c r="F7220">
        <v>3</v>
      </c>
      <c r="G7220" t="s">
        <v>65</v>
      </c>
      <c r="H7220" t="s">
        <v>42</v>
      </c>
      <c r="I7220" t="s">
        <v>2190</v>
      </c>
      <c r="J7220" s="10">
        <v>2.3</v>
      </c>
      <c r="K7220" t="b">
        <v>1</v>
      </c>
    </row>
    <row r="7221" spans="1:11">
      <c r="A7221" s="12">
        <v>42543</v>
      </c>
      <c r="B7221">
        <v>2016</v>
      </c>
      <c r="C7221">
        <v>6</v>
      </c>
      <c r="D7221" s="11">
        <v>42522</v>
      </c>
      <c r="E7221" t="s">
        <v>2178</v>
      </c>
      <c r="F7221">
        <v>3</v>
      </c>
      <c r="G7221" t="s">
        <v>65</v>
      </c>
      <c r="H7221" t="s">
        <v>43</v>
      </c>
      <c r="I7221" t="s">
        <v>2191</v>
      </c>
      <c r="J7221" s="10">
        <v>42</v>
      </c>
      <c r="K7221" t="b">
        <v>1</v>
      </c>
    </row>
    <row r="7222" spans="1:11">
      <c r="A7222" s="12">
        <v>42543</v>
      </c>
      <c r="B7222">
        <v>2016</v>
      </c>
      <c r="C7222">
        <v>6</v>
      </c>
      <c r="D7222" s="11">
        <v>42522</v>
      </c>
      <c r="E7222" t="s">
        <v>2178</v>
      </c>
      <c r="F7222">
        <v>3</v>
      </c>
      <c r="G7222" t="s">
        <v>65</v>
      </c>
      <c r="H7222" t="s">
        <v>44</v>
      </c>
      <c r="I7222" t="s">
        <v>2192</v>
      </c>
      <c r="J7222" s="10">
        <v>6</v>
      </c>
      <c r="K7222" t="b">
        <v>1</v>
      </c>
    </row>
    <row r="7223" spans="1:11">
      <c r="A7223" s="12">
        <v>42543</v>
      </c>
      <c r="B7223">
        <v>2016</v>
      </c>
      <c r="C7223">
        <v>6</v>
      </c>
      <c r="D7223" s="11">
        <v>42522</v>
      </c>
      <c r="E7223" t="s">
        <v>2178</v>
      </c>
      <c r="F7223">
        <v>3</v>
      </c>
      <c r="G7223" t="s">
        <v>65</v>
      </c>
      <c r="H7223" t="s">
        <v>45</v>
      </c>
      <c r="I7223" t="s">
        <v>2193</v>
      </c>
      <c r="J7223" s="10">
        <v>0</v>
      </c>
      <c r="K7223" t="b">
        <v>1</v>
      </c>
    </row>
    <row r="7224" spans="1:11">
      <c r="A7224" s="12">
        <v>42543</v>
      </c>
      <c r="B7224">
        <v>2016</v>
      </c>
      <c r="C7224">
        <v>6</v>
      </c>
      <c r="D7224" s="11">
        <v>42522</v>
      </c>
      <c r="E7224" t="s">
        <v>2178</v>
      </c>
      <c r="F7224">
        <v>3</v>
      </c>
      <c r="G7224" t="s">
        <v>65</v>
      </c>
      <c r="H7224" t="s">
        <v>46</v>
      </c>
      <c r="I7224" t="s">
        <v>2194</v>
      </c>
      <c r="J7224" s="10">
        <v>2</v>
      </c>
      <c r="K7224" t="b">
        <v>1</v>
      </c>
    </row>
    <row r="7225" spans="1:11">
      <c r="A7225" s="12">
        <v>42543</v>
      </c>
      <c r="B7225">
        <v>2016</v>
      </c>
      <c r="C7225">
        <v>6</v>
      </c>
      <c r="D7225" s="11">
        <v>42522</v>
      </c>
      <c r="E7225" t="s">
        <v>2178</v>
      </c>
      <c r="F7225">
        <v>3</v>
      </c>
      <c r="G7225" t="s">
        <v>65</v>
      </c>
      <c r="H7225" t="s">
        <v>47</v>
      </c>
      <c r="I7225" t="s">
        <v>2195</v>
      </c>
      <c r="J7225" s="10">
        <v>2</v>
      </c>
      <c r="K7225" t="b">
        <v>1</v>
      </c>
    </row>
    <row r="7226" spans="1:11">
      <c r="A7226" s="12">
        <v>42544</v>
      </c>
      <c r="B7226">
        <v>2016</v>
      </c>
      <c r="C7226">
        <v>6</v>
      </c>
      <c r="D7226" s="11">
        <v>42522</v>
      </c>
      <c r="E7226" t="s">
        <v>2178</v>
      </c>
      <c r="F7226">
        <v>4</v>
      </c>
      <c r="G7226" t="s">
        <v>53</v>
      </c>
      <c r="H7226" t="s">
        <v>40</v>
      </c>
      <c r="I7226" t="s">
        <v>2188</v>
      </c>
      <c r="J7226" s="10">
        <v>3</v>
      </c>
      <c r="K7226" t="b">
        <v>1</v>
      </c>
    </row>
    <row r="7227" spans="1:11">
      <c r="A7227" s="12">
        <v>42544</v>
      </c>
      <c r="B7227">
        <v>2016</v>
      </c>
      <c r="C7227">
        <v>6</v>
      </c>
      <c r="D7227" s="11">
        <v>42522</v>
      </c>
      <c r="E7227" t="s">
        <v>2178</v>
      </c>
      <c r="F7227">
        <v>4</v>
      </c>
      <c r="G7227" t="s">
        <v>53</v>
      </c>
      <c r="H7227" t="s">
        <v>41</v>
      </c>
      <c r="I7227" t="s">
        <v>2189</v>
      </c>
      <c r="J7227" s="10">
        <v>0.33</v>
      </c>
      <c r="K7227" t="b">
        <v>1</v>
      </c>
    </row>
    <row r="7228" spans="1:11">
      <c r="A7228" s="12">
        <v>42544</v>
      </c>
      <c r="B7228">
        <v>2016</v>
      </c>
      <c r="C7228">
        <v>6</v>
      </c>
      <c r="D7228" s="11">
        <v>42522</v>
      </c>
      <c r="E7228" t="s">
        <v>2178</v>
      </c>
      <c r="F7228">
        <v>4</v>
      </c>
      <c r="G7228" t="s">
        <v>53</v>
      </c>
      <c r="H7228" t="s">
        <v>42</v>
      </c>
      <c r="I7228" t="s">
        <v>2190</v>
      </c>
      <c r="J7228" s="10">
        <v>2.3</v>
      </c>
      <c r="K7228" t="b">
        <v>1</v>
      </c>
    </row>
    <row r="7229" spans="1:11">
      <c r="A7229" s="12">
        <v>42544</v>
      </c>
      <c r="B7229">
        <v>2016</v>
      </c>
      <c r="C7229">
        <v>6</v>
      </c>
      <c r="D7229" s="11">
        <v>42522</v>
      </c>
      <c r="E7229" t="s">
        <v>2178</v>
      </c>
      <c r="F7229">
        <v>4</v>
      </c>
      <c r="G7229" t="s">
        <v>53</v>
      </c>
      <c r="H7229" t="s">
        <v>43</v>
      </c>
      <c r="I7229" t="s">
        <v>2191</v>
      </c>
      <c r="J7229" s="10">
        <v>19</v>
      </c>
      <c r="K7229" t="b">
        <v>1</v>
      </c>
    </row>
    <row r="7230" spans="1:11">
      <c r="A7230" s="12">
        <v>42544</v>
      </c>
      <c r="B7230">
        <v>2016</v>
      </c>
      <c r="C7230">
        <v>6</v>
      </c>
      <c r="D7230" s="11">
        <v>42522</v>
      </c>
      <c r="E7230" t="s">
        <v>2178</v>
      </c>
      <c r="F7230">
        <v>4</v>
      </c>
      <c r="G7230" t="s">
        <v>53</v>
      </c>
      <c r="H7230" t="s">
        <v>44</v>
      </c>
      <c r="I7230" t="s">
        <v>2192</v>
      </c>
      <c r="J7230" s="10">
        <v>5</v>
      </c>
      <c r="K7230" t="b">
        <v>1</v>
      </c>
    </row>
    <row r="7231" spans="1:11">
      <c r="A7231" s="12">
        <v>42544</v>
      </c>
      <c r="B7231">
        <v>2016</v>
      </c>
      <c r="C7231">
        <v>6</v>
      </c>
      <c r="D7231" s="11">
        <v>42522</v>
      </c>
      <c r="E7231" t="s">
        <v>2178</v>
      </c>
      <c r="F7231">
        <v>4</v>
      </c>
      <c r="G7231" t="s">
        <v>53</v>
      </c>
      <c r="H7231" t="s">
        <v>45</v>
      </c>
      <c r="I7231" t="s">
        <v>2193</v>
      </c>
      <c r="J7231" s="10">
        <v>0</v>
      </c>
      <c r="K7231" t="b">
        <v>1</v>
      </c>
    </row>
    <row r="7232" spans="1:11">
      <c r="A7232" s="12">
        <v>42544</v>
      </c>
      <c r="B7232">
        <v>2016</v>
      </c>
      <c r="C7232">
        <v>6</v>
      </c>
      <c r="D7232" s="11">
        <v>42522</v>
      </c>
      <c r="E7232" t="s">
        <v>2178</v>
      </c>
      <c r="F7232">
        <v>4</v>
      </c>
      <c r="G7232" t="s">
        <v>53</v>
      </c>
      <c r="H7232" t="s">
        <v>46</v>
      </c>
      <c r="I7232" t="s">
        <v>2194</v>
      </c>
      <c r="J7232" s="10">
        <v>1</v>
      </c>
      <c r="K7232" t="b">
        <v>1</v>
      </c>
    </row>
    <row r="7233" spans="1:11">
      <c r="A7233" s="12">
        <v>42544</v>
      </c>
      <c r="B7233">
        <v>2016</v>
      </c>
      <c r="C7233">
        <v>6</v>
      </c>
      <c r="D7233" s="11">
        <v>42522</v>
      </c>
      <c r="E7233" t="s">
        <v>2178</v>
      </c>
      <c r="F7233">
        <v>4</v>
      </c>
      <c r="G7233" t="s">
        <v>53</v>
      </c>
      <c r="H7233" t="s">
        <v>47</v>
      </c>
      <c r="I7233" t="s">
        <v>2195</v>
      </c>
      <c r="J7233" s="10">
        <v>3</v>
      </c>
      <c r="K7233" t="b">
        <v>1</v>
      </c>
    </row>
    <row r="7234" spans="1:11">
      <c r="A7234" s="12">
        <v>42545</v>
      </c>
      <c r="B7234">
        <v>2016</v>
      </c>
      <c r="C7234">
        <v>6</v>
      </c>
      <c r="D7234" s="11">
        <v>42522</v>
      </c>
      <c r="E7234" t="s">
        <v>2178</v>
      </c>
      <c r="F7234">
        <v>5</v>
      </c>
      <c r="G7234" t="s">
        <v>55</v>
      </c>
      <c r="H7234" t="s">
        <v>40</v>
      </c>
      <c r="I7234" t="s">
        <v>2188</v>
      </c>
      <c r="J7234" s="10">
        <v>6</v>
      </c>
      <c r="K7234" t="b">
        <v>1</v>
      </c>
    </row>
    <row r="7235" spans="1:11">
      <c r="A7235" s="12">
        <v>42545</v>
      </c>
      <c r="B7235">
        <v>2016</v>
      </c>
      <c r="C7235">
        <v>6</v>
      </c>
      <c r="D7235" s="11">
        <v>42522</v>
      </c>
      <c r="E7235" t="s">
        <v>2178</v>
      </c>
      <c r="F7235">
        <v>5</v>
      </c>
      <c r="G7235" t="s">
        <v>55</v>
      </c>
      <c r="H7235" t="s">
        <v>41</v>
      </c>
      <c r="I7235" t="s">
        <v>2189</v>
      </c>
      <c r="J7235" s="10">
        <v>2.34</v>
      </c>
      <c r="K7235" t="b">
        <v>1</v>
      </c>
    </row>
    <row r="7236" spans="1:11">
      <c r="A7236" s="12">
        <v>42545</v>
      </c>
      <c r="B7236">
        <v>2016</v>
      </c>
      <c r="C7236">
        <v>6</v>
      </c>
      <c r="D7236" s="11">
        <v>42522</v>
      </c>
      <c r="E7236" t="s">
        <v>2178</v>
      </c>
      <c r="F7236">
        <v>5</v>
      </c>
      <c r="G7236" t="s">
        <v>55</v>
      </c>
      <c r="H7236" t="s">
        <v>42</v>
      </c>
      <c r="I7236" t="s">
        <v>2190</v>
      </c>
      <c r="J7236" s="10">
        <v>3.05</v>
      </c>
      <c r="K7236" t="b">
        <v>1</v>
      </c>
    </row>
    <row r="7237" spans="1:11">
      <c r="A7237" s="12">
        <v>42545</v>
      </c>
      <c r="B7237">
        <v>2016</v>
      </c>
      <c r="C7237">
        <v>6</v>
      </c>
      <c r="D7237" s="11">
        <v>42522</v>
      </c>
      <c r="E7237" t="s">
        <v>2178</v>
      </c>
      <c r="F7237">
        <v>5</v>
      </c>
      <c r="G7237" t="s">
        <v>55</v>
      </c>
      <c r="H7237" t="s">
        <v>43</v>
      </c>
      <c r="I7237" t="s">
        <v>2191</v>
      </c>
      <c r="J7237" s="10">
        <v>19</v>
      </c>
      <c r="K7237" t="b">
        <v>1</v>
      </c>
    </row>
    <row r="7238" spans="1:11">
      <c r="A7238" s="12">
        <v>42545</v>
      </c>
      <c r="B7238">
        <v>2016</v>
      </c>
      <c r="C7238">
        <v>6</v>
      </c>
      <c r="D7238" s="11">
        <v>42522</v>
      </c>
      <c r="E7238" t="s">
        <v>2178</v>
      </c>
      <c r="F7238">
        <v>5</v>
      </c>
      <c r="G7238" t="s">
        <v>55</v>
      </c>
      <c r="H7238" t="s">
        <v>44</v>
      </c>
      <c r="I7238" t="s">
        <v>2192</v>
      </c>
      <c r="J7238" s="10">
        <v>15</v>
      </c>
      <c r="K7238" t="b">
        <v>1</v>
      </c>
    </row>
    <row r="7239" spans="1:11">
      <c r="A7239" s="12">
        <v>42545</v>
      </c>
      <c r="B7239">
        <v>2016</v>
      </c>
      <c r="C7239">
        <v>6</v>
      </c>
      <c r="D7239" s="11">
        <v>42522</v>
      </c>
      <c r="E7239" t="s">
        <v>2178</v>
      </c>
      <c r="F7239">
        <v>5</v>
      </c>
      <c r="G7239" t="s">
        <v>55</v>
      </c>
      <c r="H7239" t="s">
        <v>45</v>
      </c>
      <c r="I7239" t="s">
        <v>2193</v>
      </c>
      <c r="J7239" s="10">
        <v>0</v>
      </c>
      <c r="K7239" t="b">
        <v>1</v>
      </c>
    </row>
    <row r="7240" spans="1:11">
      <c r="A7240" s="12">
        <v>42545</v>
      </c>
      <c r="B7240">
        <v>2016</v>
      </c>
      <c r="C7240">
        <v>6</v>
      </c>
      <c r="D7240" s="11">
        <v>42522</v>
      </c>
      <c r="E7240" t="s">
        <v>2178</v>
      </c>
      <c r="F7240">
        <v>5</v>
      </c>
      <c r="G7240" t="s">
        <v>55</v>
      </c>
      <c r="H7240" t="s">
        <v>46</v>
      </c>
      <c r="I7240" t="s">
        <v>2194</v>
      </c>
      <c r="J7240" s="10">
        <v>1</v>
      </c>
      <c r="K7240" t="b">
        <v>1</v>
      </c>
    </row>
    <row r="7241" spans="1:11">
      <c r="A7241" s="12">
        <v>42545</v>
      </c>
      <c r="B7241">
        <v>2016</v>
      </c>
      <c r="C7241">
        <v>6</v>
      </c>
      <c r="D7241" s="11">
        <v>42522</v>
      </c>
      <c r="E7241" t="s">
        <v>2178</v>
      </c>
      <c r="F7241">
        <v>5</v>
      </c>
      <c r="G7241" t="s">
        <v>55</v>
      </c>
      <c r="H7241" t="s">
        <v>47</v>
      </c>
      <c r="I7241" t="s">
        <v>2195</v>
      </c>
      <c r="J7241" s="10">
        <v>2</v>
      </c>
      <c r="K7241" t="b">
        <v>1</v>
      </c>
    </row>
    <row r="7242" spans="1:11">
      <c r="A7242" s="12">
        <v>42546</v>
      </c>
      <c r="B7242">
        <v>2016</v>
      </c>
      <c r="C7242">
        <v>6</v>
      </c>
      <c r="D7242" s="11">
        <v>42522</v>
      </c>
      <c r="E7242" t="s">
        <v>2178</v>
      </c>
      <c r="F7242">
        <v>6</v>
      </c>
      <c r="G7242" t="s">
        <v>57</v>
      </c>
      <c r="H7242" t="s">
        <v>40</v>
      </c>
      <c r="I7242" t="s">
        <v>2188</v>
      </c>
      <c r="J7242" s="10">
        <v>5.68</v>
      </c>
      <c r="K7242" t="b">
        <v>1</v>
      </c>
    </row>
    <row r="7243" spans="1:11">
      <c r="A7243" s="12">
        <v>42546</v>
      </c>
      <c r="B7243">
        <v>2016</v>
      </c>
      <c r="C7243">
        <v>6</v>
      </c>
      <c r="D7243" s="11">
        <v>42522</v>
      </c>
      <c r="E7243" t="s">
        <v>2178</v>
      </c>
      <c r="F7243">
        <v>6</v>
      </c>
      <c r="G7243" t="s">
        <v>57</v>
      </c>
      <c r="H7243" t="s">
        <v>41</v>
      </c>
      <c r="I7243" t="s">
        <v>2189</v>
      </c>
      <c r="J7243" s="10">
        <v>4.99</v>
      </c>
      <c r="K7243" t="b">
        <v>1</v>
      </c>
    </row>
    <row r="7244" spans="1:11">
      <c r="A7244" s="12">
        <v>42546</v>
      </c>
      <c r="B7244">
        <v>2016</v>
      </c>
      <c r="C7244">
        <v>6</v>
      </c>
      <c r="D7244" s="11">
        <v>42522</v>
      </c>
      <c r="E7244" t="s">
        <v>2178</v>
      </c>
      <c r="F7244">
        <v>6</v>
      </c>
      <c r="G7244" t="s">
        <v>57</v>
      </c>
      <c r="H7244" t="s">
        <v>42</v>
      </c>
      <c r="I7244" t="s">
        <v>2190</v>
      </c>
      <c r="J7244" s="10">
        <v>8</v>
      </c>
      <c r="K7244" t="b">
        <v>1</v>
      </c>
    </row>
    <row r="7245" spans="1:11">
      <c r="A7245" s="12">
        <v>42546</v>
      </c>
      <c r="B7245">
        <v>2016</v>
      </c>
      <c r="C7245">
        <v>6</v>
      </c>
      <c r="D7245" s="11">
        <v>42522</v>
      </c>
      <c r="E7245" t="s">
        <v>2178</v>
      </c>
      <c r="F7245">
        <v>6</v>
      </c>
      <c r="G7245" t="s">
        <v>57</v>
      </c>
      <c r="H7245" t="s">
        <v>43</v>
      </c>
      <c r="I7245" t="s">
        <v>2191</v>
      </c>
      <c r="J7245" s="10">
        <v>20.25</v>
      </c>
      <c r="K7245" t="b">
        <v>1</v>
      </c>
    </row>
    <row r="7246" spans="1:11">
      <c r="A7246" s="12">
        <v>42546</v>
      </c>
      <c r="B7246">
        <v>2016</v>
      </c>
      <c r="C7246">
        <v>6</v>
      </c>
      <c r="D7246" s="11">
        <v>42522</v>
      </c>
      <c r="E7246" t="s">
        <v>2178</v>
      </c>
      <c r="F7246">
        <v>6</v>
      </c>
      <c r="G7246" t="s">
        <v>57</v>
      </c>
      <c r="H7246" t="s">
        <v>44</v>
      </c>
      <c r="I7246" t="s">
        <v>2192</v>
      </c>
      <c r="J7246" s="10">
        <v>5</v>
      </c>
      <c r="K7246" t="b">
        <v>1</v>
      </c>
    </row>
    <row r="7247" spans="1:11">
      <c r="A7247" s="12">
        <v>42546</v>
      </c>
      <c r="B7247">
        <v>2016</v>
      </c>
      <c r="C7247">
        <v>6</v>
      </c>
      <c r="D7247" s="11">
        <v>42522</v>
      </c>
      <c r="E7247" t="s">
        <v>2178</v>
      </c>
      <c r="F7247">
        <v>6</v>
      </c>
      <c r="G7247" t="s">
        <v>57</v>
      </c>
      <c r="H7247" t="s">
        <v>45</v>
      </c>
      <c r="I7247" t="s">
        <v>2193</v>
      </c>
      <c r="J7247" s="10">
        <v>0</v>
      </c>
      <c r="K7247" t="b">
        <v>1</v>
      </c>
    </row>
    <row r="7248" spans="1:11">
      <c r="A7248" s="12">
        <v>42546</v>
      </c>
      <c r="B7248">
        <v>2016</v>
      </c>
      <c r="C7248">
        <v>6</v>
      </c>
      <c r="D7248" s="11">
        <v>42522</v>
      </c>
      <c r="E7248" t="s">
        <v>2178</v>
      </c>
      <c r="F7248">
        <v>6</v>
      </c>
      <c r="G7248" t="s">
        <v>57</v>
      </c>
      <c r="H7248" t="s">
        <v>46</v>
      </c>
      <c r="I7248" t="s">
        <v>2194</v>
      </c>
      <c r="J7248" s="10">
        <v>1</v>
      </c>
      <c r="K7248" t="b">
        <v>1</v>
      </c>
    </row>
    <row r="7249" spans="1:11">
      <c r="A7249" s="12">
        <v>42546</v>
      </c>
      <c r="B7249">
        <v>2016</v>
      </c>
      <c r="C7249">
        <v>6</v>
      </c>
      <c r="D7249" s="11">
        <v>42522</v>
      </c>
      <c r="E7249" t="s">
        <v>2178</v>
      </c>
      <c r="F7249">
        <v>6</v>
      </c>
      <c r="G7249" t="s">
        <v>57</v>
      </c>
      <c r="H7249" t="s">
        <v>47</v>
      </c>
      <c r="I7249" t="s">
        <v>2195</v>
      </c>
      <c r="J7249" s="10">
        <v>4</v>
      </c>
      <c r="K7249" t="b">
        <v>1</v>
      </c>
    </row>
    <row r="7250" spans="1:11">
      <c r="A7250" s="12">
        <v>42547</v>
      </c>
      <c r="B7250">
        <v>2016</v>
      </c>
      <c r="C7250">
        <v>6</v>
      </c>
      <c r="D7250" s="11">
        <v>42522</v>
      </c>
      <c r="E7250" t="s">
        <v>2178</v>
      </c>
      <c r="F7250">
        <v>7</v>
      </c>
      <c r="G7250" t="s">
        <v>59</v>
      </c>
      <c r="H7250" t="s">
        <v>40</v>
      </c>
      <c r="I7250" t="s">
        <v>2188</v>
      </c>
      <c r="J7250" s="10">
        <v>3</v>
      </c>
      <c r="K7250" t="b">
        <v>1</v>
      </c>
    </row>
    <row r="7251" spans="1:11">
      <c r="A7251" s="12">
        <v>42547</v>
      </c>
      <c r="B7251">
        <v>2016</v>
      </c>
      <c r="C7251">
        <v>6</v>
      </c>
      <c r="D7251" s="11">
        <v>42522</v>
      </c>
      <c r="E7251" t="s">
        <v>2178</v>
      </c>
      <c r="F7251">
        <v>7</v>
      </c>
      <c r="G7251" t="s">
        <v>59</v>
      </c>
      <c r="H7251" t="s">
        <v>41</v>
      </c>
      <c r="I7251" t="s">
        <v>2189</v>
      </c>
      <c r="J7251" s="10">
        <v>3.845</v>
      </c>
      <c r="K7251" t="b">
        <v>1</v>
      </c>
    </row>
    <row r="7252" spans="1:11">
      <c r="A7252" s="12">
        <v>42547</v>
      </c>
      <c r="B7252">
        <v>2016</v>
      </c>
      <c r="C7252">
        <v>6</v>
      </c>
      <c r="D7252" s="11">
        <v>42522</v>
      </c>
      <c r="E7252" t="s">
        <v>2178</v>
      </c>
      <c r="F7252">
        <v>7</v>
      </c>
      <c r="G7252" t="s">
        <v>59</v>
      </c>
      <c r="H7252" t="s">
        <v>42</v>
      </c>
      <c r="I7252" t="s">
        <v>2190</v>
      </c>
      <c r="J7252" s="10">
        <v>2</v>
      </c>
      <c r="K7252" t="b">
        <v>1</v>
      </c>
    </row>
    <row r="7253" spans="1:11">
      <c r="A7253" s="12">
        <v>42547</v>
      </c>
      <c r="B7253">
        <v>2016</v>
      </c>
      <c r="C7253">
        <v>6</v>
      </c>
      <c r="D7253" s="11">
        <v>42522</v>
      </c>
      <c r="E7253" t="s">
        <v>2178</v>
      </c>
      <c r="F7253">
        <v>7</v>
      </c>
      <c r="G7253" t="s">
        <v>59</v>
      </c>
      <c r="H7253" t="s">
        <v>43</v>
      </c>
      <c r="I7253" t="s">
        <v>2191</v>
      </c>
      <c r="J7253" s="10">
        <v>17.4</v>
      </c>
      <c r="K7253" t="b">
        <v>1</v>
      </c>
    </row>
    <row r="7254" spans="1:11">
      <c r="A7254" s="12">
        <v>42547</v>
      </c>
      <c r="B7254">
        <v>2016</v>
      </c>
      <c r="C7254">
        <v>6</v>
      </c>
      <c r="D7254" s="11">
        <v>42522</v>
      </c>
      <c r="E7254" t="s">
        <v>2178</v>
      </c>
      <c r="F7254">
        <v>7</v>
      </c>
      <c r="G7254" t="s">
        <v>59</v>
      </c>
      <c r="H7254" t="s">
        <v>44</v>
      </c>
      <c r="I7254" t="s">
        <v>2192</v>
      </c>
      <c r="J7254" s="10">
        <v>20</v>
      </c>
      <c r="K7254" t="b">
        <v>1</v>
      </c>
    </row>
    <row r="7255" spans="1:11">
      <c r="A7255" s="12">
        <v>42547</v>
      </c>
      <c r="B7255">
        <v>2016</v>
      </c>
      <c r="C7255">
        <v>6</v>
      </c>
      <c r="D7255" s="11">
        <v>42522</v>
      </c>
      <c r="E7255" t="s">
        <v>2178</v>
      </c>
      <c r="F7255">
        <v>7</v>
      </c>
      <c r="G7255" t="s">
        <v>59</v>
      </c>
      <c r="H7255" t="s">
        <v>45</v>
      </c>
      <c r="I7255" t="s">
        <v>2193</v>
      </c>
      <c r="J7255" s="10">
        <v>0</v>
      </c>
      <c r="K7255" t="b">
        <v>1</v>
      </c>
    </row>
    <row r="7256" spans="1:11">
      <c r="A7256" s="12">
        <v>42547</v>
      </c>
      <c r="B7256">
        <v>2016</v>
      </c>
      <c r="C7256">
        <v>6</v>
      </c>
      <c r="D7256" s="11">
        <v>42522</v>
      </c>
      <c r="E7256" t="s">
        <v>2178</v>
      </c>
      <c r="F7256">
        <v>7</v>
      </c>
      <c r="G7256" t="s">
        <v>59</v>
      </c>
      <c r="H7256" t="s">
        <v>46</v>
      </c>
      <c r="I7256" t="s">
        <v>2194</v>
      </c>
      <c r="J7256" s="10">
        <v>2</v>
      </c>
      <c r="K7256" t="b">
        <v>1</v>
      </c>
    </row>
    <row r="7257" spans="1:11">
      <c r="A7257" s="12">
        <v>42547</v>
      </c>
      <c r="B7257">
        <v>2016</v>
      </c>
      <c r="C7257">
        <v>6</v>
      </c>
      <c r="D7257" s="11">
        <v>42522</v>
      </c>
      <c r="E7257" t="s">
        <v>2178</v>
      </c>
      <c r="F7257">
        <v>7</v>
      </c>
      <c r="G7257" t="s">
        <v>59</v>
      </c>
      <c r="H7257" t="s">
        <v>47</v>
      </c>
      <c r="I7257" t="s">
        <v>2195</v>
      </c>
      <c r="J7257" s="10">
        <v>3</v>
      </c>
      <c r="K7257" t="b">
        <v>1</v>
      </c>
    </row>
    <row r="7258" spans="1:11">
      <c r="A7258" s="12">
        <v>42548</v>
      </c>
      <c r="B7258">
        <v>2016</v>
      </c>
      <c r="C7258">
        <v>6</v>
      </c>
      <c r="D7258" s="11">
        <v>42522</v>
      </c>
      <c r="E7258" t="s">
        <v>2178</v>
      </c>
      <c r="F7258">
        <v>1</v>
      </c>
      <c r="G7258" t="s">
        <v>61</v>
      </c>
      <c r="H7258" t="s">
        <v>40</v>
      </c>
      <c r="I7258" t="s">
        <v>2188</v>
      </c>
      <c r="J7258" s="10">
        <v>6</v>
      </c>
      <c r="K7258" t="b">
        <v>1</v>
      </c>
    </row>
    <row r="7259" spans="1:11">
      <c r="A7259" s="12">
        <v>42548</v>
      </c>
      <c r="B7259">
        <v>2016</v>
      </c>
      <c r="C7259">
        <v>6</v>
      </c>
      <c r="D7259" s="11">
        <v>42522</v>
      </c>
      <c r="E7259" t="s">
        <v>2178</v>
      </c>
      <c r="F7259">
        <v>1</v>
      </c>
      <c r="G7259" t="s">
        <v>61</v>
      </c>
      <c r="H7259" t="s">
        <v>41</v>
      </c>
      <c r="I7259" t="s">
        <v>2189</v>
      </c>
      <c r="J7259" s="10">
        <v>3.067</v>
      </c>
      <c r="K7259" t="b">
        <v>1</v>
      </c>
    </row>
    <row r="7260" spans="1:11">
      <c r="A7260" s="12">
        <v>42548</v>
      </c>
      <c r="B7260">
        <v>2016</v>
      </c>
      <c r="C7260">
        <v>6</v>
      </c>
      <c r="D7260" s="11">
        <v>42522</v>
      </c>
      <c r="E7260" t="s">
        <v>2178</v>
      </c>
      <c r="F7260">
        <v>1</v>
      </c>
      <c r="G7260" t="s">
        <v>61</v>
      </c>
      <c r="H7260" t="s">
        <v>42</v>
      </c>
      <c r="I7260" t="s">
        <v>2190</v>
      </c>
      <c r="J7260" s="10">
        <v>5.25</v>
      </c>
      <c r="K7260" t="b">
        <v>1</v>
      </c>
    </row>
    <row r="7261" spans="1:11">
      <c r="A7261" s="12">
        <v>42548</v>
      </c>
      <c r="B7261">
        <v>2016</v>
      </c>
      <c r="C7261">
        <v>6</v>
      </c>
      <c r="D7261" s="11">
        <v>42522</v>
      </c>
      <c r="E7261" t="s">
        <v>2178</v>
      </c>
      <c r="F7261">
        <v>1</v>
      </c>
      <c r="G7261" t="s">
        <v>61</v>
      </c>
      <c r="H7261" t="s">
        <v>43</v>
      </c>
      <c r="I7261" t="s">
        <v>2191</v>
      </c>
      <c r="J7261" s="10">
        <v>24</v>
      </c>
      <c r="K7261" t="b">
        <v>1</v>
      </c>
    </row>
    <row r="7262" spans="1:11">
      <c r="A7262" s="12">
        <v>42548</v>
      </c>
      <c r="B7262">
        <v>2016</v>
      </c>
      <c r="C7262">
        <v>6</v>
      </c>
      <c r="D7262" s="11">
        <v>42522</v>
      </c>
      <c r="E7262" t="s">
        <v>2178</v>
      </c>
      <c r="F7262">
        <v>1</v>
      </c>
      <c r="G7262" t="s">
        <v>61</v>
      </c>
      <c r="H7262" t="s">
        <v>44</v>
      </c>
      <c r="I7262" t="s">
        <v>2192</v>
      </c>
      <c r="J7262" s="10">
        <v>9</v>
      </c>
      <c r="K7262" t="b">
        <v>1</v>
      </c>
    </row>
    <row r="7263" spans="1:11">
      <c r="A7263" s="12">
        <v>42548</v>
      </c>
      <c r="B7263">
        <v>2016</v>
      </c>
      <c r="C7263">
        <v>6</v>
      </c>
      <c r="D7263" s="11">
        <v>42522</v>
      </c>
      <c r="E7263" t="s">
        <v>2178</v>
      </c>
      <c r="F7263">
        <v>1</v>
      </c>
      <c r="G7263" t="s">
        <v>61</v>
      </c>
      <c r="H7263" t="s">
        <v>45</v>
      </c>
      <c r="I7263" t="s">
        <v>2193</v>
      </c>
      <c r="J7263" s="10">
        <v>0</v>
      </c>
      <c r="K7263" t="b">
        <v>1</v>
      </c>
    </row>
    <row r="7264" spans="1:11">
      <c r="A7264" s="12">
        <v>42548</v>
      </c>
      <c r="B7264">
        <v>2016</v>
      </c>
      <c r="C7264">
        <v>6</v>
      </c>
      <c r="D7264" s="11">
        <v>42522</v>
      </c>
      <c r="E7264" t="s">
        <v>2178</v>
      </c>
      <c r="F7264">
        <v>1</v>
      </c>
      <c r="G7264" t="s">
        <v>61</v>
      </c>
      <c r="H7264" t="s">
        <v>46</v>
      </c>
      <c r="I7264" t="s">
        <v>2194</v>
      </c>
      <c r="J7264" s="10">
        <v>9</v>
      </c>
      <c r="K7264" t="b">
        <v>1</v>
      </c>
    </row>
    <row r="7265" spans="1:11">
      <c r="A7265" s="12">
        <v>42548</v>
      </c>
      <c r="B7265">
        <v>2016</v>
      </c>
      <c r="C7265">
        <v>6</v>
      </c>
      <c r="D7265" s="11">
        <v>42522</v>
      </c>
      <c r="E7265" t="s">
        <v>2178</v>
      </c>
      <c r="F7265">
        <v>1</v>
      </c>
      <c r="G7265" t="s">
        <v>61</v>
      </c>
      <c r="H7265" t="s">
        <v>47</v>
      </c>
      <c r="I7265" t="s">
        <v>2195</v>
      </c>
      <c r="J7265" s="10">
        <v>2</v>
      </c>
      <c r="K7265" t="b">
        <v>1</v>
      </c>
    </row>
    <row r="7266" spans="1:11">
      <c r="A7266" s="12">
        <v>42549</v>
      </c>
      <c r="B7266">
        <v>2016</v>
      </c>
      <c r="C7266">
        <v>6</v>
      </c>
      <c r="D7266" s="11">
        <v>42522</v>
      </c>
      <c r="E7266" t="s">
        <v>2178</v>
      </c>
      <c r="F7266">
        <v>2</v>
      </c>
      <c r="G7266" t="s">
        <v>63</v>
      </c>
      <c r="H7266" t="s">
        <v>40</v>
      </c>
      <c r="I7266" t="s">
        <v>2188</v>
      </c>
      <c r="J7266" s="10">
        <v>1.33</v>
      </c>
      <c r="K7266" t="b">
        <v>1</v>
      </c>
    </row>
    <row r="7267" spans="1:11">
      <c r="A7267" s="12">
        <v>42549</v>
      </c>
      <c r="B7267">
        <v>2016</v>
      </c>
      <c r="C7267">
        <v>6</v>
      </c>
      <c r="D7267" s="11">
        <v>42522</v>
      </c>
      <c r="E7267" t="s">
        <v>2178</v>
      </c>
      <c r="F7267">
        <v>2</v>
      </c>
      <c r="G7267" t="s">
        <v>63</v>
      </c>
      <c r="H7267" t="s">
        <v>41</v>
      </c>
      <c r="I7267" t="s">
        <v>2189</v>
      </c>
      <c r="J7267" s="10">
        <v>1.429</v>
      </c>
      <c r="K7267" t="b">
        <v>1</v>
      </c>
    </row>
    <row r="7268" spans="1:11">
      <c r="A7268" s="12">
        <v>42549</v>
      </c>
      <c r="B7268">
        <v>2016</v>
      </c>
      <c r="C7268">
        <v>6</v>
      </c>
      <c r="D7268" s="11">
        <v>42522</v>
      </c>
      <c r="E7268" t="s">
        <v>2178</v>
      </c>
      <c r="F7268">
        <v>2</v>
      </c>
      <c r="G7268" t="s">
        <v>63</v>
      </c>
      <c r="H7268" t="s">
        <v>42</v>
      </c>
      <c r="I7268" t="s">
        <v>2190</v>
      </c>
      <c r="J7268" s="10">
        <v>2.25</v>
      </c>
      <c r="K7268" t="b">
        <v>1</v>
      </c>
    </row>
    <row r="7269" spans="1:11">
      <c r="A7269" s="12">
        <v>42549</v>
      </c>
      <c r="B7269">
        <v>2016</v>
      </c>
      <c r="C7269">
        <v>6</v>
      </c>
      <c r="D7269" s="11">
        <v>42522</v>
      </c>
      <c r="E7269" t="s">
        <v>2178</v>
      </c>
      <c r="F7269">
        <v>2</v>
      </c>
      <c r="G7269" t="s">
        <v>63</v>
      </c>
      <c r="H7269" t="s">
        <v>43</v>
      </c>
      <c r="I7269" t="s">
        <v>2191</v>
      </c>
      <c r="J7269" s="10">
        <v>24</v>
      </c>
      <c r="K7269" t="b">
        <v>1</v>
      </c>
    </row>
    <row r="7270" spans="1:11">
      <c r="A7270" s="12">
        <v>42549</v>
      </c>
      <c r="B7270">
        <v>2016</v>
      </c>
      <c r="C7270">
        <v>6</v>
      </c>
      <c r="D7270" s="11">
        <v>42522</v>
      </c>
      <c r="E7270" t="s">
        <v>2178</v>
      </c>
      <c r="F7270">
        <v>2</v>
      </c>
      <c r="G7270" t="s">
        <v>63</v>
      </c>
      <c r="H7270" t="s">
        <v>44</v>
      </c>
      <c r="I7270" t="s">
        <v>2192</v>
      </c>
      <c r="J7270" s="10">
        <v>20</v>
      </c>
      <c r="K7270" t="b">
        <v>1</v>
      </c>
    </row>
    <row r="7271" spans="1:11">
      <c r="A7271" s="12">
        <v>42549</v>
      </c>
      <c r="B7271">
        <v>2016</v>
      </c>
      <c r="C7271">
        <v>6</v>
      </c>
      <c r="D7271" s="11">
        <v>42522</v>
      </c>
      <c r="E7271" t="s">
        <v>2178</v>
      </c>
      <c r="F7271">
        <v>2</v>
      </c>
      <c r="G7271" t="s">
        <v>63</v>
      </c>
      <c r="H7271" t="s">
        <v>45</v>
      </c>
      <c r="I7271" t="s">
        <v>2193</v>
      </c>
      <c r="J7271" s="10">
        <v>5</v>
      </c>
      <c r="K7271" t="b">
        <v>1</v>
      </c>
    </row>
    <row r="7272" spans="1:11">
      <c r="A7272" s="12">
        <v>42549</v>
      </c>
      <c r="B7272">
        <v>2016</v>
      </c>
      <c r="C7272">
        <v>6</v>
      </c>
      <c r="D7272" s="11">
        <v>42522</v>
      </c>
      <c r="E7272" t="s">
        <v>2178</v>
      </c>
      <c r="F7272">
        <v>2</v>
      </c>
      <c r="G7272" t="s">
        <v>63</v>
      </c>
      <c r="H7272" t="s">
        <v>46</v>
      </c>
      <c r="I7272" t="s">
        <v>2194</v>
      </c>
      <c r="J7272" s="10">
        <v>2</v>
      </c>
      <c r="K7272" t="b">
        <v>1</v>
      </c>
    </row>
    <row r="7273" spans="1:11">
      <c r="A7273" s="12">
        <v>42549</v>
      </c>
      <c r="B7273">
        <v>2016</v>
      </c>
      <c r="C7273">
        <v>6</v>
      </c>
      <c r="D7273" s="11">
        <v>42522</v>
      </c>
      <c r="E7273" t="s">
        <v>2178</v>
      </c>
      <c r="F7273">
        <v>2</v>
      </c>
      <c r="G7273" t="s">
        <v>63</v>
      </c>
      <c r="H7273" t="s">
        <v>47</v>
      </c>
      <c r="I7273" t="s">
        <v>2195</v>
      </c>
      <c r="J7273" s="10">
        <v>7</v>
      </c>
      <c r="K7273" t="b">
        <v>1</v>
      </c>
    </row>
    <row r="7274" spans="1:11">
      <c r="A7274" s="12">
        <v>42550</v>
      </c>
      <c r="B7274">
        <v>2016</v>
      </c>
      <c r="C7274">
        <v>6</v>
      </c>
      <c r="D7274" s="11">
        <v>42522</v>
      </c>
      <c r="E7274" t="s">
        <v>2178</v>
      </c>
      <c r="F7274">
        <v>3</v>
      </c>
      <c r="G7274" t="s">
        <v>65</v>
      </c>
      <c r="H7274" t="s">
        <v>40</v>
      </c>
      <c r="I7274" t="s">
        <v>2188</v>
      </c>
      <c r="J7274" s="10">
        <v>7</v>
      </c>
      <c r="K7274" t="b">
        <v>1</v>
      </c>
    </row>
    <row r="7275" spans="1:11">
      <c r="A7275" s="12">
        <v>42550</v>
      </c>
      <c r="B7275">
        <v>2016</v>
      </c>
      <c r="C7275">
        <v>6</v>
      </c>
      <c r="D7275" s="11">
        <v>42522</v>
      </c>
      <c r="E7275" t="s">
        <v>2178</v>
      </c>
      <c r="F7275">
        <v>3</v>
      </c>
      <c r="G7275" t="s">
        <v>65</v>
      </c>
      <c r="H7275" t="s">
        <v>41</v>
      </c>
      <c r="I7275" t="s">
        <v>2189</v>
      </c>
      <c r="J7275" s="10">
        <v>8.01</v>
      </c>
      <c r="K7275" t="b">
        <v>1</v>
      </c>
    </row>
    <row r="7276" spans="1:11">
      <c r="A7276" s="12">
        <v>42550</v>
      </c>
      <c r="B7276">
        <v>2016</v>
      </c>
      <c r="C7276">
        <v>6</v>
      </c>
      <c r="D7276" s="11">
        <v>42522</v>
      </c>
      <c r="E7276" t="s">
        <v>2178</v>
      </c>
      <c r="F7276">
        <v>3</v>
      </c>
      <c r="G7276" t="s">
        <v>65</v>
      </c>
      <c r="H7276" t="s">
        <v>42</v>
      </c>
      <c r="I7276" t="s">
        <v>2190</v>
      </c>
      <c r="J7276" s="10">
        <v>6.5</v>
      </c>
      <c r="K7276" t="b">
        <v>1</v>
      </c>
    </row>
    <row r="7277" spans="1:11">
      <c r="A7277" s="12">
        <v>42550</v>
      </c>
      <c r="B7277">
        <v>2016</v>
      </c>
      <c r="C7277">
        <v>6</v>
      </c>
      <c r="D7277" s="11">
        <v>42522</v>
      </c>
      <c r="E7277" t="s">
        <v>2178</v>
      </c>
      <c r="F7277">
        <v>3</v>
      </c>
      <c r="G7277" t="s">
        <v>65</v>
      </c>
      <c r="H7277" t="s">
        <v>43</v>
      </c>
      <c r="I7277" t="s">
        <v>2191</v>
      </c>
      <c r="J7277" s="10">
        <v>22</v>
      </c>
      <c r="K7277" t="b">
        <v>1</v>
      </c>
    </row>
    <row r="7278" spans="1:11">
      <c r="A7278" s="12">
        <v>42550</v>
      </c>
      <c r="B7278">
        <v>2016</v>
      </c>
      <c r="C7278">
        <v>6</v>
      </c>
      <c r="D7278" s="11">
        <v>42522</v>
      </c>
      <c r="E7278" t="s">
        <v>2178</v>
      </c>
      <c r="F7278">
        <v>3</v>
      </c>
      <c r="G7278" t="s">
        <v>65</v>
      </c>
      <c r="H7278" t="s">
        <v>44</v>
      </c>
      <c r="I7278" t="s">
        <v>2192</v>
      </c>
      <c r="J7278" s="10">
        <v>12.5</v>
      </c>
      <c r="K7278" t="b">
        <v>1</v>
      </c>
    </row>
    <row r="7279" spans="1:11">
      <c r="A7279" s="12">
        <v>42550</v>
      </c>
      <c r="B7279">
        <v>2016</v>
      </c>
      <c r="C7279">
        <v>6</v>
      </c>
      <c r="D7279" s="11">
        <v>42522</v>
      </c>
      <c r="E7279" t="s">
        <v>2178</v>
      </c>
      <c r="F7279">
        <v>3</v>
      </c>
      <c r="G7279" t="s">
        <v>65</v>
      </c>
      <c r="H7279" t="s">
        <v>45</v>
      </c>
      <c r="I7279" t="s">
        <v>2193</v>
      </c>
      <c r="J7279" s="10">
        <v>7</v>
      </c>
      <c r="K7279" t="b">
        <v>1</v>
      </c>
    </row>
    <row r="7280" spans="1:11">
      <c r="A7280" s="12">
        <v>42550</v>
      </c>
      <c r="B7280">
        <v>2016</v>
      </c>
      <c r="C7280">
        <v>6</v>
      </c>
      <c r="D7280" s="11">
        <v>42522</v>
      </c>
      <c r="E7280" t="s">
        <v>2178</v>
      </c>
      <c r="F7280">
        <v>3</v>
      </c>
      <c r="G7280" t="s">
        <v>65</v>
      </c>
      <c r="H7280" t="s">
        <v>46</v>
      </c>
      <c r="I7280" t="s">
        <v>2194</v>
      </c>
      <c r="J7280" s="10">
        <v>1</v>
      </c>
      <c r="K7280" t="b">
        <v>1</v>
      </c>
    </row>
    <row r="7281" spans="1:11">
      <c r="A7281" s="12">
        <v>42550</v>
      </c>
      <c r="B7281">
        <v>2016</v>
      </c>
      <c r="C7281">
        <v>6</v>
      </c>
      <c r="D7281" s="11">
        <v>42522</v>
      </c>
      <c r="E7281" t="s">
        <v>2178</v>
      </c>
      <c r="F7281">
        <v>3</v>
      </c>
      <c r="G7281" t="s">
        <v>65</v>
      </c>
      <c r="H7281" t="s">
        <v>47</v>
      </c>
      <c r="I7281" t="s">
        <v>2195</v>
      </c>
      <c r="J7281" s="10">
        <v>2</v>
      </c>
      <c r="K7281" t="b">
        <v>1</v>
      </c>
    </row>
    <row r="7282" spans="1:11">
      <c r="A7282" s="12">
        <v>42551</v>
      </c>
      <c r="B7282">
        <v>2016</v>
      </c>
      <c r="C7282">
        <v>6</v>
      </c>
      <c r="D7282" s="11">
        <v>42522</v>
      </c>
      <c r="E7282" t="s">
        <v>2178</v>
      </c>
      <c r="F7282">
        <v>4</v>
      </c>
      <c r="G7282" t="s">
        <v>53</v>
      </c>
      <c r="H7282" t="s">
        <v>40</v>
      </c>
      <c r="I7282" t="s">
        <v>2188</v>
      </c>
      <c r="J7282" s="10">
        <v>4</v>
      </c>
      <c r="K7282" t="b">
        <v>1</v>
      </c>
    </row>
    <row r="7283" spans="1:11">
      <c r="A7283" s="12">
        <v>42551</v>
      </c>
      <c r="B7283">
        <v>2016</v>
      </c>
      <c r="C7283">
        <v>6</v>
      </c>
      <c r="D7283" s="11">
        <v>42522</v>
      </c>
      <c r="E7283" t="s">
        <v>2178</v>
      </c>
      <c r="F7283">
        <v>4</v>
      </c>
      <c r="G7283" t="s">
        <v>53</v>
      </c>
      <c r="H7283" t="s">
        <v>41</v>
      </c>
      <c r="I7283" t="s">
        <v>2189</v>
      </c>
      <c r="J7283" s="10">
        <v>3.803</v>
      </c>
      <c r="K7283" t="b">
        <v>1</v>
      </c>
    </row>
    <row r="7284" spans="1:11">
      <c r="A7284" s="12">
        <v>42551</v>
      </c>
      <c r="B7284">
        <v>2016</v>
      </c>
      <c r="C7284">
        <v>6</v>
      </c>
      <c r="D7284" s="11">
        <v>42522</v>
      </c>
      <c r="E7284" t="s">
        <v>2178</v>
      </c>
      <c r="F7284">
        <v>4</v>
      </c>
      <c r="G7284" t="s">
        <v>53</v>
      </c>
      <c r="H7284" t="s">
        <v>42</v>
      </c>
      <c r="I7284" t="s">
        <v>2190</v>
      </c>
      <c r="J7284" s="10">
        <v>3.2</v>
      </c>
      <c r="K7284" t="b">
        <v>1</v>
      </c>
    </row>
    <row r="7285" spans="1:11">
      <c r="A7285" s="12">
        <v>42551</v>
      </c>
      <c r="B7285">
        <v>2016</v>
      </c>
      <c r="C7285">
        <v>6</v>
      </c>
      <c r="D7285" s="11">
        <v>42522</v>
      </c>
      <c r="E7285" t="s">
        <v>2178</v>
      </c>
      <c r="F7285">
        <v>4</v>
      </c>
      <c r="G7285" t="s">
        <v>53</v>
      </c>
      <c r="H7285" t="s">
        <v>43</v>
      </c>
      <c r="I7285" t="s">
        <v>2191</v>
      </c>
      <c r="J7285" s="10">
        <v>9</v>
      </c>
      <c r="K7285" t="b">
        <v>1</v>
      </c>
    </row>
    <row r="7286" spans="1:11">
      <c r="A7286" s="12">
        <v>42551</v>
      </c>
      <c r="B7286">
        <v>2016</v>
      </c>
      <c r="C7286">
        <v>6</v>
      </c>
      <c r="D7286" s="11">
        <v>42522</v>
      </c>
      <c r="E7286" t="s">
        <v>2178</v>
      </c>
      <c r="F7286">
        <v>4</v>
      </c>
      <c r="G7286" t="s">
        <v>53</v>
      </c>
      <c r="H7286" t="s">
        <v>44</v>
      </c>
      <c r="I7286" t="s">
        <v>2192</v>
      </c>
      <c r="J7286" s="10">
        <v>6</v>
      </c>
      <c r="K7286" t="b">
        <v>1</v>
      </c>
    </row>
    <row r="7287" spans="1:11">
      <c r="A7287" s="12">
        <v>42551</v>
      </c>
      <c r="B7287">
        <v>2016</v>
      </c>
      <c r="C7287">
        <v>6</v>
      </c>
      <c r="D7287" s="11">
        <v>42522</v>
      </c>
      <c r="E7287" t="s">
        <v>2178</v>
      </c>
      <c r="F7287">
        <v>4</v>
      </c>
      <c r="G7287" t="s">
        <v>53</v>
      </c>
      <c r="H7287" t="s">
        <v>45</v>
      </c>
      <c r="I7287" t="s">
        <v>2193</v>
      </c>
      <c r="J7287" s="10">
        <v>0</v>
      </c>
      <c r="K7287" t="b">
        <v>1</v>
      </c>
    </row>
    <row r="7288" spans="1:11">
      <c r="A7288" s="12">
        <v>42551</v>
      </c>
      <c r="B7288">
        <v>2016</v>
      </c>
      <c r="C7288">
        <v>6</v>
      </c>
      <c r="D7288" s="11">
        <v>42522</v>
      </c>
      <c r="E7288" t="s">
        <v>2178</v>
      </c>
      <c r="F7288">
        <v>4</v>
      </c>
      <c r="G7288" t="s">
        <v>53</v>
      </c>
      <c r="H7288" t="s">
        <v>46</v>
      </c>
      <c r="I7288" t="s">
        <v>2194</v>
      </c>
      <c r="J7288" s="10">
        <v>0</v>
      </c>
      <c r="K7288" t="b">
        <v>1</v>
      </c>
    </row>
    <row r="7289" spans="1:11">
      <c r="A7289" s="12">
        <v>42551</v>
      </c>
      <c r="B7289">
        <v>2016</v>
      </c>
      <c r="C7289">
        <v>6</v>
      </c>
      <c r="D7289" s="11">
        <v>42522</v>
      </c>
      <c r="E7289" t="s">
        <v>2178</v>
      </c>
      <c r="F7289">
        <v>4</v>
      </c>
      <c r="G7289" t="s">
        <v>53</v>
      </c>
      <c r="H7289" t="s">
        <v>47</v>
      </c>
      <c r="I7289" t="s">
        <v>2195</v>
      </c>
      <c r="J7289" s="10">
        <v>2</v>
      </c>
      <c r="K7289" t="b">
        <v>1</v>
      </c>
    </row>
    <row r="7290" spans="1:11">
      <c r="A7290" s="12">
        <v>42552</v>
      </c>
      <c r="B7290">
        <v>2016</v>
      </c>
      <c r="C7290">
        <v>7</v>
      </c>
      <c r="D7290" s="11">
        <v>42552</v>
      </c>
      <c r="E7290" t="s">
        <v>2179</v>
      </c>
      <c r="F7290">
        <v>5</v>
      </c>
      <c r="G7290" t="s">
        <v>55</v>
      </c>
      <c r="H7290" t="s">
        <v>40</v>
      </c>
      <c r="I7290" t="s">
        <v>2188</v>
      </c>
      <c r="J7290" s="10">
        <v>4</v>
      </c>
      <c r="K7290" t="b">
        <v>1</v>
      </c>
    </row>
    <row r="7291" spans="1:11">
      <c r="A7291" s="12">
        <v>42552</v>
      </c>
      <c r="B7291">
        <v>2016</v>
      </c>
      <c r="C7291">
        <v>7</v>
      </c>
      <c r="D7291" s="11">
        <v>42552</v>
      </c>
      <c r="E7291" t="s">
        <v>2179</v>
      </c>
      <c r="F7291">
        <v>5</v>
      </c>
      <c r="G7291" t="s">
        <v>55</v>
      </c>
      <c r="H7291" t="s">
        <v>41</v>
      </c>
      <c r="I7291" t="s">
        <v>2189</v>
      </c>
      <c r="J7291" s="10">
        <v>2.01</v>
      </c>
      <c r="K7291" t="b">
        <v>1</v>
      </c>
    </row>
    <row r="7292" spans="1:11">
      <c r="A7292" s="12">
        <v>42552</v>
      </c>
      <c r="B7292">
        <v>2016</v>
      </c>
      <c r="C7292">
        <v>7</v>
      </c>
      <c r="D7292" s="11">
        <v>42552</v>
      </c>
      <c r="E7292" t="s">
        <v>2179</v>
      </c>
      <c r="F7292">
        <v>5</v>
      </c>
      <c r="G7292" t="s">
        <v>55</v>
      </c>
      <c r="H7292" t="s">
        <v>42</v>
      </c>
      <c r="I7292" t="s">
        <v>2190</v>
      </c>
      <c r="J7292" s="10">
        <v>5.5</v>
      </c>
      <c r="K7292" t="b">
        <v>1</v>
      </c>
    </row>
    <row r="7293" spans="1:11">
      <c r="A7293" s="12">
        <v>42552</v>
      </c>
      <c r="B7293">
        <v>2016</v>
      </c>
      <c r="C7293">
        <v>7</v>
      </c>
      <c r="D7293" s="11">
        <v>42552</v>
      </c>
      <c r="E7293" t="s">
        <v>2179</v>
      </c>
      <c r="F7293">
        <v>5</v>
      </c>
      <c r="G7293" t="s">
        <v>55</v>
      </c>
      <c r="H7293" t="s">
        <v>43</v>
      </c>
      <c r="I7293" t="s">
        <v>2191</v>
      </c>
      <c r="J7293" s="10">
        <v>24</v>
      </c>
      <c r="K7293" t="b">
        <v>1</v>
      </c>
    </row>
    <row r="7294" spans="1:11">
      <c r="A7294" s="12">
        <v>42552</v>
      </c>
      <c r="B7294">
        <v>2016</v>
      </c>
      <c r="C7294">
        <v>7</v>
      </c>
      <c r="D7294" s="11">
        <v>42552</v>
      </c>
      <c r="E7294" t="s">
        <v>2179</v>
      </c>
      <c r="F7294">
        <v>5</v>
      </c>
      <c r="G7294" t="s">
        <v>55</v>
      </c>
      <c r="H7294" t="s">
        <v>44</v>
      </c>
      <c r="I7294" t="s">
        <v>2192</v>
      </c>
      <c r="J7294" s="10">
        <v>1</v>
      </c>
      <c r="K7294" t="b">
        <v>1</v>
      </c>
    </row>
    <row r="7295" spans="1:11">
      <c r="A7295" s="12">
        <v>42552</v>
      </c>
      <c r="B7295">
        <v>2016</v>
      </c>
      <c r="C7295">
        <v>7</v>
      </c>
      <c r="D7295" s="11">
        <v>42552</v>
      </c>
      <c r="E7295" t="s">
        <v>2179</v>
      </c>
      <c r="F7295">
        <v>5</v>
      </c>
      <c r="G7295" t="s">
        <v>55</v>
      </c>
      <c r="H7295" t="s">
        <v>45</v>
      </c>
      <c r="I7295" t="s">
        <v>2193</v>
      </c>
      <c r="J7295" s="10">
        <v>0</v>
      </c>
      <c r="K7295" t="b">
        <v>1</v>
      </c>
    </row>
    <row r="7296" spans="1:11">
      <c r="A7296" s="12">
        <v>42552</v>
      </c>
      <c r="B7296">
        <v>2016</v>
      </c>
      <c r="C7296">
        <v>7</v>
      </c>
      <c r="D7296" s="11">
        <v>42552</v>
      </c>
      <c r="E7296" t="s">
        <v>2179</v>
      </c>
      <c r="F7296">
        <v>5</v>
      </c>
      <c r="G7296" t="s">
        <v>55</v>
      </c>
      <c r="H7296" t="s">
        <v>46</v>
      </c>
      <c r="I7296" t="s">
        <v>2194</v>
      </c>
      <c r="J7296" s="10">
        <v>20</v>
      </c>
      <c r="K7296" t="b">
        <v>1</v>
      </c>
    </row>
    <row r="7297" spans="1:11">
      <c r="A7297" s="12">
        <v>42552</v>
      </c>
      <c r="B7297">
        <v>2016</v>
      </c>
      <c r="C7297">
        <v>7</v>
      </c>
      <c r="D7297" s="11">
        <v>42552</v>
      </c>
      <c r="E7297" t="s">
        <v>2179</v>
      </c>
      <c r="F7297">
        <v>5</v>
      </c>
      <c r="G7297" t="s">
        <v>55</v>
      </c>
      <c r="H7297" t="s">
        <v>47</v>
      </c>
      <c r="I7297" t="s">
        <v>2195</v>
      </c>
      <c r="J7297" s="10">
        <v>7</v>
      </c>
      <c r="K7297" t="b">
        <v>1</v>
      </c>
    </row>
    <row r="7298" spans="1:11">
      <c r="A7298" s="12">
        <v>42553</v>
      </c>
      <c r="B7298">
        <v>2016</v>
      </c>
      <c r="C7298">
        <v>7</v>
      </c>
      <c r="D7298" s="11">
        <v>42552</v>
      </c>
      <c r="E7298" t="s">
        <v>2179</v>
      </c>
      <c r="F7298">
        <v>6</v>
      </c>
      <c r="G7298" t="s">
        <v>57</v>
      </c>
      <c r="H7298" t="s">
        <v>40</v>
      </c>
      <c r="I7298" t="s">
        <v>2188</v>
      </c>
      <c r="J7298" s="10">
        <v>4.66</v>
      </c>
      <c r="K7298" t="b">
        <v>1</v>
      </c>
    </row>
    <row r="7299" spans="1:11">
      <c r="A7299" s="12">
        <v>42553</v>
      </c>
      <c r="B7299">
        <v>2016</v>
      </c>
      <c r="C7299">
        <v>7</v>
      </c>
      <c r="D7299" s="11">
        <v>42552</v>
      </c>
      <c r="E7299" t="s">
        <v>2179</v>
      </c>
      <c r="F7299">
        <v>6</v>
      </c>
      <c r="G7299" t="s">
        <v>57</v>
      </c>
      <c r="H7299" t="s">
        <v>41</v>
      </c>
      <c r="I7299" t="s">
        <v>2189</v>
      </c>
      <c r="J7299" s="10">
        <v>5.132</v>
      </c>
      <c r="K7299" t="b">
        <v>1</v>
      </c>
    </row>
    <row r="7300" spans="1:11">
      <c r="A7300" s="12">
        <v>42553</v>
      </c>
      <c r="B7300">
        <v>2016</v>
      </c>
      <c r="C7300">
        <v>7</v>
      </c>
      <c r="D7300" s="11">
        <v>42552</v>
      </c>
      <c r="E7300" t="s">
        <v>2179</v>
      </c>
      <c r="F7300">
        <v>6</v>
      </c>
      <c r="G7300" t="s">
        <v>57</v>
      </c>
      <c r="H7300" t="s">
        <v>42</v>
      </c>
      <c r="I7300" t="s">
        <v>2190</v>
      </c>
      <c r="J7300" s="10">
        <v>6</v>
      </c>
      <c r="K7300" t="b">
        <v>1</v>
      </c>
    </row>
    <row r="7301" spans="1:11">
      <c r="A7301" s="12">
        <v>42553</v>
      </c>
      <c r="B7301">
        <v>2016</v>
      </c>
      <c r="C7301">
        <v>7</v>
      </c>
      <c r="D7301" s="11">
        <v>42552</v>
      </c>
      <c r="E7301" t="s">
        <v>2179</v>
      </c>
      <c r="F7301">
        <v>6</v>
      </c>
      <c r="G7301" t="s">
        <v>57</v>
      </c>
      <c r="H7301" t="s">
        <v>43</v>
      </c>
      <c r="I7301" t="s">
        <v>2191</v>
      </c>
      <c r="J7301" s="10">
        <v>25.4</v>
      </c>
      <c r="K7301" t="b">
        <v>1</v>
      </c>
    </row>
    <row r="7302" spans="1:11">
      <c r="A7302" s="12">
        <v>42553</v>
      </c>
      <c r="B7302">
        <v>2016</v>
      </c>
      <c r="C7302">
        <v>7</v>
      </c>
      <c r="D7302" s="11">
        <v>42552</v>
      </c>
      <c r="E7302" t="s">
        <v>2179</v>
      </c>
      <c r="F7302">
        <v>6</v>
      </c>
      <c r="G7302" t="s">
        <v>57</v>
      </c>
      <c r="H7302" t="s">
        <v>44</v>
      </c>
      <c r="I7302" t="s">
        <v>2192</v>
      </c>
      <c r="J7302" s="10">
        <v>9</v>
      </c>
      <c r="K7302" t="b">
        <v>1</v>
      </c>
    </row>
    <row r="7303" spans="1:11">
      <c r="A7303" s="12">
        <v>42553</v>
      </c>
      <c r="B7303">
        <v>2016</v>
      </c>
      <c r="C7303">
        <v>7</v>
      </c>
      <c r="D7303" s="11">
        <v>42552</v>
      </c>
      <c r="E7303" t="s">
        <v>2179</v>
      </c>
      <c r="F7303">
        <v>6</v>
      </c>
      <c r="G7303" t="s">
        <v>57</v>
      </c>
      <c r="H7303" t="s">
        <v>45</v>
      </c>
      <c r="I7303" t="s">
        <v>2193</v>
      </c>
      <c r="J7303" s="10">
        <v>0</v>
      </c>
      <c r="K7303" t="b">
        <v>1</v>
      </c>
    </row>
    <row r="7304" spans="1:11">
      <c r="A7304" s="12">
        <v>42553</v>
      </c>
      <c r="B7304">
        <v>2016</v>
      </c>
      <c r="C7304">
        <v>7</v>
      </c>
      <c r="D7304" s="11">
        <v>42552</v>
      </c>
      <c r="E7304" t="s">
        <v>2179</v>
      </c>
      <c r="F7304">
        <v>6</v>
      </c>
      <c r="G7304" t="s">
        <v>57</v>
      </c>
      <c r="H7304" t="s">
        <v>46</v>
      </c>
      <c r="I7304" t="s">
        <v>2194</v>
      </c>
      <c r="J7304" s="10">
        <v>2</v>
      </c>
      <c r="K7304" t="b">
        <v>1</v>
      </c>
    </row>
    <row r="7305" spans="1:11">
      <c r="A7305" s="12">
        <v>42553</v>
      </c>
      <c r="B7305">
        <v>2016</v>
      </c>
      <c r="C7305">
        <v>7</v>
      </c>
      <c r="D7305" s="11">
        <v>42552</v>
      </c>
      <c r="E7305" t="s">
        <v>2179</v>
      </c>
      <c r="F7305">
        <v>6</v>
      </c>
      <c r="G7305" t="s">
        <v>57</v>
      </c>
      <c r="H7305" t="s">
        <v>47</v>
      </c>
      <c r="I7305" t="s">
        <v>2195</v>
      </c>
      <c r="J7305" s="10">
        <v>3</v>
      </c>
      <c r="K7305" t="b">
        <v>1</v>
      </c>
    </row>
    <row r="7306" spans="1:11">
      <c r="A7306" s="12">
        <v>42554</v>
      </c>
      <c r="B7306">
        <v>2016</v>
      </c>
      <c r="C7306">
        <v>7</v>
      </c>
      <c r="D7306" s="11">
        <v>42552</v>
      </c>
      <c r="E7306" t="s">
        <v>2179</v>
      </c>
      <c r="F7306">
        <v>7</v>
      </c>
      <c r="G7306" t="s">
        <v>59</v>
      </c>
      <c r="H7306" t="s">
        <v>40</v>
      </c>
      <c r="I7306" t="s">
        <v>2188</v>
      </c>
      <c r="J7306" s="10">
        <v>6.67</v>
      </c>
      <c r="K7306" t="b">
        <v>1</v>
      </c>
    </row>
    <row r="7307" spans="1:11">
      <c r="A7307" s="12">
        <v>42554</v>
      </c>
      <c r="B7307">
        <v>2016</v>
      </c>
      <c r="C7307">
        <v>7</v>
      </c>
      <c r="D7307" s="11">
        <v>42552</v>
      </c>
      <c r="E7307" t="s">
        <v>2179</v>
      </c>
      <c r="F7307">
        <v>7</v>
      </c>
      <c r="G7307" t="s">
        <v>59</v>
      </c>
      <c r="H7307" t="s">
        <v>41</v>
      </c>
      <c r="I7307" t="s">
        <v>2189</v>
      </c>
      <c r="J7307" s="10">
        <v>4.165</v>
      </c>
      <c r="K7307" t="b">
        <v>1</v>
      </c>
    </row>
    <row r="7308" spans="1:11">
      <c r="A7308" s="12">
        <v>42554</v>
      </c>
      <c r="B7308">
        <v>2016</v>
      </c>
      <c r="C7308">
        <v>7</v>
      </c>
      <c r="D7308" s="11">
        <v>42552</v>
      </c>
      <c r="E7308" t="s">
        <v>2179</v>
      </c>
      <c r="F7308">
        <v>7</v>
      </c>
      <c r="G7308" t="s">
        <v>59</v>
      </c>
      <c r="H7308" t="s">
        <v>42</v>
      </c>
      <c r="I7308" t="s">
        <v>2190</v>
      </c>
      <c r="J7308" s="10">
        <v>5.4</v>
      </c>
      <c r="K7308" t="b">
        <v>1</v>
      </c>
    </row>
    <row r="7309" spans="1:11">
      <c r="A7309" s="12">
        <v>42554</v>
      </c>
      <c r="B7309">
        <v>2016</v>
      </c>
      <c r="C7309">
        <v>7</v>
      </c>
      <c r="D7309" s="11">
        <v>42552</v>
      </c>
      <c r="E7309" t="s">
        <v>2179</v>
      </c>
      <c r="F7309">
        <v>7</v>
      </c>
      <c r="G7309" t="s">
        <v>59</v>
      </c>
      <c r="H7309" t="s">
        <v>43</v>
      </c>
      <c r="I7309" t="s">
        <v>2191</v>
      </c>
      <c r="J7309" s="10">
        <v>18.6</v>
      </c>
      <c r="K7309" t="b">
        <v>1</v>
      </c>
    </row>
    <row r="7310" spans="1:11">
      <c r="A7310" s="12">
        <v>42554</v>
      </c>
      <c r="B7310">
        <v>2016</v>
      </c>
      <c r="C7310">
        <v>7</v>
      </c>
      <c r="D7310" s="11">
        <v>42552</v>
      </c>
      <c r="E7310" t="s">
        <v>2179</v>
      </c>
      <c r="F7310">
        <v>7</v>
      </c>
      <c r="G7310" t="s">
        <v>59</v>
      </c>
      <c r="H7310" t="s">
        <v>44</v>
      </c>
      <c r="I7310" t="s">
        <v>2192</v>
      </c>
      <c r="J7310" s="10">
        <v>4</v>
      </c>
      <c r="K7310" t="b">
        <v>1</v>
      </c>
    </row>
    <row r="7311" spans="1:11">
      <c r="A7311" s="12">
        <v>42554</v>
      </c>
      <c r="B7311">
        <v>2016</v>
      </c>
      <c r="C7311">
        <v>7</v>
      </c>
      <c r="D7311" s="11">
        <v>42552</v>
      </c>
      <c r="E7311" t="s">
        <v>2179</v>
      </c>
      <c r="F7311">
        <v>7</v>
      </c>
      <c r="G7311" t="s">
        <v>59</v>
      </c>
      <c r="H7311" t="s">
        <v>45</v>
      </c>
      <c r="I7311" t="s">
        <v>2193</v>
      </c>
      <c r="J7311" s="10">
        <v>0</v>
      </c>
      <c r="K7311" t="b">
        <v>1</v>
      </c>
    </row>
    <row r="7312" spans="1:11">
      <c r="A7312" s="12">
        <v>42554</v>
      </c>
      <c r="B7312">
        <v>2016</v>
      </c>
      <c r="C7312">
        <v>7</v>
      </c>
      <c r="D7312" s="11">
        <v>42552</v>
      </c>
      <c r="E7312" t="s">
        <v>2179</v>
      </c>
      <c r="F7312">
        <v>7</v>
      </c>
      <c r="G7312" t="s">
        <v>59</v>
      </c>
      <c r="H7312" t="s">
        <v>46</v>
      </c>
      <c r="I7312" t="s">
        <v>2194</v>
      </c>
      <c r="J7312" s="10">
        <v>11</v>
      </c>
      <c r="K7312" t="b">
        <v>1</v>
      </c>
    </row>
    <row r="7313" spans="1:11">
      <c r="A7313" s="12">
        <v>42554</v>
      </c>
      <c r="B7313">
        <v>2016</v>
      </c>
      <c r="C7313">
        <v>7</v>
      </c>
      <c r="D7313" s="11">
        <v>42552</v>
      </c>
      <c r="E7313" t="s">
        <v>2179</v>
      </c>
      <c r="F7313">
        <v>7</v>
      </c>
      <c r="G7313" t="s">
        <v>59</v>
      </c>
      <c r="H7313" t="s">
        <v>47</v>
      </c>
      <c r="I7313" t="s">
        <v>2195</v>
      </c>
      <c r="J7313" s="10">
        <v>5</v>
      </c>
      <c r="K7313" t="b">
        <v>1</v>
      </c>
    </row>
    <row r="7314" spans="1:11">
      <c r="A7314" s="12">
        <v>42555</v>
      </c>
      <c r="B7314">
        <v>2016</v>
      </c>
      <c r="C7314">
        <v>7</v>
      </c>
      <c r="D7314" s="11">
        <v>42552</v>
      </c>
      <c r="E7314" t="s">
        <v>2179</v>
      </c>
      <c r="F7314">
        <v>1</v>
      </c>
      <c r="G7314" t="s">
        <v>61</v>
      </c>
      <c r="H7314" t="s">
        <v>40</v>
      </c>
      <c r="I7314" t="s">
        <v>2188</v>
      </c>
      <c r="J7314" s="10">
        <v>8.34</v>
      </c>
      <c r="K7314" t="b">
        <v>1</v>
      </c>
    </row>
    <row r="7315" spans="1:11">
      <c r="A7315" s="12">
        <v>42555</v>
      </c>
      <c r="B7315">
        <v>2016</v>
      </c>
      <c r="C7315">
        <v>7</v>
      </c>
      <c r="D7315" s="11">
        <v>42552</v>
      </c>
      <c r="E7315" t="s">
        <v>2179</v>
      </c>
      <c r="F7315">
        <v>1</v>
      </c>
      <c r="G7315" t="s">
        <v>61</v>
      </c>
      <c r="H7315" t="s">
        <v>41</v>
      </c>
      <c r="I7315" t="s">
        <v>2189</v>
      </c>
      <c r="J7315" s="10">
        <v>5.34</v>
      </c>
      <c r="K7315" t="b">
        <v>1</v>
      </c>
    </row>
    <row r="7316" spans="1:11">
      <c r="A7316" s="12">
        <v>42555</v>
      </c>
      <c r="B7316">
        <v>2016</v>
      </c>
      <c r="C7316">
        <v>7</v>
      </c>
      <c r="D7316" s="11">
        <v>42552</v>
      </c>
      <c r="E7316" t="s">
        <v>2179</v>
      </c>
      <c r="F7316">
        <v>1</v>
      </c>
      <c r="G7316" t="s">
        <v>61</v>
      </c>
      <c r="H7316" t="s">
        <v>42</v>
      </c>
      <c r="I7316" t="s">
        <v>2190</v>
      </c>
      <c r="J7316" s="10">
        <v>1.15</v>
      </c>
      <c r="K7316" t="b">
        <v>1</v>
      </c>
    </row>
    <row r="7317" spans="1:11">
      <c r="A7317" s="12">
        <v>42555</v>
      </c>
      <c r="B7317">
        <v>2016</v>
      </c>
      <c r="C7317">
        <v>7</v>
      </c>
      <c r="D7317" s="11">
        <v>42552</v>
      </c>
      <c r="E7317" t="s">
        <v>2179</v>
      </c>
      <c r="F7317">
        <v>1</v>
      </c>
      <c r="G7317" t="s">
        <v>61</v>
      </c>
      <c r="H7317" t="s">
        <v>43</v>
      </c>
      <c r="I7317" t="s">
        <v>2191</v>
      </c>
      <c r="J7317" s="10">
        <v>14</v>
      </c>
      <c r="K7317" t="b">
        <v>1</v>
      </c>
    </row>
    <row r="7318" spans="1:11">
      <c r="A7318" s="12">
        <v>42555</v>
      </c>
      <c r="B7318">
        <v>2016</v>
      </c>
      <c r="C7318">
        <v>7</v>
      </c>
      <c r="D7318" s="11">
        <v>42552</v>
      </c>
      <c r="E7318" t="s">
        <v>2179</v>
      </c>
      <c r="F7318">
        <v>1</v>
      </c>
      <c r="G7318" t="s">
        <v>61</v>
      </c>
      <c r="H7318" t="s">
        <v>44</v>
      </c>
      <c r="I7318" t="s">
        <v>2192</v>
      </c>
      <c r="J7318" s="10">
        <v>8</v>
      </c>
      <c r="K7318" t="b">
        <v>1</v>
      </c>
    </row>
    <row r="7319" spans="1:11">
      <c r="A7319" s="12">
        <v>42555</v>
      </c>
      <c r="B7319">
        <v>2016</v>
      </c>
      <c r="C7319">
        <v>7</v>
      </c>
      <c r="D7319" s="11">
        <v>42552</v>
      </c>
      <c r="E7319" t="s">
        <v>2179</v>
      </c>
      <c r="F7319">
        <v>1</v>
      </c>
      <c r="G7319" t="s">
        <v>61</v>
      </c>
      <c r="H7319" t="s">
        <v>45</v>
      </c>
      <c r="I7319" t="s">
        <v>2193</v>
      </c>
      <c r="J7319" s="10">
        <v>3</v>
      </c>
      <c r="K7319" t="b">
        <v>1</v>
      </c>
    </row>
    <row r="7320" spans="1:11">
      <c r="A7320" s="12">
        <v>42555</v>
      </c>
      <c r="B7320">
        <v>2016</v>
      </c>
      <c r="C7320">
        <v>7</v>
      </c>
      <c r="D7320" s="11">
        <v>42552</v>
      </c>
      <c r="E7320" t="s">
        <v>2179</v>
      </c>
      <c r="F7320">
        <v>1</v>
      </c>
      <c r="G7320" t="s">
        <v>61</v>
      </c>
      <c r="H7320" t="s">
        <v>46</v>
      </c>
      <c r="I7320" t="s">
        <v>2194</v>
      </c>
      <c r="J7320" s="10">
        <v>7</v>
      </c>
      <c r="K7320" t="b">
        <v>1</v>
      </c>
    </row>
    <row r="7321" spans="1:11">
      <c r="A7321" s="12">
        <v>42555</v>
      </c>
      <c r="B7321">
        <v>2016</v>
      </c>
      <c r="C7321">
        <v>7</v>
      </c>
      <c r="D7321" s="11">
        <v>42552</v>
      </c>
      <c r="E7321" t="s">
        <v>2179</v>
      </c>
      <c r="F7321">
        <v>1</v>
      </c>
      <c r="G7321" t="s">
        <v>61</v>
      </c>
      <c r="H7321" t="s">
        <v>47</v>
      </c>
      <c r="I7321" t="s">
        <v>2195</v>
      </c>
      <c r="J7321" s="10">
        <v>6</v>
      </c>
      <c r="K7321" t="b">
        <v>1</v>
      </c>
    </row>
    <row r="7322" spans="1:11">
      <c r="A7322" s="12">
        <v>42556</v>
      </c>
      <c r="B7322">
        <v>2016</v>
      </c>
      <c r="C7322">
        <v>7</v>
      </c>
      <c r="D7322" s="11">
        <v>42552</v>
      </c>
      <c r="E7322" t="s">
        <v>2179</v>
      </c>
      <c r="F7322">
        <v>2</v>
      </c>
      <c r="G7322" t="s">
        <v>63</v>
      </c>
      <c r="H7322" t="s">
        <v>40</v>
      </c>
      <c r="I7322" t="s">
        <v>2188</v>
      </c>
      <c r="J7322" s="10">
        <v>6</v>
      </c>
      <c r="K7322" t="b">
        <v>1</v>
      </c>
    </row>
    <row r="7323" spans="1:11">
      <c r="A7323" s="12">
        <v>42556</v>
      </c>
      <c r="B7323">
        <v>2016</v>
      </c>
      <c r="C7323">
        <v>7</v>
      </c>
      <c r="D7323" s="11">
        <v>42552</v>
      </c>
      <c r="E7323" t="s">
        <v>2179</v>
      </c>
      <c r="F7323">
        <v>2</v>
      </c>
      <c r="G7323" t="s">
        <v>63</v>
      </c>
      <c r="H7323" t="s">
        <v>41</v>
      </c>
      <c r="I7323" t="s">
        <v>2189</v>
      </c>
      <c r="J7323" s="10">
        <v>4.01</v>
      </c>
      <c r="K7323" t="b">
        <v>1</v>
      </c>
    </row>
    <row r="7324" spans="1:11">
      <c r="A7324" s="12">
        <v>42556</v>
      </c>
      <c r="B7324">
        <v>2016</v>
      </c>
      <c r="C7324">
        <v>7</v>
      </c>
      <c r="D7324" s="11">
        <v>42552</v>
      </c>
      <c r="E7324" t="s">
        <v>2179</v>
      </c>
      <c r="F7324">
        <v>2</v>
      </c>
      <c r="G7324" t="s">
        <v>63</v>
      </c>
      <c r="H7324" t="s">
        <v>42</v>
      </c>
      <c r="I7324" t="s">
        <v>2190</v>
      </c>
      <c r="J7324" s="10">
        <v>2</v>
      </c>
      <c r="K7324" t="b">
        <v>1</v>
      </c>
    </row>
    <row r="7325" spans="1:11">
      <c r="A7325" s="12">
        <v>42556</v>
      </c>
      <c r="B7325">
        <v>2016</v>
      </c>
      <c r="C7325">
        <v>7</v>
      </c>
      <c r="D7325" s="11">
        <v>42552</v>
      </c>
      <c r="E7325" t="s">
        <v>2179</v>
      </c>
      <c r="F7325">
        <v>2</v>
      </c>
      <c r="G7325" t="s">
        <v>63</v>
      </c>
      <c r="H7325" t="s">
        <v>43</v>
      </c>
      <c r="I7325" t="s">
        <v>2191</v>
      </c>
      <c r="J7325" s="10">
        <v>19</v>
      </c>
      <c r="K7325" t="b">
        <v>1</v>
      </c>
    </row>
    <row r="7326" spans="1:11">
      <c r="A7326" s="12">
        <v>42556</v>
      </c>
      <c r="B7326">
        <v>2016</v>
      </c>
      <c r="C7326">
        <v>7</v>
      </c>
      <c r="D7326" s="11">
        <v>42552</v>
      </c>
      <c r="E7326" t="s">
        <v>2179</v>
      </c>
      <c r="F7326">
        <v>2</v>
      </c>
      <c r="G7326" t="s">
        <v>63</v>
      </c>
      <c r="H7326" t="s">
        <v>44</v>
      </c>
      <c r="I7326" t="s">
        <v>2192</v>
      </c>
      <c r="J7326" s="10">
        <v>10</v>
      </c>
      <c r="K7326" t="b">
        <v>1</v>
      </c>
    </row>
    <row r="7327" spans="1:11">
      <c r="A7327" s="12">
        <v>42556</v>
      </c>
      <c r="B7327">
        <v>2016</v>
      </c>
      <c r="C7327">
        <v>7</v>
      </c>
      <c r="D7327" s="11">
        <v>42552</v>
      </c>
      <c r="E7327" t="s">
        <v>2179</v>
      </c>
      <c r="F7327">
        <v>2</v>
      </c>
      <c r="G7327" t="s">
        <v>63</v>
      </c>
      <c r="H7327" t="s">
        <v>45</v>
      </c>
      <c r="I7327" t="s">
        <v>2193</v>
      </c>
      <c r="J7327" s="10">
        <v>0</v>
      </c>
      <c r="K7327" t="b">
        <v>1</v>
      </c>
    </row>
    <row r="7328" spans="1:11">
      <c r="A7328" s="12">
        <v>42556</v>
      </c>
      <c r="B7328">
        <v>2016</v>
      </c>
      <c r="C7328">
        <v>7</v>
      </c>
      <c r="D7328" s="11">
        <v>42552</v>
      </c>
      <c r="E7328" t="s">
        <v>2179</v>
      </c>
      <c r="F7328">
        <v>2</v>
      </c>
      <c r="G7328" t="s">
        <v>63</v>
      </c>
      <c r="H7328" t="s">
        <v>46</v>
      </c>
      <c r="I7328" t="s">
        <v>2194</v>
      </c>
      <c r="J7328" s="10">
        <v>0</v>
      </c>
      <c r="K7328" t="b">
        <v>1</v>
      </c>
    </row>
    <row r="7329" spans="1:11">
      <c r="A7329" s="12">
        <v>42556</v>
      </c>
      <c r="B7329">
        <v>2016</v>
      </c>
      <c r="C7329">
        <v>7</v>
      </c>
      <c r="D7329" s="11">
        <v>42552</v>
      </c>
      <c r="E7329" t="s">
        <v>2179</v>
      </c>
      <c r="F7329">
        <v>2</v>
      </c>
      <c r="G7329" t="s">
        <v>63</v>
      </c>
      <c r="H7329" t="s">
        <v>47</v>
      </c>
      <c r="I7329" t="s">
        <v>2195</v>
      </c>
      <c r="J7329" s="10">
        <v>3</v>
      </c>
      <c r="K7329" t="b">
        <v>1</v>
      </c>
    </row>
    <row r="7330" spans="1:11">
      <c r="A7330" s="12">
        <v>42557</v>
      </c>
      <c r="B7330">
        <v>2016</v>
      </c>
      <c r="C7330">
        <v>7</v>
      </c>
      <c r="D7330" s="11">
        <v>42552</v>
      </c>
      <c r="E7330" t="s">
        <v>2179</v>
      </c>
      <c r="F7330">
        <v>3</v>
      </c>
      <c r="G7330" t="s">
        <v>65</v>
      </c>
      <c r="H7330" t="s">
        <v>40</v>
      </c>
      <c r="I7330" t="s">
        <v>2188</v>
      </c>
      <c r="J7330" s="10">
        <v>9.33</v>
      </c>
      <c r="K7330" t="b">
        <v>1</v>
      </c>
    </row>
    <row r="7331" spans="1:11">
      <c r="A7331" s="12">
        <v>42557</v>
      </c>
      <c r="B7331">
        <v>2016</v>
      </c>
      <c r="C7331">
        <v>7</v>
      </c>
      <c r="D7331" s="11">
        <v>42552</v>
      </c>
      <c r="E7331" t="s">
        <v>2179</v>
      </c>
      <c r="F7331">
        <v>3</v>
      </c>
      <c r="G7331" t="s">
        <v>65</v>
      </c>
      <c r="H7331" t="s">
        <v>41</v>
      </c>
      <c r="I7331" t="s">
        <v>2189</v>
      </c>
      <c r="J7331" s="10">
        <v>5.726</v>
      </c>
      <c r="K7331" t="b">
        <v>1</v>
      </c>
    </row>
    <row r="7332" spans="1:11">
      <c r="A7332" s="12">
        <v>42557</v>
      </c>
      <c r="B7332">
        <v>2016</v>
      </c>
      <c r="C7332">
        <v>7</v>
      </c>
      <c r="D7332" s="11">
        <v>42552</v>
      </c>
      <c r="E7332" t="s">
        <v>2179</v>
      </c>
      <c r="F7332">
        <v>3</v>
      </c>
      <c r="G7332" t="s">
        <v>65</v>
      </c>
      <c r="H7332" t="s">
        <v>42</v>
      </c>
      <c r="I7332" t="s">
        <v>2190</v>
      </c>
      <c r="J7332" s="10">
        <v>5</v>
      </c>
      <c r="K7332" t="b">
        <v>1</v>
      </c>
    </row>
    <row r="7333" spans="1:11">
      <c r="A7333" s="12">
        <v>42557</v>
      </c>
      <c r="B7333">
        <v>2016</v>
      </c>
      <c r="C7333">
        <v>7</v>
      </c>
      <c r="D7333" s="11">
        <v>42552</v>
      </c>
      <c r="E7333" t="s">
        <v>2179</v>
      </c>
      <c r="F7333">
        <v>3</v>
      </c>
      <c r="G7333" t="s">
        <v>65</v>
      </c>
      <c r="H7333" t="s">
        <v>43</v>
      </c>
      <c r="I7333" t="s">
        <v>2191</v>
      </c>
      <c r="J7333" s="10">
        <v>30</v>
      </c>
      <c r="K7333" t="b">
        <v>1</v>
      </c>
    </row>
    <row r="7334" spans="1:11">
      <c r="A7334" s="12">
        <v>42557</v>
      </c>
      <c r="B7334">
        <v>2016</v>
      </c>
      <c r="C7334">
        <v>7</v>
      </c>
      <c r="D7334" s="11">
        <v>42552</v>
      </c>
      <c r="E7334" t="s">
        <v>2179</v>
      </c>
      <c r="F7334">
        <v>3</v>
      </c>
      <c r="G7334" t="s">
        <v>65</v>
      </c>
      <c r="H7334" t="s">
        <v>44</v>
      </c>
      <c r="I7334" t="s">
        <v>2192</v>
      </c>
      <c r="J7334" s="10">
        <v>5</v>
      </c>
      <c r="K7334" t="b">
        <v>1</v>
      </c>
    </row>
    <row r="7335" spans="1:11">
      <c r="A7335" s="12">
        <v>42557</v>
      </c>
      <c r="B7335">
        <v>2016</v>
      </c>
      <c r="C7335">
        <v>7</v>
      </c>
      <c r="D7335" s="11">
        <v>42552</v>
      </c>
      <c r="E7335" t="s">
        <v>2179</v>
      </c>
      <c r="F7335">
        <v>3</v>
      </c>
      <c r="G7335" t="s">
        <v>65</v>
      </c>
      <c r="H7335" t="s">
        <v>45</v>
      </c>
      <c r="I7335" t="s">
        <v>2193</v>
      </c>
      <c r="J7335" s="10">
        <v>0</v>
      </c>
      <c r="K7335" t="b">
        <v>1</v>
      </c>
    </row>
    <row r="7336" spans="1:11">
      <c r="A7336" s="12">
        <v>42557</v>
      </c>
      <c r="B7336">
        <v>2016</v>
      </c>
      <c r="C7336">
        <v>7</v>
      </c>
      <c r="D7336" s="11">
        <v>42552</v>
      </c>
      <c r="E7336" t="s">
        <v>2179</v>
      </c>
      <c r="F7336">
        <v>3</v>
      </c>
      <c r="G7336" t="s">
        <v>65</v>
      </c>
      <c r="H7336" t="s">
        <v>46</v>
      </c>
      <c r="I7336" t="s">
        <v>2194</v>
      </c>
      <c r="J7336" s="10">
        <v>8</v>
      </c>
      <c r="K7336" t="b">
        <v>1</v>
      </c>
    </row>
    <row r="7337" spans="1:11">
      <c r="A7337" s="12">
        <v>42557</v>
      </c>
      <c r="B7337">
        <v>2016</v>
      </c>
      <c r="C7337">
        <v>7</v>
      </c>
      <c r="D7337" s="11">
        <v>42552</v>
      </c>
      <c r="E7337" t="s">
        <v>2179</v>
      </c>
      <c r="F7337">
        <v>3</v>
      </c>
      <c r="G7337" t="s">
        <v>65</v>
      </c>
      <c r="H7337" t="s">
        <v>47</v>
      </c>
      <c r="I7337" t="s">
        <v>2195</v>
      </c>
      <c r="J7337" s="10">
        <v>4</v>
      </c>
      <c r="K7337" t="b">
        <v>1</v>
      </c>
    </row>
    <row r="7338" spans="1:11">
      <c r="A7338" s="12">
        <v>42558</v>
      </c>
      <c r="B7338">
        <v>2016</v>
      </c>
      <c r="C7338">
        <v>7</v>
      </c>
      <c r="D7338" s="11">
        <v>42552</v>
      </c>
      <c r="E7338" t="s">
        <v>2179</v>
      </c>
      <c r="F7338">
        <v>4</v>
      </c>
      <c r="G7338" t="s">
        <v>53</v>
      </c>
      <c r="H7338" t="s">
        <v>40</v>
      </c>
      <c r="I7338" t="s">
        <v>2188</v>
      </c>
      <c r="J7338" s="10">
        <v>7.34</v>
      </c>
      <c r="K7338" t="b">
        <v>1</v>
      </c>
    </row>
    <row r="7339" spans="1:11">
      <c r="A7339" s="12">
        <v>42558</v>
      </c>
      <c r="B7339">
        <v>2016</v>
      </c>
      <c r="C7339">
        <v>7</v>
      </c>
      <c r="D7339" s="11">
        <v>42552</v>
      </c>
      <c r="E7339" t="s">
        <v>2179</v>
      </c>
      <c r="F7339">
        <v>4</v>
      </c>
      <c r="G7339" t="s">
        <v>53</v>
      </c>
      <c r="H7339" t="s">
        <v>41</v>
      </c>
      <c r="I7339" t="s">
        <v>2189</v>
      </c>
      <c r="J7339" s="10">
        <v>5.01</v>
      </c>
      <c r="K7339" t="b">
        <v>1</v>
      </c>
    </row>
    <row r="7340" spans="1:11">
      <c r="A7340" s="12">
        <v>42558</v>
      </c>
      <c r="B7340">
        <v>2016</v>
      </c>
      <c r="C7340">
        <v>7</v>
      </c>
      <c r="D7340" s="11">
        <v>42552</v>
      </c>
      <c r="E7340" t="s">
        <v>2179</v>
      </c>
      <c r="F7340">
        <v>4</v>
      </c>
      <c r="G7340" t="s">
        <v>53</v>
      </c>
      <c r="H7340" t="s">
        <v>42</v>
      </c>
      <c r="I7340" t="s">
        <v>2190</v>
      </c>
      <c r="J7340" s="10">
        <v>1</v>
      </c>
      <c r="K7340" t="b">
        <v>1</v>
      </c>
    </row>
    <row r="7341" spans="1:11">
      <c r="A7341" s="12">
        <v>42558</v>
      </c>
      <c r="B7341">
        <v>2016</v>
      </c>
      <c r="C7341">
        <v>7</v>
      </c>
      <c r="D7341" s="11">
        <v>42552</v>
      </c>
      <c r="E7341" t="s">
        <v>2179</v>
      </c>
      <c r="F7341">
        <v>4</v>
      </c>
      <c r="G7341" t="s">
        <v>53</v>
      </c>
      <c r="H7341" t="s">
        <v>43</v>
      </c>
      <c r="I7341" t="s">
        <v>2191</v>
      </c>
      <c r="J7341" s="10">
        <v>21</v>
      </c>
      <c r="K7341" t="b">
        <v>1</v>
      </c>
    </row>
    <row r="7342" spans="1:11">
      <c r="A7342" s="12">
        <v>42558</v>
      </c>
      <c r="B7342">
        <v>2016</v>
      </c>
      <c r="C7342">
        <v>7</v>
      </c>
      <c r="D7342" s="11">
        <v>42552</v>
      </c>
      <c r="E7342" t="s">
        <v>2179</v>
      </c>
      <c r="F7342">
        <v>4</v>
      </c>
      <c r="G7342" t="s">
        <v>53</v>
      </c>
      <c r="H7342" t="s">
        <v>44</v>
      </c>
      <c r="I7342" t="s">
        <v>2192</v>
      </c>
      <c r="J7342" s="10">
        <v>11</v>
      </c>
      <c r="K7342" t="b">
        <v>1</v>
      </c>
    </row>
    <row r="7343" spans="1:11">
      <c r="A7343" s="12">
        <v>42558</v>
      </c>
      <c r="B7343">
        <v>2016</v>
      </c>
      <c r="C7343">
        <v>7</v>
      </c>
      <c r="D7343" s="11">
        <v>42552</v>
      </c>
      <c r="E7343" t="s">
        <v>2179</v>
      </c>
      <c r="F7343">
        <v>4</v>
      </c>
      <c r="G7343" t="s">
        <v>53</v>
      </c>
      <c r="H7343" t="s">
        <v>45</v>
      </c>
      <c r="I7343" t="s">
        <v>2193</v>
      </c>
      <c r="J7343" s="10">
        <v>1</v>
      </c>
      <c r="K7343" t="b">
        <v>1</v>
      </c>
    </row>
    <row r="7344" spans="1:11">
      <c r="A7344" s="12">
        <v>42558</v>
      </c>
      <c r="B7344">
        <v>2016</v>
      </c>
      <c r="C7344">
        <v>7</v>
      </c>
      <c r="D7344" s="11">
        <v>42552</v>
      </c>
      <c r="E7344" t="s">
        <v>2179</v>
      </c>
      <c r="F7344">
        <v>4</v>
      </c>
      <c r="G7344" t="s">
        <v>53</v>
      </c>
      <c r="H7344" t="s">
        <v>46</v>
      </c>
      <c r="I7344" t="s">
        <v>2194</v>
      </c>
      <c r="J7344" s="10">
        <v>0</v>
      </c>
      <c r="K7344" t="b">
        <v>1</v>
      </c>
    </row>
    <row r="7345" spans="1:11">
      <c r="A7345" s="12">
        <v>42558</v>
      </c>
      <c r="B7345">
        <v>2016</v>
      </c>
      <c r="C7345">
        <v>7</v>
      </c>
      <c r="D7345" s="11">
        <v>42552</v>
      </c>
      <c r="E7345" t="s">
        <v>2179</v>
      </c>
      <c r="F7345">
        <v>4</v>
      </c>
      <c r="G7345" t="s">
        <v>53</v>
      </c>
      <c r="H7345" t="s">
        <v>47</v>
      </c>
      <c r="I7345" t="s">
        <v>2195</v>
      </c>
      <c r="J7345" s="10">
        <v>2</v>
      </c>
      <c r="K7345" t="b">
        <v>1</v>
      </c>
    </row>
    <row r="7346" spans="1:11">
      <c r="A7346" s="12">
        <v>42559</v>
      </c>
      <c r="B7346">
        <v>2016</v>
      </c>
      <c r="C7346">
        <v>7</v>
      </c>
      <c r="D7346" s="11">
        <v>42552</v>
      </c>
      <c r="E7346" t="s">
        <v>2179</v>
      </c>
      <c r="F7346">
        <v>5</v>
      </c>
      <c r="G7346" t="s">
        <v>55</v>
      </c>
      <c r="H7346" t="s">
        <v>40</v>
      </c>
      <c r="I7346" t="s">
        <v>2188</v>
      </c>
      <c r="J7346" s="10">
        <v>1.34</v>
      </c>
      <c r="K7346" t="b">
        <v>1</v>
      </c>
    </row>
    <row r="7347" spans="1:11">
      <c r="A7347" s="12">
        <v>42559</v>
      </c>
      <c r="B7347">
        <v>2016</v>
      </c>
      <c r="C7347">
        <v>7</v>
      </c>
      <c r="D7347" s="11">
        <v>42552</v>
      </c>
      <c r="E7347" t="s">
        <v>2179</v>
      </c>
      <c r="F7347">
        <v>5</v>
      </c>
      <c r="G7347" t="s">
        <v>55</v>
      </c>
      <c r="H7347" t="s">
        <v>41</v>
      </c>
      <c r="I7347" t="s">
        <v>2189</v>
      </c>
      <c r="J7347" s="10">
        <v>7.056</v>
      </c>
      <c r="K7347" t="b">
        <v>1</v>
      </c>
    </row>
    <row r="7348" spans="1:11">
      <c r="A7348" s="12">
        <v>42559</v>
      </c>
      <c r="B7348">
        <v>2016</v>
      </c>
      <c r="C7348">
        <v>7</v>
      </c>
      <c r="D7348" s="11">
        <v>42552</v>
      </c>
      <c r="E7348" t="s">
        <v>2179</v>
      </c>
      <c r="F7348">
        <v>5</v>
      </c>
      <c r="G7348" t="s">
        <v>55</v>
      </c>
      <c r="H7348" t="s">
        <v>42</v>
      </c>
      <c r="I7348" t="s">
        <v>2190</v>
      </c>
      <c r="J7348" s="10">
        <v>9.199999999999999</v>
      </c>
      <c r="K7348" t="b">
        <v>1</v>
      </c>
    </row>
    <row r="7349" spans="1:11">
      <c r="A7349" s="12">
        <v>42559</v>
      </c>
      <c r="B7349">
        <v>2016</v>
      </c>
      <c r="C7349">
        <v>7</v>
      </c>
      <c r="D7349" s="11">
        <v>42552</v>
      </c>
      <c r="E7349" t="s">
        <v>2179</v>
      </c>
      <c r="F7349">
        <v>5</v>
      </c>
      <c r="G7349" t="s">
        <v>55</v>
      </c>
      <c r="H7349" t="s">
        <v>43</v>
      </c>
      <c r="I7349" t="s">
        <v>2191</v>
      </c>
      <c r="J7349" s="10">
        <v>28</v>
      </c>
      <c r="K7349" t="b">
        <v>1</v>
      </c>
    </row>
    <row r="7350" spans="1:11">
      <c r="A7350" s="12">
        <v>42559</v>
      </c>
      <c r="B7350">
        <v>2016</v>
      </c>
      <c r="C7350">
        <v>7</v>
      </c>
      <c r="D7350" s="11">
        <v>42552</v>
      </c>
      <c r="E7350" t="s">
        <v>2179</v>
      </c>
      <c r="F7350">
        <v>5</v>
      </c>
      <c r="G7350" t="s">
        <v>55</v>
      </c>
      <c r="H7350" t="s">
        <v>44</v>
      </c>
      <c r="I7350" t="s">
        <v>2192</v>
      </c>
      <c r="J7350" s="10">
        <v>12</v>
      </c>
      <c r="K7350" t="b">
        <v>1</v>
      </c>
    </row>
    <row r="7351" spans="1:11">
      <c r="A7351" s="12">
        <v>42559</v>
      </c>
      <c r="B7351">
        <v>2016</v>
      </c>
      <c r="C7351">
        <v>7</v>
      </c>
      <c r="D7351" s="11">
        <v>42552</v>
      </c>
      <c r="E7351" t="s">
        <v>2179</v>
      </c>
      <c r="F7351">
        <v>5</v>
      </c>
      <c r="G7351" t="s">
        <v>55</v>
      </c>
      <c r="H7351" t="s">
        <v>45</v>
      </c>
      <c r="I7351" t="s">
        <v>2193</v>
      </c>
      <c r="J7351" s="10">
        <v>1</v>
      </c>
      <c r="K7351" t="b">
        <v>1</v>
      </c>
    </row>
    <row r="7352" spans="1:11">
      <c r="A7352" s="12">
        <v>42559</v>
      </c>
      <c r="B7352">
        <v>2016</v>
      </c>
      <c r="C7352">
        <v>7</v>
      </c>
      <c r="D7352" s="11">
        <v>42552</v>
      </c>
      <c r="E7352" t="s">
        <v>2179</v>
      </c>
      <c r="F7352">
        <v>5</v>
      </c>
      <c r="G7352" t="s">
        <v>55</v>
      </c>
      <c r="H7352" t="s">
        <v>46</v>
      </c>
      <c r="I7352" t="s">
        <v>2194</v>
      </c>
      <c r="J7352" s="10">
        <v>0</v>
      </c>
      <c r="K7352" t="b">
        <v>1</v>
      </c>
    </row>
    <row r="7353" spans="1:11">
      <c r="A7353" s="12">
        <v>42559</v>
      </c>
      <c r="B7353">
        <v>2016</v>
      </c>
      <c r="C7353">
        <v>7</v>
      </c>
      <c r="D7353" s="11">
        <v>42552</v>
      </c>
      <c r="E7353" t="s">
        <v>2179</v>
      </c>
      <c r="F7353">
        <v>5</v>
      </c>
      <c r="G7353" t="s">
        <v>55</v>
      </c>
      <c r="H7353" t="s">
        <v>47</v>
      </c>
      <c r="I7353" t="s">
        <v>2195</v>
      </c>
      <c r="J7353" s="10">
        <v>4.3</v>
      </c>
      <c r="K7353" t="b">
        <v>1</v>
      </c>
    </row>
    <row r="7354" spans="1:11">
      <c r="A7354" s="12">
        <v>42560</v>
      </c>
      <c r="B7354">
        <v>2016</v>
      </c>
      <c r="C7354">
        <v>7</v>
      </c>
      <c r="D7354" s="11">
        <v>42552</v>
      </c>
      <c r="E7354" t="s">
        <v>2179</v>
      </c>
      <c r="F7354">
        <v>6</v>
      </c>
      <c r="G7354" t="s">
        <v>57</v>
      </c>
      <c r="H7354" t="s">
        <v>40</v>
      </c>
      <c r="I7354" t="s">
        <v>2188</v>
      </c>
      <c r="J7354" s="10">
        <v>3.33</v>
      </c>
      <c r="K7354" t="b">
        <v>1</v>
      </c>
    </row>
    <row r="7355" spans="1:11">
      <c r="A7355" s="12">
        <v>42560</v>
      </c>
      <c r="B7355">
        <v>2016</v>
      </c>
      <c r="C7355">
        <v>7</v>
      </c>
      <c r="D7355" s="11">
        <v>42552</v>
      </c>
      <c r="E7355" t="s">
        <v>2179</v>
      </c>
      <c r="F7355">
        <v>6</v>
      </c>
      <c r="G7355" t="s">
        <v>57</v>
      </c>
      <c r="H7355" t="s">
        <v>41</v>
      </c>
      <c r="I7355" t="s">
        <v>2189</v>
      </c>
      <c r="J7355" s="10">
        <v>6</v>
      </c>
      <c r="K7355" t="b">
        <v>1</v>
      </c>
    </row>
    <row r="7356" spans="1:11">
      <c r="A7356" s="12">
        <v>42560</v>
      </c>
      <c r="B7356">
        <v>2016</v>
      </c>
      <c r="C7356">
        <v>7</v>
      </c>
      <c r="D7356" s="11">
        <v>42552</v>
      </c>
      <c r="E7356" t="s">
        <v>2179</v>
      </c>
      <c r="F7356">
        <v>6</v>
      </c>
      <c r="G7356" t="s">
        <v>57</v>
      </c>
      <c r="H7356" t="s">
        <v>42</v>
      </c>
      <c r="I7356" t="s">
        <v>2190</v>
      </c>
      <c r="J7356" s="10">
        <v>4.5</v>
      </c>
      <c r="K7356" t="b">
        <v>1</v>
      </c>
    </row>
    <row r="7357" spans="1:11">
      <c r="A7357" s="12">
        <v>42560</v>
      </c>
      <c r="B7357">
        <v>2016</v>
      </c>
      <c r="C7357">
        <v>7</v>
      </c>
      <c r="D7357" s="11">
        <v>42552</v>
      </c>
      <c r="E7357" t="s">
        <v>2179</v>
      </c>
      <c r="F7357">
        <v>6</v>
      </c>
      <c r="G7357" t="s">
        <v>57</v>
      </c>
      <c r="H7357" t="s">
        <v>43</v>
      </c>
      <c r="I7357" t="s">
        <v>2191</v>
      </c>
      <c r="J7357" s="10">
        <v>11</v>
      </c>
      <c r="K7357" t="b">
        <v>1</v>
      </c>
    </row>
    <row r="7358" spans="1:11">
      <c r="A7358" s="12">
        <v>42560</v>
      </c>
      <c r="B7358">
        <v>2016</v>
      </c>
      <c r="C7358">
        <v>7</v>
      </c>
      <c r="D7358" s="11">
        <v>42552</v>
      </c>
      <c r="E7358" t="s">
        <v>2179</v>
      </c>
      <c r="F7358">
        <v>6</v>
      </c>
      <c r="G7358" t="s">
        <v>57</v>
      </c>
      <c r="H7358" t="s">
        <v>44</v>
      </c>
      <c r="I7358" t="s">
        <v>2192</v>
      </c>
      <c r="J7358" s="10">
        <v>12</v>
      </c>
      <c r="K7358" t="b">
        <v>1</v>
      </c>
    </row>
    <row r="7359" spans="1:11">
      <c r="A7359" s="12">
        <v>42560</v>
      </c>
      <c r="B7359">
        <v>2016</v>
      </c>
      <c r="C7359">
        <v>7</v>
      </c>
      <c r="D7359" s="11">
        <v>42552</v>
      </c>
      <c r="E7359" t="s">
        <v>2179</v>
      </c>
      <c r="F7359">
        <v>6</v>
      </c>
      <c r="G7359" t="s">
        <v>57</v>
      </c>
      <c r="H7359" t="s">
        <v>45</v>
      </c>
      <c r="I7359" t="s">
        <v>2193</v>
      </c>
      <c r="J7359" s="10">
        <v>0</v>
      </c>
      <c r="K7359" t="b">
        <v>1</v>
      </c>
    </row>
    <row r="7360" spans="1:11">
      <c r="A7360" s="12">
        <v>42560</v>
      </c>
      <c r="B7360">
        <v>2016</v>
      </c>
      <c r="C7360">
        <v>7</v>
      </c>
      <c r="D7360" s="11">
        <v>42552</v>
      </c>
      <c r="E7360" t="s">
        <v>2179</v>
      </c>
      <c r="F7360">
        <v>6</v>
      </c>
      <c r="G7360" t="s">
        <v>57</v>
      </c>
      <c r="H7360" t="s">
        <v>46</v>
      </c>
      <c r="I7360" t="s">
        <v>2194</v>
      </c>
      <c r="J7360" s="10">
        <v>0</v>
      </c>
      <c r="K7360" t="b">
        <v>1</v>
      </c>
    </row>
    <row r="7361" spans="1:11">
      <c r="A7361" s="12">
        <v>42560</v>
      </c>
      <c r="B7361">
        <v>2016</v>
      </c>
      <c r="C7361">
        <v>7</v>
      </c>
      <c r="D7361" s="11">
        <v>42552</v>
      </c>
      <c r="E7361" t="s">
        <v>2179</v>
      </c>
      <c r="F7361">
        <v>6</v>
      </c>
      <c r="G7361" t="s">
        <v>57</v>
      </c>
      <c r="H7361" t="s">
        <v>47</v>
      </c>
      <c r="I7361" t="s">
        <v>2195</v>
      </c>
      <c r="J7361" s="10">
        <v>2</v>
      </c>
      <c r="K7361" t="b">
        <v>1</v>
      </c>
    </row>
    <row r="7362" spans="1:11">
      <c r="A7362" s="12">
        <v>42561</v>
      </c>
      <c r="B7362">
        <v>2016</v>
      </c>
      <c r="C7362">
        <v>7</v>
      </c>
      <c r="D7362" s="11">
        <v>42552</v>
      </c>
      <c r="E7362" t="s">
        <v>2179</v>
      </c>
      <c r="F7362">
        <v>7</v>
      </c>
      <c r="G7362" t="s">
        <v>59</v>
      </c>
      <c r="H7362" t="s">
        <v>40</v>
      </c>
      <c r="I7362" t="s">
        <v>2188</v>
      </c>
      <c r="J7362" s="10">
        <v>5.66</v>
      </c>
      <c r="K7362" t="b">
        <v>1</v>
      </c>
    </row>
    <row r="7363" spans="1:11">
      <c r="A7363" s="12">
        <v>42561</v>
      </c>
      <c r="B7363">
        <v>2016</v>
      </c>
      <c r="C7363">
        <v>7</v>
      </c>
      <c r="D7363" s="11">
        <v>42552</v>
      </c>
      <c r="E7363" t="s">
        <v>2179</v>
      </c>
      <c r="F7363">
        <v>7</v>
      </c>
      <c r="G7363" t="s">
        <v>59</v>
      </c>
      <c r="H7363" t="s">
        <v>41</v>
      </c>
      <c r="I7363" t="s">
        <v>2189</v>
      </c>
      <c r="J7363" s="10">
        <v>8.32</v>
      </c>
      <c r="K7363" t="b">
        <v>1</v>
      </c>
    </row>
    <row r="7364" spans="1:11">
      <c r="A7364" s="12">
        <v>42561</v>
      </c>
      <c r="B7364">
        <v>2016</v>
      </c>
      <c r="C7364">
        <v>7</v>
      </c>
      <c r="D7364" s="11">
        <v>42552</v>
      </c>
      <c r="E7364" t="s">
        <v>2179</v>
      </c>
      <c r="F7364">
        <v>7</v>
      </c>
      <c r="G7364" t="s">
        <v>59</v>
      </c>
      <c r="H7364" t="s">
        <v>42</v>
      </c>
      <c r="I7364" t="s">
        <v>2190</v>
      </c>
      <c r="J7364" s="10">
        <v>4.2</v>
      </c>
      <c r="K7364" t="b">
        <v>1</v>
      </c>
    </row>
    <row r="7365" spans="1:11">
      <c r="A7365" s="12">
        <v>42561</v>
      </c>
      <c r="B7365">
        <v>2016</v>
      </c>
      <c r="C7365">
        <v>7</v>
      </c>
      <c r="D7365" s="11">
        <v>42552</v>
      </c>
      <c r="E7365" t="s">
        <v>2179</v>
      </c>
      <c r="F7365">
        <v>7</v>
      </c>
      <c r="G7365" t="s">
        <v>59</v>
      </c>
      <c r="H7365" t="s">
        <v>43</v>
      </c>
      <c r="I7365" t="s">
        <v>2191</v>
      </c>
      <c r="J7365" s="10">
        <v>29</v>
      </c>
      <c r="K7365" t="b">
        <v>1</v>
      </c>
    </row>
    <row r="7366" spans="1:11">
      <c r="A7366" s="12">
        <v>42561</v>
      </c>
      <c r="B7366">
        <v>2016</v>
      </c>
      <c r="C7366">
        <v>7</v>
      </c>
      <c r="D7366" s="11">
        <v>42552</v>
      </c>
      <c r="E7366" t="s">
        <v>2179</v>
      </c>
      <c r="F7366">
        <v>7</v>
      </c>
      <c r="G7366" t="s">
        <v>59</v>
      </c>
      <c r="H7366" t="s">
        <v>44</v>
      </c>
      <c r="I7366" t="s">
        <v>2192</v>
      </c>
      <c r="J7366" s="10">
        <v>6</v>
      </c>
      <c r="K7366" t="b">
        <v>1</v>
      </c>
    </row>
    <row r="7367" spans="1:11">
      <c r="A7367" s="12">
        <v>42561</v>
      </c>
      <c r="B7367">
        <v>2016</v>
      </c>
      <c r="C7367">
        <v>7</v>
      </c>
      <c r="D7367" s="11">
        <v>42552</v>
      </c>
      <c r="E7367" t="s">
        <v>2179</v>
      </c>
      <c r="F7367">
        <v>7</v>
      </c>
      <c r="G7367" t="s">
        <v>59</v>
      </c>
      <c r="H7367" t="s">
        <v>45</v>
      </c>
      <c r="I7367" t="s">
        <v>2193</v>
      </c>
      <c r="J7367" s="10">
        <v>0</v>
      </c>
      <c r="K7367" t="b">
        <v>1</v>
      </c>
    </row>
    <row r="7368" spans="1:11">
      <c r="A7368" s="12">
        <v>42561</v>
      </c>
      <c r="B7368">
        <v>2016</v>
      </c>
      <c r="C7368">
        <v>7</v>
      </c>
      <c r="D7368" s="11">
        <v>42552</v>
      </c>
      <c r="E7368" t="s">
        <v>2179</v>
      </c>
      <c r="F7368">
        <v>7</v>
      </c>
      <c r="G7368" t="s">
        <v>59</v>
      </c>
      <c r="H7368" t="s">
        <v>46</v>
      </c>
      <c r="I7368" t="s">
        <v>2194</v>
      </c>
      <c r="J7368" s="10">
        <v>0</v>
      </c>
      <c r="K7368" t="b">
        <v>1</v>
      </c>
    </row>
    <row r="7369" spans="1:11">
      <c r="A7369" s="12">
        <v>42561</v>
      </c>
      <c r="B7369">
        <v>2016</v>
      </c>
      <c r="C7369">
        <v>7</v>
      </c>
      <c r="D7369" s="11">
        <v>42552</v>
      </c>
      <c r="E7369" t="s">
        <v>2179</v>
      </c>
      <c r="F7369">
        <v>7</v>
      </c>
      <c r="G7369" t="s">
        <v>59</v>
      </c>
      <c r="H7369" t="s">
        <v>47</v>
      </c>
      <c r="I7369" t="s">
        <v>2195</v>
      </c>
      <c r="J7369" s="10">
        <v>3</v>
      </c>
      <c r="K7369" t="b">
        <v>1</v>
      </c>
    </row>
    <row r="7370" spans="1:11">
      <c r="A7370" s="12">
        <v>42562</v>
      </c>
      <c r="B7370">
        <v>2016</v>
      </c>
      <c r="C7370">
        <v>7</v>
      </c>
      <c r="D7370" s="11">
        <v>42552</v>
      </c>
      <c r="E7370" t="s">
        <v>2179</v>
      </c>
      <c r="F7370">
        <v>1</v>
      </c>
      <c r="G7370" t="s">
        <v>61</v>
      </c>
      <c r="H7370" t="s">
        <v>40</v>
      </c>
      <c r="I7370" t="s">
        <v>2188</v>
      </c>
      <c r="J7370" s="10">
        <v>6.33</v>
      </c>
      <c r="K7370" t="b">
        <v>1</v>
      </c>
    </row>
    <row r="7371" spans="1:11">
      <c r="A7371" s="12">
        <v>42562</v>
      </c>
      <c r="B7371">
        <v>2016</v>
      </c>
      <c r="C7371">
        <v>7</v>
      </c>
      <c r="D7371" s="11">
        <v>42552</v>
      </c>
      <c r="E7371" t="s">
        <v>2179</v>
      </c>
      <c r="F7371">
        <v>1</v>
      </c>
      <c r="G7371" t="s">
        <v>61</v>
      </c>
      <c r="H7371" t="s">
        <v>41</v>
      </c>
      <c r="I7371" t="s">
        <v>2189</v>
      </c>
      <c r="J7371" s="10">
        <v>1.703</v>
      </c>
      <c r="K7371" t="b">
        <v>1</v>
      </c>
    </row>
    <row r="7372" spans="1:11">
      <c r="A7372" s="12">
        <v>42562</v>
      </c>
      <c r="B7372">
        <v>2016</v>
      </c>
      <c r="C7372">
        <v>7</v>
      </c>
      <c r="D7372" s="11">
        <v>42552</v>
      </c>
      <c r="E7372" t="s">
        <v>2179</v>
      </c>
      <c r="F7372">
        <v>1</v>
      </c>
      <c r="G7372" t="s">
        <v>61</v>
      </c>
      <c r="H7372" t="s">
        <v>42</v>
      </c>
      <c r="I7372" t="s">
        <v>2190</v>
      </c>
      <c r="J7372" s="10">
        <v>3</v>
      </c>
      <c r="K7372" t="b">
        <v>1</v>
      </c>
    </row>
    <row r="7373" spans="1:11">
      <c r="A7373" s="12">
        <v>42562</v>
      </c>
      <c r="B7373">
        <v>2016</v>
      </c>
      <c r="C7373">
        <v>7</v>
      </c>
      <c r="D7373" s="11">
        <v>42552</v>
      </c>
      <c r="E7373" t="s">
        <v>2179</v>
      </c>
      <c r="F7373">
        <v>1</v>
      </c>
      <c r="G7373" t="s">
        <v>61</v>
      </c>
      <c r="H7373" t="s">
        <v>43</v>
      </c>
      <c r="I7373" t="s">
        <v>2191</v>
      </c>
      <c r="J7373" s="10">
        <v>19.312</v>
      </c>
      <c r="K7373" t="b">
        <v>1</v>
      </c>
    </row>
    <row r="7374" spans="1:11">
      <c r="A7374" s="12">
        <v>42562</v>
      </c>
      <c r="B7374">
        <v>2016</v>
      </c>
      <c r="C7374">
        <v>7</v>
      </c>
      <c r="D7374" s="11">
        <v>42552</v>
      </c>
      <c r="E7374" t="s">
        <v>2179</v>
      </c>
      <c r="F7374">
        <v>1</v>
      </c>
      <c r="G7374" t="s">
        <v>61</v>
      </c>
      <c r="H7374" t="s">
        <v>44</v>
      </c>
      <c r="I7374" t="s">
        <v>2192</v>
      </c>
      <c r="J7374" s="10">
        <v>9</v>
      </c>
      <c r="K7374" t="b">
        <v>1</v>
      </c>
    </row>
    <row r="7375" spans="1:11">
      <c r="A7375" s="12">
        <v>42562</v>
      </c>
      <c r="B7375">
        <v>2016</v>
      </c>
      <c r="C7375">
        <v>7</v>
      </c>
      <c r="D7375" s="11">
        <v>42552</v>
      </c>
      <c r="E7375" t="s">
        <v>2179</v>
      </c>
      <c r="F7375">
        <v>1</v>
      </c>
      <c r="G7375" t="s">
        <v>61</v>
      </c>
      <c r="H7375" t="s">
        <v>45</v>
      </c>
      <c r="I7375" t="s">
        <v>2193</v>
      </c>
      <c r="J7375" s="10">
        <v>0</v>
      </c>
      <c r="K7375" t="b">
        <v>1</v>
      </c>
    </row>
    <row r="7376" spans="1:11">
      <c r="A7376" s="12">
        <v>42562</v>
      </c>
      <c r="B7376">
        <v>2016</v>
      </c>
      <c r="C7376">
        <v>7</v>
      </c>
      <c r="D7376" s="11">
        <v>42552</v>
      </c>
      <c r="E7376" t="s">
        <v>2179</v>
      </c>
      <c r="F7376">
        <v>1</v>
      </c>
      <c r="G7376" t="s">
        <v>61</v>
      </c>
      <c r="H7376" t="s">
        <v>46</v>
      </c>
      <c r="I7376" t="s">
        <v>2194</v>
      </c>
      <c r="J7376" s="10">
        <v>4</v>
      </c>
      <c r="K7376" t="b">
        <v>1</v>
      </c>
    </row>
    <row r="7377" spans="1:11">
      <c r="A7377" s="12">
        <v>42562</v>
      </c>
      <c r="B7377">
        <v>2016</v>
      </c>
      <c r="C7377">
        <v>7</v>
      </c>
      <c r="D7377" s="11">
        <v>42552</v>
      </c>
      <c r="E7377" t="s">
        <v>2179</v>
      </c>
      <c r="F7377">
        <v>1</v>
      </c>
      <c r="G7377" t="s">
        <v>61</v>
      </c>
      <c r="H7377" t="s">
        <v>47</v>
      </c>
      <c r="I7377" t="s">
        <v>2195</v>
      </c>
      <c r="J7377" s="10">
        <v>6.2</v>
      </c>
      <c r="K7377" t="b">
        <v>1</v>
      </c>
    </row>
    <row r="7378" spans="1:11">
      <c r="A7378" s="12">
        <v>42563</v>
      </c>
      <c r="B7378">
        <v>2016</v>
      </c>
      <c r="C7378">
        <v>7</v>
      </c>
      <c r="D7378" s="11">
        <v>42552</v>
      </c>
      <c r="E7378" t="s">
        <v>2179</v>
      </c>
      <c r="F7378">
        <v>2</v>
      </c>
      <c r="G7378" t="s">
        <v>63</v>
      </c>
      <c r="H7378" t="s">
        <v>40</v>
      </c>
      <c r="I7378" t="s">
        <v>2188</v>
      </c>
      <c r="J7378" s="10">
        <v>5.67</v>
      </c>
      <c r="K7378" t="b">
        <v>1</v>
      </c>
    </row>
    <row r="7379" spans="1:11">
      <c r="A7379" s="12">
        <v>42563</v>
      </c>
      <c r="B7379">
        <v>2016</v>
      </c>
      <c r="C7379">
        <v>7</v>
      </c>
      <c r="D7379" s="11">
        <v>42552</v>
      </c>
      <c r="E7379" t="s">
        <v>2179</v>
      </c>
      <c r="F7379">
        <v>2</v>
      </c>
      <c r="G7379" t="s">
        <v>63</v>
      </c>
      <c r="H7379" t="s">
        <v>41</v>
      </c>
      <c r="I7379" t="s">
        <v>2189</v>
      </c>
      <c r="J7379" s="10">
        <v>2.67</v>
      </c>
      <c r="K7379" t="b">
        <v>1</v>
      </c>
    </row>
    <row r="7380" spans="1:11">
      <c r="A7380" s="12">
        <v>42563</v>
      </c>
      <c r="B7380">
        <v>2016</v>
      </c>
      <c r="C7380">
        <v>7</v>
      </c>
      <c r="D7380" s="11">
        <v>42552</v>
      </c>
      <c r="E7380" t="s">
        <v>2179</v>
      </c>
      <c r="F7380">
        <v>2</v>
      </c>
      <c r="G7380" t="s">
        <v>63</v>
      </c>
      <c r="H7380" t="s">
        <v>42</v>
      </c>
      <c r="I7380" t="s">
        <v>2190</v>
      </c>
      <c r="J7380" s="10">
        <v>4</v>
      </c>
      <c r="K7380" t="b">
        <v>1</v>
      </c>
    </row>
    <row r="7381" spans="1:11">
      <c r="A7381" s="12">
        <v>42563</v>
      </c>
      <c r="B7381">
        <v>2016</v>
      </c>
      <c r="C7381">
        <v>7</v>
      </c>
      <c r="D7381" s="11">
        <v>42552</v>
      </c>
      <c r="E7381" t="s">
        <v>2179</v>
      </c>
      <c r="F7381">
        <v>2</v>
      </c>
      <c r="G7381" t="s">
        <v>63</v>
      </c>
      <c r="H7381" t="s">
        <v>43</v>
      </c>
      <c r="I7381" t="s">
        <v>2191</v>
      </c>
      <c r="J7381" s="10">
        <v>27.2</v>
      </c>
      <c r="K7381" t="b">
        <v>1</v>
      </c>
    </row>
    <row r="7382" spans="1:11">
      <c r="A7382" s="12">
        <v>42563</v>
      </c>
      <c r="B7382">
        <v>2016</v>
      </c>
      <c r="C7382">
        <v>7</v>
      </c>
      <c r="D7382" s="11">
        <v>42552</v>
      </c>
      <c r="E7382" t="s">
        <v>2179</v>
      </c>
      <c r="F7382">
        <v>2</v>
      </c>
      <c r="G7382" t="s">
        <v>63</v>
      </c>
      <c r="H7382" t="s">
        <v>44</v>
      </c>
      <c r="I7382" t="s">
        <v>2192</v>
      </c>
      <c r="J7382" s="10">
        <v>14</v>
      </c>
      <c r="K7382" t="b">
        <v>1</v>
      </c>
    </row>
    <row r="7383" spans="1:11">
      <c r="A7383" s="12">
        <v>42563</v>
      </c>
      <c r="B7383">
        <v>2016</v>
      </c>
      <c r="C7383">
        <v>7</v>
      </c>
      <c r="D7383" s="11">
        <v>42552</v>
      </c>
      <c r="E7383" t="s">
        <v>2179</v>
      </c>
      <c r="F7383">
        <v>2</v>
      </c>
      <c r="G7383" t="s">
        <v>63</v>
      </c>
      <c r="H7383" t="s">
        <v>45</v>
      </c>
      <c r="I7383" t="s">
        <v>2193</v>
      </c>
      <c r="J7383" s="10">
        <v>0</v>
      </c>
      <c r="K7383" t="b">
        <v>1</v>
      </c>
    </row>
    <row r="7384" spans="1:11">
      <c r="A7384" s="12">
        <v>42563</v>
      </c>
      <c r="B7384">
        <v>2016</v>
      </c>
      <c r="C7384">
        <v>7</v>
      </c>
      <c r="D7384" s="11">
        <v>42552</v>
      </c>
      <c r="E7384" t="s">
        <v>2179</v>
      </c>
      <c r="F7384">
        <v>2</v>
      </c>
      <c r="G7384" t="s">
        <v>63</v>
      </c>
      <c r="H7384" t="s">
        <v>46</v>
      </c>
      <c r="I7384" t="s">
        <v>2194</v>
      </c>
      <c r="J7384" s="10">
        <v>3</v>
      </c>
      <c r="K7384" t="b">
        <v>1</v>
      </c>
    </row>
    <row r="7385" spans="1:11">
      <c r="A7385" s="12">
        <v>42563</v>
      </c>
      <c r="B7385">
        <v>2016</v>
      </c>
      <c r="C7385">
        <v>7</v>
      </c>
      <c r="D7385" s="11">
        <v>42552</v>
      </c>
      <c r="E7385" t="s">
        <v>2179</v>
      </c>
      <c r="F7385">
        <v>2</v>
      </c>
      <c r="G7385" t="s">
        <v>63</v>
      </c>
      <c r="H7385" t="s">
        <v>47</v>
      </c>
      <c r="I7385" t="s">
        <v>2195</v>
      </c>
      <c r="J7385" s="10">
        <v>4</v>
      </c>
      <c r="K7385" t="b">
        <v>1</v>
      </c>
    </row>
    <row r="7386" spans="1:11">
      <c r="A7386" s="12">
        <v>42564</v>
      </c>
      <c r="B7386">
        <v>2016</v>
      </c>
      <c r="C7386">
        <v>7</v>
      </c>
      <c r="D7386" s="11">
        <v>42552</v>
      </c>
      <c r="E7386" t="s">
        <v>2179</v>
      </c>
      <c r="F7386">
        <v>3</v>
      </c>
      <c r="G7386" t="s">
        <v>65</v>
      </c>
      <c r="H7386" t="s">
        <v>40</v>
      </c>
      <c r="I7386" t="s">
        <v>2188</v>
      </c>
      <c r="J7386" s="10">
        <v>6.218333333</v>
      </c>
      <c r="K7386" t="b">
        <v>1</v>
      </c>
    </row>
    <row r="7387" spans="1:11">
      <c r="A7387" s="12">
        <v>42564</v>
      </c>
      <c r="B7387">
        <v>2016</v>
      </c>
      <c r="C7387">
        <v>7</v>
      </c>
      <c r="D7387" s="11">
        <v>42552</v>
      </c>
      <c r="E7387" t="s">
        <v>2179</v>
      </c>
      <c r="F7387">
        <v>3</v>
      </c>
      <c r="G7387" t="s">
        <v>65</v>
      </c>
      <c r="H7387" t="s">
        <v>41</v>
      </c>
      <c r="I7387" t="s">
        <v>2189</v>
      </c>
      <c r="J7387" s="10">
        <v>7</v>
      </c>
      <c r="K7387" t="b">
        <v>1</v>
      </c>
    </row>
    <row r="7388" spans="1:11">
      <c r="A7388" s="12">
        <v>42564</v>
      </c>
      <c r="B7388">
        <v>2016</v>
      </c>
      <c r="C7388">
        <v>7</v>
      </c>
      <c r="D7388" s="11">
        <v>42552</v>
      </c>
      <c r="E7388" t="s">
        <v>2179</v>
      </c>
      <c r="F7388">
        <v>3</v>
      </c>
      <c r="G7388" t="s">
        <v>65</v>
      </c>
      <c r="H7388" t="s">
        <v>42</v>
      </c>
      <c r="I7388" t="s">
        <v>2190</v>
      </c>
      <c r="J7388" s="10">
        <v>5</v>
      </c>
      <c r="K7388" t="b">
        <v>1</v>
      </c>
    </row>
    <row r="7389" spans="1:11">
      <c r="A7389" s="12">
        <v>42564</v>
      </c>
      <c r="B7389">
        <v>2016</v>
      </c>
      <c r="C7389">
        <v>7</v>
      </c>
      <c r="D7389" s="11">
        <v>42552</v>
      </c>
      <c r="E7389" t="s">
        <v>2179</v>
      </c>
      <c r="F7389">
        <v>3</v>
      </c>
      <c r="G7389" t="s">
        <v>65</v>
      </c>
      <c r="H7389" t="s">
        <v>43</v>
      </c>
      <c r="I7389" t="s">
        <v>2191</v>
      </c>
      <c r="J7389" s="10">
        <v>26.4</v>
      </c>
      <c r="K7389" t="b">
        <v>1</v>
      </c>
    </row>
    <row r="7390" spans="1:11">
      <c r="A7390" s="12">
        <v>42564</v>
      </c>
      <c r="B7390">
        <v>2016</v>
      </c>
      <c r="C7390">
        <v>7</v>
      </c>
      <c r="D7390" s="11">
        <v>42552</v>
      </c>
      <c r="E7390" t="s">
        <v>2179</v>
      </c>
      <c r="F7390">
        <v>3</v>
      </c>
      <c r="G7390" t="s">
        <v>65</v>
      </c>
      <c r="H7390" t="s">
        <v>44</v>
      </c>
      <c r="I7390" t="s">
        <v>2192</v>
      </c>
      <c r="J7390" s="10">
        <v>11</v>
      </c>
      <c r="K7390" t="b">
        <v>1</v>
      </c>
    </row>
    <row r="7391" spans="1:11">
      <c r="A7391" s="12">
        <v>42564</v>
      </c>
      <c r="B7391">
        <v>2016</v>
      </c>
      <c r="C7391">
        <v>7</v>
      </c>
      <c r="D7391" s="11">
        <v>42552</v>
      </c>
      <c r="E7391" t="s">
        <v>2179</v>
      </c>
      <c r="F7391">
        <v>3</v>
      </c>
      <c r="G7391" t="s">
        <v>65</v>
      </c>
      <c r="H7391" t="s">
        <v>45</v>
      </c>
      <c r="I7391" t="s">
        <v>2193</v>
      </c>
      <c r="J7391" s="10">
        <v>0</v>
      </c>
      <c r="K7391" t="b">
        <v>1</v>
      </c>
    </row>
    <row r="7392" spans="1:11">
      <c r="A7392" s="12">
        <v>42564</v>
      </c>
      <c r="B7392">
        <v>2016</v>
      </c>
      <c r="C7392">
        <v>7</v>
      </c>
      <c r="D7392" s="11">
        <v>42552</v>
      </c>
      <c r="E7392" t="s">
        <v>2179</v>
      </c>
      <c r="F7392">
        <v>3</v>
      </c>
      <c r="G7392" t="s">
        <v>65</v>
      </c>
      <c r="H7392" t="s">
        <v>46</v>
      </c>
      <c r="I7392" t="s">
        <v>2194</v>
      </c>
      <c r="J7392" s="10">
        <v>3</v>
      </c>
      <c r="K7392" t="b">
        <v>1</v>
      </c>
    </row>
    <row r="7393" spans="1:11">
      <c r="A7393" s="12">
        <v>42564</v>
      </c>
      <c r="B7393">
        <v>2016</v>
      </c>
      <c r="C7393">
        <v>7</v>
      </c>
      <c r="D7393" s="11">
        <v>42552</v>
      </c>
      <c r="E7393" t="s">
        <v>2179</v>
      </c>
      <c r="F7393">
        <v>3</v>
      </c>
      <c r="G7393" t="s">
        <v>65</v>
      </c>
      <c r="H7393" t="s">
        <v>47</v>
      </c>
      <c r="I7393" t="s">
        <v>2195</v>
      </c>
      <c r="J7393" s="10">
        <v>2</v>
      </c>
      <c r="K7393" t="b">
        <v>1</v>
      </c>
    </row>
    <row r="7394" spans="1:11">
      <c r="A7394" s="12">
        <v>42565</v>
      </c>
      <c r="B7394">
        <v>2016</v>
      </c>
      <c r="C7394">
        <v>7</v>
      </c>
      <c r="D7394" s="11">
        <v>42552</v>
      </c>
      <c r="E7394" t="s">
        <v>2179</v>
      </c>
      <c r="F7394">
        <v>4</v>
      </c>
      <c r="G7394" t="s">
        <v>53</v>
      </c>
      <c r="H7394" t="s">
        <v>40</v>
      </c>
      <c r="I7394" t="s">
        <v>2188</v>
      </c>
      <c r="J7394" s="10">
        <v>2.34</v>
      </c>
      <c r="K7394" t="b">
        <v>1</v>
      </c>
    </row>
    <row r="7395" spans="1:11">
      <c r="A7395" s="12">
        <v>42565</v>
      </c>
      <c r="B7395">
        <v>2016</v>
      </c>
      <c r="C7395">
        <v>7</v>
      </c>
      <c r="D7395" s="11">
        <v>42552</v>
      </c>
      <c r="E7395" t="s">
        <v>2179</v>
      </c>
      <c r="F7395">
        <v>4</v>
      </c>
      <c r="G7395" t="s">
        <v>53</v>
      </c>
      <c r="H7395" t="s">
        <v>41</v>
      </c>
      <c r="I7395" t="s">
        <v>2189</v>
      </c>
      <c r="J7395" s="10">
        <v>2.363</v>
      </c>
      <c r="K7395" t="b">
        <v>1</v>
      </c>
    </row>
    <row r="7396" spans="1:11">
      <c r="A7396" s="12">
        <v>42565</v>
      </c>
      <c r="B7396">
        <v>2016</v>
      </c>
      <c r="C7396">
        <v>7</v>
      </c>
      <c r="D7396" s="11">
        <v>42552</v>
      </c>
      <c r="E7396" t="s">
        <v>2179</v>
      </c>
      <c r="F7396">
        <v>4</v>
      </c>
      <c r="G7396" t="s">
        <v>53</v>
      </c>
      <c r="H7396" t="s">
        <v>42</v>
      </c>
      <c r="I7396" t="s">
        <v>2190</v>
      </c>
      <c r="J7396" s="10">
        <v>5</v>
      </c>
      <c r="K7396" t="b">
        <v>1</v>
      </c>
    </row>
    <row r="7397" spans="1:11">
      <c r="A7397" s="12">
        <v>42565</v>
      </c>
      <c r="B7397">
        <v>2016</v>
      </c>
      <c r="C7397">
        <v>7</v>
      </c>
      <c r="D7397" s="11">
        <v>42552</v>
      </c>
      <c r="E7397" t="s">
        <v>2179</v>
      </c>
      <c r="F7397">
        <v>4</v>
      </c>
      <c r="G7397" t="s">
        <v>53</v>
      </c>
      <c r="H7397" t="s">
        <v>43</v>
      </c>
      <c r="I7397" t="s">
        <v>2191</v>
      </c>
      <c r="J7397" s="10">
        <v>12.4</v>
      </c>
      <c r="K7397" t="b">
        <v>1</v>
      </c>
    </row>
    <row r="7398" spans="1:11">
      <c r="A7398" s="12">
        <v>42565</v>
      </c>
      <c r="B7398">
        <v>2016</v>
      </c>
      <c r="C7398">
        <v>7</v>
      </c>
      <c r="D7398" s="11">
        <v>42552</v>
      </c>
      <c r="E7398" t="s">
        <v>2179</v>
      </c>
      <c r="F7398">
        <v>4</v>
      </c>
      <c r="G7398" t="s">
        <v>53</v>
      </c>
      <c r="H7398" t="s">
        <v>44</v>
      </c>
      <c r="I7398" t="s">
        <v>2192</v>
      </c>
      <c r="J7398" s="10">
        <v>3</v>
      </c>
      <c r="K7398" t="b">
        <v>1</v>
      </c>
    </row>
    <row r="7399" spans="1:11">
      <c r="A7399" s="12">
        <v>42565</v>
      </c>
      <c r="B7399">
        <v>2016</v>
      </c>
      <c r="C7399">
        <v>7</v>
      </c>
      <c r="D7399" s="11">
        <v>42552</v>
      </c>
      <c r="E7399" t="s">
        <v>2179</v>
      </c>
      <c r="F7399">
        <v>4</v>
      </c>
      <c r="G7399" t="s">
        <v>53</v>
      </c>
      <c r="H7399" t="s">
        <v>45</v>
      </c>
      <c r="I7399" t="s">
        <v>2193</v>
      </c>
      <c r="J7399" s="10">
        <v>0</v>
      </c>
      <c r="K7399" t="b">
        <v>1</v>
      </c>
    </row>
    <row r="7400" spans="1:11">
      <c r="A7400" s="12">
        <v>42565</v>
      </c>
      <c r="B7400">
        <v>2016</v>
      </c>
      <c r="C7400">
        <v>7</v>
      </c>
      <c r="D7400" s="11">
        <v>42552</v>
      </c>
      <c r="E7400" t="s">
        <v>2179</v>
      </c>
      <c r="F7400">
        <v>4</v>
      </c>
      <c r="G7400" t="s">
        <v>53</v>
      </c>
      <c r="H7400" t="s">
        <v>46</v>
      </c>
      <c r="I7400" t="s">
        <v>2194</v>
      </c>
      <c r="J7400" s="10">
        <v>3</v>
      </c>
      <c r="K7400" t="b">
        <v>1</v>
      </c>
    </row>
    <row r="7401" spans="1:11">
      <c r="A7401" s="12">
        <v>42565</v>
      </c>
      <c r="B7401">
        <v>2016</v>
      </c>
      <c r="C7401">
        <v>7</v>
      </c>
      <c r="D7401" s="11">
        <v>42552</v>
      </c>
      <c r="E7401" t="s">
        <v>2179</v>
      </c>
      <c r="F7401">
        <v>4</v>
      </c>
      <c r="G7401" t="s">
        <v>53</v>
      </c>
      <c r="H7401" t="s">
        <v>47</v>
      </c>
      <c r="I7401" t="s">
        <v>2195</v>
      </c>
      <c r="J7401" s="10">
        <v>5</v>
      </c>
      <c r="K7401" t="b">
        <v>1</v>
      </c>
    </row>
    <row r="7402" spans="1:11">
      <c r="A7402" s="12">
        <v>42566</v>
      </c>
      <c r="B7402">
        <v>2016</v>
      </c>
      <c r="C7402">
        <v>7</v>
      </c>
      <c r="D7402" s="11">
        <v>42552</v>
      </c>
      <c r="E7402" t="s">
        <v>2179</v>
      </c>
      <c r="F7402">
        <v>5</v>
      </c>
      <c r="G7402" t="s">
        <v>55</v>
      </c>
      <c r="H7402" t="s">
        <v>40</v>
      </c>
      <c r="I7402" t="s">
        <v>2188</v>
      </c>
      <c r="J7402" s="10">
        <v>3</v>
      </c>
      <c r="K7402" t="b">
        <v>1</v>
      </c>
    </row>
    <row r="7403" spans="1:11">
      <c r="A7403" s="12">
        <v>42566</v>
      </c>
      <c r="B7403">
        <v>2016</v>
      </c>
      <c r="C7403">
        <v>7</v>
      </c>
      <c r="D7403" s="11">
        <v>42552</v>
      </c>
      <c r="E7403" t="s">
        <v>2179</v>
      </c>
      <c r="F7403">
        <v>5</v>
      </c>
      <c r="G7403" t="s">
        <v>55</v>
      </c>
      <c r="H7403" t="s">
        <v>41</v>
      </c>
      <c r="I7403" t="s">
        <v>2189</v>
      </c>
      <c r="J7403" s="10">
        <v>8</v>
      </c>
      <c r="K7403" t="b">
        <v>1</v>
      </c>
    </row>
    <row r="7404" spans="1:11">
      <c r="A7404" s="12">
        <v>42566</v>
      </c>
      <c r="B7404">
        <v>2016</v>
      </c>
      <c r="C7404">
        <v>7</v>
      </c>
      <c r="D7404" s="11">
        <v>42552</v>
      </c>
      <c r="E7404" t="s">
        <v>2179</v>
      </c>
      <c r="F7404">
        <v>5</v>
      </c>
      <c r="G7404" t="s">
        <v>55</v>
      </c>
      <c r="H7404" t="s">
        <v>42</v>
      </c>
      <c r="I7404" t="s">
        <v>2190</v>
      </c>
      <c r="J7404" s="10">
        <v>2</v>
      </c>
      <c r="K7404" t="b">
        <v>1</v>
      </c>
    </row>
    <row r="7405" spans="1:11">
      <c r="A7405" s="12">
        <v>42566</v>
      </c>
      <c r="B7405">
        <v>2016</v>
      </c>
      <c r="C7405">
        <v>7</v>
      </c>
      <c r="D7405" s="11">
        <v>42552</v>
      </c>
      <c r="E7405" t="s">
        <v>2179</v>
      </c>
      <c r="F7405">
        <v>5</v>
      </c>
      <c r="G7405" t="s">
        <v>55</v>
      </c>
      <c r="H7405" t="s">
        <v>43</v>
      </c>
      <c r="I7405" t="s">
        <v>2191</v>
      </c>
      <c r="J7405" s="10">
        <v>15</v>
      </c>
      <c r="K7405" t="b">
        <v>1</v>
      </c>
    </row>
    <row r="7406" spans="1:11">
      <c r="A7406" s="12">
        <v>42566</v>
      </c>
      <c r="B7406">
        <v>2016</v>
      </c>
      <c r="C7406">
        <v>7</v>
      </c>
      <c r="D7406" s="11">
        <v>42552</v>
      </c>
      <c r="E7406" t="s">
        <v>2179</v>
      </c>
      <c r="F7406">
        <v>5</v>
      </c>
      <c r="G7406" t="s">
        <v>55</v>
      </c>
      <c r="H7406" t="s">
        <v>44</v>
      </c>
      <c r="I7406" t="s">
        <v>2192</v>
      </c>
      <c r="J7406" s="10">
        <v>4</v>
      </c>
      <c r="K7406" t="b">
        <v>1</v>
      </c>
    </row>
    <row r="7407" spans="1:11">
      <c r="A7407" s="12">
        <v>42566</v>
      </c>
      <c r="B7407">
        <v>2016</v>
      </c>
      <c r="C7407">
        <v>7</v>
      </c>
      <c r="D7407" s="11">
        <v>42552</v>
      </c>
      <c r="E7407" t="s">
        <v>2179</v>
      </c>
      <c r="F7407">
        <v>5</v>
      </c>
      <c r="G7407" t="s">
        <v>55</v>
      </c>
      <c r="H7407" t="s">
        <v>45</v>
      </c>
      <c r="I7407" t="s">
        <v>2193</v>
      </c>
      <c r="J7407" s="10">
        <v>0</v>
      </c>
      <c r="K7407" t="b">
        <v>1</v>
      </c>
    </row>
    <row r="7408" spans="1:11">
      <c r="A7408" s="12">
        <v>42566</v>
      </c>
      <c r="B7408">
        <v>2016</v>
      </c>
      <c r="C7408">
        <v>7</v>
      </c>
      <c r="D7408" s="11">
        <v>42552</v>
      </c>
      <c r="E7408" t="s">
        <v>2179</v>
      </c>
      <c r="F7408">
        <v>5</v>
      </c>
      <c r="G7408" t="s">
        <v>55</v>
      </c>
      <c r="H7408" t="s">
        <v>46</v>
      </c>
      <c r="I7408" t="s">
        <v>2194</v>
      </c>
      <c r="J7408" s="10">
        <v>0</v>
      </c>
      <c r="K7408" t="b">
        <v>1</v>
      </c>
    </row>
    <row r="7409" spans="1:11">
      <c r="A7409" s="12">
        <v>42566</v>
      </c>
      <c r="B7409">
        <v>2016</v>
      </c>
      <c r="C7409">
        <v>7</v>
      </c>
      <c r="D7409" s="11">
        <v>42552</v>
      </c>
      <c r="E7409" t="s">
        <v>2179</v>
      </c>
      <c r="F7409">
        <v>5</v>
      </c>
      <c r="G7409" t="s">
        <v>55</v>
      </c>
      <c r="H7409" t="s">
        <v>47</v>
      </c>
      <c r="I7409" t="s">
        <v>2195</v>
      </c>
      <c r="J7409" s="10">
        <v>3.33</v>
      </c>
      <c r="K7409" t="b">
        <v>1</v>
      </c>
    </row>
    <row r="7410" spans="1:11">
      <c r="A7410" s="12">
        <v>42567</v>
      </c>
      <c r="B7410">
        <v>2016</v>
      </c>
      <c r="C7410">
        <v>7</v>
      </c>
      <c r="D7410" s="11">
        <v>42552</v>
      </c>
      <c r="E7410" t="s">
        <v>2179</v>
      </c>
      <c r="F7410">
        <v>6</v>
      </c>
      <c r="G7410" t="s">
        <v>57</v>
      </c>
      <c r="H7410" t="s">
        <v>40</v>
      </c>
      <c r="I7410" t="s">
        <v>2188</v>
      </c>
      <c r="J7410" s="10">
        <v>9.33</v>
      </c>
      <c r="K7410" t="b">
        <v>1</v>
      </c>
    </row>
    <row r="7411" spans="1:11">
      <c r="A7411" s="12">
        <v>42567</v>
      </c>
      <c r="B7411">
        <v>2016</v>
      </c>
      <c r="C7411">
        <v>7</v>
      </c>
      <c r="D7411" s="11">
        <v>42552</v>
      </c>
      <c r="E7411" t="s">
        <v>2179</v>
      </c>
      <c r="F7411">
        <v>6</v>
      </c>
      <c r="G7411" t="s">
        <v>57</v>
      </c>
      <c r="H7411" t="s">
        <v>41</v>
      </c>
      <c r="I7411" t="s">
        <v>2189</v>
      </c>
      <c r="J7411" s="10">
        <v>6.737</v>
      </c>
      <c r="K7411" t="b">
        <v>1</v>
      </c>
    </row>
    <row r="7412" spans="1:11">
      <c r="A7412" s="12">
        <v>42567</v>
      </c>
      <c r="B7412">
        <v>2016</v>
      </c>
      <c r="C7412">
        <v>7</v>
      </c>
      <c r="D7412" s="11">
        <v>42552</v>
      </c>
      <c r="E7412" t="s">
        <v>2179</v>
      </c>
      <c r="F7412">
        <v>6</v>
      </c>
      <c r="G7412" t="s">
        <v>57</v>
      </c>
      <c r="H7412" t="s">
        <v>42</v>
      </c>
      <c r="I7412" t="s">
        <v>2190</v>
      </c>
      <c r="J7412" s="10">
        <v>3</v>
      </c>
      <c r="K7412" t="b">
        <v>1</v>
      </c>
    </row>
    <row r="7413" spans="1:11">
      <c r="A7413" s="12">
        <v>42567</v>
      </c>
      <c r="B7413">
        <v>2016</v>
      </c>
      <c r="C7413">
        <v>7</v>
      </c>
      <c r="D7413" s="11">
        <v>42552</v>
      </c>
      <c r="E7413" t="s">
        <v>2179</v>
      </c>
      <c r="F7413">
        <v>6</v>
      </c>
      <c r="G7413" t="s">
        <v>57</v>
      </c>
      <c r="H7413" t="s">
        <v>43</v>
      </c>
      <c r="I7413" t="s">
        <v>2191</v>
      </c>
      <c r="J7413" s="10">
        <v>23.3</v>
      </c>
      <c r="K7413" t="b">
        <v>1</v>
      </c>
    </row>
    <row r="7414" spans="1:11">
      <c r="A7414" s="12">
        <v>42567</v>
      </c>
      <c r="B7414">
        <v>2016</v>
      </c>
      <c r="C7414">
        <v>7</v>
      </c>
      <c r="D7414" s="11">
        <v>42552</v>
      </c>
      <c r="E7414" t="s">
        <v>2179</v>
      </c>
      <c r="F7414">
        <v>6</v>
      </c>
      <c r="G7414" t="s">
        <v>57</v>
      </c>
      <c r="H7414" t="s">
        <v>44</v>
      </c>
      <c r="I7414" t="s">
        <v>2192</v>
      </c>
      <c r="J7414" s="10">
        <v>6</v>
      </c>
      <c r="K7414" t="b">
        <v>1</v>
      </c>
    </row>
    <row r="7415" spans="1:11">
      <c r="A7415" s="12">
        <v>42567</v>
      </c>
      <c r="B7415">
        <v>2016</v>
      </c>
      <c r="C7415">
        <v>7</v>
      </c>
      <c r="D7415" s="11">
        <v>42552</v>
      </c>
      <c r="E7415" t="s">
        <v>2179</v>
      </c>
      <c r="F7415">
        <v>6</v>
      </c>
      <c r="G7415" t="s">
        <v>57</v>
      </c>
      <c r="H7415" t="s">
        <v>45</v>
      </c>
      <c r="I7415" t="s">
        <v>2193</v>
      </c>
      <c r="J7415" s="10">
        <v>0</v>
      </c>
      <c r="K7415" t="b">
        <v>1</v>
      </c>
    </row>
    <row r="7416" spans="1:11">
      <c r="A7416" s="12">
        <v>42567</v>
      </c>
      <c r="B7416">
        <v>2016</v>
      </c>
      <c r="C7416">
        <v>7</v>
      </c>
      <c r="D7416" s="11">
        <v>42552</v>
      </c>
      <c r="E7416" t="s">
        <v>2179</v>
      </c>
      <c r="F7416">
        <v>6</v>
      </c>
      <c r="G7416" t="s">
        <v>57</v>
      </c>
      <c r="H7416" t="s">
        <v>46</v>
      </c>
      <c r="I7416" t="s">
        <v>2194</v>
      </c>
      <c r="J7416" s="10">
        <v>1</v>
      </c>
      <c r="K7416" t="b">
        <v>1</v>
      </c>
    </row>
    <row r="7417" spans="1:11">
      <c r="A7417" s="12">
        <v>42567</v>
      </c>
      <c r="B7417">
        <v>2016</v>
      </c>
      <c r="C7417">
        <v>7</v>
      </c>
      <c r="D7417" s="11">
        <v>42552</v>
      </c>
      <c r="E7417" t="s">
        <v>2179</v>
      </c>
      <c r="F7417">
        <v>6</v>
      </c>
      <c r="G7417" t="s">
        <v>57</v>
      </c>
      <c r="H7417" t="s">
        <v>47</v>
      </c>
      <c r="I7417" t="s">
        <v>2195</v>
      </c>
      <c r="J7417" s="10">
        <v>8</v>
      </c>
      <c r="K7417" t="b">
        <v>1</v>
      </c>
    </row>
    <row r="7418" spans="1:11">
      <c r="A7418" s="12">
        <v>42568</v>
      </c>
      <c r="B7418">
        <v>2016</v>
      </c>
      <c r="C7418">
        <v>7</v>
      </c>
      <c r="D7418" s="11">
        <v>42552</v>
      </c>
      <c r="E7418" t="s">
        <v>2179</v>
      </c>
      <c r="F7418">
        <v>7</v>
      </c>
      <c r="G7418" t="s">
        <v>59</v>
      </c>
      <c r="H7418" t="s">
        <v>40</v>
      </c>
      <c r="I7418" t="s">
        <v>2188</v>
      </c>
      <c r="J7418" s="10">
        <v>9.01</v>
      </c>
      <c r="K7418" t="b">
        <v>1</v>
      </c>
    </row>
    <row r="7419" spans="1:11">
      <c r="A7419" s="12">
        <v>42568</v>
      </c>
      <c r="B7419">
        <v>2016</v>
      </c>
      <c r="C7419">
        <v>7</v>
      </c>
      <c r="D7419" s="11">
        <v>42552</v>
      </c>
      <c r="E7419" t="s">
        <v>2179</v>
      </c>
      <c r="F7419">
        <v>7</v>
      </c>
      <c r="G7419" t="s">
        <v>59</v>
      </c>
      <c r="H7419" t="s">
        <v>41</v>
      </c>
      <c r="I7419" t="s">
        <v>2189</v>
      </c>
      <c r="J7419" s="10">
        <v>4.01</v>
      </c>
      <c r="K7419" t="b">
        <v>1</v>
      </c>
    </row>
    <row r="7420" spans="1:11">
      <c r="A7420" s="12">
        <v>42568</v>
      </c>
      <c r="B7420">
        <v>2016</v>
      </c>
      <c r="C7420">
        <v>7</v>
      </c>
      <c r="D7420" s="11">
        <v>42552</v>
      </c>
      <c r="E7420" t="s">
        <v>2179</v>
      </c>
      <c r="F7420">
        <v>7</v>
      </c>
      <c r="G7420" t="s">
        <v>59</v>
      </c>
      <c r="H7420" t="s">
        <v>42</v>
      </c>
      <c r="I7420" t="s">
        <v>2190</v>
      </c>
      <c r="J7420" s="10">
        <v>3</v>
      </c>
      <c r="K7420" t="b">
        <v>1</v>
      </c>
    </row>
    <row r="7421" spans="1:11">
      <c r="A7421" s="12">
        <v>42568</v>
      </c>
      <c r="B7421">
        <v>2016</v>
      </c>
      <c r="C7421">
        <v>7</v>
      </c>
      <c r="D7421" s="11">
        <v>42552</v>
      </c>
      <c r="E7421" t="s">
        <v>2179</v>
      </c>
      <c r="F7421">
        <v>7</v>
      </c>
      <c r="G7421" t="s">
        <v>59</v>
      </c>
      <c r="H7421" t="s">
        <v>43</v>
      </c>
      <c r="I7421" t="s">
        <v>2191</v>
      </c>
      <c r="J7421" s="10">
        <v>26.65</v>
      </c>
      <c r="K7421" t="b">
        <v>1</v>
      </c>
    </row>
    <row r="7422" spans="1:11">
      <c r="A7422" s="12">
        <v>42568</v>
      </c>
      <c r="B7422">
        <v>2016</v>
      </c>
      <c r="C7422">
        <v>7</v>
      </c>
      <c r="D7422" s="11">
        <v>42552</v>
      </c>
      <c r="E7422" t="s">
        <v>2179</v>
      </c>
      <c r="F7422">
        <v>7</v>
      </c>
      <c r="G7422" t="s">
        <v>59</v>
      </c>
      <c r="H7422" t="s">
        <v>44</v>
      </c>
      <c r="I7422" t="s">
        <v>2192</v>
      </c>
      <c r="J7422" s="10">
        <v>3</v>
      </c>
      <c r="K7422" t="b">
        <v>1</v>
      </c>
    </row>
    <row r="7423" spans="1:11">
      <c r="A7423" s="12">
        <v>42568</v>
      </c>
      <c r="B7423">
        <v>2016</v>
      </c>
      <c r="C7423">
        <v>7</v>
      </c>
      <c r="D7423" s="11">
        <v>42552</v>
      </c>
      <c r="E7423" t="s">
        <v>2179</v>
      </c>
      <c r="F7423">
        <v>7</v>
      </c>
      <c r="G7423" t="s">
        <v>59</v>
      </c>
      <c r="H7423" t="s">
        <v>45</v>
      </c>
      <c r="I7423" t="s">
        <v>2193</v>
      </c>
      <c r="J7423" s="10">
        <v>0</v>
      </c>
      <c r="K7423" t="b">
        <v>1</v>
      </c>
    </row>
    <row r="7424" spans="1:11">
      <c r="A7424" s="12">
        <v>42568</v>
      </c>
      <c r="B7424">
        <v>2016</v>
      </c>
      <c r="C7424">
        <v>7</v>
      </c>
      <c r="D7424" s="11">
        <v>42552</v>
      </c>
      <c r="E7424" t="s">
        <v>2179</v>
      </c>
      <c r="F7424">
        <v>7</v>
      </c>
      <c r="G7424" t="s">
        <v>59</v>
      </c>
      <c r="H7424" t="s">
        <v>46</v>
      </c>
      <c r="I7424" t="s">
        <v>2194</v>
      </c>
      <c r="J7424" s="10">
        <v>7</v>
      </c>
      <c r="K7424" t="b">
        <v>1</v>
      </c>
    </row>
    <row r="7425" spans="1:11">
      <c r="A7425" s="12">
        <v>42568</v>
      </c>
      <c r="B7425">
        <v>2016</v>
      </c>
      <c r="C7425">
        <v>7</v>
      </c>
      <c r="D7425" s="11">
        <v>42552</v>
      </c>
      <c r="E7425" t="s">
        <v>2179</v>
      </c>
      <c r="F7425">
        <v>7</v>
      </c>
      <c r="G7425" t="s">
        <v>59</v>
      </c>
      <c r="H7425" t="s">
        <v>47</v>
      </c>
      <c r="I7425" t="s">
        <v>2195</v>
      </c>
      <c r="J7425" s="10">
        <v>4</v>
      </c>
      <c r="K7425" t="b">
        <v>1</v>
      </c>
    </row>
    <row r="7426" spans="1:11">
      <c r="A7426" s="12">
        <v>42569</v>
      </c>
      <c r="B7426">
        <v>2016</v>
      </c>
      <c r="C7426">
        <v>7</v>
      </c>
      <c r="D7426" s="11">
        <v>42552</v>
      </c>
      <c r="E7426" t="s">
        <v>2179</v>
      </c>
      <c r="F7426">
        <v>1</v>
      </c>
      <c r="G7426" t="s">
        <v>61</v>
      </c>
      <c r="H7426" t="s">
        <v>40</v>
      </c>
      <c r="I7426" t="s">
        <v>2188</v>
      </c>
      <c r="J7426" s="10">
        <v>6</v>
      </c>
      <c r="K7426" t="b">
        <v>1</v>
      </c>
    </row>
    <row r="7427" spans="1:11">
      <c r="A7427" s="12">
        <v>42569</v>
      </c>
      <c r="B7427">
        <v>2016</v>
      </c>
      <c r="C7427">
        <v>7</v>
      </c>
      <c r="D7427" s="11">
        <v>42552</v>
      </c>
      <c r="E7427" t="s">
        <v>2179</v>
      </c>
      <c r="F7427">
        <v>1</v>
      </c>
      <c r="G7427" t="s">
        <v>61</v>
      </c>
      <c r="H7427" t="s">
        <v>41</v>
      </c>
      <c r="I7427" t="s">
        <v>2189</v>
      </c>
      <c r="J7427" s="10">
        <v>2.497</v>
      </c>
      <c r="K7427" t="b">
        <v>1</v>
      </c>
    </row>
    <row r="7428" spans="1:11">
      <c r="A7428" s="12">
        <v>42569</v>
      </c>
      <c r="B7428">
        <v>2016</v>
      </c>
      <c r="C7428">
        <v>7</v>
      </c>
      <c r="D7428" s="11">
        <v>42552</v>
      </c>
      <c r="E7428" t="s">
        <v>2179</v>
      </c>
      <c r="F7428">
        <v>1</v>
      </c>
      <c r="G7428" t="s">
        <v>61</v>
      </c>
      <c r="H7428" t="s">
        <v>42</v>
      </c>
      <c r="I7428" t="s">
        <v>2190</v>
      </c>
      <c r="J7428" s="10">
        <v>8</v>
      </c>
      <c r="K7428" t="b">
        <v>1</v>
      </c>
    </row>
    <row r="7429" spans="1:11">
      <c r="A7429" s="12">
        <v>42569</v>
      </c>
      <c r="B7429">
        <v>2016</v>
      </c>
      <c r="C7429">
        <v>7</v>
      </c>
      <c r="D7429" s="11">
        <v>42552</v>
      </c>
      <c r="E7429" t="s">
        <v>2179</v>
      </c>
      <c r="F7429">
        <v>1</v>
      </c>
      <c r="G7429" t="s">
        <v>61</v>
      </c>
      <c r="H7429" t="s">
        <v>43</v>
      </c>
      <c r="I7429" t="s">
        <v>2191</v>
      </c>
      <c r="J7429" s="10">
        <v>25.4</v>
      </c>
      <c r="K7429" t="b">
        <v>1</v>
      </c>
    </row>
    <row r="7430" spans="1:11">
      <c r="A7430" s="12">
        <v>42569</v>
      </c>
      <c r="B7430">
        <v>2016</v>
      </c>
      <c r="C7430">
        <v>7</v>
      </c>
      <c r="D7430" s="11">
        <v>42552</v>
      </c>
      <c r="E7430" t="s">
        <v>2179</v>
      </c>
      <c r="F7430">
        <v>1</v>
      </c>
      <c r="G7430" t="s">
        <v>61</v>
      </c>
      <c r="H7430" t="s">
        <v>44</v>
      </c>
      <c r="I7430" t="s">
        <v>2192</v>
      </c>
      <c r="J7430" s="10">
        <v>2</v>
      </c>
      <c r="K7430" t="b">
        <v>1</v>
      </c>
    </row>
    <row r="7431" spans="1:11">
      <c r="A7431" s="12">
        <v>42569</v>
      </c>
      <c r="B7431">
        <v>2016</v>
      </c>
      <c r="C7431">
        <v>7</v>
      </c>
      <c r="D7431" s="11">
        <v>42552</v>
      </c>
      <c r="E7431" t="s">
        <v>2179</v>
      </c>
      <c r="F7431">
        <v>1</v>
      </c>
      <c r="G7431" t="s">
        <v>61</v>
      </c>
      <c r="H7431" t="s">
        <v>45</v>
      </c>
      <c r="I7431" t="s">
        <v>2193</v>
      </c>
      <c r="J7431" s="10">
        <v>0</v>
      </c>
      <c r="K7431" t="b">
        <v>1</v>
      </c>
    </row>
    <row r="7432" spans="1:11">
      <c r="A7432" s="12">
        <v>42569</v>
      </c>
      <c r="B7432">
        <v>2016</v>
      </c>
      <c r="C7432">
        <v>7</v>
      </c>
      <c r="D7432" s="11">
        <v>42552</v>
      </c>
      <c r="E7432" t="s">
        <v>2179</v>
      </c>
      <c r="F7432">
        <v>1</v>
      </c>
      <c r="G7432" t="s">
        <v>61</v>
      </c>
      <c r="H7432" t="s">
        <v>46</v>
      </c>
      <c r="I7432" t="s">
        <v>2194</v>
      </c>
      <c r="J7432" s="10">
        <v>3</v>
      </c>
      <c r="K7432" t="b">
        <v>1</v>
      </c>
    </row>
    <row r="7433" spans="1:11">
      <c r="A7433" s="12">
        <v>42569</v>
      </c>
      <c r="B7433">
        <v>2016</v>
      </c>
      <c r="C7433">
        <v>7</v>
      </c>
      <c r="D7433" s="11">
        <v>42552</v>
      </c>
      <c r="E7433" t="s">
        <v>2179</v>
      </c>
      <c r="F7433">
        <v>1</v>
      </c>
      <c r="G7433" t="s">
        <v>61</v>
      </c>
      <c r="H7433" t="s">
        <v>47</v>
      </c>
      <c r="I7433" t="s">
        <v>2195</v>
      </c>
      <c r="J7433" s="10">
        <v>4</v>
      </c>
      <c r="K7433" t="b">
        <v>1</v>
      </c>
    </row>
    <row r="7434" spans="1:11">
      <c r="A7434" s="12">
        <v>42570</v>
      </c>
      <c r="B7434">
        <v>2016</v>
      </c>
      <c r="C7434">
        <v>7</v>
      </c>
      <c r="D7434" s="11">
        <v>42552</v>
      </c>
      <c r="E7434" t="s">
        <v>2179</v>
      </c>
      <c r="F7434">
        <v>2</v>
      </c>
      <c r="G7434" t="s">
        <v>63</v>
      </c>
      <c r="H7434" t="s">
        <v>40</v>
      </c>
      <c r="I7434" t="s">
        <v>2188</v>
      </c>
      <c r="J7434" s="10">
        <v>7.34</v>
      </c>
      <c r="K7434" t="b">
        <v>1</v>
      </c>
    </row>
    <row r="7435" spans="1:11">
      <c r="A7435" s="12">
        <v>42570</v>
      </c>
      <c r="B7435">
        <v>2016</v>
      </c>
      <c r="C7435">
        <v>7</v>
      </c>
      <c r="D7435" s="11">
        <v>42552</v>
      </c>
      <c r="E7435" t="s">
        <v>2179</v>
      </c>
      <c r="F7435">
        <v>2</v>
      </c>
      <c r="G7435" t="s">
        <v>63</v>
      </c>
      <c r="H7435" t="s">
        <v>41</v>
      </c>
      <c r="I7435" t="s">
        <v>2189</v>
      </c>
      <c r="J7435" s="10">
        <v>1.33</v>
      </c>
      <c r="K7435" t="b">
        <v>1</v>
      </c>
    </row>
    <row r="7436" spans="1:11">
      <c r="A7436" s="12">
        <v>42570</v>
      </c>
      <c r="B7436">
        <v>2016</v>
      </c>
      <c r="C7436">
        <v>7</v>
      </c>
      <c r="D7436" s="11">
        <v>42552</v>
      </c>
      <c r="E7436" t="s">
        <v>2179</v>
      </c>
      <c r="F7436">
        <v>2</v>
      </c>
      <c r="G7436" t="s">
        <v>63</v>
      </c>
      <c r="H7436" t="s">
        <v>42</v>
      </c>
      <c r="I7436" t="s">
        <v>2190</v>
      </c>
      <c r="J7436" s="10">
        <v>6</v>
      </c>
      <c r="K7436" t="b">
        <v>1</v>
      </c>
    </row>
    <row r="7437" spans="1:11">
      <c r="A7437" s="12">
        <v>42570</v>
      </c>
      <c r="B7437">
        <v>2016</v>
      </c>
      <c r="C7437">
        <v>7</v>
      </c>
      <c r="D7437" s="11">
        <v>42552</v>
      </c>
      <c r="E7437" t="s">
        <v>2179</v>
      </c>
      <c r="F7437">
        <v>2</v>
      </c>
      <c r="G7437" t="s">
        <v>63</v>
      </c>
      <c r="H7437" t="s">
        <v>43</v>
      </c>
      <c r="I7437" t="s">
        <v>2191</v>
      </c>
      <c r="J7437" s="10">
        <v>19</v>
      </c>
      <c r="K7437" t="b">
        <v>1</v>
      </c>
    </row>
    <row r="7438" spans="1:11">
      <c r="A7438" s="12">
        <v>42570</v>
      </c>
      <c r="B7438">
        <v>2016</v>
      </c>
      <c r="C7438">
        <v>7</v>
      </c>
      <c r="D7438" s="11">
        <v>42552</v>
      </c>
      <c r="E7438" t="s">
        <v>2179</v>
      </c>
      <c r="F7438">
        <v>2</v>
      </c>
      <c r="G7438" t="s">
        <v>63</v>
      </c>
      <c r="H7438" t="s">
        <v>44</v>
      </c>
      <c r="I7438" t="s">
        <v>2192</v>
      </c>
      <c r="J7438" s="10">
        <v>5</v>
      </c>
      <c r="K7438" t="b">
        <v>1</v>
      </c>
    </row>
    <row r="7439" spans="1:11">
      <c r="A7439" s="12">
        <v>42570</v>
      </c>
      <c r="B7439">
        <v>2016</v>
      </c>
      <c r="C7439">
        <v>7</v>
      </c>
      <c r="D7439" s="11">
        <v>42552</v>
      </c>
      <c r="E7439" t="s">
        <v>2179</v>
      </c>
      <c r="F7439">
        <v>2</v>
      </c>
      <c r="G7439" t="s">
        <v>63</v>
      </c>
      <c r="H7439" t="s">
        <v>45</v>
      </c>
      <c r="I7439" t="s">
        <v>2193</v>
      </c>
      <c r="J7439" s="10">
        <v>0</v>
      </c>
      <c r="K7439" t="b">
        <v>1</v>
      </c>
    </row>
    <row r="7440" spans="1:11">
      <c r="A7440" s="12">
        <v>42570</v>
      </c>
      <c r="B7440">
        <v>2016</v>
      </c>
      <c r="C7440">
        <v>7</v>
      </c>
      <c r="D7440" s="11">
        <v>42552</v>
      </c>
      <c r="E7440" t="s">
        <v>2179</v>
      </c>
      <c r="F7440">
        <v>2</v>
      </c>
      <c r="G7440" t="s">
        <v>63</v>
      </c>
      <c r="H7440" t="s">
        <v>46</v>
      </c>
      <c r="I7440" t="s">
        <v>2194</v>
      </c>
      <c r="J7440" s="10">
        <v>1</v>
      </c>
      <c r="K7440" t="b">
        <v>1</v>
      </c>
    </row>
    <row r="7441" spans="1:11">
      <c r="A7441" s="12">
        <v>42570</v>
      </c>
      <c r="B7441">
        <v>2016</v>
      </c>
      <c r="C7441">
        <v>7</v>
      </c>
      <c r="D7441" s="11">
        <v>42552</v>
      </c>
      <c r="E7441" t="s">
        <v>2179</v>
      </c>
      <c r="F7441">
        <v>2</v>
      </c>
      <c r="G7441" t="s">
        <v>63</v>
      </c>
      <c r="H7441" t="s">
        <v>47</v>
      </c>
      <c r="I7441" t="s">
        <v>2195</v>
      </c>
      <c r="J7441" s="10">
        <v>2</v>
      </c>
      <c r="K7441" t="b">
        <v>1</v>
      </c>
    </row>
    <row r="7442" spans="1:11">
      <c r="A7442" s="12">
        <v>42571</v>
      </c>
      <c r="B7442">
        <v>2016</v>
      </c>
      <c r="C7442">
        <v>7</v>
      </c>
      <c r="D7442" s="11">
        <v>42552</v>
      </c>
      <c r="E7442" t="s">
        <v>2179</v>
      </c>
      <c r="F7442">
        <v>3</v>
      </c>
      <c r="G7442" t="s">
        <v>65</v>
      </c>
      <c r="H7442" t="s">
        <v>40</v>
      </c>
      <c r="I7442" t="s">
        <v>2188</v>
      </c>
      <c r="J7442" s="10">
        <v>10.33</v>
      </c>
      <c r="K7442" t="b">
        <v>1</v>
      </c>
    </row>
    <row r="7443" spans="1:11">
      <c r="A7443" s="12">
        <v>42571</v>
      </c>
      <c r="B7443">
        <v>2016</v>
      </c>
      <c r="C7443">
        <v>7</v>
      </c>
      <c r="D7443" s="11">
        <v>42552</v>
      </c>
      <c r="E7443" t="s">
        <v>2179</v>
      </c>
      <c r="F7443">
        <v>3</v>
      </c>
      <c r="G7443" t="s">
        <v>65</v>
      </c>
      <c r="H7443" t="s">
        <v>41</v>
      </c>
      <c r="I7443" t="s">
        <v>2189</v>
      </c>
      <c r="J7443" s="10">
        <v>4.66</v>
      </c>
      <c r="K7443" t="b">
        <v>1</v>
      </c>
    </row>
    <row r="7444" spans="1:11">
      <c r="A7444" s="12">
        <v>42571</v>
      </c>
      <c r="B7444">
        <v>2016</v>
      </c>
      <c r="C7444">
        <v>7</v>
      </c>
      <c r="D7444" s="11">
        <v>42552</v>
      </c>
      <c r="E7444" t="s">
        <v>2179</v>
      </c>
      <c r="F7444">
        <v>3</v>
      </c>
      <c r="G7444" t="s">
        <v>65</v>
      </c>
      <c r="H7444" t="s">
        <v>42</v>
      </c>
      <c r="I7444" t="s">
        <v>2190</v>
      </c>
      <c r="J7444" s="10">
        <v>7.1</v>
      </c>
      <c r="K7444" t="b">
        <v>1</v>
      </c>
    </row>
    <row r="7445" spans="1:11">
      <c r="A7445" s="12">
        <v>42571</v>
      </c>
      <c r="B7445">
        <v>2016</v>
      </c>
      <c r="C7445">
        <v>7</v>
      </c>
      <c r="D7445" s="11">
        <v>42552</v>
      </c>
      <c r="E7445" t="s">
        <v>2179</v>
      </c>
      <c r="F7445">
        <v>3</v>
      </c>
      <c r="G7445" t="s">
        <v>65</v>
      </c>
      <c r="H7445" t="s">
        <v>43</v>
      </c>
      <c r="I7445" t="s">
        <v>2191</v>
      </c>
      <c r="J7445" s="10">
        <v>25.2</v>
      </c>
      <c r="K7445" t="b">
        <v>1</v>
      </c>
    </row>
    <row r="7446" spans="1:11">
      <c r="A7446" s="12">
        <v>42571</v>
      </c>
      <c r="B7446">
        <v>2016</v>
      </c>
      <c r="C7446">
        <v>7</v>
      </c>
      <c r="D7446" s="11">
        <v>42552</v>
      </c>
      <c r="E7446" t="s">
        <v>2179</v>
      </c>
      <c r="F7446">
        <v>3</v>
      </c>
      <c r="G7446" t="s">
        <v>65</v>
      </c>
      <c r="H7446" t="s">
        <v>44</v>
      </c>
      <c r="I7446" t="s">
        <v>2192</v>
      </c>
      <c r="J7446" s="10">
        <v>6</v>
      </c>
      <c r="K7446" t="b">
        <v>1</v>
      </c>
    </row>
    <row r="7447" spans="1:11">
      <c r="A7447" s="12">
        <v>42571</v>
      </c>
      <c r="B7447">
        <v>2016</v>
      </c>
      <c r="C7447">
        <v>7</v>
      </c>
      <c r="D7447" s="11">
        <v>42552</v>
      </c>
      <c r="E7447" t="s">
        <v>2179</v>
      </c>
      <c r="F7447">
        <v>3</v>
      </c>
      <c r="G7447" t="s">
        <v>65</v>
      </c>
      <c r="H7447" t="s">
        <v>45</v>
      </c>
      <c r="I7447" t="s">
        <v>2193</v>
      </c>
      <c r="J7447" s="10">
        <v>0</v>
      </c>
      <c r="K7447" t="b">
        <v>1</v>
      </c>
    </row>
    <row r="7448" spans="1:11">
      <c r="A7448" s="12">
        <v>42571</v>
      </c>
      <c r="B7448">
        <v>2016</v>
      </c>
      <c r="C7448">
        <v>7</v>
      </c>
      <c r="D7448" s="11">
        <v>42552</v>
      </c>
      <c r="E7448" t="s">
        <v>2179</v>
      </c>
      <c r="F7448">
        <v>3</v>
      </c>
      <c r="G7448" t="s">
        <v>65</v>
      </c>
      <c r="H7448" t="s">
        <v>46</v>
      </c>
      <c r="I7448" t="s">
        <v>2194</v>
      </c>
      <c r="J7448" s="10">
        <v>5</v>
      </c>
      <c r="K7448" t="b">
        <v>1</v>
      </c>
    </row>
    <row r="7449" spans="1:11">
      <c r="A7449" s="12">
        <v>42571</v>
      </c>
      <c r="B7449">
        <v>2016</v>
      </c>
      <c r="C7449">
        <v>7</v>
      </c>
      <c r="D7449" s="11">
        <v>42552</v>
      </c>
      <c r="E7449" t="s">
        <v>2179</v>
      </c>
      <c r="F7449">
        <v>3</v>
      </c>
      <c r="G7449" t="s">
        <v>65</v>
      </c>
      <c r="H7449" t="s">
        <v>47</v>
      </c>
      <c r="I7449" t="s">
        <v>2195</v>
      </c>
      <c r="J7449" s="10">
        <v>5</v>
      </c>
      <c r="K7449" t="b">
        <v>1</v>
      </c>
    </row>
    <row r="7450" spans="1:11">
      <c r="A7450" s="12">
        <v>42572</v>
      </c>
      <c r="B7450">
        <v>2016</v>
      </c>
      <c r="C7450">
        <v>7</v>
      </c>
      <c r="D7450" s="11">
        <v>42552</v>
      </c>
      <c r="E7450" t="s">
        <v>2179</v>
      </c>
      <c r="F7450">
        <v>4</v>
      </c>
      <c r="G7450" t="s">
        <v>53</v>
      </c>
      <c r="H7450" t="s">
        <v>40</v>
      </c>
      <c r="I7450" t="s">
        <v>2188</v>
      </c>
      <c r="J7450" s="10">
        <v>5.66</v>
      </c>
      <c r="K7450" t="b">
        <v>1</v>
      </c>
    </row>
    <row r="7451" spans="1:11">
      <c r="A7451" s="12">
        <v>42572</v>
      </c>
      <c r="B7451">
        <v>2016</v>
      </c>
      <c r="C7451">
        <v>7</v>
      </c>
      <c r="D7451" s="11">
        <v>42552</v>
      </c>
      <c r="E7451" t="s">
        <v>2179</v>
      </c>
      <c r="F7451">
        <v>4</v>
      </c>
      <c r="G7451" t="s">
        <v>53</v>
      </c>
      <c r="H7451" t="s">
        <v>41</v>
      </c>
      <c r="I7451" t="s">
        <v>2189</v>
      </c>
      <c r="J7451" s="10">
        <v>5.32</v>
      </c>
      <c r="K7451" t="b">
        <v>1</v>
      </c>
    </row>
    <row r="7452" spans="1:11">
      <c r="A7452" s="12">
        <v>42572</v>
      </c>
      <c r="B7452">
        <v>2016</v>
      </c>
      <c r="C7452">
        <v>7</v>
      </c>
      <c r="D7452" s="11">
        <v>42552</v>
      </c>
      <c r="E7452" t="s">
        <v>2179</v>
      </c>
      <c r="F7452">
        <v>4</v>
      </c>
      <c r="G7452" t="s">
        <v>53</v>
      </c>
      <c r="H7452" t="s">
        <v>42</v>
      </c>
      <c r="I7452" t="s">
        <v>2190</v>
      </c>
      <c r="J7452" s="10">
        <v>4.1</v>
      </c>
      <c r="K7452" t="b">
        <v>1</v>
      </c>
    </row>
    <row r="7453" spans="1:11">
      <c r="A7453" s="12">
        <v>42572</v>
      </c>
      <c r="B7453">
        <v>2016</v>
      </c>
      <c r="C7453">
        <v>7</v>
      </c>
      <c r="D7453" s="11">
        <v>42552</v>
      </c>
      <c r="E7453" t="s">
        <v>2179</v>
      </c>
      <c r="F7453">
        <v>4</v>
      </c>
      <c r="G7453" t="s">
        <v>53</v>
      </c>
      <c r="H7453" t="s">
        <v>43</v>
      </c>
      <c r="I7453" t="s">
        <v>2191</v>
      </c>
      <c r="J7453" s="10">
        <v>17</v>
      </c>
      <c r="K7453" t="b">
        <v>1</v>
      </c>
    </row>
    <row r="7454" spans="1:11">
      <c r="A7454" s="12">
        <v>42572</v>
      </c>
      <c r="B7454">
        <v>2016</v>
      </c>
      <c r="C7454">
        <v>7</v>
      </c>
      <c r="D7454" s="11">
        <v>42552</v>
      </c>
      <c r="E7454" t="s">
        <v>2179</v>
      </c>
      <c r="F7454">
        <v>4</v>
      </c>
      <c r="G7454" t="s">
        <v>53</v>
      </c>
      <c r="H7454" t="s">
        <v>44</v>
      </c>
      <c r="I7454" t="s">
        <v>2192</v>
      </c>
      <c r="J7454" s="10">
        <v>15</v>
      </c>
      <c r="K7454" t="b">
        <v>1</v>
      </c>
    </row>
    <row r="7455" spans="1:11">
      <c r="A7455" s="12">
        <v>42572</v>
      </c>
      <c r="B7455">
        <v>2016</v>
      </c>
      <c r="C7455">
        <v>7</v>
      </c>
      <c r="D7455" s="11">
        <v>42552</v>
      </c>
      <c r="E7455" t="s">
        <v>2179</v>
      </c>
      <c r="F7455">
        <v>4</v>
      </c>
      <c r="G7455" t="s">
        <v>53</v>
      </c>
      <c r="H7455" t="s">
        <v>45</v>
      </c>
      <c r="I7455" t="s">
        <v>2193</v>
      </c>
      <c r="J7455" s="10">
        <v>0</v>
      </c>
      <c r="K7455" t="b">
        <v>1</v>
      </c>
    </row>
    <row r="7456" spans="1:11">
      <c r="A7456" s="12">
        <v>42572</v>
      </c>
      <c r="B7456">
        <v>2016</v>
      </c>
      <c r="C7456">
        <v>7</v>
      </c>
      <c r="D7456" s="11">
        <v>42552</v>
      </c>
      <c r="E7456" t="s">
        <v>2179</v>
      </c>
      <c r="F7456">
        <v>4</v>
      </c>
      <c r="G7456" t="s">
        <v>53</v>
      </c>
      <c r="H7456" t="s">
        <v>46</v>
      </c>
      <c r="I7456" t="s">
        <v>2194</v>
      </c>
      <c r="J7456" s="10">
        <v>1</v>
      </c>
      <c r="K7456" t="b">
        <v>1</v>
      </c>
    </row>
    <row r="7457" spans="1:11">
      <c r="A7457" s="12">
        <v>42572</v>
      </c>
      <c r="B7457">
        <v>2016</v>
      </c>
      <c r="C7457">
        <v>7</v>
      </c>
      <c r="D7457" s="11">
        <v>42552</v>
      </c>
      <c r="E7457" t="s">
        <v>2179</v>
      </c>
      <c r="F7457">
        <v>4</v>
      </c>
      <c r="G7457" t="s">
        <v>53</v>
      </c>
      <c r="H7457" t="s">
        <v>47</v>
      </c>
      <c r="I7457" t="s">
        <v>2195</v>
      </c>
      <c r="J7457" s="10">
        <v>2</v>
      </c>
      <c r="K7457" t="b">
        <v>1</v>
      </c>
    </row>
    <row r="7458" spans="1:11">
      <c r="A7458" s="12">
        <v>42573</v>
      </c>
      <c r="B7458">
        <v>2016</v>
      </c>
      <c r="C7458">
        <v>7</v>
      </c>
      <c r="D7458" s="11">
        <v>42552</v>
      </c>
      <c r="E7458" t="s">
        <v>2179</v>
      </c>
      <c r="F7458">
        <v>5</v>
      </c>
      <c r="G7458" t="s">
        <v>55</v>
      </c>
      <c r="H7458" t="s">
        <v>40</v>
      </c>
      <c r="I7458" t="s">
        <v>2188</v>
      </c>
      <c r="J7458" s="10">
        <v>3.33</v>
      </c>
      <c r="K7458" t="b">
        <v>1</v>
      </c>
    </row>
    <row r="7459" spans="1:11">
      <c r="A7459" s="12">
        <v>42573</v>
      </c>
      <c r="B7459">
        <v>2016</v>
      </c>
      <c r="C7459">
        <v>7</v>
      </c>
      <c r="D7459" s="11">
        <v>42552</v>
      </c>
      <c r="E7459" t="s">
        <v>2179</v>
      </c>
      <c r="F7459">
        <v>5</v>
      </c>
      <c r="G7459" t="s">
        <v>55</v>
      </c>
      <c r="H7459" t="s">
        <v>41</v>
      </c>
      <c r="I7459" t="s">
        <v>2189</v>
      </c>
      <c r="J7459" s="10">
        <v>1.66</v>
      </c>
      <c r="K7459" t="b">
        <v>1</v>
      </c>
    </row>
    <row r="7460" spans="1:11">
      <c r="A7460" s="12">
        <v>42573</v>
      </c>
      <c r="B7460">
        <v>2016</v>
      </c>
      <c r="C7460">
        <v>7</v>
      </c>
      <c r="D7460" s="11">
        <v>42552</v>
      </c>
      <c r="E7460" t="s">
        <v>2179</v>
      </c>
      <c r="F7460">
        <v>5</v>
      </c>
      <c r="G7460" t="s">
        <v>55</v>
      </c>
      <c r="H7460" t="s">
        <v>42</v>
      </c>
      <c r="I7460" t="s">
        <v>2190</v>
      </c>
      <c r="J7460" s="10">
        <v>7</v>
      </c>
      <c r="K7460" t="b">
        <v>1</v>
      </c>
    </row>
    <row r="7461" spans="1:11">
      <c r="A7461" s="12">
        <v>42573</v>
      </c>
      <c r="B7461">
        <v>2016</v>
      </c>
      <c r="C7461">
        <v>7</v>
      </c>
      <c r="D7461" s="11">
        <v>42552</v>
      </c>
      <c r="E7461" t="s">
        <v>2179</v>
      </c>
      <c r="F7461">
        <v>5</v>
      </c>
      <c r="G7461" t="s">
        <v>55</v>
      </c>
      <c r="H7461" t="s">
        <v>43</v>
      </c>
      <c r="I7461" t="s">
        <v>2191</v>
      </c>
      <c r="J7461" s="10">
        <v>14</v>
      </c>
      <c r="K7461" t="b">
        <v>1</v>
      </c>
    </row>
    <row r="7462" spans="1:11">
      <c r="A7462" s="12">
        <v>42573</v>
      </c>
      <c r="B7462">
        <v>2016</v>
      </c>
      <c r="C7462">
        <v>7</v>
      </c>
      <c r="D7462" s="11">
        <v>42552</v>
      </c>
      <c r="E7462" t="s">
        <v>2179</v>
      </c>
      <c r="F7462">
        <v>5</v>
      </c>
      <c r="G7462" t="s">
        <v>55</v>
      </c>
      <c r="H7462" t="s">
        <v>44</v>
      </c>
      <c r="I7462" t="s">
        <v>2192</v>
      </c>
      <c r="J7462" s="10">
        <v>4</v>
      </c>
      <c r="K7462" t="b">
        <v>1</v>
      </c>
    </row>
    <row r="7463" spans="1:11">
      <c r="A7463" s="12">
        <v>42573</v>
      </c>
      <c r="B7463">
        <v>2016</v>
      </c>
      <c r="C7463">
        <v>7</v>
      </c>
      <c r="D7463" s="11">
        <v>42552</v>
      </c>
      <c r="E7463" t="s">
        <v>2179</v>
      </c>
      <c r="F7463">
        <v>5</v>
      </c>
      <c r="G7463" t="s">
        <v>55</v>
      </c>
      <c r="H7463" t="s">
        <v>45</v>
      </c>
      <c r="I7463" t="s">
        <v>2193</v>
      </c>
      <c r="J7463" s="10">
        <v>0</v>
      </c>
      <c r="K7463" t="b">
        <v>1</v>
      </c>
    </row>
    <row r="7464" spans="1:11">
      <c r="A7464" s="12">
        <v>42573</v>
      </c>
      <c r="B7464">
        <v>2016</v>
      </c>
      <c r="C7464">
        <v>7</v>
      </c>
      <c r="D7464" s="11">
        <v>42552</v>
      </c>
      <c r="E7464" t="s">
        <v>2179</v>
      </c>
      <c r="F7464">
        <v>5</v>
      </c>
      <c r="G7464" t="s">
        <v>55</v>
      </c>
      <c r="H7464" t="s">
        <v>46</v>
      </c>
      <c r="I7464" t="s">
        <v>2194</v>
      </c>
      <c r="J7464" s="10">
        <v>0</v>
      </c>
      <c r="K7464" t="b">
        <v>1</v>
      </c>
    </row>
    <row r="7465" spans="1:11">
      <c r="A7465" s="12">
        <v>42573</v>
      </c>
      <c r="B7465">
        <v>2016</v>
      </c>
      <c r="C7465">
        <v>7</v>
      </c>
      <c r="D7465" s="11">
        <v>42552</v>
      </c>
      <c r="E7465" t="s">
        <v>2179</v>
      </c>
      <c r="F7465">
        <v>5</v>
      </c>
      <c r="G7465" t="s">
        <v>55</v>
      </c>
      <c r="H7465" t="s">
        <v>47</v>
      </c>
      <c r="I7465" t="s">
        <v>2195</v>
      </c>
      <c r="J7465" s="10">
        <v>2</v>
      </c>
      <c r="K7465" t="b">
        <v>1</v>
      </c>
    </row>
    <row r="7466" spans="1:11">
      <c r="A7466" s="12">
        <v>42574</v>
      </c>
      <c r="B7466">
        <v>2016</v>
      </c>
      <c r="C7466">
        <v>7</v>
      </c>
      <c r="D7466" s="11">
        <v>42552</v>
      </c>
      <c r="E7466" t="s">
        <v>2179</v>
      </c>
      <c r="F7466">
        <v>6</v>
      </c>
      <c r="G7466" t="s">
        <v>57</v>
      </c>
      <c r="H7466" t="s">
        <v>40</v>
      </c>
      <c r="I7466" t="s">
        <v>2188</v>
      </c>
      <c r="J7466" s="10">
        <v>4.66</v>
      </c>
      <c r="K7466" t="b">
        <v>1</v>
      </c>
    </row>
    <row r="7467" spans="1:11">
      <c r="A7467" s="12">
        <v>42574</v>
      </c>
      <c r="B7467">
        <v>2016</v>
      </c>
      <c r="C7467">
        <v>7</v>
      </c>
      <c r="D7467" s="11">
        <v>42552</v>
      </c>
      <c r="E7467" t="s">
        <v>2179</v>
      </c>
      <c r="F7467">
        <v>6</v>
      </c>
      <c r="G7467" t="s">
        <v>57</v>
      </c>
      <c r="H7467" t="s">
        <v>41</v>
      </c>
      <c r="I7467" t="s">
        <v>2189</v>
      </c>
      <c r="J7467" s="10">
        <v>5.49</v>
      </c>
      <c r="K7467" t="b">
        <v>1</v>
      </c>
    </row>
    <row r="7468" spans="1:11">
      <c r="A7468" s="12">
        <v>42574</v>
      </c>
      <c r="B7468">
        <v>2016</v>
      </c>
      <c r="C7468">
        <v>7</v>
      </c>
      <c r="D7468" s="11">
        <v>42552</v>
      </c>
      <c r="E7468" t="s">
        <v>2179</v>
      </c>
      <c r="F7468">
        <v>6</v>
      </c>
      <c r="G7468" t="s">
        <v>57</v>
      </c>
      <c r="H7468" t="s">
        <v>42</v>
      </c>
      <c r="I7468" t="s">
        <v>2190</v>
      </c>
      <c r="J7468" s="10">
        <v>2.1</v>
      </c>
      <c r="K7468" t="b">
        <v>1</v>
      </c>
    </row>
    <row r="7469" spans="1:11">
      <c r="A7469" s="12">
        <v>42574</v>
      </c>
      <c r="B7469">
        <v>2016</v>
      </c>
      <c r="C7469">
        <v>7</v>
      </c>
      <c r="D7469" s="11">
        <v>42552</v>
      </c>
      <c r="E7469" t="s">
        <v>2179</v>
      </c>
      <c r="F7469">
        <v>6</v>
      </c>
      <c r="G7469" t="s">
        <v>57</v>
      </c>
      <c r="H7469" t="s">
        <v>43</v>
      </c>
      <c r="I7469" t="s">
        <v>2191</v>
      </c>
      <c r="J7469" s="10">
        <v>15</v>
      </c>
      <c r="K7469" t="b">
        <v>1</v>
      </c>
    </row>
    <row r="7470" spans="1:11">
      <c r="A7470" s="12">
        <v>42574</v>
      </c>
      <c r="B7470">
        <v>2016</v>
      </c>
      <c r="C7470">
        <v>7</v>
      </c>
      <c r="D7470" s="11">
        <v>42552</v>
      </c>
      <c r="E7470" t="s">
        <v>2179</v>
      </c>
      <c r="F7470">
        <v>6</v>
      </c>
      <c r="G7470" t="s">
        <v>57</v>
      </c>
      <c r="H7470" t="s">
        <v>44</v>
      </c>
      <c r="I7470" t="s">
        <v>2192</v>
      </c>
      <c r="J7470" s="10">
        <v>6</v>
      </c>
      <c r="K7470" t="b">
        <v>1</v>
      </c>
    </row>
    <row r="7471" spans="1:11">
      <c r="A7471" s="12">
        <v>42574</v>
      </c>
      <c r="B7471">
        <v>2016</v>
      </c>
      <c r="C7471">
        <v>7</v>
      </c>
      <c r="D7471" s="11">
        <v>42552</v>
      </c>
      <c r="E7471" t="s">
        <v>2179</v>
      </c>
      <c r="F7471">
        <v>6</v>
      </c>
      <c r="G7471" t="s">
        <v>57</v>
      </c>
      <c r="H7471" t="s">
        <v>45</v>
      </c>
      <c r="I7471" t="s">
        <v>2193</v>
      </c>
      <c r="J7471" s="10">
        <v>0</v>
      </c>
      <c r="K7471" t="b">
        <v>1</v>
      </c>
    </row>
    <row r="7472" spans="1:11">
      <c r="A7472" s="12">
        <v>42574</v>
      </c>
      <c r="B7472">
        <v>2016</v>
      </c>
      <c r="C7472">
        <v>7</v>
      </c>
      <c r="D7472" s="11">
        <v>42552</v>
      </c>
      <c r="E7472" t="s">
        <v>2179</v>
      </c>
      <c r="F7472">
        <v>6</v>
      </c>
      <c r="G7472" t="s">
        <v>57</v>
      </c>
      <c r="H7472" t="s">
        <v>46</v>
      </c>
      <c r="I7472" t="s">
        <v>2194</v>
      </c>
      <c r="J7472" s="10">
        <v>0</v>
      </c>
      <c r="K7472" t="b">
        <v>1</v>
      </c>
    </row>
    <row r="7473" spans="1:11">
      <c r="A7473" s="12">
        <v>42574</v>
      </c>
      <c r="B7473">
        <v>2016</v>
      </c>
      <c r="C7473">
        <v>7</v>
      </c>
      <c r="D7473" s="11">
        <v>42552</v>
      </c>
      <c r="E7473" t="s">
        <v>2179</v>
      </c>
      <c r="F7473">
        <v>6</v>
      </c>
      <c r="G7473" t="s">
        <v>57</v>
      </c>
      <c r="H7473" t="s">
        <v>47</v>
      </c>
      <c r="I7473" t="s">
        <v>2195</v>
      </c>
      <c r="J7473" s="10">
        <v>5</v>
      </c>
      <c r="K7473" t="b">
        <v>1</v>
      </c>
    </row>
    <row r="7474" spans="1:11">
      <c r="A7474" s="12">
        <v>42575</v>
      </c>
      <c r="B7474">
        <v>2016</v>
      </c>
      <c r="C7474">
        <v>7</v>
      </c>
      <c r="D7474" s="11">
        <v>42552</v>
      </c>
      <c r="E7474" t="s">
        <v>2179</v>
      </c>
      <c r="F7474">
        <v>7</v>
      </c>
      <c r="G7474" t="s">
        <v>59</v>
      </c>
      <c r="H7474" t="s">
        <v>40</v>
      </c>
      <c r="I7474" t="s">
        <v>2188</v>
      </c>
      <c r="J7474" s="10">
        <v>2.33</v>
      </c>
      <c r="K7474" t="b">
        <v>1</v>
      </c>
    </row>
    <row r="7475" spans="1:11">
      <c r="A7475" s="12">
        <v>42575</v>
      </c>
      <c r="B7475">
        <v>2016</v>
      </c>
      <c r="C7475">
        <v>7</v>
      </c>
      <c r="D7475" s="11">
        <v>42552</v>
      </c>
      <c r="E7475" t="s">
        <v>2179</v>
      </c>
      <c r="F7475">
        <v>7</v>
      </c>
      <c r="G7475" t="s">
        <v>59</v>
      </c>
      <c r="H7475" t="s">
        <v>41</v>
      </c>
      <c r="I7475" t="s">
        <v>2189</v>
      </c>
      <c r="J7475" s="10">
        <v>4.99</v>
      </c>
      <c r="K7475" t="b">
        <v>1</v>
      </c>
    </row>
    <row r="7476" spans="1:11">
      <c r="A7476" s="12">
        <v>42575</v>
      </c>
      <c r="B7476">
        <v>2016</v>
      </c>
      <c r="C7476">
        <v>7</v>
      </c>
      <c r="D7476" s="11">
        <v>42552</v>
      </c>
      <c r="E7476" t="s">
        <v>2179</v>
      </c>
      <c r="F7476">
        <v>7</v>
      </c>
      <c r="G7476" t="s">
        <v>59</v>
      </c>
      <c r="H7476" t="s">
        <v>42</v>
      </c>
      <c r="I7476" t="s">
        <v>2190</v>
      </c>
      <c r="J7476" s="10">
        <v>4</v>
      </c>
      <c r="K7476" t="b">
        <v>1</v>
      </c>
    </row>
    <row r="7477" spans="1:11">
      <c r="A7477" s="12">
        <v>42575</v>
      </c>
      <c r="B7477">
        <v>2016</v>
      </c>
      <c r="C7477">
        <v>7</v>
      </c>
      <c r="D7477" s="11">
        <v>42552</v>
      </c>
      <c r="E7477" t="s">
        <v>2179</v>
      </c>
      <c r="F7477">
        <v>7</v>
      </c>
      <c r="G7477" t="s">
        <v>59</v>
      </c>
      <c r="H7477" t="s">
        <v>43</v>
      </c>
      <c r="I7477" t="s">
        <v>2191</v>
      </c>
      <c r="J7477" s="10">
        <v>32</v>
      </c>
      <c r="K7477" t="b">
        <v>1</v>
      </c>
    </row>
    <row r="7478" spans="1:11">
      <c r="A7478" s="12">
        <v>42575</v>
      </c>
      <c r="B7478">
        <v>2016</v>
      </c>
      <c r="C7478">
        <v>7</v>
      </c>
      <c r="D7478" s="11">
        <v>42552</v>
      </c>
      <c r="E7478" t="s">
        <v>2179</v>
      </c>
      <c r="F7478">
        <v>7</v>
      </c>
      <c r="G7478" t="s">
        <v>59</v>
      </c>
      <c r="H7478" t="s">
        <v>44</v>
      </c>
      <c r="I7478" t="s">
        <v>2192</v>
      </c>
      <c r="J7478" s="10">
        <v>4</v>
      </c>
      <c r="K7478" t="b">
        <v>1</v>
      </c>
    </row>
    <row r="7479" spans="1:11">
      <c r="A7479" s="12">
        <v>42575</v>
      </c>
      <c r="B7479">
        <v>2016</v>
      </c>
      <c r="C7479">
        <v>7</v>
      </c>
      <c r="D7479" s="11">
        <v>42552</v>
      </c>
      <c r="E7479" t="s">
        <v>2179</v>
      </c>
      <c r="F7479">
        <v>7</v>
      </c>
      <c r="G7479" t="s">
        <v>59</v>
      </c>
      <c r="H7479" t="s">
        <v>45</v>
      </c>
      <c r="I7479" t="s">
        <v>2193</v>
      </c>
      <c r="J7479" s="10">
        <v>0</v>
      </c>
      <c r="K7479" t="b">
        <v>1</v>
      </c>
    </row>
    <row r="7480" spans="1:11">
      <c r="A7480" s="12">
        <v>42575</v>
      </c>
      <c r="B7480">
        <v>2016</v>
      </c>
      <c r="C7480">
        <v>7</v>
      </c>
      <c r="D7480" s="11">
        <v>42552</v>
      </c>
      <c r="E7480" t="s">
        <v>2179</v>
      </c>
      <c r="F7480">
        <v>7</v>
      </c>
      <c r="G7480" t="s">
        <v>59</v>
      </c>
      <c r="H7480" t="s">
        <v>46</v>
      </c>
      <c r="I7480" t="s">
        <v>2194</v>
      </c>
      <c r="J7480" s="10">
        <v>0</v>
      </c>
      <c r="K7480" t="b">
        <v>1</v>
      </c>
    </row>
    <row r="7481" spans="1:11">
      <c r="A7481" s="12">
        <v>42575</v>
      </c>
      <c r="B7481">
        <v>2016</v>
      </c>
      <c r="C7481">
        <v>7</v>
      </c>
      <c r="D7481" s="11">
        <v>42552</v>
      </c>
      <c r="E7481" t="s">
        <v>2179</v>
      </c>
      <c r="F7481">
        <v>7</v>
      </c>
      <c r="G7481" t="s">
        <v>59</v>
      </c>
      <c r="H7481" t="s">
        <v>47</v>
      </c>
      <c r="I7481" t="s">
        <v>2195</v>
      </c>
      <c r="J7481" s="10">
        <v>2</v>
      </c>
      <c r="K7481" t="b">
        <v>1</v>
      </c>
    </row>
    <row r="7482" spans="1:11">
      <c r="A7482" s="12">
        <v>42576</v>
      </c>
      <c r="B7482">
        <v>2016</v>
      </c>
      <c r="C7482">
        <v>7</v>
      </c>
      <c r="D7482" s="11">
        <v>42552</v>
      </c>
      <c r="E7482" t="s">
        <v>2179</v>
      </c>
      <c r="F7482">
        <v>1</v>
      </c>
      <c r="G7482" t="s">
        <v>61</v>
      </c>
      <c r="H7482" t="s">
        <v>40</v>
      </c>
      <c r="I7482" t="s">
        <v>2188</v>
      </c>
      <c r="J7482" s="10">
        <v>13</v>
      </c>
      <c r="K7482" t="b">
        <v>1</v>
      </c>
    </row>
    <row r="7483" spans="1:11">
      <c r="A7483" s="12">
        <v>42576</v>
      </c>
      <c r="B7483">
        <v>2016</v>
      </c>
      <c r="C7483">
        <v>7</v>
      </c>
      <c r="D7483" s="11">
        <v>42552</v>
      </c>
      <c r="E7483" t="s">
        <v>2179</v>
      </c>
      <c r="F7483">
        <v>1</v>
      </c>
      <c r="G7483" t="s">
        <v>61</v>
      </c>
      <c r="H7483" t="s">
        <v>41</v>
      </c>
      <c r="I7483" t="s">
        <v>2189</v>
      </c>
      <c r="J7483" s="10">
        <v>3.33</v>
      </c>
      <c r="K7483" t="b">
        <v>1</v>
      </c>
    </row>
    <row r="7484" spans="1:11">
      <c r="A7484" s="12">
        <v>42576</v>
      </c>
      <c r="B7484">
        <v>2016</v>
      </c>
      <c r="C7484">
        <v>7</v>
      </c>
      <c r="D7484" s="11">
        <v>42552</v>
      </c>
      <c r="E7484" t="s">
        <v>2179</v>
      </c>
      <c r="F7484">
        <v>1</v>
      </c>
      <c r="G7484" t="s">
        <v>61</v>
      </c>
      <c r="H7484" t="s">
        <v>42</v>
      </c>
      <c r="I7484" t="s">
        <v>2190</v>
      </c>
      <c r="J7484" s="10">
        <v>7</v>
      </c>
      <c r="K7484" t="b">
        <v>1</v>
      </c>
    </row>
    <row r="7485" spans="1:11">
      <c r="A7485" s="12">
        <v>42576</v>
      </c>
      <c r="B7485">
        <v>2016</v>
      </c>
      <c r="C7485">
        <v>7</v>
      </c>
      <c r="D7485" s="11">
        <v>42552</v>
      </c>
      <c r="E7485" t="s">
        <v>2179</v>
      </c>
      <c r="F7485">
        <v>1</v>
      </c>
      <c r="G7485" t="s">
        <v>61</v>
      </c>
      <c r="H7485" t="s">
        <v>43</v>
      </c>
      <c r="I7485" t="s">
        <v>2191</v>
      </c>
      <c r="J7485" s="10">
        <v>22</v>
      </c>
      <c r="K7485" t="b">
        <v>1</v>
      </c>
    </row>
    <row r="7486" spans="1:11">
      <c r="A7486" s="12">
        <v>42576</v>
      </c>
      <c r="B7486">
        <v>2016</v>
      </c>
      <c r="C7486">
        <v>7</v>
      </c>
      <c r="D7486" s="11">
        <v>42552</v>
      </c>
      <c r="E7486" t="s">
        <v>2179</v>
      </c>
      <c r="F7486">
        <v>1</v>
      </c>
      <c r="G7486" t="s">
        <v>61</v>
      </c>
      <c r="H7486" t="s">
        <v>44</v>
      </c>
      <c r="I7486" t="s">
        <v>2192</v>
      </c>
      <c r="J7486" s="10">
        <v>9</v>
      </c>
      <c r="K7486" t="b">
        <v>1</v>
      </c>
    </row>
    <row r="7487" spans="1:11">
      <c r="A7487" s="12">
        <v>42576</v>
      </c>
      <c r="B7487">
        <v>2016</v>
      </c>
      <c r="C7487">
        <v>7</v>
      </c>
      <c r="D7487" s="11">
        <v>42552</v>
      </c>
      <c r="E7487" t="s">
        <v>2179</v>
      </c>
      <c r="F7487">
        <v>1</v>
      </c>
      <c r="G7487" t="s">
        <v>61</v>
      </c>
      <c r="H7487" t="s">
        <v>45</v>
      </c>
      <c r="I7487" t="s">
        <v>2193</v>
      </c>
      <c r="J7487" s="10">
        <v>0</v>
      </c>
      <c r="K7487" t="b">
        <v>1</v>
      </c>
    </row>
    <row r="7488" spans="1:11">
      <c r="A7488" s="12">
        <v>42576</v>
      </c>
      <c r="B7488">
        <v>2016</v>
      </c>
      <c r="C7488">
        <v>7</v>
      </c>
      <c r="D7488" s="11">
        <v>42552</v>
      </c>
      <c r="E7488" t="s">
        <v>2179</v>
      </c>
      <c r="F7488">
        <v>1</v>
      </c>
      <c r="G7488" t="s">
        <v>61</v>
      </c>
      <c r="H7488" t="s">
        <v>46</v>
      </c>
      <c r="I7488" t="s">
        <v>2194</v>
      </c>
      <c r="J7488" s="10">
        <v>4</v>
      </c>
      <c r="K7488" t="b">
        <v>1</v>
      </c>
    </row>
    <row r="7489" spans="1:11">
      <c r="A7489" s="12">
        <v>42576</v>
      </c>
      <c r="B7489">
        <v>2016</v>
      </c>
      <c r="C7489">
        <v>7</v>
      </c>
      <c r="D7489" s="11">
        <v>42552</v>
      </c>
      <c r="E7489" t="s">
        <v>2179</v>
      </c>
      <c r="F7489">
        <v>1</v>
      </c>
      <c r="G7489" t="s">
        <v>61</v>
      </c>
      <c r="H7489" t="s">
        <v>47</v>
      </c>
      <c r="I7489" t="s">
        <v>2195</v>
      </c>
      <c r="J7489" s="10">
        <v>4</v>
      </c>
      <c r="K7489" t="b">
        <v>1</v>
      </c>
    </row>
    <row r="7490" spans="1:11">
      <c r="A7490" s="12">
        <v>42577</v>
      </c>
      <c r="B7490">
        <v>2016</v>
      </c>
      <c r="C7490">
        <v>7</v>
      </c>
      <c r="D7490" s="11">
        <v>42552</v>
      </c>
      <c r="E7490" t="s">
        <v>2179</v>
      </c>
      <c r="F7490">
        <v>2</v>
      </c>
      <c r="G7490" t="s">
        <v>63</v>
      </c>
      <c r="H7490" t="s">
        <v>40</v>
      </c>
      <c r="I7490" t="s">
        <v>2188</v>
      </c>
      <c r="J7490" s="10">
        <v>8.32</v>
      </c>
      <c r="K7490" t="b">
        <v>1</v>
      </c>
    </row>
    <row r="7491" spans="1:11">
      <c r="A7491" s="12">
        <v>42577</v>
      </c>
      <c r="B7491">
        <v>2016</v>
      </c>
      <c r="C7491">
        <v>7</v>
      </c>
      <c r="D7491" s="11">
        <v>42552</v>
      </c>
      <c r="E7491" t="s">
        <v>2179</v>
      </c>
      <c r="F7491">
        <v>2</v>
      </c>
      <c r="G7491" t="s">
        <v>63</v>
      </c>
      <c r="H7491" t="s">
        <v>41</v>
      </c>
      <c r="I7491" t="s">
        <v>2189</v>
      </c>
      <c r="J7491" s="10">
        <v>2.66</v>
      </c>
      <c r="K7491" t="b">
        <v>1</v>
      </c>
    </row>
    <row r="7492" spans="1:11">
      <c r="A7492" s="12">
        <v>42577</v>
      </c>
      <c r="B7492">
        <v>2016</v>
      </c>
      <c r="C7492">
        <v>7</v>
      </c>
      <c r="D7492" s="11">
        <v>42552</v>
      </c>
      <c r="E7492" t="s">
        <v>2179</v>
      </c>
      <c r="F7492">
        <v>2</v>
      </c>
      <c r="G7492" t="s">
        <v>63</v>
      </c>
      <c r="H7492" t="s">
        <v>42</v>
      </c>
      <c r="I7492" t="s">
        <v>2190</v>
      </c>
      <c r="J7492" s="10">
        <v>1</v>
      </c>
      <c r="K7492" t="b">
        <v>1</v>
      </c>
    </row>
    <row r="7493" spans="1:11">
      <c r="A7493" s="12">
        <v>42577</v>
      </c>
      <c r="B7493">
        <v>2016</v>
      </c>
      <c r="C7493">
        <v>7</v>
      </c>
      <c r="D7493" s="11">
        <v>42552</v>
      </c>
      <c r="E7493" t="s">
        <v>2179</v>
      </c>
      <c r="F7493">
        <v>2</v>
      </c>
      <c r="G7493" t="s">
        <v>63</v>
      </c>
      <c r="H7493" t="s">
        <v>43</v>
      </c>
      <c r="I7493" t="s">
        <v>2191</v>
      </c>
      <c r="J7493" s="10">
        <v>10</v>
      </c>
      <c r="K7493" t="b">
        <v>1</v>
      </c>
    </row>
    <row r="7494" spans="1:11">
      <c r="A7494" s="12">
        <v>42577</v>
      </c>
      <c r="B7494">
        <v>2016</v>
      </c>
      <c r="C7494">
        <v>7</v>
      </c>
      <c r="D7494" s="11">
        <v>42552</v>
      </c>
      <c r="E7494" t="s">
        <v>2179</v>
      </c>
      <c r="F7494">
        <v>2</v>
      </c>
      <c r="G7494" t="s">
        <v>63</v>
      </c>
      <c r="H7494" t="s">
        <v>44</v>
      </c>
      <c r="I7494" t="s">
        <v>2192</v>
      </c>
      <c r="J7494" s="10">
        <v>16</v>
      </c>
      <c r="K7494" t="b">
        <v>1</v>
      </c>
    </row>
    <row r="7495" spans="1:11">
      <c r="A7495" s="12">
        <v>42577</v>
      </c>
      <c r="B7495">
        <v>2016</v>
      </c>
      <c r="C7495">
        <v>7</v>
      </c>
      <c r="D7495" s="11">
        <v>42552</v>
      </c>
      <c r="E7495" t="s">
        <v>2179</v>
      </c>
      <c r="F7495">
        <v>2</v>
      </c>
      <c r="G7495" t="s">
        <v>63</v>
      </c>
      <c r="H7495" t="s">
        <v>45</v>
      </c>
      <c r="I7495" t="s">
        <v>2193</v>
      </c>
      <c r="J7495" s="10">
        <v>0</v>
      </c>
      <c r="K7495" t="b">
        <v>1</v>
      </c>
    </row>
    <row r="7496" spans="1:11">
      <c r="A7496" s="12">
        <v>42577</v>
      </c>
      <c r="B7496">
        <v>2016</v>
      </c>
      <c r="C7496">
        <v>7</v>
      </c>
      <c r="D7496" s="11">
        <v>42552</v>
      </c>
      <c r="E7496" t="s">
        <v>2179</v>
      </c>
      <c r="F7496">
        <v>2</v>
      </c>
      <c r="G7496" t="s">
        <v>63</v>
      </c>
      <c r="H7496" t="s">
        <v>46</v>
      </c>
      <c r="I7496" t="s">
        <v>2194</v>
      </c>
      <c r="J7496" s="10">
        <v>0</v>
      </c>
      <c r="K7496" t="b">
        <v>1</v>
      </c>
    </row>
    <row r="7497" spans="1:11">
      <c r="A7497" s="12">
        <v>42577</v>
      </c>
      <c r="B7497">
        <v>2016</v>
      </c>
      <c r="C7497">
        <v>7</v>
      </c>
      <c r="D7497" s="11">
        <v>42552</v>
      </c>
      <c r="E7497" t="s">
        <v>2179</v>
      </c>
      <c r="F7497">
        <v>2</v>
      </c>
      <c r="G7497" t="s">
        <v>63</v>
      </c>
      <c r="H7497" t="s">
        <v>47</v>
      </c>
      <c r="I7497" t="s">
        <v>2195</v>
      </c>
      <c r="J7497" s="10">
        <v>2</v>
      </c>
      <c r="K7497" t="b">
        <v>1</v>
      </c>
    </row>
    <row r="7498" spans="1:11">
      <c r="A7498" s="12">
        <v>42578</v>
      </c>
      <c r="B7498">
        <v>2016</v>
      </c>
      <c r="C7498">
        <v>7</v>
      </c>
      <c r="D7498" s="11">
        <v>42552</v>
      </c>
      <c r="E7498" t="s">
        <v>2179</v>
      </c>
      <c r="F7498">
        <v>3</v>
      </c>
      <c r="G7498" t="s">
        <v>65</v>
      </c>
      <c r="H7498" t="s">
        <v>40</v>
      </c>
      <c r="I7498" t="s">
        <v>2188</v>
      </c>
      <c r="J7498" s="10">
        <v>3</v>
      </c>
      <c r="K7498" t="b">
        <v>1</v>
      </c>
    </row>
    <row r="7499" spans="1:11">
      <c r="A7499" s="12">
        <v>42578</v>
      </c>
      <c r="B7499">
        <v>2016</v>
      </c>
      <c r="C7499">
        <v>7</v>
      </c>
      <c r="D7499" s="11">
        <v>42552</v>
      </c>
      <c r="E7499" t="s">
        <v>2179</v>
      </c>
      <c r="F7499">
        <v>3</v>
      </c>
      <c r="G7499" t="s">
        <v>65</v>
      </c>
      <c r="H7499" t="s">
        <v>41</v>
      </c>
      <c r="I7499" t="s">
        <v>2189</v>
      </c>
      <c r="J7499" s="10">
        <v>6.33</v>
      </c>
      <c r="K7499" t="b">
        <v>1</v>
      </c>
    </row>
    <row r="7500" spans="1:11">
      <c r="A7500" s="12">
        <v>42578</v>
      </c>
      <c r="B7500">
        <v>2016</v>
      </c>
      <c r="C7500">
        <v>7</v>
      </c>
      <c r="D7500" s="11">
        <v>42552</v>
      </c>
      <c r="E7500" t="s">
        <v>2179</v>
      </c>
      <c r="F7500">
        <v>3</v>
      </c>
      <c r="G7500" t="s">
        <v>65</v>
      </c>
      <c r="H7500" t="s">
        <v>42</v>
      </c>
      <c r="I7500" t="s">
        <v>2190</v>
      </c>
      <c r="J7500" s="10">
        <v>4.15</v>
      </c>
      <c r="K7500" t="b">
        <v>1</v>
      </c>
    </row>
    <row r="7501" spans="1:11">
      <c r="A7501" s="12">
        <v>42578</v>
      </c>
      <c r="B7501">
        <v>2016</v>
      </c>
      <c r="C7501">
        <v>7</v>
      </c>
      <c r="D7501" s="11">
        <v>42552</v>
      </c>
      <c r="E7501" t="s">
        <v>2179</v>
      </c>
      <c r="F7501">
        <v>3</v>
      </c>
      <c r="G7501" t="s">
        <v>65</v>
      </c>
      <c r="H7501" t="s">
        <v>43</v>
      </c>
      <c r="I7501" t="s">
        <v>2191</v>
      </c>
      <c r="J7501" s="10">
        <v>10</v>
      </c>
      <c r="K7501" t="b">
        <v>1</v>
      </c>
    </row>
    <row r="7502" spans="1:11">
      <c r="A7502" s="12">
        <v>42578</v>
      </c>
      <c r="B7502">
        <v>2016</v>
      </c>
      <c r="C7502">
        <v>7</v>
      </c>
      <c r="D7502" s="11">
        <v>42552</v>
      </c>
      <c r="E7502" t="s">
        <v>2179</v>
      </c>
      <c r="F7502">
        <v>3</v>
      </c>
      <c r="G7502" t="s">
        <v>65</v>
      </c>
      <c r="H7502" t="s">
        <v>44</v>
      </c>
      <c r="I7502" t="s">
        <v>2192</v>
      </c>
      <c r="J7502" s="10">
        <v>4</v>
      </c>
      <c r="K7502" t="b">
        <v>1</v>
      </c>
    </row>
    <row r="7503" spans="1:11">
      <c r="A7503" s="12">
        <v>42578</v>
      </c>
      <c r="B7503">
        <v>2016</v>
      </c>
      <c r="C7503">
        <v>7</v>
      </c>
      <c r="D7503" s="11">
        <v>42552</v>
      </c>
      <c r="E7503" t="s">
        <v>2179</v>
      </c>
      <c r="F7503">
        <v>3</v>
      </c>
      <c r="G7503" t="s">
        <v>65</v>
      </c>
      <c r="H7503" t="s">
        <v>45</v>
      </c>
      <c r="I7503" t="s">
        <v>2193</v>
      </c>
      <c r="J7503" s="10">
        <v>1</v>
      </c>
      <c r="K7503" t="b">
        <v>1</v>
      </c>
    </row>
    <row r="7504" spans="1:11">
      <c r="A7504" s="12">
        <v>42578</v>
      </c>
      <c r="B7504">
        <v>2016</v>
      </c>
      <c r="C7504">
        <v>7</v>
      </c>
      <c r="D7504" s="11">
        <v>42552</v>
      </c>
      <c r="E7504" t="s">
        <v>2179</v>
      </c>
      <c r="F7504">
        <v>3</v>
      </c>
      <c r="G7504" t="s">
        <v>65</v>
      </c>
      <c r="H7504" t="s">
        <v>46</v>
      </c>
      <c r="I7504" t="s">
        <v>2194</v>
      </c>
      <c r="J7504" s="10">
        <v>9</v>
      </c>
      <c r="K7504" t="b">
        <v>1</v>
      </c>
    </row>
    <row r="7505" spans="1:11">
      <c r="A7505" s="12">
        <v>42578</v>
      </c>
      <c r="B7505">
        <v>2016</v>
      </c>
      <c r="C7505">
        <v>7</v>
      </c>
      <c r="D7505" s="11">
        <v>42552</v>
      </c>
      <c r="E7505" t="s">
        <v>2179</v>
      </c>
      <c r="F7505">
        <v>3</v>
      </c>
      <c r="G7505" t="s">
        <v>65</v>
      </c>
      <c r="H7505" t="s">
        <v>47</v>
      </c>
      <c r="I7505" t="s">
        <v>2195</v>
      </c>
      <c r="J7505" s="10">
        <v>2</v>
      </c>
      <c r="K7505" t="b">
        <v>1</v>
      </c>
    </row>
    <row r="7506" spans="1:11">
      <c r="A7506" s="12">
        <v>42579</v>
      </c>
      <c r="B7506">
        <v>2016</v>
      </c>
      <c r="C7506">
        <v>7</v>
      </c>
      <c r="D7506" s="11">
        <v>42552</v>
      </c>
      <c r="E7506" t="s">
        <v>2179</v>
      </c>
      <c r="F7506">
        <v>4</v>
      </c>
      <c r="G7506" t="s">
        <v>53</v>
      </c>
      <c r="H7506" t="s">
        <v>40</v>
      </c>
      <c r="I7506" t="s">
        <v>2188</v>
      </c>
      <c r="J7506" s="10">
        <v>9.67</v>
      </c>
      <c r="K7506" t="b">
        <v>1</v>
      </c>
    </row>
    <row r="7507" spans="1:11">
      <c r="A7507" s="12">
        <v>42579</v>
      </c>
      <c r="B7507">
        <v>2016</v>
      </c>
      <c r="C7507">
        <v>7</v>
      </c>
      <c r="D7507" s="11">
        <v>42552</v>
      </c>
      <c r="E7507" t="s">
        <v>2179</v>
      </c>
      <c r="F7507">
        <v>4</v>
      </c>
      <c r="G7507" t="s">
        <v>53</v>
      </c>
      <c r="H7507" t="s">
        <v>41</v>
      </c>
      <c r="I7507" t="s">
        <v>2189</v>
      </c>
      <c r="J7507" s="10">
        <v>3.99</v>
      </c>
      <c r="K7507" t="b">
        <v>1</v>
      </c>
    </row>
    <row r="7508" spans="1:11">
      <c r="A7508" s="12">
        <v>42579</v>
      </c>
      <c r="B7508">
        <v>2016</v>
      </c>
      <c r="C7508">
        <v>7</v>
      </c>
      <c r="D7508" s="11">
        <v>42552</v>
      </c>
      <c r="E7508" t="s">
        <v>2179</v>
      </c>
      <c r="F7508">
        <v>4</v>
      </c>
      <c r="G7508" t="s">
        <v>53</v>
      </c>
      <c r="H7508" t="s">
        <v>42</v>
      </c>
      <c r="I7508" t="s">
        <v>2190</v>
      </c>
      <c r="J7508" s="10">
        <v>4</v>
      </c>
      <c r="K7508" t="b">
        <v>1</v>
      </c>
    </row>
    <row r="7509" spans="1:11">
      <c r="A7509" s="12">
        <v>42579</v>
      </c>
      <c r="B7509">
        <v>2016</v>
      </c>
      <c r="C7509">
        <v>7</v>
      </c>
      <c r="D7509" s="11">
        <v>42552</v>
      </c>
      <c r="E7509" t="s">
        <v>2179</v>
      </c>
      <c r="F7509">
        <v>4</v>
      </c>
      <c r="G7509" t="s">
        <v>53</v>
      </c>
      <c r="H7509" t="s">
        <v>43</v>
      </c>
      <c r="I7509" t="s">
        <v>2191</v>
      </c>
      <c r="J7509" s="10">
        <v>22.5</v>
      </c>
      <c r="K7509" t="b">
        <v>1</v>
      </c>
    </row>
    <row r="7510" spans="1:11">
      <c r="A7510" s="12">
        <v>42579</v>
      </c>
      <c r="B7510">
        <v>2016</v>
      </c>
      <c r="C7510">
        <v>7</v>
      </c>
      <c r="D7510" s="11">
        <v>42552</v>
      </c>
      <c r="E7510" t="s">
        <v>2179</v>
      </c>
      <c r="F7510">
        <v>4</v>
      </c>
      <c r="G7510" t="s">
        <v>53</v>
      </c>
      <c r="H7510" t="s">
        <v>44</v>
      </c>
      <c r="I7510" t="s">
        <v>2192</v>
      </c>
      <c r="J7510" s="10">
        <v>12</v>
      </c>
      <c r="K7510" t="b">
        <v>1</v>
      </c>
    </row>
    <row r="7511" spans="1:11">
      <c r="A7511" s="12">
        <v>42579</v>
      </c>
      <c r="B7511">
        <v>2016</v>
      </c>
      <c r="C7511">
        <v>7</v>
      </c>
      <c r="D7511" s="11">
        <v>42552</v>
      </c>
      <c r="E7511" t="s">
        <v>2179</v>
      </c>
      <c r="F7511">
        <v>4</v>
      </c>
      <c r="G7511" t="s">
        <v>53</v>
      </c>
      <c r="H7511" t="s">
        <v>45</v>
      </c>
      <c r="I7511" t="s">
        <v>2193</v>
      </c>
      <c r="J7511" s="10">
        <v>1</v>
      </c>
      <c r="K7511" t="b">
        <v>1</v>
      </c>
    </row>
    <row r="7512" spans="1:11">
      <c r="A7512" s="12">
        <v>42579</v>
      </c>
      <c r="B7512">
        <v>2016</v>
      </c>
      <c r="C7512">
        <v>7</v>
      </c>
      <c r="D7512" s="11">
        <v>42552</v>
      </c>
      <c r="E7512" t="s">
        <v>2179</v>
      </c>
      <c r="F7512">
        <v>4</v>
      </c>
      <c r="G7512" t="s">
        <v>53</v>
      </c>
      <c r="H7512" t="s">
        <v>46</v>
      </c>
      <c r="I7512" t="s">
        <v>2194</v>
      </c>
      <c r="J7512" s="10">
        <v>5</v>
      </c>
      <c r="K7512" t="b">
        <v>1</v>
      </c>
    </row>
    <row r="7513" spans="1:11">
      <c r="A7513" s="12">
        <v>42579</v>
      </c>
      <c r="B7513">
        <v>2016</v>
      </c>
      <c r="C7513">
        <v>7</v>
      </c>
      <c r="D7513" s="11">
        <v>42552</v>
      </c>
      <c r="E7513" t="s">
        <v>2179</v>
      </c>
      <c r="F7513">
        <v>4</v>
      </c>
      <c r="G7513" t="s">
        <v>53</v>
      </c>
      <c r="H7513" t="s">
        <v>47</v>
      </c>
      <c r="I7513" t="s">
        <v>2195</v>
      </c>
      <c r="J7513" s="10">
        <v>3</v>
      </c>
      <c r="K7513" t="b">
        <v>1</v>
      </c>
    </row>
    <row r="7514" spans="1:11">
      <c r="A7514" s="12">
        <v>42580</v>
      </c>
      <c r="B7514">
        <v>2016</v>
      </c>
      <c r="C7514">
        <v>7</v>
      </c>
      <c r="D7514" s="11">
        <v>42552</v>
      </c>
      <c r="E7514" t="s">
        <v>2179</v>
      </c>
      <c r="F7514">
        <v>5</v>
      </c>
      <c r="G7514" t="s">
        <v>55</v>
      </c>
      <c r="H7514" t="s">
        <v>40</v>
      </c>
      <c r="I7514" t="s">
        <v>2188</v>
      </c>
      <c r="J7514" s="10">
        <v>9.99</v>
      </c>
      <c r="K7514" t="b">
        <v>1</v>
      </c>
    </row>
    <row r="7515" spans="1:11">
      <c r="A7515" s="12">
        <v>42580</v>
      </c>
      <c r="B7515">
        <v>2016</v>
      </c>
      <c r="C7515">
        <v>7</v>
      </c>
      <c r="D7515" s="11">
        <v>42552</v>
      </c>
      <c r="E7515" t="s">
        <v>2179</v>
      </c>
      <c r="F7515">
        <v>5</v>
      </c>
      <c r="G7515" t="s">
        <v>55</v>
      </c>
      <c r="H7515" t="s">
        <v>41</v>
      </c>
      <c r="I7515" t="s">
        <v>2189</v>
      </c>
      <c r="J7515" s="10">
        <v>4.51</v>
      </c>
      <c r="K7515" t="b">
        <v>1</v>
      </c>
    </row>
    <row r="7516" spans="1:11">
      <c r="A7516" s="12">
        <v>42580</v>
      </c>
      <c r="B7516">
        <v>2016</v>
      </c>
      <c r="C7516">
        <v>7</v>
      </c>
      <c r="D7516" s="11">
        <v>42552</v>
      </c>
      <c r="E7516" t="s">
        <v>2179</v>
      </c>
      <c r="F7516">
        <v>5</v>
      </c>
      <c r="G7516" t="s">
        <v>55</v>
      </c>
      <c r="H7516" t="s">
        <v>42</v>
      </c>
      <c r="I7516" t="s">
        <v>2190</v>
      </c>
      <c r="J7516" s="10">
        <v>6</v>
      </c>
      <c r="K7516" t="b">
        <v>1</v>
      </c>
    </row>
    <row r="7517" spans="1:11">
      <c r="A7517" s="12">
        <v>42580</v>
      </c>
      <c r="B7517">
        <v>2016</v>
      </c>
      <c r="C7517">
        <v>7</v>
      </c>
      <c r="D7517" s="11">
        <v>42552</v>
      </c>
      <c r="E7517" t="s">
        <v>2179</v>
      </c>
      <c r="F7517">
        <v>5</v>
      </c>
      <c r="G7517" t="s">
        <v>55</v>
      </c>
      <c r="H7517" t="s">
        <v>43</v>
      </c>
      <c r="I7517" t="s">
        <v>2191</v>
      </c>
      <c r="J7517" s="10">
        <v>11</v>
      </c>
      <c r="K7517" t="b">
        <v>1</v>
      </c>
    </row>
    <row r="7518" spans="1:11">
      <c r="A7518" s="12">
        <v>42580</v>
      </c>
      <c r="B7518">
        <v>2016</v>
      </c>
      <c r="C7518">
        <v>7</v>
      </c>
      <c r="D7518" s="11">
        <v>42552</v>
      </c>
      <c r="E7518" t="s">
        <v>2179</v>
      </c>
      <c r="F7518">
        <v>5</v>
      </c>
      <c r="G7518" t="s">
        <v>55</v>
      </c>
      <c r="H7518" t="s">
        <v>44</v>
      </c>
      <c r="I7518" t="s">
        <v>2192</v>
      </c>
      <c r="J7518" s="10">
        <v>17</v>
      </c>
      <c r="K7518" t="b">
        <v>1</v>
      </c>
    </row>
    <row r="7519" spans="1:11">
      <c r="A7519" s="12">
        <v>42580</v>
      </c>
      <c r="B7519">
        <v>2016</v>
      </c>
      <c r="C7519">
        <v>7</v>
      </c>
      <c r="D7519" s="11">
        <v>42552</v>
      </c>
      <c r="E7519" t="s">
        <v>2179</v>
      </c>
      <c r="F7519">
        <v>5</v>
      </c>
      <c r="G7519" t="s">
        <v>55</v>
      </c>
      <c r="H7519" t="s">
        <v>45</v>
      </c>
      <c r="I7519" t="s">
        <v>2193</v>
      </c>
      <c r="J7519" s="10">
        <v>1</v>
      </c>
      <c r="K7519" t="b">
        <v>1</v>
      </c>
    </row>
    <row r="7520" spans="1:11">
      <c r="A7520" s="12">
        <v>42580</v>
      </c>
      <c r="B7520">
        <v>2016</v>
      </c>
      <c r="C7520">
        <v>7</v>
      </c>
      <c r="D7520" s="11">
        <v>42552</v>
      </c>
      <c r="E7520" t="s">
        <v>2179</v>
      </c>
      <c r="F7520">
        <v>5</v>
      </c>
      <c r="G7520" t="s">
        <v>55</v>
      </c>
      <c r="H7520" t="s">
        <v>46</v>
      </c>
      <c r="I7520" t="s">
        <v>2194</v>
      </c>
      <c r="J7520" s="10">
        <v>11</v>
      </c>
      <c r="K7520" t="b">
        <v>1</v>
      </c>
    </row>
    <row r="7521" spans="1:11">
      <c r="A7521" s="12">
        <v>42580</v>
      </c>
      <c r="B7521">
        <v>2016</v>
      </c>
      <c r="C7521">
        <v>7</v>
      </c>
      <c r="D7521" s="11">
        <v>42552</v>
      </c>
      <c r="E7521" t="s">
        <v>2179</v>
      </c>
      <c r="F7521">
        <v>5</v>
      </c>
      <c r="G7521" t="s">
        <v>55</v>
      </c>
      <c r="H7521" t="s">
        <v>47</v>
      </c>
      <c r="I7521" t="s">
        <v>2195</v>
      </c>
      <c r="J7521" s="10">
        <v>2</v>
      </c>
      <c r="K7521" t="b">
        <v>1</v>
      </c>
    </row>
    <row r="7522" spans="1:11">
      <c r="A7522" s="12">
        <v>42581</v>
      </c>
      <c r="B7522">
        <v>2016</v>
      </c>
      <c r="C7522">
        <v>7</v>
      </c>
      <c r="D7522" s="11">
        <v>42552</v>
      </c>
      <c r="E7522" t="s">
        <v>2179</v>
      </c>
      <c r="F7522">
        <v>6</v>
      </c>
      <c r="G7522" t="s">
        <v>57</v>
      </c>
      <c r="H7522" t="s">
        <v>40</v>
      </c>
      <c r="I7522" t="s">
        <v>2188</v>
      </c>
      <c r="J7522" s="10">
        <v>6.33</v>
      </c>
      <c r="K7522" t="b">
        <v>1</v>
      </c>
    </row>
    <row r="7523" spans="1:11">
      <c r="A7523" s="12">
        <v>42581</v>
      </c>
      <c r="B7523">
        <v>2016</v>
      </c>
      <c r="C7523">
        <v>7</v>
      </c>
      <c r="D7523" s="11">
        <v>42552</v>
      </c>
      <c r="E7523" t="s">
        <v>2179</v>
      </c>
      <c r="F7523">
        <v>6</v>
      </c>
      <c r="G7523" t="s">
        <v>57</v>
      </c>
      <c r="H7523" t="s">
        <v>41</v>
      </c>
      <c r="I7523" t="s">
        <v>2189</v>
      </c>
      <c r="J7523" s="10">
        <v>3.99</v>
      </c>
      <c r="K7523" t="b">
        <v>1</v>
      </c>
    </row>
    <row r="7524" spans="1:11">
      <c r="A7524" s="12">
        <v>42581</v>
      </c>
      <c r="B7524">
        <v>2016</v>
      </c>
      <c r="C7524">
        <v>7</v>
      </c>
      <c r="D7524" s="11">
        <v>42552</v>
      </c>
      <c r="E7524" t="s">
        <v>2179</v>
      </c>
      <c r="F7524">
        <v>6</v>
      </c>
      <c r="G7524" t="s">
        <v>57</v>
      </c>
      <c r="H7524" t="s">
        <v>42</v>
      </c>
      <c r="I7524" t="s">
        <v>2190</v>
      </c>
      <c r="J7524" s="10">
        <v>4</v>
      </c>
      <c r="K7524" t="b">
        <v>1</v>
      </c>
    </row>
    <row r="7525" spans="1:11">
      <c r="A7525" s="12">
        <v>42581</v>
      </c>
      <c r="B7525">
        <v>2016</v>
      </c>
      <c r="C7525">
        <v>7</v>
      </c>
      <c r="D7525" s="11">
        <v>42552</v>
      </c>
      <c r="E7525" t="s">
        <v>2179</v>
      </c>
      <c r="F7525">
        <v>6</v>
      </c>
      <c r="G7525" t="s">
        <v>57</v>
      </c>
      <c r="H7525" t="s">
        <v>43</v>
      </c>
      <c r="I7525" t="s">
        <v>2191</v>
      </c>
      <c r="J7525" s="10">
        <v>37</v>
      </c>
      <c r="K7525" t="b">
        <v>1</v>
      </c>
    </row>
    <row r="7526" spans="1:11">
      <c r="A7526" s="12">
        <v>42581</v>
      </c>
      <c r="B7526">
        <v>2016</v>
      </c>
      <c r="C7526">
        <v>7</v>
      </c>
      <c r="D7526" s="11">
        <v>42552</v>
      </c>
      <c r="E7526" t="s">
        <v>2179</v>
      </c>
      <c r="F7526">
        <v>6</v>
      </c>
      <c r="G7526" t="s">
        <v>57</v>
      </c>
      <c r="H7526" t="s">
        <v>44</v>
      </c>
      <c r="I7526" t="s">
        <v>2192</v>
      </c>
      <c r="J7526" s="10">
        <v>7</v>
      </c>
      <c r="K7526" t="b">
        <v>1</v>
      </c>
    </row>
    <row r="7527" spans="1:11">
      <c r="A7527" s="12">
        <v>42581</v>
      </c>
      <c r="B7527">
        <v>2016</v>
      </c>
      <c r="C7527">
        <v>7</v>
      </c>
      <c r="D7527" s="11">
        <v>42552</v>
      </c>
      <c r="E7527" t="s">
        <v>2179</v>
      </c>
      <c r="F7527">
        <v>6</v>
      </c>
      <c r="G7527" t="s">
        <v>57</v>
      </c>
      <c r="H7527" t="s">
        <v>45</v>
      </c>
      <c r="I7527" t="s">
        <v>2193</v>
      </c>
      <c r="J7527" s="10">
        <v>0</v>
      </c>
      <c r="K7527" t="b">
        <v>1</v>
      </c>
    </row>
    <row r="7528" spans="1:11">
      <c r="A7528" s="12">
        <v>42581</v>
      </c>
      <c r="B7528">
        <v>2016</v>
      </c>
      <c r="C7528">
        <v>7</v>
      </c>
      <c r="D7528" s="11">
        <v>42552</v>
      </c>
      <c r="E7528" t="s">
        <v>2179</v>
      </c>
      <c r="F7528">
        <v>6</v>
      </c>
      <c r="G7528" t="s">
        <v>57</v>
      </c>
      <c r="H7528" t="s">
        <v>46</v>
      </c>
      <c r="I7528" t="s">
        <v>2194</v>
      </c>
      <c r="J7528" s="10">
        <v>1</v>
      </c>
      <c r="K7528" t="b">
        <v>1</v>
      </c>
    </row>
    <row r="7529" spans="1:11">
      <c r="A7529" s="12">
        <v>42581</v>
      </c>
      <c r="B7529">
        <v>2016</v>
      </c>
      <c r="C7529">
        <v>7</v>
      </c>
      <c r="D7529" s="11">
        <v>42552</v>
      </c>
      <c r="E7529" t="s">
        <v>2179</v>
      </c>
      <c r="F7529">
        <v>6</v>
      </c>
      <c r="G7529" t="s">
        <v>57</v>
      </c>
      <c r="H7529" t="s">
        <v>47</v>
      </c>
      <c r="I7529" t="s">
        <v>2195</v>
      </c>
      <c r="J7529" s="10">
        <v>6</v>
      </c>
      <c r="K7529" t="b">
        <v>1</v>
      </c>
    </row>
    <row r="7530" spans="1:11">
      <c r="A7530" s="12">
        <v>42582</v>
      </c>
      <c r="B7530">
        <v>2016</v>
      </c>
      <c r="C7530">
        <v>7</v>
      </c>
      <c r="D7530" s="11">
        <v>42552</v>
      </c>
      <c r="E7530" t="s">
        <v>2179</v>
      </c>
      <c r="F7530">
        <v>7</v>
      </c>
      <c r="G7530" t="s">
        <v>59</v>
      </c>
      <c r="H7530" t="s">
        <v>40</v>
      </c>
      <c r="I7530" t="s">
        <v>2188</v>
      </c>
      <c r="J7530" s="10">
        <v>6</v>
      </c>
      <c r="K7530" t="b">
        <v>1</v>
      </c>
    </row>
    <row r="7531" spans="1:11">
      <c r="A7531" s="12">
        <v>42582</v>
      </c>
      <c r="B7531">
        <v>2016</v>
      </c>
      <c r="C7531">
        <v>7</v>
      </c>
      <c r="D7531" s="11">
        <v>42552</v>
      </c>
      <c r="E7531" t="s">
        <v>2179</v>
      </c>
      <c r="F7531">
        <v>7</v>
      </c>
      <c r="G7531" t="s">
        <v>59</v>
      </c>
      <c r="H7531" t="s">
        <v>41</v>
      </c>
      <c r="I7531" t="s">
        <v>2189</v>
      </c>
      <c r="J7531" s="10">
        <v>5.01</v>
      </c>
      <c r="K7531" t="b">
        <v>1</v>
      </c>
    </row>
    <row r="7532" spans="1:11">
      <c r="A7532" s="12">
        <v>42582</v>
      </c>
      <c r="B7532">
        <v>2016</v>
      </c>
      <c r="C7532">
        <v>7</v>
      </c>
      <c r="D7532" s="11">
        <v>42552</v>
      </c>
      <c r="E7532" t="s">
        <v>2179</v>
      </c>
      <c r="F7532">
        <v>7</v>
      </c>
      <c r="G7532" t="s">
        <v>59</v>
      </c>
      <c r="H7532" t="s">
        <v>42</v>
      </c>
      <c r="I7532" t="s">
        <v>2190</v>
      </c>
      <c r="J7532" s="10">
        <v>4.5</v>
      </c>
      <c r="K7532" t="b">
        <v>1</v>
      </c>
    </row>
    <row r="7533" spans="1:11">
      <c r="A7533" s="12">
        <v>42582</v>
      </c>
      <c r="B7533">
        <v>2016</v>
      </c>
      <c r="C7533">
        <v>7</v>
      </c>
      <c r="D7533" s="11">
        <v>42552</v>
      </c>
      <c r="E7533" t="s">
        <v>2179</v>
      </c>
      <c r="F7533">
        <v>7</v>
      </c>
      <c r="G7533" t="s">
        <v>59</v>
      </c>
      <c r="H7533" t="s">
        <v>43</v>
      </c>
      <c r="I7533" t="s">
        <v>2191</v>
      </c>
      <c r="J7533" s="10">
        <v>22</v>
      </c>
      <c r="K7533" t="b">
        <v>1</v>
      </c>
    </row>
    <row r="7534" spans="1:11">
      <c r="A7534" s="12">
        <v>42582</v>
      </c>
      <c r="B7534">
        <v>2016</v>
      </c>
      <c r="C7534">
        <v>7</v>
      </c>
      <c r="D7534" s="11">
        <v>42552</v>
      </c>
      <c r="E7534" t="s">
        <v>2179</v>
      </c>
      <c r="F7534">
        <v>7</v>
      </c>
      <c r="G7534" t="s">
        <v>59</v>
      </c>
      <c r="H7534" t="s">
        <v>44</v>
      </c>
      <c r="I7534" t="s">
        <v>2192</v>
      </c>
      <c r="J7534" s="10">
        <v>5</v>
      </c>
      <c r="K7534" t="b">
        <v>1</v>
      </c>
    </row>
    <row r="7535" spans="1:11">
      <c r="A7535" s="12">
        <v>42582</v>
      </c>
      <c r="B7535">
        <v>2016</v>
      </c>
      <c r="C7535">
        <v>7</v>
      </c>
      <c r="D7535" s="11">
        <v>42552</v>
      </c>
      <c r="E7535" t="s">
        <v>2179</v>
      </c>
      <c r="F7535">
        <v>7</v>
      </c>
      <c r="G7535" t="s">
        <v>59</v>
      </c>
      <c r="H7535" t="s">
        <v>45</v>
      </c>
      <c r="I7535" t="s">
        <v>2193</v>
      </c>
      <c r="J7535" s="10">
        <v>0</v>
      </c>
      <c r="K7535" t="b">
        <v>1</v>
      </c>
    </row>
    <row r="7536" spans="1:11">
      <c r="A7536" s="12">
        <v>42582</v>
      </c>
      <c r="B7536">
        <v>2016</v>
      </c>
      <c r="C7536">
        <v>7</v>
      </c>
      <c r="D7536" s="11">
        <v>42552</v>
      </c>
      <c r="E7536" t="s">
        <v>2179</v>
      </c>
      <c r="F7536">
        <v>7</v>
      </c>
      <c r="G7536" t="s">
        <v>59</v>
      </c>
      <c r="H7536" t="s">
        <v>46</v>
      </c>
      <c r="I7536" t="s">
        <v>2194</v>
      </c>
      <c r="J7536" s="10">
        <v>0</v>
      </c>
      <c r="K7536" t="b">
        <v>1</v>
      </c>
    </row>
    <row r="7537" spans="1:11">
      <c r="A7537" s="12">
        <v>42582</v>
      </c>
      <c r="B7537">
        <v>2016</v>
      </c>
      <c r="C7537">
        <v>7</v>
      </c>
      <c r="D7537" s="11">
        <v>42552</v>
      </c>
      <c r="E7537" t="s">
        <v>2179</v>
      </c>
      <c r="F7537">
        <v>7</v>
      </c>
      <c r="G7537" t="s">
        <v>59</v>
      </c>
      <c r="H7537" t="s">
        <v>47</v>
      </c>
      <c r="I7537" t="s">
        <v>2195</v>
      </c>
      <c r="J7537" s="10">
        <v>4</v>
      </c>
      <c r="K7537" t="b">
        <v>1</v>
      </c>
    </row>
    <row r="7538" spans="1:11">
      <c r="A7538" s="12">
        <v>42583</v>
      </c>
      <c r="B7538">
        <v>2016</v>
      </c>
      <c r="C7538">
        <v>8</v>
      </c>
      <c r="D7538" s="11">
        <v>42583</v>
      </c>
      <c r="E7538" t="s">
        <v>2180</v>
      </c>
      <c r="F7538">
        <v>1</v>
      </c>
      <c r="G7538" t="s">
        <v>61</v>
      </c>
      <c r="H7538" t="s">
        <v>40</v>
      </c>
      <c r="I7538" t="s">
        <v>2188</v>
      </c>
      <c r="J7538" s="10">
        <v>8.33</v>
      </c>
      <c r="K7538" t="b">
        <v>1</v>
      </c>
    </row>
    <row r="7539" spans="1:11">
      <c r="A7539" s="12">
        <v>42583</v>
      </c>
      <c r="B7539">
        <v>2016</v>
      </c>
      <c r="C7539">
        <v>8</v>
      </c>
      <c r="D7539" s="11">
        <v>42583</v>
      </c>
      <c r="E7539" t="s">
        <v>2180</v>
      </c>
      <c r="F7539">
        <v>1</v>
      </c>
      <c r="G7539" t="s">
        <v>61</v>
      </c>
      <c r="H7539" t="s">
        <v>41</v>
      </c>
      <c r="I7539" t="s">
        <v>2189</v>
      </c>
      <c r="J7539" s="10">
        <v>1.396</v>
      </c>
      <c r="K7539" t="b">
        <v>1</v>
      </c>
    </row>
    <row r="7540" spans="1:11">
      <c r="A7540" s="12">
        <v>42583</v>
      </c>
      <c r="B7540">
        <v>2016</v>
      </c>
      <c r="C7540">
        <v>8</v>
      </c>
      <c r="D7540" s="11">
        <v>42583</v>
      </c>
      <c r="E7540" t="s">
        <v>2180</v>
      </c>
      <c r="F7540">
        <v>1</v>
      </c>
      <c r="G7540" t="s">
        <v>61</v>
      </c>
      <c r="H7540" t="s">
        <v>42</v>
      </c>
      <c r="I7540" t="s">
        <v>2190</v>
      </c>
      <c r="J7540" s="10">
        <v>5</v>
      </c>
      <c r="K7540" t="b">
        <v>1</v>
      </c>
    </row>
    <row r="7541" spans="1:11">
      <c r="A7541" s="12">
        <v>42583</v>
      </c>
      <c r="B7541">
        <v>2016</v>
      </c>
      <c r="C7541">
        <v>8</v>
      </c>
      <c r="D7541" s="11">
        <v>42583</v>
      </c>
      <c r="E7541" t="s">
        <v>2180</v>
      </c>
      <c r="F7541">
        <v>1</v>
      </c>
      <c r="G7541" t="s">
        <v>61</v>
      </c>
      <c r="H7541" t="s">
        <v>43</v>
      </c>
      <c r="I7541" t="s">
        <v>2191</v>
      </c>
      <c r="J7541" s="10">
        <v>14</v>
      </c>
      <c r="K7541" t="b">
        <v>1</v>
      </c>
    </row>
    <row r="7542" spans="1:11">
      <c r="A7542" s="12">
        <v>42583</v>
      </c>
      <c r="B7542">
        <v>2016</v>
      </c>
      <c r="C7542">
        <v>8</v>
      </c>
      <c r="D7542" s="11">
        <v>42583</v>
      </c>
      <c r="E7542" t="s">
        <v>2180</v>
      </c>
      <c r="F7542">
        <v>1</v>
      </c>
      <c r="G7542" t="s">
        <v>61</v>
      </c>
      <c r="H7542" t="s">
        <v>44</v>
      </c>
      <c r="I7542" t="s">
        <v>2192</v>
      </c>
      <c r="J7542" s="10">
        <v>7.5</v>
      </c>
      <c r="K7542" t="b">
        <v>1</v>
      </c>
    </row>
    <row r="7543" spans="1:11">
      <c r="A7543" s="12">
        <v>42583</v>
      </c>
      <c r="B7543">
        <v>2016</v>
      </c>
      <c r="C7543">
        <v>8</v>
      </c>
      <c r="D7543" s="11">
        <v>42583</v>
      </c>
      <c r="E7543" t="s">
        <v>2180</v>
      </c>
      <c r="F7543">
        <v>1</v>
      </c>
      <c r="G7543" t="s">
        <v>61</v>
      </c>
      <c r="H7543" t="s">
        <v>45</v>
      </c>
      <c r="I7543" t="s">
        <v>2193</v>
      </c>
      <c r="J7543" s="10">
        <v>1</v>
      </c>
      <c r="K7543" t="b">
        <v>1</v>
      </c>
    </row>
    <row r="7544" spans="1:11">
      <c r="A7544" s="12">
        <v>42583</v>
      </c>
      <c r="B7544">
        <v>2016</v>
      </c>
      <c r="C7544">
        <v>8</v>
      </c>
      <c r="D7544" s="11">
        <v>42583</v>
      </c>
      <c r="E7544" t="s">
        <v>2180</v>
      </c>
      <c r="F7544">
        <v>1</v>
      </c>
      <c r="G7544" t="s">
        <v>61</v>
      </c>
      <c r="H7544" t="s">
        <v>46</v>
      </c>
      <c r="I7544" t="s">
        <v>2194</v>
      </c>
      <c r="J7544" s="10">
        <v>1</v>
      </c>
      <c r="K7544" t="b">
        <v>1</v>
      </c>
    </row>
    <row r="7545" spans="1:11">
      <c r="A7545" s="12">
        <v>42583</v>
      </c>
      <c r="B7545">
        <v>2016</v>
      </c>
      <c r="C7545">
        <v>8</v>
      </c>
      <c r="D7545" s="11">
        <v>42583</v>
      </c>
      <c r="E7545" t="s">
        <v>2180</v>
      </c>
      <c r="F7545">
        <v>1</v>
      </c>
      <c r="G7545" t="s">
        <v>61</v>
      </c>
      <c r="H7545" t="s">
        <v>47</v>
      </c>
      <c r="I7545" t="s">
        <v>2195</v>
      </c>
      <c r="J7545" s="10">
        <v>6</v>
      </c>
      <c r="K7545" t="b">
        <v>1</v>
      </c>
    </row>
    <row r="7546" spans="1:11">
      <c r="A7546" s="12">
        <v>42584</v>
      </c>
      <c r="B7546">
        <v>2016</v>
      </c>
      <c r="C7546">
        <v>8</v>
      </c>
      <c r="D7546" s="11">
        <v>42583</v>
      </c>
      <c r="E7546" t="s">
        <v>2180</v>
      </c>
      <c r="F7546">
        <v>2</v>
      </c>
      <c r="G7546" t="s">
        <v>63</v>
      </c>
      <c r="H7546" t="s">
        <v>40</v>
      </c>
      <c r="I7546" t="s">
        <v>2188</v>
      </c>
      <c r="J7546" s="10">
        <v>8.33</v>
      </c>
      <c r="K7546" t="b">
        <v>1</v>
      </c>
    </row>
    <row r="7547" spans="1:11">
      <c r="A7547" s="12">
        <v>42584</v>
      </c>
      <c r="B7547">
        <v>2016</v>
      </c>
      <c r="C7547">
        <v>8</v>
      </c>
      <c r="D7547" s="11">
        <v>42583</v>
      </c>
      <c r="E7547" t="s">
        <v>2180</v>
      </c>
      <c r="F7547">
        <v>2</v>
      </c>
      <c r="G7547" t="s">
        <v>63</v>
      </c>
      <c r="H7547" t="s">
        <v>41</v>
      </c>
      <c r="I7547" t="s">
        <v>2189</v>
      </c>
      <c r="J7547" s="10">
        <v>7</v>
      </c>
      <c r="K7547" t="b">
        <v>1</v>
      </c>
    </row>
    <row r="7548" spans="1:11">
      <c r="A7548" s="12">
        <v>42584</v>
      </c>
      <c r="B7548">
        <v>2016</v>
      </c>
      <c r="C7548">
        <v>8</v>
      </c>
      <c r="D7548" s="11">
        <v>42583</v>
      </c>
      <c r="E7548" t="s">
        <v>2180</v>
      </c>
      <c r="F7548">
        <v>2</v>
      </c>
      <c r="G7548" t="s">
        <v>63</v>
      </c>
      <c r="H7548" t="s">
        <v>42</v>
      </c>
      <c r="I7548" t="s">
        <v>2190</v>
      </c>
      <c r="J7548" s="10">
        <v>5</v>
      </c>
      <c r="K7548" t="b">
        <v>1</v>
      </c>
    </row>
    <row r="7549" spans="1:11">
      <c r="A7549" s="12">
        <v>42584</v>
      </c>
      <c r="B7549">
        <v>2016</v>
      </c>
      <c r="C7549">
        <v>8</v>
      </c>
      <c r="D7549" s="11">
        <v>42583</v>
      </c>
      <c r="E7549" t="s">
        <v>2180</v>
      </c>
      <c r="F7549">
        <v>2</v>
      </c>
      <c r="G7549" t="s">
        <v>63</v>
      </c>
      <c r="H7549" t="s">
        <v>43</v>
      </c>
      <c r="I7549" t="s">
        <v>2191</v>
      </c>
      <c r="J7549" s="10">
        <v>12</v>
      </c>
      <c r="K7549" t="b">
        <v>1</v>
      </c>
    </row>
    <row r="7550" spans="1:11">
      <c r="A7550" s="12">
        <v>42584</v>
      </c>
      <c r="B7550">
        <v>2016</v>
      </c>
      <c r="C7550">
        <v>8</v>
      </c>
      <c r="D7550" s="11">
        <v>42583</v>
      </c>
      <c r="E7550" t="s">
        <v>2180</v>
      </c>
      <c r="F7550">
        <v>2</v>
      </c>
      <c r="G7550" t="s">
        <v>63</v>
      </c>
      <c r="H7550" t="s">
        <v>44</v>
      </c>
      <c r="I7550" t="s">
        <v>2192</v>
      </c>
      <c r="J7550" s="10">
        <v>12</v>
      </c>
      <c r="K7550" t="b">
        <v>1</v>
      </c>
    </row>
    <row r="7551" spans="1:11">
      <c r="A7551" s="12">
        <v>42584</v>
      </c>
      <c r="B7551">
        <v>2016</v>
      </c>
      <c r="C7551">
        <v>8</v>
      </c>
      <c r="D7551" s="11">
        <v>42583</v>
      </c>
      <c r="E7551" t="s">
        <v>2180</v>
      </c>
      <c r="F7551">
        <v>2</v>
      </c>
      <c r="G7551" t="s">
        <v>63</v>
      </c>
      <c r="H7551" t="s">
        <v>45</v>
      </c>
      <c r="I7551" t="s">
        <v>2193</v>
      </c>
      <c r="J7551" s="10">
        <v>0</v>
      </c>
      <c r="K7551" t="b">
        <v>1</v>
      </c>
    </row>
    <row r="7552" spans="1:11">
      <c r="A7552" s="12">
        <v>42584</v>
      </c>
      <c r="B7552">
        <v>2016</v>
      </c>
      <c r="C7552">
        <v>8</v>
      </c>
      <c r="D7552" s="11">
        <v>42583</v>
      </c>
      <c r="E7552" t="s">
        <v>2180</v>
      </c>
      <c r="F7552">
        <v>2</v>
      </c>
      <c r="G7552" t="s">
        <v>63</v>
      </c>
      <c r="H7552" t="s">
        <v>46</v>
      </c>
      <c r="I7552" t="s">
        <v>2194</v>
      </c>
      <c r="J7552" s="10">
        <v>1</v>
      </c>
      <c r="K7552" t="b">
        <v>1</v>
      </c>
    </row>
    <row r="7553" spans="1:11">
      <c r="A7553" s="12">
        <v>42584</v>
      </c>
      <c r="B7553">
        <v>2016</v>
      </c>
      <c r="C7553">
        <v>8</v>
      </c>
      <c r="D7553" s="11">
        <v>42583</v>
      </c>
      <c r="E7553" t="s">
        <v>2180</v>
      </c>
      <c r="F7553">
        <v>2</v>
      </c>
      <c r="G7553" t="s">
        <v>63</v>
      </c>
      <c r="H7553" t="s">
        <v>47</v>
      </c>
      <c r="I7553" t="s">
        <v>2195</v>
      </c>
      <c r="J7553" s="10">
        <v>1</v>
      </c>
      <c r="K7553" t="b">
        <v>1</v>
      </c>
    </row>
    <row r="7554" spans="1:11">
      <c r="A7554" s="12">
        <v>42585</v>
      </c>
      <c r="B7554">
        <v>2016</v>
      </c>
      <c r="C7554">
        <v>8</v>
      </c>
      <c r="D7554" s="11">
        <v>42583</v>
      </c>
      <c r="E7554" t="s">
        <v>2180</v>
      </c>
      <c r="F7554">
        <v>3</v>
      </c>
      <c r="G7554" t="s">
        <v>65</v>
      </c>
      <c r="H7554" t="s">
        <v>40</v>
      </c>
      <c r="I7554" t="s">
        <v>2188</v>
      </c>
      <c r="J7554" s="10">
        <v>8</v>
      </c>
      <c r="K7554" t="b">
        <v>1</v>
      </c>
    </row>
    <row r="7555" spans="1:11">
      <c r="A7555" s="12">
        <v>42585</v>
      </c>
      <c r="B7555">
        <v>2016</v>
      </c>
      <c r="C7555">
        <v>8</v>
      </c>
      <c r="D7555" s="11">
        <v>42583</v>
      </c>
      <c r="E7555" t="s">
        <v>2180</v>
      </c>
      <c r="F7555">
        <v>3</v>
      </c>
      <c r="G7555" t="s">
        <v>65</v>
      </c>
      <c r="H7555" t="s">
        <v>41</v>
      </c>
      <c r="I7555" t="s">
        <v>2189</v>
      </c>
      <c r="J7555" s="10">
        <v>2.98</v>
      </c>
      <c r="K7555" t="b">
        <v>1</v>
      </c>
    </row>
    <row r="7556" spans="1:11">
      <c r="A7556" s="12">
        <v>42585</v>
      </c>
      <c r="B7556">
        <v>2016</v>
      </c>
      <c r="C7556">
        <v>8</v>
      </c>
      <c r="D7556" s="11">
        <v>42583</v>
      </c>
      <c r="E7556" t="s">
        <v>2180</v>
      </c>
      <c r="F7556">
        <v>3</v>
      </c>
      <c r="G7556" t="s">
        <v>65</v>
      </c>
      <c r="H7556" t="s">
        <v>42</v>
      </c>
      <c r="I7556" t="s">
        <v>2190</v>
      </c>
      <c r="J7556" s="10">
        <v>3.5</v>
      </c>
      <c r="K7556" t="b">
        <v>1</v>
      </c>
    </row>
    <row r="7557" spans="1:11">
      <c r="A7557" s="12">
        <v>42585</v>
      </c>
      <c r="B7557">
        <v>2016</v>
      </c>
      <c r="C7557">
        <v>8</v>
      </c>
      <c r="D7557" s="11">
        <v>42583</v>
      </c>
      <c r="E7557" t="s">
        <v>2180</v>
      </c>
      <c r="F7557">
        <v>3</v>
      </c>
      <c r="G7557" t="s">
        <v>65</v>
      </c>
      <c r="H7557" t="s">
        <v>43</v>
      </c>
      <c r="I7557" t="s">
        <v>2191</v>
      </c>
      <c r="J7557" s="10">
        <v>21</v>
      </c>
      <c r="K7557" t="b">
        <v>1</v>
      </c>
    </row>
    <row r="7558" spans="1:11">
      <c r="A7558" s="12">
        <v>42585</v>
      </c>
      <c r="B7558">
        <v>2016</v>
      </c>
      <c r="C7558">
        <v>8</v>
      </c>
      <c r="D7558" s="11">
        <v>42583</v>
      </c>
      <c r="E7558" t="s">
        <v>2180</v>
      </c>
      <c r="F7558">
        <v>3</v>
      </c>
      <c r="G7558" t="s">
        <v>65</v>
      </c>
      <c r="H7558" t="s">
        <v>44</v>
      </c>
      <c r="I7558" t="s">
        <v>2192</v>
      </c>
      <c r="J7558" s="10">
        <v>11</v>
      </c>
      <c r="K7558" t="b">
        <v>1</v>
      </c>
    </row>
    <row r="7559" spans="1:11">
      <c r="A7559" s="12">
        <v>42585</v>
      </c>
      <c r="B7559">
        <v>2016</v>
      </c>
      <c r="C7559">
        <v>8</v>
      </c>
      <c r="D7559" s="11">
        <v>42583</v>
      </c>
      <c r="E7559" t="s">
        <v>2180</v>
      </c>
      <c r="F7559">
        <v>3</v>
      </c>
      <c r="G7559" t="s">
        <v>65</v>
      </c>
      <c r="H7559" t="s">
        <v>45</v>
      </c>
      <c r="I7559" t="s">
        <v>2193</v>
      </c>
      <c r="J7559" s="10">
        <v>0</v>
      </c>
      <c r="K7559" t="b">
        <v>1</v>
      </c>
    </row>
    <row r="7560" spans="1:11">
      <c r="A7560" s="12">
        <v>42585</v>
      </c>
      <c r="B7560">
        <v>2016</v>
      </c>
      <c r="C7560">
        <v>8</v>
      </c>
      <c r="D7560" s="11">
        <v>42583</v>
      </c>
      <c r="E7560" t="s">
        <v>2180</v>
      </c>
      <c r="F7560">
        <v>3</v>
      </c>
      <c r="G7560" t="s">
        <v>65</v>
      </c>
      <c r="H7560" t="s">
        <v>46</v>
      </c>
      <c r="I7560" t="s">
        <v>2194</v>
      </c>
      <c r="J7560" s="10">
        <v>13</v>
      </c>
      <c r="K7560" t="b">
        <v>1</v>
      </c>
    </row>
    <row r="7561" spans="1:11">
      <c r="A7561" s="12">
        <v>42585</v>
      </c>
      <c r="B7561">
        <v>2016</v>
      </c>
      <c r="C7561">
        <v>8</v>
      </c>
      <c r="D7561" s="11">
        <v>42583</v>
      </c>
      <c r="E7561" t="s">
        <v>2180</v>
      </c>
      <c r="F7561">
        <v>3</v>
      </c>
      <c r="G7561" t="s">
        <v>65</v>
      </c>
      <c r="H7561" t="s">
        <v>47</v>
      </c>
      <c r="I7561" t="s">
        <v>2195</v>
      </c>
      <c r="J7561" s="10">
        <v>3</v>
      </c>
      <c r="K7561" t="b">
        <v>1</v>
      </c>
    </row>
    <row r="7562" spans="1:11">
      <c r="A7562" s="12">
        <v>42586</v>
      </c>
      <c r="B7562">
        <v>2016</v>
      </c>
      <c r="C7562">
        <v>8</v>
      </c>
      <c r="D7562" s="11">
        <v>42583</v>
      </c>
      <c r="E7562" t="s">
        <v>2180</v>
      </c>
      <c r="F7562">
        <v>4</v>
      </c>
      <c r="G7562" t="s">
        <v>53</v>
      </c>
      <c r="H7562" t="s">
        <v>40</v>
      </c>
      <c r="I7562" t="s">
        <v>2188</v>
      </c>
      <c r="J7562" s="10">
        <v>8</v>
      </c>
      <c r="K7562" t="b">
        <v>1</v>
      </c>
    </row>
    <row r="7563" spans="1:11">
      <c r="A7563" s="12">
        <v>42586</v>
      </c>
      <c r="B7563">
        <v>2016</v>
      </c>
      <c r="C7563">
        <v>8</v>
      </c>
      <c r="D7563" s="11">
        <v>42583</v>
      </c>
      <c r="E7563" t="s">
        <v>2180</v>
      </c>
      <c r="F7563">
        <v>4</v>
      </c>
      <c r="G7563" t="s">
        <v>53</v>
      </c>
      <c r="H7563" t="s">
        <v>41</v>
      </c>
      <c r="I7563" t="s">
        <v>2189</v>
      </c>
      <c r="J7563" s="10">
        <v>2.693</v>
      </c>
      <c r="K7563" t="b">
        <v>1</v>
      </c>
    </row>
    <row r="7564" spans="1:11">
      <c r="A7564" s="12">
        <v>42586</v>
      </c>
      <c r="B7564">
        <v>2016</v>
      </c>
      <c r="C7564">
        <v>8</v>
      </c>
      <c r="D7564" s="11">
        <v>42583</v>
      </c>
      <c r="E7564" t="s">
        <v>2180</v>
      </c>
      <c r="F7564">
        <v>4</v>
      </c>
      <c r="G7564" t="s">
        <v>53</v>
      </c>
      <c r="H7564" t="s">
        <v>42</v>
      </c>
      <c r="I7564" t="s">
        <v>2190</v>
      </c>
      <c r="J7564" s="10">
        <v>2</v>
      </c>
      <c r="K7564" t="b">
        <v>1</v>
      </c>
    </row>
    <row r="7565" spans="1:11">
      <c r="A7565" s="12">
        <v>42586</v>
      </c>
      <c r="B7565">
        <v>2016</v>
      </c>
      <c r="C7565">
        <v>8</v>
      </c>
      <c r="D7565" s="11">
        <v>42583</v>
      </c>
      <c r="E7565" t="s">
        <v>2180</v>
      </c>
      <c r="F7565">
        <v>4</v>
      </c>
      <c r="G7565" t="s">
        <v>53</v>
      </c>
      <c r="H7565" t="s">
        <v>43</v>
      </c>
      <c r="I7565" t="s">
        <v>2191</v>
      </c>
      <c r="J7565" s="10">
        <v>34.4</v>
      </c>
      <c r="K7565" t="b">
        <v>1</v>
      </c>
    </row>
    <row r="7566" spans="1:11">
      <c r="A7566" s="12">
        <v>42586</v>
      </c>
      <c r="B7566">
        <v>2016</v>
      </c>
      <c r="C7566">
        <v>8</v>
      </c>
      <c r="D7566" s="11">
        <v>42583</v>
      </c>
      <c r="E7566" t="s">
        <v>2180</v>
      </c>
      <c r="F7566">
        <v>4</v>
      </c>
      <c r="G7566" t="s">
        <v>53</v>
      </c>
      <c r="H7566" t="s">
        <v>44</v>
      </c>
      <c r="I7566" t="s">
        <v>2192</v>
      </c>
      <c r="J7566" s="10">
        <v>12</v>
      </c>
      <c r="K7566" t="b">
        <v>1</v>
      </c>
    </row>
    <row r="7567" spans="1:11">
      <c r="A7567" s="12">
        <v>42586</v>
      </c>
      <c r="B7567">
        <v>2016</v>
      </c>
      <c r="C7567">
        <v>8</v>
      </c>
      <c r="D7567" s="11">
        <v>42583</v>
      </c>
      <c r="E7567" t="s">
        <v>2180</v>
      </c>
      <c r="F7567">
        <v>4</v>
      </c>
      <c r="G7567" t="s">
        <v>53</v>
      </c>
      <c r="H7567" t="s">
        <v>45</v>
      </c>
      <c r="I7567" t="s">
        <v>2193</v>
      </c>
      <c r="J7567" s="10">
        <v>0</v>
      </c>
      <c r="K7567" t="b">
        <v>1</v>
      </c>
    </row>
    <row r="7568" spans="1:11">
      <c r="A7568" s="12">
        <v>42586</v>
      </c>
      <c r="B7568">
        <v>2016</v>
      </c>
      <c r="C7568">
        <v>8</v>
      </c>
      <c r="D7568" s="11">
        <v>42583</v>
      </c>
      <c r="E7568" t="s">
        <v>2180</v>
      </c>
      <c r="F7568">
        <v>4</v>
      </c>
      <c r="G7568" t="s">
        <v>53</v>
      </c>
      <c r="H7568" t="s">
        <v>46</v>
      </c>
      <c r="I7568" t="s">
        <v>2194</v>
      </c>
      <c r="J7568" s="10">
        <v>17</v>
      </c>
      <c r="K7568" t="b">
        <v>1</v>
      </c>
    </row>
    <row r="7569" spans="1:11">
      <c r="A7569" s="12">
        <v>42586</v>
      </c>
      <c r="B7569">
        <v>2016</v>
      </c>
      <c r="C7569">
        <v>8</v>
      </c>
      <c r="D7569" s="11">
        <v>42583</v>
      </c>
      <c r="E7569" t="s">
        <v>2180</v>
      </c>
      <c r="F7569">
        <v>4</v>
      </c>
      <c r="G7569" t="s">
        <v>53</v>
      </c>
      <c r="H7569" t="s">
        <v>47</v>
      </c>
      <c r="I7569" t="s">
        <v>2195</v>
      </c>
      <c r="J7569" s="10">
        <v>4</v>
      </c>
      <c r="K7569" t="b">
        <v>1</v>
      </c>
    </row>
    <row r="7570" spans="1:11">
      <c r="A7570" s="12">
        <v>42587</v>
      </c>
      <c r="B7570">
        <v>2016</v>
      </c>
      <c r="C7570">
        <v>8</v>
      </c>
      <c r="D7570" s="11">
        <v>42583</v>
      </c>
      <c r="E7570" t="s">
        <v>2180</v>
      </c>
      <c r="F7570">
        <v>5</v>
      </c>
      <c r="G7570" t="s">
        <v>55</v>
      </c>
      <c r="H7570" t="s">
        <v>40</v>
      </c>
      <c r="I7570" t="s">
        <v>2188</v>
      </c>
      <c r="J7570" s="10">
        <v>10.33</v>
      </c>
      <c r="K7570" t="b">
        <v>1</v>
      </c>
    </row>
    <row r="7571" spans="1:11">
      <c r="A7571" s="12">
        <v>42587</v>
      </c>
      <c r="B7571">
        <v>2016</v>
      </c>
      <c r="C7571">
        <v>8</v>
      </c>
      <c r="D7571" s="11">
        <v>42583</v>
      </c>
      <c r="E7571" t="s">
        <v>2180</v>
      </c>
      <c r="F7571">
        <v>5</v>
      </c>
      <c r="G7571" t="s">
        <v>55</v>
      </c>
      <c r="H7571" t="s">
        <v>41</v>
      </c>
      <c r="I7571" t="s">
        <v>2189</v>
      </c>
      <c r="J7571" s="10">
        <v>3.42</v>
      </c>
      <c r="K7571" t="b">
        <v>1</v>
      </c>
    </row>
    <row r="7572" spans="1:11">
      <c r="A7572" s="12">
        <v>42587</v>
      </c>
      <c r="B7572">
        <v>2016</v>
      </c>
      <c r="C7572">
        <v>8</v>
      </c>
      <c r="D7572" s="11">
        <v>42583</v>
      </c>
      <c r="E7572" t="s">
        <v>2180</v>
      </c>
      <c r="F7572">
        <v>5</v>
      </c>
      <c r="G7572" t="s">
        <v>55</v>
      </c>
      <c r="H7572" t="s">
        <v>42</v>
      </c>
      <c r="I7572" t="s">
        <v>2190</v>
      </c>
      <c r="J7572" s="10">
        <v>3.7</v>
      </c>
      <c r="K7572" t="b">
        <v>1</v>
      </c>
    </row>
    <row r="7573" spans="1:11">
      <c r="A7573" s="12">
        <v>42587</v>
      </c>
      <c r="B7573">
        <v>2016</v>
      </c>
      <c r="C7573">
        <v>8</v>
      </c>
      <c r="D7573" s="11">
        <v>42583</v>
      </c>
      <c r="E7573" t="s">
        <v>2180</v>
      </c>
      <c r="F7573">
        <v>5</v>
      </c>
      <c r="G7573" t="s">
        <v>55</v>
      </c>
      <c r="H7573" t="s">
        <v>43</v>
      </c>
      <c r="I7573" t="s">
        <v>2191</v>
      </c>
      <c r="J7573" s="10">
        <v>21</v>
      </c>
      <c r="K7573" t="b">
        <v>1</v>
      </c>
    </row>
    <row r="7574" spans="1:11">
      <c r="A7574" s="12">
        <v>42587</v>
      </c>
      <c r="B7574">
        <v>2016</v>
      </c>
      <c r="C7574">
        <v>8</v>
      </c>
      <c r="D7574" s="11">
        <v>42583</v>
      </c>
      <c r="E7574" t="s">
        <v>2180</v>
      </c>
      <c r="F7574">
        <v>5</v>
      </c>
      <c r="G7574" t="s">
        <v>55</v>
      </c>
      <c r="H7574" t="s">
        <v>44</v>
      </c>
      <c r="I7574" t="s">
        <v>2192</v>
      </c>
      <c r="J7574" s="10">
        <v>24</v>
      </c>
      <c r="K7574" t="b">
        <v>1</v>
      </c>
    </row>
    <row r="7575" spans="1:11">
      <c r="A7575" s="12">
        <v>42587</v>
      </c>
      <c r="B7575">
        <v>2016</v>
      </c>
      <c r="C7575">
        <v>8</v>
      </c>
      <c r="D7575" s="11">
        <v>42583</v>
      </c>
      <c r="E7575" t="s">
        <v>2180</v>
      </c>
      <c r="F7575">
        <v>5</v>
      </c>
      <c r="G7575" t="s">
        <v>55</v>
      </c>
      <c r="H7575" t="s">
        <v>45</v>
      </c>
      <c r="I7575" t="s">
        <v>2193</v>
      </c>
      <c r="J7575" s="10">
        <v>0</v>
      </c>
      <c r="K7575" t="b">
        <v>1</v>
      </c>
    </row>
    <row r="7576" spans="1:11">
      <c r="A7576" s="12">
        <v>42587</v>
      </c>
      <c r="B7576">
        <v>2016</v>
      </c>
      <c r="C7576">
        <v>8</v>
      </c>
      <c r="D7576" s="11">
        <v>42583</v>
      </c>
      <c r="E7576" t="s">
        <v>2180</v>
      </c>
      <c r="F7576">
        <v>5</v>
      </c>
      <c r="G7576" t="s">
        <v>55</v>
      </c>
      <c r="H7576" t="s">
        <v>46</v>
      </c>
      <c r="I7576" t="s">
        <v>2194</v>
      </c>
      <c r="J7576" s="10">
        <v>24</v>
      </c>
      <c r="K7576" t="b">
        <v>1</v>
      </c>
    </row>
    <row r="7577" spans="1:11">
      <c r="A7577" s="12">
        <v>42587</v>
      </c>
      <c r="B7577">
        <v>2016</v>
      </c>
      <c r="C7577">
        <v>8</v>
      </c>
      <c r="D7577" s="11">
        <v>42583</v>
      </c>
      <c r="E7577" t="s">
        <v>2180</v>
      </c>
      <c r="F7577">
        <v>5</v>
      </c>
      <c r="G7577" t="s">
        <v>55</v>
      </c>
      <c r="H7577" t="s">
        <v>47</v>
      </c>
      <c r="I7577" t="s">
        <v>2195</v>
      </c>
      <c r="J7577" s="10">
        <v>1.3</v>
      </c>
      <c r="K7577" t="b">
        <v>1</v>
      </c>
    </row>
    <row r="7578" spans="1:11">
      <c r="A7578" s="12">
        <v>42588</v>
      </c>
      <c r="B7578">
        <v>2016</v>
      </c>
      <c r="C7578">
        <v>8</v>
      </c>
      <c r="D7578" s="11">
        <v>42583</v>
      </c>
      <c r="E7578" t="s">
        <v>2180</v>
      </c>
      <c r="F7578">
        <v>6</v>
      </c>
      <c r="G7578" t="s">
        <v>57</v>
      </c>
      <c r="H7578" t="s">
        <v>40</v>
      </c>
      <c r="I7578" t="s">
        <v>2188</v>
      </c>
      <c r="J7578" s="10">
        <v>3</v>
      </c>
      <c r="K7578" t="b">
        <v>1</v>
      </c>
    </row>
    <row r="7579" spans="1:11">
      <c r="A7579" s="12">
        <v>42588</v>
      </c>
      <c r="B7579">
        <v>2016</v>
      </c>
      <c r="C7579">
        <v>8</v>
      </c>
      <c r="D7579" s="11">
        <v>42583</v>
      </c>
      <c r="E7579" t="s">
        <v>2180</v>
      </c>
      <c r="F7579">
        <v>6</v>
      </c>
      <c r="G7579" t="s">
        <v>57</v>
      </c>
      <c r="H7579" t="s">
        <v>41</v>
      </c>
      <c r="I7579" t="s">
        <v>2189</v>
      </c>
      <c r="J7579" s="10">
        <v>3.662</v>
      </c>
      <c r="K7579" t="b">
        <v>1</v>
      </c>
    </row>
    <row r="7580" spans="1:11">
      <c r="A7580" s="12">
        <v>42588</v>
      </c>
      <c r="B7580">
        <v>2016</v>
      </c>
      <c r="C7580">
        <v>8</v>
      </c>
      <c r="D7580" s="11">
        <v>42583</v>
      </c>
      <c r="E7580" t="s">
        <v>2180</v>
      </c>
      <c r="F7580">
        <v>6</v>
      </c>
      <c r="G7580" t="s">
        <v>57</v>
      </c>
      <c r="H7580" t="s">
        <v>42</v>
      </c>
      <c r="I7580" t="s">
        <v>2190</v>
      </c>
      <c r="J7580" s="10">
        <v>5</v>
      </c>
      <c r="K7580" t="b">
        <v>1</v>
      </c>
    </row>
    <row r="7581" spans="1:11">
      <c r="A7581" s="12">
        <v>42588</v>
      </c>
      <c r="B7581">
        <v>2016</v>
      </c>
      <c r="C7581">
        <v>8</v>
      </c>
      <c r="D7581" s="11">
        <v>42583</v>
      </c>
      <c r="E7581" t="s">
        <v>2180</v>
      </c>
      <c r="F7581">
        <v>6</v>
      </c>
      <c r="G7581" t="s">
        <v>57</v>
      </c>
      <c r="H7581" t="s">
        <v>43</v>
      </c>
      <c r="I7581" t="s">
        <v>2191</v>
      </c>
      <c r="J7581" s="10">
        <v>20</v>
      </c>
      <c r="K7581" t="b">
        <v>1</v>
      </c>
    </row>
    <row r="7582" spans="1:11">
      <c r="A7582" s="12">
        <v>42588</v>
      </c>
      <c r="B7582">
        <v>2016</v>
      </c>
      <c r="C7582">
        <v>8</v>
      </c>
      <c r="D7582" s="11">
        <v>42583</v>
      </c>
      <c r="E7582" t="s">
        <v>2180</v>
      </c>
      <c r="F7582">
        <v>6</v>
      </c>
      <c r="G7582" t="s">
        <v>57</v>
      </c>
      <c r="H7582" t="s">
        <v>44</v>
      </c>
      <c r="I7582" t="s">
        <v>2192</v>
      </c>
      <c r="J7582" s="10">
        <v>33</v>
      </c>
      <c r="K7582" t="b">
        <v>1</v>
      </c>
    </row>
    <row r="7583" spans="1:11">
      <c r="A7583" s="12">
        <v>42588</v>
      </c>
      <c r="B7583">
        <v>2016</v>
      </c>
      <c r="C7583">
        <v>8</v>
      </c>
      <c r="D7583" s="11">
        <v>42583</v>
      </c>
      <c r="E7583" t="s">
        <v>2180</v>
      </c>
      <c r="F7583">
        <v>6</v>
      </c>
      <c r="G7583" t="s">
        <v>57</v>
      </c>
      <c r="H7583" t="s">
        <v>45</v>
      </c>
      <c r="I7583" t="s">
        <v>2193</v>
      </c>
      <c r="J7583" s="10">
        <v>0</v>
      </c>
      <c r="K7583" t="b">
        <v>1</v>
      </c>
    </row>
    <row r="7584" spans="1:11">
      <c r="A7584" s="12">
        <v>42588</v>
      </c>
      <c r="B7584">
        <v>2016</v>
      </c>
      <c r="C7584">
        <v>8</v>
      </c>
      <c r="D7584" s="11">
        <v>42583</v>
      </c>
      <c r="E7584" t="s">
        <v>2180</v>
      </c>
      <c r="F7584">
        <v>6</v>
      </c>
      <c r="G7584" t="s">
        <v>57</v>
      </c>
      <c r="H7584" t="s">
        <v>46</v>
      </c>
      <c r="I7584" t="s">
        <v>2194</v>
      </c>
      <c r="J7584" s="10">
        <v>1</v>
      </c>
      <c r="K7584" t="b">
        <v>1</v>
      </c>
    </row>
    <row r="7585" spans="1:11">
      <c r="A7585" s="12">
        <v>42588</v>
      </c>
      <c r="B7585">
        <v>2016</v>
      </c>
      <c r="C7585">
        <v>8</v>
      </c>
      <c r="D7585" s="11">
        <v>42583</v>
      </c>
      <c r="E7585" t="s">
        <v>2180</v>
      </c>
      <c r="F7585">
        <v>6</v>
      </c>
      <c r="G7585" t="s">
        <v>57</v>
      </c>
      <c r="H7585" t="s">
        <v>47</v>
      </c>
      <c r="I7585" t="s">
        <v>2195</v>
      </c>
      <c r="J7585" s="10">
        <v>2</v>
      </c>
      <c r="K7585" t="b">
        <v>1</v>
      </c>
    </row>
    <row r="7586" spans="1:11">
      <c r="A7586" s="12">
        <v>42589</v>
      </c>
      <c r="B7586">
        <v>2016</v>
      </c>
      <c r="C7586">
        <v>8</v>
      </c>
      <c r="D7586" s="11">
        <v>42583</v>
      </c>
      <c r="E7586" t="s">
        <v>2180</v>
      </c>
      <c r="F7586">
        <v>7</v>
      </c>
      <c r="G7586" t="s">
        <v>59</v>
      </c>
      <c r="H7586" t="s">
        <v>40</v>
      </c>
      <c r="I7586" t="s">
        <v>2188</v>
      </c>
      <c r="J7586" s="10">
        <v>8</v>
      </c>
      <c r="K7586" t="b">
        <v>1</v>
      </c>
    </row>
    <row r="7587" spans="1:11">
      <c r="A7587" s="12">
        <v>42589</v>
      </c>
      <c r="B7587">
        <v>2016</v>
      </c>
      <c r="C7587">
        <v>8</v>
      </c>
      <c r="D7587" s="11">
        <v>42583</v>
      </c>
      <c r="E7587" t="s">
        <v>2180</v>
      </c>
      <c r="F7587">
        <v>7</v>
      </c>
      <c r="G7587" t="s">
        <v>59</v>
      </c>
      <c r="H7587" t="s">
        <v>41</v>
      </c>
      <c r="I7587" t="s">
        <v>2189</v>
      </c>
      <c r="J7587" s="10">
        <v>4.155</v>
      </c>
      <c r="K7587" t="b">
        <v>1</v>
      </c>
    </row>
    <row r="7588" spans="1:11">
      <c r="A7588" s="12">
        <v>42589</v>
      </c>
      <c r="B7588">
        <v>2016</v>
      </c>
      <c r="C7588">
        <v>8</v>
      </c>
      <c r="D7588" s="11">
        <v>42583</v>
      </c>
      <c r="E7588" t="s">
        <v>2180</v>
      </c>
      <c r="F7588">
        <v>7</v>
      </c>
      <c r="G7588" t="s">
        <v>59</v>
      </c>
      <c r="H7588" t="s">
        <v>42</v>
      </c>
      <c r="I7588" t="s">
        <v>2190</v>
      </c>
      <c r="J7588" s="10">
        <v>8.199999999999999</v>
      </c>
      <c r="K7588" t="b">
        <v>1</v>
      </c>
    </row>
    <row r="7589" spans="1:11">
      <c r="A7589" s="12">
        <v>42589</v>
      </c>
      <c r="B7589">
        <v>2016</v>
      </c>
      <c r="C7589">
        <v>8</v>
      </c>
      <c r="D7589" s="11">
        <v>42583</v>
      </c>
      <c r="E7589" t="s">
        <v>2180</v>
      </c>
      <c r="F7589">
        <v>7</v>
      </c>
      <c r="G7589" t="s">
        <v>59</v>
      </c>
      <c r="H7589" t="s">
        <v>43</v>
      </c>
      <c r="I7589" t="s">
        <v>2191</v>
      </c>
      <c r="J7589" s="10">
        <v>40.2</v>
      </c>
      <c r="K7589" t="b">
        <v>1</v>
      </c>
    </row>
    <row r="7590" spans="1:11">
      <c r="A7590" s="12">
        <v>42589</v>
      </c>
      <c r="B7590">
        <v>2016</v>
      </c>
      <c r="C7590">
        <v>8</v>
      </c>
      <c r="D7590" s="11">
        <v>42583</v>
      </c>
      <c r="E7590" t="s">
        <v>2180</v>
      </c>
      <c r="F7590">
        <v>7</v>
      </c>
      <c r="G7590" t="s">
        <v>59</v>
      </c>
      <c r="H7590" t="s">
        <v>44</v>
      </c>
      <c r="I7590" t="s">
        <v>2192</v>
      </c>
      <c r="J7590" s="10">
        <v>12</v>
      </c>
      <c r="K7590" t="b">
        <v>1</v>
      </c>
    </row>
    <row r="7591" spans="1:11">
      <c r="A7591" s="12">
        <v>42589</v>
      </c>
      <c r="B7591">
        <v>2016</v>
      </c>
      <c r="C7591">
        <v>8</v>
      </c>
      <c r="D7591" s="11">
        <v>42583</v>
      </c>
      <c r="E7591" t="s">
        <v>2180</v>
      </c>
      <c r="F7591">
        <v>7</v>
      </c>
      <c r="G7591" t="s">
        <v>59</v>
      </c>
      <c r="H7591" t="s">
        <v>45</v>
      </c>
      <c r="I7591" t="s">
        <v>2193</v>
      </c>
      <c r="J7591" s="10">
        <v>0</v>
      </c>
      <c r="K7591" t="b">
        <v>1</v>
      </c>
    </row>
    <row r="7592" spans="1:11">
      <c r="A7592" s="12">
        <v>42589</v>
      </c>
      <c r="B7592">
        <v>2016</v>
      </c>
      <c r="C7592">
        <v>8</v>
      </c>
      <c r="D7592" s="11">
        <v>42583</v>
      </c>
      <c r="E7592" t="s">
        <v>2180</v>
      </c>
      <c r="F7592">
        <v>7</v>
      </c>
      <c r="G7592" t="s">
        <v>59</v>
      </c>
      <c r="H7592" t="s">
        <v>46</v>
      </c>
      <c r="I7592" t="s">
        <v>2194</v>
      </c>
      <c r="J7592" s="10">
        <v>5</v>
      </c>
      <c r="K7592" t="b">
        <v>1</v>
      </c>
    </row>
    <row r="7593" spans="1:11">
      <c r="A7593" s="12">
        <v>42589</v>
      </c>
      <c r="B7593">
        <v>2016</v>
      </c>
      <c r="C7593">
        <v>8</v>
      </c>
      <c r="D7593" s="11">
        <v>42583</v>
      </c>
      <c r="E7593" t="s">
        <v>2180</v>
      </c>
      <c r="F7593">
        <v>7</v>
      </c>
      <c r="G7593" t="s">
        <v>59</v>
      </c>
      <c r="H7593" t="s">
        <v>47</v>
      </c>
      <c r="I7593" t="s">
        <v>2195</v>
      </c>
      <c r="J7593" s="10">
        <v>3</v>
      </c>
      <c r="K7593" t="b">
        <v>1</v>
      </c>
    </row>
    <row r="7594" spans="1:11">
      <c r="A7594" s="12">
        <v>42590</v>
      </c>
      <c r="B7594">
        <v>2016</v>
      </c>
      <c r="C7594">
        <v>8</v>
      </c>
      <c r="D7594" s="11">
        <v>42583</v>
      </c>
      <c r="E7594" t="s">
        <v>2180</v>
      </c>
      <c r="F7594">
        <v>1</v>
      </c>
      <c r="G7594" t="s">
        <v>61</v>
      </c>
      <c r="H7594" t="s">
        <v>40</v>
      </c>
      <c r="I7594" t="s">
        <v>2188</v>
      </c>
      <c r="J7594" s="10">
        <v>8.34</v>
      </c>
      <c r="K7594" t="b">
        <v>1</v>
      </c>
    </row>
    <row r="7595" spans="1:11">
      <c r="A7595" s="12">
        <v>42590</v>
      </c>
      <c r="B7595">
        <v>2016</v>
      </c>
      <c r="C7595">
        <v>8</v>
      </c>
      <c r="D7595" s="11">
        <v>42583</v>
      </c>
      <c r="E7595" t="s">
        <v>2180</v>
      </c>
      <c r="F7595">
        <v>1</v>
      </c>
      <c r="G7595" t="s">
        <v>61</v>
      </c>
      <c r="H7595" t="s">
        <v>41</v>
      </c>
      <c r="I7595" t="s">
        <v>2189</v>
      </c>
      <c r="J7595" s="10">
        <v>5.99</v>
      </c>
      <c r="K7595" t="b">
        <v>1</v>
      </c>
    </row>
    <row r="7596" spans="1:11">
      <c r="A7596" s="12">
        <v>42590</v>
      </c>
      <c r="B7596">
        <v>2016</v>
      </c>
      <c r="C7596">
        <v>8</v>
      </c>
      <c r="D7596" s="11">
        <v>42583</v>
      </c>
      <c r="E7596" t="s">
        <v>2180</v>
      </c>
      <c r="F7596">
        <v>1</v>
      </c>
      <c r="G7596" t="s">
        <v>61</v>
      </c>
      <c r="H7596" t="s">
        <v>42</v>
      </c>
      <c r="I7596" t="s">
        <v>2190</v>
      </c>
      <c r="J7596" s="10">
        <v>5.5</v>
      </c>
      <c r="K7596" t="b">
        <v>1</v>
      </c>
    </row>
    <row r="7597" spans="1:11">
      <c r="A7597" s="12">
        <v>42590</v>
      </c>
      <c r="B7597">
        <v>2016</v>
      </c>
      <c r="C7597">
        <v>8</v>
      </c>
      <c r="D7597" s="11">
        <v>42583</v>
      </c>
      <c r="E7597" t="s">
        <v>2180</v>
      </c>
      <c r="F7597">
        <v>1</v>
      </c>
      <c r="G7597" t="s">
        <v>61</v>
      </c>
      <c r="H7597" t="s">
        <v>43</v>
      </c>
      <c r="I7597" t="s">
        <v>2191</v>
      </c>
      <c r="J7597" s="10">
        <v>15</v>
      </c>
      <c r="K7597" t="b">
        <v>1</v>
      </c>
    </row>
    <row r="7598" spans="1:11">
      <c r="A7598" s="12">
        <v>42590</v>
      </c>
      <c r="B7598">
        <v>2016</v>
      </c>
      <c r="C7598">
        <v>8</v>
      </c>
      <c r="D7598" s="11">
        <v>42583</v>
      </c>
      <c r="E7598" t="s">
        <v>2180</v>
      </c>
      <c r="F7598">
        <v>1</v>
      </c>
      <c r="G7598" t="s">
        <v>61</v>
      </c>
      <c r="H7598" t="s">
        <v>44</v>
      </c>
      <c r="I7598" t="s">
        <v>2192</v>
      </c>
      <c r="J7598" s="10">
        <v>36</v>
      </c>
      <c r="K7598" t="b">
        <v>1</v>
      </c>
    </row>
    <row r="7599" spans="1:11">
      <c r="A7599" s="12">
        <v>42590</v>
      </c>
      <c r="B7599">
        <v>2016</v>
      </c>
      <c r="C7599">
        <v>8</v>
      </c>
      <c r="D7599" s="11">
        <v>42583</v>
      </c>
      <c r="E7599" t="s">
        <v>2180</v>
      </c>
      <c r="F7599">
        <v>1</v>
      </c>
      <c r="G7599" t="s">
        <v>61</v>
      </c>
      <c r="H7599" t="s">
        <v>45</v>
      </c>
      <c r="I7599" t="s">
        <v>2193</v>
      </c>
      <c r="J7599" s="10">
        <v>0</v>
      </c>
      <c r="K7599" t="b">
        <v>1</v>
      </c>
    </row>
    <row r="7600" spans="1:11">
      <c r="A7600" s="12">
        <v>42590</v>
      </c>
      <c r="B7600">
        <v>2016</v>
      </c>
      <c r="C7600">
        <v>8</v>
      </c>
      <c r="D7600" s="11">
        <v>42583</v>
      </c>
      <c r="E7600" t="s">
        <v>2180</v>
      </c>
      <c r="F7600">
        <v>1</v>
      </c>
      <c r="G7600" t="s">
        <v>61</v>
      </c>
      <c r="H7600" t="s">
        <v>46</v>
      </c>
      <c r="I7600" t="s">
        <v>2194</v>
      </c>
      <c r="J7600" s="10">
        <v>1</v>
      </c>
      <c r="K7600" t="b">
        <v>1</v>
      </c>
    </row>
    <row r="7601" spans="1:11">
      <c r="A7601" s="12">
        <v>42590</v>
      </c>
      <c r="B7601">
        <v>2016</v>
      </c>
      <c r="C7601">
        <v>8</v>
      </c>
      <c r="D7601" s="11">
        <v>42583</v>
      </c>
      <c r="E7601" t="s">
        <v>2180</v>
      </c>
      <c r="F7601">
        <v>1</v>
      </c>
      <c r="G7601" t="s">
        <v>61</v>
      </c>
      <c r="H7601" t="s">
        <v>47</v>
      </c>
      <c r="I7601" t="s">
        <v>2195</v>
      </c>
      <c r="J7601" s="10">
        <v>4</v>
      </c>
      <c r="K7601" t="b">
        <v>1</v>
      </c>
    </row>
    <row r="7602" spans="1:11">
      <c r="A7602" s="12">
        <v>42591</v>
      </c>
      <c r="B7602">
        <v>2016</v>
      </c>
      <c r="C7602">
        <v>8</v>
      </c>
      <c r="D7602" s="11">
        <v>42583</v>
      </c>
      <c r="E7602" t="s">
        <v>2180</v>
      </c>
      <c r="F7602">
        <v>2</v>
      </c>
      <c r="G7602" t="s">
        <v>63</v>
      </c>
      <c r="H7602" t="s">
        <v>40</v>
      </c>
      <c r="I7602" t="s">
        <v>2188</v>
      </c>
      <c r="J7602" s="10">
        <v>6.33</v>
      </c>
      <c r="K7602" t="b">
        <v>1</v>
      </c>
    </row>
    <row r="7603" spans="1:11">
      <c r="A7603" s="12">
        <v>42591</v>
      </c>
      <c r="B7603">
        <v>2016</v>
      </c>
      <c r="C7603">
        <v>8</v>
      </c>
      <c r="D7603" s="11">
        <v>42583</v>
      </c>
      <c r="E7603" t="s">
        <v>2180</v>
      </c>
      <c r="F7603">
        <v>2</v>
      </c>
      <c r="G7603" t="s">
        <v>63</v>
      </c>
      <c r="H7603" t="s">
        <v>41</v>
      </c>
      <c r="I7603" t="s">
        <v>2189</v>
      </c>
      <c r="J7603" s="10">
        <v>4.66</v>
      </c>
      <c r="K7603" t="b">
        <v>1</v>
      </c>
    </row>
    <row r="7604" spans="1:11">
      <c r="A7604" s="12">
        <v>42591</v>
      </c>
      <c r="B7604">
        <v>2016</v>
      </c>
      <c r="C7604">
        <v>8</v>
      </c>
      <c r="D7604" s="11">
        <v>42583</v>
      </c>
      <c r="E7604" t="s">
        <v>2180</v>
      </c>
      <c r="F7604">
        <v>2</v>
      </c>
      <c r="G7604" t="s">
        <v>63</v>
      </c>
      <c r="H7604" t="s">
        <v>42</v>
      </c>
      <c r="I7604" t="s">
        <v>2190</v>
      </c>
      <c r="J7604" s="10">
        <v>7</v>
      </c>
      <c r="K7604" t="b">
        <v>1</v>
      </c>
    </row>
    <row r="7605" spans="1:11">
      <c r="A7605" s="12">
        <v>42591</v>
      </c>
      <c r="B7605">
        <v>2016</v>
      </c>
      <c r="C7605">
        <v>8</v>
      </c>
      <c r="D7605" s="11">
        <v>42583</v>
      </c>
      <c r="E7605" t="s">
        <v>2180</v>
      </c>
      <c r="F7605">
        <v>2</v>
      </c>
      <c r="G7605" t="s">
        <v>63</v>
      </c>
      <c r="H7605" t="s">
        <v>43</v>
      </c>
      <c r="I7605" t="s">
        <v>2191</v>
      </c>
      <c r="J7605" s="10">
        <v>29</v>
      </c>
      <c r="K7605" t="b">
        <v>1</v>
      </c>
    </row>
    <row r="7606" spans="1:11">
      <c r="A7606" s="12">
        <v>42591</v>
      </c>
      <c r="B7606">
        <v>2016</v>
      </c>
      <c r="C7606">
        <v>8</v>
      </c>
      <c r="D7606" s="11">
        <v>42583</v>
      </c>
      <c r="E7606" t="s">
        <v>2180</v>
      </c>
      <c r="F7606">
        <v>2</v>
      </c>
      <c r="G7606" t="s">
        <v>63</v>
      </c>
      <c r="H7606" t="s">
        <v>44</v>
      </c>
      <c r="I7606" t="s">
        <v>2192</v>
      </c>
      <c r="J7606" s="10">
        <v>26</v>
      </c>
      <c r="K7606" t="b">
        <v>1</v>
      </c>
    </row>
    <row r="7607" spans="1:11">
      <c r="A7607" s="12">
        <v>42591</v>
      </c>
      <c r="B7607">
        <v>2016</v>
      </c>
      <c r="C7607">
        <v>8</v>
      </c>
      <c r="D7607" s="11">
        <v>42583</v>
      </c>
      <c r="E7607" t="s">
        <v>2180</v>
      </c>
      <c r="F7607">
        <v>2</v>
      </c>
      <c r="G7607" t="s">
        <v>63</v>
      </c>
      <c r="H7607" t="s">
        <v>45</v>
      </c>
      <c r="I7607" t="s">
        <v>2193</v>
      </c>
      <c r="J7607" s="10">
        <v>1</v>
      </c>
      <c r="K7607" t="b">
        <v>1</v>
      </c>
    </row>
    <row r="7608" spans="1:11">
      <c r="A7608" s="12">
        <v>42591</v>
      </c>
      <c r="B7608">
        <v>2016</v>
      </c>
      <c r="C7608">
        <v>8</v>
      </c>
      <c r="D7608" s="11">
        <v>42583</v>
      </c>
      <c r="E7608" t="s">
        <v>2180</v>
      </c>
      <c r="F7608">
        <v>2</v>
      </c>
      <c r="G7608" t="s">
        <v>63</v>
      </c>
      <c r="H7608" t="s">
        <v>46</v>
      </c>
      <c r="I7608" t="s">
        <v>2194</v>
      </c>
      <c r="J7608" s="10">
        <v>2</v>
      </c>
      <c r="K7608" t="b">
        <v>1</v>
      </c>
    </row>
    <row r="7609" spans="1:11">
      <c r="A7609" s="12">
        <v>42591</v>
      </c>
      <c r="B7609">
        <v>2016</v>
      </c>
      <c r="C7609">
        <v>8</v>
      </c>
      <c r="D7609" s="11">
        <v>42583</v>
      </c>
      <c r="E7609" t="s">
        <v>2180</v>
      </c>
      <c r="F7609">
        <v>2</v>
      </c>
      <c r="G7609" t="s">
        <v>63</v>
      </c>
      <c r="H7609" t="s">
        <v>47</v>
      </c>
      <c r="I7609" t="s">
        <v>2195</v>
      </c>
      <c r="J7609" s="10">
        <v>4</v>
      </c>
      <c r="K7609" t="b">
        <v>1</v>
      </c>
    </row>
    <row r="7610" spans="1:11">
      <c r="A7610" s="12">
        <v>42592</v>
      </c>
      <c r="B7610">
        <v>2016</v>
      </c>
      <c r="C7610">
        <v>8</v>
      </c>
      <c r="D7610" s="11">
        <v>42583</v>
      </c>
      <c r="E7610" t="s">
        <v>2180</v>
      </c>
      <c r="F7610">
        <v>3</v>
      </c>
      <c r="G7610" t="s">
        <v>65</v>
      </c>
      <c r="H7610" t="s">
        <v>40</v>
      </c>
      <c r="I7610" t="s">
        <v>2188</v>
      </c>
      <c r="J7610" s="10">
        <v>11.34</v>
      </c>
      <c r="K7610" t="b">
        <v>1</v>
      </c>
    </row>
    <row r="7611" spans="1:11">
      <c r="A7611" s="12">
        <v>42592</v>
      </c>
      <c r="B7611">
        <v>2016</v>
      </c>
      <c r="C7611">
        <v>8</v>
      </c>
      <c r="D7611" s="11">
        <v>42583</v>
      </c>
      <c r="E7611" t="s">
        <v>2180</v>
      </c>
      <c r="F7611">
        <v>3</v>
      </c>
      <c r="G7611" t="s">
        <v>65</v>
      </c>
      <c r="H7611" t="s">
        <v>41</v>
      </c>
      <c r="I7611" t="s">
        <v>2189</v>
      </c>
      <c r="J7611" s="10">
        <v>2.99</v>
      </c>
      <c r="K7611" t="b">
        <v>1</v>
      </c>
    </row>
    <row r="7612" spans="1:11">
      <c r="A7612" s="12">
        <v>42592</v>
      </c>
      <c r="B7612">
        <v>2016</v>
      </c>
      <c r="C7612">
        <v>8</v>
      </c>
      <c r="D7612" s="11">
        <v>42583</v>
      </c>
      <c r="E7612" t="s">
        <v>2180</v>
      </c>
      <c r="F7612">
        <v>3</v>
      </c>
      <c r="G7612" t="s">
        <v>65</v>
      </c>
      <c r="H7612" t="s">
        <v>42</v>
      </c>
      <c r="I7612" t="s">
        <v>2190</v>
      </c>
      <c r="J7612" s="10">
        <v>7</v>
      </c>
      <c r="K7612" t="b">
        <v>1</v>
      </c>
    </row>
    <row r="7613" spans="1:11">
      <c r="A7613" s="12">
        <v>42592</v>
      </c>
      <c r="B7613">
        <v>2016</v>
      </c>
      <c r="C7613">
        <v>8</v>
      </c>
      <c r="D7613" s="11">
        <v>42583</v>
      </c>
      <c r="E7613" t="s">
        <v>2180</v>
      </c>
      <c r="F7613">
        <v>3</v>
      </c>
      <c r="G7613" t="s">
        <v>65</v>
      </c>
      <c r="H7613" t="s">
        <v>43</v>
      </c>
      <c r="I7613" t="s">
        <v>2191</v>
      </c>
      <c r="J7613" s="10">
        <v>24.1</v>
      </c>
      <c r="K7613" t="b">
        <v>1</v>
      </c>
    </row>
    <row r="7614" spans="1:11">
      <c r="A7614" s="12">
        <v>42592</v>
      </c>
      <c r="B7614">
        <v>2016</v>
      </c>
      <c r="C7614">
        <v>8</v>
      </c>
      <c r="D7614" s="11">
        <v>42583</v>
      </c>
      <c r="E7614" t="s">
        <v>2180</v>
      </c>
      <c r="F7614">
        <v>3</v>
      </c>
      <c r="G7614" t="s">
        <v>65</v>
      </c>
      <c r="H7614" t="s">
        <v>44</v>
      </c>
      <c r="I7614" t="s">
        <v>2192</v>
      </c>
      <c r="J7614" s="10">
        <v>11</v>
      </c>
      <c r="K7614" t="b">
        <v>1</v>
      </c>
    </row>
    <row r="7615" spans="1:11">
      <c r="A7615" s="12">
        <v>42592</v>
      </c>
      <c r="B7615">
        <v>2016</v>
      </c>
      <c r="C7615">
        <v>8</v>
      </c>
      <c r="D7615" s="11">
        <v>42583</v>
      </c>
      <c r="E7615" t="s">
        <v>2180</v>
      </c>
      <c r="F7615">
        <v>3</v>
      </c>
      <c r="G7615" t="s">
        <v>65</v>
      </c>
      <c r="H7615" t="s">
        <v>45</v>
      </c>
      <c r="I7615" t="s">
        <v>2193</v>
      </c>
      <c r="J7615" s="10">
        <v>0</v>
      </c>
      <c r="K7615" t="b">
        <v>1</v>
      </c>
    </row>
    <row r="7616" spans="1:11">
      <c r="A7616" s="12">
        <v>42592</v>
      </c>
      <c r="B7616">
        <v>2016</v>
      </c>
      <c r="C7616">
        <v>8</v>
      </c>
      <c r="D7616" s="11">
        <v>42583</v>
      </c>
      <c r="E7616" t="s">
        <v>2180</v>
      </c>
      <c r="F7616">
        <v>3</v>
      </c>
      <c r="G7616" t="s">
        <v>65</v>
      </c>
      <c r="H7616" t="s">
        <v>46</v>
      </c>
      <c r="I7616" t="s">
        <v>2194</v>
      </c>
      <c r="J7616" s="10">
        <v>3</v>
      </c>
      <c r="K7616" t="b">
        <v>1</v>
      </c>
    </row>
    <row r="7617" spans="1:11">
      <c r="A7617" s="12">
        <v>42592</v>
      </c>
      <c r="B7617">
        <v>2016</v>
      </c>
      <c r="C7617">
        <v>8</v>
      </c>
      <c r="D7617" s="11">
        <v>42583</v>
      </c>
      <c r="E7617" t="s">
        <v>2180</v>
      </c>
      <c r="F7617">
        <v>3</v>
      </c>
      <c r="G7617" t="s">
        <v>65</v>
      </c>
      <c r="H7617" t="s">
        <v>47</v>
      </c>
      <c r="I7617" t="s">
        <v>2195</v>
      </c>
      <c r="J7617" s="10">
        <v>2</v>
      </c>
      <c r="K7617" t="b">
        <v>1</v>
      </c>
    </row>
    <row r="7618" spans="1:11">
      <c r="A7618" s="12">
        <v>42593</v>
      </c>
      <c r="B7618">
        <v>2016</v>
      </c>
      <c r="C7618">
        <v>8</v>
      </c>
      <c r="D7618" s="11">
        <v>42583</v>
      </c>
      <c r="E7618" t="s">
        <v>2180</v>
      </c>
      <c r="F7618">
        <v>4</v>
      </c>
      <c r="G7618" t="s">
        <v>53</v>
      </c>
      <c r="H7618" t="s">
        <v>40</v>
      </c>
      <c r="I7618" t="s">
        <v>2188</v>
      </c>
      <c r="J7618" s="10">
        <v>5.67</v>
      </c>
      <c r="K7618" t="b">
        <v>1</v>
      </c>
    </row>
    <row r="7619" spans="1:11">
      <c r="A7619" s="12">
        <v>42593</v>
      </c>
      <c r="B7619">
        <v>2016</v>
      </c>
      <c r="C7619">
        <v>8</v>
      </c>
      <c r="D7619" s="11">
        <v>42583</v>
      </c>
      <c r="E7619" t="s">
        <v>2180</v>
      </c>
      <c r="F7619">
        <v>4</v>
      </c>
      <c r="G7619" t="s">
        <v>53</v>
      </c>
      <c r="H7619" t="s">
        <v>41</v>
      </c>
      <c r="I7619" t="s">
        <v>2189</v>
      </c>
      <c r="J7619" s="10">
        <v>3.66</v>
      </c>
      <c r="K7619" t="b">
        <v>1</v>
      </c>
    </row>
    <row r="7620" spans="1:11">
      <c r="A7620" s="12">
        <v>42593</v>
      </c>
      <c r="B7620">
        <v>2016</v>
      </c>
      <c r="C7620">
        <v>8</v>
      </c>
      <c r="D7620" s="11">
        <v>42583</v>
      </c>
      <c r="E7620" t="s">
        <v>2180</v>
      </c>
      <c r="F7620">
        <v>4</v>
      </c>
      <c r="G7620" t="s">
        <v>53</v>
      </c>
      <c r="H7620" t="s">
        <v>42</v>
      </c>
      <c r="I7620" t="s">
        <v>2190</v>
      </c>
      <c r="J7620" s="10">
        <v>0</v>
      </c>
      <c r="K7620" t="b">
        <v>1</v>
      </c>
    </row>
    <row r="7621" spans="1:11">
      <c r="A7621" s="12">
        <v>42593</v>
      </c>
      <c r="B7621">
        <v>2016</v>
      </c>
      <c r="C7621">
        <v>8</v>
      </c>
      <c r="D7621" s="11">
        <v>42583</v>
      </c>
      <c r="E7621" t="s">
        <v>2180</v>
      </c>
      <c r="F7621">
        <v>4</v>
      </c>
      <c r="G7621" t="s">
        <v>53</v>
      </c>
      <c r="H7621" t="s">
        <v>43</v>
      </c>
      <c r="I7621" t="s">
        <v>2191</v>
      </c>
      <c r="J7621" s="10">
        <v>25</v>
      </c>
      <c r="K7621" t="b">
        <v>1</v>
      </c>
    </row>
    <row r="7622" spans="1:11">
      <c r="A7622" s="12">
        <v>42593</v>
      </c>
      <c r="B7622">
        <v>2016</v>
      </c>
      <c r="C7622">
        <v>8</v>
      </c>
      <c r="D7622" s="11">
        <v>42583</v>
      </c>
      <c r="E7622" t="s">
        <v>2180</v>
      </c>
      <c r="F7622">
        <v>4</v>
      </c>
      <c r="G7622" t="s">
        <v>53</v>
      </c>
      <c r="H7622" t="s">
        <v>44</v>
      </c>
      <c r="I7622" t="s">
        <v>2192</v>
      </c>
      <c r="J7622" s="10">
        <v>1</v>
      </c>
      <c r="K7622" t="b">
        <v>1</v>
      </c>
    </row>
    <row r="7623" spans="1:11">
      <c r="A7623" s="12">
        <v>42593</v>
      </c>
      <c r="B7623">
        <v>2016</v>
      </c>
      <c r="C7623">
        <v>8</v>
      </c>
      <c r="D7623" s="11">
        <v>42583</v>
      </c>
      <c r="E7623" t="s">
        <v>2180</v>
      </c>
      <c r="F7623">
        <v>4</v>
      </c>
      <c r="G7623" t="s">
        <v>53</v>
      </c>
      <c r="H7623" t="s">
        <v>45</v>
      </c>
      <c r="I7623" t="s">
        <v>2193</v>
      </c>
      <c r="J7623" s="10">
        <v>0</v>
      </c>
      <c r="K7623" t="b">
        <v>1</v>
      </c>
    </row>
    <row r="7624" spans="1:11">
      <c r="A7624" s="12">
        <v>42593</v>
      </c>
      <c r="B7624">
        <v>2016</v>
      </c>
      <c r="C7624">
        <v>8</v>
      </c>
      <c r="D7624" s="11">
        <v>42583</v>
      </c>
      <c r="E7624" t="s">
        <v>2180</v>
      </c>
      <c r="F7624">
        <v>4</v>
      </c>
      <c r="G7624" t="s">
        <v>53</v>
      </c>
      <c r="H7624" t="s">
        <v>46</v>
      </c>
      <c r="I7624" t="s">
        <v>2194</v>
      </c>
      <c r="J7624" s="10">
        <v>0</v>
      </c>
      <c r="K7624" t="b">
        <v>1</v>
      </c>
    </row>
    <row r="7625" spans="1:11">
      <c r="A7625" s="12">
        <v>42593</v>
      </c>
      <c r="B7625">
        <v>2016</v>
      </c>
      <c r="C7625">
        <v>8</v>
      </c>
      <c r="D7625" s="11">
        <v>42583</v>
      </c>
      <c r="E7625" t="s">
        <v>2180</v>
      </c>
      <c r="F7625">
        <v>4</v>
      </c>
      <c r="G7625" t="s">
        <v>53</v>
      </c>
      <c r="H7625" t="s">
        <v>47</v>
      </c>
      <c r="I7625" t="s">
        <v>2195</v>
      </c>
      <c r="J7625" s="10">
        <v>2</v>
      </c>
      <c r="K7625" t="b">
        <v>1</v>
      </c>
    </row>
    <row r="7626" spans="1:11">
      <c r="A7626" s="12">
        <v>42594</v>
      </c>
      <c r="B7626">
        <v>2016</v>
      </c>
      <c r="C7626">
        <v>8</v>
      </c>
      <c r="D7626" s="11">
        <v>42583</v>
      </c>
      <c r="E7626" t="s">
        <v>2180</v>
      </c>
      <c r="F7626">
        <v>5</v>
      </c>
      <c r="G7626" t="s">
        <v>55</v>
      </c>
      <c r="H7626" t="s">
        <v>40</v>
      </c>
      <c r="I7626" t="s">
        <v>2188</v>
      </c>
      <c r="J7626" s="10">
        <v>8.66</v>
      </c>
      <c r="K7626" t="b">
        <v>1</v>
      </c>
    </row>
    <row r="7627" spans="1:11">
      <c r="A7627" s="12">
        <v>42594</v>
      </c>
      <c r="B7627">
        <v>2016</v>
      </c>
      <c r="C7627">
        <v>8</v>
      </c>
      <c r="D7627" s="11">
        <v>42583</v>
      </c>
      <c r="E7627" t="s">
        <v>2180</v>
      </c>
      <c r="F7627">
        <v>5</v>
      </c>
      <c r="G7627" t="s">
        <v>55</v>
      </c>
      <c r="H7627" t="s">
        <v>41</v>
      </c>
      <c r="I7627" t="s">
        <v>2189</v>
      </c>
      <c r="J7627" s="10">
        <v>5.66</v>
      </c>
      <c r="K7627" t="b">
        <v>1</v>
      </c>
    </row>
    <row r="7628" spans="1:11">
      <c r="A7628" s="12">
        <v>42594</v>
      </c>
      <c r="B7628">
        <v>2016</v>
      </c>
      <c r="C7628">
        <v>8</v>
      </c>
      <c r="D7628" s="11">
        <v>42583</v>
      </c>
      <c r="E7628" t="s">
        <v>2180</v>
      </c>
      <c r="F7628">
        <v>5</v>
      </c>
      <c r="G7628" t="s">
        <v>55</v>
      </c>
      <c r="H7628" t="s">
        <v>42</v>
      </c>
      <c r="I7628" t="s">
        <v>2190</v>
      </c>
      <c r="J7628" s="10">
        <v>6.1</v>
      </c>
      <c r="K7628" t="b">
        <v>1</v>
      </c>
    </row>
    <row r="7629" spans="1:11">
      <c r="A7629" s="12">
        <v>42594</v>
      </c>
      <c r="B7629">
        <v>2016</v>
      </c>
      <c r="C7629">
        <v>8</v>
      </c>
      <c r="D7629" s="11">
        <v>42583</v>
      </c>
      <c r="E7629" t="s">
        <v>2180</v>
      </c>
      <c r="F7629">
        <v>5</v>
      </c>
      <c r="G7629" t="s">
        <v>55</v>
      </c>
      <c r="H7629" t="s">
        <v>43</v>
      </c>
      <c r="I7629" t="s">
        <v>2191</v>
      </c>
      <c r="J7629" s="10">
        <v>27.6</v>
      </c>
      <c r="K7629" t="b">
        <v>1</v>
      </c>
    </row>
    <row r="7630" spans="1:11">
      <c r="A7630" s="12">
        <v>42594</v>
      </c>
      <c r="B7630">
        <v>2016</v>
      </c>
      <c r="C7630">
        <v>8</v>
      </c>
      <c r="D7630" s="11">
        <v>42583</v>
      </c>
      <c r="E7630" t="s">
        <v>2180</v>
      </c>
      <c r="F7630">
        <v>5</v>
      </c>
      <c r="G7630" t="s">
        <v>55</v>
      </c>
      <c r="H7630" t="s">
        <v>44</v>
      </c>
      <c r="I7630" t="s">
        <v>2192</v>
      </c>
      <c r="J7630" s="10">
        <v>6</v>
      </c>
      <c r="K7630" t="b">
        <v>1</v>
      </c>
    </row>
    <row r="7631" spans="1:11">
      <c r="A7631" s="12">
        <v>42594</v>
      </c>
      <c r="B7631">
        <v>2016</v>
      </c>
      <c r="C7631">
        <v>8</v>
      </c>
      <c r="D7631" s="11">
        <v>42583</v>
      </c>
      <c r="E7631" t="s">
        <v>2180</v>
      </c>
      <c r="F7631">
        <v>5</v>
      </c>
      <c r="G7631" t="s">
        <v>55</v>
      </c>
      <c r="H7631" t="s">
        <v>45</v>
      </c>
      <c r="I7631" t="s">
        <v>2193</v>
      </c>
      <c r="J7631" s="10">
        <v>4</v>
      </c>
      <c r="K7631" t="b">
        <v>1</v>
      </c>
    </row>
    <row r="7632" spans="1:11">
      <c r="A7632" s="12">
        <v>42594</v>
      </c>
      <c r="B7632">
        <v>2016</v>
      </c>
      <c r="C7632">
        <v>8</v>
      </c>
      <c r="D7632" s="11">
        <v>42583</v>
      </c>
      <c r="E7632" t="s">
        <v>2180</v>
      </c>
      <c r="F7632">
        <v>5</v>
      </c>
      <c r="G7632" t="s">
        <v>55</v>
      </c>
      <c r="H7632" t="s">
        <v>46</v>
      </c>
      <c r="I7632" t="s">
        <v>2194</v>
      </c>
      <c r="J7632" s="10">
        <v>0</v>
      </c>
      <c r="K7632" t="b">
        <v>1</v>
      </c>
    </row>
    <row r="7633" spans="1:11">
      <c r="A7633" s="12">
        <v>42594</v>
      </c>
      <c r="B7633">
        <v>2016</v>
      </c>
      <c r="C7633">
        <v>8</v>
      </c>
      <c r="D7633" s="11">
        <v>42583</v>
      </c>
      <c r="E7633" t="s">
        <v>2180</v>
      </c>
      <c r="F7633">
        <v>5</v>
      </c>
      <c r="G7633" t="s">
        <v>55</v>
      </c>
      <c r="H7633" t="s">
        <v>47</v>
      </c>
      <c r="I7633" t="s">
        <v>2195</v>
      </c>
      <c r="J7633" s="10">
        <v>2</v>
      </c>
      <c r="K7633" t="b">
        <v>1</v>
      </c>
    </row>
    <row r="7634" spans="1:11">
      <c r="A7634" s="12">
        <v>42595</v>
      </c>
      <c r="B7634">
        <v>2016</v>
      </c>
      <c r="C7634">
        <v>8</v>
      </c>
      <c r="D7634" s="11">
        <v>42583</v>
      </c>
      <c r="E7634" t="s">
        <v>2180</v>
      </c>
      <c r="F7634">
        <v>6</v>
      </c>
      <c r="G7634" t="s">
        <v>57</v>
      </c>
      <c r="H7634" t="s">
        <v>40</v>
      </c>
      <c r="I7634" t="s">
        <v>2188</v>
      </c>
      <c r="J7634" s="10">
        <v>8</v>
      </c>
      <c r="K7634" t="b">
        <v>1</v>
      </c>
    </row>
    <row r="7635" spans="1:11">
      <c r="A7635" s="12">
        <v>42595</v>
      </c>
      <c r="B7635">
        <v>2016</v>
      </c>
      <c r="C7635">
        <v>8</v>
      </c>
      <c r="D7635" s="11">
        <v>42583</v>
      </c>
      <c r="E7635" t="s">
        <v>2180</v>
      </c>
      <c r="F7635">
        <v>6</v>
      </c>
      <c r="G7635" t="s">
        <v>57</v>
      </c>
      <c r="H7635" t="s">
        <v>41</v>
      </c>
      <c r="I7635" t="s">
        <v>2189</v>
      </c>
      <c r="J7635" s="10">
        <v>6.737</v>
      </c>
      <c r="K7635" t="b">
        <v>1</v>
      </c>
    </row>
    <row r="7636" spans="1:11">
      <c r="A7636" s="12">
        <v>42595</v>
      </c>
      <c r="B7636">
        <v>2016</v>
      </c>
      <c r="C7636">
        <v>8</v>
      </c>
      <c r="D7636" s="11">
        <v>42583</v>
      </c>
      <c r="E7636" t="s">
        <v>2180</v>
      </c>
      <c r="F7636">
        <v>6</v>
      </c>
      <c r="G7636" t="s">
        <v>57</v>
      </c>
      <c r="H7636" t="s">
        <v>42</v>
      </c>
      <c r="I7636" t="s">
        <v>2190</v>
      </c>
      <c r="J7636" s="10">
        <v>5</v>
      </c>
      <c r="K7636" t="b">
        <v>1</v>
      </c>
    </row>
    <row r="7637" spans="1:11">
      <c r="A7637" s="12">
        <v>42595</v>
      </c>
      <c r="B7637">
        <v>2016</v>
      </c>
      <c r="C7637">
        <v>8</v>
      </c>
      <c r="D7637" s="11">
        <v>42583</v>
      </c>
      <c r="E7637" t="s">
        <v>2180</v>
      </c>
      <c r="F7637">
        <v>6</v>
      </c>
      <c r="G7637" t="s">
        <v>57</v>
      </c>
      <c r="H7637" t="s">
        <v>43</v>
      </c>
      <c r="I7637" t="s">
        <v>2191</v>
      </c>
      <c r="J7637" s="10">
        <v>32</v>
      </c>
      <c r="K7637" t="b">
        <v>1</v>
      </c>
    </row>
    <row r="7638" spans="1:11">
      <c r="A7638" s="12">
        <v>42595</v>
      </c>
      <c r="B7638">
        <v>2016</v>
      </c>
      <c r="C7638">
        <v>8</v>
      </c>
      <c r="D7638" s="11">
        <v>42583</v>
      </c>
      <c r="E7638" t="s">
        <v>2180</v>
      </c>
      <c r="F7638">
        <v>6</v>
      </c>
      <c r="G7638" t="s">
        <v>57</v>
      </c>
      <c r="H7638" t="s">
        <v>44</v>
      </c>
      <c r="I7638" t="s">
        <v>2192</v>
      </c>
      <c r="J7638" s="10">
        <v>2</v>
      </c>
      <c r="K7638" t="b">
        <v>1</v>
      </c>
    </row>
    <row r="7639" spans="1:11">
      <c r="A7639" s="12">
        <v>42595</v>
      </c>
      <c r="B7639">
        <v>2016</v>
      </c>
      <c r="C7639">
        <v>8</v>
      </c>
      <c r="D7639" s="11">
        <v>42583</v>
      </c>
      <c r="E7639" t="s">
        <v>2180</v>
      </c>
      <c r="F7639">
        <v>6</v>
      </c>
      <c r="G7639" t="s">
        <v>57</v>
      </c>
      <c r="H7639" t="s">
        <v>45</v>
      </c>
      <c r="I7639" t="s">
        <v>2193</v>
      </c>
      <c r="J7639" s="10">
        <v>0</v>
      </c>
      <c r="K7639" t="b">
        <v>1</v>
      </c>
    </row>
    <row r="7640" spans="1:11">
      <c r="A7640" s="12">
        <v>42595</v>
      </c>
      <c r="B7640">
        <v>2016</v>
      </c>
      <c r="C7640">
        <v>8</v>
      </c>
      <c r="D7640" s="11">
        <v>42583</v>
      </c>
      <c r="E7640" t="s">
        <v>2180</v>
      </c>
      <c r="F7640">
        <v>6</v>
      </c>
      <c r="G7640" t="s">
        <v>57</v>
      </c>
      <c r="H7640" t="s">
        <v>46</v>
      </c>
      <c r="I7640" t="s">
        <v>2194</v>
      </c>
      <c r="J7640" s="10">
        <v>0</v>
      </c>
      <c r="K7640" t="b">
        <v>1</v>
      </c>
    </row>
    <row r="7641" spans="1:11">
      <c r="A7641" s="12">
        <v>42595</v>
      </c>
      <c r="B7641">
        <v>2016</v>
      </c>
      <c r="C7641">
        <v>8</v>
      </c>
      <c r="D7641" s="11">
        <v>42583</v>
      </c>
      <c r="E7641" t="s">
        <v>2180</v>
      </c>
      <c r="F7641">
        <v>6</v>
      </c>
      <c r="G7641" t="s">
        <v>57</v>
      </c>
      <c r="H7641" t="s">
        <v>47</v>
      </c>
      <c r="I7641" t="s">
        <v>2195</v>
      </c>
      <c r="J7641" s="10">
        <v>5</v>
      </c>
      <c r="K7641" t="b">
        <v>1</v>
      </c>
    </row>
    <row r="7642" spans="1:11">
      <c r="A7642" s="12">
        <v>42596</v>
      </c>
      <c r="B7642">
        <v>2016</v>
      </c>
      <c r="C7642">
        <v>8</v>
      </c>
      <c r="D7642" s="11">
        <v>42583</v>
      </c>
      <c r="E7642" t="s">
        <v>2180</v>
      </c>
      <c r="F7642">
        <v>7</v>
      </c>
      <c r="G7642" t="s">
        <v>59</v>
      </c>
      <c r="H7642" t="s">
        <v>40</v>
      </c>
      <c r="I7642" t="s">
        <v>2188</v>
      </c>
      <c r="J7642" s="10">
        <v>5</v>
      </c>
      <c r="K7642" t="b">
        <v>1</v>
      </c>
    </row>
    <row r="7643" spans="1:11">
      <c r="A7643" s="12">
        <v>42596</v>
      </c>
      <c r="B7643">
        <v>2016</v>
      </c>
      <c r="C7643">
        <v>8</v>
      </c>
      <c r="D7643" s="11">
        <v>42583</v>
      </c>
      <c r="E7643" t="s">
        <v>2180</v>
      </c>
      <c r="F7643">
        <v>7</v>
      </c>
      <c r="G7643" t="s">
        <v>59</v>
      </c>
      <c r="H7643" t="s">
        <v>41</v>
      </c>
      <c r="I7643" t="s">
        <v>2189</v>
      </c>
      <c r="J7643" s="10">
        <v>4.857</v>
      </c>
      <c r="K7643" t="b">
        <v>1</v>
      </c>
    </row>
    <row r="7644" spans="1:11">
      <c r="A7644" s="12">
        <v>42596</v>
      </c>
      <c r="B7644">
        <v>2016</v>
      </c>
      <c r="C7644">
        <v>8</v>
      </c>
      <c r="D7644" s="11">
        <v>42583</v>
      </c>
      <c r="E7644" t="s">
        <v>2180</v>
      </c>
      <c r="F7644">
        <v>7</v>
      </c>
      <c r="G7644" t="s">
        <v>59</v>
      </c>
      <c r="H7644" t="s">
        <v>42</v>
      </c>
      <c r="I7644" t="s">
        <v>2190</v>
      </c>
      <c r="J7644" s="10">
        <v>4.5</v>
      </c>
      <c r="K7644" t="b">
        <v>1</v>
      </c>
    </row>
    <row r="7645" spans="1:11">
      <c r="A7645" s="12">
        <v>42596</v>
      </c>
      <c r="B7645">
        <v>2016</v>
      </c>
      <c r="C7645">
        <v>8</v>
      </c>
      <c r="D7645" s="11">
        <v>42583</v>
      </c>
      <c r="E7645" t="s">
        <v>2180</v>
      </c>
      <c r="F7645">
        <v>7</v>
      </c>
      <c r="G7645" t="s">
        <v>59</v>
      </c>
      <c r="H7645" t="s">
        <v>43</v>
      </c>
      <c r="I7645" t="s">
        <v>2191</v>
      </c>
      <c r="J7645" s="10">
        <v>18.21666667</v>
      </c>
      <c r="K7645" t="b">
        <v>1</v>
      </c>
    </row>
    <row r="7646" spans="1:11">
      <c r="A7646" s="12">
        <v>42596</v>
      </c>
      <c r="B7646">
        <v>2016</v>
      </c>
      <c r="C7646">
        <v>8</v>
      </c>
      <c r="D7646" s="11">
        <v>42583</v>
      </c>
      <c r="E7646" t="s">
        <v>2180</v>
      </c>
      <c r="F7646">
        <v>7</v>
      </c>
      <c r="G7646" t="s">
        <v>59</v>
      </c>
      <c r="H7646" t="s">
        <v>44</v>
      </c>
      <c r="I7646" t="s">
        <v>2192</v>
      </c>
      <c r="J7646" s="10">
        <v>2</v>
      </c>
      <c r="K7646" t="b">
        <v>1</v>
      </c>
    </row>
    <row r="7647" spans="1:11">
      <c r="A7647" s="12">
        <v>42596</v>
      </c>
      <c r="B7647">
        <v>2016</v>
      </c>
      <c r="C7647">
        <v>8</v>
      </c>
      <c r="D7647" s="11">
        <v>42583</v>
      </c>
      <c r="E7647" t="s">
        <v>2180</v>
      </c>
      <c r="F7647">
        <v>7</v>
      </c>
      <c r="G7647" t="s">
        <v>59</v>
      </c>
      <c r="H7647" t="s">
        <v>45</v>
      </c>
      <c r="I7647" t="s">
        <v>2193</v>
      </c>
      <c r="J7647" s="10">
        <v>0</v>
      </c>
      <c r="K7647" t="b">
        <v>1</v>
      </c>
    </row>
    <row r="7648" spans="1:11">
      <c r="A7648" s="12">
        <v>42596</v>
      </c>
      <c r="B7648">
        <v>2016</v>
      </c>
      <c r="C7648">
        <v>8</v>
      </c>
      <c r="D7648" s="11">
        <v>42583</v>
      </c>
      <c r="E7648" t="s">
        <v>2180</v>
      </c>
      <c r="F7648">
        <v>7</v>
      </c>
      <c r="G7648" t="s">
        <v>59</v>
      </c>
      <c r="H7648" t="s">
        <v>46</v>
      </c>
      <c r="I7648" t="s">
        <v>2194</v>
      </c>
      <c r="J7648" s="10">
        <v>7</v>
      </c>
      <c r="K7648" t="b">
        <v>1</v>
      </c>
    </row>
    <row r="7649" spans="1:11">
      <c r="A7649" s="12">
        <v>42596</v>
      </c>
      <c r="B7649">
        <v>2016</v>
      </c>
      <c r="C7649">
        <v>8</v>
      </c>
      <c r="D7649" s="11">
        <v>42583</v>
      </c>
      <c r="E7649" t="s">
        <v>2180</v>
      </c>
      <c r="F7649">
        <v>7</v>
      </c>
      <c r="G7649" t="s">
        <v>59</v>
      </c>
      <c r="H7649" t="s">
        <v>47</v>
      </c>
      <c r="I7649" t="s">
        <v>2195</v>
      </c>
      <c r="J7649" s="10">
        <v>0</v>
      </c>
      <c r="K7649" t="b">
        <v>1</v>
      </c>
    </row>
    <row r="7650" spans="1:11">
      <c r="A7650" s="12">
        <v>42597</v>
      </c>
      <c r="B7650">
        <v>2016</v>
      </c>
      <c r="C7650">
        <v>8</v>
      </c>
      <c r="D7650" s="11">
        <v>42583</v>
      </c>
      <c r="E7650" t="s">
        <v>2180</v>
      </c>
      <c r="F7650">
        <v>1</v>
      </c>
      <c r="G7650" t="s">
        <v>61</v>
      </c>
      <c r="H7650" t="s">
        <v>40</v>
      </c>
      <c r="I7650" t="s">
        <v>2188</v>
      </c>
      <c r="J7650" s="10">
        <v>5</v>
      </c>
      <c r="K7650" t="b">
        <v>1</v>
      </c>
    </row>
    <row r="7651" spans="1:11">
      <c r="A7651" s="12">
        <v>42597</v>
      </c>
      <c r="B7651">
        <v>2016</v>
      </c>
      <c r="C7651">
        <v>8</v>
      </c>
      <c r="D7651" s="11">
        <v>42583</v>
      </c>
      <c r="E7651" t="s">
        <v>2180</v>
      </c>
      <c r="F7651">
        <v>1</v>
      </c>
      <c r="G7651" t="s">
        <v>61</v>
      </c>
      <c r="H7651" t="s">
        <v>41</v>
      </c>
      <c r="I7651" t="s">
        <v>2189</v>
      </c>
      <c r="J7651" s="10">
        <v>2.33</v>
      </c>
      <c r="K7651" t="b">
        <v>1</v>
      </c>
    </row>
    <row r="7652" spans="1:11">
      <c r="A7652" s="12">
        <v>42597</v>
      </c>
      <c r="B7652">
        <v>2016</v>
      </c>
      <c r="C7652">
        <v>8</v>
      </c>
      <c r="D7652" s="11">
        <v>42583</v>
      </c>
      <c r="E7652" t="s">
        <v>2180</v>
      </c>
      <c r="F7652">
        <v>1</v>
      </c>
      <c r="G7652" t="s">
        <v>61</v>
      </c>
      <c r="H7652" t="s">
        <v>42</v>
      </c>
      <c r="I7652" t="s">
        <v>2190</v>
      </c>
      <c r="J7652" s="10">
        <v>2</v>
      </c>
      <c r="K7652" t="b">
        <v>1</v>
      </c>
    </row>
    <row r="7653" spans="1:11">
      <c r="A7653" s="12">
        <v>42597</v>
      </c>
      <c r="B7653">
        <v>2016</v>
      </c>
      <c r="C7653">
        <v>8</v>
      </c>
      <c r="D7653" s="11">
        <v>42583</v>
      </c>
      <c r="E7653" t="s">
        <v>2180</v>
      </c>
      <c r="F7653">
        <v>1</v>
      </c>
      <c r="G7653" t="s">
        <v>61</v>
      </c>
      <c r="H7653" t="s">
        <v>43</v>
      </c>
      <c r="I7653" t="s">
        <v>2191</v>
      </c>
      <c r="J7653" s="10">
        <v>21</v>
      </c>
      <c r="K7653" t="b">
        <v>1</v>
      </c>
    </row>
    <row r="7654" spans="1:11">
      <c r="A7654" s="12">
        <v>42597</v>
      </c>
      <c r="B7654">
        <v>2016</v>
      </c>
      <c r="C7654">
        <v>8</v>
      </c>
      <c r="D7654" s="11">
        <v>42583</v>
      </c>
      <c r="E7654" t="s">
        <v>2180</v>
      </c>
      <c r="F7654">
        <v>1</v>
      </c>
      <c r="G7654" t="s">
        <v>61</v>
      </c>
      <c r="H7654" t="s">
        <v>44</v>
      </c>
      <c r="I7654" t="s">
        <v>2192</v>
      </c>
      <c r="J7654" s="10">
        <v>11</v>
      </c>
      <c r="K7654" t="b">
        <v>1</v>
      </c>
    </row>
    <row r="7655" spans="1:11">
      <c r="A7655" s="12">
        <v>42597</v>
      </c>
      <c r="B7655">
        <v>2016</v>
      </c>
      <c r="C7655">
        <v>8</v>
      </c>
      <c r="D7655" s="11">
        <v>42583</v>
      </c>
      <c r="E7655" t="s">
        <v>2180</v>
      </c>
      <c r="F7655">
        <v>1</v>
      </c>
      <c r="G7655" t="s">
        <v>61</v>
      </c>
      <c r="H7655" t="s">
        <v>45</v>
      </c>
      <c r="I7655" t="s">
        <v>2193</v>
      </c>
      <c r="J7655" s="10">
        <v>0</v>
      </c>
      <c r="K7655" t="b">
        <v>1</v>
      </c>
    </row>
    <row r="7656" spans="1:11">
      <c r="A7656" s="12">
        <v>42597</v>
      </c>
      <c r="B7656">
        <v>2016</v>
      </c>
      <c r="C7656">
        <v>8</v>
      </c>
      <c r="D7656" s="11">
        <v>42583</v>
      </c>
      <c r="E7656" t="s">
        <v>2180</v>
      </c>
      <c r="F7656">
        <v>1</v>
      </c>
      <c r="G7656" t="s">
        <v>61</v>
      </c>
      <c r="H7656" t="s">
        <v>46</v>
      </c>
      <c r="I7656" t="s">
        <v>2194</v>
      </c>
      <c r="J7656" s="10">
        <v>0</v>
      </c>
      <c r="K7656" t="b">
        <v>1</v>
      </c>
    </row>
    <row r="7657" spans="1:11">
      <c r="A7657" s="12">
        <v>42597</v>
      </c>
      <c r="B7657">
        <v>2016</v>
      </c>
      <c r="C7657">
        <v>8</v>
      </c>
      <c r="D7657" s="11">
        <v>42583</v>
      </c>
      <c r="E7657" t="s">
        <v>2180</v>
      </c>
      <c r="F7657">
        <v>1</v>
      </c>
      <c r="G7657" t="s">
        <v>61</v>
      </c>
      <c r="H7657" t="s">
        <v>47</v>
      </c>
      <c r="I7657" t="s">
        <v>2195</v>
      </c>
      <c r="J7657" s="10">
        <v>2</v>
      </c>
      <c r="K7657" t="b">
        <v>1</v>
      </c>
    </row>
    <row r="7658" spans="1:11">
      <c r="A7658" s="12">
        <v>42598</v>
      </c>
      <c r="B7658">
        <v>2016</v>
      </c>
      <c r="C7658">
        <v>8</v>
      </c>
      <c r="D7658" s="11">
        <v>42583</v>
      </c>
      <c r="E7658" t="s">
        <v>2180</v>
      </c>
      <c r="F7658">
        <v>2</v>
      </c>
      <c r="G7658" t="s">
        <v>63</v>
      </c>
      <c r="H7658" t="s">
        <v>40</v>
      </c>
      <c r="I7658" t="s">
        <v>2188</v>
      </c>
      <c r="J7658" s="10">
        <v>10</v>
      </c>
      <c r="K7658" t="b">
        <v>1</v>
      </c>
    </row>
    <row r="7659" spans="1:11">
      <c r="A7659" s="12">
        <v>42598</v>
      </c>
      <c r="B7659">
        <v>2016</v>
      </c>
      <c r="C7659">
        <v>8</v>
      </c>
      <c r="D7659" s="11">
        <v>42583</v>
      </c>
      <c r="E7659" t="s">
        <v>2180</v>
      </c>
      <c r="F7659">
        <v>2</v>
      </c>
      <c r="G7659" t="s">
        <v>63</v>
      </c>
      <c r="H7659" t="s">
        <v>41</v>
      </c>
      <c r="I7659" t="s">
        <v>2189</v>
      </c>
      <c r="J7659" s="10">
        <v>4.66</v>
      </c>
      <c r="K7659" t="b">
        <v>1</v>
      </c>
    </row>
    <row r="7660" spans="1:11">
      <c r="A7660" s="12">
        <v>42598</v>
      </c>
      <c r="B7660">
        <v>2016</v>
      </c>
      <c r="C7660">
        <v>8</v>
      </c>
      <c r="D7660" s="11">
        <v>42583</v>
      </c>
      <c r="E7660" t="s">
        <v>2180</v>
      </c>
      <c r="F7660">
        <v>2</v>
      </c>
      <c r="G7660" t="s">
        <v>63</v>
      </c>
      <c r="H7660" t="s">
        <v>42</v>
      </c>
      <c r="I7660" t="s">
        <v>2190</v>
      </c>
      <c r="J7660" s="10">
        <v>3</v>
      </c>
      <c r="K7660" t="b">
        <v>1</v>
      </c>
    </row>
    <row r="7661" spans="1:11">
      <c r="A7661" s="12">
        <v>42598</v>
      </c>
      <c r="B7661">
        <v>2016</v>
      </c>
      <c r="C7661">
        <v>8</v>
      </c>
      <c r="D7661" s="11">
        <v>42583</v>
      </c>
      <c r="E7661" t="s">
        <v>2180</v>
      </c>
      <c r="F7661">
        <v>2</v>
      </c>
      <c r="G7661" t="s">
        <v>63</v>
      </c>
      <c r="H7661" t="s">
        <v>43</v>
      </c>
      <c r="I7661" t="s">
        <v>2191</v>
      </c>
      <c r="J7661" s="10">
        <v>14.45</v>
      </c>
      <c r="K7661" t="b">
        <v>1</v>
      </c>
    </row>
    <row r="7662" spans="1:11">
      <c r="A7662" s="12">
        <v>42598</v>
      </c>
      <c r="B7662">
        <v>2016</v>
      </c>
      <c r="C7662">
        <v>8</v>
      </c>
      <c r="D7662" s="11">
        <v>42583</v>
      </c>
      <c r="E7662" t="s">
        <v>2180</v>
      </c>
      <c r="F7662">
        <v>2</v>
      </c>
      <c r="G7662" t="s">
        <v>63</v>
      </c>
      <c r="H7662" t="s">
        <v>44</v>
      </c>
      <c r="I7662" t="s">
        <v>2192</v>
      </c>
      <c r="J7662" s="10">
        <v>4</v>
      </c>
      <c r="K7662" t="b">
        <v>1</v>
      </c>
    </row>
    <row r="7663" spans="1:11">
      <c r="A7663" s="12">
        <v>42598</v>
      </c>
      <c r="B7663">
        <v>2016</v>
      </c>
      <c r="C7663">
        <v>8</v>
      </c>
      <c r="D7663" s="11">
        <v>42583</v>
      </c>
      <c r="E7663" t="s">
        <v>2180</v>
      </c>
      <c r="F7663">
        <v>2</v>
      </c>
      <c r="G7663" t="s">
        <v>63</v>
      </c>
      <c r="H7663" t="s">
        <v>45</v>
      </c>
      <c r="I7663" t="s">
        <v>2193</v>
      </c>
      <c r="J7663" s="10">
        <v>0</v>
      </c>
      <c r="K7663" t="b">
        <v>1</v>
      </c>
    </row>
    <row r="7664" spans="1:11">
      <c r="A7664" s="12">
        <v>42598</v>
      </c>
      <c r="B7664">
        <v>2016</v>
      </c>
      <c r="C7664">
        <v>8</v>
      </c>
      <c r="D7664" s="11">
        <v>42583</v>
      </c>
      <c r="E7664" t="s">
        <v>2180</v>
      </c>
      <c r="F7664">
        <v>2</v>
      </c>
      <c r="G7664" t="s">
        <v>63</v>
      </c>
      <c r="H7664" t="s">
        <v>46</v>
      </c>
      <c r="I7664" t="s">
        <v>2194</v>
      </c>
      <c r="J7664" s="10">
        <v>11</v>
      </c>
      <c r="K7664" t="b">
        <v>1</v>
      </c>
    </row>
    <row r="7665" spans="1:11">
      <c r="A7665" s="12">
        <v>42598</v>
      </c>
      <c r="B7665">
        <v>2016</v>
      </c>
      <c r="C7665">
        <v>8</v>
      </c>
      <c r="D7665" s="11">
        <v>42583</v>
      </c>
      <c r="E7665" t="s">
        <v>2180</v>
      </c>
      <c r="F7665">
        <v>2</v>
      </c>
      <c r="G7665" t="s">
        <v>63</v>
      </c>
      <c r="H7665" t="s">
        <v>47</v>
      </c>
      <c r="I7665" t="s">
        <v>2195</v>
      </c>
      <c r="J7665" s="10">
        <v>3.5</v>
      </c>
      <c r="K7665" t="b">
        <v>1</v>
      </c>
    </row>
    <row r="7666" spans="1:11">
      <c r="A7666" s="12">
        <v>42599</v>
      </c>
      <c r="B7666">
        <v>2016</v>
      </c>
      <c r="C7666">
        <v>8</v>
      </c>
      <c r="D7666" s="11">
        <v>42583</v>
      </c>
      <c r="E7666" t="s">
        <v>2180</v>
      </c>
      <c r="F7666">
        <v>3</v>
      </c>
      <c r="G7666" t="s">
        <v>65</v>
      </c>
      <c r="H7666" t="s">
        <v>40</v>
      </c>
      <c r="I7666" t="s">
        <v>2188</v>
      </c>
      <c r="J7666" s="10">
        <v>8.66</v>
      </c>
      <c r="K7666" t="b">
        <v>1</v>
      </c>
    </row>
    <row r="7667" spans="1:11">
      <c r="A7667" s="12">
        <v>42599</v>
      </c>
      <c r="B7667">
        <v>2016</v>
      </c>
      <c r="C7667">
        <v>8</v>
      </c>
      <c r="D7667" s="11">
        <v>42583</v>
      </c>
      <c r="E7667" t="s">
        <v>2180</v>
      </c>
      <c r="F7667">
        <v>3</v>
      </c>
      <c r="G7667" t="s">
        <v>65</v>
      </c>
      <c r="H7667" t="s">
        <v>41</v>
      </c>
      <c r="I7667" t="s">
        <v>2189</v>
      </c>
      <c r="J7667" s="10">
        <v>2.01</v>
      </c>
      <c r="K7667" t="b">
        <v>1</v>
      </c>
    </row>
    <row r="7668" spans="1:11">
      <c r="A7668" s="12">
        <v>42599</v>
      </c>
      <c r="B7668">
        <v>2016</v>
      </c>
      <c r="C7668">
        <v>8</v>
      </c>
      <c r="D7668" s="11">
        <v>42583</v>
      </c>
      <c r="E7668" t="s">
        <v>2180</v>
      </c>
      <c r="F7668">
        <v>3</v>
      </c>
      <c r="G7668" t="s">
        <v>65</v>
      </c>
      <c r="H7668" t="s">
        <v>42</v>
      </c>
      <c r="I7668" t="s">
        <v>2190</v>
      </c>
      <c r="J7668" s="10">
        <v>4</v>
      </c>
      <c r="K7668" t="b">
        <v>1</v>
      </c>
    </row>
    <row r="7669" spans="1:11">
      <c r="A7669" s="12">
        <v>42599</v>
      </c>
      <c r="B7669">
        <v>2016</v>
      </c>
      <c r="C7669">
        <v>8</v>
      </c>
      <c r="D7669" s="11">
        <v>42583</v>
      </c>
      <c r="E7669" t="s">
        <v>2180</v>
      </c>
      <c r="F7669">
        <v>3</v>
      </c>
      <c r="G7669" t="s">
        <v>65</v>
      </c>
      <c r="H7669" t="s">
        <v>43</v>
      </c>
      <c r="I7669" t="s">
        <v>2191</v>
      </c>
      <c r="J7669" s="10">
        <v>9.5</v>
      </c>
      <c r="K7669" t="b">
        <v>1</v>
      </c>
    </row>
    <row r="7670" spans="1:11">
      <c r="A7670" s="12">
        <v>42599</v>
      </c>
      <c r="B7670">
        <v>2016</v>
      </c>
      <c r="C7670">
        <v>8</v>
      </c>
      <c r="D7670" s="11">
        <v>42583</v>
      </c>
      <c r="E7670" t="s">
        <v>2180</v>
      </c>
      <c r="F7670">
        <v>3</v>
      </c>
      <c r="G7670" t="s">
        <v>65</v>
      </c>
      <c r="H7670" t="s">
        <v>44</v>
      </c>
      <c r="I7670" t="s">
        <v>2192</v>
      </c>
      <c r="J7670" s="10">
        <v>7</v>
      </c>
      <c r="K7670" t="b">
        <v>1</v>
      </c>
    </row>
    <row r="7671" spans="1:11">
      <c r="A7671" s="12">
        <v>42599</v>
      </c>
      <c r="B7671">
        <v>2016</v>
      </c>
      <c r="C7671">
        <v>8</v>
      </c>
      <c r="D7671" s="11">
        <v>42583</v>
      </c>
      <c r="E7671" t="s">
        <v>2180</v>
      </c>
      <c r="F7671">
        <v>3</v>
      </c>
      <c r="G7671" t="s">
        <v>65</v>
      </c>
      <c r="H7671" t="s">
        <v>45</v>
      </c>
      <c r="I7671" t="s">
        <v>2193</v>
      </c>
      <c r="J7671" s="10">
        <v>0</v>
      </c>
      <c r="K7671" t="b">
        <v>1</v>
      </c>
    </row>
    <row r="7672" spans="1:11">
      <c r="A7672" s="12">
        <v>42599</v>
      </c>
      <c r="B7672">
        <v>2016</v>
      </c>
      <c r="C7672">
        <v>8</v>
      </c>
      <c r="D7672" s="11">
        <v>42583</v>
      </c>
      <c r="E7672" t="s">
        <v>2180</v>
      </c>
      <c r="F7672">
        <v>3</v>
      </c>
      <c r="G7672" t="s">
        <v>65</v>
      </c>
      <c r="H7672" t="s">
        <v>46</v>
      </c>
      <c r="I7672" t="s">
        <v>2194</v>
      </c>
      <c r="J7672" s="10">
        <v>5</v>
      </c>
      <c r="K7672" t="b">
        <v>1</v>
      </c>
    </row>
    <row r="7673" spans="1:11">
      <c r="A7673" s="12">
        <v>42599</v>
      </c>
      <c r="B7673">
        <v>2016</v>
      </c>
      <c r="C7673">
        <v>8</v>
      </c>
      <c r="D7673" s="11">
        <v>42583</v>
      </c>
      <c r="E7673" t="s">
        <v>2180</v>
      </c>
      <c r="F7673">
        <v>3</v>
      </c>
      <c r="G7673" t="s">
        <v>65</v>
      </c>
      <c r="H7673" t="s">
        <v>47</v>
      </c>
      <c r="I7673" t="s">
        <v>2195</v>
      </c>
      <c r="J7673" s="10">
        <v>5</v>
      </c>
      <c r="K7673" t="b">
        <v>1</v>
      </c>
    </row>
    <row r="7674" spans="1:11">
      <c r="A7674" s="12">
        <v>42600</v>
      </c>
      <c r="B7674">
        <v>2016</v>
      </c>
      <c r="C7674">
        <v>8</v>
      </c>
      <c r="D7674" s="11">
        <v>42583</v>
      </c>
      <c r="E7674" t="s">
        <v>2180</v>
      </c>
      <c r="F7674">
        <v>4</v>
      </c>
      <c r="G7674" t="s">
        <v>53</v>
      </c>
      <c r="H7674" t="s">
        <v>40</v>
      </c>
      <c r="I7674" t="s">
        <v>2188</v>
      </c>
      <c r="J7674" s="10">
        <v>6.99</v>
      </c>
      <c r="K7674" t="b">
        <v>1</v>
      </c>
    </row>
    <row r="7675" spans="1:11">
      <c r="A7675" s="12">
        <v>42600</v>
      </c>
      <c r="B7675">
        <v>2016</v>
      </c>
      <c r="C7675">
        <v>8</v>
      </c>
      <c r="D7675" s="11">
        <v>42583</v>
      </c>
      <c r="E7675" t="s">
        <v>2180</v>
      </c>
      <c r="F7675">
        <v>4</v>
      </c>
      <c r="G7675" t="s">
        <v>53</v>
      </c>
      <c r="H7675" t="s">
        <v>41</v>
      </c>
      <c r="I7675" t="s">
        <v>2189</v>
      </c>
      <c r="J7675" s="10">
        <v>3.363</v>
      </c>
      <c r="K7675" t="b">
        <v>1</v>
      </c>
    </row>
    <row r="7676" spans="1:11">
      <c r="A7676" s="12">
        <v>42600</v>
      </c>
      <c r="B7676">
        <v>2016</v>
      </c>
      <c r="C7676">
        <v>8</v>
      </c>
      <c r="D7676" s="11">
        <v>42583</v>
      </c>
      <c r="E7676" t="s">
        <v>2180</v>
      </c>
      <c r="F7676">
        <v>4</v>
      </c>
      <c r="G7676" t="s">
        <v>53</v>
      </c>
      <c r="H7676" t="s">
        <v>42</v>
      </c>
      <c r="I7676" t="s">
        <v>2190</v>
      </c>
      <c r="J7676" s="10">
        <v>4</v>
      </c>
      <c r="K7676" t="b">
        <v>1</v>
      </c>
    </row>
    <row r="7677" spans="1:11">
      <c r="A7677" s="12">
        <v>42600</v>
      </c>
      <c r="B7677">
        <v>2016</v>
      </c>
      <c r="C7677">
        <v>8</v>
      </c>
      <c r="D7677" s="11">
        <v>42583</v>
      </c>
      <c r="E7677" t="s">
        <v>2180</v>
      </c>
      <c r="F7677">
        <v>4</v>
      </c>
      <c r="G7677" t="s">
        <v>53</v>
      </c>
      <c r="H7677" t="s">
        <v>43</v>
      </c>
      <c r="I7677" t="s">
        <v>2191</v>
      </c>
      <c r="J7677" s="10">
        <v>25.6</v>
      </c>
      <c r="K7677" t="b">
        <v>1</v>
      </c>
    </row>
    <row r="7678" spans="1:11">
      <c r="A7678" s="12">
        <v>42600</v>
      </c>
      <c r="B7678">
        <v>2016</v>
      </c>
      <c r="C7678">
        <v>8</v>
      </c>
      <c r="D7678" s="11">
        <v>42583</v>
      </c>
      <c r="E7678" t="s">
        <v>2180</v>
      </c>
      <c r="F7678">
        <v>4</v>
      </c>
      <c r="G7678" t="s">
        <v>53</v>
      </c>
      <c r="H7678" t="s">
        <v>44</v>
      </c>
      <c r="I7678" t="s">
        <v>2192</v>
      </c>
      <c r="J7678" s="10">
        <v>7</v>
      </c>
      <c r="K7678" t="b">
        <v>1</v>
      </c>
    </row>
    <row r="7679" spans="1:11">
      <c r="A7679" s="12">
        <v>42600</v>
      </c>
      <c r="B7679">
        <v>2016</v>
      </c>
      <c r="C7679">
        <v>8</v>
      </c>
      <c r="D7679" s="11">
        <v>42583</v>
      </c>
      <c r="E7679" t="s">
        <v>2180</v>
      </c>
      <c r="F7679">
        <v>4</v>
      </c>
      <c r="G7679" t="s">
        <v>53</v>
      </c>
      <c r="H7679" t="s">
        <v>45</v>
      </c>
      <c r="I7679" t="s">
        <v>2193</v>
      </c>
      <c r="J7679" s="10">
        <v>0</v>
      </c>
      <c r="K7679" t="b">
        <v>1</v>
      </c>
    </row>
    <row r="7680" spans="1:11">
      <c r="A7680" s="12">
        <v>42600</v>
      </c>
      <c r="B7680">
        <v>2016</v>
      </c>
      <c r="C7680">
        <v>8</v>
      </c>
      <c r="D7680" s="11">
        <v>42583</v>
      </c>
      <c r="E7680" t="s">
        <v>2180</v>
      </c>
      <c r="F7680">
        <v>4</v>
      </c>
      <c r="G7680" t="s">
        <v>53</v>
      </c>
      <c r="H7680" t="s">
        <v>46</v>
      </c>
      <c r="I7680" t="s">
        <v>2194</v>
      </c>
      <c r="J7680" s="10">
        <v>0</v>
      </c>
      <c r="K7680" t="b">
        <v>1</v>
      </c>
    </row>
    <row r="7681" spans="1:11">
      <c r="A7681" s="12">
        <v>42600</v>
      </c>
      <c r="B7681">
        <v>2016</v>
      </c>
      <c r="C7681">
        <v>8</v>
      </c>
      <c r="D7681" s="11">
        <v>42583</v>
      </c>
      <c r="E7681" t="s">
        <v>2180</v>
      </c>
      <c r="F7681">
        <v>4</v>
      </c>
      <c r="G7681" t="s">
        <v>53</v>
      </c>
      <c r="H7681" t="s">
        <v>47</v>
      </c>
      <c r="I7681" t="s">
        <v>2195</v>
      </c>
      <c r="J7681" s="10">
        <v>1</v>
      </c>
      <c r="K7681" t="b">
        <v>1</v>
      </c>
    </row>
    <row r="7682" spans="1:11">
      <c r="A7682" s="12">
        <v>42601</v>
      </c>
      <c r="B7682">
        <v>2016</v>
      </c>
      <c r="C7682">
        <v>8</v>
      </c>
      <c r="D7682" s="11">
        <v>42583</v>
      </c>
      <c r="E7682" t="s">
        <v>2180</v>
      </c>
      <c r="F7682">
        <v>5</v>
      </c>
      <c r="G7682" t="s">
        <v>55</v>
      </c>
      <c r="H7682" t="s">
        <v>40</v>
      </c>
      <c r="I7682" t="s">
        <v>2188</v>
      </c>
      <c r="J7682" s="10">
        <v>1</v>
      </c>
      <c r="K7682" t="b">
        <v>1</v>
      </c>
    </row>
    <row r="7683" spans="1:11">
      <c r="A7683" s="12">
        <v>42601</v>
      </c>
      <c r="B7683">
        <v>2016</v>
      </c>
      <c r="C7683">
        <v>8</v>
      </c>
      <c r="D7683" s="11">
        <v>42583</v>
      </c>
      <c r="E7683" t="s">
        <v>2180</v>
      </c>
      <c r="F7683">
        <v>5</v>
      </c>
      <c r="G7683" t="s">
        <v>55</v>
      </c>
      <c r="H7683" t="s">
        <v>41</v>
      </c>
      <c r="I7683" t="s">
        <v>2189</v>
      </c>
      <c r="J7683" s="10">
        <v>4.33</v>
      </c>
      <c r="K7683" t="b">
        <v>1</v>
      </c>
    </row>
    <row r="7684" spans="1:11">
      <c r="A7684" s="12">
        <v>42601</v>
      </c>
      <c r="B7684">
        <v>2016</v>
      </c>
      <c r="C7684">
        <v>8</v>
      </c>
      <c r="D7684" s="11">
        <v>42583</v>
      </c>
      <c r="E7684" t="s">
        <v>2180</v>
      </c>
      <c r="F7684">
        <v>5</v>
      </c>
      <c r="G7684" t="s">
        <v>55</v>
      </c>
      <c r="H7684" t="s">
        <v>42</v>
      </c>
      <c r="I7684" t="s">
        <v>2190</v>
      </c>
      <c r="J7684" s="10">
        <v>0.6</v>
      </c>
      <c r="K7684" t="b">
        <v>1</v>
      </c>
    </row>
    <row r="7685" spans="1:11">
      <c r="A7685" s="12">
        <v>42601</v>
      </c>
      <c r="B7685">
        <v>2016</v>
      </c>
      <c r="C7685">
        <v>8</v>
      </c>
      <c r="D7685" s="11">
        <v>42583</v>
      </c>
      <c r="E7685" t="s">
        <v>2180</v>
      </c>
      <c r="F7685">
        <v>5</v>
      </c>
      <c r="G7685" t="s">
        <v>55</v>
      </c>
      <c r="H7685" t="s">
        <v>43</v>
      </c>
      <c r="I7685" t="s">
        <v>2191</v>
      </c>
      <c r="J7685" s="10">
        <v>27</v>
      </c>
      <c r="K7685" t="b">
        <v>1</v>
      </c>
    </row>
    <row r="7686" spans="1:11">
      <c r="A7686" s="12">
        <v>42601</v>
      </c>
      <c r="B7686">
        <v>2016</v>
      </c>
      <c r="C7686">
        <v>8</v>
      </c>
      <c r="D7686" s="11">
        <v>42583</v>
      </c>
      <c r="E7686" t="s">
        <v>2180</v>
      </c>
      <c r="F7686">
        <v>5</v>
      </c>
      <c r="G7686" t="s">
        <v>55</v>
      </c>
      <c r="H7686" t="s">
        <v>44</v>
      </c>
      <c r="I7686" t="s">
        <v>2192</v>
      </c>
      <c r="J7686" s="10">
        <v>12</v>
      </c>
      <c r="K7686" t="b">
        <v>1</v>
      </c>
    </row>
    <row r="7687" spans="1:11">
      <c r="A7687" s="12">
        <v>42601</v>
      </c>
      <c r="B7687">
        <v>2016</v>
      </c>
      <c r="C7687">
        <v>8</v>
      </c>
      <c r="D7687" s="11">
        <v>42583</v>
      </c>
      <c r="E7687" t="s">
        <v>2180</v>
      </c>
      <c r="F7687">
        <v>5</v>
      </c>
      <c r="G7687" t="s">
        <v>55</v>
      </c>
      <c r="H7687" t="s">
        <v>45</v>
      </c>
      <c r="I7687" t="s">
        <v>2193</v>
      </c>
      <c r="J7687" s="10">
        <v>0</v>
      </c>
      <c r="K7687" t="b">
        <v>1</v>
      </c>
    </row>
    <row r="7688" spans="1:11">
      <c r="A7688" s="12">
        <v>42601</v>
      </c>
      <c r="B7688">
        <v>2016</v>
      </c>
      <c r="C7688">
        <v>8</v>
      </c>
      <c r="D7688" s="11">
        <v>42583</v>
      </c>
      <c r="E7688" t="s">
        <v>2180</v>
      </c>
      <c r="F7688">
        <v>5</v>
      </c>
      <c r="G7688" t="s">
        <v>55</v>
      </c>
      <c r="H7688" t="s">
        <v>46</v>
      </c>
      <c r="I7688" t="s">
        <v>2194</v>
      </c>
      <c r="J7688" s="10">
        <v>0</v>
      </c>
      <c r="K7688" t="b">
        <v>1</v>
      </c>
    </row>
    <row r="7689" spans="1:11">
      <c r="A7689" s="12">
        <v>42601</v>
      </c>
      <c r="B7689">
        <v>2016</v>
      </c>
      <c r="C7689">
        <v>8</v>
      </c>
      <c r="D7689" s="11">
        <v>42583</v>
      </c>
      <c r="E7689" t="s">
        <v>2180</v>
      </c>
      <c r="F7689">
        <v>5</v>
      </c>
      <c r="G7689" t="s">
        <v>55</v>
      </c>
      <c r="H7689" t="s">
        <v>47</v>
      </c>
      <c r="I7689" t="s">
        <v>2195</v>
      </c>
      <c r="J7689" s="10">
        <v>4</v>
      </c>
      <c r="K7689" t="b">
        <v>1</v>
      </c>
    </row>
    <row r="7690" spans="1:11">
      <c r="A7690" s="12">
        <v>42602</v>
      </c>
      <c r="B7690">
        <v>2016</v>
      </c>
      <c r="C7690">
        <v>8</v>
      </c>
      <c r="D7690" s="11">
        <v>42583</v>
      </c>
      <c r="E7690" t="s">
        <v>2180</v>
      </c>
      <c r="F7690">
        <v>6</v>
      </c>
      <c r="G7690" t="s">
        <v>57</v>
      </c>
      <c r="H7690" t="s">
        <v>40</v>
      </c>
      <c r="I7690" t="s">
        <v>2188</v>
      </c>
      <c r="J7690" s="10">
        <v>4.33</v>
      </c>
      <c r="K7690" t="b">
        <v>1</v>
      </c>
    </row>
    <row r="7691" spans="1:11">
      <c r="A7691" s="12">
        <v>42602</v>
      </c>
      <c r="B7691">
        <v>2016</v>
      </c>
      <c r="C7691">
        <v>8</v>
      </c>
      <c r="D7691" s="11">
        <v>42583</v>
      </c>
      <c r="E7691" t="s">
        <v>2180</v>
      </c>
      <c r="F7691">
        <v>6</v>
      </c>
      <c r="G7691" t="s">
        <v>57</v>
      </c>
      <c r="H7691" t="s">
        <v>41</v>
      </c>
      <c r="I7691" t="s">
        <v>2189</v>
      </c>
      <c r="J7691" s="10">
        <v>2.99</v>
      </c>
      <c r="K7691" t="b">
        <v>1</v>
      </c>
    </row>
    <row r="7692" spans="1:11">
      <c r="A7692" s="12">
        <v>42602</v>
      </c>
      <c r="B7692">
        <v>2016</v>
      </c>
      <c r="C7692">
        <v>8</v>
      </c>
      <c r="D7692" s="11">
        <v>42583</v>
      </c>
      <c r="E7692" t="s">
        <v>2180</v>
      </c>
      <c r="F7692">
        <v>6</v>
      </c>
      <c r="G7692" t="s">
        <v>57</v>
      </c>
      <c r="H7692" t="s">
        <v>42</v>
      </c>
      <c r="I7692" t="s">
        <v>2190</v>
      </c>
      <c r="J7692" s="10">
        <v>6</v>
      </c>
      <c r="K7692" t="b">
        <v>1</v>
      </c>
    </row>
    <row r="7693" spans="1:11">
      <c r="A7693" s="12">
        <v>42602</v>
      </c>
      <c r="B7693">
        <v>2016</v>
      </c>
      <c r="C7693">
        <v>8</v>
      </c>
      <c r="D7693" s="11">
        <v>42583</v>
      </c>
      <c r="E7693" t="s">
        <v>2180</v>
      </c>
      <c r="F7693">
        <v>6</v>
      </c>
      <c r="G7693" t="s">
        <v>57</v>
      </c>
      <c r="H7693" t="s">
        <v>43</v>
      </c>
      <c r="I7693" t="s">
        <v>2191</v>
      </c>
      <c r="J7693" s="10">
        <v>26.2</v>
      </c>
      <c r="K7693" t="b">
        <v>1</v>
      </c>
    </row>
    <row r="7694" spans="1:11">
      <c r="A7694" s="12">
        <v>42602</v>
      </c>
      <c r="B7694">
        <v>2016</v>
      </c>
      <c r="C7694">
        <v>8</v>
      </c>
      <c r="D7694" s="11">
        <v>42583</v>
      </c>
      <c r="E7694" t="s">
        <v>2180</v>
      </c>
      <c r="F7694">
        <v>6</v>
      </c>
      <c r="G7694" t="s">
        <v>57</v>
      </c>
      <c r="H7694" t="s">
        <v>44</v>
      </c>
      <c r="I7694" t="s">
        <v>2192</v>
      </c>
      <c r="J7694" s="10">
        <v>1</v>
      </c>
      <c r="K7694" t="b">
        <v>1</v>
      </c>
    </row>
    <row r="7695" spans="1:11">
      <c r="A7695" s="12">
        <v>42602</v>
      </c>
      <c r="B7695">
        <v>2016</v>
      </c>
      <c r="C7695">
        <v>8</v>
      </c>
      <c r="D7695" s="11">
        <v>42583</v>
      </c>
      <c r="E7695" t="s">
        <v>2180</v>
      </c>
      <c r="F7695">
        <v>6</v>
      </c>
      <c r="G7695" t="s">
        <v>57</v>
      </c>
      <c r="H7695" t="s">
        <v>45</v>
      </c>
      <c r="I7695" t="s">
        <v>2193</v>
      </c>
      <c r="J7695" s="10">
        <v>0</v>
      </c>
      <c r="K7695" t="b">
        <v>1</v>
      </c>
    </row>
    <row r="7696" spans="1:11">
      <c r="A7696" s="12">
        <v>42602</v>
      </c>
      <c r="B7696">
        <v>2016</v>
      </c>
      <c r="C7696">
        <v>8</v>
      </c>
      <c r="D7696" s="11">
        <v>42583</v>
      </c>
      <c r="E7696" t="s">
        <v>2180</v>
      </c>
      <c r="F7696">
        <v>6</v>
      </c>
      <c r="G7696" t="s">
        <v>57</v>
      </c>
      <c r="H7696" t="s">
        <v>46</v>
      </c>
      <c r="I7696" t="s">
        <v>2194</v>
      </c>
      <c r="J7696" s="10">
        <v>0</v>
      </c>
      <c r="K7696" t="b">
        <v>1</v>
      </c>
    </row>
    <row r="7697" spans="1:11">
      <c r="A7697" s="12">
        <v>42602</v>
      </c>
      <c r="B7697">
        <v>2016</v>
      </c>
      <c r="C7697">
        <v>8</v>
      </c>
      <c r="D7697" s="11">
        <v>42583</v>
      </c>
      <c r="E7697" t="s">
        <v>2180</v>
      </c>
      <c r="F7697">
        <v>6</v>
      </c>
      <c r="G7697" t="s">
        <v>57</v>
      </c>
      <c r="H7697" t="s">
        <v>47</v>
      </c>
      <c r="I7697" t="s">
        <v>2195</v>
      </c>
      <c r="J7697" s="10">
        <v>6</v>
      </c>
      <c r="K7697" t="b">
        <v>1</v>
      </c>
    </row>
    <row r="7698" spans="1:11">
      <c r="A7698" s="12">
        <v>42603</v>
      </c>
      <c r="B7698">
        <v>2016</v>
      </c>
      <c r="C7698">
        <v>8</v>
      </c>
      <c r="D7698" s="11">
        <v>42583</v>
      </c>
      <c r="E7698" t="s">
        <v>2180</v>
      </c>
      <c r="F7698">
        <v>7</v>
      </c>
      <c r="G7698" t="s">
        <v>59</v>
      </c>
      <c r="H7698" t="s">
        <v>40</v>
      </c>
      <c r="I7698" t="s">
        <v>2188</v>
      </c>
      <c r="J7698" s="10">
        <v>8</v>
      </c>
      <c r="K7698" t="b">
        <v>1</v>
      </c>
    </row>
    <row r="7699" spans="1:11">
      <c r="A7699" s="12">
        <v>42603</v>
      </c>
      <c r="B7699">
        <v>2016</v>
      </c>
      <c r="C7699">
        <v>8</v>
      </c>
      <c r="D7699" s="11">
        <v>42583</v>
      </c>
      <c r="E7699" t="s">
        <v>2180</v>
      </c>
      <c r="F7699">
        <v>7</v>
      </c>
      <c r="G7699" t="s">
        <v>59</v>
      </c>
      <c r="H7699" t="s">
        <v>41</v>
      </c>
      <c r="I7699" t="s">
        <v>2189</v>
      </c>
      <c r="J7699" s="10">
        <v>3.627</v>
      </c>
      <c r="K7699" t="b">
        <v>1</v>
      </c>
    </row>
    <row r="7700" spans="1:11">
      <c r="A7700" s="12">
        <v>42603</v>
      </c>
      <c r="B7700">
        <v>2016</v>
      </c>
      <c r="C7700">
        <v>8</v>
      </c>
      <c r="D7700" s="11">
        <v>42583</v>
      </c>
      <c r="E7700" t="s">
        <v>2180</v>
      </c>
      <c r="F7700">
        <v>7</v>
      </c>
      <c r="G7700" t="s">
        <v>59</v>
      </c>
      <c r="H7700" t="s">
        <v>42</v>
      </c>
      <c r="I7700" t="s">
        <v>2190</v>
      </c>
      <c r="J7700" s="10">
        <v>7.4</v>
      </c>
      <c r="K7700" t="b">
        <v>1</v>
      </c>
    </row>
    <row r="7701" spans="1:11">
      <c r="A7701" s="12">
        <v>42603</v>
      </c>
      <c r="B7701">
        <v>2016</v>
      </c>
      <c r="C7701">
        <v>8</v>
      </c>
      <c r="D7701" s="11">
        <v>42583</v>
      </c>
      <c r="E7701" t="s">
        <v>2180</v>
      </c>
      <c r="F7701">
        <v>7</v>
      </c>
      <c r="G7701" t="s">
        <v>59</v>
      </c>
      <c r="H7701" t="s">
        <v>43</v>
      </c>
      <c r="I7701" t="s">
        <v>2191</v>
      </c>
      <c r="J7701" s="10">
        <v>39</v>
      </c>
      <c r="K7701" t="b">
        <v>1</v>
      </c>
    </row>
    <row r="7702" spans="1:11">
      <c r="A7702" s="12">
        <v>42603</v>
      </c>
      <c r="B7702">
        <v>2016</v>
      </c>
      <c r="C7702">
        <v>8</v>
      </c>
      <c r="D7702" s="11">
        <v>42583</v>
      </c>
      <c r="E7702" t="s">
        <v>2180</v>
      </c>
      <c r="F7702">
        <v>7</v>
      </c>
      <c r="G7702" t="s">
        <v>59</v>
      </c>
      <c r="H7702" t="s">
        <v>44</v>
      </c>
      <c r="I7702" t="s">
        <v>2192</v>
      </c>
      <c r="J7702" s="10">
        <v>3</v>
      </c>
      <c r="K7702" t="b">
        <v>1</v>
      </c>
    </row>
    <row r="7703" spans="1:11">
      <c r="A7703" s="12">
        <v>42603</v>
      </c>
      <c r="B7703">
        <v>2016</v>
      </c>
      <c r="C7703">
        <v>8</v>
      </c>
      <c r="D7703" s="11">
        <v>42583</v>
      </c>
      <c r="E7703" t="s">
        <v>2180</v>
      </c>
      <c r="F7703">
        <v>7</v>
      </c>
      <c r="G7703" t="s">
        <v>59</v>
      </c>
      <c r="H7703" t="s">
        <v>45</v>
      </c>
      <c r="I7703" t="s">
        <v>2193</v>
      </c>
      <c r="J7703" s="10">
        <v>4</v>
      </c>
      <c r="K7703" t="b">
        <v>1</v>
      </c>
    </row>
    <row r="7704" spans="1:11">
      <c r="A7704" s="12">
        <v>42603</v>
      </c>
      <c r="B7704">
        <v>2016</v>
      </c>
      <c r="C7704">
        <v>8</v>
      </c>
      <c r="D7704" s="11">
        <v>42583</v>
      </c>
      <c r="E7704" t="s">
        <v>2180</v>
      </c>
      <c r="F7704">
        <v>7</v>
      </c>
      <c r="G7704" t="s">
        <v>59</v>
      </c>
      <c r="H7704" t="s">
        <v>46</v>
      </c>
      <c r="I7704" t="s">
        <v>2194</v>
      </c>
      <c r="J7704" s="10">
        <v>1</v>
      </c>
      <c r="K7704" t="b">
        <v>1</v>
      </c>
    </row>
    <row r="7705" spans="1:11">
      <c r="A7705" s="12">
        <v>42603</v>
      </c>
      <c r="B7705">
        <v>2016</v>
      </c>
      <c r="C7705">
        <v>8</v>
      </c>
      <c r="D7705" s="11">
        <v>42583</v>
      </c>
      <c r="E7705" t="s">
        <v>2180</v>
      </c>
      <c r="F7705">
        <v>7</v>
      </c>
      <c r="G7705" t="s">
        <v>59</v>
      </c>
      <c r="H7705" t="s">
        <v>47</v>
      </c>
      <c r="I7705" t="s">
        <v>2195</v>
      </c>
      <c r="J7705" s="10">
        <v>1</v>
      </c>
      <c r="K7705" t="b">
        <v>1</v>
      </c>
    </row>
    <row r="7706" spans="1:11">
      <c r="A7706" s="12">
        <v>42604</v>
      </c>
      <c r="B7706">
        <v>2016</v>
      </c>
      <c r="C7706">
        <v>8</v>
      </c>
      <c r="D7706" s="11">
        <v>42583</v>
      </c>
      <c r="E7706" t="s">
        <v>2180</v>
      </c>
      <c r="F7706">
        <v>1</v>
      </c>
      <c r="G7706" t="s">
        <v>61</v>
      </c>
      <c r="H7706" t="s">
        <v>40</v>
      </c>
      <c r="I7706" t="s">
        <v>2188</v>
      </c>
      <c r="J7706" s="10">
        <v>3.34</v>
      </c>
      <c r="K7706" t="b">
        <v>1</v>
      </c>
    </row>
    <row r="7707" spans="1:11">
      <c r="A7707" s="12">
        <v>42604</v>
      </c>
      <c r="B7707">
        <v>2016</v>
      </c>
      <c r="C7707">
        <v>8</v>
      </c>
      <c r="D7707" s="11">
        <v>42583</v>
      </c>
      <c r="E7707" t="s">
        <v>2180</v>
      </c>
      <c r="F7707">
        <v>1</v>
      </c>
      <c r="G7707" t="s">
        <v>61</v>
      </c>
      <c r="H7707" t="s">
        <v>41</v>
      </c>
      <c r="I7707" t="s">
        <v>2189</v>
      </c>
      <c r="J7707" s="10">
        <v>3.386</v>
      </c>
      <c r="K7707" t="b">
        <v>1</v>
      </c>
    </row>
    <row r="7708" spans="1:11">
      <c r="A7708" s="12">
        <v>42604</v>
      </c>
      <c r="B7708">
        <v>2016</v>
      </c>
      <c r="C7708">
        <v>8</v>
      </c>
      <c r="D7708" s="11">
        <v>42583</v>
      </c>
      <c r="E7708" t="s">
        <v>2180</v>
      </c>
      <c r="F7708">
        <v>1</v>
      </c>
      <c r="G7708" t="s">
        <v>61</v>
      </c>
      <c r="H7708" t="s">
        <v>42</v>
      </c>
      <c r="I7708" t="s">
        <v>2190</v>
      </c>
      <c r="J7708" s="10">
        <v>0</v>
      </c>
      <c r="K7708" t="b">
        <v>1</v>
      </c>
    </row>
    <row r="7709" spans="1:11">
      <c r="A7709" s="12">
        <v>42604</v>
      </c>
      <c r="B7709">
        <v>2016</v>
      </c>
      <c r="C7709">
        <v>8</v>
      </c>
      <c r="D7709" s="11">
        <v>42583</v>
      </c>
      <c r="E7709" t="s">
        <v>2180</v>
      </c>
      <c r="F7709">
        <v>1</v>
      </c>
      <c r="G7709" t="s">
        <v>61</v>
      </c>
      <c r="H7709" t="s">
        <v>43</v>
      </c>
      <c r="I7709" t="s">
        <v>2191</v>
      </c>
      <c r="J7709" s="10">
        <v>23.2</v>
      </c>
      <c r="K7709" t="b">
        <v>1</v>
      </c>
    </row>
    <row r="7710" spans="1:11">
      <c r="A7710" s="12">
        <v>42604</v>
      </c>
      <c r="B7710">
        <v>2016</v>
      </c>
      <c r="C7710">
        <v>8</v>
      </c>
      <c r="D7710" s="11">
        <v>42583</v>
      </c>
      <c r="E7710" t="s">
        <v>2180</v>
      </c>
      <c r="F7710">
        <v>1</v>
      </c>
      <c r="G7710" t="s">
        <v>61</v>
      </c>
      <c r="H7710" t="s">
        <v>44</v>
      </c>
      <c r="I7710" t="s">
        <v>2192</v>
      </c>
      <c r="J7710" s="10">
        <v>3</v>
      </c>
      <c r="K7710" t="b">
        <v>1</v>
      </c>
    </row>
    <row r="7711" spans="1:11">
      <c r="A7711" s="12">
        <v>42604</v>
      </c>
      <c r="B7711">
        <v>2016</v>
      </c>
      <c r="C7711">
        <v>8</v>
      </c>
      <c r="D7711" s="11">
        <v>42583</v>
      </c>
      <c r="E7711" t="s">
        <v>2180</v>
      </c>
      <c r="F7711">
        <v>1</v>
      </c>
      <c r="G7711" t="s">
        <v>61</v>
      </c>
      <c r="H7711" t="s">
        <v>45</v>
      </c>
      <c r="I7711" t="s">
        <v>2193</v>
      </c>
      <c r="J7711" s="10">
        <v>0</v>
      </c>
      <c r="K7711" t="b">
        <v>1</v>
      </c>
    </row>
    <row r="7712" spans="1:11">
      <c r="A7712" s="12">
        <v>42604</v>
      </c>
      <c r="B7712">
        <v>2016</v>
      </c>
      <c r="C7712">
        <v>8</v>
      </c>
      <c r="D7712" s="11">
        <v>42583</v>
      </c>
      <c r="E7712" t="s">
        <v>2180</v>
      </c>
      <c r="F7712">
        <v>1</v>
      </c>
      <c r="G7712" t="s">
        <v>61</v>
      </c>
      <c r="H7712" t="s">
        <v>46</v>
      </c>
      <c r="I7712" t="s">
        <v>2194</v>
      </c>
      <c r="J7712" s="10">
        <v>0</v>
      </c>
      <c r="K7712" t="b">
        <v>1</v>
      </c>
    </row>
    <row r="7713" spans="1:11">
      <c r="A7713" s="12">
        <v>42604</v>
      </c>
      <c r="B7713">
        <v>2016</v>
      </c>
      <c r="C7713">
        <v>8</v>
      </c>
      <c r="D7713" s="11">
        <v>42583</v>
      </c>
      <c r="E7713" t="s">
        <v>2180</v>
      </c>
      <c r="F7713">
        <v>1</v>
      </c>
      <c r="G7713" t="s">
        <v>61</v>
      </c>
      <c r="H7713" t="s">
        <v>47</v>
      </c>
      <c r="I7713" t="s">
        <v>2195</v>
      </c>
      <c r="J7713" s="10">
        <v>6</v>
      </c>
      <c r="K7713" t="b">
        <v>1</v>
      </c>
    </row>
    <row r="7714" spans="1:11">
      <c r="A7714" s="12">
        <v>42605</v>
      </c>
      <c r="B7714">
        <v>2016</v>
      </c>
      <c r="C7714">
        <v>8</v>
      </c>
      <c r="D7714" s="11">
        <v>42583</v>
      </c>
      <c r="E7714" t="s">
        <v>2180</v>
      </c>
      <c r="F7714">
        <v>2</v>
      </c>
      <c r="G7714" t="s">
        <v>63</v>
      </c>
      <c r="H7714" t="s">
        <v>40</v>
      </c>
      <c r="I7714" t="s">
        <v>2188</v>
      </c>
      <c r="J7714" s="10">
        <v>3</v>
      </c>
      <c r="K7714" t="b">
        <v>1</v>
      </c>
    </row>
    <row r="7715" spans="1:11">
      <c r="A7715" s="12">
        <v>42605</v>
      </c>
      <c r="B7715">
        <v>2016</v>
      </c>
      <c r="C7715">
        <v>8</v>
      </c>
      <c r="D7715" s="11">
        <v>42583</v>
      </c>
      <c r="E7715" t="s">
        <v>2180</v>
      </c>
      <c r="F7715">
        <v>2</v>
      </c>
      <c r="G7715" t="s">
        <v>63</v>
      </c>
      <c r="H7715" t="s">
        <v>41</v>
      </c>
      <c r="I7715" t="s">
        <v>2189</v>
      </c>
      <c r="J7715" s="10">
        <v>3.066</v>
      </c>
      <c r="K7715" t="b">
        <v>1</v>
      </c>
    </row>
    <row r="7716" spans="1:11">
      <c r="A7716" s="12">
        <v>42605</v>
      </c>
      <c r="B7716">
        <v>2016</v>
      </c>
      <c r="C7716">
        <v>8</v>
      </c>
      <c r="D7716" s="11">
        <v>42583</v>
      </c>
      <c r="E7716" t="s">
        <v>2180</v>
      </c>
      <c r="F7716">
        <v>2</v>
      </c>
      <c r="G7716" t="s">
        <v>63</v>
      </c>
      <c r="H7716" t="s">
        <v>42</v>
      </c>
      <c r="I7716" t="s">
        <v>2190</v>
      </c>
      <c r="J7716" s="10">
        <v>4</v>
      </c>
      <c r="K7716" t="b">
        <v>1</v>
      </c>
    </row>
    <row r="7717" spans="1:11">
      <c r="A7717" s="12">
        <v>42605</v>
      </c>
      <c r="B7717">
        <v>2016</v>
      </c>
      <c r="C7717">
        <v>8</v>
      </c>
      <c r="D7717" s="11">
        <v>42583</v>
      </c>
      <c r="E7717" t="s">
        <v>2180</v>
      </c>
      <c r="F7717">
        <v>2</v>
      </c>
      <c r="G7717" t="s">
        <v>63</v>
      </c>
      <c r="H7717" t="s">
        <v>43</v>
      </c>
      <c r="I7717" t="s">
        <v>2191</v>
      </c>
      <c r="J7717" s="10">
        <v>14.7</v>
      </c>
      <c r="K7717" t="b">
        <v>1</v>
      </c>
    </row>
    <row r="7718" spans="1:11">
      <c r="A7718" s="12">
        <v>42605</v>
      </c>
      <c r="B7718">
        <v>2016</v>
      </c>
      <c r="C7718">
        <v>8</v>
      </c>
      <c r="D7718" s="11">
        <v>42583</v>
      </c>
      <c r="E7718" t="s">
        <v>2180</v>
      </c>
      <c r="F7718">
        <v>2</v>
      </c>
      <c r="G7718" t="s">
        <v>63</v>
      </c>
      <c r="H7718" t="s">
        <v>44</v>
      </c>
      <c r="I7718" t="s">
        <v>2192</v>
      </c>
      <c r="J7718" s="10">
        <v>7</v>
      </c>
      <c r="K7718" t="b">
        <v>1</v>
      </c>
    </row>
    <row r="7719" spans="1:11">
      <c r="A7719" s="12">
        <v>42605</v>
      </c>
      <c r="B7719">
        <v>2016</v>
      </c>
      <c r="C7719">
        <v>8</v>
      </c>
      <c r="D7719" s="11">
        <v>42583</v>
      </c>
      <c r="E7719" t="s">
        <v>2180</v>
      </c>
      <c r="F7719">
        <v>2</v>
      </c>
      <c r="G7719" t="s">
        <v>63</v>
      </c>
      <c r="H7719" t="s">
        <v>45</v>
      </c>
      <c r="I7719" t="s">
        <v>2193</v>
      </c>
      <c r="J7719" s="10">
        <v>1</v>
      </c>
      <c r="K7719" t="b">
        <v>1</v>
      </c>
    </row>
    <row r="7720" spans="1:11">
      <c r="A7720" s="12">
        <v>42605</v>
      </c>
      <c r="B7720">
        <v>2016</v>
      </c>
      <c r="C7720">
        <v>8</v>
      </c>
      <c r="D7720" s="11">
        <v>42583</v>
      </c>
      <c r="E7720" t="s">
        <v>2180</v>
      </c>
      <c r="F7720">
        <v>2</v>
      </c>
      <c r="G7720" t="s">
        <v>63</v>
      </c>
      <c r="H7720" t="s">
        <v>46</v>
      </c>
      <c r="I7720" t="s">
        <v>2194</v>
      </c>
      <c r="J7720" s="10">
        <v>0</v>
      </c>
      <c r="K7720" t="b">
        <v>1</v>
      </c>
    </row>
    <row r="7721" spans="1:11">
      <c r="A7721" s="12">
        <v>42605</v>
      </c>
      <c r="B7721">
        <v>2016</v>
      </c>
      <c r="C7721">
        <v>8</v>
      </c>
      <c r="D7721" s="11">
        <v>42583</v>
      </c>
      <c r="E7721" t="s">
        <v>2180</v>
      </c>
      <c r="F7721">
        <v>2</v>
      </c>
      <c r="G7721" t="s">
        <v>63</v>
      </c>
      <c r="H7721" t="s">
        <v>47</v>
      </c>
      <c r="I7721" t="s">
        <v>2195</v>
      </c>
      <c r="J7721" s="10">
        <v>1.2</v>
      </c>
      <c r="K7721" t="b">
        <v>1</v>
      </c>
    </row>
    <row r="7722" spans="1:11">
      <c r="A7722" s="12">
        <v>42606</v>
      </c>
      <c r="B7722">
        <v>2016</v>
      </c>
      <c r="C7722">
        <v>8</v>
      </c>
      <c r="D7722" s="11">
        <v>42583</v>
      </c>
      <c r="E7722" t="s">
        <v>2180</v>
      </c>
      <c r="F7722">
        <v>3</v>
      </c>
      <c r="G7722" t="s">
        <v>65</v>
      </c>
      <c r="H7722" t="s">
        <v>40</v>
      </c>
      <c r="I7722" t="s">
        <v>2188</v>
      </c>
      <c r="J7722" s="10">
        <v>9.33</v>
      </c>
      <c r="K7722" t="b">
        <v>1</v>
      </c>
    </row>
    <row r="7723" spans="1:11">
      <c r="A7723" s="12">
        <v>42606</v>
      </c>
      <c r="B7723">
        <v>2016</v>
      </c>
      <c r="C7723">
        <v>8</v>
      </c>
      <c r="D7723" s="11">
        <v>42583</v>
      </c>
      <c r="E7723" t="s">
        <v>2180</v>
      </c>
      <c r="F7723">
        <v>3</v>
      </c>
      <c r="G7723" t="s">
        <v>65</v>
      </c>
      <c r="H7723" t="s">
        <v>41</v>
      </c>
      <c r="I7723" t="s">
        <v>2189</v>
      </c>
      <c r="J7723" s="10">
        <v>3.487</v>
      </c>
      <c r="K7723" t="b">
        <v>1</v>
      </c>
    </row>
    <row r="7724" spans="1:11">
      <c r="A7724" s="12">
        <v>42606</v>
      </c>
      <c r="B7724">
        <v>2016</v>
      </c>
      <c r="C7724">
        <v>8</v>
      </c>
      <c r="D7724" s="11">
        <v>42583</v>
      </c>
      <c r="E7724" t="s">
        <v>2180</v>
      </c>
      <c r="F7724">
        <v>3</v>
      </c>
      <c r="G7724" t="s">
        <v>65</v>
      </c>
      <c r="H7724" t="s">
        <v>42</v>
      </c>
      <c r="I7724" t="s">
        <v>2190</v>
      </c>
      <c r="J7724" s="10">
        <v>8</v>
      </c>
      <c r="K7724" t="b">
        <v>1</v>
      </c>
    </row>
    <row r="7725" spans="1:11">
      <c r="A7725" s="12">
        <v>42606</v>
      </c>
      <c r="B7725">
        <v>2016</v>
      </c>
      <c r="C7725">
        <v>8</v>
      </c>
      <c r="D7725" s="11">
        <v>42583</v>
      </c>
      <c r="E7725" t="s">
        <v>2180</v>
      </c>
      <c r="F7725">
        <v>3</v>
      </c>
      <c r="G7725" t="s">
        <v>65</v>
      </c>
      <c r="H7725" t="s">
        <v>43</v>
      </c>
      <c r="I7725" t="s">
        <v>2191</v>
      </c>
      <c r="J7725" s="10">
        <v>11.3</v>
      </c>
      <c r="K7725" t="b">
        <v>1</v>
      </c>
    </row>
    <row r="7726" spans="1:11">
      <c r="A7726" s="12">
        <v>42606</v>
      </c>
      <c r="B7726">
        <v>2016</v>
      </c>
      <c r="C7726">
        <v>8</v>
      </c>
      <c r="D7726" s="11">
        <v>42583</v>
      </c>
      <c r="E7726" t="s">
        <v>2180</v>
      </c>
      <c r="F7726">
        <v>3</v>
      </c>
      <c r="G7726" t="s">
        <v>65</v>
      </c>
      <c r="H7726" t="s">
        <v>44</v>
      </c>
      <c r="I7726" t="s">
        <v>2192</v>
      </c>
      <c r="J7726" s="10">
        <v>2</v>
      </c>
      <c r="K7726" t="b">
        <v>1</v>
      </c>
    </row>
    <row r="7727" spans="1:11">
      <c r="A7727" s="12">
        <v>42606</v>
      </c>
      <c r="B7727">
        <v>2016</v>
      </c>
      <c r="C7727">
        <v>8</v>
      </c>
      <c r="D7727" s="11">
        <v>42583</v>
      </c>
      <c r="E7727" t="s">
        <v>2180</v>
      </c>
      <c r="F7727">
        <v>3</v>
      </c>
      <c r="G7727" t="s">
        <v>65</v>
      </c>
      <c r="H7727" t="s">
        <v>45</v>
      </c>
      <c r="I7727" t="s">
        <v>2193</v>
      </c>
      <c r="J7727" s="10">
        <v>0</v>
      </c>
      <c r="K7727" t="b">
        <v>1</v>
      </c>
    </row>
    <row r="7728" spans="1:11">
      <c r="A7728" s="12">
        <v>42606</v>
      </c>
      <c r="B7728">
        <v>2016</v>
      </c>
      <c r="C7728">
        <v>8</v>
      </c>
      <c r="D7728" s="11">
        <v>42583</v>
      </c>
      <c r="E7728" t="s">
        <v>2180</v>
      </c>
      <c r="F7728">
        <v>3</v>
      </c>
      <c r="G7728" t="s">
        <v>65</v>
      </c>
      <c r="H7728" t="s">
        <v>46</v>
      </c>
      <c r="I7728" t="s">
        <v>2194</v>
      </c>
      <c r="J7728" s="10">
        <v>0</v>
      </c>
      <c r="K7728" t="b">
        <v>1</v>
      </c>
    </row>
    <row r="7729" spans="1:11">
      <c r="A7729" s="12">
        <v>42606</v>
      </c>
      <c r="B7729">
        <v>2016</v>
      </c>
      <c r="C7729">
        <v>8</v>
      </c>
      <c r="D7729" s="11">
        <v>42583</v>
      </c>
      <c r="E7729" t="s">
        <v>2180</v>
      </c>
      <c r="F7729">
        <v>3</v>
      </c>
      <c r="G7729" t="s">
        <v>65</v>
      </c>
      <c r="H7729" t="s">
        <v>47</v>
      </c>
      <c r="I7729" t="s">
        <v>2195</v>
      </c>
      <c r="J7729" s="10">
        <v>3</v>
      </c>
      <c r="K7729" t="b">
        <v>1</v>
      </c>
    </row>
    <row r="7730" spans="1:11">
      <c r="A7730" s="12">
        <v>42607</v>
      </c>
      <c r="B7730">
        <v>2016</v>
      </c>
      <c r="C7730">
        <v>8</v>
      </c>
      <c r="D7730" s="11">
        <v>42583</v>
      </c>
      <c r="E7730" t="s">
        <v>2180</v>
      </c>
      <c r="F7730">
        <v>4</v>
      </c>
      <c r="G7730" t="s">
        <v>53</v>
      </c>
      <c r="H7730" t="s">
        <v>40</v>
      </c>
      <c r="I7730" t="s">
        <v>2188</v>
      </c>
      <c r="J7730" s="10">
        <v>4.33</v>
      </c>
      <c r="K7730" t="b">
        <v>1</v>
      </c>
    </row>
    <row r="7731" spans="1:11">
      <c r="A7731" s="12">
        <v>42607</v>
      </c>
      <c r="B7731">
        <v>2016</v>
      </c>
      <c r="C7731">
        <v>8</v>
      </c>
      <c r="D7731" s="11">
        <v>42583</v>
      </c>
      <c r="E7731" t="s">
        <v>2180</v>
      </c>
      <c r="F7731">
        <v>4</v>
      </c>
      <c r="G7731" t="s">
        <v>53</v>
      </c>
      <c r="H7731" t="s">
        <v>41</v>
      </c>
      <c r="I7731" t="s">
        <v>2189</v>
      </c>
      <c r="J7731" s="10">
        <v>2.67</v>
      </c>
      <c r="K7731" t="b">
        <v>1</v>
      </c>
    </row>
    <row r="7732" spans="1:11">
      <c r="A7732" s="12">
        <v>42607</v>
      </c>
      <c r="B7732">
        <v>2016</v>
      </c>
      <c r="C7732">
        <v>8</v>
      </c>
      <c r="D7732" s="11">
        <v>42583</v>
      </c>
      <c r="E7732" t="s">
        <v>2180</v>
      </c>
      <c r="F7732">
        <v>4</v>
      </c>
      <c r="G7732" t="s">
        <v>53</v>
      </c>
      <c r="H7732" t="s">
        <v>42</v>
      </c>
      <c r="I7732" t="s">
        <v>2190</v>
      </c>
      <c r="J7732" s="10">
        <v>8</v>
      </c>
      <c r="K7732" t="b">
        <v>1</v>
      </c>
    </row>
    <row r="7733" spans="1:11">
      <c r="A7733" s="12">
        <v>42607</v>
      </c>
      <c r="B7733">
        <v>2016</v>
      </c>
      <c r="C7733">
        <v>8</v>
      </c>
      <c r="D7733" s="11">
        <v>42583</v>
      </c>
      <c r="E7733" t="s">
        <v>2180</v>
      </c>
      <c r="F7733">
        <v>4</v>
      </c>
      <c r="G7733" t="s">
        <v>53</v>
      </c>
      <c r="H7733" t="s">
        <v>43</v>
      </c>
      <c r="I7733" t="s">
        <v>2191</v>
      </c>
      <c r="J7733" s="10">
        <v>19.4</v>
      </c>
      <c r="K7733" t="b">
        <v>1</v>
      </c>
    </row>
    <row r="7734" spans="1:11">
      <c r="A7734" s="12">
        <v>42607</v>
      </c>
      <c r="B7734">
        <v>2016</v>
      </c>
      <c r="C7734">
        <v>8</v>
      </c>
      <c r="D7734" s="11">
        <v>42583</v>
      </c>
      <c r="E7734" t="s">
        <v>2180</v>
      </c>
      <c r="F7734">
        <v>4</v>
      </c>
      <c r="G7734" t="s">
        <v>53</v>
      </c>
      <c r="H7734" t="s">
        <v>44</v>
      </c>
      <c r="I7734" t="s">
        <v>2192</v>
      </c>
      <c r="J7734" s="10">
        <v>4</v>
      </c>
      <c r="K7734" t="b">
        <v>1</v>
      </c>
    </row>
    <row r="7735" spans="1:11">
      <c r="A7735" s="12">
        <v>42607</v>
      </c>
      <c r="B7735">
        <v>2016</v>
      </c>
      <c r="C7735">
        <v>8</v>
      </c>
      <c r="D7735" s="11">
        <v>42583</v>
      </c>
      <c r="E7735" t="s">
        <v>2180</v>
      </c>
      <c r="F7735">
        <v>4</v>
      </c>
      <c r="G7735" t="s">
        <v>53</v>
      </c>
      <c r="H7735" t="s">
        <v>45</v>
      </c>
      <c r="I7735" t="s">
        <v>2193</v>
      </c>
      <c r="J7735" s="10">
        <v>1</v>
      </c>
      <c r="K7735" t="b">
        <v>1</v>
      </c>
    </row>
    <row r="7736" spans="1:11">
      <c r="A7736" s="12">
        <v>42607</v>
      </c>
      <c r="B7736">
        <v>2016</v>
      </c>
      <c r="C7736">
        <v>8</v>
      </c>
      <c r="D7736" s="11">
        <v>42583</v>
      </c>
      <c r="E7736" t="s">
        <v>2180</v>
      </c>
      <c r="F7736">
        <v>4</v>
      </c>
      <c r="G7736" t="s">
        <v>53</v>
      </c>
      <c r="H7736" t="s">
        <v>46</v>
      </c>
      <c r="I7736" t="s">
        <v>2194</v>
      </c>
      <c r="J7736" s="10">
        <v>4</v>
      </c>
      <c r="K7736" t="b">
        <v>1</v>
      </c>
    </row>
    <row r="7737" spans="1:11">
      <c r="A7737" s="12">
        <v>42607</v>
      </c>
      <c r="B7737">
        <v>2016</v>
      </c>
      <c r="C7737">
        <v>8</v>
      </c>
      <c r="D7737" s="11">
        <v>42583</v>
      </c>
      <c r="E7737" t="s">
        <v>2180</v>
      </c>
      <c r="F7737">
        <v>4</v>
      </c>
      <c r="G7737" t="s">
        <v>53</v>
      </c>
      <c r="H7737" t="s">
        <v>47</v>
      </c>
      <c r="I7737" t="s">
        <v>2195</v>
      </c>
      <c r="J7737" s="10">
        <v>5</v>
      </c>
      <c r="K7737" t="b">
        <v>1</v>
      </c>
    </row>
    <row r="7738" spans="1:11">
      <c r="A7738" s="12">
        <v>42608</v>
      </c>
      <c r="B7738">
        <v>2016</v>
      </c>
      <c r="C7738">
        <v>8</v>
      </c>
      <c r="D7738" s="11">
        <v>42583</v>
      </c>
      <c r="E7738" t="s">
        <v>2180</v>
      </c>
      <c r="F7738">
        <v>5</v>
      </c>
      <c r="G7738" t="s">
        <v>55</v>
      </c>
      <c r="H7738" t="s">
        <v>40</v>
      </c>
      <c r="I7738" t="s">
        <v>2188</v>
      </c>
      <c r="J7738" s="10">
        <v>4</v>
      </c>
      <c r="K7738" t="b">
        <v>1</v>
      </c>
    </row>
    <row r="7739" spans="1:11">
      <c r="A7739" s="12">
        <v>42608</v>
      </c>
      <c r="B7739">
        <v>2016</v>
      </c>
      <c r="C7739">
        <v>8</v>
      </c>
      <c r="D7739" s="11">
        <v>42583</v>
      </c>
      <c r="E7739" t="s">
        <v>2180</v>
      </c>
      <c r="F7739">
        <v>5</v>
      </c>
      <c r="G7739" t="s">
        <v>55</v>
      </c>
      <c r="H7739" t="s">
        <v>41</v>
      </c>
      <c r="I7739" t="s">
        <v>2189</v>
      </c>
      <c r="J7739" s="10">
        <v>2.023</v>
      </c>
      <c r="K7739" t="b">
        <v>1</v>
      </c>
    </row>
    <row r="7740" spans="1:11">
      <c r="A7740" s="12">
        <v>42608</v>
      </c>
      <c r="B7740">
        <v>2016</v>
      </c>
      <c r="C7740">
        <v>8</v>
      </c>
      <c r="D7740" s="11">
        <v>42583</v>
      </c>
      <c r="E7740" t="s">
        <v>2180</v>
      </c>
      <c r="F7740">
        <v>5</v>
      </c>
      <c r="G7740" t="s">
        <v>55</v>
      </c>
      <c r="H7740" t="s">
        <v>42</v>
      </c>
      <c r="I7740" t="s">
        <v>2190</v>
      </c>
      <c r="J7740" s="10">
        <v>2</v>
      </c>
      <c r="K7740" t="b">
        <v>1</v>
      </c>
    </row>
    <row r="7741" spans="1:11">
      <c r="A7741" s="12">
        <v>42608</v>
      </c>
      <c r="B7741">
        <v>2016</v>
      </c>
      <c r="C7741">
        <v>8</v>
      </c>
      <c r="D7741" s="11">
        <v>42583</v>
      </c>
      <c r="E7741" t="s">
        <v>2180</v>
      </c>
      <c r="F7741">
        <v>5</v>
      </c>
      <c r="G7741" t="s">
        <v>55</v>
      </c>
      <c r="H7741" t="s">
        <v>43</v>
      </c>
      <c r="I7741" t="s">
        <v>2191</v>
      </c>
      <c r="J7741" s="10">
        <v>20.7</v>
      </c>
      <c r="K7741" t="b">
        <v>1</v>
      </c>
    </row>
    <row r="7742" spans="1:11">
      <c r="A7742" s="12">
        <v>42608</v>
      </c>
      <c r="B7742">
        <v>2016</v>
      </c>
      <c r="C7742">
        <v>8</v>
      </c>
      <c r="D7742" s="11">
        <v>42583</v>
      </c>
      <c r="E7742" t="s">
        <v>2180</v>
      </c>
      <c r="F7742">
        <v>5</v>
      </c>
      <c r="G7742" t="s">
        <v>55</v>
      </c>
      <c r="H7742" t="s">
        <v>44</v>
      </c>
      <c r="I7742" t="s">
        <v>2192</v>
      </c>
      <c r="J7742" s="10">
        <v>3</v>
      </c>
      <c r="K7742" t="b">
        <v>1</v>
      </c>
    </row>
    <row r="7743" spans="1:11">
      <c r="A7743" s="12">
        <v>42608</v>
      </c>
      <c r="B7743">
        <v>2016</v>
      </c>
      <c r="C7743">
        <v>8</v>
      </c>
      <c r="D7743" s="11">
        <v>42583</v>
      </c>
      <c r="E7743" t="s">
        <v>2180</v>
      </c>
      <c r="F7743">
        <v>5</v>
      </c>
      <c r="G7743" t="s">
        <v>55</v>
      </c>
      <c r="H7743" t="s">
        <v>45</v>
      </c>
      <c r="I7743" t="s">
        <v>2193</v>
      </c>
      <c r="J7743" s="10">
        <v>0</v>
      </c>
      <c r="K7743" t="b">
        <v>1</v>
      </c>
    </row>
    <row r="7744" spans="1:11">
      <c r="A7744" s="12">
        <v>42608</v>
      </c>
      <c r="B7744">
        <v>2016</v>
      </c>
      <c r="C7744">
        <v>8</v>
      </c>
      <c r="D7744" s="11">
        <v>42583</v>
      </c>
      <c r="E7744" t="s">
        <v>2180</v>
      </c>
      <c r="F7744">
        <v>5</v>
      </c>
      <c r="G7744" t="s">
        <v>55</v>
      </c>
      <c r="H7744" t="s">
        <v>46</v>
      </c>
      <c r="I7744" t="s">
        <v>2194</v>
      </c>
      <c r="J7744" s="10">
        <v>0</v>
      </c>
      <c r="K7744" t="b">
        <v>1</v>
      </c>
    </row>
    <row r="7745" spans="1:11">
      <c r="A7745" s="12">
        <v>42608</v>
      </c>
      <c r="B7745">
        <v>2016</v>
      </c>
      <c r="C7745">
        <v>8</v>
      </c>
      <c r="D7745" s="11">
        <v>42583</v>
      </c>
      <c r="E7745" t="s">
        <v>2180</v>
      </c>
      <c r="F7745">
        <v>5</v>
      </c>
      <c r="G7745" t="s">
        <v>55</v>
      </c>
      <c r="H7745" t="s">
        <v>47</v>
      </c>
      <c r="I7745" t="s">
        <v>2195</v>
      </c>
      <c r="J7745" s="10">
        <v>0</v>
      </c>
      <c r="K7745" t="b">
        <v>1</v>
      </c>
    </row>
    <row r="7746" spans="1:11">
      <c r="A7746" s="12">
        <v>42609</v>
      </c>
      <c r="B7746">
        <v>2016</v>
      </c>
      <c r="C7746">
        <v>8</v>
      </c>
      <c r="D7746" s="11">
        <v>42583</v>
      </c>
      <c r="E7746" t="s">
        <v>2180</v>
      </c>
      <c r="F7746">
        <v>6</v>
      </c>
      <c r="G7746" t="s">
        <v>57</v>
      </c>
      <c r="H7746" t="s">
        <v>40</v>
      </c>
      <c r="I7746" t="s">
        <v>2188</v>
      </c>
      <c r="J7746" s="10">
        <v>8.83</v>
      </c>
      <c r="K7746" t="b">
        <v>1</v>
      </c>
    </row>
    <row r="7747" spans="1:11">
      <c r="A7747" s="12">
        <v>42609</v>
      </c>
      <c r="B7747">
        <v>2016</v>
      </c>
      <c r="C7747">
        <v>8</v>
      </c>
      <c r="D7747" s="11">
        <v>42583</v>
      </c>
      <c r="E7747" t="s">
        <v>2180</v>
      </c>
      <c r="F7747">
        <v>6</v>
      </c>
      <c r="G7747" t="s">
        <v>57</v>
      </c>
      <c r="H7747" t="s">
        <v>41</v>
      </c>
      <c r="I7747" t="s">
        <v>2189</v>
      </c>
      <c r="J7747" s="10">
        <v>1.736</v>
      </c>
      <c r="K7747" t="b">
        <v>1</v>
      </c>
    </row>
    <row r="7748" spans="1:11">
      <c r="A7748" s="12">
        <v>42609</v>
      </c>
      <c r="B7748">
        <v>2016</v>
      </c>
      <c r="C7748">
        <v>8</v>
      </c>
      <c r="D7748" s="11">
        <v>42583</v>
      </c>
      <c r="E7748" t="s">
        <v>2180</v>
      </c>
      <c r="F7748">
        <v>6</v>
      </c>
      <c r="G7748" t="s">
        <v>57</v>
      </c>
      <c r="H7748" t="s">
        <v>42</v>
      </c>
      <c r="I7748" t="s">
        <v>2190</v>
      </c>
      <c r="J7748" s="10">
        <v>1</v>
      </c>
      <c r="K7748" t="b">
        <v>1</v>
      </c>
    </row>
    <row r="7749" spans="1:11">
      <c r="A7749" s="12">
        <v>42609</v>
      </c>
      <c r="B7749">
        <v>2016</v>
      </c>
      <c r="C7749">
        <v>8</v>
      </c>
      <c r="D7749" s="11">
        <v>42583</v>
      </c>
      <c r="E7749" t="s">
        <v>2180</v>
      </c>
      <c r="F7749">
        <v>6</v>
      </c>
      <c r="G7749" t="s">
        <v>57</v>
      </c>
      <c r="H7749" t="s">
        <v>43</v>
      </c>
      <c r="I7749" t="s">
        <v>2191</v>
      </c>
      <c r="J7749" s="10">
        <v>17.51666667</v>
      </c>
      <c r="K7749" t="b">
        <v>1</v>
      </c>
    </row>
    <row r="7750" spans="1:11">
      <c r="A7750" s="12">
        <v>42609</v>
      </c>
      <c r="B7750">
        <v>2016</v>
      </c>
      <c r="C7750">
        <v>8</v>
      </c>
      <c r="D7750" s="11">
        <v>42583</v>
      </c>
      <c r="E7750" t="s">
        <v>2180</v>
      </c>
      <c r="F7750">
        <v>6</v>
      </c>
      <c r="G7750" t="s">
        <v>57</v>
      </c>
      <c r="H7750" t="s">
        <v>44</v>
      </c>
      <c r="I7750" t="s">
        <v>2192</v>
      </c>
      <c r="J7750" s="10">
        <v>2</v>
      </c>
      <c r="K7750" t="b">
        <v>1</v>
      </c>
    </row>
    <row r="7751" spans="1:11">
      <c r="A7751" s="12">
        <v>42609</v>
      </c>
      <c r="B7751">
        <v>2016</v>
      </c>
      <c r="C7751">
        <v>8</v>
      </c>
      <c r="D7751" s="11">
        <v>42583</v>
      </c>
      <c r="E7751" t="s">
        <v>2180</v>
      </c>
      <c r="F7751">
        <v>6</v>
      </c>
      <c r="G7751" t="s">
        <v>57</v>
      </c>
      <c r="H7751" t="s">
        <v>45</v>
      </c>
      <c r="I7751" t="s">
        <v>2193</v>
      </c>
      <c r="J7751" s="10">
        <v>0</v>
      </c>
      <c r="K7751" t="b">
        <v>1</v>
      </c>
    </row>
    <row r="7752" spans="1:11">
      <c r="A7752" s="12">
        <v>42609</v>
      </c>
      <c r="B7752">
        <v>2016</v>
      </c>
      <c r="C7752">
        <v>8</v>
      </c>
      <c r="D7752" s="11">
        <v>42583</v>
      </c>
      <c r="E7752" t="s">
        <v>2180</v>
      </c>
      <c r="F7752">
        <v>6</v>
      </c>
      <c r="G7752" t="s">
        <v>57</v>
      </c>
      <c r="H7752" t="s">
        <v>46</v>
      </c>
      <c r="I7752" t="s">
        <v>2194</v>
      </c>
      <c r="J7752" s="10">
        <v>11</v>
      </c>
      <c r="K7752" t="b">
        <v>1</v>
      </c>
    </row>
    <row r="7753" spans="1:11">
      <c r="A7753" s="12">
        <v>42609</v>
      </c>
      <c r="B7753">
        <v>2016</v>
      </c>
      <c r="C7753">
        <v>8</v>
      </c>
      <c r="D7753" s="11">
        <v>42583</v>
      </c>
      <c r="E7753" t="s">
        <v>2180</v>
      </c>
      <c r="F7753">
        <v>6</v>
      </c>
      <c r="G7753" t="s">
        <v>57</v>
      </c>
      <c r="H7753" t="s">
        <v>47</v>
      </c>
      <c r="I7753" t="s">
        <v>2195</v>
      </c>
      <c r="J7753" s="10">
        <v>0</v>
      </c>
      <c r="K7753" t="b">
        <v>1</v>
      </c>
    </row>
    <row r="7754" spans="1:11">
      <c r="A7754" s="12">
        <v>42610</v>
      </c>
      <c r="B7754">
        <v>2016</v>
      </c>
      <c r="C7754">
        <v>8</v>
      </c>
      <c r="D7754" s="11">
        <v>42583</v>
      </c>
      <c r="E7754" t="s">
        <v>2180</v>
      </c>
      <c r="F7754">
        <v>7</v>
      </c>
      <c r="G7754" t="s">
        <v>59</v>
      </c>
      <c r="H7754" t="s">
        <v>40</v>
      </c>
      <c r="I7754" t="s">
        <v>2188</v>
      </c>
      <c r="J7754" s="10">
        <v>7.33</v>
      </c>
      <c r="K7754" t="b">
        <v>1</v>
      </c>
    </row>
    <row r="7755" spans="1:11">
      <c r="A7755" s="12">
        <v>42610</v>
      </c>
      <c r="B7755">
        <v>2016</v>
      </c>
      <c r="C7755">
        <v>8</v>
      </c>
      <c r="D7755" s="11">
        <v>42583</v>
      </c>
      <c r="E7755" t="s">
        <v>2180</v>
      </c>
      <c r="F7755">
        <v>7</v>
      </c>
      <c r="G7755" t="s">
        <v>59</v>
      </c>
      <c r="H7755" t="s">
        <v>41</v>
      </c>
      <c r="I7755" t="s">
        <v>2189</v>
      </c>
      <c r="J7755" s="10">
        <v>7.02</v>
      </c>
      <c r="K7755" t="b">
        <v>1</v>
      </c>
    </row>
    <row r="7756" spans="1:11">
      <c r="A7756" s="12">
        <v>42610</v>
      </c>
      <c r="B7756">
        <v>2016</v>
      </c>
      <c r="C7756">
        <v>8</v>
      </c>
      <c r="D7756" s="11">
        <v>42583</v>
      </c>
      <c r="E7756" t="s">
        <v>2180</v>
      </c>
      <c r="F7756">
        <v>7</v>
      </c>
      <c r="G7756" t="s">
        <v>59</v>
      </c>
      <c r="H7756" t="s">
        <v>42</v>
      </c>
      <c r="I7756" t="s">
        <v>2190</v>
      </c>
      <c r="J7756" s="10">
        <v>6.2</v>
      </c>
      <c r="K7756" t="b">
        <v>1</v>
      </c>
    </row>
    <row r="7757" spans="1:11">
      <c r="A7757" s="12">
        <v>42610</v>
      </c>
      <c r="B7757">
        <v>2016</v>
      </c>
      <c r="C7757">
        <v>8</v>
      </c>
      <c r="D7757" s="11">
        <v>42583</v>
      </c>
      <c r="E7757" t="s">
        <v>2180</v>
      </c>
      <c r="F7757">
        <v>7</v>
      </c>
      <c r="G7757" t="s">
        <v>59</v>
      </c>
      <c r="H7757" t="s">
        <v>43</v>
      </c>
      <c r="I7757" t="s">
        <v>2191</v>
      </c>
      <c r="J7757" s="10">
        <v>37</v>
      </c>
      <c r="K7757" t="b">
        <v>1</v>
      </c>
    </row>
    <row r="7758" spans="1:11">
      <c r="A7758" s="12">
        <v>42610</v>
      </c>
      <c r="B7758">
        <v>2016</v>
      </c>
      <c r="C7758">
        <v>8</v>
      </c>
      <c r="D7758" s="11">
        <v>42583</v>
      </c>
      <c r="E7758" t="s">
        <v>2180</v>
      </c>
      <c r="F7758">
        <v>7</v>
      </c>
      <c r="G7758" t="s">
        <v>59</v>
      </c>
      <c r="H7758" t="s">
        <v>44</v>
      </c>
      <c r="I7758" t="s">
        <v>2192</v>
      </c>
      <c r="J7758" s="10">
        <v>3</v>
      </c>
      <c r="K7758" t="b">
        <v>1</v>
      </c>
    </row>
    <row r="7759" spans="1:11">
      <c r="A7759" s="12">
        <v>42610</v>
      </c>
      <c r="B7759">
        <v>2016</v>
      </c>
      <c r="C7759">
        <v>8</v>
      </c>
      <c r="D7759" s="11">
        <v>42583</v>
      </c>
      <c r="E7759" t="s">
        <v>2180</v>
      </c>
      <c r="F7759">
        <v>7</v>
      </c>
      <c r="G7759" t="s">
        <v>59</v>
      </c>
      <c r="H7759" t="s">
        <v>45</v>
      </c>
      <c r="I7759" t="s">
        <v>2193</v>
      </c>
      <c r="J7759" s="10">
        <v>0</v>
      </c>
      <c r="K7759" t="b">
        <v>1</v>
      </c>
    </row>
    <row r="7760" spans="1:11">
      <c r="A7760" s="12">
        <v>42610</v>
      </c>
      <c r="B7760">
        <v>2016</v>
      </c>
      <c r="C7760">
        <v>8</v>
      </c>
      <c r="D7760" s="11">
        <v>42583</v>
      </c>
      <c r="E7760" t="s">
        <v>2180</v>
      </c>
      <c r="F7760">
        <v>7</v>
      </c>
      <c r="G7760" t="s">
        <v>59</v>
      </c>
      <c r="H7760" t="s">
        <v>46</v>
      </c>
      <c r="I7760" t="s">
        <v>2194</v>
      </c>
      <c r="J7760" s="10">
        <v>6</v>
      </c>
      <c r="K7760" t="b">
        <v>1</v>
      </c>
    </row>
    <row r="7761" spans="1:11">
      <c r="A7761" s="12">
        <v>42610</v>
      </c>
      <c r="B7761">
        <v>2016</v>
      </c>
      <c r="C7761">
        <v>8</v>
      </c>
      <c r="D7761" s="11">
        <v>42583</v>
      </c>
      <c r="E7761" t="s">
        <v>2180</v>
      </c>
      <c r="F7761">
        <v>7</v>
      </c>
      <c r="G7761" t="s">
        <v>59</v>
      </c>
      <c r="H7761" t="s">
        <v>47</v>
      </c>
      <c r="I7761" t="s">
        <v>2195</v>
      </c>
      <c r="J7761" s="10">
        <v>2</v>
      </c>
      <c r="K7761" t="b">
        <v>1</v>
      </c>
    </row>
    <row r="7762" spans="1:11">
      <c r="A7762" s="12">
        <v>42611</v>
      </c>
      <c r="B7762">
        <v>2016</v>
      </c>
      <c r="C7762">
        <v>8</v>
      </c>
      <c r="D7762" s="11">
        <v>42583</v>
      </c>
      <c r="E7762" t="s">
        <v>2180</v>
      </c>
      <c r="F7762">
        <v>1</v>
      </c>
      <c r="G7762" t="s">
        <v>61</v>
      </c>
      <c r="H7762" t="s">
        <v>40</v>
      </c>
      <c r="I7762" t="s">
        <v>2188</v>
      </c>
      <c r="J7762" s="10">
        <v>9</v>
      </c>
      <c r="K7762" t="b">
        <v>1</v>
      </c>
    </row>
    <row r="7763" spans="1:11">
      <c r="A7763" s="12">
        <v>42611</v>
      </c>
      <c r="B7763">
        <v>2016</v>
      </c>
      <c r="C7763">
        <v>8</v>
      </c>
      <c r="D7763" s="11">
        <v>42583</v>
      </c>
      <c r="E7763" t="s">
        <v>2180</v>
      </c>
      <c r="F7763">
        <v>1</v>
      </c>
      <c r="G7763" t="s">
        <v>61</v>
      </c>
      <c r="H7763" t="s">
        <v>41</v>
      </c>
      <c r="I7763" t="s">
        <v>2189</v>
      </c>
      <c r="J7763" s="10">
        <v>0.67</v>
      </c>
      <c r="K7763" t="b">
        <v>1</v>
      </c>
    </row>
    <row r="7764" spans="1:11">
      <c r="A7764" s="12">
        <v>42611</v>
      </c>
      <c r="B7764">
        <v>2016</v>
      </c>
      <c r="C7764">
        <v>8</v>
      </c>
      <c r="D7764" s="11">
        <v>42583</v>
      </c>
      <c r="E7764" t="s">
        <v>2180</v>
      </c>
      <c r="F7764">
        <v>1</v>
      </c>
      <c r="G7764" t="s">
        <v>61</v>
      </c>
      <c r="H7764" t="s">
        <v>42</v>
      </c>
      <c r="I7764" t="s">
        <v>2190</v>
      </c>
      <c r="J7764" s="10">
        <v>2</v>
      </c>
      <c r="K7764" t="b">
        <v>1</v>
      </c>
    </row>
    <row r="7765" spans="1:11">
      <c r="A7765" s="12">
        <v>42611</v>
      </c>
      <c r="B7765">
        <v>2016</v>
      </c>
      <c r="C7765">
        <v>8</v>
      </c>
      <c r="D7765" s="11">
        <v>42583</v>
      </c>
      <c r="E7765" t="s">
        <v>2180</v>
      </c>
      <c r="F7765">
        <v>1</v>
      </c>
      <c r="G7765" t="s">
        <v>61</v>
      </c>
      <c r="H7765" t="s">
        <v>43</v>
      </c>
      <c r="I7765" t="s">
        <v>2191</v>
      </c>
      <c r="J7765" s="10">
        <v>14.2</v>
      </c>
      <c r="K7765" t="b">
        <v>1</v>
      </c>
    </row>
    <row r="7766" spans="1:11">
      <c r="A7766" s="12">
        <v>42611</v>
      </c>
      <c r="B7766">
        <v>2016</v>
      </c>
      <c r="C7766">
        <v>8</v>
      </c>
      <c r="D7766" s="11">
        <v>42583</v>
      </c>
      <c r="E7766" t="s">
        <v>2180</v>
      </c>
      <c r="F7766">
        <v>1</v>
      </c>
      <c r="G7766" t="s">
        <v>61</v>
      </c>
      <c r="H7766" t="s">
        <v>44</v>
      </c>
      <c r="I7766" t="s">
        <v>2192</v>
      </c>
      <c r="J7766" s="10">
        <v>4</v>
      </c>
      <c r="K7766" t="b">
        <v>1</v>
      </c>
    </row>
    <row r="7767" spans="1:11">
      <c r="A7767" s="12">
        <v>42611</v>
      </c>
      <c r="B7767">
        <v>2016</v>
      </c>
      <c r="C7767">
        <v>8</v>
      </c>
      <c r="D7767" s="11">
        <v>42583</v>
      </c>
      <c r="E7767" t="s">
        <v>2180</v>
      </c>
      <c r="F7767">
        <v>1</v>
      </c>
      <c r="G7767" t="s">
        <v>61</v>
      </c>
      <c r="H7767" t="s">
        <v>45</v>
      </c>
      <c r="I7767" t="s">
        <v>2193</v>
      </c>
      <c r="J7767" s="10">
        <v>0</v>
      </c>
      <c r="K7767" t="b">
        <v>1</v>
      </c>
    </row>
    <row r="7768" spans="1:11">
      <c r="A7768" s="12">
        <v>42611</v>
      </c>
      <c r="B7768">
        <v>2016</v>
      </c>
      <c r="C7768">
        <v>8</v>
      </c>
      <c r="D7768" s="11">
        <v>42583</v>
      </c>
      <c r="E7768" t="s">
        <v>2180</v>
      </c>
      <c r="F7768">
        <v>1</v>
      </c>
      <c r="G7768" t="s">
        <v>61</v>
      </c>
      <c r="H7768" t="s">
        <v>46</v>
      </c>
      <c r="I7768" t="s">
        <v>2194</v>
      </c>
      <c r="J7768" s="10">
        <v>1</v>
      </c>
      <c r="K7768" t="b">
        <v>1</v>
      </c>
    </row>
    <row r="7769" spans="1:11">
      <c r="A7769" s="12">
        <v>42611</v>
      </c>
      <c r="B7769">
        <v>2016</v>
      </c>
      <c r="C7769">
        <v>8</v>
      </c>
      <c r="D7769" s="11">
        <v>42583</v>
      </c>
      <c r="E7769" t="s">
        <v>2180</v>
      </c>
      <c r="F7769">
        <v>1</v>
      </c>
      <c r="G7769" t="s">
        <v>61</v>
      </c>
      <c r="H7769" t="s">
        <v>47</v>
      </c>
      <c r="I7769" t="s">
        <v>2195</v>
      </c>
      <c r="J7769" s="10">
        <v>1.3</v>
      </c>
      <c r="K7769" t="b">
        <v>1</v>
      </c>
    </row>
    <row r="7770" spans="1:11">
      <c r="A7770" s="12">
        <v>42612</v>
      </c>
      <c r="B7770">
        <v>2016</v>
      </c>
      <c r="C7770">
        <v>8</v>
      </c>
      <c r="D7770" s="11">
        <v>42583</v>
      </c>
      <c r="E7770" t="s">
        <v>2180</v>
      </c>
      <c r="F7770">
        <v>2</v>
      </c>
      <c r="G7770" t="s">
        <v>63</v>
      </c>
      <c r="H7770" t="s">
        <v>40</v>
      </c>
      <c r="I7770" t="s">
        <v>2188</v>
      </c>
      <c r="J7770" s="10">
        <v>4.66</v>
      </c>
      <c r="K7770" t="b">
        <v>1</v>
      </c>
    </row>
    <row r="7771" spans="1:11">
      <c r="A7771" s="12">
        <v>42612</v>
      </c>
      <c r="B7771">
        <v>2016</v>
      </c>
      <c r="C7771">
        <v>8</v>
      </c>
      <c r="D7771" s="11">
        <v>42583</v>
      </c>
      <c r="E7771" t="s">
        <v>2180</v>
      </c>
      <c r="F7771">
        <v>2</v>
      </c>
      <c r="G7771" t="s">
        <v>63</v>
      </c>
      <c r="H7771" t="s">
        <v>41</v>
      </c>
      <c r="I7771" t="s">
        <v>2189</v>
      </c>
      <c r="J7771" s="10">
        <v>1.32</v>
      </c>
      <c r="K7771" t="b">
        <v>1</v>
      </c>
    </row>
    <row r="7772" spans="1:11">
      <c r="A7772" s="12">
        <v>42612</v>
      </c>
      <c r="B7772">
        <v>2016</v>
      </c>
      <c r="C7772">
        <v>8</v>
      </c>
      <c r="D7772" s="11">
        <v>42583</v>
      </c>
      <c r="E7772" t="s">
        <v>2180</v>
      </c>
      <c r="F7772">
        <v>2</v>
      </c>
      <c r="G7772" t="s">
        <v>63</v>
      </c>
      <c r="H7772" t="s">
        <v>42</v>
      </c>
      <c r="I7772" t="s">
        <v>2190</v>
      </c>
      <c r="J7772" s="10">
        <v>2</v>
      </c>
      <c r="K7772" t="b">
        <v>1</v>
      </c>
    </row>
    <row r="7773" spans="1:11">
      <c r="A7773" s="12">
        <v>42612</v>
      </c>
      <c r="B7773">
        <v>2016</v>
      </c>
      <c r="C7773">
        <v>8</v>
      </c>
      <c r="D7773" s="11">
        <v>42583</v>
      </c>
      <c r="E7773" t="s">
        <v>2180</v>
      </c>
      <c r="F7773">
        <v>2</v>
      </c>
      <c r="G7773" t="s">
        <v>63</v>
      </c>
      <c r="H7773" t="s">
        <v>43</v>
      </c>
      <c r="I7773" t="s">
        <v>2191</v>
      </c>
      <c r="J7773" s="10">
        <v>8.9</v>
      </c>
      <c r="K7773" t="b">
        <v>1</v>
      </c>
    </row>
    <row r="7774" spans="1:11">
      <c r="A7774" s="12">
        <v>42612</v>
      </c>
      <c r="B7774">
        <v>2016</v>
      </c>
      <c r="C7774">
        <v>8</v>
      </c>
      <c r="D7774" s="11">
        <v>42583</v>
      </c>
      <c r="E7774" t="s">
        <v>2180</v>
      </c>
      <c r="F7774">
        <v>2</v>
      </c>
      <c r="G7774" t="s">
        <v>63</v>
      </c>
      <c r="H7774" t="s">
        <v>44</v>
      </c>
      <c r="I7774" t="s">
        <v>2192</v>
      </c>
      <c r="J7774" s="10">
        <v>4</v>
      </c>
      <c r="K7774" t="b">
        <v>1</v>
      </c>
    </row>
    <row r="7775" spans="1:11">
      <c r="A7775" s="12">
        <v>42612</v>
      </c>
      <c r="B7775">
        <v>2016</v>
      </c>
      <c r="C7775">
        <v>8</v>
      </c>
      <c r="D7775" s="11">
        <v>42583</v>
      </c>
      <c r="E7775" t="s">
        <v>2180</v>
      </c>
      <c r="F7775">
        <v>2</v>
      </c>
      <c r="G7775" t="s">
        <v>63</v>
      </c>
      <c r="H7775" t="s">
        <v>45</v>
      </c>
      <c r="I7775" t="s">
        <v>2193</v>
      </c>
      <c r="J7775" s="10">
        <v>0</v>
      </c>
      <c r="K7775" t="b">
        <v>1</v>
      </c>
    </row>
    <row r="7776" spans="1:11">
      <c r="A7776" s="12">
        <v>42612</v>
      </c>
      <c r="B7776">
        <v>2016</v>
      </c>
      <c r="C7776">
        <v>8</v>
      </c>
      <c r="D7776" s="11">
        <v>42583</v>
      </c>
      <c r="E7776" t="s">
        <v>2180</v>
      </c>
      <c r="F7776">
        <v>2</v>
      </c>
      <c r="G7776" t="s">
        <v>63</v>
      </c>
      <c r="H7776" t="s">
        <v>46</v>
      </c>
      <c r="I7776" t="s">
        <v>2194</v>
      </c>
      <c r="J7776" s="10">
        <v>1</v>
      </c>
      <c r="K7776" t="b">
        <v>1</v>
      </c>
    </row>
    <row r="7777" spans="1:11">
      <c r="A7777" s="12">
        <v>42612</v>
      </c>
      <c r="B7777">
        <v>2016</v>
      </c>
      <c r="C7777">
        <v>8</v>
      </c>
      <c r="D7777" s="11">
        <v>42583</v>
      </c>
      <c r="E7777" t="s">
        <v>2180</v>
      </c>
      <c r="F7777">
        <v>2</v>
      </c>
      <c r="G7777" t="s">
        <v>63</v>
      </c>
      <c r="H7777" t="s">
        <v>47</v>
      </c>
      <c r="I7777" t="s">
        <v>2195</v>
      </c>
      <c r="J7777" s="10">
        <v>0</v>
      </c>
      <c r="K7777" t="b">
        <v>1</v>
      </c>
    </row>
    <row r="7778" spans="1:11">
      <c r="A7778" s="12">
        <v>42613</v>
      </c>
      <c r="B7778">
        <v>2016</v>
      </c>
      <c r="C7778">
        <v>8</v>
      </c>
      <c r="D7778" s="11">
        <v>42583</v>
      </c>
      <c r="E7778" t="s">
        <v>2180</v>
      </c>
      <c r="F7778">
        <v>3</v>
      </c>
      <c r="G7778" t="s">
        <v>65</v>
      </c>
      <c r="H7778" t="s">
        <v>40</v>
      </c>
      <c r="I7778" t="s">
        <v>2188</v>
      </c>
      <c r="J7778" s="10">
        <v>6</v>
      </c>
      <c r="K7778" t="b">
        <v>1</v>
      </c>
    </row>
    <row r="7779" spans="1:11">
      <c r="A7779" s="12">
        <v>42613</v>
      </c>
      <c r="B7779">
        <v>2016</v>
      </c>
      <c r="C7779">
        <v>8</v>
      </c>
      <c r="D7779" s="11">
        <v>42583</v>
      </c>
      <c r="E7779" t="s">
        <v>2180</v>
      </c>
      <c r="F7779">
        <v>3</v>
      </c>
      <c r="G7779" t="s">
        <v>65</v>
      </c>
      <c r="H7779" t="s">
        <v>41</v>
      </c>
      <c r="I7779" t="s">
        <v>2189</v>
      </c>
      <c r="J7779" s="10">
        <v>5.827</v>
      </c>
      <c r="K7779" t="b">
        <v>1</v>
      </c>
    </row>
    <row r="7780" spans="1:11">
      <c r="A7780" s="12">
        <v>42613</v>
      </c>
      <c r="B7780">
        <v>2016</v>
      </c>
      <c r="C7780">
        <v>8</v>
      </c>
      <c r="D7780" s="11">
        <v>42583</v>
      </c>
      <c r="E7780" t="s">
        <v>2180</v>
      </c>
      <c r="F7780">
        <v>3</v>
      </c>
      <c r="G7780" t="s">
        <v>65</v>
      </c>
      <c r="H7780" t="s">
        <v>42</v>
      </c>
      <c r="I7780" t="s">
        <v>2190</v>
      </c>
      <c r="J7780" s="10">
        <v>5</v>
      </c>
      <c r="K7780" t="b">
        <v>1</v>
      </c>
    </row>
    <row r="7781" spans="1:11">
      <c r="A7781" s="12">
        <v>42613</v>
      </c>
      <c r="B7781">
        <v>2016</v>
      </c>
      <c r="C7781">
        <v>8</v>
      </c>
      <c r="D7781" s="11">
        <v>42583</v>
      </c>
      <c r="E7781" t="s">
        <v>2180</v>
      </c>
      <c r="F7781">
        <v>3</v>
      </c>
      <c r="G7781" t="s">
        <v>65</v>
      </c>
      <c r="H7781" t="s">
        <v>43</v>
      </c>
      <c r="I7781" t="s">
        <v>2191</v>
      </c>
      <c r="J7781" s="10">
        <v>23.2</v>
      </c>
      <c r="K7781" t="b">
        <v>1</v>
      </c>
    </row>
    <row r="7782" spans="1:11">
      <c r="A7782" s="12">
        <v>42613</v>
      </c>
      <c r="B7782">
        <v>2016</v>
      </c>
      <c r="C7782">
        <v>8</v>
      </c>
      <c r="D7782" s="11">
        <v>42583</v>
      </c>
      <c r="E7782" t="s">
        <v>2180</v>
      </c>
      <c r="F7782">
        <v>3</v>
      </c>
      <c r="G7782" t="s">
        <v>65</v>
      </c>
      <c r="H7782" t="s">
        <v>44</v>
      </c>
      <c r="I7782" t="s">
        <v>2192</v>
      </c>
      <c r="J7782" s="10">
        <v>3</v>
      </c>
      <c r="K7782" t="b">
        <v>1</v>
      </c>
    </row>
    <row r="7783" spans="1:11">
      <c r="A7783" s="12">
        <v>42613</v>
      </c>
      <c r="B7783">
        <v>2016</v>
      </c>
      <c r="C7783">
        <v>8</v>
      </c>
      <c r="D7783" s="11">
        <v>42583</v>
      </c>
      <c r="E7783" t="s">
        <v>2180</v>
      </c>
      <c r="F7783">
        <v>3</v>
      </c>
      <c r="G7783" t="s">
        <v>65</v>
      </c>
      <c r="H7783" t="s">
        <v>45</v>
      </c>
      <c r="I7783" t="s">
        <v>2193</v>
      </c>
      <c r="J7783" s="10">
        <v>0</v>
      </c>
      <c r="K7783" t="b">
        <v>1</v>
      </c>
    </row>
    <row r="7784" spans="1:11">
      <c r="A7784" s="12">
        <v>42613</v>
      </c>
      <c r="B7784">
        <v>2016</v>
      </c>
      <c r="C7784">
        <v>8</v>
      </c>
      <c r="D7784" s="11">
        <v>42583</v>
      </c>
      <c r="E7784" t="s">
        <v>2180</v>
      </c>
      <c r="F7784">
        <v>3</v>
      </c>
      <c r="G7784" t="s">
        <v>65</v>
      </c>
      <c r="H7784" t="s">
        <v>46</v>
      </c>
      <c r="I7784" t="s">
        <v>2194</v>
      </c>
      <c r="J7784" s="10">
        <v>1</v>
      </c>
      <c r="K7784" t="b">
        <v>1</v>
      </c>
    </row>
    <row r="7785" spans="1:11">
      <c r="A7785" s="12">
        <v>42613</v>
      </c>
      <c r="B7785">
        <v>2016</v>
      </c>
      <c r="C7785">
        <v>8</v>
      </c>
      <c r="D7785" s="11">
        <v>42583</v>
      </c>
      <c r="E7785" t="s">
        <v>2180</v>
      </c>
      <c r="F7785">
        <v>3</v>
      </c>
      <c r="G7785" t="s">
        <v>65</v>
      </c>
      <c r="H7785" t="s">
        <v>47</v>
      </c>
      <c r="I7785" t="s">
        <v>2195</v>
      </c>
      <c r="J7785" s="10">
        <v>5</v>
      </c>
      <c r="K7785" t="b">
        <v>1</v>
      </c>
    </row>
    <row r="7786" spans="1:11">
      <c r="A7786" s="12">
        <v>42614</v>
      </c>
      <c r="B7786">
        <v>2016</v>
      </c>
      <c r="C7786">
        <v>9</v>
      </c>
      <c r="D7786" s="11">
        <v>42614</v>
      </c>
      <c r="E7786" t="s">
        <v>2181</v>
      </c>
      <c r="F7786">
        <v>4</v>
      </c>
      <c r="G7786" t="s">
        <v>53</v>
      </c>
      <c r="H7786" t="s">
        <v>40</v>
      </c>
      <c r="I7786" t="s">
        <v>2188</v>
      </c>
      <c r="J7786" s="10">
        <v>5</v>
      </c>
      <c r="K7786" t="b">
        <v>1</v>
      </c>
    </row>
    <row r="7787" spans="1:11">
      <c r="A7787" s="12">
        <v>42614</v>
      </c>
      <c r="B7787">
        <v>2016</v>
      </c>
      <c r="C7787">
        <v>9</v>
      </c>
      <c r="D7787" s="11">
        <v>42614</v>
      </c>
      <c r="E7787" t="s">
        <v>2181</v>
      </c>
      <c r="F7787">
        <v>4</v>
      </c>
      <c r="G7787" t="s">
        <v>53</v>
      </c>
      <c r="H7787" t="s">
        <v>41</v>
      </c>
      <c r="I7787" t="s">
        <v>2189</v>
      </c>
      <c r="J7787" s="10">
        <v>3.66</v>
      </c>
      <c r="K7787" t="b">
        <v>1</v>
      </c>
    </row>
    <row r="7788" spans="1:11">
      <c r="A7788" s="12">
        <v>42614</v>
      </c>
      <c r="B7788">
        <v>2016</v>
      </c>
      <c r="C7788">
        <v>9</v>
      </c>
      <c r="D7788" s="11">
        <v>42614</v>
      </c>
      <c r="E7788" t="s">
        <v>2181</v>
      </c>
      <c r="F7788">
        <v>4</v>
      </c>
      <c r="G7788" t="s">
        <v>53</v>
      </c>
      <c r="H7788" t="s">
        <v>42</v>
      </c>
      <c r="I7788" t="s">
        <v>2190</v>
      </c>
      <c r="J7788" s="10">
        <v>5</v>
      </c>
      <c r="K7788" t="b">
        <v>1</v>
      </c>
    </row>
    <row r="7789" spans="1:11">
      <c r="A7789" s="12">
        <v>42614</v>
      </c>
      <c r="B7789">
        <v>2016</v>
      </c>
      <c r="C7789">
        <v>9</v>
      </c>
      <c r="D7789" s="11">
        <v>42614</v>
      </c>
      <c r="E7789" t="s">
        <v>2181</v>
      </c>
      <c r="F7789">
        <v>4</v>
      </c>
      <c r="G7789" t="s">
        <v>53</v>
      </c>
      <c r="H7789" t="s">
        <v>43</v>
      </c>
      <c r="I7789" t="s">
        <v>2191</v>
      </c>
      <c r="J7789" s="10">
        <v>31.4</v>
      </c>
      <c r="K7789" t="b">
        <v>1</v>
      </c>
    </row>
    <row r="7790" spans="1:11">
      <c r="A7790" s="12">
        <v>42614</v>
      </c>
      <c r="B7790">
        <v>2016</v>
      </c>
      <c r="C7790">
        <v>9</v>
      </c>
      <c r="D7790" s="11">
        <v>42614</v>
      </c>
      <c r="E7790" t="s">
        <v>2181</v>
      </c>
      <c r="F7790">
        <v>4</v>
      </c>
      <c r="G7790" t="s">
        <v>53</v>
      </c>
      <c r="H7790" t="s">
        <v>44</v>
      </c>
      <c r="I7790" t="s">
        <v>2192</v>
      </c>
      <c r="J7790" s="10">
        <v>2</v>
      </c>
      <c r="K7790" t="b">
        <v>1</v>
      </c>
    </row>
    <row r="7791" spans="1:11">
      <c r="A7791" s="12">
        <v>42614</v>
      </c>
      <c r="B7791">
        <v>2016</v>
      </c>
      <c r="C7791">
        <v>9</v>
      </c>
      <c r="D7791" s="11">
        <v>42614</v>
      </c>
      <c r="E7791" t="s">
        <v>2181</v>
      </c>
      <c r="F7791">
        <v>4</v>
      </c>
      <c r="G7791" t="s">
        <v>53</v>
      </c>
      <c r="H7791" t="s">
        <v>45</v>
      </c>
      <c r="I7791" t="s">
        <v>2193</v>
      </c>
      <c r="J7791" s="10">
        <v>0</v>
      </c>
      <c r="K7791" t="b">
        <v>1</v>
      </c>
    </row>
    <row r="7792" spans="1:11">
      <c r="A7792" s="12">
        <v>42614</v>
      </c>
      <c r="B7792">
        <v>2016</v>
      </c>
      <c r="C7792">
        <v>9</v>
      </c>
      <c r="D7792" s="11">
        <v>42614</v>
      </c>
      <c r="E7792" t="s">
        <v>2181</v>
      </c>
      <c r="F7792">
        <v>4</v>
      </c>
      <c r="G7792" t="s">
        <v>53</v>
      </c>
      <c r="H7792" t="s">
        <v>46</v>
      </c>
      <c r="I7792" t="s">
        <v>2194</v>
      </c>
      <c r="J7792" s="10">
        <v>0</v>
      </c>
      <c r="K7792" t="b">
        <v>1</v>
      </c>
    </row>
    <row r="7793" spans="1:11">
      <c r="A7793" s="12">
        <v>42614</v>
      </c>
      <c r="B7793">
        <v>2016</v>
      </c>
      <c r="C7793">
        <v>9</v>
      </c>
      <c r="D7793" s="11">
        <v>42614</v>
      </c>
      <c r="E7793" t="s">
        <v>2181</v>
      </c>
      <c r="F7793">
        <v>4</v>
      </c>
      <c r="G7793" t="s">
        <v>53</v>
      </c>
      <c r="H7793" t="s">
        <v>47</v>
      </c>
      <c r="I7793" t="s">
        <v>2195</v>
      </c>
      <c r="J7793" s="10">
        <v>3</v>
      </c>
      <c r="K7793" t="b">
        <v>1</v>
      </c>
    </row>
    <row r="7794" spans="1:11">
      <c r="A7794" s="12">
        <v>42615</v>
      </c>
      <c r="B7794">
        <v>2016</v>
      </c>
      <c r="C7794">
        <v>9</v>
      </c>
      <c r="D7794" s="11">
        <v>42614</v>
      </c>
      <c r="E7794" t="s">
        <v>2181</v>
      </c>
      <c r="F7794">
        <v>5</v>
      </c>
      <c r="G7794" t="s">
        <v>55</v>
      </c>
      <c r="H7794" t="s">
        <v>40</v>
      </c>
      <c r="I7794" t="s">
        <v>2188</v>
      </c>
      <c r="J7794" s="10">
        <v>9.34</v>
      </c>
      <c r="K7794" t="b">
        <v>1</v>
      </c>
    </row>
    <row r="7795" spans="1:11">
      <c r="A7795" s="12">
        <v>42615</v>
      </c>
      <c r="B7795">
        <v>2016</v>
      </c>
      <c r="C7795">
        <v>9</v>
      </c>
      <c r="D7795" s="11">
        <v>42614</v>
      </c>
      <c r="E7795" t="s">
        <v>2181</v>
      </c>
      <c r="F7795">
        <v>5</v>
      </c>
      <c r="G7795" t="s">
        <v>55</v>
      </c>
      <c r="H7795" t="s">
        <v>41</v>
      </c>
      <c r="I7795" t="s">
        <v>2189</v>
      </c>
      <c r="J7795" s="10">
        <v>4.02</v>
      </c>
      <c r="K7795" t="b">
        <v>1</v>
      </c>
    </row>
    <row r="7796" spans="1:11">
      <c r="A7796" s="12">
        <v>42615</v>
      </c>
      <c r="B7796">
        <v>2016</v>
      </c>
      <c r="C7796">
        <v>9</v>
      </c>
      <c r="D7796" s="11">
        <v>42614</v>
      </c>
      <c r="E7796" t="s">
        <v>2181</v>
      </c>
      <c r="F7796">
        <v>5</v>
      </c>
      <c r="G7796" t="s">
        <v>55</v>
      </c>
      <c r="H7796" t="s">
        <v>42</v>
      </c>
      <c r="I7796" t="s">
        <v>2190</v>
      </c>
      <c r="J7796" s="10">
        <v>5</v>
      </c>
      <c r="K7796" t="b">
        <v>1</v>
      </c>
    </row>
    <row r="7797" spans="1:11">
      <c r="A7797" s="12">
        <v>42615</v>
      </c>
      <c r="B7797">
        <v>2016</v>
      </c>
      <c r="C7797">
        <v>9</v>
      </c>
      <c r="D7797" s="11">
        <v>42614</v>
      </c>
      <c r="E7797" t="s">
        <v>2181</v>
      </c>
      <c r="F7797">
        <v>5</v>
      </c>
      <c r="G7797" t="s">
        <v>55</v>
      </c>
      <c r="H7797" t="s">
        <v>43</v>
      </c>
      <c r="I7797" t="s">
        <v>2191</v>
      </c>
      <c r="J7797" s="10">
        <v>10</v>
      </c>
      <c r="K7797" t="b">
        <v>1</v>
      </c>
    </row>
    <row r="7798" spans="1:11">
      <c r="A7798" s="12">
        <v>42615</v>
      </c>
      <c r="B7798">
        <v>2016</v>
      </c>
      <c r="C7798">
        <v>9</v>
      </c>
      <c r="D7798" s="11">
        <v>42614</v>
      </c>
      <c r="E7798" t="s">
        <v>2181</v>
      </c>
      <c r="F7798">
        <v>5</v>
      </c>
      <c r="G7798" t="s">
        <v>55</v>
      </c>
      <c r="H7798" t="s">
        <v>44</v>
      </c>
      <c r="I7798" t="s">
        <v>2192</v>
      </c>
      <c r="J7798" s="10">
        <v>25</v>
      </c>
      <c r="K7798" t="b">
        <v>1</v>
      </c>
    </row>
    <row r="7799" spans="1:11">
      <c r="A7799" s="12">
        <v>42615</v>
      </c>
      <c r="B7799">
        <v>2016</v>
      </c>
      <c r="C7799">
        <v>9</v>
      </c>
      <c r="D7799" s="11">
        <v>42614</v>
      </c>
      <c r="E7799" t="s">
        <v>2181</v>
      </c>
      <c r="F7799">
        <v>5</v>
      </c>
      <c r="G7799" t="s">
        <v>55</v>
      </c>
      <c r="H7799" t="s">
        <v>45</v>
      </c>
      <c r="I7799" t="s">
        <v>2193</v>
      </c>
      <c r="J7799" s="10">
        <v>0</v>
      </c>
      <c r="K7799" t="b">
        <v>1</v>
      </c>
    </row>
    <row r="7800" spans="1:11">
      <c r="A7800" s="12">
        <v>42615</v>
      </c>
      <c r="B7800">
        <v>2016</v>
      </c>
      <c r="C7800">
        <v>9</v>
      </c>
      <c r="D7800" s="11">
        <v>42614</v>
      </c>
      <c r="E7800" t="s">
        <v>2181</v>
      </c>
      <c r="F7800">
        <v>5</v>
      </c>
      <c r="G7800" t="s">
        <v>55</v>
      </c>
      <c r="H7800" t="s">
        <v>46</v>
      </c>
      <c r="I7800" t="s">
        <v>2194</v>
      </c>
      <c r="J7800" s="10">
        <v>5</v>
      </c>
      <c r="K7800" t="b">
        <v>1</v>
      </c>
    </row>
    <row r="7801" spans="1:11">
      <c r="A7801" s="12">
        <v>42615</v>
      </c>
      <c r="B7801">
        <v>2016</v>
      </c>
      <c r="C7801">
        <v>9</v>
      </c>
      <c r="D7801" s="11">
        <v>42614</v>
      </c>
      <c r="E7801" t="s">
        <v>2181</v>
      </c>
      <c r="F7801">
        <v>5</v>
      </c>
      <c r="G7801" t="s">
        <v>55</v>
      </c>
      <c r="H7801" t="s">
        <v>47</v>
      </c>
      <c r="I7801" t="s">
        <v>2195</v>
      </c>
      <c r="J7801" s="10">
        <v>2</v>
      </c>
      <c r="K7801" t="b">
        <v>1</v>
      </c>
    </row>
    <row r="7802" spans="1:11">
      <c r="A7802" s="12">
        <v>42616</v>
      </c>
      <c r="B7802">
        <v>2016</v>
      </c>
      <c r="C7802">
        <v>9</v>
      </c>
      <c r="D7802" s="11">
        <v>42614</v>
      </c>
      <c r="E7802" t="s">
        <v>2181</v>
      </c>
      <c r="F7802">
        <v>6</v>
      </c>
      <c r="G7802" t="s">
        <v>57</v>
      </c>
      <c r="H7802" t="s">
        <v>40</v>
      </c>
      <c r="I7802" t="s">
        <v>2188</v>
      </c>
      <c r="J7802" s="10">
        <v>5.33</v>
      </c>
      <c r="K7802" t="b">
        <v>1</v>
      </c>
    </row>
    <row r="7803" spans="1:11">
      <c r="A7803" s="12">
        <v>42616</v>
      </c>
      <c r="B7803">
        <v>2016</v>
      </c>
      <c r="C7803">
        <v>9</v>
      </c>
      <c r="D7803" s="11">
        <v>42614</v>
      </c>
      <c r="E7803" t="s">
        <v>2181</v>
      </c>
      <c r="F7803">
        <v>6</v>
      </c>
      <c r="G7803" t="s">
        <v>57</v>
      </c>
      <c r="H7803" t="s">
        <v>41</v>
      </c>
      <c r="I7803" t="s">
        <v>2189</v>
      </c>
      <c r="J7803" s="10">
        <v>4.025</v>
      </c>
      <c r="K7803" t="b">
        <v>1</v>
      </c>
    </row>
    <row r="7804" spans="1:11">
      <c r="A7804" s="12">
        <v>42616</v>
      </c>
      <c r="B7804">
        <v>2016</v>
      </c>
      <c r="C7804">
        <v>9</v>
      </c>
      <c r="D7804" s="11">
        <v>42614</v>
      </c>
      <c r="E7804" t="s">
        <v>2181</v>
      </c>
      <c r="F7804">
        <v>6</v>
      </c>
      <c r="G7804" t="s">
        <v>57</v>
      </c>
      <c r="H7804" t="s">
        <v>42</v>
      </c>
      <c r="I7804" t="s">
        <v>2190</v>
      </c>
      <c r="J7804" s="10">
        <v>6.5</v>
      </c>
      <c r="K7804" t="b">
        <v>1</v>
      </c>
    </row>
    <row r="7805" spans="1:11">
      <c r="A7805" s="12">
        <v>42616</v>
      </c>
      <c r="B7805">
        <v>2016</v>
      </c>
      <c r="C7805">
        <v>9</v>
      </c>
      <c r="D7805" s="11">
        <v>42614</v>
      </c>
      <c r="E7805" t="s">
        <v>2181</v>
      </c>
      <c r="F7805">
        <v>6</v>
      </c>
      <c r="G7805" t="s">
        <v>57</v>
      </c>
      <c r="H7805" t="s">
        <v>43</v>
      </c>
      <c r="I7805" t="s">
        <v>2191</v>
      </c>
      <c r="J7805" s="10">
        <v>54.2</v>
      </c>
      <c r="K7805" t="b">
        <v>1</v>
      </c>
    </row>
    <row r="7806" spans="1:11">
      <c r="A7806" s="12">
        <v>42616</v>
      </c>
      <c r="B7806">
        <v>2016</v>
      </c>
      <c r="C7806">
        <v>9</v>
      </c>
      <c r="D7806" s="11">
        <v>42614</v>
      </c>
      <c r="E7806" t="s">
        <v>2181</v>
      </c>
      <c r="F7806">
        <v>6</v>
      </c>
      <c r="G7806" t="s">
        <v>57</v>
      </c>
      <c r="H7806" t="s">
        <v>44</v>
      </c>
      <c r="I7806" t="s">
        <v>2192</v>
      </c>
      <c r="J7806" s="10">
        <v>5</v>
      </c>
      <c r="K7806" t="b">
        <v>1</v>
      </c>
    </row>
    <row r="7807" spans="1:11">
      <c r="A7807" s="12">
        <v>42616</v>
      </c>
      <c r="B7807">
        <v>2016</v>
      </c>
      <c r="C7807">
        <v>9</v>
      </c>
      <c r="D7807" s="11">
        <v>42614</v>
      </c>
      <c r="E7807" t="s">
        <v>2181</v>
      </c>
      <c r="F7807">
        <v>6</v>
      </c>
      <c r="G7807" t="s">
        <v>57</v>
      </c>
      <c r="H7807" t="s">
        <v>45</v>
      </c>
      <c r="I7807" t="s">
        <v>2193</v>
      </c>
      <c r="J7807" s="10">
        <v>0</v>
      </c>
      <c r="K7807" t="b">
        <v>1</v>
      </c>
    </row>
    <row r="7808" spans="1:11">
      <c r="A7808" s="12">
        <v>42616</v>
      </c>
      <c r="B7808">
        <v>2016</v>
      </c>
      <c r="C7808">
        <v>9</v>
      </c>
      <c r="D7808" s="11">
        <v>42614</v>
      </c>
      <c r="E7808" t="s">
        <v>2181</v>
      </c>
      <c r="F7808">
        <v>6</v>
      </c>
      <c r="G7808" t="s">
        <v>57</v>
      </c>
      <c r="H7808" t="s">
        <v>46</v>
      </c>
      <c r="I7808" t="s">
        <v>2194</v>
      </c>
      <c r="J7808" s="10">
        <v>4</v>
      </c>
      <c r="K7808" t="b">
        <v>1</v>
      </c>
    </row>
    <row r="7809" spans="1:11">
      <c r="A7809" s="12">
        <v>42616</v>
      </c>
      <c r="B7809">
        <v>2016</v>
      </c>
      <c r="C7809">
        <v>9</v>
      </c>
      <c r="D7809" s="11">
        <v>42614</v>
      </c>
      <c r="E7809" t="s">
        <v>2181</v>
      </c>
      <c r="F7809">
        <v>6</v>
      </c>
      <c r="G7809" t="s">
        <v>57</v>
      </c>
      <c r="H7809" t="s">
        <v>47</v>
      </c>
      <c r="I7809" t="s">
        <v>2195</v>
      </c>
      <c r="J7809" s="10">
        <v>4</v>
      </c>
      <c r="K7809" t="b">
        <v>1</v>
      </c>
    </row>
    <row r="7810" spans="1:11">
      <c r="A7810" s="12">
        <v>42617</v>
      </c>
      <c r="B7810">
        <v>2016</v>
      </c>
      <c r="C7810">
        <v>9</v>
      </c>
      <c r="D7810" s="11">
        <v>42614</v>
      </c>
      <c r="E7810" t="s">
        <v>2181</v>
      </c>
      <c r="F7810">
        <v>7</v>
      </c>
      <c r="G7810" t="s">
        <v>59</v>
      </c>
      <c r="H7810" t="s">
        <v>40</v>
      </c>
      <c r="I7810" t="s">
        <v>2188</v>
      </c>
      <c r="J7810" s="10">
        <v>8.33</v>
      </c>
      <c r="K7810" t="b">
        <v>1</v>
      </c>
    </row>
    <row r="7811" spans="1:11">
      <c r="A7811" s="12">
        <v>42617</v>
      </c>
      <c r="B7811">
        <v>2016</v>
      </c>
      <c r="C7811">
        <v>9</v>
      </c>
      <c r="D7811" s="11">
        <v>42614</v>
      </c>
      <c r="E7811" t="s">
        <v>2181</v>
      </c>
      <c r="F7811">
        <v>7</v>
      </c>
      <c r="G7811" t="s">
        <v>59</v>
      </c>
      <c r="H7811" t="s">
        <v>41</v>
      </c>
      <c r="I7811" t="s">
        <v>2189</v>
      </c>
      <c r="J7811" s="10">
        <v>4.396</v>
      </c>
      <c r="K7811" t="b">
        <v>1</v>
      </c>
    </row>
    <row r="7812" spans="1:11">
      <c r="A7812" s="12">
        <v>42617</v>
      </c>
      <c r="B7812">
        <v>2016</v>
      </c>
      <c r="C7812">
        <v>9</v>
      </c>
      <c r="D7812" s="11">
        <v>42614</v>
      </c>
      <c r="E7812" t="s">
        <v>2181</v>
      </c>
      <c r="F7812">
        <v>7</v>
      </c>
      <c r="G7812" t="s">
        <v>59</v>
      </c>
      <c r="H7812" t="s">
        <v>42</v>
      </c>
      <c r="I7812" t="s">
        <v>2190</v>
      </c>
      <c r="J7812" s="10">
        <v>0</v>
      </c>
      <c r="K7812" t="b">
        <v>1</v>
      </c>
    </row>
    <row r="7813" spans="1:11">
      <c r="A7813" s="12">
        <v>42617</v>
      </c>
      <c r="B7813">
        <v>2016</v>
      </c>
      <c r="C7813">
        <v>9</v>
      </c>
      <c r="D7813" s="11">
        <v>42614</v>
      </c>
      <c r="E7813" t="s">
        <v>2181</v>
      </c>
      <c r="F7813">
        <v>7</v>
      </c>
      <c r="G7813" t="s">
        <v>59</v>
      </c>
      <c r="H7813" t="s">
        <v>43</v>
      </c>
      <c r="I7813" t="s">
        <v>2191</v>
      </c>
      <c r="J7813" s="10">
        <v>30.9</v>
      </c>
      <c r="K7813" t="b">
        <v>1</v>
      </c>
    </row>
    <row r="7814" spans="1:11">
      <c r="A7814" s="12">
        <v>42617</v>
      </c>
      <c r="B7814">
        <v>2016</v>
      </c>
      <c r="C7814">
        <v>9</v>
      </c>
      <c r="D7814" s="11">
        <v>42614</v>
      </c>
      <c r="E7814" t="s">
        <v>2181</v>
      </c>
      <c r="F7814">
        <v>7</v>
      </c>
      <c r="G7814" t="s">
        <v>59</v>
      </c>
      <c r="H7814" t="s">
        <v>44</v>
      </c>
      <c r="I7814" t="s">
        <v>2192</v>
      </c>
      <c r="J7814" s="10">
        <v>10</v>
      </c>
      <c r="K7814" t="b">
        <v>1</v>
      </c>
    </row>
    <row r="7815" spans="1:11">
      <c r="A7815" s="12">
        <v>42617</v>
      </c>
      <c r="B7815">
        <v>2016</v>
      </c>
      <c r="C7815">
        <v>9</v>
      </c>
      <c r="D7815" s="11">
        <v>42614</v>
      </c>
      <c r="E7815" t="s">
        <v>2181</v>
      </c>
      <c r="F7815">
        <v>7</v>
      </c>
      <c r="G7815" t="s">
        <v>59</v>
      </c>
      <c r="H7815" t="s">
        <v>45</v>
      </c>
      <c r="I7815" t="s">
        <v>2193</v>
      </c>
      <c r="J7815" s="10">
        <v>0</v>
      </c>
      <c r="K7815" t="b">
        <v>1</v>
      </c>
    </row>
    <row r="7816" spans="1:11">
      <c r="A7816" s="12">
        <v>42617</v>
      </c>
      <c r="B7816">
        <v>2016</v>
      </c>
      <c r="C7816">
        <v>9</v>
      </c>
      <c r="D7816" s="11">
        <v>42614</v>
      </c>
      <c r="E7816" t="s">
        <v>2181</v>
      </c>
      <c r="F7816">
        <v>7</v>
      </c>
      <c r="G7816" t="s">
        <v>59</v>
      </c>
      <c r="H7816" t="s">
        <v>46</v>
      </c>
      <c r="I7816" t="s">
        <v>2194</v>
      </c>
      <c r="J7816" s="10">
        <v>4</v>
      </c>
      <c r="K7816" t="b">
        <v>1</v>
      </c>
    </row>
    <row r="7817" spans="1:11">
      <c r="A7817" s="12">
        <v>42617</v>
      </c>
      <c r="B7817">
        <v>2016</v>
      </c>
      <c r="C7817">
        <v>9</v>
      </c>
      <c r="D7817" s="11">
        <v>42614</v>
      </c>
      <c r="E7817" t="s">
        <v>2181</v>
      </c>
      <c r="F7817">
        <v>7</v>
      </c>
      <c r="G7817" t="s">
        <v>59</v>
      </c>
      <c r="H7817" t="s">
        <v>47</v>
      </c>
      <c r="I7817" t="s">
        <v>2195</v>
      </c>
      <c r="J7817" s="10">
        <v>5</v>
      </c>
      <c r="K7817" t="b">
        <v>1</v>
      </c>
    </row>
    <row r="7818" spans="1:11">
      <c r="A7818" s="12">
        <v>42618</v>
      </c>
      <c r="B7818">
        <v>2016</v>
      </c>
      <c r="C7818">
        <v>9</v>
      </c>
      <c r="D7818" s="11">
        <v>42614</v>
      </c>
      <c r="E7818" t="s">
        <v>2181</v>
      </c>
      <c r="F7818">
        <v>1</v>
      </c>
      <c r="G7818" t="s">
        <v>61</v>
      </c>
      <c r="H7818" t="s">
        <v>40</v>
      </c>
      <c r="I7818" t="s">
        <v>2188</v>
      </c>
      <c r="J7818" s="10">
        <v>3.32</v>
      </c>
      <c r="K7818" t="b">
        <v>1</v>
      </c>
    </row>
    <row r="7819" spans="1:11">
      <c r="A7819" s="12">
        <v>42618</v>
      </c>
      <c r="B7819">
        <v>2016</v>
      </c>
      <c r="C7819">
        <v>9</v>
      </c>
      <c r="D7819" s="11">
        <v>42614</v>
      </c>
      <c r="E7819" t="s">
        <v>2181</v>
      </c>
      <c r="F7819">
        <v>1</v>
      </c>
      <c r="G7819" t="s">
        <v>61</v>
      </c>
      <c r="H7819" t="s">
        <v>41</v>
      </c>
      <c r="I7819" t="s">
        <v>2189</v>
      </c>
      <c r="J7819" s="10">
        <v>4.396</v>
      </c>
      <c r="K7819" t="b">
        <v>1</v>
      </c>
    </row>
    <row r="7820" spans="1:11">
      <c r="A7820" s="12">
        <v>42618</v>
      </c>
      <c r="B7820">
        <v>2016</v>
      </c>
      <c r="C7820">
        <v>9</v>
      </c>
      <c r="D7820" s="11">
        <v>42614</v>
      </c>
      <c r="E7820" t="s">
        <v>2181</v>
      </c>
      <c r="F7820">
        <v>1</v>
      </c>
      <c r="G7820" t="s">
        <v>61</v>
      </c>
      <c r="H7820" t="s">
        <v>42</v>
      </c>
      <c r="I7820" t="s">
        <v>2190</v>
      </c>
      <c r="J7820" s="10">
        <v>2</v>
      </c>
      <c r="K7820" t="b">
        <v>1</v>
      </c>
    </row>
    <row r="7821" spans="1:11">
      <c r="A7821" s="12">
        <v>42618</v>
      </c>
      <c r="B7821">
        <v>2016</v>
      </c>
      <c r="C7821">
        <v>9</v>
      </c>
      <c r="D7821" s="11">
        <v>42614</v>
      </c>
      <c r="E7821" t="s">
        <v>2181</v>
      </c>
      <c r="F7821">
        <v>1</v>
      </c>
      <c r="G7821" t="s">
        <v>61</v>
      </c>
      <c r="H7821" t="s">
        <v>43</v>
      </c>
      <c r="I7821" t="s">
        <v>2191</v>
      </c>
      <c r="J7821" s="10">
        <v>34.3</v>
      </c>
      <c r="K7821" t="b">
        <v>1</v>
      </c>
    </row>
    <row r="7822" spans="1:11">
      <c r="A7822" s="12">
        <v>42618</v>
      </c>
      <c r="B7822">
        <v>2016</v>
      </c>
      <c r="C7822">
        <v>9</v>
      </c>
      <c r="D7822" s="11">
        <v>42614</v>
      </c>
      <c r="E7822" t="s">
        <v>2181</v>
      </c>
      <c r="F7822">
        <v>1</v>
      </c>
      <c r="G7822" t="s">
        <v>61</v>
      </c>
      <c r="H7822" t="s">
        <v>44</v>
      </c>
      <c r="I7822" t="s">
        <v>2192</v>
      </c>
      <c r="J7822" s="10">
        <v>8</v>
      </c>
      <c r="K7822" t="b">
        <v>1</v>
      </c>
    </row>
    <row r="7823" spans="1:11">
      <c r="A7823" s="12">
        <v>42618</v>
      </c>
      <c r="B7823">
        <v>2016</v>
      </c>
      <c r="C7823">
        <v>9</v>
      </c>
      <c r="D7823" s="11">
        <v>42614</v>
      </c>
      <c r="E7823" t="s">
        <v>2181</v>
      </c>
      <c r="F7823">
        <v>1</v>
      </c>
      <c r="G7823" t="s">
        <v>61</v>
      </c>
      <c r="H7823" t="s">
        <v>45</v>
      </c>
      <c r="I7823" t="s">
        <v>2193</v>
      </c>
      <c r="J7823" s="10">
        <v>2</v>
      </c>
      <c r="K7823" t="b">
        <v>1</v>
      </c>
    </row>
    <row r="7824" spans="1:11">
      <c r="A7824" s="12">
        <v>42618</v>
      </c>
      <c r="B7824">
        <v>2016</v>
      </c>
      <c r="C7824">
        <v>9</v>
      </c>
      <c r="D7824" s="11">
        <v>42614</v>
      </c>
      <c r="E7824" t="s">
        <v>2181</v>
      </c>
      <c r="F7824">
        <v>1</v>
      </c>
      <c r="G7824" t="s">
        <v>61</v>
      </c>
      <c r="H7824" t="s">
        <v>46</v>
      </c>
      <c r="I7824" t="s">
        <v>2194</v>
      </c>
      <c r="J7824" s="10">
        <v>2</v>
      </c>
      <c r="K7824" t="b">
        <v>1</v>
      </c>
    </row>
    <row r="7825" spans="1:11">
      <c r="A7825" s="12">
        <v>42618</v>
      </c>
      <c r="B7825">
        <v>2016</v>
      </c>
      <c r="C7825">
        <v>9</v>
      </c>
      <c r="D7825" s="11">
        <v>42614</v>
      </c>
      <c r="E7825" t="s">
        <v>2181</v>
      </c>
      <c r="F7825">
        <v>1</v>
      </c>
      <c r="G7825" t="s">
        <v>61</v>
      </c>
      <c r="H7825" t="s">
        <v>47</v>
      </c>
      <c r="I7825" t="s">
        <v>2195</v>
      </c>
      <c r="J7825" s="10">
        <v>4</v>
      </c>
      <c r="K7825" t="b">
        <v>1</v>
      </c>
    </row>
    <row r="7826" spans="1:11">
      <c r="A7826" s="12">
        <v>42619</v>
      </c>
      <c r="B7826">
        <v>2016</v>
      </c>
      <c r="C7826">
        <v>9</v>
      </c>
      <c r="D7826" s="11">
        <v>42614</v>
      </c>
      <c r="E7826" t="s">
        <v>2181</v>
      </c>
      <c r="F7826">
        <v>2</v>
      </c>
      <c r="G7826" t="s">
        <v>63</v>
      </c>
      <c r="H7826" t="s">
        <v>40</v>
      </c>
      <c r="I7826" t="s">
        <v>2188</v>
      </c>
      <c r="J7826" s="10">
        <v>5</v>
      </c>
      <c r="K7826" t="b">
        <v>1</v>
      </c>
    </row>
    <row r="7827" spans="1:11">
      <c r="A7827" s="12">
        <v>42619</v>
      </c>
      <c r="B7827">
        <v>2016</v>
      </c>
      <c r="C7827">
        <v>9</v>
      </c>
      <c r="D7827" s="11">
        <v>42614</v>
      </c>
      <c r="E7827" t="s">
        <v>2181</v>
      </c>
      <c r="F7827">
        <v>2</v>
      </c>
      <c r="G7827" t="s">
        <v>63</v>
      </c>
      <c r="H7827" t="s">
        <v>41</v>
      </c>
      <c r="I7827" t="s">
        <v>2189</v>
      </c>
      <c r="J7827" s="10">
        <v>1.33</v>
      </c>
      <c r="K7827" t="b">
        <v>1</v>
      </c>
    </row>
    <row r="7828" spans="1:11">
      <c r="A7828" s="12">
        <v>42619</v>
      </c>
      <c r="B7828">
        <v>2016</v>
      </c>
      <c r="C7828">
        <v>9</v>
      </c>
      <c r="D7828" s="11">
        <v>42614</v>
      </c>
      <c r="E7828" t="s">
        <v>2181</v>
      </c>
      <c r="F7828">
        <v>2</v>
      </c>
      <c r="G7828" t="s">
        <v>63</v>
      </c>
      <c r="H7828" t="s">
        <v>42</v>
      </c>
      <c r="I7828" t="s">
        <v>2190</v>
      </c>
      <c r="J7828" s="10">
        <v>1</v>
      </c>
      <c r="K7828" t="b">
        <v>1</v>
      </c>
    </row>
    <row r="7829" spans="1:11">
      <c r="A7829" s="12">
        <v>42619</v>
      </c>
      <c r="B7829">
        <v>2016</v>
      </c>
      <c r="C7829">
        <v>9</v>
      </c>
      <c r="D7829" s="11">
        <v>42614</v>
      </c>
      <c r="E7829" t="s">
        <v>2181</v>
      </c>
      <c r="F7829">
        <v>2</v>
      </c>
      <c r="G7829" t="s">
        <v>63</v>
      </c>
      <c r="H7829" t="s">
        <v>43</v>
      </c>
      <c r="I7829" t="s">
        <v>2191</v>
      </c>
      <c r="J7829" s="10">
        <v>32.8</v>
      </c>
      <c r="K7829" t="b">
        <v>1</v>
      </c>
    </row>
    <row r="7830" spans="1:11">
      <c r="A7830" s="12">
        <v>42619</v>
      </c>
      <c r="B7830">
        <v>2016</v>
      </c>
      <c r="C7830">
        <v>9</v>
      </c>
      <c r="D7830" s="11">
        <v>42614</v>
      </c>
      <c r="E7830" t="s">
        <v>2181</v>
      </c>
      <c r="F7830">
        <v>2</v>
      </c>
      <c r="G7830" t="s">
        <v>63</v>
      </c>
      <c r="H7830" t="s">
        <v>44</v>
      </c>
      <c r="I7830" t="s">
        <v>2192</v>
      </c>
      <c r="J7830" s="10">
        <v>14</v>
      </c>
      <c r="K7830" t="b">
        <v>1</v>
      </c>
    </row>
    <row r="7831" spans="1:11">
      <c r="A7831" s="12">
        <v>42619</v>
      </c>
      <c r="B7831">
        <v>2016</v>
      </c>
      <c r="C7831">
        <v>9</v>
      </c>
      <c r="D7831" s="11">
        <v>42614</v>
      </c>
      <c r="E7831" t="s">
        <v>2181</v>
      </c>
      <c r="F7831">
        <v>2</v>
      </c>
      <c r="G7831" t="s">
        <v>63</v>
      </c>
      <c r="H7831" t="s">
        <v>45</v>
      </c>
      <c r="I7831" t="s">
        <v>2193</v>
      </c>
      <c r="J7831" s="10">
        <v>3</v>
      </c>
      <c r="K7831" t="b">
        <v>1</v>
      </c>
    </row>
    <row r="7832" spans="1:11">
      <c r="A7832" s="12">
        <v>42619</v>
      </c>
      <c r="B7832">
        <v>2016</v>
      </c>
      <c r="C7832">
        <v>9</v>
      </c>
      <c r="D7832" s="11">
        <v>42614</v>
      </c>
      <c r="E7832" t="s">
        <v>2181</v>
      </c>
      <c r="F7832">
        <v>2</v>
      </c>
      <c r="G7832" t="s">
        <v>63</v>
      </c>
      <c r="H7832" t="s">
        <v>46</v>
      </c>
      <c r="I7832" t="s">
        <v>2194</v>
      </c>
      <c r="J7832" s="10">
        <v>0</v>
      </c>
      <c r="K7832" t="b">
        <v>1</v>
      </c>
    </row>
    <row r="7833" spans="1:11">
      <c r="A7833" s="12">
        <v>42619</v>
      </c>
      <c r="B7833">
        <v>2016</v>
      </c>
      <c r="C7833">
        <v>9</v>
      </c>
      <c r="D7833" s="11">
        <v>42614</v>
      </c>
      <c r="E7833" t="s">
        <v>2181</v>
      </c>
      <c r="F7833">
        <v>2</v>
      </c>
      <c r="G7833" t="s">
        <v>63</v>
      </c>
      <c r="H7833" t="s">
        <v>47</v>
      </c>
      <c r="I7833" t="s">
        <v>2195</v>
      </c>
      <c r="J7833" s="10">
        <v>3</v>
      </c>
      <c r="K7833" t="b">
        <v>1</v>
      </c>
    </row>
    <row r="7834" spans="1:11">
      <c r="A7834" s="12">
        <v>42620</v>
      </c>
      <c r="B7834">
        <v>2016</v>
      </c>
      <c r="C7834">
        <v>9</v>
      </c>
      <c r="D7834" s="11">
        <v>42614</v>
      </c>
      <c r="E7834" t="s">
        <v>2181</v>
      </c>
      <c r="F7834">
        <v>3</v>
      </c>
      <c r="G7834" t="s">
        <v>65</v>
      </c>
      <c r="H7834" t="s">
        <v>40</v>
      </c>
      <c r="I7834" t="s">
        <v>2188</v>
      </c>
      <c r="J7834" s="10">
        <v>2.33</v>
      </c>
      <c r="K7834" t="b">
        <v>1</v>
      </c>
    </row>
    <row r="7835" spans="1:11">
      <c r="A7835" s="12">
        <v>42620</v>
      </c>
      <c r="B7835">
        <v>2016</v>
      </c>
      <c r="C7835">
        <v>9</v>
      </c>
      <c r="D7835" s="11">
        <v>42614</v>
      </c>
      <c r="E7835" t="s">
        <v>2181</v>
      </c>
      <c r="F7835">
        <v>3</v>
      </c>
      <c r="G7835" t="s">
        <v>65</v>
      </c>
      <c r="H7835" t="s">
        <v>41</v>
      </c>
      <c r="I7835" t="s">
        <v>2189</v>
      </c>
      <c r="J7835" s="10">
        <v>2.19</v>
      </c>
      <c r="K7835" t="b">
        <v>1</v>
      </c>
    </row>
    <row r="7836" spans="1:11">
      <c r="A7836" s="12">
        <v>42620</v>
      </c>
      <c r="B7836">
        <v>2016</v>
      </c>
      <c r="C7836">
        <v>9</v>
      </c>
      <c r="D7836" s="11">
        <v>42614</v>
      </c>
      <c r="E7836" t="s">
        <v>2181</v>
      </c>
      <c r="F7836">
        <v>3</v>
      </c>
      <c r="G7836" t="s">
        <v>65</v>
      </c>
      <c r="H7836" t="s">
        <v>42</v>
      </c>
      <c r="I7836" t="s">
        <v>2190</v>
      </c>
      <c r="J7836" s="10">
        <v>3</v>
      </c>
      <c r="K7836" t="b">
        <v>1</v>
      </c>
    </row>
    <row r="7837" spans="1:11">
      <c r="A7837" s="12">
        <v>42620</v>
      </c>
      <c r="B7837">
        <v>2016</v>
      </c>
      <c r="C7837">
        <v>9</v>
      </c>
      <c r="D7837" s="11">
        <v>42614</v>
      </c>
      <c r="E7837" t="s">
        <v>2181</v>
      </c>
      <c r="F7837">
        <v>3</v>
      </c>
      <c r="G7837" t="s">
        <v>65</v>
      </c>
      <c r="H7837" t="s">
        <v>43</v>
      </c>
      <c r="I7837" t="s">
        <v>2191</v>
      </c>
      <c r="J7837" s="10">
        <v>37.6</v>
      </c>
      <c r="K7837" t="b">
        <v>1</v>
      </c>
    </row>
    <row r="7838" spans="1:11">
      <c r="A7838" s="12">
        <v>42620</v>
      </c>
      <c r="B7838">
        <v>2016</v>
      </c>
      <c r="C7838">
        <v>9</v>
      </c>
      <c r="D7838" s="11">
        <v>42614</v>
      </c>
      <c r="E7838" t="s">
        <v>2181</v>
      </c>
      <c r="F7838">
        <v>3</v>
      </c>
      <c r="G7838" t="s">
        <v>65</v>
      </c>
      <c r="H7838" t="s">
        <v>44</v>
      </c>
      <c r="I7838" t="s">
        <v>2192</v>
      </c>
      <c r="J7838" s="10">
        <v>14</v>
      </c>
      <c r="K7838" t="b">
        <v>1</v>
      </c>
    </row>
    <row r="7839" spans="1:11">
      <c r="A7839" s="12">
        <v>42620</v>
      </c>
      <c r="B7839">
        <v>2016</v>
      </c>
      <c r="C7839">
        <v>9</v>
      </c>
      <c r="D7839" s="11">
        <v>42614</v>
      </c>
      <c r="E7839" t="s">
        <v>2181</v>
      </c>
      <c r="F7839">
        <v>3</v>
      </c>
      <c r="G7839" t="s">
        <v>65</v>
      </c>
      <c r="H7839" t="s">
        <v>45</v>
      </c>
      <c r="I7839" t="s">
        <v>2193</v>
      </c>
      <c r="J7839" s="10">
        <v>0</v>
      </c>
      <c r="K7839" t="b">
        <v>1</v>
      </c>
    </row>
    <row r="7840" spans="1:11">
      <c r="A7840" s="12">
        <v>42620</v>
      </c>
      <c r="B7840">
        <v>2016</v>
      </c>
      <c r="C7840">
        <v>9</v>
      </c>
      <c r="D7840" s="11">
        <v>42614</v>
      </c>
      <c r="E7840" t="s">
        <v>2181</v>
      </c>
      <c r="F7840">
        <v>3</v>
      </c>
      <c r="G7840" t="s">
        <v>65</v>
      </c>
      <c r="H7840" t="s">
        <v>46</v>
      </c>
      <c r="I7840" t="s">
        <v>2194</v>
      </c>
      <c r="J7840" s="10">
        <v>0</v>
      </c>
      <c r="K7840" t="b">
        <v>1</v>
      </c>
    </row>
    <row r="7841" spans="1:11">
      <c r="A7841" s="12">
        <v>42620</v>
      </c>
      <c r="B7841">
        <v>2016</v>
      </c>
      <c r="C7841">
        <v>9</v>
      </c>
      <c r="D7841" s="11">
        <v>42614</v>
      </c>
      <c r="E7841" t="s">
        <v>2181</v>
      </c>
      <c r="F7841">
        <v>3</v>
      </c>
      <c r="G7841" t="s">
        <v>65</v>
      </c>
      <c r="H7841" t="s">
        <v>47</v>
      </c>
      <c r="I7841" t="s">
        <v>2195</v>
      </c>
      <c r="J7841" s="10">
        <v>3</v>
      </c>
      <c r="K7841" t="b">
        <v>1</v>
      </c>
    </row>
    <row r="7842" spans="1:11">
      <c r="A7842" s="12">
        <v>42621</v>
      </c>
      <c r="B7842">
        <v>2016</v>
      </c>
      <c r="C7842">
        <v>9</v>
      </c>
      <c r="D7842" s="11">
        <v>42614</v>
      </c>
      <c r="E7842" t="s">
        <v>2181</v>
      </c>
      <c r="F7842">
        <v>4</v>
      </c>
      <c r="G7842" t="s">
        <v>53</v>
      </c>
      <c r="H7842" t="s">
        <v>40</v>
      </c>
      <c r="I7842" t="s">
        <v>2188</v>
      </c>
      <c r="J7842" s="10">
        <v>6</v>
      </c>
      <c r="K7842" t="b">
        <v>1</v>
      </c>
    </row>
    <row r="7843" spans="1:11">
      <c r="A7843" s="12">
        <v>42621</v>
      </c>
      <c r="B7843">
        <v>2016</v>
      </c>
      <c r="C7843">
        <v>9</v>
      </c>
      <c r="D7843" s="11">
        <v>42614</v>
      </c>
      <c r="E7843" t="s">
        <v>2181</v>
      </c>
      <c r="F7843">
        <v>4</v>
      </c>
      <c r="G7843" t="s">
        <v>53</v>
      </c>
      <c r="H7843" t="s">
        <v>41</v>
      </c>
      <c r="I7843" t="s">
        <v>2189</v>
      </c>
      <c r="J7843" s="10">
        <v>2.99</v>
      </c>
      <c r="K7843" t="b">
        <v>1</v>
      </c>
    </row>
    <row r="7844" spans="1:11">
      <c r="A7844" s="12">
        <v>42621</v>
      </c>
      <c r="B7844">
        <v>2016</v>
      </c>
      <c r="C7844">
        <v>9</v>
      </c>
      <c r="D7844" s="11">
        <v>42614</v>
      </c>
      <c r="E7844" t="s">
        <v>2181</v>
      </c>
      <c r="F7844">
        <v>4</v>
      </c>
      <c r="G7844" t="s">
        <v>53</v>
      </c>
      <c r="H7844" t="s">
        <v>42</v>
      </c>
      <c r="I7844" t="s">
        <v>2190</v>
      </c>
      <c r="J7844" s="10">
        <v>4</v>
      </c>
      <c r="K7844" t="b">
        <v>1</v>
      </c>
    </row>
    <row r="7845" spans="1:11">
      <c r="A7845" s="12">
        <v>42621</v>
      </c>
      <c r="B7845">
        <v>2016</v>
      </c>
      <c r="C7845">
        <v>9</v>
      </c>
      <c r="D7845" s="11">
        <v>42614</v>
      </c>
      <c r="E7845" t="s">
        <v>2181</v>
      </c>
      <c r="F7845">
        <v>4</v>
      </c>
      <c r="G7845" t="s">
        <v>53</v>
      </c>
      <c r="H7845" t="s">
        <v>43</v>
      </c>
      <c r="I7845" t="s">
        <v>2191</v>
      </c>
      <c r="J7845" s="10">
        <v>33</v>
      </c>
      <c r="K7845" t="b">
        <v>1</v>
      </c>
    </row>
    <row r="7846" spans="1:11">
      <c r="A7846" s="12">
        <v>42621</v>
      </c>
      <c r="B7846">
        <v>2016</v>
      </c>
      <c r="C7846">
        <v>9</v>
      </c>
      <c r="D7846" s="11">
        <v>42614</v>
      </c>
      <c r="E7846" t="s">
        <v>2181</v>
      </c>
      <c r="F7846">
        <v>4</v>
      </c>
      <c r="G7846" t="s">
        <v>53</v>
      </c>
      <c r="H7846" t="s">
        <v>44</v>
      </c>
      <c r="I7846" t="s">
        <v>2192</v>
      </c>
      <c r="J7846" s="10">
        <v>8</v>
      </c>
      <c r="K7846" t="b">
        <v>1</v>
      </c>
    </row>
    <row r="7847" spans="1:11">
      <c r="A7847" s="12">
        <v>42621</v>
      </c>
      <c r="B7847">
        <v>2016</v>
      </c>
      <c r="C7847">
        <v>9</v>
      </c>
      <c r="D7847" s="11">
        <v>42614</v>
      </c>
      <c r="E7847" t="s">
        <v>2181</v>
      </c>
      <c r="F7847">
        <v>4</v>
      </c>
      <c r="G7847" t="s">
        <v>53</v>
      </c>
      <c r="H7847" t="s">
        <v>45</v>
      </c>
      <c r="I7847" t="s">
        <v>2193</v>
      </c>
      <c r="J7847" s="10">
        <v>1</v>
      </c>
      <c r="K7847" t="b">
        <v>1</v>
      </c>
    </row>
    <row r="7848" spans="1:11">
      <c r="A7848" s="12">
        <v>42621</v>
      </c>
      <c r="B7848">
        <v>2016</v>
      </c>
      <c r="C7848">
        <v>9</v>
      </c>
      <c r="D7848" s="11">
        <v>42614</v>
      </c>
      <c r="E7848" t="s">
        <v>2181</v>
      </c>
      <c r="F7848">
        <v>4</v>
      </c>
      <c r="G7848" t="s">
        <v>53</v>
      </c>
      <c r="H7848" t="s">
        <v>46</v>
      </c>
      <c r="I7848" t="s">
        <v>2194</v>
      </c>
      <c r="J7848" s="10">
        <v>0</v>
      </c>
      <c r="K7848" t="b">
        <v>1</v>
      </c>
    </row>
    <row r="7849" spans="1:11">
      <c r="A7849" s="12">
        <v>42621</v>
      </c>
      <c r="B7849">
        <v>2016</v>
      </c>
      <c r="C7849">
        <v>9</v>
      </c>
      <c r="D7849" s="11">
        <v>42614</v>
      </c>
      <c r="E7849" t="s">
        <v>2181</v>
      </c>
      <c r="F7849">
        <v>4</v>
      </c>
      <c r="G7849" t="s">
        <v>53</v>
      </c>
      <c r="H7849" t="s">
        <v>47</v>
      </c>
      <c r="I7849" t="s">
        <v>2195</v>
      </c>
      <c r="J7849" s="10">
        <v>0</v>
      </c>
      <c r="K7849" t="b">
        <v>1</v>
      </c>
    </row>
    <row r="7850" spans="1:11">
      <c r="A7850" s="12">
        <v>42622</v>
      </c>
      <c r="B7850">
        <v>2016</v>
      </c>
      <c r="C7850">
        <v>9</v>
      </c>
      <c r="D7850" s="11">
        <v>42614</v>
      </c>
      <c r="E7850" t="s">
        <v>2181</v>
      </c>
      <c r="F7850">
        <v>5</v>
      </c>
      <c r="G7850" t="s">
        <v>55</v>
      </c>
      <c r="H7850" t="s">
        <v>40</v>
      </c>
      <c r="I7850" t="s">
        <v>2188</v>
      </c>
      <c r="J7850" s="10">
        <v>4.99</v>
      </c>
      <c r="K7850" t="b">
        <v>1</v>
      </c>
    </row>
    <row r="7851" spans="1:11">
      <c r="A7851" s="12">
        <v>42622</v>
      </c>
      <c r="B7851">
        <v>2016</v>
      </c>
      <c r="C7851">
        <v>9</v>
      </c>
      <c r="D7851" s="11">
        <v>42614</v>
      </c>
      <c r="E7851" t="s">
        <v>2181</v>
      </c>
      <c r="F7851">
        <v>5</v>
      </c>
      <c r="G7851" t="s">
        <v>55</v>
      </c>
      <c r="H7851" t="s">
        <v>41</v>
      </c>
      <c r="I7851" t="s">
        <v>2189</v>
      </c>
      <c r="J7851" s="10">
        <v>3.99</v>
      </c>
      <c r="K7851" t="b">
        <v>1</v>
      </c>
    </row>
    <row r="7852" spans="1:11">
      <c r="A7852" s="12">
        <v>42622</v>
      </c>
      <c r="B7852">
        <v>2016</v>
      </c>
      <c r="C7852">
        <v>9</v>
      </c>
      <c r="D7852" s="11">
        <v>42614</v>
      </c>
      <c r="E7852" t="s">
        <v>2181</v>
      </c>
      <c r="F7852">
        <v>5</v>
      </c>
      <c r="G7852" t="s">
        <v>55</v>
      </c>
      <c r="H7852" t="s">
        <v>42</v>
      </c>
      <c r="I7852" t="s">
        <v>2190</v>
      </c>
      <c r="J7852" s="10">
        <v>3.25</v>
      </c>
      <c r="K7852" t="b">
        <v>1</v>
      </c>
    </row>
    <row r="7853" spans="1:11">
      <c r="A7853" s="12">
        <v>42622</v>
      </c>
      <c r="B7853">
        <v>2016</v>
      </c>
      <c r="C7853">
        <v>9</v>
      </c>
      <c r="D7853" s="11">
        <v>42614</v>
      </c>
      <c r="E7853" t="s">
        <v>2181</v>
      </c>
      <c r="F7853">
        <v>5</v>
      </c>
      <c r="G7853" t="s">
        <v>55</v>
      </c>
      <c r="H7853" t="s">
        <v>43</v>
      </c>
      <c r="I7853" t="s">
        <v>2191</v>
      </c>
      <c r="J7853" s="10">
        <v>26.124</v>
      </c>
      <c r="K7853" t="b">
        <v>1</v>
      </c>
    </row>
    <row r="7854" spans="1:11">
      <c r="A7854" s="12">
        <v>42622</v>
      </c>
      <c r="B7854">
        <v>2016</v>
      </c>
      <c r="C7854">
        <v>9</v>
      </c>
      <c r="D7854" s="11">
        <v>42614</v>
      </c>
      <c r="E7854" t="s">
        <v>2181</v>
      </c>
      <c r="F7854">
        <v>5</v>
      </c>
      <c r="G7854" t="s">
        <v>55</v>
      </c>
      <c r="H7854" t="s">
        <v>44</v>
      </c>
      <c r="I7854" t="s">
        <v>2192</v>
      </c>
      <c r="J7854" s="10">
        <v>11</v>
      </c>
      <c r="K7854" t="b">
        <v>1</v>
      </c>
    </row>
    <row r="7855" spans="1:11">
      <c r="A7855" s="12">
        <v>42622</v>
      </c>
      <c r="B7855">
        <v>2016</v>
      </c>
      <c r="C7855">
        <v>9</v>
      </c>
      <c r="D7855" s="11">
        <v>42614</v>
      </c>
      <c r="E7855" t="s">
        <v>2181</v>
      </c>
      <c r="F7855">
        <v>5</v>
      </c>
      <c r="G7855" t="s">
        <v>55</v>
      </c>
      <c r="H7855" t="s">
        <v>45</v>
      </c>
      <c r="I7855" t="s">
        <v>2193</v>
      </c>
      <c r="J7855" s="10">
        <v>2</v>
      </c>
      <c r="K7855" t="b">
        <v>1</v>
      </c>
    </row>
    <row r="7856" spans="1:11">
      <c r="A7856" s="12">
        <v>42622</v>
      </c>
      <c r="B7856">
        <v>2016</v>
      </c>
      <c r="C7856">
        <v>9</v>
      </c>
      <c r="D7856" s="11">
        <v>42614</v>
      </c>
      <c r="E7856" t="s">
        <v>2181</v>
      </c>
      <c r="F7856">
        <v>5</v>
      </c>
      <c r="G7856" t="s">
        <v>55</v>
      </c>
      <c r="H7856" t="s">
        <v>46</v>
      </c>
      <c r="I7856" t="s">
        <v>2194</v>
      </c>
      <c r="J7856" s="10">
        <v>10</v>
      </c>
      <c r="K7856" t="b">
        <v>1</v>
      </c>
    </row>
    <row r="7857" spans="1:11">
      <c r="A7857" s="12">
        <v>42622</v>
      </c>
      <c r="B7857">
        <v>2016</v>
      </c>
      <c r="C7857">
        <v>9</v>
      </c>
      <c r="D7857" s="11">
        <v>42614</v>
      </c>
      <c r="E7857" t="s">
        <v>2181</v>
      </c>
      <c r="F7857">
        <v>5</v>
      </c>
      <c r="G7857" t="s">
        <v>55</v>
      </c>
      <c r="H7857" t="s">
        <v>47</v>
      </c>
      <c r="I7857" t="s">
        <v>2195</v>
      </c>
      <c r="J7857" s="10">
        <v>3</v>
      </c>
      <c r="K7857" t="b">
        <v>1</v>
      </c>
    </row>
    <row r="7858" spans="1:11">
      <c r="A7858" s="12">
        <v>42623</v>
      </c>
      <c r="B7858">
        <v>2016</v>
      </c>
      <c r="C7858">
        <v>9</v>
      </c>
      <c r="D7858" s="11">
        <v>42614</v>
      </c>
      <c r="E7858" t="s">
        <v>2181</v>
      </c>
      <c r="F7858">
        <v>6</v>
      </c>
      <c r="G7858" t="s">
        <v>57</v>
      </c>
      <c r="H7858" t="s">
        <v>40</v>
      </c>
      <c r="I7858" t="s">
        <v>2188</v>
      </c>
      <c r="J7858" s="10">
        <v>8.33</v>
      </c>
      <c r="K7858" t="b">
        <v>1</v>
      </c>
    </row>
    <row r="7859" spans="1:11">
      <c r="A7859" s="12">
        <v>42623</v>
      </c>
      <c r="B7859">
        <v>2016</v>
      </c>
      <c r="C7859">
        <v>9</v>
      </c>
      <c r="D7859" s="11">
        <v>42614</v>
      </c>
      <c r="E7859" t="s">
        <v>2181</v>
      </c>
      <c r="F7859">
        <v>6</v>
      </c>
      <c r="G7859" t="s">
        <v>57</v>
      </c>
      <c r="H7859" t="s">
        <v>41</v>
      </c>
      <c r="I7859" t="s">
        <v>2189</v>
      </c>
      <c r="J7859" s="10">
        <v>11.31</v>
      </c>
      <c r="K7859" t="b">
        <v>1</v>
      </c>
    </row>
    <row r="7860" spans="1:11">
      <c r="A7860" s="12">
        <v>42623</v>
      </c>
      <c r="B7860">
        <v>2016</v>
      </c>
      <c r="C7860">
        <v>9</v>
      </c>
      <c r="D7860" s="11">
        <v>42614</v>
      </c>
      <c r="E7860" t="s">
        <v>2181</v>
      </c>
      <c r="F7860">
        <v>6</v>
      </c>
      <c r="G7860" t="s">
        <v>57</v>
      </c>
      <c r="H7860" t="s">
        <v>42</v>
      </c>
      <c r="I7860" t="s">
        <v>2190</v>
      </c>
      <c r="J7860" s="10">
        <v>10</v>
      </c>
      <c r="K7860" t="b">
        <v>1</v>
      </c>
    </row>
    <row r="7861" spans="1:11">
      <c r="A7861" s="12">
        <v>42623</v>
      </c>
      <c r="B7861">
        <v>2016</v>
      </c>
      <c r="C7861">
        <v>9</v>
      </c>
      <c r="D7861" s="11">
        <v>42614</v>
      </c>
      <c r="E7861" t="s">
        <v>2181</v>
      </c>
      <c r="F7861">
        <v>6</v>
      </c>
      <c r="G7861" t="s">
        <v>57</v>
      </c>
      <c r="H7861" t="s">
        <v>43</v>
      </c>
      <c r="I7861" t="s">
        <v>2191</v>
      </c>
      <c r="J7861" s="10">
        <v>34</v>
      </c>
      <c r="K7861" t="b">
        <v>1</v>
      </c>
    </row>
    <row r="7862" spans="1:11">
      <c r="A7862" s="12">
        <v>42623</v>
      </c>
      <c r="B7862">
        <v>2016</v>
      </c>
      <c r="C7862">
        <v>9</v>
      </c>
      <c r="D7862" s="11">
        <v>42614</v>
      </c>
      <c r="E7862" t="s">
        <v>2181</v>
      </c>
      <c r="F7862">
        <v>6</v>
      </c>
      <c r="G7862" t="s">
        <v>57</v>
      </c>
      <c r="H7862" t="s">
        <v>44</v>
      </c>
      <c r="I7862" t="s">
        <v>2192</v>
      </c>
      <c r="J7862" s="10">
        <v>9</v>
      </c>
      <c r="K7862" t="b">
        <v>1</v>
      </c>
    </row>
    <row r="7863" spans="1:11">
      <c r="A7863" s="12">
        <v>42623</v>
      </c>
      <c r="B7863">
        <v>2016</v>
      </c>
      <c r="C7863">
        <v>9</v>
      </c>
      <c r="D7863" s="11">
        <v>42614</v>
      </c>
      <c r="E7863" t="s">
        <v>2181</v>
      </c>
      <c r="F7863">
        <v>6</v>
      </c>
      <c r="G7863" t="s">
        <v>57</v>
      </c>
      <c r="H7863" t="s">
        <v>45</v>
      </c>
      <c r="I7863" t="s">
        <v>2193</v>
      </c>
      <c r="J7863" s="10">
        <v>0</v>
      </c>
      <c r="K7863" t="b">
        <v>1</v>
      </c>
    </row>
    <row r="7864" spans="1:11">
      <c r="A7864" s="12">
        <v>42623</v>
      </c>
      <c r="B7864">
        <v>2016</v>
      </c>
      <c r="C7864">
        <v>9</v>
      </c>
      <c r="D7864" s="11">
        <v>42614</v>
      </c>
      <c r="E7864" t="s">
        <v>2181</v>
      </c>
      <c r="F7864">
        <v>6</v>
      </c>
      <c r="G7864" t="s">
        <v>57</v>
      </c>
      <c r="H7864" t="s">
        <v>46</v>
      </c>
      <c r="I7864" t="s">
        <v>2194</v>
      </c>
      <c r="J7864" s="10">
        <v>4</v>
      </c>
      <c r="K7864" t="b">
        <v>1</v>
      </c>
    </row>
    <row r="7865" spans="1:11">
      <c r="A7865" s="12">
        <v>42623</v>
      </c>
      <c r="B7865">
        <v>2016</v>
      </c>
      <c r="C7865">
        <v>9</v>
      </c>
      <c r="D7865" s="11">
        <v>42614</v>
      </c>
      <c r="E7865" t="s">
        <v>2181</v>
      </c>
      <c r="F7865">
        <v>6</v>
      </c>
      <c r="G7865" t="s">
        <v>57</v>
      </c>
      <c r="H7865" t="s">
        <v>47</v>
      </c>
      <c r="I7865" t="s">
        <v>2195</v>
      </c>
      <c r="J7865" s="10">
        <v>3</v>
      </c>
      <c r="K7865" t="b">
        <v>1</v>
      </c>
    </row>
    <row r="7866" spans="1:11">
      <c r="A7866" s="12">
        <v>42624</v>
      </c>
      <c r="B7866">
        <v>2016</v>
      </c>
      <c r="C7866">
        <v>9</v>
      </c>
      <c r="D7866" s="11">
        <v>42614</v>
      </c>
      <c r="E7866" t="s">
        <v>2181</v>
      </c>
      <c r="F7866">
        <v>7</v>
      </c>
      <c r="G7866" t="s">
        <v>59</v>
      </c>
      <c r="H7866" t="s">
        <v>40</v>
      </c>
      <c r="I7866" t="s">
        <v>2188</v>
      </c>
      <c r="J7866" s="10">
        <v>2.66</v>
      </c>
      <c r="K7866" t="b">
        <v>1</v>
      </c>
    </row>
    <row r="7867" spans="1:11">
      <c r="A7867" s="12">
        <v>42624</v>
      </c>
      <c r="B7867">
        <v>2016</v>
      </c>
      <c r="C7867">
        <v>9</v>
      </c>
      <c r="D7867" s="11">
        <v>42614</v>
      </c>
      <c r="E7867" t="s">
        <v>2181</v>
      </c>
      <c r="F7867">
        <v>7</v>
      </c>
      <c r="G7867" t="s">
        <v>59</v>
      </c>
      <c r="H7867" t="s">
        <v>41</v>
      </c>
      <c r="I7867" t="s">
        <v>2189</v>
      </c>
      <c r="J7867" s="10">
        <v>6.99</v>
      </c>
      <c r="K7867" t="b">
        <v>1</v>
      </c>
    </row>
    <row r="7868" spans="1:11">
      <c r="A7868" s="12">
        <v>42624</v>
      </c>
      <c r="B7868">
        <v>2016</v>
      </c>
      <c r="C7868">
        <v>9</v>
      </c>
      <c r="D7868" s="11">
        <v>42614</v>
      </c>
      <c r="E7868" t="s">
        <v>2181</v>
      </c>
      <c r="F7868">
        <v>7</v>
      </c>
      <c r="G7868" t="s">
        <v>59</v>
      </c>
      <c r="H7868" t="s">
        <v>42</v>
      </c>
      <c r="I7868" t="s">
        <v>2190</v>
      </c>
      <c r="J7868" s="10">
        <v>7.1</v>
      </c>
      <c r="K7868" t="b">
        <v>1</v>
      </c>
    </row>
    <row r="7869" spans="1:11">
      <c r="A7869" s="12">
        <v>42624</v>
      </c>
      <c r="B7869">
        <v>2016</v>
      </c>
      <c r="C7869">
        <v>9</v>
      </c>
      <c r="D7869" s="11">
        <v>42614</v>
      </c>
      <c r="E7869" t="s">
        <v>2181</v>
      </c>
      <c r="F7869">
        <v>7</v>
      </c>
      <c r="G7869" t="s">
        <v>59</v>
      </c>
      <c r="H7869" t="s">
        <v>43</v>
      </c>
      <c r="I7869" t="s">
        <v>2191</v>
      </c>
      <c r="J7869" s="10">
        <v>57.2</v>
      </c>
      <c r="K7869" t="b">
        <v>1</v>
      </c>
    </row>
    <row r="7870" spans="1:11">
      <c r="A7870" s="12">
        <v>42624</v>
      </c>
      <c r="B7870">
        <v>2016</v>
      </c>
      <c r="C7870">
        <v>9</v>
      </c>
      <c r="D7870" s="11">
        <v>42614</v>
      </c>
      <c r="E7870" t="s">
        <v>2181</v>
      </c>
      <c r="F7870">
        <v>7</v>
      </c>
      <c r="G7870" t="s">
        <v>59</v>
      </c>
      <c r="H7870" t="s">
        <v>44</v>
      </c>
      <c r="I7870" t="s">
        <v>2192</v>
      </c>
      <c r="J7870" s="10">
        <v>8</v>
      </c>
      <c r="K7870" t="b">
        <v>1</v>
      </c>
    </row>
    <row r="7871" spans="1:11">
      <c r="A7871" s="12">
        <v>42624</v>
      </c>
      <c r="B7871">
        <v>2016</v>
      </c>
      <c r="C7871">
        <v>9</v>
      </c>
      <c r="D7871" s="11">
        <v>42614</v>
      </c>
      <c r="E7871" t="s">
        <v>2181</v>
      </c>
      <c r="F7871">
        <v>7</v>
      </c>
      <c r="G7871" t="s">
        <v>59</v>
      </c>
      <c r="H7871" t="s">
        <v>45</v>
      </c>
      <c r="I7871" t="s">
        <v>2193</v>
      </c>
      <c r="J7871" s="10">
        <v>0</v>
      </c>
      <c r="K7871" t="b">
        <v>1</v>
      </c>
    </row>
    <row r="7872" spans="1:11">
      <c r="A7872" s="12">
        <v>42624</v>
      </c>
      <c r="B7872">
        <v>2016</v>
      </c>
      <c r="C7872">
        <v>9</v>
      </c>
      <c r="D7872" s="11">
        <v>42614</v>
      </c>
      <c r="E7872" t="s">
        <v>2181</v>
      </c>
      <c r="F7872">
        <v>7</v>
      </c>
      <c r="G7872" t="s">
        <v>59</v>
      </c>
      <c r="H7872" t="s">
        <v>46</v>
      </c>
      <c r="I7872" t="s">
        <v>2194</v>
      </c>
      <c r="J7872" s="10">
        <v>10</v>
      </c>
      <c r="K7872" t="b">
        <v>1</v>
      </c>
    </row>
    <row r="7873" spans="1:11">
      <c r="A7873" s="12">
        <v>42624</v>
      </c>
      <c r="B7873">
        <v>2016</v>
      </c>
      <c r="C7873">
        <v>9</v>
      </c>
      <c r="D7873" s="11">
        <v>42614</v>
      </c>
      <c r="E7873" t="s">
        <v>2181</v>
      </c>
      <c r="F7873">
        <v>7</v>
      </c>
      <c r="G7873" t="s">
        <v>59</v>
      </c>
      <c r="H7873" t="s">
        <v>47</v>
      </c>
      <c r="I7873" t="s">
        <v>2195</v>
      </c>
      <c r="J7873" s="10">
        <v>4</v>
      </c>
      <c r="K7873" t="b">
        <v>1</v>
      </c>
    </row>
    <row r="7874" spans="1:11">
      <c r="A7874" s="12">
        <v>42625</v>
      </c>
      <c r="B7874">
        <v>2016</v>
      </c>
      <c r="C7874">
        <v>9</v>
      </c>
      <c r="D7874" s="11">
        <v>42614</v>
      </c>
      <c r="E7874" t="s">
        <v>2181</v>
      </c>
      <c r="F7874">
        <v>1</v>
      </c>
      <c r="G7874" t="s">
        <v>61</v>
      </c>
      <c r="H7874" t="s">
        <v>40</v>
      </c>
      <c r="I7874" t="s">
        <v>2188</v>
      </c>
      <c r="J7874" s="10">
        <v>7</v>
      </c>
      <c r="K7874" t="b">
        <v>1</v>
      </c>
    </row>
    <row r="7875" spans="1:11">
      <c r="A7875" s="12">
        <v>42625</v>
      </c>
      <c r="B7875">
        <v>2016</v>
      </c>
      <c r="C7875">
        <v>9</v>
      </c>
      <c r="D7875" s="11">
        <v>42614</v>
      </c>
      <c r="E7875" t="s">
        <v>2181</v>
      </c>
      <c r="F7875">
        <v>1</v>
      </c>
      <c r="G7875" t="s">
        <v>61</v>
      </c>
      <c r="H7875" t="s">
        <v>41</v>
      </c>
      <c r="I7875" t="s">
        <v>2189</v>
      </c>
      <c r="J7875" s="10">
        <v>6</v>
      </c>
      <c r="K7875" t="b">
        <v>1</v>
      </c>
    </row>
    <row r="7876" spans="1:11">
      <c r="A7876" s="12">
        <v>42625</v>
      </c>
      <c r="B7876">
        <v>2016</v>
      </c>
      <c r="C7876">
        <v>9</v>
      </c>
      <c r="D7876" s="11">
        <v>42614</v>
      </c>
      <c r="E7876" t="s">
        <v>2181</v>
      </c>
      <c r="F7876">
        <v>1</v>
      </c>
      <c r="G7876" t="s">
        <v>61</v>
      </c>
      <c r="H7876" t="s">
        <v>42</v>
      </c>
      <c r="I7876" t="s">
        <v>2190</v>
      </c>
      <c r="J7876" s="10">
        <v>4</v>
      </c>
      <c r="K7876" t="b">
        <v>1</v>
      </c>
    </row>
    <row r="7877" spans="1:11">
      <c r="A7877" s="12">
        <v>42625</v>
      </c>
      <c r="B7877">
        <v>2016</v>
      </c>
      <c r="C7877">
        <v>9</v>
      </c>
      <c r="D7877" s="11">
        <v>42614</v>
      </c>
      <c r="E7877" t="s">
        <v>2181</v>
      </c>
      <c r="F7877">
        <v>1</v>
      </c>
      <c r="G7877" t="s">
        <v>61</v>
      </c>
      <c r="H7877" t="s">
        <v>43</v>
      </c>
      <c r="I7877" t="s">
        <v>2191</v>
      </c>
      <c r="J7877" s="10">
        <v>24</v>
      </c>
      <c r="K7877" t="b">
        <v>1</v>
      </c>
    </row>
    <row r="7878" spans="1:11">
      <c r="A7878" s="12">
        <v>42625</v>
      </c>
      <c r="B7878">
        <v>2016</v>
      </c>
      <c r="C7878">
        <v>9</v>
      </c>
      <c r="D7878" s="11">
        <v>42614</v>
      </c>
      <c r="E7878" t="s">
        <v>2181</v>
      </c>
      <c r="F7878">
        <v>1</v>
      </c>
      <c r="G7878" t="s">
        <v>61</v>
      </c>
      <c r="H7878" t="s">
        <v>44</v>
      </c>
      <c r="I7878" t="s">
        <v>2192</v>
      </c>
      <c r="J7878" s="10">
        <v>10</v>
      </c>
      <c r="K7878" t="b">
        <v>1</v>
      </c>
    </row>
    <row r="7879" spans="1:11">
      <c r="A7879" s="12">
        <v>42625</v>
      </c>
      <c r="B7879">
        <v>2016</v>
      </c>
      <c r="C7879">
        <v>9</v>
      </c>
      <c r="D7879" s="11">
        <v>42614</v>
      </c>
      <c r="E7879" t="s">
        <v>2181</v>
      </c>
      <c r="F7879">
        <v>1</v>
      </c>
      <c r="G7879" t="s">
        <v>61</v>
      </c>
      <c r="H7879" t="s">
        <v>45</v>
      </c>
      <c r="I7879" t="s">
        <v>2193</v>
      </c>
      <c r="J7879" s="10">
        <v>0</v>
      </c>
      <c r="K7879" t="b">
        <v>1</v>
      </c>
    </row>
    <row r="7880" spans="1:11">
      <c r="A7880" s="12">
        <v>42625</v>
      </c>
      <c r="B7880">
        <v>2016</v>
      </c>
      <c r="C7880">
        <v>9</v>
      </c>
      <c r="D7880" s="11">
        <v>42614</v>
      </c>
      <c r="E7880" t="s">
        <v>2181</v>
      </c>
      <c r="F7880">
        <v>1</v>
      </c>
      <c r="G7880" t="s">
        <v>61</v>
      </c>
      <c r="H7880" t="s">
        <v>46</v>
      </c>
      <c r="I7880" t="s">
        <v>2194</v>
      </c>
      <c r="J7880" s="10">
        <v>8</v>
      </c>
      <c r="K7880" t="b">
        <v>1</v>
      </c>
    </row>
    <row r="7881" spans="1:11">
      <c r="A7881" s="12">
        <v>42625</v>
      </c>
      <c r="B7881">
        <v>2016</v>
      </c>
      <c r="C7881">
        <v>9</v>
      </c>
      <c r="D7881" s="11">
        <v>42614</v>
      </c>
      <c r="E7881" t="s">
        <v>2181</v>
      </c>
      <c r="F7881">
        <v>1</v>
      </c>
      <c r="G7881" t="s">
        <v>61</v>
      </c>
      <c r="H7881" t="s">
        <v>47</v>
      </c>
      <c r="I7881" t="s">
        <v>2195</v>
      </c>
      <c r="J7881" s="10">
        <v>4</v>
      </c>
      <c r="K7881" t="b">
        <v>1</v>
      </c>
    </row>
    <row r="7882" spans="1:11">
      <c r="A7882" s="12">
        <v>42626</v>
      </c>
      <c r="B7882">
        <v>2016</v>
      </c>
      <c r="C7882">
        <v>9</v>
      </c>
      <c r="D7882" s="11">
        <v>42614</v>
      </c>
      <c r="E7882" t="s">
        <v>2181</v>
      </c>
      <c r="F7882">
        <v>2</v>
      </c>
      <c r="G7882" t="s">
        <v>63</v>
      </c>
      <c r="H7882" t="s">
        <v>40</v>
      </c>
      <c r="I7882" t="s">
        <v>2188</v>
      </c>
      <c r="J7882" s="10">
        <v>7</v>
      </c>
      <c r="K7882" t="b">
        <v>1</v>
      </c>
    </row>
    <row r="7883" spans="1:11">
      <c r="A7883" s="12">
        <v>42626</v>
      </c>
      <c r="B7883">
        <v>2016</v>
      </c>
      <c r="C7883">
        <v>9</v>
      </c>
      <c r="D7883" s="11">
        <v>42614</v>
      </c>
      <c r="E7883" t="s">
        <v>2181</v>
      </c>
      <c r="F7883">
        <v>2</v>
      </c>
      <c r="G7883" t="s">
        <v>63</v>
      </c>
      <c r="H7883" t="s">
        <v>41</v>
      </c>
      <c r="I7883" t="s">
        <v>2189</v>
      </c>
      <c r="J7883" s="10">
        <v>5.759</v>
      </c>
      <c r="K7883" t="b">
        <v>1</v>
      </c>
    </row>
    <row r="7884" spans="1:11">
      <c r="A7884" s="12">
        <v>42626</v>
      </c>
      <c r="B7884">
        <v>2016</v>
      </c>
      <c r="C7884">
        <v>9</v>
      </c>
      <c r="D7884" s="11">
        <v>42614</v>
      </c>
      <c r="E7884" t="s">
        <v>2181</v>
      </c>
      <c r="F7884">
        <v>2</v>
      </c>
      <c r="G7884" t="s">
        <v>63</v>
      </c>
      <c r="H7884" t="s">
        <v>42</v>
      </c>
      <c r="I7884" t="s">
        <v>2190</v>
      </c>
      <c r="J7884" s="10">
        <v>4</v>
      </c>
      <c r="K7884" t="b">
        <v>1</v>
      </c>
    </row>
    <row r="7885" spans="1:11">
      <c r="A7885" s="12">
        <v>42626</v>
      </c>
      <c r="B7885">
        <v>2016</v>
      </c>
      <c r="C7885">
        <v>9</v>
      </c>
      <c r="D7885" s="11">
        <v>42614</v>
      </c>
      <c r="E7885" t="s">
        <v>2181</v>
      </c>
      <c r="F7885">
        <v>2</v>
      </c>
      <c r="G7885" t="s">
        <v>63</v>
      </c>
      <c r="H7885" t="s">
        <v>43</v>
      </c>
      <c r="I7885" t="s">
        <v>2191</v>
      </c>
      <c r="J7885" s="10">
        <v>32</v>
      </c>
      <c r="K7885" t="b">
        <v>1</v>
      </c>
    </row>
    <row r="7886" spans="1:11">
      <c r="A7886" s="12">
        <v>42626</v>
      </c>
      <c r="B7886">
        <v>2016</v>
      </c>
      <c r="C7886">
        <v>9</v>
      </c>
      <c r="D7886" s="11">
        <v>42614</v>
      </c>
      <c r="E7886" t="s">
        <v>2181</v>
      </c>
      <c r="F7886">
        <v>2</v>
      </c>
      <c r="G7886" t="s">
        <v>63</v>
      </c>
      <c r="H7886" t="s">
        <v>44</v>
      </c>
      <c r="I7886" t="s">
        <v>2192</v>
      </c>
      <c r="J7886" s="10">
        <v>13</v>
      </c>
      <c r="K7886" t="b">
        <v>1</v>
      </c>
    </row>
    <row r="7887" spans="1:11">
      <c r="A7887" s="12">
        <v>42626</v>
      </c>
      <c r="B7887">
        <v>2016</v>
      </c>
      <c r="C7887">
        <v>9</v>
      </c>
      <c r="D7887" s="11">
        <v>42614</v>
      </c>
      <c r="E7887" t="s">
        <v>2181</v>
      </c>
      <c r="F7887">
        <v>2</v>
      </c>
      <c r="G7887" t="s">
        <v>63</v>
      </c>
      <c r="H7887" t="s">
        <v>45</v>
      </c>
      <c r="I7887" t="s">
        <v>2193</v>
      </c>
      <c r="J7887" s="10">
        <v>0</v>
      </c>
      <c r="K7887" t="b">
        <v>1</v>
      </c>
    </row>
    <row r="7888" spans="1:11">
      <c r="A7888" s="12">
        <v>42626</v>
      </c>
      <c r="B7888">
        <v>2016</v>
      </c>
      <c r="C7888">
        <v>9</v>
      </c>
      <c r="D7888" s="11">
        <v>42614</v>
      </c>
      <c r="E7888" t="s">
        <v>2181</v>
      </c>
      <c r="F7888">
        <v>2</v>
      </c>
      <c r="G7888" t="s">
        <v>63</v>
      </c>
      <c r="H7888" t="s">
        <v>46</v>
      </c>
      <c r="I7888" t="s">
        <v>2194</v>
      </c>
      <c r="J7888" s="10">
        <v>2</v>
      </c>
      <c r="K7888" t="b">
        <v>1</v>
      </c>
    </row>
    <row r="7889" spans="1:11">
      <c r="A7889" s="12">
        <v>42626</v>
      </c>
      <c r="B7889">
        <v>2016</v>
      </c>
      <c r="C7889">
        <v>9</v>
      </c>
      <c r="D7889" s="11">
        <v>42614</v>
      </c>
      <c r="E7889" t="s">
        <v>2181</v>
      </c>
      <c r="F7889">
        <v>2</v>
      </c>
      <c r="G7889" t="s">
        <v>63</v>
      </c>
      <c r="H7889" t="s">
        <v>47</v>
      </c>
      <c r="I7889" t="s">
        <v>2195</v>
      </c>
      <c r="J7889" s="10">
        <v>0</v>
      </c>
      <c r="K7889" t="b">
        <v>1</v>
      </c>
    </row>
    <row r="7890" spans="1:11">
      <c r="A7890" s="12">
        <v>42627</v>
      </c>
      <c r="B7890">
        <v>2016</v>
      </c>
      <c r="C7890">
        <v>9</v>
      </c>
      <c r="D7890" s="11">
        <v>42614</v>
      </c>
      <c r="E7890" t="s">
        <v>2181</v>
      </c>
      <c r="F7890">
        <v>3</v>
      </c>
      <c r="G7890" t="s">
        <v>65</v>
      </c>
      <c r="H7890" t="s">
        <v>40</v>
      </c>
      <c r="I7890" t="s">
        <v>2188</v>
      </c>
      <c r="J7890" s="10">
        <v>6</v>
      </c>
      <c r="K7890" t="b">
        <v>1</v>
      </c>
    </row>
    <row r="7891" spans="1:11">
      <c r="A7891" s="12">
        <v>42627</v>
      </c>
      <c r="B7891">
        <v>2016</v>
      </c>
      <c r="C7891">
        <v>9</v>
      </c>
      <c r="D7891" s="11">
        <v>42614</v>
      </c>
      <c r="E7891" t="s">
        <v>2181</v>
      </c>
      <c r="F7891">
        <v>3</v>
      </c>
      <c r="G7891" t="s">
        <v>65</v>
      </c>
      <c r="H7891" t="s">
        <v>41</v>
      </c>
      <c r="I7891" t="s">
        <v>2189</v>
      </c>
      <c r="J7891" s="10">
        <v>3.792</v>
      </c>
      <c r="K7891" t="b">
        <v>1</v>
      </c>
    </row>
    <row r="7892" spans="1:11">
      <c r="A7892" s="12">
        <v>42627</v>
      </c>
      <c r="B7892">
        <v>2016</v>
      </c>
      <c r="C7892">
        <v>9</v>
      </c>
      <c r="D7892" s="11">
        <v>42614</v>
      </c>
      <c r="E7892" t="s">
        <v>2181</v>
      </c>
      <c r="F7892">
        <v>3</v>
      </c>
      <c r="G7892" t="s">
        <v>65</v>
      </c>
      <c r="H7892" t="s">
        <v>42</v>
      </c>
      <c r="I7892" t="s">
        <v>2190</v>
      </c>
      <c r="J7892" s="10">
        <v>2.5</v>
      </c>
      <c r="K7892" t="b">
        <v>1</v>
      </c>
    </row>
    <row r="7893" spans="1:11">
      <c r="A7893" s="12">
        <v>42627</v>
      </c>
      <c r="B7893">
        <v>2016</v>
      </c>
      <c r="C7893">
        <v>9</v>
      </c>
      <c r="D7893" s="11">
        <v>42614</v>
      </c>
      <c r="E7893" t="s">
        <v>2181</v>
      </c>
      <c r="F7893">
        <v>3</v>
      </c>
      <c r="G7893" t="s">
        <v>65</v>
      </c>
      <c r="H7893" t="s">
        <v>43</v>
      </c>
      <c r="I7893" t="s">
        <v>2191</v>
      </c>
      <c r="J7893" s="10">
        <v>24.4</v>
      </c>
      <c r="K7893" t="b">
        <v>1</v>
      </c>
    </row>
    <row r="7894" spans="1:11">
      <c r="A7894" s="12">
        <v>42627</v>
      </c>
      <c r="B7894">
        <v>2016</v>
      </c>
      <c r="C7894">
        <v>9</v>
      </c>
      <c r="D7894" s="11">
        <v>42614</v>
      </c>
      <c r="E7894" t="s">
        <v>2181</v>
      </c>
      <c r="F7894">
        <v>3</v>
      </c>
      <c r="G7894" t="s">
        <v>65</v>
      </c>
      <c r="H7894" t="s">
        <v>44</v>
      </c>
      <c r="I7894" t="s">
        <v>2192</v>
      </c>
      <c r="J7894" s="10">
        <v>7</v>
      </c>
      <c r="K7894" t="b">
        <v>1</v>
      </c>
    </row>
    <row r="7895" spans="1:11">
      <c r="A7895" s="12">
        <v>42627</v>
      </c>
      <c r="B7895">
        <v>2016</v>
      </c>
      <c r="C7895">
        <v>9</v>
      </c>
      <c r="D7895" s="11">
        <v>42614</v>
      </c>
      <c r="E7895" t="s">
        <v>2181</v>
      </c>
      <c r="F7895">
        <v>3</v>
      </c>
      <c r="G7895" t="s">
        <v>65</v>
      </c>
      <c r="H7895" t="s">
        <v>45</v>
      </c>
      <c r="I7895" t="s">
        <v>2193</v>
      </c>
      <c r="J7895" s="10">
        <v>0</v>
      </c>
      <c r="K7895" t="b">
        <v>1</v>
      </c>
    </row>
    <row r="7896" spans="1:11">
      <c r="A7896" s="12">
        <v>42627</v>
      </c>
      <c r="B7896">
        <v>2016</v>
      </c>
      <c r="C7896">
        <v>9</v>
      </c>
      <c r="D7896" s="11">
        <v>42614</v>
      </c>
      <c r="E7896" t="s">
        <v>2181</v>
      </c>
      <c r="F7896">
        <v>3</v>
      </c>
      <c r="G7896" t="s">
        <v>65</v>
      </c>
      <c r="H7896" t="s">
        <v>46</v>
      </c>
      <c r="I7896" t="s">
        <v>2194</v>
      </c>
      <c r="J7896" s="10">
        <v>8</v>
      </c>
      <c r="K7896" t="b">
        <v>1</v>
      </c>
    </row>
    <row r="7897" spans="1:11">
      <c r="A7897" s="12">
        <v>42627</v>
      </c>
      <c r="B7897">
        <v>2016</v>
      </c>
      <c r="C7897">
        <v>9</v>
      </c>
      <c r="D7897" s="11">
        <v>42614</v>
      </c>
      <c r="E7897" t="s">
        <v>2181</v>
      </c>
      <c r="F7897">
        <v>3</v>
      </c>
      <c r="G7897" t="s">
        <v>65</v>
      </c>
      <c r="H7897" t="s">
        <v>47</v>
      </c>
      <c r="I7897" t="s">
        <v>2195</v>
      </c>
      <c r="J7897" s="10">
        <v>2</v>
      </c>
      <c r="K7897" t="b">
        <v>1</v>
      </c>
    </row>
    <row r="7898" spans="1:11">
      <c r="A7898" s="12">
        <v>42628</v>
      </c>
      <c r="B7898">
        <v>2016</v>
      </c>
      <c r="C7898">
        <v>9</v>
      </c>
      <c r="D7898" s="11">
        <v>42614</v>
      </c>
      <c r="E7898" t="s">
        <v>2181</v>
      </c>
      <c r="F7898">
        <v>4</v>
      </c>
      <c r="G7898" t="s">
        <v>53</v>
      </c>
      <c r="H7898" t="s">
        <v>40</v>
      </c>
      <c r="I7898" t="s">
        <v>2188</v>
      </c>
      <c r="J7898" s="10">
        <v>3</v>
      </c>
      <c r="K7898" t="b">
        <v>1</v>
      </c>
    </row>
    <row r="7899" spans="1:11">
      <c r="A7899" s="12">
        <v>42628</v>
      </c>
      <c r="B7899">
        <v>2016</v>
      </c>
      <c r="C7899">
        <v>9</v>
      </c>
      <c r="D7899" s="11">
        <v>42614</v>
      </c>
      <c r="E7899" t="s">
        <v>2181</v>
      </c>
      <c r="F7899">
        <v>4</v>
      </c>
      <c r="G7899" t="s">
        <v>53</v>
      </c>
      <c r="H7899" t="s">
        <v>41</v>
      </c>
      <c r="I7899" t="s">
        <v>2189</v>
      </c>
      <c r="J7899" s="10">
        <v>6.628</v>
      </c>
      <c r="K7899" t="b">
        <v>1</v>
      </c>
    </row>
    <row r="7900" spans="1:11">
      <c r="A7900" s="12">
        <v>42628</v>
      </c>
      <c r="B7900">
        <v>2016</v>
      </c>
      <c r="C7900">
        <v>9</v>
      </c>
      <c r="D7900" s="11">
        <v>42614</v>
      </c>
      <c r="E7900" t="s">
        <v>2181</v>
      </c>
      <c r="F7900">
        <v>4</v>
      </c>
      <c r="G7900" t="s">
        <v>53</v>
      </c>
      <c r="H7900" t="s">
        <v>42</v>
      </c>
      <c r="I7900" t="s">
        <v>2190</v>
      </c>
      <c r="J7900" s="10">
        <v>2</v>
      </c>
      <c r="K7900" t="b">
        <v>1</v>
      </c>
    </row>
    <row r="7901" spans="1:11">
      <c r="A7901" s="12">
        <v>42628</v>
      </c>
      <c r="B7901">
        <v>2016</v>
      </c>
      <c r="C7901">
        <v>9</v>
      </c>
      <c r="D7901" s="11">
        <v>42614</v>
      </c>
      <c r="E7901" t="s">
        <v>2181</v>
      </c>
      <c r="F7901">
        <v>4</v>
      </c>
      <c r="G7901" t="s">
        <v>53</v>
      </c>
      <c r="H7901" t="s">
        <v>43</v>
      </c>
      <c r="I7901" t="s">
        <v>2191</v>
      </c>
      <c r="J7901" s="10">
        <v>38</v>
      </c>
      <c r="K7901" t="b">
        <v>1</v>
      </c>
    </row>
    <row r="7902" spans="1:11">
      <c r="A7902" s="12">
        <v>42628</v>
      </c>
      <c r="B7902">
        <v>2016</v>
      </c>
      <c r="C7902">
        <v>9</v>
      </c>
      <c r="D7902" s="11">
        <v>42614</v>
      </c>
      <c r="E7902" t="s">
        <v>2181</v>
      </c>
      <c r="F7902">
        <v>4</v>
      </c>
      <c r="G7902" t="s">
        <v>53</v>
      </c>
      <c r="H7902" t="s">
        <v>44</v>
      </c>
      <c r="I7902" t="s">
        <v>2192</v>
      </c>
      <c r="J7902" s="10">
        <v>31</v>
      </c>
      <c r="K7902" t="b">
        <v>1</v>
      </c>
    </row>
    <row r="7903" spans="1:11">
      <c r="A7903" s="12">
        <v>42628</v>
      </c>
      <c r="B7903">
        <v>2016</v>
      </c>
      <c r="C7903">
        <v>9</v>
      </c>
      <c r="D7903" s="11">
        <v>42614</v>
      </c>
      <c r="E7903" t="s">
        <v>2181</v>
      </c>
      <c r="F7903">
        <v>4</v>
      </c>
      <c r="G7903" t="s">
        <v>53</v>
      </c>
      <c r="H7903" t="s">
        <v>45</v>
      </c>
      <c r="I7903" t="s">
        <v>2193</v>
      </c>
      <c r="J7903" s="10">
        <v>0</v>
      </c>
      <c r="K7903" t="b">
        <v>1</v>
      </c>
    </row>
    <row r="7904" spans="1:11">
      <c r="A7904" s="12">
        <v>42628</v>
      </c>
      <c r="B7904">
        <v>2016</v>
      </c>
      <c r="C7904">
        <v>9</v>
      </c>
      <c r="D7904" s="11">
        <v>42614</v>
      </c>
      <c r="E7904" t="s">
        <v>2181</v>
      </c>
      <c r="F7904">
        <v>4</v>
      </c>
      <c r="G7904" t="s">
        <v>53</v>
      </c>
      <c r="H7904" t="s">
        <v>46</v>
      </c>
      <c r="I7904" t="s">
        <v>2194</v>
      </c>
      <c r="J7904" s="10">
        <v>3</v>
      </c>
      <c r="K7904" t="b">
        <v>1</v>
      </c>
    </row>
    <row r="7905" spans="1:11">
      <c r="A7905" s="12">
        <v>42628</v>
      </c>
      <c r="B7905">
        <v>2016</v>
      </c>
      <c r="C7905">
        <v>9</v>
      </c>
      <c r="D7905" s="11">
        <v>42614</v>
      </c>
      <c r="E7905" t="s">
        <v>2181</v>
      </c>
      <c r="F7905">
        <v>4</v>
      </c>
      <c r="G7905" t="s">
        <v>53</v>
      </c>
      <c r="H7905" t="s">
        <v>47</v>
      </c>
      <c r="I7905" t="s">
        <v>2195</v>
      </c>
      <c r="J7905" s="10">
        <v>1</v>
      </c>
      <c r="K7905" t="b">
        <v>1</v>
      </c>
    </row>
    <row r="7906" spans="1:11">
      <c r="A7906" s="12">
        <v>42629</v>
      </c>
      <c r="B7906">
        <v>2016</v>
      </c>
      <c r="C7906">
        <v>9</v>
      </c>
      <c r="D7906" s="11">
        <v>42614</v>
      </c>
      <c r="E7906" t="s">
        <v>2181</v>
      </c>
      <c r="F7906">
        <v>5</v>
      </c>
      <c r="G7906" t="s">
        <v>55</v>
      </c>
      <c r="H7906" t="s">
        <v>40</v>
      </c>
      <c r="I7906" t="s">
        <v>2188</v>
      </c>
      <c r="J7906" s="10">
        <v>2</v>
      </c>
      <c r="K7906" t="b">
        <v>1</v>
      </c>
    </row>
    <row r="7907" spans="1:11">
      <c r="A7907" s="12">
        <v>42629</v>
      </c>
      <c r="B7907">
        <v>2016</v>
      </c>
      <c r="C7907">
        <v>9</v>
      </c>
      <c r="D7907" s="11">
        <v>42614</v>
      </c>
      <c r="E7907" t="s">
        <v>2181</v>
      </c>
      <c r="F7907">
        <v>5</v>
      </c>
      <c r="G7907" t="s">
        <v>55</v>
      </c>
      <c r="H7907" t="s">
        <v>41</v>
      </c>
      <c r="I7907" t="s">
        <v>2189</v>
      </c>
      <c r="J7907" s="10">
        <v>1.33</v>
      </c>
      <c r="K7907" t="b">
        <v>1</v>
      </c>
    </row>
    <row r="7908" spans="1:11">
      <c r="A7908" s="12">
        <v>42629</v>
      </c>
      <c r="B7908">
        <v>2016</v>
      </c>
      <c r="C7908">
        <v>9</v>
      </c>
      <c r="D7908" s="11">
        <v>42614</v>
      </c>
      <c r="E7908" t="s">
        <v>2181</v>
      </c>
      <c r="F7908">
        <v>5</v>
      </c>
      <c r="G7908" t="s">
        <v>55</v>
      </c>
      <c r="H7908" t="s">
        <v>42</v>
      </c>
      <c r="I7908" t="s">
        <v>2190</v>
      </c>
      <c r="J7908" s="10">
        <v>4</v>
      </c>
      <c r="K7908" t="b">
        <v>1</v>
      </c>
    </row>
    <row r="7909" spans="1:11">
      <c r="A7909" s="12">
        <v>42629</v>
      </c>
      <c r="B7909">
        <v>2016</v>
      </c>
      <c r="C7909">
        <v>9</v>
      </c>
      <c r="D7909" s="11">
        <v>42614</v>
      </c>
      <c r="E7909" t="s">
        <v>2181</v>
      </c>
      <c r="F7909">
        <v>5</v>
      </c>
      <c r="G7909" t="s">
        <v>55</v>
      </c>
      <c r="H7909" t="s">
        <v>43</v>
      </c>
      <c r="I7909" t="s">
        <v>2191</v>
      </c>
      <c r="J7909" s="10">
        <v>26.3</v>
      </c>
      <c r="K7909" t="b">
        <v>1</v>
      </c>
    </row>
    <row r="7910" spans="1:11">
      <c r="A7910" s="12">
        <v>42629</v>
      </c>
      <c r="B7910">
        <v>2016</v>
      </c>
      <c r="C7910">
        <v>9</v>
      </c>
      <c r="D7910" s="11">
        <v>42614</v>
      </c>
      <c r="E7910" t="s">
        <v>2181</v>
      </c>
      <c r="F7910">
        <v>5</v>
      </c>
      <c r="G7910" t="s">
        <v>55</v>
      </c>
      <c r="H7910" t="s">
        <v>44</v>
      </c>
      <c r="I7910" t="s">
        <v>2192</v>
      </c>
      <c r="J7910" s="10">
        <v>17</v>
      </c>
      <c r="K7910" t="b">
        <v>1</v>
      </c>
    </row>
    <row r="7911" spans="1:11">
      <c r="A7911" s="12">
        <v>42629</v>
      </c>
      <c r="B7911">
        <v>2016</v>
      </c>
      <c r="C7911">
        <v>9</v>
      </c>
      <c r="D7911" s="11">
        <v>42614</v>
      </c>
      <c r="E7911" t="s">
        <v>2181</v>
      </c>
      <c r="F7911">
        <v>5</v>
      </c>
      <c r="G7911" t="s">
        <v>55</v>
      </c>
      <c r="H7911" t="s">
        <v>45</v>
      </c>
      <c r="I7911" t="s">
        <v>2193</v>
      </c>
      <c r="J7911" s="10">
        <v>0</v>
      </c>
      <c r="K7911" t="b">
        <v>1</v>
      </c>
    </row>
    <row r="7912" spans="1:11">
      <c r="A7912" s="12">
        <v>42629</v>
      </c>
      <c r="B7912">
        <v>2016</v>
      </c>
      <c r="C7912">
        <v>9</v>
      </c>
      <c r="D7912" s="11">
        <v>42614</v>
      </c>
      <c r="E7912" t="s">
        <v>2181</v>
      </c>
      <c r="F7912">
        <v>5</v>
      </c>
      <c r="G7912" t="s">
        <v>55</v>
      </c>
      <c r="H7912" t="s">
        <v>46</v>
      </c>
      <c r="I7912" t="s">
        <v>2194</v>
      </c>
      <c r="J7912" s="10">
        <v>3</v>
      </c>
      <c r="K7912" t="b">
        <v>1</v>
      </c>
    </row>
    <row r="7913" spans="1:11">
      <c r="A7913" s="12">
        <v>42629</v>
      </c>
      <c r="B7913">
        <v>2016</v>
      </c>
      <c r="C7913">
        <v>9</v>
      </c>
      <c r="D7913" s="11">
        <v>42614</v>
      </c>
      <c r="E7913" t="s">
        <v>2181</v>
      </c>
      <c r="F7913">
        <v>5</v>
      </c>
      <c r="G7913" t="s">
        <v>55</v>
      </c>
      <c r="H7913" t="s">
        <v>47</v>
      </c>
      <c r="I7913" t="s">
        <v>2195</v>
      </c>
      <c r="J7913" s="10">
        <v>0</v>
      </c>
      <c r="K7913" t="b">
        <v>1</v>
      </c>
    </row>
    <row r="7914" spans="1:11">
      <c r="A7914" s="12">
        <v>42630</v>
      </c>
      <c r="B7914">
        <v>2016</v>
      </c>
      <c r="C7914">
        <v>9</v>
      </c>
      <c r="D7914" s="11">
        <v>42614</v>
      </c>
      <c r="E7914" t="s">
        <v>2181</v>
      </c>
      <c r="F7914">
        <v>6</v>
      </c>
      <c r="G7914" t="s">
        <v>57</v>
      </c>
      <c r="H7914" t="s">
        <v>40</v>
      </c>
      <c r="I7914" t="s">
        <v>2188</v>
      </c>
      <c r="J7914" s="10">
        <v>6.67</v>
      </c>
      <c r="K7914" t="b">
        <v>1</v>
      </c>
    </row>
    <row r="7915" spans="1:11">
      <c r="A7915" s="12">
        <v>42630</v>
      </c>
      <c r="B7915">
        <v>2016</v>
      </c>
      <c r="C7915">
        <v>9</v>
      </c>
      <c r="D7915" s="11">
        <v>42614</v>
      </c>
      <c r="E7915" t="s">
        <v>2181</v>
      </c>
      <c r="F7915">
        <v>6</v>
      </c>
      <c r="G7915" t="s">
        <v>57</v>
      </c>
      <c r="H7915" t="s">
        <v>41</v>
      </c>
      <c r="I7915" t="s">
        <v>2189</v>
      </c>
      <c r="J7915" s="10">
        <v>3.693</v>
      </c>
      <c r="K7915" t="b">
        <v>1</v>
      </c>
    </row>
    <row r="7916" spans="1:11">
      <c r="A7916" s="12">
        <v>42630</v>
      </c>
      <c r="B7916">
        <v>2016</v>
      </c>
      <c r="C7916">
        <v>9</v>
      </c>
      <c r="D7916" s="11">
        <v>42614</v>
      </c>
      <c r="E7916" t="s">
        <v>2181</v>
      </c>
      <c r="F7916">
        <v>6</v>
      </c>
      <c r="G7916" t="s">
        <v>57</v>
      </c>
      <c r="H7916" t="s">
        <v>42</v>
      </c>
      <c r="I7916" t="s">
        <v>2190</v>
      </c>
      <c r="J7916" s="10">
        <v>2.4</v>
      </c>
      <c r="K7916" t="b">
        <v>1</v>
      </c>
    </row>
    <row r="7917" spans="1:11">
      <c r="A7917" s="12">
        <v>42630</v>
      </c>
      <c r="B7917">
        <v>2016</v>
      </c>
      <c r="C7917">
        <v>9</v>
      </c>
      <c r="D7917" s="11">
        <v>42614</v>
      </c>
      <c r="E7917" t="s">
        <v>2181</v>
      </c>
      <c r="F7917">
        <v>6</v>
      </c>
      <c r="G7917" t="s">
        <v>57</v>
      </c>
      <c r="H7917" t="s">
        <v>43</v>
      </c>
      <c r="I7917" t="s">
        <v>2191</v>
      </c>
      <c r="J7917" s="10">
        <v>56</v>
      </c>
      <c r="K7917" t="b">
        <v>1</v>
      </c>
    </row>
    <row r="7918" spans="1:11">
      <c r="A7918" s="12">
        <v>42630</v>
      </c>
      <c r="B7918">
        <v>2016</v>
      </c>
      <c r="C7918">
        <v>9</v>
      </c>
      <c r="D7918" s="11">
        <v>42614</v>
      </c>
      <c r="E7918" t="s">
        <v>2181</v>
      </c>
      <c r="F7918">
        <v>6</v>
      </c>
      <c r="G7918" t="s">
        <v>57</v>
      </c>
      <c r="H7918" t="s">
        <v>44</v>
      </c>
      <c r="I7918" t="s">
        <v>2192</v>
      </c>
      <c r="J7918" s="10">
        <v>11</v>
      </c>
      <c r="K7918" t="b">
        <v>1</v>
      </c>
    </row>
    <row r="7919" spans="1:11">
      <c r="A7919" s="12">
        <v>42630</v>
      </c>
      <c r="B7919">
        <v>2016</v>
      </c>
      <c r="C7919">
        <v>9</v>
      </c>
      <c r="D7919" s="11">
        <v>42614</v>
      </c>
      <c r="E7919" t="s">
        <v>2181</v>
      </c>
      <c r="F7919">
        <v>6</v>
      </c>
      <c r="G7919" t="s">
        <v>57</v>
      </c>
      <c r="H7919" t="s">
        <v>45</v>
      </c>
      <c r="I7919" t="s">
        <v>2193</v>
      </c>
      <c r="J7919" s="10">
        <v>0</v>
      </c>
      <c r="K7919" t="b">
        <v>1</v>
      </c>
    </row>
    <row r="7920" spans="1:11">
      <c r="A7920" s="12">
        <v>42630</v>
      </c>
      <c r="B7920">
        <v>2016</v>
      </c>
      <c r="C7920">
        <v>9</v>
      </c>
      <c r="D7920" s="11">
        <v>42614</v>
      </c>
      <c r="E7920" t="s">
        <v>2181</v>
      </c>
      <c r="F7920">
        <v>6</v>
      </c>
      <c r="G7920" t="s">
        <v>57</v>
      </c>
      <c r="H7920" t="s">
        <v>46</v>
      </c>
      <c r="I7920" t="s">
        <v>2194</v>
      </c>
      <c r="J7920" s="10">
        <v>5</v>
      </c>
      <c r="K7920" t="b">
        <v>1</v>
      </c>
    </row>
    <row r="7921" spans="1:11">
      <c r="A7921" s="12">
        <v>42630</v>
      </c>
      <c r="B7921">
        <v>2016</v>
      </c>
      <c r="C7921">
        <v>9</v>
      </c>
      <c r="D7921" s="11">
        <v>42614</v>
      </c>
      <c r="E7921" t="s">
        <v>2181</v>
      </c>
      <c r="F7921">
        <v>6</v>
      </c>
      <c r="G7921" t="s">
        <v>57</v>
      </c>
      <c r="H7921" t="s">
        <v>47</v>
      </c>
      <c r="I7921" t="s">
        <v>2195</v>
      </c>
      <c r="J7921" s="10">
        <v>4.1</v>
      </c>
      <c r="K7921" t="b">
        <v>1</v>
      </c>
    </row>
    <row r="7922" spans="1:11">
      <c r="A7922" s="12">
        <v>42631</v>
      </c>
      <c r="B7922">
        <v>2016</v>
      </c>
      <c r="C7922">
        <v>9</v>
      </c>
      <c r="D7922" s="11">
        <v>42614</v>
      </c>
      <c r="E7922" t="s">
        <v>2181</v>
      </c>
      <c r="F7922">
        <v>7</v>
      </c>
      <c r="G7922" t="s">
        <v>59</v>
      </c>
      <c r="H7922" t="s">
        <v>40</v>
      </c>
      <c r="I7922" t="s">
        <v>2188</v>
      </c>
      <c r="J7922" s="10">
        <v>5.99</v>
      </c>
      <c r="K7922" t="b">
        <v>1</v>
      </c>
    </row>
    <row r="7923" spans="1:11">
      <c r="A7923" s="12">
        <v>42631</v>
      </c>
      <c r="B7923">
        <v>2016</v>
      </c>
      <c r="C7923">
        <v>9</v>
      </c>
      <c r="D7923" s="11">
        <v>42614</v>
      </c>
      <c r="E7923" t="s">
        <v>2181</v>
      </c>
      <c r="F7923">
        <v>7</v>
      </c>
      <c r="G7923" t="s">
        <v>59</v>
      </c>
      <c r="H7923" t="s">
        <v>41</v>
      </c>
      <c r="I7923" t="s">
        <v>2189</v>
      </c>
      <c r="J7923" s="10">
        <v>7.32</v>
      </c>
      <c r="K7923" t="b">
        <v>1</v>
      </c>
    </row>
    <row r="7924" spans="1:11">
      <c r="A7924" s="12">
        <v>42631</v>
      </c>
      <c r="B7924">
        <v>2016</v>
      </c>
      <c r="C7924">
        <v>9</v>
      </c>
      <c r="D7924" s="11">
        <v>42614</v>
      </c>
      <c r="E7924" t="s">
        <v>2181</v>
      </c>
      <c r="F7924">
        <v>7</v>
      </c>
      <c r="G7924" t="s">
        <v>59</v>
      </c>
      <c r="H7924" t="s">
        <v>42</v>
      </c>
      <c r="I7924" t="s">
        <v>2190</v>
      </c>
      <c r="J7924" s="10">
        <v>2</v>
      </c>
      <c r="K7924" t="b">
        <v>1</v>
      </c>
    </row>
    <row r="7925" spans="1:11">
      <c r="A7925" s="12">
        <v>42631</v>
      </c>
      <c r="B7925">
        <v>2016</v>
      </c>
      <c r="C7925">
        <v>9</v>
      </c>
      <c r="D7925" s="11">
        <v>42614</v>
      </c>
      <c r="E7925" t="s">
        <v>2181</v>
      </c>
      <c r="F7925">
        <v>7</v>
      </c>
      <c r="G7925" t="s">
        <v>59</v>
      </c>
      <c r="H7925" t="s">
        <v>43</v>
      </c>
      <c r="I7925" t="s">
        <v>2191</v>
      </c>
      <c r="J7925" s="10">
        <v>24.45</v>
      </c>
      <c r="K7925" t="b">
        <v>1</v>
      </c>
    </row>
    <row r="7926" spans="1:11">
      <c r="A7926" s="12">
        <v>42631</v>
      </c>
      <c r="B7926">
        <v>2016</v>
      </c>
      <c r="C7926">
        <v>9</v>
      </c>
      <c r="D7926" s="11">
        <v>42614</v>
      </c>
      <c r="E7926" t="s">
        <v>2181</v>
      </c>
      <c r="F7926">
        <v>7</v>
      </c>
      <c r="G7926" t="s">
        <v>59</v>
      </c>
      <c r="H7926" t="s">
        <v>44</v>
      </c>
      <c r="I7926" t="s">
        <v>2192</v>
      </c>
      <c r="J7926" s="10">
        <v>4</v>
      </c>
      <c r="K7926" t="b">
        <v>1</v>
      </c>
    </row>
    <row r="7927" spans="1:11">
      <c r="A7927" s="12">
        <v>42631</v>
      </c>
      <c r="B7927">
        <v>2016</v>
      </c>
      <c r="C7927">
        <v>9</v>
      </c>
      <c r="D7927" s="11">
        <v>42614</v>
      </c>
      <c r="E7927" t="s">
        <v>2181</v>
      </c>
      <c r="F7927">
        <v>7</v>
      </c>
      <c r="G7927" t="s">
        <v>59</v>
      </c>
      <c r="H7927" t="s">
        <v>45</v>
      </c>
      <c r="I7927" t="s">
        <v>2193</v>
      </c>
      <c r="J7927" s="10">
        <v>0</v>
      </c>
      <c r="K7927" t="b">
        <v>1</v>
      </c>
    </row>
    <row r="7928" spans="1:11">
      <c r="A7928" s="12">
        <v>42631</v>
      </c>
      <c r="B7928">
        <v>2016</v>
      </c>
      <c r="C7928">
        <v>9</v>
      </c>
      <c r="D7928" s="11">
        <v>42614</v>
      </c>
      <c r="E7928" t="s">
        <v>2181</v>
      </c>
      <c r="F7928">
        <v>7</v>
      </c>
      <c r="G7928" t="s">
        <v>59</v>
      </c>
      <c r="H7928" t="s">
        <v>46</v>
      </c>
      <c r="I7928" t="s">
        <v>2194</v>
      </c>
      <c r="J7928" s="10">
        <v>8</v>
      </c>
      <c r="K7928" t="b">
        <v>1</v>
      </c>
    </row>
    <row r="7929" spans="1:11">
      <c r="A7929" s="12">
        <v>42631</v>
      </c>
      <c r="B7929">
        <v>2016</v>
      </c>
      <c r="C7929">
        <v>9</v>
      </c>
      <c r="D7929" s="11">
        <v>42614</v>
      </c>
      <c r="E7929" t="s">
        <v>2181</v>
      </c>
      <c r="F7929">
        <v>7</v>
      </c>
      <c r="G7929" t="s">
        <v>59</v>
      </c>
      <c r="H7929" t="s">
        <v>47</v>
      </c>
      <c r="I7929" t="s">
        <v>2195</v>
      </c>
      <c r="J7929" s="10">
        <v>1</v>
      </c>
      <c r="K7929" t="b">
        <v>1</v>
      </c>
    </row>
    <row r="7930" spans="1:11">
      <c r="A7930" s="12">
        <v>42632</v>
      </c>
      <c r="B7930">
        <v>2016</v>
      </c>
      <c r="C7930">
        <v>9</v>
      </c>
      <c r="D7930" s="11">
        <v>42614</v>
      </c>
      <c r="E7930" t="s">
        <v>2181</v>
      </c>
      <c r="F7930">
        <v>1</v>
      </c>
      <c r="G7930" t="s">
        <v>61</v>
      </c>
      <c r="H7930" t="s">
        <v>40</v>
      </c>
      <c r="I7930" t="s">
        <v>2188</v>
      </c>
      <c r="J7930" s="10">
        <v>4</v>
      </c>
      <c r="K7930" t="b">
        <v>1</v>
      </c>
    </row>
    <row r="7931" spans="1:11">
      <c r="A7931" s="12">
        <v>42632</v>
      </c>
      <c r="B7931">
        <v>2016</v>
      </c>
      <c r="C7931">
        <v>9</v>
      </c>
      <c r="D7931" s="11">
        <v>42614</v>
      </c>
      <c r="E7931" t="s">
        <v>2181</v>
      </c>
      <c r="F7931">
        <v>1</v>
      </c>
      <c r="G7931" t="s">
        <v>61</v>
      </c>
      <c r="H7931" t="s">
        <v>41</v>
      </c>
      <c r="I7931" t="s">
        <v>2189</v>
      </c>
      <c r="J7931" s="10">
        <v>3.396</v>
      </c>
      <c r="K7931" t="b">
        <v>1</v>
      </c>
    </row>
    <row r="7932" spans="1:11">
      <c r="A7932" s="12">
        <v>42632</v>
      </c>
      <c r="B7932">
        <v>2016</v>
      </c>
      <c r="C7932">
        <v>9</v>
      </c>
      <c r="D7932" s="11">
        <v>42614</v>
      </c>
      <c r="E7932" t="s">
        <v>2181</v>
      </c>
      <c r="F7932">
        <v>1</v>
      </c>
      <c r="G7932" t="s">
        <v>61</v>
      </c>
      <c r="H7932" t="s">
        <v>42</v>
      </c>
      <c r="I7932" t="s">
        <v>2190</v>
      </c>
      <c r="J7932" s="10">
        <v>2.15</v>
      </c>
      <c r="K7932" t="b">
        <v>1</v>
      </c>
    </row>
    <row r="7933" spans="1:11">
      <c r="A7933" s="12">
        <v>42632</v>
      </c>
      <c r="B7933">
        <v>2016</v>
      </c>
      <c r="C7933">
        <v>9</v>
      </c>
      <c r="D7933" s="11">
        <v>42614</v>
      </c>
      <c r="E7933" t="s">
        <v>2181</v>
      </c>
      <c r="F7933">
        <v>1</v>
      </c>
      <c r="G7933" t="s">
        <v>61</v>
      </c>
      <c r="H7933" t="s">
        <v>43</v>
      </c>
      <c r="I7933" t="s">
        <v>2191</v>
      </c>
      <c r="J7933" s="10">
        <v>31</v>
      </c>
      <c r="K7933" t="b">
        <v>1</v>
      </c>
    </row>
    <row r="7934" spans="1:11">
      <c r="A7934" s="12">
        <v>42632</v>
      </c>
      <c r="B7934">
        <v>2016</v>
      </c>
      <c r="C7934">
        <v>9</v>
      </c>
      <c r="D7934" s="11">
        <v>42614</v>
      </c>
      <c r="E7934" t="s">
        <v>2181</v>
      </c>
      <c r="F7934">
        <v>1</v>
      </c>
      <c r="G7934" t="s">
        <v>61</v>
      </c>
      <c r="H7934" t="s">
        <v>44</v>
      </c>
      <c r="I7934" t="s">
        <v>2192</v>
      </c>
      <c r="J7934" s="10">
        <v>11</v>
      </c>
      <c r="K7934" t="b">
        <v>1</v>
      </c>
    </row>
    <row r="7935" spans="1:11">
      <c r="A7935" s="12">
        <v>42632</v>
      </c>
      <c r="B7935">
        <v>2016</v>
      </c>
      <c r="C7935">
        <v>9</v>
      </c>
      <c r="D7935" s="11">
        <v>42614</v>
      </c>
      <c r="E7935" t="s">
        <v>2181</v>
      </c>
      <c r="F7935">
        <v>1</v>
      </c>
      <c r="G7935" t="s">
        <v>61</v>
      </c>
      <c r="H7935" t="s">
        <v>45</v>
      </c>
      <c r="I7935" t="s">
        <v>2193</v>
      </c>
      <c r="J7935" s="10">
        <v>2</v>
      </c>
      <c r="K7935" t="b">
        <v>1</v>
      </c>
    </row>
    <row r="7936" spans="1:11">
      <c r="A7936" s="12">
        <v>42632</v>
      </c>
      <c r="B7936">
        <v>2016</v>
      </c>
      <c r="C7936">
        <v>9</v>
      </c>
      <c r="D7936" s="11">
        <v>42614</v>
      </c>
      <c r="E7936" t="s">
        <v>2181</v>
      </c>
      <c r="F7936">
        <v>1</v>
      </c>
      <c r="G7936" t="s">
        <v>61</v>
      </c>
      <c r="H7936" t="s">
        <v>46</v>
      </c>
      <c r="I7936" t="s">
        <v>2194</v>
      </c>
      <c r="J7936" s="10">
        <v>0</v>
      </c>
      <c r="K7936" t="b">
        <v>1</v>
      </c>
    </row>
    <row r="7937" spans="1:11">
      <c r="A7937" s="12">
        <v>42632</v>
      </c>
      <c r="B7937">
        <v>2016</v>
      </c>
      <c r="C7937">
        <v>9</v>
      </c>
      <c r="D7937" s="11">
        <v>42614</v>
      </c>
      <c r="E7937" t="s">
        <v>2181</v>
      </c>
      <c r="F7937">
        <v>1</v>
      </c>
      <c r="G7937" t="s">
        <v>61</v>
      </c>
      <c r="H7937" t="s">
        <v>47</v>
      </c>
      <c r="I7937" t="s">
        <v>2195</v>
      </c>
      <c r="J7937" s="10">
        <v>1</v>
      </c>
      <c r="K7937" t="b">
        <v>1</v>
      </c>
    </row>
    <row r="7938" spans="1:11">
      <c r="A7938" s="12">
        <v>42633</v>
      </c>
      <c r="B7938">
        <v>2016</v>
      </c>
      <c r="C7938">
        <v>9</v>
      </c>
      <c r="D7938" s="11">
        <v>42614</v>
      </c>
      <c r="E7938" t="s">
        <v>2181</v>
      </c>
      <c r="F7938">
        <v>2</v>
      </c>
      <c r="G7938" t="s">
        <v>63</v>
      </c>
      <c r="H7938" t="s">
        <v>40</v>
      </c>
      <c r="I7938" t="s">
        <v>2188</v>
      </c>
      <c r="J7938" s="10">
        <v>4.67</v>
      </c>
      <c r="K7938" t="b">
        <v>1</v>
      </c>
    </row>
    <row r="7939" spans="1:11">
      <c r="A7939" s="12">
        <v>42633</v>
      </c>
      <c r="B7939">
        <v>2016</v>
      </c>
      <c r="C7939">
        <v>9</v>
      </c>
      <c r="D7939" s="11">
        <v>42614</v>
      </c>
      <c r="E7939" t="s">
        <v>2181</v>
      </c>
      <c r="F7939">
        <v>2</v>
      </c>
      <c r="G7939" t="s">
        <v>63</v>
      </c>
      <c r="H7939" t="s">
        <v>41</v>
      </c>
      <c r="I7939" t="s">
        <v>2189</v>
      </c>
      <c r="J7939" s="10">
        <v>2.792</v>
      </c>
      <c r="K7939" t="b">
        <v>1</v>
      </c>
    </row>
    <row r="7940" spans="1:11">
      <c r="A7940" s="12">
        <v>42633</v>
      </c>
      <c r="B7940">
        <v>2016</v>
      </c>
      <c r="C7940">
        <v>9</v>
      </c>
      <c r="D7940" s="11">
        <v>42614</v>
      </c>
      <c r="E7940" t="s">
        <v>2181</v>
      </c>
      <c r="F7940">
        <v>2</v>
      </c>
      <c r="G7940" t="s">
        <v>63</v>
      </c>
      <c r="H7940" t="s">
        <v>42</v>
      </c>
      <c r="I7940" t="s">
        <v>2190</v>
      </c>
      <c r="J7940" s="10">
        <v>3</v>
      </c>
      <c r="K7940" t="b">
        <v>1</v>
      </c>
    </row>
    <row r="7941" spans="1:11">
      <c r="A7941" s="12">
        <v>42633</v>
      </c>
      <c r="B7941">
        <v>2016</v>
      </c>
      <c r="C7941">
        <v>9</v>
      </c>
      <c r="D7941" s="11">
        <v>42614</v>
      </c>
      <c r="E7941" t="s">
        <v>2181</v>
      </c>
      <c r="F7941">
        <v>2</v>
      </c>
      <c r="G7941" t="s">
        <v>63</v>
      </c>
      <c r="H7941" t="s">
        <v>43</v>
      </c>
      <c r="I7941" t="s">
        <v>2191</v>
      </c>
      <c r="J7941" s="10">
        <v>33.4</v>
      </c>
      <c r="K7941" t="b">
        <v>1</v>
      </c>
    </row>
    <row r="7942" spans="1:11">
      <c r="A7942" s="12">
        <v>42633</v>
      </c>
      <c r="B7942">
        <v>2016</v>
      </c>
      <c r="C7942">
        <v>9</v>
      </c>
      <c r="D7942" s="11">
        <v>42614</v>
      </c>
      <c r="E7942" t="s">
        <v>2181</v>
      </c>
      <c r="F7942">
        <v>2</v>
      </c>
      <c r="G7942" t="s">
        <v>63</v>
      </c>
      <c r="H7942" t="s">
        <v>44</v>
      </c>
      <c r="I7942" t="s">
        <v>2192</v>
      </c>
      <c r="J7942" s="10">
        <v>14</v>
      </c>
      <c r="K7942" t="b">
        <v>1</v>
      </c>
    </row>
    <row r="7943" spans="1:11">
      <c r="A7943" s="12">
        <v>42633</v>
      </c>
      <c r="B7943">
        <v>2016</v>
      </c>
      <c r="C7943">
        <v>9</v>
      </c>
      <c r="D7943" s="11">
        <v>42614</v>
      </c>
      <c r="E7943" t="s">
        <v>2181</v>
      </c>
      <c r="F7943">
        <v>2</v>
      </c>
      <c r="G7943" t="s">
        <v>63</v>
      </c>
      <c r="H7943" t="s">
        <v>45</v>
      </c>
      <c r="I7943" t="s">
        <v>2193</v>
      </c>
      <c r="J7943" s="10">
        <v>0</v>
      </c>
      <c r="K7943" t="b">
        <v>1</v>
      </c>
    </row>
    <row r="7944" spans="1:11">
      <c r="A7944" s="12">
        <v>42633</v>
      </c>
      <c r="B7944">
        <v>2016</v>
      </c>
      <c r="C7944">
        <v>9</v>
      </c>
      <c r="D7944" s="11">
        <v>42614</v>
      </c>
      <c r="E7944" t="s">
        <v>2181</v>
      </c>
      <c r="F7944">
        <v>2</v>
      </c>
      <c r="G7944" t="s">
        <v>63</v>
      </c>
      <c r="H7944" t="s">
        <v>46</v>
      </c>
      <c r="I7944" t="s">
        <v>2194</v>
      </c>
      <c r="J7944" s="10">
        <v>4</v>
      </c>
      <c r="K7944" t="b">
        <v>1</v>
      </c>
    </row>
    <row r="7945" spans="1:11">
      <c r="A7945" s="12">
        <v>42633</v>
      </c>
      <c r="B7945">
        <v>2016</v>
      </c>
      <c r="C7945">
        <v>9</v>
      </c>
      <c r="D7945" s="11">
        <v>42614</v>
      </c>
      <c r="E7945" t="s">
        <v>2181</v>
      </c>
      <c r="F7945">
        <v>2</v>
      </c>
      <c r="G7945" t="s">
        <v>63</v>
      </c>
      <c r="H7945" t="s">
        <v>47</v>
      </c>
      <c r="I7945" t="s">
        <v>2195</v>
      </c>
      <c r="J7945" s="10">
        <v>1</v>
      </c>
      <c r="K7945" t="b">
        <v>1</v>
      </c>
    </row>
    <row r="7946" spans="1:11">
      <c r="A7946" s="12">
        <v>42634</v>
      </c>
      <c r="B7946">
        <v>2016</v>
      </c>
      <c r="C7946">
        <v>9</v>
      </c>
      <c r="D7946" s="11">
        <v>42614</v>
      </c>
      <c r="E7946" t="s">
        <v>2181</v>
      </c>
      <c r="F7946">
        <v>3</v>
      </c>
      <c r="G7946" t="s">
        <v>65</v>
      </c>
      <c r="H7946" t="s">
        <v>40</v>
      </c>
      <c r="I7946" t="s">
        <v>2188</v>
      </c>
      <c r="J7946" s="10">
        <v>8.34</v>
      </c>
      <c r="K7946" t="b">
        <v>1</v>
      </c>
    </row>
    <row r="7947" spans="1:11">
      <c r="A7947" s="12">
        <v>42634</v>
      </c>
      <c r="B7947">
        <v>2016</v>
      </c>
      <c r="C7947">
        <v>9</v>
      </c>
      <c r="D7947" s="11">
        <v>42614</v>
      </c>
      <c r="E7947" t="s">
        <v>2181</v>
      </c>
      <c r="F7947">
        <v>3</v>
      </c>
      <c r="G7947" t="s">
        <v>65</v>
      </c>
      <c r="H7947" t="s">
        <v>41</v>
      </c>
      <c r="I7947" t="s">
        <v>2189</v>
      </c>
      <c r="J7947" s="10">
        <v>4.31</v>
      </c>
      <c r="K7947" t="b">
        <v>1</v>
      </c>
    </row>
    <row r="7948" spans="1:11">
      <c r="A7948" s="12">
        <v>42634</v>
      </c>
      <c r="B7948">
        <v>2016</v>
      </c>
      <c r="C7948">
        <v>9</v>
      </c>
      <c r="D7948" s="11">
        <v>42614</v>
      </c>
      <c r="E7948" t="s">
        <v>2181</v>
      </c>
      <c r="F7948">
        <v>3</v>
      </c>
      <c r="G7948" t="s">
        <v>65</v>
      </c>
      <c r="H7948" t="s">
        <v>42</v>
      </c>
      <c r="I7948" t="s">
        <v>2190</v>
      </c>
      <c r="J7948" s="10">
        <v>3.05</v>
      </c>
      <c r="K7948" t="b">
        <v>1</v>
      </c>
    </row>
    <row r="7949" spans="1:11">
      <c r="A7949" s="12">
        <v>42634</v>
      </c>
      <c r="B7949">
        <v>2016</v>
      </c>
      <c r="C7949">
        <v>9</v>
      </c>
      <c r="D7949" s="11">
        <v>42614</v>
      </c>
      <c r="E7949" t="s">
        <v>2181</v>
      </c>
      <c r="F7949">
        <v>3</v>
      </c>
      <c r="G7949" t="s">
        <v>65</v>
      </c>
      <c r="H7949" t="s">
        <v>43</v>
      </c>
      <c r="I7949" t="s">
        <v>2191</v>
      </c>
      <c r="J7949" s="10">
        <v>19.7</v>
      </c>
      <c r="K7949" t="b">
        <v>1</v>
      </c>
    </row>
    <row r="7950" spans="1:11">
      <c r="A7950" s="12">
        <v>42634</v>
      </c>
      <c r="B7950">
        <v>2016</v>
      </c>
      <c r="C7950">
        <v>9</v>
      </c>
      <c r="D7950" s="11">
        <v>42614</v>
      </c>
      <c r="E7950" t="s">
        <v>2181</v>
      </c>
      <c r="F7950">
        <v>3</v>
      </c>
      <c r="G7950" t="s">
        <v>65</v>
      </c>
      <c r="H7950" t="s">
        <v>44</v>
      </c>
      <c r="I7950" t="s">
        <v>2192</v>
      </c>
      <c r="J7950" s="10">
        <v>12</v>
      </c>
      <c r="K7950" t="b">
        <v>1</v>
      </c>
    </row>
    <row r="7951" spans="1:11">
      <c r="A7951" s="12">
        <v>42634</v>
      </c>
      <c r="B7951">
        <v>2016</v>
      </c>
      <c r="C7951">
        <v>9</v>
      </c>
      <c r="D7951" s="11">
        <v>42614</v>
      </c>
      <c r="E7951" t="s">
        <v>2181</v>
      </c>
      <c r="F7951">
        <v>3</v>
      </c>
      <c r="G7951" t="s">
        <v>65</v>
      </c>
      <c r="H7951" t="s">
        <v>45</v>
      </c>
      <c r="I7951" t="s">
        <v>2193</v>
      </c>
      <c r="J7951" s="10">
        <v>0</v>
      </c>
      <c r="K7951" t="b">
        <v>1</v>
      </c>
    </row>
    <row r="7952" spans="1:11">
      <c r="A7952" s="12">
        <v>42634</v>
      </c>
      <c r="B7952">
        <v>2016</v>
      </c>
      <c r="C7952">
        <v>9</v>
      </c>
      <c r="D7952" s="11">
        <v>42614</v>
      </c>
      <c r="E7952" t="s">
        <v>2181</v>
      </c>
      <c r="F7952">
        <v>3</v>
      </c>
      <c r="G7952" t="s">
        <v>65</v>
      </c>
      <c r="H7952" t="s">
        <v>46</v>
      </c>
      <c r="I7952" t="s">
        <v>2194</v>
      </c>
      <c r="J7952" s="10">
        <v>3</v>
      </c>
      <c r="K7952" t="b">
        <v>1</v>
      </c>
    </row>
    <row r="7953" spans="1:11">
      <c r="A7953" s="12">
        <v>42634</v>
      </c>
      <c r="B7953">
        <v>2016</v>
      </c>
      <c r="C7953">
        <v>9</v>
      </c>
      <c r="D7953" s="11">
        <v>42614</v>
      </c>
      <c r="E7953" t="s">
        <v>2181</v>
      </c>
      <c r="F7953">
        <v>3</v>
      </c>
      <c r="G7953" t="s">
        <v>65</v>
      </c>
      <c r="H7953" t="s">
        <v>47</v>
      </c>
      <c r="I7953" t="s">
        <v>2195</v>
      </c>
      <c r="J7953" s="10">
        <v>2</v>
      </c>
      <c r="K7953" t="b">
        <v>1</v>
      </c>
    </row>
    <row r="7954" spans="1:11">
      <c r="A7954" s="12">
        <v>42635</v>
      </c>
      <c r="B7954">
        <v>2016</v>
      </c>
      <c r="C7954">
        <v>9</v>
      </c>
      <c r="D7954" s="11">
        <v>42614</v>
      </c>
      <c r="E7954" t="s">
        <v>2181</v>
      </c>
      <c r="F7954">
        <v>4</v>
      </c>
      <c r="G7954" t="s">
        <v>53</v>
      </c>
      <c r="H7954" t="s">
        <v>40</v>
      </c>
      <c r="I7954" t="s">
        <v>2188</v>
      </c>
      <c r="J7954" s="10">
        <v>6.33</v>
      </c>
      <c r="K7954" t="b">
        <v>1</v>
      </c>
    </row>
    <row r="7955" spans="1:11">
      <c r="A7955" s="12">
        <v>42635</v>
      </c>
      <c r="B7955">
        <v>2016</v>
      </c>
      <c r="C7955">
        <v>9</v>
      </c>
      <c r="D7955" s="11">
        <v>42614</v>
      </c>
      <c r="E7955" t="s">
        <v>2181</v>
      </c>
      <c r="F7955">
        <v>4</v>
      </c>
      <c r="G7955" t="s">
        <v>53</v>
      </c>
      <c r="H7955" t="s">
        <v>41</v>
      </c>
      <c r="I7955" t="s">
        <v>2189</v>
      </c>
      <c r="J7955" s="10">
        <v>2.33</v>
      </c>
      <c r="K7955" t="b">
        <v>1</v>
      </c>
    </row>
    <row r="7956" spans="1:11">
      <c r="A7956" s="12">
        <v>42635</v>
      </c>
      <c r="B7956">
        <v>2016</v>
      </c>
      <c r="C7956">
        <v>9</v>
      </c>
      <c r="D7956" s="11">
        <v>42614</v>
      </c>
      <c r="E7956" t="s">
        <v>2181</v>
      </c>
      <c r="F7956">
        <v>4</v>
      </c>
      <c r="G7956" t="s">
        <v>53</v>
      </c>
      <c r="H7956" t="s">
        <v>42</v>
      </c>
      <c r="I7956" t="s">
        <v>2190</v>
      </c>
      <c r="J7956" s="10">
        <v>2.1</v>
      </c>
      <c r="K7956" t="b">
        <v>1</v>
      </c>
    </row>
    <row r="7957" spans="1:11">
      <c r="A7957" s="12">
        <v>42635</v>
      </c>
      <c r="B7957">
        <v>2016</v>
      </c>
      <c r="C7957">
        <v>9</v>
      </c>
      <c r="D7957" s="11">
        <v>42614</v>
      </c>
      <c r="E7957" t="s">
        <v>2181</v>
      </c>
      <c r="F7957">
        <v>4</v>
      </c>
      <c r="G7957" t="s">
        <v>53</v>
      </c>
      <c r="H7957" t="s">
        <v>43</v>
      </c>
      <c r="I7957" t="s">
        <v>2191</v>
      </c>
      <c r="J7957" s="10">
        <v>29.4</v>
      </c>
      <c r="K7957" t="b">
        <v>1</v>
      </c>
    </row>
    <row r="7958" spans="1:11">
      <c r="A7958" s="12">
        <v>42635</v>
      </c>
      <c r="B7958">
        <v>2016</v>
      </c>
      <c r="C7958">
        <v>9</v>
      </c>
      <c r="D7958" s="11">
        <v>42614</v>
      </c>
      <c r="E7958" t="s">
        <v>2181</v>
      </c>
      <c r="F7958">
        <v>4</v>
      </c>
      <c r="G7958" t="s">
        <v>53</v>
      </c>
      <c r="H7958" t="s">
        <v>44</v>
      </c>
      <c r="I7958" t="s">
        <v>2192</v>
      </c>
      <c r="J7958" s="10">
        <v>6</v>
      </c>
      <c r="K7958" t="b">
        <v>1</v>
      </c>
    </row>
    <row r="7959" spans="1:11">
      <c r="A7959" s="12">
        <v>42635</v>
      </c>
      <c r="B7959">
        <v>2016</v>
      </c>
      <c r="C7959">
        <v>9</v>
      </c>
      <c r="D7959" s="11">
        <v>42614</v>
      </c>
      <c r="E7959" t="s">
        <v>2181</v>
      </c>
      <c r="F7959">
        <v>4</v>
      </c>
      <c r="G7959" t="s">
        <v>53</v>
      </c>
      <c r="H7959" t="s">
        <v>45</v>
      </c>
      <c r="I7959" t="s">
        <v>2193</v>
      </c>
      <c r="J7959" s="10">
        <v>0</v>
      </c>
      <c r="K7959" t="b">
        <v>1</v>
      </c>
    </row>
    <row r="7960" spans="1:11">
      <c r="A7960" s="12">
        <v>42635</v>
      </c>
      <c r="B7960">
        <v>2016</v>
      </c>
      <c r="C7960">
        <v>9</v>
      </c>
      <c r="D7960" s="11">
        <v>42614</v>
      </c>
      <c r="E7960" t="s">
        <v>2181</v>
      </c>
      <c r="F7960">
        <v>4</v>
      </c>
      <c r="G7960" t="s">
        <v>53</v>
      </c>
      <c r="H7960" t="s">
        <v>46</v>
      </c>
      <c r="I7960" t="s">
        <v>2194</v>
      </c>
      <c r="J7960" s="10">
        <v>4</v>
      </c>
      <c r="K7960" t="b">
        <v>1</v>
      </c>
    </row>
    <row r="7961" spans="1:11">
      <c r="A7961" s="12">
        <v>42635</v>
      </c>
      <c r="B7961">
        <v>2016</v>
      </c>
      <c r="C7961">
        <v>9</v>
      </c>
      <c r="D7961" s="11">
        <v>42614</v>
      </c>
      <c r="E7961" t="s">
        <v>2181</v>
      </c>
      <c r="F7961">
        <v>4</v>
      </c>
      <c r="G7961" t="s">
        <v>53</v>
      </c>
      <c r="H7961" t="s">
        <v>47</v>
      </c>
      <c r="I7961" t="s">
        <v>2195</v>
      </c>
      <c r="J7961" s="10">
        <v>3</v>
      </c>
      <c r="K7961" t="b">
        <v>1</v>
      </c>
    </row>
    <row r="7962" spans="1:11">
      <c r="A7962" s="12">
        <v>42636</v>
      </c>
      <c r="B7962">
        <v>2016</v>
      </c>
      <c r="C7962">
        <v>9</v>
      </c>
      <c r="D7962" s="11">
        <v>42614</v>
      </c>
      <c r="E7962" t="s">
        <v>2181</v>
      </c>
      <c r="F7962">
        <v>5</v>
      </c>
      <c r="G7962" t="s">
        <v>55</v>
      </c>
      <c r="H7962" t="s">
        <v>40</v>
      </c>
      <c r="I7962" t="s">
        <v>2188</v>
      </c>
      <c r="J7962" s="10">
        <v>2.33</v>
      </c>
      <c r="K7962" t="b">
        <v>1</v>
      </c>
    </row>
    <row r="7963" spans="1:11">
      <c r="A7963" s="12">
        <v>42636</v>
      </c>
      <c r="B7963">
        <v>2016</v>
      </c>
      <c r="C7963">
        <v>9</v>
      </c>
      <c r="D7963" s="11">
        <v>42614</v>
      </c>
      <c r="E7963" t="s">
        <v>2181</v>
      </c>
      <c r="F7963">
        <v>5</v>
      </c>
      <c r="G7963" t="s">
        <v>55</v>
      </c>
      <c r="H7963" t="s">
        <v>41</v>
      </c>
      <c r="I7963" t="s">
        <v>2189</v>
      </c>
      <c r="J7963" s="10">
        <v>6.99</v>
      </c>
      <c r="K7963" t="b">
        <v>1</v>
      </c>
    </row>
    <row r="7964" spans="1:11">
      <c r="A7964" s="12">
        <v>42636</v>
      </c>
      <c r="B7964">
        <v>2016</v>
      </c>
      <c r="C7964">
        <v>9</v>
      </c>
      <c r="D7964" s="11">
        <v>42614</v>
      </c>
      <c r="E7964" t="s">
        <v>2181</v>
      </c>
      <c r="F7964">
        <v>5</v>
      </c>
      <c r="G7964" t="s">
        <v>55</v>
      </c>
      <c r="H7964" t="s">
        <v>42</v>
      </c>
      <c r="I7964" t="s">
        <v>2190</v>
      </c>
      <c r="J7964" s="10">
        <v>6</v>
      </c>
      <c r="K7964" t="b">
        <v>1</v>
      </c>
    </row>
    <row r="7965" spans="1:11">
      <c r="A7965" s="12">
        <v>42636</v>
      </c>
      <c r="B7965">
        <v>2016</v>
      </c>
      <c r="C7965">
        <v>9</v>
      </c>
      <c r="D7965" s="11">
        <v>42614</v>
      </c>
      <c r="E7965" t="s">
        <v>2181</v>
      </c>
      <c r="F7965">
        <v>5</v>
      </c>
      <c r="G7965" t="s">
        <v>55</v>
      </c>
      <c r="H7965" t="s">
        <v>43</v>
      </c>
      <c r="I7965" t="s">
        <v>2191</v>
      </c>
      <c r="J7965" s="10">
        <v>28.4</v>
      </c>
      <c r="K7965" t="b">
        <v>1</v>
      </c>
    </row>
    <row r="7966" spans="1:11">
      <c r="A7966" s="12">
        <v>42636</v>
      </c>
      <c r="B7966">
        <v>2016</v>
      </c>
      <c r="C7966">
        <v>9</v>
      </c>
      <c r="D7966" s="11">
        <v>42614</v>
      </c>
      <c r="E7966" t="s">
        <v>2181</v>
      </c>
      <c r="F7966">
        <v>5</v>
      </c>
      <c r="G7966" t="s">
        <v>55</v>
      </c>
      <c r="H7966" t="s">
        <v>44</v>
      </c>
      <c r="I7966" t="s">
        <v>2192</v>
      </c>
      <c r="J7966" s="10">
        <v>13</v>
      </c>
      <c r="K7966" t="b">
        <v>1</v>
      </c>
    </row>
    <row r="7967" spans="1:11">
      <c r="A7967" s="12">
        <v>42636</v>
      </c>
      <c r="B7967">
        <v>2016</v>
      </c>
      <c r="C7967">
        <v>9</v>
      </c>
      <c r="D7967" s="11">
        <v>42614</v>
      </c>
      <c r="E7967" t="s">
        <v>2181</v>
      </c>
      <c r="F7967">
        <v>5</v>
      </c>
      <c r="G7967" t="s">
        <v>55</v>
      </c>
      <c r="H7967" t="s">
        <v>45</v>
      </c>
      <c r="I7967" t="s">
        <v>2193</v>
      </c>
      <c r="J7967" s="10">
        <v>3</v>
      </c>
      <c r="K7967" t="b">
        <v>1</v>
      </c>
    </row>
    <row r="7968" spans="1:11">
      <c r="A7968" s="12">
        <v>42636</v>
      </c>
      <c r="B7968">
        <v>2016</v>
      </c>
      <c r="C7968">
        <v>9</v>
      </c>
      <c r="D7968" s="11">
        <v>42614</v>
      </c>
      <c r="E7968" t="s">
        <v>2181</v>
      </c>
      <c r="F7968">
        <v>5</v>
      </c>
      <c r="G7968" t="s">
        <v>55</v>
      </c>
      <c r="H7968" t="s">
        <v>46</v>
      </c>
      <c r="I7968" t="s">
        <v>2194</v>
      </c>
      <c r="J7968" s="10">
        <v>7</v>
      </c>
      <c r="K7968" t="b">
        <v>1</v>
      </c>
    </row>
    <row r="7969" spans="1:11">
      <c r="A7969" s="12">
        <v>42636</v>
      </c>
      <c r="B7969">
        <v>2016</v>
      </c>
      <c r="C7969">
        <v>9</v>
      </c>
      <c r="D7969" s="11">
        <v>42614</v>
      </c>
      <c r="E7969" t="s">
        <v>2181</v>
      </c>
      <c r="F7969">
        <v>5</v>
      </c>
      <c r="G7969" t="s">
        <v>55</v>
      </c>
      <c r="H7969" t="s">
        <v>47</v>
      </c>
      <c r="I7969" t="s">
        <v>2195</v>
      </c>
      <c r="J7969" s="10">
        <v>1</v>
      </c>
      <c r="K7969" t="b">
        <v>1</v>
      </c>
    </row>
    <row r="7970" spans="1:11">
      <c r="A7970" s="12">
        <v>42637</v>
      </c>
      <c r="B7970">
        <v>2016</v>
      </c>
      <c r="C7970">
        <v>9</v>
      </c>
      <c r="D7970" s="11">
        <v>42614</v>
      </c>
      <c r="E7970" t="s">
        <v>2181</v>
      </c>
      <c r="F7970">
        <v>6</v>
      </c>
      <c r="G7970" t="s">
        <v>57</v>
      </c>
      <c r="H7970" t="s">
        <v>40</v>
      </c>
      <c r="I7970" t="s">
        <v>2188</v>
      </c>
      <c r="J7970" s="10">
        <v>2</v>
      </c>
      <c r="K7970" t="b">
        <v>1</v>
      </c>
    </row>
    <row r="7971" spans="1:11">
      <c r="A7971" s="12">
        <v>42637</v>
      </c>
      <c r="B7971">
        <v>2016</v>
      </c>
      <c r="C7971">
        <v>9</v>
      </c>
      <c r="D7971" s="11">
        <v>42614</v>
      </c>
      <c r="E7971" t="s">
        <v>2181</v>
      </c>
      <c r="F7971">
        <v>6</v>
      </c>
      <c r="G7971" t="s">
        <v>57</v>
      </c>
      <c r="H7971" t="s">
        <v>41</v>
      </c>
      <c r="I7971" t="s">
        <v>2189</v>
      </c>
      <c r="J7971" s="10">
        <v>3.779</v>
      </c>
      <c r="K7971" t="b">
        <v>1</v>
      </c>
    </row>
    <row r="7972" spans="1:11">
      <c r="A7972" s="12">
        <v>42637</v>
      </c>
      <c r="B7972">
        <v>2016</v>
      </c>
      <c r="C7972">
        <v>9</v>
      </c>
      <c r="D7972" s="11">
        <v>42614</v>
      </c>
      <c r="E7972" t="s">
        <v>2181</v>
      </c>
      <c r="F7972">
        <v>6</v>
      </c>
      <c r="G7972" t="s">
        <v>57</v>
      </c>
      <c r="H7972" t="s">
        <v>42</v>
      </c>
      <c r="I7972" t="s">
        <v>2190</v>
      </c>
      <c r="J7972" s="10">
        <v>6.2</v>
      </c>
      <c r="K7972" t="b">
        <v>1</v>
      </c>
    </row>
    <row r="7973" spans="1:11">
      <c r="A7973" s="12">
        <v>42637</v>
      </c>
      <c r="B7973">
        <v>2016</v>
      </c>
      <c r="C7973">
        <v>9</v>
      </c>
      <c r="D7973" s="11">
        <v>42614</v>
      </c>
      <c r="E7973" t="s">
        <v>2181</v>
      </c>
      <c r="F7973">
        <v>6</v>
      </c>
      <c r="G7973" t="s">
        <v>57</v>
      </c>
      <c r="H7973" t="s">
        <v>43</v>
      </c>
      <c r="I7973" t="s">
        <v>2191</v>
      </c>
      <c r="J7973" s="10">
        <v>61.2</v>
      </c>
      <c r="K7973" t="b">
        <v>1</v>
      </c>
    </row>
    <row r="7974" spans="1:11">
      <c r="A7974" s="12">
        <v>42637</v>
      </c>
      <c r="B7974">
        <v>2016</v>
      </c>
      <c r="C7974">
        <v>9</v>
      </c>
      <c r="D7974" s="11">
        <v>42614</v>
      </c>
      <c r="E7974" t="s">
        <v>2181</v>
      </c>
      <c r="F7974">
        <v>6</v>
      </c>
      <c r="G7974" t="s">
        <v>57</v>
      </c>
      <c r="H7974" t="s">
        <v>44</v>
      </c>
      <c r="I7974" t="s">
        <v>2192</v>
      </c>
      <c r="J7974" s="10">
        <v>8</v>
      </c>
      <c r="K7974" t="b">
        <v>1</v>
      </c>
    </row>
    <row r="7975" spans="1:11">
      <c r="A7975" s="12">
        <v>42637</v>
      </c>
      <c r="B7975">
        <v>2016</v>
      </c>
      <c r="C7975">
        <v>9</v>
      </c>
      <c r="D7975" s="11">
        <v>42614</v>
      </c>
      <c r="E7975" t="s">
        <v>2181</v>
      </c>
      <c r="F7975">
        <v>6</v>
      </c>
      <c r="G7975" t="s">
        <v>57</v>
      </c>
      <c r="H7975" t="s">
        <v>45</v>
      </c>
      <c r="I7975" t="s">
        <v>2193</v>
      </c>
      <c r="J7975" s="10">
        <v>0</v>
      </c>
      <c r="K7975" t="b">
        <v>1</v>
      </c>
    </row>
    <row r="7976" spans="1:11">
      <c r="A7976" s="12">
        <v>42637</v>
      </c>
      <c r="B7976">
        <v>2016</v>
      </c>
      <c r="C7976">
        <v>9</v>
      </c>
      <c r="D7976" s="11">
        <v>42614</v>
      </c>
      <c r="E7976" t="s">
        <v>2181</v>
      </c>
      <c r="F7976">
        <v>6</v>
      </c>
      <c r="G7976" t="s">
        <v>57</v>
      </c>
      <c r="H7976" t="s">
        <v>46</v>
      </c>
      <c r="I7976" t="s">
        <v>2194</v>
      </c>
      <c r="J7976" s="10">
        <v>1</v>
      </c>
      <c r="K7976" t="b">
        <v>1</v>
      </c>
    </row>
    <row r="7977" spans="1:11">
      <c r="A7977" s="12">
        <v>42637</v>
      </c>
      <c r="B7977">
        <v>2016</v>
      </c>
      <c r="C7977">
        <v>9</v>
      </c>
      <c r="D7977" s="11">
        <v>42614</v>
      </c>
      <c r="E7977" t="s">
        <v>2181</v>
      </c>
      <c r="F7977">
        <v>6</v>
      </c>
      <c r="G7977" t="s">
        <v>57</v>
      </c>
      <c r="H7977" t="s">
        <v>47</v>
      </c>
      <c r="I7977" t="s">
        <v>2195</v>
      </c>
      <c r="J7977" s="10">
        <v>1</v>
      </c>
      <c r="K7977" t="b">
        <v>1</v>
      </c>
    </row>
    <row r="7978" spans="1:11">
      <c r="A7978" s="12">
        <v>42638</v>
      </c>
      <c r="B7978">
        <v>2016</v>
      </c>
      <c r="C7978">
        <v>9</v>
      </c>
      <c r="D7978" s="11">
        <v>42614</v>
      </c>
      <c r="E7978" t="s">
        <v>2181</v>
      </c>
      <c r="F7978">
        <v>7</v>
      </c>
      <c r="G7978" t="s">
        <v>59</v>
      </c>
      <c r="H7978" t="s">
        <v>40</v>
      </c>
      <c r="I7978" t="s">
        <v>2188</v>
      </c>
      <c r="J7978" s="10">
        <v>6</v>
      </c>
      <c r="K7978" t="b">
        <v>1</v>
      </c>
    </row>
    <row r="7979" spans="1:11">
      <c r="A7979" s="12">
        <v>42638</v>
      </c>
      <c r="B7979">
        <v>2016</v>
      </c>
      <c r="C7979">
        <v>9</v>
      </c>
      <c r="D7979" s="11">
        <v>42614</v>
      </c>
      <c r="E7979" t="s">
        <v>2181</v>
      </c>
      <c r="F7979">
        <v>7</v>
      </c>
      <c r="G7979" t="s">
        <v>59</v>
      </c>
      <c r="H7979" t="s">
        <v>41</v>
      </c>
      <c r="I7979" t="s">
        <v>2189</v>
      </c>
      <c r="J7979" s="10">
        <v>4.33</v>
      </c>
      <c r="K7979" t="b">
        <v>1</v>
      </c>
    </row>
    <row r="7980" spans="1:11">
      <c r="A7980" s="12">
        <v>42638</v>
      </c>
      <c r="B7980">
        <v>2016</v>
      </c>
      <c r="C7980">
        <v>9</v>
      </c>
      <c r="D7980" s="11">
        <v>42614</v>
      </c>
      <c r="E7980" t="s">
        <v>2181</v>
      </c>
      <c r="F7980">
        <v>7</v>
      </c>
      <c r="G7980" t="s">
        <v>59</v>
      </c>
      <c r="H7980" t="s">
        <v>42</v>
      </c>
      <c r="I7980" t="s">
        <v>2190</v>
      </c>
      <c r="J7980" s="10">
        <v>3</v>
      </c>
      <c r="K7980" t="b">
        <v>1</v>
      </c>
    </row>
    <row r="7981" spans="1:11">
      <c r="A7981" s="12">
        <v>42638</v>
      </c>
      <c r="B7981">
        <v>2016</v>
      </c>
      <c r="C7981">
        <v>9</v>
      </c>
      <c r="D7981" s="11">
        <v>42614</v>
      </c>
      <c r="E7981" t="s">
        <v>2181</v>
      </c>
      <c r="F7981">
        <v>7</v>
      </c>
      <c r="G7981" t="s">
        <v>59</v>
      </c>
      <c r="H7981" t="s">
        <v>43</v>
      </c>
      <c r="I7981" t="s">
        <v>2191</v>
      </c>
      <c r="J7981" s="10">
        <v>61.125</v>
      </c>
      <c r="K7981" t="b">
        <v>1</v>
      </c>
    </row>
    <row r="7982" spans="1:11">
      <c r="A7982" s="12">
        <v>42638</v>
      </c>
      <c r="B7982">
        <v>2016</v>
      </c>
      <c r="C7982">
        <v>9</v>
      </c>
      <c r="D7982" s="11">
        <v>42614</v>
      </c>
      <c r="E7982" t="s">
        <v>2181</v>
      </c>
      <c r="F7982">
        <v>7</v>
      </c>
      <c r="G7982" t="s">
        <v>59</v>
      </c>
      <c r="H7982" t="s">
        <v>44</v>
      </c>
      <c r="I7982" t="s">
        <v>2192</v>
      </c>
      <c r="J7982" s="10">
        <v>3</v>
      </c>
      <c r="K7982" t="b">
        <v>1</v>
      </c>
    </row>
    <row r="7983" spans="1:11">
      <c r="A7983" s="12">
        <v>42638</v>
      </c>
      <c r="B7983">
        <v>2016</v>
      </c>
      <c r="C7983">
        <v>9</v>
      </c>
      <c r="D7983" s="11">
        <v>42614</v>
      </c>
      <c r="E7983" t="s">
        <v>2181</v>
      </c>
      <c r="F7983">
        <v>7</v>
      </c>
      <c r="G7983" t="s">
        <v>59</v>
      </c>
      <c r="H7983" t="s">
        <v>45</v>
      </c>
      <c r="I7983" t="s">
        <v>2193</v>
      </c>
      <c r="J7983" s="10">
        <v>0</v>
      </c>
      <c r="K7983" t="b">
        <v>1</v>
      </c>
    </row>
    <row r="7984" spans="1:11">
      <c r="A7984" s="12">
        <v>42638</v>
      </c>
      <c r="B7984">
        <v>2016</v>
      </c>
      <c r="C7984">
        <v>9</v>
      </c>
      <c r="D7984" s="11">
        <v>42614</v>
      </c>
      <c r="E7984" t="s">
        <v>2181</v>
      </c>
      <c r="F7984">
        <v>7</v>
      </c>
      <c r="G7984" t="s">
        <v>59</v>
      </c>
      <c r="H7984" t="s">
        <v>46</v>
      </c>
      <c r="I7984" t="s">
        <v>2194</v>
      </c>
      <c r="J7984" s="10">
        <v>10</v>
      </c>
      <c r="K7984" t="b">
        <v>1</v>
      </c>
    </row>
    <row r="7985" spans="1:11">
      <c r="A7985" s="12">
        <v>42638</v>
      </c>
      <c r="B7985">
        <v>2016</v>
      </c>
      <c r="C7985">
        <v>9</v>
      </c>
      <c r="D7985" s="11">
        <v>42614</v>
      </c>
      <c r="E7985" t="s">
        <v>2181</v>
      </c>
      <c r="F7985">
        <v>7</v>
      </c>
      <c r="G7985" t="s">
        <v>59</v>
      </c>
      <c r="H7985" t="s">
        <v>47</v>
      </c>
      <c r="I7985" t="s">
        <v>2195</v>
      </c>
      <c r="J7985" s="10">
        <v>2</v>
      </c>
      <c r="K7985" t="b">
        <v>1</v>
      </c>
    </row>
    <row r="7986" spans="1:11">
      <c r="A7986" s="12">
        <v>42639</v>
      </c>
      <c r="B7986">
        <v>2016</v>
      </c>
      <c r="C7986">
        <v>9</v>
      </c>
      <c r="D7986" s="11">
        <v>42614</v>
      </c>
      <c r="E7986" t="s">
        <v>2181</v>
      </c>
      <c r="F7986">
        <v>1</v>
      </c>
      <c r="G7986" t="s">
        <v>61</v>
      </c>
      <c r="H7986" t="s">
        <v>40</v>
      </c>
      <c r="I7986" t="s">
        <v>2188</v>
      </c>
      <c r="J7986" s="10">
        <v>5.99</v>
      </c>
      <c r="K7986" t="b">
        <v>1</v>
      </c>
    </row>
    <row r="7987" spans="1:11">
      <c r="A7987" s="12">
        <v>42639</v>
      </c>
      <c r="B7987">
        <v>2016</v>
      </c>
      <c r="C7987">
        <v>9</v>
      </c>
      <c r="D7987" s="11">
        <v>42614</v>
      </c>
      <c r="E7987" t="s">
        <v>2181</v>
      </c>
      <c r="F7987">
        <v>1</v>
      </c>
      <c r="G7987" t="s">
        <v>61</v>
      </c>
      <c r="H7987" t="s">
        <v>41</v>
      </c>
      <c r="I7987" t="s">
        <v>2189</v>
      </c>
      <c r="J7987" s="10">
        <v>1</v>
      </c>
      <c r="K7987" t="b">
        <v>1</v>
      </c>
    </row>
    <row r="7988" spans="1:11">
      <c r="A7988" s="12">
        <v>42639</v>
      </c>
      <c r="B7988">
        <v>2016</v>
      </c>
      <c r="C7988">
        <v>9</v>
      </c>
      <c r="D7988" s="11">
        <v>42614</v>
      </c>
      <c r="E7988" t="s">
        <v>2181</v>
      </c>
      <c r="F7988">
        <v>1</v>
      </c>
      <c r="G7988" t="s">
        <v>61</v>
      </c>
      <c r="H7988" t="s">
        <v>42</v>
      </c>
      <c r="I7988" t="s">
        <v>2190</v>
      </c>
      <c r="J7988" s="10">
        <v>4</v>
      </c>
      <c r="K7988" t="b">
        <v>1</v>
      </c>
    </row>
    <row r="7989" spans="1:11">
      <c r="A7989" s="12">
        <v>42639</v>
      </c>
      <c r="B7989">
        <v>2016</v>
      </c>
      <c r="C7989">
        <v>9</v>
      </c>
      <c r="D7989" s="11">
        <v>42614</v>
      </c>
      <c r="E7989" t="s">
        <v>2181</v>
      </c>
      <c r="F7989">
        <v>1</v>
      </c>
      <c r="G7989" t="s">
        <v>61</v>
      </c>
      <c r="H7989" t="s">
        <v>43</v>
      </c>
      <c r="I7989" t="s">
        <v>2191</v>
      </c>
      <c r="J7989" s="10">
        <v>57.6</v>
      </c>
      <c r="K7989" t="b">
        <v>1</v>
      </c>
    </row>
    <row r="7990" spans="1:11">
      <c r="A7990" s="12">
        <v>42639</v>
      </c>
      <c r="B7990">
        <v>2016</v>
      </c>
      <c r="C7990">
        <v>9</v>
      </c>
      <c r="D7990" s="11">
        <v>42614</v>
      </c>
      <c r="E7990" t="s">
        <v>2181</v>
      </c>
      <c r="F7990">
        <v>1</v>
      </c>
      <c r="G7990" t="s">
        <v>61</v>
      </c>
      <c r="H7990" t="s">
        <v>44</v>
      </c>
      <c r="I7990" t="s">
        <v>2192</v>
      </c>
      <c r="J7990" s="10">
        <v>4</v>
      </c>
      <c r="K7990" t="b">
        <v>1</v>
      </c>
    </row>
    <row r="7991" spans="1:11">
      <c r="A7991" s="12">
        <v>42639</v>
      </c>
      <c r="B7991">
        <v>2016</v>
      </c>
      <c r="C7991">
        <v>9</v>
      </c>
      <c r="D7991" s="11">
        <v>42614</v>
      </c>
      <c r="E7991" t="s">
        <v>2181</v>
      </c>
      <c r="F7991">
        <v>1</v>
      </c>
      <c r="G7991" t="s">
        <v>61</v>
      </c>
      <c r="H7991" t="s">
        <v>45</v>
      </c>
      <c r="I7991" t="s">
        <v>2193</v>
      </c>
      <c r="J7991" s="10">
        <v>2</v>
      </c>
      <c r="K7991" t="b">
        <v>1</v>
      </c>
    </row>
    <row r="7992" spans="1:11">
      <c r="A7992" s="12">
        <v>42639</v>
      </c>
      <c r="B7992">
        <v>2016</v>
      </c>
      <c r="C7992">
        <v>9</v>
      </c>
      <c r="D7992" s="11">
        <v>42614</v>
      </c>
      <c r="E7992" t="s">
        <v>2181</v>
      </c>
      <c r="F7992">
        <v>1</v>
      </c>
      <c r="G7992" t="s">
        <v>61</v>
      </c>
      <c r="H7992" t="s">
        <v>46</v>
      </c>
      <c r="I7992" t="s">
        <v>2194</v>
      </c>
      <c r="J7992" s="10">
        <v>4</v>
      </c>
      <c r="K7992" t="b">
        <v>1</v>
      </c>
    </row>
    <row r="7993" spans="1:11">
      <c r="A7993" s="12">
        <v>42639</v>
      </c>
      <c r="B7993">
        <v>2016</v>
      </c>
      <c r="C7993">
        <v>9</v>
      </c>
      <c r="D7993" s="11">
        <v>42614</v>
      </c>
      <c r="E7993" t="s">
        <v>2181</v>
      </c>
      <c r="F7993">
        <v>1</v>
      </c>
      <c r="G7993" t="s">
        <v>61</v>
      </c>
      <c r="H7993" t="s">
        <v>47</v>
      </c>
      <c r="I7993" t="s">
        <v>2195</v>
      </c>
      <c r="J7993" s="10">
        <v>1</v>
      </c>
      <c r="K7993" t="b">
        <v>1</v>
      </c>
    </row>
    <row r="7994" spans="1:11">
      <c r="A7994" s="12">
        <v>42640</v>
      </c>
      <c r="B7994">
        <v>2016</v>
      </c>
      <c r="C7994">
        <v>9</v>
      </c>
      <c r="D7994" s="11">
        <v>42614</v>
      </c>
      <c r="E7994" t="s">
        <v>2181</v>
      </c>
      <c r="F7994">
        <v>2</v>
      </c>
      <c r="G7994" t="s">
        <v>63</v>
      </c>
      <c r="H7994" t="s">
        <v>40</v>
      </c>
      <c r="I7994" t="s">
        <v>2188</v>
      </c>
      <c r="J7994" s="10">
        <v>7</v>
      </c>
      <c r="K7994" t="b">
        <v>1</v>
      </c>
    </row>
    <row r="7995" spans="1:11">
      <c r="A7995" s="12">
        <v>42640</v>
      </c>
      <c r="B7995">
        <v>2016</v>
      </c>
      <c r="C7995">
        <v>9</v>
      </c>
      <c r="D7995" s="11">
        <v>42614</v>
      </c>
      <c r="E7995" t="s">
        <v>2181</v>
      </c>
      <c r="F7995">
        <v>2</v>
      </c>
      <c r="G7995" t="s">
        <v>63</v>
      </c>
      <c r="H7995" t="s">
        <v>41</v>
      </c>
      <c r="I7995" t="s">
        <v>2189</v>
      </c>
      <c r="J7995" s="10">
        <v>4.67</v>
      </c>
      <c r="K7995" t="b">
        <v>1</v>
      </c>
    </row>
    <row r="7996" spans="1:11">
      <c r="A7996" s="12">
        <v>42640</v>
      </c>
      <c r="B7996">
        <v>2016</v>
      </c>
      <c r="C7996">
        <v>9</v>
      </c>
      <c r="D7996" s="11">
        <v>42614</v>
      </c>
      <c r="E7996" t="s">
        <v>2181</v>
      </c>
      <c r="F7996">
        <v>2</v>
      </c>
      <c r="G7996" t="s">
        <v>63</v>
      </c>
      <c r="H7996" t="s">
        <v>42</v>
      </c>
      <c r="I7996" t="s">
        <v>2190</v>
      </c>
      <c r="J7996" s="10">
        <v>7.4</v>
      </c>
      <c r="K7996" t="b">
        <v>1</v>
      </c>
    </row>
    <row r="7997" spans="1:11">
      <c r="A7997" s="12">
        <v>42640</v>
      </c>
      <c r="B7997">
        <v>2016</v>
      </c>
      <c r="C7997">
        <v>9</v>
      </c>
      <c r="D7997" s="11">
        <v>42614</v>
      </c>
      <c r="E7997" t="s">
        <v>2181</v>
      </c>
      <c r="F7997">
        <v>2</v>
      </c>
      <c r="G7997" t="s">
        <v>63</v>
      </c>
      <c r="H7997" t="s">
        <v>43</v>
      </c>
      <c r="I7997" t="s">
        <v>2191</v>
      </c>
      <c r="J7997" s="10">
        <v>51.7</v>
      </c>
      <c r="K7997" t="b">
        <v>1</v>
      </c>
    </row>
    <row r="7998" spans="1:11">
      <c r="A7998" s="12">
        <v>42640</v>
      </c>
      <c r="B7998">
        <v>2016</v>
      </c>
      <c r="C7998">
        <v>9</v>
      </c>
      <c r="D7998" s="11">
        <v>42614</v>
      </c>
      <c r="E7998" t="s">
        <v>2181</v>
      </c>
      <c r="F7998">
        <v>2</v>
      </c>
      <c r="G7998" t="s">
        <v>63</v>
      </c>
      <c r="H7998" t="s">
        <v>44</v>
      </c>
      <c r="I7998" t="s">
        <v>2192</v>
      </c>
      <c r="J7998" s="10">
        <v>17</v>
      </c>
      <c r="K7998" t="b">
        <v>1</v>
      </c>
    </row>
    <row r="7999" spans="1:11">
      <c r="A7999" s="12">
        <v>42640</v>
      </c>
      <c r="B7999">
        <v>2016</v>
      </c>
      <c r="C7999">
        <v>9</v>
      </c>
      <c r="D7999" s="11">
        <v>42614</v>
      </c>
      <c r="E7999" t="s">
        <v>2181</v>
      </c>
      <c r="F7999">
        <v>2</v>
      </c>
      <c r="G7999" t="s">
        <v>63</v>
      </c>
      <c r="H7999" t="s">
        <v>45</v>
      </c>
      <c r="I7999" t="s">
        <v>2193</v>
      </c>
      <c r="J7999" s="10">
        <v>3</v>
      </c>
      <c r="K7999" t="b">
        <v>1</v>
      </c>
    </row>
    <row r="8000" spans="1:11">
      <c r="A8000" s="12">
        <v>42640</v>
      </c>
      <c r="B8000">
        <v>2016</v>
      </c>
      <c r="C8000">
        <v>9</v>
      </c>
      <c r="D8000" s="11">
        <v>42614</v>
      </c>
      <c r="E8000" t="s">
        <v>2181</v>
      </c>
      <c r="F8000">
        <v>2</v>
      </c>
      <c r="G8000" t="s">
        <v>63</v>
      </c>
      <c r="H8000" t="s">
        <v>46</v>
      </c>
      <c r="I8000" t="s">
        <v>2194</v>
      </c>
      <c r="J8000" s="10">
        <v>1</v>
      </c>
      <c r="K8000" t="b">
        <v>1</v>
      </c>
    </row>
    <row r="8001" spans="1:11">
      <c r="A8001" s="12">
        <v>42640</v>
      </c>
      <c r="B8001">
        <v>2016</v>
      </c>
      <c r="C8001">
        <v>9</v>
      </c>
      <c r="D8001" s="11">
        <v>42614</v>
      </c>
      <c r="E8001" t="s">
        <v>2181</v>
      </c>
      <c r="F8001">
        <v>2</v>
      </c>
      <c r="G8001" t="s">
        <v>63</v>
      </c>
      <c r="H8001" t="s">
        <v>47</v>
      </c>
      <c r="I8001" t="s">
        <v>2195</v>
      </c>
      <c r="J8001" s="10">
        <v>3</v>
      </c>
      <c r="K8001" t="b">
        <v>1</v>
      </c>
    </row>
    <row r="8002" spans="1:11">
      <c r="A8002" s="12">
        <v>42641</v>
      </c>
      <c r="B8002">
        <v>2016</v>
      </c>
      <c r="C8002">
        <v>9</v>
      </c>
      <c r="D8002" s="11">
        <v>42614</v>
      </c>
      <c r="E8002" t="s">
        <v>2181</v>
      </c>
      <c r="F8002">
        <v>3</v>
      </c>
      <c r="G8002" t="s">
        <v>65</v>
      </c>
      <c r="H8002" t="s">
        <v>40</v>
      </c>
      <c r="I8002" t="s">
        <v>2188</v>
      </c>
      <c r="J8002" s="10">
        <v>13.68</v>
      </c>
      <c r="K8002" t="b">
        <v>1</v>
      </c>
    </row>
    <row r="8003" spans="1:11">
      <c r="A8003" s="12">
        <v>42641</v>
      </c>
      <c r="B8003">
        <v>2016</v>
      </c>
      <c r="C8003">
        <v>9</v>
      </c>
      <c r="D8003" s="11">
        <v>42614</v>
      </c>
      <c r="E8003" t="s">
        <v>2181</v>
      </c>
      <c r="F8003">
        <v>3</v>
      </c>
      <c r="G8003" t="s">
        <v>65</v>
      </c>
      <c r="H8003" t="s">
        <v>41</v>
      </c>
      <c r="I8003" t="s">
        <v>2189</v>
      </c>
      <c r="J8003" s="10">
        <v>1.802</v>
      </c>
      <c r="K8003" t="b">
        <v>1</v>
      </c>
    </row>
    <row r="8004" spans="1:11">
      <c r="A8004" s="12">
        <v>42641</v>
      </c>
      <c r="B8004">
        <v>2016</v>
      </c>
      <c r="C8004">
        <v>9</v>
      </c>
      <c r="D8004" s="11">
        <v>42614</v>
      </c>
      <c r="E8004" t="s">
        <v>2181</v>
      </c>
      <c r="F8004">
        <v>3</v>
      </c>
      <c r="G8004" t="s">
        <v>65</v>
      </c>
      <c r="H8004" t="s">
        <v>42</v>
      </c>
      <c r="I8004" t="s">
        <v>2190</v>
      </c>
      <c r="J8004" s="10">
        <v>5.45</v>
      </c>
      <c r="K8004" t="b">
        <v>1</v>
      </c>
    </row>
    <row r="8005" spans="1:11">
      <c r="A8005" s="12">
        <v>42641</v>
      </c>
      <c r="B8005">
        <v>2016</v>
      </c>
      <c r="C8005">
        <v>9</v>
      </c>
      <c r="D8005" s="11">
        <v>42614</v>
      </c>
      <c r="E8005" t="s">
        <v>2181</v>
      </c>
      <c r="F8005">
        <v>3</v>
      </c>
      <c r="G8005" t="s">
        <v>65</v>
      </c>
      <c r="H8005" t="s">
        <v>43</v>
      </c>
      <c r="I8005" t="s">
        <v>2191</v>
      </c>
      <c r="J8005" s="10">
        <v>64.5</v>
      </c>
      <c r="K8005" t="b">
        <v>1</v>
      </c>
    </row>
    <row r="8006" spans="1:11">
      <c r="A8006" s="12">
        <v>42641</v>
      </c>
      <c r="B8006">
        <v>2016</v>
      </c>
      <c r="C8006">
        <v>9</v>
      </c>
      <c r="D8006" s="11">
        <v>42614</v>
      </c>
      <c r="E8006" t="s">
        <v>2181</v>
      </c>
      <c r="F8006">
        <v>3</v>
      </c>
      <c r="G8006" t="s">
        <v>65</v>
      </c>
      <c r="H8006" t="s">
        <v>44</v>
      </c>
      <c r="I8006" t="s">
        <v>2192</v>
      </c>
      <c r="J8006" s="10">
        <v>3</v>
      </c>
      <c r="K8006" t="b">
        <v>1</v>
      </c>
    </row>
    <row r="8007" spans="1:11">
      <c r="A8007" s="12">
        <v>42641</v>
      </c>
      <c r="B8007">
        <v>2016</v>
      </c>
      <c r="C8007">
        <v>9</v>
      </c>
      <c r="D8007" s="11">
        <v>42614</v>
      </c>
      <c r="E8007" t="s">
        <v>2181</v>
      </c>
      <c r="F8007">
        <v>3</v>
      </c>
      <c r="G8007" t="s">
        <v>65</v>
      </c>
      <c r="H8007" t="s">
        <v>45</v>
      </c>
      <c r="I8007" t="s">
        <v>2193</v>
      </c>
      <c r="J8007" s="10">
        <v>0</v>
      </c>
      <c r="K8007" t="b">
        <v>1</v>
      </c>
    </row>
    <row r="8008" spans="1:11">
      <c r="A8008" s="12">
        <v>42641</v>
      </c>
      <c r="B8008">
        <v>2016</v>
      </c>
      <c r="C8008">
        <v>9</v>
      </c>
      <c r="D8008" s="11">
        <v>42614</v>
      </c>
      <c r="E8008" t="s">
        <v>2181</v>
      </c>
      <c r="F8008">
        <v>3</v>
      </c>
      <c r="G8008" t="s">
        <v>65</v>
      </c>
      <c r="H8008" t="s">
        <v>46</v>
      </c>
      <c r="I8008" t="s">
        <v>2194</v>
      </c>
      <c r="J8008" s="10">
        <v>0</v>
      </c>
      <c r="K8008" t="b">
        <v>1</v>
      </c>
    </row>
    <row r="8009" spans="1:11">
      <c r="A8009" s="12">
        <v>42641</v>
      </c>
      <c r="B8009">
        <v>2016</v>
      </c>
      <c r="C8009">
        <v>9</v>
      </c>
      <c r="D8009" s="11">
        <v>42614</v>
      </c>
      <c r="E8009" t="s">
        <v>2181</v>
      </c>
      <c r="F8009">
        <v>3</v>
      </c>
      <c r="G8009" t="s">
        <v>65</v>
      </c>
      <c r="H8009" t="s">
        <v>47</v>
      </c>
      <c r="I8009" t="s">
        <v>2195</v>
      </c>
      <c r="J8009" s="10">
        <v>4</v>
      </c>
      <c r="K8009" t="b">
        <v>1</v>
      </c>
    </row>
    <row r="8010" spans="1:11">
      <c r="A8010" s="12">
        <v>42642</v>
      </c>
      <c r="B8010">
        <v>2016</v>
      </c>
      <c r="C8010">
        <v>9</v>
      </c>
      <c r="D8010" s="11">
        <v>42614</v>
      </c>
      <c r="E8010" t="s">
        <v>2181</v>
      </c>
      <c r="F8010">
        <v>4</v>
      </c>
      <c r="G8010" t="s">
        <v>53</v>
      </c>
      <c r="H8010" t="s">
        <v>40</v>
      </c>
      <c r="I8010" t="s">
        <v>2188</v>
      </c>
      <c r="J8010" s="10">
        <v>7.33</v>
      </c>
      <c r="K8010" t="b">
        <v>1</v>
      </c>
    </row>
    <row r="8011" spans="1:11">
      <c r="A8011" s="12">
        <v>42642</v>
      </c>
      <c r="B8011">
        <v>2016</v>
      </c>
      <c r="C8011">
        <v>9</v>
      </c>
      <c r="D8011" s="11">
        <v>42614</v>
      </c>
      <c r="E8011" t="s">
        <v>2181</v>
      </c>
      <c r="F8011">
        <v>4</v>
      </c>
      <c r="G8011" t="s">
        <v>53</v>
      </c>
      <c r="H8011" t="s">
        <v>41</v>
      </c>
      <c r="I8011" t="s">
        <v>2189</v>
      </c>
      <c r="J8011" s="10">
        <v>2</v>
      </c>
      <c r="K8011" t="b">
        <v>1</v>
      </c>
    </row>
    <row r="8012" spans="1:11">
      <c r="A8012" s="12">
        <v>42642</v>
      </c>
      <c r="B8012">
        <v>2016</v>
      </c>
      <c r="C8012">
        <v>9</v>
      </c>
      <c r="D8012" s="11">
        <v>42614</v>
      </c>
      <c r="E8012" t="s">
        <v>2181</v>
      </c>
      <c r="F8012">
        <v>4</v>
      </c>
      <c r="G8012" t="s">
        <v>53</v>
      </c>
      <c r="H8012" t="s">
        <v>42</v>
      </c>
      <c r="I8012" t="s">
        <v>2190</v>
      </c>
      <c r="J8012" s="10">
        <v>4</v>
      </c>
      <c r="K8012" t="b">
        <v>1</v>
      </c>
    </row>
    <row r="8013" spans="1:11">
      <c r="A8013" s="12">
        <v>42642</v>
      </c>
      <c r="B8013">
        <v>2016</v>
      </c>
      <c r="C8013">
        <v>9</v>
      </c>
      <c r="D8013" s="11">
        <v>42614</v>
      </c>
      <c r="E8013" t="s">
        <v>2181</v>
      </c>
      <c r="F8013">
        <v>4</v>
      </c>
      <c r="G8013" t="s">
        <v>53</v>
      </c>
      <c r="H8013" t="s">
        <v>43</v>
      </c>
      <c r="I8013" t="s">
        <v>2191</v>
      </c>
      <c r="J8013" s="10">
        <v>50.6</v>
      </c>
      <c r="K8013" t="b">
        <v>1</v>
      </c>
    </row>
    <row r="8014" spans="1:11">
      <c r="A8014" s="12">
        <v>42642</v>
      </c>
      <c r="B8014">
        <v>2016</v>
      </c>
      <c r="C8014">
        <v>9</v>
      </c>
      <c r="D8014" s="11">
        <v>42614</v>
      </c>
      <c r="E8014" t="s">
        <v>2181</v>
      </c>
      <c r="F8014">
        <v>4</v>
      </c>
      <c r="G8014" t="s">
        <v>53</v>
      </c>
      <c r="H8014" t="s">
        <v>44</v>
      </c>
      <c r="I8014" t="s">
        <v>2192</v>
      </c>
      <c r="J8014" s="10">
        <v>4</v>
      </c>
      <c r="K8014" t="b">
        <v>1</v>
      </c>
    </row>
    <row r="8015" spans="1:11">
      <c r="A8015" s="12">
        <v>42642</v>
      </c>
      <c r="B8015">
        <v>2016</v>
      </c>
      <c r="C8015">
        <v>9</v>
      </c>
      <c r="D8015" s="11">
        <v>42614</v>
      </c>
      <c r="E8015" t="s">
        <v>2181</v>
      </c>
      <c r="F8015">
        <v>4</v>
      </c>
      <c r="G8015" t="s">
        <v>53</v>
      </c>
      <c r="H8015" t="s">
        <v>45</v>
      </c>
      <c r="I8015" t="s">
        <v>2193</v>
      </c>
      <c r="J8015" s="10">
        <v>0</v>
      </c>
      <c r="K8015" t="b">
        <v>1</v>
      </c>
    </row>
    <row r="8016" spans="1:11">
      <c r="A8016" s="12">
        <v>42642</v>
      </c>
      <c r="B8016">
        <v>2016</v>
      </c>
      <c r="C8016">
        <v>9</v>
      </c>
      <c r="D8016" s="11">
        <v>42614</v>
      </c>
      <c r="E8016" t="s">
        <v>2181</v>
      </c>
      <c r="F8016">
        <v>4</v>
      </c>
      <c r="G8016" t="s">
        <v>53</v>
      </c>
      <c r="H8016" t="s">
        <v>46</v>
      </c>
      <c r="I8016" t="s">
        <v>2194</v>
      </c>
      <c r="J8016" s="10">
        <v>1</v>
      </c>
      <c r="K8016" t="b">
        <v>1</v>
      </c>
    </row>
    <row r="8017" spans="1:11">
      <c r="A8017" s="12">
        <v>42642</v>
      </c>
      <c r="B8017">
        <v>2016</v>
      </c>
      <c r="C8017">
        <v>9</v>
      </c>
      <c r="D8017" s="11">
        <v>42614</v>
      </c>
      <c r="E8017" t="s">
        <v>2181</v>
      </c>
      <c r="F8017">
        <v>4</v>
      </c>
      <c r="G8017" t="s">
        <v>53</v>
      </c>
      <c r="H8017" t="s">
        <v>47</v>
      </c>
      <c r="I8017" t="s">
        <v>2195</v>
      </c>
      <c r="J8017" s="10">
        <v>1.2</v>
      </c>
      <c r="K8017" t="b">
        <v>1</v>
      </c>
    </row>
    <row r="8018" spans="1:11">
      <c r="A8018" s="12">
        <v>42643</v>
      </c>
      <c r="B8018">
        <v>2016</v>
      </c>
      <c r="C8018">
        <v>9</v>
      </c>
      <c r="D8018" s="11">
        <v>42614</v>
      </c>
      <c r="E8018" t="s">
        <v>2181</v>
      </c>
      <c r="F8018">
        <v>5</v>
      </c>
      <c r="G8018" t="s">
        <v>55</v>
      </c>
      <c r="H8018" t="s">
        <v>40</v>
      </c>
      <c r="I8018" t="s">
        <v>2188</v>
      </c>
      <c r="J8018" s="10">
        <v>7</v>
      </c>
      <c r="K8018" t="b">
        <v>1</v>
      </c>
    </row>
    <row r="8019" spans="1:11">
      <c r="A8019" s="12">
        <v>42643</v>
      </c>
      <c r="B8019">
        <v>2016</v>
      </c>
      <c r="C8019">
        <v>9</v>
      </c>
      <c r="D8019" s="11">
        <v>42614</v>
      </c>
      <c r="E8019" t="s">
        <v>2181</v>
      </c>
      <c r="F8019">
        <v>5</v>
      </c>
      <c r="G8019" t="s">
        <v>55</v>
      </c>
      <c r="H8019" t="s">
        <v>41</v>
      </c>
      <c r="I8019" t="s">
        <v>2189</v>
      </c>
      <c r="J8019" s="10">
        <v>5</v>
      </c>
      <c r="K8019" t="b">
        <v>1</v>
      </c>
    </row>
    <row r="8020" spans="1:11">
      <c r="A8020" s="12">
        <v>42643</v>
      </c>
      <c r="B8020">
        <v>2016</v>
      </c>
      <c r="C8020">
        <v>9</v>
      </c>
      <c r="D8020" s="11">
        <v>42614</v>
      </c>
      <c r="E8020" t="s">
        <v>2181</v>
      </c>
      <c r="F8020">
        <v>5</v>
      </c>
      <c r="G8020" t="s">
        <v>55</v>
      </c>
      <c r="H8020" t="s">
        <v>42</v>
      </c>
      <c r="I8020" t="s">
        <v>2190</v>
      </c>
      <c r="J8020" s="10">
        <v>2.6</v>
      </c>
      <c r="K8020" t="b">
        <v>1</v>
      </c>
    </row>
    <row r="8021" spans="1:11">
      <c r="A8021" s="12">
        <v>42643</v>
      </c>
      <c r="B8021">
        <v>2016</v>
      </c>
      <c r="C8021">
        <v>9</v>
      </c>
      <c r="D8021" s="11">
        <v>42614</v>
      </c>
      <c r="E8021" t="s">
        <v>2181</v>
      </c>
      <c r="F8021">
        <v>5</v>
      </c>
      <c r="G8021" t="s">
        <v>55</v>
      </c>
      <c r="H8021" t="s">
        <v>43</v>
      </c>
      <c r="I8021" t="s">
        <v>2191</v>
      </c>
      <c r="J8021" s="10">
        <v>23.4</v>
      </c>
      <c r="K8021" t="b">
        <v>1</v>
      </c>
    </row>
    <row r="8022" spans="1:11">
      <c r="A8022" s="12">
        <v>42643</v>
      </c>
      <c r="B8022">
        <v>2016</v>
      </c>
      <c r="C8022">
        <v>9</v>
      </c>
      <c r="D8022" s="11">
        <v>42614</v>
      </c>
      <c r="E8022" t="s">
        <v>2181</v>
      </c>
      <c r="F8022">
        <v>5</v>
      </c>
      <c r="G8022" t="s">
        <v>55</v>
      </c>
      <c r="H8022" t="s">
        <v>44</v>
      </c>
      <c r="I8022" t="s">
        <v>2192</v>
      </c>
      <c r="J8022" s="10">
        <v>5</v>
      </c>
      <c r="K8022" t="b">
        <v>1</v>
      </c>
    </row>
    <row r="8023" spans="1:11">
      <c r="A8023" s="12">
        <v>42643</v>
      </c>
      <c r="B8023">
        <v>2016</v>
      </c>
      <c r="C8023">
        <v>9</v>
      </c>
      <c r="D8023" s="11">
        <v>42614</v>
      </c>
      <c r="E8023" t="s">
        <v>2181</v>
      </c>
      <c r="F8023">
        <v>5</v>
      </c>
      <c r="G8023" t="s">
        <v>55</v>
      </c>
      <c r="H8023" t="s">
        <v>45</v>
      </c>
      <c r="I8023" t="s">
        <v>2193</v>
      </c>
      <c r="J8023" s="10">
        <v>0</v>
      </c>
      <c r="K8023" t="b">
        <v>1</v>
      </c>
    </row>
    <row r="8024" spans="1:11">
      <c r="A8024" s="12">
        <v>42643</v>
      </c>
      <c r="B8024">
        <v>2016</v>
      </c>
      <c r="C8024">
        <v>9</v>
      </c>
      <c r="D8024" s="11">
        <v>42614</v>
      </c>
      <c r="E8024" t="s">
        <v>2181</v>
      </c>
      <c r="F8024">
        <v>5</v>
      </c>
      <c r="G8024" t="s">
        <v>55</v>
      </c>
      <c r="H8024" t="s">
        <v>46</v>
      </c>
      <c r="I8024" t="s">
        <v>2194</v>
      </c>
      <c r="J8024" s="10">
        <v>10</v>
      </c>
      <c r="K8024" t="b">
        <v>1</v>
      </c>
    </row>
    <row r="8025" spans="1:11">
      <c r="A8025" s="12">
        <v>42643</v>
      </c>
      <c r="B8025">
        <v>2016</v>
      </c>
      <c r="C8025">
        <v>9</v>
      </c>
      <c r="D8025" s="11">
        <v>42614</v>
      </c>
      <c r="E8025" t="s">
        <v>2181</v>
      </c>
      <c r="F8025">
        <v>5</v>
      </c>
      <c r="G8025" t="s">
        <v>55</v>
      </c>
      <c r="H8025" t="s">
        <v>47</v>
      </c>
      <c r="I8025" t="s">
        <v>2195</v>
      </c>
      <c r="J8025" s="10">
        <v>3</v>
      </c>
      <c r="K8025" t="b">
        <v>1</v>
      </c>
    </row>
    <row r="8026" spans="1:11">
      <c r="A8026" s="12">
        <v>42644</v>
      </c>
      <c r="B8026">
        <v>2016</v>
      </c>
      <c r="C8026">
        <v>10</v>
      </c>
      <c r="D8026" s="11">
        <v>42644</v>
      </c>
      <c r="E8026" t="s">
        <v>2182</v>
      </c>
      <c r="F8026">
        <v>6</v>
      </c>
      <c r="G8026" t="s">
        <v>57</v>
      </c>
      <c r="H8026" t="s">
        <v>40</v>
      </c>
      <c r="I8026" t="s">
        <v>2188</v>
      </c>
      <c r="J8026" s="10">
        <v>7.33</v>
      </c>
      <c r="K8026" t="b">
        <v>1</v>
      </c>
    </row>
    <row r="8027" spans="1:11">
      <c r="A8027" s="12">
        <v>42644</v>
      </c>
      <c r="B8027">
        <v>2016</v>
      </c>
      <c r="C8027">
        <v>10</v>
      </c>
      <c r="D8027" s="11">
        <v>42644</v>
      </c>
      <c r="E8027" t="s">
        <v>2182</v>
      </c>
      <c r="F8027">
        <v>6</v>
      </c>
      <c r="G8027" t="s">
        <v>57</v>
      </c>
      <c r="H8027" t="s">
        <v>41</v>
      </c>
      <c r="I8027" t="s">
        <v>2189</v>
      </c>
      <c r="J8027" s="10">
        <v>7.65</v>
      </c>
      <c r="K8027" t="b">
        <v>1</v>
      </c>
    </row>
    <row r="8028" spans="1:11">
      <c r="A8028" s="12">
        <v>42644</v>
      </c>
      <c r="B8028">
        <v>2016</v>
      </c>
      <c r="C8028">
        <v>10</v>
      </c>
      <c r="D8028" s="11">
        <v>42644</v>
      </c>
      <c r="E8028" t="s">
        <v>2182</v>
      </c>
      <c r="F8028">
        <v>6</v>
      </c>
      <c r="G8028" t="s">
        <v>57</v>
      </c>
      <c r="H8028" t="s">
        <v>42</v>
      </c>
      <c r="I8028" t="s">
        <v>2190</v>
      </c>
      <c r="J8028" s="10">
        <v>1.2</v>
      </c>
      <c r="K8028" t="b">
        <v>1</v>
      </c>
    </row>
    <row r="8029" spans="1:11">
      <c r="A8029" s="12">
        <v>42644</v>
      </c>
      <c r="B8029">
        <v>2016</v>
      </c>
      <c r="C8029">
        <v>10</v>
      </c>
      <c r="D8029" s="11">
        <v>42644</v>
      </c>
      <c r="E8029" t="s">
        <v>2182</v>
      </c>
      <c r="F8029">
        <v>6</v>
      </c>
      <c r="G8029" t="s">
        <v>57</v>
      </c>
      <c r="H8029" t="s">
        <v>43</v>
      </c>
      <c r="I8029" t="s">
        <v>2191</v>
      </c>
      <c r="J8029" s="10">
        <v>54.038</v>
      </c>
      <c r="K8029" t="b">
        <v>1</v>
      </c>
    </row>
    <row r="8030" spans="1:11">
      <c r="A8030" s="12">
        <v>42644</v>
      </c>
      <c r="B8030">
        <v>2016</v>
      </c>
      <c r="C8030">
        <v>10</v>
      </c>
      <c r="D8030" s="11">
        <v>42644</v>
      </c>
      <c r="E8030" t="s">
        <v>2182</v>
      </c>
      <c r="F8030">
        <v>6</v>
      </c>
      <c r="G8030" t="s">
        <v>57</v>
      </c>
      <c r="H8030" t="s">
        <v>44</v>
      </c>
      <c r="I8030" t="s">
        <v>2192</v>
      </c>
      <c r="J8030" s="10">
        <v>5</v>
      </c>
      <c r="K8030" t="b">
        <v>1</v>
      </c>
    </row>
    <row r="8031" spans="1:11">
      <c r="A8031" s="12">
        <v>42644</v>
      </c>
      <c r="B8031">
        <v>2016</v>
      </c>
      <c r="C8031">
        <v>10</v>
      </c>
      <c r="D8031" s="11">
        <v>42644</v>
      </c>
      <c r="E8031" t="s">
        <v>2182</v>
      </c>
      <c r="F8031">
        <v>6</v>
      </c>
      <c r="G8031" t="s">
        <v>57</v>
      </c>
      <c r="H8031" t="s">
        <v>45</v>
      </c>
      <c r="I8031" t="s">
        <v>2193</v>
      </c>
      <c r="J8031" s="10">
        <v>0</v>
      </c>
      <c r="K8031" t="b">
        <v>1</v>
      </c>
    </row>
    <row r="8032" spans="1:11">
      <c r="A8032" s="12">
        <v>42644</v>
      </c>
      <c r="B8032">
        <v>2016</v>
      </c>
      <c r="C8032">
        <v>10</v>
      </c>
      <c r="D8032" s="11">
        <v>42644</v>
      </c>
      <c r="E8032" t="s">
        <v>2182</v>
      </c>
      <c r="F8032">
        <v>6</v>
      </c>
      <c r="G8032" t="s">
        <v>57</v>
      </c>
      <c r="H8032" t="s">
        <v>46</v>
      </c>
      <c r="I8032" t="s">
        <v>2194</v>
      </c>
      <c r="J8032" s="10">
        <v>4</v>
      </c>
      <c r="K8032" t="b">
        <v>1</v>
      </c>
    </row>
    <row r="8033" spans="1:11">
      <c r="A8033" s="12">
        <v>42644</v>
      </c>
      <c r="B8033">
        <v>2016</v>
      </c>
      <c r="C8033">
        <v>10</v>
      </c>
      <c r="D8033" s="11">
        <v>42644</v>
      </c>
      <c r="E8033" t="s">
        <v>2182</v>
      </c>
      <c r="F8033">
        <v>6</v>
      </c>
      <c r="G8033" t="s">
        <v>57</v>
      </c>
      <c r="H8033" t="s">
        <v>47</v>
      </c>
      <c r="I8033" t="s">
        <v>2195</v>
      </c>
      <c r="J8033" s="10">
        <v>2</v>
      </c>
      <c r="K8033" t="b">
        <v>1</v>
      </c>
    </row>
    <row r="8034" spans="1:11">
      <c r="A8034" s="12">
        <v>42645</v>
      </c>
      <c r="B8034">
        <v>2016</v>
      </c>
      <c r="C8034">
        <v>10</v>
      </c>
      <c r="D8034" s="11">
        <v>42644</v>
      </c>
      <c r="E8034" t="s">
        <v>2182</v>
      </c>
      <c r="F8034">
        <v>7</v>
      </c>
      <c r="G8034" t="s">
        <v>59</v>
      </c>
      <c r="H8034" t="s">
        <v>40</v>
      </c>
      <c r="I8034" t="s">
        <v>2188</v>
      </c>
      <c r="J8034" s="10">
        <v>17</v>
      </c>
      <c r="K8034" t="b">
        <v>1</v>
      </c>
    </row>
    <row r="8035" spans="1:11">
      <c r="A8035" s="12">
        <v>42645</v>
      </c>
      <c r="B8035">
        <v>2016</v>
      </c>
      <c r="C8035">
        <v>10</v>
      </c>
      <c r="D8035" s="11">
        <v>42644</v>
      </c>
      <c r="E8035" t="s">
        <v>2182</v>
      </c>
      <c r="F8035">
        <v>7</v>
      </c>
      <c r="G8035" t="s">
        <v>59</v>
      </c>
      <c r="H8035" t="s">
        <v>41</v>
      </c>
      <c r="I8035" t="s">
        <v>2189</v>
      </c>
      <c r="J8035" s="10">
        <v>4.056</v>
      </c>
      <c r="K8035" t="b">
        <v>1</v>
      </c>
    </row>
    <row r="8036" spans="1:11">
      <c r="A8036" s="12">
        <v>42645</v>
      </c>
      <c r="B8036">
        <v>2016</v>
      </c>
      <c r="C8036">
        <v>10</v>
      </c>
      <c r="D8036" s="11">
        <v>42644</v>
      </c>
      <c r="E8036" t="s">
        <v>2182</v>
      </c>
      <c r="F8036">
        <v>7</v>
      </c>
      <c r="G8036" t="s">
        <v>59</v>
      </c>
      <c r="H8036" t="s">
        <v>42</v>
      </c>
      <c r="I8036" t="s">
        <v>2190</v>
      </c>
      <c r="J8036" s="10">
        <v>9.699999999999999</v>
      </c>
      <c r="K8036" t="b">
        <v>1</v>
      </c>
    </row>
    <row r="8037" spans="1:11">
      <c r="A8037" s="12">
        <v>42645</v>
      </c>
      <c r="B8037">
        <v>2016</v>
      </c>
      <c r="C8037">
        <v>10</v>
      </c>
      <c r="D8037" s="11">
        <v>42644</v>
      </c>
      <c r="E8037" t="s">
        <v>2182</v>
      </c>
      <c r="F8037">
        <v>7</v>
      </c>
      <c r="G8037" t="s">
        <v>59</v>
      </c>
      <c r="H8037" t="s">
        <v>43</v>
      </c>
      <c r="I8037" t="s">
        <v>2191</v>
      </c>
      <c r="J8037" s="10">
        <v>80.5</v>
      </c>
      <c r="K8037" t="b">
        <v>1</v>
      </c>
    </row>
    <row r="8038" spans="1:11">
      <c r="A8038" s="12">
        <v>42645</v>
      </c>
      <c r="B8038">
        <v>2016</v>
      </c>
      <c r="C8038">
        <v>10</v>
      </c>
      <c r="D8038" s="11">
        <v>42644</v>
      </c>
      <c r="E8038" t="s">
        <v>2182</v>
      </c>
      <c r="F8038">
        <v>7</v>
      </c>
      <c r="G8038" t="s">
        <v>59</v>
      </c>
      <c r="H8038" t="s">
        <v>44</v>
      </c>
      <c r="I8038" t="s">
        <v>2192</v>
      </c>
      <c r="J8038" s="10">
        <v>6</v>
      </c>
      <c r="K8038" t="b">
        <v>1</v>
      </c>
    </row>
    <row r="8039" spans="1:11">
      <c r="A8039" s="12">
        <v>42645</v>
      </c>
      <c r="B8039">
        <v>2016</v>
      </c>
      <c r="C8039">
        <v>10</v>
      </c>
      <c r="D8039" s="11">
        <v>42644</v>
      </c>
      <c r="E8039" t="s">
        <v>2182</v>
      </c>
      <c r="F8039">
        <v>7</v>
      </c>
      <c r="G8039" t="s">
        <v>59</v>
      </c>
      <c r="H8039" t="s">
        <v>45</v>
      </c>
      <c r="I8039" t="s">
        <v>2193</v>
      </c>
      <c r="J8039" s="10">
        <v>0</v>
      </c>
      <c r="K8039" t="b">
        <v>1</v>
      </c>
    </row>
    <row r="8040" spans="1:11">
      <c r="A8040" s="12">
        <v>42645</v>
      </c>
      <c r="B8040">
        <v>2016</v>
      </c>
      <c r="C8040">
        <v>10</v>
      </c>
      <c r="D8040" s="11">
        <v>42644</v>
      </c>
      <c r="E8040" t="s">
        <v>2182</v>
      </c>
      <c r="F8040">
        <v>7</v>
      </c>
      <c r="G8040" t="s">
        <v>59</v>
      </c>
      <c r="H8040" t="s">
        <v>46</v>
      </c>
      <c r="I8040" t="s">
        <v>2194</v>
      </c>
      <c r="J8040" s="10">
        <v>18</v>
      </c>
      <c r="K8040" t="b">
        <v>1</v>
      </c>
    </row>
    <row r="8041" spans="1:11">
      <c r="A8041" s="12">
        <v>42645</v>
      </c>
      <c r="B8041">
        <v>2016</v>
      </c>
      <c r="C8041">
        <v>10</v>
      </c>
      <c r="D8041" s="11">
        <v>42644</v>
      </c>
      <c r="E8041" t="s">
        <v>2182</v>
      </c>
      <c r="F8041">
        <v>7</v>
      </c>
      <c r="G8041" t="s">
        <v>59</v>
      </c>
      <c r="H8041" t="s">
        <v>47</v>
      </c>
      <c r="I8041" t="s">
        <v>2195</v>
      </c>
      <c r="J8041" s="10">
        <v>3</v>
      </c>
      <c r="K8041" t="b">
        <v>1</v>
      </c>
    </row>
    <row r="8042" spans="1:11">
      <c r="A8042" s="12">
        <v>42646</v>
      </c>
      <c r="B8042">
        <v>2016</v>
      </c>
      <c r="C8042">
        <v>10</v>
      </c>
      <c r="D8042" s="11">
        <v>42644</v>
      </c>
      <c r="E8042" t="s">
        <v>2182</v>
      </c>
      <c r="F8042">
        <v>1</v>
      </c>
      <c r="G8042" t="s">
        <v>61</v>
      </c>
      <c r="H8042" t="s">
        <v>40</v>
      </c>
      <c r="I8042" t="s">
        <v>2188</v>
      </c>
      <c r="J8042" s="10">
        <v>3.33</v>
      </c>
      <c r="K8042" t="b">
        <v>1</v>
      </c>
    </row>
    <row r="8043" spans="1:11">
      <c r="A8043" s="12">
        <v>42646</v>
      </c>
      <c r="B8043">
        <v>2016</v>
      </c>
      <c r="C8043">
        <v>10</v>
      </c>
      <c r="D8043" s="11">
        <v>42644</v>
      </c>
      <c r="E8043" t="s">
        <v>2182</v>
      </c>
      <c r="F8043">
        <v>1</v>
      </c>
      <c r="G8043" t="s">
        <v>61</v>
      </c>
      <c r="H8043" t="s">
        <v>41</v>
      </c>
      <c r="I8043" t="s">
        <v>2189</v>
      </c>
      <c r="J8043" s="10">
        <v>5.33</v>
      </c>
      <c r="K8043" t="b">
        <v>1</v>
      </c>
    </row>
    <row r="8044" spans="1:11">
      <c r="A8044" s="12">
        <v>42646</v>
      </c>
      <c r="B8044">
        <v>2016</v>
      </c>
      <c r="C8044">
        <v>10</v>
      </c>
      <c r="D8044" s="11">
        <v>42644</v>
      </c>
      <c r="E8044" t="s">
        <v>2182</v>
      </c>
      <c r="F8044">
        <v>1</v>
      </c>
      <c r="G8044" t="s">
        <v>61</v>
      </c>
      <c r="H8044" t="s">
        <v>42</v>
      </c>
      <c r="I8044" t="s">
        <v>2190</v>
      </c>
      <c r="J8044" s="10">
        <v>3</v>
      </c>
      <c r="K8044" t="b">
        <v>1</v>
      </c>
    </row>
    <row r="8045" spans="1:11">
      <c r="A8045" s="12">
        <v>42646</v>
      </c>
      <c r="B8045">
        <v>2016</v>
      </c>
      <c r="C8045">
        <v>10</v>
      </c>
      <c r="D8045" s="11">
        <v>42644</v>
      </c>
      <c r="E8045" t="s">
        <v>2182</v>
      </c>
      <c r="F8045">
        <v>1</v>
      </c>
      <c r="G8045" t="s">
        <v>61</v>
      </c>
      <c r="H8045" t="s">
        <v>43</v>
      </c>
      <c r="I8045" t="s">
        <v>2191</v>
      </c>
      <c r="J8045" s="10">
        <v>59.662</v>
      </c>
      <c r="K8045" t="b">
        <v>1</v>
      </c>
    </row>
    <row r="8046" spans="1:11">
      <c r="A8046" s="12">
        <v>42646</v>
      </c>
      <c r="B8046">
        <v>2016</v>
      </c>
      <c r="C8046">
        <v>10</v>
      </c>
      <c r="D8046" s="11">
        <v>42644</v>
      </c>
      <c r="E8046" t="s">
        <v>2182</v>
      </c>
      <c r="F8046">
        <v>1</v>
      </c>
      <c r="G8046" t="s">
        <v>61</v>
      </c>
      <c r="H8046" t="s">
        <v>44</v>
      </c>
      <c r="I8046" t="s">
        <v>2192</v>
      </c>
      <c r="J8046" s="10">
        <v>2</v>
      </c>
      <c r="K8046" t="b">
        <v>1</v>
      </c>
    </row>
    <row r="8047" spans="1:11">
      <c r="A8047" s="12">
        <v>42646</v>
      </c>
      <c r="B8047">
        <v>2016</v>
      </c>
      <c r="C8047">
        <v>10</v>
      </c>
      <c r="D8047" s="11">
        <v>42644</v>
      </c>
      <c r="E8047" t="s">
        <v>2182</v>
      </c>
      <c r="F8047">
        <v>1</v>
      </c>
      <c r="G8047" t="s">
        <v>61</v>
      </c>
      <c r="H8047" t="s">
        <v>45</v>
      </c>
      <c r="I8047" t="s">
        <v>2193</v>
      </c>
      <c r="J8047" s="10">
        <v>2</v>
      </c>
      <c r="K8047" t="b">
        <v>1</v>
      </c>
    </row>
    <row r="8048" spans="1:11">
      <c r="A8048" s="12">
        <v>42646</v>
      </c>
      <c r="B8048">
        <v>2016</v>
      </c>
      <c r="C8048">
        <v>10</v>
      </c>
      <c r="D8048" s="11">
        <v>42644</v>
      </c>
      <c r="E8048" t="s">
        <v>2182</v>
      </c>
      <c r="F8048">
        <v>1</v>
      </c>
      <c r="G8048" t="s">
        <v>61</v>
      </c>
      <c r="H8048" t="s">
        <v>46</v>
      </c>
      <c r="I8048" t="s">
        <v>2194</v>
      </c>
      <c r="J8048" s="10">
        <v>17</v>
      </c>
      <c r="K8048" t="b">
        <v>1</v>
      </c>
    </row>
    <row r="8049" spans="1:11">
      <c r="A8049" s="12">
        <v>42646</v>
      </c>
      <c r="B8049">
        <v>2016</v>
      </c>
      <c r="C8049">
        <v>10</v>
      </c>
      <c r="D8049" s="11">
        <v>42644</v>
      </c>
      <c r="E8049" t="s">
        <v>2182</v>
      </c>
      <c r="F8049">
        <v>1</v>
      </c>
      <c r="G8049" t="s">
        <v>61</v>
      </c>
      <c r="H8049" t="s">
        <v>47</v>
      </c>
      <c r="I8049" t="s">
        <v>2195</v>
      </c>
      <c r="J8049" s="10">
        <v>3</v>
      </c>
      <c r="K8049" t="b">
        <v>1</v>
      </c>
    </row>
    <row r="8050" spans="1:11">
      <c r="A8050" s="12">
        <v>42647</v>
      </c>
      <c r="B8050">
        <v>2016</v>
      </c>
      <c r="C8050">
        <v>10</v>
      </c>
      <c r="D8050" s="11">
        <v>42644</v>
      </c>
      <c r="E8050" t="s">
        <v>2182</v>
      </c>
      <c r="F8050">
        <v>2</v>
      </c>
      <c r="G8050" t="s">
        <v>63</v>
      </c>
      <c r="H8050" t="s">
        <v>40</v>
      </c>
      <c r="I8050" t="s">
        <v>2188</v>
      </c>
      <c r="J8050" s="10">
        <v>6.33</v>
      </c>
      <c r="K8050" t="b">
        <v>1</v>
      </c>
    </row>
    <row r="8051" spans="1:11">
      <c r="A8051" s="12">
        <v>42647</v>
      </c>
      <c r="B8051">
        <v>2016</v>
      </c>
      <c r="C8051">
        <v>10</v>
      </c>
      <c r="D8051" s="11">
        <v>42644</v>
      </c>
      <c r="E8051" t="s">
        <v>2182</v>
      </c>
      <c r="F8051">
        <v>2</v>
      </c>
      <c r="G8051" t="s">
        <v>63</v>
      </c>
      <c r="H8051" t="s">
        <v>41</v>
      </c>
      <c r="I8051" t="s">
        <v>2189</v>
      </c>
      <c r="J8051" s="10">
        <v>2.99</v>
      </c>
      <c r="K8051" t="b">
        <v>1</v>
      </c>
    </row>
    <row r="8052" spans="1:11">
      <c r="A8052" s="12">
        <v>42647</v>
      </c>
      <c r="B8052">
        <v>2016</v>
      </c>
      <c r="C8052">
        <v>10</v>
      </c>
      <c r="D8052" s="11">
        <v>42644</v>
      </c>
      <c r="E8052" t="s">
        <v>2182</v>
      </c>
      <c r="F8052">
        <v>2</v>
      </c>
      <c r="G8052" t="s">
        <v>63</v>
      </c>
      <c r="H8052" t="s">
        <v>42</v>
      </c>
      <c r="I8052" t="s">
        <v>2190</v>
      </c>
      <c r="J8052" s="10">
        <v>6</v>
      </c>
      <c r="K8052" t="b">
        <v>1</v>
      </c>
    </row>
    <row r="8053" spans="1:11">
      <c r="A8053" s="12">
        <v>42647</v>
      </c>
      <c r="B8053">
        <v>2016</v>
      </c>
      <c r="C8053">
        <v>10</v>
      </c>
      <c r="D8053" s="11">
        <v>42644</v>
      </c>
      <c r="E8053" t="s">
        <v>2182</v>
      </c>
      <c r="F8053">
        <v>2</v>
      </c>
      <c r="G8053" t="s">
        <v>63</v>
      </c>
      <c r="H8053" t="s">
        <v>43</v>
      </c>
      <c r="I8053" t="s">
        <v>2191</v>
      </c>
      <c r="J8053" s="10">
        <v>47.6</v>
      </c>
      <c r="K8053" t="b">
        <v>1</v>
      </c>
    </row>
    <row r="8054" spans="1:11">
      <c r="A8054" s="12">
        <v>42647</v>
      </c>
      <c r="B8054">
        <v>2016</v>
      </c>
      <c r="C8054">
        <v>10</v>
      </c>
      <c r="D8054" s="11">
        <v>42644</v>
      </c>
      <c r="E8054" t="s">
        <v>2182</v>
      </c>
      <c r="F8054">
        <v>2</v>
      </c>
      <c r="G8054" t="s">
        <v>63</v>
      </c>
      <c r="H8054" t="s">
        <v>44</v>
      </c>
      <c r="I8054" t="s">
        <v>2192</v>
      </c>
      <c r="J8054" s="10">
        <v>8</v>
      </c>
      <c r="K8054" t="b">
        <v>1</v>
      </c>
    </row>
    <row r="8055" spans="1:11">
      <c r="A8055" s="12">
        <v>42647</v>
      </c>
      <c r="B8055">
        <v>2016</v>
      </c>
      <c r="C8055">
        <v>10</v>
      </c>
      <c r="D8055" s="11">
        <v>42644</v>
      </c>
      <c r="E8055" t="s">
        <v>2182</v>
      </c>
      <c r="F8055">
        <v>2</v>
      </c>
      <c r="G8055" t="s">
        <v>63</v>
      </c>
      <c r="H8055" t="s">
        <v>45</v>
      </c>
      <c r="I8055" t="s">
        <v>2193</v>
      </c>
      <c r="J8055" s="10">
        <v>0</v>
      </c>
      <c r="K8055" t="b">
        <v>1</v>
      </c>
    </row>
    <row r="8056" spans="1:11">
      <c r="A8056" s="12">
        <v>42647</v>
      </c>
      <c r="B8056">
        <v>2016</v>
      </c>
      <c r="C8056">
        <v>10</v>
      </c>
      <c r="D8056" s="11">
        <v>42644</v>
      </c>
      <c r="E8056" t="s">
        <v>2182</v>
      </c>
      <c r="F8056">
        <v>2</v>
      </c>
      <c r="G8056" t="s">
        <v>63</v>
      </c>
      <c r="H8056" t="s">
        <v>46</v>
      </c>
      <c r="I8056" t="s">
        <v>2194</v>
      </c>
      <c r="J8056" s="10">
        <v>10</v>
      </c>
      <c r="K8056" t="b">
        <v>1</v>
      </c>
    </row>
    <row r="8057" spans="1:11">
      <c r="A8057" s="12">
        <v>42647</v>
      </c>
      <c r="B8057">
        <v>2016</v>
      </c>
      <c r="C8057">
        <v>10</v>
      </c>
      <c r="D8057" s="11">
        <v>42644</v>
      </c>
      <c r="E8057" t="s">
        <v>2182</v>
      </c>
      <c r="F8057">
        <v>2</v>
      </c>
      <c r="G8057" t="s">
        <v>63</v>
      </c>
      <c r="H8057" t="s">
        <v>47</v>
      </c>
      <c r="I8057" t="s">
        <v>2195</v>
      </c>
      <c r="J8057" s="10">
        <v>2.5</v>
      </c>
      <c r="K8057" t="b">
        <v>1</v>
      </c>
    </row>
    <row r="8058" spans="1:11">
      <c r="A8058" s="12">
        <v>42648</v>
      </c>
      <c r="B8058">
        <v>2016</v>
      </c>
      <c r="C8058">
        <v>10</v>
      </c>
      <c r="D8058" s="11">
        <v>42644</v>
      </c>
      <c r="E8058" t="s">
        <v>2182</v>
      </c>
      <c r="F8058">
        <v>3</v>
      </c>
      <c r="G8058" t="s">
        <v>65</v>
      </c>
      <c r="H8058" t="s">
        <v>40</v>
      </c>
      <c r="I8058" t="s">
        <v>2188</v>
      </c>
      <c r="J8058" s="10">
        <v>4</v>
      </c>
      <c r="K8058" t="b">
        <v>1</v>
      </c>
    </row>
    <row r="8059" spans="1:11">
      <c r="A8059" s="12">
        <v>42648</v>
      </c>
      <c r="B8059">
        <v>2016</v>
      </c>
      <c r="C8059">
        <v>10</v>
      </c>
      <c r="D8059" s="11">
        <v>42644</v>
      </c>
      <c r="E8059" t="s">
        <v>2182</v>
      </c>
      <c r="F8059">
        <v>3</v>
      </c>
      <c r="G8059" t="s">
        <v>65</v>
      </c>
      <c r="H8059" t="s">
        <v>41</v>
      </c>
      <c r="I8059" t="s">
        <v>2189</v>
      </c>
      <c r="J8059" s="10">
        <v>4</v>
      </c>
      <c r="K8059" t="b">
        <v>1</v>
      </c>
    </row>
    <row r="8060" spans="1:11">
      <c r="A8060" s="12">
        <v>42648</v>
      </c>
      <c r="B8060">
        <v>2016</v>
      </c>
      <c r="C8060">
        <v>10</v>
      </c>
      <c r="D8060" s="11">
        <v>42644</v>
      </c>
      <c r="E8060" t="s">
        <v>2182</v>
      </c>
      <c r="F8060">
        <v>3</v>
      </c>
      <c r="G8060" t="s">
        <v>65</v>
      </c>
      <c r="H8060" t="s">
        <v>42</v>
      </c>
      <c r="I8060" t="s">
        <v>2190</v>
      </c>
      <c r="J8060" s="10">
        <v>4</v>
      </c>
      <c r="K8060" t="b">
        <v>1</v>
      </c>
    </row>
    <row r="8061" spans="1:11">
      <c r="A8061" s="12">
        <v>42648</v>
      </c>
      <c r="B8061">
        <v>2016</v>
      </c>
      <c r="C8061">
        <v>10</v>
      </c>
      <c r="D8061" s="11">
        <v>42644</v>
      </c>
      <c r="E8061" t="s">
        <v>2182</v>
      </c>
      <c r="F8061">
        <v>3</v>
      </c>
      <c r="G8061" t="s">
        <v>65</v>
      </c>
      <c r="H8061" t="s">
        <v>43</v>
      </c>
      <c r="I8061" t="s">
        <v>2191</v>
      </c>
      <c r="J8061" s="10">
        <v>78.2</v>
      </c>
      <c r="K8061" t="b">
        <v>1</v>
      </c>
    </row>
    <row r="8062" spans="1:11">
      <c r="A8062" s="12">
        <v>42648</v>
      </c>
      <c r="B8062">
        <v>2016</v>
      </c>
      <c r="C8062">
        <v>10</v>
      </c>
      <c r="D8062" s="11">
        <v>42644</v>
      </c>
      <c r="E8062" t="s">
        <v>2182</v>
      </c>
      <c r="F8062">
        <v>3</v>
      </c>
      <c r="G8062" t="s">
        <v>65</v>
      </c>
      <c r="H8062" t="s">
        <v>44</v>
      </c>
      <c r="I8062" t="s">
        <v>2192</v>
      </c>
      <c r="J8062" s="10">
        <v>8</v>
      </c>
      <c r="K8062" t="b">
        <v>1</v>
      </c>
    </row>
    <row r="8063" spans="1:11">
      <c r="A8063" s="12">
        <v>42648</v>
      </c>
      <c r="B8063">
        <v>2016</v>
      </c>
      <c r="C8063">
        <v>10</v>
      </c>
      <c r="D8063" s="11">
        <v>42644</v>
      </c>
      <c r="E8063" t="s">
        <v>2182</v>
      </c>
      <c r="F8063">
        <v>3</v>
      </c>
      <c r="G8063" t="s">
        <v>65</v>
      </c>
      <c r="H8063" t="s">
        <v>45</v>
      </c>
      <c r="I8063" t="s">
        <v>2193</v>
      </c>
      <c r="J8063" s="10">
        <v>0</v>
      </c>
      <c r="K8063" t="b">
        <v>1</v>
      </c>
    </row>
    <row r="8064" spans="1:11">
      <c r="A8064" s="12">
        <v>42648</v>
      </c>
      <c r="B8064">
        <v>2016</v>
      </c>
      <c r="C8064">
        <v>10</v>
      </c>
      <c r="D8064" s="11">
        <v>42644</v>
      </c>
      <c r="E8064" t="s">
        <v>2182</v>
      </c>
      <c r="F8064">
        <v>3</v>
      </c>
      <c r="G8064" t="s">
        <v>65</v>
      </c>
      <c r="H8064" t="s">
        <v>46</v>
      </c>
      <c r="I8064" t="s">
        <v>2194</v>
      </c>
      <c r="J8064" s="10">
        <v>1</v>
      </c>
      <c r="K8064" t="b">
        <v>1</v>
      </c>
    </row>
    <row r="8065" spans="1:11">
      <c r="A8065" s="12">
        <v>42648</v>
      </c>
      <c r="B8065">
        <v>2016</v>
      </c>
      <c r="C8065">
        <v>10</v>
      </c>
      <c r="D8065" s="11">
        <v>42644</v>
      </c>
      <c r="E8065" t="s">
        <v>2182</v>
      </c>
      <c r="F8065">
        <v>3</v>
      </c>
      <c r="G8065" t="s">
        <v>65</v>
      </c>
      <c r="H8065" t="s">
        <v>47</v>
      </c>
      <c r="I8065" t="s">
        <v>2195</v>
      </c>
      <c r="J8065" s="10">
        <v>1</v>
      </c>
      <c r="K8065" t="b">
        <v>1</v>
      </c>
    </row>
    <row r="8066" spans="1:11">
      <c r="A8066" s="12">
        <v>42649</v>
      </c>
      <c r="B8066">
        <v>2016</v>
      </c>
      <c r="C8066">
        <v>10</v>
      </c>
      <c r="D8066" s="11">
        <v>42644</v>
      </c>
      <c r="E8066" t="s">
        <v>2182</v>
      </c>
      <c r="F8066">
        <v>4</v>
      </c>
      <c r="G8066" t="s">
        <v>53</v>
      </c>
      <c r="H8066" t="s">
        <v>40</v>
      </c>
      <c r="I8066" t="s">
        <v>2188</v>
      </c>
      <c r="J8066" s="10">
        <v>4.33</v>
      </c>
      <c r="K8066" t="b">
        <v>1</v>
      </c>
    </row>
    <row r="8067" spans="1:11">
      <c r="A8067" s="12">
        <v>42649</v>
      </c>
      <c r="B8067">
        <v>2016</v>
      </c>
      <c r="C8067">
        <v>10</v>
      </c>
      <c r="D8067" s="11">
        <v>42644</v>
      </c>
      <c r="E8067" t="s">
        <v>2182</v>
      </c>
      <c r="F8067">
        <v>4</v>
      </c>
      <c r="G8067" t="s">
        <v>53</v>
      </c>
      <c r="H8067" t="s">
        <v>41</v>
      </c>
      <c r="I8067" t="s">
        <v>2189</v>
      </c>
      <c r="J8067" s="10">
        <v>3.99</v>
      </c>
      <c r="K8067" t="b">
        <v>1</v>
      </c>
    </row>
    <row r="8068" spans="1:11">
      <c r="A8068" s="12">
        <v>42649</v>
      </c>
      <c r="B8068">
        <v>2016</v>
      </c>
      <c r="C8068">
        <v>10</v>
      </c>
      <c r="D8068" s="11">
        <v>42644</v>
      </c>
      <c r="E8068" t="s">
        <v>2182</v>
      </c>
      <c r="F8068">
        <v>4</v>
      </c>
      <c r="G8068" t="s">
        <v>53</v>
      </c>
      <c r="H8068" t="s">
        <v>42</v>
      </c>
      <c r="I8068" t="s">
        <v>2190</v>
      </c>
      <c r="J8068" s="10">
        <v>6</v>
      </c>
      <c r="K8068" t="b">
        <v>1</v>
      </c>
    </row>
    <row r="8069" spans="1:11">
      <c r="A8069" s="12">
        <v>42649</v>
      </c>
      <c r="B8069">
        <v>2016</v>
      </c>
      <c r="C8069">
        <v>10</v>
      </c>
      <c r="D8069" s="11">
        <v>42644</v>
      </c>
      <c r="E8069" t="s">
        <v>2182</v>
      </c>
      <c r="F8069">
        <v>4</v>
      </c>
      <c r="G8069" t="s">
        <v>53</v>
      </c>
      <c r="H8069" t="s">
        <v>43</v>
      </c>
      <c r="I8069" t="s">
        <v>2191</v>
      </c>
      <c r="J8069" s="10">
        <v>44</v>
      </c>
      <c r="K8069" t="b">
        <v>1</v>
      </c>
    </row>
    <row r="8070" spans="1:11">
      <c r="A8070" s="12">
        <v>42649</v>
      </c>
      <c r="B8070">
        <v>2016</v>
      </c>
      <c r="C8070">
        <v>10</v>
      </c>
      <c r="D8070" s="11">
        <v>42644</v>
      </c>
      <c r="E8070" t="s">
        <v>2182</v>
      </c>
      <c r="F8070">
        <v>4</v>
      </c>
      <c r="G8070" t="s">
        <v>53</v>
      </c>
      <c r="H8070" t="s">
        <v>44</v>
      </c>
      <c r="I8070" t="s">
        <v>2192</v>
      </c>
      <c r="J8070" s="10">
        <v>4</v>
      </c>
      <c r="K8070" t="b">
        <v>1</v>
      </c>
    </row>
    <row r="8071" spans="1:11">
      <c r="A8071" s="12">
        <v>42649</v>
      </c>
      <c r="B8071">
        <v>2016</v>
      </c>
      <c r="C8071">
        <v>10</v>
      </c>
      <c r="D8071" s="11">
        <v>42644</v>
      </c>
      <c r="E8071" t="s">
        <v>2182</v>
      </c>
      <c r="F8071">
        <v>4</v>
      </c>
      <c r="G8071" t="s">
        <v>53</v>
      </c>
      <c r="H8071" t="s">
        <v>45</v>
      </c>
      <c r="I8071" t="s">
        <v>2193</v>
      </c>
      <c r="J8071" s="10">
        <v>0</v>
      </c>
      <c r="K8071" t="b">
        <v>1</v>
      </c>
    </row>
    <row r="8072" spans="1:11">
      <c r="A8072" s="12">
        <v>42649</v>
      </c>
      <c r="B8072">
        <v>2016</v>
      </c>
      <c r="C8072">
        <v>10</v>
      </c>
      <c r="D8072" s="11">
        <v>42644</v>
      </c>
      <c r="E8072" t="s">
        <v>2182</v>
      </c>
      <c r="F8072">
        <v>4</v>
      </c>
      <c r="G8072" t="s">
        <v>53</v>
      </c>
      <c r="H8072" t="s">
        <v>46</v>
      </c>
      <c r="I8072" t="s">
        <v>2194</v>
      </c>
      <c r="J8072" s="10">
        <v>3</v>
      </c>
      <c r="K8072" t="b">
        <v>1</v>
      </c>
    </row>
    <row r="8073" spans="1:11">
      <c r="A8073" s="12">
        <v>42649</v>
      </c>
      <c r="B8073">
        <v>2016</v>
      </c>
      <c r="C8073">
        <v>10</v>
      </c>
      <c r="D8073" s="11">
        <v>42644</v>
      </c>
      <c r="E8073" t="s">
        <v>2182</v>
      </c>
      <c r="F8073">
        <v>4</v>
      </c>
      <c r="G8073" t="s">
        <v>53</v>
      </c>
      <c r="H8073" t="s">
        <v>47</v>
      </c>
      <c r="I8073" t="s">
        <v>2195</v>
      </c>
      <c r="J8073" s="10">
        <v>0</v>
      </c>
      <c r="K8073" t="b">
        <v>1</v>
      </c>
    </row>
    <row r="8074" spans="1:11">
      <c r="A8074" s="12">
        <v>42650</v>
      </c>
      <c r="B8074">
        <v>2016</v>
      </c>
      <c r="C8074">
        <v>10</v>
      </c>
      <c r="D8074" s="11">
        <v>42644</v>
      </c>
      <c r="E8074" t="s">
        <v>2182</v>
      </c>
      <c r="F8074">
        <v>5</v>
      </c>
      <c r="G8074" t="s">
        <v>55</v>
      </c>
      <c r="H8074" t="s">
        <v>40</v>
      </c>
      <c r="I8074" t="s">
        <v>2188</v>
      </c>
      <c r="J8074" s="10">
        <v>4.34</v>
      </c>
      <c r="K8074" t="b">
        <v>1</v>
      </c>
    </row>
    <row r="8075" spans="1:11">
      <c r="A8075" s="12">
        <v>42650</v>
      </c>
      <c r="B8075">
        <v>2016</v>
      </c>
      <c r="C8075">
        <v>10</v>
      </c>
      <c r="D8075" s="11">
        <v>42644</v>
      </c>
      <c r="E8075" t="s">
        <v>2182</v>
      </c>
      <c r="F8075">
        <v>5</v>
      </c>
      <c r="G8075" t="s">
        <v>55</v>
      </c>
      <c r="H8075" t="s">
        <v>41</v>
      </c>
      <c r="I8075" t="s">
        <v>2189</v>
      </c>
      <c r="J8075" s="10">
        <v>4.297</v>
      </c>
      <c r="K8075" t="b">
        <v>1</v>
      </c>
    </row>
    <row r="8076" spans="1:11">
      <c r="A8076" s="12">
        <v>42650</v>
      </c>
      <c r="B8076">
        <v>2016</v>
      </c>
      <c r="C8076">
        <v>10</v>
      </c>
      <c r="D8076" s="11">
        <v>42644</v>
      </c>
      <c r="E8076" t="s">
        <v>2182</v>
      </c>
      <c r="F8076">
        <v>5</v>
      </c>
      <c r="G8076" t="s">
        <v>55</v>
      </c>
      <c r="H8076" t="s">
        <v>42</v>
      </c>
      <c r="I8076" t="s">
        <v>2190</v>
      </c>
      <c r="J8076" s="10">
        <v>6</v>
      </c>
      <c r="K8076" t="b">
        <v>1</v>
      </c>
    </row>
    <row r="8077" spans="1:11">
      <c r="A8077" s="12">
        <v>42650</v>
      </c>
      <c r="B8077">
        <v>2016</v>
      </c>
      <c r="C8077">
        <v>10</v>
      </c>
      <c r="D8077" s="11">
        <v>42644</v>
      </c>
      <c r="E8077" t="s">
        <v>2182</v>
      </c>
      <c r="F8077">
        <v>5</v>
      </c>
      <c r="G8077" t="s">
        <v>55</v>
      </c>
      <c r="H8077" t="s">
        <v>43</v>
      </c>
      <c r="I8077" t="s">
        <v>2191</v>
      </c>
      <c r="J8077" s="10">
        <v>47.625</v>
      </c>
      <c r="K8077" t="b">
        <v>1</v>
      </c>
    </row>
    <row r="8078" spans="1:11">
      <c r="A8078" s="12">
        <v>42650</v>
      </c>
      <c r="B8078">
        <v>2016</v>
      </c>
      <c r="C8078">
        <v>10</v>
      </c>
      <c r="D8078" s="11">
        <v>42644</v>
      </c>
      <c r="E8078" t="s">
        <v>2182</v>
      </c>
      <c r="F8078">
        <v>5</v>
      </c>
      <c r="G8078" t="s">
        <v>55</v>
      </c>
      <c r="H8078" t="s">
        <v>44</v>
      </c>
      <c r="I8078" t="s">
        <v>2192</v>
      </c>
      <c r="J8078" s="10">
        <v>4</v>
      </c>
      <c r="K8078" t="b">
        <v>1</v>
      </c>
    </row>
    <row r="8079" spans="1:11">
      <c r="A8079" s="12">
        <v>42650</v>
      </c>
      <c r="B8079">
        <v>2016</v>
      </c>
      <c r="C8079">
        <v>10</v>
      </c>
      <c r="D8079" s="11">
        <v>42644</v>
      </c>
      <c r="E8079" t="s">
        <v>2182</v>
      </c>
      <c r="F8079">
        <v>5</v>
      </c>
      <c r="G8079" t="s">
        <v>55</v>
      </c>
      <c r="H8079" t="s">
        <v>45</v>
      </c>
      <c r="I8079" t="s">
        <v>2193</v>
      </c>
      <c r="J8079" s="10">
        <v>0</v>
      </c>
      <c r="K8079" t="b">
        <v>1</v>
      </c>
    </row>
    <row r="8080" spans="1:11">
      <c r="A8080" s="12">
        <v>42650</v>
      </c>
      <c r="B8080">
        <v>2016</v>
      </c>
      <c r="C8080">
        <v>10</v>
      </c>
      <c r="D8080" s="11">
        <v>42644</v>
      </c>
      <c r="E8080" t="s">
        <v>2182</v>
      </c>
      <c r="F8080">
        <v>5</v>
      </c>
      <c r="G8080" t="s">
        <v>55</v>
      </c>
      <c r="H8080" t="s">
        <v>46</v>
      </c>
      <c r="I8080" t="s">
        <v>2194</v>
      </c>
      <c r="J8080" s="10">
        <v>0</v>
      </c>
      <c r="K8080" t="b">
        <v>1</v>
      </c>
    </row>
    <row r="8081" spans="1:11">
      <c r="A8081" s="12">
        <v>42650</v>
      </c>
      <c r="B8081">
        <v>2016</v>
      </c>
      <c r="C8081">
        <v>10</v>
      </c>
      <c r="D8081" s="11">
        <v>42644</v>
      </c>
      <c r="E8081" t="s">
        <v>2182</v>
      </c>
      <c r="F8081">
        <v>5</v>
      </c>
      <c r="G8081" t="s">
        <v>55</v>
      </c>
      <c r="H8081" t="s">
        <v>47</v>
      </c>
      <c r="I8081" t="s">
        <v>2195</v>
      </c>
      <c r="J8081" s="10">
        <v>1</v>
      </c>
      <c r="K8081" t="b">
        <v>1</v>
      </c>
    </row>
    <row r="8082" spans="1:11">
      <c r="A8082" s="12">
        <v>42651</v>
      </c>
      <c r="B8082">
        <v>2016</v>
      </c>
      <c r="C8082">
        <v>10</v>
      </c>
      <c r="D8082" s="11">
        <v>42644</v>
      </c>
      <c r="E8082" t="s">
        <v>2182</v>
      </c>
      <c r="F8082">
        <v>6</v>
      </c>
      <c r="G8082" t="s">
        <v>57</v>
      </c>
      <c r="H8082" t="s">
        <v>40</v>
      </c>
      <c r="I8082" t="s">
        <v>2188</v>
      </c>
      <c r="J8082" s="10">
        <v>7.34</v>
      </c>
      <c r="K8082" t="b">
        <v>1</v>
      </c>
    </row>
    <row r="8083" spans="1:11">
      <c r="A8083" s="12">
        <v>42651</v>
      </c>
      <c r="B8083">
        <v>2016</v>
      </c>
      <c r="C8083">
        <v>10</v>
      </c>
      <c r="D8083" s="11">
        <v>42644</v>
      </c>
      <c r="E8083" t="s">
        <v>2182</v>
      </c>
      <c r="F8083">
        <v>6</v>
      </c>
      <c r="G8083" t="s">
        <v>57</v>
      </c>
      <c r="H8083" t="s">
        <v>41</v>
      </c>
      <c r="I8083" t="s">
        <v>2189</v>
      </c>
      <c r="J8083" s="10">
        <v>6.33</v>
      </c>
      <c r="K8083" t="b">
        <v>1</v>
      </c>
    </row>
    <row r="8084" spans="1:11">
      <c r="A8084" s="12">
        <v>42651</v>
      </c>
      <c r="B8084">
        <v>2016</v>
      </c>
      <c r="C8084">
        <v>10</v>
      </c>
      <c r="D8084" s="11">
        <v>42644</v>
      </c>
      <c r="E8084" t="s">
        <v>2182</v>
      </c>
      <c r="F8084">
        <v>6</v>
      </c>
      <c r="G8084" t="s">
        <v>57</v>
      </c>
      <c r="H8084" t="s">
        <v>42</v>
      </c>
      <c r="I8084" t="s">
        <v>2190</v>
      </c>
      <c r="J8084" s="10">
        <v>5</v>
      </c>
      <c r="K8084" t="b">
        <v>1</v>
      </c>
    </row>
    <row r="8085" spans="1:11">
      <c r="A8085" s="12">
        <v>42651</v>
      </c>
      <c r="B8085">
        <v>2016</v>
      </c>
      <c r="C8085">
        <v>10</v>
      </c>
      <c r="D8085" s="11">
        <v>42644</v>
      </c>
      <c r="E8085" t="s">
        <v>2182</v>
      </c>
      <c r="F8085">
        <v>6</v>
      </c>
      <c r="G8085" t="s">
        <v>57</v>
      </c>
      <c r="H8085" t="s">
        <v>43</v>
      </c>
      <c r="I8085" t="s">
        <v>2191</v>
      </c>
      <c r="J8085" s="10">
        <v>52.7</v>
      </c>
      <c r="K8085" t="b">
        <v>1</v>
      </c>
    </row>
    <row r="8086" spans="1:11">
      <c r="A8086" s="12">
        <v>42651</v>
      </c>
      <c r="B8086">
        <v>2016</v>
      </c>
      <c r="C8086">
        <v>10</v>
      </c>
      <c r="D8086" s="11">
        <v>42644</v>
      </c>
      <c r="E8086" t="s">
        <v>2182</v>
      </c>
      <c r="F8086">
        <v>6</v>
      </c>
      <c r="G8086" t="s">
        <v>57</v>
      </c>
      <c r="H8086" t="s">
        <v>44</v>
      </c>
      <c r="I8086" t="s">
        <v>2192</v>
      </c>
      <c r="J8086" s="10">
        <v>2</v>
      </c>
      <c r="K8086" t="b">
        <v>1</v>
      </c>
    </row>
    <row r="8087" spans="1:11">
      <c r="A8087" s="12">
        <v>42651</v>
      </c>
      <c r="B8087">
        <v>2016</v>
      </c>
      <c r="C8087">
        <v>10</v>
      </c>
      <c r="D8087" s="11">
        <v>42644</v>
      </c>
      <c r="E8087" t="s">
        <v>2182</v>
      </c>
      <c r="F8087">
        <v>6</v>
      </c>
      <c r="G8087" t="s">
        <v>57</v>
      </c>
      <c r="H8087" t="s">
        <v>45</v>
      </c>
      <c r="I8087" t="s">
        <v>2193</v>
      </c>
      <c r="J8087" s="10">
        <v>0</v>
      </c>
      <c r="K8087" t="b">
        <v>1</v>
      </c>
    </row>
    <row r="8088" spans="1:11">
      <c r="A8088" s="12">
        <v>42651</v>
      </c>
      <c r="B8088">
        <v>2016</v>
      </c>
      <c r="C8088">
        <v>10</v>
      </c>
      <c r="D8088" s="11">
        <v>42644</v>
      </c>
      <c r="E8088" t="s">
        <v>2182</v>
      </c>
      <c r="F8088">
        <v>6</v>
      </c>
      <c r="G8088" t="s">
        <v>57</v>
      </c>
      <c r="H8088" t="s">
        <v>46</v>
      </c>
      <c r="I8088" t="s">
        <v>2194</v>
      </c>
      <c r="J8088" s="10">
        <v>6</v>
      </c>
      <c r="K8088" t="b">
        <v>1</v>
      </c>
    </row>
    <row r="8089" spans="1:11">
      <c r="A8089" s="12">
        <v>42651</v>
      </c>
      <c r="B8089">
        <v>2016</v>
      </c>
      <c r="C8089">
        <v>10</v>
      </c>
      <c r="D8089" s="11">
        <v>42644</v>
      </c>
      <c r="E8089" t="s">
        <v>2182</v>
      </c>
      <c r="F8089">
        <v>6</v>
      </c>
      <c r="G8089" t="s">
        <v>57</v>
      </c>
      <c r="H8089" t="s">
        <v>47</v>
      </c>
      <c r="I8089" t="s">
        <v>2195</v>
      </c>
      <c r="J8089" s="10">
        <v>5</v>
      </c>
      <c r="K8089" t="b">
        <v>1</v>
      </c>
    </row>
    <row r="8090" spans="1:11">
      <c r="A8090" s="12">
        <v>42652</v>
      </c>
      <c r="B8090">
        <v>2016</v>
      </c>
      <c r="C8090">
        <v>10</v>
      </c>
      <c r="D8090" s="11">
        <v>42644</v>
      </c>
      <c r="E8090" t="s">
        <v>2182</v>
      </c>
      <c r="F8090">
        <v>7</v>
      </c>
      <c r="G8090" t="s">
        <v>59</v>
      </c>
      <c r="H8090" t="s">
        <v>40</v>
      </c>
      <c r="I8090" t="s">
        <v>2188</v>
      </c>
      <c r="J8090" s="10">
        <v>6.68</v>
      </c>
      <c r="K8090" t="b">
        <v>1</v>
      </c>
    </row>
    <row r="8091" spans="1:11">
      <c r="A8091" s="12">
        <v>42652</v>
      </c>
      <c r="B8091">
        <v>2016</v>
      </c>
      <c r="C8091">
        <v>10</v>
      </c>
      <c r="D8091" s="11">
        <v>42644</v>
      </c>
      <c r="E8091" t="s">
        <v>2182</v>
      </c>
      <c r="F8091">
        <v>7</v>
      </c>
      <c r="G8091" t="s">
        <v>59</v>
      </c>
      <c r="H8091" t="s">
        <v>41</v>
      </c>
      <c r="I8091" t="s">
        <v>2189</v>
      </c>
      <c r="J8091" s="10">
        <v>5.02</v>
      </c>
      <c r="K8091" t="b">
        <v>1</v>
      </c>
    </row>
    <row r="8092" spans="1:11">
      <c r="A8092" s="12">
        <v>42652</v>
      </c>
      <c r="B8092">
        <v>2016</v>
      </c>
      <c r="C8092">
        <v>10</v>
      </c>
      <c r="D8092" s="11">
        <v>42644</v>
      </c>
      <c r="E8092" t="s">
        <v>2182</v>
      </c>
      <c r="F8092">
        <v>7</v>
      </c>
      <c r="G8092" t="s">
        <v>59</v>
      </c>
      <c r="H8092" t="s">
        <v>42</v>
      </c>
      <c r="I8092" t="s">
        <v>2190</v>
      </c>
      <c r="J8092" s="10">
        <v>5.5</v>
      </c>
      <c r="K8092" t="b">
        <v>1</v>
      </c>
    </row>
    <row r="8093" spans="1:11">
      <c r="A8093" s="12">
        <v>42652</v>
      </c>
      <c r="B8093">
        <v>2016</v>
      </c>
      <c r="C8093">
        <v>10</v>
      </c>
      <c r="D8093" s="11">
        <v>42644</v>
      </c>
      <c r="E8093" t="s">
        <v>2182</v>
      </c>
      <c r="F8093">
        <v>7</v>
      </c>
      <c r="G8093" t="s">
        <v>59</v>
      </c>
      <c r="H8093" t="s">
        <v>43</v>
      </c>
      <c r="I8093" t="s">
        <v>2191</v>
      </c>
      <c r="J8093" s="10">
        <v>88.40000000000001</v>
      </c>
      <c r="K8093" t="b">
        <v>1</v>
      </c>
    </row>
    <row r="8094" spans="1:11">
      <c r="A8094" s="12">
        <v>42652</v>
      </c>
      <c r="B8094">
        <v>2016</v>
      </c>
      <c r="C8094">
        <v>10</v>
      </c>
      <c r="D8094" s="11">
        <v>42644</v>
      </c>
      <c r="E8094" t="s">
        <v>2182</v>
      </c>
      <c r="F8094">
        <v>7</v>
      </c>
      <c r="G8094" t="s">
        <v>59</v>
      </c>
      <c r="H8094" t="s">
        <v>44</v>
      </c>
      <c r="I8094" t="s">
        <v>2192</v>
      </c>
      <c r="J8094" s="10">
        <v>2</v>
      </c>
      <c r="K8094" t="b">
        <v>1</v>
      </c>
    </row>
    <row r="8095" spans="1:11">
      <c r="A8095" s="12">
        <v>42652</v>
      </c>
      <c r="B8095">
        <v>2016</v>
      </c>
      <c r="C8095">
        <v>10</v>
      </c>
      <c r="D8095" s="11">
        <v>42644</v>
      </c>
      <c r="E8095" t="s">
        <v>2182</v>
      </c>
      <c r="F8095">
        <v>7</v>
      </c>
      <c r="G8095" t="s">
        <v>59</v>
      </c>
      <c r="H8095" t="s">
        <v>45</v>
      </c>
      <c r="I8095" t="s">
        <v>2193</v>
      </c>
      <c r="J8095" s="10">
        <v>0</v>
      </c>
      <c r="K8095" t="b">
        <v>1</v>
      </c>
    </row>
    <row r="8096" spans="1:11">
      <c r="A8096" s="12">
        <v>42652</v>
      </c>
      <c r="B8096">
        <v>2016</v>
      </c>
      <c r="C8096">
        <v>10</v>
      </c>
      <c r="D8096" s="11">
        <v>42644</v>
      </c>
      <c r="E8096" t="s">
        <v>2182</v>
      </c>
      <c r="F8096">
        <v>7</v>
      </c>
      <c r="G8096" t="s">
        <v>59</v>
      </c>
      <c r="H8096" t="s">
        <v>46</v>
      </c>
      <c r="I8096" t="s">
        <v>2194</v>
      </c>
      <c r="J8096" s="10">
        <v>9</v>
      </c>
      <c r="K8096" t="b">
        <v>1</v>
      </c>
    </row>
    <row r="8097" spans="1:11">
      <c r="A8097" s="12">
        <v>42652</v>
      </c>
      <c r="B8097">
        <v>2016</v>
      </c>
      <c r="C8097">
        <v>10</v>
      </c>
      <c r="D8097" s="11">
        <v>42644</v>
      </c>
      <c r="E8097" t="s">
        <v>2182</v>
      </c>
      <c r="F8097">
        <v>7</v>
      </c>
      <c r="G8097" t="s">
        <v>59</v>
      </c>
      <c r="H8097" t="s">
        <v>47</v>
      </c>
      <c r="I8097" t="s">
        <v>2195</v>
      </c>
      <c r="J8097" s="10">
        <v>1</v>
      </c>
      <c r="K8097" t="b">
        <v>1</v>
      </c>
    </row>
    <row r="8098" spans="1:11">
      <c r="A8098" s="12">
        <v>42653</v>
      </c>
      <c r="B8098">
        <v>2016</v>
      </c>
      <c r="C8098">
        <v>10</v>
      </c>
      <c r="D8098" s="11">
        <v>42644</v>
      </c>
      <c r="E8098" t="s">
        <v>2182</v>
      </c>
      <c r="F8098">
        <v>1</v>
      </c>
      <c r="G8098" t="s">
        <v>61</v>
      </c>
      <c r="H8098" t="s">
        <v>40</v>
      </c>
      <c r="I8098" t="s">
        <v>2188</v>
      </c>
      <c r="J8098" s="10">
        <v>2</v>
      </c>
      <c r="K8098" t="b">
        <v>1</v>
      </c>
    </row>
    <row r="8099" spans="1:11">
      <c r="A8099" s="12">
        <v>42653</v>
      </c>
      <c r="B8099">
        <v>2016</v>
      </c>
      <c r="C8099">
        <v>10</v>
      </c>
      <c r="D8099" s="11">
        <v>42644</v>
      </c>
      <c r="E8099" t="s">
        <v>2182</v>
      </c>
      <c r="F8099">
        <v>1</v>
      </c>
      <c r="G8099" t="s">
        <v>61</v>
      </c>
      <c r="H8099" t="s">
        <v>41</v>
      </c>
      <c r="I8099" t="s">
        <v>2189</v>
      </c>
      <c r="J8099" s="10">
        <v>5.066</v>
      </c>
      <c r="K8099" t="b">
        <v>1</v>
      </c>
    </row>
    <row r="8100" spans="1:11">
      <c r="A8100" s="12">
        <v>42653</v>
      </c>
      <c r="B8100">
        <v>2016</v>
      </c>
      <c r="C8100">
        <v>10</v>
      </c>
      <c r="D8100" s="11">
        <v>42644</v>
      </c>
      <c r="E8100" t="s">
        <v>2182</v>
      </c>
      <c r="F8100">
        <v>1</v>
      </c>
      <c r="G8100" t="s">
        <v>61</v>
      </c>
      <c r="H8100" t="s">
        <v>42</v>
      </c>
      <c r="I8100" t="s">
        <v>2190</v>
      </c>
      <c r="J8100" s="10">
        <v>5</v>
      </c>
      <c r="K8100" t="b">
        <v>1</v>
      </c>
    </row>
    <row r="8101" spans="1:11">
      <c r="A8101" s="12">
        <v>42653</v>
      </c>
      <c r="B8101">
        <v>2016</v>
      </c>
      <c r="C8101">
        <v>10</v>
      </c>
      <c r="D8101" s="11">
        <v>42644</v>
      </c>
      <c r="E8101" t="s">
        <v>2182</v>
      </c>
      <c r="F8101">
        <v>1</v>
      </c>
      <c r="G8101" t="s">
        <v>61</v>
      </c>
      <c r="H8101" t="s">
        <v>43</v>
      </c>
      <c r="I8101" t="s">
        <v>2191</v>
      </c>
      <c r="J8101" s="10">
        <v>31.6</v>
      </c>
      <c r="K8101" t="b">
        <v>1</v>
      </c>
    </row>
    <row r="8102" spans="1:11">
      <c r="A8102" s="12">
        <v>42653</v>
      </c>
      <c r="B8102">
        <v>2016</v>
      </c>
      <c r="C8102">
        <v>10</v>
      </c>
      <c r="D8102" s="11">
        <v>42644</v>
      </c>
      <c r="E8102" t="s">
        <v>2182</v>
      </c>
      <c r="F8102">
        <v>1</v>
      </c>
      <c r="G8102" t="s">
        <v>61</v>
      </c>
      <c r="H8102" t="s">
        <v>44</v>
      </c>
      <c r="I8102" t="s">
        <v>2192</v>
      </c>
      <c r="J8102" s="10">
        <v>1</v>
      </c>
      <c r="K8102" t="b">
        <v>1</v>
      </c>
    </row>
    <row r="8103" spans="1:11">
      <c r="A8103" s="12">
        <v>42653</v>
      </c>
      <c r="B8103">
        <v>2016</v>
      </c>
      <c r="C8103">
        <v>10</v>
      </c>
      <c r="D8103" s="11">
        <v>42644</v>
      </c>
      <c r="E8103" t="s">
        <v>2182</v>
      </c>
      <c r="F8103">
        <v>1</v>
      </c>
      <c r="G8103" t="s">
        <v>61</v>
      </c>
      <c r="H8103" t="s">
        <v>45</v>
      </c>
      <c r="I8103" t="s">
        <v>2193</v>
      </c>
      <c r="J8103" s="10">
        <v>0</v>
      </c>
      <c r="K8103" t="b">
        <v>1</v>
      </c>
    </row>
    <row r="8104" spans="1:11">
      <c r="A8104" s="12">
        <v>42653</v>
      </c>
      <c r="B8104">
        <v>2016</v>
      </c>
      <c r="C8104">
        <v>10</v>
      </c>
      <c r="D8104" s="11">
        <v>42644</v>
      </c>
      <c r="E8104" t="s">
        <v>2182</v>
      </c>
      <c r="F8104">
        <v>1</v>
      </c>
      <c r="G8104" t="s">
        <v>61</v>
      </c>
      <c r="H8104" t="s">
        <v>46</v>
      </c>
      <c r="I8104" t="s">
        <v>2194</v>
      </c>
      <c r="J8104" s="10">
        <v>3</v>
      </c>
      <c r="K8104" t="b">
        <v>1</v>
      </c>
    </row>
    <row r="8105" spans="1:11">
      <c r="A8105" s="12">
        <v>42653</v>
      </c>
      <c r="B8105">
        <v>2016</v>
      </c>
      <c r="C8105">
        <v>10</v>
      </c>
      <c r="D8105" s="11">
        <v>42644</v>
      </c>
      <c r="E8105" t="s">
        <v>2182</v>
      </c>
      <c r="F8105">
        <v>1</v>
      </c>
      <c r="G8105" t="s">
        <v>61</v>
      </c>
      <c r="H8105" t="s">
        <v>47</v>
      </c>
      <c r="I8105" t="s">
        <v>2195</v>
      </c>
      <c r="J8105" s="10">
        <v>1</v>
      </c>
      <c r="K8105" t="b">
        <v>1</v>
      </c>
    </row>
    <row r="8106" spans="1:11">
      <c r="A8106" s="12">
        <v>42654</v>
      </c>
      <c r="B8106">
        <v>2016</v>
      </c>
      <c r="C8106">
        <v>10</v>
      </c>
      <c r="D8106" s="11">
        <v>42644</v>
      </c>
      <c r="E8106" t="s">
        <v>2182</v>
      </c>
      <c r="F8106">
        <v>2</v>
      </c>
      <c r="G8106" t="s">
        <v>63</v>
      </c>
      <c r="H8106" t="s">
        <v>40</v>
      </c>
      <c r="I8106" t="s">
        <v>2188</v>
      </c>
      <c r="J8106" s="10">
        <v>7.33</v>
      </c>
      <c r="K8106" t="b">
        <v>1</v>
      </c>
    </row>
    <row r="8107" spans="1:11">
      <c r="A8107" s="12">
        <v>42654</v>
      </c>
      <c r="B8107">
        <v>2016</v>
      </c>
      <c r="C8107">
        <v>10</v>
      </c>
      <c r="D8107" s="11">
        <v>42644</v>
      </c>
      <c r="E8107" t="s">
        <v>2182</v>
      </c>
      <c r="F8107">
        <v>2</v>
      </c>
      <c r="G8107" t="s">
        <v>63</v>
      </c>
      <c r="H8107" t="s">
        <v>41</v>
      </c>
      <c r="I8107" t="s">
        <v>2189</v>
      </c>
      <c r="J8107" s="10">
        <v>2.406</v>
      </c>
      <c r="K8107" t="b">
        <v>1</v>
      </c>
    </row>
    <row r="8108" spans="1:11">
      <c r="A8108" s="12">
        <v>42654</v>
      </c>
      <c r="B8108">
        <v>2016</v>
      </c>
      <c r="C8108">
        <v>10</v>
      </c>
      <c r="D8108" s="11">
        <v>42644</v>
      </c>
      <c r="E8108" t="s">
        <v>2182</v>
      </c>
      <c r="F8108">
        <v>2</v>
      </c>
      <c r="G8108" t="s">
        <v>63</v>
      </c>
      <c r="H8108" t="s">
        <v>42</v>
      </c>
      <c r="I8108" t="s">
        <v>2190</v>
      </c>
      <c r="J8108" s="10">
        <v>11.65</v>
      </c>
      <c r="K8108" t="b">
        <v>1</v>
      </c>
    </row>
    <row r="8109" spans="1:11">
      <c r="A8109" s="12">
        <v>42654</v>
      </c>
      <c r="B8109">
        <v>2016</v>
      </c>
      <c r="C8109">
        <v>10</v>
      </c>
      <c r="D8109" s="11">
        <v>42644</v>
      </c>
      <c r="E8109" t="s">
        <v>2182</v>
      </c>
      <c r="F8109">
        <v>2</v>
      </c>
      <c r="G8109" t="s">
        <v>63</v>
      </c>
      <c r="H8109" t="s">
        <v>43</v>
      </c>
      <c r="I8109" t="s">
        <v>2191</v>
      </c>
      <c r="J8109" s="10">
        <v>52.6</v>
      </c>
      <c r="K8109" t="b">
        <v>1</v>
      </c>
    </row>
    <row r="8110" spans="1:11">
      <c r="A8110" s="12">
        <v>42654</v>
      </c>
      <c r="B8110">
        <v>2016</v>
      </c>
      <c r="C8110">
        <v>10</v>
      </c>
      <c r="D8110" s="11">
        <v>42644</v>
      </c>
      <c r="E8110" t="s">
        <v>2182</v>
      </c>
      <c r="F8110">
        <v>2</v>
      </c>
      <c r="G8110" t="s">
        <v>63</v>
      </c>
      <c r="H8110" t="s">
        <v>44</v>
      </c>
      <c r="I8110" t="s">
        <v>2192</v>
      </c>
      <c r="J8110" s="10">
        <v>54.83333333</v>
      </c>
      <c r="K8110" t="b">
        <v>1</v>
      </c>
    </row>
    <row r="8111" spans="1:11">
      <c r="A8111" s="12">
        <v>42654</v>
      </c>
      <c r="B8111">
        <v>2016</v>
      </c>
      <c r="C8111">
        <v>10</v>
      </c>
      <c r="D8111" s="11">
        <v>42644</v>
      </c>
      <c r="E8111" t="s">
        <v>2182</v>
      </c>
      <c r="F8111">
        <v>2</v>
      </c>
      <c r="G8111" t="s">
        <v>63</v>
      </c>
      <c r="H8111" t="s">
        <v>45</v>
      </c>
      <c r="I8111" t="s">
        <v>2193</v>
      </c>
      <c r="J8111" s="10">
        <v>1</v>
      </c>
      <c r="K8111" t="b">
        <v>1</v>
      </c>
    </row>
    <row r="8112" spans="1:11">
      <c r="A8112" s="12">
        <v>42654</v>
      </c>
      <c r="B8112">
        <v>2016</v>
      </c>
      <c r="C8112">
        <v>10</v>
      </c>
      <c r="D8112" s="11">
        <v>42644</v>
      </c>
      <c r="E8112" t="s">
        <v>2182</v>
      </c>
      <c r="F8112">
        <v>2</v>
      </c>
      <c r="G8112" t="s">
        <v>63</v>
      </c>
      <c r="H8112" t="s">
        <v>46</v>
      </c>
      <c r="I8112" t="s">
        <v>2194</v>
      </c>
      <c r="J8112" s="10">
        <v>8</v>
      </c>
      <c r="K8112" t="b">
        <v>1</v>
      </c>
    </row>
    <row r="8113" spans="1:11">
      <c r="A8113" s="12">
        <v>42654</v>
      </c>
      <c r="B8113">
        <v>2016</v>
      </c>
      <c r="C8113">
        <v>10</v>
      </c>
      <c r="D8113" s="11">
        <v>42644</v>
      </c>
      <c r="E8113" t="s">
        <v>2182</v>
      </c>
      <c r="F8113">
        <v>2</v>
      </c>
      <c r="G8113" t="s">
        <v>63</v>
      </c>
      <c r="H8113" t="s">
        <v>47</v>
      </c>
      <c r="I8113" t="s">
        <v>2195</v>
      </c>
      <c r="J8113" s="10">
        <v>1</v>
      </c>
      <c r="K8113" t="b">
        <v>1</v>
      </c>
    </row>
    <row r="8114" spans="1:11">
      <c r="A8114" s="12">
        <v>42655</v>
      </c>
      <c r="B8114">
        <v>2016</v>
      </c>
      <c r="C8114">
        <v>10</v>
      </c>
      <c r="D8114" s="11">
        <v>42644</v>
      </c>
      <c r="E8114" t="s">
        <v>2182</v>
      </c>
      <c r="F8114">
        <v>3</v>
      </c>
      <c r="G8114" t="s">
        <v>65</v>
      </c>
      <c r="H8114" t="s">
        <v>40</v>
      </c>
      <c r="I8114" t="s">
        <v>2188</v>
      </c>
      <c r="J8114" s="10">
        <v>8.33</v>
      </c>
      <c r="K8114" t="b">
        <v>1</v>
      </c>
    </row>
    <row r="8115" spans="1:11">
      <c r="A8115" s="12">
        <v>42655</v>
      </c>
      <c r="B8115">
        <v>2016</v>
      </c>
      <c r="C8115">
        <v>10</v>
      </c>
      <c r="D8115" s="11">
        <v>42644</v>
      </c>
      <c r="E8115" t="s">
        <v>2182</v>
      </c>
      <c r="F8115">
        <v>3</v>
      </c>
      <c r="G8115" t="s">
        <v>65</v>
      </c>
      <c r="H8115" t="s">
        <v>41</v>
      </c>
      <c r="I8115" t="s">
        <v>2189</v>
      </c>
      <c r="J8115" s="10">
        <v>2.373</v>
      </c>
      <c r="K8115" t="b">
        <v>1</v>
      </c>
    </row>
    <row r="8116" spans="1:11">
      <c r="A8116" s="12">
        <v>42655</v>
      </c>
      <c r="B8116">
        <v>2016</v>
      </c>
      <c r="C8116">
        <v>10</v>
      </c>
      <c r="D8116" s="11">
        <v>42644</v>
      </c>
      <c r="E8116" t="s">
        <v>2182</v>
      </c>
      <c r="F8116">
        <v>3</v>
      </c>
      <c r="G8116" t="s">
        <v>65</v>
      </c>
      <c r="H8116" t="s">
        <v>42</v>
      </c>
      <c r="I8116" t="s">
        <v>2190</v>
      </c>
      <c r="J8116" s="10">
        <v>2</v>
      </c>
      <c r="K8116" t="b">
        <v>1</v>
      </c>
    </row>
    <row r="8117" spans="1:11">
      <c r="A8117" s="12">
        <v>42655</v>
      </c>
      <c r="B8117">
        <v>2016</v>
      </c>
      <c r="C8117">
        <v>10</v>
      </c>
      <c r="D8117" s="11">
        <v>42644</v>
      </c>
      <c r="E8117" t="s">
        <v>2182</v>
      </c>
      <c r="F8117">
        <v>3</v>
      </c>
      <c r="G8117" t="s">
        <v>65</v>
      </c>
      <c r="H8117" t="s">
        <v>43</v>
      </c>
      <c r="I8117" t="s">
        <v>2191</v>
      </c>
      <c r="J8117" s="10">
        <v>45.75</v>
      </c>
      <c r="K8117" t="b">
        <v>1</v>
      </c>
    </row>
    <row r="8118" spans="1:11">
      <c r="A8118" s="12">
        <v>42655</v>
      </c>
      <c r="B8118">
        <v>2016</v>
      </c>
      <c r="C8118">
        <v>10</v>
      </c>
      <c r="D8118" s="11">
        <v>42644</v>
      </c>
      <c r="E8118" t="s">
        <v>2182</v>
      </c>
      <c r="F8118">
        <v>3</v>
      </c>
      <c r="G8118" t="s">
        <v>65</v>
      </c>
      <c r="H8118" t="s">
        <v>44</v>
      </c>
      <c r="I8118" t="s">
        <v>2192</v>
      </c>
      <c r="J8118" s="10">
        <v>18</v>
      </c>
      <c r="K8118" t="b">
        <v>1</v>
      </c>
    </row>
    <row r="8119" spans="1:11">
      <c r="A8119" s="12">
        <v>42655</v>
      </c>
      <c r="B8119">
        <v>2016</v>
      </c>
      <c r="C8119">
        <v>10</v>
      </c>
      <c r="D8119" s="11">
        <v>42644</v>
      </c>
      <c r="E8119" t="s">
        <v>2182</v>
      </c>
      <c r="F8119">
        <v>3</v>
      </c>
      <c r="G8119" t="s">
        <v>65</v>
      </c>
      <c r="H8119" t="s">
        <v>45</v>
      </c>
      <c r="I8119" t="s">
        <v>2193</v>
      </c>
      <c r="J8119" s="10">
        <v>1</v>
      </c>
      <c r="K8119" t="b">
        <v>1</v>
      </c>
    </row>
    <row r="8120" spans="1:11">
      <c r="A8120" s="12">
        <v>42655</v>
      </c>
      <c r="B8120">
        <v>2016</v>
      </c>
      <c r="C8120">
        <v>10</v>
      </c>
      <c r="D8120" s="11">
        <v>42644</v>
      </c>
      <c r="E8120" t="s">
        <v>2182</v>
      </c>
      <c r="F8120">
        <v>3</v>
      </c>
      <c r="G8120" t="s">
        <v>65</v>
      </c>
      <c r="H8120" t="s">
        <v>46</v>
      </c>
      <c r="I8120" t="s">
        <v>2194</v>
      </c>
      <c r="J8120" s="10">
        <v>17</v>
      </c>
      <c r="K8120" t="b">
        <v>1</v>
      </c>
    </row>
    <row r="8121" spans="1:11">
      <c r="A8121" s="12">
        <v>42655</v>
      </c>
      <c r="B8121">
        <v>2016</v>
      </c>
      <c r="C8121">
        <v>10</v>
      </c>
      <c r="D8121" s="11">
        <v>42644</v>
      </c>
      <c r="E8121" t="s">
        <v>2182</v>
      </c>
      <c r="F8121">
        <v>3</v>
      </c>
      <c r="G8121" t="s">
        <v>65</v>
      </c>
      <c r="H8121" t="s">
        <v>47</v>
      </c>
      <c r="I8121" t="s">
        <v>2195</v>
      </c>
      <c r="J8121" s="10">
        <v>2</v>
      </c>
      <c r="K8121" t="b">
        <v>1</v>
      </c>
    </row>
    <row r="8122" spans="1:11">
      <c r="A8122" s="12">
        <v>42656</v>
      </c>
      <c r="B8122">
        <v>2016</v>
      </c>
      <c r="C8122">
        <v>10</v>
      </c>
      <c r="D8122" s="11">
        <v>42644</v>
      </c>
      <c r="E8122" t="s">
        <v>2182</v>
      </c>
      <c r="F8122">
        <v>4</v>
      </c>
      <c r="G8122" t="s">
        <v>53</v>
      </c>
      <c r="H8122" t="s">
        <v>40</v>
      </c>
      <c r="I8122" t="s">
        <v>2188</v>
      </c>
      <c r="J8122" s="10">
        <v>4.66</v>
      </c>
      <c r="K8122" t="b">
        <v>1</v>
      </c>
    </row>
    <row r="8123" spans="1:11">
      <c r="A8123" s="12">
        <v>42656</v>
      </c>
      <c r="B8123">
        <v>2016</v>
      </c>
      <c r="C8123">
        <v>10</v>
      </c>
      <c r="D8123" s="11">
        <v>42644</v>
      </c>
      <c r="E8123" t="s">
        <v>2182</v>
      </c>
      <c r="F8123">
        <v>4</v>
      </c>
      <c r="G8123" t="s">
        <v>53</v>
      </c>
      <c r="H8123" t="s">
        <v>41</v>
      </c>
      <c r="I8123" t="s">
        <v>2189</v>
      </c>
      <c r="J8123" s="10">
        <v>4.33</v>
      </c>
      <c r="K8123" t="b">
        <v>1</v>
      </c>
    </row>
    <row r="8124" spans="1:11">
      <c r="A8124" s="12">
        <v>42656</v>
      </c>
      <c r="B8124">
        <v>2016</v>
      </c>
      <c r="C8124">
        <v>10</v>
      </c>
      <c r="D8124" s="11">
        <v>42644</v>
      </c>
      <c r="E8124" t="s">
        <v>2182</v>
      </c>
      <c r="F8124">
        <v>4</v>
      </c>
      <c r="G8124" t="s">
        <v>53</v>
      </c>
      <c r="H8124" t="s">
        <v>42</v>
      </c>
      <c r="I8124" t="s">
        <v>2190</v>
      </c>
      <c r="J8124" s="10">
        <v>3.2</v>
      </c>
      <c r="K8124" t="b">
        <v>1</v>
      </c>
    </row>
    <row r="8125" spans="1:11">
      <c r="A8125" s="12">
        <v>42656</v>
      </c>
      <c r="B8125">
        <v>2016</v>
      </c>
      <c r="C8125">
        <v>10</v>
      </c>
      <c r="D8125" s="11">
        <v>42644</v>
      </c>
      <c r="E8125" t="s">
        <v>2182</v>
      </c>
      <c r="F8125">
        <v>4</v>
      </c>
      <c r="G8125" t="s">
        <v>53</v>
      </c>
      <c r="H8125" t="s">
        <v>43</v>
      </c>
      <c r="I8125" t="s">
        <v>2191</v>
      </c>
      <c r="J8125" s="10">
        <v>42.2</v>
      </c>
      <c r="K8125" t="b">
        <v>1</v>
      </c>
    </row>
    <row r="8126" spans="1:11">
      <c r="A8126" s="12">
        <v>42656</v>
      </c>
      <c r="B8126">
        <v>2016</v>
      </c>
      <c r="C8126">
        <v>10</v>
      </c>
      <c r="D8126" s="11">
        <v>42644</v>
      </c>
      <c r="E8126" t="s">
        <v>2182</v>
      </c>
      <c r="F8126">
        <v>4</v>
      </c>
      <c r="G8126" t="s">
        <v>53</v>
      </c>
      <c r="H8126" t="s">
        <v>44</v>
      </c>
      <c r="I8126" t="s">
        <v>2192</v>
      </c>
      <c r="J8126" s="10">
        <v>20</v>
      </c>
      <c r="K8126" t="b">
        <v>1</v>
      </c>
    </row>
    <row r="8127" spans="1:11">
      <c r="A8127" s="12">
        <v>42656</v>
      </c>
      <c r="B8127">
        <v>2016</v>
      </c>
      <c r="C8127">
        <v>10</v>
      </c>
      <c r="D8127" s="11">
        <v>42644</v>
      </c>
      <c r="E8127" t="s">
        <v>2182</v>
      </c>
      <c r="F8127">
        <v>4</v>
      </c>
      <c r="G8127" t="s">
        <v>53</v>
      </c>
      <c r="H8127" t="s">
        <v>45</v>
      </c>
      <c r="I8127" t="s">
        <v>2193</v>
      </c>
      <c r="J8127" s="10">
        <v>0</v>
      </c>
      <c r="K8127" t="b">
        <v>1</v>
      </c>
    </row>
    <row r="8128" spans="1:11">
      <c r="A8128" s="12">
        <v>42656</v>
      </c>
      <c r="B8128">
        <v>2016</v>
      </c>
      <c r="C8128">
        <v>10</v>
      </c>
      <c r="D8128" s="11">
        <v>42644</v>
      </c>
      <c r="E8128" t="s">
        <v>2182</v>
      </c>
      <c r="F8128">
        <v>4</v>
      </c>
      <c r="G8128" t="s">
        <v>53</v>
      </c>
      <c r="H8128" t="s">
        <v>46</v>
      </c>
      <c r="I8128" t="s">
        <v>2194</v>
      </c>
      <c r="J8128" s="10">
        <v>3</v>
      </c>
      <c r="K8128" t="b">
        <v>1</v>
      </c>
    </row>
    <row r="8129" spans="1:11">
      <c r="A8129" s="12">
        <v>42656</v>
      </c>
      <c r="B8129">
        <v>2016</v>
      </c>
      <c r="C8129">
        <v>10</v>
      </c>
      <c r="D8129" s="11">
        <v>42644</v>
      </c>
      <c r="E8129" t="s">
        <v>2182</v>
      </c>
      <c r="F8129">
        <v>4</v>
      </c>
      <c r="G8129" t="s">
        <v>53</v>
      </c>
      <c r="H8129" t="s">
        <v>47</v>
      </c>
      <c r="I8129" t="s">
        <v>2195</v>
      </c>
      <c r="J8129" s="10">
        <v>2.3</v>
      </c>
      <c r="K8129" t="b">
        <v>1</v>
      </c>
    </row>
    <row r="8130" spans="1:11">
      <c r="A8130" s="12">
        <v>42657</v>
      </c>
      <c r="B8130">
        <v>2016</v>
      </c>
      <c r="C8130">
        <v>10</v>
      </c>
      <c r="D8130" s="11">
        <v>42644</v>
      </c>
      <c r="E8130" t="s">
        <v>2182</v>
      </c>
      <c r="F8130">
        <v>5</v>
      </c>
      <c r="G8130" t="s">
        <v>55</v>
      </c>
      <c r="H8130" t="s">
        <v>40</v>
      </c>
      <c r="I8130" t="s">
        <v>2188</v>
      </c>
      <c r="J8130" s="10">
        <v>7</v>
      </c>
      <c r="K8130" t="b">
        <v>1</v>
      </c>
    </row>
    <row r="8131" spans="1:11">
      <c r="A8131" s="12">
        <v>42657</v>
      </c>
      <c r="B8131">
        <v>2016</v>
      </c>
      <c r="C8131">
        <v>10</v>
      </c>
      <c r="D8131" s="11">
        <v>42644</v>
      </c>
      <c r="E8131" t="s">
        <v>2182</v>
      </c>
      <c r="F8131">
        <v>5</v>
      </c>
      <c r="G8131" t="s">
        <v>55</v>
      </c>
      <c r="H8131" t="s">
        <v>41</v>
      </c>
      <c r="I8131" t="s">
        <v>2189</v>
      </c>
      <c r="J8131" s="10">
        <v>4</v>
      </c>
      <c r="K8131" t="b">
        <v>1</v>
      </c>
    </row>
    <row r="8132" spans="1:11">
      <c r="A8132" s="12">
        <v>42657</v>
      </c>
      <c r="B8132">
        <v>2016</v>
      </c>
      <c r="C8132">
        <v>10</v>
      </c>
      <c r="D8132" s="11">
        <v>42644</v>
      </c>
      <c r="E8132" t="s">
        <v>2182</v>
      </c>
      <c r="F8132">
        <v>5</v>
      </c>
      <c r="G8132" t="s">
        <v>55</v>
      </c>
      <c r="H8132" t="s">
        <v>42</v>
      </c>
      <c r="I8132" t="s">
        <v>2190</v>
      </c>
      <c r="J8132" s="10">
        <v>3</v>
      </c>
      <c r="K8132" t="b">
        <v>1</v>
      </c>
    </row>
    <row r="8133" spans="1:11">
      <c r="A8133" s="12">
        <v>42657</v>
      </c>
      <c r="B8133">
        <v>2016</v>
      </c>
      <c r="C8133">
        <v>10</v>
      </c>
      <c r="D8133" s="11">
        <v>42644</v>
      </c>
      <c r="E8133" t="s">
        <v>2182</v>
      </c>
      <c r="F8133">
        <v>5</v>
      </c>
      <c r="G8133" t="s">
        <v>55</v>
      </c>
      <c r="H8133" t="s">
        <v>43</v>
      </c>
      <c r="I8133" t="s">
        <v>2191</v>
      </c>
      <c r="J8133" s="10">
        <v>38.7</v>
      </c>
      <c r="K8133" t="b">
        <v>1</v>
      </c>
    </row>
    <row r="8134" spans="1:11">
      <c r="A8134" s="12">
        <v>42657</v>
      </c>
      <c r="B8134">
        <v>2016</v>
      </c>
      <c r="C8134">
        <v>10</v>
      </c>
      <c r="D8134" s="11">
        <v>42644</v>
      </c>
      <c r="E8134" t="s">
        <v>2182</v>
      </c>
      <c r="F8134">
        <v>5</v>
      </c>
      <c r="G8134" t="s">
        <v>55</v>
      </c>
      <c r="H8134" t="s">
        <v>44</v>
      </c>
      <c r="I8134" t="s">
        <v>2192</v>
      </c>
      <c r="J8134" s="10">
        <v>22</v>
      </c>
      <c r="K8134" t="b">
        <v>1</v>
      </c>
    </row>
    <row r="8135" spans="1:11">
      <c r="A8135" s="12">
        <v>42657</v>
      </c>
      <c r="B8135">
        <v>2016</v>
      </c>
      <c r="C8135">
        <v>10</v>
      </c>
      <c r="D8135" s="11">
        <v>42644</v>
      </c>
      <c r="E8135" t="s">
        <v>2182</v>
      </c>
      <c r="F8135">
        <v>5</v>
      </c>
      <c r="G8135" t="s">
        <v>55</v>
      </c>
      <c r="H8135" t="s">
        <v>45</v>
      </c>
      <c r="I8135" t="s">
        <v>2193</v>
      </c>
      <c r="J8135" s="10">
        <v>0</v>
      </c>
      <c r="K8135" t="b">
        <v>1</v>
      </c>
    </row>
    <row r="8136" spans="1:11">
      <c r="A8136" s="12">
        <v>42657</v>
      </c>
      <c r="B8136">
        <v>2016</v>
      </c>
      <c r="C8136">
        <v>10</v>
      </c>
      <c r="D8136" s="11">
        <v>42644</v>
      </c>
      <c r="E8136" t="s">
        <v>2182</v>
      </c>
      <c r="F8136">
        <v>5</v>
      </c>
      <c r="G8136" t="s">
        <v>55</v>
      </c>
      <c r="H8136" t="s">
        <v>46</v>
      </c>
      <c r="I8136" t="s">
        <v>2194</v>
      </c>
      <c r="J8136" s="10">
        <v>9</v>
      </c>
      <c r="K8136" t="b">
        <v>1</v>
      </c>
    </row>
    <row r="8137" spans="1:11">
      <c r="A8137" s="12">
        <v>42657</v>
      </c>
      <c r="B8137">
        <v>2016</v>
      </c>
      <c r="C8137">
        <v>10</v>
      </c>
      <c r="D8137" s="11">
        <v>42644</v>
      </c>
      <c r="E8137" t="s">
        <v>2182</v>
      </c>
      <c r="F8137">
        <v>5</v>
      </c>
      <c r="G8137" t="s">
        <v>55</v>
      </c>
      <c r="H8137" t="s">
        <v>47</v>
      </c>
      <c r="I8137" t="s">
        <v>2195</v>
      </c>
      <c r="J8137" s="10">
        <v>1</v>
      </c>
      <c r="K8137" t="b">
        <v>1</v>
      </c>
    </row>
    <row r="8138" spans="1:11">
      <c r="A8138" s="12">
        <v>42658</v>
      </c>
      <c r="B8138">
        <v>2016</v>
      </c>
      <c r="C8138">
        <v>10</v>
      </c>
      <c r="D8138" s="11">
        <v>42644</v>
      </c>
      <c r="E8138" t="s">
        <v>2182</v>
      </c>
      <c r="F8138">
        <v>6</v>
      </c>
      <c r="G8138" t="s">
        <v>57</v>
      </c>
      <c r="H8138" t="s">
        <v>40</v>
      </c>
      <c r="I8138" t="s">
        <v>2188</v>
      </c>
      <c r="J8138" s="10">
        <v>4</v>
      </c>
      <c r="K8138" t="b">
        <v>1</v>
      </c>
    </row>
    <row r="8139" spans="1:11">
      <c r="A8139" s="12">
        <v>42658</v>
      </c>
      <c r="B8139">
        <v>2016</v>
      </c>
      <c r="C8139">
        <v>10</v>
      </c>
      <c r="D8139" s="11">
        <v>42644</v>
      </c>
      <c r="E8139" t="s">
        <v>2182</v>
      </c>
      <c r="F8139">
        <v>6</v>
      </c>
      <c r="G8139" t="s">
        <v>57</v>
      </c>
      <c r="H8139" t="s">
        <v>41</v>
      </c>
      <c r="I8139" t="s">
        <v>2189</v>
      </c>
      <c r="J8139" s="10">
        <v>5.97</v>
      </c>
      <c r="K8139" t="b">
        <v>1</v>
      </c>
    </row>
    <row r="8140" spans="1:11">
      <c r="A8140" s="12">
        <v>42658</v>
      </c>
      <c r="B8140">
        <v>2016</v>
      </c>
      <c r="C8140">
        <v>10</v>
      </c>
      <c r="D8140" s="11">
        <v>42644</v>
      </c>
      <c r="E8140" t="s">
        <v>2182</v>
      </c>
      <c r="F8140">
        <v>6</v>
      </c>
      <c r="G8140" t="s">
        <v>57</v>
      </c>
      <c r="H8140" t="s">
        <v>42</v>
      </c>
      <c r="I8140" t="s">
        <v>2190</v>
      </c>
      <c r="J8140" s="10">
        <v>3.35</v>
      </c>
      <c r="K8140" t="b">
        <v>1</v>
      </c>
    </row>
    <row r="8141" spans="1:11">
      <c r="A8141" s="12">
        <v>42658</v>
      </c>
      <c r="B8141">
        <v>2016</v>
      </c>
      <c r="C8141">
        <v>10</v>
      </c>
      <c r="D8141" s="11">
        <v>42644</v>
      </c>
      <c r="E8141" t="s">
        <v>2182</v>
      </c>
      <c r="F8141">
        <v>6</v>
      </c>
      <c r="G8141" t="s">
        <v>57</v>
      </c>
      <c r="H8141" t="s">
        <v>43</v>
      </c>
      <c r="I8141" t="s">
        <v>2191</v>
      </c>
      <c r="J8141" s="10">
        <v>47.2</v>
      </c>
      <c r="K8141" t="b">
        <v>1</v>
      </c>
    </row>
    <row r="8142" spans="1:11">
      <c r="A8142" s="12">
        <v>42658</v>
      </c>
      <c r="B8142">
        <v>2016</v>
      </c>
      <c r="C8142">
        <v>10</v>
      </c>
      <c r="D8142" s="11">
        <v>42644</v>
      </c>
      <c r="E8142" t="s">
        <v>2182</v>
      </c>
      <c r="F8142">
        <v>6</v>
      </c>
      <c r="G8142" t="s">
        <v>57</v>
      </c>
      <c r="H8142" t="s">
        <v>44</v>
      </c>
      <c r="I8142" t="s">
        <v>2192</v>
      </c>
      <c r="J8142" s="10">
        <v>16</v>
      </c>
      <c r="K8142" t="b">
        <v>1</v>
      </c>
    </row>
    <row r="8143" spans="1:11">
      <c r="A8143" s="12">
        <v>42658</v>
      </c>
      <c r="B8143">
        <v>2016</v>
      </c>
      <c r="C8143">
        <v>10</v>
      </c>
      <c r="D8143" s="11">
        <v>42644</v>
      </c>
      <c r="E8143" t="s">
        <v>2182</v>
      </c>
      <c r="F8143">
        <v>6</v>
      </c>
      <c r="G8143" t="s">
        <v>57</v>
      </c>
      <c r="H8143" t="s">
        <v>45</v>
      </c>
      <c r="I8143" t="s">
        <v>2193</v>
      </c>
      <c r="J8143" s="10">
        <v>1</v>
      </c>
      <c r="K8143" t="b">
        <v>1</v>
      </c>
    </row>
    <row r="8144" spans="1:11">
      <c r="A8144" s="12">
        <v>42658</v>
      </c>
      <c r="B8144">
        <v>2016</v>
      </c>
      <c r="C8144">
        <v>10</v>
      </c>
      <c r="D8144" s="11">
        <v>42644</v>
      </c>
      <c r="E8144" t="s">
        <v>2182</v>
      </c>
      <c r="F8144">
        <v>6</v>
      </c>
      <c r="G8144" t="s">
        <v>57</v>
      </c>
      <c r="H8144" t="s">
        <v>46</v>
      </c>
      <c r="I8144" t="s">
        <v>2194</v>
      </c>
      <c r="J8144" s="10">
        <v>13</v>
      </c>
      <c r="K8144" t="b">
        <v>1</v>
      </c>
    </row>
    <row r="8145" spans="1:11">
      <c r="A8145" s="12">
        <v>42658</v>
      </c>
      <c r="B8145">
        <v>2016</v>
      </c>
      <c r="C8145">
        <v>10</v>
      </c>
      <c r="D8145" s="11">
        <v>42644</v>
      </c>
      <c r="E8145" t="s">
        <v>2182</v>
      </c>
      <c r="F8145">
        <v>6</v>
      </c>
      <c r="G8145" t="s">
        <v>57</v>
      </c>
      <c r="H8145" t="s">
        <v>47</v>
      </c>
      <c r="I8145" t="s">
        <v>2195</v>
      </c>
      <c r="J8145" s="10">
        <v>1</v>
      </c>
      <c r="K8145" t="b">
        <v>1</v>
      </c>
    </row>
    <row r="8146" spans="1:11">
      <c r="A8146" s="12">
        <v>42659</v>
      </c>
      <c r="B8146">
        <v>2016</v>
      </c>
      <c r="C8146">
        <v>10</v>
      </c>
      <c r="D8146" s="11">
        <v>42644</v>
      </c>
      <c r="E8146" t="s">
        <v>2182</v>
      </c>
      <c r="F8146">
        <v>7</v>
      </c>
      <c r="G8146" t="s">
        <v>59</v>
      </c>
      <c r="H8146" t="s">
        <v>40</v>
      </c>
      <c r="I8146" t="s">
        <v>2188</v>
      </c>
      <c r="J8146" s="10">
        <v>8.33</v>
      </c>
      <c r="K8146" t="b">
        <v>1</v>
      </c>
    </row>
    <row r="8147" spans="1:11">
      <c r="A8147" s="12">
        <v>42659</v>
      </c>
      <c r="B8147">
        <v>2016</v>
      </c>
      <c r="C8147">
        <v>10</v>
      </c>
      <c r="D8147" s="11">
        <v>42644</v>
      </c>
      <c r="E8147" t="s">
        <v>2182</v>
      </c>
      <c r="F8147">
        <v>7</v>
      </c>
      <c r="G8147" t="s">
        <v>59</v>
      </c>
      <c r="H8147" t="s">
        <v>41</v>
      </c>
      <c r="I8147" t="s">
        <v>2189</v>
      </c>
      <c r="J8147" s="10">
        <v>5.122</v>
      </c>
      <c r="K8147" t="b">
        <v>1</v>
      </c>
    </row>
    <row r="8148" spans="1:11">
      <c r="A8148" s="12">
        <v>42659</v>
      </c>
      <c r="B8148">
        <v>2016</v>
      </c>
      <c r="C8148">
        <v>10</v>
      </c>
      <c r="D8148" s="11">
        <v>42644</v>
      </c>
      <c r="E8148" t="s">
        <v>2182</v>
      </c>
      <c r="F8148">
        <v>7</v>
      </c>
      <c r="G8148" t="s">
        <v>59</v>
      </c>
      <c r="H8148" t="s">
        <v>42</v>
      </c>
      <c r="I8148" t="s">
        <v>2190</v>
      </c>
      <c r="J8148" s="10">
        <v>10</v>
      </c>
      <c r="K8148" t="b">
        <v>1</v>
      </c>
    </row>
    <row r="8149" spans="1:11">
      <c r="A8149" s="12">
        <v>42659</v>
      </c>
      <c r="B8149">
        <v>2016</v>
      </c>
      <c r="C8149">
        <v>10</v>
      </c>
      <c r="D8149" s="11">
        <v>42644</v>
      </c>
      <c r="E8149" t="s">
        <v>2182</v>
      </c>
      <c r="F8149">
        <v>7</v>
      </c>
      <c r="G8149" t="s">
        <v>59</v>
      </c>
      <c r="H8149" t="s">
        <v>43</v>
      </c>
      <c r="I8149" t="s">
        <v>2191</v>
      </c>
      <c r="J8149" s="10">
        <v>89.3</v>
      </c>
      <c r="K8149" t="b">
        <v>1</v>
      </c>
    </row>
    <row r="8150" spans="1:11">
      <c r="A8150" s="12">
        <v>42659</v>
      </c>
      <c r="B8150">
        <v>2016</v>
      </c>
      <c r="C8150">
        <v>10</v>
      </c>
      <c r="D8150" s="11">
        <v>42644</v>
      </c>
      <c r="E8150" t="s">
        <v>2182</v>
      </c>
      <c r="F8150">
        <v>7</v>
      </c>
      <c r="G8150" t="s">
        <v>59</v>
      </c>
      <c r="H8150" t="s">
        <v>44</v>
      </c>
      <c r="I8150" t="s">
        <v>2192</v>
      </c>
      <c r="J8150" s="10">
        <v>3</v>
      </c>
      <c r="K8150" t="b">
        <v>1</v>
      </c>
    </row>
    <row r="8151" spans="1:11">
      <c r="A8151" s="12">
        <v>42659</v>
      </c>
      <c r="B8151">
        <v>2016</v>
      </c>
      <c r="C8151">
        <v>10</v>
      </c>
      <c r="D8151" s="11">
        <v>42644</v>
      </c>
      <c r="E8151" t="s">
        <v>2182</v>
      </c>
      <c r="F8151">
        <v>7</v>
      </c>
      <c r="G8151" t="s">
        <v>59</v>
      </c>
      <c r="H8151" t="s">
        <v>45</v>
      </c>
      <c r="I8151" t="s">
        <v>2193</v>
      </c>
      <c r="J8151" s="10">
        <v>0</v>
      </c>
      <c r="K8151" t="b">
        <v>1</v>
      </c>
    </row>
    <row r="8152" spans="1:11">
      <c r="A8152" s="12">
        <v>42659</v>
      </c>
      <c r="B8152">
        <v>2016</v>
      </c>
      <c r="C8152">
        <v>10</v>
      </c>
      <c r="D8152" s="11">
        <v>42644</v>
      </c>
      <c r="E8152" t="s">
        <v>2182</v>
      </c>
      <c r="F8152">
        <v>7</v>
      </c>
      <c r="G8152" t="s">
        <v>59</v>
      </c>
      <c r="H8152" t="s">
        <v>46</v>
      </c>
      <c r="I8152" t="s">
        <v>2194</v>
      </c>
      <c r="J8152" s="10">
        <v>6</v>
      </c>
      <c r="K8152" t="b">
        <v>1</v>
      </c>
    </row>
    <row r="8153" spans="1:11">
      <c r="A8153" s="12">
        <v>42659</v>
      </c>
      <c r="B8153">
        <v>2016</v>
      </c>
      <c r="C8153">
        <v>10</v>
      </c>
      <c r="D8153" s="11">
        <v>42644</v>
      </c>
      <c r="E8153" t="s">
        <v>2182</v>
      </c>
      <c r="F8153">
        <v>7</v>
      </c>
      <c r="G8153" t="s">
        <v>59</v>
      </c>
      <c r="H8153" t="s">
        <v>47</v>
      </c>
      <c r="I8153" t="s">
        <v>2195</v>
      </c>
      <c r="J8153" s="10">
        <v>5</v>
      </c>
      <c r="K8153" t="b">
        <v>1</v>
      </c>
    </row>
    <row r="8154" spans="1:11">
      <c r="A8154" s="12">
        <v>42660</v>
      </c>
      <c r="B8154">
        <v>2016</v>
      </c>
      <c r="C8154">
        <v>10</v>
      </c>
      <c r="D8154" s="11">
        <v>42644</v>
      </c>
      <c r="E8154" t="s">
        <v>2182</v>
      </c>
      <c r="F8154">
        <v>1</v>
      </c>
      <c r="G8154" t="s">
        <v>61</v>
      </c>
      <c r="H8154" t="s">
        <v>40</v>
      </c>
      <c r="I8154" t="s">
        <v>2188</v>
      </c>
      <c r="J8154" s="10">
        <v>2</v>
      </c>
      <c r="K8154" t="b">
        <v>1</v>
      </c>
    </row>
    <row r="8155" spans="1:11">
      <c r="A8155" s="12">
        <v>42660</v>
      </c>
      <c r="B8155">
        <v>2016</v>
      </c>
      <c r="C8155">
        <v>10</v>
      </c>
      <c r="D8155" s="11">
        <v>42644</v>
      </c>
      <c r="E8155" t="s">
        <v>2182</v>
      </c>
      <c r="F8155">
        <v>1</v>
      </c>
      <c r="G8155" t="s">
        <v>61</v>
      </c>
      <c r="H8155" t="s">
        <v>41</v>
      </c>
      <c r="I8155" t="s">
        <v>2189</v>
      </c>
      <c r="J8155" s="10">
        <v>5</v>
      </c>
      <c r="K8155" t="b">
        <v>1</v>
      </c>
    </row>
    <row r="8156" spans="1:11">
      <c r="A8156" s="12">
        <v>42660</v>
      </c>
      <c r="B8156">
        <v>2016</v>
      </c>
      <c r="C8156">
        <v>10</v>
      </c>
      <c r="D8156" s="11">
        <v>42644</v>
      </c>
      <c r="E8156" t="s">
        <v>2182</v>
      </c>
      <c r="F8156">
        <v>1</v>
      </c>
      <c r="G8156" t="s">
        <v>61</v>
      </c>
      <c r="H8156" t="s">
        <v>42</v>
      </c>
      <c r="I8156" t="s">
        <v>2190</v>
      </c>
      <c r="J8156" s="10">
        <v>5</v>
      </c>
      <c r="K8156" t="b">
        <v>1</v>
      </c>
    </row>
    <row r="8157" spans="1:11">
      <c r="A8157" s="12">
        <v>42660</v>
      </c>
      <c r="B8157">
        <v>2016</v>
      </c>
      <c r="C8157">
        <v>10</v>
      </c>
      <c r="D8157" s="11">
        <v>42644</v>
      </c>
      <c r="E8157" t="s">
        <v>2182</v>
      </c>
      <c r="F8157">
        <v>1</v>
      </c>
      <c r="G8157" t="s">
        <v>61</v>
      </c>
      <c r="H8157" t="s">
        <v>43</v>
      </c>
      <c r="I8157" t="s">
        <v>2191</v>
      </c>
      <c r="J8157" s="10">
        <v>50.8</v>
      </c>
      <c r="K8157" t="b">
        <v>1</v>
      </c>
    </row>
    <row r="8158" spans="1:11">
      <c r="A8158" s="12">
        <v>42660</v>
      </c>
      <c r="B8158">
        <v>2016</v>
      </c>
      <c r="C8158">
        <v>10</v>
      </c>
      <c r="D8158" s="11">
        <v>42644</v>
      </c>
      <c r="E8158" t="s">
        <v>2182</v>
      </c>
      <c r="F8158">
        <v>1</v>
      </c>
      <c r="G8158" t="s">
        <v>61</v>
      </c>
      <c r="H8158" t="s">
        <v>44</v>
      </c>
      <c r="I8158" t="s">
        <v>2192</v>
      </c>
      <c r="J8158" s="10">
        <v>1</v>
      </c>
      <c r="K8158" t="b">
        <v>1</v>
      </c>
    </row>
    <row r="8159" spans="1:11">
      <c r="A8159" s="12">
        <v>42660</v>
      </c>
      <c r="B8159">
        <v>2016</v>
      </c>
      <c r="C8159">
        <v>10</v>
      </c>
      <c r="D8159" s="11">
        <v>42644</v>
      </c>
      <c r="E8159" t="s">
        <v>2182</v>
      </c>
      <c r="F8159">
        <v>1</v>
      </c>
      <c r="G8159" t="s">
        <v>61</v>
      </c>
      <c r="H8159" t="s">
        <v>45</v>
      </c>
      <c r="I8159" t="s">
        <v>2193</v>
      </c>
      <c r="J8159" s="10">
        <v>0</v>
      </c>
      <c r="K8159" t="b">
        <v>1</v>
      </c>
    </row>
    <row r="8160" spans="1:11">
      <c r="A8160" s="12">
        <v>42660</v>
      </c>
      <c r="B8160">
        <v>2016</v>
      </c>
      <c r="C8160">
        <v>10</v>
      </c>
      <c r="D8160" s="11">
        <v>42644</v>
      </c>
      <c r="E8160" t="s">
        <v>2182</v>
      </c>
      <c r="F8160">
        <v>1</v>
      </c>
      <c r="G8160" t="s">
        <v>61</v>
      </c>
      <c r="H8160" t="s">
        <v>46</v>
      </c>
      <c r="I8160" t="s">
        <v>2194</v>
      </c>
      <c r="J8160" s="10">
        <v>9</v>
      </c>
      <c r="K8160" t="b">
        <v>1</v>
      </c>
    </row>
    <row r="8161" spans="1:11">
      <c r="A8161" s="12">
        <v>42660</v>
      </c>
      <c r="B8161">
        <v>2016</v>
      </c>
      <c r="C8161">
        <v>10</v>
      </c>
      <c r="D8161" s="11">
        <v>42644</v>
      </c>
      <c r="E8161" t="s">
        <v>2182</v>
      </c>
      <c r="F8161">
        <v>1</v>
      </c>
      <c r="G8161" t="s">
        <v>61</v>
      </c>
      <c r="H8161" t="s">
        <v>47</v>
      </c>
      <c r="I8161" t="s">
        <v>2195</v>
      </c>
      <c r="J8161" s="10">
        <v>1</v>
      </c>
      <c r="K8161" t="b">
        <v>1</v>
      </c>
    </row>
    <row r="8162" spans="1:11">
      <c r="A8162" s="12">
        <v>42661</v>
      </c>
      <c r="B8162">
        <v>2016</v>
      </c>
      <c r="C8162">
        <v>10</v>
      </c>
      <c r="D8162" s="11">
        <v>42644</v>
      </c>
      <c r="E8162" t="s">
        <v>2182</v>
      </c>
      <c r="F8162">
        <v>2</v>
      </c>
      <c r="G8162" t="s">
        <v>63</v>
      </c>
      <c r="H8162" t="s">
        <v>40</v>
      </c>
      <c r="I8162" t="s">
        <v>2188</v>
      </c>
      <c r="J8162" s="10">
        <v>3</v>
      </c>
      <c r="K8162" t="b">
        <v>1</v>
      </c>
    </row>
    <row r="8163" spans="1:11">
      <c r="A8163" s="12">
        <v>42661</v>
      </c>
      <c r="B8163">
        <v>2016</v>
      </c>
      <c r="C8163">
        <v>10</v>
      </c>
      <c r="D8163" s="11">
        <v>42644</v>
      </c>
      <c r="E8163" t="s">
        <v>2182</v>
      </c>
      <c r="F8163">
        <v>2</v>
      </c>
      <c r="G8163" t="s">
        <v>63</v>
      </c>
      <c r="H8163" t="s">
        <v>41</v>
      </c>
      <c r="I8163" t="s">
        <v>2189</v>
      </c>
      <c r="J8163" s="10">
        <v>5.056</v>
      </c>
      <c r="K8163" t="b">
        <v>1</v>
      </c>
    </row>
    <row r="8164" spans="1:11">
      <c r="A8164" s="12">
        <v>42661</v>
      </c>
      <c r="B8164">
        <v>2016</v>
      </c>
      <c r="C8164">
        <v>10</v>
      </c>
      <c r="D8164" s="11">
        <v>42644</v>
      </c>
      <c r="E8164" t="s">
        <v>2182</v>
      </c>
      <c r="F8164">
        <v>2</v>
      </c>
      <c r="G8164" t="s">
        <v>63</v>
      </c>
      <c r="H8164" t="s">
        <v>42</v>
      </c>
      <c r="I8164" t="s">
        <v>2190</v>
      </c>
      <c r="J8164" s="10">
        <v>9</v>
      </c>
      <c r="K8164" t="b">
        <v>1</v>
      </c>
    </row>
    <row r="8165" spans="1:11">
      <c r="A8165" s="12">
        <v>42661</v>
      </c>
      <c r="B8165">
        <v>2016</v>
      </c>
      <c r="C8165">
        <v>10</v>
      </c>
      <c r="D8165" s="11">
        <v>42644</v>
      </c>
      <c r="E8165" t="s">
        <v>2182</v>
      </c>
      <c r="F8165">
        <v>2</v>
      </c>
      <c r="G8165" t="s">
        <v>63</v>
      </c>
      <c r="H8165" t="s">
        <v>43</v>
      </c>
      <c r="I8165" t="s">
        <v>2191</v>
      </c>
      <c r="J8165" s="10">
        <v>42.1</v>
      </c>
      <c r="K8165" t="b">
        <v>1</v>
      </c>
    </row>
    <row r="8166" spans="1:11">
      <c r="A8166" s="12">
        <v>42661</v>
      </c>
      <c r="B8166">
        <v>2016</v>
      </c>
      <c r="C8166">
        <v>10</v>
      </c>
      <c r="D8166" s="11">
        <v>42644</v>
      </c>
      <c r="E8166" t="s">
        <v>2182</v>
      </c>
      <c r="F8166">
        <v>2</v>
      </c>
      <c r="G8166" t="s">
        <v>63</v>
      </c>
      <c r="H8166" t="s">
        <v>44</v>
      </c>
      <c r="I8166" t="s">
        <v>2192</v>
      </c>
      <c r="J8166" s="10">
        <v>9</v>
      </c>
      <c r="K8166" t="b">
        <v>1</v>
      </c>
    </row>
    <row r="8167" spans="1:11">
      <c r="A8167" s="12">
        <v>42661</v>
      </c>
      <c r="B8167">
        <v>2016</v>
      </c>
      <c r="C8167">
        <v>10</v>
      </c>
      <c r="D8167" s="11">
        <v>42644</v>
      </c>
      <c r="E8167" t="s">
        <v>2182</v>
      </c>
      <c r="F8167">
        <v>2</v>
      </c>
      <c r="G8167" t="s">
        <v>63</v>
      </c>
      <c r="H8167" t="s">
        <v>45</v>
      </c>
      <c r="I8167" t="s">
        <v>2193</v>
      </c>
      <c r="J8167" s="10">
        <v>3</v>
      </c>
      <c r="K8167" t="b">
        <v>1</v>
      </c>
    </row>
    <row r="8168" spans="1:11">
      <c r="A8168" s="12">
        <v>42661</v>
      </c>
      <c r="B8168">
        <v>2016</v>
      </c>
      <c r="C8168">
        <v>10</v>
      </c>
      <c r="D8168" s="11">
        <v>42644</v>
      </c>
      <c r="E8168" t="s">
        <v>2182</v>
      </c>
      <c r="F8168">
        <v>2</v>
      </c>
      <c r="G8168" t="s">
        <v>63</v>
      </c>
      <c r="H8168" t="s">
        <v>46</v>
      </c>
      <c r="I8168" t="s">
        <v>2194</v>
      </c>
      <c r="J8168" s="10">
        <v>7</v>
      </c>
      <c r="K8168" t="b">
        <v>1</v>
      </c>
    </row>
    <row r="8169" spans="1:11">
      <c r="A8169" s="12">
        <v>42661</v>
      </c>
      <c r="B8169">
        <v>2016</v>
      </c>
      <c r="C8169">
        <v>10</v>
      </c>
      <c r="D8169" s="11">
        <v>42644</v>
      </c>
      <c r="E8169" t="s">
        <v>2182</v>
      </c>
      <c r="F8169">
        <v>2</v>
      </c>
      <c r="G8169" t="s">
        <v>63</v>
      </c>
      <c r="H8169" t="s">
        <v>47</v>
      </c>
      <c r="I8169" t="s">
        <v>2195</v>
      </c>
      <c r="J8169" s="10">
        <v>3.1</v>
      </c>
      <c r="K8169" t="b">
        <v>1</v>
      </c>
    </row>
    <row r="8170" spans="1:11">
      <c r="A8170" s="12">
        <v>42662</v>
      </c>
      <c r="B8170">
        <v>2016</v>
      </c>
      <c r="C8170">
        <v>10</v>
      </c>
      <c r="D8170" s="11">
        <v>42644</v>
      </c>
      <c r="E8170" t="s">
        <v>2182</v>
      </c>
      <c r="F8170">
        <v>3</v>
      </c>
      <c r="G8170" t="s">
        <v>65</v>
      </c>
      <c r="H8170" t="s">
        <v>40</v>
      </c>
      <c r="I8170" t="s">
        <v>2188</v>
      </c>
      <c r="J8170" s="10">
        <v>4.33</v>
      </c>
      <c r="K8170" t="b">
        <v>1</v>
      </c>
    </row>
    <row r="8171" spans="1:11">
      <c r="A8171" s="12">
        <v>42662</v>
      </c>
      <c r="B8171">
        <v>2016</v>
      </c>
      <c r="C8171">
        <v>10</v>
      </c>
      <c r="D8171" s="11">
        <v>42644</v>
      </c>
      <c r="E8171" t="s">
        <v>2182</v>
      </c>
      <c r="F8171">
        <v>3</v>
      </c>
      <c r="G8171" t="s">
        <v>65</v>
      </c>
      <c r="H8171" t="s">
        <v>41</v>
      </c>
      <c r="I8171" t="s">
        <v>2189</v>
      </c>
      <c r="J8171" s="10">
        <v>6.66</v>
      </c>
      <c r="K8171" t="b">
        <v>1</v>
      </c>
    </row>
    <row r="8172" spans="1:11">
      <c r="A8172" s="12">
        <v>42662</v>
      </c>
      <c r="B8172">
        <v>2016</v>
      </c>
      <c r="C8172">
        <v>10</v>
      </c>
      <c r="D8172" s="11">
        <v>42644</v>
      </c>
      <c r="E8172" t="s">
        <v>2182</v>
      </c>
      <c r="F8172">
        <v>3</v>
      </c>
      <c r="G8172" t="s">
        <v>65</v>
      </c>
      <c r="H8172" t="s">
        <v>42</v>
      </c>
      <c r="I8172" t="s">
        <v>2190</v>
      </c>
      <c r="J8172" s="10">
        <v>5</v>
      </c>
      <c r="K8172" t="b">
        <v>1</v>
      </c>
    </row>
    <row r="8173" spans="1:11">
      <c r="A8173" s="12">
        <v>42662</v>
      </c>
      <c r="B8173">
        <v>2016</v>
      </c>
      <c r="C8173">
        <v>10</v>
      </c>
      <c r="D8173" s="11">
        <v>42644</v>
      </c>
      <c r="E8173" t="s">
        <v>2182</v>
      </c>
      <c r="F8173">
        <v>3</v>
      </c>
      <c r="G8173" t="s">
        <v>65</v>
      </c>
      <c r="H8173" t="s">
        <v>43</v>
      </c>
      <c r="I8173" t="s">
        <v>2191</v>
      </c>
      <c r="J8173" s="10">
        <v>26.7</v>
      </c>
      <c r="K8173" t="b">
        <v>1</v>
      </c>
    </row>
    <row r="8174" spans="1:11">
      <c r="A8174" s="12">
        <v>42662</v>
      </c>
      <c r="B8174">
        <v>2016</v>
      </c>
      <c r="C8174">
        <v>10</v>
      </c>
      <c r="D8174" s="11">
        <v>42644</v>
      </c>
      <c r="E8174" t="s">
        <v>2182</v>
      </c>
      <c r="F8174">
        <v>3</v>
      </c>
      <c r="G8174" t="s">
        <v>65</v>
      </c>
      <c r="H8174" t="s">
        <v>44</v>
      </c>
      <c r="I8174" t="s">
        <v>2192</v>
      </c>
      <c r="J8174" s="10">
        <v>11</v>
      </c>
      <c r="K8174" t="b">
        <v>1</v>
      </c>
    </row>
    <row r="8175" spans="1:11">
      <c r="A8175" s="12">
        <v>42662</v>
      </c>
      <c r="B8175">
        <v>2016</v>
      </c>
      <c r="C8175">
        <v>10</v>
      </c>
      <c r="D8175" s="11">
        <v>42644</v>
      </c>
      <c r="E8175" t="s">
        <v>2182</v>
      </c>
      <c r="F8175">
        <v>3</v>
      </c>
      <c r="G8175" t="s">
        <v>65</v>
      </c>
      <c r="H8175" t="s">
        <v>45</v>
      </c>
      <c r="I8175" t="s">
        <v>2193</v>
      </c>
      <c r="J8175" s="10">
        <v>0</v>
      </c>
      <c r="K8175" t="b">
        <v>1</v>
      </c>
    </row>
    <row r="8176" spans="1:11">
      <c r="A8176" s="12">
        <v>42662</v>
      </c>
      <c r="B8176">
        <v>2016</v>
      </c>
      <c r="C8176">
        <v>10</v>
      </c>
      <c r="D8176" s="11">
        <v>42644</v>
      </c>
      <c r="E8176" t="s">
        <v>2182</v>
      </c>
      <c r="F8176">
        <v>3</v>
      </c>
      <c r="G8176" t="s">
        <v>65</v>
      </c>
      <c r="H8176" t="s">
        <v>46</v>
      </c>
      <c r="I8176" t="s">
        <v>2194</v>
      </c>
      <c r="J8176" s="10">
        <v>2</v>
      </c>
      <c r="K8176" t="b">
        <v>1</v>
      </c>
    </row>
    <row r="8177" spans="1:11">
      <c r="A8177" s="12">
        <v>42662</v>
      </c>
      <c r="B8177">
        <v>2016</v>
      </c>
      <c r="C8177">
        <v>10</v>
      </c>
      <c r="D8177" s="11">
        <v>42644</v>
      </c>
      <c r="E8177" t="s">
        <v>2182</v>
      </c>
      <c r="F8177">
        <v>3</v>
      </c>
      <c r="G8177" t="s">
        <v>65</v>
      </c>
      <c r="H8177" t="s">
        <v>47</v>
      </c>
      <c r="I8177" t="s">
        <v>2195</v>
      </c>
      <c r="J8177" s="10">
        <v>1</v>
      </c>
      <c r="K8177" t="b">
        <v>1</v>
      </c>
    </row>
    <row r="8178" spans="1:11">
      <c r="A8178" s="12">
        <v>42663</v>
      </c>
      <c r="B8178">
        <v>2016</v>
      </c>
      <c r="C8178">
        <v>10</v>
      </c>
      <c r="D8178" s="11">
        <v>42644</v>
      </c>
      <c r="E8178" t="s">
        <v>2182</v>
      </c>
      <c r="F8178">
        <v>4</v>
      </c>
      <c r="G8178" t="s">
        <v>53</v>
      </c>
      <c r="H8178" t="s">
        <v>40</v>
      </c>
      <c r="I8178" t="s">
        <v>2188</v>
      </c>
      <c r="J8178" s="10">
        <v>1.64</v>
      </c>
      <c r="K8178" t="b">
        <v>1</v>
      </c>
    </row>
    <row r="8179" spans="1:11">
      <c r="A8179" s="12">
        <v>42663</v>
      </c>
      <c r="B8179">
        <v>2016</v>
      </c>
      <c r="C8179">
        <v>10</v>
      </c>
      <c r="D8179" s="11">
        <v>42644</v>
      </c>
      <c r="E8179" t="s">
        <v>2182</v>
      </c>
      <c r="F8179">
        <v>4</v>
      </c>
      <c r="G8179" t="s">
        <v>53</v>
      </c>
      <c r="H8179" t="s">
        <v>41</v>
      </c>
      <c r="I8179" t="s">
        <v>2189</v>
      </c>
      <c r="J8179" s="10">
        <v>5.66</v>
      </c>
      <c r="K8179" t="b">
        <v>1</v>
      </c>
    </row>
    <row r="8180" spans="1:11">
      <c r="A8180" s="12">
        <v>42663</v>
      </c>
      <c r="B8180">
        <v>2016</v>
      </c>
      <c r="C8180">
        <v>10</v>
      </c>
      <c r="D8180" s="11">
        <v>42644</v>
      </c>
      <c r="E8180" t="s">
        <v>2182</v>
      </c>
      <c r="F8180">
        <v>4</v>
      </c>
      <c r="G8180" t="s">
        <v>53</v>
      </c>
      <c r="H8180" t="s">
        <v>42</v>
      </c>
      <c r="I8180" t="s">
        <v>2190</v>
      </c>
      <c r="J8180" s="10">
        <v>6</v>
      </c>
      <c r="K8180" t="b">
        <v>1</v>
      </c>
    </row>
    <row r="8181" spans="1:11">
      <c r="A8181" s="12">
        <v>42663</v>
      </c>
      <c r="B8181">
        <v>2016</v>
      </c>
      <c r="C8181">
        <v>10</v>
      </c>
      <c r="D8181" s="11">
        <v>42644</v>
      </c>
      <c r="E8181" t="s">
        <v>2182</v>
      </c>
      <c r="F8181">
        <v>4</v>
      </c>
      <c r="G8181" t="s">
        <v>53</v>
      </c>
      <c r="H8181" t="s">
        <v>43</v>
      </c>
      <c r="I8181" t="s">
        <v>2191</v>
      </c>
      <c r="J8181" s="10">
        <v>52.5</v>
      </c>
      <c r="K8181" t="b">
        <v>1</v>
      </c>
    </row>
    <row r="8182" spans="1:11">
      <c r="A8182" s="12">
        <v>42663</v>
      </c>
      <c r="B8182">
        <v>2016</v>
      </c>
      <c r="C8182">
        <v>10</v>
      </c>
      <c r="D8182" s="11">
        <v>42644</v>
      </c>
      <c r="E8182" t="s">
        <v>2182</v>
      </c>
      <c r="F8182">
        <v>4</v>
      </c>
      <c r="G8182" t="s">
        <v>53</v>
      </c>
      <c r="H8182" t="s">
        <v>44</v>
      </c>
      <c r="I8182" t="s">
        <v>2192</v>
      </c>
      <c r="J8182" s="10">
        <v>2</v>
      </c>
      <c r="K8182" t="b">
        <v>1</v>
      </c>
    </row>
    <row r="8183" spans="1:11">
      <c r="A8183" s="12">
        <v>42663</v>
      </c>
      <c r="B8183">
        <v>2016</v>
      </c>
      <c r="C8183">
        <v>10</v>
      </c>
      <c r="D8183" s="11">
        <v>42644</v>
      </c>
      <c r="E8183" t="s">
        <v>2182</v>
      </c>
      <c r="F8183">
        <v>4</v>
      </c>
      <c r="G8183" t="s">
        <v>53</v>
      </c>
      <c r="H8183" t="s">
        <v>45</v>
      </c>
      <c r="I8183" t="s">
        <v>2193</v>
      </c>
      <c r="J8183" s="10">
        <v>0</v>
      </c>
      <c r="K8183" t="b">
        <v>1</v>
      </c>
    </row>
    <row r="8184" spans="1:11">
      <c r="A8184" s="12">
        <v>42663</v>
      </c>
      <c r="B8184">
        <v>2016</v>
      </c>
      <c r="C8184">
        <v>10</v>
      </c>
      <c r="D8184" s="11">
        <v>42644</v>
      </c>
      <c r="E8184" t="s">
        <v>2182</v>
      </c>
      <c r="F8184">
        <v>4</v>
      </c>
      <c r="G8184" t="s">
        <v>53</v>
      </c>
      <c r="H8184" t="s">
        <v>46</v>
      </c>
      <c r="I8184" t="s">
        <v>2194</v>
      </c>
      <c r="J8184" s="10">
        <v>2</v>
      </c>
      <c r="K8184" t="b">
        <v>1</v>
      </c>
    </row>
    <row r="8185" spans="1:11">
      <c r="A8185" s="12">
        <v>42663</v>
      </c>
      <c r="B8185">
        <v>2016</v>
      </c>
      <c r="C8185">
        <v>10</v>
      </c>
      <c r="D8185" s="11">
        <v>42644</v>
      </c>
      <c r="E8185" t="s">
        <v>2182</v>
      </c>
      <c r="F8185">
        <v>4</v>
      </c>
      <c r="G8185" t="s">
        <v>53</v>
      </c>
      <c r="H8185" t="s">
        <v>47</v>
      </c>
      <c r="I8185" t="s">
        <v>2195</v>
      </c>
      <c r="J8185" s="10">
        <v>2</v>
      </c>
      <c r="K8185" t="b">
        <v>1</v>
      </c>
    </row>
    <row r="8186" spans="1:11">
      <c r="A8186" s="12">
        <v>42664</v>
      </c>
      <c r="B8186">
        <v>2016</v>
      </c>
      <c r="C8186">
        <v>10</v>
      </c>
      <c r="D8186" s="11">
        <v>42644</v>
      </c>
      <c r="E8186" t="s">
        <v>2182</v>
      </c>
      <c r="F8186">
        <v>5</v>
      </c>
      <c r="G8186" t="s">
        <v>55</v>
      </c>
      <c r="H8186" t="s">
        <v>40</v>
      </c>
      <c r="I8186" t="s">
        <v>2188</v>
      </c>
      <c r="J8186" s="10">
        <v>8.66</v>
      </c>
      <c r="K8186" t="b">
        <v>1</v>
      </c>
    </row>
    <row r="8187" spans="1:11">
      <c r="A8187" s="12">
        <v>42664</v>
      </c>
      <c r="B8187">
        <v>2016</v>
      </c>
      <c r="C8187">
        <v>10</v>
      </c>
      <c r="D8187" s="11">
        <v>42644</v>
      </c>
      <c r="E8187" t="s">
        <v>2182</v>
      </c>
      <c r="F8187">
        <v>5</v>
      </c>
      <c r="G8187" t="s">
        <v>55</v>
      </c>
      <c r="H8187" t="s">
        <v>41</v>
      </c>
      <c r="I8187" t="s">
        <v>2189</v>
      </c>
      <c r="J8187" s="10">
        <v>3.825</v>
      </c>
      <c r="K8187" t="b">
        <v>1</v>
      </c>
    </row>
    <row r="8188" spans="1:11">
      <c r="A8188" s="12">
        <v>42664</v>
      </c>
      <c r="B8188">
        <v>2016</v>
      </c>
      <c r="C8188">
        <v>10</v>
      </c>
      <c r="D8188" s="11">
        <v>42644</v>
      </c>
      <c r="E8188" t="s">
        <v>2182</v>
      </c>
      <c r="F8188">
        <v>5</v>
      </c>
      <c r="G8188" t="s">
        <v>55</v>
      </c>
      <c r="H8188" t="s">
        <v>42</v>
      </c>
      <c r="I8188" t="s">
        <v>2190</v>
      </c>
      <c r="J8188" s="10">
        <v>0</v>
      </c>
      <c r="K8188" t="b">
        <v>1</v>
      </c>
    </row>
    <row r="8189" spans="1:11">
      <c r="A8189" s="12">
        <v>42664</v>
      </c>
      <c r="B8189">
        <v>2016</v>
      </c>
      <c r="C8189">
        <v>10</v>
      </c>
      <c r="D8189" s="11">
        <v>42644</v>
      </c>
      <c r="E8189" t="s">
        <v>2182</v>
      </c>
      <c r="F8189">
        <v>5</v>
      </c>
      <c r="G8189" t="s">
        <v>55</v>
      </c>
      <c r="H8189" t="s">
        <v>43</v>
      </c>
      <c r="I8189" t="s">
        <v>2191</v>
      </c>
      <c r="J8189" s="10">
        <v>40.8</v>
      </c>
      <c r="K8189" t="b">
        <v>1</v>
      </c>
    </row>
    <row r="8190" spans="1:11">
      <c r="A8190" s="12">
        <v>42664</v>
      </c>
      <c r="B8190">
        <v>2016</v>
      </c>
      <c r="C8190">
        <v>10</v>
      </c>
      <c r="D8190" s="11">
        <v>42644</v>
      </c>
      <c r="E8190" t="s">
        <v>2182</v>
      </c>
      <c r="F8190">
        <v>5</v>
      </c>
      <c r="G8190" t="s">
        <v>55</v>
      </c>
      <c r="H8190" t="s">
        <v>44</v>
      </c>
      <c r="I8190" t="s">
        <v>2192</v>
      </c>
      <c r="J8190" s="10">
        <v>5</v>
      </c>
      <c r="K8190" t="b">
        <v>1</v>
      </c>
    </row>
    <row r="8191" spans="1:11">
      <c r="A8191" s="12">
        <v>42664</v>
      </c>
      <c r="B8191">
        <v>2016</v>
      </c>
      <c r="C8191">
        <v>10</v>
      </c>
      <c r="D8191" s="11">
        <v>42644</v>
      </c>
      <c r="E8191" t="s">
        <v>2182</v>
      </c>
      <c r="F8191">
        <v>5</v>
      </c>
      <c r="G8191" t="s">
        <v>55</v>
      </c>
      <c r="H8191" t="s">
        <v>45</v>
      </c>
      <c r="I8191" t="s">
        <v>2193</v>
      </c>
      <c r="J8191" s="10">
        <v>0</v>
      </c>
      <c r="K8191" t="b">
        <v>1</v>
      </c>
    </row>
    <row r="8192" spans="1:11">
      <c r="A8192" s="12">
        <v>42664</v>
      </c>
      <c r="B8192">
        <v>2016</v>
      </c>
      <c r="C8192">
        <v>10</v>
      </c>
      <c r="D8192" s="11">
        <v>42644</v>
      </c>
      <c r="E8192" t="s">
        <v>2182</v>
      </c>
      <c r="F8192">
        <v>5</v>
      </c>
      <c r="G8192" t="s">
        <v>55</v>
      </c>
      <c r="H8192" t="s">
        <v>46</v>
      </c>
      <c r="I8192" t="s">
        <v>2194</v>
      </c>
      <c r="J8192" s="10">
        <v>6</v>
      </c>
      <c r="K8192" t="b">
        <v>1</v>
      </c>
    </row>
    <row r="8193" spans="1:11">
      <c r="A8193" s="12">
        <v>42664</v>
      </c>
      <c r="B8193">
        <v>2016</v>
      </c>
      <c r="C8193">
        <v>10</v>
      </c>
      <c r="D8193" s="11">
        <v>42644</v>
      </c>
      <c r="E8193" t="s">
        <v>2182</v>
      </c>
      <c r="F8193">
        <v>5</v>
      </c>
      <c r="G8193" t="s">
        <v>55</v>
      </c>
      <c r="H8193" t="s">
        <v>47</v>
      </c>
      <c r="I8193" t="s">
        <v>2195</v>
      </c>
      <c r="J8193" s="10">
        <v>2</v>
      </c>
      <c r="K8193" t="b">
        <v>1</v>
      </c>
    </row>
    <row r="8194" spans="1:11">
      <c r="A8194" s="12">
        <v>42665</v>
      </c>
      <c r="B8194">
        <v>2016</v>
      </c>
      <c r="C8194">
        <v>10</v>
      </c>
      <c r="D8194" s="11">
        <v>42644</v>
      </c>
      <c r="E8194" t="s">
        <v>2182</v>
      </c>
      <c r="F8194">
        <v>6</v>
      </c>
      <c r="G8194" t="s">
        <v>57</v>
      </c>
      <c r="H8194" t="s">
        <v>40</v>
      </c>
      <c r="I8194" t="s">
        <v>2188</v>
      </c>
      <c r="J8194" s="10">
        <v>7</v>
      </c>
      <c r="K8194" t="b">
        <v>1</v>
      </c>
    </row>
    <row r="8195" spans="1:11">
      <c r="A8195" s="12">
        <v>42665</v>
      </c>
      <c r="B8195">
        <v>2016</v>
      </c>
      <c r="C8195">
        <v>10</v>
      </c>
      <c r="D8195" s="11">
        <v>42644</v>
      </c>
      <c r="E8195" t="s">
        <v>2182</v>
      </c>
      <c r="F8195">
        <v>6</v>
      </c>
      <c r="G8195" t="s">
        <v>57</v>
      </c>
      <c r="H8195" t="s">
        <v>41</v>
      </c>
      <c r="I8195" t="s">
        <v>2189</v>
      </c>
      <c r="J8195" s="10">
        <v>2.67</v>
      </c>
      <c r="K8195" t="b">
        <v>1</v>
      </c>
    </row>
    <row r="8196" spans="1:11">
      <c r="A8196" s="12">
        <v>42665</v>
      </c>
      <c r="B8196">
        <v>2016</v>
      </c>
      <c r="C8196">
        <v>10</v>
      </c>
      <c r="D8196" s="11">
        <v>42644</v>
      </c>
      <c r="E8196" t="s">
        <v>2182</v>
      </c>
      <c r="F8196">
        <v>6</v>
      </c>
      <c r="G8196" t="s">
        <v>57</v>
      </c>
      <c r="H8196" t="s">
        <v>42</v>
      </c>
      <c r="I8196" t="s">
        <v>2190</v>
      </c>
      <c r="J8196" s="10">
        <v>4</v>
      </c>
      <c r="K8196" t="b">
        <v>1</v>
      </c>
    </row>
    <row r="8197" spans="1:11">
      <c r="A8197" s="12">
        <v>42665</v>
      </c>
      <c r="B8197">
        <v>2016</v>
      </c>
      <c r="C8197">
        <v>10</v>
      </c>
      <c r="D8197" s="11">
        <v>42644</v>
      </c>
      <c r="E8197" t="s">
        <v>2182</v>
      </c>
      <c r="F8197">
        <v>6</v>
      </c>
      <c r="G8197" t="s">
        <v>57</v>
      </c>
      <c r="H8197" t="s">
        <v>43</v>
      </c>
      <c r="I8197" t="s">
        <v>2191</v>
      </c>
      <c r="J8197" s="10">
        <v>29.7</v>
      </c>
      <c r="K8197" t="b">
        <v>1</v>
      </c>
    </row>
    <row r="8198" spans="1:11">
      <c r="A8198" s="12">
        <v>42665</v>
      </c>
      <c r="B8198">
        <v>2016</v>
      </c>
      <c r="C8198">
        <v>10</v>
      </c>
      <c r="D8198" s="11">
        <v>42644</v>
      </c>
      <c r="E8198" t="s">
        <v>2182</v>
      </c>
      <c r="F8198">
        <v>6</v>
      </c>
      <c r="G8198" t="s">
        <v>57</v>
      </c>
      <c r="H8198" t="s">
        <v>44</v>
      </c>
      <c r="I8198" t="s">
        <v>2192</v>
      </c>
      <c r="J8198" s="10">
        <v>3</v>
      </c>
      <c r="K8198" t="b">
        <v>1</v>
      </c>
    </row>
    <row r="8199" spans="1:11">
      <c r="A8199" s="12">
        <v>42665</v>
      </c>
      <c r="B8199">
        <v>2016</v>
      </c>
      <c r="C8199">
        <v>10</v>
      </c>
      <c r="D8199" s="11">
        <v>42644</v>
      </c>
      <c r="E8199" t="s">
        <v>2182</v>
      </c>
      <c r="F8199">
        <v>6</v>
      </c>
      <c r="G8199" t="s">
        <v>57</v>
      </c>
      <c r="H8199" t="s">
        <v>45</v>
      </c>
      <c r="I8199" t="s">
        <v>2193</v>
      </c>
      <c r="J8199" s="10">
        <v>0</v>
      </c>
      <c r="K8199" t="b">
        <v>1</v>
      </c>
    </row>
    <row r="8200" spans="1:11">
      <c r="A8200" s="12">
        <v>42665</v>
      </c>
      <c r="B8200">
        <v>2016</v>
      </c>
      <c r="C8200">
        <v>10</v>
      </c>
      <c r="D8200" s="11">
        <v>42644</v>
      </c>
      <c r="E8200" t="s">
        <v>2182</v>
      </c>
      <c r="F8200">
        <v>6</v>
      </c>
      <c r="G8200" t="s">
        <v>57</v>
      </c>
      <c r="H8200" t="s">
        <v>46</v>
      </c>
      <c r="I8200" t="s">
        <v>2194</v>
      </c>
      <c r="J8200" s="10">
        <v>10</v>
      </c>
      <c r="K8200" t="b">
        <v>1</v>
      </c>
    </row>
    <row r="8201" spans="1:11">
      <c r="A8201" s="12">
        <v>42665</v>
      </c>
      <c r="B8201">
        <v>2016</v>
      </c>
      <c r="C8201">
        <v>10</v>
      </c>
      <c r="D8201" s="11">
        <v>42644</v>
      </c>
      <c r="E8201" t="s">
        <v>2182</v>
      </c>
      <c r="F8201">
        <v>6</v>
      </c>
      <c r="G8201" t="s">
        <v>57</v>
      </c>
      <c r="H8201" t="s">
        <v>47</v>
      </c>
      <c r="I8201" t="s">
        <v>2195</v>
      </c>
      <c r="J8201" s="10">
        <v>4</v>
      </c>
      <c r="K8201" t="b">
        <v>1</v>
      </c>
    </row>
    <row r="8202" spans="1:11">
      <c r="A8202" s="12">
        <v>42666</v>
      </c>
      <c r="B8202">
        <v>2016</v>
      </c>
      <c r="C8202">
        <v>10</v>
      </c>
      <c r="D8202" s="11">
        <v>42644</v>
      </c>
      <c r="E8202" t="s">
        <v>2182</v>
      </c>
      <c r="F8202">
        <v>7</v>
      </c>
      <c r="G8202" t="s">
        <v>59</v>
      </c>
      <c r="H8202" t="s">
        <v>40</v>
      </c>
      <c r="I8202" t="s">
        <v>2188</v>
      </c>
      <c r="J8202" s="10">
        <v>12.33</v>
      </c>
      <c r="K8202" t="b">
        <v>1</v>
      </c>
    </row>
    <row r="8203" spans="1:11">
      <c r="A8203" s="12">
        <v>42666</v>
      </c>
      <c r="B8203">
        <v>2016</v>
      </c>
      <c r="C8203">
        <v>10</v>
      </c>
      <c r="D8203" s="11">
        <v>42644</v>
      </c>
      <c r="E8203" t="s">
        <v>2182</v>
      </c>
      <c r="F8203">
        <v>7</v>
      </c>
      <c r="G8203" t="s">
        <v>59</v>
      </c>
      <c r="H8203" t="s">
        <v>41</v>
      </c>
      <c r="I8203" t="s">
        <v>2189</v>
      </c>
      <c r="J8203" s="10">
        <v>5.78</v>
      </c>
      <c r="K8203" t="b">
        <v>1</v>
      </c>
    </row>
    <row r="8204" spans="1:11">
      <c r="A8204" s="12">
        <v>42666</v>
      </c>
      <c r="B8204">
        <v>2016</v>
      </c>
      <c r="C8204">
        <v>10</v>
      </c>
      <c r="D8204" s="11">
        <v>42644</v>
      </c>
      <c r="E8204" t="s">
        <v>2182</v>
      </c>
      <c r="F8204">
        <v>7</v>
      </c>
      <c r="G8204" t="s">
        <v>59</v>
      </c>
      <c r="H8204" t="s">
        <v>42</v>
      </c>
      <c r="I8204" t="s">
        <v>2190</v>
      </c>
      <c r="J8204" s="10">
        <v>3.8</v>
      </c>
      <c r="K8204" t="b">
        <v>1</v>
      </c>
    </row>
    <row r="8205" spans="1:11">
      <c r="A8205" s="12">
        <v>42666</v>
      </c>
      <c r="B8205">
        <v>2016</v>
      </c>
      <c r="C8205">
        <v>10</v>
      </c>
      <c r="D8205" s="11">
        <v>42644</v>
      </c>
      <c r="E8205" t="s">
        <v>2182</v>
      </c>
      <c r="F8205">
        <v>7</v>
      </c>
      <c r="G8205" t="s">
        <v>59</v>
      </c>
      <c r="H8205" t="s">
        <v>43</v>
      </c>
      <c r="I8205" t="s">
        <v>2191</v>
      </c>
      <c r="J8205" s="10">
        <v>51.21666667</v>
      </c>
      <c r="K8205" t="b">
        <v>1</v>
      </c>
    </row>
    <row r="8206" spans="1:11">
      <c r="A8206" s="12">
        <v>42666</v>
      </c>
      <c r="B8206">
        <v>2016</v>
      </c>
      <c r="C8206">
        <v>10</v>
      </c>
      <c r="D8206" s="11">
        <v>42644</v>
      </c>
      <c r="E8206" t="s">
        <v>2182</v>
      </c>
      <c r="F8206">
        <v>7</v>
      </c>
      <c r="G8206" t="s">
        <v>59</v>
      </c>
      <c r="H8206" t="s">
        <v>44</v>
      </c>
      <c r="I8206" t="s">
        <v>2192</v>
      </c>
      <c r="J8206" s="10">
        <v>10</v>
      </c>
      <c r="K8206" t="b">
        <v>1</v>
      </c>
    </row>
    <row r="8207" spans="1:11">
      <c r="A8207" s="12">
        <v>42666</v>
      </c>
      <c r="B8207">
        <v>2016</v>
      </c>
      <c r="C8207">
        <v>10</v>
      </c>
      <c r="D8207" s="11">
        <v>42644</v>
      </c>
      <c r="E8207" t="s">
        <v>2182</v>
      </c>
      <c r="F8207">
        <v>7</v>
      </c>
      <c r="G8207" t="s">
        <v>59</v>
      </c>
      <c r="H8207" t="s">
        <v>45</v>
      </c>
      <c r="I8207" t="s">
        <v>2193</v>
      </c>
      <c r="J8207" s="10">
        <v>0</v>
      </c>
      <c r="K8207" t="b">
        <v>1</v>
      </c>
    </row>
    <row r="8208" spans="1:11">
      <c r="A8208" s="12">
        <v>42666</v>
      </c>
      <c r="B8208">
        <v>2016</v>
      </c>
      <c r="C8208">
        <v>10</v>
      </c>
      <c r="D8208" s="11">
        <v>42644</v>
      </c>
      <c r="E8208" t="s">
        <v>2182</v>
      </c>
      <c r="F8208">
        <v>7</v>
      </c>
      <c r="G8208" t="s">
        <v>59</v>
      </c>
      <c r="H8208" t="s">
        <v>46</v>
      </c>
      <c r="I8208" t="s">
        <v>2194</v>
      </c>
      <c r="J8208" s="10">
        <v>11</v>
      </c>
      <c r="K8208" t="b">
        <v>1</v>
      </c>
    </row>
    <row r="8209" spans="1:11">
      <c r="A8209" s="12">
        <v>42666</v>
      </c>
      <c r="B8209">
        <v>2016</v>
      </c>
      <c r="C8209">
        <v>10</v>
      </c>
      <c r="D8209" s="11">
        <v>42644</v>
      </c>
      <c r="E8209" t="s">
        <v>2182</v>
      </c>
      <c r="F8209">
        <v>7</v>
      </c>
      <c r="G8209" t="s">
        <v>59</v>
      </c>
      <c r="H8209" t="s">
        <v>47</v>
      </c>
      <c r="I8209" t="s">
        <v>2195</v>
      </c>
      <c r="J8209" s="10">
        <v>2</v>
      </c>
      <c r="K8209" t="b">
        <v>1</v>
      </c>
    </row>
    <row r="8210" spans="1:11">
      <c r="A8210" s="12">
        <v>42667</v>
      </c>
      <c r="B8210">
        <v>2016</v>
      </c>
      <c r="C8210">
        <v>10</v>
      </c>
      <c r="D8210" s="11">
        <v>42644</v>
      </c>
      <c r="E8210" t="s">
        <v>2182</v>
      </c>
      <c r="F8210">
        <v>1</v>
      </c>
      <c r="G8210" t="s">
        <v>61</v>
      </c>
      <c r="H8210" t="s">
        <v>40</v>
      </c>
      <c r="I8210" t="s">
        <v>2188</v>
      </c>
      <c r="J8210" s="10">
        <v>2.66</v>
      </c>
      <c r="K8210" t="b">
        <v>1</v>
      </c>
    </row>
    <row r="8211" spans="1:11">
      <c r="A8211" s="12">
        <v>42667</v>
      </c>
      <c r="B8211">
        <v>2016</v>
      </c>
      <c r="C8211">
        <v>10</v>
      </c>
      <c r="D8211" s="11">
        <v>42644</v>
      </c>
      <c r="E8211" t="s">
        <v>2182</v>
      </c>
      <c r="F8211">
        <v>1</v>
      </c>
      <c r="G8211" t="s">
        <v>61</v>
      </c>
      <c r="H8211" t="s">
        <v>41</v>
      </c>
      <c r="I8211" t="s">
        <v>2189</v>
      </c>
      <c r="J8211" s="10">
        <v>3.023</v>
      </c>
      <c r="K8211" t="b">
        <v>1</v>
      </c>
    </row>
    <row r="8212" spans="1:11">
      <c r="A8212" s="12">
        <v>42667</v>
      </c>
      <c r="B8212">
        <v>2016</v>
      </c>
      <c r="C8212">
        <v>10</v>
      </c>
      <c r="D8212" s="11">
        <v>42644</v>
      </c>
      <c r="E8212" t="s">
        <v>2182</v>
      </c>
      <c r="F8212">
        <v>1</v>
      </c>
      <c r="G8212" t="s">
        <v>61</v>
      </c>
      <c r="H8212" t="s">
        <v>42</v>
      </c>
      <c r="I8212" t="s">
        <v>2190</v>
      </c>
      <c r="J8212" s="10">
        <v>7.5</v>
      </c>
      <c r="K8212" t="b">
        <v>1</v>
      </c>
    </row>
    <row r="8213" spans="1:11">
      <c r="A8213" s="12">
        <v>42667</v>
      </c>
      <c r="B8213">
        <v>2016</v>
      </c>
      <c r="C8213">
        <v>10</v>
      </c>
      <c r="D8213" s="11">
        <v>42644</v>
      </c>
      <c r="E8213" t="s">
        <v>2182</v>
      </c>
      <c r="F8213">
        <v>1</v>
      </c>
      <c r="G8213" t="s">
        <v>61</v>
      </c>
      <c r="H8213" t="s">
        <v>43</v>
      </c>
      <c r="I8213" t="s">
        <v>2191</v>
      </c>
      <c r="J8213" s="10">
        <v>37</v>
      </c>
      <c r="K8213" t="b">
        <v>1</v>
      </c>
    </row>
    <row r="8214" spans="1:11">
      <c r="A8214" s="12">
        <v>42667</v>
      </c>
      <c r="B8214">
        <v>2016</v>
      </c>
      <c r="C8214">
        <v>10</v>
      </c>
      <c r="D8214" s="11">
        <v>42644</v>
      </c>
      <c r="E8214" t="s">
        <v>2182</v>
      </c>
      <c r="F8214">
        <v>1</v>
      </c>
      <c r="G8214" t="s">
        <v>61</v>
      </c>
      <c r="H8214" t="s">
        <v>44</v>
      </c>
      <c r="I8214" t="s">
        <v>2192</v>
      </c>
      <c r="J8214" s="10">
        <v>1</v>
      </c>
      <c r="K8214" t="b">
        <v>1</v>
      </c>
    </row>
    <row r="8215" spans="1:11">
      <c r="A8215" s="12">
        <v>42667</v>
      </c>
      <c r="B8215">
        <v>2016</v>
      </c>
      <c r="C8215">
        <v>10</v>
      </c>
      <c r="D8215" s="11">
        <v>42644</v>
      </c>
      <c r="E8215" t="s">
        <v>2182</v>
      </c>
      <c r="F8215">
        <v>1</v>
      </c>
      <c r="G8215" t="s">
        <v>61</v>
      </c>
      <c r="H8215" t="s">
        <v>45</v>
      </c>
      <c r="I8215" t="s">
        <v>2193</v>
      </c>
      <c r="J8215" s="10">
        <v>1</v>
      </c>
      <c r="K8215" t="b">
        <v>1</v>
      </c>
    </row>
    <row r="8216" spans="1:11">
      <c r="A8216" s="12">
        <v>42667</v>
      </c>
      <c r="B8216">
        <v>2016</v>
      </c>
      <c r="C8216">
        <v>10</v>
      </c>
      <c r="D8216" s="11">
        <v>42644</v>
      </c>
      <c r="E8216" t="s">
        <v>2182</v>
      </c>
      <c r="F8216">
        <v>1</v>
      </c>
      <c r="G8216" t="s">
        <v>61</v>
      </c>
      <c r="H8216" t="s">
        <v>46</v>
      </c>
      <c r="I8216" t="s">
        <v>2194</v>
      </c>
      <c r="J8216" s="10">
        <v>2</v>
      </c>
      <c r="K8216" t="b">
        <v>1</v>
      </c>
    </row>
    <row r="8217" spans="1:11">
      <c r="A8217" s="12">
        <v>42667</v>
      </c>
      <c r="B8217">
        <v>2016</v>
      </c>
      <c r="C8217">
        <v>10</v>
      </c>
      <c r="D8217" s="11">
        <v>42644</v>
      </c>
      <c r="E8217" t="s">
        <v>2182</v>
      </c>
      <c r="F8217">
        <v>1</v>
      </c>
      <c r="G8217" t="s">
        <v>61</v>
      </c>
      <c r="H8217" t="s">
        <v>47</v>
      </c>
      <c r="I8217" t="s">
        <v>2195</v>
      </c>
      <c r="J8217" s="10">
        <v>1</v>
      </c>
      <c r="K8217" t="b">
        <v>1</v>
      </c>
    </row>
    <row r="8218" spans="1:11">
      <c r="A8218" s="12">
        <v>42668</v>
      </c>
      <c r="B8218">
        <v>2016</v>
      </c>
      <c r="C8218">
        <v>10</v>
      </c>
      <c r="D8218" s="11">
        <v>42644</v>
      </c>
      <c r="E8218" t="s">
        <v>2182</v>
      </c>
      <c r="F8218">
        <v>2</v>
      </c>
      <c r="G8218" t="s">
        <v>63</v>
      </c>
      <c r="H8218" t="s">
        <v>40</v>
      </c>
      <c r="I8218" t="s">
        <v>2188</v>
      </c>
      <c r="J8218" s="10">
        <v>4.33</v>
      </c>
      <c r="K8218" t="b">
        <v>1</v>
      </c>
    </row>
    <row r="8219" spans="1:11">
      <c r="A8219" s="12">
        <v>42668</v>
      </c>
      <c r="B8219">
        <v>2016</v>
      </c>
      <c r="C8219">
        <v>10</v>
      </c>
      <c r="D8219" s="11">
        <v>42644</v>
      </c>
      <c r="E8219" t="s">
        <v>2182</v>
      </c>
      <c r="F8219">
        <v>2</v>
      </c>
      <c r="G8219" t="s">
        <v>63</v>
      </c>
      <c r="H8219" t="s">
        <v>41</v>
      </c>
      <c r="I8219" t="s">
        <v>2189</v>
      </c>
      <c r="J8219" s="10">
        <v>4.572</v>
      </c>
      <c r="K8219" t="b">
        <v>1</v>
      </c>
    </row>
    <row r="8220" spans="1:11">
      <c r="A8220" s="12">
        <v>42668</v>
      </c>
      <c r="B8220">
        <v>2016</v>
      </c>
      <c r="C8220">
        <v>10</v>
      </c>
      <c r="D8220" s="11">
        <v>42644</v>
      </c>
      <c r="E8220" t="s">
        <v>2182</v>
      </c>
      <c r="F8220">
        <v>2</v>
      </c>
      <c r="G8220" t="s">
        <v>63</v>
      </c>
      <c r="H8220" t="s">
        <v>42</v>
      </c>
      <c r="I8220" t="s">
        <v>2190</v>
      </c>
      <c r="J8220" s="10">
        <v>5.4</v>
      </c>
      <c r="K8220" t="b">
        <v>1</v>
      </c>
    </row>
    <row r="8221" spans="1:11">
      <c r="A8221" s="12">
        <v>42668</v>
      </c>
      <c r="B8221">
        <v>2016</v>
      </c>
      <c r="C8221">
        <v>10</v>
      </c>
      <c r="D8221" s="11">
        <v>42644</v>
      </c>
      <c r="E8221" t="s">
        <v>2182</v>
      </c>
      <c r="F8221">
        <v>2</v>
      </c>
      <c r="G8221" t="s">
        <v>63</v>
      </c>
      <c r="H8221" t="s">
        <v>43</v>
      </c>
      <c r="I8221" t="s">
        <v>2191</v>
      </c>
      <c r="J8221" s="10">
        <v>62.4</v>
      </c>
      <c r="K8221" t="b">
        <v>1</v>
      </c>
    </row>
    <row r="8222" spans="1:11">
      <c r="A8222" s="12">
        <v>42668</v>
      </c>
      <c r="B8222">
        <v>2016</v>
      </c>
      <c r="C8222">
        <v>10</v>
      </c>
      <c r="D8222" s="11">
        <v>42644</v>
      </c>
      <c r="E8222" t="s">
        <v>2182</v>
      </c>
      <c r="F8222">
        <v>2</v>
      </c>
      <c r="G8222" t="s">
        <v>63</v>
      </c>
      <c r="H8222" t="s">
        <v>44</v>
      </c>
      <c r="I8222" t="s">
        <v>2192</v>
      </c>
      <c r="J8222" s="10">
        <v>10</v>
      </c>
      <c r="K8222" t="b">
        <v>1</v>
      </c>
    </row>
    <row r="8223" spans="1:11">
      <c r="A8223" s="12">
        <v>42668</v>
      </c>
      <c r="B8223">
        <v>2016</v>
      </c>
      <c r="C8223">
        <v>10</v>
      </c>
      <c r="D8223" s="11">
        <v>42644</v>
      </c>
      <c r="E8223" t="s">
        <v>2182</v>
      </c>
      <c r="F8223">
        <v>2</v>
      </c>
      <c r="G8223" t="s">
        <v>63</v>
      </c>
      <c r="H8223" t="s">
        <v>45</v>
      </c>
      <c r="I8223" t="s">
        <v>2193</v>
      </c>
      <c r="J8223" s="10">
        <v>0</v>
      </c>
      <c r="K8223" t="b">
        <v>1</v>
      </c>
    </row>
    <row r="8224" spans="1:11">
      <c r="A8224" s="12">
        <v>42668</v>
      </c>
      <c r="B8224">
        <v>2016</v>
      </c>
      <c r="C8224">
        <v>10</v>
      </c>
      <c r="D8224" s="11">
        <v>42644</v>
      </c>
      <c r="E8224" t="s">
        <v>2182</v>
      </c>
      <c r="F8224">
        <v>2</v>
      </c>
      <c r="G8224" t="s">
        <v>63</v>
      </c>
      <c r="H8224" t="s">
        <v>46</v>
      </c>
      <c r="I8224" t="s">
        <v>2194</v>
      </c>
      <c r="J8224" s="10">
        <v>7</v>
      </c>
      <c r="K8224" t="b">
        <v>1</v>
      </c>
    </row>
    <row r="8225" spans="1:11">
      <c r="A8225" s="12">
        <v>42668</v>
      </c>
      <c r="B8225">
        <v>2016</v>
      </c>
      <c r="C8225">
        <v>10</v>
      </c>
      <c r="D8225" s="11">
        <v>42644</v>
      </c>
      <c r="E8225" t="s">
        <v>2182</v>
      </c>
      <c r="F8225">
        <v>2</v>
      </c>
      <c r="G8225" t="s">
        <v>63</v>
      </c>
      <c r="H8225" t="s">
        <v>47</v>
      </c>
      <c r="I8225" t="s">
        <v>2195</v>
      </c>
      <c r="J8225" s="10">
        <v>0</v>
      </c>
      <c r="K8225" t="b">
        <v>1</v>
      </c>
    </row>
    <row r="8226" spans="1:11">
      <c r="A8226" s="12">
        <v>42669</v>
      </c>
      <c r="B8226">
        <v>2016</v>
      </c>
      <c r="C8226">
        <v>10</v>
      </c>
      <c r="D8226" s="11">
        <v>42644</v>
      </c>
      <c r="E8226" t="s">
        <v>2182</v>
      </c>
      <c r="F8226">
        <v>3</v>
      </c>
      <c r="G8226" t="s">
        <v>65</v>
      </c>
      <c r="H8226" t="s">
        <v>40</v>
      </c>
      <c r="I8226" t="s">
        <v>2188</v>
      </c>
      <c r="J8226" s="10">
        <v>2.33</v>
      </c>
      <c r="K8226" t="b">
        <v>1</v>
      </c>
    </row>
    <row r="8227" spans="1:11">
      <c r="A8227" s="12">
        <v>42669</v>
      </c>
      <c r="B8227">
        <v>2016</v>
      </c>
      <c r="C8227">
        <v>10</v>
      </c>
      <c r="D8227" s="11">
        <v>42644</v>
      </c>
      <c r="E8227" t="s">
        <v>2182</v>
      </c>
      <c r="F8227">
        <v>3</v>
      </c>
      <c r="G8227" t="s">
        <v>65</v>
      </c>
      <c r="H8227" t="s">
        <v>41</v>
      </c>
      <c r="I8227" t="s">
        <v>2189</v>
      </c>
      <c r="J8227" s="10">
        <v>2.397</v>
      </c>
      <c r="K8227" t="b">
        <v>1</v>
      </c>
    </row>
    <row r="8228" spans="1:11">
      <c r="A8228" s="12">
        <v>42669</v>
      </c>
      <c r="B8228">
        <v>2016</v>
      </c>
      <c r="C8228">
        <v>10</v>
      </c>
      <c r="D8228" s="11">
        <v>42644</v>
      </c>
      <c r="E8228" t="s">
        <v>2182</v>
      </c>
      <c r="F8228">
        <v>3</v>
      </c>
      <c r="G8228" t="s">
        <v>65</v>
      </c>
      <c r="H8228" t="s">
        <v>42</v>
      </c>
      <c r="I8228" t="s">
        <v>2190</v>
      </c>
      <c r="J8228" s="10">
        <v>6</v>
      </c>
      <c r="K8228" t="b">
        <v>1</v>
      </c>
    </row>
    <row r="8229" spans="1:11">
      <c r="A8229" s="12">
        <v>42669</v>
      </c>
      <c r="B8229">
        <v>2016</v>
      </c>
      <c r="C8229">
        <v>10</v>
      </c>
      <c r="D8229" s="11">
        <v>42644</v>
      </c>
      <c r="E8229" t="s">
        <v>2182</v>
      </c>
      <c r="F8229">
        <v>3</v>
      </c>
      <c r="G8229" t="s">
        <v>65</v>
      </c>
      <c r="H8229" t="s">
        <v>43</v>
      </c>
      <c r="I8229" t="s">
        <v>2191</v>
      </c>
      <c r="J8229" s="10">
        <v>28.4</v>
      </c>
      <c r="K8229" t="b">
        <v>1</v>
      </c>
    </row>
    <row r="8230" spans="1:11">
      <c r="A8230" s="12">
        <v>42669</v>
      </c>
      <c r="B8230">
        <v>2016</v>
      </c>
      <c r="C8230">
        <v>10</v>
      </c>
      <c r="D8230" s="11">
        <v>42644</v>
      </c>
      <c r="E8230" t="s">
        <v>2182</v>
      </c>
      <c r="F8230">
        <v>3</v>
      </c>
      <c r="G8230" t="s">
        <v>65</v>
      </c>
      <c r="H8230" t="s">
        <v>44</v>
      </c>
      <c r="I8230" t="s">
        <v>2192</v>
      </c>
      <c r="J8230" s="10">
        <v>10</v>
      </c>
      <c r="K8230" t="b">
        <v>1</v>
      </c>
    </row>
    <row r="8231" spans="1:11">
      <c r="A8231" s="12">
        <v>42669</v>
      </c>
      <c r="B8231">
        <v>2016</v>
      </c>
      <c r="C8231">
        <v>10</v>
      </c>
      <c r="D8231" s="11">
        <v>42644</v>
      </c>
      <c r="E8231" t="s">
        <v>2182</v>
      </c>
      <c r="F8231">
        <v>3</v>
      </c>
      <c r="G8231" t="s">
        <v>65</v>
      </c>
      <c r="H8231" t="s">
        <v>45</v>
      </c>
      <c r="I8231" t="s">
        <v>2193</v>
      </c>
      <c r="J8231" s="10">
        <v>0</v>
      </c>
      <c r="K8231" t="b">
        <v>1</v>
      </c>
    </row>
    <row r="8232" spans="1:11">
      <c r="A8232" s="12">
        <v>42669</v>
      </c>
      <c r="B8232">
        <v>2016</v>
      </c>
      <c r="C8232">
        <v>10</v>
      </c>
      <c r="D8232" s="11">
        <v>42644</v>
      </c>
      <c r="E8232" t="s">
        <v>2182</v>
      </c>
      <c r="F8232">
        <v>3</v>
      </c>
      <c r="G8232" t="s">
        <v>65</v>
      </c>
      <c r="H8232" t="s">
        <v>46</v>
      </c>
      <c r="I8232" t="s">
        <v>2194</v>
      </c>
      <c r="J8232" s="10">
        <v>2</v>
      </c>
      <c r="K8232" t="b">
        <v>1</v>
      </c>
    </row>
    <row r="8233" spans="1:11">
      <c r="A8233" s="12">
        <v>42669</v>
      </c>
      <c r="B8233">
        <v>2016</v>
      </c>
      <c r="C8233">
        <v>10</v>
      </c>
      <c r="D8233" s="11">
        <v>42644</v>
      </c>
      <c r="E8233" t="s">
        <v>2182</v>
      </c>
      <c r="F8233">
        <v>3</v>
      </c>
      <c r="G8233" t="s">
        <v>65</v>
      </c>
      <c r="H8233" t="s">
        <v>47</v>
      </c>
      <c r="I8233" t="s">
        <v>2195</v>
      </c>
      <c r="J8233" s="10">
        <v>1</v>
      </c>
      <c r="K8233" t="b">
        <v>1</v>
      </c>
    </row>
    <row r="8234" spans="1:11">
      <c r="A8234" s="12">
        <v>42670</v>
      </c>
      <c r="B8234">
        <v>2016</v>
      </c>
      <c r="C8234">
        <v>10</v>
      </c>
      <c r="D8234" s="11">
        <v>42644</v>
      </c>
      <c r="E8234" t="s">
        <v>2182</v>
      </c>
      <c r="F8234">
        <v>4</v>
      </c>
      <c r="G8234" t="s">
        <v>53</v>
      </c>
      <c r="H8234" t="s">
        <v>40</v>
      </c>
      <c r="I8234" t="s">
        <v>2188</v>
      </c>
      <c r="J8234" s="10">
        <v>6.5</v>
      </c>
      <c r="K8234" t="b">
        <v>1</v>
      </c>
    </row>
    <row r="8235" spans="1:11">
      <c r="A8235" s="12">
        <v>42670</v>
      </c>
      <c r="B8235">
        <v>2016</v>
      </c>
      <c r="C8235">
        <v>10</v>
      </c>
      <c r="D8235" s="11">
        <v>42644</v>
      </c>
      <c r="E8235" t="s">
        <v>2182</v>
      </c>
      <c r="F8235">
        <v>4</v>
      </c>
      <c r="G8235" t="s">
        <v>53</v>
      </c>
      <c r="H8235" t="s">
        <v>41</v>
      </c>
      <c r="I8235" t="s">
        <v>2189</v>
      </c>
      <c r="J8235" s="10">
        <v>2.023</v>
      </c>
      <c r="K8235" t="b">
        <v>1</v>
      </c>
    </row>
    <row r="8236" spans="1:11">
      <c r="A8236" s="12">
        <v>42670</v>
      </c>
      <c r="B8236">
        <v>2016</v>
      </c>
      <c r="C8236">
        <v>10</v>
      </c>
      <c r="D8236" s="11">
        <v>42644</v>
      </c>
      <c r="E8236" t="s">
        <v>2182</v>
      </c>
      <c r="F8236">
        <v>4</v>
      </c>
      <c r="G8236" t="s">
        <v>53</v>
      </c>
      <c r="H8236" t="s">
        <v>42</v>
      </c>
      <c r="I8236" t="s">
        <v>2190</v>
      </c>
      <c r="J8236" s="10">
        <v>3</v>
      </c>
      <c r="K8236" t="b">
        <v>1</v>
      </c>
    </row>
    <row r="8237" spans="1:11">
      <c r="A8237" s="12">
        <v>42670</v>
      </c>
      <c r="B8237">
        <v>2016</v>
      </c>
      <c r="C8237">
        <v>10</v>
      </c>
      <c r="D8237" s="11">
        <v>42644</v>
      </c>
      <c r="E8237" t="s">
        <v>2182</v>
      </c>
      <c r="F8237">
        <v>4</v>
      </c>
      <c r="G8237" t="s">
        <v>53</v>
      </c>
      <c r="H8237" t="s">
        <v>43</v>
      </c>
      <c r="I8237" t="s">
        <v>2191</v>
      </c>
      <c r="J8237" s="10">
        <v>32.2</v>
      </c>
      <c r="K8237" t="b">
        <v>1</v>
      </c>
    </row>
    <row r="8238" spans="1:11">
      <c r="A8238" s="12">
        <v>42670</v>
      </c>
      <c r="B8238">
        <v>2016</v>
      </c>
      <c r="C8238">
        <v>10</v>
      </c>
      <c r="D8238" s="11">
        <v>42644</v>
      </c>
      <c r="E8238" t="s">
        <v>2182</v>
      </c>
      <c r="F8238">
        <v>4</v>
      </c>
      <c r="G8238" t="s">
        <v>53</v>
      </c>
      <c r="H8238" t="s">
        <v>44</v>
      </c>
      <c r="I8238" t="s">
        <v>2192</v>
      </c>
      <c r="J8238" s="10">
        <v>10</v>
      </c>
      <c r="K8238" t="b">
        <v>1</v>
      </c>
    </row>
    <row r="8239" spans="1:11">
      <c r="A8239" s="12">
        <v>42670</v>
      </c>
      <c r="B8239">
        <v>2016</v>
      </c>
      <c r="C8239">
        <v>10</v>
      </c>
      <c r="D8239" s="11">
        <v>42644</v>
      </c>
      <c r="E8239" t="s">
        <v>2182</v>
      </c>
      <c r="F8239">
        <v>4</v>
      </c>
      <c r="G8239" t="s">
        <v>53</v>
      </c>
      <c r="H8239" t="s">
        <v>45</v>
      </c>
      <c r="I8239" t="s">
        <v>2193</v>
      </c>
      <c r="J8239" s="10">
        <v>2</v>
      </c>
      <c r="K8239" t="b">
        <v>1</v>
      </c>
    </row>
    <row r="8240" spans="1:11">
      <c r="A8240" s="12">
        <v>42670</v>
      </c>
      <c r="B8240">
        <v>2016</v>
      </c>
      <c r="C8240">
        <v>10</v>
      </c>
      <c r="D8240" s="11">
        <v>42644</v>
      </c>
      <c r="E8240" t="s">
        <v>2182</v>
      </c>
      <c r="F8240">
        <v>4</v>
      </c>
      <c r="G8240" t="s">
        <v>53</v>
      </c>
      <c r="H8240" t="s">
        <v>46</v>
      </c>
      <c r="I8240" t="s">
        <v>2194</v>
      </c>
      <c r="J8240" s="10">
        <v>4</v>
      </c>
      <c r="K8240" t="b">
        <v>1</v>
      </c>
    </row>
    <row r="8241" spans="1:11">
      <c r="A8241" s="12">
        <v>42670</v>
      </c>
      <c r="B8241">
        <v>2016</v>
      </c>
      <c r="C8241">
        <v>10</v>
      </c>
      <c r="D8241" s="11">
        <v>42644</v>
      </c>
      <c r="E8241" t="s">
        <v>2182</v>
      </c>
      <c r="F8241">
        <v>4</v>
      </c>
      <c r="G8241" t="s">
        <v>53</v>
      </c>
      <c r="H8241" t="s">
        <v>47</v>
      </c>
      <c r="I8241" t="s">
        <v>2195</v>
      </c>
      <c r="J8241" s="10">
        <v>0</v>
      </c>
      <c r="K8241" t="b">
        <v>1</v>
      </c>
    </row>
    <row r="8242" spans="1:11">
      <c r="A8242" s="12">
        <v>42671</v>
      </c>
      <c r="B8242">
        <v>2016</v>
      </c>
      <c r="C8242">
        <v>10</v>
      </c>
      <c r="D8242" s="11">
        <v>42644</v>
      </c>
      <c r="E8242" t="s">
        <v>2182</v>
      </c>
      <c r="F8242">
        <v>5</v>
      </c>
      <c r="G8242" t="s">
        <v>55</v>
      </c>
      <c r="H8242" t="s">
        <v>40</v>
      </c>
      <c r="I8242" t="s">
        <v>2188</v>
      </c>
      <c r="J8242" s="10">
        <v>7</v>
      </c>
      <c r="K8242" t="b">
        <v>1</v>
      </c>
    </row>
    <row r="8243" spans="1:11">
      <c r="A8243" s="12">
        <v>42671</v>
      </c>
      <c r="B8243">
        <v>2016</v>
      </c>
      <c r="C8243">
        <v>10</v>
      </c>
      <c r="D8243" s="11">
        <v>42644</v>
      </c>
      <c r="E8243" t="s">
        <v>2182</v>
      </c>
      <c r="F8243">
        <v>5</v>
      </c>
      <c r="G8243" t="s">
        <v>55</v>
      </c>
      <c r="H8243" t="s">
        <v>41</v>
      </c>
      <c r="I8243" t="s">
        <v>2189</v>
      </c>
      <c r="J8243" s="10">
        <v>3.78</v>
      </c>
      <c r="K8243" t="b">
        <v>1</v>
      </c>
    </row>
    <row r="8244" spans="1:11">
      <c r="A8244" s="12">
        <v>42671</v>
      </c>
      <c r="B8244">
        <v>2016</v>
      </c>
      <c r="C8244">
        <v>10</v>
      </c>
      <c r="D8244" s="11">
        <v>42644</v>
      </c>
      <c r="E8244" t="s">
        <v>2182</v>
      </c>
      <c r="F8244">
        <v>5</v>
      </c>
      <c r="G8244" t="s">
        <v>55</v>
      </c>
      <c r="H8244" t="s">
        <v>42</v>
      </c>
      <c r="I8244" t="s">
        <v>2190</v>
      </c>
      <c r="J8244" s="10">
        <v>6</v>
      </c>
      <c r="K8244" t="b">
        <v>1</v>
      </c>
    </row>
    <row r="8245" spans="1:11">
      <c r="A8245" s="12">
        <v>42671</v>
      </c>
      <c r="B8245">
        <v>2016</v>
      </c>
      <c r="C8245">
        <v>10</v>
      </c>
      <c r="D8245" s="11">
        <v>42644</v>
      </c>
      <c r="E8245" t="s">
        <v>2182</v>
      </c>
      <c r="F8245">
        <v>5</v>
      </c>
      <c r="G8245" t="s">
        <v>55</v>
      </c>
      <c r="H8245" t="s">
        <v>43</v>
      </c>
      <c r="I8245" t="s">
        <v>2191</v>
      </c>
      <c r="J8245" s="10">
        <v>34.4</v>
      </c>
      <c r="K8245" t="b">
        <v>1</v>
      </c>
    </row>
    <row r="8246" spans="1:11">
      <c r="A8246" s="12">
        <v>42671</v>
      </c>
      <c r="B8246">
        <v>2016</v>
      </c>
      <c r="C8246">
        <v>10</v>
      </c>
      <c r="D8246" s="11">
        <v>42644</v>
      </c>
      <c r="E8246" t="s">
        <v>2182</v>
      </c>
      <c r="F8246">
        <v>5</v>
      </c>
      <c r="G8246" t="s">
        <v>55</v>
      </c>
      <c r="H8246" t="s">
        <v>44</v>
      </c>
      <c r="I8246" t="s">
        <v>2192</v>
      </c>
      <c r="J8246" s="10">
        <v>9</v>
      </c>
      <c r="K8246" t="b">
        <v>1</v>
      </c>
    </row>
    <row r="8247" spans="1:11">
      <c r="A8247" s="12">
        <v>42671</v>
      </c>
      <c r="B8247">
        <v>2016</v>
      </c>
      <c r="C8247">
        <v>10</v>
      </c>
      <c r="D8247" s="11">
        <v>42644</v>
      </c>
      <c r="E8247" t="s">
        <v>2182</v>
      </c>
      <c r="F8247">
        <v>5</v>
      </c>
      <c r="G8247" t="s">
        <v>55</v>
      </c>
      <c r="H8247" t="s">
        <v>45</v>
      </c>
      <c r="I8247" t="s">
        <v>2193</v>
      </c>
      <c r="J8247" s="10">
        <v>0</v>
      </c>
      <c r="K8247" t="b">
        <v>1</v>
      </c>
    </row>
    <row r="8248" spans="1:11">
      <c r="A8248" s="12">
        <v>42671</v>
      </c>
      <c r="B8248">
        <v>2016</v>
      </c>
      <c r="C8248">
        <v>10</v>
      </c>
      <c r="D8248" s="11">
        <v>42644</v>
      </c>
      <c r="E8248" t="s">
        <v>2182</v>
      </c>
      <c r="F8248">
        <v>5</v>
      </c>
      <c r="G8248" t="s">
        <v>55</v>
      </c>
      <c r="H8248" t="s">
        <v>46</v>
      </c>
      <c r="I8248" t="s">
        <v>2194</v>
      </c>
      <c r="J8248" s="10">
        <v>5</v>
      </c>
      <c r="K8248" t="b">
        <v>1</v>
      </c>
    </row>
    <row r="8249" spans="1:11">
      <c r="A8249" s="12">
        <v>42671</v>
      </c>
      <c r="B8249">
        <v>2016</v>
      </c>
      <c r="C8249">
        <v>10</v>
      </c>
      <c r="D8249" s="11">
        <v>42644</v>
      </c>
      <c r="E8249" t="s">
        <v>2182</v>
      </c>
      <c r="F8249">
        <v>5</v>
      </c>
      <c r="G8249" t="s">
        <v>55</v>
      </c>
      <c r="H8249" t="s">
        <v>47</v>
      </c>
      <c r="I8249" t="s">
        <v>2195</v>
      </c>
      <c r="J8249" s="10">
        <v>0</v>
      </c>
      <c r="K8249" t="b">
        <v>1</v>
      </c>
    </row>
    <row r="8250" spans="1:11">
      <c r="A8250" s="12">
        <v>42672</v>
      </c>
      <c r="B8250">
        <v>2016</v>
      </c>
      <c r="C8250">
        <v>10</v>
      </c>
      <c r="D8250" s="11">
        <v>42644</v>
      </c>
      <c r="E8250" t="s">
        <v>2182</v>
      </c>
      <c r="F8250">
        <v>6</v>
      </c>
      <c r="G8250" t="s">
        <v>57</v>
      </c>
      <c r="H8250" t="s">
        <v>40</v>
      </c>
      <c r="I8250" t="s">
        <v>2188</v>
      </c>
      <c r="J8250" s="10">
        <v>15.33</v>
      </c>
      <c r="K8250" t="b">
        <v>1</v>
      </c>
    </row>
    <row r="8251" spans="1:11">
      <c r="A8251" s="12">
        <v>42672</v>
      </c>
      <c r="B8251">
        <v>2016</v>
      </c>
      <c r="C8251">
        <v>10</v>
      </c>
      <c r="D8251" s="11">
        <v>42644</v>
      </c>
      <c r="E8251" t="s">
        <v>2182</v>
      </c>
      <c r="F8251">
        <v>6</v>
      </c>
      <c r="G8251" t="s">
        <v>57</v>
      </c>
      <c r="H8251" t="s">
        <v>41</v>
      </c>
      <c r="I8251" t="s">
        <v>2189</v>
      </c>
      <c r="J8251" s="10">
        <v>4.54</v>
      </c>
      <c r="K8251" t="b">
        <v>1</v>
      </c>
    </row>
    <row r="8252" spans="1:11">
      <c r="A8252" s="12">
        <v>42672</v>
      </c>
      <c r="B8252">
        <v>2016</v>
      </c>
      <c r="C8252">
        <v>10</v>
      </c>
      <c r="D8252" s="11">
        <v>42644</v>
      </c>
      <c r="E8252" t="s">
        <v>2182</v>
      </c>
      <c r="F8252">
        <v>6</v>
      </c>
      <c r="G8252" t="s">
        <v>57</v>
      </c>
      <c r="H8252" t="s">
        <v>42</v>
      </c>
      <c r="I8252" t="s">
        <v>2190</v>
      </c>
      <c r="J8252" s="10">
        <v>6.1</v>
      </c>
      <c r="K8252" t="b">
        <v>1</v>
      </c>
    </row>
    <row r="8253" spans="1:11">
      <c r="A8253" s="12">
        <v>42672</v>
      </c>
      <c r="B8253">
        <v>2016</v>
      </c>
      <c r="C8253">
        <v>10</v>
      </c>
      <c r="D8253" s="11">
        <v>42644</v>
      </c>
      <c r="E8253" t="s">
        <v>2182</v>
      </c>
      <c r="F8253">
        <v>6</v>
      </c>
      <c r="G8253" t="s">
        <v>57</v>
      </c>
      <c r="H8253" t="s">
        <v>43</v>
      </c>
      <c r="I8253" t="s">
        <v>2191</v>
      </c>
      <c r="J8253" s="10">
        <v>78.5</v>
      </c>
      <c r="K8253" t="b">
        <v>1</v>
      </c>
    </row>
    <row r="8254" spans="1:11">
      <c r="A8254" s="12">
        <v>42672</v>
      </c>
      <c r="B8254">
        <v>2016</v>
      </c>
      <c r="C8254">
        <v>10</v>
      </c>
      <c r="D8254" s="11">
        <v>42644</v>
      </c>
      <c r="E8254" t="s">
        <v>2182</v>
      </c>
      <c r="F8254">
        <v>6</v>
      </c>
      <c r="G8254" t="s">
        <v>57</v>
      </c>
      <c r="H8254" t="s">
        <v>44</v>
      </c>
      <c r="I8254" t="s">
        <v>2192</v>
      </c>
      <c r="J8254" s="10">
        <v>23</v>
      </c>
      <c r="K8254" t="b">
        <v>1</v>
      </c>
    </row>
    <row r="8255" spans="1:11">
      <c r="A8255" s="12">
        <v>42672</v>
      </c>
      <c r="B8255">
        <v>2016</v>
      </c>
      <c r="C8255">
        <v>10</v>
      </c>
      <c r="D8255" s="11">
        <v>42644</v>
      </c>
      <c r="E8255" t="s">
        <v>2182</v>
      </c>
      <c r="F8255">
        <v>6</v>
      </c>
      <c r="G8255" t="s">
        <v>57</v>
      </c>
      <c r="H8255" t="s">
        <v>45</v>
      </c>
      <c r="I8255" t="s">
        <v>2193</v>
      </c>
      <c r="J8255" s="10">
        <v>0</v>
      </c>
      <c r="K8255" t="b">
        <v>1</v>
      </c>
    </row>
    <row r="8256" spans="1:11">
      <c r="A8256" s="12">
        <v>42672</v>
      </c>
      <c r="B8256">
        <v>2016</v>
      </c>
      <c r="C8256">
        <v>10</v>
      </c>
      <c r="D8256" s="11">
        <v>42644</v>
      </c>
      <c r="E8256" t="s">
        <v>2182</v>
      </c>
      <c r="F8256">
        <v>6</v>
      </c>
      <c r="G8256" t="s">
        <v>57</v>
      </c>
      <c r="H8256" t="s">
        <v>46</v>
      </c>
      <c r="I8256" t="s">
        <v>2194</v>
      </c>
      <c r="J8256" s="10">
        <v>9</v>
      </c>
      <c r="K8256" t="b">
        <v>1</v>
      </c>
    </row>
    <row r="8257" spans="1:11">
      <c r="A8257" s="12">
        <v>42672</v>
      </c>
      <c r="B8257">
        <v>2016</v>
      </c>
      <c r="C8257">
        <v>10</v>
      </c>
      <c r="D8257" s="11">
        <v>42644</v>
      </c>
      <c r="E8257" t="s">
        <v>2182</v>
      </c>
      <c r="F8257">
        <v>6</v>
      </c>
      <c r="G8257" t="s">
        <v>57</v>
      </c>
      <c r="H8257" t="s">
        <v>47</v>
      </c>
      <c r="I8257" t="s">
        <v>2195</v>
      </c>
      <c r="J8257" s="10">
        <v>5</v>
      </c>
      <c r="K8257" t="b">
        <v>1</v>
      </c>
    </row>
    <row r="8258" spans="1:11">
      <c r="A8258" s="12">
        <v>42673</v>
      </c>
      <c r="B8258">
        <v>2016</v>
      </c>
      <c r="C8258">
        <v>10</v>
      </c>
      <c r="D8258" s="11">
        <v>42644</v>
      </c>
      <c r="E8258" t="s">
        <v>2182</v>
      </c>
      <c r="F8258">
        <v>7</v>
      </c>
      <c r="G8258" t="s">
        <v>59</v>
      </c>
      <c r="H8258" t="s">
        <v>40</v>
      </c>
      <c r="I8258" t="s">
        <v>2188</v>
      </c>
      <c r="J8258" s="10">
        <v>4.66</v>
      </c>
      <c r="K8258" t="b">
        <v>1</v>
      </c>
    </row>
    <row r="8259" spans="1:11">
      <c r="A8259" s="12">
        <v>42673</v>
      </c>
      <c r="B8259">
        <v>2016</v>
      </c>
      <c r="C8259">
        <v>10</v>
      </c>
      <c r="D8259" s="11">
        <v>42644</v>
      </c>
      <c r="E8259" t="s">
        <v>2182</v>
      </c>
      <c r="F8259">
        <v>7</v>
      </c>
      <c r="G8259" t="s">
        <v>59</v>
      </c>
      <c r="H8259" t="s">
        <v>41</v>
      </c>
      <c r="I8259" t="s">
        <v>2189</v>
      </c>
      <c r="J8259" s="10">
        <v>10.32</v>
      </c>
      <c r="K8259" t="b">
        <v>1</v>
      </c>
    </row>
    <row r="8260" spans="1:11">
      <c r="A8260" s="12">
        <v>42673</v>
      </c>
      <c r="B8260">
        <v>2016</v>
      </c>
      <c r="C8260">
        <v>10</v>
      </c>
      <c r="D8260" s="11">
        <v>42644</v>
      </c>
      <c r="E8260" t="s">
        <v>2182</v>
      </c>
      <c r="F8260">
        <v>7</v>
      </c>
      <c r="G8260" t="s">
        <v>59</v>
      </c>
      <c r="H8260" t="s">
        <v>42</v>
      </c>
      <c r="I8260" t="s">
        <v>2190</v>
      </c>
      <c r="J8260" s="10">
        <v>5.75</v>
      </c>
      <c r="K8260" t="b">
        <v>1</v>
      </c>
    </row>
    <row r="8261" spans="1:11">
      <c r="A8261" s="12">
        <v>42673</v>
      </c>
      <c r="B8261">
        <v>2016</v>
      </c>
      <c r="C8261">
        <v>10</v>
      </c>
      <c r="D8261" s="11">
        <v>42644</v>
      </c>
      <c r="E8261" t="s">
        <v>2182</v>
      </c>
      <c r="F8261">
        <v>7</v>
      </c>
      <c r="G8261" t="s">
        <v>59</v>
      </c>
      <c r="H8261" t="s">
        <v>43</v>
      </c>
      <c r="I8261" t="s">
        <v>2191</v>
      </c>
      <c r="J8261" s="10">
        <v>73.09999999999999</v>
      </c>
      <c r="K8261" t="b">
        <v>1</v>
      </c>
    </row>
    <row r="8262" spans="1:11">
      <c r="A8262" s="12">
        <v>42673</v>
      </c>
      <c r="B8262">
        <v>2016</v>
      </c>
      <c r="C8262">
        <v>10</v>
      </c>
      <c r="D8262" s="11">
        <v>42644</v>
      </c>
      <c r="E8262" t="s">
        <v>2182</v>
      </c>
      <c r="F8262">
        <v>7</v>
      </c>
      <c r="G8262" t="s">
        <v>59</v>
      </c>
      <c r="H8262" t="s">
        <v>44</v>
      </c>
      <c r="I8262" t="s">
        <v>2192</v>
      </c>
      <c r="J8262" s="10">
        <v>5</v>
      </c>
      <c r="K8262" t="b">
        <v>1</v>
      </c>
    </row>
    <row r="8263" spans="1:11">
      <c r="A8263" s="12">
        <v>42673</v>
      </c>
      <c r="B8263">
        <v>2016</v>
      </c>
      <c r="C8263">
        <v>10</v>
      </c>
      <c r="D8263" s="11">
        <v>42644</v>
      </c>
      <c r="E8263" t="s">
        <v>2182</v>
      </c>
      <c r="F8263">
        <v>7</v>
      </c>
      <c r="G8263" t="s">
        <v>59</v>
      </c>
      <c r="H8263" t="s">
        <v>45</v>
      </c>
      <c r="I8263" t="s">
        <v>2193</v>
      </c>
      <c r="J8263" s="10">
        <v>0</v>
      </c>
      <c r="K8263" t="b">
        <v>1</v>
      </c>
    </row>
    <row r="8264" spans="1:11">
      <c r="A8264" s="12">
        <v>42673</v>
      </c>
      <c r="B8264">
        <v>2016</v>
      </c>
      <c r="C8264">
        <v>10</v>
      </c>
      <c r="D8264" s="11">
        <v>42644</v>
      </c>
      <c r="E8264" t="s">
        <v>2182</v>
      </c>
      <c r="F8264">
        <v>7</v>
      </c>
      <c r="G8264" t="s">
        <v>59</v>
      </c>
      <c r="H8264" t="s">
        <v>46</v>
      </c>
      <c r="I8264" t="s">
        <v>2194</v>
      </c>
      <c r="J8264" s="10">
        <v>0</v>
      </c>
      <c r="K8264" t="b">
        <v>1</v>
      </c>
    </row>
    <row r="8265" spans="1:11">
      <c r="A8265" s="12">
        <v>42673</v>
      </c>
      <c r="B8265">
        <v>2016</v>
      </c>
      <c r="C8265">
        <v>10</v>
      </c>
      <c r="D8265" s="11">
        <v>42644</v>
      </c>
      <c r="E8265" t="s">
        <v>2182</v>
      </c>
      <c r="F8265">
        <v>7</v>
      </c>
      <c r="G8265" t="s">
        <v>59</v>
      </c>
      <c r="H8265" t="s">
        <v>47</v>
      </c>
      <c r="I8265" t="s">
        <v>2195</v>
      </c>
      <c r="J8265" s="10">
        <v>2</v>
      </c>
      <c r="K8265" t="b">
        <v>1</v>
      </c>
    </row>
    <row r="8266" spans="1:11">
      <c r="A8266" s="12">
        <v>42674</v>
      </c>
      <c r="B8266">
        <v>2016</v>
      </c>
      <c r="C8266">
        <v>10</v>
      </c>
      <c r="D8266" s="11">
        <v>42644</v>
      </c>
      <c r="E8266" t="s">
        <v>2182</v>
      </c>
      <c r="F8266">
        <v>1</v>
      </c>
      <c r="G8266" t="s">
        <v>61</v>
      </c>
      <c r="H8266" t="s">
        <v>40</v>
      </c>
      <c r="I8266" t="s">
        <v>2188</v>
      </c>
      <c r="J8266" s="10">
        <v>2.66</v>
      </c>
      <c r="K8266" t="b">
        <v>1</v>
      </c>
    </row>
    <row r="8267" spans="1:11">
      <c r="A8267" s="12">
        <v>42674</v>
      </c>
      <c r="B8267">
        <v>2016</v>
      </c>
      <c r="C8267">
        <v>10</v>
      </c>
      <c r="D8267" s="11">
        <v>42644</v>
      </c>
      <c r="E8267" t="s">
        <v>2182</v>
      </c>
      <c r="F8267">
        <v>1</v>
      </c>
      <c r="G8267" t="s">
        <v>61</v>
      </c>
      <c r="H8267" t="s">
        <v>41</v>
      </c>
      <c r="I8267" t="s">
        <v>2189</v>
      </c>
      <c r="J8267" s="10">
        <v>3.82</v>
      </c>
      <c r="K8267" t="b">
        <v>1</v>
      </c>
    </row>
    <row r="8268" spans="1:11">
      <c r="A8268" s="12">
        <v>42674</v>
      </c>
      <c r="B8268">
        <v>2016</v>
      </c>
      <c r="C8268">
        <v>10</v>
      </c>
      <c r="D8268" s="11">
        <v>42644</v>
      </c>
      <c r="E8268" t="s">
        <v>2182</v>
      </c>
      <c r="F8268">
        <v>1</v>
      </c>
      <c r="G8268" t="s">
        <v>61</v>
      </c>
      <c r="H8268" t="s">
        <v>42</v>
      </c>
      <c r="I8268" t="s">
        <v>2190</v>
      </c>
      <c r="J8268" s="10">
        <v>3</v>
      </c>
      <c r="K8268" t="b">
        <v>1</v>
      </c>
    </row>
    <row r="8269" spans="1:11">
      <c r="A8269" s="12">
        <v>42674</v>
      </c>
      <c r="B8269">
        <v>2016</v>
      </c>
      <c r="C8269">
        <v>10</v>
      </c>
      <c r="D8269" s="11">
        <v>42644</v>
      </c>
      <c r="E8269" t="s">
        <v>2182</v>
      </c>
      <c r="F8269">
        <v>1</v>
      </c>
      <c r="G8269" t="s">
        <v>61</v>
      </c>
      <c r="H8269" t="s">
        <v>43</v>
      </c>
      <c r="I8269" t="s">
        <v>2191</v>
      </c>
      <c r="J8269" s="10">
        <v>43.8</v>
      </c>
      <c r="K8269" t="b">
        <v>1</v>
      </c>
    </row>
    <row r="8270" spans="1:11">
      <c r="A8270" s="12">
        <v>42674</v>
      </c>
      <c r="B8270">
        <v>2016</v>
      </c>
      <c r="C8270">
        <v>10</v>
      </c>
      <c r="D8270" s="11">
        <v>42644</v>
      </c>
      <c r="E8270" t="s">
        <v>2182</v>
      </c>
      <c r="F8270">
        <v>1</v>
      </c>
      <c r="G8270" t="s">
        <v>61</v>
      </c>
      <c r="H8270" t="s">
        <v>44</v>
      </c>
      <c r="I8270" t="s">
        <v>2192</v>
      </c>
      <c r="J8270" s="10">
        <v>6</v>
      </c>
      <c r="K8270" t="b">
        <v>1</v>
      </c>
    </row>
    <row r="8271" spans="1:11">
      <c r="A8271" s="12">
        <v>42674</v>
      </c>
      <c r="B8271">
        <v>2016</v>
      </c>
      <c r="C8271">
        <v>10</v>
      </c>
      <c r="D8271" s="11">
        <v>42644</v>
      </c>
      <c r="E8271" t="s">
        <v>2182</v>
      </c>
      <c r="F8271">
        <v>1</v>
      </c>
      <c r="G8271" t="s">
        <v>61</v>
      </c>
      <c r="H8271" t="s">
        <v>45</v>
      </c>
      <c r="I8271" t="s">
        <v>2193</v>
      </c>
      <c r="J8271" s="10">
        <v>0</v>
      </c>
      <c r="K8271" t="b">
        <v>1</v>
      </c>
    </row>
    <row r="8272" spans="1:11">
      <c r="A8272" s="12">
        <v>42674</v>
      </c>
      <c r="B8272">
        <v>2016</v>
      </c>
      <c r="C8272">
        <v>10</v>
      </c>
      <c r="D8272" s="11">
        <v>42644</v>
      </c>
      <c r="E8272" t="s">
        <v>2182</v>
      </c>
      <c r="F8272">
        <v>1</v>
      </c>
      <c r="G8272" t="s">
        <v>61</v>
      </c>
      <c r="H8272" t="s">
        <v>46</v>
      </c>
      <c r="I8272" t="s">
        <v>2194</v>
      </c>
      <c r="J8272" s="10">
        <v>17</v>
      </c>
      <c r="K8272" t="b">
        <v>1</v>
      </c>
    </row>
    <row r="8273" spans="1:11">
      <c r="A8273" s="12">
        <v>42674</v>
      </c>
      <c r="B8273">
        <v>2016</v>
      </c>
      <c r="C8273">
        <v>10</v>
      </c>
      <c r="D8273" s="11">
        <v>42644</v>
      </c>
      <c r="E8273" t="s">
        <v>2182</v>
      </c>
      <c r="F8273">
        <v>1</v>
      </c>
      <c r="G8273" t="s">
        <v>61</v>
      </c>
      <c r="H8273" t="s">
        <v>47</v>
      </c>
      <c r="I8273" t="s">
        <v>2195</v>
      </c>
      <c r="J8273" s="10">
        <v>5</v>
      </c>
      <c r="K8273" t="b">
        <v>1</v>
      </c>
    </row>
    <row r="8274" spans="1:11">
      <c r="A8274" s="12">
        <v>42675</v>
      </c>
      <c r="B8274">
        <v>2016</v>
      </c>
      <c r="C8274">
        <v>11</v>
      </c>
      <c r="D8274" s="11">
        <v>42675</v>
      </c>
      <c r="E8274" t="s">
        <v>2183</v>
      </c>
      <c r="F8274">
        <v>2</v>
      </c>
      <c r="G8274" t="s">
        <v>63</v>
      </c>
      <c r="H8274" t="s">
        <v>40</v>
      </c>
      <c r="I8274" t="s">
        <v>2188</v>
      </c>
      <c r="J8274" s="10">
        <v>2.33</v>
      </c>
      <c r="K8274" t="b">
        <v>1</v>
      </c>
    </row>
    <row r="8275" spans="1:11">
      <c r="A8275" s="12">
        <v>42675</v>
      </c>
      <c r="B8275">
        <v>2016</v>
      </c>
      <c r="C8275">
        <v>11</v>
      </c>
      <c r="D8275" s="11">
        <v>42675</v>
      </c>
      <c r="E8275" t="s">
        <v>2183</v>
      </c>
      <c r="F8275">
        <v>2</v>
      </c>
      <c r="G8275" t="s">
        <v>63</v>
      </c>
      <c r="H8275" t="s">
        <v>41</v>
      </c>
      <c r="I8275" t="s">
        <v>2189</v>
      </c>
      <c r="J8275" s="10">
        <v>1.703</v>
      </c>
      <c r="K8275" t="b">
        <v>1</v>
      </c>
    </row>
    <row r="8276" spans="1:11">
      <c r="A8276" s="12">
        <v>42675</v>
      </c>
      <c r="B8276">
        <v>2016</v>
      </c>
      <c r="C8276">
        <v>11</v>
      </c>
      <c r="D8276" s="11">
        <v>42675</v>
      </c>
      <c r="E8276" t="s">
        <v>2183</v>
      </c>
      <c r="F8276">
        <v>2</v>
      </c>
      <c r="G8276" t="s">
        <v>63</v>
      </c>
      <c r="H8276" t="s">
        <v>42</v>
      </c>
      <c r="I8276" t="s">
        <v>2190</v>
      </c>
      <c r="J8276" s="10">
        <v>4</v>
      </c>
      <c r="K8276" t="b">
        <v>1</v>
      </c>
    </row>
    <row r="8277" spans="1:11">
      <c r="A8277" s="12">
        <v>42675</v>
      </c>
      <c r="B8277">
        <v>2016</v>
      </c>
      <c r="C8277">
        <v>11</v>
      </c>
      <c r="D8277" s="11">
        <v>42675</v>
      </c>
      <c r="E8277" t="s">
        <v>2183</v>
      </c>
      <c r="F8277">
        <v>2</v>
      </c>
      <c r="G8277" t="s">
        <v>63</v>
      </c>
      <c r="H8277" t="s">
        <v>43</v>
      </c>
      <c r="I8277" t="s">
        <v>2191</v>
      </c>
      <c r="J8277" s="10">
        <v>25.9</v>
      </c>
      <c r="K8277" t="b">
        <v>1</v>
      </c>
    </row>
    <row r="8278" spans="1:11">
      <c r="A8278" s="12">
        <v>42675</v>
      </c>
      <c r="B8278">
        <v>2016</v>
      </c>
      <c r="C8278">
        <v>11</v>
      </c>
      <c r="D8278" s="11">
        <v>42675</v>
      </c>
      <c r="E8278" t="s">
        <v>2183</v>
      </c>
      <c r="F8278">
        <v>2</v>
      </c>
      <c r="G8278" t="s">
        <v>63</v>
      </c>
      <c r="H8278" t="s">
        <v>44</v>
      </c>
      <c r="I8278" t="s">
        <v>2192</v>
      </c>
      <c r="J8278" s="10">
        <v>18</v>
      </c>
      <c r="K8278" t="b">
        <v>1</v>
      </c>
    </row>
    <row r="8279" spans="1:11">
      <c r="A8279" s="12">
        <v>42675</v>
      </c>
      <c r="B8279">
        <v>2016</v>
      </c>
      <c r="C8279">
        <v>11</v>
      </c>
      <c r="D8279" s="11">
        <v>42675</v>
      </c>
      <c r="E8279" t="s">
        <v>2183</v>
      </c>
      <c r="F8279">
        <v>2</v>
      </c>
      <c r="G8279" t="s">
        <v>63</v>
      </c>
      <c r="H8279" t="s">
        <v>45</v>
      </c>
      <c r="I8279" t="s">
        <v>2193</v>
      </c>
      <c r="J8279" s="10">
        <v>0</v>
      </c>
      <c r="K8279" t="b">
        <v>1</v>
      </c>
    </row>
    <row r="8280" spans="1:11">
      <c r="A8280" s="12">
        <v>42675</v>
      </c>
      <c r="B8280">
        <v>2016</v>
      </c>
      <c r="C8280">
        <v>11</v>
      </c>
      <c r="D8280" s="11">
        <v>42675</v>
      </c>
      <c r="E8280" t="s">
        <v>2183</v>
      </c>
      <c r="F8280">
        <v>2</v>
      </c>
      <c r="G8280" t="s">
        <v>63</v>
      </c>
      <c r="H8280" t="s">
        <v>46</v>
      </c>
      <c r="I8280" t="s">
        <v>2194</v>
      </c>
      <c r="J8280" s="10">
        <v>6</v>
      </c>
      <c r="K8280" t="b">
        <v>1</v>
      </c>
    </row>
    <row r="8281" spans="1:11">
      <c r="A8281" s="12">
        <v>42675</v>
      </c>
      <c r="B8281">
        <v>2016</v>
      </c>
      <c r="C8281">
        <v>11</v>
      </c>
      <c r="D8281" s="11">
        <v>42675</v>
      </c>
      <c r="E8281" t="s">
        <v>2183</v>
      </c>
      <c r="F8281">
        <v>2</v>
      </c>
      <c r="G8281" t="s">
        <v>63</v>
      </c>
      <c r="H8281" t="s">
        <v>47</v>
      </c>
      <c r="I8281" t="s">
        <v>2195</v>
      </c>
      <c r="J8281" s="10">
        <v>3</v>
      </c>
      <c r="K8281" t="b">
        <v>1</v>
      </c>
    </row>
    <row r="8282" spans="1:11">
      <c r="A8282" s="12">
        <v>42676</v>
      </c>
      <c r="B8282">
        <v>2016</v>
      </c>
      <c r="C8282">
        <v>11</v>
      </c>
      <c r="D8282" s="11">
        <v>42675</v>
      </c>
      <c r="E8282" t="s">
        <v>2183</v>
      </c>
      <c r="F8282">
        <v>3</v>
      </c>
      <c r="G8282" t="s">
        <v>65</v>
      </c>
      <c r="H8282" t="s">
        <v>40</v>
      </c>
      <c r="I8282" t="s">
        <v>2188</v>
      </c>
      <c r="J8282" s="10">
        <v>4</v>
      </c>
      <c r="K8282" t="b">
        <v>1</v>
      </c>
    </row>
    <row r="8283" spans="1:11">
      <c r="A8283" s="12">
        <v>42676</v>
      </c>
      <c r="B8283">
        <v>2016</v>
      </c>
      <c r="C8283">
        <v>11</v>
      </c>
      <c r="D8283" s="11">
        <v>42675</v>
      </c>
      <c r="E8283" t="s">
        <v>2183</v>
      </c>
      <c r="F8283">
        <v>3</v>
      </c>
      <c r="G8283" t="s">
        <v>65</v>
      </c>
      <c r="H8283" t="s">
        <v>41</v>
      </c>
      <c r="I8283" t="s">
        <v>2189</v>
      </c>
      <c r="J8283" s="10">
        <v>3.703</v>
      </c>
      <c r="K8283" t="b">
        <v>1</v>
      </c>
    </row>
    <row r="8284" spans="1:11">
      <c r="A8284" s="12">
        <v>42676</v>
      </c>
      <c r="B8284">
        <v>2016</v>
      </c>
      <c r="C8284">
        <v>11</v>
      </c>
      <c r="D8284" s="11">
        <v>42675</v>
      </c>
      <c r="E8284" t="s">
        <v>2183</v>
      </c>
      <c r="F8284">
        <v>3</v>
      </c>
      <c r="G8284" t="s">
        <v>65</v>
      </c>
      <c r="H8284" t="s">
        <v>42</v>
      </c>
      <c r="I8284" t="s">
        <v>2190</v>
      </c>
      <c r="J8284" s="10">
        <v>4.1</v>
      </c>
      <c r="K8284" t="b">
        <v>1</v>
      </c>
    </row>
    <row r="8285" spans="1:11">
      <c r="A8285" s="12">
        <v>42676</v>
      </c>
      <c r="B8285">
        <v>2016</v>
      </c>
      <c r="C8285">
        <v>11</v>
      </c>
      <c r="D8285" s="11">
        <v>42675</v>
      </c>
      <c r="E8285" t="s">
        <v>2183</v>
      </c>
      <c r="F8285">
        <v>3</v>
      </c>
      <c r="G8285" t="s">
        <v>65</v>
      </c>
      <c r="H8285" t="s">
        <v>43</v>
      </c>
      <c r="I8285" t="s">
        <v>2191</v>
      </c>
      <c r="J8285" s="10">
        <v>42.2</v>
      </c>
      <c r="K8285" t="b">
        <v>1</v>
      </c>
    </row>
    <row r="8286" spans="1:11">
      <c r="A8286" s="12">
        <v>42676</v>
      </c>
      <c r="B8286">
        <v>2016</v>
      </c>
      <c r="C8286">
        <v>11</v>
      </c>
      <c r="D8286" s="11">
        <v>42675</v>
      </c>
      <c r="E8286" t="s">
        <v>2183</v>
      </c>
      <c r="F8286">
        <v>3</v>
      </c>
      <c r="G8286" t="s">
        <v>65</v>
      </c>
      <c r="H8286" t="s">
        <v>44</v>
      </c>
      <c r="I8286" t="s">
        <v>2192</v>
      </c>
      <c r="J8286" s="10">
        <v>1</v>
      </c>
      <c r="K8286" t="b">
        <v>1</v>
      </c>
    </row>
    <row r="8287" spans="1:11">
      <c r="A8287" s="12">
        <v>42676</v>
      </c>
      <c r="B8287">
        <v>2016</v>
      </c>
      <c r="C8287">
        <v>11</v>
      </c>
      <c r="D8287" s="11">
        <v>42675</v>
      </c>
      <c r="E8287" t="s">
        <v>2183</v>
      </c>
      <c r="F8287">
        <v>3</v>
      </c>
      <c r="G8287" t="s">
        <v>65</v>
      </c>
      <c r="H8287" t="s">
        <v>45</v>
      </c>
      <c r="I8287" t="s">
        <v>2193</v>
      </c>
      <c r="J8287" s="10">
        <v>0</v>
      </c>
      <c r="K8287" t="b">
        <v>1</v>
      </c>
    </row>
    <row r="8288" spans="1:11">
      <c r="A8288" s="12">
        <v>42676</v>
      </c>
      <c r="B8288">
        <v>2016</v>
      </c>
      <c r="C8288">
        <v>11</v>
      </c>
      <c r="D8288" s="11">
        <v>42675</v>
      </c>
      <c r="E8288" t="s">
        <v>2183</v>
      </c>
      <c r="F8288">
        <v>3</v>
      </c>
      <c r="G8288" t="s">
        <v>65</v>
      </c>
      <c r="H8288" t="s">
        <v>46</v>
      </c>
      <c r="I8288" t="s">
        <v>2194</v>
      </c>
      <c r="J8288" s="10">
        <v>2</v>
      </c>
      <c r="K8288" t="b">
        <v>1</v>
      </c>
    </row>
    <row r="8289" spans="1:11">
      <c r="A8289" s="12">
        <v>42676</v>
      </c>
      <c r="B8289">
        <v>2016</v>
      </c>
      <c r="C8289">
        <v>11</v>
      </c>
      <c r="D8289" s="11">
        <v>42675</v>
      </c>
      <c r="E8289" t="s">
        <v>2183</v>
      </c>
      <c r="F8289">
        <v>3</v>
      </c>
      <c r="G8289" t="s">
        <v>65</v>
      </c>
      <c r="H8289" t="s">
        <v>47</v>
      </c>
      <c r="I8289" t="s">
        <v>2195</v>
      </c>
      <c r="J8289" s="10">
        <v>3</v>
      </c>
      <c r="K8289" t="b">
        <v>1</v>
      </c>
    </row>
    <row r="8290" spans="1:11">
      <c r="A8290" s="12">
        <v>42677</v>
      </c>
      <c r="B8290">
        <v>2016</v>
      </c>
      <c r="C8290">
        <v>11</v>
      </c>
      <c r="D8290" s="11">
        <v>42675</v>
      </c>
      <c r="E8290" t="s">
        <v>2183</v>
      </c>
      <c r="F8290">
        <v>4</v>
      </c>
      <c r="G8290" t="s">
        <v>53</v>
      </c>
      <c r="H8290" t="s">
        <v>40</v>
      </c>
      <c r="I8290" t="s">
        <v>2188</v>
      </c>
      <c r="J8290" s="10">
        <v>2</v>
      </c>
      <c r="K8290" t="b">
        <v>1</v>
      </c>
    </row>
    <row r="8291" spans="1:11">
      <c r="A8291" s="12">
        <v>42677</v>
      </c>
      <c r="B8291">
        <v>2016</v>
      </c>
      <c r="C8291">
        <v>11</v>
      </c>
      <c r="D8291" s="11">
        <v>42675</v>
      </c>
      <c r="E8291" t="s">
        <v>2183</v>
      </c>
      <c r="F8291">
        <v>4</v>
      </c>
      <c r="G8291" t="s">
        <v>53</v>
      </c>
      <c r="H8291" t="s">
        <v>41</v>
      </c>
      <c r="I8291" t="s">
        <v>2189</v>
      </c>
      <c r="J8291" s="10">
        <v>1</v>
      </c>
      <c r="K8291" t="b">
        <v>1</v>
      </c>
    </row>
    <row r="8292" spans="1:11">
      <c r="A8292" s="12">
        <v>42677</v>
      </c>
      <c r="B8292">
        <v>2016</v>
      </c>
      <c r="C8292">
        <v>11</v>
      </c>
      <c r="D8292" s="11">
        <v>42675</v>
      </c>
      <c r="E8292" t="s">
        <v>2183</v>
      </c>
      <c r="F8292">
        <v>4</v>
      </c>
      <c r="G8292" t="s">
        <v>53</v>
      </c>
      <c r="H8292" t="s">
        <v>42</v>
      </c>
      <c r="I8292" t="s">
        <v>2190</v>
      </c>
      <c r="J8292" s="10">
        <v>3</v>
      </c>
      <c r="K8292" t="b">
        <v>1</v>
      </c>
    </row>
    <row r="8293" spans="1:11">
      <c r="A8293" s="12">
        <v>42677</v>
      </c>
      <c r="B8293">
        <v>2016</v>
      </c>
      <c r="C8293">
        <v>11</v>
      </c>
      <c r="D8293" s="11">
        <v>42675</v>
      </c>
      <c r="E8293" t="s">
        <v>2183</v>
      </c>
      <c r="F8293">
        <v>4</v>
      </c>
      <c r="G8293" t="s">
        <v>53</v>
      </c>
      <c r="H8293" t="s">
        <v>43</v>
      </c>
      <c r="I8293" t="s">
        <v>2191</v>
      </c>
      <c r="J8293" s="10">
        <v>42.5</v>
      </c>
      <c r="K8293" t="b">
        <v>1</v>
      </c>
    </row>
    <row r="8294" spans="1:11">
      <c r="A8294" s="12">
        <v>42677</v>
      </c>
      <c r="B8294">
        <v>2016</v>
      </c>
      <c r="C8294">
        <v>11</v>
      </c>
      <c r="D8294" s="11">
        <v>42675</v>
      </c>
      <c r="E8294" t="s">
        <v>2183</v>
      </c>
      <c r="F8294">
        <v>4</v>
      </c>
      <c r="G8294" t="s">
        <v>53</v>
      </c>
      <c r="H8294" t="s">
        <v>44</v>
      </c>
      <c r="I8294" t="s">
        <v>2192</v>
      </c>
      <c r="J8294" s="10">
        <v>3</v>
      </c>
      <c r="K8294" t="b">
        <v>1</v>
      </c>
    </row>
    <row r="8295" spans="1:11">
      <c r="A8295" s="12">
        <v>42677</v>
      </c>
      <c r="B8295">
        <v>2016</v>
      </c>
      <c r="C8295">
        <v>11</v>
      </c>
      <c r="D8295" s="11">
        <v>42675</v>
      </c>
      <c r="E8295" t="s">
        <v>2183</v>
      </c>
      <c r="F8295">
        <v>4</v>
      </c>
      <c r="G8295" t="s">
        <v>53</v>
      </c>
      <c r="H8295" t="s">
        <v>45</v>
      </c>
      <c r="I8295" t="s">
        <v>2193</v>
      </c>
      <c r="J8295" s="10">
        <v>0</v>
      </c>
      <c r="K8295" t="b">
        <v>1</v>
      </c>
    </row>
    <row r="8296" spans="1:11">
      <c r="A8296" s="12">
        <v>42677</v>
      </c>
      <c r="B8296">
        <v>2016</v>
      </c>
      <c r="C8296">
        <v>11</v>
      </c>
      <c r="D8296" s="11">
        <v>42675</v>
      </c>
      <c r="E8296" t="s">
        <v>2183</v>
      </c>
      <c r="F8296">
        <v>4</v>
      </c>
      <c r="G8296" t="s">
        <v>53</v>
      </c>
      <c r="H8296" t="s">
        <v>46</v>
      </c>
      <c r="I8296" t="s">
        <v>2194</v>
      </c>
      <c r="J8296" s="10">
        <v>0</v>
      </c>
      <c r="K8296" t="b">
        <v>1</v>
      </c>
    </row>
    <row r="8297" spans="1:11">
      <c r="A8297" s="12">
        <v>42677</v>
      </c>
      <c r="B8297">
        <v>2016</v>
      </c>
      <c r="C8297">
        <v>11</v>
      </c>
      <c r="D8297" s="11">
        <v>42675</v>
      </c>
      <c r="E8297" t="s">
        <v>2183</v>
      </c>
      <c r="F8297">
        <v>4</v>
      </c>
      <c r="G8297" t="s">
        <v>53</v>
      </c>
      <c r="H8297" t="s">
        <v>47</v>
      </c>
      <c r="I8297" t="s">
        <v>2195</v>
      </c>
      <c r="J8297" s="10">
        <v>1</v>
      </c>
      <c r="K8297" t="b">
        <v>1</v>
      </c>
    </row>
    <row r="8298" spans="1:11">
      <c r="A8298" s="12">
        <v>42678</v>
      </c>
      <c r="B8298">
        <v>2016</v>
      </c>
      <c r="C8298">
        <v>11</v>
      </c>
      <c r="D8298" s="11">
        <v>42675</v>
      </c>
      <c r="E8298" t="s">
        <v>2183</v>
      </c>
      <c r="F8298">
        <v>5</v>
      </c>
      <c r="G8298" t="s">
        <v>55</v>
      </c>
      <c r="H8298" t="s">
        <v>40</v>
      </c>
      <c r="I8298" t="s">
        <v>2188</v>
      </c>
      <c r="J8298" s="10">
        <v>8.33</v>
      </c>
      <c r="K8298" t="b">
        <v>1</v>
      </c>
    </row>
    <row r="8299" spans="1:11">
      <c r="A8299" s="12">
        <v>42678</v>
      </c>
      <c r="B8299">
        <v>2016</v>
      </c>
      <c r="C8299">
        <v>11</v>
      </c>
      <c r="D8299" s="11">
        <v>42675</v>
      </c>
      <c r="E8299" t="s">
        <v>2183</v>
      </c>
      <c r="F8299">
        <v>5</v>
      </c>
      <c r="G8299" t="s">
        <v>55</v>
      </c>
      <c r="H8299" t="s">
        <v>41</v>
      </c>
      <c r="I8299" t="s">
        <v>2189</v>
      </c>
      <c r="J8299" s="10">
        <v>4.373</v>
      </c>
      <c r="K8299" t="b">
        <v>1</v>
      </c>
    </row>
    <row r="8300" spans="1:11">
      <c r="A8300" s="12">
        <v>42678</v>
      </c>
      <c r="B8300">
        <v>2016</v>
      </c>
      <c r="C8300">
        <v>11</v>
      </c>
      <c r="D8300" s="11">
        <v>42675</v>
      </c>
      <c r="E8300" t="s">
        <v>2183</v>
      </c>
      <c r="F8300">
        <v>5</v>
      </c>
      <c r="G8300" t="s">
        <v>55</v>
      </c>
      <c r="H8300" t="s">
        <v>42</v>
      </c>
      <c r="I8300" t="s">
        <v>2190</v>
      </c>
      <c r="J8300" s="10">
        <v>3.6</v>
      </c>
      <c r="K8300" t="b">
        <v>1</v>
      </c>
    </row>
    <row r="8301" spans="1:11">
      <c r="A8301" s="12">
        <v>42678</v>
      </c>
      <c r="B8301">
        <v>2016</v>
      </c>
      <c r="C8301">
        <v>11</v>
      </c>
      <c r="D8301" s="11">
        <v>42675</v>
      </c>
      <c r="E8301" t="s">
        <v>2183</v>
      </c>
      <c r="F8301">
        <v>5</v>
      </c>
      <c r="G8301" t="s">
        <v>55</v>
      </c>
      <c r="H8301" t="s">
        <v>43</v>
      </c>
      <c r="I8301" t="s">
        <v>2191</v>
      </c>
      <c r="J8301" s="10">
        <v>24.3</v>
      </c>
      <c r="K8301" t="b">
        <v>1</v>
      </c>
    </row>
    <row r="8302" spans="1:11">
      <c r="A8302" s="12">
        <v>42678</v>
      </c>
      <c r="B8302">
        <v>2016</v>
      </c>
      <c r="C8302">
        <v>11</v>
      </c>
      <c r="D8302" s="11">
        <v>42675</v>
      </c>
      <c r="E8302" t="s">
        <v>2183</v>
      </c>
      <c r="F8302">
        <v>5</v>
      </c>
      <c r="G8302" t="s">
        <v>55</v>
      </c>
      <c r="H8302" t="s">
        <v>44</v>
      </c>
      <c r="I8302" t="s">
        <v>2192</v>
      </c>
      <c r="J8302" s="10">
        <v>14</v>
      </c>
      <c r="K8302" t="b">
        <v>1</v>
      </c>
    </row>
    <row r="8303" spans="1:11">
      <c r="A8303" s="12">
        <v>42678</v>
      </c>
      <c r="B8303">
        <v>2016</v>
      </c>
      <c r="C8303">
        <v>11</v>
      </c>
      <c r="D8303" s="11">
        <v>42675</v>
      </c>
      <c r="E8303" t="s">
        <v>2183</v>
      </c>
      <c r="F8303">
        <v>5</v>
      </c>
      <c r="G8303" t="s">
        <v>55</v>
      </c>
      <c r="H8303" t="s">
        <v>45</v>
      </c>
      <c r="I8303" t="s">
        <v>2193</v>
      </c>
      <c r="J8303" s="10">
        <v>1</v>
      </c>
      <c r="K8303" t="b">
        <v>1</v>
      </c>
    </row>
    <row r="8304" spans="1:11">
      <c r="A8304" s="12">
        <v>42678</v>
      </c>
      <c r="B8304">
        <v>2016</v>
      </c>
      <c r="C8304">
        <v>11</v>
      </c>
      <c r="D8304" s="11">
        <v>42675</v>
      </c>
      <c r="E8304" t="s">
        <v>2183</v>
      </c>
      <c r="F8304">
        <v>5</v>
      </c>
      <c r="G8304" t="s">
        <v>55</v>
      </c>
      <c r="H8304" t="s">
        <v>46</v>
      </c>
      <c r="I8304" t="s">
        <v>2194</v>
      </c>
      <c r="J8304" s="10">
        <v>6</v>
      </c>
      <c r="K8304" t="b">
        <v>1</v>
      </c>
    </row>
    <row r="8305" spans="1:11">
      <c r="A8305" s="12">
        <v>42678</v>
      </c>
      <c r="B8305">
        <v>2016</v>
      </c>
      <c r="C8305">
        <v>11</v>
      </c>
      <c r="D8305" s="11">
        <v>42675</v>
      </c>
      <c r="E8305" t="s">
        <v>2183</v>
      </c>
      <c r="F8305">
        <v>5</v>
      </c>
      <c r="G8305" t="s">
        <v>55</v>
      </c>
      <c r="H8305" t="s">
        <v>47</v>
      </c>
      <c r="I8305" t="s">
        <v>2195</v>
      </c>
      <c r="J8305" s="10">
        <v>4.2</v>
      </c>
      <c r="K8305" t="b">
        <v>1</v>
      </c>
    </row>
    <row r="8306" spans="1:11">
      <c r="A8306" s="12">
        <v>42679</v>
      </c>
      <c r="B8306">
        <v>2016</v>
      </c>
      <c r="C8306">
        <v>11</v>
      </c>
      <c r="D8306" s="11">
        <v>42675</v>
      </c>
      <c r="E8306" t="s">
        <v>2183</v>
      </c>
      <c r="F8306">
        <v>6</v>
      </c>
      <c r="G8306" t="s">
        <v>57</v>
      </c>
      <c r="H8306" t="s">
        <v>40</v>
      </c>
      <c r="I8306" t="s">
        <v>2188</v>
      </c>
      <c r="J8306" s="10">
        <v>7.666666667</v>
      </c>
      <c r="K8306" t="b">
        <v>1</v>
      </c>
    </row>
    <row r="8307" spans="1:11">
      <c r="A8307" s="12">
        <v>42679</v>
      </c>
      <c r="B8307">
        <v>2016</v>
      </c>
      <c r="C8307">
        <v>11</v>
      </c>
      <c r="D8307" s="11">
        <v>42675</v>
      </c>
      <c r="E8307" t="s">
        <v>2183</v>
      </c>
      <c r="F8307">
        <v>6</v>
      </c>
      <c r="G8307" t="s">
        <v>57</v>
      </c>
      <c r="H8307" t="s">
        <v>41</v>
      </c>
      <c r="I8307" t="s">
        <v>2189</v>
      </c>
      <c r="J8307" s="10">
        <v>3.02</v>
      </c>
      <c r="K8307" t="b">
        <v>1</v>
      </c>
    </row>
    <row r="8308" spans="1:11">
      <c r="A8308" s="12">
        <v>42679</v>
      </c>
      <c r="B8308">
        <v>2016</v>
      </c>
      <c r="C8308">
        <v>11</v>
      </c>
      <c r="D8308" s="11">
        <v>42675</v>
      </c>
      <c r="E8308" t="s">
        <v>2183</v>
      </c>
      <c r="F8308">
        <v>6</v>
      </c>
      <c r="G8308" t="s">
        <v>57</v>
      </c>
      <c r="H8308" t="s">
        <v>42</v>
      </c>
      <c r="I8308" t="s">
        <v>2190</v>
      </c>
      <c r="J8308" s="10">
        <v>5.8</v>
      </c>
      <c r="K8308" t="b">
        <v>1</v>
      </c>
    </row>
    <row r="8309" spans="1:11">
      <c r="A8309" s="12">
        <v>42679</v>
      </c>
      <c r="B8309">
        <v>2016</v>
      </c>
      <c r="C8309">
        <v>11</v>
      </c>
      <c r="D8309" s="11">
        <v>42675</v>
      </c>
      <c r="E8309" t="s">
        <v>2183</v>
      </c>
      <c r="F8309">
        <v>6</v>
      </c>
      <c r="G8309" t="s">
        <v>57</v>
      </c>
      <c r="H8309" t="s">
        <v>43</v>
      </c>
      <c r="I8309" t="s">
        <v>2191</v>
      </c>
      <c r="J8309" s="10">
        <v>35.4</v>
      </c>
      <c r="K8309" t="b">
        <v>1</v>
      </c>
    </row>
    <row r="8310" spans="1:11">
      <c r="A8310" s="12">
        <v>42679</v>
      </c>
      <c r="B8310">
        <v>2016</v>
      </c>
      <c r="C8310">
        <v>11</v>
      </c>
      <c r="D8310" s="11">
        <v>42675</v>
      </c>
      <c r="E8310" t="s">
        <v>2183</v>
      </c>
      <c r="F8310">
        <v>6</v>
      </c>
      <c r="G8310" t="s">
        <v>57</v>
      </c>
      <c r="H8310" t="s">
        <v>44</v>
      </c>
      <c r="I8310" t="s">
        <v>2192</v>
      </c>
      <c r="J8310" s="10">
        <v>9</v>
      </c>
      <c r="K8310" t="b">
        <v>1</v>
      </c>
    </row>
    <row r="8311" spans="1:11">
      <c r="A8311" s="12">
        <v>42679</v>
      </c>
      <c r="B8311">
        <v>2016</v>
      </c>
      <c r="C8311">
        <v>11</v>
      </c>
      <c r="D8311" s="11">
        <v>42675</v>
      </c>
      <c r="E8311" t="s">
        <v>2183</v>
      </c>
      <c r="F8311">
        <v>6</v>
      </c>
      <c r="G8311" t="s">
        <v>57</v>
      </c>
      <c r="H8311" t="s">
        <v>45</v>
      </c>
      <c r="I8311" t="s">
        <v>2193</v>
      </c>
      <c r="J8311" s="10">
        <v>0</v>
      </c>
      <c r="K8311" t="b">
        <v>1</v>
      </c>
    </row>
    <row r="8312" spans="1:11">
      <c r="A8312" s="12">
        <v>42679</v>
      </c>
      <c r="B8312">
        <v>2016</v>
      </c>
      <c r="C8312">
        <v>11</v>
      </c>
      <c r="D8312" s="11">
        <v>42675</v>
      </c>
      <c r="E8312" t="s">
        <v>2183</v>
      </c>
      <c r="F8312">
        <v>6</v>
      </c>
      <c r="G8312" t="s">
        <v>57</v>
      </c>
      <c r="H8312" t="s">
        <v>46</v>
      </c>
      <c r="I8312" t="s">
        <v>2194</v>
      </c>
      <c r="J8312" s="10">
        <v>0</v>
      </c>
      <c r="K8312" t="b">
        <v>1</v>
      </c>
    </row>
    <row r="8313" spans="1:11">
      <c r="A8313" s="12">
        <v>42679</v>
      </c>
      <c r="B8313">
        <v>2016</v>
      </c>
      <c r="C8313">
        <v>11</v>
      </c>
      <c r="D8313" s="11">
        <v>42675</v>
      </c>
      <c r="E8313" t="s">
        <v>2183</v>
      </c>
      <c r="F8313">
        <v>6</v>
      </c>
      <c r="G8313" t="s">
        <v>57</v>
      </c>
      <c r="H8313" t="s">
        <v>47</v>
      </c>
      <c r="I8313" t="s">
        <v>2195</v>
      </c>
      <c r="J8313" s="10">
        <v>2</v>
      </c>
      <c r="K8313" t="b">
        <v>1</v>
      </c>
    </row>
    <row r="8314" spans="1:11">
      <c r="A8314" s="12">
        <v>42680</v>
      </c>
      <c r="B8314">
        <v>2016</v>
      </c>
      <c r="C8314">
        <v>11</v>
      </c>
      <c r="D8314" s="11">
        <v>42675</v>
      </c>
      <c r="E8314" t="s">
        <v>2183</v>
      </c>
      <c r="F8314">
        <v>7</v>
      </c>
      <c r="G8314" t="s">
        <v>59</v>
      </c>
      <c r="H8314" t="s">
        <v>40</v>
      </c>
      <c r="I8314" t="s">
        <v>2188</v>
      </c>
      <c r="J8314" s="10">
        <v>8</v>
      </c>
      <c r="K8314" t="b">
        <v>1</v>
      </c>
    </row>
    <row r="8315" spans="1:11">
      <c r="A8315" s="12">
        <v>42680</v>
      </c>
      <c r="B8315">
        <v>2016</v>
      </c>
      <c r="C8315">
        <v>11</v>
      </c>
      <c r="D8315" s="11">
        <v>42675</v>
      </c>
      <c r="E8315" t="s">
        <v>2183</v>
      </c>
      <c r="F8315">
        <v>7</v>
      </c>
      <c r="G8315" t="s">
        <v>59</v>
      </c>
      <c r="H8315" t="s">
        <v>41</v>
      </c>
      <c r="I8315" t="s">
        <v>2189</v>
      </c>
      <c r="J8315" s="10">
        <v>4.34</v>
      </c>
      <c r="K8315" t="b">
        <v>1</v>
      </c>
    </row>
    <row r="8316" spans="1:11">
      <c r="A8316" s="12">
        <v>42680</v>
      </c>
      <c r="B8316">
        <v>2016</v>
      </c>
      <c r="C8316">
        <v>11</v>
      </c>
      <c r="D8316" s="11">
        <v>42675</v>
      </c>
      <c r="E8316" t="s">
        <v>2183</v>
      </c>
      <c r="F8316">
        <v>7</v>
      </c>
      <c r="G8316" t="s">
        <v>59</v>
      </c>
      <c r="H8316" t="s">
        <v>42</v>
      </c>
      <c r="I8316" t="s">
        <v>2190</v>
      </c>
      <c r="J8316" s="10">
        <v>3</v>
      </c>
      <c r="K8316" t="b">
        <v>1</v>
      </c>
    </row>
    <row r="8317" spans="1:11">
      <c r="A8317" s="12">
        <v>42680</v>
      </c>
      <c r="B8317">
        <v>2016</v>
      </c>
      <c r="C8317">
        <v>11</v>
      </c>
      <c r="D8317" s="11">
        <v>42675</v>
      </c>
      <c r="E8317" t="s">
        <v>2183</v>
      </c>
      <c r="F8317">
        <v>7</v>
      </c>
      <c r="G8317" t="s">
        <v>59</v>
      </c>
      <c r="H8317" t="s">
        <v>43</v>
      </c>
      <c r="I8317" t="s">
        <v>2191</v>
      </c>
      <c r="J8317" s="10">
        <v>42.45</v>
      </c>
      <c r="K8317" t="b">
        <v>1</v>
      </c>
    </row>
    <row r="8318" spans="1:11">
      <c r="A8318" s="12">
        <v>42680</v>
      </c>
      <c r="B8318">
        <v>2016</v>
      </c>
      <c r="C8318">
        <v>11</v>
      </c>
      <c r="D8318" s="11">
        <v>42675</v>
      </c>
      <c r="E8318" t="s">
        <v>2183</v>
      </c>
      <c r="F8318">
        <v>7</v>
      </c>
      <c r="G8318" t="s">
        <v>59</v>
      </c>
      <c r="H8318" t="s">
        <v>44</v>
      </c>
      <c r="I8318" t="s">
        <v>2192</v>
      </c>
      <c r="J8318" s="10">
        <v>3</v>
      </c>
      <c r="K8318" t="b">
        <v>1</v>
      </c>
    </row>
    <row r="8319" spans="1:11">
      <c r="A8319" s="12">
        <v>42680</v>
      </c>
      <c r="B8319">
        <v>2016</v>
      </c>
      <c r="C8319">
        <v>11</v>
      </c>
      <c r="D8319" s="11">
        <v>42675</v>
      </c>
      <c r="E8319" t="s">
        <v>2183</v>
      </c>
      <c r="F8319">
        <v>7</v>
      </c>
      <c r="G8319" t="s">
        <v>59</v>
      </c>
      <c r="H8319" t="s">
        <v>45</v>
      </c>
      <c r="I8319" t="s">
        <v>2193</v>
      </c>
      <c r="J8319" s="10">
        <v>2</v>
      </c>
      <c r="K8319" t="b">
        <v>1</v>
      </c>
    </row>
    <row r="8320" spans="1:11">
      <c r="A8320" s="12">
        <v>42680</v>
      </c>
      <c r="B8320">
        <v>2016</v>
      </c>
      <c r="C8320">
        <v>11</v>
      </c>
      <c r="D8320" s="11">
        <v>42675</v>
      </c>
      <c r="E8320" t="s">
        <v>2183</v>
      </c>
      <c r="F8320">
        <v>7</v>
      </c>
      <c r="G8320" t="s">
        <v>59</v>
      </c>
      <c r="H8320" t="s">
        <v>46</v>
      </c>
      <c r="I8320" t="s">
        <v>2194</v>
      </c>
      <c r="J8320" s="10">
        <v>11</v>
      </c>
      <c r="K8320" t="b">
        <v>1</v>
      </c>
    </row>
    <row r="8321" spans="1:11">
      <c r="A8321" s="12">
        <v>42680</v>
      </c>
      <c r="B8321">
        <v>2016</v>
      </c>
      <c r="C8321">
        <v>11</v>
      </c>
      <c r="D8321" s="11">
        <v>42675</v>
      </c>
      <c r="E8321" t="s">
        <v>2183</v>
      </c>
      <c r="F8321">
        <v>7</v>
      </c>
      <c r="G8321" t="s">
        <v>59</v>
      </c>
      <c r="H8321" t="s">
        <v>47</v>
      </c>
      <c r="I8321" t="s">
        <v>2195</v>
      </c>
      <c r="J8321" s="10">
        <v>5</v>
      </c>
      <c r="K8321" t="b">
        <v>1</v>
      </c>
    </row>
    <row r="8322" spans="1:11">
      <c r="A8322" s="12">
        <v>42681</v>
      </c>
      <c r="B8322">
        <v>2016</v>
      </c>
      <c r="C8322">
        <v>11</v>
      </c>
      <c r="D8322" s="11">
        <v>42675</v>
      </c>
      <c r="E8322" t="s">
        <v>2183</v>
      </c>
      <c r="F8322">
        <v>1</v>
      </c>
      <c r="G8322" t="s">
        <v>61</v>
      </c>
      <c r="H8322" t="s">
        <v>40</v>
      </c>
      <c r="I8322" t="s">
        <v>2188</v>
      </c>
      <c r="J8322" s="10">
        <v>5</v>
      </c>
      <c r="K8322" t="b">
        <v>1</v>
      </c>
    </row>
    <row r="8323" spans="1:11">
      <c r="A8323" s="12">
        <v>42681</v>
      </c>
      <c r="B8323">
        <v>2016</v>
      </c>
      <c r="C8323">
        <v>11</v>
      </c>
      <c r="D8323" s="11">
        <v>42675</v>
      </c>
      <c r="E8323" t="s">
        <v>2183</v>
      </c>
      <c r="F8323">
        <v>1</v>
      </c>
      <c r="G8323" t="s">
        <v>61</v>
      </c>
      <c r="H8323" t="s">
        <v>41</v>
      </c>
      <c r="I8323" t="s">
        <v>2189</v>
      </c>
      <c r="J8323" s="10">
        <v>2.726</v>
      </c>
      <c r="K8323" t="b">
        <v>1</v>
      </c>
    </row>
    <row r="8324" spans="1:11">
      <c r="A8324" s="12">
        <v>42681</v>
      </c>
      <c r="B8324">
        <v>2016</v>
      </c>
      <c r="C8324">
        <v>11</v>
      </c>
      <c r="D8324" s="11">
        <v>42675</v>
      </c>
      <c r="E8324" t="s">
        <v>2183</v>
      </c>
      <c r="F8324">
        <v>1</v>
      </c>
      <c r="G8324" t="s">
        <v>61</v>
      </c>
      <c r="H8324" t="s">
        <v>42</v>
      </c>
      <c r="I8324" t="s">
        <v>2190</v>
      </c>
      <c r="J8324" s="10">
        <v>6.3</v>
      </c>
      <c r="K8324" t="b">
        <v>1</v>
      </c>
    </row>
    <row r="8325" spans="1:11">
      <c r="A8325" s="12">
        <v>42681</v>
      </c>
      <c r="B8325">
        <v>2016</v>
      </c>
      <c r="C8325">
        <v>11</v>
      </c>
      <c r="D8325" s="11">
        <v>42675</v>
      </c>
      <c r="E8325" t="s">
        <v>2183</v>
      </c>
      <c r="F8325">
        <v>1</v>
      </c>
      <c r="G8325" t="s">
        <v>61</v>
      </c>
      <c r="H8325" t="s">
        <v>43</v>
      </c>
      <c r="I8325" t="s">
        <v>2191</v>
      </c>
      <c r="J8325" s="10">
        <v>35</v>
      </c>
      <c r="K8325" t="b">
        <v>1</v>
      </c>
    </row>
    <row r="8326" spans="1:11">
      <c r="A8326" s="12">
        <v>42681</v>
      </c>
      <c r="B8326">
        <v>2016</v>
      </c>
      <c r="C8326">
        <v>11</v>
      </c>
      <c r="D8326" s="11">
        <v>42675</v>
      </c>
      <c r="E8326" t="s">
        <v>2183</v>
      </c>
      <c r="F8326">
        <v>1</v>
      </c>
      <c r="G8326" t="s">
        <v>61</v>
      </c>
      <c r="H8326" t="s">
        <v>44</v>
      </c>
      <c r="I8326" t="s">
        <v>2192</v>
      </c>
      <c r="J8326" s="10">
        <v>9</v>
      </c>
      <c r="K8326" t="b">
        <v>1</v>
      </c>
    </row>
    <row r="8327" spans="1:11">
      <c r="A8327" s="12">
        <v>42681</v>
      </c>
      <c r="B8327">
        <v>2016</v>
      </c>
      <c r="C8327">
        <v>11</v>
      </c>
      <c r="D8327" s="11">
        <v>42675</v>
      </c>
      <c r="E8327" t="s">
        <v>2183</v>
      </c>
      <c r="F8327">
        <v>1</v>
      </c>
      <c r="G8327" t="s">
        <v>61</v>
      </c>
      <c r="H8327" t="s">
        <v>45</v>
      </c>
      <c r="I8327" t="s">
        <v>2193</v>
      </c>
      <c r="J8327" s="10">
        <v>0</v>
      </c>
      <c r="K8327" t="b">
        <v>1</v>
      </c>
    </row>
    <row r="8328" spans="1:11">
      <c r="A8328" s="12">
        <v>42681</v>
      </c>
      <c r="B8328">
        <v>2016</v>
      </c>
      <c r="C8328">
        <v>11</v>
      </c>
      <c r="D8328" s="11">
        <v>42675</v>
      </c>
      <c r="E8328" t="s">
        <v>2183</v>
      </c>
      <c r="F8328">
        <v>1</v>
      </c>
      <c r="G8328" t="s">
        <v>61</v>
      </c>
      <c r="H8328" t="s">
        <v>46</v>
      </c>
      <c r="I8328" t="s">
        <v>2194</v>
      </c>
      <c r="J8328" s="10">
        <v>5</v>
      </c>
      <c r="K8328" t="b">
        <v>1</v>
      </c>
    </row>
    <row r="8329" spans="1:11">
      <c r="A8329" s="12">
        <v>42681</v>
      </c>
      <c r="B8329">
        <v>2016</v>
      </c>
      <c r="C8329">
        <v>11</v>
      </c>
      <c r="D8329" s="11">
        <v>42675</v>
      </c>
      <c r="E8329" t="s">
        <v>2183</v>
      </c>
      <c r="F8329">
        <v>1</v>
      </c>
      <c r="G8329" t="s">
        <v>61</v>
      </c>
      <c r="H8329" t="s">
        <v>47</v>
      </c>
      <c r="I8329" t="s">
        <v>2195</v>
      </c>
      <c r="J8329" s="10">
        <v>1</v>
      </c>
      <c r="K8329" t="b">
        <v>1</v>
      </c>
    </row>
    <row r="8330" spans="1:11">
      <c r="A8330" s="12">
        <v>42682</v>
      </c>
      <c r="B8330">
        <v>2016</v>
      </c>
      <c r="C8330">
        <v>11</v>
      </c>
      <c r="D8330" s="11">
        <v>42675</v>
      </c>
      <c r="E8330" t="s">
        <v>2183</v>
      </c>
      <c r="F8330">
        <v>2</v>
      </c>
      <c r="G8330" t="s">
        <v>63</v>
      </c>
      <c r="H8330" t="s">
        <v>40</v>
      </c>
      <c r="I8330" t="s">
        <v>2188</v>
      </c>
      <c r="J8330" s="10">
        <v>7</v>
      </c>
      <c r="K8330" t="b">
        <v>1</v>
      </c>
    </row>
    <row r="8331" spans="1:11">
      <c r="A8331" s="12">
        <v>42682</v>
      </c>
      <c r="B8331">
        <v>2016</v>
      </c>
      <c r="C8331">
        <v>11</v>
      </c>
      <c r="D8331" s="11">
        <v>42675</v>
      </c>
      <c r="E8331" t="s">
        <v>2183</v>
      </c>
      <c r="F8331">
        <v>2</v>
      </c>
      <c r="G8331" t="s">
        <v>63</v>
      </c>
      <c r="H8331" t="s">
        <v>41</v>
      </c>
      <c r="I8331" t="s">
        <v>2189</v>
      </c>
      <c r="J8331" s="10">
        <v>2.35</v>
      </c>
      <c r="K8331" t="b">
        <v>1</v>
      </c>
    </row>
    <row r="8332" spans="1:11">
      <c r="A8332" s="12">
        <v>42682</v>
      </c>
      <c r="B8332">
        <v>2016</v>
      </c>
      <c r="C8332">
        <v>11</v>
      </c>
      <c r="D8332" s="11">
        <v>42675</v>
      </c>
      <c r="E8332" t="s">
        <v>2183</v>
      </c>
      <c r="F8332">
        <v>2</v>
      </c>
      <c r="G8332" t="s">
        <v>63</v>
      </c>
      <c r="H8332" t="s">
        <v>42</v>
      </c>
      <c r="I8332" t="s">
        <v>2190</v>
      </c>
      <c r="J8332" s="10">
        <v>8</v>
      </c>
      <c r="K8332" t="b">
        <v>1</v>
      </c>
    </row>
    <row r="8333" spans="1:11">
      <c r="A8333" s="12">
        <v>42682</v>
      </c>
      <c r="B8333">
        <v>2016</v>
      </c>
      <c r="C8333">
        <v>11</v>
      </c>
      <c r="D8333" s="11">
        <v>42675</v>
      </c>
      <c r="E8333" t="s">
        <v>2183</v>
      </c>
      <c r="F8333">
        <v>2</v>
      </c>
      <c r="G8333" t="s">
        <v>63</v>
      </c>
      <c r="H8333" t="s">
        <v>43</v>
      </c>
      <c r="I8333" t="s">
        <v>2191</v>
      </c>
      <c r="J8333" s="10">
        <v>20</v>
      </c>
      <c r="K8333" t="b">
        <v>1</v>
      </c>
    </row>
    <row r="8334" spans="1:11">
      <c r="A8334" s="12">
        <v>42682</v>
      </c>
      <c r="B8334">
        <v>2016</v>
      </c>
      <c r="C8334">
        <v>11</v>
      </c>
      <c r="D8334" s="11">
        <v>42675</v>
      </c>
      <c r="E8334" t="s">
        <v>2183</v>
      </c>
      <c r="F8334">
        <v>2</v>
      </c>
      <c r="G8334" t="s">
        <v>63</v>
      </c>
      <c r="H8334" t="s">
        <v>44</v>
      </c>
      <c r="I8334" t="s">
        <v>2192</v>
      </c>
      <c r="J8334" s="10">
        <v>19.16666667</v>
      </c>
      <c r="K8334" t="b">
        <v>1</v>
      </c>
    </row>
    <row r="8335" spans="1:11">
      <c r="A8335" s="12">
        <v>42682</v>
      </c>
      <c r="B8335">
        <v>2016</v>
      </c>
      <c r="C8335">
        <v>11</v>
      </c>
      <c r="D8335" s="11">
        <v>42675</v>
      </c>
      <c r="E8335" t="s">
        <v>2183</v>
      </c>
      <c r="F8335">
        <v>2</v>
      </c>
      <c r="G8335" t="s">
        <v>63</v>
      </c>
      <c r="H8335" t="s">
        <v>45</v>
      </c>
      <c r="I8335" t="s">
        <v>2193</v>
      </c>
      <c r="J8335" s="10">
        <v>2</v>
      </c>
      <c r="K8335" t="b">
        <v>1</v>
      </c>
    </row>
    <row r="8336" spans="1:11">
      <c r="A8336" s="12">
        <v>42682</v>
      </c>
      <c r="B8336">
        <v>2016</v>
      </c>
      <c r="C8336">
        <v>11</v>
      </c>
      <c r="D8336" s="11">
        <v>42675</v>
      </c>
      <c r="E8336" t="s">
        <v>2183</v>
      </c>
      <c r="F8336">
        <v>2</v>
      </c>
      <c r="G8336" t="s">
        <v>63</v>
      </c>
      <c r="H8336" t="s">
        <v>46</v>
      </c>
      <c r="I8336" t="s">
        <v>2194</v>
      </c>
      <c r="J8336" s="10">
        <v>8</v>
      </c>
      <c r="K8336" t="b">
        <v>1</v>
      </c>
    </row>
    <row r="8337" spans="1:11">
      <c r="A8337" s="12">
        <v>42682</v>
      </c>
      <c r="B8337">
        <v>2016</v>
      </c>
      <c r="C8337">
        <v>11</v>
      </c>
      <c r="D8337" s="11">
        <v>42675</v>
      </c>
      <c r="E8337" t="s">
        <v>2183</v>
      </c>
      <c r="F8337">
        <v>2</v>
      </c>
      <c r="G8337" t="s">
        <v>63</v>
      </c>
      <c r="H8337" t="s">
        <v>47</v>
      </c>
      <c r="I8337" t="s">
        <v>2195</v>
      </c>
      <c r="J8337" s="10">
        <v>3</v>
      </c>
      <c r="K8337" t="b">
        <v>1</v>
      </c>
    </row>
    <row r="8338" spans="1:11">
      <c r="A8338" s="12">
        <v>42683</v>
      </c>
      <c r="B8338">
        <v>2016</v>
      </c>
      <c r="C8338">
        <v>11</v>
      </c>
      <c r="D8338" s="11">
        <v>42675</v>
      </c>
      <c r="E8338" t="s">
        <v>2183</v>
      </c>
      <c r="F8338">
        <v>3</v>
      </c>
      <c r="G8338" t="s">
        <v>65</v>
      </c>
      <c r="H8338" t="s">
        <v>40</v>
      </c>
      <c r="I8338" t="s">
        <v>2188</v>
      </c>
      <c r="J8338" s="10">
        <v>2.34</v>
      </c>
      <c r="K8338" t="b">
        <v>1</v>
      </c>
    </row>
    <row r="8339" spans="1:11">
      <c r="A8339" s="12">
        <v>42683</v>
      </c>
      <c r="B8339">
        <v>2016</v>
      </c>
      <c r="C8339">
        <v>11</v>
      </c>
      <c r="D8339" s="11">
        <v>42675</v>
      </c>
      <c r="E8339" t="s">
        <v>2183</v>
      </c>
      <c r="F8339">
        <v>3</v>
      </c>
      <c r="G8339" t="s">
        <v>65</v>
      </c>
      <c r="H8339" t="s">
        <v>41</v>
      </c>
      <c r="I8339" t="s">
        <v>2189</v>
      </c>
      <c r="J8339" s="10">
        <v>5.66</v>
      </c>
      <c r="K8339" t="b">
        <v>1</v>
      </c>
    </row>
    <row r="8340" spans="1:11">
      <c r="A8340" s="12">
        <v>42683</v>
      </c>
      <c r="B8340">
        <v>2016</v>
      </c>
      <c r="C8340">
        <v>11</v>
      </c>
      <c r="D8340" s="11">
        <v>42675</v>
      </c>
      <c r="E8340" t="s">
        <v>2183</v>
      </c>
      <c r="F8340">
        <v>3</v>
      </c>
      <c r="G8340" t="s">
        <v>65</v>
      </c>
      <c r="H8340" t="s">
        <v>42</v>
      </c>
      <c r="I8340" t="s">
        <v>2190</v>
      </c>
      <c r="J8340" s="10">
        <v>1.4</v>
      </c>
      <c r="K8340" t="b">
        <v>1</v>
      </c>
    </row>
    <row r="8341" spans="1:11">
      <c r="A8341" s="12">
        <v>42683</v>
      </c>
      <c r="B8341">
        <v>2016</v>
      </c>
      <c r="C8341">
        <v>11</v>
      </c>
      <c r="D8341" s="11">
        <v>42675</v>
      </c>
      <c r="E8341" t="s">
        <v>2183</v>
      </c>
      <c r="F8341">
        <v>3</v>
      </c>
      <c r="G8341" t="s">
        <v>65</v>
      </c>
      <c r="H8341" t="s">
        <v>43</v>
      </c>
      <c r="I8341" t="s">
        <v>2191</v>
      </c>
      <c r="J8341" s="10">
        <v>25</v>
      </c>
      <c r="K8341" t="b">
        <v>1</v>
      </c>
    </row>
    <row r="8342" spans="1:11">
      <c r="A8342" s="12">
        <v>42683</v>
      </c>
      <c r="B8342">
        <v>2016</v>
      </c>
      <c r="C8342">
        <v>11</v>
      </c>
      <c r="D8342" s="11">
        <v>42675</v>
      </c>
      <c r="E8342" t="s">
        <v>2183</v>
      </c>
      <c r="F8342">
        <v>3</v>
      </c>
      <c r="G8342" t="s">
        <v>65</v>
      </c>
      <c r="H8342" t="s">
        <v>44</v>
      </c>
      <c r="I8342" t="s">
        <v>2192</v>
      </c>
      <c r="J8342" s="10">
        <v>18</v>
      </c>
      <c r="K8342" t="b">
        <v>1</v>
      </c>
    </row>
    <row r="8343" spans="1:11">
      <c r="A8343" s="12">
        <v>42683</v>
      </c>
      <c r="B8343">
        <v>2016</v>
      </c>
      <c r="C8343">
        <v>11</v>
      </c>
      <c r="D8343" s="11">
        <v>42675</v>
      </c>
      <c r="E8343" t="s">
        <v>2183</v>
      </c>
      <c r="F8343">
        <v>3</v>
      </c>
      <c r="G8343" t="s">
        <v>65</v>
      </c>
      <c r="H8343" t="s">
        <v>45</v>
      </c>
      <c r="I8343" t="s">
        <v>2193</v>
      </c>
      <c r="J8343" s="10">
        <v>0</v>
      </c>
      <c r="K8343" t="b">
        <v>1</v>
      </c>
    </row>
    <row r="8344" spans="1:11">
      <c r="A8344" s="12">
        <v>42683</v>
      </c>
      <c r="B8344">
        <v>2016</v>
      </c>
      <c r="C8344">
        <v>11</v>
      </c>
      <c r="D8344" s="11">
        <v>42675</v>
      </c>
      <c r="E8344" t="s">
        <v>2183</v>
      </c>
      <c r="F8344">
        <v>3</v>
      </c>
      <c r="G8344" t="s">
        <v>65</v>
      </c>
      <c r="H8344" t="s">
        <v>46</v>
      </c>
      <c r="I8344" t="s">
        <v>2194</v>
      </c>
      <c r="J8344" s="10">
        <v>4</v>
      </c>
      <c r="K8344" t="b">
        <v>1</v>
      </c>
    </row>
    <row r="8345" spans="1:11">
      <c r="A8345" s="12">
        <v>42683</v>
      </c>
      <c r="B8345">
        <v>2016</v>
      </c>
      <c r="C8345">
        <v>11</v>
      </c>
      <c r="D8345" s="11">
        <v>42675</v>
      </c>
      <c r="E8345" t="s">
        <v>2183</v>
      </c>
      <c r="F8345">
        <v>3</v>
      </c>
      <c r="G8345" t="s">
        <v>65</v>
      </c>
      <c r="H8345" t="s">
        <v>47</v>
      </c>
      <c r="I8345" t="s">
        <v>2195</v>
      </c>
      <c r="J8345" s="10">
        <v>0</v>
      </c>
      <c r="K8345" t="b">
        <v>1</v>
      </c>
    </row>
    <row r="8346" spans="1:11">
      <c r="A8346" s="12">
        <v>42684</v>
      </c>
      <c r="B8346">
        <v>2016</v>
      </c>
      <c r="C8346">
        <v>11</v>
      </c>
      <c r="D8346" s="11">
        <v>42675</v>
      </c>
      <c r="E8346" t="s">
        <v>2183</v>
      </c>
      <c r="F8346">
        <v>4</v>
      </c>
      <c r="G8346" t="s">
        <v>53</v>
      </c>
      <c r="H8346" t="s">
        <v>40</v>
      </c>
      <c r="I8346" t="s">
        <v>2188</v>
      </c>
      <c r="J8346" s="10">
        <v>7.33</v>
      </c>
      <c r="K8346" t="b">
        <v>1</v>
      </c>
    </row>
    <row r="8347" spans="1:11">
      <c r="A8347" s="12">
        <v>42684</v>
      </c>
      <c r="B8347">
        <v>2016</v>
      </c>
      <c r="C8347">
        <v>11</v>
      </c>
      <c r="D8347" s="11">
        <v>42675</v>
      </c>
      <c r="E8347" t="s">
        <v>2183</v>
      </c>
      <c r="F8347">
        <v>4</v>
      </c>
      <c r="G8347" t="s">
        <v>53</v>
      </c>
      <c r="H8347" t="s">
        <v>41</v>
      </c>
      <c r="I8347" t="s">
        <v>2189</v>
      </c>
      <c r="J8347" s="10">
        <v>6.33</v>
      </c>
      <c r="K8347" t="b">
        <v>1</v>
      </c>
    </row>
    <row r="8348" spans="1:11">
      <c r="A8348" s="12">
        <v>42684</v>
      </c>
      <c r="B8348">
        <v>2016</v>
      </c>
      <c r="C8348">
        <v>11</v>
      </c>
      <c r="D8348" s="11">
        <v>42675</v>
      </c>
      <c r="E8348" t="s">
        <v>2183</v>
      </c>
      <c r="F8348">
        <v>4</v>
      </c>
      <c r="G8348" t="s">
        <v>53</v>
      </c>
      <c r="H8348" t="s">
        <v>42</v>
      </c>
      <c r="I8348" t="s">
        <v>2190</v>
      </c>
      <c r="J8348" s="10">
        <v>7</v>
      </c>
      <c r="K8348" t="b">
        <v>1</v>
      </c>
    </row>
    <row r="8349" spans="1:11">
      <c r="A8349" s="12">
        <v>42684</v>
      </c>
      <c r="B8349">
        <v>2016</v>
      </c>
      <c r="C8349">
        <v>11</v>
      </c>
      <c r="D8349" s="11">
        <v>42675</v>
      </c>
      <c r="E8349" t="s">
        <v>2183</v>
      </c>
      <c r="F8349">
        <v>4</v>
      </c>
      <c r="G8349" t="s">
        <v>53</v>
      </c>
      <c r="H8349" t="s">
        <v>43</v>
      </c>
      <c r="I8349" t="s">
        <v>2191</v>
      </c>
      <c r="J8349" s="10">
        <v>31.1</v>
      </c>
      <c r="K8349" t="b">
        <v>1</v>
      </c>
    </row>
    <row r="8350" spans="1:11">
      <c r="A8350" s="12">
        <v>42684</v>
      </c>
      <c r="B8350">
        <v>2016</v>
      </c>
      <c r="C8350">
        <v>11</v>
      </c>
      <c r="D8350" s="11">
        <v>42675</v>
      </c>
      <c r="E8350" t="s">
        <v>2183</v>
      </c>
      <c r="F8350">
        <v>4</v>
      </c>
      <c r="G8350" t="s">
        <v>53</v>
      </c>
      <c r="H8350" t="s">
        <v>44</v>
      </c>
      <c r="I8350" t="s">
        <v>2192</v>
      </c>
      <c r="J8350" s="10">
        <v>5</v>
      </c>
      <c r="K8350" t="b">
        <v>1</v>
      </c>
    </row>
    <row r="8351" spans="1:11">
      <c r="A8351" s="12">
        <v>42684</v>
      </c>
      <c r="B8351">
        <v>2016</v>
      </c>
      <c r="C8351">
        <v>11</v>
      </c>
      <c r="D8351" s="11">
        <v>42675</v>
      </c>
      <c r="E8351" t="s">
        <v>2183</v>
      </c>
      <c r="F8351">
        <v>4</v>
      </c>
      <c r="G8351" t="s">
        <v>53</v>
      </c>
      <c r="H8351" t="s">
        <v>45</v>
      </c>
      <c r="I8351" t="s">
        <v>2193</v>
      </c>
      <c r="J8351" s="10">
        <v>2</v>
      </c>
      <c r="K8351" t="b">
        <v>1</v>
      </c>
    </row>
    <row r="8352" spans="1:11">
      <c r="A8352" s="12">
        <v>42684</v>
      </c>
      <c r="B8352">
        <v>2016</v>
      </c>
      <c r="C8352">
        <v>11</v>
      </c>
      <c r="D8352" s="11">
        <v>42675</v>
      </c>
      <c r="E8352" t="s">
        <v>2183</v>
      </c>
      <c r="F8352">
        <v>4</v>
      </c>
      <c r="G8352" t="s">
        <v>53</v>
      </c>
      <c r="H8352" t="s">
        <v>46</v>
      </c>
      <c r="I8352" t="s">
        <v>2194</v>
      </c>
      <c r="J8352" s="10">
        <v>12</v>
      </c>
      <c r="K8352" t="b">
        <v>1</v>
      </c>
    </row>
    <row r="8353" spans="1:11">
      <c r="A8353" s="12">
        <v>42684</v>
      </c>
      <c r="B8353">
        <v>2016</v>
      </c>
      <c r="C8353">
        <v>11</v>
      </c>
      <c r="D8353" s="11">
        <v>42675</v>
      </c>
      <c r="E8353" t="s">
        <v>2183</v>
      </c>
      <c r="F8353">
        <v>4</v>
      </c>
      <c r="G8353" t="s">
        <v>53</v>
      </c>
      <c r="H8353" t="s">
        <v>47</v>
      </c>
      <c r="I8353" t="s">
        <v>2195</v>
      </c>
      <c r="J8353" s="10">
        <v>3.4</v>
      </c>
      <c r="K8353" t="b">
        <v>1</v>
      </c>
    </row>
    <row r="8354" spans="1:11">
      <c r="A8354" s="12">
        <v>42685</v>
      </c>
      <c r="B8354">
        <v>2016</v>
      </c>
      <c r="C8354">
        <v>11</v>
      </c>
      <c r="D8354" s="11">
        <v>42675</v>
      </c>
      <c r="E8354" t="s">
        <v>2183</v>
      </c>
      <c r="F8354">
        <v>5</v>
      </c>
      <c r="G8354" t="s">
        <v>55</v>
      </c>
      <c r="H8354" t="s">
        <v>40</v>
      </c>
      <c r="I8354" t="s">
        <v>2188</v>
      </c>
      <c r="J8354" s="10">
        <v>10.66</v>
      </c>
      <c r="K8354" t="b">
        <v>1</v>
      </c>
    </row>
    <row r="8355" spans="1:11">
      <c r="A8355" s="12">
        <v>42685</v>
      </c>
      <c r="B8355">
        <v>2016</v>
      </c>
      <c r="C8355">
        <v>11</v>
      </c>
      <c r="D8355" s="11">
        <v>42675</v>
      </c>
      <c r="E8355" t="s">
        <v>2183</v>
      </c>
      <c r="F8355">
        <v>5</v>
      </c>
      <c r="G8355" t="s">
        <v>55</v>
      </c>
      <c r="H8355" t="s">
        <v>41</v>
      </c>
      <c r="I8355" t="s">
        <v>2189</v>
      </c>
      <c r="J8355" s="10">
        <v>1.759</v>
      </c>
      <c r="K8355" t="b">
        <v>1</v>
      </c>
    </row>
    <row r="8356" spans="1:11">
      <c r="A8356" s="12">
        <v>42685</v>
      </c>
      <c r="B8356">
        <v>2016</v>
      </c>
      <c r="C8356">
        <v>11</v>
      </c>
      <c r="D8356" s="11">
        <v>42675</v>
      </c>
      <c r="E8356" t="s">
        <v>2183</v>
      </c>
      <c r="F8356">
        <v>5</v>
      </c>
      <c r="G8356" t="s">
        <v>55</v>
      </c>
      <c r="H8356" t="s">
        <v>42</v>
      </c>
      <c r="I8356" t="s">
        <v>2190</v>
      </c>
      <c r="J8356" s="10">
        <v>4</v>
      </c>
      <c r="K8356" t="b">
        <v>1</v>
      </c>
    </row>
    <row r="8357" spans="1:11">
      <c r="A8357" s="12">
        <v>42685</v>
      </c>
      <c r="B8357">
        <v>2016</v>
      </c>
      <c r="C8357">
        <v>11</v>
      </c>
      <c r="D8357" s="11">
        <v>42675</v>
      </c>
      <c r="E8357" t="s">
        <v>2183</v>
      </c>
      <c r="F8357">
        <v>5</v>
      </c>
      <c r="G8357" t="s">
        <v>55</v>
      </c>
      <c r="H8357" t="s">
        <v>43</v>
      </c>
      <c r="I8357" t="s">
        <v>2191</v>
      </c>
      <c r="J8357" s="10">
        <v>33</v>
      </c>
      <c r="K8357" t="b">
        <v>1</v>
      </c>
    </row>
    <row r="8358" spans="1:11">
      <c r="A8358" s="12">
        <v>42685</v>
      </c>
      <c r="B8358">
        <v>2016</v>
      </c>
      <c r="C8358">
        <v>11</v>
      </c>
      <c r="D8358" s="11">
        <v>42675</v>
      </c>
      <c r="E8358" t="s">
        <v>2183</v>
      </c>
      <c r="F8358">
        <v>5</v>
      </c>
      <c r="G8358" t="s">
        <v>55</v>
      </c>
      <c r="H8358" t="s">
        <v>44</v>
      </c>
      <c r="I8358" t="s">
        <v>2192</v>
      </c>
      <c r="J8358" s="10">
        <v>6</v>
      </c>
      <c r="K8358" t="b">
        <v>1</v>
      </c>
    </row>
    <row r="8359" spans="1:11">
      <c r="A8359" s="12">
        <v>42685</v>
      </c>
      <c r="B8359">
        <v>2016</v>
      </c>
      <c r="C8359">
        <v>11</v>
      </c>
      <c r="D8359" s="11">
        <v>42675</v>
      </c>
      <c r="E8359" t="s">
        <v>2183</v>
      </c>
      <c r="F8359">
        <v>5</v>
      </c>
      <c r="G8359" t="s">
        <v>55</v>
      </c>
      <c r="H8359" t="s">
        <v>45</v>
      </c>
      <c r="I8359" t="s">
        <v>2193</v>
      </c>
      <c r="J8359" s="10">
        <v>0</v>
      </c>
      <c r="K8359" t="b">
        <v>1</v>
      </c>
    </row>
    <row r="8360" spans="1:11">
      <c r="A8360" s="12">
        <v>42685</v>
      </c>
      <c r="B8360">
        <v>2016</v>
      </c>
      <c r="C8360">
        <v>11</v>
      </c>
      <c r="D8360" s="11">
        <v>42675</v>
      </c>
      <c r="E8360" t="s">
        <v>2183</v>
      </c>
      <c r="F8360">
        <v>5</v>
      </c>
      <c r="G8360" t="s">
        <v>55</v>
      </c>
      <c r="H8360" t="s">
        <v>46</v>
      </c>
      <c r="I8360" t="s">
        <v>2194</v>
      </c>
      <c r="J8360" s="10">
        <v>1</v>
      </c>
      <c r="K8360" t="b">
        <v>1</v>
      </c>
    </row>
    <row r="8361" spans="1:11">
      <c r="A8361" s="12">
        <v>42685</v>
      </c>
      <c r="B8361">
        <v>2016</v>
      </c>
      <c r="C8361">
        <v>11</v>
      </c>
      <c r="D8361" s="11">
        <v>42675</v>
      </c>
      <c r="E8361" t="s">
        <v>2183</v>
      </c>
      <c r="F8361">
        <v>5</v>
      </c>
      <c r="G8361" t="s">
        <v>55</v>
      </c>
      <c r="H8361" t="s">
        <v>47</v>
      </c>
      <c r="I8361" t="s">
        <v>2195</v>
      </c>
      <c r="J8361" s="10">
        <v>1</v>
      </c>
      <c r="K8361" t="b">
        <v>1</v>
      </c>
    </row>
    <row r="8362" spans="1:11">
      <c r="A8362" s="12">
        <v>42686</v>
      </c>
      <c r="B8362">
        <v>2016</v>
      </c>
      <c r="C8362">
        <v>11</v>
      </c>
      <c r="D8362" s="11">
        <v>42675</v>
      </c>
      <c r="E8362" t="s">
        <v>2183</v>
      </c>
      <c r="F8362">
        <v>6</v>
      </c>
      <c r="G8362" t="s">
        <v>57</v>
      </c>
      <c r="H8362" t="s">
        <v>40</v>
      </c>
      <c r="I8362" t="s">
        <v>2188</v>
      </c>
      <c r="J8362" s="10">
        <v>8</v>
      </c>
      <c r="K8362" t="b">
        <v>1</v>
      </c>
    </row>
    <row r="8363" spans="1:11">
      <c r="A8363" s="12">
        <v>42686</v>
      </c>
      <c r="B8363">
        <v>2016</v>
      </c>
      <c r="C8363">
        <v>11</v>
      </c>
      <c r="D8363" s="11">
        <v>42675</v>
      </c>
      <c r="E8363" t="s">
        <v>2183</v>
      </c>
      <c r="F8363">
        <v>6</v>
      </c>
      <c r="G8363" t="s">
        <v>57</v>
      </c>
      <c r="H8363" t="s">
        <v>41</v>
      </c>
      <c r="I8363" t="s">
        <v>2189</v>
      </c>
      <c r="J8363" s="10">
        <v>3.825</v>
      </c>
      <c r="K8363" t="b">
        <v>1</v>
      </c>
    </row>
    <row r="8364" spans="1:11">
      <c r="A8364" s="12">
        <v>42686</v>
      </c>
      <c r="B8364">
        <v>2016</v>
      </c>
      <c r="C8364">
        <v>11</v>
      </c>
      <c r="D8364" s="11">
        <v>42675</v>
      </c>
      <c r="E8364" t="s">
        <v>2183</v>
      </c>
      <c r="F8364">
        <v>6</v>
      </c>
      <c r="G8364" t="s">
        <v>57</v>
      </c>
      <c r="H8364" t="s">
        <v>42</v>
      </c>
      <c r="I8364" t="s">
        <v>2190</v>
      </c>
      <c r="J8364" s="10">
        <v>7</v>
      </c>
      <c r="K8364" t="b">
        <v>1</v>
      </c>
    </row>
    <row r="8365" spans="1:11">
      <c r="A8365" s="12">
        <v>42686</v>
      </c>
      <c r="B8365">
        <v>2016</v>
      </c>
      <c r="C8365">
        <v>11</v>
      </c>
      <c r="D8365" s="11">
        <v>42675</v>
      </c>
      <c r="E8365" t="s">
        <v>2183</v>
      </c>
      <c r="F8365">
        <v>6</v>
      </c>
      <c r="G8365" t="s">
        <v>57</v>
      </c>
      <c r="H8365" t="s">
        <v>43</v>
      </c>
      <c r="I8365" t="s">
        <v>2191</v>
      </c>
      <c r="J8365" s="10">
        <v>56.5</v>
      </c>
      <c r="K8365" t="b">
        <v>1</v>
      </c>
    </row>
    <row r="8366" spans="1:11">
      <c r="A8366" s="12">
        <v>42686</v>
      </c>
      <c r="B8366">
        <v>2016</v>
      </c>
      <c r="C8366">
        <v>11</v>
      </c>
      <c r="D8366" s="11">
        <v>42675</v>
      </c>
      <c r="E8366" t="s">
        <v>2183</v>
      </c>
      <c r="F8366">
        <v>6</v>
      </c>
      <c r="G8366" t="s">
        <v>57</v>
      </c>
      <c r="H8366" t="s">
        <v>44</v>
      </c>
      <c r="I8366" t="s">
        <v>2192</v>
      </c>
      <c r="J8366" s="10">
        <v>10</v>
      </c>
      <c r="K8366" t="b">
        <v>1</v>
      </c>
    </row>
    <row r="8367" spans="1:11">
      <c r="A8367" s="12">
        <v>42686</v>
      </c>
      <c r="B8367">
        <v>2016</v>
      </c>
      <c r="C8367">
        <v>11</v>
      </c>
      <c r="D8367" s="11">
        <v>42675</v>
      </c>
      <c r="E8367" t="s">
        <v>2183</v>
      </c>
      <c r="F8367">
        <v>6</v>
      </c>
      <c r="G8367" t="s">
        <v>57</v>
      </c>
      <c r="H8367" t="s">
        <v>45</v>
      </c>
      <c r="I8367" t="s">
        <v>2193</v>
      </c>
      <c r="J8367" s="10">
        <v>0</v>
      </c>
      <c r="K8367" t="b">
        <v>1</v>
      </c>
    </row>
    <row r="8368" spans="1:11">
      <c r="A8368" s="12">
        <v>42686</v>
      </c>
      <c r="B8368">
        <v>2016</v>
      </c>
      <c r="C8368">
        <v>11</v>
      </c>
      <c r="D8368" s="11">
        <v>42675</v>
      </c>
      <c r="E8368" t="s">
        <v>2183</v>
      </c>
      <c r="F8368">
        <v>6</v>
      </c>
      <c r="G8368" t="s">
        <v>57</v>
      </c>
      <c r="H8368" t="s">
        <v>46</v>
      </c>
      <c r="I8368" t="s">
        <v>2194</v>
      </c>
      <c r="J8368" s="10">
        <v>1</v>
      </c>
      <c r="K8368" t="b">
        <v>1</v>
      </c>
    </row>
    <row r="8369" spans="1:11">
      <c r="A8369" s="12">
        <v>42686</v>
      </c>
      <c r="B8369">
        <v>2016</v>
      </c>
      <c r="C8369">
        <v>11</v>
      </c>
      <c r="D8369" s="11">
        <v>42675</v>
      </c>
      <c r="E8369" t="s">
        <v>2183</v>
      </c>
      <c r="F8369">
        <v>6</v>
      </c>
      <c r="G8369" t="s">
        <v>57</v>
      </c>
      <c r="H8369" t="s">
        <v>47</v>
      </c>
      <c r="I8369" t="s">
        <v>2195</v>
      </c>
      <c r="J8369" s="10">
        <v>1.2</v>
      </c>
      <c r="K8369" t="b">
        <v>1</v>
      </c>
    </row>
    <row r="8370" spans="1:11">
      <c r="A8370" s="12">
        <v>42687</v>
      </c>
      <c r="B8370">
        <v>2016</v>
      </c>
      <c r="C8370">
        <v>11</v>
      </c>
      <c r="D8370" s="11">
        <v>42675</v>
      </c>
      <c r="E8370" t="s">
        <v>2183</v>
      </c>
      <c r="F8370">
        <v>7</v>
      </c>
      <c r="G8370" t="s">
        <v>59</v>
      </c>
      <c r="H8370" t="s">
        <v>40</v>
      </c>
      <c r="I8370" t="s">
        <v>2188</v>
      </c>
      <c r="J8370" s="10">
        <v>6</v>
      </c>
      <c r="K8370" t="b">
        <v>1</v>
      </c>
    </row>
    <row r="8371" spans="1:11">
      <c r="A8371" s="12">
        <v>42687</v>
      </c>
      <c r="B8371">
        <v>2016</v>
      </c>
      <c r="C8371">
        <v>11</v>
      </c>
      <c r="D8371" s="11">
        <v>42675</v>
      </c>
      <c r="E8371" t="s">
        <v>2183</v>
      </c>
      <c r="F8371">
        <v>7</v>
      </c>
      <c r="G8371" t="s">
        <v>59</v>
      </c>
      <c r="H8371" t="s">
        <v>41</v>
      </c>
      <c r="I8371" t="s">
        <v>2189</v>
      </c>
      <c r="J8371" s="10">
        <v>11.32</v>
      </c>
      <c r="K8371" t="b">
        <v>1</v>
      </c>
    </row>
    <row r="8372" spans="1:11">
      <c r="A8372" s="12">
        <v>42687</v>
      </c>
      <c r="B8372">
        <v>2016</v>
      </c>
      <c r="C8372">
        <v>11</v>
      </c>
      <c r="D8372" s="11">
        <v>42675</v>
      </c>
      <c r="E8372" t="s">
        <v>2183</v>
      </c>
      <c r="F8372">
        <v>7</v>
      </c>
      <c r="G8372" t="s">
        <v>59</v>
      </c>
      <c r="H8372" t="s">
        <v>42</v>
      </c>
      <c r="I8372" t="s">
        <v>2190</v>
      </c>
      <c r="J8372" s="10">
        <v>3.6</v>
      </c>
      <c r="K8372" t="b">
        <v>1</v>
      </c>
    </row>
    <row r="8373" spans="1:11">
      <c r="A8373" s="12">
        <v>42687</v>
      </c>
      <c r="B8373">
        <v>2016</v>
      </c>
      <c r="C8373">
        <v>11</v>
      </c>
      <c r="D8373" s="11">
        <v>42675</v>
      </c>
      <c r="E8373" t="s">
        <v>2183</v>
      </c>
      <c r="F8373">
        <v>7</v>
      </c>
      <c r="G8373" t="s">
        <v>59</v>
      </c>
      <c r="H8373" t="s">
        <v>43</v>
      </c>
      <c r="I8373" t="s">
        <v>2191</v>
      </c>
      <c r="J8373" s="10">
        <v>60.2</v>
      </c>
      <c r="K8373" t="b">
        <v>1</v>
      </c>
    </row>
    <row r="8374" spans="1:11">
      <c r="A8374" s="12">
        <v>42687</v>
      </c>
      <c r="B8374">
        <v>2016</v>
      </c>
      <c r="C8374">
        <v>11</v>
      </c>
      <c r="D8374" s="11">
        <v>42675</v>
      </c>
      <c r="E8374" t="s">
        <v>2183</v>
      </c>
      <c r="F8374">
        <v>7</v>
      </c>
      <c r="G8374" t="s">
        <v>59</v>
      </c>
      <c r="H8374" t="s">
        <v>44</v>
      </c>
      <c r="I8374" t="s">
        <v>2192</v>
      </c>
      <c r="J8374" s="10">
        <v>0</v>
      </c>
      <c r="K8374" t="b">
        <v>1</v>
      </c>
    </row>
    <row r="8375" spans="1:11">
      <c r="A8375" s="12">
        <v>42687</v>
      </c>
      <c r="B8375">
        <v>2016</v>
      </c>
      <c r="C8375">
        <v>11</v>
      </c>
      <c r="D8375" s="11">
        <v>42675</v>
      </c>
      <c r="E8375" t="s">
        <v>2183</v>
      </c>
      <c r="F8375">
        <v>7</v>
      </c>
      <c r="G8375" t="s">
        <v>59</v>
      </c>
      <c r="H8375" t="s">
        <v>45</v>
      </c>
      <c r="I8375" t="s">
        <v>2193</v>
      </c>
      <c r="J8375" s="10">
        <v>0</v>
      </c>
      <c r="K8375" t="b">
        <v>1</v>
      </c>
    </row>
    <row r="8376" spans="1:11">
      <c r="A8376" s="12">
        <v>42687</v>
      </c>
      <c r="B8376">
        <v>2016</v>
      </c>
      <c r="C8376">
        <v>11</v>
      </c>
      <c r="D8376" s="11">
        <v>42675</v>
      </c>
      <c r="E8376" t="s">
        <v>2183</v>
      </c>
      <c r="F8376">
        <v>7</v>
      </c>
      <c r="G8376" t="s">
        <v>59</v>
      </c>
      <c r="H8376" t="s">
        <v>46</v>
      </c>
      <c r="I8376" t="s">
        <v>2194</v>
      </c>
      <c r="J8376" s="10">
        <v>5</v>
      </c>
      <c r="K8376" t="b">
        <v>1</v>
      </c>
    </row>
    <row r="8377" spans="1:11">
      <c r="A8377" s="12">
        <v>42687</v>
      </c>
      <c r="B8377">
        <v>2016</v>
      </c>
      <c r="C8377">
        <v>11</v>
      </c>
      <c r="D8377" s="11">
        <v>42675</v>
      </c>
      <c r="E8377" t="s">
        <v>2183</v>
      </c>
      <c r="F8377">
        <v>7</v>
      </c>
      <c r="G8377" t="s">
        <v>59</v>
      </c>
      <c r="H8377" t="s">
        <v>47</v>
      </c>
      <c r="I8377" t="s">
        <v>2195</v>
      </c>
      <c r="J8377" s="10">
        <v>1</v>
      </c>
      <c r="K8377" t="b">
        <v>1</v>
      </c>
    </row>
    <row r="8378" spans="1:11">
      <c r="A8378" s="12">
        <v>42688</v>
      </c>
      <c r="B8378">
        <v>2016</v>
      </c>
      <c r="C8378">
        <v>11</v>
      </c>
      <c r="D8378" s="11">
        <v>42675</v>
      </c>
      <c r="E8378" t="s">
        <v>2183</v>
      </c>
      <c r="F8378">
        <v>1</v>
      </c>
      <c r="G8378" t="s">
        <v>61</v>
      </c>
      <c r="H8378" t="s">
        <v>40</v>
      </c>
      <c r="I8378" t="s">
        <v>2188</v>
      </c>
      <c r="J8378" s="10">
        <v>10</v>
      </c>
      <c r="K8378" t="b">
        <v>1</v>
      </c>
    </row>
    <row r="8379" spans="1:11">
      <c r="A8379" s="12">
        <v>42688</v>
      </c>
      <c r="B8379">
        <v>2016</v>
      </c>
      <c r="C8379">
        <v>11</v>
      </c>
      <c r="D8379" s="11">
        <v>42675</v>
      </c>
      <c r="E8379" t="s">
        <v>2183</v>
      </c>
      <c r="F8379">
        <v>1</v>
      </c>
      <c r="G8379" t="s">
        <v>61</v>
      </c>
      <c r="H8379" t="s">
        <v>41</v>
      </c>
      <c r="I8379" t="s">
        <v>2189</v>
      </c>
      <c r="J8379" s="10">
        <v>4.726</v>
      </c>
      <c r="K8379" t="b">
        <v>1</v>
      </c>
    </row>
    <row r="8380" spans="1:11">
      <c r="A8380" s="12">
        <v>42688</v>
      </c>
      <c r="B8380">
        <v>2016</v>
      </c>
      <c r="C8380">
        <v>11</v>
      </c>
      <c r="D8380" s="11">
        <v>42675</v>
      </c>
      <c r="E8380" t="s">
        <v>2183</v>
      </c>
      <c r="F8380">
        <v>1</v>
      </c>
      <c r="G8380" t="s">
        <v>61</v>
      </c>
      <c r="H8380" t="s">
        <v>42</v>
      </c>
      <c r="I8380" t="s">
        <v>2190</v>
      </c>
      <c r="J8380" s="10">
        <v>3.8</v>
      </c>
      <c r="K8380" t="b">
        <v>1</v>
      </c>
    </row>
    <row r="8381" spans="1:11">
      <c r="A8381" s="12">
        <v>42688</v>
      </c>
      <c r="B8381">
        <v>2016</v>
      </c>
      <c r="C8381">
        <v>11</v>
      </c>
      <c r="D8381" s="11">
        <v>42675</v>
      </c>
      <c r="E8381" t="s">
        <v>2183</v>
      </c>
      <c r="F8381">
        <v>1</v>
      </c>
      <c r="G8381" t="s">
        <v>61</v>
      </c>
      <c r="H8381" t="s">
        <v>43</v>
      </c>
      <c r="I8381" t="s">
        <v>2191</v>
      </c>
      <c r="J8381" s="10">
        <v>50.5</v>
      </c>
      <c r="K8381" t="b">
        <v>1</v>
      </c>
    </row>
    <row r="8382" spans="1:11">
      <c r="A8382" s="12">
        <v>42688</v>
      </c>
      <c r="B8382">
        <v>2016</v>
      </c>
      <c r="C8382">
        <v>11</v>
      </c>
      <c r="D8382" s="11">
        <v>42675</v>
      </c>
      <c r="E8382" t="s">
        <v>2183</v>
      </c>
      <c r="F8382">
        <v>1</v>
      </c>
      <c r="G8382" t="s">
        <v>61</v>
      </c>
      <c r="H8382" t="s">
        <v>44</v>
      </c>
      <c r="I8382" t="s">
        <v>2192</v>
      </c>
      <c r="J8382" s="10">
        <v>5</v>
      </c>
      <c r="K8382" t="b">
        <v>1</v>
      </c>
    </row>
    <row r="8383" spans="1:11">
      <c r="A8383" s="12">
        <v>42688</v>
      </c>
      <c r="B8383">
        <v>2016</v>
      </c>
      <c r="C8383">
        <v>11</v>
      </c>
      <c r="D8383" s="11">
        <v>42675</v>
      </c>
      <c r="E8383" t="s">
        <v>2183</v>
      </c>
      <c r="F8383">
        <v>1</v>
      </c>
      <c r="G8383" t="s">
        <v>61</v>
      </c>
      <c r="H8383" t="s">
        <v>45</v>
      </c>
      <c r="I8383" t="s">
        <v>2193</v>
      </c>
      <c r="J8383" s="10">
        <v>3</v>
      </c>
      <c r="K8383" t="b">
        <v>1</v>
      </c>
    </row>
    <row r="8384" spans="1:11">
      <c r="A8384" s="12">
        <v>42688</v>
      </c>
      <c r="B8384">
        <v>2016</v>
      </c>
      <c r="C8384">
        <v>11</v>
      </c>
      <c r="D8384" s="11">
        <v>42675</v>
      </c>
      <c r="E8384" t="s">
        <v>2183</v>
      </c>
      <c r="F8384">
        <v>1</v>
      </c>
      <c r="G8384" t="s">
        <v>61</v>
      </c>
      <c r="H8384" t="s">
        <v>46</v>
      </c>
      <c r="I8384" t="s">
        <v>2194</v>
      </c>
      <c r="J8384" s="10">
        <v>1</v>
      </c>
      <c r="K8384" t="b">
        <v>1</v>
      </c>
    </row>
    <row r="8385" spans="1:11">
      <c r="A8385" s="12">
        <v>42688</v>
      </c>
      <c r="B8385">
        <v>2016</v>
      </c>
      <c r="C8385">
        <v>11</v>
      </c>
      <c r="D8385" s="11">
        <v>42675</v>
      </c>
      <c r="E8385" t="s">
        <v>2183</v>
      </c>
      <c r="F8385">
        <v>1</v>
      </c>
      <c r="G8385" t="s">
        <v>61</v>
      </c>
      <c r="H8385" t="s">
        <v>47</v>
      </c>
      <c r="I8385" t="s">
        <v>2195</v>
      </c>
      <c r="J8385" s="10">
        <v>1</v>
      </c>
      <c r="K8385" t="b">
        <v>1</v>
      </c>
    </row>
    <row r="8386" spans="1:11">
      <c r="A8386" s="12">
        <v>42689</v>
      </c>
      <c r="B8386">
        <v>2016</v>
      </c>
      <c r="C8386">
        <v>11</v>
      </c>
      <c r="D8386" s="11">
        <v>42675</v>
      </c>
      <c r="E8386" t="s">
        <v>2183</v>
      </c>
      <c r="F8386">
        <v>2</v>
      </c>
      <c r="G8386" t="s">
        <v>63</v>
      </c>
      <c r="H8386" t="s">
        <v>40</v>
      </c>
      <c r="I8386" t="s">
        <v>2188</v>
      </c>
      <c r="J8386" s="10">
        <v>5.33</v>
      </c>
      <c r="K8386" t="b">
        <v>1</v>
      </c>
    </row>
    <row r="8387" spans="1:11">
      <c r="A8387" s="12">
        <v>42689</v>
      </c>
      <c r="B8387">
        <v>2016</v>
      </c>
      <c r="C8387">
        <v>11</v>
      </c>
      <c r="D8387" s="11">
        <v>42675</v>
      </c>
      <c r="E8387" t="s">
        <v>2183</v>
      </c>
      <c r="F8387">
        <v>2</v>
      </c>
      <c r="G8387" t="s">
        <v>63</v>
      </c>
      <c r="H8387" t="s">
        <v>41</v>
      </c>
      <c r="I8387" t="s">
        <v>2189</v>
      </c>
      <c r="J8387" s="10">
        <v>0.33</v>
      </c>
      <c r="K8387" t="b">
        <v>1</v>
      </c>
    </row>
    <row r="8388" spans="1:11">
      <c r="A8388" s="12">
        <v>42689</v>
      </c>
      <c r="B8388">
        <v>2016</v>
      </c>
      <c r="C8388">
        <v>11</v>
      </c>
      <c r="D8388" s="11">
        <v>42675</v>
      </c>
      <c r="E8388" t="s">
        <v>2183</v>
      </c>
      <c r="F8388">
        <v>2</v>
      </c>
      <c r="G8388" t="s">
        <v>63</v>
      </c>
      <c r="H8388" t="s">
        <v>42</v>
      </c>
      <c r="I8388" t="s">
        <v>2190</v>
      </c>
      <c r="J8388" s="10">
        <v>4</v>
      </c>
      <c r="K8388" t="b">
        <v>1</v>
      </c>
    </row>
    <row r="8389" spans="1:11">
      <c r="A8389" s="12">
        <v>42689</v>
      </c>
      <c r="B8389">
        <v>2016</v>
      </c>
      <c r="C8389">
        <v>11</v>
      </c>
      <c r="D8389" s="11">
        <v>42675</v>
      </c>
      <c r="E8389" t="s">
        <v>2183</v>
      </c>
      <c r="F8389">
        <v>2</v>
      </c>
      <c r="G8389" t="s">
        <v>63</v>
      </c>
      <c r="H8389" t="s">
        <v>43</v>
      </c>
      <c r="I8389" t="s">
        <v>2191</v>
      </c>
      <c r="J8389" s="10">
        <v>30.1</v>
      </c>
      <c r="K8389" t="b">
        <v>1</v>
      </c>
    </row>
    <row r="8390" spans="1:11">
      <c r="A8390" s="12">
        <v>42689</v>
      </c>
      <c r="B8390">
        <v>2016</v>
      </c>
      <c r="C8390">
        <v>11</v>
      </c>
      <c r="D8390" s="11">
        <v>42675</v>
      </c>
      <c r="E8390" t="s">
        <v>2183</v>
      </c>
      <c r="F8390">
        <v>2</v>
      </c>
      <c r="G8390" t="s">
        <v>63</v>
      </c>
      <c r="H8390" t="s">
        <v>44</v>
      </c>
      <c r="I8390" t="s">
        <v>2192</v>
      </c>
      <c r="J8390" s="10">
        <v>27</v>
      </c>
      <c r="K8390" t="b">
        <v>1</v>
      </c>
    </row>
    <row r="8391" spans="1:11">
      <c r="A8391" s="12">
        <v>42689</v>
      </c>
      <c r="B8391">
        <v>2016</v>
      </c>
      <c r="C8391">
        <v>11</v>
      </c>
      <c r="D8391" s="11">
        <v>42675</v>
      </c>
      <c r="E8391" t="s">
        <v>2183</v>
      </c>
      <c r="F8391">
        <v>2</v>
      </c>
      <c r="G8391" t="s">
        <v>63</v>
      </c>
      <c r="H8391" t="s">
        <v>45</v>
      </c>
      <c r="I8391" t="s">
        <v>2193</v>
      </c>
      <c r="J8391" s="10">
        <v>5</v>
      </c>
      <c r="K8391" t="b">
        <v>1</v>
      </c>
    </row>
    <row r="8392" spans="1:11">
      <c r="A8392" s="12">
        <v>42689</v>
      </c>
      <c r="B8392">
        <v>2016</v>
      </c>
      <c r="C8392">
        <v>11</v>
      </c>
      <c r="D8392" s="11">
        <v>42675</v>
      </c>
      <c r="E8392" t="s">
        <v>2183</v>
      </c>
      <c r="F8392">
        <v>2</v>
      </c>
      <c r="G8392" t="s">
        <v>63</v>
      </c>
      <c r="H8392" t="s">
        <v>46</v>
      </c>
      <c r="I8392" t="s">
        <v>2194</v>
      </c>
      <c r="J8392" s="10">
        <v>5</v>
      </c>
      <c r="K8392" t="b">
        <v>1</v>
      </c>
    </row>
    <row r="8393" spans="1:11">
      <c r="A8393" s="12">
        <v>42689</v>
      </c>
      <c r="B8393">
        <v>2016</v>
      </c>
      <c r="C8393">
        <v>11</v>
      </c>
      <c r="D8393" s="11">
        <v>42675</v>
      </c>
      <c r="E8393" t="s">
        <v>2183</v>
      </c>
      <c r="F8393">
        <v>2</v>
      </c>
      <c r="G8393" t="s">
        <v>63</v>
      </c>
      <c r="H8393" t="s">
        <v>47</v>
      </c>
      <c r="I8393" t="s">
        <v>2195</v>
      </c>
      <c r="J8393" s="10">
        <v>1</v>
      </c>
      <c r="K8393" t="b">
        <v>1</v>
      </c>
    </row>
    <row r="8394" spans="1:11">
      <c r="A8394" s="12">
        <v>42690</v>
      </c>
      <c r="B8394">
        <v>2016</v>
      </c>
      <c r="C8394">
        <v>11</v>
      </c>
      <c r="D8394" s="11">
        <v>42675</v>
      </c>
      <c r="E8394" t="s">
        <v>2183</v>
      </c>
      <c r="F8394">
        <v>3</v>
      </c>
      <c r="G8394" t="s">
        <v>65</v>
      </c>
      <c r="H8394" t="s">
        <v>40</v>
      </c>
      <c r="I8394" t="s">
        <v>2188</v>
      </c>
      <c r="J8394" s="10">
        <v>4</v>
      </c>
      <c r="K8394" t="b">
        <v>1</v>
      </c>
    </row>
    <row r="8395" spans="1:11">
      <c r="A8395" s="12">
        <v>42690</v>
      </c>
      <c r="B8395">
        <v>2016</v>
      </c>
      <c r="C8395">
        <v>11</v>
      </c>
      <c r="D8395" s="11">
        <v>42675</v>
      </c>
      <c r="E8395" t="s">
        <v>2183</v>
      </c>
      <c r="F8395">
        <v>3</v>
      </c>
      <c r="G8395" t="s">
        <v>65</v>
      </c>
      <c r="H8395" t="s">
        <v>41</v>
      </c>
      <c r="I8395" t="s">
        <v>2189</v>
      </c>
      <c r="J8395" s="10">
        <v>3.167</v>
      </c>
      <c r="K8395" t="b">
        <v>1</v>
      </c>
    </row>
    <row r="8396" spans="1:11">
      <c r="A8396" s="12">
        <v>42690</v>
      </c>
      <c r="B8396">
        <v>2016</v>
      </c>
      <c r="C8396">
        <v>11</v>
      </c>
      <c r="D8396" s="11">
        <v>42675</v>
      </c>
      <c r="E8396" t="s">
        <v>2183</v>
      </c>
      <c r="F8396">
        <v>3</v>
      </c>
      <c r="G8396" t="s">
        <v>65</v>
      </c>
      <c r="H8396" t="s">
        <v>42</v>
      </c>
      <c r="I8396" t="s">
        <v>2190</v>
      </c>
      <c r="J8396" s="10">
        <v>4</v>
      </c>
      <c r="K8396" t="b">
        <v>1</v>
      </c>
    </row>
    <row r="8397" spans="1:11">
      <c r="A8397" s="12">
        <v>42690</v>
      </c>
      <c r="B8397">
        <v>2016</v>
      </c>
      <c r="C8397">
        <v>11</v>
      </c>
      <c r="D8397" s="11">
        <v>42675</v>
      </c>
      <c r="E8397" t="s">
        <v>2183</v>
      </c>
      <c r="F8397">
        <v>3</v>
      </c>
      <c r="G8397" t="s">
        <v>65</v>
      </c>
      <c r="H8397" t="s">
        <v>43</v>
      </c>
      <c r="I8397" t="s">
        <v>2191</v>
      </c>
      <c r="J8397" s="10">
        <v>38.912</v>
      </c>
      <c r="K8397" t="b">
        <v>1</v>
      </c>
    </row>
    <row r="8398" spans="1:11">
      <c r="A8398" s="12">
        <v>42690</v>
      </c>
      <c r="B8398">
        <v>2016</v>
      </c>
      <c r="C8398">
        <v>11</v>
      </c>
      <c r="D8398" s="11">
        <v>42675</v>
      </c>
      <c r="E8398" t="s">
        <v>2183</v>
      </c>
      <c r="F8398">
        <v>3</v>
      </c>
      <c r="G8398" t="s">
        <v>65</v>
      </c>
      <c r="H8398" t="s">
        <v>44</v>
      </c>
      <c r="I8398" t="s">
        <v>2192</v>
      </c>
      <c r="J8398" s="10">
        <v>5</v>
      </c>
      <c r="K8398" t="b">
        <v>1</v>
      </c>
    </row>
    <row r="8399" spans="1:11">
      <c r="A8399" s="12">
        <v>42690</v>
      </c>
      <c r="B8399">
        <v>2016</v>
      </c>
      <c r="C8399">
        <v>11</v>
      </c>
      <c r="D8399" s="11">
        <v>42675</v>
      </c>
      <c r="E8399" t="s">
        <v>2183</v>
      </c>
      <c r="F8399">
        <v>3</v>
      </c>
      <c r="G8399" t="s">
        <v>65</v>
      </c>
      <c r="H8399" t="s">
        <v>45</v>
      </c>
      <c r="I8399" t="s">
        <v>2193</v>
      </c>
      <c r="J8399" s="10">
        <v>0</v>
      </c>
      <c r="K8399" t="b">
        <v>1</v>
      </c>
    </row>
    <row r="8400" spans="1:11">
      <c r="A8400" s="12">
        <v>42690</v>
      </c>
      <c r="B8400">
        <v>2016</v>
      </c>
      <c r="C8400">
        <v>11</v>
      </c>
      <c r="D8400" s="11">
        <v>42675</v>
      </c>
      <c r="E8400" t="s">
        <v>2183</v>
      </c>
      <c r="F8400">
        <v>3</v>
      </c>
      <c r="G8400" t="s">
        <v>65</v>
      </c>
      <c r="H8400" t="s">
        <v>46</v>
      </c>
      <c r="I8400" t="s">
        <v>2194</v>
      </c>
      <c r="J8400" s="10">
        <v>10</v>
      </c>
      <c r="K8400" t="b">
        <v>1</v>
      </c>
    </row>
    <row r="8401" spans="1:11">
      <c r="A8401" s="12">
        <v>42690</v>
      </c>
      <c r="B8401">
        <v>2016</v>
      </c>
      <c r="C8401">
        <v>11</v>
      </c>
      <c r="D8401" s="11">
        <v>42675</v>
      </c>
      <c r="E8401" t="s">
        <v>2183</v>
      </c>
      <c r="F8401">
        <v>3</v>
      </c>
      <c r="G8401" t="s">
        <v>65</v>
      </c>
      <c r="H8401" t="s">
        <v>47</v>
      </c>
      <c r="I8401" t="s">
        <v>2195</v>
      </c>
      <c r="J8401" s="10">
        <v>1</v>
      </c>
      <c r="K8401" t="b">
        <v>1</v>
      </c>
    </row>
    <row r="8402" spans="1:11">
      <c r="A8402" s="12">
        <v>42691</v>
      </c>
      <c r="B8402">
        <v>2016</v>
      </c>
      <c r="C8402">
        <v>11</v>
      </c>
      <c r="D8402" s="11">
        <v>42675</v>
      </c>
      <c r="E8402" t="s">
        <v>2183</v>
      </c>
      <c r="F8402">
        <v>4</v>
      </c>
      <c r="G8402" t="s">
        <v>53</v>
      </c>
      <c r="H8402" t="s">
        <v>40</v>
      </c>
      <c r="I8402" t="s">
        <v>2188</v>
      </c>
      <c r="J8402" s="10">
        <v>5</v>
      </c>
      <c r="K8402" t="b">
        <v>1</v>
      </c>
    </row>
    <row r="8403" spans="1:11">
      <c r="A8403" s="12">
        <v>42691</v>
      </c>
      <c r="B8403">
        <v>2016</v>
      </c>
      <c r="C8403">
        <v>11</v>
      </c>
      <c r="D8403" s="11">
        <v>42675</v>
      </c>
      <c r="E8403" t="s">
        <v>2183</v>
      </c>
      <c r="F8403">
        <v>4</v>
      </c>
      <c r="G8403" t="s">
        <v>53</v>
      </c>
      <c r="H8403" t="s">
        <v>41</v>
      </c>
      <c r="I8403" t="s">
        <v>2189</v>
      </c>
      <c r="J8403" s="10">
        <v>2.726</v>
      </c>
      <c r="K8403" t="b">
        <v>1</v>
      </c>
    </row>
    <row r="8404" spans="1:11">
      <c r="A8404" s="12">
        <v>42691</v>
      </c>
      <c r="B8404">
        <v>2016</v>
      </c>
      <c r="C8404">
        <v>11</v>
      </c>
      <c r="D8404" s="11">
        <v>42675</v>
      </c>
      <c r="E8404" t="s">
        <v>2183</v>
      </c>
      <c r="F8404">
        <v>4</v>
      </c>
      <c r="G8404" t="s">
        <v>53</v>
      </c>
      <c r="H8404" t="s">
        <v>42</v>
      </c>
      <c r="I8404" t="s">
        <v>2190</v>
      </c>
      <c r="J8404" s="10">
        <v>5.7</v>
      </c>
      <c r="K8404" t="b">
        <v>1</v>
      </c>
    </row>
    <row r="8405" spans="1:11">
      <c r="A8405" s="12">
        <v>42691</v>
      </c>
      <c r="B8405">
        <v>2016</v>
      </c>
      <c r="C8405">
        <v>11</v>
      </c>
      <c r="D8405" s="11">
        <v>42675</v>
      </c>
      <c r="E8405" t="s">
        <v>2183</v>
      </c>
      <c r="F8405">
        <v>4</v>
      </c>
      <c r="G8405" t="s">
        <v>53</v>
      </c>
      <c r="H8405" t="s">
        <v>43</v>
      </c>
      <c r="I8405" t="s">
        <v>2191</v>
      </c>
      <c r="J8405" s="10">
        <v>41.4</v>
      </c>
      <c r="K8405" t="b">
        <v>1</v>
      </c>
    </row>
    <row r="8406" spans="1:11">
      <c r="A8406" s="12">
        <v>42691</v>
      </c>
      <c r="B8406">
        <v>2016</v>
      </c>
      <c r="C8406">
        <v>11</v>
      </c>
      <c r="D8406" s="11">
        <v>42675</v>
      </c>
      <c r="E8406" t="s">
        <v>2183</v>
      </c>
      <c r="F8406">
        <v>4</v>
      </c>
      <c r="G8406" t="s">
        <v>53</v>
      </c>
      <c r="H8406" t="s">
        <v>44</v>
      </c>
      <c r="I8406" t="s">
        <v>2192</v>
      </c>
      <c r="J8406" s="10">
        <v>0</v>
      </c>
      <c r="K8406" t="b">
        <v>1</v>
      </c>
    </row>
    <row r="8407" spans="1:11">
      <c r="A8407" s="12">
        <v>42691</v>
      </c>
      <c r="B8407">
        <v>2016</v>
      </c>
      <c r="C8407">
        <v>11</v>
      </c>
      <c r="D8407" s="11">
        <v>42675</v>
      </c>
      <c r="E8407" t="s">
        <v>2183</v>
      </c>
      <c r="F8407">
        <v>4</v>
      </c>
      <c r="G8407" t="s">
        <v>53</v>
      </c>
      <c r="H8407" t="s">
        <v>45</v>
      </c>
      <c r="I8407" t="s">
        <v>2193</v>
      </c>
      <c r="J8407" s="10">
        <v>0</v>
      </c>
      <c r="K8407" t="b">
        <v>1</v>
      </c>
    </row>
    <row r="8408" spans="1:11">
      <c r="A8408" s="12">
        <v>42691</v>
      </c>
      <c r="B8408">
        <v>2016</v>
      </c>
      <c r="C8408">
        <v>11</v>
      </c>
      <c r="D8408" s="11">
        <v>42675</v>
      </c>
      <c r="E8408" t="s">
        <v>2183</v>
      </c>
      <c r="F8408">
        <v>4</v>
      </c>
      <c r="G8408" t="s">
        <v>53</v>
      </c>
      <c r="H8408" t="s">
        <v>46</v>
      </c>
      <c r="I8408" t="s">
        <v>2194</v>
      </c>
      <c r="J8408" s="10">
        <v>1</v>
      </c>
      <c r="K8408" t="b">
        <v>1</v>
      </c>
    </row>
    <row r="8409" spans="1:11">
      <c r="A8409" s="12">
        <v>42691</v>
      </c>
      <c r="B8409">
        <v>2016</v>
      </c>
      <c r="C8409">
        <v>11</v>
      </c>
      <c r="D8409" s="11">
        <v>42675</v>
      </c>
      <c r="E8409" t="s">
        <v>2183</v>
      </c>
      <c r="F8409">
        <v>4</v>
      </c>
      <c r="G8409" t="s">
        <v>53</v>
      </c>
      <c r="H8409" t="s">
        <v>47</v>
      </c>
      <c r="I8409" t="s">
        <v>2195</v>
      </c>
      <c r="J8409" s="10">
        <v>1.4</v>
      </c>
      <c r="K8409" t="b">
        <v>1</v>
      </c>
    </row>
    <row r="8410" spans="1:11">
      <c r="A8410" s="12">
        <v>42692</v>
      </c>
      <c r="B8410">
        <v>2016</v>
      </c>
      <c r="C8410">
        <v>11</v>
      </c>
      <c r="D8410" s="11">
        <v>42675</v>
      </c>
      <c r="E8410" t="s">
        <v>2183</v>
      </c>
      <c r="F8410">
        <v>5</v>
      </c>
      <c r="G8410" t="s">
        <v>55</v>
      </c>
      <c r="H8410" t="s">
        <v>40</v>
      </c>
      <c r="I8410" t="s">
        <v>2188</v>
      </c>
      <c r="J8410" s="10">
        <v>1.33</v>
      </c>
      <c r="K8410" t="b">
        <v>1</v>
      </c>
    </row>
    <row r="8411" spans="1:11">
      <c r="A8411" s="12">
        <v>42692</v>
      </c>
      <c r="B8411">
        <v>2016</v>
      </c>
      <c r="C8411">
        <v>11</v>
      </c>
      <c r="D8411" s="11">
        <v>42675</v>
      </c>
      <c r="E8411" t="s">
        <v>2183</v>
      </c>
      <c r="F8411">
        <v>5</v>
      </c>
      <c r="G8411" t="s">
        <v>55</v>
      </c>
      <c r="H8411" t="s">
        <v>41</v>
      </c>
      <c r="I8411" t="s">
        <v>2189</v>
      </c>
      <c r="J8411" s="10">
        <v>4.33</v>
      </c>
      <c r="K8411" t="b">
        <v>1</v>
      </c>
    </row>
    <row r="8412" spans="1:11">
      <c r="A8412" s="12">
        <v>42692</v>
      </c>
      <c r="B8412">
        <v>2016</v>
      </c>
      <c r="C8412">
        <v>11</v>
      </c>
      <c r="D8412" s="11">
        <v>42675</v>
      </c>
      <c r="E8412" t="s">
        <v>2183</v>
      </c>
      <c r="F8412">
        <v>5</v>
      </c>
      <c r="G8412" t="s">
        <v>55</v>
      </c>
      <c r="H8412" t="s">
        <v>42</v>
      </c>
      <c r="I8412" t="s">
        <v>2190</v>
      </c>
      <c r="J8412" s="10">
        <v>6.25</v>
      </c>
      <c r="K8412" t="b">
        <v>1</v>
      </c>
    </row>
    <row r="8413" spans="1:11">
      <c r="A8413" s="12">
        <v>42692</v>
      </c>
      <c r="B8413">
        <v>2016</v>
      </c>
      <c r="C8413">
        <v>11</v>
      </c>
      <c r="D8413" s="11">
        <v>42675</v>
      </c>
      <c r="E8413" t="s">
        <v>2183</v>
      </c>
      <c r="F8413">
        <v>5</v>
      </c>
      <c r="G8413" t="s">
        <v>55</v>
      </c>
      <c r="H8413" t="s">
        <v>43</v>
      </c>
      <c r="I8413" t="s">
        <v>2191</v>
      </c>
      <c r="J8413" s="10">
        <v>31</v>
      </c>
      <c r="K8413" t="b">
        <v>1</v>
      </c>
    </row>
    <row r="8414" spans="1:11">
      <c r="A8414" s="12">
        <v>42692</v>
      </c>
      <c r="B8414">
        <v>2016</v>
      </c>
      <c r="C8414">
        <v>11</v>
      </c>
      <c r="D8414" s="11">
        <v>42675</v>
      </c>
      <c r="E8414" t="s">
        <v>2183</v>
      </c>
      <c r="F8414">
        <v>5</v>
      </c>
      <c r="G8414" t="s">
        <v>55</v>
      </c>
      <c r="H8414" t="s">
        <v>44</v>
      </c>
      <c r="I8414" t="s">
        <v>2192</v>
      </c>
      <c r="J8414" s="10">
        <v>7</v>
      </c>
      <c r="K8414" t="b">
        <v>1</v>
      </c>
    </row>
    <row r="8415" spans="1:11">
      <c r="A8415" s="12">
        <v>42692</v>
      </c>
      <c r="B8415">
        <v>2016</v>
      </c>
      <c r="C8415">
        <v>11</v>
      </c>
      <c r="D8415" s="11">
        <v>42675</v>
      </c>
      <c r="E8415" t="s">
        <v>2183</v>
      </c>
      <c r="F8415">
        <v>5</v>
      </c>
      <c r="G8415" t="s">
        <v>55</v>
      </c>
      <c r="H8415" t="s">
        <v>45</v>
      </c>
      <c r="I8415" t="s">
        <v>2193</v>
      </c>
      <c r="J8415" s="10">
        <v>1</v>
      </c>
      <c r="K8415" t="b">
        <v>1</v>
      </c>
    </row>
    <row r="8416" spans="1:11">
      <c r="A8416" s="12">
        <v>42692</v>
      </c>
      <c r="B8416">
        <v>2016</v>
      </c>
      <c r="C8416">
        <v>11</v>
      </c>
      <c r="D8416" s="11">
        <v>42675</v>
      </c>
      <c r="E8416" t="s">
        <v>2183</v>
      </c>
      <c r="F8416">
        <v>5</v>
      </c>
      <c r="G8416" t="s">
        <v>55</v>
      </c>
      <c r="H8416" t="s">
        <v>46</v>
      </c>
      <c r="I8416" t="s">
        <v>2194</v>
      </c>
      <c r="J8416" s="10">
        <v>2</v>
      </c>
      <c r="K8416" t="b">
        <v>1</v>
      </c>
    </row>
    <row r="8417" spans="1:11">
      <c r="A8417" s="12">
        <v>42692</v>
      </c>
      <c r="B8417">
        <v>2016</v>
      </c>
      <c r="C8417">
        <v>11</v>
      </c>
      <c r="D8417" s="11">
        <v>42675</v>
      </c>
      <c r="E8417" t="s">
        <v>2183</v>
      </c>
      <c r="F8417">
        <v>5</v>
      </c>
      <c r="G8417" t="s">
        <v>55</v>
      </c>
      <c r="H8417" t="s">
        <v>47</v>
      </c>
      <c r="I8417" t="s">
        <v>2195</v>
      </c>
      <c r="J8417" s="10">
        <v>2</v>
      </c>
      <c r="K8417" t="b">
        <v>1</v>
      </c>
    </row>
    <row r="8418" spans="1:11">
      <c r="A8418" s="12">
        <v>42693</v>
      </c>
      <c r="B8418">
        <v>2016</v>
      </c>
      <c r="C8418">
        <v>11</v>
      </c>
      <c r="D8418" s="11">
        <v>42675</v>
      </c>
      <c r="E8418" t="s">
        <v>2183</v>
      </c>
      <c r="F8418">
        <v>6</v>
      </c>
      <c r="G8418" t="s">
        <v>57</v>
      </c>
      <c r="H8418" t="s">
        <v>40</v>
      </c>
      <c r="I8418" t="s">
        <v>2188</v>
      </c>
      <c r="J8418" s="10">
        <v>5</v>
      </c>
      <c r="K8418" t="b">
        <v>1</v>
      </c>
    </row>
    <row r="8419" spans="1:11">
      <c r="A8419" s="12">
        <v>42693</v>
      </c>
      <c r="B8419">
        <v>2016</v>
      </c>
      <c r="C8419">
        <v>11</v>
      </c>
      <c r="D8419" s="11">
        <v>42675</v>
      </c>
      <c r="E8419" t="s">
        <v>2183</v>
      </c>
      <c r="F8419">
        <v>6</v>
      </c>
      <c r="G8419" t="s">
        <v>57</v>
      </c>
      <c r="H8419" t="s">
        <v>41</v>
      </c>
      <c r="I8419" t="s">
        <v>2189</v>
      </c>
      <c r="J8419" s="10">
        <v>2.7</v>
      </c>
      <c r="K8419" t="b">
        <v>1</v>
      </c>
    </row>
    <row r="8420" spans="1:11">
      <c r="A8420" s="12">
        <v>42693</v>
      </c>
      <c r="B8420">
        <v>2016</v>
      </c>
      <c r="C8420">
        <v>11</v>
      </c>
      <c r="D8420" s="11">
        <v>42675</v>
      </c>
      <c r="E8420" t="s">
        <v>2183</v>
      </c>
      <c r="F8420">
        <v>6</v>
      </c>
      <c r="G8420" t="s">
        <v>57</v>
      </c>
      <c r="H8420" t="s">
        <v>42</v>
      </c>
      <c r="I8420" t="s">
        <v>2190</v>
      </c>
      <c r="J8420" s="10">
        <v>4</v>
      </c>
      <c r="K8420" t="b">
        <v>1</v>
      </c>
    </row>
    <row r="8421" spans="1:11">
      <c r="A8421" s="12">
        <v>42693</v>
      </c>
      <c r="B8421">
        <v>2016</v>
      </c>
      <c r="C8421">
        <v>11</v>
      </c>
      <c r="D8421" s="11">
        <v>42675</v>
      </c>
      <c r="E8421" t="s">
        <v>2183</v>
      </c>
      <c r="F8421">
        <v>6</v>
      </c>
      <c r="G8421" t="s">
        <v>57</v>
      </c>
      <c r="H8421" t="s">
        <v>43</v>
      </c>
      <c r="I8421" t="s">
        <v>2191</v>
      </c>
      <c r="J8421" s="10">
        <v>35.4</v>
      </c>
      <c r="K8421" t="b">
        <v>1</v>
      </c>
    </row>
    <row r="8422" spans="1:11">
      <c r="A8422" s="12">
        <v>42693</v>
      </c>
      <c r="B8422">
        <v>2016</v>
      </c>
      <c r="C8422">
        <v>11</v>
      </c>
      <c r="D8422" s="11">
        <v>42675</v>
      </c>
      <c r="E8422" t="s">
        <v>2183</v>
      </c>
      <c r="F8422">
        <v>6</v>
      </c>
      <c r="G8422" t="s">
        <v>57</v>
      </c>
      <c r="H8422" t="s">
        <v>44</v>
      </c>
      <c r="I8422" t="s">
        <v>2192</v>
      </c>
      <c r="J8422" s="10">
        <v>3</v>
      </c>
      <c r="K8422" t="b">
        <v>1</v>
      </c>
    </row>
    <row r="8423" spans="1:11">
      <c r="A8423" s="12">
        <v>42693</v>
      </c>
      <c r="B8423">
        <v>2016</v>
      </c>
      <c r="C8423">
        <v>11</v>
      </c>
      <c r="D8423" s="11">
        <v>42675</v>
      </c>
      <c r="E8423" t="s">
        <v>2183</v>
      </c>
      <c r="F8423">
        <v>6</v>
      </c>
      <c r="G8423" t="s">
        <v>57</v>
      </c>
      <c r="H8423" t="s">
        <v>45</v>
      </c>
      <c r="I8423" t="s">
        <v>2193</v>
      </c>
      <c r="J8423" s="10">
        <v>0</v>
      </c>
      <c r="K8423" t="b">
        <v>1</v>
      </c>
    </row>
    <row r="8424" spans="1:11">
      <c r="A8424" s="12">
        <v>42693</v>
      </c>
      <c r="B8424">
        <v>2016</v>
      </c>
      <c r="C8424">
        <v>11</v>
      </c>
      <c r="D8424" s="11">
        <v>42675</v>
      </c>
      <c r="E8424" t="s">
        <v>2183</v>
      </c>
      <c r="F8424">
        <v>6</v>
      </c>
      <c r="G8424" t="s">
        <v>57</v>
      </c>
      <c r="H8424" t="s">
        <v>46</v>
      </c>
      <c r="I8424" t="s">
        <v>2194</v>
      </c>
      <c r="J8424" s="10">
        <v>3</v>
      </c>
      <c r="K8424" t="b">
        <v>1</v>
      </c>
    </row>
    <row r="8425" spans="1:11">
      <c r="A8425" s="12">
        <v>42693</v>
      </c>
      <c r="B8425">
        <v>2016</v>
      </c>
      <c r="C8425">
        <v>11</v>
      </c>
      <c r="D8425" s="11">
        <v>42675</v>
      </c>
      <c r="E8425" t="s">
        <v>2183</v>
      </c>
      <c r="F8425">
        <v>6</v>
      </c>
      <c r="G8425" t="s">
        <v>57</v>
      </c>
      <c r="H8425" t="s">
        <v>47</v>
      </c>
      <c r="I8425" t="s">
        <v>2195</v>
      </c>
      <c r="J8425" s="10">
        <v>2</v>
      </c>
      <c r="K8425" t="b">
        <v>1</v>
      </c>
    </row>
    <row r="8426" spans="1:11">
      <c r="A8426" s="12">
        <v>42694</v>
      </c>
      <c r="B8426">
        <v>2016</v>
      </c>
      <c r="C8426">
        <v>11</v>
      </c>
      <c r="D8426" s="11">
        <v>42675</v>
      </c>
      <c r="E8426" t="s">
        <v>2183</v>
      </c>
      <c r="F8426">
        <v>7</v>
      </c>
      <c r="G8426" t="s">
        <v>59</v>
      </c>
      <c r="H8426" t="s">
        <v>40</v>
      </c>
      <c r="I8426" t="s">
        <v>2188</v>
      </c>
      <c r="J8426" s="10">
        <v>7</v>
      </c>
      <c r="K8426" t="b">
        <v>1</v>
      </c>
    </row>
    <row r="8427" spans="1:11">
      <c r="A8427" s="12">
        <v>42694</v>
      </c>
      <c r="B8427">
        <v>2016</v>
      </c>
      <c r="C8427">
        <v>11</v>
      </c>
      <c r="D8427" s="11">
        <v>42675</v>
      </c>
      <c r="E8427" t="s">
        <v>2183</v>
      </c>
      <c r="F8427">
        <v>7</v>
      </c>
      <c r="G8427" t="s">
        <v>59</v>
      </c>
      <c r="H8427" t="s">
        <v>41</v>
      </c>
      <c r="I8427" t="s">
        <v>2189</v>
      </c>
      <c r="J8427" s="10">
        <v>4.34</v>
      </c>
      <c r="K8427" t="b">
        <v>1</v>
      </c>
    </row>
    <row r="8428" spans="1:11">
      <c r="A8428" s="12">
        <v>42694</v>
      </c>
      <c r="B8428">
        <v>2016</v>
      </c>
      <c r="C8428">
        <v>11</v>
      </c>
      <c r="D8428" s="11">
        <v>42675</v>
      </c>
      <c r="E8428" t="s">
        <v>2183</v>
      </c>
      <c r="F8428">
        <v>7</v>
      </c>
      <c r="G8428" t="s">
        <v>59</v>
      </c>
      <c r="H8428" t="s">
        <v>42</v>
      </c>
      <c r="I8428" t="s">
        <v>2190</v>
      </c>
      <c r="J8428" s="10">
        <v>5</v>
      </c>
      <c r="K8428" t="b">
        <v>1</v>
      </c>
    </row>
    <row r="8429" spans="1:11">
      <c r="A8429" s="12">
        <v>42694</v>
      </c>
      <c r="B8429">
        <v>2016</v>
      </c>
      <c r="C8429">
        <v>11</v>
      </c>
      <c r="D8429" s="11">
        <v>42675</v>
      </c>
      <c r="E8429" t="s">
        <v>2183</v>
      </c>
      <c r="F8429">
        <v>7</v>
      </c>
      <c r="G8429" t="s">
        <v>59</v>
      </c>
      <c r="H8429" t="s">
        <v>43</v>
      </c>
      <c r="I8429" t="s">
        <v>2191</v>
      </c>
      <c r="J8429" s="10">
        <v>25.5</v>
      </c>
      <c r="K8429" t="b">
        <v>1</v>
      </c>
    </row>
    <row r="8430" spans="1:11">
      <c r="A8430" s="12">
        <v>42694</v>
      </c>
      <c r="B8430">
        <v>2016</v>
      </c>
      <c r="C8430">
        <v>11</v>
      </c>
      <c r="D8430" s="11">
        <v>42675</v>
      </c>
      <c r="E8430" t="s">
        <v>2183</v>
      </c>
      <c r="F8430">
        <v>7</v>
      </c>
      <c r="G8430" t="s">
        <v>59</v>
      </c>
      <c r="H8430" t="s">
        <v>44</v>
      </c>
      <c r="I8430" t="s">
        <v>2192</v>
      </c>
      <c r="J8430" s="10">
        <v>3</v>
      </c>
      <c r="K8430" t="b">
        <v>1</v>
      </c>
    </row>
    <row r="8431" spans="1:11">
      <c r="A8431" s="12">
        <v>42694</v>
      </c>
      <c r="B8431">
        <v>2016</v>
      </c>
      <c r="C8431">
        <v>11</v>
      </c>
      <c r="D8431" s="11">
        <v>42675</v>
      </c>
      <c r="E8431" t="s">
        <v>2183</v>
      </c>
      <c r="F8431">
        <v>7</v>
      </c>
      <c r="G8431" t="s">
        <v>59</v>
      </c>
      <c r="H8431" t="s">
        <v>45</v>
      </c>
      <c r="I8431" t="s">
        <v>2193</v>
      </c>
      <c r="J8431" s="10">
        <v>0</v>
      </c>
      <c r="K8431" t="b">
        <v>1</v>
      </c>
    </row>
    <row r="8432" spans="1:11">
      <c r="A8432" s="12">
        <v>42694</v>
      </c>
      <c r="B8432">
        <v>2016</v>
      </c>
      <c r="C8432">
        <v>11</v>
      </c>
      <c r="D8432" s="11">
        <v>42675</v>
      </c>
      <c r="E8432" t="s">
        <v>2183</v>
      </c>
      <c r="F8432">
        <v>7</v>
      </c>
      <c r="G8432" t="s">
        <v>59</v>
      </c>
      <c r="H8432" t="s">
        <v>46</v>
      </c>
      <c r="I8432" t="s">
        <v>2194</v>
      </c>
      <c r="J8432" s="10">
        <v>0</v>
      </c>
      <c r="K8432" t="b">
        <v>1</v>
      </c>
    </row>
    <row r="8433" spans="1:11">
      <c r="A8433" s="12">
        <v>42694</v>
      </c>
      <c r="B8433">
        <v>2016</v>
      </c>
      <c r="C8433">
        <v>11</v>
      </c>
      <c r="D8433" s="11">
        <v>42675</v>
      </c>
      <c r="E8433" t="s">
        <v>2183</v>
      </c>
      <c r="F8433">
        <v>7</v>
      </c>
      <c r="G8433" t="s">
        <v>59</v>
      </c>
      <c r="H8433" t="s">
        <v>47</v>
      </c>
      <c r="I8433" t="s">
        <v>2195</v>
      </c>
      <c r="J8433" s="10">
        <v>2</v>
      </c>
      <c r="K8433" t="b">
        <v>1</v>
      </c>
    </row>
    <row r="8434" spans="1:11">
      <c r="A8434" s="12">
        <v>42695</v>
      </c>
      <c r="B8434">
        <v>2016</v>
      </c>
      <c r="C8434">
        <v>11</v>
      </c>
      <c r="D8434" s="11">
        <v>42675</v>
      </c>
      <c r="E8434" t="s">
        <v>2183</v>
      </c>
      <c r="F8434">
        <v>1</v>
      </c>
      <c r="G8434" t="s">
        <v>61</v>
      </c>
      <c r="H8434" t="s">
        <v>40</v>
      </c>
      <c r="I8434" t="s">
        <v>2188</v>
      </c>
      <c r="J8434" s="10">
        <v>1.34</v>
      </c>
      <c r="K8434" t="b">
        <v>1</v>
      </c>
    </row>
    <row r="8435" spans="1:11">
      <c r="A8435" s="12">
        <v>42695</v>
      </c>
      <c r="B8435">
        <v>2016</v>
      </c>
      <c r="C8435">
        <v>11</v>
      </c>
      <c r="D8435" s="11">
        <v>42675</v>
      </c>
      <c r="E8435" t="s">
        <v>2183</v>
      </c>
      <c r="F8435">
        <v>1</v>
      </c>
      <c r="G8435" t="s">
        <v>61</v>
      </c>
      <c r="H8435" t="s">
        <v>41</v>
      </c>
      <c r="I8435" t="s">
        <v>2189</v>
      </c>
      <c r="J8435" s="10">
        <v>3.34</v>
      </c>
      <c r="K8435" t="b">
        <v>1</v>
      </c>
    </row>
    <row r="8436" spans="1:11">
      <c r="A8436" s="12">
        <v>42695</v>
      </c>
      <c r="B8436">
        <v>2016</v>
      </c>
      <c r="C8436">
        <v>11</v>
      </c>
      <c r="D8436" s="11">
        <v>42675</v>
      </c>
      <c r="E8436" t="s">
        <v>2183</v>
      </c>
      <c r="F8436">
        <v>1</v>
      </c>
      <c r="G8436" t="s">
        <v>61</v>
      </c>
      <c r="H8436" t="s">
        <v>42</v>
      </c>
      <c r="I8436" t="s">
        <v>2190</v>
      </c>
      <c r="J8436" s="10">
        <v>5.25</v>
      </c>
      <c r="K8436" t="b">
        <v>1</v>
      </c>
    </row>
    <row r="8437" spans="1:11">
      <c r="A8437" s="12">
        <v>42695</v>
      </c>
      <c r="B8437">
        <v>2016</v>
      </c>
      <c r="C8437">
        <v>11</v>
      </c>
      <c r="D8437" s="11">
        <v>42675</v>
      </c>
      <c r="E8437" t="s">
        <v>2183</v>
      </c>
      <c r="F8437">
        <v>1</v>
      </c>
      <c r="G8437" t="s">
        <v>61</v>
      </c>
      <c r="H8437" t="s">
        <v>43</v>
      </c>
      <c r="I8437" t="s">
        <v>2191</v>
      </c>
      <c r="J8437" s="10">
        <v>30</v>
      </c>
      <c r="K8437" t="b">
        <v>1</v>
      </c>
    </row>
    <row r="8438" spans="1:11">
      <c r="A8438" s="12">
        <v>42695</v>
      </c>
      <c r="B8438">
        <v>2016</v>
      </c>
      <c r="C8438">
        <v>11</v>
      </c>
      <c r="D8438" s="11">
        <v>42675</v>
      </c>
      <c r="E8438" t="s">
        <v>2183</v>
      </c>
      <c r="F8438">
        <v>1</v>
      </c>
      <c r="G8438" t="s">
        <v>61</v>
      </c>
      <c r="H8438" t="s">
        <v>44</v>
      </c>
      <c r="I8438" t="s">
        <v>2192</v>
      </c>
      <c r="J8438" s="10">
        <v>1</v>
      </c>
      <c r="K8438" t="b">
        <v>1</v>
      </c>
    </row>
    <row r="8439" spans="1:11">
      <c r="A8439" s="12">
        <v>42695</v>
      </c>
      <c r="B8439">
        <v>2016</v>
      </c>
      <c r="C8439">
        <v>11</v>
      </c>
      <c r="D8439" s="11">
        <v>42675</v>
      </c>
      <c r="E8439" t="s">
        <v>2183</v>
      </c>
      <c r="F8439">
        <v>1</v>
      </c>
      <c r="G8439" t="s">
        <v>61</v>
      </c>
      <c r="H8439" t="s">
        <v>45</v>
      </c>
      <c r="I8439" t="s">
        <v>2193</v>
      </c>
      <c r="J8439" s="10">
        <v>0</v>
      </c>
      <c r="K8439" t="b">
        <v>1</v>
      </c>
    </row>
    <row r="8440" spans="1:11">
      <c r="A8440" s="12">
        <v>42695</v>
      </c>
      <c r="B8440">
        <v>2016</v>
      </c>
      <c r="C8440">
        <v>11</v>
      </c>
      <c r="D8440" s="11">
        <v>42675</v>
      </c>
      <c r="E8440" t="s">
        <v>2183</v>
      </c>
      <c r="F8440">
        <v>1</v>
      </c>
      <c r="G8440" t="s">
        <v>61</v>
      </c>
      <c r="H8440" t="s">
        <v>46</v>
      </c>
      <c r="I8440" t="s">
        <v>2194</v>
      </c>
      <c r="J8440" s="10">
        <v>13</v>
      </c>
      <c r="K8440" t="b">
        <v>1</v>
      </c>
    </row>
    <row r="8441" spans="1:11">
      <c r="A8441" s="12">
        <v>42695</v>
      </c>
      <c r="B8441">
        <v>2016</v>
      </c>
      <c r="C8441">
        <v>11</v>
      </c>
      <c r="D8441" s="11">
        <v>42675</v>
      </c>
      <c r="E8441" t="s">
        <v>2183</v>
      </c>
      <c r="F8441">
        <v>1</v>
      </c>
      <c r="G8441" t="s">
        <v>61</v>
      </c>
      <c r="H8441" t="s">
        <v>47</v>
      </c>
      <c r="I8441" t="s">
        <v>2195</v>
      </c>
      <c r="J8441" s="10">
        <v>3</v>
      </c>
      <c r="K8441" t="b">
        <v>1</v>
      </c>
    </row>
    <row r="8442" spans="1:11">
      <c r="A8442" s="12">
        <v>42696</v>
      </c>
      <c r="B8442">
        <v>2016</v>
      </c>
      <c r="C8442">
        <v>11</v>
      </c>
      <c r="D8442" s="11">
        <v>42675</v>
      </c>
      <c r="E8442" t="s">
        <v>2183</v>
      </c>
      <c r="F8442">
        <v>2</v>
      </c>
      <c r="G8442" t="s">
        <v>63</v>
      </c>
      <c r="H8442" t="s">
        <v>40</v>
      </c>
      <c r="I8442" t="s">
        <v>2188</v>
      </c>
      <c r="J8442" s="10">
        <v>4.01</v>
      </c>
      <c r="K8442" t="b">
        <v>1</v>
      </c>
    </row>
    <row r="8443" spans="1:11">
      <c r="A8443" s="12">
        <v>42696</v>
      </c>
      <c r="B8443">
        <v>2016</v>
      </c>
      <c r="C8443">
        <v>11</v>
      </c>
      <c r="D8443" s="11">
        <v>42675</v>
      </c>
      <c r="E8443" t="s">
        <v>2183</v>
      </c>
      <c r="F8443">
        <v>2</v>
      </c>
      <c r="G8443" t="s">
        <v>63</v>
      </c>
      <c r="H8443" t="s">
        <v>41</v>
      </c>
      <c r="I8443" t="s">
        <v>2189</v>
      </c>
      <c r="J8443" s="10">
        <v>4.703</v>
      </c>
      <c r="K8443" t="b">
        <v>1</v>
      </c>
    </row>
    <row r="8444" spans="1:11">
      <c r="A8444" s="12">
        <v>42696</v>
      </c>
      <c r="B8444">
        <v>2016</v>
      </c>
      <c r="C8444">
        <v>11</v>
      </c>
      <c r="D8444" s="11">
        <v>42675</v>
      </c>
      <c r="E8444" t="s">
        <v>2183</v>
      </c>
      <c r="F8444">
        <v>2</v>
      </c>
      <c r="G8444" t="s">
        <v>63</v>
      </c>
      <c r="H8444" t="s">
        <v>42</v>
      </c>
      <c r="I8444" t="s">
        <v>2190</v>
      </c>
      <c r="J8444" s="10">
        <v>1.1</v>
      </c>
      <c r="K8444" t="b">
        <v>1</v>
      </c>
    </row>
    <row r="8445" spans="1:11">
      <c r="A8445" s="12">
        <v>42696</v>
      </c>
      <c r="B8445">
        <v>2016</v>
      </c>
      <c r="C8445">
        <v>11</v>
      </c>
      <c r="D8445" s="11">
        <v>42675</v>
      </c>
      <c r="E8445" t="s">
        <v>2183</v>
      </c>
      <c r="F8445">
        <v>2</v>
      </c>
      <c r="G8445" t="s">
        <v>63</v>
      </c>
      <c r="H8445" t="s">
        <v>43</v>
      </c>
      <c r="I8445" t="s">
        <v>2191</v>
      </c>
      <c r="J8445" s="10">
        <v>23</v>
      </c>
      <c r="K8445" t="b">
        <v>1</v>
      </c>
    </row>
    <row r="8446" spans="1:11">
      <c r="A8446" s="12">
        <v>42696</v>
      </c>
      <c r="B8446">
        <v>2016</v>
      </c>
      <c r="C8446">
        <v>11</v>
      </c>
      <c r="D8446" s="11">
        <v>42675</v>
      </c>
      <c r="E8446" t="s">
        <v>2183</v>
      </c>
      <c r="F8446">
        <v>2</v>
      </c>
      <c r="G8446" t="s">
        <v>63</v>
      </c>
      <c r="H8446" t="s">
        <v>44</v>
      </c>
      <c r="I8446" t="s">
        <v>2192</v>
      </c>
      <c r="J8446" s="10">
        <v>3</v>
      </c>
      <c r="K8446" t="b">
        <v>1</v>
      </c>
    </row>
    <row r="8447" spans="1:11">
      <c r="A8447" s="12">
        <v>42696</v>
      </c>
      <c r="B8447">
        <v>2016</v>
      </c>
      <c r="C8447">
        <v>11</v>
      </c>
      <c r="D8447" s="11">
        <v>42675</v>
      </c>
      <c r="E8447" t="s">
        <v>2183</v>
      </c>
      <c r="F8447">
        <v>2</v>
      </c>
      <c r="G8447" t="s">
        <v>63</v>
      </c>
      <c r="H8447" t="s">
        <v>45</v>
      </c>
      <c r="I8447" t="s">
        <v>2193</v>
      </c>
      <c r="J8447" s="10">
        <v>2</v>
      </c>
      <c r="K8447" t="b">
        <v>1</v>
      </c>
    </row>
    <row r="8448" spans="1:11">
      <c r="A8448" s="12">
        <v>42696</v>
      </c>
      <c r="B8448">
        <v>2016</v>
      </c>
      <c r="C8448">
        <v>11</v>
      </c>
      <c r="D8448" s="11">
        <v>42675</v>
      </c>
      <c r="E8448" t="s">
        <v>2183</v>
      </c>
      <c r="F8448">
        <v>2</v>
      </c>
      <c r="G8448" t="s">
        <v>63</v>
      </c>
      <c r="H8448" t="s">
        <v>46</v>
      </c>
      <c r="I8448" t="s">
        <v>2194</v>
      </c>
      <c r="J8448" s="10">
        <v>7</v>
      </c>
      <c r="K8448" t="b">
        <v>1</v>
      </c>
    </row>
    <row r="8449" spans="1:11">
      <c r="A8449" s="12">
        <v>42696</v>
      </c>
      <c r="B8449">
        <v>2016</v>
      </c>
      <c r="C8449">
        <v>11</v>
      </c>
      <c r="D8449" s="11">
        <v>42675</v>
      </c>
      <c r="E8449" t="s">
        <v>2183</v>
      </c>
      <c r="F8449">
        <v>2</v>
      </c>
      <c r="G8449" t="s">
        <v>63</v>
      </c>
      <c r="H8449" t="s">
        <v>47</v>
      </c>
      <c r="I8449" t="s">
        <v>2195</v>
      </c>
      <c r="J8449" s="10">
        <v>2</v>
      </c>
      <c r="K8449" t="b">
        <v>1</v>
      </c>
    </row>
    <row r="8450" spans="1:11">
      <c r="A8450" s="12">
        <v>42697</v>
      </c>
      <c r="B8450">
        <v>2016</v>
      </c>
      <c r="C8450">
        <v>11</v>
      </c>
      <c r="D8450" s="11">
        <v>42675</v>
      </c>
      <c r="E8450" t="s">
        <v>2183</v>
      </c>
      <c r="F8450">
        <v>3</v>
      </c>
      <c r="G8450" t="s">
        <v>65</v>
      </c>
      <c r="H8450" t="s">
        <v>40</v>
      </c>
      <c r="I8450" t="s">
        <v>2188</v>
      </c>
      <c r="J8450" s="10">
        <v>3</v>
      </c>
      <c r="K8450" t="b">
        <v>1</v>
      </c>
    </row>
    <row r="8451" spans="1:11">
      <c r="A8451" s="12">
        <v>42697</v>
      </c>
      <c r="B8451">
        <v>2016</v>
      </c>
      <c r="C8451">
        <v>11</v>
      </c>
      <c r="D8451" s="11">
        <v>42675</v>
      </c>
      <c r="E8451" t="s">
        <v>2183</v>
      </c>
      <c r="F8451">
        <v>3</v>
      </c>
      <c r="G8451" t="s">
        <v>65</v>
      </c>
      <c r="H8451" t="s">
        <v>41</v>
      </c>
      <c r="I8451" t="s">
        <v>2189</v>
      </c>
      <c r="J8451" s="10">
        <v>4.33</v>
      </c>
      <c r="K8451" t="b">
        <v>1</v>
      </c>
    </row>
    <row r="8452" spans="1:11">
      <c r="A8452" s="12">
        <v>42697</v>
      </c>
      <c r="B8452">
        <v>2016</v>
      </c>
      <c r="C8452">
        <v>11</v>
      </c>
      <c r="D8452" s="11">
        <v>42675</v>
      </c>
      <c r="E8452" t="s">
        <v>2183</v>
      </c>
      <c r="F8452">
        <v>3</v>
      </c>
      <c r="G8452" t="s">
        <v>65</v>
      </c>
      <c r="H8452" t="s">
        <v>42</v>
      </c>
      <c r="I8452" t="s">
        <v>2190</v>
      </c>
      <c r="J8452" s="10">
        <v>3.7</v>
      </c>
      <c r="K8452" t="b">
        <v>1</v>
      </c>
    </row>
    <row r="8453" spans="1:11">
      <c r="A8453" s="12">
        <v>42697</v>
      </c>
      <c r="B8453">
        <v>2016</v>
      </c>
      <c r="C8453">
        <v>11</v>
      </c>
      <c r="D8453" s="11">
        <v>42675</v>
      </c>
      <c r="E8453" t="s">
        <v>2183</v>
      </c>
      <c r="F8453">
        <v>3</v>
      </c>
      <c r="G8453" t="s">
        <v>65</v>
      </c>
      <c r="H8453" t="s">
        <v>43</v>
      </c>
      <c r="I8453" t="s">
        <v>2191</v>
      </c>
      <c r="J8453" s="10">
        <v>44.124</v>
      </c>
      <c r="K8453" t="b">
        <v>1</v>
      </c>
    </row>
    <row r="8454" spans="1:11">
      <c r="A8454" s="12">
        <v>42697</v>
      </c>
      <c r="B8454">
        <v>2016</v>
      </c>
      <c r="C8454">
        <v>11</v>
      </c>
      <c r="D8454" s="11">
        <v>42675</v>
      </c>
      <c r="E8454" t="s">
        <v>2183</v>
      </c>
      <c r="F8454">
        <v>3</v>
      </c>
      <c r="G8454" t="s">
        <v>65</v>
      </c>
      <c r="H8454" t="s">
        <v>44</v>
      </c>
      <c r="I8454" t="s">
        <v>2192</v>
      </c>
      <c r="J8454" s="10">
        <v>5</v>
      </c>
      <c r="K8454" t="b">
        <v>1</v>
      </c>
    </row>
    <row r="8455" spans="1:11">
      <c r="A8455" s="12">
        <v>42697</v>
      </c>
      <c r="B8455">
        <v>2016</v>
      </c>
      <c r="C8455">
        <v>11</v>
      </c>
      <c r="D8455" s="11">
        <v>42675</v>
      </c>
      <c r="E8455" t="s">
        <v>2183</v>
      </c>
      <c r="F8455">
        <v>3</v>
      </c>
      <c r="G8455" t="s">
        <v>65</v>
      </c>
      <c r="H8455" t="s">
        <v>45</v>
      </c>
      <c r="I8455" t="s">
        <v>2193</v>
      </c>
      <c r="J8455" s="10">
        <v>0</v>
      </c>
      <c r="K8455" t="b">
        <v>1</v>
      </c>
    </row>
    <row r="8456" spans="1:11">
      <c r="A8456" s="12">
        <v>42697</v>
      </c>
      <c r="B8456">
        <v>2016</v>
      </c>
      <c r="C8456">
        <v>11</v>
      </c>
      <c r="D8456" s="11">
        <v>42675</v>
      </c>
      <c r="E8456" t="s">
        <v>2183</v>
      </c>
      <c r="F8456">
        <v>3</v>
      </c>
      <c r="G8456" t="s">
        <v>65</v>
      </c>
      <c r="H8456" t="s">
        <v>46</v>
      </c>
      <c r="I8456" t="s">
        <v>2194</v>
      </c>
      <c r="J8456" s="10">
        <v>0</v>
      </c>
      <c r="K8456" t="b">
        <v>1</v>
      </c>
    </row>
    <row r="8457" spans="1:11">
      <c r="A8457" s="12">
        <v>42697</v>
      </c>
      <c r="B8457">
        <v>2016</v>
      </c>
      <c r="C8457">
        <v>11</v>
      </c>
      <c r="D8457" s="11">
        <v>42675</v>
      </c>
      <c r="E8457" t="s">
        <v>2183</v>
      </c>
      <c r="F8457">
        <v>3</v>
      </c>
      <c r="G8457" t="s">
        <v>65</v>
      </c>
      <c r="H8457" t="s">
        <v>47</v>
      </c>
      <c r="I8457" t="s">
        <v>2195</v>
      </c>
      <c r="J8457" s="10">
        <v>1</v>
      </c>
      <c r="K8457" t="b">
        <v>1</v>
      </c>
    </row>
    <row r="8458" spans="1:11">
      <c r="A8458" s="12">
        <v>42698</v>
      </c>
      <c r="B8458">
        <v>2016</v>
      </c>
      <c r="C8458">
        <v>11</v>
      </c>
      <c r="D8458" s="11">
        <v>42675</v>
      </c>
      <c r="E8458" t="s">
        <v>2183</v>
      </c>
      <c r="F8458">
        <v>4</v>
      </c>
      <c r="G8458" t="s">
        <v>53</v>
      </c>
      <c r="H8458" t="s">
        <v>40</v>
      </c>
      <c r="I8458" t="s">
        <v>2188</v>
      </c>
      <c r="J8458" s="10">
        <v>8.67</v>
      </c>
      <c r="K8458" t="b">
        <v>1</v>
      </c>
    </row>
    <row r="8459" spans="1:11">
      <c r="A8459" s="12">
        <v>42698</v>
      </c>
      <c r="B8459">
        <v>2016</v>
      </c>
      <c r="C8459">
        <v>11</v>
      </c>
      <c r="D8459" s="11">
        <v>42675</v>
      </c>
      <c r="E8459" t="s">
        <v>2183</v>
      </c>
      <c r="F8459">
        <v>4</v>
      </c>
      <c r="G8459" t="s">
        <v>53</v>
      </c>
      <c r="H8459" t="s">
        <v>41</v>
      </c>
      <c r="I8459" t="s">
        <v>2189</v>
      </c>
      <c r="J8459" s="10">
        <v>4.333</v>
      </c>
      <c r="K8459" t="b">
        <v>1</v>
      </c>
    </row>
    <row r="8460" spans="1:11">
      <c r="A8460" s="12">
        <v>42698</v>
      </c>
      <c r="B8460">
        <v>2016</v>
      </c>
      <c r="C8460">
        <v>11</v>
      </c>
      <c r="D8460" s="11">
        <v>42675</v>
      </c>
      <c r="E8460" t="s">
        <v>2183</v>
      </c>
      <c r="F8460">
        <v>4</v>
      </c>
      <c r="G8460" t="s">
        <v>53</v>
      </c>
      <c r="H8460" t="s">
        <v>42</v>
      </c>
      <c r="I8460" t="s">
        <v>2190</v>
      </c>
      <c r="J8460" s="10">
        <v>6</v>
      </c>
      <c r="K8460" t="b">
        <v>1</v>
      </c>
    </row>
    <row r="8461" spans="1:11">
      <c r="A8461" s="12">
        <v>42698</v>
      </c>
      <c r="B8461">
        <v>2016</v>
      </c>
      <c r="C8461">
        <v>11</v>
      </c>
      <c r="D8461" s="11">
        <v>42675</v>
      </c>
      <c r="E8461" t="s">
        <v>2183</v>
      </c>
      <c r="F8461">
        <v>4</v>
      </c>
      <c r="G8461" t="s">
        <v>53</v>
      </c>
      <c r="H8461" t="s">
        <v>43</v>
      </c>
      <c r="I8461" t="s">
        <v>2191</v>
      </c>
      <c r="J8461" s="10">
        <v>28</v>
      </c>
      <c r="K8461" t="b">
        <v>1</v>
      </c>
    </row>
    <row r="8462" spans="1:11">
      <c r="A8462" s="12">
        <v>42698</v>
      </c>
      <c r="B8462">
        <v>2016</v>
      </c>
      <c r="C8462">
        <v>11</v>
      </c>
      <c r="D8462" s="11">
        <v>42675</v>
      </c>
      <c r="E8462" t="s">
        <v>2183</v>
      </c>
      <c r="F8462">
        <v>4</v>
      </c>
      <c r="G8462" t="s">
        <v>53</v>
      </c>
      <c r="H8462" t="s">
        <v>44</v>
      </c>
      <c r="I8462" t="s">
        <v>2192</v>
      </c>
      <c r="J8462" s="10">
        <v>2</v>
      </c>
      <c r="K8462" t="b">
        <v>1</v>
      </c>
    </row>
    <row r="8463" spans="1:11">
      <c r="A8463" s="12">
        <v>42698</v>
      </c>
      <c r="B8463">
        <v>2016</v>
      </c>
      <c r="C8463">
        <v>11</v>
      </c>
      <c r="D8463" s="11">
        <v>42675</v>
      </c>
      <c r="E8463" t="s">
        <v>2183</v>
      </c>
      <c r="F8463">
        <v>4</v>
      </c>
      <c r="G8463" t="s">
        <v>53</v>
      </c>
      <c r="H8463" t="s">
        <v>45</v>
      </c>
      <c r="I8463" t="s">
        <v>2193</v>
      </c>
      <c r="J8463" s="10">
        <v>0</v>
      </c>
      <c r="K8463" t="b">
        <v>1</v>
      </c>
    </row>
    <row r="8464" spans="1:11">
      <c r="A8464" s="12">
        <v>42698</v>
      </c>
      <c r="B8464">
        <v>2016</v>
      </c>
      <c r="C8464">
        <v>11</v>
      </c>
      <c r="D8464" s="11">
        <v>42675</v>
      </c>
      <c r="E8464" t="s">
        <v>2183</v>
      </c>
      <c r="F8464">
        <v>4</v>
      </c>
      <c r="G8464" t="s">
        <v>53</v>
      </c>
      <c r="H8464" t="s">
        <v>46</v>
      </c>
      <c r="I8464" t="s">
        <v>2194</v>
      </c>
      <c r="J8464" s="10">
        <v>10</v>
      </c>
      <c r="K8464" t="b">
        <v>1</v>
      </c>
    </row>
    <row r="8465" spans="1:11">
      <c r="A8465" s="12">
        <v>42698</v>
      </c>
      <c r="B8465">
        <v>2016</v>
      </c>
      <c r="C8465">
        <v>11</v>
      </c>
      <c r="D8465" s="11">
        <v>42675</v>
      </c>
      <c r="E8465" t="s">
        <v>2183</v>
      </c>
      <c r="F8465">
        <v>4</v>
      </c>
      <c r="G8465" t="s">
        <v>53</v>
      </c>
      <c r="H8465" t="s">
        <v>47</v>
      </c>
      <c r="I8465" t="s">
        <v>2195</v>
      </c>
      <c r="J8465" s="10">
        <v>3</v>
      </c>
      <c r="K8465" t="b">
        <v>1</v>
      </c>
    </row>
    <row r="8466" spans="1:11">
      <c r="A8466" s="12">
        <v>42699</v>
      </c>
      <c r="B8466">
        <v>2016</v>
      </c>
      <c r="C8466">
        <v>11</v>
      </c>
      <c r="D8466" s="11">
        <v>42675</v>
      </c>
      <c r="E8466" t="s">
        <v>2183</v>
      </c>
      <c r="F8466">
        <v>5</v>
      </c>
      <c r="G8466" t="s">
        <v>55</v>
      </c>
      <c r="H8466" t="s">
        <v>40</v>
      </c>
      <c r="I8466" t="s">
        <v>2188</v>
      </c>
      <c r="J8466" s="10">
        <v>7.34</v>
      </c>
      <c r="K8466" t="b">
        <v>1</v>
      </c>
    </row>
    <row r="8467" spans="1:11">
      <c r="A8467" s="12">
        <v>42699</v>
      </c>
      <c r="B8467">
        <v>2016</v>
      </c>
      <c r="C8467">
        <v>11</v>
      </c>
      <c r="D8467" s="11">
        <v>42675</v>
      </c>
      <c r="E8467" t="s">
        <v>2183</v>
      </c>
      <c r="F8467">
        <v>5</v>
      </c>
      <c r="G8467" t="s">
        <v>55</v>
      </c>
      <c r="H8467" t="s">
        <v>41</v>
      </c>
      <c r="I8467" t="s">
        <v>2189</v>
      </c>
      <c r="J8467" s="10">
        <v>5</v>
      </c>
      <c r="K8467" t="b">
        <v>1</v>
      </c>
    </row>
    <row r="8468" spans="1:11">
      <c r="A8468" s="12">
        <v>42699</v>
      </c>
      <c r="B8468">
        <v>2016</v>
      </c>
      <c r="C8468">
        <v>11</v>
      </c>
      <c r="D8468" s="11">
        <v>42675</v>
      </c>
      <c r="E8468" t="s">
        <v>2183</v>
      </c>
      <c r="F8468">
        <v>5</v>
      </c>
      <c r="G8468" t="s">
        <v>55</v>
      </c>
      <c r="H8468" t="s">
        <v>42</v>
      </c>
      <c r="I8468" t="s">
        <v>2190</v>
      </c>
      <c r="J8468" s="10">
        <v>7</v>
      </c>
      <c r="K8468" t="b">
        <v>1</v>
      </c>
    </row>
    <row r="8469" spans="1:11">
      <c r="A8469" s="12">
        <v>42699</v>
      </c>
      <c r="B8469">
        <v>2016</v>
      </c>
      <c r="C8469">
        <v>11</v>
      </c>
      <c r="D8469" s="11">
        <v>42675</v>
      </c>
      <c r="E8469" t="s">
        <v>2183</v>
      </c>
      <c r="F8469">
        <v>5</v>
      </c>
      <c r="G8469" t="s">
        <v>55</v>
      </c>
      <c r="H8469" t="s">
        <v>43</v>
      </c>
      <c r="I8469" t="s">
        <v>2191</v>
      </c>
      <c r="J8469" s="10">
        <v>21</v>
      </c>
      <c r="K8469" t="b">
        <v>1</v>
      </c>
    </row>
    <row r="8470" spans="1:11">
      <c r="A8470" s="12">
        <v>42699</v>
      </c>
      <c r="B8470">
        <v>2016</v>
      </c>
      <c r="C8470">
        <v>11</v>
      </c>
      <c r="D8470" s="11">
        <v>42675</v>
      </c>
      <c r="E8470" t="s">
        <v>2183</v>
      </c>
      <c r="F8470">
        <v>5</v>
      </c>
      <c r="G8470" t="s">
        <v>55</v>
      </c>
      <c r="H8470" t="s">
        <v>44</v>
      </c>
      <c r="I8470" t="s">
        <v>2192</v>
      </c>
      <c r="J8470" s="10">
        <v>20</v>
      </c>
      <c r="K8470" t="b">
        <v>1</v>
      </c>
    </row>
    <row r="8471" spans="1:11">
      <c r="A8471" s="12">
        <v>42699</v>
      </c>
      <c r="B8471">
        <v>2016</v>
      </c>
      <c r="C8471">
        <v>11</v>
      </c>
      <c r="D8471" s="11">
        <v>42675</v>
      </c>
      <c r="E8471" t="s">
        <v>2183</v>
      </c>
      <c r="F8471">
        <v>5</v>
      </c>
      <c r="G8471" t="s">
        <v>55</v>
      </c>
      <c r="H8471" t="s">
        <v>45</v>
      </c>
      <c r="I8471" t="s">
        <v>2193</v>
      </c>
      <c r="J8471" s="10">
        <v>4</v>
      </c>
      <c r="K8471" t="b">
        <v>1</v>
      </c>
    </row>
    <row r="8472" spans="1:11">
      <c r="A8472" s="12">
        <v>42699</v>
      </c>
      <c r="B8472">
        <v>2016</v>
      </c>
      <c r="C8472">
        <v>11</v>
      </c>
      <c r="D8472" s="11">
        <v>42675</v>
      </c>
      <c r="E8472" t="s">
        <v>2183</v>
      </c>
      <c r="F8472">
        <v>5</v>
      </c>
      <c r="G8472" t="s">
        <v>55</v>
      </c>
      <c r="H8472" t="s">
        <v>46</v>
      </c>
      <c r="I8472" t="s">
        <v>2194</v>
      </c>
      <c r="J8472" s="10">
        <v>5</v>
      </c>
      <c r="K8472" t="b">
        <v>1</v>
      </c>
    </row>
    <row r="8473" spans="1:11">
      <c r="A8473" s="12">
        <v>42699</v>
      </c>
      <c r="B8473">
        <v>2016</v>
      </c>
      <c r="C8473">
        <v>11</v>
      </c>
      <c r="D8473" s="11">
        <v>42675</v>
      </c>
      <c r="E8473" t="s">
        <v>2183</v>
      </c>
      <c r="F8473">
        <v>5</v>
      </c>
      <c r="G8473" t="s">
        <v>55</v>
      </c>
      <c r="H8473" t="s">
        <v>47</v>
      </c>
      <c r="I8473" t="s">
        <v>2195</v>
      </c>
      <c r="J8473" s="10">
        <v>1</v>
      </c>
      <c r="K8473" t="b">
        <v>1</v>
      </c>
    </row>
    <row r="8474" spans="1:11">
      <c r="A8474" s="12">
        <v>42700</v>
      </c>
      <c r="B8474">
        <v>2016</v>
      </c>
      <c r="C8474">
        <v>11</v>
      </c>
      <c r="D8474" s="11">
        <v>42675</v>
      </c>
      <c r="E8474" t="s">
        <v>2183</v>
      </c>
      <c r="F8474">
        <v>6</v>
      </c>
      <c r="G8474" t="s">
        <v>57</v>
      </c>
      <c r="H8474" t="s">
        <v>40</v>
      </c>
      <c r="I8474" t="s">
        <v>2188</v>
      </c>
      <c r="J8474" s="10">
        <v>3.33</v>
      </c>
      <c r="K8474" t="b">
        <v>1</v>
      </c>
    </row>
    <row r="8475" spans="1:11">
      <c r="A8475" s="12">
        <v>42700</v>
      </c>
      <c r="B8475">
        <v>2016</v>
      </c>
      <c r="C8475">
        <v>11</v>
      </c>
      <c r="D8475" s="11">
        <v>42675</v>
      </c>
      <c r="E8475" t="s">
        <v>2183</v>
      </c>
      <c r="F8475">
        <v>6</v>
      </c>
      <c r="G8475" t="s">
        <v>57</v>
      </c>
      <c r="H8475" t="s">
        <v>41</v>
      </c>
      <c r="I8475" t="s">
        <v>2189</v>
      </c>
      <c r="J8475" s="10">
        <v>5</v>
      </c>
      <c r="K8475" t="b">
        <v>1</v>
      </c>
    </row>
    <row r="8476" spans="1:11">
      <c r="A8476" s="12">
        <v>42700</v>
      </c>
      <c r="B8476">
        <v>2016</v>
      </c>
      <c r="C8476">
        <v>11</v>
      </c>
      <c r="D8476" s="11">
        <v>42675</v>
      </c>
      <c r="E8476" t="s">
        <v>2183</v>
      </c>
      <c r="F8476">
        <v>6</v>
      </c>
      <c r="G8476" t="s">
        <v>57</v>
      </c>
      <c r="H8476" t="s">
        <v>42</v>
      </c>
      <c r="I8476" t="s">
        <v>2190</v>
      </c>
      <c r="J8476" s="10">
        <v>4</v>
      </c>
      <c r="K8476" t="b">
        <v>1</v>
      </c>
    </row>
    <row r="8477" spans="1:11">
      <c r="A8477" s="12">
        <v>42700</v>
      </c>
      <c r="B8477">
        <v>2016</v>
      </c>
      <c r="C8477">
        <v>11</v>
      </c>
      <c r="D8477" s="11">
        <v>42675</v>
      </c>
      <c r="E8477" t="s">
        <v>2183</v>
      </c>
      <c r="F8477">
        <v>6</v>
      </c>
      <c r="G8477" t="s">
        <v>57</v>
      </c>
      <c r="H8477" t="s">
        <v>43</v>
      </c>
      <c r="I8477" t="s">
        <v>2191</v>
      </c>
      <c r="J8477" s="10">
        <v>36</v>
      </c>
      <c r="K8477" t="b">
        <v>1</v>
      </c>
    </row>
    <row r="8478" spans="1:11">
      <c r="A8478" s="12">
        <v>42700</v>
      </c>
      <c r="B8478">
        <v>2016</v>
      </c>
      <c r="C8478">
        <v>11</v>
      </c>
      <c r="D8478" s="11">
        <v>42675</v>
      </c>
      <c r="E8478" t="s">
        <v>2183</v>
      </c>
      <c r="F8478">
        <v>6</v>
      </c>
      <c r="G8478" t="s">
        <v>57</v>
      </c>
      <c r="H8478" t="s">
        <v>44</v>
      </c>
      <c r="I8478" t="s">
        <v>2192</v>
      </c>
      <c r="J8478" s="10">
        <v>9</v>
      </c>
      <c r="K8478" t="b">
        <v>1</v>
      </c>
    </row>
    <row r="8479" spans="1:11">
      <c r="A8479" s="12">
        <v>42700</v>
      </c>
      <c r="B8479">
        <v>2016</v>
      </c>
      <c r="C8479">
        <v>11</v>
      </c>
      <c r="D8479" s="11">
        <v>42675</v>
      </c>
      <c r="E8479" t="s">
        <v>2183</v>
      </c>
      <c r="F8479">
        <v>6</v>
      </c>
      <c r="G8479" t="s">
        <v>57</v>
      </c>
      <c r="H8479" t="s">
        <v>45</v>
      </c>
      <c r="I8479" t="s">
        <v>2193</v>
      </c>
      <c r="J8479" s="10">
        <v>3</v>
      </c>
      <c r="K8479" t="b">
        <v>1</v>
      </c>
    </row>
    <row r="8480" spans="1:11">
      <c r="A8480" s="12">
        <v>42700</v>
      </c>
      <c r="B8480">
        <v>2016</v>
      </c>
      <c r="C8480">
        <v>11</v>
      </c>
      <c r="D8480" s="11">
        <v>42675</v>
      </c>
      <c r="E8480" t="s">
        <v>2183</v>
      </c>
      <c r="F8480">
        <v>6</v>
      </c>
      <c r="G8480" t="s">
        <v>57</v>
      </c>
      <c r="H8480" t="s">
        <v>46</v>
      </c>
      <c r="I8480" t="s">
        <v>2194</v>
      </c>
      <c r="J8480" s="10">
        <v>12</v>
      </c>
      <c r="K8480" t="b">
        <v>1</v>
      </c>
    </row>
    <row r="8481" spans="1:11">
      <c r="A8481" s="12">
        <v>42700</v>
      </c>
      <c r="B8481">
        <v>2016</v>
      </c>
      <c r="C8481">
        <v>11</v>
      </c>
      <c r="D8481" s="11">
        <v>42675</v>
      </c>
      <c r="E8481" t="s">
        <v>2183</v>
      </c>
      <c r="F8481">
        <v>6</v>
      </c>
      <c r="G8481" t="s">
        <v>57</v>
      </c>
      <c r="H8481" t="s">
        <v>47</v>
      </c>
      <c r="I8481" t="s">
        <v>2195</v>
      </c>
      <c r="J8481" s="10">
        <v>2</v>
      </c>
      <c r="K8481" t="b">
        <v>1</v>
      </c>
    </row>
    <row r="8482" spans="1:11">
      <c r="A8482" s="12">
        <v>42701</v>
      </c>
      <c r="B8482">
        <v>2016</v>
      </c>
      <c r="C8482">
        <v>11</v>
      </c>
      <c r="D8482" s="11">
        <v>42675</v>
      </c>
      <c r="E8482" t="s">
        <v>2183</v>
      </c>
      <c r="F8482">
        <v>7</v>
      </c>
      <c r="G8482" t="s">
        <v>59</v>
      </c>
      <c r="H8482" t="s">
        <v>40</v>
      </c>
      <c r="I8482" t="s">
        <v>2188</v>
      </c>
      <c r="J8482" s="10">
        <v>9.33</v>
      </c>
      <c r="K8482" t="b">
        <v>1</v>
      </c>
    </row>
    <row r="8483" spans="1:11">
      <c r="A8483" s="12">
        <v>42701</v>
      </c>
      <c r="B8483">
        <v>2016</v>
      </c>
      <c r="C8483">
        <v>11</v>
      </c>
      <c r="D8483" s="11">
        <v>42675</v>
      </c>
      <c r="E8483" t="s">
        <v>2183</v>
      </c>
      <c r="F8483">
        <v>7</v>
      </c>
      <c r="G8483" t="s">
        <v>59</v>
      </c>
      <c r="H8483" t="s">
        <v>41</v>
      </c>
      <c r="I8483" t="s">
        <v>2189</v>
      </c>
      <c r="J8483" s="10">
        <v>5.693</v>
      </c>
      <c r="K8483" t="b">
        <v>1</v>
      </c>
    </row>
    <row r="8484" spans="1:11">
      <c r="A8484" s="12">
        <v>42701</v>
      </c>
      <c r="B8484">
        <v>2016</v>
      </c>
      <c r="C8484">
        <v>11</v>
      </c>
      <c r="D8484" s="11">
        <v>42675</v>
      </c>
      <c r="E8484" t="s">
        <v>2183</v>
      </c>
      <c r="F8484">
        <v>7</v>
      </c>
      <c r="G8484" t="s">
        <v>59</v>
      </c>
      <c r="H8484" t="s">
        <v>42</v>
      </c>
      <c r="I8484" t="s">
        <v>2190</v>
      </c>
      <c r="J8484" s="10">
        <v>3.9</v>
      </c>
      <c r="K8484" t="b">
        <v>1</v>
      </c>
    </row>
    <row r="8485" spans="1:11">
      <c r="A8485" s="12">
        <v>42701</v>
      </c>
      <c r="B8485">
        <v>2016</v>
      </c>
      <c r="C8485">
        <v>11</v>
      </c>
      <c r="D8485" s="11">
        <v>42675</v>
      </c>
      <c r="E8485" t="s">
        <v>2183</v>
      </c>
      <c r="F8485">
        <v>7</v>
      </c>
      <c r="G8485" t="s">
        <v>59</v>
      </c>
      <c r="H8485" t="s">
        <v>43</v>
      </c>
      <c r="I8485" t="s">
        <v>2191</v>
      </c>
      <c r="J8485" s="10">
        <v>61</v>
      </c>
      <c r="K8485" t="b">
        <v>1</v>
      </c>
    </row>
    <row r="8486" spans="1:11">
      <c r="A8486" s="12">
        <v>42701</v>
      </c>
      <c r="B8486">
        <v>2016</v>
      </c>
      <c r="C8486">
        <v>11</v>
      </c>
      <c r="D8486" s="11">
        <v>42675</v>
      </c>
      <c r="E8486" t="s">
        <v>2183</v>
      </c>
      <c r="F8486">
        <v>7</v>
      </c>
      <c r="G8486" t="s">
        <v>59</v>
      </c>
      <c r="H8486" t="s">
        <v>44</v>
      </c>
      <c r="I8486" t="s">
        <v>2192</v>
      </c>
      <c r="J8486" s="10">
        <v>5</v>
      </c>
      <c r="K8486" t="b">
        <v>1</v>
      </c>
    </row>
    <row r="8487" spans="1:11">
      <c r="A8487" s="12">
        <v>42701</v>
      </c>
      <c r="B8487">
        <v>2016</v>
      </c>
      <c r="C8487">
        <v>11</v>
      </c>
      <c r="D8487" s="11">
        <v>42675</v>
      </c>
      <c r="E8487" t="s">
        <v>2183</v>
      </c>
      <c r="F8487">
        <v>7</v>
      </c>
      <c r="G8487" t="s">
        <v>59</v>
      </c>
      <c r="H8487" t="s">
        <v>45</v>
      </c>
      <c r="I8487" t="s">
        <v>2193</v>
      </c>
      <c r="J8487" s="10">
        <v>0</v>
      </c>
      <c r="K8487" t="b">
        <v>1</v>
      </c>
    </row>
    <row r="8488" spans="1:11">
      <c r="A8488" s="12">
        <v>42701</v>
      </c>
      <c r="B8488">
        <v>2016</v>
      </c>
      <c r="C8488">
        <v>11</v>
      </c>
      <c r="D8488" s="11">
        <v>42675</v>
      </c>
      <c r="E8488" t="s">
        <v>2183</v>
      </c>
      <c r="F8488">
        <v>7</v>
      </c>
      <c r="G8488" t="s">
        <v>59</v>
      </c>
      <c r="H8488" t="s">
        <v>46</v>
      </c>
      <c r="I8488" t="s">
        <v>2194</v>
      </c>
      <c r="J8488" s="10">
        <v>1</v>
      </c>
      <c r="K8488" t="b">
        <v>1</v>
      </c>
    </row>
    <row r="8489" spans="1:11">
      <c r="A8489" s="12">
        <v>42701</v>
      </c>
      <c r="B8489">
        <v>2016</v>
      </c>
      <c r="C8489">
        <v>11</v>
      </c>
      <c r="D8489" s="11">
        <v>42675</v>
      </c>
      <c r="E8489" t="s">
        <v>2183</v>
      </c>
      <c r="F8489">
        <v>7</v>
      </c>
      <c r="G8489" t="s">
        <v>59</v>
      </c>
      <c r="H8489" t="s">
        <v>47</v>
      </c>
      <c r="I8489" t="s">
        <v>2195</v>
      </c>
      <c r="J8489" s="10">
        <v>0</v>
      </c>
      <c r="K8489" t="b">
        <v>1</v>
      </c>
    </row>
    <row r="8490" spans="1:11">
      <c r="A8490" s="12">
        <v>42702</v>
      </c>
      <c r="B8490">
        <v>2016</v>
      </c>
      <c r="C8490">
        <v>11</v>
      </c>
      <c r="D8490" s="11">
        <v>42675</v>
      </c>
      <c r="E8490" t="s">
        <v>2183</v>
      </c>
      <c r="F8490">
        <v>1</v>
      </c>
      <c r="G8490" t="s">
        <v>61</v>
      </c>
      <c r="H8490" t="s">
        <v>40</v>
      </c>
      <c r="I8490" t="s">
        <v>2188</v>
      </c>
      <c r="J8490" s="10">
        <v>4.5</v>
      </c>
      <c r="K8490" t="b">
        <v>1</v>
      </c>
    </row>
    <row r="8491" spans="1:11">
      <c r="A8491" s="12">
        <v>42702</v>
      </c>
      <c r="B8491">
        <v>2016</v>
      </c>
      <c r="C8491">
        <v>11</v>
      </c>
      <c r="D8491" s="11">
        <v>42675</v>
      </c>
      <c r="E8491" t="s">
        <v>2183</v>
      </c>
      <c r="F8491">
        <v>1</v>
      </c>
      <c r="G8491" t="s">
        <v>61</v>
      </c>
      <c r="H8491" t="s">
        <v>41</v>
      </c>
      <c r="I8491" t="s">
        <v>2189</v>
      </c>
      <c r="J8491" s="10">
        <v>1.363</v>
      </c>
      <c r="K8491" t="b">
        <v>1</v>
      </c>
    </row>
    <row r="8492" spans="1:11">
      <c r="A8492" s="12">
        <v>42702</v>
      </c>
      <c r="B8492">
        <v>2016</v>
      </c>
      <c r="C8492">
        <v>11</v>
      </c>
      <c r="D8492" s="11">
        <v>42675</v>
      </c>
      <c r="E8492" t="s">
        <v>2183</v>
      </c>
      <c r="F8492">
        <v>1</v>
      </c>
      <c r="G8492" t="s">
        <v>61</v>
      </c>
      <c r="H8492" t="s">
        <v>42</v>
      </c>
      <c r="I8492" t="s">
        <v>2190</v>
      </c>
      <c r="J8492" s="10">
        <v>2.05</v>
      </c>
      <c r="K8492" t="b">
        <v>1</v>
      </c>
    </row>
    <row r="8493" spans="1:11">
      <c r="A8493" s="12">
        <v>42702</v>
      </c>
      <c r="B8493">
        <v>2016</v>
      </c>
      <c r="C8493">
        <v>11</v>
      </c>
      <c r="D8493" s="11">
        <v>42675</v>
      </c>
      <c r="E8493" t="s">
        <v>2183</v>
      </c>
      <c r="F8493">
        <v>1</v>
      </c>
      <c r="G8493" t="s">
        <v>61</v>
      </c>
      <c r="H8493" t="s">
        <v>43</v>
      </c>
      <c r="I8493" t="s">
        <v>2191</v>
      </c>
      <c r="J8493" s="10">
        <v>23</v>
      </c>
      <c r="K8493" t="b">
        <v>1</v>
      </c>
    </row>
    <row r="8494" spans="1:11">
      <c r="A8494" s="12">
        <v>42702</v>
      </c>
      <c r="B8494">
        <v>2016</v>
      </c>
      <c r="C8494">
        <v>11</v>
      </c>
      <c r="D8494" s="11">
        <v>42675</v>
      </c>
      <c r="E8494" t="s">
        <v>2183</v>
      </c>
      <c r="F8494">
        <v>1</v>
      </c>
      <c r="G8494" t="s">
        <v>61</v>
      </c>
      <c r="H8494" t="s">
        <v>44</v>
      </c>
      <c r="I8494" t="s">
        <v>2192</v>
      </c>
      <c r="J8494" s="10">
        <v>5</v>
      </c>
      <c r="K8494" t="b">
        <v>1</v>
      </c>
    </row>
    <row r="8495" spans="1:11">
      <c r="A8495" s="12">
        <v>42702</v>
      </c>
      <c r="B8495">
        <v>2016</v>
      </c>
      <c r="C8495">
        <v>11</v>
      </c>
      <c r="D8495" s="11">
        <v>42675</v>
      </c>
      <c r="E8495" t="s">
        <v>2183</v>
      </c>
      <c r="F8495">
        <v>1</v>
      </c>
      <c r="G8495" t="s">
        <v>61</v>
      </c>
      <c r="H8495" t="s">
        <v>45</v>
      </c>
      <c r="I8495" t="s">
        <v>2193</v>
      </c>
      <c r="J8495" s="10">
        <v>0</v>
      </c>
      <c r="K8495" t="b">
        <v>1</v>
      </c>
    </row>
    <row r="8496" spans="1:11">
      <c r="A8496" s="12">
        <v>42702</v>
      </c>
      <c r="B8496">
        <v>2016</v>
      </c>
      <c r="C8496">
        <v>11</v>
      </c>
      <c r="D8496" s="11">
        <v>42675</v>
      </c>
      <c r="E8496" t="s">
        <v>2183</v>
      </c>
      <c r="F8496">
        <v>1</v>
      </c>
      <c r="G8496" t="s">
        <v>61</v>
      </c>
      <c r="H8496" t="s">
        <v>46</v>
      </c>
      <c r="I8496" t="s">
        <v>2194</v>
      </c>
      <c r="J8496" s="10">
        <v>12</v>
      </c>
      <c r="K8496" t="b">
        <v>1</v>
      </c>
    </row>
    <row r="8497" spans="1:11">
      <c r="A8497" s="12">
        <v>42702</v>
      </c>
      <c r="B8497">
        <v>2016</v>
      </c>
      <c r="C8497">
        <v>11</v>
      </c>
      <c r="D8497" s="11">
        <v>42675</v>
      </c>
      <c r="E8497" t="s">
        <v>2183</v>
      </c>
      <c r="F8497">
        <v>1</v>
      </c>
      <c r="G8497" t="s">
        <v>61</v>
      </c>
      <c r="H8497" t="s">
        <v>47</v>
      </c>
      <c r="I8497" t="s">
        <v>2195</v>
      </c>
      <c r="J8497" s="10">
        <v>0</v>
      </c>
      <c r="K8497" t="b">
        <v>1</v>
      </c>
    </row>
    <row r="8498" spans="1:11">
      <c r="A8498" s="12">
        <v>42703</v>
      </c>
      <c r="B8498">
        <v>2016</v>
      </c>
      <c r="C8498">
        <v>11</v>
      </c>
      <c r="D8498" s="11">
        <v>42675</v>
      </c>
      <c r="E8498" t="s">
        <v>2183</v>
      </c>
      <c r="F8498">
        <v>2</v>
      </c>
      <c r="G8498" t="s">
        <v>63</v>
      </c>
      <c r="H8498" t="s">
        <v>40</v>
      </c>
      <c r="I8498" t="s">
        <v>2188</v>
      </c>
      <c r="J8498" s="10">
        <v>5.68</v>
      </c>
      <c r="K8498" t="b">
        <v>1</v>
      </c>
    </row>
    <row r="8499" spans="1:11">
      <c r="A8499" s="12">
        <v>42703</v>
      </c>
      <c r="B8499">
        <v>2016</v>
      </c>
      <c r="C8499">
        <v>11</v>
      </c>
      <c r="D8499" s="11">
        <v>42675</v>
      </c>
      <c r="E8499" t="s">
        <v>2183</v>
      </c>
      <c r="F8499">
        <v>2</v>
      </c>
      <c r="G8499" t="s">
        <v>63</v>
      </c>
      <c r="H8499" t="s">
        <v>41</v>
      </c>
      <c r="I8499" t="s">
        <v>2189</v>
      </c>
      <c r="J8499" s="10">
        <v>5.67</v>
      </c>
      <c r="K8499" t="b">
        <v>1</v>
      </c>
    </row>
    <row r="8500" spans="1:11">
      <c r="A8500" s="12">
        <v>42703</v>
      </c>
      <c r="B8500">
        <v>2016</v>
      </c>
      <c r="C8500">
        <v>11</v>
      </c>
      <c r="D8500" s="11">
        <v>42675</v>
      </c>
      <c r="E8500" t="s">
        <v>2183</v>
      </c>
      <c r="F8500">
        <v>2</v>
      </c>
      <c r="G8500" t="s">
        <v>63</v>
      </c>
      <c r="H8500" t="s">
        <v>42</v>
      </c>
      <c r="I8500" t="s">
        <v>2190</v>
      </c>
      <c r="J8500" s="10">
        <v>3</v>
      </c>
      <c r="K8500" t="b">
        <v>1</v>
      </c>
    </row>
    <row r="8501" spans="1:11">
      <c r="A8501" s="12">
        <v>42703</v>
      </c>
      <c r="B8501">
        <v>2016</v>
      </c>
      <c r="C8501">
        <v>11</v>
      </c>
      <c r="D8501" s="11">
        <v>42675</v>
      </c>
      <c r="E8501" t="s">
        <v>2183</v>
      </c>
      <c r="F8501">
        <v>2</v>
      </c>
      <c r="G8501" t="s">
        <v>63</v>
      </c>
      <c r="H8501" t="s">
        <v>43</v>
      </c>
      <c r="I8501" t="s">
        <v>2191</v>
      </c>
      <c r="J8501" s="10">
        <v>45.6</v>
      </c>
      <c r="K8501" t="b">
        <v>1</v>
      </c>
    </row>
    <row r="8502" spans="1:11">
      <c r="A8502" s="12">
        <v>42703</v>
      </c>
      <c r="B8502">
        <v>2016</v>
      </c>
      <c r="C8502">
        <v>11</v>
      </c>
      <c r="D8502" s="11">
        <v>42675</v>
      </c>
      <c r="E8502" t="s">
        <v>2183</v>
      </c>
      <c r="F8502">
        <v>2</v>
      </c>
      <c r="G8502" t="s">
        <v>63</v>
      </c>
      <c r="H8502" t="s">
        <v>44</v>
      </c>
      <c r="I8502" t="s">
        <v>2192</v>
      </c>
      <c r="J8502" s="10">
        <v>6</v>
      </c>
      <c r="K8502" t="b">
        <v>1</v>
      </c>
    </row>
    <row r="8503" spans="1:11">
      <c r="A8503" s="12">
        <v>42703</v>
      </c>
      <c r="B8503">
        <v>2016</v>
      </c>
      <c r="C8503">
        <v>11</v>
      </c>
      <c r="D8503" s="11">
        <v>42675</v>
      </c>
      <c r="E8503" t="s">
        <v>2183</v>
      </c>
      <c r="F8503">
        <v>2</v>
      </c>
      <c r="G8503" t="s">
        <v>63</v>
      </c>
      <c r="H8503" t="s">
        <v>45</v>
      </c>
      <c r="I8503" t="s">
        <v>2193</v>
      </c>
      <c r="J8503" s="10">
        <v>2</v>
      </c>
      <c r="K8503" t="b">
        <v>1</v>
      </c>
    </row>
    <row r="8504" spans="1:11">
      <c r="A8504" s="12">
        <v>42703</v>
      </c>
      <c r="B8504">
        <v>2016</v>
      </c>
      <c r="C8504">
        <v>11</v>
      </c>
      <c r="D8504" s="11">
        <v>42675</v>
      </c>
      <c r="E8504" t="s">
        <v>2183</v>
      </c>
      <c r="F8504">
        <v>2</v>
      </c>
      <c r="G8504" t="s">
        <v>63</v>
      </c>
      <c r="H8504" t="s">
        <v>46</v>
      </c>
      <c r="I8504" t="s">
        <v>2194</v>
      </c>
      <c r="J8504" s="10">
        <v>0</v>
      </c>
      <c r="K8504" t="b">
        <v>1</v>
      </c>
    </row>
    <row r="8505" spans="1:11">
      <c r="A8505" s="12">
        <v>42703</v>
      </c>
      <c r="B8505">
        <v>2016</v>
      </c>
      <c r="C8505">
        <v>11</v>
      </c>
      <c r="D8505" s="11">
        <v>42675</v>
      </c>
      <c r="E8505" t="s">
        <v>2183</v>
      </c>
      <c r="F8505">
        <v>2</v>
      </c>
      <c r="G8505" t="s">
        <v>63</v>
      </c>
      <c r="H8505" t="s">
        <v>47</v>
      </c>
      <c r="I8505" t="s">
        <v>2195</v>
      </c>
      <c r="J8505" s="10">
        <v>0</v>
      </c>
      <c r="K8505" t="b">
        <v>1</v>
      </c>
    </row>
    <row r="8506" spans="1:11">
      <c r="A8506" s="12">
        <v>42704</v>
      </c>
      <c r="B8506">
        <v>2016</v>
      </c>
      <c r="C8506">
        <v>11</v>
      </c>
      <c r="D8506" s="11">
        <v>42675</v>
      </c>
      <c r="E8506" t="s">
        <v>2183</v>
      </c>
      <c r="F8506">
        <v>3</v>
      </c>
      <c r="G8506" t="s">
        <v>65</v>
      </c>
      <c r="H8506" t="s">
        <v>40</v>
      </c>
      <c r="I8506" t="s">
        <v>2188</v>
      </c>
      <c r="J8506" s="10">
        <v>3.33</v>
      </c>
      <c r="K8506" t="b">
        <v>1</v>
      </c>
    </row>
    <row r="8507" spans="1:11">
      <c r="A8507" s="12">
        <v>42704</v>
      </c>
      <c r="B8507">
        <v>2016</v>
      </c>
      <c r="C8507">
        <v>11</v>
      </c>
      <c r="D8507" s="11">
        <v>42675</v>
      </c>
      <c r="E8507" t="s">
        <v>2183</v>
      </c>
      <c r="F8507">
        <v>3</v>
      </c>
      <c r="G8507" t="s">
        <v>65</v>
      </c>
      <c r="H8507" t="s">
        <v>41</v>
      </c>
      <c r="I8507" t="s">
        <v>2189</v>
      </c>
      <c r="J8507" s="10">
        <v>2.99</v>
      </c>
      <c r="K8507" t="b">
        <v>1</v>
      </c>
    </row>
    <row r="8508" spans="1:11">
      <c r="A8508" s="12">
        <v>42704</v>
      </c>
      <c r="B8508">
        <v>2016</v>
      </c>
      <c r="C8508">
        <v>11</v>
      </c>
      <c r="D8508" s="11">
        <v>42675</v>
      </c>
      <c r="E8508" t="s">
        <v>2183</v>
      </c>
      <c r="F8508">
        <v>3</v>
      </c>
      <c r="G8508" t="s">
        <v>65</v>
      </c>
      <c r="H8508" t="s">
        <v>42</v>
      </c>
      <c r="I8508" t="s">
        <v>2190</v>
      </c>
      <c r="J8508" s="10">
        <v>4.3</v>
      </c>
      <c r="K8508" t="b">
        <v>1</v>
      </c>
    </row>
    <row r="8509" spans="1:11">
      <c r="A8509" s="12">
        <v>42704</v>
      </c>
      <c r="B8509">
        <v>2016</v>
      </c>
      <c r="C8509">
        <v>11</v>
      </c>
      <c r="D8509" s="11">
        <v>42675</v>
      </c>
      <c r="E8509" t="s">
        <v>2183</v>
      </c>
      <c r="F8509">
        <v>3</v>
      </c>
      <c r="G8509" t="s">
        <v>65</v>
      </c>
      <c r="H8509" t="s">
        <v>43</v>
      </c>
      <c r="I8509" t="s">
        <v>2191</v>
      </c>
      <c r="J8509" s="10">
        <v>24.6</v>
      </c>
      <c r="K8509" t="b">
        <v>1</v>
      </c>
    </row>
    <row r="8510" spans="1:11">
      <c r="A8510" s="12">
        <v>42704</v>
      </c>
      <c r="B8510">
        <v>2016</v>
      </c>
      <c r="C8510">
        <v>11</v>
      </c>
      <c r="D8510" s="11">
        <v>42675</v>
      </c>
      <c r="E8510" t="s">
        <v>2183</v>
      </c>
      <c r="F8510">
        <v>3</v>
      </c>
      <c r="G8510" t="s">
        <v>65</v>
      </c>
      <c r="H8510" t="s">
        <v>44</v>
      </c>
      <c r="I8510" t="s">
        <v>2192</v>
      </c>
      <c r="J8510" s="10">
        <v>13</v>
      </c>
      <c r="K8510" t="b">
        <v>1</v>
      </c>
    </row>
    <row r="8511" spans="1:11">
      <c r="A8511" s="12">
        <v>42704</v>
      </c>
      <c r="B8511">
        <v>2016</v>
      </c>
      <c r="C8511">
        <v>11</v>
      </c>
      <c r="D8511" s="11">
        <v>42675</v>
      </c>
      <c r="E8511" t="s">
        <v>2183</v>
      </c>
      <c r="F8511">
        <v>3</v>
      </c>
      <c r="G8511" t="s">
        <v>65</v>
      </c>
      <c r="H8511" t="s">
        <v>45</v>
      </c>
      <c r="I8511" t="s">
        <v>2193</v>
      </c>
      <c r="J8511" s="10">
        <v>0</v>
      </c>
      <c r="K8511" t="b">
        <v>1</v>
      </c>
    </row>
    <row r="8512" spans="1:11">
      <c r="A8512" s="12">
        <v>42704</v>
      </c>
      <c r="B8512">
        <v>2016</v>
      </c>
      <c r="C8512">
        <v>11</v>
      </c>
      <c r="D8512" s="11">
        <v>42675</v>
      </c>
      <c r="E8512" t="s">
        <v>2183</v>
      </c>
      <c r="F8512">
        <v>3</v>
      </c>
      <c r="G8512" t="s">
        <v>65</v>
      </c>
      <c r="H8512" t="s">
        <v>46</v>
      </c>
      <c r="I8512" t="s">
        <v>2194</v>
      </c>
      <c r="J8512" s="10">
        <v>7</v>
      </c>
      <c r="K8512" t="b">
        <v>1</v>
      </c>
    </row>
    <row r="8513" spans="1:11">
      <c r="A8513" s="12">
        <v>42704</v>
      </c>
      <c r="B8513">
        <v>2016</v>
      </c>
      <c r="C8513">
        <v>11</v>
      </c>
      <c r="D8513" s="11">
        <v>42675</v>
      </c>
      <c r="E8513" t="s">
        <v>2183</v>
      </c>
      <c r="F8513">
        <v>3</v>
      </c>
      <c r="G8513" t="s">
        <v>65</v>
      </c>
      <c r="H8513" t="s">
        <v>47</v>
      </c>
      <c r="I8513" t="s">
        <v>2195</v>
      </c>
      <c r="J8513" s="10">
        <v>0</v>
      </c>
      <c r="K8513" t="b">
        <v>1</v>
      </c>
    </row>
    <row r="8514" spans="1:11">
      <c r="A8514" s="12">
        <v>42705</v>
      </c>
      <c r="B8514">
        <v>2016</v>
      </c>
      <c r="C8514">
        <v>12</v>
      </c>
      <c r="D8514" s="11">
        <v>42705</v>
      </c>
      <c r="E8514" t="s">
        <v>2184</v>
      </c>
      <c r="F8514">
        <v>4</v>
      </c>
      <c r="G8514" t="s">
        <v>53</v>
      </c>
      <c r="H8514" t="s">
        <v>40</v>
      </c>
      <c r="I8514" t="s">
        <v>2188</v>
      </c>
      <c r="J8514" s="10">
        <v>4.5</v>
      </c>
      <c r="K8514" t="b">
        <v>1</v>
      </c>
    </row>
    <row r="8515" spans="1:11">
      <c r="A8515" s="12">
        <v>42705</v>
      </c>
      <c r="B8515">
        <v>2016</v>
      </c>
      <c r="C8515">
        <v>12</v>
      </c>
      <c r="D8515" s="11">
        <v>42705</v>
      </c>
      <c r="E8515" t="s">
        <v>2184</v>
      </c>
      <c r="F8515">
        <v>4</v>
      </c>
      <c r="G8515" t="s">
        <v>53</v>
      </c>
      <c r="H8515" t="s">
        <v>41</v>
      </c>
      <c r="I8515" t="s">
        <v>2189</v>
      </c>
      <c r="J8515" s="10">
        <v>2.363</v>
      </c>
      <c r="K8515" t="b">
        <v>1</v>
      </c>
    </row>
    <row r="8516" spans="1:11">
      <c r="A8516" s="12">
        <v>42705</v>
      </c>
      <c r="B8516">
        <v>2016</v>
      </c>
      <c r="C8516">
        <v>12</v>
      </c>
      <c r="D8516" s="11">
        <v>42705</v>
      </c>
      <c r="E8516" t="s">
        <v>2184</v>
      </c>
      <c r="F8516">
        <v>4</v>
      </c>
      <c r="G8516" t="s">
        <v>53</v>
      </c>
      <c r="H8516" t="s">
        <v>42</v>
      </c>
      <c r="I8516" t="s">
        <v>2190</v>
      </c>
      <c r="J8516" s="10">
        <v>1.5</v>
      </c>
      <c r="K8516" t="b">
        <v>1</v>
      </c>
    </row>
    <row r="8517" spans="1:11">
      <c r="A8517" s="12">
        <v>42705</v>
      </c>
      <c r="B8517">
        <v>2016</v>
      </c>
      <c r="C8517">
        <v>12</v>
      </c>
      <c r="D8517" s="11">
        <v>42705</v>
      </c>
      <c r="E8517" t="s">
        <v>2184</v>
      </c>
      <c r="F8517">
        <v>4</v>
      </c>
      <c r="G8517" t="s">
        <v>53</v>
      </c>
      <c r="H8517" t="s">
        <v>43</v>
      </c>
      <c r="I8517" t="s">
        <v>2191</v>
      </c>
      <c r="J8517" s="10">
        <v>55.662</v>
      </c>
      <c r="K8517" t="b">
        <v>1</v>
      </c>
    </row>
    <row r="8518" spans="1:11">
      <c r="A8518" s="12">
        <v>42705</v>
      </c>
      <c r="B8518">
        <v>2016</v>
      </c>
      <c r="C8518">
        <v>12</v>
      </c>
      <c r="D8518" s="11">
        <v>42705</v>
      </c>
      <c r="E8518" t="s">
        <v>2184</v>
      </c>
      <c r="F8518">
        <v>4</v>
      </c>
      <c r="G8518" t="s">
        <v>53</v>
      </c>
      <c r="H8518" t="s">
        <v>44</v>
      </c>
      <c r="I8518" t="s">
        <v>2192</v>
      </c>
      <c r="J8518" s="10">
        <v>8</v>
      </c>
      <c r="K8518" t="b">
        <v>1</v>
      </c>
    </row>
    <row r="8519" spans="1:11">
      <c r="A8519" s="12">
        <v>42705</v>
      </c>
      <c r="B8519">
        <v>2016</v>
      </c>
      <c r="C8519">
        <v>12</v>
      </c>
      <c r="D8519" s="11">
        <v>42705</v>
      </c>
      <c r="E8519" t="s">
        <v>2184</v>
      </c>
      <c r="F8519">
        <v>4</v>
      </c>
      <c r="G8519" t="s">
        <v>53</v>
      </c>
      <c r="H8519" t="s">
        <v>45</v>
      </c>
      <c r="I8519" t="s">
        <v>2193</v>
      </c>
      <c r="J8519" s="10">
        <v>0</v>
      </c>
      <c r="K8519" t="b">
        <v>1</v>
      </c>
    </row>
    <row r="8520" spans="1:11">
      <c r="A8520" s="12">
        <v>42705</v>
      </c>
      <c r="B8520">
        <v>2016</v>
      </c>
      <c r="C8520">
        <v>12</v>
      </c>
      <c r="D8520" s="11">
        <v>42705</v>
      </c>
      <c r="E8520" t="s">
        <v>2184</v>
      </c>
      <c r="F8520">
        <v>4</v>
      </c>
      <c r="G8520" t="s">
        <v>53</v>
      </c>
      <c r="H8520" t="s">
        <v>46</v>
      </c>
      <c r="I8520" t="s">
        <v>2194</v>
      </c>
      <c r="J8520" s="10">
        <v>9</v>
      </c>
      <c r="K8520" t="b">
        <v>1</v>
      </c>
    </row>
    <row r="8521" spans="1:11">
      <c r="A8521" s="12">
        <v>42705</v>
      </c>
      <c r="B8521">
        <v>2016</v>
      </c>
      <c r="C8521">
        <v>12</v>
      </c>
      <c r="D8521" s="11">
        <v>42705</v>
      </c>
      <c r="E8521" t="s">
        <v>2184</v>
      </c>
      <c r="F8521">
        <v>4</v>
      </c>
      <c r="G8521" t="s">
        <v>53</v>
      </c>
      <c r="H8521" t="s">
        <v>47</v>
      </c>
      <c r="I8521" t="s">
        <v>2195</v>
      </c>
      <c r="J8521" s="10">
        <v>0</v>
      </c>
      <c r="K8521" t="b">
        <v>1</v>
      </c>
    </row>
    <row r="8522" spans="1:11">
      <c r="A8522" s="12">
        <v>42706</v>
      </c>
      <c r="B8522">
        <v>2016</v>
      </c>
      <c r="C8522">
        <v>12</v>
      </c>
      <c r="D8522" s="11">
        <v>42705</v>
      </c>
      <c r="E8522" t="s">
        <v>2184</v>
      </c>
      <c r="F8522">
        <v>5</v>
      </c>
      <c r="G8522" t="s">
        <v>55</v>
      </c>
      <c r="H8522" t="s">
        <v>40</v>
      </c>
      <c r="I8522" t="s">
        <v>2188</v>
      </c>
      <c r="J8522" s="10">
        <v>6</v>
      </c>
      <c r="K8522" t="b">
        <v>1</v>
      </c>
    </row>
    <row r="8523" spans="1:11">
      <c r="A8523" s="12">
        <v>42706</v>
      </c>
      <c r="B8523">
        <v>2016</v>
      </c>
      <c r="C8523">
        <v>12</v>
      </c>
      <c r="D8523" s="11">
        <v>42705</v>
      </c>
      <c r="E8523" t="s">
        <v>2184</v>
      </c>
      <c r="F8523">
        <v>5</v>
      </c>
      <c r="G8523" t="s">
        <v>55</v>
      </c>
      <c r="H8523" t="s">
        <v>41</v>
      </c>
      <c r="I8523" t="s">
        <v>2189</v>
      </c>
      <c r="J8523" s="10">
        <v>1.076</v>
      </c>
      <c r="K8523" t="b">
        <v>1</v>
      </c>
    </row>
    <row r="8524" spans="1:11">
      <c r="A8524" s="12">
        <v>42706</v>
      </c>
      <c r="B8524">
        <v>2016</v>
      </c>
      <c r="C8524">
        <v>12</v>
      </c>
      <c r="D8524" s="11">
        <v>42705</v>
      </c>
      <c r="E8524" t="s">
        <v>2184</v>
      </c>
      <c r="F8524">
        <v>5</v>
      </c>
      <c r="G8524" t="s">
        <v>55</v>
      </c>
      <c r="H8524" t="s">
        <v>42</v>
      </c>
      <c r="I8524" t="s">
        <v>2190</v>
      </c>
      <c r="J8524" s="10">
        <v>3.2</v>
      </c>
      <c r="K8524" t="b">
        <v>1</v>
      </c>
    </row>
    <row r="8525" spans="1:11">
      <c r="A8525" s="12">
        <v>42706</v>
      </c>
      <c r="B8525">
        <v>2016</v>
      </c>
      <c r="C8525">
        <v>12</v>
      </c>
      <c r="D8525" s="11">
        <v>42705</v>
      </c>
      <c r="E8525" t="s">
        <v>2184</v>
      </c>
      <c r="F8525">
        <v>5</v>
      </c>
      <c r="G8525" t="s">
        <v>55</v>
      </c>
      <c r="H8525" t="s">
        <v>43</v>
      </c>
      <c r="I8525" t="s">
        <v>2191</v>
      </c>
      <c r="J8525" s="10">
        <v>43</v>
      </c>
      <c r="K8525" t="b">
        <v>1</v>
      </c>
    </row>
    <row r="8526" spans="1:11">
      <c r="A8526" s="12">
        <v>42706</v>
      </c>
      <c r="B8526">
        <v>2016</v>
      </c>
      <c r="C8526">
        <v>12</v>
      </c>
      <c r="D8526" s="11">
        <v>42705</v>
      </c>
      <c r="E8526" t="s">
        <v>2184</v>
      </c>
      <c r="F8526">
        <v>5</v>
      </c>
      <c r="G8526" t="s">
        <v>55</v>
      </c>
      <c r="H8526" t="s">
        <v>44</v>
      </c>
      <c r="I8526" t="s">
        <v>2192</v>
      </c>
      <c r="J8526" s="10">
        <v>14</v>
      </c>
      <c r="K8526" t="b">
        <v>1</v>
      </c>
    </row>
    <row r="8527" spans="1:11">
      <c r="A8527" s="12">
        <v>42706</v>
      </c>
      <c r="B8527">
        <v>2016</v>
      </c>
      <c r="C8527">
        <v>12</v>
      </c>
      <c r="D8527" s="11">
        <v>42705</v>
      </c>
      <c r="E8527" t="s">
        <v>2184</v>
      </c>
      <c r="F8527">
        <v>5</v>
      </c>
      <c r="G8527" t="s">
        <v>55</v>
      </c>
      <c r="H8527" t="s">
        <v>45</v>
      </c>
      <c r="I8527" t="s">
        <v>2193</v>
      </c>
      <c r="J8527" s="10">
        <v>0</v>
      </c>
      <c r="K8527" t="b">
        <v>1</v>
      </c>
    </row>
    <row r="8528" spans="1:11">
      <c r="A8528" s="12">
        <v>42706</v>
      </c>
      <c r="B8528">
        <v>2016</v>
      </c>
      <c r="C8528">
        <v>12</v>
      </c>
      <c r="D8528" s="11">
        <v>42705</v>
      </c>
      <c r="E8528" t="s">
        <v>2184</v>
      </c>
      <c r="F8528">
        <v>5</v>
      </c>
      <c r="G8528" t="s">
        <v>55</v>
      </c>
      <c r="H8528" t="s">
        <v>46</v>
      </c>
      <c r="I8528" t="s">
        <v>2194</v>
      </c>
      <c r="J8528" s="10">
        <v>26</v>
      </c>
      <c r="K8528" t="b">
        <v>1</v>
      </c>
    </row>
    <row r="8529" spans="1:11">
      <c r="A8529" s="12">
        <v>42706</v>
      </c>
      <c r="B8529">
        <v>2016</v>
      </c>
      <c r="C8529">
        <v>12</v>
      </c>
      <c r="D8529" s="11">
        <v>42705</v>
      </c>
      <c r="E8529" t="s">
        <v>2184</v>
      </c>
      <c r="F8529">
        <v>5</v>
      </c>
      <c r="G8529" t="s">
        <v>55</v>
      </c>
      <c r="H8529" t="s">
        <v>47</v>
      </c>
      <c r="I8529" t="s">
        <v>2195</v>
      </c>
      <c r="J8529" s="10">
        <v>0.2</v>
      </c>
      <c r="K8529" t="b">
        <v>1</v>
      </c>
    </row>
    <row r="8530" spans="1:11">
      <c r="A8530" s="12">
        <v>42707</v>
      </c>
      <c r="B8530">
        <v>2016</v>
      </c>
      <c r="C8530">
        <v>12</v>
      </c>
      <c r="D8530" s="11">
        <v>42705</v>
      </c>
      <c r="E8530" t="s">
        <v>2184</v>
      </c>
      <c r="F8530">
        <v>6</v>
      </c>
      <c r="G8530" t="s">
        <v>57</v>
      </c>
      <c r="H8530" t="s">
        <v>40</v>
      </c>
      <c r="I8530" t="s">
        <v>2188</v>
      </c>
      <c r="J8530" s="10">
        <v>3.17</v>
      </c>
      <c r="K8530" t="b">
        <v>1</v>
      </c>
    </row>
    <row r="8531" spans="1:11">
      <c r="A8531" s="12">
        <v>42707</v>
      </c>
      <c r="B8531">
        <v>2016</v>
      </c>
      <c r="C8531">
        <v>12</v>
      </c>
      <c r="D8531" s="11">
        <v>42705</v>
      </c>
      <c r="E8531" t="s">
        <v>2184</v>
      </c>
      <c r="F8531">
        <v>6</v>
      </c>
      <c r="G8531" t="s">
        <v>57</v>
      </c>
      <c r="H8531" t="s">
        <v>41</v>
      </c>
      <c r="I8531" t="s">
        <v>2189</v>
      </c>
      <c r="J8531" s="10">
        <v>2.68</v>
      </c>
      <c r="K8531" t="b">
        <v>1</v>
      </c>
    </row>
    <row r="8532" spans="1:11">
      <c r="A8532" s="12">
        <v>42707</v>
      </c>
      <c r="B8532">
        <v>2016</v>
      </c>
      <c r="C8532">
        <v>12</v>
      </c>
      <c r="D8532" s="11">
        <v>42705</v>
      </c>
      <c r="E8532" t="s">
        <v>2184</v>
      </c>
      <c r="F8532">
        <v>6</v>
      </c>
      <c r="G8532" t="s">
        <v>57</v>
      </c>
      <c r="H8532" t="s">
        <v>42</v>
      </c>
      <c r="I8532" t="s">
        <v>2190</v>
      </c>
      <c r="J8532" s="10">
        <v>3</v>
      </c>
      <c r="K8532" t="b">
        <v>1</v>
      </c>
    </row>
    <row r="8533" spans="1:11">
      <c r="A8533" s="12">
        <v>42707</v>
      </c>
      <c r="B8533">
        <v>2016</v>
      </c>
      <c r="C8533">
        <v>12</v>
      </c>
      <c r="D8533" s="11">
        <v>42705</v>
      </c>
      <c r="E8533" t="s">
        <v>2184</v>
      </c>
      <c r="F8533">
        <v>6</v>
      </c>
      <c r="G8533" t="s">
        <v>57</v>
      </c>
      <c r="H8533" t="s">
        <v>43</v>
      </c>
      <c r="I8533" t="s">
        <v>2191</v>
      </c>
      <c r="J8533" s="10">
        <v>43.3</v>
      </c>
      <c r="K8533" t="b">
        <v>1</v>
      </c>
    </row>
    <row r="8534" spans="1:11">
      <c r="A8534" s="12">
        <v>42707</v>
      </c>
      <c r="B8534">
        <v>2016</v>
      </c>
      <c r="C8534">
        <v>12</v>
      </c>
      <c r="D8534" s="11">
        <v>42705</v>
      </c>
      <c r="E8534" t="s">
        <v>2184</v>
      </c>
      <c r="F8534">
        <v>6</v>
      </c>
      <c r="G8534" t="s">
        <v>57</v>
      </c>
      <c r="H8534" t="s">
        <v>44</v>
      </c>
      <c r="I8534" t="s">
        <v>2192</v>
      </c>
      <c r="J8534" s="10">
        <v>2</v>
      </c>
      <c r="K8534" t="b">
        <v>1</v>
      </c>
    </row>
    <row r="8535" spans="1:11">
      <c r="A8535" s="12">
        <v>42707</v>
      </c>
      <c r="B8535">
        <v>2016</v>
      </c>
      <c r="C8535">
        <v>12</v>
      </c>
      <c r="D8535" s="11">
        <v>42705</v>
      </c>
      <c r="E8535" t="s">
        <v>2184</v>
      </c>
      <c r="F8535">
        <v>6</v>
      </c>
      <c r="G8535" t="s">
        <v>57</v>
      </c>
      <c r="H8535" t="s">
        <v>45</v>
      </c>
      <c r="I8535" t="s">
        <v>2193</v>
      </c>
      <c r="J8535" s="10">
        <v>0</v>
      </c>
      <c r="K8535" t="b">
        <v>1</v>
      </c>
    </row>
    <row r="8536" spans="1:11">
      <c r="A8536" s="12">
        <v>42707</v>
      </c>
      <c r="B8536">
        <v>2016</v>
      </c>
      <c r="C8536">
        <v>12</v>
      </c>
      <c r="D8536" s="11">
        <v>42705</v>
      </c>
      <c r="E8536" t="s">
        <v>2184</v>
      </c>
      <c r="F8536">
        <v>6</v>
      </c>
      <c r="G8536" t="s">
        <v>57</v>
      </c>
      <c r="H8536" t="s">
        <v>46</v>
      </c>
      <c r="I8536" t="s">
        <v>2194</v>
      </c>
      <c r="J8536" s="10">
        <v>1</v>
      </c>
      <c r="K8536" t="b">
        <v>1</v>
      </c>
    </row>
    <row r="8537" spans="1:11">
      <c r="A8537" s="12">
        <v>42707</v>
      </c>
      <c r="B8537">
        <v>2016</v>
      </c>
      <c r="C8537">
        <v>12</v>
      </c>
      <c r="D8537" s="11">
        <v>42705</v>
      </c>
      <c r="E8537" t="s">
        <v>2184</v>
      </c>
      <c r="F8537">
        <v>6</v>
      </c>
      <c r="G8537" t="s">
        <v>57</v>
      </c>
      <c r="H8537" t="s">
        <v>47</v>
      </c>
      <c r="I8537" t="s">
        <v>2195</v>
      </c>
      <c r="J8537" s="10">
        <v>4</v>
      </c>
      <c r="K8537" t="b">
        <v>1</v>
      </c>
    </row>
    <row r="8538" spans="1:11">
      <c r="A8538" s="12">
        <v>42708</v>
      </c>
      <c r="B8538">
        <v>2016</v>
      </c>
      <c r="C8538">
        <v>12</v>
      </c>
      <c r="D8538" s="11">
        <v>42705</v>
      </c>
      <c r="E8538" t="s">
        <v>2184</v>
      </c>
      <c r="F8538">
        <v>7</v>
      </c>
      <c r="G8538" t="s">
        <v>59</v>
      </c>
      <c r="H8538" t="s">
        <v>40</v>
      </c>
      <c r="I8538" t="s">
        <v>2188</v>
      </c>
      <c r="J8538" s="10">
        <v>7</v>
      </c>
      <c r="K8538" t="b">
        <v>1</v>
      </c>
    </row>
    <row r="8539" spans="1:11">
      <c r="A8539" s="12">
        <v>42708</v>
      </c>
      <c r="B8539">
        <v>2016</v>
      </c>
      <c r="C8539">
        <v>12</v>
      </c>
      <c r="D8539" s="11">
        <v>42705</v>
      </c>
      <c r="E8539" t="s">
        <v>2184</v>
      </c>
      <c r="F8539">
        <v>7</v>
      </c>
      <c r="G8539" t="s">
        <v>59</v>
      </c>
      <c r="H8539" t="s">
        <v>41</v>
      </c>
      <c r="I8539" t="s">
        <v>2189</v>
      </c>
      <c r="J8539" s="10">
        <v>9.122999999999999</v>
      </c>
      <c r="K8539" t="b">
        <v>1</v>
      </c>
    </row>
    <row r="8540" spans="1:11">
      <c r="A8540" s="12">
        <v>42708</v>
      </c>
      <c r="B8540">
        <v>2016</v>
      </c>
      <c r="C8540">
        <v>12</v>
      </c>
      <c r="D8540" s="11">
        <v>42705</v>
      </c>
      <c r="E8540" t="s">
        <v>2184</v>
      </c>
      <c r="F8540">
        <v>7</v>
      </c>
      <c r="G8540" t="s">
        <v>59</v>
      </c>
      <c r="H8540" t="s">
        <v>42</v>
      </c>
      <c r="I8540" t="s">
        <v>2190</v>
      </c>
      <c r="J8540" s="10">
        <v>2.9</v>
      </c>
      <c r="K8540" t="b">
        <v>1</v>
      </c>
    </row>
    <row r="8541" spans="1:11">
      <c r="A8541" s="12">
        <v>42708</v>
      </c>
      <c r="B8541">
        <v>2016</v>
      </c>
      <c r="C8541">
        <v>12</v>
      </c>
      <c r="D8541" s="11">
        <v>42705</v>
      </c>
      <c r="E8541" t="s">
        <v>2184</v>
      </c>
      <c r="F8541">
        <v>7</v>
      </c>
      <c r="G8541" t="s">
        <v>59</v>
      </c>
      <c r="H8541" t="s">
        <v>43</v>
      </c>
      <c r="I8541" t="s">
        <v>2191</v>
      </c>
      <c r="J8541" s="10">
        <v>67</v>
      </c>
      <c r="K8541" t="b">
        <v>1</v>
      </c>
    </row>
    <row r="8542" spans="1:11">
      <c r="A8542" s="12">
        <v>42708</v>
      </c>
      <c r="B8542">
        <v>2016</v>
      </c>
      <c r="C8542">
        <v>12</v>
      </c>
      <c r="D8542" s="11">
        <v>42705</v>
      </c>
      <c r="E8542" t="s">
        <v>2184</v>
      </c>
      <c r="F8542">
        <v>7</v>
      </c>
      <c r="G8542" t="s">
        <v>59</v>
      </c>
      <c r="H8542" t="s">
        <v>44</v>
      </c>
      <c r="I8542" t="s">
        <v>2192</v>
      </c>
      <c r="J8542" s="10">
        <v>4</v>
      </c>
      <c r="K8542" t="b">
        <v>1</v>
      </c>
    </row>
    <row r="8543" spans="1:11">
      <c r="A8543" s="12">
        <v>42708</v>
      </c>
      <c r="B8543">
        <v>2016</v>
      </c>
      <c r="C8543">
        <v>12</v>
      </c>
      <c r="D8543" s="11">
        <v>42705</v>
      </c>
      <c r="E8543" t="s">
        <v>2184</v>
      </c>
      <c r="F8543">
        <v>7</v>
      </c>
      <c r="G8543" t="s">
        <v>59</v>
      </c>
      <c r="H8543" t="s">
        <v>45</v>
      </c>
      <c r="I8543" t="s">
        <v>2193</v>
      </c>
      <c r="J8543" s="10">
        <v>0</v>
      </c>
      <c r="K8543" t="b">
        <v>1</v>
      </c>
    </row>
    <row r="8544" spans="1:11">
      <c r="A8544" s="12">
        <v>42708</v>
      </c>
      <c r="B8544">
        <v>2016</v>
      </c>
      <c r="C8544">
        <v>12</v>
      </c>
      <c r="D8544" s="11">
        <v>42705</v>
      </c>
      <c r="E8544" t="s">
        <v>2184</v>
      </c>
      <c r="F8544">
        <v>7</v>
      </c>
      <c r="G8544" t="s">
        <v>59</v>
      </c>
      <c r="H8544" t="s">
        <v>46</v>
      </c>
      <c r="I8544" t="s">
        <v>2194</v>
      </c>
      <c r="J8544" s="10">
        <v>0</v>
      </c>
      <c r="K8544" t="b">
        <v>1</v>
      </c>
    </row>
    <row r="8545" spans="1:11">
      <c r="A8545" s="12">
        <v>42708</v>
      </c>
      <c r="B8545">
        <v>2016</v>
      </c>
      <c r="C8545">
        <v>12</v>
      </c>
      <c r="D8545" s="11">
        <v>42705</v>
      </c>
      <c r="E8545" t="s">
        <v>2184</v>
      </c>
      <c r="F8545">
        <v>7</v>
      </c>
      <c r="G8545" t="s">
        <v>59</v>
      </c>
      <c r="H8545" t="s">
        <v>47</v>
      </c>
      <c r="I8545" t="s">
        <v>2195</v>
      </c>
      <c r="J8545" s="10">
        <v>0</v>
      </c>
      <c r="K8545" t="b">
        <v>1</v>
      </c>
    </row>
    <row r="8546" spans="1:11">
      <c r="A8546" s="12">
        <v>42709</v>
      </c>
      <c r="B8546">
        <v>2016</v>
      </c>
      <c r="C8546">
        <v>12</v>
      </c>
      <c r="D8546" s="11">
        <v>42705</v>
      </c>
      <c r="E8546" t="s">
        <v>2184</v>
      </c>
      <c r="F8546">
        <v>1</v>
      </c>
      <c r="G8546" t="s">
        <v>61</v>
      </c>
      <c r="H8546" t="s">
        <v>40</v>
      </c>
      <c r="I8546" t="s">
        <v>2188</v>
      </c>
      <c r="J8546" s="10">
        <v>9.5</v>
      </c>
      <c r="K8546" t="b">
        <v>1</v>
      </c>
    </row>
    <row r="8547" spans="1:11">
      <c r="A8547" s="12">
        <v>42709</v>
      </c>
      <c r="B8547">
        <v>2016</v>
      </c>
      <c r="C8547">
        <v>12</v>
      </c>
      <c r="D8547" s="11">
        <v>42705</v>
      </c>
      <c r="E8547" t="s">
        <v>2184</v>
      </c>
      <c r="F8547">
        <v>1</v>
      </c>
      <c r="G8547" t="s">
        <v>61</v>
      </c>
      <c r="H8547" t="s">
        <v>41</v>
      </c>
      <c r="I8547" t="s">
        <v>2189</v>
      </c>
      <c r="J8547" s="10">
        <v>1.68</v>
      </c>
      <c r="K8547" t="b">
        <v>1</v>
      </c>
    </row>
    <row r="8548" spans="1:11">
      <c r="A8548" s="12">
        <v>42709</v>
      </c>
      <c r="B8548">
        <v>2016</v>
      </c>
      <c r="C8548">
        <v>12</v>
      </c>
      <c r="D8548" s="11">
        <v>42705</v>
      </c>
      <c r="E8548" t="s">
        <v>2184</v>
      </c>
      <c r="F8548">
        <v>1</v>
      </c>
      <c r="G8548" t="s">
        <v>61</v>
      </c>
      <c r="H8548" t="s">
        <v>42</v>
      </c>
      <c r="I8548" t="s">
        <v>2190</v>
      </c>
      <c r="J8548" s="10">
        <v>4</v>
      </c>
      <c r="K8548" t="b">
        <v>1</v>
      </c>
    </row>
    <row r="8549" spans="1:11">
      <c r="A8549" s="12">
        <v>42709</v>
      </c>
      <c r="B8549">
        <v>2016</v>
      </c>
      <c r="C8549">
        <v>12</v>
      </c>
      <c r="D8549" s="11">
        <v>42705</v>
      </c>
      <c r="E8549" t="s">
        <v>2184</v>
      </c>
      <c r="F8549">
        <v>1</v>
      </c>
      <c r="G8549" t="s">
        <v>61</v>
      </c>
      <c r="H8549" t="s">
        <v>43</v>
      </c>
      <c r="I8549" t="s">
        <v>2191</v>
      </c>
      <c r="J8549" s="10">
        <v>23</v>
      </c>
      <c r="K8549" t="b">
        <v>1</v>
      </c>
    </row>
    <row r="8550" spans="1:11">
      <c r="A8550" s="12">
        <v>42709</v>
      </c>
      <c r="B8550">
        <v>2016</v>
      </c>
      <c r="C8550">
        <v>12</v>
      </c>
      <c r="D8550" s="11">
        <v>42705</v>
      </c>
      <c r="E8550" t="s">
        <v>2184</v>
      </c>
      <c r="F8550">
        <v>1</v>
      </c>
      <c r="G8550" t="s">
        <v>61</v>
      </c>
      <c r="H8550" t="s">
        <v>44</v>
      </c>
      <c r="I8550" t="s">
        <v>2192</v>
      </c>
      <c r="J8550" s="10">
        <v>6</v>
      </c>
      <c r="K8550" t="b">
        <v>1</v>
      </c>
    </row>
    <row r="8551" spans="1:11">
      <c r="A8551" s="12">
        <v>42709</v>
      </c>
      <c r="B8551">
        <v>2016</v>
      </c>
      <c r="C8551">
        <v>12</v>
      </c>
      <c r="D8551" s="11">
        <v>42705</v>
      </c>
      <c r="E8551" t="s">
        <v>2184</v>
      </c>
      <c r="F8551">
        <v>1</v>
      </c>
      <c r="G8551" t="s">
        <v>61</v>
      </c>
      <c r="H8551" t="s">
        <v>45</v>
      </c>
      <c r="I8551" t="s">
        <v>2193</v>
      </c>
      <c r="J8551" s="10">
        <v>1</v>
      </c>
      <c r="K8551" t="b">
        <v>1</v>
      </c>
    </row>
    <row r="8552" spans="1:11">
      <c r="A8552" s="12">
        <v>42709</v>
      </c>
      <c r="B8552">
        <v>2016</v>
      </c>
      <c r="C8552">
        <v>12</v>
      </c>
      <c r="D8552" s="11">
        <v>42705</v>
      </c>
      <c r="E8552" t="s">
        <v>2184</v>
      </c>
      <c r="F8552">
        <v>1</v>
      </c>
      <c r="G8552" t="s">
        <v>61</v>
      </c>
      <c r="H8552" t="s">
        <v>46</v>
      </c>
      <c r="I8552" t="s">
        <v>2194</v>
      </c>
      <c r="J8552" s="10">
        <v>13</v>
      </c>
      <c r="K8552" t="b">
        <v>1</v>
      </c>
    </row>
    <row r="8553" spans="1:11">
      <c r="A8553" s="12">
        <v>42709</v>
      </c>
      <c r="B8553">
        <v>2016</v>
      </c>
      <c r="C8553">
        <v>12</v>
      </c>
      <c r="D8553" s="11">
        <v>42705</v>
      </c>
      <c r="E8553" t="s">
        <v>2184</v>
      </c>
      <c r="F8553">
        <v>1</v>
      </c>
      <c r="G8553" t="s">
        <v>61</v>
      </c>
      <c r="H8553" t="s">
        <v>47</v>
      </c>
      <c r="I8553" t="s">
        <v>2195</v>
      </c>
      <c r="J8553" s="10">
        <v>2</v>
      </c>
      <c r="K8553" t="b">
        <v>1</v>
      </c>
    </row>
    <row r="8554" spans="1:11">
      <c r="A8554" s="12">
        <v>42710</v>
      </c>
      <c r="B8554">
        <v>2016</v>
      </c>
      <c r="C8554">
        <v>12</v>
      </c>
      <c r="D8554" s="11">
        <v>42705</v>
      </c>
      <c r="E8554" t="s">
        <v>2184</v>
      </c>
      <c r="F8554">
        <v>2</v>
      </c>
      <c r="G8554" t="s">
        <v>63</v>
      </c>
      <c r="H8554" t="s">
        <v>40</v>
      </c>
      <c r="I8554" t="s">
        <v>2188</v>
      </c>
      <c r="J8554" s="10">
        <v>6</v>
      </c>
      <c r="K8554" t="b">
        <v>1</v>
      </c>
    </row>
    <row r="8555" spans="1:11">
      <c r="A8555" s="12">
        <v>42710</v>
      </c>
      <c r="B8555">
        <v>2016</v>
      </c>
      <c r="C8555">
        <v>12</v>
      </c>
      <c r="D8555" s="11">
        <v>42705</v>
      </c>
      <c r="E8555" t="s">
        <v>2184</v>
      </c>
      <c r="F8555">
        <v>2</v>
      </c>
      <c r="G8555" t="s">
        <v>63</v>
      </c>
      <c r="H8555" t="s">
        <v>41</v>
      </c>
      <c r="I8555" t="s">
        <v>2189</v>
      </c>
      <c r="J8555" s="10">
        <v>5.09</v>
      </c>
      <c r="K8555" t="b">
        <v>1</v>
      </c>
    </row>
    <row r="8556" spans="1:11">
      <c r="A8556" s="12">
        <v>42710</v>
      </c>
      <c r="B8556">
        <v>2016</v>
      </c>
      <c r="C8556">
        <v>12</v>
      </c>
      <c r="D8556" s="11">
        <v>42705</v>
      </c>
      <c r="E8556" t="s">
        <v>2184</v>
      </c>
      <c r="F8556">
        <v>2</v>
      </c>
      <c r="G8556" t="s">
        <v>63</v>
      </c>
      <c r="H8556" t="s">
        <v>42</v>
      </c>
      <c r="I8556" t="s">
        <v>2190</v>
      </c>
      <c r="J8556" s="10">
        <v>4.4</v>
      </c>
      <c r="K8556" t="b">
        <v>1</v>
      </c>
    </row>
    <row r="8557" spans="1:11">
      <c r="A8557" s="12">
        <v>42710</v>
      </c>
      <c r="B8557">
        <v>2016</v>
      </c>
      <c r="C8557">
        <v>12</v>
      </c>
      <c r="D8557" s="11">
        <v>42705</v>
      </c>
      <c r="E8557" t="s">
        <v>2184</v>
      </c>
      <c r="F8557">
        <v>2</v>
      </c>
      <c r="G8557" t="s">
        <v>63</v>
      </c>
      <c r="H8557" t="s">
        <v>43</v>
      </c>
      <c r="I8557" t="s">
        <v>2191</v>
      </c>
      <c r="J8557" s="10">
        <v>27.2</v>
      </c>
      <c r="K8557" t="b">
        <v>1</v>
      </c>
    </row>
    <row r="8558" spans="1:11">
      <c r="A8558" s="12">
        <v>42710</v>
      </c>
      <c r="B8558">
        <v>2016</v>
      </c>
      <c r="C8558">
        <v>12</v>
      </c>
      <c r="D8558" s="11">
        <v>42705</v>
      </c>
      <c r="E8558" t="s">
        <v>2184</v>
      </c>
      <c r="F8558">
        <v>2</v>
      </c>
      <c r="G8558" t="s">
        <v>63</v>
      </c>
      <c r="H8558" t="s">
        <v>44</v>
      </c>
      <c r="I8558" t="s">
        <v>2192</v>
      </c>
      <c r="J8558" s="10">
        <v>4</v>
      </c>
      <c r="K8558" t="b">
        <v>1</v>
      </c>
    </row>
    <row r="8559" spans="1:11">
      <c r="A8559" s="12">
        <v>42710</v>
      </c>
      <c r="B8559">
        <v>2016</v>
      </c>
      <c r="C8559">
        <v>12</v>
      </c>
      <c r="D8559" s="11">
        <v>42705</v>
      </c>
      <c r="E8559" t="s">
        <v>2184</v>
      </c>
      <c r="F8559">
        <v>2</v>
      </c>
      <c r="G8559" t="s">
        <v>63</v>
      </c>
      <c r="H8559" t="s">
        <v>45</v>
      </c>
      <c r="I8559" t="s">
        <v>2193</v>
      </c>
      <c r="J8559" s="10">
        <v>0</v>
      </c>
      <c r="K8559" t="b">
        <v>1</v>
      </c>
    </row>
    <row r="8560" spans="1:11">
      <c r="A8560" s="12">
        <v>42710</v>
      </c>
      <c r="B8560">
        <v>2016</v>
      </c>
      <c r="C8560">
        <v>12</v>
      </c>
      <c r="D8560" s="11">
        <v>42705</v>
      </c>
      <c r="E8560" t="s">
        <v>2184</v>
      </c>
      <c r="F8560">
        <v>2</v>
      </c>
      <c r="G8560" t="s">
        <v>63</v>
      </c>
      <c r="H8560" t="s">
        <v>46</v>
      </c>
      <c r="I8560" t="s">
        <v>2194</v>
      </c>
      <c r="J8560" s="10">
        <v>20</v>
      </c>
      <c r="K8560" t="b">
        <v>1</v>
      </c>
    </row>
    <row r="8561" spans="1:11">
      <c r="A8561" s="12">
        <v>42710</v>
      </c>
      <c r="B8561">
        <v>2016</v>
      </c>
      <c r="C8561">
        <v>12</v>
      </c>
      <c r="D8561" s="11">
        <v>42705</v>
      </c>
      <c r="E8561" t="s">
        <v>2184</v>
      </c>
      <c r="F8561">
        <v>2</v>
      </c>
      <c r="G8561" t="s">
        <v>63</v>
      </c>
      <c r="H8561" t="s">
        <v>47</v>
      </c>
      <c r="I8561" t="s">
        <v>2195</v>
      </c>
      <c r="J8561" s="10">
        <v>1</v>
      </c>
      <c r="K8561" t="b">
        <v>1</v>
      </c>
    </row>
    <row r="8562" spans="1:11">
      <c r="A8562" s="12">
        <v>42711</v>
      </c>
      <c r="B8562">
        <v>2016</v>
      </c>
      <c r="C8562">
        <v>12</v>
      </c>
      <c r="D8562" s="11">
        <v>42705</v>
      </c>
      <c r="E8562" t="s">
        <v>2184</v>
      </c>
      <c r="F8562">
        <v>3</v>
      </c>
      <c r="G8562" t="s">
        <v>65</v>
      </c>
      <c r="H8562" t="s">
        <v>40</v>
      </c>
      <c r="I8562" t="s">
        <v>2188</v>
      </c>
      <c r="J8562" s="10">
        <v>4.34</v>
      </c>
      <c r="K8562" t="b">
        <v>1</v>
      </c>
    </row>
    <row r="8563" spans="1:11">
      <c r="A8563" s="12">
        <v>42711</v>
      </c>
      <c r="B8563">
        <v>2016</v>
      </c>
      <c r="C8563">
        <v>12</v>
      </c>
      <c r="D8563" s="11">
        <v>42705</v>
      </c>
      <c r="E8563" t="s">
        <v>2184</v>
      </c>
      <c r="F8563">
        <v>3</v>
      </c>
      <c r="G8563" t="s">
        <v>65</v>
      </c>
      <c r="H8563" t="s">
        <v>41</v>
      </c>
      <c r="I8563" t="s">
        <v>2189</v>
      </c>
      <c r="J8563" s="10">
        <v>2.726</v>
      </c>
      <c r="K8563" t="b">
        <v>1</v>
      </c>
    </row>
    <row r="8564" spans="1:11">
      <c r="A8564" s="12">
        <v>42711</v>
      </c>
      <c r="B8564">
        <v>2016</v>
      </c>
      <c r="C8564">
        <v>12</v>
      </c>
      <c r="D8564" s="11">
        <v>42705</v>
      </c>
      <c r="E8564" t="s">
        <v>2184</v>
      </c>
      <c r="F8564">
        <v>3</v>
      </c>
      <c r="G8564" t="s">
        <v>65</v>
      </c>
      <c r="H8564" t="s">
        <v>42</v>
      </c>
      <c r="I8564" t="s">
        <v>2190</v>
      </c>
      <c r="J8564" s="10">
        <v>1.7</v>
      </c>
      <c r="K8564" t="b">
        <v>1</v>
      </c>
    </row>
    <row r="8565" spans="1:11">
      <c r="A8565" s="12">
        <v>42711</v>
      </c>
      <c r="B8565">
        <v>2016</v>
      </c>
      <c r="C8565">
        <v>12</v>
      </c>
      <c r="D8565" s="11">
        <v>42705</v>
      </c>
      <c r="E8565" t="s">
        <v>2184</v>
      </c>
      <c r="F8565">
        <v>3</v>
      </c>
      <c r="G8565" t="s">
        <v>65</v>
      </c>
      <c r="H8565" t="s">
        <v>43</v>
      </c>
      <c r="I8565" t="s">
        <v>2191</v>
      </c>
      <c r="J8565" s="10">
        <v>47</v>
      </c>
      <c r="K8565" t="b">
        <v>1</v>
      </c>
    </row>
    <row r="8566" spans="1:11">
      <c r="A8566" s="12">
        <v>42711</v>
      </c>
      <c r="B8566">
        <v>2016</v>
      </c>
      <c r="C8566">
        <v>12</v>
      </c>
      <c r="D8566" s="11">
        <v>42705</v>
      </c>
      <c r="E8566" t="s">
        <v>2184</v>
      </c>
      <c r="F8566">
        <v>3</v>
      </c>
      <c r="G8566" t="s">
        <v>65</v>
      </c>
      <c r="H8566" t="s">
        <v>44</v>
      </c>
      <c r="I8566" t="s">
        <v>2192</v>
      </c>
      <c r="J8566" s="10">
        <v>8</v>
      </c>
      <c r="K8566" t="b">
        <v>1</v>
      </c>
    </row>
    <row r="8567" spans="1:11">
      <c r="A8567" s="12">
        <v>42711</v>
      </c>
      <c r="B8567">
        <v>2016</v>
      </c>
      <c r="C8567">
        <v>12</v>
      </c>
      <c r="D8567" s="11">
        <v>42705</v>
      </c>
      <c r="E8567" t="s">
        <v>2184</v>
      </c>
      <c r="F8567">
        <v>3</v>
      </c>
      <c r="G8567" t="s">
        <v>65</v>
      </c>
      <c r="H8567" t="s">
        <v>45</v>
      </c>
      <c r="I8567" t="s">
        <v>2193</v>
      </c>
      <c r="J8567" s="10">
        <v>3</v>
      </c>
      <c r="K8567" t="b">
        <v>1</v>
      </c>
    </row>
    <row r="8568" spans="1:11">
      <c r="A8568" s="12">
        <v>42711</v>
      </c>
      <c r="B8568">
        <v>2016</v>
      </c>
      <c r="C8568">
        <v>12</v>
      </c>
      <c r="D8568" s="11">
        <v>42705</v>
      </c>
      <c r="E8568" t="s">
        <v>2184</v>
      </c>
      <c r="F8568">
        <v>3</v>
      </c>
      <c r="G8568" t="s">
        <v>65</v>
      </c>
      <c r="H8568" t="s">
        <v>46</v>
      </c>
      <c r="I8568" t="s">
        <v>2194</v>
      </c>
      <c r="J8568" s="10">
        <v>7</v>
      </c>
      <c r="K8568" t="b">
        <v>1</v>
      </c>
    </row>
    <row r="8569" spans="1:11">
      <c r="A8569" s="12">
        <v>42711</v>
      </c>
      <c r="B8569">
        <v>2016</v>
      </c>
      <c r="C8569">
        <v>12</v>
      </c>
      <c r="D8569" s="11">
        <v>42705</v>
      </c>
      <c r="E8569" t="s">
        <v>2184</v>
      </c>
      <c r="F8569">
        <v>3</v>
      </c>
      <c r="G8569" t="s">
        <v>65</v>
      </c>
      <c r="H8569" t="s">
        <v>47</v>
      </c>
      <c r="I8569" t="s">
        <v>2195</v>
      </c>
      <c r="J8569" s="10">
        <v>3</v>
      </c>
      <c r="K8569" t="b">
        <v>1</v>
      </c>
    </row>
    <row r="8570" spans="1:11">
      <c r="A8570" s="12">
        <v>42712</v>
      </c>
      <c r="B8570">
        <v>2016</v>
      </c>
      <c r="C8570">
        <v>12</v>
      </c>
      <c r="D8570" s="11">
        <v>42705</v>
      </c>
      <c r="E8570" t="s">
        <v>2184</v>
      </c>
      <c r="F8570">
        <v>4</v>
      </c>
      <c r="G8570" t="s">
        <v>53</v>
      </c>
      <c r="H8570" t="s">
        <v>40</v>
      </c>
      <c r="I8570" t="s">
        <v>2188</v>
      </c>
      <c r="J8570" s="10">
        <v>5.67</v>
      </c>
      <c r="K8570" t="b">
        <v>1</v>
      </c>
    </row>
    <row r="8571" spans="1:11">
      <c r="A8571" s="12">
        <v>42712</v>
      </c>
      <c r="B8571">
        <v>2016</v>
      </c>
      <c r="C8571">
        <v>12</v>
      </c>
      <c r="D8571" s="11">
        <v>42705</v>
      </c>
      <c r="E8571" t="s">
        <v>2184</v>
      </c>
      <c r="F8571">
        <v>4</v>
      </c>
      <c r="G8571" t="s">
        <v>53</v>
      </c>
      <c r="H8571" t="s">
        <v>41</v>
      </c>
      <c r="I8571" t="s">
        <v>2189</v>
      </c>
      <c r="J8571" s="10">
        <v>1.67</v>
      </c>
      <c r="K8571" t="b">
        <v>1</v>
      </c>
    </row>
    <row r="8572" spans="1:11">
      <c r="A8572" s="12">
        <v>42712</v>
      </c>
      <c r="B8572">
        <v>2016</v>
      </c>
      <c r="C8572">
        <v>12</v>
      </c>
      <c r="D8572" s="11">
        <v>42705</v>
      </c>
      <c r="E8572" t="s">
        <v>2184</v>
      </c>
      <c r="F8572">
        <v>4</v>
      </c>
      <c r="G8572" t="s">
        <v>53</v>
      </c>
      <c r="H8572" t="s">
        <v>42</v>
      </c>
      <c r="I8572" t="s">
        <v>2190</v>
      </c>
      <c r="J8572" s="10">
        <v>5</v>
      </c>
      <c r="K8572" t="b">
        <v>1</v>
      </c>
    </row>
    <row r="8573" spans="1:11">
      <c r="A8573" s="12">
        <v>42712</v>
      </c>
      <c r="B8573">
        <v>2016</v>
      </c>
      <c r="C8573">
        <v>12</v>
      </c>
      <c r="D8573" s="11">
        <v>42705</v>
      </c>
      <c r="E8573" t="s">
        <v>2184</v>
      </c>
      <c r="F8573">
        <v>4</v>
      </c>
      <c r="G8573" t="s">
        <v>53</v>
      </c>
      <c r="H8573" t="s">
        <v>43</v>
      </c>
      <c r="I8573" t="s">
        <v>2191</v>
      </c>
      <c r="J8573" s="10">
        <v>35.7</v>
      </c>
      <c r="K8573" t="b">
        <v>1</v>
      </c>
    </row>
    <row r="8574" spans="1:11">
      <c r="A8574" s="12">
        <v>42712</v>
      </c>
      <c r="B8574">
        <v>2016</v>
      </c>
      <c r="C8574">
        <v>12</v>
      </c>
      <c r="D8574" s="11">
        <v>42705</v>
      </c>
      <c r="E8574" t="s">
        <v>2184</v>
      </c>
      <c r="F8574">
        <v>4</v>
      </c>
      <c r="G8574" t="s">
        <v>53</v>
      </c>
      <c r="H8574" t="s">
        <v>44</v>
      </c>
      <c r="I8574" t="s">
        <v>2192</v>
      </c>
      <c r="J8574" s="10">
        <v>9</v>
      </c>
      <c r="K8574" t="b">
        <v>1</v>
      </c>
    </row>
    <row r="8575" spans="1:11">
      <c r="A8575" s="12">
        <v>42712</v>
      </c>
      <c r="B8575">
        <v>2016</v>
      </c>
      <c r="C8575">
        <v>12</v>
      </c>
      <c r="D8575" s="11">
        <v>42705</v>
      </c>
      <c r="E8575" t="s">
        <v>2184</v>
      </c>
      <c r="F8575">
        <v>4</v>
      </c>
      <c r="G8575" t="s">
        <v>53</v>
      </c>
      <c r="H8575" t="s">
        <v>45</v>
      </c>
      <c r="I8575" t="s">
        <v>2193</v>
      </c>
      <c r="J8575" s="10">
        <v>0</v>
      </c>
      <c r="K8575" t="b">
        <v>1</v>
      </c>
    </row>
    <row r="8576" spans="1:11">
      <c r="A8576" s="12">
        <v>42712</v>
      </c>
      <c r="B8576">
        <v>2016</v>
      </c>
      <c r="C8576">
        <v>12</v>
      </c>
      <c r="D8576" s="11">
        <v>42705</v>
      </c>
      <c r="E8576" t="s">
        <v>2184</v>
      </c>
      <c r="F8576">
        <v>4</v>
      </c>
      <c r="G8576" t="s">
        <v>53</v>
      </c>
      <c r="H8576" t="s">
        <v>46</v>
      </c>
      <c r="I8576" t="s">
        <v>2194</v>
      </c>
      <c r="J8576" s="10">
        <v>2</v>
      </c>
      <c r="K8576" t="b">
        <v>1</v>
      </c>
    </row>
    <row r="8577" spans="1:11">
      <c r="A8577" s="12">
        <v>42712</v>
      </c>
      <c r="B8577">
        <v>2016</v>
      </c>
      <c r="C8577">
        <v>12</v>
      </c>
      <c r="D8577" s="11">
        <v>42705</v>
      </c>
      <c r="E8577" t="s">
        <v>2184</v>
      </c>
      <c r="F8577">
        <v>4</v>
      </c>
      <c r="G8577" t="s">
        <v>53</v>
      </c>
      <c r="H8577" t="s">
        <v>47</v>
      </c>
      <c r="I8577" t="s">
        <v>2195</v>
      </c>
      <c r="J8577" s="10">
        <v>0</v>
      </c>
      <c r="K8577" t="b">
        <v>1</v>
      </c>
    </row>
    <row r="8578" spans="1:11">
      <c r="A8578" s="12">
        <v>42713</v>
      </c>
      <c r="B8578">
        <v>2016</v>
      </c>
      <c r="C8578">
        <v>12</v>
      </c>
      <c r="D8578" s="11">
        <v>42705</v>
      </c>
      <c r="E8578" t="s">
        <v>2184</v>
      </c>
      <c r="F8578">
        <v>5</v>
      </c>
      <c r="G8578" t="s">
        <v>55</v>
      </c>
      <c r="H8578" t="s">
        <v>40</v>
      </c>
      <c r="I8578" t="s">
        <v>2188</v>
      </c>
      <c r="J8578" s="10">
        <v>5.66</v>
      </c>
      <c r="K8578" t="b">
        <v>1</v>
      </c>
    </row>
    <row r="8579" spans="1:11">
      <c r="A8579" s="12">
        <v>42713</v>
      </c>
      <c r="B8579">
        <v>2016</v>
      </c>
      <c r="C8579">
        <v>12</v>
      </c>
      <c r="D8579" s="11">
        <v>42705</v>
      </c>
      <c r="E8579" t="s">
        <v>2184</v>
      </c>
      <c r="F8579">
        <v>5</v>
      </c>
      <c r="G8579" t="s">
        <v>55</v>
      </c>
      <c r="H8579" t="s">
        <v>41</v>
      </c>
      <c r="I8579" t="s">
        <v>2189</v>
      </c>
      <c r="J8579" s="10">
        <v>1.67</v>
      </c>
      <c r="K8579" t="b">
        <v>1</v>
      </c>
    </row>
    <row r="8580" spans="1:11">
      <c r="A8580" s="12">
        <v>42713</v>
      </c>
      <c r="B8580">
        <v>2016</v>
      </c>
      <c r="C8580">
        <v>12</v>
      </c>
      <c r="D8580" s="11">
        <v>42705</v>
      </c>
      <c r="E8580" t="s">
        <v>2184</v>
      </c>
      <c r="F8580">
        <v>5</v>
      </c>
      <c r="G8580" t="s">
        <v>55</v>
      </c>
      <c r="H8580" t="s">
        <v>42</v>
      </c>
      <c r="I8580" t="s">
        <v>2190</v>
      </c>
      <c r="J8580" s="10">
        <v>4</v>
      </c>
      <c r="K8580" t="b">
        <v>1</v>
      </c>
    </row>
    <row r="8581" spans="1:11">
      <c r="A8581" s="12">
        <v>42713</v>
      </c>
      <c r="B8581">
        <v>2016</v>
      </c>
      <c r="C8581">
        <v>12</v>
      </c>
      <c r="D8581" s="11">
        <v>42705</v>
      </c>
      <c r="E8581" t="s">
        <v>2184</v>
      </c>
      <c r="F8581">
        <v>5</v>
      </c>
      <c r="G8581" t="s">
        <v>55</v>
      </c>
      <c r="H8581" t="s">
        <v>43</v>
      </c>
      <c r="I8581" t="s">
        <v>2191</v>
      </c>
      <c r="J8581" s="10">
        <v>35.062</v>
      </c>
      <c r="K8581" t="b">
        <v>1</v>
      </c>
    </row>
    <row r="8582" spans="1:11">
      <c r="A8582" s="12">
        <v>42713</v>
      </c>
      <c r="B8582">
        <v>2016</v>
      </c>
      <c r="C8582">
        <v>12</v>
      </c>
      <c r="D8582" s="11">
        <v>42705</v>
      </c>
      <c r="E8582" t="s">
        <v>2184</v>
      </c>
      <c r="F8582">
        <v>5</v>
      </c>
      <c r="G8582" t="s">
        <v>55</v>
      </c>
      <c r="H8582" t="s">
        <v>44</v>
      </c>
      <c r="I8582" t="s">
        <v>2192</v>
      </c>
      <c r="J8582" s="10">
        <v>2</v>
      </c>
      <c r="K8582" t="b">
        <v>1</v>
      </c>
    </row>
    <row r="8583" spans="1:11">
      <c r="A8583" s="12">
        <v>42713</v>
      </c>
      <c r="B8583">
        <v>2016</v>
      </c>
      <c r="C8583">
        <v>12</v>
      </c>
      <c r="D8583" s="11">
        <v>42705</v>
      </c>
      <c r="E8583" t="s">
        <v>2184</v>
      </c>
      <c r="F8583">
        <v>5</v>
      </c>
      <c r="G8583" t="s">
        <v>55</v>
      </c>
      <c r="H8583" t="s">
        <v>45</v>
      </c>
      <c r="I8583" t="s">
        <v>2193</v>
      </c>
      <c r="J8583" s="10">
        <v>0</v>
      </c>
      <c r="K8583" t="b">
        <v>1</v>
      </c>
    </row>
    <row r="8584" spans="1:11">
      <c r="A8584" s="12">
        <v>42713</v>
      </c>
      <c r="B8584">
        <v>2016</v>
      </c>
      <c r="C8584">
        <v>12</v>
      </c>
      <c r="D8584" s="11">
        <v>42705</v>
      </c>
      <c r="E8584" t="s">
        <v>2184</v>
      </c>
      <c r="F8584">
        <v>5</v>
      </c>
      <c r="G8584" t="s">
        <v>55</v>
      </c>
      <c r="H8584" t="s">
        <v>46</v>
      </c>
      <c r="I8584" t="s">
        <v>2194</v>
      </c>
      <c r="J8584" s="10">
        <v>0</v>
      </c>
      <c r="K8584" t="b">
        <v>1</v>
      </c>
    </row>
    <row r="8585" spans="1:11">
      <c r="A8585" s="12">
        <v>42713</v>
      </c>
      <c r="B8585">
        <v>2016</v>
      </c>
      <c r="C8585">
        <v>12</v>
      </c>
      <c r="D8585" s="11">
        <v>42705</v>
      </c>
      <c r="E8585" t="s">
        <v>2184</v>
      </c>
      <c r="F8585">
        <v>5</v>
      </c>
      <c r="G8585" t="s">
        <v>55</v>
      </c>
      <c r="H8585" t="s">
        <v>47</v>
      </c>
      <c r="I8585" t="s">
        <v>2195</v>
      </c>
      <c r="J8585" s="10">
        <v>2</v>
      </c>
      <c r="K8585" t="b">
        <v>1</v>
      </c>
    </row>
    <row r="8586" spans="1:11">
      <c r="A8586" s="12">
        <v>42714</v>
      </c>
      <c r="B8586">
        <v>2016</v>
      </c>
      <c r="C8586">
        <v>12</v>
      </c>
      <c r="D8586" s="11">
        <v>42705</v>
      </c>
      <c r="E8586" t="s">
        <v>2184</v>
      </c>
      <c r="F8586">
        <v>6</v>
      </c>
      <c r="G8586" t="s">
        <v>57</v>
      </c>
      <c r="H8586" t="s">
        <v>40</v>
      </c>
      <c r="I8586" t="s">
        <v>2188</v>
      </c>
      <c r="J8586" s="10">
        <v>7.34</v>
      </c>
      <c r="K8586" t="b">
        <v>1</v>
      </c>
    </row>
    <row r="8587" spans="1:11">
      <c r="A8587" s="12">
        <v>42714</v>
      </c>
      <c r="B8587">
        <v>2016</v>
      </c>
      <c r="C8587">
        <v>12</v>
      </c>
      <c r="D8587" s="11">
        <v>42705</v>
      </c>
      <c r="E8587" t="s">
        <v>2184</v>
      </c>
      <c r="F8587">
        <v>6</v>
      </c>
      <c r="G8587" t="s">
        <v>57</v>
      </c>
      <c r="H8587" t="s">
        <v>41</v>
      </c>
      <c r="I8587" t="s">
        <v>2189</v>
      </c>
      <c r="J8587" s="10">
        <v>6.33</v>
      </c>
      <c r="K8587" t="b">
        <v>1</v>
      </c>
    </row>
    <row r="8588" spans="1:11">
      <c r="A8588" s="12">
        <v>42714</v>
      </c>
      <c r="B8588">
        <v>2016</v>
      </c>
      <c r="C8588">
        <v>12</v>
      </c>
      <c r="D8588" s="11">
        <v>42705</v>
      </c>
      <c r="E8588" t="s">
        <v>2184</v>
      </c>
      <c r="F8588">
        <v>6</v>
      </c>
      <c r="G8588" t="s">
        <v>57</v>
      </c>
      <c r="H8588" t="s">
        <v>42</v>
      </c>
      <c r="I8588" t="s">
        <v>2190</v>
      </c>
      <c r="J8588" s="10">
        <v>10.1</v>
      </c>
      <c r="K8588" t="b">
        <v>1</v>
      </c>
    </row>
    <row r="8589" spans="1:11">
      <c r="A8589" s="12">
        <v>42714</v>
      </c>
      <c r="B8589">
        <v>2016</v>
      </c>
      <c r="C8589">
        <v>12</v>
      </c>
      <c r="D8589" s="11">
        <v>42705</v>
      </c>
      <c r="E8589" t="s">
        <v>2184</v>
      </c>
      <c r="F8589">
        <v>6</v>
      </c>
      <c r="G8589" t="s">
        <v>57</v>
      </c>
      <c r="H8589" t="s">
        <v>43</v>
      </c>
      <c r="I8589" t="s">
        <v>2191</v>
      </c>
      <c r="J8589" s="10">
        <v>45.4</v>
      </c>
      <c r="K8589" t="b">
        <v>1</v>
      </c>
    </row>
    <row r="8590" spans="1:11">
      <c r="A8590" s="12">
        <v>42714</v>
      </c>
      <c r="B8590">
        <v>2016</v>
      </c>
      <c r="C8590">
        <v>12</v>
      </c>
      <c r="D8590" s="11">
        <v>42705</v>
      </c>
      <c r="E8590" t="s">
        <v>2184</v>
      </c>
      <c r="F8590">
        <v>6</v>
      </c>
      <c r="G8590" t="s">
        <v>57</v>
      </c>
      <c r="H8590" t="s">
        <v>44</v>
      </c>
      <c r="I8590" t="s">
        <v>2192</v>
      </c>
      <c r="J8590" s="10">
        <v>1</v>
      </c>
      <c r="K8590" t="b">
        <v>1</v>
      </c>
    </row>
    <row r="8591" spans="1:11">
      <c r="A8591" s="12">
        <v>42714</v>
      </c>
      <c r="B8591">
        <v>2016</v>
      </c>
      <c r="C8591">
        <v>12</v>
      </c>
      <c r="D8591" s="11">
        <v>42705</v>
      </c>
      <c r="E8591" t="s">
        <v>2184</v>
      </c>
      <c r="F8591">
        <v>6</v>
      </c>
      <c r="G8591" t="s">
        <v>57</v>
      </c>
      <c r="H8591" t="s">
        <v>45</v>
      </c>
      <c r="I8591" t="s">
        <v>2193</v>
      </c>
      <c r="J8591" s="10">
        <v>0</v>
      </c>
      <c r="K8591" t="b">
        <v>1</v>
      </c>
    </row>
    <row r="8592" spans="1:11">
      <c r="A8592" s="12">
        <v>42714</v>
      </c>
      <c r="B8592">
        <v>2016</v>
      </c>
      <c r="C8592">
        <v>12</v>
      </c>
      <c r="D8592" s="11">
        <v>42705</v>
      </c>
      <c r="E8592" t="s">
        <v>2184</v>
      </c>
      <c r="F8592">
        <v>6</v>
      </c>
      <c r="G8592" t="s">
        <v>57</v>
      </c>
      <c r="H8592" t="s">
        <v>46</v>
      </c>
      <c r="I8592" t="s">
        <v>2194</v>
      </c>
      <c r="J8592" s="10">
        <v>15</v>
      </c>
      <c r="K8592" t="b">
        <v>1</v>
      </c>
    </row>
    <row r="8593" spans="1:11">
      <c r="A8593" s="12">
        <v>42714</v>
      </c>
      <c r="B8593">
        <v>2016</v>
      </c>
      <c r="C8593">
        <v>12</v>
      </c>
      <c r="D8593" s="11">
        <v>42705</v>
      </c>
      <c r="E8593" t="s">
        <v>2184</v>
      </c>
      <c r="F8593">
        <v>6</v>
      </c>
      <c r="G8593" t="s">
        <v>57</v>
      </c>
      <c r="H8593" t="s">
        <v>47</v>
      </c>
      <c r="I8593" t="s">
        <v>2195</v>
      </c>
      <c r="J8593" s="10">
        <v>2</v>
      </c>
      <c r="K8593" t="b">
        <v>1</v>
      </c>
    </row>
    <row r="8594" spans="1:11">
      <c r="A8594" s="12">
        <v>42715</v>
      </c>
      <c r="B8594">
        <v>2016</v>
      </c>
      <c r="C8594">
        <v>12</v>
      </c>
      <c r="D8594" s="11">
        <v>42705</v>
      </c>
      <c r="E8594" t="s">
        <v>2184</v>
      </c>
      <c r="F8594">
        <v>7</v>
      </c>
      <c r="G8594" t="s">
        <v>59</v>
      </c>
      <c r="H8594" t="s">
        <v>40</v>
      </c>
      <c r="I8594" t="s">
        <v>2188</v>
      </c>
      <c r="J8594" s="10">
        <v>3.34</v>
      </c>
      <c r="K8594" t="b">
        <v>1</v>
      </c>
    </row>
    <row r="8595" spans="1:11">
      <c r="A8595" s="12">
        <v>42715</v>
      </c>
      <c r="B8595">
        <v>2016</v>
      </c>
      <c r="C8595">
        <v>12</v>
      </c>
      <c r="D8595" s="11">
        <v>42705</v>
      </c>
      <c r="E8595" t="s">
        <v>2184</v>
      </c>
      <c r="F8595">
        <v>7</v>
      </c>
      <c r="G8595" t="s">
        <v>59</v>
      </c>
      <c r="H8595" t="s">
        <v>41</v>
      </c>
      <c r="I8595" t="s">
        <v>2189</v>
      </c>
      <c r="J8595" s="10">
        <v>4.726</v>
      </c>
      <c r="K8595" t="b">
        <v>1</v>
      </c>
    </row>
    <row r="8596" spans="1:11">
      <c r="A8596" s="12">
        <v>42715</v>
      </c>
      <c r="B8596">
        <v>2016</v>
      </c>
      <c r="C8596">
        <v>12</v>
      </c>
      <c r="D8596" s="11">
        <v>42705</v>
      </c>
      <c r="E8596" t="s">
        <v>2184</v>
      </c>
      <c r="F8596">
        <v>7</v>
      </c>
      <c r="G8596" t="s">
        <v>59</v>
      </c>
      <c r="H8596" t="s">
        <v>42</v>
      </c>
      <c r="I8596" t="s">
        <v>2190</v>
      </c>
      <c r="J8596" s="10">
        <v>8.550000000000001</v>
      </c>
      <c r="K8596" t="b">
        <v>1</v>
      </c>
    </row>
    <row r="8597" spans="1:11">
      <c r="A8597" s="12">
        <v>42715</v>
      </c>
      <c r="B8597">
        <v>2016</v>
      </c>
      <c r="C8597">
        <v>12</v>
      </c>
      <c r="D8597" s="11">
        <v>42705</v>
      </c>
      <c r="E8597" t="s">
        <v>2184</v>
      </c>
      <c r="F8597">
        <v>7</v>
      </c>
      <c r="G8597" t="s">
        <v>59</v>
      </c>
      <c r="H8597" t="s">
        <v>43</v>
      </c>
      <c r="I8597" t="s">
        <v>2191</v>
      </c>
      <c r="J8597" s="10">
        <v>62.062</v>
      </c>
      <c r="K8597" t="b">
        <v>1</v>
      </c>
    </row>
    <row r="8598" spans="1:11">
      <c r="A8598" s="12">
        <v>42715</v>
      </c>
      <c r="B8598">
        <v>2016</v>
      </c>
      <c r="C8598">
        <v>12</v>
      </c>
      <c r="D8598" s="11">
        <v>42705</v>
      </c>
      <c r="E8598" t="s">
        <v>2184</v>
      </c>
      <c r="F8598">
        <v>7</v>
      </c>
      <c r="G8598" t="s">
        <v>59</v>
      </c>
      <c r="H8598" t="s">
        <v>44</v>
      </c>
      <c r="I8598" t="s">
        <v>2192</v>
      </c>
      <c r="J8598" s="10">
        <v>7</v>
      </c>
      <c r="K8598" t="b">
        <v>1</v>
      </c>
    </row>
    <row r="8599" spans="1:11">
      <c r="A8599" s="12">
        <v>42715</v>
      </c>
      <c r="B8599">
        <v>2016</v>
      </c>
      <c r="C8599">
        <v>12</v>
      </c>
      <c r="D8599" s="11">
        <v>42705</v>
      </c>
      <c r="E8599" t="s">
        <v>2184</v>
      </c>
      <c r="F8599">
        <v>7</v>
      </c>
      <c r="G8599" t="s">
        <v>59</v>
      </c>
      <c r="H8599" t="s">
        <v>45</v>
      </c>
      <c r="I8599" t="s">
        <v>2193</v>
      </c>
      <c r="J8599" s="10">
        <v>0</v>
      </c>
      <c r="K8599" t="b">
        <v>1</v>
      </c>
    </row>
    <row r="8600" spans="1:11">
      <c r="A8600" s="12">
        <v>42715</v>
      </c>
      <c r="B8600">
        <v>2016</v>
      </c>
      <c r="C8600">
        <v>12</v>
      </c>
      <c r="D8600" s="11">
        <v>42705</v>
      </c>
      <c r="E8600" t="s">
        <v>2184</v>
      </c>
      <c r="F8600">
        <v>7</v>
      </c>
      <c r="G8600" t="s">
        <v>59</v>
      </c>
      <c r="H8600" t="s">
        <v>46</v>
      </c>
      <c r="I8600" t="s">
        <v>2194</v>
      </c>
      <c r="J8600" s="10">
        <v>14</v>
      </c>
      <c r="K8600" t="b">
        <v>1</v>
      </c>
    </row>
    <row r="8601" spans="1:11">
      <c r="A8601" s="12">
        <v>42715</v>
      </c>
      <c r="B8601">
        <v>2016</v>
      </c>
      <c r="C8601">
        <v>12</v>
      </c>
      <c r="D8601" s="11">
        <v>42705</v>
      </c>
      <c r="E8601" t="s">
        <v>2184</v>
      </c>
      <c r="F8601">
        <v>7</v>
      </c>
      <c r="G8601" t="s">
        <v>59</v>
      </c>
      <c r="H8601" t="s">
        <v>47</v>
      </c>
      <c r="I8601" t="s">
        <v>2195</v>
      </c>
      <c r="J8601" s="10">
        <v>1</v>
      </c>
      <c r="K8601" t="b">
        <v>1</v>
      </c>
    </row>
    <row r="8602" spans="1:11">
      <c r="A8602" s="12">
        <v>42716</v>
      </c>
      <c r="B8602">
        <v>2016</v>
      </c>
      <c r="C8602">
        <v>12</v>
      </c>
      <c r="D8602" s="11">
        <v>42705</v>
      </c>
      <c r="E8602" t="s">
        <v>2184</v>
      </c>
      <c r="F8602">
        <v>1</v>
      </c>
      <c r="G8602" t="s">
        <v>61</v>
      </c>
      <c r="H8602" t="s">
        <v>40</v>
      </c>
      <c r="I8602" t="s">
        <v>2188</v>
      </c>
      <c r="J8602" s="10">
        <v>3.66</v>
      </c>
      <c r="K8602" t="b">
        <v>1</v>
      </c>
    </row>
    <row r="8603" spans="1:11">
      <c r="A8603" s="12">
        <v>42716</v>
      </c>
      <c r="B8603">
        <v>2016</v>
      </c>
      <c r="C8603">
        <v>12</v>
      </c>
      <c r="D8603" s="11">
        <v>42705</v>
      </c>
      <c r="E8603" t="s">
        <v>2184</v>
      </c>
      <c r="F8603">
        <v>1</v>
      </c>
      <c r="G8603" t="s">
        <v>61</v>
      </c>
      <c r="H8603" t="s">
        <v>41</v>
      </c>
      <c r="I8603" t="s">
        <v>2189</v>
      </c>
      <c r="J8603" s="10">
        <v>2.429</v>
      </c>
      <c r="K8603" t="b">
        <v>1</v>
      </c>
    </row>
    <row r="8604" spans="1:11">
      <c r="A8604" s="12">
        <v>42716</v>
      </c>
      <c r="B8604">
        <v>2016</v>
      </c>
      <c r="C8604">
        <v>12</v>
      </c>
      <c r="D8604" s="11">
        <v>42705</v>
      </c>
      <c r="E8604" t="s">
        <v>2184</v>
      </c>
      <c r="F8604">
        <v>1</v>
      </c>
      <c r="G8604" t="s">
        <v>61</v>
      </c>
      <c r="H8604" t="s">
        <v>42</v>
      </c>
      <c r="I8604" t="s">
        <v>2190</v>
      </c>
      <c r="J8604" s="10">
        <v>3.1</v>
      </c>
      <c r="K8604" t="b">
        <v>1</v>
      </c>
    </row>
    <row r="8605" spans="1:11">
      <c r="A8605" s="12">
        <v>42716</v>
      </c>
      <c r="B8605">
        <v>2016</v>
      </c>
      <c r="C8605">
        <v>12</v>
      </c>
      <c r="D8605" s="11">
        <v>42705</v>
      </c>
      <c r="E8605" t="s">
        <v>2184</v>
      </c>
      <c r="F8605">
        <v>1</v>
      </c>
      <c r="G8605" t="s">
        <v>61</v>
      </c>
      <c r="H8605" t="s">
        <v>43</v>
      </c>
      <c r="I8605" t="s">
        <v>2191</v>
      </c>
      <c r="J8605" s="10">
        <v>44.5</v>
      </c>
      <c r="K8605" t="b">
        <v>1</v>
      </c>
    </row>
    <row r="8606" spans="1:11">
      <c r="A8606" s="12">
        <v>42716</v>
      </c>
      <c r="B8606">
        <v>2016</v>
      </c>
      <c r="C8606">
        <v>12</v>
      </c>
      <c r="D8606" s="11">
        <v>42705</v>
      </c>
      <c r="E8606" t="s">
        <v>2184</v>
      </c>
      <c r="F8606">
        <v>1</v>
      </c>
      <c r="G8606" t="s">
        <v>61</v>
      </c>
      <c r="H8606" t="s">
        <v>44</v>
      </c>
      <c r="I8606" t="s">
        <v>2192</v>
      </c>
      <c r="J8606" s="10">
        <v>28.33333333</v>
      </c>
      <c r="K8606" t="b">
        <v>1</v>
      </c>
    </row>
    <row r="8607" spans="1:11">
      <c r="A8607" s="12">
        <v>42716</v>
      </c>
      <c r="B8607">
        <v>2016</v>
      </c>
      <c r="C8607">
        <v>12</v>
      </c>
      <c r="D8607" s="11">
        <v>42705</v>
      </c>
      <c r="E8607" t="s">
        <v>2184</v>
      </c>
      <c r="F8607">
        <v>1</v>
      </c>
      <c r="G8607" t="s">
        <v>61</v>
      </c>
      <c r="H8607" t="s">
        <v>45</v>
      </c>
      <c r="I8607" t="s">
        <v>2193</v>
      </c>
      <c r="J8607" s="10">
        <v>3</v>
      </c>
      <c r="K8607" t="b">
        <v>1</v>
      </c>
    </row>
    <row r="8608" spans="1:11">
      <c r="A8608" s="12">
        <v>42716</v>
      </c>
      <c r="B8608">
        <v>2016</v>
      </c>
      <c r="C8608">
        <v>12</v>
      </c>
      <c r="D8608" s="11">
        <v>42705</v>
      </c>
      <c r="E8608" t="s">
        <v>2184</v>
      </c>
      <c r="F8608">
        <v>1</v>
      </c>
      <c r="G8608" t="s">
        <v>61</v>
      </c>
      <c r="H8608" t="s">
        <v>46</v>
      </c>
      <c r="I8608" t="s">
        <v>2194</v>
      </c>
      <c r="J8608" s="10">
        <v>21</v>
      </c>
      <c r="K8608" t="b">
        <v>1</v>
      </c>
    </row>
    <row r="8609" spans="1:11">
      <c r="A8609" s="12">
        <v>42716</v>
      </c>
      <c r="B8609">
        <v>2016</v>
      </c>
      <c r="C8609">
        <v>12</v>
      </c>
      <c r="D8609" s="11">
        <v>42705</v>
      </c>
      <c r="E8609" t="s">
        <v>2184</v>
      </c>
      <c r="F8609">
        <v>1</v>
      </c>
      <c r="G8609" t="s">
        <v>61</v>
      </c>
      <c r="H8609" t="s">
        <v>47</v>
      </c>
      <c r="I8609" t="s">
        <v>2195</v>
      </c>
      <c r="J8609" s="10">
        <v>4</v>
      </c>
      <c r="K8609" t="b">
        <v>1</v>
      </c>
    </row>
    <row r="8610" spans="1:11">
      <c r="A8610" s="12">
        <v>42717</v>
      </c>
      <c r="B8610">
        <v>2016</v>
      </c>
      <c r="C8610">
        <v>12</v>
      </c>
      <c r="D8610" s="11">
        <v>42705</v>
      </c>
      <c r="E8610" t="s">
        <v>2184</v>
      </c>
      <c r="F8610">
        <v>2</v>
      </c>
      <c r="G8610" t="s">
        <v>63</v>
      </c>
      <c r="H8610" t="s">
        <v>40</v>
      </c>
      <c r="I8610" t="s">
        <v>2188</v>
      </c>
      <c r="J8610" s="10">
        <v>1</v>
      </c>
      <c r="K8610" t="b">
        <v>1</v>
      </c>
    </row>
    <row r="8611" spans="1:11">
      <c r="A8611" s="12">
        <v>42717</v>
      </c>
      <c r="B8611">
        <v>2016</v>
      </c>
      <c r="C8611">
        <v>12</v>
      </c>
      <c r="D8611" s="11">
        <v>42705</v>
      </c>
      <c r="E8611" t="s">
        <v>2184</v>
      </c>
      <c r="F8611">
        <v>2</v>
      </c>
      <c r="G8611" t="s">
        <v>63</v>
      </c>
      <c r="H8611" t="s">
        <v>41</v>
      </c>
      <c r="I8611" t="s">
        <v>2189</v>
      </c>
      <c r="J8611" s="10">
        <v>4</v>
      </c>
      <c r="K8611" t="b">
        <v>1</v>
      </c>
    </row>
    <row r="8612" spans="1:11">
      <c r="A8612" s="12">
        <v>42717</v>
      </c>
      <c r="B8612">
        <v>2016</v>
      </c>
      <c r="C8612">
        <v>12</v>
      </c>
      <c r="D8612" s="11">
        <v>42705</v>
      </c>
      <c r="E8612" t="s">
        <v>2184</v>
      </c>
      <c r="F8612">
        <v>2</v>
      </c>
      <c r="G8612" t="s">
        <v>63</v>
      </c>
      <c r="H8612" t="s">
        <v>42</v>
      </c>
      <c r="I8612" t="s">
        <v>2190</v>
      </c>
      <c r="J8612" s="10">
        <v>5.1</v>
      </c>
      <c r="K8612" t="b">
        <v>1</v>
      </c>
    </row>
    <row r="8613" spans="1:11">
      <c r="A8613" s="12">
        <v>42717</v>
      </c>
      <c r="B8613">
        <v>2016</v>
      </c>
      <c r="C8613">
        <v>12</v>
      </c>
      <c r="D8613" s="11">
        <v>42705</v>
      </c>
      <c r="E8613" t="s">
        <v>2184</v>
      </c>
      <c r="F8613">
        <v>2</v>
      </c>
      <c r="G8613" t="s">
        <v>63</v>
      </c>
      <c r="H8613" t="s">
        <v>43</v>
      </c>
      <c r="I8613" t="s">
        <v>2191</v>
      </c>
      <c r="J8613" s="10">
        <v>43.6</v>
      </c>
      <c r="K8613" t="b">
        <v>1</v>
      </c>
    </row>
    <row r="8614" spans="1:11">
      <c r="A8614" s="12">
        <v>42717</v>
      </c>
      <c r="B8614">
        <v>2016</v>
      </c>
      <c r="C8614">
        <v>12</v>
      </c>
      <c r="D8614" s="11">
        <v>42705</v>
      </c>
      <c r="E8614" t="s">
        <v>2184</v>
      </c>
      <c r="F8614">
        <v>2</v>
      </c>
      <c r="G8614" t="s">
        <v>63</v>
      </c>
      <c r="H8614" t="s">
        <v>44</v>
      </c>
      <c r="I8614" t="s">
        <v>2192</v>
      </c>
      <c r="J8614" s="10">
        <v>0</v>
      </c>
      <c r="K8614" t="b">
        <v>1</v>
      </c>
    </row>
    <row r="8615" spans="1:11">
      <c r="A8615" s="12">
        <v>42717</v>
      </c>
      <c r="B8615">
        <v>2016</v>
      </c>
      <c r="C8615">
        <v>12</v>
      </c>
      <c r="D8615" s="11">
        <v>42705</v>
      </c>
      <c r="E8615" t="s">
        <v>2184</v>
      </c>
      <c r="F8615">
        <v>2</v>
      </c>
      <c r="G8615" t="s">
        <v>63</v>
      </c>
      <c r="H8615" t="s">
        <v>45</v>
      </c>
      <c r="I8615" t="s">
        <v>2193</v>
      </c>
      <c r="J8615" s="10">
        <v>0</v>
      </c>
      <c r="K8615" t="b">
        <v>1</v>
      </c>
    </row>
    <row r="8616" spans="1:11">
      <c r="A8616" s="12">
        <v>42717</v>
      </c>
      <c r="B8616">
        <v>2016</v>
      </c>
      <c r="C8616">
        <v>12</v>
      </c>
      <c r="D8616" s="11">
        <v>42705</v>
      </c>
      <c r="E8616" t="s">
        <v>2184</v>
      </c>
      <c r="F8616">
        <v>2</v>
      </c>
      <c r="G8616" t="s">
        <v>63</v>
      </c>
      <c r="H8616" t="s">
        <v>46</v>
      </c>
      <c r="I8616" t="s">
        <v>2194</v>
      </c>
      <c r="J8616" s="10">
        <v>18</v>
      </c>
      <c r="K8616" t="b">
        <v>1</v>
      </c>
    </row>
    <row r="8617" spans="1:11">
      <c r="A8617" s="12">
        <v>42717</v>
      </c>
      <c r="B8617">
        <v>2016</v>
      </c>
      <c r="C8617">
        <v>12</v>
      </c>
      <c r="D8617" s="11">
        <v>42705</v>
      </c>
      <c r="E8617" t="s">
        <v>2184</v>
      </c>
      <c r="F8617">
        <v>2</v>
      </c>
      <c r="G8617" t="s">
        <v>63</v>
      </c>
      <c r="H8617" t="s">
        <v>47</v>
      </c>
      <c r="I8617" t="s">
        <v>2195</v>
      </c>
      <c r="J8617" s="10">
        <v>0</v>
      </c>
      <c r="K8617" t="b">
        <v>1</v>
      </c>
    </row>
    <row r="8618" spans="1:11">
      <c r="A8618" s="12">
        <v>42718</v>
      </c>
      <c r="B8618">
        <v>2016</v>
      </c>
      <c r="C8618">
        <v>12</v>
      </c>
      <c r="D8618" s="11">
        <v>42705</v>
      </c>
      <c r="E8618" t="s">
        <v>2184</v>
      </c>
      <c r="F8618">
        <v>3</v>
      </c>
      <c r="G8618" t="s">
        <v>65</v>
      </c>
      <c r="H8618" t="s">
        <v>40</v>
      </c>
      <c r="I8618" t="s">
        <v>2188</v>
      </c>
      <c r="J8618" s="10">
        <v>5.83</v>
      </c>
      <c r="K8618" t="b">
        <v>1</v>
      </c>
    </row>
    <row r="8619" spans="1:11">
      <c r="A8619" s="12">
        <v>42718</v>
      </c>
      <c r="B8619">
        <v>2016</v>
      </c>
      <c r="C8619">
        <v>12</v>
      </c>
      <c r="D8619" s="11">
        <v>42705</v>
      </c>
      <c r="E8619" t="s">
        <v>2184</v>
      </c>
      <c r="F8619">
        <v>3</v>
      </c>
      <c r="G8619" t="s">
        <v>65</v>
      </c>
      <c r="H8619" t="s">
        <v>41</v>
      </c>
      <c r="I8619" t="s">
        <v>2189</v>
      </c>
      <c r="J8619" s="10">
        <v>3.78</v>
      </c>
      <c r="K8619" t="b">
        <v>1</v>
      </c>
    </row>
    <row r="8620" spans="1:11">
      <c r="A8620" s="12">
        <v>42718</v>
      </c>
      <c r="B8620">
        <v>2016</v>
      </c>
      <c r="C8620">
        <v>12</v>
      </c>
      <c r="D8620" s="11">
        <v>42705</v>
      </c>
      <c r="E8620" t="s">
        <v>2184</v>
      </c>
      <c r="F8620">
        <v>3</v>
      </c>
      <c r="G8620" t="s">
        <v>65</v>
      </c>
      <c r="H8620" t="s">
        <v>42</v>
      </c>
      <c r="I8620" t="s">
        <v>2190</v>
      </c>
      <c r="J8620" s="10">
        <v>5.65</v>
      </c>
      <c r="K8620" t="b">
        <v>1</v>
      </c>
    </row>
    <row r="8621" spans="1:11">
      <c r="A8621" s="12">
        <v>42718</v>
      </c>
      <c r="B8621">
        <v>2016</v>
      </c>
      <c r="C8621">
        <v>12</v>
      </c>
      <c r="D8621" s="11">
        <v>42705</v>
      </c>
      <c r="E8621" t="s">
        <v>2184</v>
      </c>
      <c r="F8621">
        <v>3</v>
      </c>
      <c r="G8621" t="s">
        <v>65</v>
      </c>
      <c r="H8621" t="s">
        <v>43</v>
      </c>
      <c r="I8621" t="s">
        <v>2191</v>
      </c>
      <c r="J8621" s="10">
        <v>32.2</v>
      </c>
      <c r="K8621" t="b">
        <v>1</v>
      </c>
    </row>
    <row r="8622" spans="1:11">
      <c r="A8622" s="12">
        <v>42718</v>
      </c>
      <c r="B8622">
        <v>2016</v>
      </c>
      <c r="C8622">
        <v>12</v>
      </c>
      <c r="D8622" s="11">
        <v>42705</v>
      </c>
      <c r="E8622" t="s">
        <v>2184</v>
      </c>
      <c r="F8622">
        <v>3</v>
      </c>
      <c r="G8622" t="s">
        <v>65</v>
      </c>
      <c r="H8622" t="s">
        <v>44</v>
      </c>
      <c r="I8622" t="s">
        <v>2192</v>
      </c>
      <c r="J8622" s="10">
        <v>21</v>
      </c>
      <c r="K8622" t="b">
        <v>1</v>
      </c>
    </row>
    <row r="8623" spans="1:11">
      <c r="A8623" s="12">
        <v>42718</v>
      </c>
      <c r="B8623">
        <v>2016</v>
      </c>
      <c r="C8623">
        <v>12</v>
      </c>
      <c r="D8623" s="11">
        <v>42705</v>
      </c>
      <c r="E8623" t="s">
        <v>2184</v>
      </c>
      <c r="F8623">
        <v>3</v>
      </c>
      <c r="G8623" t="s">
        <v>65</v>
      </c>
      <c r="H8623" t="s">
        <v>45</v>
      </c>
      <c r="I8623" t="s">
        <v>2193</v>
      </c>
      <c r="J8623" s="10">
        <v>0</v>
      </c>
      <c r="K8623" t="b">
        <v>1</v>
      </c>
    </row>
    <row r="8624" spans="1:11">
      <c r="A8624" s="12">
        <v>42718</v>
      </c>
      <c r="B8624">
        <v>2016</v>
      </c>
      <c r="C8624">
        <v>12</v>
      </c>
      <c r="D8624" s="11">
        <v>42705</v>
      </c>
      <c r="E8624" t="s">
        <v>2184</v>
      </c>
      <c r="F8624">
        <v>3</v>
      </c>
      <c r="G8624" t="s">
        <v>65</v>
      </c>
      <c r="H8624" t="s">
        <v>46</v>
      </c>
      <c r="I8624" t="s">
        <v>2194</v>
      </c>
      <c r="J8624" s="10">
        <v>10</v>
      </c>
      <c r="K8624" t="b">
        <v>1</v>
      </c>
    </row>
    <row r="8625" spans="1:11">
      <c r="A8625" s="12">
        <v>42718</v>
      </c>
      <c r="B8625">
        <v>2016</v>
      </c>
      <c r="C8625">
        <v>12</v>
      </c>
      <c r="D8625" s="11">
        <v>42705</v>
      </c>
      <c r="E8625" t="s">
        <v>2184</v>
      </c>
      <c r="F8625">
        <v>3</v>
      </c>
      <c r="G8625" t="s">
        <v>65</v>
      </c>
      <c r="H8625" t="s">
        <v>47</v>
      </c>
      <c r="I8625" t="s">
        <v>2195</v>
      </c>
      <c r="J8625" s="10">
        <v>1.2</v>
      </c>
      <c r="K8625" t="b">
        <v>1</v>
      </c>
    </row>
    <row r="8626" spans="1:11">
      <c r="A8626" s="12">
        <v>42719</v>
      </c>
      <c r="B8626">
        <v>2016</v>
      </c>
      <c r="C8626">
        <v>12</v>
      </c>
      <c r="D8626" s="11">
        <v>42705</v>
      </c>
      <c r="E8626" t="s">
        <v>2184</v>
      </c>
      <c r="F8626">
        <v>4</v>
      </c>
      <c r="G8626" t="s">
        <v>53</v>
      </c>
      <c r="H8626" t="s">
        <v>40</v>
      </c>
      <c r="I8626" t="s">
        <v>2188</v>
      </c>
      <c r="J8626" s="10">
        <v>9.66</v>
      </c>
      <c r="K8626" t="b">
        <v>1</v>
      </c>
    </row>
    <row r="8627" spans="1:11">
      <c r="A8627" s="12">
        <v>42719</v>
      </c>
      <c r="B8627">
        <v>2016</v>
      </c>
      <c r="C8627">
        <v>12</v>
      </c>
      <c r="D8627" s="11">
        <v>42705</v>
      </c>
      <c r="E8627" t="s">
        <v>2184</v>
      </c>
      <c r="F8627">
        <v>4</v>
      </c>
      <c r="G8627" t="s">
        <v>53</v>
      </c>
      <c r="H8627" t="s">
        <v>41</v>
      </c>
      <c r="I8627" t="s">
        <v>2189</v>
      </c>
      <c r="J8627" s="10">
        <v>3.33</v>
      </c>
      <c r="K8627" t="b">
        <v>1</v>
      </c>
    </row>
    <row r="8628" spans="1:11">
      <c r="A8628" s="12">
        <v>42719</v>
      </c>
      <c r="B8628">
        <v>2016</v>
      </c>
      <c r="C8628">
        <v>12</v>
      </c>
      <c r="D8628" s="11">
        <v>42705</v>
      </c>
      <c r="E8628" t="s">
        <v>2184</v>
      </c>
      <c r="F8628">
        <v>4</v>
      </c>
      <c r="G8628" t="s">
        <v>53</v>
      </c>
      <c r="H8628" t="s">
        <v>42</v>
      </c>
      <c r="I8628" t="s">
        <v>2190</v>
      </c>
      <c r="J8628" s="10">
        <v>1</v>
      </c>
      <c r="K8628" t="b">
        <v>1</v>
      </c>
    </row>
    <row r="8629" spans="1:11">
      <c r="A8629" s="12">
        <v>42719</v>
      </c>
      <c r="B8629">
        <v>2016</v>
      </c>
      <c r="C8629">
        <v>12</v>
      </c>
      <c r="D8629" s="11">
        <v>42705</v>
      </c>
      <c r="E8629" t="s">
        <v>2184</v>
      </c>
      <c r="F8629">
        <v>4</v>
      </c>
      <c r="G8629" t="s">
        <v>53</v>
      </c>
      <c r="H8629" t="s">
        <v>43</v>
      </c>
      <c r="I8629" t="s">
        <v>2191</v>
      </c>
      <c r="J8629" s="10">
        <v>22.8</v>
      </c>
      <c r="K8629" t="b">
        <v>1</v>
      </c>
    </row>
    <row r="8630" spans="1:11">
      <c r="A8630" s="12">
        <v>42719</v>
      </c>
      <c r="B8630">
        <v>2016</v>
      </c>
      <c r="C8630">
        <v>12</v>
      </c>
      <c r="D8630" s="11">
        <v>42705</v>
      </c>
      <c r="E8630" t="s">
        <v>2184</v>
      </c>
      <c r="F8630">
        <v>4</v>
      </c>
      <c r="G8630" t="s">
        <v>53</v>
      </c>
      <c r="H8630" t="s">
        <v>44</v>
      </c>
      <c r="I8630" t="s">
        <v>2192</v>
      </c>
      <c r="J8630" s="10">
        <v>8</v>
      </c>
      <c r="K8630" t="b">
        <v>1</v>
      </c>
    </row>
    <row r="8631" spans="1:11">
      <c r="A8631" s="12">
        <v>42719</v>
      </c>
      <c r="B8631">
        <v>2016</v>
      </c>
      <c r="C8631">
        <v>12</v>
      </c>
      <c r="D8631" s="11">
        <v>42705</v>
      </c>
      <c r="E8631" t="s">
        <v>2184</v>
      </c>
      <c r="F8631">
        <v>4</v>
      </c>
      <c r="G8631" t="s">
        <v>53</v>
      </c>
      <c r="H8631" t="s">
        <v>45</v>
      </c>
      <c r="I8631" t="s">
        <v>2193</v>
      </c>
      <c r="J8631" s="10">
        <v>0</v>
      </c>
      <c r="K8631" t="b">
        <v>1</v>
      </c>
    </row>
    <row r="8632" spans="1:11">
      <c r="A8632" s="12">
        <v>42719</v>
      </c>
      <c r="B8632">
        <v>2016</v>
      </c>
      <c r="C8632">
        <v>12</v>
      </c>
      <c r="D8632" s="11">
        <v>42705</v>
      </c>
      <c r="E8632" t="s">
        <v>2184</v>
      </c>
      <c r="F8632">
        <v>4</v>
      </c>
      <c r="G8632" t="s">
        <v>53</v>
      </c>
      <c r="H8632" t="s">
        <v>46</v>
      </c>
      <c r="I8632" t="s">
        <v>2194</v>
      </c>
      <c r="J8632" s="10">
        <v>5</v>
      </c>
      <c r="K8632" t="b">
        <v>1</v>
      </c>
    </row>
    <row r="8633" spans="1:11">
      <c r="A8633" s="12">
        <v>42719</v>
      </c>
      <c r="B8633">
        <v>2016</v>
      </c>
      <c r="C8633">
        <v>12</v>
      </c>
      <c r="D8633" s="11">
        <v>42705</v>
      </c>
      <c r="E8633" t="s">
        <v>2184</v>
      </c>
      <c r="F8633">
        <v>4</v>
      </c>
      <c r="G8633" t="s">
        <v>53</v>
      </c>
      <c r="H8633" t="s">
        <v>47</v>
      </c>
      <c r="I8633" t="s">
        <v>2195</v>
      </c>
      <c r="J8633" s="10">
        <v>1</v>
      </c>
      <c r="K8633" t="b">
        <v>1</v>
      </c>
    </row>
    <row r="8634" spans="1:11">
      <c r="A8634" s="12">
        <v>42720</v>
      </c>
      <c r="B8634">
        <v>2016</v>
      </c>
      <c r="C8634">
        <v>12</v>
      </c>
      <c r="D8634" s="11">
        <v>42705</v>
      </c>
      <c r="E8634" t="s">
        <v>2184</v>
      </c>
      <c r="F8634">
        <v>5</v>
      </c>
      <c r="G8634" t="s">
        <v>55</v>
      </c>
      <c r="H8634" t="s">
        <v>40</v>
      </c>
      <c r="I8634" t="s">
        <v>2188</v>
      </c>
      <c r="J8634" s="10">
        <v>7.33</v>
      </c>
      <c r="K8634" t="b">
        <v>1</v>
      </c>
    </row>
    <row r="8635" spans="1:11">
      <c r="A8635" s="12">
        <v>42720</v>
      </c>
      <c r="B8635">
        <v>2016</v>
      </c>
      <c r="C8635">
        <v>12</v>
      </c>
      <c r="D8635" s="11">
        <v>42705</v>
      </c>
      <c r="E8635" t="s">
        <v>2184</v>
      </c>
      <c r="F8635">
        <v>5</v>
      </c>
      <c r="G8635" t="s">
        <v>55</v>
      </c>
      <c r="H8635" t="s">
        <v>41</v>
      </c>
      <c r="I8635" t="s">
        <v>2189</v>
      </c>
      <c r="J8635" s="10">
        <v>6.32</v>
      </c>
      <c r="K8635" t="b">
        <v>1</v>
      </c>
    </row>
    <row r="8636" spans="1:11">
      <c r="A8636" s="12">
        <v>42720</v>
      </c>
      <c r="B8636">
        <v>2016</v>
      </c>
      <c r="C8636">
        <v>12</v>
      </c>
      <c r="D8636" s="11">
        <v>42705</v>
      </c>
      <c r="E8636" t="s">
        <v>2184</v>
      </c>
      <c r="F8636">
        <v>5</v>
      </c>
      <c r="G8636" t="s">
        <v>55</v>
      </c>
      <c r="H8636" t="s">
        <v>42</v>
      </c>
      <c r="I8636" t="s">
        <v>2190</v>
      </c>
      <c r="J8636" s="10">
        <v>2.2</v>
      </c>
      <c r="K8636" t="b">
        <v>1</v>
      </c>
    </row>
    <row r="8637" spans="1:11">
      <c r="A8637" s="12">
        <v>42720</v>
      </c>
      <c r="B8637">
        <v>2016</v>
      </c>
      <c r="C8637">
        <v>12</v>
      </c>
      <c r="D8637" s="11">
        <v>42705</v>
      </c>
      <c r="E8637" t="s">
        <v>2184</v>
      </c>
      <c r="F8637">
        <v>5</v>
      </c>
      <c r="G8637" t="s">
        <v>55</v>
      </c>
      <c r="H8637" t="s">
        <v>43</v>
      </c>
      <c r="I8637" t="s">
        <v>2191</v>
      </c>
      <c r="J8637" s="10">
        <v>39.775</v>
      </c>
      <c r="K8637" t="b">
        <v>1</v>
      </c>
    </row>
    <row r="8638" spans="1:11">
      <c r="A8638" s="12">
        <v>42720</v>
      </c>
      <c r="B8638">
        <v>2016</v>
      </c>
      <c r="C8638">
        <v>12</v>
      </c>
      <c r="D8638" s="11">
        <v>42705</v>
      </c>
      <c r="E8638" t="s">
        <v>2184</v>
      </c>
      <c r="F8638">
        <v>5</v>
      </c>
      <c r="G8638" t="s">
        <v>55</v>
      </c>
      <c r="H8638" t="s">
        <v>44</v>
      </c>
      <c r="I8638" t="s">
        <v>2192</v>
      </c>
      <c r="J8638" s="10">
        <v>8</v>
      </c>
      <c r="K8638" t="b">
        <v>1</v>
      </c>
    </row>
    <row r="8639" spans="1:11">
      <c r="A8639" s="12">
        <v>42720</v>
      </c>
      <c r="B8639">
        <v>2016</v>
      </c>
      <c r="C8639">
        <v>12</v>
      </c>
      <c r="D8639" s="11">
        <v>42705</v>
      </c>
      <c r="E8639" t="s">
        <v>2184</v>
      </c>
      <c r="F8639">
        <v>5</v>
      </c>
      <c r="G8639" t="s">
        <v>55</v>
      </c>
      <c r="H8639" t="s">
        <v>45</v>
      </c>
      <c r="I8639" t="s">
        <v>2193</v>
      </c>
      <c r="J8639" s="10">
        <v>3</v>
      </c>
      <c r="K8639" t="b">
        <v>1</v>
      </c>
    </row>
    <row r="8640" spans="1:11">
      <c r="A8640" s="12">
        <v>42720</v>
      </c>
      <c r="B8640">
        <v>2016</v>
      </c>
      <c r="C8640">
        <v>12</v>
      </c>
      <c r="D8640" s="11">
        <v>42705</v>
      </c>
      <c r="E8640" t="s">
        <v>2184</v>
      </c>
      <c r="F8640">
        <v>5</v>
      </c>
      <c r="G8640" t="s">
        <v>55</v>
      </c>
      <c r="H8640" t="s">
        <v>46</v>
      </c>
      <c r="I8640" t="s">
        <v>2194</v>
      </c>
      <c r="J8640" s="10">
        <v>23</v>
      </c>
      <c r="K8640" t="b">
        <v>1</v>
      </c>
    </row>
    <row r="8641" spans="1:11">
      <c r="A8641" s="12">
        <v>42720</v>
      </c>
      <c r="B8641">
        <v>2016</v>
      </c>
      <c r="C8641">
        <v>12</v>
      </c>
      <c r="D8641" s="11">
        <v>42705</v>
      </c>
      <c r="E8641" t="s">
        <v>2184</v>
      </c>
      <c r="F8641">
        <v>5</v>
      </c>
      <c r="G8641" t="s">
        <v>55</v>
      </c>
      <c r="H8641" t="s">
        <v>47</v>
      </c>
      <c r="I8641" t="s">
        <v>2195</v>
      </c>
      <c r="J8641" s="10">
        <v>1</v>
      </c>
      <c r="K8641" t="b">
        <v>1</v>
      </c>
    </row>
    <row r="8642" spans="1:11">
      <c r="A8642" s="12">
        <v>42721</v>
      </c>
      <c r="B8642">
        <v>2016</v>
      </c>
      <c r="C8642">
        <v>12</v>
      </c>
      <c r="D8642" s="11">
        <v>42705</v>
      </c>
      <c r="E8642" t="s">
        <v>2184</v>
      </c>
      <c r="F8642">
        <v>6</v>
      </c>
      <c r="G8642" t="s">
        <v>57</v>
      </c>
      <c r="H8642" t="s">
        <v>40</v>
      </c>
      <c r="I8642" t="s">
        <v>2188</v>
      </c>
      <c r="J8642" s="10">
        <v>5.99</v>
      </c>
      <c r="K8642" t="b">
        <v>1</v>
      </c>
    </row>
    <row r="8643" spans="1:11">
      <c r="A8643" s="12">
        <v>42721</v>
      </c>
      <c r="B8643">
        <v>2016</v>
      </c>
      <c r="C8643">
        <v>12</v>
      </c>
      <c r="D8643" s="11">
        <v>42705</v>
      </c>
      <c r="E8643" t="s">
        <v>2184</v>
      </c>
      <c r="F8643">
        <v>6</v>
      </c>
      <c r="G8643" t="s">
        <v>57</v>
      </c>
      <c r="H8643" t="s">
        <v>41</v>
      </c>
      <c r="I8643" t="s">
        <v>2189</v>
      </c>
      <c r="J8643" s="10">
        <v>2.66</v>
      </c>
      <c r="K8643" t="b">
        <v>1</v>
      </c>
    </row>
    <row r="8644" spans="1:11">
      <c r="A8644" s="12">
        <v>42721</v>
      </c>
      <c r="B8644">
        <v>2016</v>
      </c>
      <c r="C8644">
        <v>12</v>
      </c>
      <c r="D8644" s="11">
        <v>42705</v>
      </c>
      <c r="E8644" t="s">
        <v>2184</v>
      </c>
      <c r="F8644">
        <v>6</v>
      </c>
      <c r="G8644" t="s">
        <v>57</v>
      </c>
      <c r="H8644" t="s">
        <v>42</v>
      </c>
      <c r="I8644" t="s">
        <v>2190</v>
      </c>
      <c r="J8644" s="10">
        <v>4.15</v>
      </c>
      <c r="K8644" t="b">
        <v>1</v>
      </c>
    </row>
    <row r="8645" spans="1:11">
      <c r="A8645" s="12">
        <v>42721</v>
      </c>
      <c r="B8645">
        <v>2016</v>
      </c>
      <c r="C8645">
        <v>12</v>
      </c>
      <c r="D8645" s="11">
        <v>42705</v>
      </c>
      <c r="E8645" t="s">
        <v>2184</v>
      </c>
      <c r="F8645">
        <v>6</v>
      </c>
      <c r="G8645" t="s">
        <v>57</v>
      </c>
      <c r="H8645" t="s">
        <v>43</v>
      </c>
      <c r="I8645" t="s">
        <v>2191</v>
      </c>
      <c r="J8645" s="10">
        <v>59.95</v>
      </c>
      <c r="K8645" t="b">
        <v>1</v>
      </c>
    </row>
    <row r="8646" spans="1:11">
      <c r="A8646" s="12">
        <v>42721</v>
      </c>
      <c r="B8646">
        <v>2016</v>
      </c>
      <c r="C8646">
        <v>12</v>
      </c>
      <c r="D8646" s="11">
        <v>42705</v>
      </c>
      <c r="E8646" t="s">
        <v>2184</v>
      </c>
      <c r="F8646">
        <v>6</v>
      </c>
      <c r="G8646" t="s">
        <v>57</v>
      </c>
      <c r="H8646" t="s">
        <v>44</v>
      </c>
      <c r="I8646" t="s">
        <v>2192</v>
      </c>
      <c r="J8646" s="10">
        <v>10</v>
      </c>
      <c r="K8646" t="b">
        <v>1</v>
      </c>
    </row>
    <row r="8647" spans="1:11">
      <c r="A8647" s="12">
        <v>42721</v>
      </c>
      <c r="B8647">
        <v>2016</v>
      </c>
      <c r="C8647">
        <v>12</v>
      </c>
      <c r="D8647" s="11">
        <v>42705</v>
      </c>
      <c r="E8647" t="s">
        <v>2184</v>
      </c>
      <c r="F8647">
        <v>6</v>
      </c>
      <c r="G8647" t="s">
        <v>57</v>
      </c>
      <c r="H8647" t="s">
        <v>45</v>
      </c>
      <c r="I8647" t="s">
        <v>2193</v>
      </c>
      <c r="J8647" s="10">
        <v>0</v>
      </c>
      <c r="K8647" t="b">
        <v>1</v>
      </c>
    </row>
    <row r="8648" spans="1:11">
      <c r="A8648" s="12">
        <v>42721</v>
      </c>
      <c r="B8648">
        <v>2016</v>
      </c>
      <c r="C8648">
        <v>12</v>
      </c>
      <c r="D8648" s="11">
        <v>42705</v>
      </c>
      <c r="E8648" t="s">
        <v>2184</v>
      </c>
      <c r="F8648">
        <v>6</v>
      </c>
      <c r="G8648" t="s">
        <v>57</v>
      </c>
      <c r="H8648" t="s">
        <v>46</v>
      </c>
      <c r="I8648" t="s">
        <v>2194</v>
      </c>
      <c r="J8648" s="10">
        <v>6</v>
      </c>
      <c r="K8648" t="b">
        <v>1</v>
      </c>
    </row>
    <row r="8649" spans="1:11">
      <c r="A8649" s="12">
        <v>42721</v>
      </c>
      <c r="B8649">
        <v>2016</v>
      </c>
      <c r="C8649">
        <v>12</v>
      </c>
      <c r="D8649" s="11">
        <v>42705</v>
      </c>
      <c r="E8649" t="s">
        <v>2184</v>
      </c>
      <c r="F8649">
        <v>6</v>
      </c>
      <c r="G8649" t="s">
        <v>57</v>
      </c>
      <c r="H8649" t="s">
        <v>47</v>
      </c>
      <c r="I8649" t="s">
        <v>2195</v>
      </c>
      <c r="J8649" s="10">
        <v>1</v>
      </c>
      <c r="K8649" t="b">
        <v>1</v>
      </c>
    </row>
    <row r="8650" spans="1:11">
      <c r="A8650" s="12">
        <v>42722</v>
      </c>
      <c r="B8650">
        <v>2016</v>
      </c>
      <c r="C8650">
        <v>12</v>
      </c>
      <c r="D8650" s="11">
        <v>42705</v>
      </c>
      <c r="E8650" t="s">
        <v>2184</v>
      </c>
      <c r="F8650">
        <v>7</v>
      </c>
      <c r="G8650" t="s">
        <v>59</v>
      </c>
      <c r="H8650" t="s">
        <v>40</v>
      </c>
      <c r="I8650" t="s">
        <v>2188</v>
      </c>
      <c r="J8650" s="10">
        <v>1.67</v>
      </c>
      <c r="K8650" t="b">
        <v>1</v>
      </c>
    </row>
    <row r="8651" spans="1:11">
      <c r="A8651" s="12">
        <v>42722</v>
      </c>
      <c r="B8651">
        <v>2016</v>
      </c>
      <c r="C8651">
        <v>12</v>
      </c>
      <c r="D8651" s="11">
        <v>42705</v>
      </c>
      <c r="E8651" t="s">
        <v>2184</v>
      </c>
      <c r="F8651">
        <v>7</v>
      </c>
      <c r="G8651" t="s">
        <v>59</v>
      </c>
      <c r="H8651" t="s">
        <v>41</v>
      </c>
      <c r="I8651" t="s">
        <v>2189</v>
      </c>
      <c r="J8651" s="10">
        <v>5.02</v>
      </c>
      <c r="K8651" t="b">
        <v>1</v>
      </c>
    </row>
    <row r="8652" spans="1:11">
      <c r="A8652" s="12">
        <v>42722</v>
      </c>
      <c r="B8652">
        <v>2016</v>
      </c>
      <c r="C8652">
        <v>12</v>
      </c>
      <c r="D8652" s="11">
        <v>42705</v>
      </c>
      <c r="E8652" t="s">
        <v>2184</v>
      </c>
      <c r="F8652">
        <v>7</v>
      </c>
      <c r="G8652" t="s">
        <v>59</v>
      </c>
      <c r="H8652" t="s">
        <v>42</v>
      </c>
      <c r="I8652" t="s">
        <v>2190</v>
      </c>
      <c r="J8652" s="10">
        <v>4.2</v>
      </c>
      <c r="K8652" t="b">
        <v>1</v>
      </c>
    </row>
    <row r="8653" spans="1:11">
      <c r="A8653" s="12">
        <v>42722</v>
      </c>
      <c r="B8653">
        <v>2016</v>
      </c>
      <c r="C8653">
        <v>12</v>
      </c>
      <c r="D8653" s="11">
        <v>42705</v>
      </c>
      <c r="E8653" t="s">
        <v>2184</v>
      </c>
      <c r="F8653">
        <v>7</v>
      </c>
      <c r="G8653" t="s">
        <v>59</v>
      </c>
      <c r="H8653" t="s">
        <v>43</v>
      </c>
      <c r="I8653" t="s">
        <v>2191</v>
      </c>
      <c r="J8653" s="10">
        <v>60.7</v>
      </c>
      <c r="K8653" t="b">
        <v>1</v>
      </c>
    </row>
    <row r="8654" spans="1:11">
      <c r="A8654" s="12">
        <v>42722</v>
      </c>
      <c r="B8654">
        <v>2016</v>
      </c>
      <c r="C8654">
        <v>12</v>
      </c>
      <c r="D8654" s="11">
        <v>42705</v>
      </c>
      <c r="E8654" t="s">
        <v>2184</v>
      </c>
      <c r="F8654">
        <v>7</v>
      </c>
      <c r="G8654" t="s">
        <v>59</v>
      </c>
      <c r="H8654" t="s">
        <v>44</v>
      </c>
      <c r="I8654" t="s">
        <v>2192</v>
      </c>
      <c r="J8654" s="10">
        <v>13</v>
      </c>
      <c r="K8654" t="b">
        <v>1</v>
      </c>
    </row>
    <row r="8655" spans="1:11">
      <c r="A8655" s="12">
        <v>42722</v>
      </c>
      <c r="B8655">
        <v>2016</v>
      </c>
      <c r="C8655">
        <v>12</v>
      </c>
      <c r="D8655" s="11">
        <v>42705</v>
      </c>
      <c r="E8655" t="s">
        <v>2184</v>
      </c>
      <c r="F8655">
        <v>7</v>
      </c>
      <c r="G8655" t="s">
        <v>59</v>
      </c>
      <c r="H8655" t="s">
        <v>45</v>
      </c>
      <c r="I8655" t="s">
        <v>2193</v>
      </c>
      <c r="J8655" s="10">
        <v>0</v>
      </c>
      <c r="K8655" t="b">
        <v>1</v>
      </c>
    </row>
    <row r="8656" spans="1:11">
      <c r="A8656" s="12">
        <v>42722</v>
      </c>
      <c r="B8656">
        <v>2016</v>
      </c>
      <c r="C8656">
        <v>12</v>
      </c>
      <c r="D8656" s="11">
        <v>42705</v>
      </c>
      <c r="E8656" t="s">
        <v>2184</v>
      </c>
      <c r="F8656">
        <v>7</v>
      </c>
      <c r="G8656" t="s">
        <v>59</v>
      </c>
      <c r="H8656" t="s">
        <v>46</v>
      </c>
      <c r="I8656" t="s">
        <v>2194</v>
      </c>
      <c r="J8656" s="10">
        <v>5</v>
      </c>
      <c r="K8656" t="b">
        <v>1</v>
      </c>
    </row>
    <row r="8657" spans="1:11">
      <c r="A8657" s="12">
        <v>42722</v>
      </c>
      <c r="B8657">
        <v>2016</v>
      </c>
      <c r="C8657">
        <v>12</v>
      </c>
      <c r="D8657" s="11">
        <v>42705</v>
      </c>
      <c r="E8657" t="s">
        <v>2184</v>
      </c>
      <c r="F8657">
        <v>7</v>
      </c>
      <c r="G8657" t="s">
        <v>59</v>
      </c>
      <c r="H8657" t="s">
        <v>47</v>
      </c>
      <c r="I8657" t="s">
        <v>2195</v>
      </c>
      <c r="J8657" s="10">
        <v>1</v>
      </c>
      <c r="K8657" t="b">
        <v>1</v>
      </c>
    </row>
    <row r="8658" spans="1:11">
      <c r="A8658" s="12">
        <v>42723</v>
      </c>
      <c r="B8658">
        <v>2016</v>
      </c>
      <c r="C8658">
        <v>12</v>
      </c>
      <c r="D8658" s="11">
        <v>42705</v>
      </c>
      <c r="E8658" t="s">
        <v>2184</v>
      </c>
      <c r="F8658">
        <v>1</v>
      </c>
      <c r="G8658" t="s">
        <v>61</v>
      </c>
      <c r="H8658" t="s">
        <v>40</v>
      </c>
      <c r="I8658" t="s">
        <v>2188</v>
      </c>
      <c r="J8658" s="10">
        <v>0</v>
      </c>
      <c r="K8658" t="b">
        <v>1</v>
      </c>
    </row>
    <row r="8659" spans="1:11">
      <c r="A8659" s="12">
        <v>42723</v>
      </c>
      <c r="B8659">
        <v>2016</v>
      </c>
      <c r="C8659">
        <v>12</v>
      </c>
      <c r="D8659" s="11">
        <v>42705</v>
      </c>
      <c r="E8659" t="s">
        <v>2184</v>
      </c>
      <c r="F8659">
        <v>1</v>
      </c>
      <c r="G8659" t="s">
        <v>61</v>
      </c>
      <c r="H8659" t="s">
        <v>41</v>
      </c>
      <c r="I8659" t="s">
        <v>2189</v>
      </c>
      <c r="J8659" s="10">
        <v>0</v>
      </c>
      <c r="K8659" t="b">
        <v>1</v>
      </c>
    </row>
    <row r="8660" spans="1:11">
      <c r="A8660" s="12">
        <v>42723</v>
      </c>
      <c r="B8660">
        <v>2016</v>
      </c>
      <c r="C8660">
        <v>12</v>
      </c>
      <c r="D8660" s="11">
        <v>42705</v>
      </c>
      <c r="E8660" t="s">
        <v>2184</v>
      </c>
      <c r="F8660">
        <v>1</v>
      </c>
      <c r="G8660" t="s">
        <v>61</v>
      </c>
      <c r="H8660" t="s">
        <v>42</v>
      </c>
      <c r="I8660" t="s">
        <v>2190</v>
      </c>
      <c r="J8660" s="10">
        <v>0</v>
      </c>
      <c r="K8660" t="b">
        <v>1</v>
      </c>
    </row>
    <row r="8661" spans="1:11">
      <c r="A8661" s="12">
        <v>42723</v>
      </c>
      <c r="B8661">
        <v>2016</v>
      </c>
      <c r="C8661">
        <v>12</v>
      </c>
      <c r="D8661" s="11">
        <v>42705</v>
      </c>
      <c r="E8661" t="s">
        <v>2184</v>
      </c>
      <c r="F8661">
        <v>1</v>
      </c>
      <c r="G8661" t="s">
        <v>61</v>
      </c>
      <c r="H8661" t="s">
        <v>43</v>
      </c>
      <c r="I8661" t="s">
        <v>2191</v>
      </c>
      <c r="J8661" s="10">
        <v>0</v>
      </c>
      <c r="K8661" t="b">
        <v>1</v>
      </c>
    </row>
    <row r="8662" spans="1:11">
      <c r="A8662" s="12">
        <v>42723</v>
      </c>
      <c r="B8662">
        <v>2016</v>
      </c>
      <c r="C8662">
        <v>12</v>
      </c>
      <c r="D8662" s="11">
        <v>42705</v>
      </c>
      <c r="E8662" t="s">
        <v>2184</v>
      </c>
      <c r="F8662">
        <v>1</v>
      </c>
      <c r="G8662" t="s">
        <v>61</v>
      </c>
      <c r="H8662" t="s">
        <v>44</v>
      </c>
      <c r="I8662" t="s">
        <v>2192</v>
      </c>
      <c r="J8662" s="10">
        <v>0</v>
      </c>
      <c r="K8662" t="b">
        <v>1</v>
      </c>
    </row>
    <row r="8663" spans="1:11">
      <c r="A8663" s="12">
        <v>42723</v>
      </c>
      <c r="B8663">
        <v>2016</v>
      </c>
      <c r="C8663">
        <v>12</v>
      </c>
      <c r="D8663" s="11">
        <v>42705</v>
      </c>
      <c r="E8663" t="s">
        <v>2184</v>
      </c>
      <c r="F8663">
        <v>1</v>
      </c>
      <c r="G8663" t="s">
        <v>61</v>
      </c>
      <c r="H8663" t="s">
        <v>45</v>
      </c>
      <c r="I8663" t="s">
        <v>2193</v>
      </c>
      <c r="J8663" s="10">
        <v>0</v>
      </c>
      <c r="K8663" t="b">
        <v>1</v>
      </c>
    </row>
    <row r="8664" spans="1:11">
      <c r="A8664" s="12">
        <v>42723</v>
      </c>
      <c r="B8664">
        <v>2016</v>
      </c>
      <c r="C8664">
        <v>12</v>
      </c>
      <c r="D8664" s="11">
        <v>42705</v>
      </c>
      <c r="E8664" t="s">
        <v>2184</v>
      </c>
      <c r="F8664">
        <v>1</v>
      </c>
      <c r="G8664" t="s">
        <v>61</v>
      </c>
      <c r="H8664" t="s">
        <v>46</v>
      </c>
      <c r="I8664" t="s">
        <v>2194</v>
      </c>
      <c r="J8664" s="10">
        <v>0</v>
      </c>
      <c r="K8664" t="b">
        <v>1</v>
      </c>
    </row>
    <row r="8665" spans="1:11">
      <c r="A8665" s="12">
        <v>42723</v>
      </c>
      <c r="B8665">
        <v>2016</v>
      </c>
      <c r="C8665">
        <v>12</v>
      </c>
      <c r="D8665" s="11">
        <v>42705</v>
      </c>
      <c r="E8665" t="s">
        <v>2184</v>
      </c>
      <c r="F8665">
        <v>1</v>
      </c>
      <c r="G8665" t="s">
        <v>61</v>
      </c>
      <c r="H8665" t="s">
        <v>47</v>
      </c>
      <c r="I8665" t="s">
        <v>2195</v>
      </c>
      <c r="J8665" s="10">
        <v>0</v>
      </c>
      <c r="K8665" t="b">
        <v>1</v>
      </c>
    </row>
    <row r="8666" spans="1:11">
      <c r="A8666" s="12">
        <v>42724</v>
      </c>
      <c r="B8666">
        <v>2016</v>
      </c>
      <c r="C8666">
        <v>12</v>
      </c>
      <c r="D8666" s="11">
        <v>42705</v>
      </c>
      <c r="E8666" t="s">
        <v>2184</v>
      </c>
      <c r="F8666">
        <v>2</v>
      </c>
      <c r="G8666" t="s">
        <v>63</v>
      </c>
      <c r="H8666" t="s">
        <v>40</v>
      </c>
      <c r="I8666" t="s">
        <v>2188</v>
      </c>
      <c r="J8666" s="10">
        <v>6.33</v>
      </c>
      <c r="K8666" t="b">
        <v>1</v>
      </c>
    </row>
    <row r="8667" spans="1:11">
      <c r="A8667" s="12">
        <v>42724</v>
      </c>
      <c r="B8667">
        <v>2016</v>
      </c>
      <c r="C8667">
        <v>12</v>
      </c>
      <c r="D8667" s="11">
        <v>42705</v>
      </c>
      <c r="E8667" t="s">
        <v>2184</v>
      </c>
      <c r="F8667">
        <v>2</v>
      </c>
      <c r="G8667" t="s">
        <v>63</v>
      </c>
      <c r="H8667" t="s">
        <v>41</v>
      </c>
      <c r="I8667" t="s">
        <v>2189</v>
      </c>
      <c r="J8667" s="10">
        <v>3.66</v>
      </c>
      <c r="K8667" t="b">
        <v>1</v>
      </c>
    </row>
    <row r="8668" spans="1:11">
      <c r="A8668" s="12">
        <v>42724</v>
      </c>
      <c r="B8668">
        <v>2016</v>
      </c>
      <c r="C8668">
        <v>12</v>
      </c>
      <c r="D8668" s="11">
        <v>42705</v>
      </c>
      <c r="E8668" t="s">
        <v>2184</v>
      </c>
      <c r="F8668">
        <v>2</v>
      </c>
      <c r="G8668" t="s">
        <v>63</v>
      </c>
      <c r="H8668" t="s">
        <v>42</v>
      </c>
      <c r="I8668" t="s">
        <v>2190</v>
      </c>
      <c r="J8668" s="10">
        <v>4</v>
      </c>
      <c r="K8668" t="b">
        <v>1</v>
      </c>
    </row>
    <row r="8669" spans="1:11">
      <c r="A8669" s="12">
        <v>42724</v>
      </c>
      <c r="B8669">
        <v>2016</v>
      </c>
      <c r="C8669">
        <v>12</v>
      </c>
      <c r="D8669" s="11">
        <v>42705</v>
      </c>
      <c r="E8669" t="s">
        <v>2184</v>
      </c>
      <c r="F8669">
        <v>2</v>
      </c>
      <c r="G8669" t="s">
        <v>63</v>
      </c>
      <c r="H8669" t="s">
        <v>43</v>
      </c>
      <c r="I8669" t="s">
        <v>2191</v>
      </c>
      <c r="J8669" s="10">
        <v>46</v>
      </c>
      <c r="K8669" t="b">
        <v>1</v>
      </c>
    </row>
    <row r="8670" spans="1:11">
      <c r="A8670" s="12">
        <v>42724</v>
      </c>
      <c r="B8670">
        <v>2016</v>
      </c>
      <c r="C8670">
        <v>12</v>
      </c>
      <c r="D8670" s="11">
        <v>42705</v>
      </c>
      <c r="E8670" t="s">
        <v>2184</v>
      </c>
      <c r="F8670">
        <v>2</v>
      </c>
      <c r="G8670" t="s">
        <v>63</v>
      </c>
      <c r="H8670" t="s">
        <v>44</v>
      </c>
      <c r="I8670" t="s">
        <v>2192</v>
      </c>
      <c r="J8670" s="10">
        <v>12</v>
      </c>
      <c r="K8670" t="b">
        <v>1</v>
      </c>
    </row>
    <row r="8671" spans="1:11">
      <c r="A8671" s="12">
        <v>42724</v>
      </c>
      <c r="B8671">
        <v>2016</v>
      </c>
      <c r="C8671">
        <v>12</v>
      </c>
      <c r="D8671" s="11">
        <v>42705</v>
      </c>
      <c r="E8671" t="s">
        <v>2184</v>
      </c>
      <c r="F8671">
        <v>2</v>
      </c>
      <c r="G8671" t="s">
        <v>63</v>
      </c>
      <c r="H8671" t="s">
        <v>45</v>
      </c>
      <c r="I8671" t="s">
        <v>2193</v>
      </c>
      <c r="J8671" s="10">
        <v>2</v>
      </c>
      <c r="K8671" t="b">
        <v>1</v>
      </c>
    </row>
    <row r="8672" spans="1:11">
      <c r="A8672" s="12">
        <v>42724</v>
      </c>
      <c r="B8672">
        <v>2016</v>
      </c>
      <c r="C8672">
        <v>12</v>
      </c>
      <c r="D8672" s="11">
        <v>42705</v>
      </c>
      <c r="E8672" t="s">
        <v>2184</v>
      </c>
      <c r="F8672">
        <v>2</v>
      </c>
      <c r="G8672" t="s">
        <v>63</v>
      </c>
      <c r="H8672" t="s">
        <v>46</v>
      </c>
      <c r="I8672" t="s">
        <v>2194</v>
      </c>
      <c r="J8672" s="10">
        <v>1</v>
      </c>
      <c r="K8672" t="b">
        <v>1</v>
      </c>
    </row>
    <row r="8673" spans="1:11">
      <c r="A8673" s="12">
        <v>42724</v>
      </c>
      <c r="B8673">
        <v>2016</v>
      </c>
      <c r="C8673">
        <v>12</v>
      </c>
      <c r="D8673" s="11">
        <v>42705</v>
      </c>
      <c r="E8673" t="s">
        <v>2184</v>
      </c>
      <c r="F8673">
        <v>2</v>
      </c>
      <c r="G8673" t="s">
        <v>63</v>
      </c>
      <c r="H8673" t="s">
        <v>47</v>
      </c>
      <c r="I8673" t="s">
        <v>2195</v>
      </c>
      <c r="J8673" s="10">
        <v>0</v>
      </c>
      <c r="K8673" t="b">
        <v>1</v>
      </c>
    </row>
    <row r="8674" spans="1:11">
      <c r="A8674" s="12">
        <v>42725</v>
      </c>
      <c r="B8674">
        <v>2016</v>
      </c>
      <c r="C8674">
        <v>12</v>
      </c>
      <c r="D8674" s="11">
        <v>42705</v>
      </c>
      <c r="E8674" t="s">
        <v>2184</v>
      </c>
      <c r="F8674">
        <v>3</v>
      </c>
      <c r="G8674" t="s">
        <v>65</v>
      </c>
      <c r="H8674" t="s">
        <v>40</v>
      </c>
      <c r="I8674" t="s">
        <v>2188</v>
      </c>
      <c r="J8674" s="10">
        <v>1.34</v>
      </c>
      <c r="K8674" t="b">
        <v>1</v>
      </c>
    </row>
    <row r="8675" spans="1:11">
      <c r="A8675" s="12">
        <v>42725</v>
      </c>
      <c r="B8675">
        <v>2016</v>
      </c>
      <c r="C8675">
        <v>12</v>
      </c>
      <c r="D8675" s="11">
        <v>42705</v>
      </c>
      <c r="E8675" t="s">
        <v>2184</v>
      </c>
      <c r="F8675">
        <v>3</v>
      </c>
      <c r="G8675" t="s">
        <v>65</v>
      </c>
      <c r="H8675" t="s">
        <v>41</v>
      </c>
      <c r="I8675" t="s">
        <v>2189</v>
      </c>
      <c r="J8675" s="10">
        <v>2.812</v>
      </c>
      <c r="K8675" t="b">
        <v>1</v>
      </c>
    </row>
    <row r="8676" spans="1:11">
      <c r="A8676" s="12">
        <v>42725</v>
      </c>
      <c r="B8676">
        <v>2016</v>
      </c>
      <c r="C8676">
        <v>12</v>
      </c>
      <c r="D8676" s="11">
        <v>42705</v>
      </c>
      <c r="E8676" t="s">
        <v>2184</v>
      </c>
      <c r="F8676">
        <v>3</v>
      </c>
      <c r="G8676" t="s">
        <v>65</v>
      </c>
      <c r="H8676" t="s">
        <v>42</v>
      </c>
      <c r="I8676" t="s">
        <v>2190</v>
      </c>
      <c r="J8676" s="10">
        <v>0.25</v>
      </c>
      <c r="K8676" t="b">
        <v>1</v>
      </c>
    </row>
    <row r="8677" spans="1:11">
      <c r="A8677" s="12">
        <v>42725</v>
      </c>
      <c r="B8677">
        <v>2016</v>
      </c>
      <c r="C8677">
        <v>12</v>
      </c>
      <c r="D8677" s="11">
        <v>42705</v>
      </c>
      <c r="E8677" t="s">
        <v>2184</v>
      </c>
      <c r="F8677">
        <v>3</v>
      </c>
      <c r="G8677" t="s">
        <v>65</v>
      </c>
      <c r="H8677" t="s">
        <v>43</v>
      </c>
      <c r="I8677" t="s">
        <v>2191</v>
      </c>
      <c r="J8677" s="10">
        <v>37</v>
      </c>
      <c r="K8677" t="b">
        <v>1</v>
      </c>
    </row>
    <row r="8678" spans="1:11">
      <c r="A8678" s="12">
        <v>42725</v>
      </c>
      <c r="B8678">
        <v>2016</v>
      </c>
      <c r="C8678">
        <v>12</v>
      </c>
      <c r="D8678" s="11">
        <v>42705</v>
      </c>
      <c r="E8678" t="s">
        <v>2184</v>
      </c>
      <c r="F8678">
        <v>3</v>
      </c>
      <c r="G8678" t="s">
        <v>65</v>
      </c>
      <c r="H8678" t="s">
        <v>44</v>
      </c>
      <c r="I8678" t="s">
        <v>2192</v>
      </c>
      <c r="J8678" s="10">
        <v>5</v>
      </c>
      <c r="K8678" t="b">
        <v>1</v>
      </c>
    </row>
    <row r="8679" spans="1:11">
      <c r="A8679" s="12">
        <v>42725</v>
      </c>
      <c r="B8679">
        <v>2016</v>
      </c>
      <c r="C8679">
        <v>12</v>
      </c>
      <c r="D8679" s="11">
        <v>42705</v>
      </c>
      <c r="E8679" t="s">
        <v>2184</v>
      </c>
      <c r="F8679">
        <v>3</v>
      </c>
      <c r="G8679" t="s">
        <v>65</v>
      </c>
      <c r="H8679" t="s">
        <v>45</v>
      </c>
      <c r="I8679" t="s">
        <v>2193</v>
      </c>
      <c r="J8679" s="10">
        <v>0</v>
      </c>
      <c r="K8679" t="b">
        <v>1</v>
      </c>
    </row>
    <row r="8680" spans="1:11">
      <c r="A8680" s="12">
        <v>42725</v>
      </c>
      <c r="B8680">
        <v>2016</v>
      </c>
      <c r="C8680">
        <v>12</v>
      </c>
      <c r="D8680" s="11">
        <v>42705</v>
      </c>
      <c r="E8680" t="s">
        <v>2184</v>
      </c>
      <c r="F8680">
        <v>3</v>
      </c>
      <c r="G8680" t="s">
        <v>65</v>
      </c>
      <c r="H8680" t="s">
        <v>46</v>
      </c>
      <c r="I8680" t="s">
        <v>2194</v>
      </c>
      <c r="J8680" s="10">
        <v>6</v>
      </c>
      <c r="K8680" t="b">
        <v>1</v>
      </c>
    </row>
    <row r="8681" spans="1:11">
      <c r="A8681" s="12">
        <v>42725</v>
      </c>
      <c r="B8681">
        <v>2016</v>
      </c>
      <c r="C8681">
        <v>12</v>
      </c>
      <c r="D8681" s="11">
        <v>42705</v>
      </c>
      <c r="E8681" t="s">
        <v>2184</v>
      </c>
      <c r="F8681">
        <v>3</v>
      </c>
      <c r="G8681" t="s">
        <v>65</v>
      </c>
      <c r="H8681" t="s">
        <v>47</v>
      </c>
      <c r="I8681" t="s">
        <v>2195</v>
      </c>
      <c r="J8681" s="10">
        <v>2.5</v>
      </c>
      <c r="K8681" t="b">
        <v>1</v>
      </c>
    </row>
    <row r="8682" spans="1:11">
      <c r="A8682" s="12">
        <v>42726</v>
      </c>
      <c r="B8682">
        <v>2016</v>
      </c>
      <c r="C8682">
        <v>12</v>
      </c>
      <c r="D8682" s="11">
        <v>42705</v>
      </c>
      <c r="E8682" t="s">
        <v>2184</v>
      </c>
      <c r="F8682">
        <v>4</v>
      </c>
      <c r="G8682" t="s">
        <v>53</v>
      </c>
      <c r="H8682" t="s">
        <v>40</v>
      </c>
      <c r="I8682" t="s">
        <v>2188</v>
      </c>
      <c r="J8682" s="10">
        <v>4.34</v>
      </c>
      <c r="K8682" t="b">
        <v>1</v>
      </c>
    </row>
    <row r="8683" spans="1:11">
      <c r="A8683" s="12">
        <v>42726</v>
      </c>
      <c r="B8683">
        <v>2016</v>
      </c>
      <c r="C8683">
        <v>12</v>
      </c>
      <c r="D8683" s="11">
        <v>42705</v>
      </c>
      <c r="E8683" t="s">
        <v>2184</v>
      </c>
      <c r="F8683">
        <v>4</v>
      </c>
      <c r="G8683" t="s">
        <v>53</v>
      </c>
      <c r="H8683" t="s">
        <v>41</v>
      </c>
      <c r="I8683" t="s">
        <v>2189</v>
      </c>
      <c r="J8683" s="10">
        <v>4.165</v>
      </c>
      <c r="K8683" t="b">
        <v>1</v>
      </c>
    </row>
    <row r="8684" spans="1:11">
      <c r="A8684" s="12">
        <v>42726</v>
      </c>
      <c r="B8684">
        <v>2016</v>
      </c>
      <c r="C8684">
        <v>12</v>
      </c>
      <c r="D8684" s="11">
        <v>42705</v>
      </c>
      <c r="E8684" t="s">
        <v>2184</v>
      </c>
      <c r="F8684">
        <v>4</v>
      </c>
      <c r="G8684" t="s">
        <v>53</v>
      </c>
      <c r="H8684" t="s">
        <v>42</v>
      </c>
      <c r="I8684" t="s">
        <v>2190</v>
      </c>
      <c r="J8684" s="10">
        <v>3.8</v>
      </c>
      <c r="K8684" t="b">
        <v>1</v>
      </c>
    </row>
    <row r="8685" spans="1:11">
      <c r="A8685" s="12">
        <v>42726</v>
      </c>
      <c r="B8685">
        <v>2016</v>
      </c>
      <c r="C8685">
        <v>12</v>
      </c>
      <c r="D8685" s="11">
        <v>42705</v>
      </c>
      <c r="E8685" t="s">
        <v>2184</v>
      </c>
      <c r="F8685">
        <v>4</v>
      </c>
      <c r="G8685" t="s">
        <v>53</v>
      </c>
      <c r="H8685" t="s">
        <v>43</v>
      </c>
      <c r="I8685" t="s">
        <v>2191</v>
      </c>
      <c r="J8685" s="10">
        <v>38.4</v>
      </c>
      <c r="K8685" t="b">
        <v>1</v>
      </c>
    </row>
    <row r="8686" spans="1:11">
      <c r="A8686" s="12">
        <v>42726</v>
      </c>
      <c r="B8686">
        <v>2016</v>
      </c>
      <c r="C8686">
        <v>12</v>
      </c>
      <c r="D8686" s="11">
        <v>42705</v>
      </c>
      <c r="E8686" t="s">
        <v>2184</v>
      </c>
      <c r="F8686">
        <v>4</v>
      </c>
      <c r="G8686" t="s">
        <v>53</v>
      </c>
      <c r="H8686" t="s">
        <v>44</v>
      </c>
      <c r="I8686" t="s">
        <v>2192</v>
      </c>
      <c r="J8686" s="10">
        <v>1</v>
      </c>
      <c r="K8686" t="b">
        <v>1</v>
      </c>
    </row>
    <row r="8687" spans="1:11">
      <c r="A8687" s="12">
        <v>42726</v>
      </c>
      <c r="B8687">
        <v>2016</v>
      </c>
      <c r="C8687">
        <v>12</v>
      </c>
      <c r="D8687" s="11">
        <v>42705</v>
      </c>
      <c r="E8687" t="s">
        <v>2184</v>
      </c>
      <c r="F8687">
        <v>4</v>
      </c>
      <c r="G8687" t="s">
        <v>53</v>
      </c>
      <c r="H8687" t="s">
        <v>45</v>
      </c>
      <c r="I8687" t="s">
        <v>2193</v>
      </c>
      <c r="J8687" s="10">
        <v>0</v>
      </c>
      <c r="K8687" t="b">
        <v>1</v>
      </c>
    </row>
    <row r="8688" spans="1:11">
      <c r="A8688" s="12">
        <v>42726</v>
      </c>
      <c r="B8688">
        <v>2016</v>
      </c>
      <c r="C8688">
        <v>12</v>
      </c>
      <c r="D8688" s="11">
        <v>42705</v>
      </c>
      <c r="E8688" t="s">
        <v>2184</v>
      </c>
      <c r="F8688">
        <v>4</v>
      </c>
      <c r="G8688" t="s">
        <v>53</v>
      </c>
      <c r="H8688" t="s">
        <v>46</v>
      </c>
      <c r="I8688" t="s">
        <v>2194</v>
      </c>
      <c r="J8688" s="10">
        <v>5</v>
      </c>
      <c r="K8688" t="b">
        <v>1</v>
      </c>
    </row>
    <row r="8689" spans="1:11">
      <c r="A8689" s="12">
        <v>42726</v>
      </c>
      <c r="B8689">
        <v>2016</v>
      </c>
      <c r="C8689">
        <v>12</v>
      </c>
      <c r="D8689" s="11">
        <v>42705</v>
      </c>
      <c r="E8689" t="s">
        <v>2184</v>
      </c>
      <c r="F8689">
        <v>4</v>
      </c>
      <c r="G8689" t="s">
        <v>53</v>
      </c>
      <c r="H8689" t="s">
        <v>47</v>
      </c>
      <c r="I8689" t="s">
        <v>2195</v>
      </c>
      <c r="J8689" s="10">
        <v>0</v>
      </c>
      <c r="K8689" t="b">
        <v>1</v>
      </c>
    </row>
    <row r="8690" spans="1:11">
      <c r="A8690" s="12">
        <v>42727</v>
      </c>
      <c r="B8690">
        <v>2016</v>
      </c>
      <c r="C8690">
        <v>12</v>
      </c>
      <c r="D8690" s="11">
        <v>42705</v>
      </c>
      <c r="E8690" t="s">
        <v>2184</v>
      </c>
      <c r="F8690">
        <v>5</v>
      </c>
      <c r="G8690" t="s">
        <v>55</v>
      </c>
      <c r="H8690" t="s">
        <v>40</v>
      </c>
      <c r="I8690" t="s">
        <v>2188</v>
      </c>
      <c r="J8690" s="10">
        <v>5.33</v>
      </c>
      <c r="K8690" t="b">
        <v>1</v>
      </c>
    </row>
    <row r="8691" spans="1:11">
      <c r="A8691" s="12">
        <v>42727</v>
      </c>
      <c r="B8691">
        <v>2016</v>
      </c>
      <c r="C8691">
        <v>12</v>
      </c>
      <c r="D8691" s="11">
        <v>42705</v>
      </c>
      <c r="E8691" t="s">
        <v>2184</v>
      </c>
      <c r="F8691">
        <v>5</v>
      </c>
      <c r="G8691" t="s">
        <v>55</v>
      </c>
      <c r="H8691" t="s">
        <v>41</v>
      </c>
      <c r="I8691" t="s">
        <v>2189</v>
      </c>
      <c r="J8691" s="10">
        <v>4.67</v>
      </c>
      <c r="K8691" t="b">
        <v>1</v>
      </c>
    </row>
    <row r="8692" spans="1:11">
      <c r="A8692" s="12">
        <v>42727</v>
      </c>
      <c r="B8692">
        <v>2016</v>
      </c>
      <c r="C8692">
        <v>12</v>
      </c>
      <c r="D8692" s="11">
        <v>42705</v>
      </c>
      <c r="E8692" t="s">
        <v>2184</v>
      </c>
      <c r="F8692">
        <v>5</v>
      </c>
      <c r="G8692" t="s">
        <v>55</v>
      </c>
      <c r="H8692" t="s">
        <v>42</v>
      </c>
      <c r="I8692" t="s">
        <v>2190</v>
      </c>
      <c r="J8692" s="10">
        <v>1.15</v>
      </c>
      <c r="K8692" t="b">
        <v>1</v>
      </c>
    </row>
    <row r="8693" spans="1:11">
      <c r="A8693" s="12">
        <v>42727</v>
      </c>
      <c r="B8693">
        <v>2016</v>
      </c>
      <c r="C8693">
        <v>12</v>
      </c>
      <c r="D8693" s="11">
        <v>42705</v>
      </c>
      <c r="E8693" t="s">
        <v>2184</v>
      </c>
      <c r="F8693">
        <v>5</v>
      </c>
      <c r="G8693" t="s">
        <v>55</v>
      </c>
      <c r="H8693" t="s">
        <v>43</v>
      </c>
      <c r="I8693" t="s">
        <v>2191</v>
      </c>
      <c r="J8693" s="10">
        <v>32</v>
      </c>
      <c r="K8693" t="b">
        <v>1</v>
      </c>
    </row>
    <row r="8694" spans="1:11">
      <c r="A8694" s="12">
        <v>42727</v>
      </c>
      <c r="B8694">
        <v>2016</v>
      </c>
      <c r="C8694">
        <v>12</v>
      </c>
      <c r="D8694" s="11">
        <v>42705</v>
      </c>
      <c r="E8694" t="s">
        <v>2184</v>
      </c>
      <c r="F8694">
        <v>5</v>
      </c>
      <c r="G8694" t="s">
        <v>55</v>
      </c>
      <c r="H8694" t="s">
        <v>44</v>
      </c>
      <c r="I8694" t="s">
        <v>2192</v>
      </c>
      <c r="J8694" s="10">
        <v>6</v>
      </c>
      <c r="K8694" t="b">
        <v>1</v>
      </c>
    </row>
    <row r="8695" spans="1:11">
      <c r="A8695" s="12">
        <v>42727</v>
      </c>
      <c r="B8695">
        <v>2016</v>
      </c>
      <c r="C8695">
        <v>12</v>
      </c>
      <c r="D8695" s="11">
        <v>42705</v>
      </c>
      <c r="E8695" t="s">
        <v>2184</v>
      </c>
      <c r="F8695">
        <v>5</v>
      </c>
      <c r="G8695" t="s">
        <v>55</v>
      </c>
      <c r="H8695" t="s">
        <v>45</v>
      </c>
      <c r="I8695" t="s">
        <v>2193</v>
      </c>
      <c r="J8695" s="10">
        <v>0</v>
      </c>
      <c r="K8695" t="b">
        <v>1</v>
      </c>
    </row>
    <row r="8696" spans="1:11">
      <c r="A8696" s="12">
        <v>42727</v>
      </c>
      <c r="B8696">
        <v>2016</v>
      </c>
      <c r="C8696">
        <v>12</v>
      </c>
      <c r="D8696" s="11">
        <v>42705</v>
      </c>
      <c r="E8696" t="s">
        <v>2184</v>
      </c>
      <c r="F8696">
        <v>5</v>
      </c>
      <c r="G8696" t="s">
        <v>55</v>
      </c>
      <c r="H8696" t="s">
        <v>46</v>
      </c>
      <c r="I8696" t="s">
        <v>2194</v>
      </c>
      <c r="J8696" s="10">
        <v>8</v>
      </c>
      <c r="K8696" t="b">
        <v>1</v>
      </c>
    </row>
    <row r="8697" spans="1:11">
      <c r="A8697" s="12">
        <v>42727</v>
      </c>
      <c r="B8697">
        <v>2016</v>
      </c>
      <c r="C8697">
        <v>12</v>
      </c>
      <c r="D8697" s="11">
        <v>42705</v>
      </c>
      <c r="E8697" t="s">
        <v>2184</v>
      </c>
      <c r="F8697">
        <v>5</v>
      </c>
      <c r="G8697" t="s">
        <v>55</v>
      </c>
      <c r="H8697" t="s">
        <v>47</v>
      </c>
      <c r="I8697" t="s">
        <v>2195</v>
      </c>
      <c r="J8697" s="10">
        <v>2</v>
      </c>
      <c r="K8697" t="b">
        <v>1</v>
      </c>
    </row>
    <row r="8698" spans="1:11">
      <c r="A8698" s="12">
        <v>42728</v>
      </c>
      <c r="B8698">
        <v>2016</v>
      </c>
      <c r="C8698">
        <v>12</v>
      </c>
      <c r="D8698" s="11">
        <v>42705</v>
      </c>
      <c r="E8698" t="s">
        <v>2184</v>
      </c>
      <c r="F8698">
        <v>6</v>
      </c>
      <c r="G8698" t="s">
        <v>57</v>
      </c>
      <c r="H8698" t="s">
        <v>40</v>
      </c>
      <c r="I8698" t="s">
        <v>2188</v>
      </c>
      <c r="J8698" s="10">
        <v>6.33</v>
      </c>
      <c r="K8698" t="b">
        <v>1</v>
      </c>
    </row>
    <row r="8699" spans="1:11">
      <c r="A8699" s="12">
        <v>42728</v>
      </c>
      <c r="B8699">
        <v>2016</v>
      </c>
      <c r="C8699">
        <v>12</v>
      </c>
      <c r="D8699" s="11">
        <v>42705</v>
      </c>
      <c r="E8699" t="s">
        <v>2184</v>
      </c>
      <c r="F8699">
        <v>6</v>
      </c>
      <c r="G8699" t="s">
        <v>57</v>
      </c>
      <c r="H8699" t="s">
        <v>41</v>
      </c>
      <c r="I8699" t="s">
        <v>2189</v>
      </c>
      <c r="J8699" s="10">
        <v>6.7</v>
      </c>
      <c r="K8699" t="b">
        <v>1</v>
      </c>
    </row>
    <row r="8700" spans="1:11">
      <c r="A8700" s="12">
        <v>42728</v>
      </c>
      <c r="B8700">
        <v>2016</v>
      </c>
      <c r="C8700">
        <v>12</v>
      </c>
      <c r="D8700" s="11">
        <v>42705</v>
      </c>
      <c r="E8700" t="s">
        <v>2184</v>
      </c>
      <c r="F8700">
        <v>6</v>
      </c>
      <c r="G8700" t="s">
        <v>57</v>
      </c>
      <c r="H8700" t="s">
        <v>42</v>
      </c>
      <c r="I8700" t="s">
        <v>2190</v>
      </c>
      <c r="J8700" s="10">
        <v>4.2</v>
      </c>
      <c r="K8700" t="b">
        <v>1</v>
      </c>
    </row>
    <row r="8701" spans="1:11">
      <c r="A8701" s="12">
        <v>42728</v>
      </c>
      <c r="B8701">
        <v>2016</v>
      </c>
      <c r="C8701">
        <v>12</v>
      </c>
      <c r="D8701" s="11">
        <v>42705</v>
      </c>
      <c r="E8701" t="s">
        <v>2184</v>
      </c>
      <c r="F8701">
        <v>6</v>
      </c>
      <c r="G8701" t="s">
        <v>57</v>
      </c>
      <c r="H8701" t="s">
        <v>43</v>
      </c>
      <c r="I8701" t="s">
        <v>2191</v>
      </c>
      <c r="J8701" s="10">
        <v>82</v>
      </c>
      <c r="K8701" t="b">
        <v>1</v>
      </c>
    </row>
    <row r="8702" spans="1:11">
      <c r="A8702" s="12">
        <v>42728</v>
      </c>
      <c r="B8702">
        <v>2016</v>
      </c>
      <c r="C8702">
        <v>12</v>
      </c>
      <c r="D8702" s="11">
        <v>42705</v>
      </c>
      <c r="E8702" t="s">
        <v>2184</v>
      </c>
      <c r="F8702">
        <v>6</v>
      </c>
      <c r="G8702" t="s">
        <v>57</v>
      </c>
      <c r="H8702" t="s">
        <v>44</v>
      </c>
      <c r="I8702" t="s">
        <v>2192</v>
      </c>
      <c r="J8702" s="10">
        <v>4</v>
      </c>
      <c r="K8702" t="b">
        <v>1</v>
      </c>
    </row>
    <row r="8703" spans="1:11">
      <c r="A8703" s="12">
        <v>42728</v>
      </c>
      <c r="B8703">
        <v>2016</v>
      </c>
      <c r="C8703">
        <v>12</v>
      </c>
      <c r="D8703" s="11">
        <v>42705</v>
      </c>
      <c r="E8703" t="s">
        <v>2184</v>
      </c>
      <c r="F8703">
        <v>6</v>
      </c>
      <c r="G8703" t="s">
        <v>57</v>
      </c>
      <c r="H8703" t="s">
        <v>45</v>
      </c>
      <c r="I8703" t="s">
        <v>2193</v>
      </c>
      <c r="J8703" s="10">
        <v>1</v>
      </c>
      <c r="K8703" t="b">
        <v>1</v>
      </c>
    </row>
    <row r="8704" spans="1:11">
      <c r="A8704" s="12">
        <v>42728</v>
      </c>
      <c r="B8704">
        <v>2016</v>
      </c>
      <c r="C8704">
        <v>12</v>
      </c>
      <c r="D8704" s="11">
        <v>42705</v>
      </c>
      <c r="E8704" t="s">
        <v>2184</v>
      </c>
      <c r="F8704">
        <v>6</v>
      </c>
      <c r="G8704" t="s">
        <v>57</v>
      </c>
      <c r="H8704" t="s">
        <v>46</v>
      </c>
      <c r="I8704" t="s">
        <v>2194</v>
      </c>
      <c r="J8704" s="10">
        <v>2</v>
      </c>
      <c r="K8704" t="b">
        <v>1</v>
      </c>
    </row>
    <row r="8705" spans="1:11">
      <c r="A8705" s="12">
        <v>42728</v>
      </c>
      <c r="B8705">
        <v>2016</v>
      </c>
      <c r="C8705">
        <v>12</v>
      </c>
      <c r="D8705" s="11">
        <v>42705</v>
      </c>
      <c r="E8705" t="s">
        <v>2184</v>
      </c>
      <c r="F8705">
        <v>6</v>
      </c>
      <c r="G8705" t="s">
        <v>57</v>
      </c>
      <c r="H8705" t="s">
        <v>47</v>
      </c>
      <c r="I8705" t="s">
        <v>2195</v>
      </c>
      <c r="J8705" s="10">
        <v>1</v>
      </c>
      <c r="K8705" t="b">
        <v>1</v>
      </c>
    </row>
    <row r="8706" spans="1:11">
      <c r="A8706" s="12">
        <v>42729</v>
      </c>
      <c r="B8706">
        <v>2016</v>
      </c>
      <c r="C8706">
        <v>12</v>
      </c>
      <c r="D8706" s="11">
        <v>42705</v>
      </c>
      <c r="E8706" t="s">
        <v>2184</v>
      </c>
      <c r="F8706">
        <v>7</v>
      </c>
      <c r="G8706" t="s">
        <v>59</v>
      </c>
      <c r="H8706" t="s">
        <v>40</v>
      </c>
      <c r="I8706" t="s">
        <v>2188</v>
      </c>
      <c r="J8706" s="10">
        <v>2.33</v>
      </c>
      <c r="K8706" t="b">
        <v>1</v>
      </c>
    </row>
    <row r="8707" spans="1:11">
      <c r="A8707" s="12">
        <v>42729</v>
      </c>
      <c r="B8707">
        <v>2016</v>
      </c>
      <c r="C8707">
        <v>12</v>
      </c>
      <c r="D8707" s="11">
        <v>42705</v>
      </c>
      <c r="E8707" t="s">
        <v>2184</v>
      </c>
      <c r="F8707">
        <v>7</v>
      </c>
      <c r="G8707" t="s">
        <v>59</v>
      </c>
      <c r="H8707" t="s">
        <v>41</v>
      </c>
      <c r="I8707" t="s">
        <v>2189</v>
      </c>
      <c r="J8707" s="10">
        <v>7.627</v>
      </c>
      <c r="K8707" t="b">
        <v>1</v>
      </c>
    </row>
    <row r="8708" spans="1:11">
      <c r="A8708" s="12">
        <v>42729</v>
      </c>
      <c r="B8708">
        <v>2016</v>
      </c>
      <c r="C8708">
        <v>12</v>
      </c>
      <c r="D8708" s="11">
        <v>42705</v>
      </c>
      <c r="E8708" t="s">
        <v>2184</v>
      </c>
      <c r="F8708">
        <v>7</v>
      </c>
      <c r="G8708" t="s">
        <v>59</v>
      </c>
      <c r="H8708" t="s">
        <v>42</v>
      </c>
      <c r="I8708" t="s">
        <v>2190</v>
      </c>
      <c r="J8708" s="10">
        <v>5.7</v>
      </c>
      <c r="K8708" t="b">
        <v>1</v>
      </c>
    </row>
    <row r="8709" spans="1:11">
      <c r="A8709" s="12">
        <v>42729</v>
      </c>
      <c r="B8709">
        <v>2016</v>
      </c>
      <c r="C8709">
        <v>12</v>
      </c>
      <c r="D8709" s="11">
        <v>42705</v>
      </c>
      <c r="E8709" t="s">
        <v>2184</v>
      </c>
      <c r="F8709">
        <v>7</v>
      </c>
      <c r="G8709" t="s">
        <v>59</v>
      </c>
      <c r="H8709" t="s">
        <v>43</v>
      </c>
      <c r="I8709" t="s">
        <v>2191</v>
      </c>
      <c r="J8709" s="10">
        <v>79.8</v>
      </c>
      <c r="K8709" t="b">
        <v>1</v>
      </c>
    </row>
    <row r="8710" spans="1:11">
      <c r="A8710" s="12">
        <v>42729</v>
      </c>
      <c r="B8710">
        <v>2016</v>
      </c>
      <c r="C8710">
        <v>12</v>
      </c>
      <c r="D8710" s="11">
        <v>42705</v>
      </c>
      <c r="E8710" t="s">
        <v>2184</v>
      </c>
      <c r="F8710">
        <v>7</v>
      </c>
      <c r="G8710" t="s">
        <v>59</v>
      </c>
      <c r="H8710" t="s">
        <v>44</v>
      </c>
      <c r="I8710" t="s">
        <v>2192</v>
      </c>
      <c r="J8710" s="10">
        <v>0</v>
      </c>
      <c r="K8710" t="b">
        <v>1</v>
      </c>
    </row>
    <row r="8711" spans="1:11">
      <c r="A8711" s="12">
        <v>42729</v>
      </c>
      <c r="B8711">
        <v>2016</v>
      </c>
      <c r="C8711">
        <v>12</v>
      </c>
      <c r="D8711" s="11">
        <v>42705</v>
      </c>
      <c r="E8711" t="s">
        <v>2184</v>
      </c>
      <c r="F8711">
        <v>7</v>
      </c>
      <c r="G8711" t="s">
        <v>59</v>
      </c>
      <c r="H8711" t="s">
        <v>45</v>
      </c>
      <c r="I8711" t="s">
        <v>2193</v>
      </c>
      <c r="J8711" s="10">
        <v>0</v>
      </c>
      <c r="K8711" t="b">
        <v>1</v>
      </c>
    </row>
    <row r="8712" spans="1:11">
      <c r="A8712" s="12">
        <v>42729</v>
      </c>
      <c r="B8712">
        <v>2016</v>
      </c>
      <c r="C8712">
        <v>12</v>
      </c>
      <c r="D8712" s="11">
        <v>42705</v>
      </c>
      <c r="E8712" t="s">
        <v>2184</v>
      </c>
      <c r="F8712">
        <v>7</v>
      </c>
      <c r="G8712" t="s">
        <v>59</v>
      </c>
      <c r="H8712" t="s">
        <v>46</v>
      </c>
      <c r="I8712" t="s">
        <v>2194</v>
      </c>
      <c r="J8712" s="10">
        <v>9</v>
      </c>
      <c r="K8712" t="b">
        <v>1</v>
      </c>
    </row>
    <row r="8713" spans="1:11">
      <c r="A8713" s="12">
        <v>42729</v>
      </c>
      <c r="B8713">
        <v>2016</v>
      </c>
      <c r="C8713">
        <v>12</v>
      </c>
      <c r="D8713" s="11">
        <v>42705</v>
      </c>
      <c r="E8713" t="s">
        <v>2184</v>
      </c>
      <c r="F8713">
        <v>7</v>
      </c>
      <c r="G8713" t="s">
        <v>59</v>
      </c>
      <c r="H8713" t="s">
        <v>47</v>
      </c>
      <c r="I8713" t="s">
        <v>2195</v>
      </c>
      <c r="J8713" s="10">
        <v>1</v>
      </c>
      <c r="K8713" t="b">
        <v>1</v>
      </c>
    </row>
    <row r="8714" spans="1:11">
      <c r="A8714" s="12">
        <v>42730</v>
      </c>
      <c r="B8714">
        <v>2016</v>
      </c>
      <c r="C8714">
        <v>12</v>
      </c>
      <c r="D8714" s="11">
        <v>42705</v>
      </c>
      <c r="E8714" t="s">
        <v>2184</v>
      </c>
      <c r="F8714">
        <v>1</v>
      </c>
      <c r="G8714" t="s">
        <v>61</v>
      </c>
      <c r="H8714" t="s">
        <v>40</v>
      </c>
      <c r="I8714" t="s">
        <v>2188</v>
      </c>
      <c r="J8714" s="10">
        <v>10.33</v>
      </c>
      <c r="K8714" t="b">
        <v>1</v>
      </c>
    </row>
    <row r="8715" spans="1:11">
      <c r="A8715" s="12">
        <v>42730</v>
      </c>
      <c r="B8715">
        <v>2016</v>
      </c>
      <c r="C8715">
        <v>12</v>
      </c>
      <c r="D8715" s="11">
        <v>42705</v>
      </c>
      <c r="E8715" t="s">
        <v>2184</v>
      </c>
      <c r="F8715">
        <v>1</v>
      </c>
      <c r="G8715" t="s">
        <v>61</v>
      </c>
      <c r="H8715" t="s">
        <v>41</v>
      </c>
      <c r="I8715" t="s">
        <v>2189</v>
      </c>
      <c r="J8715" s="10">
        <v>4.66</v>
      </c>
      <c r="K8715" t="b">
        <v>1</v>
      </c>
    </row>
    <row r="8716" spans="1:11">
      <c r="A8716" s="12">
        <v>42730</v>
      </c>
      <c r="B8716">
        <v>2016</v>
      </c>
      <c r="C8716">
        <v>12</v>
      </c>
      <c r="D8716" s="11">
        <v>42705</v>
      </c>
      <c r="E8716" t="s">
        <v>2184</v>
      </c>
      <c r="F8716">
        <v>1</v>
      </c>
      <c r="G8716" t="s">
        <v>61</v>
      </c>
      <c r="H8716" t="s">
        <v>42</v>
      </c>
      <c r="I8716" t="s">
        <v>2190</v>
      </c>
      <c r="J8716" s="10">
        <v>2</v>
      </c>
      <c r="K8716" t="b">
        <v>1</v>
      </c>
    </row>
    <row r="8717" spans="1:11">
      <c r="A8717" s="12">
        <v>42730</v>
      </c>
      <c r="B8717">
        <v>2016</v>
      </c>
      <c r="C8717">
        <v>12</v>
      </c>
      <c r="D8717" s="11">
        <v>42705</v>
      </c>
      <c r="E8717" t="s">
        <v>2184</v>
      </c>
      <c r="F8717">
        <v>1</v>
      </c>
      <c r="G8717" t="s">
        <v>61</v>
      </c>
      <c r="H8717" t="s">
        <v>43</v>
      </c>
      <c r="I8717" t="s">
        <v>2191</v>
      </c>
      <c r="J8717" s="10">
        <v>58.924</v>
      </c>
      <c r="K8717" t="b">
        <v>1</v>
      </c>
    </row>
    <row r="8718" spans="1:11">
      <c r="A8718" s="12">
        <v>42730</v>
      </c>
      <c r="B8718">
        <v>2016</v>
      </c>
      <c r="C8718">
        <v>12</v>
      </c>
      <c r="D8718" s="11">
        <v>42705</v>
      </c>
      <c r="E8718" t="s">
        <v>2184</v>
      </c>
      <c r="F8718">
        <v>1</v>
      </c>
      <c r="G8718" t="s">
        <v>61</v>
      </c>
      <c r="H8718" t="s">
        <v>44</v>
      </c>
      <c r="I8718" t="s">
        <v>2192</v>
      </c>
      <c r="J8718" s="10">
        <v>6</v>
      </c>
      <c r="K8718" t="b">
        <v>1</v>
      </c>
    </row>
    <row r="8719" spans="1:11">
      <c r="A8719" s="12">
        <v>42730</v>
      </c>
      <c r="B8719">
        <v>2016</v>
      </c>
      <c r="C8719">
        <v>12</v>
      </c>
      <c r="D8719" s="11">
        <v>42705</v>
      </c>
      <c r="E8719" t="s">
        <v>2184</v>
      </c>
      <c r="F8719">
        <v>1</v>
      </c>
      <c r="G8719" t="s">
        <v>61</v>
      </c>
      <c r="H8719" t="s">
        <v>45</v>
      </c>
      <c r="I8719" t="s">
        <v>2193</v>
      </c>
      <c r="J8719" s="10">
        <v>0</v>
      </c>
      <c r="K8719" t="b">
        <v>1</v>
      </c>
    </row>
    <row r="8720" spans="1:11">
      <c r="A8720" s="12">
        <v>42730</v>
      </c>
      <c r="B8720">
        <v>2016</v>
      </c>
      <c r="C8720">
        <v>12</v>
      </c>
      <c r="D8720" s="11">
        <v>42705</v>
      </c>
      <c r="E8720" t="s">
        <v>2184</v>
      </c>
      <c r="F8720">
        <v>1</v>
      </c>
      <c r="G8720" t="s">
        <v>61</v>
      </c>
      <c r="H8720" t="s">
        <v>46</v>
      </c>
      <c r="I8720" t="s">
        <v>2194</v>
      </c>
      <c r="J8720" s="10">
        <v>2</v>
      </c>
      <c r="K8720" t="b">
        <v>1</v>
      </c>
    </row>
    <row r="8721" spans="1:11">
      <c r="A8721" s="12">
        <v>42730</v>
      </c>
      <c r="B8721">
        <v>2016</v>
      </c>
      <c r="C8721">
        <v>12</v>
      </c>
      <c r="D8721" s="11">
        <v>42705</v>
      </c>
      <c r="E8721" t="s">
        <v>2184</v>
      </c>
      <c r="F8721">
        <v>1</v>
      </c>
      <c r="G8721" t="s">
        <v>61</v>
      </c>
      <c r="H8721" t="s">
        <v>47</v>
      </c>
      <c r="I8721" t="s">
        <v>2195</v>
      </c>
      <c r="J8721" s="10">
        <v>2</v>
      </c>
      <c r="K8721" t="b">
        <v>1</v>
      </c>
    </row>
    <row r="8722" spans="1:11">
      <c r="A8722" s="12">
        <v>42731</v>
      </c>
      <c r="B8722">
        <v>2016</v>
      </c>
      <c r="C8722">
        <v>12</v>
      </c>
      <c r="D8722" s="11">
        <v>42705</v>
      </c>
      <c r="E8722" t="s">
        <v>2184</v>
      </c>
      <c r="F8722">
        <v>2</v>
      </c>
      <c r="G8722" t="s">
        <v>63</v>
      </c>
      <c r="H8722" t="s">
        <v>40</v>
      </c>
      <c r="I8722" t="s">
        <v>2188</v>
      </c>
      <c r="J8722" s="10">
        <v>6</v>
      </c>
      <c r="K8722" t="b">
        <v>1</v>
      </c>
    </row>
    <row r="8723" spans="1:11">
      <c r="A8723" s="12">
        <v>42731</v>
      </c>
      <c r="B8723">
        <v>2016</v>
      </c>
      <c r="C8723">
        <v>12</v>
      </c>
      <c r="D8723" s="11">
        <v>42705</v>
      </c>
      <c r="E8723" t="s">
        <v>2184</v>
      </c>
      <c r="F8723">
        <v>2</v>
      </c>
      <c r="G8723" t="s">
        <v>63</v>
      </c>
      <c r="H8723" t="s">
        <v>41</v>
      </c>
      <c r="I8723" t="s">
        <v>2189</v>
      </c>
      <c r="J8723" s="10">
        <v>5</v>
      </c>
      <c r="K8723" t="b">
        <v>1</v>
      </c>
    </row>
    <row r="8724" spans="1:11">
      <c r="A8724" s="12">
        <v>42731</v>
      </c>
      <c r="B8724">
        <v>2016</v>
      </c>
      <c r="C8724">
        <v>12</v>
      </c>
      <c r="D8724" s="11">
        <v>42705</v>
      </c>
      <c r="E8724" t="s">
        <v>2184</v>
      </c>
      <c r="F8724">
        <v>2</v>
      </c>
      <c r="G8724" t="s">
        <v>63</v>
      </c>
      <c r="H8724" t="s">
        <v>42</v>
      </c>
      <c r="I8724" t="s">
        <v>2190</v>
      </c>
      <c r="J8724" s="10">
        <v>0.416666667</v>
      </c>
      <c r="K8724" t="b">
        <v>1</v>
      </c>
    </row>
    <row r="8725" spans="1:11">
      <c r="A8725" s="12">
        <v>42731</v>
      </c>
      <c r="B8725">
        <v>2016</v>
      </c>
      <c r="C8725">
        <v>12</v>
      </c>
      <c r="D8725" s="11">
        <v>42705</v>
      </c>
      <c r="E8725" t="s">
        <v>2184</v>
      </c>
      <c r="F8725">
        <v>2</v>
      </c>
      <c r="G8725" t="s">
        <v>63</v>
      </c>
      <c r="H8725" t="s">
        <v>43</v>
      </c>
      <c r="I8725" t="s">
        <v>2191</v>
      </c>
      <c r="J8725" s="10">
        <v>54.2</v>
      </c>
      <c r="K8725" t="b">
        <v>1</v>
      </c>
    </row>
    <row r="8726" spans="1:11">
      <c r="A8726" s="12">
        <v>42731</v>
      </c>
      <c r="B8726">
        <v>2016</v>
      </c>
      <c r="C8726">
        <v>12</v>
      </c>
      <c r="D8726" s="11">
        <v>42705</v>
      </c>
      <c r="E8726" t="s">
        <v>2184</v>
      </c>
      <c r="F8726">
        <v>2</v>
      </c>
      <c r="G8726" t="s">
        <v>63</v>
      </c>
      <c r="H8726" t="s">
        <v>44</v>
      </c>
      <c r="I8726" t="s">
        <v>2192</v>
      </c>
      <c r="J8726" s="10">
        <v>8</v>
      </c>
      <c r="K8726" t="b">
        <v>1</v>
      </c>
    </row>
    <row r="8727" spans="1:11">
      <c r="A8727" s="12">
        <v>42731</v>
      </c>
      <c r="B8727">
        <v>2016</v>
      </c>
      <c r="C8727">
        <v>12</v>
      </c>
      <c r="D8727" s="11">
        <v>42705</v>
      </c>
      <c r="E8727" t="s">
        <v>2184</v>
      </c>
      <c r="F8727">
        <v>2</v>
      </c>
      <c r="G8727" t="s">
        <v>63</v>
      </c>
      <c r="H8727" t="s">
        <v>45</v>
      </c>
      <c r="I8727" t="s">
        <v>2193</v>
      </c>
      <c r="J8727" s="10">
        <v>2</v>
      </c>
      <c r="K8727" t="b">
        <v>1</v>
      </c>
    </row>
    <row r="8728" spans="1:11">
      <c r="A8728" s="12">
        <v>42731</v>
      </c>
      <c r="B8728">
        <v>2016</v>
      </c>
      <c r="C8728">
        <v>12</v>
      </c>
      <c r="D8728" s="11">
        <v>42705</v>
      </c>
      <c r="E8728" t="s">
        <v>2184</v>
      </c>
      <c r="F8728">
        <v>2</v>
      </c>
      <c r="G8728" t="s">
        <v>63</v>
      </c>
      <c r="H8728" t="s">
        <v>46</v>
      </c>
      <c r="I8728" t="s">
        <v>2194</v>
      </c>
      <c r="J8728" s="10">
        <v>13</v>
      </c>
      <c r="K8728" t="b">
        <v>1</v>
      </c>
    </row>
    <row r="8729" spans="1:11">
      <c r="A8729" s="12">
        <v>42731</v>
      </c>
      <c r="B8729">
        <v>2016</v>
      </c>
      <c r="C8729">
        <v>12</v>
      </c>
      <c r="D8729" s="11">
        <v>42705</v>
      </c>
      <c r="E8729" t="s">
        <v>2184</v>
      </c>
      <c r="F8729">
        <v>2</v>
      </c>
      <c r="G8729" t="s">
        <v>63</v>
      </c>
      <c r="H8729" t="s">
        <v>47</v>
      </c>
      <c r="I8729" t="s">
        <v>2195</v>
      </c>
      <c r="J8729" s="10">
        <v>0</v>
      </c>
      <c r="K8729" t="b">
        <v>1</v>
      </c>
    </row>
    <row r="8730" spans="1:11">
      <c r="A8730" s="12">
        <v>42732</v>
      </c>
      <c r="B8730">
        <v>2016</v>
      </c>
      <c r="C8730">
        <v>12</v>
      </c>
      <c r="D8730" s="11">
        <v>42705</v>
      </c>
      <c r="E8730" t="s">
        <v>2184</v>
      </c>
      <c r="F8730">
        <v>3</v>
      </c>
      <c r="G8730" t="s">
        <v>65</v>
      </c>
      <c r="H8730" t="s">
        <v>40</v>
      </c>
      <c r="I8730" t="s">
        <v>2188</v>
      </c>
      <c r="J8730" s="10">
        <v>4.34</v>
      </c>
      <c r="K8730" t="b">
        <v>1</v>
      </c>
    </row>
    <row r="8731" spans="1:11">
      <c r="A8731" s="12">
        <v>42732</v>
      </c>
      <c r="B8731">
        <v>2016</v>
      </c>
      <c r="C8731">
        <v>12</v>
      </c>
      <c r="D8731" s="11">
        <v>42705</v>
      </c>
      <c r="E8731" t="s">
        <v>2184</v>
      </c>
      <c r="F8731">
        <v>3</v>
      </c>
      <c r="G8731" t="s">
        <v>65</v>
      </c>
      <c r="H8731" t="s">
        <v>41</v>
      </c>
      <c r="I8731" t="s">
        <v>2189</v>
      </c>
      <c r="J8731" s="10">
        <v>6.33</v>
      </c>
      <c r="K8731" t="b">
        <v>1</v>
      </c>
    </row>
    <row r="8732" spans="1:11">
      <c r="A8732" s="12">
        <v>42732</v>
      </c>
      <c r="B8732">
        <v>2016</v>
      </c>
      <c r="C8732">
        <v>12</v>
      </c>
      <c r="D8732" s="11">
        <v>42705</v>
      </c>
      <c r="E8732" t="s">
        <v>2184</v>
      </c>
      <c r="F8732">
        <v>3</v>
      </c>
      <c r="G8732" t="s">
        <v>65</v>
      </c>
      <c r="H8732" t="s">
        <v>42</v>
      </c>
      <c r="I8732" t="s">
        <v>2190</v>
      </c>
      <c r="J8732" s="10">
        <v>6.45</v>
      </c>
      <c r="K8732" t="b">
        <v>1</v>
      </c>
    </row>
    <row r="8733" spans="1:11">
      <c r="A8733" s="12">
        <v>42732</v>
      </c>
      <c r="B8733">
        <v>2016</v>
      </c>
      <c r="C8733">
        <v>12</v>
      </c>
      <c r="D8733" s="11">
        <v>42705</v>
      </c>
      <c r="E8733" t="s">
        <v>2184</v>
      </c>
      <c r="F8733">
        <v>3</v>
      </c>
      <c r="G8733" t="s">
        <v>65</v>
      </c>
      <c r="H8733" t="s">
        <v>43</v>
      </c>
      <c r="I8733" t="s">
        <v>2191</v>
      </c>
      <c r="J8733" s="10">
        <v>57.2</v>
      </c>
      <c r="K8733" t="b">
        <v>1</v>
      </c>
    </row>
    <row r="8734" spans="1:11">
      <c r="A8734" s="12">
        <v>42732</v>
      </c>
      <c r="B8734">
        <v>2016</v>
      </c>
      <c r="C8734">
        <v>12</v>
      </c>
      <c r="D8734" s="11">
        <v>42705</v>
      </c>
      <c r="E8734" t="s">
        <v>2184</v>
      </c>
      <c r="F8734">
        <v>3</v>
      </c>
      <c r="G8734" t="s">
        <v>65</v>
      </c>
      <c r="H8734" t="s">
        <v>44</v>
      </c>
      <c r="I8734" t="s">
        <v>2192</v>
      </c>
      <c r="J8734" s="10">
        <v>7</v>
      </c>
      <c r="K8734" t="b">
        <v>1</v>
      </c>
    </row>
    <row r="8735" spans="1:11">
      <c r="A8735" s="12">
        <v>42732</v>
      </c>
      <c r="B8735">
        <v>2016</v>
      </c>
      <c r="C8735">
        <v>12</v>
      </c>
      <c r="D8735" s="11">
        <v>42705</v>
      </c>
      <c r="E8735" t="s">
        <v>2184</v>
      </c>
      <c r="F8735">
        <v>3</v>
      </c>
      <c r="G8735" t="s">
        <v>65</v>
      </c>
      <c r="H8735" t="s">
        <v>45</v>
      </c>
      <c r="I8735" t="s">
        <v>2193</v>
      </c>
      <c r="J8735" s="10">
        <v>0</v>
      </c>
      <c r="K8735" t="b">
        <v>1</v>
      </c>
    </row>
    <row r="8736" spans="1:11">
      <c r="A8736" s="12">
        <v>42732</v>
      </c>
      <c r="B8736">
        <v>2016</v>
      </c>
      <c r="C8736">
        <v>12</v>
      </c>
      <c r="D8736" s="11">
        <v>42705</v>
      </c>
      <c r="E8736" t="s">
        <v>2184</v>
      </c>
      <c r="F8736">
        <v>3</v>
      </c>
      <c r="G8736" t="s">
        <v>65</v>
      </c>
      <c r="H8736" t="s">
        <v>46</v>
      </c>
      <c r="I8736" t="s">
        <v>2194</v>
      </c>
      <c r="J8736" s="10">
        <v>13</v>
      </c>
      <c r="K8736" t="b">
        <v>1</v>
      </c>
    </row>
    <row r="8737" spans="1:11">
      <c r="A8737" s="12">
        <v>42732</v>
      </c>
      <c r="B8737">
        <v>2016</v>
      </c>
      <c r="C8737">
        <v>12</v>
      </c>
      <c r="D8737" s="11">
        <v>42705</v>
      </c>
      <c r="E8737" t="s">
        <v>2184</v>
      </c>
      <c r="F8737">
        <v>3</v>
      </c>
      <c r="G8737" t="s">
        <v>65</v>
      </c>
      <c r="H8737" t="s">
        <v>47</v>
      </c>
      <c r="I8737" t="s">
        <v>2195</v>
      </c>
      <c r="J8737" s="10">
        <v>0</v>
      </c>
      <c r="K8737" t="b">
        <v>1</v>
      </c>
    </row>
    <row r="8738" spans="1:11">
      <c r="A8738" s="12">
        <v>42733</v>
      </c>
      <c r="B8738">
        <v>2016</v>
      </c>
      <c r="C8738">
        <v>12</v>
      </c>
      <c r="D8738" s="11">
        <v>42705</v>
      </c>
      <c r="E8738" t="s">
        <v>2184</v>
      </c>
      <c r="F8738">
        <v>4</v>
      </c>
      <c r="G8738" t="s">
        <v>53</v>
      </c>
      <c r="H8738" t="s">
        <v>40</v>
      </c>
      <c r="I8738" t="s">
        <v>2188</v>
      </c>
      <c r="J8738" s="10">
        <v>11</v>
      </c>
      <c r="K8738" t="b">
        <v>1</v>
      </c>
    </row>
    <row r="8739" spans="1:11">
      <c r="A8739" s="12">
        <v>42733</v>
      </c>
      <c r="B8739">
        <v>2016</v>
      </c>
      <c r="C8739">
        <v>12</v>
      </c>
      <c r="D8739" s="11">
        <v>42705</v>
      </c>
      <c r="E8739" t="s">
        <v>2184</v>
      </c>
      <c r="F8739">
        <v>4</v>
      </c>
      <c r="G8739" t="s">
        <v>53</v>
      </c>
      <c r="H8739" t="s">
        <v>41</v>
      </c>
      <c r="I8739" t="s">
        <v>2189</v>
      </c>
      <c r="J8739" s="10">
        <v>6.01</v>
      </c>
      <c r="K8739" t="b">
        <v>1</v>
      </c>
    </row>
    <row r="8740" spans="1:11">
      <c r="A8740" s="12">
        <v>42733</v>
      </c>
      <c r="B8740">
        <v>2016</v>
      </c>
      <c r="C8740">
        <v>12</v>
      </c>
      <c r="D8740" s="11">
        <v>42705</v>
      </c>
      <c r="E8740" t="s">
        <v>2184</v>
      </c>
      <c r="F8740">
        <v>4</v>
      </c>
      <c r="G8740" t="s">
        <v>53</v>
      </c>
      <c r="H8740" t="s">
        <v>42</v>
      </c>
      <c r="I8740" t="s">
        <v>2190</v>
      </c>
      <c r="J8740" s="10">
        <v>6.35</v>
      </c>
      <c r="K8740" t="b">
        <v>1</v>
      </c>
    </row>
    <row r="8741" spans="1:11">
      <c r="A8741" s="12">
        <v>42733</v>
      </c>
      <c r="B8741">
        <v>2016</v>
      </c>
      <c r="C8741">
        <v>12</v>
      </c>
      <c r="D8741" s="11">
        <v>42705</v>
      </c>
      <c r="E8741" t="s">
        <v>2184</v>
      </c>
      <c r="F8741">
        <v>4</v>
      </c>
      <c r="G8741" t="s">
        <v>53</v>
      </c>
      <c r="H8741" t="s">
        <v>43</v>
      </c>
      <c r="I8741" t="s">
        <v>2191</v>
      </c>
      <c r="J8741" s="10">
        <v>81.2</v>
      </c>
      <c r="K8741" t="b">
        <v>1</v>
      </c>
    </row>
    <row r="8742" spans="1:11">
      <c r="A8742" s="12">
        <v>42733</v>
      </c>
      <c r="B8742">
        <v>2016</v>
      </c>
      <c r="C8742">
        <v>12</v>
      </c>
      <c r="D8742" s="11">
        <v>42705</v>
      </c>
      <c r="E8742" t="s">
        <v>2184</v>
      </c>
      <c r="F8742">
        <v>4</v>
      </c>
      <c r="G8742" t="s">
        <v>53</v>
      </c>
      <c r="H8742" t="s">
        <v>44</v>
      </c>
      <c r="I8742" t="s">
        <v>2192</v>
      </c>
      <c r="J8742" s="10">
        <v>4</v>
      </c>
      <c r="K8742" t="b">
        <v>1</v>
      </c>
    </row>
    <row r="8743" spans="1:11">
      <c r="A8743" s="12">
        <v>42733</v>
      </c>
      <c r="B8743">
        <v>2016</v>
      </c>
      <c r="C8743">
        <v>12</v>
      </c>
      <c r="D8743" s="11">
        <v>42705</v>
      </c>
      <c r="E8743" t="s">
        <v>2184</v>
      </c>
      <c r="F8743">
        <v>4</v>
      </c>
      <c r="G8743" t="s">
        <v>53</v>
      </c>
      <c r="H8743" t="s">
        <v>45</v>
      </c>
      <c r="I8743" t="s">
        <v>2193</v>
      </c>
      <c r="J8743" s="10">
        <v>3</v>
      </c>
      <c r="K8743" t="b">
        <v>1</v>
      </c>
    </row>
    <row r="8744" spans="1:11">
      <c r="A8744" s="12">
        <v>42733</v>
      </c>
      <c r="B8744">
        <v>2016</v>
      </c>
      <c r="C8744">
        <v>12</v>
      </c>
      <c r="D8744" s="11">
        <v>42705</v>
      </c>
      <c r="E8744" t="s">
        <v>2184</v>
      </c>
      <c r="F8744">
        <v>4</v>
      </c>
      <c r="G8744" t="s">
        <v>53</v>
      </c>
      <c r="H8744" t="s">
        <v>46</v>
      </c>
      <c r="I8744" t="s">
        <v>2194</v>
      </c>
      <c r="J8744" s="10">
        <v>6</v>
      </c>
      <c r="K8744" t="b">
        <v>1</v>
      </c>
    </row>
    <row r="8745" spans="1:11">
      <c r="A8745" s="12">
        <v>42733</v>
      </c>
      <c r="B8745">
        <v>2016</v>
      </c>
      <c r="C8745">
        <v>12</v>
      </c>
      <c r="D8745" s="11">
        <v>42705</v>
      </c>
      <c r="E8745" t="s">
        <v>2184</v>
      </c>
      <c r="F8745">
        <v>4</v>
      </c>
      <c r="G8745" t="s">
        <v>53</v>
      </c>
      <c r="H8745" t="s">
        <v>47</v>
      </c>
      <c r="I8745" t="s">
        <v>2195</v>
      </c>
      <c r="J8745" s="10">
        <v>2</v>
      </c>
      <c r="K8745" t="b">
        <v>1</v>
      </c>
    </row>
    <row r="8746" spans="1:11">
      <c r="A8746" s="12">
        <v>42734</v>
      </c>
      <c r="B8746">
        <v>2016</v>
      </c>
      <c r="C8746">
        <v>12</v>
      </c>
      <c r="D8746" s="11">
        <v>42705</v>
      </c>
      <c r="E8746" t="s">
        <v>2184</v>
      </c>
      <c r="F8746">
        <v>5</v>
      </c>
      <c r="G8746" t="s">
        <v>55</v>
      </c>
      <c r="H8746" t="s">
        <v>40</v>
      </c>
      <c r="I8746" t="s">
        <v>2188</v>
      </c>
      <c r="J8746" s="10">
        <v>5.66</v>
      </c>
      <c r="K8746" t="b">
        <v>1</v>
      </c>
    </row>
    <row r="8747" spans="1:11">
      <c r="A8747" s="12">
        <v>42734</v>
      </c>
      <c r="B8747">
        <v>2016</v>
      </c>
      <c r="C8747">
        <v>12</v>
      </c>
      <c r="D8747" s="11">
        <v>42705</v>
      </c>
      <c r="E8747" t="s">
        <v>2184</v>
      </c>
      <c r="F8747">
        <v>5</v>
      </c>
      <c r="G8747" t="s">
        <v>55</v>
      </c>
      <c r="H8747" t="s">
        <v>41</v>
      </c>
      <c r="I8747" t="s">
        <v>2189</v>
      </c>
      <c r="J8747" s="10">
        <v>8.99</v>
      </c>
      <c r="K8747" t="b">
        <v>1</v>
      </c>
    </row>
    <row r="8748" spans="1:11">
      <c r="A8748" s="12">
        <v>42734</v>
      </c>
      <c r="B8748">
        <v>2016</v>
      </c>
      <c r="C8748">
        <v>12</v>
      </c>
      <c r="D8748" s="11">
        <v>42705</v>
      </c>
      <c r="E8748" t="s">
        <v>2184</v>
      </c>
      <c r="F8748">
        <v>5</v>
      </c>
      <c r="G8748" t="s">
        <v>55</v>
      </c>
      <c r="H8748" t="s">
        <v>42</v>
      </c>
      <c r="I8748" t="s">
        <v>2190</v>
      </c>
      <c r="J8748" s="10">
        <v>7.3</v>
      </c>
      <c r="K8748" t="b">
        <v>1</v>
      </c>
    </row>
    <row r="8749" spans="1:11">
      <c r="A8749" s="12">
        <v>42734</v>
      </c>
      <c r="B8749">
        <v>2016</v>
      </c>
      <c r="C8749">
        <v>12</v>
      </c>
      <c r="D8749" s="11">
        <v>42705</v>
      </c>
      <c r="E8749" t="s">
        <v>2184</v>
      </c>
      <c r="F8749">
        <v>5</v>
      </c>
      <c r="G8749" t="s">
        <v>55</v>
      </c>
      <c r="H8749" t="s">
        <v>43</v>
      </c>
      <c r="I8749" t="s">
        <v>2191</v>
      </c>
      <c r="J8749" s="10">
        <v>161</v>
      </c>
      <c r="K8749" t="b">
        <v>1</v>
      </c>
    </row>
    <row r="8750" spans="1:11">
      <c r="A8750" s="12">
        <v>42734</v>
      </c>
      <c r="B8750">
        <v>2016</v>
      </c>
      <c r="C8750">
        <v>12</v>
      </c>
      <c r="D8750" s="11">
        <v>42705</v>
      </c>
      <c r="E8750" t="s">
        <v>2184</v>
      </c>
      <c r="F8750">
        <v>5</v>
      </c>
      <c r="G8750" t="s">
        <v>55</v>
      </c>
      <c r="H8750" t="s">
        <v>44</v>
      </c>
      <c r="I8750" t="s">
        <v>2192</v>
      </c>
      <c r="J8750" s="10">
        <v>13</v>
      </c>
      <c r="K8750" t="b">
        <v>1</v>
      </c>
    </row>
    <row r="8751" spans="1:11">
      <c r="A8751" s="12">
        <v>42734</v>
      </c>
      <c r="B8751">
        <v>2016</v>
      </c>
      <c r="C8751">
        <v>12</v>
      </c>
      <c r="D8751" s="11">
        <v>42705</v>
      </c>
      <c r="E8751" t="s">
        <v>2184</v>
      </c>
      <c r="F8751">
        <v>5</v>
      </c>
      <c r="G8751" t="s">
        <v>55</v>
      </c>
      <c r="H8751" t="s">
        <v>45</v>
      </c>
      <c r="I8751" t="s">
        <v>2193</v>
      </c>
      <c r="J8751" s="10">
        <v>0</v>
      </c>
      <c r="K8751" t="b">
        <v>1</v>
      </c>
    </row>
    <row r="8752" spans="1:11">
      <c r="A8752" s="12">
        <v>42734</v>
      </c>
      <c r="B8752">
        <v>2016</v>
      </c>
      <c r="C8752">
        <v>12</v>
      </c>
      <c r="D8752" s="11">
        <v>42705</v>
      </c>
      <c r="E8752" t="s">
        <v>2184</v>
      </c>
      <c r="F8752">
        <v>5</v>
      </c>
      <c r="G8752" t="s">
        <v>55</v>
      </c>
      <c r="H8752" t="s">
        <v>46</v>
      </c>
      <c r="I8752" t="s">
        <v>2194</v>
      </c>
      <c r="J8752" s="10">
        <v>3</v>
      </c>
      <c r="K8752" t="b">
        <v>1</v>
      </c>
    </row>
    <row r="8753" spans="1:11">
      <c r="A8753" s="12">
        <v>42734</v>
      </c>
      <c r="B8753">
        <v>2016</v>
      </c>
      <c r="C8753">
        <v>12</v>
      </c>
      <c r="D8753" s="11">
        <v>42705</v>
      </c>
      <c r="E8753" t="s">
        <v>2184</v>
      </c>
      <c r="F8753">
        <v>5</v>
      </c>
      <c r="G8753" t="s">
        <v>55</v>
      </c>
      <c r="H8753" t="s">
        <v>47</v>
      </c>
      <c r="I8753" t="s">
        <v>2195</v>
      </c>
      <c r="J8753" s="10">
        <v>0</v>
      </c>
      <c r="K8753" t="b">
        <v>1</v>
      </c>
    </row>
    <row r="8754" spans="1:11">
      <c r="A8754" s="12">
        <v>42735</v>
      </c>
      <c r="B8754">
        <v>2016</v>
      </c>
      <c r="C8754">
        <v>12</v>
      </c>
      <c r="D8754" s="11">
        <v>42705</v>
      </c>
      <c r="E8754" t="s">
        <v>2184</v>
      </c>
      <c r="F8754">
        <v>6</v>
      </c>
      <c r="G8754" t="s">
        <v>57</v>
      </c>
      <c r="H8754" t="s">
        <v>40</v>
      </c>
      <c r="I8754" t="s">
        <v>2188</v>
      </c>
      <c r="J8754" s="10">
        <v>8.33</v>
      </c>
      <c r="K8754" t="b">
        <v>1</v>
      </c>
    </row>
    <row r="8755" spans="1:11">
      <c r="A8755" s="12">
        <v>42735</v>
      </c>
      <c r="B8755">
        <v>2016</v>
      </c>
      <c r="C8755">
        <v>12</v>
      </c>
      <c r="D8755" s="11">
        <v>42705</v>
      </c>
      <c r="E8755" t="s">
        <v>2184</v>
      </c>
      <c r="F8755">
        <v>6</v>
      </c>
      <c r="G8755" t="s">
        <v>57</v>
      </c>
      <c r="H8755" t="s">
        <v>41</v>
      </c>
      <c r="I8755" t="s">
        <v>2189</v>
      </c>
      <c r="J8755" s="10">
        <v>7.759</v>
      </c>
      <c r="K8755" t="b">
        <v>1</v>
      </c>
    </row>
    <row r="8756" spans="1:11">
      <c r="A8756" s="12">
        <v>42735</v>
      </c>
      <c r="B8756">
        <v>2016</v>
      </c>
      <c r="C8756">
        <v>12</v>
      </c>
      <c r="D8756" s="11">
        <v>42705</v>
      </c>
      <c r="E8756" t="s">
        <v>2184</v>
      </c>
      <c r="F8756">
        <v>6</v>
      </c>
      <c r="G8756" t="s">
        <v>57</v>
      </c>
      <c r="H8756" t="s">
        <v>42</v>
      </c>
      <c r="I8756" t="s">
        <v>2190</v>
      </c>
      <c r="J8756" s="10">
        <v>7.45</v>
      </c>
      <c r="K8756" t="b">
        <v>1</v>
      </c>
    </row>
    <row r="8757" spans="1:11">
      <c r="A8757" s="12">
        <v>42735</v>
      </c>
      <c r="B8757">
        <v>2016</v>
      </c>
      <c r="C8757">
        <v>12</v>
      </c>
      <c r="D8757" s="11">
        <v>42705</v>
      </c>
      <c r="E8757" t="s">
        <v>2184</v>
      </c>
      <c r="F8757">
        <v>6</v>
      </c>
      <c r="G8757" t="s">
        <v>57</v>
      </c>
      <c r="H8757" t="s">
        <v>43</v>
      </c>
      <c r="I8757" t="s">
        <v>2191</v>
      </c>
      <c r="J8757" s="10">
        <v>108.7</v>
      </c>
      <c r="K8757" t="b">
        <v>1</v>
      </c>
    </row>
    <row r="8758" spans="1:11">
      <c r="A8758" s="12">
        <v>42735</v>
      </c>
      <c r="B8758">
        <v>2016</v>
      </c>
      <c r="C8758">
        <v>12</v>
      </c>
      <c r="D8758" s="11">
        <v>42705</v>
      </c>
      <c r="E8758" t="s">
        <v>2184</v>
      </c>
      <c r="F8758">
        <v>6</v>
      </c>
      <c r="G8758" t="s">
        <v>57</v>
      </c>
      <c r="H8758" t="s">
        <v>44</v>
      </c>
      <c r="I8758" t="s">
        <v>2192</v>
      </c>
      <c r="J8758" s="10">
        <v>7</v>
      </c>
      <c r="K8758" t="b">
        <v>1</v>
      </c>
    </row>
    <row r="8759" spans="1:11">
      <c r="A8759" s="12">
        <v>42735</v>
      </c>
      <c r="B8759">
        <v>2016</v>
      </c>
      <c r="C8759">
        <v>12</v>
      </c>
      <c r="D8759" s="11">
        <v>42705</v>
      </c>
      <c r="E8759" t="s">
        <v>2184</v>
      </c>
      <c r="F8759">
        <v>6</v>
      </c>
      <c r="G8759" t="s">
        <v>57</v>
      </c>
      <c r="H8759" t="s">
        <v>45</v>
      </c>
      <c r="I8759" t="s">
        <v>2193</v>
      </c>
      <c r="J8759" s="10">
        <v>0</v>
      </c>
      <c r="K8759" t="b">
        <v>1</v>
      </c>
    </row>
    <row r="8760" spans="1:11">
      <c r="A8760" s="12">
        <v>42735</v>
      </c>
      <c r="B8760">
        <v>2016</v>
      </c>
      <c r="C8760">
        <v>12</v>
      </c>
      <c r="D8760" s="11">
        <v>42705</v>
      </c>
      <c r="E8760" t="s">
        <v>2184</v>
      </c>
      <c r="F8760">
        <v>6</v>
      </c>
      <c r="G8760" t="s">
        <v>57</v>
      </c>
      <c r="H8760" t="s">
        <v>46</v>
      </c>
      <c r="I8760" t="s">
        <v>2194</v>
      </c>
      <c r="J8760" s="10">
        <v>12</v>
      </c>
      <c r="K8760" t="b">
        <v>1</v>
      </c>
    </row>
    <row r="8761" spans="1:11">
      <c r="A8761" s="12">
        <v>42735</v>
      </c>
      <c r="B8761">
        <v>2016</v>
      </c>
      <c r="C8761">
        <v>12</v>
      </c>
      <c r="D8761" s="11">
        <v>42705</v>
      </c>
      <c r="E8761" t="s">
        <v>2184</v>
      </c>
      <c r="F8761">
        <v>6</v>
      </c>
      <c r="G8761" t="s">
        <v>57</v>
      </c>
      <c r="H8761" t="s">
        <v>47</v>
      </c>
      <c r="I8761" t="s">
        <v>2195</v>
      </c>
      <c r="J8761" s="10">
        <v>0</v>
      </c>
      <c r="K8761" t="b">
        <v>1</v>
      </c>
    </row>
    <row r="8762" spans="1:11">
      <c r="A8762" s="12">
        <v>42736</v>
      </c>
      <c r="B8762">
        <v>2017</v>
      </c>
      <c r="C8762">
        <v>1</v>
      </c>
      <c r="D8762" s="11">
        <v>42736</v>
      </c>
      <c r="E8762" t="s">
        <v>2173</v>
      </c>
      <c r="F8762">
        <v>7</v>
      </c>
      <c r="G8762" t="s">
        <v>59</v>
      </c>
      <c r="H8762" t="s">
        <v>40</v>
      </c>
      <c r="I8762" t="s">
        <v>2188</v>
      </c>
      <c r="J8762" s="10">
        <v>3.54375</v>
      </c>
      <c r="K8762" t="b">
        <v>1</v>
      </c>
    </row>
    <row r="8763" spans="1:11">
      <c r="A8763" s="12">
        <v>42736</v>
      </c>
      <c r="B8763">
        <v>2017</v>
      </c>
      <c r="C8763">
        <v>1</v>
      </c>
      <c r="D8763" s="11">
        <v>42736</v>
      </c>
      <c r="E8763" t="s">
        <v>2173</v>
      </c>
      <c r="F8763">
        <v>7</v>
      </c>
      <c r="G8763" t="s">
        <v>59</v>
      </c>
      <c r="H8763" t="s">
        <v>41</v>
      </c>
      <c r="I8763" t="s">
        <v>2189</v>
      </c>
      <c r="J8763" s="10">
        <v>3.95625</v>
      </c>
      <c r="K8763" t="b">
        <v>1</v>
      </c>
    </row>
    <row r="8764" spans="1:11">
      <c r="A8764" s="12">
        <v>42736</v>
      </c>
      <c r="B8764">
        <v>2017</v>
      </c>
      <c r="C8764">
        <v>1</v>
      </c>
      <c r="D8764" s="11">
        <v>42736</v>
      </c>
      <c r="E8764" t="s">
        <v>2173</v>
      </c>
      <c r="F8764">
        <v>7</v>
      </c>
      <c r="G8764" t="s">
        <v>59</v>
      </c>
      <c r="H8764" t="s">
        <v>42</v>
      </c>
      <c r="I8764" t="s">
        <v>2190</v>
      </c>
      <c r="J8764" s="10">
        <v>1.5625</v>
      </c>
      <c r="K8764" t="b">
        <v>1</v>
      </c>
    </row>
    <row r="8765" spans="1:11">
      <c r="A8765" s="12">
        <v>42736</v>
      </c>
      <c r="B8765">
        <v>2017</v>
      </c>
      <c r="C8765">
        <v>1</v>
      </c>
      <c r="D8765" s="11">
        <v>42736</v>
      </c>
      <c r="E8765" t="s">
        <v>2173</v>
      </c>
      <c r="F8765">
        <v>7</v>
      </c>
      <c r="G8765" t="s">
        <v>59</v>
      </c>
      <c r="H8765" t="s">
        <v>43</v>
      </c>
      <c r="I8765" t="s">
        <v>2191</v>
      </c>
      <c r="J8765" s="10">
        <v>25.675</v>
      </c>
      <c r="K8765" t="b">
        <v>1</v>
      </c>
    </row>
    <row r="8766" spans="1:11">
      <c r="A8766" s="12">
        <v>42736</v>
      </c>
      <c r="B8766">
        <v>2017</v>
      </c>
      <c r="C8766">
        <v>1</v>
      </c>
      <c r="D8766" s="11">
        <v>42736</v>
      </c>
      <c r="E8766" t="s">
        <v>2173</v>
      </c>
      <c r="F8766">
        <v>7</v>
      </c>
      <c r="G8766" t="s">
        <v>59</v>
      </c>
      <c r="H8766" t="s">
        <v>44</v>
      </c>
      <c r="I8766" t="s">
        <v>2192</v>
      </c>
      <c r="J8766" s="10">
        <v>8.75</v>
      </c>
      <c r="K8766" t="b">
        <v>1</v>
      </c>
    </row>
    <row r="8767" spans="1:11">
      <c r="A8767" s="12">
        <v>42736</v>
      </c>
      <c r="B8767">
        <v>2017</v>
      </c>
      <c r="C8767">
        <v>1</v>
      </c>
      <c r="D8767" s="11">
        <v>42736</v>
      </c>
      <c r="E8767" t="s">
        <v>2173</v>
      </c>
      <c r="F8767">
        <v>7</v>
      </c>
      <c r="G8767" t="s">
        <v>59</v>
      </c>
      <c r="H8767" t="s">
        <v>45</v>
      </c>
      <c r="I8767" t="s">
        <v>2193</v>
      </c>
      <c r="J8767" s="10">
        <v>1.875</v>
      </c>
      <c r="K8767" t="b">
        <v>1</v>
      </c>
    </row>
    <row r="8768" spans="1:11">
      <c r="A8768" s="12">
        <v>42736</v>
      </c>
      <c r="B8768">
        <v>2017</v>
      </c>
      <c r="C8768">
        <v>1</v>
      </c>
      <c r="D8768" s="11">
        <v>42736</v>
      </c>
      <c r="E8768" t="s">
        <v>2173</v>
      </c>
      <c r="F8768">
        <v>7</v>
      </c>
      <c r="G8768" t="s">
        <v>59</v>
      </c>
      <c r="H8768" t="s">
        <v>46</v>
      </c>
      <c r="I8768" t="s">
        <v>2194</v>
      </c>
      <c r="J8768" s="10">
        <v>6.25</v>
      </c>
      <c r="K8768" t="b">
        <v>1</v>
      </c>
    </row>
    <row r="8769" spans="1:11">
      <c r="A8769" s="12">
        <v>42736</v>
      </c>
      <c r="B8769">
        <v>2017</v>
      </c>
      <c r="C8769">
        <v>1</v>
      </c>
      <c r="D8769" s="11">
        <v>42736</v>
      </c>
      <c r="E8769" t="s">
        <v>2173</v>
      </c>
      <c r="F8769">
        <v>7</v>
      </c>
      <c r="G8769" t="s">
        <v>59</v>
      </c>
      <c r="H8769" t="s">
        <v>47</v>
      </c>
      <c r="I8769" t="s">
        <v>2195</v>
      </c>
      <c r="J8769" s="10">
        <v>0.625</v>
      </c>
      <c r="K8769" t="b">
        <v>1</v>
      </c>
    </row>
    <row r="8770" spans="1:11">
      <c r="A8770" s="12">
        <v>42737</v>
      </c>
      <c r="B8770">
        <v>2017</v>
      </c>
      <c r="C8770">
        <v>1</v>
      </c>
      <c r="D8770" s="11">
        <v>42736</v>
      </c>
      <c r="E8770" t="s">
        <v>2173</v>
      </c>
      <c r="F8770">
        <v>1</v>
      </c>
      <c r="G8770" t="s">
        <v>61</v>
      </c>
      <c r="H8770" t="s">
        <v>40</v>
      </c>
      <c r="I8770" t="s">
        <v>2188</v>
      </c>
      <c r="J8770" s="10">
        <v>0.2125</v>
      </c>
      <c r="K8770" t="b">
        <v>1</v>
      </c>
    </row>
    <row r="8771" spans="1:11">
      <c r="A8771" s="12">
        <v>42737</v>
      </c>
      <c r="B8771">
        <v>2017</v>
      </c>
      <c r="C8771">
        <v>1</v>
      </c>
      <c r="D8771" s="11">
        <v>42736</v>
      </c>
      <c r="E8771" t="s">
        <v>2173</v>
      </c>
      <c r="F8771">
        <v>1</v>
      </c>
      <c r="G8771" t="s">
        <v>61</v>
      </c>
      <c r="H8771" t="s">
        <v>41</v>
      </c>
      <c r="I8771" t="s">
        <v>2189</v>
      </c>
      <c r="J8771" s="10">
        <v>0.6375</v>
      </c>
      <c r="K8771" t="b">
        <v>1</v>
      </c>
    </row>
    <row r="8772" spans="1:11">
      <c r="A8772" s="12">
        <v>42737</v>
      </c>
      <c r="B8772">
        <v>2017</v>
      </c>
      <c r="C8772">
        <v>1</v>
      </c>
      <c r="D8772" s="11">
        <v>42736</v>
      </c>
      <c r="E8772" t="s">
        <v>2173</v>
      </c>
      <c r="F8772">
        <v>1</v>
      </c>
      <c r="G8772" t="s">
        <v>61</v>
      </c>
      <c r="H8772" t="s">
        <v>42</v>
      </c>
      <c r="I8772" t="s">
        <v>2190</v>
      </c>
      <c r="J8772" s="10">
        <v>0.625</v>
      </c>
      <c r="K8772" t="b">
        <v>1</v>
      </c>
    </row>
    <row r="8773" spans="1:11">
      <c r="A8773" s="12">
        <v>42737</v>
      </c>
      <c r="B8773">
        <v>2017</v>
      </c>
      <c r="C8773">
        <v>1</v>
      </c>
      <c r="D8773" s="11">
        <v>42736</v>
      </c>
      <c r="E8773" t="s">
        <v>2173</v>
      </c>
      <c r="F8773">
        <v>1</v>
      </c>
      <c r="G8773" t="s">
        <v>61</v>
      </c>
      <c r="H8773" t="s">
        <v>43</v>
      </c>
      <c r="I8773" t="s">
        <v>2191</v>
      </c>
      <c r="J8773" s="10">
        <v>32</v>
      </c>
      <c r="K8773" t="b">
        <v>1</v>
      </c>
    </row>
    <row r="8774" spans="1:11">
      <c r="A8774" s="12">
        <v>42737</v>
      </c>
      <c r="B8774">
        <v>2017</v>
      </c>
      <c r="C8774">
        <v>1</v>
      </c>
      <c r="D8774" s="11">
        <v>42736</v>
      </c>
      <c r="E8774" t="s">
        <v>2173</v>
      </c>
      <c r="F8774">
        <v>1</v>
      </c>
      <c r="G8774" t="s">
        <v>61</v>
      </c>
      <c r="H8774" t="s">
        <v>44</v>
      </c>
      <c r="I8774" t="s">
        <v>2192</v>
      </c>
      <c r="J8774" s="10">
        <v>0</v>
      </c>
      <c r="K8774" t="b">
        <v>1</v>
      </c>
    </row>
    <row r="8775" spans="1:11">
      <c r="A8775" s="12">
        <v>42737</v>
      </c>
      <c r="B8775">
        <v>2017</v>
      </c>
      <c r="C8775">
        <v>1</v>
      </c>
      <c r="D8775" s="11">
        <v>42736</v>
      </c>
      <c r="E8775" t="s">
        <v>2173</v>
      </c>
      <c r="F8775">
        <v>1</v>
      </c>
      <c r="G8775" t="s">
        <v>61</v>
      </c>
      <c r="H8775" t="s">
        <v>45</v>
      </c>
      <c r="I8775" t="s">
        <v>2193</v>
      </c>
      <c r="J8775" s="10">
        <v>0.625</v>
      </c>
      <c r="K8775" t="b">
        <v>1</v>
      </c>
    </row>
    <row r="8776" spans="1:11">
      <c r="A8776" s="12">
        <v>42737</v>
      </c>
      <c r="B8776">
        <v>2017</v>
      </c>
      <c r="C8776">
        <v>1</v>
      </c>
      <c r="D8776" s="11">
        <v>42736</v>
      </c>
      <c r="E8776" t="s">
        <v>2173</v>
      </c>
      <c r="F8776">
        <v>1</v>
      </c>
      <c r="G8776" t="s">
        <v>61</v>
      </c>
      <c r="H8776" t="s">
        <v>46</v>
      </c>
      <c r="I8776" t="s">
        <v>2194</v>
      </c>
      <c r="J8776" s="10">
        <v>3.125</v>
      </c>
      <c r="K8776" t="b">
        <v>1</v>
      </c>
    </row>
    <row r="8777" spans="1:11">
      <c r="A8777" s="12">
        <v>42737</v>
      </c>
      <c r="B8777">
        <v>2017</v>
      </c>
      <c r="C8777">
        <v>1</v>
      </c>
      <c r="D8777" s="11">
        <v>42736</v>
      </c>
      <c r="E8777" t="s">
        <v>2173</v>
      </c>
      <c r="F8777">
        <v>1</v>
      </c>
      <c r="G8777" t="s">
        <v>61</v>
      </c>
      <c r="H8777" t="s">
        <v>47</v>
      </c>
      <c r="I8777" t="s">
        <v>2195</v>
      </c>
      <c r="J8777" s="10">
        <v>3.125</v>
      </c>
      <c r="K8777" t="b">
        <v>1</v>
      </c>
    </row>
    <row r="8778" spans="1:11">
      <c r="A8778" s="12">
        <v>42738</v>
      </c>
      <c r="B8778">
        <v>2017</v>
      </c>
      <c r="C8778">
        <v>1</v>
      </c>
      <c r="D8778" s="11">
        <v>42736</v>
      </c>
      <c r="E8778" t="s">
        <v>2173</v>
      </c>
      <c r="F8778">
        <v>2</v>
      </c>
      <c r="G8778" t="s">
        <v>63</v>
      </c>
      <c r="H8778" t="s">
        <v>40</v>
      </c>
      <c r="I8778" t="s">
        <v>2188</v>
      </c>
      <c r="J8778" s="10">
        <v>6.25</v>
      </c>
      <c r="K8778" t="b">
        <v>1</v>
      </c>
    </row>
    <row r="8779" spans="1:11">
      <c r="A8779" s="12">
        <v>42738</v>
      </c>
      <c r="B8779">
        <v>2017</v>
      </c>
      <c r="C8779">
        <v>1</v>
      </c>
      <c r="D8779" s="11">
        <v>42736</v>
      </c>
      <c r="E8779" t="s">
        <v>2173</v>
      </c>
      <c r="F8779">
        <v>2</v>
      </c>
      <c r="G8779" t="s">
        <v>63</v>
      </c>
      <c r="H8779" t="s">
        <v>41</v>
      </c>
      <c r="I8779" t="s">
        <v>2189</v>
      </c>
      <c r="J8779" s="10">
        <v>5.83125</v>
      </c>
      <c r="K8779" t="b">
        <v>1</v>
      </c>
    </row>
    <row r="8780" spans="1:11">
      <c r="A8780" s="12">
        <v>42738</v>
      </c>
      <c r="B8780">
        <v>2017</v>
      </c>
      <c r="C8780">
        <v>1</v>
      </c>
      <c r="D8780" s="11">
        <v>42736</v>
      </c>
      <c r="E8780" t="s">
        <v>2173</v>
      </c>
      <c r="F8780">
        <v>2</v>
      </c>
      <c r="G8780" t="s">
        <v>63</v>
      </c>
      <c r="H8780" t="s">
        <v>42</v>
      </c>
      <c r="I8780" t="s">
        <v>2190</v>
      </c>
      <c r="J8780" s="10">
        <v>4.625</v>
      </c>
      <c r="K8780" t="b">
        <v>1</v>
      </c>
    </row>
    <row r="8781" spans="1:11">
      <c r="A8781" s="12">
        <v>42738</v>
      </c>
      <c r="B8781">
        <v>2017</v>
      </c>
      <c r="C8781">
        <v>1</v>
      </c>
      <c r="D8781" s="11">
        <v>42736</v>
      </c>
      <c r="E8781" t="s">
        <v>2173</v>
      </c>
      <c r="F8781">
        <v>2</v>
      </c>
      <c r="G8781" t="s">
        <v>63</v>
      </c>
      <c r="H8781" t="s">
        <v>43</v>
      </c>
      <c r="I8781" t="s">
        <v>2191</v>
      </c>
      <c r="J8781" s="10">
        <v>66.8125</v>
      </c>
      <c r="K8781" t="b">
        <v>1</v>
      </c>
    </row>
    <row r="8782" spans="1:11">
      <c r="A8782" s="12">
        <v>42738</v>
      </c>
      <c r="B8782">
        <v>2017</v>
      </c>
      <c r="C8782">
        <v>1</v>
      </c>
      <c r="D8782" s="11">
        <v>42736</v>
      </c>
      <c r="E8782" t="s">
        <v>2173</v>
      </c>
      <c r="F8782">
        <v>2</v>
      </c>
      <c r="G8782" t="s">
        <v>63</v>
      </c>
      <c r="H8782" t="s">
        <v>44</v>
      </c>
      <c r="I8782" t="s">
        <v>2192</v>
      </c>
      <c r="J8782" s="10">
        <v>8.75</v>
      </c>
      <c r="K8782" t="b">
        <v>1</v>
      </c>
    </row>
    <row r="8783" spans="1:11">
      <c r="A8783" s="12">
        <v>42738</v>
      </c>
      <c r="B8783">
        <v>2017</v>
      </c>
      <c r="C8783">
        <v>1</v>
      </c>
      <c r="D8783" s="11">
        <v>42736</v>
      </c>
      <c r="E8783" t="s">
        <v>2173</v>
      </c>
      <c r="F8783">
        <v>2</v>
      </c>
      <c r="G8783" t="s">
        <v>63</v>
      </c>
      <c r="H8783" t="s">
        <v>45</v>
      </c>
      <c r="I8783" t="s">
        <v>2193</v>
      </c>
      <c r="J8783" s="10">
        <v>0</v>
      </c>
      <c r="K8783" t="b">
        <v>1</v>
      </c>
    </row>
    <row r="8784" spans="1:11">
      <c r="A8784" s="12">
        <v>42738</v>
      </c>
      <c r="B8784">
        <v>2017</v>
      </c>
      <c r="C8784">
        <v>1</v>
      </c>
      <c r="D8784" s="11">
        <v>42736</v>
      </c>
      <c r="E8784" t="s">
        <v>2173</v>
      </c>
      <c r="F8784">
        <v>2</v>
      </c>
      <c r="G8784" t="s">
        <v>63</v>
      </c>
      <c r="H8784" t="s">
        <v>46</v>
      </c>
      <c r="I8784" t="s">
        <v>2194</v>
      </c>
      <c r="J8784" s="10">
        <v>7.03125</v>
      </c>
      <c r="K8784" t="b">
        <v>1</v>
      </c>
    </row>
    <row r="8785" spans="1:11">
      <c r="A8785" s="12">
        <v>42738</v>
      </c>
      <c r="B8785">
        <v>2017</v>
      </c>
      <c r="C8785">
        <v>1</v>
      </c>
      <c r="D8785" s="11">
        <v>42736</v>
      </c>
      <c r="E8785" t="s">
        <v>2173</v>
      </c>
      <c r="F8785">
        <v>2</v>
      </c>
      <c r="G8785" t="s">
        <v>63</v>
      </c>
      <c r="H8785" t="s">
        <v>47</v>
      </c>
      <c r="I8785" t="s">
        <v>2195</v>
      </c>
      <c r="J8785" s="10">
        <v>1.875</v>
      </c>
      <c r="K8785" t="b">
        <v>1</v>
      </c>
    </row>
    <row r="8786" spans="1:11">
      <c r="A8786" s="12">
        <v>42739</v>
      </c>
      <c r="B8786">
        <v>2017</v>
      </c>
      <c r="C8786">
        <v>1</v>
      </c>
      <c r="D8786" s="11">
        <v>42736</v>
      </c>
      <c r="E8786" t="s">
        <v>2173</v>
      </c>
      <c r="F8786">
        <v>3</v>
      </c>
      <c r="G8786" t="s">
        <v>65</v>
      </c>
      <c r="H8786" t="s">
        <v>40</v>
      </c>
      <c r="I8786" t="s">
        <v>2188</v>
      </c>
      <c r="J8786" s="10">
        <v>6.804166667</v>
      </c>
      <c r="K8786" t="b">
        <v>1</v>
      </c>
    </row>
    <row r="8787" spans="1:11">
      <c r="A8787" s="12">
        <v>42739</v>
      </c>
      <c r="B8787">
        <v>2017</v>
      </c>
      <c r="C8787">
        <v>1</v>
      </c>
      <c r="D8787" s="11">
        <v>42736</v>
      </c>
      <c r="E8787" t="s">
        <v>2173</v>
      </c>
      <c r="F8787">
        <v>3</v>
      </c>
      <c r="G8787" t="s">
        <v>65</v>
      </c>
      <c r="H8787" t="s">
        <v>41</v>
      </c>
      <c r="I8787" t="s">
        <v>2189</v>
      </c>
      <c r="J8787" s="10">
        <v>5.970833333</v>
      </c>
      <c r="K8787" t="b">
        <v>1</v>
      </c>
    </row>
    <row r="8788" spans="1:11">
      <c r="A8788" s="12">
        <v>42739</v>
      </c>
      <c r="B8788">
        <v>2017</v>
      </c>
      <c r="C8788">
        <v>1</v>
      </c>
      <c r="D8788" s="11">
        <v>42736</v>
      </c>
      <c r="E8788" t="s">
        <v>2173</v>
      </c>
      <c r="F8788">
        <v>3</v>
      </c>
      <c r="G8788" t="s">
        <v>65</v>
      </c>
      <c r="H8788" t="s">
        <v>42</v>
      </c>
      <c r="I8788" t="s">
        <v>2190</v>
      </c>
      <c r="J8788" s="10">
        <v>6.416666667</v>
      </c>
      <c r="K8788" t="b">
        <v>1</v>
      </c>
    </row>
    <row r="8789" spans="1:11">
      <c r="A8789" s="12">
        <v>42739</v>
      </c>
      <c r="B8789">
        <v>2017</v>
      </c>
      <c r="C8789">
        <v>1</v>
      </c>
      <c r="D8789" s="11">
        <v>42736</v>
      </c>
      <c r="E8789" t="s">
        <v>2173</v>
      </c>
      <c r="F8789">
        <v>3</v>
      </c>
      <c r="G8789" t="s">
        <v>65</v>
      </c>
      <c r="H8789" t="s">
        <v>43</v>
      </c>
      <c r="I8789" t="s">
        <v>2191</v>
      </c>
      <c r="J8789" s="10">
        <v>56.76666667</v>
      </c>
      <c r="K8789" t="b">
        <v>1</v>
      </c>
    </row>
    <row r="8790" spans="1:11">
      <c r="A8790" s="12">
        <v>42739</v>
      </c>
      <c r="B8790">
        <v>2017</v>
      </c>
      <c r="C8790">
        <v>1</v>
      </c>
      <c r="D8790" s="11">
        <v>42736</v>
      </c>
      <c r="E8790" t="s">
        <v>2173</v>
      </c>
      <c r="F8790">
        <v>3</v>
      </c>
      <c r="G8790" t="s">
        <v>65</v>
      </c>
      <c r="H8790" t="s">
        <v>44</v>
      </c>
      <c r="I8790" t="s">
        <v>2192</v>
      </c>
      <c r="J8790" s="10">
        <v>10</v>
      </c>
      <c r="K8790" t="b">
        <v>1</v>
      </c>
    </row>
    <row r="8791" spans="1:11">
      <c r="A8791" s="12">
        <v>42739</v>
      </c>
      <c r="B8791">
        <v>2017</v>
      </c>
      <c r="C8791">
        <v>1</v>
      </c>
      <c r="D8791" s="11">
        <v>42736</v>
      </c>
      <c r="E8791" t="s">
        <v>2173</v>
      </c>
      <c r="F8791">
        <v>3</v>
      </c>
      <c r="G8791" t="s">
        <v>65</v>
      </c>
      <c r="H8791" t="s">
        <v>45</v>
      </c>
      <c r="I8791" t="s">
        <v>2193</v>
      </c>
      <c r="J8791" s="10">
        <v>1.25</v>
      </c>
      <c r="K8791" t="b">
        <v>1</v>
      </c>
    </row>
    <row r="8792" spans="1:11">
      <c r="A8792" s="12">
        <v>42739</v>
      </c>
      <c r="B8792">
        <v>2017</v>
      </c>
      <c r="C8792">
        <v>1</v>
      </c>
      <c r="D8792" s="11">
        <v>42736</v>
      </c>
      <c r="E8792" t="s">
        <v>2173</v>
      </c>
      <c r="F8792">
        <v>3</v>
      </c>
      <c r="G8792" t="s">
        <v>65</v>
      </c>
      <c r="H8792" t="s">
        <v>46</v>
      </c>
      <c r="I8792" t="s">
        <v>2194</v>
      </c>
      <c r="J8792" s="10">
        <v>5</v>
      </c>
      <c r="K8792" t="b">
        <v>1</v>
      </c>
    </row>
    <row r="8793" spans="1:11">
      <c r="A8793" s="12">
        <v>42739</v>
      </c>
      <c r="B8793">
        <v>2017</v>
      </c>
      <c r="C8793">
        <v>1</v>
      </c>
      <c r="D8793" s="11">
        <v>42736</v>
      </c>
      <c r="E8793" t="s">
        <v>2173</v>
      </c>
      <c r="F8793">
        <v>3</v>
      </c>
      <c r="G8793" t="s">
        <v>65</v>
      </c>
      <c r="H8793" t="s">
        <v>47</v>
      </c>
      <c r="I8793" t="s">
        <v>2195</v>
      </c>
      <c r="J8793" s="10">
        <v>2.916666667</v>
      </c>
      <c r="K8793" t="b">
        <v>1</v>
      </c>
    </row>
    <row r="8794" spans="1:11">
      <c r="A8794" s="12">
        <v>42740</v>
      </c>
      <c r="B8794">
        <v>2017</v>
      </c>
      <c r="C8794">
        <v>1</v>
      </c>
      <c r="D8794" s="11">
        <v>42736</v>
      </c>
      <c r="E8794" t="s">
        <v>2173</v>
      </c>
      <c r="F8794">
        <v>4</v>
      </c>
      <c r="G8794" t="s">
        <v>53</v>
      </c>
      <c r="H8794" t="s">
        <v>40</v>
      </c>
      <c r="I8794" t="s">
        <v>2188</v>
      </c>
      <c r="J8794" s="10">
        <v>7.504166667</v>
      </c>
      <c r="K8794" t="b">
        <v>1</v>
      </c>
    </row>
    <row r="8795" spans="1:11">
      <c r="A8795" s="12">
        <v>42740</v>
      </c>
      <c r="B8795">
        <v>2017</v>
      </c>
      <c r="C8795">
        <v>1</v>
      </c>
      <c r="D8795" s="11">
        <v>42736</v>
      </c>
      <c r="E8795" t="s">
        <v>2173</v>
      </c>
      <c r="F8795">
        <v>4</v>
      </c>
      <c r="G8795" t="s">
        <v>53</v>
      </c>
      <c r="H8795" t="s">
        <v>41</v>
      </c>
      <c r="I8795" t="s">
        <v>2189</v>
      </c>
      <c r="J8795" s="10">
        <v>7.879166667</v>
      </c>
      <c r="K8795" t="b">
        <v>1</v>
      </c>
    </row>
    <row r="8796" spans="1:11">
      <c r="A8796" s="12">
        <v>42740</v>
      </c>
      <c r="B8796">
        <v>2017</v>
      </c>
      <c r="C8796">
        <v>1</v>
      </c>
      <c r="D8796" s="11">
        <v>42736</v>
      </c>
      <c r="E8796" t="s">
        <v>2173</v>
      </c>
      <c r="F8796">
        <v>4</v>
      </c>
      <c r="G8796" t="s">
        <v>53</v>
      </c>
      <c r="H8796" t="s">
        <v>42</v>
      </c>
      <c r="I8796" t="s">
        <v>2190</v>
      </c>
      <c r="J8796" s="10">
        <v>5.208333333</v>
      </c>
      <c r="K8796" t="b">
        <v>1</v>
      </c>
    </row>
    <row r="8797" spans="1:11">
      <c r="A8797" s="12">
        <v>42740</v>
      </c>
      <c r="B8797">
        <v>2017</v>
      </c>
      <c r="C8797">
        <v>1</v>
      </c>
      <c r="D8797" s="11">
        <v>42736</v>
      </c>
      <c r="E8797" t="s">
        <v>2173</v>
      </c>
      <c r="F8797">
        <v>4</v>
      </c>
      <c r="G8797" t="s">
        <v>53</v>
      </c>
      <c r="H8797" t="s">
        <v>43</v>
      </c>
      <c r="I8797" t="s">
        <v>2191</v>
      </c>
      <c r="J8797" s="10">
        <v>62.20833333</v>
      </c>
      <c r="K8797" t="b">
        <v>1</v>
      </c>
    </row>
    <row r="8798" spans="1:11">
      <c r="A8798" s="12">
        <v>42740</v>
      </c>
      <c r="B8798">
        <v>2017</v>
      </c>
      <c r="C8798">
        <v>1</v>
      </c>
      <c r="D8798" s="11">
        <v>42736</v>
      </c>
      <c r="E8798" t="s">
        <v>2173</v>
      </c>
      <c r="F8798">
        <v>4</v>
      </c>
      <c r="G8798" t="s">
        <v>53</v>
      </c>
      <c r="H8798" t="s">
        <v>44</v>
      </c>
      <c r="I8798" t="s">
        <v>2192</v>
      </c>
      <c r="J8798" s="10">
        <v>14.58333333</v>
      </c>
      <c r="K8798" t="b">
        <v>1</v>
      </c>
    </row>
    <row r="8799" spans="1:11">
      <c r="A8799" s="12">
        <v>42740</v>
      </c>
      <c r="B8799">
        <v>2017</v>
      </c>
      <c r="C8799">
        <v>1</v>
      </c>
      <c r="D8799" s="11">
        <v>42736</v>
      </c>
      <c r="E8799" t="s">
        <v>2173</v>
      </c>
      <c r="F8799">
        <v>4</v>
      </c>
      <c r="G8799" t="s">
        <v>53</v>
      </c>
      <c r="H8799" t="s">
        <v>45</v>
      </c>
      <c r="I8799" t="s">
        <v>2193</v>
      </c>
      <c r="J8799" s="10">
        <v>0</v>
      </c>
      <c r="K8799" t="b">
        <v>1</v>
      </c>
    </row>
    <row r="8800" spans="1:11">
      <c r="A8800" s="12">
        <v>42740</v>
      </c>
      <c r="B8800">
        <v>2017</v>
      </c>
      <c r="C8800">
        <v>1</v>
      </c>
      <c r="D8800" s="11">
        <v>42736</v>
      </c>
      <c r="E8800" t="s">
        <v>2173</v>
      </c>
      <c r="F8800">
        <v>4</v>
      </c>
      <c r="G8800" t="s">
        <v>53</v>
      </c>
      <c r="H8800" t="s">
        <v>46</v>
      </c>
      <c r="I8800" t="s">
        <v>2194</v>
      </c>
      <c r="J8800" s="10">
        <v>11.25</v>
      </c>
      <c r="K8800" t="b">
        <v>1</v>
      </c>
    </row>
    <row r="8801" spans="1:11">
      <c r="A8801" s="12">
        <v>42740</v>
      </c>
      <c r="B8801">
        <v>2017</v>
      </c>
      <c r="C8801">
        <v>1</v>
      </c>
      <c r="D8801" s="11">
        <v>42736</v>
      </c>
      <c r="E8801" t="s">
        <v>2173</v>
      </c>
      <c r="F8801">
        <v>4</v>
      </c>
      <c r="G8801" t="s">
        <v>53</v>
      </c>
      <c r="H8801" t="s">
        <v>47</v>
      </c>
      <c r="I8801" t="s">
        <v>2195</v>
      </c>
      <c r="J8801" s="10">
        <v>2.5</v>
      </c>
      <c r="K8801" t="b">
        <v>1</v>
      </c>
    </row>
    <row r="8802" spans="1:11">
      <c r="A8802" s="12">
        <v>42741</v>
      </c>
      <c r="B8802">
        <v>2017</v>
      </c>
      <c r="C8802">
        <v>1</v>
      </c>
      <c r="D8802" s="11">
        <v>42736</v>
      </c>
      <c r="E8802" t="s">
        <v>2173</v>
      </c>
      <c r="F8802">
        <v>5</v>
      </c>
      <c r="G8802" t="s">
        <v>55</v>
      </c>
      <c r="H8802" t="s">
        <v>40</v>
      </c>
      <c r="I8802" t="s">
        <v>2188</v>
      </c>
      <c r="J8802" s="10">
        <v>4.583333333</v>
      </c>
      <c r="K8802" t="b">
        <v>1</v>
      </c>
    </row>
    <row r="8803" spans="1:11">
      <c r="A8803" s="12">
        <v>42741</v>
      </c>
      <c r="B8803">
        <v>2017</v>
      </c>
      <c r="C8803">
        <v>1</v>
      </c>
      <c r="D8803" s="11">
        <v>42736</v>
      </c>
      <c r="E8803" t="s">
        <v>2173</v>
      </c>
      <c r="F8803">
        <v>5</v>
      </c>
      <c r="G8803" t="s">
        <v>55</v>
      </c>
      <c r="H8803" t="s">
        <v>41</v>
      </c>
      <c r="I8803" t="s">
        <v>2189</v>
      </c>
      <c r="J8803" s="10">
        <v>3.05</v>
      </c>
      <c r="K8803" t="b">
        <v>1</v>
      </c>
    </row>
    <row r="8804" spans="1:11">
      <c r="A8804" s="12">
        <v>42741</v>
      </c>
      <c r="B8804">
        <v>2017</v>
      </c>
      <c r="C8804">
        <v>1</v>
      </c>
      <c r="D8804" s="11">
        <v>42736</v>
      </c>
      <c r="E8804" t="s">
        <v>2173</v>
      </c>
      <c r="F8804">
        <v>5</v>
      </c>
      <c r="G8804" t="s">
        <v>55</v>
      </c>
      <c r="H8804" t="s">
        <v>42</v>
      </c>
      <c r="I8804" t="s">
        <v>2190</v>
      </c>
      <c r="J8804" s="10">
        <v>5.625</v>
      </c>
      <c r="K8804" t="b">
        <v>1</v>
      </c>
    </row>
    <row r="8805" spans="1:11">
      <c r="A8805" s="12">
        <v>42741</v>
      </c>
      <c r="B8805">
        <v>2017</v>
      </c>
      <c r="C8805">
        <v>1</v>
      </c>
      <c r="D8805" s="11">
        <v>42736</v>
      </c>
      <c r="E8805" t="s">
        <v>2173</v>
      </c>
      <c r="F8805">
        <v>5</v>
      </c>
      <c r="G8805" t="s">
        <v>55</v>
      </c>
      <c r="H8805" t="s">
        <v>43</v>
      </c>
      <c r="I8805" t="s">
        <v>2191</v>
      </c>
      <c r="J8805" s="10">
        <v>65.5625</v>
      </c>
      <c r="K8805" t="b">
        <v>1</v>
      </c>
    </row>
    <row r="8806" spans="1:11">
      <c r="A8806" s="12">
        <v>42741</v>
      </c>
      <c r="B8806">
        <v>2017</v>
      </c>
      <c r="C8806">
        <v>1</v>
      </c>
      <c r="D8806" s="11">
        <v>42736</v>
      </c>
      <c r="E8806" t="s">
        <v>2173</v>
      </c>
      <c r="F8806">
        <v>5</v>
      </c>
      <c r="G8806" t="s">
        <v>55</v>
      </c>
      <c r="H8806" t="s">
        <v>44</v>
      </c>
      <c r="I8806" t="s">
        <v>2192</v>
      </c>
      <c r="J8806" s="10">
        <v>10.83333333</v>
      </c>
      <c r="K8806" t="b">
        <v>1</v>
      </c>
    </row>
    <row r="8807" spans="1:11">
      <c r="A8807" s="12">
        <v>42741</v>
      </c>
      <c r="B8807">
        <v>2017</v>
      </c>
      <c r="C8807">
        <v>1</v>
      </c>
      <c r="D8807" s="11">
        <v>42736</v>
      </c>
      <c r="E8807" t="s">
        <v>2173</v>
      </c>
      <c r="F8807">
        <v>5</v>
      </c>
      <c r="G8807" t="s">
        <v>55</v>
      </c>
      <c r="H8807" t="s">
        <v>45</v>
      </c>
      <c r="I8807" t="s">
        <v>2193</v>
      </c>
      <c r="J8807" s="10">
        <v>0</v>
      </c>
      <c r="K8807" t="b">
        <v>1</v>
      </c>
    </row>
    <row r="8808" spans="1:11">
      <c r="A8808" s="12">
        <v>42741</v>
      </c>
      <c r="B8808">
        <v>2017</v>
      </c>
      <c r="C8808">
        <v>1</v>
      </c>
      <c r="D8808" s="11">
        <v>42736</v>
      </c>
      <c r="E8808" t="s">
        <v>2173</v>
      </c>
      <c r="F8808">
        <v>5</v>
      </c>
      <c r="G8808" t="s">
        <v>55</v>
      </c>
      <c r="H8808" t="s">
        <v>46</v>
      </c>
      <c r="I8808" t="s">
        <v>2194</v>
      </c>
      <c r="J8808" s="10">
        <v>15.41666667</v>
      </c>
      <c r="K8808" t="b">
        <v>1</v>
      </c>
    </row>
    <row r="8809" spans="1:11">
      <c r="A8809" s="12">
        <v>42741</v>
      </c>
      <c r="B8809">
        <v>2017</v>
      </c>
      <c r="C8809">
        <v>1</v>
      </c>
      <c r="D8809" s="11">
        <v>42736</v>
      </c>
      <c r="E8809" t="s">
        <v>2173</v>
      </c>
      <c r="F8809">
        <v>5</v>
      </c>
      <c r="G8809" t="s">
        <v>55</v>
      </c>
      <c r="H8809" t="s">
        <v>47</v>
      </c>
      <c r="I8809" t="s">
        <v>2195</v>
      </c>
      <c r="J8809" s="10">
        <v>2.5</v>
      </c>
      <c r="K8809" t="b">
        <v>1</v>
      </c>
    </row>
    <row r="8810" spans="1:11">
      <c r="A8810" s="12">
        <v>42742</v>
      </c>
      <c r="B8810">
        <v>2017</v>
      </c>
      <c r="C8810">
        <v>1</v>
      </c>
      <c r="D8810" s="11">
        <v>42736</v>
      </c>
      <c r="E8810" t="s">
        <v>2173</v>
      </c>
      <c r="F8810">
        <v>6</v>
      </c>
      <c r="G8810" t="s">
        <v>57</v>
      </c>
      <c r="H8810" t="s">
        <v>40</v>
      </c>
      <c r="I8810" t="s">
        <v>2188</v>
      </c>
      <c r="J8810" s="10">
        <v>2.916666667</v>
      </c>
      <c r="K8810" t="b">
        <v>1</v>
      </c>
    </row>
    <row r="8811" spans="1:11">
      <c r="A8811" s="12">
        <v>42742</v>
      </c>
      <c r="B8811">
        <v>2017</v>
      </c>
      <c r="C8811">
        <v>1</v>
      </c>
      <c r="D8811" s="11">
        <v>42736</v>
      </c>
      <c r="E8811" t="s">
        <v>2173</v>
      </c>
      <c r="F8811">
        <v>6</v>
      </c>
      <c r="G8811" t="s">
        <v>57</v>
      </c>
      <c r="H8811" t="s">
        <v>41</v>
      </c>
      <c r="I8811" t="s">
        <v>2189</v>
      </c>
      <c r="J8811" s="10">
        <v>5.154166667</v>
      </c>
      <c r="K8811" t="b">
        <v>1</v>
      </c>
    </row>
    <row r="8812" spans="1:11">
      <c r="A8812" s="12">
        <v>42742</v>
      </c>
      <c r="B8812">
        <v>2017</v>
      </c>
      <c r="C8812">
        <v>1</v>
      </c>
      <c r="D8812" s="11">
        <v>42736</v>
      </c>
      <c r="E8812" t="s">
        <v>2173</v>
      </c>
      <c r="F8812">
        <v>6</v>
      </c>
      <c r="G8812" t="s">
        <v>57</v>
      </c>
      <c r="H8812" t="s">
        <v>42</v>
      </c>
      <c r="I8812" t="s">
        <v>2190</v>
      </c>
      <c r="J8812" s="10">
        <v>5.958333333</v>
      </c>
      <c r="K8812" t="b">
        <v>1</v>
      </c>
    </row>
    <row r="8813" spans="1:11">
      <c r="A8813" s="12">
        <v>42742</v>
      </c>
      <c r="B8813">
        <v>2017</v>
      </c>
      <c r="C8813">
        <v>1</v>
      </c>
      <c r="D8813" s="11">
        <v>42736</v>
      </c>
      <c r="E8813" t="s">
        <v>2173</v>
      </c>
      <c r="F8813">
        <v>6</v>
      </c>
      <c r="G8813" t="s">
        <v>57</v>
      </c>
      <c r="H8813" t="s">
        <v>43</v>
      </c>
      <c r="I8813" t="s">
        <v>2191</v>
      </c>
      <c r="J8813" s="10">
        <v>34.625</v>
      </c>
      <c r="K8813" t="b">
        <v>1</v>
      </c>
    </row>
    <row r="8814" spans="1:11">
      <c r="A8814" s="12">
        <v>42742</v>
      </c>
      <c r="B8814">
        <v>2017</v>
      </c>
      <c r="C8814">
        <v>1</v>
      </c>
      <c r="D8814" s="11">
        <v>42736</v>
      </c>
      <c r="E8814" t="s">
        <v>2173</v>
      </c>
      <c r="F8814">
        <v>6</v>
      </c>
      <c r="G8814" t="s">
        <v>57</v>
      </c>
      <c r="H8814" t="s">
        <v>44</v>
      </c>
      <c r="I8814" t="s">
        <v>2192</v>
      </c>
      <c r="J8814" s="10">
        <v>8.75</v>
      </c>
      <c r="K8814" t="b">
        <v>1</v>
      </c>
    </row>
    <row r="8815" spans="1:11">
      <c r="A8815" s="12">
        <v>42742</v>
      </c>
      <c r="B8815">
        <v>2017</v>
      </c>
      <c r="C8815">
        <v>1</v>
      </c>
      <c r="D8815" s="11">
        <v>42736</v>
      </c>
      <c r="E8815" t="s">
        <v>2173</v>
      </c>
      <c r="F8815">
        <v>6</v>
      </c>
      <c r="G8815" t="s">
        <v>57</v>
      </c>
      <c r="H8815" t="s">
        <v>45</v>
      </c>
      <c r="I8815" t="s">
        <v>2193</v>
      </c>
      <c r="J8815" s="10">
        <v>0</v>
      </c>
      <c r="K8815" t="b">
        <v>1</v>
      </c>
    </row>
    <row r="8816" spans="1:11">
      <c r="A8816" s="12">
        <v>42742</v>
      </c>
      <c r="B8816">
        <v>2017</v>
      </c>
      <c r="C8816">
        <v>1</v>
      </c>
      <c r="D8816" s="11">
        <v>42736</v>
      </c>
      <c r="E8816" t="s">
        <v>2173</v>
      </c>
      <c r="F8816">
        <v>6</v>
      </c>
      <c r="G8816" t="s">
        <v>57</v>
      </c>
      <c r="H8816" t="s">
        <v>46</v>
      </c>
      <c r="I8816" t="s">
        <v>2194</v>
      </c>
      <c r="J8816" s="10">
        <v>2.5</v>
      </c>
      <c r="K8816" t="b">
        <v>1</v>
      </c>
    </row>
    <row r="8817" spans="1:11">
      <c r="A8817" s="12">
        <v>42742</v>
      </c>
      <c r="B8817">
        <v>2017</v>
      </c>
      <c r="C8817">
        <v>1</v>
      </c>
      <c r="D8817" s="11">
        <v>42736</v>
      </c>
      <c r="E8817" t="s">
        <v>2173</v>
      </c>
      <c r="F8817">
        <v>6</v>
      </c>
      <c r="G8817" t="s">
        <v>57</v>
      </c>
      <c r="H8817" t="s">
        <v>47</v>
      </c>
      <c r="I8817" t="s">
        <v>2195</v>
      </c>
      <c r="J8817" s="10">
        <v>0</v>
      </c>
      <c r="K8817" t="b">
        <v>1</v>
      </c>
    </row>
    <row r="8818" spans="1:11">
      <c r="A8818" s="12">
        <v>42743</v>
      </c>
      <c r="B8818">
        <v>2017</v>
      </c>
      <c r="C8818">
        <v>1</v>
      </c>
      <c r="D8818" s="11">
        <v>42736</v>
      </c>
      <c r="E8818" t="s">
        <v>2173</v>
      </c>
      <c r="F8818">
        <v>7</v>
      </c>
      <c r="G8818" t="s">
        <v>59</v>
      </c>
      <c r="H8818" t="s">
        <v>40</v>
      </c>
      <c r="I8818" t="s">
        <v>2188</v>
      </c>
      <c r="J8818" s="10">
        <v>5.416666667</v>
      </c>
      <c r="K8818" t="b">
        <v>1</v>
      </c>
    </row>
    <row r="8819" spans="1:11">
      <c r="A8819" s="12">
        <v>42743</v>
      </c>
      <c r="B8819">
        <v>2017</v>
      </c>
      <c r="C8819">
        <v>1</v>
      </c>
      <c r="D8819" s="11">
        <v>42736</v>
      </c>
      <c r="E8819" t="s">
        <v>2173</v>
      </c>
      <c r="F8819">
        <v>7</v>
      </c>
      <c r="G8819" t="s">
        <v>59</v>
      </c>
      <c r="H8819" t="s">
        <v>41</v>
      </c>
      <c r="I8819" t="s">
        <v>2189</v>
      </c>
      <c r="J8819" s="10">
        <v>1.859583333</v>
      </c>
      <c r="K8819" t="b">
        <v>1</v>
      </c>
    </row>
    <row r="8820" spans="1:11">
      <c r="A8820" s="12">
        <v>42743</v>
      </c>
      <c r="B8820">
        <v>2017</v>
      </c>
      <c r="C8820">
        <v>1</v>
      </c>
      <c r="D8820" s="11">
        <v>42736</v>
      </c>
      <c r="E8820" t="s">
        <v>2173</v>
      </c>
      <c r="F8820">
        <v>7</v>
      </c>
      <c r="G8820" t="s">
        <v>59</v>
      </c>
      <c r="H8820" t="s">
        <v>42</v>
      </c>
      <c r="I8820" t="s">
        <v>2190</v>
      </c>
      <c r="J8820" s="10">
        <v>5.083333333</v>
      </c>
      <c r="K8820" t="b">
        <v>1</v>
      </c>
    </row>
    <row r="8821" spans="1:11">
      <c r="A8821" s="12">
        <v>42743</v>
      </c>
      <c r="B8821">
        <v>2017</v>
      </c>
      <c r="C8821">
        <v>1</v>
      </c>
      <c r="D8821" s="11">
        <v>42736</v>
      </c>
      <c r="E8821" t="s">
        <v>2173</v>
      </c>
      <c r="F8821">
        <v>7</v>
      </c>
      <c r="G8821" t="s">
        <v>59</v>
      </c>
      <c r="H8821" t="s">
        <v>43</v>
      </c>
      <c r="I8821" t="s">
        <v>2191</v>
      </c>
      <c r="J8821" s="10">
        <v>25.375</v>
      </c>
      <c r="K8821" t="b">
        <v>1</v>
      </c>
    </row>
    <row r="8822" spans="1:11">
      <c r="A8822" s="12">
        <v>42743</v>
      </c>
      <c r="B8822">
        <v>2017</v>
      </c>
      <c r="C8822">
        <v>1</v>
      </c>
      <c r="D8822" s="11">
        <v>42736</v>
      </c>
      <c r="E8822" t="s">
        <v>2173</v>
      </c>
      <c r="F8822">
        <v>7</v>
      </c>
      <c r="G8822" t="s">
        <v>59</v>
      </c>
      <c r="H8822" t="s">
        <v>44</v>
      </c>
      <c r="I8822" t="s">
        <v>2192</v>
      </c>
      <c r="J8822" s="10">
        <v>10</v>
      </c>
      <c r="K8822" t="b">
        <v>1</v>
      </c>
    </row>
    <row r="8823" spans="1:11">
      <c r="A8823" s="12">
        <v>42743</v>
      </c>
      <c r="B8823">
        <v>2017</v>
      </c>
      <c r="C8823">
        <v>1</v>
      </c>
      <c r="D8823" s="11">
        <v>42736</v>
      </c>
      <c r="E8823" t="s">
        <v>2173</v>
      </c>
      <c r="F8823">
        <v>7</v>
      </c>
      <c r="G8823" t="s">
        <v>59</v>
      </c>
      <c r="H8823" t="s">
        <v>45</v>
      </c>
      <c r="I8823" t="s">
        <v>2193</v>
      </c>
      <c r="J8823" s="10">
        <v>2.083333333</v>
      </c>
      <c r="K8823" t="b">
        <v>1</v>
      </c>
    </row>
    <row r="8824" spans="1:11">
      <c r="A8824" s="12">
        <v>42743</v>
      </c>
      <c r="B8824">
        <v>2017</v>
      </c>
      <c r="C8824">
        <v>1</v>
      </c>
      <c r="D8824" s="11">
        <v>42736</v>
      </c>
      <c r="E8824" t="s">
        <v>2173</v>
      </c>
      <c r="F8824">
        <v>7</v>
      </c>
      <c r="G8824" t="s">
        <v>59</v>
      </c>
      <c r="H8824" t="s">
        <v>46</v>
      </c>
      <c r="I8824" t="s">
        <v>2194</v>
      </c>
      <c r="J8824" s="10">
        <v>3.333333333</v>
      </c>
      <c r="K8824" t="b">
        <v>1</v>
      </c>
    </row>
    <row r="8825" spans="1:11">
      <c r="A8825" s="12">
        <v>42743</v>
      </c>
      <c r="B8825">
        <v>2017</v>
      </c>
      <c r="C8825">
        <v>1</v>
      </c>
      <c r="D8825" s="11">
        <v>42736</v>
      </c>
      <c r="E8825" t="s">
        <v>2173</v>
      </c>
      <c r="F8825">
        <v>7</v>
      </c>
      <c r="G8825" t="s">
        <v>59</v>
      </c>
      <c r="H8825" t="s">
        <v>47</v>
      </c>
      <c r="I8825" t="s">
        <v>2195</v>
      </c>
      <c r="J8825" s="10">
        <v>1.666666667</v>
      </c>
      <c r="K8825" t="b">
        <v>1</v>
      </c>
    </row>
    <row r="8826" spans="1:11">
      <c r="A8826" s="12">
        <v>42744</v>
      </c>
      <c r="B8826">
        <v>2017</v>
      </c>
      <c r="C8826">
        <v>1</v>
      </c>
      <c r="D8826" s="11">
        <v>42736</v>
      </c>
      <c r="E8826" t="s">
        <v>2173</v>
      </c>
      <c r="F8826">
        <v>1</v>
      </c>
      <c r="G8826" t="s">
        <v>61</v>
      </c>
      <c r="H8826" t="s">
        <v>40</v>
      </c>
      <c r="I8826" t="s">
        <v>2188</v>
      </c>
      <c r="J8826" s="10">
        <v>3.8875</v>
      </c>
      <c r="K8826" t="b">
        <v>1</v>
      </c>
    </row>
    <row r="8827" spans="1:11">
      <c r="A8827" s="12">
        <v>42744</v>
      </c>
      <c r="B8827">
        <v>2017</v>
      </c>
      <c r="C8827">
        <v>1</v>
      </c>
      <c r="D8827" s="11">
        <v>42736</v>
      </c>
      <c r="E8827" t="s">
        <v>2173</v>
      </c>
      <c r="F8827">
        <v>1</v>
      </c>
      <c r="G8827" t="s">
        <v>61</v>
      </c>
      <c r="H8827" t="s">
        <v>41</v>
      </c>
      <c r="I8827" t="s">
        <v>2189</v>
      </c>
      <c r="J8827" s="10">
        <v>4.057083333</v>
      </c>
      <c r="K8827" t="b">
        <v>1</v>
      </c>
    </row>
    <row r="8828" spans="1:11">
      <c r="A8828" s="12">
        <v>42744</v>
      </c>
      <c r="B8828">
        <v>2017</v>
      </c>
      <c r="C8828">
        <v>1</v>
      </c>
      <c r="D8828" s="11">
        <v>42736</v>
      </c>
      <c r="E8828" t="s">
        <v>2173</v>
      </c>
      <c r="F8828">
        <v>1</v>
      </c>
      <c r="G8828" t="s">
        <v>61</v>
      </c>
      <c r="H8828" t="s">
        <v>42</v>
      </c>
      <c r="I8828" t="s">
        <v>2190</v>
      </c>
      <c r="J8828" s="10">
        <v>2.583333333</v>
      </c>
      <c r="K8828" t="b">
        <v>1</v>
      </c>
    </row>
    <row r="8829" spans="1:11">
      <c r="A8829" s="12">
        <v>42744</v>
      </c>
      <c r="B8829">
        <v>2017</v>
      </c>
      <c r="C8829">
        <v>1</v>
      </c>
      <c r="D8829" s="11">
        <v>42736</v>
      </c>
      <c r="E8829" t="s">
        <v>2173</v>
      </c>
      <c r="F8829">
        <v>1</v>
      </c>
      <c r="G8829" t="s">
        <v>61</v>
      </c>
      <c r="H8829" t="s">
        <v>43</v>
      </c>
      <c r="I8829" t="s">
        <v>2191</v>
      </c>
      <c r="J8829" s="10">
        <v>56.125</v>
      </c>
      <c r="K8829" t="b">
        <v>1</v>
      </c>
    </row>
    <row r="8830" spans="1:11">
      <c r="A8830" s="12">
        <v>42744</v>
      </c>
      <c r="B8830">
        <v>2017</v>
      </c>
      <c r="C8830">
        <v>1</v>
      </c>
      <c r="D8830" s="11">
        <v>42736</v>
      </c>
      <c r="E8830" t="s">
        <v>2173</v>
      </c>
      <c r="F8830">
        <v>1</v>
      </c>
      <c r="G8830" t="s">
        <v>61</v>
      </c>
      <c r="H8830" t="s">
        <v>44</v>
      </c>
      <c r="I8830" t="s">
        <v>2192</v>
      </c>
      <c r="J8830" s="10">
        <v>9.166666666999999</v>
      </c>
      <c r="K8830" t="b">
        <v>1</v>
      </c>
    </row>
    <row r="8831" spans="1:11">
      <c r="A8831" s="12">
        <v>42744</v>
      </c>
      <c r="B8831">
        <v>2017</v>
      </c>
      <c r="C8831">
        <v>1</v>
      </c>
      <c r="D8831" s="11">
        <v>42736</v>
      </c>
      <c r="E8831" t="s">
        <v>2173</v>
      </c>
      <c r="F8831">
        <v>1</v>
      </c>
      <c r="G8831" t="s">
        <v>61</v>
      </c>
      <c r="H8831" t="s">
        <v>45</v>
      </c>
      <c r="I8831" t="s">
        <v>2193</v>
      </c>
      <c r="J8831" s="10">
        <v>0.416666667</v>
      </c>
      <c r="K8831" t="b">
        <v>1</v>
      </c>
    </row>
    <row r="8832" spans="1:11">
      <c r="A8832" s="12">
        <v>42744</v>
      </c>
      <c r="B8832">
        <v>2017</v>
      </c>
      <c r="C8832">
        <v>1</v>
      </c>
      <c r="D8832" s="11">
        <v>42736</v>
      </c>
      <c r="E8832" t="s">
        <v>2173</v>
      </c>
      <c r="F8832">
        <v>1</v>
      </c>
      <c r="G8832" t="s">
        <v>61</v>
      </c>
      <c r="H8832" t="s">
        <v>46</v>
      </c>
      <c r="I8832" t="s">
        <v>2194</v>
      </c>
      <c r="J8832" s="10">
        <v>1.666666667</v>
      </c>
      <c r="K8832" t="b">
        <v>1</v>
      </c>
    </row>
    <row r="8833" spans="1:11">
      <c r="A8833" s="12">
        <v>42744</v>
      </c>
      <c r="B8833">
        <v>2017</v>
      </c>
      <c r="C8833">
        <v>1</v>
      </c>
      <c r="D8833" s="11">
        <v>42736</v>
      </c>
      <c r="E8833" t="s">
        <v>2173</v>
      </c>
      <c r="F8833">
        <v>1</v>
      </c>
      <c r="G8833" t="s">
        <v>61</v>
      </c>
      <c r="H8833" t="s">
        <v>47</v>
      </c>
      <c r="I8833" t="s">
        <v>2195</v>
      </c>
      <c r="J8833" s="10">
        <v>2.083333333</v>
      </c>
      <c r="K8833" t="b">
        <v>1</v>
      </c>
    </row>
    <row r="8834" spans="1:11">
      <c r="A8834" s="12">
        <v>42745</v>
      </c>
      <c r="B8834">
        <v>2017</v>
      </c>
      <c r="C8834">
        <v>1</v>
      </c>
      <c r="D8834" s="11">
        <v>42736</v>
      </c>
      <c r="E8834" t="s">
        <v>2173</v>
      </c>
      <c r="F8834">
        <v>2</v>
      </c>
      <c r="G8834" t="s">
        <v>63</v>
      </c>
      <c r="H8834" t="s">
        <v>40</v>
      </c>
      <c r="I8834" t="s">
        <v>2188</v>
      </c>
      <c r="J8834" s="10">
        <v>6.3875</v>
      </c>
      <c r="K8834" t="b">
        <v>1</v>
      </c>
    </row>
    <row r="8835" spans="1:11">
      <c r="A8835" s="12">
        <v>42745</v>
      </c>
      <c r="B8835">
        <v>2017</v>
      </c>
      <c r="C8835">
        <v>1</v>
      </c>
      <c r="D8835" s="11">
        <v>42736</v>
      </c>
      <c r="E8835" t="s">
        <v>2173</v>
      </c>
      <c r="F8835">
        <v>2</v>
      </c>
      <c r="G8835" t="s">
        <v>63</v>
      </c>
      <c r="H8835" t="s">
        <v>41</v>
      </c>
      <c r="I8835" t="s">
        <v>2189</v>
      </c>
      <c r="J8835" s="10">
        <v>4.73875</v>
      </c>
      <c r="K8835" t="b">
        <v>1</v>
      </c>
    </row>
    <row r="8836" spans="1:11">
      <c r="A8836" s="12">
        <v>42745</v>
      </c>
      <c r="B8836">
        <v>2017</v>
      </c>
      <c r="C8836">
        <v>1</v>
      </c>
      <c r="D8836" s="11">
        <v>42736</v>
      </c>
      <c r="E8836" t="s">
        <v>2173</v>
      </c>
      <c r="F8836">
        <v>2</v>
      </c>
      <c r="G8836" t="s">
        <v>63</v>
      </c>
      <c r="H8836" t="s">
        <v>42</v>
      </c>
      <c r="I8836" t="s">
        <v>2190</v>
      </c>
      <c r="J8836" s="10">
        <v>13.29166667</v>
      </c>
      <c r="K8836" t="b">
        <v>1</v>
      </c>
    </row>
    <row r="8837" spans="1:11">
      <c r="A8837" s="12">
        <v>42745</v>
      </c>
      <c r="B8837">
        <v>2017</v>
      </c>
      <c r="C8837">
        <v>1</v>
      </c>
      <c r="D8837" s="11">
        <v>42736</v>
      </c>
      <c r="E8837" t="s">
        <v>2173</v>
      </c>
      <c r="F8837">
        <v>2</v>
      </c>
      <c r="G8837" t="s">
        <v>63</v>
      </c>
      <c r="H8837" t="s">
        <v>43</v>
      </c>
      <c r="I8837" t="s">
        <v>2191</v>
      </c>
      <c r="J8837" s="10">
        <v>54.25</v>
      </c>
      <c r="K8837" t="b">
        <v>1</v>
      </c>
    </row>
    <row r="8838" spans="1:11">
      <c r="A8838" s="12">
        <v>42745</v>
      </c>
      <c r="B8838">
        <v>2017</v>
      </c>
      <c r="C8838">
        <v>1</v>
      </c>
      <c r="D8838" s="11">
        <v>42736</v>
      </c>
      <c r="E8838" t="s">
        <v>2173</v>
      </c>
      <c r="F8838">
        <v>2</v>
      </c>
      <c r="G8838" t="s">
        <v>63</v>
      </c>
      <c r="H8838" t="s">
        <v>44</v>
      </c>
      <c r="I8838" t="s">
        <v>2192</v>
      </c>
      <c r="J8838" s="10">
        <v>25</v>
      </c>
      <c r="K8838" t="b">
        <v>1</v>
      </c>
    </row>
    <row r="8839" spans="1:11">
      <c r="A8839" s="12">
        <v>42745</v>
      </c>
      <c r="B8839">
        <v>2017</v>
      </c>
      <c r="C8839">
        <v>1</v>
      </c>
      <c r="D8839" s="11">
        <v>42736</v>
      </c>
      <c r="E8839" t="s">
        <v>2173</v>
      </c>
      <c r="F8839">
        <v>2</v>
      </c>
      <c r="G8839" t="s">
        <v>63</v>
      </c>
      <c r="H8839" t="s">
        <v>45</v>
      </c>
      <c r="I8839" t="s">
        <v>2193</v>
      </c>
      <c r="J8839" s="10">
        <v>1.666666667</v>
      </c>
      <c r="K8839" t="b">
        <v>1</v>
      </c>
    </row>
    <row r="8840" spans="1:11">
      <c r="A8840" s="12">
        <v>42745</v>
      </c>
      <c r="B8840">
        <v>2017</v>
      </c>
      <c r="C8840">
        <v>1</v>
      </c>
      <c r="D8840" s="11">
        <v>42736</v>
      </c>
      <c r="E8840" t="s">
        <v>2173</v>
      </c>
      <c r="F8840">
        <v>2</v>
      </c>
      <c r="G8840" t="s">
        <v>63</v>
      </c>
      <c r="H8840" t="s">
        <v>46</v>
      </c>
      <c r="I8840" t="s">
        <v>2194</v>
      </c>
      <c r="J8840" s="10">
        <v>7.5</v>
      </c>
      <c r="K8840" t="b">
        <v>1</v>
      </c>
    </row>
    <row r="8841" spans="1:11">
      <c r="A8841" s="12">
        <v>42745</v>
      </c>
      <c r="B8841">
        <v>2017</v>
      </c>
      <c r="C8841">
        <v>1</v>
      </c>
      <c r="D8841" s="11">
        <v>42736</v>
      </c>
      <c r="E8841" t="s">
        <v>2173</v>
      </c>
      <c r="F8841">
        <v>2</v>
      </c>
      <c r="G8841" t="s">
        <v>63</v>
      </c>
      <c r="H8841" t="s">
        <v>47</v>
      </c>
      <c r="I8841" t="s">
        <v>2195</v>
      </c>
      <c r="J8841" s="10">
        <v>0.833333333</v>
      </c>
      <c r="K8841" t="b">
        <v>1</v>
      </c>
    </row>
    <row r="8842" spans="1:11">
      <c r="A8842" s="12">
        <v>42746</v>
      </c>
      <c r="B8842">
        <v>2017</v>
      </c>
      <c r="C8842">
        <v>1</v>
      </c>
      <c r="D8842" s="11">
        <v>42736</v>
      </c>
      <c r="E8842" t="s">
        <v>2173</v>
      </c>
      <c r="F8842">
        <v>3</v>
      </c>
      <c r="G8842" t="s">
        <v>65</v>
      </c>
      <c r="H8842" t="s">
        <v>40</v>
      </c>
      <c r="I8842" t="s">
        <v>2188</v>
      </c>
      <c r="J8842" s="10">
        <v>9.308333333</v>
      </c>
      <c r="K8842" t="b">
        <v>1</v>
      </c>
    </row>
    <row r="8843" spans="1:11">
      <c r="A8843" s="12">
        <v>42746</v>
      </c>
      <c r="B8843">
        <v>2017</v>
      </c>
      <c r="C8843">
        <v>1</v>
      </c>
      <c r="D8843" s="11">
        <v>42736</v>
      </c>
      <c r="E8843" t="s">
        <v>2173</v>
      </c>
      <c r="F8843">
        <v>3</v>
      </c>
      <c r="G8843" t="s">
        <v>65</v>
      </c>
      <c r="H8843" t="s">
        <v>41</v>
      </c>
      <c r="I8843" t="s">
        <v>2189</v>
      </c>
      <c r="J8843" s="10">
        <v>5.501666667</v>
      </c>
      <c r="K8843" t="b">
        <v>1</v>
      </c>
    </row>
    <row r="8844" spans="1:11">
      <c r="A8844" s="12">
        <v>42746</v>
      </c>
      <c r="B8844">
        <v>2017</v>
      </c>
      <c r="C8844">
        <v>1</v>
      </c>
      <c r="D8844" s="11">
        <v>42736</v>
      </c>
      <c r="E8844" t="s">
        <v>2173</v>
      </c>
      <c r="F8844">
        <v>3</v>
      </c>
      <c r="G8844" t="s">
        <v>65</v>
      </c>
      <c r="H8844" t="s">
        <v>42</v>
      </c>
      <c r="I8844" t="s">
        <v>2190</v>
      </c>
      <c r="J8844" s="10">
        <v>9.166666666999999</v>
      </c>
      <c r="K8844" t="b">
        <v>1</v>
      </c>
    </row>
    <row r="8845" spans="1:11">
      <c r="A8845" s="12">
        <v>42746</v>
      </c>
      <c r="B8845">
        <v>2017</v>
      </c>
      <c r="C8845">
        <v>1</v>
      </c>
      <c r="D8845" s="11">
        <v>42736</v>
      </c>
      <c r="E8845" t="s">
        <v>2173</v>
      </c>
      <c r="F8845">
        <v>3</v>
      </c>
      <c r="G8845" t="s">
        <v>65</v>
      </c>
      <c r="H8845" t="s">
        <v>43</v>
      </c>
      <c r="I8845" t="s">
        <v>2191</v>
      </c>
      <c r="J8845" s="10">
        <v>51.04166667</v>
      </c>
      <c r="K8845" t="b">
        <v>1</v>
      </c>
    </row>
    <row r="8846" spans="1:11">
      <c r="A8846" s="12">
        <v>42746</v>
      </c>
      <c r="B8846">
        <v>2017</v>
      </c>
      <c r="C8846">
        <v>1</v>
      </c>
      <c r="D8846" s="11">
        <v>42736</v>
      </c>
      <c r="E8846" t="s">
        <v>2173</v>
      </c>
      <c r="F8846">
        <v>3</v>
      </c>
      <c r="G8846" t="s">
        <v>65</v>
      </c>
      <c r="H8846" t="s">
        <v>44</v>
      </c>
      <c r="I8846" t="s">
        <v>2192</v>
      </c>
      <c r="J8846" s="10">
        <v>20</v>
      </c>
      <c r="K8846" t="b">
        <v>1</v>
      </c>
    </row>
    <row r="8847" spans="1:11">
      <c r="A8847" s="12">
        <v>42746</v>
      </c>
      <c r="B8847">
        <v>2017</v>
      </c>
      <c r="C8847">
        <v>1</v>
      </c>
      <c r="D8847" s="11">
        <v>42736</v>
      </c>
      <c r="E8847" t="s">
        <v>2173</v>
      </c>
      <c r="F8847">
        <v>3</v>
      </c>
      <c r="G8847" t="s">
        <v>65</v>
      </c>
      <c r="H8847" t="s">
        <v>45</v>
      </c>
      <c r="I8847" t="s">
        <v>2193</v>
      </c>
      <c r="J8847" s="10">
        <v>1.25</v>
      </c>
      <c r="K8847" t="b">
        <v>1</v>
      </c>
    </row>
    <row r="8848" spans="1:11">
      <c r="A8848" s="12">
        <v>42746</v>
      </c>
      <c r="B8848">
        <v>2017</v>
      </c>
      <c r="C8848">
        <v>1</v>
      </c>
      <c r="D8848" s="11">
        <v>42736</v>
      </c>
      <c r="E8848" t="s">
        <v>2173</v>
      </c>
      <c r="F8848">
        <v>3</v>
      </c>
      <c r="G8848" t="s">
        <v>65</v>
      </c>
      <c r="H8848" t="s">
        <v>46</v>
      </c>
      <c r="I8848" t="s">
        <v>2194</v>
      </c>
      <c r="J8848" s="10">
        <v>1.666666667</v>
      </c>
      <c r="K8848" t="b">
        <v>1</v>
      </c>
    </row>
    <row r="8849" spans="1:11">
      <c r="A8849" s="12">
        <v>42746</v>
      </c>
      <c r="B8849">
        <v>2017</v>
      </c>
      <c r="C8849">
        <v>1</v>
      </c>
      <c r="D8849" s="11">
        <v>42736</v>
      </c>
      <c r="E8849" t="s">
        <v>2173</v>
      </c>
      <c r="F8849">
        <v>3</v>
      </c>
      <c r="G8849" t="s">
        <v>65</v>
      </c>
      <c r="H8849" t="s">
        <v>47</v>
      </c>
      <c r="I8849" t="s">
        <v>2195</v>
      </c>
      <c r="J8849" s="10">
        <v>2.916666667</v>
      </c>
      <c r="K8849" t="b">
        <v>1</v>
      </c>
    </row>
    <row r="8850" spans="1:11">
      <c r="A8850" s="12">
        <v>42747</v>
      </c>
      <c r="B8850">
        <v>2017</v>
      </c>
      <c r="C8850">
        <v>1</v>
      </c>
      <c r="D8850" s="11">
        <v>42736</v>
      </c>
      <c r="E8850" t="s">
        <v>2173</v>
      </c>
      <c r="F8850">
        <v>4</v>
      </c>
      <c r="G8850" t="s">
        <v>53</v>
      </c>
      <c r="H8850" t="s">
        <v>40</v>
      </c>
      <c r="I8850" t="s">
        <v>2188</v>
      </c>
      <c r="J8850" s="10">
        <v>8.333333333000001</v>
      </c>
      <c r="K8850" t="b">
        <v>1</v>
      </c>
    </row>
    <row r="8851" spans="1:11">
      <c r="A8851" s="12">
        <v>42747</v>
      </c>
      <c r="B8851">
        <v>2017</v>
      </c>
      <c r="C8851">
        <v>1</v>
      </c>
      <c r="D8851" s="11">
        <v>42736</v>
      </c>
      <c r="E8851" t="s">
        <v>2173</v>
      </c>
      <c r="F8851">
        <v>4</v>
      </c>
      <c r="G8851" t="s">
        <v>53</v>
      </c>
      <c r="H8851" t="s">
        <v>41</v>
      </c>
      <c r="I8851" t="s">
        <v>2189</v>
      </c>
      <c r="J8851" s="10">
        <v>5.196666667</v>
      </c>
      <c r="K8851" t="b">
        <v>1</v>
      </c>
    </row>
    <row r="8852" spans="1:11">
      <c r="A8852" s="12">
        <v>42747</v>
      </c>
      <c r="B8852">
        <v>2017</v>
      </c>
      <c r="C8852">
        <v>1</v>
      </c>
      <c r="D8852" s="11">
        <v>42736</v>
      </c>
      <c r="E8852" t="s">
        <v>2173</v>
      </c>
      <c r="F8852">
        <v>4</v>
      </c>
      <c r="G8852" t="s">
        <v>53</v>
      </c>
      <c r="H8852" t="s">
        <v>42</v>
      </c>
      <c r="I8852" t="s">
        <v>2190</v>
      </c>
      <c r="J8852" s="10">
        <v>8.75</v>
      </c>
      <c r="K8852" t="b">
        <v>1</v>
      </c>
    </row>
    <row r="8853" spans="1:11">
      <c r="A8853" s="12">
        <v>42747</v>
      </c>
      <c r="B8853">
        <v>2017</v>
      </c>
      <c r="C8853">
        <v>1</v>
      </c>
      <c r="D8853" s="11">
        <v>42736</v>
      </c>
      <c r="E8853" t="s">
        <v>2173</v>
      </c>
      <c r="F8853">
        <v>4</v>
      </c>
      <c r="G8853" t="s">
        <v>53</v>
      </c>
      <c r="H8853" t="s">
        <v>43</v>
      </c>
      <c r="I8853" t="s">
        <v>2191</v>
      </c>
      <c r="J8853" s="10">
        <v>65.9375</v>
      </c>
      <c r="K8853" t="b">
        <v>1</v>
      </c>
    </row>
    <row r="8854" spans="1:11">
      <c r="A8854" s="12">
        <v>42747</v>
      </c>
      <c r="B8854">
        <v>2017</v>
      </c>
      <c r="C8854">
        <v>1</v>
      </c>
      <c r="D8854" s="11">
        <v>42736</v>
      </c>
      <c r="E8854" t="s">
        <v>2173</v>
      </c>
      <c r="F8854">
        <v>4</v>
      </c>
      <c r="G8854" t="s">
        <v>53</v>
      </c>
      <c r="H8854" t="s">
        <v>44</v>
      </c>
      <c r="I8854" t="s">
        <v>2192</v>
      </c>
      <c r="J8854" s="10">
        <v>14.16666667</v>
      </c>
      <c r="K8854" t="b">
        <v>1</v>
      </c>
    </row>
    <row r="8855" spans="1:11">
      <c r="A8855" s="12">
        <v>42747</v>
      </c>
      <c r="B8855">
        <v>2017</v>
      </c>
      <c r="C8855">
        <v>1</v>
      </c>
      <c r="D8855" s="11">
        <v>42736</v>
      </c>
      <c r="E8855" t="s">
        <v>2173</v>
      </c>
      <c r="F8855">
        <v>4</v>
      </c>
      <c r="G8855" t="s">
        <v>53</v>
      </c>
      <c r="H8855" t="s">
        <v>45</v>
      </c>
      <c r="I8855" t="s">
        <v>2193</v>
      </c>
      <c r="J8855" s="10">
        <v>1.25</v>
      </c>
      <c r="K8855" t="b">
        <v>1</v>
      </c>
    </row>
    <row r="8856" spans="1:11">
      <c r="A8856" s="12">
        <v>42747</v>
      </c>
      <c r="B8856">
        <v>2017</v>
      </c>
      <c r="C8856">
        <v>1</v>
      </c>
      <c r="D8856" s="11">
        <v>42736</v>
      </c>
      <c r="E8856" t="s">
        <v>2173</v>
      </c>
      <c r="F8856">
        <v>4</v>
      </c>
      <c r="G8856" t="s">
        <v>53</v>
      </c>
      <c r="H8856" t="s">
        <v>46</v>
      </c>
      <c r="I8856" t="s">
        <v>2194</v>
      </c>
      <c r="J8856" s="10">
        <v>4.583333333</v>
      </c>
      <c r="K8856" t="b">
        <v>1</v>
      </c>
    </row>
    <row r="8857" spans="1:11">
      <c r="A8857" s="12">
        <v>42747</v>
      </c>
      <c r="B8857">
        <v>2017</v>
      </c>
      <c r="C8857">
        <v>1</v>
      </c>
      <c r="D8857" s="11">
        <v>42736</v>
      </c>
      <c r="E8857" t="s">
        <v>2173</v>
      </c>
      <c r="F8857">
        <v>4</v>
      </c>
      <c r="G8857" t="s">
        <v>53</v>
      </c>
      <c r="H8857" t="s">
        <v>47</v>
      </c>
      <c r="I8857" t="s">
        <v>2195</v>
      </c>
      <c r="J8857" s="10">
        <v>1.666666667</v>
      </c>
      <c r="K8857" t="b">
        <v>1</v>
      </c>
    </row>
    <row r="8858" spans="1:11">
      <c r="A8858" s="12">
        <v>42748</v>
      </c>
      <c r="B8858">
        <v>2017</v>
      </c>
      <c r="C8858">
        <v>1</v>
      </c>
      <c r="D8858" s="11">
        <v>42736</v>
      </c>
      <c r="E8858" t="s">
        <v>2173</v>
      </c>
      <c r="F8858">
        <v>5</v>
      </c>
      <c r="G8858" t="s">
        <v>55</v>
      </c>
      <c r="H8858" t="s">
        <v>40</v>
      </c>
      <c r="I8858" t="s">
        <v>2188</v>
      </c>
      <c r="J8858" s="10">
        <v>6.804166667</v>
      </c>
      <c r="K8858" t="b">
        <v>1</v>
      </c>
    </row>
    <row r="8859" spans="1:11">
      <c r="A8859" s="12">
        <v>42748</v>
      </c>
      <c r="B8859">
        <v>2017</v>
      </c>
      <c r="C8859">
        <v>1</v>
      </c>
      <c r="D8859" s="11">
        <v>42736</v>
      </c>
      <c r="E8859" t="s">
        <v>2173</v>
      </c>
      <c r="F8859">
        <v>5</v>
      </c>
      <c r="G8859" t="s">
        <v>55</v>
      </c>
      <c r="H8859" t="s">
        <v>41</v>
      </c>
      <c r="I8859" t="s">
        <v>2189</v>
      </c>
      <c r="J8859" s="10">
        <v>3.891666667</v>
      </c>
      <c r="K8859" t="b">
        <v>1</v>
      </c>
    </row>
    <row r="8860" spans="1:11">
      <c r="A8860" s="12">
        <v>42748</v>
      </c>
      <c r="B8860">
        <v>2017</v>
      </c>
      <c r="C8860">
        <v>1</v>
      </c>
      <c r="D8860" s="11">
        <v>42736</v>
      </c>
      <c r="E8860" t="s">
        <v>2173</v>
      </c>
      <c r="F8860">
        <v>5</v>
      </c>
      <c r="G8860" t="s">
        <v>55</v>
      </c>
      <c r="H8860" t="s">
        <v>42</v>
      </c>
      <c r="I8860" t="s">
        <v>2190</v>
      </c>
      <c r="J8860" s="10">
        <v>9.541666666999999</v>
      </c>
      <c r="K8860" t="b">
        <v>1</v>
      </c>
    </row>
    <row r="8861" spans="1:11">
      <c r="A8861" s="12">
        <v>42748</v>
      </c>
      <c r="B8861">
        <v>2017</v>
      </c>
      <c r="C8861">
        <v>1</v>
      </c>
      <c r="D8861" s="11">
        <v>42736</v>
      </c>
      <c r="E8861" t="s">
        <v>2173</v>
      </c>
      <c r="F8861">
        <v>5</v>
      </c>
      <c r="G8861" t="s">
        <v>55</v>
      </c>
      <c r="H8861" t="s">
        <v>43</v>
      </c>
      <c r="I8861" t="s">
        <v>2191</v>
      </c>
      <c r="J8861" s="10">
        <v>54.41666667</v>
      </c>
      <c r="K8861" t="b">
        <v>1</v>
      </c>
    </row>
    <row r="8862" spans="1:11">
      <c r="A8862" s="12">
        <v>42748</v>
      </c>
      <c r="B8862">
        <v>2017</v>
      </c>
      <c r="C8862">
        <v>1</v>
      </c>
      <c r="D8862" s="11">
        <v>42736</v>
      </c>
      <c r="E8862" t="s">
        <v>2173</v>
      </c>
      <c r="F8862">
        <v>5</v>
      </c>
      <c r="G8862" t="s">
        <v>55</v>
      </c>
      <c r="H8862" t="s">
        <v>44</v>
      </c>
      <c r="I8862" t="s">
        <v>2192</v>
      </c>
      <c r="J8862" s="10">
        <v>19.58333333</v>
      </c>
      <c r="K8862" t="b">
        <v>1</v>
      </c>
    </row>
    <row r="8863" spans="1:11">
      <c r="A8863" s="12">
        <v>42748</v>
      </c>
      <c r="B8863">
        <v>2017</v>
      </c>
      <c r="C8863">
        <v>1</v>
      </c>
      <c r="D8863" s="11">
        <v>42736</v>
      </c>
      <c r="E8863" t="s">
        <v>2173</v>
      </c>
      <c r="F8863">
        <v>5</v>
      </c>
      <c r="G8863" t="s">
        <v>55</v>
      </c>
      <c r="H8863" t="s">
        <v>45</v>
      </c>
      <c r="I8863" t="s">
        <v>2193</v>
      </c>
      <c r="J8863" s="10">
        <v>0</v>
      </c>
      <c r="K8863" t="b">
        <v>1</v>
      </c>
    </row>
    <row r="8864" spans="1:11">
      <c r="A8864" s="12">
        <v>42748</v>
      </c>
      <c r="B8864">
        <v>2017</v>
      </c>
      <c r="C8864">
        <v>1</v>
      </c>
      <c r="D8864" s="11">
        <v>42736</v>
      </c>
      <c r="E8864" t="s">
        <v>2173</v>
      </c>
      <c r="F8864">
        <v>5</v>
      </c>
      <c r="G8864" t="s">
        <v>55</v>
      </c>
      <c r="H8864" t="s">
        <v>46</v>
      </c>
      <c r="I8864" t="s">
        <v>2194</v>
      </c>
      <c r="J8864" s="10">
        <v>3.333333333</v>
      </c>
      <c r="K8864" t="b">
        <v>1</v>
      </c>
    </row>
    <row r="8865" spans="1:11">
      <c r="A8865" s="12">
        <v>42748</v>
      </c>
      <c r="B8865">
        <v>2017</v>
      </c>
      <c r="C8865">
        <v>1</v>
      </c>
      <c r="D8865" s="11">
        <v>42736</v>
      </c>
      <c r="E8865" t="s">
        <v>2173</v>
      </c>
      <c r="F8865">
        <v>5</v>
      </c>
      <c r="G8865" t="s">
        <v>55</v>
      </c>
      <c r="H8865" t="s">
        <v>47</v>
      </c>
      <c r="I8865" t="s">
        <v>2195</v>
      </c>
      <c r="J8865" s="10">
        <v>1.333333333</v>
      </c>
      <c r="K8865" t="b">
        <v>1</v>
      </c>
    </row>
    <row r="8866" spans="1:11">
      <c r="A8866" s="12">
        <v>42749</v>
      </c>
      <c r="B8866">
        <v>2017</v>
      </c>
      <c r="C8866">
        <v>1</v>
      </c>
      <c r="D8866" s="11">
        <v>42736</v>
      </c>
      <c r="E8866" t="s">
        <v>2173</v>
      </c>
      <c r="F8866">
        <v>6</v>
      </c>
      <c r="G8866" t="s">
        <v>57</v>
      </c>
      <c r="H8866" t="s">
        <v>40</v>
      </c>
      <c r="I8866" t="s">
        <v>2188</v>
      </c>
      <c r="J8866" s="10">
        <v>5.975</v>
      </c>
      <c r="K8866" t="b">
        <v>1</v>
      </c>
    </row>
    <row r="8867" spans="1:11">
      <c r="A8867" s="12">
        <v>42749</v>
      </c>
      <c r="B8867">
        <v>2017</v>
      </c>
      <c r="C8867">
        <v>1</v>
      </c>
      <c r="D8867" s="11">
        <v>42736</v>
      </c>
      <c r="E8867" t="s">
        <v>2173</v>
      </c>
      <c r="F8867">
        <v>6</v>
      </c>
      <c r="G8867" t="s">
        <v>57</v>
      </c>
      <c r="H8867" t="s">
        <v>41</v>
      </c>
      <c r="I8867" t="s">
        <v>2189</v>
      </c>
      <c r="J8867" s="10">
        <v>4.364583333</v>
      </c>
      <c r="K8867" t="b">
        <v>1</v>
      </c>
    </row>
    <row r="8868" spans="1:11">
      <c r="A8868" s="12">
        <v>42749</v>
      </c>
      <c r="B8868">
        <v>2017</v>
      </c>
      <c r="C8868">
        <v>1</v>
      </c>
      <c r="D8868" s="11">
        <v>42736</v>
      </c>
      <c r="E8868" t="s">
        <v>2173</v>
      </c>
      <c r="F8868">
        <v>6</v>
      </c>
      <c r="G8868" t="s">
        <v>57</v>
      </c>
      <c r="H8868" t="s">
        <v>42</v>
      </c>
      <c r="I8868" t="s">
        <v>2190</v>
      </c>
      <c r="J8868" s="10">
        <v>7.708333333</v>
      </c>
      <c r="K8868" t="b">
        <v>1</v>
      </c>
    </row>
    <row r="8869" spans="1:11">
      <c r="A8869" s="12">
        <v>42749</v>
      </c>
      <c r="B8869">
        <v>2017</v>
      </c>
      <c r="C8869">
        <v>1</v>
      </c>
      <c r="D8869" s="11">
        <v>42736</v>
      </c>
      <c r="E8869" t="s">
        <v>2173</v>
      </c>
      <c r="F8869">
        <v>6</v>
      </c>
      <c r="G8869" t="s">
        <v>57</v>
      </c>
      <c r="H8869" t="s">
        <v>43</v>
      </c>
      <c r="I8869" t="s">
        <v>2191</v>
      </c>
      <c r="J8869" s="10">
        <v>47.91666667</v>
      </c>
      <c r="K8869" t="b">
        <v>1</v>
      </c>
    </row>
    <row r="8870" spans="1:11">
      <c r="A8870" s="12">
        <v>42749</v>
      </c>
      <c r="B8870">
        <v>2017</v>
      </c>
      <c r="C8870">
        <v>1</v>
      </c>
      <c r="D8870" s="11">
        <v>42736</v>
      </c>
      <c r="E8870" t="s">
        <v>2173</v>
      </c>
      <c r="F8870">
        <v>6</v>
      </c>
      <c r="G8870" t="s">
        <v>57</v>
      </c>
      <c r="H8870" t="s">
        <v>44</v>
      </c>
      <c r="I8870" t="s">
        <v>2192</v>
      </c>
      <c r="J8870" s="10">
        <v>16.66666667</v>
      </c>
      <c r="K8870" t="b">
        <v>1</v>
      </c>
    </row>
    <row r="8871" spans="1:11">
      <c r="A8871" s="12">
        <v>42749</v>
      </c>
      <c r="B8871">
        <v>2017</v>
      </c>
      <c r="C8871">
        <v>1</v>
      </c>
      <c r="D8871" s="11">
        <v>42736</v>
      </c>
      <c r="E8871" t="s">
        <v>2173</v>
      </c>
      <c r="F8871">
        <v>6</v>
      </c>
      <c r="G8871" t="s">
        <v>57</v>
      </c>
      <c r="H8871" t="s">
        <v>45</v>
      </c>
      <c r="I8871" t="s">
        <v>2193</v>
      </c>
      <c r="J8871" s="10">
        <v>0.833333333</v>
      </c>
      <c r="K8871" t="b">
        <v>1</v>
      </c>
    </row>
    <row r="8872" spans="1:11">
      <c r="A8872" s="12">
        <v>42749</v>
      </c>
      <c r="B8872">
        <v>2017</v>
      </c>
      <c r="C8872">
        <v>1</v>
      </c>
      <c r="D8872" s="11">
        <v>42736</v>
      </c>
      <c r="E8872" t="s">
        <v>2173</v>
      </c>
      <c r="F8872">
        <v>6</v>
      </c>
      <c r="G8872" t="s">
        <v>57</v>
      </c>
      <c r="H8872" t="s">
        <v>46</v>
      </c>
      <c r="I8872" t="s">
        <v>2194</v>
      </c>
      <c r="J8872" s="10">
        <v>5.416666667</v>
      </c>
      <c r="K8872" t="b">
        <v>1</v>
      </c>
    </row>
    <row r="8873" spans="1:11">
      <c r="A8873" s="12">
        <v>42749</v>
      </c>
      <c r="B8873">
        <v>2017</v>
      </c>
      <c r="C8873">
        <v>1</v>
      </c>
      <c r="D8873" s="11">
        <v>42736</v>
      </c>
      <c r="E8873" t="s">
        <v>2173</v>
      </c>
      <c r="F8873">
        <v>6</v>
      </c>
      <c r="G8873" t="s">
        <v>57</v>
      </c>
      <c r="H8873" t="s">
        <v>47</v>
      </c>
      <c r="I8873" t="s">
        <v>2195</v>
      </c>
      <c r="J8873" s="10">
        <v>2.083333333</v>
      </c>
      <c r="K8873" t="b">
        <v>1</v>
      </c>
    </row>
    <row r="8874" spans="1:11">
      <c r="A8874" s="12">
        <v>42750</v>
      </c>
      <c r="B8874">
        <v>2017</v>
      </c>
      <c r="C8874">
        <v>1</v>
      </c>
      <c r="D8874" s="11">
        <v>42736</v>
      </c>
      <c r="E8874" t="s">
        <v>2173</v>
      </c>
      <c r="F8874">
        <v>7</v>
      </c>
      <c r="G8874" t="s">
        <v>59</v>
      </c>
      <c r="H8874" t="s">
        <v>40</v>
      </c>
      <c r="I8874" t="s">
        <v>2188</v>
      </c>
      <c r="J8874" s="10">
        <v>8.050000000000001</v>
      </c>
      <c r="K8874" t="b">
        <v>1</v>
      </c>
    </row>
    <row r="8875" spans="1:11">
      <c r="A8875" s="12">
        <v>42750</v>
      </c>
      <c r="B8875">
        <v>2017</v>
      </c>
      <c r="C8875">
        <v>1</v>
      </c>
      <c r="D8875" s="11">
        <v>42736</v>
      </c>
      <c r="E8875" t="s">
        <v>2173</v>
      </c>
      <c r="F8875">
        <v>7</v>
      </c>
      <c r="G8875" t="s">
        <v>59</v>
      </c>
      <c r="H8875" t="s">
        <v>41</v>
      </c>
      <c r="I8875" t="s">
        <v>2189</v>
      </c>
      <c r="J8875" s="10">
        <v>6.525</v>
      </c>
      <c r="K8875" t="b">
        <v>1</v>
      </c>
    </row>
    <row r="8876" spans="1:11">
      <c r="A8876" s="12">
        <v>42750</v>
      </c>
      <c r="B8876">
        <v>2017</v>
      </c>
      <c r="C8876">
        <v>1</v>
      </c>
      <c r="D8876" s="11">
        <v>42736</v>
      </c>
      <c r="E8876" t="s">
        <v>2173</v>
      </c>
      <c r="F8876">
        <v>7</v>
      </c>
      <c r="G8876" t="s">
        <v>59</v>
      </c>
      <c r="H8876" t="s">
        <v>42</v>
      </c>
      <c r="I8876" t="s">
        <v>2190</v>
      </c>
      <c r="J8876" s="10">
        <v>9.083333333000001</v>
      </c>
      <c r="K8876" t="b">
        <v>1</v>
      </c>
    </row>
    <row r="8877" spans="1:11">
      <c r="A8877" s="12">
        <v>42750</v>
      </c>
      <c r="B8877">
        <v>2017</v>
      </c>
      <c r="C8877">
        <v>1</v>
      </c>
      <c r="D8877" s="11">
        <v>42736</v>
      </c>
      <c r="E8877" t="s">
        <v>2173</v>
      </c>
      <c r="F8877">
        <v>7</v>
      </c>
      <c r="G8877" t="s">
        <v>59</v>
      </c>
      <c r="H8877" t="s">
        <v>43</v>
      </c>
      <c r="I8877" t="s">
        <v>2191</v>
      </c>
      <c r="J8877" s="10">
        <v>38.79166667</v>
      </c>
      <c r="K8877" t="b">
        <v>1</v>
      </c>
    </row>
    <row r="8878" spans="1:11">
      <c r="A8878" s="12">
        <v>42750</v>
      </c>
      <c r="B8878">
        <v>2017</v>
      </c>
      <c r="C8878">
        <v>1</v>
      </c>
      <c r="D8878" s="11">
        <v>42736</v>
      </c>
      <c r="E8878" t="s">
        <v>2173</v>
      </c>
      <c r="F8878">
        <v>7</v>
      </c>
      <c r="G8878" t="s">
        <v>59</v>
      </c>
      <c r="H8878" t="s">
        <v>44</v>
      </c>
      <c r="I8878" t="s">
        <v>2192</v>
      </c>
      <c r="J8878" s="10">
        <v>15.41666667</v>
      </c>
      <c r="K8878" t="b">
        <v>1</v>
      </c>
    </row>
    <row r="8879" spans="1:11">
      <c r="A8879" s="12">
        <v>42750</v>
      </c>
      <c r="B8879">
        <v>2017</v>
      </c>
      <c r="C8879">
        <v>1</v>
      </c>
      <c r="D8879" s="11">
        <v>42736</v>
      </c>
      <c r="E8879" t="s">
        <v>2173</v>
      </c>
      <c r="F8879">
        <v>7</v>
      </c>
      <c r="G8879" t="s">
        <v>59</v>
      </c>
      <c r="H8879" t="s">
        <v>45</v>
      </c>
      <c r="I8879" t="s">
        <v>2193</v>
      </c>
      <c r="J8879" s="10">
        <v>0</v>
      </c>
      <c r="K8879" t="b">
        <v>1</v>
      </c>
    </row>
    <row r="8880" spans="1:11">
      <c r="A8880" s="12">
        <v>42750</v>
      </c>
      <c r="B8880">
        <v>2017</v>
      </c>
      <c r="C8880">
        <v>1</v>
      </c>
      <c r="D8880" s="11">
        <v>42736</v>
      </c>
      <c r="E8880" t="s">
        <v>2173</v>
      </c>
      <c r="F8880">
        <v>7</v>
      </c>
      <c r="G8880" t="s">
        <v>59</v>
      </c>
      <c r="H8880" t="s">
        <v>46</v>
      </c>
      <c r="I8880" t="s">
        <v>2194</v>
      </c>
      <c r="J8880" s="10">
        <v>7.5</v>
      </c>
      <c r="K8880" t="b">
        <v>1</v>
      </c>
    </row>
    <row r="8881" spans="1:11">
      <c r="A8881" s="12">
        <v>42750</v>
      </c>
      <c r="B8881">
        <v>2017</v>
      </c>
      <c r="C8881">
        <v>1</v>
      </c>
      <c r="D8881" s="11">
        <v>42736</v>
      </c>
      <c r="E8881" t="s">
        <v>2173</v>
      </c>
      <c r="F8881">
        <v>7</v>
      </c>
      <c r="G8881" t="s">
        <v>59</v>
      </c>
      <c r="H8881" t="s">
        <v>47</v>
      </c>
      <c r="I8881" t="s">
        <v>2195</v>
      </c>
      <c r="J8881" s="10">
        <v>1.25</v>
      </c>
      <c r="K8881" t="b">
        <v>1</v>
      </c>
    </row>
    <row r="8882" spans="1:11">
      <c r="A8882" s="12">
        <v>42751</v>
      </c>
      <c r="B8882">
        <v>2017</v>
      </c>
      <c r="C8882">
        <v>1</v>
      </c>
      <c r="D8882" s="11">
        <v>42736</v>
      </c>
      <c r="E8882" t="s">
        <v>2173</v>
      </c>
      <c r="F8882">
        <v>1</v>
      </c>
      <c r="G8882" t="s">
        <v>61</v>
      </c>
      <c r="H8882" t="s">
        <v>40</v>
      </c>
      <c r="I8882" t="s">
        <v>2188</v>
      </c>
      <c r="J8882" s="10">
        <v>6.670833333</v>
      </c>
      <c r="K8882" t="b">
        <v>1</v>
      </c>
    </row>
    <row r="8883" spans="1:11">
      <c r="A8883" s="12">
        <v>42751</v>
      </c>
      <c r="B8883">
        <v>2017</v>
      </c>
      <c r="C8883">
        <v>1</v>
      </c>
      <c r="D8883" s="11">
        <v>42736</v>
      </c>
      <c r="E8883" t="s">
        <v>2173</v>
      </c>
      <c r="F8883">
        <v>1</v>
      </c>
      <c r="G8883" t="s">
        <v>61</v>
      </c>
      <c r="H8883" t="s">
        <v>41</v>
      </c>
      <c r="I8883" t="s">
        <v>2189</v>
      </c>
      <c r="J8883" s="10">
        <v>4.029166667</v>
      </c>
      <c r="K8883" t="b">
        <v>1</v>
      </c>
    </row>
    <row r="8884" spans="1:11">
      <c r="A8884" s="12">
        <v>42751</v>
      </c>
      <c r="B8884">
        <v>2017</v>
      </c>
      <c r="C8884">
        <v>1</v>
      </c>
      <c r="D8884" s="11">
        <v>42736</v>
      </c>
      <c r="E8884" t="s">
        <v>2173</v>
      </c>
      <c r="F8884">
        <v>1</v>
      </c>
      <c r="G8884" t="s">
        <v>61</v>
      </c>
      <c r="H8884" t="s">
        <v>42</v>
      </c>
      <c r="I8884" t="s">
        <v>2190</v>
      </c>
      <c r="J8884" s="10">
        <v>8.041666666999999</v>
      </c>
      <c r="K8884" t="b">
        <v>1</v>
      </c>
    </row>
    <row r="8885" spans="1:11">
      <c r="A8885" s="12">
        <v>42751</v>
      </c>
      <c r="B8885">
        <v>2017</v>
      </c>
      <c r="C8885">
        <v>1</v>
      </c>
      <c r="D8885" s="11">
        <v>42736</v>
      </c>
      <c r="E8885" t="s">
        <v>2173</v>
      </c>
      <c r="F8885">
        <v>1</v>
      </c>
      <c r="G8885" t="s">
        <v>61</v>
      </c>
      <c r="H8885" t="s">
        <v>43</v>
      </c>
      <c r="I8885" t="s">
        <v>2191</v>
      </c>
      <c r="J8885" s="10">
        <v>63.5625</v>
      </c>
      <c r="K8885" t="b">
        <v>1</v>
      </c>
    </row>
    <row r="8886" spans="1:11">
      <c r="A8886" s="12">
        <v>42751</v>
      </c>
      <c r="B8886">
        <v>2017</v>
      </c>
      <c r="C8886">
        <v>1</v>
      </c>
      <c r="D8886" s="11">
        <v>42736</v>
      </c>
      <c r="E8886" t="s">
        <v>2173</v>
      </c>
      <c r="F8886">
        <v>1</v>
      </c>
      <c r="G8886" t="s">
        <v>61</v>
      </c>
      <c r="H8886" t="s">
        <v>44</v>
      </c>
      <c r="I8886" t="s">
        <v>2192</v>
      </c>
      <c r="J8886" s="10">
        <v>12.5</v>
      </c>
      <c r="K8886" t="b">
        <v>1</v>
      </c>
    </row>
    <row r="8887" spans="1:11">
      <c r="A8887" s="12">
        <v>42751</v>
      </c>
      <c r="B8887">
        <v>2017</v>
      </c>
      <c r="C8887">
        <v>1</v>
      </c>
      <c r="D8887" s="11">
        <v>42736</v>
      </c>
      <c r="E8887" t="s">
        <v>2173</v>
      </c>
      <c r="F8887">
        <v>1</v>
      </c>
      <c r="G8887" t="s">
        <v>61</v>
      </c>
      <c r="H8887" t="s">
        <v>45</v>
      </c>
      <c r="I8887" t="s">
        <v>2193</v>
      </c>
      <c r="J8887" s="10">
        <v>0.416666667</v>
      </c>
      <c r="K8887" t="b">
        <v>1</v>
      </c>
    </row>
    <row r="8888" spans="1:11">
      <c r="A8888" s="12">
        <v>42751</v>
      </c>
      <c r="B8888">
        <v>2017</v>
      </c>
      <c r="C8888">
        <v>1</v>
      </c>
      <c r="D8888" s="11">
        <v>42736</v>
      </c>
      <c r="E8888" t="s">
        <v>2173</v>
      </c>
      <c r="F8888">
        <v>1</v>
      </c>
      <c r="G8888" t="s">
        <v>61</v>
      </c>
      <c r="H8888" t="s">
        <v>46</v>
      </c>
      <c r="I8888" t="s">
        <v>2194</v>
      </c>
      <c r="J8888" s="10">
        <v>7.083333333</v>
      </c>
      <c r="K8888" t="b">
        <v>1</v>
      </c>
    </row>
    <row r="8889" spans="1:11">
      <c r="A8889" s="12">
        <v>42751</v>
      </c>
      <c r="B8889">
        <v>2017</v>
      </c>
      <c r="C8889">
        <v>1</v>
      </c>
      <c r="D8889" s="11">
        <v>42736</v>
      </c>
      <c r="E8889" t="s">
        <v>2173</v>
      </c>
      <c r="F8889">
        <v>1</v>
      </c>
      <c r="G8889" t="s">
        <v>61</v>
      </c>
      <c r="H8889" t="s">
        <v>47</v>
      </c>
      <c r="I8889" t="s">
        <v>2195</v>
      </c>
      <c r="J8889" s="10">
        <v>2.083333333</v>
      </c>
      <c r="K8889" t="b">
        <v>1</v>
      </c>
    </row>
    <row r="8890" spans="1:11">
      <c r="A8890" s="12">
        <v>42752</v>
      </c>
      <c r="B8890">
        <v>2017</v>
      </c>
      <c r="C8890">
        <v>1</v>
      </c>
      <c r="D8890" s="11">
        <v>42736</v>
      </c>
      <c r="E8890" t="s">
        <v>2173</v>
      </c>
      <c r="F8890">
        <v>2</v>
      </c>
      <c r="G8890" t="s">
        <v>63</v>
      </c>
      <c r="H8890" t="s">
        <v>40</v>
      </c>
      <c r="I8890" t="s">
        <v>2188</v>
      </c>
      <c r="J8890" s="10">
        <v>7.225</v>
      </c>
      <c r="K8890" t="b">
        <v>1</v>
      </c>
    </row>
    <row r="8891" spans="1:11">
      <c r="A8891" s="12">
        <v>42752</v>
      </c>
      <c r="B8891">
        <v>2017</v>
      </c>
      <c r="C8891">
        <v>1</v>
      </c>
      <c r="D8891" s="11">
        <v>42736</v>
      </c>
      <c r="E8891" t="s">
        <v>2173</v>
      </c>
      <c r="F8891">
        <v>2</v>
      </c>
      <c r="G8891" t="s">
        <v>63</v>
      </c>
      <c r="H8891" t="s">
        <v>41</v>
      </c>
      <c r="I8891" t="s">
        <v>2189</v>
      </c>
      <c r="J8891" s="10">
        <v>4.139166667</v>
      </c>
      <c r="K8891" t="b">
        <v>1</v>
      </c>
    </row>
    <row r="8892" spans="1:11">
      <c r="A8892" s="12">
        <v>42752</v>
      </c>
      <c r="B8892">
        <v>2017</v>
      </c>
      <c r="C8892">
        <v>1</v>
      </c>
      <c r="D8892" s="11">
        <v>42736</v>
      </c>
      <c r="E8892" t="s">
        <v>2173</v>
      </c>
      <c r="F8892">
        <v>2</v>
      </c>
      <c r="G8892" t="s">
        <v>63</v>
      </c>
      <c r="H8892" t="s">
        <v>42</v>
      </c>
      <c r="I8892" t="s">
        <v>2190</v>
      </c>
      <c r="J8892" s="10">
        <v>5.291666667</v>
      </c>
      <c r="K8892" t="b">
        <v>1</v>
      </c>
    </row>
    <row r="8893" spans="1:11">
      <c r="A8893" s="12">
        <v>42752</v>
      </c>
      <c r="B8893">
        <v>2017</v>
      </c>
      <c r="C8893">
        <v>1</v>
      </c>
      <c r="D8893" s="11">
        <v>42736</v>
      </c>
      <c r="E8893" t="s">
        <v>2173</v>
      </c>
      <c r="F8893">
        <v>2</v>
      </c>
      <c r="G8893" t="s">
        <v>63</v>
      </c>
      <c r="H8893" t="s">
        <v>43</v>
      </c>
      <c r="I8893" t="s">
        <v>2191</v>
      </c>
      <c r="J8893" s="10">
        <v>48.45833333</v>
      </c>
      <c r="K8893" t="b">
        <v>1</v>
      </c>
    </row>
    <row r="8894" spans="1:11">
      <c r="A8894" s="12">
        <v>42752</v>
      </c>
      <c r="B8894">
        <v>2017</v>
      </c>
      <c r="C8894">
        <v>1</v>
      </c>
      <c r="D8894" s="11">
        <v>42736</v>
      </c>
      <c r="E8894" t="s">
        <v>2173</v>
      </c>
      <c r="F8894">
        <v>2</v>
      </c>
      <c r="G8894" t="s">
        <v>63</v>
      </c>
      <c r="H8894" t="s">
        <v>44</v>
      </c>
      <c r="I8894" t="s">
        <v>2192</v>
      </c>
      <c r="J8894" s="10">
        <v>13.33333333</v>
      </c>
      <c r="K8894" t="b">
        <v>1</v>
      </c>
    </row>
    <row r="8895" spans="1:11">
      <c r="A8895" s="12">
        <v>42752</v>
      </c>
      <c r="B8895">
        <v>2017</v>
      </c>
      <c r="C8895">
        <v>1</v>
      </c>
      <c r="D8895" s="11">
        <v>42736</v>
      </c>
      <c r="E8895" t="s">
        <v>2173</v>
      </c>
      <c r="F8895">
        <v>2</v>
      </c>
      <c r="G8895" t="s">
        <v>63</v>
      </c>
      <c r="H8895" t="s">
        <v>45</v>
      </c>
      <c r="I8895" t="s">
        <v>2193</v>
      </c>
      <c r="J8895" s="10">
        <v>1.666666667</v>
      </c>
      <c r="K8895" t="b">
        <v>1</v>
      </c>
    </row>
    <row r="8896" spans="1:11">
      <c r="A8896" s="12">
        <v>42752</v>
      </c>
      <c r="B8896">
        <v>2017</v>
      </c>
      <c r="C8896">
        <v>1</v>
      </c>
      <c r="D8896" s="11">
        <v>42736</v>
      </c>
      <c r="E8896" t="s">
        <v>2173</v>
      </c>
      <c r="F8896">
        <v>2</v>
      </c>
      <c r="G8896" t="s">
        <v>63</v>
      </c>
      <c r="H8896" t="s">
        <v>46</v>
      </c>
      <c r="I8896" t="s">
        <v>2194</v>
      </c>
      <c r="J8896" s="10">
        <v>3.75</v>
      </c>
      <c r="K8896" t="b">
        <v>1</v>
      </c>
    </row>
    <row r="8897" spans="1:11">
      <c r="A8897" s="12">
        <v>42752</v>
      </c>
      <c r="B8897">
        <v>2017</v>
      </c>
      <c r="C8897">
        <v>1</v>
      </c>
      <c r="D8897" s="11">
        <v>42736</v>
      </c>
      <c r="E8897" t="s">
        <v>2173</v>
      </c>
      <c r="F8897">
        <v>2</v>
      </c>
      <c r="G8897" t="s">
        <v>63</v>
      </c>
      <c r="H8897" t="s">
        <v>47</v>
      </c>
      <c r="I8897" t="s">
        <v>2195</v>
      </c>
      <c r="J8897" s="10">
        <v>2.5</v>
      </c>
      <c r="K8897" t="b">
        <v>1</v>
      </c>
    </row>
    <row r="8898" spans="1:11">
      <c r="A8898" s="12">
        <v>42753</v>
      </c>
      <c r="B8898">
        <v>2017</v>
      </c>
      <c r="C8898">
        <v>1</v>
      </c>
      <c r="D8898" s="11">
        <v>42736</v>
      </c>
      <c r="E8898" t="s">
        <v>2173</v>
      </c>
      <c r="F8898">
        <v>3</v>
      </c>
      <c r="G8898" t="s">
        <v>65</v>
      </c>
      <c r="H8898" t="s">
        <v>40</v>
      </c>
      <c r="I8898" t="s">
        <v>2188</v>
      </c>
      <c r="J8898" s="10">
        <v>6.741666667</v>
      </c>
      <c r="K8898" t="b">
        <v>1</v>
      </c>
    </row>
    <row r="8899" spans="1:11">
      <c r="A8899" s="12">
        <v>42753</v>
      </c>
      <c r="B8899">
        <v>2017</v>
      </c>
      <c r="C8899">
        <v>1</v>
      </c>
      <c r="D8899" s="11">
        <v>42736</v>
      </c>
      <c r="E8899" t="s">
        <v>2173</v>
      </c>
      <c r="F8899">
        <v>3</v>
      </c>
      <c r="G8899" t="s">
        <v>65</v>
      </c>
      <c r="H8899" t="s">
        <v>41</v>
      </c>
      <c r="I8899" t="s">
        <v>2189</v>
      </c>
      <c r="J8899" s="10">
        <v>4.445833333</v>
      </c>
      <c r="K8899" t="b">
        <v>1</v>
      </c>
    </row>
    <row r="8900" spans="1:11">
      <c r="A8900" s="12">
        <v>42753</v>
      </c>
      <c r="B8900">
        <v>2017</v>
      </c>
      <c r="C8900">
        <v>1</v>
      </c>
      <c r="D8900" s="11">
        <v>42736</v>
      </c>
      <c r="E8900" t="s">
        <v>2173</v>
      </c>
      <c r="F8900">
        <v>3</v>
      </c>
      <c r="G8900" t="s">
        <v>65</v>
      </c>
      <c r="H8900" t="s">
        <v>42</v>
      </c>
      <c r="I8900" t="s">
        <v>2190</v>
      </c>
      <c r="J8900" s="10">
        <v>6.5</v>
      </c>
      <c r="K8900" t="b">
        <v>1</v>
      </c>
    </row>
    <row r="8901" spans="1:11">
      <c r="A8901" s="12">
        <v>42753</v>
      </c>
      <c r="B8901">
        <v>2017</v>
      </c>
      <c r="C8901">
        <v>1</v>
      </c>
      <c r="D8901" s="11">
        <v>42736</v>
      </c>
      <c r="E8901" t="s">
        <v>2173</v>
      </c>
      <c r="F8901">
        <v>3</v>
      </c>
      <c r="G8901" t="s">
        <v>65</v>
      </c>
      <c r="H8901" t="s">
        <v>43</v>
      </c>
      <c r="I8901" t="s">
        <v>2191</v>
      </c>
      <c r="J8901" s="10">
        <v>45.95833333</v>
      </c>
      <c r="K8901" t="b">
        <v>1</v>
      </c>
    </row>
    <row r="8902" spans="1:11">
      <c r="A8902" s="12">
        <v>42753</v>
      </c>
      <c r="B8902">
        <v>2017</v>
      </c>
      <c r="C8902">
        <v>1</v>
      </c>
      <c r="D8902" s="11">
        <v>42736</v>
      </c>
      <c r="E8902" t="s">
        <v>2173</v>
      </c>
      <c r="F8902">
        <v>3</v>
      </c>
      <c r="G8902" t="s">
        <v>65</v>
      </c>
      <c r="H8902" t="s">
        <v>44</v>
      </c>
      <c r="I8902" t="s">
        <v>2192</v>
      </c>
      <c r="J8902" s="10">
        <v>16.66666667</v>
      </c>
      <c r="K8902" t="b">
        <v>1</v>
      </c>
    </row>
    <row r="8903" spans="1:11">
      <c r="A8903" s="12">
        <v>42753</v>
      </c>
      <c r="B8903">
        <v>2017</v>
      </c>
      <c r="C8903">
        <v>1</v>
      </c>
      <c r="D8903" s="11">
        <v>42736</v>
      </c>
      <c r="E8903" t="s">
        <v>2173</v>
      </c>
      <c r="F8903">
        <v>3</v>
      </c>
      <c r="G8903" t="s">
        <v>65</v>
      </c>
      <c r="H8903" t="s">
        <v>45</v>
      </c>
      <c r="I8903" t="s">
        <v>2193</v>
      </c>
      <c r="J8903" s="10">
        <v>1.25</v>
      </c>
      <c r="K8903" t="b">
        <v>1</v>
      </c>
    </row>
    <row r="8904" spans="1:11">
      <c r="A8904" s="12">
        <v>42753</v>
      </c>
      <c r="B8904">
        <v>2017</v>
      </c>
      <c r="C8904">
        <v>1</v>
      </c>
      <c r="D8904" s="11">
        <v>42736</v>
      </c>
      <c r="E8904" t="s">
        <v>2173</v>
      </c>
      <c r="F8904">
        <v>3</v>
      </c>
      <c r="G8904" t="s">
        <v>65</v>
      </c>
      <c r="H8904" t="s">
        <v>46</v>
      </c>
      <c r="I8904" t="s">
        <v>2194</v>
      </c>
      <c r="J8904" s="10">
        <v>5.833333333</v>
      </c>
      <c r="K8904" t="b">
        <v>1</v>
      </c>
    </row>
    <row r="8905" spans="1:11">
      <c r="A8905" s="12">
        <v>42753</v>
      </c>
      <c r="B8905">
        <v>2017</v>
      </c>
      <c r="C8905">
        <v>1</v>
      </c>
      <c r="D8905" s="11">
        <v>42736</v>
      </c>
      <c r="E8905" t="s">
        <v>2173</v>
      </c>
      <c r="F8905">
        <v>3</v>
      </c>
      <c r="G8905" t="s">
        <v>65</v>
      </c>
      <c r="H8905" t="s">
        <v>47</v>
      </c>
      <c r="I8905" t="s">
        <v>2195</v>
      </c>
      <c r="J8905" s="10">
        <v>0.833333333</v>
      </c>
      <c r="K8905" t="b">
        <v>1</v>
      </c>
    </row>
    <row r="8906" spans="1:11">
      <c r="A8906" s="12">
        <v>42754</v>
      </c>
      <c r="B8906">
        <v>2017</v>
      </c>
      <c r="C8906">
        <v>1</v>
      </c>
      <c r="D8906" s="11">
        <v>42736</v>
      </c>
      <c r="E8906" t="s">
        <v>2173</v>
      </c>
      <c r="F8906">
        <v>4</v>
      </c>
      <c r="G8906" t="s">
        <v>53</v>
      </c>
      <c r="H8906" t="s">
        <v>40</v>
      </c>
      <c r="I8906" t="s">
        <v>2188</v>
      </c>
      <c r="J8906" s="10">
        <v>5</v>
      </c>
      <c r="K8906" t="b">
        <v>1</v>
      </c>
    </row>
    <row r="8907" spans="1:11">
      <c r="A8907" s="12">
        <v>42754</v>
      </c>
      <c r="B8907">
        <v>2017</v>
      </c>
      <c r="C8907">
        <v>1</v>
      </c>
      <c r="D8907" s="11">
        <v>42736</v>
      </c>
      <c r="E8907" t="s">
        <v>2173</v>
      </c>
      <c r="F8907">
        <v>4</v>
      </c>
      <c r="G8907" t="s">
        <v>53</v>
      </c>
      <c r="H8907" t="s">
        <v>41</v>
      </c>
      <c r="I8907" t="s">
        <v>2189</v>
      </c>
      <c r="J8907" s="10">
        <v>5.7</v>
      </c>
      <c r="K8907" t="b">
        <v>1</v>
      </c>
    </row>
    <row r="8908" spans="1:11">
      <c r="A8908" s="12">
        <v>42754</v>
      </c>
      <c r="B8908">
        <v>2017</v>
      </c>
      <c r="C8908">
        <v>1</v>
      </c>
      <c r="D8908" s="11">
        <v>42736</v>
      </c>
      <c r="E8908" t="s">
        <v>2173</v>
      </c>
      <c r="F8908">
        <v>4</v>
      </c>
      <c r="G8908" t="s">
        <v>53</v>
      </c>
      <c r="H8908" t="s">
        <v>42</v>
      </c>
      <c r="I8908" t="s">
        <v>2190</v>
      </c>
      <c r="J8908" s="10">
        <v>7.833333333</v>
      </c>
      <c r="K8908" t="b">
        <v>1</v>
      </c>
    </row>
    <row r="8909" spans="1:11">
      <c r="A8909" s="12">
        <v>42754</v>
      </c>
      <c r="B8909">
        <v>2017</v>
      </c>
      <c r="C8909">
        <v>1</v>
      </c>
      <c r="D8909" s="11">
        <v>42736</v>
      </c>
      <c r="E8909" t="s">
        <v>2173</v>
      </c>
      <c r="F8909">
        <v>4</v>
      </c>
      <c r="G8909" t="s">
        <v>53</v>
      </c>
      <c r="H8909" t="s">
        <v>43</v>
      </c>
      <c r="I8909" t="s">
        <v>2191</v>
      </c>
      <c r="J8909" s="10">
        <v>37.75</v>
      </c>
      <c r="K8909" t="b">
        <v>1</v>
      </c>
    </row>
    <row r="8910" spans="1:11">
      <c r="A8910" s="12">
        <v>42754</v>
      </c>
      <c r="B8910">
        <v>2017</v>
      </c>
      <c r="C8910">
        <v>1</v>
      </c>
      <c r="D8910" s="11">
        <v>42736</v>
      </c>
      <c r="E8910" t="s">
        <v>2173</v>
      </c>
      <c r="F8910">
        <v>4</v>
      </c>
      <c r="G8910" t="s">
        <v>53</v>
      </c>
      <c r="H8910" t="s">
        <v>44</v>
      </c>
      <c r="I8910" t="s">
        <v>2192</v>
      </c>
      <c r="J8910" s="10">
        <v>15.83333333</v>
      </c>
      <c r="K8910" t="b">
        <v>1</v>
      </c>
    </row>
    <row r="8911" spans="1:11">
      <c r="A8911" s="12">
        <v>42754</v>
      </c>
      <c r="B8911">
        <v>2017</v>
      </c>
      <c r="C8911">
        <v>1</v>
      </c>
      <c r="D8911" s="11">
        <v>42736</v>
      </c>
      <c r="E8911" t="s">
        <v>2173</v>
      </c>
      <c r="F8911">
        <v>4</v>
      </c>
      <c r="G8911" t="s">
        <v>53</v>
      </c>
      <c r="H8911" t="s">
        <v>45</v>
      </c>
      <c r="I8911" t="s">
        <v>2193</v>
      </c>
      <c r="J8911" s="10">
        <v>0</v>
      </c>
      <c r="K8911" t="b">
        <v>1</v>
      </c>
    </row>
    <row r="8912" spans="1:11">
      <c r="A8912" s="12">
        <v>42754</v>
      </c>
      <c r="B8912">
        <v>2017</v>
      </c>
      <c r="C8912">
        <v>1</v>
      </c>
      <c r="D8912" s="11">
        <v>42736</v>
      </c>
      <c r="E8912" t="s">
        <v>2173</v>
      </c>
      <c r="F8912">
        <v>4</v>
      </c>
      <c r="G8912" t="s">
        <v>53</v>
      </c>
      <c r="H8912" t="s">
        <v>46</v>
      </c>
      <c r="I8912" t="s">
        <v>2194</v>
      </c>
      <c r="J8912" s="10">
        <v>2.5</v>
      </c>
      <c r="K8912" t="b">
        <v>1</v>
      </c>
    </row>
    <row r="8913" spans="1:11">
      <c r="A8913" s="12">
        <v>42754</v>
      </c>
      <c r="B8913">
        <v>2017</v>
      </c>
      <c r="C8913">
        <v>1</v>
      </c>
      <c r="D8913" s="11">
        <v>42736</v>
      </c>
      <c r="E8913" t="s">
        <v>2173</v>
      </c>
      <c r="F8913">
        <v>4</v>
      </c>
      <c r="G8913" t="s">
        <v>53</v>
      </c>
      <c r="H8913" t="s">
        <v>47</v>
      </c>
      <c r="I8913" t="s">
        <v>2195</v>
      </c>
      <c r="J8913" s="10">
        <v>3.333333333</v>
      </c>
      <c r="K8913" t="b">
        <v>1</v>
      </c>
    </row>
    <row r="8914" spans="1:11">
      <c r="A8914" s="12">
        <v>42755</v>
      </c>
      <c r="B8914">
        <v>2017</v>
      </c>
      <c r="C8914">
        <v>1</v>
      </c>
      <c r="D8914" s="11">
        <v>42736</v>
      </c>
      <c r="E8914" t="s">
        <v>2173</v>
      </c>
      <c r="F8914">
        <v>5</v>
      </c>
      <c r="G8914" t="s">
        <v>55</v>
      </c>
      <c r="H8914" t="s">
        <v>40</v>
      </c>
      <c r="I8914" t="s">
        <v>2188</v>
      </c>
      <c r="J8914" s="10">
        <v>3.608333333</v>
      </c>
      <c r="K8914" t="b">
        <v>1</v>
      </c>
    </row>
    <row r="8915" spans="1:11">
      <c r="A8915" s="12">
        <v>42755</v>
      </c>
      <c r="B8915">
        <v>2017</v>
      </c>
      <c r="C8915">
        <v>1</v>
      </c>
      <c r="D8915" s="11">
        <v>42736</v>
      </c>
      <c r="E8915" t="s">
        <v>2173</v>
      </c>
      <c r="F8915">
        <v>5</v>
      </c>
      <c r="G8915" t="s">
        <v>55</v>
      </c>
      <c r="H8915" t="s">
        <v>41</v>
      </c>
      <c r="I8915" t="s">
        <v>2189</v>
      </c>
      <c r="J8915" s="10">
        <v>4.73875</v>
      </c>
      <c r="K8915" t="b">
        <v>1</v>
      </c>
    </row>
    <row r="8916" spans="1:11">
      <c r="A8916" s="12">
        <v>42755</v>
      </c>
      <c r="B8916">
        <v>2017</v>
      </c>
      <c r="C8916">
        <v>1</v>
      </c>
      <c r="D8916" s="11">
        <v>42736</v>
      </c>
      <c r="E8916" t="s">
        <v>2173</v>
      </c>
      <c r="F8916">
        <v>5</v>
      </c>
      <c r="G8916" t="s">
        <v>55</v>
      </c>
      <c r="H8916" t="s">
        <v>42</v>
      </c>
      <c r="I8916" t="s">
        <v>2190</v>
      </c>
      <c r="J8916" s="10">
        <v>4.125</v>
      </c>
      <c r="K8916" t="b">
        <v>1</v>
      </c>
    </row>
    <row r="8917" spans="1:11">
      <c r="A8917" s="12">
        <v>42755</v>
      </c>
      <c r="B8917">
        <v>2017</v>
      </c>
      <c r="C8917">
        <v>1</v>
      </c>
      <c r="D8917" s="11">
        <v>42736</v>
      </c>
      <c r="E8917" t="s">
        <v>2173</v>
      </c>
      <c r="F8917">
        <v>5</v>
      </c>
      <c r="G8917" t="s">
        <v>55</v>
      </c>
      <c r="H8917" t="s">
        <v>43</v>
      </c>
      <c r="I8917" t="s">
        <v>2191</v>
      </c>
      <c r="J8917" s="10">
        <v>37.625</v>
      </c>
      <c r="K8917" t="b">
        <v>1</v>
      </c>
    </row>
    <row r="8918" spans="1:11">
      <c r="A8918" s="12">
        <v>42755</v>
      </c>
      <c r="B8918">
        <v>2017</v>
      </c>
      <c r="C8918">
        <v>1</v>
      </c>
      <c r="D8918" s="11">
        <v>42736</v>
      </c>
      <c r="E8918" t="s">
        <v>2173</v>
      </c>
      <c r="F8918">
        <v>5</v>
      </c>
      <c r="G8918" t="s">
        <v>55</v>
      </c>
      <c r="H8918" t="s">
        <v>44</v>
      </c>
      <c r="I8918" t="s">
        <v>2192</v>
      </c>
      <c r="J8918" s="10">
        <v>23.33333333</v>
      </c>
      <c r="K8918" t="b">
        <v>1</v>
      </c>
    </row>
    <row r="8919" spans="1:11">
      <c r="A8919" s="12">
        <v>42755</v>
      </c>
      <c r="B8919">
        <v>2017</v>
      </c>
      <c r="C8919">
        <v>1</v>
      </c>
      <c r="D8919" s="11">
        <v>42736</v>
      </c>
      <c r="E8919" t="s">
        <v>2173</v>
      </c>
      <c r="F8919">
        <v>5</v>
      </c>
      <c r="G8919" t="s">
        <v>55</v>
      </c>
      <c r="H8919" t="s">
        <v>45</v>
      </c>
      <c r="I8919" t="s">
        <v>2193</v>
      </c>
      <c r="J8919" s="10">
        <v>2.916666667</v>
      </c>
      <c r="K8919" t="b">
        <v>1</v>
      </c>
    </row>
    <row r="8920" spans="1:11">
      <c r="A8920" s="12">
        <v>42755</v>
      </c>
      <c r="B8920">
        <v>2017</v>
      </c>
      <c r="C8920">
        <v>1</v>
      </c>
      <c r="D8920" s="11">
        <v>42736</v>
      </c>
      <c r="E8920" t="s">
        <v>2173</v>
      </c>
      <c r="F8920">
        <v>5</v>
      </c>
      <c r="G8920" t="s">
        <v>55</v>
      </c>
      <c r="H8920" t="s">
        <v>46</v>
      </c>
      <c r="I8920" t="s">
        <v>2194</v>
      </c>
      <c r="J8920" s="10">
        <v>12.5</v>
      </c>
      <c r="K8920" t="b">
        <v>1</v>
      </c>
    </row>
    <row r="8921" spans="1:11">
      <c r="A8921" s="12">
        <v>42755</v>
      </c>
      <c r="B8921">
        <v>2017</v>
      </c>
      <c r="C8921">
        <v>1</v>
      </c>
      <c r="D8921" s="11">
        <v>42736</v>
      </c>
      <c r="E8921" t="s">
        <v>2173</v>
      </c>
      <c r="F8921">
        <v>5</v>
      </c>
      <c r="G8921" t="s">
        <v>55</v>
      </c>
      <c r="H8921" t="s">
        <v>47</v>
      </c>
      <c r="I8921" t="s">
        <v>2195</v>
      </c>
      <c r="J8921" s="10">
        <v>2.5</v>
      </c>
      <c r="K8921" t="b">
        <v>1</v>
      </c>
    </row>
    <row r="8922" spans="1:11">
      <c r="A8922" s="12">
        <v>42756</v>
      </c>
      <c r="B8922">
        <v>2017</v>
      </c>
      <c r="C8922">
        <v>1</v>
      </c>
      <c r="D8922" s="11">
        <v>42736</v>
      </c>
      <c r="E8922" t="s">
        <v>2173</v>
      </c>
      <c r="F8922">
        <v>6</v>
      </c>
      <c r="G8922" t="s">
        <v>57</v>
      </c>
      <c r="H8922" t="s">
        <v>40</v>
      </c>
      <c r="I8922" t="s">
        <v>2188</v>
      </c>
      <c r="J8922" s="10">
        <v>5.695833333</v>
      </c>
      <c r="K8922" t="b">
        <v>1</v>
      </c>
    </row>
    <row r="8923" spans="1:11">
      <c r="A8923" s="12">
        <v>42756</v>
      </c>
      <c r="B8923">
        <v>2017</v>
      </c>
      <c r="C8923">
        <v>1</v>
      </c>
      <c r="D8923" s="11">
        <v>42736</v>
      </c>
      <c r="E8923" t="s">
        <v>2173</v>
      </c>
      <c r="F8923">
        <v>6</v>
      </c>
      <c r="G8923" t="s">
        <v>57</v>
      </c>
      <c r="H8923" t="s">
        <v>41</v>
      </c>
      <c r="I8923" t="s">
        <v>2189</v>
      </c>
      <c r="J8923" s="10">
        <v>2.4</v>
      </c>
      <c r="K8923" t="b">
        <v>1</v>
      </c>
    </row>
    <row r="8924" spans="1:11">
      <c r="A8924" s="12">
        <v>42756</v>
      </c>
      <c r="B8924">
        <v>2017</v>
      </c>
      <c r="C8924">
        <v>1</v>
      </c>
      <c r="D8924" s="11">
        <v>42736</v>
      </c>
      <c r="E8924" t="s">
        <v>2173</v>
      </c>
      <c r="F8924">
        <v>6</v>
      </c>
      <c r="G8924" t="s">
        <v>57</v>
      </c>
      <c r="H8924" t="s">
        <v>42</v>
      </c>
      <c r="I8924" t="s">
        <v>2190</v>
      </c>
      <c r="J8924" s="10">
        <v>4.583333333</v>
      </c>
      <c r="K8924" t="b">
        <v>1</v>
      </c>
    </row>
    <row r="8925" spans="1:11">
      <c r="A8925" s="12">
        <v>42756</v>
      </c>
      <c r="B8925">
        <v>2017</v>
      </c>
      <c r="C8925">
        <v>1</v>
      </c>
      <c r="D8925" s="11">
        <v>42736</v>
      </c>
      <c r="E8925" t="s">
        <v>2173</v>
      </c>
      <c r="F8925">
        <v>6</v>
      </c>
      <c r="G8925" t="s">
        <v>57</v>
      </c>
      <c r="H8925" t="s">
        <v>43</v>
      </c>
      <c r="I8925" t="s">
        <v>2191</v>
      </c>
      <c r="J8925" s="10">
        <v>50.20833333</v>
      </c>
      <c r="K8925" t="b">
        <v>1</v>
      </c>
    </row>
    <row r="8926" spans="1:11">
      <c r="A8926" s="12">
        <v>42756</v>
      </c>
      <c r="B8926">
        <v>2017</v>
      </c>
      <c r="C8926">
        <v>1</v>
      </c>
      <c r="D8926" s="11">
        <v>42736</v>
      </c>
      <c r="E8926" t="s">
        <v>2173</v>
      </c>
      <c r="F8926">
        <v>6</v>
      </c>
      <c r="G8926" t="s">
        <v>57</v>
      </c>
      <c r="H8926" t="s">
        <v>44</v>
      </c>
      <c r="I8926" t="s">
        <v>2192</v>
      </c>
      <c r="J8926" s="10">
        <v>15</v>
      </c>
      <c r="K8926" t="b">
        <v>1</v>
      </c>
    </row>
    <row r="8927" spans="1:11">
      <c r="A8927" s="12">
        <v>42756</v>
      </c>
      <c r="B8927">
        <v>2017</v>
      </c>
      <c r="C8927">
        <v>1</v>
      </c>
      <c r="D8927" s="11">
        <v>42736</v>
      </c>
      <c r="E8927" t="s">
        <v>2173</v>
      </c>
      <c r="F8927">
        <v>6</v>
      </c>
      <c r="G8927" t="s">
        <v>57</v>
      </c>
      <c r="H8927" t="s">
        <v>45</v>
      </c>
      <c r="I8927" t="s">
        <v>2193</v>
      </c>
      <c r="J8927" s="10">
        <v>2.083333333</v>
      </c>
      <c r="K8927" t="b">
        <v>1</v>
      </c>
    </row>
    <row r="8928" spans="1:11">
      <c r="A8928" s="12">
        <v>42756</v>
      </c>
      <c r="B8928">
        <v>2017</v>
      </c>
      <c r="C8928">
        <v>1</v>
      </c>
      <c r="D8928" s="11">
        <v>42736</v>
      </c>
      <c r="E8928" t="s">
        <v>2173</v>
      </c>
      <c r="F8928">
        <v>6</v>
      </c>
      <c r="G8928" t="s">
        <v>57</v>
      </c>
      <c r="H8928" t="s">
        <v>46</v>
      </c>
      <c r="I8928" t="s">
        <v>2194</v>
      </c>
      <c r="J8928" s="10">
        <v>4.583333333</v>
      </c>
      <c r="K8928" t="b">
        <v>1</v>
      </c>
    </row>
    <row r="8929" spans="1:11">
      <c r="A8929" s="12">
        <v>42756</v>
      </c>
      <c r="B8929">
        <v>2017</v>
      </c>
      <c r="C8929">
        <v>1</v>
      </c>
      <c r="D8929" s="11">
        <v>42736</v>
      </c>
      <c r="E8929" t="s">
        <v>2173</v>
      </c>
      <c r="F8929">
        <v>6</v>
      </c>
      <c r="G8929" t="s">
        <v>57</v>
      </c>
      <c r="H8929" t="s">
        <v>47</v>
      </c>
      <c r="I8929" t="s">
        <v>2195</v>
      </c>
      <c r="J8929" s="10">
        <v>2.916666667</v>
      </c>
      <c r="K8929" t="b">
        <v>1</v>
      </c>
    </row>
    <row r="8930" spans="1:11">
      <c r="A8930" s="12">
        <v>42757</v>
      </c>
      <c r="B8930">
        <v>2017</v>
      </c>
      <c r="C8930">
        <v>1</v>
      </c>
      <c r="D8930" s="11">
        <v>42736</v>
      </c>
      <c r="E8930" t="s">
        <v>2173</v>
      </c>
      <c r="F8930">
        <v>7</v>
      </c>
      <c r="G8930" t="s">
        <v>59</v>
      </c>
      <c r="H8930" t="s">
        <v>40</v>
      </c>
      <c r="I8930" t="s">
        <v>2188</v>
      </c>
      <c r="J8930" s="10">
        <v>4.5125</v>
      </c>
      <c r="K8930" t="b">
        <v>1</v>
      </c>
    </row>
    <row r="8931" spans="1:11">
      <c r="A8931" s="12">
        <v>42757</v>
      </c>
      <c r="B8931">
        <v>2017</v>
      </c>
      <c r="C8931">
        <v>1</v>
      </c>
      <c r="D8931" s="11">
        <v>42736</v>
      </c>
      <c r="E8931" t="s">
        <v>2173</v>
      </c>
      <c r="F8931">
        <v>7</v>
      </c>
      <c r="G8931" t="s">
        <v>59</v>
      </c>
      <c r="H8931" t="s">
        <v>41</v>
      </c>
      <c r="I8931" t="s">
        <v>2189</v>
      </c>
      <c r="J8931" s="10">
        <v>5.0075</v>
      </c>
      <c r="K8931" t="b">
        <v>1</v>
      </c>
    </row>
    <row r="8932" spans="1:11">
      <c r="A8932" s="12">
        <v>42757</v>
      </c>
      <c r="B8932">
        <v>2017</v>
      </c>
      <c r="C8932">
        <v>1</v>
      </c>
      <c r="D8932" s="11">
        <v>42736</v>
      </c>
      <c r="E8932" t="s">
        <v>2173</v>
      </c>
      <c r="F8932">
        <v>7</v>
      </c>
      <c r="G8932" t="s">
        <v>59</v>
      </c>
      <c r="H8932" t="s">
        <v>42</v>
      </c>
      <c r="I8932" t="s">
        <v>2190</v>
      </c>
      <c r="J8932" s="10">
        <v>5.125</v>
      </c>
      <c r="K8932" t="b">
        <v>1</v>
      </c>
    </row>
    <row r="8933" spans="1:11">
      <c r="A8933" s="12">
        <v>42757</v>
      </c>
      <c r="B8933">
        <v>2017</v>
      </c>
      <c r="C8933">
        <v>1</v>
      </c>
      <c r="D8933" s="11">
        <v>42736</v>
      </c>
      <c r="E8933" t="s">
        <v>2173</v>
      </c>
      <c r="F8933">
        <v>7</v>
      </c>
      <c r="G8933" t="s">
        <v>59</v>
      </c>
      <c r="H8933" t="s">
        <v>43</v>
      </c>
      <c r="I8933" t="s">
        <v>2191</v>
      </c>
      <c r="J8933" s="10">
        <v>37.02083333</v>
      </c>
      <c r="K8933" t="b">
        <v>1</v>
      </c>
    </row>
    <row r="8934" spans="1:11">
      <c r="A8934" s="12">
        <v>42757</v>
      </c>
      <c r="B8934">
        <v>2017</v>
      </c>
      <c r="C8934">
        <v>1</v>
      </c>
      <c r="D8934" s="11">
        <v>42736</v>
      </c>
      <c r="E8934" t="s">
        <v>2173</v>
      </c>
      <c r="F8934">
        <v>7</v>
      </c>
      <c r="G8934" t="s">
        <v>59</v>
      </c>
      <c r="H8934" t="s">
        <v>44</v>
      </c>
      <c r="I8934" t="s">
        <v>2192</v>
      </c>
      <c r="J8934" s="10">
        <v>19.16666667</v>
      </c>
      <c r="K8934" t="b">
        <v>1</v>
      </c>
    </row>
    <row r="8935" spans="1:11">
      <c r="A8935" s="12">
        <v>42757</v>
      </c>
      <c r="B8935">
        <v>2017</v>
      </c>
      <c r="C8935">
        <v>1</v>
      </c>
      <c r="D8935" s="11">
        <v>42736</v>
      </c>
      <c r="E8935" t="s">
        <v>2173</v>
      </c>
      <c r="F8935">
        <v>7</v>
      </c>
      <c r="G8935" t="s">
        <v>59</v>
      </c>
      <c r="H8935" t="s">
        <v>45</v>
      </c>
      <c r="I8935" t="s">
        <v>2193</v>
      </c>
      <c r="J8935" s="10">
        <v>1.25</v>
      </c>
      <c r="K8935" t="b">
        <v>1</v>
      </c>
    </row>
    <row r="8936" spans="1:11">
      <c r="A8936" s="12">
        <v>42757</v>
      </c>
      <c r="B8936">
        <v>2017</v>
      </c>
      <c r="C8936">
        <v>1</v>
      </c>
      <c r="D8936" s="11">
        <v>42736</v>
      </c>
      <c r="E8936" t="s">
        <v>2173</v>
      </c>
      <c r="F8936">
        <v>7</v>
      </c>
      <c r="G8936" t="s">
        <v>59</v>
      </c>
      <c r="H8936" t="s">
        <v>46</v>
      </c>
      <c r="I8936" t="s">
        <v>2194</v>
      </c>
      <c r="J8936" s="10">
        <v>9.166666666999999</v>
      </c>
      <c r="K8936" t="b">
        <v>1</v>
      </c>
    </row>
    <row r="8937" spans="1:11">
      <c r="A8937" s="12">
        <v>42757</v>
      </c>
      <c r="B8937">
        <v>2017</v>
      </c>
      <c r="C8937">
        <v>1</v>
      </c>
      <c r="D8937" s="11">
        <v>42736</v>
      </c>
      <c r="E8937" t="s">
        <v>2173</v>
      </c>
      <c r="F8937">
        <v>7</v>
      </c>
      <c r="G8937" t="s">
        <v>59</v>
      </c>
      <c r="H8937" t="s">
        <v>47</v>
      </c>
      <c r="I8937" t="s">
        <v>2195</v>
      </c>
      <c r="J8937" s="10">
        <v>1.666666667</v>
      </c>
      <c r="K8937" t="b">
        <v>1</v>
      </c>
    </row>
    <row r="8938" spans="1:11">
      <c r="A8938" s="12">
        <v>42758</v>
      </c>
      <c r="B8938">
        <v>2017</v>
      </c>
      <c r="C8938">
        <v>1</v>
      </c>
      <c r="D8938" s="11">
        <v>42736</v>
      </c>
      <c r="E8938" t="s">
        <v>2173</v>
      </c>
      <c r="F8938">
        <v>1</v>
      </c>
      <c r="G8938" t="s">
        <v>61</v>
      </c>
      <c r="H8938" t="s">
        <v>40</v>
      </c>
      <c r="I8938" t="s">
        <v>2188</v>
      </c>
      <c r="J8938" s="10">
        <v>5.1375</v>
      </c>
      <c r="K8938" t="b">
        <v>1</v>
      </c>
    </row>
    <row r="8939" spans="1:11">
      <c r="A8939" s="12">
        <v>42758</v>
      </c>
      <c r="B8939">
        <v>2017</v>
      </c>
      <c r="C8939">
        <v>1</v>
      </c>
      <c r="D8939" s="11">
        <v>42736</v>
      </c>
      <c r="E8939" t="s">
        <v>2173</v>
      </c>
      <c r="F8939">
        <v>1</v>
      </c>
      <c r="G8939" t="s">
        <v>61</v>
      </c>
      <c r="H8939" t="s">
        <v>41</v>
      </c>
      <c r="I8939" t="s">
        <v>2189</v>
      </c>
      <c r="J8939" s="10">
        <v>4.505</v>
      </c>
      <c r="K8939" t="b">
        <v>1</v>
      </c>
    </row>
    <row r="8940" spans="1:11">
      <c r="A8940" s="12">
        <v>42758</v>
      </c>
      <c r="B8940">
        <v>2017</v>
      </c>
      <c r="C8940">
        <v>1</v>
      </c>
      <c r="D8940" s="11">
        <v>42736</v>
      </c>
      <c r="E8940" t="s">
        <v>2173</v>
      </c>
      <c r="F8940">
        <v>1</v>
      </c>
      <c r="G8940" t="s">
        <v>61</v>
      </c>
      <c r="H8940" t="s">
        <v>42</v>
      </c>
      <c r="I8940" t="s">
        <v>2190</v>
      </c>
      <c r="J8940" s="10">
        <v>6.291666667</v>
      </c>
      <c r="K8940" t="b">
        <v>1</v>
      </c>
    </row>
    <row r="8941" spans="1:11">
      <c r="A8941" s="12">
        <v>42758</v>
      </c>
      <c r="B8941">
        <v>2017</v>
      </c>
      <c r="C8941">
        <v>1</v>
      </c>
      <c r="D8941" s="11">
        <v>42736</v>
      </c>
      <c r="E8941" t="s">
        <v>2173</v>
      </c>
      <c r="F8941">
        <v>1</v>
      </c>
      <c r="G8941" t="s">
        <v>61</v>
      </c>
      <c r="H8941" t="s">
        <v>43</v>
      </c>
      <c r="I8941" t="s">
        <v>2191</v>
      </c>
      <c r="J8941" s="10">
        <v>41.75</v>
      </c>
      <c r="K8941" t="b">
        <v>1</v>
      </c>
    </row>
    <row r="8942" spans="1:11">
      <c r="A8942" s="12">
        <v>42758</v>
      </c>
      <c r="B8942">
        <v>2017</v>
      </c>
      <c r="C8942">
        <v>1</v>
      </c>
      <c r="D8942" s="11">
        <v>42736</v>
      </c>
      <c r="E8942" t="s">
        <v>2173</v>
      </c>
      <c r="F8942">
        <v>1</v>
      </c>
      <c r="G8942" t="s">
        <v>61</v>
      </c>
      <c r="H8942" t="s">
        <v>44</v>
      </c>
      <c r="I8942" t="s">
        <v>2192</v>
      </c>
      <c r="J8942" s="10">
        <v>15.83333333</v>
      </c>
      <c r="K8942" t="b">
        <v>1</v>
      </c>
    </row>
    <row r="8943" spans="1:11">
      <c r="A8943" s="12">
        <v>42758</v>
      </c>
      <c r="B8943">
        <v>2017</v>
      </c>
      <c r="C8943">
        <v>1</v>
      </c>
      <c r="D8943" s="11">
        <v>42736</v>
      </c>
      <c r="E8943" t="s">
        <v>2173</v>
      </c>
      <c r="F8943">
        <v>1</v>
      </c>
      <c r="G8943" t="s">
        <v>61</v>
      </c>
      <c r="H8943" t="s">
        <v>45</v>
      </c>
      <c r="I8943" t="s">
        <v>2193</v>
      </c>
      <c r="J8943" s="10">
        <v>0.833333333</v>
      </c>
      <c r="K8943" t="b">
        <v>1</v>
      </c>
    </row>
    <row r="8944" spans="1:11">
      <c r="A8944" s="12">
        <v>42758</v>
      </c>
      <c r="B8944">
        <v>2017</v>
      </c>
      <c r="C8944">
        <v>1</v>
      </c>
      <c r="D8944" s="11">
        <v>42736</v>
      </c>
      <c r="E8944" t="s">
        <v>2173</v>
      </c>
      <c r="F8944">
        <v>1</v>
      </c>
      <c r="G8944" t="s">
        <v>61</v>
      </c>
      <c r="H8944" t="s">
        <v>46</v>
      </c>
      <c r="I8944" t="s">
        <v>2194</v>
      </c>
      <c r="J8944" s="10">
        <v>2.5</v>
      </c>
      <c r="K8944" t="b">
        <v>1</v>
      </c>
    </row>
    <row r="8945" spans="1:11">
      <c r="A8945" s="12">
        <v>42758</v>
      </c>
      <c r="B8945">
        <v>2017</v>
      </c>
      <c r="C8945">
        <v>1</v>
      </c>
      <c r="D8945" s="11">
        <v>42736</v>
      </c>
      <c r="E8945" t="s">
        <v>2173</v>
      </c>
      <c r="F8945">
        <v>1</v>
      </c>
      <c r="G8945" t="s">
        <v>61</v>
      </c>
      <c r="H8945" t="s">
        <v>47</v>
      </c>
      <c r="I8945" t="s">
        <v>2195</v>
      </c>
      <c r="J8945" s="10">
        <v>1.666666667</v>
      </c>
      <c r="K8945" t="b">
        <v>1</v>
      </c>
    </row>
    <row r="8946" spans="1:11">
      <c r="A8946" s="12">
        <v>42759</v>
      </c>
      <c r="B8946">
        <v>2017</v>
      </c>
      <c r="C8946">
        <v>1</v>
      </c>
      <c r="D8946" s="11">
        <v>42736</v>
      </c>
      <c r="E8946" t="s">
        <v>2173</v>
      </c>
      <c r="F8946">
        <v>2</v>
      </c>
      <c r="G8946" t="s">
        <v>63</v>
      </c>
      <c r="H8946" t="s">
        <v>40</v>
      </c>
      <c r="I8946" t="s">
        <v>2188</v>
      </c>
      <c r="J8946" s="10">
        <v>6.1125</v>
      </c>
      <c r="K8946" t="b">
        <v>1</v>
      </c>
    </row>
    <row r="8947" spans="1:11">
      <c r="A8947" s="12">
        <v>42759</v>
      </c>
      <c r="B8947">
        <v>2017</v>
      </c>
      <c r="C8947">
        <v>1</v>
      </c>
      <c r="D8947" s="11">
        <v>42736</v>
      </c>
      <c r="E8947" t="s">
        <v>2173</v>
      </c>
      <c r="F8947">
        <v>2</v>
      </c>
      <c r="G8947" t="s">
        <v>63</v>
      </c>
      <c r="H8947" t="s">
        <v>41</v>
      </c>
      <c r="I8947" t="s">
        <v>2189</v>
      </c>
      <c r="J8947" s="10">
        <v>5.770833333</v>
      </c>
      <c r="K8947" t="b">
        <v>1</v>
      </c>
    </row>
    <row r="8948" spans="1:11">
      <c r="A8948" s="12">
        <v>42759</v>
      </c>
      <c r="B8948">
        <v>2017</v>
      </c>
      <c r="C8948">
        <v>1</v>
      </c>
      <c r="D8948" s="11">
        <v>42736</v>
      </c>
      <c r="E8948" t="s">
        <v>2173</v>
      </c>
      <c r="F8948">
        <v>2</v>
      </c>
      <c r="G8948" t="s">
        <v>63</v>
      </c>
      <c r="H8948" t="s">
        <v>42</v>
      </c>
      <c r="I8948" t="s">
        <v>2190</v>
      </c>
      <c r="J8948" s="10">
        <v>10.95833333</v>
      </c>
      <c r="K8948" t="b">
        <v>1</v>
      </c>
    </row>
    <row r="8949" spans="1:11">
      <c r="A8949" s="12">
        <v>42759</v>
      </c>
      <c r="B8949">
        <v>2017</v>
      </c>
      <c r="C8949">
        <v>1</v>
      </c>
      <c r="D8949" s="11">
        <v>42736</v>
      </c>
      <c r="E8949" t="s">
        <v>2173</v>
      </c>
      <c r="F8949">
        <v>2</v>
      </c>
      <c r="G8949" t="s">
        <v>63</v>
      </c>
      <c r="H8949" t="s">
        <v>43</v>
      </c>
      <c r="I8949" t="s">
        <v>2191</v>
      </c>
      <c r="J8949" s="10">
        <v>40.08333333</v>
      </c>
      <c r="K8949" t="b">
        <v>1</v>
      </c>
    </row>
    <row r="8950" spans="1:11">
      <c r="A8950" s="12">
        <v>42759</v>
      </c>
      <c r="B8950">
        <v>2017</v>
      </c>
      <c r="C8950">
        <v>1</v>
      </c>
      <c r="D8950" s="11">
        <v>42736</v>
      </c>
      <c r="E8950" t="s">
        <v>2173</v>
      </c>
      <c r="F8950">
        <v>2</v>
      </c>
      <c r="G8950" t="s">
        <v>63</v>
      </c>
      <c r="H8950" t="s">
        <v>44</v>
      </c>
      <c r="I8950" t="s">
        <v>2192</v>
      </c>
      <c r="J8950" s="10">
        <v>11.25</v>
      </c>
      <c r="K8950" t="b">
        <v>1</v>
      </c>
    </row>
    <row r="8951" spans="1:11">
      <c r="A8951" s="12">
        <v>42759</v>
      </c>
      <c r="B8951">
        <v>2017</v>
      </c>
      <c r="C8951">
        <v>1</v>
      </c>
      <c r="D8951" s="11">
        <v>42736</v>
      </c>
      <c r="E8951" t="s">
        <v>2173</v>
      </c>
      <c r="F8951">
        <v>2</v>
      </c>
      <c r="G8951" t="s">
        <v>63</v>
      </c>
      <c r="H8951" t="s">
        <v>45</v>
      </c>
      <c r="I8951" t="s">
        <v>2193</v>
      </c>
      <c r="J8951" s="10">
        <v>0</v>
      </c>
      <c r="K8951" t="b">
        <v>1</v>
      </c>
    </row>
    <row r="8952" spans="1:11">
      <c r="A8952" s="12">
        <v>42759</v>
      </c>
      <c r="B8952">
        <v>2017</v>
      </c>
      <c r="C8952">
        <v>1</v>
      </c>
      <c r="D8952" s="11">
        <v>42736</v>
      </c>
      <c r="E8952" t="s">
        <v>2173</v>
      </c>
      <c r="F8952">
        <v>2</v>
      </c>
      <c r="G8952" t="s">
        <v>63</v>
      </c>
      <c r="H8952" t="s">
        <v>46</v>
      </c>
      <c r="I8952" t="s">
        <v>2194</v>
      </c>
      <c r="J8952" s="10">
        <v>10</v>
      </c>
      <c r="K8952" t="b">
        <v>1</v>
      </c>
    </row>
    <row r="8953" spans="1:11">
      <c r="A8953" s="12">
        <v>42759</v>
      </c>
      <c r="B8953">
        <v>2017</v>
      </c>
      <c r="C8953">
        <v>1</v>
      </c>
      <c r="D8953" s="11">
        <v>42736</v>
      </c>
      <c r="E8953" t="s">
        <v>2173</v>
      </c>
      <c r="F8953">
        <v>2</v>
      </c>
      <c r="G8953" t="s">
        <v>63</v>
      </c>
      <c r="H8953" t="s">
        <v>47</v>
      </c>
      <c r="I8953" t="s">
        <v>2195</v>
      </c>
      <c r="J8953" s="10">
        <v>2.916666667</v>
      </c>
      <c r="K8953" t="b">
        <v>1</v>
      </c>
    </row>
    <row r="8954" spans="1:11">
      <c r="A8954" s="12">
        <v>42760</v>
      </c>
      <c r="B8954">
        <v>2017</v>
      </c>
      <c r="C8954">
        <v>1</v>
      </c>
      <c r="D8954" s="11">
        <v>42736</v>
      </c>
      <c r="E8954" t="s">
        <v>2173</v>
      </c>
      <c r="F8954">
        <v>3</v>
      </c>
      <c r="G8954" t="s">
        <v>65</v>
      </c>
      <c r="H8954" t="s">
        <v>40</v>
      </c>
      <c r="I8954" t="s">
        <v>2188</v>
      </c>
      <c r="J8954" s="10">
        <v>7.779166667</v>
      </c>
      <c r="K8954" t="b">
        <v>1</v>
      </c>
    </row>
    <row r="8955" spans="1:11">
      <c r="A8955" s="12">
        <v>42760</v>
      </c>
      <c r="B8955">
        <v>2017</v>
      </c>
      <c r="C8955">
        <v>1</v>
      </c>
      <c r="D8955" s="11">
        <v>42736</v>
      </c>
      <c r="E8955" t="s">
        <v>2173</v>
      </c>
      <c r="F8955">
        <v>3</v>
      </c>
      <c r="G8955" t="s">
        <v>65</v>
      </c>
      <c r="H8955" t="s">
        <v>41</v>
      </c>
      <c r="I8955" t="s">
        <v>2189</v>
      </c>
      <c r="J8955" s="10">
        <v>5.108333333</v>
      </c>
      <c r="K8955" t="b">
        <v>1</v>
      </c>
    </row>
    <row r="8956" spans="1:11">
      <c r="A8956" s="12">
        <v>42760</v>
      </c>
      <c r="B8956">
        <v>2017</v>
      </c>
      <c r="C8956">
        <v>1</v>
      </c>
      <c r="D8956" s="11">
        <v>42736</v>
      </c>
      <c r="E8956" t="s">
        <v>2173</v>
      </c>
      <c r="F8956">
        <v>3</v>
      </c>
      <c r="G8956" t="s">
        <v>65</v>
      </c>
      <c r="H8956" t="s">
        <v>42</v>
      </c>
      <c r="I8956" t="s">
        <v>2190</v>
      </c>
      <c r="J8956" s="10">
        <v>7.666666667</v>
      </c>
      <c r="K8956" t="b">
        <v>1</v>
      </c>
    </row>
    <row r="8957" spans="1:11">
      <c r="A8957" s="12">
        <v>42760</v>
      </c>
      <c r="B8957">
        <v>2017</v>
      </c>
      <c r="C8957">
        <v>1</v>
      </c>
      <c r="D8957" s="11">
        <v>42736</v>
      </c>
      <c r="E8957" t="s">
        <v>2173</v>
      </c>
      <c r="F8957">
        <v>3</v>
      </c>
      <c r="G8957" t="s">
        <v>65</v>
      </c>
      <c r="H8957" t="s">
        <v>43</v>
      </c>
      <c r="I8957" t="s">
        <v>2191</v>
      </c>
      <c r="J8957" s="10">
        <v>51.1875</v>
      </c>
      <c r="K8957" t="b">
        <v>1</v>
      </c>
    </row>
    <row r="8958" spans="1:11">
      <c r="A8958" s="12">
        <v>42760</v>
      </c>
      <c r="B8958">
        <v>2017</v>
      </c>
      <c r="C8958">
        <v>1</v>
      </c>
      <c r="D8958" s="11">
        <v>42736</v>
      </c>
      <c r="E8958" t="s">
        <v>2173</v>
      </c>
      <c r="F8958">
        <v>3</v>
      </c>
      <c r="G8958" t="s">
        <v>65</v>
      </c>
      <c r="H8958" t="s">
        <v>44</v>
      </c>
      <c r="I8958" t="s">
        <v>2192</v>
      </c>
      <c r="J8958" s="10">
        <v>18.75</v>
      </c>
      <c r="K8958" t="b">
        <v>1</v>
      </c>
    </row>
    <row r="8959" spans="1:11">
      <c r="A8959" s="12">
        <v>42760</v>
      </c>
      <c r="B8959">
        <v>2017</v>
      </c>
      <c r="C8959">
        <v>1</v>
      </c>
      <c r="D8959" s="11">
        <v>42736</v>
      </c>
      <c r="E8959" t="s">
        <v>2173</v>
      </c>
      <c r="F8959">
        <v>3</v>
      </c>
      <c r="G8959" t="s">
        <v>65</v>
      </c>
      <c r="H8959" t="s">
        <v>45</v>
      </c>
      <c r="I8959" t="s">
        <v>2193</v>
      </c>
      <c r="J8959" s="10">
        <v>2.083333333</v>
      </c>
      <c r="K8959" t="b">
        <v>1</v>
      </c>
    </row>
    <row r="8960" spans="1:11">
      <c r="A8960" s="12">
        <v>42760</v>
      </c>
      <c r="B8960">
        <v>2017</v>
      </c>
      <c r="C8960">
        <v>1</v>
      </c>
      <c r="D8960" s="11">
        <v>42736</v>
      </c>
      <c r="E8960" t="s">
        <v>2173</v>
      </c>
      <c r="F8960">
        <v>3</v>
      </c>
      <c r="G8960" t="s">
        <v>65</v>
      </c>
      <c r="H8960" t="s">
        <v>46</v>
      </c>
      <c r="I8960" t="s">
        <v>2194</v>
      </c>
      <c r="J8960" s="10">
        <v>13.75</v>
      </c>
      <c r="K8960" t="b">
        <v>1</v>
      </c>
    </row>
    <row r="8961" spans="1:11">
      <c r="A8961" s="12">
        <v>42760</v>
      </c>
      <c r="B8961">
        <v>2017</v>
      </c>
      <c r="C8961">
        <v>1</v>
      </c>
      <c r="D8961" s="11">
        <v>42736</v>
      </c>
      <c r="E8961" t="s">
        <v>2173</v>
      </c>
      <c r="F8961">
        <v>3</v>
      </c>
      <c r="G8961" t="s">
        <v>65</v>
      </c>
      <c r="H8961" t="s">
        <v>47</v>
      </c>
      <c r="I8961" t="s">
        <v>2195</v>
      </c>
      <c r="J8961" s="10">
        <v>2.291666667</v>
      </c>
      <c r="K8961" t="b">
        <v>1</v>
      </c>
    </row>
    <row r="8962" spans="1:11">
      <c r="A8962" s="12">
        <v>42761</v>
      </c>
      <c r="B8962">
        <v>2017</v>
      </c>
      <c r="C8962">
        <v>1</v>
      </c>
      <c r="D8962" s="11">
        <v>42736</v>
      </c>
      <c r="E8962" t="s">
        <v>2173</v>
      </c>
      <c r="F8962">
        <v>4</v>
      </c>
      <c r="G8962" t="s">
        <v>53</v>
      </c>
      <c r="H8962" t="s">
        <v>40</v>
      </c>
      <c r="I8962" t="s">
        <v>2188</v>
      </c>
      <c r="J8962" s="10">
        <v>5.979166667</v>
      </c>
      <c r="K8962" t="b">
        <v>1</v>
      </c>
    </row>
    <row r="8963" spans="1:11">
      <c r="A8963" s="12">
        <v>42761</v>
      </c>
      <c r="B8963">
        <v>2017</v>
      </c>
      <c r="C8963">
        <v>1</v>
      </c>
      <c r="D8963" s="11">
        <v>42736</v>
      </c>
      <c r="E8963" t="s">
        <v>2173</v>
      </c>
      <c r="F8963">
        <v>4</v>
      </c>
      <c r="G8963" t="s">
        <v>53</v>
      </c>
      <c r="H8963" t="s">
        <v>41</v>
      </c>
      <c r="I8963" t="s">
        <v>2189</v>
      </c>
      <c r="J8963" s="10">
        <v>5.224583333</v>
      </c>
      <c r="K8963" t="b">
        <v>1</v>
      </c>
    </row>
    <row r="8964" spans="1:11">
      <c r="A8964" s="12">
        <v>42761</v>
      </c>
      <c r="B8964">
        <v>2017</v>
      </c>
      <c r="C8964">
        <v>1</v>
      </c>
      <c r="D8964" s="11">
        <v>42736</v>
      </c>
      <c r="E8964" t="s">
        <v>2173</v>
      </c>
      <c r="F8964">
        <v>4</v>
      </c>
      <c r="G8964" t="s">
        <v>53</v>
      </c>
      <c r="H8964" t="s">
        <v>42</v>
      </c>
      <c r="I8964" t="s">
        <v>2190</v>
      </c>
      <c r="J8964" s="10">
        <v>7.041666667</v>
      </c>
      <c r="K8964" t="b">
        <v>1</v>
      </c>
    </row>
    <row r="8965" spans="1:11">
      <c r="A8965" s="12">
        <v>42761</v>
      </c>
      <c r="B8965">
        <v>2017</v>
      </c>
      <c r="C8965">
        <v>1</v>
      </c>
      <c r="D8965" s="11">
        <v>42736</v>
      </c>
      <c r="E8965" t="s">
        <v>2173</v>
      </c>
      <c r="F8965">
        <v>4</v>
      </c>
      <c r="G8965" t="s">
        <v>53</v>
      </c>
      <c r="H8965" t="s">
        <v>43</v>
      </c>
      <c r="I8965" t="s">
        <v>2191</v>
      </c>
      <c r="J8965" s="10">
        <v>36.625</v>
      </c>
      <c r="K8965" t="b">
        <v>1</v>
      </c>
    </row>
    <row r="8966" spans="1:11">
      <c r="A8966" s="12">
        <v>42761</v>
      </c>
      <c r="B8966">
        <v>2017</v>
      </c>
      <c r="C8966">
        <v>1</v>
      </c>
      <c r="D8966" s="11">
        <v>42736</v>
      </c>
      <c r="E8966" t="s">
        <v>2173</v>
      </c>
      <c r="F8966">
        <v>4</v>
      </c>
      <c r="G8966" t="s">
        <v>53</v>
      </c>
      <c r="H8966" t="s">
        <v>44</v>
      </c>
      <c r="I8966" t="s">
        <v>2192</v>
      </c>
      <c r="J8966" s="10">
        <v>13.75</v>
      </c>
      <c r="K8966" t="b">
        <v>1</v>
      </c>
    </row>
    <row r="8967" spans="1:11">
      <c r="A8967" s="12">
        <v>42761</v>
      </c>
      <c r="B8967">
        <v>2017</v>
      </c>
      <c r="C8967">
        <v>1</v>
      </c>
      <c r="D8967" s="11">
        <v>42736</v>
      </c>
      <c r="E8967" t="s">
        <v>2173</v>
      </c>
      <c r="F8967">
        <v>4</v>
      </c>
      <c r="G8967" t="s">
        <v>53</v>
      </c>
      <c r="H8967" t="s">
        <v>45</v>
      </c>
      <c r="I8967" t="s">
        <v>2193</v>
      </c>
      <c r="J8967" s="10">
        <v>0.833333333</v>
      </c>
      <c r="K8967" t="b">
        <v>1</v>
      </c>
    </row>
    <row r="8968" spans="1:11">
      <c r="A8968" s="12">
        <v>42761</v>
      </c>
      <c r="B8968">
        <v>2017</v>
      </c>
      <c r="C8968">
        <v>1</v>
      </c>
      <c r="D8968" s="11">
        <v>42736</v>
      </c>
      <c r="E8968" t="s">
        <v>2173</v>
      </c>
      <c r="F8968">
        <v>4</v>
      </c>
      <c r="G8968" t="s">
        <v>53</v>
      </c>
      <c r="H8968" t="s">
        <v>46</v>
      </c>
      <c r="I8968" t="s">
        <v>2194</v>
      </c>
      <c r="J8968" s="10">
        <v>8.333333333000001</v>
      </c>
      <c r="K8968" t="b">
        <v>1</v>
      </c>
    </row>
    <row r="8969" spans="1:11">
      <c r="A8969" s="12">
        <v>42761</v>
      </c>
      <c r="B8969">
        <v>2017</v>
      </c>
      <c r="C8969">
        <v>1</v>
      </c>
      <c r="D8969" s="11">
        <v>42736</v>
      </c>
      <c r="E8969" t="s">
        <v>2173</v>
      </c>
      <c r="F8969">
        <v>4</v>
      </c>
      <c r="G8969" t="s">
        <v>53</v>
      </c>
      <c r="H8969" t="s">
        <v>47</v>
      </c>
      <c r="I8969" t="s">
        <v>2195</v>
      </c>
      <c r="J8969" s="10">
        <v>0</v>
      </c>
      <c r="K8969" t="b">
        <v>1</v>
      </c>
    </row>
    <row r="8970" spans="1:11">
      <c r="A8970" s="12">
        <v>42762</v>
      </c>
      <c r="B8970">
        <v>2017</v>
      </c>
      <c r="C8970">
        <v>1</v>
      </c>
      <c r="D8970" s="11">
        <v>42736</v>
      </c>
      <c r="E8970" t="s">
        <v>2173</v>
      </c>
      <c r="F8970">
        <v>5</v>
      </c>
      <c r="G8970" t="s">
        <v>55</v>
      </c>
      <c r="H8970" t="s">
        <v>40</v>
      </c>
      <c r="I8970" t="s">
        <v>2188</v>
      </c>
      <c r="J8970" s="10">
        <v>7.85</v>
      </c>
      <c r="K8970" t="b">
        <v>1</v>
      </c>
    </row>
    <row r="8971" spans="1:11">
      <c r="A8971" s="12">
        <v>42762</v>
      </c>
      <c r="B8971">
        <v>2017</v>
      </c>
      <c r="C8971">
        <v>1</v>
      </c>
      <c r="D8971" s="11">
        <v>42736</v>
      </c>
      <c r="E8971" t="s">
        <v>2173</v>
      </c>
      <c r="F8971">
        <v>5</v>
      </c>
      <c r="G8971" t="s">
        <v>55</v>
      </c>
      <c r="H8971" t="s">
        <v>41</v>
      </c>
      <c r="I8971" t="s">
        <v>2189</v>
      </c>
      <c r="J8971" s="10">
        <v>7.54125</v>
      </c>
      <c r="K8971" t="b">
        <v>1</v>
      </c>
    </row>
    <row r="8972" spans="1:11">
      <c r="A8972" s="12">
        <v>42762</v>
      </c>
      <c r="B8972">
        <v>2017</v>
      </c>
      <c r="C8972">
        <v>1</v>
      </c>
      <c r="D8972" s="11">
        <v>42736</v>
      </c>
      <c r="E8972" t="s">
        <v>2173</v>
      </c>
      <c r="F8972">
        <v>5</v>
      </c>
      <c r="G8972" t="s">
        <v>55</v>
      </c>
      <c r="H8972" t="s">
        <v>42</v>
      </c>
      <c r="I8972" t="s">
        <v>2190</v>
      </c>
      <c r="J8972" s="10">
        <v>5.166666667</v>
      </c>
      <c r="K8972" t="b">
        <v>1</v>
      </c>
    </row>
    <row r="8973" spans="1:11">
      <c r="A8973" s="12">
        <v>42762</v>
      </c>
      <c r="B8973">
        <v>2017</v>
      </c>
      <c r="C8973">
        <v>1</v>
      </c>
      <c r="D8973" s="11">
        <v>42736</v>
      </c>
      <c r="E8973" t="s">
        <v>2173</v>
      </c>
      <c r="F8973">
        <v>5</v>
      </c>
      <c r="G8973" t="s">
        <v>55</v>
      </c>
      <c r="H8973" t="s">
        <v>43</v>
      </c>
      <c r="I8973" t="s">
        <v>2191</v>
      </c>
      <c r="J8973" s="10">
        <v>42.60916667</v>
      </c>
      <c r="K8973" t="b">
        <v>1</v>
      </c>
    </row>
    <row r="8974" spans="1:11">
      <c r="A8974" s="12">
        <v>42762</v>
      </c>
      <c r="B8974">
        <v>2017</v>
      </c>
      <c r="C8974">
        <v>1</v>
      </c>
      <c r="D8974" s="11">
        <v>42736</v>
      </c>
      <c r="E8974" t="s">
        <v>2173</v>
      </c>
      <c r="F8974">
        <v>5</v>
      </c>
      <c r="G8974" t="s">
        <v>55</v>
      </c>
      <c r="H8974" t="s">
        <v>44</v>
      </c>
      <c r="I8974" t="s">
        <v>2192</v>
      </c>
      <c r="J8974" s="10">
        <v>21.25</v>
      </c>
      <c r="K8974" t="b">
        <v>1</v>
      </c>
    </row>
    <row r="8975" spans="1:11">
      <c r="A8975" s="12">
        <v>42762</v>
      </c>
      <c r="B8975">
        <v>2017</v>
      </c>
      <c r="C8975">
        <v>1</v>
      </c>
      <c r="D8975" s="11">
        <v>42736</v>
      </c>
      <c r="E8975" t="s">
        <v>2173</v>
      </c>
      <c r="F8975">
        <v>5</v>
      </c>
      <c r="G8975" t="s">
        <v>55</v>
      </c>
      <c r="H8975" t="s">
        <v>45</v>
      </c>
      <c r="I8975" t="s">
        <v>2193</v>
      </c>
      <c r="J8975" s="10">
        <v>2.083333333</v>
      </c>
      <c r="K8975" t="b">
        <v>1</v>
      </c>
    </row>
    <row r="8976" spans="1:11">
      <c r="A8976" s="12">
        <v>42762</v>
      </c>
      <c r="B8976">
        <v>2017</v>
      </c>
      <c r="C8976">
        <v>1</v>
      </c>
      <c r="D8976" s="11">
        <v>42736</v>
      </c>
      <c r="E8976" t="s">
        <v>2173</v>
      </c>
      <c r="F8976">
        <v>5</v>
      </c>
      <c r="G8976" t="s">
        <v>55</v>
      </c>
      <c r="H8976" t="s">
        <v>46</v>
      </c>
      <c r="I8976" t="s">
        <v>2194</v>
      </c>
      <c r="J8976" s="10">
        <v>9.583333333000001</v>
      </c>
      <c r="K8976" t="b">
        <v>1</v>
      </c>
    </row>
    <row r="8977" spans="1:11">
      <c r="A8977" s="12">
        <v>42762</v>
      </c>
      <c r="B8977">
        <v>2017</v>
      </c>
      <c r="C8977">
        <v>1</v>
      </c>
      <c r="D8977" s="11">
        <v>42736</v>
      </c>
      <c r="E8977" t="s">
        <v>2173</v>
      </c>
      <c r="F8977">
        <v>5</v>
      </c>
      <c r="G8977" t="s">
        <v>55</v>
      </c>
      <c r="H8977" t="s">
        <v>47</v>
      </c>
      <c r="I8977" t="s">
        <v>2195</v>
      </c>
      <c r="J8977" s="10">
        <v>1.25</v>
      </c>
      <c r="K8977" t="b">
        <v>1</v>
      </c>
    </row>
    <row r="8978" spans="1:11">
      <c r="A8978" s="12">
        <v>42763</v>
      </c>
      <c r="B8978">
        <v>2017</v>
      </c>
      <c r="C8978">
        <v>1</v>
      </c>
      <c r="D8978" s="11">
        <v>42736</v>
      </c>
      <c r="E8978" t="s">
        <v>2173</v>
      </c>
      <c r="F8978">
        <v>6</v>
      </c>
      <c r="G8978" t="s">
        <v>57</v>
      </c>
      <c r="H8978" t="s">
        <v>40</v>
      </c>
      <c r="I8978" t="s">
        <v>2188</v>
      </c>
      <c r="J8978" s="10">
        <v>5.970833333</v>
      </c>
      <c r="K8978" t="b">
        <v>1</v>
      </c>
    </row>
    <row r="8979" spans="1:11">
      <c r="A8979" s="12">
        <v>42763</v>
      </c>
      <c r="B8979">
        <v>2017</v>
      </c>
      <c r="C8979">
        <v>1</v>
      </c>
      <c r="D8979" s="11">
        <v>42736</v>
      </c>
      <c r="E8979" t="s">
        <v>2173</v>
      </c>
      <c r="F8979">
        <v>6</v>
      </c>
      <c r="G8979" t="s">
        <v>57</v>
      </c>
      <c r="H8979" t="s">
        <v>41</v>
      </c>
      <c r="I8979" t="s">
        <v>2189</v>
      </c>
      <c r="J8979" s="10">
        <v>6.1125</v>
      </c>
      <c r="K8979" t="b">
        <v>1</v>
      </c>
    </row>
    <row r="8980" spans="1:11">
      <c r="A8980" s="12">
        <v>42763</v>
      </c>
      <c r="B8980">
        <v>2017</v>
      </c>
      <c r="C8980">
        <v>1</v>
      </c>
      <c r="D8980" s="11">
        <v>42736</v>
      </c>
      <c r="E8980" t="s">
        <v>2173</v>
      </c>
      <c r="F8980">
        <v>6</v>
      </c>
      <c r="G8980" t="s">
        <v>57</v>
      </c>
      <c r="H8980" t="s">
        <v>42</v>
      </c>
      <c r="I8980" t="s">
        <v>2190</v>
      </c>
      <c r="J8980" s="10">
        <v>2.25</v>
      </c>
      <c r="K8980" t="b">
        <v>1</v>
      </c>
    </row>
    <row r="8981" spans="1:11">
      <c r="A8981" s="12">
        <v>42763</v>
      </c>
      <c r="B8981">
        <v>2017</v>
      </c>
      <c r="C8981">
        <v>1</v>
      </c>
      <c r="D8981" s="11">
        <v>42736</v>
      </c>
      <c r="E8981" t="s">
        <v>2173</v>
      </c>
      <c r="F8981">
        <v>6</v>
      </c>
      <c r="G8981" t="s">
        <v>57</v>
      </c>
      <c r="H8981" t="s">
        <v>43</v>
      </c>
      <c r="I8981" t="s">
        <v>2191</v>
      </c>
      <c r="J8981" s="10">
        <v>32.08333333</v>
      </c>
      <c r="K8981" t="b">
        <v>1</v>
      </c>
    </row>
    <row r="8982" spans="1:11">
      <c r="A8982" s="12">
        <v>42763</v>
      </c>
      <c r="B8982">
        <v>2017</v>
      </c>
      <c r="C8982">
        <v>1</v>
      </c>
      <c r="D8982" s="11">
        <v>42736</v>
      </c>
      <c r="E8982" t="s">
        <v>2173</v>
      </c>
      <c r="F8982">
        <v>6</v>
      </c>
      <c r="G8982" t="s">
        <v>57</v>
      </c>
      <c r="H8982" t="s">
        <v>44</v>
      </c>
      <c r="I8982" t="s">
        <v>2192</v>
      </c>
      <c r="J8982" s="10">
        <v>9.166666666999999</v>
      </c>
      <c r="K8982" t="b">
        <v>1</v>
      </c>
    </row>
    <row r="8983" spans="1:11">
      <c r="A8983" s="12">
        <v>42763</v>
      </c>
      <c r="B8983">
        <v>2017</v>
      </c>
      <c r="C8983">
        <v>1</v>
      </c>
      <c r="D8983" s="11">
        <v>42736</v>
      </c>
      <c r="E8983" t="s">
        <v>2173</v>
      </c>
      <c r="F8983">
        <v>6</v>
      </c>
      <c r="G8983" t="s">
        <v>57</v>
      </c>
      <c r="H8983" t="s">
        <v>45</v>
      </c>
      <c r="I8983" t="s">
        <v>2193</v>
      </c>
      <c r="J8983" s="10">
        <v>0</v>
      </c>
      <c r="K8983" t="b">
        <v>1</v>
      </c>
    </row>
    <row r="8984" spans="1:11">
      <c r="A8984" s="12">
        <v>42763</v>
      </c>
      <c r="B8984">
        <v>2017</v>
      </c>
      <c r="C8984">
        <v>1</v>
      </c>
      <c r="D8984" s="11">
        <v>42736</v>
      </c>
      <c r="E8984" t="s">
        <v>2173</v>
      </c>
      <c r="F8984">
        <v>6</v>
      </c>
      <c r="G8984" t="s">
        <v>57</v>
      </c>
      <c r="H8984" t="s">
        <v>46</v>
      </c>
      <c r="I8984" t="s">
        <v>2194</v>
      </c>
      <c r="J8984" s="10">
        <v>1.666666667</v>
      </c>
      <c r="K8984" t="b">
        <v>1</v>
      </c>
    </row>
    <row r="8985" spans="1:11">
      <c r="A8985" s="12">
        <v>42763</v>
      </c>
      <c r="B8985">
        <v>2017</v>
      </c>
      <c r="C8985">
        <v>1</v>
      </c>
      <c r="D8985" s="11">
        <v>42736</v>
      </c>
      <c r="E8985" t="s">
        <v>2173</v>
      </c>
      <c r="F8985">
        <v>6</v>
      </c>
      <c r="G8985" t="s">
        <v>57</v>
      </c>
      <c r="H8985" t="s">
        <v>47</v>
      </c>
      <c r="I8985" t="s">
        <v>2195</v>
      </c>
      <c r="J8985" s="10">
        <v>1.25</v>
      </c>
      <c r="K8985" t="b">
        <v>1</v>
      </c>
    </row>
    <row r="8986" spans="1:11">
      <c r="A8986" s="12">
        <v>42764</v>
      </c>
      <c r="B8986">
        <v>2017</v>
      </c>
      <c r="C8986">
        <v>1</v>
      </c>
      <c r="D8986" s="11">
        <v>42736</v>
      </c>
      <c r="E8986" t="s">
        <v>2173</v>
      </c>
      <c r="F8986">
        <v>7</v>
      </c>
      <c r="G8986" t="s">
        <v>59</v>
      </c>
      <c r="H8986" t="s">
        <v>40</v>
      </c>
      <c r="I8986" t="s">
        <v>2188</v>
      </c>
      <c r="J8986" s="10">
        <v>5.141666667</v>
      </c>
      <c r="K8986" t="b">
        <v>1</v>
      </c>
    </row>
    <row r="8987" spans="1:11">
      <c r="A8987" s="12">
        <v>42764</v>
      </c>
      <c r="B8987">
        <v>2017</v>
      </c>
      <c r="C8987">
        <v>1</v>
      </c>
      <c r="D8987" s="11">
        <v>42736</v>
      </c>
      <c r="E8987" t="s">
        <v>2173</v>
      </c>
      <c r="F8987">
        <v>7</v>
      </c>
      <c r="G8987" t="s">
        <v>59</v>
      </c>
      <c r="H8987" t="s">
        <v>41</v>
      </c>
      <c r="I8987" t="s">
        <v>2189</v>
      </c>
      <c r="J8987" s="10">
        <v>7.783333333</v>
      </c>
      <c r="K8987" t="b">
        <v>1</v>
      </c>
    </row>
    <row r="8988" spans="1:11">
      <c r="A8988" s="12">
        <v>42764</v>
      </c>
      <c r="B8988">
        <v>2017</v>
      </c>
      <c r="C8988">
        <v>1</v>
      </c>
      <c r="D8988" s="11">
        <v>42736</v>
      </c>
      <c r="E8988" t="s">
        <v>2173</v>
      </c>
      <c r="F8988">
        <v>7</v>
      </c>
      <c r="G8988" t="s">
        <v>59</v>
      </c>
      <c r="H8988" t="s">
        <v>42</v>
      </c>
      <c r="I8988" t="s">
        <v>2190</v>
      </c>
      <c r="J8988" s="10">
        <v>5.333333333</v>
      </c>
      <c r="K8988" t="b">
        <v>1</v>
      </c>
    </row>
    <row r="8989" spans="1:11">
      <c r="A8989" s="12">
        <v>42764</v>
      </c>
      <c r="B8989">
        <v>2017</v>
      </c>
      <c r="C8989">
        <v>1</v>
      </c>
      <c r="D8989" s="11">
        <v>42736</v>
      </c>
      <c r="E8989" t="s">
        <v>2173</v>
      </c>
      <c r="F8989">
        <v>7</v>
      </c>
      <c r="G8989" t="s">
        <v>59</v>
      </c>
      <c r="H8989" t="s">
        <v>43</v>
      </c>
      <c r="I8989" t="s">
        <v>2191</v>
      </c>
      <c r="J8989" s="10">
        <v>54.16666667</v>
      </c>
      <c r="K8989" t="b">
        <v>1</v>
      </c>
    </row>
    <row r="8990" spans="1:11">
      <c r="A8990" s="12">
        <v>42764</v>
      </c>
      <c r="B8990">
        <v>2017</v>
      </c>
      <c r="C8990">
        <v>1</v>
      </c>
      <c r="D8990" s="11">
        <v>42736</v>
      </c>
      <c r="E8990" t="s">
        <v>2173</v>
      </c>
      <c r="F8990">
        <v>7</v>
      </c>
      <c r="G8990" t="s">
        <v>59</v>
      </c>
      <c r="H8990" t="s">
        <v>44</v>
      </c>
      <c r="I8990" t="s">
        <v>2192</v>
      </c>
      <c r="J8990" s="10">
        <v>15.83333333</v>
      </c>
      <c r="K8990" t="b">
        <v>1</v>
      </c>
    </row>
    <row r="8991" spans="1:11">
      <c r="A8991" s="12">
        <v>42764</v>
      </c>
      <c r="B8991">
        <v>2017</v>
      </c>
      <c r="C8991">
        <v>1</v>
      </c>
      <c r="D8991" s="11">
        <v>42736</v>
      </c>
      <c r="E8991" t="s">
        <v>2173</v>
      </c>
      <c r="F8991">
        <v>7</v>
      </c>
      <c r="G8991" t="s">
        <v>59</v>
      </c>
      <c r="H8991" t="s">
        <v>45</v>
      </c>
      <c r="I8991" t="s">
        <v>2193</v>
      </c>
      <c r="J8991" s="10">
        <v>2.5</v>
      </c>
      <c r="K8991" t="b">
        <v>1</v>
      </c>
    </row>
    <row r="8992" spans="1:11">
      <c r="A8992" s="12">
        <v>42764</v>
      </c>
      <c r="B8992">
        <v>2017</v>
      </c>
      <c r="C8992">
        <v>1</v>
      </c>
      <c r="D8992" s="11">
        <v>42736</v>
      </c>
      <c r="E8992" t="s">
        <v>2173</v>
      </c>
      <c r="F8992">
        <v>7</v>
      </c>
      <c r="G8992" t="s">
        <v>59</v>
      </c>
      <c r="H8992" t="s">
        <v>46</v>
      </c>
      <c r="I8992" t="s">
        <v>2194</v>
      </c>
      <c r="J8992" s="10">
        <v>9.583333333000001</v>
      </c>
      <c r="K8992" t="b">
        <v>1</v>
      </c>
    </row>
    <row r="8993" spans="1:11">
      <c r="A8993" s="12">
        <v>42764</v>
      </c>
      <c r="B8993">
        <v>2017</v>
      </c>
      <c r="C8993">
        <v>1</v>
      </c>
      <c r="D8993" s="11">
        <v>42736</v>
      </c>
      <c r="E8993" t="s">
        <v>2173</v>
      </c>
      <c r="F8993">
        <v>7</v>
      </c>
      <c r="G8993" t="s">
        <v>59</v>
      </c>
      <c r="H8993" t="s">
        <v>47</v>
      </c>
      <c r="I8993" t="s">
        <v>2195</v>
      </c>
      <c r="J8993" s="10">
        <v>3.333333333</v>
      </c>
      <c r="K8993" t="b">
        <v>1</v>
      </c>
    </row>
    <row r="8994" spans="1:11">
      <c r="A8994" s="12">
        <v>42765</v>
      </c>
      <c r="B8994">
        <v>2017</v>
      </c>
      <c r="C8994">
        <v>1</v>
      </c>
      <c r="D8994" s="11">
        <v>42736</v>
      </c>
      <c r="E8994" t="s">
        <v>2173</v>
      </c>
      <c r="F8994">
        <v>1</v>
      </c>
      <c r="G8994" t="s">
        <v>61</v>
      </c>
      <c r="H8994" t="s">
        <v>40</v>
      </c>
      <c r="I8994" t="s">
        <v>2188</v>
      </c>
      <c r="J8994" s="10">
        <v>8.058333333</v>
      </c>
      <c r="K8994" t="b">
        <v>1</v>
      </c>
    </row>
    <row r="8995" spans="1:11">
      <c r="A8995" s="12">
        <v>42765</v>
      </c>
      <c r="B8995">
        <v>2017</v>
      </c>
      <c r="C8995">
        <v>1</v>
      </c>
      <c r="D8995" s="11">
        <v>42736</v>
      </c>
      <c r="E8995" t="s">
        <v>2173</v>
      </c>
      <c r="F8995">
        <v>1</v>
      </c>
      <c r="G8995" t="s">
        <v>61</v>
      </c>
      <c r="H8995" t="s">
        <v>41</v>
      </c>
      <c r="I8995" t="s">
        <v>2189</v>
      </c>
      <c r="J8995" s="10">
        <v>5.61625</v>
      </c>
      <c r="K8995" t="b">
        <v>1</v>
      </c>
    </row>
    <row r="8996" spans="1:11">
      <c r="A8996" s="12">
        <v>42765</v>
      </c>
      <c r="B8996">
        <v>2017</v>
      </c>
      <c r="C8996">
        <v>1</v>
      </c>
      <c r="D8996" s="11">
        <v>42736</v>
      </c>
      <c r="E8996" t="s">
        <v>2173</v>
      </c>
      <c r="F8996">
        <v>1</v>
      </c>
      <c r="G8996" t="s">
        <v>61</v>
      </c>
      <c r="H8996" t="s">
        <v>42</v>
      </c>
      <c r="I8996" t="s">
        <v>2190</v>
      </c>
      <c r="J8996" s="10">
        <v>7</v>
      </c>
      <c r="K8996" t="b">
        <v>1</v>
      </c>
    </row>
    <row r="8997" spans="1:11">
      <c r="A8997" s="12">
        <v>42765</v>
      </c>
      <c r="B8997">
        <v>2017</v>
      </c>
      <c r="C8997">
        <v>1</v>
      </c>
      <c r="D8997" s="11">
        <v>42736</v>
      </c>
      <c r="E8997" t="s">
        <v>2173</v>
      </c>
      <c r="F8997">
        <v>1</v>
      </c>
      <c r="G8997" t="s">
        <v>61</v>
      </c>
      <c r="H8997" t="s">
        <v>43</v>
      </c>
      <c r="I8997" t="s">
        <v>2191</v>
      </c>
      <c r="J8997" s="10">
        <v>35.5175</v>
      </c>
      <c r="K8997" t="b">
        <v>1</v>
      </c>
    </row>
    <row r="8998" spans="1:11">
      <c r="A8998" s="12">
        <v>42765</v>
      </c>
      <c r="B8998">
        <v>2017</v>
      </c>
      <c r="C8998">
        <v>1</v>
      </c>
      <c r="D8998" s="11">
        <v>42736</v>
      </c>
      <c r="E8998" t="s">
        <v>2173</v>
      </c>
      <c r="F8998">
        <v>1</v>
      </c>
      <c r="G8998" t="s">
        <v>61</v>
      </c>
      <c r="H8998" t="s">
        <v>44</v>
      </c>
      <c r="I8998" t="s">
        <v>2192</v>
      </c>
      <c r="J8998" s="10">
        <v>17.08333333</v>
      </c>
      <c r="K8998" t="b">
        <v>1</v>
      </c>
    </row>
    <row r="8999" spans="1:11">
      <c r="A8999" s="12">
        <v>42765</v>
      </c>
      <c r="B8999">
        <v>2017</v>
      </c>
      <c r="C8999">
        <v>1</v>
      </c>
      <c r="D8999" s="11">
        <v>42736</v>
      </c>
      <c r="E8999" t="s">
        <v>2173</v>
      </c>
      <c r="F8999">
        <v>1</v>
      </c>
      <c r="G8999" t="s">
        <v>61</v>
      </c>
      <c r="H8999" t="s">
        <v>45</v>
      </c>
      <c r="I8999" t="s">
        <v>2193</v>
      </c>
      <c r="J8999" s="10">
        <v>4.166666667</v>
      </c>
      <c r="K8999" t="b">
        <v>1</v>
      </c>
    </row>
    <row r="9000" spans="1:11">
      <c r="A9000" s="12">
        <v>42765</v>
      </c>
      <c r="B9000">
        <v>2017</v>
      </c>
      <c r="C9000">
        <v>1</v>
      </c>
      <c r="D9000" s="11">
        <v>42736</v>
      </c>
      <c r="E9000" t="s">
        <v>2173</v>
      </c>
      <c r="F9000">
        <v>1</v>
      </c>
      <c r="G9000" t="s">
        <v>61</v>
      </c>
      <c r="H9000" t="s">
        <v>46</v>
      </c>
      <c r="I9000" t="s">
        <v>2194</v>
      </c>
      <c r="J9000" s="10">
        <v>7.083333333</v>
      </c>
      <c r="K9000" t="b">
        <v>1</v>
      </c>
    </row>
    <row r="9001" spans="1:11">
      <c r="A9001" s="12">
        <v>42765</v>
      </c>
      <c r="B9001">
        <v>2017</v>
      </c>
      <c r="C9001">
        <v>1</v>
      </c>
      <c r="D9001" s="11">
        <v>42736</v>
      </c>
      <c r="E9001" t="s">
        <v>2173</v>
      </c>
      <c r="F9001">
        <v>1</v>
      </c>
      <c r="G9001" t="s">
        <v>61</v>
      </c>
      <c r="H9001" t="s">
        <v>47</v>
      </c>
      <c r="I9001" t="s">
        <v>2195</v>
      </c>
      <c r="J9001" s="10">
        <v>4.166666667</v>
      </c>
      <c r="K9001" t="b">
        <v>1</v>
      </c>
    </row>
    <row r="9002" spans="1:11">
      <c r="A9002" s="12">
        <v>42766</v>
      </c>
      <c r="B9002">
        <v>2017</v>
      </c>
      <c r="C9002">
        <v>1</v>
      </c>
      <c r="D9002" s="11">
        <v>42736</v>
      </c>
      <c r="E9002" t="s">
        <v>2173</v>
      </c>
      <c r="F9002">
        <v>2</v>
      </c>
      <c r="G9002" t="s">
        <v>63</v>
      </c>
      <c r="H9002" t="s">
        <v>40</v>
      </c>
      <c r="I9002" t="s">
        <v>2188</v>
      </c>
      <c r="J9002" s="10">
        <v>4.441666667</v>
      </c>
      <c r="K9002" t="b">
        <v>1</v>
      </c>
    </row>
    <row r="9003" spans="1:11">
      <c r="A9003" s="12">
        <v>42766</v>
      </c>
      <c r="B9003">
        <v>2017</v>
      </c>
      <c r="C9003">
        <v>1</v>
      </c>
      <c r="D9003" s="11">
        <v>42736</v>
      </c>
      <c r="E9003" t="s">
        <v>2173</v>
      </c>
      <c r="F9003">
        <v>2</v>
      </c>
      <c r="G9003" t="s">
        <v>63</v>
      </c>
      <c r="H9003" t="s">
        <v>41</v>
      </c>
      <c r="I9003" t="s">
        <v>2189</v>
      </c>
      <c r="J9003" s="10">
        <v>4.254583333</v>
      </c>
      <c r="K9003" t="b">
        <v>1</v>
      </c>
    </row>
    <row r="9004" spans="1:11">
      <c r="A9004" s="12">
        <v>42766</v>
      </c>
      <c r="B9004">
        <v>2017</v>
      </c>
      <c r="C9004">
        <v>1</v>
      </c>
      <c r="D9004" s="11">
        <v>42736</v>
      </c>
      <c r="E9004" t="s">
        <v>2173</v>
      </c>
      <c r="F9004">
        <v>2</v>
      </c>
      <c r="G9004" t="s">
        <v>63</v>
      </c>
      <c r="H9004" t="s">
        <v>42</v>
      </c>
      <c r="I9004" t="s">
        <v>2190</v>
      </c>
      <c r="J9004" s="10">
        <v>2.833333333</v>
      </c>
      <c r="K9004" t="b">
        <v>1</v>
      </c>
    </row>
    <row r="9005" spans="1:11">
      <c r="A9005" s="12">
        <v>42766</v>
      </c>
      <c r="B9005">
        <v>2017</v>
      </c>
      <c r="C9005">
        <v>1</v>
      </c>
      <c r="D9005" s="11">
        <v>42736</v>
      </c>
      <c r="E9005" t="s">
        <v>2173</v>
      </c>
      <c r="F9005">
        <v>2</v>
      </c>
      <c r="G9005" t="s">
        <v>63</v>
      </c>
      <c r="H9005" t="s">
        <v>43</v>
      </c>
      <c r="I9005" t="s">
        <v>2191</v>
      </c>
      <c r="J9005" s="10">
        <v>47.25</v>
      </c>
      <c r="K9005" t="b">
        <v>1</v>
      </c>
    </row>
    <row r="9006" spans="1:11">
      <c r="A9006" s="12">
        <v>42766</v>
      </c>
      <c r="B9006">
        <v>2017</v>
      </c>
      <c r="C9006">
        <v>1</v>
      </c>
      <c r="D9006" s="11">
        <v>42736</v>
      </c>
      <c r="E9006" t="s">
        <v>2173</v>
      </c>
      <c r="F9006">
        <v>2</v>
      </c>
      <c r="G9006" t="s">
        <v>63</v>
      </c>
      <c r="H9006" t="s">
        <v>44</v>
      </c>
      <c r="I9006" t="s">
        <v>2192</v>
      </c>
      <c r="J9006" s="10">
        <v>13.33333333</v>
      </c>
      <c r="K9006" t="b">
        <v>1</v>
      </c>
    </row>
    <row r="9007" spans="1:11">
      <c r="A9007" s="12">
        <v>42766</v>
      </c>
      <c r="B9007">
        <v>2017</v>
      </c>
      <c r="C9007">
        <v>1</v>
      </c>
      <c r="D9007" s="11">
        <v>42736</v>
      </c>
      <c r="E9007" t="s">
        <v>2173</v>
      </c>
      <c r="F9007">
        <v>2</v>
      </c>
      <c r="G9007" t="s">
        <v>63</v>
      </c>
      <c r="H9007" t="s">
        <v>45</v>
      </c>
      <c r="I9007" t="s">
        <v>2193</v>
      </c>
      <c r="J9007" s="10">
        <v>0.833333333</v>
      </c>
      <c r="K9007" t="b">
        <v>1</v>
      </c>
    </row>
    <row r="9008" spans="1:11">
      <c r="A9008" s="12">
        <v>42766</v>
      </c>
      <c r="B9008">
        <v>2017</v>
      </c>
      <c r="C9008">
        <v>1</v>
      </c>
      <c r="D9008" s="11">
        <v>42736</v>
      </c>
      <c r="E9008" t="s">
        <v>2173</v>
      </c>
      <c r="F9008">
        <v>2</v>
      </c>
      <c r="G9008" t="s">
        <v>63</v>
      </c>
      <c r="H9008" t="s">
        <v>46</v>
      </c>
      <c r="I9008" t="s">
        <v>2194</v>
      </c>
      <c r="J9008" s="10">
        <v>2.916666667</v>
      </c>
      <c r="K9008" t="b">
        <v>1</v>
      </c>
    </row>
    <row r="9009" spans="1:11">
      <c r="A9009" s="12">
        <v>42766</v>
      </c>
      <c r="B9009">
        <v>2017</v>
      </c>
      <c r="C9009">
        <v>1</v>
      </c>
      <c r="D9009" s="11">
        <v>42736</v>
      </c>
      <c r="E9009" t="s">
        <v>2173</v>
      </c>
      <c r="F9009">
        <v>2</v>
      </c>
      <c r="G9009" t="s">
        <v>63</v>
      </c>
      <c r="H9009" t="s">
        <v>47</v>
      </c>
      <c r="I9009" t="s">
        <v>2195</v>
      </c>
      <c r="J9009" s="10">
        <v>1.666666667</v>
      </c>
      <c r="K9009" t="b">
        <v>1</v>
      </c>
    </row>
    <row r="9010" spans="1:11">
      <c r="A9010" s="12">
        <v>42767</v>
      </c>
      <c r="B9010">
        <v>2017</v>
      </c>
      <c r="C9010">
        <v>2</v>
      </c>
      <c r="D9010" s="11">
        <v>42767</v>
      </c>
      <c r="E9010" t="s">
        <v>2174</v>
      </c>
      <c r="F9010">
        <v>3</v>
      </c>
      <c r="G9010" t="s">
        <v>65</v>
      </c>
      <c r="H9010" t="s">
        <v>40</v>
      </c>
      <c r="I9010" t="s">
        <v>2188</v>
      </c>
      <c r="J9010" s="10">
        <v>7.375</v>
      </c>
      <c r="K9010" t="b">
        <v>1</v>
      </c>
    </row>
    <row r="9011" spans="1:11">
      <c r="A9011" s="12">
        <v>42767</v>
      </c>
      <c r="B9011">
        <v>2017</v>
      </c>
      <c r="C9011">
        <v>2</v>
      </c>
      <c r="D9011" s="11">
        <v>42767</v>
      </c>
      <c r="E9011" t="s">
        <v>2174</v>
      </c>
      <c r="F9011">
        <v>3</v>
      </c>
      <c r="G9011" t="s">
        <v>65</v>
      </c>
      <c r="H9011" t="s">
        <v>41</v>
      </c>
      <c r="I9011" t="s">
        <v>2189</v>
      </c>
      <c r="J9011" s="10">
        <v>5.188333333</v>
      </c>
      <c r="K9011" t="b">
        <v>1</v>
      </c>
    </row>
    <row r="9012" spans="1:11">
      <c r="A9012" s="12">
        <v>42767</v>
      </c>
      <c r="B9012">
        <v>2017</v>
      </c>
      <c r="C9012">
        <v>2</v>
      </c>
      <c r="D9012" s="11">
        <v>42767</v>
      </c>
      <c r="E9012" t="s">
        <v>2174</v>
      </c>
      <c r="F9012">
        <v>3</v>
      </c>
      <c r="G9012" t="s">
        <v>65</v>
      </c>
      <c r="H9012" t="s">
        <v>42</v>
      </c>
      <c r="I9012" t="s">
        <v>2190</v>
      </c>
      <c r="J9012" s="10">
        <v>6.041666667</v>
      </c>
      <c r="K9012" t="b">
        <v>1</v>
      </c>
    </row>
    <row r="9013" spans="1:11">
      <c r="A9013" s="12">
        <v>42767</v>
      </c>
      <c r="B9013">
        <v>2017</v>
      </c>
      <c r="C9013">
        <v>2</v>
      </c>
      <c r="D9013" s="11">
        <v>42767</v>
      </c>
      <c r="E9013" t="s">
        <v>2174</v>
      </c>
      <c r="F9013">
        <v>3</v>
      </c>
      <c r="G9013" t="s">
        <v>65</v>
      </c>
      <c r="H9013" t="s">
        <v>43</v>
      </c>
      <c r="I9013" t="s">
        <v>2191</v>
      </c>
      <c r="J9013" s="10">
        <v>31.625</v>
      </c>
      <c r="K9013" t="b">
        <v>1</v>
      </c>
    </row>
    <row r="9014" spans="1:11">
      <c r="A9014" s="12">
        <v>42767</v>
      </c>
      <c r="B9014">
        <v>2017</v>
      </c>
      <c r="C9014">
        <v>2</v>
      </c>
      <c r="D9014" s="11">
        <v>42767</v>
      </c>
      <c r="E9014" t="s">
        <v>2174</v>
      </c>
      <c r="F9014">
        <v>3</v>
      </c>
      <c r="G9014" t="s">
        <v>65</v>
      </c>
      <c r="H9014" t="s">
        <v>44</v>
      </c>
      <c r="I9014" t="s">
        <v>2192</v>
      </c>
      <c r="J9014" s="10">
        <v>10.83333333</v>
      </c>
      <c r="K9014" t="b">
        <v>1</v>
      </c>
    </row>
    <row r="9015" spans="1:11">
      <c r="A9015" s="12">
        <v>42767</v>
      </c>
      <c r="B9015">
        <v>2017</v>
      </c>
      <c r="C9015">
        <v>2</v>
      </c>
      <c r="D9015" s="11">
        <v>42767</v>
      </c>
      <c r="E9015" t="s">
        <v>2174</v>
      </c>
      <c r="F9015">
        <v>3</v>
      </c>
      <c r="G9015" t="s">
        <v>65</v>
      </c>
      <c r="H9015" t="s">
        <v>45</v>
      </c>
      <c r="I9015" t="s">
        <v>2193</v>
      </c>
      <c r="J9015" s="10">
        <v>0.416666667</v>
      </c>
      <c r="K9015" t="b">
        <v>1</v>
      </c>
    </row>
    <row r="9016" spans="1:11">
      <c r="A9016" s="12">
        <v>42767</v>
      </c>
      <c r="B9016">
        <v>2017</v>
      </c>
      <c r="C9016">
        <v>2</v>
      </c>
      <c r="D9016" s="11">
        <v>42767</v>
      </c>
      <c r="E9016" t="s">
        <v>2174</v>
      </c>
      <c r="F9016">
        <v>3</v>
      </c>
      <c r="G9016" t="s">
        <v>65</v>
      </c>
      <c r="H9016" t="s">
        <v>46</v>
      </c>
      <c r="I9016" t="s">
        <v>2194</v>
      </c>
      <c r="J9016" s="10">
        <v>8.333333333000001</v>
      </c>
      <c r="K9016" t="b">
        <v>1</v>
      </c>
    </row>
    <row r="9017" spans="1:11">
      <c r="A9017" s="12">
        <v>42767</v>
      </c>
      <c r="B9017">
        <v>2017</v>
      </c>
      <c r="C9017">
        <v>2</v>
      </c>
      <c r="D9017" s="11">
        <v>42767</v>
      </c>
      <c r="E9017" t="s">
        <v>2174</v>
      </c>
      <c r="F9017">
        <v>3</v>
      </c>
      <c r="G9017" t="s">
        <v>65</v>
      </c>
      <c r="H9017" t="s">
        <v>47</v>
      </c>
      <c r="I9017" t="s">
        <v>2195</v>
      </c>
      <c r="J9017" s="10">
        <v>2.083333333</v>
      </c>
      <c r="K9017" t="b">
        <v>1</v>
      </c>
    </row>
    <row r="9018" spans="1:11">
      <c r="A9018" s="12">
        <v>42768</v>
      </c>
      <c r="B9018">
        <v>2017</v>
      </c>
      <c r="C9018">
        <v>2</v>
      </c>
      <c r="D9018" s="11">
        <v>42767</v>
      </c>
      <c r="E9018" t="s">
        <v>2174</v>
      </c>
      <c r="F9018">
        <v>4</v>
      </c>
      <c r="G9018" t="s">
        <v>53</v>
      </c>
      <c r="H9018" t="s">
        <v>40</v>
      </c>
      <c r="I9018" t="s">
        <v>2188</v>
      </c>
      <c r="J9018" s="10">
        <v>8.195833332999999</v>
      </c>
      <c r="K9018" t="b">
        <v>1</v>
      </c>
    </row>
    <row r="9019" spans="1:11">
      <c r="A9019" s="12">
        <v>42768</v>
      </c>
      <c r="B9019">
        <v>2017</v>
      </c>
      <c r="C9019">
        <v>2</v>
      </c>
      <c r="D9019" s="11">
        <v>42767</v>
      </c>
      <c r="E9019" t="s">
        <v>2174</v>
      </c>
      <c r="F9019">
        <v>4</v>
      </c>
      <c r="G9019" t="s">
        <v>53</v>
      </c>
      <c r="H9019" t="s">
        <v>41</v>
      </c>
      <c r="I9019" t="s">
        <v>2189</v>
      </c>
      <c r="J9019" s="10">
        <v>6.211666667</v>
      </c>
      <c r="K9019" t="b">
        <v>1</v>
      </c>
    </row>
    <row r="9020" spans="1:11">
      <c r="A9020" s="12">
        <v>42768</v>
      </c>
      <c r="B9020">
        <v>2017</v>
      </c>
      <c r="C9020">
        <v>2</v>
      </c>
      <c r="D9020" s="11">
        <v>42767</v>
      </c>
      <c r="E9020" t="s">
        <v>2174</v>
      </c>
      <c r="F9020">
        <v>4</v>
      </c>
      <c r="G9020" t="s">
        <v>53</v>
      </c>
      <c r="H9020" t="s">
        <v>42</v>
      </c>
      <c r="I9020" t="s">
        <v>2190</v>
      </c>
      <c r="J9020" s="10">
        <v>6.416666667</v>
      </c>
      <c r="K9020" t="b">
        <v>1</v>
      </c>
    </row>
    <row r="9021" spans="1:11">
      <c r="A9021" s="12">
        <v>42768</v>
      </c>
      <c r="B9021">
        <v>2017</v>
      </c>
      <c r="C9021">
        <v>2</v>
      </c>
      <c r="D9021" s="11">
        <v>42767</v>
      </c>
      <c r="E9021" t="s">
        <v>2174</v>
      </c>
      <c r="F9021">
        <v>4</v>
      </c>
      <c r="G9021" t="s">
        <v>53</v>
      </c>
      <c r="H9021" t="s">
        <v>43</v>
      </c>
      <c r="I9021" t="s">
        <v>2191</v>
      </c>
      <c r="J9021" s="10">
        <v>42.29166667</v>
      </c>
      <c r="K9021" t="b">
        <v>1</v>
      </c>
    </row>
    <row r="9022" spans="1:11">
      <c r="A9022" s="12">
        <v>42768</v>
      </c>
      <c r="B9022">
        <v>2017</v>
      </c>
      <c r="C9022">
        <v>2</v>
      </c>
      <c r="D9022" s="11">
        <v>42767</v>
      </c>
      <c r="E9022" t="s">
        <v>2174</v>
      </c>
      <c r="F9022">
        <v>4</v>
      </c>
      <c r="G9022" t="s">
        <v>53</v>
      </c>
      <c r="H9022" t="s">
        <v>44</v>
      </c>
      <c r="I9022" t="s">
        <v>2192</v>
      </c>
      <c r="J9022" s="10">
        <v>9.166666666999999</v>
      </c>
      <c r="K9022" t="b">
        <v>1</v>
      </c>
    </row>
    <row r="9023" spans="1:11">
      <c r="A9023" s="12">
        <v>42768</v>
      </c>
      <c r="B9023">
        <v>2017</v>
      </c>
      <c r="C9023">
        <v>2</v>
      </c>
      <c r="D9023" s="11">
        <v>42767</v>
      </c>
      <c r="E9023" t="s">
        <v>2174</v>
      </c>
      <c r="F9023">
        <v>4</v>
      </c>
      <c r="G9023" t="s">
        <v>53</v>
      </c>
      <c r="H9023" t="s">
        <v>45</v>
      </c>
      <c r="I9023" t="s">
        <v>2193</v>
      </c>
      <c r="J9023" s="10">
        <v>0.416666667</v>
      </c>
      <c r="K9023" t="b">
        <v>1</v>
      </c>
    </row>
    <row r="9024" spans="1:11">
      <c r="A9024" s="12">
        <v>42768</v>
      </c>
      <c r="B9024">
        <v>2017</v>
      </c>
      <c r="C9024">
        <v>2</v>
      </c>
      <c r="D9024" s="11">
        <v>42767</v>
      </c>
      <c r="E9024" t="s">
        <v>2174</v>
      </c>
      <c r="F9024">
        <v>4</v>
      </c>
      <c r="G9024" t="s">
        <v>53</v>
      </c>
      <c r="H9024" t="s">
        <v>46</v>
      </c>
      <c r="I9024" t="s">
        <v>2194</v>
      </c>
      <c r="J9024" s="10">
        <v>0.416666667</v>
      </c>
      <c r="K9024" t="b">
        <v>1</v>
      </c>
    </row>
    <row r="9025" spans="1:11">
      <c r="A9025" s="12">
        <v>42768</v>
      </c>
      <c r="B9025">
        <v>2017</v>
      </c>
      <c r="C9025">
        <v>2</v>
      </c>
      <c r="D9025" s="11">
        <v>42767</v>
      </c>
      <c r="E9025" t="s">
        <v>2174</v>
      </c>
      <c r="F9025">
        <v>4</v>
      </c>
      <c r="G9025" t="s">
        <v>53</v>
      </c>
      <c r="H9025" t="s">
        <v>47</v>
      </c>
      <c r="I9025" t="s">
        <v>2195</v>
      </c>
      <c r="J9025" s="10">
        <v>0.833333333</v>
      </c>
      <c r="K9025" t="b">
        <v>1</v>
      </c>
    </row>
    <row r="9026" spans="1:11">
      <c r="A9026" s="12">
        <v>42769</v>
      </c>
      <c r="B9026">
        <v>2017</v>
      </c>
      <c r="C9026">
        <v>2</v>
      </c>
      <c r="D9026" s="11">
        <v>42767</v>
      </c>
      <c r="E9026" t="s">
        <v>2174</v>
      </c>
      <c r="F9026">
        <v>5</v>
      </c>
      <c r="G9026" t="s">
        <v>55</v>
      </c>
      <c r="H9026" t="s">
        <v>40</v>
      </c>
      <c r="I9026" t="s">
        <v>2188</v>
      </c>
      <c r="J9026" s="10">
        <v>7.6375</v>
      </c>
      <c r="K9026" t="b">
        <v>1</v>
      </c>
    </row>
    <row r="9027" spans="1:11">
      <c r="A9027" s="12">
        <v>42769</v>
      </c>
      <c r="B9027">
        <v>2017</v>
      </c>
      <c r="C9027">
        <v>2</v>
      </c>
      <c r="D9027" s="11">
        <v>42767</v>
      </c>
      <c r="E9027" t="s">
        <v>2174</v>
      </c>
      <c r="F9027">
        <v>5</v>
      </c>
      <c r="G9027" t="s">
        <v>55</v>
      </c>
      <c r="H9027" t="s">
        <v>41</v>
      </c>
      <c r="I9027" t="s">
        <v>2189</v>
      </c>
      <c r="J9027" s="10">
        <v>6.255416667</v>
      </c>
      <c r="K9027" t="b">
        <v>1</v>
      </c>
    </row>
    <row r="9028" spans="1:11">
      <c r="A9028" s="12">
        <v>42769</v>
      </c>
      <c r="B9028">
        <v>2017</v>
      </c>
      <c r="C9028">
        <v>2</v>
      </c>
      <c r="D9028" s="11">
        <v>42767</v>
      </c>
      <c r="E9028" t="s">
        <v>2174</v>
      </c>
      <c r="F9028">
        <v>5</v>
      </c>
      <c r="G9028" t="s">
        <v>55</v>
      </c>
      <c r="H9028" t="s">
        <v>42</v>
      </c>
      <c r="I9028" t="s">
        <v>2190</v>
      </c>
      <c r="J9028" s="10">
        <v>9</v>
      </c>
      <c r="K9028" t="b">
        <v>1</v>
      </c>
    </row>
    <row r="9029" spans="1:11">
      <c r="A9029" s="12">
        <v>42769</v>
      </c>
      <c r="B9029">
        <v>2017</v>
      </c>
      <c r="C9029">
        <v>2</v>
      </c>
      <c r="D9029" s="11">
        <v>42767</v>
      </c>
      <c r="E9029" t="s">
        <v>2174</v>
      </c>
      <c r="F9029">
        <v>5</v>
      </c>
      <c r="G9029" t="s">
        <v>55</v>
      </c>
      <c r="H9029" t="s">
        <v>43</v>
      </c>
      <c r="I9029" t="s">
        <v>2191</v>
      </c>
      <c r="J9029" s="10">
        <v>42.90083333</v>
      </c>
      <c r="K9029" t="b">
        <v>1</v>
      </c>
    </row>
    <row r="9030" spans="1:11">
      <c r="A9030" s="12">
        <v>42769</v>
      </c>
      <c r="B9030">
        <v>2017</v>
      </c>
      <c r="C9030">
        <v>2</v>
      </c>
      <c r="D9030" s="11">
        <v>42767</v>
      </c>
      <c r="E9030" t="s">
        <v>2174</v>
      </c>
      <c r="F9030">
        <v>5</v>
      </c>
      <c r="G9030" t="s">
        <v>55</v>
      </c>
      <c r="H9030" t="s">
        <v>44</v>
      </c>
      <c r="I9030" t="s">
        <v>2192</v>
      </c>
      <c r="J9030" s="10">
        <v>15.83333333</v>
      </c>
      <c r="K9030" t="b">
        <v>1</v>
      </c>
    </row>
    <row r="9031" spans="1:11">
      <c r="A9031" s="12">
        <v>42769</v>
      </c>
      <c r="B9031">
        <v>2017</v>
      </c>
      <c r="C9031">
        <v>2</v>
      </c>
      <c r="D9031" s="11">
        <v>42767</v>
      </c>
      <c r="E9031" t="s">
        <v>2174</v>
      </c>
      <c r="F9031">
        <v>5</v>
      </c>
      <c r="G9031" t="s">
        <v>55</v>
      </c>
      <c r="H9031" t="s">
        <v>45</v>
      </c>
      <c r="I9031" t="s">
        <v>2193</v>
      </c>
      <c r="J9031" s="10">
        <v>2.5</v>
      </c>
      <c r="K9031" t="b">
        <v>1</v>
      </c>
    </row>
    <row r="9032" spans="1:11">
      <c r="A9032" s="12">
        <v>42769</v>
      </c>
      <c r="B9032">
        <v>2017</v>
      </c>
      <c r="C9032">
        <v>2</v>
      </c>
      <c r="D9032" s="11">
        <v>42767</v>
      </c>
      <c r="E9032" t="s">
        <v>2174</v>
      </c>
      <c r="F9032">
        <v>5</v>
      </c>
      <c r="G9032" t="s">
        <v>55</v>
      </c>
      <c r="H9032" t="s">
        <v>46</v>
      </c>
      <c r="I9032" t="s">
        <v>2194</v>
      </c>
      <c r="J9032" s="10">
        <v>7.083333333</v>
      </c>
      <c r="K9032" t="b">
        <v>1</v>
      </c>
    </row>
    <row r="9033" spans="1:11">
      <c r="A9033" s="12">
        <v>42769</v>
      </c>
      <c r="B9033">
        <v>2017</v>
      </c>
      <c r="C9033">
        <v>2</v>
      </c>
      <c r="D9033" s="11">
        <v>42767</v>
      </c>
      <c r="E9033" t="s">
        <v>2174</v>
      </c>
      <c r="F9033">
        <v>5</v>
      </c>
      <c r="G9033" t="s">
        <v>55</v>
      </c>
      <c r="H9033" t="s">
        <v>47</v>
      </c>
      <c r="I9033" t="s">
        <v>2195</v>
      </c>
      <c r="J9033" s="10">
        <v>0.833333333</v>
      </c>
      <c r="K9033" t="b">
        <v>1</v>
      </c>
    </row>
    <row r="9034" spans="1:11">
      <c r="A9034" s="12">
        <v>42770</v>
      </c>
      <c r="B9034">
        <v>2017</v>
      </c>
      <c r="C9034">
        <v>2</v>
      </c>
      <c r="D9034" s="11">
        <v>42767</v>
      </c>
      <c r="E9034" t="s">
        <v>2174</v>
      </c>
      <c r="F9034">
        <v>6</v>
      </c>
      <c r="G9034" t="s">
        <v>57</v>
      </c>
      <c r="H9034" t="s">
        <v>40</v>
      </c>
      <c r="I9034" t="s">
        <v>2188</v>
      </c>
      <c r="J9034" s="10">
        <v>7.779166667</v>
      </c>
      <c r="K9034" t="b">
        <v>1</v>
      </c>
    </row>
    <row r="9035" spans="1:11">
      <c r="A9035" s="12">
        <v>42770</v>
      </c>
      <c r="B9035">
        <v>2017</v>
      </c>
      <c r="C9035">
        <v>2</v>
      </c>
      <c r="D9035" s="11">
        <v>42767</v>
      </c>
      <c r="E9035" t="s">
        <v>2174</v>
      </c>
      <c r="F9035">
        <v>6</v>
      </c>
      <c r="G9035" t="s">
        <v>57</v>
      </c>
      <c r="H9035" t="s">
        <v>41</v>
      </c>
      <c r="I9035" t="s">
        <v>2189</v>
      </c>
      <c r="J9035" s="10">
        <v>4.166666667</v>
      </c>
      <c r="K9035" t="b">
        <v>1</v>
      </c>
    </row>
    <row r="9036" spans="1:11">
      <c r="A9036" s="12">
        <v>42770</v>
      </c>
      <c r="B9036">
        <v>2017</v>
      </c>
      <c r="C9036">
        <v>2</v>
      </c>
      <c r="D9036" s="11">
        <v>42767</v>
      </c>
      <c r="E9036" t="s">
        <v>2174</v>
      </c>
      <c r="F9036">
        <v>6</v>
      </c>
      <c r="G9036" t="s">
        <v>57</v>
      </c>
      <c r="H9036" t="s">
        <v>42</v>
      </c>
      <c r="I9036" t="s">
        <v>2190</v>
      </c>
      <c r="J9036" s="10">
        <v>4.416666667</v>
      </c>
      <c r="K9036" t="b">
        <v>1</v>
      </c>
    </row>
    <row r="9037" spans="1:11">
      <c r="A9037" s="12">
        <v>42770</v>
      </c>
      <c r="B9037">
        <v>2017</v>
      </c>
      <c r="C9037">
        <v>2</v>
      </c>
      <c r="D9037" s="11">
        <v>42767</v>
      </c>
      <c r="E9037" t="s">
        <v>2174</v>
      </c>
      <c r="F9037">
        <v>6</v>
      </c>
      <c r="G9037" t="s">
        <v>57</v>
      </c>
      <c r="H9037" t="s">
        <v>43</v>
      </c>
      <c r="I9037" t="s">
        <v>2191</v>
      </c>
      <c r="J9037" s="10">
        <v>27.70833333</v>
      </c>
      <c r="K9037" t="b">
        <v>1</v>
      </c>
    </row>
    <row r="9038" spans="1:11">
      <c r="A9038" s="12">
        <v>42770</v>
      </c>
      <c r="B9038">
        <v>2017</v>
      </c>
      <c r="C9038">
        <v>2</v>
      </c>
      <c r="D9038" s="11">
        <v>42767</v>
      </c>
      <c r="E9038" t="s">
        <v>2174</v>
      </c>
      <c r="F9038">
        <v>6</v>
      </c>
      <c r="G9038" t="s">
        <v>57</v>
      </c>
      <c r="H9038" t="s">
        <v>44</v>
      </c>
      <c r="I9038" t="s">
        <v>2192</v>
      </c>
      <c r="J9038" s="10">
        <v>12.08333333</v>
      </c>
      <c r="K9038" t="b">
        <v>1</v>
      </c>
    </row>
    <row r="9039" spans="1:11">
      <c r="A9039" s="12">
        <v>42770</v>
      </c>
      <c r="B9039">
        <v>2017</v>
      </c>
      <c r="C9039">
        <v>2</v>
      </c>
      <c r="D9039" s="11">
        <v>42767</v>
      </c>
      <c r="E9039" t="s">
        <v>2174</v>
      </c>
      <c r="F9039">
        <v>6</v>
      </c>
      <c r="G9039" t="s">
        <v>57</v>
      </c>
      <c r="H9039" t="s">
        <v>45</v>
      </c>
      <c r="I9039" t="s">
        <v>2193</v>
      </c>
      <c r="J9039" s="10">
        <v>0.833333333</v>
      </c>
      <c r="K9039" t="b">
        <v>1</v>
      </c>
    </row>
    <row r="9040" spans="1:11">
      <c r="A9040" s="12">
        <v>42770</v>
      </c>
      <c r="B9040">
        <v>2017</v>
      </c>
      <c r="C9040">
        <v>2</v>
      </c>
      <c r="D9040" s="11">
        <v>42767</v>
      </c>
      <c r="E9040" t="s">
        <v>2174</v>
      </c>
      <c r="F9040">
        <v>6</v>
      </c>
      <c r="G9040" t="s">
        <v>57</v>
      </c>
      <c r="H9040" t="s">
        <v>46</v>
      </c>
      <c r="I9040" t="s">
        <v>2194</v>
      </c>
      <c r="J9040" s="10">
        <v>7.5</v>
      </c>
      <c r="K9040" t="b">
        <v>1</v>
      </c>
    </row>
    <row r="9041" spans="1:11">
      <c r="A9041" s="12">
        <v>42770</v>
      </c>
      <c r="B9041">
        <v>2017</v>
      </c>
      <c r="C9041">
        <v>2</v>
      </c>
      <c r="D9041" s="11">
        <v>42767</v>
      </c>
      <c r="E9041" t="s">
        <v>2174</v>
      </c>
      <c r="F9041">
        <v>6</v>
      </c>
      <c r="G9041" t="s">
        <v>57</v>
      </c>
      <c r="H9041" t="s">
        <v>47</v>
      </c>
      <c r="I9041" t="s">
        <v>2195</v>
      </c>
      <c r="J9041" s="10">
        <v>3.75</v>
      </c>
      <c r="K9041" t="b">
        <v>1</v>
      </c>
    </row>
    <row r="9042" spans="1:11">
      <c r="A9042" s="12">
        <v>42771</v>
      </c>
      <c r="B9042">
        <v>2017</v>
      </c>
      <c r="C9042">
        <v>2</v>
      </c>
      <c r="D9042" s="11">
        <v>42767</v>
      </c>
      <c r="E9042" t="s">
        <v>2174</v>
      </c>
      <c r="F9042">
        <v>7</v>
      </c>
      <c r="G9042" t="s">
        <v>59</v>
      </c>
      <c r="H9042" t="s">
        <v>40</v>
      </c>
      <c r="I9042" t="s">
        <v>2188</v>
      </c>
      <c r="J9042" s="10">
        <v>10.67</v>
      </c>
      <c r="K9042" t="b">
        <v>1</v>
      </c>
    </row>
    <row r="9043" spans="1:11">
      <c r="A9043" s="12">
        <v>42771</v>
      </c>
      <c r="B9043">
        <v>2017</v>
      </c>
      <c r="C9043">
        <v>2</v>
      </c>
      <c r="D9043" s="11">
        <v>42767</v>
      </c>
      <c r="E9043" t="s">
        <v>2174</v>
      </c>
      <c r="F9043">
        <v>7</v>
      </c>
      <c r="G9043" t="s">
        <v>59</v>
      </c>
      <c r="H9043" t="s">
        <v>41</v>
      </c>
      <c r="I9043" t="s">
        <v>2189</v>
      </c>
      <c r="J9043" s="10">
        <v>10.725</v>
      </c>
      <c r="K9043" t="b">
        <v>1</v>
      </c>
    </row>
    <row r="9044" spans="1:11">
      <c r="A9044" s="12">
        <v>42771</v>
      </c>
      <c r="B9044">
        <v>2017</v>
      </c>
      <c r="C9044">
        <v>2</v>
      </c>
      <c r="D9044" s="11">
        <v>42767</v>
      </c>
      <c r="E9044" t="s">
        <v>2174</v>
      </c>
      <c r="F9044">
        <v>7</v>
      </c>
      <c r="G9044" t="s">
        <v>59</v>
      </c>
      <c r="H9044" t="s">
        <v>42</v>
      </c>
      <c r="I9044" t="s">
        <v>2190</v>
      </c>
      <c r="J9044" s="10">
        <v>5</v>
      </c>
      <c r="K9044" t="b">
        <v>1</v>
      </c>
    </row>
    <row r="9045" spans="1:11">
      <c r="A9045" s="12">
        <v>42771</v>
      </c>
      <c r="B9045">
        <v>2017</v>
      </c>
      <c r="C9045">
        <v>2</v>
      </c>
      <c r="D9045" s="11">
        <v>42767</v>
      </c>
      <c r="E9045" t="s">
        <v>2174</v>
      </c>
      <c r="F9045">
        <v>7</v>
      </c>
      <c r="G9045" t="s">
        <v>59</v>
      </c>
      <c r="H9045" t="s">
        <v>43</v>
      </c>
      <c r="I9045" t="s">
        <v>2191</v>
      </c>
      <c r="J9045" s="10">
        <v>38.6</v>
      </c>
      <c r="K9045" t="b">
        <v>1</v>
      </c>
    </row>
    <row r="9046" spans="1:11">
      <c r="A9046" s="12">
        <v>42771</v>
      </c>
      <c r="B9046">
        <v>2017</v>
      </c>
      <c r="C9046">
        <v>2</v>
      </c>
      <c r="D9046" s="11">
        <v>42767</v>
      </c>
      <c r="E9046" t="s">
        <v>2174</v>
      </c>
      <c r="F9046">
        <v>7</v>
      </c>
      <c r="G9046" t="s">
        <v>59</v>
      </c>
      <c r="H9046" t="s">
        <v>44</v>
      </c>
      <c r="I9046" t="s">
        <v>2192</v>
      </c>
      <c r="J9046" s="10">
        <v>1</v>
      </c>
      <c r="K9046" t="b">
        <v>1</v>
      </c>
    </row>
    <row r="9047" spans="1:11">
      <c r="A9047" s="12">
        <v>42771</v>
      </c>
      <c r="B9047">
        <v>2017</v>
      </c>
      <c r="C9047">
        <v>2</v>
      </c>
      <c r="D9047" s="11">
        <v>42767</v>
      </c>
      <c r="E9047" t="s">
        <v>2174</v>
      </c>
      <c r="F9047">
        <v>7</v>
      </c>
      <c r="G9047" t="s">
        <v>59</v>
      </c>
      <c r="H9047" t="s">
        <v>45</v>
      </c>
      <c r="I9047" t="s">
        <v>2193</v>
      </c>
      <c r="J9047" s="10">
        <v>0</v>
      </c>
      <c r="K9047" t="b">
        <v>1</v>
      </c>
    </row>
    <row r="9048" spans="1:11">
      <c r="A9048" s="12">
        <v>42771</v>
      </c>
      <c r="B9048">
        <v>2017</v>
      </c>
      <c r="C9048">
        <v>2</v>
      </c>
      <c r="D9048" s="11">
        <v>42767</v>
      </c>
      <c r="E9048" t="s">
        <v>2174</v>
      </c>
      <c r="F9048">
        <v>7</v>
      </c>
      <c r="G9048" t="s">
        <v>59</v>
      </c>
      <c r="H9048" t="s">
        <v>46</v>
      </c>
      <c r="I9048" t="s">
        <v>2194</v>
      </c>
      <c r="J9048" s="10">
        <v>11</v>
      </c>
      <c r="K9048" t="b">
        <v>1</v>
      </c>
    </row>
    <row r="9049" spans="1:11">
      <c r="A9049" s="12">
        <v>42771</v>
      </c>
      <c r="B9049">
        <v>2017</v>
      </c>
      <c r="C9049">
        <v>2</v>
      </c>
      <c r="D9049" s="11">
        <v>42767</v>
      </c>
      <c r="E9049" t="s">
        <v>2174</v>
      </c>
      <c r="F9049">
        <v>7</v>
      </c>
      <c r="G9049" t="s">
        <v>59</v>
      </c>
      <c r="H9049" t="s">
        <v>47</v>
      </c>
      <c r="I9049" t="s">
        <v>2195</v>
      </c>
      <c r="J9049" s="10">
        <v>1.1</v>
      </c>
      <c r="K9049" t="b">
        <v>1</v>
      </c>
    </row>
    <row r="9050" spans="1:11">
      <c r="A9050" s="12">
        <v>42772</v>
      </c>
      <c r="B9050">
        <v>2017</v>
      </c>
      <c r="C9050">
        <v>2</v>
      </c>
      <c r="D9050" s="11">
        <v>42767</v>
      </c>
      <c r="E9050" t="s">
        <v>2174</v>
      </c>
      <c r="F9050">
        <v>1</v>
      </c>
      <c r="G9050" t="s">
        <v>61</v>
      </c>
      <c r="H9050" t="s">
        <v>40</v>
      </c>
      <c r="I9050" t="s">
        <v>2188</v>
      </c>
      <c r="J9050" s="10">
        <v>10</v>
      </c>
      <c r="K9050" t="b">
        <v>1</v>
      </c>
    </row>
    <row r="9051" spans="1:11">
      <c r="A9051" s="12">
        <v>42772</v>
      </c>
      <c r="B9051">
        <v>2017</v>
      </c>
      <c r="C9051">
        <v>2</v>
      </c>
      <c r="D9051" s="11">
        <v>42767</v>
      </c>
      <c r="E9051" t="s">
        <v>2174</v>
      </c>
      <c r="F9051">
        <v>1</v>
      </c>
      <c r="G9051" t="s">
        <v>61</v>
      </c>
      <c r="H9051" t="s">
        <v>41</v>
      </c>
      <c r="I9051" t="s">
        <v>2189</v>
      </c>
      <c r="J9051" s="10">
        <v>5</v>
      </c>
      <c r="K9051" t="b">
        <v>1</v>
      </c>
    </row>
    <row r="9052" spans="1:11">
      <c r="A9052" s="12">
        <v>42772</v>
      </c>
      <c r="B9052">
        <v>2017</v>
      </c>
      <c r="C9052">
        <v>2</v>
      </c>
      <c r="D9052" s="11">
        <v>42767</v>
      </c>
      <c r="E9052" t="s">
        <v>2174</v>
      </c>
      <c r="F9052">
        <v>1</v>
      </c>
      <c r="G9052" t="s">
        <v>61</v>
      </c>
      <c r="H9052" t="s">
        <v>42</v>
      </c>
      <c r="I9052" t="s">
        <v>2190</v>
      </c>
      <c r="J9052" s="10">
        <v>4.4</v>
      </c>
      <c r="K9052" t="b">
        <v>1</v>
      </c>
    </row>
    <row r="9053" spans="1:11">
      <c r="A9053" s="12">
        <v>42772</v>
      </c>
      <c r="B9053">
        <v>2017</v>
      </c>
      <c r="C9053">
        <v>2</v>
      </c>
      <c r="D9053" s="11">
        <v>42767</v>
      </c>
      <c r="E9053" t="s">
        <v>2174</v>
      </c>
      <c r="F9053">
        <v>1</v>
      </c>
      <c r="G9053" t="s">
        <v>61</v>
      </c>
      <c r="H9053" t="s">
        <v>43</v>
      </c>
      <c r="I9053" t="s">
        <v>2191</v>
      </c>
      <c r="J9053" s="10">
        <v>13</v>
      </c>
      <c r="K9053" t="b">
        <v>1</v>
      </c>
    </row>
    <row r="9054" spans="1:11">
      <c r="A9054" s="12">
        <v>42772</v>
      </c>
      <c r="B9054">
        <v>2017</v>
      </c>
      <c r="C9054">
        <v>2</v>
      </c>
      <c r="D9054" s="11">
        <v>42767</v>
      </c>
      <c r="E9054" t="s">
        <v>2174</v>
      </c>
      <c r="F9054">
        <v>1</v>
      </c>
      <c r="G9054" t="s">
        <v>61</v>
      </c>
      <c r="H9054" t="s">
        <v>44</v>
      </c>
      <c r="I9054" t="s">
        <v>2192</v>
      </c>
      <c r="J9054" s="10">
        <v>3</v>
      </c>
      <c r="K9054" t="b">
        <v>1</v>
      </c>
    </row>
    <row r="9055" spans="1:11">
      <c r="A9055" s="12">
        <v>42772</v>
      </c>
      <c r="B9055">
        <v>2017</v>
      </c>
      <c r="C9055">
        <v>2</v>
      </c>
      <c r="D9055" s="11">
        <v>42767</v>
      </c>
      <c r="E9055" t="s">
        <v>2174</v>
      </c>
      <c r="F9055">
        <v>1</v>
      </c>
      <c r="G9055" t="s">
        <v>61</v>
      </c>
      <c r="H9055" t="s">
        <v>45</v>
      </c>
      <c r="I9055" t="s">
        <v>2193</v>
      </c>
      <c r="J9055" s="10">
        <v>2</v>
      </c>
      <c r="K9055" t="b">
        <v>1</v>
      </c>
    </row>
    <row r="9056" spans="1:11">
      <c r="A9056" s="12">
        <v>42772</v>
      </c>
      <c r="B9056">
        <v>2017</v>
      </c>
      <c r="C9056">
        <v>2</v>
      </c>
      <c r="D9056" s="11">
        <v>42767</v>
      </c>
      <c r="E9056" t="s">
        <v>2174</v>
      </c>
      <c r="F9056">
        <v>1</v>
      </c>
      <c r="G9056" t="s">
        <v>61</v>
      </c>
      <c r="H9056" t="s">
        <v>46</v>
      </c>
      <c r="I9056" t="s">
        <v>2194</v>
      </c>
      <c r="J9056" s="10">
        <v>5</v>
      </c>
      <c r="K9056" t="b">
        <v>1</v>
      </c>
    </row>
    <row r="9057" spans="1:11">
      <c r="A9057" s="12">
        <v>42772</v>
      </c>
      <c r="B9057">
        <v>2017</v>
      </c>
      <c r="C9057">
        <v>2</v>
      </c>
      <c r="D9057" s="11">
        <v>42767</v>
      </c>
      <c r="E9057" t="s">
        <v>2174</v>
      </c>
      <c r="F9057">
        <v>1</v>
      </c>
      <c r="G9057" t="s">
        <v>61</v>
      </c>
      <c r="H9057" t="s">
        <v>47</v>
      </c>
      <c r="I9057" t="s">
        <v>2195</v>
      </c>
      <c r="J9057" s="10">
        <v>0</v>
      </c>
      <c r="K9057" t="b">
        <v>1</v>
      </c>
    </row>
    <row r="9058" spans="1:11">
      <c r="A9058" s="12">
        <v>42773</v>
      </c>
      <c r="B9058">
        <v>2017</v>
      </c>
      <c r="C9058">
        <v>2</v>
      </c>
      <c r="D9058" s="11">
        <v>42767</v>
      </c>
      <c r="E9058" t="s">
        <v>2174</v>
      </c>
      <c r="F9058">
        <v>2</v>
      </c>
      <c r="G9058" t="s">
        <v>63</v>
      </c>
      <c r="H9058" t="s">
        <v>40</v>
      </c>
      <c r="I9058" t="s">
        <v>2188</v>
      </c>
      <c r="J9058" s="10">
        <v>3</v>
      </c>
      <c r="K9058" t="b">
        <v>1</v>
      </c>
    </row>
    <row r="9059" spans="1:11">
      <c r="A9059" s="12">
        <v>42773</v>
      </c>
      <c r="B9059">
        <v>2017</v>
      </c>
      <c r="C9059">
        <v>2</v>
      </c>
      <c r="D9059" s="11">
        <v>42767</v>
      </c>
      <c r="E9059" t="s">
        <v>2174</v>
      </c>
      <c r="F9059">
        <v>2</v>
      </c>
      <c r="G9059" t="s">
        <v>63</v>
      </c>
      <c r="H9059" t="s">
        <v>41</v>
      </c>
      <c r="I9059" t="s">
        <v>2189</v>
      </c>
      <c r="J9059" s="10">
        <v>0.33</v>
      </c>
      <c r="K9059" t="b">
        <v>1</v>
      </c>
    </row>
    <row r="9060" spans="1:11">
      <c r="A9060" s="12">
        <v>42773</v>
      </c>
      <c r="B9060">
        <v>2017</v>
      </c>
      <c r="C9060">
        <v>2</v>
      </c>
      <c r="D9060" s="11">
        <v>42767</v>
      </c>
      <c r="E9060" t="s">
        <v>2174</v>
      </c>
      <c r="F9060">
        <v>2</v>
      </c>
      <c r="G9060" t="s">
        <v>63</v>
      </c>
      <c r="H9060" t="s">
        <v>42</v>
      </c>
      <c r="I9060" t="s">
        <v>2190</v>
      </c>
      <c r="J9060" s="10">
        <v>3.5</v>
      </c>
      <c r="K9060" t="b">
        <v>1</v>
      </c>
    </row>
    <row r="9061" spans="1:11">
      <c r="A9061" s="12">
        <v>42773</v>
      </c>
      <c r="B9061">
        <v>2017</v>
      </c>
      <c r="C9061">
        <v>2</v>
      </c>
      <c r="D9061" s="11">
        <v>42767</v>
      </c>
      <c r="E9061" t="s">
        <v>2174</v>
      </c>
      <c r="F9061">
        <v>2</v>
      </c>
      <c r="G9061" t="s">
        <v>63</v>
      </c>
      <c r="H9061" t="s">
        <v>43</v>
      </c>
      <c r="I9061" t="s">
        <v>2191</v>
      </c>
      <c r="J9061" s="10">
        <v>13.8</v>
      </c>
      <c r="K9061" t="b">
        <v>1</v>
      </c>
    </row>
    <row r="9062" spans="1:11">
      <c r="A9062" s="12">
        <v>42773</v>
      </c>
      <c r="B9062">
        <v>2017</v>
      </c>
      <c r="C9062">
        <v>2</v>
      </c>
      <c r="D9062" s="11">
        <v>42767</v>
      </c>
      <c r="E9062" t="s">
        <v>2174</v>
      </c>
      <c r="F9062">
        <v>2</v>
      </c>
      <c r="G9062" t="s">
        <v>63</v>
      </c>
      <c r="H9062" t="s">
        <v>44</v>
      </c>
      <c r="I9062" t="s">
        <v>2192</v>
      </c>
      <c r="J9062" s="10">
        <v>3</v>
      </c>
      <c r="K9062" t="b">
        <v>1</v>
      </c>
    </row>
    <row r="9063" spans="1:11">
      <c r="A9063" s="12">
        <v>42773</v>
      </c>
      <c r="B9063">
        <v>2017</v>
      </c>
      <c r="C9063">
        <v>2</v>
      </c>
      <c r="D9063" s="11">
        <v>42767</v>
      </c>
      <c r="E9063" t="s">
        <v>2174</v>
      </c>
      <c r="F9063">
        <v>2</v>
      </c>
      <c r="G9063" t="s">
        <v>63</v>
      </c>
      <c r="H9063" t="s">
        <v>45</v>
      </c>
      <c r="I9063" t="s">
        <v>2193</v>
      </c>
      <c r="J9063" s="10">
        <v>0</v>
      </c>
      <c r="K9063" t="b">
        <v>1</v>
      </c>
    </row>
    <row r="9064" spans="1:11">
      <c r="A9064" s="12">
        <v>42773</v>
      </c>
      <c r="B9064">
        <v>2017</v>
      </c>
      <c r="C9064">
        <v>2</v>
      </c>
      <c r="D9064" s="11">
        <v>42767</v>
      </c>
      <c r="E9064" t="s">
        <v>2174</v>
      </c>
      <c r="F9064">
        <v>2</v>
      </c>
      <c r="G9064" t="s">
        <v>63</v>
      </c>
      <c r="H9064" t="s">
        <v>46</v>
      </c>
      <c r="I9064" t="s">
        <v>2194</v>
      </c>
      <c r="J9064" s="10">
        <v>7</v>
      </c>
      <c r="K9064" t="b">
        <v>1</v>
      </c>
    </row>
    <row r="9065" spans="1:11">
      <c r="A9065" s="12">
        <v>42773</v>
      </c>
      <c r="B9065">
        <v>2017</v>
      </c>
      <c r="C9065">
        <v>2</v>
      </c>
      <c r="D9065" s="11">
        <v>42767</v>
      </c>
      <c r="E9065" t="s">
        <v>2174</v>
      </c>
      <c r="F9065">
        <v>2</v>
      </c>
      <c r="G9065" t="s">
        <v>63</v>
      </c>
      <c r="H9065" t="s">
        <v>47</v>
      </c>
      <c r="I9065" t="s">
        <v>2195</v>
      </c>
      <c r="J9065" s="10">
        <v>2</v>
      </c>
      <c r="K9065" t="b">
        <v>1</v>
      </c>
    </row>
    <row r="9066" spans="1:11">
      <c r="A9066" s="12">
        <v>42774</v>
      </c>
      <c r="B9066">
        <v>2017</v>
      </c>
      <c r="C9066">
        <v>2</v>
      </c>
      <c r="D9066" s="11">
        <v>42767</v>
      </c>
      <c r="E9066" t="s">
        <v>2174</v>
      </c>
      <c r="F9066">
        <v>3</v>
      </c>
      <c r="G9066" t="s">
        <v>65</v>
      </c>
      <c r="H9066" t="s">
        <v>40</v>
      </c>
      <c r="I9066" t="s">
        <v>2188</v>
      </c>
      <c r="J9066" s="10">
        <v>11</v>
      </c>
      <c r="K9066" t="b">
        <v>1</v>
      </c>
    </row>
    <row r="9067" spans="1:11">
      <c r="A9067" s="12">
        <v>42774</v>
      </c>
      <c r="B9067">
        <v>2017</v>
      </c>
      <c r="C9067">
        <v>2</v>
      </c>
      <c r="D9067" s="11">
        <v>42767</v>
      </c>
      <c r="E9067" t="s">
        <v>2174</v>
      </c>
      <c r="F9067">
        <v>3</v>
      </c>
      <c r="G9067" t="s">
        <v>65</v>
      </c>
      <c r="H9067" t="s">
        <v>41</v>
      </c>
      <c r="I9067" t="s">
        <v>2189</v>
      </c>
      <c r="J9067" s="10">
        <v>1.67</v>
      </c>
      <c r="K9067" t="b">
        <v>1</v>
      </c>
    </row>
    <row r="9068" spans="1:11">
      <c r="A9068" s="12">
        <v>42774</v>
      </c>
      <c r="B9068">
        <v>2017</v>
      </c>
      <c r="C9068">
        <v>2</v>
      </c>
      <c r="D9068" s="11">
        <v>42767</v>
      </c>
      <c r="E9068" t="s">
        <v>2174</v>
      </c>
      <c r="F9068">
        <v>3</v>
      </c>
      <c r="G9068" t="s">
        <v>65</v>
      </c>
      <c r="H9068" t="s">
        <v>42</v>
      </c>
      <c r="I9068" t="s">
        <v>2190</v>
      </c>
      <c r="J9068" s="10">
        <v>4</v>
      </c>
      <c r="K9068" t="b">
        <v>1</v>
      </c>
    </row>
    <row r="9069" spans="1:11">
      <c r="A9069" s="12">
        <v>42774</v>
      </c>
      <c r="B9069">
        <v>2017</v>
      </c>
      <c r="C9069">
        <v>2</v>
      </c>
      <c r="D9069" s="11">
        <v>42767</v>
      </c>
      <c r="E9069" t="s">
        <v>2174</v>
      </c>
      <c r="F9069">
        <v>3</v>
      </c>
      <c r="G9069" t="s">
        <v>65</v>
      </c>
      <c r="H9069" t="s">
        <v>43</v>
      </c>
      <c r="I9069" t="s">
        <v>2191</v>
      </c>
      <c r="J9069" s="10">
        <v>36</v>
      </c>
      <c r="K9069" t="b">
        <v>1</v>
      </c>
    </row>
    <row r="9070" spans="1:11">
      <c r="A9070" s="12">
        <v>42774</v>
      </c>
      <c r="B9070">
        <v>2017</v>
      </c>
      <c r="C9070">
        <v>2</v>
      </c>
      <c r="D9070" s="11">
        <v>42767</v>
      </c>
      <c r="E9070" t="s">
        <v>2174</v>
      </c>
      <c r="F9070">
        <v>3</v>
      </c>
      <c r="G9070" t="s">
        <v>65</v>
      </c>
      <c r="H9070" t="s">
        <v>44</v>
      </c>
      <c r="I9070" t="s">
        <v>2192</v>
      </c>
      <c r="J9070" s="10">
        <v>7</v>
      </c>
      <c r="K9070" t="b">
        <v>1</v>
      </c>
    </row>
    <row r="9071" spans="1:11">
      <c r="A9071" s="12">
        <v>42774</v>
      </c>
      <c r="B9071">
        <v>2017</v>
      </c>
      <c r="C9071">
        <v>2</v>
      </c>
      <c r="D9071" s="11">
        <v>42767</v>
      </c>
      <c r="E9071" t="s">
        <v>2174</v>
      </c>
      <c r="F9071">
        <v>3</v>
      </c>
      <c r="G9071" t="s">
        <v>65</v>
      </c>
      <c r="H9071" t="s">
        <v>45</v>
      </c>
      <c r="I9071" t="s">
        <v>2193</v>
      </c>
      <c r="J9071" s="10">
        <v>0</v>
      </c>
      <c r="K9071" t="b">
        <v>1</v>
      </c>
    </row>
    <row r="9072" spans="1:11">
      <c r="A9072" s="12">
        <v>42774</v>
      </c>
      <c r="B9072">
        <v>2017</v>
      </c>
      <c r="C9072">
        <v>2</v>
      </c>
      <c r="D9072" s="11">
        <v>42767</v>
      </c>
      <c r="E9072" t="s">
        <v>2174</v>
      </c>
      <c r="F9072">
        <v>3</v>
      </c>
      <c r="G9072" t="s">
        <v>65</v>
      </c>
      <c r="H9072" t="s">
        <v>46</v>
      </c>
      <c r="I9072" t="s">
        <v>2194</v>
      </c>
      <c r="J9072" s="10">
        <v>10</v>
      </c>
      <c r="K9072" t="b">
        <v>1</v>
      </c>
    </row>
    <row r="9073" spans="1:11">
      <c r="A9073" s="12">
        <v>42774</v>
      </c>
      <c r="B9073">
        <v>2017</v>
      </c>
      <c r="C9073">
        <v>2</v>
      </c>
      <c r="D9073" s="11">
        <v>42767</v>
      </c>
      <c r="E9073" t="s">
        <v>2174</v>
      </c>
      <c r="F9073">
        <v>3</v>
      </c>
      <c r="G9073" t="s">
        <v>65</v>
      </c>
      <c r="H9073" t="s">
        <v>47</v>
      </c>
      <c r="I9073" t="s">
        <v>2195</v>
      </c>
      <c r="J9073" s="10">
        <v>2</v>
      </c>
      <c r="K9073" t="b">
        <v>1</v>
      </c>
    </row>
    <row r="9074" spans="1:11">
      <c r="A9074" s="12">
        <v>42775</v>
      </c>
      <c r="B9074">
        <v>2017</v>
      </c>
      <c r="C9074">
        <v>2</v>
      </c>
      <c r="D9074" s="11">
        <v>42767</v>
      </c>
      <c r="E9074" t="s">
        <v>2174</v>
      </c>
      <c r="F9074">
        <v>4</v>
      </c>
      <c r="G9074" t="s">
        <v>53</v>
      </c>
      <c r="H9074" t="s">
        <v>40</v>
      </c>
      <c r="I9074" t="s">
        <v>2188</v>
      </c>
      <c r="J9074" s="10">
        <v>3.9825</v>
      </c>
      <c r="K9074" t="b">
        <v>1</v>
      </c>
    </row>
    <row r="9075" spans="1:11">
      <c r="A9075" s="12">
        <v>42775</v>
      </c>
      <c r="B9075">
        <v>2017</v>
      </c>
      <c r="C9075">
        <v>2</v>
      </c>
      <c r="D9075" s="11">
        <v>42767</v>
      </c>
      <c r="E9075" t="s">
        <v>2174</v>
      </c>
      <c r="F9075">
        <v>4</v>
      </c>
      <c r="G9075" t="s">
        <v>53</v>
      </c>
      <c r="H9075" t="s">
        <v>41</v>
      </c>
      <c r="I9075" t="s">
        <v>2189</v>
      </c>
      <c r="J9075" s="10">
        <v>1.76</v>
      </c>
      <c r="K9075" t="b">
        <v>1</v>
      </c>
    </row>
    <row r="9076" spans="1:11">
      <c r="A9076" s="12">
        <v>42775</v>
      </c>
      <c r="B9076">
        <v>2017</v>
      </c>
      <c r="C9076">
        <v>2</v>
      </c>
      <c r="D9076" s="11">
        <v>42767</v>
      </c>
      <c r="E9076" t="s">
        <v>2174</v>
      </c>
      <c r="F9076">
        <v>4</v>
      </c>
      <c r="G9076" t="s">
        <v>53</v>
      </c>
      <c r="H9076" t="s">
        <v>42</v>
      </c>
      <c r="I9076" t="s">
        <v>2190</v>
      </c>
      <c r="J9076" s="10">
        <v>4</v>
      </c>
      <c r="K9076" t="b">
        <v>1</v>
      </c>
    </row>
    <row r="9077" spans="1:11">
      <c r="A9077" s="12">
        <v>42775</v>
      </c>
      <c r="B9077">
        <v>2017</v>
      </c>
      <c r="C9077">
        <v>2</v>
      </c>
      <c r="D9077" s="11">
        <v>42767</v>
      </c>
      <c r="E9077" t="s">
        <v>2174</v>
      </c>
      <c r="F9077">
        <v>4</v>
      </c>
      <c r="G9077" t="s">
        <v>53</v>
      </c>
      <c r="H9077" t="s">
        <v>43</v>
      </c>
      <c r="I9077" t="s">
        <v>2191</v>
      </c>
      <c r="J9077" s="10">
        <v>20.4</v>
      </c>
      <c r="K9077" t="b">
        <v>1</v>
      </c>
    </row>
    <row r="9078" spans="1:11">
      <c r="A9078" s="12">
        <v>42775</v>
      </c>
      <c r="B9078">
        <v>2017</v>
      </c>
      <c r="C9078">
        <v>2</v>
      </c>
      <c r="D9078" s="11">
        <v>42767</v>
      </c>
      <c r="E9078" t="s">
        <v>2174</v>
      </c>
      <c r="F9078">
        <v>4</v>
      </c>
      <c r="G9078" t="s">
        <v>53</v>
      </c>
      <c r="H9078" t="s">
        <v>44</v>
      </c>
      <c r="I9078" t="s">
        <v>2192</v>
      </c>
      <c r="J9078" s="10">
        <v>6</v>
      </c>
      <c r="K9078" t="b">
        <v>1</v>
      </c>
    </row>
    <row r="9079" spans="1:11">
      <c r="A9079" s="12">
        <v>42775</v>
      </c>
      <c r="B9079">
        <v>2017</v>
      </c>
      <c r="C9079">
        <v>2</v>
      </c>
      <c r="D9079" s="11">
        <v>42767</v>
      </c>
      <c r="E9079" t="s">
        <v>2174</v>
      </c>
      <c r="F9079">
        <v>4</v>
      </c>
      <c r="G9079" t="s">
        <v>53</v>
      </c>
      <c r="H9079" t="s">
        <v>45</v>
      </c>
      <c r="I9079" t="s">
        <v>2193</v>
      </c>
      <c r="J9079" s="10">
        <v>0</v>
      </c>
      <c r="K9079" t="b">
        <v>1</v>
      </c>
    </row>
    <row r="9080" spans="1:11">
      <c r="A9080" s="12">
        <v>42775</v>
      </c>
      <c r="B9080">
        <v>2017</v>
      </c>
      <c r="C9080">
        <v>2</v>
      </c>
      <c r="D9080" s="11">
        <v>42767</v>
      </c>
      <c r="E9080" t="s">
        <v>2174</v>
      </c>
      <c r="F9080">
        <v>4</v>
      </c>
      <c r="G9080" t="s">
        <v>53</v>
      </c>
      <c r="H9080" t="s">
        <v>46</v>
      </c>
      <c r="I9080" t="s">
        <v>2194</v>
      </c>
      <c r="J9080" s="10">
        <v>0</v>
      </c>
      <c r="K9080" t="b">
        <v>1</v>
      </c>
    </row>
    <row r="9081" spans="1:11">
      <c r="A9081" s="12">
        <v>42775</v>
      </c>
      <c r="B9081">
        <v>2017</v>
      </c>
      <c r="C9081">
        <v>2</v>
      </c>
      <c r="D9081" s="11">
        <v>42767</v>
      </c>
      <c r="E9081" t="s">
        <v>2174</v>
      </c>
      <c r="F9081">
        <v>4</v>
      </c>
      <c r="G9081" t="s">
        <v>53</v>
      </c>
      <c r="H9081" t="s">
        <v>47</v>
      </c>
      <c r="I9081" t="s">
        <v>2195</v>
      </c>
      <c r="J9081" s="10">
        <v>1</v>
      </c>
      <c r="K9081" t="b">
        <v>1</v>
      </c>
    </row>
    <row r="9082" spans="1:11">
      <c r="A9082" s="12">
        <v>42776</v>
      </c>
      <c r="B9082">
        <v>2017</v>
      </c>
      <c r="C9082">
        <v>2</v>
      </c>
      <c r="D9082" s="11">
        <v>42767</v>
      </c>
      <c r="E9082" t="s">
        <v>2174</v>
      </c>
      <c r="F9082">
        <v>5</v>
      </c>
      <c r="G9082" t="s">
        <v>55</v>
      </c>
      <c r="H9082" t="s">
        <v>40</v>
      </c>
      <c r="I9082" t="s">
        <v>2188</v>
      </c>
      <c r="J9082" s="10">
        <v>4.01</v>
      </c>
      <c r="K9082" t="b">
        <v>1</v>
      </c>
    </row>
    <row r="9083" spans="1:11">
      <c r="A9083" s="12">
        <v>42776</v>
      </c>
      <c r="B9083">
        <v>2017</v>
      </c>
      <c r="C9083">
        <v>2</v>
      </c>
      <c r="D9083" s="11">
        <v>42767</v>
      </c>
      <c r="E9083" t="s">
        <v>2174</v>
      </c>
      <c r="F9083">
        <v>5</v>
      </c>
      <c r="G9083" t="s">
        <v>55</v>
      </c>
      <c r="H9083" t="s">
        <v>41</v>
      </c>
      <c r="I9083" t="s">
        <v>2189</v>
      </c>
      <c r="J9083" s="10">
        <v>3.34</v>
      </c>
      <c r="K9083" t="b">
        <v>1</v>
      </c>
    </row>
    <row r="9084" spans="1:11">
      <c r="A9084" s="12">
        <v>42776</v>
      </c>
      <c r="B9084">
        <v>2017</v>
      </c>
      <c r="C9084">
        <v>2</v>
      </c>
      <c r="D9084" s="11">
        <v>42767</v>
      </c>
      <c r="E9084" t="s">
        <v>2174</v>
      </c>
      <c r="F9084">
        <v>5</v>
      </c>
      <c r="G9084" t="s">
        <v>55</v>
      </c>
      <c r="H9084" t="s">
        <v>42</v>
      </c>
      <c r="I9084" t="s">
        <v>2190</v>
      </c>
      <c r="J9084" s="10">
        <v>4.75</v>
      </c>
      <c r="K9084" t="b">
        <v>1</v>
      </c>
    </row>
    <row r="9085" spans="1:11">
      <c r="A9085" s="12">
        <v>42776</v>
      </c>
      <c r="B9085">
        <v>2017</v>
      </c>
      <c r="C9085">
        <v>2</v>
      </c>
      <c r="D9085" s="11">
        <v>42767</v>
      </c>
      <c r="E9085" t="s">
        <v>2174</v>
      </c>
      <c r="F9085">
        <v>5</v>
      </c>
      <c r="G9085" t="s">
        <v>55</v>
      </c>
      <c r="H9085" t="s">
        <v>43</v>
      </c>
      <c r="I9085" t="s">
        <v>2191</v>
      </c>
      <c r="J9085" s="10">
        <v>23.2</v>
      </c>
      <c r="K9085" t="b">
        <v>1</v>
      </c>
    </row>
    <row r="9086" spans="1:11">
      <c r="A9086" s="12">
        <v>42776</v>
      </c>
      <c r="B9086">
        <v>2017</v>
      </c>
      <c r="C9086">
        <v>2</v>
      </c>
      <c r="D9086" s="11">
        <v>42767</v>
      </c>
      <c r="E9086" t="s">
        <v>2174</v>
      </c>
      <c r="F9086">
        <v>5</v>
      </c>
      <c r="G9086" t="s">
        <v>55</v>
      </c>
      <c r="H9086" t="s">
        <v>44</v>
      </c>
      <c r="I9086" t="s">
        <v>2192</v>
      </c>
      <c r="J9086" s="10">
        <v>5</v>
      </c>
      <c r="K9086" t="b">
        <v>1</v>
      </c>
    </row>
    <row r="9087" spans="1:11">
      <c r="A9087" s="12">
        <v>42776</v>
      </c>
      <c r="B9087">
        <v>2017</v>
      </c>
      <c r="C9087">
        <v>2</v>
      </c>
      <c r="D9087" s="11">
        <v>42767</v>
      </c>
      <c r="E9087" t="s">
        <v>2174</v>
      </c>
      <c r="F9087">
        <v>5</v>
      </c>
      <c r="G9087" t="s">
        <v>55</v>
      </c>
      <c r="H9087" t="s">
        <v>45</v>
      </c>
      <c r="I9087" t="s">
        <v>2193</v>
      </c>
      <c r="J9087" s="10">
        <v>0</v>
      </c>
      <c r="K9087" t="b">
        <v>1</v>
      </c>
    </row>
    <row r="9088" spans="1:11">
      <c r="A9088" s="12">
        <v>42776</v>
      </c>
      <c r="B9088">
        <v>2017</v>
      </c>
      <c r="C9088">
        <v>2</v>
      </c>
      <c r="D9088" s="11">
        <v>42767</v>
      </c>
      <c r="E9088" t="s">
        <v>2174</v>
      </c>
      <c r="F9088">
        <v>5</v>
      </c>
      <c r="G9088" t="s">
        <v>55</v>
      </c>
      <c r="H9088" t="s">
        <v>46</v>
      </c>
      <c r="I9088" t="s">
        <v>2194</v>
      </c>
      <c r="J9088" s="10">
        <v>2</v>
      </c>
      <c r="K9088" t="b">
        <v>1</v>
      </c>
    </row>
    <row r="9089" spans="1:11">
      <c r="A9089" s="12">
        <v>42776</v>
      </c>
      <c r="B9089">
        <v>2017</v>
      </c>
      <c r="C9089">
        <v>2</v>
      </c>
      <c r="D9089" s="11">
        <v>42767</v>
      </c>
      <c r="E9089" t="s">
        <v>2174</v>
      </c>
      <c r="F9089">
        <v>5</v>
      </c>
      <c r="G9089" t="s">
        <v>55</v>
      </c>
      <c r="H9089" t="s">
        <v>47</v>
      </c>
      <c r="I9089" t="s">
        <v>2195</v>
      </c>
      <c r="J9089" s="10">
        <v>0</v>
      </c>
      <c r="K9089" t="b">
        <v>1</v>
      </c>
    </row>
    <row r="9090" spans="1:11">
      <c r="A9090" s="12">
        <v>42777</v>
      </c>
      <c r="B9090">
        <v>2017</v>
      </c>
      <c r="C9090">
        <v>2</v>
      </c>
      <c r="D9090" s="11">
        <v>42767</v>
      </c>
      <c r="E9090" t="s">
        <v>2174</v>
      </c>
      <c r="F9090">
        <v>6</v>
      </c>
      <c r="G9090" t="s">
        <v>57</v>
      </c>
      <c r="H9090" t="s">
        <v>40</v>
      </c>
      <c r="I9090" t="s">
        <v>2188</v>
      </c>
      <c r="J9090" s="10">
        <v>5.33</v>
      </c>
      <c r="K9090" t="b">
        <v>1</v>
      </c>
    </row>
    <row r="9091" spans="1:11">
      <c r="A9091" s="12">
        <v>42777</v>
      </c>
      <c r="B9091">
        <v>2017</v>
      </c>
      <c r="C9091">
        <v>2</v>
      </c>
      <c r="D9091" s="11">
        <v>42767</v>
      </c>
      <c r="E9091" t="s">
        <v>2174</v>
      </c>
      <c r="F9091">
        <v>6</v>
      </c>
      <c r="G9091" t="s">
        <v>57</v>
      </c>
      <c r="H9091" t="s">
        <v>41</v>
      </c>
      <c r="I9091" t="s">
        <v>2189</v>
      </c>
      <c r="J9091" s="10">
        <v>6.32</v>
      </c>
      <c r="K9091" t="b">
        <v>1</v>
      </c>
    </row>
    <row r="9092" spans="1:11">
      <c r="A9092" s="12">
        <v>42777</v>
      </c>
      <c r="B9092">
        <v>2017</v>
      </c>
      <c r="C9092">
        <v>2</v>
      </c>
      <c r="D9092" s="11">
        <v>42767</v>
      </c>
      <c r="E9092" t="s">
        <v>2174</v>
      </c>
      <c r="F9092">
        <v>6</v>
      </c>
      <c r="G9092" t="s">
        <v>57</v>
      </c>
      <c r="H9092" t="s">
        <v>42</v>
      </c>
      <c r="I9092" t="s">
        <v>2190</v>
      </c>
      <c r="J9092" s="10">
        <v>5.1</v>
      </c>
      <c r="K9092" t="b">
        <v>1</v>
      </c>
    </row>
    <row r="9093" spans="1:11">
      <c r="A9093" s="12">
        <v>42777</v>
      </c>
      <c r="B9093">
        <v>2017</v>
      </c>
      <c r="C9093">
        <v>2</v>
      </c>
      <c r="D9093" s="11">
        <v>42767</v>
      </c>
      <c r="E9093" t="s">
        <v>2174</v>
      </c>
      <c r="F9093">
        <v>6</v>
      </c>
      <c r="G9093" t="s">
        <v>57</v>
      </c>
      <c r="H9093" t="s">
        <v>43</v>
      </c>
      <c r="I9093" t="s">
        <v>2191</v>
      </c>
      <c r="J9093" s="10">
        <v>12.4</v>
      </c>
      <c r="K9093" t="b">
        <v>1</v>
      </c>
    </row>
    <row r="9094" spans="1:11">
      <c r="A9094" s="12">
        <v>42777</v>
      </c>
      <c r="B9094">
        <v>2017</v>
      </c>
      <c r="C9094">
        <v>2</v>
      </c>
      <c r="D9094" s="11">
        <v>42767</v>
      </c>
      <c r="E9094" t="s">
        <v>2174</v>
      </c>
      <c r="F9094">
        <v>6</v>
      </c>
      <c r="G9094" t="s">
        <v>57</v>
      </c>
      <c r="H9094" t="s">
        <v>44</v>
      </c>
      <c r="I9094" t="s">
        <v>2192</v>
      </c>
      <c r="J9094" s="10">
        <v>11</v>
      </c>
      <c r="K9094" t="b">
        <v>1</v>
      </c>
    </row>
    <row r="9095" spans="1:11">
      <c r="A9095" s="12">
        <v>42777</v>
      </c>
      <c r="B9095">
        <v>2017</v>
      </c>
      <c r="C9095">
        <v>2</v>
      </c>
      <c r="D9095" s="11">
        <v>42767</v>
      </c>
      <c r="E9095" t="s">
        <v>2174</v>
      </c>
      <c r="F9095">
        <v>6</v>
      </c>
      <c r="G9095" t="s">
        <v>57</v>
      </c>
      <c r="H9095" t="s">
        <v>45</v>
      </c>
      <c r="I9095" t="s">
        <v>2193</v>
      </c>
      <c r="J9095" s="10">
        <v>1</v>
      </c>
      <c r="K9095" t="b">
        <v>1</v>
      </c>
    </row>
    <row r="9096" spans="1:11">
      <c r="A9096" s="12">
        <v>42777</v>
      </c>
      <c r="B9096">
        <v>2017</v>
      </c>
      <c r="C9096">
        <v>2</v>
      </c>
      <c r="D9096" s="11">
        <v>42767</v>
      </c>
      <c r="E9096" t="s">
        <v>2174</v>
      </c>
      <c r="F9096">
        <v>6</v>
      </c>
      <c r="G9096" t="s">
        <v>57</v>
      </c>
      <c r="H9096" t="s">
        <v>46</v>
      </c>
      <c r="I9096" t="s">
        <v>2194</v>
      </c>
      <c r="J9096" s="10">
        <v>1</v>
      </c>
      <c r="K9096" t="b">
        <v>1</v>
      </c>
    </row>
    <row r="9097" spans="1:11">
      <c r="A9097" s="12">
        <v>42777</v>
      </c>
      <c r="B9097">
        <v>2017</v>
      </c>
      <c r="C9097">
        <v>2</v>
      </c>
      <c r="D9097" s="11">
        <v>42767</v>
      </c>
      <c r="E9097" t="s">
        <v>2174</v>
      </c>
      <c r="F9097">
        <v>6</v>
      </c>
      <c r="G9097" t="s">
        <v>57</v>
      </c>
      <c r="H9097" t="s">
        <v>47</v>
      </c>
      <c r="I9097" t="s">
        <v>2195</v>
      </c>
      <c r="J9097" s="10">
        <v>3</v>
      </c>
      <c r="K9097" t="b">
        <v>1</v>
      </c>
    </row>
    <row r="9098" spans="1:11">
      <c r="A9098" s="12">
        <v>42778</v>
      </c>
      <c r="B9098">
        <v>2017</v>
      </c>
      <c r="C9098">
        <v>2</v>
      </c>
      <c r="D9098" s="11">
        <v>42767</v>
      </c>
      <c r="E9098" t="s">
        <v>2174</v>
      </c>
      <c r="F9098">
        <v>7</v>
      </c>
      <c r="G9098" t="s">
        <v>59</v>
      </c>
      <c r="H9098" t="s">
        <v>40</v>
      </c>
      <c r="I9098" t="s">
        <v>2188</v>
      </c>
      <c r="J9098" s="10">
        <v>10</v>
      </c>
      <c r="K9098" t="b">
        <v>1</v>
      </c>
    </row>
    <row r="9099" spans="1:11">
      <c r="A9099" s="12">
        <v>42778</v>
      </c>
      <c r="B9099">
        <v>2017</v>
      </c>
      <c r="C9099">
        <v>2</v>
      </c>
      <c r="D9099" s="11">
        <v>42767</v>
      </c>
      <c r="E9099" t="s">
        <v>2174</v>
      </c>
      <c r="F9099">
        <v>7</v>
      </c>
      <c r="G9099" t="s">
        <v>59</v>
      </c>
      <c r="H9099" t="s">
        <v>41</v>
      </c>
      <c r="I9099" t="s">
        <v>2189</v>
      </c>
      <c r="J9099" s="10">
        <v>10.67</v>
      </c>
      <c r="K9099" t="b">
        <v>1</v>
      </c>
    </row>
    <row r="9100" spans="1:11">
      <c r="A9100" s="12">
        <v>42778</v>
      </c>
      <c r="B9100">
        <v>2017</v>
      </c>
      <c r="C9100">
        <v>2</v>
      </c>
      <c r="D9100" s="11">
        <v>42767</v>
      </c>
      <c r="E9100" t="s">
        <v>2174</v>
      </c>
      <c r="F9100">
        <v>7</v>
      </c>
      <c r="G9100" t="s">
        <v>59</v>
      </c>
      <c r="H9100" t="s">
        <v>42</v>
      </c>
      <c r="I9100" t="s">
        <v>2190</v>
      </c>
      <c r="J9100" s="10">
        <v>7.8</v>
      </c>
      <c r="K9100" t="b">
        <v>1</v>
      </c>
    </row>
    <row r="9101" spans="1:11">
      <c r="A9101" s="12">
        <v>42778</v>
      </c>
      <c r="B9101">
        <v>2017</v>
      </c>
      <c r="C9101">
        <v>2</v>
      </c>
      <c r="D9101" s="11">
        <v>42767</v>
      </c>
      <c r="E9101" t="s">
        <v>2174</v>
      </c>
      <c r="F9101">
        <v>7</v>
      </c>
      <c r="G9101" t="s">
        <v>59</v>
      </c>
      <c r="H9101" t="s">
        <v>43</v>
      </c>
      <c r="I9101" t="s">
        <v>2191</v>
      </c>
      <c r="J9101" s="10">
        <v>27.4</v>
      </c>
      <c r="K9101" t="b">
        <v>1</v>
      </c>
    </row>
    <row r="9102" spans="1:11">
      <c r="A9102" s="12">
        <v>42778</v>
      </c>
      <c r="B9102">
        <v>2017</v>
      </c>
      <c r="C9102">
        <v>2</v>
      </c>
      <c r="D9102" s="11">
        <v>42767</v>
      </c>
      <c r="E9102" t="s">
        <v>2174</v>
      </c>
      <c r="F9102">
        <v>7</v>
      </c>
      <c r="G9102" t="s">
        <v>59</v>
      </c>
      <c r="H9102" t="s">
        <v>44</v>
      </c>
      <c r="I9102" t="s">
        <v>2192</v>
      </c>
      <c r="J9102" s="10">
        <v>4</v>
      </c>
      <c r="K9102" t="b">
        <v>1</v>
      </c>
    </row>
    <row r="9103" spans="1:11">
      <c r="A9103" s="12">
        <v>42778</v>
      </c>
      <c r="B9103">
        <v>2017</v>
      </c>
      <c r="C9103">
        <v>2</v>
      </c>
      <c r="D9103" s="11">
        <v>42767</v>
      </c>
      <c r="E9103" t="s">
        <v>2174</v>
      </c>
      <c r="F9103">
        <v>7</v>
      </c>
      <c r="G9103" t="s">
        <v>59</v>
      </c>
      <c r="H9103" t="s">
        <v>45</v>
      </c>
      <c r="I9103" t="s">
        <v>2193</v>
      </c>
      <c r="J9103" s="10">
        <v>0</v>
      </c>
      <c r="K9103" t="b">
        <v>1</v>
      </c>
    </row>
    <row r="9104" spans="1:11">
      <c r="A9104" s="12">
        <v>42778</v>
      </c>
      <c r="B9104">
        <v>2017</v>
      </c>
      <c r="C9104">
        <v>2</v>
      </c>
      <c r="D9104" s="11">
        <v>42767</v>
      </c>
      <c r="E9104" t="s">
        <v>2174</v>
      </c>
      <c r="F9104">
        <v>7</v>
      </c>
      <c r="G9104" t="s">
        <v>59</v>
      </c>
      <c r="H9104" t="s">
        <v>46</v>
      </c>
      <c r="I9104" t="s">
        <v>2194</v>
      </c>
      <c r="J9104" s="10">
        <v>2</v>
      </c>
      <c r="K9104" t="b">
        <v>1</v>
      </c>
    </row>
    <row r="9105" spans="1:11">
      <c r="A9105" s="12">
        <v>42778</v>
      </c>
      <c r="B9105">
        <v>2017</v>
      </c>
      <c r="C9105">
        <v>2</v>
      </c>
      <c r="D9105" s="11">
        <v>42767</v>
      </c>
      <c r="E9105" t="s">
        <v>2174</v>
      </c>
      <c r="F9105">
        <v>7</v>
      </c>
      <c r="G9105" t="s">
        <v>59</v>
      </c>
      <c r="H9105" t="s">
        <v>47</v>
      </c>
      <c r="I9105" t="s">
        <v>2195</v>
      </c>
      <c r="J9105" s="10">
        <v>1</v>
      </c>
      <c r="K9105" t="b">
        <v>1</v>
      </c>
    </row>
    <row r="9106" spans="1:11">
      <c r="A9106" s="12">
        <v>42779</v>
      </c>
      <c r="B9106">
        <v>2017</v>
      </c>
      <c r="C9106">
        <v>2</v>
      </c>
      <c r="D9106" s="11">
        <v>42767</v>
      </c>
      <c r="E9106" t="s">
        <v>2174</v>
      </c>
      <c r="F9106">
        <v>1</v>
      </c>
      <c r="G9106" t="s">
        <v>61</v>
      </c>
      <c r="H9106" t="s">
        <v>40</v>
      </c>
      <c r="I9106" t="s">
        <v>2188</v>
      </c>
      <c r="J9106" s="10">
        <v>0</v>
      </c>
      <c r="K9106" t="b">
        <v>1</v>
      </c>
    </row>
    <row r="9107" spans="1:11">
      <c r="A9107" s="12">
        <v>42779</v>
      </c>
      <c r="B9107">
        <v>2017</v>
      </c>
      <c r="C9107">
        <v>2</v>
      </c>
      <c r="D9107" s="11">
        <v>42767</v>
      </c>
      <c r="E9107" t="s">
        <v>2174</v>
      </c>
      <c r="F9107">
        <v>1</v>
      </c>
      <c r="G9107" t="s">
        <v>61</v>
      </c>
      <c r="H9107" t="s">
        <v>41</v>
      </c>
      <c r="I9107" t="s">
        <v>2189</v>
      </c>
      <c r="J9107" s="10">
        <v>0</v>
      </c>
      <c r="K9107" t="b">
        <v>1</v>
      </c>
    </row>
    <row r="9108" spans="1:11">
      <c r="A9108" s="12">
        <v>42779</v>
      </c>
      <c r="B9108">
        <v>2017</v>
      </c>
      <c r="C9108">
        <v>2</v>
      </c>
      <c r="D9108" s="11">
        <v>42767</v>
      </c>
      <c r="E9108" t="s">
        <v>2174</v>
      </c>
      <c r="F9108">
        <v>1</v>
      </c>
      <c r="G9108" t="s">
        <v>61</v>
      </c>
      <c r="H9108" t="s">
        <v>42</v>
      </c>
      <c r="I9108" t="s">
        <v>2190</v>
      </c>
      <c r="J9108" s="10">
        <v>0</v>
      </c>
      <c r="K9108" t="b">
        <v>1</v>
      </c>
    </row>
    <row r="9109" spans="1:11">
      <c r="A9109" s="12">
        <v>42779</v>
      </c>
      <c r="B9109">
        <v>2017</v>
      </c>
      <c r="C9109">
        <v>2</v>
      </c>
      <c r="D9109" s="11">
        <v>42767</v>
      </c>
      <c r="E9109" t="s">
        <v>2174</v>
      </c>
      <c r="F9109">
        <v>1</v>
      </c>
      <c r="G9109" t="s">
        <v>61</v>
      </c>
      <c r="H9109" t="s">
        <v>43</v>
      </c>
      <c r="I9109" t="s">
        <v>2191</v>
      </c>
      <c r="J9109" s="10">
        <v>0</v>
      </c>
      <c r="K9109" t="b">
        <v>1</v>
      </c>
    </row>
    <row r="9110" spans="1:11">
      <c r="A9110" s="12">
        <v>42779</v>
      </c>
      <c r="B9110">
        <v>2017</v>
      </c>
      <c r="C9110">
        <v>2</v>
      </c>
      <c r="D9110" s="11">
        <v>42767</v>
      </c>
      <c r="E9110" t="s">
        <v>2174</v>
      </c>
      <c r="F9110">
        <v>1</v>
      </c>
      <c r="G9110" t="s">
        <v>61</v>
      </c>
      <c r="H9110" t="s">
        <v>44</v>
      </c>
      <c r="I9110" t="s">
        <v>2192</v>
      </c>
      <c r="J9110" s="10">
        <v>0</v>
      </c>
      <c r="K9110" t="b">
        <v>1</v>
      </c>
    </row>
    <row r="9111" spans="1:11">
      <c r="A9111" s="12">
        <v>42779</v>
      </c>
      <c r="B9111">
        <v>2017</v>
      </c>
      <c r="C9111">
        <v>2</v>
      </c>
      <c r="D9111" s="11">
        <v>42767</v>
      </c>
      <c r="E9111" t="s">
        <v>2174</v>
      </c>
      <c r="F9111">
        <v>1</v>
      </c>
      <c r="G9111" t="s">
        <v>61</v>
      </c>
      <c r="H9111" t="s">
        <v>45</v>
      </c>
      <c r="I9111" t="s">
        <v>2193</v>
      </c>
      <c r="J9111" s="10">
        <v>0</v>
      </c>
      <c r="K9111" t="b">
        <v>1</v>
      </c>
    </row>
    <row r="9112" spans="1:11">
      <c r="A9112" s="12">
        <v>42779</v>
      </c>
      <c r="B9112">
        <v>2017</v>
      </c>
      <c r="C9112">
        <v>2</v>
      </c>
      <c r="D9112" s="11">
        <v>42767</v>
      </c>
      <c r="E9112" t="s">
        <v>2174</v>
      </c>
      <c r="F9112">
        <v>1</v>
      </c>
      <c r="G9112" t="s">
        <v>61</v>
      </c>
      <c r="H9112" t="s">
        <v>46</v>
      </c>
      <c r="I9112" t="s">
        <v>2194</v>
      </c>
      <c r="J9112" s="10">
        <v>0</v>
      </c>
      <c r="K9112" t="b">
        <v>1</v>
      </c>
    </row>
    <row r="9113" spans="1:11">
      <c r="A9113" s="12">
        <v>42779</v>
      </c>
      <c r="B9113">
        <v>2017</v>
      </c>
      <c r="C9113">
        <v>2</v>
      </c>
      <c r="D9113" s="11">
        <v>42767</v>
      </c>
      <c r="E9113" t="s">
        <v>2174</v>
      </c>
      <c r="F9113">
        <v>1</v>
      </c>
      <c r="G9113" t="s">
        <v>61</v>
      </c>
      <c r="H9113" t="s">
        <v>47</v>
      </c>
      <c r="I9113" t="s">
        <v>2195</v>
      </c>
      <c r="J9113" s="10">
        <v>0</v>
      </c>
      <c r="K9113" t="b">
        <v>1</v>
      </c>
    </row>
    <row r="9114" spans="1:11">
      <c r="A9114" s="12">
        <v>42780</v>
      </c>
      <c r="B9114">
        <v>2017</v>
      </c>
      <c r="C9114">
        <v>2</v>
      </c>
      <c r="D9114" s="11">
        <v>42767</v>
      </c>
      <c r="E9114" t="s">
        <v>2174</v>
      </c>
      <c r="F9114">
        <v>2</v>
      </c>
      <c r="G9114" t="s">
        <v>63</v>
      </c>
      <c r="H9114" t="s">
        <v>40</v>
      </c>
      <c r="I9114" t="s">
        <v>2188</v>
      </c>
      <c r="J9114" s="10">
        <v>4.33</v>
      </c>
      <c r="K9114" t="b">
        <v>1</v>
      </c>
    </row>
    <row r="9115" spans="1:11">
      <c r="A9115" s="12">
        <v>42780</v>
      </c>
      <c r="B9115">
        <v>2017</v>
      </c>
      <c r="C9115">
        <v>2</v>
      </c>
      <c r="D9115" s="11">
        <v>42767</v>
      </c>
      <c r="E9115" t="s">
        <v>2174</v>
      </c>
      <c r="F9115">
        <v>2</v>
      </c>
      <c r="G9115" t="s">
        <v>63</v>
      </c>
      <c r="H9115" t="s">
        <v>41</v>
      </c>
      <c r="I9115" t="s">
        <v>2189</v>
      </c>
      <c r="J9115" s="10">
        <v>5</v>
      </c>
      <c r="K9115" t="b">
        <v>1</v>
      </c>
    </row>
    <row r="9116" spans="1:11">
      <c r="A9116" s="12">
        <v>42780</v>
      </c>
      <c r="B9116">
        <v>2017</v>
      </c>
      <c r="C9116">
        <v>2</v>
      </c>
      <c r="D9116" s="11">
        <v>42767</v>
      </c>
      <c r="E9116" t="s">
        <v>2174</v>
      </c>
      <c r="F9116">
        <v>2</v>
      </c>
      <c r="G9116" t="s">
        <v>63</v>
      </c>
      <c r="H9116" t="s">
        <v>42</v>
      </c>
      <c r="I9116" t="s">
        <v>2190</v>
      </c>
      <c r="J9116" s="10">
        <v>2.1</v>
      </c>
      <c r="K9116" t="b">
        <v>1</v>
      </c>
    </row>
    <row r="9117" spans="1:11">
      <c r="A9117" s="12">
        <v>42780</v>
      </c>
      <c r="B9117">
        <v>2017</v>
      </c>
      <c r="C9117">
        <v>2</v>
      </c>
      <c r="D9117" s="11">
        <v>42767</v>
      </c>
      <c r="E9117" t="s">
        <v>2174</v>
      </c>
      <c r="F9117">
        <v>2</v>
      </c>
      <c r="G9117" t="s">
        <v>63</v>
      </c>
      <c r="H9117" t="s">
        <v>43</v>
      </c>
      <c r="I9117" t="s">
        <v>2191</v>
      </c>
      <c r="J9117" s="10">
        <v>22</v>
      </c>
      <c r="K9117" t="b">
        <v>1</v>
      </c>
    </row>
    <row r="9118" spans="1:11">
      <c r="A9118" s="12">
        <v>42780</v>
      </c>
      <c r="B9118">
        <v>2017</v>
      </c>
      <c r="C9118">
        <v>2</v>
      </c>
      <c r="D9118" s="11">
        <v>42767</v>
      </c>
      <c r="E9118" t="s">
        <v>2174</v>
      </c>
      <c r="F9118">
        <v>2</v>
      </c>
      <c r="G9118" t="s">
        <v>63</v>
      </c>
      <c r="H9118" t="s">
        <v>44</v>
      </c>
      <c r="I9118" t="s">
        <v>2192</v>
      </c>
      <c r="J9118" s="10">
        <v>0</v>
      </c>
      <c r="K9118" t="b">
        <v>1</v>
      </c>
    </row>
    <row r="9119" spans="1:11">
      <c r="A9119" s="12">
        <v>42780</v>
      </c>
      <c r="B9119">
        <v>2017</v>
      </c>
      <c r="C9119">
        <v>2</v>
      </c>
      <c r="D9119" s="11">
        <v>42767</v>
      </c>
      <c r="E9119" t="s">
        <v>2174</v>
      </c>
      <c r="F9119">
        <v>2</v>
      </c>
      <c r="G9119" t="s">
        <v>63</v>
      </c>
      <c r="H9119" t="s">
        <v>45</v>
      </c>
      <c r="I9119" t="s">
        <v>2193</v>
      </c>
      <c r="J9119" s="10">
        <v>0</v>
      </c>
      <c r="K9119" t="b">
        <v>1</v>
      </c>
    </row>
    <row r="9120" spans="1:11">
      <c r="A9120" s="12">
        <v>42780</v>
      </c>
      <c r="B9120">
        <v>2017</v>
      </c>
      <c r="C9120">
        <v>2</v>
      </c>
      <c r="D9120" s="11">
        <v>42767</v>
      </c>
      <c r="E9120" t="s">
        <v>2174</v>
      </c>
      <c r="F9120">
        <v>2</v>
      </c>
      <c r="G9120" t="s">
        <v>63</v>
      </c>
      <c r="H9120" t="s">
        <v>46</v>
      </c>
      <c r="I9120" t="s">
        <v>2194</v>
      </c>
      <c r="J9120" s="10">
        <v>1</v>
      </c>
      <c r="K9120" t="b">
        <v>1</v>
      </c>
    </row>
    <row r="9121" spans="1:11">
      <c r="A9121" s="12">
        <v>42780</v>
      </c>
      <c r="B9121">
        <v>2017</v>
      </c>
      <c r="C9121">
        <v>2</v>
      </c>
      <c r="D9121" s="11">
        <v>42767</v>
      </c>
      <c r="E9121" t="s">
        <v>2174</v>
      </c>
      <c r="F9121">
        <v>2</v>
      </c>
      <c r="G9121" t="s">
        <v>63</v>
      </c>
      <c r="H9121" t="s">
        <v>47</v>
      </c>
      <c r="I9121" t="s">
        <v>2195</v>
      </c>
      <c r="J9121" s="10">
        <v>1</v>
      </c>
      <c r="K9121" t="b">
        <v>1</v>
      </c>
    </row>
    <row r="9122" spans="1:11">
      <c r="A9122" s="12">
        <v>42781</v>
      </c>
      <c r="B9122">
        <v>2017</v>
      </c>
      <c r="C9122">
        <v>2</v>
      </c>
      <c r="D9122" s="11">
        <v>42767</v>
      </c>
      <c r="E9122" t="s">
        <v>2174</v>
      </c>
      <c r="F9122">
        <v>3</v>
      </c>
      <c r="G9122" t="s">
        <v>65</v>
      </c>
      <c r="H9122" t="s">
        <v>40</v>
      </c>
      <c r="I9122" t="s">
        <v>2188</v>
      </c>
      <c r="J9122" s="10">
        <v>6</v>
      </c>
      <c r="K9122" t="b">
        <v>1</v>
      </c>
    </row>
    <row r="9123" spans="1:11">
      <c r="A9123" s="12">
        <v>42781</v>
      </c>
      <c r="B9123">
        <v>2017</v>
      </c>
      <c r="C9123">
        <v>2</v>
      </c>
      <c r="D9123" s="11">
        <v>42767</v>
      </c>
      <c r="E9123" t="s">
        <v>2174</v>
      </c>
      <c r="F9123">
        <v>3</v>
      </c>
      <c r="G9123" t="s">
        <v>65</v>
      </c>
      <c r="H9123" t="s">
        <v>41</v>
      </c>
      <c r="I9123" t="s">
        <v>2189</v>
      </c>
      <c r="J9123" s="10">
        <v>2.67</v>
      </c>
      <c r="K9123" t="b">
        <v>1</v>
      </c>
    </row>
    <row r="9124" spans="1:11">
      <c r="A9124" s="12">
        <v>42781</v>
      </c>
      <c r="B9124">
        <v>2017</v>
      </c>
      <c r="C9124">
        <v>2</v>
      </c>
      <c r="D9124" s="11">
        <v>42767</v>
      </c>
      <c r="E9124" t="s">
        <v>2174</v>
      </c>
      <c r="F9124">
        <v>3</v>
      </c>
      <c r="G9124" t="s">
        <v>65</v>
      </c>
      <c r="H9124" t="s">
        <v>42</v>
      </c>
      <c r="I9124" t="s">
        <v>2190</v>
      </c>
      <c r="J9124" s="10">
        <v>2</v>
      </c>
      <c r="K9124" t="b">
        <v>1</v>
      </c>
    </row>
    <row r="9125" spans="1:11">
      <c r="A9125" s="12">
        <v>42781</v>
      </c>
      <c r="B9125">
        <v>2017</v>
      </c>
      <c r="C9125">
        <v>2</v>
      </c>
      <c r="D9125" s="11">
        <v>42767</v>
      </c>
      <c r="E9125" t="s">
        <v>2174</v>
      </c>
      <c r="F9125">
        <v>3</v>
      </c>
      <c r="G9125" t="s">
        <v>65</v>
      </c>
      <c r="H9125" t="s">
        <v>43</v>
      </c>
      <c r="I9125" t="s">
        <v>2191</v>
      </c>
      <c r="J9125" s="10">
        <v>19.2</v>
      </c>
      <c r="K9125" t="b">
        <v>1</v>
      </c>
    </row>
    <row r="9126" spans="1:11">
      <c r="A9126" s="12">
        <v>42781</v>
      </c>
      <c r="B9126">
        <v>2017</v>
      </c>
      <c r="C9126">
        <v>2</v>
      </c>
      <c r="D9126" s="11">
        <v>42767</v>
      </c>
      <c r="E9126" t="s">
        <v>2174</v>
      </c>
      <c r="F9126">
        <v>3</v>
      </c>
      <c r="G9126" t="s">
        <v>65</v>
      </c>
      <c r="H9126" t="s">
        <v>44</v>
      </c>
      <c r="I9126" t="s">
        <v>2192</v>
      </c>
      <c r="J9126" s="10">
        <v>1</v>
      </c>
      <c r="K9126" t="b">
        <v>1</v>
      </c>
    </row>
    <row r="9127" spans="1:11">
      <c r="A9127" s="12">
        <v>42781</v>
      </c>
      <c r="B9127">
        <v>2017</v>
      </c>
      <c r="C9127">
        <v>2</v>
      </c>
      <c r="D9127" s="11">
        <v>42767</v>
      </c>
      <c r="E9127" t="s">
        <v>2174</v>
      </c>
      <c r="F9127">
        <v>3</v>
      </c>
      <c r="G9127" t="s">
        <v>65</v>
      </c>
      <c r="H9127" t="s">
        <v>45</v>
      </c>
      <c r="I9127" t="s">
        <v>2193</v>
      </c>
      <c r="J9127" s="10">
        <v>0</v>
      </c>
      <c r="K9127" t="b">
        <v>1</v>
      </c>
    </row>
    <row r="9128" spans="1:11">
      <c r="A9128" s="12">
        <v>42781</v>
      </c>
      <c r="B9128">
        <v>2017</v>
      </c>
      <c r="C9128">
        <v>2</v>
      </c>
      <c r="D9128" s="11">
        <v>42767</v>
      </c>
      <c r="E9128" t="s">
        <v>2174</v>
      </c>
      <c r="F9128">
        <v>3</v>
      </c>
      <c r="G9128" t="s">
        <v>65</v>
      </c>
      <c r="H9128" t="s">
        <v>46</v>
      </c>
      <c r="I9128" t="s">
        <v>2194</v>
      </c>
      <c r="J9128" s="10">
        <v>1</v>
      </c>
      <c r="K9128" t="b">
        <v>1</v>
      </c>
    </row>
    <row r="9129" spans="1:11">
      <c r="A9129" s="12">
        <v>42781</v>
      </c>
      <c r="B9129">
        <v>2017</v>
      </c>
      <c r="C9129">
        <v>2</v>
      </c>
      <c r="D9129" s="11">
        <v>42767</v>
      </c>
      <c r="E9129" t="s">
        <v>2174</v>
      </c>
      <c r="F9129">
        <v>3</v>
      </c>
      <c r="G9129" t="s">
        <v>65</v>
      </c>
      <c r="H9129" t="s">
        <v>47</v>
      </c>
      <c r="I9129" t="s">
        <v>2195</v>
      </c>
      <c r="J9129" s="10">
        <v>1</v>
      </c>
      <c r="K9129" t="b">
        <v>1</v>
      </c>
    </row>
    <row r="9130" spans="1:11">
      <c r="A9130" s="12">
        <v>42782</v>
      </c>
      <c r="B9130">
        <v>2017</v>
      </c>
      <c r="C9130">
        <v>2</v>
      </c>
      <c r="D9130" s="11">
        <v>42767</v>
      </c>
      <c r="E9130" t="s">
        <v>2174</v>
      </c>
      <c r="F9130">
        <v>4</v>
      </c>
      <c r="G9130" t="s">
        <v>53</v>
      </c>
      <c r="H9130" t="s">
        <v>40</v>
      </c>
      <c r="I9130" t="s">
        <v>2188</v>
      </c>
      <c r="J9130" s="10">
        <v>3.66</v>
      </c>
      <c r="K9130" t="b">
        <v>1</v>
      </c>
    </row>
    <row r="9131" spans="1:11">
      <c r="A9131" s="12">
        <v>42782</v>
      </c>
      <c r="B9131">
        <v>2017</v>
      </c>
      <c r="C9131">
        <v>2</v>
      </c>
      <c r="D9131" s="11">
        <v>42767</v>
      </c>
      <c r="E9131" t="s">
        <v>2174</v>
      </c>
      <c r="F9131">
        <v>4</v>
      </c>
      <c r="G9131" t="s">
        <v>53</v>
      </c>
      <c r="H9131" t="s">
        <v>41</v>
      </c>
      <c r="I9131" t="s">
        <v>2189</v>
      </c>
      <c r="J9131" s="10">
        <v>4.66</v>
      </c>
      <c r="K9131" t="b">
        <v>1</v>
      </c>
    </row>
    <row r="9132" spans="1:11">
      <c r="A9132" s="12">
        <v>42782</v>
      </c>
      <c r="B9132">
        <v>2017</v>
      </c>
      <c r="C9132">
        <v>2</v>
      </c>
      <c r="D9132" s="11">
        <v>42767</v>
      </c>
      <c r="E9132" t="s">
        <v>2174</v>
      </c>
      <c r="F9132">
        <v>4</v>
      </c>
      <c r="G9132" t="s">
        <v>53</v>
      </c>
      <c r="H9132" t="s">
        <v>42</v>
      </c>
      <c r="I9132" t="s">
        <v>2190</v>
      </c>
      <c r="J9132" s="10">
        <v>1</v>
      </c>
      <c r="K9132" t="b">
        <v>1</v>
      </c>
    </row>
    <row r="9133" spans="1:11">
      <c r="A9133" s="12">
        <v>42782</v>
      </c>
      <c r="B9133">
        <v>2017</v>
      </c>
      <c r="C9133">
        <v>2</v>
      </c>
      <c r="D9133" s="11">
        <v>42767</v>
      </c>
      <c r="E9133" t="s">
        <v>2174</v>
      </c>
      <c r="F9133">
        <v>4</v>
      </c>
      <c r="G9133" t="s">
        <v>53</v>
      </c>
      <c r="H9133" t="s">
        <v>43</v>
      </c>
      <c r="I9133" t="s">
        <v>2191</v>
      </c>
      <c r="J9133" s="10">
        <v>31.6</v>
      </c>
      <c r="K9133" t="b">
        <v>1</v>
      </c>
    </row>
    <row r="9134" spans="1:11">
      <c r="A9134" s="12">
        <v>42782</v>
      </c>
      <c r="B9134">
        <v>2017</v>
      </c>
      <c r="C9134">
        <v>2</v>
      </c>
      <c r="D9134" s="11">
        <v>42767</v>
      </c>
      <c r="E9134" t="s">
        <v>2174</v>
      </c>
      <c r="F9134">
        <v>4</v>
      </c>
      <c r="G9134" t="s">
        <v>53</v>
      </c>
      <c r="H9134" t="s">
        <v>44</v>
      </c>
      <c r="I9134" t="s">
        <v>2192</v>
      </c>
      <c r="J9134" s="10">
        <v>2</v>
      </c>
      <c r="K9134" t="b">
        <v>1</v>
      </c>
    </row>
    <row r="9135" spans="1:11">
      <c r="A9135" s="12">
        <v>42782</v>
      </c>
      <c r="B9135">
        <v>2017</v>
      </c>
      <c r="C9135">
        <v>2</v>
      </c>
      <c r="D9135" s="11">
        <v>42767</v>
      </c>
      <c r="E9135" t="s">
        <v>2174</v>
      </c>
      <c r="F9135">
        <v>4</v>
      </c>
      <c r="G9135" t="s">
        <v>53</v>
      </c>
      <c r="H9135" t="s">
        <v>45</v>
      </c>
      <c r="I9135" t="s">
        <v>2193</v>
      </c>
      <c r="J9135" s="10">
        <v>0</v>
      </c>
      <c r="K9135" t="b">
        <v>1</v>
      </c>
    </row>
    <row r="9136" spans="1:11">
      <c r="A9136" s="12">
        <v>42782</v>
      </c>
      <c r="B9136">
        <v>2017</v>
      </c>
      <c r="C9136">
        <v>2</v>
      </c>
      <c r="D9136" s="11">
        <v>42767</v>
      </c>
      <c r="E9136" t="s">
        <v>2174</v>
      </c>
      <c r="F9136">
        <v>4</v>
      </c>
      <c r="G9136" t="s">
        <v>53</v>
      </c>
      <c r="H9136" t="s">
        <v>46</v>
      </c>
      <c r="I9136" t="s">
        <v>2194</v>
      </c>
      <c r="J9136" s="10">
        <v>0</v>
      </c>
      <c r="K9136" t="b">
        <v>1</v>
      </c>
    </row>
    <row r="9137" spans="1:11">
      <c r="A9137" s="12">
        <v>42782</v>
      </c>
      <c r="B9137">
        <v>2017</v>
      </c>
      <c r="C9137">
        <v>2</v>
      </c>
      <c r="D9137" s="11">
        <v>42767</v>
      </c>
      <c r="E9137" t="s">
        <v>2174</v>
      </c>
      <c r="F9137">
        <v>4</v>
      </c>
      <c r="G9137" t="s">
        <v>53</v>
      </c>
      <c r="H9137" t="s">
        <v>47</v>
      </c>
      <c r="I9137" t="s">
        <v>2195</v>
      </c>
      <c r="J9137" s="10">
        <v>3</v>
      </c>
      <c r="K9137" t="b">
        <v>1</v>
      </c>
    </row>
    <row r="9138" spans="1:11">
      <c r="A9138" s="12">
        <v>42783</v>
      </c>
      <c r="B9138">
        <v>2017</v>
      </c>
      <c r="C9138">
        <v>2</v>
      </c>
      <c r="D9138" s="11">
        <v>42767</v>
      </c>
      <c r="E9138" t="s">
        <v>2174</v>
      </c>
      <c r="F9138">
        <v>5</v>
      </c>
      <c r="G9138" t="s">
        <v>55</v>
      </c>
      <c r="H9138" t="s">
        <v>40</v>
      </c>
      <c r="I9138" t="s">
        <v>2188</v>
      </c>
      <c r="J9138" s="10">
        <v>3</v>
      </c>
      <c r="K9138" t="b">
        <v>1</v>
      </c>
    </row>
    <row r="9139" spans="1:11">
      <c r="A9139" s="12">
        <v>42783</v>
      </c>
      <c r="B9139">
        <v>2017</v>
      </c>
      <c r="C9139">
        <v>2</v>
      </c>
      <c r="D9139" s="11">
        <v>42767</v>
      </c>
      <c r="E9139" t="s">
        <v>2174</v>
      </c>
      <c r="F9139">
        <v>5</v>
      </c>
      <c r="G9139" t="s">
        <v>55</v>
      </c>
      <c r="H9139" t="s">
        <v>41</v>
      </c>
      <c r="I9139" t="s">
        <v>2189</v>
      </c>
      <c r="J9139" s="10">
        <v>2.802</v>
      </c>
      <c r="K9139" t="b">
        <v>1</v>
      </c>
    </row>
    <row r="9140" spans="1:11">
      <c r="A9140" s="12">
        <v>42783</v>
      </c>
      <c r="B9140">
        <v>2017</v>
      </c>
      <c r="C9140">
        <v>2</v>
      </c>
      <c r="D9140" s="11">
        <v>42767</v>
      </c>
      <c r="E9140" t="s">
        <v>2174</v>
      </c>
      <c r="F9140">
        <v>5</v>
      </c>
      <c r="G9140" t="s">
        <v>55</v>
      </c>
      <c r="H9140" t="s">
        <v>42</v>
      </c>
      <c r="I9140" t="s">
        <v>2190</v>
      </c>
      <c r="J9140" s="10">
        <v>2.1</v>
      </c>
      <c r="K9140" t="b">
        <v>1</v>
      </c>
    </row>
    <row r="9141" spans="1:11">
      <c r="A9141" s="12">
        <v>42783</v>
      </c>
      <c r="B9141">
        <v>2017</v>
      </c>
      <c r="C9141">
        <v>2</v>
      </c>
      <c r="D9141" s="11">
        <v>42767</v>
      </c>
      <c r="E9141" t="s">
        <v>2174</v>
      </c>
      <c r="F9141">
        <v>5</v>
      </c>
      <c r="G9141" t="s">
        <v>55</v>
      </c>
      <c r="H9141" t="s">
        <v>43</v>
      </c>
      <c r="I9141" t="s">
        <v>2191</v>
      </c>
      <c r="J9141" s="10">
        <v>12.25</v>
      </c>
      <c r="K9141" t="b">
        <v>1</v>
      </c>
    </row>
    <row r="9142" spans="1:11">
      <c r="A9142" s="12">
        <v>42783</v>
      </c>
      <c r="B9142">
        <v>2017</v>
      </c>
      <c r="C9142">
        <v>2</v>
      </c>
      <c r="D9142" s="11">
        <v>42767</v>
      </c>
      <c r="E9142" t="s">
        <v>2174</v>
      </c>
      <c r="F9142">
        <v>5</v>
      </c>
      <c r="G9142" t="s">
        <v>55</v>
      </c>
      <c r="H9142" t="s">
        <v>44</v>
      </c>
      <c r="I9142" t="s">
        <v>2192</v>
      </c>
      <c r="J9142" s="10">
        <v>4</v>
      </c>
      <c r="K9142" t="b">
        <v>1</v>
      </c>
    </row>
    <row r="9143" spans="1:11">
      <c r="A9143" s="12">
        <v>42783</v>
      </c>
      <c r="B9143">
        <v>2017</v>
      </c>
      <c r="C9143">
        <v>2</v>
      </c>
      <c r="D9143" s="11">
        <v>42767</v>
      </c>
      <c r="E9143" t="s">
        <v>2174</v>
      </c>
      <c r="F9143">
        <v>5</v>
      </c>
      <c r="G9143" t="s">
        <v>55</v>
      </c>
      <c r="H9143" t="s">
        <v>45</v>
      </c>
      <c r="I9143" t="s">
        <v>2193</v>
      </c>
      <c r="J9143" s="10">
        <v>0</v>
      </c>
      <c r="K9143" t="b">
        <v>1</v>
      </c>
    </row>
    <row r="9144" spans="1:11">
      <c r="A9144" s="12">
        <v>42783</v>
      </c>
      <c r="B9144">
        <v>2017</v>
      </c>
      <c r="C9144">
        <v>2</v>
      </c>
      <c r="D9144" s="11">
        <v>42767</v>
      </c>
      <c r="E9144" t="s">
        <v>2174</v>
      </c>
      <c r="F9144">
        <v>5</v>
      </c>
      <c r="G9144" t="s">
        <v>55</v>
      </c>
      <c r="H9144" t="s">
        <v>46</v>
      </c>
      <c r="I9144" t="s">
        <v>2194</v>
      </c>
      <c r="J9144" s="10">
        <v>8</v>
      </c>
      <c r="K9144" t="b">
        <v>1</v>
      </c>
    </row>
    <row r="9145" spans="1:11">
      <c r="A9145" s="12">
        <v>42783</v>
      </c>
      <c r="B9145">
        <v>2017</v>
      </c>
      <c r="C9145">
        <v>2</v>
      </c>
      <c r="D9145" s="11">
        <v>42767</v>
      </c>
      <c r="E9145" t="s">
        <v>2174</v>
      </c>
      <c r="F9145">
        <v>5</v>
      </c>
      <c r="G9145" t="s">
        <v>55</v>
      </c>
      <c r="H9145" t="s">
        <v>47</v>
      </c>
      <c r="I9145" t="s">
        <v>2195</v>
      </c>
      <c r="J9145" s="10">
        <v>1.2</v>
      </c>
      <c r="K9145" t="b">
        <v>1</v>
      </c>
    </row>
    <row r="9146" spans="1:11">
      <c r="A9146" s="12">
        <v>42784</v>
      </c>
      <c r="B9146">
        <v>2017</v>
      </c>
      <c r="C9146">
        <v>2</v>
      </c>
      <c r="D9146" s="11">
        <v>42767</v>
      </c>
      <c r="E9146" t="s">
        <v>2174</v>
      </c>
      <c r="F9146">
        <v>6</v>
      </c>
      <c r="G9146" t="s">
        <v>57</v>
      </c>
      <c r="H9146" t="s">
        <v>40</v>
      </c>
      <c r="I9146" t="s">
        <v>2188</v>
      </c>
      <c r="J9146" s="10">
        <v>7</v>
      </c>
      <c r="K9146" t="b">
        <v>1</v>
      </c>
    </row>
    <row r="9147" spans="1:11">
      <c r="A9147" s="12">
        <v>42784</v>
      </c>
      <c r="B9147">
        <v>2017</v>
      </c>
      <c r="C9147">
        <v>2</v>
      </c>
      <c r="D9147" s="11">
        <v>42767</v>
      </c>
      <c r="E9147" t="s">
        <v>2174</v>
      </c>
      <c r="F9147">
        <v>6</v>
      </c>
      <c r="G9147" t="s">
        <v>57</v>
      </c>
      <c r="H9147" t="s">
        <v>41</v>
      </c>
      <c r="I9147" t="s">
        <v>2189</v>
      </c>
      <c r="J9147" s="10">
        <v>4</v>
      </c>
      <c r="K9147" t="b">
        <v>1</v>
      </c>
    </row>
    <row r="9148" spans="1:11">
      <c r="A9148" s="12">
        <v>42784</v>
      </c>
      <c r="B9148">
        <v>2017</v>
      </c>
      <c r="C9148">
        <v>2</v>
      </c>
      <c r="D9148" s="11">
        <v>42767</v>
      </c>
      <c r="E9148" t="s">
        <v>2174</v>
      </c>
      <c r="F9148">
        <v>6</v>
      </c>
      <c r="G9148" t="s">
        <v>57</v>
      </c>
      <c r="H9148" t="s">
        <v>42</v>
      </c>
      <c r="I9148" t="s">
        <v>2190</v>
      </c>
      <c r="J9148" s="10">
        <v>2.35</v>
      </c>
      <c r="K9148" t="b">
        <v>1</v>
      </c>
    </row>
    <row r="9149" spans="1:11">
      <c r="A9149" s="12">
        <v>42784</v>
      </c>
      <c r="B9149">
        <v>2017</v>
      </c>
      <c r="C9149">
        <v>2</v>
      </c>
      <c r="D9149" s="11">
        <v>42767</v>
      </c>
      <c r="E9149" t="s">
        <v>2174</v>
      </c>
      <c r="F9149">
        <v>6</v>
      </c>
      <c r="G9149" t="s">
        <v>57</v>
      </c>
      <c r="H9149" t="s">
        <v>43</v>
      </c>
      <c r="I9149" t="s">
        <v>2191</v>
      </c>
      <c r="J9149" s="10">
        <v>30</v>
      </c>
      <c r="K9149" t="b">
        <v>1</v>
      </c>
    </row>
    <row r="9150" spans="1:11">
      <c r="A9150" s="12">
        <v>42784</v>
      </c>
      <c r="B9150">
        <v>2017</v>
      </c>
      <c r="C9150">
        <v>2</v>
      </c>
      <c r="D9150" s="11">
        <v>42767</v>
      </c>
      <c r="E9150" t="s">
        <v>2174</v>
      </c>
      <c r="F9150">
        <v>6</v>
      </c>
      <c r="G9150" t="s">
        <v>57</v>
      </c>
      <c r="H9150" t="s">
        <v>44</v>
      </c>
      <c r="I9150" t="s">
        <v>2192</v>
      </c>
      <c r="J9150" s="10">
        <v>10</v>
      </c>
      <c r="K9150" t="b">
        <v>1</v>
      </c>
    </row>
    <row r="9151" spans="1:11">
      <c r="A9151" s="12">
        <v>42784</v>
      </c>
      <c r="B9151">
        <v>2017</v>
      </c>
      <c r="C9151">
        <v>2</v>
      </c>
      <c r="D9151" s="11">
        <v>42767</v>
      </c>
      <c r="E9151" t="s">
        <v>2174</v>
      </c>
      <c r="F9151">
        <v>6</v>
      </c>
      <c r="G9151" t="s">
        <v>57</v>
      </c>
      <c r="H9151" t="s">
        <v>45</v>
      </c>
      <c r="I9151" t="s">
        <v>2193</v>
      </c>
      <c r="J9151" s="10">
        <v>0</v>
      </c>
      <c r="K9151" t="b">
        <v>1</v>
      </c>
    </row>
    <row r="9152" spans="1:11">
      <c r="A9152" s="12">
        <v>42784</v>
      </c>
      <c r="B9152">
        <v>2017</v>
      </c>
      <c r="C9152">
        <v>2</v>
      </c>
      <c r="D9152" s="11">
        <v>42767</v>
      </c>
      <c r="E9152" t="s">
        <v>2174</v>
      </c>
      <c r="F9152">
        <v>6</v>
      </c>
      <c r="G9152" t="s">
        <v>57</v>
      </c>
      <c r="H9152" t="s">
        <v>46</v>
      </c>
      <c r="I9152" t="s">
        <v>2194</v>
      </c>
      <c r="J9152" s="10">
        <v>0</v>
      </c>
      <c r="K9152" t="b">
        <v>1</v>
      </c>
    </row>
    <row r="9153" spans="1:11">
      <c r="A9153" s="12">
        <v>42784</v>
      </c>
      <c r="B9153">
        <v>2017</v>
      </c>
      <c r="C9153">
        <v>2</v>
      </c>
      <c r="D9153" s="11">
        <v>42767</v>
      </c>
      <c r="E9153" t="s">
        <v>2174</v>
      </c>
      <c r="F9153">
        <v>6</v>
      </c>
      <c r="G9153" t="s">
        <v>57</v>
      </c>
      <c r="H9153" t="s">
        <v>47</v>
      </c>
      <c r="I9153" t="s">
        <v>2195</v>
      </c>
      <c r="J9153" s="10">
        <v>3.1</v>
      </c>
      <c r="K9153" t="b">
        <v>1</v>
      </c>
    </row>
    <row r="9154" spans="1:11">
      <c r="A9154" s="12">
        <v>42785</v>
      </c>
      <c r="B9154">
        <v>2017</v>
      </c>
      <c r="C9154">
        <v>2</v>
      </c>
      <c r="D9154" s="11">
        <v>42767</v>
      </c>
      <c r="E9154" t="s">
        <v>2174</v>
      </c>
      <c r="F9154">
        <v>7</v>
      </c>
      <c r="G9154" t="s">
        <v>59</v>
      </c>
      <c r="H9154" t="s">
        <v>40</v>
      </c>
      <c r="I9154" t="s">
        <v>2188</v>
      </c>
      <c r="J9154" s="10">
        <v>3.34</v>
      </c>
      <c r="K9154" t="b">
        <v>1</v>
      </c>
    </row>
    <row r="9155" spans="1:11">
      <c r="A9155" s="12">
        <v>42785</v>
      </c>
      <c r="B9155">
        <v>2017</v>
      </c>
      <c r="C9155">
        <v>2</v>
      </c>
      <c r="D9155" s="11">
        <v>42767</v>
      </c>
      <c r="E9155" t="s">
        <v>2174</v>
      </c>
      <c r="F9155">
        <v>7</v>
      </c>
      <c r="G9155" t="s">
        <v>59</v>
      </c>
      <c r="H9155" t="s">
        <v>41</v>
      </c>
      <c r="I9155" t="s">
        <v>2189</v>
      </c>
      <c r="J9155" s="10">
        <v>3.516</v>
      </c>
      <c r="K9155" t="b">
        <v>1</v>
      </c>
    </row>
    <row r="9156" spans="1:11">
      <c r="A9156" s="12">
        <v>42785</v>
      </c>
      <c r="B9156">
        <v>2017</v>
      </c>
      <c r="C9156">
        <v>2</v>
      </c>
      <c r="D9156" s="11">
        <v>42767</v>
      </c>
      <c r="E9156" t="s">
        <v>2174</v>
      </c>
      <c r="F9156">
        <v>7</v>
      </c>
      <c r="G9156" t="s">
        <v>59</v>
      </c>
      <c r="H9156" t="s">
        <v>42</v>
      </c>
      <c r="I9156" t="s">
        <v>2190</v>
      </c>
      <c r="J9156" s="10">
        <v>2.2</v>
      </c>
      <c r="K9156" t="b">
        <v>1</v>
      </c>
    </row>
    <row r="9157" spans="1:11">
      <c r="A9157" s="12">
        <v>42785</v>
      </c>
      <c r="B9157">
        <v>2017</v>
      </c>
      <c r="C9157">
        <v>2</v>
      </c>
      <c r="D9157" s="11">
        <v>42767</v>
      </c>
      <c r="E9157" t="s">
        <v>2174</v>
      </c>
      <c r="F9157">
        <v>7</v>
      </c>
      <c r="G9157" t="s">
        <v>59</v>
      </c>
      <c r="H9157" t="s">
        <v>43</v>
      </c>
      <c r="I9157" t="s">
        <v>2191</v>
      </c>
      <c r="J9157" s="10">
        <v>13</v>
      </c>
      <c r="K9157" t="b">
        <v>1</v>
      </c>
    </row>
    <row r="9158" spans="1:11">
      <c r="A9158" s="12">
        <v>42785</v>
      </c>
      <c r="B9158">
        <v>2017</v>
      </c>
      <c r="C9158">
        <v>2</v>
      </c>
      <c r="D9158" s="11">
        <v>42767</v>
      </c>
      <c r="E9158" t="s">
        <v>2174</v>
      </c>
      <c r="F9158">
        <v>7</v>
      </c>
      <c r="G9158" t="s">
        <v>59</v>
      </c>
      <c r="H9158" t="s">
        <v>44</v>
      </c>
      <c r="I9158" t="s">
        <v>2192</v>
      </c>
      <c r="J9158" s="10">
        <v>1</v>
      </c>
      <c r="K9158" t="b">
        <v>1</v>
      </c>
    </row>
    <row r="9159" spans="1:11">
      <c r="A9159" s="12">
        <v>42785</v>
      </c>
      <c r="B9159">
        <v>2017</v>
      </c>
      <c r="C9159">
        <v>2</v>
      </c>
      <c r="D9159" s="11">
        <v>42767</v>
      </c>
      <c r="E9159" t="s">
        <v>2174</v>
      </c>
      <c r="F9159">
        <v>7</v>
      </c>
      <c r="G9159" t="s">
        <v>59</v>
      </c>
      <c r="H9159" t="s">
        <v>45</v>
      </c>
      <c r="I9159" t="s">
        <v>2193</v>
      </c>
      <c r="J9159" s="10">
        <v>0</v>
      </c>
      <c r="K9159" t="b">
        <v>1</v>
      </c>
    </row>
    <row r="9160" spans="1:11">
      <c r="A9160" s="12">
        <v>42785</v>
      </c>
      <c r="B9160">
        <v>2017</v>
      </c>
      <c r="C9160">
        <v>2</v>
      </c>
      <c r="D9160" s="11">
        <v>42767</v>
      </c>
      <c r="E9160" t="s">
        <v>2174</v>
      </c>
      <c r="F9160">
        <v>7</v>
      </c>
      <c r="G9160" t="s">
        <v>59</v>
      </c>
      <c r="H9160" t="s">
        <v>46</v>
      </c>
      <c r="I9160" t="s">
        <v>2194</v>
      </c>
      <c r="J9160" s="10">
        <v>8</v>
      </c>
      <c r="K9160" t="b">
        <v>1</v>
      </c>
    </row>
    <row r="9161" spans="1:11">
      <c r="A9161" s="12">
        <v>42785</v>
      </c>
      <c r="B9161">
        <v>2017</v>
      </c>
      <c r="C9161">
        <v>2</v>
      </c>
      <c r="D9161" s="11">
        <v>42767</v>
      </c>
      <c r="E9161" t="s">
        <v>2174</v>
      </c>
      <c r="F9161">
        <v>7</v>
      </c>
      <c r="G9161" t="s">
        <v>59</v>
      </c>
      <c r="H9161" t="s">
        <v>47</v>
      </c>
      <c r="I9161" t="s">
        <v>2195</v>
      </c>
      <c r="J9161" s="10">
        <v>1</v>
      </c>
      <c r="K9161" t="b">
        <v>1</v>
      </c>
    </row>
    <row r="9162" spans="1:11">
      <c r="A9162" s="12">
        <v>42786</v>
      </c>
      <c r="B9162">
        <v>2017</v>
      </c>
      <c r="C9162">
        <v>2</v>
      </c>
      <c r="D9162" s="11">
        <v>42767</v>
      </c>
      <c r="E9162" t="s">
        <v>2174</v>
      </c>
      <c r="F9162">
        <v>1</v>
      </c>
      <c r="G9162" t="s">
        <v>61</v>
      </c>
      <c r="H9162" t="s">
        <v>40</v>
      </c>
      <c r="I9162" t="s">
        <v>2188</v>
      </c>
      <c r="J9162" s="10">
        <v>5</v>
      </c>
      <c r="K9162" t="b">
        <v>1</v>
      </c>
    </row>
    <row r="9163" spans="1:11">
      <c r="A9163" s="12">
        <v>42786</v>
      </c>
      <c r="B9163">
        <v>2017</v>
      </c>
      <c r="C9163">
        <v>2</v>
      </c>
      <c r="D9163" s="11">
        <v>42767</v>
      </c>
      <c r="E9163" t="s">
        <v>2174</v>
      </c>
      <c r="F9163">
        <v>1</v>
      </c>
      <c r="G9163" t="s">
        <v>61</v>
      </c>
      <c r="H9163" t="s">
        <v>41</v>
      </c>
      <c r="I9163" t="s">
        <v>2189</v>
      </c>
      <c r="J9163" s="10">
        <v>3.76</v>
      </c>
      <c r="K9163" t="b">
        <v>1</v>
      </c>
    </row>
    <row r="9164" spans="1:11">
      <c r="A9164" s="12">
        <v>42786</v>
      </c>
      <c r="B9164">
        <v>2017</v>
      </c>
      <c r="C9164">
        <v>2</v>
      </c>
      <c r="D9164" s="11">
        <v>42767</v>
      </c>
      <c r="E9164" t="s">
        <v>2174</v>
      </c>
      <c r="F9164">
        <v>1</v>
      </c>
      <c r="G9164" t="s">
        <v>61</v>
      </c>
      <c r="H9164" t="s">
        <v>42</v>
      </c>
      <c r="I9164" t="s">
        <v>2190</v>
      </c>
      <c r="J9164" s="10">
        <v>4.5</v>
      </c>
      <c r="K9164" t="b">
        <v>1</v>
      </c>
    </row>
    <row r="9165" spans="1:11">
      <c r="A9165" s="12">
        <v>42786</v>
      </c>
      <c r="B9165">
        <v>2017</v>
      </c>
      <c r="C9165">
        <v>2</v>
      </c>
      <c r="D9165" s="11">
        <v>42767</v>
      </c>
      <c r="E9165" t="s">
        <v>2174</v>
      </c>
      <c r="F9165">
        <v>1</v>
      </c>
      <c r="G9165" t="s">
        <v>61</v>
      </c>
      <c r="H9165" t="s">
        <v>43</v>
      </c>
      <c r="I9165" t="s">
        <v>2191</v>
      </c>
      <c r="J9165" s="10">
        <v>33.1</v>
      </c>
      <c r="K9165" t="b">
        <v>1</v>
      </c>
    </row>
    <row r="9166" spans="1:11">
      <c r="A9166" s="12">
        <v>42786</v>
      </c>
      <c r="B9166">
        <v>2017</v>
      </c>
      <c r="C9166">
        <v>2</v>
      </c>
      <c r="D9166" s="11">
        <v>42767</v>
      </c>
      <c r="E9166" t="s">
        <v>2174</v>
      </c>
      <c r="F9166">
        <v>1</v>
      </c>
      <c r="G9166" t="s">
        <v>61</v>
      </c>
      <c r="H9166" t="s">
        <v>44</v>
      </c>
      <c r="I9166" t="s">
        <v>2192</v>
      </c>
      <c r="J9166" s="10">
        <v>2</v>
      </c>
      <c r="K9166" t="b">
        <v>1</v>
      </c>
    </row>
    <row r="9167" spans="1:11">
      <c r="A9167" s="12">
        <v>42786</v>
      </c>
      <c r="B9167">
        <v>2017</v>
      </c>
      <c r="C9167">
        <v>2</v>
      </c>
      <c r="D9167" s="11">
        <v>42767</v>
      </c>
      <c r="E9167" t="s">
        <v>2174</v>
      </c>
      <c r="F9167">
        <v>1</v>
      </c>
      <c r="G9167" t="s">
        <v>61</v>
      </c>
      <c r="H9167" t="s">
        <v>45</v>
      </c>
      <c r="I9167" t="s">
        <v>2193</v>
      </c>
      <c r="J9167" s="10">
        <v>0</v>
      </c>
      <c r="K9167" t="b">
        <v>1</v>
      </c>
    </row>
    <row r="9168" spans="1:11">
      <c r="A9168" s="12">
        <v>42786</v>
      </c>
      <c r="B9168">
        <v>2017</v>
      </c>
      <c r="C9168">
        <v>2</v>
      </c>
      <c r="D9168" s="11">
        <v>42767</v>
      </c>
      <c r="E9168" t="s">
        <v>2174</v>
      </c>
      <c r="F9168">
        <v>1</v>
      </c>
      <c r="G9168" t="s">
        <v>61</v>
      </c>
      <c r="H9168" t="s">
        <v>46</v>
      </c>
      <c r="I9168" t="s">
        <v>2194</v>
      </c>
      <c r="J9168" s="10">
        <v>1</v>
      </c>
      <c r="K9168" t="b">
        <v>1</v>
      </c>
    </row>
    <row r="9169" spans="1:11">
      <c r="A9169" s="12">
        <v>42786</v>
      </c>
      <c r="B9169">
        <v>2017</v>
      </c>
      <c r="C9169">
        <v>2</v>
      </c>
      <c r="D9169" s="11">
        <v>42767</v>
      </c>
      <c r="E9169" t="s">
        <v>2174</v>
      </c>
      <c r="F9169">
        <v>1</v>
      </c>
      <c r="G9169" t="s">
        <v>61</v>
      </c>
      <c r="H9169" t="s">
        <v>47</v>
      </c>
      <c r="I9169" t="s">
        <v>2195</v>
      </c>
      <c r="J9169" s="10">
        <v>3</v>
      </c>
      <c r="K9169" t="b">
        <v>1</v>
      </c>
    </row>
    <row r="9170" spans="1:11">
      <c r="A9170" s="12">
        <v>42787</v>
      </c>
      <c r="B9170">
        <v>2017</v>
      </c>
      <c r="C9170">
        <v>2</v>
      </c>
      <c r="D9170" s="11">
        <v>42767</v>
      </c>
      <c r="E9170" t="s">
        <v>2174</v>
      </c>
      <c r="F9170">
        <v>2</v>
      </c>
      <c r="G9170" t="s">
        <v>63</v>
      </c>
      <c r="H9170" t="s">
        <v>40</v>
      </c>
      <c r="I9170" t="s">
        <v>2188</v>
      </c>
      <c r="J9170" s="10">
        <v>5</v>
      </c>
      <c r="K9170" t="b">
        <v>1</v>
      </c>
    </row>
    <row r="9171" spans="1:11">
      <c r="A9171" s="12">
        <v>42787</v>
      </c>
      <c r="B9171">
        <v>2017</v>
      </c>
      <c r="C9171">
        <v>2</v>
      </c>
      <c r="D9171" s="11">
        <v>42767</v>
      </c>
      <c r="E9171" t="s">
        <v>2174</v>
      </c>
      <c r="F9171">
        <v>2</v>
      </c>
      <c r="G9171" t="s">
        <v>63</v>
      </c>
      <c r="H9171" t="s">
        <v>41</v>
      </c>
      <c r="I9171" t="s">
        <v>2189</v>
      </c>
      <c r="J9171" s="10">
        <v>4.155</v>
      </c>
      <c r="K9171" t="b">
        <v>1</v>
      </c>
    </row>
    <row r="9172" spans="1:11">
      <c r="A9172" s="12">
        <v>42787</v>
      </c>
      <c r="B9172">
        <v>2017</v>
      </c>
      <c r="C9172">
        <v>2</v>
      </c>
      <c r="D9172" s="11">
        <v>42767</v>
      </c>
      <c r="E9172" t="s">
        <v>2174</v>
      </c>
      <c r="F9172">
        <v>2</v>
      </c>
      <c r="G9172" t="s">
        <v>63</v>
      </c>
      <c r="H9172" t="s">
        <v>42</v>
      </c>
      <c r="I9172" t="s">
        <v>2190</v>
      </c>
      <c r="J9172" s="10">
        <v>4</v>
      </c>
      <c r="K9172" t="b">
        <v>1</v>
      </c>
    </row>
    <row r="9173" spans="1:11">
      <c r="A9173" s="12">
        <v>42787</v>
      </c>
      <c r="B9173">
        <v>2017</v>
      </c>
      <c r="C9173">
        <v>2</v>
      </c>
      <c r="D9173" s="11">
        <v>42767</v>
      </c>
      <c r="E9173" t="s">
        <v>2174</v>
      </c>
      <c r="F9173">
        <v>2</v>
      </c>
      <c r="G9173" t="s">
        <v>63</v>
      </c>
      <c r="H9173" t="s">
        <v>43</v>
      </c>
      <c r="I9173" t="s">
        <v>2191</v>
      </c>
      <c r="J9173" s="10">
        <v>22.9</v>
      </c>
      <c r="K9173" t="b">
        <v>1</v>
      </c>
    </row>
    <row r="9174" spans="1:11">
      <c r="A9174" s="12">
        <v>42787</v>
      </c>
      <c r="B9174">
        <v>2017</v>
      </c>
      <c r="C9174">
        <v>2</v>
      </c>
      <c r="D9174" s="11">
        <v>42767</v>
      </c>
      <c r="E9174" t="s">
        <v>2174</v>
      </c>
      <c r="F9174">
        <v>2</v>
      </c>
      <c r="G9174" t="s">
        <v>63</v>
      </c>
      <c r="H9174" t="s">
        <v>44</v>
      </c>
      <c r="I9174" t="s">
        <v>2192</v>
      </c>
      <c r="J9174" s="10">
        <v>14</v>
      </c>
      <c r="K9174" t="b">
        <v>1</v>
      </c>
    </row>
    <row r="9175" spans="1:11">
      <c r="A9175" s="12">
        <v>42787</v>
      </c>
      <c r="B9175">
        <v>2017</v>
      </c>
      <c r="C9175">
        <v>2</v>
      </c>
      <c r="D9175" s="11">
        <v>42767</v>
      </c>
      <c r="E9175" t="s">
        <v>2174</v>
      </c>
      <c r="F9175">
        <v>2</v>
      </c>
      <c r="G9175" t="s">
        <v>63</v>
      </c>
      <c r="H9175" t="s">
        <v>45</v>
      </c>
      <c r="I9175" t="s">
        <v>2193</v>
      </c>
      <c r="J9175" s="10">
        <v>0</v>
      </c>
      <c r="K9175" t="b">
        <v>1</v>
      </c>
    </row>
    <row r="9176" spans="1:11">
      <c r="A9176" s="12">
        <v>42787</v>
      </c>
      <c r="B9176">
        <v>2017</v>
      </c>
      <c r="C9176">
        <v>2</v>
      </c>
      <c r="D9176" s="11">
        <v>42767</v>
      </c>
      <c r="E9176" t="s">
        <v>2174</v>
      </c>
      <c r="F9176">
        <v>2</v>
      </c>
      <c r="G9176" t="s">
        <v>63</v>
      </c>
      <c r="H9176" t="s">
        <v>46</v>
      </c>
      <c r="I9176" t="s">
        <v>2194</v>
      </c>
      <c r="J9176" s="10">
        <v>8</v>
      </c>
      <c r="K9176" t="b">
        <v>1</v>
      </c>
    </row>
    <row r="9177" spans="1:11">
      <c r="A9177" s="12">
        <v>42787</v>
      </c>
      <c r="B9177">
        <v>2017</v>
      </c>
      <c r="C9177">
        <v>2</v>
      </c>
      <c r="D9177" s="11">
        <v>42767</v>
      </c>
      <c r="E9177" t="s">
        <v>2174</v>
      </c>
      <c r="F9177">
        <v>2</v>
      </c>
      <c r="G9177" t="s">
        <v>63</v>
      </c>
      <c r="H9177" t="s">
        <v>47</v>
      </c>
      <c r="I9177" t="s">
        <v>2195</v>
      </c>
      <c r="J9177" s="10">
        <v>1</v>
      </c>
      <c r="K9177" t="b">
        <v>1</v>
      </c>
    </row>
    <row r="9178" spans="1:11">
      <c r="A9178" s="12">
        <v>42788</v>
      </c>
      <c r="B9178">
        <v>2017</v>
      </c>
      <c r="C9178">
        <v>2</v>
      </c>
      <c r="D9178" s="11">
        <v>42767</v>
      </c>
      <c r="E9178" t="s">
        <v>2174</v>
      </c>
      <c r="F9178">
        <v>3</v>
      </c>
      <c r="G9178" t="s">
        <v>65</v>
      </c>
      <c r="H9178" t="s">
        <v>40</v>
      </c>
      <c r="I9178" t="s">
        <v>2188</v>
      </c>
      <c r="J9178" s="10">
        <v>3.67</v>
      </c>
      <c r="K9178" t="b">
        <v>1</v>
      </c>
    </row>
    <row r="9179" spans="1:11">
      <c r="A9179" s="12">
        <v>42788</v>
      </c>
      <c r="B9179">
        <v>2017</v>
      </c>
      <c r="C9179">
        <v>2</v>
      </c>
      <c r="D9179" s="11">
        <v>42767</v>
      </c>
      <c r="E9179" t="s">
        <v>2174</v>
      </c>
      <c r="F9179">
        <v>3</v>
      </c>
      <c r="G9179" t="s">
        <v>65</v>
      </c>
      <c r="H9179" t="s">
        <v>41</v>
      </c>
      <c r="I9179" t="s">
        <v>2189</v>
      </c>
      <c r="J9179" s="10">
        <v>2.429</v>
      </c>
      <c r="K9179" t="b">
        <v>1</v>
      </c>
    </row>
    <row r="9180" spans="1:11">
      <c r="A9180" s="12">
        <v>42788</v>
      </c>
      <c r="B9180">
        <v>2017</v>
      </c>
      <c r="C9180">
        <v>2</v>
      </c>
      <c r="D9180" s="11">
        <v>42767</v>
      </c>
      <c r="E9180" t="s">
        <v>2174</v>
      </c>
      <c r="F9180">
        <v>3</v>
      </c>
      <c r="G9180" t="s">
        <v>65</v>
      </c>
      <c r="H9180" t="s">
        <v>42</v>
      </c>
      <c r="I9180" t="s">
        <v>2190</v>
      </c>
      <c r="J9180" s="10">
        <v>7.2</v>
      </c>
      <c r="K9180" t="b">
        <v>1</v>
      </c>
    </row>
    <row r="9181" spans="1:11">
      <c r="A9181" s="12">
        <v>42788</v>
      </c>
      <c r="B9181">
        <v>2017</v>
      </c>
      <c r="C9181">
        <v>2</v>
      </c>
      <c r="D9181" s="11">
        <v>42767</v>
      </c>
      <c r="E9181" t="s">
        <v>2174</v>
      </c>
      <c r="F9181">
        <v>3</v>
      </c>
      <c r="G9181" t="s">
        <v>65</v>
      </c>
      <c r="H9181" t="s">
        <v>43</v>
      </c>
      <c r="I9181" t="s">
        <v>2191</v>
      </c>
      <c r="J9181" s="10">
        <v>21.1</v>
      </c>
      <c r="K9181" t="b">
        <v>1</v>
      </c>
    </row>
    <row r="9182" spans="1:11">
      <c r="A9182" s="12">
        <v>42788</v>
      </c>
      <c r="B9182">
        <v>2017</v>
      </c>
      <c r="C9182">
        <v>2</v>
      </c>
      <c r="D9182" s="11">
        <v>42767</v>
      </c>
      <c r="E9182" t="s">
        <v>2174</v>
      </c>
      <c r="F9182">
        <v>3</v>
      </c>
      <c r="G9182" t="s">
        <v>65</v>
      </c>
      <c r="H9182" t="s">
        <v>44</v>
      </c>
      <c r="I9182" t="s">
        <v>2192</v>
      </c>
      <c r="J9182" s="10">
        <v>9</v>
      </c>
      <c r="K9182" t="b">
        <v>1</v>
      </c>
    </row>
    <row r="9183" spans="1:11">
      <c r="A9183" s="12">
        <v>42788</v>
      </c>
      <c r="B9183">
        <v>2017</v>
      </c>
      <c r="C9183">
        <v>2</v>
      </c>
      <c r="D9183" s="11">
        <v>42767</v>
      </c>
      <c r="E9183" t="s">
        <v>2174</v>
      </c>
      <c r="F9183">
        <v>3</v>
      </c>
      <c r="G9183" t="s">
        <v>65</v>
      </c>
      <c r="H9183" t="s">
        <v>45</v>
      </c>
      <c r="I9183" t="s">
        <v>2193</v>
      </c>
      <c r="J9183" s="10">
        <v>0</v>
      </c>
      <c r="K9183" t="b">
        <v>1</v>
      </c>
    </row>
    <row r="9184" spans="1:11">
      <c r="A9184" s="12">
        <v>42788</v>
      </c>
      <c r="B9184">
        <v>2017</v>
      </c>
      <c r="C9184">
        <v>2</v>
      </c>
      <c r="D9184" s="11">
        <v>42767</v>
      </c>
      <c r="E9184" t="s">
        <v>2174</v>
      </c>
      <c r="F9184">
        <v>3</v>
      </c>
      <c r="G9184" t="s">
        <v>65</v>
      </c>
      <c r="H9184" t="s">
        <v>46</v>
      </c>
      <c r="I9184" t="s">
        <v>2194</v>
      </c>
      <c r="J9184" s="10">
        <v>5</v>
      </c>
      <c r="K9184" t="b">
        <v>1</v>
      </c>
    </row>
    <row r="9185" spans="1:11">
      <c r="A9185" s="12">
        <v>42788</v>
      </c>
      <c r="B9185">
        <v>2017</v>
      </c>
      <c r="C9185">
        <v>2</v>
      </c>
      <c r="D9185" s="11">
        <v>42767</v>
      </c>
      <c r="E9185" t="s">
        <v>2174</v>
      </c>
      <c r="F9185">
        <v>3</v>
      </c>
      <c r="G9185" t="s">
        <v>65</v>
      </c>
      <c r="H9185" t="s">
        <v>47</v>
      </c>
      <c r="I9185" t="s">
        <v>2195</v>
      </c>
      <c r="J9185" s="10">
        <v>0</v>
      </c>
      <c r="K9185" t="b">
        <v>1</v>
      </c>
    </row>
    <row r="9186" spans="1:11">
      <c r="A9186" s="12">
        <v>42789</v>
      </c>
      <c r="B9186">
        <v>2017</v>
      </c>
      <c r="C9186">
        <v>2</v>
      </c>
      <c r="D9186" s="11">
        <v>42767</v>
      </c>
      <c r="E9186" t="s">
        <v>2174</v>
      </c>
      <c r="F9186">
        <v>4</v>
      </c>
      <c r="G9186" t="s">
        <v>53</v>
      </c>
      <c r="H9186" t="s">
        <v>40</v>
      </c>
      <c r="I9186" t="s">
        <v>2188</v>
      </c>
      <c r="J9186" s="10">
        <v>6.67</v>
      </c>
      <c r="K9186" t="b">
        <v>1</v>
      </c>
    </row>
    <row r="9187" spans="1:11">
      <c r="A9187" s="12">
        <v>42789</v>
      </c>
      <c r="B9187">
        <v>2017</v>
      </c>
      <c r="C9187">
        <v>2</v>
      </c>
      <c r="D9187" s="11">
        <v>42767</v>
      </c>
      <c r="E9187" t="s">
        <v>2174</v>
      </c>
      <c r="F9187">
        <v>4</v>
      </c>
      <c r="G9187" t="s">
        <v>53</v>
      </c>
      <c r="H9187" t="s">
        <v>41</v>
      </c>
      <c r="I9187" t="s">
        <v>2189</v>
      </c>
      <c r="J9187" s="10">
        <v>5.67</v>
      </c>
      <c r="K9187" t="b">
        <v>1</v>
      </c>
    </row>
    <row r="9188" spans="1:11">
      <c r="A9188" s="12">
        <v>42789</v>
      </c>
      <c r="B9188">
        <v>2017</v>
      </c>
      <c r="C9188">
        <v>2</v>
      </c>
      <c r="D9188" s="11">
        <v>42767</v>
      </c>
      <c r="E9188" t="s">
        <v>2174</v>
      </c>
      <c r="F9188">
        <v>4</v>
      </c>
      <c r="G9188" t="s">
        <v>53</v>
      </c>
      <c r="H9188" t="s">
        <v>42</v>
      </c>
      <c r="I9188" t="s">
        <v>2190</v>
      </c>
      <c r="J9188" s="10">
        <v>4.05</v>
      </c>
      <c r="K9188" t="b">
        <v>1</v>
      </c>
    </row>
    <row r="9189" spans="1:11">
      <c r="A9189" s="12">
        <v>42789</v>
      </c>
      <c r="B9189">
        <v>2017</v>
      </c>
      <c r="C9189">
        <v>2</v>
      </c>
      <c r="D9189" s="11">
        <v>42767</v>
      </c>
      <c r="E9189" t="s">
        <v>2174</v>
      </c>
      <c r="F9189">
        <v>4</v>
      </c>
      <c r="G9189" t="s">
        <v>53</v>
      </c>
      <c r="H9189" t="s">
        <v>43</v>
      </c>
      <c r="I9189" t="s">
        <v>2191</v>
      </c>
      <c r="J9189" s="10">
        <v>24.1</v>
      </c>
      <c r="K9189" t="b">
        <v>1</v>
      </c>
    </row>
    <row r="9190" spans="1:11">
      <c r="A9190" s="12">
        <v>42789</v>
      </c>
      <c r="B9190">
        <v>2017</v>
      </c>
      <c r="C9190">
        <v>2</v>
      </c>
      <c r="D9190" s="11">
        <v>42767</v>
      </c>
      <c r="E9190" t="s">
        <v>2174</v>
      </c>
      <c r="F9190">
        <v>4</v>
      </c>
      <c r="G9190" t="s">
        <v>53</v>
      </c>
      <c r="H9190" t="s">
        <v>44</v>
      </c>
      <c r="I9190" t="s">
        <v>2192</v>
      </c>
      <c r="J9190" s="10">
        <v>5</v>
      </c>
      <c r="K9190" t="b">
        <v>1</v>
      </c>
    </row>
    <row r="9191" spans="1:11">
      <c r="A9191" s="12">
        <v>42789</v>
      </c>
      <c r="B9191">
        <v>2017</v>
      </c>
      <c r="C9191">
        <v>2</v>
      </c>
      <c r="D9191" s="11">
        <v>42767</v>
      </c>
      <c r="E9191" t="s">
        <v>2174</v>
      </c>
      <c r="F9191">
        <v>4</v>
      </c>
      <c r="G9191" t="s">
        <v>53</v>
      </c>
      <c r="H9191" t="s">
        <v>45</v>
      </c>
      <c r="I9191" t="s">
        <v>2193</v>
      </c>
      <c r="J9191" s="10">
        <v>1</v>
      </c>
      <c r="K9191" t="b">
        <v>1</v>
      </c>
    </row>
    <row r="9192" spans="1:11">
      <c r="A9192" s="12">
        <v>42789</v>
      </c>
      <c r="B9192">
        <v>2017</v>
      </c>
      <c r="C9192">
        <v>2</v>
      </c>
      <c r="D9192" s="11">
        <v>42767</v>
      </c>
      <c r="E9192" t="s">
        <v>2174</v>
      </c>
      <c r="F9192">
        <v>4</v>
      </c>
      <c r="G9192" t="s">
        <v>53</v>
      </c>
      <c r="H9192" t="s">
        <v>46</v>
      </c>
      <c r="I9192" t="s">
        <v>2194</v>
      </c>
      <c r="J9192" s="10">
        <v>8</v>
      </c>
      <c r="K9192" t="b">
        <v>1</v>
      </c>
    </row>
    <row r="9193" spans="1:11">
      <c r="A9193" s="12">
        <v>42789</v>
      </c>
      <c r="B9193">
        <v>2017</v>
      </c>
      <c r="C9193">
        <v>2</v>
      </c>
      <c r="D9193" s="11">
        <v>42767</v>
      </c>
      <c r="E9193" t="s">
        <v>2174</v>
      </c>
      <c r="F9193">
        <v>4</v>
      </c>
      <c r="G9193" t="s">
        <v>53</v>
      </c>
      <c r="H9193" t="s">
        <v>47</v>
      </c>
      <c r="I9193" t="s">
        <v>2195</v>
      </c>
      <c r="J9193" s="10">
        <v>2</v>
      </c>
      <c r="K9193" t="b">
        <v>1</v>
      </c>
    </row>
    <row r="9194" spans="1:11">
      <c r="A9194" s="12">
        <v>42790</v>
      </c>
      <c r="B9194">
        <v>2017</v>
      </c>
      <c r="C9194">
        <v>2</v>
      </c>
      <c r="D9194" s="11">
        <v>42767</v>
      </c>
      <c r="E9194" t="s">
        <v>2174</v>
      </c>
      <c r="F9194">
        <v>5</v>
      </c>
      <c r="G9194" t="s">
        <v>55</v>
      </c>
      <c r="H9194" t="s">
        <v>40</v>
      </c>
      <c r="I9194" t="s">
        <v>2188</v>
      </c>
      <c r="J9194" s="10">
        <v>1</v>
      </c>
      <c r="K9194" t="b">
        <v>1</v>
      </c>
    </row>
    <row r="9195" spans="1:11">
      <c r="A9195" s="12">
        <v>42790</v>
      </c>
      <c r="B9195">
        <v>2017</v>
      </c>
      <c r="C9195">
        <v>2</v>
      </c>
      <c r="D9195" s="11">
        <v>42767</v>
      </c>
      <c r="E9195" t="s">
        <v>2174</v>
      </c>
      <c r="F9195">
        <v>5</v>
      </c>
      <c r="G9195" t="s">
        <v>55</v>
      </c>
      <c r="H9195" t="s">
        <v>41</v>
      </c>
      <c r="I9195" t="s">
        <v>2189</v>
      </c>
      <c r="J9195" s="10">
        <v>4.67</v>
      </c>
      <c r="K9195" t="b">
        <v>1</v>
      </c>
    </row>
    <row r="9196" spans="1:11">
      <c r="A9196" s="12">
        <v>42790</v>
      </c>
      <c r="B9196">
        <v>2017</v>
      </c>
      <c r="C9196">
        <v>2</v>
      </c>
      <c r="D9196" s="11">
        <v>42767</v>
      </c>
      <c r="E9196" t="s">
        <v>2174</v>
      </c>
      <c r="F9196">
        <v>5</v>
      </c>
      <c r="G9196" t="s">
        <v>55</v>
      </c>
      <c r="H9196" t="s">
        <v>42</v>
      </c>
      <c r="I9196" t="s">
        <v>2190</v>
      </c>
      <c r="J9196" s="10">
        <v>4</v>
      </c>
      <c r="K9196" t="b">
        <v>1</v>
      </c>
    </row>
    <row r="9197" spans="1:11">
      <c r="A9197" s="12">
        <v>42790</v>
      </c>
      <c r="B9197">
        <v>2017</v>
      </c>
      <c r="C9197">
        <v>2</v>
      </c>
      <c r="D9197" s="11">
        <v>42767</v>
      </c>
      <c r="E9197" t="s">
        <v>2174</v>
      </c>
      <c r="F9197">
        <v>5</v>
      </c>
      <c r="G9197" t="s">
        <v>55</v>
      </c>
      <c r="H9197" t="s">
        <v>43</v>
      </c>
      <c r="I9197" t="s">
        <v>2191</v>
      </c>
      <c r="J9197" s="10">
        <v>29.8</v>
      </c>
      <c r="K9197" t="b">
        <v>1</v>
      </c>
    </row>
    <row r="9198" spans="1:11">
      <c r="A9198" s="12">
        <v>42790</v>
      </c>
      <c r="B9198">
        <v>2017</v>
      </c>
      <c r="C9198">
        <v>2</v>
      </c>
      <c r="D9198" s="11">
        <v>42767</v>
      </c>
      <c r="E9198" t="s">
        <v>2174</v>
      </c>
      <c r="F9198">
        <v>5</v>
      </c>
      <c r="G9198" t="s">
        <v>55</v>
      </c>
      <c r="H9198" t="s">
        <v>44</v>
      </c>
      <c r="I9198" t="s">
        <v>2192</v>
      </c>
      <c r="J9198" s="10">
        <v>10</v>
      </c>
      <c r="K9198" t="b">
        <v>1</v>
      </c>
    </row>
    <row r="9199" spans="1:11">
      <c r="A9199" s="12">
        <v>42790</v>
      </c>
      <c r="B9199">
        <v>2017</v>
      </c>
      <c r="C9199">
        <v>2</v>
      </c>
      <c r="D9199" s="11">
        <v>42767</v>
      </c>
      <c r="E9199" t="s">
        <v>2174</v>
      </c>
      <c r="F9199">
        <v>5</v>
      </c>
      <c r="G9199" t="s">
        <v>55</v>
      </c>
      <c r="H9199" t="s">
        <v>45</v>
      </c>
      <c r="I9199" t="s">
        <v>2193</v>
      </c>
      <c r="J9199" s="10">
        <v>1</v>
      </c>
      <c r="K9199" t="b">
        <v>1</v>
      </c>
    </row>
    <row r="9200" spans="1:11">
      <c r="A9200" s="12">
        <v>42790</v>
      </c>
      <c r="B9200">
        <v>2017</v>
      </c>
      <c r="C9200">
        <v>2</v>
      </c>
      <c r="D9200" s="11">
        <v>42767</v>
      </c>
      <c r="E9200" t="s">
        <v>2174</v>
      </c>
      <c r="F9200">
        <v>5</v>
      </c>
      <c r="G9200" t="s">
        <v>55</v>
      </c>
      <c r="H9200" t="s">
        <v>46</v>
      </c>
      <c r="I9200" t="s">
        <v>2194</v>
      </c>
      <c r="J9200" s="10">
        <v>7</v>
      </c>
      <c r="K9200" t="b">
        <v>1</v>
      </c>
    </row>
    <row r="9201" spans="1:11">
      <c r="A9201" s="12">
        <v>42790</v>
      </c>
      <c r="B9201">
        <v>2017</v>
      </c>
      <c r="C9201">
        <v>2</v>
      </c>
      <c r="D9201" s="11">
        <v>42767</v>
      </c>
      <c r="E9201" t="s">
        <v>2174</v>
      </c>
      <c r="F9201">
        <v>5</v>
      </c>
      <c r="G9201" t="s">
        <v>55</v>
      </c>
      <c r="H9201" t="s">
        <v>47</v>
      </c>
      <c r="I9201" t="s">
        <v>2195</v>
      </c>
      <c r="J9201" s="10">
        <v>1</v>
      </c>
      <c r="K9201" t="b">
        <v>1</v>
      </c>
    </row>
    <row r="9202" spans="1:11">
      <c r="A9202" s="12">
        <v>42791</v>
      </c>
      <c r="B9202">
        <v>2017</v>
      </c>
      <c r="C9202">
        <v>2</v>
      </c>
      <c r="D9202" s="11">
        <v>42767</v>
      </c>
      <c r="E9202" t="s">
        <v>2174</v>
      </c>
      <c r="F9202">
        <v>6</v>
      </c>
      <c r="G9202" t="s">
        <v>57</v>
      </c>
      <c r="H9202" t="s">
        <v>40</v>
      </c>
      <c r="I9202" t="s">
        <v>2188</v>
      </c>
      <c r="J9202" s="10">
        <v>6</v>
      </c>
      <c r="K9202" t="b">
        <v>1</v>
      </c>
    </row>
    <row r="9203" spans="1:11">
      <c r="A9203" s="12">
        <v>42791</v>
      </c>
      <c r="B9203">
        <v>2017</v>
      </c>
      <c r="C9203">
        <v>2</v>
      </c>
      <c r="D9203" s="11">
        <v>42767</v>
      </c>
      <c r="E9203" t="s">
        <v>2174</v>
      </c>
      <c r="F9203">
        <v>6</v>
      </c>
      <c r="G9203" t="s">
        <v>57</v>
      </c>
      <c r="H9203" t="s">
        <v>41</v>
      </c>
      <c r="I9203" t="s">
        <v>2189</v>
      </c>
      <c r="J9203" s="10">
        <v>6.34</v>
      </c>
      <c r="K9203" t="b">
        <v>1</v>
      </c>
    </row>
    <row r="9204" spans="1:11">
      <c r="A9204" s="12">
        <v>42791</v>
      </c>
      <c r="B9204">
        <v>2017</v>
      </c>
      <c r="C9204">
        <v>2</v>
      </c>
      <c r="D9204" s="11">
        <v>42767</v>
      </c>
      <c r="E9204" t="s">
        <v>2174</v>
      </c>
      <c r="F9204">
        <v>6</v>
      </c>
      <c r="G9204" t="s">
        <v>57</v>
      </c>
      <c r="H9204" t="s">
        <v>42</v>
      </c>
      <c r="I9204" t="s">
        <v>2190</v>
      </c>
      <c r="J9204" s="10">
        <v>5.25</v>
      </c>
      <c r="K9204" t="b">
        <v>1</v>
      </c>
    </row>
    <row r="9205" spans="1:11">
      <c r="A9205" s="12">
        <v>42791</v>
      </c>
      <c r="B9205">
        <v>2017</v>
      </c>
      <c r="C9205">
        <v>2</v>
      </c>
      <c r="D9205" s="11">
        <v>42767</v>
      </c>
      <c r="E9205" t="s">
        <v>2174</v>
      </c>
      <c r="F9205">
        <v>6</v>
      </c>
      <c r="G9205" t="s">
        <v>57</v>
      </c>
      <c r="H9205" t="s">
        <v>43</v>
      </c>
      <c r="I9205" t="s">
        <v>2191</v>
      </c>
      <c r="J9205" s="10">
        <v>24</v>
      </c>
      <c r="K9205" t="b">
        <v>1</v>
      </c>
    </row>
    <row r="9206" spans="1:11">
      <c r="A9206" s="12">
        <v>42791</v>
      </c>
      <c r="B9206">
        <v>2017</v>
      </c>
      <c r="C9206">
        <v>2</v>
      </c>
      <c r="D9206" s="11">
        <v>42767</v>
      </c>
      <c r="E9206" t="s">
        <v>2174</v>
      </c>
      <c r="F9206">
        <v>6</v>
      </c>
      <c r="G9206" t="s">
        <v>57</v>
      </c>
      <c r="H9206" t="s">
        <v>44</v>
      </c>
      <c r="I9206" t="s">
        <v>2192</v>
      </c>
      <c r="J9206" s="10">
        <v>6.875</v>
      </c>
      <c r="K9206" t="b">
        <v>1</v>
      </c>
    </row>
    <row r="9207" spans="1:11">
      <c r="A9207" s="12">
        <v>42791</v>
      </c>
      <c r="B9207">
        <v>2017</v>
      </c>
      <c r="C9207">
        <v>2</v>
      </c>
      <c r="D9207" s="11">
        <v>42767</v>
      </c>
      <c r="E9207" t="s">
        <v>2174</v>
      </c>
      <c r="F9207">
        <v>6</v>
      </c>
      <c r="G9207" t="s">
        <v>57</v>
      </c>
      <c r="H9207" t="s">
        <v>45</v>
      </c>
      <c r="I9207" t="s">
        <v>2193</v>
      </c>
      <c r="J9207" s="10">
        <v>0</v>
      </c>
      <c r="K9207" t="b">
        <v>1</v>
      </c>
    </row>
    <row r="9208" spans="1:11">
      <c r="A9208" s="12">
        <v>42791</v>
      </c>
      <c r="B9208">
        <v>2017</v>
      </c>
      <c r="C9208">
        <v>2</v>
      </c>
      <c r="D9208" s="11">
        <v>42767</v>
      </c>
      <c r="E9208" t="s">
        <v>2174</v>
      </c>
      <c r="F9208">
        <v>6</v>
      </c>
      <c r="G9208" t="s">
        <v>57</v>
      </c>
      <c r="H9208" t="s">
        <v>46</v>
      </c>
      <c r="I9208" t="s">
        <v>2194</v>
      </c>
      <c r="J9208" s="10">
        <v>2</v>
      </c>
      <c r="K9208" t="b">
        <v>1</v>
      </c>
    </row>
    <row r="9209" spans="1:11">
      <c r="A9209" s="12">
        <v>42791</v>
      </c>
      <c r="B9209">
        <v>2017</v>
      </c>
      <c r="C9209">
        <v>2</v>
      </c>
      <c r="D9209" s="11">
        <v>42767</v>
      </c>
      <c r="E9209" t="s">
        <v>2174</v>
      </c>
      <c r="F9209">
        <v>6</v>
      </c>
      <c r="G9209" t="s">
        <v>57</v>
      </c>
      <c r="H9209" t="s">
        <v>47</v>
      </c>
      <c r="I9209" t="s">
        <v>2195</v>
      </c>
      <c r="J9209" s="10">
        <v>0</v>
      </c>
      <c r="K9209" t="b">
        <v>1</v>
      </c>
    </row>
    <row r="9210" spans="1:11">
      <c r="A9210" s="12">
        <v>42792</v>
      </c>
      <c r="B9210">
        <v>2017</v>
      </c>
      <c r="C9210">
        <v>2</v>
      </c>
      <c r="D9210" s="11">
        <v>42767</v>
      </c>
      <c r="E9210" t="s">
        <v>2174</v>
      </c>
      <c r="F9210">
        <v>7</v>
      </c>
      <c r="G9210" t="s">
        <v>59</v>
      </c>
      <c r="H9210" t="s">
        <v>40</v>
      </c>
      <c r="I9210" t="s">
        <v>2188</v>
      </c>
      <c r="J9210" s="10">
        <v>5.33</v>
      </c>
      <c r="K9210" t="b">
        <v>1</v>
      </c>
    </row>
    <row r="9211" spans="1:11">
      <c r="A9211" s="12">
        <v>42792</v>
      </c>
      <c r="B9211">
        <v>2017</v>
      </c>
      <c r="C9211">
        <v>2</v>
      </c>
      <c r="D9211" s="11">
        <v>42767</v>
      </c>
      <c r="E9211" t="s">
        <v>2174</v>
      </c>
      <c r="F9211">
        <v>7</v>
      </c>
      <c r="G9211" t="s">
        <v>59</v>
      </c>
      <c r="H9211" t="s">
        <v>41</v>
      </c>
      <c r="I9211" t="s">
        <v>2189</v>
      </c>
      <c r="J9211" s="10">
        <v>5.33</v>
      </c>
      <c r="K9211" t="b">
        <v>1</v>
      </c>
    </row>
    <row r="9212" spans="1:11">
      <c r="A9212" s="12">
        <v>42792</v>
      </c>
      <c r="B9212">
        <v>2017</v>
      </c>
      <c r="C9212">
        <v>2</v>
      </c>
      <c r="D9212" s="11">
        <v>42767</v>
      </c>
      <c r="E9212" t="s">
        <v>2174</v>
      </c>
      <c r="F9212">
        <v>7</v>
      </c>
      <c r="G9212" t="s">
        <v>59</v>
      </c>
      <c r="H9212" t="s">
        <v>42</v>
      </c>
      <c r="I9212" t="s">
        <v>2190</v>
      </c>
      <c r="J9212" s="10">
        <v>3.2</v>
      </c>
      <c r="K9212" t="b">
        <v>1</v>
      </c>
    </row>
    <row r="9213" spans="1:11">
      <c r="A9213" s="12">
        <v>42792</v>
      </c>
      <c r="B9213">
        <v>2017</v>
      </c>
      <c r="C9213">
        <v>2</v>
      </c>
      <c r="D9213" s="11">
        <v>42767</v>
      </c>
      <c r="E9213" t="s">
        <v>2174</v>
      </c>
      <c r="F9213">
        <v>7</v>
      </c>
      <c r="G9213" t="s">
        <v>59</v>
      </c>
      <c r="H9213" t="s">
        <v>43</v>
      </c>
      <c r="I9213" t="s">
        <v>2191</v>
      </c>
      <c r="J9213" s="10">
        <v>15.7</v>
      </c>
      <c r="K9213" t="b">
        <v>1</v>
      </c>
    </row>
    <row r="9214" spans="1:11">
      <c r="A9214" s="12">
        <v>42792</v>
      </c>
      <c r="B9214">
        <v>2017</v>
      </c>
      <c r="C9214">
        <v>2</v>
      </c>
      <c r="D9214" s="11">
        <v>42767</v>
      </c>
      <c r="E9214" t="s">
        <v>2174</v>
      </c>
      <c r="F9214">
        <v>7</v>
      </c>
      <c r="G9214" t="s">
        <v>59</v>
      </c>
      <c r="H9214" t="s">
        <v>44</v>
      </c>
      <c r="I9214" t="s">
        <v>2192</v>
      </c>
      <c r="J9214" s="10">
        <v>3</v>
      </c>
      <c r="K9214" t="b">
        <v>1</v>
      </c>
    </row>
    <row r="9215" spans="1:11">
      <c r="A9215" s="12">
        <v>42792</v>
      </c>
      <c r="B9215">
        <v>2017</v>
      </c>
      <c r="C9215">
        <v>2</v>
      </c>
      <c r="D9215" s="11">
        <v>42767</v>
      </c>
      <c r="E9215" t="s">
        <v>2174</v>
      </c>
      <c r="F9215">
        <v>7</v>
      </c>
      <c r="G9215" t="s">
        <v>59</v>
      </c>
      <c r="H9215" t="s">
        <v>45</v>
      </c>
      <c r="I9215" t="s">
        <v>2193</v>
      </c>
      <c r="J9215" s="10">
        <v>0</v>
      </c>
      <c r="K9215" t="b">
        <v>1</v>
      </c>
    </row>
    <row r="9216" spans="1:11">
      <c r="A9216" s="12">
        <v>42792</v>
      </c>
      <c r="B9216">
        <v>2017</v>
      </c>
      <c r="C9216">
        <v>2</v>
      </c>
      <c r="D9216" s="11">
        <v>42767</v>
      </c>
      <c r="E9216" t="s">
        <v>2174</v>
      </c>
      <c r="F9216">
        <v>7</v>
      </c>
      <c r="G9216" t="s">
        <v>59</v>
      </c>
      <c r="H9216" t="s">
        <v>46</v>
      </c>
      <c r="I9216" t="s">
        <v>2194</v>
      </c>
      <c r="J9216" s="10">
        <v>5</v>
      </c>
      <c r="K9216" t="b">
        <v>1</v>
      </c>
    </row>
    <row r="9217" spans="1:11">
      <c r="A9217" s="12">
        <v>42792</v>
      </c>
      <c r="B9217">
        <v>2017</v>
      </c>
      <c r="C9217">
        <v>2</v>
      </c>
      <c r="D9217" s="11">
        <v>42767</v>
      </c>
      <c r="E9217" t="s">
        <v>2174</v>
      </c>
      <c r="F9217">
        <v>7</v>
      </c>
      <c r="G9217" t="s">
        <v>59</v>
      </c>
      <c r="H9217" t="s">
        <v>47</v>
      </c>
      <c r="I9217" t="s">
        <v>2195</v>
      </c>
      <c r="J9217" s="10">
        <v>1.2</v>
      </c>
      <c r="K9217" t="b">
        <v>1</v>
      </c>
    </row>
    <row r="9218" spans="1:11">
      <c r="A9218" s="12">
        <v>42793</v>
      </c>
      <c r="B9218">
        <v>2017</v>
      </c>
      <c r="C9218">
        <v>2</v>
      </c>
      <c r="D9218" s="11">
        <v>42767</v>
      </c>
      <c r="E9218" t="s">
        <v>2174</v>
      </c>
      <c r="F9218">
        <v>1</v>
      </c>
      <c r="G9218" t="s">
        <v>61</v>
      </c>
      <c r="H9218" t="s">
        <v>40</v>
      </c>
      <c r="I9218" t="s">
        <v>2188</v>
      </c>
      <c r="J9218" s="10">
        <v>5.67</v>
      </c>
      <c r="K9218" t="b">
        <v>1</v>
      </c>
    </row>
    <row r="9219" spans="1:11">
      <c r="A9219" s="12">
        <v>42793</v>
      </c>
      <c r="B9219">
        <v>2017</v>
      </c>
      <c r="C9219">
        <v>2</v>
      </c>
      <c r="D9219" s="11">
        <v>42767</v>
      </c>
      <c r="E9219" t="s">
        <v>2174</v>
      </c>
      <c r="F9219">
        <v>1</v>
      </c>
      <c r="G9219" t="s">
        <v>61</v>
      </c>
      <c r="H9219" t="s">
        <v>41</v>
      </c>
      <c r="I9219" t="s">
        <v>2189</v>
      </c>
      <c r="J9219" s="10">
        <v>3.68</v>
      </c>
      <c r="K9219" t="b">
        <v>1</v>
      </c>
    </row>
    <row r="9220" spans="1:11">
      <c r="A9220" s="12">
        <v>42793</v>
      </c>
      <c r="B9220">
        <v>2017</v>
      </c>
      <c r="C9220">
        <v>2</v>
      </c>
      <c r="D9220" s="11">
        <v>42767</v>
      </c>
      <c r="E9220" t="s">
        <v>2174</v>
      </c>
      <c r="F9220">
        <v>1</v>
      </c>
      <c r="G9220" t="s">
        <v>61</v>
      </c>
      <c r="H9220" t="s">
        <v>42</v>
      </c>
      <c r="I9220" t="s">
        <v>2190</v>
      </c>
      <c r="J9220" s="10">
        <v>7</v>
      </c>
      <c r="K9220" t="b">
        <v>1</v>
      </c>
    </row>
    <row r="9221" spans="1:11">
      <c r="A9221" s="12">
        <v>42793</v>
      </c>
      <c r="B9221">
        <v>2017</v>
      </c>
      <c r="C9221">
        <v>2</v>
      </c>
      <c r="D9221" s="11">
        <v>42767</v>
      </c>
      <c r="E9221" t="s">
        <v>2174</v>
      </c>
      <c r="F9221">
        <v>1</v>
      </c>
      <c r="G9221" t="s">
        <v>61</v>
      </c>
      <c r="H9221" t="s">
        <v>43</v>
      </c>
      <c r="I9221" t="s">
        <v>2191</v>
      </c>
      <c r="J9221" s="10">
        <v>16.4</v>
      </c>
      <c r="K9221" t="b">
        <v>1</v>
      </c>
    </row>
    <row r="9222" spans="1:11">
      <c r="A9222" s="12">
        <v>42793</v>
      </c>
      <c r="B9222">
        <v>2017</v>
      </c>
      <c r="C9222">
        <v>2</v>
      </c>
      <c r="D9222" s="11">
        <v>42767</v>
      </c>
      <c r="E9222" t="s">
        <v>2174</v>
      </c>
      <c r="F9222">
        <v>1</v>
      </c>
      <c r="G9222" t="s">
        <v>61</v>
      </c>
      <c r="H9222" t="s">
        <v>44</v>
      </c>
      <c r="I9222" t="s">
        <v>2192</v>
      </c>
      <c r="J9222" s="10">
        <v>14</v>
      </c>
      <c r="K9222" t="b">
        <v>1</v>
      </c>
    </row>
    <row r="9223" spans="1:11">
      <c r="A9223" s="12">
        <v>42793</v>
      </c>
      <c r="B9223">
        <v>2017</v>
      </c>
      <c r="C9223">
        <v>2</v>
      </c>
      <c r="D9223" s="11">
        <v>42767</v>
      </c>
      <c r="E9223" t="s">
        <v>2174</v>
      </c>
      <c r="F9223">
        <v>1</v>
      </c>
      <c r="G9223" t="s">
        <v>61</v>
      </c>
      <c r="H9223" t="s">
        <v>45</v>
      </c>
      <c r="I9223" t="s">
        <v>2193</v>
      </c>
      <c r="J9223" s="10">
        <v>0</v>
      </c>
      <c r="K9223" t="b">
        <v>1</v>
      </c>
    </row>
    <row r="9224" spans="1:11">
      <c r="A9224" s="12">
        <v>42793</v>
      </c>
      <c r="B9224">
        <v>2017</v>
      </c>
      <c r="C9224">
        <v>2</v>
      </c>
      <c r="D9224" s="11">
        <v>42767</v>
      </c>
      <c r="E9224" t="s">
        <v>2174</v>
      </c>
      <c r="F9224">
        <v>1</v>
      </c>
      <c r="G9224" t="s">
        <v>61</v>
      </c>
      <c r="H9224" t="s">
        <v>46</v>
      </c>
      <c r="I9224" t="s">
        <v>2194</v>
      </c>
      <c r="J9224" s="10">
        <v>7</v>
      </c>
      <c r="K9224" t="b">
        <v>1</v>
      </c>
    </row>
    <row r="9225" spans="1:11">
      <c r="A9225" s="12">
        <v>42793</v>
      </c>
      <c r="B9225">
        <v>2017</v>
      </c>
      <c r="C9225">
        <v>2</v>
      </c>
      <c r="D9225" s="11">
        <v>42767</v>
      </c>
      <c r="E9225" t="s">
        <v>2174</v>
      </c>
      <c r="F9225">
        <v>1</v>
      </c>
      <c r="G9225" t="s">
        <v>61</v>
      </c>
      <c r="H9225" t="s">
        <v>47</v>
      </c>
      <c r="I9225" t="s">
        <v>2195</v>
      </c>
      <c r="J9225" s="10">
        <v>2</v>
      </c>
      <c r="K9225" t="b">
        <v>1</v>
      </c>
    </row>
    <row r="9226" spans="1:11">
      <c r="A9226" s="12">
        <v>42794</v>
      </c>
      <c r="B9226">
        <v>2017</v>
      </c>
      <c r="C9226">
        <v>2</v>
      </c>
      <c r="D9226" s="11">
        <v>42767</v>
      </c>
      <c r="E9226" t="s">
        <v>2174</v>
      </c>
      <c r="F9226">
        <v>2</v>
      </c>
      <c r="G9226" t="s">
        <v>63</v>
      </c>
      <c r="H9226" t="s">
        <v>40</v>
      </c>
      <c r="I9226" t="s">
        <v>2188</v>
      </c>
      <c r="J9226" s="10">
        <v>5.34</v>
      </c>
      <c r="K9226" t="b">
        <v>1</v>
      </c>
    </row>
    <row r="9227" spans="1:11">
      <c r="A9227" s="12">
        <v>42794</v>
      </c>
      <c r="B9227">
        <v>2017</v>
      </c>
      <c r="C9227">
        <v>2</v>
      </c>
      <c r="D9227" s="11">
        <v>42767</v>
      </c>
      <c r="E9227" t="s">
        <v>2174</v>
      </c>
      <c r="F9227">
        <v>2</v>
      </c>
      <c r="G9227" t="s">
        <v>63</v>
      </c>
      <c r="H9227" t="s">
        <v>41</v>
      </c>
      <c r="I9227" t="s">
        <v>2189</v>
      </c>
      <c r="J9227" s="10">
        <v>5.02</v>
      </c>
      <c r="K9227" t="b">
        <v>1</v>
      </c>
    </row>
    <row r="9228" spans="1:11">
      <c r="A9228" s="12">
        <v>42794</v>
      </c>
      <c r="B9228">
        <v>2017</v>
      </c>
      <c r="C9228">
        <v>2</v>
      </c>
      <c r="D9228" s="11">
        <v>42767</v>
      </c>
      <c r="E9228" t="s">
        <v>2174</v>
      </c>
      <c r="F9228">
        <v>2</v>
      </c>
      <c r="G9228" t="s">
        <v>63</v>
      </c>
      <c r="H9228" t="s">
        <v>42</v>
      </c>
      <c r="I9228" t="s">
        <v>2190</v>
      </c>
      <c r="J9228" s="10">
        <v>7.5</v>
      </c>
      <c r="K9228" t="b">
        <v>1</v>
      </c>
    </row>
    <row r="9229" spans="1:11">
      <c r="A9229" s="12">
        <v>42794</v>
      </c>
      <c r="B9229">
        <v>2017</v>
      </c>
      <c r="C9229">
        <v>2</v>
      </c>
      <c r="D9229" s="11">
        <v>42767</v>
      </c>
      <c r="E9229" t="s">
        <v>2174</v>
      </c>
      <c r="F9229">
        <v>2</v>
      </c>
      <c r="G9229" t="s">
        <v>63</v>
      </c>
      <c r="H9229" t="s">
        <v>43</v>
      </c>
      <c r="I9229" t="s">
        <v>2191</v>
      </c>
      <c r="J9229" s="10">
        <v>26.4</v>
      </c>
      <c r="K9229" t="b">
        <v>1</v>
      </c>
    </row>
    <row r="9230" spans="1:11">
      <c r="A9230" s="12">
        <v>42794</v>
      </c>
      <c r="B9230">
        <v>2017</v>
      </c>
      <c r="C9230">
        <v>2</v>
      </c>
      <c r="D9230" s="11">
        <v>42767</v>
      </c>
      <c r="E9230" t="s">
        <v>2174</v>
      </c>
      <c r="F9230">
        <v>2</v>
      </c>
      <c r="G9230" t="s">
        <v>63</v>
      </c>
      <c r="H9230" t="s">
        <v>44</v>
      </c>
      <c r="I9230" t="s">
        <v>2192</v>
      </c>
      <c r="J9230" s="10">
        <v>9</v>
      </c>
      <c r="K9230" t="b">
        <v>1</v>
      </c>
    </row>
    <row r="9231" spans="1:11">
      <c r="A9231" s="12">
        <v>42794</v>
      </c>
      <c r="B9231">
        <v>2017</v>
      </c>
      <c r="C9231">
        <v>2</v>
      </c>
      <c r="D9231" s="11">
        <v>42767</v>
      </c>
      <c r="E9231" t="s">
        <v>2174</v>
      </c>
      <c r="F9231">
        <v>2</v>
      </c>
      <c r="G9231" t="s">
        <v>63</v>
      </c>
      <c r="H9231" t="s">
        <v>45</v>
      </c>
      <c r="I9231" t="s">
        <v>2193</v>
      </c>
      <c r="J9231" s="10">
        <v>2</v>
      </c>
      <c r="K9231" t="b">
        <v>1</v>
      </c>
    </row>
    <row r="9232" spans="1:11">
      <c r="A9232" s="12">
        <v>42794</v>
      </c>
      <c r="B9232">
        <v>2017</v>
      </c>
      <c r="C9232">
        <v>2</v>
      </c>
      <c r="D9232" s="11">
        <v>42767</v>
      </c>
      <c r="E9232" t="s">
        <v>2174</v>
      </c>
      <c r="F9232">
        <v>2</v>
      </c>
      <c r="G9232" t="s">
        <v>63</v>
      </c>
      <c r="H9232" t="s">
        <v>46</v>
      </c>
      <c r="I9232" t="s">
        <v>2194</v>
      </c>
      <c r="J9232" s="10">
        <v>18</v>
      </c>
      <c r="K9232" t="b">
        <v>1</v>
      </c>
    </row>
    <row r="9233" spans="1:11">
      <c r="A9233" s="12">
        <v>42794</v>
      </c>
      <c r="B9233">
        <v>2017</v>
      </c>
      <c r="C9233">
        <v>2</v>
      </c>
      <c r="D9233" s="11">
        <v>42767</v>
      </c>
      <c r="E9233" t="s">
        <v>2174</v>
      </c>
      <c r="F9233">
        <v>2</v>
      </c>
      <c r="G9233" t="s">
        <v>63</v>
      </c>
      <c r="H9233" t="s">
        <v>47</v>
      </c>
      <c r="I9233" t="s">
        <v>2195</v>
      </c>
      <c r="J9233" s="10">
        <v>0</v>
      </c>
      <c r="K9233" t="b">
        <v>1</v>
      </c>
    </row>
    <row r="9234" spans="1:11">
      <c r="A9234" s="12">
        <v>42795</v>
      </c>
      <c r="B9234">
        <v>2017</v>
      </c>
      <c r="C9234">
        <v>3</v>
      </c>
      <c r="D9234" s="11">
        <v>42795</v>
      </c>
      <c r="E9234" t="s">
        <v>2175</v>
      </c>
      <c r="F9234">
        <v>3</v>
      </c>
      <c r="G9234" t="s">
        <v>65</v>
      </c>
      <c r="H9234" t="s">
        <v>40</v>
      </c>
      <c r="I9234" t="s">
        <v>2188</v>
      </c>
      <c r="J9234" s="10">
        <v>4</v>
      </c>
      <c r="K9234" t="b">
        <v>1</v>
      </c>
    </row>
    <row r="9235" spans="1:11">
      <c r="A9235" s="12">
        <v>42795</v>
      </c>
      <c r="B9235">
        <v>2017</v>
      </c>
      <c r="C9235">
        <v>3</v>
      </c>
      <c r="D9235" s="11">
        <v>42795</v>
      </c>
      <c r="E9235" t="s">
        <v>2175</v>
      </c>
      <c r="F9235">
        <v>3</v>
      </c>
      <c r="G9235" t="s">
        <v>65</v>
      </c>
      <c r="H9235" t="s">
        <v>41</v>
      </c>
      <c r="I9235" t="s">
        <v>2189</v>
      </c>
      <c r="J9235" s="10">
        <v>4.66</v>
      </c>
      <c r="K9235" t="b">
        <v>1</v>
      </c>
    </row>
    <row r="9236" spans="1:11">
      <c r="A9236" s="12">
        <v>42795</v>
      </c>
      <c r="B9236">
        <v>2017</v>
      </c>
      <c r="C9236">
        <v>3</v>
      </c>
      <c r="D9236" s="11">
        <v>42795</v>
      </c>
      <c r="E9236" t="s">
        <v>2175</v>
      </c>
      <c r="F9236">
        <v>3</v>
      </c>
      <c r="G9236" t="s">
        <v>65</v>
      </c>
      <c r="H9236" t="s">
        <v>42</v>
      </c>
      <c r="I9236" t="s">
        <v>2190</v>
      </c>
      <c r="J9236" s="10">
        <v>5</v>
      </c>
      <c r="K9236" t="b">
        <v>1</v>
      </c>
    </row>
    <row r="9237" spans="1:11">
      <c r="A9237" s="12">
        <v>42795</v>
      </c>
      <c r="B9237">
        <v>2017</v>
      </c>
      <c r="C9237">
        <v>3</v>
      </c>
      <c r="D9237" s="11">
        <v>42795</v>
      </c>
      <c r="E9237" t="s">
        <v>2175</v>
      </c>
      <c r="F9237">
        <v>3</v>
      </c>
      <c r="G9237" t="s">
        <v>65</v>
      </c>
      <c r="H9237" t="s">
        <v>43</v>
      </c>
      <c r="I9237" t="s">
        <v>2191</v>
      </c>
      <c r="J9237" s="10">
        <v>15.1</v>
      </c>
      <c r="K9237" t="b">
        <v>1</v>
      </c>
    </row>
    <row r="9238" spans="1:11">
      <c r="A9238" s="12">
        <v>42795</v>
      </c>
      <c r="B9238">
        <v>2017</v>
      </c>
      <c r="C9238">
        <v>3</v>
      </c>
      <c r="D9238" s="11">
        <v>42795</v>
      </c>
      <c r="E9238" t="s">
        <v>2175</v>
      </c>
      <c r="F9238">
        <v>3</v>
      </c>
      <c r="G9238" t="s">
        <v>65</v>
      </c>
      <c r="H9238" t="s">
        <v>44</v>
      </c>
      <c r="I9238" t="s">
        <v>2192</v>
      </c>
      <c r="J9238" s="10">
        <v>17</v>
      </c>
      <c r="K9238" t="b">
        <v>1</v>
      </c>
    </row>
    <row r="9239" spans="1:11">
      <c r="A9239" s="12">
        <v>42795</v>
      </c>
      <c r="B9239">
        <v>2017</v>
      </c>
      <c r="C9239">
        <v>3</v>
      </c>
      <c r="D9239" s="11">
        <v>42795</v>
      </c>
      <c r="E9239" t="s">
        <v>2175</v>
      </c>
      <c r="F9239">
        <v>3</v>
      </c>
      <c r="G9239" t="s">
        <v>65</v>
      </c>
      <c r="H9239" t="s">
        <v>45</v>
      </c>
      <c r="I9239" t="s">
        <v>2193</v>
      </c>
      <c r="J9239" s="10">
        <v>0</v>
      </c>
      <c r="K9239" t="b">
        <v>1</v>
      </c>
    </row>
    <row r="9240" spans="1:11">
      <c r="A9240" s="12">
        <v>42795</v>
      </c>
      <c r="B9240">
        <v>2017</v>
      </c>
      <c r="C9240">
        <v>3</v>
      </c>
      <c r="D9240" s="11">
        <v>42795</v>
      </c>
      <c r="E9240" t="s">
        <v>2175</v>
      </c>
      <c r="F9240">
        <v>3</v>
      </c>
      <c r="G9240" t="s">
        <v>65</v>
      </c>
      <c r="H9240" t="s">
        <v>46</v>
      </c>
      <c r="I9240" t="s">
        <v>2194</v>
      </c>
      <c r="J9240" s="10">
        <v>5</v>
      </c>
      <c r="K9240" t="b">
        <v>1</v>
      </c>
    </row>
    <row r="9241" spans="1:11">
      <c r="A9241" s="12">
        <v>42795</v>
      </c>
      <c r="B9241">
        <v>2017</v>
      </c>
      <c r="C9241">
        <v>3</v>
      </c>
      <c r="D9241" s="11">
        <v>42795</v>
      </c>
      <c r="E9241" t="s">
        <v>2175</v>
      </c>
      <c r="F9241">
        <v>3</v>
      </c>
      <c r="G9241" t="s">
        <v>65</v>
      </c>
      <c r="H9241" t="s">
        <v>47</v>
      </c>
      <c r="I9241" t="s">
        <v>2195</v>
      </c>
      <c r="J9241" s="10">
        <v>2</v>
      </c>
      <c r="K9241" t="b">
        <v>1</v>
      </c>
    </row>
    <row r="9242" spans="1:11">
      <c r="A9242" s="12">
        <v>42796</v>
      </c>
      <c r="B9242">
        <v>2017</v>
      </c>
      <c r="C9242">
        <v>3</v>
      </c>
      <c r="D9242" s="11">
        <v>42795</v>
      </c>
      <c r="E9242" t="s">
        <v>2175</v>
      </c>
      <c r="F9242">
        <v>4</v>
      </c>
      <c r="G9242" t="s">
        <v>53</v>
      </c>
      <c r="H9242" t="s">
        <v>40</v>
      </c>
      <c r="I9242" t="s">
        <v>2188</v>
      </c>
      <c r="J9242" s="10">
        <v>5</v>
      </c>
      <c r="K9242" t="b">
        <v>1</v>
      </c>
    </row>
    <row r="9243" spans="1:11">
      <c r="A9243" s="12">
        <v>42796</v>
      </c>
      <c r="B9243">
        <v>2017</v>
      </c>
      <c r="C9243">
        <v>3</v>
      </c>
      <c r="D9243" s="11">
        <v>42795</v>
      </c>
      <c r="E9243" t="s">
        <v>2175</v>
      </c>
      <c r="F9243">
        <v>4</v>
      </c>
      <c r="G9243" t="s">
        <v>53</v>
      </c>
      <c r="H9243" t="s">
        <v>41</v>
      </c>
      <c r="I9243" t="s">
        <v>2189</v>
      </c>
      <c r="J9243" s="10">
        <v>7.13</v>
      </c>
      <c r="K9243" t="b">
        <v>1</v>
      </c>
    </row>
    <row r="9244" spans="1:11">
      <c r="A9244" s="12">
        <v>42796</v>
      </c>
      <c r="B9244">
        <v>2017</v>
      </c>
      <c r="C9244">
        <v>3</v>
      </c>
      <c r="D9244" s="11">
        <v>42795</v>
      </c>
      <c r="E9244" t="s">
        <v>2175</v>
      </c>
      <c r="F9244">
        <v>4</v>
      </c>
      <c r="G9244" t="s">
        <v>53</v>
      </c>
      <c r="H9244" t="s">
        <v>42</v>
      </c>
      <c r="I9244" t="s">
        <v>2190</v>
      </c>
      <c r="J9244" s="10">
        <v>3</v>
      </c>
      <c r="K9244" t="b">
        <v>1</v>
      </c>
    </row>
    <row r="9245" spans="1:11">
      <c r="A9245" s="12">
        <v>42796</v>
      </c>
      <c r="B9245">
        <v>2017</v>
      </c>
      <c r="C9245">
        <v>3</v>
      </c>
      <c r="D9245" s="11">
        <v>42795</v>
      </c>
      <c r="E9245" t="s">
        <v>2175</v>
      </c>
      <c r="F9245">
        <v>4</v>
      </c>
      <c r="G9245" t="s">
        <v>53</v>
      </c>
      <c r="H9245" t="s">
        <v>43</v>
      </c>
      <c r="I9245" t="s">
        <v>2191</v>
      </c>
      <c r="J9245" s="10">
        <v>13</v>
      </c>
      <c r="K9245" t="b">
        <v>1</v>
      </c>
    </row>
    <row r="9246" spans="1:11">
      <c r="A9246" s="12">
        <v>42796</v>
      </c>
      <c r="B9246">
        <v>2017</v>
      </c>
      <c r="C9246">
        <v>3</v>
      </c>
      <c r="D9246" s="11">
        <v>42795</v>
      </c>
      <c r="E9246" t="s">
        <v>2175</v>
      </c>
      <c r="F9246">
        <v>4</v>
      </c>
      <c r="G9246" t="s">
        <v>53</v>
      </c>
      <c r="H9246" t="s">
        <v>44</v>
      </c>
      <c r="I9246" t="s">
        <v>2192</v>
      </c>
      <c r="J9246" s="10">
        <v>1</v>
      </c>
      <c r="K9246" t="b">
        <v>1</v>
      </c>
    </row>
    <row r="9247" spans="1:11">
      <c r="A9247" s="12">
        <v>42796</v>
      </c>
      <c r="B9247">
        <v>2017</v>
      </c>
      <c r="C9247">
        <v>3</v>
      </c>
      <c r="D9247" s="11">
        <v>42795</v>
      </c>
      <c r="E9247" t="s">
        <v>2175</v>
      </c>
      <c r="F9247">
        <v>4</v>
      </c>
      <c r="G9247" t="s">
        <v>53</v>
      </c>
      <c r="H9247" t="s">
        <v>45</v>
      </c>
      <c r="I9247" t="s">
        <v>2193</v>
      </c>
      <c r="J9247" s="10">
        <v>1</v>
      </c>
      <c r="K9247" t="b">
        <v>1</v>
      </c>
    </row>
    <row r="9248" spans="1:11">
      <c r="A9248" s="12">
        <v>42796</v>
      </c>
      <c r="B9248">
        <v>2017</v>
      </c>
      <c r="C9248">
        <v>3</v>
      </c>
      <c r="D9248" s="11">
        <v>42795</v>
      </c>
      <c r="E9248" t="s">
        <v>2175</v>
      </c>
      <c r="F9248">
        <v>4</v>
      </c>
      <c r="G9248" t="s">
        <v>53</v>
      </c>
      <c r="H9248" t="s">
        <v>46</v>
      </c>
      <c r="I9248" t="s">
        <v>2194</v>
      </c>
      <c r="J9248" s="10">
        <v>1</v>
      </c>
      <c r="K9248" t="b">
        <v>1</v>
      </c>
    </row>
    <row r="9249" spans="1:11">
      <c r="A9249" s="12">
        <v>42796</v>
      </c>
      <c r="B9249">
        <v>2017</v>
      </c>
      <c r="C9249">
        <v>3</v>
      </c>
      <c r="D9249" s="11">
        <v>42795</v>
      </c>
      <c r="E9249" t="s">
        <v>2175</v>
      </c>
      <c r="F9249">
        <v>4</v>
      </c>
      <c r="G9249" t="s">
        <v>53</v>
      </c>
      <c r="H9249" t="s">
        <v>47</v>
      </c>
      <c r="I9249" t="s">
        <v>2195</v>
      </c>
      <c r="J9249" s="10">
        <v>2</v>
      </c>
      <c r="K9249" t="b">
        <v>1</v>
      </c>
    </row>
    <row r="9250" spans="1:11">
      <c r="A9250" s="12">
        <v>42797</v>
      </c>
      <c r="B9250">
        <v>2017</v>
      </c>
      <c r="C9250">
        <v>3</v>
      </c>
      <c r="D9250" s="11">
        <v>42795</v>
      </c>
      <c r="E9250" t="s">
        <v>2175</v>
      </c>
      <c r="F9250">
        <v>5</v>
      </c>
      <c r="G9250" t="s">
        <v>55</v>
      </c>
      <c r="H9250" t="s">
        <v>40</v>
      </c>
      <c r="I9250" t="s">
        <v>2188</v>
      </c>
      <c r="J9250" s="10">
        <v>9</v>
      </c>
      <c r="K9250" t="b">
        <v>1</v>
      </c>
    </row>
    <row r="9251" spans="1:11">
      <c r="A9251" s="12">
        <v>42797</v>
      </c>
      <c r="B9251">
        <v>2017</v>
      </c>
      <c r="C9251">
        <v>3</v>
      </c>
      <c r="D9251" s="11">
        <v>42795</v>
      </c>
      <c r="E9251" t="s">
        <v>2175</v>
      </c>
      <c r="F9251">
        <v>5</v>
      </c>
      <c r="G9251" t="s">
        <v>55</v>
      </c>
      <c r="H9251" t="s">
        <v>41</v>
      </c>
      <c r="I9251" t="s">
        <v>2189</v>
      </c>
      <c r="J9251" s="10">
        <v>2.99</v>
      </c>
      <c r="K9251" t="b">
        <v>1</v>
      </c>
    </row>
    <row r="9252" spans="1:11">
      <c r="A9252" s="12">
        <v>42797</v>
      </c>
      <c r="B9252">
        <v>2017</v>
      </c>
      <c r="C9252">
        <v>3</v>
      </c>
      <c r="D9252" s="11">
        <v>42795</v>
      </c>
      <c r="E9252" t="s">
        <v>2175</v>
      </c>
      <c r="F9252">
        <v>5</v>
      </c>
      <c r="G9252" t="s">
        <v>55</v>
      </c>
      <c r="H9252" t="s">
        <v>42</v>
      </c>
      <c r="I9252" t="s">
        <v>2190</v>
      </c>
      <c r="J9252" s="10">
        <v>4</v>
      </c>
      <c r="K9252" t="b">
        <v>1</v>
      </c>
    </row>
    <row r="9253" spans="1:11">
      <c r="A9253" s="12">
        <v>42797</v>
      </c>
      <c r="B9253">
        <v>2017</v>
      </c>
      <c r="C9253">
        <v>3</v>
      </c>
      <c r="D9253" s="11">
        <v>42795</v>
      </c>
      <c r="E9253" t="s">
        <v>2175</v>
      </c>
      <c r="F9253">
        <v>5</v>
      </c>
      <c r="G9253" t="s">
        <v>55</v>
      </c>
      <c r="H9253" t="s">
        <v>43</v>
      </c>
      <c r="I9253" t="s">
        <v>2191</v>
      </c>
      <c r="J9253" s="10">
        <v>12.9</v>
      </c>
      <c r="K9253" t="b">
        <v>1</v>
      </c>
    </row>
    <row r="9254" spans="1:11">
      <c r="A9254" s="12">
        <v>42797</v>
      </c>
      <c r="B9254">
        <v>2017</v>
      </c>
      <c r="C9254">
        <v>3</v>
      </c>
      <c r="D9254" s="11">
        <v>42795</v>
      </c>
      <c r="E9254" t="s">
        <v>2175</v>
      </c>
      <c r="F9254">
        <v>5</v>
      </c>
      <c r="G9254" t="s">
        <v>55</v>
      </c>
      <c r="H9254" t="s">
        <v>44</v>
      </c>
      <c r="I9254" t="s">
        <v>2192</v>
      </c>
      <c r="J9254" s="10">
        <v>9</v>
      </c>
      <c r="K9254" t="b">
        <v>1</v>
      </c>
    </row>
    <row r="9255" spans="1:11">
      <c r="A9255" s="12">
        <v>42797</v>
      </c>
      <c r="B9255">
        <v>2017</v>
      </c>
      <c r="C9255">
        <v>3</v>
      </c>
      <c r="D9255" s="11">
        <v>42795</v>
      </c>
      <c r="E9255" t="s">
        <v>2175</v>
      </c>
      <c r="F9255">
        <v>5</v>
      </c>
      <c r="G9255" t="s">
        <v>55</v>
      </c>
      <c r="H9255" t="s">
        <v>45</v>
      </c>
      <c r="I9255" t="s">
        <v>2193</v>
      </c>
      <c r="J9255" s="10">
        <v>1</v>
      </c>
      <c r="K9255" t="b">
        <v>1</v>
      </c>
    </row>
    <row r="9256" spans="1:11">
      <c r="A9256" s="12">
        <v>42797</v>
      </c>
      <c r="B9256">
        <v>2017</v>
      </c>
      <c r="C9256">
        <v>3</v>
      </c>
      <c r="D9256" s="11">
        <v>42795</v>
      </c>
      <c r="E9256" t="s">
        <v>2175</v>
      </c>
      <c r="F9256">
        <v>5</v>
      </c>
      <c r="G9256" t="s">
        <v>55</v>
      </c>
      <c r="H9256" t="s">
        <v>46</v>
      </c>
      <c r="I9256" t="s">
        <v>2194</v>
      </c>
      <c r="J9256" s="10">
        <v>6</v>
      </c>
      <c r="K9256" t="b">
        <v>1</v>
      </c>
    </row>
    <row r="9257" spans="1:11">
      <c r="A9257" s="12">
        <v>42797</v>
      </c>
      <c r="B9257">
        <v>2017</v>
      </c>
      <c r="C9257">
        <v>3</v>
      </c>
      <c r="D9257" s="11">
        <v>42795</v>
      </c>
      <c r="E9257" t="s">
        <v>2175</v>
      </c>
      <c r="F9257">
        <v>5</v>
      </c>
      <c r="G9257" t="s">
        <v>55</v>
      </c>
      <c r="H9257" t="s">
        <v>47</v>
      </c>
      <c r="I9257" t="s">
        <v>2195</v>
      </c>
      <c r="J9257" s="10">
        <v>4</v>
      </c>
      <c r="K9257" t="b">
        <v>1</v>
      </c>
    </row>
    <row r="9258" spans="1:11">
      <c r="A9258" s="12">
        <v>42798</v>
      </c>
      <c r="B9258">
        <v>2017</v>
      </c>
      <c r="C9258">
        <v>3</v>
      </c>
      <c r="D9258" s="11">
        <v>42795</v>
      </c>
      <c r="E9258" t="s">
        <v>2175</v>
      </c>
      <c r="F9258">
        <v>6</v>
      </c>
      <c r="G9258" t="s">
        <v>57</v>
      </c>
      <c r="H9258" t="s">
        <v>40</v>
      </c>
      <c r="I9258" t="s">
        <v>2188</v>
      </c>
      <c r="J9258" s="10">
        <v>5.01</v>
      </c>
      <c r="K9258" t="b">
        <v>1</v>
      </c>
    </row>
    <row r="9259" spans="1:11">
      <c r="A9259" s="12">
        <v>42798</v>
      </c>
      <c r="B9259">
        <v>2017</v>
      </c>
      <c r="C9259">
        <v>3</v>
      </c>
      <c r="D9259" s="11">
        <v>42795</v>
      </c>
      <c r="E9259" t="s">
        <v>2175</v>
      </c>
      <c r="F9259">
        <v>6</v>
      </c>
      <c r="G9259" t="s">
        <v>57</v>
      </c>
      <c r="H9259" t="s">
        <v>41</v>
      </c>
      <c r="I9259" t="s">
        <v>2189</v>
      </c>
      <c r="J9259" s="10">
        <v>3.67</v>
      </c>
      <c r="K9259" t="b">
        <v>1</v>
      </c>
    </row>
    <row r="9260" spans="1:11">
      <c r="A9260" s="12">
        <v>42798</v>
      </c>
      <c r="B9260">
        <v>2017</v>
      </c>
      <c r="C9260">
        <v>3</v>
      </c>
      <c r="D9260" s="11">
        <v>42795</v>
      </c>
      <c r="E9260" t="s">
        <v>2175</v>
      </c>
      <c r="F9260">
        <v>6</v>
      </c>
      <c r="G9260" t="s">
        <v>57</v>
      </c>
      <c r="H9260" t="s">
        <v>42</v>
      </c>
      <c r="I9260" t="s">
        <v>2190</v>
      </c>
      <c r="J9260" s="10">
        <v>3.1</v>
      </c>
      <c r="K9260" t="b">
        <v>1</v>
      </c>
    </row>
    <row r="9261" spans="1:11">
      <c r="A9261" s="12">
        <v>42798</v>
      </c>
      <c r="B9261">
        <v>2017</v>
      </c>
      <c r="C9261">
        <v>3</v>
      </c>
      <c r="D9261" s="11">
        <v>42795</v>
      </c>
      <c r="E9261" t="s">
        <v>2175</v>
      </c>
      <c r="F9261">
        <v>6</v>
      </c>
      <c r="G9261" t="s">
        <v>57</v>
      </c>
      <c r="H9261" t="s">
        <v>43</v>
      </c>
      <c r="I9261" t="s">
        <v>2191</v>
      </c>
      <c r="J9261" s="10">
        <v>17</v>
      </c>
      <c r="K9261" t="b">
        <v>1</v>
      </c>
    </row>
    <row r="9262" spans="1:11">
      <c r="A9262" s="12">
        <v>42798</v>
      </c>
      <c r="B9262">
        <v>2017</v>
      </c>
      <c r="C9262">
        <v>3</v>
      </c>
      <c r="D9262" s="11">
        <v>42795</v>
      </c>
      <c r="E9262" t="s">
        <v>2175</v>
      </c>
      <c r="F9262">
        <v>6</v>
      </c>
      <c r="G9262" t="s">
        <v>57</v>
      </c>
      <c r="H9262" t="s">
        <v>44</v>
      </c>
      <c r="I9262" t="s">
        <v>2192</v>
      </c>
      <c r="J9262" s="10">
        <v>0</v>
      </c>
      <c r="K9262" t="b">
        <v>1</v>
      </c>
    </row>
    <row r="9263" spans="1:11">
      <c r="A9263" s="12">
        <v>42798</v>
      </c>
      <c r="B9263">
        <v>2017</v>
      </c>
      <c r="C9263">
        <v>3</v>
      </c>
      <c r="D9263" s="11">
        <v>42795</v>
      </c>
      <c r="E9263" t="s">
        <v>2175</v>
      </c>
      <c r="F9263">
        <v>6</v>
      </c>
      <c r="G9263" t="s">
        <v>57</v>
      </c>
      <c r="H9263" t="s">
        <v>45</v>
      </c>
      <c r="I9263" t="s">
        <v>2193</v>
      </c>
      <c r="J9263" s="10">
        <v>0</v>
      </c>
      <c r="K9263" t="b">
        <v>1</v>
      </c>
    </row>
    <row r="9264" spans="1:11">
      <c r="A9264" s="12">
        <v>42798</v>
      </c>
      <c r="B9264">
        <v>2017</v>
      </c>
      <c r="C9264">
        <v>3</v>
      </c>
      <c r="D9264" s="11">
        <v>42795</v>
      </c>
      <c r="E9264" t="s">
        <v>2175</v>
      </c>
      <c r="F9264">
        <v>6</v>
      </c>
      <c r="G9264" t="s">
        <v>57</v>
      </c>
      <c r="H9264" t="s">
        <v>46</v>
      </c>
      <c r="I9264" t="s">
        <v>2194</v>
      </c>
      <c r="J9264" s="10">
        <v>5</v>
      </c>
      <c r="K9264" t="b">
        <v>1</v>
      </c>
    </row>
    <row r="9265" spans="1:11">
      <c r="A9265" s="12">
        <v>42798</v>
      </c>
      <c r="B9265">
        <v>2017</v>
      </c>
      <c r="C9265">
        <v>3</v>
      </c>
      <c r="D9265" s="11">
        <v>42795</v>
      </c>
      <c r="E9265" t="s">
        <v>2175</v>
      </c>
      <c r="F9265">
        <v>6</v>
      </c>
      <c r="G9265" t="s">
        <v>57</v>
      </c>
      <c r="H9265" t="s">
        <v>47</v>
      </c>
      <c r="I9265" t="s">
        <v>2195</v>
      </c>
      <c r="J9265" s="10">
        <v>4.5</v>
      </c>
      <c r="K9265" t="b">
        <v>1</v>
      </c>
    </row>
    <row r="9266" spans="1:11">
      <c r="A9266" s="12">
        <v>42799</v>
      </c>
      <c r="B9266">
        <v>2017</v>
      </c>
      <c r="C9266">
        <v>3</v>
      </c>
      <c r="D9266" s="11">
        <v>42795</v>
      </c>
      <c r="E9266" t="s">
        <v>2175</v>
      </c>
      <c r="F9266">
        <v>7</v>
      </c>
      <c r="G9266" t="s">
        <v>59</v>
      </c>
      <c r="H9266" t="s">
        <v>40</v>
      </c>
      <c r="I9266" t="s">
        <v>2188</v>
      </c>
      <c r="J9266" s="10">
        <v>12.33</v>
      </c>
      <c r="K9266" t="b">
        <v>1</v>
      </c>
    </row>
    <row r="9267" spans="1:11">
      <c r="A9267" s="12">
        <v>42799</v>
      </c>
      <c r="B9267">
        <v>2017</v>
      </c>
      <c r="C9267">
        <v>3</v>
      </c>
      <c r="D9267" s="11">
        <v>42795</v>
      </c>
      <c r="E9267" t="s">
        <v>2175</v>
      </c>
      <c r="F9267">
        <v>7</v>
      </c>
      <c r="G9267" t="s">
        <v>59</v>
      </c>
      <c r="H9267" t="s">
        <v>41</v>
      </c>
      <c r="I9267" t="s">
        <v>2189</v>
      </c>
      <c r="J9267" s="10">
        <v>4.33</v>
      </c>
      <c r="K9267" t="b">
        <v>1</v>
      </c>
    </row>
    <row r="9268" spans="1:11">
      <c r="A9268" s="12">
        <v>42799</v>
      </c>
      <c r="B9268">
        <v>2017</v>
      </c>
      <c r="C9268">
        <v>3</v>
      </c>
      <c r="D9268" s="11">
        <v>42795</v>
      </c>
      <c r="E9268" t="s">
        <v>2175</v>
      </c>
      <c r="F9268">
        <v>7</v>
      </c>
      <c r="G9268" t="s">
        <v>59</v>
      </c>
      <c r="H9268" t="s">
        <v>42</v>
      </c>
      <c r="I9268" t="s">
        <v>2190</v>
      </c>
      <c r="J9268" s="10">
        <v>5</v>
      </c>
      <c r="K9268" t="b">
        <v>1</v>
      </c>
    </row>
    <row r="9269" spans="1:11">
      <c r="A9269" s="12">
        <v>42799</v>
      </c>
      <c r="B9269">
        <v>2017</v>
      </c>
      <c r="C9269">
        <v>3</v>
      </c>
      <c r="D9269" s="11">
        <v>42795</v>
      </c>
      <c r="E9269" t="s">
        <v>2175</v>
      </c>
      <c r="F9269">
        <v>7</v>
      </c>
      <c r="G9269" t="s">
        <v>59</v>
      </c>
      <c r="H9269" t="s">
        <v>43</v>
      </c>
      <c r="I9269" t="s">
        <v>2191</v>
      </c>
      <c r="J9269" s="10">
        <v>33.9</v>
      </c>
      <c r="K9269" t="b">
        <v>1</v>
      </c>
    </row>
    <row r="9270" spans="1:11">
      <c r="A9270" s="12">
        <v>42799</v>
      </c>
      <c r="B9270">
        <v>2017</v>
      </c>
      <c r="C9270">
        <v>3</v>
      </c>
      <c r="D9270" s="11">
        <v>42795</v>
      </c>
      <c r="E9270" t="s">
        <v>2175</v>
      </c>
      <c r="F9270">
        <v>7</v>
      </c>
      <c r="G9270" t="s">
        <v>59</v>
      </c>
      <c r="H9270" t="s">
        <v>44</v>
      </c>
      <c r="I9270" t="s">
        <v>2192</v>
      </c>
      <c r="J9270" s="10">
        <v>3</v>
      </c>
      <c r="K9270" t="b">
        <v>1</v>
      </c>
    </row>
    <row r="9271" spans="1:11">
      <c r="A9271" s="12">
        <v>42799</v>
      </c>
      <c r="B9271">
        <v>2017</v>
      </c>
      <c r="C9271">
        <v>3</v>
      </c>
      <c r="D9271" s="11">
        <v>42795</v>
      </c>
      <c r="E9271" t="s">
        <v>2175</v>
      </c>
      <c r="F9271">
        <v>7</v>
      </c>
      <c r="G9271" t="s">
        <v>59</v>
      </c>
      <c r="H9271" t="s">
        <v>45</v>
      </c>
      <c r="I9271" t="s">
        <v>2193</v>
      </c>
      <c r="J9271" s="10">
        <v>0</v>
      </c>
      <c r="K9271" t="b">
        <v>1</v>
      </c>
    </row>
    <row r="9272" spans="1:11">
      <c r="A9272" s="12">
        <v>42799</v>
      </c>
      <c r="B9272">
        <v>2017</v>
      </c>
      <c r="C9272">
        <v>3</v>
      </c>
      <c r="D9272" s="11">
        <v>42795</v>
      </c>
      <c r="E9272" t="s">
        <v>2175</v>
      </c>
      <c r="F9272">
        <v>7</v>
      </c>
      <c r="G9272" t="s">
        <v>59</v>
      </c>
      <c r="H9272" t="s">
        <v>46</v>
      </c>
      <c r="I9272" t="s">
        <v>2194</v>
      </c>
      <c r="J9272" s="10">
        <v>6</v>
      </c>
      <c r="K9272" t="b">
        <v>1</v>
      </c>
    </row>
    <row r="9273" spans="1:11">
      <c r="A9273" s="12">
        <v>42799</v>
      </c>
      <c r="B9273">
        <v>2017</v>
      </c>
      <c r="C9273">
        <v>3</v>
      </c>
      <c r="D9273" s="11">
        <v>42795</v>
      </c>
      <c r="E9273" t="s">
        <v>2175</v>
      </c>
      <c r="F9273">
        <v>7</v>
      </c>
      <c r="G9273" t="s">
        <v>59</v>
      </c>
      <c r="H9273" t="s">
        <v>47</v>
      </c>
      <c r="I9273" t="s">
        <v>2195</v>
      </c>
      <c r="J9273" s="10">
        <v>5</v>
      </c>
      <c r="K9273" t="b">
        <v>1</v>
      </c>
    </row>
    <row r="9274" spans="1:11">
      <c r="A9274" s="12">
        <v>42800</v>
      </c>
      <c r="B9274">
        <v>2017</v>
      </c>
      <c r="C9274">
        <v>3</v>
      </c>
      <c r="D9274" s="11">
        <v>42795</v>
      </c>
      <c r="E9274" t="s">
        <v>2175</v>
      </c>
      <c r="F9274">
        <v>1</v>
      </c>
      <c r="G9274" t="s">
        <v>61</v>
      </c>
      <c r="H9274" t="s">
        <v>40</v>
      </c>
      <c r="I9274" t="s">
        <v>2188</v>
      </c>
      <c r="J9274" s="10">
        <v>6.83</v>
      </c>
      <c r="K9274" t="b">
        <v>1</v>
      </c>
    </row>
    <row r="9275" spans="1:11">
      <c r="A9275" s="12">
        <v>42800</v>
      </c>
      <c r="B9275">
        <v>2017</v>
      </c>
      <c r="C9275">
        <v>3</v>
      </c>
      <c r="D9275" s="11">
        <v>42795</v>
      </c>
      <c r="E9275" t="s">
        <v>2175</v>
      </c>
      <c r="F9275">
        <v>1</v>
      </c>
      <c r="G9275" t="s">
        <v>61</v>
      </c>
      <c r="H9275" t="s">
        <v>41</v>
      </c>
      <c r="I9275" t="s">
        <v>2189</v>
      </c>
      <c r="J9275" s="10">
        <v>2.33</v>
      </c>
      <c r="K9275" t="b">
        <v>1</v>
      </c>
    </row>
    <row r="9276" spans="1:11">
      <c r="A9276" s="12">
        <v>42800</v>
      </c>
      <c r="B9276">
        <v>2017</v>
      </c>
      <c r="C9276">
        <v>3</v>
      </c>
      <c r="D9276" s="11">
        <v>42795</v>
      </c>
      <c r="E9276" t="s">
        <v>2175</v>
      </c>
      <c r="F9276">
        <v>1</v>
      </c>
      <c r="G9276" t="s">
        <v>61</v>
      </c>
      <c r="H9276" t="s">
        <v>42</v>
      </c>
      <c r="I9276" t="s">
        <v>2190</v>
      </c>
      <c r="J9276" s="10">
        <v>1.1</v>
      </c>
      <c r="K9276" t="b">
        <v>1</v>
      </c>
    </row>
    <row r="9277" spans="1:11">
      <c r="A9277" s="12">
        <v>42800</v>
      </c>
      <c r="B9277">
        <v>2017</v>
      </c>
      <c r="C9277">
        <v>3</v>
      </c>
      <c r="D9277" s="11">
        <v>42795</v>
      </c>
      <c r="E9277" t="s">
        <v>2175</v>
      </c>
      <c r="F9277">
        <v>1</v>
      </c>
      <c r="G9277" t="s">
        <v>61</v>
      </c>
      <c r="H9277" t="s">
        <v>43</v>
      </c>
      <c r="I9277" t="s">
        <v>2191</v>
      </c>
      <c r="J9277" s="10">
        <v>19.6</v>
      </c>
      <c r="K9277" t="b">
        <v>1</v>
      </c>
    </row>
    <row r="9278" spans="1:11">
      <c r="A9278" s="12">
        <v>42800</v>
      </c>
      <c r="B9278">
        <v>2017</v>
      </c>
      <c r="C9278">
        <v>3</v>
      </c>
      <c r="D9278" s="11">
        <v>42795</v>
      </c>
      <c r="E9278" t="s">
        <v>2175</v>
      </c>
      <c r="F9278">
        <v>1</v>
      </c>
      <c r="G9278" t="s">
        <v>61</v>
      </c>
      <c r="H9278" t="s">
        <v>44</v>
      </c>
      <c r="I9278" t="s">
        <v>2192</v>
      </c>
      <c r="J9278" s="10">
        <v>1</v>
      </c>
      <c r="K9278" t="b">
        <v>1</v>
      </c>
    </row>
    <row r="9279" spans="1:11">
      <c r="A9279" s="12">
        <v>42800</v>
      </c>
      <c r="B9279">
        <v>2017</v>
      </c>
      <c r="C9279">
        <v>3</v>
      </c>
      <c r="D9279" s="11">
        <v>42795</v>
      </c>
      <c r="E9279" t="s">
        <v>2175</v>
      </c>
      <c r="F9279">
        <v>1</v>
      </c>
      <c r="G9279" t="s">
        <v>61</v>
      </c>
      <c r="H9279" t="s">
        <v>45</v>
      </c>
      <c r="I9279" t="s">
        <v>2193</v>
      </c>
      <c r="J9279" s="10">
        <v>0</v>
      </c>
      <c r="K9279" t="b">
        <v>1</v>
      </c>
    </row>
    <row r="9280" spans="1:11">
      <c r="A9280" s="12">
        <v>42800</v>
      </c>
      <c r="B9280">
        <v>2017</v>
      </c>
      <c r="C9280">
        <v>3</v>
      </c>
      <c r="D9280" s="11">
        <v>42795</v>
      </c>
      <c r="E9280" t="s">
        <v>2175</v>
      </c>
      <c r="F9280">
        <v>1</v>
      </c>
      <c r="G9280" t="s">
        <v>61</v>
      </c>
      <c r="H9280" t="s">
        <v>46</v>
      </c>
      <c r="I9280" t="s">
        <v>2194</v>
      </c>
      <c r="J9280" s="10">
        <v>0</v>
      </c>
      <c r="K9280" t="b">
        <v>1</v>
      </c>
    </row>
    <row r="9281" spans="1:11">
      <c r="A9281" s="12">
        <v>42800</v>
      </c>
      <c r="B9281">
        <v>2017</v>
      </c>
      <c r="C9281">
        <v>3</v>
      </c>
      <c r="D9281" s="11">
        <v>42795</v>
      </c>
      <c r="E9281" t="s">
        <v>2175</v>
      </c>
      <c r="F9281">
        <v>1</v>
      </c>
      <c r="G9281" t="s">
        <v>61</v>
      </c>
      <c r="H9281" t="s">
        <v>47</v>
      </c>
      <c r="I9281" t="s">
        <v>2195</v>
      </c>
      <c r="J9281" s="10">
        <v>3</v>
      </c>
      <c r="K9281" t="b">
        <v>1</v>
      </c>
    </row>
    <row r="9282" spans="1:11">
      <c r="A9282" s="12">
        <v>42801</v>
      </c>
      <c r="B9282">
        <v>2017</v>
      </c>
      <c r="C9282">
        <v>3</v>
      </c>
      <c r="D9282" s="11">
        <v>42795</v>
      </c>
      <c r="E9282" t="s">
        <v>2175</v>
      </c>
      <c r="F9282">
        <v>2</v>
      </c>
      <c r="G9282" t="s">
        <v>63</v>
      </c>
      <c r="H9282" t="s">
        <v>40</v>
      </c>
      <c r="I9282" t="s">
        <v>2188</v>
      </c>
      <c r="J9282" s="10">
        <v>2.34</v>
      </c>
      <c r="K9282" t="b">
        <v>1</v>
      </c>
    </row>
    <row r="9283" spans="1:11">
      <c r="A9283" s="12">
        <v>42801</v>
      </c>
      <c r="B9283">
        <v>2017</v>
      </c>
      <c r="C9283">
        <v>3</v>
      </c>
      <c r="D9283" s="11">
        <v>42795</v>
      </c>
      <c r="E9283" t="s">
        <v>2175</v>
      </c>
      <c r="F9283">
        <v>2</v>
      </c>
      <c r="G9283" t="s">
        <v>63</v>
      </c>
      <c r="H9283" t="s">
        <v>41</v>
      </c>
      <c r="I9283" t="s">
        <v>2189</v>
      </c>
      <c r="J9283" s="10">
        <v>5.33</v>
      </c>
      <c r="K9283" t="b">
        <v>1</v>
      </c>
    </row>
    <row r="9284" spans="1:11">
      <c r="A9284" s="12">
        <v>42801</v>
      </c>
      <c r="B9284">
        <v>2017</v>
      </c>
      <c r="C9284">
        <v>3</v>
      </c>
      <c r="D9284" s="11">
        <v>42795</v>
      </c>
      <c r="E9284" t="s">
        <v>2175</v>
      </c>
      <c r="F9284">
        <v>2</v>
      </c>
      <c r="G9284" t="s">
        <v>63</v>
      </c>
      <c r="H9284" t="s">
        <v>42</v>
      </c>
      <c r="I9284" t="s">
        <v>2190</v>
      </c>
      <c r="J9284" s="10">
        <v>6.5</v>
      </c>
      <c r="K9284" t="b">
        <v>1</v>
      </c>
    </row>
    <row r="9285" spans="1:11">
      <c r="A9285" s="12">
        <v>42801</v>
      </c>
      <c r="B9285">
        <v>2017</v>
      </c>
      <c r="C9285">
        <v>3</v>
      </c>
      <c r="D9285" s="11">
        <v>42795</v>
      </c>
      <c r="E9285" t="s">
        <v>2175</v>
      </c>
      <c r="F9285">
        <v>2</v>
      </c>
      <c r="G9285" t="s">
        <v>63</v>
      </c>
      <c r="H9285" t="s">
        <v>43</v>
      </c>
      <c r="I9285" t="s">
        <v>2191</v>
      </c>
      <c r="J9285" s="10">
        <v>15</v>
      </c>
      <c r="K9285" t="b">
        <v>1</v>
      </c>
    </row>
    <row r="9286" spans="1:11">
      <c r="A9286" s="12">
        <v>42801</v>
      </c>
      <c r="B9286">
        <v>2017</v>
      </c>
      <c r="C9286">
        <v>3</v>
      </c>
      <c r="D9286" s="11">
        <v>42795</v>
      </c>
      <c r="E9286" t="s">
        <v>2175</v>
      </c>
      <c r="F9286">
        <v>2</v>
      </c>
      <c r="G9286" t="s">
        <v>63</v>
      </c>
      <c r="H9286" t="s">
        <v>44</v>
      </c>
      <c r="I9286" t="s">
        <v>2192</v>
      </c>
      <c r="J9286" s="10">
        <v>4</v>
      </c>
      <c r="K9286" t="b">
        <v>1</v>
      </c>
    </row>
    <row r="9287" spans="1:11">
      <c r="A9287" s="12">
        <v>42801</v>
      </c>
      <c r="B9287">
        <v>2017</v>
      </c>
      <c r="C9287">
        <v>3</v>
      </c>
      <c r="D9287" s="11">
        <v>42795</v>
      </c>
      <c r="E9287" t="s">
        <v>2175</v>
      </c>
      <c r="F9287">
        <v>2</v>
      </c>
      <c r="G9287" t="s">
        <v>63</v>
      </c>
      <c r="H9287" t="s">
        <v>45</v>
      </c>
      <c r="I9287" t="s">
        <v>2193</v>
      </c>
      <c r="J9287" s="10">
        <v>0</v>
      </c>
      <c r="K9287" t="b">
        <v>1</v>
      </c>
    </row>
    <row r="9288" spans="1:11">
      <c r="A9288" s="12">
        <v>42801</v>
      </c>
      <c r="B9288">
        <v>2017</v>
      </c>
      <c r="C9288">
        <v>3</v>
      </c>
      <c r="D9288" s="11">
        <v>42795</v>
      </c>
      <c r="E9288" t="s">
        <v>2175</v>
      </c>
      <c r="F9288">
        <v>2</v>
      </c>
      <c r="G9288" t="s">
        <v>63</v>
      </c>
      <c r="H9288" t="s">
        <v>46</v>
      </c>
      <c r="I9288" t="s">
        <v>2194</v>
      </c>
      <c r="J9288" s="10">
        <v>0</v>
      </c>
      <c r="K9288" t="b">
        <v>1</v>
      </c>
    </row>
    <row r="9289" spans="1:11">
      <c r="A9289" s="12">
        <v>42801</v>
      </c>
      <c r="B9289">
        <v>2017</v>
      </c>
      <c r="C9289">
        <v>3</v>
      </c>
      <c r="D9289" s="11">
        <v>42795</v>
      </c>
      <c r="E9289" t="s">
        <v>2175</v>
      </c>
      <c r="F9289">
        <v>2</v>
      </c>
      <c r="G9289" t="s">
        <v>63</v>
      </c>
      <c r="H9289" t="s">
        <v>47</v>
      </c>
      <c r="I9289" t="s">
        <v>2195</v>
      </c>
      <c r="J9289" s="10">
        <v>2</v>
      </c>
      <c r="K9289" t="b">
        <v>1</v>
      </c>
    </row>
    <row r="9290" spans="1:11">
      <c r="A9290" s="12">
        <v>42802</v>
      </c>
      <c r="B9290">
        <v>2017</v>
      </c>
      <c r="C9290">
        <v>3</v>
      </c>
      <c r="D9290" s="11">
        <v>42795</v>
      </c>
      <c r="E9290" t="s">
        <v>2175</v>
      </c>
      <c r="F9290">
        <v>3</v>
      </c>
      <c r="G9290" t="s">
        <v>65</v>
      </c>
      <c r="H9290" t="s">
        <v>40</v>
      </c>
      <c r="I9290" t="s">
        <v>2188</v>
      </c>
      <c r="J9290" s="10">
        <v>1</v>
      </c>
      <c r="K9290" t="b">
        <v>1</v>
      </c>
    </row>
    <row r="9291" spans="1:11">
      <c r="A9291" s="12">
        <v>42802</v>
      </c>
      <c r="B9291">
        <v>2017</v>
      </c>
      <c r="C9291">
        <v>3</v>
      </c>
      <c r="D9291" s="11">
        <v>42795</v>
      </c>
      <c r="E9291" t="s">
        <v>2175</v>
      </c>
      <c r="F9291">
        <v>3</v>
      </c>
      <c r="G9291" t="s">
        <v>65</v>
      </c>
      <c r="H9291" t="s">
        <v>41</v>
      </c>
      <c r="I9291" t="s">
        <v>2189</v>
      </c>
      <c r="J9291" s="10">
        <v>2.34</v>
      </c>
      <c r="K9291" t="b">
        <v>1</v>
      </c>
    </row>
    <row r="9292" spans="1:11">
      <c r="A9292" s="12">
        <v>42802</v>
      </c>
      <c r="B9292">
        <v>2017</v>
      </c>
      <c r="C9292">
        <v>3</v>
      </c>
      <c r="D9292" s="11">
        <v>42795</v>
      </c>
      <c r="E9292" t="s">
        <v>2175</v>
      </c>
      <c r="F9292">
        <v>3</v>
      </c>
      <c r="G9292" t="s">
        <v>65</v>
      </c>
      <c r="H9292" t="s">
        <v>42</v>
      </c>
      <c r="I9292" t="s">
        <v>2190</v>
      </c>
      <c r="J9292" s="10">
        <v>0</v>
      </c>
      <c r="K9292" t="b">
        <v>1</v>
      </c>
    </row>
    <row r="9293" spans="1:11">
      <c r="A9293" s="12">
        <v>42802</v>
      </c>
      <c r="B9293">
        <v>2017</v>
      </c>
      <c r="C9293">
        <v>3</v>
      </c>
      <c r="D9293" s="11">
        <v>42795</v>
      </c>
      <c r="E9293" t="s">
        <v>2175</v>
      </c>
      <c r="F9293">
        <v>3</v>
      </c>
      <c r="G9293" t="s">
        <v>65</v>
      </c>
      <c r="H9293" t="s">
        <v>43</v>
      </c>
      <c r="I9293" t="s">
        <v>2191</v>
      </c>
      <c r="J9293" s="10">
        <v>15.2</v>
      </c>
      <c r="K9293" t="b">
        <v>1</v>
      </c>
    </row>
    <row r="9294" spans="1:11">
      <c r="A9294" s="12">
        <v>42802</v>
      </c>
      <c r="B9294">
        <v>2017</v>
      </c>
      <c r="C9294">
        <v>3</v>
      </c>
      <c r="D9294" s="11">
        <v>42795</v>
      </c>
      <c r="E9294" t="s">
        <v>2175</v>
      </c>
      <c r="F9294">
        <v>3</v>
      </c>
      <c r="G9294" t="s">
        <v>65</v>
      </c>
      <c r="H9294" t="s">
        <v>44</v>
      </c>
      <c r="I9294" t="s">
        <v>2192</v>
      </c>
      <c r="J9294" s="10">
        <v>4</v>
      </c>
      <c r="K9294" t="b">
        <v>1</v>
      </c>
    </row>
    <row r="9295" spans="1:11">
      <c r="A9295" s="12">
        <v>42802</v>
      </c>
      <c r="B9295">
        <v>2017</v>
      </c>
      <c r="C9295">
        <v>3</v>
      </c>
      <c r="D9295" s="11">
        <v>42795</v>
      </c>
      <c r="E9295" t="s">
        <v>2175</v>
      </c>
      <c r="F9295">
        <v>3</v>
      </c>
      <c r="G9295" t="s">
        <v>65</v>
      </c>
      <c r="H9295" t="s">
        <v>45</v>
      </c>
      <c r="I9295" t="s">
        <v>2193</v>
      </c>
      <c r="J9295" s="10">
        <v>0</v>
      </c>
      <c r="K9295" t="b">
        <v>1</v>
      </c>
    </row>
    <row r="9296" spans="1:11">
      <c r="A9296" s="12">
        <v>42802</v>
      </c>
      <c r="B9296">
        <v>2017</v>
      </c>
      <c r="C9296">
        <v>3</v>
      </c>
      <c r="D9296" s="11">
        <v>42795</v>
      </c>
      <c r="E9296" t="s">
        <v>2175</v>
      </c>
      <c r="F9296">
        <v>3</v>
      </c>
      <c r="G9296" t="s">
        <v>65</v>
      </c>
      <c r="H9296" t="s">
        <v>46</v>
      </c>
      <c r="I9296" t="s">
        <v>2194</v>
      </c>
      <c r="J9296" s="10">
        <v>0</v>
      </c>
      <c r="K9296" t="b">
        <v>1</v>
      </c>
    </row>
    <row r="9297" spans="1:11">
      <c r="A9297" s="12">
        <v>42802</v>
      </c>
      <c r="B9297">
        <v>2017</v>
      </c>
      <c r="C9297">
        <v>3</v>
      </c>
      <c r="D9297" s="11">
        <v>42795</v>
      </c>
      <c r="E9297" t="s">
        <v>2175</v>
      </c>
      <c r="F9297">
        <v>3</v>
      </c>
      <c r="G9297" t="s">
        <v>65</v>
      </c>
      <c r="H9297" t="s">
        <v>47</v>
      </c>
      <c r="I9297" t="s">
        <v>2195</v>
      </c>
      <c r="J9297" s="10">
        <v>3</v>
      </c>
      <c r="K9297" t="b">
        <v>1</v>
      </c>
    </row>
    <row r="9298" spans="1:11">
      <c r="A9298" s="12">
        <v>42803</v>
      </c>
      <c r="B9298">
        <v>2017</v>
      </c>
      <c r="C9298">
        <v>3</v>
      </c>
      <c r="D9298" s="11">
        <v>42795</v>
      </c>
      <c r="E9298" t="s">
        <v>2175</v>
      </c>
      <c r="F9298">
        <v>4</v>
      </c>
      <c r="G9298" t="s">
        <v>53</v>
      </c>
      <c r="H9298" t="s">
        <v>40</v>
      </c>
      <c r="I9298" t="s">
        <v>2188</v>
      </c>
      <c r="J9298" s="10">
        <v>11.33</v>
      </c>
      <c r="K9298" t="b">
        <v>1</v>
      </c>
    </row>
    <row r="9299" spans="1:11">
      <c r="A9299" s="12">
        <v>42803</v>
      </c>
      <c r="B9299">
        <v>2017</v>
      </c>
      <c r="C9299">
        <v>3</v>
      </c>
      <c r="D9299" s="11">
        <v>42795</v>
      </c>
      <c r="E9299" t="s">
        <v>2175</v>
      </c>
      <c r="F9299">
        <v>4</v>
      </c>
      <c r="G9299" t="s">
        <v>53</v>
      </c>
      <c r="H9299" t="s">
        <v>41</v>
      </c>
      <c r="I9299" t="s">
        <v>2189</v>
      </c>
      <c r="J9299" s="10">
        <v>2.33</v>
      </c>
      <c r="K9299" t="b">
        <v>1</v>
      </c>
    </row>
    <row r="9300" spans="1:11">
      <c r="A9300" s="12">
        <v>42803</v>
      </c>
      <c r="B9300">
        <v>2017</v>
      </c>
      <c r="C9300">
        <v>3</v>
      </c>
      <c r="D9300" s="11">
        <v>42795</v>
      </c>
      <c r="E9300" t="s">
        <v>2175</v>
      </c>
      <c r="F9300">
        <v>4</v>
      </c>
      <c r="G9300" t="s">
        <v>53</v>
      </c>
      <c r="H9300" t="s">
        <v>42</v>
      </c>
      <c r="I9300" t="s">
        <v>2190</v>
      </c>
      <c r="J9300" s="10">
        <v>6</v>
      </c>
      <c r="K9300" t="b">
        <v>1</v>
      </c>
    </row>
    <row r="9301" spans="1:11">
      <c r="A9301" s="12">
        <v>42803</v>
      </c>
      <c r="B9301">
        <v>2017</v>
      </c>
      <c r="C9301">
        <v>3</v>
      </c>
      <c r="D9301" s="11">
        <v>42795</v>
      </c>
      <c r="E9301" t="s">
        <v>2175</v>
      </c>
      <c r="F9301">
        <v>4</v>
      </c>
      <c r="G9301" t="s">
        <v>53</v>
      </c>
      <c r="H9301" t="s">
        <v>43</v>
      </c>
      <c r="I9301" t="s">
        <v>2191</v>
      </c>
      <c r="J9301" s="10">
        <v>26.9</v>
      </c>
      <c r="K9301" t="b">
        <v>1</v>
      </c>
    </row>
    <row r="9302" spans="1:11">
      <c r="A9302" s="12">
        <v>42803</v>
      </c>
      <c r="B9302">
        <v>2017</v>
      </c>
      <c r="C9302">
        <v>3</v>
      </c>
      <c r="D9302" s="11">
        <v>42795</v>
      </c>
      <c r="E9302" t="s">
        <v>2175</v>
      </c>
      <c r="F9302">
        <v>4</v>
      </c>
      <c r="G9302" t="s">
        <v>53</v>
      </c>
      <c r="H9302" t="s">
        <v>44</v>
      </c>
      <c r="I9302" t="s">
        <v>2192</v>
      </c>
      <c r="J9302" s="10">
        <v>6</v>
      </c>
      <c r="K9302" t="b">
        <v>1</v>
      </c>
    </row>
    <row r="9303" spans="1:11">
      <c r="A9303" s="12">
        <v>42803</v>
      </c>
      <c r="B9303">
        <v>2017</v>
      </c>
      <c r="C9303">
        <v>3</v>
      </c>
      <c r="D9303" s="11">
        <v>42795</v>
      </c>
      <c r="E9303" t="s">
        <v>2175</v>
      </c>
      <c r="F9303">
        <v>4</v>
      </c>
      <c r="G9303" t="s">
        <v>53</v>
      </c>
      <c r="H9303" t="s">
        <v>45</v>
      </c>
      <c r="I9303" t="s">
        <v>2193</v>
      </c>
      <c r="J9303" s="10">
        <v>1</v>
      </c>
      <c r="K9303" t="b">
        <v>1</v>
      </c>
    </row>
    <row r="9304" spans="1:11">
      <c r="A9304" s="12">
        <v>42803</v>
      </c>
      <c r="B9304">
        <v>2017</v>
      </c>
      <c r="C9304">
        <v>3</v>
      </c>
      <c r="D9304" s="11">
        <v>42795</v>
      </c>
      <c r="E9304" t="s">
        <v>2175</v>
      </c>
      <c r="F9304">
        <v>4</v>
      </c>
      <c r="G9304" t="s">
        <v>53</v>
      </c>
      <c r="H9304" t="s">
        <v>46</v>
      </c>
      <c r="I9304" t="s">
        <v>2194</v>
      </c>
      <c r="J9304" s="10">
        <v>0</v>
      </c>
      <c r="K9304" t="b">
        <v>1</v>
      </c>
    </row>
    <row r="9305" spans="1:11">
      <c r="A9305" s="12">
        <v>42803</v>
      </c>
      <c r="B9305">
        <v>2017</v>
      </c>
      <c r="C9305">
        <v>3</v>
      </c>
      <c r="D9305" s="11">
        <v>42795</v>
      </c>
      <c r="E9305" t="s">
        <v>2175</v>
      </c>
      <c r="F9305">
        <v>4</v>
      </c>
      <c r="G9305" t="s">
        <v>53</v>
      </c>
      <c r="H9305" t="s">
        <v>47</v>
      </c>
      <c r="I9305" t="s">
        <v>2195</v>
      </c>
      <c r="J9305" s="10">
        <v>2.5</v>
      </c>
      <c r="K9305" t="b">
        <v>1</v>
      </c>
    </row>
    <row r="9306" spans="1:11">
      <c r="A9306" s="12">
        <v>42804</v>
      </c>
      <c r="B9306">
        <v>2017</v>
      </c>
      <c r="C9306">
        <v>3</v>
      </c>
      <c r="D9306" s="11">
        <v>42795</v>
      </c>
      <c r="E9306" t="s">
        <v>2175</v>
      </c>
      <c r="F9306">
        <v>5</v>
      </c>
      <c r="G9306" t="s">
        <v>55</v>
      </c>
      <c r="H9306" t="s">
        <v>40</v>
      </c>
      <c r="I9306" t="s">
        <v>2188</v>
      </c>
      <c r="J9306" s="10">
        <v>2</v>
      </c>
      <c r="K9306" t="b">
        <v>1</v>
      </c>
    </row>
    <row r="9307" spans="1:11">
      <c r="A9307" s="12">
        <v>42804</v>
      </c>
      <c r="B9307">
        <v>2017</v>
      </c>
      <c r="C9307">
        <v>3</v>
      </c>
      <c r="D9307" s="11">
        <v>42795</v>
      </c>
      <c r="E9307" t="s">
        <v>2175</v>
      </c>
      <c r="F9307">
        <v>5</v>
      </c>
      <c r="G9307" t="s">
        <v>55</v>
      </c>
      <c r="H9307" t="s">
        <v>41</v>
      </c>
      <c r="I9307" t="s">
        <v>2189</v>
      </c>
      <c r="J9307" s="10">
        <v>4.33</v>
      </c>
      <c r="K9307" t="b">
        <v>1</v>
      </c>
    </row>
    <row r="9308" spans="1:11">
      <c r="A9308" s="12">
        <v>42804</v>
      </c>
      <c r="B9308">
        <v>2017</v>
      </c>
      <c r="C9308">
        <v>3</v>
      </c>
      <c r="D9308" s="11">
        <v>42795</v>
      </c>
      <c r="E9308" t="s">
        <v>2175</v>
      </c>
      <c r="F9308">
        <v>5</v>
      </c>
      <c r="G9308" t="s">
        <v>55</v>
      </c>
      <c r="H9308" t="s">
        <v>42</v>
      </c>
      <c r="I9308" t="s">
        <v>2190</v>
      </c>
      <c r="J9308" s="10">
        <v>4.6</v>
      </c>
      <c r="K9308" t="b">
        <v>1</v>
      </c>
    </row>
    <row r="9309" spans="1:11">
      <c r="A9309" s="12">
        <v>42804</v>
      </c>
      <c r="B9309">
        <v>2017</v>
      </c>
      <c r="C9309">
        <v>3</v>
      </c>
      <c r="D9309" s="11">
        <v>42795</v>
      </c>
      <c r="E9309" t="s">
        <v>2175</v>
      </c>
      <c r="F9309">
        <v>5</v>
      </c>
      <c r="G9309" t="s">
        <v>55</v>
      </c>
      <c r="H9309" t="s">
        <v>43</v>
      </c>
      <c r="I9309" t="s">
        <v>2191</v>
      </c>
      <c r="J9309" s="10">
        <v>26.3</v>
      </c>
      <c r="K9309" t="b">
        <v>1</v>
      </c>
    </row>
    <row r="9310" spans="1:11">
      <c r="A9310" s="12">
        <v>42804</v>
      </c>
      <c r="B9310">
        <v>2017</v>
      </c>
      <c r="C9310">
        <v>3</v>
      </c>
      <c r="D9310" s="11">
        <v>42795</v>
      </c>
      <c r="E9310" t="s">
        <v>2175</v>
      </c>
      <c r="F9310">
        <v>5</v>
      </c>
      <c r="G9310" t="s">
        <v>55</v>
      </c>
      <c r="H9310" t="s">
        <v>44</v>
      </c>
      <c r="I9310" t="s">
        <v>2192</v>
      </c>
      <c r="J9310" s="10">
        <v>8</v>
      </c>
      <c r="K9310" t="b">
        <v>1</v>
      </c>
    </row>
    <row r="9311" spans="1:11">
      <c r="A9311" s="12">
        <v>42804</v>
      </c>
      <c r="B9311">
        <v>2017</v>
      </c>
      <c r="C9311">
        <v>3</v>
      </c>
      <c r="D9311" s="11">
        <v>42795</v>
      </c>
      <c r="E9311" t="s">
        <v>2175</v>
      </c>
      <c r="F9311">
        <v>5</v>
      </c>
      <c r="G9311" t="s">
        <v>55</v>
      </c>
      <c r="H9311" t="s">
        <v>45</v>
      </c>
      <c r="I9311" t="s">
        <v>2193</v>
      </c>
      <c r="J9311" s="10">
        <v>1</v>
      </c>
      <c r="K9311" t="b">
        <v>1</v>
      </c>
    </row>
    <row r="9312" spans="1:11">
      <c r="A9312" s="12">
        <v>42804</v>
      </c>
      <c r="B9312">
        <v>2017</v>
      </c>
      <c r="C9312">
        <v>3</v>
      </c>
      <c r="D9312" s="11">
        <v>42795</v>
      </c>
      <c r="E9312" t="s">
        <v>2175</v>
      </c>
      <c r="F9312">
        <v>5</v>
      </c>
      <c r="G9312" t="s">
        <v>55</v>
      </c>
      <c r="H9312" t="s">
        <v>46</v>
      </c>
      <c r="I9312" t="s">
        <v>2194</v>
      </c>
      <c r="J9312" s="10">
        <v>0</v>
      </c>
      <c r="K9312" t="b">
        <v>1</v>
      </c>
    </row>
    <row r="9313" spans="1:11">
      <c r="A9313" s="12">
        <v>42804</v>
      </c>
      <c r="B9313">
        <v>2017</v>
      </c>
      <c r="C9313">
        <v>3</v>
      </c>
      <c r="D9313" s="11">
        <v>42795</v>
      </c>
      <c r="E9313" t="s">
        <v>2175</v>
      </c>
      <c r="F9313">
        <v>5</v>
      </c>
      <c r="G9313" t="s">
        <v>55</v>
      </c>
      <c r="H9313" t="s">
        <v>47</v>
      </c>
      <c r="I9313" t="s">
        <v>2195</v>
      </c>
      <c r="J9313" s="10">
        <v>1</v>
      </c>
      <c r="K9313" t="b">
        <v>1</v>
      </c>
    </row>
    <row r="9314" spans="1:11">
      <c r="A9314" s="12">
        <v>42805</v>
      </c>
      <c r="B9314">
        <v>2017</v>
      </c>
      <c r="C9314">
        <v>3</v>
      </c>
      <c r="D9314" s="11">
        <v>42795</v>
      </c>
      <c r="E9314" t="s">
        <v>2175</v>
      </c>
      <c r="F9314">
        <v>6</v>
      </c>
      <c r="G9314" t="s">
        <v>57</v>
      </c>
      <c r="H9314" t="s">
        <v>40</v>
      </c>
      <c r="I9314" t="s">
        <v>2188</v>
      </c>
      <c r="J9314" s="10">
        <v>6.33</v>
      </c>
      <c r="K9314" t="b">
        <v>1</v>
      </c>
    </row>
    <row r="9315" spans="1:11">
      <c r="A9315" s="12">
        <v>42805</v>
      </c>
      <c r="B9315">
        <v>2017</v>
      </c>
      <c r="C9315">
        <v>3</v>
      </c>
      <c r="D9315" s="11">
        <v>42795</v>
      </c>
      <c r="E9315" t="s">
        <v>2175</v>
      </c>
      <c r="F9315">
        <v>6</v>
      </c>
      <c r="G9315" t="s">
        <v>57</v>
      </c>
      <c r="H9315" t="s">
        <v>41</v>
      </c>
      <c r="I9315" t="s">
        <v>2189</v>
      </c>
      <c r="J9315" s="10">
        <v>4.066</v>
      </c>
      <c r="K9315" t="b">
        <v>1</v>
      </c>
    </row>
    <row r="9316" spans="1:11">
      <c r="A9316" s="12">
        <v>42805</v>
      </c>
      <c r="B9316">
        <v>2017</v>
      </c>
      <c r="C9316">
        <v>3</v>
      </c>
      <c r="D9316" s="11">
        <v>42795</v>
      </c>
      <c r="E9316" t="s">
        <v>2175</v>
      </c>
      <c r="F9316">
        <v>6</v>
      </c>
      <c r="G9316" t="s">
        <v>57</v>
      </c>
      <c r="H9316" t="s">
        <v>42</v>
      </c>
      <c r="I9316" t="s">
        <v>2190</v>
      </c>
      <c r="J9316" s="10">
        <v>6</v>
      </c>
      <c r="K9316" t="b">
        <v>1</v>
      </c>
    </row>
    <row r="9317" spans="1:11">
      <c r="A9317" s="12">
        <v>42805</v>
      </c>
      <c r="B9317">
        <v>2017</v>
      </c>
      <c r="C9317">
        <v>3</v>
      </c>
      <c r="D9317" s="11">
        <v>42795</v>
      </c>
      <c r="E9317" t="s">
        <v>2175</v>
      </c>
      <c r="F9317">
        <v>6</v>
      </c>
      <c r="G9317" t="s">
        <v>57</v>
      </c>
      <c r="H9317" t="s">
        <v>43</v>
      </c>
      <c r="I9317" t="s">
        <v>2191</v>
      </c>
      <c r="J9317" s="10">
        <v>20.1</v>
      </c>
      <c r="K9317" t="b">
        <v>1</v>
      </c>
    </row>
    <row r="9318" spans="1:11">
      <c r="A9318" s="12">
        <v>42805</v>
      </c>
      <c r="B9318">
        <v>2017</v>
      </c>
      <c r="C9318">
        <v>3</v>
      </c>
      <c r="D9318" s="11">
        <v>42795</v>
      </c>
      <c r="E9318" t="s">
        <v>2175</v>
      </c>
      <c r="F9318">
        <v>6</v>
      </c>
      <c r="G9318" t="s">
        <v>57</v>
      </c>
      <c r="H9318" t="s">
        <v>44</v>
      </c>
      <c r="I9318" t="s">
        <v>2192</v>
      </c>
      <c r="J9318" s="10">
        <v>2</v>
      </c>
      <c r="K9318" t="b">
        <v>1</v>
      </c>
    </row>
    <row r="9319" spans="1:11">
      <c r="A9319" s="12">
        <v>42805</v>
      </c>
      <c r="B9319">
        <v>2017</v>
      </c>
      <c r="C9319">
        <v>3</v>
      </c>
      <c r="D9319" s="11">
        <v>42795</v>
      </c>
      <c r="E9319" t="s">
        <v>2175</v>
      </c>
      <c r="F9319">
        <v>6</v>
      </c>
      <c r="G9319" t="s">
        <v>57</v>
      </c>
      <c r="H9319" t="s">
        <v>45</v>
      </c>
      <c r="I9319" t="s">
        <v>2193</v>
      </c>
      <c r="J9319" s="10">
        <v>1</v>
      </c>
      <c r="K9319" t="b">
        <v>1</v>
      </c>
    </row>
    <row r="9320" spans="1:11">
      <c r="A9320" s="12">
        <v>42805</v>
      </c>
      <c r="B9320">
        <v>2017</v>
      </c>
      <c r="C9320">
        <v>3</v>
      </c>
      <c r="D9320" s="11">
        <v>42795</v>
      </c>
      <c r="E9320" t="s">
        <v>2175</v>
      </c>
      <c r="F9320">
        <v>6</v>
      </c>
      <c r="G9320" t="s">
        <v>57</v>
      </c>
      <c r="H9320" t="s">
        <v>46</v>
      </c>
      <c r="I9320" t="s">
        <v>2194</v>
      </c>
      <c r="J9320" s="10">
        <v>5</v>
      </c>
      <c r="K9320" t="b">
        <v>1</v>
      </c>
    </row>
    <row r="9321" spans="1:11">
      <c r="A9321" s="12">
        <v>42805</v>
      </c>
      <c r="B9321">
        <v>2017</v>
      </c>
      <c r="C9321">
        <v>3</v>
      </c>
      <c r="D9321" s="11">
        <v>42795</v>
      </c>
      <c r="E9321" t="s">
        <v>2175</v>
      </c>
      <c r="F9321">
        <v>6</v>
      </c>
      <c r="G9321" t="s">
        <v>57</v>
      </c>
      <c r="H9321" t="s">
        <v>47</v>
      </c>
      <c r="I9321" t="s">
        <v>2195</v>
      </c>
      <c r="J9321" s="10">
        <v>3.5</v>
      </c>
      <c r="K9321" t="b">
        <v>1</v>
      </c>
    </row>
    <row r="9322" spans="1:11">
      <c r="A9322" s="12">
        <v>42806</v>
      </c>
      <c r="B9322">
        <v>2017</v>
      </c>
      <c r="C9322">
        <v>3</v>
      </c>
      <c r="D9322" s="11">
        <v>42795</v>
      </c>
      <c r="E9322" t="s">
        <v>2175</v>
      </c>
      <c r="F9322">
        <v>7</v>
      </c>
      <c r="G9322" t="s">
        <v>59</v>
      </c>
      <c r="H9322" t="s">
        <v>40</v>
      </c>
      <c r="I9322" t="s">
        <v>2188</v>
      </c>
      <c r="J9322" s="10">
        <v>7.68</v>
      </c>
      <c r="K9322" t="b">
        <v>1</v>
      </c>
    </row>
    <row r="9323" spans="1:11">
      <c r="A9323" s="12">
        <v>42806</v>
      </c>
      <c r="B9323">
        <v>2017</v>
      </c>
      <c r="C9323">
        <v>3</v>
      </c>
      <c r="D9323" s="11">
        <v>42795</v>
      </c>
      <c r="E9323" t="s">
        <v>2175</v>
      </c>
      <c r="F9323">
        <v>7</v>
      </c>
      <c r="G9323" t="s">
        <v>59</v>
      </c>
      <c r="H9323" t="s">
        <v>41</v>
      </c>
      <c r="I9323" t="s">
        <v>2189</v>
      </c>
      <c r="J9323" s="10">
        <v>7.01</v>
      </c>
      <c r="K9323" t="b">
        <v>1</v>
      </c>
    </row>
    <row r="9324" spans="1:11">
      <c r="A9324" s="12">
        <v>42806</v>
      </c>
      <c r="B9324">
        <v>2017</v>
      </c>
      <c r="C9324">
        <v>3</v>
      </c>
      <c r="D9324" s="11">
        <v>42795</v>
      </c>
      <c r="E9324" t="s">
        <v>2175</v>
      </c>
      <c r="F9324">
        <v>7</v>
      </c>
      <c r="G9324" t="s">
        <v>59</v>
      </c>
      <c r="H9324" t="s">
        <v>42</v>
      </c>
      <c r="I9324" t="s">
        <v>2190</v>
      </c>
      <c r="J9324" s="10">
        <v>2</v>
      </c>
      <c r="K9324" t="b">
        <v>1</v>
      </c>
    </row>
    <row r="9325" spans="1:11">
      <c r="A9325" s="12">
        <v>42806</v>
      </c>
      <c r="B9325">
        <v>2017</v>
      </c>
      <c r="C9325">
        <v>3</v>
      </c>
      <c r="D9325" s="11">
        <v>42795</v>
      </c>
      <c r="E9325" t="s">
        <v>2175</v>
      </c>
      <c r="F9325">
        <v>7</v>
      </c>
      <c r="G9325" t="s">
        <v>59</v>
      </c>
      <c r="H9325" t="s">
        <v>43</v>
      </c>
      <c r="I9325" t="s">
        <v>2191</v>
      </c>
      <c r="J9325" s="10">
        <v>48</v>
      </c>
      <c r="K9325" t="b">
        <v>1</v>
      </c>
    </row>
    <row r="9326" spans="1:11">
      <c r="A9326" s="12">
        <v>42806</v>
      </c>
      <c r="B9326">
        <v>2017</v>
      </c>
      <c r="C9326">
        <v>3</v>
      </c>
      <c r="D9326" s="11">
        <v>42795</v>
      </c>
      <c r="E9326" t="s">
        <v>2175</v>
      </c>
      <c r="F9326">
        <v>7</v>
      </c>
      <c r="G9326" t="s">
        <v>59</v>
      </c>
      <c r="H9326" t="s">
        <v>44</v>
      </c>
      <c r="I9326" t="s">
        <v>2192</v>
      </c>
      <c r="J9326" s="10">
        <v>6</v>
      </c>
      <c r="K9326" t="b">
        <v>1</v>
      </c>
    </row>
    <row r="9327" spans="1:11">
      <c r="A9327" s="12">
        <v>42806</v>
      </c>
      <c r="B9327">
        <v>2017</v>
      </c>
      <c r="C9327">
        <v>3</v>
      </c>
      <c r="D9327" s="11">
        <v>42795</v>
      </c>
      <c r="E9327" t="s">
        <v>2175</v>
      </c>
      <c r="F9327">
        <v>7</v>
      </c>
      <c r="G9327" t="s">
        <v>59</v>
      </c>
      <c r="H9327" t="s">
        <v>45</v>
      </c>
      <c r="I9327" t="s">
        <v>2193</v>
      </c>
      <c r="J9327" s="10">
        <v>4</v>
      </c>
      <c r="K9327" t="b">
        <v>1</v>
      </c>
    </row>
    <row r="9328" spans="1:11">
      <c r="A9328" s="12">
        <v>42806</v>
      </c>
      <c r="B9328">
        <v>2017</v>
      </c>
      <c r="C9328">
        <v>3</v>
      </c>
      <c r="D9328" s="11">
        <v>42795</v>
      </c>
      <c r="E9328" t="s">
        <v>2175</v>
      </c>
      <c r="F9328">
        <v>7</v>
      </c>
      <c r="G9328" t="s">
        <v>59</v>
      </c>
      <c r="H9328" t="s">
        <v>46</v>
      </c>
      <c r="I9328" t="s">
        <v>2194</v>
      </c>
      <c r="J9328" s="10">
        <v>15</v>
      </c>
      <c r="K9328" t="b">
        <v>1</v>
      </c>
    </row>
    <row r="9329" spans="1:11">
      <c r="A9329" s="12">
        <v>42806</v>
      </c>
      <c r="B9329">
        <v>2017</v>
      </c>
      <c r="C9329">
        <v>3</v>
      </c>
      <c r="D9329" s="11">
        <v>42795</v>
      </c>
      <c r="E9329" t="s">
        <v>2175</v>
      </c>
      <c r="F9329">
        <v>7</v>
      </c>
      <c r="G9329" t="s">
        <v>59</v>
      </c>
      <c r="H9329" t="s">
        <v>47</v>
      </c>
      <c r="I9329" t="s">
        <v>2195</v>
      </c>
      <c r="J9329" s="10">
        <v>2</v>
      </c>
      <c r="K9329" t="b">
        <v>1</v>
      </c>
    </row>
    <row r="9330" spans="1:11">
      <c r="A9330" s="12">
        <v>42807</v>
      </c>
      <c r="B9330">
        <v>2017</v>
      </c>
      <c r="C9330">
        <v>3</v>
      </c>
      <c r="D9330" s="11">
        <v>42795</v>
      </c>
      <c r="E9330" t="s">
        <v>2175</v>
      </c>
      <c r="F9330">
        <v>1</v>
      </c>
      <c r="G9330" t="s">
        <v>61</v>
      </c>
      <c r="H9330" t="s">
        <v>40</v>
      </c>
      <c r="I9330" t="s">
        <v>2188</v>
      </c>
      <c r="J9330" s="10">
        <v>2.33</v>
      </c>
      <c r="K9330" t="b">
        <v>1</v>
      </c>
    </row>
    <row r="9331" spans="1:11">
      <c r="A9331" s="12">
        <v>42807</v>
      </c>
      <c r="B9331">
        <v>2017</v>
      </c>
      <c r="C9331">
        <v>3</v>
      </c>
      <c r="D9331" s="11">
        <v>42795</v>
      </c>
      <c r="E9331" t="s">
        <v>2175</v>
      </c>
      <c r="F9331">
        <v>1</v>
      </c>
      <c r="G9331" t="s">
        <v>61</v>
      </c>
      <c r="H9331" t="s">
        <v>41</v>
      </c>
      <c r="I9331" t="s">
        <v>2189</v>
      </c>
      <c r="J9331" s="10">
        <v>0.68</v>
      </c>
      <c r="K9331" t="b">
        <v>1</v>
      </c>
    </row>
    <row r="9332" spans="1:11">
      <c r="A9332" s="12">
        <v>42807</v>
      </c>
      <c r="B9332">
        <v>2017</v>
      </c>
      <c r="C9332">
        <v>3</v>
      </c>
      <c r="D9332" s="11">
        <v>42795</v>
      </c>
      <c r="E9332" t="s">
        <v>2175</v>
      </c>
      <c r="F9332">
        <v>1</v>
      </c>
      <c r="G9332" t="s">
        <v>61</v>
      </c>
      <c r="H9332" t="s">
        <v>42</v>
      </c>
      <c r="I9332" t="s">
        <v>2190</v>
      </c>
      <c r="J9332" s="10">
        <v>2.7</v>
      </c>
      <c r="K9332" t="b">
        <v>1</v>
      </c>
    </row>
    <row r="9333" spans="1:11">
      <c r="A9333" s="12">
        <v>42807</v>
      </c>
      <c r="B9333">
        <v>2017</v>
      </c>
      <c r="C9333">
        <v>3</v>
      </c>
      <c r="D9333" s="11">
        <v>42795</v>
      </c>
      <c r="E9333" t="s">
        <v>2175</v>
      </c>
      <c r="F9333">
        <v>1</v>
      </c>
      <c r="G9333" t="s">
        <v>61</v>
      </c>
      <c r="H9333" t="s">
        <v>43</v>
      </c>
      <c r="I9333" t="s">
        <v>2191</v>
      </c>
      <c r="J9333" s="10">
        <v>17.8</v>
      </c>
      <c r="K9333" t="b">
        <v>1</v>
      </c>
    </row>
    <row r="9334" spans="1:11">
      <c r="A9334" s="12">
        <v>42807</v>
      </c>
      <c r="B9334">
        <v>2017</v>
      </c>
      <c r="C9334">
        <v>3</v>
      </c>
      <c r="D9334" s="11">
        <v>42795</v>
      </c>
      <c r="E9334" t="s">
        <v>2175</v>
      </c>
      <c r="F9334">
        <v>1</v>
      </c>
      <c r="G9334" t="s">
        <v>61</v>
      </c>
      <c r="H9334" t="s">
        <v>44</v>
      </c>
      <c r="I9334" t="s">
        <v>2192</v>
      </c>
      <c r="J9334" s="10">
        <v>2</v>
      </c>
      <c r="K9334" t="b">
        <v>1</v>
      </c>
    </row>
    <row r="9335" spans="1:11">
      <c r="A9335" s="12">
        <v>42807</v>
      </c>
      <c r="B9335">
        <v>2017</v>
      </c>
      <c r="C9335">
        <v>3</v>
      </c>
      <c r="D9335" s="11">
        <v>42795</v>
      </c>
      <c r="E9335" t="s">
        <v>2175</v>
      </c>
      <c r="F9335">
        <v>1</v>
      </c>
      <c r="G9335" t="s">
        <v>61</v>
      </c>
      <c r="H9335" t="s">
        <v>45</v>
      </c>
      <c r="I9335" t="s">
        <v>2193</v>
      </c>
      <c r="J9335" s="10">
        <v>0</v>
      </c>
      <c r="K9335" t="b">
        <v>1</v>
      </c>
    </row>
    <row r="9336" spans="1:11">
      <c r="A9336" s="12">
        <v>42807</v>
      </c>
      <c r="B9336">
        <v>2017</v>
      </c>
      <c r="C9336">
        <v>3</v>
      </c>
      <c r="D9336" s="11">
        <v>42795</v>
      </c>
      <c r="E9336" t="s">
        <v>2175</v>
      </c>
      <c r="F9336">
        <v>1</v>
      </c>
      <c r="G9336" t="s">
        <v>61</v>
      </c>
      <c r="H9336" t="s">
        <v>46</v>
      </c>
      <c r="I9336" t="s">
        <v>2194</v>
      </c>
      <c r="J9336" s="10">
        <v>10</v>
      </c>
      <c r="K9336" t="b">
        <v>1</v>
      </c>
    </row>
    <row r="9337" spans="1:11">
      <c r="A9337" s="12">
        <v>42807</v>
      </c>
      <c r="B9337">
        <v>2017</v>
      </c>
      <c r="C9337">
        <v>3</v>
      </c>
      <c r="D9337" s="11">
        <v>42795</v>
      </c>
      <c r="E9337" t="s">
        <v>2175</v>
      </c>
      <c r="F9337">
        <v>1</v>
      </c>
      <c r="G9337" t="s">
        <v>61</v>
      </c>
      <c r="H9337" t="s">
        <v>47</v>
      </c>
      <c r="I9337" t="s">
        <v>2195</v>
      </c>
      <c r="J9337" s="10">
        <v>0</v>
      </c>
      <c r="K9337" t="b">
        <v>1</v>
      </c>
    </row>
    <row r="9338" spans="1:11">
      <c r="A9338" s="12">
        <v>42808</v>
      </c>
      <c r="B9338">
        <v>2017</v>
      </c>
      <c r="C9338">
        <v>3</v>
      </c>
      <c r="D9338" s="11">
        <v>42795</v>
      </c>
      <c r="E9338" t="s">
        <v>2175</v>
      </c>
      <c r="F9338">
        <v>2</v>
      </c>
      <c r="G9338" t="s">
        <v>63</v>
      </c>
      <c r="H9338" t="s">
        <v>40</v>
      </c>
      <c r="I9338" t="s">
        <v>2188</v>
      </c>
      <c r="J9338" s="10">
        <v>2.67</v>
      </c>
      <c r="K9338" t="b">
        <v>1</v>
      </c>
    </row>
    <row r="9339" spans="1:11">
      <c r="A9339" s="12">
        <v>42808</v>
      </c>
      <c r="B9339">
        <v>2017</v>
      </c>
      <c r="C9339">
        <v>3</v>
      </c>
      <c r="D9339" s="11">
        <v>42795</v>
      </c>
      <c r="E9339" t="s">
        <v>2175</v>
      </c>
      <c r="F9339">
        <v>2</v>
      </c>
      <c r="G9339" t="s">
        <v>63</v>
      </c>
      <c r="H9339" t="s">
        <v>41</v>
      </c>
      <c r="I9339" t="s">
        <v>2189</v>
      </c>
      <c r="J9339" s="10">
        <v>1.34</v>
      </c>
      <c r="K9339" t="b">
        <v>1</v>
      </c>
    </row>
    <row r="9340" spans="1:11">
      <c r="A9340" s="12">
        <v>42808</v>
      </c>
      <c r="B9340">
        <v>2017</v>
      </c>
      <c r="C9340">
        <v>3</v>
      </c>
      <c r="D9340" s="11">
        <v>42795</v>
      </c>
      <c r="E9340" t="s">
        <v>2175</v>
      </c>
      <c r="F9340">
        <v>2</v>
      </c>
      <c r="G9340" t="s">
        <v>63</v>
      </c>
      <c r="H9340" t="s">
        <v>42</v>
      </c>
      <c r="I9340" t="s">
        <v>2190</v>
      </c>
      <c r="J9340" s="10">
        <v>3</v>
      </c>
      <c r="K9340" t="b">
        <v>1</v>
      </c>
    </row>
    <row r="9341" spans="1:11">
      <c r="A9341" s="12">
        <v>42808</v>
      </c>
      <c r="B9341">
        <v>2017</v>
      </c>
      <c r="C9341">
        <v>3</v>
      </c>
      <c r="D9341" s="11">
        <v>42795</v>
      </c>
      <c r="E9341" t="s">
        <v>2175</v>
      </c>
      <c r="F9341">
        <v>2</v>
      </c>
      <c r="G9341" t="s">
        <v>63</v>
      </c>
      <c r="H9341" t="s">
        <v>43</v>
      </c>
      <c r="I9341" t="s">
        <v>2191</v>
      </c>
      <c r="J9341" s="10">
        <v>15</v>
      </c>
      <c r="K9341" t="b">
        <v>1</v>
      </c>
    </row>
    <row r="9342" spans="1:11">
      <c r="A9342" s="12">
        <v>42808</v>
      </c>
      <c r="B9342">
        <v>2017</v>
      </c>
      <c r="C9342">
        <v>3</v>
      </c>
      <c r="D9342" s="11">
        <v>42795</v>
      </c>
      <c r="E9342" t="s">
        <v>2175</v>
      </c>
      <c r="F9342">
        <v>2</v>
      </c>
      <c r="G9342" t="s">
        <v>63</v>
      </c>
      <c r="H9342" t="s">
        <v>44</v>
      </c>
      <c r="I9342" t="s">
        <v>2192</v>
      </c>
      <c r="J9342" s="10">
        <v>5</v>
      </c>
      <c r="K9342" t="b">
        <v>1</v>
      </c>
    </row>
    <row r="9343" spans="1:11">
      <c r="A9343" s="12">
        <v>42808</v>
      </c>
      <c r="B9343">
        <v>2017</v>
      </c>
      <c r="C9343">
        <v>3</v>
      </c>
      <c r="D9343" s="11">
        <v>42795</v>
      </c>
      <c r="E9343" t="s">
        <v>2175</v>
      </c>
      <c r="F9343">
        <v>2</v>
      </c>
      <c r="G9343" t="s">
        <v>63</v>
      </c>
      <c r="H9343" t="s">
        <v>45</v>
      </c>
      <c r="I9343" t="s">
        <v>2193</v>
      </c>
      <c r="J9343" s="10">
        <v>0</v>
      </c>
      <c r="K9343" t="b">
        <v>1</v>
      </c>
    </row>
    <row r="9344" spans="1:11">
      <c r="A9344" s="12">
        <v>42808</v>
      </c>
      <c r="B9344">
        <v>2017</v>
      </c>
      <c r="C9344">
        <v>3</v>
      </c>
      <c r="D9344" s="11">
        <v>42795</v>
      </c>
      <c r="E9344" t="s">
        <v>2175</v>
      </c>
      <c r="F9344">
        <v>2</v>
      </c>
      <c r="G9344" t="s">
        <v>63</v>
      </c>
      <c r="H9344" t="s">
        <v>46</v>
      </c>
      <c r="I9344" t="s">
        <v>2194</v>
      </c>
      <c r="J9344" s="10">
        <v>5</v>
      </c>
      <c r="K9344" t="b">
        <v>1</v>
      </c>
    </row>
    <row r="9345" spans="1:11">
      <c r="A9345" s="12">
        <v>42808</v>
      </c>
      <c r="B9345">
        <v>2017</v>
      </c>
      <c r="C9345">
        <v>3</v>
      </c>
      <c r="D9345" s="11">
        <v>42795</v>
      </c>
      <c r="E9345" t="s">
        <v>2175</v>
      </c>
      <c r="F9345">
        <v>2</v>
      </c>
      <c r="G9345" t="s">
        <v>63</v>
      </c>
      <c r="H9345" t="s">
        <v>47</v>
      </c>
      <c r="I9345" t="s">
        <v>2195</v>
      </c>
      <c r="J9345" s="10">
        <v>1</v>
      </c>
      <c r="K9345" t="b">
        <v>1</v>
      </c>
    </row>
    <row r="9346" spans="1:11">
      <c r="A9346" s="12">
        <v>42809</v>
      </c>
      <c r="B9346">
        <v>2017</v>
      </c>
      <c r="C9346">
        <v>3</v>
      </c>
      <c r="D9346" s="11">
        <v>42795</v>
      </c>
      <c r="E9346" t="s">
        <v>2175</v>
      </c>
      <c r="F9346">
        <v>3</v>
      </c>
      <c r="G9346" t="s">
        <v>65</v>
      </c>
      <c r="H9346" t="s">
        <v>40</v>
      </c>
      <c r="I9346" t="s">
        <v>2188</v>
      </c>
      <c r="J9346" s="10">
        <v>3.66</v>
      </c>
      <c r="K9346" t="b">
        <v>1</v>
      </c>
    </row>
    <row r="9347" spans="1:11">
      <c r="A9347" s="12">
        <v>42809</v>
      </c>
      <c r="B9347">
        <v>2017</v>
      </c>
      <c r="C9347">
        <v>3</v>
      </c>
      <c r="D9347" s="11">
        <v>42795</v>
      </c>
      <c r="E9347" t="s">
        <v>2175</v>
      </c>
      <c r="F9347">
        <v>3</v>
      </c>
      <c r="G9347" t="s">
        <v>65</v>
      </c>
      <c r="H9347" t="s">
        <v>41</v>
      </c>
      <c r="I9347" t="s">
        <v>2189</v>
      </c>
      <c r="J9347" s="10">
        <v>1.703</v>
      </c>
      <c r="K9347" t="b">
        <v>1</v>
      </c>
    </row>
    <row r="9348" spans="1:11">
      <c r="A9348" s="12">
        <v>42809</v>
      </c>
      <c r="B9348">
        <v>2017</v>
      </c>
      <c r="C9348">
        <v>3</v>
      </c>
      <c r="D9348" s="11">
        <v>42795</v>
      </c>
      <c r="E9348" t="s">
        <v>2175</v>
      </c>
      <c r="F9348">
        <v>3</v>
      </c>
      <c r="G9348" t="s">
        <v>65</v>
      </c>
      <c r="H9348" t="s">
        <v>42</v>
      </c>
      <c r="I9348" t="s">
        <v>2190</v>
      </c>
      <c r="J9348" s="10">
        <v>2.5</v>
      </c>
      <c r="K9348" t="b">
        <v>1</v>
      </c>
    </row>
    <row r="9349" spans="1:11">
      <c r="A9349" s="12">
        <v>42809</v>
      </c>
      <c r="B9349">
        <v>2017</v>
      </c>
      <c r="C9349">
        <v>3</v>
      </c>
      <c r="D9349" s="11">
        <v>42795</v>
      </c>
      <c r="E9349" t="s">
        <v>2175</v>
      </c>
      <c r="F9349">
        <v>3</v>
      </c>
      <c r="G9349" t="s">
        <v>65</v>
      </c>
      <c r="H9349" t="s">
        <v>43</v>
      </c>
      <c r="I9349" t="s">
        <v>2191</v>
      </c>
      <c r="J9349" s="10">
        <v>14.6</v>
      </c>
      <c r="K9349" t="b">
        <v>1</v>
      </c>
    </row>
    <row r="9350" spans="1:11">
      <c r="A9350" s="12">
        <v>42809</v>
      </c>
      <c r="B9350">
        <v>2017</v>
      </c>
      <c r="C9350">
        <v>3</v>
      </c>
      <c r="D9350" s="11">
        <v>42795</v>
      </c>
      <c r="E9350" t="s">
        <v>2175</v>
      </c>
      <c r="F9350">
        <v>3</v>
      </c>
      <c r="G9350" t="s">
        <v>65</v>
      </c>
      <c r="H9350" t="s">
        <v>44</v>
      </c>
      <c r="I9350" t="s">
        <v>2192</v>
      </c>
      <c r="J9350" s="10">
        <v>4</v>
      </c>
      <c r="K9350" t="b">
        <v>1</v>
      </c>
    </row>
    <row r="9351" spans="1:11">
      <c r="A9351" s="12">
        <v>42809</v>
      </c>
      <c r="B9351">
        <v>2017</v>
      </c>
      <c r="C9351">
        <v>3</v>
      </c>
      <c r="D9351" s="11">
        <v>42795</v>
      </c>
      <c r="E9351" t="s">
        <v>2175</v>
      </c>
      <c r="F9351">
        <v>3</v>
      </c>
      <c r="G9351" t="s">
        <v>65</v>
      </c>
      <c r="H9351" t="s">
        <v>45</v>
      </c>
      <c r="I9351" t="s">
        <v>2193</v>
      </c>
      <c r="J9351" s="10">
        <v>0</v>
      </c>
      <c r="K9351" t="b">
        <v>1</v>
      </c>
    </row>
    <row r="9352" spans="1:11">
      <c r="A9352" s="12">
        <v>42809</v>
      </c>
      <c r="B9352">
        <v>2017</v>
      </c>
      <c r="C9352">
        <v>3</v>
      </c>
      <c r="D9352" s="11">
        <v>42795</v>
      </c>
      <c r="E9352" t="s">
        <v>2175</v>
      </c>
      <c r="F9352">
        <v>3</v>
      </c>
      <c r="G9352" t="s">
        <v>65</v>
      </c>
      <c r="H9352" t="s">
        <v>46</v>
      </c>
      <c r="I9352" t="s">
        <v>2194</v>
      </c>
      <c r="J9352" s="10">
        <v>0</v>
      </c>
      <c r="K9352" t="b">
        <v>1</v>
      </c>
    </row>
    <row r="9353" spans="1:11">
      <c r="A9353" s="12">
        <v>42809</v>
      </c>
      <c r="B9353">
        <v>2017</v>
      </c>
      <c r="C9353">
        <v>3</v>
      </c>
      <c r="D9353" s="11">
        <v>42795</v>
      </c>
      <c r="E9353" t="s">
        <v>2175</v>
      </c>
      <c r="F9353">
        <v>3</v>
      </c>
      <c r="G9353" t="s">
        <v>65</v>
      </c>
      <c r="H9353" t="s">
        <v>47</v>
      </c>
      <c r="I9353" t="s">
        <v>2195</v>
      </c>
      <c r="J9353" s="10">
        <v>0</v>
      </c>
      <c r="K9353" t="b">
        <v>1</v>
      </c>
    </row>
    <row r="9354" spans="1:11">
      <c r="A9354" s="12">
        <v>42810</v>
      </c>
      <c r="B9354">
        <v>2017</v>
      </c>
      <c r="C9354">
        <v>3</v>
      </c>
      <c r="D9354" s="11">
        <v>42795</v>
      </c>
      <c r="E9354" t="s">
        <v>2175</v>
      </c>
      <c r="F9354">
        <v>4</v>
      </c>
      <c r="G9354" t="s">
        <v>53</v>
      </c>
      <c r="H9354" t="s">
        <v>40</v>
      </c>
      <c r="I9354" t="s">
        <v>2188</v>
      </c>
      <c r="J9354" s="10">
        <v>6</v>
      </c>
      <c r="K9354" t="b">
        <v>1</v>
      </c>
    </row>
    <row r="9355" spans="1:11">
      <c r="A9355" s="12">
        <v>42810</v>
      </c>
      <c r="B9355">
        <v>2017</v>
      </c>
      <c r="C9355">
        <v>3</v>
      </c>
      <c r="D9355" s="11">
        <v>42795</v>
      </c>
      <c r="E9355" t="s">
        <v>2175</v>
      </c>
      <c r="F9355">
        <v>4</v>
      </c>
      <c r="G9355" t="s">
        <v>53</v>
      </c>
      <c r="H9355" t="s">
        <v>41</v>
      </c>
      <c r="I9355" t="s">
        <v>2189</v>
      </c>
      <c r="J9355" s="10">
        <v>4.056</v>
      </c>
      <c r="K9355" t="b">
        <v>1</v>
      </c>
    </row>
    <row r="9356" spans="1:11">
      <c r="A9356" s="12">
        <v>42810</v>
      </c>
      <c r="B9356">
        <v>2017</v>
      </c>
      <c r="C9356">
        <v>3</v>
      </c>
      <c r="D9356" s="11">
        <v>42795</v>
      </c>
      <c r="E9356" t="s">
        <v>2175</v>
      </c>
      <c r="F9356">
        <v>4</v>
      </c>
      <c r="G9356" t="s">
        <v>53</v>
      </c>
      <c r="H9356" t="s">
        <v>42</v>
      </c>
      <c r="I9356" t="s">
        <v>2190</v>
      </c>
      <c r="J9356" s="10">
        <v>4.75</v>
      </c>
      <c r="K9356" t="b">
        <v>1</v>
      </c>
    </row>
    <row r="9357" spans="1:11">
      <c r="A9357" s="12">
        <v>42810</v>
      </c>
      <c r="B9357">
        <v>2017</v>
      </c>
      <c r="C9357">
        <v>3</v>
      </c>
      <c r="D9357" s="11">
        <v>42795</v>
      </c>
      <c r="E9357" t="s">
        <v>2175</v>
      </c>
      <c r="F9357">
        <v>4</v>
      </c>
      <c r="G9357" t="s">
        <v>53</v>
      </c>
      <c r="H9357" t="s">
        <v>43</v>
      </c>
      <c r="I9357" t="s">
        <v>2191</v>
      </c>
      <c r="J9357" s="10">
        <v>28.2</v>
      </c>
      <c r="K9357" t="b">
        <v>1</v>
      </c>
    </row>
    <row r="9358" spans="1:11">
      <c r="A9358" s="12">
        <v>42810</v>
      </c>
      <c r="B9358">
        <v>2017</v>
      </c>
      <c r="C9358">
        <v>3</v>
      </c>
      <c r="D9358" s="11">
        <v>42795</v>
      </c>
      <c r="E9358" t="s">
        <v>2175</v>
      </c>
      <c r="F9358">
        <v>4</v>
      </c>
      <c r="G9358" t="s">
        <v>53</v>
      </c>
      <c r="H9358" t="s">
        <v>44</v>
      </c>
      <c r="I9358" t="s">
        <v>2192</v>
      </c>
      <c r="J9358" s="10">
        <v>4</v>
      </c>
      <c r="K9358" t="b">
        <v>1</v>
      </c>
    </row>
    <row r="9359" spans="1:11">
      <c r="A9359" s="12">
        <v>42810</v>
      </c>
      <c r="B9359">
        <v>2017</v>
      </c>
      <c r="C9359">
        <v>3</v>
      </c>
      <c r="D9359" s="11">
        <v>42795</v>
      </c>
      <c r="E9359" t="s">
        <v>2175</v>
      </c>
      <c r="F9359">
        <v>4</v>
      </c>
      <c r="G9359" t="s">
        <v>53</v>
      </c>
      <c r="H9359" t="s">
        <v>45</v>
      </c>
      <c r="I9359" t="s">
        <v>2193</v>
      </c>
      <c r="J9359" s="10">
        <v>0</v>
      </c>
      <c r="K9359" t="b">
        <v>1</v>
      </c>
    </row>
    <row r="9360" spans="1:11">
      <c r="A9360" s="12">
        <v>42810</v>
      </c>
      <c r="B9360">
        <v>2017</v>
      </c>
      <c r="C9360">
        <v>3</v>
      </c>
      <c r="D9360" s="11">
        <v>42795</v>
      </c>
      <c r="E9360" t="s">
        <v>2175</v>
      </c>
      <c r="F9360">
        <v>4</v>
      </c>
      <c r="G9360" t="s">
        <v>53</v>
      </c>
      <c r="H9360" t="s">
        <v>46</v>
      </c>
      <c r="I9360" t="s">
        <v>2194</v>
      </c>
      <c r="J9360" s="10">
        <v>1</v>
      </c>
      <c r="K9360" t="b">
        <v>1</v>
      </c>
    </row>
    <row r="9361" spans="1:11">
      <c r="A9361" s="12">
        <v>42810</v>
      </c>
      <c r="B9361">
        <v>2017</v>
      </c>
      <c r="C9361">
        <v>3</v>
      </c>
      <c r="D9361" s="11">
        <v>42795</v>
      </c>
      <c r="E9361" t="s">
        <v>2175</v>
      </c>
      <c r="F9361">
        <v>4</v>
      </c>
      <c r="G9361" t="s">
        <v>53</v>
      </c>
      <c r="H9361" t="s">
        <v>47</v>
      </c>
      <c r="I9361" t="s">
        <v>2195</v>
      </c>
      <c r="J9361" s="10">
        <v>3</v>
      </c>
      <c r="K9361" t="b">
        <v>1</v>
      </c>
    </row>
    <row r="9362" spans="1:11">
      <c r="A9362" s="12">
        <v>42811</v>
      </c>
      <c r="B9362">
        <v>2017</v>
      </c>
      <c r="C9362">
        <v>3</v>
      </c>
      <c r="D9362" s="11">
        <v>42795</v>
      </c>
      <c r="E9362" t="s">
        <v>2175</v>
      </c>
      <c r="F9362">
        <v>5</v>
      </c>
      <c r="G9362" t="s">
        <v>55</v>
      </c>
      <c r="H9362" t="s">
        <v>40</v>
      </c>
      <c r="I9362" t="s">
        <v>2188</v>
      </c>
      <c r="J9362" s="10">
        <v>4.33</v>
      </c>
      <c r="K9362" t="b">
        <v>1</v>
      </c>
    </row>
    <row r="9363" spans="1:11">
      <c r="A9363" s="12">
        <v>42811</v>
      </c>
      <c r="B9363">
        <v>2017</v>
      </c>
      <c r="C9363">
        <v>3</v>
      </c>
      <c r="D9363" s="11">
        <v>42795</v>
      </c>
      <c r="E9363" t="s">
        <v>2175</v>
      </c>
      <c r="F9363">
        <v>5</v>
      </c>
      <c r="G9363" t="s">
        <v>55</v>
      </c>
      <c r="H9363" t="s">
        <v>41</v>
      </c>
      <c r="I9363" t="s">
        <v>2189</v>
      </c>
      <c r="J9363" s="10">
        <v>2.802</v>
      </c>
      <c r="K9363" t="b">
        <v>1</v>
      </c>
    </row>
    <row r="9364" spans="1:11">
      <c r="A9364" s="12">
        <v>42811</v>
      </c>
      <c r="B9364">
        <v>2017</v>
      </c>
      <c r="C9364">
        <v>3</v>
      </c>
      <c r="D9364" s="11">
        <v>42795</v>
      </c>
      <c r="E9364" t="s">
        <v>2175</v>
      </c>
      <c r="F9364">
        <v>5</v>
      </c>
      <c r="G9364" t="s">
        <v>55</v>
      </c>
      <c r="H9364" t="s">
        <v>42</v>
      </c>
      <c r="I9364" t="s">
        <v>2190</v>
      </c>
      <c r="J9364" s="10">
        <v>0</v>
      </c>
      <c r="K9364" t="b">
        <v>1</v>
      </c>
    </row>
    <row r="9365" spans="1:11">
      <c r="A9365" s="12">
        <v>42811</v>
      </c>
      <c r="B9365">
        <v>2017</v>
      </c>
      <c r="C9365">
        <v>3</v>
      </c>
      <c r="D9365" s="11">
        <v>42795</v>
      </c>
      <c r="E9365" t="s">
        <v>2175</v>
      </c>
      <c r="F9365">
        <v>5</v>
      </c>
      <c r="G9365" t="s">
        <v>55</v>
      </c>
      <c r="H9365" t="s">
        <v>43</v>
      </c>
      <c r="I9365" t="s">
        <v>2191</v>
      </c>
      <c r="J9365" s="10">
        <v>11</v>
      </c>
      <c r="K9365" t="b">
        <v>1</v>
      </c>
    </row>
    <row r="9366" spans="1:11">
      <c r="A9366" s="12">
        <v>42811</v>
      </c>
      <c r="B9366">
        <v>2017</v>
      </c>
      <c r="C9366">
        <v>3</v>
      </c>
      <c r="D9366" s="11">
        <v>42795</v>
      </c>
      <c r="E9366" t="s">
        <v>2175</v>
      </c>
      <c r="F9366">
        <v>5</v>
      </c>
      <c r="G9366" t="s">
        <v>55</v>
      </c>
      <c r="H9366" t="s">
        <v>44</v>
      </c>
      <c r="I9366" t="s">
        <v>2192</v>
      </c>
      <c r="J9366" s="10">
        <v>14</v>
      </c>
      <c r="K9366" t="b">
        <v>1</v>
      </c>
    </row>
    <row r="9367" spans="1:11">
      <c r="A9367" s="12">
        <v>42811</v>
      </c>
      <c r="B9367">
        <v>2017</v>
      </c>
      <c r="C9367">
        <v>3</v>
      </c>
      <c r="D9367" s="11">
        <v>42795</v>
      </c>
      <c r="E9367" t="s">
        <v>2175</v>
      </c>
      <c r="F9367">
        <v>5</v>
      </c>
      <c r="G9367" t="s">
        <v>55</v>
      </c>
      <c r="H9367" t="s">
        <v>45</v>
      </c>
      <c r="I9367" t="s">
        <v>2193</v>
      </c>
      <c r="J9367" s="10">
        <v>0</v>
      </c>
      <c r="K9367" t="b">
        <v>1</v>
      </c>
    </row>
    <row r="9368" spans="1:11">
      <c r="A9368" s="12">
        <v>42811</v>
      </c>
      <c r="B9368">
        <v>2017</v>
      </c>
      <c r="C9368">
        <v>3</v>
      </c>
      <c r="D9368" s="11">
        <v>42795</v>
      </c>
      <c r="E9368" t="s">
        <v>2175</v>
      </c>
      <c r="F9368">
        <v>5</v>
      </c>
      <c r="G9368" t="s">
        <v>55</v>
      </c>
      <c r="H9368" t="s">
        <v>46</v>
      </c>
      <c r="I9368" t="s">
        <v>2194</v>
      </c>
      <c r="J9368" s="10">
        <v>3</v>
      </c>
      <c r="K9368" t="b">
        <v>1</v>
      </c>
    </row>
    <row r="9369" spans="1:11">
      <c r="A9369" s="12">
        <v>42811</v>
      </c>
      <c r="B9369">
        <v>2017</v>
      </c>
      <c r="C9369">
        <v>3</v>
      </c>
      <c r="D9369" s="11">
        <v>42795</v>
      </c>
      <c r="E9369" t="s">
        <v>2175</v>
      </c>
      <c r="F9369">
        <v>5</v>
      </c>
      <c r="G9369" t="s">
        <v>55</v>
      </c>
      <c r="H9369" t="s">
        <v>47</v>
      </c>
      <c r="I9369" t="s">
        <v>2195</v>
      </c>
      <c r="J9369" s="10">
        <v>3</v>
      </c>
      <c r="K9369" t="b">
        <v>1</v>
      </c>
    </row>
    <row r="9370" spans="1:11">
      <c r="A9370" s="12">
        <v>42812</v>
      </c>
      <c r="B9370">
        <v>2017</v>
      </c>
      <c r="C9370">
        <v>3</v>
      </c>
      <c r="D9370" s="11">
        <v>42795</v>
      </c>
      <c r="E9370" t="s">
        <v>2175</v>
      </c>
      <c r="F9370">
        <v>6</v>
      </c>
      <c r="G9370" t="s">
        <v>57</v>
      </c>
      <c r="H9370" t="s">
        <v>40</v>
      </c>
      <c r="I9370" t="s">
        <v>2188</v>
      </c>
      <c r="J9370" s="10">
        <v>5</v>
      </c>
      <c r="K9370" t="b">
        <v>1</v>
      </c>
    </row>
    <row r="9371" spans="1:11">
      <c r="A9371" s="12">
        <v>42812</v>
      </c>
      <c r="B9371">
        <v>2017</v>
      </c>
      <c r="C9371">
        <v>3</v>
      </c>
      <c r="D9371" s="11">
        <v>42795</v>
      </c>
      <c r="E9371" t="s">
        <v>2175</v>
      </c>
      <c r="F9371">
        <v>6</v>
      </c>
      <c r="G9371" t="s">
        <v>57</v>
      </c>
      <c r="H9371" t="s">
        <v>41</v>
      </c>
      <c r="I9371" t="s">
        <v>2189</v>
      </c>
      <c r="J9371" s="10">
        <v>4.38</v>
      </c>
      <c r="K9371" t="b">
        <v>1</v>
      </c>
    </row>
    <row r="9372" spans="1:11">
      <c r="A9372" s="12">
        <v>42812</v>
      </c>
      <c r="B9372">
        <v>2017</v>
      </c>
      <c r="C9372">
        <v>3</v>
      </c>
      <c r="D9372" s="11">
        <v>42795</v>
      </c>
      <c r="E9372" t="s">
        <v>2175</v>
      </c>
      <c r="F9372">
        <v>6</v>
      </c>
      <c r="G9372" t="s">
        <v>57</v>
      </c>
      <c r="H9372" t="s">
        <v>42</v>
      </c>
      <c r="I9372" t="s">
        <v>2190</v>
      </c>
      <c r="J9372" s="10">
        <v>4.25</v>
      </c>
      <c r="K9372" t="b">
        <v>1</v>
      </c>
    </row>
    <row r="9373" spans="1:11">
      <c r="A9373" s="12">
        <v>42812</v>
      </c>
      <c r="B9373">
        <v>2017</v>
      </c>
      <c r="C9373">
        <v>3</v>
      </c>
      <c r="D9373" s="11">
        <v>42795</v>
      </c>
      <c r="E9373" t="s">
        <v>2175</v>
      </c>
      <c r="F9373">
        <v>6</v>
      </c>
      <c r="G9373" t="s">
        <v>57</v>
      </c>
      <c r="H9373" t="s">
        <v>43</v>
      </c>
      <c r="I9373" t="s">
        <v>2191</v>
      </c>
      <c r="J9373" s="10">
        <v>20.4</v>
      </c>
      <c r="K9373" t="b">
        <v>1</v>
      </c>
    </row>
    <row r="9374" spans="1:11">
      <c r="A9374" s="12">
        <v>42812</v>
      </c>
      <c r="B9374">
        <v>2017</v>
      </c>
      <c r="C9374">
        <v>3</v>
      </c>
      <c r="D9374" s="11">
        <v>42795</v>
      </c>
      <c r="E9374" t="s">
        <v>2175</v>
      </c>
      <c r="F9374">
        <v>6</v>
      </c>
      <c r="G9374" t="s">
        <v>57</v>
      </c>
      <c r="H9374" t="s">
        <v>44</v>
      </c>
      <c r="I9374" t="s">
        <v>2192</v>
      </c>
      <c r="J9374" s="10">
        <v>3</v>
      </c>
      <c r="K9374" t="b">
        <v>1</v>
      </c>
    </row>
    <row r="9375" spans="1:11">
      <c r="A9375" s="12">
        <v>42812</v>
      </c>
      <c r="B9375">
        <v>2017</v>
      </c>
      <c r="C9375">
        <v>3</v>
      </c>
      <c r="D9375" s="11">
        <v>42795</v>
      </c>
      <c r="E9375" t="s">
        <v>2175</v>
      </c>
      <c r="F9375">
        <v>6</v>
      </c>
      <c r="G9375" t="s">
        <v>57</v>
      </c>
      <c r="H9375" t="s">
        <v>45</v>
      </c>
      <c r="I9375" t="s">
        <v>2193</v>
      </c>
      <c r="J9375" s="10">
        <v>0</v>
      </c>
      <c r="K9375" t="b">
        <v>1</v>
      </c>
    </row>
    <row r="9376" spans="1:11">
      <c r="A9376" s="12">
        <v>42812</v>
      </c>
      <c r="B9376">
        <v>2017</v>
      </c>
      <c r="C9376">
        <v>3</v>
      </c>
      <c r="D9376" s="11">
        <v>42795</v>
      </c>
      <c r="E9376" t="s">
        <v>2175</v>
      </c>
      <c r="F9376">
        <v>6</v>
      </c>
      <c r="G9376" t="s">
        <v>57</v>
      </c>
      <c r="H9376" t="s">
        <v>46</v>
      </c>
      <c r="I9376" t="s">
        <v>2194</v>
      </c>
      <c r="J9376" s="10">
        <v>1</v>
      </c>
      <c r="K9376" t="b">
        <v>1</v>
      </c>
    </row>
    <row r="9377" spans="1:11">
      <c r="A9377" s="12">
        <v>42812</v>
      </c>
      <c r="B9377">
        <v>2017</v>
      </c>
      <c r="C9377">
        <v>3</v>
      </c>
      <c r="D9377" s="11">
        <v>42795</v>
      </c>
      <c r="E9377" t="s">
        <v>2175</v>
      </c>
      <c r="F9377">
        <v>6</v>
      </c>
      <c r="G9377" t="s">
        <v>57</v>
      </c>
      <c r="H9377" t="s">
        <v>47</v>
      </c>
      <c r="I9377" t="s">
        <v>2195</v>
      </c>
      <c r="J9377" s="10">
        <v>1</v>
      </c>
      <c r="K9377" t="b">
        <v>1</v>
      </c>
    </row>
    <row r="9378" spans="1:11">
      <c r="A9378" s="12">
        <v>42813</v>
      </c>
      <c r="B9378">
        <v>2017</v>
      </c>
      <c r="C9378">
        <v>3</v>
      </c>
      <c r="D9378" s="11">
        <v>42795</v>
      </c>
      <c r="E9378" t="s">
        <v>2175</v>
      </c>
      <c r="F9378">
        <v>7</v>
      </c>
      <c r="G9378" t="s">
        <v>59</v>
      </c>
      <c r="H9378" t="s">
        <v>40</v>
      </c>
      <c r="I9378" t="s">
        <v>2188</v>
      </c>
      <c r="J9378" s="10">
        <v>10</v>
      </c>
      <c r="K9378" t="b">
        <v>1</v>
      </c>
    </row>
    <row r="9379" spans="1:11">
      <c r="A9379" s="12">
        <v>42813</v>
      </c>
      <c r="B9379">
        <v>2017</v>
      </c>
      <c r="C9379">
        <v>3</v>
      </c>
      <c r="D9379" s="11">
        <v>42795</v>
      </c>
      <c r="E9379" t="s">
        <v>2175</v>
      </c>
      <c r="F9379">
        <v>7</v>
      </c>
      <c r="G9379" t="s">
        <v>59</v>
      </c>
      <c r="H9379" t="s">
        <v>41</v>
      </c>
      <c r="I9379" t="s">
        <v>2189</v>
      </c>
      <c r="J9379" s="10">
        <v>3.693</v>
      </c>
      <c r="K9379" t="b">
        <v>1</v>
      </c>
    </row>
    <row r="9380" spans="1:11">
      <c r="A9380" s="12">
        <v>42813</v>
      </c>
      <c r="B9380">
        <v>2017</v>
      </c>
      <c r="C9380">
        <v>3</v>
      </c>
      <c r="D9380" s="11">
        <v>42795</v>
      </c>
      <c r="E9380" t="s">
        <v>2175</v>
      </c>
      <c r="F9380">
        <v>7</v>
      </c>
      <c r="G9380" t="s">
        <v>59</v>
      </c>
      <c r="H9380" t="s">
        <v>42</v>
      </c>
      <c r="I9380" t="s">
        <v>2190</v>
      </c>
      <c r="J9380" s="10">
        <v>2</v>
      </c>
      <c r="K9380" t="b">
        <v>1</v>
      </c>
    </row>
    <row r="9381" spans="1:11">
      <c r="A9381" s="12">
        <v>42813</v>
      </c>
      <c r="B9381">
        <v>2017</v>
      </c>
      <c r="C9381">
        <v>3</v>
      </c>
      <c r="D9381" s="11">
        <v>42795</v>
      </c>
      <c r="E9381" t="s">
        <v>2175</v>
      </c>
      <c r="F9381">
        <v>7</v>
      </c>
      <c r="G9381" t="s">
        <v>59</v>
      </c>
      <c r="H9381" t="s">
        <v>43</v>
      </c>
      <c r="I9381" t="s">
        <v>2191</v>
      </c>
      <c r="J9381" s="10">
        <v>39.1</v>
      </c>
      <c r="K9381" t="b">
        <v>1</v>
      </c>
    </row>
    <row r="9382" spans="1:11">
      <c r="A9382" s="12">
        <v>42813</v>
      </c>
      <c r="B9382">
        <v>2017</v>
      </c>
      <c r="C9382">
        <v>3</v>
      </c>
      <c r="D9382" s="11">
        <v>42795</v>
      </c>
      <c r="E9382" t="s">
        <v>2175</v>
      </c>
      <c r="F9382">
        <v>7</v>
      </c>
      <c r="G9382" t="s">
        <v>59</v>
      </c>
      <c r="H9382" t="s">
        <v>44</v>
      </c>
      <c r="I9382" t="s">
        <v>2192</v>
      </c>
      <c r="J9382" s="10">
        <v>3</v>
      </c>
      <c r="K9382" t="b">
        <v>1</v>
      </c>
    </row>
    <row r="9383" spans="1:11">
      <c r="A9383" s="12">
        <v>42813</v>
      </c>
      <c r="B9383">
        <v>2017</v>
      </c>
      <c r="C9383">
        <v>3</v>
      </c>
      <c r="D9383" s="11">
        <v>42795</v>
      </c>
      <c r="E9383" t="s">
        <v>2175</v>
      </c>
      <c r="F9383">
        <v>7</v>
      </c>
      <c r="G9383" t="s">
        <v>59</v>
      </c>
      <c r="H9383" t="s">
        <v>45</v>
      </c>
      <c r="I9383" t="s">
        <v>2193</v>
      </c>
      <c r="J9383" s="10">
        <v>0</v>
      </c>
      <c r="K9383" t="b">
        <v>1</v>
      </c>
    </row>
    <row r="9384" spans="1:11">
      <c r="A9384" s="12">
        <v>42813</v>
      </c>
      <c r="B9384">
        <v>2017</v>
      </c>
      <c r="C9384">
        <v>3</v>
      </c>
      <c r="D9384" s="11">
        <v>42795</v>
      </c>
      <c r="E9384" t="s">
        <v>2175</v>
      </c>
      <c r="F9384">
        <v>7</v>
      </c>
      <c r="G9384" t="s">
        <v>59</v>
      </c>
      <c r="H9384" t="s">
        <v>46</v>
      </c>
      <c r="I9384" t="s">
        <v>2194</v>
      </c>
      <c r="J9384" s="10">
        <v>5</v>
      </c>
      <c r="K9384" t="b">
        <v>1</v>
      </c>
    </row>
    <row r="9385" spans="1:11">
      <c r="A9385" s="12">
        <v>42813</v>
      </c>
      <c r="B9385">
        <v>2017</v>
      </c>
      <c r="C9385">
        <v>3</v>
      </c>
      <c r="D9385" s="11">
        <v>42795</v>
      </c>
      <c r="E9385" t="s">
        <v>2175</v>
      </c>
      <c r="F9385">
        <v>7</v>
      </c>
      <c r="G9385" t="s">
        <v>59</v>
      </c>
      <c r="H9385" t="s">
        <v>47</v>
      </c>
      <c r="I9385" t="s">
        <v>2195</v>
      </c>
      <c r="J9385" s="10">
        <v>3</v>
      </c>
      <c r="K9385" t="b">
        <v>1</v>
      </c>
    </row>
    <row r="9386" spans="1:11">
      <c r="A9386" s="12">
        <v>42814</v>
      </c>
      <c r="B9386">
        <v>2017</v>
      </c>
      <c r="C9386">
        <v>3</v>
      </c>
      <c r="D9386" s="11">
        <v>42795</v>
      </c>
      <c r="E9386" t="s">
        <v>2175</v>
      </c>
      <c r="F9386">
        <v>1</v>
      </c>
      <c r="G9386" t="s">
        <v>61</v>
      </c>
      <c r="H9386" t="s">
        <v>40</v>
      </c>
      <c r="I9386" t="s">
        <v>2188</v>
      </c>
      <c r="J9386" s="10">
        <v>1.66</v>
      </c>
      <c r="K9386" t="b">
        <v>1</v>
      </c>
    </row>
    <row r="9387" spans="1:11">
      <c r="A9387" s="12">
        <v>42814</v>
      </c>
      <c r="B9387">
        <v>2017</v>
      </c>
      <c r="C9387">
        <v>3</v>
      </c>
      <c r="D9387" s="11">
        <v>42795</v>
      </c>
      <c r="E9387" t="s">
        <v>2175</v>
      </c>
      <c r="F9387">
        <v>1</v>
      </c>
      <c r="G9387" t="s">
        <v>61</v>
      </c>
      <c r="H9387" t="s">
        <v>41</v>
      </c>
      <c r="I9387" t="s">
        <v>2189</v>
      </c>
      <c r="J9387" s="10">
        <v>6.683</v>
      </c>
      <c r="K9387" t="b">
        <v>1</v>
      </c>
    </row>
    <row r="9388" spans="1:11">
      <c r="A9388" s="12">
        <v>42814</v>
      </c>
      <c r="B9388">
        <v>2017</v>
      </c>
      <c r="C9388">
        <v>3</v>
      </c>
      <c r="D9388" s="11">
        <v>42795</v>
      </c>
      <c r="E9388" t="s">
        <v>2175</v>
      </c>
      <c r="F9388">
        <v>1</v>
      </c>
      <c r="G9388" t="s">
        <v>61</v>
      </c>
      <c r="H9388" t="s">
        <v>42</v>
      </c>
      <c r="I9388" t="s">
        <v>2190</v>
      </c>
      <c r="J9388" s="10">
        <v>4.7</v>
      </c>
      <c r="K9388" t="b">
        <v>1</v>
      </c>
    </row>
    <row r="9389" spans="1:11">
      <c r="A9389" s="12">
        <v>42814</v>
      </c>
      <c r="B9389">
        <v>2017</v>
      </c>
      <c r="C9389">
        <v>3</v>
      </c>
      <c r="D9389" s="11">
        <v>42795</v>
      </c>
      <c r="E9389" t="s">
        <v>2175</v>
      </c>
      <c r="F9389">
        <v>1</v>
      </c>
      <c r="G9389" t="s">
        <v>61</v>
      </c>
      <c r="H9389" t="s">
        <v>43</v>
      </c>
      <c r="I9389" t="s">
        <v>2191</v>
      </c>
      <c r="J9389" s="10">
        <v>16.1</v>
      </c>
      <c r="K9389" t="b">
        <v>1</v>
      </c>
    </row>
    <row r="9390" spans="1:11">
      <c r="A9390" s="12">
        <v>42814</v>
      </c>
      <c r="B9390">
        <v>2017</v>
      </c>
      <c r="C9390">
        <v>3</v>
      </c>
      <c r="D9390" s="11">
        <v>42795</v>
      </c>
      <c r="E9390" t="s">
        <v>2175</v>
      </c>
      <c r="F9390">
        <v>1</v>
      </c>
      <c r="G9390" t="s">
        <v>61</v>
      </c>
      <c r="H9390" t="s">
        <v>44</v>
      </c>
      <c r="I9390" t="s">
        <v>2192</v>
      </c>
      <c r="J9390" s="10">
        <v>3</v>
      </c>
      <c r="K9390" t="b">
        <v>1</v>
      </c>
    </row>
    <row r="9391" spans="1:11">
      <c r="A9391" s="12">
        <v>42814</v>
      </c>
      <c r="B9391">
        <v>2017</v>
      </c>
      <c r="C9391">
        <v>3</v>
      </c>
      <c r="D9391" s="11">
        <v>42795</v>
      </c>
      <c r="E9391" t="s">
        <v>2175</v>
      </c>
      <c r="F9391">
        <v>1</v>
      </c>
      <c r="G9391" t="s">
        <v>61</v>
      </c>
      <c r="H9391" t="s">
        <v>45</v>
      </c>
      <c r="I9391" t="s">
        <v>2193</v>
      </c>
      <c r="J9391" s="10">
        <v>0</v>
      </c>
      <c r="K9391" t="b">
        <v>1</v>
      </c>
    </row>
    <row r="9392" spans="1:11">
      <c r="A9392" s="12">
        <v>42814</v>
      </c>
      <c r="B9392">
        <v>2017</v>
      </c>
      <c r="C9392">
        <v>3</v>
      </c>
      <c r="D9392" s="11">
        <v>42795</v>
      </c>
      <c r="E9392" t="s">
        <v>2175</v>
      </c>
      <c r="F9392">
        <v>1</v>
      </c>
      <c r="G9392" t="s">
        <v>61</v>
      </c>
      <c r="H9392" t="s">
        <v>46</v>
      </c>
      <c r="I9392" t="s">
        <v>2194</v>
      </c>
      <c r="J9392" s="10">
        <v>7</v>
      </c>
      <c r="K9392" t="b">
        <v>1</v>
      </c>
    </row>
    <row r="9393" spans="1:11">
      <c r="A9393" s="12">
        <v>42814</v>
      </c>
      <c r="B9393">
        <v>2017</v>
      </c>
      <c r="C9393">
        <v>3</v>
      </c>
      <c r="D9393" s="11">
        <v>42795</v>
      </c>
      <c r="E9393" t="s">
        <v>2175</v>
      </c>
      <c r="F9393">
        <v>1</v>
      </c>
      <c r="G9393" t="s">
        <v>61</v>
      </c>
      <c r="H9393" t="s">
        <v>47</v>
      </c>
      <c r="I9393" t="s">
        <v>2195</v>
      </c>
      <c r="J9393" s="10">
        <v>3</v>
      </c>
      <c r="K9393" t="b">
        <v>1</v>
      </c>
    </row>
    <row r="9394" spans="1:11">
      <c r="A9394" s="12">
        <v>42815</v>
      </c>
      <c r="B9394">
        <v>2017</v>
      </c>
      <c r="C9394">
        <v>3</v>
      </c>
      <c r="D9394" s="11">
        <v>42795</v>
      </c>
      <c r="E9394" t="s">
        <v>2175</v>
      </c>
      <c r="F9394">
        <v>2</v>
      </c>
      <c r="G9394" t="s">
        <v>63</v>
      </c>
      <c r="H9394" t="s">
        <v>40</v>
      </c>
      <c r="I9394" t="s">
        <v>2188</v>
      </c>
      <c r="J9394" s="10">
        <v>9.16</v>
      </c>
      <c r="K9394" t="b">
        <v>1</v>
      </c>
    </row>
    <row r="9395" spans="1:11">
      <c r="A9395" s="12">
        <v>42815</v>
      </c>
      <c r="B9395">
        <v>2017</v>
      </c>
      <c r="C9395">
        <v>3</v>
      </c>
      <c r="D9395" s="11">
        <v>42795</v>
      </c>
      <c r="E9395" t="s">
        <v>2175</v>
      </c>
      <c r="F9395">
        <v>2</v>
      </c>
      <c r="G9395" t="s">
        <v>63</v>
      </c>
      <c r="H9395" t="s">
        <v>41</v>
      </c>
      <c r="I9395" t="s">
        <v>2189</v>
      </c>
      <c r="J9395" s="10">
        <v>2.03</v>
      </c>
      <c r="K9395" t="b">
        <v>1</v>
      </c>
    </row>
    <row r="9396" spans="1:11">
      <c r="A9396" s="12">
        <v>42815</v>
      </c>
      <c r="B9396">
        <v>2017</v>
      </c>
      <c r="C9396">
        <v>3</v>
      </c>
      <c r="D9396" s="11">
        <v>42795</v>
      </c>
      <c r="E9396" t="s">
        <v>2175</v>
      </c>
      <c r="F9396">
        <v>2</v>
      </c>
      <c r="G9396" t="s">
        <v>63</v>
      </c>
      <c r="H9396" t="s">
        <v>42</v>
      </c>
      <c r="I9396" t="s">
        <v>2190</v>
      </c>
      <c r="J9396" s="10">
        <v>2.2</v>
      </c>
      <c r="K9396" t="b">
        <v>1</v>
      </c>
    </row>
    <row r="9397" spans="1:11">
      <c r="A9397" s="12">
        <v>42815</v>
      </c>
      <c r="B9397">
        <v>2017</v>
      </c>
      <c r="C9397">
        <v>3</v>
      </c>
      <c r="D9397" s="11">
        <v>42795</v>
      </c>
      <c r="E9397" t="s">
        <v>2175</v>
      </c>
      <c r="F9397">
        <v>2</v>
      </c>
      <c r="G9397" t="s">
        <v>63</v>
      </c>
      <c r="H9397" t="s">
        <v>43</v>
      </c>
      <c r="I9397" t="s">
        <v>2191</v>
      </c>
      <c r="J9397" s="10">
        <v>12.6</v>
      </c>
      <c r="K9397" t="b">
        <v>1</v>
      </c>
    </row>
    <row r="9398" spans="1:11">
      <c r="A9398" s="12">
        <v>42815</v>
      </c>
      <c r="B9398">
        <v>2017</v>
      </c>
      <c r="C9398">
        <v>3</v>
      </c>
      <c r="D9398" s="11">
        <v>42795</v>
      </c>
      <c r="E9398" t="s">
        <v>2175</v>
      </c>
      <c r="F9398">
        <v>2</v>
      </c>
      <c r="G9398" t="s">
        <v>63</v>
      </c>
      <c r="H9398" t="s">
        <v>44</v>
      </c>
      <c r="I9398" t="s">
        <v>2192</v>
      </c>
      <c r="J9398" s="10">
        <v>4</v>
      </c>
      <c r="K9398" t="b">
        <v>1</v>
      </c>
    </row>
    <row r="9399" spans="1:11">
      <c r="A9399" s="12">
        <v>42815</v>
      </c>
      <c r="B9399">
        <v>2017</v>
      </c>
      <c r="C9399">
        <v>3</v>
      </c>
      <c r="D9399" s="11">
        <v>42795</v>
      </c>
      <c r="E9399" t="s">
        <v>2175</v>
      </c>
      <c r="F9399">
        <v>2</v>
      </c>
      <c r="G9399" t="s">
        <v>63</v>
      </c>
      <c r="H9399" t="s">
        <v>45</v>
      </c>
      <c r="I9399" t="s">
        <v>2193</v>
      </c>
      <c r="J9399" s="10">
        <v>0</v>
      </c>
      <c r="K9399" t="b">
        <v>1</v>
      </c>
    </row>
    <row r="9400" spans="1:11">
      <c r="A9400" s="12">
        <v>42815</v>
      </c>
      <c r="B9400">
        <v>2017</v>
      </c>
      <c r="C9400">
        <v>3</v>
      </c>
      <c r="D9400" s="11">
        <v>42795</v>
      </c>
      <c r="E9400" t="s">
        <v>2175</v>
      </c>
      <c r="F9400">
        <v>2</v>
      </c>
      <c r="G9400" t="s">
        <v>63</v>
      </c>
      <c r="H9400" t="s">
        <v>46</v>
      </c>
      <c r="I9400" t="s">
        <v>2194</v>
      </c>
      <c r="J9400" s="10">
        <v>1</v>
      </c>
      <c r="K9400" t="b">
        <v>1</v>
      </c>
    </row>
    <row r="9401" spans="1:11">
      <c r="A9401" s="12">
        <v>42815</v>
      </c>
      <c r="B9401">
        <v>2017</v>
      </c>
      <c r="C9401">
        <v>3</v>
      </c>
      <c r="D9401" s="11">
        <v>42795</v>
      </c>
      <c r="E9401" t="s">
        <v>2175</v>
      </c>
      <c r="F9401">
        <v>2</v>
      </c>
      <c r="G9401" t="s">
        <v>63</v>
      </c>
      <c r="H9401" t="s">
        <v>47</v>
      </c>
      <c r="I9401" t="s">
        <v>2195</v>
      </c>
      <c r="J9401" s="10">
        <v>5.3</v>
      </c>
      <c r="K9401" t="b">
        <v>1</v>
      </c>
    </row>
    <row r="9402" spans="1:11">
      <c r="A9402" s="12">
        <v>42816</v>
      </c>
      <c r="B9402">
        <v>2017</v>
      </c>
      <c r="C9402">
        <v>3</v>
      </c>
      <c r="D9402" s="11">
        <v>42795</v>
      </c>
      <c r="E9402" t="s">
        <v>2175</v>
      </c>
      <c r="F9402">
        <v>3</v>
      </c>
      <c r="G9402" t="s">
        <v>65</v>
      </c>
      <c r="H9402" t="s">
        <v>40</v>
      </c>
      <c r="I9402" t="s">
        <v>2188</v>
      </c>
      <c r="J9402" s="10">
        <v>1.66</v>
      </c>
      <c r="K9402" t="b">
        <v>1</v>
      </c>
    </row>
    <row r="9403" spans="1:11">
      <c r="A9403" s="12">
        <v>42816</v>
      </c>
      <c r="B9403">
        <v>2017</v>
      </c>
      <c r="C9403">
        <v>3</v>
      </c>
      <c r="D9403" s="11">
        <v>42795</v>
      </c>
      <c r="E9403" t="s">
        <v>2175</v>
      </c>
      <c r="F9403">
        <v>3</v>
      </c>
      <c r="G9403" t="s">
        <v>65</v>
      </c>
      <c r="H9403" t="s">
        <v>41</v>
      </c>
      <c r="I9403" t="s">
        <v>2189</v>
      </c>
      <c r="J9403" s="10">
        <v>5.023</v>
      </c>
      <c r="K9403" t="b">
        <v>1</v>
      </c>
    </row>
    <row r="9404" spans="1:11">
      <c r="A9404" s="12">
        <v>42816</v>
      </c>
      <c r="B9404">
        <v>2017</v>
      </c>
      <c r="C9404">
        <v>3</v>
      </c>
      <c r="D9404" s="11">
        <v>42795</v>
      </c>
      <c r="E9404" t="s">
        <v>2175</v>
      </c>
      <c r="F9404">
        <v>3</v>
      </c>
      <c r="G9404" t="s">
        <v>65</v>
      </c>
      <c r="H9404" t="s">
        <v>42</v>
      </c>
      <c r="I9404" t="s">
        <v>2190</v>
      </c>
      <c r="J9404" s="10">
        <v>2</v>
      </c>
      <c r="K9404" t="b">
        <v>1</v>
      </c>
    </row>
    <row r="9405" spans="1:11">
      <c r="A9405" s="12">
        <v>42816</v>
      </c>
      <c r="B9405">
        <v>2017</v>
      </c>
      <c r="C9405">
        <v>3</v>
      </c>
      <c r="D9405" s="11">
        <v>42795</v>
      </c>
      <c r="E9405" t="s">
        <v>2175</v>
      </c>
      <c r="F9405">
        <v>3</v>
      </c>
      <c r="G9405" t="s">
        <v>65</v>
      </c>
      <c r="H9405" t="s">
        <v>43</v>
      </c>
      <c r="I9405" t="s">
        <v>2191</v>
      </c>
      <c r="J9405" s="10">
        <v>16.4</v>
      </c>
      <c r="K9405" t="b">
        <v>1</v>
      </c>
    </row>
    <row r="9406" spans="1:11">
      <c r="A9406" s="12">
        <v>42816</v>
      </c>
      <c r="B9406">
        <v>2017</v>
      </c>
      <c r="C9406">
        <v>3</v>
      </c>
      <c r="D9406" s="11">
        <v>42795</v>
      </c>
      <c r="E9406" t="s">
        <v>2175</v>
      </c>
      <c r="F9406">
        <v>3</v>
      </c>
      <c r="G9406" t="s">
        <v>65</v>
      </c>
      <c r="H9406" t="s">
        <v>44</v>
      </c>
      <c r="I9406" t="s">
        <v>2192</v>
      </c>
      <c r="J9406" s="10">
        <v>7</v>
      </c>
      <c r="K9406" t="b">
        <v>1</v>
      </c>
    </row>
    <row r="9407" spans="1:11">
      <c r="A9407" s="12">
        <v>42816</v>
      </c>
      <c r="B9407">
        <v>2017</v>
      </c>
      <c r="C9407">
        <v>3</v>
      </c>
      <c r="D9407" s="11">
        <v>42795</v>
      </c>
      <c r="E9407" t="s">
        <v>2175</v>
      </c>
      <c r="F9407">
        <v>3</v>
      </c>
      <c r="G9407" t="s">
        <v>65</v>
      </c>
      <c r="H9407" t="s">
        <v>45</v>
      </c>
      <c r="I9407" t="s">
        <v>2193</v>
      </c>
      <c r="J9407" s="10">
        <v>0</v>
      </c>
      <c r="K9407" t="b">
        <v>1</v>
      </c>
    </row>
    <row r="9408" spans="1:11">
      <c r="A9408" s="12">
        <v>42816</v>
      </c>
      <c r="B9408">
        <v>2017</v>
      </c>
      <c r="C9408">
        <v>3</v>
      </c>
      <c r="D9408" s="11">
        <v>42795</v>
      </c>
      <c r="E9408" t="s">
        <v>2175</v>
      </c>
      <c r="F9408">
        <v>3</v>
      </c>
      <c r="G9408" t="s">
        <v>65</v>
      </c>
      <c r="H9408" t="s">
        <v>46</v>
      </c>
      <c r="I9408" t="s">
        <v>2194</v>
      </c>
      <c r="J9408" s="10">
        <v>2</v>
      </c>
      <c r="K9408" t="b">
        <v>1</v>
      </c>
    </row>
    <row r="9409" spans="1:11">
      <c r="A9409" s="12">
        <v>42816</v>
      </c>
      <c r="B9409">
        <v>2017</v>
      </c>
      <c r="C9409">
        <v>3</v>
      </c>
      <c r="D9409" s="11">
        <v>42795</v>
      </c>
      <c r="E9409" t="s">
        <v>2175</v>
      </c>
      <c r="F9409">
        <v>3</v>
      </c>
      <c r="G9409" t="s">
        <v>65</v>
      </c>
      <c r="H9409" t="s">
        <v>47</v>
      </c>
      <c r="I9409" t="s">
        <v>2195</v>
      </c>
      <c r="J9409" s="10">
        <v>2</v>
      </c>
      <c r="K9409" t="b">
        <v>1</v>
      </c>
    </row>
    <row r="9410" spans="1:11">
      <c r="A9410" s="12">
        <v>42817</v>
      </c>
      <c r="B9410">
        <v>2017</v>
      </c>
      <c r="C9410">
        <v>3</v>
      </c>
      <c r="D9410" s="11">
        <v>42795</v>
      </c>
      <c r="E9410" t="s">
        <v>2175</v>
      </c>
      <c r="F9410">
        <v>4</v>
      </c>
      <c r="G9410" t="s">
        <v>53</v>
      </c>
      <c r="H9410" t="s">
        <v>40</v>
      </c>
      <c r="I9410" t="s">
        <v>2188</v>
      </c>
      <c r="J9410" s="10">
        <v>7.34</v>
      </c>
      <c r="K9410" t="b">
        <v>1</v>
      </c>
    </row>
    <row r="9411" spans="1:11">
      <c r="A9411" s="12">
        <v>42817</v>
      </c>
      <c r="B9411">
        <v>2017</v>
      </c>
      <c r="C9411">
        <v>3</v>
      </c>
      <c r="D9411" s="11">
        <v>42795</v>
      </c>
      <c r="E9411" t="s">
        <v>2175</v>
      </c>
      <c r="F9411">
        <v>4</v>
      </c>
      <c r="G9411" t="s">
        <v>53</v>
      </c>
      <c r="H9411" t="s">
        <v>41</v>
      </c>
      <c r="I9411" t="s">
        <v>2189</v>
      </c>
      <c r="J9411" s="10">
        <v>2.133</v>
      </c>
      <c r="K9411" t="b">
        <v>1</v>
      </c>
    </row>
    <row r="9412" spans="1:11">
      <c r="A9412" s="12">
        <v>42817</v>
      </c>
      <c r="B9412">
        <v>2017</v>
      </c>
      <c r="C9412">
        <v>3</v>
      </c>
      <c r="D9412" s="11">
        <v>42795</v>
      </c>
      <c r="E9412" t="s">
        <v>2175</v>
      </c>
      <c r="F9412">
        <v>4</v>
      </c>
      <c r="G9412" t="s">
        <v>53</v>
      </c>
      <c r="H9412" t="s">
        <v>42</v>
      </c>
      <c r="I9412" t="s">
        <v>2190</v>
      </c>
      <c r="J9412" s="10">
        <v>1</v>
      </c>
      <c r="K9412" t="b">
        <v>1</v>
      </c>
    </row>
    <row r="9413" spans="1:11">
      <c r="A9413" s="12">
        <v>42817</v>
      </c>
      <c r="B9413">
        <v>2017</v>
      </c>
      <c r="C9413">
        <v>3</v>
      </c>
      <c r="D9413" s="11">
        <v>42795</v>
      </c>
      <c r="E9413" t="s">
        <v>2175</v>
      </c>
      <c r="F9413">
        <v>4</v>
      </c>
      <c r="G9413" t="s">
        <v>53</v>
      </c>
      <c r="H9413" t="s">
        <v>43</v>
      </c>
      <c r="I9413" t="s">
        <v>2191</v>
      </c>
      <c r="J9413" s="10">
        <v>13.3</v>
      </c>
      <c r="K9413" t="b">
        <v>1</v>
      </c>
    </row>
    <row r="9414" spans="1:11">
      <c r="A9414" s="12">
        <v>42817</v>
      </c>
      <c r="B9414">
        <v>2017</v>
      </c>
      <c r="C9414">
        <v>3</v>
      </c>
      <c r="D9414" s="11">
        <v>42795</v>
      </c>
      <c r="E9414" t="s">
        <v>2175</v>
      </c>
      <c r="F9414">
        <v>4</v>
      </c>
      <c r="G9414" t="s">
        <v>53</v>
      </c>
      <c r="H9414" t="s">
        <v>44</v>
      </c>
      <c r="I9414" t="s">
        <v>2192</v>
      </c>
      <c r="J9414" s="10">
        <v>8</v>
      </c>
      <c r="K9414" t="b">
        <v>1</v>
      </c>
    </row>
    <row r="9415" spans="1:11">
      <c r="A9415" s="12">
        <v>42817</v>
      </c>
      <c r="B9415">
        <v>2017</v>
      </c>
      <c r="C9415">
        <v>3</v>
      </c>
      <c r="D9415" s="11">
        <v>42795</v>
      </c>
      <c r="E9415" t="s">
        <v>2175</v>
      </c>
      <c r="F9415">
        <v>4</v>
      </c>
      <c r="G9415" t="s">
        <v>53</v>
      </c>
      <c r="H9415" t="s">
        <v>45</v>
      </c>
      <c r="I9415" t="s">
        <v>2193</v>
      </c>
      <c r="J9415" s="10">
        <v>0</v>
      </c>
      <c r="K9415" t="b">
        <v>1</v>
      </c>
    </row>
    <row r="9416" spans="1:11">
      <c r="A9416" s="12">
        <v>42817</v>
      </c>
      <c r="B9416">
        <v>2017</v>
      </c>
      <c r="C9416">
        <v>3</v>
      </c>
      <c r="D9416" s="11">
        <v>42795</v>
      </c>
      <c r="E9416" t="s">
        <v>2175</v>
      </c>
      <c r="F9416">
        <v>4</v>
      </c>
      <c r="G9416" t="s">
        <v>53</v>
      </c>
      <c r="H9416" t="s">
        <v>46</v>
      </c>
      <c r="I9416" t="s">
        <v>2194</v>
      </c>
      <c r="J9416" s="10">
        <v>6</v>
      </c>
      <c r="K9416" t="b">
        <v>1</v>
      </c>
    </row>
    <row r="9417" spans="1:11">
      <c r="A9417" s="12">
        <v>42817</v>
      </c>
      <c r="B9417">
        <v>2017</v>
      </c>
      <c r="C9417">
        <v>3</v>
      </c>
      <c r="D9417" s="11">
        <v>42795</v>
      </c>
      <c r="E9417" t="s">
        <v>2175</v>
      </c>
      <c r="F9417">
        <v>4</v>
      </c>
      <c r="G9417" t="s">
        <v>53</v>
      </c>
      <c r="H9417" t="s">
        <v>47</v>
      </c>
      <c r="I9417" t="s">
        <v>2195</v>
      </c>
      <c r="J9417" s="10">
        <v>3.5</v>
      </c>
      <c r="K9417" t="b">
        <v>1</v>
      </c>
    </row>
    <row r="9418" spans="1:11">
      <c r="A9418" s="12">
        <v>42818</v>
      </c>
      <c r="B9418">
        <v>2017</v>
      </c>
      <c r="C9418">
        <v>3</v>
      </c>
      <c r="D9418" s="11">
        <v>42795</v>
      </c>
      <c r="E9418" t="s">
        <v>2175</v>
      </c>
      <c r="F9418">
        <v>5</v>
      </c>
      <c r="G9418" t="s">
        <v>55</v>
      </c>
      <c r="H9418" t="s">
        <v>40</v>
      </c>
      <c r="I9418" t="s">
        <v>2188</v>
      </c>
      <c r="J9418" s="10">
        <v>1.67</v>
      </c>
      <c r="K9418" t="b">
        <v>1</v>
      </c>
    </row>
    <row r="9419" spans="1:11">
      <c r="A9419" s="12">
        <v>42818</v>
      </c>
      <c r="B9419">
        <v>2017</v>
      </c>
      <c r="C9419">
        <v>3</v>
      </c>
      <c r="D9419" s="11">
        <v>42795</v>
      </c>
      <c r="E9419" t="s">
        <v>2175</v>
      </c>
      <c r="F9419">
        <v>5</v>
      </c>
      <c r="G9419" t="s">
        <v>55</v>
      </c>
      <c r="H9419" t="s">
        <v>41</v>
      </c>
      <c r="I9419" t="s">
        <v>2189</v>
      </c>
      <c r="J9419" s="10">
        <v>3</v>
      </c>
      <c r="K9419" t="b">
        <v>1</v>
      </c>
    </row>
    <row r="9420" spans="1:11">
      <c r="A9420" s="12">
        <v>42818</v>
      </c>
      <c r="B9420">
        <v>2017</v>
      </c>
      <c r="C9420">
        <v>3</v>
      </c>
      <c r="D9420" s="11">
        <v>42795</v>
      </c>
      <c r="E9420" t="s">
        <v>2175</v>
      </c>
      <c r="F9420">
        <v>5</v>
      </c>
      <c r="G9420" t="s">
        <v>55</v>
      </c>
      <c r="H9420" t="s">
        <v>42</v>
      </c>
      <c r="I9420" t="s">
        <v>2190</v>
      </c>
      <c r="J9420" s="10">
        <v>4.5</v>
      </c>
      <c r="K9420" t="b">
        <v>1</v>
      </c>
    </row>
    <row r="9421" spans="1:11">
      <c r="A9421" s="12">
        <v>42818</v>
      </c>
      <c r="B9421">
        <v>2017</v>
      </c>
      <c r="C9421">
        <v>3</v>
      </c>
      <c r="D9421" s="11">
        <v>42795</v>
      </c>
      <c r="E9421" t="s">
        <v>2175</v>
      </c>
      <c r="F9421">
        <v>5</v>
      </c>
      <c r="G9421" t="s">
        <v>55</v>
      </c>
      <c r="H9421" t="s">
        <v>43</v>
      </c>
      <c r="I9421" t="s">
        <v>2191</v>
      </c>
      <c r="J9421" s="10">
        <v>12.3</v>
      </c>
      <c r="K9421" t="b">
        <v>1</v>
      </c>
    </row>
    <row r="9422" spans="1:11">
      <c r="A9422" s="12">
        <v>42818</v>
      </c>
      <c r="B9422">
        <v>2017</v>
      </c>
      <c r="C9422">
        <v>3</v>
      </c>
      <c r="D9422" s="11">
        <v>42795</v>
      </c>
      <c r="E9422" t="s">
        <v>2175</v>
      </c>
      <c r="F9422">
        <v>5</v>
      </c>
      <c r="G9422" t="s">
        <v>55</v>
      </c>
      <c r="H9422" t="s">
        <v>44</v>
      </c>
      <c r="I9422" t="s">
        <v>2192</v>
      </c>
      <c r="J9422" s="10">
        <v>7</v>
      </c>
      <c r="K9422" t="b">
        <v>1</v>
      </c>
    </row>
    <row r="9423" spans="1:11">
      <c r="A9423" s="12">
        <v>42818</v>
      </c>
      <c r="B9423">
        <v>2017</v>
      </c>
      <c r="C9423">
        <v>3</v>
      </c>
      <c r="D9423" s="11">
        <v>42795</v>
      </c>
      <c r="E9423" t="s">
        <v>2175</v>
      </c>
      <c r="F9423">
        <v>5</v>
      </c>
      <c r="G9423" t="s">
        <v>55</v>
      </c>
      <c r="H9423" t="s">
        <v>45</v>
      </c>
      <c r="I9423" t="s">
        <v>2193</v>
      </c>
      <c r="J9423" s="10">
        <v>0</v>
      </c>
      <c r="K9423" t="b">
        <v>1</v>
      </c>
    </row>
    <row r="9424" spans="1:11">
      <c r="A9424" s="12">
        <v>42818</v>
      </c>
      <c r="B9424">
        <v>2017</v>
      </c>
      <c r="C9424">
        <v>3</v>
      </c>
      <c r="D9424" s="11">
        <v>42795</v>
      </c>
      <c r="E9424" t="s">
        <v>2175</v>
      </c>
      <c r="F9424">
        <v>5</v>
      </c>
      <c r="G9424" t="s">
        <v>55</v>
      </c>
      <c r="H9424" t="s">
        <v>46</v>
      </c>
      <c r="I9424" t="s">
        <v>2194</v>
      </c>
      <c r="J9424" s="10">
        <v>5</v>
      </c>
      <c r="K9424" t="b">
        <v>1</v>
      </c>
    </row>
    <row r="9425" spans="1:11">
      <c r="A9425" s="12">
        <v>42818</v>
      </c>
      <c r="B9425">
        <v>2017</v>
      </c>
      <c r="C9425">
        <v>3</v>
      </c>
      <c r="D9425" s="11">
        <v>42795</v>
      </c>
      <c r="E9425" t="s">
        <v>2175</v>
      </c>
      <c r="F9425">
        <v>5</v>
      </c>
      <c r="G9425" t="s">
        <v>55</v>
      </c>
      <c r="H9425" t="s">
        <v>47</v>
      </c>
      <c r="I9425" t="s">
        <v>2195</v>
      </c>
      <c r="J9425" s="10">
        <v>6.3</v>
      </c>
      <c r="K9425" t="b">
        <v>1</v>
      </c>
    </row>
    <row r="9426" spans="1:11">
      <c r="A9426" s="12">
        <v>42819</v>
      </c>
      <c r="B9426">
        <v>2017</v>
      </c>
      <c r="C9426">
        <v>3</v>
      </c>
      <c r="D9426" s="11">
        <v>42795</v>
      </c>
      <c r="E9426" t="s">
        <v>2175</v>
      </c>
      <c r="F9426">
        <v>6</v>
      </c>
      <c r="G9426" t="s">
        <v>57</v>
      </c>
      <c r="H9426" t="s">
        <v>40</v>
      </c>
      <c r="I9426" t="s">
        <v>2188</v>
      </c>
      <c r="J9426" s="10">
        <v>10</v>
      </c>
      <c r="K9426" t="b">
        <v>1</v>
      </c>
    </row>
    <row r="9427" spans="1:11">
      <c r="A9427" s="12">
        <v>42819</v>
      </c>
      <c r="B9427">
        <v>2017</v>
      </c>
      <c r="C9427">
        <v>3</v>
      </c>
      <c r="D9427" s="11">
        <v>42795</v>
      </c>
      <c r="E9427" t="s">
        <v>2175</v>
      </c>
      <c r="F9427">
        <v>6</v>
      </c>
      <c r="G9427" t="s">
        <v>57</v>
      </c>
      <c r="H9427" t="s">
        <v>41</v>
      </c>
      <c r="I9427" t="s">
        <v>2189</v>
      </c>
      <c r="J9427" s="10">
        <v>5.49</v>
      </c>
      <c r="K9427" t="b">
        <v>1</v>
      </c>
    </row>
    <row r="9428" spans="1:11">
      <c r="A9428" s="12">
        <v>42819</v>
      </c>
      <c r="B9428">
        <v>2017</v>
      </c>
      <c r="C9428">
        <v>3</v>
      </c>
      <c r="D9428" s="11">
        <v>42795</v>
      </c>
      <c r="E9428" t="s">
        <v>2175</v>
      </c>
      <c r="F9428">
        <v>6</v>
      </c>
      <c r="G9428" t="s">
        <v>57</v>
      </c>
      <c r="H9428" t="s">
        <v>42</v>
      </c>
      <c r="I9428" t="s">
        <v>2190</v>
      </c>
      <c r="J9428" s="10">
        <v>1</v>
      </c>
      <c r="K9428" t="b">
        <v>1</v>
      </c>
    </row>
    <row r="9429" spans="1:11">
      <c r="A9429" s="12">
        <v>42819</v>
      </c>
      <c r="B9429">
        <v>2017</v>
      </c>
      <c r="C9429">
        <v>3</v>
      </c>
      <c r="D9429" s="11">
        <v>42795</v>
      </c>
      <c r="E9429" t="s">
        <v>2175</v>
      </c>
      <c r="F9429">
        <v>6</v>
      </c>
      <c r="G9429" t="s">
        <v>57</v>
      </c>
      <c r="H9429" t="s">
        <v>43</v>
      </c>
      <c r="I9429" t="s">
        <v>2191</v>
      </c>
      <c r="J9429" s="10">
        <v>33.3</v>
      </c>
      <c r="K9429" t="b">
        <v>1</v>
      </c>
    </row>
    <row r="9430" spans="1:11">
      <c r="A9430" s="12">
        <v>42819</v>
      </c>
      <c r="B9430">
        <v>2017</v>
      </c>
      <c r="C9430">
        <v>3</v>
      </c>
      <c r="D9430" s="11">
        <v>42795</v>
      </c>
      <c r="E9430" t="s">
        <v>2175</v>
      </c>
      <c r="F9430">
        <v>6</v>
      </c>
      <c r="G9430" t="s">
        <v>57</v>
      </c>
      <c r="H9430" t="s">
        <v>44</v>
      </c>
      <c r="I9430" t="s">
        <v>2192</v>
      </c>
      <c r="J9430" s="10">
        <v>3</v>
      </c>
      <c r="K9430" t="b">
        <v>1</v>
      </c>
    </row>
    <row r="9431" spans="1:11">
      <c r="A9431" s="12">
        <v>42819</v>
      </c>
      <c r="B9431">
        <v>2017</v>
      </c>
      <c r="C9431">
        <v>3</v>
      </c>
      <c r="D9431" s="11">
        <v>42795</v>
      </c>
      <c r="E9431" t="s">
        <v>2175</v>
      </c>
      <c r="F9431">
        <v>6</v>
      </c>
      <c r="G9431" t="s">
        <v>57</v>
      </c>
      <c r="H9431" t="s">
        <v>45</v>
      </c>
      <c r="I9431" t="s">
        <v>2193</v>
      </c>
      <c r="J9431" s="10">
        <v>0</v>
      </c>
      <c r="K9431" t="b">
        <v>1</v>
      </c>
    </row>
    <row r="9432" spans="1:11">
      <c r="A9432" s="12">
        <v>42819</v>
      </c>
      <c r="B9432">
        <v>2017</v>
      </c>
      <c r="C9432">
        <v>3</v>
      </c>
      <c r="D9432" s="11">
        <v>42795</v>
      </c>
      <c r="E9432" t="s">
        <v>2175</v>
      </c>
      <c r="F9432">
        <v>6</v>
      </c>
      <c r="G9432" t="s">
        <v>57</v>
      </c>
      <c r="H9432" t="s">
        <v>46</v>
      </c>
      <c r="I9432" t="s">
        <v>2194</v>
      </c>
      <c r="J9432" s="10">
        <v>0</v>
      </c>
      <c r="K9432" t="b">
        <v>1</v>
      </c>
    </row>
    <row r="9433" spans="1:11">
      <c r="A9433" s="12">
        <v>42819</v>
      </c>
      <c r="B9433">
        <v>2017</v>
      </c>
      <c r="C9433">
        <v>3</v>
      </c>
      <c r="D9433" s="11">
        <v>42795</v>
      </c>
      <c r="E9433" t="s">
        <v>2175</v>
      </c>
      <c r="F9433">
        <v>6</v>
      </c>
      <c r="G9433" t="s">
        <v>57</v>
      </c>
      <c r="H9433" t="s">
        <v>47</v>
      </c>
      <c r="I9433" t="s">
        <v>2195</v>
      </c>
      <c r="J9433" s="10">
        <v>4</v>
      </c>
      <c r="K9433" t="b">
        <v>1</v>
      </c>
    </row>
    <row r="9434" spans="1:11">
      <c r="A9434" s="12">
        <v>42820</v>
      </c>
      <c r="B9434">
        <v>2017</v>
      </c>
      <c r="C9434">
        <v>3</v>
      </c>
      <c r="D9434" s="11">
        <v>42795</v>
      </c>
      <c r="E9434" t="s">
        <v>2175</v>
      </c>
      <c r="F9434">
        <v>7</v>
      </c>
      <c r="G9434" t="s">
        <v>59</v>
      </c>
      <c r="H9434" t="s">
        <v>40</v>
      </c>
      <c r="I9434" t="s">
        <v>2188</v>
      </c>
      <c r="J9434" s="10">
        <v>5.34</v>
      </c>
      <c r="K9434" t="b">
        <v>1</v>
      </c>
    </row>
    <row r="9435" spans="1:11">
      <c r="A9435" s="12">
        <v>42820</v>
      </c>
      <c r="B9435">
        <v>2017</v>
      </c>
      <c r="C9435">
        <v>3</v>
      </c>
      <c r="D9435" s="11">
        <v>42795</v>
      </c>
      <c r="E9435" t="s">
        <v>2175</v>
      </c>
      <c r="F9435">
        <v>7</v>
      </c>
      <c r="G9435" t="s">
        <v>59</v>
      </c>
      <c r="H9435" t="s">
        <v>41</v>
      </c>
      <c r="I9435" t="s">
        <v>2189</v>
      </c>
      <c r="J9435" s="10">
        <v>5.36</v>
      </c>
      <c r="K9435" t="b">
        <v>1</v>
      </c>
    </row>
    <row r="9436" spans="1:11">
      <c r="A9436" s="12">
        <v>42820</v>
      </c>
      <c r="B9436">
        <v>2017</v>
      </c>
      <c r="C9436">
        <v>3</v>
      </c>
      <c r="D9436" s="11">
        <v>42795</v>
      </c>
      <c r="E9436" t="s">
        <v>2175</v>
      </c>
      <c r="F9436">
        <v>7</v>
      </c>
      <c r="G9436" t="s">
        <v>59</v>
      </c>
      <c r="H9436" t="s">
        <v>42</v>
      </c>
      <c r="I9436" t="s">
        <v>2190</v>
      </c>
      <c r="J9436" s="10">
        <v>3.45</v>
      </c>
      <c r="K9436" t="b">
        <v>1</v>
      </c>
    </row>
    <row r="9437" spans="1:11">
      <c r="A9437" s="12">
        <v>42820</v>
      </c>
      <c r="B9437">
        <v>2017</v>
      </c>
      <c r="C9437">
        <v>3</v>
      </c>
      <c r="D9437" s="11">
        <v>42795</v>
      </c>
      <c r="E9437" t="s">
        <v>2175</v>
      </c>
      <c r="F9437">
        <v>7</v>
      </c>
      <c r="G9437" t="s">
        <v>59</v>
      </c>
      <c r="H9437" t="s">
        <v>43</v>
      </c>
      <c r="I9437" t="s">
        <v>2191</v>
      </c>
      <c r="J9437" s="10">
        <v>18</v>
      </c>
      <c r="K9437" t="b">
        <v>1</v>
      </c>
    </row>
    <row r="9438" spans="1:11">
      <c r="A9438" s="12">
        <v>42820</v>
      </c>
      <c r="B9438">
        <v>2017</v>
      </c>
      <c r="C9438">
        <v>3</v>
      </c>
      <c r="D9438" s="11">
        <v>42795</v>
      </c>
      <c r="E9438" t="s">
        <v>2175</v>
      </c>
      <c r="F9438">
        <v>7</v>
      </c>
      <c r="G9438" t="s">
        <v>59</v>
      </c>
      <c r="H9438" t="s">
        <v>44</v>
      </c>
      <c r="I9438" t="s">
        <v>2192</v>
      </c>
      <c r="J9438" s="10">
        <v>4</v>
      </c>
      <c r="K9438" t="b">
        <v>1</v>
      </c>
    </row>
    <row r="9439" spans="1:11">
      <c r="A9439" s="12">
        <v>42820</v>
      </c>
      <c r="B9439">
        <v>2017</v>
      </c>
      <c r="C9439">
        <v>3</v>
      </c>
      <c r="D9439" s="11">
        <v>42795</v>
      </c>
      <c r="E9439" t="s">
        <v>2175</v>
      </c>
      <c r="F9439">
        <v>7</v>
      </c>
      <c r="G9439" t="s">
        <v>59</v>
      </c>
      <c r="H9439" t="s">
        <v>45</v>
      </c>
      <c r="I9439" t="s">
        <v>2193</v>
      </c>
      <c r="J9439" s="10">
        <v>0</v>
      </c>
      <c r="K9439" t="b">
        <v>1</v>
      </c>
    </row>
    <row r="9440" spans="1:11">
      <c r="A9440" s="12">
        <v>42820</v>
      </c>
      <c r="B9440">
        <v>2017</v>
      </c>
      <c r="C9440">
        <v>3</v>
      </c>
      <c r="D9440" s="11">
        <v>42795</v>
      </c>
      <c r="E9440" t="s">
        <v>2175</v>
      </c>
      <c r="F9440">
        <v>7</v>
      </c>
      <c r="G9440" t="s">
        <v>59</v>
      </c>
      <c r="H9440" t="s">
        <v>46</v>
      </c>
      <c r="I9440" t="s">
        <v>2194</v>
      </c>
      <c r="J9440" s="10">
        <v>10</v>
      </c>
      <c r="K9440" t="b">
        <v>1</v>
      </c>
    </row>
    <row r="9441" spans="1:11">
      <c r="A9441" s="12">
        <v>42820</v>
      </c>
      <c r="B9441">
        <v>2017</v>
      </c>
      <c r="C9441">
        <v>3</v>
      </c>
      <c r="D9441" s="11">
        <v>42795</v>
      </c>
      <c r="E9441" t="s">
        <v>2175</v>
      </c>
      <c r="F9441">
        <v>7</v>
      </c>
      <c r="G9441" t="s">
        <v>59</v>
      </c>
      <c r="H9441" t="s">
        <v>47</v>
      </c>
      <c r="I9441" t="s">
        <v>2195</v>
      </c>
      <c r="J9441" s="10">
        <v>8</v>
      </c>
      <c r="K9441" t="b">
        <v>1</v>
      </c>
    </row>
    <row r="9442" spans="1:11">
      <c r="A9442" s="12">
        <v>42821</v>
      </c>
      <c r="B9442">
        <v>2017</v>
      </c>
      <c r="C9442">
        <v>3</v>
      </c>
      <c r="D9442" s="11">
        <v>42795</v>
      </c>
      <c r="E9442" t="s">
        <v>2175</v>
      </c>
      <c r="F9442">
        <v>1</v>
      </c>
      <c r="G9442" t="s">
        <v>61</v>
      </c>
      <c r="H9442" t="s">
        <v>40</v>
      </c>
      <c r="I9442" t="s">
        <v>2188</v>
      </c>
      <c r="J9442" s="10">
        <v>4.84</v>
      </c>
      <c r="K9442" t="b">
        <v>1</v>
      </c>
    </row>
    <row r="9443" spans="1:11">
      <c r="A9443" s="12">
        <v>42821</v>
      </c>
      <c r="B9443">
        <v>2017</v>
      </c>
      <c r="C9443">
        <v>3</v>
      </c>
      <c r="D9443" s="11">
        <v>42795</v>
      </c>
      <c r="E9443" t="s">
        <v>2175</v>
      </c>
      <c r="F9443">
        <v>1</v>
      </c>
      <c r="G9443" t="s">
        <v>61</v>
      </c>
      <c r="H9443" t="s">
        <v>41</v>
      </c>
      <c r="I9443" t="s">
        <v>2189</v>
      </c>
      <c r="J9443" s="10">
        <v>3.463</v>
      </c>
      <c r="K9443" t="b">
        <v>1</v>
      </c>
    </row>
    <row r="9444" spans="1:11">
      <c r="A9444" s="12">
        <v>42821</v>
      </c>
      <c r="B9444">
        <v>2017</v>
      </c>
      <c r="C9444">
        <v>3</v>
      </c>
      <c r="D9444" s="11">
        <v>42795</v>
      </c>
      <c r="E9444" t="s">
        <v>2175</v>
      </c>
      <c r="F9444">
        <v>1</v>
      </c>
      <c r="G9444" t="s">
        <v>61</v>
      </c>
      <c r="H9444" t="s">
        <v>42</v>
      </c>
      <c r="I9444" t="s">
        <v>2190</v>
      </c>
      <c r="J9444" s="10">
        <v>3.5</v>
      </c>
      <c r="K9444" t="b">
        <v>1</v>
      </c>
    </row>
    <row r="9445" spans="1:11">
      <c r="A9445" s="12">
        <v>42821</v>
      </c>
      <c r="B9445">
        <v>2017</v>
      </c>
      <c r="C9445">
        <v>3</v>
      </c>
      <c r="D9445" s="11">
        <v>42795</v>
      </c>
      <c r="E9445" t="s">
        <v>2175</v>
      </c>
      <c r="F9445">
        <v>1</v>
      </c>
      <c r="G9445" t="s">
        <v>61</v>
      </c>
      <c r="H9445" t="s">
        <v>43</v>
      </c>
      <c r="I9445" t="s">
        <v>2191</v>
      </c>
      <c r="J9445" s="10">
        <v>14.8</v>
      </c>
      <c r="K9445" t="b">
        <v>1</v>
      </c>
    </row>
    <row r="9446" spans="1:11">
      <c r="A9446" s="12">
        <v>42821</v>
      </c>
      <c r="B9446">
        <v>2017</v>
      </c>
      <c r="C9446">
        <v>3</v>
      </c>
      <c r="D9446" s="11">
        <v>42795</v>
      </c>
      <c r="E9446" t="s">
        <v>2175</v>
      </c>
      <c r="F9446">
        <v>1</v>
      </c>
      <c r="G9446" t="s">
        <v>61</v>
      </c>
      <c r="H9446" t="s">
        <v>44</v>
      </c>
      <c r="I9446" t="s">
        <v>2192</v>
      </c>
      <c r="J9446" s="10">
        <v>5</v>
      </c>
      <c r="K9446" t="b">
        <v>1</v>
      </c>
    </row>
    <row r="9447" spans="1:11">
      <c r="A9447" s="12">
        <v>42821</v>
      </c>
      <c r="B9447">
        <v>2017</v>
      </c>
      <c r="C9447">
        <v>3</v>
      </c>
      <c r="D9447" s="11">
        <v>42795</v>
      </c>
      <c r="E9447" t="s">
        <v>2175</v>
      </c>
      <c r="F9447">
        <v>1</v>
      </c>
      <c r="G9447" t="s">
        <v>61</v>
      </c>
      <c r="H9447" t="s">
        <v>45</v>
      </c>
      <c r="I9447" t="s">
        <v>2193</v>
      </c>
      <c r="J9447" s="10">
        <v>0</v>
      </c>
      <c r="K9447" t="b">
        <v>1</v>
      </c>
    </row>
    <row r="9448" spans="1:11">
      <c r="A9448" s="12">
        <v>42821</v>
      </c>
      <c r="B9448">
        <v>2017</v>
      </c>
      <c r="C9448">
        <v>3</v>
      </c>
      <c r="D9448" s="11">
        <v>42795</v>
      </c>
      <c r="E9448" t="s">
        <v>2175</v>
      </c>
      <c r="F9448">
        <v>1</v>
      </c>
      <c r="G9448" t="s">
        <v>61</v>
      </c>
      <c r="H9448" t="s">
        <v>46</v>
      </c>
      <c r="I9448" t="s">
        <v>2194</v>
      </c>
      <c r="J9448" s="10">
        <v>1</v>
      </c>
      <c r="K9448" t="b">
        <v>1</v>
      </c>
    </row>
    <row r="9449" spans="1:11">
      <c r="A9449" s="12">
        <v>42821</v>
      </c>
      <c r="B9449">
        <v>2017</v>
      </c>
      <c r="C9449">
        <v>3</v>
      </c>
      <c r="D9449" s="11">
        <v>42795</v>
      </c>
      <c r="E9449" t="s">
        <v>2175</v>
      </c>
      <c r="F9449">
        <v>1</v>
      </c>
      <c r="G9449" t="s">
        <v>61</v>
      </c>
      <c r="H9449" t="s">
        <v>47</v>
      </c>
      <c r="I9449" t="s">
        <v>2195</v>
      </c>
      <c r="J9449" s="10">
        <v>4</v>
      </c>
      <c r="K9449" t="b">
        <v>1</v>
      </c>
    </row>
    <row r="9450" spans="1:11">
      <c r="A9450" s="12">
        <v>42822</v>
      </c>
      <c r="B9450">
        <v>2017</v>
      </c>
      <c r="C9450">
        <v>3</v>
      </c>
      <c r="D9450" s="11">
        <v>42795</v>
      </c>
      <c r="E9450" t="s">
        <v>2175</v>
      </c>
      <c r="F9450">
        <v>2</v>
      </c>
      <c r="G9450" t="s">
        <v>63</v>
      </c>
      <c r="H9450" t="s">
        <v>40</v>
      </c>
      <c r="I9450" t="s">
        <v>2188</v>
      </c>
      <c r="J9450" s="10">
        <v>2.67</v>
      </c>
      <c r="K9450" t="b">
        <v>1</v>
      </c>
    </row>
    <row r="9451" spans="1:11">
      <c r="A9451" s="12">
        <v>42822</v>
      </c>
      <c r="B9451">
        <v>2017</v>
      </c>
      <c r="C9451">
        <v>3</v>
      </c>
      <c r="D9451" s="11">
        <v>42795</v>
      </c>
      <c r="E9451" t="s">
        <v>2175</v>
      </c>
      <c r="F9451">
        <v>2</v>
      </c>
      <c r="G9451" t="s">
        <v>63</v>
      </c>
      <c r="H9451" t="s">
        <v>41</v>
      </c>
      <c r="I9451" t="s">
        <v>2189</v>
      </c>
      <c r="J9451" s="10">
        <v>2.67</v>
      </c>
      <c r="K9451" t="b">
        <v>1</v>
      </c>
    </row>
    <row r="9452" spans="1:11">
      <c r="A9452" s="12">
        <v>42822</v>
      </c>
      <c r="B9452">
        <v>2017</v>
      </c>
      <c r="C9452">
        <v>3</v>
      </c>
      <c r="D9452" s="11">
        <v>42795</v>
      </c>
      <c r="E9452" t="s">
        <v>2175</v>
      </c>
      <c r="F9452">
        <v>2</v>
      </c>
      <c r="G9452" t="s">
        <v>63</v>
      </c>
      <c r="H9452" t="s">
        <v>42</v>
      </c>
      <c r="I9452" t="s">
        <v>2190</v>
      </c>
      <c r="J9452" s="10">
        <v>7</v>
      </c>
      <c r="K9452" t="b">
        <v>1</v>
      </c>
    </row>
    <row r="9453" spans="1:11">
      <c r="A9453" s="12">
        <v>42822</v>
      </c>
      <c r="B9453">
        <v>2017</v>
      </c>
      <c r="C9453">
        <v>3</v>
      </c>
      <c r="D9453" s="11">
        <v>42795</v>
      </c>
      <c r="E9453" t="s">
        <v>2175</v>
      </c>
      <c r="F9453">
        <v>2</v>
      </c>
      <c r="G9453" t="s">
        <v>63</v>
      </c>
      <c r="H9453" t="s">
        <v>43</v>
      </c>
      <c r="I9453" t="s">
        <v>2191</v>
      </c>
      <c r="J9453" s="10">
        <v>22</v>
      </c>
      <c r="K9453" t="b">
        <v>1</v>
      </c>
    </row>
    <row r="9454" spans="1:11">
      <c r="A9454" s="12">
        <v>42822</v>
      </c>
      <c r="B9454">
        <v>2017</v>
      </c>
      <c r="C9454">
        <v>3</v>
      </c>
      <c r="D9454" s="11">
        <v>42795</v>
      </c>
      <c r="E9454" t="s">
        <v>2175</v>
      </c>
      <c r="F9454">
        <v>2</v>
      </c>
      <c r="G9454" t="s">
        <v>63</v>
      </c>
      <c r="H9454" t="s">
        <v>44</v>
      </c>
      <c r="I9454" t="s">
        <v>2192</v>
      </c>
      <c r="J9454" s="10">
        <v>14</v>
      </c>
      <c r="K9454" t="b">
        <v>1</v>
      </c>
    </row>
    <row r="9455" spans="1:11">
      <c r="A9455" s="12">
        <v>42822</v>
      </c>
      <c r="B9455">
        <v>2017</v>
      </c>
      <c r="C9455">
        <v>3</v>
      </c>
      <c r="D9455" s="11">
        <v>42795</v>
      </c>
      <c r="E9455" t="s">
        <v>2175</v>
      </c>
      <c r="F9455">
        <v>2</v>
      </c>
      <c r="G9455" t="s">
        <v>63</v>
      </c>
      <c r="H9455" t="s">
        <v>45</v>
      </c>
      <c r="I9455" t="s">
        <v>2193</v>
      </c>
      <c r="J9455" s="10">
        <v>0</v>
      </c>
      <c r="K9455" t="b">
        <v>1</v>
      </c>
    </row>
    <row r="9456" spans="1:11">
      <c r="A9456" s="12">
        <v>42822</v>
      </c>
      <c r="B9456">
        <v>2017</v>
      </c>
      <c r="C9456">
        <v>3</v>
      </c>
      <c r="D9456" s="11">
        <v>42795</v>
      </c>
      <c r="E9456" t="s">
        <v>2175</v>
      </c>
      <c r="F9456">
        <v>2</v>
      </c>
      <c r="G9456" t="s">
        <v>63</v>
      </c>
      <c r="H9456" t="s">
        <v>46</v>
      </c>
      <c r="I9456" t="s">
        <v>2194</v>
      </c>
      <c r="J9456" s="10">
        <v>0</v>
      </c>
      <c r="K9456" t="b">
        <v>1</v>
      </c>
    </row>
    <row r="9457" spans="1:11">
      <c r="A9457" s="12">
        <v>42822</v>
      </c>
      <c r="B9457">
        <v>2017</v>
      </c>
      <c r="C9457">
        <v>3</v>
      </c>
      <c r="D9457" s="11">
        <v>42795</v>
      </c>
      <c r="E9457" t="s">
        <v>2175</v>
      </c>
      <c r="F9457">
        <v>2</v>
      </c>
      <c r="G9457" t="s">
        <v>63</v>
      </c>
      <c r="H9457" t="s">
        <v>47</v>
      </c>
      <c r="I9457" t="s">
        <v>2195</v>
      </c>
      <c r="J9457" s="10">
        <v>6</v>
      </c>
      <c r="K9457" t="b">
        <v>1</v>
      </c>
    </row>
    <row r="9458" spans="1:11">
      <c r="A9458" s="12">
        <v>42823</v>
      </c>
      <c r="B9458">
        <v>2017</v>
      </c>
      <c r="C9458">
        <v>3</v>
      </c>
      <c r="D9458" s="11">
        <v>42795</v>
      </c>
      <c r="E9458" t="s">
        <v>2175</v>
      </c>
      <c r="F9458">
        <v>3</v>
      </c>
      <c r="G9458" t="s">
        <v>65</v>
      </c>
      <c r="H9458" t="s">
        <v>40</v>
      </c>
      <c r="I9458" t="s">
        <v>2188</v>
      </c>
      <c r="J9458" s="10">
        <v>6.34</v>
      </c>
      <c r="K9458" t="b">
        <v>1</v>
      </c>
    </row>
    <row r="9459" spans="1:11">
      <c r="A9459" s="12">
        <v>42823</v>
      </c>
      <c r="B9459">
        <v>2017</v>
      </c>
      <c r="C9459">
        <v>3</v>
      </c>
      <c r="D9459" s="11">
        <v>42795</v>
      </c>
      <c r="E9459" t="s">
        <v>2175</v>
      </c>
      <c r="F9459">
        <v>3</v>
      </c>
      <c r="G9459" t="s">
        <v>65</v>
      </c>
      <c r="H9459" t="s">
        <v>41</v>
      </c>
      <c r="I9459" t="s">
        <v>2189</v>
      </c>
      <c r="J9459" s="10">
        <v>1.34</v>
      </c>
      <c r="K9459" t="b">
        <v>1</v>
      </c>
    </row>
    <row r="9460" spans="1:11">
      <c r="A9460" s="12">
        <v>42823</v>
      </c>
      <c r="B9460">
        <v>2017</v>
      </c>
      <c r="C9460">
        <v>3</v>
      </c>
      <c r="D9460" s="11">
        <v>42795</v>
      </c>
      <c r="E9460" t="s">
        <v>2175</v>
      </c>
      <c r="F9460">
        <v>3</v>
      </c>
      <c r="G9460" t="s">
        <v>65</v>
      </c>
      <c r="H9460" t="s">
        <v>42</v>
      </c>
      <c r="I9460" t="s">
        <v>2190</v>
      </c>
      <c r="J9460" s="10">
        <v>4</v>
      </c>
      <c r="K9460" t="b">
        <v>1</v>
      </c>
    </row>
    <row r="9461" spans="1:11">
      <c r="A9461" s="12">
        <v>42823</v>
      </c>
      <c r="B9461">
        <v>2017</v>
      </c>
      <c r="C9461">
        <v>3</v>
      </c>
      <c r="D9461" s="11">
        <v>42795</v>
      </c>
      <c r="E9461" t="s">
        <v>2175</v>
      </c>
      <c r="F9461">
        <v>3</v>
      </c>
      <c r="G9461" t="s">
        <v>65</v>
      </c>
      <c r="H9461" t="s">
        <v>43</v>
      </c>
      <c r="I9461" t="s">
        <v>2191</v>
      </c>
      <c r="J9461" s="10">
        <v>12.9</v>
      </c>
      <c r="K9461" t="b">
        <v>1</v>
      </c>
    </row>
    <row r="9462" spans="1:11">
      <c r="A9462" s="12">
        <v>42823</v>
      </c>
      <c r="B9462">
        <v>2017</v>
      </c>
      <c r="C9462">
        <v>3</v>
      </c>
      <c r="D9462" s="11">
        <v>42795</v>
      </c>
      <c r="E9462" t="s">
        <v>2175</v>
      </c>
      <c r="F9462">
        <v>3</v>
      </c>
      <c r="G9462" t="s">
        <v>65</v>
      </c>
      <c r="H9462" t="s">
        <v>44</v>
      </c>
      <c r="I9462" t="s">
        <v>2192</v>
      </c>
      <c r="J9462" s="10">
        <v>3</v>
      </c>
      <c r="K9462" t="b">
        <v>1</v>
      </c>
    </row>
    <row r="9463" spans="1:11">
      <c r="A9463" s="12">
        <v>42823</v>
      </c>
      <c r="B9463">
        <v>2017</v>
      </c>
      <c r="C9463">
        <v>3</v>
      </c>
      <c r="D9463" s="11">
        <v>42795</v>
      </c>
      <c r="E9463" t="s">
        <v>2175</v>
      </c>
      <c r="F9463">
        <v>3</v>
      </c>
      <c r="G9463" t="s">
        <v>65</v>
      </c>
      <c r="H9463" t="s">
        <v>45</v>
      </c>
      <c r="I9463" t="s">
        <v>2193</v>
      </c>
      <c r="J9463" s="10">
        <v>0</v>
      </c>
      <c r="K9463" t="b">
        <v>1</v>
      </c>
    </row>
    <row r="9464" spans="1:11">
      <c r="A9464" s="12">
        <v>42823</v>
      </c>
      <c r="B9464">
        <v>2017</v>
      </c>
      <c r="C9464">
        <v>3</v>
      </c>
      <c r="D9464" s="11">
        <v>42795</v>
      </c>
      <c r="E9464" t="s">
        <v>2175</v>
      </c>
      <c r="F9464">
        <v>3</v>
      </c>
      <c r="G9464" t="s">
        <v>65</v>
      </c>
      <c r="H9464" t="s">
        <v>46</v>
      </c>
      <c r="I9464" t="s">
        <v>2194</v>
      </c>
      <c r="J9464" s="10">
        <v>7</v>
      </c>
      <c r="K9464" t="b">
        <v>1</v>
      </c>
    </row>
    <row r="9465" spans="1:11">
      <c r="A9465" s="12">
        <v>42823</v>
      </c>
      <c r="B9465">
        <v>2017</v>
      </c>
      <c r="C9465">
        <v>3</v>
      </c>
      <c r="D9465" s="11">
        <v>42795</v>
      </c>
      <c r="E9465" t="s">
        <v>2175</v>
      </c>
      <c r="F9465">
        <v>3</v>
      </c>
      <c r="G9465" t="s">
        <v>65</v>
      </c>
      <c r="H9465" t="s">
        <v>47</v>
      </c>
      <c r="I9465" t="s">
        <v>2195</v>
      </c>
      <c r="J9465" s="10">
        <v>4.5</v>
      </c>
      <c r="K9465" t="b">
        <v>1</v>
      </c>
    </row>
    <row r="9466" spans="1:11">
      <c r="A9466" s="12">
        <v>42824</v>
      </c>
      <c r="B9466">
        <v>2017</v>
      </c>
      <c r="C9466">
        <v>3</v>
      </c>
      <c r="D9466" s="11">
        <v>42795</v>
      </c>
      <c r="E9466" t="s">
        <v>2175</v>
      </c>
      <c r="F9466">
        <v>4</v>
      </c>
      <c r="G9466" t="s">
        <v>53</v>
      </c>
      <c r="H9466" t="s">
        <v>40</v>
      </c>
      <c r="I9466" t="s">
        <v>2188</v>
      </c>
      <c r="J9466" s="10">
        <v>1.33</v>
      </c>
      <c r="K9466" t="b">
        <v>1</v>
      </c>
    </row>
    <row r="9467" spans="1:11">
      <c r="A9467" s="12">
        <v>42824</v>
      </c>
      <c r="B9467">
        <v>2017</v>
      </c>
      <c r="C9467">
        <v>3</v>
      </c>
      <c r="D9467" s="11">
        <v>42795</v>
      </c>
      <c r="E9467" t="s">
        <v>2175</v>
      </c>
      <c r="F9467">
        <v>4</v>
      </c>
      <c r="G9467" t="s">
        <v>53</v>
      </c>
      <c r="H9467" t="s">
        <v>41</v>
      </c>
      <c r="I9467" t="s">
        <v>2189</v>
      </c>
      <c r="J9467" s="10">
        <v>2.693</v>
      </c>
      <c r="K9467" t="b">
        <v>1</v>
      </c>
    </row>
    <row r="9468" spans="1:11">
      <c r="A9468" s="12">
        <v>42824</v>
      </c>
      <c r="B9468">
        <v>2017</v>
      </c>
      <c r="C9468">
        <v>3</v>
      </c>
      <c r="D9468" s="11">
        <v>42795</v>
      </c>
      <c r="E9468" t="s">
        <v>2175</v>
      </c>
      <c r="F9468">
        <v>4</v>
      </c>
      <c r="G9468" t="s">
        <v>53</v>
      </c>
      <c r="H9468" t="s">
        <v>42</v>
      </c>
      <c r="I9468" t="s">
        <v>2190</v>
      </c>
      <c r="J9468" s="10">
        <v>5</v>
      </c>
      <c r="K9468" t="b">
        <v>1</v>
      </c>
    </row>
    <row r="9469" spans="1:11">
      <c r="A9469" s="12">
        <v>42824</v>
      </c>
      <c r="B9469">
        <v>2017</v>
      </c>
      <c r="C9469">
        <v>3</v>
      </c>
      <c r="D9469" s="11">
        <v>42795</v>
      </c>
      <c r="E9469" t="s">
        <v>2175</v>
      </c>
      <c r="F9469">
        <v>4</v>
      </c>
      <c r="G9469" t="s">
        <v>53</v>
      </c>
      <c r="H9469" t="s">
        <v>43</v>
      </c>
      <c r="I9469" t="s">
        <v>2191</v>
      </c>
      <c r="J9469" s="10">
        <v>9.5</v>
      </c>
      <c r="K9469" t="b">
        <v>1</v>
      </c>
    </row>
    <row r="9470" spans="1:11">
      <c r="A9470" s="12">
        <v>42824</v>
      </c>
      <c r="B9470">
        <v>2017</v>
      </c>
      <c r="C9470">
        <v>3</v>
      </c>
      <c r="D9470" s="11">
        <v>42795</v>
      </c>
      <c r="E9470" t="s">
        <v>2175</v>
      </c>
      <c r="F9470">
        <v>4</v>
      </c>
      <c r="G9470" t="s">
        <v>53</v>
      </c>
      <c r="H9470" t="s">
        <v>44</v>
      </c>
      <c r="I9470" t="s">
        <v>2192</v>
      </c>
      <c r="J9470" s="10">
        <v>9</v>
      </c>
      <c r="K9470" t="b">
        <v>1</v>
      </c>
    </row>
    <row r="9471" spans="1:11">
      <c r="A9471" s="12">
        <v>42824</v>
      </c>
      <c r="B9471">
        <v>2017</v>
      </c>
      <c r="C9471">
        <v>3</v>
      </c>
      <c r="D9471" s="11">
        <v>42795</v>
      </c>
      <c r="E9471" t="s">
        <v>2175</v>
      </c>
      <c r="F9471">
        <v>4</v>
      </c>
      <c r="G9471" t="s">
        <v>53</v>
      </c>
      <c r="H9471" t="s">
        <v>45</v>
      </c>
      <c r="I9471" t="s">
        <v>2193</v>
      </c>
      <c r="J9471" s="10">
        <v>0</v>
      </c>
      <c r="K9471" t="b">
        <v>1</v>
      </c>
    </row>
    <row r="9472" spans="1:11">
      <c r="A9472" s="12">
        <v>42824</v>
      </c>
      <c r="B9472">
        <v>2017</v>
      </c>
      <c r="C9472">
        <v>3</v>
      </c>
      <c r="D9472" s="11">
        <v>42795</v>
      </c>
      <c r="E9472" t="s">
        <v>2175</v>
      </c>
      <c r="F9472">
        <v>4</v>
      </c>
      <c r="G9472" t="s">
        <v>53</v>
      </c>
      <c r="H9472" t="s">
        <v>46</v>
      </c>
      <c r="I9472" t="s">
        <v>2194</v>
      </c>
      <c r="J9472" s="10">
        <v>0</v>
      </c>
      <c r="K9472" t="b">
        <v>1</v>
      </c>
    </row>
    <row r="9473" spans="1:11">
      <c r="A9473" s="12">
        <v>42824</v>
      </c>
      <c r="B9473">
        <v>2017</v>
      </c>
      <c r="C9473">
        <v>3</v>
      </c>
      <c r="D9473" s="11">
        <v>42795</v>
      </c>
      <c r="E9473" t="s">
        <v>2175</v>
      </c>
      <c r="F9473">
        <v>4</v>
      </c>
      <c r="G9473" t="s">
        <v>53</v>
      </c>
      <c r="H9473" t="s">
        <v>47</v>
      </c>
      <c r="I9473" t="s">
        <v>2195</v>
      </c>
      <c r="J9473" s="10">
        <v>2</v>
      </c>
      <c r="K9473" t="b">
        <v>1</v>
      </c>
    </row>
    <row r="9474" spans="1:11">
      <c r="A9474" s="12">
        <v>42825</v>
      </c>
      <c r="B9474">
        <v>2017</v>
      </c>
      <c r="C9474">
        <v>3</v>
      </c>
      <c r="D9474" s="11">
        <v>42795</v>
      </c>
      <c r="E9474" t="s">
        <v>2175</v>
      </c>
      <c r="F9474">
        <v>5</v>
      </c>
      <c r="G9474" t="s">
        <v>55</v>
      </c>
      <c r="H9474" t="s">
        <v>40</v>
      </c>
      <c r="I9474" t="s">
        <v>2188</v>
      </c>
      <c r="J9474" s="10">
        <v>4</v>
      </c>
      <c r="K9474" t="b">
        <v>1</v>
      </c>
    </row>
    <row r="9475" spans="1:11">
      <c r="A9475" s="12">
        <v>42825</v>
      </c>
      <c r="B9475">
        <v>2017</v>
      </c>
      <c r="C9475">
        <v>3</v>
      </c>
      <c r="D9475" s="11">
        <v>42795</v>
      </c>
      <c r="E9475" t="s">
        <v>2175</v>
      </c>
      <c r="F9475">
        <v>5</v>
      </c>
      <c r="G9475" t="s">
        <v>55</v>
      </c>
      <c r="H9475" t="s">
        <v>41</v>
      </c>
      <c r="I9475" t="s">
        <v>2189</v>
      </c>
      <c r="J9475" s="10">
        <v>2</v>
      </c>
      <c r="K9475" t="b">
        <v>1</v>
      </c>
    </row>
    <row r="9476" spans="1:11">
      <c r="A9476" s="12">
        <v>42825</v>
      </c>
      <c r="B9476">
        <v>2017</v>
      </c>
      <c r="C9476">
        <v>3</v>
      </c>
      <c r="D9476" s="11">
        <v>42795</v>
      </c>
      <c r="E9476" t="s">
        <v>2175</v>
      </c>
      <c r="F9476">
        <v>5</v>
      </c>
      <c r="G9476" t="s">
        <v>55</v>
      </c>
      <c r="H9476" t="s">
        <v>42</v>
      </c>
      <c r="I9476" t="s">
        <v>2190</v>
      </c>
      <c r="J9476" s="10">
        <v>3.5</v>
      </c>
      <c r="K9476" t="b">
        <v>1</v>
      </c>
    </row>
    <row r="9477" spans="1:11">
      <c r="A9477" s="12">
        <v>42825</v>
      </c>
      <c r="B9477">
        <v>2017</v>
      </c>
      <c r="C9477">
        <v>3</v>
      </c>
      <c r="D9477" s="11">
        <v>42795</v>
      </c>
      <c r="E9477" t="s">
        <v>2175</v>
      </c>
      <c r="F9477">
        <v>5</v>
      </c>
      <c r="G9477" t="s">
        <v>55</v>
      </c>
      <c r="H9477" t="s">
        <v>43</v>
      </c>
      <c r="I9477" t="s">
        <v>2191</v>
      </c>
      <c r="J9477" s="10">
        <v>22.2</v>
      </c>
      <c r="K9477" t="b">
        <v>1</v>
      </c>
    </row>
    <row r="9478" spans="1:11">
      <c r="A9478" s="12">
        <v>42825</v>
      </c>
      <c r="B9478">
        <v>2017</v>
      </c>
      <c r="C9478">
        <v>3</v>
      </c>
      <c r="D9478" s="11">
        <v>42795</v>
      </c>
      <c r="E9478" t="s">
        <v>2175</v>
      </c>
      <c r="F9478">
        <v>5</v>
      </c>
      <c r="G9478" t="s">
        <v>55</v>
      </c>
      <c r="H9478" t="s">
        <v>44</v>
      </c>
      <c r="I9478" t="s">
        <v>2192</v>
      </c>
      <c r="J9478" s="10">
        <v>2</v>
      </c>
      <c r="K9478" t="b">
        <v>1</v>
      </c>
    </row>
    <row r="9479" spans="1:11">
      <c r="A9479" s="12">
        <v>42825</v>
      </c>
      <c r="B9479">
        <v>2017</v>
      </c>
      <c r="C9479">
        <v>3</v>
      </c>
      <c r="D9479" s="11">
        <v>42795</v>
      </c>
      <c r="E9479" t="s">
        <v>2175</v>
      </c>
      <c r="F9479">
        <v>5</v>
      </c>
      <c r="G9479" t="s">
        <v>55</v>
      </c>
      <c r="H9479" t="s">
        <v>45</v>
      </c>
      <c r="I9479" t="s">
        <v>2193</v>
      </c>
      <c r="J9479" s="10">
        <v>0</v>
      </c>
      <c r="K9479" t="b">
        <v>1</v>
      </c>
    </row>
    <row r="9480" spans="1:11">
      <c r="A9480" s="12">
        <v>42825</v>
      </c>
      <c r="B9480">
        <v>2017</v>
      </c>
      <c r="C9480">
        <v>3</v>
      </c>
      <c r="D9480" s="11">
        <v>42795</v>
      </c>
      <c r="E9480" t="s">
        <v>2175</v>
      </c>
      <c r="F9480">
        <v>5</v>
      </c>
      <c r="G9480" t="s">
        <v>55</v>
      </c>
      <c r="H9480" t="s">
        <v>46</v>
      </c>
      <c r="I9480" t="s">
        <v>2194</v>
      </c>
      <c r="J9480" s="10">
        <v>2</v>
      </c>
      <c r="K9480" t="b">
        <v>1</v>
      </c>
    </row>
    <row r="9481" spans="1:11">
      <c r="A9481" s="12">
        <v>42825</v>
      </c>
      <c r="B9481">
        <v>2017</v>
      </c>
      <c r="C9481">
        <v>3</v>
      </c>
      <c r="D9481" s="11">
        <v>42795</v>
      </c>
      <c r="E9481" t="s">
        <v>2175</v>
      </c>
      <c r="F9481">
        <v>5</v>
      </c>
      <c r="G9481" t="s">
        <v>55</v>
      </c>
      <c r="H9481" t="s">
        <v>47</v>
      </c>
      <c r="I9481" t="s">
        <v>2195</v>
      </c>
      <c r="J9481" s="10">
        <v>6</v>
      </c>
      <c r="K9481" t="b">
        <v>1</v>
      </c>
    </row>
    <row r="9482" spans="1:11">
      <c r="A9482" s="12">
        <v>42826</v>
      </c>
      <c r="B9482">
        <v>2017</v>
      </c>
      <c r="C9482">
        <v>4</v>
      </c>
      <c r="D9482" s="11">
        <v>42826</v>
      </c>
      <c r="E9482" t="s">
        <v>2176</v>
      </c>
      <c r="F9482">
        <v>6</v>
      </c>
      <c r="G9482" t="s">
        <v>57</v>
      </c>
      <c r="H9482" t="s">
        <v>40</v>
      </c>
      <c r="I9482" t="s">
        <v>2188</v>
      </c>
      <c r="J9482" s="10">
        <v>2.33</v>
      </c>
      <c r="K9482" t="b">
        <v>1</v>
      </c>
    </row>
    <row r="9483" spans="1:11">
      <c r="A9483" s="12">
        <v>42826</v>
      </c>
      <c r="B9483">
        <v>2017</v>
      </c>
      <c r="C9483">
        <v>4</v>
      </c>
      <c r="D9483" s="11">
        <v>42826</v>
      </c>
      <c r="E9483" t="s">
        <v>2176</v>
      </c>
      <c r="F9483">
        <v>6</v>
      </c>
      <c r="G9483" t="s">
        <v>57</v>
      </c>
      <c r="H9483" t="s">
        <v>41</v>
      </c>
      <c r="I9483" t="s">
        <v>2189</v>
      </c>
      <c r="J9483" s="10">
        <v>2</v>
      </c>
      <c r="K9483" t="b">
        <v>1</v>
      </c>
    </row>
    <row r="9484" spans="1:11">
      <c r="A9484" s="12">
        <v>42826</v>
      </c>
      <c r="B9484">
        <v>2017</v>
      </c>
      <c r="C9484">
        <v>4</v>
      </c>
      <c r="D9484" s="11">
        <v>42826</v>
      </c>
      <c r="E9484" t="s">
        <v>2176</v>
      </c>
      <c r="F9484">
        <v>6</v>
      </c>
      <c r="G9484" t="s">
        <v>57</v>
      </c>
      <c r="H9484" t="s">
        <v>42</v>
      </c>
      <c r="I9484" t="s">
        <v>2190</v>
      </c>
      <c r="J9484" s="10">
        <v>2</v>
      </c>
      <c r="K9484" t="b">
        <v>1</v>
      </c>
    </row>
    <row r="9485" spans="1:11">
      <c r="A9485" s="12">
        <v>42826</v>
      </c>
      <c r="B9485">
        <v>2017</v>
      </c>
      <c r="C9485">
        <v>4</v>
      </c>
      <c r="D9485" s="11">
        <v>42826</v>
      </c>
      <c r="E9485" t="s">
        <v>2176</v>
      </c>
      <c r="F9485">
        <v>6</v>
      </c>
      <c r="G9485" t="s">
        <v>57</v>
      </c>
      <c r="H9485" t="s">
        <v>43</v>
      </c>
      <c r="I9485" t="s">
        <v>2191</v>
      </c>
      <c r="J9485" s="10">
        <v>34</v>
      </c>
      <c r="K9485" t="b">
        <v>1</v>
      </c>
    </row>
    <row r="9486" spans="1:11">
      <c r="A9486" s="12">
        <v>42826</v>
      </c>
      <c r="B9486">
        <v>2017</v>
      </c>
      <c r="C9486">
        <v>4</v>
      </c>
      <c r="D9486" s="11">
        <v>42826</v>
      </c>
      <c r="E9486" t="s">
        <v>2176</v>
      </c>
      <c r="F9486">
        <v>6</v>
      </c>
      <c r="G9486" t="s">
        <v>57</v>
      </c>
      <c r="H9486" t="s">
        <v>44</v>
      </c>
      <c r="I9486" t="s">
        <v>2192</v>
      </c>
      <c r="J9486" s="10">
        <v>2</v>
      </c>
      <c r="K9486" t="b">
        <v>1</v>
      </c>
    </row>
    <row r="9487" spans="1:11">
      <c r="A9487" s="12">
        <v>42826</v>
      </c>
      <c r="B9487">
        <v>2017</v>
      </c>
      <c r="C9487">
        <v>4</v>
      </c>
      <c r="D9487" s="11">
        <v>42826</v>
      </c>
      <c r="E9487" t="s">
        <v>2176</v>
      </c>
      <c r="F9487">
        <v>6</v>
      </c>
      <c r="G9487" t="s">
        <v>57</v>
      </c>
      <c r="H9487" t="s">
        <v>45</v>
      </c>
      <c r="I9487" t="s">
        <v>2193</v>
      </c>
      <c r="J9487" s="10">
        <v>0</v>
      </c>
      <c r="K9487" t="b">
        <v>1</v>
      </c>
    </row>
    <row r="9488" spans="1:11">
      <c r="A9488" s="12">
        <v>42826</v>
      </c>
      <c r="B9488">
        <v>2017</v>
      </c>
      <c r="C9488">
        <v>4</v>
      </c>
      <c r="D9488" s="11">
        <v>42826</v>
      </c>
      <c r="E9488" t="s">
        <v>2176</v>
      </c>
      <c r="F9488">
        <v>6</v>
      </c>
      <c r="G9488" t="s">
        <v>57</v>
      </c>
      <c r="H9488" t="s">
        <v>46</v>
      </c>
      <c r="I9488" t="s">
        <v>2194</v>
      </c>
      <c r="J9488" s="10">
        <v>1</v>
      </c>
      <c r="K9488" t="b">
        <v>1</v>
      </c>
    </row>
    <row r="9489" spans="1:11">
      <c r="A9489" s="12">
        <v>42826</v>
      </c>
      <c r="B9489">
        <v>2017</v>
      </c>
      <c r="C9489">
        <v>4</v>
      </c>
      <c r="D9489" s="11">
        <v>42826</v>
      </c>
      <c r="E9489" t="s">
        <v>2176</v>
      </c>
      <c r="F9489">
        <v>6</v>
      </c>
      <c r="G9489" t="s">
        <v>57</v>
      </c>
      <c r="H9489" t="s">
        <v>47</v>
      </c>
      <c r="I9489" t="s">
        <v>2195</v>
      </c>
      <c r="J9489" s="10">
        <v>3</v>
      </c>
      <c r="K9489" t="b">
        <v>1</v>
      </c>
    </row>
    <row r="9490" spans="1:11">
      <c r="A9490" s="12">
        <v>42827</v>
      </c>
      <c r="B9490">
        <v>2017</v>
      </c>
      <c r="C9490">
        <v>4</v>
      </c>
      <c r="D9490" s="11">
        <v>42826</v>
      </c>
      <c r="E9490" t="s">
        <v>2176</v>
      </c>
      <c r="F9490">
        <v>7</v>
      </c>
      <c r="G9490" t="s">
        <v>59</v>
      </c>
      <c r="H9490" t="s">
        <v>40</v>
      </c>
      <c r="I9490" t="s">
        <v>2188</v>
      </c>
      <c r="J9490" s="10">
        <v>6.67</v>
      </c>
      <c r="K9490" t="b">
        <v>1</v>
      </c>
    </row>
    <row r="9491" spans="1:11">
      <c r="A9491" s="12">
        <v>42827</v>
      </c>
      <c r="B9491">
        <v>2017</v>
      </c>
      <c r="C9491">
        <v>4</v>
      </c>
      <c r="D9491" s="11">
        <v>42826</v>
      </c>
      <c r="E9491" t="s">
        <v>2176</v>
      </c>
      <c r="F9491">
        <v>7</v>
      </c>
      <c r="G9491" t="s">
        <v>59</v>
      </c>
      <c r="H9491" t="s">
        <v>41</v>
      </c>
      <c r="I9491" t="s">
        <v>2189</v>
      </c>
      <c r="J9491" s="10">
        <v>4.223</v>
      </c>
      <c r="K9491" t="b">
        <v>1</v>
      </c>
    </row>
    <row r="9492" spans="1:11">
      <c r="A9492" s="12">
        <v>42827</v>
      </c>
      <c r="B9492">
        <v>2017</v>
      </c>
      <c r="C9492">
        <v>4</v>
      </c>
      <c r="D9492" s="11">
        <v>42826</v>
      </c>
      <c r="E9492" t="s">
        <v>2176</v>
      </c>
      <c r="F9492">
        <v>7</v>
      </c>
      <c r="G9492" t="s">
        <v>59</v>
      </c>
      <c r="H9492" t="s">
        <v>42</v>
      </c>
      <c r="I9492" t="s">
        <v>2190</v>
      </c>
      <c r="J9492" s="10">
        <v>4</v>
      </c>
      <c r="K9492" t="b">
        <v>1</v>
      </c>
    </row>
    <row r="9493" spans="1:11">
      <c r="A9493" s="12">
        <v>42827</v>
      </c>
      <c r="B9493">
        <v>2017</v>
      </c>
      <c r="C9493">
        <v>4</v>
      </c>
      <c r="D9493" s="11">
        <v>42826</v>
      </c>
      <c r="E9493" t="s">
        <v>2176</v>
      </c>
      <c r="F9493">
        <v>7</v>
      </c>
      <c r="G9493" t="s">
        <v>59</v>
      </c>
      <c r="H9493" t="s">
        <v>43</v>
      </c>
      <c r="I9493" t="s">
        <v>2191</v>
      </c>
      <c r="J9493" s="10">
        <v>23</v>
      </c>
      <c r="K9493" t="b">
        <v>1</v>
      </c>
    </row>
    <row r="9494" spans="1:11">
      <c r="A9494" s="12">
        <v>42827</v>
      </c>
      <c r="B9494">
        <v>2017</v>
      </c>
      <c r="C9494">
        <v>4</v>
      </c>
      <c r="D9494" s="11">
        <v>42826</v>
      </c>
      <c r="E9494" t="s">
        <v>2176</v>
      </c>
      <c r="F9494">
        <v>7</v>
      </c>
      <c r="G9494" t="s">
        <v>59</v>
      </c>
      <c r="H9494" t="s">
        <v>44</v>
      </c>
      <c r="I9494" t="s">
        <v>2192</v>
      </c>
      <c r="J9494" s="10">
        <v>4</v>
      </c>
      <c r="K9494" t="b">
        <v>1</v>
      </c>
    </row>
    <row r="9495" spans="1:11">
      <c r="A9495" s="12">
        <v>42827</v>
      </c>
      <c r="B9495">
        <v>2017</v>
      </c>
      <c r="C9495">
        <v>4</v>
      </c>
      <c r="D9495" s="11">
        <v>42826</v>
      </c>
      <c r="E9495" t="s">
        <v>2176</v>
      </c>
      <c r="F9495">
        <v>7</v>
      </c>
      <c r="G9495" t="s">
        <v>59</v>
      </c>
      <c r="H9495" t="s">
        <v>45</v>
      </c>
      <c r="I9495" t="s">
        <v>2193</v>
      </c>
      <c r="J9495" s="10">
        <v>0</v>
      </c>
      <c r="K9495" t="b">
        <v>1</v>
      </c>
    </row>
    <row r="9496" spans="1:11">
      <c r="A9496" s="12">
        <v>42827</v>
      </c>
      <c r="B9496">
        <v>2017</v>
      </c>
      <c r="C9496">
        <v>4</v>
      </c>
      <c r="D9496" s="11">
        <v>42826</v>
      </c>
      <c r="E9496" t="s">
        <v>2176</v>
      </c>
      <c r="F9496">
        <v>7</v>
      </c>
      <c r="G9496" t="s">
        <v>59</v>
      </c>
      <c r="H9496" t="s">
        <v>46</v>
      </c>
      <c r="I9496" t="s">
        <v>2194</v>
      </c>
      <c r="J9496" s="10">
        <v>9</v>
      </c>
      <c r="K9496" t="b">
        <v>1</v>
      </c>
    </row>
    <row r="9497" spans="1:11">
      <c r="A9497" s="12">
        <v>42827</v>
      </c>
      <c r="B9497">
        <v>2017</v>
      </c>
      <c r="C9497">
        <v>4</v>
      </c>
      <c r="D9497" s="11">
        <v>42826</v>
      </c>
      <c r="E9497" t="s">
        <v>2176</v>
      </c>
      <c r="F9497">
        <v>7</v>
      </c>
      <c r="G9497" t="s">
        <v>59</v>
      </c>
      <c r="H9497" t="s">
        <v>47</v>
      </c>
      <c r="I9497" t="s">
        <v>2195</v>
      </c>
      <c r="J9497" s="10">
        <v>12.4</v>
      </c>
      <c r="K9497" t="b">
        <v>1</v>
      </c>
    </row>
    <row r="9498" spans="1:11">
      <c r="A9498" s="12">
        <v>42828</v>
      </c>
      <c r="B9498">
        <v>2017</v>
      </c>
      <c r="C9498">
        <v>4</v>
      </c>
      <c r="D9498" s="11">
        <v>42826</v>
      </c>
      <c r="E9498" t="s">
        <v>2176</v>
      </c>
      <c r="F9498">
        <v>1</v>
      </c>
      <c r="G9498" t="s">
        <v>61</v>
      </c>
      <c r="H9498" t="s">
        <v>40</v>
      </c>
      <c r="I9498" t="s">
        <v>2188</v>
      </c>
      <c r="J9498" s="10">
        <v>6.33</v>
      </c>
      <c r="K9498" t="b">
        <v>1</v>
      </c>
    </row>
    <row r="9499" spans="1:11">
      <c r="A9499" s="12">
        <v>42828</v>
      </c>
      <c r="B9499">
        <v>2017</v>
      </c>
      <c r="C9499">
        <v>4</v>
      </c>
      <c r="D9499" s="11">
        <v>42826</v>
      </c>
      <c r="E9499" t="s">
        <v>2176</v>
      </c>
      <c r="F9499">
        <v>1</v>
      </c>
      <c r="G9499" t="s">
        <v>61</v>
      </c>
      <c r="H9499" t="s">
        <v>41</v>
      </c>
      <c r="I9499" t="s">
        <v>2189</v>
      </c>
      <c r="J9499" s="10">
        <v>1</v>
      </c>
      <c r="K9499" t="b">
        <v>1</v>
      </c>
    </row>
    <row r="9500" spans="1:11">
      <c r="A9500" s="12">
        <v>42828</v>
      </c>
      <c r="B9500">
        <v>2017</v>
      </c>
      <c r="C9500">
        <v>4</v>
      </c>
      <c r="D9500" s="11">
        <v>42826</v>
      </c>
      <c r="E9500" t="s">
        <v>2176</v>
      </c>
      <c r="F9500">
        <v>1</v>
      </c>
      <c r="G9500" t="s">
        <v>61</v>
      </c>
      <c r="H9500" t="s">
        <v>42</v>
      </c>
      <c r="I9500" t="s">
        <v>2190</v>
      </c>
      <c r="J9500" s="10">
        <v>5.6</v>
      </c>
      <c r="K9500" t="b">
        <v>1</v>
      </c>
    </row>
    <row r="9501" spans="1:11">
      <c r="A9501" s="12">
        <v>42828</v>
      </c>
      <c r="B9501">
        <v>2017</v>
      </c>
      <c r="C9501">
        <v>4</v>
      </c>
      <c r="D9501" s="11">
        <v>42826</v>
      </c>
      <c r="E9501" t="s">
        <v>2176</v>
      </c>
      <c r="F9501">
        <v>1</v>
      </c>
      <c r="G9501" t="s">
        <v>61</v>
      </c>
      <c r="H9501" t="s">
        <v>43</v>
      </c>
      <c r="I9501" t="s">
        <v>2191</v>
      </c>
      <c r="J9501" s="10">
        <v>25.6</v>
      </c>
      <c r="K9501" t="b">
        <v>1</v>
      </c>
    </row>
    <row r="9502" spans="1:11">
      <c r="A9502" s="12">
        <v>42828</v>
      </c>
      <c r="B9502">
        <v>2017</v>
      </c>
      <c r="C9502">
        <v>4</v>
      </c>
      <c r="D9502" s="11">
        <v>42826</v>
      </c>
      <c r="E9502" t="s">
        <v>2176</v>
      </c>
      <c r="F9502">
        <v>1</v>
      </c>
      <c r="G9502" t="s">
        <v>61</v>
      </c>
      <c r="H9502" t="s">
        <v>44</v>
      </c>
      <c r="I9502" t="s">
        <v>2192</v>
      </c>
      <c r="J9502" s="10">
        <v>8</v>
      </c>
      <c r="K9502" t="b">
        <v>1</v>
      </c>
    </row>
    <row r="9503" spans="1:11">
      <c r="A9503" s="12">
        <v>42828</v>
      </c>
      <c r="B9503">
        <v>2017</v>
      </c>
      <c r="C9503">
        <v>4</v>
      </c>
      <c r="D9503" s="11">
        <v>42826</v>
      </c>
      <c r="E9503" t="s">
        <v>2176</v>
      </c>
      <c r="F9503">
        <v>1</v>
      </c>
      <c r="G9503" t="s">
        <v>61</v>
      </c>
      <c r="H9503" t="s">
        <v>45</v>
      </c>
      <c r="I9503" t="s">
        <v>2193</v>
      </c>
      <c r="J9503" s="10">
        <v>0</v>
      </c>
      <c r="K9503" t="b">
        <v>1</v>
      </c>
    </row>
    <row r="9504" spans="1:11">
      <c r="A9504" s="12">
        <v>42828</v>
      </c>
      <c r="B9504">
        <v>2017</v>
      </c>
      <c r="C9504">
        <v>4</v>
      </c>
      <c r="D9504" s="11">
        <v>42826</v>
      </c>
      <c r="E9504" t="s">
        <v>2176</v>
      </c>
      <c r="F9504">
        <v>1</v>
      </c>
      <c r="G9504" t="s">
        <v>61</v>
      </c>
      <c r="H9504" t="s">
        <v>46</v>
      </c>
      <c r="I9504" t="s">
        <v>2194</v>
      </c>
      <c r="J9504" s="10">
        <v>20</v>
      </c>
      <c r="K9504" t="b">
        <v>1</v>
      </c>
    </row>
    <row r="9505" spans="1:11">
      <c r="A9505" s="12">
        <v>42828</v>
      </c>
      <c r="B9505">
        <v>2017</v>
      </c>
      <c r="C9505">
        <v>4</v>
      </c>
      <c r="D9505" s="11">
        <v>42826</v>
      </c>
      <c r="E9505" t="s">
        <v>2176</v>
      </c>
      <c r="F9505">
        <v>1</v>
      </c>
      <c r="G9505" t="s">
        <v>61</v>
      </c>
      <c r="H9505" t="s">
        <v>47</v>
      </c>
      <c r="I9505" t="s">
        <v>2195</v>
      </c>
      <c r="J9505" s="10">
        <v>3</v>
      </c>
      <c r="K9505" t="b">
        <v>1</v>
      </c>
    </row>
    <row r="9506" spans="1:11">
      <c r="A9506" s="12">
        <v>42829</v>
      </c>
      <c r="B9506">
        <v>2017</v>
      </c>
      <c r="C9506">
        <v>4</v>
      </c>
      <c r="D9506" s="11">
        <v>42826</v>
      </c>
      <c r="E9506" t="s">
        <v>2176</v>
      </c>
      <c r="F9506">
        <v>2</v>
      </c>
      <c r="G9506" t="s">
        <v>63</v>
      </c>
      <c r="H9506" t="s">
        <v>40</v>
      </c>
      <c r="I9506" t="s">
        <v>2188</v>
      </c>
      <c r="J9506" s="10">
        <v>0.33</v>
      </c>
      <c r="K9506" t="b">
        <v>1</v>
      </c>
    </row>
    <row r="9507" spans="1:11">
      <c r="A9507" s="12">
        <v>42829</v>
      </c>
      <c r="B9507">
        <v>2017</v>
      </c>
      <c r="C9507">
        <v>4</v>
      </c>
      <c r="D9507" s="11">
        <v>42826</v>
      </c>
      <c r="E9507" t="s">
        <v>2176</v>
      </c>
      <c r="F9507">
        <v>2</v>
      </c>
      <c r="G9507" t="s">
        <v>63</v>
      </c>
      <c r="H9507" t="s">
        <v>41</v>
      </c>
      <c r="I9507" t="s">
        <v>2189</v>
      </c>
      <c r="J9507" s="10">
        <v>1.033</v>
      </c>
      <c r="K9507" t="b">
        <v>1</v>
      </c>
    </row>
    <row r="9508" spans="1:11">
      <c r="A9508" s="12">
        <v>42829</v>
      </c>
      <c r="B9508">
        <v>2017</v>
      </c>
      <c r="C9508">
        <v>4</v>
      </c>
      <c r="D9508" s="11">
        <v>42826</v>
      </c>
      <c r="E9508" t="s">
        <v>2176</v>
      </c>
      <c r="F9508">
        <v>2</v>
      </c>
      <c r="G9508" t="s">
        <v>63</v>
      </c>
      <c r="H9508" t="s">
        <v>42</v>
      </c>
      <c r="I9508" t="s">
        <v>2190</v>
      </c>
      <c r="J9508" s="10">
        <v>2.2</v>
      </c>
      <c r="K9508" t="b">
        <v>1</v>
      </c>
    </row>
    <row r="9509" spans="1:11">
      <c r="A9509" s="12">
        <v>42829</v>
      </c>
      <c r="B9509">
        <v>2017</v>
      </c>
      <c r="C9509">
        <v>4</v>
      </c>
      <c r="D9509" s="11">
        <v>42826</v>
      </c>
      <c r="E9509" t="s">
        <v>2176</v>
      </c>
      <c r="F9509">
        <v>2</v>
      </c>
      <c r="G9509" t="s">
        <v>63</v>
      </c>
      <c r="H9509" t="s">
        <v>43</v>
      </c>
      <c r="I9509" t="s">
        <v>2191</v>
      </c>
      <c r="J9509" s="10">
        <v>8</v>
      </c>
      <c r="K9509" t="b">
        <v>1</v>
      </c>
    </row>
    <row r="9510" spans="1:11">
      <c r="A9510" s="12">
        <v>42829</v>
      </c>
      <c r="B9510">
        <v>2017</v>
      </c>
      <c r="C9510">
        <v>4</v>
      </c>
      <c r="D9510" s="11">
        <v>42826</v>
      </c>
      <c r="E9510" t="s">
        <v>2176</v>
      </c>
      <c r="F9510">
        <v>2</v>
      </c>
      <c r="G9510" t="s">
        <v>63</v>
      </c>
      <c r="H9510" t="s">
        <v>44</v>
      </c>
      <c r="I9510" t="s">
        <v>2192</v>
      </c>
      <c r="J9510" s="10">
        <v>2</v>
      </c>
      <c r="K9510" t="b">
        <v>1</v>
      </c>
    </row>
    <row r="9511" spans="1:11">
      <c r="A9511" s="12">
        <v>42829</v>
      </c>
      <c r="B9511">
        <v>2017</v>
      </c>
      <c r="C9511">
        <v>4</v>
      </c>
      <c r="D9511" s="11">
        <v>42826</v>
      </c>
      <c r="E9511" t="s">
        <v>2176</v>
      </c>
      <c r="F9511">
        <v>2</v>
      </c>
      <c r="G9511" t="s">
        <v>63</v>
      </c>
      <c r="H9511" t="s">
        <v>45</v>
      </c>
      <c r="I9511" t="s">
        <v>2193</v>
      </c>
      <c r="J9511" s="10">
        <v>0</v>
      </c>
      <c r="K9511" t="b">
        <v>1</v>
      </c>
    </row>
    <row r="9512" spans="1:11">
      <c r="A9512" s="12">
        <v>42829</v>
      </c>
      <c r="B9512">
        <v>2017</v>
      </c>
      <c r="C9512">
        <v>4</v>
      </c>
      <c r="D9512" s="11">
        <v>42826</v>
      </c>
      <c r="E9512" t="s">
        <v>2176</v>
      </c>
      <c r="F9512">
        <v>2</v>
      </c>
      <c r="G9512" t="s">
        <v>63</v>
      </c>
      <c r="H9512" t="s">
        <v>46</v>
      </c>
      <c r="I9512" t="s">
        <v>2194</v>
      </c>
      <c r="J9512" s="10">
        <v>5</v>
      </c>
      <c r="K9512" t="b">
        <v>1</v>
      </c>
    </row>
    <row r="9513" spans="1:11">
      <c r="A9513" s="12">
        <v>42829</v>
      </c>
      <c r="B9513">
        <v>2017</v>
      </c>
      <c r="C9513">
        <v>4</v>
      </c>
      <c r="D9513" s="11">
        <v>42826</v>
      </c>
      <c r="E9513" t="s">
        <v>2176</v>
      </c>
      <c r="F9513">
        <v>2</v>
      </c>
      <c r="G9513" t="s">
        <v>63</v>
      </c>
      <c r="H9513" t="s">
        <v>47</v>
      </c>
      <c r="I9513" t="s">
        <v>2195</v>
      </c>
      <c r="J9513" s="10">
        <v>5.5</v>
      </c>
      <c r="K9513" t="b">
        <v>1</v>
      </c>
    </row>
    <row r="9514" spans="1:11">
      <c r="A9514" s="12">
        <v>42830</v>
      </c>
      <c r="B9514">
        <v>2017</v>
      </c>
      <c r="C9514">
        <v>4</v>
      </c>
      <c r="D9514" s="11">
        <v>42826</v>
      </c>
      <c r="E9514" t="s">
        <v>2176</v>
      </c>
      <c r="F9514">
        <v>3</v>
      </c>
      <c r="G9514" t="s">
        <v>65</v>
      </c>
      <c r="H9514" t="s">
        <v>40</v>
      </c>
      <c r="I9514" t="s">
        <v>2188</v>
      </c>
      <c r="J9514" s="10">
        <v>5</v>
      </c>
      <c r="K9514" t="b">
        <v>1</v>
      </c>
    </row>
    <row r="9515" spans="1:11">
      <c r="A9515" s="12">
        <v>42830</v>
      </c>
      <c r="B9515">
        <v>2017</v>
      </c>
      <c r="C9515">
        <v>4</v>
      </c>
      <c r="D9515" s="11">
        <v>42826</v>
      </c>
      <c r="E9515" t="s">
        <v>2176</v>
      </c>
      <c r="F9515">
        <v>3</v>
      </c>
      <c r="G9515" t="s">
        <v>65</v>
      </c>
      <c r="H9515" t="s">
        <v>41</v>
      </c>
      <c r="I9515" t="s">
        <v>2189</v>
      </c>
      <c r="J9515" s="10">
        <v>0.231</v>
      </c>
      <c r="K9515" t="b">
        <v>1</v>
      </c>
    </row>
    <row r="9516" spans="1:11">
      <c r="A9516" s="12">
        <v>42830</v>
      </c>
      <c r="B9516">
        <v>2017</v>
      </c>
      <c r="C9516">
        <v>4</v>
      </c>
      <c r="D9516" s="11">
        <v>42826</v>
      </c>
      <c r="E9516" t="s">
        <v>2176</v>
      </c>
      <c r="F9516">
        <v>3</v>
      </c>
      <c r="G9516" t="s">
        <v>65</v>
      </c>
      <c r="H9516" t="s">
        <v>42</v>
      </c>
      <c r="I9516" t="s">
        <v>2190</v>
      </c>
      <c r="J9516" s="10">
        <v>0.2</v>
      </c>
      <c r="K9516" t="b">
        <v>1</v>
      </c>
    </row>
    <row r="9517" spans="1:11">
      <c r="A9517" s="12">
        <v>42830</v>
      </c>
      <c r="B9517">
        <v>2017</v>
      </c>
      <c r="C9517">
        <v>4</v>
      </c>
      <c r="D9517" s="11">
        <v>42826</v>
      </c>
      <c r="E9517" t="s">
        <v>2176</v>
      </c>
      <c r="F9517">
        <v>3</v>
      </c>
      <c r="G9517" t="s">
        <v>65</v>
      </c>
      <c r="H9517" t="s">
        <v>43</v>
      </c>
      <c r="I9517" t="s">
        <v>2191</v>
      </c>
      <c r="J9517" s="10">
        <v>13.6</v>
      </c>
      <c r="K9517" t="b">
        <v>1</v>
      </c>
    </row>
    <row r="9518" spans="1:11">
      <c r="A9518" s="12">
        <v>42830</v>
      </c>
      <c r="B9518">
        <v>2017</v>
      </c>
      <c r="C9518">
        <v>4</v>
      </c>
      <c r="D9518" s="11">
        <v>42826</v>
      </c>
      <c r="E9518" t="s">
        <v>2176</v>
      </c>
      <c r="F9518">
        <v>3</v>
      </c>
      <c r="G9518" t="s">
        <v>65</v>
      </c>
      <c r="H9518" t="s">
        <v>44</v>
      </c>
      <c r="I9518" t="s">
        <v>2192</v>
      </c>
      <c r="J9518" s="10">
        <v>9</v>
      </c>
      <c r="K9518" t="b">
        <v>1</v>
      </c>
    </row>
    <row r="9519" spans="1:11">
      <c r="A9519" s="12">
        <v>42830</v>
      </c>
      <c r="B9519">
        <v>2017</v>
      </c>
      <c r="C9519">
        <v>4</v>
      </c>
      <c r="D9519" s="11">
        <v>42826</v>
      </c>
      <c r="E9519" t="s">
        <v>2176</v>
      </c>
      <c r="F9519">
        <v>3</v>
      </c>
      <c r="G9519" t="s">
        <v>65</v>
      </c>
      <c r="H9519" t="s">
        <v>45</v>
      </c>
      <c r="I9519" t="s">
        <v>2193</v>
      </c>
      <c r="J9519" s="10">
        <v>2</v>
      </c>
      <c r="K9519" t="b">
        <v>1</v>
      </c>
    </row>
    <row r="9520" spans="1:11">
      <c r="A9520" s="12">
        <v>42830</v>
      </c>
      <c r="B9520">
        <v>2017</v>
      </c>
      <c r="C9520">
        <v>4</v>
      </c>
      <c r="D9520" s="11">
        <v>42826</v>
      </c>
      <c r="E9520" t="s">
        <v>2176</v>
      </c>
      <c r="F9520">
        <v>3</v>
      </c>
      <c r="G9520" t="s">
        <v>65</v>
      </c>
      <c r="H9520" t="s">
        <v>46</v>
      </c>
      <c r="I9520" t="s">
        <v>2194</v>
      </c>
      <c r="J9520" s="10">
        <v>6</v>
      </c>
      <c r="K9520" t="b">
        <v>1</v>
      </c>
    </row>
    <row r="9521" spans="1:11">
      <c r="A9521" s="12">
        <v>42830</v>
      </c>
      <c r="B9521">
        <v>2017</v>
      </c>
      <c r="C9521">
        <v>4</v>
      </c>
      <c r="D9521" s="11">
        <v>42826</v>
      </c>
      <c r="E9521" t="s">
        <v>2176</v>
      </c>
      <c r="F9521">
        <v>3</v>
      </c>
      <c r="G9521" t="s">
        <v>65</v>
      </c>
      <c r="H9521" t="s">
        <v>47</v>
      </c>
      <c r="I9521" t="s">
        <v>2195</v>
      </c>
      <c r="J9521" s="10">
        <v>1</v>
      </c>
      <c r="K9521" t="b">
        <v>1</v>
      </c>
    </row>
    <row r="9522" spans="1:11">
      <c r="A9522" s="12">
        <v>42831</v>
      </c>
      <c r="B9522">
        <v>2017</v>
      </c>
      <c r="C9522">
        <v>4</v>
      </c>
      <c r="D9522" s="11">
        <v>42826</v>
      </c>
      <c r="E9522" t="s">
        <v>2176</v>
      </c>
      <c r="F9522">
        <v>4</v>
      </c>
      <c r="G9522" t="s">
        <v>53</v>
      </c>
      <c r="H9522" t="s">
        <v>40</v>
      </c>
      <c r="I9522" t="s">
        <v>2188</v>
      </c>
      <c r="J9522" s="10">
        <v>5</v>
      </c>
      <c r="K9522" t="b">
        <v>1</v>
      </c>
    </row>
    <row r="9523" spans="1:11">
      <c r="A9523" s="12">
        <v>42831</v>
      </c>
      <c r="B9523">
        <v>2017</v>
      </c>
      <c r="C9523">
        <v>4</v>
      </c>
      <c r="D9523" s="11">
        <v>42826</v>
      </c>
      <c r="E9523" t="s">
        <v>2176</v>
      </c>
      <c r="F9523">
        <v>4</v>
      </c>
      <c r="G9523" t="s">
        <v>53</v>
      </c>
      <c r="H9523" t="s">
        <v>41</v>
      </c>
      <c r="I9523" t="s">
        <v>2189</v>
      </c>
      <c r="J9523" s="10">
        <v>0.66</v>
      </c>
      <c r="K9523" t="b">
        <v>1</v>
      </c>
    </row>
    <row r="9524" spans="1:11">
      <c r="A9524" s="12">
        <v>42831</v>
      </c>
      <c r="B9524">
        <v>2017</v>
      </c>
      <c r="C9524">
        <v>4</v>
      </c>
      <c r="D9524" s="11">
        <v>42826</v>
      </c>
      <c r="E9524" t="s">
        <v>2176</v>
      </c>
      <c r="F9524">
        <v>4</v>
      </c>
      <c r="G9524" t="s">
        <v>53</v>
      </c>
      <c r="H9524" t="s">
        <v>42</v>
      </c>
      <c r="I9524" t="s">
        <v>2190</v>
      </c>
      <c r="J9524" s="10">
        <v>3.1</v>
      </c>
      <c r="K9524" t="b">
        <v>1</v>
      </c>
    </row>
    <row r="9525" spans="1:11">
      <c r="A9525" s="12">
        <v>42831</v>
      </c>
      <c r="B9525">
        <v>2017</v>
      </c>
      <c r="C9525">
        <v>4</v>
      </c>
      <c r="D9525" s="11">
        <v>42826</v>
      </c>
      <c r="E9525" t="s">
        <v>2176</v>
      </c>
      <c r="F9525">
        <v>4</v>
      </c>
      <c r="G9525" t="s">
        <v>53</v>
      </c>
      <c r="H9525" t="s">
        <v>43</v>
      </c>
      <c r="I9525" t="s">
        <v>2191</v>
      </c>
      <c r="J9525" s="10">
        <v>10.9</v>
      </c>
      <c r="K9525" t="b">
        <v>1</v>
      </c>
    </row>
    <row r="9526" spans="1:11">
      <c r="A9526" s="12">
        <v>42831</v>
      </c>
      <c r="B9526">
        <v>2017</v>
      </c>
      <c r="C9526">
        <v>4</v>
      </c>
      <c r="D9526" s="11">
        <v>42826</v>
      </c>
      <c r="E9526" t="s">
        <v>2176</v>
      </c>
      <c r="F9526">
        <v>4</v>
      </c>
      <c r="G9526" t="s">
        <v>53</v>
      </c>
      <c r="H9526" t="s">
        <v>44</v>
      </c>
      <c r="I9526" t="s">
        <v>2192</v>
      </c>
      <c r="J9526" s="10">
        <v>4</v>
      </c>
      <c r="K9526" t="b">
        <v>1</v>
      </c>
    </row>
    <row r="9527" spans="1:11">
      <c r="A9527" s="12">
        <v>42831</v>
      </c>
      <c r="B9527">
        <v>2017</v>
      </c>
      <c r="C9527">
        <v>4</v>
      </c>
      <c r="D9527" s="11">
        <v>42826</v>
      </c>
      <c r="E9527" t="s">
        <v>2176</v>
      </c>
      <c r="F9527">
        <v>4</v>
      </c>
      <c r="G9527" t="s">
        <v>53</v>
      </c>
      <c r="H9527" t="s">
        <v>45</v>
      </c>
      <c r="I9527" t="s">
        <v>2193</v>
      </c>
      <c r="J9527" s="10">
        <v>1</v>
      </c>
      <c r="K9527" t="b">
        <v>1</v>
      </c>
    </row>
    <row r="9528" spans="1:11">
      <c r="A9528" s="12">
        <v>42831</v>
      </c>
      <c r="B9528">
        <v>2017</v>
      </c>
      <c r="C9528">
        <v>4</v>
      </c>
      <c r="D9528" s="11">
        <v>42826</v>
      </c>
      <c r="E9528" t="s">
        <v>2176</v>
      </c>
      <c r="F9528">
        <v>4</v>
      </c>
      <c r="G9528" t="s">
        <v>53</v>
      </c>
      <c r="H9528" t="s">
        <v>46</v>
      </c>
      <c r="I9528" t="s">
        <v>2194</v>
      </c>
      <c r="J9528" s="10">
        <v>0</v>
      </c>
      <c r="K9528" t="b">
        <v>1</v>
      </c>
    </row>
    <row r="9529" spans="1:11">
      <c r="A9529" s="12">
        <v>42831</v>
      </c>
      <c r="B9529">
        <v>2017</v>
      </c>
      <c r="C9529">
        <v>4</v>
      </c>
      <c r="D9529" s="11">
        <v>42826</v>
      </c>
      <c r="E9529" t="s">
        <v>2176</v>
      </c>
      <c r="F9529">
        <v>4</v>
      </c>
      <c r="G9529" t="s">
        <v>53</v>
      </c>
      <c r="H9529" t="s">
        <v>47</v>
      </c>
      <c r="I9529" t="s">
        <v>2195</v>
      </c>
      <c r="J9529" s="10">
        <v>1</v>
      </c>
      <c r="K9529" t="b">
        <v>1</v>
      </c>
    </row>
    <row r="9530" spans="1:11">
      <c r="A9530" s="12">
        <v>42832</v>
      </c>
      <c r="B9530">
        <v>2017</v>
      </c>
      <c r="C9530">
        <v>4</v>
      </c>
      <c r="D9530" s="11">
        <v>42826</v>
      </c>
      <c r="E9530" t="s">
        <v>2176</v>
      </c>
      <c r="F9530">
        <v>5</v>
      </c>
      <c r="G9530" t="s">
        <v>55</v>
      </c>
      <c r="H9530" t="s">
        <v>40</v>
      </c>
      <c r="I9530" t="s">
        <v>2188</v>
      </c>
      <c r="J9530" s="10">
        <v>3.5</v>
      </c>
      <c r="K9530" t="b">
        <v>1</v>
      </c>
    </row>
    <row r="9531" spans="1:11">
      <c r="A9531" s="12">
        <v>42832</v>
      </c>
      <c r="B9531">
        <v>2017</v>
      </c>
      <c r="C9531">
        <v>4</v>
      </c>
      <c r="D9531" s="11">
        <v>42826</v>
      </c>
      <c r="E9531" t="s">
        <v>2176</v>
      </c>
      <c r="F9531">
        <v>5</v>
      </c>
      <c r="G9531" t="s">
        <v>55</v>
      </c>
      <c r="H9531" t="s">
        <v>41</v>
      </c>
      <c r="I9531" t="s">
        <v>2189</v>
      </c>
      <c r="J9531" s="10">
        <v>4</v>
      </c>
      <c r="K9531" t="b">
        <v>1</v>
      </c>
    </row>
    <row r="9532" spans="1:11">
      <c r="A9532" s="12">
        <v>42832</v>
      </c>
      <c r="B9532">
        <v>2017</v>
      </c>
      <c r="C9532">
        <v>4</v>
      </c>
      <c r="D9532" s="11">
        <v>42826</v>
      </c>
      <c r="E9532" t="s">
        <v>2176</v>
      </c>
      <c r="F9532">
        <v>5</v>
      </c>
      <c r="G9532" t="s">
        <v>55</v>
      </c>
      <c r="H9532" t="s">
        <v>42</v>
      </c>
      <c r="I9532" t="s">
        <v>2190</v>
      </c>
      <c r="J9532" s="10">
        <v>2</v>
      </c>
      <c r="K9532" t="b">
        <v>1</v>
      </c>
    </row>
    <row r="9533" spans="1:11">
      <c r="A9533" s="12">
        <v>42832</v>
      </c>
      <c r="B9533">
        <v>2017</v>
      </c>
      <c r="C9533">
        <v>4</v>
      </c>
      <c r="D9533" s="11">
        <v>42826</v>
      </c>
      <c r="E9533" t="s">
        <v>2176</v>
      </c>
      <c r="F9533">
        <v>5</v>
      </c>
      <c r="G9533" t="s">
        <v>55</v>
      </c>
      <c r="H9533" t="s">
        <v>43</v>
      </c>
      <c r="I9533" t="s">
        <v>2191</v>
      </c>
      <c r="J9533" s="10">
        <v>16</v>
      </c>
      <c r="K9533" t="b">
        <v>1</v>
      </c>
    </row>
    <row r="9534" spans="1:11">
      <c r="A9534" s="12">
        <v>42832</v>
      </c>
      <c r="B9534">
        <v>2017</v>
      </c>
      <c r="C9534">
        <v>4</v>
      </c>
      <c r="D9534" s="11">
        <v>42826</v>
      </c>
      <c r="E9534" t="s">
        <v>2176</v>
      </c>
      <c r="F9534">
        <v>5</v>
      </c>
      <c r="G9534" t="s">
        <v>55</v>
      </c>
      <c r="H9534" t="s">
        <v>44</v>
      </c>
      <c r="I9534" t="s">
        <v>2192</v>
      </c>
      <c r="J9534" s="10">
        <v>5</v>
      </c>
      <c r="K9534" t="b">
        <v>1</v>
      </c>
    </row>
    <row r="9535" spans="1:11">
      <c r="A9535" s="12">
        <v>42832</v>
      </c>
      <c r="B9535">
        <v>2017</v>
      </c>
      <c r="C9535">
        <v>4</v>
      </c>
      <c r="D9535" s="11">
        <v>42826</v>
      </c>
      <c r="E9535" t="s">
        <v>2176</v>
      </c>
      <c r="F9535">
        <v>5</v>
      </c>
      <c r="G9535" t="s">
        <v>55</v>
      </c>
      <c r="H9535" t="s">
        <v>45</v>
      </c>
      <c r="I9535" t="s">
        <v>2193</v>
      </c>
      <c r="J9535" s="10">
        <v>0</v>
      </c>
      <c r="K9535" t="b">
        <v>1</v>
      </c>
    </row>
    <row r="9536" spans="1:11">
      <c r="A9536" s="12">
        <v>42832</v>
      </c>
      <c r="B9536">
        <v>2017</v>
      </c>
      <c r="C9536">
        <v>4</v>
      </c>
      <c r="D9536" s="11">
        <v>42826</v>
      </c>
      <c r="E9536" t="s">
        <v>2176</v>
      </c>
      <c r="F9536">
        <v>5</v>
      </c>
      <c r="G9536" t="s">
        <v>55</v>
      </c>
      <c r="H9536" t="s">
        <v>46</v>
      </c>
      <c r="I9536" t="s">
        <v>2194</v>
      </c>
      <c r="J9536" s="10">
        <v>5</v>
      </c>
      <c r="K9536" t="b">
        <v>1</v>
      </c>
    </row>
    <row r="9537" spans="1:11">
      <c r="A9537" s="12">
        <v>42832</v>
      </c>
      <c r="B9537">
        <v>2017</v>
      </c>
      <c r="C9537">
        <v>4</v>
      </c>
      <c r="D9537" s="11">
        <v>42826</v>
      </c>
      <c r="E9537" t="s">
        <v>2176</v>
      </c>
      <c r="F9537">
        <v>5</v>
      </c>
      <c r="G9537" t="s">
        <v>55</v>
      </c>
      <c r="H9537" t="s">
        <v>47</v>
      </c>
      <c r="I9537" t="s">
        <v>2195</v>
      </c>
      <c r="J9537" s="10">
        <v>5</v>
      </c>
      <c r="K9537" t="b">
        <v>1</v>
      </c>
    </row>
    <row r="9538" spans="1:11">
      <c r="A9538" s="12">
        <v>42833</v>
      </c>
      <c r="B9538">
        <v>2017</v>
      </c>
      <c r="C9538">
        <v>4</v>
      </c>
      <c r="D9538" s="11">
        <v>42826</v>
      </c>
      <c r="E9538" t="s">
        <v>2176</v>
      </c>
      <c r="F9538">
        <v>6</v>
      </c>
      <c r="G9538" t="s">
        <v>57</v>
      </c>
      <c r="H9538" t="s">
        <v>40</v>
      </c>
      <c r="I9538" t="s">
        <v>2188</v>
      </c>
      <c r="J9538" s="10">
        <v>7.51</v>
      </c>
      <c r="K9538" t="b">
        <v>1</v>
      </c>
    </row>
    <row r="9539" spans="1:11">
      <c r="A9539" s="12">
        <v>42833</v>
      </c>
      <c r="B9539">
        <v>2017</v>
      </c>
      <c r="C9539">
        <v>4</v>
      </c>
      <c r="D9539" s="11">
        <v>42826</v>
      </c>
      <c r="E9539" t="s">
        <v>2176</v>
      </c>
      <c r="F9539">
        <v>6</v>
      </c>
      <c r="G9539" t="s">
        <v>57</v>
      </c>
      <c r="H9539" t="s">
        <v>41</v>
      </c>
      <c r="I9539" t="s">
        <v>2189</v>
      </c>
      <c r="J9539" s="10">
        <v>8.759</v>
      </c>
      <c r="K9539" t="b">
        <v>1</v>
      </c>
    </row>
    <row r="9540" spans="1:11">
      <c r="A9540" s="12">
        <v>42833</v>
      </c>
      <c r="B9540">
        <v>2017</v>
      </c>
      <c r="C9540">
        <v>4</v>
      </c>
      <c r="D9540" s="11">
        <v>42826</v>
      </c>
      <c r="E9540" t="s">
        <v>2176</v>
      </c>
      <c r="F9540">
        <v>6</v>
      </c>
      <c r="G9540" t="s">
        <v>57</v>
      </c>
      <c r="H9540" t="s">
        <v>42</v>
      </c>
      <c r="I9540" t="s">
        <v>2190</v>
      </c>
      <c r="J9540" s="10">
        <v>2.05</v>
      </c>
      <c r="K9540" t="b">
        <v>1</v>
      </c>
    </row>
    <row r="9541" spans="1:11">
      <c r="A9541" s="12">
        <v>42833</v>
      </c>
      <c r="B9541">
        <v>2017</v>
      </c>
      <c r="C9541">
        <v>4</v>
      </c>
      <c r="D9541" s="11">
        <v>42826</v>
      </c>
      <c r="E9541" t="s">
        <v>2176</v>
      </c>
      <c r="F9541">
        <v>6</v>
      </c>
      <c r="G9541" t="s">
        <v>57</v>
      </c>
      <c r="H9541" t="s">
        <v>43</v>
      </c>
      <c r="I9541" t="s">
        <v>2191</v>
      </c>
      <c r="J9541" s="10">
        <v>23</v>
      </c>
      <c r="K9541" t="b">
        <v>1</v>
      </c>
    </row>
    <row r="9542" spans="1:11">
      <c r="A9542" s="12">
        <v>42833</v>
      </c>
      <c r="B9542">
        <v>2017</v>
      </c>
      <c r="C9542">
        <v>4</v>
      </c>
      <c r="D9542" s="11">
        <v>42826</v>
      </c>
      <c r="E9542" t="s">
        <v>2176</v>
      </c>
      <c r="F9542">
        <v>6</v>
      </c>
      <c r="G9542" t="s">
        <v>57</v>
      </c>
      <c r="H9542" t="s">
        <v>44</v>
      </c>
      <c r="I9542" t="s">
        <v>2192</v>
      </c>
      <c r="J9542" s="10">
        <v>3</v>
      </c>
      <c r="K9542" t="b">
        <v>1</v>
      </c>
    </row>
    <row r="9543" spans="1:11">
      <c r="A9543" s="12">
        <v>42833</v>
      </c>
      <c r="B9543">
        <v>2017</v>
      </c>
      <c r="C9543">
        <v>4</v>
      </c>
      <c r="D9543" s="11">
        <v>42826</v>
      </c>
      <c r="E9543" t="s">
        <v>2176</v>
      </c>
      <c r="F9543">
        <v>6</v>
      </c>
      <c r="G9543" t="s">
        <v>57</v>
      </c>
      <c r="H9543" t="s">
        <v>45</v>
      </c>
      <c r="I9543" t="s">
        <v>2193</v>
      </c>
      <c r="J9543" s="10">
        <v>0</v>
      </c>
      <c r="K9543" t="b">
        <v>1</v>
      </c>
    </row>
    <row r="9544" spans="1:11">
      <c r="A9544" s="12">
        <v>42833</v>
      </c>
      <c r="B9544">
        <v>2017</v>
      </c>
      <c r="C9544">
        <v>4</v>
      </c>
      <c r="D9544" s="11">
        <v>42826</v>
      </c>
      <c r="E9544" t="s">
        <v>2176</v>
      </c>
      <c r="F9544">
        <v>6</v>
      </c>
      <c r="G9544" t="s">
        <v>57</v>
      </c>
      <c r="H9544" t="s">
        <v>46</v>
      </c>
      <c r="I9544" t="s">
        <v>2194</v>
      </c>
      <c r="J9544" s="10">
        <v>11</v>
      </c>
      <c r="K9544" t="b">
        <v>1</v>
      </c>
    </row>
    <row r="9545" spans="1:11">
      <c r="A9545" s="12">
        <v>42833</v>
      </c>
      <c r="B9545">
        <v>2017</v>
      </c>
      <c r="C9545">
        <v>4</v>
      </c>
      <c r="D9545" s="11">
        <v>42826</v>
      </c>
      <c r="E9545" t="s">
        <v>2176</v>
      </c>
      <c r="F9545">
        <v>6</v>
      </c>
      <c r="G9545" t="s">
        <v>57</v>
      </c>
      <c r="H9545" t="s">
        <v>47</v>
      </c>
      <c r="I9545" t="s">
        <v>2195</v>
      </c>
      <c r="J9545" s="10">
        <v>6</v>
      </c>
      <c r="K9545" t="b">
        <v>1</v>
      </c>
    </row>
    <row r="9546" spans="1:11">
      <c r="A9546" s="12">
        <v>42834</v>
      </c>
      <c r="B9546">
        <v>2017</v>
      </c>
      <c r="C9546">
        <v>4</v>
      </c>
      <c r="D9546" s="11">
        <v>42826</v>
      </c>
      <c r="E9546" t="s">
        <v>2176</v>
      </c>
      <c r="F9546">
        <v>7</v>
      </c>
      <c r="G9546" t="s">
        <v>59</v>
      </c>
      <c r="H9546" t="s">
        <v>40</v>
      </c>
      <c r="I9546" t="s">
        <v>2188</v>
      </c>
      <c r="J9546" s="10">
        <v>4.99</v>
      </c>
      <c r="K9546" t="b">
        <v>1</v>
      </c>
    </row>
    <row r="9547" spans="1:11">
      <c r="A9547" s="12">
        <v>42834</v>
      </c>
      <c r="B9547">
        <v>2017</v>
      </c>
      <c r="C9547">
        <v>4</v>
      </c>
      <c r="D9547" s="11">
        <v>42826</v>
      </c>
      <c r="E9547" t="s">
        <v>2176</v>
      </c>
      <c r="F9547">
        <v>7</v>
      </c>
      <c r="G9547" t="s">
        <v>59</v>
      </c>
      <c r="H9547" t="s">
        <v>41</v>
      </c>
      <c r="I9547" t="s">
        <v>2189</v>
      </c>
      <c r="J9547" s="10">
        <v>5.34</v>
      </c>
      <c r="K9547" t="b">
        <v>1</v>
      </c>
    </row>
    <row r="9548" spans="1:11">
      <c r="A9548" s="12">
        <v>42834</v>
      </c>
      <c r="B9548">
        <v>2017</v>
      </c>
      <c r="C9548">
        <v>4</v>
      </c>
      <c r="D9548" s="11">
        <v>42826</v>
      </c>
      <c r="E9548" t="s">
        <v>2176</v>
      </c>
      <c r="F9548">
        <v>7</v>
      </c>
      <c r="G9548" t="s">
        <v>59</v>
      </c>
      <c r="H9548" t="s">
        <v>42</v>
      </c>
      <c r="I9548" t="s">
        <v>2190</v>
      </c>
      <c r="J9548" s="10">
        <v>8.25</v>
      </c>
      <c r="K9548" t="b">
        <v>1</v>
      </c>
    </row>
    <row r="9549" spans="1:11">
      <c r="A9549" s="12">
        <v>42834</v>
      </c>
      <c r="B9549">
        <v>2017</v>
      </c>
      <c r="C9549">
        <v>4</v>
      </c>
      <c r="D9549" s="11">
        <v>42826</v>
      </c>
      <c r="E9549" t="s">
        <v>2176</v>
      </c>
      <c r="F9549">
        <v>7</v>
      </c>
      <c r="G9549" t="s">
        <v>59</v>
      </c>
      <c r="H9549" t="s">
        <v>43</v>
      </c>
      <c r="I9549" t="s">
        <v>2191</v>
      </c>
      <c r="J9549" s="10">
        <v>22</v>
      </c>
      <c r="K9549" t="b">
        <v>1</v>
      </c>
    </row>
    <row r="9550" spans="1:11">
      <c r="A9550" s="12">
        <v>42834</v>
      </c>
      <c r="B9550">
        <v>2017</v>
      </c>
      <c r="C9550">
        <v>4</v>
      </c>
      <c r="D9550" s="11">
        <v>42826</v>
      </c>
      <c r="E9550" t="s">
        <v>2176</v>
      </c>
      <c r="F9550">
        <v>7</v>
      </c>
      <c r="G9550" t="s">
        <v>59</v>
      </c>
      <c r="H9550" t="s">
        <v>44</v>
      </c>
      <c r="I9550" t="s">
        <v>2192</v>
      </c>
      <c r="J9550" s="10">
        <v>3</v>
      </c>
      <c r="K9550" t="b">
        <v>1</v>
      </c>
    </row>
    <row r="9551" spans="1:11">
      <c r="A9551" s="12">
        <v>42834</v>
      </c>
      <c r="B9551">
        <v>2017</v>
      </c>
      <c r="C9551">
        <v>4</v>
      </c>
      <c r="D9551" s="11">
        <v>42826</v>
      </c>
      <c r="E9551" t="s">
        <v>2176</v>
      </c>
      <c r="F9551">
        <v>7</v>
      </c>
      <c r="G9551" t="s">
        <v>59</v>
      </c>
      <c r="H9551" t="s">
        <v>45</v>
      </c>
      <c r="I9551" t="s">
        <v>2193</v>
      </c>
      <c r="J9551" s="10">
        <v>0</v>
      </c>
      <c r="K9551" t="b">
        <v>1</v>
      </c>
    </row>
    <row r="9552" spans="1:11">
      <c r="A9552" s="12">
        <v>42834</v>
      </c>
      <c r="B9552">
        <v>2017</v>
      </c>
      <c r="C9552">
        <v>4</v>
      </c>
      <c r="D9552" s="11">
        <v>42826</v>
      </c>
      <c r="E9552" t="s">
        <v>2176</v>
      </c>
      <c r="F9552">
        <v>7</v>
      </c>
      <c r="G9552" t="s">
        <v>59</v>
      </c>
      <c r="H9552" t="s">
        <v>46</v>
      </c>
      <c r="I9552" t="s">
        <v>2194</v>
      </c>
      <c r="J9552" s="10">
        <v>0</v>
      </c>
      <c r="K9552" t="b">
        <v>1</v>
      </c>
    </row>
    <row r="9553" spans="1:11">
      <c r="A9553" s="12">
        <v>42834</v>
      </c>
      <c r="B9553">
        <v>2017</v>
      </c>
      <c r="C9553">
        <v>4</v>
      </c>
      <c r="D9553" s="11">
        <v>42826</v>
      </c>
      <c r="E9553" t="s">
        <v>2176</v>
      </c>
      <c r="F9553">
        <v>7</v>
      </c>
      <c r="G9553" t="s">
        <v>59</v>
      </c>
      <c r="H9553" t="s">
        <v>47</v>
      </c>
      <c r="I9553" t="s">
        <v>2195</v>
      </c>
      <c r="J9553" s="10">
        <v>1</v>
      </c>
      <c r="K9553" t="b">
        <v>1</v>
      </c>
    </row>
    <row r="9554" spans="1:11">
      <c r="A9554" s="12">
        <v>42835</v>
      </c>
      <c r="B9554">
        <v>2017</v>
      </c>
      <c r="C9554">
        <v>4</v>
      </c>
      <c r="D9554" s="11">
        <v>42826</v>
      </c>
      <c r="E9554" t="s">
        <v>2176</v>
      </c>
      <c r="F9554">
        <v>1</v>
      </c>
      <c r="G9554" t="s">
        <v>61</v>
      </c>
      <c r="H9554" t="s">
        <v>40</v>
      </c>
      <c r="I9554" t="s">
        <v>2188</v>
      </c>
      <c r="J9554" s="10">
        <v>8.66</v>
      </c>
      <c r="K9554" t="b">
        <v>1</v>
      </c>
    </row>
    <row r="9555" spans="1:11">
      <c r="A9555" s="12">
        <v>42835</v>
      </c>
      <c r="B9555">
        <v>2017</v>
      </c>
      <c r="C9555">
        <v>4</v>
      </c>
      <c r="D9555" s="11">
        <v>42826</v>
      </c>
      <c r="E9555" t="s">
        <v>2176</v>
      </c>
      <c r="F9555">
        <v>1</v>
      </c>
      <c r="G9555" t="s">
        <v>61</v>
      </c>
      <c r="H9555" t="s">
        <v>41</v>
      </c>
      <c r="I9555" t="s">
        <v>2189</v>
      </c>
      <c r="J9555" s="10">
        <v>1.363</v>
      </c>
      <c r="K9555" t="b">
        <v>1</v>
      </c>
    </row>
    <row r="9556" spans="1:11">
      <c r="A9556" s="12">
        <v>42835</v>
      </c>
      <c r="B9556">
        <v>2017</v>
      </c>
      <c r="C9556">
        <v>4</v>
      </c>
      <c r="D9556" s="11">
        <v>42826</v>
      </c>
      <c r="E9556" t="s">
        <v>2176</v>
      </c>
      <c r="F9556">
        <v>1</v>
      </c>
      <c r="G9556" t="s">
        <v>61</v>
      </c>
      <c r="H9556" t="s">
        <v>42</v>
      </c>
      <c r="I9556" t="s">
        <v>2190</v>
      </c>
      <c r="J9556" s="10">
        <v>1.05</v>
      </c>
      <c r="K9556" t="b">
        <v>1</v>
      </c>
    </row>
    <row r="9557" spans="1:11">
      <c r="A9557" s="12">
        <v>42835</v>
      </c>
      <c r="B9557">
        <v>2017</v>
      </c>
      <c r="C9557">
        <v>4</v>
      </c>
      <c r="D9557" s="11">
        <v>42826</v>
      </c>
      <c r="E9557" t="s">
        <v>2176</v>
      </c>
      <c r="F9557">
        <v>1</v>
      </c>
      <c r="G9557" t="s">
        <v>61</v>
      </c>
      <c r="H9557" t="s">
        <v>43</v>
      </c>
      <c r="I9557" t="s">
        <v>2191</v>
      </c>
      <c r="J9557" s="10">
        <v>27.5</v>
      </c>
      <c r="K9557" t="b">
        <v>1</v>
      </c>
    </row>
    <row r="9558" spans="1:11">
      <c r="A9558" s="12">
        <v>42835</v>
      </c>
      <c r="B9558">
        <v>2017</v>
      </c>
      <c r="C9558">
        <v>4</v>
      </c>
      <c r="D9558" s="11">
        <v>42826</v>
      </c>
      <c r="E9558" t="s">
        <v>2176</v>
      </c>
      <c r="F9558">
        <v>1</v>
      </c>
      <c r="G9558" t="s">
        <v>61</v>
      </c>
      <c r="H9558" t="s">
        <v>44</v>
      </c>
      <c r="I9558" t="s">
        <v>2192</v>
      </c>
      <c r="J9558" s="10">
        <v>1</v>
      </c>
      <c r="K9558" t="b">
        <v>1</v>
      </c>
    </row>
    <row r="9559" spans="1:11">
      <c r="A9559" s="12">
        <v>42835</v>
      </c>
      <c r="B9559">
        <v>2017</v>
      </c>
      <c r="C9559">
        <v>4</v>
      </c>
      <c r="D9559" s="11">
        <v>42826</v>
      </c>
      <c r="E9559" t="s">
        <v>2176</v>
      </c>
      <c r="F9559">
        <v>1</v>
      </c>
      <c r="G9559" t="s">
        <v>61</v>
      </c>
      <c r="H9559" t="s">
        <v>45</v>
      </c>
      <c r="I9559" t="s">
        <v>2193</v>
      </c>
      <c r="J9559" s="10">
        <v>0</v>
      </c>
      <c r="K9559" t="b">
        <v>1</v>
      </c>
    </row>
    <row r="9560" spans="1:11">
      <c r="A9560" s="12">
        <v>42835</v>
      </c>
      <c r="B9560">
        <v>2017</v>
      </c>
      <c r="C9560">
        <v>4</v>
      </c>
      <c r="D9560" s="11">
        <v>42826</v>
      </c>
      <c r="E9560" t="s">
        <v>2176</v>
      </c>
      <c r="F9560">
        <v>1</v>
      </c>
      <c r="G9560" t="s">
        <v>61</v>
      </c>
      <c r="H9560" t="s">
        <v>46</v>
      </c>
      <c r="I9560" t="s">
        <v>2194</v>
      </c>
      <c r="J9560" s="10">
        <v>4</v>
      </c>
      <c r="K9560" t="b">
        <v>1</v>
      </c>
    </row>
    <row r="9561" spans="1:11">
      <c r="A9561" s="12">
        <v>42835</v>
      </c>
      <c r="B9561">
        <v>2017</v>
      </c>
      <c r="C9561">
        <v>4</v>
      </c>
      <c r="D9561" s="11">
        <v>42826</v>
      </c>
      <c r="E9561" t="s">
        <v>2176</v>
      </c>
      <c r="F9561">
        <v>1</v>
      </c>
      <c r="G9561" t="s">
        <v>61</v>
      </c>
      <c r="H9561" t="s">
        <v>47</v>
      </c>
      <c r="I9561" t="s">
        <v>2195</v>
      </c>
      <c r="J9561" s="10">
        <v>4</v>
      </c>
      <c r="K9561" t="b">
        <v>1</v>
      </c>
    </row>
    <row r="9562" spans="1:11">
      <c r="A9562" s="12">
        <v>42836</v>
      </c>
      <c r="B9562">
        <v>2017</v>
      </c>
      <c r="C9562">
        <v>4</v>
      </c>
      <c r="D9562" s="11">
        <v>42826</v>
      </c>
      <c r="E9562" t="s">
        <v>2176</v>
      </c>
      <c r="F9562">
        <v>2</v>
      </c>
      <c r="G9562" t="s">
        <v>63</v>
      </c>
      <c r="H9562" t="s">
        <v>40</v>
      </c>
      <c r="I9562" t="s">
        <v>2188</v>
      </c>
      <c r="J9562" s="10">
        <v>4</v>
      </c>
      <c r="K9562" t="b">
        <v>1</v>
      </c>
    </row>
    <row r="9563" spans="1:11">
      <c r="A9563" s="12">
        <v>42836</v>
      </c>
      <c r="B9563">
        <v>2017</v>
      </c>
      <c r="C9563">
        <v>4</v>
      </c>
      <c r="D9563" s="11">
        <v>42826</v>
      </c>
      <c r="E9563" t="s">
        <v>2176</v>
      </c>
      <c r="F9563">
        <v>2</v>
      </c>
      <c r="G9563" t="s">
        <v>63</v>
      </c>
      <c r="H9563" t="s">
        <v>41</v>
      </c>
      <c r="I9563" t="s">
        <v>2189</v>
      </c>
      <c r="J9563" s="10">
        <v>2.33</v>
      </c>
      <c r="K9563" t="b">
        <v>1</v>
      </c>
    </row>
    <row r="9564" spans="1:11">
      <c r="A9564" s="12">
        <v>42836</v>
      </c>
      <c r="B9564">
        <v>2017</v>
      </c>
      <c r="C9564">
        <v>4</v>
      </c>
      <c r="D9564" s="11">
        <v>42826</v>
      </c>
      <c r="E9564" t="s">
        <v>2176</v>
      </c>
      <c r="F9564">
        <v>2</v>
      </c>
      <c r="G9564" t="s">
        <v>63</v>
      </c>
      <c r="H9564" t="s">
        <v>42</v>
      </c>
      <c r="I9564" t="s">
        <v>2190</v>
      </c>
      <c r="J9564" s="10">
        <v>3</v>
      </c>
      <c r="K9564" t="b">
        <v>1</v>
      </c>
    </row>
    <row r="9565" spans="1:11">
      <c r="A9565" s="12">
        <v>42836</v>
      </c>
      <c r="B9565">
        <v>2017</v>
      </c>
      <c r="C9565">
        <v>4</v>
      </c>
      <c r="D9565" s="11">
        <v>42826</v>
      </c>
      <c r="E9565" t="s">
        <v>2176</v>
      </c>
      <c r="F9565">
        <v>2</v>
      </c>
      <c r="G9565" t="s">
        <v>63</v>
      </c>
      <c r="H9565" t="s">
        <v>43</v>
      </c>
      <c r="I9565" t="s">
        <v>2191</v>
      </c>
      <c r="J9565" s="10">
        <v>17</v>
      </c>
      <c r="K9565" t="b">
        <v>1</v>
      </c>
    </row>
    <row r="9566" spans="1:11">
      <c r="A9566" s="12">
        <v>42836</v>
      </c>
      <c r="B9566">
        <v>2017</v>
      </c>
      <c r="C9566">
        <v>4</v>
      </c>
      <c r="D9566" s="11">
        <v>42826</v>
      </c>
      <c r="E9566" t="s">
        <v>2176</v>
      </c>
      <c r="F9566">
        <v>2</v>
      </c>
      <c r="G9566" t="s">
        <v>63</v>
      </c>
      <c r="H9566" t="s">
        <v>44</v>
      </c>
      <c r="I9566" t="s">
        <v>2192</v>
      </c>
      <c r="J9566" s="10">
        <v>5</v>
      </c>
      <c r="K9566" t="b">
        <v>1</v>
      </c>
    </row>
    <row r="9567" spans="1:11">
      <c r="A9567" s="12">
        <v>42836</v>
      </c>
      <c r="B9567">
        <v>2017</v>
      </c>
      <c r="C9567">
        <v>4</v>
      </c>
      <c r="D9567" s="11">
        <v>42826</v>
      </c>
      <c r="E9567" t="s">
        <v>2176</v>
      </c>
      <c r="F9567">
        <v>2</v>
      </c>
      <c r="G9567" t="s">
        <v>63</v>
      </c>
      <c r="H9567" t="s">
        <v>45</v>
      </c>
      <c r="I9567" t="s">
        <v>2193</v>
      </c>
      <c r="J9567" s="10">
        <v>0</v>
      </c>
      <c r="K9567" t="b">
        <v>1</v>
      </c>
    </row>
    <row r="9568" spans="1:11">
      <c r="A9568" s="12">
        <v>42836</v>
      </c>
      <c r="B9568">
        <v>2017</v>
      </c>
      <c r="C9568">
        <v>4</v>
      </c>
      <c r="D9568" s="11">
        <v>42826</v>
      </c>
      <c r="E9568" t="s">
        <v>2176</v>
      </c>
      <c r="F9568">
        <v>2</v>
      </c>
      <c r="G9568" t="s">
        <v>63</v>
      </c>
      <c r="H9568" t="s">
        <v>46</v>
      </c>
      <c r="I9568" t="s">
        <v>2194</v>
      </c>
      <c r="J9568" s="10">
        <v>11</v>
      </c>
      <c r="K9568" t="b">
        <v>1</v>
      </c>
    </row>
    <row r="9569" spans="1:11">
      <c r="A9569" s="12">
        <v>42836</v>
      </c>
      <c r="B9569">
        <v>2017</v>
      </c>
      <c r="C9569">
        <v>4</v>
      </c>
      <c r="D9569" s="11">
        <v>42826</v>
      </c>
      <c r="E9569" t="s">
        <v>2176</v>
      </c>
      <c r="F9569">
        <v>2</v>
      </c>
      <c r="G9569" t="s">
        <v>63</v>
      </c>
      <c r="H9569" t="s">
        <v>47</v>
      </c>
      <c r="I9569" t="s">
        <v>2195</v>
      </c>
      <c r="J9569" s="10">
        <v>1</v>
      </c>
      <c r="K9569" t="b">
        <v>1</v>
      </c>
    </row>
    <row r="9570" spans="1:11">
      <c r="A9570" s="12">
        <v>42837</v>
      </c>
      <c r="B9570">
        <v>2017</v>
      </c>
      <c r="C9570">
        <v>4</v>
      </c>
      <c r="D9570" s="11">
        <v>42826</v>
      </c>
      <c r="E9570" t="s">
        <v>2176</v>
      </c>
      <c r="F9570">
        <v>3</v>
      </c>
      <c r="G9570" t="s">
        <v>65</v>
      </c>
      <c r="H9570" t="s">
        <v>40</v>
      </c>
      <c r="I9570" t="s">
        <v>2188</v>
      </c>
      <c r="J9570" s="10">
        <v>11.99</v>
      </c>
      <c r="K9570" t="b">
        <v>1</v>
      </c>
    </row>
    <row r="9571" spans="1:11">
      <c r="A9571" s="12">
        <v>42837</v>
      </c>
      <c r="B9571">
        <v>2017</v>
      </c>
      <c r="C9571">
        <v>4</v>
      </c>
      <c r="D9571" s="11">
        <v>42826</v>
      </c>
      <c r="E9571" t="s">
        <v>2176</v>
      </c>
      <c r="F9571">
        <v>3</v>
      </c>
      <c r="G9571" t="s">
        <v>65</v>
      </c>
      <c r="H9571" t="s">
        <v>41</v>
      </c>
      <c r="I9571" t="s">
        <v>2189</v>
      </c>
      <c r="J9571" s="10">
        <v>3.32</v>
      </c>
      <c r="K9571" t="b">
        <v>1</v>
      </c>
    </row>
    <row r="9572" spans="1:11">
      <c r="A9572" s="12">
        <v>42837</v>
      </c>
      <c r="B9572">
        <v>2017</v>
      </c>
      <c r="C9572">
        <v>4</v>
      </c>
      <c r="D9572" s="11">
        <v>42826</v>
      </c>
      <c r="E9572" t="s">
        <v>2176</v>
      </c>
      <c r="F9572">
        <v>3</v>
      </c>
      <c r="G9572" t="s">
        <v>65</v>
      </c>
      <c r="H9572" t="s">
        <v>42</v>
      </c>
      <c r="I9572" t="s">
        <v>2190</v>
      </c>
      <c r="J9572" s="10">
        <v>3.35</v>
      </c>
      <c r="K9572" t="b">
        <v>1</v>
      </c>
    </row>
    <row r="9573" spans="1:11">
      <c r="A9573" s="12">
        <v>42837</v>
      </c>
      <c r="B9573">
        <v>2017</v>
      </c>
      <c r="C9573">
        <v>4</v>
      </c>
      <c r="D9573" s="11">
        <v>42826</v>
      </c>
      <c r="E9573" t="s">
        <v>2176</v>
      </c>
      <c r="F9573">
        <v>3</v>
      </c>
      <c r="G9573" t="s">
        <v>65</v>
      </c>
      <c r="H9573" t="s">
        <v>43</v>
      </c>
      <c r="I9573" t="s">
        <v>2191</v>
      </c>
      <c r="J9573" s="10">
        <v>11</v>
      </c>
      <c r="K9573" t="b">
        <v>1</v>
      </c>
    </row>
    <row r="9574" spans="1:11">
      <c r="A9574" s="12">
        <v>42837</v>
      </c>
      <c r="B9574">
        <v>2017</v>
      </c>
      <c r="C9574">
        <v>4</v>
      </c>
      <c r="D9574" s="11">
        <v>42826</v>
      </c>
      <c r="E9574" t="s">
        <v>2176</v>
      </c>
      <c r="F9574">
        <v>3</v>
      </c>
      <c r="G9574" t="s">
        <v>65</v>
      </c>
      <c r="H9574" t="s">
        <v>44</v>
      </c>
      <c r="I9574" t="s">
        <v>2192</v>
      </c>
      <c r="J9574" s="10">
        <v>10</v>
      </c>
      <c r="K9574" t="b">
        <v>1</v>
      </c>
    </row>
    <row r="9575" spans="1:11">
      <c r="A9575" s="12">
        <v>42837</v>
      </c>
      <c r="B9575">
        <v>2017</v>
      </c>
      <c r="C9575">
        <v>4</v>
      </c>
      <c r="D9575" s="11">
        <v>42826</v>
      </c>
      <c r="E9575" t="s">
        <v>2176</v>
      </c>
      <c r="F9575">
        <v>3</v>
      </c>
      <c r="G9575" t="s">
        <v>65</v>
      </c>
      <c r="H9575" t="s">
        <v>45</v>
      </c>
      <c r="I9575" t="s">
        <v>2193</v>
      </c>
      <c r="J9575" s="10">
        <v>2</v>
      </c>
      <c r="K9575" t="b">
        <v>1</v>
      </c>
    </row>
    <row r="9576" spans="1:11">
      <c r="A9576" s="12">
        <v>42837</v>
      </c>
      <c r="B9576">
        <v>2017</v>
      </c>
      <c r="C9576">
        <v>4</v>
      </c>
      <c r="D9576" s="11">
        <v>42826</v>
      </c>
      <c r="E9576" t="s">
        <v>2176</v>
      </c>
      <c r="F9576">
        <v>3</v>
      </c>
      <c r="G9576" t="s">
        <v>65</v>
      </c>
      <c r="H9576" t="s">
        <v>46</v>
      </c>
      <c r="I9576" t="s">
        <v>2194</v>
      </c>
      <c r="J9576" s="10">
        <v>10</v>
      </c>
      <c r="K9576" t="b">
        <v>1</v>
      </c>
    </row>
    <row r="9577" spans="1:11">
      <c r="A9577" s="12">
        <v>42837</v>
      </c>
      <c r="B9577">
        <v>2017</v>
      </c>
      <c r="C9577">
        <v>4</v>
      </c>
      <c r="D9577" s="11">
        <v>42826</v>
      </c>
      <c r="E9577" t="s">
        <v>2176</v>
      </c>
      <c r="F9577">
        <v>3</v>
      </c>
      <c r="G9577" t="s">
        <v>65</v>
      </c>
      <c r="H9577" t="s">
        <v>47</v>
      </c>
      <c r="I9577" t="s">
        <v>2195</v>
      </c>
      <c r="J9577" s="10">
        <v>4</v>
      </c>
      <c r="K9577" t="b">
        <v>1</v>
      </c>
    </row>
    <row r="9578" spans="1:11">
      <c r="A9578" s="12">
        <v>42838</v>
      </c>
      <c r="B9578">
        <v>2017</v>
      </c>
      <c r="C9578">
        <v>4</v>
      </c>
      <c r="D9578" s="11">
        <v>42826</v>
      </c>
      <c r="E9578" t="s">
        <v>2176</v>
      </c>
      <c r="F9578">
        <v>4</v>
      </c>
      <c r="G9578" t="s">
        <v>53</v>
      </c>
      <c r="H9578" t="s">
        <v>40</v>
      </c>
      <c r="I9578" t="s">
        <v>2188</v>
      </c>
      <c r="J9578" s="10">
        <v>5</v>
      </c>
      <c r="K9578" t="b">
        <v>1</v>
      </c>
    </row>
    <row r="9579" spans="1:11">
      <c r="A9579" s="12">
        <v>42838</v>
      </c>
      <c r="B9579">
        <v>2017</v>
      </c>
      <c r="C9579">
        <v>4</v>
      </c>
      <c r="D9579" s="11">
        <v>42826</v>
      </c>
      <c r="E9579" t="s">
        <v>2176</v>
      </c>
      <c r="F9579">
        <v>4</v>
      </c>
      <c r="G9579" t="s">
        <v>53</v>
      </c>
      <c r="H9579" t="s">
        <v>41</v>
      </c>
      <c r="I9579" t="s">
        <v>2189</v>
      </c>
      <c r="J9579" s="10">
        <v>2.439</v>
      </c>
      <c r="K9579" t="b">
        <v>1</v>
      </c>
    </row>
    <row r="9580" spans="1:11">
      <c r="A9580" s="12">
        <v>42838</v>
      </c>
      <c r="B9580">
        <v>2017</v>
      </c>
      <c r="C9580">
        <v>4</v>
      </c>
      <c r="D9580" s="11">
        <v>42826</v>
      </c>
      <c r="E9580" t="s">
        <v>2176</v>
      </c>
      <c r="F9580">
        <v>4</v>
      </c>
      <c r="G9580" t="s">
        <v>53</v>
      </c>
      <c r="H9580" t="s">
        <v>42</v>
      </c>
      <c r="I9580" t="s">
        <v>2190</v>
      </c>
      <c r="J9580" s="10">
        <v>2</v>
      </c>
      <c r="K9580" t="b">
        <v>1</v>
      </c>
    </row>
    <row r="9581" spans="1:11">
      <c r="A9581" s="12">
        <v>42838</v>
      </c>
      <c r="B9581">
        <v>2017</v>
      </c>
      <c r="C9581">
        <v>4</v>
      </c>
      <c r="D9581" s="11">
        <v>42826</v>
      </c>
      <c r="E9581" t="s">
        <v>2176</v>
      </c>
      <c r="F9581">
        <v>4</v>
      </c>
      <c r="G9581" t="s">
        <v>53</v>
      </c>
      <c r="H9581" t="s">
        <v>43</v>
      </c>
      <c r="I9581" t="s">
        <v>2191</v>
      </c>
      <c r="J9581" s="10">
        <v>30.9</v>
      </c>
      <c r="K9581" t="b">
        <v>1</v>
      </c>
    </row>
    <row r="9582" spans="1:11">
      <c r="A9582" s="12">
        <v>42838</v>
      </c>
      <c r="B9582">
        <v>2017</v>
      </c>
      <c r="C9582">
        <v>4</v>
      </c>
      <c r="D9582" s="11">
        <v>42826</v>
      </c>
      <c r="E9582" t="s">
        <v>2176</v>
      </c>
      <c r="F9582">
        <v>4</v>
      </c>
      <c r="G9582" t="s">
        <v>53</v>
      </c>
      <c r="H9582" t="s">
        <v>44</v>
      </c>
      <c r="I9582" t="s">
        <v>2192</v>
      </c>
      <c r="J9582" s="10">
        <v>1</v>
      </c>
      <c r="K9582" t="b">
        <v>1</v>
      </c>
    </row>
    <row r="9583" spans="1:11">
      <c r="A9583" s="12">
        <v>42838</v>
      </c>
      <c r="B9583">
        <v>2017</v>
      </c>
      <c r="C9583">
        <v>4</v>
      </c>
      <c r="D9583" s="11">
        <v>42826</v>
      </c>
      <c r="E9583" t="s">
        <v>2176</v>
      </c>
      <c r="F9583">
        <v>4</v>
      </c>
      <c r="G9583" t="s">
        <v>53</v>
      </c>
      <c r="H9583" t="s">
        <v>45</v>
      </c>
      <c r="I9583" t="s">
        <v>2193</v>
      </c>
      <c r="J9583" s="10">
        <v>0</v>
      </c>
      <c r="K9583" t="b">
        <v>1</v>
      </c>
    </row>
    <row r="9584" spans="1:11">
      <c r="A9584" s="12">
        <v>42838</v>
      </c>
      <c r="B9584">
        <v>2017</v>
      </c>
      <c r="C9584">
        <v>4</v>
      </c>
      <c r="D9584" s="11">
        <v>42826</v>
      </c>
      <c r="E9584" t="s">
        <v>2176</v>
      </c>
      <c r="F9584">
        <v>4</v>
      </c>
      <c r="G9584" t="s">
        <v>53</v>
      </c>
      <c r="H9584" t="s">
        <v>46</v>
      </c>
      <c r="I9584" t="s">
        <v>2194</v>
      </c>
      <c r="J9584" s="10">
        <v>2</v>
      </c>
      <c r="K9584" t="b">
        <v>1</v>
      </c>
    </row>
    <row r="9585" spans="1:11">
      <c r="A9585" s="12">
        <v>42838</v>
      </c>
      <c r="B9585">
        <v>2017</v>
      </c>
      <c r="C9585">
        <v>4</v>
      </c>
      <c r="D9585" s="11">
        <v>42826</v>
      </c>
      <c r="E9585" t="s">
        <v>2176</v>
      </c>
      <c r="F9585">
        <v>4</v>
      </c>
      <c r="G9585" t="s">
        <v>53</v>
      </c>
      <c r="H9585" t="s">
        <v>47</v>
      </c>
      <c r="I9585" t="s">
        <v>2195</v>
      </c>
      <c r="J9585" s="10">
        <v>5</v>
      </c>
      <c r="K9585" t="b">
        <v>1</v>
      </c>
    </row>
    <row r="9586" spans="1:11">
      <c r="A9586" s="12">
        <v>42839</v>
      </c>
      <c r="B9586">
        <v>2017</v>
      </c>
      <c r="C9586">
        <v>4</v>
      </c>
      <c r="D9586" s="11">
        <v>42826</v>
      </c>
      <c r="E9586" t="s">
        <v>2176</v>
      </c>
      <c r="F9586">
        <v>5</v>
      </c>
      <c r="G9586" t="s">
        <v>55</v>
      </c>
      <c r="H9586" t="s">
        <v>40</v>
      </c>
      <c r="I9586" t="s">
        <v>2188</v>
      </c>
      <c r="J9586" s="10">
        <v>7.34</v>
      </c>
      <c r="K9586" t="b">
        <v>1</v>
      </c>
    </row>
    <row r="9587" spans="1:11">
      <c r="A9587" s="12">
        <v>42839</v>
      </c>
      <c r="B9587">
        <v>2017</v>
      </c>
      <c r="C9587">
        <v>4</v>
      </c>
      <c r="D9587" s="11">
        <v>42826</v>
      </c>
      <c r="E9587" t="s">
        <v>2176</v>
      </c>
      <c r="F9587">
        <v>5</v>
      </c>
      <c r="G9587" t="s">
        <v>55</v>
      </c>
      <c r="H9587" t="s">
        <v>41</v>
      </c>
      <c r="I9587" t="s">
        <v>2189</v>
      </c>
      <c r="J9587" s="10">
        <v>4.98</v>
      </c>
      <c r="K9587" t="b">
        <v>1</v>
      </c>
    </row>
    <row r="9588" spans="1:11">
      <c r="A9588" s="12">
        <v>42839</v>
      </c>
      <c r="B9588">
        <v>2017</v>
      </c>
      <c r="C9588">
        <v>4</v>
      </c>
      <c r="D9588" s="11">
        <v>42826</v>
      </c>
      <c r="E9588" t="s">
        <v>2176</v>
      </c>
      <c r="F9588">
        <v>5</v>
      </c>
      <c r="G9588" t="s">
        <v>55</v>
      </c>
      <c r="H9588" t="s">
        <v>42</v>
      </c>
      <c r="I9588" t="s">
        <v>2190</v>
      </c>
      <c r="J9588" s="10">
        <v>5</v>
      </c>
      <c r="K9588" t="b">
        <v>1</v>
      </c>
    </row>
    <row r="9589" spans="1:11">
      <c r="A9589" s="12">
        <v>42839</v>
      </c>
      <c r="B9589">
        <v>2017</v>
      </c>
      <c r="C9589">
        <v>4</v>
      </c>
      <c r="D9589" s="11">
        <v>42826</v>
      </c>
      <c r="E9589" t="s">
        <v>2176</v>
      </c>
      <c r="F9589">
        <v>5</v>
      </c>
      <c r="G9589" t="s">
        <v>55</v>
      </c>
      <c r="H9589" t="s">
        <v>43</v>
      </c>
      <c r="I9589" t="s">
        <v>2191</v>
      </c>
      <c r="J9589" s="10">
        <v>13</v>
      </c>
      <c r="K9589" t="b">
        <v>1</v>
      </c>
    </row>
    <row r="9590" spans="1:11">
      <c r="A9590" s="12">
        <v>42839</v>
      </c>
      <c r="B9590">
        <v>2017</v>
      </c>
      <c r="C9590">
        <v>4</v>
      </c>
      <c r="D9590" s="11">
        <v>42826</v>
      </c>
      <c r="E9590" t="s">
        <v>2176</v>
      </c>
      <c r="F9590">
        <v>5</v>
      </c>
      <c r="G9590" t="s">
        <v>55</v>
      </c>
      <c r="H9590" t="s">
        <v>44</v>
      </c>
      <c r="I9590" t="s">
        <v>2192</v>
      </c>
      <c r="J9590" s="10">
        <v>3</v>
      </c>
      <c r="K9590" t="b">
        <v>1</v>
      </c>
    </row>
    <row r="9591" spans="1:11">
      <c r="A9591" s="12">
        <v>42839</v>
      </c>
      <c r="B9591">
        <v>2017</v>
      </c>
      <c r="C9591">
        <v>4</v>
      </c>
      <c r="D9591" s="11">
        <v>42826</v>
      </c>
      <c r="E9591" t="s">
        <v>2176</v>
      </c>
      <c r="F9591">
        <v>5</v>
      </c>
      <c r="G9591" t="s">
        <v>55</v>
      </c>
      <c r="H9591" t="s">
        <v>45</v>
      </c>
      <c r="I9591" t="s">
        <v>2193</v>
      </c>
      <c r="J9591" s="10">
        <v>0</v>
      </c>
      <c r="K9591" t="b">
        <v>1</v>
      </c>
    </row>
    <row r="9592" spans="1:11">
      <c r="A9592" s="12">
        <v>42839</v>
      </c>
      <c r="B9592">
        <v>2017</v>
      </c>
      <c r="C9592">
        <v>4</v>
      </c>
      <c r="D9592" s="11">
        <v>42826</v>
      </c>
      <c r="E9592" t="s">
        <v>2176</v>
      </c>
      <c r="F9592">
        <v>5</v>
      </c>
      <c r="G9592" t="s">
        <v>55</v>
      </c>
      <c r="H9592" t="s">
        <v>46</v>
      </c>
      <c r="I9592" t="s">
        <v>2194</v>
      </c>
      <c r="J9592" s="10">
        <v>16</v>
      </c>
      <c r="K9592" t="b">
        <v>1</v>
      </c>
    </row>
    <row r="9593" spans="1:11">
      <c r="A9593" s="12">
        <v>42839</v>
      </c>
      <c r="B9593">
        <v>2017</v>
      </c>
      <c r="C9593">
        <v>4</v>
      </c>
      <c r="D9593" s="11">
        <v>42826</v>
      </c>
      <c r="E9593" t="s">
        <v>2176</v>
      </c>
      <c r="F9593">
        <v>5</v>
      </c>
      <c r="G9593" t="s">
        <v>55</v>
      </c>
      <c r="H9593" t="s">
        <v>47</v>
      </c>
      <c r="I9593" t="s">
        <v>2195</v>
      </c>
      <c r="J9593" s="10">
        <v>4</v>
      </c>
      <c r="K9593" t="b">
        <v>1</v>
      </c>
    </row>
    <row r="9594" spans="1:11">
      <c r="A9594" s="12">
        <v>42840</v>
      </c>
      <c r="B9594">
        <v>2017</v>
      </c>
      <c r="C9594">
        <v>4</v>
      </c>
      <c r="D9594" s="11">
        <v>42826</v>
      </c>
      <c r="E9594" t="s">
        <v>2176</v>
      </c>
      <c r="F9594">
        <v>6</v>
      </c>
      <c r="G9594" t="s">
        <v>57</v>
      </c>
      <c r="H9594" t="s">
        <v>40</v>
      </c>
      <c r="I9594" t="s">
        <v>2188</v>
      </c>
      <c r="J9594" s="10">
        <v>11.67</v>
      </c>
      <c r="K9594" t="b">
        <v>1</v>
      </c>
    </row>
    <row r="9595" spans="1:11">
      <c r="A9595" s="12">
        <v>42840</v>
      </c>
      <c r="B9595">
        <v>2017</v>
      </c>
      <c r="C9595">
        <v>4</v>
      </c>
      <c r="D9595" s="11">
        <v>42826</v>
      </c>
      <c r="E9595" t="s">
        <v>2176</v>
      </c>
      <c r="F9595">
        <v>6</v>
      </c>
      <c r="G9595" t="s">
        <v>57</v>
      </c>
      <c r="H9595" t="s">
        <v>41</v>
      </c>
      <c r="I9595" t="s">
        <v>2189</v>
      </c>
      <c r="J9595" s="10">
        <v>1.472</v>
      </c>
      <c r="K9595" t="b">
        <v>1</v>
      </c>
    </row>
    <row r="9596" spans="1:11">
      <c r="A9596" s="12">
        <v>42840</v>
      </c>
      <c r="B9596">
        <v>2017</v>
      </c>
      <c r="C9596">
        <v>4</v>
      </c>
      <c r="D9596" s="11">
        <v>42826</v>
      </c>
      <c r="E9596" t="s">
        <v>2176</v>
      </c>
      <c r="F9596">
        <v>6</v>
      </c>
      <c r="G9596" t="s">
        <v>57</v>
      </c>
      <c r="H9596" t="s">
        <v>42</v>
      </c>
      <c r="I9596" t="s">
        <v>2190</v>
      </c>
      <c r="J9596" s="10">
        <v>4</v>
      </c>
      <c r="K9596" t="b">
        <v>1</v>
      </c>
    </row>
    <row r="9597" spans="1:11">
      <c r="A9597" s="12">
        <v>42840</v>
      </c>
      <c r="B9597">
        <v>2017</v>
      </c>
      <c r="C9597">
        <v>4</v>
      </c>
      <c r="D9597" s="11">
        <v>42826</v>
      </c>
      <c r="E9597" t="s">
        <v>2176</v>
      </c>
      <c r="F9597">
        <v>6</v>
      </c>
      <c r="G9597" t="s">
        <v>57</v>
      </c>
      <c r="H9597" t="s">
        <v>43</v>
      </c>
      <c r="I9597" t="s">
        <v>2191</v>
      </c>
      <c r="J9597" s="10">
        <v>27.25</v>
      </c>
      <c r="K9597" t="b">
        <v>1</v>
      </c>
    </row>
    <row r="9598" spans="1:11">
      <c r="A9598" s="12">
        <v>42840</v>
      </c>
      <c r="B9598">
        <v>2017</v>
      </c>
      <c r="C9598">
        <v>4</v>
      </c>
      <c r="D9598" s="11">
        <v>42826</v>
      </c>
      <c r="E9598" t="s">
        <v>2176</v>
      </c>
      <c r="F9598">
        <v>6</v>
      </c>
      <c r="G9598" t="s">
        <v>57</v>
      </c>
      <c r="H9598" t="s">
        <v>44</v>
      </c>
      <c r="I9598" t="s">
        <v>2192</v>
      </c>
      <c r="J9598" s="10">
        <v>1</v>
      </c>
      <c r="K9598" t="b">
        <v>1</v>
      </c>
    </row>
    <row r="9599" spans="1:11">
      <c r="A9599" s="12">
        <v>42840</v>
      </c>
      <c r="B9599">
        <v>2017</v>
      </c>
      <c r="C9599">
        <v>4</v>
      </c>
      <c r="D9599" s="11">
        <v>42826</v>
      </c>
      <c r="E9599" t="s">
        <v>2176</v>
      </c>
      <c r="F9599">
        <v>6</v>
      </c>
      <c r="G9599" t="s">
        <v>57</v>
      </c>
      <c r="H9599" t="s">
        <v>45</v>
      </c>
      <c r="I9599" t="s">
        <v>2193</v>
      </c>
      <c r="J9599" s="10">
        <v>0</v>
      </c>
      <c r="K9599" t="b">
        <v>1</v>
      </c>
    </row>
    <row r="9600" spans="1:11">
      <c r="A9600" s="12">
        <v>42840</v>
      </c>
      <c r="B9600">
        <v>2017</v>
      </c>
      <c r="C9600">
        <v>4</v>
      </c>
      <c r="D9600" s="11">
        <v>42826</v>
      </c>
      <c r="E9600" t="s">
        <v>2176</v>
      </c>
      <c r="F9600">
        <v>6</v>
      </c>
      <c r="G9600" t="s">
        <v>57</v>
      </c>
      <c r="H9600" t="s">
        <v>46</v>
      </c>
      <c r="I9600" t="s">
        <v>2194</v>
      </c>
      <c r="J9600" s="10">
        <v>15</v>
      </c>
      <c r="K9600" t="b">
        <v>1</v>
      </c>
    </row>
    <row r="9601" spans="1:11">
      <c r="A9601" s="12">
        <v>42840</v>
      </c>
      <c r="B9601">
        <v>2017</v>
      </c>
      <c r="C9601">
        <v>4</v>
      </c>
      <c r="D9601" s="11">
        <v>42826</v>
      </c>
      <c r="E9601" t="s">
        <v>2176</v>
      </c>
      <c r="F9601">
        <v>6</v>
      </c>
      <c r="G9601" t="s">
        <v>57</v>
      </c>
      <c r="H9601" t="s">
        <v>47</v>
      </c>
      <c r="I9601" t="s">
        <v>2195</v>
      </c>
      <c r="J9601" s="10">
        <v>5.2</v>
      </c>
      <c r="K9601" t="b">
        <v>1</v>
      </c>
    </row>
    <row r="9602" spans="1:11">
      <c r="A9602" s="12">
        <v>42841</v>
      </c>
      <c r="B9602">
        <v>2017</v>
      </c>
      <c r="C9602">
        <v>4</v>
      </c>
      <c r="D9602" s="11">
        <v>42826</v>
      </c>
      <c r="E9602" t="s">
        <v>2176</v>
      </c>
      <c r="F9602">
        <v>7</v>
      </c>
      <c r="G9602" t="s">
        <v>59</v>
      </c>
      <c r="H9602" t="s">
        <v>40</v>
      </c>
      <c r="I9602" t="s">
        <v>2188</v>
      </c>
      <c r="J9602" s="10">
        <v>0</v>
      </c>
      <c r="K9602" t="b">
        <v>1</v>
      </c>
    </row>
    <row r="9603" spans="1:11">
      <c r="A9603" s="12">
        <v>42841</v>
      </c>
      <c r="B9603">
        <v>2017</v>
      </c>
      <c r="C9603">
        <v>4</v>
      </c>
      <c r="D9603" s="11">
        <v>42826</v>
      </c>
      <c r="E9603" t="s">
        <v>2176</v>
      </c>
      <c r="F9603">
        <v>7</v>
      </c>
      <c r="G9603" t="s">
        <v>59</v>
      </c>
      <c r="H9603" t="s">
        <v>41</v>
      </c>
      <c r="I9603" t="s">
        <v>2189</v>
      </c>
      <c r="J9603" s="10">
        <v>0</v>
      </c>
      <c r="K9603" t="b">
        <v>1</v>
      </c>
    </row>
    <row r="9604" spans="1:11">
      <c r="A9604" s="12">
        <v>42841</v>
      </c>
      <c r="B9604">
        <v>2017</v>
      </c>
      <c r="C9604">
        <v>4</v>
      </c>
      <c r="D9604" s="11">
        <v>42826</v>
      </c>
      <c r="E9604" t="s">
        <v>2176</v>
      </c>
      <c r="F9604">
        <v>7</v>
      </c>
      <c r="G9604" t="s">
        <v>59</v>
      </c>
      <c r="H9604" t="s">
        <v>42</v>
      </c>
      <c r="I9604" t="s">
        <v>2190</v>
      </c>
      <c r="J9604" s="10">
        <v>0</v>
      </c>
      <c r="K9604" t="b">
        <v>1</v>
      </c>
    </row>
    <row r="9605" spans="1:11">
      <c r="A9605" s="12">
        <v>42841</v>
      </c>
      <c r="B9605">
        <v>2017</v>
      </c>
      <c r="C9605">
        <v>4</v>
      </c>
      <c r="D9605" s="11">
        <v>42826</v>
      </c>
      <c r="E9605" t="s">
        <v>2176</v>
      </c>
      <c r="F9605">
        <v>7</v>
      </c>
      <c r="G9605" t="s">
        <v>59</v>
      </c>
      <c r="H9605" t="s">
        <v>43</v>
      </c>
      <c r="I9605" t="s">
        <v>2191</v>
      </c>
      <c r="J9605" s="10">
        <v>0</v>
      </c>
      <c r="K9605" t="b">
        <v>1</v>
      </c>
    </row>
    <row r="9606" spans="1:11">
      <c r="A9606" s="12">
        <v>42841</v>
      </c>
      <c r="B9606">
        <v>2017</v>
      </c>
      <c r="C9606">
        <v>4</v>
      </c>
      <c r="D9606" s="11">
        <v>42826</v>
      </c>
      <c r="E9606" t="s">
        <v>2176</v>
      </c>
      <c r="F9606">
        <v>7</v>
      </c>
      <c r="G9606" t="s">
        <v>59</v>
      </c>
      <c r="H9606" t="s">
        <v>44</v>
      </c>
      <c r="I9606" t="s">
        <v>2192</v>
      </c>
      <c r="J9606" s="10">
        <v>0</v>
      </c>
      <c r="K9606" t="b">
        <v>1</v>
      </c>
    </row>
    <row r="9607" spans="1:11">
      <c r="A9607" s="12">
        <v>42841</v>
      </c>
      <c r="B9607">
        <v>2017</v>
      </c>
      <c r="C9607">
        <v>4</v>
      </c>
      <c r="D9607" s="11">
        <v>42826</v>
      </c>
      <c r="E9607" t="s">
        <v>2176</v>
      </c>
      <c r="F9607">
        <v>7</v>
      </c>
      <c r="G9607" t="s">
        <v>59</v>
      </c>
      <c r="H9607" t="s">
        <v>45</v>
      </c>
      <c r="I9607" t="s">
        <v>2193</v>
      </c>
      <c r="J9607" s="10">
        <v>0</v>
      </c>
      <c r="K9607" t="b">
        <v>1</v>
      </c>
    </row>
    <row r="9608" spans="1:11">
      <c r="A9608" s="12">
        <v>42841</v>
      </c>
      <c r="B9608">
        <v>2017</v>
      </c>
      <c r="C9608">
        <v>4</v>
      </c>
      <c r="D9608" s="11">
        <v>42826</v>
      </c>
      <c r="E9608" t="s">
        <v>2176</v>
      </c>
      <c r="F9608">
        <v>7</v>
      </c>
      <c r="G9608" t="s">
        <v>59</v>
      </c>
      <c r="H9608" t="s">
        <v>46</v>
      </c>
      <c r="I9608" t="s">
        <v>2194</v>
      </c>
      <c r="J9608" s="10">
        <v>0</v>
      </c>
      <c r="K9608" t="b">
        <v>1</v>
      </c>
    </row>
    <row r="9609" spans="1:11">
      <c r="A9609" s="12">
        <v>42841</v>
      </c>
      <c r="B9609">
        <v>2017</v>
      </c>
      <c r="C9609">
        <v>4</v>
      </c>
      <c r="D9609" s="11">
        <v>42826</v>
      </c>
      <c r="E9609" t="s">
        <v>2176</v>
      </c>
      <c r="F9609">
        <v>7</v>
      </c>
      <c r="G9609" t="s">
        <v>59</v>
      </c>
      <c r="H9609" t="s">
        <v>47</v>
      </c>
      <c r="I9609" t="s">
        <v>2195</v>
      </c>
      <c r="J9609" s="10">
        <v>0</v>
      </c>
      <c r="K9609" t="b">
        <v>1</v>
      </c>
    </row>
    <row r="9610" spans="1:11">
      <c r="A9610" s="12">
        <v>42842</v>
      </c>
      <c r="B9610">
        <v>2017</v>
      </c>
      <c r="C9610">
        <v>4</v>
      </c>
      <c r="D9610" s="11">
        <v>42826</v>
      </c>
      <c r="E9610" t="s">
        <v>2176</v>
      </c>
      <c r="F9610">
        <v>1</v>
      </c>
      <c r="G9610" t="s">
        <v>61</v>
      </c>
      <c r="H9610" t="s">
        <v>40</v>
      </c>
      <c r="I9610" t="s">
        <v>2188</v>
      </c>
      <c r="J9610" s="10">
        <v>4</v>
      </c>
      <c r="K9610" t="b">
        <v>1</v>
      </c>
    </row>
    <row r="9611" spans="1:11">
      <c r="A9611" s="12">
        <v>42842</v>
      </c>
      <c r="B9611">
        <v>2017</v>
      </c>
      <c r="C9611">
        <v>4</v>
      </c>
      <c r="D9611" s="11">
        <v>42826</v>
      </c>
      <c r="E9611" t="s">
        <v>2176</v>
      </c>
      <c r="F9611">
        <v>1</v>
      </c>
      <c r="G9611" t="s">
        <v>61</v>
      </c>
      <c r="H9611" t="s">
        <v>41</v>
      </c>
      <c r="I9611" t="s">
        <v>2189</v>
      </c>
      <c r="J9611" s="10">
        <v>3.99</v>
      </c>
      <c r="K9611" t="b">
        <v>1</v>
      </c>
    </row>
    <row r="9612" spans="1:11">
      <c r="A9612" s="12">
        <v>42842</v>
      </c>
      <c r="B9612">
        <v>2017</v>
      </c>
      <c r="C9612">
        <v>4</v>
      </c>
      <c r="D9612" s="11">
        <v>42826</v>
      </c>
      <c r="E9612" t="s">
        <v>2176</v>
      </c>
      <c r="F9612">
        <v>1</v>
      </c>
      <c r="G9612" t="s">
        <v>61</v>
      </c>
      <c r="H9612" t="s">
        <v>42</v>
      </c>
      <c r="I9612" t="s">
        <v>2190</v>
      </c>
      <c r="J9612" s="10">
        <v>1.9</v>
      </c>
      <c r="K9612" t="b">
        <v>1</v>
      </c>
    </row>
    <row r="9613" spans="1:11">
      <c r="A9613" s="12">
        <v>42842</v>
      </c>
      <c r="B9613">
        <v>2017</v>
      </c>
      <c r="C9613">
        <v>4</v>
      </c>
      <c r="D9613" s="11">
        <v>42826</v>
      </c>
      <c r="E9613" t="s">
        <v>2176</v>
      </c>
      <c r="F9613">
        <v>1</v>
      </c>
      <c r="G9613" t="s">
        <v>61</v>
      </c>
      <c r="H9613" t="s">
        <v>43</v>
      </c>
      <c r="I9613" t="s">
        <v>2191</v>
      </c>
      <c r="J9613" s="10">
        <v>18.4</v>
      </c>
      <c r="K9613" t="b">
        <v>1</v>
      </c>
    </row>
    <row r="9614" spans="1:11">
      <c r="A9614" s="12">
        <v>42842</v>
      </c>
      <c r="B9614">
        <v>2017</v>
      </c>
      <c r="C9614">
        <v>4</v>
      </c>
      <c r="D9614" s="11">
        <v>42826</v>
      </c>
      <c r="E9614" t="s">
        <v>2176</v>
      </c>
      <c r="F9614">
        <v>1</v>
      </c>
      <c r="G9614" t="s">
        <v>61</v>
      </c>
      <c r="H9614" t="s">
        <v>44</v>
      </c>
      <c r="I9614" t="s">
        <v>2192</v>
      </c>
      <c r="J9614" s="10">
        <v>1</v>
      </c>
      <c r="K9614" t="b">
        <v>1</v>
      </c>
    </row>
    <row r="9615" spans="1:11">
      <c r="A9615" s="12">
        <v>42842</v>
      </c>
      <c r="B9615">
        <v>2017</v>
      </c>
      <c r="C9615">
        <v>4</v>
      </c>
      <c r="D9615" s="11">
        <v>42826</v>
      </c>
      <c r="E9615" t="s">
        <v>2176</v>
      </c>
      <c r="F9615">
        <v>1</v>
      </c>
      <c r="G9615" t="s">
        <v>61</v>
      </c>
      <c r="H9615" t="s">
        <v>45</v>
      </c>
      <c r="I9615" t="s">
        <v>2193</v>
      </c>
      <c r="J9615" s="10">
        <v>0</v>
      </c>
      <c r="K9615" t="b">
        <v>1</v>
      </c>
    </row>
    <row r="9616" spans="1:11">
      <c r="A9616" s="12">
        <v>42842</v>
      </c>
      <c r="B9616">
        <v>2017</v>
      </c>
      <c r="C9616">
        <v>4</v>
      </c>
      <c r="D9616" s="11">
        <v>42826</v>
      </c>
      <c r="E9616" t="s">
        <v>2176</v>
      </c>
      <c r="F9616">
        <v>1</v>
      </c>
      <c r="G9616" t="s">
        <v>61</v>
      </c>
      <c r="H9616" t="s">
        <v>46</v>
      </c>
      <c r="I9616" t="s">
        <v>2194</v>
      </c>
      <c r="J9616" s="10">
        <v>5</v>
      </c>
      <c r="K9616" t="b">
        <v>1</v>
      </c>
    </row>
    <row r="9617" spans="1:11">
      <c r="A9617" s="12">
        <v>42842</v>
      </c>
      <c r="B9617">
        <v>2017</v>
      </c>
      <c r="C9617">
        <v>4</v>
      </c>
      <c r="D9617" s="11">
        <v>42826</v>
      </c>
      <c r="E9617" t="s">
        <v>2176</v>
      </c>
      <c r="F9617">
        <v>1</v>
      </c>
      <c r="G9617" t="s">
        <v>61</v>
      </c>
      <c r="H9617" t="s">
        <v>47</v>
      </c>
      <c r="I9617" t="s">
        <v>2195</v>
      </c>
      <c r="J9617" s="10">
        <v>1</v>
      </c>
      <c r="K9617" t="b">
        <v>1</v>
      </c>
    </row>
    <row r="9618" spans="1:11">
      <c r="A9618" s="12">
        <v>42843</v>
      </c>
      <c r="B9618">
        <v>2017</v>
      </c>
      <c r="C9618">
        <v>4</v>
      </c>
      <c r="D9618" s="11">
        <v>42826</v>
      </c>
      <c r="E9618" t="s">
        <v>2176</v>
      </c>
      <c r="F9618">
        <v>2</v>
      </c>
      <c r="G9618" t="s">
        <v>63</v>
      </c>
      <c r="H9618" t="s">
        <v>40</v>
      </c>
      <c r="I9618" t="s">
        <v>2188</v>
      </c>
      <c r="J9618" s="10">
        <v>7.33</v>
      </c>
      <c r="K9618" t="b">
        <v>1</v>
      </c>
    </row>
    <row r="9619" spans="1:11">
      <c r="A9619" s="12">
        <v>42843</v>
      </c>
      <c r="B9619">
        <v>2017</v>
      </c>
      <c r="C9619">
        <v>4</v>
      </c>
      <c r="D9619" s="11">
        <v>42826</v>
      </c>
      <c r="E9619" t="s">
        <v>2176</v>
      </c>
      <c r="F9619">
        <v>2</v>
      </c>
      <c r="G9619" t="s">
        <v>63</v>
      </c>
      <c r="H9619" t="s">
        <v>41</v>
      </c>
      <c r="I9619" t="s">
        <v>2189</v>
      </c>
      <c r="J9619" s="10">
        <v>4.67</v>
      </c>
      <c r="K9619" t="b">
        <v>1</v>
      </c>
    </row>
    <row r="9620" spans="1:11">
      <c r="A9620" s="12">
        <v>42843</v>
      </c>
      <c r="B9620">
        <v>2017</v>
      </c>
      <c r="C9620">
        <v>4</v>
      </c>
      <c r="D9620" s="11">
        <v>42826</v>
      </c>
      <c r="E9620" t="s">
        <v>2176</v>
      </c>
      <c r="F9620">
        <v>2</v>
      </c>
      <c r="G9620" t="s">
        <v>63</v>
      </c>
      <c r="H9620" t="s">
        <v>42</v>
      </c>
      <c r="I9620" t="s">
        <v>2190</v>
      </c>
      <c r="J9620" s="10">
        <v>6.3</v>
      </c>
      <c r="K9620" t="b">
        <v>1</v>
      </c>
    </row>
    <row r="9621" spans="1:11">
      <c r="A9621" s="12">
        <v>42843</v>
      </c>
      <c r="B9621">
        <v>2017</v>
      </c>
      <c r="C9621">
        <v>4</v>
      </c>
      <c r="D9621" s="11">
        <v>42826</v>
      </c>
      <c r="E9621" t="s">
        <v>2176</v>
      </c>
      <c r="F9621">
        <v>2</v>
      </c>
      <c r="G9621" t="s">
        <v>63</v>
      </c>
      <c r="H9621" t="s">
        <v>43</v>
      </c>
      <c r="I9621" t="s">
        <v>2191</v>
      </c>
      <c r="J9621" s="10">
        <v>15.4</v>
      </c>
      <c r="K9621" t="b">
        <v>1</v>
      </c>
    </row>
    <row r="9622" spans="1:11">
      <c r="A9622" s="12">
        <v>42843</v>
      </c>
      <c r="B9622">
        <v>2017</v>
      </c>
      <c r="C9622">
        <v>4</v>
      </c>
      <c r="D9622" s="11">
        <v>42826</v>
      </c>
      <c r="E9622" t="s">
        <v>2176</v>
      </c>
      <c r="F9622">
        <v>2</v>
      </c>
      <c r="G9622" t="s">
        <v>63</v>
      </c>
      <c r="H9622" t="s">
        <v>44</v>
      </c>
      <c r="I9622" t="s">
        <v>2192</v>
      </c>
      <c r="J9622" s="10">
        <v>8</v>
      </c>
      <c r="K9622" t="b">
        <v>1</v>
      </c>
    </row>
    <row r="9623" spans="1:11">
      <c r="A9623" s="12">
        <v>42843</v>
      </c>
      <c r="B9623">
        <v>2017</v>
      </c>
      <c r="C9623">
        <v>4</v>
      </c>
      <c r="D9623" s="11">
        <v>42826</v>
      </c>
      <c r="E9623" t="s">
        <v>2176</v>
      </c>
      <c r="F9623">
        <v>2</v>
      </c>
      <c r="G9623" t="s">
        <v>63</v>
      </c>
      <c r="H9623" t="s">
        <v>45</v>
      </c>
      <c r="I9623" t="s">
        <v>2193</v>
      </c>
      <c r="J9623" s="10">
        <v>1</v>
      </c>
      <c r="K9623" t="b">
        <v>1</v>
      </c>
    </row>
    <row r="9624" spans="1:11">
      <c r="A9624" s="12">
        <v>42843</v>
      </c>
      <c r="B9624">
        <v>2017</v>
      </c>
      <c r="C9624">
        <v>4</v>
      </c>
      <c r="D9624" s="11">
        <v>42826</v>
      </c>
      <c r="E9624" t="s">
        <v>2176</v>
      </c>
      <c r="F9624">
        <v>2</v>
      </c>
      <c r="G9624" t="s">
        <v>63</v>
      </c>
      <c r="H9624" t="s">
        <v>46</v>
      </c>
      <c r="I9624" t="s">
        <v>2194</v>
      </c>
      <c r="J9624" s="10">
        <v>2</v>
      </c>
      <c r="K9624" t="b">
        <v>1</v>
      </c>
    </row>
    <row r="9625" spans="1:11">
      <c r="A9625" s="12">
        <v>42843</v>
      </c>
      <c r="B9625">
        <v>2017</v>
      </c>
      <c r="C9625">
        <v>4</v>
      </c>
      <c r="D9625" s="11">
        <v>42826</v>
      </c>
      <c r="E9625" t="s">
        <v>2176</v>
      </c>
      <c r="F9625">
        <v>2</v>
      </c>
      <c r="G9625" t="s">
        <v>63</v>
      </c>
      <c r="H9625" t="s">
        <v>47</v>
      </c>
      <c r="I9625" t="s">
        <v>2195</v>
      </c>
      <c r="J9625" s="10">
        <v>2</v>
      </c>
      <c r="K9625" t="b">
        <v>1</v>
      </c>
    </row>
    <row r="9626" spans="1:11">
      <c r="A9626" s="12">
        <v>42844</v>
      </c>
      <c r="B9626">
        <v>2017</v>
      </c>
      <c r="C9626">
        <v>4</v>
      </c>
      <c r="D9626" s="11">
        <v>42826</v>
      </c>
      <c r="E9626" t="s">
        <v>2176</v>
      </c>
      <c r="F9626">
        <v>3</v>
      </c>
      <c r="G9626" t="s">
        <v>65</v>
      </c>
      <c r="H9626" t="s">
        <v>40</v>
      </c>
      <c r="I9626" t="s">
        <v>2188</v>
      </c>
      <c r="J9626" s="10">
        <v>1</v>
      </c>
      <c r="K9626" t="b">
        <v>1</v>
      </c>
    </row>
    <row r="9627" spans="1:11">
      <c r="A9627" s="12">
        <v>42844</v>
      </c>
      <c r="B9627">
        <v>2017</v>
      </c>
      <c r="C9627">
        <v>4</v>
      </c>
      <c r="D9627" s="11">
        <v>42826</v>
      </c>
      <c r="E9627" t="s">
        <v>2176</v>
      </c>
      <c r="F9627">
        <v>3</v>
      </c>
      <c r="G9627" t="s">
        <v>65</v>
      </c>
      <c r="H9627" t="s">
        <v>41</v>
      </c>
      <c r="I9627" t="s">
        <v>2189</v>
      </c>
      <c r="J9627" s="10">
        <v>3.406</v>
      </c>
      <c r="K9627" t="b">
        <v>1</v>
      </c>
    </row>
    <row r="9628" spans="1:11">
      <c r="A9628" s="12">
        <v>42844</v>
      </c>
      <c r="B9628">
        <v>2017</v>
      </c>
      <c r="C9628">
        <v>4</v>
      </c>
      <c r="D9628" s="11">
        <v>42826</v>
      </c>
      <c r="E9628" t="s">
        <v>2176</v>
      </c>
      <c r="F9628">
        <v>3</v>
      </c>
      <c r="G9628" t="s">
        <v>65</v>
      </c>
      <c r="H9628" t="s">
        <v>42</v>
      </c>
      <c r="I9628" t="s">
        <v>2190</v>
      </c>
      <c r="J9628" s="10">
        <v>5</v>
      </c>
      <c r="K9628" t="b">
        <v>1</v>
      </c>
    </row>
    <row r="9629" spans="1:11">
      <c r="A9629" s="12">
        <v>42844</v>
      </c>
      <c r="B9629">
        <v>2017</v>
      </c>
      <c r="C9629">
        <v>4</v>
      </c>
      <c r="D9629" s="11">
        <v>42826</v>
      </c>
      <c r="E9629" t="s">
        <v>2176</v>
      </c>
      <c r="F9629">
        <v>3</v>
      </c>
      <c r="G9629" t="s">
        <v>65</v>
      </c>
      <c r="H9629" t="s">
        <v>43</v>
      </c>
      <c r="I9629" t="s">
        <v>2191</v>
      </c>
      <c r="J9629" s="10">
        <v>14</v>
      </c>
      <c r="K9629" t="b">
        <v>1</v>
      </c>
    </row>
    <row r="9630" spans="1:11">
      <c r="A9630" s="12">
        <v>42844</v>
      </c>
      <c r="B9630">
        <v>2017</v>
      </c>
      <c r="C9630">
        <v>4</v>
      </c>
      <c r="D9630" s="11">
        <v>42826</v>
      </c>
      <c r="E9630" t="s">
        <v>2176</v>
      </c>
      <c r="F9630">
        <v>3</v>
      </c>
      <c r="G9630" t="s">
        <v>65</v>
      </c>
      <c r="H9630" t="s">
        <v>44</v>
      </c>
      <c r="I9630" t="s">
        <v>2192</v>
      </c>
      <c r="J9630" s="10">
        <v>2</v>
      </c>
      <c r="K9630" t="b">
        <v>1</v>
      </c>
    </row>
    <row r="9631" spans="1:11">
      <c r="A9631" s="12">
        <v>42844</v>
      </c>
      <c r="B9631">
        <v>2017</v>
      </c>
      <c r="C9631">
        <v>4</v>
      </c>
      <c r="D9631" s="11">
        <v>42826</v>
      </c>
      <c r="E9631" t="s">
        <v>2176</v>
      </c>
      <c r="F9631">
        <v>3</v>
      </c>
      <c r="G9631" t="s">
        <v>65</v>
      </c>
      <c r="H9631" t="s">
        <v>45</v>
      </c>
      <c r="I9631" t="s">
        <v>2193</v>
      </c>
      <c r="J9631" s="10">
        <v>0</v>
      </c>
      <c r="K9631" t="b">
        <v>1</v>
      </c>
    </row>
    <row r="9632" spans="1:11">
      <c r="A9632" s="12">
        <v>42844</v>
      </c>
      <c r="B9632">
        <v>2017</v>
      </c>
      <c r="C9632">
        <v>4</v>
      </c>
      <c r="D9632" s="11">
        <v>42826</v>
      </c>
      <c r="E9632" t="s">
        <v>2176</v>
      </c>
      <c r="F9632">
        <v>3</v>
      </c>
      <c r="G9632" t="s">
        <v>65</v>
      </c>
      <c r="H9632" t="s">
        <v>46</v>
      </c>
      <c r="I9632" t="s">
        <v>2194</v>
      </c>
      <c r="J9632" s="10">
        <v>0</v>
      </c>
      <c r="K9632" t="b">
        <v>1</v>
      </c>
    </row>
    <row r="9633" spans="1:11">
      <c r="A9633" s="12">
        <v>42844</v>
      </c>
      <c r="B9633">
        <v>2017</v>
      </c>
      <c r="C9633">
        <v>4</v>
      </c>
      <c r="D9633" s="11">
        <v>42826</v>
      </c>
      <c r="E9633" t="s">
        <v>2176</v>
      </c>
      <c r="F9633">
        <v>3</v>
      </c>
      <c r="G9633" t="s">
        <v>65</v>
      </c>
      <c r="H9633" t="s">
        <v>47</v>
      </c>
      <c r="I9633" t="s">
        <v>2195</v>
      </c>
      <c r="J9633" s="10">
        <v>1</v>
      </c>
      <c r="K9633" t="b">
        <v>1</v>
      </c>
    </row>
    <row r="9634" spans="1:11">
      <c r="A9634" s="12">
        <v>42845</v>
      </c>
      <c r="B9634">
        <v>2017</v>
      </c>
      <c r="C9634">
        <v>4</v>
      </c>
      <c r="D9634" s="11">
        <v>42826</v>
      </c>
      <c r="E9634" t="s">
        <v>2176</v>
      </c>
      <c r="F9634">
        <v>4</v>
      </c>
      <c r="G9634" t="s">
        <v>53</v>
      </c>
      <c r="H9634" t="s">
        <v>40</v>
      </c>
      <c r="I9634" t="s">
        <v>2188</v>
      </c>
      <c r="J9634" s="10">
        <v>4.66</v>
      </c>
      <c r="K9634" t="b">
        <v>1</v>
      </c>
    </row>
    <row r="9635" spans="1:11">
      <c r="A9635" s="12">
        <v>42845</v>
      </c>
      <c r="B9635">
        <v>2017</v>
      </c>
      <c r="C9635">
        <v>4</v>
      </c>
      <c r="D9635" s="11">
        <v>42826</v>
      </c>
      <c r="E9635" t="s">
        <v>2176</v>
      </c>
      <c r="F9635">
        <v>4</v>
      </c>
      <c r="G9635" t="s">
        <v>53</v>
      </c>
      <c r="H9635" t="s">
        <v>41</v>
      </c>
      <c r="I9635" t="s">
        <v>2189</v>
      </c>
      <c r="J9635" s="10">
        <v>2.33</v>
      </c>
      <c r="K9635" t="b">
        <v>1</v>
      </c>
    </row>
    <row r="9636" spans="1:11">
      <c r="A9636" s="12">
        <v>42845</v>
      </c>
      <c r="B9636">
        <v>2017</v>
      </c>
      <c r="C9636">
        <v>4</v>
      </c>
      <c r="D9636" s="11">
        <v>42826</v>
      </c>
      <c r="E9636" t="s">
        <v>2176</v>
      </c>
      <c r="F9636">
        <v>4</v>
      </c>
      <c r="G9636" t="s">
        <v>53</v>
      </c>
      <c r="H9636" t="s">
        <v>42</v>
      </c>
      <c r="I9636" t="s">
        <v>2190</v>
      </c>
      <c r="J9636" s="10">
        <v>5</v>
      </c>
      <c r="K9636" t="b">
        <v>1</v>
      </c>
    </row>
    <row r="9637" spans="1:11">
      <c r="A9637" s="12">
        <v>42845</v>
      </c>
      <c r="B9637">
        <v>2017</v>
      </c>
      <c r="C9637">
        <v>4</v>
      </c>
      <c r="D9637" s="11">
        <v>42826</v>
      </c>
      <c r="E9637" t="s">
        <v>2176</v>
      </c>
      <c r="F9637">
        <v>4</v>
      </c>
      <c r="G9637" t="s">
        <v>53</v>
      </c>
      <c r="H9637" t="s">
        <v>43</v>
      </c>
      <c r="I9637" t="s">
        <v>2191</v>
      </c>
      <c r="J9637" s="10">
        <v>9.4</v>
      </c>
      <c r="K9637" t="b">
        <v>1</v>
      </c>
    </row>
    <row r="9638" spans="1:11">
      <c r="A9638" s="12">
        <v>42845</v>
      </c>
      <c r="B9638">
        <v>2017</v>
      </c>
      <c r="C9638">
        <v>4</v>
      </c>
      <c r="D9638" s="11">
        <v>42826</v>
      </c>
      <c r="E9638" t="s">
        <v>2176</v>
      </c>
      <c r="F9638">
        <v>4</v>
      </c>
      <c r="G9638" t="s">
        <v>53</v>
      </c>
      <c r="H9638" t="s">
        <v>44</v>
      </c>
      <c r="I9638" t="s">
        <v>2192</v>
      </c>
      <c r="J9638" s="10">
        <v>10</v>
      </c>
      <c r="K9638" t="b">
        <v>1</v>
      </c>
    </row>
    <row r="9639" spans="1:11">
      <c r="A9639" s="12">
        <v>42845</v>
      </c>
      <c r="B9639">
        <v>2017</v>
      </c>
      <c r="C9639">
        <v>4</v>
      </c>
      <c r="D9639" s="11">
        <v>42826</v>
      </c>
      <c r="E9639" t="s">
        <v>2176</v>
      </c>
      <c r="F9639">
        <v>4</v>
      </c>
      <c r="G9639" t="s">
        <v>53</v>
      </c>
      <c r="H9639" t="s">
        <v>45</v>
      </c>
      <c r="I9639" t="s">
        <v>2193</v>
      </c>
      <c r="J9639" s="10">
        <v>0</v>
      </c>
      <c r="K9639" t="b">
        <v>1</v>
      </c>
    </row>
    <row r="9640" spans="1:11">
      <c r="A9640" s="12">
        <v>42845</v>
      </c>
      <c r="B9640">
        <v>2017</v>
      </c>
      <c r="C9640">
        <v>4</v>
      </c>
      <c r="D9640" s="11">
        <v>42826</v>
      </c>
      <c r="E9640" t="s">
        <v>2176</v>
      </c>
      <c r="F9640">
        <v>4</v>
      </c>
      <c r="G9640" t="s">
        <v>53</v>
      </c>
      <c r="H9640" t="s">
        <v>46</v>
      </c>
      <c r="I9640" t="s">
        <v>2194</v>
      </c>
      <c r="J9640" s="10">
        <v>7</v>
      </c>
      <c r="K9640" t="b">
        <v>1</v>
      </c>
    </row>
    <row r="9641" spans="1:11">
      <c r="A9641" s="12">
        <v>42845</v>
      </c>
      <c r="B9641">
        <v>2017</v>
      </c>
      <c r="C9641">
        <v>4</v>
      </c>
      <c r="D9641" s="11">
        <v>42826</v>
      </c>
      <c r="E9641" t="s">
        <v>2176</v>
      </c>
      <c r="F9641">
        <v>4</v>
      </c>
      <c r="G9641" t="s">
        <v>53</v>
      </c>
      <c r="H9641" t="s">
        <v>47</v>
      </c>
      <c r="I9641" t="s">
        <v>2195</v>
      </c>
      <c r="J9641" s="10">
        <v>2</v>
      </c>
      <c r="K9641" t="b">
        <v>1</v>
      </c>
    </row>
    <row r="9642" spans="1:11">
      <c r="A9642" s="12">
        <v>42846</v>
      </c>
      <c r="B9642">
        <v>2017</v>
      </c>
      <c r="C9642">
        <v>4</v>
      </c>
      <c r="D9642" s="11">
        <v>42826</v>
      </c>
      <c r="E9642" t="s">
        <v>2176</v>
      </c>
      <c r="F9642">
        <v>5</v>
      </c>
      <c r="G9642" t="s">
        <v>55</v>
      </c>
      <c r="H9642" t="s">
        <v>40</v>
      </c>
      <c r="I9642" t="s">
        <v>2188</v>
      </c>
      <c r="J9642" s="10">
        <v>3.67</v>
      </c>
      <c r="K9642" t="b">
        <v>1</v>
      </c>
    </row>
    <row r="9643" spans="1:11">
      <c r="A9643" s="12">
        <v>42846</v>
      </c>
      <c r="B9643">
        <v>2017</v>
      </c>
      <c r="C9643">
        <v>4</v>
      </c>
      <c r="D9643" s="11">
        <v>42826</v>
      </c>
      <c r="E9643" t="s">
        <v>2176</v>
      </c>
      <c r="F9643">
        <v>5</v>
      </c>
      <c r="G9643" t="s">
        <v>55</v>
      </c>
      <c r="H9643" t="s">
        <v>41</v>
      </c>
      <c r="I9643" t="s">
        <v>2189</v>
      </c>
      <c r="J9643" s="10">
        <v>2.34</v>
      </c>
      <c r="K9643" t="b">
        <v>1</v>
      </c>
    </row>
    <row r="9644" spans="1:11">
      <c r="A9644" s="12">
        <v>42846</v>
      </c>
      <c r="B9644">
        <v>2017</v>
      </c>
      <c r="C9644">
        <v>4</v>
      </c>
      <c r="D9644" s="11">
        <v>42826</v>
      </c>
      <c r="E9644" t="s">
        <v>2176</v>
      </c>
      <c r="F9644">
        <v>5</v>
      </c>
      <c r="G9644" t="s">
        <v>55</v>
      </c>
      <c r="H9644" t="s">
        <v>42</v>
      </c>
      <c r="I9644" t="s">
        <v>2190</v>
      </c>
      <c r="J9644" s="10">
        <v>2.4</v>
      </c>
      <c r="K9644" t="b">
        <v>1</v>
      </c>
    </row>
    <row r="9645" spans="1:11">
      <c r="A9645" s="12">
        <v>42846</v>
      </c>
      <c r="B9645">
        <v>2017</v>
      </c>
      <c r="C9645">
        <v>4</v>
      </c>
      <c r="D9645" s="11">
        <v>42826</v>
      </c>
      <c r="E9645" t="s">
        <v>2176</v>
      </c>
      <c r="F9645">
        <v>5</v>
      </c>
      <c r="G9645" t="s">
        <v>55</v>
      </c>
      <c r="H9645" t="s">
        <v>43</v>
      </c>
      <c r="I9645" t="s">
        <v>2191</v>
      </c>
      <c r="J9645" s="10">
        <v>29</v>
      </c>
      <c r="K9645" t="b">
        <v>1</v>
      </c>
    </row>
    <row r="9646" spans="1:11">
      <c r="A9646" s="12">
        <v>42846</v>
      </c>
      <c r="B9646">
        <v>2017</v>
      </c>
      <c r="C9646">
        <v>4</v>
      </c>
      <c r="D9646" s="11">
        <v>42826</v>
      </c>
      <c r="E9646" t="s">
        <v>2176</v>
      </c>
      <c r="F9646">
        <v>5</v>
      </c>
      <c r="G9646" t="s">
        <v>55</v>
      </c>
      <c r="H9646" t="s">
        <v>44</v>
      </c>
      <c r="I9646" t="s">
        <v>2192</v>
      </c>
      <c r="J9646" s="10">
        <v>3</v>
      </c>
      <c r="K9646" t="b">
        <v>1</v>
      </c>
    </row>
    <row r="9647" spans="1:11">
      <c r="A9647" s="12">
        <v>42846</v>
      </c>
      <c r="B9647">
        <v>2017</v>
      </c>
      <c r="C9647">
        <v>4</v>
      </c>
      <c r="D9647" s="11">
        <v>42826</v>
      </c>
      <c r="E9647" t="s">
        <v>2176</v>
      </c>
      <c r="F9647">
        <v>5</v>
      </c>
      <c r="G9647" t="s">
        <v>55</v>
      </c>
      <c r="H9647" t="s">
        <v>45</v>
      </c>
      <c r="I9647" t="s">
        <v>2193</v>
      </c>
      <c r="J9647" s="10">
        <v>0</v>
      </c>
      <c r="K9647" t="b">
        <v>1</v>
      </c>
    </row>
    <row r="9648" spans="1:11">
      <c r="A9648" s="12">
        <v>42846</v>
      </c>
      <c r="B9648">
        <v>2017</v>
      </c>
      <c r="C9648">
        <v>4</v>
      </c>
      <c r="D9648" s="11">
        <v>42826</v>
      </c>
      <c r="E9648" t="s">
        <v>2176</v>
      </c>
      <c r="F9648">
        <v>5</v>
      </c>
      <c r="G9648" t="s">
        <v>55</v>
      </c>
      <c r="H9648" t="s">
        <v>46</v>
      </c>
      <c r="I9648" t="s">
        <v>2194</v>
      </c>
      <c r="J9648" s="10">
        <v>1.875</v>
      </c>
      <c r="K9648" t="b">
        <v>1</v>
      </c>
    </row>
    <row r="9649" spans="1:11">
      <c r="A9649" s="12">
        <v>42846</v>
      </c>
      <c r="B9649">
        <v>2017</v>
      </c>
      <c r="C9649">
        <v>4</v>
      </c>
      <c r="D9649" s="11">
        <v>42826</v>
      </c>
      <c r="E9649" t="s">
        <v>2176</v>
      </c>
      <c r="F9649">
        <v>5</v>
      </c>
      <c r="G9649" t="s">
        <v>55</v>
      </c>
      <c r="H9649" t="s">
        <v>47</v>
      </c>
      <c r="I9649" t="s">
        <v>2195</v>
      </c>
      <c r="J9649" s="10">
        <v>3</v>
      </c>
      <c r="K9649" t="b">
        <v>1</v>
      </c>
    </row>
    <row r="9650" spans="1:11">
      <c r="A9650" s="12">
        <v>42847</v>
      </c>
      <c r="B9650">
        <v>2017</v>
      </c>
      <c r="C9650">
        <v>4</v>
      </c>
      <c r="D9650" s="11">
        <v>42826</v>
      </c>
      <c r="E9650" t="s">
        <v>2176</v>
      </c>
      <c r="F9650">
        <v>6</v>
      </c>
      <c r="G9650" t="s">
        <v>57</v>
      </c>
      <c r="H9650" t="s">
        <v>40</v>
      </c>
      <c r="I9650" t="s">
        <v>2188</v>
      </c>
      <c r="J9650" s="10">
        <v>2.64</v>
      </c>
      <c r="K9650" t="b">
        <v>1</v>
      </c>
    </row>
    <row r="9651" spans="1:11">
      <c r="A9651" s="12">
        <v>42847</v>
      </c>
      <c r="B9651">
        <v>2017</v>
      </c>
      <c r="C9651">
        <v>4</v>
      </c>
      <c r="D9651" s="11">
        <v>42826</v>
      </c>
      <c r="E9651" t="s">
        <v>2176</v>
      </c>
      <c r="F9651">
        <v>6</v>
      </c>
      <c r="G9651" t="s">
        <v>57</v>
      </c>
      <c r="H9651" t="s">
        <v>41</v>
      </c>
      <c r="I9651" t="s">
        <v>2189</v>
      </c>
      <c r="J9651" s="10">
        <v>4.66</v>
      </c>
      <c r="K9651" t="b">
        <v>1</v>
      </c>
    </row>
    <row r="9652" spans="1:11">
      <c r="A9652" s="12">
        <v>42847</v>
      </c>
      <c r="B9652">
        <v>2017</v>
      </c>
      <c r="C9652">
        <v>4</v>
      </c>
      <c r="D9652" s="11">
        <v>42826</v>
      </c>
      <c r="E9652" t="s">
        <v>2176</v>
      </c>
      <c r="F9652">
        <v>6</v>
      </c>
      <c r="G9652" t="s">
        <v>57</v>
      </c>
      <c r="H9652" t="s">
        <v>42</v>
      </c>
      <c r="I9652" t="s">
        <v>2190</v>
      </c>
      <c r="J9652" s="10">
        <v>2.8</v>
      </c>
      <c r="K9652" t="b">
        <v>1</v>
      </c>
    </row>
    <row r="9653" spans="1:11">
      <c r="A9653" s="12">
        <v>42847</v>
      </c>
      <c r="B9653">
        <v>2017</v>
      </c>
      <c r="C9653">
        <v>4</v>
      </c>
      <c r="D9653" s="11">
        <v>42826</v>
      </c>
      <c r="E9653" t="s">
        <v>2176</v>
      </c>
      <c r="F9653">
        <v>6</v>
      </c>
      <c r="G9653" t="s">
        <v>57</v>
      </c>
      <c r="H9653" t="s">
        <v>43</v>
      </c>
      <c r="I9653" t="s">
        <v>2191</v>
      </c>
      <c r="J9653" s="10">
        <v>19</v>
      </c>
      <c r="K9653" t="b">
        <v>1</v>
      </c>
    </row>
    <row r="9654" spans="1:11">
      <c r="A9654" s="12">
        <v>42847</v>
      </c>
      <c r="B9654">
        <v>2017</v>
      </c>
      <c r="C9654">
        <v>4</v>
      </c>
      <c r="D9654" s="11">
        <v>42826</v>
      </c>
      <c r="E9654" t="s">
        <v>2176</v>
      </c>
      <c r="F9654">
        <v>6</v>
      </c>
      <c r="G9654" t="s">
        <v>57</v>
      </c>
      <c r="H9654" t="s">
        <v>44</v>
      </c>
      <c r="I9654" t="s">
        <v>2192</v>
      </c>
      <c r="J9654" s="10">
        <v>7</v>
      </c>
      <c r="K9654" t="b">
        <v>1</v>
      </c>
    </row>
    <row r="9655" spans="1:11">
      <c r="A9655" s="12">
        <v>42847</v>
      </c>
      <c r="B9655">
        <v>2017</v>
      </c>
      <c r="C9655">
        <v>4</v>
      </c>
      <c r="D9655" s="11">
        <v>42826</v>
      </c>
      <c r="E9655" t="s">
        <v>2176</v>
      </c>
      <c r="F9655">
        <v>6</v>
      </c>
      <c r="G9655" t="s">
        <v>57</v>
      </c>
      <c r="H9655" t="s">
        <v>45</v>
      </c>
      <c r="I9655" t="s">
        <v>2193</v>
      </c>
      <c r="J9655" s="10">
        <v>1</v>
      </c>
      <c r="K9655" t="b">
        <v>1</v>
      </c>
    </row>
    <row r="9656" spans="1:11">
      <c r="A9656" s="12">
        <v>42847</v>
      </c>
      <c r="B9656">
        <v>2017</v>
      </c>
      <c r="C9656">
        <v>4</v>
      </c>
      <c r="D9656" s="11">
        <v>42826</v>
      </c>
      <c r="E9656" t="s">
        <v>2176</v>
      </c>
      <c r="F9656">
        <v>6</v>
      </c>
      <c r="G9656" t="s">
        <v>57</v>
      </c>
      <c r="H9656" t="s">
        <v>46</v>
      </c>
      <c r="I9656" t="s">
        <v>2194</v>
      </c>
      <c r="J9656" s="10">
        <v>1</v>
      </c>
      <c r="K9656" t="b">
        <v>1</v>
      </c>
    </row>
    <row r="9657" spans="1:11">
      <c r="A9657" s="12">
        <v>42847</v>
      </c>
      <c r="B9657">
        <v>2017</v>
      </c>
      <c r="C9657">
        <v>4</v>
      </c>
      <c r="D9657" s="11">
        <v>42826</v>
      </c>
      <c r="E9657" t="s">
        <v>2176</v>
      </c>
      <c r="F9657">
        <v>6</v>
      </c>
      <c r="G9657" t="s">
        <v>57</v>
      </c>
      <c r="H9657" t="s">
        <v>47</v>
      </c>
      <c r="I9657" t="s">
        <v>2195</v>
      </c>
      <c r="J9657" s="10">
        <v>2</v>
      </c>
      <c r="K9657" t="b">
        <v>1</v>
      </c>
    </row>
    <row r="9658" spans="1:11">
      <c r="A9658" s="12">
        <v>42848</v>
      </c>
      <c r="B9658">
        <v>2017</v>
      </c>
      <c r="C9658">
        <v>4</v>
      </c>
      <c r="D9658" s="11">
        <v>42826</v>
      </c>
      <c r="E9658" t="s">
        <v>2176</v>
      </c>
      <c r="F9658">
        <v>7</v>
      </c>
      <c r="G9658" t="s">
        <v>59</v>
      </c>
      <c r="H9658" t="s">
        <v>40</v>
      </c>
      <c r="I9658" t="s">
        <v>2188</v>
      </c>
      <c r="J9658" s="10">
        <v>9</v>
      </c>
      <c r="K9658" t="b">
        <v>1</v>
      </c>
    </row>
    <row r="9659" spans="1:11">
      <c r="A9659" s="12">
        <v>42848</v>
      </c>
      <c r="B9659">
        <v>2017</v>
      </c>
      <c r="C9659">
        <v>4</v>
      </c>
      <c r="D9659" s="11">
        <v>42826</v>
      </c>
      <c r="E9659" t="s">
        <v>2176</v>
      </c>
      <c r="F9659">
        <v>7</v>
      </c>
      <c r="G9659" t="s">
        <v>59</v>
      </c>
      <c r="H9659" t="s">
        <v>41</v>
      </c>
      <c r="I9659" t="s">
        <v>2189</v>
      </c>
      <c r="J9659" s="10">
        <v>5.416</v>
      </c>
      <c r="K9659" t="b">
        <v>1</v>
      </c>
    </row>
    <row r="9660" spans="1:11">
      <c r="A9660" s="12">
        <v>42848</v>
      </c>
      <c r="B9660">
        <v>2017</v>
      </c>
      <c r="C9660">
        <v>4</v>
      </c>
      <c r="D9660" s="11">
        <v>42826</v>
      </c>
      <c r="E9660" t="s">
        <v>2176</v>
      </c>
      <c r="F9660">
        <v>7</v>
      </c>
      <c r="G9660" t="s">
        <v>59</v>
      </c>
      <c r="H9660" t="s">
        <v>42</v>
      </c>
      <c r="I9660" t="s">
        <v>2190</v>
      </c>
      <c r="J9660" s="10">
        <v>3.6</v>
      </c>
      <c r="K9660" t="b">
        <v>1</v>
      </c>
    </row>
    <row r="9661" spans="1:11">
      <c r="A9661" s="12">
        <v>42848</v>
      </c>
      <c r="B9661">
        <v>2017</v>
      </c>
      <c r="C9661">
        <v>4</v>
      </c>
      <c r="D9661" s="11">
        <v>42826</v>
      </c>
      <c r="E9661" t="s">
        <v>2176</v>
      </c>
      <c r="F9661">
        <v>7</v>
      </c>
      <c r="G9661" t="s">
        <v>59</v>
      </c>
      <c r="H9661" t="s">
        <v>43</v>
      </c>
      <c r="I9661" t="s">
        <v>2191</v>
      </c>
      <c r="J9661" s="10">
        <v>25.5</v>
      </c>
      <c r="K9661" t="b">
        <v>1</v>
      </c>
    </row>
    <row r="9662" spans="1:11">
      <c r="A9662" s="12">
        <v>42848</v>
      </c>
      <c r="B9662">
        <v>2017</v>
      </c>
      <c r="C9662">
        <v>4</v>
      </c>
      <c r="D9662" s="11">
        <v>42826</v>
      </c>
      <c r="E9662" t="s">
        <v>2176</v>
      </c>
      <c r="F9662">
        <v>7</v>
      </c>
      <c r="G9662" t="s">
        <v>59</v>
      </c>
      <c r="H9662" t="s">
        <v>44</v>
      </c>
      <c r="I9662" t="s">
        <v>2192</v>
      </c>
      <c r="J9662" s="10">
        <v>7</v>
      </c>
      <c r="K9662" t="b">
        <v>1</v>
      </c>
    </row>
    <row r="9663" spans="1:11">
      <c r="A9663" s="12">
        <v>42848</v>
      </c>
      <c r="B9663">
        <v>2017</v>
      </c>
      <c r="C9663">
        <v>4</v>
      </c>
      <c r="D9663" s="11">
        <v>42826</v>
      </c>
      <c r="E9663" t="s">
        <v>2176</v>
      </c>
      <c r="F9663">
        <v>7</v>
      </c>
      <c r="G9663" t="s">
        <v>59</v>
      </c>
      <c r="H9663" t="s">
        <v>45</v>
      </c>
      <c r="I9663" t="s">
        <v>2193</v>
      </c>
      <c r="J9663" s="10">
        <v>0</v>
      </c>
      <c r="K9663" t="b">
        <v>1</v>
      </c>
    </row>
    <row r="9664" spans="1:11">
      <c r="A9664" s="12">
        <v>42848</v>
      </c>
      <c r="B9664">
        <v>2017</v>
      </c>
      <c r="C9664">
        <v>4</v>
      </c>
      <c r="D9664" s="11">
        <v>42826</v>
      </c>
      <c r="E9664" t="s">
        <v>2176</v>
      </c>
      <c r="F9664">
        <v>7</v>
      </c>
      <c r="G9664" t="s">
        <v>59</v>
      </c>
      <c r="H9664" t="s">
        <v>46</v>
      </c>
      <c r="I9664" t="s">
        <v>2194</v>
      </c>
      <c r="J9664" s="10">
        <v>1</v>
      </c>
      <c r="K9664" t="b">
        <v>1</v>
      </c>
    </row>
    <row r="9665" spans="1:11">
      <c r="A9665" s="12">
        <v>42848</v>
      </c>
      <c r="B9665">
        <v>2017</v>
      </c>
      <c r="C9665">
        <v>4</v>
      </c>
      <c r="D9665" s="11">
        <v>42826</v>
      </c>
      <c r="E9665" t="s">
        <v>2176</v>
      </c>
      <c r="F9665">
        <v>7</v>
      </c>
      <c r="G9665" t="s">
        <v>59</v>
      </c>
      <c r="H9665" t="s">
        <v>47</v>
      </c>
      <c r="I9665" t="s">
        <v>2195</v>
      </c>
      <c r="J9665" s="10">
        <v>5</v>
      </c>
      <c r="K9665" t="b">
        <v>1</v>
      </c>
    </row>
    <row r="9666" spans="1:11">
      <c r="A9666" s="12">
        <v>42849</v>
      </c>
      <c r="B9666">
        <v>2017</v>
      </c>
      <c r="C9666">
        <v>4</v>
      </c>
      <c r="D9666" s="11">
        <v>42826</v>
      </c>
      <c r="E9666" t="s">
        <v>2176</v>
      </c>
      <c r="F9666">
        <v>1</v>
      </c>
      <c r="G9666" t="s">
        <v>61</v>
      </c>
      <c r="H9666" t="s">
        <v>40</v>
      </c>
      <c r="I9666" t="s">
        <v>2188</v>
      </c>
      <c r="J9666" s="10">
        <v>9.33</v>
      </c>
      <c r="K9666" t="b">
        <v>1</v>
      </c>
    </row>
    <row r="9667" spans="1:11">
      <c r="A9667" s="12">
        <v>42849</v>
      </c>
      <c r="B9667">
        <v>2017</v>
      </c>
      <c r="C9667">
        <v>4</v>
      </c>
      <c r="D9667" s="11">
        <v>42826</v>
      </c>
      <c r="E9667" t="s">
        <v>2176</v>
      </c>
      <c r="F9667">
        <v>1</v>
      </c>
      <c r="G9667" t="s">
        <v>61</v>
      </c>
      <c r="H9667" t="s">
        <v>41</v>
      </c>
      <c r="I9667" t="s">
        <v>2189</v>
      </c>
      <c r="J9667" s="10">
        <v>3.81</v>
      </c>
      <c r="K9667" t="b">
        <v>1</v>
      </c>
    </row>
    <row r="9668" spans="1:11">
      <c r="A9668" s="12">
        <v>42849</v>
      </c>
      <c r="B9668">
        <v>2017</v>
      </c>
      <c r="C9668">
        <v>4</v>
      </c>
      <c r="D9668" s="11">
        <v>42826</v>
      </c>
      <c r="E9668" t="s">
        <v>2176</v>
      </c>
      <c r="F9668">
        <v>1</v>
      </c>
      <c r="G9668" t="s">
        <v>61</v>
      </c>
      <c r="H9668" t="s">
        <v>42</v>
      </c>
      <c r="I9668" t="s">
        <v>2190</v>
      </c>
      <c r="J9668" s="10">
        <v>8</v>
      </c>
      <c r="K9668" t="b">
        <v>1</v>
      </c>
    </row>
    <row r="9669" spans="1:11">
      <c r="A9669" s="12">
        <v>42849</v>
      </c>
      <c r="B9669">
        <v>2017</v>
      </c>
      <c r="C9669">
        <v>4</v>
      </c>
      <c r="D9669" s="11">
        <v>42826</v>
      </c>
      <c r="E9669" t="s">
        <v>2176</v>
      </c>
      <c r="F9669">
        <v>1</v>
      </c>
      <c r="G9669" t="s">
        <v>61</v>
      </c>
      <c r="H9669" t="s">
        <v>43</v>
      </c>
      <c r="I9669" t="s">
        <v>2191</v>
      </c>
      <c r="J9669" s="10">
        <v>13.15</v>
      </c>
      <c r="K9669" t="b">
        <v>1</v>
      </c>
    </row>
    <row r="9670" spans="1:11">
      <c r="A9670" s="12">
        <v>42849</v>
      </c>
      <c r="B9670">
        <v>2017</v>
      </c>
      <c r="C9670">
        <v>4</v>
      </c>
      <c r="D9670" s="11">
        <v>42826</v>
      </c>
      <c r="E9670" t="s">
        <v>2176</v>
      </c>
      <c r="F9670">
        <v>1</v>
      </c>
      <c r="G9670" t="s">
        <v>61</v>
      </c>
      <c r="H9670" t="s">
        <v>44</v>
      </c>
      <c r="I9670" t="s">
        <v>2192</v>
      </c>
      <c r="J9670" s="10">
        <v>9</v>
      </c>
      <c r="K9670" t="b">
        <v>1</v>
      </c>
    </row>
    <row r="9671" spans="1:11">
      <c r="A9671" s="12">
        <v>42849</v>
      </c>
      <c r="B9671">
        <v>2017</v>
      </c>
      <c r="C9671">
        <v>4</v>
      </c>
      <c r="D9671" s="11">
        <v>42826</v>
      </c>
      <c r="E9671" t="s">
        <v>2176</v>
      </c>
      <c r="F9671">
        <v>1</v>
      </c>
      <c r="G9671" t="s">
        <v>61</v>
      </c>
      <c r="H9671" t="s">
        <v>45</v>
      </c>
      <c r="I9671" t="s">
        <v>2193</v>
      </c>
      <c r="J9671" s="10">
        <v>0</v>
      </c>
      <c r="K9671" t="b">
        <v>1</v>
      </c>
    </row>
    <row r="9672" spans="1:11">
      <c r="A9672" s="12">
        <v>42849</v>
      </c>
      <c r="B9672">
        <v>2017</v>
      </c>
      <c r="C9672">
        <v>4</v>
      </c>
      <c r="D9672" s="11">
        <v>42826</v>
      </c>
      <c r="E9672" t="s">
        <v>2176</v>
      </c>
      <c r="F9672">
        <v>1</v>
      </c>
      <c r="G9672" t="s">
        <v>61</v>
      </c>
      <c r="H9672" t="s">
        <v>46</v>
      </c>
      <c r="I9672" t="s">
        <v>2194</v>
      </c>
      <c r="J9672" s="10">
        <v>1</v>
      </c>
      <c r="K9672" t="b">
        <v>1</v>
      </c>
    </row>
    <row r="9673" spans="1:11">
      <c r="A9673" s="12">
        <v>42849</v>
      </c>
      <c r="B9673">
        <v>2017</v>
      </c>
      <c r="C9673">
        <v>4</v>
      </c>
      <c r="D9673" s="11">
        <v>42826</v>
      </c>
      <c r="E9673" t="s">
        <v>2176</v>
      </c>
      <c r="F9673">
        <v>1</v>
      </c>
      <c r="G9673" t="s">
        <v>61</v>
      </c>
      <c r="H9673" t="s">
        <v>47</v>
      </c>
      <c r="I9673" t="s">
        <v>2195</v>
      </c>
      <c r="J9673" s="10">
        <v>5</v>
      </c>
      <c r="K9673" t="b">
        <v>1</v>
      </c>
    </row>
    <row r="9674" spans="1:11">
      <c r="A9674" s="12">
        <v>42850</v>
      </c>
      <c r="B9674">
        <v>2017</v>
      </c>
      <c r="C9674">
        <v>4</v>
      </c>
      <c r="D9674" s="11">
        <v>42826</v>
      </c>
      <c r="E9674" t="s">
        <v>2176</v>
      </c>
      <c r="F9674">
        <v>2</v>
      </c>
      <c r="G9674" t="s">
        <v>63</v>
      </c>
      <c r="H9674" t="s">
        <v>40</v>
      </c>
      <c r="I9674" t="s">
        <v>2188</v>
      </c>
      <c r="J9674" s="10">
        <v>8</v>
      </c>
      <c r="K9674" t="b">
        <v>1</v>
      </c>
    </row>
    <row r="9675" spans="1:11">
      <c r="A9675" s="12">
        <v>42850</v>
      </c>
      <c r="B9675">
        <v>2017</v>
      </c>
      <c r="C9675">
        <v>4</v>
      </c>
      <c r="D9675" s="11">
        <v>42826</v>
      </c>
      <c r="E9675" t="s">
        <v>2176</v>
      </c>
      <c r="F9675">
        <v>2</v>
      </c>
      <c r="G9675" t="s">
        <v>63</v>
      </c>
      <c r="H9675" t="s">
        <v>41</v>
      </c>
      <c r="I9675" t="s">
        <v>2189</v>
      </c>
      <c r="J9675" s="10">
        <v>2.99</v>
      </c>
      <c r="K9675" t="b">
        <v>1</v>
      </c>
    </row>
    <row r="9676" spans="1:11">
      <c r="A9676" s="12">
        <v>42850</v>
      </c>
      <c r="B9676">
        <v>2017</v>
      </c>
      <c r="C9676">
        <v>4</v>
      </c>
      <c r="D9676" s="11">
        <v>42826</v>
      </c>
      <c r="E9676" t="s">
        <v>2176</v>
      </c>
      <c r="F9676">
        <v>2</v>
      </c>
      <c r="G9676" t="s">
        <v>63</v>
      </c>
      <c r="H9676" t="s">
        <v>42</v>
      </c>
      <c r="I9676" t="s">
        <v>2190</v>
      </c>
      <c r="J9676" s="10">
        <v>2.2</v>
      </c>
      <c r="K9676" t="b">
        <v>1</v>
      </c>
    </row>
    <row r="9677" spans="1:11">
      <c r="A9677" s="12">
        <v>42850</v>
      </c>
      <c r="B9677">
        <v>2017</v>
      </c>
      <c r="C9677">
        <v>4</v>
      </c>
      <c r="D9677" s="11">
        <v>42826</v>
      </c>
      <c r="E9677" t="s">
        <v>2176</v>
      </c>
      <c r="F9677">
        <v>2</v>
      </c>
      <c r="G9677" t="s">
        <v>63</v>
      </c>
      <c r="H9677" t="s">
        <v>43</v>
      </c>
      <c r="I9677" t="s">
        <v>2191</v>
      </c>
      <c r="J9677" s="10">
        <v>24</v>
      </c>
      <c r="K9677" t="b">
        <v>1</v>
      </c>
    </row>
    <row r="9678" spans="1:11">
      <c r="A9678" s="12">
        <v>42850</v>
      </c>
      <c r="B9678">
        <v>2017</v>
      </c>
      <c r="C9678">
        <v>4</v>
      </c>
      <c r="D9678" s="11">
        <v>42826</v>
      </c>
      <c r="E9678" t="s">
        <v>2176</v>
      </c>
      <c r="F9678">
        <v>2</v>
      </c>
      <c r="G9678" t="s">
        <v>63</v>
      </c>
      <c r="H9678" t="s">
        <v>44</v>
      </c>
      <c r="I9678" t="s">
        <v>2192</v>
      </c>
      <c r="J9678" s="10">
        <v>4</v>
      </c>
      <c r="K9678" t="b">
        <v>1</v>
      </c>
    </row>
    <row r="9679" spans="1:11">
      <c r="A9679" s="12">
        <v>42850</v>
      </c>
      <c r="B9679">
        <v>2017</v>
      </c>
      <c r="C9679">
        <v>4</v>
      </c>
      <c r="D9679" s="11">
        <v>42826</v>
      </c>
      <c r="E9679" t="s">
        <v>2176</v>
      </c>
      <c r="F9679">
        <v>2</v>
      </c>
      <c r="G9679" t="s">
        <v>63</v>
      </c>
      <c r="H9679" t="s">
        <v>45</v>
      </c>
      <c r="I9679" t="s">
        <v>2193</v>
      </c>
      <c r="J9679" s="10">
        <v>0</v>
      </c>
      <c r="K9679" t="b">
        <v>1</v>
      </c>
    </row>
    <row r="9680" spans="1:11">
      <c r="A9680" s="12">
        <v>42850</v>
      </c>
      <c r="B9680">
        <v>2017</v>
      </c>
      <c r="C9680">
        <v>4</v>
      </c>
      <c r="D9680" s="11">
        <v>42826</v>
      </c>
      <c r="E9680" t="s">
        <v>2176</v>
      </c>
      <c r="F9680">
        <v>2</v>
      </c>
      <c r="G9680" t="s">
        <v>63</v>
      </c>
      <c r="H9680" t="s">
        <v>46</v>
      </c>
      <c r="I9680" t="s">
        <v>2194</v>
      </c>
      <c r="J9680" s="10">
        <v>26</v>
      </c>
      <c r="K9680" t="b">
        <v>1</v>
      </c>
    </row>
    <row r="9681" spans="1:11">
      <c r="A9681" s="12">
        <v>42850</v>
      </c>
      <c r="B9681">
        <v>2017</v>
      </c>
      <c r="C9681">
        <v>4</v>
      </c>
      <c r="D9681" s="11">
        <v>42826</v>
      </c>
      <c r="E9681" t="s">
        <v>2176</v>
      </c>
      <c r="F9681">
        <v>2</v>
      </c>
      <c r="G9681" t="s">
        <v>63</v>
      </c>
      <c r="H9681" t="s">
        <v>47</v>
      </c>
      <c r="I9681" t="s">
        <v>2195</v>
      </c>
      <c r="J9681" s="10">
        <v>5</v>
      </c>
      <c r="K9681" t="b">
        <v>1</v>
      </c>
    </row>
    <row r="9682" spans="1:11">
      <c r="A9682" s="12">
        <v>42851</v>
      </c>
      <c r="B9682">
        <v>2017</v>
      </c>
      <c r="C9682">
        <v>4</v>
      </c>
      <c r="D9682" s="11">
        <v>42826</v>
      </c>
      <c r="E9682" t="s">
        <v>2176</v>
      </c>
      <c r="F9682">
        <v>3</v>
      </c>
      <c r="G9682" t="s">
        <v>65</v>
      </c>
      <c r="H9682" t="s">
        <v>40</v>
      </c>
      <c r="I9682" t="s">
        <v>2188</v>
      </c>
      <c r="J9682" s="10">
        <v>3</v>
      </c>
      <c r="K9682" t="b">
        <v>1</v>
      </c>
    </row>
    <row r="9683" spans="1:11">
      <c r="A9683" s="12">
        <v>42851</v>
      </c>
      <c r="B9683">
        <v>2017</v>
      </c>
      <c r="C9683">
        <v>4</v>
      </c>
      <c r="D9683" s="11">
        <v>42826</v>
      </c>
      <c r="E9683" t="s">
        <v>2176</v>
      </c>
      <c r="F9683">
        <v>3</v>
      </c>
      <c r="G9683" t="s">
        <v>65</v>
      </c>
      <c r="H9683" t="s">
        <v>41</v>
      </c>
      <c r="I9683" t="s">
        <v>2189</v>
      </c>
      <c r="J9683" s="10">
        <v>4</v>
      </c>
      <c r="K9683" t="b">
        <v>1</v>
      </c>
    </row>
    <row r="9684" spans="1:11">
      <c r="A9684" s="12">
        <v>42851</v>
      </c>
      <c r="B9684">
        <v>2017</v>
      </c>
      <c r="C9684">
        <v>4</v>
      </c>
      <c r="D9684" s="11">
        <v>42826</v>
      </c>
      <c r="E9684" t="s">
        <v>2176</v>
      </c>
      <c r="F9684">
        <v>3</v>
      </c>
      <c r="G9684" t="s">
        <v>65</v>
      </c>
      <c r="H9684" t="s">
        <v>42</v>
      </c>
      <c r="I9684" t="s">
        <v>2190</v>
      </c>
      <c r="J9684" s="10">
        <v>3.5</v>
      </c>
      <c r="K9684" t="b">
        <v>1</v>
      </c>
    </row>
    <row r="9685" spans="1:11">
      <c r="A9685" s="12">
        <v>42851</v>
      </c>
      <c r="B9685">
        <v>2017</v>
      </c>
      <c r="C9685">
        <v>4</v>
      </c>
      <c r="D9685" s="11">
        <v>42826</v>
      </c>
      <c r="E9685" t="s">
        <v>2176</v>
      </c>
      <c r="F9685">
        <v>3</v>
      </c>
      <c r="G9685" t="s">
        <v>65</v>
      </c>
      <c r="H9685" t="s">
        <v>43</v>
      </c>
      <c r="I9685" t="s">
        <v>2191</v>
      </c>
      <c r="J9685" s="10">
        <v>10.2</v>
      </c>
      <c r="K9685" t="b">
        <v>1</v>
      </c>
    </row>
    <row r="9686" spans="1:11">
      <c r="A9686" s="12">
        <v>42851</v>
      </c>
      <c r="B9686">
        <v>2017</v>
      </c>
      <c r="C9686">
        <v>4</v>
      </c>
      <c r="D9686" s="11">
        <v>42826</v>
      </c>
      <c r="E9686" t="s">
        <v>2176</v>
      </c>
      <c r="F9686">
        <v>3</v>
      </c>
      <c r="G9686" t="s">
        <v>65</v>
      </c>
      <c r="H9686" t="s">
        <v>44</v>
      </c>
      <c r="I9686" t="s">
        <v>2192</v>
      </c>
      <c r="J9686" s="10">
        <v>3</v>
      </c>
      <c r="K9686" t="b">
        <v>1</v>
      </c>
    </row>
    <row r="9687" spans="1:11">
      <c r="A9687" s="12">
        <v>42851</v>
      </c>
      <c r="B9687">
        <v>2017</v>
      </c>
      <c r="C9687">
        <v>4</v>
      </c>
      <c r="D9687" s="11">
        <v>42826</v>
      </c>
      <c r="E9687" t="s">
        <v>2176</v>
      </c>
      <c r="F9687">
        <v>3</v>
      </c>
      <c r="G9687" t="s">
        <v>65</v>
      </c>
      <c r="H9687" t="s">
        <v>45</v>
      </c>
      <c r="I9687" t="s">
        <v>2193</v>
      </c>
      <c r="J9687" s="10">
        <v>0</v>
      </c>
      <c r="K9687" t="b">
        <v>1</v>
      </c>
    </row>
    <row r="9688" spans="1:11">
      <c r="A9688" s="12">
        <v>42851</v>
      </c>
      <c r="B9688">
        <v>2017</v>
      </c>
      <c r="C9688">
        <v>4</v>
      </c>
      <c r="D9688" s="11">
        <v>42826</v>
      </c>
      <c r="E9688" t="s">
        <v>2176</v>
      </c>
      <c r="F9688">
        <v>3</v>
      </c>
      <c r="G9688" t="s">
        <v>65</v>
      </c>
      <c r="H9688" t="s">
        <v>46</v>
      </c>
      <c r="I9688" t="s">
        <v>2194</v>
      </c>
      <c r="J9688" s="10">
        <v>1</v>
      </c>
      <c r="K9688" t="b">
        <v>1</v>
      </c>
    </row>
    <row r="9689" spans="1:11">
      <c r="A9689" s="12">
        <v>42851</v>
      </c>
      <c r="B9689">
        <v>2017</v>
      </c>
      <c r="C9689">
        <v>4</v>
      </c>
      <c r="D9689" s="11">
        <v>42826</v>
      </c>
      <c r="E9689" t="s">
        <v>2176</v>
      </c>
      <c r="F9689">
        <v>3</v>
      </c>
      <c r="G9689" t="s">
        <v>65</v>
      </c>
      <c r="H9689" t="s">
        <v>47</v>
      </c>
      <c r="I9689" t="s">
        <v>2195</v>
      </c>
      <c r="J9689" s="10">
        <v>8.300000000000001</v>
      </c>
      <c r="K9689" t="b">
        <v>1</v>
      </c>
    </row>
    <row r="9690" spans="1:11">
      <c r="A9690" s="12">
        <v>42852</v>
      </c>
      <c r="B9690">
        <v>2017</v>
      </c>
      <c r="C9690">
        <v>4</v>
      </c>
      <c r="D9690" s="11">
        <v>42826</v>
      </c>
      <c r="E9690" t="s">
        <v>2176</v>
      </c>
      <c r="F9690">
        <v>4</v>
      </c>
      <c r="G9690" t="s">
        <v>53</v>
      </c>
      <c r="H9690" t="s">
        <v>40</v>
      </c>
      <c r="I9690" t="s">
        <v>2188</v>
      </c>
      <c r="J9690" s="10">
        <v>3.33</v>
      </c>
      <c r="K9690" t="b">
        <v>1</v>
      </c>
    </row>
    <row r="9691" spans="1:11">
      <c r="A9691" s="12">
        <v>42852</v>
      </c>
      <c r="B9691">
        <v>2017</v>
      </c>
      <c r="C9691">
        <v>4</v>
      </c>
      <c r="D9691" s="11">
        <v>42826</v>
      </c>
      <c r="E9691" t="s">
        <v>2176</v>
      </c>
      <c r="F9691">
        <v>4</v>
      </c>
      <c r="G9691" t="s">
        <v>53</v>
      </c>
      <c r="H9691" t="s">
        <v>41</v>
      </c>
      <c r="I9691" t="s">
        <v>2189</v>
      </c>
      <c r="J9691" s="10">
        <v>3.737</v>
      </c>
      <c r="K9691" t="b">
        <v>1</v>
      </c>
    </row>
    <row r="9692" spans="1:11">
      <c r="A9692" s="12">
        <v>42852</v>
      </c>
      <c r="B9692">
        <v>2017</v>
      </c>
      <c r="C9692">
        <v>4</v>
      </c>
      <c r="D9692" s="11">
        <v>42826</v>
      </c>
      <c r="E9692" t="s">
        <v>2176</v>
      </c>
      <c r="F9692">
        <v>4</v>
      </c>
      <c r="G9692" t="s">
        <v>53</v>
      </c>
      <c r="H9692" t="s">
        <v>42</v>
      </c>
      <c r="I9692" t="s">
        <v>2190</v>
      </c>
      <c r="J9692" s="10">
        <v>2.3</v>
      </c>
      <c r="K9692" t="b">
        <v>1</v>
      </c>
    </row>
    <row r="9693" spans="1:11">
      <c r="A9693" s="12">
        <v>42852</v>
      </c>
      <c r="B9693">
        <v>2017</v>
      </c>
      <c r="C9693">
        <v>4</v>
      </c>
      <c r="D9693" s="11">
        <v>42826</v>
      </c>
      <c r="E9693" t="s">
        <v>2176</v>
      </c>
      <c r="F9693">
        <v>4</v>
      </c>
      <c r="G9693" t="s">
        <v>53</v>
      </c>
      <c r="H9693" t="s">
        <v>43</v>
      </c>
      <c r="I9693" t="s">
        <v>2191</v>
      </c>
      <c r="J9693" s="10">
        <v>11</v>
      </c>
      <c r="K9693" t="b">
        <v>1</v>
      </c>
    </row>
    <row r="9694" spans="1:11">
      <c r="A9694" s="12">
        <v>42852</v>
      </c>
      <c r="B9694">
        <v>2017</v>
      </c>
      <c r="C9694">
        <v>4</v>
      </c>
      <c r="D9694" s="11">
        <v>42826</v>
      </c>
      <c r="E9694" t="s">
        <v>2176</v>
      </c>
      <c r="F9694">
        <v>4</v>
      </c>
      <c r="G9694" t="s">
        <v>53</v>
      </c>
      <c r="H9694" t="s">
        <v>44</v>
      </c>
      <c r="I9694" t="s">
        <v>2192</v>
      </c>
      <c r="J9694" s="10">
        <v>10</v>
      </c>
      <c r="K9694" t="b">
        <v>1</v>
      </c>
    </row>
    <row r="9695" spans="1:11">
      <c r="A9695" s="12">
        <v>42852</v>
      </c>
      <c r="B9695">
        <v>2017</v>
      </c>
      <c r="C9695">
        <v>4</v>
      </c>
      <c r="D9695" s="11">
        <v>42826</v>
      </c>
      <c r="E9695" t="s">
        <v>2176</v>
      </c>
      <c r="F9695">
        <v>4</v>
      </c>
      <c r="G9695" t="s">
        <v>53</v>
      </c>
      <c r="H9695" t="s">
        <v>45</v>
      </c>
      <c r="I9695" t="s">
        <v>2193</v>
      </c>
      <c r="J9695" s="10">
        <v>1</v>
      </c>
      <c r="K9695" t="b">
        <v>1</v>
      </c>
    </row>
    <row r="9696" spans="1:11">
      <c r="A9696" s="12">
        <v>42852</v>
      </c>
      <c r="B9696">
        <v>2017</v>
      </c>
      <c r="C9696">
        <v>4</v>
      </c>
      <c r="D9696" s="11">
        <v>42826</v>
      </c>
      <c r="E9696" t="s">
        <v>2176</v>
      </c>
      <c r="F9696">
        <v>4</v>
      </c>
      <c r="G9696" t="s">
        <v>53</v>
      </c>
      <c r="H9696" t="s">
        <v>46</v>
      </c>
      <c r="I9696" t="s">
        <v>2194</v>
      </c>
      <c r="J9696" s="10">
        <v>0</v>
      </c>
      <c r="K9696" t="b">
        <v>1</v>
      </c>
    </row>
    <row r="9697" spans="1:11">
      <c r="A9697" s="12">
        <v>42852</v>
      </c>
      <c r="B9697">
        <v>2017</v>
      </c>
      <c r="C9697">
        <v>4</v>
      </c>
      <c r="D9697" s="11">
        <v>42826</v>
      </c>
      <c r="E9697" t="s">
        <v>2176</v>
      </c>
      <c r="F9697">
        <v>4</v>
      </c>
      <c r="G9697" t="s">
        <v>53</v>
      </c>
      <c r="H9697" t="s">
        <v>47</v>
      </c>
      <c r="I9697" t="s">
        <v>2195</v>
      </c>
      <c r="J9697" s="10">
        <v>10</v>
      </c>
      <c r="K9697" t="b">
        <v>1</v>
      </c>
    </row>
    <row r="9698" spans="1:11">
      <c r="A9698" s="12">
        <v>42853</v>
      </c>
      <c r="B9698">
        <v>2017</v>
      </c>
      <c r="C9698">
        <v>4</v>
      </c>
      <c r="D9698" s="11">
        <v>42826</v>
      </c>
      <c r="E9698" t="s">
        <v>2176</v>
      </c>
      <c r="F9698">
        <v>5</v>
      </c>
      <c r="G9698" t="s">
        <v>55</v>
      </c>
      <c r="H9698" t="s">
        <v>40</v>
      </c>
      <c r="I9698" t="s">
        <v>2188</v>
      </c>
      <c r="J9698" s="10">
        <v>3.33</v>
      </c>
      <c r="K9698" t="b">
        <v>1</v>
      </c>
    </row>
    <row r="9699" spans="1:11">
      <c r="A9699" s="12">
        <v>42853</v>
      </c>
      <c r="B9699">
        <v>2017</v>
      </c>
      <c r="C9699">
        <v>4</v>
      </c>
      <c r="D9699" s="11">
        <v>42826</v>
      </c>
      <c r="E9699" t="s">
        <v>2176</v>
      </c>
      <c r="F9699">
        <v>5</v>
      </c>
      <c r="G9699" t="s">
        <v>55</v>
      </c>
      <c r="H9699" t="s">
        <v>41</v>
      </c>
      <c r="I9699" t="s">
        <v>2189</v>
      </c>
      <c r="J9699" s="10">
        <v>3.67</v>
      </c>
      <c r="K9699" t="b">
        <v>1</v>
      </c>
    </row>
    <row r="9700" spans="1:11">
      <c r="A9700" s="12">
        <v>42853</v>
      </c>
      <c r="B9700">
        <v>2017</v>
      </c>
      <c r="C9700">
        <v>4</v>
      </c>
      <c r="D9700" s="11">
        <v>42826</v>
      </c>
      <c r="E9700" t="s">
        <v>2176</v>
      </c>
      <c r="F9700">
        <v>5</v>
      </c>
      <c r="G9700" t="s">
        <v>55</v>
      </c>
      <c r="H9700" t="s">
        <v>42</v>
      </c>
      <c r="I9700" t="s">
        <v>2190</v>
      </c>
      <c r="J9700" s="10">
        <v>5.1</v>
      </c>
      <c r="K9700" t="b">
        <v>1</v>
      </c>
    </row>
    <row r="9701" spans="1:11">
      <c r="A9701" s="12">
        <v>42853</v>
      </c>
      <c r="B9701">
        <v>2017</v>
      </c>
      <c r="C9701">
        <v>4</v>
      </c>
      <c r="D9701" s="11">
        <v>42826</v>
      </c>
      <c r="E9701" t="s">
        <v>2176</v>
      </c>
      <c r="F9701">
        <v>5</v>
      </c>
      <c r="G9701" t="s">
        <v>55</v>
      </c>
      <c r="H9701" t="s">
        <v>43</v>
      </c>
      <c r="I9701" t="s">
        <v>2191</v>
      </c>
      <c r="J9701" s="10">
        <v>15.4</v>
      </c>
      <c r="K9701" t="b">
        <v>1</v>
      </c>
    </row>
    <row r="9702" spans="1:11">
      <c r="A9702" s="12">
        <v>42853</v>
      </c>
      <c r="B9702">
        <v>2017</v>
      </c>
      <c r="C9702">
        <v>4</v>
      </c>
      <c r="D9702" s="11">
        <v>42826</v>
      </c>
      <c r="E9702" t="s">
        <v>2176</v>
      </c>
      <c r="F9702">
        <v>5</v>
      </c>
      <c r="G9702" t="s">
        <v>55</v>
      </c>
      <c r="H9702" t="s">
        <v>44</v>
      </c>
      <c r="I9702" t="s">
        <v>2192</v>
      </c>
      <c r="J9702" s="10">
        <v>2</v>
      </c>
      <c r="K9702" t="b">
        <v>1</v>
      </c>
    </row>
    <row r="9703" spans="1:11">
      <c r="A9703" s="12">
        <v>42853</v>
      </c>
      <c r="B9703">
        <v>2017</v>
      </c>
      <c r="C9703">
        <v>4</v>
      </c>
      <c r="D9703" s="11">
        <v>42826</v>
      </c>
      <c r="E9703" t="s">
        <v>2176</v>
      </c>
      <c r="F9703">
        <v>5</v>
      </c>
      <c r="G9703" t="s">
        <v>55</v>
      </c>
      <c r="H9703" t="s">
        <v>45</v>
      </c>
      <c r="I9703" t="s">
        <v>2193</v>
      </c>
      <c r="J9703" s="10">
        <v>0</v>
      </c>
      <c r="K9703" t="b">
        <v>1</v>
      </c>
    </row>
    <row r="9704" spans="1:11">
      <c r="A9704" s="12">
        <v>42853</v>
      </c>
      <c r="B9704">
        <v>2017</v>
      </c>
      <c r="C9704">
        <v>4</v>
      </c>
      <c r="D9704" s="11">
        <v>42826</v>
      </c>
      <c r="E9704" t="s">
        <v>2176</v>
      </c>
      <c r="F9704">
        <v>5</v>
      </c>
      <c r="G9704" t="s">
        <v>55</v>
      </c>
      <c r="H9704" t="s">
        <v>46</v>
      </c>
      <c r="I9704" t="s">
        <v>2194</v>
      </c>
      <c r="J9704" s="10">
        <v>7</v>
      </c>
      <c r="K9704" t="b">
        <v>1</v>
      </c>
    </row>
    <row r="9705" spans="1:11">
      <c r="A9705" s="12">
        <v>42853</v>
      </c>
      <c r="B9705">
        <v>2017</v>
      </c>
      <c r="C9705">
        <v>4</v>
      </c>
      <c r="D9705" s="11">
        <v>42826</v>
      </c>
      <c r="E9705" t="s">
        <v>2176</v>
      </c>
      <c r="F9705">
        <v>5</v>
      </c>
      <c r="G9705" t="s">
        <v>55</v>
      </c>
      <c r="H9705" t="s">
        <v>47</v>
      </c>
      <c r="I9705" t="s">
        <v>2195</v>
      </c>
      <c r="J9705" s="10">
        <v>7</v>
      </c>
      <c r="K9705" t="b">
        <v>1</v>
      </c>
    </row>
    <row r="9706" spans="1:11">
      <c r="A9706" s="12">
        <v>42854</v>
      </c>
      <c r="B9706">
        <v>2017</v>
      </c>
      <c r="C9706">
        <v>4</v>
      </c>
      <c r="D9706" s="11">
        <v>42826</v>
      </c>
      <c r="E9706" t="s">
        <v>2176</v>
      </c>
      <c r="F9706">
        <v>6</v>
      </c>
      <c r="G9706" t="s">
        <v>57</v>
      </c>
      <c r="H9706" t="s">
        <v>40</v>
      </c>
      <c r="I9706" t="s">
        <v>2188</v>
      </c>
      <c r="J9706" s="10">
        <v>5</v>
      </c>
      <c r="K9706" t="b">
        <v>1</v>
      </c>
    </row>
    <row r="9707" spans="1:11">
      <c r="A9707" s="12">
        <v>42854</v>
      </c>
      <c r="B9707">
        <v>2017</v>
      </c>
      <c r="C9707">
        <v>4</v>
      </c>
      <c r="D9707" s="11">
        <v>42826</v>
      </c>
      <c r="E9707" t="s">
        <v>2176</v>
      </c>
      <c r="F9707">
        <v>6</v>
      </c>
      <c r="G9707" t="s">
        <v>57</v>
      </c>
      <c r="H9707" t="s">
        <v>41</v>
      </c>
      <c r="I9707" t="s">
        <v>2189</v>
      </c>
      <c r="J9707" s="10">
        <v>9</v>
      </c>
      <c r="K9707" t="b">
        <v>1</v>
      </c>
    </row>
    <row r="9708" spans="1:11">
      <c r="A9708" s="12">
        <v>42854</v>
      </c>
      <c r="B9708">
        <v>2017</v>
      </c>
      <c r="C9708">
        <v>4</v>
      </c>
      <c r="D9708" s="11">
        <v>42826</v>
      </c>
      <c r="E9708" t="s">
        <v>2176</v>
      </c>
      <c r="F9708">
        <v>6</v>
      </c>
      <c r="G9708" t="s">
        <v>57</v>
      </c>
      <c r="H9708" t="s">
        <v>42</v>
      </c>
      <c r="I9708" t="s">
        <v>2190</v>
      </c>
      <c r="J9708" s="10">
        <v>2.3</v>
      </c>
      <c r="K9708" t="b">
        <v>1</v>
      </c>
    </row>
    <row r="9709" spans="1:11">
      <c r="A9709" s="12">
        <v>42854</v>
      </c>
      <c r="B9709">
        <v>2017</v>
      </c>
      <c r="C9709">
        <v>4</v>
      </c>
      <c r="D9709" s="11">
        <v>42826</v>
      </c>
      <c r="E9709" t="s">
        <v>2176</v>
      </c>
      <c r="F9709">
        <v>6</v>
      </c>
      <c r="G9709" t="s">
        <v>57</v>
      </c>
      <c r="H9709" t="s">
        <v>43</v>
      </c>
      <c r="I9709" t="s">
        <v>2191</v>
      </c>
      <c r="J9709" s="10">
        <v>15</v>
      </c>
      <c r="K9709" t="b">
        <v>1</v>
      </c>
    </row>
    <row r="9710" spans="1:11">
      <c r="A9710" s="12">
        <v>42854</v>
      </c>
      <c r="B9710">
        <v>2017</v>
      </c>
      <c r="C9710">
        <v>4</v>
      </c>
      <c r="D9710" s="11">
        <v>42826</v>
      </c>
      <c r="E9710" t="s">
        <v>2176</v>
      </c>
      <c r="F9710">
        <v>6</v>
      </c>
      <c r="G9710" t="s">
        <v>57</v>
      </c>
      <c r="H9710" t="s">
        <v>44</v>
      </c>
      <c r="I9710" t="s">
        <v>2192</v>
      </c>
      <c r="J9710" s="10">
        <v>3</v>
      </c>
      <c r="K9710" t="b">
        <v>1</v>
      </c>
    </row>
    <row r="9711" spans="1:11">
      <c r="A9711" s="12">
        <v>42854</v>
      </c>
      <c r="B9711">
        <v>2017</v>
      </c>
      <c r="C9711">
        <v>4</v>
      </c>
      <c r="D9711" s="11">
        <v>42826</v>
      </c>
      <c r="E9711" t="s">
        <v>2176</v>
      </c>
      <c r="F9711">
        <v>6</v>
      </c>
      <c r="G9711" t="s">
        <v>57</v>
      </c>
      <c r="H9711" t="s">
        <v>45</v>
      </c>
      <c r="I9711" t="s">
        <v>2193</v>
      </c>
      <c r="J9711" s="10">
        <v>1</v>
      </c>
      <c r="K9711" t="b">
        <v>1</v>
      </c>
    </row>
    <row r="9712" spans="1:11">
      <c r="A9712" s="12">
        <v>42854</v>
      </c>
      <c r="B9712">
        <v>2017</v>
      </c>
      <c r="C9712">
        <v>4</v>
      </c>
      <c r="D9712" s="11">
        <v>42826</v>
      </c>
      <c r="E9712" t="s">
        <v>2176</v>
      </c>
      <c r="F9712">
        <v>6</v>
      </c>
      <c r="G9712" t="s">
        <v>57</v>
      </c>
      <c r="H9712" t="s">
        <v>46</v>
      </c>
      <c r="I9712" t="s">
        <v>2194</v>
      </c>
      <c r="J9712" s="10">
        <v>1</v>
      </c>
      <c r="K9712" t="b">
        <v>1</v>
      </c>
    </row>
    <row r="9713" spans="1:11">
      <c r="A9713" s="12">
        <v>42854</v>
      </c>
      <c r="B9713">
        <v>2017</v>
      </c>
      <c r="C9713">
        <v>4</v>
      </c>
      <c r="D9713" s="11">
        <v>42826</v>
      </c>
      <c r="E9713" t="s">
        <v>2176</v>
      </c>
      <c r="F9713">
        <v>6</v>
      </c>
      <c r="G9713" t="s">
        <v>57</v>
      </c>
      <c r="H9713" t="s">
        <v>47</v>
      </c>
      <c r="I9713" t="s">
        <v>2195</v>
      </c>
      <c r="J9713" s="10">
        <v>8</v>
      </c>
      <c r="K9713" t="b">
        <v>1</v>
      </c>
    </row>
    <row r="9714" spans="1:11">
      <c r="A9714" s="12">
        <v>42855</v>
      </c>
      <c r="B9714">
        <v>2017</v>
      </c>
      <c r="C9714">
        <v>4</v>
      </c>
      <c r="D9714" s="11">
        <v>42826</v>
      </c>
      <c r="E9714" t="s">
        <v>2176</v>
      </c>
      <c r="F9714">
        <v>7</v>
      </c>
      <c r="G9714" t="s">
        <v>59</v>
      </c>
      <c r="H9714" t="s">
        <v>40</v>
      </c>
      <c r="I9714" t="s">
        <v>2188</v>
      </c>
      <c r="J9714" s="10">
        <v>1</v>
      </c>
      <c r="K9714" t="b">
        <v>1</v>
      </c>
    </row>
    <row r="9715" spans="1:11">
      <c r="A9715" s="12">
        <v>42855</v>
      </c>
      <c r="B9715">
        <v>2017</v>
      </c>
      <c r="C9715">
        <v>4</v>
      </c>
      <c r="D9715" s="11">
        <v>42826</v>
      </c>
      <c r="E9715" t="s">
        <v>2176</v>
      </c>
      <c r="F9715">
        <v>7</v>
      </c>
      <c r="G9715" t="s">
        <v>59</v>
      </c>
      <c r="H9715" t="s">
        <v>41</v>
      </c>
      <c r="I9715" t="s">
        <v>2189</v>
      </c>
      <c r="J9715" s="10">
        <v>4.046</v>
      </c>
      <c r="K9715" t="b">
        <v>1</v>
      </c>
    </row>
    <row r="9716" spans="1:11">
      <c r="A9716" s="12">
        <v>42855</v>
      </c>
      <c r="B9716">
        <v>2017</v>
      </c>
      <c r="C9716">
        <v>4</v>
      </c>
      <c r="D9716" s="11">
        <v>42826</v>
      </c>
      <c r="E9716" t="s">
        <v>2176</v>
      </c>
      <c r="F9716">
        <v>7</v>
      </c>
      <c r="G9716" t="s">
        <v>59</v>
      </c>
      <c r="H9716" t="s">
        <v>42</v>
      </c>
      <c r="I9716" t="s">
        <v>2190</v>
      </c>
      <c r="J9716" s="10">
        <v>2.3</v>
      </c>
      <c r="K9716" t="b">
        <v>1</v>
      </c>
    </row>
    <row r="9717" spans="1:11">
      <c r="A9717" s="12">
        <v>42855</v>
      </c>
      <c r="B9717">
        <v>2017</v>
      </c>
      <c r="C9717">
        <v>4</v>
      </c>
      <c r="D9717" s="11">
        <v>42826</v>
      </c>
      <c r="E9717" t="s">
        <v>2176</v>
      </c>
      <c r="F9717">
        <v>7</v>
      </c>
      <c r="G9717" t="s">
        <v>59</v>
      </c>
      <c r="H9717" t="s">
        <v>43</v>
      </c>
      <c r="I9717" t="s">
        <v>2191</v>
      </c>
      <c r="J9717" s="10">
        <v>18</v>
      </c>
      <c r="K9717" t="b">
        <v>1</v>
      </c>
    </row>
    <row r="9718" spans="1:11">
      <c r="A9718" s="12">
        <v>42855</v>
      </c>
      <c r="B9718">
        <v>2017</v>
      </c>
      <c r="C9718">
        <v>4</v>
      </c>
      <c r="D9718" s="11">
        <v>42826</v>
      </c>
      <c r="E9718" t="s">
        <v>2176</v>
      </c>
      <c r="F9718">
        <v>7</v>
      </c>
      <c r="G9718" t="s">
        <v>59</v>
      </c>
      <c r="H9718" t="s">
        <v>44</v>
      </c>
      <c r="I9718" t="s">
        <v>2192</v>
      </c>
      <c r="J9718" s="10">
        <v>2</v>
      </c>
      <c r="K9718" t="b">
        <v>1</v>
      </c>
    </row>
    <row r="9719" spans="1:11">
      <c r="A9719" s="12">
        <v>42855</v>
      </c>
      <c r="B9719">
        <v>2017</v>
      </c>
      <c r="C9719">
        <v>4</v>
      </c>
      <c r="D9719" s="11">
        <v>42826</v>
      </c>
      <c r="E9719" t="s">
        <v>2176</v>
      </c>
      <c r="F9719">
        <v>7</v>
      </c>
      <c r="G9719" t="s">
        <v>59</v>
      </c>
      <c r="H9719" t="s">
        <v>45</v>
      </c>
      <c r="I9719" t="s">
        <v>2193</v>
      </c>
      <c r="J9719" s="10">
        <v>0</v>
      </c>
      <c r="K9719" t="b">
        <v>1</v>
      </c>
    </row>
    <row r="9720" spans="1:11">
      <c r="A9720" s="12">
        <v>42855</v>
      </c>
      <c r="B9720">
        <v>2017</v>
      </c>
      <c r="C9720">
        <v>4</v>
      </c>
      <c r="D9720" s="11">
        <v>42826</v>
      </c>
      <c r="E9720" t="s">
        <v>2176</v>
      </c>
      <c r="F9720">
        <v>7</v>
      </c>
      <c r="G9720" t="s">
        <v>59</v>
      </c>
      <c r="H9720" t="s">
        <v>46</v>
      </c>
      <c r="I9720" t="s">
        <v>2194</v>
      </c>
      <c r="J9720" s="10">
        <v>12</v>
      </c>
      <c r="K9720" t="b">
        <v>1</v>
      </c>
    </row>
    <row r="9721" spans="1:11">
      <c r="A9721" s="12">
        <v>42855</v>
      </c>
      <c r="B9721">
        <v>2017</v>
      </c>
      <c r="C9721">
        <v>4</v>
      </c>
      <c r="D9721" s="11">
        <v>42826</v>
      </c>
      <c r="E9721" t="s">
        <v>2176</v>
      </c>
      <c r="F9721">
        <v>7</v>
      </c>
      <c r="G9721" t="s">
        <v>59</v>
      </c>
      <c r="H9721" t="s">
        <v>47</v>
      </c>
      <c r="I9721" t="s">
        <v>2195</v>
      </c>
      <c r="J9721" s="10">
        <v>2</v>
      </c>
      <c r="K9721" t="b">
        <v>1</v>
      </c>
    </row>
    <row r="9722" spans="1:11">
      <c r="A9722" s="12">
        <v>42856</v>
      </c>
      <c r="B9722">
        <v>2017</v>
      </c>
      <c r="C9722">
        <v>5</v>
      </c>
      <c r="D9722" s="11">
        <v>42856</v>
      </c>
      <c r="E9722" t="s">
        <v>2177</v>
      </c>
      <c r="F9722">
        <v>1</v>
      </c>
      <c r="G9722" t="s">
        <v>61</v>
      </c>
      <c r="H9722" t="s">
        <v>40</v>
      </c>
      <c r="I9722" t="s">
        <v>2188</v>
      </c>
      <c r="J9722" s="10">
        <v>0.34</v>
      </c>
      <c r="K9722" t="b">
        <v>1</v>
      </c>
    </row>
    <row r="9723" spans="1:11">
      <c r="A9723" s="12">
        <v>42856</v>
      </c>
      <c r="B9723">
        <v>2017</v>
      </c>
      <c r="C9723">
        <v>5</v>
      </c>
      <c r="D9723" s="11">
        <v>42856</v>
      </c>
      <c r="E9723" t="s">
        <v>2177</v>
      </c>
      <c r="F9723">
        <v>1</v>
      </c>
      <c r="G9723" t="s">
        <v>61</v>
      </c>
      <c r="H9723" t="s">
        <v>41</v>
      </c>
      <c r="I9723" t="s">
        <v>2189</v>
      </c>
      <c r="J9723" s="10">
        <v>1</v>
      </c>
      <c r="K9723" t="b">
        <v>1</v>
      </c>
    </row>
    <row r="9724" spans="1:11">
      <c r="A9724" s="12">
        <v>42856</v>
      </c>
      <c r="B9724">
        <v>2017</v>
      </c>
      <c r="C9724">
        <v>5</v>
      </c>
      <c r="D9724" s="11">
        <v>42856</v>
      </c>
      <c r="E9724" t="s">
        <v>2177</v>
      </c>
      <c r="F9724">
        <v>1</v>
      </c>
      <c r="G9724" t="s">
        <v>61</v>
      </c>
      <c r="H9724" t="s">
        <v>42</v>
      </c>
      <c r="I9724" t="s">
        <v>2190</v>
      </c>
      <c r="J9724" s="10">
        <v>1</v>
      </c>
      <c r="K9724" t="b">
        <v>1</v>
      </c>
    </row>
    <row r="9725" spans="1:11">
      <c r="A9725" s="12">
        <v>42856</v>
      </c>
      <c r="B9725">
        <v>2017</v>
      </c>
      <c r="C9725">
        <v>5</v>
      </c>
      <c r="D9725" s="11">
        <v>42856</v>
      </c>
      <c r="E9725" t="s">
        <v>2177</v>
      </c>
      <c r="F9725">
        <v>1</v>
      </c>
      <c r="G9725" t="s">
        <v>61</v>
      </c>
      <c r="H9725" t="s">
        <v>43</v>
      </c>
      <c r="I9725" t="s">
        <v>2191</v>
      </c>
      <c r="J9725" s="10">
        <v>1.2</v>
      </c>
      <c r="K9725" t="b">
        <v>1</v>
      </c>
    </row>
    <row r="9726" spans="1:11">
      <c r="A9726" s="12">
        <v>42856</v>
      </c>
      <c r="B9726">
        <v>2017</v>
      </c>
      <c r="C9726">
        <v>5</v>
      </c>
      <c r="D9726" s="11">
        <v>42856</v>
      </c>
      <c r="E9726" t="s">
        <v>2177</v>
      </c>
      <c r="F9726">
        <v>1</v>
      </c>
      <c r="G9726" t="s">
        <v>61</v>
      </c>
      <c r="H9726" t="s">
        <v>44</v>
      </c>
      <c r="I9726" t="s">
        <v>2192</v>
      </c>
      <c r="J9726" s="10">
        <v>0</v>
      </c>
      <c r="K9726" t="b">
        <v>1</v>
      </c>
    </row>
    <row r="9727" spans="1:11">
      <c r="A9727" s="12">
        <v>42856</v>
      </c>
      <c r="B9727">
        <v>2017</v>
      </c>
      <c r="C9727">
        <v>5</v>
      </c>
      <c r="D9727" s="11">
        <v>42856</v>
      </c>
      <c r="E9727" t="s">
        <v>2177</v>
      </c>
      <c r="F9727">
        <v>1</v>
      </c>
      <c r="G9727" t="s">
        <v>61</v>
      </c>
      <c r="H9727" t="s">
        <v>45</v>
      </c>
      <c r="I9727" t="s">
        <v>2193</v>
      </c>
      <c r="J9727" s="10">
        <v>0</v>
      </c>
      <c r="K9727" t="b">
        <v>1</v>
      </c>
    </row>
    <row r="9728" spans="1:11">
      <c r="A9728" s="12">
        <v>42856</v>
      </c>
      <c r="B9728">
        <v>2017</v>
      </c>
      <c r="C9728">
        <v>5</v>
      </c>
      <c r="D9728" s="11">
        <v>42856</v>
      </c>
      <c r="E9728" t="s">
        <v>2177</v>
      </c>
      <c r="F9728">
        <v>1</v>
      </c>
      <c r="G9728" t="s">
        <v>61</v>
      </c>
      <c r="H9728" t="s">
        <v>46</v>
      </c>
      <c r="I9728" t="s">
        <v>2194</v>
      </c>
      <c r="J9728" s="10">
        <v>0</v>
      </c>
      <c r="K9728" t="b">
        <v>1</v>
      </c>
    </row>
    <row r="9729" spans="1:11">
      <c r="A9729" s="12">
        <v>42856</v>
      </c>
      <c r="B9729">
        <v>2017</v>
      </c>
      <c r="C9729">
        <v>5</v>
      </c>
      <c r="D9729" s="11">
        <v>42856</v>
      </c>
      <c r="E9729" t="s">
        <v>2177</v>
      </c>
      <c r="F9729">
        <v>1</v>
      </c>
      <c r="G9729" t="s">
        <v>61</v>
      </c>
      <c r="H9729" t="s">
        <v>47</v>
      </c>
      <c r="I9729" t="s">
        <v>2195</v>
      </c>
      <c r="J9729" s="10">
        <v>1</v>
      </c>
      <c r="K9729" t="b">
        <v>1</v>
      </c>
    </row>
    <row r="9730" spans="1:11">
      <c r="A9730" s="12">
        <v>42857</v>
      </c>
      <c r="B9730">
        <v>2017</v>
      </c>
      <c r="C9730">
        <v>5</v>
      </c>
      <c r="D9730" s="11">
        <v>42856</v>
      </c>
      <c r="E9730" t="s">
        <v>2177</v>
      </c>
      <c r="F9730">
        <v>2</v>
      </c>
      <c r="G9730" t="s">
        <v>63</v>
      </c>
      <c r="H9730" t="s">
        <v>40</v>
      </c>
      <c r="I9730" t="s">
        <v>2188</v>
      </c>
      <c r="J9730" s="10">
        <v>2</v>
      </c>
      <c r="K9730" t="b">
        <v>1</v>
      </c>
    </row>
    <row r="9731" spans="1:11">
      <c r="A9731" s="12">
        <v>42857</v>
      </c>
      <c r="B9731">
        <v>2017</v>
      </c>
      <c r="C9731">
        <v>5</v>
      </c>
      <c r="D9731" s="11">
        <v>42856</v>
      </c>
      <c r="E9731" t="s">
        <v>2177</v>
      </c>
      <c r="F9731">
        <v>2</v>
      </c>
      <c r="G9731" t="s">
        <v>63</v>
      </c>
      <c r="H9731" t="s">
        <v>41</v>
      </c>
      <c r="I9731" t="s">
        <v>2189</v>
      </c>
      <c r="J9731" s="10">
        <v>6.033</v>
      </c>
      <c r="K9731" t="b">
        <v>1</v>
      </c>
    </row>
    <row r="9732" spans="1:11">
      <c r="A9732" s="12">
        <v>42857</v>
      </c>
      <c r="B9732">
        <v>2017</v>
      </c>
      <c r="C9732">
        <v>5</v>
      </c>
      <c r="D9732" s="11">
        <v>42856</v>
      </c>
      <c r="E9732" t="s">
        <v>2177</v>
      </c>
      <c r="F9732">
        <v>2</v>
      </c>
      <c r="G9732" t="s">
        <v>63</v>
      </c>
      <c r="H9732" t="s">
        <v>42</v>
      </c>
      <c r="I9732" t="s">
        <v>2190</v>
      </c>
      <c r="J9732" s="10">
        <v>1</v>
      </c>
      <c r="K9732" t="b">
        <v>1</v>
      </c>
    </row>
    <row r="9733" spans="1:11">
      <c r="A9733" s="12">
        <v>42857</v>
      </c>
      <c r="B9733">
        <v>2017</v>
      </c>
      <c r="C9733">
        <v>5</v>
      </c>
      <c r="D9733" s="11">
        <v>42856</v>
      </c>
      <c r="E9733" t="s">
        <v>2177</v>
      </c>
      <c r="F9733">
        <v>2</v>
      </c>
      <c r="G9733" t="s">
        <v>63</v>
      </c>
      <c r="H9733" t="s">
        <v>43</v>
      </c>
      <c r="I9733" t="s">
        <v>2191</v>
      </c>
      <c r="J9733" s="10">
        <v>23</v>
      </c>
      <c r="K9733" t="b">
        <v>1</v>
      </c>
    </row>
    <row r="9734" spans="1:11">
      <c r="A9734" s="12">
        <v>42857</v>
      </c>
      <c r="B9734">
        <v>2017</v>
      </c>
      <c r="C9734">
        <v>5</v>
      </c>
      <c r="D9734" s="11">
        <v>42856</v>
      </c>
      <c r="E9734" t="s">
        <v>2177</v>
      </c>
      <c r="F9734">
        <v>2</v>
      </c>
      <c r="G9734" t="s">
        <v>63</v>
      </c>
      <c r="H9734" t="s">
        <v>44</v>
      </c>
      <c r="I9734" t="s">
        <v>2192</v>
      </c>
      <c r="J9734" s="10">
        <v>5</v>
      </c>
      <c r="K9734" t="b">
        <v>1</v>
      </c>
    </row>
    <row r="9735" spans="1:11">
      <c r="A9735" s="12">
        <v>42857</v>
      </c>
      <c r="B9735">
        <v>2017</v>
      </c>
      <c r="C9735">
        <v>5</v>
      </c>
      <c r="D9735" s="11">
        <v>42856</v>
      </c>
      <c r="E9735" t="s">
        <v>2177</v>
      </c>
      <c r="F9735">
        <v>2</v>
      </c>
      <c r="G9735" t="s">
        <v>63</v>
      </c>
      <c r="H9735" t="s">
        <v>45</v>
      </c>
      <c r="I9735" t="s">
        <v>2193</v>
      </c>
      <c r="J9735" s="10">
        <v>0</v>
      </c>
      <c r="K9735" t="b">
        <v>1</v>
      </c>
    </row>
    <row r="9736" spans="1:11">
      <c r="A9736" s="12">
        <v>42857</v>
      </c>
      <c r="B9736">
        <v>2017</v>
      </c>
      <c r="C9736">
        <v>5</v>
      </c>
      <c r="D9736" s="11">
        <v>42856</v>
      </c>
      <c r="E9736" t="s">
        <v>2177</v>
      </c>
      <c r="F9736">
        <v>2</v>
      </c>
      <c r="G9736" t="s">
        <v>63</v>
      </c>
      <c r="H9736" t="s">
        <v>46</v>
      </c>
      <c r="I9736" t="s">
        <v>2194</v>
      </c>
      <c r="J9736" s="10">
        <v>6</v>
      </c>
      <c r="K9736" t="b">
        <v>1</v>
      </c>
    </row>
    <row r="9737" spans="1:11">
      <c r="A9737" s="12">
        <v>42857</v>
      </c>
      <c r="B9737">
        <v>2017</v>
      </c>
      <c r="C9737">
        <v>5</v>
      </c>
      <c r="D9737" s="11">
        <v>42856</v>
      </c>
      <c r="E9737" t="s">
        <v>2177</v>
      </c>
      <c r="F9737">
        <v>2</v>
      </c>
      <c r="G9737" t="s">
        <v>63</v>
      </c>
      <c r="H9737" t="s">
        <v>47</v>
      </c>
      <c r="I9737" t="s">
        <v>2195</v>
      </c>
      <c r="J9737" s="10">
        <v>5</v>
      </c>
      <c r="K9737" t="b">
        <v>1</v>
      </c>
    </row>
    <row r="9738" spans="1:11">
      <c r="A9738" s="12">
        <v>42858</v>
      </c>
      <c r="B9738">
        <v>2017</v>
      </c>
      <c r="C9738">
        <v>5</v>
      </c>
      <c r="D9738" s="11">
        <v>42856</v>
      </c>
      <c r="E9738" t="s">
        <v>2177</v>
      </c>
      <c r="F9738">
        <v>3</v>
      </c>
      <c r="G9738" t="s">
        <v>65</v>
      </c>
      <c r="H9738" t="s">
        <v>40</v>
      </c>
      <c r="I9738" t="s">
        <v>2188</v>
      </c>
      <c r="J9738" s="10">
        <v>1.33</v>
      </c>
      <c r="K9738" t="b">
        <v>1</v>
      </c>
    </row>
    <row r="9739" spans="1:11">
      <c r="A9739" s="12">
        <v>42858</v>
      </c>
      <c r="B9739">
        <v>2017</v>
      </c>
      <c r="C9739">
        <v>5</v>
      </c>
      <c r="D9739" s="11">
        <v>42856</v>
      </c>
      <c r="E9739" t="s">
        <v>2177</v>
      </c>
      <c r="F9739">
        <v>3</v>
      </c>
      <c r="G9739" t="s">
        <v>65</v>
      </c>
      <c r="H9739" t="s">
        <v>41</v>
      </c>
      <c r="I9739" t="s">
        <v>2189</v>
      </c>
      <c r="J9739" s="10">
        <v>3.34</v>
      </c>
      <c r="K9739" t="b">
        <v>1</v>
      </c>
    </row>
    <row r="9740" spans="1:11">
      <c r="A9740" s="12">
        <v>42858</v>
      </c>
      <c r="B9740">
        <v>2017</v>
      </c>
      <c r="C9740">
        <v>5</v>
      </c>
      <c r="D9740" s="11">
        <v>42856</v>
      </c>
      <c r="E9740" t="s">
        <v>2177</v>
      </c>
      <c r="F9740">
        <v>3</v>
      </c>
      <c r="G9740" t="s">
        <v>65</v>
      </c>
      <c r="H9740" t="s">
        <v>42</v>
      </c>
      <c r="I9740" t="s">
        <v>2190</v>
      </c>
      <c r="J9740" s="10">
        <v>6</v>
      </c>
      <c r="K9740" t="b">
        <v>1</v>
      </c>
    </row>
    <row r="9741" spans="1:11">
      <c r="A9741" s="12">
        <v>42858</v>
      </c>
      <c r="B9741">
        <v>2017</v>
      </c>
      <c r="C9741">
        <v>5</v>
      </c>
      <c r="D9741" s="11">
        <v>42856</v>
      </c>
      <c r="E9741" t="s">
        <v>2177</v>
      </c>
      <c r="F9741">
        <v>3</v>
      </c>
      <c r="G9741" t="s">
        <v>65</v>
      </c>
      <c r="H9741" t="s">
        <v>43</v>
      </c>
      <c r="I9741" t="s">
        <v>2191</v>
      </c>
      <c r="J9741" s="10">
        <v>18.2</v>
      </c>
      <c r="K9741" t="b">
        <v>1</v>
      </c>
    </row>
    <row r="9742" spans="1:11">
      <c r="A9742" s="12">
        <v>42858</v>
      </c>
      <c r="B9742">
        <v>2017</v>
      </c>
      <c r="C9742">
        <v>5</v>
      </c>
      <c r="D9742" s="11">
        <v>42856</v>
      </c>
      <c r="E9742" t="s">
        <v>2177</v>
      </c>
      <c r="F9742">
        <v>3</v>
      </c>
      <c r="G9742" t="s">
        <v>65</v>
      </c>
      <c r="H9742" t="s">
        <v>44</v>
      </c>
      <c r="I9742" t="s">
        <v>2192</v>
      </c>
      <c r="J9742" s="10">
        <v>6</v>
      </c>
      <c r="K9742" t="b">
        <v>1</v>
      </c>
    </row>
    <row r="9743" spans="1:11">
      <c r="A9743" s="12">
        <v>42858</v>
      </c>
      <c r="B9743">
        <v>2017</v>
      </c>
      <c r="C9743">
        <v>5</v>
      </c>
      <c r="D9743" s="11">
        <v>42856</v>
      </c>
      <c r="E9743" t="s">
        <v>2177</v>
      </c>
      <c r="F9743">
        <v>3</v>
      </c>
      <c r="G9743" t="s">
        <v>65</v>
      </c>
      <c r="H9743" t="s">
        <v>45</v>
      </c>
      <c r="I9743" t="s">
        <v>2193</v>
      </c>
      <c r="J9743" s="10">
        <v>0</v>
      </c>
      <c r="K9743" t="b">
        <v>1</v>
      </c>
    </row>
    <row r="9744" spans="1:11">
      <c r="A9744" s="12">
        <v>42858</v>
      </c>
      <c r="B9744">
        <v>2017</v>
      </c>
      <c r="C9744">
        <v>5</v>
      </c>
      <c r="D9744" s="11">
        <v>42856</v>
      </c>
      <c r="E9744" t="s">
        <v>2177</v>
      </c>
      <c r="F9744">
        <v>3</v>
      </c>
      <c r="G9744" t="s">
        <v>65</v>
      </c>
      <c r="H9744" t="s">
        <v>46</v>
      </c>
      <c r="I9744" t="s">
        <v>2194</v>
      </c>
      <c r="J9744" s="10">
        <v>20</v>
      </c>
      <c r="K9744" t="b">
        <v>1</v>
      </c>
    </row>
    <row r="9745" spans="1:11">
      <c r="A9745" s="12">
        <v>42858</v>
      </c>
      <c r="B9745">
        <v>2017</v>
      </c>
      <c r="C9745">
        <v>5</v>
      </c>
      <c r="D9745" s="11">
        <v>42856</v>
      </c>
      <c r="E9745" t="s">
        <v>2177</v>
      </c>
      <c r="F9745">
        <v>3</v>
      </c>
      <c r="G9745" t="s">
        <v>65</v>
      </c>
      <c r="H9745" t="s">
        <v>47</v>
      </c>
      <c r="I9745" t="s">
        <v>2195</v>
      </c>
      <c r="J9745" s="10">
        <v>2</v>
      </c>
      <c r="K9745" t="b">
        <v>1</v>
      </c>
    </row>
    <row r="9746" spans="1:11">
      <c r="A9746" s="12">
        <v>42859</v>
      </c>
      <c r="B9746">
        <v>2017</v>
      </c>
      <c r="C9746">
        <v>5</v>
      </c>
      <c r="D9746" s="11">
        <v>42856</v>
      </c>
      <c r="E9746" t="s">
        <v>2177</v>
      </c>
      <c r="F9746">
        <v>4</v>
      </c>
      <c r="G9746" t="s">
        <v>53</v>
      </c>
      <c r="H9746" t="s">
        <v>40</v>
      </c>
      <c r="I9746" t="s">
        <v>2188</v>
      </c>
      <c r="J9746" s="10">
        <v>5.67</v>
      </c>
      <c r="K9746" t="b">
        <v>1</v>
      </c>
    </row>
    <row r="9747" spans="1:11">
      <c r="A9747" s="12">
        <v>42859</v>
      </c>
      <c r="B9747">
        <v>2017</v>
      </c>
      <c r="C9747">
        <v>5</v>
      </c>
      <c r="D9747" s="11">
        <v>42856</v>
      </c>
      <c r="E9747" t="s">
        <v>2177</v>
      </c>
      <c r="F9747">
        <v>4</v>
      </c>
      <c r="G9747" t="s">
        <v>53</v>
      </c>
      <c r="H9747" t="s">
        <v>41</v>
      </c>
      <c r="I9747" t="s">
        <v>2189</v>
      </c>
      <c r="J9747" s="10">
        <v>5.66</v>
      </c>
      <c r="K9747" t="b">
        <v>1</v>
      </c>
    </row>
    <row r="9748" spans="1:11">
      <c r="A9748" s="12">
        <v>42859</v>
      </c>
      <c r="B9748">
        <v>2017</v>
      </c>
      <c r="C9748">
        <v>5</v>
      </c>
      <c r="D9748" s="11">
        <v>42856</v>
      </c>
      <c r="E9748" t="s">
        <v>2177</v>
      </c>
      <c r="F9748">
        <v>4</v>
      </c>
      <c r="G9748" t="s">
        <v>53</v>
      </c>
      <c r="H9748" t="s">
        <v>42</v>
      </c>
      <c r="I9748" t="s">
        <v>2190</v>
      </c>
      <c r="J9748" s="10">
        <v>1</v>
      </c>
      <c r="K9748" t="b">
        <v>1</v>
      </c>
    </row>
    <row r="9749" spans="1:11">
      <c r="A9749" s="12">
        <v>42859</v>
      </c>
      <c r="B9749">
        <v>2017</v>
      </c>
      <c r="C9749">
        <v>5</v>
      </c>
      <c r="D9749" s="11">
        <v>42856</v>
      </c>
      <c r="E9749" t="s">
        <v>2177</v>
      </c>
      <c r="F9749">
        <v>4</v>
      </c>
      <c r="G9749" t="s">
        <v>53</v>
      </c>
      <c r="H9749" t="s">
        <v>43</v>
      </c>
      <c r="I9749" t="s">
        <v>2191</v>
      </c>
      <c r="J9749" s="10">
        <v>11.6</v>
      </c>
      <c r="K9749" t="b">
        <v>1</v>
      </c>
    </row>
    <row r="9750" spans="1:11">
      <c r="A9750" s="12">
        <v>42859</v>
      </c>
      <c r="B9750">
        <v>2017</v>
      </c>
      <c r="C9750">
        <v>5</v>
      </c>
      <c r="D9750" s="11">
        <v>42856</v>
      </c>
      <c r="E9750" t="s">
        <v>2177</v>
      </c>
      <c r="F9750">
        <v>4</v>
      </c>
      <c r="G9750" t="s">
        <v>53</v>
      </c>
      <c r="H9750" t="s">
        <v>44</v>
      </c>
      <c r="I9750" t="s">
        <v>2192</v>
      </c>
      <c r="J9750" s="10">
        <v>4</v>
      </c>
      <c r="K9750" t="b">
        <v>1</v>
      </c>
    </row>
    <row r="9751" spans="1:11">
      <c r="A9751" s="12">
        <v>42859</v>
      </c>
      <c r="B9751">
        <v>2017</v>
      </c>
      <c r="C9751">
        <v>5</v>
      </c>
      <c r="D9751" s="11">
        <v>42856</v>
      </c>
      <c r="E9751" t="s">
        <v>2177</v>
      </c>
      <c r="F9751">
        <v>4</v>
      </c>
      <c r="G9751" t="s">
        <v>53</v>
      </c>
      <c r="H9751" t="s">
        <v>45</v>
      </c>
      <c r="I9751" t="s">
        <v>2193</v>
      </c>
      <c r="J9751" s="10">
        <v>0</v>
      </c>
      <c r="K9751" t="b">
        <v>1</v>
      </c>
    </row>
    <row r="9752" spans="1:11">
      <c r="A9752" s="12">
        <v>42859</v>
      </c>
      <c r="B9752">
        <v>2017</v>
      </c>
      <c r="C9752">
        <v>5</v>
      </c>
      <c r="D9752" s="11">
        <v>42856</v>
      </c>
      <c r="E9752" t="s">
        <v>2177</v>
      </c>
      <c r="F9752">
        <v>4</v>
      </c>
      <c r="G9752" t="s">
        <v>53</v>
      </c>
      <c r="H9752" t="s">
        <v>46</v>
      </c>
      <c r="I9752" t="s">
        <v>2194</v>
      </c>
      <c r="J9752" s="10">
        <v>2</v>
      </c>
      <c r="K9752" t="b">
        <v>1</v>
      </c>
    </row>
    <row r="9753" spans="1:11">
      <c r="A9753" s="12">
        <v>42859</v>
      </c>
      <c r="B9753">
        <v>2017</v>
      </c>
      <c r="C9753">
        <v>5</v>
      </c>
      <c r="D9753" s="11">
        <v>42856</v>
      </c>
      <c r="E9753" t="s">
        <v>2177</v>
      </c>
      <c r="F9753">
        <v>4</v>
      </c>
      <c r="G9753" t="s">
        <v>53</v>
      </c>
      <c r="H9753" t="s">
        <v>47</v>
      </c>
      <c r="I9753" t="s">
        <v>2195</v>
      </c>
      <c r="J9753" s="10">
        <v>4.1</v>
      </c>
      <c r="K9753" t="b">
        <v>1</v>
      </c>
    </row>
    <row r="9754" spans="1:11">
      <c r="A9754" s="12">
        <v>42860</v>
      </c>
      <c r="B9754">
        <v>2017</v>
      </c>
      <c r="C9754">
        <v>5</v>
      </c>
      <c r="D9754" s="11">
        <v>42856</v>
      </c>
      <c r="E9754" t="s">
        <v>2177</v>
      </c>
      <c r="F9754">
        <v>5</v>
      </c>
      <c r="G9754" t="s">
        <v>55</v>
      </c>
      <c r="H9754" t="s">
        <v>40</v>
      </c>
      <c r="I9754" t="s">
        <v>2188</v>
      </c>
      <c r="J9754" s="10">
        <v>2.34</v>
      </c>
      <c r="K9754" t="b">
        <v>1</v>
      </c>
    </row>
    <row r="9755" spans="1:11">
      <c r="A9755" s="12">
        <v>42860</v>
      </c>
      <c r="B9755">
        <v>2017</v>
      </c>
      <c r="C9755">
        <v>5</v>
      </c>
      <c r="D9755" s="11">
        <v>42856</v>
      </c>
      <c r="E9755" t="s">
        <v>2177</v>
      </c>
      <c r="F9755">
        <v>5</v>
      </c>
      <c r="G9755" t="s">
        <v>55</v>
      </c>
      <c r="H9755" t="s">
        <v>41</v>
      </c>
      <c r="I9755" t="s">
        <v>2189</v>
      </c>
      <c r="J9755" s="10">
        <v>5.33</v>
      </c>
      <c r="K9755" t="b">
        <v>1</v>
      </c>
    </row>
    <row r="9756" spans="1:11">
      <c r="A9756" s="12">
        <v>42860</v>
      </c>
      <c r="B9756">
        <v>2017</v>
      </c>
      <c r="C9756">
        <v>5</v>
      </c>
      <c r="D9756" s="11">
        <v>42856</v>
      </c>
      <c r="E9756" t="s">
        <v>2177</v>
      </c>
      <c r="F9756">
        <v>5</v>
      </c>
      <c r="G9756" t="s">
        <v>55</v>
      </c>
      <c r="H9756" t="s">
        <v>42</v>
      </c>
      <c r="I9756" t="s">
        <v>2190</v>
      </c>
      <c r="J9756" s="10">
        <v>1.15</v>
      </c>
      <c r="K9756" t="b">
        <v>1</v>
      </c>
    </row>
    <row r="9757" spans="1:11">
      <c r="A9757" s="12">
        <v>42860</v>
      </c>
      <c r="B9757">
        <v>2017</v>
      </c>
      <c r="C9757">
        <v>5</v>
      </c>
      <c r="D9757" s="11">
        <v>42856</v>
      </c>
      <c r="E9757" t="s">
        <v>2177</v>
      </c>
      <c r="F9757">
        <v>5</v>
      </c>
      <c r="G9757" t="s">
        <v>55</v>
      </c>
      <c r="H9757" t="s">
        <v>43</v>
      </c>
      <c r="I9757" t="s">
        <v>2191</v>
      </c>
      <c r="J9757" s="10">
        <v>6.6</v>
      </c>
      <c r="K9757" t="b">
        <v>1</v>
      </c>
    </row>
    <row r="9758" spans="1:11">
      <c r="A9758" s="12">
        <v>42860</v>
      </c>
      <c r="B9758">
        <v>2017</v>
      </c>
      <c r="C9758">
        <v>5</v>
      </c>
      <c r="D9758" s="11">
        <v>42856</v>
      </c>
      <c r="E9758" t="s">
        <v>2177</v>
      </c>
      <c r="F9758">
        <v>5</v>
      </c>
      <c r="G9758" t="s">
        <v>55</v>
      </c>
      <c r="H9758" t="s">
        <v>44</v>
      </c>
      <c r="I9758" t="s">
        <v>2192</v>
      </c>
      <c r="J9758" s="10">
        <v>8</v>
      </c>
      <c r="K9758" t="b">
        <v>1</v>
      </c>
    </row>
    <row r="9759" spans="1:11">
      <c r="A9759" s="12">
        <v>42860</v>
      </c>
      <c r="B9759">
        <v>2017</v>
      </c>
      <c r="C9759">
        <v>5</v>
      </c>
      <c r="D9759" s="11">
        <v>42856</v>
      </c>
      <c r="E9759" t="s">
        <v>2177</v>
      </c>
      <c r="F9759">
        <v>5</v>
      </c>
      <c r="G9759" t="s">
        <v>55</v>
      </c>
      <c r="H9759" t="s">
        <v>45</v>
      </c>
      <c r="I9759" t="s">
        <v>2193</v>
      </c>
      <c r="J9759" s="10">
        <v>0</v>
      </c>
      <c r="K9759" t="b">
        <v>1</v>
      </c>
    </row>
    <row r="9760" spans="1:11">
      <c r="A9760" s="12">
        <v>42860</v>
      </c>
      <c r="B9760">
        <v>2017</v>
      </c>
      <c r="C9760">
        <v>5</v>
      </c>
      <c r="D9760" s="11">
        <v>42856</v>
      </c>
      <c r="E9760" t="s">
        <v>2177</v>
      </c>
      <c r="F9760">
        <v>5</v>
      </c>
      <c r="G9760" t="s">
        <v>55</v>
      </c>
      <c r="H9760" t="s">
        <v>46</v>
      </c>
      <c r="I9760" t="s">
        <v>2194</v>
      </c>
      <c r="J9760" s="10">
        <v>12</v>
      </c>
      <c r="K9760" t="b">
        <v>1</v>
      </c>
    </row>
    <row r="9761" spans="1:11">
      <c r="A9761" s="12">
        <v>42860</v>
      </c>
      <c r="B9761">
        <v>2017</v>
      </c>
      <c r="C9761">
        <v>5</v>
      </c>
      <c r="D9761" s="11">
        <v>42856</v>
      </c>
      <c r="E9761" t="s">
        <v>2177</v>
      </c>
      <c r="F9761">
        <v>5</v>
      </c>
      <c r="G9761" t="s">
        <v>55</v>
      </c>
      <c r="H9761" t="s">
        <v>47</v>
      </c>
      <c r="I9761" t="s">
        <v>2195</v>
      </c>
      <c r="J9761" s="10">
        <v>3</v>
      </c>
      <c r="K9761" t="b">
        <v>1</v>
      </c>
    </row>
    <row r="9762" spans="1:11">
      <c r="A9762" s="12">
        <v>42861</v>
      </c>
      <c r="B9762">
        <v>2017</v>
      </c>
      <c r="C9762">
        <v>5</v>
      </c>
      <c r="D9762" s="11">
        <v>42856</v>
      </c>
      <c r="E9762" t="s">
        <v>2177</v>
      </c>
      <c r="F9762">
        <v>6</v>
      </c>
      <c r="G9762" t="s">
        <v>57</v>
      </c>
      <c r="H9762" t="s">
        <v>40</v>
      </c>
      <c r="I9762" t="s">
        <v>2188</v>
      </c>
      <c r="J9762" s="10">
        <v>7.33</v>
      </c>
      <c r="K9762" t="b">
        <v>1</v>
      </c>
    </row>
    <row r="9763" spans="1:11">
      <c r="A9763" s="12">
        <v>42861</v>
      </c>
      <c r="B9763">
        <v>2017</v>
      </c>
      <c r="C9763">
        <v>5</v>
      </c>
      <c r="D9763" s="11">
        <v>42856</v>
      </c>
      <c r="E9763" t="s">
        <v>2177</v>
      </c>
      <c r="F9763">
        <v>6</v>
      </c>
      <c r="G9763" t="s">
        <v>57</v>
      </c>
      <c r="H9763" t="s">
        <v>41</v>
      </c>
      <c r="I9763" t="s">
        <v>2189</v>
      </c>
      <c r="J9763" s="10">
        <v>2.363</v>
      </c>
      <c r="K9763" t="b">
        <v>1</v>
      </c>
    </row>
    <row r="9764" spans="1:11">
      <c r="A9764" s="12">
        <v>42861</v>
      </c>
      <c r="B9764">
        <v>2017</v>
      </c>
      <c r="C9764">
        <v>5</v>
      </c>
      <c r="D9764" s="11">
        <v>42856</v>
      </c>
      <c r="E9764" t="s">
        <v>2177</v>
      </c>
      <c r="F9764">
        <v>6</v>
      </c>
      <c r="G9764" t="s">
        <v>57</v>
      </c>
      <c r="H9764" t="s">
        <v>42</v>
      </c>
      <c r="I9764" t="s">
        <v>2190</v>
      </c>
      <c r="J9764" s="10">
        <v>4.4</v>
      </c>
      <c r="K9764" t="b">
        <v>1</v>
      </c>
    </row>
    <row r="9765" spans="1:11">
      <c r="A9765" s="12">
        <v>42861</v>
      </c>
      <c r="B9765">
        <v>2017</v>
      </c>
      <c r="C9765">
        <v>5</v>
      </c>
      <c r="D9765" s="11">
        <v>42856</v>
      </c>
      <c r="E9765" t="s">
        <v>2177</v>
      </c>
      <c r="F9765">
        <v>6</v>
      </c>
      <c r="G9765" t="s">
        <v>57</v>
      </c>
      <c r="H9765" t="s">
        <v>43</v>
      </c>
      <c r="I9765" t="s">
        <v>2191</v>
      </c>
      <c r="J9765" s="10">
        <v>14</v>
      </c>
      <c r="K9765" t="b">
        <v>1</v>
      </c>
    </row>
    <row r="9766" spans="1:11">
      <c r="A9766" s="12">
        <v>42861</v>
      </c>
      <c r="B9766">
        <v>2017</v>
      </c>
      <c r="C9766">
        <v>5</v>
      </c>
      <c r="D9766" s="11">
        <v>42856</v>
      </c>
      <c r="E9766" t="s">
        <v>2177</v>
      </c>
      <c r="F9766">
        <v>6</v>
      </c>
      <c r="G9766" t="s">
        <v>57</v>
      </c>
      <c r="H9766" t="s">
        <v>44</v>
      </c>
      <c r="I9766" t="s">
        <v>2192</v>
      </c>
      <c r="J9766" s="10">
        <v>4</v>
      </c>
      <c r="K9766" t="b">
        <v>1</v>
      </c>
    </row>
    <row r="9767" spans="1:11">
      <c r="A9767" s="12">
        <v>42861</v>
      </c>
      <c r="B9767">
        <v>2017</v>
      </c>
      <c r="C9767">
        <v>5</v>
      </c>
      <c r="D9767" s="11">
        <v>42856</v>
      </c>
      <c r="E9767" t="s">
        <v>2177</v>
      </c>
      <c r="F9767">
        <v>6</v>
      </c>
      <c r="G9767" t="s">
        <v>57</v>
      </c>
      <c r="H9767" t="s">
        <v>45</v>
      </c>
      <c r="I9767" t="s">
        <v>2193</v>
      </c>
      <c r="J9767" s="10">
        <v>0</v>
      </c>
      <c r="K9767" t="b">
        <v>1</v>
      </c>
    </row>
    <row r="9768" spans="1:11">
      <c r="A9768" s="12">
        <v>42861</v>
      </c>
      <c r="B9768">
        <v>2017</v>
      </c>
      <c r="C9768">
        <v>5</v>
      </c>
      <c r="D9768" s="11">
        <v>42856</v>
      </c>
      <c r="E9768" t="s">
        <v>2177</v>
      </c>
      <c r="F9768">
        <v>6</v>
      </c>
      <c r="G9768" t="s">
        <v>57</v>
      </c>
      <c r="H9768" t="s">
        <v>46</v>
      </c>
      <c r="I9768" t="s">
        <v>2194</v>
      </c>
      <c r="J9768" s="10">
        <v>0</v>
      </c>
      <c r="K9768" t="b">
        <v>1</v>
      </c>
    </row>
    <row r="9769" spans="1:11">
      <c r="A9769" s="12">
        <v>42861</v>
      </c>
      <c r="B9769">
        <v>2017</v>
      </c>
      <c r="C9769">
        <v>5</v>
      </c>
      <c r="D9769" s="11">
        <v>42856</v>
      </c>
      <c r="E9769" t="s">
        <v>2177</v>
      </c>
      <c r="F9769">
        <v>6</v>
      </c>
      <c r="G9769" t="s">
        <v>57</v>
      </c>
      <c r="H9769" t="s">
        <v>47</v>
      </c>
      <c r="I9769" t="s">
        <v>2195</v>
      </c>
      <c r="J9769" s="10">
        <v>6</v>
      </c>
      <c r="K9769" t="b">
        <v>1</v>
      </c>
    </row>
    <row r="9770" spans="1:11">
      <c r="A9770" s="12">
        <v>42862</v>
      </c>
      <c r="B9770">
        <v>2017</v>
      </c>
      <c r="C9770">
        <v>5</v>
      </c>
      <c r="D9770" s="11">
        <v>42856</v>
      </c>
      <c r="E9770" t="s">
        <v>2177</v>
      </c>
      <c r="F9770">
        <v>7</v>
      </c>
      <c r="G9770" t="s">
        <v>59</v>
      </c>
      <c r="H9770" t="s">
        <v>40</v>
      </c>
      <c r="I9770" t="s">
        <v>2188</v>
      </c>
      <c r="J9770" s="10">
        <v>6.33</v>
      </c>
      <c r="K9770" t="b">
        <v>1</v>
      </c>
    </row>
    <row r="9771" spans="1:11">
      <c r="A9771" s="12">
        <v>42862</v>
      </c>
      <c r="B9771">
        <v>2017</v>
      </c>
      <c r="C9771">
        <v>5</v>
      </c>
      <c r="D9771" s="11">
        <v>42856</v>
      </c>
      <c r="E9771" t="s">
        <v>2177</v>
      </c>
      <c r="F9771">
        <v>7</v>
      </c>
      <c r="G9771" t="s">
        <v>59</v>
      </c>
      <c r="H9771" t="s">
        <v>41</v>
      </c>
      <c r="I9771" t="s">
        <v>2189</v>
      </c>
      <c r="J9771" s="10">
        <v>3.67</v>
      </c>
      <c r="K9771" t="b">
        <v>1</v>
      </c>
    </row>
    <row r="9772" spans="1:11">
      <c r="A9772" s="12">
        <v>42862</v>
      </c>
      <c r="B9772">
        <v>2017</v>
      </c>
      <c r="C9772">
        <v>5</v>
      </c>
      <c r="D9772" s="11">
        <v>42856</v>
      </c>
      <c r="E9772" t="s">
        <v>2177</v>
      </c>
      <c r="F9772">
        <v>7</v>
      </c>
      <c r="G9772" t="s">
        <v>59</v>
      </c>
      <c r="H9772" t="s">
        <v>42</v>
      </c>
      <c r="I9772" t="s">
        <v>2190</v>
      </c>
      <c r="J9772" s="10">
        <v>4.5</v>
      </c>
      <c r="K9772" t="b">
        <v>1</v>
      </c>
    </row>
    <row r="9773" spans="1:11">
      <c r="A9773" s="12">
        <v>42862</v>
      </c>
      <c r="B9773">
        <v>2017</v>
      </c>
      <c r="C9773">
        <v>5</v>
      </c>
      <c r="D9773" s="11">
        <v>42856</v>
      </c>
      <c r="E9773" t="s">
        <v>2177</v>
      </c>
      <c r="F9773">
        <v>7</v>
      </c>
      <c r="G9773" t="s">
        <v>59</v>
      </c>
      <c r="H9773" t="s">
        <v>43</v>
      </c>
      <c r="I9773" t="s">
        <v>2191</v>
      </c>
      <c r="J9773" s="10">
        <v>18.25</v>
      </c>
      <c r="K9773" t="b">
        <v>1</v>
      </c>
    </row>
    <row r="9774" spans="1:11">
      <c r="A9774" s="12">
        <v>42862</v>
      </c>
      <c r="B9774">
        <v>2017</v>
      </c>
      <c r="C9774">
        <v>5</v>
      </c>
      <c r="D9774" s="11">
        <v>42856</v>
      </c>
      <c r="E9774" t="s">
        <v>2177</v>
      </c>
      <c r="F9774">
        <v>7</v>
      </c>
      <c r="G9774" t="s">
        <v>59</v>
      </c>
      <c r="H9774" t="s">
        <v>44</v>
      </c>
      <c r="I9774" t="s">
        <v>2192</v>
      </c>
      <c r="J9774" s="10">
        <v>3</v>
      </c>
      <c r="K9774" t="b">
        <v>1</v>
      </c>
    </row>
    <row r="9775" spans="1:11">
      <c r="A9775" s="12">
        <v>42862</v>
      </c>
      <c r="B9775">
        <v>2017</v>
      </c>
      <c r="C9775">
        <v>5</v>
      </c>
      <c r="D9775" s="11">
        <v>42856</v>
      </c>
      <c r="E9775" t="s">
        <v>2177</v>
      </c>
      <c r="F9775">
        <v>7</v>
      </c>
      <c r="G9775" t="s">
        <v>59</v>
      </c>
      <c r="H9775" t="s">
        <v>45</v>
      </c>
      <c r="I9775" t="s">
        <v>2193</v>
      </c>
      <c r="J9775" s="10">
        <v>0</v>
      </c>
      <c r="K9775" t="b">
        <v>1</v>
      </c>
    </row>
    <row r="9776" spans="1:11">
      <c r="A9776" s="12">
        <v>42862</v>
      </c>
      <c r="B9776">
        <v>2017</v>
      </c>
      <c r="C9776">
        <v>5</v>
      </c>
      <c r="D9776" s="11">
        <v>42856</v>
      </c>
      <c r="E9776" t="s">
        <v>2177</v>
      </c>
      <c r="F9776">
        <v>7</v>
      </c>
      <c r="G9776" t="s">
        <v>59</v>
      </c>
      <c r="H9776" t="s">
        <v>46</v>
      </c>
      <c r="I9776" t="s">
        <v>2194</v>
      </c>
      <c r="J9776" s="10">
        <v>4</v>
      </c>
      <c r="K9776" t="b">
        <v>1</v>
      </c>
    </row>
    <row r="9777" spans="1:11">
      <c r="A9777" s="12">
        <v>42862</v>
      </c>
      <c r="B9777">
        <v>2017</v>
      </c>
      <c r="C9777">
        <v>5</v>
      </c>
      <c r="D9777" s="11">
        <v>42856</v>
      </c>
      <c r="E9777" t="s">
        <v>2177</v>
      </c>
      <c r="F9777">
        <v>7</v>
      </c>
      <c r="G9777" t="s">
        <v>59</v>
      </c>
      <c r="H9777" t="s">
        <v>47</v>
      </c>
      <c r="I9777" t="s">
        <v>2195</v>
      </c>
      <c r="J9777" s="10">
        <v>4</v>
      </c>
      <c r="K9777" t="b">
        <v>1</v>
      </c>
    </row>
    <row r="9778" spans="1:11">
      <c r="A9778" s="12">
        <v>42863</v>
      </c>
      <c r="B9778">
        <v>2017</v>
      </c>
      <c r="C9778">
        <v>5</v>
      </c>
      <c r="D9778" s="11">
        <v>42856</v>
      </c>
      <c r="E9778" t="s">
        <v>2177</v>
      </c>
      <c r="F9778">
        <v>1</v>
      </c>
      <c r="G9778" t="s">
        <v>61</v>
      </c>
      <c r="H9778" t="s">
        <v>40</v>
      </c>
      <c r="I9778" t="s">
        <v>2188</v>
      </c>
      <c r="J9778" s="10">
        <v>2.33</v>
      </c>
      <c r="K9778" t="b">
        <v>1</v>
      </c>
    </row>
    <row r="9779" spans="1:11">
      <c r="A9779" s="12">
        <v>42863</v>
      </c>
      <c r="B9779">
        <v>2017</v>
      </c>
      <c r="C9779">
        <v>5</v>
      </c>
      <c r="D9779" s="11">
        <v>42856</v>
      </c>
      <c r="E9779" t="s">
        <v>2177</v>
      </c>
      <c r="F9779">
        <v>1</v>
      </c>
      <c r="G9779" t="s">
        <v>61</v>
      </c>
      <c r="H9779" t="s">
        <v>41</v>
      </c>
      <c r="I9779" t="s">
        <v>2189</v>
      </c>
      <c r="J9779" s="10">
        <v>3.66</v>
      </c>
      <c r="K9779" t="b">
        <v>1</v>
      </c>
    </row>
    <row r="9780" spans="1:11">
      <c r="A9780" s="12">
        <v>42863</v>
      </c>
      <c r="B9780">
        <v>2017</v>
      </c>
      <c r="C9780">
        <v>5</v>
      </c>
      <c r="D9780" s="11">
        <v>42856</v>
      </c>
      <c r="E9780" t="s">
        <v>2177</v>
      </c>
      <c r="F9780">
        <v>1</v>
      </c>
      <c r="G9780" t="s">
        <v>61</v>
      </c>
      <c r="H9780" t="s">
        <v>42</v>
      </c>
      <c r="I9780" t="s">
        <v>2190</v>
      </c>
      <c r="J9780" s="10">
        <v>1</v>
      </c>
      <c r="K9780" t="b">
        <v>1</v>
      </c>
    </row>
    <row r="9781" spans="1:11">
      <c r="A9781" s="12">
        <v>42863</v>
      </c>
      <c r="B9781">
        <v>2017</v>
      </c>
      <c r="C9781">
        <v>5</v>
      </c>
      <c r="D9781" s="11">
        <v>42856</v>
      </c>
      <c r="E9781" t="s">
        <v>2177</v>
      </c>
      <c r="F9781">
        <v>1</v>
      </c>
      <c r="G9781" t="s">
        <v>61</v>
      </c>
      <c r="H9781" t="s">
        <v>43</v>
      </c>
      <c r="I9781" t="s">
        <v>2191</v>
      </c>
      <c r="J9781" s="10">
        <v>8</v>
      </c>
      <c r="K9781" t="b">
        <v>1</v>
      </c>
    </row>
    <row r="9782" spans="1:11">
      <c r="A9782" s="12">
        <v>42863</v>
      </c>
      <c r="B9782">
        <v>2017</v>
      </c>
      <c r="C9782">
        <v>5</v>
      </c>
      <c r="D9782" s="11">
        <v>42856</v>
      </c>
      <c r="E9782" t="s">
        <v>2177</v>
      </c>
      <c r="F9782">
        <v>1</v>
      </c>
      <c r="G9782" t="s">
        <v>61</v>
      </c>
      <c r="H9782" t="s">
        <v>44</v>
      </c>
      <c r="I9782" t="s">
        <v>2192</v>
      </c>
      <c r="J9782" s="10">
        <v>8</v>
      </c>
      <c r="K9782" t="b">
        <v>1</v>
      </c>
    </row>
    <row r="9783" spans="1:11">
      <c r="A9783" s="12">
        <v>42863</v>
      </c>
      <c r="B9783">
        <v>2017</v>
      </c>
      <c r="C9783">
        <v>5</v>
      </c>
      <c r="D9783" s="11">
        <v>42856</v>
      </c>
      <c r="E9783" t="s">
        <v>2177</v>
      </c>
      <c r="F9783">
        <v>1</v>
      </c>
      <c r="G9783" t="s">
        <v>61</v>
      </c>
      <c r="H9783" t="s">
        <v>45</v>
      </c>
      <c r="I9783" t="s">
        <v>2193</v>
      </c>
      <c r="J9783" s="10">
        <v>3</v>
      </c>
      <c r="K9783" t="b">
        <v>1</v>
      </c>
    </row>
    <row r="9784" spans="1:11">
      <c r="A9784" s="12">
        <v>42863</v>
      </c>
      <c r="B9784">
        <v>2017</v>
      </c>
      <c r="C9784">
        <v>5</v>
      </c>
      <c r="D9784" s="11">
        <v>42856</v>
      </c>
      <c r="E9784" t="s">
        <v>2177</v>
      </c>
      <c r="F9784">
        <v>1</v>
      </c>
      <c r="G9784" t="s">
        <v>61</v>
      </c>
      <c r="H9784" t="s">
        <v>46</v>
      </c>
      <c r="I9784" t="s">
        <v>2194</v>
      </c>
      <c r="J9784" s="10">
        <v>1</v>
      </c>
      <c r="K9784" t="b">
        <v>1</v>
      </c>
    </row>
    <row r="9785" spans="1:11">
      <c r="A9785" s="12">
        <v>42863</v>
      </c>
      <c r="B9785">
        <v>2017</v>
      </c>
      <c r="C9785">
        <v>5</v>
      </c>
      <c r="D9785" s="11">
        <v>42856</v>
      </c>
      <c r="E9785" t="s">
        <v>2177</v>
      </c>
      <c r="F9785">
        <v>1</v>
      </c>
      <c r="G9785" t="s">
        <v>61</v>
      </c>
      <c r="H9785" t="s">
        <v>47</v>
      </c>
      <c r="I9785" t="s">
        <v>2195</v>
      </c>
      <c r="J9785" s="10">
        <v>5.6</v>
      </c>
      <c r="K9785" t="b">
        <v>1</v>
      </c>
    </row>
    <row r="9786" spans="1:11">
      <c r="A9786" s="12">
        <v>42864</v>
      </c>
      <c r="B9786">
        <v>2017</v>
      </c>
      <c r="C9786">
        <v>5</v>
      </c>
      <c r="D9786" s="11">
        <v>42856</v>
      </c>
      <c r="E9786" t="s">
        <v>2177</v>
      </c>
      <c r="F9786">
        <v>2</v>
      </c>
      <c r="G9786" t="s">
        <v>63</v>
      </c>
      <c r="H9786" t="s">
        <v>40</v>
      </c>
      <c r="I9786" t="s">
        <v>2188</v>
      </c>
      <c r="J9786" s="10">
        <v>7.33</v>
      </c>
      <c r="K9786" t="b">
        <v>1</v>
      </c>
    </row>
    <row r="9787" spans="1:11">
      <c r="A9787" s="12">
        <v>42864</v>
      </c>
      <c r="B9787">
        <v>2017</v>
      </c>
      <c r="C9787">
        <v>5</v>
      </c>
      <c r="D9787" s="11">
        <v>42856</v>
      </c>
      <c r="E9787" t="s">
        <v>2177</v>
      </c>
      <c r="F9787">
        <v>2</v>
      </c>
      <c r="G9787" t="s">
        <v>63</v>
      </c>
      <c r="H9787" t="s">
        <v>41</v>
      </c>
      <c r="I9787" t="s">
        <v>2189</v>
      </c>
      <c r="J9787" s="10">
        <v>4</v>
      </c>
      <c r="K9787" t="b">
        <v>1</v>
      </c>
    </row>
    <row r="9788" spans="1:11">
      <c r="A9788" s="12">
        <v>42864</v>
      </c>
      <c r="B9788">
        <v>2017</v>
      </c>
      <c r="C9788">
        <v>5</v>
      </c>
      <c r="D9788" s="11">
        <v>42856</v>
      </c>
      <c r="E9788" t="s">
        <v>2177</v>
      </c>
      <c r="F9788">
        <v>2</v>
      </c>
      <c r="G9788" t="s">
        <v>63</v>
      </c>
      <c r="H9788" t="s">
        <v>42</v>
      </c>
      <c r="I9788" t="s">
        <v>2190</v>
      </c>
      <c r="J9788" s="10">
        <v>4.1</v>
      </c>
      <c r="K9788" t="b">
        <v>1</v>
      </c>
    </row>
    <row r="9789" spans="1:11">
      <c r="A9789" s="12">
        <v>42864</v>
      </c>
      <c r="B9789">
        <v>2017</v>
      </c>
      <c r="C9789">
        <v>5</v>
      </c>
      <c r="D9789" s="11">
        <v>42856</v>
      </c>
      <c r="E9789" t="s">
        <v>2177</v>
      </c>
      <c r="F9789">
        <v>2</v>
      </c>
      <c r="G9789" t="s">
        <v>63</v>
      </c>
      <c r="H9789" t="s">
        <v>43</v>
      </c>
      <c r="I9789" t="s">
        <v>2191</v>
      </c>
      <c r="J9789" s="10">
        <v>11</v>
      </c>
      <c r="K9789" t="b">
        <v>1</v>
      </c>
    </row>
    <row r="9790" spans="1:11">
      <c r="A9790" s="12">
        <v>42864</v>
      </c>
      <c r="B9790">
        <v>2017</v>
      </c>
      <c r="C9790">
        <v>5</v>
      </c>
      <c r="D9790" s="11">
        <v>42856</v>
      </c>
      <c r="E9790" t="s">
        <v>2177</v>
      </c>
      <c r="F9790">
        <v>2</v>
      </c>
      <c r="G9790" t="s">
        <v>63</v>
      </c>
      <c r="H9790" t="s">
        <v>44</v>
      </c>
      <c r="I9790" t="s">
        <v>2192</v>
      </c>
      <c r="J9790" s="10">
        <v>4</v>
      </c>
      <c r="K9790" t="b">
        <v>1</v>
      </c>
    </row>
    <row r="9791" spans="1:11">
      <c r="A9791" s="12">
        <v>42864</v>
      </c>
      <c r="B9791">
        <v>2017</v>
      </c>
      <c r="C9791">
        <v>5</v>
      </c>
      <c r="D9791" s="11">
        <v>42856</v>
      </c>
      <c r="E9791" t="s">
        <v>2177</v>
      </c>
      <c r="F9791">
        <v>2</v>
      </c>
      <c r="G9791" t="s">
        <v>63</v>
      </c>
      <c r="H9791" t="s">
        <v>45</v>
      </c>
      <c r="I9791" t="s">
        <v>2193</v>
      </c>
      <c r="J9791" s="10">
        <v>0</v>
      </c>
      <c r="K9791" t="b">
        <v>1</v>
      </c>
    </row>
    <row r="9792" spans="1:11">
      <c r="A9792" s="12">
        <v>42864</v>
      </c>
      <c r="B9792">
        <v>2017</v>
      </c>
      <c r="C9792">
        <v>5</v>
      </c>
      <c r="D9792" s="11">
        <v>42856</v>
      </c>
      <c r="E9792" t="s">
        <v>2177</v>
      </c>
      <c r="F9792">
        <v>2</v>
      </c>
      <c r="G9792" t="s">
        <v>63</v>
      </c>
      <c r="H9792" t="s">
        <v>46</v>
      </c>
      <c r="I9792" t="s">
        <v>2194</v>
      </c>
      <c r="J9792" s="10">
        <v>2</v>
      </c>
      <c r="K9792" t="b">
        <v>1</v>
      </c>
    </row>
    <row r="9793" spans="1:11">
      <c r="A9793" s="12">
        <v>42864</v>
      </c>
      <c r="B9793">
        <v>2017</v>
      </c>
      <c r="C9793">
        <v>5</v>
      </c>
      <c r="D9793" s="11">
        <v>42856</v>
      </c>
      <c r="E9793" t="s">
        <v>2177</v>
      </c>
      <c r="F9793">
        <v>2</v>
      </c>
      <c r="G9793" t="s">
        <v>63</v>
      </c>
      <c r="H9793" t="s">
        <v>47</v>
      </c>
      <c r="I9793" t="s">
        <v>2195</v>
      </c>
      <c r="J9793" s="10">
        <v>3</v>
      </c>
      <c r="K9793" t="b">
        <v>1</v>
      </c>
    </row>
    <row r="9794" spans="1:11">
      <c r="A9794" s="12">
        <v>42865</v>
      </c>
      <c r="B9794">
        <v>2017</v>
      </c>
      <c r="C9794">
        <v>5</v>
      </c>
      <c r="D9794" s="11">
        <v>42856</v>
      </c>
      <c r="E9794" t="s">
        <v>2177</v>
      </c>
      <c r="F9794">
        <v>3</v>
      </c>
      <c r="G9794" t="s">
        <v>65</v>
      </c>
      <c r="H9794" t="s">
        <v>40</v>
      </c>
      <c r="I9794" t="s">
        <v>2188</v>
      </c>
      <c r="J9794" s="10">
        <v>8.66</v>
      </c>
      <c r="K9794" t="b">
        <v>1</v>
      </c>
    </row>
    <row r="9795" spans="1:11">
      <c r="A9795" s="12">
        <v>42865</v>
      </c>
      <c r="B9795">
        <v>2017</v>
      </c>
      <c r="C9795">
        <v>5</v>
      </c>
      <c r="D9795" s="11">
        <v>42856</v>
      </c>
      <c r="E9795" t="s">
        <v>2177</v>
      </c>
      <c r="F9795">
        <v>3</v>
      </c>
      <c r="G9795" t="s">
        <v>65</v>
      </c>
      <c r="H9795" t="s">
        <v>41</v>
      </c>
      <c r="I9795" t="s">
        <v>2189</v>
      </c>
      <c r="J9795" s="10">
        <v>0.397</v>
      </c>
      <c r="K9795" t="b">
        <v>1</v>
      </c>
    </row>
    <row r="9796" spans="1:11">
      <c r="A9796" s="12">
        <v>42865</v>
      </c>
      <c r="B9796">
        <v>2017</v>
      </c>
      <c r="C9796">
        <v>5</v>
      </c>
      <c r="D9796" s="11">
        <v>42856</v>
      </c>
      <c r="E9796" t="s">
        <v>2177</v>
      </c>
      <c r="F9796">
        <v>3</v>
      </c>
      <c r="G9796" t="s">
        <v>65</v>
      </c>
      <c r="H9796" t="s">
        <v>42</v>
      </c>
      <c r="I9796" t="s">
        <v>2190</v>
      </c>
      <c r="J9796" s="10">
        <v>9</v>
      </c>
      <c r="K9796" t="b">
        <v>1</v>
      </c>
    </row>
    <row r="9797" spans="1:11">
      <c r="A9797" s="12">
        <v>42865</v>
      </c>
      <c r="B9797">
        <v>2017</v>
      </c>
      <c r="C9797">
        <v>5</v>
      </c>
      <c r="D9797" s="11">
        <v>42856</v>
      </c>
      <c r="E9797" t="s">
        <v>2177</v>
      </c>
      <c r="F9797">
        <v>3</v>
      </c>
      <c r="G9797" t="s">
        <v>65</v>
      </c>
      <c r="H9797" t="s">
        <v>43</v>
      </c>
      <c r="I9797" t="s">
        <v>2191</v>
      </c>
      <c r="J9797" s="10">
        <v>15</v>
      </c>
      <c r="K9797" t="b">
        <v>1</v>
      </c>
    </row>
    <row r="9798" spans="1:11">
      <c r="A9798" s="12">
        <v>42865</v>
      </c>
      <c r="B9798">
        <v>2017</v>
      </c>
      <c r="C9798">
        <v>5</v>
      </c>
      <c r="D9798" s="11">
        <v>42856</v>
      </c>
      <c r="E9798" t="s">
        <v>2177</v>
      </c>
      <c r="F9798">
        <v>3</v>
      </c>
      <c r="G9798" t="s">
        <v>65</v>
      </c>
      <c r="H9798" t="s">
        <v>44</v>
      </c>
      <c r="I9798" t="s">
        <v>2192</v>
      </c>
      <c r="J9798" s="10">
        <v>4</v>
      </c>
      <c r="K9798" t="b">
        <v>1</v>
      </c>
    </row>
    <row r="9799" spans="1:11">
      <c r="A9799" s="12">
        <v>42865</v>
      </c>
      <c r="B9799">
        <v>2017</v>
      </c>
      <c r="C9799">
        <v>5</v>
      </c>
      <c r="D9799" s="11">
        <v>42856</v>
      </c>
      <c r="E9799" t="s">
        <v>2177</v>
      </c>
      <c r="F9799">
        <v>3</v>
      </c>
      <c r="G9799" t="s">
        <v>65</v>
      </c>
      <c r="H9799" t="s">
        <v>45</v>
      </c>
      <c r="I9799" t="s">
        <v>2193</v>
      </c>
      <c r="J9799" s="10">
        <v>0</v>
      </c>
      <c r="K9799" t="b">
        <v>1</v>
      </c>
    </row>
    <row r="9800" spans="1:11">
      <c r="A9800" s="12">
        <v>42865</v>
      </c>
      <c r="B9800">
        <v>2017</v>
      </c>
      <c r="C9800">
        <v>5</v>
      </c>
      <c r="D9800" s="11">
        <v>42856</v>
      </c>
      <c r="E9800" t="s">
        <v>2177</v>
      </c>
      <c r="F9800">
        <v>3</v>
      </c>
      <c r="G9800" t="s">
        <v>65</v>
      </c>
      <c r="H9800" t="s">
        <v>46</v>
      </c>
      <c r="I9800" t="s">
        <v>2194</v>
      </c>
      <c r="J9800" s="10">
        <v>14</v>
      </c>
      <c r="K9800" t="b">
        <v>1</v>
      </c>
    </row>
    <row r="9801" spans="1:11">
      <c r="A9801" s="12">
        <v>42865</v>
      </c>
      <c r="B9801">
        <v>2017</v>
      </c>
      <c r="C9801">
        <v>5</v>
      </c>
      <c r="D9801" s="11">
        <v>42856</v>
      </c>
      <c r="E9801" t="s">
        <v>2177</v>
      </c>
      <c r="F9801">
        <v>3</v>
      </c>
      <c r="G9801" t="s">
        <v>65</v>
      </c>
      <c r="H9801" t="s">
        <v>47</v>
      </c>
      <c r="I9801" t="s">
        <v>2195</v>
      </c>
      <c r="J9801" s="10">
        <v>7</v>
      </c>
      <c r="K9801" t="b">
        <v>1</v>
      </c>
    </row>
    <row r="9802" spans="1:11">
      <c r="A9802" s="12">
        <v>42866</v>
      </c>
      <c r="B9802">
        <v>2017</v>
      </c>
      <c r="C9802">
        <v>5</v>
      </c>
      <c r="D9802" s="11">
        <v>42856</v>
      </c>
      <c r="E9802" t="s">
        <v>2177</v>
      </c>
      <c r="F9802">
        <v>4</v>
      </c>
      <c r="G9802" t="s">
        <v>53</v>
      </c>
      <c r="H9802" t="s">
        <v>40</v>
      </c>
      <c r="I9802" t="s">
        <v>2188</v>
      </c>
      <c r="J9802" s="10">
        <v>6</v>
      </c>
      <c r="K9802" t="b">
        <v>1</v>
      </c>
    </row>
    <row r="9803" spans="1:11">
      <c r="A9803" s="12">
        <v>42866</v>
      </c>
      <c r="B9803">
        <v>2017</v>
      </c>
      <c r="C9803">
        <v>5</v>
      </c>
      <c r="D9803" s="11">
        <v>42856</v>
      </c>
      <c r="E9803" t="s">
        <v>2177</v>
      </c>
      <c r="F9803">
        <v>4</v>
      </c>
      <c r="G9803" t="s">
        <v>53</v>
      </c>
      <c r="H9803" t="s">
        <v>41</v>
      </c>
      <c r="I9803" t="s">
        <v>2189</v>
      </c>
      <c r="J9803" s="10">
        <v>6.693</v>
      </c>
      <c r="K9803" t="b">
        <v>1</v>
      </c>
    </row>
    <row r="9804" spans="1:11">
      <c r="A9804" s="12">
        <v>42866</v>
      </c>
      <c r="B9804">
        <v>2017</v>
      </c>
      <c r="C9804">
        <v>5</v>
      </c>
      <c r="D9804" s="11">
        <v>42856</v>
      </c>
      <c r="E9804" t="s">
        <v>2177</v>
      </c>
      <c r="F9804">
        <v>4</v>
      </c>
      <c r="G9804" t="s">
        <v>53</v>
      </c>
      <c r="H9804" t="s">
        <v>42</v>
      </c>
      <c r="I9804" t="s">
        <v>2190</v>
      </c>
      <c r="J9804" s="10">
        <v>3</v>
      </c>
      <c r="K9804" t="b">
        <v>1</v>
      </c>
    </row>
    <row r="9805" spans="1:11">
      <c r="A9805" s="12">
        <v>42866</v>
      </c>
      <c r="B9805">
        <v>2017</v>
      </c>
      <c r="C9805">
        <v>5</v>
      </c>
      <c r="D9805" s="11">
        <v>42856</v>
      </c>
      <c r="E9805" t="s">
        <v>2177</v>
      </c>
      <c r="F9805">
        <v>4</v>
      </c>
      <c r="G9805" t="s">
        <v>53</v>
      </c>
      <c r="H9805" t="s">
        <v>43</v>
      </c>
      <c r="I9805" t="s">
        <v>2191</v>
      </c>
      <c r="J9805" s="10">
        <v>16</v>
      </c>
      <c r="K9805" t="b">
        <v>1</v>
      </c>
    </row>
    <row r="9806" spans="1:11">
      <c r="A9806" s="12">
        <v>42866</v>
      </c>
      <c r="B9806">
        <v>2017</v>
      </c>
      <c r="C9806">
        <v>5</v>
      </c>
      <c r="D9806" s="11">
        <v>42856</v>
      </c>
      <c r="E9806" t="s">
        <v>2177</v>
      </c>
      <c r="F9806">
        <v>4</v>
      </c>
      <c r="G9806" t="s">
        <v>53</v>
      </c>
      <c r="H9806" t="s">
        <v>44</v>
      </c>
      <c r="I9806" t="s">
        <v>2192</v>
      </c>
      <c r="J9806" s="10">
        <v>6</v>
      </c>
      <c r="K9806" t="b">
        <v>1</v>
      </c>
    </row>
    <row r="9807" spans="1:11">
      <c r="A9807" s="12">
        <v>42866</v>
      </c>
      <c r="B9807">
        <v>2017</v>
      </c>
      <c r="C9807">
        <v>5</v>
      </c>
      <c r="D9807" s="11">
        <v>42856</v>
      </c>
      <c r="E9807" t="s">
        <v>2177</v>
      </c>
      <c r="F9807">
        <v>4</v>
      </c>
      <c r="G9807" t="s">
        <v>53</v>
      </c>
      <c r="H9807" t="s">
        <v>45</v>
      </c>
      <c r="I9807" t="s">
        <v>2193</v>
      </c>
      <c r="J9807" s="10">
        <v>2</v>
      </c>
      <c r="K9807" t="b">
        <v>1</v>
      </c>
    </row>
    <row r="9808" spans="1:11">
      <c r="A9808" s="12">
        <v>42866</v>
      </c>
      <c r="B9808">
        <v>2017</v>
      </c>
      <c r="C9808">
        <v>5</v>
      </c>
      <c r="D9808" s="11">
        <v>42856</v>
      </c>
      <c r="E9808" t="s">
        <v>2177</v>
      </c>
      <c r="F9808">
        <v>4</v>
      </c>
      <c r="G9808" t="s">
        <v>53</v>
      </c>
      <c r="H9808" t="s">
        <v>46</v>
      </c>
      <c r="I9808" t="s">
        <v>2194</v>
      </c>
      <c r="J9808" s="10">
        <v>1</v>
      </c>
      <c r="K9808" t="b">
        <v>1</v>
      </c>
    </row>
    <row r="9809" spans="1:11">
      <c r="A9809" s="12">
        <v>42866</v>
      </c>
      <c r="B9809">
        <v>2017</v>
      </c>
      <c r="C9809">
        <v>5</v>
      </c>
      <c r="D9809" s="11">
        <v>42856</v>
      </c>
      <c r="E9809" t="s">
        <v>2177</v>
      </c>
      <c r="F9809">
        <v>4</v>
      </c>
      <c r="G9809" t="s">
        <v>53</v>
      </c>
      <c r="H9809" t="s">
        <v>47</v>
      </c>
      <c r="I9809" t="s">
        <v>2195</v>
      </c>
      <c r="J9809" s="10">
        <v>10</v>
      </c>
      <c r="K9809" t="b">
        <v>1</v>
      </c>
    </row>
    <row r="9810" spans="1:11">
      <c r="A9810" s="12">
        <v>42867</v>
      </c>
      <c r="B9810">
        <v>2017</v>
      </c>
      <c r="C9810">
        <v>5</v>
      </c>
      <c r="D9810" s="11">
        <v>42856</v>
      </c>
      <c r="E9810" t="s">
        <v>2177</v>
      </c>
      <c r="F9810">
        <v>5</v>
      </c>
      <c r="G9810" t="s">
        <v>55</v>
      </c>
      <c r="H9810" t="s">
        <v>40</v>
      </c>
      <c r="I9810" t="s">
        <v>2188</v>
      </c>
      <c r="J9810" s="10">
        <v>4.99</v>
      </c>
      <c r="K9810" t="b">
        <v>1</v>
      </c>
    </row>
    <row r="9811" spans="1:11">
      <c r="A9811" s="12">
        <v>42867</v>
      </c>
      <c r="B9811">
        <v>2017</v>
      </c>
      <c r="C9811">
        <v>5</v>
      </c>
      <c r="D9811" s="11">
        <v>42856</v>
      </c>
      <c r="E9811" t="s">
        <v>2177</v>
      </c>
      <c r="F9811">
        <v>5</v>
      </c>
      <c r="G9811" t="s">
        <v>55</v>
      </c>
      <c r="H9811" t="s">
        <v>41</v>
      </c>
      <c r="I9811" t="s">
        <v>2189</v>
      </c>
      <c r="J9811" s="10">
        <v>4.703</v>
      </c>
      <c r="K9811" t="b">
        <v>1</v>
      </c>
    </row>
    <row r="9812" spans="1:11">
      <c r="A9812" s="12">
        <v>42867</v>
      </c>
      <c r="B9812">
        <v>2017</v>
      </c>
      <c r="C9812">
        <v>5</v>
      </c>
      <c r="D9812" s="11">
        <v>42856</v>
      </c>
      <c r="E9812" t="s">
        <v>2177</v>
      </c>
      <c r="F9812">
        <v>5</v>
      </c>
      <c r="G9812" t="s">
        <v>55</v>
      </c>
      <c r="H9812" t="s">
        <v>42</v>
      </c>
      <c r="I9812" t="s">
        <v>2190</v>
      </c>
      <c r="J9812" s="10">
        <v>6</v>
      </c>
      <c r="K9812" t="b">
        <v>1</v>
      </c>
    </row>
    <row r="9813" spans="1:11">
      <c r="A9813" s="12">
        <v>42867</v>
      </c>
      <c r="B9813">
        <v>2017</v>
      </c>
      <c r="C9813">
        <v>5</v>
      </c>
      <c r="D9813" s="11">
        <v>42856</v>
      </c>
      <c r="E9813" t="s">
        <v>2177</v>
      </c>
      <c r="F9813">
        <v>5</v>
      </c>
      <c r="G9813" t="s">
        <v>55</v>
      </c>
      <c r="H9813" t="s">
        <v>43</v>
      </c>
      <c r="I9813" t="s">
        <v>2191</v>
      </c>
      <c r="J9813" s="10">
        <v>16.4</v>
      </c>
      <c r="K9813" t="b">
        <v>1</v>
      </c>
    </row>
    <row r="9814" spans="1:11">
      <c r="A9814" s="12">
        <v>42867</v>
      </c>
      <c r="B9814">
        <v>2017</v>
      </c>
      <c r="C9814">
        <v>5</v>
      </c>
      <c r="D9814" s="11">
        <v>42856</v>
      </c>
      <c r="E9814" t="s">
        <v>2177</v>
      </c>
      <c r="F9814">
        <v>5</v>
      </c>
      <c r="G9814" t="s">
        <v>55</v>
      </c>
      <c r="H9814" t="s">
        <v>44</v>
      </c>
      <c r="I9814" t="s">
        <v>2192</v>
      </c>
      <c r="J9814" s="10">
        <v>4</v>
      </c>
      <c r="K9814" t="b">
        <v>1</v>
      </c>
    </row>
    <row r="9815" spans="1:11">
      <c r="A9815" s="12">
        <v>42867</v>
      </c>
      <c r="B9815">
        <v>2017</v>
      </c>
      <c r="C9815">
        <v>5</v>
      </c>
      <c r="D9815" s="11">
        <v>42856</v>
      </c>
      <c r="E9815" t="s">
        <v>2177</v>
      </c>
      <c r="F9815">
        <v>5</v>
      </c>
      <c r="G9815" t="s">
        <v>55</v>
      </c>
      <c r="H9815" t="s">
        <v>45</v>
      </c>
      <c r="I9815" t="s">
        <v>2193</v>
      </c>
      <c r="J9815" s="10">
        <v>9</v>
      </c>
      <c r="K9815" t="b">
        <v>1</v>
      </c>
    </row>
    <row r="9816" spans="1:11">
      <c r="A9816" s="12">
        <v>42867</v>
      </c>
      <c r="B9816">
        <v>2017</v>
      </c>
      <c r="C9816">
        <v>5</v>
      </c>
      <c r="D9816" s="11">
        <v>42856</v>
      </c>
      <c r="E9816" t="s">
        <v>2177</v>
      </c>
      <c r="F9816">
        <v>5</v>
      </c>
      <c r="G9816" t="s">
        <v>55</v>
      </c>
      <c r="H9816" t="s">
        <v>46</v>
      </c>
      <c r="I9816" t="s">
        <v>2194</v>
      </c>
      <c r="J9816" s="10">
        <v>0</v>
      </c>
      <c r="K9816" t="b">
        <v>1</v>
      </c>
    </row>
    <row r="9817" spans="1:11">
      <c r="A9817" s="12">
        <v>42867</v>
      </c>
      <c r="B9817">
        <v>2017</v>
      </c>
      <c r="C9817">
        <v>5</v>
      </c>
      <c r="D9817" s="11">
        <v>42856</v>
      </c>
      <c r="E9817" t="s">
        <v>2177</v>
      </c>
      <c r="F9817">
        <v>5</v>
      </c>
      <c r="G9817" t="s">
        <v>55</v>
      </c>
      <c r="H9817" t="s">
        <v>47</v>
      </c>
      <c r="I9817" t="s">
        <v>2195</v>
      </c>
      <c r="J9817" s="10">
        <v>6</v>
      </c>
      <c r="K9817" t="b">
        <v>1</v>
      </c>
    </row>
    <row r="9818" spans="1:11">
      <c r="A9818" s="12">
        <v>42868</v>
      </c>
      <c r="B9818">
        <v>2017</v>
      </c>
      <c r="C9818">
        <v>5</v>
      </c>
      <c r="D9818" s="11">
        <v>42856</v>
      </c>
      <c r="E9818" t="s">
        <v>2177</v>
      </c>
      <c r="F9818">
        <v>6</v>
      </c>
      <c r="G9818" t="s">
        <v>57</v>
      </c>
      <c r="H9818" t="s">
        <v>40</v>
      </c>
      <c r="I9818" t="s">
        <v>2188</v>
      </c>
      <c r="J9818" s="10">
        <v>5</v>
      </c>
      <c r="K9818" t="b">
        <v>1</v>
      </c>
    </row>
    <row r="9819" spans="1:11">
      <c r="A9819" s="12">
        <v>42868</v>
      </c>
      <c r="B9819">
        <v>2017</v>
      </c>
      <c r="C9819">
        <v>5</v>
      </c>
      <c r="D9819" s="11">
        <v>42856</v>
      </c>
      <c r="E9819" t="s">
        <v>2177</v>
      </c>
      <c r="F9819">
        <v>6</v>
      </c>
      <c r="G9819" t="s">
        <v>57</v>
      </c>
      <c r="H9819" t="s">
        <v>41</v>
      </c>
      <c r="I9819" t="s">
        <v>2189</v>
      </c>
      <c r="J9819" s="10">
        <v>2.363</v>
      </c>
      <c r="K9819" t="b">
        <v>1</v>
      </c>
    </row>
    <row r="9820" spans="1:11">
      <c r="A9820" s="12">
        <v>42868</v>
      </c>
      <c r="B9820">
        <v>2017</v>
      </c>
      <c r="C9820">
        <v>5</v>
      </c>
      <c r="D9820" s="11">
        <v>42856</v>
      </c>
      <c r="E9820" t="s">
        <v>2177</v>
      </c>
      <c r="F9820">
        <v>6</v>
      </c>
      <c r="G9820" t="s">
        <v>57</v>
      </c>
      <c r="H9820" t="s">
        <v>42</v>
      </c>
      <c r="I9820" t="s">
        <v>2190</v>
      </c>
      <c r="J9820" s="10">
        <v>6</v>
      </c>
      <c r="K9820" t="b">
        <v>1</v>
      </c>
    </row>
    <row r="9821" spans="1:11">
      <c r="A9821" s="12">
        <v>42868</v>
      </c>
      <c r="B9821">
        <v>2017</v>
      </c>
      <c r="C9821">
        <v>5</v>
      </c>
      <c r="D9821" s="11">
        <v>42856</v>
      </c>
      <c r="E9821" t="s">
        <v>2177</v>
      </c>
      <c r="F9821">
        <v>6</v>
      </c>
      <c r="G9821" t="s">
        <v>57</v>
      </c>
      <c r="H9821" t="s">
        <v>43</v>
      </c>
      <c r="I9821" t="s">
        <v>2191</v>
      </c>
      <c r="J9821" s="10">
        <v>12</v>
      </c>
      <c r="K9821" t="b">
        <v>1</v>
      </c>
    </row>
    <row r="9822" spans="1:11">
      <c r="A9822" s="12">
        <v>42868</v>
      </c>
      <c r="B9822">
        <v>2017</v>
      </c>
      <c r="C9822">
        <v>5</v>
      </c>
      <c r="D9822" s="11">
        <v>42856</v>
      </c>
      <c r="E9822" t="s">
        <v>2177</v>
      </c>
      <c r="F9822">
        <v>6</v>
      </c>
      <c r="G9822" t="s">
        <v>57</v>
      </c>
      <c r="H9822" t="s">
        <v>44</v>
      </c>
      <c r="I9822" t="s">
        <v>2192</v>
      </c>
      <c r="J9822" s="10">
        <v>4</v>
      </c>
      <c r="K9822" t="b">
        <v>1</v>
      </c>
    </row>
    <row r="9823" spans="1:11">
      <c r="A9823" s="12">
        <v>42868</v>
      </c>
      <c r="B9823">
        <v>2017</v>
      </c>
      <c r="C9823">
        <v>5</v>
      </c>
      <c r="D9823" s="11">
        <v>42856</v>
      </c>
      <c r="E9823" t="s">
        <v>2177</v>
      </c>
      <c r="F9823">
        <v>6</v>
      </c>
      <c r="G9823" t="s">
        <v>57</v>
      </c>
      <c r="H9823" t="s">
        <v>45</v>
      </c>
      <c r="I9823" t="s">
        <v>2193</v>
      </c>
      <c r="J9823" s="10">
        <v>0</v>
      </c>
      <c r="K9823" t="b">
        <v>1</v>
      </c>
    </row>
    <row r="9824" spans="1:11">
      <c r="A9824" s="12">
        <v>42868</v>
      </c>
      <c r="B9824">
        <v>2017</v>
      </c>
      <c r="C9824">
        <v>5</v>
      </c>
      <c r="D9824" s="11">
        <v>42856</v>
      </c>
      <c r="E9824" t="s">
        <v>2177</v>
      </c>
      <c r="F9824">
        <v>6</v>
      </c>
      <c r="G9824" t="s">
        <v>57</v>
      </c>
      <c r="H9824" t="s">
        <v>46</v>
      </c>
      <c r="I9824" t="s">
        <v>2194</v>
      </c>
      <c r="J9824" s="10">
        <v>1</v>
      </c>
      <c r="K9824" t="b">
        <v>1</v>
      </c>
    </row>
    <row r="9825" spans="1:11">
      <c r="A9825" s="12">
        <v>42868</v>
      </c>
      <c r="B9825">
        <v>2017</v>
      </c>
      <c r="C9825">
        <v>5</v>
      </c>
      <c r="D9825" s="11">
        <v>42856</v>
      </c>
      <c r="E9825" t="s">
        <v>2177</v>
      </c>
      <c r="F9825">
        <v>6</v>
      </c>
      <c r="G9825" t="s">
        <v>57</v>
      </c>
      <c r="H9825" t="s">
        <v>47</v>
      </c>
      <c r="I9825" t="s">
        <v>2195</v>
      </c>
      <c r="J9825" s="10">
        <v>7</v>
      </c>
      <c r="K9825" t="b">
        <v>1</v>
      </c>
    </row>
    <row r="9826" spans="1:11">
      <c r="A9826" s="12">
        <v>42869</v>
      </c>
      <c r="B9826">
        <v>2017</v>
      </c>
      <c r="C9826">
        <v>5</v>
      </c>
      <c r="D9826" s="11">
        <v>42856</v>
      </c>
      <c r="E9826" t="s">
        <v>2177</v>
      </c>
      <c r="F9826">
        <v>7</v>
      </c>
      <c r="G9826" t="s">
        <v>59</v>
      </c>
      <c r="H9826" t="s">
        <v>40</v>
      </c>
      <c r="I9826" t="s">
        <v>2188</v>
      </c>
      <c r="J9826" s="10">
        <v>4.67</v>
      </c>
      <c r="K9826" t="b">
        <v>1</v>
      </c>
    </row>
    <row r="9827" spans="1:11">
      <c r="A9827" s="12">
        <v>42869</v>
      </c>
      <c r="B9827">
        <v>2017</v>
      </c>
      <c r="C9827">
        <v>5</v>
      </c>
      <c r="D9827" s="11">
        <v>42856</v>
      </c>
      <c r="E9827" t="s">
        <v>2177</v>
      </c>
      <c r="F9827">
        <v>7</v>
      </c>
      <c r="G9827" t="s">
        <v>59</v>
      </c>
      <c r="H9827" t="s">
        <v>41</v>
      </c>
      <c r="I9827" t="s">
        <v>2189</v>
      </c>
      <c r="J9827" s="10">
        <v>2.076</v>
      </c>
      <c r="K9827" t="b">
        <v>1</v>
      </c>
    </row>
    <row r="9828" spans="1:11">
      <c r="A9828" s="12">
        <v>42869</v>
      </c>
      <c r="B9828">
        <v>2017</v>
      </c>
      <c r="C9828">
        <v>5</v>
      </c>
      <c r="D9828" s="11">
        <v>42856</v>
      </c>
      <c r="E9828" t="s">
        <v>2177</v>
      </c>
      <c r="F9828">
        <v>7</v>
      </c>
      <c r="G9828" t="s">
        <v>59</v>
      </c>
      <c r="H9828" t="s">
        <v>42</v>
      </c>
      <c r="I9828" t="s">
        <v>2190</v>
      </c>
      <c r="J9828" s="10">
        <v>2.85</v>
      </c>
      <c r="K9828" t="b">
        <v>1</v>
      </c>
    </row>
    <row r="9829" spans="1:11">
      <c r="A9829" s="12">
        <v>42869</v>
      </c>
      <c r="B9829">
        <v>2017</v>
      </c>
      <c r="C9829">
        <v>5</v>
      </c>
      <c r="D9829" s="11">
        <v>42856</v>
      </c>
      <c r="E9829" t="s">
        <v>2177</v>
      </c>
      <c r="F9829">
        <v>7</v>
      </c>
      <c r="G9829" t="s">
        <v>59</v>
      </c>
      <c r="H9829" t="s">
        <v>43</v>
      </c>
      <c r="I9829" t="s">
        <v>2191</v>
      </c>
      <c r="J9829" s="10">
        <v>31.5</v>
      </c>
      <c r="K9829" t="b">
        <v>1</v>
      </c>
    </row>
    <row r="9830" spans="1:11">
      <c r="A9830" s="12">
        <v>42869</v>
      </c>
      <c r="B9830">
        <v>2017</v>
      </c>
      <c r="C9830">
        <v>5</v>
      </c>
      <c r="D9830" s="11">
        <v>42856</v>
      </c>
      <c r="E9830" t="s">
        <v>2177</v>
      </c>
      <c r="F9830">
        <v>7</v>
      </c>
      <c r="G9830" t="s">
        <v>59</v>
      </c>
      <c r="H9830" t="s">
        <v>44</v>
      </c>
      <c r="I9830" t="s">
        <v>2192</v>
      </c>
      <c r="J9830" s="10">
        <v>6</v>
      </c>
      <c r="K9830" t="b">
        <v>1</v>
      </c>
    </row>
    <row r="9831" spans="1:11">
      <c r="A9831" s="12">
        <v>42869</v>
      </c>
      <c r="B9831">
        <v>2017</v>
      </c>
      <c r="C9831">
        <v>5</v>
      </c>
      <c r="D9831" s="11">
        <v>42856</v>
      </c>
      <c r="E9831" t="s">
        <v>2177</v>
      </c>
      <c r="F9831">
        <v>7</v>
      </c>
      <c r="G9831" t="s">
        <v>59</v>
      </c>
      <c r="H9831" t="s">
        <v>45</v>
      </c>
      <c r="I9831" t="s">
        <v>2193</v>
      </c>
      <c r="J9831" s="10">
        <v>0</v>
      </c>
      <c r="K9831" t="b">
        <v>1</v>
      </c>
    </row>
    <row r="9832" spans="1:11">
      <c r="A9832" s="12">
        <v>42869</v>
      </c>
      <c r="B9832">
        <v>2017</v>
      </c>
      <c r="C9832">
        <v>5</v>
      </c>
      <c r="D9832" s="11">
        <v>42856</v>
      </c>
      <c r="E9832" t="s">
        <v>2177</v>
      </c>
      <c r="F9832">
        <v>7</v>
      </c>
      <c r="G9832" t="s">
        <v>59</v>
      </c>
      <c r="H9832" t="s">
        <v>46</v>
      </c>
      <c r="I9832" t="s">
        <v>2194</v>
      </c>
      <c r="J9832" s="10">
        <v>5</v>
      </c>
      <c r="K9832" t="b">
        <v>1</v>
      </c>
    </row>
    <row r="9833" spans="1:11">
      <c r="A9833" s="12">
        <v>42869</v>
      </c>
      <c r="B9833">
        <v>2017</v>
      </c>
      <c r="C9833">
        <v>5</v>
      </c>
      <c r="D9833" s="11">
        <v>42856</v>
      </c>
      <c r="E9833" t="s">
        <v>2177</v>
      </c>
      <c r="F9833">
        <v>7</v>
      </c>
      <c r="G9833" t="s">
        <v>59</v>
      </c>
      <c r="H9833" t="s">
        <v>47</v>
      </c>
      <c r="I9833" t="s">
        <v>2195</v>
      </c>
      <c r="J9833" s="10">
        <v>2.1</v>
      </c>
      <c r="K9833" t="b">
        <v>1</v>
      </c>
    </row>
    <row r="9834" spans="1:11">
      <c r="A9834" s="12">
        <v>42870</v>
      </c>
      <c r="B9834">
        <v>2017</v>
      </c>
      <c r="C9834">
        <v>5</v>
      </c>
      <c r="D9834" s="11">
        <v>42856</v>
      </c>
      <c r="E9834" t="s">
        <v>2177</v>
      </c>
      <c r="F9834">
        <v>1</v>
      </c>
      <c r="G9834" t="s">
        <v>61</v>
      </c>
      <c r="H9834" t="s">
        <v>40</v>
      </c>
      <c r="I9834" t="s">
        <v>2188</v>
      </c>
      <c r="J9834" s="10">
        <v>5.34</v>
      </c>
      <c r="K9834" t="b">
        <v>1</v>
      </c>
    </row>
    <row r="9835" spans="1:11">
      <c r="A9835" s="12">
        <v>42870</v>
      </c>
      <c r="B9835">
        <v>2017</v>
      </c>
      <c r="C9835">
        <v>5</v>
      </c>
      <c r="D9835" s="11">
        <v>42856</v>
      </c>
      <c r="E9835" t="s">
        <v>2177</v>
      </c>
      <c r="F9835">
        <v>1</v>
      </c>
      <c r="G9835" t="s">
        <v>61</v>
      </c>
      <c r="H9835" t="s">
        <v>41</v>
      </c>
      <c r="I9835" t="s">
        <v>2189</v>
      </c>
      <c r="J9835" s="10">
        <v>4.703</v>
      </c>
      <c r="K9835" t="b">
        <v>1</v>
      </c>
    </row>
    <row r="9836" spans="1:11">
      <c r="A9836" s="12">
        <v>42870</v>
      </c>
      <c r="B9836">
        <v>2017</v>
      </c>
      <c r="C9836">
        <v>5</v>
      </c>
      <c r="D9836" s="11">
        <v>42856</v>
      </c>
      <c r="E9836" t="s">
        <v>2177</v>
      </c>
      <c r="F9836">
        <v>1</v>
      </c>
      <c r="G9836" t="s">
        <v>61</v>
      </c>
      <c r="H9836" t="s">
        <v>42</v>
      </c>
      <c r="I9836" t="s">
        <v>2190</v>
      </c>
      <c r="J9836" s="10">
        <v>2</v>
      </c>
      <c r="K9836" t="b">
        <v>1</v>
      </c>
    </row>
    <row r="9837" spans="1:11">
      <c r="A9837" s="12">
        <v>42870</v>
      </c>
      <c r="B9837">
        <v>2017</v>
      </c>
      <c r="C9837">
        <v>5</v>
      </c>
      <c r="D9837" s="11">
        <v>42856</v>
      </c>
      <c r="E9837" t="s">
        <v>2177</v>
      </c>
      <c r="F9837">
        <v>1</v>
      </c>
      <c r="G9837" t="s">
        <v>61</v>
      </c>
      <c r="H9837" t="s">
        <v>43</v>
      </c>
      <c r="I9837" t="s">
        <v>2191</v>
      </c>
      <c r="J9837" s="10">
        <v>17</v>
      </c>
      <c r="K9837" t="b">
        <v>1</v>
      </c>
    </row>
    <row r="9838" spans="1:11">
      <c r="A9838" s="12">
        <v>42870</v>
      </c>
      <c r="B9838">
        <v>2017</v>
      </c>
      <c r="C9838">
        <v>5</v>
      </c>
      <c r="D9838" s="11">
        <v>42856</v>
      </c>
      <c r="E9838" t="s">
        <v>2177</v>
      </c>
      <c r="F9838">
        <v>1</v>
      </c>
      <c r="G9838" t="s">
        <v>61</v>
      </c>
      <c r="H9838" t="s">
        <v>44</v>
      </c>
      <c r="I9838" t="s">
        <v>2192</v>
      </c>
      <c r="J9838" s="10">
        <v>0</v>
      </c>
      <c r="K9838" t="b">
        <v>1</v>
      </c>
    </row>
    <row r="9839" spans="1:11">
      <c r="A9839" s="12">
        <v>42870</v>
      </c>
      <c r="B9839">
        <v>2017</v>
      </c>
      <c r="C9839">
        <v>5</v>
      </c>
      <c r="D9839" s="11">
        <v>42856</v>
      </c>
      <c r="E9839" t="s">
        <v>2177</v>
      </c>
      <c r="F9839">
        <v>1</v>
      </c>
      <c r="G9839" t="s">
        <v>61</v>
      </c>
      <c r="H9839" t="s">
        <v>45</v>
      </c>
      <c r="I9839" t="s">
        <v>2193</v>
      </c>
      <c r="J9839" s="10">
        <v>3</v>
      </c>
      <c r="K9839" t="b">
        <v>1</v>
      </c>
    </row>
    <row r="9840" spans="1:11">
      <c r="A9840" s="12">
        <v>42870</v>
      </c>
      <c r="B9840">
        <v>2017</v>
      </c>
      <c r="C9840">
        <v>5</v>
      </c>
      <c r="D9840" s="11">
        <v>42856</v>
      </c>
      <c r="E9840" t="s">
        <v>2177</v>
      </c>
      <c r="F9840">
        <v>1</v>
      </c>
      <c r="G9840" t="s">
        <v>61</v>
      </c>
      <c r="H9840" t="s">
        <v>46</v>
      </c>
      <c r="I9840" t="s">
        <v>2194</v>
      </c>
      <c r="J9840" s="10">
        <v>3</v>
      </c>
      <c r="K9840" t="b">
        <v>1</v>
      </c>
    </row>
    <row r="9841" spans="1:11">
      <c r="A9841" s="12">
        <v>42870</v>
      </c>
      <c r="B9841">
        <v>2017</v>
      </c>
      <c r="C9841">
        <v>5</v>
      </c>
      <c r="D9841" s="11">
        <v>42856</v>
      </c>
      <c r="E9841" t="s">
        <v>2177</v>
      </c>
      <c r="F9841">
        <v>1</v>
      </c>
      <c r="G9841" t="s">
        <v>61</v>
      </c>
      <c r="H9841" t="s">
        <v>47</v>
      </c>
      <c r="I9841" t="s">
        <v>2195</v>
      </c>
      <c r="J9841" s="10">
        <v>7</v>
      </c>
      <c r="K9841" t="b">
        <v>1</v>
      </c>
    </row>
    <row r="9842" spans="1:11">
      <c r="A9842" s="12">
        <v>42871</v>
      </c>
      <c r="B9842">
        <v>2017</v>
      </c>
      <c r="C9842">
        <v>5</v>
      </c>
      <c r="D9842" s="11">
        <v>42856</v>
      </c>
      <c r="E9842" t="s">
        <v>2177</v>
      </c>
      <c r="F9842">
        <v>2</v>
      </c>
      <c r="G9842" t="s">
        <v>63</v>
      </c>
      <c r="H9842" t="s">
        <v>40</v>
      </c>
      <c r="I9842" t="s">
        <v>2188</v>
      </c>
      <c r="J9842" s="10">
        <v>2.33</v>
      </c>
      <c r="K9842" t="b">
        <v>1</v>
      </c>
    </row>
    <row r="9843" spans="1:11">
      <c r="A9843" s="12">
        <v>42871</v>
      </c>
      <c r="B9843">
        <v>2017</v>
      </c>
      <c r="C9843">
        <v>5</v>
      </c>
      <c r="D9843" s="11">
        <v>42856</v>
      </c>
      <c r="E9843" t="s">
        <v>2177</v>
      </c>
      <c r="F9843">
        <v>2</v>
      </c>
      <c r="G9843" t="s">
        <v>63</v>
      </c>
      <c r="H9843" t="s">
        <v>41</v>
      </c>
      <c r="I9843" t="s">
        <v>2189</v>
      </c>
      <c r="J9843" s="10">
        <v>5.66</v>
      </c>
      <c r="K9843" t="b">
        <v>1</v>
      </c>
    </row>
    <row r="9844" spans="1:11">
      <c r="A9844" s="12">
        <v>42871</v>
      </c>
      <c r="B9844">
        <v>2017</v>
      </c>
      <c r="C9844">
        <v>5</v>
      </c>
      <c r="D9844" s="11">
        <v>42856</v>
      </c>
      <c r="E9844" t="s">
        <v>2177</v>
      </c>
      <c r="F9844">
        <v>2</v>
      </c>
      <c r="G9844" t="s">
        <v>63</v>
      </c>
      <c r="H9844" t="s">
        <v>42</v>
      </c>
      <c r="I9844" t="s">
        <v>2190</v>
      </c>
      <c r="J9844" s="10">
        <v>1.5</v>
      </c>
      <c r="K9844" t="b">
        <v>1</v>
      </c>
    </row>
    <row r="9845" spans="1:11">
      <c r="A9845" s="12">
        <v>42871</v>
      </c>
      <c r="B9845">
        <v>2017</v>
      </c>
      <c r="C9845">
        <v>5</v>
      </c>
      <c r="D9845" s="11">
        <v>42856</v>
      </c>
      <c r="E9845" t="s">
        <v>2177</v>
      </c>
      <c r="F9845">
        <v>2</v>
      </c>
      <c r="G9845" t="s">
        <v>63</v>
      </c>
      <c r="H9845" t="s">
        <v>43</v>
      </c>
      <c r="I9845" t="s">
        <v>2191</v>
      </c>
      <c r="J9845" s="10">
        <v>16.2</v>
      </c>
      <c r="K9845" t="b">
        <v>1</v>
      </c>
    </row>
    <row r="9846" spans="1:11">
      <c r="A9846" s="12">
        <v>42871</v>
      </c>
      <c r="B9846">
        <v>2017</v>
      </c>
      <c r="C9846">
        <v>5</v>
      </c>
      <c r="D9846" s="11">
        <v>42856</v>
      </c>
      <c r="E9846" t="s">
        <v>2177</v>
      </c>
      <c r="F9846">
        <v>2</v>
      </c>
      <c r="G9846" t="s">
        <v>63</v>
      </c>
      <c r="H9846" t="s">
        <v>44</v>
      </c>
      <c r="I9846" t="s">
        <v>2192</v>
      </c>
      <c r="J9846" s="10">
        <v>2</v>
      </c>
      <c r="K9846" t="b">
        <v>1</v>
      </c>
    </row>
    <row r="9847" spans="1:11">
      <c r="A9847" s="12">
        <v>42871</v>
      </c>
      <c r="B9847">
        <v>2017</v>
      </c>
      <c r="C9847">
        <v>5</v>
      </c>
      <c r="D9847" s="11">
        <v>42856</v>
      </c>
      <c r="E9847" t="s">
        <v>2177</v>
      </c>
      <c r="F9847">
        <v>2</v>
      </c>
      <c r="G9847" t="s">
        <v>63</v>
      </c>
      <c r="H9847" t="s">
        <v>45</v>
      </c>
      <c r="I9847" t="s">
        <v>2193</v>
      </c>
      <c r="J9847" s="10">
        <v>0</v>
      </c>
      <c r="K9847" t="b">
        <v>1</v>
      </c>
    </row>
    <row r="9848" spans="1:11">
      <c r="A9848" s="12">
        <v>42871</v>
      </c>
      <c r="B9848">
        <v>2017</v>
      </c>
      <c r="C9848">
        <v>5</v>
      </c>
      <c r="D9848" s="11">
        <v>42856</v>
      </c>
      <c r="E9848" t="s">
        <v>2177</v>
      </c>
      <c r="F9848">
        <v>2</v>
      </c>
      <c r="G9848" t="s">
        <v>63</v>
      </c>
      <c r="H9848" t="s">
        <v>46</v>
      </c>
      <c r="I9848" t="s">
        <v>2194</v>
      </c>
      <c r="J9848" s="10">
        <v>6</v>
      </c>
      <c r="K9848" t="b">
        <v>1</v>
      </c>
    </row>
    <row r="9849" spans="1:11">
      <c r="A9849" s="12">
        <v>42871</v>
      </c>
      <c r="B9849">
        <v>2017</v>
      </c>
      <c r="C9849">
        <v>5</v>
      </c>
      <c r="D9849" s="11">
        <v>42856</v>
      </c>
      <c r="E9849" t="s">
        <v>2177</v>
      </c>
      <c r="F9849">
        <v>2</v>
      </c>
      <c r="G9849" t="s">
        <v>63</v>
      </c>
      <c r="H9849" t="s">
        <v>47</v>
      </c>
      <c r="I9849" t="s">
        <v>2195</v>
      </c>
      <c r="J9849" s="10">
        <v>7</v>
      </c>
      <c r="K9849" t="b">
        <v>1</v>
      </c>
    </row>
    <row r="9850" spans="1:11">
      <c r="A9850" s="12">
        <v>42872</v>
      </c>
      <c r="B9850">
        <v>2017</v>
      </c>
      <c r="C9850">
        <v>5</v>
      </c>
      <c r="D9850" s="11">
        <v>42856</v>
      </c>
      <c r="E9850" t="s">
        <v>2177</v>
      </c>
      <c r="F9850">
        <v>3</v>
      </c>
      <c r="G9850" t="s">
        <v>65</v>
      </c>
      <c r="H9850" t="s">
        <v>40</v>
      </c>
      <c r="I9850" t="s">
        <v>2188</v>
      </c>
      <c r="J9850" s="10">
        <v>6.34</v>
      </c>
      <c r="K9850" t="b">
        <v>1</v>
      </c>
    </row>
    <row r="9851" spans="1:11">
      <c r="A9851" s="12">
        <v>42872</v>
      </c>
      <c r="B9851">
        <v>2017</v>
      </c>
      <c r="C9851">
        <v>5</v>
      </c>
      <c r="D9851" s="11">
        <v>42856</v>
      </c>
      <c r="E9851" t="s">
        <v>2177</v>
      </c>
      <c r="F9851">
        <v>3</v>
      </c>
      <c r="G9851" t="s">
        <v>65</v>
      </c>
      <c r="H9851" t="s">
        <v>41</v>
      </c>
      <c r="I9851" t="s">
        <v>2189</v>
      </c>
      <c r="J9851" s="10">
        <v>4.84</v>
      </c>
      <c r="K9851" t="b">
        <v>1</v>
      </c>
    </row>
    <row r="9852" spans="1:11">
      <c r="A9852" s="12">
        <v>42872</v>
      </c>
      <c r="B9852">
        <v>2017</v>
      </c>
      <c r="C9852">
        <v>5</v>
      </c>
      <c r="D9852" s="11">
        <v>42856</v>
      </c>
      <c r="E9852" t="s">
        <v>2177</v>
      </c>
      <c r="F9852">
        <v>3</v>
      </c>
      <c r="G9852" t="s">
        <v>65</v>
      </c>
      <c r="H9852" t="s">
        <v>42</v>
      </c>
      <c r="I9852" t="s">
        <v>2190</v>
      </c>
      <c r="J9852" s="10">
        <v>0</v>
      </c>
      <c r="K9852" t="b">
        <v>1</v>
      </c>
    </row>
    <row r="9853" spans="1:11">
      <c r="A9853" s="12">
        <v>42872</v>
      </c>
      <c r="B9853">
        <v>2017</v>
      </c>
      <c r="C9853">
        <v>5</v>
      </c>
      <c r="D9853" s="11">
        <v>42856</v>
      </c>
      <c r="E9853" t="s">
        <v>2177</v>
      </c>
      <c r="F9853">
        <v>3</v>
      </c>
      <c r="G9853" t="s">
        <v>65</v>
      </c>
      <c r="H9853" t="s">
        <v>43</v>
      </c>
      <c r="I9853" t="s">
        <v>2191</v>
      </c>
      <c r="J9853" s="10">
        <v>9</v>
      </c>
      <c r="K9853" t="b">
        <v>1</v>
      </c>
    </row>
    <row r="9854" spans="1:11">
      <c r="A9854" s="12">
        <v>42872</v>
      </c>
      <c r="B9854">
        <v>2017</v>
      </c>
      <c r="C9854">
        <v>5</v>
      </c>
      <c r="D9854" s="11">
        <v>42856</v>
      </c>
      <c r="E9854" t="s">
        <v>2177</v>
      </c>
      <c r="F9854">
        <v>3</v>
      </c>
      <c r="G9854" t="s">
        <v>65</v>
      </c>
      <c r="H9854" t="s">
        <v>44</v>
      </c>
      <c r="I9854" t="s">
        <v>2192</v>
      </c>
      <c r="J9854" s="10">
        <v>5</v>
      </c>
      <c r="K9854" t="b">
        <v>1</v>
      </c>
    </row>
    <row r="9855" spans="1:11">
      <c r="A9855" s="12">
        <v>42872</v>
      </c>
      <c r="B9855">
        <v>2017</v>
      </c>
      <c r="C9855">
        <v>5</v>
      </c>
      <c r="D9855" s="11">
        <v>42856</v>
      </c>
      <c r="E9855" t="s">
        <v>2177</v>
      </c>
      <c r="F9855">
        <v>3</v>
      </c>
      <c r="G9855" t="s">
        <v>65</v>
      </c>
      <c r="H9855" t="s">
        <v>45</v>
      </c>
      <c r="I9855" t="s">
        <v>2193</v>
      </c>
      <c r="J9855" s="10">
        <v>0</v>
      </c>
      <c r="K9855" t="b">
        <v>1</v>
      </c>
    </row>
    <row r="9856" spans="1:11">
      <c r="A9856" s="12">
        <v>42872</v>
      </c>
      <c r="B9856">
        <v>2017</v>
      </c>
      <c r="C9856">
        <v>5</v>
      </c>
      <c r="D9856" s="11">
        <v>42856</v>
      </c>
      <c r="E9856" t="s">
        <v>2177</v>
      </c>
      <c r="F9856">
        <v>3</v>
      </c>
      <c r="G9856" t="s">
        <v>65</v>
      </c>
      <c r="H9856" t="s">
        <v>46</v>
      </c>
      <c r="I9856" t="s">
        <v>2194</v>
      </c>
      <c r="J9856" s="10">
        <v>0</v>
      </c>
      <c r="K9856" t="b">
        <v>1</v>
      </c>
    </row>
    <row r="9857" spans="1:11">
      <c r="A9857" s="12">
        <v>42872</v>
      </c>
      <c r="B9857">
        <v>2017</v>
      </c>
      <c r="C9857">
        <v>5</v>
      </c>
      <c r="D9857" s="11">
        <v>42856</v>
      </c>
      <c r="E9857" t="s">
        <v>2177</v>
      </c>
      <c r="F9857">
        <v>3</v>
      </c>
      <c r="G9857" t="s">
        <v>65</v>
      </c>
      <c r="H9857" t="s">
        <v>47</v>
      </c>
      <c r="I9857" t="s">
        <v>2195</v>
      </c>
      <c r="J9857" s="10">
        <v>2</v>
      </c>
      <c r="K9857" t="b">
        <v>1</v>
      </c>
    </row>
    <row r="9858" spans="1:11">
      <c r="A9858" s="12">
        <v>42873</v>
      </c>
      <c r="B9858">
        <v>2017</v>
      </c>
      <c r="C9858">
        <v>5</v>
      </c>
      <c r="D9858" s="11">
        <v>42856</v>
      </c>
      <c r="E9858" t="s">
        <v>2177</v>
      </c>
      <c r="F9858">
        <v>4</v>
      </c>
      <c r="G9858" t="s">
        <v>53</v>
      </c>
      <c r="H9858" t="s">
        <v>40</v>
      </c>
      <c r="I9858" t="s">
        <v>2188</v>
      </c>
      <c r="J9858" s="10">
        <v>3.33</v>
      </c>
      <c r="K9858" t="b">
        <v>1</v>
      </c>
    </row>
    <row r="9859" spans="1:11">
      <c r="A9859" s="12">
        <v>42873</v>
      </c>
      <c r="B9859">
        <v>2017</v>
      </c>
      <c r="C9859">
        <v>5</v>
      </c>
      <c r="D9859" s="11">
        <v>42856</v>
      </c>
      <c r="E9859" t="s">
        <v>2177</v>
      </c>
      <c r="F9859">
        <v>4</v>
      </c>
      <c r="G9859" t="s">
        <v>53</v>
      </c>
      <c r="H9859" t="s">
        <v>41</v>
      </c>
      <c r="I9859" t="s">
        <v>2189</v>
      </c>
      <c r="J9859" s="10">
        <v>5.01</v>
      </c>
      <c r="K9859" t="b">
        <v>1</v>
      </c>
    </row>
    <row r="9860" spans="1:11">
      <c r="A9860" s="12">
        <v>42873</v>
      </c>
      <c r="B9860">
        <v>2017</v>
      </c>
      <c r="C9860">
        <v>5</v>
      </c>
      <c r="D9860" s="11">
        <v>42856</v>
      </c>
      <c r="E9860" t="s">
        <v>2177</v>
      </c>
      <c r="F9860">
        <v>4</v>
      </c>
      <c r="G9860" t="s">
        <v>53</v>
      </c>
      <c r="H9860" t="s">
        <v>42</v>
      </c>
      <c r="I9860" t="s">
        <v>2190</v>
      </c>
      <c r="J9860" s="10">
        <v>4</v>
      </c>
      <c r="K9860" t="b">
        <v>1</v>
      </c>
    </row>
    <row r="9861" spans="1:11">
      <c r="A9861" s="12">
        <v>42873</v>
      </c>
      <c r="B9861">
        <v>2017</v>
      </c>
      <c r="C9861">
        <v>5</v>
      </c>
      <c r="D9861" s="11">
        <v>42856</v>
      </c>
      <c r="E9861" t="s">
        <v>2177</v>
      </c>
      <c r="F9861">
        <v>4</v>
      </c>
      <c r="G9861" t="s">
        <v>53</v>
      </c>
      <c r="H9861" t="s">
        <v>43</v>
      </c>
      <c r="I9861" t="s">
        <v>2191</v>
      </c>
      <c r="J9861" s="10">
        <v>28.2</v>
      </c>
      <c r="K9861" t="b">
        <v>1</v>
      </c>
    </row>
    <row r="9862" spans="1:11">
      <c r="A9862" s="12">
        <v>42873</v>
      </c>
      <c r="B9862">
        <v>2017</v>
      </c>
      <c r="C9862">
        <v>5</v>
      </c>
      <c r="D9862" s="11">
        <v>42856</v>
      </c>
      <c r="E9862" t="s">
        <v>2177</v>
      </c>
      <c r="F9862">
        <v>4</v>
      </c>
      <c r="G9862" t="s">
        <v>53</v>
      </c>
      <c r="H9862" t="s">
        <v>44</v>
      </c>
      <c r="I9862" t="s">
        <v>2192</v>
      </c>
      <c r="J9862" s="10">
        <v>4</v>
      </c>
      <c r="K9862" t="b">
        <v>1</v>
      </c>
    </row>
    <row r="9863" spans="1:11">
      <c r="A9863" s="12">
        <v>42873</v>
      </c>
      <c r="B9863">
        <v>2017</v>
      </c>
      <c r="C9863">
        <v>5</v>
      </c>
      <c r="D9863" s="11">
        <v>42856</v>
      </c>
      <c r="E9863" t="s">
        <v>2177</v>
      </c>
      <c r="F9863">
        <v>4</v>
      </c>
      <c r="G9863" t="s">
        <v>53</v>
      </c>
      <c r="H9863" t="s">
        <v>45</v>
      </c>
      <c r="I9863" t="s">
        <v>2193</v>
      </c>
      <c r="J9863" s="10">
        <v>0</v>
      </c>
      <c r="K9863" t="b">
        <v>1</v>
      </c>
    </row>
    <row r="9864" spans="1:11">
      <c r="A9864" s="12">
        <v>42873</v>
      </c>
      <c r="B9864">
        <v>2017</v>
      </c>
      <c r="C9864">
        <v>5</v>
      </c>
      <c r="D9864" s="11">
        <v>42856</v>
      </c>
      <c r="E9864" t="s">
        <v>2177</v>
      </c>
      <c r="F9864">
        <v>4</v>
      </c>
      <c r="G9864" t="s">
        <v>53</v>
      </c>
      <c r="H9864" t="s">
        <v>46</v>
      </c>
      <c r="I9864" t="s">
        <v>2194</v>
      </c>
      <c r="J9864" s="10">
        <v>0</v>
      </c>
      <c r="K9864" t="b">
        <v>1</v>
      </c>
    </row>
    <row r="9865" spans="1:11">
      <c r="A9865" s="12">
        <v>42873</v>
      </c>
      <c r="B9865">
        <v>2017</v>
      </c>
      <c r="C9865">
        <v>5</v>
      </c>
      <c r="D9865" s="11">
        <v>42856</v>
      </c>
      <c r="E9865" t="s">
        <v>2177</v>
      </c>
      <c r="F9865">
        <v>4</v>
      </c>
      <c r="G9865" t="s">
        <v>53</v>
      </c>
      <c r="H9865" t="s">
        <v>47</v>
      </c>
      <c r="I9865" t="s">
        <v>2195</v>
      </c>
      <c r="J9865" s="10">
        <v>3</v>
      </c>
      <c r="K9865" t="b">
        <v>1</v>
      </c>
    </row>
    <row r="9866" spans="1:11">
      <c r="A9866" s="12">
        <v>42874</v>
      </c>
      <c r="B9866">
        <v>2017</v>
      </c>
      <c r="C9866">
        <v>5</v>
      </c>
      <c r="D9866" s="11">
        <v>42856</v>
      </c>
      <c r="E9866" t="s">
        <v>2177</v>
      </c>
      <c r="F9866">
        <v>5</v>
      </c>
      <c r="G9866" t="s">
        <v>55</v>
      </c>
      <c r="H9866" t="s">
        <v>40</v>
      </c>
      <c r="I9866" t="s">
        <v>2188</v>
      </c>
      <c r="J9866" s="10">
        <v>4.34</v>
      </c>
      <c r="K9866" t="b">
        <v>1</v>
      </c>
    </row>
    <row r="9867" spans="1:11">
      <c r="A9867" s="12">
        <v>42874</v>
      </c>
      <c r="B9867">
        <v>2017</v>
      </c>
      <c r="C9867">
        <v>5</v>
      </c>
      <c r="D9867" s="11">
        <v>42856</v>
      </c>
      <c r="E9867" t="s">
        <v>2177</v>
      </c>
      <c r="F9867">
        <v>5</v>
      </c>
      <c r="G9867" t="s">
        <v>55</v>
      </c>
      <c r="H9867" t="s">
        <v>41</v>
      </c>
      <c r="I9867" t="s">
        <v>2189</v>
      </c>
      <c r="J9867" s="10">
        <v>3.44</v>
      </c>
      <c r="K9867" t="b">
        <v>1</v>
      </c>
    </row>
    <row r="9868" spans="1:11">
      <c r="A9868" s="12">
        <v>42874</v>
      </c>
      <c r="B9868">
        <v>2017</v>
      </c>
      <c r="C9868">
        <v>5</v>
      </c>
      <c r="D9868" s="11">
        <v>42856</v>
      </c>
      <c r="E9868" t="s">
        <v>2177</v>
      </c>
      <c r="F9868">
        <v>5</v>
      </c>
      <c r="G9868" t="s">
        <v>55</v>
      </c>
      <c r="H9868" t="s">
        <v>42</v>
      </c>
      <c r="I9868" t="s">
        <v>2190</v>
      </c>
      <c r="J9868" s="10">
        <v>2.2</v>
      </c>
      <c r="K9868" t="b">
        <v>1</v>
      </c>
    </row>
    <row r="9869" spans="1:11">
      <c r="A9869" s="12">
        <v>42874</v>
      </c>
      <c r="B9869">
        <v>2017</v>
      </c>
      <c r="C9869">
        <v>5</v>
      </c>
      <c r="D9869" s="11">
        <v>42856</v>
      </c>
      <c r="E9869" t="s">
        <v>2177</v>
      </c>
      <c r="F9869">
        <v>5</v>
      </c>
      <c r="G9869" t="s">
        <v>55</v>
      </c>
      <c r="H9869" t="s">
        <v>43</v>
      </c>
      <c r="I9869" t="s">
        <v>2191</v>
      </c>
      <c r="J9869" s="10">
        <v>31.6</v>
      </c>
      <c r="K9869" t="b">
        <v>1</v>
      </c>
    </row>
    <row r="9870" spans="1:11">
      <c r="A9870" s="12">
        <v>42874</v>
      </c>
      <c r="B9870">
        <v>2017</v>
      </c>
      <c r="C9870">
        <v>5</v>
      </c>
      <c r="D9870" s="11">
        <v>42856</v>
      </c>
      <c r="E9870" t="s">
        <v>2177</v>
      </c>
      <c r="F9870">
        <v>5</v>
      </c>
      <c r="G9870" t="s">
        <v>55</v>
      </c>
      <c r="H9870" t="s">
        <v>44</v>
      </c>
      <c r="I9870" t="s">
        <v>2192</v>
      </c>
      <c r="J9870" s="10">
        <v>11</v>
      </c>
      <c r="K9870" t="b">
        <v>1</v>
      </c>
    </row>
    <row r="9871" spans="1:11">
      <c r="A9871" s="12">
        <v>42874</v>
      </c>
      <c r="B9871">
        <v>2017</v>
      </c>
      <c r="C9871">
        <v>5</v>
      </c>
      <c r="D9871" s="11">
        <v>42856</v>
      </c>
      <c r="E9871" t="s">
        <v>2177</v>
      </c>
      <c r="F9871">
        <v>5</v>
      </c>
      <c r="G9871" t="s">
        <v>55</v>
      </c>
      <c r="H9871" t="s">
        <v>45</v>
      </c>
      <c r="I9871" t="s">
        <v>2193</v>
      </c>
      <c r="J9871" s="10">
        <v>0</v>
      </c>
      <c r="K9871" t="b">
        <v>1</v>
      </c>
    </row>
    <row r="9872" spans="1:11">
      <c r="A9872" s="12">
        <v>42874</v>
      </c>
      <c r="B9872">
        <v>2017</v>
      </c>
      <c r="C9872">
        <v>5</v>
      </c>
      <c r="D9872" s="11">
        <v>42856</v>
      </c>
      <c r="E9872" t="s">
        <v>2177</v>
      </c>
      <c r="F9872">
        <v>5</v>
      </c>
      <c r="G9872" t="s">
        <v>55</v>
      </c>
      <c r="H9872" t="s">
        <v>46</v>
      </c>
      <c r="I9872" t="s">
        <v>2194</v>
      </c>
      <c r="J9872" s="10">
        <v>0</v>
      </c>
      <c r="K9872" t="b">
        <v>1</v>
      </c>
    </row>
    <row r="9873" spans="1:11">
      <c r="A9873" s="12">
        <v>42874</v>
      </c>
      <c r="B9873">
        <v>2017</v>
      </c>
      <c r="C9873">
        <v>5</v>
      </c>
      <c r="D9873" s="11">
        <v>42856</v>
      </c>
      <c r="E9873" t="s">
        <v>2177</v>
      </c>
      <c r="F9873">
        <v>5</v>
      </c>
      <c r="G9873" t="s">
        <v>55</v>
      </c>
      <c r="H9873" t="s">
        <v>47</v>
      </c>
      <c r="I9873" t="s">
        <v>2195</v>
      </c>
      <c r="J9873" s="10">
        <v>10</v>
      </c>
      <c r="K9873" t="b">
        <v>1</v>
      </c>
    </row>
    <row r="9874" spans="1:11">
      <c r="A9874" s="12">
        <v>42875</v>
      </c>
      <c r="B9874">
        <v>2017</v>
      </c>
      <c r="C9874">
        <v>5</v>
      </c>
      <c r="D9874" s="11">
        <v>42856</v>
      </c>
      <c r="E9874" t="s">
        <v>2177</v>
      </c>
      <c r="F9874">
        <v>6</v>
      </c>
      <c r="G9874" t="s">
        <v>57</v>
      </c>
      <c r="H9874" t="s">
        <v>40</v>
      </c>
      <c r="I9874" t="s">
        <v>2188</v>
      </c>
      <c r="J9874" s="10">
        <v>3.99</v>
      </c>
      <c r="K9874" t="b">
        <v>1</v>
      </c>
    </row>
    <row r="9875" spans="1:11">
      <c r="A9875" s="12">
        <v>42875</v>
      </c>
      <c r="B9875">
        <v>2017</v>
      </c>
      <c r="C9875">
        <v>5</v>
      </c>
      <c r="D9875" s="11">
        <v>42856</v>
      </c>
      <c r="E9875" t="s">
        <v>2177</v>
      </c>
      <c r="F9875">
        <v>6</v>
      </c>
      <c r="G9875" t="s">
        <v>57</v>
      </c>
      <c r="H9875" t="s">
        <v>41</v>
      </c>
      <c r="I9875" t="s">
        <v>2189</v>
      </c>
      <c r="J9875" s="10">
        <v>4.713</v>
      </c>
      <c r="K9875" t="b">
        <v>1</v>
      </c>
    </row>
    <row r="9876" spans="1:11">
      <c r="A9876" s="12">
        <v>42875</v>
      </c>
      <c r="B9876">
        <v>2017</v>
      </c>
      <c r="C9876">
        <v>5</v>
      </c>
      <c r="D9876" s="11">
        <v>42856</v>
      </c>
      <c r="E9876" t="s">
        <v>2177</v>
      </c>
      <c r="F9876">
        <v>6</v>
      </c>
      <c r="G9876" t="s">
        <v>57</v>
      </c>
      <c r="H9876" t="s">
        <v>42</v>
      </c>
      <c r="I9876" t="s">
        <v>2190</v>
      </c>
      <c r="J9876" s="10">
        <v>0.25</v>
      </c>
      <c r="K9876" t="b">
        <v>1</v>
      </c>
    </row>
    <row r="9877" spans="1:11">
      <c r="A9877" s="12">
        <v>42875</v>
      </c>
      <c r="B9877">
        <v>2017</v>
      </c>
      <c r="C9877">
        <v>5</v>
      </c>
      <c r="D9877" s="11">
        <v>42856</v>
      </c>
      <c r="E9877" t="s">
        <v>2177</v>
      </c>
      <c r="F9877">
        <v>6</v>
      </c>
      <c r="G9877" t="s">
        <v>57</v>
      </c>
      <c r="H9877" t="s">
        <v>43</v>
      </c>
      <c r="I9877" t="s">
        <v>2191</v>
      </c>
      <c r="J9877" s="10">
        <v>16.4</v>
      </c>
      <c r="K9877" t="b">
        <v>1</v>
      </c>
    </row>
    <row r="9878" spans="1:11">
      <c r="A9878" s="12">
        <v>42875</v>
      </c>
      <c r="B9878">
        <v>2017</v>
      </c>
      <c r="C9878">
        <v>5</v>
      </c>
      <c r="D9878" s="11">
        <v>42856</v>
      </c>
      <c r="E9878" t="s">
        <v>2177</v>
      </c>
      <c r="F9878">
        <v>6</v>
      </c>
      <c r="G9878" t="s">
        <v>57</v>
      </c>
      <c r="H9878" t="s">
        <v>44</v>
      </c>
      <c r="I9878" t="s">
        <v>2192</v>
      </c>
      <c r="J9878" s="10">
        <v>5</v>
      </c>
      <c r="K9878" t="b">
        <v>1</v>
      </c>
    </row>
    <row r="9879" spans="1:11">
      <c r="A9879" s="12">
        <v>42875</v>
      </c>
      <c r="B9879">
        <v>2017</v>
      </c>
      <c r="C9879">
        <v>5</v>
      </c>
      <c r="D9879" s="11">
        <v>42856</v>
      </c>
      <c r="E9879" t="s">
        <v>2177</v>
      </c>
      <c r="F9879">
        <v>6</v>
      </c>
      <c r="G9879" t="s">
        <v>57</v>
      </c>
      <c r="H9879" t="s">
        <v>45</v>
      </c>
      <c r="I9879" t="s">
        <v>2193</v>
      </c>
      <c r="J9879" s="10">
        <v>0</v>
      </c>
      <c r="K9879" t="b">
        <v>1</v>
      </c>
    </row>
    <row r="9880" spans="1:11">
      <c r="A9880" s="12">
        <v>42875</v>
      </c>
      <c r="B9880">
        <v>2017</v>
      </c>
      <c r="C9880">
        <v>5</v>
      </c>
      <c r="D9880" s="11">
        <v>42856</v>
      </c>
      <c r="E9880" t="s">
        <v>2177</v>
      </c>
      <c r="F9880">
        <v>6</v>
      </c>
      <c r="G9880" t="s">
        <v>57</v>
      </c>
      <c r="H9880" t="s">
        <v>46</v>
      </c>
      <c r="I9880" t="s">
        <v>2194</v>
      </c>
      <c r="J9880" s="10">
        <v>6</v>
      </c>
      <c r="K9880" t="b">
        <v>1</v>
      </c>
    </row>
    <row r="9881" spans="1:11">
      <c r="A9881" s="12">
        <v>42875</v>
      </c>
      <c r="B9881">
        <v>2017</v>
      </c>
      <c r="C9881">
        <v>5</v>
      </c>
      <c r="D9881" s="11">
        <v>42856</v>
      </c>
      <c r="E9881" t="s">
        <v>2177</v>
      </c>
      <c r="F9881">
        <v>6</v>
      </c>
      <c r="G9881" t="s">
        <v>57</v>
      </c>
      <c r="H9881" t="s">
        <v>47</v>
      </c>
      <c r="I9881" t="s">
        <v>2195</v>
      </c>
      <c r="J9881" s="10">
        <v>6</v>
      </c>
      <c r="K9881" t="b">
        <v>1</v>
      </c>
    </row>
    <row r="9882" spans="1:11">
      <c r="A9882" s="12">
        <v>42876</v>
      </c>
      <c r="B9882">
        <v>2017</v>
      </c>
      <c r="C9882">
        <v>5</v>
      </c>
      <c r="D9882" s="11">
        <v>42856</v>
      </c>
      <c r="E9882" t="s">
        <v>2177</v>
      </c>
      <c r="F9882">
        <v>7</v>
      </c>
      <c r="G9882" t="s">
        <v>59</v>
      </c>
      <c r="H9882" t="s">
        <v>40</v>
      </c>
      <c r="I9882" t="s">
        <v>2188</v>
      </c>
      <c r="J9882" s="10">
        <v>6</v>
      </c>
      <c r="K9882" t="b">
        <v>1</v>
      </c>
    </row>
    <row r="9883" spans="1:11">
      <c r="A9883" s="12">
        <v>42876</v>
      </c>
      <c r="B9883">
        <v>2017</v>
      </c>
      <c r="C9883">
        <v>5</v>
      </c>
      <c r="D9883" s="11">
        <v>42856</v>
      </c>
      <c r="E9883" t="s">
        <v>2177</v>
      </c>
      <c r="F9883">
        <v>7</v>
      </c>
      <c r="G9883" t="s">
        <v>59</v>
      </c>
      <c r="H9883" t="s">
        <v>41</v>
      </c>
      <c r="I9883" t="s">
        <v>2189</v>
      </c>
      <c r="J9883" s="10">
        <v>3.043</v>
      </c>
      <c r="K9883" t="b">
        <v>1</v>
      </c>
    </row>
    <row r="9884" spans="1:11">
      <c r="A9884" s="12">
        <v>42876</v>
      </c>
      <c r="B9884">
        <v>2017</v>
      </c>
      <c r="C9884">
        <v>5</v>
      </c>
      <c r="D9884" s="11">
        <v>42856</v>
      </c>
      <c r="E9884" t="s">
        <v>2177</v>
      </c>
      <c r="F9884">
        <v>7</v>
      </c>
      <c r="G9884" t="s">
        <v>59</v>
      </c>
      <c r="H9884" t="s">
        <v>42</v>
      </c>
      <c r="I9884" t="s">
        <v>2190</v>
      </c>
      <c r="J9884" s="10">
        <v>1.25</v>
      </c>
      <c r="K9884" t="b">
        <v>1</v>
      </c>
    </row>
    <row r="9885" spans="1:11">
      <c r="A9885" s="12">
        <v>42876</v>
      </c>
      <c r="B9885">
        <v>2017</v>
      </c>
      <c r="C9885">
        <v>5</v>
      </c>
      <c r="D9885" s="11">
        <v>42856</v>
      </c>
      <c r="E9885" t="s">
        <v>2177</v>
      </c>
      <c r="F9885">
        <v>7</v>
      </c>
      <c r="G9885" t="s">
        <v>59</v>
      </c>
      <c r="H9885" t="s">
        <v>43</v>
      </c>
      <c r="I9885" t="s">
        <v>2191</v>
      </c>
      <c r="J9885" s="10">
        <v>32.2</v>
      </c>
      <c r="K9885" t="b">
        <v>1</v>
      </c>
    </row>
    <row r="9886" spans="1:11">
      <c r="A9886" s="12">
        <v>42876</v>
      </c>
      <c r="B9886">
        <v>2017</v>
      </c>
      <c r="C9886">
        <v>5</v>
      </c>
      <c r="D9886" s="11">
        <v>42856</v>
      </c>
      <c r="E9886" t="s">
        <v>2177</v>
      </c>
      <c r="F9886">
        <v>7</v>
      </c>
      <c r="G9886" t="s">
        <v>59</v>
      </c>
      <c r="H9886" t="s">
        <v>44</v>
      </c>
      <c r="I9886" t="s">
        <v>2192</v>
      </c>
      <c r="J9886" s="10">
        <v>5</v>
      </c>
      <c r="K9886" t="b">
        <v>1</v>
      </c>
    </row>
    <row r="9887" spans="1:11">
      <c r="A9887" s="12">
        <v>42876</v>
      </c>
      <c r="B9887">
        <v>2017</v>
      </c>
      <c r="C9887">
        <v>5</v>
      </c>
      <c r="D9887" s="11">
        <v>42856</v>
      </c>
      <c r="E9887" t="s">
        <v>2177</v>
      </c>
      <c r="F9887">
        <v>7</v>
      </c>
      <c r="G9887" t="s">
        <v>59</v>
      </c>
      <c r="H9887" t="s">
        <v>45</v>
      </c>
      <c r="I9887" t="s">
        <v>2193</v>
      </c>
      <c r="J9887" s="10">
        <v>0</v>
      </c>
      <c r="K9887" t="b">
        <v>1</v>
      </c>
    </row>
    <row r="9888" spans="1:11">
      <c r="A9888" s="12">
        <v>42876</v>
      </c>
      <c r="B9888">
        <v>2017</v>
      </c>
      <c r="C9888">
        <v>5</v>
      </c>
      <c r="D9888" s="11">
        <v>42856</v>
      </c>
      <c r="E9888" t="s">
        <v>2177</v>
      </c>
      <c r="F9888">
        <v>7</v>
      </c>
      <c r="G9888" t="s">
        <v>59</v>
      </c>
      <c r="H9888" t="s">
        <v>46</v>
      </c>
      <c r="I9888" t="s">
        <v>2194</v>
      </c>
      <c r="J9888" s="10">
        <v>12</v>
      </c>
      <c r="K9888" t="b">
        <v>1</v>
      </c>
    </row>
    <row r="9889" spans="1:11">
      <c r="A9889" s="12">
        <v>42876</v>
      </c>
      <c r="B9889">
        <v>2017</v>
      </c>
      <c r="C9889">
        <v>5</v>
      </c>
      <c r="D9889" s="11">
        <v>42856</v>
      </c>
      <c r="E9889" t="s">
        <v>2177</v>
      </c>
      <c r="F9889">
        <v>7</v>
      </c>
      <c r="G9889" t="s">
        <v>59</v>
      </c>
      <c r="H9889" t="s">
        <v>47</v>
      </c>
      <c r="I9889" t="s">
        <v>2195</v>
      </c>
      <c r="J9889" s="10">
        <v>4</v>
      </c>
      <c r="K9889" t="b">
        <v>1</v>
      </c>
    </row>
    <row r="9890" spans="1:11">
      <c r="A9890" s="12">
        <v>42877</v>
      </c>
      <c r="B9890">
        <v>2017</v>
      </c>
      <c r="C9890">
        <v>5</v>
      </c>
      <c r="D9890" s="11">
        <v>42856</v>
      </c>
      <c r="E9890" t="s">
        <v>2177</v>
      </c>
      <c r="F9890">
        <v>1</v>
      </c>
      <c r="G9890" t="s">
        <v>61</v>
      </c>
      <c r="H9890" t="s">
        <v>40</v>
      </c>
      <c r="I9890" t="s">
        <v>2188</v>
      </c>
      <c r="J9890" s="10">
        <v>5.33</v>
      </c>
      <c r="K9890" t="b">
        <v>1</v>
      </c>
    </row>
    <row r="9891" spans="1:11">
      <c r="A9891" s="12">
        <v>42877</v>
      </c>
      <c r="B9891">
        <v>2017</v>
      </c>
      <c r="C9891">
        <v>5</v>
      </c>
      <c r="D9891" s="11">
        <v>42856</v>
      </c>
      <c r="E9891" t="s">
        <v>2177</v>
      </c>
      <c r="F9891">
        <v>1</v>
      </c>
      <c r="G9891" t="s">
        <v>61</v>
      </c>
      <c r="H9891" t="s">
        <v>41</v>
      </c>
      <c r="I9891" t="s">
        <v>2189</v>
      </c>
      <c r="J9891" s="10">
        <v>1.34</v>
      </c>
      <c r="K9891" t="b">
        <v>1</v>
      </c>
    </row>
    <row r="9892" spans="1:11">
      <c r="A9892" s="12">
        <v>42877</v>
      </c>
      <c r="B9892">
        <v>2017</v>
      </c>
      <c r="C9892">
        <v>5</v>
      </c>
      <c r="D9892" s="11">
        <v>42856</v>
      </c>
      <c r="E9892" t="s">
        <v>2177</v>
      </c>
      <c r="F9892">
        <v>1</v>
      </c>
      <c r="G9892" t="s">
        <v>61</v>
      </c>
      <c r="H9892" t="s">
        <v>42</v>
      </c>
      <c r="I9892" t="s">
        <v>2190</v>
      </c>
      <c r="J9892" s="10">
        <v>4.4</v>
      </c>
      <c r="K9892" t="b">
        <v>1</v>
      </c>
    </row>
    <row r="9893" spans="1:11">
      <c r="A9893" s="12">
        <v>42877</v>
      </c>
      <c r="B9893">
        <v>2017</v>
      </c>
      <c r="C9893">
        <v>5</v>
      </c>
      <c r="D9893" s="11">
        <v>42856</v>
      </c>
      <c r="E9893" t="s">
        <v>2177</v>
      </c>
      <c r="F9893">
        <v>1</v>
      </c>
      <c r="G9893" t="s">
        <v>61</v>
      </c>
      <c r="H9893" t="s">
        <v>43</v>
      </c>
      <c r="I9893" t="s">
        <v>2191</v>
      </c>
      <c r="J9893" s="10">
        <v>22.4</v>
      </c>
      <c r="K9893" t="b">
        <v>1</v>
      </c>
    </row>
    <row r="9894" spans="1:11">
      <c r="A9894" s="12">
        <v>42877</v>
      </c>
      <c r="B9894">
        <v>2017</v>
      </c>
      <c r="C9894">
        <v>5</v>
      </c>
      <c r="D9894" s="11">
        <v>42856</v>
      </c>
      <c r="E9894" t="s">
        <v>2177</v>
      </c>
      <c r="F9894">
        <v>1</v>
      </c>
      <c r="G9894" t="s">
        <v>61</v>
      </c>
      <c r="H9894" t="s">
        <v>44</v>
      </c>
      <c r="I9894" t="s">
        <v>2192</v>
      </c>
      <c r="J9894" s="10">
        <v>5</v>
      </c>
      <c r="K9894" t="b">
        <v>1</v>
      </c>
    </row>
    <row r="9895" spans="1:11">
      <c r="A9895" s="12">
        <v>42877</v>
      </c>
      <c r="B9895">
        <v>2017</v>
      </c>
      <c r="C9895">
        <v>5</v>
      </c>
      <c r="D9895" s="11">
        <v>42856</v>
      </c>
      <c r="E9895" t="s">
        <v>2177</v>
      </c>
      <c r="F9895">
        <v>1</v>
      </c>
      <c r="G9895" t="s">
        <v>61</v>
      </c>
      <c r="H9895" t="s">
        <v>45</v>
      </c>
      <c r="I9895" t="s">
        <v>2193</v>
      </c>
      <c r="J9895" s="10">
        <v>0</v>
      </c>
      <c r="K9895" t="b">
        <v>1</v>
      </c>
    </row>
    <row r="9896" spans="1:11">
      <c r="A9896" s="12">
        <v>42877</v>
      </c>
      <c r="B9896">
        <v>2017</v>
      </c>
      <c r="C9896">
        <v>5</v>
      </c>
      <c r="D9896" s="11">
        <v>42856</v>
      </c>
      <c r="E9896" t="s">
        <v>2177</v>
      </c>
      <c r="F9896">
        <v>1</v>
      </c>
      <c r="G9896" t="s">
        <v>61</v>
      </c>
      <c r="H9896" t="s">
        <v>46</v>
      </c>
      <c r="I9896" t="s">
        <v>2194</v>
      </c>
      <c r="J9896" s="10">
        <v>7</v>
      </c>
      <c r="K9896" t="b">
        <v>1</v>
      </c>
    </row>
    <row r="9897" spans="1:11">
      <c r="A9897" s="12">
        <v>42877</v>
      </c>
      <c r="B9897">
        <v>2017</v>
      </c>
      <c r="C9897">
        <v>5</v>
      </c>
      <c r="D9897" s="11">
        <v>42856</v>
      </c>
      <c r="E9897" t="s">
        <v>2177</v>
      </c>
      <c r="F9897">
        <v>1</v>
      </c>
      <c r="G9897" t="s">
        <v>61</v>
      </c>
      <c r="H9897" t="s">
        <v>47</v>
      </c>
      <c r="I9897" t="s">
        <v>2195</v>
      </c>
      <c r="J9897" s="10">
        <v>11</v>
      </c>
      <c r="K9897" t="b">
        <v>1</v>
      </c>
    </row>
    <row r="9898" spans="1:11">
      <c r="A9898" s="12">
        <v>42878</v>
      </c>
      <c r="B9898">
        <v>2017</v>
      </c>
      <c r="C9898">
        <v>5</v>
      </c>
      <c r="D9898" s="11">
        <v>42856</v>
      </c>
      <c r="E9898" t="s">
        <v>2177</v>
      </c>
      <c r="F9898">
        <v>2</v>
      </c>
      <c r="G9898" t="s">
        <v>63</v>
      </c>
      <c r="H9898" t="s">
        <v>40</v>
      </c>
      <c r="I9898" t="s">
        <v>2188</v>
      </c>
      <c r="J9898" s="10">
        <v>3</v>
      </c>
      <c r="K9898" t="b">
        <v>1</v>
      </c>
    </row>
    <row r="9899" spans="1:11">
      <c r="A9899" s="12">
        <v>42878</v>
      </c>
      <c r="B9899">
        <v>2017</v>
      </c>
      <c r="C9899">
        <v>5</v>
      </c>
      <c r="D9899" s="11">
        <v>42856</v>
      </c>
      <c r="E9899" t="s">
        <v>2177</v>
      </c>
      <c r="F9899">
        <v>2</v>
      </c>
      <c r="G9899" t="s">
        <v>63</v>
      </c>
      <c r="H9899" t="s">
        <v>41</v>
      </c>
      <c r="I9899" t="s">
        <v>2189</v>
      </c>
      <c r="J9899" s="10">
        <v>2.406</v>
      </c>
      <c r="K9899" t="b">
        <v>1</v>
      </c>
    </row>
    <row r="9900" spans="1:11">
      <c r="A9900" s="12">
        <v>42878</v>
      </c>
      <c r="B9900">
        <v>2017</v>
      </c>
      <c r="C9900">
        <v>5</v>
      </c>
      <c r="D9900" s="11">
        <v>42856</v>
      </c>
      <c r="E9900" t="s">
        <v>2177</v>
      </c>
      <c r="F9900">
        <v>2</v>
      </c>
      <c r="G9900" t="s">
        <v>63</v>
      </c>
      <c r="H9900" t="s">
        <v>42</v>
      </c>
      <c r="I9900" t="s">
        <v>2190</v>
      </c>
      <c r="J9900" s="10">
        <v>5</v>
      </c>
      <c r="K9900" t="b">
        <v>1</v>
      </c>
    </row>
    <row r="9901" spans="1:11">
      <c r="A9901" s="12">
        <v>42878</v>
      </c>
      <c r="B9901">
        <v>2017</v>
      </c>
      <c r="C9901">
        <v>5</v>
      </c>
      <c r="D9901" s="11">
        <v>42856</v>
      </c>
      <c r="E9901" t="s">
        <v>2177</v>
      </c>
      <c r="F9901">
        <v>2</v>
      </c>
      <c r="G9901" t="s">
        <v>63</v>
      </c>
      <c r="H9901" t="s">
        <v>43</v>
      </c>
      <c r="I9901" t="s">
        <v>2191</v>
      </c>
      <c r="J9901" s="10">
        <v>11</v>
      </c>
      <c r="K9901" t="b">
        <v>1</v>
      </c>
    </row>
    <row r="9902" spans="1:11">
      <c r="A9902" s="12">
        <v>42878</v>
      </c>
      <c r="B9902">
        <v>2017</v>
      </c>
      <c r="C9902">
        <v>5</v>
      </c>
      <c r="D9902" s="11">
        <v>42856</v>
      </c>
      <c r="E9902" t="s">
        <v>2177</v>
      </c>
      <c r="F9902">
        <v>2</v>
      </c>
      <c r="G9902" t="s">
        <v>63</v>
      </c>
      <c r="H9902" t="s">
        <v>44</v>
      </c>
      <c r="I9902" t="s">
        <v>2192</v>
      </c>
      <c r="J9902" s="10">
        <v>9</v>
      </c>
      <c r="K9902" t="b">
        <v>1</v>
      </c>
    </row>
    <row r="9903" spans="1:11">
      <c r="A9903" s="12">
        <v>42878</v>
      </c>
      <c r="B9903">
        <v>2017</v>
      </c>
      <c r="C9903">
        <v>5</v>
      </c>
      <c r="D9903" s="11">
        <v>42856</v>
      </c>
      <c r="E9903" t="s">
        <v>2177</v>
      </c>
      <c r="F9903">
        <v>2</v>
      </c>
      <c r="G9903" t="s">
        <v>63</v>
      </c>
      <c r="H9903" t="s">
        <v>45</v>
      </c>
      <c r="I9903" t="s">
        <v>2193</v>
      </c>
      <c r="J9903" s="10">
        <v>0</v>
      </c>
      <c r="K9903" t="b">
        <v>1</v>
      </c>
    </row>
    <row r="9904" spans="1:11">
      <c r="A9904" s="12">
        <v>42878</v>
      </c>
      <c r="B9904">
        <v>2017</v>
      </c>
      <c r="C9904">
        <v>5</v>
      </c>
      <c r="D9904" s="11">
        <v>42856</v>
      </c>
      <c r="E9904" t="s">
        <v>2177</v>
      </c>
      <c r="F9904">
        <v>2</v>
      </c>
      <c r="G9904" t="s">
        <v>63</v>
      </c>
      <c r="H9904" t="s">
        <v>46</v>
      </c>
      <c r="I9904" t="s">
        <v>2194</v>
      </c>
      <c r="J9904" s="10">
        <v>2</v>
      </c>
      <c r="K9904" t="b">
        <v>1</v>
      </c>
    </row>
    <row r="9905" spans="1:11">
      <c r="A9905" s="12">
        <v>42878</v>
      </c>
      <c r="B9905">
        <v>2017</v>
      </c>
      <c r="C9905">
        <v>5</v>
      </c>
      <c r="D9905" s="11">
        <v>42856</v>
      </c>
      <c r="E9905" t="s">
        <v>2177</v>
      </c>
      <c r="F9905">
        <v>2</v>
      </c>
      <c r="G9905" t="s">
        <v>63</v>
      </c>
      <c r="H9905" t="s">
        <v>47</v>
      </c>
      <c r="I9905" t="s">
        <v>2195</v>
      </c>
      <c r="J9905" s="10">
        <v>7</v>
      </c>
      <c r="K9905" t="b">
        <v>1</v>
      </c>
    </row>
    <row r="9906" spans="1:11">
      <c r="A9906" s="12">
        <v>42879</v>
      </c>
      <c r="B9906">
        <v>2017</v>
      </c>
      <c r="C9906">
        <v>5</v>
      </c>
      <c r="D9906" s="11">
        <v>42856</v>
      </c>
      <c r="E9906" t="s">
        <v>2177</v>
      </c>
      <c r="F9906">
        <v>3</v>
      </c>
      <c r="G9906" t="s">
        <v>65</v>
      </c>
      <c r="H9906" t="s">
        <v>40</v>
      </c>
      <c r="I9906" t="s">
        <v>2188</v>
      </c>
      <c r="J9906" s="10">
        <v>6.68</v>
      </c>
      <c r="K9906" t="b">
        <v>1</v>
      </c>
    </row>
    <row r="9907" spans="1:11">
      <c r="A9907" s="12">
        <v>42879</v>
      </c>
      <c r="B9907">
        <v>2017</v>
      </c>
      <c r="C9907">
        <v>5</v>
      </c>
      <c r="D9907" s="11">
        <v>42856</v>
      </c>
      <c r="E9907" t="s">
        <v>2177</v>
      </c>
      <c r="F9907">
        <v>3</v>
      </c>
      <c r="G9907" t="s">
        <v>65</v>
      </c>
      <c r="H9907" t="s">
        <v>41</v>
      </c>
      <c r="I9907" t="s">
        <v>2189</v>
      </c>
      <c r="J9907" s="10">
        <v>3.34</v>
      </c>
      <c r="K9907" t="b">
        <v>1</v>
      </c>
    </row>
    <row r="9908" spans="1:11">
      <c r="A9908" s="12">
        <v>42879</v>
      </c>
      <c r="B9908">
        <v>2017</v>
      </c>
      <c r="C9908">
        <v>5</v>
      </c>
      <c r="D9908" s="11">
        <v>42856</v>
      </c>
      <c r="E9908" t="s">
        <v>2177</v>
      </c>
      <c r="F9908">
        <v>3</v>
      </c>
      <c r="G9908" t="s">
        <v>65</v>
      </c>
      <c r="H9908" t="s">
        <v>42</v>
      </c>
      <c r="I9908" t="s">
        <v>2190</v>
      </c>
      <c r="J9908" s="10">
        <v>3</v>
      </c>
      <c r="K9908" t="b">
        <v>1</v>
      </c>
    </row>
    <row r="9909" spans="1:11">
      <c r="A9909" s="12">
        <v>42879</v>
      </c>
      <c r="B9909">
        <v>2017</v>
      </c>
      <c r="C9909">
        <v>5</v>
      </c>
      <c r="D9909" s="11">
        <v>42856</v>
      </c>
      <c r="E9909" t="s">
        <v>2177</v>
      </c>
      <c r="F9909">
        <v>3</v>
      </c>
      <c r="G9909" t="s">
        <v>65</v>
      </c>
      <c r="H9909" t="s">
        <v>43</v>
      </c>
      <c r="I9909" t="s">
        <v>2191</v>
      </c>
      <c r="J9909" s="10">
        <v>14.2</v>
      </c>
      <c r="K9909" t="b">
        <v>1</v>
      </c>
    </row>
    <row r="9910" spans="1:11">
      <c r="A9910" s="12">
        <v>42879</v>
      </c>
      <c r="B9910">
        <v>2017</v>
      </c>
      <c r="C9910">
        <v>5</v>
      </c>
      <c r="D9910" s="11">
        <v>42856</v>
      </c>
      <c r="E9910" t="s">
        <v>2177</v>
      </c>
      <c r="F9910">
        <v>3</v>
      </c>
      <c r="G9910" t="s">
        <v>65</v>
      </c>
      <c r="H9910" t="s">
        <v>44</v>
      </c>
      <c r="I9910" t="s">
        <v>2192</v>
      </c>
      <c r="J9910" s="10">
        <v>9</v>
      </c>
      <c r="K9910" t="b">
        <v>1</v>
      </c>
    </row>
    <row r="9911" spans="1:11">
      <c r="A9911" s="12">
        <v>42879</v>
      </c>
      <c r="B9911">
        <v>2017</v>
      </c>
      <c r="C9911">
        <v>5</v>
      </c>
      <c r="D9911" s="11">
        <v>42856</v>
      </c>
      <c r="E9911" t="s">
        <v>2177</v>
      </c>
      <c r="F9911">
        <v>3</v>
      </c>
      <c r="G9911" t="s">
        <v>65</v>
      </c>
      <c r="H9911" t="s">
        <v>45</v>
      </c>
      <c r="I9911" t="s">
        <v>2193</v>
      </c>
      <c r="J9911" s="10">
        <v>0</v>
      </c>
      <c r="K9911" t="b">
        <v>1</v>
      </c>
    </row>
    <row r="9912" spans="1:11">
      <c r="A9912" s="12">
        <v>42879</v>
      </c>
      <c r="B9912">
        <v>2017</v>
      </c>
      <c r="C9912">
        <v>5</v>
      </c>
      <c r="D9912" s="11">
        <v>42856</v>
      </c>
      <c r="E9912" t="s">
        <v>2177</v>
      </c>
      <c r="F9912">
        <v>3</v>
      </c>
      <c r="G9912" t="s">
        <v>65</v>
      </c>
      <c r="H9912" t="s">
        <v>46</v>
      </c>
      <c r="I9912" t="s">
        <v>2194</v>
      </c>
      <c r="J9912" s="10">
        <v>4</v>
      </c>
      <c r="K9912" t="b">
        <v>1</v>
      </c>
    </row>
    <row r="9913" spans="1:11">
      <c r="A9913" s="12">
        <v>42879</v>
      </c>
      <c r="B9913">
        <v>2017</v>
      </c>
      <c r="C9913">
        <v>5</v>
      </c>
      <c r="D9913" s="11">
        <v>42856</v>
      </c>
      <c r="E9913" t="s">
        <v>2177</v>
      </c>
      <c r="F9913">
        <v>3</v>
      </c>
      <c r="G9913" t="s">
        <v>65</v>
      </c>
      <c r="H9913" t="s">
        <v>47</v>
      </c>
      <c r="I9913" t="s">
        <v>2195</v>
      </c>
      <c r="J9913" s="10">
        <v>4.71</v>
      </c>
      <c r="K9913" t="b">
        <v>1</v>
      </c>
    </row>
    <row r="9914" spans="1:11">
      <c r="A9914" s="12">
        <v>42880</v>
      </c>
      <c r="B9914">
        <v>2017</v>
      </c>
      <c r="C9914">
        <v>5</v>
      </c>
      <c r="D9914" s="11">
        <v>42856</v>
      </c>
      <c r="E9914" t="s">
        <v>2177</v>
      </c>
      <c r="F9914">
        <v>4</v>
      </c>
      <c r="G9914" t="s">
        <v>53</v>
      </c>
      <c r="H9914" t="s">
        <v>40</v>
      </c>
      <c r="I9914" t="s">
        <v>2188</v>
      </c>
      <c r="J9914" s="10">
        <v>5.66</v>
      </c>
      <c r="K9914" t="b">
        <v>1</v>
      </c>
    </row>
    <row r="9915" spans="1:11">
      <c r="A9915" s="12">
        <v>42880</v>
      </c>
      <c r="B9915">
        <v>2017</v>
      </c>
      <c r="C9915">
        <v>5</v>
      </c>
      <c r="D9915" s="11">
        <v>42856</v>
      </c>
      <c r="E9915" t="s">
        <v>2177</v>
      </c>
      <c r="F9915">
        <v>4</v>
      </c>
      <c r="G9915" t="s">
        <v>53</v>
      </c>
      <c r="H9915" t="s">
        <v>41</v>
      </c>
      <c r="I9915" t="s">
        <v>2189</v>
      </c>
      <c r="J9915" s="10">
        <v>5.36</v>
      </c>
      <c r="K9915" t="b">
        <v>1</v>
      </c>
    </row>
    <row r="9916" spans="1:11">
      <c r="A9916" s="12">
        <v>42880</v>
      </c>
      <c r="B9916">
        <v>2017</v>
      </c>
      <c r="C9916">
        <v>5</v>
      </c>
      <c r="D9916" s="11">
        <v>42856</v>
      </c>
      <c r="E9916" t="s">
        <v>2177</v>
      </c>
      <c r="F9916">
        <v>4</v>
      </c>
      <c r="G9916" t="s">
        <v>53</v>
      </c>
      <c r="H9916" t="s">
        <v>42</v>
      </c>
      <c r="I9916" t="s">
        <v>2190</v>
      </c>
      <c r="J9916" s="10">
        <v>2</v>
      </c>
      <c r="K9916" t="b">
        <v>1</v>
      </c>
    </row>
    <row r="9917" spans="1:11">
      <c r="A9917" s="12">
        <v>42880</v>
      </c>
      <c r="B9917">
        <v>2017</v>
      </c>
      <c r="C9917">
        <v>5</v>
      </c>
      <c r="D9917" s="11">
        <v>42856</v>
      </c>
      <c r="E9917" t="s">
        <v>2177</v>
      </c>
      <c r="F9917">
        <v>4</v>
      </c>
      <c r="G9917" t="s">
        <v>53</v>
      </c>
      <c r="H9917" t="s">
        <v>43</v>
      </c>
      <c r="I9917" t="s">
        <v>2191</v>
      </c>
      <c r="J9917" s="10">
        <v>18.2</v>
      </c>
      <c r="K9917" t="b">
        <v>1</v>
      </c>
    </row>
    <row r="9918" spans="1:11">
      <c r="A9918" s="12">
        <v>42880</v>
      </c>
      <c r="B9918">
        <v>2017</v>
      </c>
      <c r="C9918">
        <v>5</v>
      </c>
      <c r="D9918" s="11">
        <v>42856</v>
      </c>
      <c r="E9918" t="s">
        <v>2177</v>
      </c>
      <c r="F9918">
        <v>4</v>
      </c>
      <c r="G9918" t="s">
        <v>53</v>
      </c>
      <c r="H9918" t="s">
        <v>44</v>
      </c>
      <c r="I9918" t="s">
        <v>2192</v>
      </c>
      <c r="J9918" s="10">
        <v>3</v>
      </c>
      <c r="K9918" t="b">
        <v>1</v>
      </c>
    </row>
    <row r="9919" spans="1:11">
      <c r="A9919" s="12">
        <v>42880</v>
      </c>
      <c r="B9919">
        <v>2017</v>
      </c>
      <c r="C9919">
        <v>5</v>
      </c>
      <c r="D9919" s="11">
        <v>42856</v>
      </c>
      <c r="E9919" t="s">
        <v>2177</v>
      </c>
      <c r="F9919">
        <v>4</v>
      </c>
      <c r="G9919" t="s">
        <v>53</v>
      </c>
      <c r="H9919" t="s">
        <v>45</v>
      </c>
      <c r="I9919" t="s">
        <v>2193</v>
      </c>
      <c r="J9919" s="10">
        <v>0</v>
      </c>
      <c r="K9919" t="b">
        <v>1</v>
      </c>
    </row>
    <row r="9920" spans="1:11">
      <c r="A9920" s="12">
        <v>42880</v>
      </c>
      <c r="B9920">
        <v>2017</v>
      </c>
      <c r="C9920">
        <v>5</v>
      </c>
      <c r="D9920" s="11">
        <v>42856</v>
      </c>
      <c r="E9920" t="s">
        <v>2177</v>
      </c>
      <c r="F9920">
        <v>4</v>
      </c>
      <c r="G9920" t="s">
        <v>53</v>
      </c>
      <c r="H9920" t="s">
        <v>46</v>
      </c>
      <c r="I9920" t="s">
        <v>2194</v>
      </c>
      <c r="J9920" s="10">
        <v>2</v>
      </c>
      <c r="K9920" t="b">
        <v>1</v>
      </c>
    </row>
    <row r="9921" spans="1:11">
      <c r="A9921" s="12">
        <v>42880</v>
      </c>
      <c r="B9921">
        <v>2017</v>
      </c>
      <c r="C9921">
        <v>5</v>
      </c>
      <c r="D9921" s="11">
        <v>42856</v>
      </c>
      <c r="E9921" t="s">
        <v>2177</v>
      </c>
      <c r="F9921">
        <v>4</v>
      </c>
      <c r="G9921" t="s">
        <v>53</v>
      </c>
      <c r="H9921" t="s">
        <v>47</v>
      </c>
      <c r="I9921" t="s">
        <v>2195</v>
      </c>
      <c r="J9921" s="10">
        <v>4.3</v>
      </c>
      <c r="K9921" t="b">
        <v>1</v>
      </c>
    </row>
    <row r="9922" spans="1:11">
      <c r="A9922" s="12">
        <v>42881</v>
      </c>
      <c r="B9922">
        <v>2017</v>
      </c>
      <c r="C9922">
        <v>5</v>
      </c>
      <c r="D9922" s="11">
        <v>42856</v>
      </c>
      <c r="E9922" t="s">
        <v>2177</v>
      </c>
      <c r="F9922">
        <v>5</v>
      </c>
      <c r="G9922" t="s">
        <v>55</v>
      </c>
      <c r="H9922" t="s">
        <v>40</v>
      </c>
      <c r="I9922" t="s">
        <v>2188</v>
      </c>
      <c r="J9922" s="10">
        <v>2.34</v>
      </c>
      <c r="K9922" t="b">
        <v>1</v>
      </c>
    </row>
    <row r="9923" spans="1:11">
      <c r="A9923" s="12">
        <v>42881</v>
      </c>
      <c r="B9923">
        <v>2017</v>
      </c>
      <c r="C9923">
        <v>5</v>
      </c>
      <c r="D9923" s="11">
        <v>42856</v>
      </c>
      <c r="E9923" t="s">
        <v>2177</v>
      </c>
      <c r="F9923">
        <v>5</v>
      </c>
      <c r="G9923" t="s">
        <v>55</v>
      </c>
      <c r="H9923" t="s">
        <v>41</v>
      </c>
      <c r="I9923" t="s">
        <v>2189</v>
      </c>
      <c r="J9923" s="10">
        <v>3.67</v>
      </c>
      <c r="K9923" t="b">
        <v>1</v>
      </c>
    </row>
    <row r="9924" spans="1:11">
      <c r="A9924" s="12">
        <v>42881</v>
      </c>
      <c r="B9924">
        <v>2017</v>
      </c>
      <c r="C9924">
        <v>5</v>
      </c>
      <c r="D9924" s="11">
        <v>42856</v>
      </c>
      <c r="E9924" t="s">
        <v>2177</v>
      </c>
      <c r="F9924">
        <v>5</v>
      </c>
      <c r="G9924" t="s">
        <v>55</v>
      </c>
      <c r="H9924" t="s">
        <v>42</v>
      </c>
      <c r="I9924" t="s">
        <v>2190</v>
      </c>
      <c r="J9924" s="10">
        <v>5</v>
      </c>
      <c r="K9924" t="b">
        <v>1</v>
      </c>
    </row>
    <row r="9925" spans="1:11">
      <c r="A9925" s="12">
        <v>42881</v>
      </c>
      <c r="B9925">
        <v>2017</v>
      </c>
      <c r="C9925">
        <v>5</v>
      </c>
      <c r="D9925" s="11">
        <v>42856</v>
      </c>
      <c r="E9925" t="s">
        <v>2177</v>
      </c>
      <c r="F9925">
        <v>5</v>
      </c>
      <c r="G9925" t="s">
        <v>55</v>
      </c>
      <c r="H9925" t="s">
        <v>43</v>
      </c>
      <c r="I9925" t="s">
        <v>2191</v>
      </c>
      <c r="J9925" s="10">
        <v>29</v>
      </c>
      <c r="K9925" t="b">
        <v>1</v>
      </c>
    </row>
    <row r="9926" spans="1:11">
      <c r="A9926" s="12">
        <v>42881</v>
      </c>
      <c r="B9926">
        <v>2017</v>
      </c>
      <c r="C9926">
        <v>5</v>
      </c>
      <c r="D9926" s="11">
        <v>42856</v>
      </c>
      <c r="E9926" t="s">
        <v>2177</v>
      </c>
      <c r="F9926">
        <v>5</v>
      </c>
      <c r="G9926" t="s">
        <v>55</v>
      </c>
      <c r="H9926" t="s">
        <v>44</v>
      </c>
      <c r="I9926" t="s">
        <v>2192</v>
      </c>
      <c r="J9926" s="10">
        <v>4</v>
      </c>
      <c r="K9926" t="b">
        <v>1</v>
      </c>
    </row>
    <row r="9927" spans="1:11">
      <c r="A9927" s="12">
        <v>42881</v>
      </c>
      <c r="B9927">
        <v>2017</v>
      </c>
      <c r="C9927">
        <v>5</v>
      </c>
      <c r="D9927" s="11">
        <v>42856</v>
      </c>
      <c r="E9927" t="s">
        <v>2177</v>
      </c>
      <c r="F9927">
        <v>5</v>
      </c>
      <c r="G9927" t="s">
        <v>55</v>
      </c>
      <c r="H9927" t="s">
        <v>45</v>
      </c>
      <c r="I9927" t="s">
        <v>2193</v>
      </c>
      <c r="J9927" s="10">
        <v>0</v>
      </c>
      <c r="K9927" t="b">
        <v>1</v>
      </c>
    </row>
    <row r="9928" spans="1:11">
      <c r="A9928" s="12">
        <v>42881</v>
      </c>
      <c r="B9928">
        <v>2017</v>
      </c>
      <c r="C9928">
        <v>5</v>
      </c>
      <c r="D9928" s="11">
        <v>42856</v>
      </c>
      <c r="E9928" t="s">
        <v>2177</v>
      </c>
      <c r="F9928">
        <v>5</v>
      </c>
      <c r="G9928" t="s">
        <v>55</v>
      </c>
      <c r="H9928" t="s">
        <v>46</v>
      </c>
      <c r="I9928" t="s">
        <v>2194</v>
      </c>
      <c r="J9928" s="10">
        <v>8</v>
      </c>
      <c r="K9928" t="b">
        <v>1</v>
      </c>
    </row>
    <row r="9929" spans="1:11">
      <c r="A9929" s="12">
        <v>42881</v>
      </c>
      <c r="B9929">
        <v>2017</v>
      </c>
      <c r="C9929">
        <v>5</v>
      </c>
      <c r="D9929" s="11">
        <v>42856</v>
      </c>
      <c r="E9929" t="s">
        <v>2177</v>
      </c>
      <c r="F9929">
        <v>5</v>
      </c>
      <c r="G9929" t="s">
        <v>55</v>
      </c>
      <c r="H9929" t="s">
        <v>47</v>
      </c>
      <c r="I9929" t="s">
        <v>2195</v>
      </c>
      <c r="J9929" s="10">
        <v>2</v>
      </c>
      <c r="K9929" t="b">
        <v>1</v>
      </c>
    </row>
    <row r="9930" spans="1:11">
      <c r="A9930" s="12">
        <v>42882</v>
      </c>
      <c r="B9930">
        <v>2017</v>
      </c>
      <c r="C9930">
        <v>5</v>
      </c>
      <c r="D9930" s="11">
        <v>42856</v>
      </c>
      <c r="E9930" t="s">
        <v>2177</v>
      </c>
      <c r="F9930">
        <v>6</v>
      </c>
      <c r="G9930" t="s">
        <v>57</v>
      </c>
      <c r="H9930" t="s">
        <v>40</v>
      </c>
      <c r="I9930" t="s">
        <v>2188</v>
      </c>
      <c r="J9930" s="10">
        <v>7.33</v>
      </c>
      <c r="K9930" t="b">
        <v>1</v>
      </c>
    </row>
    <row r="9931" spans="1:11">
      <c r="A9931" s="12">
        <v>42882</v>
      </c>
      <c r="B9931">
        <v>2017</v>
      </c>
      <c r="C9931">
        <v>5</v>
      </c>
      <c r="D9931" s="11">
        <v>42856</v>
      </c>
      <c r="E9931" t="s">
        <v>2177</v>
      </c>
      <c r="F9931">
        <v>6</v>
      </c>
      <c r="G9931" t="s">
        <v>57</v>
      </c>
      <c r="H9931" t="s">
        <v>41</v>
      </c>
      <c r="I9931" t="s">
        <v>2189</v>
      </c>
      <c r="J9931" s="10">
        <v>3.221</v>
      </c>
      <c r="K9931" t="b">
        <v>1</v>
      </c>
    </row>
    <row r="9932" spans="1:11">
      <c r="A9932" s="12">
        <v>42882</v>
      </c>
      <c r="B9932">
        <v>2017</v>
      </c>
      <c r="C9932">
        <v>5</v>
      </c>
      <c r="D9932" s="11">
        <v>42856</v>
      </c>
      <c r="E9932" t="s">
        <v>2177</v>
      </c>
      <c r="F9932">
        <v>6</v>
      </c>
      <c r="G9932" t="s">
        <v>57</v>
      </c>
      <c r="H9932" t="s">
        <v>42</v>
      </c>
      <c r="I9932" t="s">
        <v>2190</v>
      </c>
      <c r="J9932" s="10">
        <v>2</v>
      </c>
      <c r="K9932" t="b">
        <v>1</v>
      </c>
    </row>
    <row r="9933" spans="1:11">
      <c r="A9933" s="12">
        <v>42882</v>
      </c>
      <c r="B9933">
        <v>2017</v>
      </c>
      <c r="C9933">
        <v>5</v>
      </c>
      <c r="D9933" s="11">
        <v>42856</v>
      </c>
      <c r="E9933" t="s">
        <v>2177</v>
      </c>
      <c r="F9933">
        <v>6</v>
      </c>
      <c r="G9933" t="s">
        <v>57</v>
      </c>
      <c r="H9933" t="s">
        <v>43</v>
      </c>
      <c r="I9933" t="s">
        <v>2191</v>
      </c>
      <c r="J9933" s="10">
        <v>23.4</v>
      </c>
      <c r="K9933" t="b">
        <v>1</v>
      </c>
    </row>
    <row r="9934" spans="1:11">
      <c r="A9934" s="12">
        <v>42882</v>
      </c>
      <c r="B9934">
        <v>2017</v>
      </c>
      <c r="C9934">
        <v>5</v>
      </c>
      <c r="D9934" s="11">
        <v>42856</v>
      </c>
      <c r="E9934" t="s">
        <v>2177</v>
      </c>
      <c r="F9934">
        <v>6</v>
      </c>
      <c r="G9934" t="s">
        <v>57</v>
      </c>
      <c r="H9934" t="s">
        <v>44</v>
      </c>
      <c r="I9934" t="s">
        <v>2192</v>
      </c>
      <c r="J9934" s="10">
        <v>5</v>
      </c>
      <c r="K9934" t="b">
        <v>1</v>
      </c>
    </row>
    <row r="9935" spans="1:11">
      <c r="A9935" s="12">
        <v>42882</v>
      </c>
      <c r="B9935">
        <v>2017</v>
      </c>
      <c r="C9935">
        <v>5</v>
      </c>
      <c r="D9935" s="11">
        <v>42856</v>
      </c>
      <c r="E9935" t="s">
        <v>2177</v>
      </c>
      <c r="F9935">
        <v>6</v>
      </c>
      <c r="G9935" t="s">
        <v>57</v>
      </c>
      <c r="H9935" t="s">
        <v>45</v>
      </c>
      <c r="I9935" t="s">
        <v>2193</v>
      </c>
      <c r="J9935" s="10">
        <v>0</v>
      </c>
      <c r="K9935" t="b">
        <v>1</v>
      </c>
    </row>
    <row r="9936" spans="1:11">
      <c r="A9936" s="12">
        <v>42882</v>
      </c>
      <c r="B9936">
        <v>2017</v>
      </c>
      <c r="C9936">
        <v>5</v>
      </c>
      <c r="D9936" s="11">
        <v>42856</v>
      </c>
      <c r="E9936" t="s">
        <v>2177</v>
      </c>
      <c r="F9936">
        <v>6</v>
      </c>
      <c r="G9936" t="s">
        <v>57</v>
      </c>
      <c r="H9936" t="s">
        <v>46</v>
      </c>
      <c r="I9936" t="s">
        <v>2194</v>
      </c>
      <c r="J9936" s="10">
        <v>0</v>
      </c>
      <c r="K9936" t="b">
        <v>1</v>
      </c>
    </row>
    <row r="9937" spans="1:11">
      <c r="A9937" s="12">
        <v>42882</v>
      </c>
      <c r="B9937">
        <v>2017</v>
      </c>
      <c r="C9937">
        <v>5</v>
      </c>
      <c r="D9937" s="11">
        <v>42856</v>
      </c>
      <c r="E9937" t="s">
        <v>2177</v>
      </c>
      <c r="F9937">
        <v>6</v>
      </c>
      <c r="G9937" t="s">
        <v>57</v>
      </c>
      <c r="H9937" t="s">
        <v>47</v>
      </c>
      <c r="I9937" t="s">
        <v>2195</v>
      </c>
      <c r="J9937" s="10">
        <v>10</v>
      </c>
      <c r="K9937" t="b">
        <v>1</v>
      </c>
    </row>
    <row r="9938" spans="1:11">
      <c r="A9938" s="12">
        <v>42883</v>
      </c>
      <c r="B9938">
        <v>2017</v>
      </c>
      <c r="C9938">
        <v>5</v>
      </c>
      <c r="D9938" s="11">
        <v>42856</v>
      </c>
      <c r="E9938" t="s">
        <v>2177</v>
      </c>
      <c r="F9938">
        <v>7</v>
      </c>
      <c r="G9938" t="s">
        <v>59</v>
      </c>
      <c r="H9938" t="s">
        <v>40</v>
      </c>
      <c r="I9938" t="s">
        <v>2188</v>
      </c>
      <c r="J9938" s="10">
        <v>1.99</v>
      </c>
      <c r="K9938" t="b">
        <v>1</v>
      </c>
    </row>
    <row r="9939" spans="1:11">
      <c r="A9939" s="12">
        <v>42883</v>
      </c>
      <c r="B9939">
        <v>2017</v>
      </c>
      <c r="C9939">
        <v>5</v>
      </c>
      <c r="D9939" s="11">
        <v>42856</v>
      </c>
      <c r="E9939" t="s">
        <v>2177</v>
      </c>
      <c r="F9939">
        <v>7</v>
      </c>
      <c r="G9939" t="s">
        <v>59</v>
      </c>
      <c r="H9939" t="s">
        <v>41</v>
      </c>
      <c r="I9939" t="s">
        <v>2189</v>
      </c>
      <c r="J9939" s="10">
        <v>6.243</v>
      </c>
      <c r="K9939" t="b">
        <v>1</v>
      </c>
    </row>
    <row r="9940" spans="1:11">
      <c r="A9940" s="12">
        <v>42883</v>
      </c>
      <c r="B9940">
        <v>2017</v>
      </c>
      <c r="C9940">
        <v>5</v>
      </c>
      <c r="D9940" s="11">
        <v>42856</v>
      </c>
      <c r="E9940" t="s">
        <v>2177</v>
      </c>
      <c r="F9940">
        <v>7</v>
      </c>
      <c r="G9940" t="s">
        <v>59</v>
      </c>
      <c r="H9940" t="s">
        <v>42</v>
      </c>
      <c r="I9940" t="s">
        <v>2190</v>
      </c>
      <c r="J9940" s="10">
        <v>2.45</v>
      </c>
      <c r="K9940" t="b">
        <v>1</v>
      </c>
    </row>
    <row r="9941" spans="1:11">
      <c r="A9941" s="12">
        <v>42883</v>
      </c>
      <c r="B9941">
        <v>2017</v>
      </c>
      <c r="C9941">
        <v>5</v>
      </c>
      <c r="D9941" s="11">
        <v>42856</v>
      </c>
      <c r="E9941" t="s">
        <v>2177</v>
      </c>
      <c r="F9941">
        <v>7</v>
      </c>
      <c r="G9941" t="s">
        <v>59</v>
      </c>
      <c r="H9941" t="s">
        <v>43</v>
      </c>
      <c r="I9941" t="s">
        <v>2191</v>
      </c>
      <c r="J9941" s="10">
        <v>11.19</v>
      </c>
      <c r="K9941" t="b">
        <v>1</v>
      </c>
    </row>
    <row r="9942" spans="1:11">
      <c r="A9942" s="12">
        <v>42883</v>
      </c>
      <c r="B9942">
        <v>2017</v>
      </c>
      <c r="C9942">
        <v>5</v>
      </c>
      <c r="D9942" s="11">
        <v>42856</v>
      </c>
      <c r="E9942" t="s">
        <v>2177</v>
      </c>
      <c r="F9942">
        <v>7</v>
      </c>
      <c r="G9942" t="s">
        <v>59</v>
      </c>
      <c r="H9942" t="s">
        <v>44</v>
      </c>
      <c r="I9942" t="s">
        <v>2192</v>
      </c>
      <c r="J9942" s="10">
        <v>2</v>
      </c>
      <c r="K9942" t="b">
        <v>1</v>
      </c>
    </row>
    <row r="9943" spans="1:11">
      <c r="A9943" s="12">
        <v>42883</v>
      </c>
      <c r="B9943">
        <v>2017</v>
      </c>
      <c r="C9943">
        <v>5</v>
      </c>
      <c r="D9943" s="11">
        <v>42856</v>
      </c>
      <c r="E9943" t="s">
        <v>2177</v>
      </c>
      <c r="F9943">
        <v>7</v>
      </c>
      <c r="G9943" t="s">
        <v>59</v>
      </c>
      <c r="H9943" t="s">
        <v>45</v>
      </c>
      <c r="I9943" t="s">
        <v>2193</v>
      </c>
      <c r="J9943" s="10">
        <v>0</v>
      </c>
      <c r="K9943" t="b">
        <v>1</v>
      </c>
    </row>
    <row r="9944" spans="1:11">
      <c r="A9944" s="12">
        <v>42883</v>
      </c>
      <c r="B9944">
        <v>2017</v>
      </c>
      <c r="C9944">
        <v>5</v>
      </c>
      <c r="D9944" s="11">
        <v>42856</v>
      </c>
      <c r="E9944" t="s">
        <v>2177</v>
      </c>
      <c r="F9944">
        <v>7</v>
      </c>
      <c r="G9944" t="s">
        <v>59</v>
      </c>
      <c r="H9944" t="s">
        <v>46</v>
      </c>
      <c r="I9944" t="s">
        <v>2194</v>
      </c>
      <c r="J9944" s="10">
        <v>0</v>
      </c>
      <c r="K9944" t="b">
        <v>1</v>
      </c>
    </row>
    <row r="9945" spans="1:11">
      <c r="A9945" s="12">
        <v>42883</v>
      </c>
      <c r="B9945">
        <v>2017</v>
      </c>
      <c r="C9945">
        <v>5</v>
      </c>
      <c r="D9945" s="11">
        <v>42856</v>
      </c>
      <c r="E9945" t="s">
        <v>2177</v>
      </c>
      <c r="F9945">
        <v>7</v>
      </c>
      <c r="G9945" t="s">
        <v>59</v>
      </c>
      <c r="H9945" t="s">
        <v>47</v>
      </c>
      <c r="I9945" t="s">
        <v>2195</v>
      </c>
      <c r="J9945" s="10">
        <v>3</v>
      </c>
      <c r="K9945" t="b">
        <v>1</v>
      </c>
    </row>
    <row r="9946" spans="1:11">
      <c r="A9946" s="12">
        <v>42884</v>
      </c>
      <c r="B9946">
        <v>2017</v>
      </c>
      <c r="C9946">
        <v>5</v>
      </c>
      <c r="D9946" s="11">
        <v>42856</v>
      </c>
      <c r="E9946" t="s">
        <v>2177</v>
      </c>
      <c r="F9946">
        <v>1</v>
      </c>
      <c r="G9946" t="s">
        <v>61</v>
      </c>
      <c r="H9946" t="s">
        <v>40</v>
      </c>
      <c r="I9946" t="s">
        <v>2188</v>
      </c>
      <c r="J9946" s="10">
        <v>3.34</v>
      </c>
      <c r="K9946" t="b">
        <v>1</v>
      </c>
    </row>
    <row r="9947" spans="1:11">
      <c r="A9947" s="12">
        <v>42884</v>
      </c>
      <c r="B9947">
        <v>2017</v>
      </c>
      <c r="C9947">
        <v>5</v>
      </c>
      <c r="D9947" s="11">
        <v>42856</v>
      </c>
      <c r="E9947" t="s">
        <v>2177</v>
      </c>
      <c r="F9947">
        <v>1</v>
      </c>
      <c r="G9947" t="s">
        <v>61</v>
      </c>
      <c r="H9947" t="s">
        <v>41</v>
      </c>
      <c r="I9947" t="s">
        <v>2189</v>
      </c>
      <c r="J9947" s="10">
        <v>4.023</v>
      </c>
      <c r="K9947" t="b">
        <v>1</v>
      </c>
    </row>
    <row r="9948" spans="1:11">
      <c r="A9948" s="12">
        <v>42884</v>
      </c>
      <c r="B9948">
        <v>2017</v>
      </c>
      <c r="C9948">
        <v>5</v>
      </c>
      <c r="D9948" s="11">
        <v>42856</v>
      </c>
      <c r="E9948" t="s">
        <v>2177</v>
      </c>
      <c r="F9948">
        <v>1</v>
      </c>
      <c r="G9948" t="s">
        <v>61</v>
      </c>
      <c r="H9948" t="s">
        <v>42</v>
      </c>
      <c r="I9948" t="s">
        <v>2190</v>
      </c>
      <c r="J9948" s="10">
        <v>1.6</v>
      </c>
      <c r="K9948" t="b">
        <v>1</v>
      </c>
    </row>
    <row r="9949" spans="1:11">
      <c r="A9949" s="12">
        <v>42884</v>
      </c>
      <c r="B9949">
        <v>2017</v>
      </c>
      <c r="C9949">
        <v>5</v>
      </c>
      <c r="D9949" s="11">
        <v>42856</v>
      </c>
      <c r="E9949" t="s">
        <v>2177</v>
      </c>
      <c r="F9949">
        <v>1</v>
      </c>
      <c r="G9949" t="s">
        <v>61</v>
      </c>
      <c r="H9949" t="s">
        <v>43</v>
      </c>
      <c r="I9949" t="s">
        <v>2191</v>
      </c>
      <c r="J9949" s="10">
        <v>28</v>
      </c>
      <c r="K9949" t="b">
        <v>1</v>
      </c>
    </row>
    <row r="9950" spans="1:11">
      <c r="A9950" s="12">
        <v>42884</v>
      </c>
      <c r="B9950">
        <v>2017</v>
      </c>
      <c r="C9950">
        <v>5</v>
      </c>
      <c r="D9950" s="11">
        <v>42856</v>
      </c>
      <c r="E9950" t="s">
        <v>2177</v>
      </c>
      <c r="F9950">
        <v>1</v>
      </c>
      <c r="G9950" t="s">
        <v>61</v>
      </c>
      <c r="H9950" t="s">
        <v>44</v>
      </c>
      <c r="I9950" t="s">
        <v>2192</v>
      </c>
      <c r="J9950" s="10">
        <v>4</v>
      </c>
      <c r="K9950" t="b">
        <v>1</v>
      </c>
    </row>
    <row r="9951" spans="1:11">
      <c r="A9951" s="12">
        <v>42884</v>
      </c>
      <c r="B9951">
        <v>2017</v>
      </c>
      <c r="C9951">
        <v>5</v>
      </c>
      <c r="D9951" s="11">
        <v>42856</v>
      </c>
      <c r="E9951" t="s">
        <v>2177</v>
      </c>
      <c r="F9951">
        <v>1</v>
      </c>
      <c r="G9951" t="s">
        <v>61</v>
      </c>
      <c r="H9951" t="s">
        <v>45</v>
      </c>
      <c r="I9951" t="s">
        <v>2193</v>
      </c>
      <c r="J9951" s="10">
        <v>2</v>
      </c>
      <c r="K9951" t="b">
        <v>1</v>
      </c>
    </row>
    <row r="9952" spans="1:11">
      <c r="A9952" s="12">
        <v>42884</v>
      </c>
      <c r="B9952">
        <v>2017</v>
      </c>
      <c r="C9952">
        <v>5</v>
      </c>
      <c r="D9952" s="11">
        <v>42856</v>
      </c>
      <c r="E9952" t="s">
        <v>2177</v>
      </c>
      <c r="F9952">
        <v>1</v>
      </c>
      <c r="G9952" t="s">
        <v>61</v>
      </c>
      <c r="H9952" t="s">
        <v>46</v>
      </c>
      <c r="I9952" t="s">
        <v>2194</v>
      </c>
      <c r="J9952" s="10">
        <v>4</v>
      </c>
      <c r="K9952" t="b">
        <v>1</v>
      </c>
    </row>
    <row r="9953" spans="1:11">
      <c r="A9953" s="12">
        <v>42884</v>
      </c>
      <c r="B9953">
        <v>2017</v>
      </c>
      <c r="C9953">
        <v>5</v>
      </c>
      <c r="D9953" s="11">
        <v>42856</v>
      </c>
      <c r="E9953" t="s">
        <v>2177</v>
      </c>
      <c r="F9953">
        <v>1</v>
      </c>
      <c r="G9953" t="s">
        <v>61</v>
      </c>
      <c r="H9953" t="s">
        <v>47</v>
      </c>
      <c r="I9953" t="s">
        <v>2195</v>
      </c>
      <c r="J9953" s="10">
        <v>5</v>
      </c>
      <c r="K9953" t="b">
        <v>1</v>
      </c>
    </row>
    <row r="9954" spans="1:11">
      <c r="A9954" s="12">
        <v>42885</v>
      </c>
      <c r="B9954">
        <v>2017</v>
      </c>
      <c r="C9954">
        <v>5</v>
      </c>
      <c r="D9954" s="11">
        <v>42856</v>
      </c>
      <c r="E9954" t="s">
        <v>2177</v>
      </c>
      <c r="F9954">
        <v>2</v>
      </c>
      <c r="G9954" t="s">
        <v>63</v>
      </c>
      <c r="H9954" t="s">
        <v>40</v>
      </c>
      <c r="I9954" t="s">
        <v>2188</v>
      </c>
      <c r="J9954" s="10">
        <v>8</v>
      </c>
      <c r="K9954" t="b">
        <v>1</v>
      </c>
    </row>
    <row r="9955" spans="1:11">
      <c r="A9955" s="12">
        <v>42885</v>
      </c>
      <c r="B9955">
        <v>2017</v>
      </c>
      <c r="C9955">
        <v>5</v>
      </c>
      <c r="D9955" s="11">
        <v>42856</v>
      </c>
      <c r="E9955" t="s">
        <v>2177</v>
      </c>
      <c r="F9955">
        <v>2</v>
      </c>
      <c r="G9955" t="s">
        <v>63</v>
      </c>
      <c r="H9955" t="s">
        <v>41</v>
      </c>
      <c r="I9955" t="s">
        <v>2189</v>
      </c>
      <c r="J9955" s="10">
        <v>3.396</v>
      </c>
      <c r="K9955" t="b">
        <v>1</v>
      </c>
    </row>
    <row r="9956" spans="1:11">
      <c r="A9956" s="12">
        <v>42885</v>
      </c>
      <c r="B9956">
        <v>2017</v>
      </c>
      <c r="C9956">
        <v>5</v>
      </c>
      <c r="D9956" s="11">
        <v>42856</v>
      </c>
      <c r="E9956" t="s">
        <v>2177</v>
      </c>
      <c r="F9956">
        <v>2</v>
      </c>
      <c r="G9956" t="s">
        <v>63</v>
      </c>
      <c r="H9956" t="s">
        <v>42</v>
      </c>
      <c r="I9956" t="s">
        <v>2190</v>
      </c>
      <c r="J9956" s="10">
        <v>4.3</v>
      </c>
      <c r="K9956" t="b">
        <v>1</v>
      </c>
    </row>
    <row r="9957" spans="1:11">
      <c r="A9957" s="12">
        <v>42885</v>
      </c>
      <c r="B9957">
        <v>2017</v>
      </c>
      <c r="C9957">
        <v>5</v>
      </c>
      <c r="D9957" s="11">
        <v>42856</v>
      </c>
      <c r="E9957" t="s">
        <v>2177</v>
      </c>
      <c r="F9957">
        <v>2</v>
      </c>
      <c r="G9957" t="s">
        <v>63</v>
      </c>
      <c r="H9957" t="s">
        <v>43</v>
      </c>
      <c r="I9957" t="s">
        <v>2191</v>
      </c>
      <c r="J9957" s="10">
        <v>25</v>
      </c>
      <c r="K9957" t="b">
        <v>1</v>
      </c>
    </row>
    <row r="9958" spans="1:11">
      <c r="A9958" s="12">
        <v>42885</v>
      </c>
      <c r="B9958">
        <v>2017</v>
      </c>
      <c r="C9958">
        <v>5</v>
      </c>
      <c r="D9958" s="11">
        <v>42856</v>
      </c>
      <c r="E9958" t="s">
        <v>2177</v>
      </c>
      <c r="F9958">
        <v>2</v>
      </c>
      <c r="G9958" t="s">
        <v>63</v>
      </c>
      <c r="H9958" t="s">
        <v>44</v>
      </c>
      <c r="I9958" t="s">
        <v>2192</v>
      </c>
      <c r="J9958" s="10">
        <v>3</v>
      </c>
      <c r="K9958" t="b">
        <v>1</v>
      </c>
    </row>
    <row r="9959" spans="1:11">
      <c r="A9959" s="12">
        <v>42885</v>
      </c>
      <c r="B9959">
        <v>2017</v>
      </c>
      <c r="C9959">
        <v>5</v>
      </c>
      <c r="D9959" s="11">
        <v>42856</v>
      </c>
      <c r="E9959" t="s">
        <v>2177</v>
      </c>
      <c r="F9959">
        <v>2</v>
      </c>
      <c r="G9959" t="s">
        <v>63</v>
      </c>
      <c r="H9959" t="s">
        <v>45</v>
      </c>
      <c r="I9959" t="s">
        <v>2193</v>
      </c>
      <c r="J9959" s="10">
        <v>0</v>
      </c>
      <c r="K9959" t="b">
        <v>1</v>
      </c>
    </row>
    <row r="9960" spans="1:11">
      <c r="A9960" s="12">
        <v>42885</v>
      </c>
      <c r="B9960">
        <v>2017</v>
      </c>
      <c r="C9960">
        <v>5</v>
      </c>
      <c r="D9960" s="11">
        <v>42856</v>
      </c>
      <c r="E9960" t="s">
        <v>2177</v>
      </c>
      <c r="F9960">
        <v>2</v>
      </c>
      <c r="G9960" t="s">
        <v>63</v>
      </c>
      <c r="H9960" t="s">
        <v>46</v>
      </c>
      <c r="I9960" t="s">
        <v>2194</v>
      </c>
      <c r="J9960" s="10">
        <v>5</v>
      </c>
      <c r="K9960" t="b">
        <v>1</v>
      </c>
    </row>
    <row r="9961" spans="1:11">
      <c r="A9961" s="12">
        <v>42885</v>
      </c>
      <c r="B9961">
        <v>2017</v>
      </c>
      <c r="C9961">
        <v>5</v>
      </c>
      <c r="D9961" s="11">
        <v>42856</v>
      </c>
      <c r="E9961" t="s">
        <v>2177</v>
      </c>
      <c r="F9961">
        <v>2</v>
      </c>
      <c r="G9961" t="s">
        <v>63</v>
      </c>
      <c r="H9961" t="s">
        <v>47</v>
      </c>
      <c r="I9961" t="s">
        <v>2195</v>
      </c>
      <c r="J9961" s="10">
        <v>5</v>
      </c>
      <c r="K9961" t="b">
        <v>1</v>
      </c>
    </row>
    <row r="9962" spans="1:11">
      <c r="A9962" s="12">
        <v>42886</v>
      </c>
      <c r="B9962">
        <v>2017</v>
      </c>
      <c r="C9962">
        <v>5</v>
      </c>
      <c r="D9962" s="11">
        <v>42856</v>
      </c>
      <c r="E9962" t="s">
        <v>2177</v>
      </c>
      <c r="F9962">
        <v>3</v>
      </c>
      <c r="G9962" t="s">
        <v>65</v>
      </c>
      <c r="H9962" t="s">
        <v>40</v>
      </c>
      <c r="I9962" t="s">
        <v>2188</v>
      </c>
      <c r="J9962" s="10">
        <v>4</v>
      </c>
      <c r="K9962" t="b">
        <v>1</v>
      </c>
    </row>
    <row r="9963" spans="1:11">
      <c r="A9963" s="12">
        <v>42886</v>
      </c>
      <c r="B9963">
        <v>2017</v>
      </c>
      <c r="C9963">
        <v>5</v>
      </c>
      <c r="D9963" s="11">
        <v>42856</v>
      </c>
      <c r="E9963" t="s">
        <v>2177</v>
      </c>
      <c r="F9963">
        <v>3</v>
      </c>
      <c r="G9963" t="s">
        <v>65</v>
      </c>
      <c r="H9963" t="s">
        <v>41</v>
      </c>
      <c r="I9963" t="s">
        <v>2189</v>
      </c>
      <c r="J9963" s="10">
        <v>2.429</v>
      </c>
      <c r="K9963" t="b">
        <v>1</v>
      </c>
    </row>
    <row r="9964" spans="1:11">
      <c r="A9964" s="12">
        <v>42886</v>
      </c>
      <c r="B9964">
        <v>2017</v>
      </c>
      <c r="C9964">
        <v>5</v>
      </c>
      <c r="D9964" s="11">
        <v>42856</v>
      </c>
      <c r="E9964" t="s">
        <v>2177</v>
      </c>
      <c r="F9964">
        <v>3</v>
      </c>
      <c r="G9964" t="s">
        <v>65</v>
      </c>
      <c r="H9964" t="s">
        <v>42</v>
      </c>
      <c r="I9964" t="s">
        <v>2190</v>
      </c>
      <c r="J9964" s="10">
        <v>7</v>
      </c>
      <c r="K9964" t="b">
        <v>1</v>
      </c>
    </row>
    <row r="9965" spans="1:11">
      <c r="A9965" s="12">
        <v>42886</v>
      </c>
      <c r="B9965">
        <v>2017</v>
      </c>
      <c r="C9965">
        <v>5</v>
      </c>
      <c r="D9965" s="11">
        <v>42856</v>
      </c>
      <c r="E9965" t="s">
        <v>2177</v>
      </c>
      <c r="F9965">
        <v>3</v>
      </c>
      <c r="G9965" t="s">
        <v>65</v>
      </c>
      <c r="H9965" t="s">
        <v>43</v>
      </c>
      <c r="I9965" t="s">
        <v>2191</v>
      </c>
      <c r="J9965" s="10">
        <v>12.2</v>
      </c>
      <c r="K9965" t="b">
        <v>1</v>
      </c>
    </row>
    <row r="9966" spans="1:11">
      <c r="A9966" s="12">
        <v>42886</v>
      </c>
      <c r="B9966">
        <v>2017</v>
      </c>
      <c r="C9966">
        <v>5</v>
      </c>
      <c r="D9966" s="11">
        <v>42856</v>
      </c>
      <c r="E9966" t="s">
        <v>2177</v>
      </c>
      <c r="F9966">
        <v>3</v>
      </c>
      <c r="G9966" t="s">
        <v>65</v>
      </c>
      <c r="H9966" t="s">
        <v>44</v>
      </c>
      <c r="I9966" t="s">
        <v>2192</v>
      </c>
      <c r="J9966" s="10">
        <v>6</v>
      </c>
      <c r="K9966" t="b">
        <v>1</v>
      </c>
    </row>
    <row r="9967" spans="1:11">
      <c r="A9967" s="12">
        <v>42886</v>
      </c>
      <c r="B9967">
        <v>2017</v>
      </c>
      <c r="C9967">
        <v>5</v>
      </c>
      <c r="D9967" s="11">
        <v>42856</v>
      </c>
      <c r="E9967" t="s">
        <v>2177</v>
      </c>
      <c r="F9967">
        <v>3</v>
      </c>
      <c r="G9967" t="s">
        <v>65</v>
      </c>
      <c r="H9967" t="s">
        <v>45</v>
      </c>
      <c r="I9967" t="s">
        <v>2193</v>
      </c>
      <c r="J9967" s="10">
        <v>4</v>
      </c>
      <c r="K9967" t="b">
        <v>1</v>
      </c>
    </row>
    <row r="9968" spans="1:11">
      <c r="A9968" s="12">
        <v>42886</v>
      </c>
      <c r="B9968">
        <v>2017</v>
      </c>
      <c r="C9968">
        <v>5</v>
      </c>
      <c r="D9968" s="11">
        <v>42856</v>
      </c>
      <c r="E9968" t="s">
        <v>2177</v>
      </c>
      <c r="F9968">
        <v>3</v>
      </c>
      <c r="G9968" t="s">
        <v>65</v>
      </c>
      <c r="H9968" t="s">
        <v>46</v>
      </c>
      <c r="I9968" t="s">
        <v>2194</v>
      </c>
      <c r="J9968" s="10">
        <v>1</v>
      </c>
      <c r="K9968" t="b">
        <v>1</v>
      </c>
    </row>
    <row r="9969" spans="1:11">
      <c r="A9969" s="12">
        <v>42886</v>
      </c>
      <c r="B9969">
        <v>2017</v>
      </c>
      <c r="C9969">
        <v>5</v>
      </c>
      <c r="D9969" s="11">
        <v>42856</v>
      </c>
      <c r="E9969" t="s">
        <v>2177</v>
      </c>
      <c r="F9969">
        <v>3</v>
      </c>
      <c r="G9969" t="s">
        <v>65</v>
      </c>
      <c r="H9969" t="s">
        <v>47</v>
      </c>
      <c r="I9969" t="s">
        <v>2195</v>
      </c>
      <c r="J9969" s="10">
        <v>5</v>
      </c>
      <c r="K9969" t="b">
        <v>1</v>
      </c>
    </row>
    <row r="9970" spans="1:11">
      <c r="A9970" s="12">
        <v>42887</v>
      </c>
      <c r="B9970">
        <v>2017</v>
      </c>
      <c r="C9970">
        <v>6</v>
      </c>
      <c r="D9970" s="11">
        <v>42887</v>
      </c>
      <c r="E9970" t="s">
        <v>2178</v>
      </c>
      <c r="F9970">
        <v>4</v>
      </c>
      <c r="G9970" t="s">
        <v>53</v>
      </c>
      <c r="H9970" t="s">
        <v>40</v>
      </c>
      <c r="I9970" t="s">
        <v>2188</v>
      </c>
      <c r="J9970" s="10">
        <v>1.34</v>
      </c>
      <c r="K9970" t="b">
        <v>1</v>
      </c>
    </row>
    <row r="9971" spans="1:11">
      <c r="A9971" s="12">
        <v>42887</v>
      </c>
      <c r="B9971">
        <v>2017</v>
      </c>
      <c r="C9971">
        <v>6</v>
      </c>
      <c r="D9971" s="11">
        <v>42887</v>
      </c>
      <c r="E9971" t="s">
        <v>2178</v>
      </c>
      <c r="F9971">
        <v>4</v>
      </c>
      <c r="G9971" t="s">
        <v>53</v>
      </c>
      <c r="H9971" t="s">
        <v>41</v>
      </c>
      <c r="I9971" t="s">
        <v>2189</v>
      </c>
      <c r="J9971" s="10">
        <v>3.67</v>
      </c>
      <c r="K9971" t="b">
        <v>1</v>
      </c>
    </row>
    <row r="9972" spans="1:11">
      <c r="A9972" s="12">
        <v>42887</v>
      </c>
      <c r="B9972">
        <v>2017</v>
      </c>
      <c r="C9972">
        <v>6</v>
      </c>
      <c r="D9972" s="11">
        <v>42887</v>
      </c>
      <c r="E9972" t="s">
        <v>2178</v>
      </c>
      <c r="F9972">
        <v>4</v>
      </c>
      <c r="G9972" t="s">
        <v>53</v>
      </c>
      <c r="H9972" t="s">
        <v>42</v>
      </c>
      <c r="I9972" t="s">
        <v>2190</v>
      </c>
      <c r="J9972" s="10">
        <v>2</v>
      </c>
      <c r="K9972" t="b">
        <v>1</v>
      </c>
    </row>
    <row r="9973" spans="1:11">
      <c r="A9973" s="12">
        <v>42887</v>
      </c>
      <c r="B9973">
        <v>2017</v>
      </c>
      <c r="C9973">
        <v>6</v>
      </c>
      <c r="D9973" s="11">
        <v>42887</v>
      </c>
      <c r="E9973" t="s">
        <v>2178</v>
      </c>
      <c r="F9973">
        <v>4</v>
      </c>
      <c r="G9973" t="s">
        <v>53</v>
      </c>
      <c r="H9973" t="s">
        <v>43</v>
      </c>
      <c r="I9973" t="s">
        <v>2191</v>
      </c>
      <c r="J9973" s="10">
        <v>21.4</v>
      </c>
      <c r="K9973" t="b">
        <v>1</v>
      </c>
    </row>
    <row r="9974" spans="1:11">
      <c r="A9974" s="12">
        <v>42887</v>
      </c>
      <c r="B9974">
        <v>2017</v>
      </c>
      <c r="C9974">
        <v>6</v>
      </c>
      <c r="D9974" s="11">
        <v>42887</v>
      </c>
      <c r="E9974" t="s">
        <v>2178</v>
      </c>
      <c r="F9974">
        <v>4</v>
      </c>
      <c r="G9974" t="s">
        <v>53</v>
      </c>
      <c r="H9974" t="s">
        <v>44</v>
      </c>
      <c r="I9974" t="s">
        <v>2192</v>
      </c>
      <c r="J9974" s="10">
        <v>10</v>
      </c>
      <c r="K9974" t="b">
        <v>1</v>
      </c>
    </row>
    <row r="9975" spans="1:11">
      <c r="A9975" s="12">
        <v>42887</v>
      </c>
      <c r="B9975">
        <v>2017</v>
      </c>
      <c r="C9975">
        <v>6</v>
      </c>
      <c r="D9975" s="11">
        <v>42887</v>
      </c>
      <c r="E9975" t="s">
        <v>2178</v>
      </c>
      <c r="F9975">
        <v>4</v>
      </c>
      <c r="G9975" t="s">
        <v>53</v>
      </c>
      <c r="H9975" t="s">
        <v>45</v>
      </c>
      <c r="I9975" t="s">
        <v>2193</v>
      </c>
      <c r="J9975" s="10">
        <v>0</v>
      </c>
      <c r="K9975" t="b">
        <v>1</v>
      </c>
    </row>
    <row r="9976" spans="1:11">
      <c r="A9976" s="12">
        <v>42887</v>
      </c>
      <c r="B9976">
        <v>2017</v>
      </c>
      <c r="C9976">
        <v>6</v>
      </c>
      <c r="D9976" s="11">
        <v>42887</v>
      </c>
      <c r="E9976" t="s">
        <v>2178</v>
      </c>
      <c r="F9976">
        <v>4</v>
      </c>
      <c r="G9976" t="s">
        <v>53</v>
      </c>
      <c r="H9976" t="s">
        <v>46</v>
      </c>
      <c r="I9976" t="s">
        <v>2194</v>
      </c>
      <c r="J9976" s="10">
        <v>2</v>
      </c>
      <c r="K9976" t="b">
        <v>1</v>
      </c>
    </row>
    <row r="9977" spans="1:11">
      <c r="A9977" s="12">
        <v>42887</v>
      </c>
      <c r="B9977">
        <v>2017</v>
      </c>
      <c r="C9977">
        <v>6</v>
      </c>
      <c r="D9977" s="11">
        <v>42887</v>
      </c>
      <c r="E9977" t="s">
        <v>2178</v>
      </c>
      <c r="F9977">
        <v>4</v>
      </c>
      <c r="G9977" t="s">
        <v>53</v>
      </c>
      <c r="H9977" t="s">
        <v>47</v>
      </c>
      <c r="I9977" t="s">
        <v>2195</v>
      </c>
      <c r="J9977" s="10">
        <v>2</v>
      </c>
      <c r="K9977" t="b">
        <v>1</v>
      </c>
    </row>
    <row r="9978" spans="1:11">
      <c r="A9978" s="12">
        <v>42888</v>
      </c>
      <c r="B9978">
        <v>2017</v>
      </c>
      <c r="C9978">
        <v>6</v>
      </c>
      <c r="D9978" s="11">
        <v>42887</v>
      </c>
      <c r="E9978" t="s">
        <v>2178</v>
      </c>
      <c r="F9978">
        <v>5</v>
      </c>
      <c r="G9978" t="s">
        <v>55</v>
      </c>
      <c r="H9978" t="s">
        <v>40</v>
      </c>
      <c r="I9978" t="s">
        <v>2188</v>
      </c>
      <c r="J9978" s="10">
        <v>2.33</v>
      </c>
      <c r="K9978" t="b">
        <v>1</v>
      </c>
    </row>
    <row r="9979" spans="1:11">
      <c r="A9979" s="12">
        <v>42888</v>
      </c>
      <c r="B9979">
        <v>2017</v>
      </c>
      <c r="C9979">
        <v>6</v>
      </c>
      <c r="D9979" s="11">
        <v>42887</v>
      </c>
      <c r="E9979" t="s">
        <v>2178</v>
      </c>
      <c r="F9979">
        <v>5</v>
      </c>
      <c r="G9979" t="s">
        <v>55</v>
      </c>
      <c r="H9979" t="s">
        <v>41</v>
      </c>
      <c r="I9979" t="s">
        <v>2189</v>
      </c>
      <c r="J9979" s="10">
        <v>4</v>
      </c>
      <c r="K9979" t="b">
        <v>1</v>
      </c>
    </row>
    <row r="9980" spans="1:11">
      <c r="A9980" s="12">
        <v>42888</v>
      </c>
      <c r="B9980">
        <v>2017</v>
      </c>
      <c r="C9980">
        <v>6</v>
      </c>
      <c r="D9980" s="11">
        <v>42887</v>
      </c>
      <c r="E9980" t="s">
        <v>2178</v>
      </c>
      <c r="F9980">
        <v>5</v>
      </c>
      <c r="G9980" t="s">
        <v>55</v>
      </c>
      <c r="H9980" t="s">
        <v>42</v>
      </c>
      <c r="I9980" t="s">
        <v>2190</v>
      </c>
      <c r="J9980" s="10">
        <v>4</v>
      </c>
      <c r="K9980" t="b">
        <v>1</v>
      </c>
    </row>
    <row r="9981" spans="1:11">
      <c r="A9981" s="12">
        <v>42888</v>
      </c>
      <c r="B9981">
        <v>2017</v>
      </c>
      <c r="C9981">
        <v>6</v>
      </c>
      <c r="D9981" s="11">
        <v>42887</v>
      </c>
      <c r="E9981" t="s">
        <v>2178</v>
      </c>
      <c r="F9981">
        <v>5</v>
      </c>
      <c r="G9981" t="s">
        <v>55</v>
      </c>
      <c r="H9981" t="s">
        <v>43</v>
      </c>
      <c r="I9981" t="s">
        <v>2191</v>
      </c>
      <c r="J9981" s="10">
        <v>17.4</v>
      </c>
      <c r="K9981" t="b">
        <v>1</v>
      </c>
    </row>
    <row r="9982" spans="1:11">
      <c r="A9982" s="12">
        <v>42888</v>
      </c>
      <c r="B9982">
        <v>2017</v>
      </c>
      <c r="C9982">
        <v>6</v>
      </c>
      <c r="D9982" s="11">
        <v>42887</v>
      </c>
      <c r="E9982" t="s">
        <v>2178</v>
      </c>
      <c r="F9982">
        <v>5</v>
      </c>
      <c r="G9982" t="s">
        <v>55</v>
      </c>
      <c r="H9982" t="s">
        <v>44</v>
      </c>
      <c r="I9982" t="s">
        <v>2192</v>
      </c>
      <c r="J9982" s="10">
        <v>9</v>
      </c>
      <c r="K9982" t="b">
        <v>1</v>
      </c>
    </row>
    <row r="9983" spans="1:11">
      <c r="A9983" s="12">
        <v>42888</v>
      </c>
      <c r="B9983">
        <v>2017</v>
      </c>
      <c r="C9983">
        <v>6</v>
      </c>
      <c r="D9983" s="11">
        <v>42887</v>
      </c>
      <c r="E9983" t="s">
        <v>2178</v>
      </c>
      <c r="F9983">
        <v>5</v>
      </c>
      <c r="G9983" t="s">
        <v>55</v>
      </c>
      <c r="H9983" t="s">
        <v>45</v>
      </c>
      <c r="I9983" t="s">
        <v>2193</v>
      </c>
      <c r="J9983" s="10">
        <v>1</v>
      </c>
      <c r="K9983" t="b">
        <v>1</v>
      </c>
    </row>
    <row r="9984" spans="1:11">
      <c r="A9984" s="12">
        <v>42888</v>
      </c>
      <c r="B9984">
        <v>2017</v>
      </c>
      <c r="C9984">
        <v>6</v>
      </c>
      <c r="D9984" s="11">
        <v>42887</v>
      </c>
      <c r="E9984" t="s">
        <v>2178</v>
      </c>
      <c r="F9984">
        <v>5</v>
      </c>
      <c r="G9984" t="s">
        <v>55</v>
      </c>
      <c r="H9984" t="s">
        <v>46</v>
      </c>
      <c r="I9984" t="s">
        <v>2194</v>
      </c>
      <c r="J9984" s="10">
        <v>5</v>
      </c>
      <c r="K9984" t="b">
        <v>1</v>
      </c>
    </row>
    <row r="9985" spans="1:11">
      <c r="A9985" s="12">
        <v>42888</v>
      </c>
      <c r="B9985">
        <v>2017</v>
      </c>
      <c r="C9985">
        <v>6</v>
      </c>
      <c r="D9985" s="11">
        <v>42887</v>
      </c>
      <c r="E9985" t="s">
        <v>2178</v>
      </c>
      <c r="F9985">
        <v>5</v>
      </c>
      <c r="G9985" t="s">
        <v>55</v>
      </c>
      <c r="H9985" t="s">
        <v>47</v>
      </c>
      <c r="I9985" t="s">
        <v>2195</v>
      </c>
      <c r="J9985" s="10">
        <v>3</v>
      </c>
      <c r="K9985" t="b">
        <v>1</v>
      </c>
    </row>
    <row r="9986" spans="1:11">
      <c r="A9986" s="12">
        <v>42889</v>
      </c>
      <c r="B9986">
        <v>2017</v>
      </c>
      <c r="C9986">
        <v>6</v>
      </c>
      <c r="D9986" s="11">
        <v>42887</v>
      </c>
      <c r="E9986" t="s">
        <v>2178</v>
      </c>
      <c r="F9986">
        <v>6</v>
      </c>
      <c r="G9986" t="s">
        <v>57</v>
      </c>
      <c r="H9986" t="s">
        <v>40</v>
      </c>
      <c r="I9986" t="s">
        <v>2188</v>
      </c>
      <c r="J9986" s="10">
        <v>5</v>
      </c>
      <c r="K9986" t="b">
        <v>1</v>
      </c>
    </row>
    <row r="9987" spans="1:11">
      <c r="A9987" s="12">
        <v>42889</v>
      </c>
      <c r="B9987">
        <v>2017</v>
      </c>
      <c r="C9987">
        <v>6</v>
      </c>
      <c r="D9987" s="11">
        <v>42887</v>
      </c>
      <c r="E9987" t="s">
        <v>2178</v>
      </c>
      <c r="F9987">
        <v>6</v>
      </c>
      <c r="G9987" t="s">
        <v>57</v>
      </c>
      <c r="H9987" t="s">
        <v>41</v>
      </c>
      <c r="I9987" t="s">
        <v>2189</v>
      </c>
      <c r="J9987" s="10">
        <v>1.726</v>
      </c>
      <c r="K9987" t="b">
        <v>1</v>
      </c>
    </row>
    <row r="9988" spans="1:11">
      <c r="A9988" s="12">
        <v>42889</v>
      </c>
      <c r="B9988">
        <v>2017</v>
      </c>
      <c r="C9988">
        <v>6</v>
      </c>
      <c r="D9988" s="11">
        <v>42887</v>
      </c>
      <c r="E9988" t="s">
        <v>2178</v>
      </c>
      <c r="F9988">
        <v>6</v>
      </c>
      <c r="G9988" t="s">
        <v>57</v>
      </c>
      <c r="H9988" t="s">
        <v>42</v>
      </c>
      <c r="I9988" t="s">
        <v>2190</v>
      </c>
      <c r="J9988" s="10">
        <v>3</v>
      </c>
      <c r="K9988" t="b">
        <v>1</v>
      </c>
    </row>
    <row r="9989" spans="1:11">
      <c r="A9989" s="12">
        <v>42889</v>
      </c>
      <c r="B9989">
        <v>2017</v>
      </c>
      <c r="C9989">
        <v>6</v>
      </c>
      <c r="D9989" s="11">
        <v>42887</v>
      </c>
      <c r="E9989" t="s">
        <v>2178</v>
      </c>
      <c r="F9989">
        <v>6</v>
      </c>
      <c r="G9989" t="s">
        <v>57</v>
      </c>
      <c r="H9989" t="s">
        <v>43</v>
      </c>
      <c r="I9989" t="s">
        <v>2191</v>
      </c>
      <c r="J9989" s="10">
        <v>10</v>
      </c>
      <c r="K9989" t="b">
        <v>1</v>
      </c>
    </row>
    <row r="9990" spans="1:11">
      <c r="A9990" s="12">
        <v>42889</v>
      </c>
      <c r="B9990">
        <v>2017</v>
      </c>
      <c r="C9990">
        <v>6</v>
      </c>
      <c r="D9990" s="11">
        <v>42887</v>
      </c>
      <c r="E9990" t="s">
        <v>2178</v>
      </c>
      <c r="F9990">
        <v>6</v>
      </c>
      <c r="G9990" t="s">
        <v>57</v>
      </c>
      <c r="H9990" t="s">
        <v>44</v>
      </c>
      <c r="I9990" t="s">
        <v>2192</v>
      </c>
      <c r="J9990" s="10">
        <v>3</v>
      </c>
      <c r="K9990" t="b">
        <v>1</v>
      </c>
    </row>
    <row r="9991" spans="1:11">
      <c r="A9991" s="12">
        <v>42889</v>
      </c>
      <c r="B9991">
        <v>2017</v>
      </c>
      <c r="C9991">
        <v>6</v>
      </c>
      <c r="D9991" s="11">
        <v>42887</v>
      </c>
      <c r="E9991" t="s">
        <v>2178</v>
      </c>
      <c r="F9991">
        <v>6</v>
      </c>
      <c r="G9991" t="s">
        <v>57</v>
      </c>
      <c r="H9991" t="s">
        <v>45</v>
      </c>
      <c r="I9991" t="s">
        <v>2193</v>
      </c>
      <c r="J9991" s="10">
        <v>1</v>
      </c>
      <c r="K9991" t="b">
        <v>1</v>
      </c>
    </row>
    <row r="9992" spans="1:11">
      <c r="A9992" s="12">
        <v>42889</v>
      </c>
      <c r="B9992">
        <v>2017</v>
      </c>
      <c r="C9992">
        <v>6</v>
      </c>
      <c r="D9992" s="11">
        <v>42887</v>
      </c>
      <c r="E9992" t="s">
        <v>2178</v>
      </c>
      <c r="F9992">
        <v>6</v>
      </c>
      <c r="G9992" t="s">
        <v>57</v>
      </c>
      <c r="H9992" t="s">
        <v>46</v>
      </c>
      <c r="I9992" t="s">
        <v>2194</v>
      </c>
      <c r="J9992" s="10">
        <v>22</v>
      </c>
      <c r="K9992" t="b">
        <v>1</v>
      </c>
    </row>
    <row r="9993" spans="1:11">
      <c r="A9993" s="12">
        <v>42889</v>
      </c>
      <c r="B9993">
        <v>2017</v>
      </c>
      <c r="C9993">
        <v>6</v>
      </c>
      <c r="D9993" s="11">
        <v>42887</v>
      </c>
      <c r="E9993" t="s">
        <v>2178</v>
      </c>
      <c r="F9993">
        <v>6</v>
      </c>
      <c r="G9993" t="s">
        <v>57</v>
      </c>
      <c r="H9993" t="s">
        <v>47</v>
      </c>
      <c r="I9993" t="s">
        <v>2195</v>
      </c>
      <c r="J9993" s="10">
        <v>2</v>
      </c>
      <c r="K9993" t="b">
        <v>1</v>
      </c>
    </row>
    <row r="9994" spans="1:11">
      <c r="A9994" s="12">
        <v>42890</v>
      </c>
      <c r="B9994">
        <v>2017</v>
      </c>
      <c r="C9994">
        <v>6</v>
      </c>
      <c r="D9994" s="11">
        <v>42887</v>
      </c>
      <c r="E9994" t="s">
        <v>2178</v>
      </c>
      <c r="F9994">
        <v>7</v>
      </c>
      <c r="G9994" t="s">
        <v>59</v>
      </c>
      <c r="H9994" t="s">
        <v>40</v>
      </c>
      <c r="I9994" t="s">
        <v>2188</v>
      </c>
      <c r="J9994" s="10">
        <v>7</v>
      </c>
      <c r="K9994" t="b">
        <v>1</v>
      </c>
    </row>
    <row r="9995" spans="1:11">
      <c r="A9995" s="12">
        <v>42890</v>
      </c>
      <c r="B9995">
        <v>2017</v>
      </c>
      <c r="C9995">
        <v>6</v>
      </c>
      <c r="D9995" s="11">
        <v>42887</v>
      </c>
      <c r="E9995" t="s">
        <v>2178</v>
      </c>
      <c r="F9995">
        <v>7</v>
      </c>
      <c r="G9995" t="s">
        <v>59</v>
      </c>
      <c r="H9995" t="s">
        <v>41</v>
      </c>
      <c r="I9995" t="s">
        <v>2189</v>
      </c>
      <c r="J9995" s="10">
        <v>1.747</v>
      </c>
      <c r="K9995" t="b">
        <v>1</v>
      </c>
    </row>
    <row r="9996" spans="1:11">
      <c r="A9996" s="12">
        <v>42890</v>
      </c>
      <c r="B9996">
        <v>2017</v>
      </c>
      <c r="C9996">
        <v>6</v>
      </c>
      <c r="D9996" s="11">
        <v>42887</v>
      </c>
      <c r="E9996" t="s">
        <v>2178</v>
      </c>
      <c r="F9996">
        <v>7</v>
      </c>
      <c r="G9996" t="s">
        <v>59</v>
      </c>
      <c r="H9996" t="s">
        <v>42</v>
      </c>
      <c r="I9996" t="s">
        <v>2190</v>
      </c>
      <c r="J9996" s="10">
        <v>2.25</v>
      </c>
      <c r="K9996" t="b">
        <v>1</v>
      </c>
    </row>
    <row r="9997" spans="1:11">
      <c r="A9997" s="12">
        <v>42890</v>
      </c>
      <c r="B9997">
        <v>2017</v>
      </c>
      <c r="C9997">
        <v>6</v>
      </c>
      <c r="D9997" s="11">
        <v>42887</v>
      </c>
      <c r="E9997" t="s">
        <v>2178</v>
      </c>
      <c r="F9997">
        <v>7</v>
      </c>
      <c r="G9997" t="s">
        <v>59</v>
      </c>
      <c r="H9997" t="s">
        <v>43</v>
      </c>
      <c r="I9997" t="s">
        <v>2191</v>
      </c>
      <c r="J9997" s="10">
        <v>23.4</v>
      </c>
      <c r="K9997" t="b">
        <v>1</v>
      </c>
    </row>
    <row r="9998" spans="1:11">
      <c r="A9998" s="12">
        <v>42890</v>
      </c>
      <c r="B9998">
        <v>2017</v>
      </c>
      <c r="C9998">
        <v>6</v>
      </c>
      <c r="D9998" s="11">
        <v>42887</v>
      </c>
      <c r="E9998" t="s">
        <v>2178</v>
      </c>
      <c r="F9998">
        <v>7</v>
      </c>
      <c r="G9998" t="s">
        <v>59</v>
      </c>
      <c r="H9998" t="s">
        <v>44</v>
      </c>
      <c r="I9998" t="s">
        <v>2192</v>
      </c>
      <c r="J9998" s="10">
        <v>3</v>
      </c>
      <c r="K9998" t="b">
        <v>1</v>
      </c>
    </row>
    <row r="9999" spans="1:11">
      <c r="A9999" s="12">
        <v>42890</v>
      </c>
      <c r="B9999">
        <v>2017</v>
      </c>
      <c r="C9999">
        <v>6</v>
      </c>
      <c r="D9999" s="11">
        <v>42887</v>
      </c>
      <c r="E9999" t="s">
        <v>2178</v>
      </c>
      <c r="F9999">
        <v>7</v>
      </c>
      <c r="G9999" t="s">
        <v>59</v>
      </c>
      <c r="H9999" t="s">
        <v>45</v>
      </c>
      <c r="I9999" t="s">
        <v>2193</v>
      </c>
      <c r="J9999" s="10">
        <v>1</v>
      </c>
      <c r="K9999" t="b">
        <v>1</v>
      </c>
    </row>
    <row r="10000" spans="1:11">
      <c r="A10000" s="12">
        <v>42890</v>
      </c>
      <c r="B10000">
        <v>2017</v>
      </c>
      <c r="C10000">
        <v>6</v>
      </c>
      <c r="D10000" s="11">
        <v>42887</v>
      </c>
      <c r="E10000" t="s">
        <v>2178</v>
      </c>
      <c r="F10000">
        <v>7</v>
      </c>
      <c r="G10000" t="s">
        <v>59</v>
      </c>
      <c r="H10000" t="s">
        <v>46</v>
      </c>
      <c r="I10000" t="s">
        <v>2194</v>
      </c>
      <c r="J10000" s="10">
        <v>5</v>
      </c>
      <c r="K10000" t="b">
        <v>1</v>
      </c>
    </row>
    <row r="10001" spans="1:11">
      <c r="A10001" s="12">
        <v>42890</v>
      </c>
      <c r="B10001">
        <v>2017</v>
      </c>
      <c r="C10001">
        <v>6</v>
      </c>
      <c r="D10001" s="11">
        <v>42887</v>
      </c>
      <c r="E10001" t="s">
        <v>2178</v>
      </c>
      <c r="F10001">
        <v>7</v>
      </c>
      <c r="G10001" t="s">
        <v>59</v>
      </c>
      <c r="H10001" t="s">
        <v>47</v>
      </c>
      <c r="I10001" t="s">
        <v>2195</v>
      </c>
      <c r="J10001" s="10">
        <v>4</v>
      </c>
      <c r="K10001" t="b">
        <v>1</v>
      </c>
    </row>
    <row r="10002" spans="1:11">
      <c r="A10002" s="12">
        <v>42891</v>
      </c>
      <c r="B10002">
        <v>2017</v>
      </c>
      <c r="C10002">
        <v>6</v>
      </c>
      <c r="D10002" s="11">
        <v>42887</v>
      </c>
      <c r="E10002" t="s">
        <v>2178</v>
      </c>
      <c r="F10002">
        <v>1</v>
      </c>
      <c r="G10002" t="s">
        <v>61</v>
      </c>
      <c r="H10002" t="s">
        <v>40</v>
      </c>
      <c r="I10002" t="s">
        <v>2188</v>
      </c>
      <c r="J10002" s="10">
        <v>3.33</v>
      </c>
      <c r="K10002" t="b">
        <v>1</v>
      </c>
    </row>
    <row r="10003" spans="1:11">
      <c r="A10003" s="12">
        <v>42891</v>
      </c>
      <c r="B10003">
        <v>2017</v>
      </c>
      <c r="C10003">
        <v>6</v>
      </c>
      <c r="D10003" s="11">
        <v>42887</v>
      </c>
      <c r="E10003" t="s">
        <v>2178</v>
      </c>
      <c r="F10003">
        <v>1</v>
      </c>
      <c r="G10003" t="s">
        <v>61</v>
      </c>
      <c r="H10003" t="s">
        <v>41</v>
      </c>
      <c r="I10003" t="s">
        <v>2189</v>
      </c>
      <c r="J10003" s="10">
        <v>5.99</v>
      </c>
      <c r="K10003" t="b">
        <v>1</v>
      </c>
    </row>
    <row r="10004" spans="1:11">
      <c r="A10004" s="12">
        <v>42891</v>
      </c>
      <c r="B10004">
        <v>2017</v>
      </c>
      <c r="C10004">
        <v>6</v>
      </c>
      <c r="D10004" s="11">
        <v>42887</v>
      </c>
      <c r="E10004" t="s">
        <v>2178</v>
      </c>
      <c r="F10004">
        <v>1</v>
      </c>
      <c r="G10004" t="s">
        <v>61</v>
      </c>
      <c r="H10004" t="s">
        <v>42</v>
      </c>
      <c r="I10004" t="s">
        <v>2190</v>
      </c>
      <c r="J10004" s="10">
        <v>4.5</v>
      </c>
      <c r="K10004" t="b">
        <v>1</v>
      </c>
    </row>
    <row r="10005" spans="1:11">
      <c r="A10005" s="12">
        <v>42891</v>
      </c>
      <c r="B10005">
        <v>2017</v>
      </c>
      <c r="C10005">
        <v>6</v>
      </c>
      <c r="D10005" s="11">
        <v>42887</v>
      </c>
      <c r="E10005" t="s">
        <v>2178</v>
      </c>
      <c r="F10005">
        <v>1</v>
      </c>
      <c r="G10005" t="s">
        <v>61</v>
      </c>
      <c r="H10005" t="s">
        <v>43</v>
      </c>
      <c r="I10005" t="s">
        <v>2191</v>
      </c>
      <c r="J10005" s="10">
        <v>9.699999999999999</v>
      </c>
      <c r="K10005" t="b">
        <v>1</v>
      </c>
    </row>
    <row r="10006" spans="1:11">
      <c r="A10006" s="12">
        <v>42891</v>
      </c>
      <c r="B10006">
        <v>2017</v>
      </c>
      <c r="C10006">
        <v>6</v>
      </c>
      <c r="D10006" s="11">
        <v>42887</v>
      </c>
      <c r="E10006" t="s">
        <v>2178</v>
      </c>
      <c r="F10006">
        <v>1</v>
      </c>
      <c r="G10006" t="s">
        <v>61</v>
      </c>
      <c r="H10006" t="s">
        <v>44</v>
      </c>
      <c r="I10006" t="s">
        <v>2192</v>
      </c>
      <c r="J10006" s="10">
        <v>5</v>
      </c>
      <c r="K10006" t="b">
        <v>1</v>
      </c>
    </row>
    <row r="10007" spans="1:11">
      <c r="A10007" s="12">
        <v>42891</v>
      </c>
      <c r="B10007">
        <v>2017</v>
      </c>
      <c r="C10007">
        <v>6</v>
      </c>
      <c r="D10007" s="11">
        <v>42887</v>
      </c>
      <c r="E10007" t="s">
        <v>2178</v>
      </c>
      <c r="F10007">
        <v>1</v>
      </c>
      <c r="G10007" t="s">
        <v>61</v>
      </c>
      <c r="H10007" t="s">
        <v>45</v>
      </c>
      <c r="I10007" t="s">
        <v>2193</v>
      </c>
      <c r="J10007" s="10">
        <v>0</v>
      </c>
      <c r="K10007" t="b">
        <v>1</v>
      </c>
    </row>
    <row r="10008" spans="1:11">
      <c r="A10008" s="12">
        <v>42891</v>
      </c>
      <c r="B10008">
        <v>2017</v>
      </c>
      <c r="C10008">
        <v>6</v>
      </c>
      <c r="D10008" s="11">
        <v>42887</v>
      </c>
      <c r="E10008" t="s">
        <v>2178</v>
      </c>
      <c r="F10008">
        <v>1</v>
      </c>
      <c r="G10008" t="s">
        <v>61</v>
      </c>
      <c r="H10008" t="s">
        <v>46</v>
      </c>
      <c r="I10008" t="s">
        <v>2194</v>
      </c>
      <c r="J10008" s="10">
        <v>0</v>
      </c>
      <c r="K10008" t="b">
        <v>1</v>
      </c>
    </row>
    <row r="10009" spans="1:11">
      <c r="A10009" s="12">
        <v>42891</v>
      </c>
      <c r="B10009">
        <v>2017</v>
      </c>
      <c r="C10009">
        <v>6</v>
      </c>
      <c r="D10009" s="11">
        <v>42887</v>
      </c>
      <c r="E10009" t="s">
        <v>2178</v>
      </c>
      <c r="F10009">
        <v>1</v>
      </c>
      <c r="G10009" t="s">
        <v>61</v>
      </c>
      <c r="H10009" t="s">
        <v>47</v>
      </c>
      <c r="I10009" t="s">
        <v>2195</v>
      </c>
      <c r="J10009" s="10">
        <v>8</v>
      </c>
      <c r="K10009" t="b">
        <v>1</v>
      </c>
    </row>
    <row r="10010" spans="1:11">
      <c r="A10010" s="12">
        <v>42892</v>
      </c>
      <c r="B10010">
        <v>2017</v>
      </c>
      <c r="C10010">
        <v>6</v>
      </c>
      <c r="D10010" s="11">
        <v>42887</v>
      </c>
      <c r="E10010" t="s">
        <v>2178</v>
      </c>
      <c r="F10010">
        <v>2</v>
      </c>
      <c r="G10010" t="s">
        <v>63</v>
      </c>
      <c r="H10010" t="s">
        <v>40</v>
      </c>
      <c r="I10010" t="s">
        <v>2188</v>
      </c>
      <c r="J10010" s="10">
        <v>1</v>
      </c>
      <c r="K10010" t="b">
        <v>1</v>
      </c>
    </row>
    <row r="10011" spans="1:11">
      <c r="A10011" s="12">
        <v>42892</v>
      </c>
      <c r="B10011">
        <v>2017</v>
      </c>
      <c r="C10011">
        <v>6</v>
      </c>
      <c r="D10011" s="11">
        <v>42887</v>
      </c>
      <c r="E10011" t="s">
        <v>2178</v>
      </c>
      <c r="F10011">
        <v>2</v>
      </c>
      <c r="G10011" t="s">
        <v>63</v>
      </c>
      <c r="H10011" t="s">
        <v>41</v>
      </c>
      <c r="I10011" t="s">
        <v>2189</v>
      </c>
      <c r="J10011" s="10">
        <v>3</v>
      </c>
      <c r="K10011" t="b">
        <v>1</v>
      </c>
    </row>
    <row r="10012" spans="1:11">
      <c r="A10012" s="12">
        <v>42892</v>
      </c>
      <c r="B10012">
        <v>2017</v>
      </c>
      <c r="C10012">
        <v>6</v>
      </c>
      <c r="D10012" s="11">
        <v>42887</v>
      </c>
      <c r="E10012" t="s">
        <v>2178</v>
      </c>
      <c r="F10012">
        <v>2</v>
      </c>
      <c r="G10012" t="s">
        <v>63</v>
      </c>
      <c r="H10012" t="s">
        <v>42</v>
      </c>
      <c r="I10012" t="s">
        <v>2190</v>
      </c>
      <c r="J10012" s="10">
        <v>0</v>
      </c>
      <c r="K10012" t="b">
        <v>1</v>
      </c>
    </row>
    <row r="10013" spans="1:11">
      <c r="A10013" s="12">
        <v>42892</v>
      </c>
      <c r="B10013">
        <v>2017</v>
      </c>
      <c r="C10013">
        <v>6</v>
      </c>
      <c r="D10013" s="11">
        <v>42887</v>
      </c>
      <c r="E10013" t="s">
        <v>2178</v>
      </c>
      <c r="F10013">
        <v>2</v>
      </c>
      <c r="G10013" t="s">
        <v>63</v>
      </c>
      <c r="H10013" t="s">
        <v>43</v>
      </c>
      <c r="I10013" t="s">
        <v>2191</v>
      </c>
      <c r="J10013" s="10">
        <v>18</v>
      </c>
      <c r="K10013" t="b">
        <v>1</v>
      </c>
    </row>
    <row r="10014" spans="1:11">
      <c r="A10014" s="12">
        <v>42892</v>
      </c>
      <c r="B10014">
        <v>2017</v>
      </c>
      <c r="C10014">
        <v>6</v>
      </c>
      <c r="D10014" s="11">
        <v>42887</v>
      </c>
      <c r="E10014" t="s">
        <v>2178</v>
      </c>
      <c r="F10014">
        <v>2</v>
      </c>
      <c r="G10014" t="s">
        <v>63</v>
      </c>
      <c r="H10014" t="s">
        <v>44</v>
      </c>
      <c r="I10014" t="s">
        <v>2192</v>
      </c>
      <c r="J10014" s="10">
        <v>3</v>
      </c>
      <c r="K10014" t="b">
        <v>1</v>
      </c>
    </row>
    <row r="10015" spans="1:11">
      <c r="A10015" s="12">
        <v>42892</v>
      </c>
      <c r="B10015">
        <v>2017</v>
      </c>
      <c r="C10015">
        <v>6</v>
      </c>
      <c r="D10015" s="11">
        <v>42887</v>
      </c>
      <c r="E10015" t="s">
        <v>2178</v>
      </c>
      <c r="F10015">
        <v>2</v>
      </c>
      <c r="G10015" t="s">
        <v>63</v>
      </c>
      <c r="H10015" t="s">
        <v>45</v>
      </c>
      <c r="I10015" t="s">
        <v>2193</v>
      </c>
      <c r="J10015" s="10">
        <v>0</v>
      </c>
      <c r="K10015" t="b">
        <v>1</v>
      </c>
    </row>
    <row r="10016" spans="1:11">
      <c r="A10016" s="12">
        <v>42892</v>
      </c>
      <c r="B10016">
        <v>2017</v>
      </c>
      <c r="C10016">
        <v>6</v>
      </c>
      <c r="D10016" s="11">
        <v>42887</v>
      </c>
      <c r="E10016" t="s">
        <v>2178</v>
      </c>
      <c r="F10016">
        <v>2</v>
      </c>
      <c r="G10016" t="s">
        <v>63</v>
      </c>
      <c r="H10016" t="s">
        <v>46</v>
      </c>
      <c r="I10016" t="s">
        <v>2194</v>
      </c>
      <c r="J10016" s="10">
        <v>6</v>
      </c>
      <c r="K10016" t="b">
        <v>1</v>
      </c>
    </row>
    <row r="10017" spans="1:11">
      <c r="A10017" s="12">
        <v>42892</v>
      </c>
      <c r="B10017">
        <v>2017</v>
      </c>
      <c r="C10017">
        <v>6</v>
      </c>
      <c r="D10017" s="11">
        <v>42887</v>
      </c>
      <c r="E10017" t="s">
        <v>2178</v>
      </c>
      <c r="F10017">
        <v>2</v>
      </c>
      <c r="G10017" t="s">
        <v>63</v>
      </c>
      <c r="H10017" t="s">
        <v>47</v>
      </c>
      <c r="I10017" t="s">
        <v>2195</v>
      </c>
      <c r="J10017" s="10">
        <v>7.5</v>
      </c>
      <c r="K10017" t="b">
        <v>1</v>
      </c>
    </row>
    <row r="10018" spans="1:11">
      <c r="A10018" s="12">
        <v>42893</v>
      </c>
      <c r="B10018">
        <v>2017</v>
      </c>
      <c r="C10018">
        <v>6</v>
      </c>
      <c r="D10018" s="11">
        <v>42887</v>
      </c>
      <c r="E10018" t="s">
        <v>2178</v>
      </c>
      <c r="F10018">
        <v>3</v>
      </c>
      <c r="G10018" t="s">
        <v>65</v>
      </c>
      <c r="H10018" t="s">
        <v>40</v>
      </c>
      <c r="I10018" t="s">
        <v>2188</v>
      </c>
      <c r="J10018" s="10">
        <v>5.33</v>
      </c>
      <c r="K10018" t="b">
        <v>1</v>
      </c>
    </row>
    <row r="10019" spans="1:11">
      <c r="A10019" s="12">
        <v>42893</v>
      </c>
      <c r="B10019">
        <v>2017</v>
      </c>
      <c r="C10019">
        <v>6</v>
      </c>
      <c r="D10019" s="11">
        <v>42887</v>
      </c>
      <c r="E10019" t="s">
        <v>2178</v>
      </c>
      <c r="F10019">
        <v>3</v>
      </c>
      <c r="G10019" t="s">
        <v>65</v>
      </c>
      <c r="H10019" t="s">
        <v>41</v>
      </c>
      <c r="I10019" t="s">
        <v>2189</v>
      </c>
      <c r="J10019" s="10">
        <v>4.693</v>
      </c>
      <c r="K10019" t="b">
        <v>1</v>
      </c>
    </row>
    <row r="10020" spans="1:11">
      <c r="A10020" s="12">
        <v>42893</v>
      </c>
      <c r="B10020">
        <v>2017</v>
      </c>
      <c r="C10020">
        <v>6</v>
      </c>
      <c r="D10020" s="11">
        <v>42887</v>
      </c>
      <c r="E10020" t="s">
        <v>2178</v>
      </c>
      <c r="F10020">
        <v>3</v>
      </c>
      <c r="G10020" t="s">
        <v>65</v>
      </c>
      <c r="H10020" t="s">
        <v>42</v>
      </c>
      <c r="I10020" t="s">
        <v>2190</v>
      </c>
      <c r="J10020" s="10">
        <v>4</v>
      </c>
      <c r="K10020" t="b">
        <v>1</v>
      </c>
    </row>
    <row r="10021" spans="1:11">
      <c r="A10021" s="12">
        <v>42893</v>
      </c>
      <c r="B10021">
        <v>2017</v>
      </c>
      <c r="C10021">
        <v>6</v>
      </c>
      <c r="D10021" s="11">
        <v>42887</v>
      </c>
      <c r="E10021" t="s">
        <v>2178</v>
      </c>
      <c r="F10021">
        <v>3</v>
      </c>
      <c r="G10021" t="s">
        <v>65</v>
      </c>
      <c r="H10021" t="s">
        <v>43</v>
      </c>
      <c r="I10021" t="s">
        <v>2191</v>
      </c>
      <c r="J10021" s="10">
        <v>21</v>
      </c>
      <c r="K10021" t="b">
        <v>1</v>
      </c>
    </row>
    <row r="10022" spans="1:11">
      <c r="A10022" s="12">
        <v>42893</v>
      </c>
      <c r="B10022">
        <v>2017</v>
      </c>
      <c r="C10022">
        <v>6</v>
      </c>
      <c r="D10022" s="11">
        <v>42887</v>
      </c>
      <c r="E10022" t="s">
        <v>2178</v>
      </c>
      <c r="F10022">
        <v>3</v>
      </c>
      <c r="G10022" t="s">
        <v>65</v>
      </c>
      <c r="H10022" t="s">
        <v>44</v>
      </c>
      <c r="I10022" t="s">
        <v>2192</v>
      </c>
      <c r="J10022" s="10">
        <v>13</v>
      </c>
      <c r="K10022" t="b">
        <v>1</v>
      </c>
    </row>
    <row r="10023" spans="1:11">
      <c r="A10023" s="12">
        <v>42893</v>
      </c>
      <c r="B10023">
        <v>2017</v>
      </c>
      <c r="C10023">
        <v>6</v>
      </c>
      <c r="D10023" s="11">
        <v>42887</v>
      </c>
      <c r="E10023" t="s">
        <v>2178</v>
      </c>
      <c r="F10023">
        <v>3</v>
      </c>
      <c r="G10023" t="s">
        <v>65</v>
      </c>
      <c r="H10023" t="s">
        <v>45</v>
      </c>
      <c r="I10023" t="s">
        <v>2193</v>
      </c>
      <c r="J10023" s="10">
        <v>0</v>
      </c>
      <c r="K10023" t="b">
        <v>1</v>
      </c>
    </row>
    <row r="10024" spans="1:11">
      <c r="A10024" s="12">
        <v>42893</v>
      </c>
      <c r="B10024">
        <v>2017</v>
      </c>
      <c r="C10024">
        <v>6</v>
      </c>
      <c r="D10024" s="11">
        <v>42887</v>
      </c>
      <c r="E10024" t="s">
        <v>2178</v>
      </c>
      <c r="F10024">
        <v>3</v>
      </c>
      <c r="G10024" t="s">
        <v>65</v>
      </c>
      <c r="H10024" t="s">
        <v>46</v>
      </c>
      <c r="I10024" t="s">
        <v>2194</v>
      </c>
      <c r="J10024" s="10">
        <v>20</v>
      </c>
      <c r="K10024" t="b">
        <v>1</v>
      </c>
    </row>
    <row r="10025" spans="1:11">
      <c r="A10025" s="12">
        <v>42893</v>
      </c>
      <c r="B10025">
        <v>2017</v>
      </c>
      <c r="C10025">
        <v>6</v>
      </c>
      <c r="D10025" s="11">
        <v>42887</v>
      </c>
      <c r="E10025" t="s">
        <v>2178</v>
      </c>
      <c r="F10025">
        <v>3</v>
      </c>
      <c r="G10025" t="s">
        <v>65</v>
      </c>
      <c r="H10025" t="s">
        <v>47</v>
      </c>
      <c r="I10025" t="s">
        <v>2195</v>
      </c>
      <c r="J10025" s="10">
        <v>7</v>
      </c>
      <c r="K10025" t="b">
        <v>1</v>
      </c>
    </row>
    <row r="10026" spans="1:11">
      <c r="A10026" s="12">
        <v>42894</v>
      </c>
      <c r="B10026">
        <v>2017</v>
      </c>
      <c r="C10026">
        <v>6</v>
      </c>
      <c r="D10026" s="11">
        <v>42887</v>
      </c>
      <c r="E10026" t="s">
        <v>2178</v>
      </c>
      <c r="F10026">
        <v>4</v>
      </c>
      <c r="G10026" t="s">
        <v>53</v>
      </c>
      <c r="H10026" t="s">
        <v>40</v>
      </c>
      <c r="I10026" t="s">
        <v>2188</v>
      </c>
      <c r="J10026" s="10">
        <v>5</v>
      </c>
      <c r="K10026" t="b">
        <v>1</v>
      </c>
    </row>
    <row r="10027" spans="1:11">
      <c r="A10027" s="12">
        <v>42894</v>
      </c>
      <c r="B10027">
        <v>2017</v>
      </c>
      <c r="C10027">
        <v>6</v>
      </c>
      <c r="D10027" s="11">
        <v>42887</v>
      </c>
      <c r="E10027" t="s">
        <v>2178</v>
      </c>
      <c r="F10027">
        <v>4</v>
      </c>
      <c r="G10027" t="s">
        <v>53</v>
      </c>
      <c r="H10027" t="s">
        <v>41</v>
      </c>
      <c r="I10027" t="s">
        <v>2189</v>
      </c>
      <c r="J10027" s="10">
        <v>1.823</v>
      </c>
      <c r="K10027" t="b">
        <v>1</v>
      </c>
    </row>
    <row r="10028" spans="1:11">
      <c r="A10028" s="12">
        <v>42894</v>
      </c>
      <c r="B10028">
        <v>2017</v>
      </c>
      <c r="C10028">
        <v>6</v>
      </c>
      <c r="D10028" s="11">
        <v>42887</v>
      </c>
      <c r="E10028" t="s">
        <v>2178</v>
      </c>
      <c r="F10028">
        <v>4</v>
      </c>
      <c r="G10028" t="s">
        <v>53</v>
      </c>
      <c r="H10028" t="s">
        <v>42</v>
      </c>
      <c r="I10028" t="s">
        <v>2190</v>
      </c>
      <c r="J10028" s="10">
        <v>3.15</v>
      </c>
      <c r="K10028" t="b">
        <v>1</v>
      </c>
    </row>
    <row r="10029" spans="1:11">
      <c r="A10029" s="12">
        <v>42894</v>
      </c>
      <c r="B10029">
        <v>2017</v>
      </c>
      <c r="C10029">
        <v>6</v>
      </c>
      <c r="D10029" s="11">
        <v>42887</v>
      </c>
      <c r="E10029" t="s">
        <v>2178</v>
      </c>
      <c r="F10029">
        <v>4</v>
      </c>
      <c r="G10029" t="s">
        <v>53</v>
      </c>
      <c r="H10029" t="s">
        <v>43</v>
      </c>
      <c r="I10029" t="s">
        <v>2191</v>
      </c>
      <c r="J10029" s="10">
        <v>21</v>
      </c>
      <c r="K10029" t="b">
        <v>1</v>
      </c>
    </row>
    <row r="10030" spans="1:11">
      <c r="A10030" s="12">
        <v>42894</v>
      </c>
      <c r="B10030">
        <v>2017</v>
      </c>
      <c r="C10030">
        <v>6</v>
      </c>
      <c r="D10030" s="11">
        <v>42887</v>
      </c>
      <c r="E10030" t="s">
        <v>2178</v>
      </c>
      <c r="F10030">
        <v>4</v>
      </c>
      <c r="G10030" t="s">
        <v>53</v>
      </c>
      <c r="H10030" t="s">
        <v>44</v>
      </c>
      <c r="I10030" t="s">
        <v>2192</v>
      </c>
      <c r="J10030" s="10">
        <v>4</v>
      </c>
      <c r="K10030" t="b">
        <v>1</v>
      </c>
    </row>
    <row r="10031" spans="1:11">
      <c r="A10031" s="12">
        <v>42894</v>
      </c>
      <c r="B10031">
        <v>2017</v>
      </c>
      <c r="C10031">
        <v>6</v>
      </c>
      <c r="D10031" s="11">
        <v>42887</v>
      </c>
      <c r="E10031" t="s">
        <v>2178</v>
      </c>
      <c r="F10031">
        <v>4</v>
      </c>
      <c r="G10031" t="s">
        <v>53</v>
      </c>
      <c r="H10031" t="s">
        <v>45</v>
      </c>
      <c r="I10031" t="s">
        <v>2193</v>
      </c>
      <c r="J10031" s="10">
        <v>0</v>
      </c>
      <c r="K10031" t="b">
        <v>1</v>
      </c>
    </row>
    <row r="10032" spans="1:11">
      <c r="A10032" s="12">
        <v>42894</v>
      </c>
      <c r="B10032">
        <v>2017</v>
      </c>
      <c r="C10032">
        <v>6</v>
      </c>
      <c r="D10032" s="11">
        <v>42887</v>
      </c>
      <c r="E10032" t="s">
        <v>2178</v>
      </c>
      <c r="F10032">
        <v>4</v>
      </c>
      <c r="G10032" t="s">
        <v>53</v>
      </c>
      <c r="H10032" t="s">
        <v>46</v>
      </c>
      <c r="I10032" t="s">
        <v>2194</v>
      </c>
      <c r="J10032" s="10">
        <v>2</v>
      </c>
      <c r="K10032" t="b">
        <v>1</v>
      </c>
    </row>
    <row r="10033" spans="1:11">
      <c r="A10033" s="12">
        <v>42894</v>
      </c>
      <c r="B10033">
        <v>2017</v>
      </c>
      <c r="C10033">
        <v>6</v>
      </c>
      <c r="D10033" s="11">
        <v>42887</v>
      </c>
      <c r="E10033" t="s">
        <v>2178</v>
      </c>
      <c r="F10033">
        <v>4</v>
      </c>
      <c r="G10033" t="s">
        <v>53</v>
      </c>
      <c r="H10033" t="s">
        <v>47</v>
      </c>
      <c r="I10033" t="s">
        <v>2195</v>
      </c>
      <c r="J10033" s="10">
        <v>4.2</v>
      </c>
      <c r="K10033" t="b">
        <v>1</v>
      </c>
    </row>
    <row r="10034" spans="1:11">
      <c r="A10034" s="12">
        <v>42895</v>
      </c>
      <c r="B10034">
        <v>2017</v>
      </c>
      <c r="C10034">
        <v>6</v>
      </c>
      <c r="D10034" s="11">
        <v>42887</v>
      </c>
      <c r="E10034" t="s">
        <v>2178</v>
      </c>
      <c r="F10034">
        <v>5</v>
      </c>
      <c r="G10034" t="s">
        <v>55</v>
      </c>
      <c r="H10034" t="s">
        <v>40</v>
      </c>
      <c r="I10034" t="s">
        <v>2188</v>
      </c>
      <c r="J10034" s="10">
        <v>1.33</v>
      </c>
      <c r="K10034" t="b">
        <v>1</v>
      </c>
    </row>
    <row r="10035" spans="1:11">
      <c r="A10035" s="12">
        <v>42895</v>
      </c>
      <c r="B10035">
        <v>2017</v>
      </c>
      <c r="C10035">
        <v>6</v>
      </c>
      <c r="D10035" s="11">
        <v>42887</v>
      </c>
      <c r="E10035" t="s">
        <v>2178</v>
      </c>
      <c r="F10035">
        <v>5</v>
      </c>
      <c r="G10035" t="s">
        <v>55</v>
      </c>
      <c r="H10035" t="s">
        <v>41</v>
      </c>
      <c r="I10035" t="s">
        <v>2189</v>
      </c>
      <c r="J10035" s="10">
        <v>4.09</v>
      </c>
      <c r="K10035" t="b">
        <v>1</v>
      </c>
    </row>
    <row r="10036" spans="1:11">
      <c r="A10036" s="12">
        <v>42895</v>
      </c>
      <c r="B10036">
        <v>2017</v>
      </c>
      <c r="C10036">
        <v>6</v>
      </c>
      <c r="D10036" s="11">
        <v>42887</v>
      </c>
      <c r="E10036" t="s">
        <v>2178</v>
      </c>
      <c r="F10036">
        <v>5</v>
      </c>
      <c r="G10036" t="s">
        <v>55</v>
      </c>
      <c r="H10036" t="s">
        <v>42</v>
      </c>
      <c r="I10036" t="s">
        <v>2190</v>
      </c>
      <c r="J10036" s="10">
        <v>3.1</v>
      </c>
      <c r="K10036" t="b">
        <v>1</v>
      </c>
    </row>
    <row r="10037" spans="1:11">
      <c r="A10037" s="12">
        <v>42895</v>
      </c>
      <c r="B10037">
        <v>2017</v>
      </c>
      <c r="C10037">
        <v>6</v>
      </c>
      <c r="D10037" s="11">
        <v>42887</v>
      </c>
      <c r="E10037" t="s">
        <v>2178</v>
      </c>
      <c r="F10037">
        <v>5</v>
      </c>
      <c r="G10037" t="s">
        <v>55</v>
      </c>
      <c r="H10037" t="s">
        <v>43</v>
      </c>
      <c r="I10037" t="s">
        <v>2191</v>
      </c>
      <c r="J10037" s="10">
        <v>10</v>
      </c>
      <c r="K10037" t="b">
        <v>1</v>
      </c>
    </row>
    <row r="10038" spans="1:11">
      <c r="A10038" s="12">
        <v>42895</v>
      </c>
      <c r="B10038">
        <v>2017</v>
      </c>
      <c r="C10038">
        <v>6</v>
      </c>
      <c r="D10038" s="11">
        <v>42887</v>
      </c>
      <c r="E10038" t="s">
        <v>2178</v>
      </c>
      <c r="F10038">
        <v>5</v>
      </c>
      <c r="G10038" t="s">
        <v>55</v>
      </c>
      <c r="H10038" t="s">
        <v>44</v>
      </c>
      <c r="I10038" t="s">
        <v>2192</v>
      </c>
      <c r="J10038" s="10">
        <v>2</v>
      </c>
      <c r="K10038" t="b">
        <v>1</v>
      </c>
    </row>
    <row r="10039" spans="1:11">
      <c r="A10039" s="12">
        <v>42895</v>
      </c>
      <c r="B10039">
        <v>2017</v>
      </c>
      <c r="C10039">
        <v>6</v>
      </c>
      <c r="D10039" s="11">
        <v>42887</v>
      </c>
      <c r="E10039" t="s">
        <v>2178</v>
      </c>
      <c r="F10039">
        <v>5</v>
      </c>
      <c r="G10039" t="s">
        <v>55</v>
      </c>
      <c r="H10039" t="s">
        <v>45</v>
      </c>
      <c r="I10039" t="s">
        <v>2193</v>
      </c>
      <c r="J10039" s="10">
        <v>0</v>
      </c>
      <c r="K10039" t="b">
        <v>1</v>
      </c>
    </row>
    <row r="10040" spans="1:11">
      <c r="A10040" s="12">
        <v>42895</v>
      </c>
      <c r="B10040">
        <v>2017</v>
      </c>
      <c r="C10040">
        <v>6</v>
      </c>
      <c r="D10040" s="11">
        <v>42887</v>
      </c>
      <c r="E10040" t="s">
        <v>2178</v>
      </c>
      <c r="F10040">
        <v>5</v>
      </c>
      <c r="G10040" t="s">
        <v>55</v>
      </c>
      <c r="H10040" t="s">
        <v>46</v>
      </c>
      <c r="I10040" t="s">
        <v>2194</v>
      </c>
      <c r="J10040" s="10">
        <v>0</v>
      </c>
      <c r="K10040" t="b">
        <v>1</v>
      </c>
    </row>
    <row r="10041" spans="1:11">
      <c r="A10041" s="12">
        <v>42895</v>
      </c>
      <c r="B10041">
        <v>2017</v>
      </c>
      <c r="C10041">
        <v>6</v>
      </c>
      <c r="D10041" s="11">
        <v>42887</v>
      </c>
      <c r="E10041" t="s">
        <v>2178</v>
      </c>
      <c r="F10041">
        <v>5</v>
      </c>
      <c r="G10041" t="s">
        <v>55</v>
      </c>
      <c r="H10041" t="s">
        <v>47</v>
      </c>
      <c r="I10041" t="s">
        <v>2195</v>
      </c>
      <c r="J10041" s="10">
        <v>6</v>
      </c>
      <c r="K10041" t="b">
        <v>1</v>
      </c>
    </row>
    <row r="10042" spans="1:11">
      <c r="A10042" s="12">
        <v>42896</v>
      </c>
      <c r="B10042">
        <v>2017</v>
      </c>
      <c r="C10042">
        <v>6</v>
      </c>
      <c r="D10042" s="11">
        <v>42887</v>
      </c>
      <c r="E10042" t="s">
        <v>2178</v>
      </c>
      <c r="F10042">
        <v>6</v>
      </c>
      <c r="G10042" t="s">
        <v>57</v>
      </c>
      <c r="H10042" t="s">
        <v>40</v>
      </c>
      <c r="I10042" t="s">
        <v>2188</v>
      </c>
      <c r="J10042" s="10">
        <v>9</v>
      </c>
      <c r="K10042" t="b">
        <v>1</v>
      </c>
    </row>
    <row r="10043" spans="1:11">
      <c r="A10043" s="12">
        <v>42896</v>
      </c>
      <c r="B10043">
        <v>2017</v>
      </c>
      <c r="C10043">
        <v>6</v>
      </c>
      <c r="D10043" s="11">
        <v>42887</v>
      </c>
      <c r="E10043" t="s">
        <v>2178</v>
      </c>
      <c r="F10043">
        <v>6</v>
      </c>
      <c r="G10043" t="s">
        <v>57</v>
      </c>
      <c r="H10043" t="s">
        <v>41</v>
      </c>
      <c r="I10043" t="s">
        <v>2189</v>
      </c>
      <c r="J10043" s="10">
        <v>7.01</v>
      </c>
      <c r="K10043" t="b">
        <v>1</v>
      </c>
    </row>
    <row r="10044" spans="1:11">
      <c r="A10044" s="12">
        <v>42896</v>
      </c>
      <c r="B10044">
        <v>2017</v>
      </c>
      <c r="C10044">
        <v>6</v>
      </c>
      <c r="D10044" s="11">
        <v>42887</v>
      </c>
      <c r="E10044" t="s">
        <v>2178</v>
      </c>
      <c r="F10044">
        <v>6</v>
      </c>
      <c r="G10044" t="s">
        <v>57</v>
      </c>
      <c r="H10044" t="s">
        <v>42</v>
      </c>
      <c r="I10044" t="s">
        <v>2190</v>
      </c>
      <c r="J10044" s="10">
        <v>4</v>
      </c>
      <c r="K10044" t="b">
        <v>1</v>
      </c>
    </row>
    <row r="10045" spans="1:11">
      <c r="A10045" s="12">
        <v>42896</v>
      </c>
      <c r="B10045">
        <v>2017</v>
      </c>
      <c r="C10045">
        <v>6</v>
      </c>
      <c r="D10045" s="11">
        <v>42887</v>
      </c>
      <c r="E10045" t="s">
        <v>2178</v>
      </c>
      <c r="F10045">
        <v>6</v>
      </c>
      <c r="G10045" t="s">
        <v>57</v>
      </c>
      <c r="H10045" t="s">
        <v>43</v>
      </c>
      <c r="I10045" t="s">
        <v>2191</v>
      </c>
      <c r="J10045" s="10">
        <v>15</v>
      </c>
      <c r="K10045" t="b">
        <v>1</v>
      </c>
    </row>
    <row r="10046" spans="1:11">
      <c r="A10046" s="12">
        <v>42896</v>
      </c>
      <c r="B10046">
        <v>2017</v>
      </c>
      <c r="C10046">
        <v>6</v>
      </c>
      <c r="D10046" s="11">
        <v>42887</v>
      </c>
      <c r="E10046" t="s">
        <v>2178</v>
      </c>
      <c r="F10046">
        <v>6</v>
      </c>
      <c r="G10046" t="s">
        <v>57</v>
      </c>
      <c r="H10046" t="s">
        <v>44</v>
      </c>
      <c r="I10046" t="s">
        <v>2192</v>
      </c>
      <c r="J10046" s="10">
        <v>2</v>
      </c>
      <c r="K10046" t="b">
        <v>1</v>
      </c>
    </row>
    <row r="10047" spans="1:11">
      <c r="A10047" s="12">
        <v>42896</v>
      </c>
      <c r="B10047">
        <v>2017</v>
      </c>
      <c r="C10047">
        <v>6</v>
      </c>
      <c r="D10047" s="11">
        <v>42887</v>
      </c>
      <c r="E10047" t="s">
        <v>2178</v>
      </c>
      <c r="F10047">
        <v>6</v>
      </c>
      <c r="G10047" t="s">
        <v>57</v>
      </c>
      <c r="H10047" t="s">
        <v>45</v>
      </c>
      <c r="I10047" t="s">
        <v>2193</v>
      </c>
      <c r="J10047" s="10">
        <v>0</v>
      </c>
      <c r="K10047" t="b">
        <v>1</v>
      </c>
    </row>
    <row r="10048" spans="1:11">
      <c r="A10048" s="12">
        <v>42896</v>
      </c>
      <c r="B10048">
        <v>2017</v>
      </c>
      <c r="C10048">
        <v>6</v>
      </c>
      <c r="D10048" s="11">
        <v>42887</v>
      </c>
      <c r="E10048" t="s">
        <v>2178</v>
      </c>
      <c r="F10048">
        <v>6</v>
      </c>
      <c r="G10048" t="s">
        <v>57</v>
      </c>
      <c r="H10048" t="s">
        <v>46</v>
      </c>
      <c r="I10048" t="s">
        <v>2194</v>
      </c>
      <c r="J10048" s="10">
        <v>7</v>
      </c>
      <c r="K10048" t="b">
        <v>1</v>
      </c>
    </row>
    <row r="10049" spans="1:11">
      <c r="A10049" s="12">
        <v>42896</v>
      </c>
      <c r="B10049">
        <v>2017</v>
      </c>
      <c r="C10049">
        <v>6</v>
      </c>
      <c r="D10049" s="11">
        <v>42887</v>
      </c>
      <c r="E10049" t="s">
        <v>2178</v>
      </c>
      <c r="F10049">
        <v>6</v>
      </c>
      <c r="G10049" t="s">
        <v>57</v>
      </c>
      <c r="H10049" t="s">
        <v>47</v>
      </c>
      <c r="I10049" t="s">
        <v>2195</v>
      </c>
      <c r="J10049" s="10">
        <v>3</v>
      </c>
      <c r="K10049" t="b">
        <v>1</v>
      </c>
    </row>
    <row r="10050" spans="1:11">
      <c r="A10050" s="12">
        <v>42897</v>
      </c>
      <c r="B10050">
        <v>2017</v>
      </c>
      <c r="C10050">
        <v>6</v>
      </c>
      <c r="D10050" s="11">
        <v>42887</v>
      </c>
      <c r="E10050" t="s">
        <v>2178</v>
      </c>
      <c r="F10050">
        <v>7</v>
      </c>
      <c r="G10050" t="s">
        <v>59</v>
      </c>
      <c r="H10050" t="s">
        <v>40</v>
      </c>
      <c r="I10050" t="s">
        <v>2188</v>
      </c>
      <c r="J10050" s="10">
        <v>5.5</v>
      </c>
      <c r="K10050" t="b">
        <v>1</v>
      </c>
    </row>
    <row r="10051" spans="1:11">
      <c r="A10051" s="12">
        <v>42897</v>
      </c>
      <c r="B10051">
        <v>2017</v>
      </c>
      <c r="C10051">
        <v>6</v>
      </c>
      <c r="D10051" s="11">
        <v>42887</v>
      </c>
      <c r="E10051" t="s">
        <v>2178</v>
      </c>
      <c r="F10051">
        <v>7</v>
      </c>
      <c r="G10051" t="s">
        <v>59</v>
      </c>
      <c r="H10051" t="s">
        <v>41</v>
      </c>
      <c r="I10051" t="s">
        <v>2189</v>
      </c>
      <c r="J10051" s="10">
        <v>3.99</v>
      </c>
      <c r="K10051" t="b">
        <v>1</v>
      </c>
    </row>
    <row r="10052" spans="1:11">
      <c r="A10052" s="12">
        <v>42897</v>
      </c>
      <c r="B10052">
        <v>2017</v>
      </c>
      <c r="C10052">
        <v>6</v>
      </c>
      <c r="D10052" s="11">
        <v>42887</v>
      </c>
      <c r="E10052" t="s">
        <v>2178</v>
      </c>
      <c r="F10052">
        <v>7</v>
      </c>
      <c r="G10052" t="s">
        <v>59</v>
      </c>
      <c r="H10052" t="s">
        <v>42</v>
      </c>
      <c r="I10052" t="s">
        <v>2190</v>
      </c>
      <c r="J10052" s="10">
        <v>8.5</v>
      </c>
      <c r="K10052" t="b">
        <v>1</v>
      </c>
    </row>
    <row r="10053" spans="1:11">
      <c r="A10053" s="12">
        <v>42897</v>
      </c>
      <c r="B10053">
        <v>2017</v>
      </c>
      <c r="C10053">
        <v>6</v>
      </c>
      <c r="D10053" s="11">
        <v>42887</v>
      </c>
      <c r="E10053" t="s">
        <v>2178</v>
      </c>
      <c r="F10053">
        <v>7</v>
      </c>
      <c r="G10053" t="s">
        <v>59</v>
      </c>
      <c r="H10053" t="s">
        <v>43</v>
      </c>
      <c r="I10053" t="s">
        <v>2191</v>
      </c>
      <c r="J10053" s="10">
        <v>28.25</v>
      </c>
      <c r="K10053" t="b">
        <v>1</v>
      </c>
    </row>
    <row r="10054" spans="1:11">
      <c r="A10054" s="12">
        <v>42897</v>
      </c>
      <c r="B10054">
        <v>2017</v>
      </c>
      <c r="C10054">
        <v>6</v>
      </c>
      <c r="D10054" s="11">
        <v>42887</v>
      </c>
      <c r="E10054" t="s">
        <v>2178</v>
      </c>
      <c r="F10054">
        <v>7</v>
      </c>
      <c r="G10054" t="s">
        <v>59</v>
      </c>
      <c r="H10054" t="s">
        <v>44</v>
      </c>
      <c r="I10054" t="s">
        <v>2192</v>
      </c>
      <c r="J10054" s="10">
        <v>8</v>
      </c>
      <c r="K10054" t="b">
        <v>1</v>
      </c>
    </row>
    <row r="10055" spans="1:11">
      <c r="A10055" s="12">
        <v>42897</v>
      </c>
      <c r="B10055">
        <v>2017</v>
      </c>
      <c r="C10055">
        <v>6</v>
      </c>
      <c r="D10055" s="11">
        <v>42887</v>
      </c>
      <c r="E10055" t="s">
        <v>2178</v>
      </c>
      <c r="F10055">
        <v>7</v>
      </c>
      <c r="G10055" t="s">
        <v>59</v>
      </c>
      <c r="H10055" t="s">
        <v>45</v>
      </c>
      <c r="I10055" t="s">
        <v>2193</v>
      </c>
      <c r="J10055" s="10">
        <v>0</v>
      </c>
      <c r="K10055" t="b">
        <v>1</v>
      </c>
    </row>
    <row r="10056" spans="1:11">
      <c r="A10056" s="12">
        <v>42897</v>
      </c>
      <c r="B10056">
        <v>2017</v>
      </c>
      <c r="C10056">
        <v>6</v>
      </c>
      <c r="D10056" s="11">
        <v>42887</v>
      </c>
      <c r="E10056" t="s">
        <v>2178</v>
      </c>
      <c r="F10056">
        <v>7</v>
      </c>
      <c r="G10056" t="s">
        <v>59</v>
      </c>
      <c r="H10056" t="s">
        <v>46</v>
      </c>
      <c r="I10056" t="s">
        <v>2194</v>
      </c>
      <c r="J10056" s="10">
        <v>2</v>
      </c>
      <c r="K10056" t="b">
        <v>1</v>
      </c>
    </row>
    <row r="10057" spans="1:11">
      <c r="A10057" s="12">
        <v>42897</v>
      </c>
      <c r="B10057">
        <v>2017</v>
      </c>
      <c r="C10057">
        <v>6</v>
      </c>
      <c r="D10057" s="11">
        <v>42887</v>
      </c>
      <c r="E10057" t="s">
        <v>2178</v>
      </c>
      <c r="F10057">
        <v>7</v>
      </c>
      <c r="G10057" t="s">
        <v>59</v>
      </c>
      <c r="H10057" t="s">
        <v>47</v>
      </c>
      <c r="I10057" t="s">
        <v>2195</v>
      </c>
      <c r="J10057" s="10">
        <v>3</v>
      </c>
      <c r="K10057" t="b">
        <v>1</v>
      </c>
    </row>
    <row r="10058" spans="1:11">
      <c r="A10058" s="12">
        <v>42898</v>
      </c>
      <c r="B10058">
        <v>2017</v>
      </c>
      <c r="C10058">
        <v>6</v>
      </c>
      <c r="D10058" s="11">
        <v>42887</v>
      </c>
      <c r="E10058" t="s">
        <v>2178</v>
      </c>
      <c r="F10058">
        <v>1</v>
      </c>
      <c r="G10058" t="s">
        <v>61</v>
      </c>
      <c r="H10058" t="s">
        <v>40</v>
      </c>
      <c r="I10058" t="s">
        <v>2188</v>
      </c>
      <c r="J10058" s="10">
        <v>4.34</v>
      </c>
      <c r="K10058" t="b">
        <v>1</v>
      </c>
    </row>
    <row r="10059" spans="1:11">
      <c r="A10059" s="12">
        <v>42898</v>
      </c>
      <c r="B10059">
        <v>2017</v>
      </c>
      <c r="C10059">
        <v>6</v>
      </c>
      <c r="D10059" s="11">
        <v>42887</v>
      </c>
      <c r="E10059" t="s">
        <v>2178</v>
      </c>
      <c r="F10059">
        <v>1</v>
      </c>
      <c r="G10059" t="s">
        <v>61</v>
      </c>
      <c r="H10059" t="s">
        <v>41</v>
      </c>
      <c r="I10059" t="s">
        <v>2189</v>
      </c>
      <c r="J10059" s="10">
        <v>3.34</v>
      </c>
      <c r="K10059" t="b">
        <v>1</v>
      </c>
    </row>
    <row r="10060" spans="1:11">
      <c r="A10060" s="12">
        <v>42898</v>
      </c>
      <c r="B10060">
        <v>2017</v>
      </c>
      <c r="C10060">
        <v>6</v>
      </c>
      <c r="D10060" s="11">
        <v>42887</v>
      </c>
      <c r="E10060" t="s">
        <v>2178</v>
      </c>
      <c r="F10060">
        <v>1</v>
      </c>
      <c r="G10060" t="s">
        <v>61</v>
      </c>
      <c r="H10060" t="s">
        <v>42</v>
      </c>
      <c r="I10060" t="s">
        <v>2190</v>
      </c>
      <c r="J10060" s="10">
        <v>1</v>
      </c>
      <c r="K10060" t="b">
        <v>1</v>
      </c>
    </row>
    <row r="10061" spans="1:11">
      <c r="A10061" s="12">
        <v>42898</v>
      </c>
      <c r="B10061">
        <v>2017</v>
      </c>
      <c r="C10061">
        <v>6</v>
      </c>
      <c r="D10061" s="11">
        <v>42887</v>
      </c>
      <c r="E10061" t="s">
        <v>2178</v>
      </c>
      <c r="F10061">
        <v>1</v>
      </c>
      <c r="G10061" t="s">
        <v>61</v>
      </c>
      <c r="H10061" t="s">
        <v>43</v>
      </c>
      <c r="I10061" t="s">
        <v>2191</v>
      </c>
      <c r="J10061" s="10">
        <v>13.6</v>
      </c>
      <c r="K10061" t="b">
        <v>1</v>
      </c>
    </row>
    <row r="10062" spans="1:11">
      <c r="A10062" s="12">
        <v>42898</v>
      </c>
      <c r="B10062">
        <v>2017</v>
      </c>
      <c r="C10062">
        <v>6</v>
      </c>
      <c r="D10062" s="11">
        <v>42887</v>
      </c>
      <c r="E10062" t="s">
        <v>2178</v>
      </c>
      <c r="F10062">
        <v>1</v>
      </c>
      <c r="G10062" t="s">
        <v>61</v>
      </c>
      <c r="H10062" t="s">
        <v>44</v>
      </c>
      <c r="I10062" t="s">
        <v>2192</v>
      </c>
      <c r="J10062" s="10">
        <v>3</v>
      </c>
      <c r="K10062" t="b">
        <v>1</v>
      </c>
    </row>
    <row r="10063" spans="1:11">
      <c r="A10063" s="12">
        <v>42898</v>
      </c>
      <c r="B10063">
        <v>2017</v>
      </c>
      <c r="C10063">
        <v>6</v>
      </c>
      <c r="D10063" s="11">
        <v>42887</v>
      </c>
      <c r="E10063" t="s">
        <v>2178</v>
      </c>
      <c r="F10063">
        <v>1</v>
      </c>
      <c r="G10063" t="s">
        <v>61</v>
      </c>
      <c r="H10063" t="s">
        <v>45</v>
      </c>
      <c r="I10063" t="s">
        <v>2193</v>
      </c>
      <c r="J10063" s="10">
        <v>0</v>
      </c>
      <c r="K10063" t="b">
        <v>1</v>
      </c>
    </row>
    <row r="10064" spans="1:11">
      <c r="A10064" s="12">
        <v>42898</v>
      </c>
      <c r="B10064">
        <v>2017</v>
      </c>
      <c r="C10064">
        <v>6</v>
      </c>
      <c r="D10064" s="11">
        <v>42887</v>
      </c>
      <c r="E10064" t="s">
        <v>2178</v>
      </c>
      <c r="F10064">
        <v>1</v>
      </c>
      <c r="G10064" t="s">
        <v>61</v>
      </c>
      <c r="H10064" t="s">
        <v>46</v>
      </c>
      <c r="I10064" t="s">
        <v>2194</v>
      </c>
      <c r="J10064" s="10">
        <v>13</v>
      </c>
      <c r="K10064" t="b">
        <v>1</v>
      </c>
    </row>
    <row r="10065" spans="1:11">
      <c r="A10065" s="12">
        <v>42898</v>
      </c>
      <c r="B10065">
        <v>2017</v>
      </c>
      <c r="C10065">
        <v>6</v>
      </c>
      <c r="D10065" s="11">
        <v>42887</v>
      </c>
      <c r="E10065" t="s">
        <v>2178</v>
      </c>
      <c r="F10065">
        <v>1</v>
      </c>
      <c r="G10065" t="s">
        <v>61</v>
      </c>
      <c r="H10065" t="s">
        <v>47</v>
      </c>
      <c r="I10065" t="s">
        <v>2195</v>
      </c>
      <c r="J10065" s="10">
        <v>12</v>
      </c>
      <c r="K10065" t="b">
        <v>1</v>
      </c>
    </row>
    <row r="10066" spans="1:11">
      <c r="A10066" s="12">
        <v>42899</v>
      </c>
      <c r="B10066">
        <v>2017</v>
      </c>
      <c r="C10066">
        <v>6</v>
      </c>
      <c r="D10066" s="11">
        <v>42887</v>
      </c>
      <c r="E10066" t="s">
        <v>2178</v>
      </c>
      <c r="F10066">
        <v>2</v>
      </c>
      <c r="G10066" t="s">
        <v>63</v>
      </c>
      <c r="H10066" t="s">
        <v>40</v>
      </c>
      <c r="I10066" t="s">
        <v>2188</v>
      </c>
      <c r="J10066" s="10">
        <v>2.99</v>
      </c>
      <c r="K10066" t="b">
        <v>1</v>
      </c>
    </row>
    <row r="10067" spans="1:11">
      <c r="A10067" s="12">
        <v>42899</v>
      </c>
      <c r="B10067">
        <v>2017</v>
      </c>
      <c r="C10067">
        <v>6</v>
      </c>
      <c r="D10067" s="11">
        <v>42887</v>
      </c>
      <c r="E10067" t="s">
        <v>2178</v>
      </c>
      <c r="F10067">
        <v>2</v>
      </c>
      <c r="G10067" t="s">
        <v>63</v>
      </c>
      <c r="H10067" t="s">
        <v>41</v>
      </c>
      <c r="I10067" t="s">
        <v>2189</v>
      </c>
      <c r="J10067" s="10">
        <v>3.023</v>
      </c>
      <c r="K10067" t="b">
        <v>1</v>
      </c>
    </row>
    <row r="10068" spans="1:11">
      <c r="A10068" s="12">
        <v>42899</v>
      </c>
      <c r="B10068">
        <v>2017</v>
      </c>
      <c r="C10068">
        <v>6</v>
      </c>
      <c r="D10068" s="11">
        <v>42887</v>
      </c>
      <c r="E10068" t="s">
        <v>2178</v>
      </c>
      <c r="F10068">
        <v>2</v>
      </c>
      <c r="G10068" t="s">
        <v>63</v>
      </c>
      <c r="H10068" t="s">
        <v>42</v>
      </c>
      <c r="I10068" t="s">
        <v>2190</v>
      </c>
      <c r="J10068" s="10">
        <v>3</v>
      </c>
      <c r="K10068" t="b">
        <v>1</v>
      </c>
    </row>
    <row r="10069" spans="1:11">
      <c r="A10069" s="12">
        <v>42899</v>
      </c>
      <c r="B10069">
        <v>2017</v>
      </c>
      <c r="C10069">
        <v>6</v>
      </c>
      <c r="D10069" s="11">
        <v>42887</v>
      </c>
      <c r="E10069" t="s">
        <v>2178</v>
      </c>
      <c r="F10069">
        <v>2</v>
      </c>
      <c r="G10069" t="s">
        <v>63</v>
      </c>
      <c r="H10069" t="s">
        <v>43</v>
      </c>
      <c r="I10069" t="s">
        <v>2191</v>
      </c>
      <c r="J10069" s="10">
        <v>8</v>
      </c>
      <c r="K10069" t="b">
        <v>1</v>
      </c>
    </row>
    <row r="10070" spans="1:11">
      <c r="A10070" s="12">
        <v>42899</v>
      </c>
      <c r="B10070">
        <v>2017</v>
      </c>
      <c r="C10070">
        <v>6</v>
      </c>
      <c r="D10070" s="11">
        <v>42887</v>
      </c>
      <c r="E10070" t="s">
        <v>2178</v>
      </c>
      <c r="F10070">
        <v>2</v>
      </c>
      <c r="G10070" t="s">
        <v>63</v>
      </c>
      <c r="H10070" t="s">
        <v>44</v>
      </c>
      <c r="I10070" t="s">
        <v>2192</v>
      </c>
      <c r="J10070" s="10">
        <v>9</v>
      </c>
      <c r="K10070" t="b">
        <v>1</v>
      </c>
    </row>
    <row r="10071" spans="1:11">
      <c r="A10071" s="12">
        <v>42899</v>
      </c>
      <c r="B10071">
        <v>2017</v>
      </c>
      <c r="C10071">
        <v>6</v>
      </c>
      <c r="D10071" s="11">
        <v>42887</v>
      </c>
      <c r="E10071" t="s">
        <v>2178</v>
      </c>
      <c r="F10071">
        <v>2</v>
      </c>
      <c r="G10071" t="s">
        <v>63</v>
      </c>
      <c r="H10071" t="s">
        <v>45</v>
      </c>
      <c r="I10071" t="s">
        <v>2193</v>
      </c>
      <c r="J10071" s="10">
        <v>0</v>
      </c>
      <c r="K10071" t="b">
        <v>1</v>
      </c>
    </row>
    <row r="10072" spans="1:11">
      <c r="A10072" s="12">
        <v>42899</v>
      </c>
      <c r="B10072">
        <v>2017</v>
      </c>
      <c r="C10072">
        <v>6</v>
      </c>
      <c r="D10072" s="11">
        <v>42887</v>
      </c>
      <c r="E10072" t="s">
        <v>2178</v>
      </c>
      <c r="F10072">
        <v>2</v>
      </c>
      <c r="G10072" t="s">
        <v>63</v>
      </c>
      <c r="H10072" t="s">
        <v>46</v>
      </c>
      <c r="I10072" t="s">
        <v>2194</v>
      </c>
      <c r="J10072" s="10">
        <v>0</v>
      </c>
      <c r="K10072" t="b">
        <v>1</v>
      </c>
    </row>
    <row r="10073" spans="1:11">
      <c r="A10073" s="12">
        <v>42899</v>
      </c>
      <c r="B10073">
        <v>2017</v>
      </c>
      <c r="C10073">
        <v>6</v>
      </c>
      <c r="D10073" s="11">
        <v>42887</v>
      </c>
      <c r="E10073" t="s">
        <v>2178</v>
      </c>
      <c r="F10073">
        <v>2</v>
      </c>
      <c r="G10073" t="s">
        <v>63</v>
      </c>
      <c r="H10073" t="s">
        <v>47</v>
      </c>
      <c r="I10073" t="s">
        <v>2195</v>
      </c>
      <c r="J10073" s="10">
        <v>9.1</v>
      </c>
      <c r="K10073" t="b">
        <v>1</v>
      </c>
    </row>
    <row r="10074" spans="1:11">
      <c r="A10074" s="12">
        <v>42900</v>
      </c>
      <c r="B10074">
        <v>2017</v>
      </c>
      <c r="C10074">
        <v>6</v>
      </c>
      <c r="D10074" s="11">
        <v>42887</v>
      </c>
      <c r="E10074" t="s">
        <v>2178</v>
      </c>
      <c r="F10074">
        <v>3</v>
      </c>
      <c r="G10074" t="s">
        <v>65</v>
      </c>
      <c r="H10074" t="s">
        <v>40</v>
      </c>
      <c r="I10074" t="s">
        <v>2188</v>
      </c>
      <c r="J10074" s="10">
        <v>1.33</v>
      </c>
      <c r="K10074" t="b">
        <v>1</v>
      </c>
    </row>
    <row r="10075" spans="1:11">
      <c r="A10075" s="12">
        <v>42900</v>
      </c>
      <c r="B10075">
        <v>2017</v>
      </c>
      <c r="C10075">
        <v>6</v>
      </c>
      <c r="D10075" s="11">
        <v>42887</v>
      </c>
      <c r="E10075" t="s">
        <v>2178</v>
      </c>
      <c r="F10075">
        <v>3</v>
      </c>
      <c r="G10075" t="s">
        <v>65</v>
      </c>
      <c r="H10075" t="s">
        <v>41</v>
      </c>
      <c r="I10075" t="s">
        <v>2189</v>
      </c>
      <c r="J10075" s="10">
        <v>1.33</v>
      </c>
      <c r="K10075" t="b">
        <v>1</v>
      </c>
    </row>
    <row r="10076" spans="1:11">
      <c r="A10076" s="12">
        <v>42900</v>
      </c>
      <c r="B10076">
        <v>2017</v>
      </c>
      <c r="C10076">
        <v>6</v>
      </c>
      <c r="D10076" s="11">
        <v>42887</v>
      </c>
      <c r="E10076" t="s">
        <v>2178</v>
      </c>
      <c r="F10076">
        <v>3</v>
      </c>
      <c r="G10076" t="s">
        <v>65</v>
      </c>
      <c r="H10076" t="s">
        <v>42</v>
      </c>
      <c r="I10076" t="s">
        <v>2190</v>
      </c>
      <c r="J10076" s="10">
        <v>1</v>
      </c>
      <c r="K10076" t="b">
        <v>1</v>
      </c>
    </row>
    <row r="10077" spans="1:11">
      <c r="A10077" s="12">
        <v>42900</v>
      </c>
      <c r="B10077">
        <v>2017</v>
      </c>
      <c r="C10077">
        <v>6</v>
      </c>
      <c r="D10077" s="11">
        <v>42887</v>
      </c>
      <c r="E10077" t="s">
        <v>2178</v>
      </c>
      <c r="F10077">
        <v>3</v>
      </c>
      <c r="G10077" t="s">
        <v>65</v>
      </c>
      <c r="H10077" t="s">
        <v>43</v>
      </c>
      <c r="I10077" t="s">
        <v>2191</v>
      </c>
      <c r="J10077" s="10">
        <v>9</v>
      </c>
      <c r="K10077" t="b">
        <v>1</v>
      </c>
    </row>
    <row r="10078" spans="1:11">
      <c r="A10078" s="12">
        <v>42900</v>
      </c>
      <c r="B10078">
        <v>2017</v>
      </c>
      <c r="C10078">
        <v>6</v>
      </c>
      <c r="D10078" s="11">
        <v>42887</v>
      </c>
      <c r="E10078" t="s">
        <v>2178</v>
      </c>
      <c r="F10078">
        <v>3</v>
      </c>
      <c r="G10078" t="s">
        <v>65</v>
      </c>
      <c r="H10078" t="s">
        <v>44</v>
      </c>
      <c r="I10078" t="s">
        <v>2192</v>
      </c>
      <c r="J10078" s="10">
        <v>6</v>
      </c>
      <c r="K10078" t="b">
        <v>1</v>
      </c>
    </row>
    <row r="10079" spans="1:11">
      <c r="A10079" s="12">
        <v>42900</v>
      </c>
      <c r="B10079">
        <v>2017</v>
      </c>
      <c r="C10079">
        <v>6</v>
      </c>
      <c r="D10079" s="11">
        <v>42887</v>
      </c>
      <c r="E10079" t="s">
        <v>2178</v>
      </c>
      <c r="F10079">
        <v>3</v>
      </c>
      <c r="G10079" t="s">
        <v>65</v>
      </c>
      <c r="H10079" t="s">
        <v>45</v>
      </c>
      <c r="I10079" t="s">
        <v>2193</v>
      </c>
      <c r="J10079" s="10">
        <v>3</v>
      </c>
      <c r="K10079" t="b">
        <v>1</v>
      </c>
    </row>
    <row r="10080" spans="1:11">
      <c r="A10080" s="12">
        <v>42900</v>
      </c>
      <c r="B10080">
        <v>2017</v>
      </c>
      <c r="C10080">
        <v>6</v>
      </c>
      <c r="D10080" s="11">
        <v>42887</v>
      </c>
      <c r="E10080" t="s">
        <v>2178</v>
      </c>
      <c r="F10080">
        <v>3</v>
      </c>
      <c r="G10080" t="s">
        <v>65</v>
      </c>
      <c r="H10080" t="s">
        <v>46</v>
      </c>
      <c r="I10080" t="s">
        <v>2194</v>
      </c>
      <c r="J10080" s="10">
        <v>5</v>
      </c>
      <c r="K10080" t="b">
        <v>1</v>
      </c>
    </row>
    <row r="10081" spans="1:11">
      <c r="A10081" s="12">
        <v>42900</v>
      </c>
      <c r="B10081">
        <v>2017</v>
      </c>
      <c r="C10081">
        <v>6</v>
      </c>
      <c r="D10081" s="11">
        <v>42887</v>
      </c>
      <c r="E10081" t="s">
        <v>2178</v>
      </c>
      <c r="F10081">
        <v>3</v>
      </c>
      <c r="G10081" t="s">
        <v>65</v>
      </c>
      <c r="H10081" t="s">
        <v>47</v>
      </c>
      <c r="I10081" t="s">
        <v>2195</v>
      </c>
      <c r="J10081" s="10">
        <v>3</v>
      </c>
      <c r="K10081" t="b">
        <v>1</v>
      </c>
    </row>
    <row r="10082" spans="1:11">
      <c r="A10082" s="12">
        <v>42901</v>
      </c>
      <c r="B10082">
        <v>2017</v>
      </c>
      <c r="C10082">
        <v>6</v>
      </c>
      <c r="D10082" s="11">
        <v>42887</v>
      </c>
      <c r="E10082" t="s">
        <v>2178</v>
      </c>
      <c r="F10082">
        <v>4</v>
      </c>
      <c r="G10082" t="s">
        <v>53</v>
      </c>
      <c r="H10082" t="s">
        <v>40</v>
      </c>
      <c r="I10082" t="s">
        <v>2188</v>
      </c>
      <c r="J10082" s="10">
        <v>3</v>
      </c>
      <c r="K10082" t="b">
        <v>1</v>
      </c>
    </row>
    <row r="10083" spans="1:11">
      <c r="A10083" s="12">
        <v>42901</v>
      </c>
      <c r="B10083">
        <v>2017</v>
      </c>
      <c r="C10083">
        <v>6</v>
      </c>
      <c r="D10083" s="11">
        <v>42887</v>
      </c>
      <c r="E10083" t="s">
        <v>2178</v>
      </c>
      <c r="F10083">
        <v>4</v>
      </c>
      <c r="G10083" t="s">
        <v>53</v>
      </c>
      <c r="H10083" t="s">
        <v>41</v>
      </c>
      <c r="I10083" t="s">
        <v>2189</v>
      </c>
      <c r="J10083" s="10">
        <v>4.33</v>
      </c>
      <c r="K10083" t="b">
        <v>1</v>
      </c>
    </row>
    <row r="10084" spans="1:11">
      <c r="A10084" s="12">
        <v>42901</v>
      </c>
      <c r="B10084">
        <v>2017</v>
      </c>
      <c r="C10084">
        <v>6</v>
      </c>
      <c r="D10084" s="11">
        <v>42887</v>
      </c>
      <c r="E10084" t="s">
        <v>2178</v>
      </c>
      <c r="F10084">
        <v>4</v>
      </c>
      <c r="G10084" t="s">
        <v>53</v>
      </c>
      <c r="H10084" t="s">
        <v>42</v>
      </c>
      <c r="I10084" t="s">
        <v>2190</v>
      </c>
      <c r="J10084" s="10">
        <v>3.15</v>
      </c>
      <c r="K10084" t="b">
        <v>1</v>
      </c>
    </row>
    <row r="10085" spans="1:11">
      <c r="A10085" s="12">
        <v>42901</v>
      </c>
      <c r="B10085">
        <v>2017</v>
      </c>
      <c r="C10085">
        <v>6</v>
      </c>
      <c r="D10085" s="11">
        <v>42887</v>
      </c>
      <c r="E10085" t="s">
        <v>2178</v>
      </c>
      <c r="F10085">
        <v>4</v>
      </c>
      <c r="G10085" t="s">
        <v>53</v>
      </c>
      <c r="H10085" t="s">
        <v>43</v>
      </c>
      <c r="I10085" t="s">
        <v>2191</v>
      </c>
      <c r="J10085" s="10">
        <v>15</v>
      </c>
      <c r="K10085" t="b">
        <v>1</v>
      </c>
    </row>
    <row r="10086" spans="1:11">
      <c r="A10086" s="12">
        <v>42901</v>
      </c>
      <c r="B10086">
        <v>2017</v>
      </c>
      <c r="C10086">
        <v>6</v>
      </c>
      <c r="D10086" s="11">
        <v>42887</v>
      </c>
      <c r="E10086" t="s">
        <v>2178</v>
      </c>
      <c r="F10086">
        <v>4</v>
      </c>
      <c r="G10086" t="s">
        <v>53</v>
      </c>
      <c r="H10086" t="s">
        <v>44</v>
      </c>
      <c r="I10086" t="s">
        <v>2192</v>
      </c>
      <c r="J10086" s="10">
        <v>10</v>
      </c>
      <c r="K10086" t="b">
        <v>1</v>
      </c>
    </row>
    <row r="10087" spans="1:11">
      <c r="A10087" s="12">
        <v>42901</v>
      </c>
      <c r="B10087">
        <v>2017</v>
      </c>
      <c r="C10087">
        <v>6</v>
      </c>
      <c r="D10087" s="11">
        <v>42887</v>
      </c>
      <c r="E10087" t="s">
        <v>2178</v>
      </c>
      <c r="F10087">
        <v>4</v>
      </c>
      <c r="G10087" t="s">
        <v>53</v>
      </c>
      <c r="H10087" t="s">
        <v>45</v>
      </c>
      <c r="I10087" t="s">
        <v>2193</v>
      </c>
      <c r="J10087" s="10">
        <v>0</v>
      </c>
      <c r="K10087" t="b">
        <v>1</v>
      </c>
    </row>
    <row r="10088" spans="1:11">
      <c r="A10088" s="12">
        <v>42901</v>
      </c>
      <c r="B10088">
        <v>2017</v>
      </c>
      <c r="C10088">
        <v>6</v>
      </c>
      <c r="D10088" s="11">
        <v>42887</v>
      </c>
      <c r="E10088" t="s">
        <v>2178</v>
      </c>
      <c r="F10088">
        <v>4</v>
      </c>
      <c r="G10088" t="s">
        <v>53</v>
      </c>
      <c r="H10088" t="s">
        <v>46</v>
      </c>
      <c r="I10088" t="s">
        <v>2194</v>
      </c>
      <c r="J10088" s="10">
        <v>5</v>
      </c>
      <c r="K10088" t="b">
        <v>1</v>
      </c>
    </row>
    <row r="10089" spans="1:11">
      <c r="A10089" s="12">
        <v>42901</v>
      </c>
      <c r="B10089">
        <v>2017</v>
      </c>
      <c r="C10089">
        <v>6</v>
      </c>
      <c r="D10089" s="11">
        <v>42887</v>
      </c>
      <c r="E10089" t="s">
        <v>2178</v>
      </c>
      <c r="F10089">
        <v>4</v>
      </c>
      <c r="G10089" t="s">
        <v>53</v>
      </c>
      <c r="H10089" t="s">
        <v>47</v>
      </c>
      <c r="I10089" t="s">
        <v>2195</v>
      </c>
      <c r="J10089" s="10">
        <v>6.5</v>
      </c>
      <c r="K10089" t="b">
        <v>1</v>
      </c>
    </row>
    <row r="10090" spans="1:11">
      <c r="A10090" s="12">
        <v>42902</v>
      </c>
      <c r="B10090">
        <v>2017</v>
      </c>
      <c r="C10090">
        <v>6</v>
      </c>
      <c r="D10090" s="11">
        <v>42887</v>
      </c>
      <c r="E10090" t="s">
        <v>2178</v>
      </c>
      <c r="F10090">
        <v>5</v>
      </c>
      <c r="G10090" t="s">
        <v>55</v>
      </c>
      <c r="H10090" t="s">
        <v>40</v>
      </c>
      <c r="I10090" t="s">
        <v>2188</v>
      </c>
      <c r="J10090" s="10">
        <v>4</v>
      </c>
      <c r="K10090" t="b">
        <v>1</v>
      </c>
    </row>
    <row r="10091" spans="1:11">
      <c r="A10091" s="12">
        <v>42902</v>
      </c>
      <c r="B10091">
        <v>2017</v>
      </c>
      <c r="C10091">
        <v>6</v>
      </c>
      <c r="D10091" s="11">
        <v>42887</v>
      </c>
      <c r="E10091" t="s">
        <v>2178</v>
      </c>
      <c r="F10091">
        <v>5</v>
      </c>
      <c r="G10091" t="s">
        <v>55</v>
      </c>
      <c r="H10091" t="s">
        <v>41</v>
      </c>
      <c r="I10091" t="s">
        <v>2189</v>
      </c>
      <c r="J10091" s="10">
        <v>2.01</v>
      </c>
      <c r="K10091" t="b">
        <v>1</v>
      </c>
    </row>
    <row r="10092" spans="1:11">
      <c r="A10092" s="12">
        <v>42902</v>
      </c>
      <c r="B10092">
        <v>2017</v>
      </c>
      <c r="C10092">
        <v>6</v>
      </c>
      <c r="D10092" s="11">
        <v>42887</v>
      </c>
      <c r="E10092" t="s">
        <v>2178</v>
      </c>
      <c r="F10092">
        <v>5</v>
      </c>
      <c r="G10092" t="s">
        <v>55</v>
      </c>
      <c r="H10092" t="s">
        <v>42</v>
      </c>
      <c r="I10092" t="s">
        <v>2190</v>
      </c>
      <c r="J10092" s="10">
        <v>0</v>
      </c>
      <c r="K10092" t="b">
        <v>1</v>
      </c>
    </row>
    <row r="10093" spans="1:11">
      <c r="A10093" s="12">
        <v>42902</v>
      </c>
      <c r="B10093">
        <v>2017</v>
      </c>
      <c r="C10093">
        <v>6</v>
      </c>
      <c r="D10093" s="11">
        <v>42887</v>
      </c>
      <c r="E10093" t="s">
        <v>2178</v>
      </c>
      <c r="F10093">
        <v>5</v>
      </c>
      <c r="G10093" t="s">
        <v>55</v>
      </c>
      <c r="H10093" t="s">
        <v>43</v>
      </c>
      <c r="I10093" t="s">
        <v>2191</v>
      </c>
      <c r="J10093" s="10">
        <v>12.25</v>
      </c>
      <c r="K10093" t="b">
        <v>1</v>
      </c>
    </row>
    <row r="10094" spans="1:11">
      <c r="A10094" s="12">
        <v>42902</v>
      </c>
      <c r="B10094">
        <v>2017</v>
      </c>
      <c r="C10094">
        <v>6</v>
      </c>
      <c r="D10094" s="11">
        <v>42887</v>
      </c>
      <c r="E10094" t="s">
        <v>2178</v>
      </c>
      <c r="F10094">
        <v>5</v>
      </c>
      <c r="G10094" t="s">
        <v>55</v>
      </c>
      <c r="H10094" t="s">
        <v>44</v>
      </c>
      <c r="I10094" t="s">
        <v>2192</v>
      </c>
      <c r="J10094" s="10">
        <v>6</v>
      </c>
      <c r="K10094" t="b">
        <v>1</v>
      </c>
    </row>
    <row r="10095" spans="1:11">
      <c r="A10095" s="12">
        <v>42902</v>
      </c>
      <c r="B10095">
        <v>2017</v>
      </c>
      <c r="C10095">
        <v>6</v>
      </c>
      <c r="D10095" s="11">
        <v>42887</v>
      </c>
      <c r="E10095" t="s">
        <v>2178</v>
      </c>
      <c r="F10095">
        <v>5</v>
      </c>
      <c r="G10095" t="s">
        <v>55</v>
      </c>
      <c r="H10095" t="s">
        <v>45</v>
      </c>
      <c r="I10095" t="s">
        <v>2193</v>
      </c>
      <c r="J10095" s="10">
        <v>0</v>
      </c>
      <c r="K10095" t="b">
        <v>1</v>
      </c>
    </row>
    <row r="10096" spans="1:11">
      <c r="A10096" s="12">
        <v>42902</v>
      </c>
      <c r="B10096">
        <v>2017</v>
      </c>
      <c r="C10096">
        <v>6</v>
      </c>
      <c r="D10096" s="11">
        <v>42887</v>
      </c>
      <c r="E10096" t="s">
        <v>2178</v>
      </c>
      <c r="F10096">
        <v>5</v>
      </c>
      <c r="G10096" t="s">
        <v>55</v>
      </c>
      <c r="H10096" t="s">
        <v>46</v>
      </c>
      <c r="I10096" t="s">
        <v>2194</v>
      </c>
      <c r="J10096" s="10">
        <v>0</v>
      </c>
      <c r="K10096" t="b">
        <v>1</v>
      </c>
    </row>
    <row r="10097" spans="1:11">
      <c r="A10097" s="12">
        <v>42902</v>
      </c>
      <c r="B10097">
        <v>2017</v>
      </c>
      <c r="C10097">
        <v>6</v>
      </c>
      <c r="D10097" s="11">
        <v>42887</v>
      </c>
      <c r="E10097" t="s">
        <v>2178</v>
      </c>
      <c r="F10097">
        <v>5</v>
      </c>
      <c r="G10097" t="s">
        <v>55</v>
      </c>
      <c r="H10097" t="s">
        <v>47</v>
      </c>
      <c r="I10097" t="s">
        <v>2195</v>
      </c>
      <c r="J10097" s="10">
        <v>5.44</v>
      </c>
      <c r="K10097" t="b">
        <v>1</v>
      </c>
    </row>
    <row r="10098" spans="1:11">
      <c r="A10098" s="12">
        <v>42903</v>
      </c>
      <c r="B10098">
        <v>2017</v>
      </c>
      <c r="C10098">
        <v>6</v>
      </c>
      <c r="D10098" s="11">
        <v>42887</v>
      </c>
      <c r="E10098" t="s">
        <v>2178</v>
      </c>
      <c r="F10098">
        <v>6</v>
      </c>
      <c r="G10098" t="s">
        <v>57</v>
      </c>
      <c r="H10098" t="s">
        <v>40</v>
      </c>
      <c r="I10098" t="s">
        <v>2188</v>
      </c>
      <c r="J10098" s="10">
        <v>2</v>
      </c>
      <c r="K10098" t="b">
        <v>1</v>
      </c>
    </row>
    <row r="10099" spans="1:11">
      <c r="A10099" s="12">
        <v>42903</v>
      </c>
      <c r="B10099">
        <v>2017</v>
      </c>
      <c r="C10099">
        <v>6</v>
      </c>
      <c r="D10099" s="11">
        <v>42887</v>
      </c>
      <c r="E10099" t="s">
        <v>2178</v>
      </c>
      <c r="F10099">
        <v>6</v>
      </c>
      <c r="G10099" t="s">
        <v>57</v>
      </c>
      <c r="H10099" t="s">
        <v>41</v>
      </c>
      <c r="I10099" t="s">
        <v>2189</v>
      </c>
      <c r="J10099" s="10">
        <v>8.726000000000001</v>
      </c>
      <c r="K10099" t="b">
        <v>1</v>
      </c>
    </row>
    <row r="10100" spans="1:11">
      <c r="A10100" s="12">
        <v>42903</v>
      </c>
      <c r="B10100">
        <v>2017</v>
      </c>
      <c r="C10100">
        <v>6</v>
      </c>
      <c r="D10100" s="11">
        <v>42887</v>
      </c>
      <c r="E10100" t="s">
        <v>2178</v>
      </c>
      <c r="F10100">
        <v>6</v>
      </c>
      <c r="G10100" t="s">
        <v>57</v>
      </c>
      <c r="H10100" t="s">
        <v>42</v>
      </c>
      <c r="I10100" t="s">
        <v>2190</v>
      </c>
      <c r="J10100" s="10">
        <v>5</v>
      </c>
      <c r="K10100" t="b">
        <v>1</v>
      </c>
    </row>
    <row r="10101" spans="1:11">
      <c r="A10101" s="12">
        <v>42903</v>
      </c>
      <c r="B10101">
        <v>2017</v>
      </c>
      <c r="C10101">
        <v>6</v>
      </c>
      <c r="D10101" s="11">
        <v>42887</v>
      </c>
      <c r="E10101" t="s">
        <v>2178</v>
      </c>
      <c r="F10101">
        <v>6</v>
      </c>
      <c r="G10101" t="s">
        <v>57</v>
      </c>
      <c r="H10101" t="s">
        <v>43</v>
      </c>
      <c r="I10101" t="s">
        <v>2191</v>
      </c>
      <c r="J10101" s="10">
        <v>12</v>
      </c>
      <c r="K10101" t="b">
        <v>1</v>
      </c>
    </row>
    <row r="10102" spans="1:11">
      <c r="A10102" s="12">
        <v>42903</v>
      </c>
      <c r="B10102">
        <v>2017</v>
      </c>
      <c r="C10102">
        <v>6</v>
      </c>
      <c r="D10102" s="11">
        <v>42887</v>
      </c>
      <c r="E10102" t="s">
        <v>2178</v>
      </c>
      <c r="F10102">
        <v>6</v>
      </c>
      <c r="G10102" t="s">
        <v>57</v>
      </c>
      <c r="H10102" t="s">
        <v>44</v>
      </c>
      <c r="I10102" t="s">
        <v>2192</v>
      </c>
      <c r="J10102" s="10">
        <v>4</v>
      </c>
      <c r="K10102" t="b">
        <v>1</v>
      </c>
    </row>
    <row r="10103" spans="1:11">
      <c r="A10103" s="12">
        <v>42903</v>
      </c>
      <c r="B10103">
        <v>2017</v>
      </c>
      <c r="C10103">
        <v>6</v>
      </c>
      <c r="D10103" s="11">
        <v>42887</v>
      </c>
      <c r="E10103" t="s">
        <v>2178</v>
      </c>
      <c r="F10103">
        <v>6</v>
      </c>
      <c r="G10103" t="s">
        <v>57</v>
      </c>
      <c r="H10103" t="s">
        <v>45</v>
      </c>
      <c r="I10103" t="s">
        <v>2193</v>
      </c>
      <c r="J10103" s="10">
        <v>0</v>
      </c>
      <c r="K10103" t="b">
        <v>1</v>
      </c>
    </row>
    <row r="10104" spans="1:11">
      <c r="A10104" s="12">
        <v>42903</v>
      </c>
      <c r="B10104">
        <v>2017</v>
      </c>
      <c r="C10104">
        <v>6</v>
      </c>
      <c r="D10104" s="11">
        <v>42887</v>
      </c>
      <c r="E10104" t="s">
        <v>2178</v>
      </c>
      <c r="F10104">
        <v>6</v>
      </c>
      <c r="G10104" t="s">
        <v>57</v>
      </c>
      <c r="H10104" t="s">
        <v>46</v>
      </c>
      <c r="I10104" t="s">
        <v>2194</v>
      </c>
      <c r="J10104" s="10">
        <v>5</v>
      </c>
      <c r="K10104" t="b">
        <v>1</v>
      </c>
    </row>
    <row r="10105" spans="1:11">
      <c r="A10105" s="12">
        <v>42903</v>
      </c>
      <c r="B10105">
        <v>2017</v>
      </c>
      <c r="C10105">
        <v>6</v>
      </c>
      <c r="D10105" s="11">
        <v>42887</v>
      </c>
      <c r="E10105" t="s">
        <v>2178</v>
      </c>
      <c r="F10105">
        <v>6</v>
      </c>
      <c r="G10105" t="s">
        <v>57</v>
      </c>
      <c r="H10105" t="s">
        <v>47</v>
      </c>
      <c r="I10105" t="s">
        <v>2195</v>
      </c>
      <c r="J10105" s="10">
        <v>5</v>
      </c>
      <c r="K10105" t="b">
        <v>1</v>
      </c>
    </row>
    <row r="10106" spans="1:11">
      <c r="A10106" s="12">
        <v>42904</v>
      </c>
      <c r="B10106">
        <v>2017</v>
      </c>
      <c r="C10106">
        <v>6</v>
      </c>
      <c r="D10106" s="11">
        <v>42887</v>
      </c>
      <c r="E10106" t="s">
        <v>2178</v>
      </c>
      <c r="F10106">
        <v>7</v>
      </c>
      <c r="G10106" t="s">
        <v>59</v>
      </c>
      <c r="H10106" t="s">
        <v>40</v>
      </c>
      <c r="I10106" t="s">
        <v>2188</v>
      </c>
      <c r="J10106" s="10">
        <v>4</v>
      </c>
      <c r="K10106" t="b">
        <v>1</v>
      </c>
    </row>
    <row r="10107" spans="1:11">
      <c r="A10107" s="12">
        <v>42904</v>
      </c>
      <c r="B10107">
        <v>2017</v>
      </c>
      <c r="C10107">
        <v>6</v>
      </c>
      <c r="D10107" s="11">
        <v>42887</v>
      </c>
      <c r="E10107" t="s">
        <v>2178</v>
      </c>
      <c r="F10107">
        <v>7</v>
      </c>
      <c r="G10107" t="s">
        <v>59</v>
      </c>
      <c r="H10107" t="s">
        <v>41</v>
      </c>
      <c r="I10107" t="s">
        <v>2189</v>
      </c>
      <c r="J10107" s="10">
        <v>7.34</v>
      </c>
      <c r="K10107" t="b">
        <v>1</v>
      </c>
    </row>
    <row r="10108" spans="1:11">
      <c r="A10108" s="12">
        <v>42904</v>
      </c>
      <c r="B10108">
        <v>2017</v>
      </c>
      <c r="C10108">
        <v>6</v>
      </c>
      <c r="D10108" s="11">
        <v>42887</v>
      </c>
      <c r="E10108" t="s">
        <v>2178</v>
      </c>
      <c r="F10108">
        <v>7</v>
      </c>
      <c r="G10108" t="s">
        <v>59</v>
      </c>
      <c r="H10108" t="s">
        <v>42</v>
      </c>
      <c r="I10108" t="s">
        <v>2190</v>
      </c>
      <c r="J10108" s="10">
        <v>1.1</v>
      </c>
      <c r="K10108" t="b">
        <v>1</v>
      </c>
    </row>
    <row r="10109" spans="1:11">
      <c r="A10109" s="12">
        <v>42904</v>
      </c>
      <c r="B10109">
        <v>2017</v>
      </c>
      <c r="C10109">
        <v>6</v>
      </c>
      <c r="D10109" s="11">
        <v>42887</v>
      </c>
      <c r="E10109" t="s">
        <v>2178</v>
      </c>
      <c r="F10109">
        <v>7</v>
      </c>
      <c r="G10109" t="s">
        <v>59</v>
      </c>
      <c r="H10109" t="s">
        <v>43</v>
      </c>
      <c r="I10109" t="s">
        <v>2191</v>
      </c>
      <c r="J10109" s="10">
        <v>26.6</v>
      </c>
      <c r="K10109" t="b">
        <v>1</v>
      </c>
    </row>
    <row r="10110" spans="1:11">
      <c r="A10110" s="12">
        <v>42904</v>
      </c>
      <c r="B10110">
        <v>2017</v>
      </c>
      <c r="C10110">
        <v>6</v>
      </c>
      <c r="D10110" s="11">
        <v>42887</v>
      </c>
      <c r="E10110" t="s">
        <v>2178</v>
      </c>
      <c r="F10110">
        <v>7</v>
      </c>
      <c r="G10110" t="s">
        <v>59</v>
      </c>
      <c r="H10110" t="s">
        <v>44</v>
      </c>
      <c r="I10110" t="s">
        <v>2192</v>
      </c>
      <c r="J10110" s="10">
        <v>2</v>
      </c>
      <c r="K10110" t="b">
        <v>1</v>
      </c>
    </row>
    <row r="10111" spans="1:11">
      <c r="A10111" s="12">
        <v>42904</v>
      </c>
      <c r="B10111">
        <v>2017</v>
      </c>
      <c r="C10111">
        <v>6</v>
      </c>
      <c r="D10111" s="11">
        <v>42887</v>
      </c>
      <c r="E10111" t="s">
        <v>2178</v>
      </c>
      <c r="F10111">
        <v>7</v>
      </c>
      <c r="G10111" t="s">
        <v>59</v>
      </c>
      <c r="H10111" t="s">
        <v>45</v>
      </c>
      <c r="I10111" t="s">
        <v>2193</v>
      </c>
      <c r="J10111" s="10">
        <v>0</v>
      </c>
      <c r="K10111" t="b">
        <v>1</v>
      </c>
    </row>
    <row r="10112" spans="1:11">
      <c r="A10112" s="12">
        <v>42904</v>
      </c>
      <c r="B10112">
        <v>2017</v>
      </c>
      <c r="C10112">
        <v>6</v>
      </c>
      <c r="D10112" s="11">
        <v>42887</v>
      </c>
      <c r="E10112" t="s">
        <v>2178</v>
      </c>
      <c r="F10112">
        <v>7</v>
      </c>
      <c r="G10112" t="s">
        <v>59</v>
      </c>
      <c r="H10112" t="s">
        <v>46</v>
      </c>
      <c r="I10112" t="s">
        <v>2194</v>
      </c>
      <c r="J10112" s="10">
        <v>12</v>
      </c>
      <c r="K10112" t="b">
        <v>1</v>
      </c>
    </row>
    <row r="10113" spans="1:11">
      <c r="A10113" s="12">
        <v>42904</v>
      </c>
      <c r="B10113">
        <v>2017</v>
      </c>
      <c r="C10113">
        <v>6</v>
      </c>
      <c r="D10113" s="11">
        <v>42887</v>
      </c>
      <c r="E10113" t="s">
        <v>2178</v>
      </c>
      <c r="F10113">
        <v>7</v>
      </c>
      <c r="G10113" t="s">
        <v>59</v>
      </c>
      <c r="H10113" t="s">
        <v>47</v>
      </c>
      <c r="I10113" t="s">
        <v>2195</v>
      </c>
      <c r="J10113" s="10">
        <v>3.33</v>
      </c>
      <c r="K10113" t="b">
        <v>1</v>
      </c>
    </row>
    <row r="10114" spans="1:11">
      <c r="A10114" s="12">
        <v>42905</v>
      </c>
      <c r="B10114">
        <v>2017</v>
      </c>
      <c r="C10114">
        <v>6</v>
      </c>
      <c r="D10114" s="11">
        <v>42887</v>
      </c>
      <c r="E10114" t="s">
        <v>2178</v>
      </c>
      <c r="F10114">
        <v>1</v>
      </c>
      <c r="G10114" t="s">
        <v>61</v>
      </c>
      <c r="H10114" t="s">
        <v>40</v>
      </c>
      <c r="I10114" t="s">
        <v>2188</v>
      </c>
      <c r="J10114" s="10">
        <v>1.33</v>
      </c>
      <c r="K10114" t="b">
        <v>1</v>
      </c>
    </row>
    <row r="10115" spans="1:11">
      <c r="A10115" s="12">
        <v>42905</v>
      </c>
      <c r="B10115">
        <v>2017</v>
      </c>
      <c r="C10115">
        <v>6</v>
      </c>
      <c r="D10115" s="11">
        <v>42887</v>
      </c>
      <c r="E10115" t="s">
        <v>2178</v>
      </c>
      <c r="F10115">
        <v>1</v>
      </c>
      <c r="G10115" t="s">
        <v>61</v>
      </c>
      <c r="H10115" t="s">
        <v>41</v>
      </c>
      <c r="I10115" t="s">
        <v>2189</v>
      </c>
      <c r="J10115" s="10">
        <v>1.98</v>
      </c>
      <c r="K10115" t="b">
        <v>1</v>
      </c>
    </row>
    <row r="10116" spans="1:11">
      <c r="A10116" s="12">
        <v>42905</v>
      </c>
      <c r="B10116">
        <v>2017</v>
      </c>
      <c r="C10116">
        <v>6</v>
      </c>
      <c r="D10116" s="11">
        <v>42887</v>
      </c>
      <c r="E10116" t="s">
        <v>2178</v>
      </c>
      <c r="F10116">
        <v>1</v>
      </c>
      <c r="G10116" t="s">
        <v>61</v>
      </c>
      <c r="H10116" t="s">
        <v>42</v>
      </c>
      <c r="I10116" t="s">
        <v>2190</v>
      </c>
      <c r="J10116" s="10">
        <v>1</v>
      </c>
      <c r="K10116" t="b">
        <v>1</v>
      </c>
    </row>
    <row r="10117" spans="1:11">
      <c r="A10117" s="12">
        <v>42905</v>
      </c>
      <c r="B10117">
        <v>2017</v>
      </c>
      <c r="C10117">
        <v>6</v>
      </c>
      <c r="D10117" s="11">
        <v>42887</v>
      </c>
      <c r="E10117" t="s">
        <v>2178</v>
      </c>
      <c r="F10117">
        <v>1</v>
      </c>
      <c r="G10117" t="s">
        <v>61</v>
      </c>
      <c r="H10117" t="s">
        <v>43</v>
      </c>
      <c r="I10117" t="s">
        <v>2191</v>
      </c>
      <c r="J10117" s="10">
        <v>18</v>
      </c>
      <c r="K10117" t="b">
        <v>1</v>
      </c>
    </row>
    <row r="10118" spans="1:11">
      <c r="A10118" s="12">
        <v>42905</v>
      </c>
      <c r="B10118">
        <v>2017</v>
      </c>
      <c r="C10118">
        <v>6</v>
      </c>
      <c r="D10118" s="11">
        <v>42887</v>
      </c>
      <c r="E10118" t="s">
        <v>2178</v>
      </c>
      <c r="F10118">
        <v>1</v>
      </c>
      <c r="G10118" t="s">
        <v>61</v>
      </c>
      <c r="H10118" t="s">
        <v>44</v>
      </c>
      <c r="I10118" t="s">
        <v>2192</v>
      </c>
      <c r="J10118" s="10">
        <v>1</v>
      </c>
      <c r="K10118" t="b">
        <v>1</v>
      </c>
    </row>
    <row r="10119" spans="1:11">
      <c r="A10119" s="12">
        <v>42905</v>
      </c>
      <c r="B10119">
        <v>2017</v>
      </c>
      <c r="C10119">
        <v>6</v>
      </c>
      <c r="D10119" s="11">
        <v>42887</v>
      </c>
      <c r="E10119" t="s">
        <v>2178</v>
      </c>
      <c r="F10119">
        <v>1</v>
      </c>
      <c r="G10119" t="s">
        <v>61</v>
      </c>
      <c r="H10119" t="s">
        <v>45</v>
      </c>
      <c r="I10119" t="s">
        <v>2193</v>
      </c>
      <c r="J10119" s="10">
        <v>1</v>
      </c>
      <c r="K10119" t="b">
        <v>1</v>
      </c>
    </row>
    <row r="10120" spans="1:11">
      <c r="A10120" s="12">
        <v>42905</v>
      </c>
      <c r="B10120">
        <v>2017</v>
      </c>
      <c r="C10120">
        <v>6</v>
      </c>
      <c r="D10120" s="11">
        <v>42887</v>
      </c>
      <c r="E10120" t="s">
        <v>2178</v>
      </c>
      <c r="F10120">
        <v>1</v>
      </c>
      <c r="G10120" t="s">
        <v>61</v>
      </c>
      <c r="H10120" t="s">
        <v>46</v>
      </c>
      <c r="I10120" t="s">
        <v>2194</v>
      </c>
      <c r="J10120" s="10">
        <v>8</v>
      </c>
      <c r="K10120" t="b">
        <v>1</v>
      </c>
    </row>
    <row r="10121" spans="1:11">
      <c r="A10121" s="12">
        <v>42905</v>
      </c>
      <c r="B10121">
        <v>2017</v>
      </c>
      <c r="C10121">
        <v>6</v>
      </c>
      <c r="D10121" s="11">
        <v>42887</v>
      </c>
      <c r="E10121" t="s">
        <v>2178</v>
      </c>
      <c r="F10121">
        <v>1</v>
      </c>
      <c r="G10121" t="s">
        <v>61</v>
      </c>
      <c r="H10121" t="s">
        <v>47</v>
      </c>
      <c r="I10121" t="s">
        <v>2195</v>
      </c>
      <c r="J10121" s="10">
        <v>3</v>
      </c>
      <c r="K10121" t="b">
        <v>1</v>
      </c>
    </row>
    <row r="10122" spans="1:11">
      <c r="A10122" s="12">
        <v>42906</v>
      </c>
      <c r="B10122">
        <v>2017</v>
      </c>
      <c r="C10122">
        <v>6</v>
      </c>
      <c r="D10122" s="11">
        <v>42887</v>
      </c>
      <c r="E10122" t="s">
        <v>2178</v>
      </c>
      <c r="F10122">
        <v>2</v>
      </c>
      <c r="G10122" t="s">
        <v>63</v>
      </c>
      <c r="H10122" t="s">
        <v>40</v>
      </c>
      <c r="I10122" t="s">
        <v>2188</v>
      </c>
      <c r="J10122" s="10">
        <v>9.33</v>
      </c>
      <c r="K10122" t="b">
        <v>1</v>
      </c>
    </row>
    <row r="10123" spans="1:11">
      <c r="A10123" s="12">
        <v>42906</v>
      </c>
      <c r="B10123">
        <v>2017</v>
      </c>
      <c r="C10123">
        <v>6</v>
      </c>
      <c r="D10123" s="11">
        <v>42887</v>
      </c>
      <c r="E10123" t="s">
        <v>2178</v>
      </c>
      <c r="F10123">
        <v>2</v>
      </c>
      <c r="G10123" t="s">
        <v>63</v>
      </c>
      <c r="H10123" t="s">
        <v>41</v>
      </c>
      <c r="I10123" t="s">
        <v>2189</v>
      </c>
      <c r="J10123" s="10">
        <v>1</v>
      </c>
      <c r="K10123" t="b">
        <v>1</v>
      </c>
    </row>
    <row r="10124" spans="1:11">
      <c r="A10124" s="12">
        <v>42906</v>
      </c>
      <c r="B10124">
        <v>2017</v>
      </c>
      <c r="C10124">
        <v>6</v>
      </c>
      <c r="D10124" s="11">
        <v>42887</v>
      </c>
      <c r="E10124" t="s">
        <v>2178</v>
      </c>
      <c r="F10124">
        <v>2</v>
      </c>
      <c r="G10124" t="s">
        <v>63</v>
      </c>
      <c r="H10124" t="s">
        <v>42</v>
      </c>
      <c r="I10124" t="s">
        <v>2190</v>
      </c>
      <c r="J10124" s="10">
        <v>5.1</v>
      </c>
      <c r="K10124" t="b">
        <v>1</v>
      </c>
    </row>
    <row r="10125" spans="1:11">
      <c r="A10125" s="12">
        <v>42906</v>
      </c>
      <c r="B10125">
        <v>2017</v>
      </c>
      <c r="C10125">
        <v>6</v>
      </c>
      <c r="D10125" s="11">
        <v>42887</v>
      </c>
      <c r="E10125" t="s">
        <v>2178</v>
      </c>
      <c r="F10125">
        <v>2</v>
      </c>
      <c r="G10125" t="s">
        <v>63</v>
      </c>
      <c r="H10125" t="s">
        <v>43</v>
      </c>
      <c r="I10125" t="s">
        <v>2191</v>
      </c>
      <c r="J10125" s="10">
        <v>12</v>
      </c>
      <c r="K10125" t="b">
        <v>1</v>
      </c>
    </row>
    <row r="10126" spans="1:11">
      <c r="A10126" s="12">
        <v>42906</v>
      </c>
      <c r="B10126">
        <v>2017</v>
      </c>
      <c r="C10126">
        <v>6</v>
      </c>
      <c r="D10126" s="11">
        <v>42887</v>
      </c>
      <c r="E10126" t="s">
        <v>2178</v>
      </c>
      <c r="F10126">
        <v>2</v>
      </c>
      <c r="G10126" t="s">
        <v>63</v>
      </c>
      <c r="H10126" t="s">
        <v>44</v>
      </c>
      <c r="I10126" t="s">
        <v>2192</v>
      </c>
      <c r="J10126" s="10">
        <v>5</v>
      </c>
      <c r="K10126" t="b">
        <v>1</v>
      </c>
    </row>
    <row r="10127" spans="1:11">
      <c r="A10127" s="12">
        <v>42906</v>
      </c>
      <c r="B10127">
        <v>2017</v>
      </c>
      <c r="C10127">
        <v>6</v>
      </c>
      <c r="D10127" s="11">
        <v>42887</v>
      </c>
      <c r="E10127" t="s">
        <v>2178</v>
      </c>
      <c r="F10127">
        <v>2</v>
      </c>
      <c r="G10127" t="s">
        <v>63</v>
      </c>
      <c r="H10127" t="s">
        <v>45</v>
      </c>
      <c r="I10127" t="s">
        <v>2193</v>
      </c>
      <c r="J10127" s="10">
        <v>0</v>
      </c>
      <c r="K10127" t="b">
        <v>1</v>
      </c>
    </row>
    <row r="10128" spans="1:11">
      <c r="A10128" s="12">
        <v>42906</v>
      </c>
      <c r="B10128">
        <v>2017</v>
      </c>
      <c r="C10128">
        <v>6</v>
      </c>
      <c r="D10128" s="11">
        <v>42887</v>
      </c>
      <c r="E10128" t="s">
        <v>2178</v>
      </c>
      <c r="F10128">
        <v>2</v>
      </c>
      <c r="G10128" t="s">
        <v>63</v>
      </c>
      <c r="H10128" t="s">
        <v>46</v>
      </c>
      <c r="I10128" t="s">
        <v>2194</v>
      </c>
      <c r="J10128" s="10">
        <v>5</v>
      </c>
      <c r="K10128" t="b">
        <v>1</v>
      </c>
    </row>
    <row r="10129" spans="1:11">
      <c r="A10129" s="12">
        <v>42906</v>
      </c>
      <c r="B10129">
        <v>2017</v>
      </c>
      <c r="C10129">
        <v>6</v>
      </c>
      <c r="D10129" s="11">
        <v>42887</v>
      </c>
      <c r="E10129" t="s">
        <v>2178</v>
      </c>
      <c r="F10129">
        <v>2</v>
      </c>
      <c r="G10129" t="s">
        <v>63</v>
      </c>
      <c r="H10129" t="s">
        <v>47</v>
      </c>
      <c r="I10129" t="s">
        <v>2195</v>
      </c>
      <c r="J10129" s="10">
        <v>8.630000000000001</v>
      </c>
      <c r="K10129" t="b">
        <v>1</v>
      </c>
    </row>
    <row r="10130" spans="1:11">
      <c r="A10130" s="12">
        <v>42907</v>
      </c>
      <c r="B10130">
        <v>2017</v>
      </c>
      <c r="C10130">
        <v>6</v>
      </c>
      <c r="D10130" s="11">
        <v>42887</v>
      </c>
      <c r="E10130" t="s">
        <v>2178</v>
      </c>
      <c r="F10130">
        <v>3</v>
      </c>
      <c r="G10130" t="s">
        <v>65</v>
      </c>
      <c r="H10130" t="s">
        <v>40</v>
      </c>
      <c r="I10130" t="s">
        <v>2188</v>
      </c>
      <c r="J10130" s="10">
        <v>4</v>
      </c>
      <c r="K10130" t="b">
        <v>1</v>
      </c>
    </row>
    <row r="10131" spans="1:11">
      <c r="A10131" s="12">
        <v>42907</v>
      </c>
      <c r="B10131">
        <v>2017</v>
      </c>
      <c r="C10131">
        <v>6</v>
      </c>
      <c r="D10131" s="11">
        <v>42887</v>
      </c>
      <c r="E10131" t="s">
        <v>2178</v>
      </c>
      <c r="F10131">
        <v>3</v>
      </c>
      <c r="G10131" t="s">
        <v>65</v>
      </c>
      <c r="H10131" t="s">
        <v>41</v>
      </c>
      <c r="I10131" t="s">
        <v>2189</v>
      </c>
      <c r="J10131" s="10">
        <v>1.33</v>
      </c>
      <c r="K10131" t="b">
        <v>1</v>
      </c>
    </row>
    <row r="10132" spans="1:11">
      <c r="A10132" s="12">
        <v>42907</v>
      </c>
      <c r="B10132">
        <v>2017</v>
      </c>
      <c r="C10132">
        <v>6</v>
      </c>
      <c r="D10132" s="11">
        <v>42887</v>
      </c>
      <c r="E10132" t="s">
        <v>2178</v>
      </c>
      <c r="F10132">
        <v>3</v>
      </c>
      <c r="G10132" t="s">
        <v>65</v>
      </c>
      <c r="H10132" t="s">
        <v>42</v>
      </c>
      <c r="I10132" t="s">
        <v>2190</v>
      </c>
      <c r="J10132" s="10">
        <v>2</v>
      </c>
      <c r="K10132" t="b">
        <v>1</v>
      </c>
    </row>
    <row r="10133" spans="1:11">
      <c r="A10133" s="12">
        <v>42907</v>
      </c>
      <c r="B10133">
        <v>2017</v>
      </c>
      <c r="C10133">
        <v>6</v>
      </c>
      <c r="D10133" s="11">
        <v>42887</v>
      </c>
      <c r="E10133" t="s">
        <v>2178</v>
      </c>
      <c r="F10133">
        <v>3</v>
      </c>
      <c r="G10133" t="s">
        <v>65</v>
      </c>
      <c r="H10133" t="s">
        <v>43</v>
      </c>
      <c r="I10133" t="s">
        <v>2191</v>
      </c>
      <c r="J10133" s="10">
        <v>21</v>
      </c>
      <c r="K10133" t="b">
        <v>1</v>
      </c>
    </row>
    <row r="10134" spans="1:11">
      <c r="A10134" s="12">
        <v>42907</v>
      </c>
      <c r="B10134">
        <v>2017</v>
      </c>
      <c r="C10134">
        <v>6</v>
      </c>
      <c r="D10134" s="11">
        <v>42887</v>
      </c>
      <c r="E10134" t="s">
        <v>2178</v>
      </c>
      <c r="F10134">
        <v>3</v>
      </c>
      <c r="G10134" t="s">
        <v>65</v>
      </c>
      <c r="H10134" t="s">
        <v>44</v>
      </c>
      <c r="I10134" t="s">
        <v>2192</v>
      </c>
      <c r="J10134" s="10">
        <v>4</v>
      </c>
      <c r="K10134" t="b">
        <v>1</v>
      </c>
    </row>
    <row r="10135" spans="1:11">
      <c r="A10135" s="12">
        <v>42907</v>
      </c>
      <c r="B10135">
        <v>2017</v>
      </c>
      <c r="C10135">
        <v>6</v>
      </c>
      <c r="D10135" s="11">
        <v>42887</v>
      </c>
      <c r="E10135" t="s">
        <v>2178</v>
      </c>
      <c r="F10135">
        <v>3</v>
      </c>
      <c r="G10135" t="s">
        <v>65</v>
      </c>
      <c r="H10135" t="s">
        <v>45</v>
      </c>
      <c r="I10135" t="s">
        <v>2193</v>
      </c>
      <c r="J10135" s="10">
        <v>0</v>
      </c>
      <c r="K10135" t="b">
        <v>1</v>
      </c>
    </row>
    <row r="10136" spans="1:11">
      <c r="A10136" s="12">
        <v>42907</v>
      </c>
      <c r="B10136">
        <v>2017</v>
      </c>
      <c r="C10136">
        <v>6</v>
      </c>
      <c r="D10136" s="11">
        <v>42887</v>
      </c>
      <c r="E10136" t="s">
        <v>2178</v>
      </c>
      <c r="F10136">
        <v>3</v>
      </c>
      <c r="G10136" t="s">
        <v>65</v>
      </c>
      <c r="H10136" t="s">
        <v>46</v>
      </c>
      <c r="I10136" t="s">
        <v>2194</v>
      </c>
      <c r="J10136" s="10">
        <v>2</v>
      </c>
      <c r="K10136" t="b">
        <v>1</v>
      </c>
    </row>
    <row r="10137" spans="1:11">
      <c r="A10137" s="12">
        <v>42907</v>
      </c>
      <c r="B10137">
        <v>2017</v>
      </c>
      <c r="C10137">
        <v>6</v>
      </c>
      <c r="D10137" s="11">
        <v>42887</v>
      </c>
      <c r="E10137" t="s">
        <v>2178</v>
      </c>
      <c r="F10137">
        <v>3</v>
      </c>
      <c r="G10137" t="s">
        <v>65</v>
      </c>
      <c r="H10137" t="s">
        <v>47</v>
      </c>
      <c r="I10137" t="s">
        <v>2195</v>
      </c>
      <c r="J10137" s="10">
        <v>5.4</v>
      </c>
      <c r="K10137" t="b">
        <v>1</v>
      </c>
    </row>
    <row r="10138" spans="1:11">
      <c r="A10138" s="12">
        <v>42908</v>
      </c>
      <c r="B10138">
        <v>2017</v>
      </c>
      <c r="C10138">
        <v>6</v>
      </c>
      <c r="D10138" s="11">
        <v>42887</v>
      </c>
      <c r="E10138" t="s">
        <v>2178</v>
      </c>
      <c r="F10138">
        <v>4</v>
      </c>
      <c r="G10138" t="s">
        <v>53</v>
      </c>
      <c r="H10138" t="s">
        <v>40</v>
      </c>
      <c r="I10138" t="s">
        <v>2188</v>
      </c>
      <c r="J10138" s="10">
        <v>1</v>
      </c>
      <c r="K10138" t="b">
        <v>1</v>
      </c>
    </row>
    <row r="10139" spans="1:11">
      <c r="A10139" s="12">
        <v>42908</v>
      </c>
      <c r="B10139">
        <v>2017</v>
      </c>
      <c r="C10139">
        <v>6</v>
      </c>
      <c r="D10139" s="11">
        <v>42887</v>
      </c>
      <c r="E10139" t="s">
        <v>2178</v>
      </c>
      <c r="F10139">
        <v>4</v>
      </c>
      <c r="G10139" t="s">
        <v>53</v>
      </c>
      <c r="H10139" t="s">
        <v>41</v>
      </c>
      <c r="I10139" t="s">
        <v>2189</v>
      </c>
      <c r="J10139" s="10">
        <v>3.34</v>
      </c>
      <c r="K10139" t="b">
        <v>1</v>
      </c>
    </row>
    <row r="10140" spans="1:11">
      <c r="A10140" s="12">
        <v>42908</v>
      </c>
      <c r="B10140">
        <v>2017</v>
      </c>
      <c r="C10140">
        <v>6</v>
      </c>
      <c r="D10140" s="11">
        <v>42887</v>
      </c>
      <c r="E10140" t="s">
        <v>2178</v>
      </c>
      <c r="F10140">
        <v>4</v>
      </c>
      <c r="G10140" t="s">
        <v>53</v>
      </c>
      <c r="H10140" t="s">
        <v>42</v>
      </c>
      <c r="I10140" t="s">
        <v>2190</v>
      </c>
      <c r="J10140" s="10">
        <v>0</v>
      </c>
      <c r="K10140" t="b">
        <v>1</v>
      </c>
    </row>
    <row r="10141" spans="1:11">
      <c r="A10141" s="12">
        <v>42908</v>
      </c>
      <c r="B10141">
        <v>2017</v>
      </c>
      <c r="C10141">
        <v>6</v>
      </c>
      <c r="D10141" s="11">
        <v>42887</v>
      </c>
      <c r="E10141" t="s">
        <v>2178</v>
      </c>
      <c r="F10141">
        <v>4</v>
      </c>
      <c r="G10141" t="s">
        <v>53</v>
      </c>
      <c r="H10141" t="s">
        <v>43</v>
      </c>
      <c r="I10141" t="s">
        <v>2191</v>
      </c>
      <c r="J10141" s="10">
        <v>7</v>
      </c>
      <c r="K10141" t="b">
        <v>1</v>
      </c>
    </row>
    <row r="10142" spans="1:11">
      <c r="A10142" s="12">
        <v>42908</v>
      </c>
      <c r="B10142">
        <v>2017</v>
      </c>
      <c r="C10142">
        <v>6</v>
      </c>
      <c r="D10142" s="11">
        <v>42887</v>
      </c>
      <c r="E10142" t="s">
        <v>2178</v>
      </c>
      <c r="F10142">
        <v>4</v>
      </c>
      <c r="G10142" t="s">
        <v>53</v>
      </c>
      <c r="H10142" t="s">
        <v>44</v>
      </c>
      <c r="I10142" t="s">
        <v>2192</v>
      </c>
      <c r="J10142" s="10">
        <v>4</v>
      </c>
      <c r="K10142" t="b">
        <v>1</v>
      </c>
    </row>
    <row r="10143" spans="1:11">
      <c r="A10143" s="12">
        <v>42908</v>
      </c>
      <c r="B10143">
        <v>2017</v>
      </c>
      <c r="C10143">
        <v>6</v>
      </c>
      <c r="D10143" s="11">
        <v>42887</v>
      </c>
      <c r="E10143" t="s">
        <v>2178</v>
      </c>
      <c r="F10143">
        <v>4</v>
      </c>
      <c r="G10143" t="s">
        <v>53</v>
      </c>
      <c r="H10143" t="s">
        <v>45</v>
      </c>
      <c r="I10143" t="s">
        <v>2193</v>
      </c>
      <c r="J10143" s="10">
        <v>0</v>
      </c>
      <c r="K10143" t="b">
        <v>1</v>
      </c>
    </row>
    <row r="10144" spans="1:11">
      <c r="A10144" s="12">
        <v>42908</v>
      </c>
      <c r="B10144">
        <v>2017</v>
      </c>
      <c r="C10144">
        <v>6</v>
      </c>
      <c r="D10144" s="11">
        <v>42887</v>
      </c>
      <c r="E10144" t="s">
        <v>2178</v>
      </c>
      <c r="F10144">
        <v>4</v>
      </c>
      <c r="G10144" t="s">
        <v>53</v>
      </c>
      <c r="H10144" t="s">
        <v>46</v>
      </c>
      <c r="I10144" t="s">
        <v>2194</v>
      </c>
      <c r="J10144" s="10">
        <v>8</v>
      </c>
      <c r="K10144" t="b">
        <v>1</v>
      </c>
    </row>
    <row r="10145" spans="1:11">
      <c r="A10145" s="12">
        <v>42908</v>
      </c>
      <c r="B10145">
        <v>2017</v>
      </c>
      <c r="C10145">
        <v>6</v>
      </c>
      <c r="D10145" s="11">
        <v>42887</v>
      </c>
      <c r="E10145" t="s">
        <v>2178</v>
      </c>
      <c r="F10145">
        <v>4</v>
      </c>
      <c r="G10145" t="s">
        <v>53</v>
      </c>
      <c r="H10145" t="s">
        <v>47</v>
      </c>
      <c r="I10145" t="s">
        <v>2195</v>
      </c>
      <c r="J10145" s="10">
        <v>11</v>
      </c>
      <c r="K10145" t="b">
        <v>1</v>
      </c>
    </row>
    <row r="10146" spans="1:11">
      <c r="A10146" s="12">
        <v>42909</v>
      </c>
      <c r="B10146">
        <v>2017</v>
      </c>
      <c r="C10146">
        <v>6</v>
      </c>
      <c r="D10146" s="11">
        <v>42887</v>
      </c>
      <c r="E10146" t="s">
        <v>2178</v>
      </c>
      <c r="F10146">
        <v>5</v>
      </c>
      <c r="G10146" t="s">
        <v>55</v>
      </c>
      <c r="H10146" t="s">
        <v>40</v>
      </c>
      <c r="I10146" t="s">
        <v>2188</v>
      </c>
      <c r="J10146" s="10">
        <v>1</v>
      </c>
      <c r="K10146" t="b">
        <v>1</v>
      </c>
    </row>
    <row r="10147" spans="1:11">
      <c r="A10147" s="12">
        <v>42909</v>
      </c>
      <c r="B10147">
        <v>2017</v>
      </c>
      <c r="C10147">
        <v>6</v>
      </c>
      <c r="D10147" s="11">
        <v>42887</v>
      </c>
      <c r="E10147" t="s">
        <v>2178</v>
      </c>
      <c r="F10147">
        <v>5</v>
      </c>
      <c r="G10147" t="s">
        <v>55</v>
      </c>
      <c r="H10147" t="s">
        <v>41</v>
      </c>
      <c r="I10147" t="s">
        <v>2189</v>
      </c>
      <c r="J10147" s="10">
        <v>1.34</v>
      </c>
      <c r="K10147" t="b">
        <v>1</v>
      </c>
    </row>
    <row r="10148" spans="1:11">
      <c r="A10148" s="12">
        <v>42909</v>
      </c>
      <c r="B10148">
        <v>2017</v>
      </c>
      <c r="C10148">
        <v>6</v>
      </c>
      <c r="D10148" s="11">
        <v>42887</v>
      </c>
      <c r="E10148" t="s">
        <v>2178</v>
      </c>
      <c r="F10148">
        <v>5</v>
      </c>
      <c r="G10148" t="s">
        <v>55</v>
      </c>
      <c r="H10148" t="s">
        <v>42</v>
      </c>
      <c r="I10148" t="s">
        <v>2190</v>
      </c>
      <c r="J10148" s="10">
        <v>2</v>
      </c>
      <c r="K10148" t="b">
        <v>1</v>
      </c>
    </row>
    <row r="10149" spans="1:11">
      <c r="A10149" s="12">
        <v>42909</v>
      </c>
      <c r="B10149">
        <v>2017</v>
      </c>
      <c r="C10149">
        <v>6</v>
      </c>
      <c r="D10149" s="11">
        <v>42887</v>
      </c>
      <c r="E10149" t="s">
        <v>2178</v>
      </c>
      <c r="F10149">
        <v>5</v>
      </c>
      <c r="G10149" t="s">
        <v>55</v>
      </c>
      <c r="H10149" t="s">
        <v>43</v>
      </c>
      <c r="I10149" t="s">
        <v>2191</v>
      </c>
      <c r="J10149" s="10">
        <v>16</v>
      </c>
      <c r="K10149" t="b">
        <v>1</v>
      </c>
    </row>
    <row r="10150" spans="1:11">
      <c r="A10150" s="12">
        <v>42909</v>
      </c>
      <c r="B10150">
        <v>2017</v>
      </c>
      <c r="C10150">
        <v>6</v>
      </c>
      <c r="D10150" s="11">
        <v>42887</v>
      </c>
      <c r="E10150" t="s">
        <v>2178</v>
      </c>
      <c r="F10150">
        <v>5</v>
      </c>
      <c r="G10150" t="s">
        <v>55</v>
      </c>
      <c r="H10150" t="s">
        <v>44</v>
      </c>
      <c r="I10150" t="s">
        <v>2192</v>
      </c>
      <c r="J10150" s="10">
        <v>5</v>
      </c>
      <c r="K10150" t="b">
        <v>1</v>
      </c>
    </row>
    <row r="10151" spans="1:11">
      <c r="A10151" s="12">
        <v>42909</v>
      </c>
      <c r="B10151">
        <v>2017</v>
      </c>
      <c r="C10151">
        <v>6</v>
      </c>
      <c r="D10151" s="11">
        <v>42887</v>
      </c>
      <c r="E10151" t="s">
        <v>2178</v>
      </c>
      <c r="F10151">
        <v>5</v>
      </c>
      <c r="G10151" t="s">
        <v>55</v>
      </c>
      <c r="H10151" t="s">
        <v>45</v>
      </c>
      <c r="I10151" t="s">
        <v>2193</v>
      </c>
      <c r="J10151" s="10">
        <v>0</v>
      </c>
      <c r="K10151" t="b">
        <v>1</v>
      </c>
    </row>
    <row r="10152" spans="1:11">
      <c r="A10152" s="12">
        <v>42909</v>
      </c>
      <c r="B10152">
        <v>2017</v>
      </c>
      <c r="C10152">
        <v>6</v>
      </c>
      <c r="D10152" s="11">
        <v>42887</v>
      </c>
      <c r="E10152" t="s">
        <v>2178</v>
      </c>
      <c r="F10152">
        <v>5</v>
      </c>
      <c r="G10152" t="s">
        <v>55</v>
      </c>
      <c r="H10152" t="s">
        <v>46</v>
      </c>
      <c r="I10152" t="s">
        <v>2194</v>
      </c>
      <c r="J10152" s="10">
        <v>0</v>
      </c>
      <c r="K10152" t="b">
        <v>1</v>
      </c>
    </row>
    <row r="10153" spans="1:11">
      <c r="A10153" s="12">
        <v>42909</v>
      </c>
      <c r="B10153">
        <v>2017</v>
      </c>
      <c r="C10153">
        <v>6</v>
      </c>
      <c r="D10153" s="11">
        <v>42887</v>
      </c>
      <c r="E10153" t="s">
        <v>2178</v>
      </c>
      <c r="F10153">
        <v>5</v>
      </c>
      <c r="G10153" t="s">
        <v>55</v>
      </c>
      <c r="H10153" t="s">
        <v>47</v>
      </c>
      <c r="I10153" t="s">
        <v>2195</v>
      </c>
      <c r="J10153" s="10">
        <v>1.2</v>
      </c>
      <c r="K10153" t="b">
        <v>1</v>
      </c>
    </row>
    <row r="10154" spans="1:11">
      <c r="A10154" s="12">
        <v>42910</v>
      </c>
      <c r="B10154">
        <v>2017</v>
      </c>
      <c r="C10154">
        <v>6</v>
      </c>
      <c r="D10154" s="11">
        <v>42887</v>
      </c>
      <c r="E10154" t="s">
        <v>2178</v>
      </c>
      <c r="F10154">
        <v>6</v>
      </c>
      <c r="G10154" t="s">
        <v>57</v>
      </c>
      <c r="H10154" t="s">
        <v>40</v>
      </c>
      <c r="I10154" t="s">
        <v>2188</v>
      </c>
      <c r="J10154" s="10">
        <v>5</v>
      </c>
      <c r="K10154" t="b">
        <v>1</v>
      </c>
    </row>
    <row r="10155" spans="1:11">
      <c r="A10155" s="12">
        <v>42910</v>
      </c>
      <c r="B10155">
        <v>2017</v>
      </c>
      <c r="C10155">
        <v>6</v>
      </c>
      <c r="D10155" s="11">
        <v>42887</v>
      </c>
      <c r="E10155" t="s">
        <v>2178</v>
      </c>
      <c r="F10155">
        <v>6</v>
      </c>
      <c r="G10155" t="s">
        <v>57</v>
      </c>
      <c r="H10155" t="s">
        <v>41</v>
      </c>
      <c r="I10155" t="s">
        <v>2189</v>
      </c>
      <c r="J10155" s="10">
        <v>3.65</v>
      </c>
      <c r="K10155" t="b">
        <v>1</v>
      </c>
    </row>
    <row r="10156" spans="1:11">
      <c r="A10156" s="12">
        <v>42910</v>
      </c>
      <c r="B10156">
        <v>2017</v>
      </c>
      <c r="C10156">
        <v>6</v>
      </c>
      <c r="D10156" s="11">
        <v>42887</v>
      </c>
      <c r="E10156" t="s">
        <v>2178</v>
      </c>
      <c r="F10156">
        <v>6</v>
      </c>
      <c r="G10156" t="s">
        <v>57</v>
      </c>
      <c r="H10156" t="s">
        <v>42</v>
      </c>
      <c r="I10156" t="s">
        <v>2190</v>
      </c>
      <c r="J10156" s="10">
        <v>6</v>
      </c>
      <c r="K10156" t="b">
        <v>1</v>
      </c>
    </row>
    <row r="10157" spans="1:11">
      <c r="A10157" s="12">
        <v>42910</v>
      </c>
      <c r="B10157">
        <v>2017</v>
      </c>
      <c r="C10157">
        <v>6</v>
      </c>
      <c r="D10157" s="11">
        <v>42887</v>
      </c>
      <c r="E10157" t="s">
        <v>2178</v>
      </c>
      <c r="F10157">
        <v>6</v>
      </c>
      <c r="G10157" t="s">
        <v>57</v>
      </c>
      <c r="H10157" t="s">
        <v>43</v>
      </c>
      <c r="I10157" t="s">
        <v>2191</v>
      </c>
      <c r="J10157" s="10">
        <v>32</v>
      </c>
      <c r="K10157" t="b">
        <v>1</v>
      </c>
    </row>
    <row r="10158" spans="1:11">
      <c r="A10158" s="12">
        <v>42910</v>
      </c>
      <c r="B10158">
        <v>2017</v>
      </c>
      <c r="C10158">
        <v>6</v>
      </c>
      <c r="D10158" s="11">
        <v>42887</v>
      </c>
      <c r="E10158" t="s">
        <v>2178</v>
      </c>
      <c r="F10158">
        <v>6</v>
      </c>
      <c r="G10158" t="s">
        <v>57</v>
      </c>
      <c r="H10158" t="s">
        <v>44</v>
      </c>
      <c r="I10158" t="s">
        <v>2192</v>
      </c>
      <c r="J10158" s="10">
        <v>8</v>
      </c>
      <c r="K10158" t="b">
        <v>1</v>
      </c>
    </row>
    <row r="10159" spans="1:11">
      <c r="A10159" s="12">
        <v>42910</v>
      </c>
      <c r="B10159">
        <v>2017</v>
      </c>
      <c r="C10159">
        <v>6</v>
      </c>
      <c r="D10159" s="11">
        <v>42887</v>
      </c>
      <c r="E10159" t="s">
        <v>2178</v>
      </c>
      <c r="F10159">
        <v>6</v>
      </c>
      <c r="G10159" t="s">
        <v>57</v>
      </c>
      <c r="H10159" t="s">
        <v>45</v>
      </c>
      <c r="I10159" t="s">
        <v>2193</v>
      </c>
      <c r="J10159" s="10">
        <v>1</v>
      </c>
      <c r="K10159" t="b">
        <v>1</v>
      </c>
    </row>
    <row r="10160" spans="1:11">
      <c r="A10160" s="12">
        <v>42910</v>
      </c>
      <c r="B10160">
        <v>2017</v>
      </c>
      <c r="C10160">
        <v>6</v>
      </c>
      <c r="D10160" s="11">
        <v>42887</v>
      </c>
      <c r="E10160" t="s">
        <v>2178</v>
      </c>
      <c r="F10160">
        <v>6</v>
      </c>
      <c r="G10160" t="s">
        <v>57</v>
      </c>
      <c r="H10160" t="s">
        <v>46</v>
      </c>
      <c r="I10160" t="s">
        <v>2194</v>
      </c>
      <c r="J10160" s="10">
        <v>0</v>
      </c>
      <c r="K10160" t="b">
        <v>1</v>
      </c>
    </row>
    <row r="10161" spans="1:11">
      <c r="A10161" s="12">
        <v>42910</v>
      </c>
      <c r="B10161">
        <v>2017</v>
      </c>
      <c r="C10161">
        <v>6</v>
      </c>
      <c r="D10161" s="11">
        <v>42887</v>
      </c>
      <c r="E10161" t="s">
        <v>2178</v>
      </c>
      <c r="F10161">
        <v>6</v>
      </c>
      <c r="G10161" t="s">
        <v>57</v>
      </c>
      <c r="H10161" t="s">
        <v>47</v>
      </c>
      <c r="I10161" t="s">
        <v>2195</v>
      </c>
      <c r="J10161" s="10">
        <v>1</v>
      </c>
      <c r="K10161" t="b">
        <v>1</v>
      </c>
    </row>
    <row r="10162" spans="1:11">
      <c r="A10162" s="12">
        <v>42911</v>
      </c>
      <c r="B10162">
        <v>2017</v>
      </c>
      <c r="C10162">
        <v>6</v>
      </c>
      <c r="D10162" s="11">
        <v>42887</v>
      </c>
      <c r="E10162" t="s">
        <v>2178</v>
      </c>
      <c r="F10162">
        <v>7</v>
      </c>
      <c r="G10162" t="s">
        <v>59</v>
      </c>
      <c r="H10162" t="s">
        <v>40</v>
      </c>
      <c r="I10162" t="s">
        <v>2188</v>
      </c>
      <c r="J10162" s="10">
        <v>6.5</v>
      </c>
      <c r="K10162" t="b">
        <v>1</v>
      </c>
    </row>
    <row r="10163" spans="1:11">
      <c r="A10163" s="12">
        <v>42911</v>
      </c>
      <c r="B10163">
        <v>2017</v>
      </c>
      <c r="C10163">
        <v>6</v>
      </c>
      <c r="D10163" s="11">
        <v>42887</v>
      </c>
      <c r="E10163" t="s">
        <v>2178</v>
      </c>
      <c r="F10163">
        <v>7</v>
      </c>
      <c r="G10163" t="s">
        <v>59</v>
      </c>
      <c r="H10163" t="s">
        <v>41</v>
      </c>
      <c r="I10163" t="s">
        <v>2189</v>
      </c>
      <c r="J10163" s="10">
        <v>2.34</v>
      </c>
      <c r="K10163" t="b">
        <v>1</v>
      </c>
    </row>
    <row r="10164" spans="1:11">
      <c r="A10164" s="12">
        <v>42911</v>
      </c>
      <c r="B10164">
        <v>2017</v>
      </c>
      <c r="C10164">
        <v>6</v>
      </c>
      <c r="D10164" s="11">
        <v>42887</v>
      </c>
      <c r="E10164" t="s">
        <v>2178</v>
      </c>
      <c r="F10164">
        <v>7</v>
      </c>
      <c r="G10164" t="s">
        <v>59</v>
      </c>
      <c r="H10164" t="s">
        <v>42</v>
      </c>
      <c r="I10164" t="s">
        <v>2190</v>
      </c>
      <c r="J10164" s="10">
        <v>6</v>
      </c>
      <c r="K10164" t="b">
        <v>1</v>
      </c>
    </row>
    <row r="10165" spans="1:11">
      <c r="A10165" s="12">
        <v>42911</v>
      </c>
      <c r="B10165">
        <v>2017</v>
      </c>
      <c r="C10165">
        <v>6</v>
      </c>
      <c r="D10165" s="11">
        <v>42887</v>
      </c>
      <c r="E10165" t="s">
        <v>2178</v>
      </c>
      <c r="F10165">
        <v>7</v>
      </c>
      <c r="G10165" t="s">
        <v>59</v>
      </c>
      <c r="H10165" t="s">
        <v>43</v>
      </c>
      <c r="I10165" t="s">
        <v>2191</v>
      </c>
      <c r="J10165" s="10">
        <v>22</v>
      </c>
      <c r="K10165" t="b">
        <v>1</v>
      </c>
    </row>
    <row r="10166" spans="1:11">
      <c r="A10166" s="12">
        <v>42911</v>
      </c>
      <c r="B10166">
        <v>2017</v>
      </c>
      <c r="C10166">
        <v>6</v>
      </c>
      <c r="D10166" s="11">
        <v>42887</v>
      </c>
      <c r="E10166" t="s">
        <v>2178</v>
      </c>
      <c r="F10166">
        <v>7</v>
      </c>
      <c r="G10166" t="s">
        <v>59</v>
      </c>
      <c r="H10166" t="s">
        <v>44</v>
      </c>
      <c r="I10166" t="s">
        <v>2192</v>
      </c>
      <c r="J10166" s="10">
        <v>4</v>
      </c>
      <c r="K10166" t="b">
        <v>1</v>
      </c>
    </row>
    <row r="10167" spans="1:11">
      <c r="A10167" s="12">
        <v>42911</v>
      </c>
      <c r="B10167">
        <v>2017</v>
      </c>
      <c r="C10167">
        <v>6</v>
      </c>
      <c r="D10167" s="11">
        <v>42887</v>
      </c>
      <c r="E10167" t="s">
        <v>2178</v>
      </c>
      <c r="F10167">
        <v>7</v>
      </c>
      <c r="G10167" t="s">
        <v>59</v>
      </c>
      <c r="H10167" t="s">
        <v>45</v>
      </c>
      <c r="I10167" t="s">
        <v>2193</v>
      </c>
      <c r="J10167" s="10">
        <v>0</v>
      </c>
      <c r="K10167" t="b">
        <v>1</v>
      </c>
    </row>
    <row r="10168" spans="1:11">
      <c r="A10168" s="12">
        <v>42911</v>
      </c>
      <c r="B10168">
        <v>2017</v>
      </c>
      <c r="C10168">
        <v>6</v>
      </c>
      <c r="D10168" s="11">
        <v>42887</v>
      </c>
      <c r="E10168" t="s">
        <v>2178</v>
      </c>
      <c r="F10168">
        <v>7</v>
      </c>
      <c r="G10168" t="s">
        <v>59</v>
      </c>
      <c r="H10168" t="s">
        <v>46</v>
      </c>
      <c r="I10168" t="s">
        <v>2194</v>
      </c>
      <c r="J10168" s="10">
        <v>0</v>
      </c>
      <c r="K10168" t="b">
        <v>1</v>
      </c>
    </row>
    <row r="10169" spans="1:11">
      <c r="A10169" s="12">
        <v>42911</v>
      </c>
      <c r="B10169">
        <v>2017</v>
      </c>
      <c r="C10169">
        <v>6</v>
      </c>
      <c r="D10169" s="11">
        <v>42887</v>
      </c>
      <c r="E10169" t="s">
        <v>2178</v>
      </c>
      <c r="F10169">
        <v>7</v>
      </c>
      <c r="G10169" t="s">
        <v>59</v>
      </c>
      <c r="H10169" t="s">
        <v>47</v>
      </c>
      <c r="I10169" t="s">
        <v>2195</v>
      </c>
      <c r="J10169" s="10">
        <v>4.6</v>
      </c>
      <c r="K10169" t="b">
        <v>1</v>
      </c>
    </row>
    <row r="10170" spans="1:11">
      <c r="A10170" s="12">
        <v>42912</v>
      </c>
      <c r="B10170">
        <v>2017</v>
      </c>
      <c r="C10170">
        <v>6</v>
      </c>
      <c r="D10170" s="11">
        <v>42887</v>
      </c>
      <c r="E10170" t="s">
        <v>2178</v>
      </c>
      <c r="F10170">
        <v>1</v>
      </c>
      <c r="G10170" t="s">
        <v>61</v>
      </c>
      <c r="H10170" t="s">
        <v>40</v>
      </c>
      <c r="I10170" t="s">
        <v>2188</v>
      </c>
      <c r="J10170" s="10">
        <v>7.68</v>
      </c>
      <c r="K10170" t="b">
        <v>1</v>
      </c>
    </row>
    <row r="10171" spans="1:11">
      <c r="A10171" s="12">
        <v>42912</v>
      </c>
      <c r="B10171">
        <v>2017</v>
      </c>
      <c r="C10171">
        <v>6</v>
      </c>
      <c r="D10171" s="11">
        <v>42887</v>
      </c>
      <c r="E10171" t="s">
        <v>2178</v>
      </c>
      <c r="F10171">
        <v>1</v>
      </c>
      <c r="G10171" t="s">
        <v>61</v>
      </c>
      <c r="H10171" t="s">
        <v>41</v>
      </c>
      <c r="I10171" t="s">
        <v>2189</v>
      </c>
      <c r="J10171" s="10">
        <v>3.033</v>
      </c>
      <c r="K10171" t="b">
        <v>1</v>
      </c>
    </row>
    <row r="10172" spans="1:11">
      <c r="A10172" s="12">
        <v>42912</v>
      </c>
      <c r="B10172">
        <v>2017</v>
      </c>
      <c r="C10172">
        <v>6</v>
      </c>
      <c r="D10172" s="11">
        <v>42887</v>
      </c>
      <c r="E10172" t="s">
        <v>2178</v>
      </c>
      <c r="F10172">
        <v>1</v>
      </c>
      <c r="G10172" t="s">
        <v>61</v>
      </c>
      <c r="H10172" t="s">
        <v>42</v>
      </c>
      <c r="I10172" t="s">
        <v>2190</v>
      </c>
      <c r="J10172" s="10">
        <v>6.25</v>
      </c>
      <c r="K10172" t="b">
        <v>1</v>
      </c>
    </row>
    <row r="10173" spans="1:11">
      <c r="A10173" s="12">
        <v>42912</v>
      </c>
      <c r="B10173">
        <v>2017</v>
      </c>
      <c r="C10173">
        <v>6</v>
      </c>
      <c r="D10173" s="11">
        <v>42887</v>
      </c>
      <c r="E10173" t="s">
        <v>2178</v>
      </c>
      <c r="F10173">
        <v>1</v>
      </c>
      <c r="G10173" t="s">
        <v>61</v>
      </c>
      <c r="H10173" t="s">
        <v>43</v>
      </c>
      <c r="I10173" t="s">
        <v>2191</v>
      </c>
      <c r="J10173" s="10">
        <v>10</v>
      </c>
      <c r="K10173" t="b">
        <v>1</v>
      </c>
    </row>
    <row r="10174" spans="1:11">
      <c r="A10174" s="12">
        <v>42912</v>
      </c>
      <c r="B10174">
        <v>2017</v>
      </c>
      <c r="C10174">
        <v>6</v>
      </c>
      <c r="D10174" s="11">
        <v>42887</v>
      </c>
      <c r="E10174" t="s">
        <v>2178</v>
      </c>
      <c r="F10174">
        <v>1</v>
      </c>
      <c r="G10174" t="s">
        <v>61</v>
      </c>
      <c r="H10174" t="s">
        <v>44</v>
      </c>
      <c r="I10174" t="s">
        <v>2192</v>
      </c>
      <c r="J10174" s="10">
        <v>11</v>
      </c>
      <c r="K10174" t="b">
        <v>1</v>
      </c>
    </row>
    <row r="10175" spans="1:11">
      <c r="A10175" s="12">
        <v>42912</v>
      </c>
      <c r="B10175">
        <v>2017</v>
      </c>
      <c r="C10175">
        <v>6</v>
      </c>
      <c r="D10175" s="11">
        <v>42887</v>
      </c>
      <c r="E10175" t="s">
        <v>2178</v>
      </c>
      <c r="F10175">
        <v>1</v>
      </c>
      <c r="G10175" t="s">
        <v>61</v>
      </c>
      <c r="H10175" t="s">
        <v>45</v>
      </c>
      <c r="I10175" t="s">
        <v>2193</v>
      </c>
      <c r="J10175" s="10">
        <v>0</v>
      </c>
      <c r="K10175" t="b">
        <v>1</v>
      </c>
    </row>
    <row r="10176" spans="1:11">
      <c r="A10176" s="12">
        <v>42912</v>
      </c>
      <c r="B10176">
        <v>2017</v>
      </c>
      <c r="C10176">
        <v>6</v>
      </c>
      <c r="D10176" s="11">
        <v>42887</v>
      </c>
      <c r="E10176" t="s">
        <v>2178</v>
      </c>
      <c r="F10176">
        <v>1</v>
      </c>
      <c r="G10176" t="s">
        <v>61</v>
      </c>
      <c r="H10176" t="s">
        <v>46</v>
      </c>
      <c r="I10176" t="s">
        <v>2194</v>
      </c>
      <c r="J10176" s="10">
        <v>0</v>
      </c>
      <c r="K10176" t="b">
        <v>1</v>
      </c>
    </row>
    <row r="10177" spans="1:11">
      <c r="A10177" s="12">
        <v>42912</v>
      </c>
      <c r="B10177">
        <v>2017</v>
      </c>
      <c r="C10177">
        <v>6</v>
      </c>
      <c r="D10177" s="11">
        <v>42887</v>
      </c>
      <c r="E10177" t="s">
        <v>2178</v>
      </c>
      <c r="F10177">
        <v>1</v>
      </c>
      <c r="G10177" t="s">
        <v>61</v>
      </c>
      <c r="H10177" t="s">
        <v>47</v>
      </c>
      <c r="I10177" t="s">
        <v>2195</v>
      </c>
      <c r="J10177" s="10">
        <v>3</v>
      </c>
      <c r="K10177" t="b">
        <v>1</v>
      </c>
    </row>
    <row r="10178" spans="1:11">
      <c r="A10178" s="12">
        <v>42913</v>
      </c>
      <c r="B10178">
        <v>2017</v>
      </c>
      <c r="C10178">
        <v>6</v>
      </c>
      <c r="D10178" s="11">
        <v>42887</v>
      </c>
      <c r="E10178" t="s">
        <v>2178</v>
      </c>
      <c r="F10178">
        <v>2</v>
      </c>
      <c r="G10178" t="s">
        <v>63</v>
      </c>
      <c r="H10178" t="s">
        <v>40</v>
      </c>
      <c r="I10178" t="s">
        <v>2188</v>
      </c>
      <c r="J10178" s="10">
        <v>4</v>
      </c>
      <c r="K10178" t="b">
        <v>1</v>
      </c>
    </row>
    <row r="10179" spans="1:11">
      <c r="A10179" s="12">
        <v>42913</v>
      </c>
      <c r="B10179">
        <v>2017</v>
      </c>
      <c r="C10179">
        <v>6</v>
      </c>
      <c r="D10179" s="11">
        <v>42887</v>
      </c>
      <c r="E10179" t="s">
        <v>2178</v>
      </c>
      <c r="F10179">
        <v>2</v>
      </c>
      <c r="G10179" t="s">
        <v>63</v>
      </c>
      <c r="H10179" t="s">
        <v>41</v>
      </c>
      <c r="I10179" t="s">
        <v>2189</v>
      </c>
      <c r="J10179" s="10">
        <v>3.32</v>
      </c>
      <c r="K10179" t="b">
        <v>1</v>
      </c>
    </row>
    <row r="10180" spans="1:11">
      <c r="A10180" s="12">
        <v>42913</v>
      </c>
      <c r="B10180">
        <v>2017</v>
      </c>
      <c r="C10180">
        <v>6</v>
      </c>
      <c r="D10180" s="11">
        <v>42887</v>
      </c>
      <c r="E10180" t="s">
        <v>2178</v>
      </c>
      <c r="F10180">
        <v>2</v>
      </c>
      <c r="G10180" t="s">
        <v>63</v>
      </c>
      <c r="H10180" t="s">
        <v>42</v>
      </c>
      <c r="I10180" t="s">
        <v>2190</v>
      </c>
      <c r="J10180" s="10">
        <v>6</v>
      </c>
      <c r="K10180" t="b">
        <v>1</v>
      </c>
    </row>
    <row r="10181" spans="1:11">
      <c r="A10181" s="12">
        <v>42913</v>
      </c>
      <c r="B10181">
        <v>2017</v>
      </c>
      <c r="C10181">
        <v>6</v>
      </c>
      <c r="D10181" s="11">
        <v>42887</v>
      </c>
      <c r="E10181" t="s">
        <v>2178</v>
      </c>
      <c r="F10181">
        <v>2</v>
      </c>
      <c r="G10181" t="s">
        <v>63</v>
      </c>
      <c r="H10181" t="s">
        <v>43</v>
      </c>
      <c r="I10181" t="s">
        <v>2191</v>
      </c>
      <c r="J10181" s="10">
        <v>13.5</v>
      </c>
      <c r="K10181" t="b">
        <v>1</v>
      </c>
    </row>
    <row r="10182" spans="1:11">
      <c r="A10182" s="12">
        <v>42913</v>
      </c>
      <c r="B10182">
        <v>2017</v>
      </c>
      <c r="C10182">
        <v>6</v>
      </c>
      <c r="D10182" s="11">
        <v>42887</v>
      </c>
      <c r="E10182" t="s">
        <v>2178</v>
      </c>
      <c r="F10182">
        <v>2</v>
      </c>
      <c r="G10182" t="s">
        <v>63</v>
      </c>
      <c r="H10182" t="s">
        <v>44</v>
      </c>
      <c r="I10182" t="s">
        <v>2192</v>
      </c>
      <c r="J10182" s="10">
        <v>9</v>
      </c>
      <c r="K10182" t="b">
        <v>1</v>
      </c>
    </row>
    <row r="10183" spans="1:11">
      <c r="A10183" s="12">
        <v>42913</v>
      </c>
      <c r="B10183">
        <v>2017</v>
      </c>
      <c r="C10183">
        <v>6</v>
      </c>
      <c r="D10183" s="11">
        <v>42887</v>
      </c>
      <c r="E10183" t="s">
        <v>2178</v>
      </c>
      <c r="F10183">
        <v>2</v>
      </c>
      <c r="G10183" t="s">
        <v>63</v>
      </c>
      <c r="H10183" t="s">
        <v>45</v>
      </c>
      <c r="I10183" t="s">
        <v>2193</v>
      </c>
      <c r="J10183" s="10">
        <v>0</v>
      </c>
      <c r="K10183" t="b">
        <v>1</v>
      </c>
    </row>
    <row r="10184" spans="1:11">
      <c r="A10184" s="12">
        <v>42913</v>
      </c>
      <c r="B10184">
        <v>2017</v>
      </c>
      <c r="C10184">
        <v>6</v>
      </c>
      <c r="D10184" s="11">
        <v>42887</v>
      </c>
      <c r="E10184" t="s">
        <v>2178</v>
      </c>
      <c r="F10184">
        <v>2</v>
      </c>
      <c r="G10184" t="s">
        <v>63</v>
      </c>
      <c r="H10184" t="s">
        <v>46</v>
      </c>
      <c r="I10184" t="s">
        <v>2194</v>
      </c>
      <c r="J10184" s="10">
        <v>3</v>
      </c>
      <c r="K10184" t="b">
        <v>1</v>
      </c>
    </row>
    <row r="10185" spans="1:11">
      <c r="A10185" s="12">
        <v>42913</v>
      </c>
      <c r="B10185">
        <v>2017</v>
      </c>
      <c r="C10185">
        <v>6</v>
      </c>
      <c r="D10185" s="11">
        <v>42887</v>
      </c>
      <c r="E10185" t="s">
        <v>2178</v>
      </c>
      <c r="F10185">
        <v>2</v>
      </c>
      <c r="G10185" t="s">
        <v>63</v>
      </c>
      <c r="H10185" t="s">
        <v>47</v>
      </c>
      <c r="I10185" t="s">
        <v>2195</v>
      </c>
      <c r="J10185" s="10">
        <v>6</v>
      </c>
      <c r="K10185" t="b">
        <v>1</v>
      </c>
    </row>
    <row r="10186" spans="1:11">
      <c r="A10186" s="12">
        <v>42914</v>
      </c>
      <c r="B10186">
        <v>2017</v>
      </c>
      <c r="C10186">
        <v>6</v>
      </c>
      <c r="D10186" s="11">
        <v>42887</v>
      </c>
      <c r="E10186" t="s">
        <v>2178</v>
      </c>
      <c r="F10186">
        <v>3</v>
      </c>
      <c r="G10186" t="s">
        <v>65</v>
      </c>
      <c r="H10186" t="s">
        <v>40</v>
      </c>
      <c r="I10186" t="s">
        <v>2188</v>
      </c>
      <c r="J10186" s="10">
        <v>4</v>
      </c>
      <c r="K10186" t="b">
        <v>1</v>
      </c>
    </row>
    <row r="10187" spans="1:11">
      <c r="A10187" s="12">
        <v>42914</v>
      </c>
      <c r="B10187">
        <v>2017</v>
      </c>
      <c r="C10187">
        <v>6</v>
      </c>
      <c r="D10187" s="11">
        <v>42887</v>
      </c>
      <c r="E10187" t="s">
        <v>2178</v>
      </c>
      <c r="F10187">
        <v>3</v>
      </c>
      <c r="G10187" t="s">
        <v>65</v>
      </c>
      <c r="H10187" t="s">
        <v>41</v>
      </c>
      <c r="I10187" t="s">
        <v>2189</v>
      </c>
      <c r="J10187" s="10">
        <v>4.033</v>
      </c>
      <c r="K10187" t="b">
        <v>1</v>
      </c>
    </row>
    <row r="10188" spans="1:11">
      <c r="A10188" s="12">
        <v>42914</v>
      </c>
      <c r="B10188">
        <v>2017</v>
      </c>
      <c r="C10188">
        <v>6</v>
      </c>
      <c r="D10188" s="11">
        <v>42887</v>
      </c>
      <c r="E10188" t="s">
        <v>2178</v>
      </c>
      <c r="F10188">
        <v>3</v>
      </c>
      <c r="G10188" t="s">
        <v>65</v>
      </c>
      <c r="H10188" t="s">
        <v>42</v>
      </c>
      <c r="I10188" t="s">
        <v>2190</v>
      </c>
      <c r="J10188" s="10">
        <v>4.5</v>
      </c>
      <c r="K10188" t="b">
        <v>1</v>
      </c>
    </row>
    <row r="10189" spans="1:11">
      <c r="A10189" s="12">
        <v>42914</v>
      </c>
      <c r="B10189">
        <v>2017</v>
      </c>
      <c r="C10189">
        <v>6</v>
      </c>
      <c r="D10189" s="11">
        <v>42887</v>
      </c>
      <c r="E10189" t="s">
        <v>2178</v>
      </c>
      <c r="F10189">
        <v>3</v>
      </c>
      <c r="G10189" t="s">
        <v>65</v>
      </c>
      <c r="H10189" t="s">
        <v>43</v>
      </c>
      <c r="I10189" t="s">
        <v>2191</v>
      </c>
      <c r="J10189" s="10">
        <v>18</v>
      </c>
      <c r="K10189" t="b">
        <v>1</v>
      </c>
    </row>
    <row r="10190" spans="1:11">
      <c r="A10190" s="12">
        <v>42914</v>
      </c>
      <c r="B10190">
        <v>2017</v>
      </c>
      <c r="C10190">
        <v>6</v>
      </c>
      <c r="D10190" s="11">
        <v>42887</v>
      </c>
      <c r="E10190" t="s">
        <v>2178</v>
      </c>
      <c r="F10190">
        <v>3</v>
      </c>
      <c r="G10190" t="s">
        <v>65</v>
      </c>
      <c r="H10190" t="s">
        <v>44</v>
      </c>
      <c r="I10190" t="s">
        <v>2192</v>
      </c>
      <c r="J10190" s="10">
        <v>7</v>
      </c>
      <c r="K10190" t="b">
        <v>1</v>
      </c>
    </row>
    <row r="10191" spans="1:11">
      <c r="A10191" s="12">
        <v>42914</v>
      </c>
      <c r="B10191">
        <v>2017</v>
      </c>
      <c r="C10191">
        <v>6</v>
      </c>
      <c r="D10191" s="11">
        <v>42887</v>
      </c>
      <c r="E10191" t="s">
        <v>2178</v>
      </c>
      <c r="F10191">
        <v>3</v>
      </c>
      <c r="G10191" t="s">
        <v>65</v>
      </c>
      <c r="H10191" t="s">
        <v>45</v>
      </c>
      <c r="I10191" t="s">
        <v>2193</v>
      </c>
      <c r="J10191" s="10">
        <v>0</v>
      </c>
      <c r="K10191" t="b">
        <v>1</v>
      </c>
    </row>
    <row r="10192" spans="1:11">
      <c r="A10192" s="12">
        <v>42914</v>
      </c>
      <c r="B10192">
        <v>2017</v>
      </c>
      <c r="C10192">
        <v>6</v>
      </c>
      <c r="D10192" s="11">
        <v>42887</v>
      </c>
      <c r="E10192" t="s">
        <v>2178</v>
      </c>
      <c r="F10192">
        <v>3</v>
      </c>
      <c r="G10192" t="s">
        <v>65</v>
      </c>
      <c r="H10192" t="s">
        <v>46</v>
      </c>
      <c r="I10192" t="s">
        <v>2194</v>
      </c>
      <c r="J10192" s="10">
        <v>5</v>
      </c>
      <c r="K10192" t="b">
        <v>1</v>
      </c>
    </row>
    <row r="10193" spans="1:11">
      <c r="A10193" s="12">
        <v>42914</v>
      </c>
      <c r="B10193">
        <v>2017</v>
      </c>
      <c r="C10193">
        <v>6</v>
      </c>
      <c r="D10193" s="11">
        <v>42887</v>
      </c>
      <c r="E10193" t="s">
        <v>2178</v>
      </c>
      <c r="F10193">
        <v>3</v>
      </c>
      <c r="G10193" t="s">
        <v>65</v>
      </c>
      <c r="H10193" t="s">
        <v>47</v>
      </c>
      <c r="I10193" t="s">
        <v>2195</v>
      </c>
      <c r="J10193" s="10">
        <v>3</v>
      </c>
      <c r="K10193" t="b">
        <v>1</v>
      </c>
    </row>
    <row r="10194" spans="1:11">
      <c r="A10194" s="12">
        <v>42915</v>
      </c>
      <c r="B10194">
        <v>2017</v>
      </c>
      <c r="C10194">
        <v>6</v>
      </c>
      <c r="D10194" s="11">
        <v>42887</v>
      </c>
      <c r="E10194" t="s">
        <v>2178</v>
      </c>
      <c r="F10194">
        <v>4</v>
      </c>
      <c r="G10194" t="s">
        <v>53</v>
      </c>
      <c r="H10194" t="s">
        <v>40</v>
      </c>
      <c r="I10194" t="s">
        <v>2188</v>
      </c>
      <c r="J10194" s="10">
        <v>4</v>
      </c>
      <c r="K10194" t="b">
        <v>1</v>
      </c>
    </row>
    <row r="10195" spans="1:11">
      <c r="A10195" s="12">
        <v>42915</v>
      </c>
      <c r="B10195">
        <v>2017</v>
      </c>
      <c r="C10195">
        <v>6</v>
      </c>
      <c r="D10195" s="11">
        <v>42887</v>
      </c>
      <c r="E10195" t="s">
        <v>2178</v>
      </c>
      <c r="F10195">
        <v>4</v>
      </c>
      <c r="G10195" t="s">
        <v>53</v>
      </c>
      <c r="H10195" t="s">
        <v>41</v>
      </c>
      <c r="I10195" t="s">
        <v>2189</v>
      </c>
      <c r="J10195" s="10">
        <v>3.67</v>
      </c>
      <c r="K10195" t="b">
        <v>1</v>
      </c>
    </row>
    <row r="10196" spans="1:11">
      <c r="A10196" s="12">
        <v>42915</v>
      </c>
      <c r="B10196">
        <v>2017</v>
      </c>
      <c r="C10196">
        <v>6</v>
      </c>
      <c r="D10196" s="11">
        <v>42887</v>
      </c>
      <c r="E10196" t="s">
        <v>2178</v>
      </c>
      <c r="F10196">
        <v>4</v>
      </c>
      <c r="G10196" t="s">
        <v>53</v>
      </c>
      <c r="H10196" t="s">
        <v>42</v>
      </c>
      <c r="I10196" t="s">
        <v>2190</v>
      </c>
      <c r="J10196" s="10">
        <v>6</v>
      </c>
      <c r="K10196" t="b">
        <v>1</v>
      </c>
    </row>
    <row r="10197" spans="1:11">
      <c r="A10197" s="12">
        <v>42915</v>
      </c>
      <c r="B10197">
        <v>2017</v>
      </c>
      <c r="C10197">
        <v>6</v>
      </c>
      <c r="D10197" s="11">
        <v>42887</v>
      </c>
      <c r="E10197" t="s">
        <v>2178</v>
      </c>
      <c r="F10197">
        <v>4</v>
      </c>
      <c r="G10197" t="s">
        <v>53</v>
      </c>
      <c r="H10197" t="s">
        <v>43</v>
      </c>
      <c r="I10197" t="s">
        <v>2191</v>
      </c>
      <c r="J10197" s="10">
        <v>17</v>
      </c>
      <c r="K10197" t="b">
        <v>1</v>
      </c>
    </row>
    <row r="10198" spans="1:11">
      <c r="A10198" s="12">
        <v>42915</v>
      </c>
      <c r="B10198">
        <v>2017</v>
      </c>
      <c r="C10198">
        <v>6</v>
      </c>
      <c r="D10198" s="11">
        <v>42887</v>
      </c>
      <c r="E10198" t="s">
        <v>2178</v>
      </c>
      <c r="F10198">
        <v>4</v>
      </c>
      <c r="G10198" t="s">
        <v>53</v>
      </c>
      <c r="H10198" t="s">
        <v>44</v>
      </c>
      <c r="I10198" t="s">
        <v>2192</v>
      </c>
      <c r="J10198" s="10">
        <v>1</v>
      </c>
      <c r="K10198" t="b">
        <v>1</v>
      </c>
    </row>
    <row r="10199" spans="1:11">
      <c r="A10199" s="12">
        <v>42915</v>
      </c>
      <c r="B10199">
        <v>2017</v>
      </c>
      <c r="C10199">
        <v>6</v>
      </c>
      <c r="D10199" s="11">
        <v>42887</v>
      </c>
      <c r="E10199" t="s">
        <v>2178</v>
      </c>
      <c r="F10199">
        <v>4</v>
      </c>
      <c r="G10199" t="s">
        <v>53</v>
      </c>
      <c r="H10199" t="s">
        <v>45</v>
      </c>
      <c r="I10199" t="s">
        <v>2193</v>
      </c>
      <c r="J10199" s="10">
        <v>0</v>
      </c>
      <c r="K10199" t="b">
        <v>1</v>
      </c>
    </row>
    <row r="10200" spans="1:11">
      <c r="A10200" s="12">
        <v>42915</v>
      </c>
      <c r="B10200">
        <v>2017</v>
      </c>
      <c r="C10200">
        <v>6</v>
      </c>
      <c r="D10200" s="11">
        <v>42887</v>
      </c>
      <c r="E10200" t="s">
        <v>2178</v>
      </c>
      <c r="F10200">
        <v>4</v>
      </c>
      <c r="G10200" t="s">
        <v>53</v>
      </c>
      <c r="H10200" t="s">
        <v>46</v>
      </c>
      <c r="I10200" t="s">
        <v>2194</v>
      </c>
      <c r="J10200" s="10">
        <v>21</v>
      </c>
      <c r="K10200" t="b">
        <v>1</v>
      </c>
    </row>
    <row r="10201" spans="1:11">
      <c r="A10201" s="12">
        <v>42915</v>
      </c>
      <c r="B10201">
        <v>2017</v>
      </c>
      <c r="C10201">
        <v>6</v>
      </c>
      <c r="D10201" s="11">
        <v>42887</v>
      </c>
      <c r="E10201" t="s">
        <v>2178</v>
      </c>
      <c r="F10201">
        <v>4</v>
      </c>
      <c r="G10201" t="s">
        <v>53</v>
      </c>
      <c r="H10201" t="s">
        <v>47</v>
      </c>
      <c r="I10201" t="s">
        <v>2195</v>
      </c>
      <c r="J10201" s="10">
        <v>5</v>
      </c>
      <c r="K10201" t="b">
        <v>1</v>
      </c>
    </row>
    <row r="10202" spans="1:11">
      <c r="A10202" s="12">
        <v>42916</v>
      </c>
      <c r="B10202">
        <v>2017</v>
      </c>
      <c r="C10202">
        <v>6</v>
      </c>
      <c r="D10202" s="11">
        <v>42887</v>
      </c>
      <c r="E10202" t="s">
        <v>2178</v>
      </c>
      <c r="F10202">
        <v>5</v>
      </c>
      <c r="G10202" t="s">
        <v>55</v>
      </c>
      <c r="H10202" t="s">
        <v>40</v>
      </c>
      <c r="I10202" t="s">
        <v>2188</v>
      </c>
      <c r="J10202" s="10">
        <v>6.67</v>
      </c>
      <c r="K10202" t="b">
        <v>1</v>
      </c>
    </row>
    <row r="10203" spans="1:11">
      <c r="A10203" s="12">
        <v>42916</v>
      </c>
      <c r="B10203">
        <v>2017</v>
      </c>
      <c r="C10203">
        <v>6</v>
      </c>
      <c r="D10203" s="11">
        <v>42887</v>
      </c>
      <c r="E10203" t="s">
        <v>2178</v>
      </c>
      <c r="F10203">
        <v>5</v>
      </c>
      <c r="G10203" t="s">
        <v>55</v>
      </c>
      <c r="H10203" t="s">
        <v>41</v>
      </c>
      <c r="I10203" t="s">
        <v>2189</v>
      </c>
      <c r="J10203" s="10">
        <v>2.132</v>
      </c>
      <c r="K10203" t="b">
        <v>1</v>
      </c>
    </row>
    <row r="10204" spans="1:11">
      <c r="A10204" s="12">
        <v>42916</v>
      </c>
      <c r="B10204">
        <v>2017</v>
      </c>
      <c r="C10204">
        <v>6</v>
      </c>
      <c r="D10204" s="11">
        <v>42887</v>
      </c>
      <c r="E10204" t="s">
        <v>2178</v>
      </c>
      <c r="F10204">
        <v>5</v>
      </c>
      <c r="G10204" t="s">
        <v>55</v>
      </c>
      <c r="H10204" t="s">
        <v>42</v>
      </c>
      <c r="I10204" t="s">
        <v>2190</v>
      </c>
      <c r="J10204" s="10">
        <v>2</v>
      </c>
      <c r="K10204" t="b">
        <v>1</v>
      </c>
    </row>
    <row r="10205" spans="1:11">
      <c r="A10205" s="12">
        <v>42916</v>
      </c>
      <c r="B10205">
        <v>2017</v>
      </c>
      <c r="C10205">
        <v>6</v>
      </c>
      <c r="D10205" s="11">
        <v>42887</v>
      </c>
      <c r="E10205" t="s">
        <v>2178</v>
      </c>
      <c r="F10205">
        <v>5</v>
      </c>
      <c r="G10205" t="s">
        <v>55</v>
      </c>
      <c r="H10205" t="s">
        <v>43</v>
      </c>
      <c r="I10205" t="s">
        <v>2191</v>
      </c>
      <c r="J10205" s="10">
        <v>18</v>
      </c>
      <c r="K10205" t="b">
        <v>1</v>
      </c>
    </row>
    <row r="10206" spans="1:11">
      <c r="A10206" s="12">
        <v>42916</v>
      </c>
      <c r="B10206">
        <v>2017</v>
      </c>
      <c r="C10206">
        <v>6</v>
      </c>
      <c r="D10206" s="11">
        <v>42887</v>
      </c>
      <c r="E10206" t="s">
        <v>2178</v>
      </c>
      <c r="F10206">
        <v>5</v>
      </c>
      <c r="G10206" t="s">
        <v>55</v>
      </c>
      <c r="H10206" t="s">
        <v>44</v>
      </c>
      <c r="I10206" t="s">
        <v>2192</v>
      </c>
      <c r="J10206" s="10">
        <v>2</v>
      </c>
      <c r="K10206" t="b">
        <v>1</v>
      </c>
    </row>
    <row r="10207" spans="1:11">
      <c r="A10207" s="12">
        <v>42916</v>
      </c>
      <c r="B10207">
        <v>2017</v>
      </c>
      <c r="C10207">
        <v>6</v>
      </c>
      <c r="D10207" s="11">
        <v>42887</v>
      </c>
      <c r="E10207" t="s">
        <v>2178</v>
      </c>
      <c r="F10207">
        <v>5</v>
      </c>
      <c r="G10207" t="s">
        <v>55</v>
      </c>
      <c r="H10207" t="s">
        <v>45</v>
      </c>
      <c r="I10207" t="s">
        <v>2193</v>
      </c>
      <c r="J10207" s="10">
        <v>0</v>
      </c>
      <c r="K10207" t="b">
        <v>1</v>
      </c>
    </row>
    <row r="10208" spans="1:11">
      <c r="A10208" s="12">
        <v>42916</v>
      </c>
      <c r="B10208">
        <v>2017</v>
      </c>
      <c r="C10208">
        <v>6</v>
      </c>
      <c r="D10208" s="11">
        <v>42887</v>
      </c>
      <c r="E10208" t="s">
        <v>2178</v>
      </c>
      <c r="F10208">
        <v>5</v>
      </c>
      <c r="G10208" t="s">
        <v>55</v>
      </c>
      <c r="H10208" t="s">
        <v>46</v>
      </c>
      <c r="I10208" t="s">
        <v>2194</v>
      </c>
      <c r="J10208" s="10">
        <v>0</v>
      </c>
      <c r="K10208" t="b">
        <v>1</v>
      </c>
    </row>
    <row r="10209" spans="1:11">
      <c r="A10209" s="12">
        <v>42916</v>
      </c>
      <c r="B10209">
        <v>2017</v>
      </c>
      <c r="C10209">
        <v>6</v>
      </c>
      <c r="D10209" s="11">
        <v>42887</v>
      </c>
      <c r="E10209" t="s">
        <v>2178</v>
      </c>
      <c r="F10209">
        <v>5</v>
      </c>
      <c r="G10209" t="s">
        <v>55</v>
      </c>
      <c r="H10209" t="s">
        <v>47</v>
      </c>
      <c r="I10209" t="s">
        <v>2195</v>
      </c>
      <c r="J10209" s="10">
        <v>6</v>
      </c>
      <c r="K10209" t="b">
        <v>1</v>
      </c>
    </row>
    <row r="10210" spans="1:11">
      <c r="A10210" s="12">
        <v>42917</v>
      </c>
      <c r="B10210">
        <v>2017</v>
      </c>
      <c r="C10210">
        <v>7</v>
      </c>
      <c r="D10210" s="11">
        <v>42917</v>
      </c>
      <c r="E10210" t="s">
        <v>2179</v>
      </c>
      <c r="F10210">
        <v>6</v>
      </c>
      <c r="G10210" t="s">
        <v>57</v>
      </c>
      <c r="H10210" t="s">
        <v>40</v>
      </c>
      <c r="I10210" t="s">
        <v>2188</v>
      </c>
      <c r="J10210" s="10">
        <v>3.33</v>
      </c>
      <c r="K10210" t="b">
        <v>1</v>
      </c>
    </row>
    <row r="10211" spans="1:11">
      <c r="A10211" s="12">
        <v>42917</v>
      </c>
      <c r="B10211">
        <v>2017</v>
      </c>
      <c r="C10211">
        <v>7</v>
      </c>
      <c r="D10211" s="11">
        <v>42917</v>
      </c>
      <c r="E10211" t="s">
        <v>2179</v>
      </c>
      <c r="F10211">
        <v>6</v>
      </c>
      <c r="G10211" t="s">
        <v>57</v>
      </c>
      <c r="H10211" t="s">
        <v>41</v>
      </c>
      <c r="I10211" t="s">
        <v>2189</v>
      </c>
      <c r="J10211" s="10">
        <v>2.33</v>
      </c>
      <c r="K10211" t="b">
        <v>1</v>
      </c>
    </row>
    <row r="10212" spans="1:11">
      <c r="A10212" s="12">
        <v>42917</v>
      </c>
      <c r="B10212">
        <v>2017</v>
      </c>
      <c r="C10212">
        <v>7</v>
      </c>
      <c r="D10212" s="11">
        <v>42917</v>
      </c>
      <c r="E10212" t="s">
        <v>2179</v>
      </c>
      <c r="F10212">
        <v>6</v>
      </c>
      <c r="G10212" t="s">
        <v>57</v>
      </c>
      <c r="H10212" t="s">
        <v>42</v>
      </c>
      <c r="I10212" t="s">
        <v>2190</v>
      </c>
      <c r="J10212" s="10">
        <v>1</v>
      </c>
      <c r="K10212" t="b">
        <v>1</v>
      </c>
    </row>
    <row r="10213" spans="1:11">
      <c r="A10213" s="12">
        <v>42917</v>
      </c>
      <c r="B10213">
        <v>2017</v>
      </c>
      <c r="C10213">
        <v>7</v>
      </c>
      <c r="D10213" s="11">
        <v>42917</v>
      </c>
      <c r="E10213" t="s">
        <v>2179</v>
      </c>
      <c r="F10213">
        <v>6</v>
      </c>
      <c r="G10213" t="s">
        <v>57</v>
      </c>
      <c r="H10213" t="s">
        <v>43</v>
      </c>
      <c r="I10213" t="s">
        <v>2191</v>
      </c>
      <c r="J10213" s="10">
        <v>10</v>
      </c>
      <c r="K10213" t="b">
        <v>1</v>
      </c>
    </row>
    <row r="10214" spans="1:11">
      <c r="A10214" s="12">
        <v>42917</v>
      </c>
      <c r="B10214">
        <v>2017</v>
      </c>
      <c r="C10214">
        <v>7</v>
      </c>
      <c r="D10214" s="11">
        <v>42917</v>
      </c>
      <c r="E10214" t="s">
        <v>2179</v>
      </c>
      <c r="F10214">
        <v>6</v>
      </c>
      <c r="G10214" t="s">
        <v>57</v>
      </c>
      <c r="H10214" t="s">
        <v>44</v>
      </c>
      <c r="I10214" t="s">
        <v>2192</v>
      </c>
      <c r="J10214" s="10">
        <v>5</v>
      </c>
      <c r="K10214" t="b">
        <v>1</v>
      </c>
    </row>
    <row r="10215" spans="1:11">
      <c r="A10215" s="12">
        <v>42917</v>
      </c>
      <c r="B10215">
        <v>2017</v>
      </c>
      <c r="C10215">
        <v>7</v>
      </c>
      <c r="D10215" s="11">
        <v>42917</v>
      </c>
      <c r="E10215" t="s">
        <v>2179</v>
      </c>
      <c r="F10215">
        <v>6</v>
      </c>
      <c r="G10215" t="s">
        <v>57</v>
      </c>
      <c r="H10215" t="s">
        <v>45</v>
      </c>
      <c r="I10215" t="s">
        <v>2193</v>
      </c>
      <c r="J10215" s="10">
        <v>0</v>
      </c>
      <c r="K10215" t="b">
        <v>1</v>
      </c>
    </row>
    <row r="10216" spans="1:11">
      <c r="A10216" s="12">
        <v>42917</v>
      </c>
      <c r="B10216">
        <v>2017</v>
      </c>
      <c r="C10216">
        <v>7</v>
      </c>
      <c r="D10216" s="11">
        <v>42917</v>
      </c>
      <c r="E10216" t="s">
        <v>2179</v>
      </c>
      <c r="F10216">
        <v>6</v>
      </c>
      <c r="G10216" t="s">
        <v>57</v>
      </c>
      <c r="H10216" t="s">
        <v>46</v>
      </c>
      <c r="I10216" t="s">
        <v>2194</v>
      </c>
      <c r="J10216" s="10">
        <v>10</v>
      </c>
      <c r="K10216" t="b">
        <v>1</v>
      </c>
    </row>
    <row r="10217" spans="1:11">
      <c r="A10217" s="12">
        <v>42917</v>
      </c>
      <c r="B10217">
        <v>2017</v>
      </c>
      <c r="C10217">
        <v>7</v>
      </c>
      <c r="D10217" s="11">
        <v>42917</v>
      </c>
      <c r="E10217" t="s">
        <v>2179</v>
      </c>
      <c r="F10217">
        <v>6</v>
      </c>
      <c r="G10217" t="s">
        <v>57</v>
      </c>
      <c r="H10217" t="s">
        <v>47</v>
      </c>
      <c r="I10217" t="s">
        <v>2195</v>
      </c>
      <c r="J10217" s="10">
        <v>4</v>
      </c>
      <c r="K10217" t="b">
        <v>1</v>
      </c>
    </row>
    <row r="10218" spans="1:11">
      <c r="A10218" s="12">
        <v>42918</v>
      </c>
      <c r="B10218">
        <v>2017</v>
      </c>
      <c r="C10218">
        <v>7</v>
      </c>
      <c r="D10218" s="11">
        <v>42917</v>
      </c>
      <c r="E10218" t="s">
        <v>2179</v>
      </c>
      <c r="F10218">
        <v>7</v>
      </c>
      <c r="G10218" t="s">
        <v>59</v>
      </c>
      <c r="H10218" t="s">
        <v>40</v>
      </c>
      <c r="I10218" t="s">
        <v>2188</v>
      </c>
      <c r="J10218" s="10">
        <v>5</v>
      </c>
      <c r="K10218" t="b">
        <v>1</v>
      </c>
    </row>
    <row r="10219" spans="1:11">
      <c r="A10219" s="12">
        <v>42918</v>
      </c>
      <c r="B10219">
        <v>2017</v>
      </c>
      <c r="C10219">
        <v>7</v>
      </c>
      <c r="D10219" s="11">
        <v>42917</v>
      </c>
      <c r="E10219" t="s">
        <v>2179</v>
      </c>
      <c r="F10219">
        <v>7</v>
      </c>
      <c r="G10219" t="s">
        <v>59</v>
      </c>
      <c r="H10219" t="s">
        <v>41</v>
      </c>
      <c r="I10219" t="s">
        <v>2189</v>
      </c>
      <c r="J10219" s="10">
        <v>3.68</v>
      </c>
      <c r="K10219" t="b">
        <v>1</v>
      </c>
    </row>
    <row r="10220" spans="1:11">
      <c r="A10220" s="12">
        <v>42918</v>
      </c>
      <c r="B10220">
        <v>2017</v>
      </c>
      <c r="C10220">
        <v>7</v>
      </c>
      <c r="D10220" s="11">
        <v>42917</v>
      </c>
      <c r="E10220" t="s">
        <v>2179</v>
      </c>
      <c r="F10220">
        <v>7</v>
      </c>
      <c r="G10220" t="s">
        <v>59</v>
      </c>
      <c r="H10220" t="s">
        <v>42</v>
      </c>
      <c r="I10220" t="s">
        <v>2190</v>
      </c>
      <c r="J10220" s="10">
        <v>2</v>
      </c>
      <c r="K10220" t="b">
        <v>1</v>
      </c>
    </row>
    <row r="10221" spans="1:11">
      <c r="A10221" s="12">
        <v>42918</v>
      </c>
      <c r="B10221">
        <v>2017</v>
      </c>
      <c r="C10221">
        <v>7</v>
      </c>
      <c r="D10221" s="11">
        <v>42917</v>
      </c>
      <c r="E10221" t="s">
        <v>2179</v>
      </c>
      <c r="F10221">
        <v>7</v>
      </c>
      <c r="G10221" t="s">
        <v>59</v>
      </c>
      <c r="H10221" t="s">
        <v>43</v>
      </c>
      <c r="I10221" t="s">
        <v>2191</v>
      </c>
      <c r="J10221" s="10">
        <v>9</v>
      </c>
      <c r="K10221" t="b">
        <v>1</v>
      </c>
    </row>
    <row r="10222" spans="1:11">
      <c r="A10222" s="12">
        <v>42918</v>
      </c>
      <c r="B10222">
        <v>2017</v>
      </c>
      <c r="C10222">
        <v>7</v>
      </c>
      <c r="D10222" s="11">
        <v>42917</v>
      </c>
      <c r="E10222" t="s">
        <v>2179</v>
      </c>
      <c r="F10222">
        <v>7</v>
      </c>
      <c r="G10222" t="s">
        <v>59</v>
      </c>
      <c r="H10222" t="s">
        <v>44</v>
      </c>
      <c r="I10222" t="s">
        <v>2192</v>
      </c>
      <c r="J10222" s="10">
        <v>6</v>
      </c>
      <c r="K10222" t="b">
        <v>1</v>
      </c>
    </row>
    <row r="10223" spans="1:11">
      <c r="A10223" s="12">
        <v>42918</v>
      </c>
      <c r="B10223">
        <v>2017</v>
      </c>
      <c r="C10223">
        <v>7</v>
      </c>
      <c r="D10223" s="11">
        <v>42917</v>
      </c>
      <c r="E10223" t="s">
        <v>2179</v>
      </c>
      <c r="F10223">
        <v>7</v>
      </c>
      <c r="G10223" t="s">
        <v>59</v>
      </c>
      <c r="H10223" t="s">
        <v>45</v>
      </c>
      <c r="I10223" t="s">
        <v>2193</v>
      </c>
      <c r="J10223" s="10">
        <v>0</v>
      </c>
      <c r="K10223" t="b">
        <v>1</v>
      </c>
    </row>
    <row r="10224" spans="1:11">
      <c r="A10224" s="12">
        <v>42918</v>
      </c>
      <c r="B10224">
        <v>2017</v>
      </c>
      <c r="C10224">
        <v>7</v>
      </c>
      <c r="D10224" s="11">
        <v>42917</v>
      </c>
      <c r="E10224" t="s">
        <v>2179</v>
      </c>
      <c r="F10224">
        <v>7</v>
      </c>
      <c r="G10224" t="s">
        <v>59</v>
      </c>
      <c r="H10224" t="s">
        <v>46</v>
      </c>
      <c r="I10224" t="s">
        <v>2194</v>
      </c>
      <c r="J10224" s="10">
        <v>0</v>
      </c>
      <c r="K10224" t="b">
        <v>1</v>
      </c>
    </row>
    <row r="10225" spans="1:11">
      <c r="A10225" s="12">
        <v>42918</v>
      </c>
      <c r="B10225">
        <v>2017</v>
      </c>
      <c r="C10225">
        <v>7</v>
      </c>
      <c r="D10225" s="11">
        <v>42917</v>
      </c>
      <c r="E10225" t="s">
        <v>2179</v>
      </c>
      <c r="F10225">
        <v>7</v>
      </c>
      <c r="G10225" t="s">
        <v>59</v>
      </c>
      <c r="H10225" t="s">
        <v>47</v>
      </c>
      <c r="I10225" t="s">
        <v>2195</v>
      </c>
      <c r="J10225" s="10">
        <v>4</v>
      </c>
      <c r="K10225" t="b">
        <v>1</v>
      </c>
    </row>
    <row r="10226" spans="1:11">
      <c r="A10226" s="12">
        <v>42919</v>
      </c>
      <c r="B10226">
        <v>2017</v>
      </c>
      <c r="C10226">
        <v>7</v>
      </c>
      <c r="D10226" s="11">
        <v>42917</v>
      </c>
      <c r="E10226" t="s">
        <v>2179</v>
      </c>
      <c r="F10226">
        <v>1</v>
      </c>
      <c r="G10226" t="s">
        <v>61</v>
      </c>
      <c r="H10226" t="s">
        <v>40</v>
      </c>
      <c r="I10226" t="s">
        <v>2188</v>
      </c>
      <c r="J10226" s="10">
        <v>3.67</v>
      </c>
      <c r="K10226" t="b">
        <v>1</v>
      </c>
    </row>
    <row r="10227" spans="1:11">
      <c r="A10227" s="12">
        <v>42919</v>
      </c>
      <c r="B10227">
        <v>2017</v>
      </c>
      <c r="C10227">
        <v>7</v>
      </c>
      <c r="D10227" s="11">
        <v>42917</v>
      </c>
      <c r="E10227" t="s">
        <v>2179</v>
      </c>
      <c r="F10227">
        <v>1</v>
      </c>
      <c r="G10227" t="s">
        <v>61</v>
      </c>
      <c r="H10227" t="s">
        <v>41</v>
      </c>
      <c r="I10227" t="s">
        <v>2189</v>
      </c>
      <c r="J10227" s="10">
        <v>0</v>
      </c>
      <c r="K10227" t="b">
        <v>1</v>
      </c>
    </row>
    <row r="10228" spans="1:11">
      <c r="A10228" s="12">
        <v>42919</v>
      </c>
      <c r="B10228">
        <v>2017</v>
      </c>
      <c r="C10228">
        <v>7</v>
      </c>
      <c r="D10228" s="11">
        <v>42917</v>
      </c>
      <c r="E10228" t="s">
        <v>2179</v>
      </c>
      <c r="F10228">
        <v>1</v>
      </c>
      <c r="G10228" t="s">
        <v>61</v>
      </c>
      <c r="H10228" t="s">
        <v>42</v>
      </c>
      <c r="I10228" t="s">
        <v>2190</v>
      </c>
      <c r="J10228" s="10">
        <v>1.5</v>
      </c>
      <c r="K10228" t="b">
        <v>1</v>
      </c>
    </row>
    <row r="10229" spans="1:11">
      <c r="A10229" s="12">
        <v>42919</v>
      </c>
      <c r="B10229">
        <v>2017</v>
      </c>
      <c r="C10229">
        <v>7</v>
      </c>
      <c r="D10229" s="11">
        <v>42917</v>
      </c>
      <c r="E10229" t="s">
        <v>2179</v>
      </c>
      <c r="F10229">
        <v>1</v>
      </c>
      <c r="G10229" t="s">
        <v>61</v>
      </c>
      <c r="H10229" t="s">
        <v>43</v>
      </c>
      <c r="I10229" t="s">
        <v>2191</v>
      </c>
      <c r="J10229" s="10">
        <v>8</v>
      </c>
      <c r="K10229" t="b">
        <v>1</v>
      </c>
    </row>
    <row r="10230" spans="1:11">
      <c r="A10230" s="12">
        <v>42919</v>
      </c>
      <c r="B10230">
        <v>2017</v>
      </c>
      <c r="C10230">
        <v>7</v>
      </c>
      <c r="D10230" s="11">
        <v>42917</v>
      </c>
      <c r="E10230" t="s">
        <v>2179</v>
      </c>
      <c r="F10230">
        <v>1</v>
      </c>
      <c r="G10230" t="s">
        <v>61</v>
      </c>
      <c r="H10230" t="s">
        <v>44</v>
      </c>
      <c r="I10230" t="s">
        <v>2192</v>
      </c>
      <c r="J10230" s="10">
        <v>11</v>
      </c>
      <c r="K10230" t="b">
        <v>1</v>
      </c>
    </row>
    <row r="10231" spans="1:11">
      <c r="A10231" s="12">
        <v>42919</v>
      </c>
      <c r="B10231">
        <v>2017</v>
      </c>
      <c r="C10231">
        <v>7</v>
      </c>
      <c r="D10231" s="11">
        <v>42917</v>
      </c>
      <c r="E10231" t="s">
        <v>2179</v>
      </c>
      <c r="F10231">
        <v>1</v>
      </c>
      <c r="G10231" t="s">
        <v>61</v>
      </c>
      <c r="H10231" t="s">
        <v>45</v>
      </c>
      <c r="I10231" t="s">
        <v>2193</v>
      </c>
      <c r="J10231" s="10">
        <v>0</v>
      </c>
      <c r="K10231" t="b">
        <v>1</v>
      </c>
    </row>
    <row r="10232" spans="1:11">
      <c r="A10232" s="12">
        <v>42919</v>
      </c>
      <c r="B10232">
        <v>2017</v>
      </c>
      <c r="C10232">
        <v>7</v>
      </c>
      <c r="D10232" s="11">
        <v>42917</v>
      </c>
      <c r="E10232" t="s">
        <v>2179</v>
      </c>
      <c r="F10232">
        <v>1</v>
      </c>
      <c r="G10232" t="s">
        <v>61</v>
      </c>
      <c r="H10232" t="s">
        <v>46</v>
      </c>
      <c r="I10232" t="s">
        <v>2194</v>
      </c>
      <c r="J10232" s="10">
        <v>11</v>
      </c>
      <c r="K10232" t="b">
        <v>1</v>
      </c>
    </row>
    <row r="10233" spans="1:11">
      <c r="A10233" s="12">
        <v>42919</v>
      </c>
      <c r="B10233">
        <v>2017</v>
      </c>
      <c r="C10233">
        <v>7</v>
      </c>
      <c r="D10233" s="11">
        <v>42917</v>
      </c>
      <c r="E10233" t="s">
        <v>2179</v>
      </c>
      <c r="F10233">
        <v>1</v>
      </c>
      <c r="G10233" t="s">
        <v>61</v>
      </c>
      <c r="H10233" t="s">
        <v>47</v>
      </c>
      <c r="I10233" t="s">
        <v>2195</v>
      </c>
      <c r="J10233" s="10">
        <v>0</v>
      </c>
      <c r="K10233" t="b">
        <v>1</v>
      </c>
    </row>
    <row r="10234" spans="1:11">
      <c r="A10234" s="12">
        <v>42920</v>
      </c>
      <c r="B10234">
        <v>2017</v>
      </c>
      <c r="C10234">
        <v>7</v>
      </c>
      <c r="D10234" s="11">
        <v>42917</v>
      </c>
      <c r="E10234" t="s">
        <v>2179</v>
      </c>
      <c r="F10234">
        <v>2</v>
      </c>
      <c r="G10234" t="s">
        <v>63</v>
      </c>
      <c r="H10234" t="s">
        <v>40</v>
      </c>
      <c r="I10234" t="s">
        <v>2188</v>
      </c>
      <c r="J10234" s="10">
        <v>10.67</v>
      </c>
      <c r="K10234" t="b">
        <v>1</v>
      </c>
    </row>
    <row r="10235" spans="1:11">
      <c r="A10235" s="12">
        <v>42920</v>
      </c>
      <c r="B10235">
        <v>2017</v>
      </c>
      <c r="C10235">
        <v>7</v>
      </c>
      <c r="D10235" s="11">
        <v>42917</v>
      </c>
      <c r="E10235" t="s">
        <v>2179</v>
      </c>
      <c r="F10235">
        <v>2</v>
      </c>
      <c r="G10235" t="s">
        <v>63</v>
      </c>
      <c r="H10235" t="s">
        <v>41</v>
      </c>
      <c r="I10235" t="s">
        <v>2189</v>
      </c>
      <c r="J10235" s="10">
        <v>2.34</v>
      </c>
      <c r="K10235" t="b">
        <v>1</v>
      </c>
    </row>
    <row r="10236" spans="1:11">
      <c r="A10236" s="12">
        <v>42920</v>
      </c>
      <c r="B10236">
        <v>2017</v>
      </c>
      <c r="C10236">
        <v>7</v>
      </c>
      <c r="D10236" s="11">
        <v>42917</v>
      </c>
      <c r="E10236" t="s">
        <v>2179</v>
      </c>
      <c r="F10236">
        <v>2</v>
      </c>
      <c r="G10236" t="s">
        <v>63</v>
      </c>
      <c r="H10236" t="s">
        <v>42</v>
      </c>
      <c r="I10236" t="s">
        <v>2190</v>
      </c>
      <c r="J10236" s="10">
        <v>5</v>
      </c>
      <c r="K10236" t="b">
        <v>1</v>
      </c>
    </row>
    <row r="10237" spans="1:11">
      <c r="A10237" s="12">
        <v>42920</v>
      </c>
      <c r="B10237">
        <v>2017</v>
      </c>
      <c r="C10237">
        <v>7</v>
      </c>
      <c r="D10237" s="11">
        <v>42917</v>
      </c>
      <c r="E10237" t="s">
        <v>2179</v>
      </c>
      <c r="F10237">
        <v>2</v>
      </c>
      <c r="G10237" t="s">
        <v>63</v>
      </c>
      <c r="H10237" t="s">
        <v>43</v>
      </c>
      <c r="I10237" t="s">
        <v>2191</v>
      </c>
      <c r="J10237" s="10">
        <v>18</v>
      </c>
      <c r="K10237" t="b">
        <v>1</v>
      </c>
    </row>
    <row r="10238" spans="1:11">
      <c r="A10238" s="12">
        <v>42920</v>
      </c>
      <c r="B10238">
        <v>2017</v>
      </c>
      <c r="C10238">
        <v>7</v>
      </c>
      <c r="D10238" s="11">
        <v>42917</v>
      </c>
      <c r="E10238" t="s">
        <v>2179</v>
      </c>
      <c r="F10238">
        <v>2</v>
      </c>
      <c r="G10238" t="s">
        <v>63</v>
      </c>
      <c r="H10238" t="s">
        <v>44</v>
      </c>
      <c r="I10238" t="s">
        <v>2192</v>
      </c>
      <c r="J10238" s="10">
        <v>7</v>
      </c>
      <c r="K10238" t="b">
        <v>1</v>
      </c>
    </row>
    <row r="10239" spans="1:11">
      <c r="A10239" s="12">
        <v>42920</v>
      </c>
      <c r="B10239">
        <v>2017</v>
      </c>
      <c r="C10239">
        <v>7</v>
      </c>
      <c r="D10239" s="11">
        <v>42917</v>
      </c>
      <c r="E10239" t="s">
        <v>2179</v>
      </c>
      <c r="F10239">
        <v>2</v>
      </c>
      <c r="G10239" t="s">
        <v>63</v>
      </c>
      <c r="H10239" t="s">
        <v>45</v>
      </c>
      <c r="I10239" t="s">
        <v>2193</v>
      </c>
      <c r="J10239" s="10">
        <v>0</v>
      </c>
      <c r="K10239" t="b">
        <v>1</v>
      </c>
    </row>
    <row r="10240" spans="1:11">
      <c r="A10240" s="12">
        <v>42920</v>
      </c>
      <c r="B10240">
        <v>2017</v>
      </c>
      <c r="C10240">
        <v>7</v>
      </c>
      <c r="D10240" s="11">
        <v>42917</v>
      </c>
      <c r="E10240" t="s">
        <v>2179</v>
      </c>
      <c r="F10240">
        <v>2</v>
      </c>
      <c r="G10240" t="s">
        <v>63</v>
      </c>
      <c r="H10240" t="s">
        <v>46</v>
      </c>
      <c r="I10240" t="s">
        <v>2194</v>
      </c>
      <c r="J10240" s="10">
        <v>0</v>
      </c>
      <c r="K10240" t="b">
        <v>1</v>
      </c>
    </row>
    <row r="10241" spans="1:11">
      <c r="A10241" s="12">
        <v>42920</v>
      </c>
      <c r="B10241">
        <v>2017</v>
      </c>
      <c r="C10241">
        <v>7</v>
      </c>
      <c r="D10241" s="11">
        <v>42917</v>
      </c>
      <c r="E10241" t="s">
        <v>2179</v>
      </c>
      <c r="F10241">
        <v>2</v>
      </c>
      <c r="G10241" t="s">
        <v>63</v>
      </c>
      <c r="H10241" t="s">
        <v>47</v>
      </c>
      <c r="I10241" t="s">
        <v>2195</v>
      </c>
      <c r="J10241" s="10">
        <v>6</v>
      </c>
      <c r="K10241" t="b">
        <v>1</v>
      </c>
    </row>
    <row r="10242" spans="1:11">
      <c r="A10242" s="12">
        <v>42921</v>
      </c>
      <c r="B10242">
        <v>2017</v>
      </c>
      <c r="C10242">
        <v>7</v>
      </c>
      <c r="D10242" s="11">
        <v>42917</v>
      </c>
      <c r="E10242" t="s">
        <v>2179</v>
      </c>
      <c r="F10242">
        <v>3</v>
      </c>
      <c r="G10242" t="s">
        <v>65</v>
      </c>
      <c r="H10242" t="s">
        <v>40</v>
      </c>
      <c r="I10242" t="s">
        <v>2188</v>
      </c>
      <c r="J10242" s="10">
        <v>4.5</v>
      </c>
      <c r="K10242" t="b">
        <v>1</v>
      </c>
    </row>
    <row r="10243" spans="1:11">
      <c r="A10243" s="12">
        <v>42921</v>
      </c>
      <c r="B10243">
        <v>2017</v>
      </c>
      <c r="C10243">
        <v>7</v>
      </c>
      <c r="D10243" s="11">
        <v>42917</v>
      </c>
      <c r="E10243" t="s">
        <v>2179</v>
      </c>
      <c r="F10243">
        <v>3</v>
      </c>
      <c r="G10243" t="s">
        <v>65</v>
      </c>
      <c r="H10243" t="s">
        <v>41</v>
      </c>
      <c r="I10243" t="s">
        <v>2189</v>
      </c>
      <c r="J10243" s="10">
        <v>1.66</v>
      </c>
      <c r="K10243" t="b">
        <v>1</v>
      </c>
    </row>
    <row r="10244" spans="1:11">
      <c r="A10244" s="12">
        <v>42921</v>
      </c>
      <c r="B10244">
        <v>2017</v>
      </c>
      <c r="C10244">
        <v>7</v>
      </c>
      <c r="D10244" s="11">
        <v>42917</v>
      </c>
      <c r="E10244" t="s">
        <v>2179</v>
      </c>
      <c r="F10244">
        <v>3</v>
      </c>
      <c r="G10244" t="s">
        <v>65</v>
      </c>
      <c r="H10244" t="s">
        <v>42</v>
      </c>
      <c r="I10244" t="s">
        <v>2190</v>
      </c>
      <c r="J10244" s="10">
        <v>2</v>
      </c>
      <c r="K10244" t="b">
        <v>1</v>
      </c>
    </row>
    <row r="10245" spans="1:11">
      <c r="A10245" s="12">
        <v>42921</v>
      </c>
      <c r="B10245">
        <v>2017</v>
      </c>
      <c r="C10245">
        <v>7</v>
      </c>
      <c r="D10245" s="11">
        <v>42917</v>
      </c>
      <c r="E10245" t="s">
        <v>2179</v>
      </c>
      <c r="F10245">
        <v>3</v>
      </c>
      <c r="G10245" t="s">
        <v>65</v>
      </c>
      <c r="H10245" t="s">
        <v>43</v>
      </c>
      <c r="I10245" t="s">
        <v>2191</v>
      </c>
      <c r="J10245" s="10">
        <v>16</v>
      </c>
      <c r="K10245" t="b">
        <v>1</v>
      </c>
    </row>
    <row r="10246" spans="1:11">
      <c r="A10246" s="12">
        <v>42921</v>
      </c>
      <c r="B10246">
        <v>2017</v>
      </c>
      <c r="C10246">
        <v>7</v>
      </c>
      <c r="D10246" s="11">
        <v>42917</v>
      </c>
      <c r="E10246" t="s">
        <v>2179</v>
      </c>
      <c r="F10246">
        <v>3</v>
      </c>
      <c r="G10246" t="s">
        <v>65</v>
      </c>
      <c r="H10246" t="s">
        <v>44</v>
      </c>
      <c r="I10246" t="s">
        <v>2192</v>
      </c>
      <c r="J10246" s="10">
        <v>20</v>
      </c>
      <c r="K10246" t="b">
        <v>1</v>
      </c>
    </row>
    <row r="10247" spans="1:11">
      <c r="A10247" s="12">
        <v>42921</v>
      </c>
      <c r="B10247">
        <v>2017</v>
      </c>
      <c r="C10247">
        <v>7</v>
      </c>
      <c r="D10247" s="11">
        <v>42917</v>
      </c>
      <c r="E10247" t="s">
        <v>2179</v>
      </c>
      <c r="F10247">
        <v>3</v>
      </c>
      <c r="G10247" t="s">
        <v>65</v>
      </c>
      <c r="H10247" t="s">
        <v>45</v>
      </c>
      <c r="I10247" t="s">
        <v>2193</v>
      </c>
      <c r="J10247" s="10">
        <v>0</v>
      </c>
      <c r="K10247" t="b">
        <v>1</v>
      </c>
    </row>
    <row r="10248" spans="1:11">
      <c r="A10248" s="12">
        <v>42921</v>
      </c>
      <c r="B10248">
        <v>2017</v>
      </c>
      <c r="C10248">
        <v>7</v>
      </c>
      <c r="D10248" s="11">
        <v>42917</v>
      </c>
      <c r="E10248" t="s">
        <v>2179</v>
      </c>
      <c r="F10248">
        <v>3</v>
      </c>
      <c r="G10248" t="s">
        <v>65</v>
      </c>
      <c r="H10248" t="s">
        <v>46</v>
      </c>
      <c r="I10248" t="s">
        <v>2194</v>
      </c>
      <c r="J10248" s="10">
        <v>22</v>
      </c>
      <c r="K10248" t="b">
        <v>1</v>
      </c>
    </row>
    <row r="10249" spans="1:11">
      <c r="A10249" s="12">
        <v>42921</v>
      </c>
      <c r="B10249">
        <v>2017</v>
      </c>
      <c r="C10249">
        <v>7</v>
      </c>
      <c r="D10249" s="11">
        <v>42917</v>
      </c>
      <c r="E10249" t="s">
        <v>2179</v>
      </c>
      <c r="F10249">
        <v>3</v>
      </c>
      <c r="G10249" t="s">
        <v>65</v>
      </c>
      <c r="H10249" t="s">
        <v>47</v>
      </c>
      <c r="I10249" t="s">
        <v>2195</v>
      </c>
      <c r="J10249" s="10">
        <v>6</v>
      </c>
      <c r="K10249" t="b">
        <v>1</v>
      </c>
    </row>
    <row r="10250" spans="1:11">
      <c r="A10250" s="12">
        <v>42922</v>
      </c>
      <c r="B10250">
        <v>2017</v>
      </c>
      <c r="C10250">
        <v>7</v>
      </c>
      <c r="D10250" s="11">
        <v>42917</v>
      </c>
      <c r="E10250" t="s">
        <v>2179</v>
      </c>
      <c r="F10250">
        <v>4</v>
      </c>
      <c r="G10250" t="s">
        <v>53</v>
      </c>
      <c r="H10250" t="s">
        <v>40</v>
      </c>
      <c r="I10250" t="s">
        <v>2188</v>
      </c>
      <c r="J10250" s="10">
        <v>4.33</v>
      </c>
      <c r="K10250" t="b">
        <v>1</v>
      </c>
    </row>
    <row r="10251" spans="1:11">
      <c r="A10251" s="12">
        <v>42922</v>
      </c>
      <c r="B10251">
        <v>2017</v>
      </c>
      <c r="C10251">
        <v>7</v>
      </c>
      <c r="D10251" s="11">
        <v>42917</v>
      </c>
      <c r="E10251" t="s">
        <v>2179</v>
      </c>
      <c r="F10251">
        <v>4</v>
      </c>
      <c r="G10251" t="s">
        <v>53</v>
      </c>
      <c r="H10251" t="s">
        <v>41</v>
      </c>
      <c r="I10251" t="s">
        <v>2189</v>
      </c>
      <c r="J10251" s="10">
        <v>7</v>
      </c>
      <c r="K10251" t="b">
        <v>1</v>
      </c>
    </row>
    <row r="10252" spans="1:11">
      <c r="A10252" s="12">
        <v>42922</v>
      </c>
      <c r="B10252">
        <v>2017</v>
      </c>
      <c r="C10252">
        <v>7</v>
      </c>
      <c r="D10252" s="11">
        <v>42917</v>
      </c>
      <c r="E10252" t="s">
        <v>2179</v>
      </c>
      <c r="F10252">
        <v>4</v>
      </c>
      <c r="G10252" t="s">
        <v>53</v>
      </c>
      <c r="H10252" t="s">
        <v>42</v>
      </c>
      <c r="I10252" t="s">
        <v>2190</v>
      </c>
      <c r="J10252" s="10">
        <v>4</v>
      </c>
      <c r="K10252" t="b">
        <v>1</v>
      </c>
    </row>
    <row r="10253" spans="1:11">
      <c r="A10253" s="12">
        <v>42922</v>
      </c>
      <c r="B10253">
        <v>2017</v>
      </c>
      <c r="C10253">
        <v>7</v>
      </c>
      <c r="D10253" s="11">
        <v>42917</v>
      </c>
      <c r="E10253" t="s">
        <v>2179</v>
      </c>
      <c r="F10253">
        <v>4</v>
      </c>
      <c r="G10253" t="s">
        <v>53</v>
      </c>
      <c r="H10253" t="s">
        <v>43</v>
      </c>
      <c r="I10253" t="s">
        <v>2191</v>
      </c>
      <c r="J10253" s="10">
        <v>20.6</v>
      </c>
      <c r="K10253" t="b">
        <v>1</v>
      </c>
    </row>
    <row r="10254" spans="1:11">
      <c r="A10254" s="12">
        <v>42922</v>
      </c>
      <c r="B10254">
        <v>2017</v>
      </c>
      <c r="C10254">
        <v>7</v>
      </c>
      <c r="D10254" s="11">
        <v>42917</v>
      </c>
      <c r="E10254" t="s">
        <v>2179</v>
      </c>
      <c r="F10254">
        <v>4</v>
      </c>
      <c r="G10254" t="s">
        <v>53</v>
      </c>
      <c r="H10254" t="s">
        <v>44</v>
      </c>
      <c r="I10254" t="s">
        <v>2192</v>
      </c>
      <c r="J10254" s="10">
        <v>3</v>
      </c>
      <c r="K10254" t="b">
        <v>1</v>
      </c>
    </row>
    <row r="10255" spans="1:11">
      <c r="A10255" s="12">
        <v>42922</v>
      </c>
      <c r="B10255">
        <v>2017</v>
      </c>
      <c r="C10255">
        <v>7</v>
      </c>
      <c r="D10255" s="11">
        <v>42917</v>
      </c>
      <c r="E10255" t="s">
        <v>2179</v>
      </c>
      <c r="F10255">
        <v>4</v>
      </c>
      <c r="G10255" t="s">
        <v>53</v>
      </c>
      <c r="H10255" t="s">
        <v>45</v>
      </c>
      <c r="I10255" t="s">
        <v>2193</v>
      </c>
      <c r="J10255" s="10">
        <v>1</v>
      </c>
      <c r="K10255" t="b">
        <v>1</v>
      </c>
    </row>
    <row r="10256" spans="1:11">
      <c r="A10256" s="12">
        <v>42922</v>
      </c>
      <c r="B10256">
        <v>2017</v>
      </c>
      <c r="C10256">
        <v>7</v>
      </c>
      <c r="D10256" s="11">
        <v>42917</v>
      </c>
      <c r="E10256" t="s">
        <v>2179</v>
      </c>
      <c r="F10256">
        <v>4</v>
      </c>
      <c r="G10256" t="s">
        <v>53</v>
      </c>
      <c r="H10256" t="s">
        <v>46</v>
      </c>
      <c r="I10256" t="s">
        <v>2194</v>
      </c>
      <c r="J10256" s="10">
        <v>1</v>
      </c>
      <c r="K10256" t="b">
        <v>1</v>
      </c>
    </row>
    <row r="10257" spans="1:11">
      <c r="A10257" s="12">
        <v>42922</v>
      </c>
      <c r="B10257">
        <v>2017</v>
      </c>
      <c r="C10257">
        <v>7</v>
      </c>
      <c r="D10257" s="11">
        <v>42917</v>
      </c>
      <c r="E10257" t="s">
        <v>2179</v>
      </c>
      <c r="F10257">
        <v>4</v>
      </c>
      <c r="G10257" t="s">
        <v>53</v>
      </c>
      <c r="H10257" t="s">
        <v>47</v>
      </c>
      <c r="I10257" t="s">
        <v>2195</v>
      </c>
      <c r="J10257" s="10">
        <v>1</v>
      </c>
      <c r="K10257" t="b">
        <v>1</v>
      </c>
    </row>
    <row r="10258" spans="1:11">
      <c r="A10258" s="12">
        <v>42923</v>
      </c>
      <c r="B10258">
        <v>2017</v>
      </c>
      <c r="C10258">
        <v>7</v>
      </c>
      <c r="D10258" s="11">
        <v>42917</v>
      </c>
      <c r="E10258" t="s">
        <v>2179</v>
      </c>
      <c r="F10258">
        <v>5</v>
      </c>
      <c r="G10258" t="s">
        <v>55</v>
      </c>
      <c r="H10258" t="s">
        <v>40</v>
      </c>
      <c r="I10258" t="s">
        <v>2188</v>
      </c>
      <c r="J10258" s="10">
        <v>5</v>
      </c>
      <c r="K10258" t="b">
        <v>1</v>
      </c>
    </row>
    <row r="10259" spans="1:11">
      <c r="A10259" s="12">
        <v>42923</v>
      </c>
      <c r="B10259">
        <v>2017</v>
      </c>
      <c r="C10259">
        <v>7</v>
      </c>
      <c r="D10259" s="11">
        <v>42917</v>
      </c>
      <c r="E10259" t="s">
        <v>2179</v>
      </c>
      <c r="F10259">
        <v>5</v>
      </c>
      <c r="G10259" t="s">
        <v>55</v>
      </c>
      <c r="H10259" t="s">
        <v>41</v>
      </c>
      <c r="I10259" t="s">
        <v>2189</v>
      </c>
      <c r="J10259" s="10">
        <v>2</v>
      </c>
      <c r="K10259" t="b">
        <v>1</v>
      </c>
    </row>
    <row r="10260" spans="1:11">
      <c r="A10260" s="12">
        <v>42923</v>
      </c>
      <c r="B10260">
        <v>2017</v>
      </c>
      <c r="C10260">
        <v>7</v>
      </c>
      <c r="D10260" s="11">
        <v>42917</v>
      </c>
      <c r="E10260" t="s">
        <v>2179</v>
      </c>
      <c r="F10260">
        <v>5</v>
      </c>
      <c r="G10260" t="s">
        <v>55</v>
      </c>
      <c r="H10260" t="s">
        <v>42</v>
      </c>
      <c r="I10260" t="s">
        <v>2190</v>
      </c>
      <c r="J10260" s="10">
        <v>4.1</v>
      </c>
      <c r="K10260" t="b">
        <v>1</v>
      </c>
    </row>
    <row r="10261" spans="1:11">
      <c r="A10261" s="12">
        <v>42923</v>
      </c>
      <c r="B10261">
        <v>2017</v>
      </c>
      <c r="C10261">
        <v>7</v>
      </c>
      <c r="D10261" s="11">
        <v>42917</v>
      </c>
      <c r="E10261" t="s">
        <v>2179</v>
      </c>
      <c r="F10261">
        <v>5</v>
      </c>
      <c r="G10261" t="s">
        <v>55</v>
      </c>
      <c r="H10261" t="s">
        <v>43</v>
      </c>
      <c r="I10261" t="s">
        <v>2191</v>
      </c>
      <c r="J10261" s="10">
        <v>17</v>
      </c>
      <c r="K10261" t="b">
        <v>1</v>
      </c>
    </row>
    <row r="10262" spans="1:11">
      <c r="A10262" s="12">
        <v>42923</v>
      </c>
      <c r="B10262">
        <v>2017</v>
      </c>
      <c r="C10262">
        <v>7</v>
      </c>
      <c r="D10262" s="11">
        <v>42917</v>
      </c>
      <c r="E10262" t="s">
        <v>2179</v>
      </c>
      <c r="F10262">
        <v>5</v>
      </c>
      <c r="G10262" t="s">
        <v>55</v>
      </c>
      <c r="H10262" t="s">
        <v>44</v>
      </c>
      <c r="I10262" t="s">
        <v>2192</v>
      </c>
      <c r="J10262" s="10">
        <v>6</v>
      </c>
      <c r="K10262" t="b">
        <v>1</v>
      </c>
    </row>
    <row r="10263" spans="1:11">
      <c r="A10263" s="12">
        <v>42923</v>
      </c>
      <c r="B10263">
        <v>2017</v>
      </c>
      <c r="C10263">
        <v>7</v>
      </c>
      <c r="D10263" s="11">
        <v>42917</v>
      </c>
      <c r="E10263" t="s">
        <v>2179</v>
      </c>
      <c r="F10263">
        <v>5</v>
      </c>
      <c r="G10263" t="s">
        <v>55</v>
      </c>
      <c r="H10263" t="s">
        <v>45</v>
      </c>
      <c r="I10263" t="s">
        <v>2193</v>
      </c>
      <c r="J10263" s="10">
        <v>0</v>
      </c>
      <c r="K10263" t="b">
        <v>1</v>
      </c>
    </row>
    <row r="10264" spans="1:11">
      <c r="A10264" s="12">
        <v>42923</v>
      </c>
      <c r="B10264">
        <v>2017</v>
      </c>
      <c r="C10264">
        <v>7</v>
      </c>
      <c r="D10264" s="11">
        <v>42917</v>
      </c>
      <c r="E10264" t="s">
        <v>2179</v>
      </c>
      <c r="F10264">
        <v>5</v>
      </c>
      <c r="G10264" t="s">
        <v>55</v>
      </c>
      <c r="H10264" t="s">
        <v>46</v>
      </c>
      <c r="I10264" t="s">
        <v>2194</v>
      </c>
      <c r="J10264" s="10">
        <v>1</v>
      </c>
      <c r="K10264" t="b">
        <v>1</v>
      </c>
    </row>
    <row r="10265" spans="1:11">
      <c r="A10265" s="12">
        <v>42923</v>
      </c>
      <c r="B10265">
        <v>2017</v>
      </c>
      <c r="C10265">
        <v>7</v>
      </c>
      <c r="D10265" s="11">
        <v>42917</v>
      </c>
      <c r="E10265" t="s">
        <v>2179</v>
      </c>
      <c r="F10265">
        <v>5</v>
      </c>
      <c r="G10265" t="s">
        <v>55</v>
      </c>
      <c r="H10265" t="s">
        <v>47</v>
      </c>
      <c r="I10265" t="s">
        <v>2195</v>
      </c>
      <c r="J10265" s="10">
        <v>0</v>
      </c>
      <c r="K10265" t="b">
        <v>1</v>
      </c>
    </row>
    <row r="10266" spans="1:11">
      <c r="A10266" s="12">
        <v>42924</v>
      </c>
      <c r="B10266">
        <v>2017</v>
      </c>
      <c r="C10266">
        <v>7</v>
      </c>
      <c r="D10266" s="11">
        <v>42917</v>
      </c>
      <c r="E10266" t="s">
        <v>2179</v>
      </c>
      <c r="F10266">
        <v>6</v>
      </c>
      <c r="G10266" t="s">
        <v>57</v>
      </c>
      <c r="H10266" t="s">
        <v>40</v>
      </c>
      <c r="I10266" t="s">
        <v>2188</v>
      </c>
      <c r="J10266" s="10">
        <v>4.99</v>
      </c>
      <c r="K10266" t="b">
        <v>1</v>
      </c>
    </row>
    <row r="10267" spans="1:11">
      <c r="A10267" s="12">
        <v>42924</v>
      </c>
      <c r="B10267">
        <v>2017</v>
      </c>
      <c r="C10267">
        <v>7</v>
      </c>
      <c r="D10267" s="11">
        <v>42917</v>
      </c>
      <c r="E10267" t="s">
        <v>2179</v>
      </c>
      <c r="F10267">
        <v>6</v>
      </c>
      <c r="G10267" t="s">
        <v>57</v>
      </c>
      <c r="H10267" t="s">
        <v>41</v>
      </c>
      <c r="I10267" t="s">
        <v>2189</v>
      </c>
      <c r="J10267" s="10">
        <v>4.089</v>
      </c>
      <c r="K10267" t="b">
        <v>1</v>
      </c>
    </row>
    <row r="10268" spans="1:11">
      <c r="A10268" s="12">
        <v>42924</v>
      </c>
      <c r="B10268">
        <v>2017</v>
      </c>
      <c r="C10268">
        <v>7</v>
      </c>
      <c r="D10268" s="11">
        <v>42917</v>
      </c>
      <c r="E10268" t="s">
        <v>2179</v>
      </c>
      <c r="F10268">
        <v>6</v>
      </c>
      <c r="G10268" t="s">
        <v>57</v>
      </c>
      <c r="H10268" t="s">
        <v>42</v>
      </c>
      <c r="I10268" t="s">
        <v>2190</v>
      </c>
      <c r="J10268" s="10">
        <v>5</v>
      </c>
      <c r="K10268" t="b">
        <v>1</v>
      </c>
    </row>
    <row r="10269" spans="1:11">
      <c r="A10269" s="12">
        <v>42924</v>
      </c>
      <c r="B10269">
        <v>2017</v>
      </c>
      <c r="C10269">
        <v>7</v>
      </c>
      <c r="D10269" s="11">
        <v>42917</v>
      </c>
      <c r="E10269" t="s">
        <v>2179</v>
      </c>
      <c r="F10269">
        <v>6</v>
      </c>
      <c r="G10269" t="s">
        <v>57</v>
      </c>
      <c r="H10269" t="s">
        <v>43</v>
      </c>
      <c r="I10269" t="s">
        <v>2191</v>
      </c>
      <c r="J10269" s="10">
        <v>16</v>
      </c>
      <c r="K10269" t="b">
        <v>1</v>
      </c>
    </row>
    <row r="10270" spans="1:11">
      <c r="A10270" s="12">
        <v>42924</v>
      </c>
      <c r="B10270">
        <v>2017</v>
      </c>
      <c r="C10270">
        <v>7</v>
      </c>
      <c r="D10270" s="11">
        <v>42917</v>
      </c>
      <c r="E10270" t="s">
        <v>2179</v>
      </c>
      <c r="F10270">
        <v>6</v>
      </c>
      <c r="G10270" t="s">
        <v>57</v>
      </c>
      <c r="H10270" t="s">
        <v>44</v>
      </c>
      <c r="I10270" t="s">
        <v>2192</v>
      </c>
      <c r="J10270" s="10">
        <v>12</v>
      </c>
      <c r="K10270" t="b">
        <v>1</v>
      </c>
    </row>
    <row r="10271" spans="1:11">
      <c r="A10271" s="12">
        <v>42924</v>
      </c>
      <c r="B10271">
        <v>2017</v>
      </c>
      <c r="C10271">
        <v>7</v>
      </c>
      <c r="D10271" s="11">
        <v>42917</v>
      </c>
      <c r="E10271" t="s">
        <v>2179</v>
      </c>
      <c r="F10271">
        <v>6</v>
      </c>
      <c r="G10271" t="s">
        <v>57</v>
      </c>
      <c r="H10271" t="s">
        <v>45</v>
      </c>
      <c r="I10271" t="s">
        <v>2193</v>
      </c>
      <c r="J10271" s="10">
        <v>0</v>
      </c>
      <c r="K10271" t="b">
        <v>1</v>
      </c>
    </row>
    <row r="10272" spans="1:11">
      <c r="A10272" s="12">
        <v>42924</v>
      </c>
      <c r="B10272">
        <v>2017</v>
      </c>
      <c r="C10272">
        <v>7</v>
      </c>
      <c r="D10272" s="11">
        <v>42917</v>
      </c>
      <c r="E10272" t="s">
        <v>2179</v>
      </c>
      <c r="F10272">
        <v>6</v>
      </c>
      <c r="G10272" t="s">
        <v>57</v>
      </c>
      <c r="H10272" t="s">
        <v>46</v>
      </c>
      <c r="I10272" t="s">
        <v>2194</v>
      </c>
      <c r="J10272" s="10">
        <v>1</v>
      </c>
      <c r="K10272" t="b">
        <v>1</v>
      </c>
    </row>
    <row r="10273" spans="1:11">
      <c r="A10273" s="12">
        <v>42924</v>
      </c>
      <c r="B10273">
        <v>2017</v>
      </c>
      <c r="C10273">
        <v>7</v>
      </c>
      <c r="D10273" s="11">
        <v>42917</v>
      </c>
      <c r="E10273" t="s">
        <v>2179</v>
      </c>
      <c r="F10273">
        <v>6</v>
      </c>
      <c r="G10273" t="s">
        <v>57</v>
      </c>
      <c r="H10273" t="s">
        <v>47</v>
      </c>
      <c r="I10273" t="s">
        <v>2195</v>
      </c>
      <c r="J10273" s="10">
        <v>3</v>
      </c>
      <c r="K10273" t="b">
        <v>1</v>
      </c>
    </row>
    <row r="10274" spans="1:11">
      <c r="A10274" s="12">
        <v>42925</v>
      </c>
      <c r="B10274">
        <v>2017</v>
      </c>
      <c r="C10274">
        <v>7</v>
      </c>
      <c r="D10274" s="11">
        <v>42917</v>
      </c>
      <c r="E10274" t="s">
        <v>2179</v>
      </c>
      <c r="F10274">
        <v>7</v>
      </c>
      <c r="G10274" t="s">
        <v>59</v>
      </c>
      <c r="H10274" t="s">
        <v>40</v>
      </c>
      <c r="I10274" t="s">
        <v>2188</v>
      </c>
      <c r="J10274" s="10">
        <v>2.33</v>
      </c>
      <c r="K10274" t="b">
        <v>1</v>
      </c>
    </row>
    <row r="10275" spans="1:11">
      <c r="A10275" s="12">
        <v>42925</v>
      </c>
      <c r="B10275">
        <v>2017</v>
      </c>
      <c r="C10275">
        <v>7</v>
      </c>
      <c r="D10275" s="11">
        <v>42917</v>
      </c>
      <c r="E10275" t="s">
        <v>2179</v>
      </c>
      <c r="F10275">
        <v>7</v>
      </c>
      <c r="G10275" t="s">
        <v>59</v>
      </c>
      <c r="H10275" t="s">
        <v>41</v>
      </c>
      <c r="I10275" t="s">
        <v>2189</v>
      </c>
      <c r="J10275" s="10">
        <v>7.16</v>
      </c>
      <c r="K10275" t="b">
        <v>1</v>
      </c>
    </row>
    <row r="10276" spans="1:11">
      <c r="A10276" s="12">
        <v>42925</v>
      </c>
      <c r="B10276">
        <v>2017</v>
      </c>
      <c r="C10276">
        <v>7</v>
      </c>
      <c r="D10276" s="11">
        <v>42917</v>
      </c>
      <c r="E10276" t="s">
        <v>2179</v>
      </c>
      <c r="F10276">
        <v>7</v>
      </c>
      <c r="G10276" t="s">
        <v>59</v>
      </c>
      <c r="H10276" t="s">
        <v>42</v>
      </c>
      <c r="I10276" t="s">
        <v>2190</v>
      </c>
      <c r="J10276" s="10">
        <v>0.5</v>
      </c>
      <c r="K10276" t="b">
        <v>1</v>
      </c>
    </row>
    <row r="10277" spans="1:11">
      <c r="A10277" s="12">
        <v>42925</v>
      </c>
      <c r="B10277">
        <v>2017</v>
      </c>
      <c r="C10277">
        <v>7</v>
      </c>
      <c r="D10277" s="11">
        <v>42917</v>
      </c>
      <c r="E10277" t="s">
        <v>2179</v>
      </c>
      <c r="F10277">
        <v>7</v>
      </c>
      <c r="G10277" t="s">
        <v>59</v>
      </c>
      <c r="H10277" t="s">
        <v>43</v>
      </c>
      <c r="I10277" t="s">
        <v>2191</v>
      </c>
      <c r="J10277" s="10">
        <v>15</v>
      </c>
      <c r="K10277" t="b">
        <v>1</v>
      </c>
    </row>
    <row r="10278" spans="1:11">
      <c r="A10278" s="12">
        <v>42925</v>
      </c>
      <c r="B10278">
        <v>2017</v>
      </c>
      <c r="C10278">
        <v>7</v>
      </c>
      <c r="D10278" s="11">
        <v>42917</v>
      </c>
      <c r="E10278" t="s">
        <v>2179</v>
      </c>
      <c r="F10278">
        <v>7</v>
      </c>
      <c r="G10278" t="s">
        <v>59</v>
      </c>
      <c r="H10278" t="s">
        <v>44</v>
      </c>
      <c r="I10278" t="s">
        <v>2192</v>
      </c>
      <c r="J10278" s="10">
        <v>4</v>
      </c>
      <c r="K10278" t="b">
        <v>1</v>
      </c>
    </row>
    <row r="10279" spans="1:11">
      <c r="A10279" s="12">
        <v>42925</v>
      </c>
      <c r="B10279">
        <v>2017</v>
      </c>
      <c r="C10279">
        <v>7</v>
      </c>
      <c r="D10279" s="11">
        <v>42917</v>
      </c>
      <c r="E10279" t="s">
        <v>2179</v>
      </c>
      <c r="F10279">
        <v>7</v>
      </c>
      <c r="G10279" t="s">
        <v>59</v>
      </c>
      <c r="H10279" t="s">
        <v>45</v>
      </c>
      <c r="I10279" t="s">
        <v>2193</v>
      </c>
      <c r="J10279" s="10">
        <v>0</v>
      </c>
      <c r="K10279" t="b">
        <v>1</v>
      </c>
    </row>
    <row r="10280" spans="1:11">
      <c r="A10280" s="12">
        <v>42925</v>
      </c>
      <c r="B10280">
        <v>2017</v>
      </c>
      <c r="C10280">
        <v>7</v>
      </c>
      <c r="D10280" s="11">
        <v>42917</v>
      </c>
      <c r="E10280" t="s">
        <v>2179</v>
      </c>
      <c r="F10280">
        <v>7</v>
      </c>
      <c r="G10280" t="s">
        <v>59</v>
      </c>
      <c r="H10280" t="s">
        <v>46</v>
      </c>
      <c r="I10280" t="s">
        <v>2194</v>
      </c>
      <c r="J10280" s="10">
        <v>1</v>
      </c>
      <c r="K10280" t="b">
        <v>1</v>
      </c>
    </row>
    <row r="10281" spans="1:11">
      <c r="A10281" s="12">
        <v>42925</v>
      </c>
      <c r="B10281">
        <v>2017</v>
      </c>
      <c r="C10281">
        <v>7</v>
      </c>
      <c r="D10281" s="11">
        <v>42917</v>
      </c>
      <c r="E10281" t="s">
        <v>2179</v>
      </c>
      <c r="F10281">
        <v>7</v>
      </c>
      <c r="G10281" t="s">
        <v>59</v>
      </c>
      <c r="H10281" t="s">
        <v>47</v>
      </c>
      <c r="I10281" t="s">
        <v>2195</v>
      </c>
      <c r="J10281" s="10">
        <v>4</v>
      </c>
      <c r="K10281" t="b">
        <v>1</v>
      </c>
    </row>
    <row r="10282" spans="1:11">
      <c r="A10282" s="12">
        <v>42926</v>
      </c>
      <c r="B10282">
        <v>2017</v>
      </c>
      <c r="C10282">
        <v>7</v>
      </c>
      <c r="D10282" s="11">
        <v>42917</v>
      </c>
      <c r="E10282" t="s">
        <v>2179</v>
      </c>
      <c r="F10282">
        <v>1</v>
      </c>
      <c r="G10282" t="s">
        <v>61</v>
      </c>
      <c r="H10282" t="s">
        <v>40</v>
      </c>
      <c r="I10282" t="s">
        <v>2188</v>
      </c>
      <c r="J10282" s="10">
        <v>2</v>
      </c>
      <c r="K10282" t="b">
        <v>1</v>
      </c>
    </row>
    <row r="10283" spans="1:11">
      <c r="A10283" s="12">
        <v>42926</v>
      </c>
      <c r="B10283">
        <v>2017</v>
      </c>
      <c r="C10283">
        <v>7</v>
      </c>
      <c r="D10283" s="11">
        <v>42917</v>
      </c>
      <c r="E10283" t="s">
        <v>2179</v>
      </c>
      <c r="F10283">
        <v>1</v>
      </c>
      <c r="G10283" t="s">
        <v>61</v>
      </c>
      <c r="H10283" t="s">
        <v>41</v>
      </c>
      <c r="I10283" t="s">
        <v>2189</v>
      </c>
      <c r="J10283" s="10">
        <v>4.353</v>
      </c>
      <c r="K10283" t="b">
        <v>1</v>
      </c>
    </row>
    <row r="10284" spans="1:11">
      <c r="A10284" s="12">
        <v>42926</v>
      </c>
      <c r="B10284">
        <v>2017</v>
      </c>
      <c r="C10284">
        <v>7</v>
      </c>
      <c r="D10284" s="11">
        <v>42917</v>
      </c>
      <c r="E10284" t="s">
        <v>2179</v>
      </c>
      <c r="F10284">
        <v>1</v>
      </c>
      <c r="G10284" t="s">
        <v>61</v>
      </c>
      <c r="H10284" t="s">
        <v>42</v>
      </c>
      <c r="I10284" t="s">
        <v>2190</v>
      </c>
      <c r="J10284" s="10">
        <v>4</v>
      </c>
      <c r="K10284" t="b">
        <v>1</v>
      </c>
    </row>
    <row r="10285" spans="1:11">
      <c r="A10285" s="12">
        <v>42926</v>
      </c>
      <c r="B10285">
        <v>2017</v>
      </c>
      <c r="C10285">
        <v>7</v>
      </c>
      <c r="D10285" s="11">
        <v>42917</v>
      </c>
      <c r="E10285" t="s">
        <v>2179</v>
      </c>
      <c r="F10285">
        <v>1</v>
      </c>
      <c r="G10285" t="s">
        <v>61</v>
      </c>
      <c r="H10285" t="s">
        <v>43</v>
      </c>
      <c r="I10285" t="s">
        <v>2191</v>
      </c>
      <c r="J10285" s="10">
        <v>12</v>
      </c>
      <c r="K10285" t="b">
        <v>1</v>
      </c>
    </row>
    <row r="10286" spans="1:11">
      <c r="A10286" s="12">
        <v>42926</v>
      </c>
      <c r="B10286">
        <v>2017</v>
      </c>
      <c r="C10286">
        <v>7</v>
      </c>
      <c r="D10286" s="11">
        <v>42917</v>
      </c>
      <c r="E10286" t="s">
        <v>2179</v>
      </c>
      <c r="F10286">
        <v>1</v>
      </c>
      <c r="G10286" t="s">
        <v>61</v>
      </c>
      <c r="H10286" t="s">
        <v>44</v>
      </c>
      <c r="I10286" t="s">
        <v>2192</v>
      </c>
      <c r="J10286" s="10">
        <v>5</v>
      </c>
      <c r="K10286" t="b">
        <v>1</v>
      </c>
    </row>
    <row r="10287" spans="1:11">
      <c r="A10287" s="12">
        <v>42926</v>
      </c>
      <c r="B10287">
        <v>2017</v>
      </c>
      <c r="C10287">
        <v>7</v>
      </c>
      <c r="D10287" s="11">
        <v>42917</v>
      </c>
      <c r="E10287" t="s">
        <v>2179</v>
      </c>
      <c r="F10287">
        <v>1</v>
      </c>
      <c r="G10287" t="s">
        <v>61</v>
      </c>
      <c r="H10287" t="s">
        <v>45</v>
      </c>
      <c r="I10287" t="s">
        <v>2193</v>
      </c>
      <c r="J10287" s="10">
        <v>2</v>
      </c>
      <c r="K10287" t="b">
        <v>1</v>
      </c>
    </row>
    <row r="10288" spans="1:11">
      <c r="A10288" s="12">
        <v>42926</v>
      </c>
      <c r="B10288">
        <v>2017</v>
      </c>
      <c r="C10288">
        <v>7</v>
      </c>
      <c r="D10288" s="11">
        <v>42917</v>
      </c>
      <c r="E10288" t="s">
        <v>2179</v>
      </c>
      <c r="F10288">
        <v>1</v>
      </c>
      <c r="G10288" t="s">
        <v>61</v>
      </c>
      <c r="H10288" t="s">
        <v>46</v>
      </c>
      <c r="I10288" t="s">
        <v>2194</v>
      </c>
      <c r="J10288" s="10">
        <v>7</v>
      </c>
      <c r="K10288" t="b">
        <v>1</v>
      </c>
    </row>
    <row r="10289" spans="1:11">
      <c r="A10289" s="12">
        <v>42926</v>
      </c>
      <c r="B10289">
        <v>2017</v>
      </c>
      <c r="C10289">
        <v>7</v>
      </c>
      <c r="D10289" s="11">
        <v>42917</v>
      </c>
      <c r="E10289" t="s">
        <v>2179</v>
      </c>
      <c r="F10289">
        <v>1</v>
      </c>
      <c r="G10289" t="s">
        <v>61</v>
      </c>
      <c r="H10289" t="s">
        <v>47</v>
      </c>
      <c r="I10289" t="s">
        <v>2195</v>
      </c>
      <c r="J10289" s="10">
        <v>3</v>
      </c>
      <c r="K10289" t="b">
        <v>1</v>
      </c>
    </row>
    <row r="10290" spans="1:11">
      <c r="A10290" s="12">
        <v>42927</v>
      </c>
      <c r="B10290">
        <v>2017</v>
      </c>
      <c r="C10290">
        <v>7</v>
      </c>
      <c r="D10290" s="11">
        <v>42917</v>
      </c>
      <c r="E10290" t="s">
        <v>2179</v>
      </c>
      <c r="F10290">
        <v>2</v>
      </c>
      <c r="G10290" t="s">
        <v>63</v>
      </c>
      <c r="H10290" t="s">
        <v>40</v>
      </c>
      <c r="I10290" t="s">
        <v>2188</v>
      </c>
      <c r="J10290" s="10">
        <v>3.34</v>
      </c>
      <c r="K10290" t="b">
        <v>1</v>
      </c>
    </row>
    <row r="10291" spans="1:11">
      <c r="A10291" s="12">
        <v>42927</v>
      </c>
      <c r="B10291">
        <v>2017</v>
      </c>
      <c r="C10291">
        <v>7</v>
      </c>
      <c r="D10291" s="11">
        <v>42917</v>
      </c>
      <c r="E10291" t="s">
        <v>2179</v>
      </c>
      <c r="F10291">
        <v>2</v>
      </c>
      <c r="G10291" t="s">
        <v>63</v>
      </c>
      <c r="H10291" t="s">
        <v>41</v>
      </c>
      <c r="I10291" t="s">
        <v>2189</v>
      </c>
      <c r="J10291" s="10">
        <v>0.68</v>
      </c>
      <c r="K10291" t="b">
        <v>1</v>
      </c>
    </row>
    <row r="10292" spans="1:11">
      <c r="A10292" s="12">
        <v>42927</v>
      </c>
      <c r="B10292">
        <v>2017</v>
      </c>
      <c r="C10292">
        <v>7</v>
      </c>
      <c r="D10292" s="11">
        <v>42917</v>
      </c>
      <c r="E10292" t="s">
        <v>2179</v>
      </c>
      <c r="F10292">
        <v>2</v>
      </c>
      <c r="G10292" t="s">
        <v>63</v>
      </c>
      <c r="H10292" t="s">
        <v>42</v>
      </c>
      <c r="I10292" t="s">
        <v>2190</v>
      </c>
      <c r="J10292" s="10">
        <v>0</v>
      </c>
      <c r="K10292" t="b">
        <v>1</v>
      </c>
    </row>
    <row r="10293" spans="1:11">
      <c r="A10293" s="12">
        <v>42927</v>
      </c>
      <c r="B10293">
        <v>2017</v>
      </c>
      <c r="C10293">
        <v>7</v>
      </c>
      <c r="D10293" s="11">
        <v>42917</v>
      </c>
      <c r="E10293" t="s">
        <v>2179</v>
      </c>
      <c r="F10293">
        <v>2</v>
      </c>
      <c r="G10293" t="s">
        <v>63</v>
      </c>
      <c r="H10293" t="s">
        <v>43</v>
      </c>
      <c r="I10293" t="s">
        <v>2191</v>
      </c>
      <c r="J10293" s="10">
        <v>18</v>
      </c>
      <c r="K10293" t="b">
        <v>1</v>
      </c>
    </row>
    <row r="10294" spans="1:11">
      <c r="A10294" s="12">
        <v>42927</v>
      </c>
      <c r="B10294">
        <v>2017</v>
      </c>
      <c r="C10294">
        <v>7</v>
      </c>
      <c r="D10294" s="11">
        <v>42917</v>
      </c>
      <c r="E10294" t="s">
        <v>2179</v>
      </c>
      <c r="F10294">
        <v>2</v>
      </c>
      <c r="G10294" t="s">
        <v>63</v>
      </c>
      <c r="H10294" t="s">
        <v>44</v>
      </c>
      <c r="I10294" t="s">
        <v>2192</v>
      </c>
      <c r="J10294" s="10">
        <v>2</v>
      </c>
      <c r="K10294" t="b">
        <v>1</v>
      </c>
    </row>
    <row r="10295" spans="1:11">
      <c r="A10295" s="12">
        <v>42927</v>
      </c>
      <c r="B10295">
        <v>2017</v>
      </c>
      <c r="C10295">
        <v>7</v>
      </c>
      <c r="D10295" s="11">
        <v>42917</v>
      </c>
      <c r="E10295" t="s">
        <v>2179</v>
      </c>
      <c r="F10295">
        <v>2</v>
      </c>
      <c r="G10295" t="s">
        <v>63</v>
      </c>
      <c r="H10295" t="s">
        <v>45</v>
      </c>
      <c r="I10295" t="s">
        <v>2193</v>
      </c>
      <c r="J10295" s="10">
        <v>0</v>
      </c>
      <c r="K10295" t="b">
        <v>1</v>
      </c>
    </row>
    <row r="10296" spans="1:11">
      <c r="A10296" s="12">
        <v>42927</v>
      </c>
      <c r="B10296">
        <v>2017</v>
      </c>
      <c r="C10296">
        <v>7</v>
      </c>
      <c r="D10296" s="11">
        <v>42917</v>
      </c>
      <c r="E10296" t="s">
        <v>2179</v>
      </c>
      <c r="F10296">
        <v>2</v>
      </c>
      <c r="G10296" t="s">
        <v>63</v>
      </c>
      <c r="H10296" t="s">
        <v>46</v>
      </c>
      <c r="I10296" t="s">
        <v>2194</v>
      </c>
      <c r="J10296" s="10">
        <v>7</v>
      </c>
      <c r="K10296" t="b">
        <v>1</v>
      </c>
    </row>
    <row r="10297" spans="1:11">
      <c r="A10297" s="12">
        <v>42927</v>
      </c>
      <c r="B10297">
        <v>2017</v>
      </c>
      <c r="C10297">
        <v>7</v>
      </c>
      <c r="D10297" s="11">
        <v>42917</v>
      </c>
      <c r="E10297" t="s">
        <v>2179</v>
      </c>
      <c r="F10297">
        <v>2</v>
      </c>
      <c r="G10297" t="s">
        <v>63</v>
      </c>
      <c r="H10297" t="s">
        <v>47</v>
      </c>
      <c r="I10297" t="s">
        <v>2195</v>
      </c>
      <c r="J10297" s="10">
        <v>2</v>
      </c>
      <c r="K10297" t="b">
        <v>1</v>
      </c>
    </row>
    <row r="10298" spans="1:11">
      <c r="A10298" s="12">
        <v>42928</v>
      </c>
      <c r="B10298">
        <v>2017</v>
      </c>
      <c r="C10298">
        <v>7</v>
      </c>
      <c r="D10298" s="11">
        <v>42917</v>
      </c>
      <c r="E10298" t="s">
        <v>2179</v>
      </c>
      <c r="F10298">
        <v>3</v>
      </c>
      <c r="G10298" t="s">
        <v>65</v>
      </c>
      <c r="H10298" t="s">
        <v>40</v>
      </c>
      <c r="I10298" t="s">
        <v>2188</v>
      </c>
      <c r="J10298" s="10">
        <v>2</v>
      </c>
      <c r="K10298" t="b">
        <v>1</v>
      </c>
    </row>
    <row r="10299" spans="1:11">
      <c r="A10299" s="12">
        <v>42928</v>
      </c>
      <c r="B10299">
        <v>2017</v>
      </c>
      <c r="C10299">
        <v>7</v>
      </c>
      <c r="D10299" s="11">
        <v>42917</v>
      </c>
      <c r="E10299" t="s">
        <v>2179</v>
      </c>
      <c r="F10299">
        <v>3</v>
      </c>
      <c r="G10299" t="s">
        <v>65</v>
      </c>
      <c r="H10299" t="s">
        <v>41</v>
      </c>
      <c r="I10299" t="s">
        <v>2189</v>
      </c>
      <c r="J10299" s="10">
        <v>5.34</v>
      </c>
      <c r="K10299" t="b">
        <v>1</v>
      </c>
    </row>
    <row r="10300" spans="1:11">
      <c r="A10300" s="12">
        <v>42928</v>
      </c>
      <c r="B10300">
        <v>2017</v>
      </c>
      <c r="C10300">
        <v>7</v>
      </c>
      <c r="D10300" s="11">
        <v>42917</v>
      </c>
      <c r="E10300" t="s">
        <v>2179</v>
      </c>
      <c r="F10300">
        <v>3</v>
      </c>
      <c r="G10300" t="s">
        <v>65</v>
      </c>
      <c r="H10300" t="s">
        <v>42</v>
      </c>
      <c r="I10300" t="s">
        <v>2190</v>
      </c>
      <c r="J10300" s="10">
        <v>0</v>
      </c>
      <c r="K10300" t="b">
        <v>1</v>
      </c>
    </row>
    <row r="10301" spans="1:11">
      <c r="A10301" s="12">
        <v>42928</v>
      </c>
      <c r="B10301">
        <v>2017</v>
      </c>
      <c r="C10301">
        <v>7</v>
      </c>
      <c r="D10301" s="11">
        <v>42917</v>
      </c>
      <c r="E10301" t="s">
        <v>2179</v>
      </c>
      <c r="F10301">
        <v>3</v>
      </c>
      <c r="G10301" t="s">
        <v>65</v>
      </c>
      <c r="H10301" t="s">
        <v>43</v>
      </c>
      <c r="I10301" t="s">
        <v>2191</v>
      </c>
      <c r="J10301" s="10">
        <v>15.4</v>
      </c>
      <c r="K10301" t="b">
        <v>1</v>
      </c>
    </row>
    <row r="10302" spans="1:11">
      <c r="A10302" s="12">
        <v>42928</v>
      </c>
      <c r="B10302">
        <v>2017</v>
      </c>
      <c r="C10302">
        <v>7</v>
      </c>
      <c r="D10302" s="11">
        <v>42917</v>
      </c>
      <c r="E10302" t="s">
        <v>2179</v>
      </c>
      <c r="F10302">
        <v>3</v>
      </c>
      <c r="G10302" t="s">
        <v>65</v>
      </c>
      <c r="H10302" t="s">
        <v>44</v>
      </c>
      <c r="I10302" t="s">
        <v>2192</v>
      </c>
      <c r="J10302" s="10">
        <v>12</v>
      </c>
      <c r="K10302" t="b">
        <v>1</v>
      </c>
    </row>
    <row r="10303" spans="1:11">
      <c r="A10303" s="12">
        <v>42928</v>
      </c>
      <c r="B10303">
        <v>2017</v>
      </c>
      <c r="C10303">
        <v>7</v>
      </c>
      <c r="D10303" s="11">
        <v>42917</v>
      </c>
      <c r="E10303" t="s">
        <v>2179</v>
      </c>
      <c r="F10303">
        <v>3</v>
      </c>
      <c r="G10303" t="s">
        <v>65</v>
      </c>
      <c r="H10303" t="s">
        <v>45</v>
      </c>
      <c r="I10303" t="s">
        <v>2193</v>
      </c>
      <c r="J10303" s="10">
        <v>0</v>
      </c>
      <c r="K10303" t="b">
        <v>1</v>
      </c>
    </row>
    <row r="10304" spans="1:11">
      <c r="A10304" s="12">
        <v>42928</v>
      </c>
      <c r="B10304">
        <v>2017</v>
      </c>
      <c r="C10304">
        <v>7</v>
      </c>
      <c r="D10304" s="11">
        <v>42917</v>
      </c>
      <c r="E10304" t="s">
        <v>2179</v>
      </c>
      <c r="F10304">
        <v>3</v>
      </c>
      <c r="G10304" t="s">
        <v>65</v>
      </c>
      <c r="H10304" t="s">
        <v>46</v>
      </c>
      <c r="I10304" t="s">
        <v>2194</v>
      </c>
      <c r="J10304" s="10">
        <v>3</v>
      </c>
      <c r="K10304" t="b">
        <v>1</v>
      </c>
    </row>
    <row r="10305" spans="1:11">
      <c r="A10305" s="12">
        <v>42928</v>
      </c>
      <c r="B10305">
        <v>2017</v>
      </c>
      <c r="C10305">
        <v>7</v>
      </c>
      <c r="D10305" s="11">
        <v>42917</v>
      </c>
      <c r="E10305" t="s">
        <v>2179</v>
      </c>
      <c r="F10305">
        <v>3</v>
      </c>
      <c r="G10305" t="s">
        <v>65</v>
      </c>
      <c r="H10305" t="s">
        <v>47</v>
      </c>
      <c r="I10305" t="s">
        <v>2195</v>
      </c>
      <c r="J10305" s="10">
        <v>0</v>
      </c>
      <c r="K10305" t="b">
        <v>1</v>
      </c>
    </row>
    <row r="10306" spans="1:11">
      <c r="A10306" s="12">
        <v>42929</v>
      </c>
      <c r="B10306">
        <v>2017</v>
      </c>
      <c r="C10306">
        <v>7</v>
      </c>
      <c r="D10306" s="11">
        <v>42917</v>
      </c>
      <c r="E10306" t="s">
        <v>2179</v>
      </c>
      <c r="F10306">
        <v>4</v>
      </c>
      <c r="G10306" t="s">
        <v>53</v>
      </c>
      <c r="H10306" t="s">
        <v>40</v>
      </c>
      <c r="I10306" t="s">
        <v>2188</v>
      </c>
      <c r="J10306" s="10">
        <v>3.33</v>
      </c>
      <c r="K10306" t="b">
        <v>1</v>
      </c>
    </row>
    <row r="10307" spans="1:11">
      <c r="A10307" s="12">
        <v>42929</v>
      </c>
      <c r="B10307">
        <v>2017</v>
      </c>
      <c r="C10307">
        <v>7</v>
      </c>
      <c r="D10307" s="11">
        <v>42917</v>
      </c>
      <c r="E10307" t="s">
        <v>2179</v>
      </c>
      <c r="F10307">
        <v>4</v>
      </c>
      <c r="G10307" t="s">
        <v>53</v>
      </c>
      <c r="H10307" t="s">
        <v>41</v>
      </c>
      <c r="I10307" t="s">
        <v>2189</v>
      </c>
      <c r="J10307" s="10">
        <v>3.34</v>
      </c>
      <c r="K10307" t="b">
        <v>1</v>
      </c>
    </row>
    <row r="10308" spans="1:11">
      <c r="A10308" s="12">
        <v>42929</v>
      </c>
      <c r="B10308">
        <v>2017</v>
      </c>
      <c r="C10308">
        <v>7</v>
      </c>
      <c r="D10308" s="11">
        <v>42917</v>
      </c>
      <c r="E10308" t="s">
        <v>2179</v>
      </c>
      <c r="F10308">
        <v>4</v>
      </c>
      <c r="G10308" t="s">
        <v>53</v>
      </c>
      <c r="H10308" t="s">
        <v>42</v>
      </c>
      <c r="I10308" t="s">
        <v>2190</v>
      </c>
      <c r="J10308" s="10">
        <v>2.15</v>
      </c>
      <c r="K10308" t="b">
        <v>1</v>
      </c>
    </row>
    <row r="10309" spans="1:11">
      <c r="A10309" s="12">
        <v>42929</v>
      </c>
      <c r="B10309">
        <v>2017</v>
      </c>
      <c r="C10309">
        <v>7</v>
      </c>
      <c r="D10309" s="11">
        <v>42917</v>
      </c>
      <c r="E10309" t="s">
        <v>2179</v>
      </c>
      <c r="F10309">
        <v>4</v>
      </c>
      <c r="G10309" t="s">
        <v>53</v>
      </c>
      <c r="H10309" t="s">
        <v>43</v>
      </c>
      <c r="I10309" t="s">
        <v>2191</v>
      </c>
      <c r="J10309" s="10">
        <v>9.6</v>
      </c>
      <c r="K10309" t="b">
        <v>1</v>
      </c>
    </row>
    <row r="10310" spans="1:11">
      <c r="A10310" s="12">
        <v>42929</v>
      </c>
      <c r="B10310">
        <v>2017</v>
      </c>
      <c r="C10310">
        <v>7</v>
      </c>
      <c r="D10310" s="11">
        <v>42917</v>
      </c>
      <c r="E10310" t="s">
        <v>2179</v>
      </c>
      <c r="F10310">
        <v>4</v>
      </c>
      <c r="G10310" t="s">
        <v>53</v>
      </c>
      <c r="H10310" t="s">
        <v>44</v>
      </c>
      <c r="I10310" t="s">
        <v>2192</v>
      </c>
      <c r="J10310" s="10">
        <v>5</v>
      </c>
      <c r="K10310" t="b">
        <v>1</v>
      </c>
    </row>
    <row r="10311" spans="1:11">
      <c r="A10311" s="12">
        <v>42929</v>
      </c>
      <c r="B10311">
        <v>2017</v>
      </c>
      <c r="C10311">
        <v>7</v>
      </c>
      <c r="D10311" s="11">
        <v>42917</v>
      </c>
      <c r="E10311" t="s">
        <v>2179</v>
      </c>
      <c r="F10311">
        <v>4</v>
      </c>
      <c r="G10311" t="s">
        <v>53</v>
      </c>
      <c r="H10311" t="s">
        <v>45</v>
      </c>
      <c r="I10311" t="s">
        <v>2193</v>
      </c>
      <c r="J10311" s="10">
        <v>3</v>
      </c>
      <c r="K10311" t="b">
        <v>1</v>
      </c>
    </row>
    <row r="10312" spans="1:11">
      <c r="A10312" s="12">
        <v>42929</v>
      </c>
      <c r="B10312">
        <v>2017</v>
      </c>
      <c r="C10312">
        <v>7</v>
      </c>
      <c r="D10312" s="11">
        <v>42917</v>
      </c>
      <c r="E10312" t="s">
        <v>2179</v>
      </c>
      <c r="F10312">
        <v>4</v>
      </c>
      <c r="G10312" t="s">
        <v>53</v>
      </c>
      <c r="H10312" t="s">
        <v>46</v>
      </c>
      <c r="I10312" t="s">
        <v>2194</v>
      </c>
      <c r="J10312" s="10">
        <v>3</v>
      </c>
      <c r="K10312" t="b">
        <v>1</v>
      </c>
    </row>
    <row r="10313" spans="1:11">
      <c r="A10313" s="12">
        <v>42929</v>
      </c>
      <c r="B10313">
        <v>2017</v>
      </c>
      <c r="C10313">
        <v>7</v>
      </c>
      <c r="D10313" s="11">
        <v>42917</v>
      </c>
      <c r="E10313" t="s">
        <v>2179</v>
      </c>
      <c r="F10313">
        <v>4</v>
      </c>
      <c r="G10313" t="s">
        <v>53</v>
      </c>
      <c r="H10313" t="s">
        <v>47</v>
      </c>
      <c r="I10313" t="s">
        <v>2195</v>
      </c>
      <c r="J10313" s="10">
        <v>2</v>
      </c>
      <c r="K10313" t="b">
        <v>1</v>
      </c>
    </row>
    <row r="10314" spans="1:11">
      <c r="A10314" s="12">
        <v>42930</v>
      </c>
      <c r="B10314">
        <v>2017</v>
      </c>
      <c r="C10314">
        <v>7</v>
      </c>
      <c r="D10314" s="11">
        <v>42917</v>
      </c>
      <c r="E10314" t="s">
        <v>2179</v>
      </c>
      <c r="F10314">
        <v>5</v>
      </c>
      <c r="G10314" t="s">
        <v>55</v>
      </c>
      <c r="H10314" t="s">
        <v>40</v>
      </c>
      <c r="I10314" t="s">
        <v>2188</v>
      </c>
      <c r="J10314" s="10">
        <v>2.33</v>
      </c>
      <c r="K10314" t="b">
        <v>1</v>
      </c>
    </row>
    <row r="10315" spans="1:11">
      <c r="A10315" s="12">
        <v>42930</v>
      </c>
      <c r="B10315">
        <v>2017</v>
      </c>
      <c r="C10315">
        <v>7</v>
      </c>
      <c r="D10315" s="11">
        <v>42917</v>
      </c>
      <c r="E10315" t="s">
        <v>2179</v>
      </c>
      <c r="F10315">
        <v>5</v>
      </c>
      <c r="G10315" t="s">
        <v>55</v>
      </c>
      <c r="H10315" t="s">
        <v>41</v>
      </c>
      <c r="I10315" t="s">
        <v>2189</v>
      </c>
      <c r="J10315" s="10">
        <v>3.759</v>
      </c>
      <c r="K10315" t="b">
        <v>1</v>
      </c>
    </row>
    <row r="10316" spans="1:11">
      <c r="A10316" s="12">
        <v>42930</v>
      </c>
      <c r="B10316">
        <v>2017</v>
      </c>
      <c r="C10316">
        <v>7</v>
      </c>
      <c r="D10316" s="11">
        <v>42917</v>
      </c>
      <c r="E10316" t="s">
        <v>2179</v>
      </c>
      <c r="F10316">
        <v>5</v>
      </c>
      <c r="G10316" t="s">
        <v>55</v>
      </c>
      <c r="H10316" t="s">
        <v>42</v>
      </c>
      <c r="I10316" t="s">
        <v>2190</v>
      </c>
      <c r="J10316" s="10">
        <v>2</v>
      </c>
      <c r="K10316" t="b">
        <v>1</v>
      </c>
    </row>
    <row r="10317" spans="1:11">
      <c r="A10317" s="12">
        <v>42930</v>
      </c>
      <c r="B10317">
        <v>2017</v>
      </c>
      <c r="C10317">
        <v>7</v>
      </c>
      <c r="D10317" s="11">
        <v>42917</v>
      </c>
      <c r="E10317" t="s">
        <v>2179</v>
      </c>
      <c r="F10317">
        <v>5</v>
      </c>
      <c r="G10317" t="s">
        <v>55</v>
      </c>
      <c r="H10317" t="s">
        <v>43</v>
      </c>
      <c r="I10317" t="s">
        <v>2191</v>
      </c>
      <c r="J10317" s="10">
        <v>16</v>
      </c>
      <c r="K10317" t="b">
        <v>1</v>
      </c>
    </row>
    <row r="10318" spans="1:11">
      <c r="A10318" s="12">
        <v>42930</v>
      </c>
      <c r="B10318">
        <v>2017</v>
      </c>
      <c r="C10318">
        <v>7</v>
      </c>
      <c r="D10318" s="11">
        <v>42917</v>
      </c>
      <c r="E10318" t="s">
        <v>2179</v>
      </c>
      <c r="F10318">
        <v>5</v>
      </c>
      <c r="G10318" t="s">
        <v>55</v>
      </c>
      <c r="H10318" t="s">
        <v>44</v>
      </c>
      <c r="I10318" t="s">
        <v>2192</v>
      </c>
      <c r="J10318" s="10">
        <v>8</v>
      </c>
      <c r="K10318" t="b">
        <v>1</v>
      </c>
    </row>
    <row r="10319" spans="1:11">
      <c r="A10319" s="12">
        <v>42930</v>
      </c>
      <c r="B10319">
        <v>2017</v>
      </c>
      <c r="C10319">
        <v>7</v>
      </c>
      <c r="D10319" s="11">
        <v>42917</v>
      </c>
      <c r="E10319" t="s">
        <v>2179</v>
      </c>
      <c r="F10319">
        <v>5</v>
      </c>
      <c r="G10319" t="s">
        <v>55</v>
      </c>
      <c r="H10319" t="s">
        <v>45</v>
      </c>
      <c r="I10319" t="s">
        <v>2193</v>
      </c>
      <c r="J10319" s="10">
        <v>0</v>
      </c>
      <c r="K10319" t="b">
        <v>1</v>
      </c>
    </row>
    <row r="10320" spans="1:11">
      <c r="A10320" s="12">
        <v>42930</v>
      </c>
      <c r="B10320">
        <v>2017</v>
      </c>
      <c r="C10320">
        <v>7</v>
      </c>
      <c r="D10320" s="11">
        <v>42917</v>
      </c>
      <c r="E10320" t="s">
        <v>2179</v>
      </c>
      <c r="F10320">
        <v>5</v>
      </c>
      <c r="G10320" t="s">
        <v>55</v>
      </c>
      <c r="H10320" t="s">
        <v>46</v>
      </c>
      <c r="I10320" t="s">
        <v>2194</v>
      </c>
      <c r="J10320" s="10">
        <v>5</v>
      </c>
      <c r="K10320" t="b">
        <v>1</v>
      </c>
    </row>
    <row r="10321" spans="1:11">
      <c r="A10321" s="12">
        <v>42930</v>
      </c>
      <c r="B10321">
        <v>2017</v>
      </c>
      <c r="C10321">
        <v>7</v>
      </c>
      <c r="D10321" s="11">
        <v>42917</v>
      </c>
      <c r="E10321" t="s">
        <v>2179</v>
      </c>
      <c r="F10321">
        <v>5</v>
      </c>
      <c r="G10321" t="s">
        <v>55</v>
      </c>
      <c r="H10321" t="s">
        <v>47</v>
      </c>
      <c r="I10321" t="s">
        <v>2195</v>
      </c>
      <c r="J10321" s="10">
        <v>3</v>
      </c>
      <c r="K10321" t="b">
        <v>1</v>
      </c>
    </row>
    <row r="10322" spans="1:11">
      <c r="A10322" s="12">
        <v>42931</v>
      </c>
      <c r="B10322">
        <v>2017</v>
      </c>
      <c r="C10322">
        <v>7</v>
      </c>
      <c r="D10322" s="11">
        <v>42917</v>
      </c>
      <c r="E10322" t="s">
        <v>2179</v>
      </c>
      <c r="F10322">
        <v>6</v>
      </c>
      <c r="G10322" t="s">
        <v>57</v>
      </c>
      <c r="H10322" t="s">
        <v>40</v>
      </c>
      <c r="I10322" t="s">
        <v>2188</v>
      </c>
      <c r="J10322" s="10">
        <v>3.33</v>
      </c>
      <c r="K10322" t="b">
        <v>1</v>
      </c>
    </row>
    <row r="10323" spans="1:11">
      <c r="A10323" s="12">
        <v>42931</v>
      </c>
      <c r="B10323">
        <v>2017</v>
      </c>
      <c r="C10323">
        <v>7</v>
      </c>
      <c r="D10323" s="11">
        <v>42917</v>
      </c>
      <c r="E10323" t="s">
        <v>2179</v>
      </c>
      <c r="F10323">
        <v>6</v>
      </c>
      <c r="G10323" t="s">
        <v>57</v>
      </c>
      <c r="H10323" t="s">
        <v>41</v>
      </c>
      <c r="I10323" t="s">
        <v>2189</v>
      </c>
      <c r="J10323" s="10">
        <v>9.34</v>
      </c>
      <c r="K10323" t="b">
        <v>1</v>
      </c>
    </row>
    <row r="10324" spans="1:11">
      <c r="A10324" s="12">
        <v>42931</v>
      </c>
      <c r="B10324">
        <v>2017</v>
      </c>
      <c r="C10324">
        <v>7</v>
      </c>
      <c r="D10324" s="11">
        <v>42917</v>
      </c>
      <c r="E10324" t="s">
        <v>2179</v>
      </c>
      <c r="F10324">
        <v>6</v>
      </c>
      <c r="G10324" t="s">
        <v>57</v>
      </c>
      <c r="H10324" t="s">
        <v>42</v>
      </c>
      <c r="I10324" t="s">
        <v>2190</v>
      </c>
      <c r="J10324" s="10">
        <v>3</v>
      </c>
      <c r="K10324" t="b">
        <v>1</v>
      </c>
    </row>
    <row r="10325" spans="1:11">
      <c r="A10325" s="12">
        <v>42931</v>
      </c>
      <c r="B10325">
        <v>2017</v>
      </c>
      <c r="C10325">
        <v>7</v>
      </c>
      <c r="D10325" s="11">
        <v>42917</v>
      </c>
      <c r="E10325" t="s">
        <v>2179</v>
      </c>
      <c r="F10325">
        <v>6</v>
      </c>
      <c r="G10325" t="s">
        <v>57</v>
      </c>
      <c r="H10325" t="s">
        <v>43</v>
      </c>
      <c r="I10325" t="s">
        <v>2191</v>
      </c>
      <c r="J10325" s="10">
        <v>21</v>
      </c>
      <c r="K10325" t="b">
        <v>1</v>
      </c>
    </row>
    <row r="10326" spans="1:11">
      <c r="A10326" s="12">
        <v>42931</v>
      </c>
      <c r="B10326">
        <v>2017</v>
      </c>
      <c r="C10326">
        <v>7</v>
      </c>
      <c r="D10326" s="11">
        <v>42917</v>
      </c>
      <c r="E10326" t="s">
        <v>2179</v>
      </c>
      <c r="F10326">
        <v>6</v>
      </c>
      <c r="G10326" t="s">
        <v>57</v>
      </c>
      <c r="H10326" t="s">
        <v>44</v>
      </c>
      <c r="I10326" t="s">
        <v>2192</v>
      </c>
      <c r="J10326" s="10">
        <v>3</v>
      </c>
      <c r="K10326" t="b">
        <v>1</v>
      </c>
    </row>
    <row r="10327" spans="1:11">
      <c r="A10327" s="12">
        <v>42931</v>
      </c>
      <c r="B10327">
        <v>2017</v>
      </c>
      <c r="C10327">
        <v>7</v>
      </c>
      <c r="D10327" s="11">
        <v>42917</v>
      </c>
      <c r="E10327" t="s">
        <v>2179</v>
      </c>
      <c r="F10327">
        <v>6</v>
      </c>
      <c r="G10327" t="s">
        <v>57</v>
      </c>
      <c r="H10327" t="s">
        <v>45</v>
      </c>
      <c r="I10327" t="s">
        <v>2193</v>
      </c>
      <c r="J10327" s="10">
        <v>0</v>
      </c>
      <c r="K10327" t="b">
        <v>1</v>
      </c>
    </row>
    <row r="10328" spans="1:11">
      <c r="A10328" s="12">
        <v>42931</v>
      </c>
      <c r="B10328">
        <v>2017</v>
      </c>
      <c r="C10328">
        <v>7</v>
      </c>
      <c r="D10328" s="11">
        <v>42917</v>
      </c>
      <c r="E10328" t="s">
        <v>2179</v>
      </c>
      <c r="F10328">
        <v>6</v>
      </c>
      <c r="G10328" t="s">
        <v>57</v>
      </c>
      <c r="H10328" t="s">
        <v>46</v>
      </c>
      <c r="I10328" t="s">
        <v>2194</v>
      </c>
      <c r="J10328" s="10">
        <v>0</v>
      </c>
      <c r="K10328" t="b">
        <v>1</v>
      </c>
    </row>
    <row r="10329" spans="1:11">
      <c r="A10329" s="12">
        <v>42931</v>
      </c>
      <c r="B10329">
        <v>2017</v>
      </c>
      <c r="C10329">
        <v>7</v>
      </c>
      <c r="D10329" s="11">
        <v>42917</v>
      </c>
      <c r="E10329" t="s">
        <v>2179</v>
      </c>
      <c r="F10329">
        <v>6</v>
      </c>
      <c r="G10329" t="s">
        <v>57</v>
      </c>
      <c r="H10329" t="s">
        <v>47</v>
      </c>
      <c r="I10329" t="s">
        <v>2195</v>
      </c>
      <c r="J10329" s="10">
        <v>2</v>
      </c>
      <c r="K10329" t="b">
        <v>1</v>
      </c>
    </row>
    <row r="10330" spans="1:11">
      <c r="A10330" s="12">
        <v>42932</v>
      </c>
      <c r="B10330">
        <v>2017</v>
      </c>
      <c r="C10330">
        <v>7</v>
      </c>
      <c r="D10330" s="11">
        <v>42917</v>
      </c>
      <c r="E10330" t="s">
        <v>2179</v>
      </c>
      <c r="F10330">
        <v>7</v>
      </c>
      <c r="G10330" t="s">
        <v>59</v>
      </c>
      <c r="H10330" t="s">
        <v>40</v>
      </c>
      <c r="I10330" t="s">
        <v>2188</v>
      </c>
      <c r="J10330" s="10">
        <v>11.34</v>
      </c>
      <c r="K10330" t="b">
        <v>1</v>
      </c>
    </row>
    <row r="10331" spans="1:11">
      <c r="A10331" s="12">
        <v>42932</v>
      </c>
      <c r="B10331">
        <v>2017</v>
      </c>
      <c r="C10331">
        <v>7</v>
      </c>
      <c r="D10331" s="11">
        <v>42917</v>
      </c>
      <c r="E10331" t="s">
        <v>2179</v>
      </c>
      <c r="F10331">
        <v>7</v>
      </c>
      <c r="G10331" t="s">
        <v>59</v>
      </c>
      <c r="H10331" t="s">
        <v>41</v>
      </c>
      <c r="I10331" t="s">
        <v>2189</v>
      </c>
      <c r="J10331" s="10">
        <v>9.34</v>
      </c>
      <c r="K10331" t="b">
        <v>1</v>
      </c>
    </row>
    <row r="10332" spans="1:11">
      <c r="A10332" s="12">
        <v>42932</v>
      </c>
      <c r="B10332">
        <v>2017</v>
      </c>
      <c r="C10332">
        <v>7</v>
      </c>
      <c r="D10332" s="11">
        <v>42917</v>
      </c>
      <c r="E10332" t="s">
        <v>2179</v>
      </c>
      <c r="F10332">
        <v>7</v>
      </c>
      <c r="G10332" t="s">
        <v>59</v>
      </c>
      <c r="H10332" t="s">
        <v>42</v>
      </c>
      <c r="I10332" t="s">
        <v>2190</v>
      </c>
      <c r="J10332" s="10">
        <v>3</v>
      </c>
      <c r="K10332" t="b">
        <v>1</v>
      </c>
    </row>
    <row r="10333" spans="1:11">
      <c r="A10333" s="12">
        <v>42932</v>
      </c>
      <c r="B10333">
        <v>2017</v>
      </c>
      <c r="C10333">
        <v>7</v>
      </c>
      <c r="D10333" s="11">
        <v>42917</v>
      </c>
      <c r="E10333" t="s">
        <v>2179</v>
      </c>
      <c r="F10333">
        <v>7</v>
      </c>
      <c r="G10333" t="s">
        <v>59</v>
      </c>
      <c r="H10333" t="s">
        <v>43</v>
      </c>
      <c r="I10333" t="s">
        <v>2191</v>
      </c>
      <c r="J10333" s="10">
        <v>19</v>
      </c>
      <c r="K10333" t="b">
        <v>1</v>
      </c>
    </row>
    <row r="10334" spans="1:11">
      <c r="A10334" s="12">
        <v>42932</v>
      </c>
      <c r="B10334">
        <v>2017</v>
      </c>
      <c r="C10334">
        <v>7</v>
      </c>
      <c r="D10334" s="11">
        <v>42917</v>
      </c>
      <c r="E10334" t="s">
        <v>2179</v>
      </c>
      <c r="F10334">
        <v>7</v>
      </c>
      <c r="G10334" t="s">
        <v>59</v>
      </c>
      <c r="H10334" t="s">
        <v>44</v>
      </c>
      <c r="I10334" t="s">
        <v>2192</v>
      </c>
      <c r="J10334" s="10">
        <v>6</v>
      </c>
      <c r="K10334" t="b">
        <v>1</v>
      </c>
    </row>
    <row r="10335" spans="1:11">
      <c r="A10335" s="12">
        <v>42932</v>
      </c>
      <c r="B10335">
        <v>2017</v>
      </c>
      <c r="C10335">
        <v>7</v>
      </c>
      <c r="D10335" s="11">
        <v>42917</v>
      </c>
      <c r="E10335" t="s">
        <v>2179</v>
      </c>
      <c r="F10335">
        <v>7</v>
      </c>
      <c r="G10335" t="s">
        <v>59</v>
      </c>
      <c r="H10335" t="s">
        <v>45</v>
      </c>
      <c r="I10335" t="s">
        <v>2193</v>
      </c>
      <c r="J10335" s="10">
        <v>0</v>
      </c>
      <c r="K10335" t="b">
        <v>1</v>
      </c>
    </row>
    <row r="10336" spans="1:11">
      <c r="A10336" s="12">
        <v>42932</v>
      </c>
      <c r="B10336">
        <v>2017</v>
      </c>
      <c r="C10336">
        <v>7</v>
      </c>
      <c r="D10336" s="11">
        <v>42917</v>
      </c>
      <c r="E10336" t="s">
        <v>2179</v>
      </c>
      <c r="F10336">
        <v>7</v>
      </c>
      <c r="G10336" t="s">
        <v>59</v>
      </c>
      <c r="H10336" t="s">
        <v>46</v>
      </c>
      <c r="I10336" t="s">
        <v>2194</v>
      </c>
      <c r="J10336" s="10">
        <v>0</v>
      </c>
      <c r="K10336" t="b">
        <v>1</v>
      </c>
    </row>
    <row r="10337" spans="1:11">
      <c r="A10337" s="12">
        <v>42932</v>
      </c>
      <c r="B10337">
        <v>2017</v>
      </c>
      <c r="C10337">
        <v>7</v>
      </c>
      <c r="D10337" s="11">
        <v>42917</v>
      </c>
      <c r="E10337" t="s">
        <v>2179</v>
      </c>
      <c r="F10337">
        <v>7</v>
      </c>
      <c r="G10337" t="s">
        <v>59</v>
      </c>
      <c r="H10337" t="s">
        <v>47</v>
      </c>
      <c r="I10337" t="s">
        <v>2195</v>
      </c>
      <c r="J10337" s="10">
        <v>1</v>
      </c>
      <c r="K10337" t="b">
        <v>1</v>
      </c>
    </row>
    <row r="10338" spans="1:11">
      <c r="A10338" s="12">
        <v>42933</v>
      </c>
      <c r="B10338">
        <v>2017</v>
      </c>
      <c r="C10338">
        <v>7</v>
      </c>
      <c r="D10338" s="11">
        <v>42917</v>
      </c>
      <c r="E10338" t="s">
        <v>2179</v>
      </c>
      <c r="F10338">
        <v>1</v>
      </c>
      <c r="G10338" t="s">
        <v>61</v>
      </c>
      <c r="H10338" t="s">
        <v>40</v>
      </c>
      <c r="I10338" t="s">
        <v>2188</v>
      </c>
      <c r="J10338" s="10">
        <v>9</v>
      </c>
      <c r="K10338" t="b">
        <v>1</v>
      </c>
    </row>
    <row r="10339" spans="1:11">
      <c r="A10339" s="12">
        <v>42933</v>
      </c>
      <c r="B10339">
        <v>2017</v>
      </c>
      <c r="C10339">
        <v>7</v>
      </c>
      <c r="D10339" s="11">
        <v>42917</v>
      </c>
      <c r="E10339" t="s">
        <v>2179</v>
      </c>
      <c r="F10339">
        <v>1</v>
      </c>
      <c r="G10339" t="s">
        <v>61</v>
      </c>
      <c r="H10339" t="s">
        <v>41</v>
      </c>
      <c r="I10339" t="s">
        <v>2189</v>
      </c>
      <c r="J10339" s="10">
        <v>4.747</v>
      </c>
      <c r="K10339" t="b">
        <v>1</v>
      </c>
    </row>
    <row r="10340" spans="1:11">
      <c r="A10340" s="12">
        <v>42933</v>
      </c>
      <c r="B10340">
        <v>2017</v>
      </c>
      <c r="C10340">
        <v>7</v>
      </c>
      <c r="D10340" s="11">
        <v>42917</v>
      </c>
      <c r="E10340" t="s">
        <v>2179</v>
      </c>
      <c r="F10340">
        <v>1</v>
      </c>
      <c r="G10340" t="s">
        <v>61</v>
      </c>
      <c r="H10340" t="s">
        <v>42</v>
      </c>
      <c r="I10340" t="s">
        <v>2190</v>
      </c>
      <c r="J10340" s="10">
        <v>3</v>
      </c>
      <c r="K10340" t="b">
        <v>1</v>
      </c>
    </row>
    <row r="10341" spans="1:11">
      <c r="A10341" s="12">
        <v>42933</v>
      </c>
      <c r="B10341">
        <v>2017</v>
      </c>
      <c r="C10341">
        <v>7</v>
      </c>
      <c r="D10341" s="11">
        <v>42917</v>
      </c>
      <c r="E10341" t="s">
        <v>2179</v>
      </c>
      <c r="F10341">
        <v>1</v>
      </c>
      <c r="G10341" t="s">
        <v>61</v>
      </c>
      <c r="H10341" t="s">
        <v>43</v>
      </c>
      <c r="I10341" t="s">
        <v>2191</v>
      </c>
      <c r="J10341" s="10">
        <v>16.4</v>
      </c>
      <c r="K10341" t="b">
        <v>1</v>
      </c>
    </row>
    <row r="10342" spans="1:11">
      <c r="A10342" s="12">
        <v>42933</v>
      </c>
      <c r="B10342">
        <v>2017</v>
      </c>
      <c r="C10342">
        <v>7</v>
      </c>
      <c r="D10342" s="11">
        <v>42917</v>
      </c>
      <c r="E10342" t="s">
        <v>2179</v>
      </c>
      <c r="F10342">
        <v>1</v>
      </c>
      <c r="G10342" t="s">
        <v>61</v>
      </c>
      <c r="H10342" t="s">
        <v>44</v>
      </c>
      <c r="I10342" t="s">
        <v>2192</v>
      </c>
      <c r="J10342" s="10">
        <v>6</v>
      </c>
      <c r="K10342" t="b">
        <v>1</v>
      </c>
    </row>
    <row r="10343" spans="1:11">
      <c r="A10343" s="12">
        <v>42933</v>
      </c>
      <c r="B10343">
        <v>2017</v>
      </c>
      <c r="C10343">
        <v>7</v>
      </c>
      <c r="D10343" s="11">
        <v>42917</v>
      </c>
      <c r="E10343" t="s">
        <v>2179</v>
      </c>
      <c r="F10343">
        <v>1</v>
      </c>
      <c r="G10343" t="s">
        <v>61</v>
      </c>
      <c r="H10343" t="s">
        <v>45</v>
      </c>
      <c r="I10343" t="s">
        <v>2193</v>
      </c>
      <c r="J10343" s="10">
        <v>2</v>
      </c>
      <c r="K10343" t="b">
        <v>1</v>
      </c>
    </row>
    <row r="10344" spans="1:11">
      <c r="A10344" s="12">
        <v>42933</v>
      </c>
      <c r="B10344">
        <v>2017</v>
      </c>
      <c r="C10344">
        <v>7</v>
      </c>
      <c r="D10344" s="11">
        <v>42917</v>
      </c>
      <c r="E10344" t="s">
        <v>2179</v>
      </c>
      <c r="F10344">
        <v>1</v>
      </c>
      <c r="G10344" t="s">
        <v>61</v>
      </c>
      <c r="H10344" t="s">
        <v>46</v>
      </c>
      <c r="I10344" t="s">
        <v>2194</v>
      </c>
      <c r="J10344" s="10">
        <v>4</v>
      </c>
      <c r="K10344" t="b">
        <v>1</v>
      </c>
    </row>
    <row r="10345" spans="1:11">
      <c r="A10345" s="12">
        <v>42933</v>
      </c>
      <c r="B10345">
        <v>2017</v>
      </c>
      <c r="C10345">
        <v>7</v>
      </c>
      <c r="D10345" s="11">
        <v>42917</v>
      </c>
      <c r="E10345" t="s">
        <v>2179</v>
      </c>
      <c r="F10345">
        <v>1</v>
      </c>
      <c r="G10345" t="s">
        <v>61</v>
      </c>
      <c r="H10345" t="s">
        <v>47</v>
      </c>
      <c r="I10345" t="s">
        <v>2195</v>
      </c>
      <c r="J10345" s="10">
        <v>3</v>
      </c>
      <c r="K10345" t="b">
        <v>1</v>
      </c>
    </row>
    <row r="10346" spans="1:11">
      <c r="A10346" s="12">
        <v>42934</v>
      </c>
      <c r="B10346">
        <v>2017</v>
      </c>
      <c r="C10346">
        <v>7</v>
      </c>
      <c r="D10346" s="11">
        <v>42917</v>
      </c>
      <c r="E10346" t="s">
        <v>2179</v>
      </c>
      <c r="F10346">
        <v>2</v>
      </c>
      <c r="G10346" t="s">
        <v>63</v>
      </c>
      <c r="H10346" t="s">
        <v>40</v>
      </c>
      <c r="I10346" t="s">
        <v>2188</v>
      </c>
      <c r="J10346" s="10">
        <v>9.67</v>
      </c>
      <c r="K10346" t="b">
        <v>1</v>
      </c>
    </row>
    <row r="10347" spans="1:11">
      <c r="A10347" s="12">
        <v>42934</v>
      </c>
      <c r="B10347">
        <v>2017</v>
      </c>
      <c r="C10347">
        <v>7</v>
      </c>
      <c r="D10347" s="11">
        <v>42917</v>
      </c>
      <c r="E10347" t="s">
        <v>2179</v>
      </c>
      <c r="F10347">
        <v>2</v>
      </c>
      <c r="G10347" t="s">
        <v>63</v>
      </c>
      <c r="H10347" t="s">
        <v>41</v>
      </c>
      <c r="I10347" t="s">
        <v>2189</v>
      </c>
      <c r="J10347" s="10">
        <v>5.67</v>
      </c>
      <c r="K10347" t="b">
        <v>1</v>
      </c>
    </row>
    <row r="10348" spans="1:11">
      <c r="A10348" s="12">
        <v>42934</v>
      </c>
      <c r="B10348">
        <v>2017</v>
      </c>
      <c r="C10348">
        <v>7</v>
      </c>
      <c r="D10348" s="11">
        <v>42917</v>
      </c>
      <c r="E10348" t="s">
        <v>2179</v>
      </c>
      <c r="F10348">
        <v>2</v>
      </c>
      <c r="G10348" t="s">
        <v>63</v>
      </c>
      <c r="H10348" t="s">
        <v>42</v>
      </c>
      <c r="I10348" t="s">
        <v>2190</v>
      </c>
      <c r="J10348" s="10">
        <v>1.5</v>
      </c>
      <c r="K10348" t="b">
        <v>1</v>
      </c>
    </row>
    <row r="10349" spans="1:11">
      <c r="A10349" s="12">
        <v>42934</v>
      </c>
      <c r="B10349">
        <v>2017</v>
      </c>
      <c r="C10349">
        <v>7</v>
      </c>
      <c r="D10349" s="11">
        <v>42917</v>
      </c>
      <c r="E10349" t="s">
        <v>2179</v>
      </c>
      <c r="F10349">
        <v>2</v>
      </c>
      <c r="G10349" t="s">
        <v>63</v>
      </c>
      <c r="H10349" t="s">
        <v>43</v>
      </c>
      <c r="I10349" t="s">
        <v>2191</v>
      </c>
      <c r="J10349" s="10">
        <v>14</v>
      </c>
      <c r="K10349" t="b">
        <v>1</v>
      </c>
    </row>
    <row r="10350" spans="1:11">
      <c r="A10350" s="12">
        <v>42934</v>
      </c>
      <c r="B10350">
        <v>2017</v>
      </c>
      <c r="C10350">
        <v>7</v>
      </c>
      <c r="D10350" s="11">
        <v>42917</v>
      </c>
      <c r="E10350" t="s">
        <v>2179</v>
      </c>
      <c r="F10350">
        <v>2</v>
      </c>
      <c r="G10350" t="s">
        <v>63</v>
      </c>
      <c r="H10350" t="s">
        <v>44</v>
      </c>
      <c r="I10350" t="s">
        <v>2192</v>
      </c>
      <c r="J10350" s="10">
        <v>8</v>
      </c>
      <c r="K10350" t="b">
        <v>1</v>
      </c>
    </row>
    <row r="10351" spans="1:11">
      <c r="A10351" s="12">
        <v>42934</v>
      </c>
      <c r="B10351">
        <v>2017</v>
      </c>
      <c r="C10351">
        <v>7</v>
      </c>
      <c r="D10351" s="11">
        <v>42917</v>
      </c>
      <c r="E10351" t="s">
        <v>2179</v>
      </c>
      <c r="F10351">
        <v>2</v>
      </c>
      <c r="G10351" t="s">
        <v>63</v>
      </c>
      <c r="H10351" t="s">
        <v>45</v>
      </c>
      <c r="I10351" t="s">
        <v>2193</v>
      </c>
      <c r="J10351" s="10">
        <v>0</v>
      </c>
      <c r="K10351" t="b">
        <v>1</v>
      </c>
    </row>
    <row r="10352" spans="1:11">
      <c r="A10352" s="12">
        <v>42934</v>
      </c>
      <c r="B10352">
        <v>2017</v>
      </c>
      <c r="C10352">
        <v>7</v>
      </c>
      <c r="D10352" s="11">
        <v>42917</v>
      </c>
      <c r="E10352" t="s">
        <v>2179</v>
      </c>
      <c r="F10352">
        <v>2</v>
      </c>
      <c r="G10352" t="s">
        <v>63</v>
      </c>
      <c r="H10352" t="s">
        <v>46</v>
      </c>
      <c r="I10352" t="s">
        <v>2194</v>
      </c>
      <c r="J10352" s="10">
        <v>20</v>
      </c>
      <c r="K10352" t="b">
        <v>1</v>
      </c>
    </row>
    <row r="10353" spans="1:11">
      <c r="A10353" s="12">
        <v>42934</v>
      </c>
      <c r="B10353">
        <v>2017</v>
      </c>
      <c r="C10353">
        <v>7</v>
      </c>
      <c r="D10353" s="11">
        <v>42917</v>
      </c>
      <c r="E10353" t="s">
        <v>2179</v>
      </c>
      <c r="F10353">
        <v>2</v>
      </c>
      <c r="G10353" t="s">
        <v>63</v>
      </c>
      <c r="H10353" t="s">
        <v>47</v>
      </c>
      <c r="I10353" t="s">
        <v>2195</v>
      </c>
      <c r="J10353" s="10">
        <v>4</v>
      </c>
      <c r="K10353" t="b">
        <v>1</v>
      </c>
    </row>
    <row r="10354" spans="1:11">
      <c r="A10354" s="12">
        <v>42935</v>
      </c>
      <c r="B10354">
        <v>2017</v>
      </c>
      <c r="C10354">
        <v>7</v>
      </c>
      <c r="D10354" s="11">
        <v>42917</v>
      </c>
      <c r="E10354" t="s">
        <v>2179</v>
      </c>
      <c r="F10354">
        <v>3</v>
      </c>
      <c r="G10354" t="s">
        <v>65</v>
      </c>
      <c r="H10354" t="s">
        <v>40</v>
      </c>
      <c r="I10354" t="s">
        <v>2188</v>
      </c>
      <c r="J10354" s="10">
        <v>6.33</v>
      </c>
      <c r="K10354" t="b">
        <v>1</v>
      </c>
    </row>
    <row r="10355" spans="1:11">
      <c r="A10355" s="12">
        <v>42935</v>
      </c>
      <c r="B10355">
        <v>2017</v>
      </c>
      <c r="C10355">
        <v>7</v>
      </c>
      <c r="D10355" s="11">
        <v>42917</v>
      </c>
      <c r="E10355" t="s">
        <v>2179</v>
      </c>
      <c r="F10355">
        <v>3</v>
      </c>
      <c r="G10355" t="s">
        <v>65</v>
      </c>
      <c r="H10355" t="s">
        <v>41</v>
      </c>
      <c r="I10355" t="s">
        <v>2189</v>
      </c>
      <c r="J10355" s="10">
        <v>3.66</v>
      </c>
      <c r="K10355" t="b">
        <v>1</v>
      </c>
    </row>
    <row r="10356" spans="1:11">
      <c r="A10356" s="12">
        <v>42935</v>
      </c>
      <c r="B10356">
        <v>2017</v>
      </c>
      <c r="C10356">
        <v>7</v>
      </c>
      <c r="D10356" s="11">
        <v>42917</v>
      </c>
      <c r="E10356" t="s">
        <v>2179</v>
      </c>
      <c r="F10356">
        <v>3</v>
      </c>
      <c r="G10356" t="s">
        <v>65</v>
      </c>
      <c r="H10356" t="s">
        <v>42</v>
      </c>
      <c r="I10356" t="s">
        <v>2190</v>
      </c>
      <c r="J10356" s="10">
        <v>4</v>
      </c>
      <c r="K10356" t="b">
        <v>1</v>
      </c>
    </row>
    <row r="10357" spans="1:11">
      <c r="A10357" s="12">
        <v>42935</v>
      </c>
      <c r="B10357">
        <v>2017</v>
      </c>
      <c r="C10357">
        <v>7</v>
      </c>
      <c r="D10357" s="11">
        <v>42917</v>
      </c>
      <c r="E10357" t="s">
        <v>2179</v>
      </c>
      <c r="F10357">
        <v>3</v>
      </c>
      <c r="G10357" t="s">
        <v>65</v>
      </c>
      <c r="H10357" t="s">
        <v>43</v>
      </c>
      <c r="I10357" t="s">
        <v>2191</v>
      </c>
      <c r="J10357" s="10">
        <v>20.6</v>
      </c>
      <c r="K10357" t="b">
        <v>1</v>
      </c>
    </row>
    <row r="10358" spans="1:11">
      <c r="A10358" s="12">
        <v>42935</v>
      </c>
      <c r="B10358">
        <v>2017</v>
      </c>
      <c r="C10358">
        <v>7</v>
      </c>
      <c r="D10358" s="11">
        <v>42917</v>
      </c>
      <c r="E10358" t="s">
        <v>2179</v>
      </c>
      <c r="F10358">
        <v>3</v>
      </c>
      <c r="G10358" t="s">
        <v>65</v>
      </c>
      <c r="H10358" t="s">
        <v>44</v>
      </c>
      <c r="I10358" t="s">
        <v>2192</v>
      </c>
      <c r="J10358" s="10">
        <v>6</v>
      </c>
      <c r="K10358" t="b">
        <v>1</v>
      </c>
    </row>
    <row r="10359" spans="1:11">
      <c r="A10359" s="12">
        <v>42935</v>
      </c>
      <c r="B10359">
        <v>2017</v>
      </c>
      <c r="C10359">
        <v>7</v>
      </c>
      <c r="D10359" s="11">
        <v>42917</v>
      </c>
      <c r="E10359" t="s">
        <v>2179</v>
      </c>
      <c r="F10359">
        <v>3</v>
      </c>
      <c r="G10359" t="s">
        <v>65</v>
      </c>
      <c r="H10359" t="s">
        <v>45</v>
      </c>
      <c r="I10359" t="s">
        <v>2193</v>
      </c>
      <c r="J10359" s="10">
        <v>3</v>
      </c>
      <c r="K10359" t="b">
        <v>1</v>
      </c>
    </row>
    <row r="10360" spans="1:11">
      <c r="A10360" s="12">
        <v>42935</v>
      </c>
      <c r="B10360">
        <v>2017</v>
      </c>
      <c r="C10360">
        <v>7</v>
      </c>
      <c r="D10360" s="11">
        <v>42917</v>
      </c>
      <c r="E10360" t="s">
        <v>2179</v>
      </c>
      <c r="F10360">
        <v>3</v>
      </c>
      <c r="G10360" t="s">
        <v>65</v>
      </c>
      <c r="H10360" t="s">
        <v>46</v>
      </c>
      <c r="I10360" t="s">
        <v>2194</v>
      </c>
      <c r="J10360" s="10">
        <v>1</v>
      </c>
      <c r="K10360" t="b">
        <v>1</v>
      </c>
    </row>
    <row r="10361" spans="1:11">
      <c r="A10361" s="12">
        <v>42935</v>
      </c>
      <c r="B10361">
        <v>2017</v>
      </c>
      <c r="C10361">
        <v>7</v>
      </c>
      <c r="D10361" s="11">
        <v>42917</v>
      </c>
      <c r="E10361" t="s">
        <v>2179</v>
      </c>
      <c r="F10361">
        <v>3</v>
      </c>
      <c r="G10361" t="s">
        <v>65</v>
      </c>
      <c r="H10361" t="s">
        <v>47</v>
      </c>
      <c r="I10361" t="s">
        <v>2195</v>
      </c>
      <c r="J10361" s="10">
        <v>6</v>
      </c>
      <c r="K10361" t="b">
        <v>1</v>
      </c>
    </row>
    <row r="10362" spans="1:11">
      <c r="A10362" s="12">
        <v>42936</v>
      </c>
      <c r="B10362">
        <v>2017</v>
      </c>
      <c r="C10362">
        <v>7</v>
      </c>
      <c r="D10362" s="11">
        <v>42917</v>
      </c>
      <c r="E10362" t="s">
        <v>2179</v>
      </c>
      <c r="F10362">
        <v>4</v>
      </c>
      <c r="G10362" t="s">
        <v>53</v>
      </c>
      <c r="H10362" t="s">
        <v>40</v>
      </c>
      <c r="I10362" t="s">
        <v>2188</v>
      </c>
      <c r="J10362" s="10">
        <v>5</v>
      </c>
      <c r="K10362" t="b">
        <v>1</v>
      </c>
    </row>
    <row r="10363" spans="1:11">
      <c r="A10363" s="12">
        <v>42936</v>
      </c>
      <c r="B10363">
        <v>2017</v>
      </c>
      <c r="C10363">
        <v>7</v>
      </c>
      <c r="D10363" s="11">
        <v>42917</v>
      </c>
      <c r="E10363" t="s">
        <v>2179</v>
      </c>
      <c r="F10363">
        <v>4</v>
      </c>
      <c r="G10363" t="s">
        <v>53</v>
      </c>
      <c r="H10363" t="s">
        <v>41</v>
      </c>
      <c r="I10363" t="s">
        <v>2189</v>
      </c>
      <c r="J10363" s="10">
        <v>4</v>
      </c>
      <c r="K10363" t="b">
        <v>1</v>
      </c>
    </row>
    <row r="10364" spans="1:11">
      <c r="A10364" s="12">
        <v>42936</v>
      </c>
      <c r="B10364">
        <v>2017</v>
      </c>
      <c r="C10364">
        <v>7</v>
      </c>
      <c r="D10364" s="11">
        <v>42917</v>
      </c>
      <c r="E10364" t="s">
        <v>2179</v>
      </c>
      <c r="F10364">
        <v>4</v>
      </c>
      <c r="G10364" t="s">
        <v>53</v>
      </c>
      <c r="H10364" t="s">
        <v>42</v>
      </c>
      <c r="I10364" t="s">
        <v>2190</v>
      </c>
      <c r="J10364" s="10">
        <v>3</v>
      </c>
      <c r="K10364" t="b">
        <v>1</v>
      </c>
    </row>
    <row r="10365" spans="1:11">
      <c r="A10365" s="12">
        <v>42936</v>
      </c>
      <c r="B10365">
        <v>2017</v>
      </c>
      <c r="C10365">
        <v>7</v>
      </c>
      <c r="D10365" s="11">
        <v>42917</v>
      </c>
      <c r="E10365" t="s">
        <v>2179</v>
      </c>
      <c r="F10365">
        <v>4</v>
      </c>
      <c r="G10365" t="s">
        <v>53</v>
      </c>
      <c r="H10365" t="s">
        <v>43</v>
      </c>
      <c r="I10365" t="s">
        <v>2191</v>
      </c>
      <c r="J10365" s="10">
        <v>18</v>
      </c>
      <c r="K10365" t="b">
        <v>1</v>
      </c>
    </row>
    <row r="10366" spans="1:11">
      <c r="A10366" s="12">
        <v>42936</v>
      </c>
      <c r="B10366">
        <v>2017</v>
      </c>
      <c r="C10366">
        <v>7</v>
      </c>
      <c r="D10366" s="11">
        <v>42917</v>
      </c>
      <c r="E10366" t="s">
        <v>2179</v>
      </c>
      <c r="F10366">
        <v>4</v>
      </c>
      <c r="G10366" t="s">
        <v>53</v>
      </c>
      <c r="H10366" t="s">
        <v>44</v>
      </c>
      <c r="I10366" t="s">
        <v>2192</v>
      </c>
      <c r="J10366" s="10">
        <v>11</v>
      </c>
      <c r="K10366" t="b">
        <v>1</v>
      </c>
    </row>
    <row r="10367" spans="1:11">
      <c r="A10367" s="12">
        <v>42936</v>
      </c>
      <c r="B10367">
        <v>2017</v>
      </c>
      <c r="C10367">
        <v>7</v>
      </c>
      <c r="D10367" s="11">
        <v>42917</v>
      </c>
      <c r="E10367" t="s">
        <v>2179</v>
      </c>
      <c r="F10367">
        <v>4</v>
      </c>
      <c r="G10367" t="s">
        <v>53</v>
      </c>
      <c r="H10367" t="s">
        <v>45</v>
      </c>
      <c r="I10367" t="s">
        <v>2193</v>
      </c>
      <c r="J10367" s="10">
        <v>2</v>
      </c>
      <c r="K10367" t="b">
        <v>1</v>
      </c>
    </row>
    <row r="10368" spans="1:11">
      <c r="A10368" s="12">
        <v>42936</v>
      </c>
      <c r="B10368">
        <v>2017</v>
      </c>
      <c r="C10368">
        <v>7</v>
      </c>
      <c r="D10368" s="11">
        <v>42917</v>
      </c>
      <c r="E10368" t="s">
        <v>2179</v>
      </c>
      <c r="F10368">
        <v>4</v>
      </c>
      <c r="G10368" t="s">
        <v>53</v>
      </c>
      <c r="H10368" t="s">
        <v>46</v>
      </c>
      <c r="I10368" t="s">
        <v>2194</v>
      </c>
      <c r="J10368" s="10">
        <v>2</v>
      </c>
      <c r="K10368" t="b">
        <v>1</v>
      </c>
    </row>
    <row r="10369" spans="1:11">
      <c r="A10369" s="12">
        <v>42936</v>
      </c>
      <c r="B10369">
        <v>2017</v>
      </c>
      <c r="C10369">
        <v>7</v>
      </c>
      <c r="D10369" s="11">
        <v>42917</v>
      </c>
      <c r="E10369" t="s">
        <v>2179</v>
      </c>
      <c r="F10369">
        <v>4</v>
      </c>
      <c r="G10369" t="s">
        <v>53</v>
      </c>
      <c r="H10369" t="s">
        <v>47</v>
      </c>
      <c r="I10369" t="s">
        <v>2195</v>
      </c>
      <c r="J10369" s="10">
        <v>2</v>
      </c>
      <c r="K10369" t="b">
        <v>1</v>
      </c>
    </row>
    <row r="10370" spans="1:11">
      <c r="A10370" s="12">
        <v>42937</v>
      </c>
      <c r="B10370">
        <v>2017</v>
      </c>
      <c r="C10370">
        <v>7</v>
      </c>
      <c r="D10370" s="11">
        <v>42917</v>
      </c>
      <c r="E10370" t="s">
        <v>2179</v>
      </c>
      <c r="F10370">
        <v>5</v>
      </c>
      <c r="G10370" t="s">
        <v>55</v>
      </c>
      <c r="H10370" t="s">
        <v>40</v>
      </c>
      <c r="I10370" t="s">
        <v>2188</v>
      </c>
      <c r="J10370" s="10">
        <v>2.33</v>
      </c>
      <c r="K10370" t="b">
        <v>1</v>
      </c>
    </row>
    <row r="10371" spans="1:11">
      <c r="A10371" s="12">
        <v>42937</v>
      </c>
      <c r="B10371">
        <v>2017</v>
      </c>
      <c r="C10371">
        <v>7</v>
      </c>
      <c r="D10371" s="11">
        <v>42917</v>
      </c>
      <c r="E10371" t="s">
        <v>2179</v>
      </c>
      <c r="F10371">
        <v>5</v>
      </c>
      <c r="G10371" t="s">
        <v>55</v>
      </c>
      <c r="H10371" t="s">
        <v>41</v>
      </c>
      <c r="I10371" t="s">
        <v>2189</v>
      </c>
      <c r="J10371" s="10">
        <v>1</v>
      </c>
      <c r="K10371" t="b">
        <v>1</v>
      </c>
    </row>
    <row r="10372" spans="1:11">
      <c r="A10372" s="12">
        <v>42937</v>
      </c>
      <c r="B10372">
        <v>2017</v>
      </c>
      <c r="C10372">
        <v>7</v>
      </c>
      <c r="D10372" s="11">
        <v>42917</v>
      </c>
      <c r="E10372" t="s">
        <v>2179</v>
      </c>
      <c r="F10372">
        <v>5</v>
      </c>
      <c r="G10372" t="s">
        <v>55</v>
      </c>
      <c r="H10372" t="s">
        <v>42</v>
      </c>
      <c r="I10372" t="s">
        <v>2190</v>
      </c>
      <c r="J10372" s="10">
        <v>3</v>
      </c>
      <c r="K10372" t="b">
        <v>1</v>
      </c>
    </row>
    <row r="10373" spans="1:11">
      <c r="A10373" s="12">
        <v>42937</v>
      </c>
      <c r="B10373">
        <v>2017</v>
      </c>
      <c r="C10373">
        <v>7</v>
      </c>
      <c r="D10373" s="11">
        <v>42917</v>
      </c>
      <c r="E10373" t="s">
        <v>2179</v>
      </c>
      <c r="F10373">
        <v>5</v>
      </c>
      <c r="G10373" t="s">
        <v>55</v>
      </c>
      <c r="H10373" t="s">
        <v>43</v>
      </c>
      <c r="I10373" t="s">
        <v>2191</v>
      </c>
      <c r="J10373" s="10">
        <v>14</v>
      </c>
      <c r="K10373" t="b">
        <v>1</v>
      </c>
    </row>
    <row r="10374" spans="1:11">
      <c r="A10374" s="12">
        <v>42937</v>
      </c>
      <c r="B10374">
        <v>2017</v>
      </c>
      <c r="C10374">
        <v>7</v>
      </c>
      <c r="D10374" s="11">
        <v>42917</v>
      </c>
      <c r="E10374" t="s">
        <v>2179</v>
      </c>
      <c r="F10374">
        <v>5</v>
      </c>
      <c r="G10374" t="s">
        <v>55</v>
      </c>
      <c r="H10374" t="s">
        <v>44</v>
      </c>
      <c r="I10374" t="s">
        <v>2192</v>
      </c>
      <c r="J10374" s="10">
        <v>5</v>
      </c>
      <c r="K10374" t="b">
        <v>1</v>
      </c>
    </row>
    <row r="10375" spans="1:11">
      <c r="A10375" s="12">
        <v>42937</v>
      </c>
      <c r="B10375">
        <v>2017</v>
      </c>
      <c r="C10375">
        <v>7</v>
      </c>
      <c r="D10375" s="11">
        <v>42917</v>
      </c>
      <c r="E10375" t="s">
        <v>2179</v>
      </c>
      <c r="F10375">
        <v>5</v>
      </c>
      <c r="G10375" t="s">
        <v>55</v>
      </c>
      <c r="H10375" t="s">
        <v>45</v>
      </c>
      <c r="I10375" t="s">
        <v>2193</v>
      </c>
      <c r="J10375" s="10">
        <v>0</v>
      </c>
      <c r="K10375" t="b">
        <v>1</v>
      </c>
    </row>
    <row r="10376" spans="1:11">
      <c r="A10376" s="12">
        <v>42937</v>
      </c>
      <c r="B10376">
        <v>2017</v>
      </c>
      <c r="C10376">
        <v>7</v>
      </c>
      <c r="D10376" s="11">
        <v>42917</v>
      </c>
      <c r="E10376" t="s">
        <v>2179</v>
      </c>
      <c r="F10376">
        <v>5</v>
      </c>
      <c r="G10376" t="s">
        <v>55</v>
      </c>
      <c r="H10376" t="s">
        <v>46</v>
      </c>
      <c r="I10376" t="s">
        <v>2194</v>
      </c>
      <c r="J10376" s="10">
        <v>0</v>
      </c>
      <c r="K10376" t="b">
        <v>1</v>
      </c>
    </row>
    <row r="10377" spans="1:11">
      <c r="A10377" s="12">
        <v>42937</v>
      </c>
      <c r="B10377">
        <v>2017</v>
      </c>
      <c r="C10377">
        <v>7</v>
      </c>
      <c r="D10377" s="11">
        <v>42917</v>
      </c>
      <c r="E10377" t="s">
        <v>2179</v>
      </c>
      <c r="F10377">
        <v>5</v>
      </c>
      <c r="G10377" t="s">
        <v>55</v>
      </c>
      <c r="H10377" t="s">
        <v>47</v>
      </c>
      <c r="I10377" t="s">
        <v>2195</v>
      </c>
      <c r="J10377" s="10">
        <v>3</v>
      </c>
      <c r="K10377" t="b">
        <v>1</v>
      </c>
    </row>
    <row r="10378" spans="1:11">
      <c r="A10378" s="12">
        <v>42938</v>
      </c>
      <c r="B10378">
        <v>2017</v>
      </c>
      <c r="C10378">
        <v>7</v>
      </c>
      <c r="D10378" s="11">
        <v>42917</v>
      </c>
      <c r="E10378" t="s">
        <v>2179</v>
      </c>
      <c r="F10378">
        <v>6</v>
      </c>
      <c r="G10378" t="s">
        <v>57</v>
      </c>
      <c r="H10378" t="s">
        <v>40</v>
      </c>
      <c r="I10378" t="s">
        <v>2188</v>
      </c>
      <c r="J10378" s="10">
        <v>3</v>
      </c>
      <c r="K10378" t="b">
        <v>1</v>
      </c>
    </row>
    <row r="10379" spans="1:11">
      <c r="A10379" s="12">
        <v>42938</v>
      </c>
      <c r="B10379">
        <v>2017</v>
      </c>
      <c r="C10379">
        <v>7</v>
      </c>
      <c r="D10379" s="11">
        <v>42917</v>
      </c>
      <c r="E10379" t="s">
        <v>2179</v>
      </c>
      <c r="F10379">
        <v>6</v>
      </c>
      <c r="G10379" t="s">
        <v>57</v>
      </c>
      <c r="H10379" t="s">
        <v>41</v>
      </c>
      <c r="I10379" t="s">
        <v>2189</v>
      </c>
      <c r="J10379" s="10">
        <v>5.69</v>
      </c>
      <c r="K10379" t="b">
        <v>1</v>
      </c>
    </row>
    <row r="10380" spans="1:11">
      <c r="A10380" s="12">
        <v>42938</v>
      </c>
      <c r="B10380">
        <v>2017</v>
      </c>
      <c r="C10380">
        <v>7</v>
      </c>
      <c r="D10380" s="11">
        <v>42917</v>
      </c>
      <c r="E10380" t="s">
        <v>2179</v>
      </c>
      <c r="F10380">
        <v>6</v>
      </c>
      <c r="G10380" t="s">
        <v>57</v>
      </c>
      <c r="H10380" t="s">
        <v>42</v>
      </c>
      <c r="I10380" t="s">
        <v>2190</v>
      </c>
      <c r="J10380" s="10">
        <v>5</v>
      </c>
      <c r="K10380" t="b">
        <v>1</v>
      </c>
    </row>
    <row r="10381" spans="1:11">
      <c r="A10381" s="12">
        <v>42938</v>
      </c>
      <c r="B10381">
        <v>2017</v>
      </c>
      <c r="C10381">
        <v>7</v>
      </c>
      <c r="D10381" s="11">
        <v>42917</v>
      </c>
      <c r="E10381" t="s">
        <v>2179</v>
      </c>
      <c r="F10381">
        <v>6</v>
      </c>
      <c r="G10381" t="s">
        <v>57</v>
      </c>
      <c r="H10381" t="s">
        <v>43</v>
      </c>
      <c r="I10381" t="s">
        <v>2191</v>
      </c>
      <c r="J10381" s="10">
        <v>22</v>
      </c>
      <c r="K10381" t="b">
        <v>1</v>
      </c>
    </row>
    <row r="10382" spans="1:11">
      <c r="A10382" s="12">
        <v>42938</v>
      </c>
      <c r="B10382">
        <v>2017</v>
      </c>
      <c r="C10382">
        <v>7</v>
      </c>
      <c r="D10382" s="11">
        <v>42917</v>
      </c>
      <c r="E10382" t="s">
        <v>2179</v>
      </c>
      <c r="F10382">
        <v>6</v>
      </c>
      <c r="G10382" t="s">
        <v>57</v>
      </c>
      <c r="H10382" t="s">
        <v>44</v>
      </c>
      <c r="I10382" t="s">
        <v>2192</v>
      </c>
      <c r="J10382" s="10">
        <v>3</v>
      </c>
      <c r="K10382" t="b">
        <v>1</v>
      </c>
    </row>
    <row r="10383" spans="1:11">
      <c r="A10383" s="12">
        <v>42938</v>
      </c>
      <c r="B10383">
        <v>2017</v>
      </c>
      <c r="C10383">
        <v>7</v>
      </c>
      <c r="D10383" s="11">
        <v>42917</v>
      </c>
      <c r="E10383" t="s">
        <v>2179</v>
      </c>
      <c r="F10383">
        <v>6</v>
      </c>
      <c r="G10383" t="s">
        <v>57</v>
      </c>
      <c r="H10383" t="s">
        <v>45</v>
      </c>
      <c r="I10383" t="s">
        <v>2193</v>
      </c>
      <c r="J10383" s="10">
        <v>1</v>
      </c>
      <c r="K10383" t="b">
        <v>1</v>
      </c>
    </row>
    <row r="10384" spans="1:11">
      <c r="A10384" s="12">
        <v>42938</v>
      </c>
      <c r="B10384">
        <v>2017</v>
      </c>
      <c r="C10384">
        <v>7</v>
      </c>
      <c r="D10384" s="11">
        <v>42917</v>
      </c>
      <c r="E10384" t="s">
        <v>2179</v>
      </c>
      <c r="F10384">
        <v>6</v>
      </c>
      <c r="G10384" t="s">
        <v>57</v>
      </c>
      <c r="H10384" t="s">
        <v>46</v>
      </c>
      <c r="I10384" t="s">
        <v>2194</v>
      </c>
      <c r="J10384" s="10">
        <v>0</v>
      </c>
      <c r="K10384" t="b">
        <v>1</v>
      </c>
    </row>
    <row r="10385" spans="1:11">
      <c r="A10385" s="12">
        <v>42938</v>
      </c>
      <c r="B10385">
        <v>2017</v>
      </c>
      <c r="C10385">
        <v>7</v>
      </c>
      <c r="D10385" s="11">
        <v>42917</v>
      </c>
      <c r="E10385" t="s">
        <v>2179</v>
      </c>
      <c r="F10385">
        <v>6</v>
      </c>
      <c r="G10385" t="s">
        <v>57</v>
      </c>
      <c r="H10385" t="s">
        <v>47</v>
      </c>
      <c r="I10385" t="s">
        <v>2195</v>
      </c>
      <c r="J10385" s="10">
        <v>2</v>
      </c>
      <c r="K10385" t="b">
        <v>1</v>
      </c>
    </row>
    <row r="10386" spans="1:11">
      <c r="A10386" s="12">
        <v>42939</v>
      </c>
      <c r="B10386">
        <v>2017</v>
      </c>
      <c r="C10386">
        <v>7</v>
      </c>
      <c r="D10386" s="11">
        <v>42917</v>
      </c>
      <c r="E10386" t="s">
        <v>2179</v>
      </c>
      <c r="F10386">
        <v>7</v>
      </c>
      <c r="G10386" t="s">
        <v>59</v>
      </c>
      <c r="H10386" t="s">
        <v>40</v>
      </c>
      <c r="I10386" t="s">
        <v>2188</v>
      </c>
      <c r="J10386" s="10">
        <v>6.5</v>
      </c>
      <c r="K10386" t="b">
        <v>1</v>
      </c>
    </row>
    <row r="10387" spans="1:11">
      <c r="A10387" s="12">
        <v>42939</v>
      </c>
      <c r="B10387">
        <v>2017</v>
      </c>
      <c r="C10387">
        <v>7</v>
      </c>
      <c r="D10387" s="11">
        <v>42917</v>
      </c>
      <c r="E10387" t="s">
        <v>2179</v>
      </c>
      <c r="F10387">
        <v>7</v>
      </c>
      <c r="G10387" t="s">
        <v>59</v>
      </c>
      <c r="H10387" t="s">
        <v>41</v>
      </c>
      <c r="I10387" t="s">
        <v>2189</v>
      </c>
      <c r="J10387" s="10">
        <v>2.429</v>
      </c>
      <c r="K10387" t="b">
        <v>1</v>
      </c>
    </row>
    <row r="10388" spans="1:11">
      <c r="A10388" s="12">
        <v>42939</v>
      </c>
      <c r="B10388">
        <v>2017</v>
      </c>
      <c r="C10388">
        <v>7</v>
      </c>
      <c r="D10388" s="11">
        <v>42917</v>
      </c>
      <c r="E10388" t="s">
        <v>2179</v>
      </c>
      <c r="F10388">
        <v>7</v>
      </c>
      <c r="G10388" t="s">
        <v>59</v>
      </c>
      <c r="H10388" t="s">
        <v>42</v>
      </c>
      <c r="I10388" t="s">
        <v>2190</v>
      </c>
      <c r="J10388" s="10">
        <v>2</v>
      </c>
      <c r="K10388" t="b">
        <v>1</v>
      </c>
    </row>
    <row r="10389" spans="1:11">
      <c r="A10389" s="12">
        <v>42939</v>
      </c>
      <c r="B10389">
        <v>2017</v>
      </c>
      <c r="C10389">
        <v>7</v>
      </c>
      <c r="D10389" s="11">
        <v>42917</v>
      </c>
      <c r="E10389" t="s">
        <v>2179</v>
      </c>
      <c r="F10389">
        <v>7</v>
      </c>
      <c r="G10389" t="s">
        <v>59</v>
      </c>
      <c r="H10389" t="s">
        <v>43</v>
      </c>
      <c r="I10389" t="s">
        <v>2191</v>
      </c>
      <c r="J10389" s="10">
        <v>12</v>
      </c>
      <c r="K10389" t="b">
        <v>1</v>
      </c>
    </row>
    <row r="10390" spans="1:11">
      <c r="A10390" s="12">
        <v>42939</v>
      </c>
      <c r="B10390">
        <v>2017</v>
      </c>
      <c r="C10390">
        <v>7</v>
      </c>
      <c r="D10390" s="11">
        <v>42917</v>
      </c>
      <c r="E10390" t="s">
        <v>2179</v>
      </c>
      <c r="F10390">
        <v>7</v>
      </c>
      <c r="G10390" t="s">
        <v>59</v>
      </c>
      <c r="H10390" t="s">
        <v>44</v>
      </c>
      <c r="I10390" t="s">
        <v>2192</v>
      </c>
      <c r="J10390" s="10">
        <v>4</v>
      </c>
      <c r="K10390" t="b">
        <v>1</v>
      </c>
    </row>
    <row r="10391" spans="1:11">
      <c r="A10391" s="12">
        <v>42939</v>
      </c>
      <c r="B10391">
        <v>2017</v>
      </c>
      <c r="C10391">
        <v>7</v>
      </c>
      <c r="D10391" s="11">
        <v>42917</v>
      </c>
      <c r="E10391" t="s">
        <v>2179</v>
      </c>
      <c r="F10391">
        <v>7</v>
      </c>
      <c r="G10391" t="s">
        <v>59</v>
      </c>
      <c r="H10391" t="s">
        <v>45</v>
      </c>
      <c r="I10391" t="s">
        <v>2193</v>
      </c>
      <c r="J10391" s="10">
        <v>0</v>
      </c>
      <c r="K10391" t="b">
        <v>1</v>
      </c>
    </row>
    <row r="10392" spans="1:11">
      <c r="A10392" s="12">
        <v>42939</v>
      </c>
      <c r="B10392">
        <v>2017</v>
      </c>
      <c r="C10392">
        <v>7</v>
      </c>
      <c r="D10392" s="11">
        <v>42917</v>
      </c>
      <c r="E10392" t="s">
        <v>2179</v>
      </c>
      <c r="F10392">
        <v>7</v>
      </c>
      <c r="G10392" t="s">
        <v>59</v>
      </c>
      <c r="H10392" t="s">
        <v>46</v>
      </c>
      <c r="I10392" t="s">
        <v>2194</v>
      </c>
      <c r="J10392" s="10">
        <v>4</v>
      </c>
      <c r="K10392" t="b">
        <v>1</v>
      </c>
    </row>
    <row r="10393" spans="1:11">
      <c r="A10393" s="12">
        <v>42939</v>
      </c>
      <c r="B10393">
        <v>2017</v>
      </c>
      <c r="C10393">
        <v>7</v>
      </c>
      <c r="D10393" s="11">
        <v>42917</v>
      </c>
      <c r="E10393" t="s">
        <v>2179</v>
      </c>
      <c r="F10393">
        <v>7</v>
      </c>
      <c r="G10393" t="s">
        <v>59</v>
      </c>
      <c r="H10393" t="s">
        <v>47</v>
      </c>
      <c r="I10393" t="s">
        <v>2195</v>
      </c>
      <c r="J10393" s="10">
        <v>5</v>
      </c>
      <c r="K10393" t="b">
        <v>1</v>
      </c>
    </row>
    <row r="10394" spans="1:11">
      <c r="A10394" s="12">
        <v>42940</v>
      </c>
      <c r="B10394">
        <v>2017</v>
      </c>
      <c r="C10394">
        <v>7</v>
      </c>
      <c r="D10394" s="11">
        <v>42917</v>
      </c>
      <c r="E10394" t="s">
        <v>2179</v>
      </c>
      <c r="F10394">
        <v>1</v>
      </c>
      <c r="G10394" t="s">
        <v>61</v>
      </c>
      <c r="H10394" t="s">
        <v>40</v>
      </c>
      <c r="I10394" t="s">
        <v>2188</v>
      </c>
      <c r="J10394" s="10">
        <v>3.84</v>
      </c>
      <c r="K10394" t="b">
        <v>1</v>
      </c>
    </row>
    <row r="10395" spans="1:11">
      <c r="A10395" s="12">
        <v>42940</v>
      </c>
      <c r="B10395">
        <v>2017</v>
      </c>
      <c r="C10395">
        <v>7</v>
      </c>
      <c r="D10395" s="11">
        <v>42917</v>
      </c>
      <c r="E10395" t="s">
        <v>2179</v>
      </c>
      <c r="F10395">
        <v>1</v>
      </c>
      <c r="G10395" t="s">
        <v>61</v>
      </c>
      <c r="H10395" t="s">
        <v>41</v>
      </c>
      <c r="I10395" t="s">
        <v>2189</v>
      </c>
      <c r="J10395" s="10">
        <v>1</v>
      </c>
      <c r="K10395" t="b">
        <v>1</v>
      </c>
    </row>
    <row r="10396" spans="1:11">
      <c r="A10396" s="12">
        <v>42940</v>
      </c>
      <c r="B10396">
        <v>2017</v>
      </c>
      <c r="C10396">
        <v>7</v>
      </c>
      <c r="D10396" s="11">
        <v>42917</v>
      </c>
      <c r="E10396" t="s">
        <v>2179</v>
      </c>
      <c r="F10396">
        <v>1</v>
      </c>
      <c r="G10396" t="s">
        <v>61</v>
      </c>
      <c r="H10396" t="s">
        <v>42</v>
      </c>
      <c r="I10396" t="s">
        <v>2190</v>
      </c>
      <c r="J10396" s="10">
        <v>2.1</v>
      </c>
      <c r="K10396" t="b">
        <v>1</v>
      </c>
    </row>
    <row r="10397" spans="1:11">
      <c r="A10397" s="12">
        <v>42940</v>
      </c>
      <c r="B10397">
        <v>2017</v>
      </c>
      <c r="C10397">
        <v>7</v>
      </c>
      <c r="D10397" s="11">
        <v>42917</v>
      </c>
      <c r="E10397" t="s">
        <v>2179</v>
      </c>
      <c r="F10397">
        <v>1</v>
      </c>
      <c r="G10397" t="s">
        <v>61</v>
      </c>
      <c r="H10397" t="s">
        <v>43</v>
      </c>
      <c r="I10397" t="s">
        <v>2191</v>
      </c>
      <c r="J10397" s="10">
        <v>15</v>
      </c>
      <c r="K10397" t="b">
        <v>1</v>
      </c>
    </row>
    <row r="10398" spans="1:11">
      <c r="A10398" s="12">
        <v>42940</v>
      </c>
      <c r="B10398">
        <v>2017</v>
      </c>
      <c r="C10398">
        <v>7</v>
      </c>
      <c r="D10398" s="11">
        <v>42917</v>
      </c>
      <c r="E10398" t="s">
        <v>2179</v>
      </c>
      <c r="F10398">
        <v>1</v>
      </c>
      <c r="G10398" t="s">
        <v>61</v>
      </c>
      <c r="H10398" t="s">
        <v>44</v>
      </c>
      <c r="I10398" t="s">
        <v>2192</v>
      </c>
      <c r="J10398" s="10">
        <v>6</v>
      </c>
      <c r="K10398" t="b">
        <v>1</v>
      </c>
    </row>
    <row r="10399" spans="1:11">
      <c r="A10399" s="12">
        <v>42940</v>
      </c>
      <c r="B10399">
        <v>2017</v>
      </c>
      <c r="C10399">
        <v>7</v>
      </c>
      <c r="D10399" s="11">
        <v>42917</v>
      </c>
      <c r="E10399" t="s">
        <v>2179</v>
      </c>
      <c r="F10399">
        <v>1</v>
      </c>
      <c r="G10399" t="s">
        <v>61</v>
      </c>
      <c r="H10399" t="s">
        <v>45</v>
      </c>
      <c r="I10399" t="s">
        <v>2193</v>
      </c>
      <c r="J10399" s="10">
        <v>0</v>
      </c>
      <c r="K10399" t="b">
        <v>1</v>
      </c>
    </row>
    <row r="10400" spans="1:11">
      <c r="A10400" s="12">
        <v>42940</v>
      </c>
      <c r="B10400">
        <v>2017</v>
      </c>
      <c r="C10400">
        <v>7</v>
      </c>
      <c r="D10400" s="11">
        <v>42917</v>
      </c>
      <c r="E10400" t="s">
        <v>2179</v>
      </c>
      <c r="F10400">
        <v>1</v>
      </c>
      <c r="G10400" t="s">
        <v>61</v>
      </c>
      <c r="H10400" t="s">
        <v>46</v>
      </c>
      <c r="I10400" t="s">
        <v>2194</v>
      </c>
      <c r="J10400" s="10">
        <v>0</v>
      </c>
      <c r="K10400" t="b">
        <v>1</v>
      </c>
    </row>
    <row r="10401" spans="1:11">
      <c r="A10401" s="12">
        <v>42940</v>
      </c>
      <c r="B10401">
        <v>2017</v>
      </c>
      <c r="C10401">
        <v>7</v>
      </c>
      <c r="D10401" s="11">
        <v>42917</v>
      </c>
      <c r="E10401" t="s">
        <v>2179</v>
      </c>
      <c r="F10401">
        <v>1</v>
      </c>
      <c r="G10401" t="s">
        <v>61</v>
      </c>
      <c r="H10401" t="s">
        <v>47</v>
      </c>
      <c r="I10401" t="s">
        <v>2195</v>
      </c>
      <c r="J10401" s="10">
        <v>3</v>
      </c>
      <c r="K10401" t="b">
        <v>1</v>
      </c>
    </row>
    <row r="10402" spans="1:11">
      <c r="A10402" s="12">
        <v>42941</v>
      </c>
      <c r="B10402">
        <v>2017</v>
      </c>
      <c r="C10402">
        <v>7</v>
      </c>
      <c r="D10402" s="11">
        <v>42917</v>
      </c>
      <c r="E10402" t="s">
        <v>2179</v>
      </c>
      <c r="F10402">
        <v>2</v>
      </c>
      <c r="G10402" t="s">
        <v>63</v>
      </c>
      <c r="H10402" t="s">
        <v>40</v>
      </c>
      <c r="I10402" t="s">
        <v>2188</v>
      </c>
      <c r="J10402" s="10">
        <v>6.34</v>
      </c>
      <c r="K10402" t="b">
        <v>1</v>
      </c>
    </row>
    <row r="10403" spans="1:11">
      <c r="A10403" s="12">
        <v>42941</v>
      </c>
      <c r="B10403">
        <v>2017</v>
      </c>
      <c r="C10403">
        <v>7</v>
      </c>
      <c r="D10403" s="11">
        <v>42917</v>
      </c>
      <c r="E10403" t="s">
        <v>2179</v>
      </c>
      <c r="F10403">
        <v>2</v>
      </c>
      <c r="G10403" t="s">
        <v>63</v>
      </c>
      <c r="H10403" t="s">
        <v>41</v>
      </c>
      <c r="I10403" t="s">
        <v>2189</v>
      </c>
      <c r="J10403" s="10">
        <v>2.35</v>
      </c>
      <c r="K10403" t="b">
        <v>1</v>
      </c>
    </row>
    <row r="10404" spans="1:11">
      <c r="A10404" s="12">
        <v>42941</v>
      </c>
      <c r="B10404">
        <v>2017</v>
      </c>
      <c r="C10404">
        <v>7</v>
      </c>
      <c r="D10404" s="11">
        <v>42917</v>
      </c>
      <c r="E10404" t="s">
        <v>2179</v>
      </c>
      <c r="F10404">
        <v>2</v>
      </c>
      <c r="G10404" t="s">
        <v>63</v>
      </c>
      <c r="H10404" t="s">
        <v>42</v>
      </c>
      <c r="I10404" t="s">
        <v>2190</v>
      </c>
      <c r="J10404" s="10">
        <v>2</v>
      </c>
      <c r="K10404" t="b">
        <v>1</v>
      </c>
    </row>
    <row r="10405" spans="1:11">
      <c r="A10405" s="12">
        <v>42941</v>
      </c>
      <c r="B10405">
        <v>2017</v>
      </c>
      <c r="C10405">
        <v>7</v>
      </c>
      <c r="D10405" s="11">
        <v>42917</v>
      </c>
      <c r="E10405" t="s">
        <v>2179</v>
      </c>
      <c r="F10405">
        <v>2</v>
      </c>
      <c r="G10405" t="s">
        <v>63</v>
      </c>
      <c r="H10405" t="s">
        <v>43</v>
      </c>
      <c r="I10405" t="s">
        <v>2191</v>
      </c>
      <c r="J10405" s="10">
        <v>14</v>
      </c>
      <c r="K10405" t="b">
        <v>1</v>
      </c>
    </row>
    <row r="10406" spans="1:11">
      <c r="A10406" s="12">
        <v>42941</v>
      </c>
      <c r="B10406">
        <v>2017</v>
      </c>
      <c r="C10406">
        <v>7</v>
      </c>
      <c r="D10406" s="11">
        <v>42917</v>
      </c>
      <c r="E10406" t="s">
        <v>2179</v>
      </c>
      <c r="F10406">
        <v>2</v>
      </c>
      <c r="G10406" t="s">
        <v>63</v>
      </c>
      <c r="H10406" t="s">
        <v>44</v>
      </c>
      <c r="I10406" t="s">
        <v>2192</v>
      </c>
      <c r="J10406" s="10">
        <v>5</v>
      </c>
      <c r="K10406" t="b">
        <v>1</v>
      </c>
    </row>
    <row r="10407" spans="1:11">
      <c r="A10407" s="12">
        <v>42941</v>
      </c>
      <c r="B10407">
        <v>2017</v>
      </c>
      <c r="C10407">
        <v>7</v>
      </c>
      <c r="D10407" s="11">
        <v>42917</v>
      </c>
      <c r="E10407" t="s">
        <v>2179</v>
      </c>
      <c r="F10407">
        <v>2</v>
      </c>
      <c r="G10407" t="s">
        <v>63</v>
      </c>
      <c r="H10407" t="s">
        <v>45</v>
      </c>
      <c r="I10407" t="s">
        <v>2193</v>
      </c>
      <c r="J10407" s="10">
        <v>0</v>
      </c>
      <c r="K10407" t="b">
        <v>1</v>
      </c>
    </row>
    <row r="10408" spans="1:11">
      <c r="A10408" s="12">
        <v>42941</v>
      </c>
      <c r="B10408">
        <v>2017</v>
      </c>
      <c r="C10408">
        <v>7</v>
      </c>
      <c r="D10408" s="11">
        <v>42917</v>
      </c>
      <c r="E10408" t="s">
        <v>2179</v>
      </c>
      <c r="F10408">
        <v>2</v>
      </c>
      <c r="G10408" t="s">
        <v>63</v>
      </c>
      <c r="H10408" t="s">
        <v>46</v>
      </c>
      <c r="I10408" t="s">
        <v>2194</v>
      </c>
      <c r="J10408" s="10">
        <v>6</v>
      </c>
      <c r="K10408" t="b">
        <v>1</v>
      </c>
    </row>
    <row r="10409" spans="1:11">
      <c r="A10409" s="12">
        <v>42941</v>
      </c>
      <c r="B10409">
        <v>2017</v>
      </c>
      <c r="C10409">
        <v>7</v>
      </c>
      <c r="D10409" s="11">
        <v>42917</v>
      </c>
      <c r="E10409" t="s">
        <v>2179</v>
      </c>
      <c r="F10409">
        <v>2</v>
      </c>
      <c r="G10409" t="s">
        <v>63</v>
      </c>
      <c r="H10409" t="s">
        <v>47</v>
      </c>
      <c r="I10409" t="s">
        <v>2195</v>
      </c>
      <c r="J10409" s="10">
        <v>0.1</v>
      </c>
      <c r="K10409" t="b">
        <v>1</v>
      </c>
    </row>
    <row r="10410" spans="1:11">
      <c r="A10410" s="12">
        <v>42942</v>
      </c>
      <c r="B10410">
        <v>2017</v>
      </c>
      <c r="C10410">
        <v>7</v>
      </c>
      <c r="D10410" s="11">
        <v>42917</v>
      </c>
      <c r="E10410" t="s">
        <v>2179</v>
      </c>
      <c r="F10410">
        <v>3</v>
      </c>
      <c r="G10410" t="s">
        <v>65</v>
      </c>
      <c r="H10410" t="s">
        <v>40</v>
      </c>
      <c r="I10410" t="s">
        <v>2188</v>
      </c>
      <c r="J10410" s="10">
        <v>3.33</v>
      </c>
      <c r="K10410" t="b">
        <v>1</v>
      </c>
    </row>
    <row r="10411" spans="1:11">
      <c r="A10411" s="12">
        <v>42942</v>
      </c>
      <c r="B10411">
        <v>2017</v>
      </c>
      <c r="C10411">
        <v>7</v>
      </c>
      <c r="D10411" s="11">
        <v>42917</v>
      </c>
      <c r="E10411" t="s">
        <v>2179</v>
      </c>
      <c r="F10411">
        <v>3</v>
      </c>
      <c r="G10411" t="s">
        <v>65</v>
      </c>
      <c r="H10411" t="s">
        <v>41</v>
      </c>
      <c r="I10411" t="s">
        <v>2189</v>
      </c>
      <c r="J10411" s="10">
        <v>6.779</v>
      </c>
      <c r="K10411" t="b">
        <v>1</v>
      </c>
    </row>
    <row r="10412" spans="1:11">
      <c r="A10412" s="12">
        <v>42942</v>
      </c>
      <c r="B10412">
        <v>2017</v>
      </c>
      <c r="C10412">
        <v>7</v>
      </c>
      <c r="D10412" s="11">
        <v>42917</v>
      </c>
      <c r="E10412" t="s">
        <v>2179</v>
      </c>
      <c r="F10412">
        <v>3</v>
      </c>
      <c r="G10412" t="s">
        <v>65</v>
      </c>
      <c r="H10412" t="s">
        <v>42</v>
      </c>
      <c r="I10412" t="s">
        <v>2190</v>
      </c>
      <c r="J10412" s="10">
        <v>3</v>
      </c>
      <c r="K10412" t="b">
        <v>1</v>
      </c>
    </row>
    <row r="10413" spans="1:11">
      <c r="A10413" s="12">
        <v>42942</v>
      </c>
      <c r="B10413">
        <v>2017</v>
      </c>
      <c r="C10413">
        <v>7</v>
      </c>
      <c r="D10413" s="11">
        <v>42917</v>
      </c>
      <c r="E10413" t="s">
        <v>2179</v>
      </c>
      <c r="F10413">
        <v>3</v>
      </c>
      <c r="G10413" t="s">
        <v>65</v>
      </c>
      <c r="H10413" t="s">
        <v>43</v>
      </c>
      <c r="I10413" t="s">
        <v>2191</v>
      </c>
      <c r="J10413" s="10">
        <v>15</v>
      </c>
      <c r="K10413" t="b">
        <v>1</v>
      </c>
    </row>
    <row r="10414" spans="1:11">
      <c r="A10414" s="12">
        <v>42942</v>
      </c>
      <c r="B10414">
        <v>2017</v>
      </c>
      <c r="C10414">
        <v>7</v>
      </c>
      <c r="D10414" s="11">
        <v>42917</v>
      </c>
      <c r="E10414" t="s">
        <v>2179</v>
      </c>
      <c r="F10414">
        <v>3</v>
      </c>
      <c r="G10414" t="s">
        <v>65</v>
      </c>
      <c r="H10414" t="s">
        <v>44</v>
      </c>
      <c r="I10414" t="s">
        <v>2192</v>
      </c>
      <c r="J10414" s="10">
        <v>11</v>
      </c>
      <c r="K10414" t="b">
        <v>1</v>
      </c>
    </row>
    <row r="10415" spans="1:11">
      <c r="A10415" s="12">
        <v>42942</v>
      </c>
      <c r="B10415">
        <v>2017</v>
      </c>
      <c r="C10415">
        <v>7</v>
      </c>
      <c r="D10415" s="11">
        <v>42917</v>
      </c>
      <c r="E10415" t="s">
        <v>2179</v>
      </c>
      <c r="F10415">
        <v>3</v>
      </c>
      <c r="G10415" t="s">
        <v>65</v>
      </c>
      <c r="H10415" t="s">
        <v>45</v>
      </c>
      <c r="I10415" t="s">
        <v>2193</v>
      </c>
      <c r="J10415" s="10">
        <v>1</v>
      </c>
      <c r="K10415" t="b">
        <v>1</v>
      </c>
    </row>
    <row r="10416" spans="1:11">
      <c r="A10416" s="12">
        <v>42942</v>
      </c>
      <c r="B10416">
        <v>2017</v>
      </c>
      <c r="C10416">
        <v>7</v>
      </c>
      <c r="D10416" s="11">
        <v>42917</v>
      </c>
      <c r="E10416" t="s">
        <v>2179</v>
      </c>
      <c r="F10416">
        <v>3</v>
      </c>
      <c r="G10416" t="s">
        <v>65</v>
      </c>
      <c r="H10416" t="s">
        <v>46</v>
      </c>
      <c r="I10416" t="s">
        <v>2194</v>
      </c>
      <c r="J10416" s="10">
        <v>1</v>
      </c>
      <c r="K10416" t="b">
        <v>1</v>
      </c>
    </row>
    <row r="10417" spans="1:11">
      <c r="A10417" s="12">
        <v>42942</v>
      </c>
      <c r="B10417">
        <v>2017</v>
      </c>
      <c r="C10417">
        <v>7</v>
      </c>
      <c r="D10417" s="11">
        <v>42917</v>
      </c>
      <c r="E10417" t="s">
        <v>2179</v>
      </c>
      <c r="F10417">
        <v>3</v>
      </c>
      <c r="G10417" t="s">
        <v>65</v>
      </c>
      <c r="H10417" t="s">
        <v>47</v>
      </c>
      <c r="I10417" t="s">
        <v>2195</v>
      </c>
      <c r="J10417" s="10">
        <v>1</v>
      </c>
      <c r="K10417" t="b">
        <v>1</v>
      </c>
    </row>
    <row r="10418" spans="1:11">
      <c r="A10418" s="12">
        <v>42943</v>
      </c>
      <c r="B10418">
        <v>2017</v>
      </c>
      <c r="C10418">
        <v>7</v>
      </c>
      <c r="D10418" s="11">
        <v>42917</v>
      </c>
      <c r="E10418" t="s">
        <v>2179</v>
      </c>
      <c r="F10418">
        <v>4</v>
      </c>
      <c r="G10418" t="s">
        <v>53</v>
      </c>
      <c r="H10418" t="s">
        <v>40</v>
      </c>
      <c r="I10418" t="s">
        <v>2188</v>
      </c>
      <c r="J10418" s="10">
        <v>5</v>
      </c>
      <c r="K10418" t="b">
        <v>1</v>
      </c>
    </row>
    <row r="10419" spans="1:11">
      <c r="A10419" s="12">
        <v>42943</v>
      </c>
      <c r="B10419">
        <v>2017</v>
      </c>
      <c r="C10419">
        <v>7</v>
      </c>
      <c r="D10419" s="11">
        <v>42917</v>
      </c>
      <c r="E10419" t="s">
        <v>2179</v>
      </c>
      <c r="F10419">
        <v>4</v>
      </c>
      <c r="G10419" t="s">
        <v>53</v>
      </c>
      <c r="H10419" t="s">
        <v>41</v>
      </c>
      <c r="I10419" t="s">
        <v>2189</v>
      </c>
      <c r="J10419" s="10">
        <v>0.67</v>
      </c>
      <c r="K10419" t="b">
        <v>1</v>
      </c>
    </row>
    <row r="10420" spans="1:11">
      <c r="A10420" s="12">
        <v>42943</v>
      </c>
      <c r="B10420">
        <v>2017</v>
      </c>
      <c r="C10420">
        <v>7</v>
      </c>
      <c r="D10420" s="11">
        <v>42917</v>
      </c>
      <c r="E10420" t="s">
        <v>2179</v>
      </c>
      <c r="F10420">
        <v>4</v>
      </c>
      <c r="G10420" t="s">
        <v>53</v>
      </c>
      <c r="H10420" t="s">
        <v>42</v>
      </c>
      <c r="I10420" t="s">
        <v>2190</v>
      </c>
      <c r="J10420" s="10">
        <v>0</v>
      </c>
      <c r="K10420" t="b">
        <v>1</v>
      </c>
    </row>
    <row r="10421" spans="1:11">
      <c r="A10421" s="12">
        <v>42943</v>
      </c>
      <c r="B10421">
        <v>2017</v>
      </c>
      <c r="C10421">
        <v>7</v>
      </c>
      <c r="D10421" s="11">
        <v>42917</v>
      </c>
      <c r="E10421" t="s">
        <v>2179</v>
      </c>
      <c r="F10421">
        <v>4</v>
      </c>
      <c r="G10421" t="s">
        <v>53</v>
      </c>
      <c r="H10421" t="s">
        <v>43</v>
      </c>
      <c r="I10421" t="s">
        <v>2191</v>
      </c>
      <c r="J10421" s="10">
        <v>12.4</v>
      </c>
      <c r="K10421" t="b">
        <v>1</v>
      </c>
    </row>
    <row r="10422" spans="1:11">
      <c r="A10422" s="12">
        <v>42943</v>
      </c>
      <c r="B10422">
        <v>2017</v>
      </c>
      <c r="C10422">
        <v>7</v>
      </c>
      <c r="D10422" s="11">
        <v>42917</v>
      </c>
      <c r="E10422" t="s">
        <v>2179</v>
      </c>
      <c r="F10422">
        <v>4</v>
      </c>
      <c r="G10422" t="s">
        <v>53</v>
      </c>
      <c r="H10422" t="s">
        <v>44</v>
      </c>
      <c r="I10422" t="s">
        <v>2192</v>
      </c>
      <c r="J10422" s="10">
        <v>8</v>
      </c>
      <c r="K10422" t="b">
        <v>1</v>
      </c>
    </row>
    <row r="10423" spans="1:11">
      <c r="A10423" s="12">
        <v>42943</v>
      </c>
      <c r="B10423">
        <v>2017</v>
      </c>
      <c r="C10423">
        <v>7</v>
      </c>
      <c r="D10423" s="11">
        <v>42917</v>
      </c>
      <c r="E10423" t="s">
        <v>2179</v>
      </c>
      <c r="F10423">
        <v>4</v>
      </c>
      <c r="G10423" t="s">
        <v>53</v>
      </c>
      <c r="H10423" t="s">
        <v>45</v>
      </c>
      <c r="I10423" t="s">
        <v>2193</v>
      </c>
      <c r="J10423" s="10">
        <v>0</v>
      </c>
      <c r="K10423" t="b">
        <v>1</v>
      </c>
    </row>
    <row r="10424" spans="1:11">
      <c r="A10424" s="12">
        <v>42943</v>
      </c>
      <c r="B10424">
        <v>2017</v>
      </c>
      <c r="C10424">
        <v>7</v>
      </c>
      <c r="D10424" s="11">
        <v>42917</v>
      </c>
      <c r="E10424" t="s">
        <v>2179</v>
      </c>
      <c r="F10424">
        <v>4</v>
      </c>
      <c r="G10424" t="s">
        <v>53</v>
      </c>
      <c r="H10424" t="s">
        <v>46</v>
      </c>
      <c r="I10424" t="s">
        <v>2194</v>
      </c>
      <c r="J10424" s="10">
        <v>0</v>
      </c>
      <c r="K10424" t="b">
        <v>1</v>
      </c>
    </row>
    <row r="10425" spans="1:11">
      <c r="A10425" s="12">
        <v>42943</v>
      </c>
      <c r="B10425">
        <v>2017</v>
      </c>
      <c r="C10425">
        <v>7</v>
      </c>
      <c r="D10425" s="11">
        <v>42917</v>
      </c>
      <c r="E10425" t="s">
        <v>2179</v>
      </c>
      <c r="F10425">
        <v>4</v>
      </c>
      <c r="G10425" t="s">
        <v>53</v>
      </c>
      <c r="H10425" t="s">
        <v>47</v>
      </c>
      <c r="I10425" t="s">
        <v>2195</v>
      </c>
      <c r="J10425" s="10">
        <v>1</v>
      </c>
      <c r="K10425" t="b">
        <v>1</v>
      </c>
    </row>
    <row r="10426" spans="1:11">
      <c r="A10426" s="12">
        <v>42944</v>
      </c>
      <c r="B10426">
        <v>2017</v>
      </c>
      <c r="C10426">
        <v>7</v>
      </c>
      <c r="D10426" s="11">
        <v>42917</v>
      </c>
      <c r="E10426" t="s">
        <v>2179</v>
      </c>
      <c r="F10426">
        <v>5</v>
      </c>
      <c r="G10426" t="s">
        <v>55</v>
      </c>
      <c r="H10426" t="s">
        <v>40</v>
      </c>
      <c r="I10426" t="s">
        <v>2188</v>
      </c>
      <c r="J10426" s="10">
        <v>4</v>
      </c>
      <c r="K10426" t="b">
        <v>1</v>
      </c>
    </row>
    <row r="10427" spans="1:11">
      <c r="A10427" s="12">
        <v>42944</v>
      </c>
      <c r="B10427">
        <v>2017</v>
      </c>
      <c r="C10427">
        <v>7</v>
      </c>
      <c r="D10427" s="11">
        <v>42917</v>
      </c>
      <c r="E10427" t="s">
        <v>2179</v>
      </c>
      <c r="F10427">
        <v>5</v>
      </c>
      <c r="G10427" t="s">
        <v>55</v>
      </c>
      <c r="H10427" t="s">
        <v>41</v>
      </c>
      <c r="I10427" t="s">
        <v>2189</v>
      </c>
      <c r="J10427" s="10">
        <v>5</v>
      </c>
      <c r="K10427" t="b">
        <v>1</v>
      </c>
    </row>
    <row r="10428" spans="1:11">
      <c r="A10428" s="12">
        <v>42944</v>
      </c>
      <c r="B10428">
        <v>2017</v>
      </c>
      <c r="C10428">
        <v>7</v>
      </c>
      <c r="D10428" s="11">
        <v>42917</v>
      </c>
      <c r="E10428" t="s">
        <v>2179</v>
      </c>
      <c r="F10428">
        <v>5</v>
      </c>
      <c r="G10428" t="s">
        <v>55</v>
      </c>
      <c r="H10428" t="s">
        <v>42</v>
      </c>
      <c r="I10428" t="s">
        <v>2190</v>
      </c>
      <c r="J10428" s="10">
        <v>1.1</v>
      </c>
      <c r="K10428" t="b">
        <v>1</v>
      </c>
    </row>
    <row r="10429" spans="1:11">
      <c r="A10429" s="12">
        <v>42944</v>
      </c>
      <c r="B10429">
        <v>2017</v>
      </c>
      <c r="C10429">
        <v>7</v>
      </c>
      <c r="D10429" s="11">
        <v>42917</v>
      </c>
      <c r="E10429" t="s">
        <v>2179</v>
      </c>
      <c r="F10429">
        <v>5</v>
      </c>
      <c r="G10429" t="s">
        <v>55</v>
      </c>
      <c r="H10429" t="s">
        <v>43</v>
      </c>
      <c r="I10429" t="s">
        <v>2191</v>
      </c>
      <c r="J10429" s="10">
        <v>17.2</v>
      </c>
      <c r="K10429" t="b">
        <v>1</v>
      </c>
    </row>
    <row r="10430" spans="1:11">
      <c r="A10430" s="12">
        <v>42944</v>
      </c>
      <c r="B10430">
        <v>2017</v>
      </c>
      <c r="C10430">
        <v>7</v>
      </c>
      <c r="D10430" s="11">
        <v>42917</v>
      </c>
      <c r="E10430" t="s">
        <v>2179</v>
      </c>
      <c r="F10430">
        <v>5</v>
      </c>
      <c r="G10430" t="s">
        <v>55</v>
      </c>
      <c r="H10430" t="s">
        <v>44</v>
      </c>
      <c r="I10430" t="s">
        <v>2192</v>
      </c>
      <c r="J10430" s="10">
        <v>10</v>
      </c>
      <c r="K10430" t="b">
        <v>1</v>
      </c>
    </row>
    <row r="10431" spans="1:11">
      <c r="A10431" s="12">
        <v>42944</v>
      </c>
      <c r="B10431">
        <v>2017</v>
      </c>
      <c r="C10431">
        <v>7</v>
      </c>
      <c r="D10431" s="11">
        <v>42917</v>
      </c>
      <c r="E10431" t="s">
        <v>2179</v>
      </c>
      <c r="F10431">
        <v>5</v>
      </c>
      <c r="G10431" t="s">
        <v>55</v>
      </c>
      <c r="H10431" t="s">
        <v>45</v>
      </c>
      <c r="I10431" t="s">
        <v>2193</v>
      </c>
      <c r="J10431" s="10">
        <v>0</v>
      </c>
      <c r="K10431" t="b">
        <v>1</v>
      </c>
    </row>
    <row r="10432" spans="1:11">
      <c r="A10432" s="12">
        <v>42944</v>
      </c>
      <c r="B10432">
        <v>2017</v>
      </c>
      <c r="C10432">
        <v>7</v>
      </c>
      <c r="D10432" s="11">
        <v>42917</v>
      </c>
      <c r="E10432" t="s">
        <v>2179</v>
      </c>
      <c r="F10432">
        <v>5</v>
      </c>
      <c r="G10432" t="s">
        <v>55</v>
      </c>
      <c r="H10432" t="s">
        <v>46</v>
      </c>
      <c r="I10432" t="s">
        <v>2194</v>
      </c>
      <c r="J10432" s="10">
        <v>0</v>
      </c>
      <c r="K10432" t="b">
        <v>1</v>
      </c>
    </row>
    <row r="10433" spans="1:11">
      <c r="A10433" s="12">
        <v>42944</v>
      </c>
      <c r="B10433">
        <v>2017</v>
      </c>
      <c r="C10433">
        <v>7</v>
      </c>
      <c r="D10433" s="11">
        <v>42917</v>
      </c>
      <c r="E10433" t="s">
        <v>2179</v>
      </c>
      <c r="F10433">
        <v>5</v>
      </c>
      <c r="G10433" t="s">
        <v>55</v>
      </c>
      <c r="H10433" t="s">
        <v>47</v>
      </c>
      <c r="I10433" t="s">
        <v>2195</v>
      </c>
      <c r="J10433" s="10">
        <v>3</v>
      </c>
      <c r="K10433" t="b">
        <v>1</v>
      </c>
    </row>
    <row r="10434" spans="1:11">
      <c r="A10434" s="12">
        <v>42945</v>
      </c>
      <c r="B10434">
        <v>2017</v>
      </c>
      <c r="C10434">
        <v>7</v>
      </c>
      <c r="D10434" s="11">
        <v>42917</v>
      </c>
      <c r="E10434" t="s">
        <v>2179</v>
      </c>
      <c r="F10434">
        <v>6</v>
      </c>
      <c r="G10434" t="s">
        <v>57</v>
      </c>
      <c r="H10434" t="s">
        <v>40</v>
      </c>
      <c r="I10434" t="s">
        <v>2188</v>
      </c>
      <c r="J10434" s="10">
        <v>3</v>
      </c>
      <c r="K10434" t="b">
        <v>1</v>
      </c>
    </row>
    <row r="10435" spans="1:11">
      <c r="A10435" s="12">
        <v>42945</v>
      </c>
      <c r="B10435">
        <v>2017</v>
      </c>
      <c r="C10435">
        <v>7</v>
      </c>
      <c r="D10435" s="11">
        <v>42917</v>
      </c>
      <c r="E10435" t="s">
        <v>2179</v>
      </c>
      <c r="F10435">
        <v>6</v>
      </c>
      <c r="G10435" t="s">
        <v>57</v>
      </c>
      <c r="H10435" t="s">
        <v>41</v>
      </c>
      <c r="I10435" t="s">
        <v>2189</v>
      </c>
      <c r="J10435" s="10">
        <v>3.33</v>
      </c>
      <c r="K10435" t="b">
        <v>1</v>
      </c>
    </row>
    <row r="10436" spans="1:11">
      <c r="A10436" s="12">
        <v>42945</v>
      </c>
      <c r="B10436">
        <v>2017</v>
      </c>
      <c r="C10436">
        <v>7</v>
      </c>
      <c r="D10436" s="11">
        <v>42917</v>
      </c>
      <c r="E10436" t="s">
        <v>2179</v>
      </c>
      <c r="F10436">
        <v>6</v>
      </c>
      <c r="G10436" t="s">
        <v>57</v>
      </c>
      <c r="H10436" t="s">
        <v>42</v>
      </c>
      <c r="I10436" t="s">
        <v>2190</v>
      </c>
      <c r="J10436" s="10">
        <v>2</v>
      </c>
      <c r="K10436" t="b">
        <v>1</v>
      </c>
    </row>
    <row r="10437" spans="1:11">
      <c r="A10437" s="12">
        <v>42945</v>
      </c>
      <c r="B10437">
        <v>2017</v>
      </c>
      <c r="C10437">
        <v>7</v>
      </c>
      <c r="D10437" s="11">
        <v>42917</v>
      </c>
      <c r="E10437" t="s">
        <v>2179</v>
      </c>
      <c r="F10437">
        <v>6</v>
      </c>
      <c r="G10437" t="s">
        <v>57</v>
      </c>
      <c r="H10437" t="s">
        <v>43</v>
      </c>
      <c r="I10437" t="s">
        <v>2191</v>
      </c>
      <c r="J10437" s="10">
        <v>14.15</v>
      </c>
      <c r="K10437" t="b">
        <v>1</v>
      </c>
    </row>
    <row r="10438" spans="1:11">
      <c r="A10438" s="12">
        <v>42945</v>
      </c>
      <c r="B10438">
        <v>2017</v>
      </c>
      <c r="C10438">
        <v>7</v>
      </c>
      <c r="D10438" s="11">
        <v>42917</v>
      </c>
      <c r="E10438" t="s">
        <v>2179</v>
      </c>
      <c r="F10438">
        <v>6</v>
      </c>
      <c r="G10438" t="s">
        <v>57</v>
      </c>
      <c r="H10438" t="s">
        <v>44</v>
      </c>
      <c r="I10438" t="s">
        <v>2192</v>
      </c>
      <c r="J10438" s="10">
        <v>1</v>
      </c>
      <c r="K10438" t="b">
        <v>1</v>
      </c>
    </row>
    <row r="10439" spans="1:11">
      <c r="A10439" s="12">
        <v>42945</v>
      </c>
      <c r="B10439">
        <v>2017</v>
      </c>
      <c r="C10439">
        <v>7</v>
      </c>
      <c r="D10439" s="11">
        <v>42917</v>
      </c>
      <c r="E10439" t="s">
        <v>2179</v>
      </c>
      <c r="F10439">
        <v>6</v>
      </c>
      <c r="G10439" t="s">
        <v>57</v>
      </c>
      <c r="H10439" t="s">
        <v>45</v>
      </c>
      <c r="I10439" t="s">
        <v>2193</v>
      </c>
      <c r="J10439" s="10">
        <v>0</v>
      </c>
      <c r="K10439" t="b">
        <v>1</v>
      </c>
    </row>
    <row r="10440" spans="1:11">
      <c r="A10440" s="12">
        <v>42945</v>
      </c>
      <c r="B10440">
        <v>2017</v>
      </c>
      <c r="C10440">
        <v>7</v>
      </c>
      <c r="D10440" s="11">
        <v>42917</v>
      </c>
      <c r="E10440" t="s">
        <v>2179</v>
      </c>
      <c r="F10440">
        <v>6</v>
      </c>
      <c r="G10440" t="s">
        <v>57</v>
      </c>
      <c r="H10440" t="s">
        <v>46</v>
      </c>
      <c r="I10440" t="s">
        <v>2194</v>
      </c>
      <c r="J10440" s="10">
        <v>0</v>
      </c>
      <c r="K10440" t="b">
        <v>1</v>
      </c>
    </row>
    <row r="10441" spans="1:11">
      <c r="A10441" s="12">
        <v>42945</v>
      </c>
      <c r="B10441">
        <v>2017</v>
      </c>
      <c r="C10441">
        <v>7</v>
      </c>
      <c r="D10441" s="11">
        <v>42917</v>
      </c>
      <c r="E10441" t="s">
        <v>2179</v>
      </c>
      <c r="F10441">
        <v>6</v>
      </c>
      <c r="G10441" t="s">
        <v>57</v>
      </c>
      <c r="H10441" t="s">
        <v>47</v>
      </c>
      <c r="I10441" t="s">
        <v>2195</v>
      </c>
      <c r="J10441" s="10">
        <v>4</v>
      </c>
      <c r="K10441" t="b">
        <v>1</v>
      </c>
    </row>
    <row r="10442" spans="1:11">
      <c r="A10442" s="12">
        <v>42946</v>
      </c>
      <c r="B10442">
        <v>2017</v>
      </c>
      <c r="C10442">
        <v>7</v>
      </c>
      <c r="D10442" s="11">
        <v>42917</v>
      </c>
      <c r="E10442" t="s">
        <v>2179</v>
      </c>
      <c r="F10442">
        <v>7</v>
      </c>
      <c r="G10442" t="s">
        <v>59</v>
      </c>
      <c r="H10442" t="s">
        <v>40</v>
      </c>
      <c r="I10442" t="s">
        <v>2188</v>
      </c>
      <c r="J10442" s="10">
        <v>4.125</v>
      </c>
      <c r="K10442" t="b">
        <v>1</v>
      </c>
    </row>
    <row r="10443" spans="1:11">
      <c r="A10443" s="12">
        <v>42946</v>
      </c>
      <c r="B10443">
        <v>2017</v>
      </c>
      <c r="C10443">
        <v>7</v>
      </c>
      <c r="D10443" s="11">
        <v>42917</v>
      </c>
      <c r="E10443" t="s">
        <v>2179</v>
      </c>
      <c r="F10443">
        <v>7</v>
      </c>
      <c r="G10443" t="s">
        <v>59</v>
      </c>
      <c r="H10443" t="s">
        <v>41</v>
      </c>
      <c r="I10443" t="s">
        <v>2189</v>
      </c>
      <c r="J10443" s="10">
        <v>2.66</v>
      </c>
      <c r="K10443" t="b">
        <v>1</v>
      </c>
    </row>
    <row r="10444" spans="1:11">
      <c r="A10444" s="12">
        <v>42946</v>
      </c>
      <c r="B10444">
        <v>2017</v>
      </c>
      <c r="C10444">
        <v>7</v>
      </c>
      <c r="D10444" s="11">
        <v>42917</v>
      </c>
      <c r="E10444" t="s">
        <v>2179</v>
      </c>
      <c r="F10444">
        <v>7</v>
      </c>
      <c r="G10444" t="s">
        <v>59</v>
      </c>
      <c r="H10444" t="s">
        <v>42</v>
      </c>
      <c r="I10444" t="s">
        <v>2190</v>
      </c>
      <c r="J10444" s="10">
        <v>2</v>
      </c>
      <c r="K10444" t="b">
        <v>1</v>
      </c>
    </row>
    <row r="10445" spans="1:11">
      <c r="A10445" s="12">
        <v>42946</v>
      </c>
      <c r="B10445">
        <v>2017</v>
      </c>
      <c r="C10445">
        <v>7</v>
      </c>
      <c r="D10445" s="11">
        <v>42917</v>
      </c>
      <c r="E10445" t="s">
        <v>2179</v>
      </c>
      <c r="F10445">
        <v>7</v>
      </c>
      <c r="G10445" t="s">
        <v>59</v>
      </c>
      <c r="H10445" t="s">
        <v>43</v>
      </c>
      <c r="I10445" t="s">
        <v>2191</v>
      </c>
      <c r="J10445" s="10">
        <v>13</v>
      </c>
      <c r="K10445" t="b">
        <v>1</v>
      </c>
    </row>
    <row r="10446" spans="1:11">
      <c r="A10446" s="12">
        <v>42946</v>
      </c>
      <c r="B10446">
        <v>2017</v>
      </c>
      <c r="C10446">
        <v>7</v>
      </c>
      <c r="D10446" s="11">
        <v>42917</v>
      </c>
      <c r="E10446" t="s">
        <v>2179</v>
      </c>
      <c r="F10446">
        <v>7</v>
      </c>
      <c r="G10446" t="s">
        <v>59</v>
      </c>
      <c r="H10446" t="s">
        <v>44</v>
      </c>
      <c r="I10446" t="s">
        <v>2192</v>
      </c>
      <c r="J10446" s="10">
        <v>11</v>
      </c>
      <c r="K10446" t="b">
        <v>1</v>
      </c>
    </row>
    <row r="10447" spans="1:11">
      <c r="A10447" s="12">
        <v>42946</v>
      </c>
      <c r="B10447">
        <v>2017</v>
      </c>
      <c r="C10447">
        <v>7</v>
      </c>
      <c r="D10447" s="11">
        <v>42917</v>
      </c>
      <c r="E10447" t="s">
        <v>2179</v>
      </c>
      <c r="F10447">
        <v>7</v>
      </c>
      <c r="G10447" t="s">
        <v>59</v>
      </c>
      <c r="H10447" t="s">
        <v>45</v>
      </c>
      <c r="I10447" t="s">
        <v>2193</v>
      </c>
      <c r="J10447" s="10">
        <v>0</v>
      </c>
      <c r="K10447" t="b">
        <v>1</v>
      </c>
    </row>
    <row r="10448" spans="1:11">
      <c r="A10448" s="12">
        <v>42946</v>
      </c>
      <c r="B10448">
        <v>2017</v>
      </c>
      <c r="C10448">
        <v>7</v>
      </c>
      <c r="D10448" s="11">
        <v>42917</v>
      </c>
      <c r="E10448" t="s">
        <v>2179</v>
      </c>
      <c r="F10448">
        <v>7</v>
      </c>
      <c r="G10448" t="s">
        <v>59</v>
      </c>
      <c r="H10448" t="s">
        <v>46</v>
      </c>
      <c r="I10448" t="s">
        <v>2194</v>
      </c>
      <c r="J10448" s="10">
        <v>0</v>
      </c>
      <c r="K10448" t="b">
        <v>1</v>
      </c>
    </row>
    <row r="10449" spans="1:11">
      <c r="A10449" s="12">
        <v>42946</v>
      </c>
      <c r="B10449">
        <v>2017</v>
      </c>
      <c r="C10449">
        <v>7</v>
      </c>
      <c r="D10449" s="11">
        <v>42917</v>
      </c>
      <c r="E10449" t="s">
        <v>2179</v>
      </c>
      <c r="F10449">
        <v>7</v>
      </c>
      <c r="G10449" t="s">
        <v>59</v>
      </c>
      <c r="H10449" t="s">
        <v>47</v>
      </c>
      <c r="I10449" t="s">
        <v>2195</v>
      </c>
      <c r="J10449" s="10">
        <v>1</v>
      </c>
      <c r="K10449" t="b">
        <v>1</v>
      </c>
    </row>
    <row r="10450" spans="1:11">
      <c r="A10450" s="12">
        <v>42947</v>
      </c>
      <c r="B10450">
        <v>2017</v>
      </c>
      <c r="C10450">
        <v>7</v>
      </c>
      <c r="D10450" s="11">
        <v>42917</v>
      </c>
      <c r="E10450" t="s">
        <v>2179</v>
      </c>
      <c r="F10450">
        <v>1</v>
      </c>
      <c r="G10450" t="s">
        <v>61</v>
      </c>
      <c r="H10450" t="s">
        <v>40</v>
      </c>
      <c r="I10450" t="s">
        <v>2188</v>
      </c>
      <c r="J10450" s="10">
        <v>7.34</v>
      </c>
      <c r="K10450" t="b">
        <v>1</v>
      </c>
    </row>
    <row r="10451" spans="1:11">
      <c r="A10451" s="12">
        <v>42947</v>
      </c>
      <c r="B10451">
        <v>2017</v>
      </c>
      <c r="C10451">
        <v>7</v>
      </c>
      <c r="D10451" s="11">
        <v>42917</v>
      </c>
      <c r="E10451" t="s">
        <v>2179</v>
      </c>
      <c r="F10451">
        <v>1</v>
      </c>
      <c r="G10451" t="s">
        <v>61</v>
      </c>
      <c r="H10451" t="s">
        <v>41</v>
      </c>
      <c r="I10451" t="s">
        <v>2189</v>
      </c>
      <c r="J10451" s="10">
        <v>0.8100000000000001</v>
      </c>
      <c r="K10451" t="b">
        <v>1</v>
      </c>
    </row>
    <row r="10452" spans="1:11">
      <c r="A10452" s="12">
        <v>42947</v>
      </c>
      <c r="B10452">
        <v>2017</v>
      </c>
      <c r="C10452">
        <v>7</v>
      </c>
      <c r="D10452" s="11">
        <v>42917</v>
      </c>
      <c r="E10452" t="s">
        <v>2179</v>
      </c>
      <c r="F10452">
        <v>1</v>
      </c>
      <c r="G10452" t="s">
        <v>61</v>
      </c>
      <c r="H10452" t="s">
        <v>42</v>
      </c>
      <c r="I10452" t="s">
        <v>2190</v>
      </c>
      <c r="J10452" s="10">
        <v>2.25</v>
      </c>
      <c r="K10452" t="b">
        <v>1</v>
      </c>
    </row>
    <row r="10453" spans="1:11">
      <c r="A10453" s="12">
        <v>42947</v>
      </c>
      <c r="B10453">
        <v>2017</v>
      </c>
      <c r="C10453">
        <v>7</v>
      </c>
      <c r="D10453" s="11">
        <v>42917</v>
      </c>
      <c r="E10453" t="s">
        <v>2179</v>
      </c>
      <c r="F10453">
        <v>1</v>
      </c>
      <c r="G10453" t="s">
        <v>61</v>
      </c>
      <c r="H10453" t="s">
        <v>43</v>
      </c>
      <c r="I10453" t="s">
        <v>2191</v>
      </c>
      <c r="J10453" s="10">
        <v>21</v>
      </c>
      <c r="K10453" t="b">
        <v>1</v>
      </c>
    </row>
    <row r="10454" spans="1:11">
      <c r="A10454" s="12">
        <v>42947</v>
      </c>
      <c r="B10454">
        <v>2017</v>
      </c>
      <c r="C10454">
        <v>7</v>
      </c>
      <c r="D10454" s="11">
        <v>42917</v>
      </c>
      <c r="E10454" t="s">
        <v>2179</v>
      </c>
      <c r="F10454">
        <v>1</v>
      </c>
      <c r="G10454" t="s">
        <v>61</v>
      </c>
      <c r="H10454" t="s">
        <v>44</v>
      </c>
      <c r="I10454" t="s">
        <v>2192</v>
      </c>
      <c r="J10454" s="10">
        <v>9</v>
      </c>
      <c r="K10454" t="b">
        <v>1</v>
      </c>
    </row>
    <row r="10455" spans="1:11">
      <c r="A10455" s="12">
        <v>42947</v>
      </c>
      <c r="B10455">
        <v>2017</v>
      </c>
      <c r="C10455">
        <v>7</v>
      </c>
      <c r="D10455" s="11">
        <v>42917</v>
      </c>
      <c r="E10455" t="s">
        <v>2179</v>
      </c>
      <c r="F10455">
        <v>1</v>
      </c>
      <c r="G10455" t="s">
        <v>61</v>
      </c>
      <c r="H10455" t="s">
        <v>45</v>
      </c>
      <c r="I10455" t="s">
        <v>2193</v>
      </c>
      <c r="J10455" s="10">
        <v>0</v>
      </c>
      <c r="K10455" t="b">
        <v>1</v>
      </c>
    </row>
    <row r="10456" spans="1:11">
      <c r="A10456" s="12">
        <v>42947</v>
      </c>
      <c r="B10456">
        <v>2017</v>
      </c>
      <c r="C10456">
        <v>7</v>
      </c>
      <c r="D10456" s="11">
        <v>42917</v>
      </c>
      <c r="E10456" t="s">
        <v>2179</v>
      </c>
      <c r="F10456">
        <v>1</v>
      </c>
      <c r="G10456" t="s">
        <v>61</v>
      </c>
      <c r="H10456" t="s">
        <v>46</v>
      </c>
      <c r="I10456" t="s">
        <v>2194</v>
      </c>
      <c r="J10456" s="10">
        <v>5</v>
      </c>
      <c r="K10456" t="b">
        <v>1</v>
      </c>
    </row>
    <row r="10457" spans="1:11">
      <c r="A10457" s="12">
        <v>42947</v>
      </c>
      <c r="B10457">
        <v>2017</v>
      </c>
      <c r="C10457">
        <v>7</v>
      </c>
      <c r="D10457" s="11">
        <v>42917</v>
      </c>
      <c r="E10457" t="s">
        <v>2179</v>
      </c>
      <c r="F10457">
        <v>1</v>
      </c>
      <c r="G10457" t="s">
        <v>61</v>
      </c>
      <c r="H10457" t="s">
        <v>47</v>
      </c>
      <c r="I10457" t="s">
        <v>2195</v>
      </c>
      <c r="J10457" s="10">
        <v>2</v>
      </c>
      <c r="K10457" t="b">
        <v>1</v>
      </c>
    </row>
    <row r="10458" spans="1:11">
      <c r="A10458" s="12">
        <v>42948</v>
      </c>
      <c r="B10458">
        <v>2017</v>
      </c>
      <c r="C10458">
        <v>8</v>
      </c>
      <c r="D10458" s="11">
        <v>42948</v>
      </c>
      <c r="E10458" t="s">
        <v>2180</v>
      </c>
      <c r="F10458">
        <v>2</v>
      </c>
      <c r="G10458" t="s">
        <v>63</v>
      </c>
      <c r="H10458" t="s">
        <v>40</v>
      </c>
      <c r="I10458" t="s">
        <v>2188</v>
      </c>
      <c r="J10458" s="10">
        <v>7.33</v>
      </c>
      <c r="K10458" t="b">
        <v>1</v>
      </c>
    </row>
    <row r="10459" spans="1:11">
      <c r="A10459" s="12">
        <v>42948</v>
      </c>
      <c r="B10459">
        <v>2017</v>
      </c>
      <c r="C10459">
        <v>8</v>
      </c>
      <c r="D10459" s="11">
        <v>42948</v>
      </c>
      <c r="E10459" t="s">
        <v>2180</v>
      </c>
      <c r="F10459">
        <v>2</v>
      </c>
      <c r="G10459" t="s">
        <v>63</v>
      </c>
      <c r="H10459" t="s">
        <v>41</v>
      </c>
      <c r="I10459" t="s">
        <v>2189</v>
      </c>
      <c r="J10459" s="10">
        <v>3.33</v>
      </c>
      <c r="K10459" t="b">
        <v>1</v>
      </c>
    </row>
    <row r="10460" spans="1:11">
      <c r="A10460" s="12">
        <v>42948</v>
      </c>
      <c r="B10460">
        <v>2017</v>
      </c>
      <c r="C10460">
        <v>8</v>
      </c>
      <c r="D10460" s="11">
        <v>42948</v>
      </c>
      <c r="E10460" t="s">
        <v>2180</v>
      </c>
      <c r="F10460">
        <v>2</v>
      </c>
      <c r="G10460" t="s">
        <v>63</v>
      </c>
      <c r="H10460" t="s">
        <v>42</v>
      </c>
      <c r="I10460" t="s">
        <v>2190</v>
      </c>
      <c r="J10460" s="10">
        <v>2</v>
      </c>
      <c r="K10460" t="b">
        <v>1</v>
      </c>
    </row>
    <row r="10461" spans="1:11">
      <c r="A10461" s="12">
        <v>42948</v>
      </c>
      <c r="B10461">
        <v>2017</v>
      </c>
      <c r="C10461">
        <v>8</v>
      </c>
      <c r="D10461" s="11">
        <v>42948</v>
      </c>
      <c r="E10461" t="s">
        <v>2180</v>
      </c>
      <c r="F10461">
        <v>2</v>
      </c>
      <c r="G10461" t="s">
        <v>63</v>
      </c>
      <c r="H10461" t="s">
        <v>43</v>
      </c>
      <c r="I10461" t="s">
        <v>2191</v>
      </c>
      <c r="J10461" s="10">
        <v>15.6</v>
      </c>
      <c r="K10461" t="b">
        <v>1</v>
      </c>
    </row>
    <row r="10462" spans="1:11">
      <c r="A10462" s="12">
        <v>42948</v>
      </c>
      <c r="B10462">
        <v>2017</v>
      </c>
      <c r="C10462">
        <v>8</v>
      </c>
      <c r="D10462" s="11">
        <v>42948</v>
      </c>
      <c r="E10462" t="s">
        <v>2180</v>
      </c>
      <c r="F10462">
        <v>2</v>
      </c>
      <c r="G10462" t="s">
        <v>63</v>
      </c>
      <c r="H10462" t="s">
        <v>44</v>
      </c>
      <c r="I10462" t="s">
        <v>2192</v>
      </c>
      <c r="J10462" s="10">
        <v>3</v>
      </c>
      <c r="K10462" t="b">
        <v>1</v>
      </c>
    </row>
    <row r="10463" spans="1:11">
      <c r="A10463" s="12">
        <v>42948</v>
      </c>
      <c r="B10463">
        <v>2017</v>
      </c>
      <c r="C10463">
        <v>8</v>
      </c>
      <c r="D10463" s="11">
        <v>42948</v>
      </c>
      <c r="E10463" t="s">
        <v>2180</v>
      </c>
      <c r="F10463">
        <v>2</v>
      </c>
      <c r="G10463" t="s">
        <v>63</v>
      </c>
      <c r="H10463" t="s">
        <v>45</v>
      </c>
      <c r="I10463" t="s">
        <v>2193</v>
      </c>
      <c r="J10463" s="10">
        <v>0</v>
      </c>
      <c r="K10463" t="b">
        <v>1</v>
      </c>
    </row>
    <row r="10464" spans="1:11">
      <c r="A10464" s="12">
        <v>42948</v>
      </c>
      <c r="B10464">
        <v>2017</v>
      </c>
      <c r="C10464">
        <v>8</v>
      </c>
      <c r="D10464" s="11">
        <v>42948</v>
      </c>
      <c r="E10464" t="s">
        <v>2180</v>
      </c>
      <c r="F10464">
        <v>2</v>
      </c>
      <c r="G10464" t="s">
        <v>63</v>
      </c>
      <c r="H10464" t="s">
        <v>46</v>
      </c>
      <c r="I10464" t="s">
        <v>2194</v>
      </c>
      <c r="J10464" s="10">
        <v>1</v>
      </c>
      <c r="K10464" t="b">
        <v>1</v>
      </c>
    </row>
    <row r="10465" spans="1:11">
      <c r="A10465" s="12">
        <v>42948</v>
      </c>
      <c r="B10465">
        <v>2017</v>
      </c>
      <c r="C10465">
        <v>8</v>
      </c>
      <c r="D10465" s="11">
        <v>42948</v>
      </c>
      <c r="E10465" t="s">
        <v>2180</v>
      </c>
      <c r="F10465">
        <v>2</v>
      </c>
      <c r="G10465" t="s">
        <v>63</v>
      </c>
      <c r="H10465" t="s">
        <v>47</v>
      </c>
      <c r="I10465" t="s">
        <v>2195</v>
      </c>
      <c r="J10465" s="10">
        <v>1</v>
      </c>
      <c r="K10465" t="b">
        <v>1</v>
      </c>
    </row>
    <row r="10466" spans="1:11">
      <c r="A10466" s="12">
        <v>42949</v>
      </c>
      <c r="B10466">
        <v>2017</v>
      </c>
      <c r="C10466">
        <v>8</v>
      </c>
      <c r="D10466" s="11">
        <v>42948</v>
      </c>
      <c r="E10466" t="s">
        <v>2180</v>
      </c>
      <c r="F10466">
        <v>3</v>
      </c>
      <c r="G10466" t="s">
        <v>65</v>
      </c>
      <c r="H10466" t="s">
        <v>40</v>
      </c>
      <c r="I10466" t="s">
        <v>2188</v>
      </c>
      <c r="J10466" s="10">
        <v>6</v>
      </c>
      <c r="K10466" t="b">
        <v>1</v>
      </c>
    </row>
    <row r="10467" spans="1:11">
      <c r="A10467" s="12">
        <v>42949</v>
      </c>
      <c r="B10467">
        <v>2017</v>
      </c>
      <c r="C10467">
        <v>8</v>
      </c>
      <c r="D10467" s="11">
        <v>42948</v>
      </c>
      <c r="E10467" t="s">
        <v>2180</v>
      </c>
      <c r="F10467">
        <v>3</v>
      </c>
      <c r="G10467" t="s">
        <v>65</v>
      </c>
      <c r="H10467" t="s">
        <v>41</v>
      </c>
      <c r="I10467" t="s">
        <v>2189</v>
      </c>
      <c r="J10467" s="10">
        <v>2.66</v>
      </c>
      <c r="K10467" t="b">
        <v>1</v>
      </c>
    </row>
    <row r="10468" spans="1:11">
      <c r="A10468" s="12">
        <v>42949</v>
      </c>
      <c r="B10468">
        <v>2017</v>
      </c>
      <c r="C10468">
        <v>8</v>
      </c>
      <c r="D10468" s="11">
        <v>42948</v>
      </c>
      <c r="E10468" t="s">
        <v>2180</v>
      </c>
      <c r="F10468">
        <v>3</v>
      </c>
      <c r="G10468" t="s">
        <v>65</v>
      </c>
      <c r="H10468" t="s">
        <v>42</v>
      </c>
      <c r="I10468" t="s">
        <v>2190</v>
      </c>
      <c r="J10468" s="10">
        <v>1</v>
      </c>
      <c r="K10468" t="b">
        <v>1</v>
      </c>
    </row>
    <row r="10469" spans="1:11">
      <c r="A10469" s="12">
        <v>42949</v>
      </c>
      <c r="B10469">
        <v>2017</v>
      </c>
      <c r="C10469">
        <v>8</v>
      </c>
      <c r="D10469" s="11">
        <v>42948</v>
      </c>
      <c r="E10469" t="s">
        <v>2180</v>
      </c>
      <c r="F10469">
        <v>3</v>
      </c>
      <c r="G10469" t="s">
        <v>65</v>
      </c>
      <c r="H10469" t="s">
        <v>43</v>
      </c>
      <c r="I10469" t="s">
        <v>2191</v>
      </c>
      <c r="J10469" s="10">
        <v>25</v>
      </c>
      <c r="K10469" t="b">
        <v>1</v>
      </c>
    </row>
    <row r="10470" spans="1:11">
      <c r="A10470" s="12">
        <v>42949</v>
      </c>
      <c r="B10470">
        <v>2017</v>
      </c>
      <c r="C10470">
        <v>8</v>
      </c>
      <c r="D10470" s="11">
        <v>42948</v>
      </c>
      <c r="E10470" t="s">
        <v>2180</v>
      </c>
      <c r="F10470">
        <v>3</v>
      </c>
      <c r="G10470" t="s">
        <v>65</v>
      </c>
      <c r="H10470" t="s">
        <v>44</v>
      </c>
      <c r="I10470" t="s">
        <v>2192</v>
      </c>
      <c r="J10470" s="10">
        <v>2</v>
      </c>
      <c r="K10470" t="b">
        <v>1</v>
      </c>
    </row>
    <row r="10471" spans="1:11">
      <c r="A10471" s="12">
        <v>42949</v>
      </c>
      <c r="B10471">
        <v>2017</v>
      </c>
      <c r="C10471">
        <v>8</v>
      </c>
      <c r="D10471" s="11">
        <v>42948</v>
      </c>
      <c r="E10471" t="s">
        <v>2180</v>
      </c>
      <c r="F10471">
        <v>3</v>
      </c>
      <c r="G10471" t="s">
        <v>65</v>
      </c>
      <c r="H10471" t="s">
        <v>45</v>
      </c>
      <c r="I10471" t="s">
        <v>2193</v>
      </c>
      <c r="J10471" s="10">
        <v>0</v>
      </c>
      <c r="K10471" t="b">
        <v>1</v>
      </c>
    </row>
    <row r="10472" spans="1:11">
      <c r="A10472" s="12">
        <v>42949</v>
      </c>
      <c r="B10472">
        <v>2017</v>
      </c>
      <c r="C10472">
        <v>8</v>
      </c>
      <c r="D10472" s="11">
        <v>42948</v>
      </c>
      <c r="E10472" t="s">
        <v>2180</v>
      </c>
      <c r="F10472">
        <v>3</v>
      </c>
      <c r="G10472" t="s">
        <v>65</v>
      </c>
      <c r="H10472" t="s">
        <v>46</v>
      </c>
      <c r="I10472" t="s">
        <v>2194</v>
      </c>
      <c r="J10472" s="10">
        <v>1</v>
      </c>
      <c r="K10472" t="b">
        <v>1</v>
      </c>
    </row>
    <row r="10473" spans="1:11">
      <c r="A10473" s="12">
        <v>42949</v>
      </c>
      <c r="B10473">
        <v>2017</v>
      </c>
      <c r="C10473">
        <v>8</v>
      </c>
      <c r="D10473" s="11">
        <v>42948</v>
      </c>
      <c r="E10473" t="s">
        <v>2180</v>
      </c>
      <c r="F10473">
        <v>3</v>
      </c>
      <c r="G10473" t="s">
        <v>65</v>
      </c>
      <c r="H10473" t="s">
        <v>47</v>
      </c>
      <c r="I10473" t="s">
        <v>2195</v>
      </c>
      <c r="J10473" s="10">
        <v>4</v>
      </c>
      <c r="K10473" t="b">
        <v>1</v>
      </c>
    </row>
    <row r="10474" spans="1:11">
      <c r="A10474" s="12">
        <v>42950</v>
      </c>
      <c r="B10474">
        <v>2017</v>
      </c>
      <c r="C10474">
        <v>8</v>
      </c>
      <c r="D10474" s="11">
        <v>42948</v>
      </c>
      <c r="E10474" t="s">
        <v>2180</v>
      </c>
      <c r="F10474">
        <v>4</v>
      </c>
      <c r="G10474" t="s">
        <v>53</v>
      </c>
      <c r="H10474" t="s">
        <v>40</v>
      </c>
      <c r="I10474" t="s">
        <v>2188</v>
      </c>
      <c r="J10474" s="10">
        <v>6.33</v>
      </c>
      <c r="K10474" t="b">
        <v>1</v>
      </c>
    </row>
    <row r="10475" spans="1:11">
      <c r="A10475" s="12">
        <v>42950</v>
      </c>
      <c r="B10475">
        <v>2017</v>
      </c>
      <c r="C10475">
        <v>8</v>
      </c>
      <c r="D10475" s="11">
        <v>42948</v>
      </c>
      <c r="E10475" t="s">
        <v>2180</v>
      </c>
      <c r="F10475">
        <v>4</v>
      </c>
      <c r="G10475" t="s">
        <v>53</v>
      </c>
      <c r="H10475" t="s">
        <v>41</v>
      </c>
      <c r="I10475" t="s">
        <v>2189</v>
      </c>
      <c r="J10475" s="10">
        <v>0.66</v>
      </c>
      <c r="K10475" t="b">
        <v>1</v>
      </c>
    </row>
    <row r="10476" spans="1:11">
      <c r="A10476" s="12">
        <v>42950</v>
      </c>
      <c r="B10476">
        <v>2017</v>
      </c>
      <c r="C10476">
        <v>8</v>
      </c>
      <c r="D10476" s="11">
        <v>42948</v>
      </c>
      <c r="E10476" t="s">
        <v>2180</v>
      </c>
      <c r="F10476">
        <v>4</v>
      </c>
      <c r="G10476" t="s">
        <v>53</v>
      </c>
      <c r="H10476" t="s">
        <v>42</v>
      </c>
      <c r="I10476" t="s">
        <v>2190</v>
      </c>
      <c r="J10476" s="10">
        <v>4</v>
      </c>
      <c r="K10476" t="b">
        <v>1</v>
      </c>
    </row>
    <row r="10477" spans="1:11">
      <c r="A10477" s="12">
        <v>42950</v>
      </c>
      <c r="B10477">
        <v>2017</v>
      </c>
      <c r="C10477">
        <v>8</v>
      </c>
      <c r="D10477" s="11">
        <v>42948</v>
      </c>
      <c r="E10477" t="s">
        <v>2180</v>
      </c>
      <c r="F10477">
        <v>4</v>
      </c>
      <c r="G10477" t="s">
        <v>53</v>
      </c>
      <c r="H10477" t="s">
        <v>43</v>
      </c>
      <c r="I10477" t="s">
        <v>2191</v>
      </c>
      <c r="J10477" s="10">
        <v>10</v>
      </c>
      <c r="K10477" t="b">
        <v>1</v>
      </c>
    </row>
    <row r="10478" spans="1:11">
      <c r="A10478" s="12">
        <v>42950</v>
      </c>
      <c r="B10478">
        <v>2017</v>
      </c>
      <c r="C10478">
        <v>8</v>
      </c>
      <c r="D10478" s="11">
        <v>42948</v>
      </c>
      <c r="E10478" t="s">
        <v>2180</v>
      </c>
      <c r="F10478">
        <v>4</v>
      </c>
      <c r="G10478" t="s">
        <v>53</v>
      </c>
      <c r="H10478" t="s">
        <v>44</v>
      </c>
      <c r="I10478" t="s">
        <v>2192</v>
      </c>
      <c r="J10478" s="10">
        <v>8</v>
      </c>
      <c r="K10478" t="b">
        <v>1</v>
      </c>
    </row>
    <row r="10479" spans="1:11">
      <c r="A10479" s="12">
        <v>42950</v>
      </c>
      <c r="B10479">
        <v>2017</v>
      </c>
      <c r="C10479">
        <v>8</v>
      </c>
      <c r="D10479" s="11">
        <v>42948</v>
      </c>
      <c r="E10479" t="s">
        <v>2180</v>
      </c>
      <c r="F10479">
        <v>4</v>
      </c>
      <c r="G10479" t="s">
        <v>53</v>
      </c>
      <c r="H10479" t="s">
        <v>45</v>
      </c>
      <c r="I10479" t="s">
        <v>2193</v>
      </c>
      <c r="J10479" s="10">
        <v>0</v>
      </c>
      <c r="K10479" t="b">
        <v>1</v>
      </c>
    </row>
    <row r="10480" spans="1:11">
      <c r="A10480" s="12">
        <v>42950</v>
      </c>
      <c r="B10480">
        <v>2017</v>
      </c>
      <c r="C10480">
        <v>8</v>
      </c>
      <c r="D10480" s="11">
        <v>42948</v>
      </c>
      <c r="E10480" t="s">
        <v>2180</v>
      </c>
      <c r="F10480">
        <v>4</v>
      </c>
      <c r="G10480" t="s">
        <v>53</v>
      </c>
      <c r="H10480" t="s">
        <v>46</v>
      </c>
      <c r="I10480" t="s">
        <v>2194</v>
      </c>
      <c r="J10480" s="10">
        <v>1</v>
      </c>
      <c r="K10480" t="b">
        <v>1</v>
      </c>
    </row>
    <row r="10481" spans="1:11">
      <c r="A10481" s="12">
        <v>42950</v>
      </c>
      <c r="B10481">
        <v>2017</v>
      </c>
      <c r="C10481">
        <v>8</v>
      </c>
      <c r="D10481" s="11">
        <v>42948</v>
      </c>
      <c r="E10481" t="s">
        <v>2180</v>
      </c>
      <c r="F10481">
        <v>4</v>
      </c>
      <c r="G10481" t="s">
        <v>53</v>
      </c>
      <c r="H10481" t="s">
        <v>47</v>
      </c>
      <c r="I10481" t="s">
        <v>2195</v>
      </c>
      <c r="J10481" s="10">
        <v>3</v>
      </c>
      <c r="K10481" t="b">
        <v>1</v>
      </c>
    </row>
    <row r="10482" spans="1:11">
      <c r="A10482" s="12">
        <v>42951</v>
      </c>
      <c r="B10482">
        <v>2017</v>
      </c>
      <c r="C10482">
        <v>8</v>
      </c>
      <c r="D10482" s="11">
        <v>42948</v>
      </c>
      <c r="E10482" t="s">
        <v>2180</v>
      </c>
      <c r="F10482">
        <v>5</v>
      </c>
      <c r="G10482" t="s">
        <v>55</v>
      </c>
      <c r="H10482" t="s">
        <v>40</v>
      </c>
      <c r="I10482" t="s">
        <v>2188</v>
      </c>
      <c r="J10482" s="10">
        <v>8</v>
      </c>
      <c r="K10482" t="b">
        <v>1</v>
      </c>
    </row>
    <row r="10483" spans="1:11">
      <c r="A10483" s="12">
        <v>42951</v>
      </c>
      <c r="B10483">
        <v>2017</v>
      </c>
      <c r="C10483">
        <v>8</v>
      </c>
      <c r="D10483" s="11">
        <v>42948</v>
      </c>
      <c r="E10483" t="s">
        <v>2180</v>
      </c>
      <c r="F10483">
        <v>5</v>
      </c>
      <c r="G10483" t="s">
        <v>55</v>
      </c>
      <c r="H10483" t="s">
        <v>41</v>
      </c>
      <c r="I10483" t="s">
        <v>2189</v>
      </c>
      <c r="J10483" s="10">
        <v>4</v>
      </c>
      <c r="K10483" t="b">
        <v>1</v>
      </c>
    </row>
    <row r="10484" spans="1:11">
      <c r="A10484" s="12">
        <v>42951</v>
      </c>
      <c r="B10484">
        <v>2017</v>
      </c>
      <c r="C10484">
        <v>8</v>
      </c>
      <c r="D10484" s="11">
        <v>42948</v>
      </c>
      <c r="E10484" t="s">
        <v>2180</v>
      </c>
      <c r="F10484">
        <v>5</v>
      </c>
      <c r="G10484" t="s">
        <v>55</v>
      </c>
      <c r="H10484" t="s">
        <v>42</v>
      </c>
      <c r="I10484" t="s">
        <v>2190</v>
      </c>
      <c r="J10484" s="10">
        <v>1</v>
      </c>
      <c r="K10484" t="b">
        <v>1</v>
      </c>
    </row>
    <row r="10485" spans="1:11">
      <c r="A10485" s="12">
        <v>42951</v>
      </c>
      <c r="B10485">
        <v>2017</v>
      </c>
      <c r="C10485">
        <v>8</v>
      </c>
      <c r="D10485" s="11">
        <v>42948</v>
      </c>
      <c r="E10485" t="s">
        <v>2180</v>
      </c>
      <c r="F10485">
        <v>5</v>
      </c>
      <c r="G10485" t="s">
        <v>55</v>
      </c>
      <c r="H10485" t="s">
        <v>43</v>
      </c>
      <c r="I10485" t="s">
        <v>2191</v>
      </c>
      <c r="J10485" s="10">
        <v>15</v>
      </c>
      <c r="K10485" t="b">
        <v>1</v>
      </c>
    </row>
    <row r="10486" spans="1:11">
      <c r="A10486" s="12">
        <v>42951</v>
      </c>
      <c r="B10486">
        <v>2017</v>
      </c>
      <c r="C10486">
        <v>8</v>
      </c>
      <c r="D10486" s="11">
        <v>42948</v>
      </c>
      <c r="E10486" t="s">
        <v>2180</v>
      </c>
      <c r="F10486">
        <v>5</v>
      </c>
      <c r="G10486" t="s">
        <v>55</v>
      </c>
      <c r="H10486" t="s">
        <v>44</v>
      </c>
      <c r="I10486" t="s">
        <v>2192</v>
      </c>
      <c r="J10486" s="10">
        <v>11</v>
      </c>
      <c r="K10486" t="b">
        <v>1</v>
      </c>
    </row>
    <row r="10487" spans="1:11">
      <c r="A10487" s="12">
        <v>42951</v>
      </c>
      <c r="B10487">
        <v>2017</v>
      </c>
      <c r="C10487">
        <v>8</v>
      </c>
      <c r="D10487" s="11">
        <v>42948</v>
      </c>
      <c r="E10487" t="s">
        <v>2180</v>
      </c>
      <c r="F10487">
        <v>5</v>
      </c>
      <c r="G10487" t="s">
        <v>55</v>
      </c>
      <c r="H10487" t="s">
        <v>45</v>
      </c>
      <c r="I10487" t="s">
        <v>2193</v>
      </c>
      <c r="J10487" s="10">
        <v>2</v>
      </c>
      <c r="K10487" t="b">
        <v>1</v>
      </c>
    </row>
    <row r="10488" spans="1:11">
      <c r="A10488" s="12">
        <v>42951</v>
      </c>
      <c r="B10488">
        <v>2017</v>
      </c>
      <c r="C10488">
        <v>8</v>
      </c>
      <c r="D10488" s="11">
        <v>42948</v>
      </c>
      <c r="E10488" t="s">
        <v>2180</v>
      </c>
      <c r="F10488">
        <v>5</v>
      </c>
      <c r="G10488" t="s">
        <v>55</v>
      </c>
      <c r="H10488" t="s">
        <v>46</v>
      </c>
      <c r="I10488" t="s">
        <v>2194</v>
      </c>
      <c r="J10488" s="10">
        <v>5</v>
      </c>
      <c r="K10488" t="b">
        <v>1</v>
      </c>
    </row>
    <row r="10489" spans="1:11">
      <c r="A10489" s="12">
        <v>42951</v>
      </c>
      <c r="B10489">
        <v>2017</v>
      </c>
      <c r="C10489">
        <v>8</v>
      </c>
      <c r="D10489" s="11">
        <v>42948</v>
      </c>
      <c r="E10489" t="s">
        <v>2180</v>
      </c>
      <c r="F10489">
        <v>5</v>
      </c>
      <c r="G10489" t="s">
        <v>55</v>
      </c>
      <c r="H10489" t="s">
        <v>47</v>
      </c>
      <c r="I10489" t="s">
        <v>2195</v>
      </c>
      <c r="J10489" s="10">
        <v>2</v>
      </c>
      <c r="K10489" t="b">
        <v>1</v>
      </c>
    </row>
    <row r="10490" spans="1:11">
      <c r="A10490" s="12">
        <v>42952</v>
      </c>
      <c r="B10490">
        <v>2017</v>
      </c>
      <c r="C10490">
        <v>8</v>
      </c>
      <c r="D10490" s="11">
        <v>42948</v>
      </c>
      <c r="E10490" t="s">
        <v>2180</v>
      </c>
      <c r="F10490">
        <v>6</v>
      </c>
      <c r="G10490" t="s">
        <v>57</v>
      </c>
      <c r="H10490" t="s">
        <v>40</v>
      </c>
      <c r="I10490" t="s">
        <v>2188</v>
      </c>
      <c r="J10490" s="10">
        <v>4.66</v>
      </c>
      <c r="K10490" t="b">
        <v>1</v>
      </c>
    </row>
    <row r="10491" spans="1:11">
      <c r="A10491" s="12">
        <v>42952</v>
      </c>
      <c r="B10491">
        <v>2017</v>
      </c>
      <c r="C10491">
        <v>8</v>
      </c>
      <c r="D10491" s="11">
        <v>42948</v>
      </c>
      <c r="E10491" t="s">
        <v>2180</v>
      </c>
      <c r="F10491">
        <v>6</v>
      </c>
      <c r="G10491" t="s">
        <v>57</v>
      </c>
      <c r="H10491" t="s">
        <v>41</v>
      </c>
      <c r="I10491" t="s">
        <v>2189</v>
      </c>
      <c r="J10491" s="10">
        <v>2.472</v>
      </c>
      <c r="K10491" t="b">
        <v>1</v>
      </c>
    </row>
    <row r="10492" spans="1:11">
      <c r="A10492" s="12">
        <v>42952</v>
      </c>
      <c r="B10492">
        <v>2017</v>
      </c>
      <c r="C10492">
        <v>8</v>
      </c>
      <c r="D10492" s="11">
        <v>42948</v>
      </c>
      <c r="E10492" t="s">
        <v>2180</v>
      </c>
      <c r="F10492">
        <v>6</v>
      </c>
      <c r="G10492" t="s">
        <v>57</v>
      </c>
      <c r="H10492" t="s">
        <v>42</v>
      </c>
      <c r="I10492" t="s">
        <v>2190</v>
      </c>
      <c r="J10492" s="10">
        <v>2</v>
      </c>
      <c r="K10492" t="b">
        <v>1</v>
      </c>
    </row>
    <row r="10493" spans="1:11">
      <c r="A10493" s="12">
        <v>42952</v>
      </c>
      <c r="B10493">
        <v>2017</v>
      </c>
      <c r="C10493">
        <v>8</v>
      </c>
      <c r="D10493" s="11">
        <v>42948</v>
      </c>
      <c r="E10493" t="s">
        <v>2180</v>
      </c>
      <c r="F10493">
        <v>6</v>
      </c>
      <c r="G10493" t="s">
        <v>57</v>
      </c>
      <c r="H10493" t="s">
        <v>43</v>
      </c>
      <c r="I10493" t="s">
        <v>2191</v>
      </c>
      <c r="J10493" s="10">
        <v>13.312</v>
      </c>
      <c r="K10493" t="b">
        <v>1</v>
      </c>
    </row>
    <row r="10494" spans="1:11">
      <c r="A10494" s="12">
        <v>42952</v>
      </c>
      <c r="B10494">
        <v>2017</v>
      </c>
      <c r="C10494">
        <v>8</v>
      </c>
      <c r="D10494" s="11">
        <v>42948</v>
      </c>
      <c r="E10494" t="s">
        <v>2180</v>
      </c>
      <c r="F10494">
        <v>6</v>
      </c>
      <c r="G10494" t="s">
        <v>57</v>
      </c>
      <c r="H10494" t="s">
        <v>44</v>
      </c>
      <c r="I10494" t="s">
        <v>2192</v>
      </c>
      <c r="J10494" s="10">
        <v>2</v>
      </c>
      <c r="K10494" t="b">
        <v>1</v>
      </c>
    </row>
    <row r="10495" spans="1:11">
      <c r="A10495" s="12">
        <v>42952</v>
      </c>
      <c r="B10495">
        <v>2017</v>
      </c>
      <c r="C10495">
        <v>8</v>
      </c>
      <c r="D10495" s="11">
        <v>42948</v>
      </c>
      <c r="E10495" t="s">
        <v>2180</v>
      </c>
      <c r="F10495">
        <v>6</v>
      </c>
      <c r="G10495" t="s">
        <v>57</v>
      </c>
      <c r="H10495" t="s">
        <v>45</v>
      </c>
      <c r="I10495" t="s">
        <v>2193</v>
      </c>
      <c r="J10495" s="10">
        <v>0</v>
      </c>
      <c r="K10495" t="b">
        <v>1</v>
      </c>
    </row>
    <row r="10496" spans="1:11">
      <c r="A10496" s="12">
        <v>42952</v>
      </c>
      <c r="B10496">
        <v>2017</v>
      </c>
      <c r="C10496">
        <v>8</v>
      </c>
      <c r="D10496" s="11">
        <v>42948</v>
      </c>
      <c r="E10496" t="s">
        <v>2180</v>
      </c>
      <c r="F10496">
        <v>6</v>
      </c>
      <c r="G10496" t="s">
        <v>57</v>
      </c>
      <c r="H10496" t="s">
        <v>46</v>
      </c>
      <c r="I10496" t="s">
        <v>2194</v>
      </c>
      <c r="J10496" s="10">
        <v>0</v>
      </c>
      <c r="K10496" t="b">
        <v>1</v>
      </c>
    </row>
    <row r="10497" spans="1:11">
      <c r="A10497" s="12">
        <v>42952</v>
      </c>
      <c r="B10497">
        <v>2017</v>
      </c>
      <c r="C10497">
        <v>8</v>
      </c>
      <c r="D10497" s="11">
        <v>42948</v>
      </c>
      <c r="E10497" t="s">
        <v>2180</v>
      </c>
      <c r="F10497">
        <v>6</v>
      </c>
      <c r="G10497" t="s">
        <v>57</v>
      </c>
      <c r="H10497" t="s">
        <v>47</v>
      </c>
      <c r="I10497" t="s">
        <v>2195</v>
      </c>
      <c r="J10497" s="10">
        <v>2</v>
      </c>
      <c r="K10497" t="b">
        <v>1</v>
      </c>
    </row>
    <row r="10498" spans="1:11">
      <c r="A10498" s="12">
        <v>42953</v>
      </c>
      <c r="B10498">
        <v>2017</v>
      </c>
      <c r="C10498">
        <v>8</v>
      </c>
      <c r="D10498" s="11">
        <v>42948</v>
      </c>
      <c r="E10498" t="s">
        <v>2180</v>
      </c>
      <c r="F10498">
        <v>7</v>
      </c>
      <c r="G10498" t="s">
        <v>59</v>
      </c>
      <c r="H10498" t="s">
        <v>40</v>
      </c>
      <c r="I10498" t="s">
        <v>2188</v>
      </c>
      <c r="J10498" s="10">
        <v>2</v>
      </c>
      <c r="K10498" t="b">
        <v>1</v>
      </c>
    </row>
    <row r="10499" spans="1:11">
      <c r="A10499" s="12">
        <v>42953</v>
      </c>
      <c r="B10499">
        <v>2017</v>
      </c>
      <c r="C10499">
        <v>8</v>
      </c>
      <c r="D10499" s="11">
        <v>42948</v>
      </c>
      <c r="E10499" t="s">
        <v>2180</v>
      </c>
      <c r="F10499">
        <v>7</v>
      </c>
      <c r="G10499" t="s">
        <v>59</v>
      </c>
      <c r="H10499" t="s">
        <v>41</v>
      </c>
      <c r="I10499" t="s">
        <v>2189</v>
      </c>
      <c r="J10499" s="10">
        <v>3.429</v>
      </c>
      <c r="K10499" t="b">
        <v>1</v>
      </c>
    </row>
    <row r="10500" spans="1:11">
      <c r="A10500" s="12">
        <v>42953</v>
      </c>
      <c r="B10500">
        <v>2017</v>
      </c>
      <c r="C10500">
        <v>8</v>
      </c>
      <c r="D10500" s="11">
        <v>42948</v>
      </c>
      <c r="E10500" t="s">
        <v>2180</v>
      </c>
      <c r="F10500">
        <v>7</v>
      </c>
      <c r="G10500" t="s">
        <v>59</v>
      </c>
      <c r="H10500" t="s">
        <v>42</v>
      </c>
      <c r="I10500" t="s">
        <v>2190</v>
      </c>
      <c r="J10500" s="10">
        <v>1</v>
      </c>
      <c r="K10500" t="b">
        <v>1</v>
      </c>
    </row>
    <row r="10501" spans="1:11">
      <c r="A10501" s="12">
        <v>42953</v>
      </c>
      <c r="B10501">
        <v>2017</v>
      </c>
      <c r="C10501">
        <v>8</v>
      </c>
      <c r="D10501" s="11">
        <v>42948</v>
      </c>
      <c r="E10501" t="s">
        <v>2180</v>
      </c>
      <c r="F10501">
        <v>7</v>
      </c>
      <c r="G10501" t="s">
        <v>59</v>
      </c>
      <c r="H10501" t="s">
        <v>43</v>
      </c>
      <c r="I10501" t="s">
        <v>2191</v>
      </c>
      <c r="J10501" s="10">
        <v>13</v>
      </c>
      <c r="K10501" t="b">
        <v>1</v>
      </c>
    </row>
    <row r="10502" spans="1:11">
      <c r="A10502" s="12">
        <v>42953</v>
      </c>
      <c r="B10502">
        <v>2017</v>
      </c>
      <c r="C10502">
        <v>8</v>
      </c>
      <c r="D10502" s="11">
        <v>42948</v>
      </c>
      <c r="E10502" t="s">
        <v>2180</v>
      </c>
      <c r="F10502">
        <v>7</v>
      </c>
      <c r="G10502" t="s">
        <v>59</v>
      </c>
      <c r="H10502" t="s">
        <v>44</v>
      </c>
      <c r="I10502" t="s">
        <v>2192</v>
      </c>
      <c r="J10502" s="10">
        <v>6</v>
      </c>
      <c r="K10502" t="b">
        <v>1</v>
      </c>
    </row>
    <row r="10503" spans="1:11">
      <c r="A10503" s="12">
        <v>42953</v>
      </c>
      <c r="B10503">
        <v>2017</v>
      </c>
      <c r="C10503">
        <v>8</v>
      </c>
      <c r="D10503" s="11">
        <v>42948</v>
      </c>
      <c r="E10503" t="s">
        <v>2180</v>
      </c>
      <c r="F10503">
        <v>7</v>
      </c>
      <c r="G10503" t="s">
        <v>59</v>
      </c>
      <c r="H10503" t="s">
        <v>45</v>
      </c>
      <c r="I10503" t="s">
        <v>2193</v>
      </c>
      <c r="J10503" s="10">
        <v>0</v>
      </c>
      <c r="K10503" t="b">
        <v>1</v>
      </c>
    </row>
    <row r="10504" spans="1:11">
      <c r="A10504" s="12">
        <v>42953</v>
      </c>
      <c r="B10504">
        <v>2017</v>
      </c>
      <c r="C10504">
        <v>8</v>
      </c>
      <c r="D10504" s="11">
        <v>42948</v>
      </c>
      <c r="E10504" t="s">
        <v>2180</v>
      </c>
      <c r="F10504">
        <v>7</v>
      </c>
      <c r="G10504" t="s">
        <v>59</v>
      </c>
      <c r="H10504" t="s">
        <v>46</v>
      </c>
      <c r="I10504" t="s">
        <v>2194</v>
      </c>
      <c r="J10504" s="10">
        <v>0</v>
      </c>
      <c r="K10504" t="b">
        <v>1</v>
      </c>
    </row>
    <row r="10505" spans="1:11">
      <c r="A10505" s="12">
        <v>42953</v>
      </c>
      <c r="B10505">
        <v>2017</v>
      </c>
      <c r="C10505">
        <v>8</v>
      </c>
      <c r="D10505" s="11">
        <v>42948</v>
      </c>
      <c r="E10505" t="s">
        <v>2180</v>
      </c>
      <c r="F10505">
        <v>7</v>
      </c>
      <c r="G10505" t="s">
        <v>59</v>
      </c>
      <c r="H10505" t="s">
        <v>47</v>
      </c>
      <c r="I10505" t="s">
        <v>2195</v>
      </c>
      <c r="J10505" s="10">
        <v>3</v>
      </c>
      <c r="K10505" t="b">
        <v>1</v>
      </c>
    </row>
    <row r="10506" spans="1:11">
      <c r="A10506" s="12">
        <v>42954</v>
      </c>
      <c r="B10506">
        <v>2017</v>
      </c>
      <c r="C10506">
        <v>8</v>
      </c>
      <c r="D10506" s="11">
        <v>42948</v>
      </c>
      <c r="E10506" t="s">
        <v>2180</v>
      </c>
      <c r="F10506">
        <v>1</v>
      </c>
      <c r="G10506" t="s">
        <v>61</v>
      </c>
      <c r="H10506" t="s">
        <v>40</v>
      </c>
      <c r="I10506" t="s">
        <v>2188</v>
      </c>
      <c r="J10506" s="10">
        <v>1</v>
      </c>
      <c r="K10506" t="b">
        <v>1</v>
      </c>
    </row>
    <row r="10507" spans="1:11">
      <c r="A10507" s="12">
        <v>42954</v>
      </c>
      <c r="B10507">
        <v>2017</v>
      </c>
      <c r="C10507">
        <v>8</v>
      </c>
      <c r="D10507" s="11">
        <v>42948</v>
      </c>
      <c r="E10507" t="s">
        <v>2180</v>
      </c>
      <c r="F10507">
        <v>1</v>
      </c>
      <c r="G10507" t="s">
        <v>61</v>
      </c>
      <c r="H10507" t="s">
        <v>41</v>
      </c>
      <c r="I10507" t="s">
        <v>2189</v>
      </c>
      <c r="J10507" s="10">
        <v>5.34</v>
      </c>
      <c r="K10507" t="b">
        <v>1</v>
      </c>
    </row>
    <row r="10508" spans="1:11">
      <c r="A10508" s="12">
        <v>42954</v>
      </c>
      <c r="B10508">
        <v>2017</v>
      </c>
      <c r="C10508">
        <v>8</v>
      </c>
      <c r="D10508" s="11">
        <v>42948</v>
      </c>
      <c r="E10508" t="s">
        <v>2180</v>
      </c>
      <c r="F10508">
        <v>1</v>
      </c>
      <c r="G10508" t="s">
        <v>61</v>
      </c>
      <c r="H10508" t="s">
        <v>42</v>
      </c>
      <c r="I10508" t="s">
        <v>2190</v>
      </c>
      <c r="J10508" s="10">
        <v>3.1</v>
      </c>
      <c r="K10508" t="b">
        <v>1</v>
      </c>
    </row>
    <row r="10509" spans="1:11">
      <c r="A10509" s="12">
        <v>42954</v>
      </c>
      <c r="B10509">
        <v>2017</v>
      </c>
      <c r="C10509">
        <v>8</v>
      </c>
      <c r="D10509" s="11">
        <v>42948</v>
      </c>
      <c r="E10509" t="s">
        <v>2180</v>
      </c>
      <c r="F10509">
        <v>1</v>
      </c>
      <c r="G10509" t="s">
        <v>61</v>
      </c>
      <c r="H10509" t="s">
        <v>43</v>
      </c>
      <c r="I10509" t="s">
        <v>2191</v>
      </c>
      <c r="J10509" s="10">
        <v>16</v>
      </c>
      <c r="K10509" t="b">
        <v>1</v>
      </c>
    </row>
    <row r="10510" spans="1:11">
      <c r="A10510" s="12">
        <v>42954</v>
      </c>
      <c r="B10510">
        <v>2017</v>
      </c>
      <c r="C10510">
        <v>8</v>
      </c>
      <c r="D10510" s="11">
        <v>42948</v>
      </c>
      <c r="E10510" t="s">
        <v>2180</v>
      </c>
      <c r="F10510">
        <v>1</v>
      </c>
      <c r="G10510" t="s">
        <v>61</v>
      </c>
      <c r="H10510" t="s">
        <v>44</v>
      </c>
      <c r="I10510" t="s">
        <v>2192</v>
      </c>
      <c r="J10510" s="10">
        <v>9</v>
      </c>
      <c r="K10510" t="b">
        <v>1</v>
      </c>
    </row>
    <row r="10511" spans="1:11">
      <c r="A10511" s="12">
        <v>42954</v>
      </c>
      <c r="B10511">
        <v>2017</v>
      </c>
      <c r="C10511">
        <v>8</v>
      </c>
      <c r="D10511" s="11">
        <v>42948</v>
      </c>
      <c r="E10511" t="s">
        <v>2180</v>
      </c>
      <c r="F10511">
        <v>1</v>
      </c>
      <c r="G10511" t="s">
        <v>61</v>
      </c>
      <c r="H10511" t="s">
        <v>45</v>
      </c>
      <c r="I10511" t="s">
        <v>2193</v>
      </c>
      <c r="J10511" s="10">
        <v>2</v>
      </c>
      <c r="K10511" t="b">
        <v>1</v>
      </c>
    </row>
    <row r="10512" spans="1:11">
      <c r="A10512" s="12">
        <v>42954</v>
      </c>
      <c r="B10512">
        <v>2017</v>
      </c>
      <c r="C10512">
        <v>8</v>
      </c>
      <c r="D10512" s="11">
        <v>42948</v>
      </c>
      <c r="E10512" t="s">
        <v>2180</v>
      </c>
      <c r="F10512">
        <v>1</v>
      </c>
      <c r="G10512" t="s">
        <v>61</v>
      </c>
      <c r="H10512" t="s">
        <v>46</v>
      </c>
      <c r="I10512" t="s">
        <v>2194</v>
      </c>
      <c r="J10512" s="10">
        <v>0</v>
      </c>
      <c r="K10512" t="b">
        <v>1</v>
      </c>
    </row>
    <row r="10513" spans="1:11">
      <c r="A10513" s="12">
        <v>42954</v>
      </c>
      <c r="B10513">
        <v>2017</v>
      </c>
      <c r="C10513">
        <v>8</v>
      </c>
      <c r="D10513" s="11">
        <v>42948</v>
      </c>
      <c r="E10513" t="s">
        <v>2180</v>
      </c>
      <c r="F10513">
        <v>1</v>
      </c>
      <c r="G10513" t="s">
        <v>61</v>
      </c>
      <c r="H10513" t="s">
        <v>47</v>
      </c>
      <c r="I10513" t="s">
        <v>2195</v>
      </c>
      <c r="J10513" s="10">
        <v>0</v>
      </c>
      <c r="K10513" t="b">
        <v>1</v>
      </c>
    </row>
    <row r="10514" spans="1:11">
      <c r="A10514" s="12">
        <v>42955</v>
      </c>
      <c r="B10514">
        <v>2017</v>
      </c>
      <c r="C10514">
        <v>8</v>
      </c>
      <c r="D10514" s="11">
        <v>42948</v>
      </c>
      <c r="E10514" t="s">
        <v>2180</v>
      </c>
      <c r="F10514">
        <v>2</v>
      </c>
      <c r="G10514" t="s">
        <v>63</v>
      </c>
      <c r="H10514" t="s">
        <v>40</v>
      </c>
      <c r="I10514" t="s">
        <v>2188</v>
      </c>
      <c r="J10514" s="10">
        <v>6</v>
      </c>
      <c r="K10514" t="b">
        <v>1</v>
      </c>
    </row>
    <row r="10515" spans="1:11">
      <c r="A10515" s="12">
        <v>42955</v>
      </c>
      <c r="B10515">
        <v>2017</v>
      </c>
      <c r="C10515">
        <v>8</v>
      </c>
      <c r="D10515" s="11">
        <v>42948</v>
      </c>
      <c r="E10515" t="s">
        <v>2180</v>
      </c>
      <c r="F10515">
        <v>2</v>
      </c>
      <c r="G10515" t="s">
        <v>63</v>
      </c>
      <c r="H10515" t="s">
        <v>41</v>
      </c>
      <c r="I10515" t="s">
        <v>2189</v>
      </c>
      <c r="J10515" s="10">
        <v>1.703</v>
      </c>
      <c r="K10515" t="b">
        <v>1</v>
      </c>
    </row>
    <row r="10516" spans="1:11">
      <c r="A10516" s="12">
        <v>42955</v>
      </c>
      <c r="B10516">
        <v>2017</v>
      </c>
      <c r="C10516">
        <v>8</v>
      </c>
      <c r="D10516" s="11">
        <v>42948</v>
      </c>
      <c r="E10516" t="s">
        <v>2180</v>
      </c>
      <c r="F10516">
        <v>2</v>
      </c>
      <c r="G10516" t="s">
        <v>63</v>
      </c>
      <c r="H10516" t="s">
        <v>42</v>
      </c>
      <c r="I10516" t="s">
        <v>2190</v>
      </c>
      <c r="J10516" s="10">
        <v>2.1</v>
      </c>
      <c r="K10516" t="b">
        <v>1</v>
      </c>
    </row>
    <row r="10517" spans="1:11">
      <c r="A10517" s="12">
        <v>42955</v>
      </c>
      <c r="B10517">
        <v>2017</v>
      </c>
      <c r="C10517">
        <v>8</v>
      </c>
      <c r="D10517" s="11">
        <v>42948</v>
      </c>
      <c r="E10517" t="s">
        <v>2180</v>
      </c>
      <c r="F10517">
        <v>2</v>
      </c>
      <c r="G10517" t="s">
        <v>63</v>
      </c>
      <c r="H10517" t="s">
        <v>43</v>
      </c>
      <c r="I10517" t="s">
        <v>2191</v>
      </c>
      <c r="J10517" s="10">
        <v>11.188</v>
      </c>
      <c r="K10517" t="b">
        <v>1</v>
      </c>
    </row>
    <row r="10518" spans="1:11">
      <c r="A10518" s="12">
        <v>42955</v>
      </c>
      <c r="B10518">
        <v>2017</v>
      </c>
      <c r="C10518">
        <v>8</v>
      </c>
      <c r="D10518" s="11">
        <v>42948</v>
      </c>
      <c r="E10518" t="s">
        <v>2180</v>
      </c>
      <c r="F10518">
        <v>2</v>
      </c>
      <c r="G10518" t="s">
        <v>63</v>
      </c>
      <c r="H10518" t="s">
        <v>44</v>
      </c>
      <c r="I10518" t="s">
        <v>2192</v>
      </c>
      <c r="J10518" s="10">
        <v>8</v>
      </c>
      <c r="K10518" t="b">
        <v>1</v>
      </c>
    </row>
    <row r="10519" spans="1:11">
      <c r="A10519" s="12">
        <v>42955</v>
      </c>
      <c r="B10519">
        <v>2017</v>
      </c>
      <c r="C10519">
        <v>8</v>
      </c>
      <c r="D10519" s="11">
        <v>42948</v>
      </c>
      <c r="E10519" t="s">
        <v>2180</v>
      </c>
      <c r="F10519">
        <v>2</v>
      </c>
      <c r="G10519" t="s">
        <v>63</v>
      </c>
      <c r="H10519" t="s">
        <v>45</v>
      </c>
      <c r="I10519" t="s">
        <v>2193</v>
      </c>
      <c r="J10519" s="10">
        <v>0</v>
      </c>
      <c r="K10519" t="b">
        <v>1</v>
      </c>
    </row>
    <row r="10520" spans="1:11">
      <c r="A10520" s="12">
        <v>42955</v>
      </c>
      <c r="B10520">
        <v>2017</v>
      </c>
      <c r="C10520">
        <v>8</v>
      </c>
      <c r="D10520" s="11">
        <v>42948</v>
      </c>
      <c r="E10520" t="s">
        <v>2180</v>
      </c>
      <c r="F10520">
        <v>2</v>
      </c>
      <c r="G10520" t="s">
        <v>63</v>
      </c>
      <c r="H10520" t="s">
        <v>46</v>
      </c>
      <c r="I10520" t="s">
        <v>2194</v>
      </c>
      <c r="J10520" s="10">
        <v>0</v>
      </c>
      <c r="K10520" t="b">
        <v>1</v>
      </c>
    </row>
    <row r="10521" spans="1:11">
      <c r="A10521" s="12">
        <v>42955</v>
      </c>
      <c r="B10521">
        <v>2017</v>
      </c>
      <c r="C10521">
        <v>8</v>
      </c>
      <c r="D10521" s="11">
        <v>42948</v>
      </c>
      <c r="E10521" t="s">
        <v>2180</v>
      </c>
      <c r="F10521">
        <v>2</v>
      </c>
      <c r="G10521" t="s">
        <v>63</v>
      </c>
      <c r="H10521" t="s">
        <v>47</v>
      </c>
      <c r="I10521" t="s">
        <v>2195</v>
      </c>
      <c r="J10521" s="10">
        <v>4.2</v>
      </c>
      <c r="K10521" t="b">
        <v>1</v>
      </c>
    </row>
    <row r="10522" spans="1:11">
      <c r="A10522" s="12">
        <v>42956</v>
      </c>
      <c r="B10522">
        <v>2017</v>
      </c>
      <c r="C10522">
        <v>8</v>
      </c>
      <c r="D10522" s="11">
        <v>42948</v>
      </c>
      <c r="E10522" t="s">
        <v>2180</v>
      </c>
      <c r="F10522">
        <v>3</v>
      </c>
      <c r="G10522" t="s">
        <v>65</v>
      </c>
      <c r="H10522" t="s">
        <v>40</v>
      </c>
      <c r="I10522" t="s">
        <v>2188</v>
      </c>
      <c r="J10522" s="10">
        <v>2.33</v>
      </c>
      <c r="K10522" t="b">
        <v>1</v>
      </c>
    </row>
    <row r="10523" spans="1:11">
      <c r="A10523" s="12">
        <v>42956</v>
      </c>
      <c r="B10523">
        <v>2017</v>
      </c>
      <c r="C10523">
        <v>8</v>
      </c>
      <c r="D10523" s="11">
        <v>42948</v>
      </c>
      <c r="E10523" t="s">
        <v>2180</v>
      </c>
      <c r="F10523">
        <v>3</v>
      </c>
      <c r="G10523" t="s">
        <v>65</v>
      </c>
      <c r="H10523" t="s">
        <v>41</v>
      </c>
      <c r="I10523" t="s">
        <v>2189</v>
      </c>
      <c r="J10523" s="10">
        <v>5.1</v>
      </c>
      <c r="K10523" t="b">
        <v>1</v>
      </c>
    </row>
    <row r="10524" spans="1:11">
      <c r="A10524" s="12">
        <v>42956</v>
      </c>
      <c r="B10524">
        <v>2017</v>
      </c>
      <c r="C10524">
        <v>8</v>
      </c>
      <c r="D10524" s="11">
        <v>42948</v>
      </c>
      <c r="E10524" t="s">
        <v>2180</v>
      </c>
      <c r="F10524">
        <v>3</v>
      </c>
      <c r="G10524" t="s">
        <v>65</v>
      </c>
      <c r="H10524" t="s">
        <v>42</v>
      </c>
      <c r="I10524" t="s">
        <v>2190</v>
      </c>
      <c r="J10524" s="10">
        <v>3.15</v>
      </c>
      <c r="K10524" t="b">
        <v>1</v>
      </c>
    </row>
    <row r="10525" spans="1:11">
      <c r="A10525" s="12">
        <v>42956</v>
      </c>
      <c r="B10525">
        <v>2017</v>
      </c>
      <c r="C10525">
        <v>8</v>
      </c>
      <c r="D10525" s="11">
        <v>42948</v>
      </c>
      <c r="E10525" t="s">
        <v>2180</v>
      </c>
      <c r="F10525">
        <v>3</v>
      </c>
      <c r="G10525" t="s">
        <v>65</v>
      </c>
      <c r="H10525" t="s">
        <v>43</v>
      </c>
      <c r="I10525" t="s">
        <v>2191</v>
      </c>
      <c r="J10525" s="10">
        <v>13</v>
      </c>
      <c r="K10525" t="b">
        <v>1</v>
      </c>
    </row>
    <row r="10526" spans="1:11">
      <c r="A10526" s="12">
        <v>42956</v>
      </c>
      <c r="B10526">
        <v>2017</v>
      </c>
      <c r="C10526">
        <v>8</v>
      </c>
      <c r="D10526" s="11">
        <v>42948</v>
      </c>
      <c r="E10526" t="s">
        <v>2180</v>
      </c>
      <c r="F10526">
        <v>3</v>
      </c>
      <c r="G10526" t="s">
        <v>65</v>
      </c>
      <c r="H10526" t="s">
        <v>44</v>
      </c>
      <c r="I10526" t="s">
        <v>2192</v>
      </c>
      <c r="J10526" s="10">
        <v>15</v>
      </c>
      <c r="K10526" t="b">
        <v>1</v>
      </c>
    </row>
    <row r="10527" spans="1:11">
      <c r="A10527" s="12">
        <v>42956</v>
      </c>
      <c r="B10527">
        <v>2017</v>
      </c>
      <c r="C10527">
        <v>8</v>
      </c>
      <c r="D10527" s="11">
        <v>42948</v>
      </c>
      <c r="E10527" t="s">
        <v>2180</v>
      </c>
      <c r="F10527">
        <v>3</v>
      </c>
      <c r="G10527" t="s">
        <v>65</v>
      </c>
      <c r="H10527" t="s">
        <v>45</v>
      </c>
      <c r="I10527" t="s">
        <v>2193</v>
      </c>
      <c r="J10527" s="10">
        <v>0</v>
      </c>
      <c r="K10527" t="b">
        <v>1</v>
      </c>
    </row>
    <row r="10528" spans="1:11">
      <c r="A10528" s="12">
        <v>42956</v>
      </c>
      <c r="B10528">
        <v>2017</v>
      </c>
      <c r="C10528">
        <v>8</v>
      </c>
      <c r="D10528" s="11">
        <v>42948</v>
      </c>
      <c r="E10528" t="s">
        <v>2180</v>
      </c>
      <c r="F10528">
        <v>3</v>
      </c>
      <c r="G10528" t="s">
        <v>65</v>
      </c>
      <c r="H10528" t="s">
        <v>46</v>
      </c>
      <c r="I10528" t="s">
        <v>2194</v>
      </c>
      <c r="J10528" s="10">
        <v>2</v>
      </c>
      <c r="K10528" t="b">
        <v>1</v>
      </c>
    </row>
    <row r="10529" spans="1:11">
      <c r="A10529" s="12">
        <v>42956</v>
      </c>
      <c r="B10529">
        <v>2017</v>
      </c>
      <c r="C10529">
        <v>8</v>
      </c>
      <c r="D10529" s="11">
        <v>42948</v>
      </c>
      <c r="E10529" t="s">
        <v>2180</v>
      </c>
      <c r="F10529">
        <v>3</v>
      </c>
      <c r="G10529" t="s">
        <v>65</v>
      </c>
      <c r="H10529" t="s">
        <v>47</v>
      </c>
      <c r="I10529" t="s">
        <v>2195</v>
      </c>
      <c r="J10529" s="10">
        <v>2.2</v>
      </c>
      <c r="K10529" t="b">
        <v>1</v>
      </c>
    </row>
    <row r="10530" spans="1:11">
      <c r="A10530" s="12">
        <v>42957</v>
      </c>
      <c r="B10530">
        <v>2017</v>
      </c>
      <c r="C10530">
        <v>8</v>
      </c>
      <c r="D10530" s="11">
        <v>42948</v>
      </c>
      <c r="E10530" t="s">
        <v>2180</v>
      </c>
      <c r="F10530">
        <v>4</v>
      </c>
      <c r="G10530" t="s">
        <v>53</v>
      </c>
      <c r="H10530" t="s">
        <v>40</v>
      </c>
      <c r="I10530" t="s">
        <v>2188</v>
      </c>
      <c r="J10530" s="10">
        <v>0</v>
      </c>
      <c r="K10530" t="b">
        <v>1</v>
      </c>
    </row>
    <row r="10531" spans="1:11">
      <c r="A10531" s="12">
        <v>42957</v>
      </c>
      <c r="B10531">
        <v>2017</v>
      </c>
      <c r="C10531">
        <v>8</v>
      </c>
      <c r="D10531" s="11">
        <v>42948</v>
      </c>
      <c r="E10531" t="s">
        <v>2180</v>
      </c>
      <c r="F10531">
        <v>4</v>
      </c>
      <c r="G10531" t="s">
        <v>53</v>
      </c>
      <c r="H10531" t="s">
        <v>41</v>
      </c>
      <c r="I10531" t="s">
        <v>2189</v>
      </c>
      <c r="J10531" s="10">
        <v>3.99</v>
      </c>
      <c r="K10531" t="b">
        <v>1</v>
      </c>
    </row>
    <row r="10532" spans="1:11">
      <c r="A10532" s="12">
        <v>42957</v>
      </c>
      <c r="B10532">
        <v>2017</v>
      </c>
      <c r="C10532">
        <v>8</v>
      </c>
      <c r="D10532" s="11">
        <v>42948</v>
      </c>
      <c r="E10532" t="s">
        <v>2180</v>
      </c>
      <c r="F10532">
        <v>4</v>
      </c>
      <c r="G10532" t="s">
        <v>53</v>
      </c>
      <c r="H10532" t="s">
        <v>42</v>
      </c>
      <c r="I10532" t="s">
        <v>2190</v>
      </c>
      <c r="J10532" s="10">
        <v>4</v>
      </c>
      <c r="K10532" t="b">
        <v>1</v>
      </c>
    </row>
    <row r="10533" spans="1:11">
      <c r="A10533" s="12">
        <v>42957</v>
      </c>
      <c r="B10533">
        <v>2017</v>
      </c>
      <c r="C10533">
        <v>8</v>
      </c>
      <c r="D10533" s="11">
        <v>42948</v>
      </c>
      <c r="E10533" t="s">
        <v>2180</v>
      </c>
      <c r="F10533">
        <v>4</v>
      </c>
      <c r="G10533" t="s">
        <v>53</v>
      </c>
      <c r="H10533" t="s">
        <v>43</v>
      </c>
      <c r="I10533" t="s">
        <v>2191</v>
      </c>
      <c r="J10533" s="10">
        <v>9</v>
      </c>
      <c r="K10533" t="b">
        <v>1</v>
      </c>
    </row>
    <row r="10534" spans="1:11">
      <c r="A10534" s="12">
        <v>42957</v>
      </c>
      <c r="B10534">
        <v>2017</v>
      </c>
      <c r="C10534">
        <v>8</v>
      </c>
      <c r="D10534" s="11">
        <v>42948</v>
      </c>
      <c r="E10534" t="s">
        <v>2180</v>
      </c>
      <c r="F10534">
        <v>4</v>
      </c>
      <c r="G10534" t="s">
        <v>53</v>
      </c>
      <c r="H10534" t="s">
        <v>44</v>
      </c>
      <c r="I10534" t="s">
        <v>2192</v>
      </c>
      <c r="J10534" s="10">
        <v>19</v>
      </c>
      <c r="K10534" t="b">
        <v>1</v>
      </c>
    </row>
    <row r="10535" spans="1:11">
      <c r="A10535" s="12">
        <v>42957</v>
      </c>
      <c r="B10535">
        <v>2017</v>
      </c>
      <c r="C10535">
        <v>8</v>
      </c>
      <c r="D10535" s="11">
        <v>42948</v>
      </c>
      <c r="E10535" t="s">
        <v>2180</v>
      </c>
      <c r="F10535">
        <v>4</v>
      </c>
      <c r="G10535" t="s">
        <v>53</v>
      </c>
      <c r="H10535" t="s">
        <v>45</v>
      </c>
      <c r="I10535" t="s">
        <v>2193</v>
      </c>
      <c r="J10535" s="10">
        <v>0</v>
      </c>
      <c r="K10535" t="b">
        <v>1</v>
      </c>
    </row>
    <row r="10536" spans="1:11">
      <c r="A10536" s="12">
        <v>42957</v>
      </c>
      <c r="B10536">
        <v>2017</v>
      </c>
      <c r="C10536">
        <v>8</v>
      </c>
      <c r="D10536" s="11">
        <v>42948</v>
      </c>
      <c r="E10536" t="s">
        <v>2180</v>
      </c>
      <c r="F10536">
        <v>4</v>
      </c>
      <c r="G10536" t="s">
        <v>53</v>
      </c>
      <c r="H10536" t="s">
        <v>46</v>
      </c>
      <c r="I10536" t="s">
        <v>2194</v>
      </c>
      <c r="J10536" s="10">
        <v>3</v>
      </c>
      <c r="K10536" t="b">
        <v>1</v>
      </c>
    </row>
    <row r="10537" spans="1:11">
      <c r="A10537" s="12">
        <v>42957</v>
      </c>
      <c r="B10537">
        <v>2017</v>
      </c>
      <c r="C10537">
        <v>8</v>
      </c>
      <c r="D10537" s="11">
        <v>42948</v>
      </c>
      <c r="E10537" t="s">
        <v>2180</v>
      </c>
      <c r="F10537">
        <v>4</v>
      </c>
      <c r="G10537" t="s">
        <v>53</v>
      </c>
      <c r="H10537" t="s">
        <v>47</v>
      </c>
      <c r="I10537" t="s">
        <v>2195</v>
      </c>
      <c r="J10537" s="10">
        <v>1.1</v>
      </c>
      <c r="K10537" t="b">
        <v>1</v>
      </c>
    </row>
    <row r="10538" spans="1:11">
      <c r="A10538" s="12">
        <v>42958</v>
      </c>
      <c r="B10538">
        <v>2017</v>
      </c>
      <c r="C10538">
        <v>8</v>
      </c>
      <c r="D10538" s="11">
        <v>42948</v>
      </c>
      <c r="E10538" t="s">
        <v>2180</v>
      </c>
      <c r="F10538">
        <v>5</v>
      </c>
      <c r="G10538" t="s">
        <v>55</v>
      </c>
      <c r="H10538" t="s">
        <v>40</v>
      </c>
      <c r="I10538" t="s">
        <v>2188</v>
      </c>
      <c r="J10538" s="10">
        <v>4.33</v>
      </c>
      <c r="K10538" t="b">
        <v>1</v>
      </c>
    </row>
    <row r="10539" spans="1:11">
      <c r="A10539" s="12">
        <v>42958</v>
      </c>
      <c r="B10539">
        <v>2017</v>
      </c>
      <c r="C10539">
        <v>8</v>
      </c>
      <c r="D10539" s="11">
        <v>42948</v>
      </c>
      <c r="E10539" t="s">
        <v>2180</v>
      </c>
      <c r="F10539">
        <v>5</v>
      </c>
      <c r="G10539" t="s">
        <v>55</v>
      </c>
      <c r="H10539" t="s">
        <v>41</v>
      </c>
      <c r="I10539" t="s">
        <v>2189</v>
      </c>
      <c r="J10539" s="10">
        <v>1.65</v>
      </c>
      <c r="K10539" t="b">
        <v>1</v>
      </c>
    </row>
    <row r="10540" spans="1:11">
      <c r="A10540" s="12">
        <v>42958</v>
      </c>
      <c r="B10540">
        <v>2017</v>
      </c>
      <c r="C10540">
        <v>8</v>
      </c>
      <c r="D10540" s="11">
        <v>42948</v>
      </c>
      <c r="E10540" t="s">
        <v>2180</v>
      </c>
      <c r="F10540">
        <v>5</v>
      </c>
      <c r="G10540" t="s">
        <v>55</v>
      </c>
      <c r="H10540" t="s">
        <v>42</v>
      </c>
      <c r="I10540" t="s">
        <v>2190</v>
      </c>
      <c r="J10540" s="10">
        <v>5.1</v>
      </c>
      <c r="K10540" t="b">
        <v>1</v>
      </c>
    </row>
    <row r="10541" spans="1:11">
      <c r="A10541" s="12">
        <v>42958</v>
      </c>
      <c r="B10541">
        <v>2017</v>
      </c>
      <c r="C10541">
        <v>8</v>
      </c>
      <c r="D10541" s="11">
        <v>42948</v>
      </c>
      <c r="E10541" t="s">
        <v>2180</v>
      </c>
      <c r="F10541">
        <v>5</v>
      </c>
      <c r="G10541" t="s">
        <v>55</v>
      </c>
      <c r="H10541" t="s">
        <v>43</v>
      </c>
      <c r="I10541" t="s">
        <v>2191</v>
      </c>
      <c r="J10541" s="10">
        <v>8</v>
      </c>
      <c r="K10541" t="b">
        <v>1</v>
      </c>
    </row>
    <row r="10542" spans="1:11">
      <c r="A10542" s="12">
        <v>42958</v>
      </c>
      <c r="B10542">
        <v>2017</v>
      </c>
      <c r="C10542">
        <v>8</v>
      </c>
      <c r="D10542" s="11">
        <v>42948</v>
      </c>
      <c r="E10542" t="s">
        <v>2180</v>
      </c>
      <c r="F10542">
        <v>5</v>
      </c>
      <c r="G10542" t="s">
        <v>55</v>
      </c>
      <c r="H10542" t="s">
        <v>44</v>
      </c>
      <c r="I10542" t="s">
        <v>2192</v>
      </c>
      <c r="J10542" s="10">
        <v>6</v>
      </c>
      <c r="K10542" t="b">
        <v>1</v>
      </c>
    </row>
    <row r="10543" spans="1:11">
      <c r="A10543" s="12">
        <v>42958</v>
      </c>
      <c r="B10543">
        <v>2017</v>
      </c>
      <c r="C10543">
        <v>8</v>
      </c>
      <c r="D10543" s="11">
        <v>42948</v>
      </c>
      <c r="E10543" t="s">
        <v>2180</v>
      </c>
      <c r="F10543">
        <v>5</v>
      </c>
      <c r="G10543" t="s">
        <v>55</v>
      </c>
      <c r="H10543" t="s">
        <v>45</v>
      </c>
      <c r="I10543" t="s">
        <v>2193</v>
      </c>
      <c r="J10543" s="10">
        <v>3</v>
      </c>
      <c r="K10543" t="b">
        <v>1</v>
      </c>
    </row>
    <row r="10544" spans="1:11">
      <c r="A10544" s="12">
        <v>42958</v>
      </c>
      <c r="B10544">
        <v>2017</v>
      </c>
      <c r="C10544">
        <v>8</v>
      </c>
      <c r="D10544" s="11">
        <v>42948</v>
      </c>
      <c r="E10544" t="s">
        <v>2180</v>
      </c>
      <c r="F10544">
        <v>5</v>
      </c>
      <c r="G10544" t="s">
        <v>55</v>
      </c>
      <c r="H10544" t="s">
        <v>46</v>
      </c>
      <c r="I10544" t="s">
        <v>2194</v>
      </c>
      <c r="J10544" s="10">
        <v>0</v>
      </c>
      <c r="K10544" t="b">
        <v>1</v>
      </c>
    </row>
    <row r="10545" spans="1:11">
      <c r="A10545" s="12">
        <v>42958</v>
      </c>
      <c r="B10545">
        <v>2017</v>
      </c>
      <c r="C10545">
        <v>8</v>
      </c>
      <c r="D10545" s="11">
        <v>42948</v>
      </c>
      <c r="E10545" t="s">
        <v>2180</v>
      </c>
      <c r="F10545">
        <v>5</v>
      </c>
      <c r="G10545" t="s">
        <v>55</v>
      </c>
      <c r="H10545" t="s">
        <v>47</v>
      </c>
      <c r="I10545" t="s">
        <v>2195</v>
      </c>
      <c r="J10545" s="10">
        <v>0</v>
      </c>
      <c r="K10545" t="b">
        <v>1</v>
      </c>
    </row>
    <row r="10546" spans="1:11">
      <c r="A10546" s="12">
        <v>42959</v>
      </c>
      <c r="B10546">
        <v>2017</v>
      </c>
      <c r="C10546">
        <v>8</v>
      </c>
      <c r="D10546" s="11">
        <v>42948</v>
      </c>
      <c r="E10546" t="s">
        <v>2180</v>
      </c>
      <c r="F10546">
        <v>6</v>
      </c>
      <c r="G10546" t="s">
        <v>57</v>
      </c>
      <c r="H10546" t="s">
        <v>40</v>
      </c>
      <c r="I10546" t="s">
        <v>2188</v>
      </c>
      <c r="J10546" s="10">
        <v>2.69</v>
      </c>
      <c r="K10546" t="b">
        <v>1</v>
      </c>
    </row>
    <row r="10547" spans="1:11">
      <c r="A10547" s="12">
        <v>42959</v>
      </c>
      <c r="B10547">
        <v>2017</v>
      </c>
      <c r="C10547">
        <v>8</v>
      </c>
      <c r="D10547" s="11">
        <v>42948</v>
      </c>
      <c r="E10547" t="s">
        <v>2180</v>
      </c>
      <c r="F10547">
        <v>6</v>
      </c>
      <c r="G10547" t="s">
        <v>57</v>
      </c>
      <c r="H10547" t="s">
        <v>41</v>
      </c>
      <c r="I10547" t="s">
        <v>2189</v>
      </c>
      <c r="J10547" s="10">
        <v>4.939</v>
      </c>
      <c r="K10547" t="b">
        <v>1</v>
      </c>
    </row>
    <row r="10548" spans="1:11">
      <c r="A10548" s="12">
        <v>42959</v>
      </c>
      <c r="B10548">
        <v>2017</v>
      </c>
      <c r="C10548">
        <v>8</v>
      </c>
      <c r="D10548" s="11">
        <v>42948</v>
      </c>
      <c r="E10548" t="s">
        <v>2180</v>
      </c>
      <c r="F10548">
        <v>6</v>
      </c>
      <c r="G10548" t="s">
        <v>57</v>
      </c>
      <c r="H10548" t="s">
        <v>42</v>
      </c>
      <c r="I10548" t="s">
        <v>2190</v>
      </c>
      <c r="J10548" s="10">
        <v>2.5</v>
      </c>
      <c r="K10548" t="b">
        <v>1</v>
      </c>
    </row>
    <row r="10549" spans="1:11">
      <c r="A10549" s="12">
        <v>42959</v>
      </c>
      <c r="B10549">
        <v>2017</v>
      </c>
      <c r="C10549">
        <v>8</v>
      </c>
      <c r="D10549" s="11">
        <v>42948</v>
      </c>
      <c r="E10549" t="s">
        <v>2180</v>
      </c>
      <c r="F10549">
        <v>6</v>
      </c>
      <c r="G10549" t="s">
        <v>57</v>
      </c>
      <c r="H10549" t="s">
        <v>43</v>
      </c>
      <c r="I10549" t="s">
        <v>2191</v>
      </c>
      <c r="J10549" s="10">
        <v>22.6</v>
      </c>
      <c r="K10549" t="b">
        <v>1</v>
      </c>
    </row>
    <row r="10550" spans="1:11">
      <c r="A10550" s="12">
        <v>42959</v>
      </c>
      <c r="B10550">
        <v>2017</v>
      </c>
      <c r="C10550">
        <v>8</v>
      </c>
      <c r="D10550" s="11">
        <v>42948</v>
      </c>
      <c r="E10550" t="s">
        <v>2180</v>
      </c>
      <c r="F10550">
        <v>6</v>
      </c>
      <c r="G10550" t="s">
        <v>57</v>
      </c>
      <c r="H10550" t="s">
        <v>44</v>
      </c>
      <c r="I10550" t="s">
        <v>2192</v>
      </c>
      <c r="J10550" s="10">
        <v>4</v>
      </c>
      <c r="K10550" t="b">
        <v>1</v>
      </c>
    </row>
    <row r="10551" spans="1:11">
      <c r="A10551" s="12">
        <v>42959</v>
      </c>
      <c r="B10551">
        <v>2017</v>
      </c>
      <c r="C10551">
        <v>8</v>
      </c>
      <c r="D10551" s="11">
        <v>42948</v>
      </c>
      <c r="E10551" t="s">
        <v>2180</v>
      </c>
      <c r="F10551">
        <v>6</v>
      </c>
      <c r="G10551" t="s">
        <v>57</v>
      </c>
      <c r="H10551" t="s">
        <v>45</v>
      </c>
      <c r="I10551" t="s">
        <v>2193</v>
      </c>
      <c r="J10551" s="10">
        <v>0</v>
      </c>
      <c r="K10551" t="b">
        <v>1</v>
      </c>
    </row>
    <row r="10552" spans="1:11">
      <c r="A10552" s="12">
        <v>42959</v>
      </c>
      <c r="B10552">
        <v>2017</v>
      </c>
      <c r="C10552">
        <v>8</v>
      </c>
      <c r="D10552" s="11">
        <v>42948</v>
      </c>
      <c r="E10552" t="s">
        <v>2180</v>
      </c>
      <c r="F10552">
        <v>6</v>
      </c>
      <c r="G10552" t="s">
        <v>57</v>
      </c>
      <c r="H10552" t="s">
        <v>46</v>
      </c>
      <c r="I10552" t="s">
        <v>2194</v>
      </c>
      <c r="J10552" s="10">
        <v>6</v>
      </c>
      <c r="K10552" t="b">
        <v>1</v>
      </c>
    </row>
    <row r="10553" spans="1:11">
      <c r="A10553" s="12">
        <v>42959</v>
      </c>
      <c r="B10553">
        <v>2017</v>
      </c>
      <c r="C10553">
        <v>8</v>
      </c>
      <c r="D10553" s="11">
        <v>42948</v>
      </c>
      <c r="E10553" t="s">
        <v>2180</v>
      </c>
      <c r="F10553">
        <v>6</v>
      </c>
      <c r="G10553" t="s">
        <v>57</v>
      </c>
      <c r="H10553" t="s">
        <v>47</v>
      </c>
      <c r="I10553" t="s">
        <v>2195</v>
      </c>
      <c r="J10553" s="10">
        <v>2</v>
      </c>
      <c r="K10553" t="b">
        <v>1</v>
      </c>
    </row>
    <row r="10554" spans="1:11">
      <c r="A10554" s="12">
        <v>42960</v>
      </c>
      <c r="B10554">
        <v>2017</v>
      </c>
      <c r="C10554">
        <v>8</v>
      </c>
      <c r="D10554" s="11">
        <v>42948</v>
      </c>
      <c r="E10554" t="s">
        <v>2180</v>
      </c>
      <c r="F10554">
        <v>7</v>
      </c>
      <c r="G10554" t="s">
        <v>59</v>
      </c>
      <c r="H10554" t="s">
        <v>40</v>
      </c>
      <c r="I10554" t="s">
        <v>2188</v>
      </c>
      <c r="J10554" s="10">
        <v>3.66</v>
      </c>
      <c r="K10554" t="b">
        <v>1</v>
      </c>
    </row>
    <row r="10555" spans="1:11">
      <c r="A10555" s="12">
        <v>42960</v>
      </c>
      <c r="B10555">
        <v>2017</v>
      </c>
      <c r="C10555">
        <v>8</v>
      </c>
      <c r="D10555" s="11">
        <v>42948</v>
      </c>
      <c r="E10555" t="s">
        <v>2180</v>
      </c>
      <c r="F10555">
        <v>7</v>
      </c>
      <c r="G10555" t="s">
        <v>59</v>
      </c>
      <c r="H10555" t="s">
        <v>41</v>
      </c>
      <c r="I10555" t="s">
        <v>2189</v>
      </c>
      <c r="J10555" s="10">
        <v>3.65</v>
      </c>
      <c r="K10555" t="b">
        <v>1</v>
      </c>
    </row>
    <row r="10556" spans="1:11">
      <c r="A10556" s="12">
        <v>42960</v>
      </c>
      <c r="B10556">
        <v>2017</v>
      </c>
      <c r="C10556">
        <v>8</v>
      </c>
      <c r="D10556" s="11">
        <v>42948</v>
      </c>
      <c r="E10556" t="s">
        <v>2180</v>
      </c>
      <c r="F10556">
        <v>7</v>
      </c>
      <c r="G10556" t="s">
        <v>59</v>
      </c>
      <c r="H10556" t="s">
        <v>42</v>
      </c>
      <c r="I10556" t="s">
        <v>2190</v>
      </c>
      <c r="J10556" s="10">
        <v>2.05</v>
      </c>
      <c r="K10556" t="b">
        <v>1</v>
      </c>
    </row>
    <row r="10557" spans="1:11">
      <c r="A10557" s="12">
        <v>42960</v>
      </c>
      <c r="B10557">
        <v>2017</v>
      </c>
      <c r="C10557">
        <v>8</v>
      </c>
      <c r="D10557" s="11">
        <v>42948</v>
      </c>
      <c r="E10557" t="s">
        <v>2180</v>
      </c>
      <c r="F10557">
        <v>7</v>
      </c>
      <c r="G10557" t="s">
        <v>59</v>
      </c>
      <c r="H10557" t="s">
        <v>43</v>
      </c>
      <c r="I10557" t="s">
        <v>2191</v>
      </c>
      <c r="J10557" s="10">
        <v>24</v>
      </c>
      <c r="K10557" t="b">
        <v>1</v>
      </c>
    </row>
    <row r="10558" spans="1:11">
      <c r="A10558" s="12">
        <v>42960</v>
      </c>
      <c r="B10558">
        <v>2017</v>
      </c>
      <c r="C10558">
        <v>8</v>
      </c>
      <c r="D10558" s="11">
        <v>42948</v>
      </c>
      <c r="E10558" t="s">
        <v>2180</v>
      </c>
      <c r="F10558">
        <v>7</v>
      </c>
      <c r="G10558" t="s">
        <v>59</v>
      </c>
      <c r="H10558" t="s">
        <v>44</v>
      </c>
      <c r="I10558" t="s">
        <v>2192</v>
      </c>
      <c r="J10558" s="10">
        <v>5</v>
      </c>
      <c r="K10558" t="b">
        <v>1</v>
      </c>
    </row>
    <row r="10559" spans="1:11">
      <c r="A10559" s="12">
        <v>42960</v>
      </c>
      <c r="B10559">
        <v>2017</v>
      </c>
      <c r="C10559">
        <v>8</v>
      </c>
      <c r="D10559" s="11">
        <v>42948</v>
      </c>
      <c r="E10559" t="s">
        <v>2180</v>
      </c>
      <c r="F10559">
        <v>7</v>
      </c>
      <c r="G10559" t="s">
        <v>59</v>
      </c>
      <c r="H10559" t="s">
        <v>45</v>
      </c>
      <c r="I10559" t="s">
        <v>2193</v>
      </c>
      <c r="J10559" s="10">
        <v>0</v>
      </c>
      <c r="K10559" t="b">
        <v>1</v>
      </c>
    </row>
    <row r="10560" spans="1:11">
      <c r="A10560" s="12">
        <v>42960</v>
      </c>
      <c r="B10560">
        <v>2017</v>
      </c>
      <c r="C10560">
        <v>8</v>
      </c>
      <c r="D10560" s="11">
        <v>42948</v>
      </c>
      <c r="E10560" t="s">
        <v>2180</v>
      </c>
      <c r="F10560">
        <v>7</v>
      </c>
      <c r="G10560" t="s">
        <v>59</v>
      </c>
      <c r="H10560" t="s">
        <v>46</v>
      </c>
      <c r="I10560" t="s">
        <v>2194</v>
      </c>
      <c r="J10560" s="10">
        <v>1</v>
      </c>
      <c r="K10560" t="b">
        <v>1</v>
      </c>
    </row>
    <row r="10561" spans="1:11">
      <c r="A10561" s="12">
        <v>42960</v>
      </c>
      <c r="B10561">
        <v>2017</v>
      </c>
      <c r="C10561">
        <v>8</v>
      </c>
      <c r="D10561" s="11">
        <v>42948</v>
      </c>
      <c r="E10561" t="s">
        <v>2180</v>
      </c>
      <c r="F10561">
        <v>7</v>
      </c>
      <c r="G10561" t="s">
        <v>59</v>
      </c>
      <c r="H10561" t="s">
        <v>47</v>
      </c>
      <c r="I10561" t="s">
        <v>2195</v>
      </c>
      <c r="J10561" s="10">
        <v>1</v>
      </c>
      <c r="K10561" t="b">
        <v>1</v>
      </c>
    </row>
    <row r="10562" spans="1:11">
      <c r="A10562" s="12">
        <v>42961</v>
      </c>
      <c r="B10562">
        <v>2017</v>
      </c>
      <c r="C10562">
        <v>8</v>
      </c>
      <c r="D10562" s="11">
        <v>42948</v>
      </c>
      <c r="E10562" t="s">
        <v>2180</v>
      </c>
      <c r="F10562">
        <v>1</v>
      </c>
      <c r="G10562" t="s">
        <v>61</v>
      </c>
      <c r="H10562" t="s">
        <v>40</v>
      </c>
      <c r="I10562" t="s">
        <v>2188</v>
      </c>
      <c r="J10562" s="10">
        <v>11.34</v>
      </c>
      <c r="K10562" t="b">
        <v>1</v>
      </c>
    </row>
    <row r="10563" spans="1:11">
      <c r="A10563" s="12">
        <v>42961</v>
      </c>
      <c r="B10563">
        <v>2017</v>
      </c>
      <c r="C10563">
        <v>8</v>
      </c>
      <c r="D10563" s="11">
        <v>42948</v>
      </c>
      <c r="E10563" t="s">
        <v>2180</v>
      </c>
      <c r="F10563">
        <v>1</v>
      </c>
      <c r="G10563" t="s">
        <v>61</v>
      </c>
      <c r="H10563" t="s">
        <v>41</v>
      </c>
      <c r="I10563" t="s">
        <v>2189</v>
      </c>
      <c r="J10563" s="10">
        <v>2.067</v>
      </c>
      <c r="K10563" t="b">
        <v>1</v>
      </c>
    </row>
    <row r="10564" spans="1:11">
      <c r="A10564" s="12">
        <v>42961</v>
      </c>
      <c r="B10564">
        <v>2017</v>
      </c>
      <c r="C10564">
        <v>8</v>
      </c>
      <c r="D10564" s="11">
        <v>42948</v>
      </c>
      <c r="E10564" t="s">
        <v>2180</v>
      </c>
      <c r="F10564">
        <v>1</v>
      </c>
      <c r="G10564" t="s">
        <v>61</v>
      </c>
      <c r="H10564" t="s">
        <v>42</v>
      </c>
      <c r="I10564" t="s">
        <v>2190</v>
      </c>
      <c r="J10564" s="10">
        <v>4</v>
      </c>
      <c r="K10564" t="b">
        <v>1</v>
      </c>
    </row>
    <row r="10565" spans="1:11">
      <c r="A10565" s="12">
        <v>42961</v>
      </c>
      <c r="B10565">
        <v>2017</v>
      </c>
      <c r="C10565">
        <v>8</v>
      </c>
      <c r="D10565" s="11">
        <v>42948</v>
      </c>
      <c r="E10565" t="s">
        <v>2180</v>
      </c>
      <c r="F10565">
        <v>1</v>
      </c>
      <c r="G10565" t="s">
        <v>61</v>
      </c>
      <c r="H10565" t="s">
        <v>43</v>
      </c>
      <c r="I10565" t="s">
        <v>2191</v>
      </c>
      <c r="J10565" s="10">
        <v>13</v>
      </c>
      <c r="K10565" t="b">
        <v>1</v>
      </c>
    </row>
    <row r="10566" spans="1:11">
      <c r="A10566" s="12">
        <v>42961</v>
      </c>
      <c r="B10566">
        <v>2017</v>
      </c>
      <c r="C10566">
        <v>8</v>
      </c>
      <c r="D10566" s="11">
        <v>42948</v>
      </c>
      <c r="E10566" t="s">
        <v>2180</v>
      </c>
      <c r="F10566">
        <v>1</v>
      </c>
      <c r="G10566" t="s">
        <v>61</v>
      </c>
      <c r="H10566" t="s">
        <v>44</v>
      </c>
      <c r="I10566" t="s">
        <v>2192</v>
      </c>
      <c r="J10566" s="10">
        <v>4</v>
      </c>
      <c r="K10566" t="b">
        <v>1</v>
      </c>
    </row>
    <row r="10567" spans="1:11">
      <c r="A10567" s="12">
        <v>42961</v>
      </c>
      <c r="B10567">
        <v>2017</v>
      </c>
      <c r="C10567">
        <v>8</v>
      </c>
      <c r="D10567" s="11">
        <v>42948</v>
      </c>
      <c r="E10567" t="s">
        <v>2180</v>
      </c>
      <c r="F10567">
        <v>1</v>
      </c>
      <c r="G10567" t="s">
        <v>61</v>
      </c>
      <c r="H10567" t="s">
        <v>45</v>
      </c>
      <c r="I10567" t="s">
        <v>2193</v>
      </c>
      <c r="J10567" s="10">
        <v>0</v>
      </c>
      <c r="K10567" t="b">
        <v>1</v>
      </c>
    </row>
    <row r="10568" spans="1:11">
      <c r="A10568" s="12">
        <v>42961</v>
      </c>
      <c r="B10568">
        <v>2017</v>
      </c>
      <c r="C10568">
        <v>8</v>
      </c>
      <c r="D10568" s="11">
        <v>42948</v>
      </c>
      <c r="E10568" t="s">
        <v>2180</v>
      </c>
      <c r="F10568">
        <v>1</v>
      </c>
      <c r="G10568" t="s">
        <v>61</v>
      </c>
      <c r="H10568" t="s">
        <v>46</v>
      </c>
      <c r="I10568" t="s">
        <v>2194</v>
      </c>
      <c r="J10568" s="10">
        <v>0</v>
      </c>
      <c r="K10568" t="b">
        <v>1</v>
      </c>
    </row>
    <row r="10569" spans="1:11">
      <c r="A10569" s="12">
        <v>42961</v>
      </c>
      <c r="B10569">
        <v>2017</v>
      </c>
      <c r="C10569">
        <v>8</v>
      </c>
      <c r="D10569" s="11">
        <v>42948</v>
      </c>
      <c r="E10569" t="s">
        <v>2180</v>
      </c>
      <c r="F10569">
        <v>1</v>
      </c>
      <c r="G10569" t="s">
        <v>61</v>
      </c>
      <c r="H10569" t="s">
        <v>47</v>
      </c>
      <c r="I10569" t="s">
        <v>2195</v>
      </c>
      <c r="J10569" s="10">
        <v>2</v>
      </c>
      <c r="K10569" t="b">
        <v>1</v>
      </c>
    </row>
    <row r="10570" spans="1:11">
      <c r="A10570" s="12">
        <v>42962</v>
      </c>
      <c r="B10570">
        <v>2017</v>
      </c>
      <c r="C10570">
        <v>8</v>
      </c>
      <c r="D10570" s="11">
        <v>42948</v>
      </c>
      <c r="E10570" t="s">
        <v>2180</v>
      </c>
      <c r="F10570">
        <v>2</v>
      </c>
      <c r="G10570" t="s">
        <v>63</v>
      </c>
      <c r="H10570" t="s">
        <v>40</v>
      </c>
      <c r="I10570" t="s">
        <v>2188</v>
      </c>
      <c r="J10570" s="10">
        <v>2.33</v>
      </c>
      <c r="K10570" t="b">
        <v>1</v>
      </c>
    </row>
    <row r="10571" spans="1:11">
      <c r="A10571" s="12">
        <v>42962</v>
      </c>
      <c r="B10571">
        <v>2017</v>
      </c>
      <c r="C10571">
        <v>8</v>
      </c>
      <c r="D10571" s="11">
        <v>42948</v>
      </c>
      <c r="E10571" t="s">
        <v>2180</v>
      </c>
      <c r="F10571">
        <v>2</v>
      </c>
      <c r="G10571" t="s">
        <v>63</v>
      </c>
      <c r="H10571" t="s">
        <v>41</v>
      </c>
      <c r="I10571" t="s">
        <v>2189</v>
      </c>
      <c r="J10571" s="10">
        <v>6.703</v>
      </c>
      <c r="K10571" t="b">
        <v>1</v>
      </c>
    </row>
    <row r="10572" spans="1:11">
      <c r="A10572" s="12">
        <v>42962</v>
      </c>
      <c r="B10572">
        <v>2017</v>
      </c>
      <c r="C10572">
        <v>8</v>
      </c>
      <c r="D10572" s="11">
        <v>42948</v>
      </c>
      <c r="E10572" t="s">
        <v>2180</v>
      </c>
      <c r="F10572">
        <v>2</v>
      </c>
      <c r="G10572" t="s">
        <v>63</v>
      </c>
      <c r="H10572" t="s">
        <v>42</v>
      </c>
      <c r="I10572" t="s">
        <v>2190</v>
      </c>
      <c r="J10572" s="10">
        <v>2.15</v>
      </c>
      <c r="K10572" t="b">
        <v>1</v>
      </c>
    </row>
    <row r="10573" spans="1:11">
      <c r="A10573" s="12">
        <v>42962</v>
      </c>
      <c r="B10573">
        <v>2017</v>
      </c>
      <c r="C10573">
        <v>8</v>
      </c>
      <c r="D10573" s="11">
        <v>42948</v>
      </c>
      <c r="E10573" t="s">
        <v>2180</v>
      </c>
      <c r="F10573">
        <v>2</v>
      </c>
      <c r="G10573" t="s">
        <v>63</v>
      </c>
      <c r="H10573" t="s">
        <v>43</v>
      </c>
      <c r="I10573" t="s">
        <v>2191</v>
      </c>
      <c r="J10573" s="10">
        <v>35</v>
      </c>
      <c r="K10573" t="b">
        <v>1</v>
      </c>
    </row>
    <row r="10574" spans="1:11">
      <c r="A10574" s="12">
        <v>42962</v>
      </c>
      <c r="B10574">
        <v>2017</v>
      </c>
      <c r="C10574">
        <v>8</v>
      </c>
      <c r="D10574" s="11">
        <v>42948</v>
      </c>
      <c r="E10574" t="s">
        <v>2180</v>
      </c>
      <c r="F10574">
        <v>2</v>
      </c>
      <c r="G10574" t="s">
        <v>63</v>
      </c>
      <c r="H10574" t="s">
        <v>44</v>
      </c>
      <c r="I10574" t="s">
        <v>2192</v>
      </c>
      <c r="J10574" s="10">
        <v>11</v>
      </c>
      <c r="K10574" t="b">
        <v>1</v>
      </c>
    </row>
    <row r="10575" spans="1:11">
      <c r="A10575" s="12">
        <v>42962</v>
      </c>
      <c r="B10575">
        <v>2017</v>
      </c>
      <c r="C10575">
        <v>8</v>
      </c>
      <c r="D10575" s="11">
        <v>42948</v>
      </c>
      <c r="E10575" t="s">
        <v>2180</v>
      </c>
      <c r="F10575">
        <v>2</v>
      </c>
      <c r="G10575" t="s">
        <v>63</v>
      </c>
      <c r="H10575" t="s">
        <v>45</v>
      </c>
      <c r="I10575" t="s">
        <v>2193</v>
      </c>
      <c r="J10575" s="10">
        <v>0</v>
      </c>
      <c r="K10575" t="b">
        <v>1</v>
      </c>
    </row>
    <row r="10576" spans="1:11">
      <c r="A10576" s="12">
        <v>42962</v>
      </c>
      <c r="B10576">
        <v>2017</v>
      </c>
      <c r="C10576">
        <v>8</v>
      </c>
      <c r="D10576" s="11">
        <v>42948</v>
      </c>
      <c r="E10576" t="s">
        <v>2180</v>
      </c>
      <c r="F10576">
        <v>2</v>
      </c>
      <c r="G10576" t="s">
        <v>63</v>
      </c>
      <c r="H10576" t="s">
        <v>46</v>
      </c>
      <c r="I10576" t="s">
        <v>2194</v>
      </c>
      <c r="J10576" s="10">
        <v>2</v>
      </c>
      <c r="K10576" t="b">
        <v>1</v>
      </c>
    </row>
    <row r="10577" spans="1:11">
      <c r="A10577" s="12">
        <v>42962</v>
      </c>
      <c r="B10577">
        <v>2017</v>
      </c>
      <c r="C10577">
        <v>8</v>
      </c>
      <c r="D10577" s="11">
        <v>42948</v>
      </c>
      <c r="E10577" t="s">
        <v>2180</v>
      </c>
      <c r="F10577">
        <v>2</v>
      </c>
      <c r="G10577" t="s">
        <v>63</v>
      </c>
      <c r="H10577" t="s">
        <v>47</v>
      </c>
      <c r="I10577" t="s">
        <v>2195</v>
      </c>
      <c r="J10577" s="10">
        <v>3</v>
      </c>
      <c r="K10577" t="b">
        <v>1</v>
      </c>
    </row>
    <row r="10578" spans="1:11">
      <c r="A10578" s="12">
        <v>42963</v>
      </c>
      <c r="B10578">
        <v>2017</v>
      </c>
      <c r="C10578">
        <v>8</v>
      </c>
      <c r="D10578" s="11">
        <v>42948</v>
      </c>
      <c r="E10578" t="s">
        <v>2180</v>
      </c>
      <c r="F10578">
        <v>3</v>
      </c>
      <c r="G10578" t="s">
        <v>65</v>
      </c>
      <c r="H10578" t="s">
        <v>40</v>
      </c>
      <c r="I10578" t="s">
        <v>2188</v>
      </c>
      <c r="J10578" s="10">
        <v>5.33</v>
      </c>
      <c r="K10578" t="b">
        <v>1</v>
      </c>
    </row>
    <row r="10579" spans="1:11">
      <c r="A10579" s="12">
        <v>42963</v>
      </c>
      <c r="B10579">
        <v>2017</v>
      </c>
      <c r="C10579">
        <v>8</v>
      </c>
      <c r="D10579" s="11">
        <v>42948</v>
      </c>
      <c r="E10579" t="s">
        <v>2180</v>
      </c>
      <c r="F10579">
        <v>3</v>
      </c>
      <c r="G10579" t="s">
        <v>65</v>
      </c>
      <c r="H10579" t="s">
        <v>41</v>
      </c>
      <c r="I10579" t="s">
        <v>2189</v>
      </c>
      <c r="J10579" s="10">
        <v>3.67</v>
      </c>
      <c r="K10579" t="b">
        <v>1</v>
      </c>
    </row>
    <row r="10580" spans="1:11">
      <c r="A10580" s="12">
        <v>42963</v>
      </c>
      <c r="B10580">
        <v>2017</v>
      </c>
      <c r="C10580">
        <v>8</v>
      </c>
      <c r="D10580" s="11">
        <v>42948</v>
      </c>
      <c r="E10580" t="s">
        <v>2180</v>
      </c>
      <c r="F10580">
        <v>3</v>
      </c>
      <c r="G10580" t="s">
        <v>65</v>
      </c>
      <c r="H10580" t="s">
        <v>42</v>
      </c>
      <c r="I10580" t="s">
        <v>2190</v>
      </c>
      <c r="J10580" s="10">
        <v>1</v>
      </c>
      <c r="K10580" t="b">
        <v>1</v>
      </c>
    </row>
    <row r="10581" spans="1:11">
      <c r="A10581" s="12">
        <v>42963</v>
      </c>
      <c r="B10581">
        <v>2017</v>
      </c>
      <c r="C10581">
        <v>8</v>
      </c>
      <c r="D10581" s="11">
        <v>42948</v>
      </c>
      <c r="E10581" t="s">
        <v>2180</v>
      </c>
      <c r="F10581">
        <v>3</v>
      </c>
      <c r="G10581" t="s">
        <v>65</v>
      </c>
      <c r="H10581" t="s">
        <v>43</v>
      </c>
      <c r="I10581" t="s">
        <v>2191</v>
      </c>
      <c r="J10581" s="10">
        <v>10.45</v>
      </c>
      <c r="K10581" t="b">
        <v>1</v>
      </c>
    </row>
    <row r="10582" spans="1:11">
      <c r="A10582" s="12">
        <v>42963</v>
      </c>
      <c r="B10582">
        <v>2017</v>
      </c>
      <c r="C10582">
        <v>8</v>
      </c>
      <c r="D10582" s="11">
        <v>42948</v>
      </c>
      <c r="E10582" t="s">
        <v>2180</v>
      </c>
      <c r="F10582">
        <v>3</v>
      </c>
      <c r="G10582" t="s">
        <v>65</v>
      </c>
      <c r="H10582" t="s">
        <v>44</v>
      </c>
      <c r="I10582" t="s">
        <v>2192</v>
      </c>
      <c r="J10582" s="10">
        <v>13</v>
      </c>
      <c r="K10582" t="b">
        <v>1</v>
      </c>
    </row>
    <row r="10583" spans="1:11">
      <c r="A10583" s="12">
        <v>42963</v>
      </c>
      <c r="B10583">
        <v>2017</v>
      </c>
      <c r="C10583">
        <v>8</v>
      </c>
      <c r="D10583" s="11">
        <v>42948</v>
      </c>
      <c r="E10583" t="s">
        <v>2180</v>
      </c>
      <c r="F10583">
        <v>3</v>
      </c>
      <c r="G10583" t="s">
        <v>65</v>
      </c>
      <c r="H10583" t="s">
        <v>45</v>
      </c>
      <c r="I10583" t="s">
        <v>2193</v>
      </c>
      <c r="J10583" s="10">
        <v>0</v>
      </c>
      <c r="K10583" t="b">
        <v>1</v>
      </c>
    </row>
    <row r="10584" spans="1:11">
      <c r="A10584" s="12">
        <v>42963</v>
      </c>
      <c r="B10584">
        <v>2017</v>
      </c>
      <c r="C10584">
        <v>8</v>
      </c>
      <c r="D10584" s="11">
        <v>42948</v>
      </c>
      <c r="E10584" t="s">
        <v>2180</v>
      </c>
      <c r="F10584">
        <v>3</v>
      </c>
      <c r="G10584" t="s">
        <v>65</v>
      </c>
      <c r="H10584" t="s">
        <v>46</v>
      </c>
      <c r="I10584" t="s">
        <v>2194</v>
      </c>
      <c r="J10584" s="10">
        <v>4</v>
      </c>
      <c r="K10584" t="b">
        <v>1</v>
      </c>
    </row>
    <row r="10585" spans="1:11">
      <c r="A10585" s="12">
        <v>42963</v>
      </c>
      <c r="B10585">
        <v>2017</v>
      </c>
      <c r="C10585">
        <v>8</v>
      </c>
      <c r="D10585" s="11">
        <v>42948</v>
      </c>
      <c r="E10585" t="s">
        <v>2180</v>
      </c>
      <c r="F10585">
        <v>3</v>
      </c>
      <c r="G10585" t="s">
        <v>65</v>
      </c>
      <c r="H10585" t="s">
        <v>47</v>
      </c>
      <c r="I10585" t="s">
        <v>2195</v>
      </c>
      <c r="J10585" s="10">
        <v>2</v>
      </c>
      <c r="K10585" t="b">
        <v>1</v>
      </c>
    </row>
    <row r="10586" spans="1:11">
      <c r="A10586" s="12">
        <v>42964</v>
      </c>
      <c r="B10586">
        <v>2017</v>
      </c>
      <c r="C10586">
        <v>8</v>
      </c>
      <c r="D10586" s="11">
        <v>42948</v>
      </c>
      <c r="E10586" t="s">
        <v>2180</v>
      </c>
      <c r="F10586">
        <v>4</v>
      </c>
      <c r="G10586" t="s">
        <v>53</v>
      </c>
      <c r="H10586" t="s">
        <v>40</v>
      </c>
      <c r="I10586" t="s">
        <v>2188</v>
      </c>
      <c r="J10586" s="10">
        <v>5.16</v>
      </c>
      <c r="K10586" t="b">
        <v>1</v>
      </c>
    </row>
    <row r="10587" spans="1:11">
      <c r="A10587" s="12">
        <v>42964</v>
      </c>
      <c r="B10587">
        <v>2017</v>
      </c>
      <c r="C10587">
        <v>8</v>
      </c>
      <c r="D10587" s="11">
        <v>42948</v>
      </c>
      <c r="E10587" t="s">
        <v>2180</v>
      </c>
      <c r="F10587">
        <v>4</v>
      </c>
      <c r="G10587" t="s">
        <v>53</v>
      </c>
      <c r="H10587" t="s">
        <v>41</v>
      </c>
      <c r="I10587" t="s">
        <v>2189</v>
      </c>
      <c r="J10587" s="10">
        <v>1.33</v>
      </c>
      <c r="K10587" t="b">
        <v>1</v>
      </c>
    </row>
    <row r="10588" spans="1:11">
      <c r="A10588" s="12">
        <v>42964</v>
      </c>
      <c r="B10588">
        <v>2017</v>
      </c>
      <c r="C10588">
        <v>8</v>
      </c>
      <c r="D10588" s="11">
        <v>42948</v>
      </c>
      <c r="E10588" t="s">
        <v>2180</v>
      </c>
      <c r="F10588">
        <v>4</v>
      </c>
      <c r="G10588" t="s">
        <v>53</v>
      </c>
      <c r="H10588" t="s">
        <v>42</v>
      </c>
      <c r="I10588" t="s">
        <v>2190</v>
      </c>
      <c r="J10588" s="10">
        <v>5</v>
      </c>
      <c r="K10588" t="b">
        <v>1</v>
      </c>
    </row>
    <row r="10589" spans="1:11">
      <c r="A10589" s="12">
        <v>42964</v>
      </c>
      <c r="B10589">
        <v>2017</v>
      </c>
      <c r="C10589">
        <v>8</v>
      </c>
      <c r="D10589" s="11">
        <v>42948</v>
      </c>
      <c r="E10589" t="s">
        <v>2180</v>
      </c>
      <c r="F10589">
        <v>4</v>
      </c>
      <c r="G10589" t="s">
        <v>53</v>
      </c>
      <c r="H10589" t="s">
        <v>43</v>
      </c>
      <c r="I10589" t="s">
        <v>2191</v>
      </c>
      <c r="J10589" s="10">
        <v>12</v>
      </c>
      <c r="K10589" t="b">
        <v>1</v>
      </c>
    </row>
    <row r="10590" spans="1:11">
      <c r="A10590" s="12">
        <v>42964</v>
      </c>
      <c r="B10590">
        <v>2017</v>
      </c>
      <c r="C10590">
        <v>8</v>
      </c>
      <c r="D10590" s="11">
        <v>42948</v>
      </c>
      <c r="E10590" t="s">
        <v>2180</v>
      </c>
      <c r="F10590">
        <v>4</v>
      </c>
      <c r="G10590" t="s">
        <v>53</v>
      </c>
      <c r="H10590" t="s">
        <v>44</v>
      </c>
      <c r="I10590" t="s">
        <v>2192</v>
      </c>
      <c r="J10590" s="10">
        <v>8</v>
      </c>
      <c r="K10590" t="b">
        <v>1</v>
      </c>
    </row>
    <row r="10591" spans="1:11">
      <c r="A10591" s="12">
        <v>42964</v>
      </c>
      <c r="B10591">
        <v>2017</v>
      </c>
      <c r="C10591">
        <v>8</v>
      </c>
      <c r="D10591" s="11">
        <v>42948</v>
      </c>
      <c r="E10591" t="s">
        <v>2180</v>
      </c>
      <c r="F10591">
        <v>4</v>
      </c>
      <c r="G10591" t="s">
        <v>53</v>
      </c>
      <c r="H10591" t="s">
        <v>45</v>
      </c>
      <c r="I10591" t="s">
        <v>2193</v>
      </c>
      <c r="J10591" s="10">
        <v>0</v>
      </c>
      <c r="K10591" t="b">
        <v>1</v>
      </c>
    </row>
    <row r="10592" spans="1:11">
      <c r="A10592" s="12">
        <v>42964</v>
      </c>
      <c r="B10592">
        <v>2017</v>
      </c>
      <c r="C10592">
        <v>8</v>
      </c>
      <c r="D10592" s="11">
        <v>42948</v>
      </c>
      <c r="E10592" t="s">
        <v>2180</v>
      </c>
      <c r="F10592">
        <v>4</v>
      </c>
      <c r="G10592" t="s">
        <v>53</v>
      </c>
      <c r="H10592" t="s">
        <v>46</v>
      </c>
      <c r="I10592" t="s">
        <v>2194</v>
      </c>
      <c r="J10592" s="10">
        <v>1</v>
      </c>
      <c r="K10592" t="b">
        <v>1</v>
      </c>
    </row>
    <row r="10593" spans="1:11">
      <c r="A10593" s="12">
        <v>42964</v>
      </c>
      <c r="B10593">
        <v>2017</v>
      </c>
      <c r="C10593">
        <v>8</v>
      </c>
      <c r="D10593" s="11">
        <v>42948</v>
      </c>
      <c r="E10593" t="s">
        <v>2180</v>
      </c>
      <c r="F10593">
        <v>4</v>
      </c>
      <c r="G10593" t="s">
        <v>53</v>
      </c>
      <c r="H10593" t="s">
        <v>47</v>
      </c>
      <c r="I10593" t="s">
        <v>2195</v>
      </c>
      <c r="J10593" s="10">
        <v>1.5</v>
      </c>
      <c r="K10593" t="b">
        <v>1</v>
      </c>
    </row>
    <row r="10594" spans="1:11">
      <c r="A10594" s="12">
        <v>42965</v>
      </c>
      <c r="B10594">
        <v>2017</v>
      </c>
      <c r="C10594">
        <v>8</v>
      </c>
      <c r="D10594" s="11">
        <v>42948</v>
      </c>
      <c r="E10594" t="s">
        <v>2180</v>
      </c>
      <c r="F10594">
        <v>5</v>
      </c>
      <c r="G10594" t="s">
        <v>55</v>
      </c>
      <c r="H10594" t="s">
        <v>40</v>
      </c>
      <c r="I10594" t="s">
        <v>2188</v>
      </c>
      <c r="J10594" s="10">
        <v>2.33</v>
      </c>
      <c r="K10594" t="b">
        <v>1</v>
      </c>
    </row>
    <row r="10595" spans="1:11">
      <c r="A10595" s="12">
        <v>42965</v>
      </c>
      <c r="B10595">
        <v>2017</v>
      </c>
      <c r="C10595">
        <v>8</v>
      </c>
      <c r="D10595" s="11">
        <v>42948</v>
      </c>
      <c r="E10595" t="s">
        <v>2180</v>
      </c>
      <c r="F10595">
        <v>5</v>
      </c>
      <c r="G10595" t="s">
        <v>55</v>
      </c>
      <c r="H10595" t="s">
        <v>41</v>
      </c>
      <c r="I10595" t="s">
        <v>2189</v>
      </c>
      <c r="J10595" s="10">
        <v>3.99</v>
      </c>
      <c r="K10595" t="b">
        <v>1</v>
      </c>
    </row>
    <row r="10596" spans="1:11">
      <c r="A10596" s="12">
        <v>42965</v>
      </c>
      <c r="B10596">
        <v>2017</v>
      </c>
      <c r="C10596">
        <v>8</v>
      </c>
      <c r="D10596" s="11">
        <v>42948</v>
      </c>
      <c r="E10596" t="s">
        <v>2180</v>
      </c>
      <c r="F10596">
        <v>5</v>
      </c>
      <c r="G10596" t="s">
        <v>55</v>
      </c>
      <c r="H10596" t="s">
        <v>42</v>
      </c>
      <c r="I10596" t="s">
        <v>2190</v>
      </c>
      <c r="J10596" s="10">
        <v>3</v>
      </c>
      <c r="K10596" t="b">
        <v>1</v>
      </c>
    </row>
    <row r="10597" spans="1:11">
      <c r="A10597" s="12">
        <v>42965</v>
      </c>
      <c r="B10597">
        <v>2017</v>
      </c>
      <c r="C10597">
        <v>8</v>
      </c>
      <c r="D10597" s="11">
        <v>42948</v>
      </c>
      <c r="E10597" t="s">
        <v>2180</v>
      </c>
      <c r="F10597">
        <v>5</v>
      </c>
      <c r="G10597" t="s">
        <v>55</v>
      </c>
      <c r="H10597" t="s">
        <v>43</v>
      </c>
      <c r="I10597" t="s">
        <v>2191</v>
      </c>
      <c r="J10597" s="10">
        <v>15</v>
      </c>
      <c r="K10597" t="b">
        <v>1</v>
      </c>
    </row>
    <row r="10598" spans="1:11">
      <c r="A10598" s="12">
        <v>42965</v>
      </c>
      <c r="B10598">
        <v>2017</v>
      </c>
      <c r="C10598">
        <v>8</v>
      </c>
      <c r="D10598" s="11">
        <v>42948</v>
      </c>
      <c r="E10598" t="s">
        <v>2180</v>
      </c>
      <c r="F10598">
        <v>5</v>
      </c>
      <c r="G10598" t="s">
        <v>55</v>
      </c>
      <c r="H10598" t="s">
        <v>44</v>
      </c>
      <c r="I10598" t="s">
        <v>2192</v>
      </c>
      <c r="J10598" s="10">
        <v>4</v>
      </c>
      <c r="K10598" t="b">
        <v>1</v>
      </c>
    </row>
    <row r="10599" spans="1:11">
      <c r="A10599" s="12">
        <v>42965</v>
      </c>
      <c r="B10599">
        <v>2017</v>
      </c>
      <c r="C10599">
        <v>8</v>
      </c>
      <c r="D10599" s="11">
        <v>42948</v>
      </c>
      <c r="E10599" t="s">
        <v>2180</v>
      </c>
      <c r="F10599">
        <v>5</v>
      </c>
      <c r="G10599" t="s">
        <v>55</v>
      </c>
      <c r="H10599" t="s">
        <v>45</v>
      </c>
      <c r="I10599" t="s">
        <v>2193</v>
      </c>
      <c r="J10599" s="10">
        <v>0</v>
      </c>
      <c r="K10599" t="b">
        <v>1</v>
      </c>
    </row>
    <row r="10600" spans="1:11">
      <c r="A10600" s="12">
        <v>42965</v>
      </c>
      <c r="B10600">
        <v>2017</v>
      </c>
      <c r="C10600">
        <v>8</v>
      </c>
      <c r="D10600" s="11">
        <v>42948</v>
      </c>
      <c r="E10600" t="s">
        <v>2180</v>
      </c>
      <c r="F10600">
        <v>5</v>
      </c>
      <c r="G10600" t="s">
        <v>55</v>
      </c>
      <c r="H10600" t="s">
        <v>46</v>
      </c>
      <c r="I10600" t="s">
        <v>2194</v>
      </c>
      <c r="J10600" s="10">
        <v>0</v>
      </c>
      <c r="K10600" t="b">
        <v>1</v>
      </c>
    </row>
    <row r="10601" spans="1:11">
      <c r="A10601" s="12">
        <v>42965</v>
      </c>
      <c r="B10601">
        <v>2017</v>
      </c>
      <c r="C10601">
        <v>8</v>
      </c>
      <c r="D10601" s="11">
        <v>42948</v>
      </c>
      <c r="E10601" t="s">
        <v>2180</v>
      </c>
      <c r="F10601">
        <v>5</v>
      </c>
      <c r="G10601" t="s">
        <v>55</v>
      </c>
      <c r="H10601" t="s">
        <v>47</v>
      </c>
      <c r="I10601" t="s">
        <v>2195</v>
      </c>
      <c r="J10601" s="10">
        <v>3</v>
      </c>
      <c r="K10601" t="b">
        <v>1</v>
      </c>
    </row>
    <row r="10602" spans="1:11">
      <c r="A10602" s="12">
        <v>42966</v>
      </c>
      <c r="B10602">
        <v>2017</v>
      </c>
      <c r="C10602">
        <v>8</v>
      </c>
      <c r="D10602" s="11">
        <v>42948</v>
      </c>
      <c r="E10602" t="s">
        <v>2180</v>
      </c>
      <c r="F10602">
        <v>6</v>
      </c>
      <c r="G10602" t="s">
        <v>57</v>
      </c>
      <c r="H10602" t="s">
        <v>40</v>
      </c>
      <c r="I10602" t="s">
        <v>2188</v>
      </c>
      <c r="J10602" s="10">
        <v>5</v>
      </c>
      <c r="K10602" t="b">
        <v>1</v>
      </c>
    </row>
    <row r="10603" spans="1:11">
      <c r="A10603" s="12">
        <v>42966</v>
      </c>
      <c r="B10603">
        <v>2017</v>
      </c>
      <c r="C10603">
        <v>8</v>
      </c>
      <c r="D10603" s="11">
        <v>42948</v>
      </c>
      <c r="E10603" t="s">
        <v>2180</v>
      </c>
      <c r="F10603">
        <v>6</v>
      </c>
      <c r="G10603" t="s">
        <v>57</v>
      </c>
      <c r="H10603" t="s">
        <v>41</v>
      </c>
      <c r="I10603" t="s">
        <v>2189</v>
      </c>
      <c r="J10603" s="10">
        <v>4.713</v>
      </c>
      <c r="K10603" t="b">
        <v>1</v>
      </c>
    </row>
    <row r="10604" spans="1:11">
      <c r="A10604" s="12">
        <v>42966</v>
      </c>
      <c r="B10604">
        <v>2017</v>
      </c>
      <c r="C10604">
        <v>8</v>
      </c>
      <c r="D10604" s="11">
        <v>42948</v>
      </c>
      <c r="E10604" t="s">
        <v>2180</v>
      </c>
      <c r="F10604">
        <v>6</v>
      </c>
      <c r="G10604" t="s">
        <v>57</v>
      </c>
      <c r="H10604" t="s">
        <v>42</v>
      </c>
      <c r="I10604" t="s">
        <v>2190</v>
      </c>
      <c r="J10604" s="10">
        <v>3</v>
      </c>
      <c r="K10604" t="b">
        <v>1</v>
      </c>
    </row>
    <row r="10605" spans="1:11">
      <c r="A10605" s="12">
        <v>42966</v>
      </c>
      <c r="B10605">
        <v>2017</v>
      </c>
      <c r="C10605">
        <v>8</v>
      </c>
      <c r="D10605" s="11">
        <v>42948</v>
      </c>
      <c r="E10605" t="s">
        <v>2180</v>
      </c>
      <c r="F10605">
        <v>6</v>
      </c>
      <c r="G10605" t="s">
        <v>57</v>
      </c>
      <c r="H10605" t="s">
        <v>43</v>
      </c>
      <c r="I10605" t="s">
        <v>2191</v>
      </c>
      <c r="J10605" s="10">
        <v>16</v>
      </c>
      <c r="K10605" t="b">
        <v>1</v>
      </c>
    </row>
    <row r="10606" spans="1:11">
      <c r="A10606" s="12">
        <v>42966</v>
      </c>
      <c r="B10606">
        <v>2017</v>
      </c>
      <c r="C10606">
        <v>8</v>
      </c>
      <c r="D10606" s="11">
        <v>42948</v>
      </c>
      <c r="E10606" t="s">
        <v>2180</v>
      </c>
      <c r="F10606">
        <v>6</v>
      </c>
      <c r="G10606" t="s">
        <v>57</v>
      </c>
      <c r="H10606" t="s">
        <v>44</v>
      </c>
      <c r="I10606" t="s">
        <v>2192</v>
      </c>
      <c r="J10606" s="10">
        <v>10</v>
      </c>
      <c r="K10606" t="b">
        <v>1</v>
      </c>
    </row>
    <row r="10607" spans="1:11">
      <c r="A10607" s="12">
        <v>42966</v>
      </c>
      <c r="B10607">
        <v>2017</v>
      </c>
      <c r="C10607">
        <v>8</v>
      </c>
      <c r="D10607" s="11">
        <v>42948</v>
      </c>
      <c r="E10607" t="s">
        <v>2180</v>
      </c>
      <c r="F10607">
        <v>6</v>
      </c>
      <c r="G10607" t="s">
        <v>57</v>
      </c>
      <c r="H10607" t="s">
        <v>45</v>
      </c>
      <c r="I10607" t="s">
        <v>2193</v>
      </c>
      <c r="J10607" s="10">
        <v>0</v>
      </c>
      <c r="K10607" t="b">
        <v>1</v>
      </c>
    </row>
    <row r="10608" spans="1:11">
      <c r="A10608" s="12">
        <v>42966</v>
      </c>
      <c r="B10608">
        <v>2017</v>
      </c>
      <c r="C10608">
        <v>8</v>
      </c>
      <c r="D10608" s="11">
        <v>42948</v>
      </c>
      <c r="E10608" t="s">
        <v>2180</v>
      </c>
      <c r="F10608">
        <v>6</v>
      </c>
      <c r="G10608" t="s">
        <v>57</v>
      </c>
      <c r="H10608" t="s">
        <v>46</v>
      </c>
      <c r="I10608" t="s">
        <v>2194</v>
      </c>
      <c r="J10608" s="10">
        <v>11</v>
      </c>
      <c r="K10608" t="b">
        <v>1</v>
      </c>
    </row>
    <row r="10609" spans="1:11">
      <c r="A10609" s="12">
        <v>42966</v>
      </c>
      <c r="B10609">
        <v>2017</v>
      </c>
      <c r="C10609">
        <v>8</v>
      </c>
      <c r="D10609" s="11">
        <v>42948</v>
      </c>
      <c r="E10609" t="s">
        <v>2180</v>
      </c>
      <c r="F10609">
        <v>6</v>
      </c>
      <c r="G10609" t="s">
        <v>57</v>
      </c>
      <c r="H10609" t="s">
        <v>47</v>
      </c>
      <c r="I10609" t="s">
        <v>2195</v>
      </c>
      <c r="J10609" s="10">
        <v>2</v>
      </c>
      <c r="K10609" t="b">
        <v>1</v>
      </c>
    </row>
    <row r="10610" spans="1:11">
      <c r="A10610" s="12">
        <v>42967</v>
      </c>
      <c r="B10610">
        <v>2017</v>
      </c>
      <c r="C10610">
        <v>8</v>
      </c>
      <c r="D10610" s="11">
        <v>42948</v>
      </c>
      <c r="E10610" t="s">
        <v>2180</v>
      </c>
      <c r="F10610">
        <v>7</v>
      </c>
      <c r="G10610" t="s">
        <v>59</v>
      </c>
      <c r="H10610" t="s">
        <v>40</v>
      </c>
      <c r="I10610" t="s">
        <v>2188</v>
      </c>
      <c r="J10610" s="10">
        <v>4.33</v>
      </c>
      <c r="K10610" t="b">
        <v>1</v>
      </c>
    </row>
    <row r="10611" spans="1:11">
      <c r="A10611" s="12">
        <v>42967</v>
      </c>
      <c r="B10611">
        <v>2017</v>
      </c>
      <c r="C10611">
        <v>8</v>
      </c>
      <c r="D10611" s="11">
        <v>42948</v>
      </c>
      <c r="E10611" t="s">
        <v>2180</v>
      </c>
      <c r="F10611">
        <v>7</v>
      </c>
      <c r="G10611" t="s">
        <v>59</v>
      </c>
      <c r="H10611" t="s">
        <v>41</v>
      </c>
      <c r="I10611" t="s">
        <v>2189</v>
      </c>
      <c r="J10611" s="10">
        <v>2.056</v>
      </c>
      <c r="K10611" t="b">
        <v>1</v>
      </c>
    </row>
    <row r="10612" spans="1:11">
      <c r="A10612" s="12">
        <v>42967</v>
      </c>
      <c r="B10612">
        <v>2017</v>
      </c>
      <c r="C10612">
        <v>8</v>
      </c>
      <c r="D10612" s="11">
        <v>42948</v>
      </c>
      <c r="E10612" t="s">
        <v>2180</v>
      </c>
      <c r="F10612">
        <v>7</v>
      </c>
      <c r="G10612" t="s">
        <v>59</v>
      </c>
      <c r="H10612" t="s">
        <v>42</v>
      </c>
      <c r="I10612" t="s">
        <v>2190</v>
      </c>
      <c r="J10612" s="10">
        <v>6</v>
      </c>
      <c r="K10612" t="b">
        <v>1</v>
      </c>
    </row>
    <row r="10613" spans="1:11">
      <c r="A10613" s="12">
        <v>42967</v>
      </c>
      <c r="B10613">
        <v>2017</v>
      </c>
      <c r="C10613">
        <v>8</v>
      </c>
      <c r="D10613" s="11">
        <v>42948</v>
      </c>
      <c r="E10613" t="s">
        <v>2180</v>
      </c>
      <c r="F10613">
        <v>7</v>
      </c>
      <c r="G10613" t="s">
        <v>59</v>
      </c>
      <c r="H10613" t="s">
        <v>43</v>
      </c>
      <c r="I10613" t="s">
        <v>2191</v>
      </c>
      <c r="J10613" s="10">
        <v>14.4</v>
      </c>
      <c r="K10613" t="b">
        <v>1</v>
      </c>
    </row>
    <row r="10614" spans="1:11">
      <c r="A10614" s="12">
        <v>42967</v>
      </c>
      <c r="B10614">
        <v>2017</v>
      </c>
      <c r="C10614">
        <v>8</v>
      </c>
      <c r="D10614" s="11">
        <v>42948</v>
      </c>
      <c r="E10614" t="s">
        <v>2180</v>
      </c>
      <c r="F10614">
        <v>7</v>
      </c>
      <c r="G10614" t="s">
        <v>59</v>
      </c>
      <c r="H10614" t="s">
        <v>44</v>
      </c>
      <c r="I10614" t="s">
        <v>2192</v>
      </c>
      <c r="J10614" s="10">
        <v>6</v>
      </c>
      <c r="K10614" t="b">
        <v>1</v>
      </c>
    </row>
    <row r="10615" spans="1:11">
      <c r="A10615" s="12">
        <v>42967</v>
      </c>
      <c r="B10615">
        <v>2017</v>
      </c>
      <c r="C10615">
        <v>8</v>
      </c>
      <c r="D10615" s="11">
        <v>42948</v>
      </c>
      <c r="E10615" t="s">
        <v>2180</v>
      </c>
      <c r="F10615">
        <v>7</v>
      </c>
      <c r="G10615" t="s">
        <v>59</v>
      </c>
      <c r="H10615" t="s">
        <v>45</v>
      </c>
      <c r="I10615" t="s">
        <v>2193</v>
      </c>
      <c r="J10615" s="10">
        <v>0</v>
      </c>
      <c r="K10615" t="b">
        <v>1</v>
      </c>
    </row>
    <row r="10616" spans="1:11">
      <c r="A10616" s="12">
        <v>42967</v>
      </c>
      <c r="B10616">
        <v>2017</v>
      </c>
      <c r="C10616">
        <v>8</v>
      </c>
      <c r="D10616" s="11">
        <v>42948</v>
      </c>
      <c r="E10616" t="s">
        <v>2180</v>
      </c>
      <c r="F10616">
        <v>7</v>
      </c>
      <c r="G10616" t="s">
        <v>59</v>
      </c>
      <c r="H10616" t="s">
        <v>46</v>
      </c>
      <c r="I10616" t="s">
        <v>2194</v>
      </c>
      <c r="J10616" s="10">
        <v>2</v>
      </c>
      <c r="K10616" t="b">
        <v>1</v>
      </c>
    </row>
    <row r="10617" spans="1:11">
      <c r="A10617" s="12">
        <v>42967</v>
      </c>
      <c r="B10617">
        <v>2017</v>
      </c>
      <c r="C10617">
        <v>8</v>
      </c>
      <c r="D10617" s="11">
        <v>42948</v>
      </c>
      <c r="E10617" t="s">
        <v>2180</v>
      </c>
      <c r="F10617">
        <v>7</v>
      </c>
      <c r="G10617" t="s">
        <v>59</v>
      </c>
      <c r="H10617" t="s">
        <v>47</v>
      </c>
      <c r="I10617" t="s">
        <v>2195</v>
      </c>
      <c r="J10617" s="10">
        <v>1</v>
      </c>
      <c r="K10617" t="b">
        <v>1</v>
      </c>
    </row>
    <row r="10618" spans="1:11">
      <c r="A10618" s="12">
        <v>42968</v>
      </c>
      <c r="B10618">
        <v>2017</v>
      </c>
      <c r="C10618">
        <v>8</v>
      </c>
      <c r="D10618" s="11">
        <v>42948</v>
      </c>
      <c r="E10618" t="s">
        <v>2180</v>
      </c>
      <c r="F10618">
        <v>1</v>
      </c>
      <c r="G10618" t="s">
        <v>61</v>
      </c>
      <c r="H10618" t="s">
        <v>40</v>
      </c>
      <c r="I10618" t="s">
        <v>2188</v>
      </c>
      <c r="J10618" s="10">
        <v>9.33</v>
      </c>
      <c r="K10618" t="b">
        <v>1</v>
      </c>
    </row>
    <row r="10619" spans="1:11">
      <c r="A10619" s="12">
        <v>42968</v>
      </c>
      <c r="B10619">
        <v>2017</v>
      </c>
      <c r="C10619">
        <v>8</v>
      </c>
      <c r="D10619" s="11">
        <v>42948</v>
      </c>
      <c r="E10619" t="s">
        <v>2180</v>
      </c>
      <c r="F10619">
        <v>1</v>
      </c>
      <c r="G10619" t="s">
        <v>61</v>
      </c>
      <c r="H10619" t="s">
        <v>41</v>
      </c>
      <c r="I10619" t="s">
        <v>2189</v>
      </c>
      <c r="J10619" s="10">
        <v>3.34</v>
      </c>
      <c r="K10619" t="b">
        <v>1</v>
      </c>
    </row>
    <row r="10620" spans="1:11">
      <c r="A10620" s="12">
        <v>42968</v>
      </c>
      <c r="B10620">
        <v>2017</v>
      </c>
      <c r="C10620">
        <v>8</v>
      </c>
      <c r="D10620" s="11">
        <v>42948</v>
      </c>
      <c r="E10620" t="s">
        <v>2180</v>
      </c>
      <c r="F10620">
        <v>1</v>
      </c>
      <c r="G10620" t="s">
        <v>61</v>
      </c>
      <c r="H10620" t="s">
        <v>42</v>
      </c>
      <c r="I10620" t="s">
        <v>2190</v>
      </c>
      <c r="J10620" s="10">
        <v>2.4</v>
      </c>
      <c r="K10620" t="b">
        <v>1</v>
      </c>
    </row>
    <row r="10621" spans="1:11">
      <c r="A10621" s="12">
        <v>42968</v>
      </c>
      <c r="B10621">
        <v>2017</v>
      </c>
      <c r="C10621">
        <v>8</v>
      </c>
      <c r="D10621" s="11">
        <v>42948</v>
      </c>
      <c r="E10621" t="s">
        <v>2180</v>
      </c>
      <c r="F10621">
        <v>1</v>
      </c>
      <c r="G10621" t="s">
        <v>61</v>
      </c>
      <c r="H10621" t="s">
        <v>43</v>
      </c>
      <c r="I10621" t="s">
        <v>2191</v>
      </c>
      <c r="J10621" s="10">
        <v>19</v>
      </c>
      <c r="K10621" t="b">
        <v>1</v>
      </c>
    </row>
    <row r="10622" spans="1:11">
      <c r="A10622" s="12">
        <v>42968</v>
      </c>
      <c r="B10622">
        <v>2017</v>
      </c>
      <c r="C10622">
        <v>8</v>
      </c>
      <c r="D10622" s="11">
        <v>42948</v>
      </c>
      <c r="E10622" t="s">
        <v>2180</v>
      </c>
      <c r="F10622">
        <v>1</v>
      </c>
      <c r="G10622" t="s">
        <v>61</v>
      </c>
      <c r="H10622" t="s">
        <v>44</v>
      </c>
      <c r="I10622" t="s">
        <v>2192</v>
      </c>
      <c r="J10622" s="10">
        <v>4</v>
      </c>
      <c r="K10622" t="b">
        <v>1</v>
      </c>
    </row>
    <row r="10623" spans="1:11">
      <c r="A10623" s="12">
        <v>42968</v>
      </c>
      <c r="B10623">
        <v>2017</v>
      </c>
      <c r="C10623">
        <v>8</v>
      </c>
      <c r="D10623" s="11">
        <v>42948</v>
      </c>
      <c r="E10623" t="s">
        <v>2180</v>
      </c>
      <c r="F10623">
        <v>1</v>
      </c>
      <c r="G10623" t="s">
        <v>61</v>
      </c>
      <c r="H10623" t="s">
        <v>45</v>
      </c>
      <c r="I10623" t="s">
        <v>2193</v>
      </c>
      <c r="J10623" s="10">
        <v>0</v>
      </c>
      <c r="K10623" t="b">
        <v>1</v>
      </c>
    </row>
    <row r="10624" spans="1:11">
      <c r="A10624" s="12">
        <v>42968</v>
      </c>
      <c r="B10624">
        <v>2017</v>
      </c>
      <c r="C10624">
        <v>8</v>
      </c>
      <c r="D10624" s="11">
        <v>42948</v>
      </c>
      <c r="E10624" t="s">
        <v>2180</v>
      </c>
      <c r="F10624">
        <v>1</v>
      </c>
      <c r="G10624" t="s">
        <v>61</v>
      </c>
      <c r="H10624" t="s">
        <v>46</v>
      </c>
      <c r="I10624" t="s">
        <v>2194</v>
      </c>
      <c r="J10624" s="10">
        <v>0</v>
      </c>
      <c r="K10624" t="b">
        <v>1</v>
      </c>
    </row>
    <row r="10625" spans="1:11">
      <c r="A10625" s="12">
        <v>42968</v>
      </c>
      <c r="B10625">
        <v>2017</v>
      </c>
      <c r="C10625">
        <v>8</v>
      </c>
      <c r="D10625" s="11">
        <v>42948</v>
      </c>
      <c r="E10625" t="s">
        <v>2180</v>
      </c>
      <c r="F10625">
        <v>1</v>
      </c>
      <c r="G10625" t="s">
        <v>61</v>
      </c>
      <c r="H10625" t="s">
        <v>47</v>
      </c>
      <c r="I10625" t="s">
        <v>2195</v>
      </c>
      <c r="J10625" s="10">
        <v>0</v>
      </c>
      <c r="K10625" t="b">
        <v>1</v>
      </c>
    </row>
    <row r="10626" spans="1:11">
      <c r="A10626" s="12">
        <v>42969</v>
      </c>
      <c r="B10626">
        <v>2017</v>
      </c>
      <c r="C10626">
        <v>8</v>
      </c>
      <c r="D10626" s="11">
        <v>42948</v>
      </c>
      <c r="E10626" t="s">
        <v>2180</v>
      </c>
      <c r="F10626">
        <v>2</v>
      </c>
      <c r="G10626" t="s">
        <v>63</v>
      </c>
      <c r="H10626" t="s">
        <v>40</v>
      </c>
      <c r="I10626" t="s">
        <v>2188</v>
      </c>
      <c r="J10626" s="10">
        <v>6</v>
      </c>
      <c r="K10626" t="b">
        <v>1</v>
      </c>
    </row>
    <row r="10627" spans="1:11">
      <c r="A10627" s="12">
        <v>42969</v>
      </c>
      <c r="B10627">
        <v>2017</v>
      </c>
      <c r="C10627">
        <v>8</v>
      </c>
      <c r="D10627" s="11">
        <v>42948</v>
      </c>
      <c r="E10627" t="s">
        <v>2180</v>
      </c>
      <c r="F10627">
        <v>2</v>
      </c>
      <c r="G10627" t="s">
        <v>63</v>
      </c>
      <c r="H10627" t="s">
        <v>41</v>
      </c>
      <c r="I10627" t="s">
        <v>2189</v>
      </c>
      <c r="J10627" s="10">
        <v>1.34</v>
      </c>
      <c r="K10627" t="b">
        <v>1</v>
      </c>
    </row>
    <row r="10628" spans="1:11">
      <c r="A10628" s="12">
        <v>42969</v>
      </c>
      <c r="B10628">
        <v>2017</v>
      </c>
      <c r="C10628">
        <v>8</v>
      </c>
      <c r="D10628" s="11">
        <v>42948</v>
      </c>
      <c r="E10628" t="s">
        <v>2180</v>
      </c>
      <c r="F10628">
        <v>2</v>
      </c>
      <c r="G10628" t="s">
        <v>63</v>
      </c>
      <c r="H10628" t="s">
        <v>42</v>
      </c>
      <c r="I10628" t="s">
        <v>2190</v>
      </c>
      <c r="J10628" s="10">
        <v>3.15</v>
      </c>
      <c r="K10628" t="b">
        <v>1</v>
      </c>
    </row>
    <row r="10629" spans="1:11">
      <c r="A10629" s="12">
        <v>42969</v>
      </c>
      <c r="B10629">
        <v>2017</v>
      </c>
      <c r="C10629">
        <v>8</v>
      </c>
      <c r="D10629" s="11">
        <v>42948</v>
      </c>
      <c r="E10629" t="s">
        <v>2180</v>
      </c>
      <c r="F10629">
        <v>2</v>
      </c>
      <c r="G10629" t="s">
        <v>63</v>
      </c>
      <c r="H10629" t="s">
        <v>43</v>
      </c>
      <c r="I10629" t="s">
        <v>2191</v>
      </c>
      <c r="J10629" s="10">
        <v>22.2</v>
      </c>
      <c r="K10629" t="b">
        <v>1</v>
      </c>
    </row>
    <row r="10630" spans="1:11">
      <c r="A10630" s="12">
        <v>42969</v>
      </c>
      <c r="B10630">
        <v>2017</v>
      </c>
      <c r="C10630">
        <v>8</v>
      </c>
      <c r="D10630" s="11">
        <v>42948</v>
      </c>
      <c r="E10630" t="s">
        <v>2180</v>
      </c>
      <c r="F10630">
        <v>2</v>
      </c>
      <c r="G10630" t="s">
        <v>63</v>
      </c>
      <c r="H10630" t="s">
        <v>44</v>
      </c>
      <c r="I10630" t="s">
        <v>2192</v>
      </c>
      <c r="J10630" s="10">
        <v>3</v>
      </c>
      <c r="K10630" t="b">
        <v>1</v>
      </c>
    </row>
    <row r="10631" spans="1:11">
      <c r="A10631" s="12">
        <v>42969</v>
      </c>
      <c r="B10631">
        <v>2017</v>
      </c>
      <c r="C10631">
        <v>8</v>
      </c>
      <c r="D10631" s="11">
        <v>42948</v>
      </c>
      <c r="E10631" t="s">
        <v>2180</v>
      </c>
      <c r="F10631">
        <v>2</v>
      </c>
      <c r="G10631" t="s">
        <v>63</v>
      </c>
      <c r="H10631" t="s">
        <v>45</v>
      </c>
      <c r="I10631" t="s">
        <v>2193</v>
      </c>
      <c r="J10631" s="10">
        <v>0</v>
      </c>
      <c r="K10631" t="b">
        <v>1</v>
      </c>
    </row>
    <row r="10632" spans="1:11">
      <c r="A10632" s="12">
        <v>42969</v>
      </c>
      <c r="B10632">
        <v>2017</v>
      </c>
      <c r="C10632">
        <v>8</v>
      </c>
      <c r="D10632" s="11">
        <v>42948</v>
      </c>
      <c r="E10632" t="s">
        <v>2180</v>
      </c>
      <c r="F10632">
        <v>2</v>
      </c>
      <c r="G10632" t="s">
        <v>63</v>
      </c>
      <c r="H10632" t="s">
        <v>46</v>
      </c>
      <c r="I10632" t="s">
        <v>2194</v>
      </c>
      <c r="J10632" s="10">
        <v>0</v>
      </c>
      <c r="K10632" t="b">
        <v>1</v>
      </c>
    </row>
    <row r="10633" spans="1:11">
      <c r="A10633" s="12">
        <v>42969</v>
      </c>
      <c r="B10633">
        <v>2017</v>
      </c>
      <c r="C10633">
        <v>8</v>
      </c>
      <c r="D10633" s="11">
        <v>42948</v>
      </c>
      <c r="E10633" t="s">
        <v>2180</v>
      </c>
      <c r="F10633">
        <v>2</v>
      </c>
      <c r="G10633" t="s">
        <v>63</v>
      </c>
      <c r="H10633" t="s">
        <v>47</v>
      </c>
      <c r="I10633" t="s">
        <v>2195</v>
      </c>
      <c r="J10633" s="10">
        <v>2</v>
      </c>
      <c r="K10633" t="b">
        <v>1</v>
      </c>
    </row>
    <row r="10634" spans="1:11">
      <c r="A10634" s="12">
        <v>42970</v>
      </c>
      <c r="B10634">
        <v>2017</v>
      </c>
      <c r="C10634">
        <v>8</v>
      </c>
      <c r="D10634" s="11">
        <v>42948</v>
      </c>
      <c r="E10634" t="s">
        <v>2180</v>
      </c>
      <c r="F10634">
        <v>3</v>
      </c>
      <c r="G10634" t="s">
        <v>65</v>
      </c>
      <c r="H10634" t="s">
        <v>40</v>
      </c>
      <c r="I10634" t="s">
        <v>2188</v>
      </c>
      <c r="J10634" s="10">
        <v>3.33</v>
      </c>
      <c r="K10634" t="b">
        <v>1</v>
      </c>
    </row>
    <row r="10635" spans="1:11">
      <c r="A10635" s="12">
        <v>42970</v>
      </c>
      <c r="B10635">
        <v>2017</v>
      </c>
      <c r="C10635">
        <v>8</v>
      </c>
      <c r="D10635" s="11">
        <v>42948</v>
      </c>
      <c r="E10635" t="s">
        <v>2180</v>
      </c>
      <c r="F10635">
        <v>3</v>
      </c>
      <c r="G10635" t="s">
        <v>65</v>
      </c>
      <c r="H10635" t="s">
        <v>41</v>
      </c>
      <c r="I10635" t="s">
        <v>2189</v>
      </c>
      <c r="J10635" s="10">
        <v>2.33</v>
      </c>
      <c r="K10635" t="b">
        <v>1</v>
      </c>
    </row>
    <row r="10636" spans="1:11">
      <c r="A10636" s="12">
        <v>42970</v>
      </c>
      <c r="B10636">
        <v>2017</v>
      </c>
      <c r="C10636">
        <v>8</v>
      </c>
      <c r="D10636" s="11">
        <v>42948</v>
      </c>
      <c r="E10636" t="s">
        <v>2180</v>
      </c>
      <c r="F10636">
        <v>3</v>
      </c>
      <c r="G10636" t="s">
        <v>65</v>
      </c>
      <c r="H10636" t="s">
        <v>42</v>
      </c>
      <c r="I10636" t="s">
        <v>2190</v>
      </c>
      <c r="J10636" s="10">
        <v>2</v>
      </c>
      <c r="K10636" t="b">
        <v>1</v>
      </c>
    </row>
    <row r="10637" spans="1:11">
      <c r="A10637" s="12">
        <v>42970</v>
      </c>
      <c r="B10637">
        <v>2017</v>
      </c>
      <c r="C10637">
        <v>8</v>
      </c>
      <c r="D10637" s="11">
        <v>42948</v>
      </c>
      <c r="E10637" t="s">
        <v>2180</v>
      </c>
      <c r="F10637">
        <v>3</v>
      </c>
      <c r="G10637" t="s">
        <v>65</v>
      </c>
      <c r="H10637" t="s">
        <v>43</v>
      </c>
      <c r="I10637" t="s">
        <v>2191</v>
      </c>
      <c r="J10637" s="10">
        <v>42</v>
      </c>
      <c r="K10637" t="b">
        <v>1</v>
      </c>
    </row>
    <row r="10638" spans="1:11">
      <c r="A10638" s="12">
        <v>42970</v>
      </c>
      <c r="B10638">
        <v>2017</v>
      </c>
      <c r="C10638">
        <v>8</v>
      </c>
      <c r="D10638" s="11">
        <v>42948</v>
      </c>
      <c r="E10638" t="s">
        <v>2180</v>
      </c>
      <c r="F10638">
        <v>3</v>
      </c>
      <c r="G10638" t="s">
        <v>65</v>
      </c>
      <c r="H10638" t="s">
        <v>44</v>
      </c>
      <c r="I10638" t="s">
        <v>2192</v>
      </c>
      <c r="J10638" s="10">
        <v>8</v>
      </c>
      <c r="K10638" t="b">
        <v>1</v>
      </c>
    </row>
    <row r="10639" spans="1:11">
      <c r="A10639" s="12">
        <v>42970</v>
      </c>
      <c r="B10639">
        <v>2017</v>
      </c>
      <c r="C10639">
        <v>8</v>
      </c>
      <c r="D10639" s="11">
        <v>42948</v>
      </c>
      <c r="E10639" t="s">
        <v>2180</v>
      </c>
      <c r="F10639">
        <v>3</v>
      </c>
      <c r="G10639" t="s">
        <v>65</v>
      </c>
      <c r="H10639" t="s">
        <v>45</v>
      </c>
      <c r="I10639" t="s">
        <v>2193</v>
      </c>
      <c r="J10639" s="10">
        <v>0</v>
      </c>
      <c r="K10639" t="b">
        <v>1</v>
      </c>
    </row>
    <row r="10640" spans="1:11">
      <c r="A10640" s="12">
        <v>42970</v>
      </c>
      <c r="B10640">
        <v>2017</v>
      </c>
      <c r="C10640">
        <v>8</v>
      </c>
      <c r="D10640" s="11">
        <v>42948</v>
      </c>
      <c r="E10640" t="s">
        <v>2180</v>
      </c>
      <c r="F10640">
        <v>3</v>
      </c>
      <c r="G10640" t="s">
        <v>65</v>
      </c>
      <c r="H10640" t="s">
        <v>46</v>
      </c>
      <c r="I10640" t="s">
        <v>2194</v>
      </c>
      <c r="J10640" s="10">
        <v>9</v>
      </c>
      <c r="K10640" t="b">
        <v>1</v>
      </c>
    </row>
    <row r="10641" spans="1:11">
      <c r="A10641" s="12">
        <v>42970</v>
      </c>
      <c r="B10641">
        <v>2017</v>
      </c>
      <c r="C10641">
        <v>8</v>
      </c>
      <c r="D10641" s="11">
        <v>42948</v>
      </c>
      <c r="E10641" t="s">
        <v>2180</v>
      </c>
      <c r="F10641">
        <v>3</v>
      </c>
      <c r="G10641" t="s">
        <v>65</v>
      </c>
      <c r="H10641" t="s">
        <v>47</v>
      </c>
      <c r="I10641" t="s">
        <v>2195</v>
      </c>
      <c r="J10641" s="10">
        <v>3</v>
      </c>
      <c r="K10641" t="b">
        <v>1</v>
      </c>
    </row>
    <row r="10642" spans="1:11">
      <c r="A10642" s="12">
        <v>42971</v>
      </c>
      <c r="B10642">
        <v>2017</v>
      </c>
      <c r="C10642">
        <v>8</v>
      </c>
      <c r="D10642" s="11">
        <v>42948</v>
      </c>
      <c r="E10642" t="s">
        <v>2180</v>
      </c>
      <c r="F10642">
        <v>4</v>
      </c>
      <c r="G10642" t="s">
        <v>53</v>
      </c>
      <c r="H10642" t="s">
        <v>40</v>
      </c>
      <c r="I10642" t="s">
        <v>2188</v>
      </c>
      <c r="J10642" s="10">
        <v>8</v>
      </c>
      <c r="K10642" t="b">
        <v>1</v>
      </c>
    </row>
    <row r="10643" spans="1:11">
      <c r="A10643" s="12">
        <v>42971</v>
      </c>
      <c r="B10643">
        <v>2017</v>
      </c>
      <c r="C10643">
        <v>8</v>
      </c>
      <c r="D10643" s="11">
        <v>42948</v>
      </c>
      <c r="E10643" t="s">
        <v>2180</v>
      </c>
      <c r="F10643">
        <v>4</v>
      </c>
      <c r="G10643" t="s">
        <v>53</v>
      </c>
      <c r="H10643" t="s">
        <v>41</v>
      </c>
      <c r="I10643" t="s">
        <v>2189</v>
      </c>
      <c r="J10643" s="10">
        <v>9.053000000000001</v>
      </c>
      <c r="K10643" t="b">
        <v>1</v>
      </c>
    </row>
    <row r="10644" spans="1:11">
      <c r="A10644" s="12">
        <v>42971</v>
      </c>
      <c r="B10644">
        <v>2017</v>
      </c>
      <c r="C10644">
        <v>8</v>
      </c>
      <c r="D10644" s="11">
        <v>42948</v>
      </c>
      <c r="E10644" t="s">
        <v>2180</v>
      </c>
      <c r="F10644">
        <v>4</v>
      </c>
      <c r="G10644" t="s">
        <v>53</v>
      </c>
      <c r="H10644" t="s">
        <v>42</v>
      </c>
      <c r="I10644" t="s">
        <v>2190</v>
      </c>
      <c r="J10644" s="10">
        <v>2</v>
      </c>
      <c r="K10644" t="b">
        <v>1</v>
      </c>
    </row>
    <row r="10645" spans="1:11">
      <c r="A10645" s="12">
        <v>42971</v>
      </c>
      <c r="B10645">
        <v>2017</v>
      </c>
      <c r="C10645">
        <v>8</v>
      </c>
      <c r="D10645" s="11">
        <v>42948</v>
      </c>
      <c r="E10645" t="s">
        <v>2180</v>
      </c>
      <c r="F10645">
        <v>4</v>
      </c>
      <c r="G10645" t="s">
        <v>53</v>
      </c>
      <c r="H10645" t="s">
        <v>43</v>
      </c>
      <c r="I10645" t="s">
        <v>2191</v>
      </c>
      <c r="J10645" s="10">
        <v>27</v>
      </c>
      <c r="K10645" t="b">
        <v>1</v>
      </c>
    </row>
    <row r="10646" spans="1:11">
      <c r="A10646" s="12">
        <v>42971</v>
      </c>
      <c r="B10646">
        <v>2017</v>
      </c>
      <c r="C10646">
        <v>8</v>
      </c>
      <c r="D10646" s="11">
        <v>42948</v>
      </c>
      <c r="E10646" t="s">
        <v>2180</v>
      </c>
      <c r="F10646">
        <v>4</v>
      </c>
      <c r="G10646" t="s">
        <v>53</v>
      </c>
      <c r="H10646" t="s">
        <v>44</v>
      </c>
      <c r="I10646" t="s">
        <v>2192</v>
      </c>
      <c r="J10646" s="10">
        <v>13</v>
      </c>
      <c r="K10646" t="b">
        <v>1</v>
      </c>
    </row>
    <row r="10647" spans="1:11">
      <c r="A10647" s="12">
        <v>42971</v>
      </c>
      <c r="B10647">
        <v>2017</v>
      </c>
      <c r="C10647">
        <v>8</v>
      </c>
      <c r="D10647" s="11">
        <v>42948</v>
      </c>
      <c r="E10647" t="s">
        <v>2180</v>
      </c>
      <c r="F10647">
        <v>4</v>
      </c>
      <c r="G10647" t="s">
        <v>53</v>
      </c>
      <c r="H10647" t="s">
        <v>45</v>
      </c>
      <c r="I10647" t="s">
        <v>2193</v>
      </c>
      <c r="J10647" s="10">
        <v>0</v>
      </c>
      <c r="K10647" t="b">
        <v>1</v>
      </c>
    </row>
    <row r="10648" spans="1:11">
      <c r="A10648" s="12">
        <v>42971</v>
      </c>
      <c r="B10648">
        <v>2017</v>
      </c>
      <c r="C10648">
        <v>8</v>
      </c>
      <c r="D10648" s="11">
        <v>42948</v>
      </c>
      <c r="E10648" t="s">
        <v>2180</v>
      </c>
      <c r="F10648">
        <v>4</v>
      </c>
      <c r="G10648" t="s">
        <v>53</v>
      </c>
      <c r="H10648" t="s">
        <v>46</v>
      </c>
      <c r="I10648" t="s">
        <v>2194</v>
      </c>
      <c r="J10648" s="10">
        <v>1</v>
      </c>
      <c r="K10648" t="b">
        <v>1</v>
      </c>
    </row>
    <row r="10649" spans="1:11">
      <c r="A10649" s="12">
        <v>42971</v>
      </c>
      <c r="B10649">
        <v>2017</v>
      </c>
      <c r="C10649">
        <v>8</v>
      </c>
      <c r="D10649" s="11">
        <v>42948</v>
      </c>
      <c r="E10649" t="s">
        <v>2180</v>
      </c>
      <c r="F10649">
        <v>4</v>
      </c>
      <c r="G10649" t="s">
        <v>53</v>
      </c>
      <c r="H10649" t="s">
        <v>47</v>
      </c>
      <c r="I10649" t="s">
        <v>2195</v>
      </c>
      <c r="J10649" s="10">
        <v>3</v>
      </c>
      <c r="K10649" t="b">
        <v>1</v>
      </c>
    </row>
    <row r="10650" spans="1:11">
      <c r="A10650" s="12">
        <v>42972</v>
      </c>
      <c r="B10650">
        <v>2017</v>
      </c>
      <c r="C10650">
        <v>8</v>
      </c>
      <c r="D10650" s="11">
        <v>42948</v>
      </c>
      <c r="E10650" t="s">
        <v>2180</v>
      </c>
      <c r="F10650">
        <v>5</v>
      </c>
      <c r="G10650" t="s">
        <v>55</v>
      </c>
      <c r="H10650" t="s">
        <v>40</v>
      </c>
      <c r="I10650" t="s">
        <v>2188</v>
      </c>
      <c r="J10650" s="10">
        <v>6</v>
      </c>
      <c r="K10650" t="b">
        <v>1</v>
      </c>
    </row>
    <row r="10651" spans="1:11">
      <c r="A10651" s="12">
        <v>42972</v>
      </c>
      <c r="B10651">
        <v>2017</v>
      </c>
      <c r="C10651">
        <v>8</v>
      </c>
      <c r="D10651" s="11">
        <v>42948</v>
      </c>
      <c r="E10651" t="s">
        <v>2180</v>
      </c>
      <c r="F10651">
        <v>5</v>
      </c>
      <c r="G10651" t="s">
        <v>55</v>
      </c>
      <c r="H10651" t="s">
        <v>41</v>
      </c>
      <c r="I10651" t="s">
        <v>2189</v>
      </c>
      <c r="J10651" s="10">
        <v>3.01</v>
      </c>
      <c r="K10651" t="b">
        <v>1</v>
      </c>
    </row>
    <row r="10652" spans="1:11">
      <c r="A10652" s="12">
        <v>42972</v>
      </c>
      <c r="B10652">
        <v>2017</v>
      </c>
      <c r="C10652">
        <v>8</v>
      </c>
      <c r="D10652" s="11">
        <v>42948</v>
      </c>
      <c r="E10652" t="s">
        <v>2180</v>
      </c>
      <c r="F10652">
        <v>5</v>
      </c>
      <c r="G10652" t="s">
        <v>55</v>
      </c>
      <c r="H10652" t="s">
        <v>42</v>
      </c>
      <c r="I10652" t="s">
        <v>2190</v>
      </c>
      <c r="J10652" s="10">
        <v>1</v>
      </c>
      <c r="K10652" t="b">
        <v>1</v>
      </c>
    </row>
    <row r="10653" spans="1:11">
      <c r="A10653" s="12">
        <v>42972</v>
      </c>
      <c r="B10653">
        <v>2017</v>
      </c>
      <c r="C10653">
        <v>8</v>
      </c>
      <c r="D10653" s="11">
        <v>42948</v>
      </c>
      <c r="E10653" t="s">
        <v>2180</v>
      </c>
      <c r="F10653">
        <v>5</v>
      </c>
      <c r="G10653" t="s">
        <v>55</v>
      </c>
      <c r="H10653" t="s">
        <v>43</v>
      </c>
      <c r="I10653" t="s">
        <v>2191</v>
      </c>
      <c r="J10653" s="10">
        <v>20.25</v>
      </c>
      <c r="K10653" t="b">
        <v>1</v>
      </c>
    </row>
    <row r="10654" spans="1:11">
      <c r="A10654" s="12">
        <v>42972</v>
      </c>
      <c r="B10654">
        <v>2017</v>
      </c>
      <c r="C10654">
        <v>8</v>
      </c>
      <c r="D10654" s="11">
        <v>42948</v>
      </c>
      <c r="E10654" t="s">
        <v>2180</v>
      </c>
      <c r="F10654">
        <v>5</v>
      </c>
      <c r="G10654" t="s">
        <v>55</v>
      </c>
      <c r="H10654" t="s">
        <v>44</v>
      </c>
      <c r="I10654" t="s">
        <v>2192</v>
      </c>
      <c r="J10654" s="10">
        <v>17</v>
      </c>
      <c r="K10654" t="b">
        <v>1</v>
      </c>
    </row>
    <row r="10655" spans="1:11">
      <c r="A10655" s="12">
        <v>42972</v>
      </c>
      <c r="B10655">
        <v>2017</v>
      </c>
      <c r="C10655">
        <v>8</v>
      </c>
      <c r="D10655" s="11">
        <v>42948</v>
      </c>
      <c r="E10655" t="s">
        <v>2180</v>
      </c>
      <c r="F10655">
        <v>5</v>
      </c>
      <c r="G10655" t="s">
        <v>55</v>
      </c>
      <c r="H10655" t="s">
        <v>45</v>
      </c>
      <c r="I10655" t="s">
        <v>2193</v>
      </c>
      <c r="J10655" s="10">
        <v>0</v>
      </c>
      <c r="K10655" t="b">
        <v>1</v>
      </c>
    </row>
    <row r="10656" spans="1:11">
      <c r="A10656" s="12">
        <v>42972</v>
      </c>
      <c r="B10656">
        <v>2017</v>
      </c>
      <c r="C10656">
        <v>8</v>
      </c>
      <c r="D10656" s="11">
        <v>42948</v>
      </c>
      <c r="E10656" t="s">
        <v>2180</v>
      </c>
      <c r="F10656">
        <v>5</v>
      </c>
      <c r="G10656" t="s">
        <v>55</v>
      </c>
      <c r="H10656" t="s">
        <v>46</v>
      </c>
      <c r="I10656" t="s">
        <v>2194</v>
      </c>
      <c r="J10656" s="10">
        <v>0</v>
      </c>
      <c r="K10656" t="b">
        <v>1</v>
      </c>
    </row>
    <row r="10657" spans="1:11">
      <c r="A10657" s="12">
        <v>42972</v>
      </c>
      <c r="B10657">
        <v>2017</v>
      </c>
      <c r="C10657">
        <v>8</v>
      </c>
      <c r="D10657" s="11">
        <v>42948</v>
      </c>
      <c r="E10657" t="s">
        <v>2180</v>
      </c>
      <c r="F10657">
        <v>5</v>
      </c>
      <c r="G10657" t="s">
        <v>55</v>
      </c>
      <c r="H10657" t="s">
        <v>47</v>
      </c>
      <c r="I10657" t="s">
        <v>2195</v>
      </c>
      <c r="J10657" s="10">
        <v>1</v>
      </c>
      <c r="K10657" t="b">
        <v>1</v>
      </c>
    </row>
    <row r="10658" spans="1:11">
      <c r="A10658" s="12">
        <v>42973</v>
      </c>
      <c r="B10658">
        <v>2017</v>
      </c>
      <c r="C10658">
        <v>8</v>
      </c>
      <c r="D10658" s="11">
        <v>42948</v>
      </c>
      <c r="E10658" t="s">
        <v>2180</v>
      </c>
      <c r="F10658">
        <v>6</v>
      </c>
      <c r="G10658" t="s">
        <v>57</v>
      </c>
      <c r="H10658" t="s">
        <v>40</v>
      </c>
      <c r="I10658" t="s">
        <v>2188</v>
      </c>
      <c r="J10658" s="10">
        <v>4.99</v>
      </c>
      <c r="K10658" t="b">
        <v>1</v>
      </c>
    </row>
    <row r="10659" spans="1:11">
      <c r="A10659" s="12">
        <v>42973</v>
      </c>
      <c r="B10659">
        <v>2017</v>
      </c>
      <c r="C10659">
        <v>8</v>
      </c>
      <c r="D10659" s="11">
        <v>42948</v>
      </c>
      <c r="E10659" t="s">
        <v>2180</v>
      </c>
      <c r="F10659">
        <v>6</v>
      </c>
      <c r="G10659" t="s">
        <v>57</v>
      </c>
      <c r="H10659" t="s">
        <v>41</v>
      </c>
      <c r="I10659" t="s">
        <v>2189</v>
      </c>
      <c r="J10659" s="10">
        <v>3.516</v>
      </c>
      <c r="K10659" t="b">
        <v>1</v>
      </c>
    </row>
    <row r="10660" spans="1:11">
      <c r="A10660" s="12">
        <v>42973</v>
      </c>
      <c r="B10660">
        <v>2017</v>
      </c>
      <c r="C10660">
        <v>8</v>
      </c>
      <c r="D10660" s="11">
        <v>42948</v>
      </c>
      <c r="E10660" t="s">
        <v>2180</v>
      </c>
      <c r="F10660">
        <v>6</v>
      </c>
      <c r="G10660" t="s">
        <v>57</v>
      </c>
      <c r="H10660" t="s">
        <v>42</v>
      </c>
      <c r="I10660" t="s">
        <v>2190</v>
      </c>
      <c r="J10660" s="10">
        <v>1</v>
      </c>
      <c r="K10660" t="b">
        <v>1</v>
      </c>
    </row>
    <row r="10661" spans="1:11">
      <c r="A10661" s="12">
        <v>42973</v>
      </c>
      <c r="B10661">
        <v>2017</v>
      </c>
      <c r="C10661">
        <v>8</v>
      </c>
      <c r="D10661" s="11">
        <v>42948</v>
      </c>
      <c r="E10661" t="s">
        <v>2180</v>
      </c>
      <c r="F10661">
        <v>6</v>
      </c>
      <c r="G10661" t="s">
        <v>57</v>
      </c>
      <c r="H10661" t="s">
        <v>43</v>
      </c>
      <c r="I10661" t="s">
        <v>2191</v>
      </c>
      <c r="J10661" s="10">
        <v>19</v>
      </c>
      <c r="K10661" t="b">
        <v>1</v>
      </c>
    </row>
    <row r="10662" spans="1:11">
      <c r="A10662" s="12">
        <v>42973</v>
      </c>
      <c r="B10662">
        <v>2017</v>
      </c>
      <c r="C10662">
        <v>8</v>
      </c>
      <c r="D10662" s="11">
        <v>42948</v>
      </c>
      <c r="E10662" t="s">
        <v>2180</v>
      </c>
      <c r="F10662">
        <v>6</v>
      </c>
      <c r="G10662" t="s">
        <v>57</v>
      </c>
      <c r="H10662" t="s">
        <v>44</v>
      </c>
      <c r="I10662" t="s">
        <v>2192</v>
      </c>
      <c r="J10662" s="10">
        <v>10</v>
      </c>
      <c r="K10662" t="b">
        <v>1</v>
      </c>
    </row>
    <row r="10663" spans="1:11">
      <c r="A10663" s="12">
        <v>42973</v>
      </c>
      <c r="B10663">
        <v>2017</v>
      </c>
      <c r="C10663">
        <v>8</v>
      </c>
      <c r="D10663" s="11">
        <v>42948</v>
      </c>
      <c r="E10663" t="s">
        <v>2180</v>
      </c>
      <c r="F10663">
        <v>6</v>
      </c>
      <c r="G10663" t="s">
        <v>57</v>
      </c>
      <c r="H10663" t="s">
        <v>45</v>
      </c>
      <c r="I10663" t="s">
        <v>2193</v>
      </c>
      <c r="J10663" s="10">
        <v>0</v>
      </c>
      <c r="K10663" t="b">
        <v>1</v>
      </c>
    </row>
    <row r="10664" spans="1:11">
      <c r="A10664" s="12">
        <v>42973</v>
      </c>
      <c r="B10664">
        <v>2017</v>
      </c>
      <c r="C10664">
        <v>8</v>
      </c>
      <c r="D10664" s="11">
        <v>42948</v>
      </c>
      <c r="E10664" t="s">
        <v>2180</v>
      </c>
      <c r="F10664">
        <v>6</v>
      </c>
      <c r="G10664" t="s">
        <v>57</v>
      </c>
      <c r="H10664" t="s">
        <v>46</v>
      </c>
      <c r="I10664" t="s">
        <v>2194</v>
      </c>
      <c r="J10664" s="10">
        <v>6</v>
      </c>
      <c r="K10664" t="b">
        <v>1</v>
      </c>
    </row>
    <row r="10665" spans="1:11">
      <c r="A10665" s="12">
        <v>42973</v>
      </c>
      <c r="B10665">
        <v>2017</v>
      </c>
      <c r="C10665">
        <v>8</v>
      </c>
      <c r="D10665" s="11">
        <v>42948</v>
      </c>
      <c r="E10665" t="s">
        <v>2180</v>
      </c>
      <c r="F10665">
        <v>6</v>
      </c>
      <c r="G10665" t="s">
        <v>57</v>
      </c>
      <c r="H10665" t="s">
        <v>47</v>
      </c>
      <c r="I10665" t="s">
        <v>2195</v>
      </c>
      <c r="J10665" s="10">
        <v>2</v>
      </c>
      <c r="K10665" t="b">
        <v>1</v>
      </c>
    </row>
    <row r="10666" spans="1:11">
      <c r="A10666" s="12">
        <v>42974</v>
      </c>
      <c r="B10666">
        <v>2017</v>
      </c>
      <c r="C10666">
        <v>8</v>
      </c>
      <c r="D10666" s="11">
        <v>42948</v>
      </c>
      <c r="E10666" t="s">
        <v>2180</v>
      </c>
      <c r="F10666">
        <v>7</v>
      </c>
      <c r="G10666" t="s">
        <v>59</v>
      </c>
      <c r="H10666" t="s">
        <v>40</v>
      </c>
      <c r="I10666" t="s">
        <v>2188</v>
      </c>
      <c r="J10666" s="10">
        <v>3</v>
      </c>
      <c r="K10666" t="b">
        <v>1</v>
      </c>
    </row>
    <row r="10667" spans="1:11">
      <c r="A10667" s="12">
        <v>42974</v>
      </c>
      <c r="B10667">
        <v>2017</v>
      </c>
      <c r="C10667">
        <v>8</v>
      </c>
      <c r="D10667" s="11">
        <v>42948</v>
      </c>
      <c r="E10667" t="s">
        <v>2180</v>
      </c>
      <c r="F10667">
        <v>7</v>
      </c>
      <c r="G10667" t="s">
        <v>59</v>
      </c>
      <c r="H10667" t="s">
        <v>41</v>
      </c>
      <c r="I10667" t="s">
        <v>2189</v>
      </c>
      <c r="J10667" s="10">
        <v>5.34</v>
      </c>
      <c r="K10667" t="b">
        <v>1</v>
      </c>
    </row>
    <row r="10668" spans="1:11">
      <c r="A10668" s="12">
        <v>42974</v>
      </c>
      <c r="B10668">
        <v>2017</v>
      </c>
      <c r="C10668">
        <v>8</v>
      </c>
      <c r="D10668" s="11">
        <v>42948</v>
      </c>
      <c r="E10668" t="s">
        <v>2180</v>
      </c>
      <c r="F10668">
        <v>7</v>
      </c>
      <c r="G10668" t="s">
        <v>59</v>
      </c>
      <c r="H10668" t="s">
        <v>42</v>
      </c>
      <c r="I10668" t="s">
        <v>2190</v>
      </c>
      <c r="J10668" s="10">
        <v>1</v>
      </c>
      <c r="K10668" t="b">
        <v>1</v>
      </c>
    </row>
    <row r="10669" spans="1:11">
      <c r="A10669" s="12">
        <v>42974</v>
      </c>
      <c r="B10669">
        <v>2017</v>
      </c>
      <c r="C10669">
        <v>8</v>
      </c>
      <c r="D10669" s="11">
        <v>42948</v>
      </c>
      <c r="E10669" t="s">
        <v>2180</v>
      </c>
      <c r="F10669">
        <v>7</v>
      </c>
      <c r="G10669" t="s">
        <v>59</v>
      </c>
      <c r="H10669" t="s">
        <v>43</v>
      </c>
      <c r="I10669" t="s">
        <v>2191</v>
      </c>
      <c r="J10669" s="10">
        <v>21.3</v>
      </c>
      <c r="K10669" t="b">
        <v>1</v>
      </c>
    </row>
    <row r="10670" spans="1:11">
      <c r="A10670" s="12">
        <v>42974</v>
      </c>
      <c r="B10670">
        <v>2017</v>
      </c>
      <c r="C10670">
        <v>8</v>
      </c>
      <c r="D10670" s="11">
        <v>42948</v>
      </c>
      <c r="E10670" t="s">
        <v>2180</v>
      </c>
      <c r="F10670">
        <v>7</v>
      </c>
      <c r="G10670" t="s">
        <v>59</v>
      </c>
      <c r="H10670" t="s">
        <v>44</v>
      </c>
      <c r="I10670" t="s">
        <v>2192</v>
      </c>
      <c r="J10670" s="10">
        <v>5</v>
      </c>
      <c r="K10670" t="b">
        <v>1</v>
      </c>
    </row>
    <row r="10671" spans="1:11">
      <c r="A10671" s="12">
        <v>42974</v>
      </c>
      <c r="B10671">
        <v>2017</v>
      </c>
      <c r="C10671">
        <v>8</v>
      </c>
      <c r="D10671" s="11">
        <v>42948</v>
      </c>
      <c r="E10671" t="s">
        <v>2180</v>
      </c>
      <c r="F10671">
        <v>7</v>
      </c>
      <c r="G10671" t="s">
        <v>59</v>
      </c>
      <c r="H10671" t="s">
        <v>45</v>
      </c>
      <c r="I10671" t="s">
        <v>2193</v>
      </c>
      <c r="J10671" s="10">
        <v>2</v>
      </c>
      <c r="K10671" t="b">
        <v>1</v>
      </c>
    </row>
    <row r="10672" spans="1:11">
      <c r="A10672" s="12">
        <v>42974</v>
      </c>
      <c r="B10672">
        <v>2017</v>
      </c>
      <c r="C10672">
        <v>8</v>
      </c>
      <c r="D10672" s="11">
        <v>42948</v>
      </c>
      <c r="E10672" t="s">
        <v>2180</v>
      </c>
      <c r="F10672">
        <v>7</v>
      </c>
      <c r="G10672" t="s">
        <v>59</v>
      </c>
      <c r="H10672" t="s">
        <v>46</v>
      </c>
      <c r="I10672" t="s">
        <v>2194</v>
      </c>
      <c r="J10672" s="10">
        <v>7</v>
      </c>
      <c r="K10672" t="b">
        <v>1</v>
      </c>
    </row>
    <row r="10673" spans="1:11">
      <c r="A10673" s="12">
        <v>42974</v>
      </c>
      <c r="B10673">
        <v>2017</v>
      </c>
      <c r="C10673">
        <v>8</v>
      </c>
      <c r="D10673" s="11">
        <v>42948</v>
      </c>
      <c r="E10673" t="s">
        <v>2180</v>
      </c>
      <c r="F10673">
        <v>7</v>
      </c>
      <c r="G10673" t="s">
        <v>59</v>
      </c>
      <c r="H10673" t="s">
        <v>47</v>
      </c>
      <c r="I10673" t="s">
        <v>2195</v>
      </c>
      <c r="J10673" s="10">
        <v>1</v>
      </c>
      <c r="K10673" t="b">
        <v>1</v>
      </c>
    </row>
    <row r="10674" spans="1:11">
      <c r="A10674" s="12">
        <v>42975</v>
      </c>
      <c r="B10674">
        <v>2017</v>
      </c>
      <c r="C10674">
        <v>8</v>
      </c>
      <c r="D10674" s="11">
        <v>42948</v>
      </c>
      <c r="E10674" t="s">
        <v>2180</v>
      </c>
      <c r="F10674">
        <v>1</v>
      </c>
      <c r="G10674" t="s">
        <v>61</v>
      </c>
      <c r="H10674" t="s">
        <v>40</v>
      </c>
      <c r="I10674" t="s">
        <v>2188</v>
      </c>
      <c r="J10674" s="10">
        <v>8</v>
      </c>
      <c r="K10674" t="b">
        <v>1</v>
      </c>
    </row>
    <row r="10675" spans="1:11">
      <c r="A10675" s="12">
        <v>42975</v>
      </c>
      <c r="B10675">
        <v>2017</v>
      </c>
      <c r="C10675">
        <v>8</v>
      </c>
      <c r="D10675" s="11">
        <v>42948</v>
      </c>
      <c r="E10675" t="s">
        <v>2180</v>
      </c>
      <c r="F10675">
        <v>1</v>
      </c>
      <c r="G10675" t="s">
        <v>61</v>
      </c>
      <c r="H10675" t="s">
        <v>41</v>
      </c>
      <c r="I10675" t="s">
        <v>2189</v>
      </c>
      <c r="J10675" s="10">
        <v>7</v>
      </c>
      <c r="K10675" t="b">
        <v>1</v>
      </c>
    </row>
    <row r="10676" spans="1:11">
      <c r="A10676" s="12">
        <v>42975</v>
      </c>
      <c r="B10676">
        <v>2017</v>
      </c>
      <c r="C10676">
        <v>8</v>
      </c>
      <c r="D10676" s="11">
        <v>42948</v>
      </c>
      <c r="E10676" t="s">
        <v>2180</v>
      </c>
      <c r="F10676">
        <v>1</v>
      </c>
      <c r="G10676" t="s">
        <v>61</v>
      </c>
      <c r="H10676" t="s">
        <v>42</v>
      </c>
      <c r="I10676" t="s">
        <v>2190</v>
      </c>
      <c r="J10676" s="10">
        <v>5</v>
      </c>
      <c r="K10676" t="b">
        <v>1</v>
      </c>
    </row>
    <row r="10677" spans="1:11">
      <c r="A10677" s="12">
        <v>42975</v>
      </c>
      <c r="B10677">
        <v>2017</v>
      </c>
      <c r="C10677">
        <v>8</v>
      </c>
      <c r="D10677" s="11">
        <v>42948</v>
      </c>
      <c r="E10677" t="s">
        <v>2180</v>
      </c>
      <c r="F10677">
        <v>1</v>
      </c>
      <c r="G10677" t="s">
        <v>61</v>
      </c>
      <c r="H10677" t="s">
        <v>43</v>
      </c>
      <c r="I10677" t="s">
        <v>2191</v>
      </c>
      <c r="J10677" s="10">
        <v>16</v>
      </c>
      <c r="K10677" t="b">
        <v>1</v>
      </c>
    </row>
    <row r="10678" spans="1:11">
      <c r="A10678" s="12">
        <v>42975</v>
      </c>
      <c r="B10678">
        <v>2017</v>
      </c>
      <c r="C10678">
        <v>8</v>
      </c>
      <c r="D10678" s="11">
        <v>42948</v>
      </c>
      <c r="E10678" t="s">
        <v>2180</v>
      </c>
      <c r="F10678">
        <v>1</v>
      </c>
      <c r="G10678" t="s">
        <v>61</v>
      </c>
      <c r="H10678" t="s">
        <v>44</v>
      </c>
      <c r="I10678" t="s">
        <v>2192</v>
      </c>
      <c r="J10678" s="10">
        <v>12</v>
      </c>
      <c r="K10678" t="b">
        <v>1</v>
      </c>
    </row>
    <row r="10679" spans="1:11">
      <c r="A10679" s="12">
        <v>42975</v>
      </c>
      <c r="B10679">
        <v>2017</v>
      </c>
      <c r="C10679">
        <v>8</v>
      </c>
      <c r="D10679" s="11">
        <v>42948</v>
      </c>
      <c r="E10679" t="s">
        <v>2180</v>
      </c>
      <c r="F10679">
        <v>1</v>
      </c>
      <c r="G10679" t="s">
        <v>61</v>
      </c>
      <c r="H10679" t="s">
        <v>45</v>
      </c>
      <c r="I10679" t="s">
        <v>2193</v>
      </c>
      <c r="J10679" s="10">
        <v>0</v>
      </c>
      <c r="K10679" t="b">
        <v>1</v>
      </c>
    </row>
    <row r="10680" spans="1:11">
      <c r="A10680" s="12">
        <v>42975</v>
      </c>
      <c r="B10680">
        <v>2017</v>
      </c>
      <c r="C10680">
        <v>8</v>
      </c>
      <c r="D10680" s="11">
        <v>42948</v>
      </c>
      <c r="E10680" t="s">
        <v>2180</v>
      </c>
      <c r="F10680">
        <v>1</v>
      </c>
      <c r="G10680" t="s">
        <v>61</v>
      </c>
      <c r="H10680" t="s">
        <v>46</v>
      </c>
      <c r="I10680" t="s">
        <v>2194</v>
      </c>
      <c r="J10680" s="10">
        <v>1</v>
      </c>
      <c r="K10680" t="b">
        <v>1</v>
      </c>
    </row>
    <row r="10681" spans="1:11">
      <c r="A10681" s="12">
        <v>42975</v>
      </c>
      <c r="B10681">
        <v>2017</v>
      </c>
      <c r="C10681">
        <v>8</v>
      </c>
      <c r="D10681" s="11">
        <v>42948</v>
      </c>
      <c r="E10681" t="s">
        <v>2180</v>
      </c>
      <c r="F10681">
        <v>1</v>
      </c>
      <c r="G10681" t="s">
        <v>61</v>
      </c>
      <c r="H10681" t="s">
        <v>47</v>
      </c>
      <c r="I10681" t="s">
        <v>2195</v>
      </c>
      <c r="J10681" s="10">
        <v>3</v>
      </c>
      <c r="K10681" t="b">
        <v>1</v>
      </c>
    </row>
    <row r="10682" spans="1:11">
      <c r="A10682" s="12">
        <v>42976</v>
      </c>
      <c r="B10682">
        <v>2017</v>
      </c>
      <c r="C10682">
        <v>8</v>
      </c>
      <c r="D10682" s="11">
        <v>42948</v>
      </c>
      <c r="E10682" t="s">
        <v>2180</v>
      </c>
      <c r="F10682">
        <v>2</v>
      </c>
      <c r="G10682" t="s">
        <v>63</v>
      </c>
      <c r="H10682" t="s">
        <v>40</v>
      </c>
      <c r="I10682" t="s">
        <v>2188</v>
      </c>
      <c r="J10682" s="10">
        <v>7</v>
      </c>
      <c r="K10682" t="b">
        <v>1</v>
      </c>
    </row>
    <row r="10683" spans="1:11">
      <c r="A10683" s="12">
        <v>42976</v>
      </c>
      <c r="B10683">
        <v>2017</v>
      </c>
      <c r="C10683">
        <v>8</v>
      </c>
      <c r="D10683" s="11">
        <v>42948</v>
      </c>
      <c r="E10683" t="s">
        <v>2180</v>
      </c>
      <c r="F10683">
        <v>2</v>
      </c>
      <c r="G10683" t="s">
        <v>63</v>
      </c>
      <c r="H10683" t="s">
        <v>41</v>
      </c>
      <c r="I10683" t="s">
        <v>2189</v>
      </c>
      <c r="J10683" s="10">
        <v>3.066</v>
      </c>
      <c r="K10683" t="b">
        <v>1</v>
      </c>
    </row>
    <row r="10684" spans="1:11">
      <c r="A10684" s="12">
        <v>42976</v>
      </c>
      <c r="B10684">
        <v>2017</v>
      </c>
      <c r="C10684">
        <v>8</v>
      </c>
      <c r="D10684" s="11">
        <v>42948</v>
      </c>
      <c r="E10684" t="s">
        <v>2180</v>
      </c>
      <c r="F10684">
        <v>2</v>
      </c>
      <c r="G10684" t="s">
        <v>63</v>
      </c>
      <c r="H10684" t="s">
        <v>42</v>
      </c>
      <c r="I10684" t="s">
        <v>2190</v>
      </c>
      <c r="J10684" s="10">
        <v>3.5</v>
      </c>
      <c r="K10684" t="b">
        <v>1</v>
      </c>
    </row>
    <row r="10685" spans="1:11">
      <c r="A10685" s="12">
        <v>42976</v>
      </c>
      <c r="B10685">
        <v>2017</v>
      </c>
      <c r="C10685">
        <v>8</v>
      </c>
      <c r="D10685" s="11">
        <v>42948</v>
      </c>
      <c r="E10685" t="s">
        <v>2180</v>
      </c>
      <c r="F10685">
        <v>2</v>
      </c>
      <c r="G10685" t="s">
        <v>63</v>
      </c>
      <c r="H10685" t="s">
        <v>43</v>
      </c>
      <c r="I10685" t="s">
        <v>2191</v>
      </c>
      <c r="J10685" s="10">
        <v>17</v>
      </c>
      <c r="K10685" t="b">
        <v>1</v>
      </c>
    </row>
    <row r="10686" spans="1:11">
      <c r="A10686" s="12">
        <v>42976</v>
      </c>
      <c r="B10686">
        <v>2017</v>
      </c>
      <c r="C10686">
        <v>8</v>
      </c>
      <c r="D10686" s="11">
        <v>42948</v>
      </c>
      <c r="E10686" t="s">
        <v>2180</v>
      </c>
      <c r="F10686">
        <v>2</v>
      </c>
      <c r="G10686" t="s">
        <v>63</v>
      </c>
      <c r="H10686" t="s">
        <v>44</v>
      </c>
      <c r="I10686" t="s">
        <v>2192</v>
      </c>
      <c r="J10686" s="10">
        <v>5</v>
      </c>
      <c r="K10686" t="b">
        <v>1</v>
      </c>
    </row>
    <row r="10687" spans="1:11">
      <c r="A10687" s="12">
        <v>42976</v>
      </c>
      <c r="B10687">
        <v>2017</v>
      </c>
      <c r="C10687">
        <v>8</v>
      </c>
      <c r="D10687" s="11">
        <v>42948</v>
      </c>
      <c r="E10687" t="s">
        <v>2180</v>
      </c>
      <c r="F10687">
        <v>2</v>
      </c>
      <c r="G10687" t="s">
        <v>63</v>
      </c>
      <c r="H10687" t="s">
        <v>45</v>
      </c>
      <c r="I10687" t="s">
        <v>2193</v>
      </c>
      <c r="J10687" s="10">
        <v>0</v>
      </c>
      <c r="K10687" t="b">
        <v>1</v>
      </c>
    </row>
    <row r="10688" spans="1:11">
      <c r="A10688" s="12">
        <v>42976</v>
      </c>
      <c r="B10688">
        <v>2017</v>
      </c>
      <c r="C10688">
        <v>8</v>
      </c>
      <c r="D10688" s="11">
        <v>42948</v>
      </c>
      <c r="E10688" t="s">
        <v>2180</v>
      </c>
      <c r="F10688">
        <v>2</v>
      </c>
      <c r="G10688" t="s">
        <v>63</v>
      </c>
      <c r="H10688" t="s">
        <v>46</v>
      </c>
      <c r="I10688" t="s">
        <v>2194</v>
      </c>
      <c r="J10688" s="10">
        <v>11</v>
      </c>
      <c r="K10688" t="b">
        <v>1</v>
      </c>
    </row>
    <row r="10689" spans="1:11">
      <c r="A10689" s="12">
        <v>42976</v>
      </c>
      <c r="B10689">
        <v>2017</v>
      </c>
      <c r="C10689">
        <v>8</v>
      </c>
      <c r="D10689" s="11">
        <v>42948</v>
      </c>
      <c r="E10689" t="s">
        <v>2180</v>
      </c>
      <c r="F10689">
        <v>2</v>
      </c>
      <c r="G10689" t="s">
        <v>63</v>
      </c>
      <c r="H10689" t="s">
        <v>47</v>
      </c>
      <c r="I10689" t="s">
        <v>2195</v>
      </c>
      <c r="J10689" s="10">
        <v>2.1</v>
      </c>
      <c r="K10689" t="b">
        <v>1</v>
      </c>
    </row>
    <row r="10690" spans="1:11">
      <c r="A10690" s="12">
        <v>42977</v>
      </c>
      <c r="B10690">
        <v>2017</v>
      </c>
      <c r="C10690">
        <v>8</v>
      </c>
      <c r="D10690" s="11">
        <v>42948</v>
      </c>
      <c r="E10690" t="s">
        <v>2180</v>
      </c>
      <c r="F10690">
        <v>3</v>
      </c>
      <c r="G10690" t="s">
        <v>65</v>
      </c>
      <c r="H10690" t="s">
        <v>40</v>
      </c>
      <c r="I10690" t="s">
        <v>2188</v>
      </c>
      <c r="J10690" s="10">
        <v>7.67</v>
      </c>
      <c r="K10690" t="b">
        <v>1</v>
      </c>
    </row>
    <row r="10691" spans="1:11">
      <c r="A10691" s="12">
        <v>42977</v>
      </c>
      <c r="B10691">
        <v>2017</v>
      </c>
      <c r="C10691">
        <v>8</v>
      </c>
      <c r="D10691" s="11">
        <v>42948</v>
      </c>
      <c r="E10691" t="s">
        <v>2180</v>
      </c>
      <c r="F10691">
        <v>3</v>
      </c>
      <c r="G10691" t="s">
        <v>65</v>
      </c>
      <c r="H10691" t="s">
        <v>41</v>
      </c>
      <c r="I10691" t="s">
        <v>2189</v>
      </c>
      <c r="J10691" s="10">
        <v>3.99</v>
      </c>
      <c r="K10691" t="b">
        <v>1</v>
      </c>
    </row>
    <row r="10692" spans="1:11">
      <c r="A10692" s="12">
        <v>42977</v>
      </c>
      <c r="B10692">
        <v>2017</v>
      </c>
      <c r="C10692">
        <v>8</v>
      </c>
      <c r="D10692" s="11">
        <v>42948</v>
      </c>
      <c r="E10692" t="s">
        <v>2180</v>
      </c>
      <c r="F10692">
        <v>3</v>
      </c>
      <c r="G10692" t="s">
        <v>65</v>
      </c>
      <c r="H10692" t="s">
        <v>42</v>
      </c>
      <c r="I10692" t="s">
        <v>2190</v>
      </c>
      <c r="J10692" s="10">
        <v>3.15</v>
      </c>
      <c r="K10692" t="b">
        <v>1</v>
      </c>
    </row>
    <row r="10693" spans="1:11">
      <c r="A10693" s="12">
        <v>42977</v>
      </c>
      <c r="B10693">
        <v>2017</v>
      </c>
      <c r="C10693">
        <v>8</v>
      </c>
      <c r="D10693" s="11">
        <v>42948</v>
      </c>
      <c r="E10693" t="s">
        <v>2180</v>
      </c>
      <c r="F10693">
        <v>3</v>
      </c>
      <c r="G10693" t="s">
        <v>65</v>
      </c>
      <c r="H10693" t="s">
        <v>43</v>
      </c>
      <c r="I10693" t="s">
        <v>2191</v>
      </c>
      <c r="J10693" s="10">
        <v>17</v>
      </c>
      <c r="K10693" t="b">
        <v>1</v>
      </c>
    </row>
    <row r="10694" spans="1:11">
      <c r="A10694" s="12">
        <v>42977</v>
      </c>
      <c r="B10694">
        <v>2017</v>
      </c>
      <c r="C10694">
        <v>8</v>
      </c>
      <c r="D10694" s="11">
        <v>42948</v>
      </c>
      <c r="E10694" t="s">
        <v>2180</v>
      </c>
      <c r="F10694">
        <v>3</v>
      </c>
      <c r="G10694" t="s">
        <v>65</v>
      </c>
      <c r="H10694" t="s">
        <v>44</v>
      </c>
      <c r="I10694" t="s">
        <v>2192</v>
      </c>
      <c r="J10694" s="10">
        <v>4</v>
      </c>
      <c r="K10694" t="b">
        <v>1</v>
      </c>
    </row>
    <row r="10695" spans="1:11">
      <c r="A10695" s="12">
        <v>42977</v>
      </c>
      <c r="B10695">
        <v>2017</v>
      </c>
      <c r="C10695">
        <v>8</v>
      </c>
      <c r="D10695" s="11">
        <v>42948</v>
      </c>
      <c r="E10695" t="s">
        <v>2180</v>
      </c>
      <c r="F10695">
        <v>3</v>
      </c>
      <c r="G10695" t="s">
        <v>65</v>
      </c>
      <c r="H10695" t="s">
        <v>45</v>
      </c>
      <c r="I10695" t="s">
        <v>2193</v>
      </c>
      <c r="J10695" s="10">
        <v>3</v>
      </c>
      <c r="K10695" t="b">
        <v>1</v>
      </c>
    </row>
    <row r="10696" spans="1:11">
      <c r="A10696" s="12">
        <v>42977</v>
      </c>
      <c r="B10696">
        <v>2017</v>
      </c>
      <c r="C10696">
        <v>8</v>
      </c>
      <c r="D10696" s="11">
        <v>42948</v>
      </c>
      <c r="E10696" t="s">
        <v>2180</v>
      </c>
      <c r="F10696">
        <v>3</v>
      </c>
      <c r="G10696" t="s">
        <v>65</v>
      </c>
      <c r="H10696" t="s">
        <v>46</v>
      </c>
      <c r="I10696" t="s">
        <v>2194</v>
      </c>
      <c r="J10696" s="10">
        <v>0</v>
      </c>
      <c r="K10696" t="b">
        <v>1</v>
      </c>
    </row>
    <row r="10697" spans="1:11">
      <c r="A10697" s="12">
        <v>42977</v>
      </c>
      <c r="B10697">
        <v>2017</v>
      </c>
      <c r="C10697">
        <v>8</v>
      </c>
      <c r="D10697" s="11">
        <v>42948</v>
      </c>
      <c r="E10697" t="s">
        <v>2180</v>
      </c>
      <c r="F10697">
        <v>3</v>
      </c>
      <c r="G10697" t="s">
        <v>65</v>
      </c>
      <c r="H10697" t="s">
        <v>47</v>
      </c>
      <c r="I10697" t="s">
        <v>2195</v>
      </c>
      <c r="J10697" s="10">
        <v>2</v>
      </c>
      <c r="K10697" t="b">
        <v>1</v>
      </c>
    </row>
    <row r="10698" spans="1:11">
      <c r="A10698" s="12">
        <v>42978</v>
      </c>
      <c r="B10698">
        <v>2017</v>
      </c>
      <c r="C10698">
        <v>8</v>
      </c>
      <c r="D10698" s="11">
        <v>42948</v>
      </c>
      <c r="E10698" t="s">
        <v>2180</v>
      </c>
      <c r="F10698">
        <v>4</v>
      </c>
      <c r="G10698" t="s">
        <v>53</v>
      </c>
      <c r="H10698" t="s">
        <v>40</v>
      </c>
      <c r="I10698" t="s">
        <v>2188</v>
      </c>
      <c r="J10698" s="10">
        <v>16.68</v>
      </c>
      <c r="K10698" t="b">
        <v>1</v>
      </c>
    </row>
    <row r="10699" spans="1:11">
      <c r="A10699" s="12">
        <v>42978</v>
      </c>
      <c r="B10699">
        <v>2017</v>
      </c>
      <c r="C10699">
        <v>8</v>
      </c>
      <c r="D10699" s="11">
        <v>42948</v>
      </c>
      <c r="E10699" t="s">
        <v>2180</v>
      </c>
      <c r="F10699">
        <v>4</v>
      </c>
      <c r="G10699" t="s">
        <v>53</v>
      </c>
      <c r="H10699" t="s">
        <v>41</v>
      </c>
      <c r="I10699" t="s">
        <v>2189</v>
      </c>
      <c r="J10699" s="10">
        <v>3.033</v>
      </c>
      <c r="K10699" t="b">
        <v>1</v>
      </c>
    </row>
    <row r="10700" spans="1:11">
      <c r="A10700" s="12">
        <v>42978</v>
      </c>
      <c r="B10700">
        <v>2017</v>
      </c>
      <c r="C10700">
        <v>8</v>
      </c>
      <c r="D10700" s="11">
        <v>42948</v>
      </c>
      <c r="E10700" t="s">
        <v>2180</v>
      </c>
      <c r="F10700">
        <v>4</v>
      </c>
      <c r="G10700" t="s">
        <v>53</v>
      </c>
      <c r="H10700" t="s">
        <v>42</v>
      </c>
      <c r="I10700" t="s">
        <v>2190</v>
      </c>
      <c r="J10700" s="10">
        <v>3.05</v>
      </c>
      <c r="K10700" t="b">
        <v>1</v>
      </c>
    </row>
    <row r="10701" spans="1:11">
      <c r="A10701" s="12">
        <v>42978</v>
      </c>
      <c r="B10701">
        <v>2017</v>
      </c>
      <c r="C10701">
        <v>8</v>
      </c>
      <c r="D10701" s="11">
        <v>42948</v>
      </c>
      <c r="E10701" t="s">
        <v>2180</v>
      </c>
      <c r="F10701">
        <v>4</v>
      </c>
      <c r="G10701" t="s">
        <v>53</v>
      </c>
      <c r="H10701" t="s">
        <v>43</v>
      </c>
      <c r="I10701" t="s">
        <v>2191</v>
      </c>
      <c r="J10701" s="10">
        <v>17</v>
      </c>
      <c r="K10701" t="b">
        <v>1</v>
      </c>
    </row>
    <row r="10702" spans="1:11">
      <c r="A10702" s="12">
        <v>42978</v>
      </c>
      <c r="B10702">
        <v>2017</v>
      </c>
      <c r="C10702">
        <v>8</v>
      </c>
      <c r="D10702" s="11">
        <v>42948</v>
      </c>
      <c r="E10702" t="s">
        <v>2180</v>
      </c>
      <c r="F10702">
        <v>4</v>
      </c>
      <c r="G10702" t="s">
        <v>53</v>
      </c>
      <c r="H10702" t="s">
        <v>44</v>
      </c>
      <c r="I10702" t="s">
        <v>2192</v>
      </c>
      <c r="J10702" s="10">
        <v>4</v>
      </c>
      <c r="K10702" t="b">
        <v>1</v>
      </c>
    </row>
    <row r="10703" spans="1:11">
      <c r="A10703" s="12">
        <v>42978</v>
      </c>
      <c r="B10703">
        <v>2017</v>
      </c>
      <c r="C10703">
        <v>8</v>
      </c>
      <c r="D10703" s="11">
        <v>42948</v>
      </c>
      <c r="E10703" t="s">
        <v>2180</v>
      </c>
      <c r="F10703">
        <v>4</v>
      </c>
      <c r="G10703" t="s">
        <v>53</v>
      </c>
      <c r="H10703" t="s">
        <v>45</v>
      </c>
      <c r="I10703" t="s">
        <v>2193</v>
      </c>
      <c r="J10703" s="10">
        <v>0</v>
      </c>
      <c r="K10703" t="b">
        <v>1</v>
      </c>
    </row>
    <row r="10704" spans="1:11">
      <c r="A10704" s="12">
        <v>42978</v>
      </c>
      <c r="B10704">
        <v>2017</v>
      </c>
      <c r="C10704">
        <v>8</v>
      </c>
      <c r="D10704" s="11">
        <v>42948</v>
      </c>
      <c r="E10704" t="s">
        <v>2180</v>
      </c>
      <c r="F10704">
        <v>4</v>
      </c>
      <c r="G10704" t="s">
        <v>53</v>
      </c>
      <c r="H10704" t="s">
        <v>46</v>
      </c>
      <c r="I10704" t="s">
        <v>2194</v>
      </c>
      <c r="J10704" s="10">
        <v>0</v>
      </c>
      <c r="K10704" t="b">
        <v>1</v>
      </c>
    </row>
    <row r="10705" spans="1:11">
      <c r="A10705" s="12">
        <v>42978</v>
      </c>
      <c r="B10705">
        <v>2017</v>
      </c>
      <c r="C10705">
        <v>8</v>
      </c>
      <c r="D10705" s="11">
        <v>42948</v>
      </c>
      <c r="E10705" t="s">
        <v>2180</v>
      </c>
      <c r="F10705">
        <v>4</v>
      </c>
      <c r="G10705" t="s">
        <v>53</v>
      </c>
      <c r="H10705" t="s">
        <v>47</v>
      </c>
      <c r="I10705" t="s">
        <v>2195</v>
      </c>
      <c r="J10705" s="10">
        <v>1</v>
      </c>
      <c r="K10705" t="b">
        <v>1</v>
      </c>
    </row>
    <row r="10706" spans="1:11">
      <c r="A10706" s="12">
        <v>42979</v>
      </c>
      <c r="B10706">
        <v>2017</v>
      </c>
      <c r="C10706">
        <v>9</v>
      </c>
      <c r="D10706" s="11">
        <v>42979</v>
      </c>
      <c r="E10706" t="s">
        <v>2181</v>
      </c>
      <c r="F10706">
        <v>5</v>
      </c>
      <c r="G10706" t="s">
        <v>55</v>
      </c>
      <c r="H10706" t="s">
        <v>40</v>
      </c>
      <c r="I10706" t="s">
        <v>2188</v>
      </c>
      <c r="J10706" s="10">
        <v>3.34</v>
      </c>
      <c r="K10706" t="b">
        <v>1</v>
      </c>
    </row>
    <row r="10707" spans="1:11">
      <c r="A10707" s="12">
        <v>42979</v>
      </c>
      <c r="B10707">
        <v>2017</v>
      </c>
      <c r="C10707">
        <v>9</v>
      </c>
      <c r="D10707" s="11">
        <v>42979</v>
      </c>
      <c r="E10707" t="s">
        <v>2181</v>
      </c>
      <c r="F10707">
        <v>5</v>
      </c>
      <c r="G10707" t="s">
        <v>55</v>
      </c>
      <c r="H10707" t="s">
        <v>41</v>
      </c>
      <c r="I10707" t="s">
        <v>2189</v>
      </c>
      <c r="J10707" s="10">
        <v>3</v>
      </c>
      <c r="K10707" t="b">
        <v>1</v>
      </c>
    </row>
    <row r="10708" spans="1:11">
      <c r="A10708" s="12">
        <v>42979</v>
      </c>
      <c r="B10708">
        <v>2017</v>
      </c>
      <c r="C10708">
        <v>9</v>
      </c>
      <c r="D10708" s="11">
        <v>42979</v>
      </c>
      <c r="E10708" t="s">
        <v>2181</v>
      </c>
      <c r="F10708">
        <v>5</v>
      </c>
      <c r="G10708" t="s">
        <v>55</v>
      </c>
      <c r="H10708" t="s">
        <v>42</v>
      </c>
      <c r="I10708" t="s">
        <v>2190</v>
      </c>
      <c r="J10708" s="10">
        <v>5</v>
      </c>
      <c r="K10708" t="b">
        <v>1</v>
      </c>
    </row>
    <row r="10709" spans="1:11">
      <c r="A10709" s="12">
        <v>42979</v>
      </c>
      <c r="B10709">
        <v>2017</v>
      </c>
      <c r="C10709">
        <v>9</v>
      </c>
      <c r="D10709" s="11">
        <v>42979</v>
      </c>
      <c r="E10709" t="s">
        <v>2181</v>
      </c>
      <c r="F10709">
        <v>5</v>
      </c>
      <c r="G10709" t="s">
        <v>55</v>
      </c>
      <c r="H10709" t="s">
        <v>43</v>
      </c>
      <c r="I10709" t="s">
        <v>2191</v>
      </c>
      <c r="J10709" s="10">
        <v>20.6</v>
      </c>
      <c r="K10709" t="b">
        <v>1</v>
      </c>
    </row>
    <row r="10710" spans="1:11">
      <c r="A10710" s="12">
        <v>42979</v>
      </c>
      <c r="B10710">
        <v>2017</v>
      </c>
      <c r="C10710">
        <v>9</v>
      </c>
      <c r="D10710" s="11">
        <v>42979</v>
      </c>
      <c r="E10710" t="s">
        <v>2181</v>
      </c>
      <c r="F10710">
        <v>5</v>
      </c>
      <c r="G10710" t="s">
        <v>55</v>
      </c>
      <c r="H10710" t="s">
        <v>44</v>
      </c>
      <c r="I10710" t="s">
        <v>2192</v>
      </c>
      <c r="J10710" s="10">
        <v>8</v>
      </c>
      <c r="K10710" t="b">
        <v>1</v>
      </c>
    </row>
    <row r="10711" spans="1:11">
      <c r="A10711" s="12">
        <v>42979</v>
      </c>
      <c r="B10711">
        <v>2017</v>
      </c>
      <c r="C10711">
        <v>9</v>
      </c>
      <c r="D10711" s="11">
        <v>42979</v>
      </c>
      <c r="E10711" t="s">
        <v>2181</v>
      </c>
      <c r="F10711">
        <v>5</v>
      </c>
      <c r="G10711" t="s">
        <v>55</v>
      </c>
      <c r="H10711" t="s">
        <v>45</v>
      </c>
      <c r="I10711" t="s">
        <v>2193</v>
      </c>
      <c r="J10711" s="10">
        <v>0</v>
      </c>
      <c r="K10711" t="b">
        <v>1</v>
      </c>
    </row>
    <row r="10712" spans="1:11">
      <c r="A10712" s="12">
        <v>42979</v>
      </c>
      <c r="B10712">
        <v>2017</v>
      </c>
      <c r="C10712">
        <v>9</v>
      </c>
      <c r="D10712" s="11">
        <v>42979</v>
      </c>
      <c r="E10712" t="s">
        <v>2181</v>
      </c>
      <c r="F10712">
        <v>5</v>
      </c>
      <c r="G10712" t="s">
        <v>55</v>
      </c>
      <c r="H10712" t="s">
        <v>46</v>
      </c>
      <c r="I10712" t="s">
        <v>2194</v>
      </c>
      <c r="J10712" s="10">
        <v>2</v>
      </c>
      <c r="K10712" t="b">
        <v>1</v>
      </c>
    </row>
    <row r="10713" spans="1:11">
      <c r="A10713" s="12">
        <v>42979</v>
      </c>
      <c r="B10713">
        <v>2017</v>
      </c>
      <c r="C10713">
        <v>9</v>
      </c>
      <c r="D10713" s="11">
        <v>42979</v>
      </c>
      <c r="E10713" t="s">
        <v>2181</v>
      </c>
      <c r="F10713">
        <v>5</v>
      </c>
      <c r="G10713" t="s">
        <v>55</v>
      </c>
      <c r="H10713" t="s">
        <v>47</v>
      </c>
      <c r="I10713" t="s">
        <v>2195</v>
      </c>
      <c r="J10713" s="10">
        <v>0</v>
      </c>
      <c r="K10713" t="b">
        <v>1</v>
      </c>
    </row>
    <row r="10714" spans="1:11">
      <c r="A10714" s="12">
        <v>42980</v>
      </c>
      <c r="B10714">
        <v>2017</v>
      </c>
      <c r="C10714">
        <v>9</v>
      </c>
      <c r="D10714" s="11">
        <v>42979</v>
      </c>
      <c r="E10714" t="s">
        <v>2181</v>
      </c>
      <c r="F10714">
        <v>6</v>
      </c>
      <c r="G10714" t="s">
        <v>57</v>
      </c>
      <c r="H10714" t="s">
        <v>40</v>
      </c>
      <c r="I10714" t="s">
        <v>2188</v>
      </c>
      <c r="J10714" s="10">
        <v>6.34</v>
      </c>
      <c r="K10714" t="b">
        <v>1</v>
      </c>
    </row>
    <row r="10715" spans="1:11">
      <c r="A10715" s="12">
        <v>42980</v>
      </c>
      <c r="B10715">
        <v>2017</v>
      </c>
      <c r="C10715">
        <v>9</v>
      </c>
      <c r="D10715" s="11">
        <v>42979</v>
      </c>
      <c r="E10715" t="s">
        <v>2181</v>
      </c>
      <c r="F10715">
        <v>6</v>
      </c>
      <c r="G10715" t="s">
        <v>57</v>
      </c>
      <c r="H10715" t="s">
        <v>41</v>
      </c>
      <c r="I10715" t="s">
        <v>2189</v>
      </c>
      <c r="J10715" s="10">
        <v>2.13</v>
      </c>
      <c r="K10715" t="b">
        <v>1</v>
      </c>
    </row>
    <row r="10716" spans="1:11">
      <c r="A10716" s="12">
        <v>42980</v>
      </c>
      <c r="B10716">
        <v>2017</v>
      </c>
      <c r="C10716">
        <v>9</v>
      </c>
      <c r="D10716" s="11">
        <v>42979</v>
      </c>
      <c r="E10716" t="s">
        <v>2181</v>
      </c>
      <c r="F10716">
        <v>6</v>
      </c>
      <c r="G10716" t="s">
        <v>57</v>
      </c>
      <c r="H10716" t="s">
        <v>42</v>
      </c>
      <c r="I10716" t="s">
        <v>2190</v>
      </c>
      <c r="J10716" s="10">
        <v>6</v>
      </c>
      <c r="K10716" t="b">
        <v>1</v>
      </c>
    </row>
    <row r="10717" spans="1:11">
      <c r="A10717" s="12">
        <v>42980</v>
      </c>
      <c r="B10717">
        <v>2017</v>
      </c>
      <c r="C10717">
        <v>9</v>
      </c>
      <c r="D10717" s="11">
        <v>42979</v>
      </c>
      <c r="E10717" t="s">
        <v>2181</v>
      </c>
      <c r="F10717">
        <v>6</v>
      </c>
      <c r="G10717" t="s">
        <v>57</v>
      </c>
      <c r="H10717" t="s">
        <v>43</v>
      </c>
      <c r="I10717" t="s">
        <v>2191</v>
      </c>
      <c r="J10717" s="10">
        <v>18.4</v>
      </c>
      <c r="K10717" t="b">
        <v>1</v>
      </c>
    </row>
    <row r="10718" spans="1:11">
      <c r="A10718" s="12">
        <v>42980</v>
      </c>
      <c r="B10718">
        <v>2017</v>
      </c>
      <c r="C10718">
        <v>9</v>
      </c>
      <c r="D10718" s="11">
        <v>42979</v>
      </c>
      <c r="E10718" t="s">
        <v>2181</v>
      </c>
      <c r="F10718">
        <v>6</v>
      </c>
      <c r="G10718" t="s">
        <v>57</v>
      </c>
      <c r="H10718" t="s">
        <v>44</v>
      </c>
      <c r="I10718" t="s">
        <v>2192</v>
      </c>
      <c r="J10718" s="10">
        <v>8</v>
      </c>
      <c r="K10718" t="b">
        <v>1</v>
      </c>
    </row>
    <row r="10719" spans="1:11">
      <c r="A10719" s="12">
        <v>42980</v>
      </c>
      <c r="B10719">
        <v>2017</v>
      </c>
      <c r="C10719">
        <v>9</v>
      </c>
      <c r="D10719" s="11">
        <v>42979</v>
      </c>
      <c r="E10719" t="s">
        <v>2181</v>
      </c>
      <c r="F10719">
        <v>6</v>
      </c>
      <c r="G10719" t="s">
        <v>57</v>
      </c>
      <c r="H10719" t="s">
        <v>45</v>
      </c>
      <c r="I10719" t="s">
        <v>2193</v>
      </c>
      <c r="J10719" s="10">
        <v>0</v>
      </c>
      <c r="K10719" t="b">
        <v>1</v>
      </c>
    </row>
    <row r="10720" spans="1:11">
      <c r="A10720" s="12">
        <v>42980</v>
      </c>
      <c r="B10720">
        <v>2017</v>
      </c>
      <c r="C10720">
        <v>9</v>
      </c>
      <c r="D10720" s="11">
        <v>42979</v>
      </c>
      <c r="E10720" t="s">
        <v>2181</v>
      </c>
      <c r="F10720">
        <v>6</v>
      </c>
      <c r="G10720" t="s">
        <v>57</v>
      </c>
      <c r="H10720" t="s">
        <v>46</v>
      </c>
      <c r="I10720" t="s">
        <v>2194</v>
      </c>
      <c r="J10720" s="10">
        <v>1</v>
      </c>
      <c r="K10720" t="b">
        <v>1</v>
      </c>
    </row>
    <row r="10721" spans="1:11">
      <c r="A10721" s="12">
        <v>42980</v>
      </c>
      <c r="B10721">
        <v>2017</v>
      </c>
      <c r="C10721">
        <v>9</v>
      </c>
      <c r="D10721" s="11">
        <v>42979</v>
      </c>
      <c r="E10721" t="s">
        <v>2181</v>
      </c>
      <c r="F10721">
        <v>6</v>
      </c>
      <c r="G10721" t="s">
        <v>57</v>
      </c>
      <c r="H10721" t="s">
        <v>47</v>
      </c>
      <c r="I10721" t="s">
        <v>2195</v>
      </c>
      <c r="J10721" s="10">
        <v>3</v>
      </c>
      <c r="K10721" t="b">
        <v>1</v>
      </c>
    </row>
    <row r="10722" spans="1:11">
      <c r="A10722" s="12">
        <v>42981</v>
      </c>
      <c r="B10722">
        <v>2017</v>
      </c>
      <c r="C10722">
        <v>9</v>
      </c>
      <c r="D10722" s="11">
        <v>42979</v>
      </c>
      <c r="E10722" t="s">
        <v>2181</v>
      </c>
      <c r="F10722">
        <v>7</v>
      </c>
      <c r="G10722" t="s">
        <v>59</v>
      </c>
      <c r="H10722" t="s">
        <v>40</v>
      </c>
      <c r="I10722" t="s">
        <v>2188</v>
      </c>
      <c r="J10722" s="10">
        <v>6.83</v>
      </c>
      <c r="K10722" t="b">
        <v>1</v>
      </c>
    </row>
    <row r="10723" spans="1:11">
      <c r="A10723" s="12">
        <v>42981</v>
      </c>
      <c r="B10723">
        <v>2017</v>
      </c>
      <c r="C10723">
        <v>9</v>
      </c>
      <c r="D10723" s="11">
        <v>42979</v>
      </c>
      <c r="E10723" t="s">
        <v>2181</v>
      </c>
      <c r="F10723">
        <v>7</v>
      </c>
      <c r="G10723" t="s">
        <v>59</v>
      </c>
      <c r="H10723" t="s">
        <v>41</v>
      </c>
      <c r="I10723" t="s">
        <v>2189</v>
      </c>
      <c r="J10723" s="10">
        <v>5.462</v>
      </c>
      <c r="K10723" t="b">
        <v>1</v>
      </c>
    </row>
    <row r="10724" spans="1:11">
      <c r="A10724" s="12">
        <v>42981</v>
      </c>
      <c r="B10724">
        <v>2017</v>
      </c>
      <c r="C10724">
        <v>9</v>
      </c>
      <c r="D10724" s="11">
        <v>42979</v>
      </c>
      <c r="E10724" t="s">
        <v>2181</v>
      </c>
      <c r="F10724">
        <v>7</v>
      </c>
      <c r="G10724" t="s">
        <v>59</v>
      </c>
      <c r="H10724" t="s">
        <v>42</v>
      </c>
      <c r="I10724" t="s">
        <v>2190</v>
      </c>
      <c r="J10724" s="10">
        <v>2</v>
      </c>
      <c r="K10724" t="b">
        <v>1</v>
      </c>
    </row>
    <row r="10725" spans="1:11">
      <c r="A10725" s="12">
        <v>42981</v>
      </c>
      <c r="B10725">
        <v>2017</v>
      </c>
      <c r="C10725">
        <v>9</v>
      </c>
      <c r="D10725" s="11">
        <v>42979</v>
      </c>
      <c r="E10725" t="s">
        <v>2181</v>
      </c>
      <c r="F10725">
        <v>7</v>
      </c>
      <c r="G10725" t="s">
        <v>59</v>
      </c>
      <c r="H10725" t="s">
        <v>43</v>
      </c>
      <c r="I10725" t="s">
        <v>2191</v>
      </c>
      <c r="J10725" s="10">
        <v>18.4</v>
      </c>
      <c r="K10725" t="b">
        <v>1</v>
      </c>
    </row>
    <row r="10726" spans="1:11">
      <c r="A10726" s="12">
        <v>42981</v>
      </c>
      <c r="B10726">
        <v>2017</v>
      </c>
      <c r="C10726">
        <v>9</v>
      </c>
      <c r="D10726" s="11">
        <v>42979</v>
      </c>
      <c r="E10726" t="s">
        <v>2181</v>
      </c>
      <c r="F10726">
        <v>7</v>
      </c>
      <c r="G10726" t="s">
        <v>59</v>
      </c>
      <c r="H10726" t="s">
        <v>44</v>
      </c>
      <c r="I10726" t="s">
        <v>2192</v>
      </c>
      <c r="J10726" s="10">
        <v>7</v>
      </c>
      <c r="K10726" t="b">
        <v>1</v>
      </c>
    </row>
    <row r="10727" spans="1:11">
      <c r="A10727" s="12">
        <v>42981</v>
      </c>
      <c r="B10727">
        <v>2017</v>
      </c>
      <c r="C10727">
        <v>9</v>
      </c>
      <c r="D10727" s="11">
        <v>42979</v>
      </c>
      <c r="E10727" t="s">
        <v>2181</v>
      </c>
      <c r="F10727">
        <v>7</v>
      </c>
      <c r="G10727" t="s">
        <v>59</v>
      </c>
      <c r="H10727" t="s">
        <v>45</v>
      </c>
      <c r="I10727" t="s">
        <v>2193</v>
      </c>
      <c r="J10727" s="10">
        <v>0</v>
      </c>
      <c r="K10727" t="b">
        <v>1</v>
      </c>
    </row>
    <row r="10728" spans="1:11">
      <c r="A10728" s="12">
        <v>42981</v>
      </c>
      <c r="B10728">
        <v>2017</v>
      </c>
      <c r="C10728">
        <v>9</v>
      </c>
      <c r="D10728" s="11">
        <v>42979</v>
      </c>
      <c r="E10728" t="s">
        <v>2181</v>
      </c>
      <c r="F10728">
        <v>7</v>
      </c>
      <c r="G10728" t="s">
        <v>59</v>
      </c>
      <c r="H10728" t="s">
        <v>46</v>
      </c>
      <c r="I10728" t="s">
        <v>2194</v>
      </c>
      <c r="J10728" s="10">
        <v>1</v>
      </c>
      <c r="K10728" t="b">
        <v>1</v>
      </c>
    </row>
    <row r="10729" spans="1:11">
      <c r="A10729" s="12">
        <v>42981</v>
      </c>
      <c r="B10729">
        <v>2017</v>
      </c>
      <c r="C10729">
        <v>9</v>
      </c>
      <c r="D10729" s="11">
        <v>42979</v>
      </c>
      <c r="E10729" t="s">
        <v>2181</v>
      </c>
      <c r="F10729">
        <v>7</v>
      </c>
      <c r="G10729" t="s">
        <v>59</v>
      </c>
      <c r="H10729" t="s">
        <v>47</v>
      </c>
      <c r="I10729" t="s">
        <v>2195</v>
      </c>
      <c r="J10729" s="10">
        <v>3</v>
      </c>
      <c r="K10729" t="b">
        <v>1</v>
      </c>
    </row>
    <row r="10730" spans="1:11">
      <c r="A10730" s="12">
        <v>42982</v>
      </c>
      <c r="B10730">
        <v>2017</v>
      </c>
      <c r="C10730">
        <v>9</v>
      </c>
      <c r="D10730" s="11">
        <v>42979</v>
      </c>
      <c r="E10730" t="s">
        <v>2181</v>
      </c>
      <c r="F10730">
        <v>1</v>
      </c>
      <c r="G10730" t="s">
        <v>61</v>
      </c>
      <c r="H10730" t="s">
        <v>40</v>
      </c>
      <c r="I10730" t="s">
        <v>2188</v>
      </c>
      <c r="J10730" s="10">
        <v>6.5</v>
      </c>
      <c r="K10730" t="b">
        <v>1</v>
      </c>
    </row>
    <row r="10731" spans="1:11">
      <c r="A10731" s="12">
        <v>42982</v>
      </c>
      <c r="B10731">
        <v>2017</v>
      </c>
      <c r="C10731">
        <v>9</v>
      </c>
      <c r="D10731" s="11">
        <v>42979</v>
      </c>
      <c r="E10731" t="s">
        <v>2181</v>
      </c>
      <c r="F10731">
        <v>1</v>
      </c>
      <c r="G10731" t="s">
        <v>61</v>
      </c>
      <c r="H10731" t="s">
        <v>41</v>
      </c>
      <c r="I10731" t="s">
        <v>2189</v>
      </c>
      <c r="J10731" s="10">
        <v>3.33</v>
      </c>
      <c r="K10731" t="b">
        <v>1</v>
      </c>
    </row>
    <row r="10732" spans="1:11">
      <c r="A10732" s="12">
        <v>42982</v>
      </c>
      <c r="B10732">
        <v>2017</v>
      </c>
      <c r="C10732">
        <v>9</v>
      </c>
      <c r="D10732" s="11">
        <v>42979</v>
      </c>
      <c r="E10732" t="s">
        <v>2181</v>
      </c>
      <c r="F10732">
        <v>1</v>
      </c>
      <c r="G10732" t="s">
        <v>61</v>
      </c>
      <c r="H10732" t="s">
        <v>42</v>
      </c>
      <c r="I10732" t="s">
        <v>2190</v>
      </c>
      <c r="J10732" s="10">
        <v>6</v>
      </c>
      <c r="K10732" t="b">
        <v>1</v>
      </c>
    </row>
    <row r="10733" spans="1:11">
      <c r="A10733" s="12">
        <v>42982</v>
      </c>
      <c r="B10733">
        <v>2017</v>
      </c>
      <c r="C10733">
        <v>9</v>
      </c>
      <c r="D10733" s="11">
        <v>42979</v>
      </c>
      <c r="E10733" t="s">
        <v>2181</v>
      </c>
      <c r="F10733">
        <v>1</v>
      </c>
      <c r="G10733" t="s">
        <v>61</v>
      </c>
      <c r="H10733" t="s">
        <v>43</v>
      </c>
      <c r="I10733" t="s">
        <v>2191</v>
      </c>
      <c r="J10733" s="10">
        <v>24</v>
      </c>
      <c r="K10733" t="b">
        <v>1</v>
      </c>
    </row>
    <row r="10734" spans="1:11">
      <c r="A10734" s="12">
        <v>42982</v>
      </c>
      <c r="B10734">
        <v>2017</v>
      </c>
      <c r="C10734">
        <v>9</v>
      </c>
      <c r="D10734" s="11">
        <v>42979</v>
      </c>
      <c r="E10734" t="s">
        <v>2181</v>
      </c>
      <c r="F10734">
        <v>1</v>
      </c>
      <c r="G10734" t="s">
        <v>61</v>
      </c>
      <c r="H10734" t="s">
        <v>44</v>
      </c>
      <c r="I10734" t="s">
        <v>2192</v>
      </c>
      <c r="J10734" s="10">
        <v>7</v>
      </c>
      <c r="K10734" t="b">
        <v>1</v>
      </c>
    </row>
    <row r="10735" spans="1:11">
      <c r="A10735" s="12">
        <v>42982</v>
      </c>
      <c r="B10735">
        <v>2017</v>
      </c>
      <c r="C10735">
        <v>9</v>
      </c>
      <c r="D10735" s="11">
        <v>42979</v>
      </c>
      <c r="E10735" t="s">
        <v>2181</v>
      </c>
      <c r="F10735">
        <v>1</v>
      </c>
      <c r="G10735" t="s">
        <v>61</v>
      </c>
      <c r="H10735" t="s">
        <v>45</v>
      </c>
      <c r="I10735" t="s">
        <v>2193</v>
      </c>
      <c r="J10735" s="10">
        <v>0</v>
      </c>
      <c r="K10735" t="b">
        <v>1</v>
      </c>
    </row>
    <row r="10736" spans="1:11">
      <c r="A10736" s="12">
        <v>42982</v>
      </c>
      <c r="B10736">
        <v>2017</v>
      </c>
      <c r="C10736">
        <v>9</v>
      </c>
      <c r="D10736" s="11">
        <v>42979</v>
      </c>
      <c r="E10736" t="s">
        <v>2181</v>
      </c>
      <c r="F10736">
        <v>1</v>
      </c>
      <c r="G10736" t="s">
        <v>61</v>
      </c>
      <c r="H10736" t="s">
        <v>46</v>
      </c>
      <c r="I10736" t="s">
        <v>2194</v>
      </c>
      <c r="J10736" s="10">
        <v>0</v>
      </c>
      <c r="K10736" t="b">
        <v>1</v>
      </c>
    </row>
    <row r="10737" spans="1:11">
      <c r="A10737" s="12">
        <v>42982</v>
      </c>
      <c r="B10737">
        <v>2017</v>
      </c>
      <c r="C10737">
        <v>9</v>
      </c>
      <c r="D10737" s="11">
        <v>42979</v>
      </c>
      <c r="E10737" t="s">
        <v>2181</v>
      </c>
      <c r="F10737">
        <v>1</v>
      </c>
      <c r="G10737" t="s">
        <v>61</v>
      </c>
      <c r="H10737" t="s">
        <v>47</v>
      </c>
      <c r="I10737" t="s">
        <v>2195</v>
      </c>
      <c r="J10737" s="10">
        <v>3</v>
      </c>
      <c r="K10737" t="b">
        <v>1</v>
      </c>
    </row>
    <row r="10738" spans="1:11">
      <c r="A10738" s="12">
        <v>42983</v>
      </c>
      <c r="B10738">
        <v>2017</v>
      </c>
      <c r="C10738">
        <v>9</v>
      </c>
      <c r="D10738" s="11">
        <v>42979</v>
      </c>
      <c r="E10738" t="s">
        <v>2181</v>
      </c>
      <c r="F10738">
        <v>2</v>
      </c>
      <c r="G10738" t="s">
        <v>63</v>
      </c>
      <c r="H10738" t="s">
        <v>40</v>
      </c>
      <c r="I10738" t="s">
        <v>2188</v>
      </c>
      <c r="J10738" s="10">
        <v>6.17</v>
      </c>
      <c r="K10738" t="b">
        <v>1</v>
      </c>
    </row>
    <row r="10739" spans="1:11">
      <c r="A10739" s="12">
        <v>42983</v>
      </c>
      <c r="B10739">
        <v>2017</v>
      </c>
      <c r="C10739">
        <v>9</v>
      </c>
      <c r="D10739" s="11">
        <v>42979</v>
      </c>
      <c r="E10739" t="s">
        <v>2181</v>
      </c>
      <c r="F10739">
        <v>2</v>
      </c>
      <c r="G10739" t="s">
        <v>63</v>
      </c>
      <c r="H10739" t="s">
        <v>41</v>
      </c>
      <c r="I10739" t="s">
        <v>2189</v>
      </c>
      <c r="J10739" s="10">
        <v>4.02</v>
      </c>
      <c r="K10739" t="b">
        <v>1</v>
      </c>
    </row>
    <row r="10740" spans="1:11">
      <c r="A10740" s="12">
        <v>42983</v>
      </c>
      <c r="B10740">
        <v>2017</v>
      </c>
      <c r="C10740">
        <v>9</v>
      </c>
      <c r="D10740" s="11">
        <v>42979</v>
      </c>
      <c r="E10740" t="s">
        <v>2181</v>
      </c>
      <c r="F10740">
        <v>2</v>
      </c>
      <c r="G10740" t="s">
        <v>63</v>
      </c>
      <c r="H10740" t="s">
        <v>42</v>
      </c>
      <c r="I10740" t="s">
        <v>2190</v>
      </c>
      <c r="J10740" s="10">
        <v>4</v>
      </c>
      <c r="K10740" t="b">
        <v>1</v>
      </c>
    </row>
    <row r="10741" spans="1:11">
      <c r="A10741" s="12">
        <v>42983</v>
      </c>
      <c r="B10741">
        <v>2017</v>
      </c>
      <c r="C10741">
        <v>9</v>
      </c>
      <c r="D10741" s="11">
        <v>42979</v>
      </c>
      <c r="E10741" t="s">
        <v>2181</v>
      </c>
      <c r="F10741">
        <v>2</v>
      </c>
      <c r="G10741" t="s">
        <v>63</v>
      </c>
      <c r="H10741" t="s">
        <v>43</v>
      </c>
      <c r="I10741" t="s">
        <v>2191</v>
      </c>
      <c r="J10741" s="10">
        <v>19.1</v>
      </c>
      <c r="K10741" t="b">
        <v>1</v>
      </c>
    </row>
    <row r="10742" spans="1:11">
      <c r="A10742" s="12">
        <v>42983</v>
      </c>
      <c r="B10742">
        <v>2017</v>
      </c>
      <c r="C10742">
        <v>9</v>
      </c>
      <c r="D10742" s="11">
        <v>42979</v>
      </c>
      <c r="E10742" t="s">
        <v>2181</v>
      </c>
      <c r="F10742">
        <v>2</v>
      </c>
      <c r="G10742" t="s">
        <v>63</v>
      </c>
      <c r="H10742" t="s">
        <v>44</v>
      </c>
      <c r="I10742" t="s">
        <v>2192</v>
      </c>
      <c r="J10742" s="10">
        <v>7</v>
      </c>
      <c r="K10742" t="b">
        <v>1</v>
      </c>
    </row>
    <row r="10743" spans="1:11">
      <c r="A10743" s="12">
        <v>42983</v>
      </c>
      <c r="B10743">
        <v>2017</v>
      </c>
      <c r="C10743">
        <v>9</v>
      </c>
      <c r="D10743" s="11">
        <v>42979</v>
      </c>
      <c r="E10743" t="s">
        <v>2181</v>
      </c>
      <c r="F10743">
        <v>2</v>
      </c>
      <c r="G10743" t="s">
        <v>63</v>
      </c>
      <c r="H10743" t="s">
        <v>45</v>
      </c>
      <c r="I10743" t="s">
        <v>2193</v>
      </c>
      <c r="J10743" s="10">
        <v>1</v>
      </c>
      <c r="K10743" t="b">
        <v>1</v>
      </c>
    </row>
    <row r="10744" spans="1:11">
      <c r="A10744" s="12">
        <v>42983</v>
      </c>
      <c r="B10744">
        <v>2017</v>
      </c>
      <c r="C10744">
        <v>9</v>
      </c>
      <c r="D10744" s="11">
        <v>42979</v>
      </c>
      <c r="E10744" t="s">
        <v>2181</v>
      </c>
      <c r="F10744">
        <v>2</v>
      </c>
      <c r="G10744" t="s">
        <v>63</v>
      </c>
      <c r="H10744" t="s">
        <v>46</v>
      </c>
      <c r="I10744" t="s">
        <v>2194</v>
      </c>
      <c r="J10744" s="10">
        <v>2</v>
      </c>
      <c r="K10744" t="b">
        <v>1</v>
      </c>
    </row>
    <row r="10745" spans="1:11">
      <c r="A10745" s="12">
        <v>42983</v>
      </c>
      <c r="B10745">
        <v>2017</v>
      </c>
      <c r="C10745">
        <v>9</v>
      </c>
      <c r="D10745" s="11">
        <v>42979</v>
      </c>
      <c r="E10745" t="s">
        <v>2181</v>
      </c>
      <c r="F10745">
        <v>2</v>
      </c>
      <c r="G10745" t="s">
        <v>63</v>
      </c>
      <c r="H10745" t="s">
        <v>47</v>
      </c>
      <c r="I10745" t="s">
        <v>2195</v>
      </c>
      <c r="J10745" s="10">
        <v>1.3</v>
      </c>
      <c r="K10745" t="b">
        <v>1</v>
      </c>
    </row>
    <row r="10746" spans="1:11">
      <c r="A10746" s="12">
        <v>42984</v>
      </c>
      <c r="B10746">
        <v>2017</v>
      </c>
      <c r="C10746">
        <v>9</v>
      </c>
      <c r="D10746" s="11">
        <v>42979</v>
      </c>
      <c r="E10746" t="s">
        <v>2181</v>
      </c>
      <c r="F10746">
        <v>3</v>
      </c>
      <c r="G10746" t="s">
        <v>65</v>
      </c>
      <c r="H10746" t="s">
        <v>40</v>
      </c>
      <c r="I10746" t="s">
        <v>2188</v>
      </c>
      <c r="J10746" s="10">
        <v>4.33</v>
      </c>
      <c r="K10746" t="b">
        <v>1</v>
      </c>
    </row>
    <row r="10747" spans="1:11">
      <c r="A10747" s="12">
        <v>42984</v>
      </c>
      <c r="B10747">
        <v>2017</v>
      </c>
      <c r="C10747">
        <v>9</v>
      </c>
      <c r="D10747" s="11">
        <v>42979</v>
      </c>
      <c r="E10747" t="s">
        <v>2181</v>
      </c>
      <c r="F10747">
        <v>3</v>
      </c>
      <c r="G10747" t="s">
        <v>65</v>
      </c>
      <c r="H10747" t="s">
        <v>41</v>
      </c>
      <c r="I10747" t="s">
        <v>2189</v>
      </c>
      <c r="J10747" s="10">
        <v>3</v>
      </c>
      <c r="K10747" t="b">
        <v>1</v>
      </c>
    </row>
    <row r="10748" spans="1:11">
      <c r="A10748" s="12">
        <v>42984</v>
      </c>
      <c r="B10748">
        <v>2017</v>
      </c>
      <c r="C10748">
        <v>9</v>
      </c>
      <c r="D10748" s="11">
        <v>42979</v>
      </c>
      <c r="E10748" t="s">
        <v>2181</v>
      </c>
      <c r="F10748">
        <v>3</v>
      </c>
      <c r="G10748" t="s">
        <v>65</v>
      </c>
      <c r="H10748" t="s">
        <v>42</v>
      </c>
      <c r="I10748" t="s">
        <v>2190</v>
      </c>
      <c r="J10748" s="10">
        <v>5</v>
      </c>
      <c r="K10748" t="b">
        <v>1</v>
      </c>
    </row>
    <row r="10749" spans="1:11">
      <c r="A10749" s="12">
        <v>42984</v>
      </c>
      <c r="B10749">
        <v>2017</v>
      </c>
      <c r="C10749">
        <v>9</v>
      </c>
      <c r="D10749" s="11">
        <v>42979</v>
      </c>
      <c r="E10749" t="s">
        <v>2181</v>
      </c>
      <c r="F10749">
        <v>3</v>
      </c>
      <c r="G10749" t="s">
        <v>65</v>
      </c>
      <c r="H10749" t="s">
        <v>43</v>
      </c>
      <c r="I10749" t="s">
        <v>2191</v>
      </c>
      <c r="J10749" s="10">
        <v>32</v>
      </c>
      <c r="K10749" t="b">
        <v>1</v>
      </c>
    </row>
    <row r="10750" spans="1:11">
      <c r="A10750" s="12">
        <v>42984</v>
      </c>
      <c r="B10750">
        <v>2017</v>
      </c>
      <c r="C10750">
        <v>9</v>
      </c>
      <c r="D10750" s="11">
        <v>42979</v>
      </c>
      <c r="E10750" t="s">
        <v>2181</v>
      </c>
      <c r="F10750">
        <v>3</v>
      </c>
      <c r="G10750" t="s">
        <v>65</v>
      </c>
      <c r="H10750" t="s">
        <v>44</v>
      </c>
      <c r="I10750" t="s">
        <v>2192</v>
      </c>
      <c r="J10750" s="10">
        <v>6</v>
      </c>
      <c r="K10750" t="b">
        <v>1</v>
      </c>
    </row>
    <row r="10751" spans="1:11">
      <c r="A10751" s="12">
        <v>42984</v>
      </c>
      <c r="B10751">
        <v>2017</v>
      </c>
      <c r="C10751">
        <v>9</v>
      </c>
      <c r="D10751" s="11">
        <v>42979</v>
      </c>
      <c r="E10751" t="s">
        <v>2181</v>
      </c>
      <c r="F10751">
        <v>3</v>
      </c>
      <c r="G10751" t="s">
        <v>65</v>
      </c>
      <c r="H10751" t="s">
        <v>45</v>
      </c>
      <c r="I10751" t="s">
        <v>2193</v>
      </c>
      <c r="J10751" s="10">
        <v>0</v>
      </c>
      <c r="K10751" t="b">
        <v>1</v>
      </c>
    </row>
    <row r="10752" spans="1:11">
      <c r="A10752" s="12">
        <v>42984</v>
      </c>
      <c r="B10752">
        <v>2017</v>
      </c>
      <c r="C10752">
        <v>9</v>
      </c>
      <c r="D10752" s="11">
        <v>42979</v>
      </c>
      <c r="E10752" t="s">
        <v>2181</v>
      </c>
      <c r="F10752">
        <v>3</v>
      </c>
      <c r="G10752" t="s">
        <v>65</v>
      </c>
      <c r="H10752" t="s">
        <v>46</v>
      </c>
      <c r="I10752" t="s">
        <v>2194</v>
      </c>
      <c r="J10752" s="10">
        <v>3</v>
      </c>
      <c r="K10752" t="b">
        <v>1</v>
      </c>
    </row>
    <row r="10753" spans="1:11">
      <c r="A10753" s="12">
        <v>42984</v>
      </c>
      <c r="B10753">
        <v>2017</v>
      </c>
      <c r="C10753">
        <v>9</v>
      </c>
      <c r="D10753" s="11">
        <v>42979</v>
      </c>
      <c r="E10753" t="s">
        <v>2181</v>
      </c>
      <c r="F10753">
        <v>3</v>
      </c>
      <c r="G10753" t="s">
        <v>65</v>
      </c>
      <c r="H10753" t="s">
        <v>47</v>
      </c>
      <c r="I10753" t="s">
        <v>2195</v>
      </c>
      <c r="J10753" s="10">
        <v>3</v>
      </c>
      <c r="K10753" t="b">
        <v>1</v>
      </c>
    </row>
    <row r="10754" spans="1:11">
      <c r="A10754" s="12">
        <v>42985</v>
      </c>
      <c r="B10754">
        <v>2017</v>
      </c>
      <c r="C10754">
        <v>9</v>
      </c>
      <c r="D10754" s="11">
        <v>42979</v>
      </c>
      <c r="E10754" t="s">
        <v>2181</v>
      </c>
      <c r="F10754">
        <v>4</v>
      </c>
      <c r="G10754" t="s">
        <v>53</v>
      </c>
      <c r="H10754" t="s">
        <v>40</v>
      </c>
      <c r="I10754" t="s">
        <v>2188</v>
      </c>
      <c r="J10754" s="10">
        <v>3</v>
      </c>
      <c r="K10754" t="b">
        <v>1</v>
      </c>
    </row>
    <row r="10755" spans="1:11">
      <c r="A10755" s="12">
        <v>42985</v>
      </c>
      <c r="B10755">
        <v>2017</v>
      </c>
      <c r="C10755">
        <v>9</v>
      </c>
      <c r="D10755" s="11">
        <v>42979</v>
      </c>
      <c r="E10755" t="s">
        <v>2181</v>
      </c>
      <c r="F10755">
        <v>4</v>
      </c>
      <c r="G10755" t="s">
        <v>53</v>
      </c>
      <c r="H10755" t="s">
        <v>41</v>
      </c>
      <c r="I10755" t="s">
        <v>2189</v>
      </c>
      <c r="J10755" s="10">
        <v>1</v>
      </c>
      <c r="K10755" t="b">
        <v>1</v>
      </c>
    </row>
    <row r="10756" spans="1:11">
      <c r="A10756" s="12">
        <v>42985</v>
      </c>
      <c r="B10756">
        <v>2017</v>
      </c>
      <c r="C10756">
        <v>9</v>
      </c>
      <c r="D10756" s="11">
        <v>42979</v>
      </c>
      <c r="E10756" t="s">
        <v>2181</v>
      </c>
      <c r="F10756">
        <v>4</v>
      </c>
      <c r="G10756" t="s">
        <v>53</v>
      </c>
      <c r="H10756" t="s">
        <v>42</v>
      </c>
      <c r="I10756" t="s">
        <v>2190</v>
      </c>
      <c r="J10756" s="10">
        <v>3.2</v>
      </c>
      <c r="K10756" t="b">
        <v>1</v>
      </c>
    </row>
    <row r="10757" spans="1:11">
      <c r="A10757" s="12">
        <v>42985</v>
      </c>
      <c r="B10757">
        <v>2017</v>
      </c>
      <c r="C10757">
        <v>9</v>
      </c>
      <c r="D10757" s="11">
        <v>42979</v>
      </c>
      <c r="E10757" t="s">
        <v>2181</v>
      </c>
      <c r="F10757">
        <v>4</v>
      </c>
      <c r="G10757" t="s">
        <v>53</v>
      </c>
      <c r="H10757" t="s">
        <v>43</v>
      </c>
      <c r="I10757" t="s">
        <v>2191</v>
      </c>
      <c r="J10757" s="10">
        <v>18</v>
      </c>
      <c r="K10757" t="b">
        <v>1</v>
      </c>
    </row>
    <row r="10758" spans="1:11">
      <c r="A10758" s="12">
        <v>42985</v>
      </c>
      <c r="B10758">
        <v>2017</v>
      </c>
      <c r="C10758">
        <v>9</v>
      </c>
      <c r="D10758" s="11">
        <v>42979</v>
      </c>
      <c r="E10758" t="s">
        <v>2181</v>
      </c>
      <c r="F10758">
        <v>4</v>
      </c>
      <c r="G10758" t="s">
        <v>53</v>
      </c>
      <c r="H10758" t="s">
        <v>44</v>
      </c>
      <c r="I10758" t="s">
        <v>2192</v>
      </c>
      <c r="J10758" s="10">
        <v>2</v>
      </c>
      <c r="K10758" t="b">
        <v>1</v>
      </c>
    </row>
    <row r="10759" spans="1:11">
      <c r="A10759" s="12">
        <v>42985</v>
      </c>
      <c r="B10759">
        <v>2017</v>
      </c>
      <c r="C10759">
        <v>9</v>
      </c>
      <c r="D10759" s="11">
        <v>42979</v>
      </c>
      <c r="E10759" t="s">
        <v>2181</v>
      </c>
      <c r="F10759">
        <v>4</v>
      </c>
      <c r="G10759" t="s">
        <v>53</v>
      </c>
      <c r="H10759" t="s">
        <v>45</v>
      </c>
      <c r="I10759" t="s">
        <v>2193</v>
      </c>
      <c r="J10759" s="10">
        <v>0</v>
      </c>
      <c r="K10759" t="b">
        <v>1</v>
      </c>
    </row>
    <row r="10760" spans="1:11">
      <c r="A10760" s="12">
        <v>42985</v>
      </c>
      <c r="B10760">
        <v>2017</v>
      </c>
      <c r="C10760">
        <v>9</v>
      </c>
      <c r="D10760" s="11">
        <v>42979</v>
      </c>
      <c r="E10760" t="s">
        <v>2181</v>
      </c>
      <c r="F10760">
        <v>4</v>
      </c>
      <c r="G10760" t="s">
        <v>53</v>
      </c>
      <c r="H10760" t="s">
        <v>46</v>
      </c>
      <c r="I10760" t="s">
        <v>2194</v>
      </c>
      <c r="J10760" s="10">
        <v>0</v>
      </c>
      <c r="K10760" t="b">
        <v>1</v>
      </c>
    </row>
    <row r="10761" spans="1:11">
      <c r="A10761" s="12">
        <v>42985</v>
      </c>
      <c r="B10761">
        <v>2017</v>
      </c>
      <c r="C10761">
        <v>9</v>
      </c>
      <c r="D10761" s="11">
        <v>42979</v>
      </c>
      <c r="E10761" t="s">
        <v>2181</v>
      </c>
      <c r="F10761">
        <v>4</v>
      </c>
      <c r="G10761" t="s">
        <v>53</v>
      </c>
      <c r="H10761" t="s">
        <v>47</v>
      </c>
      <c r="I10761" t="s">
        <v>2195</v>
      </c>
      <c r="J10761" s="10">
        <v>2</v>
      </c>
      <c r="K10761" t="b">
        <v>1</v>
      </c>
    </row>
    <row r="10762" spans="1:11">
      <c r="A10762" s="12">
        <v>42986</v>
      </c>
      <c r="B10762">
        <v>2017</v>
      </c>
      <c r="C10762">
        <v>9</v>
      </c>
      <c r="D10762" s="11">
        <v>42979</v>
      </c>
      <c r="E10762" t="s">
        <v>2181</v>
      </c>
      <c r="F10762">
        <v>5</v>
      </c>
      <c r="G10762" t="s">
        <v>55</v>
      </c>
      <c r="H10762" t="s">
        <v>40</v>
      </c>
      <c r="I10762" t="s">
        <v>2188</v>
      </c>
      <c r="J10762" s="10">
        <v>8.83</v>
      </c>
      <c r="K10762" t="b">
        <v>1</v>
      </c>
    </row>
    <row r="10763" spans="1:11">
      <c r="A10763" s="12">
        <v>42986</v>
      </c>
      <c r="B10763">
        <v>2017</v>
      </c>
      <c r="C10763">
        <v>9</v>
      </c>
      <c r="D10763" s="11">
        <v>42979</v>
      </c>
      <c r="E10763" t="s">
        <v>2181</v>
      </c>
      <c r="F10763">
        <v>5</v>
      </c>
      <c r="G10763" t="s">
        <v>55</v>
      </c>
      <c r="H10763" t="s">
        <v>41</v>
      </c>
      <c r="I10763" t="s">
        <v>2189</v>
      </c>
      <c r="J10763" s="10">
        <v>7.32</v>
      </c>
      <c r="K10763" t="b">
        <v>1</v>
      </c>
    </row>
    <row r="10764" spans="1:11">
      <c r="A10764" s="12">
        <v>42986</v>
      </c>
      <c r="B10764">
        <v>2017</v>
      </c>
      <c r="C10764">
        <v>9</v>
      </c>
      <c r="D10764" s="11">
        <v>42979</v>
      </c>
      <c r="E10764" t="s">
        <v>2181</v>
      </c>
      <c r="F10764">
        <v>5</v>
      </c>
      <c r="G10764" t="s">
        <v>55</v>
      </c>
      <c r="H10764" t="s">
        <v>42</v>
      </c>
      <c r="I10764" t="s">
        <v>2190</v>
      </c>
      <c r="J10764" s="10">
        <v>3.1</v>
      </c>
      <c r="K10764" t="b">
        <v>1</v>
      </c>
    </row>
    <row r="10765" spans="1:11">
      <c r="A10765" s="12">
        <v>42986</v>
      </c>
      <c r="B10765">
        <v>2017</v>
      </c>
      <c r="C10765">
        <v>9</v>
      </c>
      <c r="D10765" s="11">
        <v>42979</v>
      </c>
      <c r="E10765" t="s">
        <v>2181</v>
      </c>
      <c r="F10765">
        <v>5</v>
      </c>
      <c r="G10765" t="s">
        <v>55</v>
      </c>
      <c r="H10765" t="s">
        <v>43</v>
      </c>
      <c r="I10765" t="s">
        <v>2191</v>
      </c>
      <c r="J10765" s="10">
        <v>34</v>
      </c>
      <c r="K10765" t="b">
        <v>1</v>
      </c>
    </row>
    <row r="10766" spans="1:11">
      <c r="A10766" s="12">
        <v>42986</v>
      </c>
      <c r="B10766">
        <v>2017</v>
      </c>
      <c r="C10766">
        <v>9</v>
      </c>
      <c r="D10766" s="11">
        <v>42979</v>
      </c>
      <c r="E10766" t="s">
        <v>2181</v>
      </c>
      <c r="F10766">
        <v>5</v>
      </c>
      <c r="G10766" t="s">
        <v>55</v>
      </c>
      <c r="H10766" t="s">
        <v>44</v>
      </c>
      <c r="I10766" t="s">
        <v>2192</v>
      </c>
      <c r="J10766" s="10">
        <v>8</v>
      </c>
      <c r="K10766" t="b">
        <v>1</v>
      </c>
    </row>
    <row r="10767" spans="1:11">
      <c r="A10767" s="12">
        <v>42986</v>
      </c>
      <c r="B10767">
        <v>2017</v>
      </c>
      <c r="C10767">
        <v>9</v>
      </c>
      <c r="D10767" s="11">
        <v>42979</v>
      </c>
      <c r="E10767" t="s">
        <v>2181</v>
      </c>
      <c r="F10767">
        <v>5</v>
      </c>
      <c r="G10767" t="s">
        <v>55</v>
      </c>
      <c r="H10767" t="s">
        <v>45</v>
      </c>
      <c r="I10767" t="s">
        <v>2193</v>
      </c>
      <c r="J10767" s="10">
        <v>0</v>
      </c>
      <c r="K10767" t="b">
        <v>1</v>
      </c>
    </row>
    <row r="10768" spans="1:11">
      <c r="A10768" s="12">
        <v>42986</v>
      </c>
      <c r="B10768">
        <v>2017</v>
      </c>
      <c r="C10768">
        <v>9</v>
      </c>
      <c r="D10768" s="11">
        <v>42979</v>
      </c>
      <c r="E10768" t="s">
        <v>2181</v>
      </c>
      <c r="F10768">
        <v>5</v>
      </c>
      <c r="G10768" t="s">
        <v>55</v>
      </c>
      <c r="H10768" t="s">
        <v>46</v>
      </c>
      <c r="I10768" t="s">
        <v>2194</v>
      </c>
      <c r="J10768" s="10">
        <v>3</v>
      </c>
      <c r="K10768" t="b">
        <v>1</v>
      </c>
    </row>
    <row r="10769" spans="1:11">
      <c r="A10769" s="12">
        <v>42986</v>
      </c>
      <c r="B10769">
        <v>2017</v>
      </c>
      <c r="C10769">
        <v>9</v>
      </c>
      <c r="D10769" s="11">
        <v>42979</v>
      </c>
      <c r="E10769" t="s">
        <v>2181</v>
      </c>
      <c r="F10769">
        <v>5</v>
      </c>
      <c r="G10769" t="s">
        <v>55</v>
      </c>
      <c r="H10769" t="s">
        <v>47</v>
      </c>
      <c r="I10769" t="s">
        <v>2195</v>
      </c>
      <c r="J10769" s="10">
        <v>4</v>
      </c>
      <c r="K10769" t="b">
        <v>1</v>
      </c>
    </row>
    <row r="10770" spans="1:11">
      <c r="A10770" s="12">
        <v>42987</v>
      </c>
      <c r="B10770">
        <v>2017</v>
      </c>
      <c r="C10770">
        <v>9</v>
      </c>
      <c r="D10770" s="11">
        <v>42979</v>
      </c>
      <c r="E10770" t="s">
        <v>2181</v>
      </c>
      <c r="F10770">
        <v>6</v>
      </c>
      <c r="G10770" t="s">
        <v>57</v>
      </c>
      <c r="H10770" t="s">
        <v>40</v>
      </c>
      <c r="I10770" t="s">
        <v>2188</v>
      </c>
      <c r="J10770" s="10">
        <v>6</v>
      </c>
      <c r="K10770" t="b">
        <v>1</v>
      </c>
    </row>
    <row r="10771" spans="1:11">
      <c r="A10771" s="12">
        <v>42987</v>
      </c>
      <c r="B10771">
        <v>2017</v>
      </c>
      <c r="C10771">
        <v>9</v>
      </c>
      <c r="D10771" s="11">
        <v>42979</v>
      </c>
      <c r="E10771" t="s">
        <v>2181</v>
      </c>
      <c r="F10771">
        <v>6</v>
      </c>
      <c r="G10771" t="s">
        <v>57</v>
      </c>
      <c r="H10771" t="s">
        <v>41</v>
      </c>
      <c r="I10771" t="s">
        <v>2189</v>
      </c>
      <c r="J10771" s="10">
        <v>8.34</v>
      </c>
      <c r="K10771" t="b">
        <v>1</v>
      </c>
    </row>
    <row r="10772" spans="1:11">
      <c r="A10772" s="12">
        <v>42987</v>
      </c>
      <c r="B10772">
        <v>2017</v>
      </c>
      <c r="C10772">
        <v>9</v>
      </c>
      <c r="D10772" s="11">
        <v>42979</v>
      </c>
      <c r="E10772" t="s">
        <v>2181</v>
      </c>
      <c r="F10772">
        <v>6</v>
      </c>
      <c r="G10772" t="s">
        <v>57</v>
      </c>
      <c r="H10772" t="s">
        <v>42</v>
      </c>
      <c r="I10772" t="s">
        <v>2190</v>
      </c>
      <c r="J10772" s="10">
        <v>2.5</v>
      </c>
      <c r="K10772" t="b">
        <v>1</v>
      </c>
    </row>
    <row r="10773" spans="1:11">
      <c r="A10773" s="12">
        <v>42987</v>
      </c>
      <c r="B10773">
        <v>2017</v>
      </c>
      <c r="C10773">
        <v>9</v>
      </c>
      <c r="D10773" s="11">
        <v>42979</v>
      </c>
      <c r="E10773" t="s">
        <v>2181</v>
      </c>
      <c r="F10773">
        <v>6</v>
      </c>
      <c r="G10773" t="s">
        <v>57</v>
      </c>
      <c r="H10773" t="s">
        <v>43</v>
      </c>
      <c r="I10773" t="s">
        <v>2191</v>
      </c>
      <c r="J10773" s="10">
        <v>20</v>
      </c>
      <c r="K10773" t="b">
        <v>1</v>
      </c>
    </row>
    <row r="10774" spans="1:11">
      <c r="A10774" s="12">
        <v>42987</v>
      </c>
      <c r="B10774">
        <v>2017</v>
      </c>
      <c r="C10774">
        <v>9</v>
      </c>
      <c r="D10774" s="11">
        <v>42979</v>
      </c>
      <c r="E10774" t="s">
        <v>2181</v>
      </c>
      <c r="F10774">
        <v>6</v>
      </c>
      <c r="G10774" t="s">
        <v>57</v>
      </c>
      <c r="H10774" t="s">
        <v>44</v>
      </c>
      <c r="I10774" t="s">
        <v>2192</v>
      </c>
      <c r="J10774" s="10">
        <v>7</v>
      </c>
      <c r="K10774" t="b">
        <v>1</v>
      </c>
    </row>
    <row r="10775" spans="1:11">
      <c r="A10775" s="12">
        <v>42987</v>
      </c>
      <c r="B10775">
        <v>2017</v>
      </c>
      <c r="C10775">
        <v>9</v>
      </c>
      <c r="D10775" s="11">
        <v>42979</v>
      </c>
      <c r="E10775" t="s">
        <v>2181</v>
      </c>
      <c r="F10775">
        <v>6</v>
      </c>
      <c r="G10775" t="s">
        <v>57</v>
      </c>
      <c r="H10775" t="s">
        <v>45</v>
      </c>
      <c r="I10775" t="s">
        <v>2193</v>
      </c>
      <c r="J10775" s="10">
        <v>0</v>
      </c>
      <c r="K10775" t="b">
        <v>1</v>
      </c>
    </row>
    <row r="10776" spans="1:11">
      <c r="A10776" s="12">
        <v>42987</v>
      </c>
      <c r="B10776">
        <v>2017</v>
      </c>
      <c r="C10776">
        <v>9</v>
      </c>
      <c r="D10776" s="11">
        <v>42979</v>
      </c>
      <c r="E10776" t="s">
        <v>2181</v>
      </c>
      <c r="F10776">
        <v>6</v>
      </c>
      <c r="G10776" t="s">
        <v>57</v>
      </c>
      <c r="H10776" t="s">
        <v>46</v>
      </c>
      <c r="I10776" t="s">
        <v>2194</v>
      </c>
      <c r="J10776" s="10">
        <v>0</v>
      </c>
      <c r="K10776" t="b">
        <v>1</v>
      </c>
    </row>
    <row r="10777" spans="1:11">
      <c r="A10777" s="12">
        <v>42987</v>
      </c>
      <c r="B10777">
        <v>2017</v>
      </c>
      <c r="C10777">
        <v>9</v>
      </c>
      <c r="D10777" s="11">
        <v>42979</v>
      </c>
      <c r="E10777" t="s">
        <v>2181</v>
      </c>
      <c r="F10777">
        <v>6</v>
      </c>
      <c r="G10777" t="s">
        <v>57</v>
      </c>
      <c r="H10777" t="s">
        <v>47</v>
      </c>
      <c r="I10777" t="s">
        <v>2195</v>
      </c>
      <c r="J10777" s="10">
        <v>4</v>
      </c>
      <c r="K10777" t="b">
        <v>1</v>
      </c>
    </row>
    <row r="10778" spans="1:11">
      <c r="A10778" s="12">
        <v>42988</v>
      </c>
      <c r="B10778">
        <v>2017</v>
      </c>
      <c r="C10778">
        <v>9</v>
      </c>
      <c r="D10778" s="11">
        <v>42979</v>
      </c>
      <c r="E10778" t="s">
        <v>2181</v>
      </c>
      <c r="F10778">
        <v>7</v>
      </c>
      <c r="G10778" t="s">
        <v>59</v>
      </c>
      <c r="H10778" t="s">
        <v>40</v>
      </c>
      <c r="I10778" t="s">
        <v>2188</v>
      </c>
      <c r="J10778" s="10">
        <v>3.34</v>
      </c>
      <c r="K10778" t="b">
        <v>1</v>
      </c>
    </row>
    <row r="10779" spans="1:11">
      <c r="A10779" s="12">
        <v>42988</v>
      </c>
      <c r="B10779">
        <v>2017</v>
      </c>
      <c r="C10779">
        <v>9</v>
      </c>
      <c r="D10779" s="11">
        <v>42979</v>
      </c>
      <c r="E10779" t="s">
        <v>2181</v>
      </c>
      <c r="F10779">
        <v>7</v>
      </c>
      <c r="G10779" t="s">
        <v>59</v>
      </c>
      <c r="H10779" t="s">
        <v>41</v>
      </c>
      <c r="I10779" t="s">
        <v>2189</v>
      </c>
      <c r="J10779" s="10">
        <v>5.35</v>
      </c>
      <c r="K10779" t="b">
        <v>1</v>
      </c>
    </row>
    <row r="10780" spans="1:11">
      <c r="A10780" s="12">
        <v>42988</v>
      </c>
      <c r="B10780">
        <v>2017</v>
      </c>
      <c r="C10780">
        <v>9</v>
      </c>
      <c r="D10780" s="11">
        <v>42979</v>
      </c>
      <c r="E10780" t="s">
        <v>2181</v>
      </c>
      <c r="F10780">
        <v>7</v>
      </c>
      <c r="G10780" t="s">
        <v>59</v>
      </c>
      <c r="H10780" t="s">
        <v>42</v>
      </c>
      <c r="I10780" t="s">
        <v>2190</v>
      </c>
      <c r="J10780" s="10">
        <v>1</v>
      </c>
      <c r="K10780" t="b">
        <v>1</v>
      </c>
    </row>
    <row r="10781" spans="1:11">
      <c r="A10781" s="12">
        <v>42988</v>
      </c>
      <c r="B10781">
        <v>2017</v>
      </c>
      <c r="C10781">
        <v>9</v>
      </c>
      <c r="D10781" s="11">
        <v>42979</v>
      </c>
      <c r="E10781" t="s">
        <v>2181</v>
      </c>
      <c r="F10781">
        <v>7</v>
      </c>
      <c r="G10781" t="s">
        <v>59</v>
      </c>
      <c r="H10781" t="s">
        <v>43</v>
      </c>
      <c r="I10781" t="s">
        <v>2191</v>
      </c>
      <c r="J10781" s="10">
        <v>35.6</v>
      </c>
      <c r="K10781" t="b">
        <v>1</v>
      </c>
    </row>
    <row r="10782" spans="1:11">
      <c r="A10782" s="12">
        <v>42988</v>
      </c>
      <c r="B10782">
        <v>2017</v>
      </c>
      <c r="C10782">
        <v>9</v>
      </c>
      <c r="D10782" s="11">
        <v>42979</v>
      </c>
      <c r="E10782" t="s">
        <v>2181</v>
      </c>
      <c r="F10782">
        <v>7</v>
      </c>
      <c r="G10782" t="s">
        <v>59</v>
      </c>
      <c r="H10782" t="s">
        <v>44</v>
      </c>
      <c r="I10782" t="s">
        <v>2192</v>
      </c>
      <c r="J10782" s="10">
        <v>7</v>
      </c>
      <c r="K10782" t="b">
        <v>1</v>
      </c>
    </row>
    <row r="10783" spans="1:11">
      <c r="A10783" s="12">
        <v>42988</v>
      </c>
      <c r="B10783">
        <v>2017</v>
      </c>
      <c r="C10783">
        <v>9</v>
      </c>
      <c r="D10783" s="11">
        <v>42979</v>
      </c>
      <c r="E10783" t="s">
        <v>2181</v>
      </c>
      <c r="F10783">
        <v>7</v>
      </c>
      <c r="G10783" t="s">
        <v>59</v>
      </c>
      <c r="H10783" t="s">
        <v>45</v>
      </c>
      <c r="I10783" t="s">
        <v>2193</v>
      </c>
      <c r="J10783" s="10">
        <v>0</v>
      </c>
      <c r="K10783" t="b">
        <v>1</v>
      </c>
    </row>
    <row r="10784" spans="1:11">
      <c r="A10784" s="12">
        <v>42988</v>
      </c>
      <c r="B10784">
        <v>2017</v>
      </c>
      <c r="C10784">
        <v>9</v>
      </c>
      <c r="D10784" s="11">
        <v>42979</v>
      </c>
      <c r="E10784" t="s">
        <v>2181</v>
      </c>
      <c r="F10784">
        <v>7</v>
      </c>
      <c r="G10784" t="s">
        <v>59</v>
      </c>
      <c r="H10784" t="s">
        <v>46</v>
      </c>
      <c r="I10784" t="s">
        <v>2194</v>
      </c>
      <c r="J10784" s="10">
        <v>0</v>
      </c>
      <c r="K10784" t="b">
        <v>1</v>
      </c>
    </row>
    <row r="10785" spans="1:11">
      <c r="A10785" s="12">
        <v>42988</v>
      </c>
      <c r="B10785">
        <v>2017</v>
      </c>
      <c r="C10785">
        <v>9</v>
      </c>
      <c r="D10785" s="11">
        <v>42979</v>
      </c>
      <c r="E10785" t="s">
        <v>2181</v>
      </c>
      <c r="F10785">
        <v>7</v>
      </c>
      <c r="G10785" t="s">
        <v>59</v>
      </c>
      <c r="H10785" t="s">
        <v>47</v>
      </c>
      <c r="I10785" t="s">
        <v>2195</v>
      </c>
      <c r="J10785" s="10">
        <v>4.2</v>
      </c>
      <c r="K10785" t="b">
        <v>1</v>
      </c>
    </row>
    <row r="10786" spans="1:11">
      <c r="A10786" s="12">
        <v>42989</v>
      </c>
      <c r="B10786">
        <v>2017</v>
      </c>
      <c r="C10786">
        <v>9</v>
      </c>
      <c r="D10786" s="11">
        <v>42979</v>
      </c>
      <c r="E10786" t="s">
        <v>2181</v>
      </c>
      <c r="F10786">
        <v>1</v>
      </c>
      <c r="G10786" t="s">
        <v>61</v>
      </c>
      <c r="H10786" t="s">
        <v>40</v>
      </c>
      <c r="I10786" t="s">
        <v>2188</v>
      </c>
      <c r="J10786" s="10">
        <v>2</v>
      </c>
      <c r="K10786" t="b">
        <v>1</v>
      </c>
    </row>
    <row r="10787" spans="1:11">
      <c r="A10787" s="12">
        <v>42989</v>
      </c>
      <c r="B10787">
        <v>2017</v>
      </c>
      <c r="C10787">
        <v>9</v>
      </c>
      <c r="D10787" s="11">
        <v>42979</v>
      </c>
      <c r="E10787" t="s">
        <v>2181</v>
      </c>
      <c r="F10787">
        <v>1</v>
      </c>
      <c r="G10787" t="s">
        <v>61</v>
      </c>
      <c r="H10787" t="s">
        <v>41</v>
      </c>
      <c r="I10787" t="s">
        <v>2189</v>
      </c>
      <c r="J10787" s="10">
        <v>3.373</v>
      </c>
      <c r="K10787" t="b">
        <v>1</v>
      </c>
    </row>
    <row r="10788" spans="1:11">
      <c r="A10788" s="12">
        <v>42989</v>
      </c>
      <c r="B10788">
        <v>2017</v>
      </c>
      <c r="C10788">
        <v>9</v>
      </c>
      <c r="D10788" s="11">
        <v>42979</v>
      </c>
      <c r="E10788" t="s">
        <v>2181</v>
      </c>
      <c r="F10788">
        <v>1</v>
      </c>
      <c r="G10788" t="s">
        <v>61</v>
      </c>
      <c r="H10788" t="s">
        <v>42</v>
      </c>
      <c r="I10788" t="s">
        <v>2190</v>
      </c>
      <c r="J10788" s="10">
        <v>2</v>
      </c>
      <c r="K10788" t="b">
        <v>1</v>
      </c>
    </row>
    <row r="10789" spans="1:11">
      <c r="A10789" s="12">
        <v>42989</v>
      </c>
      <c r="B10789">
        <v>2017</v>
      </c>
      <c r="C10789">
        <v>9</v>
      </c>
      <c r="D10789" s="11">
        <v>42979</v>
      </c>
      <c r="E10789" t="s">
        <v>2181</v>
      </c>
      <c r="F10789">
        <v>1</v>
      </c>
      <c r="G10789" t="s">
        <v>61</v>
      </c>
      <c r="H10789" t="s">
        <v>43</v>
      </c>
      <c r="I10789" t="s">
        <v>2191</v>
      </c>
      <c r="J10789" s="10">
        <v>12</v>
      </c>
      <c r="K10789" t="b">
        <v>1</v>
      </c>
    </row>
    <row r="10790" spans="1:11">
      <c r="A10790" s="12">
        <v>42989</v>
      </c>
      <c r="B10790">
        <v>2017</v>
      </c>
      <c r="C10790">
        <v>9</v>
      </c>
      <c r="D10790" s="11">
        <v>42979</v>
      </c>
      <c r="E10790" t="s">
        <v>2181</v>
      </c>
      <c r="F10790">
        <v>1</v>
      </c>
      <c r="G10790" t="s">
        <v>61</v>
      </c>
      <c r="H10790" t="s">
        <v>44</v>
      </c>
      <c r="I10790" t="s">
        <v>2192</v>
      </c>
      <c r="J10790" s="10">
        <v>16</v>
      </c>
      <c r="K10790" t="b">
        <v>1</v>
      </c>
    </row>
    <row r="10791" spans="1:11">
      <c r="A10791" s="12">
        <v>42989</v>
      </c>
      <c r="B10791">
        <v>2017</v>
      </c>
      <c r="C10791">
        <v>9</v>
      </c>
      <c r="D10791" s="11">
        <v>42979</v>
      </c>
      <c r="E10791" t="s">
        <v>2181</v>
      </c>
      <c r="F10791">
        <v>1</v>
      </c>
      <c r="G10791" t="s">
        <v>61</v>
      </c>
      <c r="H10791" t="s">
        <v>45</v>
      </c>
      <c r="I10791" t="s">
        <v>2193</v>
      </c>
      <c r="J10791" s="10">
        <v>0</v>
      </c>
      <c r="K10791" t="b">
        <v>1</v>
      </c>
    </row>
    <row r="10792" spans="1:11">
      <c r="A10792" s="12">
        <v>42989</v>
      </c>
      <c r="B10792">
        <v>2017</v>
      </c>
      <c r="C10792">
        <v>9</v>
      </c>
      <c r="D10792" s="11">
        <v>42979</v>
      </c>
      <c r="E10792" t="s">
        <v>2181</v>
      </c>
      <c r="F10792">
        <v>1</v>
      </c>
      <c r="G10792" t="s">
        <v>61</v>
      </c>
      <c r="H10792" t="s">
        <v>46</v>
      </c>
      <c r="I10792" t="s">
        <v>2194</v>
      </c>
      <c r="J10792" s="10">
        <v>0</v>
      </c>
      <c r="K10792" t="b">
        <v>1</v>
      </c>
    </row>
    <row r="10793" spans="1:11">
      <c r="A10793" s="12">
        <v>42989</v>
      </c>
      <c r="B10793">
        <v>2017</v>
      </c>
      <c r="C10793">
        <v>9</v>
      </c>
      <c r="D10793" s="11">
        <v>42979</v>
      </c>
      <c r="E10793" t="s">
        <v>2181</v>
      </c>
      <c r="F10793">
        <v>1</v>
      </c>
      <c r="G10793" t="s">
        <v>61</v>
      </c>
      <c r="H10793" t="s">
        <v>47</v>
      </c>
      <c r="I10793" t="s">
        <v>2195</v>
      </c>
      <c r="J10793" s="10">
        <v>2</v>
      </c>
      <c r="K10793" t="b">
        <v>1</v>
      </c>
    </row>
    <row r="10794" spans="1:11">
      <c r="A10794" s="12">
        <v>42990</v>
      </c>
      <c r="B10794">
        <v>2017</v>
      </c>
      <c r="C10794">
        <v>9</v>
      </c>
      <c r="D10794" s="11">
        <v>42979</v>
      </c>
      <c r="E10794" t="s">
        <v>2181</v>
      </c>
      <c r="F10794">
        <v>2</v>
      </c>
      <c r="G10794" t="s">
        <v>63</v>
      </c>
      <c r="H10794" t="s">
        <v>40</v>
      </c>
      <c r="I10794" t="s">
        <v>2188</v>
      </c>
      <c r="J10794" s="10">
        <v>1</v>
      </c>
      <c r="K10794" t="b">
        <v>1</v>
      </c>
    </row>
    <row r="10795" spans="1:11">
      <c r="A10795" s="12">
        <v>42990</v>
      </c>
      <c r="B10795">
        <v>2017</v>
      </c>
      <c r="C10795">
        <v>9</v>
      </c>
      <c r="D10795" s="11">
        <v>42979</v>
      </c>
      <c r="E10795" t="s">
        <v>2181</v>
      </c>
      <c r="F10795">
        <v>2</v>
      </c>
      <c r="G10795" t="s">
        <v>63</v>
      </c>
      <c r="H10795" t="s">
        <v>41</v>
      </c>
      <c r="I10795" t="s">
        <v>2189</v>
      </c>
      <c r="J10795" s="10">
        <v>4.35</v>
      </c>
      <c r="K10795" t="b">
        <v>1</v>
      </c>
    </row>
    <row r="10796" spans="1:11">
      <c r="A10796" s="12">
        <v>42990</v>
      </c>
      <c r="B10796">
        <v>2017</v>
      </c>
      <c r="C10796">
        <v>9</v>
      </c>
      <c r="D10796" s="11">
        <v>42979</v>
      </c>
      <c r="E10796" t="s">
        <v>2181</v>
      </c>
      <c r="F10796">
        <v>2</v>
      </c>
      <c r="G10796" t="s">
        <v>63</v>
      </c>
      <c r="H10796" t="s">
        <v>42</v>
      </c>
      <c r="I10796" t="s">
        <v>2190</v>
      </c>
      <c r="J10796" s="10">
        <v>5.2</v>
      </c>
      <c r="K10796" t="b">
        <v>1</v>
      </c>
    </row>
    <row r="10797" spans="1:11">
      <c r="A10797" s="12">
        <v>42990</v>
      </c>
      <c r="B10797">
        <v>2017</v>
      </c>
      <c r="C10797">
        <v>9</v>
      </c>
      <c r="D10797" s="11">
        <v>42979</v>
      </c>
      <c r="E10797" t="s">
        <v>2181</v>
      </c>
      <c r="F10797">
        <v>2</v>
      </c>
      <c r="G10797" t="s">
        <v>63</v>
      </c>
      <c r="H10797" t="s">
        <v>43</v>
      </c>
      <c r="I10797" t="s">
        <v>2191</v>
      </c>
      <c r="J10797" s="10">
        <v>18.25</v>
      </c>
      <c r="K10797" t="b">
        <v>1</v>
      </c>
    </row>
    <row r="10798" spans="1:11">
      <c r="A10798" s="12">
        <v>42990</v>
      </c>
      <c r="B10798">
        <v>2017</v>
      </c>
      <c r="C10798">
        <v>9</v>
      </c>
      <c r="D10798" s="11">
        <v>42979</v>
      </c>
      <c r="E10798" t="s">
        <v>2181</v>
      </c>
      <c r="F10798">
        <v>2</v>
      </c>
      <c r="G10798" t="s">
        <v>63</v>
      </c>
      <c r="H10798" t="s">
        <v>44</v>
      </c>
      <c r="I10798" t="s">
        <v>2192</v>
      </c>
      <c r="J10798" s="10">
        <v>6</v>
      </c>
      <c r="K10798" t="b">
        <v>1</v>
      </c>
    </row>
    <row r="10799" spans="1:11">
      <c r="A10799" s="12">
        <v>42990</v>
      </c>
      <c r="B10799">
        <v>2017</v>
      </c>
      <c r="C10799">
        <v>9</v>
      </c>
      <c r="D10799" s="11">
        <v>42979</v>
      </c>
      <c r="E10799" t="s">
        <v>2181</v>
      </c>
      <c r="F10799">
        <v>2</v>
      </c>
      <c r="G10799" t="s">
        <v>63</v>
      </c>
      <c r="H10799" t="s">
        <v>45</v>
      </c>
      <c r="I10799" t="s">
        <v>2193</v>
      </c>
      <c r="J10799" s="10">
        <v>1</v>
      </c>
      <c r="K10799" t="b">
        <v>1</v>
      </c>
    </row>
    <row r="10800" spans="1:11">
      <c r="A10800" s="12">
        <v>42990</v>
      </c>
      <c r="B10800">
        <v>2017</v>
      </c>
      <c r="C10800">
        <v>9</v>
      </c>
      <c r="D10800" s="11">
        <v>42979</v>
      </c>
      <c r="E10800" t="s">
        <v>2181</v>
      </c>
      <c r="F10800">
        <v>2</v>
      </c>
      <c r="G10800" t="s">
        <v>63</v>
      </c>
      <c r="H10800" t="s">
        <v>46</v>
      </c>
      <c r="I10800" t="s">
        <v>2194</v>
      </c>
      <c r="J10800" s="10">
        <v>1</v>
      </c>
      <c r="K10800" t="b">
        <v>1</v>
      </c>
    </row>
    <row r="10801" spans="1:11">
      <c r="A10801" s="12">
        <v>42990</v>
      </c>
      <c r="B10801">
        <v>2017</v>
      </c>
      <c r="C10801">
        <v>9</v>
      </c>
      <c r="D10801" s="11">
        <v>42979</v>
      </c>
      <c r="E10801" t="s">
        <v>2181</v>
      </c>
      <c r="F10801">
        <v>2</v>
      </c>
      <c r="G10801" t="s">
        <v>63</v>
      </c>
      <c r="H10801" t="s">
        <v>47</v>
      </c>
      <c r="I10801" t="s">
        <v>2195</v>
      </c>
      <c r="J10801" s="10">
        <v>2.2</v>
      </c>
      <c r="K10801" t="b">
        <v>1</v>
      </c>
    </row>
    <row r="10802" spans="1:11">
      <c r="A10802" s="12">
        <v>42991</v>
      </c>
      <c r="B10802">
        <v>2017</v>
      </c>
      <c r="C10802">
        <v>9</v>
      </c>
      <c r="D10802" s="11">
        <v>42979</v>
      </c>
      <c r="E10802" t="s">
        <v>2181</v>
      </c>
      <c r="F10802">
        <v>3</v>
      </c>
      <c r="G10802" t="s">
        <v>65</v>
      </c>
      <c r="H10802" t="s">
        <v>40</v>
      </c>
      <c r="I10802" t="s">
        <v>2188</v>
      </c>
      <c r="J10802" s="10">
        <v>4</v>
      </c>
      <c r="K10802" t="b">
        <v>1</v>
      </c>
    </row>
    <row r="10803" spans="1:11">
      <c r="A10803" s="12">
        <v>42991</v>
      </c>
      <c r="B10803">
        <v>2017</v>
      </c>
      <c r="C10803">
        <v>9</v>
      </c>
      <c r="D10803" s="11">
        <v>42979</v>
      </c>
      <c r="E10803" t="s">
        <v>2181</v>
      </c>
      <c r="F10803">
        <v>3</v>
      </c>
      <c r="G10803" t="s">
        <v>65</v>
      </c>
      <c r="H10803" t="s">
        <v>41</v>
      </c>
      <c r="I10803" t="s">
        <v>2189</v>
      </c>
      <c r="J10803" s="10">
        <v>0.66</v>
      </c>
      <c r="K10803" t="b">
        <v>1</v>
      </c>
    </row>
    <row r="10804" spans="1:11">
      <c r="A10804" s="12">
        <v>42991</v>
      </c>
      <c r="B10804">
        <v>2017</v>
      </c>
      <c r="C10804">
        <v>9</v>
      </c>
      <c r="D10804" s="11">
        <v>42979</v>
      </c>
      <c r="E10804" t="s">
        <v>2181</v>
      </c>
      <c r="F10804">
        <v>3</v>
      </c>
      <c r="G10804" t="s">
        <v>65</v>
      </c>
      <c r="H10804" t="s">
        <v>42</v>
      </c>
      <c r="I10804" t="s">
        <v>2190</v>
      </c>
      <c r="J10804" s="10">
        <v>2</v>
      </c>
      <c r="K10804" t="b">
        <v>1</v>
      </c>
    </row>
    <row r="10805" spans="1:11">
      <c r="A10805" s="12">
        <v>42991</v>
      </c>
      <c r="B10805">
        <v>2017</v>
      </c>
      <c r="C10805">
        <v>9</v>
      </c>
      <c r="D10805" s="11">
        <v>42979</v>
      </c>
      <c r="E10805" t="s">
        <v>2181</v>
      </c>
      <c r="F10805">
        <v>3</v>
      </c>
      <c r="G10805" t="s">
        <v>65</v>
      </c>
      <c r="H10805" t="s">
        <v>43</v>
      </c>
      <c r="I10805" t="s">
        <v>2191</v>
      </c>
      <c r="J10805" s="10">
        <v>25</v>
      </c>
      <c r="K10805" t="b">
        <v>1</v>
      </c>
    </row>
    <row r="10806" spans="1:11">
      <c r="A10806" s="12">
        <v>42991</v>
      </c>
      <c r="B10806">
        <v>2017</v>
      </c>
      <c r="C10806">
        <v>9</v>
      </c>
      <c r="D10806" s="11">
        <v>42979</v>
      </c>
      <c r="E10806" t="s">
        <v>2181</v>
      </c>
      <c r="F10806">
        <v>3</v>
      </c>
      <c r="G10806" t="s">
        <v>65</v>
      </c>
      <c r="H10806" t="s">
        <v>44</v>
      </c>
      <c r="I10806" t="s">
        <v>2192</v>
      </c>
      <c r="J10806" s="10">
        <v>16</v>
      </c>
      <c r="K10806" t="b">
        <v>1</v>
      </c>
    </row>
    <row r="10807" spans="1:11">
      <c r="A10807" s="12">
        <v>42991</v>
      </c>
      <c r="B10807">
        <v>2017</v>
      </c>
      <c r="C10807">
        <v>9</v>
      </c>
      <c r="D10807" s="11">
        <v>42979</v>
      </c>
      <c r="E10807" t="s">
        <v>2181</v>
      </c>
      <c r="F10807">
        <v>3</v>
      </c>
      <c r="G10807" t="s">
        <v>65</v>
      </c>
      <c r="H10807" t="s">
        <v>45</v>
      </c>
      <c r="I10807" t="s">
        <v>2193</v>
      </c>
      <c r="J10807" s="10">
        <v>0</v>
      </c>
      <c r="K10807" t="b">
        <v>1</v>
      </c>
    </row>
    <row r="10808" spans="1:11">
      <c r="A10808" s="12">
        <v>42991</v>
      </c>
      <c r="B10808">
        <v>2017</v>
      </c>
      <c r="C10808">
        <v>9</v>
      </c>
      <c r="D10808" s="11">
        <v>42979</v>
      </c>
      <c r="E10808" t="s">
        <v>2181</v>
      </c>
      <c r="F10808">
        <v>3</v>
      </c>
      <c r="G10808" t="s">
        <v>65</v>
      </c>
      <c r="H10808" t="s">
        <v>46</v>
      </c>
      <c r="I10808" t="s">
        <v>2194</v>
      </c>
      <c r="J10808" s="10">
        <v>5</v>
      </c>
      <c r="K10808" t="b">
        <v>1</v>
      </c>
    </row>
    <row r="10809" spans="1:11">
      <c r="A10809" s="12">
        <v>42991</v>
      </c>
      <c r="B10809">
        <v>2017</v>
      </c>
      <c r="C10809">
        <v>9</v>
      </c>
      <c r="D10809" s="11">
        <v>42979</v>
      </c>
      <c r="E10809" t="s">
        <v>2181</v>
      </c>
      <c r="F10809">
        <v>3</v>
      </c>
      <c r="G10809" t="s">
        <v>65</v>
      </c>
      <c r="H10809" t="s">
        <v>47</v>
      </c>
      <c r="I10809" t="s">
        <v>2195</v>
      </c>
      <c r="J10809" s="10">
        <v>0</v>
      </c>
      <c r="K10809" t="b">
        <v>1</v>
      </c>
    </row>
    <row r="10810" spans="1:11">
      <c r="A10810" s="12">
        <v>42992</v>
      </c>
      <c r="B10810">
        <v>2017</v>
      </c>
      <c r="C10810">
        <v>9</v>
      </c>
      <c r="D10810" s="11">
        <v>42979</v>
      </c>
      <c r="E10810" t="s">
        <v>2181</v>
      </c>
      <c r="F10810">
        <v>4</v>
      </c>
      <c r="G10810" t="s">
        <v>53</v>
      </c>
      <c r="H10810" t="s">
        <v>40</v>
      </c>
      <c r="I10810" t="s">
        <v>2188</v>
      </c>
      <c r="J10810" s="10">
        <v>5</v>
      </c>
      <c r="K10810" t="b">
        <v>1</v>
      </c>
    </row>
    <row r="10811" spans="1:11">
      <c r="A10811" s="12">
        <v>42992</v>
      </c>
      <c r="B10811">
        <v>2017</v>
      </c>
      <c r="C10811">
        <v>9</v>
      </c>
      <c r="D10811" s="11">
        <v>42979</v>
      </c>
      <c r="E10811" t="s">
        <v>2181</v>
      </c>
      <c r="F10811">
        <v>4</v>
      </c>
      <c r="G10811" t="s">
        <v>53</v>
      </c>
      <c r="H10811" t="s">
        <v>41</v>
      </c>
      <c r="I10811" t="s">
        <v>2189</v>
      </c>
      <c r="J10811" s="10">
        <v>5.34</v>
      </c>
      <c r="K10811" t="b">
        <v>1</v>
      </c>
    </row>
    <row r="10812" spans="1:11">
      <c r="A10812" s="12">
        <v>42992</v>
      </c>
      <c r="B10812">
        <v>2017</v>
      </c>
      <c r="C10812">
        <v>9</v>
      </c>
      <c r="D10812" s="11">
        <v>42979</v>
      </c>
      <c r="E10812" t="s">
        <v>2181</v>
      </c>
      <c r="F10812">
        <v>4</v>
      </c>
      <c r="G10812" t="s">
        <v>53</v>
      </c>
      <c r="H10812" t="s">
        <v>42</v>
      </c>
      <c r="I10812" t="s">
        <v>2190</v>
      </c>
      <c r="J10812" s="10">
        <v>5</v>
      </c>
      <c r="K10812" t="b">
        <v>1</v>
      </c>
    </row>
    <row r="10813" spans="1:11">
      <c r="A10813" s="12">
        <v>42992</v>
      </c>
      <c r="B10813">
        <v>2017</v>
      </c>
      <c r="C10813">
        <v>9</v>
      </c>
      <c r="D10813" s="11">
        <v>42979</v>
      </c>
      <c r="E10813" t="s">
        <v>2181</v>
      </c>
      <c r="F10813">
        <v>4</v>
      </c>
      <c r="G10813" t="s">
        <v>53</v>
      </c>
      <c r="H10813" t="s">
        <v>43</v>
      </c>
      <c r="I10813" t="s">
        <v>2191</v>
      </c>
      <c r="J10813" s="10">
        <v>22.4</v>
      </c>
      <c r="K10813" t="b">
        <v>1</v>
      </c>
    </row>
    <row r="10814" spans="1:11">
      <c r="A10814" s="12">
        <v>42992</v>
      </c>
      <c r="B10814">
        <v>2017</v>
      </c>
      <c r="C10814">
        <v>9</v>
      </c>
      <c r="D10814" s="11">
        <v>42979</v>
      </c>
      <c r="E10814" t="s">
        <v>2181</v>
      </c>
      <c r="F10814">
        <v>4</v>
      </c>
      <c r="G10814" t="s">
        <v>53</v>
      </c>
      <c r="H10814" t="s">
        <v>44</v>
      </c>
      <c r="I10814" t="s">
        <v>2192</v>
      </c>
      <c r="J10814" s="10">
        <v>6</v>
      </c>
      <c r="K10814" t="b">
        <v>1</v>
      </c>
    </row>
    <row r="10815" spans="1:11">
      <c r="A10815" s="12">
        <v>42992</v>
      </c>
      <c r="B10815">
        <v>2017</v>
      </c>
      <c r="C10815">
        <v>9</v>
      </c>
      <c r="D10815" s="11">
        <v>42979</v>
      </c>
      <c r="E10815" t="s">
        <v>2181</v>
      </c>
      <c r="F10815">
        <v>4</v>
      </c>
      <c r="G10815" t="s">
        <v>53</v>
      </c>
      <c r="H10815" t="s">
        <v>45</v>
      </c>
      <c r="I10815" t="s">
        <v>2193</v>
      </c>
      <c r="J10815" s="10">
        <v>0</v>
      </c>
      <c r="K10815" t="b">
        <v>1</v>
      </c>
    </row>
    <row r="10816" spans="1:11">
      <c r="A10816" s="12">
        <v>42992</v>
      </c>
      <c r="B10816">
        <v>2017</v>
      </c>
      <c r="C10816">
        <v>9</v>
      </c>
      <c r="D10816" s="11">
        <v>42979</v>
      </c>
      <c r="E10816" t="s">
        <v>2181</v>
      </c>
      <c r="F10816">
        <v>4</v>
      </c>
      <c r="G10816" t="s">
        <v>53</v>
      </c>
      <c r="H10816" t="s">
        <v>46</v>
      </c>
      <c r="I10816" t="s">
        <v>2194</v>
      </c>
      <c r="J10816" s="10">
        <v>9</v>
      </c>
      <c r="K10816" t="b">
        <v>1</v>
      </c>
    </row>
    <row r="10817" spans="1:11">
      <c r="A10817" s="12">
        <v>42992</v>
      </c>
      <c r="B10817">
        <v>2017</v>
      </c>
      <c r="C10817">
        <v>9</v>
      </c>
      <c r="D10817" s="11">
        <v>42979</v>
      </c>
      <c r="E10817" t="s">
        <v>2181</v>
      </c>
      <c r="F10817">
        <v>4</v>
      </c>
      <c r="G10817" t="s">
        <v>53</v>
      </c>
      <c r="H10817" t="s">
        <v>47</v>
      </c>
      <c r="I10817" t="s">
        <v>2195</v>
      </c>
      <c r="J10817" s="10">
        <v>5</v>
      </c>
      <c r="K10817" t="b">
        <v>1</v>
      </c>
    </row>
    <row r="10818" spans="1:11">
      <c r="A10818" s="12">
        <v>42993</v>
      </c>
      <c r="B10818">
        <v>2017</v>
      </c>
      <c r="C10818">
        <v>9</v>
      </c>
      <c r="D10818" s="11">
        <v>42979</v>
      </c>
      <c r="E10818" t="s">
        <v>2181</v>
      </c>
      <c r="F10818">
        <v>5</v>
      </c>
      <c r="G10818" t="s">
        <v>55</v>
      </c>
      <c r="H10818" t="s">
        <v>40</v>
      </c>
      <c r="I10818" t="s">
        <v>2188</v>
      </c>
      <c r="J10818" s="10">
        <v>3</v>
      </c>
      <c r="K10818" t="b">
        <v>1</v>
      </c>
    </row>
    <row r="10819" spans="1:11">
      <c r="A10819" s="12">
        <v>42993</v>
      </c>
      <c r="B10819">
        <v>2017</v>
      </c>
      <c r="C10819">
        <v>9</v>
      </c>
      <c r="D10819" s="11">
        <v>42979</v>
      </c>
      <c r="E10819" t="s">
        <v>2181</v>
      </c>
      <c r="F10819">
        <v>5</v>
      </c>
      <c r="G10819" t="s">
        <v>55</v>
      </c>
      <c r="H10819" t="s">
        <v>41</v>
      </c>
      <c r="I10819" t="s">
        <v>2189</v>
      </c>
      <c r="J10819" s="10">
        <v>3</v>
      </c>
      <c r="K10819" t="b">
        <v>1</v>
      </c>
    </row>
    <row r="10820" spans="1:11">
      <c r="A10820" s="12">
        <v>42993</v>
      </c>
      <c r="B10820">
        <v>2017</v>
      </c>
      <c r="C10820">
        <v>9</v>
      </c>
      <c r="D10820" s="11">
        <v>42979</v>
      </c>
      <c r="E10820" t="s">
        <v>2181</v>
      </c>
      <c r="F10820">
        <v>5</v>
      </c>
      <c r="G10820" t="s">
        <v>55</v>
      </c>
      <c r="H10820" t="s">
        <v>42</v>
      </c>
      <c r="I10820" t="s">
        <v>2190</v>
      </c>
      <c r="J10820" s="10">
        <v>3</v>
      </c>
      <c r="K10820" t="b">
        <v>1</v>
      </c>
    </row>
    <row r="10821" spans="1:11">
      <c r="A10821" s="12">
        <v>42993</v>
      </c>
      <c r="B10821">
        <v>2017</v>
      </c>
      <c r="C10821">
        <v>9</v>
      </c>
      <c r="D10821" s="11">
        <v>42979</v>
      </c>
      <c r="E10821" t="s">
        <v>2181</v>
      </c>
      <c r="F10821">
        <v>5</v>
      </c>
      <c r="G10821" t="s">
        <v>55</v>
      </c>
      <c r="H10821" t="s">
        <v>43</v>
      </c>
      <c r="I10821" t="s">
        <v>2191</v>
      </c>
      <c r="J10821" s="10">
        <v>16</v>
      </c>
      <c r="K10821" t="b">
        <v>1</v>
      </c>
    </row>
    <row r="10822" spans="1:11">
      <c r="A10822" s="12">
        <v>42993</v>
      </c>
      <c r="B10822">
        <v>2017</v>
      </c>
      <c r="C10822">
        <v>9</v>
      </c>
      <c r="D10822" s="11">
        <v>42979</v>
      </c>
      <c r="E10822" t="s">
        <v>2181</v>
      </c>
      <c r="F10822">
        <v>5</v>
      </c>
      <c r="G10822" t="s">
        <v>55</v>
      </c>
      <c r="H10822" t="s">
        <v>44</v>
      </c>
      <c r="I10822" t="s">
        <v>2192</v>
      </c>
      <c r="J10822" s="10">
        <v>12</v>
      </c>
      <c r="K10822" t="b">
        <v>1</v>
      </c>
    </row>
    <row r="10823" spans="1:11">
      <c r="A10823" s="12">
        <v>42993</v>
      </c>
      <c r="B10823">
        <v>2017</v>
      </c>
      <c r="C10823">
        <v>9</v>
      </c>
      <c r="D10823" s="11">
        <v>42979</v>
      </c>
      <c r="E10823" t="s">
        <v>2181</v>
      </c>
      <c r="F10823">
        <v>5</v>
      </c>
      <c r="G10823" t="s">
        <v>55</v>
      </c>
      <c r="H10823" t="s">
        <v>45</v>
      </c>
      <c r="I10823" t="s">
        <v>2193</v>
      </c>
      <c r="J10823" s="10">
        <v>1</v>
      </c>
      <c r="K10823" t="b">
        <v>1</v>
      </c>
    </row>
    <row r="10824" spans="1:11">
      <c r="A10824" s="12">
        <v>42993</v>
      </c>
      <c r="B10824">
        <v>2017</v>
      </c>
      <c r="C10824">
        <v>9</v>
      </c>
      <c r="D10824" s="11">
        <v>42979</v>
      </c>
      <c r="E10824" t="s">
        <v>2181</v>
      </c>
      <c r="F10824">
        <v>5</v>
      </c>
      <c r="G10824" t="s">
        <v>55</v>
      </c>
      <c r="H10824" t="s">
        <v>46</v>
      </c>
      <c r="I10824" t="s">
        <v>2194</v>
      </c>
      <c r="J10824" s="10">
        <v>8</v>
      </c>
      <c r="K10824" t="b">
        <v>1</v>
      </c>
    </row>
    <row r="10825" spans="1:11">
      <c r="A10825" s="12">
        <v>42993</v>
      </c>
      <c r="B10825">
        <v>2017</v>
      </c>
      <c r="C10825">
        <v>9</v>
      </c>
      <c r="D10825" s="11">
        <v>42979</v>
      </c>
      <c r="E10825" t="s">
        <v>2181</v>
      </c>
      <c r="F10825">
        <v>5</v>
      </c>
      <c r="G10825" t="s">
        <v>55</v>
      </c>
      <c r="H10825" t="s">
        <v>47</v>
      </c>
      <c r="I10825" t="s">
        <v>2195</v>
      </c>
      <c r="J10825" s="10">
        <v>3</v>
      </c>
      <c r="K10825" t="b">
        <v>1</v>
      </c>
    </row>
    <row r="10826" spans="1:11">
      <c r="A10826" s="12">
        <v>42994</v>
      </c>
      <c r="B10826">
        <v>2017</v>
      </c>
      <c r="C10826">
        <v>9</v>
      </c>
      <c r="D10826" s="11">
        <v>42979</v>
      </c>
      <c r="E10826" t="s">
        <v>2181</v>
      </c>
      <c r="F10826">
        <v>6</v>
      </c>
      <c r="G10826" t="s">
        <v>57</v>
      </c>
      <c r="H10826" t="s">
        <v>40</v>
      </c>
      <c r="I10826" t="s">
        <v>2188</v>
      </c>
      <c r="J10826" s="10">
        <v>7</v>
      </c>
      <c r="K10826" t="b">
        <v>1</v>
      </c>
    </row>
    <row r="10827" spans="1:11">
      <c r="A10827" s="12">
        <v>42994</v>
      </c>
      <c r="B10827">
        <v>2017</v>
      </c>
      <c r="C10827">
        <v>9</v>
      </c>
      <c r="D10827" s="11">
        <v>42979</v>
      </c>
      <c r="E10827" t="s">
        <v>2181</v>
      </c>
      <c r="F10827">
        <v>6</v>
      </c>
      <c r="G10827" t="s">
        <v>57</v>
      </c>
      <c r="H10827" t="s">
        <v>41</v>
      </c>
      <c r="I10827" t="s">
        <v>2189</v>
      </c>
      <c r="J10827" s="10">
        <v>3</v>
      </c>
      <c r="K10827" t="b">
        <v>1</v>
      </c>
    </row>
    <row r="10828" spans="1:11">
      <c r="A10828" s="12">
        <v>42994</v>
      </c>
      <c r="B10828">
        <v>2017</v>
      </c>
      <c r="C10828">
        <v>9</v>
      </c>
      <c r="D10828" s="11">
        <v>42979</v>
      </c>
      <c r="E10828" t="s">
        <v>2181</v>
      </c>
      <c r="F10828">
        <v>6</v>
      </c>
      <c r="G10828" t="s">
        <v>57</v>
      </c>
      <c r="H10828" t="s">
        <v>42</v>
      </c>
      <c r="I10828" t="s">
        <v>2190</v>
      </c>
      <c r="J10828" s="10">
        <v>3.45</v>
      </c>
      <c r="K10828" t="b">
        <v>1</v>
      </c>
    </row>
    <row r="10829" spans="1:11">
      <c r="A10829" s="12">
        <v>42994</v>
      </c>
      <c r="B10829">
        <v>2017</v>
      </c>
      <c r="C10829">
        <v>9</v>
      </c>
      <c r="D10829" s="11">
        <v>42979</v>
      </c>
      <c r="E10829" t="s">
        <v>2181</v>
      </c>
      <c r="F10829">
        <v>6</v>
      </c>
      <c r="G10829" t="s">
        <v>57</v>
      </c>
      <c r="H10829" t="s">
        <v>43</v>
      </c>
      <c r="I10829" t="s">
        <v>2191</v>
      </c>
      <c r="J10829" s="10">
        <v>27.3</v>
      </c>
      <c r="K10829" t="b">
        <v>1</v>
      </c>
    </row>
    <row r="10830" spans="1:11">
      <c r="A10830" s="12">
        <v>42994</v>
      </c>
      <c r="B10830">
        <v>2017</v>
      </c>
      <c r="C10830">
        <v>9</v>
      </c>
      <c r="D10830" s="11">
        <v>42979</v>
      </c>
      <c r="E10830" t="s">
        <v>2181</v>
      </c>
      <c r="F10830">
        <v>6</v>
      </c>
      <c r="G10830" t="s">
        <v>57</v>
      </c>
      <c r="H10830" t="s">
        <v>44</v>
      </c>
      <c r="I10830" t="s">
        <v>2192</v>
      </c>
      <c r="J10830" s="10">
        <v>11</v>
      </c>
      <c r="K10830" t="b">
        <v>1</v>
      </c>
    </row>
    <row r="10831" spans="1:11">
      <c r="A10831" s="12">
        <v>42994</v>
      </c>
      <c r="B10831">
        <v>2017</v>
      </c>
      <c r="C10831">
        <v>9</v>
      </c>
      <c r="D10831" s="11">
        <v>42979</v>
      </c>
      <c r="E10831" t="s">
        <v>2181</v>
      </c>
      <c r="F10831">
        <v>6</v>
      </c>
      <c r="G10831" t="s">
        <v>57</v>
      </c>
      <c r="H10831" t="s">
        <v>45</v>
      </c>
      <c r="I10831" t="s">
        <v>2193</v>
      </c>
      <c r="J10831" s="10">
        <v>0</v>
      </c>
      <c r="K10831" t="b">
        <v>1</v>
      </c>
    </row>
    <row r="10832" spans="1:11">
      <c r="A10832" s="12">
        <v>42994</v>
      </c>
      <c r="B10832">
        <v>2017</v>
      </c>
      <c r="C10832">
        <v>9</v>
      </c>
      <c r="D10832" s="11">
        <v>42979</v>
      </c>
      <c r="E10832" t="s">
        <v>2181</v>
      </c>
      <c r="F10832">
        <v>6</v>
      </c>
      <c r="G10832" t="s">
        <v>57</v>
      </c>
      <c r="H10832" t="s">
        <v>46</v>
      </c>
      <c r="I10832" t="s">
        <v>2194</v>
      </c>
      <c r="J10832" s="10">
        <v>0</v>
      </c>
      <c r="K10832" t="b">
        <v>1</v>
      </c>
    </row>
    <row r="10833" spans="1:11">
      <c r="A10833" s="12">
        <v>42994</v>
      </c>
      <c r="B10833">
        <v>2017</v>
      </c>
      <c r="C10833">
        <v>9</v>
      </c>
      <c r="D10833" s="11">
        <v>42979</v>
      </c>
      <c r="E10833" t="s">
        <v>2181</v>
      </c>
      <c r="F10833">
        <v>6</v>
      </c>
      <c r="G10833" t="s">
        <v>57</v>
      </c>
      <c r="H10833" t="s">
        <v>47</v>
      </c>
      <c r="I10833" t="s">
        <v>2195</v>
      </c>
      <c r="J10833" s="10">
        <v>1.2</v>
      </c>
      <c r="K10833" t="b">
        <v>1</v>
      </c>
    </row>
    <row r="10834" spans="1:11">
      <c r="A10834" s="12">
        <v>42995</v>
      </c>
      <c r="B10834">
        <v>2017</v>
      </c>
      <c r="C10834">
        <v>9</v>
      </c>
      <c r="D10834" s="11">
        <v>42979</v>
      </c>
      <c r="E10834" t="s">
        <v>2181</v>
      </c>
      <c r="F10834">
        <v>7</v>
      </c>
      <c r="G10834" t="s">
        <v>59</v>
      </c>
      <c r="H10834" t="s">
        <v>40</v>
      </c>
      <c r="I10834" t="s">
        <v>2188</v>
      </c>
      <c r="J10834" s="10">
        <v>5</v>
      </c>
      <c r="K10834" t="b">
        <v>1</v>
      </c>
    </row>
    <row r="10835" spans="1:11">
      <c r="A10835" s="12">
        <v>42995</v>
      </c>
      <c r="B10835">
        <v>2017</v>
      </c>
      <c r="C10835">
        <v>9</v>
      </c>
      <c r="D10835" s="11">
        <v>42979</v>
      </c>
      <c r="E10835" t="s">
        <v>2181</v>
      </c>
      <c r="F10835">
        <v>7</v>
      </c>
      <c r="G10835" t="s">
        <v>59</v>
      </c>
      <c r="H10835" t="s">
        <v>41</v>
      </c>
      <c r="I10835" t="s">
        <v>2189</v>
      </c>
      <c r="J10835" s="10">
        <v>4.34</v>
      </c>
      <c r="K10835" t="b">
        <v>1</v>
      </c>
    </row>
    <row r="10836" spans="1:11">
      <c r="A10836" s="12">
        <v>42995</v>
      </c>
      <c r="B10836">
        <v>2017</v>
      </c>
      <c r="C10836">
        <v>9</v>
      </c>
      <c r="D10836" s="11">
        <v>42979</v>
      </c>
      <c r="E10836" t="s">
        <v>2181</v>
      </c>
      <c r="F10836">
        <v>7</v>
      </c>
      <c r="G10836" t="s">
        <v>59</v>
      </c>
      <c r="H10836" t="s">
        <v>42</v>
      </c>
      <c r="I10836" t="s">
        <v>2190</v>
      </c>
      <c r="J10836" s="10">
        <v>4</v>
      </c>
      <c r="K10836" t="b">
        <v>1</v>
      </c>
    </row>
    <row r="10837" spans="1:11">
      <c r="A10837" s="12">
        <v>42995</v>
      </c>
      <c r="B10837">
        <v>2017</v>
      </c>
      <c r="C10837">
        <v>9</v>
      </c>
      <c r="D10837" s="11">
        <v>42979</v>
      </c>
      <c r="E10837" t="s">
        <v>2181</v>
      </c>
      <c r="F10837">
        <v>7</v>
      </c>
      <c r="G10837" t="s">
        <v>59</v>
      </c>
      <c r="H10837" t="s">
        <v>43</v>
      </c>
      <c r="I10837" t="s">
        <v>2191</v>
      </c>
      <c r="J10837" s="10">
        <v>32</v>
      </c>
      <c r="K10837" t="b">
        <v>1</v>
      </c>
    </row>
    <row r="10838" spans="1:11">
      <c r="A10838" s="12">
        <v>42995</v>
      </c>
      <c r="B10838">
        <v>2017</v>
      </c>
      <c r="C10838">
        <v>9</v>
      </c>
      <c r="D10838" s="11">
        <v>42979</v>
      </c>
      <c r="E10838" t="s">
        <v>2181</v>
      </c>
      <c r="F10838">
        <v>7</v>
      </c>
      <c r="G10838" t="s">
        <v>59</v>
      </c>
      <c r="H10838" t="s">
        <v>44</v>
      </c>
      <c r="I10838" t="s">
        <v>2192</v>
      </c>
      <c r="J10838" s="10">
        <v>6</v>
      </c>
      <c r="K10838" t="b">
        <v>1</v>
      </c>
    </row>
    <row r="10839" spans="1:11">
      <c r="A10839" s="12">
        <v>42995</v>
      </c>
      <c r="B10839">
        <v>2017</v>
      </c>
      <c r="C10839">
        <v>9</v>
      </c>
      <c r="D10839" s="11">
        <v>42979</v>
      </c>
      <c r="E10839" t="s">
        <v>2181</v>
      </c>
      <c r="F10839">
        <v>7</v>
      </c>
      <c r="G10839" t="s">
        <v>59</v>
      </c>
      <c r="H10839" t="s">
        <v>45</v>
      </c>
      <c r="I10839" t="s">
        <v>2193</v>
      </c>
      <c r="J10839" s="10">
        <v>1</v>
      </c>
      <c r="K10839" t="b">
        <v>1</v>
      </c>
    </row>
    <row r="10840" spans="1:11">
      <c r="A10840" s="12">
        <v>42995</v>
      </c>
      <c r="B10840">
        <v>2017</v>
      </c>
      <c r="C10840">
        <v>9</v>
      </c>
      <c r="D10840" s="11">
        <v>42979</v>
      </c>
      <c r="E10840" t="s">
        <v>2181</v>
      </c>
      <c r="F10840">
        <v>7</v>
      </c>
      <c r="G10840" t="s">
        <v>59</v>
      </c>
      <c r="H10840" t="s">
        <v>46</v>
      </c>
      <c r="I10840" t="s">
        <v>2194</v>
      </c>
      <c r="J10840" s="10">
        <v>7</v>
      </c>
      <c r="K10840" t="b">
        <v>1</v>
      </c>
    </row>
    <row r="10841" spans="1:11">
      <c r="A10841" s="12">
        <v>42995</v>
      </c>
      <c r="B10841">
        <v>2017</v>
      </c>
      <c r="C10841">
        <v>9</v>
      </c>
      <c r="D10841" s="11">
        <v>42979</v>
      </c>
      <c r="E10841" t="s">
        <v>2181</v>
      </c>
      <c r="F10841">
        <v>7</v>
      </c>
      <c r="G10841" t="s">
        <v>59</v>
      </c>
      <c r="H10841" t="s">
        <v>47</v>
      </c>
      <c r="I10841" t="s">
        <v>2195</v>
      </c>
      <c r="J10841" s="10">
        <v>5</v>
      </c>
      <c r="K10841" t="b">
        <v>1</v>
      </c>
    </row>
    <row r="10842" spans="1:11">
      <c r="A10842" s="12">
        <v>42996</v>
      </c>
      <c r="B10842">
        <v>2017</v>
      </c>
      <c r="C10842">
        <v>9</v>
      </c>
      <c r="D10842" s="11">
        <v>42979</v>
      </c>
      <c r="E10842" t="s">
        <v>2181</v>
      </c>
      <c r="F10842">
        <v>1</v>
      </c>
      <c r="G10842" t="s">
        <v>61</v>
      </c>
      <c r="H10842" t="s">
        <v>40</v>
      </c>
      <c r="I10842" t="s">
        <v>2188</v>
      </c>
      <c r="J10842" s="10">
        <v>9</v>
      </c>
      <c r="K10842" t="b">
        <v>1</v>
      </c>
    </row>
    <row r="10843" spans="1:11">
      <c r="A10843" s="12">
        <v>42996</v>
      </c>
      <c r="B10843">
        <v>2017</v>
      </c>
      <c r="C10843">
        <v>9</v>
      </c>
      <c r="D10843" s="11">
        <v>42979</v>
      </c>
      <c r="E10843" t="s">
        <v>2181</v>
      </c>
      <c r="F10843">
        <v>1</v>
      </c>
      <c r="G10843" t="s">
        <v>61</v>
      </c>
      <c r="H10843" t="s">
        <v>41</v>
      </c>
      <c r="I10843" t="s">
        <v>2189</v>
      </c>
      <c r="J10843" s="10">
        <v>4.34</v>
      </c>
      <c r="K10843" t="b">
        <v>1</v>
      </c>
    </row>
    <row r="10844" spans="1:11">
      <c r="A10844" s="12">
        <v>42996</v>
      </c>
      <c r="B10844">
        <v>2017</v>
      </c>
      <c r="C10844">
        <v>9</v>
      </c>
      <c r="D10844" s="11">
        <v>42979</v>
      </c>
      <c r="E10844" t="s">
        <v>2181</v>
      </c>
      <c r="F10844">
        <v>1</v>
      </c>
      <c r="G10844" t="s">
        <v>61</v>
      </c>
      <c r="H10844" t="s">
        <v>42</v>
      </c>
      <c r="I10844" t="s">
        <v>2190</v>
      </c>
      <c r="J10844" s="10">
        <v>1</v>
      </c>
      <c r="K10844" t="b">
        <v>1</v>
      </c>
    </row>
    <row r="10845" spans="1:11">
      <c r="A10845" s="12">
        <v>42996</v>
      </c>
      <c r="B10845">
        <v>2017</v>
      </c>
      <c r="C10845">
        <v>9</v>
      </c>
      <c r="D10845" s="11">
        <v>42979</v>
      </c>
      <c r="E10845" t="s">
        <v>2181</v>
      </c>
      <c r="F10845">
        <v>1</v>
      </c>
      <c r="G10845" t="s">
        <v>61</v>
      </c>
      <c r="H10845" t="s">
        <v>43</v>
      </c>
      <c r="I10845" t="s">
        <v>2191</v>
      </c>
      <c r="J10845" s="10">
        <v>27</v>
      </c>
      <c r="K10845" t="b">
        <v>1</v>
      </c>
    </row>
    <row r="10846" spans="1:11">
      <c r="A10846" s="12">
        <v>42996</v>
      </c>
      <c r="B10846">
        <v>2017</v>
      </c>
      <c r="C10846">
        <v>9</v>
      </c>
      <c r="D10846" s="11">
        <v>42979</v>
      </c>
      <c r="E10846" t="s">
        <v>2181</v>
      </c>
      <c r="F10846">
        <v>1</v>
      </c>
      <c r="G10846" t="s">
        <v>61</v>
      </c>
      <c r="H10846" t="s">
        <v>44</v>
      </c>
      <c r="I10846" t="s">
        <v>2192</v>
      </c>
      <c r="J10846" s="10">
        <v>7</v>
      </c>
      <c r="K10846" t="b">
        <v>1</v>
      </c>
    </row>
    <row r="10847" spans="1:11">
      <c r="A10847" s="12">
        <v>42996</v>
      </c>
      <c r="B10847">
        <v>2017</v>
      </c>
      <c r="C10847">
        <v>9</v>
      </c>
      <c r="D10847" s="11">
        <v>42979</v>
      </c>
      <c r="E10847" t="s">
        <v>2181</v>
      </c>
      <c r="F10847">
        <v>1</v>
      </c>
      <c r="G10847" t="s">
        <v>61</v>
      </c>
      <c r="H10847" t="s">
        <v>45</v>
      </c>
      <c r="I10847" t="s">
        <v>2193</v>
      </c>
      <c r="J10847" s="10">
        <v>0</v>
      </c>
      <c r="K10847" t="b">
        <v>1</v>
      </c>
    </row>
    <row r="10848" spans="1:11">
      <c r="A10848" s="12">
        <v>42996</v>
      </c>
      <c r="B10848">
        <v>2017</v>
      </c>
      <c r="C10848">
        <v>9</v>
      </c>
      <c r="D10848" s="11">
        <v>42979</v>
      </c>
      <c r="E10848" t="s">
        <v>2181</v>
      </c>
      <c r="F10848">
        <v>1</v>
      </c>
      <c r="G10848" t="s">
        <v>61</v>
      </c>
      <c r="H10848" t="s">
        <v>46</v>
      </c>
      <c r="I10848" t="s">
        <v>2194</v>
      </c>
      <c r="J10848" s="10">
        <v>1</v>
      </c>
      <c r="K10848" t="b">
        <v>1</v>
      </c>
    </row>
    <row r="10849" spans="1:11">
      <c r="A10849" s="12">
        <v>42996</v>
      </c>
      <c r="B10849">
        <v>2017</v>
      </c>
      <c r="C10849">
        <v>9</v>
      </c>
      <c r="D10849" s="11">
        <v>42979</v>
      </c>
      <c r="E10849" t="s">
        <v>2181</v>
      </c>
      <c r="F10849">
        <v>1</v>
      </c>
      <c r="G10849" t="s">
        <v>61</v>
      </c>
      <c r="H10849" t="s">
        <v>47</v>
      </c>
      <c r="I10849" t="s">
        <v>2195</v>
      </c>
      <c r="J10849" s="10">
        <v>2</v>
      </c>
      <c r="K10849" t="b">
        <v>1</v>
      </c>
    </row>
    <row r="10850" spans="1:11">
      <c r="A10850" s="12">
        <v>42997</v>
      </c>
      <c r="B10850">
        <v>2017</v>
      </c>
      <c r="C10850">
        <v>9</v>
      </c>
      <c r="D10850" s="11">
        <v>42979</v>
      </c>
      <c r="E10850" t="s">
        <v>2181</v>
      </c>
      <c r="F10850">
        <v>2</v>
      </c>
      <c r="G10850" t="s">
        <v>63</v>
      </c>
      <c r="H10850" t="s">
        <v>40</v>
      </c>
      <c r="I10850" t="s">
        <v>2188</v>
      </c>
      <c r="J10850" s="10">
        <v>3.33</v>
      </c>
      <c r="K10850" t="b">
        <v>1</v>
      </c>
    </row>
    <row r="10851" spans="1:11">
      <c r="A10851" s="12">
        <v>42997</v>
      </c>
      <c r="B10851">
        <v>2017</v>
      </c>
      <c r="C10851">
        <v>9</v>
      </c>
      <c r="D10851" s="11">
        <v>42979</v>
      </c>
      <c r="E10851" t="s">
        <v>2181</v>
      </c>
      <c r="F10851">
        <v>2</v>
      </c>
      <c r="G10851" t="s">
        <v>63</v>
      </c>
      <c r="H10851" t="s">
        <v>41</v>
      </c>
      <c r="I10851" t="s">
        <v>2189</v>
      </c>
      <c r="J10851" s="10">
        <v>6.033</v>
      </c>
      <c r="K10851" t="b">
        <v>1</v>
      </c>
    </row>
    <row r="10852" spans="1:11">
      <c r="A10852" s="12">
        <v>42997</v>
      </c>
      <c r="B10852">
        <v>2017</v>
      </c>
      <c r="C10852">
        <v>9</v>
      </c>
      <c r="D10852" s="11">
        <v>42979</v>
      </c>
      <c r="E10852" t="s">
        <v>2181</v>
      </c>
      <c r="F10852">
        <v>2</v>
      </c>
      <c r="G10852" t="s">
        <v>63</v>
      </c>
      <c r="H10852" t="s">
        <v>42</v>
      </c>
      <c r="I10852" t="s">
        <v>2190</v>
      </c>
      <c r="J10852" s="10">
        <v>1</v>
      </c>
      <c r="K10852" t="b">
        <v>1</v>
      </c>
    </row>
    <row r="10853" spans="1:11">
      <c r="A10853" s="12">
        <v>42997</v>
      </c>
      <c r="B10853">
        <v>2017</v>
      </c>
      <c r="C10853">
        <v>9</v>
      </c>
      <c r="D10853" s="11">
        <v>42979</v>
      </c>
      <c r="E10853" t="s">
        <v>2181</v>
      </c>
      <c r="F10853">
        <v>2</v>
      </c>
      <c r="G10853" t="s">
        <v>63</v>
      </c>
      <c r="H10853" t="s">
        <v>43</v>
      </c>
      <c r="I10853" t="s">
        <v>2191</v>
      </c>
      <c r="J10853" s="10">
        <v>43.25</v>
      </c>
      <c r="K10853" t="b">
        <v>1</v>
      </c>
    </row>
    <row r="10854" spans="1:11">
      <c r="A10854" s="12">
        <v>42997</v>
      </c>
      <c r="B10854">
        <v>2017</v>
      </c>
      <c r="C10854">
        <v>9</v>
      </c>
      <c r="D10854" s="11">
        <v>42979</v>
      </c>
      <c r="E10854" t="s">
        <v>2181</v>
      </c>
      <c r="F10854">
        <v>2</v>
      </c>
      <c r="G10854" t="s">
        <v>63</v>
      </c>
      <c r="H10854" t="s">
        <v>44</v>
      </c>
      <c r="I10854" t="s">
        <v>2192</v>
      </c>
      <c r="J10854" s="10">
        <v>6</v>
      </c>
      <c r="K10854" t="b">
        <v>1</v>
      </c>
    </row>
    <row r="10855" spans="1:11">
      <c r="A10855" s="12">
        <v>42997</v>
      </c>
      <c r="B10855">
        <v>2017</v>
      </c>
      <c r="C10855">
        <v>9</v>
      </c>
      <c r="D10855" s="11">
        <v>42979</v>
      </c>
      <c r="E10855" t="s">
        <v>2181</v>
      </c>
      <c r="F10855">
        <v>2</v>
      </c>
      <c r="G10855" t="s">
        <v>63</v>
      </c>
      <c r="H10855" t="s">
        <v>45</v>
      </c>
      <c r="I10855" t="s">
        <v>2193</v>
      </c>
      <c r="J10855" s="10">
        <v>2</v>
      </c>
      <c r="K10855" t="b">
        <v>1</v>
      </c>
    </row>
    <row r="10856" spans="1:11">
      <c r="A10856" s="12">
        <v>42997</v>
      </c>
      <c r="B10856">
        <v>2017</v>
      </c>
      <c r="C10856">
        <v>9</v>
      </c>
      <c r="D10856" s="11">
        <v>42979</v>
      </c>
      <c r="E10856" t="s">
        <v>2181</v>
      </c>
      <c r="F10856">
        <v>2</v>
      </c>
      <c r="G10856" t="s">
        <v>63</v>
      </c>
      <c r="H10856" t="s">
        <v>46</v>
      </c>
      <c r="I10856" t="s">
        <v>2194</v>
      </c>
      <c r="J10856" s="10">
        <v>6</v>
      </c>
      <c r="K10856" t="b">
        <v>1</v>
      </c>
    </row>
    <row r="10857" spans="1:11">
      <c r="A10857" s="12">
        <v>42997</v>
      </c>
      <c r="B10857">
        <v>2017</v>
      </c>
      <c r="C10857">
        <v>9</v>
      </c>
      <c r="D10857" s="11">
        <v>42979</v>
      </c>
      <c r="E10857" t="s">
        <v>2181</v>
      </c>
      <c r="F10857">
        <v>2</v>
      </c>
      <c r="G10857" t="s">
        <v>63</v>
      </c>
      <c r="H10857" t="s">
        <v>47</v>
      </c>
      <c r="I10857" t="s">
        <v>2195</v>
      </c>
      <c r="J10857" s="10">
        <v>9</v>
      </c>
      <c r="K10857" t="b">
        <v>1</v>
      </c>
    </row>
    <row r="10858" spans="1:11">
      <c r="A10858" s="12">
        <v>42998</v>
      </c>
      <c r="B10858">
        <v>2017</v>
      </c>
      <c r="C10858">
        <v>9</v>
      </c>
      <c r="D10858" s="11">
        <v>42979</v>
      </c>
      <c r="E10858" t="s">
        <v>2181</v>
      </c>
      <c r="F10858">
        <v>3</v>
      </c>
      <c r="G10858" t="s">
        <v>65</v>
      </c>
      <c r="H10858" t="s">
        <v>40</v>
      </c>
      <c r="I10858" t="s">
        <v>2188</v>
      </c>
      <c r="J10858" s="10">
        <v>2</v>
      </c>
      <c r="K10858" t="b">
        <v>1</v>
      </c>
    </row>
    <row r="10859" spans="1:11">
      <c r="A10859" s="12">
        <v>42998</v>
      </c>
      <c r="B10859">
        <v>2017</v>
      </c>
      <c r="C10859">
        <v>9</v>
      </c>
      <c r="D10859" s="11">
        <v>42979</v>
      </c>
      <c r="E10859" t="s">
        <v>2181</v>
      </c>
      <c r="F10859">
        <v>3</v>
      </c>
      <c r="G10859" t="s">
        <v>65</v>
      </c>
      <c r="H10859" t="s">
        <v>41</v>
      </c>
      <c r="I10859" t="s">
        <v>2189</v>
      </c>
      <c r="J10859" s="10">
        <v>2.363</v>
      </c>
      <c r="K10859" t="b">
        <v>1</v>
      </c>
    </row>
    <row r="10860" spans="1:11">
      <c r="A10860" s="12">
        <v>42998</v>
      </c>
      <c r="B10860">
        <v>2017</v>
      </c>
      <c r="C10860">
        <v>9</v>
      </c>
      <c r="D10860" s="11">
        <v>42979</v>
      </c>
      <c r="E10860" t="s">
        <v>2181</v>
      </c>
      <c r="F10860">
        <v>3</v>
      </c>
      <c r="G10860" t="s">
        <v>65</v>
      </c>
      <c r="H10860" t="s">
        <v>42</v>
      </c>
      <c r="I10860" t="s">
        <v>2190</v>
      </c>
      <c r="J10860" s="10">
        <v>0.1</v>
      </c>
      <c r="K10860" t="b">
        <v>1</v>
      </c>
    </row>
    <row r="10861" spans="1:11">
      <c r="A10861" s="12">
        <v>42998</v>
      </c>
      <c r="B10861">
        <v>2017</v>
      </c>
      <c r="C10861">
        <v>9</v>
      </c>
      <c r="D10861" s="11">
        <v>42979</v>
      </c>
      <c r="E10861" t="s">
        <v>2181</v>
      </c>
      <c r="F10861">
        <v>3</v>
      </c>
      <c r="G10861" t="s">
        <v>65</v>
      </c>
      <c r="H10861" t="s">
        <v>43</v>
      </c>
      <c r="I10861" t="s">
        <v>2191</v>
      </c>
      <c r="J10861" s="10">
        <v>35.45</v>
      </c>
      <c r="K10861" t="b">
        <v>1</v>
      </c>
    </row>
    <row r="10862" spans="1:11">
      <c r="A10862" s="12">
        <v>42998</v>
      </c>
      <c r="B10862">
        <v>2017</v>
      </c>
      <c r="C10862">
        <v>9</v>
      </c>
      <c r="D10862" s="11">
        <v>42979</v>
      </c>
      <c r="E10862" t="s">
        <v>2181</v>
      </c>
      <c r="F10862">
        <v>3</v>
      </c>
      <c r="G10862" t="s">
        <v>65</v>
      </c>
      <c r="H10862" t="s">
        <v>44</v>
      </c>
      <c r="I10862" t="s">
        <v>2192</v>
      </c>
      <c r="J10862" s="10">
        <v>6</v>
      </c>
      <c r="K10862" t="b">
        <v>1</v>
      </c>
    </row>
    <row r="10863" spans="1:11">
      <c r="A10863" s="12">
        <v>42998</v>
      </c>
      <c r="B10863">
        <v>2017</v>
      </c>
      <c r="C10863">
        <v>9</v>
      </c>
      <c r="D10863" s="11">
        <v>42979</v>
      </c>
      <c r="E10863" t="s">
        <v>2181</v>
      </c>
      <c r="F10863">
        <v>3</v>
      </c>
      <c r="G10863" t="s">
        <v>65</v>
      </c>
      <c r="H10863" t="s">
        <v>45</v>
      </c>
      <c r="I10863" t="s">
        <v>2193</v>
      </c>
      <c r="J10863" s="10">
        <v>0</v>
      </c>
      <c r="K10863" t="b">
        <v>1</v>
      </c>
    </row>
    <row r="10864" spans="1:11">
      <c r="A10864" s="12">
        <v>42998</v>
      </c>
      <c r="B10864">
        <v>2017</v>
      </c>
      <c r="C10864">
        <v>9</v>
      </c>
      <c r="D10864" s="11">
        <v>42979</v>
      </c>
      <c r="E10864" t="s">
        <v>2181</v>
      </c>
      <c r="F10864">
        <v>3</v>
      </c>
      <c r="G10864" t="s">
        <v>65</v>
      </c>
      <c r="H10864" t="s">
        <v>46</v>
      </c>
      <c r="I10864" t="s">
        <v>2194</v>
      </c>
      <c r="J10864" s="10">
        <v>6</v>
      </c>
      <c r="K10864" t="b">
        <v>1</v>
      </c>
    </row>
    <row r="10865" spans="1:11">
      <c r="A10865" s="12">
        <v>42998</v>
      </c>
      <c r="B10865">
        <v>2017</v>
      </c>
      <c r="C10865">
        <v>9</v>
      </c>
      <c r="D10865" s="11">
        <v>42979</v>
      </c>
      <c r="E10865" t="s">
        <v>2181</v>
      </c>
      <c r="F10865">
        <v>3</v>
      </c>
      <c r="G10865" t="s">
        <v>65</v>
      </c>
      <c r="H10865" t="s">
        <v>47</v>
      </c>
      <c r="I10865" t="s">
        <v>2195</v>
      </c>
      <c r="J10865" s="10">
        <v>0</v>
      </c>
      <c r="K10865" t="b">
        <v>1</v>
      </c>
    </row>
    <row r="10866" spans="1:11">
      <c r="A10866" s="12">
        <v>42999</v>
      </c>
      <c r="B10866">
        <v>2017</v>
      </c>
      <c r="C10866">
        <v>9</v>
      </c>
      <c r="D10866" s="11">
        <v>42979</v>
      </c>
      <c r="E10866" t="s">
        <v>2181</v>
      </c>
      <c r="F10866">
        <v>4</v>
      </c>
      <c r="G10866" t="s">
        <v>53</v>
      </c>
      <c r="H10866" t="s">
        <v>40</v>
      </c>
      <c r="I10866" t="s">
        <v>2188</v>
      </c>
      <c r="J10866" s="10">
        <v>7.34</v>
      </c>
      <c r="K10866" t="b">
        <v>1</v>
      </c>
    </row>
    <row r="10867" spans="1:11">
      <c r="A10867" s="12">
        <v>42999</v>
      </c>
      <c r="B10867">
        <v>2017</v>
      </c>
      <c r="C10867">
        <v>9</v>
      </c>
      <c r="D10867" s="11">
        <v>42979</v>
      </c>
      <c r="E10867" t="s">
        <v>2181</v>
      </c>
      <c r="F10867">
        <v>4</v>
      </c>
      <c r="G10867" t="s">
        <v>53</v>
      </c>
      <c r="H10867" t="s">
        <v>41</v>
      </c>
      <c r="I10867" t="s">
        <v>2189</v>
      </c>
      <c r="J10867" s="10">
        <v>3.696</v>
      </c>
      <c r="K10867" t="b">
        <v>1</v>
      </c>
    </row>
    <row r="10868" spans="1:11">
      <c r="A10868" s="12">
        <v>42999</v>
      </c>
      <c r="B10868">
        <v>2017</v>
      </c>
      <c r="C10868">
        <v>9</v>
      </c>
      <c r="D10868" s="11">
        <v>42979</v>
      </c>
      <c r="E10868" t="s">
        <v>2181</v>
      </c>
      <c r="F10868">
        <v>4</v>
      </c>
      <c r="G10868" t="s">
        <v>53</v>
      </c>
      <c r="H10868" t="s">
        <v>42</v>
      </c>
      <c r="I10868" t="s">
        <v>2190</v>
      </c>
      <c r="J10868" s="10">
        <v>1</v>
      </c>
      <c r="K10868" t="b">
        <v>1</v>
      </c>
    </row>
    <row r="10869" spans="1:11">
      <c r="A10869" s="12">
        <v>42999</v>
      </c>
      <c r="B10869">
        <v>2017</v>
      </c>
      <c r="C10869">
        <v>9</v>
      </c>
      <c r="D10869" s="11">
        <v>42979</v>
      </c>
      <c r="E10869" t="s">
        <v>2181</v>
      </c>
      <c r="F10869">
        <v>4</v>
      </c>
      <c r="G10869" t="s">
        <v>53</v>
      </c>
      <c r="H10869" t="s">
        <v>43</v>
      </c>
      <c r="I10869" t="s">
        <v>2191</v>
      </c>
      <c r="J10869" s="10">
        <v>19.7</v>
      </c>
      <c r="K10869" t="b">
        <v>1</v>
      </c>
    </row>
    <row r="10870" spans="1:11">
      <c r="A10870" s="12">
        <v>42999</v>
      </c>
      <c r="B10870">
        <v>2017</v>
      </c>
      <c r="C10870">
        <v>9</v>
      </c>
      <c r="D10870" s="11">
        <v>42979</v>
      </c>
      <c r="E10870" t="s">
        <v>2181</v>
      </c>
      <c r="F10870">
        <v>4</v>
      </c>
      <c r="G10870" t="s">
        <v>53</v>
      </c>
      <c r="H10870" t="s">
        <v>44</v>
      </c>
      <c r="I10870" t="s">
        <v>2192</v>
      </c>
      <c r="J10870" s="10">
        <v>8</v>
      </c>
      <c r="K10870" t="b">
        <v>1</v>
      </c>
    </row>
    <row r="10871" spans="1:11">
      <c r="A10871" s="12">
        <v>42999</v>
      </c>
      <c r="B10871">
        <v>2017</v>
      </c>
      <c r="C10871">
        <v>9</v>
      </c>
      <c r="D10871" s="11">
        <v>42979</v>
      </c>
      <c r="E10871" t="s">
        <v>2181</v>
      </c>
      <c r="F10871">
        <v>4</v>
      </c>
      <c r="G10871" t="s">
        <v>53</v>
      </c>
      <c r="H10871" t="s">
        <v>45</v>
      </c>
      <c r="I10871" t="s">
        <v>2193</v>
      </c>
      <c r="J10871" s="10">
        <v>2</v>
      </c>
      <c r="K10871" t="b">
        <v>1</v>
      </c>
    </row>
    <row r="10872" spans="1:11">
      <c r="A10872" s="12">
        <v>42999</v>
      </c>
      <c r="B10872">
        <v>2017</v>
      </c>
      <c r="C10872">
        <v>9</v>
      </c>
      <c r="D10872" s="11">
        <v>42979</v>
      </c>
      <c r="E10872" t="s">
        <v>2181</v>
      </c>
      <c r="F10872">
        <v>4</v>
      </c>
      <c r="G10872" t="s">
        <v>53</v>
      </c>
      <c r="H10872" t="s">
        <v>46</v>
      </c>
      <c r="I10872" t="s">
        <v>2194</v>
      </c>
      <c r="J10872" s="10">
        <v>0</v>
      </c>
      <c r="K10872" t="b">
        <v>1</v>
      </c>
    </row>
    <row r="10873" spans="1:11">
      <c r="A10873" s="12">
        <v>42999</v>
      </c>
      <c r="B10873">
        <v>2017</v>
      </c>
      <c r="C10873">
        <v>9</v>
      </c>
      <c r="D10873" s="11">
        <v>42979</v>
      </c>
      <c r="E10873" t="s">
        <v>2181</v>
      </c>
      <c r="F10873">
        <v>4</v>
      </c>
      <c r="G10873" t="s">
        <v>53</v>
      </c>
      <c r="H10873" t="s">
        <v>47</v>
      </c>
      <c r="I10873" t="s">
        <v>2195</v>
      </c>
      <c r="J10873" s="10">
        <v>1</v>
      </c>
      <c r="K10873" t="b">
        <v>1</v>
      </c>
    </row>
    <row r="10874" spans="1:11">
      <c r="A10874" s="12">
        <v>43000</v>
      </c>
      <c r="B10874">
        <v>2017</v>
      </c>
      <c r="C10874">
        <v>9</v>
      </c>
      <c r="D10874" s="11">
        <v>42979</v>
      </c>
      <c r="E10874" t="s">
        <v>2181</v>
      </c>
      <c r="F10874">
        <v>5</v>
      </c>
      <c r="G10874" t="s">
        <v>55</v>
      </c>
      <c r="H10874" t="s">
        <v>40</v>
      </c>
      <c r="I10874" t="s">
        <v>2188</v>
      </c>
      <c r="J10874" s="10">
        <v>4.66</v>
      </c>
      <c r="K10874" t="b">
        <v>1</v>
      </c>
    </row>
    <row r="10875" spans="1:11">
      <c r="A10875" s="12">
        <v>43000</v>
      </c>
      <c r="B10875">
        <v>2017</v>
      </c>
      <c r="C10875">
        <v>9</v>
      </c>
      <c r="D10875" s="11">
        <v>42979</v>
      </c>
      <c r="E10875" t="s">
        <v>2181</v>
      </c>
      <c r="F10875">
        <v>5</v>
      </c>
      <c r="G10875" t="s">
        <v>55</v>
      </c>
      <c r="H10875" t="s">
        <v>41</v>
      </c>
      <c r="I10875" t="s">
        <v>2189</v>
      </c>
      <c r="J10875" s="10">
        <v>2.241</v>
      </c>
      <c r="K10875" t="b">
        <v>1</v>
      </c>
    </row>
    <row r="10876" spans="1:11">
      <c r="A10876" s="12">
        <v>43000</v>
      </c>
      <c r="B10876">
        <v>2017</v>
      </c>
      <c r="C10876">
        <v>9</v>
      </c>
      <c r="D10876" s="11">
        <v>42979</v>
      </c>
      <c r="E10876" t="s">
        <v>2181</v>
      </c>
      <c r="F10876">
        <v>5</v>
      </c>
      <c r="G10876" t="s">
        <v>55</v>
      </c>
      <c r="H10876" t="s">
        <v>42</v>
      </c>
      <c r="I10876" t="s">
        <v>2190</v>
      </c>
      <c r="J10876" s="10">
        <v>3</v>
      </c>
      <c r="K10876" t="b">
        <v>1</v>
      </c>
    </row>
    <row r="10877" spans="1:11">
      <c r="A10877" s="12">
        <v>43000</v>
      </c>
      <c r="B10877">
        <v>2017</v>
      </c>
      <c r="C10877">
        <v>9</v>
      </c>
      <c r="D10877" s="11">
        <v>42979</v>
      </c>
      <c r="E10877" t="s">
        <v>2181</v>
      </c>
      <c r="F10877">
        <v>5</v>
      </c>
      <c r="G10877" t="s">
        <v>55</v>
      </c>
      <c r="H10877" t="s">
        <v>43</v>
      </c>
      <c r="I10877" t="s">
        <v>2191</v>
      </c>
      <c r="J10877" s="10">
        <v>27.5</v>
      </c>
      <c r="K10877" t="b">
        <v>1</v>
      </c>
    </row>
    <row r="10878" spans="1:11">
      <c r="A10878" s="12">
        <v>43000</v>
      </c>
      <c r="B10878">
        <v>2017</v>
      </c>
      <c r="C10878">
        <v>9</v>
      </c>
      <c r="D10878" s="11">
        <v>42979</v>
      </c>
      <c r="E10878" t="s">
        <v>2181</v>
      </c>
      <c r="F10878">
        <v>5</v>
      </c>
      <c r="G10878" t="s">
        <v>55</v>
      </c>
      <c r="H10878" t="s">
        <v>44</v>
      </c>
      <c r="I10878" t="s">
        <v>2192</v>
      </c>
      <c r="J10878" s="10">
        <v>2</v>
      </c>
      <c r="K10878" t="b">
        <v>1</v>
      </c>
    </row>
    <row r="10879" spans="1:11">
      <c r="A10879" s="12">
        <v>43000</v>
      </c>
      <c r="B10879">
        <v>2017</v>
      </c>
      <c r="C10879">
        <v>9</v>
      </c>
      <c r="D10879" s="11">
        <v>42979</v>
      </c>
      <c r="E10879" t="s">
        <v>2181</v>
      </c>
      <c r="F10879">
        <v>5</v>
      </c>
      <c r="G10879" t="s">
        <v>55</v>
      </c>
      <c r="H10879" t="s">
        <v>45</v>
      </c>
      <c r="I10879" t="s">
        <v>2193</v>
      </c>
      <c r="J10879" s="10">
        <v>0</v>
      </c>
      <c r="K10879" t="b">
        <v>1</v>
      </c>
    </row>
    <row r="10880" spans="1:11">
      <c r="A10880" s="12">
        <v>43000</v>
      </c>
      <c r="B10880">
        <v>2017</v>
      </c>
      <c r="C10880">
        <v>9</v>
      </c>
      <c r="D10880" s="11">
        <v>42979</v>
      </c>
      <c r="E10880" t="s">
        <v>2181</v>
      </c>
      <c r="F10880">
        <v>5</v>
      </c>
      <c r="G10880" t="s">
        <v>55</v>
      </c>
      <c r="H10880" t="s">
        <v>46</v>
      </c>
      <c r="I10880" t="s">
        <v>2194</v>
      </c>
      <c r="J10880" s="10">
        <v>0</v>
      </c>
      <c r="K10880" t="b">
        <v>1</v>
      </c>
    </row>
    <row r="10881" spans="1:11">
      <c r="A10881" s="12">
        <v>43000</v>
      </c>
      <c r="B10881">
        <v>2017</v>
      </c>
      <c r="C10881">
        <v>9</v>
      </c>
      <c r="D10881" s="11">
        <v>42979</v>
      </c>
      <c r="E10881" t="s">
        <v>2181</v>
      </c>
      <c r="F10881">
        <v>5</v>
      </c>
      <c r="G10881" t="s">
        <v>55</v>
      </c>
      <c r="H10881" t="s">
        <v>47</v>
      </c>
      <c r="I10881" t="s">
        <v>2195</v>
      </c>
      <c r="J10881" s="10">
        <v>3</v>
      </c>
      <c r="K10881" t="b">
        <v>1</v>
      </c>
    </row>
    <row r="10882" spans="1:11">
      <c r="A10882" s="12">
        <v>43001</v>
      </c>
      <c r="B10882">
        <v>2017</v>
      </c>
      <c r="C10882">
        <v>9</v>
      </c>
      <c r="D10882" s="11">
        <v>42979</v>
      </c>
      <c r="E10882" t="s">
        <v>2181</v>
      </c>
      <c r="F10882">
        <v>6</v>
      </c>
      <c r="G10882" t="s">
        <v>57</v>
      </c>
      <c r="H10882" t="s">
        <v>40</v>
      </c>
      <c r="I10882" t="s">
        <v>2188</v>
      </c>
      <c r="J10882" s="10">
        <v>9.99</v>
      </c>
      <c r="K10882" t="b">
        <v>1</v>
      </c>
    </row>
    <row r="10883" spans="1:11">
      <c r="A10883" s="12">
        <v>43001</v>
      </c>
      <c r="B10883">
        <v>2017</v>
      </c>
      <c r="C10883">
        <v>9</v>
      </c>
      <c r="D10883" s="11">
        <v>42979</v>
      </c>
      <c r="E10883" t="s">
        <v>2181</v>
      </c>
      <c r="F10883">
        <v>6</v>
      </c>
      <c r="G10883" t="s">
        <v>57</v>
      </c>
      <c r="H10883" t="s">
        <v>41</v>
      </c>
      <c r="I10883" t="s">
        <v>2189</v>
      </c>
      <c r="J10883" s="10">
        <v>6.99</v>
      </c>
      <c r="K10883" t="b">
        <v>1</v>
      </c>
    </row>
    <row r="10884" spans="1:11">
      <c r="A10884" s="12">
        <v>43001</v>
      </c>
      <c r="B10884">
        <v>2017</v>
      </c>
      <c r="C10884">
        <v>9</v>
      </c>
      <c r="D10884" s="11">
        <v>42979</v>
      </c>
      <c r="E10884" t="s">
        <v>2181</v>
      </c>
      <c r="F10884">
        <v>6</v>
      </c>
      <c r="G10884" t="s">
        <v>57</v>
      </c>
      <c r="H10884" t="s">
        <v>42</v>
      </c>
      <c r="I10884" t="s">
        <v>2190</v>
      </c>
      <c r="J10884" s="10">
        <v>3</v>
      </c>
      <c r="K10884" t="b">
        <v>1</v>
      </c>
    </row>
    <row r="10885" spans="1:11">
      <c r="A10885" s="12">
        <v>43001</v>
      </c>
      <c r="B10885">
        <v>2017</v>
      </c>
      <c r="C10885">
        <v>9</v>
      </c>
      <c r="D10885" s="11">
        <v>42979</v>
      </c>
      <c r="E10885" t="s">
        <v>2181</v>
      </c>
      <c r="F10885">
        <v>6</v>
      </c>
      <c r="G10885" t="s">
        <v>57</v>
      </c>
      <c r="H10885" t="s">
        <v>43</v>
      </c>
      <c r="I10885" t="s">
        <v>2191</v>
      </c>
      <c r="J10885" s="10">
        <v>14.45</v>
      </c>
      <c r="K10885" t="b">
        <v>1</v>
      </c>
    </row>
    <row r="10886" spans="1:11">
      <c r="A10886" s="12">
        <v>43001</v>
      </c>
      <c r="B10886">
        <v>2017</v>
      </c>
      <c r="C10886">
        <v>9</v>
      </c>
      <c r="D10886" s="11">
        <v>42979</v>
      </c>
      <c r="E10886" t="s">
        <v>2181</v>
      </c>
      <c r="F10886">
        <v>6</v>
      </c>
      <c r="G10886" t="s">
        <v>57</v>
      </c>
      <c r="H10886" t="s">
        <v>44</v>
      </c>
      <c r="I10886" t="s">
        <v>2192</v>
      </c>
      <c r="J10886" s="10">
        <v>12</v>
      </c>
      <c r="K10886" t="b">
        <v>1</v>
      </c>
    </row>
    <row r="10887" spans="1:11">
      <c r="A10887" s="12">
        <v>43001</v>
      </c>
      <c r="B10887">
        <v>2017</v>
      </c>
      <c r="C10887">
        <v>9</v>
      </c>
      <c r="D10887" s="11">
        <v>42979</v>
      </c>
      <c r="E10887" t="s">
        <v>2181</v>
      </c>
      <c r="F10887">
        <v>6</v>
      </c>
      <c r="G10887" t="s">
        <v>57</v>
      </c>
      <c r="H10887" t="s">
        <v>45</v>
      </c>
      <c r="I10887" t="s">
        <v>2193</v>
      </c>
      <c r="J10887" s="10">
        <v>2</v>
      </c>
      <c r="K10887" t="b">
        <v>1</v>
      </c>
    </row>
    <row r="10888" spans="1:11">
      <c r="A10888" s="12">
        <v>43001</v>
      </c>
      <c r="B10888">
        <v>2017</v>
      </c>
      <c r="C10888">
        <v>9</v>
      </c>
      <c r="D10888" s="11">
        <v>42979</v>
      </c>
      <c r="E10888" t="s">
        <v>2181</v>
      </c>
      <c r="F10888">
        <v>6</v>
      </c>
      <c r="G10888" t="s">
        <v>57</v>
      </c>
      <c r="H10888" t="s">
        <v>46</v>
      </c>
      <c r="I10888" t="s">
        <v>2194</v>
      </c>
      <c r="J10888" s="10">
        <v>0</v>
      </c>
      <c r="K10888" t="b">
        <v>1</v>
      </c>
    </row>
    <row r="10889" spans="1:11">
      <c r="A10889" s="12">
        <v>43001</v>
      </c>
      <c r="B10889">
        <v>2017</v>
      </c>
      <c r="C10889">
        <v>9</v>
      </c>
      <c r="D10889" s="11">
        <v>42979</v>
      </c>
      <c r="E10889" t="s">
        <v>2181</v>
      </c>
      <c r="F10889">
        <v>6</v>
      </c>
      <c r="G10889" t="s">
        <v>57</v>
      </c>
      <c r="H10889" t="s">
        <v>47</v>
      </c>
      <c r="I10889" t="s">
        <v>2195</v>
      </c>
      <c r="J10889" s="10">
        <v>2</v>
      </c>
      <c r="K10889" t="b">
        <v>1</v>
      </c>
    </row>
    <row r="10890" spans="1:11">
      <c r="A10890" s="12">
        <v>43002</v>
      </c>
      <c r="B10890">
        <v>2017</v>
      </c>
      <c r="C10890">
        <v>9</v>
      </c>
      <c r="D10890" s="11">
        <v>42979</v>
      </c>
      <c r="E10890" t="s">
        <v>2181</v>
      </c>
      <c r="F10890">
        <v>7</v>
      </c>
      <c r="G10890" t="s">
        <v>59</v>
      </c>
      <c r="H10890" t="s">
        <v>40</v>
      </c>
      <c r="I10890" t="s">
        <v>2188</v>
      </c>
      <c r="J10890" s="10">
        <v>3.66</v>
      </c>
      <c r="K10890" t="b">
        <v>1</v>
      </c>
    </row>
    <row r="10891" spans="1:11">
      <c r="A10891" s="12">
        <v>43002</v>
      </c>
      <c r="B10891">
        <v>2017</v>
      </c>
      <c r="C10891">
        <v>9</v>
      </c>
      <c r="D10891" s="11">
        <v>42979</v>
      </c>
      <c r="E10891" t="s">
        <v>2181</v>
      </c>
      <c r="F10891">
        <v>7</v>
      </c>
      <c r="G10891" t="s">
        <v>59</v>
      </c>
      <c r="H10891" t="s">
        <v>41</v>
      </c>
      <c r="I10891" t="s">
        <v>2189</v>
      </c>
      <c r="J10891" s="10">
        <v>4.826</v>
      </c>
      <c r="K10891" t="b">
        <v>1</v>
      </c>
    </row>
    <row r="10892" spans="1:11">
      <c r="A10892" s="12">
        <v>43002</v>
      </c>
      <c r="B10892">
        <v>2017</v>
      </c>
      <c r="C10892">
        <v>9</v>
      </c>
      <c r="D10892" s="11">
        <v>42979</v>
      </c>
      <c r="E10892" t="s">
        <v>2181</v>
      </c>
      <c r="F10892">
        <v>7</v>
      </c>
      <c r="G10892" t="s">
        <v>59</v>
      </c>
      <c r="H10892" t="s">
        <v>42</v>
      </c>
      <c r="I10892" t="s">
        <v>2190</v>
      </c>
      <c r="J10892" s="10">
        <v>2</v>
      </c>
      <c r="K10892" t="b">
        <v>1</v>
      </c>
    </row>
    <row r="10893" spans="1:11">
      <c r="A10893" s="12">
        <v>43002</v>
      </c>
      <c r="B10893">
        <v>2017</v>
      </c>
      <c r="C10893">
        <v>9</v>
      </c>
      <c r="D10893" s="11">
        <v>42979</v>
      </c>
      <c r="E10893" t="s">
        <v>2181</v>
      </c>
      <c r="F10893">
        <v>7</v>
      </c>
      <c r="G10893" t="s">
        <v>59</v>
      </c>
      <c r="H10893" t="s">
        <v>43</v>
      </c>
      <c r="I10893" t="s">
        <v>2191</v>
      </c>
      <c r="J10893" s="10">
        <v>52.4</v>
      </c>
      <c r="K10893" t="b">
        <v>1</v>
      </c>
    </row>
    <row r="10894" spans="1:11">
      <c r="A10894" s="12">
        <v>43002</v>
      </c>
      <c r="B10894">
        <v>2017</v>
      </c>
      <c r="C10894">
        <v>9</v>
      </c>
      <c r="D10894" s="11">
        <v>42979</v>
      </c>
      <c r="E10894" t="s">
        <v>2181</v>
      </c>
      <c r="F10894">
        <v>7</v>
      </c>
      <c r="G10894" t="s">
        <v>59</v>
      </c>
      <c r="H10894" t="s">
        <v>44</v>
      </c>
      <c r="I10894" t="s">
        <v>2192</v>
      </c>
      <c r="J10894" s="10">
        <v>7</v>
      </c>
      <c r="K10894" t="b">
        <v>1</v>
      </c>
    </row>
    <row r="10895" spans="1:11">
      <c r="A10895" s="12">
        <v>43002</v>
      </c>
      <c r="B10895">
        <v>2017</v>
      </c>
      <c r="C10895">
        <v>9</v>
      </c>
      <c r="D10895" s="11">
        <v>42979</v>
      </c>
      <c r="E10895" t="s">
        <v>2181</v>
      </c>
      <c r="F10895">
        <v>7</v>
      </c>
      <c r="G10895" t="s">
        <v>59</v>
      </c>
      <c r="H10895" t="s">
        <v>45</v>
      </c>
      <c r="I10895" t="s">
        <v>2193</v>
      </c>
      <c r="J10895" s="10">
        <v>1</v>
      </c>
      <c r="K10895" t="b">
        <v>1</v>
      </c>
    </row>
    <row r="10896" spans="1:11">
      <c r="A10896" s="12">
        <v>43002</v>
      </c>
      <c r="B10896">
        <v>2017</v>
      </c>
      <c r="C10896">
        <v>9</v>
      </c>
      <c r="D10896" s="11">
        <v>42979</v>
      </c>
      <c r="E10896" t="s">
        <v>2181</v>
      </c>
      <c r="F10896">
        <v>7</v>
      </c>
      <c r="G10896" t="s">
        <v>59</v>
      </c>
      <c r="H10896" t="s">
        <v>46</v>
      </c>
      <c r="I10896" t="s">
        <v>2194</v>
      </c>
      <c r="J10896" s="10">
        <v>6</v>
      </c>
      <c r="K10896" t="b">
        <v>1</v>
      </c>
    </row>
    <row r="10897" spans="1:11">
      <c r="A10897" s="12">
        <v>43002</v>
      </c>
      <c r="B10897">
        <v>2017</v>
      </c>
      <c r="C10897">
        <v>9</v>
      </c>
      <c r="D10897" s="11">
        <v>42979</v>
      </c>
      <c r="E10897" t="s">
        <v>2181</v>
      </c>
      <c r="F10897">
        <v>7</v>
      </c>
      <c r="G10897" t="s">
        <v>59</v>
      </c>
      <c r="H10897" t="s">
        <v>47</v>
      </c>
      <c r="I10897" t="s">
        <v>2195</v>
      </c>
      <c r="J10897" s="10">
        <v>1</v>
      </c>
      <c r="K10897" t="b">
        <v>1</v>
      </c>
    </row>
    <row r="10898" spans="1:11">
      <c r="A10898" s="12">
        <v>43003</v>
      </c>
      <c r="B10898">
        <v>2017</v>
      </c>
      <c r="C10898">
        <v>9</v>
      </c>
      <c r="D10898" s="11">
        <v>42979</v>
      </c>
      <c r="E10898" t="s">
        <v>2181</v>
      </c>
      <c r="F10898">
        <v>1</v>
      </c>
      <c r="G10898" t="s">
        <v>61</v>
      </c>
      <c r="H10898" t="s">
        <v>40</v>
      </c>
      <c r="I10898" t="s">
        <v>2188</v>
      </c>
      <c r="J10898" s="10">
        <v>1</v>
      </c>
      <c r="K10898" t="b">
        <v>1</v>
      </c>
    </row>
    <row r="10899" spans="1:11">
      <c r="A10899" s="12">
        <v>43003</v>
      </c>
      <c r="B10899">
        <v>2017</v>
      </c>
      <c r="C10899">
        <v>9</v>
      </c>
      <c r="D10899" s="11">
        <v>42979</v>
      </c>
      <c r="E10899" t="s">
        <v>2181</v>
      </c>
      <c r="F10899">
        <v>1</v>
      </c>
      <c r="G10899" t="s">
        <v>61</v>
      </c>
      <c r="H10899" t="s">
        <v>41</v>
      </c>
      <c r="I10899" t="s">
        <v>2189</v>
      </c>
      <c r="J10899" s="10">
        <v>2.517</v>
      </c>
      <c r="K10899" t="b">
        <v>1</v>
      </c>
    </row>
    <row r="10900" spans="1:11">
      <c r="A10900" s="12">
        <v>43003</v>
      </c>
      <c r="B10900">
        <v>2017</v>
      </c>
      <c r="C10900">
        <v>9</v>
      </c>
      <c r="D10900" s="11">
        <v>42979</v>
      </c>
      <c r="E10900" t="s">
        <v>2181</v>
      </c>
      <c r="F10900">
        <v>1</v>
      </c>
      <c r="G10900" t="s">
        <v>61</v>
      </c>
      <c r="H10900" t="s">
        <v>42</v>
      </c>
      <c r="I10900" t="s">
        <v>2190</v>
      </c>
      <c r="J10900" s="10">
        <v>1</v>
      </c>
      <c r="K10900" t="b">
        <v>1</v>
      </c>
    </row>
    <row r="10901" spans="1:11">
      <c r="A10901" s="12">
        <v>43003</v>
      </c>
      <c r="B10901">
        <v>2017</v>
      </c>
      <c r="C10901">
        <v>9</v>
      </c>
      <c r="D10901" s="11">
        <v>42979</v>
      </c>
      <c r="E10901" t="s">
        <v>2181</v>
      </c>
      <c r="F10901">
        <v>1</v>
      </c>
      <c r="G10901" t="s">
        <v>61</v>
      </c>
      <c r="H10901" t="s">
        <v>43</v>
      </c>
      <c r="I10901" t="s">
        <v>2191</v>
      </c>
      <c r="J10901" s="10">
        <v>39.2</v>
      </c>
      <c r="K10901" t="b">
        <v>1</v>
      </c>
    </row>
    <row r="10902" spans="1:11">
      <c r="A10902" s="12">
        <v>43003</v>
      </c>
      <c r="B10902">
        <v>2017</v>
      </c>
      <c r="C10902">
        <v>9</v>
      </c>
      <c r="D10902" s="11">
        <v>42979</v>
      </c>
      <c r="E10902" t="s">
        <v>2181</v>
      </c>
      <c r="F10902">
        <v>1</v>
      </c>
      <c r="G10902" t="s">
        <v>61</v>
      </c>
      <c r="H10902" t="s">
        <v>44</v>
      </c>
      <c r="I10902" t="s">
        <v>2192</v>
      </c>
      <c r="J10902" s="10">
        <v>7</v>
      </c>
      <c r="K10902" t="b">
        <v>1</v>
      </c>
    </row>
    <row r="10903" spans="1:11">
      <c r="A10903" s="12">
        <v>43003</v>
      </c>
      <c r="B10903">
        <v>2017</v>
      </c>
      <c r="C10903">
        <v>9</v>
      </c>
      <c r="D10903" s="11">
        <v>42979</v>
      </c>
      <c r="E10903" t="s">
        <v>2181</v>
      </c>
      <c r="F10903">
        <v>1</v>
      </c>
      <c r="G10903" t="s">
        <v>61</v>
      </c>
      <c r="H10903" t="s">
        <v>45</v>
      </c>
      <c r="I10903" t="s">
        <v>2193</v>
      </c>
      <c r="J10903" s="10">
        <v>3</v>
      </c>
      <c r="K10903" t="b">
        <v>1</v>
      </c>
    </row>
    <row r="10904" spans="1:11">
      <c r="A10904" s="12">
        <v>43003</v>
      </c>
      <c r="B10904">
        <v>2017</v>
      </c>
      <c r="C10904">
        <v>9</v>
      </c>
      <c r="D10904" s="11">
        <v>42979</v>
      </c>
      <c r="E10904" t="s">
        <v>2181</v>
      </c>
      <c r="F10904">
        <v>1</v>
      </c>
      <c r="G10904" t="s">
        <v>61</v>
      </c>
      <c r="H10904" t="s">
        <v>46</v>
      </c>
      <c r="I10904" t="s">
        <v>2194</v>
      </c>
      <c r="J10904" s="10">
        <v>26</v>
      </c>
      <c r="K10904" t="b">
        <v>1</v>
      </c>
    </row>
    <row r="10905" spans="1:11">
      <c r="A10905" s="12">
        <v>43003</v>
      </c>
      <c r="B10905">
        <v>2017</v>
      </c>
      <c r="C10905">
        <v>9</v>
      </c>
      <c r="D10905" s="11">
        <v>42979</v>
      </c>
      <c r="E10905" t="s">
        <v>2181</v>
      </c>
      <c r="F10905">
        <v>1</v>
      </c>
      <c r="G10905" t="s">
        <v>61</v>
      </c>
      <c r="H10905" t="s">
        <v>47</v>
      </c>
      <c r="I10905" t="s">
        <v>2195</v>
      </c>
      <c r="J10905" s="10">
        <v>1</v>
      </c>
      <c r="K10905" t="b">
        <v>1</v>
      </c>
    </row>
    <row r="10906" spans="1:11">
      <c r="A10906" s="12">
        <v>43004</v>
      </c>
      <c r="B10906">
        <v>2017</v>
      </c>
      <c r="C10906">
        <v>9</v>
      </c>
      <c r="D10906" s="11">
        <v>42979</v>
      </c>
      <c r="E10906" t="s">
        <v>2181</v>
      </c>
      <c r="F10906">
        <v>2</v>
      </c>
      <c r="G10906" t="s">
        <v>63</v>
      </c>
      <c r="H10906" t="s">
        <v>40</v>
      </c>
      <c r="I10906" t="s">
        <v>2188</v>
      </c>
      <c r="J10906" s="10">
        <v>2</v>
      </c>
      <c r="K10906" t="b">
        <v>1</v>
      </c>
    </row>
    <row r="10907" spans="1:11">
      <c r="A10907" s="12">
        <v>43004</v>
      </c>
      <c r="B10907">
        <v>2017</v>
      </c>
      <c r="C10907">
        <v>9</v>
      </c>
      <c r="D10907" s="11">
        <v>42979</v>
      </c>
      <c r="E10907" t="s">
        <v>2181</v>
      </c>
      <c r="F10907">
        <v>2</v>
      </c>
      <c r="G10907" t="s">
        <v>63</v>
      </c>
      <c r="H10907" t="s">
        <v>41</v>
      </c>
      <c r="I10907" t="s">
        <v>2189</v>
      </c>
      <c r="J10907" s="10">
        <v>5.67</v>
      </c>
      <c r="K10907" t="b">
        <v>1</v>
      </c>
    </row>
    <row r="10908" spans="1:11">
      <c r="A10908" s="12">
        <v>43004</v>
      </c>
      <c r="B10908">
        <v>2017</v>
      </c>
      <c r="C10908">
        <v>9</v>
      </c>
      <c r="D10908" s="11">
        <v>42979</v>
      </c>
      <c r="E10908" t="s">
        <v>2181</v>
      </c>
      <c r="F10908">
        <v>2</v>
      </c>
      <c r="G10908" t="s">
        <v>63</v>
      </c>
      <c r="H10908" t="s">
        <v>42</v>
      </c>
      <c r="I10908" t="s">
        <v>2190</v>
      </c>
      <c r="J10908" s="10">
        <v>2.1</v>
      </c>
      <c r="K10908" t="b">
        <v>1</v>
      </c>
    </row>
    <row r="10909" spans="1:11">
      <c r="A10909" s="12">
        <v>43004</v>
      </c>
      <c r="B10909">
        <v>2017</v>
      </c>
      <c r="C10909">
        <v>9</v>
      </c>
      <c r="D10909" s="11">
        <v>42979</v>
      </c>
      <c r="E10909" t="s">
        <v>2181</v>
      </c>
      <c r="F10909">
        <v>2</v>
      </c>
      <c r="G10909" t="s">
        <v>63</v>
      </c>
      <c r="H10909" t="s">
        <v>43</v>
      </c>
      <c r="I10909" t="s">
        <v>2191</v>
      </c>
      <c r="J10909" s="10">
        <v>38.6</v>
      </c>
      <c r="K10909" t="b">
        <v>1</v>
      </c>
    </row>
    <row r="10910" spans="1:11">
      <c r="A10910" s="12">
        <v>43004</v>
      </c>
      <c r="B10910">
        <v>2017</v>
      </c>
      <c r="C10910">
        <v>9</v>
      </c>
      <c r="D10910" s="11">
        <v>42979</v>
      </c>
      <c r="E10910" t="s">
        <v>2181</v>
      </c>
      <c r="F10910">
        <v>2</v>
      </c>
      <c r="G10910" t="s">
        <v>63</v>
      </c>
      <c r="H10910" t="s">
        <v>44</v>
      </c>
      <c r="I10910" t="s">
        <v>2192</v>
      </c>
      <c r="J10910" s="10">
        <v>4</v>
      </c>
      <c r="K10910" t="b">
        <v>1</v>
      </c>
    </row>
    <row r="10911" spans="1:11">
      <c r="A10911" s="12">
        <v>43004</v>
      </c>
      <c r="B10911">
        <v>2017</v>
      </c>
      <c r="C10911">
        <v>9</v>
      </c>
      <c r="D10911" s="11">
        <v>42979</v>
      </c>
      <c r="E10911" t="s">
        <v>2181</v>
      </c>
      <c r="F10911">
        <v>2</v>
      </c>
      <c r="G10911" t="s">
        <v>63</v>
      </c>
      <c r="H10911" t="s">
        <v>45</v>
      </c>
      <c r="I10911" t="s">
        <v>2193</v>
      </c>
      <c r="J10911" s="10">
        <v>0</v>
      </c>
      <c r="K10911" t="b">
        <v>1</v>
      </c>
    </row>
    <row r="10912" spans="1:11">
      <c r="A10912" s="12">
        <v>43004</v>
      </c>
      <c r="B10912">
        <v>2017</v>
      </c>
      <c r="C10912">
        <v>9</v>
      </c>
      <c r="D10912" s="11">
        <v>42979</v>
      </c>
      <c r="E10912" t="s">
        <v>2181</v>
      </c>
      <c r="F10912">
        <v>2</v>
      </c>
      <c r="G10912" t="s">
        <v>63</v>
      </c>
      <c r="H10912" t="s">
        <v>46</v>
      </c>
      <c r="I10912" t="s">
        <v>2194</v>
      </c>
      <c r="J10912" s="10">
        <v>6</v>
      </c>
      <c r="K10912" t="b">
        <v>1</v>
      </c>
    </row>
    <row r="10913" spans="1:11">
      <c r="A10913" s="12">
        <v>43004</v>
      </c>
      <c r="B10913">
        <v>2017</v>
      </c>
      <c r="C10913">
        <v>9</v>
      </c>
      <c r="D10913" s="11">
        <v>42979</v>
      </c>
      <c r="E10913" t="s">
        <v>2181</v>
      </c>
      <c r="F10913">
        <v>2</v>
      </c>
      <c r="G10913" t="s">
        <v>63</v>
      </c>
      <c r="H10913" t="s">
        <v>47</v>
      </c>
      <c r="I10913" t="s">
        <v>2195</v>
      </c>
      <c r="J10913" s="10">
        <v>1</v>
      </c>
      <c r="K10913" t="b">
        <v>1</v>
      </c>
    </row>
    <row r="10914" spans="1:11">
      <c r="A10914" s="12">
        <v>43005</v>
      </c>
      <c r="B10914">
        <v>2017</v>
      </c>
      <c r="C10914">
        <v>9</v>
      </c>
      <c r="D10914" s="11">
        <v>42979</v>
      </c>
      <c r="E10914" t="s">
        <v>2181</v>
      </c>
      <c r="F10914">
        <v>3</v>
      </c>
      <c r="G10914" t="s">
        <v>65</v>
      </c>
      <c r="H10914" t="s">
        <v>40</v>
      </c>
      <c r="I10914" t="s">
        <v>2188</v>
      </c>
      <c r="J10914" s="10">
        <v>4</v>
      </c>
      <c r="K10914" t="b">
        <v>1</v>
      </c>
    </row>
    <row r="10915" spans="1:11">
      <c r="A10915" s="12">
        <v>43005</v>
      </c>
      <c r="B10915">
        <v>2017</v>
      </c>
      <c r="C10915">
        <v>9</v>
      </c>
      <c r="D10915" s="11">
        <v>42979</v>
      </c>
      <c r="E10915" t="s">
        <v>2181</v>
      </c>
      <c r="F10915">
        <v>3</v>
      </c>
      <c r="G10915" t="s">
        <v>65</v>
      </c>
      <c r="H10915" t="s">
        <v>41</v>
      </c>
      <c r="I10915" t="s">
        <v>2189</v>
      </c>
      <c r="J10915" s="10">
        <v>2.33</v>
      </c>
      <c r="K10915" t="b">
        <v>1</v>
      </c>
    </row>
    <row r="10916" spans="1:11">
      <c r="A10916" s="12">
        <v>43005</v>
      </c>
      <c r="B10916">
        <v>2017</v>
      </c>
      <c r="C10916">
        <v>9</v>
      </c>
      <c r="D10916" s="11">
        <v>42979</v>
      </c>
      <c r="E10916" t="s">
        <v>2181</v>
      </c>
      <c r="F10916">
        <v>3</v>
      </c>
      <c r="G10916" t="s">
        <v>65</v>
      </c>
      <c r="H10916" t="s">
        <v>42</v>
      </c>
      <c r="I10916" t="s">
        <v>2190</v>
      </c>
      <c r="J10916" s="10">
        <v>3</v>
      </c>
      <c r="K10916" t="b">
        <v>1</v>
      </c>
    </row>
    <row r="10917" spans="1:11">
      <c r="A10917" s="12">
        <v>43005</v>
      </c>
      <c r="B10917">
        <v>2017</v>
      </c>
      <c r="C10917">
        <v>9</v>
      </c>
      <c r="D10917" s="11">
        <v>42979</v>
      </c>
      <c r="E10917" t="s">
        <v>2181</v>
      </c>
      <c r="F10917">
        <v>3</v>
      </c>
      <c r="G10917" t="s">
        <v>65</v>
      </c>
      <c r="H10917" t="s">
        <v>43</v>
      </c>
      <c r="I10917" t="s">
        <v>2191</v>
      </c>
      <c r="J10917" s="10">
        <v>38</v>
      </c>
      <c r="K10917" t="b">
        <v>1</v>
      </c>
    </row>
    <row r="10918" spans="1:11">
      <c r="A10918" s="12">
        <v>43005</v>
      </c>
      <c r="B10918">
        <v>2017</v>
      </c>
      <c r="C10918">
        <v>9</v>
      </c>
      <c r="D10918" s="11">
        <v>42979</v>
      </c>
      <c r="E10918" t="s">
        <v>2181</v>
      </c>
      <c r="F10918">
        <v>3</v>
      </c>
      <c r="G10918" t="s">
        <v>65</v>
      </c>
      <c r="H10918" t="s">
        <v>44</v>
      </c>
      <c r="I10918" t="s">
        <v>2192</v>
      </c>
      <c r="J10918" s="10">
        <v>7</v>
      </c>
      <c r="K10918" t="b">
        <v>1</v>
      </c>
    </row>
    <row r="10919" spans="1:11">
      <c r="A10919" s="12">
        <v>43005</v>
      </c>
      <c r="B10919">
        <v>2017</v>
      </c>
      <c r="C10919">
        <v>9</v>
      </c>
      <c r="D10919" s="11">
        <v>42979</v>
      </c>
      <c r="E10919" t="s">
        <v>2181</v>
      </c>
      <c r="F10919">
        <v>3</v>
      </c>
      <c r="G10919" t="s">
        <v>65</v>
      </c>
      <c r="H10919" t="s">
        <v>45</v>
      </c>
      <c r="I10919" t="s">
        <v>2193</v>
      </c>
      <c r="J10919" s="10">
        <v>3</v>
      </c>
      <c r="K10919" t="b">
        <v>1</v>
      </c>
    </row>
    <row r="10920" spans="1:11">
      <c r="A10920" s="12">
        <v>43005</v>
      </c>
      <c r="B10920">
        <v>2017</v>
      </c>
      <c r="C10920">
        <v>9</v>
      </c>
      <c r="D10920" s="11">
        <v>42979</v>
      </c>
      <c r="E10920" t="s">
        <v>2181</v>
      </c>
      <c r="F10920">
        <v>3</v>
      </c>
      <c r="G10920" t="s">
        <v>65</v>
      </c>
      <c r="H10920" t="s">
        <v>46</v>
      </c>
      <c r="I10920" t="s">
        <v>2194</v>
      </c>
      <c r="J10920" s="10">
        <v>3</v>
      </c>
      <c r="K10920" t="b">
        <v>1</v>
      </c>
    </row>
    <row r="10921" spans="1:11">
      <c r="A10921" s="12">
        <v>43005</v>
      </c>
      <c r="B10921">
        <v>2017</v>
      </c>
      <c r="C10921">
        <v>9</v>
      </c>
      <c r="D10921" s="11">
        <v>42979</v>
      </c>
      <c r="E10921" t="s">
        <v>2181</v>
      </c>
      <c r="F10921">
        <v>3</v>
      </c>
      <c r="G10921" t="s">
        <v>65</v>
      </c>
      <c r="H10921" t="s">
        <v>47</v>
      </c>
      <c r="I10921" t="s">
        <v>2195</v>
      </c>
      <c r="J10921" s="10">
        <v>0</v>
      </c>
      <c r="K10921" t="b">
        <v>1</v>
      </c>
    </row>
    <row r="10922" spans="1:11">
      <c r="A10922" s="12">
        <v>43006</v>
      </c>
      <c r="B10922">
        <v>2017</v>
      </c>
      <c r="C10922">
        <v>9</v>
      </c>
      <c r="D10922" s="11">
        <v>42979</v>
      </c>
      <c r="E10922" t="s">
        <v>2181</v>
      </c>
      <c r="F10922">
        <v>4</v>
      </c>
      <c r="G10922" t="s">
        <v>53</v>
      </c>
      <c r="H10922" t="s">
        <v>40</v>
      </c>
      <c r="I10922" t="s">
        <v>2188</v>
      </c>
      <c r="J10922" s="10">
        <v>3.34</v>
      </c>
      <c r="K10922" t="b">
        <v>1</v>
      </c>
    </row>
    <row r="10923" spans="1:11">
      <c r="A10923" s="12">
        <v>43006</v>
      </c>
      <c r="B10923">
        <v>2017</v>
      </c>
      <c r="C10923">
        <v>9</v>
      </c>
      <c r="D10923" s="11">
        <v>42979</v>
      </c>
      <c r="E10923" t="s">
        <v>2181</v>
      </c>
      <c r="F10923">
        <v>4</v>
      </c>
      <c r="G10923" t="s">
        <v>53</v>
      </c>
      <c r="H10923" t="s">
        <v>41</v>
      </c>
      <c r="I10923" t="s">
        <v>2189</v>
      </c>
      <c r="J10923" s="10">
        <v>2.68</v>
      </c>
      <c r="K10923" t="b">
        <v>1</v>
      </c>
    </row>
    <row r="10924" spans="1:11">
      <c r="A10924" s="12">
        <v>43006</v>
      </c>
      <c r="B10924">
        <v>2017</v>
      </c>
      <c r="C10924">
        <v>9</v>
      </c>
      <c r="D10924" s="11">
        <v>42979</v>
      </c>
      <c r="E10924" t="s">
        <v>2181</v>
      </c>
      <c r="F10924">
        <v>4</v>
      </c>
      <c r="G10924" t="s">
        <v>53</v>
      </c>
      <c r="H10924" t="s">
        <v>42</v>
      </c>
      <c r="I10924" t="s">
        <v>2190</v>
      </c>
      <c r="J10924" s="10">
        <v>2.5</v>
      </c>
      <c r="K10924" t="b">
        <v>1</v>
      </c>
    </row>
    <row r="10925" spans="1:11">
      <c r="A10925" s="12">
        <v>43006</v>
      </c>
      <c r="B10925">
        <v>2017</v>
      </c>
      <c r="C10925">
        <v>9</v>
      </c>
      <c r="D10925" s="11">
        <v>42979</v>
      </c>
      <c r="E10925" t="s">
        <v>2181</v>
      </c>
      <c r="F10925">
        <v>4</v>
      </c>
      <c r="G10925" t="s">
        <v>53</v>
      </c>
      <c r="H10925" t="s">
        <v>43</v>
      </c>
      <c r="I10925" t="s">
        <v>2191</v>
      </c>
      <c r="J10925" s="10">
        <v>37.85</v>
      </c>
      <c r="K10925" t="b">
        <v>1</v>
      </c>
    </row>
    <row r="10926" spans="1:11">
      <c r="A10926" s="12">
        <v>43006</v>
      </c>
      <c r="B10926">
        <v>2017</v>
      </c>
      <c r="C10926">
        <v>9</v>
      </c>
      <c r="D10926" s="11">
        <v>42979</v>
      </c>
      <c r="E10926" t="s">
        <v>2181</v>
      </c>
      <c r="F10926">
        <v>4</v>
      </c>
      <c r="G10926" t="s">
        <v>53</v>
      </c>
      <c r="H10926" t="s">
        <v>44</v>
      </c>
      <c r="I10926" t="s">
        <v>2192</v>
      </c>
      <c r="J10926" s="10">
        <v>3</v>
      </c>
      <c r="K10926" t="b">
        <v>1</v>
      </c>
    </row>
    <row r="10927" spans="1:11">
      <c r="A10927" s="12">
        <v>43006</v>
      </c>
      <c r="B10927">
        <v>2017</v>
      </c>
      <c r="C10927">
        <v>9</v>
      </c>
      <c r="D10927" s="11">
        <v>42979</v>
      </c>
      <c r="E10927" t="s">
        <v>2181</v>
      </c>
      <c r="F10927">
        <v>4</v>
      </c>
      <c r="G10927" t="s">
        <v>53</v>
      </c>
      <c r="H10927" t="s">
        <v>45</v>
      </c>
      <c r="I10927" t="s">
        <v>2193</v>
      </c>
      <c r="J10927" s="10">
        <v>0</v>
      </c>
      <c r="K10927" t="b">
        <v>1</v>
      </c>
    </row>
    <row r="10928" spans="1:11">
      <c r="A10928" s="12">
        <v>43006</v>
      </c>
      <c r="B10928">
        <v>2017</v>
      </c>
      <c r="C10928">
        <v>9</v>
      </c>
      <c r="D10928" s="11">
        <v>42979</v>
      </c>
      <c r="E10928" t="s">
        <v>2181</v>
      </c>
      <c r="F10928">
        <v>4</v>
      </c>
      <c r="G10928" t="s">
        <v>53</v>
      </c>
      <c r="H10928" t="s">
        <v>46</v>
      </c>
      <c r="I10928" t="s">
        <v>2194</v>
      </c>
      <c r="J10928" s="10">
        <v>10</v>
      </c>
      <c r="K10928" t="b">
        <v>1</v>
      </c>
    </row>
    <row r="10929" spans="1:11">
      <c r="A10929" s="12">
        <v>43006</v>
      </c>
      <c r="B10929">
        <v>2017</v>
      </c>
      <c r="C10929">
        <v>9</v>
      </c>
      <c r="D10929" s="11">
        <v>42979</v>
      </c>
      <c r="E10929" t="s">
        <v>2181</v>
      </c>
      <c r="F10929">
        <v>4</v>
      </c>
      <c r="G10929" t="s">
        <v>53</v>
      </c>
      <c r="H10929" t="s">
        <v>47</v>
      </c>
      <c r="I10929" t="s">
        <v>2195</v>
      </c>
      <c r="J10929" s="10">
        <v>0</v>
      </c>
      <c r="K10929" t="b">
        <v>1</v>
      </c>
    </row>
    <row r="10930" spans="1:11">
      <c r="A10930" s="12">
        <v>43007</v>
      </c>
      <c r="B10930">
        <v>2017</v>
      </c>
      <c r="C10930">
        <v>9</v>
      </c>
      <c r="D10930" s="11">
        <v>42979</v>
      </c>
      <c r="E10930" t="s">
        <v>2181</v>
      </c>
      <c r="F10930">
        <v>5</v>
      </c>
      <c r="G10930" t="s">
        <v>55</v>
      </c>
      <c r="H10930" t="s">
        <v>40</v>
      </c>
      <c r="I10930" t="s">
        <v>2188</v>
      </c>
      <c r="J10930" s="10">
        <v>1</v>
      </c>
      <c r="K10930" t="b">
        <v>1</v>
      </c>
    </row>
    <row r="10931" spans="1:11">
      <c r="A10931" s="12">
        <v>43007</v>
      </c>
      <c r="B10931">
        <v>2017</v>
      </c>
      <c r="C10931">
        <v>9</v>
      </c>
      <c r="D10931" s="11">
        <v>42979</v>
      </c>
      <c r="E10931" t="s">
        <v>2181</v>
      </c>
      <c r="F10931">
        <v>5</v>
      </c>
      <c r="G10931" t="s">
        <v>55</v>
      </c>
      <c r="H10931" t="s">
        <v>41</v>
      </c>
      <c r="I10931" t="s">
        <v>2189</v>
      </c>
      <c r="J10931" s="10">
        <v>5</v>
      </c>
      <c r="K10931" t="b">
        <v>1</v>
      </c>
    </row>
    <row r="10932" spans="1:11">
      <c r="A10932" s="12">
        <v>43007</v>
      </c>
      <c r="B10932">
        <v>2017</v>
      </c>
      <c r="C10932">
        <v>9</v>
      </c>
      <c r="D10932" s="11">
        <v>42979</v>
      </c>
      <c r="E10932" t="s">
        <v>2181</v>
      </c>
      <c r="F10932">
        <v>5</v>
      </c>
      <c r="G10932" t="s">
        <v>55</v>
      </c>
      <c r="H10932" t="s">
        <v>42</v>
      </c>
      <c r="I10932" t="s">
        <v>2190</v>
      </c>
      <c r="J10932" s="10">
        <v>3</v>
      </c>
      <c r="K10932" t="b">
        <v>1</v>
      </c>
    </row>
    <row r="10933" spans="1:11">
      <c r="A10933" s="12">
        <v>43007</v>
      </c>
      <c r="B10933">
        <v>2017</v>
      </c>
      <c r="C10933">
        <v>9</v>
      </c>
      <c r="D10933" s="11">
        <v>42979</v>
      </c>
      <c r="E10933" t="s">
        <v>2181</v>
      </c>
      <c r="F10933">
        <v>5</v>
      </c>
      <c r="G10933" t="s">
        <v>55</v>
      </c>
      <c r="H10933" t="s">
        <v>43</v>
      </c>
      <c r="I10933" t="s">
        <v>2191</v>
      </c>
      <c r="J10933" s="10">
        <v>35.4</v>
      </c>
      <c r="K10933" t="b">
        <v>1</v>
      </c>
    </row>
    <row r="10934" spans="1:11">
      <c r="A10934" s="12">
        <v>43007</v>
      </c>
      <c r="B10934">
        <v>2017</v>
      </c>
      <c r="C10934">
        <v>9</v>
      </c>
      <c r="D10934" s="11">
        <v>42979</v>
      </c>
      <c r="E10934" t="s">
        <v>2181</v>
      </c>
      <c r="F10934">
        <v>5</v>
      </c>
      <c r="G10934" t="s">
        <v>55</v>
      </c>
      <c r="H10934" t="s">
        <v>44</v>
      </c>
      <c r="I10934" t="s">
        <v>2192</v>
      </c>
      <c r="J10934" s="10">
        <v>8</v>
      </c>
      <c r="K10934" t="b">
        <v>1</v>
      </c>
    </row>
    <row r="10935" spans="1:11">
      <c r="A10935" s="12">
        <v>43007</v>
      </c>
      <c r="B10935">
        <v>2017</v>
      </c>
      <c r="C10935">
        <v>9</v>
      </c>
      <c r="D10935" s="11">
        <v>42979</v>
      </c>
      <c r="E10935" t="s">
        <v>2181</v>
      </c>
      <c r="F10935">
        <v>5</v>
      </c>
      <c r="G10935" t="s">
        <v>55</v>
      </c>
      <c r="H10935" t="s">
        <v>45</v>
      </c>
      <c r="I10935" t="s">
        <v>2193</v>
      </c>
      <c r="J10935" s="10">
        <v>6</v>
      </c>
      <c r="K10935" t="b">
        <v>1</v>
      </c>
    </row>
    <row r="10936" spans="1:11">
      <c r="A10936" s="12">
        <v>43007</v>
      </c>
      <c r="B10936">
        <v>2017</v>
      </c>
      <c r="C10936">
        <v>9</v>
      </c>
      <c r="D10936" s="11">
        <v>42979</v>
      </c>
      <c r="E10936" t="s">
        <v>2181</v>
      </c>
      <c r="F10936">
        <v>5</v>
      </c>
      <c r="G10936" t="s">
        <v>55</v>
      </c>
      <c r="H10936" t="s">
        <v>46</v>
      </c>
      <c r="I10936" t="s">
        <v>2194</v>
      </c>
      <c r="J10936" s="10">
        <v>5</v>
      </c>
      <c r="K10936" t="b">
        <v>1</v>
      </c>
    </row>
    <row r="10937" spans="1:11">
      <c r="A10937" s="12">
        <v>43007</v>
      </c>
      <c r="B10937">
        <v>2017</v>
      </c>
      <c r="C10937">
        <v>9</v>
      </c>
      <c r="D10937" s="11">
        <v>42979</v>
      </c>
      <c r="E10937" t="s">
        <v>2181</v>
      </c>
      <c r="F10937">
        <v>5</v>
      </c>
      <c r="G10937" t="s">
        <v>55</v>
      </c>
      <c r="H10937" t="s">
        <v>47</v>
      </c>
      <c r="I10937" t="s">
        <v>2195</v>
      </c>
      <c r="J10937" s="10">
        <v>1</v>
      </c>
      <c r="K10937" t="b">
        <v>1</v>
      </c>
    </row>
    <row r="10938" spans="1:11">
      <c r="A10938" s="12">
        <v>43008</v>
      </c>
      <c r="B10938">
        <v>2017</v>
      </c>
      <c r="C10938">
        <v>9</v>
      </c>
      <c r="D10938" s="11">
        <v>42979</v>
      </c>
      <c r="E10938" t="s">
        <v>2181</v>
      </c>
      <c r="F10938">
        <v>6</v>
      </c>
      <c r="G10938" t="s">
        <v>57</v>
      </c>
      <c r="H10938" t="s">
        <v>40</v>
      </c>
      <c r="I10938" t="s">
        <v>2188</v>
      </c>
      <c r="J10938" s="10">
        <v>5.33</v>
      </c>
      <c r="K10938" t="b">
        <v>1</v>
      </c>
    </row>
    <row r="10939" spans="1:11">
      <c r="A10939" s="12">
        <v>43008</v>
      </c>
      <c r="B10939">
        <v>2017</v>
      </c>
      <c r="C10939">
        <v>9</v>
      </c>
      <c r="D10939" s="11">
        <v>42979</v>
      </c>
      <c r="E10939" t="s">
        <v>2181</v>
      </c>
      <c r="F10939">
        <v>6</v>
      </c>
      <c r="G10939" t="s">
        <v>57</v>
      </c>
      <c r="H10939" t="s">
        <v>41</v>
      </c>
      <c r="I10939" t="s">
        <v>2189</v>
      </c>
      <c r="J10939" s="10">
        <v>3.01</v>
      </c>
      <c r="K10939" t="b">
        <v>1</v>
      </c>
    </row>
    <row r="10940" spans="1:11">
      <c r="A10940" s="12">
        <v>43008</v>
      </c>
      <c r="B10940">
        <v>2017</v>
      </c>
      <c r="C10940">
        <v>9</v>
      </c>
      <c r="D10940" s="11">
        <v>42979</v>
      </c>
      <c r="E10940" t="s">
        <v>2181</v>
      </c>
      <c r="F10940">
        <v>6</v>
      </c>
      <c r="G10940" t="s">
        <v>57</v>
      </c>
      <c r="H10940" t="s">
        <v>42</v>
      </c>
      <c r="I10940" t="s">
        <v>2190</v>
      </c>
      <c r="J10940" s="10">
        <v>3</v>
      </c>
      <c r="K10940" t="b">
        <v>1</v>
      </c>
    </row>
    <row r="10941" spans="1:11">
      <c r="A10941" s="12">
        <v>43008</v>
      </c>
      <c r="B10941">
        <v>2017</v>
      </c>
      <c r="C10941">
        <v>9</v>
      </c>
      <c r="D10941" s="11">
        <v>42979</v>
      </c>
      <c r="E10941" t="s">
        <v>2181</v>
      </c>
      <c r="F10941">
        <v>6</v>
      </c>
      <c r="G10941" t="s">
        <v>57</v>
      </c>
      <c r="H10941" t="s">
        <v>43</v>
      </c>
      <c r="I10941" t="s">
        <v>2191</v>
      </c>
      <c r="J10941" s="10">
        <v>61.9</v>
      </c>
      <c r="K10941" t="b">
        <v>1</v>
      </c>
    </row>
    <row r="10942" spans="1:11">
      <c r="A10942" s="12">
        <v>43008</v>
      </c>
      <c r="B10942">
        <v>2017</v>
      </c>
      <c r="C10942">
        <v>9</v>
      </c>
      <c r="D10942" s="11">
        <v>42979</v>
      </c>
      <c r="E10942" t="s">
        <v>2181</v>
      </c>
      <c r="F10942">
        <v>6</v>
      </c>
      <c r="G10942" t="s">
        <v>57</v>
      </c>
      <c r="H10942" t="s">
        <v>44</v>
      </c>
      <c r="I10942" t="s">
        <v>2192</v>
      </c>
      <c r="J10942" s="10">
        <v>6</v>
      </c>
      <c r="K10942" t="b">
        <v>1</v>
      </c>
    </row>
    <row r="10943" spans="1:11">
      <c r="A10943" s="12">
        <v>43008</v>
      </c>
      <c r="B10943">
        <v>2017</v>
      </c>
      <c r="C10943">
        <v>9</v>
      </c>
      <c r="D10943" s="11">
        <v>42979</v>
      </c>
      <c r="E10943" t="s">
        <v>2181</v>
      </c>
      <c r="F10943">
        <v>6</v>
      </c>
      <c r="G10943" t="s">
        <v>57</v>
      </c>
      <c r="H10943" t="s">
        <v>45</v>
      </c>
      <c r="I10943" t="s">
        <v>2193</v>
      </c>
      <c r="J10943" s="10">
        <v>0</v>
      </c>
      <c r="K10943" t="b">
        <v>1</v>
      </c>
    </row>
    <row r="10944" spans="1:11">
      <c r="A10944" s="12">
        <v>43008</v>
      </c>
      <c r="B10944">
        <v>2017</v>
      </c>
      <c r="C10944">
        <v>9</v>
      </c>
      <c r="D10944" s="11">
        <v>42979</v>
      </c>
      <c r="E10944" t="s">
        <v>2181</v>
      </c>
      <c r="F10944">
        <v>6</v>
      </c>
      <c r="G10944" t="s">
        <v>57</v>
      </c>
      <c r="H10944" t="s">
        <v>46</v>
      </c>
      <c r="I10944" t="s">
        <v>2194</v>
      </c>
      <c r="J10944" s="10">
        <v>28</v>
      </c>
      <c r="K10944" t="b">
        <v>1</v>
      </c>
    </row>
    <row r="10945" spans="1:11">
      <c r="A10945" s="12">
        <v>43008</v>
      </c>
      <c r="B10945">
        <v>2017</v>
      </c>
      <c r="C10945">
        <v>9</v>
      </c>
      <c r="D10945" s="11">
        <v>42979</v>
      </c>
      <c r="E10945" t="s">
        <v>2181</v>
      </c>
      <c r="F10945">
        <v>6</v>
      </c>
      <c r="G10945" t="s">
        <v>57</v>
      </c>
      <c r="H10945" t="s">
        <v>47</v>
      </c>
      <c r="I10945" t="s">
        <v>2195</v>
      </c>
      <c r="J10945" s="10">
        <v>0</v>
      </c>
      <c r="K10945" t="b">
        <v>1</v>
      </c>
    </row>
    <row r="10946" spans="1:11">
      <c r="A10946" s="12">
        <v>43009</v>
      </c>
      <c r="B10946">
        <v>2017</v>
      </c>
      <c r="C10946">
        <v>10</v>
      </c>
      <c r="D10946" s="11">
        <v>43009</v>
      </c>
      <c r="E10946" t="s">
        <v>2182</v>
      </c>
      <c r="F10946">
        <v>7</v>
      </c>
      <c r="G10946" t="s">
        <v>59</v>
      </c>
      <c r="H10946" t="s">
        <v>40</v>
      </c>
      <c r="I10946" t="s">
        <v>2188</v>
      </c>
      <c r="J10946" s="10">
        <v>4</v>
      </c>
      <c r="K10946" t="b">
        <v>1</v>
      </c>
    </row>
    <row r="10947" spans="1:11">
      <c r="A10947" s="12">
        <v>43009</v>
      </c>
      <c r="B10947">
        <v>2017</v>
      </c>
      <c r="C10947">
        <v>10</v>
      </c>
      <c r="D10947" s="11">
        <v>43009</v>
      </c>
      <c r="E10947" t="s">
        <v>2182</v>
      </c>
      <c r="F10947">
        <v>7</v>
      </c>
      <c r="G10947" t="s">
        <v>59</v>
      </c>
      <c r="H10947" t="s">
        <v>41</v>
      </c>
      <c r="I10947" t="s">
        <v>2189</v>
      </c>
      <c r="J10947" s="10">
        <v>5.891</v>
      </c>
      <c r="K10947" t="b">
        <v>1</v>
      </c>
    </row>
    <row r="10948" spans="1:11">
      <c r="A10948" s="12">
        <v>43009</v>
      </c>
      <c r="B10948">
        <v>2017</v>
      </c>
      <c r="C10948">
        <v>10</v>
      </c>
      <c r="D10948" s="11">
        <v>43009</v>
      </c>
      <c r="E10948" t="s">
        <v>2182</v>
      </c>
      <c r="F10948">
        <v>7</v>
      </c>
      <c r="G10948" t="s">
        <v>59</v>
      </c>
      <c r="H10948" t="s">
        <v>42</v>
      </c>
      <c r="I10948" t="s">
        <v>2190</v>
      </c>
      <c r="J10948" s="10">
        <v>3</v>
      </c>
      <c r="K10948" t="b">
        <v>1</v>
      </c>
    </row>
    <row r="10949" spans="1:11">
      <c r="A10949" s="12">
        <v>43009</v>
      </c>
      <c r="B10949">
        <v>2017</v>
      </c>
      <c r="C10949">
        <v>10</v>
      </c>
      <c r="D10949" s="11">
        <v>43009</v>
      </c>
      <c r="E10949" t="s">
        <v>2182</v>
      </c>
      <c r="F10949">
        <v>7</v>
      </c>
      <c r="G10949" t="s">
        <v>59</v>
      </c>
      <c r="H10949" t="s">
        <v>43</v>
      </c>
      <c r="I10949" t="s">
        <v>2191</v>
      </c>
      <c r="J10949" s="10">
        <v>72.09999999999999</v>
      </c>
      <c r="K10949" t="b">
        <v>1</v>
      </c>
    </row>
    <row r="10950" spans="1:11">
      <c r="A10950" s="12">
        <v>43009</v>
      </c>
      <c r="B10950">
        <v>2017</v>
      </c>
      <c r="C10950">
        <v>10</v>
      </c>
      <c r="D10950" s="11">
        <v>43009</v>
      </c>
      <c r="E10950" t="s">
        <v>2182</v>
      </c>
      <c r="F10950">
        <v>7</v>
      </c>
      <c r="G10950" t="s">
        <v>59</v>
      </c>
      <c r="H10950" t="s">
        <v>44</v>
      </c>
      <c r="I10950" t="s">
        <v>2192</v>
      </c>
      <c r="J10950" s="10">
        <v>7</v>
      </c>
      <c r="K10950" t="b">
        <v>1</v>
      </c>
    </row>
    <row r="10951" spans="1:11">
      <c r="A10951" s="12">
        <v>43009</v>
      </c>
      <c r="B10951">
        <v>2017</v>
      </c>
      <c r="C10951">
        <v>10</v>
      </c>
      <c r="D10951" s="11">
        <v>43009</v>
      </c>
      <c r="E10951" t="s">
        <v>2182</v>
      </c>
      <c r="F10951">
        <v>7</v>
      </c>
      <c r="G10951" t="s">
        <v>59</v>
      </c>
      <c r="H10951" t="s">
        <v>45</v>
      </c>
      <c r="I10951" t="s">
        <v>2193</v>
      </c>
      <c r="J10951" s="10">
        <v>1</v>
      </c>
      <c r="K10951" t="b">
        <v>1</v>
      </c>
    </row>
    <row r="10952" spans="1:11">
      <c r="A10952" s="12">
        <v>43009</v>
      </c>
      <c r="B10952">
        <v>2017</v>
      </c>
      <c r="C10952">
        <v>10</v>
      </c>
      <c r="D10952" s="11">
        <v>43009</v>
      </c>
      <c r="E10952" t="s">
        <v>2182</v>
      </c>
      <c r="F10952">
        <v>7</v>
      </c>
      <c r="G10952" t="s">
        <v>59</v>
      </c>
      <c r="H10952" t="s">
        <v>46</v>
      </c>
      <c r="I10952" t="s">
        <v>2194</v>
      </c>
      <c r="J10952" s="10">
        <v>20</v>
      </c>
      <c r="K10952" t="b">
        <v>1</v>
      </c>
    </row>
    <row r="10953" spans="1:11">
      <c r="A10953" s="12">
        <v>43009</v>
      </c>
      <c r="B10953">
        <v>2017</v>
      </c>
      <c r="C10953">
        <v>10</v>
      </c>
      <c r="D10953" s="11">
        <v>43009</v>
      </c>
      <c r="E10953" t="s">
        <v>2182</v>
      </c>
      <c r="F10953">
        <v>7</v>
      </c>
      <c r="G10953" t="s">
        <v>59</v>
      </c>
      <c r="H10953" t="s">
        <v>47</v>
      </c>
      <c r="I10953" t="s">
        <v>2195</v>
      </c>
      <c r="J10953" s="10">
        <v>1</v>
      </c>
      <c r="K10953" t="b">
        <v>1</v>
      </c>
    </row>
    <row r="10954" spans="1:11">
      <c r="A10954" s="12">
        <v>43010</v>
      </c>
      <c r="B10954">
        <v>2017</v>
      </c>
      <c r="C10954">
        <v>10</v>
      </c>
      <c r="D10954" s="11">
        <v>43009</v>
      </c>
      <c r="E10954" t="s">
        <v>2182</v>
      </c>
      <c r="F10954">
        <v>1</v>
      </c>
      <c r="G10954" t="s">
        <v>61</v>
      </c>
      <c r="H10954" t="s">
        <v>40</v>
      </c>
      <c r="I10954" t="s">
        <v>2188</v>
      </c>
      <c r="J10954" s="10">
        <v>8.33</v>
      </c>
      <c r="K10954" t="b">
        <v>1</v>
      </c>
    </row>
    <row r="10955" spans="1:11">
      <c r="A10955" s="12">
        <v>43010</v>
      </c>
      <c r="B10955">
        <v>2017</v>
      </c>
      <c r="C10955">
        <v>10</v>
      </c>
      <c r="D10955" s="11">
        <v>43009</v>
      </c>
      <c r="E10955" t="s">
        <v>2182</v>
      </c>
      <c r="F10955">
        <v>1</v>
      </c>
      <c r="G10955" t="s">
        <v>61</v>
      </c>
      <c r="H10955" t="s">
        <v>41</v>
      </c>
      <c r="I10955" t="s">
        <v>2189</v>
      </c>
      <c r="J10955" s="10">
        <v>2</v>
      </c>
      <c r="K10955" t="b">
        <v>1</v>
      </c>
    </row>
    <row r="10956" spans="1:11">
      <c r="A10956" s="12">
        <v>43010</v>
      </c>
      <c r="B10956">
        <v>2017</v>
      </c>
      <c r="C10956">
        <v>10</v>
      </c>
      <c r="D10956" s="11">
        <v>43009</v>
      </c>
      <c r="E10956" t="s">
        <v>2182</v>
      </c>
      <c r="F10956">
        <v>1</v>
      </c>
      <c r="G10956" t="s">
        <v>61</v>
      </c>
      <c r="H10956" t="s">
        <v>42</v>
      </c>
      <c r="I10956" t="s">
        <v>2190</v>
      </c>
      <c r="J10956" s="10">
        <v>3.15</v>
      </c>
      <c r="K10956" t="b">
        <v>1</v>
      </c>
    </row>
    <row r="10957" spans="1:11">
      <c r="A10957" s="12">
        <v>43010</v>
      </c>
      <c r="B10957">
        <v>2017</v>
      </c>
      <c r="C10957">
        <v>10</v>
      </c>
      <c r="D10957" s="11">
        <v>43009</v>
      </c>
      <c r="E10957" t="s">
        <v>2182</v>
      </c>
      <c r="F10957">
        <v>1</v>
      </c>
      <c r="G10957" t="s">
        <v>61</v>
      </c>
      <c r="H10957" t="s">
        <v>43</v>
      </c>
      <c r="I10957" t="s">
        <v>2191</v>
      </c>
      <c r="J10957" s="10">
        <v>18</v>
      </c>
      <c r="K10957" t="b">
        <v>1</v>
      </c>
    </row>
    <row r="10958" spans="1:11">
      <c r="A10958" s="12">
        <v>43010</v>
      </c>
      <c r="B10958">
        <v>2017</v>
      </c>
      <c r="C10958">
        <v>10</v>
      </c>
      <c r="D10958" s="11">
        <v>43009</v>
      </c>
      <c r="E10958" t="s">
        <v>2182</v>
      </c>
      <c r="F10958">
        <v>1</v>
      </c>
      <c r="G10958" t="s">
        <v>61</v>
      </c>
      <c r="H10958" t="s">
        <v>44</v>
      </c>
      <c r="I10958" t="s">
        <v>2192</v>
      </c>
      <c r="J10958" s="10">
        <v>3</v>
      </c>
      <c r="K10958" t="b">
        <v>1</v>
      </c>
    </row>
    <row r="10959" spans="1:11">
      <c r="A10959" s="12">
        <v>43010</v>
      </c>
      <c r="B10959">
        <v>2017</v>
      </c>
      <c r="C10959">
        <v>10</v>
      </c>
      <c r="D10959" s="11">
        <v>43009</v>
      </c>
      <c r="E10959" t="s">
        <v>2182</v>
      </c>
      <c r="F10959">
        <v>1</v>
      </c>
      <c r="G10959" t="s">
        <v>61</v>
      </c>
      <c r="H10959" t="s">
        <v>45</v>
      </c>
      <c r="I10959" t="s">
        <v>2193</v>
      </c>
      <c r="J10959" s="10">
        <v>1</v>
      </c>
      <c r="K10959" t="b">
        <v>1</v>
      </c>
    </row>
    <row r="10960" spans="1:11">
      <c r="A10960" s="12">
        <v>43010</v>
      </c>
      <c r="B10960">
        <v>2017</v>
      </c>
      <c r="C10960">
        <v>10</v>
      </c>
      <c r="D10960" s="11">
        <v>43009</v>
      </c>
      <c r="E10960" t="s">
        <v>2182</v>
      </c>
      <c r="F10960">
        <v>1</v>
      </c>
      <c r="G10960" t="s">
        <v>61</v>
      </c>
      <c r="H10960" t="s">
        <v>46</v>
      </c>
      <c r="I10960" t="s">
        <v>2194</v>
      </c>
      <c r="J10960" s="10">
        <v>0</v>
      </c>
      <c r="K10960" t="b">
        <v>1</v>
      </c>
    </row>
    <row r="10961" spans="1:11">
      <c r="A10961" s="12">
        <v>43010</v>
      </c>
      <c r="B10961">
        <v>2017</v>
      </c>
      <c r="C10961">
        <v>10</v>
      </c>
      <c r="D10961" s="11">
        <v>43009</v>
      </c>
      <c r="E10961" t="s">
        <v>2182</v>
      </c>
      <c r="F10961">
        <v>1</v>
      </c>
      <c r="G10961" t="s">
        <v>61</v>
      </c>
      <c r="H10961" t="s">
        <v>47</v>
      </c>
      <c r="I10961" t="s">
        <v>2195</v>
      </c>
      <c r="J10961" s="10">
        <v>0</v>
      </c>
      <c r="K10961" t="b">
        <v>1</v>
      </c>
    </row>
    <row r="10962" spans="1:11">
      <c r="A10962" s="12">
        <v>43011</v>
      </c>
      <c r="B10962">
        <v>2017</v>
      </c>
      <c r="C10962">
        <v>10</v>
      </c>
      <c r="D10962" s="11">
        <v>43009</v>
      </c>
      <c r="E10962" t="s">
        <v>2182</v>
      </c>
      <c r="F10962">
        <v>2</v>
      </c>
      <c r="G10962" t="s">
        <v>63</v>
      </c>
      <c r="H10962" t="s">
        <v>40</v>
      </c>
      <c r="I10962" t="s">
        <v>2188</v>
      </c>
      <c r="J10962" s="10">
        <v>0.34</v>
      </c>
      <c r="K10962" t="b">
        <v>1</v>
      </c>
    </row>
    <row r="10963" spans="1:11">
      <c r="A10963" s="12">
        <v>43011</v>
      </c>
      <c r="B10963">
        <v>2017</v>
      </c>
      <c r="C10963">
        <v>10</v>
      </c>
      <c r="D10963" s="11">
        <v>43009</v>
      </c>
      <c r="E10963" t="s">
        <v>2182</v>
      </c>
      <c r="F10963">
        <v>2</v>
      </c>
      <c r="G10963" t="s">
        <v>63</v>
      </c>
      <c r="H10963" t="s">
        <v>41</v>
      </c>
      <c r="I10963" t="s">
        <v>2189</v>
      </c>
      <c r="J10963" s="10">
        <v>2.1</v>
      </c>
      <c r="K10963" t="b">
        <v>1</v>
      </c>
    </row>
    <row r="10964" spans="1:11">
      <c r="A10964" s="12">
        <v>43011</v>
      </c>
      <c r="B10964">
        <v>2017</v>
      </c>
      <c r="C10964">
        <v>10</v>
      </c>
      <c r="D10964" s="11">
        <v>43009</v>
      </c>
      <c r="E10964" t="s">
        <v>2182</v>
      </c>
      <c r="F10964">
        <v>2</v>
      </c>
      <c r="G10964" t="s">
        <v>63</v>
      </c>
      <c r="H10964" t="s">
        <v>42</v>
      </c>
      <c r="I10964" t="s">
        <v>2190</v>
      </c>
      <c r="J10964" s="10">
        <v>3.15</v>
      </c>
      <c r="K10964" t="b">
        <v>1</v>
      </c>
    </row>
    <row r="10965" spans="1:11">
      <c r="A10965" s="12">
        <v>43011</v>
      </c>
      <c r="B10965">
        <v>2017</v>
      </c>
      <c r="C10965">
        <v>10</v>
      </c>
      <c r="D10965" s="11">
        <v>43009</v>
      </c>
      <c r="E10965" t="s">
        <v>2182</v>
      </c>
      <c r="F10965">
        <v>2</v>
      </c>
      <c r="G10965" t="s">
        <v>63</v>
      </c>
      <c r="H10965" t="s">
        <v>43</v>
      </c>
      <c r="I10965" t="s">
        <v>2191</v>
      </c>
      <c r="J10965" s="10">
        <v>57.2</v>
      </c>
      <c r="K10965" t="b">
        <v>1</v>
      </c>
    </row>
    <row r="10966" spans="1:11">
      <c r="A10966" s="12">
        <v>43011</v>
      </c>
      <c r="B10966">
        <v>2017</v>
      </c>
      <c r="C10966">
        <v>10</v>
      </c>
      <c r="D10966" s="11">
        <v>43009</v>
      </c>
      <c r="E10966" t="s">
        <v>2182</v>
      </c>
      <c r="F10966">
        <v>2</v>
      </c>
      <c r="G10966" t="s">
        <v>63</v>
      </c>
      <c r="H10966" t="s">
        <v>44</v>
      </c>
      <c r="I10966" t="s">
        <v>2192</v>
      </c>
      <c r="J10966" s="10">
        <v>21</v>
      </c>
      <c r="K10966" t="b">
        <v>1</v>
      </c>
    </row>
    <row r="10967" spans="1:11">
      <c r="A10967" s="12">
        <v>43011</v>
      </c>
      <c r="B10967">
        <v>2017</v>
      </c>
      <c r="C10967">
        <v>10</v>
      </c>
      <c r="D10967" s="11">
        <v>43009</v>
      </c>
      <c r="E10967" t="s">
        <v>2182</v>
      </c>
      <c r="F10967">
        <v>2</v>
      </c>
      <c r="G10967" t="s">
        <v>63</v>
      </c>
      <c r="H10967" t="s">
        <v>45</v>
      </c>
      <c r="I10967" t="s">
        <v>2193</v>
      </c>
      <c r="J10967" s="10">
        <v>3</v>
      </c>
      <c r="K10967" t="b">
        <v>1</v>
      </c>
    </row>
    <row r="10968" spans="1:11">
      <c r="A10968" s="12">
        <v>43011</v>
      </c>
      <c r="B10968">
        <v>2017</v>
      </c>
      <c r="C10968">
        <v>10</v>
      </c>
      <c r="D10968" s="11">
        <v>43009</v>
      </c>
      <c r="E10968" t="s">
        <v>2182</v>
      </c>
      <c r="F10968">
        <v>2</v>
      </c>
      <c r="G10968" t="s">
        <v>63</v>
      </c>
      <c r="H10968" t="s">
        <v>46</v>
      </c>
      <c r="I10968" t="s">
        <v>2194</v>
      </c>
      <c r="J10968" s="10">
        <v>5</v>
      </c>
      <c r="K10968" t="b">
        <v>1</v>
      </c>
    </row>
    <row r="10969" spans="1:11">
      <c r="A10969" s="12">
        <v>43011</v>
      </c>
      <c r="B10969">
        <v>2017</v>
      </c>
      <c r="C10969">
        <v>10</v>
      </c>
      <c r="D10969" s="11">
        <v>43009</v>
      </c>
      <c r="E10969" t="s">
        <v>2182</v>
      </c>
      <c r="F10969">
        <v>2</v>
      </c>
      <c r="G10969" t="s">
        <v>63</v>
      </c>
      <c r="H10969" t="s">
        <v>47</v>
      </c>
      <c r="I10969" t="s">
        <v>2195</v>
      </c>
      <c r="J10969" s="10">
        <v>2</v>
      </c>
      <c r="K10969" t="b">
        <v>1</v>
      </c>
    </row>
    <row r="10970" spans="1:11">
      <c r="A10970" s="12">
        <v>43012</v>
      </c>
      <c r="B10970">
        <v>2017</v>
      </c>
      <c r="C10970">
        <v>10</v>
      </c>
      <c r="D10970" s="11">
        <v>43009</v>
      </c>
      <c r="E10970" t="s">
        <v>2182</v>
      </c>
      <c r="F10970">
        <v>3</v>
      </c>
      <c r="G10970" t="s">
        <v>65</v>
      </c>
      <c r="H10970" t="s">
        <v>40</v>
      </c>
      <c r="I10970" t="s">
        <v>2188</v>
      </c>
      <c r="J10970" s="10">
        <v>2</v>
      </c>
      <c r="K10970" t="b">
        <v>1</v>
      </c>
    </row>
    <row r="10971" spans="1:11">
      <c r="A10971" s="12">
        <v>43012</v>
      </c>
      <c r="B10971">
        <v>2017</v>
      </c>
      <c r="C10971">
        <v>10</v>
      </c>
      <c r="D10971" s="11">
        <v>43009</v>
      </c>
      <c r="E10971" t="s">
        <v>2182</v>
      </c>
      <c r="F10971">
        <v>3</v>
      </c>
      <c r="G10971" t="s">
        <v>65</v>
      </c>
      <c r="H10971" t="s">
        <v>41</v>
      </c>
      <c r="I10971" t="s">
        <v>2189</v>
      </c>
      <c r="J10971" s="10">
        <v>4.33</v>
      </c>
      <c r="K10971" t="b">
        <v>1</v>
      </c>
    </row>
    <row r="10972" spans="1:11">
      <c r="A10972" s="12">
        <v>43012</v>
      </c>
      <c r="B10972">
        <v>2017</v>
      </c>
      <c r="C10972">
        <v>10</v>
      </c>
      <c r="D10972" s="11">
        <v>43009</v>
      </c>
      <c r="E10972" t="s">
        <v>2182</v>
      </c>
      <c r="F10972">
        <v>3</v>
      </c>
      <c r="G10972" t="s">
        <v>65</v>
      </c>
      <c r="H10972" t="s">
        <v>42</v>
      </c>
      <c r="I10972" t="s">
        <v>2190</v>
      </c>
      <c r="J10972" s="10">
        <v>4</v>
      </c>
      <c r="K10972" t="b">
        <v>1</v>
      </c>
    </row>
    <row r="10973" spans="1:11">
      <c r="A10973" s="12">
        <v>43012</v>
      </c>
      <c r="B10973">
        <v>2017</v>
      </c>
      <c r="C10973">
        <v>10</v>
      </c>
      <c r="D10973" s="11">
        <v>43009</v>
      </c>
      <c r="E10973" t="s">
        <v>2182</v>
      </c>
      <c r="F10973">
        <v>3</v>
      </c>
      <c r="G10973" t="s">
        <v>65</v>
      </c>
      <c r="H10973" t="s">
        <v>43</v>
      </c>
      <c r="I10973" t="s">
        <v>2191</v>
      </c>
      <c r="J10973" s="10">
        <v>37</v>
      </c>
      <c r="K10973" t="b">
        <v>1</v>
      </c>
    </row>
    <row r="10974" spans="1:11">
      <c r="A10974" s="12">
        <v>43012</v>
      </c>
      <c r="B10974">
        <v>2017</v>
      </c>
      <c r="C10974">
        <v>10</v>
      </c>
      <c r="D10974" s="11">
        <v>43009</v>
      </c>
      <c r="E10974" t="s">
        <v>2182</v>
      </c>
      <c r="F10974">
        <v>3</v>
      </c>
      <c r="G10974" t="s">
        <v>65</v>
      </c>
      <c r="H10974" t="s">
        <v>44</v>
      </c>
      <c r="I10974" t="s">
        <v>2192</v>
      </c>
      <c r="J10974" s="10">
        <v>6</v>
      </c>
      <c r="K10974" t="b">
        <v>1</v>
      </c>
    </row>
    <row r="10975" spans="1:11">
      <c r="A10975" s="12">
        <v>43012</v>
      </c>
      <c r="B10975">
        <v>2017</v>
      </c>
      <c r="C10975">
        <v>10</v>
      </c>
      <c r="D10975" s="11">
        <v>43009</v>
      </c>
      <c r="E10975" t="s">
        <v>2182</v>
      </c>
      <c r="F10975">
        <v>3</v>
      </c>
      <c r="G10975" t="s">
        <v>65</v>
      </c>
      <c r="H10975" t="s">
        <v>45</v>
      </c>
      <c r="I10975" t="s">
        <v>2193</v>
      </c>
      <c r="J10975" s="10">
        <v>0</v>
      </c>
      <c r="K10975" t="b">
        <v>1</v>
      </c>
    </row>
    <row r="10976" spans="1:11">
      <c r="A10976" s="12">
        <v>43012</v>
      </c>
      <c r="B10976">
        <v>2017</v>
      </c>
      <c r="C10976">
        <v>10</v>
      </c>
      <c r="D10976" s="11">
        <v>43009</v>
      </c>
      <c r="E10976" t="s">
        <v>2182</v>
      </c>
      <c r="F10976">
        <v>3</v>
      </c>
      <c r="G10976" t="s">
        <v>65</v>
      </c>
      <c r="H10976" t="s">
        <v>46</v>
      </c>
      <c r="I10976" t="s">
        <v>2194</v>
      </c>
      <c r="J10976" s="10">
        <v>2</v>
      </c>
      <c r="K10976" t="b">
        <v>1</v>
      </c>
    </row>
    <row r="10977" spans="1:11">
      <c r="A10977" s="12">
        <v>43012</v>
      </c>
      <c r="B10977">
        <v>2017</v>
      </c>
      <c r="C10977">
        <v>10</v>
      </c>
      <c r="D10977" s="11">
        <v>43009</v>
      </c>
      <c r="E10977" t="s">
        <v>2182</v>
      </c>
      <c r="F10977">
        <v>3</v>
      </c>
      <c r="G10977" t="s">
        <v>65</v>
      </c>
      <c r="H10977" t="s">
        <v>47</v>
      </c>
      <c r="I10977" t="s">
        <v>2195</v>
      </c>
      <c r="J10977" s="10">
        <v>1</v>
      </c>
      <c r="K10977" t="b">
        <v>1</v>
      </c>
    </row>
    <row r="10978" spans="1:11">
      <c r="A10978" s="12">
        <v>43013</v>
      </c>
      <c r="B10978">
        <v>2017</v>
      </c>
      <c r="C10978">
        <v>10</v>
      </c>
      <c r="D10978" s="11">
        <v>43009</v>
      </c>
      <c r="E10978" t="s">
        <v>2182</v>
      </c>
      <c r="F10978">
        <v>4</v>
      </c>
      <c r="G10978" t="s">
        <v>53</v>
      </c>
      <c r="H10978" t="s">
        <v>40</v>
      </c>
      <c r="I10978" t="s">
        <v>2188</v>
      </c>
      <c r="J10978" s="10">
        <v>5.33</v>
      </c>
      <c r="K10978" t="b">
        <v>1</v>
      </c>
    </row>
    <row r="10979" spans="1:11">
      <c r="A10979" s="12">
        <v>43013</v>
      </c>
      <c r="B10979">
        <v>2017</v>
      </c>
      <c r="C10979">
        <v>10</v>
      </c>
      <c r="D10979" s="11">
        <v>43009</v>
      </c>
      <c r="E10979" t="s">
        <v>2182</v>
      </c>
      <c r="F10979">
        <v>4</v>
      </c>
      <c r="G10979" t="s">
        <v>53</v>
      </c>
      <c r="H10979" t="s">
        <v>41</v>
      </c>
      <c r="I10979" t="s">
        <v>2189</v>
      </c>
      <c r="J10979" s="10">
        <v>3.99</v>
      </c>
      <c r="K10979" t="b">
        <v>1</v>
      </c>
    </row>
    <row r="10980" spans="1:11">
      <c r="A10980" s="12">
        <v>43013</v>
      </c>
      <c r="B10980">
        <v>2017</v>
      </c>
      <c r="C10980">
        <v>10</v>
      </c>
      <c r="D10980" s="11">
        <v>43009</v>
      </c>
      <c r="E10980" t="s">
        <v>2182</v>
      </c>
      <c r="F10980">
        <v>4</v>
      </c>
      <c r="G10980" t="s">
        <v>53</v>
      </c>
      <c r="H10980" t="s">
        <v>42</v>
      </c>
      <c r="I10980" t="s">
        <v>2190</v>
      </c>
      <c r="J10980" s="10">
        <v>5</v>
      </c>
      <c r="K10980" t="b">
        <v>1</v>
      </c>
    </row>
    <row r="10981" spans="1:11">
      <c r="A10981" s="12">
        <v>43013</v>
      </c>
      <c r="B10981">
        <v>2017</v>
      </c>
      <c r="C10981">
        <v>10</v>
      </c>
      <c r="D10981" s="11">
        <v>43009</v>
      </c>
      <c r="E10981" t="s">
        <v>2182</v>
      </c>
      <c r="F10981">
        <v>4</v>
      </c>
      <c r="G10981" t="s">
        <v>53</v>
      </c>
      <c r="H10981" t="s">
        <v>43</v>
      </c>
      <c r="I10981" t="s">
        <v>2191</v>
      </c>
      <c r="J10981" s="10">
        <v>40.8</v>
      </c>
      <c r="K10981" t="b">
        <v>1</v>
      </c>
    </row>
    <row r="10982" spans="1:11">
      <c r="A10982" s="12">
        <v>43013</v>
      </c>
      <c r="B10982">
        <v>2017</v>
      </c>
      <c r="C10982">
        <v>10</v>
      </c>
      <c r="D10982" s="11">
        <v>43009</v>
      </c>
      <c r="E10982" t="s">
        <v>2182</v>
      </c>
      <c r="F10982">
        <v>4</v>
      </c>
      <c r="G10982" t="s">
        <v>53</v>
      </c>
      <c r="H10982" t="s">
        <v>44</v>
      </c>
      <c r="I10982" t="s">
        <v>2192</v>
      </c>
      <c r="J10982" s="10">
        <v>5</v>
      </c>
      <c r="K10982" t="b">
        <v>1</v>
      </c>
    </row>
    <row r="10983" spans="1:11">
      <c r="A10983" s="12">
        <v>43013</v>
      </c>
      <c r="B10983">
        <v>2017</v>
      </c>
      <c r="C10983">
        <v>10</v>
      </c>
      <c r="D10983" s="11">
        <v>43009</v>
      </c>
      <c r="E10983" t="s">
        <v>2182</v>
      </c>
      <c r="F10983">
        <v>4</v>
      </c>
      <c r="G10983" t="s">
        <v>53</v>
      </c>
      <c r="H10983" t="s">
        <v>45</v>
      </c>
      <c r="I10983" t="s">
        <v>2193</v>
      </c>
      <c r="J10983" s="10">
        <v>0</v>
      </c>
      <c r="K10983" t="b">
        <v>1</v>
      </c>
    </row>
    <row r="10984" spans="1:11">
      <c r="A10984" s="12">
        <v>43013</v>
      </c>
      <c r="B10984">
        <v>2017</v>
      </c>
      <c r="C10984">
        <v>10</v>
      </c>
      <c r="D10984" s="11">
        <v>43009</v>
      </c>
      <c r="E10984" t="s">
        <v>2182</v>
      </c>
      <c r="F10984">
        <v>4</v>
      </c>
      <c r="G10984" t="s">
        <v>53</v>
      </c>
      <c r="H10984" t="s">
        <v>46</v>
      </c>
      <c r="I10984" t="s">
        <v>2194</v>
      </c>
      <c r="J10984" s="10">
        <v>11</v>
      </c>
      <c r="K10984" t="b">
        <v>1</v>
      </c>
    </row>
    <row r="10985" spans="1:11">
      <c r="A10985" s="12">
        <v>43013</v>
      </c>
      <c r="B10985">
        <v>2017</v>
      </c>
      <c r="C10985">
        <v>10</v>
      </c>
      <c r="D10985" s="11">
        <v>43009</v>
      </c>
      <c r="E10985" t="s">
        <v>2182</v>
      </c>
      <c r="F10985">
        <v>4</v>
      </c>
      <c r="G10985" t="s">
        <v>53</v>
      </c>
      <c r="H10985" t="s">
        <v>47</v>
      </c>
      <c r="I10985" t="s">
        <v>2195</v>
      </c>
      <c r="J10985" s="10">
        <v>2</v>
      </c>
      <c r="K10985" t="b">
        <v>1</v>
      </c>
    </row>
    <row r="10986" spans="1:11">
      <c r="A10986" s="12">
        <v>43014</v>
      </c>
      <c r="B10986">
        <v>2017</v>
      </c>
      <c r="C10986">
        <v>10</v>
      </c>
      <c r="D10986" s="11">
        <v>43009</v>
      </c>
      <c r="E10986" t="s">
        <v>2182</v>
      </c>
      <c r="F10986">
        <v>5</v>
      </c>
      <c r="G10986" t="s">
        <v>55</v>
      </c>
      <c r="H10986" t="s">
        <v>40</v>
      </c>
      <c r="I10986" t="s">
        <v>2188</v>
      </c>
      <c r="J10986" s="10">
        <v>3.99</v>
      </c>
      <c r="K10986" t="b">
        <v>1</v>
      </c>
    </row>
    <row r="10987" spans="1:11">
      <c r="A10987" s="12">
        <v>43014</v>
      </c>
      <c r="B10987">
        <v>2017</v>
      </c>
      <c r="C10987">
        <v>10</v>
      </c>
      <c r="D10987" s="11">
        <v>43009</v>
      </c>
      <c r="E10987" t="s">
        <v>2182</v>
      </c>
      <c r="F10987">
        <v>5</v>
      </c>
      <c r="G10987" t="s">
        <v>55</v>
      </c>
      <c r="H10987" t="s">
        <v>41</v>
      </c>
      <c r="I10987" t="s">
        <v>2189</v>
      </c>
      <c r="J10987" s="10">
        <v>4.66</v>
      </c>
      <c r="K10987" t="b">
        <v>1</v>
      </c>
    </row>
    <row r="10988" spans="1:11">
      <c r="A10988" s="12">
        <v>43014</v>
      </c>
      <c r="B10988">
        <v>2017</v>
      </c>
      <c r="C10988">
        <v>10</v>
      </c>
      <c r="D10988" s="11">
        <v>43009</v>
      </c>
      <c r="E10988" t="s">
        <v>2182</v>
      </c>
      <c r="F10988">
        <v>5</v>
      </c>
      <c r="G10988" t="s">
        <v>55</v>
      </c>
      <c r="H10988" t="s">
        <v>42</v>
      </c>
      <c r="I10988" t="s">
        <v>2190</v>
      </c>
      <c r="J10988" s="10">
        <v>1</v>
      </c>
      <c r="K10988" t="b">
        <v>1</v>
      </c>
    </row>
    <row r="10989" spans="1:11">
      <c r="A10989" s="12">
        <v>43014</v>
      </c>
      <c r="B10989">
        <v>2017</v>
      </c>
      <c r="C10989">
        <v>10</v>
      </c>
      <c r="D10989" s="11">
        <v>43009</v>
      </c>
      <c r="E10989" t="s">
        <v>2182</v>
      </c>
      <c r="F10989">
        <v>5</v>
      </c>
      <c r="G10989" t="s">
        <v>55</v>
      </c>
      <c r="H10989" t="s">
        <v>43</v>
      </c>
      <c r="I10989" t="s">
        <v>2191</v>
      </c>
      <c r="J10989" s="10">
        <v>39.8</v>
      </c>
      <c r="K10989" t="b">
        <v>1</v>
      </c>
    </row>
    <row r="10990" spans="1:11">
      <c r="A10990" s="12">
        <v>43014</v>
      </c>
      <c r="B10990">
        <v>2017</v>
      </c>
      <c r="C10990">
        <v>10</v>
      </c>
      <c r="D10990" s="11">
        <v>43009</v>
      </c>
      <c r="E10990" t="s">
        <v>2182</v>
      </c>
      <c r="F10990">
        <v>5</v>
      </c>
      <c r="G10990" t="s">
        <v>55</v>
      </c>
      <c r="H10990" t="s">
        <v>44</v>
      </c>
      <c r="I10990" t="s">
        <v>2192</v>
      </c>
      <c r="J10990" s="10">
        <v>7</v>
      </c>
      <c r="K10990" t="b">
        <v>1</v>
      </c>
    </row>
    <row r="10991" spans="1:11">
      <c r="A10991" s="12">
        <v>43014</v>
      </c>
      <c r="B10991">
        <v>2017</v>
      </c>
      <c r="C10991">
        <v>10</v>
      </c>
      <c r="D10991" s="11">
        <v>43009</v>
      </c>
      <c r="E10991" t="s">
        <v>2182</v>
      </c>
      <c r="F10991">
        <v>5</v>
      </c>
      <c r="G10991" t="s">
        <v>55</v>
      </c>
      <c r="H10991" t="s">
        <v>45</v>
      </c>
      <c r="I10991" t="s">
        <v>2193</v>
      </c>
      <c r="J10991" s="10">
        <v>0</v>
      </c>
      <c r="K10991" t="b">
        <v>1</v>
      </c>
    </row>
    <row r="10992" spans="1:11">
      <c r="A10992" s="12">
        <v>43014</v>
      </c>
      <c r="B10992">
        <v>2017</v>
      </c>
      <c r="C10992">
        <v>10</v>
      </c>
      <c r="D10992" s="11">
        <v>43009</v>
      </c>
      <c r="E10992" t="s">
        <v>2182</v>
      </c>
      <c r="F10992">
        <v>5</v>
      </c>
      <c r="G10992" t="s">
        <v>55</v>
      </c>
      <c r="H10992" t="s">
        <v>46</v>
      </c>
      <c r="I10992" t="s">
        <v>2194</v>
      </c>
      <c r="J10992" s="10">
        <v>6</v>
      </c>
      <c r="K10992" t="b">
        <v>1</v>
      </c>
    </row>
    <row r="10993" spans="1:11">
      <c r="A10993" s="12">
        <v>43014</v>
      </c>
      <c r="B10993">
        <v>2017</v>
      </c>
      <c r="C10993">
        <v>10</v>
      </c>
      <c r="D10993" s="11">
        <v>43009</v>
      </c>
      <c r="E10993" t="s">
        <v>2182</v>
      </c>
      <c r="F10993">
        <v>5</v>
      </c>
      <c r="G10993" t="s">
        <v>55</v>
      </c>
      <c r="H10993" t="s">
        <v>47</v>
      </c>
      <c r="I10993" t="s">
        <v>2195</v>
      </c>
      <c r="J10993" s="10">
        <v>2</v>
      </c>
      <c r="K10993" t="b">
        <v>1</v>
      </c>
    </row>
    <row r="10994" spans="1:11">
      <c r="A10994" s="12">
        <v>43015</v>
      </c>
      <c r="B10994">
        <v>2017</v>
      </c>
      <c r="C10994">
        <v>10</v>
      </c>
      <c r="D10994" s="11">
        <v>43009</v>
      </c>
      <c r="E10994" t="s">
        <v>2182</v>
      </c>
      <c r="F10994">
        <v>6</v>
      </c>
      <c r="G10994" t="s">
        <v>57</v>
      </c>
      <c r="H10994" t="s">
        <v>40</v>
      </c>
      <c r="I10994" t="s">
        <v>2188</v>
      </c>
      <c r="J10994" s="10">
        <v>4</v>
      </c>
      <c r="K10994" t="b">
        <v>1</v>
      </c>
    </row>
    <row r="10995" spans="1:11">
      <c r="A10995" s="12">
        <v>43015</v>
      </c>
      <c r="B10995">
        <v>2017</v>
      </c>
      <c r="C10995">
        <v>10</v>
      </c>
      <c r="D10995" s="11">
        <v>43009</v>
      </c>
      <c r="E10995" t="s">
        <v>2182</v>
      </c>
      <c r="F10995">
        <v>6</v>
      </c>
      <c r="G10995" t="s">
        <v>57</v>
      </c>
      <c r="H10995" t="s">
        <v>41</v>
      </c>
      <c r="I10995" t="s">
        <v>2189</v>
      </c>
      <c r="J10995" s="10">
        <v>2.023</v>
      </c>
      <c r="K10995" t="b">
        <v>1</v>
      </c>
    </row>
    <row r="10996" spans="1:11">
      <c r="A10996" s="12">
        <v>43015</v>
      </c>
      <c r="B10996">
        <v>2017</v>
      </c>
      <c r="C10996">
        <v>10</v>
      </c>
      <c r="D10996" s="11">
        <v>43009</v>
      </c>
      <c r="E10996" t="s">
        <v>2182</v>
      </c>
      <c r="F10996">
        <v>6</v>
      </c>
      <c r="G10996" t="s">
        <v>57</v>
      </c>
      <c r="H10996" t="s">
        <v>42</v>
      </c>
      <c r="I10996" t="s">
        <v>2190</v>
      </c>
      <c r="J10996" s="10">
        <v>2</v>
      </c>
      <c r="K10996" t="b">
        <v>1</v>
      </c>
    </row>
    <row r="10997" spans="1:11">
      <c r="A10997" s="12">
        <v>43015</v>
      </c>
      <c r="B10997">
        <v>2017</v>
      </c>
      <c r="C10997">
        <v>10</v>
      </c>
      <c r="D10997" s="11">
        <v>43009</v>
      </c>
      <c r="E10997" t="s">
        <v>2182</v>
      </c>
      <c r="F10997">
        <v>6</v>
      </c>
      <c r="G10997" t="s">
        <v>57</v>
      </c>
      <c r="H10997" t="s">
        <v>43</v>
      </c>
      <c r="I10997" t="s">
        <v>2191</v>
      </c>
      <c r="J10997" s="10">
        <v>35.25</v>
      </c>
      <c r="K10997" t="b">
        <v>1</v>
      </c>
    </row>
    <row r="10998" spans="1:11">
      <c r="A10998" s="12">
        <v>43015</v>
      </c>
      <c r="B10998">
        <v>2017</v>
      </c>
      <c r="C10998">
        <v>10</v>
      </c>
      <c r="D10998" s="11">
        <v>43009</v>
      </c>
      <c r="E10998" t="s">
        <v>2182</v>
      </c>
      <c r="F10998">
        <v>6</v>
      </c>
      <c r="G10998" t="s">
        <v>57</v>
      </c>
      <c r="H10998" t="s">
        <v>44</v>
      </c>
      <c r="I10998" t="s">
        <v>2192</v>
      </c>
      <c r="J10998" s="10">
        <v>4</v>
      </c>
      <c r="K10998" t="b">
        <v>1</v>
      </c>
    </row>
    <row r="10999" spans="1:11">
      <c r="A10999" s="12">
        <v>43015</v>
      </c>
      <c r="B10999">
        <v>2017</v>
      </c>
      <c r="C10999">
        <v>10</v>
      </c>
      <c r="D10999" s="11">
        <v>43009</v>
      </c>
      <c r="E10999" t="s">
        <v>2182</v>
      </c>
      <c r="F10999">
        <v>6</v>
      </c>
      <c r="G10999" t="s">
        <v>57</v>
      </c>
      <c r="H10999" t="s">
        <v>45</v>
      </c>
      <c r="I10999" t="s">
        <v>2193</v>
      </c>
      <c r="J10999" s="10">
        <v>0</v>
      </c>
      <c r="K10999" t="b">
        <v>1</v>
      </c>
    </row>
    <row r="11000" spans="1:11">
      <c r="A11000" s="12">
        <v>43015</v>
      </c>
      <c r="B11000">
        <v>2017</v>
      </c>
      <c r="C11000">
        <v>10</v>
      </c>
      <c r="D11000" s="11">
        <v>43009</v>
      </c>
      <c r="E11000" t="s">
        <v>2182</v>
      </c>
      <c r="F11000">
        <v>6</v>
      </c>
      <c r="G11000" t="s">
        <v>57</v>
      </c>
      <c r="H11000" t="s">
        <v>46</v>
      </c>
      <c r="I11000" t="s">
        <v>2194</v>
      </c>
      <c r="J11000" s="10">
        <v>10</v>
      </c>
      <c r="K11000" t="b">
        <v>1</v>
      </c>
    </row>
    <row r="11001" spans="1:11">
      <c r="A11001" s="12">
        <v>43015</v>
      </c>
      <c r="B11001">
        <v>2017</v>
      </c>
      <c r="C11001">
        <v>10</v>
      </c>
      <c r="D11001" s="11">
        <v>43009</v>
      </c>
      <c r="E11001" t="s">
        <v>2182</v>
      </c>
      <c r="F11001">
        <v>6</v>
      </c>
      <c r="G11001" t="s">
        <v>57</v>
      </c>
      <c r="H11001" t="s">
        <v>47</v>
      </c>
      <c r="I11001" t="s">
        <v>2195</v>
      </c>
      <c r="J11001" s="10">
        <v>1</v>
      </c>
      <c r="K11001" t="b">
        <v>1</v>
      </c>
    </row>
    <row r="11002" spans="1:11">
      <c r="A11002" s="12">
        <v>43016</v>
      </c>
      <c r="B11002">
        <v>2017</v>
      </c>
      <c r="C11002">
        <v>10</v>
      </c>
      <c r="D11002" s="11">
        <v>43009</v>
      </c>
      <c r="E11002" t="s">
        <v>2182</v>
      </c>
      <c r="F11002">
        <v>7</v>
      </c>
      <c r="G11002" t="s">
        <v>59</v>
      </c>
      <c r="H11002" t="s">
        <v>40</v>
      </c>
      <c r="I11002" t="s">
        <v>2188</v>
      </c>
      <c r="J11002" s="10">
        <v>8.67</v>
      </c>
      <c r="K11002" t="b">
        <v>1</v>
      </c>
    </row>
    <row r="11003" spans="1:11">
      <c r="A11003" s="12">
        <v>43016</v>
      </c>
      <c r="B11003">
        <v>2017</v>
      </c>
      <c r="C11003">
        <v>10</v>
      </c>
      <c r="D11003" s="11">
        <v>43009</v>
      </c>
      <c r="E11003" t="s">
        <v>2182</v>
      </c>
      <c r="F11003">
        <v>7</v>
      </c>
      <c r="G11003" t="s">
        <v>59</v>
      </c>
      <c r="H11003" t="s">
        <v>41</v>
      </c>
      <c r="I11003" t="s">
        <v>2189</v>
      </c>
      <c r="J11003" s="10">
        <v>3.261</v>
      </c>
      <c r="K11003" t="b">
        <v>1</v>
      </c>
    </row>
    <row r="11004" spans="1:11">
      <c r="A11004" s="12">
        <v>43016</v>
      </c>
      <c r="B11004">
        <v>2017</v>
      </c>
      <c r="C11004">
        <v>10</v>
      </c>
      <c r="D11004" s="11">
        <v>43009</v>
      </c>
      <c r="E11004" t="s">
        <v>2182</v>
      </c>
      <c r="F11004">
        <v>7</v>
      </c>
      <c r="G11004" t="s">
        <v>59</v>
      </c>
      <c r="H11004" t="s">
        <v>42</v>
      </c>
      <c r="I11004" t="s">
        <v>2190</v>
      </c>
      <c r="J11004" s="10">
        <v>5.2</v>
      </c>
      <c r="K11004" t="b">
        <v>1</v>
      </c>
    </row>
    <row r="11005" spans="1:11">
      <c r="A11005" s="12">
        <v>43016</v>
      </c>
      <c r="B11005">
        <v>2017</v>
      </c>
      <c r="C11005">
        <v>10</v>
      </c>
      <c r="D11005" s="11">
        <v>43009</v>
      </c>
      <c r="E11005" t="s">
        <v>2182</v>
      </c>
      <c r="F11005">
        <v>7</v>
      </c>
      <c r="G11005" t="s">
        <v>59</v>
      </c>
      <c r="H11005" t="s">
        <v>43</v>
      </c>
      <c r="I11005" t="s">
        <v>2191</v>
      </c>
      <c r="J11005" s="10">
        <v>77.09999999999999</v>
      </c>
      <c r="K11005" t="b">
        <v>1</v>
      </c>
    </row>
    <row r="11006" spans="1:11">
      <c r="A11006" s="12">
        <v>43016</v>
      </c>
      <c r="B11006">
        <v>2017</v>
      </c>
      <c r="C11006">
        <v>10</v>
      </c>
      <c r="D11006" s="11">
        <v>43009</v>
      </c>
      <c r="E11006" t="s">
        <v>2182</v>
      </c>
      <c r="F11006">
        <v>7</v>
      </c>
      <c r="G11006" t="s">
        <v>59</v>
      </c>
      <c r="H11006" t="s">
        <v>44</v>
      </c>
      <c r="I11006" t="s">
        <v>2192</v>
      </c>
      <c r="J11006" s="10">
        <v>2</v>
      </c>
      <c r="K11006" t="b">
        <v>1</v>
      </c>
    </row>
    <row r="11007" spans="1:11">
      <c r="A11007" s="12">
        <v>43016</v>
      </c>
      <c r="B11007">
        <v>2017</v>
      </c>
      <c r="C11007">
        <v>10</v>
      </c>
      <c r="D11007" s="11">
        <v>43009</v>
      </c>
      <c r="E11007" t="s">
        <v>2182</v>
      </c>
      <c r="F11007">
        <v>7</v>
      </c>
      <c r="G11007" t="s">
        <v>59</v>
      </c>
      <c r="H11007" t="s">
        <v>45</v>
      </c>
      <c r="I11007" t="s">
        <v>2193</v>
      </c>
      <c r="J11007" s="10">
        <v>0</v>
      </c>
      <c r="K11007" t="b">
        <v>1</v>
      </c>
    </row>
    <row r="11008" spans="1:11">
      <c r="A11008" s="12">
        <v>43016</v>
      </c>
      <c r="B11008">
        <v>2017</v>
      </c>
      <c r="C11008">
        <v>10</v>
      </c>
      <c r="D11008" s="11">
        <v>43009</v>
      </c>
      <c r="E11008" t="s">
        <v>2182</v>
      </c>
      <c r="F11008">
        <v>7</v>
      </c>
      <c r="G11008" t="s">
        <v>59</v>
      </c>
      <c r="H11008" t="s">
        <v>46</v>
      </c>
      <c r="I11008" t="s">
        <v>2194</v>
      </c>
      <c r="J11008" s="10">
        <v>15</v>
      </c>
      <c r="K11008" t="b">
        <v>1</v>
      </c>
    </row>
    <row r="11009" spans="1:11">
      <c r="A11009" s="12">
        <v>43016</v>
      </c>
      <c r="B11009">
        <v>2017</v>
      </c>
      <c r="C11009">
        <v>10</v>
      </c>
      <c r="D11009" s="11">
        <v>43009</v>
      </c>
      <c r="E11009" t="s">
        <v>2182</v>
      </c>
      <c r="F11009">
        <v>7</v>
      </c>
      <c r="G11009" t="s">
        <v>59</v>
      </c>
      <c r="H11009" t="s">
        <v>47</v>
      </c>
      <c r="I11009" t="s">
        <v>2195</v>
      </c>
      <c r="J11009" s="10">
        <v>4</v>
      </c>
      <c r="K11009" t="b">
        <v>1</v>
      </c>
    </row>
    <row r="11010" spans="1:11">
      <c r="A11010" s="12">
        <v>43017</v>
      </c>
      <c r="B11010">
        <v>2017</v>
      </c>
      <c r="C11010">
        <v>10</v>
      </c>
      <c r="D11010" s="11">
        <v>43009</v>
      </c>
      <c r="E11010" t="s">
        <v>2182</v>
      </c>
      <c r="F11010">
        <v>1</v>
      </c>
      <c r="G11010" t="s">
        <v>61</v>
      </c>
      <c r="H11010" t="s">
        <v>40</v>
      </c>
      <c r="I11010" t="s">
        <v>2188</v>
      </c>
      <c r="J11010" s="10">
        <v>0</v>
      </c>
      <c r="K11010" t="b">
        <v>1</v>
      </c>
    </row>
    <row r="11011" spans="1:11">
      <c r="A11011" s="12">
        <v>43017</v>
      </c>
      <c r="B11011">
        <v>2017</v>
      </c>
      <c r="C11011">
        <v>10</v>
      </c>
      <c r="D11011" s="11">
        <v>43009</v>
      </c>
      <c r="E11011" t="s">
        <v>2182</v>
      </c>
      <c r="F11011">
        <v>1</v>
      </c>
      <c r="G11011" t="s">
        <v>61</v>
      </c>
      <c r="H11011" t="s">
        <v>41</v>
      </c>
      <c r="I11011" t="s">
        <v>2189</v>
      </c>
      <c r="J11011" s="10">
        <v>0</v>
      </c>
      <c r="K11011" t="b">
        <v>1</v>
      </c>
    </row>
    <row r="11012" spans="1:11">
      <c r="A11012" s="12">
        <v>43017</v>
      </c>
      <c r="B11012">
        <v>2017</v>
      </c>
      <c r="C11012">
        <v>10</v>
      </c>
      <c r="D11012" s="11">
        <v>43009</v>
      </c>
      <c r="E11012" t="s">
        <v>2182</v>
      </c>
      <c r="F11012">
        <v>1</v>
      </c>
      <c r="G11012" t="s">
        <v>61</v>
      </c>
      <c r="H11012" t="s">
        <v>42</v>
      </c>
      <c r="I11012" t="s">
        <v>2190</v>
      </c>
      <c r="J11012" s="10">
        <v>0</v>
      </c>
      <c r="K11012" t="b">
        <v>1</v>
      </c>
    </row>
    <row r="11013" spans="1:11">
      <c r="A11013" s="12">
        <v>43017</v>
      </c>
      <c r="B11013">
        <v>2017</v>
      </c>
      <c r="C11013">
        <v>10</v>
      </c>
      <c r="D11013" s="11">
        <v>43009</v>
      </c>
      <c r="E11013" t="s">
        <v>2182</v>
      </c>
      <c r="F11013">
        <v>1</v>
      </c>
      <c r="G11013" t="s">
        <v>61</v>
      </c>
      <c r="H11013" t="s">
        <v>43</v>
      </c>
      <c r="I11013" t="s">
        <v>2191</v>
      </c>
      <c r="J11013" s="10">
        <v>0</v>
      </c>
      <c r="K11013" t="b">
        <v>1</v>
      </c>
    </row>
    <row r="11014" spans="1:11">
      <c r="A11014" s="12">
        <v>43017</v>
      </c>
      <c r="B11014">
        <v>2017</v>
      </c>
      <c r="C11014">
        <v>10</v>
      </c>
      <c r="D11014" s="11">
        <v>43009</v>
      </c>
      <c r="E11014" t="s">
        <v>2182</v>
      </c>
      <c r="F11014">
        <v>1</v>
      </c>
      <c r="G11014" t="s">
        <v>61</v>
      </c>
      <c r="H11014" t="s">
        <v>44</v>
      </c>
      <c r="I11014" t="s">
        <v>2192</v>
      </c>
      <c r="J11014" s="10">
        <v>0</v>
      </c>
      <c r="K11014" t="b">
        <v>1</v>
      </c>
    </row>
    <row r="11015" spans="1:11">
      <c r="A11015" s="12">
        <v>43017</v>
      </c>
      <c r="B11015">
        <v>2017</v>
      </c>
      <c r="C11015">
        <v>10</v>
      </c>
      <c r="D11015" s="11">
        <v>43009</v>
      </c>
      <c r="E11015" t="s">
        <v>2182</v>
      </c>
      <c r="F11015">
        <v>1</v>
      </c>
      <c r="G11015" t="s">
        <v>61</v>
      </c>
      <c r="H11015" t="s">
        <v>45</v>
      </c>
      <c r="I11015" t="s">
        <v>2193</v>
      </c>
      <c r="J11015" s="10">
        <v>0</v>
      </c>
      <c r="K11015" t="b">
        <v>1</v>
      </c>
    </row>
    <row r="11016" spans="1:11">
      <c r="A11016" s="12">
        <v>43017</v>
      </c>
      <c r="B11016">
        <v>2017</v>
      </c>
      <c r="C11016">
        <v>10</v>
      </c>
      <c r="D11016" s="11">
        <v>43009</v>
      </c>
      <c r="E11016" t="s">
        <v>2182</v>
      </c>
      <c r="F11016">
        <v>1</v>
      </c>
      <c r="G11016" t="s">
        <v>61</v>
      </c>
      <c r="H11016" t="s">
        <v>46</v>
      </c>
      <c r="I11016" t="s">
        <v>2194</v>
      </c>
      <c r="J11016" s="10">
        <v>0</v>
      </c>
      <c r="K11016" t="b">
        <v>1</v>
      </c>
    </row>
    <row r="11017" spans="1:11">
      <c r="A11017" s="12">
        <v>43017</v>
      </c>
      <c r="B11017">
        <v>2017</v>
      </c>
      <c r="C11017">
        <v>10</v>
      </c>
      <c r="D11017" s="11">
        <v>43009</v>
      </c>
      <c r="E11017" t="s">
        <v>2182</v>
      </c>
      <c r="F11017">
        <v>1</v>
      </c>
      <c r="G11017" t="s">
        <v>61</v>
      </c>
      <c r="H11017" t="s">
        <v>47</v>
      </c>
      <c r="I11017" t="s">
        <v>2195</v>
      </c>
      <c r="J11017" s="10">
        <v>0</v>
      </c>
      <c r="K11017" t="b">
        <v>1</v>
      </c>
    </row>
    <row r="11018" spans="1:11">
      <c r="A11018" s="12">
        <v>43018</v>
      </c>
      <c r="B11018">
        <v>2017</v>
      </c>
      <c r="C11018">
        <v>10</v>
      </c>
      <c r="D11018" s="11">
        <v>43009</v>
      </c>
      <c r="E11018" t="s">
        <v>2182</v>
      </c>
      <c r="F11018">
        <v>2</v>
      </c>
      <c r="G11018" t="s">
        <v>63</v>
      </c>
      <c r="H11018" t="s">
        <v>40</v>
      </c>
      <c r="I11018" t="s">
        <v>2188</v>
      </c>
      <c r="J11018" s="10">
        <v>10</v>
      </c>
      <c r="K11018" t="b">
        <v>1</v>
      </c>
    </row>
    <row r="11019" spans="1:11">
      <c r="A11019" s="12">
        <v>43018</v>
      </c>
      <c r="B11019">
        <v>2017</v>
      </c>
      <c r="C11019">
        <v>10</v>
      </c>
      <c r="D11019" s="11">
        <v>43009</v>
      </c>
      <c r="E11019" t="s">
        <v>2182</v>
      </c>
      <c r="F11019">
        <v>2</v>
      </c>
      <c r="G11019" t="s">
        <v>63</v>
      </c>
      <c r="H11019" t="s">
        <v>41</v>
      </c>
      <c r="I11019" t="s">
        <v>2189</v>
      </c>
      <c r="J11019" s="10">
        <v>2.68</v>
      </c>
      <c r="K11019" t="b">
        <v>1</v>
      </c>
    </row>
    <row r="11020" spans="1:11">
      <c r="A11020" s="12">
        <v>43018</v>
      </c>
      <c r="B11020">
        <v>2017</v>
      </c>
      <c r="C11020">
        <v>10</v>
      </c>
      <c r="D11020" s="11">
        <v>43009</v>
      </c>
      <c r="E11020" t="s">
        <v>2182</v>
      </c>
      <c r="F11020">
        <v>2</v>
      </c>
      <c r="G11020" t="s">
        <v>63</v>
      </c>
      <c r="H11020" t="s">
        <v>42</v>
      </c>
      <c r="I11020" t="s">
        <v>2190</v>
      </c>
      <c r="J11020" s="10">
        <v>2</v>
      </c>
      <c r="K11020" t="b">
        <v>1</v>
      </c>
    </row>
    <row r="11021" spans="1:11">
      <c r="A11021" s="12">
        <v>43018</v>
      </c>
      <c r="B11021">
        <v>2017</v>
      </c>
      <c r="C11021">
        <v>10</v>
      </c>
      <c r="D11021" s="11">
        <v>43009</v>
      </c>
      <c r="E11021" t="s">
        <v>2182</v>
      </c>
      <c r="F11021">
        <v>2</v>
      </c>
      <c r="G11021" t="s">
        <v>63</v>
      </c>
      <c r="H11021" t="s">
        <v>43</v>
      </c>
      <c r="I11021" t="s">
        <v>2191</v>
      </c>
      <c r="J11021" s="10">
        <v>25</v>
      </c>
      <c r="K11021" t="b">
        <v>1</v>
      </c>
    </row>
    <row r="11022" spans="1:11">
      <c r="A11022" s="12">
        <v>43018</v>
      </c>
      <c r="B11022">
        <v>2017</v>
      </c>
      <c r="C11022">
        <v>10</v>
      </c>
      <c r="D11022" s="11">
        <v>43009</v>
      </c>
      <c r="E11022" t="s">
        <v>2182</v>
      </c>
      <c r="F11022">
        <v>2</v>
      </c>
      <c r="G11022" t="s">
        <v>63</v>
      </c>
      <c r="H11022" t="s">
        <v>44</v>
      </c>
      <c r="I11022" t="s">
        <v>2192</v>
      </c>
      <c r="J11022" s="10">
        <v>8</v>
      </c>
      <c r="K11022" t="b">
        <v>1</v>
      </c>
    </row>
    <row r="11023" spans="1:11">
      <c r="A11023" s="12">
        <v>43018</v>
      </c>
      <c r="B11023">
        <v>2017</v>
      </c>
      <c r="C11023">
        <v>10</v>
      </c>
      <c r="D11023" s="11">
        <v>43009</v>
      </c>
      <c r="E11023" t="s">
        <v>2182</v>
      </c>
      <c r="F11023">
        <v>2</v>
      </c>
      <c r="G11023" t="s">
        <v>63</v>
      </c>
      <c r="H11023" t="s">
        <v>45</v>
      </c>
      <c r="I11023" t="s">
        <v>2193</v>
      </c>
      <c r="J11023" s="10">
        <v>0</v>
      </c>
      <c r="K11023" t="b">
        <v>1</v>
      </c>
    </row>
    <row r="11024" spans="1:11">
      <c r="A11024" s="12">
        <v>43018</v>
      </c>
      <c r="B11024">
        <v>2017</v>
      </c>
      <c r="C11024">
        <v>10</v>
      </c>
      <c r="D11024" s="11">
        <v>43009</v>
      </c>
      <c r="E11024" t="s">
        <v>2182</v>
      </c>
      <c r="F11024">
        <v>2</v>
      </c>
      <c r="G11024" t="s">
        <v>63</v>
      </c>
      <c r="H11024" t="s">
        <v>46</v>
      </c>
      <c r="I11024" t="s">
        <v>2194</v>
      </c>
      <c r="J11024" s="10">
        <v>11</v>
      </c>
      <c r="K11024" t="b">
        <v>1</v>
      </c>
    </row>
    <row r="11025" spans="1:11">
      <c r="A11025" s="12">
        <v>43018</v>
      </c>
      <c r="B11025">
        <v>2017</v>
      </c>
      <c r="C11025">
        <v>10</v>
      </c>
      <c r="D11025" s="11">
        <v>43009</v>
      </c>
      <c r="E11025" t="s">
        <v>2182</v>
      </c>
      <c r="F11025">
        <v>2</v>
      </c>
      <c r="G11025" t="s">
        <v>63</v>
      </c>
      <c r="H11025" t="s">
        <v>47</v>
      </c>
      <c r="I11025" t="s">
        <v>2195</v>
      </c>
      <c r="J11025" s="10">
        <v>3</v>
      </c>
      <c r="K11025" t="b">
        <v>1</v>
      </c>
    </row>
    <row r="11026" spans="1:11">
      <c r="A11026" s="12">
        <v>43019</v>
      </c>
      <c r="B11026">
        <v>2017</v>
      </c>
      <c r="C11026">
        <v>10</v>
      </c>
      <c r="D11026" s="11">
        <v>43009</v>
      </c>
      <c r="E11026" t="s">
        <v>2182</v>
      </c>
      <c r="F11026">
        <v>3</v>
      </c>
      <c r="G11026" t="s">
        <v>65</v>
      </c>
      <c r="H11026" t="s">
        <v>40</v>
      </c>
      <c r="I11026" t="s">
        <v>2188</v>
      </c>
      <c r="J11026" s="10">
        <v>3.5</v>
      </c>
      <c r="K11026" t="b">
        <v>1</v>
      </c>
    </row>
    <row r="11027" spans="1:11">
      <c r="A11027" s="12">
        <v>43019</v>
      </c>
      <c r="B11027">
        <v>2017</v>
      </c>
      <c r="C11027">
        <v>10</v>
      </c>
      <c r="D11027" s="11">
        <v>43009</v>
      </c>
      <c r="E11027" t="s">
        <v>2182</v>
      </c>
      <c r="F11027">
        <v>3</v>
      </c>
      <c r="G11027" t="s">
        <v>65</v>
      </c>
      <c r="H11027" t="s">
        <v>41</v>
      </c>
      <c r="I11027" t="s">
        <v>2189</v>
      </c>
      <c r="J11027" s="10">
        <v>1</v>
      </c>
      <c r="K11027" t="b">
        <v>1</v>
      </c>
    </row>
    <row r="11028" spans="1:11">
      <c r="A11028" s="12">
        <v>43019</v>
      </c>
      <c r="B11028">
        <v>2017</v>
      </c>
      <c r="C11028">
        <v>10</v>
      </c>
      <c r="D11028" s="11">
        <v>43009</v>
      </c>
      <c r="E11028" t="s">
        <v>2182</v>
      </c>
      <c r="F11028">
        <v>3</v>
      </c>
      <c r="G11028" t="s">
        <v>65</v>
      </c>
      <c r="H11028" t="s">
        <v>42</v>
      </c>
      <c r="I11028" t="s">
        <v>2190</v>
      </c>
      <c r="J11028" s="10">
        <v>4.6</v>
      </c>
      <c r="K11028" t="b">
        <v>1</v>
      </c>
    </row>
    <row r="11029" spans="1:11">
      <c r="A11029" s="12">
        <v>43019</v>
      </c>
      <c r="B11029">
        <v>2017</v>
      </c>
      <c r="C11029">
        <v>10</v>
      </c>
      <c r="D11029" s="11">
        <v>43009</v>
      </c>
      <c r="E11029" t="s">
        <v>2182</v>
      </c>
      <c r="F11029">
        <v>3</v>
      </c>
      <c r="G11029" t="s">
        <v>65</v>
      </c>
      <c r="H11029" t="s">
        <v>43</v>
      </c>
      <c r="I11029" t="s">
        <v>2191</v>
      </c>
      <c r="J11029" s="10">
        <v>39.4</v>
      </c>
      <c r="K11029" t="b">
        <v>1</v>
      </c>
    </row>
    <row r="11030" spans="1:11">
      <c r="A11030" s="12">
        <v>43019</v>
      </c>
      <c r="B11030">
        <v>2017</v>
      </c>
      <c r="C11030">
        <v>10</v>
      </c>
      <c r="D11030" s="11">
        <v>43009</v>
      </c>
      <c r="E11030" t="s">
        <v>2182</v>
      </c>
      <c r="F11030">
        <v>3</v>
      </c>
      <c r="G11030" t="s">
        <v>65</v>
      </c>
      <c r="H11030" t="s">
        <v>44</v>
      </c>
      <c r="I11030" t="s">
        <v>2192</v>
      </c>
      <c r="J11030" s="10">
        <v>2</v>
      </c>
      <c r="K11030" t="b">
        <v>1</v>
      </c>
    </row>
    <row r="11031" spans="1:11">
      <c r="A11031" s="12">
        <v>43019</v>
      </c>
      <c r="B11031">
        <v>2017</v>
      </c>
      <c r="C11031">
        <v>10</v>
      </c>
      <c r="D11031" s="11">
        <v>43009</v>
      </c>
      <c r="E11031" t="s">
        <v>2182</v>
      </c>
      <c r="F11031">
        <v>3</v>
      </c>
      <c r="G11031" t="s">
        <v>65</v>
      </c>
      <c r="H11031" t="s">
        <v>45</v>
      </c>
      <c r="I11031" t="s">
        <v>2193</v>
      </c>
      <c r="J11031" s="10">
        <v>0</v>
      </c>
      <c r="K11031" t="b">
        <v>1</v>
      </c>
    </row>
    <row r="11032" spans="1:11">
      <c r="A11032" s="12">
        <v>43019</v>
      </c>
      <c r="B11032">
        <v>2017</v>
      </c>
      <c r="C11032">
        <v>10</v>
      </c>
      <c r="D11032" s="11">
        <v>43009</v>
      </c>
      <c r="E11032" t="s">
        <v>2182</v>
      </c>
      <c r="F11032">
        <v>3</v>
      </c>
      <c r="G11032" t="s">
        <v>65</v>
      </c>
      <c r="H11032" t="s">
        <v>46</v>
      </c>
      <c r="I11032" t="s">
        <v>2194</v>
      </c>
      <c r="J11032" s="10">
        <v>6</v>
      </c>
      <c r="K11032" t="b">
        <v>1</v>
      </c>
    </row>
    <row r="11033" spans="1:11">
      <c r="A11033" s="12">
        <v>43019</v>
      </c>
      <c r="B11033">
        <v>2017</v>
      </c>
      <c r="C11033">
        <v>10</v>
      </c>
      <c r="D11033" s="11">
        <v>43009</v>
      </c>
      <c r="E11033" t="s">
        <v>2182</v>
      </c>
      <c r="F11033">
        <v>3</v>
      </c>
      <c r="G11033" t="s">
        <v>65</v>
      </c>
      <c r="H11033" t="s">
        <v>47</v>
      </c>
      <c r="I11033" t="s">
        <v>2195</v>
      </c>
      <c r="J11033" s="10">
        <v>2.5</v>
      </c>
      <c r="K11033" t="b">
        <v>1</v>
      </c>
    </row>
    <row r="11034" spans="1:11">
      <c r="A11034" s="12">
        <v>43020</v>
      </c>
      <c r="B11034">
        <v>2017</v>
      </c>
      <c r="C11034">
        <v>10</v>
      </c>
      <c r="D11034" s="11">
        <v>43009</v>
      </c>
      <c r="E11034" t="s">
        <v>2182</v>
      </c>
      <c r="F11034">
        <v>4</v>
      </c>
      <c r="G11034" t="s">
        <v>53</v>
      </c>
      <c r="H11034" t="s">
        <v>40</v>
      </c>
      <c r="I11034" t="s">
        <v>2188</v>
      </c>
      <c r="J11034" s="10">
        <v>4</v>
      </c>
      <c r="K11034" t="b">
        <v>1</v>
      </c>
    </row>
    <row r="11035" spans="1:11">
      <c r="A11035" s="12">
        <v>43020</v>
      </c>
      <c r="B11035">
        <v>2017</v>
      </c>
      <c r="C11035">
        <v>10</v>
      </c>
      <c r="D11035" s="11">
        <v>43009</v>
      </c>
      <c r="E11035" t="s">
        <v>2182</v>
      </c>
      <c r="F11035">
        <v>4</v>
      </c>
      <c r="G11035" t="s">
        <v>53</v>
      </c>
      <c r="H11035" t="s">
        <v>41</v>
      </c>
      <c r="I11035" t="s">
        <v>2189</v>
      </c>
      <c r="J11035" s="10">
        <v>2.393</v>
      </c>
      <c r="K11035" t="b">
        <v>1</v>
      </c>
    </row>
    <row r="11036" spans="1:11">
      <c r="A11036" s="12">
        <v>43020</v>
      </c>
      <c r="B11036">
        <v>2017</v>
      </c>
      <c r="C11036">
        <v>10</v>
      </c>
      <c r="D11036" s="11">
        <v>43009</v>
      </c>
      <c r="E11036" t="s">
        <v>2182</v>
      </c>
      <c r="F11036">
        <v>4</v>
      </c>
      <c r="G11036" t="s">
        <v>53</v>
      </c>
      <c r="H11036" t="s">
        <v>42</v>
      </c>
      <c r="I11036" t="s">
        <v>2190</v>
      </c>
      <c r="J11036" s="10">
        <v>2.3</v>
      </c>
      <c r="K11036" t="b">
        <v>1</v>
      </c>
    </row>
    <row r="11037" spans="1:11">
      <c r="A11037" s="12">
        <v>43020</v>
      </c>
      <c r="B11037">
        <v>2017</v>
      </c>
      <c r="C11037">
        <v>10</v>
      </c>
      <c r="D11037" s="11">
        <v>43009</v>
      </c>
      <c r="E11037" t="s">
        <v>2182</v>
      </c>
      <c r="F11037">
        <v>4</v>
      </c>
      <c r="G11037" t="s">
        <v>53</v>
      </c>
      <c r="H11037" t="s">
        <v>43</v>
      </c>
      <c r="I11037" t="s">
        <v>2191</v>
      </c>
      <c r="J11037" s="10">
        <v>41</v>
      </c>
      <c r="K11037" t="b">
        <v>1</v>
      </c>
    </row>
    <row r="11038" spans="1:11">
      <c r="A11038" s="12">
        <v>43020</v>
      </c>
      <c r="B11038">
        <v>2017</v>
      </c>
      <c r="C11038">
        <v>10</v>
      </c>
      <c r="D11038" s="11">
        <v>43009</v>
      </c>
      <c r="E11038" t="s">
        <v>2182</v>
      </c>
      <c r="F11038">
        <v>4</v>
      </c>
      <c r="G11038" t="s">
        <v>53</v>
      </c>
      <c r="H11038" t="s">
        <v>44</v>
      </c>
      <c r="I11038" t="s">
        <v>2192</v>
      </c>
      <c r="J11038" s="10">
        <v>9</v>
      </c>
      <c r="K11038" t="b">
        <v>1</v>
      </c>
    </row>
    <row r="11039" spans="1:11">
      <c r="A11039" s="12">
        <v>43020</v>
      </c>
      <c r="B11039">
        <v>2017</v>
      </c>
      <c r="C11039">
        <v>10</v>
      </c>
      <c r="D11039" s="11">
        <v>43009</v>
      </c>
      <c r="E11039" t="s">
        <v>2182</v>
      </c>
      <c r="F11039">
        <v>4</v>
      </c>
      <c r="G11039" t="s">
        <v>53</v>
      </c>
      <c r="H11039" t="s">
        <v>45</v>
      </c>
      <c r="I11039" t="s">
        <v>2193</v>
      </c>
      <c r="J11039" s="10">
        <v>0</v>
      </c>
      <c r="K11039" t="b">
        <v>1</v>
      </c>
    </row>
    <row r="11040" spans="1:11">
      <c r="A11040" s="12">
        <v>43020</v>
      </c>
      <c r="B11040">
        <v>2017</v>
      </c>
      <c r="C11040">
        <v>10</v>
      </c>
      <c r="D11040" s="11">
        <v>43009</v>
      </c>
      <c r="E11040" t="s">
        <v>2182</v>
      </c>
      <c r="F11040">
        <v>4</v>
      </c>
      <c r="G11040" t="s">
        <v>53</v>
      </c>
      <c r="H11040" t="s">
        <v>46</v>
      </c>
      <c r="I11040" t="s">
        <v>2194</v>
      </c>
      <c r="J11040" s="10">
        <v>1</v>
      </c>
      <c r="K11040" t="b">
        <v>1</v>
      </c>
    </row>
    <row r="11041" spans="1:11">
      <c r="A11041" s="12">
        <v>43020</v>
      </c>
      <c r="B11041">
        <v>2017</v>
      </c>
      <c r="C11041">
        <v>10</v>
      </c>
      <c r="D11041" s="11">
        <v>43009</v>
      </c>
      <c r="E11041" t="s">
        <v>2182</v>
      </c>
      <c r="F11041">
        <v>4</v>
      </c>
      <c r="G11041" t="s">
        <v>53</v>
      </c>
      <c r="H11041" t="s">
        <v>47</v>
      </c>
      <c r="I11041" t="s">
        <v>2195</v>
      </c>
      <c r="J11041" s="10">
        <v>2</v>
      </c>
      <c r="K11041" t="b">
        <v>1</v>
      </c>
    </row>
    <row r="11042" spans="1:11">
      <c r="A11042" s="12">
        <v>43021</v>
      </c>
      <c r="B11042">
        <v>2017</v>
      </c>
      <c r="C11042">
        <v>10</v>
      </c>
      <c r="D11042" s="11">
        <v>43009</v>
      </c>
      <c r="E11042" t="s">
        <v>2182</v>
      </c>
      <c r="F11042">
        <v>5</v>
      </c>
      <c r="G11042" t="s">
        <v>55</v>
      </c>
      <c r="H11042" t="s">
        <v>40</v>
      </c>
      <c r="I11042" t="s">
        <v>2188</v>
      </c>
      <c r="J11042" s="10">
        <v>5.33</v>
      </c>
      <c r="K11042" t="b">
        <v>1</v>
      </c>
    </row>
    <row r="11043" spans="1:11">
      <c r="A11043" s="12">
        <v>43021</v>
      </c>
      <c r="B11043">
        <v>2017</v>
      </c>
      <c r="C11043">
        <v>10</v>
      </c>
      <c r="D11043" s="11">
        <v>43009</v>
      </c>
      <c r="E11043" t="s">
        <v>2182</v>
      </c>
      <c r="F11043">
        <v>5</v>
      </c>
      <c r="G11043" t="s">
        <v>55</v>
      </c>
      <c r="H11043" t="s">
        <v>41</v>
      </c>
      <c r="I11043" t="s">
        <v>2189</v>
      </c>
      <c r="J11043" s="10">
        <v>1.396</v>
      </c>
      <c r="K11043" t="b">
        <v>1</v>
      </c>
    </row>
    <row r="11044" spans="1:11">
      <c r="A11044" s="12">
        <v>43021</v>
      </c>
      <c r="B11044">
        <v>2017</v>
      </c>
      <c r="C11044">
        <v>10</v>
      </c>
      <c r="D11044" s="11">
        <v>43009</v>
      </c>
      <c r="E11044" t="s">
        <v>2182</v>
      </c>
      <c r="F11044">
        <v>5</v>
      </c>
      <c r="G11044" t="s">
        <v>55</v>
      </c>
      <c r="H11044" t="s">
        <v>42</v>
      </c>
      <c r="I11044" t="s">
        <v>2190</v>
      </c>
      <c r="J11044" s="10">
        <v>0.6</v>
      </c>
      <c r="K11044" t="b">
        <v>1</v>
      </c>
    </row>
    <row r="11045" spans="1:11">
      <c r="A11045" s="12">
        <v>43021</v>
      </c>
      <c r="B11045">
        <v>2017</v>
      </c>
      <c r="C11045">
        <v>10</v>
      </c>
      <c r="D11045" s="11">
        <v>43009</v>
      </c>
      <c r="E11045" t="s">
        <v>2182</v>
      </c>
      <c r="F11045">
        <v>5</v>
      </c>
      <c r="G11045" t="s">
        <v>55</v>
      </c>
      <c r="H11045" t="s">
        <v>43</v>
      </c>
      <c r="I11045" t="s">
        <v>2191</v>
      </c>
      <c r="J11045" s="10">
        <v>38</v>
      </c>
      <c r="K11045" t="b">
        <v>1</v>
      </c>
    </row>
    <row r="11046" spans="1:11">
      <c r="A11046" s="12">
        <v>43021</v>
      </c>
      <c r="B11046">
        <v>2017</v>
      </c>
      <c r="C11046">
        <v>10</v>
      </c>
      <c r="D11046" s="11">
        <v>43009</v>
      </c>
      <c r="E11046" t="s">
        <v>2182</v>
      </c>
      <c r="F11046">
        <v>5</v>
      </c>
      <c r="G11046" t="s">
        <v>55</v>
      </c>
      <c r="H11046" t="s">
        <v>44</v>
      </c>
      <c r="I11046" t="s">
        <v>2192</v>
      </c>
      <c r="J11046" s="10">
        <v>8</v>
      </c>
      <c r="K11046" t="b">
        <v>1</v>
      </c>
    </row>
    <row r="11047" spans="1:11">
      <c r="A11047" s="12">
        <v>43021</v>
      </c>
      <c r="B11047">
        <v>2017</v>
      </c>
      <c r="C11047">
        <v>10</v>
      </c>
      <c r="D11047" s="11">
        <v>43009</v>
      </c>
      <c r="E11047" t="s">
        <v>2182</v>
      </c>
      <c r="F11047">
        <v>5</v>
      </c>
      <c r="G11047" t="s">
        <v>55</v>
      </c>
      <c r="H11047" t="s">
        <v>45</v>
      </c>
      <c r="I11047" t="s">
        <v>2193</v>
      </c>
      <c r="J11047" s="10">
        <v>2</v>
      </c>
      <c r="K11047" t="b">
        <v>1</v>
      </c>
    </row>
    <row r="11048" spans="1:11">
      <c r="A11048" s="12">
        <v>43021</v>
      </c>
      <c r="B11048">
        <v>2017</v>
      </c>
      <c r="C11048">
        <v>10</v>
      </c>
      <c r="D11048" s="11">
        <v>43009</v>
      </c>
      <c r="E11048" t="s">
        <v>2182</v>
      </c>
      <c r="F11048">
        <v>5</v>
      </c>
      <c r="G11048" t="s">
        <v>55</v>
      </c>
      <c r="H11048" t="s">
        <v>46</v>
      </c>
      <c r="I11048" t="s">
        <v>2194</v>
      </c>
      <c r="J11048" s="10">
        <v>3</v>
      </c>
      <c r="K11048" t="b">
        <v>1</v>
      </c>
    </row>
    <row r="11049" spans="1:11">
      <c r="A11049" s="12">
        <v>43021</v>
      </c>
      <c r="B11049">
        <v>2017</v>
      </c>
      <c r="C11049">
        <v>10</v>
      </c>
      <c r="D11049" s="11">
        <v>43009</v>
      </c>
      <c r="E11049" t="s">
        <v>2182</v>
      </c>
      <c r="F11049">
        <v>5</v>
      </c>
      <c r="G11049" t="s">
        <v>55</v>
      </c>
      <c r="H11049" t="s">
        <v>47</v>
      </c>
      <c r="I11049" t="s">
        <v>2195</v>
      </c>
      <c r="J11049" s="10">
        <v>4</v>
      </c>
      <c r="K11049" t="b">
        <v>1</v>
      </c>
    </row>
    <row r="11050" spans="1:11">
      <c r="A11050" s="12">
        <v>43022</v>
      </c>
      <c r="B11050">
        <v>2017</v>
      </c>
      <c r="C11050">
        <v>10</v>
      </c>
      <c r="D11050" s="11">
        <v>43009</v>
      </c>
      <c r="E11050" t="s">
        <v>2182</v>
      </c>
      <c r="F11050">
        <v>6</v>
      </c>
      <c r="G11050" t="s">
        <v>57</v>
      </c>
      <c r="H11050" t="s">
        <v>40</v>
      </c>
      <c r="I11050" t="s">
        <v>2188</v>
      </c>
      <c r="J11050" s="10">
        <v>4.84</v>
      </c>
      <c r="K11050" t="b">
        <v>1</v>
      </c>
    </row>
    <row r="11051" spans="1:11">
      <c r="A11051" s="12">
        <v>43022</v>
      </c>
      <c r="B11051">
        <v>2017</v>
      </c>
      <c r="C11051">
        <v>10</v>
      </c>
      <c r="D11051" s="11">
        <v>43009</v>
      </c>
      <c r="E11051" t="s">
        <v>2182</v>
      </c>
      <c r="F11051">
        <v>6</v>
      </c>
      <c r="G11051" t="s">
        <v>57</v>
      </c>
      <c r="H11051" t="s">
        <v>41</v>
      </c>
      <c r="I11051" t="s">
        <v>2189</v>
      </c>
      <c r="J11051" s="10">
        <v>3.66</v>
      </c>
      <c r="K11051" t="b">
        <v>1</v>
      </c>
    </row>
    <row r="11052" spans="1:11">
      <c r="A11052" s="12">
        <v>43022</v>
      </c>
      <c r="B11052">
        <v>2017</v>
      </c>
      <c r="C11052">
        <v>10</v>
      </c>
      <c r="D11052" s="11">
        <v>43009</v>
      </c>
      <c r="E11052" t="s">
        <v>2182</v>
      </c>
      <c r="F11052">
        <v>6</v>
      </c>
      <c r="G11052" t="s">
        <v>57</v>
      </c>
      <c r="H11052" t="s">
        <v>42</v>
      </c>
      <c r="I11052" t="s">
        <v>2190</v>
      </c>
      <c r="J11052" s="10">
        <v>4</v>
      </c>
      <c r="K11052" t="b">
        <v>1</v>
      </c>
    </row>
    <row r="11053" spans="1:11">
      <c r="A11053" s="12">
        <v>43022</v>
      </c>
      <c r="B11053">
        <v>2017</v>
      </c>
      <c r="C11053">
        <v>10</v>
      </c>
      <c r="D11053" s="11">
        <v>43009</v>
      </c>
      <c r="E11053" t="s">
        <v>2182</v>
      </c>
      <c r="F11053">
        <v>6</v>
      </c>
      <c r="G11053" t="s">
        <v>57</v>
      </c>
      <c r="H11053" t="s">
        <v>43</v>
      </c>
      <c r="I11053" t="s">
        <v>2191</v>
      </c>
      <c r="J11053" s="10">
        <v>42.2</v>
      </c>
      <c r="K11053" t="b">
        <v>1</v>
      </c>
    </row>
    <row r="11054" spans="1:11">
      <c r="A11054" s="12">
        <v>43022</v>
      </c>
      <c r="B11054">
        <v>2017</v>
      </c>
      <c r="C11054">
        <v>10</v>
      </c>
      <c r="D11054" s="11">
        <v>43009</v>
      </c>
      <c r="E11054" t="s">
        <v>2182</v>
      </c>
      <c r="F11054">
        <v>6</v>
      </c>
      <c r="G11054" t="s">
        <v>57</v>
      </c>
      <c r="H11054" t="s">
        <v>44</v>
      </c>
      <c r="I11054" t="s">
        <v>2192</v>
      </c>
      <c r="J11054" s="10">
        <v>9</v>
      </c>
      <c r="K11054" t="b">
        <v>1</v>
      </c>
    </row>
    <row r="11055" spans="1:11">
      <c r="A11055" s="12">
        <v>43022</v>
      </c>
      <c r="B11055">
        <v>2017</v>
      </c>
      <c r="C11055">
        <v>10</v>
      </c>
      <c r="D11055" s="11">
        <v>43009</v>
      </c>
      <c r="E11055" t="s">
        <v>2182</v>
      </c>
      <c r="F11055">
        <v>6</v>
      </c>
      <c r="G11055" t="s">
        <v>57</v>
      </c>
      <c r="H11055" t="s">
        <v>45</v>
      </c>
      <c r="I11055" t="s">
        <v>2193</v>
      </c>
      <c r="J11055" s="10">
        <v>1</v>
      </c>
      <c r="K11055" t="b">
        <v>1</v>
      </c>
    </row>
    <row r="11056" spans="1:11">
      <c r="A11056" s="12">
        <v>43022</v>
      </c>
      <c r="B11056">
        <v>2017</v>
      </c>
      <c r="C11056">
        <v>10</v>
      </c>
      <c r="D11056" s="11">
        <v>43009</v>
      </c>
      <c r="E11056" t="s">
        <v>2182</v>
      </c>
      <c r="F11056">
        <v>6</v>
      </c>
      <c r="G11056" t="s">
        <v>57</v>
      </c>
      <c r="H11056" t="s">
        <v>46</v>
      </c>
      <c r="I11056" t="s">
        <v>2194</v>
      </c>
      <c r="J11056" s="10">
        <v>20</v>
      </c>
      <c r="K11056" t="b">
        <v>1</v>
      </c>
    </row>
    <row r="11057" spans="1:11">
      <c r="A11057" s="12">
        <v>43022</v>
      </c>
      <c r="B11057">
        <v>2017</v>
      </c>
      <c r="C11057">
        <v>10</v>
      </c>
      <c r="D11057" s="11">
        <v>43009</v>
      </c>
      <c r="E11057" t="s">
        <v>2182</v>
      </c>
      <c r="F11057">
        <v>6</v>
      </c>
      <c r="G11057" t="s">
        <v>57</v>
      </c>
      <c r="H11057" t="s">
        <v>47</v>
      </c>
      <c r="I11057" t="s">
        <v>2195</v>
      </c>
      <c r="J11057" s="10">
        <v>0</v>
      </c>
      <c r="K11057" t="b">
        <v>1</v>
      </c>
    </row>
    <row r="11058" spans="1:11">
      <c r="A11058" s="12">
        <v>43023</v>
      </c>
      <c r="B11058">
        <v>2017</v>
      </c>
      <c r="C11058">
        <v>10</v>
      </c>
      <c r="D11058" s="11">
        <v>43009</v>
      </c>
      <c r="E11058" t="s">
        <v>2182</v>
      </c>
      <c r="F11058">
        <v>7</v>
      </c>
      <c r="G11058" t="s">
        <v>59</v>
      </c>
      <c r="H11058" t="s">
        <v>40</v>
      </c>
      <c r="I11058" t="s">
        <v>2188</v>
      </c>
      <c r="J11058" s="10">
        <v>6</v>
      </c>
      <c r="K11058" t="b">
        <v>1</v>
      </c>
    </row>
    <row r="11059" spans="1:11">
      <c r="A11059" s="12">
        <v>43023</v>
      </c>
      <c r="B11059">
        <v>2017</v>
      </c>
      <c r="C11059">
        <v>10</v>
      </c>
      <c r="D11059" s="11">
        <v>43009</v>
      </c>
      <c r="E11059" t="s">
        <v>2182</v>
      </c>
      <c r="F11059">
        <v>7</v>
      </c>
      <c r="G11059" t="s">
        <v>59</v>
      </c>
      <c r="H11059" t="s">
        <v>41</v>
      </c>
      <c r="I11059" t="s">
        <v>2189</v>
      </c>
      <c r="J11059" s="10">
        <v>6.68</v>
      </c>
      <c r="K11059" t="b">
        <v>1</v>
      </c>
    </row>
    <row r="11060" spans="1:11">
      <c r="A11060" s="12">
        <v>43023</v>
      </c>
      <c r="B11060">
        <v>2017</v>
      </c>
      <c r="C11060">
        <v>10</v>
      </c>
      <c r="D11060" s="11">
        <v>43009</v>
      </c>
      <c r="E11060" t="s">
        <v>2182</v>
      </c>
      <c r="F11060">
        <v>7</v>
      </c>
      <c r="G11060" t="s">
        <v>59</v>
      </c>
      <c r="H11060" t="s">
        <v>42</v>
      </c>
      <c r="I11060" t="s">
        <v>2190</v>
      </c>
      <c r="J11060" s="10">
        <v>1</v>
      </c>
      <c r="K11060" t="b">
        <v>1</v>
      </c>
    </row>
    <row r="11061" spans="1:11">
      <c r="A11061" s="12">
        <v>43023</v>
      </c>
      <c r="B11061">
        <v>2017</v>
      </c>
      <c r="C11061">
        <v>10</v>
      </c>
      <c r="D11061" s="11">
        <v>43009</v>
      </c>
      <c r="E11061" t="s">
        <v>2182</v>
      </c>
      <c r="F11061">
        <v>7</v>
      </c>
      <c r="G11061" t="s">
        <v>59</v>
      </c>
      <c r="H11061" t="s">
        <v>43</v>
      </c>
      <c r="I11061" t="s">
        <v>2191</v>
      </c>
      <c r="J11061" s="10">
        <v>37</v>
      </c>
      <c r="K11061" t="b">
        <v>1</v>
      </c>
    </row>
    <row r="11062" spans="1:11">
      <c r="A11062" s="12">
        <v>43023</v>
      </c>
      <c r="B11062">
        <v>2017</v>
      </c>
      <c r="C11062">
        <v>10</v>
      </c>
      <c r="D11062" s="11">
        <v>43009</v>
      </c>
      <c r="E11062" t="s">
        <v>2182</v>
      </c>
      <c r="F11062">
        <v>7</v>
      </c>
      <c r="G11062" t="s">
        <v>59</v>
      </c>
      <c r="H11062" t="s">
        <v>44</v>
      </c>
      <c r="I11062" t="s">
        <v>2192</v>
      </c>
      <c r="J11062" s="10">
        <v>5</v>
      </c>
      <c r="K11062" t="b">
        <v>1</v>
      </c>
    </row>
    <row r="11063" spans="1:11">
      <c r="A11063" s="12">
        <v>43023</v>
      </c>
      <c r="B11063">
        <v>2017</v>
      </c>
      <c r="C11063">
        <v>10</v>
      </c>
      <c r="D11063" s="11">
        <v>43009</v>
      </c>
      <c r="E11063" t="s">
        <v>2182</v>
      </c>
      <c r="F11063">
        <v>7</v>
      </c>
      <c r="G11063" t="s">
        <v>59</v>
      </c>
      <c r="H11063" t="s">
        <v>45</v>
      </c>
      <c r="I11063" t="s">
        <v>2193</v>
      </c>
      <c r="J11063" s="10">
        <v>0</v>
      </c>
      <c r="K11063" t="b">
        <v>1</v>
      </c>
    </row>
    <row r="11064" spans="1:11">
      <c r="A11064" s="12">
        <v>43023</v>
      </c>
      <c r="B11064">
        <v>2017</v>
      </c>
      <c r="C11064">
        <v>10</v>
      </c>
      <c r="D11064" s="11">
        <v>43009</v>
      </c>
      <c r="E11064" t="s">
        <v>2182</v>
      </c>
      <c r="F11064">
        <v>7</v>
      </c>
      <c r="G11064" t="s">
        <v>59</v>
      </c>
      <c r="H11064" t="s">
        <v>46</v>
      </c>
      <c r="I11064" t="s">
        <v>2194</v>
      </c>
      <c r="J11064" s="10">
        <v>11</v>
      </c>
      <c r="K11064" t="b">
        <v>1</v>
      </c>
    </row>
    <row r="11065" spans="1:11">
      <c r="A11065" s="12">
        <v>43023</v>
      </c>
      <c r="B11065">
        <v>2017</v>
      </c>
      <c r="C11065">
        <v>10</v>
      </c>
      <c r="D11065" s="11">
        <v>43009</v>
      </c>
      <c r="E11065" t="s">
        <v>2182</v>
      </c>
      <c r="F11065">
        <v>7</v>
      </c>
      <c r="G11065" t="s">
        <v>59</v>
      </c>
      <c r="H11065" t="s">
        <v>47</v>
      </c>
      <c r="I11065" t="s">
        <v>2195</v>
      </c>
      <c r="J11065" s="10">
        <v>2</v>
      </c>
      <c r="K11065" t="b">
        <v>1</v>
      </c>
    </row>
    <row r="11066" spans="1:11">
      <c r="A11066" s="12">
        <v>43024</v>
      </c>
      <c r="B11066">
        <v>2017</v>
      </c>
      <c r="C11066">
        <v>10</v>
      </c>
      <c r="D11066" s="11">
        <v>43009</v>
      </c>
      <c r="E11066" t="s">
        <v>2182</v>
      </c>
      <c r="F11066">
        <v>1</v>
      </c>
      <c r="G11066" t="s">
        <v>61</v>
      </c>
      <c r="H11066" t="s">
        <v>40</v>
      </c>
      <c r="I11066" t="s">
        <v>2188</v>
      </c>
      <c r="J11066" s="10">
        <v>2.33</v>
      </c>
      <c r="K11066" t="b">
        <v>1</v>
      </c>
    </row>
    <row r="11067" spans="1:11">
      <c r="A11067" s="12">
        <v>43024</v>
      </c>
      <c r="B11067">
        <v>2017</v>
      </c>
      <c r="C11067">
        <v>10</v>
      </c>
      <c r="D11067" s="11">
        <v>43009</v>
      </c>
      <c r="E11067" t="s">
        <v>2182</v>
      </c>
      <c r="F11067">
        <v>1</v>
      </c>
      <c r="G11067" t="s">
        <v>61</v>
      </c>
      <c r="H11067" t="s">
        <v>41</v>
      </c>
      <c r="I11067" t="s">
        <v>2189</v>
      </c>
      <c r="J11067" s="10">
        <v>0.67</v>
      </c>
      <c r="K11067" t="b">
        <v>1</v>
      </c>
    </row>
    <row r="11068" spans="1:11">
      <c r="A11068" s="12">
        <v>43024</v>
      </c>
      <c r="B11068">
        <v>2017</v>
      </c>
      <c r="C11068">
        <v>10</v>
      </c>
      <c r="D11068" s="11">
        <v>43009</v>
      </c>
      <c r="E11068" t="s">
        <v>2182</v>
      </c>
      <c r="F11068">
        <v>1</v>
      </c>
      <c r="G11068" t="s">
        <v>61</v>
      </c>
      <c r="H11068" t="s">
        <v>42</v>
      </c>
      <c r="I11068" t="s">
        <v>2190</v>
      </c>
      <c r="J11068" s="10">
        <v>0</v>
      </c>
      <c r="K11068" t="b">
        <v>1</v>
      </c>
    </row>
    <row r="11069" spans="1:11">
      <c r="A11069" s="12">
        <v>43024</v>
      </c>
      <c r="B11069">
        <v>2017</v>
      </c>
      <c r="C11069">
        <v>10</v>
      </c>
      <c r="D11069" s="11">
        <v>43009</v>
      </c>
      <c r="E11069" t="s">
        <v>2182</v>
      </c>
      <c r="F11069">
        <v>1</v>
      </c>
      <c r="G11069" t="s">
        <v>61</v>
      </c>
      <c r="H11069" t="s">
        <v>43</v>
      </c>
      <c r="I11069" t="s">
        <v>2191</v>
      </c>
      <c r="J11069" s="10">
        <v>45.1</v>
      </c>
      <c r="K11069" t="b">
        <v>1</v>
      </c>
    </row>
    <row r="11070" spans="1:11">
      <c r="A11070" s="12">
        <v>43024</v>
      </c>
      <c r="B11070">
        <v>2017</v>
      </c>
      <c r="C11070">
        <v>10</v>
      </c>
      <c r="D11070" s="11">
        <v>43009</v>
      </c>
      <c r="E11070" t="s">
        <v>2182</v>
      </c>
      <c r="F11070">
        <v>1</v>
      </c>
      <c r="G11070" t="s">
        <v>61</v>
      </c>
      <c r="H11070" t="s">
        <v>44</v>
      </c>
      <c r="I11070" t="s">
        <v>2192</v>
      </c>
      <c r="J11070" s="10">
        <v>9</v>
      </c>
      <c r="K11070" t="b">
        <v>1</v>
      </c>
    </row>
    <row r="11071" spans="1:11">
      <c r="A11071" s="12">
        <v>43024</v>
      </c>
      <c r="B11071">
        <v>2017</v>
      </c>
      <c r="C11071">
        <v>10</v>
      </c>
      <c r="D11071" s="11">
        <v>43009</v>
      </c>
      <c r="E11071" t="s">
        <v>2182</v>
      </c>
      <c r="F11071">
        <v>1</v>
      </c>
      <c r="G11071" t="s">
        <v>61</v>
      </c>
      <c r="H11071" t="s">
        <v>45</v>
      </c>
      <c r="I11071" t="s">
        <v>2193</v>
      </c>
      <c r="J11071" s="10">
        <v>0</v>
      </c>
      <c r="K11071" t="b">
        <v>1</v>
      </c>
    </row>
    <row r="11072" spans="1:11">
      <c r="A11072" s="12">
        <v>43024</v>
      </c>
      <c r="B11072">
        <v>2017</v>
      </c>
      <c r="C11072">
        <v>10</v>
      </c>
      <c r="D11072" s="11">
        <v>43009</v>
      </c>
      <c r="E11072" t="s">
        <v>2182</v>
      </c>
      <c r="F11072">
        <v>1</v>
      </c>
      <c r="G11072" t="s">
        <v>61</v>
      </c>
      <c r="H11072" t="s">
        <v>46</v>
      </c>
      <c r="I11072" t="s">
        <v>2194</v>
      </c>
      <c r="J11072" s="10">
        <v>2</v>
      </c>
      <c r="K11072" t="b">
        <v>1</v>
      </c>
    </row>
    <row r="11073" spans="1:11">
      <c r="A11073" s="12">
        <v>43024</v>
      </c>
      <c r="B11073">
        <v>2017</v>
      </c>
      <c r="C11073">
        <v>10</v>
      </c>
      <c r="D11073" s="11">
        <v>43009</v>
      </c>
      <c r="E11073" t="s">
        <v>2182</v>
      </c>
      <c r="F11073">
        <v>1</v>
      </c>
      <c r="G11073" t="s">
        <v>61</v>
      </c>
      <c r="H11073" t="s">
        <v>47</v>
      </c>
      <c r="I11073" t="s">
        <v>2195</v>
      </c>
      <c r="J11073" s="10">
        <v>2</v>
      </c>
      <c r="K11073" t="b">
        <v>1</v>
      </c>
    </row>
    <row r="11074" spans="1:11">
      <c r="A11074" s="12">
        <v>43025</v>
      </c>
      <c r="B11074">
        <v>2017</v>
      </c>
      <c r="C11074">
        <v>10</v>
      </c>
      <c r="D11074" s="11">
        <v>43009</v>
      </c>
      <c r="E11074" t="s">
        <v>2182</v>
      </c>
      <c r="F11074">
        <v>2</v>
      </c>
      <c r="G11074" t="s">
        <v>63</v>
      </c>
      <c r="H11074" t="s">
        <v>40</v>
      </c>
      <c r="I11074" t="s">
        <v>2188</v>
      </c>
      <c r="J11074" s="10">
        <v>3.34</v>
      </c>
      <c r="K11074" t="b">
        <v>1</v>
      </c>
    </row>
    <row r="11075" spans="1:11">
      <c r="A11075" s="12">
        <v>43025</v>
      </c>
      <c r="B11075">
        <v>2017</v>
      </c>
      <c r="C11075">
        <v>10</v>
      </c>
      <c r="D11075" s="11">
        <v>43009</v>
      </c>
      <c r="E11075" t="s">
        <v>2182</v>
      </c>
      <c r="F11075">
        <v>2</v>
      </c>
      <c r="G11075" t="s">
        <v>63</v>
      </c>
      <c r="H11075" t="s">
        <v>41</v>
      </c>
      <c r="I11075" t="s">
        <v>2189</v>
      </c>
      <c r="J11075" s="10">
        <v>1.67</v>
      </c>
      <c r="K11075" t="b">
        <v>1</v>
      </c>
    </row>
    <row r="11076" spans="1:11">
      <c r="A11076" s="12">
        <v>43025</v>
      </c>
      <c r="B11076">
        <v>2017</v>
      </c>
      <c r="C11076">
        <v>10</v>
      </c>
      <c r="D11076" s="11">
        <v>43009</v>
      </c>
      <c r="E11076" t="s">
        <v>2182</v>
      </c>
      <c r="F11076">
        <v>2</v>
      </c>
      <c r="G11076" t="s">
        <v>63</v>
      </c>
      <c r="H11076" t="s">
        <v>42</v>
      </c>
      <c r="I11076" t="s">
        <v>2190</v>
      </c>
      <c r="J11076" s="10">
        <v>6</v>
      </c>
      <c r="K11076" t="b">
        <v>1</v>
      </c>
    </row>
    <row r="11077" spans="1:11">
      <c r="A11077" s="12">
        <v>43025</v>
      </c>
      <c r="B11077">
        <v>2017</v>
      </c>
      <c r="C11077">
        <v>10</v>
      </c>
      <c r="D11077" s="11">
        <v>43009</v>
      </c>
      <c r="E11077" t="s">
        <v>2182</v>
      </c>
      <c r="F11077">
        <v>2</v>
      </c>
      <c r="G11077" t="s">
        <v>63</v>
      </c>
      <c r="H11077" t="s">
        <v>43</v>
      </c>
      <c r="I11077" t="s">
        <v>2191</v>
      </c>
      <c r="J11077" s="10">
        <v>26.2</v>
      </c>
      <c r="K11077" t="b">
        <v>1</v>
      </c>
    </row>
    <row r="11078" spans="1:11">
      <c r="A11078" s="12">
        <v>43025</v>
      </c>
      <c r="B11078">
        <v>2017</v>
      </c>
      <c r="C11078">
        <v>10</v>
      </c>
      <c r="D11078" s="11">
        <v>43009</v>
      </c>
      <c r="E11078" t="s">
        <v>2182</v>
      </c>
      <c r="F11078">
        <v>2</v>
      </c>
      <c r="G11078" t="s">
        <v>63</v>
      </c>
      <c r="H11078" t="s">
        <v>44</v>
      </c>
      <c r="I11078" t="s">
        <v>2192</v>
      </c>
      <c r="J11078" s="10">
        <v>9</v>
      </c>
      <c r="K11078" t="b">
        <v>1</v>
      </c>
    </row>
    <row r="11079" spans="1:11">
      <c r="A11079" s="12">
        <v>43025</v>
      </c>
      <c r="B11079">
        <v>2017</v>
      </c>
      <c r="C11079">
        <v>10</v>
      </c>
      <c r="D11079" s="11">
        <v>43009</v>
      </c>
      <c r="E11079" t="s">
        <v>2182</v>
      </c>
      <c r="F11079">
        <v>2</v>
      </c>
      <c r="G11079" t="s">
        <v>63</v>
      </c>
      <c r="H11079" t="s">
        <v>45</v>
      </c>
      <c r="I11079" t="s">
        <v>2193</v>
      </c>
      <c r="J11079" s="10">
        <v>2</v>
      </c>
      <c r="K11079" t="b">
        <v>1</v>
      </c>
    </row>
    <row r="11080" spans="1:11">
      <c r="A11080" s="12">
        <v>43025</v>
      </c>
      <c r="B11080">
        <v>2017</v>
      </c>
      <c r="C11080">
        <v>10</v>
      </c>
      <c r="D11080" s="11">
        <v>43009</v>
      </c>
      <c r="E11080" t="s">
        <v>2182</v>
      </c>
      <c r="F11080">
        <v>2</v>
      </c>
      <c r="G11080" t="s">
        <v>63</v>
      </c>
      <c r="H11080" t="s">
        <v>46</v>
      </c>
      <c r="I11080" t="s">
        <v>2194</v>
      </c>
      <c r="J11080" s="10">
        <v>6</v>
      </c>
      <c r="K11080" t="b">
        <v>1</v>
      </c>
    </row>
    <row r="11081" spans="1:11">
      <c r="A11081" s="12">
        <v>43025</v>
      </c>
      <c r="B11081">
        <v>2017</v>
      </c>
      <c r="C11081">
        <v>10</v>
      </c>
      <c r="D11081" s="11">
        <v>43009</v>
      </c>
      <c r="E11081" t="s">
        <v>2182</v>
      </c>
      <c r="F11081">
        <v>2</v>
      </c>
      <c r="G11081" t="s">
        <v>63</v>
      </c>
      <c r="H11081" t="s">
        <v>47</v>
      </c>
      <c r="I11081" t="s">
        <v>2195</v>
      </c>
      <c r="J11081" s="10">
        <v>1</v>
      </c>
      <c r="K11081" t="b">
        <v>1</v>
      </c>
    </row>
    <row r="11082" spans="1:11">
      <c r="A11082" s="12">
        <v>43026</v>
      </c>
      <c r="B11082">
        <v>2017</v>
      </c>
      <c r="C11082">
        <v>10</v>
      </c>
      <c r="D11082" s="11">
        <v>43009</v>
      </c>
      <c r="E11082" t="s">
        <v>2182</v>
      </c>
      <c r="F11082">
        <v>3</v>
      </c>
      <c r="G11082" t="s">
        <v>65</v>
      </c>
      <c r="H11082" t="s">
        <v>40</v>
      </c>
      <c r="I11082" t="s">
        <v>2188</v>
      </c>
      <c r="J11082" s="10">
        <v>5.34</v>
      </c>
      <c r="K11082" t="b">
        <v>1</v>
      </c>
    </row>
    <row r="11083" spans="1:11">
      <c r="A11083" s="12">
        <v>43026</v>
      </c>
      <c r="B11083">
        <v>2017</v>
      </c>
      <c r="C11083">
        <v>10</v>
      </c>
      <c r="D11083" s="11">
        <v>43009</v>
      </c>
      <c r="E11083" t="s">
        <v>2182</v>
      </c>
      <c r="F11083">
        <v>3</v>
      </c>
      <c r="G11083" t="s">
        <v>65</v>
      </c>
      <c r="H11083" t="s">
        <v>41</v>
      </c>
      <c r="I11083" t="s">
        <v>2189</v>
      </c>
      <c r="J11083" s="10">
        <v>1.33</v>
      </c>
      <c r="K11083" t="b">
        <v>1</v>
      </c>
    </row>
    <row r="11084" spans="1:11">
      <c r="A11084" s="12">
        <v>43026</v>
      </c>
      <c r="B11084">
        <v>2017</v>
      </c>
      <c r="C11084">
        <v>10</v>
      </c>
      <c r="D11084" s="11">
        <v>43009</v>
      </c>
      <c r="E11084" t="s">
        <v>2182</v>
      </c>
      <c r="F11084">
        <v>3</v>
      </c>
      <c r="G11084" t="s">
        <v>65</v>
      </c>
      <c r="H11084" t="s">
        <v>42</v>
      </c>
      <c r="I11084" t="s">
        <v>2190</v>
      </c>
      <c r="J11084" s="10">
        <v>1</v>
      </c>
      <c r="K11084" t="b">
        <v>1</v>
      </c>
    </row>
    <row r="11085" spans="1:11">
      <c r="A11085" s="12">
        <v>43026</v>
      </c>
      <c r="B11085">
        <v>2017</v>
      </c>
      <c r="C11085">
        <v>10</v>
      </c>
      <c r="D11085" s="11">
        <v>43009</v>
      </c>
      <c r="E11085" t="s">
        <v>2182</v>
      </c>
      <c r="F11085">
        <v>3</v>
      </c>
      <c r="G11085" t="s">
        <v>65</v>
      </c>
      <c r="H11085" t="s">
        <v>43</v>
      </c>
      <c r="I11085" t="s">
        <v>2191</v>
      </c>
      <c r="J11085" s="10">
        <v>52.85</v>
      </c>
      <c r="K11085" t="b">
        <v>1</v>
      </c>
    </row>
    <row r="11086" spans="1:11">
      <c r="A11086" s="12">
        <v>43026</v>
      </c>
      <c r="B11086">
        <v>2017</v>
      </c>
      <c r="C11086">
        <v>10</v>
      </c>
      <c r="D11086" s="11">
        <v>43009</v>
      </c>
      <c r="E11086" t="s">
        <v>2182</v>
      </c>
      <c r="F11086">
        <v>3</v>
      </c>
      <c r="G11086" t="s">
        <v>65</v>
      </c>
      <c r="H11086" t="s">
        <v>44</v>
      </c>
      <c r="I11086" t="s">
        <v>2192</v>
      </c>
      <c r="J11086" s="10">
        <v>15</v>
      </c>
      <c r="K11086" t="b">
        <v>1</v>
      </c>
    </row>
    <row r="11087" spans="1:11">
      <c r="A11087" s="12">
        <v>43026</v>
      </c>
      <c r="B11087">
        <v>2017</v>
      </c>
      <c r="C11087">
        <v>10</v>
      </c>
      <c r="D11087" s="11">
        <v>43009</v>
      </c>
      <c r="E11087" t="s">
        <v>2182</v>
      </c>
      <c r="F11087">
        <v>3</v>
      </c>
      <c r="G11087" t="s">
        <v>65</v>
      </c>
      <c r="H11087" t="s">
        <v>45</v>
      </c>
      <c r="I11087" t="s">
        <v>2193</v>
      </c>
      <c r="J11087" s="10">
        <v>0</v>
      </c>
      <c r="K11087" t="b">
        <v>1</v>
      </c>
    </row>
    <row r="11088" spans="1:11">
      <c r="A11088" s="12">
        <v>43026</v>
      </c>
      <c r="B11088">
        <v>2017</v>
      </c>
      <c r="C11088">
        <v>10</v>
      </c>
      <c r="D11088" s="11">
        <v>43009</v>
      </c>
      <c r="E11088" t="s">
        <v>2182</v>
      </c>
      <c r="F11088">
        <v>3</v>
      </c>
      <c r="G11088" t="s">
        <v>65</v>
      </c>
      <c r="H11088" t="s">
        <v>46</v>
      </c>
      <c r="I11088" t="s">
        <v>2194</v>
      </c>
      <c r="J11088" s="10">
        <v>1</v>
      </c>
      <c r="K11088" t="b">
        <v>1</v>
      </c>
    </row>
    <row r="11089" spans="1:11">
      <c r="A11089" s="12">
        <v>43026</v>
      </c>
      <c r="B11089">
        <v>2017</v>
      </c>
      <c r="C11089">
        <v>10</v>
      </c>
      <c r="D11089" s="11">
        <v>43009</v>
      </c>
      <c r="E11089" t="s">
        <v>2182</v>
      </c>
      <c r="F11089">
        <v>3</v>
      </c>
      <c r="G11089" t="s">
        <v>65</v>
      </c>
      <c r="H11089" t="s">
        <v>47</v>
      </c>
      <c r="I11089" t="s">
        <v>2195</v>
      </c>
      <c r="J11089" s="10">
        <v>1</v>
      </c>
      <c r="K11089" t="b">
        <v>1</v>
      </c>
    </row>
    <row r="11090" spans="1:11">
      <c r="A11090" s="12">
        <v>43027</v>
      </c>
      <c r="B11090">
        <v>2017</v>
      </c>
      <c r="C11090">
        <v>10</v>
      </c>
      <c r="D11090" s="11">
        <v>43009</v>
      </c>
      <c r="E11090" t="s">
        <v>2182</v>
      </c>
      <c r="F11090">
        <v>4</v>
      </c>
      <c r="G11090" t="s">
        <v>53</v>
      </c>
      <c r="H11090" t="s">
        <v>40</v>
      </c>
      <c r="I11090" t="s">
        <v>2188</v>
      </c>
      <c r="J11090" s="10">
        <v>4.33</v>
      </c>
      <c r="K11090" t="b">
        <v>1</v>
      </c>
    </row>
    <row r="11091" spans="1:11">
      <c r="A11091" s="12">
        <v>43027</v>
      </c>
      <c r="B11091">
        <v>2017</v>
      </c>
      <c r="C11091">
        <v>10</v>
      </c>
      <c r="D11091" s="11">
        <v>43009</v>
      </c>
      <c r="E11091" t="s">
        <v>2182</v>
      </c>
      <c r="F11091">
        <v>4</v>
      </c>
      <c r="G11091" t="s">
        <v>53</v>
      </c>
      <c r="H11091" t="s">
        <v>41</v>
      </c>
      <c r="I11091" t="s">
        <v>2189</v>
      </c>
      <c r="J11091" s="10">
        <v>5.99</v>
      </c>
      <c r="K11091" t="b">
        <v>1</v>
      </c>
    </row>
    <row r="11092" spans="1:11">
      <c r="A11092" s="12">
        <v>43027</v>
      </c>
      <c r="B11092">
        <v>2017</v>
      </c>
      <c r="C11092">
        <v>10</v>
      </c>
      <c r="D11092" s="11">
        <v>43009</v>
      </c>
      <c r="E11092" t="s">
        <v>2182</v>
      </c>
      <c r="F11092">
        <v>4</v>
      </c>
      <c r="G11092" t="s">
        <v>53</v>
      </c>
      <c r="H11092" t="s">
        <v>42</v>
      </c>
      <c r="I11092" t="s">
        <v>2190</v>
      </c>
      <c r="J11092" s="10">
        <v>4.7</v>
      </c>
      <c r="K11092" t="b">
        <v>1</v>
      </c>
    </row>
    <row r="11093" spans="1:11">
      <c r="A11093" s="12">
        <v>43027</v>
      </c>
      <c r="B11093">
        <v>2017</v>
      </c>
      <c r="C11093">
        <v>10</v>
      </c>
      <c r="D11093" s="11">
        <v>43009</v>
      </c>
      <c r="E11093" t="s">
        <v>2182</v>
      </c>
      <c r="F11093">
        <v>4</v>
      </c>
      <c r="G11093" t="s">
        <v>53</v>
      </c>
      <c r="H11093" t="s">
        <v>43</v>
      </c>
      <c r="I11093" t="s">
        <v>2191</v>
      </c>
      <c r="J11093" s="10">
        <v>25.5</v>
      </c>
      <c r="K11093" t="b">
        <v>1</v>
      </c>
    </row>
    <row r="11094" spans="1:11">
      <c r="A11094" s="12">
        <v>43027</v>
      </c>
      <c r="B11094">
        <v>2017</v>
      </c>
      <c r="C11094">
        <v>10</v>
      </c>
      <c r="D11094" s="11">
        <v>43009</v>
      </c>
      <c r="E11094" t="s">
        <v>2182</v>
      </c>
      <c r="F11094">
        <v>4</v>
      </c>
      <c r="G11094" t="s">
        <v>53</v>
      </c>
      <c r="H11094" t="s">
        <v>44</v>
      </c>
      <c r="I11094" t="s">
        <v>2192</v>
      </c>
      <c r="J11094" s="10">
        <v>8</v>
      </c>
      <c r="K11094" t="b">
        <v>1</v>
      </c>
    </row>
    <row r="11095" spans="1:11">
      <c r="A11095" s="12">
        <v>43027</v>
      </c>
      <c r="B11095">
        <v>2017</v>
      </c>
      <c r="C11095">
        <v>10</v>
      </c>
      <c r="D11095" s="11">
        <v>43009</v>
      </c>
      <c r="E11095" t="s">
        <v>2182</v>
      </c>
      <c r="F11095">
        <v>4</v>
      </c>
      <c r="G11095" t="s">
        <v>53</v>
      </c>
      <c r="H11095" t="s">
        <v>45</v>
      </c>
      <c r="I11095" t="s">
        <v>2193</v>
      </c>
      <c r="J11095" s="10">
        <v>0</v>
      </c>
      <c r="K11095" t="b">
        <v>1</v>
      </c>
    </row>
    <row r="11096" spans="1:11">
      <c r="A11096" s="12">
        <v>43027</v>
      </c>
      <c r="B11096">
        <v>2017</v>
      </c>
      <c r="C11096">
        <v>10</v>
      </c>
      <c r="D11096" s="11">
        <v>43009</v>
      </c>
      <c r="E11096" t="s">
        <v>2182</v>
      </c>
      <c r="F11096">
        <v>4</v>
      </c>
      <c r="G11096" t="s">
        <v>53</v>
      </c>
      <c r="H11096" t="s">
        <v>46</v>
      </c>
      <c r="I11096" t="s">
        <v>2194</v>
      </c>
      <c r="J11096" s="10">
        <v>13</v>
      </c>
      <c r="K11096" t="b">
        <v>1</v>
      </c>
    </row>
    <row r="11097" spans="1:11">
      <c r="A11097" s="12">
        <v>43027</v>
      </c>
      <c r="B11097">
        <v>2017</v>
      </c>
      <c r="C11097">
        <v>10</v>
      </c>
      <c r="D11097" s="11">
        <v>43009</v>
      </c>
      <c r="E11097" t="s">
        <v>2182</v>
      </c>
      <c r="F11097">
        <v>4</v>
      </c>
      <c r="G11097" t="s">
        <v>53</v>
      </c>
      <c r="H11097" t="s">
        <v>47</v>
      </c>
      <c r="I11097" t="s">
        <v>2195</v>
      </c>
      <c r="J11097" s="10">
        <v>0</v>
      </c>
      <c r="K11097" t="b">
        <v>1</v>
      </c>
    </row>
    <row r="11098" spans="1:11">
      <c r="A11098" s="12">
        <v>43028</v>
      </c>
      <c r="B11098">
        <v>2017</v>
      </c>
      <c r="C11098">
        <v>10</v>
      </c>
      <c r="D11098" s="11">
        <v>43009</v>
      </c>
      <c r="E11098" t="s">
        <v>2182</v>
      </c>
      <c r="F11098">
        <v>5</v>
      </c>
      <c r="G11098" t="s">
        <v>55</v>
      </c>
      <c r="H11098" t="s">
        <v>40</v>
      </c>
      <c r="I11098" t="s">
        <v>2188</v>
      </c>
      <c r="J11098" s="10">
        <v>2.83</v>
      </c>
      <c r="K11098" t="b">
        <v>1</v>
      </c>
    </row>
    <row r="11099" spans="1:11">
      <c r="A11099" s="12">
        <v>43028</v>
      </c>
      <c r="B11099">
        <v>2017</v>
      </c>
      <c r="C11099">
        <v>10</v>
      </c>
      <c r="D11099" s="11">
        <v>43009</v>
      </c>
      <c r="E11099" t="s">
        <v>2182</v>
      </c>
      <c r="F11099">
        <v>5</v>
      </c>
      <c r="G11099" t="s">
        <v>55</v>
      </c>
      <c r="H11099" t="s">
        <v>41</v>
      </c>
      <c r="I11099" t="s">
        <v>2189</v>
      </c>
      <c r="J11099" s="10">
        <v>4.363</v>
      </c>
      <c r="K11099" t="b">
        <v>1</v>
      </c>
    </row>
    <row r="11100" spans="1:11">
      <c r="A11100" s="12">
        <v>43028</v>
      </c>
      <c r="B11100">
        <v>2017</v>
      </c>
      <c r="C11100">
        <v>10</v>
      </c>
      <c r="D11100" s="11">
        <v>43009</v>
      </c>
      <c r="E11100" t="s">
        <v>2182</v>
      </c>
      <c r="F11100">
        <v>5</v>
      </c>
      <c r="G11100" t="s">
        <v>55</v>
      </c>
      <c r="H11100" t="s">
        <v>42</v>
      </c>
      <c r="I11100" t="s">
        <v>2190</v>
      </c>
      <c r="J11100" s="10">
        <v>3</v>
      </c>
      <c r="K11100" t="b">
        <v>1</v>
      </c>
    </row>
    <row r="11101" spans="1:11">
      <c r="A11101" s="12">
        <v>43028</v>
      </c>
      <c r="B11101">
        <v>2017</v>
      </c>
      <c r="C11101">
        <v>10</v>
      </c>
      <c r="D11101" s="11">
        <v>43009</v>
      </c>
      <c r="E11101" t="s">
        <v>2182</v>
      </c>
      <c r="F11101">
        <v>5</v>
      </c>
      <c r="G11101" t="s">
        <v>55</v>
      </c>
      <c r="H11101" t="s">
        <v>43</v>
      </c>
      <c r="I11101" t="s">
        <v>2191</v>
      </c>
      <c r="J11101" s="10">
        <v>36.25</v>
      </c>
      <c r="K11101" t="b">
        <v>1</v>
      </c>
    </row>
    <row r="11102" spans="1:11">
      <c r="A11102" s="12">
        <v>43028</v>
      </c>
      <c r="B11102">
        <v>2017</v>
      </c>
      <c r="C11102">
        <v>10</v>
      </c>
      <c r="D11102" s="11">
        <v>43009</v>
      </c>
      <c r="E11102" t="s">
        <v>2182</v>
      </c>
      <c r="F11102">
        <v>5</v>
      </c>
      <c r="G11102" t="s">
        <v>55</v>
      </c>
      <c r="H11102" t="s">
        <v>44</v>
      </c>
      <c r="I11102" t="s">
        <v>2192</v>
      </c>
      <c r="J11102" s="10">
        <v>15</v>
      </c>
      <c r="K11102" t="b">
        <v>1</v>
      </c>
    </row>
    <row r="11103" spans="1:11">
      <c r="A11103" s="12">
        <v>43028</v>
      </c>
      <c r="B11103">
        <v>2017</v>
      </c>
      <c r="C11103">
        <v>10</v>
      </c>
      <c r="D11103" s="11">
        <v>43009</v>
      </c>
      <c r="E11103" t="s">
        <v>2182</v>
      </c>
      <c r="F11103">
        <v>5</v>
      </c>
      <c r="G11103" t="s">
        <v>55</v>
      </c>
      <c r="H11103" t="s">
        <v>45</v>
      </c>
      <c r="I11103" t="s">
        <v>2193</v>
      </c>
      <c r="J11103" s="10">
        <v>0</v>
      </c>
      <c r="K11103" t="b">
        <v>1</v>
      </c>
    </row>
    <row r="11104" spans="1:11">
      <c r="A11104" s="12">
        <v>43028</v>
      </c>
      <c r="B11104">
        <v>2017</v>
      </c>
      <c r="C11104">
        <v>10</v>
      </c>
      <c r="D11104" s="11">
        <v>43009</v>
      </c>
      <c r="E11104" t="s">
        <v>2182</v>
      </c>
      <c r="F11104">
        <v>5</v>
      </c>
      <c r="G11104" t="s">
        <v>55</v>
      </c>
      <c r="H11104" t="s">
        <v>46</v>
      </c>
      <c r="I11104" t="s">
        <v>2194</v>
      </c>
      <c r="J11104" s="10">
        <v>8</v>
      </c>
      <c r="K11104" t="b">
        <v>1</v>
      </c>
    </row>
    <row r="11105" spans="1:11">
      <c r="A11105" s="12">
        <v>43028</v>
      </c>
      <c r="B11105">
        <v>2017</v>
      </c>
      <c r="C11105">
        <v>10</v>
      </c>
      <c r="D11105" s="11">
        <v>43009</v>
      </c>
      <c r="E11105" t="s">
        <v>2182</v>
      </c>
      <c r="F11105">
        <v>5</v>
      </c>
      <c r="G11105" t="s">
        <v>55</v>
      </c>
      <c r="H11105" t="s">
        <v>47</v>
      </c>
      <c r="I11105" t="s">
        <v>2195</v>
      </c>
      <c r="J11105" s="10">
        <v>0</v>
      </c>
      <c r="K11105" t="b">
        <v>1</v>
      </c>
    </row>
    <row r="11106" spans="1:11">
      <c r="A11106" s="12">
        <v>43029</v>
      </c>
      <c r="B11106">
        <v>2017</v>
      </c>
      <c r="C11106">
        <v>10</v>
      </c>
      <c r="D11106" s="11">
        <v>43009</v>
      </c>
      <c r="E11106" t="s">
        <v>2182</v>
      </c>
      <c r="F11106">
        <v>6</v>
      </c>
      <c r="G11106" t="s">
        <v>57</v>
      </c>
      <c r="H11106" t="s">
        <v>40</v>
      </c>
      <c r="I11106" t="s">
        <v>2188</v>
      </c>
      <c r="J11106" s="10">
        <v>3.33</v>
      </c>
      <c r="K11106" t="b">
        <v>1</v>
      </c>
    </row>
    <row r="11107" spans="1:11">
      <c r="A11107" s="12">
        <v>43029</v>
      </c>
      <c r="B11107">
        <v>2017</v>
      </c>
      <c r="C11107">
        <v>10</v>
      </c>
      <c r="D11107" s="11">
        <v>43009</v>
      </c>
      <c r="E11107" t="s">
        <v>2182</v>
      </c>
      <c r="F11107">
        <v>6</v>
      </c>
      <c r="G11107" t="s">
        <v>57</v>
      </c>
      <c r="H11107" t="s">
        <v>41</v>
      </c>
      <c r="I11107" t="s">
        <v>2189</v>
      </c>
      <c r="J11107" s="10">
        <v>3.769</v>
      </c>
      <c r="K11107" t="b">
        <v>1</v>
      </c>
    </row>
    <row r="11108" spans="1:11">
      <c r="A11108" s="12">
        <v>43029</v>
      </c>
      <c r="B11108">
        <v>2017</v>
      </c>
      <c r="C11108">
        <v>10</v>
      </c>
      <c r="D11108" s="11">
        <v>43009</v>
      </c>
      <c r="E11108" t="s">
        <v>2182</v>
      </c>
      <c r="F11108">
        <v>6</v>
      </c>
      <c r="G11108" t="s">
        <v>57</v>
      </c>
      <c r="H11108" t="s">
        <v>42</v>
      </c>
      <c r="I11108" t="s">
        <v>2190</v>
      </c>
      <c r="J11108" s="10">
        <v>3.3</v>
      </c>
      <c r="K11108" t="b">
        <v>1</v>
      </c>
    </row>
    <row r="11109" spans="1:11">
      <c r="A11109" s="12">
        <v>43029</v>
      </c>
      <c r="B11109">
        <v>2017</v>
      </c>
      <c r="C11109">
        <v>10</v>
      </c>
      <c r="D11109" s="11">
        <v>43009</v>
      </c>
      <c r="E11109" t="s">
        <v>2182</v>
      </c>
      <c r="F11109">
        <v>6</v>
      </c>
      <c r="G11109" t="s">
        <v>57</v>
      </c>
      <c r="H11109" t="s">
        <v>43</v>
      </c>
      <c r="I11109" t="s">
        <v>2191</v>
      </c>
      <c r="J11109" s="10">
        <v>25.2</v>
      </c>
      <c r="K11109" t="b">
        <v>1</v>
      </c>
    </row>
    <row r="11110" spans="1:11">
      <c r="A11110" s="12">
        <v>43029</v>
      </c>
      <c r="B11110">
        <v>2017</v>
      </c>
      <c r="C11110">
        <v>10</v>
      </c>
      <c r="D11110" s="11">
        <v>43009</v>
      </c>
      <c r="E11110" t="s">
        <v>2182</v>
      </c>
      <c r="F11110">
        <v>6</v>
      </c>
      <c r="G11110" t="s">
        <v>57</v>
      </c>
      <c r="H11110" t="s">
        <v>44</v>
      </c>
      <c r="I11110" t="s">
        <v>2192</v>
      </c>
      <c r="J11110" s="10">
        <v>9</v>
      </c>
      <c r="K11110" t="b">
        <v>1</v>
      </c>
    </row>
    <row r="11111" spans="1:11">
      <c r="A11111" s="12">
        <v>43029</v>
      </c>
      <c r="B11111">
        <v>2017</v>
      </c>
      <c r="C11111">
        <v>10</v>
      </c>
      <c r="D11111" s="11">
        <v>43009</v>
      </c>
      <c r="E11111" t="s">
        <v>2182</v>
      </c>
      <c r="F11111">
        <v>6</v>
      </c>
      <c r="G11111" t="s">
        <v>57</v>
      </c>
      <c r="H11111" t="s">
        <v>45</v>
      </c>
      <c r="I11111" t="s">
        <v>2193</v>
      </c>
      <c r="J11111" s="10">
        <v>3</v>
      </c>
      <c r="K11111" t="b">
        <v>1</v>
      </c>
    </row>
    <row r="11112" spans="1:11">
      <c r="A11112" s="12">
        <v>43029</v>
      </c>
      <c r="B11112">
        <v>2017</v>
      </c>
      <c r="C11112">
        <v>10</v>
      </c>
      <c r="D11112" s="11">
        <v>43009</v>
      </c>
      <c r="E11112" t="s">
        <v>2182</v>
      </c>
      <c r="F11112">
        <v>6</v>
      </c>
      <c r="G11112" t="s">
        <v>57</v>
      </c>
      <c r="H11112" t="s">
        <v>46</v>
      </c>
      <c r="I11112" t="s">
        <v>2194</v>
      </c>
      <c r="J11112" s="10">
        <v>5</v>
      </c>
      <c r="K11112" t="b">
        <v>1</v>
      </c>
    </row>
    <row r="11113" spans="1:11">
      <c r="A11113" s="12">
        <v>43029</v>
      </c>
      <c r="B11113">
        <v>2017</v>
      </c>
      <c r="C11113">
        <v>10</v>
      </c>
      <c r="D11113" s="11">
        <v>43009</v>
      </c>
      <c r="E11113" t="s">
        <v>2182</v>
      </c>
      <c r="F11113">
        <v>6</v>
      </c>
      <c r="G11113" t="s">
        <v>57</v>
      </c>
      <c r="H11113" t="s">
        <v>47</v>
      </c>
      <c r="I11113" t="s">
        <v>2195</v>
      </c>
      <c r="J11113" s="10">
        <v>4</v>
      </c>
      <c r="K11113" t="b">
        <v>1</v>
      </c>
    </row>
    <row r="11114" spans="1:11">
      <c r="A11114" s="12">
        <v>43030</v>
      </c>
      <c r="B11114">
        <v>2017</v>
      </c>
      <c r="C11114">
        <v>10</v>
      </c>
      <c r="D11114" s="11">
        <v>43009</v>
      </c>
      <c r="E11114" t="s">
        <v>2182</v>
      </c>
      <c r="F11114">
        <v>7</v>
      </c>
      <c r="G11114" t="s">
        <v>59</v>
      </c>
      <c r="H11114" t="s">
        <v>40</v>
      </c>
      <c r="I11114" t="s">
        <v>2188</v>
      </c>
      <c r="J11114" s="10">
        <v>8</v>
      </c>
      <c r="K11114" t="b">
        <v>1</v>
      </c>
    </row>
    <row r="11115" spans="1:11">
      <c r="A11115" s="12">
        <v>43030</v>
      </c>
      <c r="B11115">
        <v>2017</v>
      </c>
      <c r="C11115">
        <v>10</v>
      </c>
      <c r="D11115" s="11">
        <v>43009</v>
      </c>
      <c r="E11115" t="s">
        <v>2182</v>
      </c>
      <c r="F11115">
        <v>7</v>
      </c>
      <c r="G11115" t="s">
        <v>59</v>
      </c>
      <c r="H11115" t="s">
        <v>41</v>
      </c>
      <c r="I11115" t="s">
        <v>2189</v>
      </c>
      <c r="J11115" s="10">
        <v>5</v>
      </c>
      <c r="K11115" t="b">
        <v>1</v>
      </c>
    </row>
    <row r="11116" spans="1:11">
      <c r="A11116" s="12">
        <v>43030</v>
      </c>
      <c r="B11116">
        <v>2017</v>
      </c>
      <c r="C11116">
        <v>10</v>
      </c>
      <c r="D11116" s="11">
        <v>43009</v>
      </c>
      <c r="E11116" t="s">
        <v>2182</v>
      </c>
      <c r="F11116">
        <v>7</v>
      </c>
      <c r="G11116" t="s">
        <v>59</v>
      </c>
      <c r="H11116" t="s">
        <v>42</v>
      </c>
      <c r="I11116" t="s">
        <v>2190</v>
      </c>
      <c r="J11116" s="10">
        <v>5</v>
      </c>
      <c r="K11116" t="b">
        <v>1</v>
      </c>
    </row>
    <row r="11117" spans="1:11">
      <c r="A11117" s="12">
        <v>43030</v>
      </c>
      <c r="B11117">
        <v>2017</v>
      </c>
      <c r="C11117">
        <v>10</v>
      </c>
      <c r="D11117" s="11">
        <v>43009</v>
      </c>
      <c r="E11117" t="s">
        <v>2182</v>
      </c>
      <c r="F11117">
        <v>7</v>
      </c>
      <c r="G11117" t="s">
        <v>59</v>
      </c>
      <c r="H11117" t="s">
        <v>43</v>
      </c>
      <c r="I11117" t="s">
        <v>2191</v>
      </c>
      <c r="J11117" s="10">
        <v>57.8</v>
      </c>
      <c r="K11117" t="b">
        <v>1</v>
      </c>
    </row>
    <row r="11118" spans="1:11">
      <c r="A11118" s="12">
        <v>43030</v>
      </c>
      <c r="B11118">
        <v>2017</v>
      </c>
      <c r="C11118">
        <v>10</v>
      </c>
      <c r="D11118" s="11">
        <v>43009</v>
      </c>
      <c r="E11118" t="s">
        <v>2182</v>
      </c>
      <c r="F11118">
        <v>7</v>
      </c>
      <c r="G11118" t="s">
        <v>59</v>
      </c>
      <c r="H11118" t="s">
        <v>44</v>
      </c>
      <c r="I11118" t="s">
        <v>2192</v>
      </c>
      <c r="J11118" s="10">
        <v>8</v>
      </c>
      <c r="K11118" t="b">
        <v>1</v>
      </c>
    </row>
    <row r="11119" spans="1:11">
      <c r="A11119" s="12">
        <v>43030</v>
      </c>
      <c r="B11119">
        <v>2017</v>
      </c>
      <c r="C11119">
        <v>10</v>
      </c>
      <c r="D11119" s="11">
        <v>43009</v>
      </c>
      <c r="E11119" t="s">
        <v>2182</v>
      </c>
      <c r="F11119">
        <v>7</v>
      </c>
      <c r="G11119" t="s">
        <v>59</v>
      </c>
      <c r="H11119" t="s">
        <v>45</v>
      </c>
      <c r="I11119" t="s">
        <v>2193</v>
      </c>
      <c r="J11119" s="10">
        <v>0</v>
      </c>
      <c r="K11119" t="b">
        <v>1</v>
      </c>
    </row>
    <row r="11120" spans="1:11">
      <c r="A11120" s="12">
        <v>43030</v>
      </c>
      <c r="B11120">
        <v>2017</v>
      </c>
      <c r="C11120">
        <v>10</v>
      </c>
      <c r="D11120" s="11">
        <v>43009</v>
      </c>
      <c r="E11120" t="s">
        <v>2182</v>
      </c>
      <c r="F11120">
        <v>7</v>
      </c>
      <c r="G11120" t="s">
        <v>59</v>
      </c>
      <c r="H11120" t="s">
        <v>46</v>
      </c>
      <c r="I11120" t="s">
        <v>2194</v>
      </c>
      <c r="J11120" s="10">
        <v>9</v>
      </c>
      <c r="K11120" t="b">
        <v>1</v>
      </c>
    </row>
    <row r="11121" spans="1:11">
      <c r="A11121" s="12">
        <v>43030</v>
      </c>
      <c r="B11121">
        <v>2017</v>
      </c>
      <c r="C11121">
        <v>10</v>
      </c>
      <c r="D11121" s="11">
        <v>43009</v>
      </c>
      <c r="E11121" t="s">
        <v>2182</v>
      </c>
      <c r="F11121">
        <v>7</v>
      </c>
      <c r="G11121" t="s">
        <v>59</v>
      </c>
      <c r="H11121" t="s">
        <v>47</v>
      </c>
      <c r="I11121" t="s">
        <v>2195</v>
      </c>
      <c r="J11121" s="10">
        <v>2</v>
      </c>
      <c r="K11121" t="b">
        <v>1</v>
      </c>
    </row>
    <row r="11122" spans="1:11">
      <c r="A11122" s="12">
        <v>43031</v>
      </c>
      <c r="B11122">
        <v>2017</v>
      </c>
      <c r="C11122">
        <v>10</v>
      </c>
      <c r="D11122" s="11">
        <v>43009</v>
      </c>
      <c r="E11122" t="s">
        <v>2182</v>
      </c>
      <c r="F11122">
        <v>1</v>
      </c>
      <c r="G11122" t="s">
        <v>61</v>
      </c>
      <c r="H11122" t="s">
        <v>40</v>
      </c>
      <c r="I11122" t="s">
        <v>2188</v>
      </c>
      <c r="J11122" s="10">
        <v>3.33</v>
      </c>
      <c r="K11122" t="b">
        <v>1</v>
      </c>
    </row>
    <row r="11123" spans="1:11">
      <c r="A11123" s="12">
        <v>43031</v>
      </c>
      <c r="B11123">
        <v>2017</v>
      </c>
      <c r="C11123">
        <v>10</v>
      </c>
      <c r="D11123" s="11">
        <v>43009</v>
      </c>
      <c r="E11123" t="s">
        <v>2182</v>
      </c>
      <c r="F11123">
        <v>1</v>
      </c>
      <c r="G11123" t="s">
        <v>61</v>
      </c>
      <c r="H11123" t="s">
        <v>41</v>
      </c>
      <c r="I11123" t="s">
        <v>2189</v>
      </c>
      <c r="J11123" s="10">
        <v>1.363</v>
      </c>
      <c r="K11123" t="b">
        <v>1</v>
      </c>
    </row>
    <row r="11124" spans="1:11">
      <c r="A11124" s="12">
        <v>43031</v>
      </c>
      <c r="B11124">
        <v>2017</v>
      </c>
      <c r="C11124">
        <v>10</v>
      </c>
      <c r="D11124" s="11">
        <v>43009</v>
      </c>
      <c r="E11124" t="s">
        <v>2182</v>
      </c>
      <c r="F11124">
        <v>1</v>
      </c>
      <c r="G11124" t="s">
        <v>61</v>
      </c>
      <c r="H11124" t="s">
        <v>42</v>
      </c>
      <c r="I11124" t="s">
        <v>2190</v>
      </c>
      <c r="J11124" s="10">
        <v>2</v>
      </c>
      <c r="K11124" t="b">
        <v>1</v>
      </c>
    </row>
    <row r="11125" spans="1:11">
      <c r="A11125" s="12">
        <v>43031</v>
      </c>
      <c r="B11125">
        <v>2017</v>
      </c>
      <c r="C11125">
        <v>10</v>
      </c>
      <c r="D11125" s="11">
        <v>43009</v>
      </c>
      <c r="E11125" t="s">
        <v>2182</v>
      </c>
      <c r="F11125">
        <v>1</v>
      </c>
      <c r="G11125" t="s">
        <v>61</v>
      </c>
      <c r="H11125" t="s">
        <v>43</v>
      </c>
      <c r="I11125" t="s">
        <v>2191</v>
      </c>
      <c r="J11125" s="10">
        <v>28.6</v>
      </c>
      <c r="K11125" t="b">
        <v>1</v>
      </c>
    </row>
    <row r="11126" spans="1:11">
      <c r="A11126" s="12">
        <v>43031</v>
      </c>
      <c r="B11126">
        <v>2017</v>
      </c>
      <c r="C11126">
        <v>10</v>
      </c>
      <c r="D11126" s="11">
        <v>43009</v>
      </c>
      <c r="E11126" t="s">
        <v>2182</v>
      </c>
      <c r="F11126">
        <v>1</v>
      </c>
      <c r="G11126" t="s">
        <v>61</v>
      </c>
      <c r="H11126" t="s">
        <v>44</v>
      </c>
      <c r="I11126" t="s">
        <v>2192</v>
      </c>
      <c r="J11126" s="10">
        <v>4</v>
      </c>
      <c r="K11126" t="b">
        <v>1</v>
      </c>
    </row>
    <row r="11127" spans="1:11">
      <c r="A11127" s="12">
        <v>43031</v>
      </c>
      <c r="B11127">
        <v>2017</v>
      </c>
      <c r="C11127">
        <v>10</v>
      </c>
      <c r="D11127" s="11">
        <v>43009</v>
      </c>
      <c r="E11127" t="s">
        <v>2182</v>
      </c>
      <c r="F11127">
        <v>1</v>
      </c>
      <c r="G11127" t="s">
        <v>61</v>
      </c>
      <c r="H11127" t="s">
        <v>45</v>
      </c>
      <c r="I11127" t="s">
        <v>2193</v>
      </c>
      <c r="J11127" s="10">
        <v>0</v>
      </c>
      <c r="K11127" t="b">
        <v>1</v>
      </c>
    </row>
    <row r="11128" spans="1:11">
      <c r="A11128" s="12">
        <v>43031</v>
      </c>
      <c r="B11128">
        <v>2017</v>
      </c>
      <c r="C11128">
        <v>10</v>
      </c>
      <c r="D11128" s="11">
        <v>43009</v>
      </c>
      <c r="E11128" t="s">
        <v>2182</v>
      </c>
      <c r="F11128">
        <v>1</v>
      </c>
      <c r="G11128" t="s">
        <v>61</v>
      </c>
      <c r="H11128" t="s">
        <v>46</v>
      </c>
      <c r="I11128" t="s">
        <v>2194</v>
      </c>
      <c r="J11128" s="10">
        <v>28</v>
      </c>
      <c r="K11128" t="b">
        <v>1</v>
      </c>
    </row>
    <row r="11129" spans="1:11">
      <c r="A11129" s="12">
        <v>43031</v>
      </c>
      <c r="B11129">
        <v>2017</v>
      </c>
      <c r="C11129">
        <v>10</v>
      </c>
      <c r="D11129" s="11">
        <v>43009</v>
      </c>
      <c r="E11129" t="s">
        <v>2182</v>
      </c>
      <c r="F11129">
        <v>1</v>
      </c>
      <c r="G11129" t="s">
        <v>61</v>
      </c>
      <c r="H11129" t="s">
        <v>47</v>
      </c>
      <c r="I11129" t="s">
        <v>2195</v>
      </c>
      <c r="J11129" s="10">
        <v>1</v>
      </c>
      <c r="K11129" t="b">
        <v>1</v>
      </c>
    </row>
    <row r="11130" spans="1:11">
      <c r="A11130" s="12">
        <v>43032</v>
      </c>
      <c r="B11130">
        <v>2017</v>
      </c>
      <c r="C11130">
        <v>10</v>
      </c>
      <c r="D11130" s="11">
        <v>43009</v>
      </c>
      <c r="E11130" t="s">
        <v>2182</v>
      </c>
      <c r="F11130">
        <v>2</v>
      </c>
      <c r="G11130" t="s">
        <v>63</v>
      </c>
      <c r="H11130" t="s">
        <v>40</v>
      </c>
      <c r="I11130" t="s">
        <v>2188</v>
      </c>
      <c r="J11130" s="10">
        <v>2</v>
      </c>
      <c r="K11130" t="b">
        <v>1</v>
      </c>
    </row>
    <row r="11131" spans="1:11">
      <c r="A11131" s="12">
        <v>43032</v>
      </c>
      <c r="B11131">
        <v>2017</v>
      </c>
      <c r="C11131">
        <v>10</v>
      </c>
      <c r="D11131" s="11">
        <v>43009</v>
      </c>
      <c r="E11131" t="s">
        <v>2182</v>
      </c>
      <c r="F11131">
        <v>2</v>
      </c>
      <c r="G11131" t="s">
        <v>63</v>
      </c>
      <c r="H11131" t="s">
        <v>41</v>
      </c>
      <c r="I11131" t="s">
        <v>2189</v>
      </c>
      <c r="J11131" s="10">
        <v>2</v>
      </c>
      <c r="K11131" t="b">
        <v>1</v>
      </c>
    </row>
    <row r="11132" spans="1:11">
      <c r="A11132" s="12">
        <v>43032</v>
      </c>
      <c r="B11132">
        <v>2017</v>
      </c>
      <c r="C11132">
        <v>10</v>
      </c>
      <c r="D11132" s="11">
        <v>43009</v>
      </c>
      <c r="E11132" t="s">
        <v>2182</v>
      </c>
      <c r="F11132">
        <v>2</v>
      </c>
      <c r="G11132" t="s">
        <v>63</v>
      </c>
      <c r="H11132" t="s">
        <v>42</v>
      </c>
      <c r="I11132" t="s">
        <v>2190</v>
      </c>
      <c r="J11132" s="10">
        <v>10</v>
      </c>
      <c r="K11132" t="b">
        <v>1</v>
      </c>
    </row>
    <row r="11133" spans="1:11">
      <c r="A11133" s="12">
        <v>43032</v>
      </c>
      <c r="B11133">
        <v>2017</v>
      </c>
      <c r="C11133">
        <v>10</v>
      </c>
      <c r="D11133" s="11">
        <v>43009</v>
      </c>
      <c r="E11133" t="s">
        <v>2182</v>
      </c>
      <c r="F11133">
        <v>2</v>
      </c>
      <c r="G11133" t="s">
        <v>63</v>
      </c>
      <c r="H11133" t="s">
        <v>43</v>
      </c>
      <c r="I11133" t="s">
        <v>2191</v>
      </c>
      <c r="J11133" s="10">
        <v>65.2</v>
      </c>
      <c r="K11133" t="b">
        <v>1</v>
      </c>
    </row>
    <row r="11134" spans="1:11">
      <c r="A11134" s="12">
        <v>43032</v>
      </c>
      <c r="B11134">
        <v>2017</v>
      </c>
      <c r="C11134">
        <v>10</v>
      </c>
      <c r="D11134" s="11">
        <v>43009</v>
      </c>
      <c r="E11134" t="s">
        <v>2182</v>
      </c>
      <c r="F11134">
        <v>2</v>
      </c>
      <c r="G11134" t="s">
        <v>63</v>
      </c>
      <c r="H11134" t="s">
        <v>44</v>
      </c>
      <c r="I11134" t="s">
        <v>2192</v>
      </c>
      <c r="J11134" s="10">
        <v>3</v>
      </c>
      <c r="K11134" t="b">
        <v>1</v>
      </c>
    </row>
    <row r="11135" spans="1:11">
      <c r="A11135" s="12">
        <v>43032</v>
      </c>
      <c r="B11135">
        <v>2017</v>
      </c>
      <c r="C11135">
        <v>10</v>
      </c>
      <c r="D11135" s="11">
        <v>43009</v>
      </c>
      <c r="E11135" t="s">
        <v>2182</v>
      </c>
      <c r="F11135">
        <v>2</v>
      </c>
      <c r="G11135" t="s">
        <v>63</v>
      </c>
      <c r="H11135" t="s">
        <v>45</v>
      </c>
      <c r="I11135" t="s">
        <v>2193</v>
      </c>
      <c r="J11135" s="10">
        <v>0</v>
      </c>
      <c r="K11135" t="b">
        <v>1</v>
      </c>
    </row>
    <row r="11136" spans="1:11">
      <c r="A11136" s="12">
        <v>43032</v>
      </c>
      <c r="B11136">
        <v>2017</v>
      </c>
      <c r="C11136">
        <v>10</v>
      </c>
      <c r="D11136" s="11">
        <v>43009</v>
      </c>
      <c r="E11136" t="s">
        <v>2182</v>
      </c>
      <c r="F11136">
        <v>2</v>
      </c>
      <c r="G11136" t="s">
        <v>63</v>
      </c>
      <c r="H11136" t="s">
        <v>46</v>
      </c>
      <c r="I11136" t="s">
        <v>2194</v>
      </c>
      <c r="J11136" s="10">
        <v>10</v>
      </c>
      <c r="K11136" t="b">
        <v>1</v>
      </c>
    </row>
    <row r="11137" spans="1:11">
      <c r="A11137" s="12">
        <v>43032</v>
      </c>
      <c r="B11137">
        <v>2017</v>
      </c>
      <c r="C11137">
        <v>10</v>
      </c>
      <c r="D11137" s="11">
        <v>43009</v>
      </c>
      <c r="E11137" t="s">
        <v>2182</v>
      </c>
      <c r="F11137">
        <v>2</v>
      </c>
      <c r="G11137" t="s">
        <v>63</v>
      </c>
      <c r="H11137" t="s">
        <v>47</v>
      </c>
      <c r="I11137" t="s">
        <v>2195</v>
      </c>
      <c r="J11137" s="10">
        <v>1</v>
      </c>
      <c r="K11137" t="b">
        <v>1</v>
      </c>
    </row>
    <row r="11138" spans="1:11">
      <c r="A11138" s="12">
        <v>43033</v>
      </c>
      <c r="B11138">
        <v>2017</v>
      </c>
      <c r="C11138">
        <v>10</v>
      </c>
      <c r="D11138" s="11">
        <v>43009</v>
      </c>
      <c r="E11138" t="s">
        <v>2182</v>
      </c>
      <c r="F11138">
        <v>3</v>
      </c>
      <c r="G11138" t="s">
        <v>65</v>
      </c>
      <c r="H11138" t="s">
        <v>40</v>
      </c>
      <c r="I11138" t="s">
        <v>2188</v>
      </c>
      <c r="J11138" s="10">
        <v>6.34</v>
      </c>
      <c r="K11138" t="b">
        <v>1</v>
      </c>
    </row>
    <row r="11139" spans="1:11">
      <c r="A11139" s="12">
        <v>43033</v>
      </c>
      <c r="B11139">
        <v>2017</v>
      </c>
      <c r="C11139">
        <v>10</v>
      </c>
      <c r="D11139" s="11">
        <v>43009</v>
      </c>
      <c r="E11139" t="s">
        <v>2182</v>
      </c>
      <c r="F11139">
        <v>3</v>
      </c>
      <c r="G11139" t="s">
        <v>65</v>
      </c>
      <c r="H11139" t="s">
        <v>41</v>
      </c>
      <c r="I11139" t="s">
        <v>2189</v>
      </c>
      <c r="J11139" s="10">
        <v>3.33</v>
      </c>
      <c r="K11139" t="b">
        <v>1</v>
      </c>
    </row>
    <row r="11140" spans="1:11">
      <c r="A11140" s="12">
        <v>43033</v>
      </c>
      <c r="B11140">
        <v>2017</v>
      </c>
      <c r="C11140">
        <v>10</v>
      </c>
      <c r="D11140" s="11">
        <v>43009</v>
      </c>
      <c r="E11140" t="s">
        <v>2182</v>
      </c>
      <c r="F11140">
        <v>3</v>
      </c>
      <c r="G11140" t="s">
        <v>65</v>
      </c>
      <c r="H11140" t="s">
        <v>42</v>
      </c>
      <c r="I11140" t="s">
        <v>2190</v>
      </c>
      <c r="J11140" s="10">
        <v>5.35</v>
      </c>
      <c r="K11140" t="b">
        <v>1</v>
      </c>
    </row>
    <row r="11141" spans="1:11">
      <c r="A11141" s="12">
        <v>43033</v>
      </c>
      <c r="B11141">
        <v>2017</v>
      </c>
      <c r="C11141">
        <v>10</v>
      </c>
      <c r="D11141" s="11">
        <v>43009</v>
      </c>
      <c r="E11141" t="s">
        <v>2182</v>
      </c>
      <c r="F11141">
        <v>3</v>
      </c>
      <c r="G11141" t="s">
        <v>65</v>
      </c>
      <c r="H11141" t="s">
        <v>43</v>
      </c>
      <c r="I11141" t="s">
        <v>2191</v>
      </c>
      <c r="J11141" s="10">
        <v>26.9</v>
      </c>
      <c r="K11141" t="b">
        <v>1</v>
      </c>
    </row>
    <row r="11142" spans="1:11">
      <c r="A11142" s="12">
        <v>43033</v>
      </c>
      <c r="B11142">
        <v>2017</v>
      </c>
      <c r="C11142">
        <v>10</v>
      </c>
      <c r="D11142" s="11">
        <v>43009</v>
      </c>
      <c r="E11142" t="s">
        <v>2182</v>
      </c>
      <c r="F11142">
        <v>3</v>
      </c>
      <c r="G11142" t="s">
        <v>65</v>
      </c>
      <c r="H11142" t="s">
        <v>44</v>
      </c>
      <c r="I11142" t="s">
        <v>2192</v>
      </c>
      <c r="J11142" s="10">
        <v>4</v>
      </c>
      <c r="K11142" t="b">
        <v>1</v>
      </c>
    </row>
    <row r="11143" spans="1:11">
      <c r="A11143" s="12">
        <v>43033</v>
      </c>
      <c r="B11143">
        <v>2017</v>
      </c>
      <c r="C11143">
        <v>10</v>
      </c>
      <c r="D11143" s="11">
        <v>43009</v>
      </c>
      <c r="E11143" t="s">
        <v>2182</v>
      </c>
      <c r="F11143">
        <v>3</v>
      </c>
      <c r="G11143" t="s">
        <v>65</v>
      </c>
      <c r="H11143" t="s">
        <v>45</v>
      </c>
      <c r="I11143" t="s">
        <v>2193</v>
      </c>
      <c r="J11143" s="10">
        <v>0</v>
      </c>
      <c r="K11143" t="b">
        <v>1</v>
      </c>
    </row>
    <row r="11144" spans="1:11">
      <c r="A11144" s="12">
        <v>43033</v>
      </c>
      <c r="B11144">
        <v>2017</v>
      </c>
      <c r="C11144">
        <v>10</v>
      </c>
      <c r="D11144" s="11">
        <v>43009</v>
      </c>
      <c r="E11144" t="s">
        <v>2182</v>
      </c>
      <c r="F11144">
        <v>3</v>
      </c>
      <c r="G11144" t="s">
        <v>65</v>
      </c>
      <c r="H11144" t="s">
        <v>46</v>
      </c>
      <c r="I11144" t="s">
        <v>2194</v>
      </c>
      <c r="J11144" s="10">
        <v>1</v>
      </c>
      <c r="K11144" t="b">
        <v>1</v>
      </c>
    </row>
    <row r="11145" spans="1:11">
      <c r="A11145" s="12">
        <v>43033</v>
      </c>
      <c r="B11145">
        <v>2017</v>
      </c>
      <c r="C11145">
        <v>10</v>
      </c>
      <c r="D11145" s="11">
        <v>43009</v>
      </c>
      <c r="E11145" t="s">
        <v>2182</v>
      </c>
      <c r="F11145">
        <v>3</v>
      </c>
      <c r="G11145" t="s">
        <v>65</v>
      </c>
      <c r="H11145" t="s">
        <v>47</v>
      </c>
      <c r="I11145" t="s">
        <v>2195</v>
      </c>
      <c r="J11145" s="10">
        <v>1</v>
      </c>
      <c r="K11145" t="b">
        <v>1</v>
      </c>
    </row>
    <row r="11146" spans="1:11">
      <c r="A11146" s="12">
        <v>43034</v>
      </c>
      <c r="B11146">
        <v>2017</v>
      </c>
      <c r="C11146">
        <v>10</v>
      </c>
      <c r="D11146" s="11">
        <v>43009</v>
      </c>
      <c r="E11146" t="s">
        <v>2182</v>
      </c>
      <c r="F11146">
        <v>4</v>
      </c>
      <c r="G11146" t="s">
        <v>53</v>
      </c>
      <c r="H11146" t="s">
        <v>40</v>
      </c>
      <c r="I11146" t="s">
        <v>2188</v>
      </c>
      <c r="J11146" s="10">
        <v>1.33</v>
      </c>
      <c r="K11146" t="b">
        <v>1</v>
      </c>
    </row>
    <row r="11147" spans="1:11">
      <c r="A11147" s="12">
        <v>43034</v>
      </c>
      <c r="B11147">
        <v>2017</v>
      </c>
      <c r="C11147">
        <v>10</v>
      </c>
      <c r="D11147" s="11">
        <v>43009</v>
      </c>
      <c r="E11147" t="s">
        <v>2182</v>
      </c>
      <c r="F11147">
        <v>4</v>
      </c>
      <c r="G11147" t="s">
        <v>53</v>
      </c>
      <c r="H11147" t="s">
        <v>41</v>
      </c>
      <c r="I11147" t="s">
        <v>2189</v>
      </c>
      <c r="J11147" s="10">
        <v>1.099</v>
      </c>
      <c r="K11147" t="b">
        <v>1</v>
      </c>
    </row>
    <row r="11148" spans="1:11">
      <c r="A11148" s="12">
        <v>43034</v>
      </c>
      <c r="B11148">
        <v>2017</v>
      </c>
      <c r="C11148">
        <v>10</v>
      </c>
      <c r="D11148" s="11">
        <v>43009</v>
      </c>
      <c r="E11148" t="s">
        <v>2182</v>
      </c>
      <c r="F11148">
        <v>4</v>
      </c>
      <c r="G11148" t="s">
        <v>53</v>
      </c>
      <c r="H11148" t="s">
        <v>42</v>
      </c>
      <c r="I11148" t="s">
        <v>2190</v>
      </c>
      <c r="J11148" s="10">
        <v>2</v>
      </c>
      <c r="K11148" t="b">
        <v>1</v>
      </c>
    </row>
    <row r="11149" spans="1:11">
      <c r="A11149" s="12">
        <v>43034</v>
      </c>
      <c r="B11149">
        <v>2017</v>
      </c>
      <c r="C11149">
        <v>10</v>
      </c>
      <c r="D11149" s="11">
        <v>43009</v>
      </c>
      <c r="E11149" t="s">
        <v>2182</v>
      </c>
      <c r="F11149">
        <v>4</v>
      </c>
      <c r="G11149" t="s">
        <v>53</v>
      </c>
      <c r="H11149" t="s">
        <v>43</v>
      </c>
      <c r="I11149" t="s">
        <v>2191</v>
      </c>
      <c r="J11149" s="10">
        <v>38</v>
      </c>
      <c r="K11149" t="b">
        <v>1</v>
      </c>
    </row>
    <row r="11150" spans="1:11">
      <c r="A11150" s="12">
        <v>43034</v>
      </c>
      <c r="B11150">
        <v>2017</v>
      </c>
      <c r="C11150">
        <v>10</v>
      </c>
      <c r="D11150" s="11">
        <v>43009</v>
      </c>
      <c r="E11150" t="s">
        <v>2182</v>
      </c>
      <c r="F11150">
        <v>4</v>
      </c>
      <c r="G11150" t="s">
        <v>53</v>
      </c>
      <c r="H11150" t="s">
        <v>44</v>
      </c>
      <c r="I11150" t="s">
        <v>2192</v>
      </c>
      <c r="J11150" s="10">
        <v>9</v>
      </c>
      <c r="K11150" t="b">
        <v>1</v>
      </c>
    </row>
    <row r="11151" spans="1:11">
      <c r="A11151" s="12">
        <v>43034</v>
      </c>
      <c r="B11151">
        <v>2017</v>
      </c>
      <c r="C11151">
        <v>10</v>
      </c>
      <c r="D11151" s="11">
        <v>43009</v>
      </c>
      <c r="E11151" t="s">
        <v>2182</v>
      </c>
      <c r="F11151">
        <v>4</v>
      </c>
      <c r="G11151" t="s">
        <v>53</v>
      </c>
      <c r="H11151" t="s">
        <v>45</v>
      </c>
      <c r="I11151" t="s">
        <v>2193</v>
      </c>
      <c r="J11151" s="10">
        <v>1</v>
      </c>
      <c r="K11151" t="b">
        <v>1</v>
      </c>
    </row>
    <row r="11152" spans="1:11">
      <c r="A11152" s="12">
        <v>43034</v>
      </c>
      <c r="B11152">
        <v>2017</v>
      </c>
      <c r="C11152">
        <v>10</v>
      </c>
      <c r="D11152" s="11">
        <v>43009</v>
      </c>
      <c r="E11152" t="s">
        <v>2182</v>
      </c>
      <c r="F11152">
        <v>4</v>
      </c>
      <c r="G11152" t="s">
        <v>53</v>
      </c>
      <c r="H11152" t="s">
        <v>46</v>
      </c>
      <c r="I11152" t="s">
        <v>2194</v>
      </c>
      <c r="J11152" s="10">
        <v>5</v>
      </c>
      <c r="K11152" t="b">
        <v>1</v>
      </c>
    </row>
    <row r="11153" spans="1:11">
      <c r="A11153" s="12">
        <v>43034</v>
      </c>
      <c r="B11153">
        <v>2017</v>
      </c>
      <c r="C11153">
        <v>10</v>
      </c>
      <c r="D11153" s="11">
        <v>43009</v>
      </c>
      <c r="E11153" t="s">
        <v>2182</v>
      </c>
      <c r="F11153">
        <v>4</v>
      </c>
      <c r="G11153" t="s">
        <v>53</v>
      </c>
      <c r="H11153" t="s">
        <v>47</v>
      </c>
      <c r="I11153" t="s">
        <v>2195</v>
      </c>
      <c r="J11153" s="10">
        <v>2.3</v>
      </c>
      <c r="K11153" t="b">
        <v>1</v>
      </c>
    </row>
    <row r="11154" spans="1:11">
      <c r="A11154" s="12">
        <v>43035</v>
      </c>
      <c r="B11154">
        <v>2017</v>
      </c>
      <c r="C11154">
        <v>10</v>
      </c>
      <c r="D11154" s="11">
        <v>43009</v>
      </c>
      <c r="E11154" t="s">
        <v>2182</v>
      </c>
      <c r="F11154">
        <v>5</v>
      </c>
      <c r="G11154" t="s">
        <v>55</v>
      </c>
      <c r="H11154" t="s">
        <v>40</v>
      </c>
      <c r="I11154" t="s">
        <v>2188</v>
      </c>
      <c r="J11154" s="10">
        <v>6.32</v>
      </c>
      <c r="K11154" t="b">
        <v>1</v>
      </c>
    </row>
    <row r="11155" spans="1:11">
      <c r="A11155" s="12">
        <v>43035</v>
      </c>
      <c r="B11155">
        <v>2017</v>
      </c>
      <c r="C11155">
        <v>10</v>
      </c>
      <c r="D11155" s="11">
        <v>43009</v>
      </c>
      <c r="E11155" t="s">
        <v>2182</v>
      </c>
      <c r="F11155">
        <v>5</v>
      </c>
      <c r="G11155" t="s">
        <v>55</v>
      </c>
      <c r="H11155" t="s">
        <v>41</v>
      </c>
      <c r="I11155" t="s">
        <v>2189</v>
      </c>
      <c r="J11155" s="10">
        <v>2.363</v>
      </c>
      <c r="K11155" t="b">
        <v>1</v>
      </c>
    </row>
    <row r="11156" spans="1:11">
      <c r="A11156" s="12">
        <v>43035</v>
      </c>
      <c r="B11156">
        <v>2017</v>
      </c>
      <c r="C11156">
        <v>10</v>
      </c>
      <c r="D11156" s="11">
        <v>43009</v>
      </c>
      <c r="E11156" t="s">
        <v>2182</v>
      </c>
      <c r="F11156">
        <v>5</v>
      </c>
      <c r="G11156" t="s">
        <v>55</v>
      </c>
      <c r="H11156" t="s">
        <v>42</v>
      </c>
      <c r="I11156" t="s">
        <v>2190</v>
      </c>
      <c r="J11156" s="10">
        <v>6</v>
      </c>
      <c r="K11156" t="b">
        <v>1</v>
      </c>
    </row>
    <row r="11157" spans="1:11">
      <c r="A11157" s="12">
        <v>43035</v>
      </c>
      <c r="B11157">
        <v>2017</v>
      </c>
      <c r="C11157">
        <v>10</v>
      </c>
      <c r="D11157" s="11">
        <v>43009</v>
      </c>
      <c r="E11157" t="s">
        <v>2182</v>
      </c>
      <c r="F11157">
        <v>5</v>
      </c>
      <c r="G11157" t="s">
        <v>55</v>
      </c>
      <c r="H11157" t="s">
        <v>43</v>
      </c>
      <c r="I11157" t="s">
        <v>2191</v>
      </c>
      <c r="J11157" s="10">
        <v>26</v>
      </c>
      <c r="K11157" t="b">
        <v>1</v>
      </c>
    </row>
    <row r="11158" spans="1:11">
      <c r="A11158" s="12">
        <v>43035</v>
      </c>
      <c r="B11158">
        <v>2017</v>
      </c>
      <c r="C11158">
        <v>10</v>
      </c>
      <c r="D11158" s="11">
        <v>43009</v>
      </c>
      <c r="E11158" t="s">
        <v>2182</v>
      </c>
      <c r="F11158">
        <v>5</v>
      </c>
      <c r="G11158" t="s">
        <v>55</v>
      </c>
      <c r="H11158" t="s">
        <v>44</v>
      </c>
      <c r="I11158" t="s">
        <v>2192</v>
      </c>
      <c r="J11158" s="10">
        <v>14</v>
      </c>
      <c r="K11158" t="b">
        <v>1</v>
      </c>
    </row>
    <row r="11159" spans="1:11">
      <c r="A11159" s="12">
        <v>43035</v>
      </c>
      <c r="B11159">
        <v>2017</v>
      </c>
      <c r="C11159">
        <v>10</v>
      </c>
      <c r="D11159" s="11">
        <v>43009</v>
      </c>
      <c r="E11159" t="s">
        <v>2182</v>
      </c>
      <c r="F11159">
        <v>5</v>
      </c>
      <c r="G11159" t="s">
        <v>55</v>
      </c>
      <c r="H11159" t="s">
        <v>45</v>
      </c>
      <c r="I11159" t="s">
        <v>2193</v>
      </c>
      <c r="J11159" s="10">
        <v>1</v>
      </c>
      <c r="K11159" t="b">
        <v>1</v>
      </c>
    </row>
    <row r="11160" spans="1:11">
      <c r="A11160" s="12">
        <v>43035</v>
      </c>
      <c r="B11160">
        <v>2017</v>
      </c>
      <c r="C11160">
        <v>10</v>
      </c>
      <c r="D11160" s="11">
        <v>43009</v>
      </c>
      <c r="E11160" t="s">
        <v>2182</v>
      </c>
      <c r="F11160">
        <v>5</v>
      </c>
      <c r="G11160" t="s">
        <v>55</v>
      </c>
      <c r="H11160" t="s">
        <v>46</v>
      </c>
      <c r="I11160" t="s">
        <v>2194</v>
      </c>
      <c r="J11160" s="10">
        <v>21</v>
      </c>
      <c r="K11160" t="b">
        <v>1</v>
      </c>
    </row>
    <row r="11161" spans="1:11">
      <c r="A11161" s="12">
        <v>43035</v>
      </c>
      <c r="B11161">
        <v>2017</v>
      </c>
      <c r="C11161">
        <v>10</v>
      </c>
      <c r="D11161" s="11">
        <v>43009</v>
      </c>
      <c r="E11161" t="s">
        <v>2182</v>
      </c>
      <c r="F11161">
        <v>5</v>
      </c>
      <c r="G11161" t="s">
        <v>55</v>
      </c>
      <c r="H11161" t="s">
        <v>47</v>
      </c>
      <c r="I11161" t="s">
        <v>2195</v>
      </c>
      <c r="J11161" s="10">
        <v>2</v>
      </c>
      <c r="K11161" t="b">
        <v>1</v>
      </c>
    </row>
    <row r="11162" spans="1:11">
      <c r="A11162" s="12">
        <v>43036</v>
      </c>
      <c r="B11162">
        <v>2017</v>
      </c>
      <c r="C11162">
        <v>10</v>
      </c>
      <c r="D11162" s="11">
        <v>43009</v>
      </c>
      <c r="E11162" t="s">
        <v>2182</v>
      </c>
      <c r="F11162">
        <v>6</v>
      </c>
      <c r="G11162" t="s">
        <v>57</v>
      </c>
      <c r="H11162" t="s">
        <v>40</v>
      </c>
      <c r="I11162" t="s">
        <v>2188</v>
      </c>
      <c r="J11162" s="10">
        <v>5</v>
      </c>
      <c r="K11162" t="b">
        <v>1</v>
      </c>
    </row>
    <row r="11163" spans="1:11">
      <c r="A11163" s="12">
        <v>43036</v>
      </c>
      <c r="B11163">
        <v>2017</v>
      </c>
      <c r="C11163">
        <v>10</v>
      </c>
      <c r="D11163" s="11">
        <v>43009</v>
      </c>
      <c r="E11163" t="s">
        <v>2182</v>
      </c>
      <c r="F11163">
        <v>6</v>
      </c>
      <c r="G11163" t="s">
        <v>57</v>
      </c>
      <c r="H11163" t="s">
        <v>41</v>
      </c>
      <c r="I11163" t="s">
        <v>2189</v>
      </c>
      <c r="J11163" s="10">
        <v>2.33</v>
      </c>
      <c r="K11163" t="b">
        <v>1</v>
      </c>
    </row>
    <row r="11164" spans="1:11">
      <c r="A11164" s="12">
        <v>43036</v>
      </c>
      <c r="B11164">
        <v>2017</v>
      </c>
      <c r="C11164">
        <v>10</v>
      </c>
      <c r="D11164" s="11">
        <v>43009</v>
      </c>
      <c r="E11164" t="s">
        <v>2182</v>
      </c>
      <c r="F11164">
        <v>6</v>
      </c>
      <c r="G11164" t="s">
        <v>57</v>
      </c>
      <c r="H11164" t="s">
        <v>42</v>
      </c>
      <c r="I11164" t="s">
        <v>2190</v>
      </c>
      <c r="J11164" s="10">
        <v>4</v>
      </c>
      <c r="K11164" t="b">
        <v>1</v>
      </c>
    </row>
    <row r="11165" spans="1:11">
      <c r="A11165" s="12">
        <v>43036</v>
      </c>
      <c r="B11165">
        <v>2017</v>
      </c>
      <c r="C11165">
        <v>10</v>
      </c>
      <c r="D11165" s="11">
        <v>43009</v>
      </c>
      <c r="E11165" t="s">
        <v>2182</v>
      </c>
      <c r="F11165">
        <v>6</v>
      </c>
      <c r="G11165" t="s">
        <v>57</v>
      </c>
      <c r="H11165" t="s">
        <v>43</v>
      </c>
      <c r="I11165" t="s">
        <v>2191</v>
      </c>
      <c r="J11165" s="10">
        <v>24.1</v>
      </c>
      <c r="K11165" t="b">
        <v>1</v>
      </c>
    </row>
    <row r="11166" spans="1:11">
      <c r="A11166" s="12">
        <v>43036</v>
      </c>
      <c r="B11166">
        <v>2017</v>
      </c>
      <c r="C11166">
        <v>10</v>
      </c>
      <c r="D11166" s="11">
        <v>43009</v>
      </c>
      <c r="E11166" t="s">
        <v>2182</v>
      </c>
      <c r="F11166">
        <v>6</v>
      </c>
      <c r="G11166" t="s">
        <v>57</v>
      </c>
      <c r="H11166" t="s">
        <v>44</v>
      </c>
      <c r="I11166" t="s">
        <v>2192</v>
      </c>
      <c r="J11166" s="10">
        <v>11</v>
      </c>
      <c r="K11166" t="b">
        <v>1</v>
      </c>
    </row>
    <row r="11167" spans="1:11">
      <c r="A11167" s="12">
        <v>43036</v>
      </c>
      <c r="B11167">
        <v>2017</v>
      </c>
      <c r="C11167">
        <v>10</v>
      </c>
      <c r="D11167" s="11">
        <v>43009</v>
      </c>
      <c r="E11167" t="s">
        <v>2182</v>
      </c>
      <c r="F11167">
        <v>6</v>
      </c>
      <c r="G11167" t="s">
        <v>57</v>
      </c>
      <c r="H11167" t="s">
        <v>45</v>
      </c>
      <c r="I11167" t="s">
        <v>2193</v>
      </c>
      <c r="J11167" s="10">
        <v>0</v>
      </c>
      <c r="K11167" t="b">
        <v>1</v>
      </c>
    </row>
    <row r="11168" spans="1:11">
      <c r="A11168" s="12">
        <v>43036</v>
      </c>
      <c r="B11168">
        <v>2017</v>
      </c>
      <c r="C11168">
        <v>10</v>
      </c>
      <c r="D11168" s="11">
        <v>43009</v>
      </c>
      <c r="E11168" t="s">
        <v>2182</v>
      </c>
      <c r="F11168">
        <v>6</v>
      </c>
      <c r="G11168" t="s">
        <v>57</v>
      </c>
      <c r="H11168" t="s">
        <v>46</v>
      </c>
      <c r="I11168" t="s">
        <v>2194</v>
      </c>
      <c r="J11168" s="10">
        <v>7</v>
      </c>
      <c r="K11168" t="b">
        <v>1</v>
      </c>
    </row>
    <row r="11169" spans="1:11">
      <c r="A11169" s="12">
        <v>43036</v>
      </c>
      <c r="B11169">
        <v>2017</v>
      </c>
      <c r="C11169">
        <v>10</v>
      </c>
      <c r="D11169" s="11">
        <v>43009</v>
      </c>
      <c r="E11169" t="s">
        <v>2182</v>
      </c>
      <c r="F11169">
        <v>6</v>
      </c>
      <c r="G11169" t="s">
        <v>57</v>
      </c>
      <c r="H11169" t="s">
        <v>47</v>
      </c>
      <c r="I11169" t="s">
        <v>2195</v>
      </c>
      <c r="J11169" s="10">
        <v>3</v>
      </c>
      <c r="K11169" t="b">
        <v>1</v>
      </c>
    </row>
    <row r="11170" spans="1:11">
      <c r="A11170" s="12">
        <v>43037</v>
      </c>
      <c r="B11170">
        <v>2017</v>
      </c>
      <c r="C11170">
        <v>10</v>
      </c>
      <c r="D11170" s="11">
        <v>43009</v>
      </c>
      <c r="E11170" t="s">
        <v>2182</v>
      </c>
      <c r="F11170">
        <v>7</v>
      </c>
      <c r="G11170" t="s">
        <v>59</v>
      </c>
      <c r="H11170" t="s">
        <v>40</v>
      </c>
      <c r="I11170" t="s">
        <v>2188</v>
      </c>
      <c r="J11170" s="10">
        <v>7.66</v>
      </c>
      <c r="K11170" t="b">
        <v>1</v>
      </c>
    </row>
    <row r="11171" spans="1:11">
      <c r="A11171" s="12">
        <v>43037</v>
      </c>
      <c r="B11171">
        <v>2017</v>
      </c>
      <c r="C11171">
        <v>10</v>
      </c>
      <c r="D11171" s="11">
        <v>43009</v>
      </c>
      <c r="E11171" t="s">
        <v>2182</v>
      </c>
      <c r="F11171">
        <v>7</v>
      </c>
      <c r="G11171" t="s">
        <v>59</v>
      </c>
      <c r="H11171" t="s">
        <v>41</v>
      </c>
      <c r="I11171" t="s">
        <v>2189</v>
      </c>
      <c r="J11171" s="10">
        <v>2.373</v>
      </c>
      <c r="K11171" t="b">
        <v>1</v>
      </c>
    </row>
    <row r="11172" spans="1:11">
      <c r="A11172" s="12">
        <v>43037</v>
      </c>
      <c r="B11172">
        <v>2017</v>
      </c>
      <c r="C11172">
        <v>10</v>
      </c>
      <c r="D11172" s="11">
        <v>43009</v>
      </c>
      <c r="E11172" t="s">
        <v>2182</v>
      </c>
      <c r="F11172">
        <v>7</v>
      </c>
      <c r="G11172" t="s">
        <v>59</v>
      </c>
      <c r="H11172" t="s">
        <v>42</v>
      </c>
      <c r="I11172" t="s">
        <v>2190</v>
      </c>
      <c r="J11172" s="10">
        <v>1.05</v>
      </c>
      <c r="K11172" t="b">
        <v>1</v>
      </c>
    </row>
    <row r="11173" spans="1:11">
      <c r="A11173" s="12">
        <v>43037</v>
      </c>
      <c r="B11173">
        <v>2017</v>
      </c>
      <c r="C11173">
        <v>10</v>
      </c>
      <c r="D11173" s="11">
        <v>43009</v>
      </c>
      <c r="E11173" t="s">
        <v>2182</v>
      </c>
      <c r="F11173">
        <v>7</v>
      </c>
      <c r="G11173" t="s">
        <v>59</v>
      </c>
      <c r="H11173" t="s">
        <v>43</v>
      </c>
      <c r="I11173" t="s">
        <v>2191</v>
      </c>
      <c r="J11173" s="10">
        <v>36</v>
      </c>
      <c r="K11173" t="b">
        <v>1</v>
      </c>
    </row>
    <row r="11174" spans="1:11">
      <c r="A11174" s="12">
        <v>43037</v>
      </c>
      <c r="B11174">
        <v>2017</v>
      </c>
      <c r="C11174">
        <v>10</v>
      </c>
      <c r="D11174" s="11">
        <v>43009</v>
      </c>
      <c r="E11174" t="s">
        <v>2182</v>
      </c>
      <c r="F11174">
        <v>7</v>
      </c>
      <c r="G11174" t="s">
        <v>59</v>
      </c>
      <c r="H11174" t="s">
        <v>44</v>
      </c>
      <c r="I11174" t="s">
        <v>2192</v>
      </c>
      <c r="J11174" s="10">
        <v>3</v>
      </c>
      <c r="K11174" t="b">
        <v>1</v>
      </c>
    </row>
    <row r="11175" spans="1:11">
      <c r="A11175" s="12">
        <v>43037</v>
      </c>
      <c r="B11175">
        <v>2017</v>
      </c>
      <c r="C11175">
        <v>10</v>
      </c>
      <c r="D11175" s="11">
        <v>43009</v>
      </c>
      <c r="E11175" t="s">
        <v>2182</v>
      </c>
      <c r="F11175">
        <v>7</v>
      </c>
      <c r="G11175" t="s">
        <v>59</v>
      </c>
      <c r="H11175" t="s">
        <v>45</v>
      </c>
      <c r="I11175" t="s">
        <v>2193</v>
      </c>
      <c r="J11175" s="10">
        <v>0</v>
      </c>
      <c r="K11175" t="b">
        <v>1</v>
      </c>
    </row>
    <row r="11176" spans="1:11">
      <c r="A11176" s="12">
        <v>43037</v>
      </c>
      <c r="B11176">
        <v>2017</v>
      </c>
      <c r="C11176">
        <v>10</v>
      </c>
      <c r="D11176" s="11">
        <v>43009</v>
      </c>
      <c r="E11176" t="s">
        <v>2182</v>
      </c>
      <c r="F11176">
        <v>7</v>
      </c>
      <c r="G11176" t="s">
        <v>59</v>
      </c>
      <c r="H11176" t="s">
        <v>46</v>
      </c>
      <c r="I11176" t="s">
        <v>2194</v>
      </c>
      <c r="J11176" s="10">
        <v>1</v>
      </c>
      <c r="K11176" t="b">
        <v>1</v>
      </c>
    </row>
    <row r="11177" spans="1:11">
      <c r="A11177" s="12">
        <v>43037</v>
      </c>
      <c r="B11177">
        <v>2017</v>
      </c>
      <c r="C11177">
        <v>10</v>
      </c>
      <c r="D11177" s="11">
        <v>43009</v>
      </c>
      <c r="E11177" t="s">
        <v>2182</v>
      </c>
      <c r="F11177">
        <v>7</v>
      </c>
      <c r="G11177" t="s">
        <v>59</v>
      </c>
      <c r="H11177" t="s">
        <v>47</v>
      </c>
      <c r="I11177" t="s">
        <v>2195</v>
      </c>
      <c r="J11177" s="10">
        <v>2.2</v>
      </c>
      <c r="K11177" t="b">
        <v>1</v>
      </c>
    </row>
    <row r="11178" spans="1:11">
      <c r="A11178" s="12">
        <v>43038</v>
      </c>
      <c r="B11178">
        <v>2017</v>
      </c>
      <c r="C11178">
        <v>10</v>
      </c>
      <c r="D11178" s="11">
        <v>43009</v>
      </c>
      <c r="E11178" t="s">
        <v>2182</v>
      </c>
      <c r="F11178">
        <v>1</v>
      </c>
      <c r="G11178" t="s">
        <v>61</v>
      </c>
      <c r="H11178" t="s">
        <v>40</v>
      </c>
      <c r="I11178" t="s">
        <v>2188</v>
      </c>
      <c r="J11178" s="10">
        <v>1.5</v>
      </c>
      <c r="K11178" t="b">
        <v>1</v>
      </c>
    </row>
    <row r="11179" spans="1:11">
      <c r="A11179" s="12">
        <v>43038</v>
      </c>
      <c r="B11179">
        <v>2017</v>
      </c>
      <c r="C11179">
        <v>10</v>
      </c>
      <c r="D11179" s="11">
        <v>43009</v>
      </c>
      <c r="E11179" t="s">
        <v>2182</v>
      </c>
      <c r="F11179">
        <v>1</v>
      </c>
      <c r="G11179" t="s">
        <v>61</v>
      </c>
      <c r="H11179" t="s">
        <v>41</v>
      </c>
      <c r="I11179" t="s">
        <v>2189</v>
      </c>
      <c r="J11179" s="10">
        <v>3.66</v>
      </c>
      <c r="K11179" t="b">
        <v>1</v>
      </c>
    </row>
    <row r="11180" spans="1:11">
      <c r="A11180" s="12">
        <v>43038</v>
      </c>
      <c r="B11180">
        <v>2017</v>
      </c>
      <c r="C11180">
        <v>10</v>
      </c>
      <c r="D11180" s="11">
        <v>43009</v>
      </c>
      <c r="E11180" t="s">
        <v>2182</v>
      </c>
      <c r="F11180">
        <v>1</v>
      </c>
      <c r="G11180" t="s">
        <v>61</v>
      </c>
      <c r="H11180" t="s">
        <v>42</v>
      </c>
      <c r="I11180" t="s">
        <v>2190</v>
      </c>
      <c r="J11180" s="10">
        <v>2</v>
      </c>
      <c r="K11180" t="b">
        <v>1</v>
      </c>
    </row>
    <row r="11181" spans="1:11">
      <c r="A11181" s="12">
        <v>43038</v>
      </c>
      <c r="B11181">
        <v>2017</v>
      </c>
      <c r="C11181">
        <v>10</v>
      </c>
      <c r="D11181" s="11">
        <v>43009</v>
      </c>
      <c r="E11181" t="s">
        <v>2182</v>
      </c>
      <c r="F11181">
        <v>1</v>
      </c>
      <c r="G11181" t="s">
        <v>61</v>
      </c>
      <c r="H11181" t="s">
        <v>43</v>
      </c>
      <c r="I11181" t="s">
        <v>2191</v>
      </c>
      <c r="J11181" s="10">
        <v>32.8</v>
      </c>
      <c r="K11181" t="b">
        <v>1</v>
      </c>
    </row>
    <row r="11182" spans="1:11">
      <c r="A11182" s="12">
        <v>43038</v>
      </c>
      <c r="B11182">
        <v>2017</v>
      </c>
      <c r="C11182">
        <v>10</v>
      </c>
      <c r="D11182" s="11">
        <v>43009</v>
      </c>
      <c r="E11182" t="s">
        <v>2182</v>
      </c>
      <c r="F11182">
        <v>1</v>
      </c>
      <c r="G11182" t="s">
        <v>61</v>
      </c>
      <c r="H11182" t="s">
        <v>44</v>
      </c>
      <c r="I11182" t="s">
        <v>2192</v>
      </c>
      <c r="J11182" s="10">
        <v>7</v>
      </c>
      <c r="K11182" t="b">
        <v>1</v>
      </c>
    </row>
    <row r="11183" spans="1:11">
      <c r="A11183" s="12">
        <v>43038</v>
      </c>
      <c r="B11183">
        <v>2017</v>
      </c>
      <c r="C11183">
        <v>10</v>
      </c>
      <c r="D11183" s="11">
        <v>43009</v>
      </c>
      <c r="E11183" t="s">
        <v>2182</v>
      </c>
      <c r="F11183">
        <v>1</v>
      </c>
      <c r="G11183" t="s">
        <v>61</v>
      </c>
      <c r="H11183" t="s">
        <v>45</v>
      </c>
      <c r="I11183" t="s">
        <v>2193</v>
      </c>
      <c r="J11183" s="10">
        <v>0</v>
      </c>
      <c r="K11183" t="b">
        <v>1</v>
      </c>
    </row>
    <row r="11184" spans="1:11">
      <c r="A11184" s="12">
        <v>43038</v>
      </c>
      <c r="B11184">
        <v>2017</v>
      </c>
      <c r="C11184">
        <v>10</v>
      </c>
      <c r="D11184" s="11">
        <v>43009</v>
      </c>
      <c r="E11184" t="s">
        <v>2182</v>
      </c>
      <c r="F11184">
        <v>1</v>
      </c>
      <c r="G11184" t="s">
        <v>61</v>
      </c>
      <c r="H11184" t="s">
        <v>46</v>
      </c>
      <c r="I11184" t="s">
        <v>2194</v>
      </c>
      <c r="J11184" s="10">
        <v>9</v>
      </c>
      <c r="K11184" t="b">
        <v>1</v>
      </c>
    </row>
    <row r="11185" spans="1:11">
      <c r="A11185" s="12">
        <v>43038</v>
      </c>
      <c r="B11185">
        <v>2017</v>
      </c>
      <c r="C11185">
        <v>10</v>
      </c>
      <c r="D11185" s="11">
        <v>43009</v>
      </c>
      <c r="E11185" t="s">
        <v>2182</v>
      </c>
      <c r="F11185">
        <v>1</v>
      </c>
      <c r="G11185" t="s">
        <v>61</v>
      </c>
      <c r="H11185" t="s">
        <v>47</v>
      </c>
      <c r="I11185" t="s">
        <v>2195</v>
      </c>
      <c r="J11185" s="10">
        <v>1</v>
      </c>
      <c r="K11185" t="b">
        <v>1</v>
      </c>
    </row>
    <row r="11186" spans="1:11">
      <c r="A11186" s="12">
        <v>43039</v>
      </c>
      <c r="B11186">
        <v>2017</v>
      </c>
      <c r="C11186">
        <v>10</v>
      </c>
      <c r="D11186" s="11">
        <v>43009</v>
      </c>
      <c r="E11186" t="s">
        <v>2182</v>
      </c>
      <c r="F11186">
        <v>2</v>
      </c>
      <c r="G11186" t="s">
        <v>63</v>
      </c>
      <c r="H11186" t="s">
        <v>40</v>
      </c>
      <c r="I11186" t="s">
        <v>2188</v>
      </c>
      <c r="J11186" s="10">
        <v>4.33</v>
      </c>
      <c r="K11186" t="b">
        <v>1</v>
      </c>
    </row>
    <row r="11187" spans="1:11">
      <c r="A11187" s="12">
        <v>43039</v>
      </c>
      <c r="B11187">
        <v>2017</v>
      </c>
      <c r="C11187">
        <v>10</v>
      </c>
      <c r="D11187" s="11">
        <v>43009</v>
      </c>
      <c r="E11187" t="s">
        <v>2182</v>
      </c>
      <c r="F11187">
        <v>2</v>
      </c>
      <c r="G11187" t="s">
        <v>63</v>
      </c>
      <c r="H11187" t="s">
        <v>41</v>
      </c>
      <c r="I11187" t="s">
        <v>2189</v>
      </c>
      <c r="J11187" s="10">
        <v>1.363</v>
      </c>
      <c r="K11187" t="b">
        <v>1</v>
      </c>
    </row>
    <row r="11188" spans="1:11">
      <c r="A11188" s="12">
        <v>43039</v>
      </c>
      <c r="B11188">
        <v>2017</v>
      </c>
      <c r="C11188">
        <v>10</v>
      </c>
      <c r="D11188" s="11">
        <v>43009</v>
      </c>
      <c r="E11188" t="s">
        <v>2182</v>
      </c>
      <c r="F11188">
        <v>2</v>
      </c>
      <c r="G11188" t="s">
        <v>63</v>
      </c>
      <c r="H11188" t="s">
        <v>42</v>
      </c>
      <c r="I11188" t="s">
        <v>2190</v>
      </c>
      <c r="J11188" s="10">
        <v>4</v>
      </c>
      <c r="K11188" t="b">
        <v>1</v>
      </c>
    </row>
    <row r="11189" spans="1:11">
      <c r="A11189" s="12">
        <v>43039</v>
      </c>
      <c r="B11189">
        <v>2017</v>
      </c>
      <c r="C11189">
        <v>10</v>
      </c>
      <c r="D11189" s="11">
        <v>43009</v>
      </c>
      <c r="E11189" t="s">
        <v>2182</v>
      </c>
      <c r="F11189">
        <v>2</v>
      </c>
      <c r="G11189" t="s">
        <v>63</v>
      </c>
      <c r="H11189" t="s">
        <v>43</v>
      </c>
      <c r="I11189" t="s">
        <v>2191</v>
      </c>
      <c r="J11189" s="10">
        <v>38</v>
      </c>
      <c r="K11189" t="b">
        <v>1</v>
      </c>
    </row>
    <row r="11190" spans="1:11">
      <c r="A11190" s="12">
        <v>43039</v>
      </c>
      <c r="B11190">
        <v>2017</v>
      </c>
      <c r="C11190">
        <v>10</v>
      </c>
      <c r="D11190" s="11">
        <v>43009</v>
      </c>
      <c r="E11190" t="s">
        <v>2182</v>
      </c>
      <c r="F11190">
        <v>2</v>
      </c>
      <c r="G11190" t="s">
        <v>63</v>
      </c>
      <c r="H11190" t="s">
        <v>44</v>
      </c>
      <c r="I11190" t="s">
        <v>2192</v>
      </c>
      <c r="J11190" s="10">
        <v>2</v>
      </c>
      <c r="K11190" t="b">
        <v>1</v>
      </c>
    </row>
    <row r="11191" spans="1:11">
      <c r="A11191" s="12">
        <v>43039</v>
      </c>
      <c r="B11191">
        <v>2017</v>
      </c>
      <c r="C11191">
        <v>10</v>
      </c>
      <c r="D11191" s="11">
        <v>43009</v>
      </c>
      <c r="E11191" t="s">
        <v>2182</v>
      </c>
      <c r="F11191">
        <v>2</v>
      </c>
      <c r="G11191" t="s">
        <v>63</v>
      </c>
      <c r="H11191" t="s">
        <v>45</v>
      </c>
      <c r="I11191" t="s">
        <v>2193</v>
      </c>
      <c r="J11191" s="10">
        <v>0</v>
      </c>
      <c r="K11191" t="b">
        <v>1</v>
      </c>
    </row>
    <row r="11192" spans="1:11">
      <c r="A11192" s="12">
        <v>43039</v>
      </c>
      <c r="B11192">
        <v>2017</v>
      </c>
      <c r="C11192">
        <v>10</v>
      </c>
      <c r="D11192" s="11">
        <v>43009</v>
      </c>
      <c r="E11192" t="s">
        <v>2182</v>
      </c>
      <c r="F11192">
        <v>2</v>
      </c>
      <c r="G11192" t="s">
        <v>63</v>
      </c>
      <c r="H11192" t="s">
        <v>46</v>
      </c>
      <c r="I11192" t="s">
        <v>2194</v>
      </c>
      <c r="J11192" s="10">
        <v>0</v>
      </c>
      <c r="K11192" t="b">
        <v>1</v>
      </c>
    </row>
    <row r="11193" spans="1:11">
      <c r="A11193" s="12">
        <v>43039</v>
      </c>
      <c r="B11193">
        <v>2017</v>
      </c>
      <c r="C11193">
        <v>10</v>
      </c>
      <c r="D11193" s="11">
        <v>43009</v>
      </c>
      <c r="E11193" t="s">
        <v>2182</v>
      </c>
      <c r="F11193">
        <v>2</v>
      </c>
      <c r="G11193" t="s">
        <v>63</v>
      </c>
      <c r="H11193" t="s">
        <v>47</v>
      </c>
      <c r="I11193" t="s">
        <v>2195</v>
      </c>
      <c r="J11193" s="10">
        <v>1</v>
      </c>
      <c r="K11193" t="b">
        <v>1</v>
      </c>
    </row>
    <row r="11194" spans="1:11">
      <c r="A11194" s="12">
        <v>43040</v>
      </c>
      <c r="B11194">
        <v>2017</v>
      </c>
      <c r="C11194">
        <v>11</v>
      </c>
      <c r="D11194" s="11">
        <v>43040</v>
      </c>
      <c r="E11194" t="s">
        <v>2183</v>
      </c>
      <c r="F11194">
        <v>3</v>
      </c>
      <c r="G11194" t="s">
        <v>65</v>
      </c>
      <c r="H11194" t="s">
        <v>40</v>
      </c>
      <c r="I11194" t="s">
        <v>2188</v>
      </c>
      <c r="J11194" s="10">
        <v>0.67</v>
      </c>
      <c r="K11194" t="b">
        <v>1</v>
      </c>
    </row>
    <row r="11195" spans="1:11">
      <c r="A11195" s="12">
        <v>43040</v>
      </c>
      <c r="B11195">
        <v>2017</v>
      </c>
      <c r="C11195">
        <v>11</v>
      </c>
      <c r="D11195" s="11">
        <v>43040</v>
      </c>
      <c r="E11195" t="s">
        <v>2183</v>
      </c>
      <c r="F11195">
        <v>3</v>
      </c>
      <c r="G11195" t="s">
        <v>65</v>
      </c>
      <c r="H11195" t="s">
        <v>41</v>
      </c>
      <c r="I11195" t="s">
        <v>2189</v>
      </c>
      <c r="J11195" s="10">
        <v>3.429</v>
      </c>
      <c r="K11195" t="b">
        <v>1</v>
      </c>
    </row>
    <row r="11196" spans="1:11">
      <c r="A11196" s="12">
        <v>43040</v>
      </c>
      <c r="B11196">
        <v>2017</v>
      </c>
      <c r="C11196">
        <v>11</v>
      </c>
      <c r="D11196" s="11">
        <v>43040</v>
      </c>
      <c r="E11196" t="s">
        <v>2183</v>
      </c>
      <c r="F11196">
        <v>3</v>
      </c>
      <c r="G11196" t="s">
        <v>65</v>
      </c>
      <c r="H11196" t="s">
        <v>42</v>
      </c>
      <c r="I11196" t="s">
        <v>2190</v>
      </c>
      <c r="J11196" s="10">
        <v>2</v>
      </c>
      <c r="K11196" t="b">
        <v>1</v>
      </c>
    </row>
    <row r="11197" spans="1:11">
      <c r="A11197" s="12">
        <v>43040</v>
      </c>
      <c r="B11197">
        <v>2017</v>
      </c>
      <c r="C11197">
        <v>11</v>
      </c>
      <c r="D11197" s="11">
        <v>43040</v>
      </c>
      <c r="E11197" t="s">
        <v>2183</v>
      </c>
      <c r="F11197">
        <v>3</v>
      </c>
      <c r="G11197" t="s">
        <v>65</v>
      </c>
      <c r="H11197" t="s">
        <v>43</v>
      </c>
      <c r="I11197" t="s">
        <v>2191</v>
      </c>
      <c r="J11197" s="10">
        <v>23</v>
      </c>
      <c r="K11197" t="b">
        <v>1</v>
      </c>
    </row>
    <row r="11198" spans="1:11">
      <c r="A11198" s="12">
        <v>43040</v>
      </c>
      <c r="B11198">
        <v>2017</v>
      </c>
      <c r="C11198">
        <v>11</v>
      </c>
      <c r="D11198" s="11">
        <v>43040</v>
      </c>
      <c r="E11198" t="s">
        <v>2183</v>
      </c>
      <c r="F11198">
        <v>3</v>
      </c>
      <c r="G11198" t="s">
        <v>65</v>
      </c>
      <c r="H11198" t="s">
        <v>44</v>
      </c>
      <c r="I11198" t="s">
        <v>2192</v>
      </c>
      <c r="J11198" s="10">
        <v>5</v>
      </c>
      <c r="K11198" t="b">
        <v>1</v>
      </c>
    </row>
    <row r="11199" spans="1:11">
      <c r="A11199" s="12">
        <v>43040</v>
      </c>
      <c r="B11199">
        <v>2017</v>
      </c>
      <c r="C11199">
        <v>11</v>
      </c>
      <c r="D11199" s="11">
        <v>43040</v>
      </c>
      <c r="E11199" t="s">
        <v>2183</v>
      </c>
      <c r="F11199">
        <v>3</v>
      </c>
      <c r="G11199" t="s">
        <v>65</v>
      </c>
      <c r="H11199" t="s">
        <v>45</v>
      </c>
      <c r="I11199" t="s">
        <v>2193</v>
      </c>
      <c r="J11199" s="10">
        <v>0</v>
      </c>
      <c r="K11199" t="b">
        <v>1</v>
      </c>
    </row>
    <row r="11200" spans="1:11">
      <c r="A11200" s="12">
        <v>43040</v>
      </c>
      <c r="B11200">
        <v>2017</v>
      </c>
      <c r="C11200">
        <v>11</v>
      </c>
      <c r="D11200" s="11">
        <v>43040</v>
      </c>
      <c r="E11200" t="s">
        <v>2183</v>
      </c>
      <c r="F11200">
        <v>3</v>
      </c>
      <c r="G11200" t="s">
        <v>65</v>
      </c>
      <c r="H11200" t="s">
        <v>46</v>
      </c>
      <c r="I11200" t="s">
        <v>2194</v>
      </c>
      <c r="J11200" s="10">
        <v>3</v>
      </c>
      <c r="K11200" t="b">
        <v>1</v>
      </c>
    </row>
    <row r="11201" spans="1:11">
      <c r="A11201" s="12">
        <v>43040</v>
      </c>
      <c r="B11201">
        <v>2017</v>
      </c>
      <c r="C11201">
        <v>11</v>
      </c>
      <c r="D11201" s="11">
        <v>43040</v>
      </c>
      <c r="E11201" t="s">
        <v>2183</v>
      </c>
      <c r="F11201">
        <v>3</v>
      </c>
      <c r="G11201" t="s">
        <v>65</v>
      </c>
      <c r="H11201" t="s">
        <v>47</v>
      </c>
      <c r="I11201" t="s">
        <v>2195</v>
      </c>
      <c r="J11201" s="10">
        <v>1</v>
      </c>
      <c r="K11201" t="b">
        <v>1</v>
      </c>
    </row>
    <row r="11202" spans="1:11">
      <c r="A11202" s="12">
        <v>43041</v>
      </c>
      <c r="B11202">
        <v>2017</v>
      </c>
      <c r="C11202">
        <v>11</v>
      </c>
      <c r="D11202" s="11">
        <v>43040</v>
      </c>
      <c r="E11202" t="s">
        <v>2183</v>
      </c>
      <c r="F11202">
        <v>4</v>
      </c>
      <c r="G11202" t="s">
        <v>53</v>
      </c>
      <c r="H11202" t="s">
        <v>40</v>
      </c>
      <c r="I11202" t="s">
        <v>2188</v>
      </c>
      <c r="J11202" s="10">
        <v>4</v>
      </c>
      <c r="K11202" t="b">
        <v>1</v>
      </c>
    </row>
    <row r="11203" spans="1:11">
      <c r="A11203" s="12">
        <v>43041</v>
      </c>
      <c r="B11203">
        <v>2017</v>
      </c>
      <c r="C11203">
        <v>11</v>
      </c>
      <c r="D11203" s="11">
        <v>43040</v>
      </c>
      <c r="E11203" t="s">
        <v>2183</v>
      </c>
      <c r="F11203">
        <v>4</v>
      </c>
      <c r="G11203" t="s">
        <v>53</v>
      </c>
      <c r="H11203" t="s">
        <v>41</v>
      </c>
      <c r="I11203" t="s">
        <v>2189</v>
      </c>
      <c r="J11203" s="10">
        <v>2.066</v>
      </c>
      <c r="K11203" t="b">
        <v>1</v>
      </c>
    </row>
    <row r="11204" spans="1:11">
      <c r="A11204" s="12">
        <v>43041</v>
      </c>
      <c r="B11204">
        <v>2017</v>
      </c>
      <c r="C11204">
        <v>11</v>
      </c>
      <c r="D11204" s="11">
        <v>43040</v>
      </c>
      <c r="E11204" t="s">
        <v>2183</v>
      </c>
      <c r="F11204">
        <v>4</v>
      </c>
      <c r="G11204" t="s">
        <v>53</v>
      </c>
      <c r="H11204" t="s">
        <v>42</v>
      </c>
      <c r="I11204" t="s">
        <v>2190</v>
      </c>
      <c r="J11204" s="10">
        <v>1.55</v>
      </c>
      <c r="K11204" t="b">
        <v>1</v>
      </c>
    </row>
    <row r="11205" spans="1:11">
      <c r="A11205" s="12">
        <v>43041</v>
      </c>
      <c r="B11205">
        <v>2017</v>
      </c>
      <c r="C11205">
        <v>11</v>
      </c>
      <c r="D11205" s="11">
        <v>43040</v>
      </c>
      <c r="E11205" t="s">
        <v>2183</v>
      </c>
      <c r="F11205">
        <v>4</v>
      </c>
      <c r="G11205" t="s">
        <v>53</v>
      </c>
      <c r="H11205" t="s">
        <v>43</v>
      </c>
      <c r="I11205" t="s">
        <v>2191</v>
      </c>
      <c r="J11205" s="10">
        <v>22.1</v>
      </c>
      <c r="K11205" t="b">
        <v>1</v>
      </c>
    </row>
    <row r="11206" spans="1:11">
      <c r="A11206" s="12">
        <v>43041</v>
      </c>
      <c r="B11206">
        <v>2017</v>
      </c>
      <c r="C11206">
        <v>11</v>
      </c>
      <c r="D11206" s="11">
        <v>43040</v>
      </c>
      <c r="E11206" t="s">
        <v>2183</v>
      </c>
      <c r="F11206">
        <v>4</v>
      </c>
      <c r="G11206" t="s">
        <v>53</v>
      </c>
      <c r="H11206" t="s">
        <v>44</v>
      </c>
      <c r="I11206" t="s">
        <v>2192</v>
      </c>
      <c r="J11206" s="10">
        <v>5</v>
      </c>
      <c r="K11206" t="b">
        <v>1</v>
      </c>
    </row>
    <row r="11207" spans="1:11">
      <c r="A11207" s="12">
        <v>43041</v>
      </c>
      <c r="B11207">
        <v>2017</v>
      </c>
      <c r="C11207">
        <v>11</v>
      </c>
      <c r="D11207" s="11">
        <v>43040</v>
      </c>
      <c r="E11207" t="s">
        <v>2183</v>
      </c>
      <c r="F11207">
        <v>4</v>
      </c>
      <c r="G11207" t="s">
        <v>53</v>
      </c>
      <c r="H11207" t="s">
        <v>45</v>
      </c>
      <c r="I11207" t="s">
        <v>2193</v>
      </c>
      <c r="J11207" s="10">
        <v>0</v>
      </c>
      <c r="K11207" t="b">
        <v>1</v>
      </c>
    </row>
    <row r="11208" spans="1:11">
      <c r="A11208" s="12">
        <v>43041</v>
      </c>
      <c r="B11208">
        <v>2017</v>
      </c>
      <c r="C11208">
        <v>11</v>
      </c>
      <c r="D11208" s="11">
        <v>43040</v>
      </c>
      <c r="E11208" t="s">
        <v>2183</v>
      </c>
      <c r="F11208">
        <v>4</v>
      </c>
      <c r="G11208" t="s">
        <v>53</v>
      </c>
      <c r="H11208" t="s">
        <v>46</v>
      </c>
      <c r="I11208" t="s">
        <v>2194</v>
      </c>
      <c r="J11208" s="10">
        <v>11</v>
      </c>
      <c r="K11208" t="b">
        <v>1</v>
      </c>
    </row>
    <row r="11209" spans="1:11">
      <c r="A11209" s="12">
        <v>43041</v>
      </c>
      <c r="B11209">
        <v>2017</v>
      </c>
      <c r="C11209">
        <v>11</v>
      </c>
      <c r="D11209" s="11">
        <v>43040</v>
      </c>
      <c r="E11209" t="s">
        <v>2183</v>
      </c>
      <c r="F11209">
        <v>4</v>
      </c>
      <c r="G11209" t="s">
        <v>53</v>
      </c>
      <c r="H11209" t="s">
        <v>47</v>
      </c>
      <c r="I11209" t="s">
        <v>2195</v>
      </c>
      <c r="J11209" s="10">
        <v>3</v>
      </c>
      <c r="K11209" t="b">
        <v>1</v>
      </c>
    </row>
    <row r="11210" spans="1:11">
      <c r="A11210" s="12">
        <v>43042</v>
      </c>
      <c r="B11210">
        <v>2017</v>
      </c>
      <c r="C11210">
        <v>11</v>
      </c>
      <c r="D11210" s="11">
        <v>43040</v>
      </c>
      <c r="E11210" t="s">
        <v>2183</v>
      </c>
      <c r="F11210">
        <v>5</v>
      </c>
      <c r="G11210" t="s">
        <v>55</v>
      </c>
      <c r="H11210" t="s">
        <v>40</v>
      </c>
      <c r="I11210" t="s">
        <v>2188</v>
      </c>
      <c r="J11210" s="10">
        <v>2.33</v>
      </c>
      <c r="K11210" t="b">
        <v>1</v>
      </c>
    </row>
    <row r="11211" spans="1:11">
      <c r="A11211" s="12">
        <v>43042</v>
      </c>
      <c r="B11211">
        <v>2017</v>
      </c>
      <c r="C11211">
        <v>11</v>
      </c>
      <c r="D11211" s="11">
        <v>43040</v>
      </c>
      <c r="E11211" t="s">
        <v>2183</v>
      </c>
      <c r="F11211">
        <v>5</v>
      </c>
      <c r="G11211" t="s">
        <v>55</v>
      </c>
      <c r="H11211" t="s">
        <v>41</v>
      </c>
      <c r="I11211" t="s">
        <v>2189</v>
      </c>
      <c r="J11211" s="10">
        <v>7.67</v>
      </c>
      <c r="K11211" t="b">
        <v>1</v>
      </c>
    </row>
    <row r="11212" spans="1:11">
      <c r="A11212" s="12">
        <v>43042</v>
      </c>
      <c r="B11212">
        <v>2017</v>
      </c>
      <c r="C11212">
        <v>11</v>
      </c>
      <c r="D11212" s="11">
        <v>43040</v>
      </c>
      <c r="E11212" t="s">
        <v>2183</v>
      </c>
      <c r="F11212">
        <v>5</v>
      </c>
      <c r="G11212" t="s">
        <v>55</v>
      </c>
      <c r="H11212" t="s">
        <v>42</v>
      </c>
      <c r="I11212" t="s">
        <v>2190</v>
      </c>
      <c r="J11212" s="10">
        <v>4.4</v>
      </c>
      <c r="K11212" t="b">
        <v>1</v>
      </c>
    </row>
    <row r="11213" spans="1:11">
      <c r="A11213" s="12">
        <v>43042</v>
      </c>
      <c r="B11213">
        <v>2017</v>
      </c>
      <c r="C11213">
        <v>11</v>
      </c>
      <c r="D11213" s="11">
        <v>43040</v>
      </c>
      <c r="E11213" t="s">
        <v>2183</v>
      </c>
      <c r="F11213">
        <v>5</v>
      </c>
      <c r="G11213" t="s">
        <v>55</v>
      </c>
      <c r="H11213" t="s">
        <v>43</v>
      </c>
      <c r="I11213" t="s">
        <v>2191</v>
      </c>
      <c r="J11213" s="10">
        <v>37.4</v>
      </c>
      <c r="K11213" t="b">
        <v>1</v>
      </c>
    </row>
    <row r="11214" spans="1:11">
      <c r="A11214" s="12">
        <v>43042</v>
      </c>
      <c r="B11214">
        <v>2017</v>
      </c>
      <c r="C11214">
        <v>11</v>
      </c>
      <c r="D11214" s="11">
        <v>43040</v>
      </c>
      <c r="E11214" t="s">
        <v>2183</v>
      </c>
      <c r="F11214">
        <v>5</v>
      </c>
      <c r="G11214" t="s">
        <v>55</v>
      </c>
      <c r="H11214" t="s">
        <v>44</v>
      </c>
      <c r="I11214" t="s">
        <v>2192</v>
      </c>
      <c r="J11214" s="10">
        <v>10</v>
      </c>
      <c r="K11214" t="b">
        <v>1</v>
      </c>
    </row>
    <row r="11215" spans="1:11">
      <c r="A11215" s="12">
        <v>43042</v>
      </c>
      <c r="B11215">
        <v>2017</v>
      </c>
      <c r="C11215">
        <v>11</v>
      </c>
      <c r="D11215" s="11">
        <v>43040</v>
      </c>
      <c r="E11215" t="s">
        <v>2183</v>
      </c>
      <c r="F11215">
        <v>5</v>
      </c>
      <c r="G11215" t="s">
        <v>55</v>
      </c>
      <c r="H11215" t="s">
        <v>45</v>
      </c>
      <c r="I11215" t="s">
        <v>2193</v>
      </c>
      <c r="J11215" s="10">
        <v>3</v>
      </c>
      <c r="K11215" t="b">
        <v>1</v>
      </c>
    </row>
    <row r="11216" spans="1:11">
      <c r="A11216" s="12">
        <v>43042</v>
      </c>
      <c r="B11216">
        <v>2017</v>
      </c>
      <c r="C11216">
        <v>11</v>
      </c>
      <c r="D11216" s="11">
        <v>43040</v>
      </c>
      <c r="E11216" t="s">
        <v>2183</v>
      </c>
      <c r="F11216">
        <v>5</v>
      </c>
      <c r="G11216" t="s">
        <v>55</v>
      </c>
      <c r="H11216" t="s">
        <v>46</v>
      </c>
      <c r="I11216" t="s">
        <v>2194</v>
      </c>
      <c r="J11216" s="10">
        <v>6</v>
      </c>
      <c r="K11216" t="b">
        <v>1</v>
      </c>
    </row>
    <row r="11217" spans="1:11">
      <c r="A11217" s="12">
        <v>43042</v>
      </c>
      <c r="B11217">
        <v>2017</v>
      </c>
      <c r="C11217">
        <v>11</v>
      </c>
      <c r="D11217" s="11">
        <v>43040</v>
      </c>
      <c r="E11217" t="s">
        <v>2183</v>
      </c>
      <c r="F11217">
        <v>5</v>
      </c>
      <c r="G11217" t="s">
        <v>55</v>
      </c>
      <c r="H11217" t="s">
        <v>47</v>
      </c>
      <c r="I11217" t="s">
        <v>2195</v>
      </c>
      <c r="J11217" s="10">
        <v>1</v>
      </c>
      <c r="K11217" t="b">
        <v>1</v>
      </c>
    </row>
    <row r="11218" spans="1:11">
      <c r="A11218" s="12">
        <v>43043</v>
      </c>
      <c r="B11218">
        <v>2017</v>
      </c>
      <c r="C11218">
        <v>11</v>
      </c>
      <c r="D11218" s="11">
        <v>43040</v>
      </c>
      <c r="E11218" t="s">
        <v>2183</v>
      </c>
      <c r="F11218">
        <v>6</v>
      </c>
      <c r="G11218" t="s">
        <v>57</v>
      </c>
      <c r="H11218" t="s">
        <v>40</v>
      </c>
      <c r="I11218" t="s">
        <v>2188</v>
      </c>
      <c r="J11218" s="10">
        <v>10.34</v>
      </c>
      <c r="K11218" t="b">
        <v>1</v>
      </c>
    </row>
    <row r="11219" spans="1:11">
      <c r="A11219" s="12">
        <v>43043</v>
      </c>
      <c r="B11219">
        <v>2017</v>
      </c>
      <c r="C11219">
        <v>11</v>
      </c>
      <c r="D11219" s="11">
        <v>43040</v>
      </c>
      <c r="E11219" t="s">
        <v>2183</v>
      </c>
      <c r="F11219">
        <v>6</v>
      </c>
      <c r="G11219" t="s">
        <v>57</v>
      </c>
      <c r="H11219" t="s">
        <v>41</v>
      </c>
      <c r="I11219" t="s">
        <v>2189</v>
      </c>
      <c r="J11219" s="10">
        <v>7.472</v>
      </c>
      <c r="K11219" t="b">
        <v>1</v>
      </c>
    </row>
    <row r="11220" spans="1:11">
      <c r="A11220" s="12">
        <v>43043</v>
      </c>
      <c r="B11220">
        <v>2017</v>
      </c>
      <c r="C11220">
        <v>11</v>
      </c>
      <c r="D11220" s="11">
        <v>43040</v>
      </c>
      <c r="E11220" t="s">
        <v>2183</v>
      </c>
      <c r="F11220">
        <v>6</v>
      </c>
      <c r="G11220" t="s">
        <v>57</v>
      </c>
      <c r="H11220" t="s">
        <v>42</v>
      </c>
      <c r="I11220" t="s">
        <v>2190</v>
      </c>
      <c r="J11220" s="10">
        <v>6</v>
      </c>
      <c r="K11220" t="b">
        <v>1</v>
      </c>
    </row>
    <row r="11221" spans="1:11">
      <c r="A11221" s="12">
        <v>43043</v>
      </c>
      <c r="B11221">
        <v>2017</v>
      </c>
      <c r="C11221">
        <v>11</v>
      </c>
      <c r="D11221" s="11">
        <v>43040</v>
      </c>
      <c r="E11221" t="s">
        <v>2183</v>
      </c>
      <c r="F11221">
        <v>6</v>
      </c>
      <c r="G11221" t="s">
        <v>57</v>
      </c>
      <c r="H11221" t="s">
        <v>43</v>
      </c>
      <c r="I11221" t="s">
        <v>2191</v>
      </c>
      <c r="J11221" s="10">
        <v>33</v>
      </c>
      <c r="K11221" t="b">
        <v>1</v>
      </c>
    </row>
    <row r="11222" spans="1:11">
      <c r="A11222" s="12">
        <v>43043</v>
      </c>
      <c r="B11222">
        <v>2017</v>
      </c>
      <c r="C11222">
        <v>11</v>
      </c>
      <c r="D11222" s="11">
        <v>43040</v>
      </c>
      <c r="E11222" t="s">
        <v>2183</v>
      </c>
      <c r="F11222">
        <v>6</v>
      </c>
      <c r="G11222" t="s">
        <v>57</v>
      </c>
      <c r="H11222" t="s">
        <v>44</v>
      </c>
      <c r="I11222" t="s">
        <v>2192</v>
      </c>
      <c r="J11222" s="10">
        <v>5</v>
      </c>
      <c r="K11222" t="b">
        <v>1</v>
      </c>
    </row>
    <row r="11223" spans="1:11">
      <c r="A11223" s="12">
        <v>43043</v>
      </c>
      <c r="B11223">
        <v>2017</v>
      </c>
      <c r="C11223">
        <v>11</v>
      </c>
      <c r="D11223" s="11">
        <v>43040</v>
      </c>
      <c r="E11223" t="s">
        <v>2183</v>
      </c>
      <c r="F11223">
        <v>6</v>
      </c>
      <c r="G11223" t="s">
        <v>57</v>
      </c>
      <c r="H11223" t="s">
        <v>45</v>
      </c>
      <c r="I11223" t="s">
        <v>2193</v>
      </c>
      <c r="J11223" s="10">
        <v>0</v>
      </c>
      <c r="K11223" t="b">
        <v>1</v>
      </c>
    </row>
    <row r="11224" spans="1:11">
      <c r="A11224" s="12">
        <v>43043</v>
      </c>
      <c r="B11224">
        <v>2017</v>
      </c>
      <c r="C11224">
        <v>11</v>
      </c>
      <c r="D11224" s="11">
        <v>43040</v>
      </c>
      <c r="E11224" t="s">
        <v>2183</v>
      </c>
      <c r="F11224">
        <v>6</v>
      </c>
      <c r="G11224" t="s">
        <v>57</v>
      </c>
      <c r="H11224" t="s">
        <v>46</v>
      </c>
      <c r="I11224" t="s">
        <v>2194</v>
      </c>
      <c r="J11224" s="10">
        <v>1</v>
      </c>
      <c r="K11224" t="b">
        <v>1</v>
      </c>
    </row>
    <row r="11225" spans="1:11">
      <c r="A11225" s="12">
        <v>43043</v>
      </c>
      <c r="B11225">
        <v>2017</v>
      </c>
      <c r="C11225">
        <v>11</v>
      </c>
      <c r="D11225" s="11">
        <v>43040</v>
      </c>
      <c r="E11225" t="s">
        <v>2183</v>
      </c>
      <c r="F11225">
        <v>6</v>
      </c>
      <c r="G11225" t="s">
        <v>57</v>
      </c>
      <c r="H11225" t="s">
        <v>47</v>
      </c>
      <c r="I11225" t="s">
        <v>2195</v>
      </c>
      <c r="J11225" s="10">
        <v>3.2</v>
      </c>
      <c r="K11225" t="b">
        <v>1</v>
      </c>
    </row>
    <row r="11226" spans="1:11">
      <c r="A11226" s="12">
        <v>43044</v>
      </c>
      <c r="B11226">
        <v>2017</v>
      </c>
      <c r="C11226">
        <v>11</v>
      </c>
      <c r="D11226" s="11">
        <v>43040</v>
      </c>
      <c r="E11226" t="s">
        <v>2183</v>
      </c>
      <c r="F11226">
        <v>7</v>
      </c>
      <c r="G11226" t="s">
        <v>59</v>
      </c>
      <c r="H11226" t="s">
        <v>40</v>
      </c>
      <c r="I11226" t="s">
        <v>2188</v>
      </c>
      <c r="J11226" s="10">
        <v>6.33</v>
      </c>
      <c r="K11226" t="b">
        <v>1</v>
      </c>
    </row>
    <row r="11227" spans="1:11">
      <c r="A11227" s="12">
        <v>43044</v>
      </c>
      <c r="B11227">
        <v>2017</v>
      </c>
      <c r="C11227">
        <v>11</v>
      </c>
      <c r="D11227" s="11">
        <v>43040</v>
      </c>
      <c r="E11227" t="s">
        <v>2183</v>
      </c>
      <c r="F11227">
        <v>7</v>
      </c>
      <c r="G11227" t="s">
        <v>59</v>
      </c>
      <c r="H11227" t="s">
        <v>41</v>
      </c>
      <c r="I11227" t="s">
        <v>2189</v>
      </c>
      <c r="J11227" s="10">
        <v>5.799</v>
      </c>
      <c r="K11227" t="b">
        <v>1</v>
      </c>
    </row>
    <row r="11228" spans="1:11">
      <c r="A11228" s="12">
        <v>43044</v>
      </c>
      <c r="B11228">
        <v>2017</v>
      </c>
      <c r="C11228">
        <v>11</v>
      </c>
      <c r="D11228" s="11">
        <v>43040</v>
      </c>
      <c r="E11228" t="s">
        <v>2183</v>
      </c>
      <c r="F11228">
        <v>7</v>
      </c>
      <c r="G11228" t="s">
        <v>59</v>
      </c>
      <c r="H11228" t="s">
        <v>42</v>
      </c>
      <c r="I11228" t="s">
        <v>2190</v>
      </c>
      <c r="J11228" s="10">
        <v>1.1</v>
      </c>
      <c r="K11228" t="b">
        <v>1</v>
      </c>
    </row>
    <row r="11229" spans="1:11">
      <c r="A11229" s="12">
        <v>43044</v>
      </c>
      <c r="B11229">
        <v>2017</v>
      </c>
      <c r="C11229">
        <v>11</v>
      </c>
      <c r="D11229" s="11">
        <v>43040</v>
      </c>
      <c r="E11229" t="s">
        <v>2183</v>
      </c>
      <c r="F11229">
        <v>7</v>
      </c>
      <c r="G11229" t="s">
        <v>59</v>
      </c>
      <c r="H11229" t="s">
        <v>43</v>
      </c>
      <c r="I11229" t="s">
        <v>2191</v>
      </c>
      <c r="J11229" s="10">
        <v>35.45</v>
      </c>
      <c r="K11229" t="b">
        <v>1</v>
      </c>
    </row>
    <row r="11230" spans="1:11">
      <c r="A11230" s="12">
        <v>43044</v>
      </c>
      <c r="B11230">
        <v>2017</v>
      </c>
      <c r="C11230">
        <v>11</v>
      </c>
      <c r="D11230" s="11">
        <v>43040</v>
      </c>
      <c r="E11230" t="s">
        <v>2183</v>
      </c>
      <c r="F11230">
        <v>7</v>
      </c>
      <c r="G11230" t="s">
        <v>59</v>
      </c>
      <c r="H11230" t="s">
        <v>44</v>
      </c>
      <c r="I11230" t="s">
        <v>2192</v>
      </c>
      <c r="J11230" s="10">
        <v>1</v>
      </c>
      <c r="K11230" t="b">
        <v>1</v>
      </c>
    </row>
    <row r="11231" spans="1:11">
      <c r="A11231" s="12">
        <v>43044</v>
      </c>
      <c r="B11231">
        <v>2017</v>
      </c>
      <c r="C11231">
        <v>11</v>
      </c>
      <c r="D11231" s="11">
        <v>43040</v>
      </c>
      <c r="E11231" t="s">
        <v>2183</v>
      </c>
      <c r="F11231">
        <v>7</v>
      </c>
      <c r="G11231" t="s">
        <v>59</v>
      </c>
      <c r="H11231" t="s">
        <v>45</v>
      </c>
      <c r="I11231" t="s">
        <v>2193</v>
      </c>
      <c r="J11231" s="10">
        <v>0</v>
      </c>
      <c r="K11231" t="b">
        <v>1</v>
      </c>
    </row>
    <row r="11232" spans="1:11">
      <c r="A11232" s="12">
        <v>43044</v>
      </c>
      <c r="B11232">
        <v>2017</v>
      </c>
      <c r="C11232">
        <v>11</v>
      </c>
      <c r="D11232" s="11">
        <v>43040</v>
      </c>
      <c r="E11232" t="s">
        <v>2183</v>
      </c>
      <c r="F11232">
        <v>7</v>
      </c>
      <c r="G11232" t="s">
        <v>59</v>
      </c>
      <c r="H11232" t="s">
        <v>46</v>
      </c>
      <c r="I11232" t="s">
        <v>2194</v>
      </c>
      <c r="J11232" s="10">
        <v>5</v>
      </c>
      <c r="K11232" t="b">
        <v>1</v>
      </c>
    </row>
    <row r="11233" spans="1:11">
      <c r="A11233" s="12">
        <v>43044</v>
      </c>
      <c r="B11233">
        <v>2017</v>
      </c>
      <c r="C11233">
        <v>11</v>
      </c>
      <c r="D11233" s="11">
        <v>43040</v>
      </c>
      <c r="E11233" t="s">
        <v>2183</v>
      </c>
      <c r="F11233">
        <v>7</v>
      </c>
      <c r="G11233" t="s">
        <v>59</v>
      </c>
      <c r="H11233" t="s">
        <v>47</v>
      </c>
      <c r="I11233" t="s">
        <v>2195</v>
      </c>
      <c r="J11233" s="10">
        <v>2</v>
      </c>
      <c r="K11233" t="b">
        <v>1</v>
      </c>
    </row>
    <row r="11234" spans="1:11">
      <c r="A11234" s="12">
        <v>43045</v>
      </c>
      <c r="B11234">
        <v>2017</v>
      </c>
      <c r="C11234">
        <v>11</v>
      </c>
      <c r="D11234" s="11">
        <v>43040</v>
      </c>
      <c r="E11234" t="s">
        <v>2183</v>
      </c>
      <c r="F11234">
        <v>1</v>
      </c>
      <c r="G11234" t="s">
        <v>61</v>
      </c>
      <c r="H11234" t="s">
        <v>40</v>
      </c>
      <c r="I11234" t="s">
        <v>2188</v>
      </c>
      <c r="J11234" s="10">
        <v>8.34</v>
      </c>
      <c r="K11234" t="b">
        <v>1</v>
      </c>
    </row>
    <row r="11235" spans="1:11">
      <c r="A11235" s="12">
        <v>43045</v>
      </c>
      <c r="B11235">
        <v>2017</v>
      </c>
      <c r="C11235">
        <v>11</v>
      </c>
      <c r="D11235" s="11">
        <v>43040</v>
      </c>
      <c r="E11235" t="s">
        <v>2183</v>
      </c>
      <c r="F11235">
        <v>1</v>
      </c>
      <c r="G11235" t="s">
        <v>61</v>
      </c>
      <c r="H11235" t="s">
        <v>41</v>
      </c>
      <c r="I11235" t="s">
        <v>2189</v>
      </c>
      <c r="J11235" s="10">
        <v>3.2</v>
      </c>
      <c r="K11235" t="b">
        <v>1</v>
      </c>
    </row>
    <row r="11236" spans="1:11">
      <c r="A11236" s="12">
        <v>43045</v>
      </c>
      <c r="B11236">
        <v>2017</v>
      </c>
      <c r="C11236">
        <v>11</v>
      </c>
      <c r="D11236" s="11">
        <v>43040</v>
      </c>
      <c r="E11236" t="s">
        <v>2183</v>
      </c>
      <c r="F11236">
        <v>1</v>
      </c>
      <c r="G11236" t="s">
        <v>61</v>
      </c>
      <c r="H11236" t="s">
        <v>42</v>
      </c>
      <c r="I11236" t="s">
        <v>2190</v>
      </c>
      <c r="J11236" s="10">
        <v>2</v>
      </c>
      <c r="K11236" t="b">
        <v>1</v>
      </c>
    </row>
    <row r="11237" spans="1:11">
      <c r="A11237" s="12">
        <v>43045</v>
      </c>
      <c r="B11237">
        <v>2017</v>
      </c>
      <c r="C11237">
        <v>11</v>
      </c>
      <c r="D11237" s="11">
        <v>43040</v>
      </c>
      <c r="E11237" t="s">
        <v>2183</v>
      </c>
      <c r="F11237">
        <v>1</v>
      </c>
      <c r="G11237" t="s">
        <v>61</v>
      </c>
      <c r="H11237" t="s">
        <v>43</v>
      </c>
      <c r="I11237" t="s">
        <v>2191</v>
      </c>
      <c r="J11237" s="10">
        <v>20.2</v>
      </c>
      <c r="K11237" t="b">
        <v>1</v>
      </c>
    </row>
    <row r="11238" spans="1:11">
      <c r="A11238" s="12">
        <v>43045</v>
      </c>
      <c r="B11238">
        <v>2017</v>
      </c>
      <c r="C11238">
        <v>11</v>
      </c>
      <c r="D11238" s="11">
        <v>43040</v>
      </c>
      <c r="E11238" t="s">
        <v>2183</v>
      </c>
      <c r="F11238">
        <v>1</v>
      </c>
      <c r="G11238" t="s">
        <v>61</v>
      </c>
      <c r="H11238" t="s">
        <v>44</v>
      </c>
      <c r="I11238" t="s">
        <v>2192</v>
      </c>
      <c r="J11238" s="10">
        <v>11</v>
      </c>
      <c r="K11238" t="b">
        <v>1</v>
      </c>
    </row>
    <row r="11239" spans="1:11">
      <c r="A11239" s="12">
        <v>43045</v>
      </c>
      <c r="B11239">
        <v>2017</v>
      </c>
      <c r="C11239">
        <v>11</v>
      </c>
      <c r="D11239" s="11">
        <v>43040</v>
      </c>
      <c r="E11239" t="s">
        <v>2183</v>
      </c>
      <c r="F11239">
        <v>1</v>
      </c>
      <c r="G11239" t="s">
        <v>61</v>
      </c>
      <c r="H11239" t="s">
        <v>45</v>
      </c>
      <c r="I11239" t="s">
        <v>2193</v>
      </c>
      <c r="J11239" s="10">
        <v>3</v>
      </c>
      <c r="K11239" t="b">
        <v>1</v>
      </c>
    </row>
    <row r="11240" spans="1:11">
      <c r="A11240" s="12">
        <v>43045</v>
      </c>
      <c r="B11240">
        <v>2017</v>
      </c>
      <c r="C11240">
        <v>11</v>
      </c>
      <c r="D11240" s="11">
        <v>43040</v>
      </c>
      <c r="E11240" t="s">
        <v>2183</v>
      </c>
      <c r="F11240">
        <v>1</v>
      </c>
      <c r="G11240" t="s">
        <v>61</v>
      </c>
      <c r="H11240" t="s">
        <v>46</v>
      </c>
      <c r="I11240" t="s">
        <v>2194</v>
      </c>
      <c r="J11240" s="10">
        <v>8</v>
      </c>
      <c r="K11240" t="b">
        <v>1</v>
      </c>
    </row>
    <row r="11241" spans="1:11">
      <c r="A11241" s="12">
        <v>43045</v>
      </c>
      <c r="B11241">
        <v>2017</v>
      </c>
      <c r="C11241">
        <v>11</v>
      </c>
      <c r="D11241" s="11">
        <v>43040</v>
      </c>
      <c r="E11241" t="s">
        <v>2183</v>
      </c>
      <c r="F11241">
        <v>1</v>
      </c>
      <c r="G11241" t="s">
        <v>61</v>
      </c>
      <c r="H11241" t="s">
        <v>47</v>
      </c>
      <c r="I11241" t="s">
        <v>2195</v>
      </c>
      <c r="J11241" s="10">
        <v>1</v>
      </c>
      <c r="K11241" t="b">
        <v>1</v>
      </c>
    </row>
    <row r="11242" spans="1:11">
      <c r="A11242" s="12">
        <v>43046</v>
      </c>
      <c r="B11242">
        <v>2017</v>
      </c>
      <c r="C11242">
        <v>11</v>
      </c>
      <c r="D11242" s="11">
        <v>43040</v>
      </c>
      <c r="E11242" t="s">
        <v>2183</v>
      </c>
      <c r="F11242">
        <v>2</v>
      </c>
      <c r="G11242" t="s">
        <v>63</v>
      </c>
      <c r="H11242" t="s">
        <v>40</v>
      </c>
      <c r="I11242" t="s">
        <v>2188</v>
      </c>
      <c r="J11242" s="10">
        <v>0.67</v>
      </c>
      <c r="K11242" t="b">
        <v>1</v>
      </c>
    </row>
    <row r="11243" spans="1:11">
      <c r="A11243" s="12">
        <v>43046</v>
      </c>
      <c r="B11243">
        <v>2017</v>
      </c>
      <c r="C11243">
        <v>11</v>
      </c>
      <c r="D11243" s="11">
        <v>43040</v>
      </c>
      <c r="E11243" t="s">
        <v>2183</v>
      </c>
      <c r="F11243">
        <v>2</v>
      </c>
      <c r="G11243" t="s">
        <v>63</v>
      </c>
      <c r="H11243" t="s">
        <v>41</v>
      </c>
      <c r="I11243" t="s">
        <v>2189</v>
      </c>
      <c r="J11243" s="10">
        <v>4</v>
      </c>
      <c r="K11243" t="b">
        <v>1</v>
      </c>
    </row>
    <row r="11244" spans="1:11">
      <c r="A11244" s="12">
        <v>43046</v>
      </c>
      <c r="B11244">
        <v>2017</v>
      </c>
      <c r="C11244">
        <v>11</v>
      </c>
      <c r="D11244" s="11">
        <v>43040</v>
      </c>
      <c r="E11244" t="s">
        <v>2183</v>
      </c>
      <c r="F11244">
        <v>2</v>
      </c>
      <c r="G11244" t="s">
        <v>63</v>
      </c>
      <c r="H11244" t="s">
        <v>42</v>
      </c>
      <c r="I11244" t="s">
        <v>2190</v>
      </c>
      <c r="J11244" s="10">
        <v>7</v>
      </c>
      <c r="K11244" t="b">
        <v>1</v>
      </c>
    </row>
    <row r="11245" spans="1:11">
      <c r="A11245" s="12">
        <v>43046</v>
      </c>
      <c r="B11245">
        <v>2017</v>
      </c>
      <c r="C11245">
        <v>11</v>
      </c>
      <c r="D11245" s="11">
        <v>43040</v>
      </c>
      <c r="E11245" t="s">
        <v>2183</v>
      </c>
      <c r="F11245">
        <v>2</v>
      </c>
      <c r="G11245" t="s">
        <v>63</v>
      </c>
      <c r="H11245" t="s">
        <v>43</v>
      </c>
      <c r="I11245" t="s">
        <v>2191</v>
      </c>
      <c r="J11245" s="10">
        <v>20</v>
      </c>
      <c r="K11245" t="b">
        <v>1</v>
      </c>
    </row>
    <row r="11246" spans="1:11">
      <c r="A11246" s="12">
        <v>43046</v>
      </c>
      <c r="B11246">
        <v>2017</v>
      </c>
      <c r="C11246">
        <v>11</v>
      </c>
      <c r="D11246" s="11">
        <v>43040</v>
      </c>
      <c r="E11246" t="s">
        <v>2183</v>
      </c>
      <c r="F11246">
        <v>2</v>
      </c>
      <c r="G11246" t="s">
        <v>63</v>
      </c>
      <c r="H11246" t="s">
        <v>44</v>
      </c>
      <c r="I11246" t="s">
        <v>2192</v>
      </c>
      <c r="J11246" s="10">
        <v>4</v>
      </c>
      <c r="K11246" t="b">
        <v>1</v>
      </c>
    </row>
    <row r="11247" spans="1:11">
      <c r="A11247" s="12">
        <v>43046</v>
      </c>
      <c r="B11247">
        <v>2017</v>
      </c>
      <c r="C11247">
        <v>11</v>
      </c>
      <c r="D11247" s="11">
        <v>43040</v>
      </c>
      <c r="E11247" t="s">
        <v>2183</v>
      </c>
      <c r="F11247">
        <v>2</v>
      </c>
      <c r="G11247" t="s">
        <v>63</v>
      </c>
      <c r="H11247" t="s">
        <v>45</v>
      </c>
      <c r="I11247" t="s">
        <v>2193</v>
      </c>
      <c r="J11247" s="10">
        <v>0</v>
      </c>
      <c r="K11247" t="b">
        <v>1</v>
      </c>
    </row>
    <row r="11248" spans="1:11">
      <c r="A11248" s="12">
        <v>43046</v>
      </c>
      <c r="B11248">
        <v>2017</v>
      </c>
      <c r="C11248">
        <v>11</v>
      </c>
      <c r="D11248" s="11">
        <v>43040</v>
      </c>
      <c r="E11248" t="s">
        <v>2183</v>
      </c>
      <c r="F11248">
        <v>2</v>
      </c>
      <c r="G11248" t="s">
        <v>63</v>
      </c>
      <c r="H11248" t="s">
        <v>46</v>
      </c>
      <c r="I11248" t="s">
        <v>2194</v>
      </c>
      <c r="J11248" s="10">
        <v>0</v>
      </c>
      <c r="K11248" t="b">
        <v>1</v>
      </c>
    </row>
    <row r="11249" spans="1:11">
      <c r="A11249" s="12">
        <v>43046</v>
      </c>
      <c r="B11249">
        <v>2017</v>
      </c>
      <c r="C11249">
        <v>11</v>
      </c>
      <c r="D11249" s="11">
        <v>43040</v>
      </c>
      <c r="E11249" t="s">
        <v>2183</v>
      </c>
      <c r="F11249">
        <v>2</v>
      </c>
      <c r="G11249" t="s">
        <v>63</v>
      </c>
      <c r="H11249" t="s">
        <v>47</v>
      </c>
      <c r="I11249" t="s">
        <v>2195</v>
      </c>
      <c r="J11249" s="10">
        <v>1.5</v>
      </c>
      <c r="K11249" t="b">
        <v>1</v>
      </c>
    </row>
    <row r="11250" spans="1:11">
      <c r="A11250" s="12">
        <v>43047</v>
      </c>
      <c r="B11250">
        <v>2017</v>
      </c>
      <c r="C11250">
        <v>11</v>
      </c>
      <c r="D11250" s="11">
        <v>43040</v>
      </c>
      <c r="E11250" t="s">
        <v>2183</v>
      </c>
      <c r="F11250">
        <v>3</v>
      </c>
      <c r="G11250" t="s">
        <v>65</v>
      </c>
      <c r="H11250" t="s">
        <v>40</v>
      </c>
      <c r="I11250" t="s">
        <v>2188</v>
      </c>
      <c r="J11250" s="10">
        <v>6</v>
      </c>
      <c r="K11250" t="b">
        <v>1</v>
      </c>
    </row>
    <row r="11251" spans="1:11">
      <c r="A11251" s="12">
        <v>43047</v>
      </c>
      <c r="B11251">
        <v>2017</v>
      </c>
      <c r="C11251">
        <v>11</v>
      </c>
      <c r="D11251" s="11">
        <v>43040</v>
      </c>
      <c r="E11251" t="s">
        <v>2183</v>
      </c>
      <c r="F11251">
        <v>3</v>
      </c>
      <c r="G11251" t="s">
        <v>65</v>
      </c>
      <c r="H11251" t="s">
        <v>41</v>
      </c>
      <c r="I11251" t="s">
        <v>2189</v>
      </c>
      <c r="J11251" s="10">
        <v>1.1</v>
      </c>
      <c r="K11251" t="b">
        <v>1</v>
      </c>
    </row>
    <row r="11252" spans="1:11">
      <c r="A11252" s="12">
        <v>43047</v>
      </c>
      <c r="B11252">
        <v>2017</v>
      </c>
      <c r="C11252">
        <v>11</v>
      </c>
      <c r="D11252" s="11">
        <v>43040</v>
      </c>
      <c r="E11252" t="s">
        <v>2183</v>
      </c>
      <c r="F11252">
        <v>3</v>
      </c>
      <c r="G11252" t="s">
        <v>65</v>
      </c>
      <c r="H11252" t="s">
        <v>42</v>
      </c>
      <c r="I11252" t="s">
        <v>2190</v>
      </c>
      <c r="J11252" s="10">
        <v>2</v>
      </c>
      <c r="K11252" t="b">
        <v>1</v>
      </c>
    </row>
    <row r="11253" spans="1:11">
      <c r="A11253" s="12">
        <v>43047</v>
      </c>
      <c r="B11253">
        <v>2017</v>
      </c>
      <c r="C11253">
        <v>11</v>
      </c>
      <c r="D11253" s="11">
        <v>43040</v>
      </c>
      <c r="E11253" t="s">
        <v>2183</v>
      </c>
      <c r="F11253">
        <v>3</v>
      </c>
      <c r="G11253" t="s">
        <v>65</v>
      </c>
      <c r="H11253" t="s">
        <v>43</v>
      </c>
      <c r="I11253" t="s">
        <v>2191</v>
      </c>
      <c r="J11253" s="10">
        <v>9.199999999999999</v>
      </c>
      <c r="K11253" t="b">
        <v>1</v>
      </c>
    </row>
    <row r="11254" spans="1:11">
      <c r="A11254" s="12">
        <v>43047</v>
      </c>
      <c r="B11254">
        <v>2017</v>
      </c>
      <c r="C11254">
        <v>11</v>
      </c>
      <c r="D11254" s="11">
        <v>43040</v>
      </c>
      <c r="E11254" t="s">
        <v>2183</v>
      </c>
      <c r="F11254">
        <v>3</v>
      </c>
      <c r="G11254" t="s">
        <v>65</v>
      </c>
      <c r="H11254" t="s">
        <v>44</v>
      </c>
      <c r="I11254" t="s">
        <v>2192</v>
      </c>
      <c r="J11254" s="10">
        <v>1</v>
      </c>
      <c r="K11254" t="b">
        <v>1</v>
      </c>
    </row>
    <row r="11255" spans="1:11">
      <c r="A11255" s="12">
        <v>43047</v>
      </c>
      <c r="B11255">
        <v>2017</v>
      </c>
      <c r="C11255">
        <v>11</v>
      </c>
      <c r="D11255" s="11">
        <v>43040</v>
      </c>
      <c r="E11255" t="s">
        <v>2183</v>
      </c>
      <c r="F11255">
        <v>3</v>
      </c>
      <c r="G11255" t="s">
        <v>65</v>
      </c>
      <c r="H11255" t="s">
        <v>45</v>
      </c>
      <c r="I11255" t="s">
        <v>2193</v>
      </c>
      <c r="J11255" s="10">
        <v>0</v>
      </c>
      <c r="K11255" t="b">
        <v>1</v>
      </c>
    </row>
    <row r="11256" spans="1:11">
      <c r="A11256" s="12">
        <v>43047</v>
      </c>
      <c r="B11256">
        <v>2017</v>
      </c>
      <c r="C11256">
        <v>11</v>
      </c>
      <c r="D11256" s="11">
        <v>43040</v>
      </c>
      <c r="E11256" t="s">
        <v>2183</v>
      </c>
      <c r="F11256">
        <v>3</v>
      </c>
      <c r="G11256" t="s">
        <v>65</v>
      </c>
      <c r="H11256" t="s">
        <v>46</v>
      </c>
      <c r="I11256" t="s">
        <v>2194</v>
      </c>
      <c r="J11256" s="10">
        <v>5</v>
      </c>
      <c r="K11256" t="b">
        <v>1</v>
      </c>
    </row>
    <row r="11257" spans="1:11">
      <c r="A11257" s="12">
        <v>43047</v>
      </c>
      <c r="B11257">
        <v>2017</v>
      </c>
      <c r="C11257">
        <v>11</v>
      </c>
      <c r="D11257" s="11">
        <v>43040</v>
      </c>
      <c r="E11257" t="s">
        <v>2183</v>
      </c>
      <c r="F11257">
        <v>3</v>
      </c>
      <c r="G11257" t="s">
        <v>65</v>
      </c>
      <c r="H11257" t="s">
        <v>47</v>
      </c>
      <c r="I11257" t="s">
        <v>2195</v>
      </c>
      <c r="J11257" s="10">
        <v>1</v>
      </c>
      <c r="K11257" t="b">
        <v>1</v>
      </c>
    </row>
    <row r="11258" spans="1:11">
      <c r="A11258" s="12">
        <v>43048</v>
      </c>
      <c r="B11258">
        <v>2017</v>
      </c>
      <c r="C11258">
        <v>11</v>
      </c>
      <c r="D11258" s="11">
        <v>43040</v>
      </c>
      <c r="E11258" t="s">
        <v>2183</v>
      </c>
      <c r="F11258">
        <v>4</v>
      </c>
      <c r="G11258" t="s">
        <v>53</v>
      </c>
      <c r="H11258" t="s">
        <v>40</v>
      </c>
      <c r="I11258" t="s">
        <v>2188</v>
      </c>
      <c r="J11258" s="10">
        <v>2.67</v>
      </c>
      <c r="K11258" t="b">
        <v>1</v>
      </c>
    </row>
    <row r="11259" spans="1:11">
      <c r="A11259" s="12">
        <v>43048</v>
      </c>
      <c r="B11259">
        <v>2017</v>
      </c>
      <c r="C11259">
        <v>11</v>
      </c>
      <c r="D11259" s="11">
        <v>43040</v>
      </c>
      <c r="E11259" t="s">
        <v>2183</v>
      </c>
      <c r="F11259">
        <v>4</v>
      </c>
      <c r="G11259" t="s">
        <v>53</v>
      </c>
      <c r="H11259" t="s">
        <v>41</v>
      </c>
      <c r="I11259" t="s">
        <v>2189</v>
      </c>
      <c r="J11259" s="10">
        <v>3.746</v>
      </c>
      <c r="K11259" t="b">
        <v>1</v>
      </c>
    </row>
    <row r="11260" spans="1:11">
      <c r="A11260" s="12">
        <v>43048</v>
      </c>
      <c r="B11260">
        <v>2017</v>
      </c>
      <c r="C11260">
        <v>11</v>
      </c>
      <c r="D11260" s="11">
        <v>43040</v>
      </c>
      <c r="E11260" t="s">
        <v>2183</v>
      </c>
      <c r="F11260">
        <v>4</v>
      </c>
      <c r="G11260" t="s">
        <v>53</v>
      </c>
      <c r="H11260" t="s">
        <v>42</v>
      </c>
      <c r="I11260" t="s">
        <v>2190</v>
      </c>
      <c r="J11260" s="10">
        <v>0</v>
      </c>
      <c r="K11260" t="b">
        <v>1</v>
      </c>
    </row>
    <row r="11261" spans="1:11">
      <c r="A11261" s="12">
        <v>43048</v>
      </c>
      <c r="B11261">
        <v>2017</v>
      </c>
      <c r="C11261">
        <v>11</v>
      </c>
      <c r="D11261" s="11">
        <v>43040</v>
      </c>
      <c r="E11261" t="s">
        <v>2183</v>
      </c>
      <c r="F11261">
        <v>4</v>
      </c>
      <c r="G11261" t="s">
        <v>53</v>
      </c>
      <c r="H11261" t="s">
        <v>43</v>
      </c>
      <c r="I11261" t="s">
        <v>2191</v>
      </c>
      <c r="J11261" s="10">
        <v>28.8</v>
      </c>
      <c r="K11261" t="b">
        <v>1</v>
      </c>
    </row>
    <row r="11262" spans="1:11">
      <c r="A11262" s="12">
        <v>43048</v>
      </c>
      <c r="B11262">
        <v>2017</v>
      </c>
      <c r="C11262">
        <v>11</v>
      </c>
      <c r="D11262" s="11">
        <v>43040</v>
      </c>
      <c r="E11262" t="s">
        <v>2183</v>
      </c>
      <c r="F11262">
        <v>4</v>
      </c>
      <c r="G11262" t="s">
        <v>53</v>
      </c>
      <c r="H11262" t="s">
        <v>44</v>
      </c>
      <c r="I11262" t="s">
        <v>2192</v>
      </c>
      <c r="J11262" s="10">
        <v>2</v>
      </c>
      <c r="K11262" t="b">
        <v>1</v>
      </c>
    </row>
    <row r="11263" spans="1:11">
      <c r="A11263" s="12">
        <v>43048</v>
      </c>
      <c r="B11263">
        <v>2017</v>
      </c>
      <c r="C11263">
        <v>11</v>
      </c>
      <c r="D11263" s="11">
        <v>43040</v>
      </c>
      <c r="E11263" t="s">
        <v>2183</v>
      </c>
      <c r="F11263">
        <v>4</v>
      </c>
      <c r="G11263" t="s">
        <v>53</v>
      </c>
      <c r="H11263" t="s">
        <v>45</v>
      </c>
      <c r="I11263" t="s">
        <v>2193</v>
      </c>
      <c r="J11263" s="10">
        <v>0</v>
      </c>
      <c r="K11263" t="b">
        <v>1</v>
      </c>
    </row>
    <row r="11264" spans="1:11">
      <c r="A11264" s="12">
        <v>43048</v>
      </c>
      <c r="B11264">
        <v>2017</v>
      </c>
      <c r="C11264">
        <v>11</v>
      </c>
      <c r="D11264" s="11">
        <v>43040</v>
      </c>
      <c r="E11264" t="s">
        <v>2183</v>
      </c>
      <c r="F11264">
        <v>4</v>
      </c>
      <c r="G11264" t="s">
        <v>53</v>
      </c>
      <c r="H11264" t="s">
        <v>46</v>
      </c>
      <c r="I11264" t="s">
        <v>2194</v>
      </c>
      <c r="J11264" s="10">
        <v>11</v>
      </c>
      <c r="K11264" t="b">
        <v>1</v>
      </c>
    </row>
    <row r="11265" spans="1:11">
      <c r="A11265" s="12">
        <v>43048</v>
      </c>
      <c r="B11265">
        <v>2017</v>
      </c>
      <c r="C11265">
        <v>11</v>
      </c>
      <c r="D11265" s="11">
        <v>43040</v>
      </c>
      <c r="E11265" t="s">
        <v>2183</v>
      </c>
      <c r="F11265">
        <v>4</v>
      </c>
      <c r="G11265" t="s">
        <v>53</v>
      </c>
      <c r="H11265" t="s">
        <v>47</v>
      </c>
      <c r="I11265" t="s">
        <v>2195</v>
      </c>
      <c r="J11265" s="10">
        <v>1</v>
      </c>
      <c r="K11265" t="b">
        <v>1</v>
      </c>
    </row>
    <row r="11266" spans="1:11">
      <c r="A11266" s="12">
        <v>43049</v>
      </c>
      <c r="B11266">
        <v>2017</v>
      </c>
      <c r="C11266">
        <v>11</v>
      </c>
      <c r="D11266" s="11">
        <v>43040</v>
      </c>
      <c r="E11266" t="s">
        <v>2183</v>
      </c>
      <c r="F11266">
        <v>5</v>
      </c>
      <c r="G11266" t="s">
        <v>55</v>
      </c>
      <c r="H11266" t="s">
        <v>40</v>
      </c>
      <c r="I11266" t="s">
        <v>2188</v>
      </c>
      <c r="J11266" s="10">
        <v>9.34</v>
      </c>
      <c r="K11266" t="b">
        <v>1</v>
      </c>
    </row>
    <row r="11267" spans="1:11">
      <c r="A11267" s="12">
        <v>43049</v>
      </c>
      <c r="B11267">
        <v>2017</v>
      </c>
      <c r="C11267">
        <v>11</v>
      </c>
      <c r="D11267" s="11">
        <v>43040</v>
      </c>
      <c r="E11267" t="s">
        <v>2183</v>
      </c>
      <c r="F11267">
        <v>5</v>
      </c>
      <c r="G11267" t="s">
        <v>55</v>
      </c>
      <c r="H11267" t="s">
        <v>41</v>
      </c>
      <c r="I11267" t="s">
        <v>2189</v>
      </c>
      <c r="J11267" s="10">
        <v>6.66</v>
      </c>
      <c r="K11267" t="b">
        <v>1</v>
      </c>
    </row>
    <row r="11268" spans="1:11">
      <c r="A11268" s="12">
        <v>43049</v>
      </c>
      <c r="B11268">
        <v>2017</v>
      </c>
      <c r="C11268">
        <v>11</v>
      </c>
      <c r="D11268" s="11">
        <v>43040</v>
      </c>
      <c r="E11268" t="s">
        <v>2183</v>
      </c>
      <c r="F11268">
        <v>5</v>
      </c>
      <c r="G11268" t="s">
        <v>55</v>
      </c>
      <c r="H11268" t="s">
        <v>42</v>
      </c>
      <c r="I11268" t="s">
        <v>2190</v>
      </c>
      <c r="J11268" s="10">
        <v>6.2</v>
      </c>
      <c r="K11268" t="b">
        <v>1</v>
      </c>
    </row>
    <row r="11269" spans="1:11">
      <c r="A11269" s="12">
        <v>43049</v>
      </c>
      <c r="B11269">
        <v>2017</v>
      </c>
      <c r="C11269">
        <v>11</v>
      </c>
      <c r="D11269" s="11">
        <v>43040</v>
      </c>
      <c r="E11269" t="s">
        <v>2183</v>
      </c>
      <c r="F11269">
        <v>5</v>
      </c>
      <c r="G11269" t="s">
        <v>55</v>
      </c>
      <c r="H11269" t="s">
        <v>43</v>
      </c>
      <c r="I11269" t="s">
        <v>2191</v>
      </c>
      <c r="J11269" s="10">
        <v>34</v>
      </c>
      <c r="K11269" t="b">
        <v>1</v>
      </c>
    </row>
    <row r="11270" spans="1:11">
      <c r="A11270" s="12">
        <v>43049</v>
      </c>
      <c r="B11270">
        <v>2017</v>
      </c>
      <c r="C11270">
        <v>11</v>
      </c>
      <c r="D11270" s="11">
        <v>43040</v>
      </c>
      <c r="E11270" t="s">
        <v>2183</v>
      </c>
      <c r="F11270">
        <v>5</v>
      </c>
      <c r="G11270" t="s">
        <v>55</v>
      </c>
      <c r="H11270" t="s">
        <v>44</v>
      </c>
      <c r="I11270" t="s">
        <v>2192</v>
      </c>
      <c r="J11270" s="10">
        <v>9</v>
      </c>
      <c r="K11270" t="b">
        <v>1</v>
      </c>
    </row>
    <row r="11271" spans="1:11">
      <c r="A11271" s="12">
        <v>43049</v>
      </c>
      <c r="B11271">
        <v>2017</v>
      </c>
      <c r="C11271">
        <v>11</v>
      </c>
      <c r="D11271" s="11">
        <v>43040</v>
      </c>
      <c r="E11271" t="s">
        <v>2183</v>
      </c>
      <c r="F11271">
        <v>5</v>
      </c>
      <c r="G11271" t="s">
        <v>55</v>
      </c>
      <c r="H11271" t="s">
        <v>45</v>
      </c>
      <c r="I11271" t="s">
        <v>2193</v>
      </c>
      <c r="J11271" s="10">
        <v>0</v>
      </c>
      <c r="K11271" t="b">
        <v>1</v>
      </c>
    </row>
    <row r="11272" spans="1:11">
      <c r="A11272" s="12">
        <v>43049</v>
      </c>
      <c r="B11272">
        <v>2017</v>
      </c>
      <c r="C11272">
        <v>11</v>
      </c>
      <c r="D11272" s="11">
        <v>43040</v>
      </c>
      <c r="E11272" t="s">
        <v>2183</v>
      </c>
      <c r="F11272">
        <v>5</v>
      </c>
      <c r="G11272" t="s">
        <v>55</v>
      </c>
      <c r="H11272" t="s">
        <v>46</v>
      </c>
      <c r="I11272" t="s">
        <v>2194</v>
      </c>
      <c r="J11272" s="10">
        <v>22</v>
      </c>
      <c r="K11272" t="b">
        <v>1</v>
      </c>
    </row>
    <row r="11273" spans="1:11">
      <c r="A11273" s="12">
        <v>43049</v>
      </c>
      <c r="B11273">
        <v>2017</v>
      </c>
      <c r="C11273">
        <v>11</v>
      </c>
      <c r="D11273" s="11">
        <v>43040</v>
      </c>
      <c r="E11273" t="s">
        <v>2183</v>
      </c>
      <c r="F11273">
        <v>5</v>
      </c>
      <c r="G11273" t="s">
        <v>55</v>
      </c>
      <c r="H11273" t="s">
        <v>47</v>
      </c>
      <c r="I11273" t="s">
        <v>2195</v>
      </c>
      <c r="J11273" s="10">
        <v>2</v>
      </c>
      <c r="K11273" t="b">
        <v>1</v>
      </c>
    </row>
    <row r="11274" spans="1:11">
      <c r="A11274" s="12">
        <v>43050</v>
      </c>
      <c r="B11274">
        <v>2017</v>
      </c>
      <c r="C11274">
        <v>11</v>
      </c>
      <c r="D11274" s="11">
        <v>43040</v>
      </c>
      <c r="E11274" t="s">
        <v>2183</v>
      </c>
      <c r="F11274">
        <v>6</v>
      </c>
      <c r="G11274" t="s">
        <v>57</v>
      </c>
      <c r="H11274" t="s">
        <v>40</v>
      </c>
      <c r="I11274" t="s">
        <v>2188</v>
      </c>
      <c r="J11274" s="10">
        <v>8.5</v>
      </c>
      <c r="K11274" t="b">
        <v>1</v>
      </c>
    </row>
    <row r="11275" spans="1:11">
      <c r="A11275" s="12">
        <v>43050</v>
      </c>
      <c r="B11275">
        <v>2017</v>
      </c>
      <c r="C11275">
        <v>11</v>
      </c>
      <c r="D11275" s="11">
        <v>43040</v>
      </c>
      <c r="E11275" t="s">
        <v>2183</v>
      </c>
      <c r="F11275">
        <v>6</v>
      </c>
      <c r="G11275" t="s">
        <v>57</v>
      </c>
      <c r="H11275" t="s">
        <v>41</v>
      </c>
      <c r="I11275" t="s">
        <v>2189</v>
      </c>
      <c r="J11275" s="10">
        <v>3</v>
      </c>
      <c r="K11275" t="b">
        <v>1</v>
      </c>
    </row>
    <row r="11276" spans="1:11">
      <c r="A11276" s="12">
        <v>43050</v>
      </c>
      <c r="B11276">
        <v>2017</v>
      </c>
      <c r="C11276">
        <v>11</v>
      </c>
      <c r="D11276" s="11">
        <v>43040</v>
      </c>
      <c r="E11276" t="s">
        <v>2183</v>
      </c>
      <c r="F11276">
        <v>6</v>
      </c>
      <c r="G11276" t="s">
        <v>57</v>
      </c>
      <c r="H11276" t="s">
        <v>42</v>
      </c>
      <c r="I11276" t="s">
        <v>2190</v>
      </c>
      <c r="J11276" s="10">
        <v>4.1</v>
      </c>
      <c r="K11276" t="b">
        <v>1</v>
      </c>
    </row>
    <row r="11277" spans="1:11">
      <c r="A11277" s="12">
        <v>43050</v>
      </c>
      <c r="B11277">
        <v>2017</v>
      </c>
      <c r="C11277">
        <v>11</v>
      </c>
      <c r="D11277" s="11">
        <v>43040</v>
      </c>
      <c r="E11277" t="s">
        <v>2183</v>
      </c>
      <c r="F11277">
        <v>6</v>
      </c>
      <c r="G11277" t="s">
        <v>57</v>
      </c>
      <c r="H11277" t="s">
        <v>43</v>
      </c>
      <c r="I11277" t="s">
        <v>2191</v>
      </c>
      <c r="J11277" s="10">
        <v>32</v>
      </c>
      <c r="K11277" t="b">
        <v>1</v>
      </c>
    </row>
    <row r="11278" spans="1:11">
      <c r="A11278" s="12">
        <v>43050</v>
      </c>
      <c r="B11278">
        <v>2017</v>
      </c>
      <c r="C11278">
        <v>11</v>
      </c>
      <c r="D11278" s="11">
        <v>43040</v>
      </c>
      <c r="E11278" t="s">
        <v>2183</v>
      </c>
      <c r="F11278">
        <v>6</v>
      </c>
      <c r="G11278" t="s">
        <v>57</v>
      </c>
      <c r="H11278" t="s">
        <v>44</v>
      </c>
      <c r="I11278" t="s">
        <v>2192</v>
      </c>
      <c r="J11278" s="10">
        <v>8</v>
      </c>
      <c r="K11278" t="b">
        <v>1</v>
      </c>
    </row>
    <row r="11279" spans="1:11">
      <c r="A11279" s="12">
        <v>43050</v>
      </c>
      <c r="B11279">
        <v>2017</v>
      </c>
      <c r="C11279">
        <v>11</v>
      </c>
      <c r="D11279" s="11">
        <v>43040</v>
      </c>
      <c r="E11279" t="s">
        <v>2183</v>
      </c>
      <c r="F11279">
        <v>6</v>
      </c>
      <c r="G11279" t="s">
        <v>57</v>
      </c>
      <c r="H11279" t="s">
        <v>45</v>
      </c>
      <c r="I11279" t="s">
        <v>2193</v>
      </c>
      <c r="J11279" s="10">
        <v>0</v>
      </c>
      <c r="K11279" t="b">
        <v>1</v>
      </c>
    </row>
    <row r="11280" spans="1:11">
      <c r="A11280" s="12">
        <v>43050</v>
      </c>
      <c r="B11280">
        <v>2017</v>
      </c>
      <c r="C11280">
        <v>11</v>
      </c>
      <c r="D11280" s="11">
        <v>43040</v>
      </c>
      <c r="E11280" t="s">
        <v>2183</v>
      </c>
      <c r="F11280">
        <v>6</v>
      </c>
      <c r="G11280" t="s">
        <v>57</v>
      </c>
      <c r="H11280" t="s">
        <v>46</v>
      </c>
      <c r="I11280" t="s">
        <v>2194</v>
      </c>
      <c r="J11280" s="10">
        <v>2</v>
      </c>
      <c r="K11280" t="b">
        <v>1</v>
      </c>
    </row>
    <row r="11281" spans="1:11">
      <c r="A11281" s="12">
        <v>43050</v>
      </c>
      <c r="B11281">
        <v>2017</v>
      </c>
      <c r="C11281">
        <v>11</v>
      </c>
      <c r="D11281" s="11">
        <v>43040</v>
      </c>
      <c r="E11281" t="s">
        <v>2183</v>
      </c>
      <c r="F11281">
        <v>6</v>
      </c>
      <c r="G11281" t="s">
        <v>57</v>
      </c>
      <c r="H11281" t="s">
        <v>47</v>
      </c>
      <c r="I11281" t="s">
        <v>2195</v>
      </c>
      <c r="J11281" s="10">
        <v>0</v>
      </c>
      <c r="K11281" t="b">
        <v>1</v>
      </c>
    </row>
    <row r="11282" spans="1:11">
      <c r="A11282" s="12">
        <v>43051</v>
      </c>
      <c r="B11282">
        <v>2017</v>
      </c>
      <c r="C11282">
        <v>11</v>
      </c>
      <c r="D11282" s="11">
        <v>43040</v>
      </c>
      <c r="E11282" t="s">
        <v>2183</v>
      </c>
      <c r="F11282">
        <v>7</v>
      </c>
      <c r="G11282" t="s">
        <v>59</v>
      </c>
      <c r="H11282" t="s">
        <v>40</v>
      </c>
      <c r="I11282" t="s">
        <v>2188</v>
      </c>
      <c r="J11282" s="10">
        <v>5</v>
      </c>
      <c r="K11282" t="b">
        <v>1</v>
      </c>
    </row>
    <row r="11283" spans="1:11">
      <c r="A11283" s="12">
        <v>43051</v>
      </c>
      <c r="B11283">
        <v>2017</v>
      </c>
      <c r="C11283">
        <v>11</v>
      </c>
      <c r="D11283" s="11">
        <v>43040</v>
      </c>
      <c r="E11283" t="s">
        <v>2183</v>
      </c>
      <c r="F11283">
        <v>7</v>
      </c>
      <c r="G11283" t="s">
        <v>59</v>
      </c>
      <c r="H11283" t="s">
        <v>41</v>
      </c>
      <c r="I11283" t="s">
        <v>2189</v>
      </c>
      <c r="J11283" s="10">
        <v>3.65</v>
      </c>
      <c r="K11283" t="b">
        <v>1</v>
      </c>
    </row>
    <row r="11284" spans="1:11">
      <c r="A11284" s="12">
        <v>43051</v>
      </c>
      <c r="B11284">
        <v>2017</v>
      </c>
      <c r="C11284">
        <v>11</v>
      </c>
      <c r="D11284" s="11">
        <v>43040</v>
      </c>
      <c r="E11284" t="s">
        <v>2183</v>
      </c>
      <c r="F11284">
        <v>7</v>
      </c>
      <c r="G11284" t="s">
        <v>59</v>
      </c>
      <c r="H11284" t="s">
        <v>42</v>
      </c>
      <c r="I11284" t="s">
        <v>2190</v>
      </c>
      <c r="J11284" s="10">
        <v>6.15</v>
      </c>
      <c r="K11284" t="b">
        <v>1</v>
      </c>
    </row>
    <row r="11285" spans="1:11">
      <c r="A11285" s="12">
        <v>43051</v>
      </c>
      <c r="B11285">
        <v>2017</v>
      </c>
      <c r="C11285">
        <v>11</v>
      </c>
      <c r="D11285" s="11">
        <v>43040</v>
      </c>
      <c r="E11285" t="s">
        <v>2183</v>
      </c>
      <c r="F11285">
        <v>7</v>
      </c>
      <c r="G11285" t="s">
        <v>59</v>
      </c>
      <c r="H11285" t="s">
        <v>43</v>
      </c>
      <c r="I11285" t="s">
        <v>2191</v>
      </c>
      <c r="J11285" s="10">
        <v>40</v>
      </c>
      <c r="K11285" t="b">
        <v>1</v>
      </c>
    </row>
    <row r="11286" spans="1:11">
      <c r="A11286" s="12">
        <v>43051</v>
      </c>
      <c r="B11286">
        <v>2017</v>
      </c>
      <c r="C11286">
        <v>11</v>
      </c>
      <c r="D11286" s="11">
        <v>43040</v>
      </c>
      <c r="E11286" t="s">
        <v>2183</v>
      </c>
      <c r="F11286">
        <v>7</v>
      </c>
      <c r="G11286" t="s">
        <v>59</v>
      </c>
      <c r="H11286" t="s">
        <v>44</v>
      </c>
      <c r="I11286" t="s">
        <v>2192</v>
      </c>
      <c r="J11286" s="10">
        <v>9</v>
      </c>
      <c r="K11286" t="b">
        <v>1</v>
      </c>
    </row>
    <row r="11287" spans="1:11">
      <c r="A11287" s="12">
        <v>43051</v>
      </c>
      <c r="B11287">
        <v>2017</v>
      </c>
      <c r="C11287">
        <v>11</v>
      </c>
      <c r="D11287" s="11">
        <v>43040</v>
      </c>
      <c r="E11287" t="s">
        <v>2183</v>
      </c>
      <c r="F11287">
        <v>7</v>
      </c>
      <c r="G11287" t="s">
        <v>59</v>
      </c>
      <c r="H11287" t="s">
        <v>45</v>
      </c>
      <c r="I11287" t="s">
        <v>2193</v>
      </c>
      <c r="J11287" s="10">
        <v>0</v>
      </c>
      <c r="K11287" t="b">
        <v>1</v>
      </c>
    </row>
    <row r="11288" spans="1:11">
      <c r="A11288" s="12">
        <v>43051</v>
      </c>
      <c r="B11288">
        <v>2017</v>
      </c>
      <c r="C11288">
        <v>11</v>
      </c>
      <c r="D11288" s="11">
        <v>43040</v>
      </c>
      <c r="E11288" t="s">
        <v>2183</v>
      </c>
      <c r="F11288">
        <v>7</v>
      </c>
      <c r="G11288" t="s">
        <v>59</v>
      </c>
      <c r="H11288" t="s">
        <v>46</v>
      </c>
      <c r="I11288" t="s">
        <v>2194</v>
      </c>
      <c r="J11288" s="10">
        <v>3</v>
      </c>
      <c r="K11288" t="b">
        <v>1</v>
      </c>
    </row>
    <row r="11289" spans="1:11">
      <c r="A11289" s="12">
        <v>43051</v>
      </c>
      <c r="B11289">
        <v>2017</v>
      </c>
      <c r="C11289">
        <v>11</v>
      </c>
      <c r="D11289" s="11">
        <v>43040</v>
      </c>
      <c r="E11289" t="s">
        <v>2183</v>
      </c>
      <c r="F11289">
        <v>7</v>
      </c>
      <c r="G11289" t="s">
        <v>59</v>
      </c>
      <c r="H11289" t="s">
        <v>47</v>
      </c>
      <c r="I11289" t="s">
        <v>2195</v>
      </c>
      <c r="J11289" s="10">
        <v>2</v>
      </c>
      <c r="K11289" t="b">
        <v>1</v>
      </c>
    </row>
    <row r="11290" spans="1:11">
      <c r="A11290" s="12">
        <v>43052</v>
      </c>
      <c r="B11290">
        <v>2017</v>
      </c>
      <c r="C11290">
        <v>11</v>
      </c>
      <c r="D11290" s="11">
        <v>43040</v>
      </c>
      <c r="E11290" t="s">
        <v>2183</v>
      </c>
      <c r="F11290">
        <v>1</v>
      </c>
      <c r="G11290" t="s">
        <v>61</v>
      </c>
      <c r="H11290" t="s">
        <v>40</v>
      </c>
      <c r="I11290" t="s">
        <v>2188</v>
      </c>
      <c r="J11290" s="10">
        <v>9.33</v>
      </c>
      <c r="K11290" t="b">
        <v>1</v>
      </c>
    </row>
    <row r="11291" spans="1:11">
      <c r="A11291" s="12">
        <v>43052</v>
      </c>
      <c r="B11291">
        <v>2017</v>
      </c>
      <c r="C11291">
        <v>11</v>
      </c>
      <c r="D11291" s="11">
        <v>43040</v>
      </c>
      <c r="E11291" t="s">
        <v>2183</v>
      </c>
      <c r="F11291">
        <v>1</v>
      </c>
      <c r="G11291" t="s">
        <v>61</v>
      </c>
      <c r="H11291" t="s">
        <v>41</v>
      </c>
      <c r="I11291" t="s">
        <v>2189</v>
      </c>
      <c r="J11291" s="10">
        <v>2.429</v>
      </c>
      <c r="K11291" t="b">
        <v>1</v>
      </c>
    </row>
    <row r="11292" spans="1:11">
      <c r="A11292" s="12">
        <v>43052</v>
      </c>
      <c r="B11292">
        <v>2017</v>
      </c>
      <c r="C11292">
        <v>11</v>
      </c>
      <c r="D11292" s="11">
        <v>43040</v>
      </c>
      <c r="E11292" t="s">
        <v>2183</v>
      </c>
      <c r="F11292">
        <v>1</v>
      </c>
      <c r="G11292" t="s">
        <v>61</v>
      </c>
      <c r="H11292" t="s">
        <v>42</v>
      </c>
      <c r="I11292" t="s">
        <v>2190</v>
      </c>
      <c r="J11292" s="10">
        <v>4.2</v>
      </c>
      <c r="K11292" t="b">
        <v>1</v>
      </c>
    </row>
    <row r="11293" spans="1:11">
      <c r="A11293" s="12">
        <v>43052</v>
      </c>
      <c r="B11293">
        <v>2017</v>
      </c>
      <c r="C11293">
        <v>11</v>
      </c>
      <c r="D11293" s="11">
        <v>43040</v>
      </c>
      <c r="E11293" t="s">
        <v>2183</v>
      </c>
      <c r="F11293">
        <v>1</v>
      </c>
      <c r="G11293" t="s">
        <v>61</v>
      </c>
      <c r="H11293" t="s">
        <v>43</v>
      </c>
      <c r="I11293" t="s">
        <v>2191</v>
      </c>
      <c r="J11293" s="10">
        <v>44.2</v>
      </c>
      <c r="K11293" t="b">
        <v>1</v>
      </c>
    </row>
    <row r="11294" spans="1:11">
      <c r="A11294" s="12">
        <v>43052</v>
      </c>
      <c r="B11294">
        <v>2017</v>
      </c>
      <c r="C11294">
        <v>11</v>
      </c>
      <c r="D11294" s="11">
        <v>43040</v>
      </c>
      <c r="E11294" t="s">
        <v>2183</v>
      </c>
      <c r="F11294">
        <v>1</v>
      </c>
      <c r="G11294" t="s">
        <v>61</v>
      </c>
      <c r="H11294" t="s">
        <v>44</v>
      </c>
      <c r="I11294" t="s">
        <v>2192</v>
      </c>
      <c r="J11294" s="10">
        <v>5</v>
      </c>
      <c r="K11294" t="b">
        <v>1</v>
      </c>
    </row>
    <row r="11295" spans="1:11">
      <c r="A11295" s="12">
        <v>43052</v>
      </c>
      <c r="B11295">
        <v>2017</v>
      </c>
      <c r="C11295">
        <v>11</v>
      </c>
      <c r="D11295" s="11">
        <v>43040</v>
      </c>
      <c r="E11295" t="s">
        <v>2183</v>
      </c>
      <c r="F11295">
        <v>1</v>
      </c>
      <c r="G11295" t="s">
        <v>61</v>
      </c>
      <c r="H11295" t="s">
        <v>45</v>
      </c>
      <c r="I11295" t="s">
        <v>2193</v>
      </c>
      <c r="J11295" s="10">
        <v>0</v>
      </c>
      <c r="K11295" t="b">
        <v>1</v>
      </c>
    </row>
    <row r="11296" spans="1:11">
      <c r="A11296" s="12">
        <v>43052</v>
      </c>
      <c r="B11296">
        <v>2017</v>
      </c>
      <c r="C11296">
        <v>11</v>
      </c>
      <c r="D11296" s="11">
        <v>43040</v>
      </c>
      <c r="E11296" t="s">
        <v>2183</v>
      </c>
      <c r="F11296">
        <v>1</v>
      </c>
      <c r="G11296" t="s">
        <v>61</v>
      </c>
      <c r="H11296" t="s">
        <v>46</v>
      </c>
      <c r="I11296" t="s">
        <v>2194</v>
      </c>
      <c r="J11296" s="10">
        <v>5</v>
      </c>
      <c r="K11296" t="b">
        <v>1</v>
      </c>
    </row>
    <row r="11297" spans="1:11">
      <c r="A11297" s="12">
        <v>43052</v>
      </c>
      <c r="B11297">
        <v>2017</v>
      </c>
      <c r="C11297">
        <v>11</v>
      </c>
      <c r="D11297" s="11">
        <v>43040</v>
      </c>
      <c r="E11297" t="s">
        <v>2183</v>
      </c>
      <c r="F11297">
        <v>1</v>
      </c>
      <c r="G11297" t="s">
        <v>61</v>
      </c>
      <c r="H11297" t="s">
        <v>47</v>
      </c>
      <c r="I11297" t="s">
        <v>2195</v>
      </c>
      <c r="J11297" s="10">
        <v>0.2</v>
      </c>
      <c r="K11297" t="b">
        <v>1</v>
      </c>
    </row>
    <row r="11298" spans="1:11">
      <c r="A11298" s="12">
        <v>43053</v>
      </c>
      <c r="B11298">
        <v>2017</v>
      </c>
      <c r="C11298">
        <v>11</v>
      </c>
      <c r="D11298" s="11">
        <v>43040</v>
      </c>
      <c r="E11298" t="s">
        <v>2183</v>
      </c>
      <c r="F11298">
        <v>2</v>
      </c>
      <c r="G11298" t="s">
        <v>63</v>
      </c>
      <c r="H11298" t="s">
        <v>40</v>
      </c>
      <c r="I11298" t="s">
        <v>2188</v>
      </c>
      <c r="J11298" s="10">
        <v>3</v>
      </c>
      <c r="K11298" t="b">
        <v>1</v>
      </c>
    </row>
    <row r="11299" spans="1:11">
      <c r="A11299" s="12">
        <v>43053</v>
      </c>
      <c r="B11299">
        <v>2017</v>
      </c>
      <c r="C11299">
        <v>11</v>
      </c>
      <c r="D11299" s="11">
        <v>43040</v>
      </c>
      <c r="E11299" t="s">
        <v>2183</v>
      </c>
      <c r="F11299">
        <v>2</v>
      </c>
      <c r="G11299" t="s">
        <v>63</v>
      </c>
      <c r="H11299" t="s">
        <v>41</v>
      </c>
      <c r="I11299" t="s">
        <v>2189</v>
      </c>
      <c r="J11299" s="10">
        <v>0.859</v>
      </c>
      <c r="K11299" t="b">
        <v>1</v>
      </c>
    </row>
    <row r="11300" spans="1:11">
      <c r="A11300" s="12">
        <v>43053</v>
      </c>
      <c r="B11300">
        <v>2017</v>
      </c>
      <c r="C11300">
        <v>11</v>
      </c>
      <c r="D11300" s="11">
        <v>43040</v>
      </c>
      <c r="E11300" t="s">
        <v>2183</v>
      </c>
      <c r="F11300">
        <v>2</v>
      </c>
      <c r="G11300" t="s">
        <v>63</v>
      </c>
      <c r="H11300" t="s">
        <v>42</v>
      </c>
      <c r="I11300" t="s">
        <v>2190</v>
      </c>
      <c r="J11300" s="10">
        <v>2</v>
      </c>
      <c r="K11300" t="b">
        <v>1</v>
      </c>
    </row>
    <row r="11301" spans="1:11">
      <c r="A11301" s="12">
        <v>43053</v>
      </c>
      <c r="B11301">
        <v>2017</v>
      </c>
      <c r="C11301">
        <v>11</v>
      </c>
      <c r="D11301" s="11">
        <v>43040</v>
      </c>
      <c r="E11301" t="s">
        <v>2183</v>
      </c>
      <c r="F11301">
        <v>2</v>
      </c>
      <c r="G11301" t="s">
        <v>63</v>
      </c>
      <c r="H11301" t="s">
        <v>43</v>
      </c>
      <c r="I11301" t="s">
        <v>2191</v>
      </c>
      <c r="J11301" s="10">
        <v>6.8</v>
      </c>
      <c r="K11301" t="b">
        <v>1</v>
      </c>
    </row>
    <row r="11302" spans="1:11">
      <c r="A11302" s="12">
        <v>43053</v>
      </c>
      <c r="B11302">
        <v>2017</v>
      </c>
      <c r="C11302">
        <v>11</v>
      </c>
      <c r="D11302" s="11">
        <v>43040</v>
      </c>
      <c r="E11302" t="s">
        <v>2183</v>
      </c>
      <c r="F11302">
        <v>2</v>
      </c>
      <c r="G11302" t="s">
        <v>63</v>
      </c>
      <c r="H11302" t="s">
        <v>44</v>
      </c>
      <c r="I11302" t="s">
        <v>2192</v>
      </c>
      <c r="J11302" s="10">
        <v>14</v>
      </c>
      <c r="K11302" t="b">
        <v>1</v>
      </c>
    </row>
    <row r="11303" spans="1:11">
      <c r="A11303" s="12">
        <v>43053</v>
      </c>
      <c r="B11303">
        <v>2017</v>
      </c>
      <c r="C11303">
        <v>11</v>
      </c>
      <c r="D11303" s="11">
        <v>43040</v>
      </c>
      <c r="E11303" t="s">
        <v>2183</v>
      </c>
      <c r="F11303">
        <v>2</v>
      </c>
      <c r="G11303" t="s">
        <v>63</v>
      </c>
      <c r="H11303" t="s">
        <v>45</v>
      </c>
      <c r="I11303" t="s">
        <v>2193</v>
      </c>
      <c r="J11303" s="10">
        <v>0</v>
      </c>
      <c r="K11303" t="b">
        <v>1</v>
      </c>
    </row>
    <row r="11304" spans="1:11">
      <c r="A11304" s="12">
        <v>43053</v>
      </c>
      <c r="B11304">
        <v>2017</v>
      </c>
      <c r="C11304">
        <v>11</v>
      </c>
      <c r="D11304" s="11">
        <v>43040</v>
      </c>
      <c r="E11304" t="s">
        <v>2183</v>
      </c>
      <c r="F11304">
        <v>2</v>
      </c>
      <c r="G11304" t="s">
        <v>63</v>
      </c>
      <c r="H11304" t="s">
        <v>46</v>
      </c>
      <c r="I11304" t="s">
        <v>2194</v>
      </c>
      <c r="J11304" s="10">
        <v>19</v>
      </c>
      <c r="K11304" t="b">
        <v>1</v>
      </c>
    </row>
    <row r="11305" spans="1:11">
      <c r="A11305" s="12">
        <v>43053</v>
      </c>
      <c r="B11305">
        <v>2017</v>
      </c>
      <c r="C11305">
        <v>11</v>
      </c>
      <c r="D11305" s="11">
        <v>43040</v>
      </c>
      <c r="E11305" t="s">
        <v>2183</v>
      </c>
      <c r="F11305">
        <v>2</v>
      </c>
      <c r="G11305" t="s">
        <v>63</v>
      </c>
      <c r="H11305" t="s">
        <v>47</v>
      </c>
      <c r="I11305" t="s">
        <v>2195</v>
      </c>
      <c r="J11305" s="10">
        <v>1</v>
      </c>
      <c r="K11305" t="b">
        <v>1</v>
      </c>
    </row>
    <row r="11306" spans="1:11">
      <c r="A11306" s="12">
        <v>43054</v>
      </c>
      <c r="B11306">
        <v>2017</v>
      </c>
      <c r="C11306">
        <v>11</v>
      </c>
      <c r="D11306" s="11">
        <v>43040</v>
      </c>
      <c r="E11306" t="s">
        <v>2183</v>
      </c>
      <c r="F11306">
        <v>3</v>
      </c>
      <c r="G11306" t="s">
        <v>65</v>
      </c>
      <c r="H11306" t="s">
        <v>40</v>
      </c>
      <c r="I11306" t="s">
        <v>2188</v>
      </c>
      <c r="J11306" s="10">
        <v>5.33</v>
      </c>
      <c r="K11306" t="b">
        <v>1</v>
      </c>
    </row>
    <row r="11307" spans="1:11">
      <c r="A11307" s="12">
        <v>43054</v>
      </c>
      <c r="B11307">
        <v>2017</v>
      </c>
      <c r="C11307">
        <v>11</v>
      </c>
      <c r="D11307" s="11">
        <v>43040</v>
      </c>
      <c r="E11307" t="s">
        <v>2183</v>
      </c>
      <c r="F11307">
        <v>3</v>
      </c>
      <c r="G11307" t="s">
        <v>65</v>
      </c>
      <c r="H11307" t="s">
        <v>41</v>
      </c>
      <c r="I11307" t="s">
        <v>2189</v>
      </c>
      <c r="J11307" s="10">
        <v>2.726</v>
      </c>
      <c r="K11307" t="b">
        <v>1</v>
      </c>
    </row>
    <row r="11308" spans="1:11">
      <c r="A11308" s="12">
        <v>43054</v>
      </c>
      <c r="B11308">
        <v>2017</v>
      </c>
      <c r="C11308">
        <v>11</v>
      </c>
      <c r="D11308" s="11">
        <v>43040</v>
      </c>
      <c r="E11308" t="s">
        <v>2183</v>
      </c>
      <c r="F11308">
        <v>3</v>
      </c>
      <c r="G11308" t="s">
        <v>65</v>
      </c>
      <c r="H11308" t="s">
        <v>42</v>
      </c>
      <c r="I11308" t="s">
        <v>2190</v>
      </c>
      <c r="J11308" s="10">
        <v>7.7</v>
      </c>
      <c r="K11308" t="b">
        <v>1</v>
      </c>
    </row>
    <row r="11309" spans="1:11">
      <c r="A11309" s="12">
        <v>43054</v>
      </c>
      <c r="B11309">
        <v>2017</v>
      </c>
      <c r="C11309">
        <v>11</v>
      </c>
      <c r="D11309" s="11">
        <v>43040</v>
      </c>
      <c r="E11309" t="s">
        <v>2183</v>
      </c>
      <c r="F11309">
        <v>3</v>
      </c>
      <c r="G11309" t="s">
        <v>65</v>
      </c>
      <c r="H11309" t="s">
        <v>43</v>
      </c>
      <c r="I11309" t="s">
        <v>2191</v>
      </c>
      <c r="J11309" s="10">
        <v>17</v>
      </c>
      <c r="K11309" t="b">
        <v>1</v>
      </c>
    </row>
    <row r="11310" spans="1:11">
      <c r="A11310" s="12">
        <v>43054</v>
      </c>
      <c r="B11310">
        <v>2017</v>
      </c>
      <c r="C11310">
        <v>11</v>
      </c>
      <c r="D11310" s="11">
        <v>43040</v>
      </c>
      <c r="E11310" t="s">
        <v>2183</v>
      </c>
      <c r="F11310">
        <v>3</v>
      </c>
      <c r="G11310" t="s">
        <v>65</v>
      </c>
      <c r="H11310" t="s">
        <v>44</v>
      </c>
      <c r="I11310" t="s">
        <v>2192</v>
      </c>
      <c r="J11310" s="10">
        <v>8</v>
      </c>
      <c r="K11310" t="b">
        <v>1</v>
      </c>
    </row>
    <row r="11311" spans="1:11">
      <c r="A11311" s="12">
        <v>43054</v>
      </c>
      <c r="B11311">
        <v>2017</v>
      </c>
      <c r="C11311">
        <v>11</v>
      </c>
      <c r="D11311" s="11">
        <v>43040</v>
      </c>
      <c r="E11311" t="s">
        <v>2183</v>
      </c>
      <c r="F11311">
        <v>3</v>
      </c>
      <c r="G11311" t="s">
        <v>65</v>
      </c>
      <c r="H11311" t="s">
        <v>45</v>
      </c>
      <c r="I11311" t="s">
        <v>2193</v>
      </c>
      <c r="J11311" s="10">
        <v>3</v>
      </c>
      <c r="K11311" t="b">
        <v>1</v>
      </c>
    </row>
    <row r="11312" spans="1:11">
      <c r="A11312" s="12">
        <v>43054</v>
      </c>
      <c r="B11312">
        <v>2017</v>
      </c>
      <c r="C11312">
        <v>11</v>
      </c>
      <c r="D11312" s="11">
        <v>43040</v>
      </c>
      <c r="E11312" t="s">
        <v>2183</v>
      </c>
      <c r="F11312">
        <v>3</v>
      </c>
      <c r="G11312" t="s">
        <v>65</v>
      </c>
      <c r="H11312" t="s">
        <v>46</v>
      </c>
      <c r="I11312" t="s">
        <v>2194</v>
      </c>
      <c r="J11312" s="10">
        <v>0</v>
      </c>
      <c r="K11312" t="b">
        <v>1</v>
      </c>
    </row>
    <row r="11313" spans="1:11">
      <c r="A11313" s="12">
        <v>43054</v>
      </c>
      <c r="B11313">
        <v>2017</v>
      </c>
      <c r="C11313">
        <v>11</v>
      </c>
      <c r="D11313" s="11">
        <v>43040</v>
      </c>
      <c r="E11313" t="s">
        <v>2183</v>
      </c>
      <c r="F11313">
        <v>3</v>
      </c>
      <c r="G11313" t="s">
        <v>65</v>
      </c>
      <c r="H11313" t="s">
        <v>47</v>
      </c>
      <c r="I11313" t="s">
        <v>2195</v>
      </c>
      <c r="J11313" s="10">
        <v>1</v>
      </c>
      <c r="K11313" t="b">
        <v>1</v>
      </c>
    </row>
    <row r="11314" spans="1:11">
      <c r="A11314" s="12">
        <v>43055</v>
      </c>
      <c r="B11314">
        <v>2017</v>
      </c>
      <c r="C11314">
        <v>11</v>
      </c>
      <c r="D11314" s="11">
        <v>43040</v>
      </c>
      <c r="E11314" t="s">
        <v>2183</v>
      </c>
      <c r="F11314">
        <v>4</v>
      </c>
      <c r="G11314" t="s">
        <v>53</v>
      </c>
      <c r="H11314" t="s">
        <v>40</v>
      </c>
      <c r="I11314" t="s">
        <v>2188</v>
      </c>
      <c r="J11314" s="10">
        <v>5.33</v>
      </c>
      <c r="K11314" t="b">
        <v>1</v>
      </c>
    </row>
    <row r="11315" spans="1:11">
      <c r="A11315" s="12">
        <v>43055</v>
      </c>
      <c r="B11315">
        <v>2017</v>
      </c>
      <c r="C11315">
        <v>11</v>
      </c>
      <c r="D11315" s="11">
        <v>43040</v>
      </c>
      <c r="E11315" t="s">
        <v>2183</v>
      </c>
      <c r="F11315">
        <v>4</v>
      </c>
      <c r="G11315" t="s">
        <v>53</v>
      </c>
      <c r="H11315" t="s">
        <v>41</v>
      </c>
      <c r="I11315" t="s">
        <v>2189</v>
      </c>
      <c r="J11315" s="10">
        <v>2</v>
      </c>
      <c r="K11315" t="b">
        <v>1</v>
      </c>
    </row>
    <row r="11316" spans="1:11">
      <c r="A11316" s="12">
        <v>43055</v>
      </c>
      <c r="B11316">
        <v>2017</v>
      </c>
      <c r="C11316">
        <v>11</v>
      </c>
      <c r="D11316" s="11">
        <v>43040</v>
      </c>
      <c r="E11316" t="s">
        <v>2183</v>
      </c>
      <c r="F11316">
        <v>4</v>
      </c>
      <c r="G11316" t="s">
        <v>53</v>
      </c>
      <c r="H11316" t="s">
        <v>42</v>
      </c>
      <c r="I11316" t="s">
        <v>2190</v>
      </c>
      <c r="J11316" s="10">
        <v>3</v>
      </c>
      <c r="K11316" t="b">
        <v>1</v>
      </c>
    </row>
    <row r="11317" spans="1:11">
      <c r="A11317" s="12">
        <v>43055</v>
      </c>
      <c r="B11317">
        <v>2017</v>
      </c>
      <c r="C11317">
        <v>11</v>
      </c>
      <c r="D11317" s="11">
        <v>43040</v>
      </c>
      <c r="E11317" t="s">
        <v>2183</v>
      </c>
      <c r="F11317">
        <v>4</v>
      </c>
      <c r="G11317" t="s">
        <v>53</v>
      </c>
      <c r="H11317" t="s">
        <v>43</v>
      </c>
      <c r="I11317" t="s">
        <v>2191</v>
      </c>
      <c r="J11317" s="10">
        <v>17.6</v>
      </c>
      <c r="K11317" t="b">
        <v>1</v>
      </c>
    </row>
    <row r="11318" spans="1:11">
      <c r="A11318" s="12">
        <v>43055</v>
      </c>
      <c r="B11318">
        <v>2017</v>
      </c>
      <c r="C11318">
        <v>11</v>
      </c>
      <c r="D11318" s="11">
        <v>43040</v>
      </c>
      <c r="E11318" t="s">
        <v>2183</v>
      </c>
      <c r="F11318">
        <v>4</v>
      </c>
      <c r="G11318" t="s">
        <v>53</v>
      </c>
      <c r="H11318" t="s">
        <v>44</v>
      </c>
      <c r="I11318" t="s">
        <v>2192</v>
      </c>
      <c r="J11318" s="10">
        <v>3</v>
      </c>
      <c r="K11318" t="b">
        <v>1</v>
      </c>
    </row>
    <row r="11319" spans="1:11">
      <c r="A11319" s="12">
        <v>43055</v>
      </c>
      <c r="B11319">
        <v>2017</v>
      </c>
      <c r="C11319">
        <v>11</v>
      </c>
      <c r="D11319" s="11">
        <v>43040</v>
      </c>
      <c r="E11319" t="s">
        <v>2183</v>
      </c>
      <c r="F11319">
        <v>4</v>
      </c>
      <c r="G11319" t="s">
        <v>53</v>
      </c>
      <c r="H11319" t="s">
        <v>45</v>
      </c>
      <c r="I11319" t="s">
        <v>2193</v>
      </c>
      <c r="J11319" s="10">
        <v>0</v>
      </c>
      <c r="K11319" t="b">
        <v>1</v>
      </c>
    </row>
    <row r="11320" spans="1:11">
      <c r="A11320" s="12">
        <v>43055</v>
      </c>
      <c r="B11320">
        <v>2017</v>
      </c>
      <c r="C11320">
        <v>11</v>
      </c>
      <c r="D11320" s="11">
        <v>43040</v>
      </c>
      <c r="E11320" t="s">
        <v>2183</v>
      </c>
      <c r="F11320">
        <v>4</v>
      </c>
      <c r="G11320" t="s">
        <v>53</v>
      </c>
      <c r="H11320" t="s">
        <v>46</v>
      </c>
      <c r="I11320" t="s">
        <v>2194</v>
      </c>
      <c r="J11320" s="10">
        <v>1</v>
      </c>
      <c r="K11320" t="b">
        <v>1</v>
      </c>
    </row>
    <row r="11321" spans="1:11">
      <c r="A11321" s="12">
        <v>43055</v>
      </c>
      <c r="B11321">
        <v>2017</v>
      </c>
      <c r="C11321">
        <v>11</v>
      </c>
      <c r="D11321" s="11">
        <v>43040</v>
      </c>
      <c r="E11321" t="s">
        <v>2183</v>
      </c>
      <c r="F11321">
        <v>4</v>
      </c>
      <c r="G11321" t="s">
        <v>53</v>
      </c>
      <c r="H11321" t="s">
        <v>47</v>
      </c>
      <c r="I11321" t="s">
        <v>2195</v>
      </c>
      <c r="J11321" s="10">
        <v>1</v>
      </c>
      <c r="K11321" t="b">
        <v>1</v>
      </c>
    </row>
    <row r="11322" spans="1:11">
      <c r="A11322" s="12">
        <v>43056</v>
      </c>
      <c r="B11322">
        <v>2017</v>
      </c>
      <c r="C11322">
        <v>11</v>
      </c>
      <c r="D11322" s="11">
        <v>43040</v>
      </c>
      <c r="E11322" t="s">
        <v>2183</v>
      </c>
      <c r="F11322">
        <v>5</v>
      </c>
      <c r="G11322" t="s">
        <v>55</v>
      </c>
      <c r="H11322" t="s">
        <v>40</v>
      </c>
      <c r="I11322" t="s">
        <v>2188</v>
      </c>
      <c r="J11322" s="10">
        <v>3</v>
      </c>
      <c r="K11322" t="b">
        <v>1</v>
      </c>
    </row>
    <row r="11323" spans="1:11">
      <c r="A11323" s="12">
        <v>43056</v>
      </c>
      <c r="B11323">
        <v>2017</v>
      </c>
      <c r="C11323">
        <v>11</v>
      </c>
      <c r="D11323" s="11">
        <v>43040</v>
      </c>
      <c r="E11323" t="s">
        <v>2183</v>
      </c>
      <c r="F11323">
        <v>5</v>
      </c>
      <c r="G11323" t="s">
        <v>55</v>
      </c>
      <c r="H11323" t="s">
        <v>41</v>
      </c>
      <c r="I11323" t="s">
        <v>2189</v>
      </c>
      <c r="J11323" s="10">
        <v>4.837</v>
      </c>
      <c r="K11323" t="b">
        <v>1</v>
      </c>
    </row>
    <row r="11324" spans="1:11">
      <c r="A11324" s="12">
        <v>43056</v>
      </c>
      <c r="B11324">
        <v>2017</v>
      </c>
      <c r="C11324">
        <v>11</v>
      </c>
      <c r="D11324" s="11">
        <v>43040</v>
      </c>
      <c r="E11324" t="s">
        <v>2183</v>
      </c>
      <c r="F11324">
        <v>5</v>
      </c>
      <c r="G11324" t="s">
        <v>55</v>
      </c>
      <c r="H11324" t="s">
        <v>42</v>
      </c>
      <c r="I11324" t="s">
        <v>2190</v>
      </c>
      <c r="J11324" s="10">
        <v>3</v>
      </c>
      <c r="K11324" t="b">
        <v>1</v>
      </c>
    </row>
    <row r="11325" spans="1:11">
      <c r="A11325" s="12">
        <v>43056</v>
      </c>
      <c r="B11325">
        <v>2017</v>
      </c>
      <c r="C11325">
        <v>11</v>
      </c>
      <c r="D11325" s="11">
        <v>43040</v>
      </c>
      <c r="E11325" t="s">
        <v>2183</v>
      </c>
      <c r="F11325">
        <v>5</v>
      </c>
      <c r="G11325" t="s">
        <v>55</v>
      </c>
      <c r="H11325" t="s">
        <v>43</v>
      </c>
      <c r="I11325" t="s">
        <v>2191</v>
      </c>
      <c r="J11325" s="10">
        <v>34</v>
      </c>
      <c r="K11325" t="b">
        <v>1</v>
      </c>
    </row>
    <row r="11326" spans="1:11">
      <c r="A11326" s="12">
        <v>43056</v>
      </c>
      <c r="B11326">
        <v>2017</v>
      </c>
      <c r="C11326">
        <v>11</v>
      </c>
      <c r="D11326" s="11">
        <v>43040</v>
      </c>
      <c r="E11326" t="s">
        <v>2183</v>
      </c>
      <c r="F11326">
        <v>5</v>
      </c>
      <c r="G11326" t="s">
        <v>55</v>
      </c>
      <c r="H11326" t="s">
        <v>44</v>
      </c>
      <c r="I11326" t="s">
        <v>2192</v>
      </c>
      <c r="J11326" s="10">
        <v>5</v>
      </c>
      <c r="K11326" t="b">
        <v>1</v>
      </c>
    </row>
    <row r="11327" spans="1:11">
      <c r="A11327" s="12">
        <v>43056</v>
      </c>
      <c r="B11327">
        <v>2017</v>
      </c>
      <c r="C11327">
        <v>11</v>
      </c>
      <c r="D11327" s="11">
        <v>43040</v>
      </c>
      <c r="E11327" t="s">
        <v>2183</v>
      </c>
      <c r="F11327">
        <v>5</v>
      </c>
      <c r="G11327" t="s">
        <v>55</v>
      </c>
      <c r="H11327" t="s">
        <v>45</v>
      </c>
      <c r="I11327" t="s">
        <v>2193</v>
      </c>
      <c r="J11327" s="10">
        <v>0</v>
      </c>
      <c r="K11327" t="b">
        <v>1</v>
      </c>
    </row>
    <row r="11328" spans="1:11">
      <c r="A11328" s="12">
        <v>43056</v>
      </c>
      <c r="B11328">
        <v>2017</v>
      </c>
      <c r="C11328">
        <v>11</v>
      </c>
      <c r="D11328" s="11">
        <v>43040</v>
      </c>
      <c r="E11328" t="s">
        <v>2183</v>
      </c>
      <c r="F11328">
        <v>5</v>
      </c>
      <c r="G11328" t="s">
        <v>55</v>
      </c>
      <c r="H11328" t="s">
        <v>46</v>
      </c>
      <c r="I11328" t="s">
        <v>2194</v>
      </c>
      <c r="J11328" s="10">
        <v>30</v>
      </c>
      <c r="K11328" t="b">
        <v>1</v>
      </c>
    </row>
    <row r="11329" spans="1:11">
      <c r="A11329" s="12">
        <v>43056</v>
      </c>
      <c r="B11329">
        <v>2017</v>
      </c>
      <c r="C11329">
        <v>11</v>
      </c>
      <c r="D11329" s="11">
        <v>43040</v>
      </c>
      <c r="E11329" t="s">
        <v>2183</v>
      </c>
      <c r="F11329">
        <v>5</v>
      </c>
      <c r="G11329" t="s">
        <v>55</v>
      </c>
      <c r="H11329" t="s">
        <v>47</v>
      </c>
      <c r="I11329" t="s">
        <v>2195</v>
      </c>
      <c r="J11329" s="10">
        <v>2</v>
      </c>
      <c r="K11329" t="b">
        <v>1</v>
      </c>
    </row>
    <row r="11330" spans="1:11">
      <c r="A11330" s="12">
        <v>43057</v>
      </c>
      <c r="B11330">
        <v>2017</v>
      </c>
      <c r="C11330">
        <v>11</v>
      </c>
      <c r="D11330" s="11">
        <v>43040</v>
      </c>
      <c r="E11330" t="s">
        <v>2183</v>
      </c>
      <c r="F11330">
        <v>6</v>
      </c>
      <c r="G11330" t="s">
        <v>57</v>
      </c>
      <c r="H11330" t="s">
        <v>40</v>
      </c>
      <c r="I11330" t="s">
        <v>2188</v>
      </c>
      <c r="J11330" s="10">
        <v>5.33</v>
      </c>
      <c r="K11330" t="b">
        <v>1</v>
      </c>
    </row>
    <row r="11331" spans="1:11">
      <c r="A11331" s="12">
        <v>43057</v>
      </c>
      <c r="B11331">
        <v>2017</v>
      </c>
      <c r="C11331">
        <v>11</v>
      </c>
      <c r="D11331" s="11">
        <v>43040</v>
      </c>
      <c r="E11331" t="s">
        <v>2183</v>
      </c>
      <c r="F11331">
        <v>6</v>
      </c>
      <c r="G11331" t="s">
        <v>57</v>
      </c>
      <c r="H11331" t="s">
        <v>41</v>
      </c>
      <c r="I11331" t="s">
        <v>2189</v>
      </c>
      <c r="J11331" s="10">
        <v>8.449999999999999</v>
      </c>
      <c r="K11331" t="b">
        <v>1</v>
      </c>
    </row>
    <row r="11332" spans="1:11">
      <c r="A11332" s="12">
        <v>43057</v>
      </c>
      <c r="B11332">
        <v>2017</v>
      </c>
      <c r="C11332">
        <v>11</v>
      </c>
      <c r="D11332" s="11">
        <v>43040</v>
      </c>
      <c r="E11332" t="s">
        <v>2183</v>
      </c>
      <c r="F11332">
        <v>6</v>
      </c>
      <c r="G11332" t="s">
        <v>57</v>
      </c>
      <c r="H11332" t="s">
        <v>42</v>
      </c>
      <c r="I11332" t="s">
        <v>2190</v>
      </c>
      <c r="J11332" s="10">
        <v>2</v>
      </c>
      <c r="K11332" t="b">
        <v>1</v>
      </c>
    </row>
    <row r="11333" spans="1:11">
      <c r="A11333" s="12">
        <v>43057</v>
      </c>
      <c r="B11333">
        <v>2017</v>
      </c>
      <c r="C11333">
        <v>11</v>
      </c>
      <c r="D11333" s="11">
        <v>43040</v>
      </c>
      <c r="E11333" t="s">
        <v>2183</v>
      </c>
      <c r="F11333">
        <v>6</v>
      </c>
      <c r="G11333" t="s">
        <v>57</v>
      </c>
      <c r="H11333" t="s">
        <v>43</v>
      </c>
      <c r="I11333" t="s">
        <v>2191</v>
      </c>
      <c r="J11333" s="10">
        <v>42.5</v>
      </c>
      <c r="K11333" t="b">
        <v>1</v>
      </c>
    </row>
    <row r="11334" spans="1:11">
      <c r="A11334" s="12">
        <v>43057</v>
      </c>
      <c r="B11334">
        <v>2017</v>
      </c>
      <c r="C11334">
        <v>11</v>
      </c>
      <c r="D11334" s="11">
        <v>43040</v>
      </c>
      <c r="E11334" t="s">
        <v>2183</v>
      </c>
      <c r="F11334">
        <v>6</v>
      </c>
      <c r="G11334" t="s">
        <v>57</v>
      </c>
      <c r="H11334" t="s">
        <v>44</v>
      </c>
      <c r="I11334" t="s">
        <v>2192</v>
      </c>
      <c r="J11334" s="10">
        <v>2</v>
      </c>
      <c r="K11334" t="b">
        <v>1</v>
      </c>
    </row>
    <row r="11335" spans="1:11">
      <c r="A11335" s="12">
        <v>43057</v>
      </c>
      <c r="B11335">
        <v>2017</v>
      </c>
      <c r="C11335">
        <v>11</v>
      </c>
      <c r="D11335" s="11">
        <v>43040</v>
      </c>
      <c r="E11335" t="s">
        <v>2183</v>
      </c>
      <c r="F11335">
        <v>6</v>
      </c>
      <c r="G11335" t="s">
        <v>57</v>
      </c>
      <c r="H11335" t="s">
        <v>45</v>
      </c>
      <c r="I11335" t="s">
        <v>2193</v>
      </c>
      <c r="J11335" s="10">
        <v>0</v>
      </c>
      <c r="K11335" t="b">
        <v>1</v>
      </c>
    </row>
    <row r="11336" spans="1:11">
      <c r="A11336" s="12">
        <v>43057</v>
      </c>
      <c r="B11336">
        <v>2017</v>
      </c>
      <c r="C11336">
        <v>11</v>
      </c>
      <c r="D11336" s="11">
        <v>43040</v>
      </c>
      <c r="E11336" t="s">
        <v>2183</v>
      </c>
      <c r="F11336">
        <v>6</v>
      </c>
      <c r="G11336" t="s">
        <v>57</v>
      </c>
      <c r="H11336" t="s">
        <v>46</v>
      </c>
      <c r="I11336" t="s">
        <v>2194</v>
      </c>
      <c r="J11336" s="10">
        <v>8</v>
      </c>
      <c r="K11336" t="b">
        <v>1</v>
      </c>
    </row>
    <row r="11337" spans="1:11">
      <c r="A11337" s="12">
        <v>43057</v>
      </c>
      <c r="B11337">
        <v>2017</v>
      </c>
      <c r="C11337">
        <v>11</v>
      </c>
      <c r="D11337" s="11">
        <v>43040</v>
      </c>
      <c r="E11337" t="s">
        <v>2183</v>
      </c>
      <c r="F11337">
        <v>6</v>
      </c>
      <c r="G11337" t="s">
        <v>57</v>
      </c>
      <c r="H11337" t="s">
        <v>47</v>
      </c>
      <c r="I11337" t="s">
        <v>2195</v>
      </c>
      <c r="J11337" s="10">
        <v>1.2</v>
      </c>
      <c r="K11337" t="b">
        <v>1</v>
      </c>
    </row>
    <row r="11338" spans="1:11">
      <c r="A11338" s="12">
        <v>43058</v>
      </c>
      <c r="B11338">
        <v>2017</v>
      </c>
      <c r="C11338">
        <v>11</v>
      </c>
      <c r="D11338" s="11">
        <v>43040</v>
      </c>
      <c r="E11338" t="s">
        <v>2183</v>
      </c>
      <c r="F11338">
        <v>7</v>
      </c>
      <c r="G11338" t="s">
        <v>59</v>
      </c>
      <c r="H11338" t="s">
        <v>40</v>
      </c>
      <c r="I11338" t="s">
        <v>2188</v>
      </c>
      <c r="J11338" s="10">
        <v>4</v>
      </c>
      <c r="K11338" t="b">
        <v>1</v>
      </c>
    </row>
    <row r="11339" spans="1:11">
      <c r="A11339" s="12">
        <v>43058</v>
      </c>
      <c r="B11339">
        <v>2017</v>
      </c>
      <c r="C11339">
        <v>11</v>
      </c>
      <c r="D11339" s="11">
        <v>43040</v>
      </c>
      <c r="E11339" t="s">
        <v>2183</v>
      </c>
      <c r="F11339">
        <v>7</v>
      </c>
      <c r="G11339" t="s">
        <v>59</v>
      </c>
      <c r="H11339" t="s">
        <v>41</v>
      </c>
      <c r="I11339" t="s">
        <v>2189</v>
      </c>
      <c r="J11339" s="10">
        <v>6.88</v>
      </c>
      <c r="K11339" t="b">
        <v>1</v>
      </c>
    </row>
    <row r="11340" spans="1:11">
      <c r="A11340" s="12">
        <v>43058</v>
      </c>
      <c r="B11340">
        <v>2017</v>
      </c>
      <c r="C11340">
        <v>11</v>
      </c>
      <c r="D11340" s="11">
        <v>43040</v>
      </c>
      <c r="E11340" t="s">
        <v>2183</v>
      </c>
      <c r="F11340">
        <v>7</v>
      </c>
      <c r="G11340" t="s">
        <v>59</v>
      </c>
      <c r="H11340" t="s">
        <v>42</v>
      </c>
      <c r="I11340" t="s">
        <v>2190</v>
      </c>
      <c r="J11340" s="10">
        <v>1</v>
      </c>
      <c r="K11340" t="b">
        <v>1</v>
      </c>
    </row>
    <row r="11341" spans="1:11">
      <c r="A11341" s="12">
        <v>43058</v>
      </c>
      <c r="B11341">
        <v>2017</v>
      </c>
      <c r="C11341">
        <v>11</v>
      </c>
      <c r="D11341" s="11">
        <v>43040</v>
      </c>
      <c r="E11341" t="s">
        <v>2183</v>
      </c>
      <c r="F11341">
        <v>7</v>
      </c>
      <c r="G11341" t="s">
        <v>59</v>
      </c>
      <c r="H11341" t="s">
        <v>43</v>
      </c>
      <c r="I11341" t="s">
        <v>2191</v>
      </c>
      <c r="J11341" s="10">
        <v>29</v>
      </c>
      <c r="K11341" t="b">
        <v>1</v>
      </c>
    </row>
    <row r="11342" spans="1:11">
      <c r="A11342" s="12">
        <v>43058</v>
      </c>
      <c r="B11342">
        <v>2017</v>
      </c>
      <c r="C11342">
        <v>11</v>
      </c>
      <c r="D11342" s="11">
        <v>43040</v>
      </c>
      <c r="E11342" t="s">
        <v>2183</v>
      </c>
      <c r="F11342">
        <v>7</v>
      </c>
      <c r="G11342" t="s">
        <v>59</v>
      </c>
      <c r="H11342" t="s">
        <v>44</v>
      </c>
      <c r="I11342" t="s">
        <v>2192</v>
      </c>
      <c r="J11342" s="10">
        <v>3</v>
      </c>
      <c r="K11342" t="b">
        <v>1</v>
      </c>
    </row>
    <row r="11343" spans="1:11">
      <c r="A11343" s="12">
        <v>43058</v>
      </c>
      <c r="B11343">
        <v>2017</v>
      </c>
      <c r="C11343">
        <v>11</v>
      </c>
      <c r="D11343" s="11">
        <v>43040</v>
      </c>
      <c r="E11343" t="s">
        <v>2183</v>
      </c>
      <c r="F11343">
        <v>7</v>
      </c>
      <c r="G11343" t="s">
        <v>59</v>
      </c>
      <c r="H11343" t="s">
        <v>45</v>
      </c>
      <c r="I11343" t="s">
        <v>2193</v>
      </c>
      <c r="J11343" s="10">
        <v>0</v>
      </c>
      <c r="K11343" t="b">
        <v>1</v>
      </c>
    </row>
    <row r="11344" spans="1:11">
      <c r="A11344" s="12">
        <v>43058</v>
      </c>
      <c r="B11344">
        <v>2017</v>
      </c>
      <c r="C11344">
        <v>11</v>
      </c>
      <c r="D11344" s="11">
        <v>43040</v>
      </c>
      <c r="E11344" t="s">
        <v>2183</v>
      </c>
      <c r="F11344">
        <v>7</v>
      </c>
      <c r="G11344" t="s">
        <v>59</v>
      </c>
      <c r="H11344" t="s">
        <v>46</v>
      </c>
      <c r="I11344" t="s">
        <v>2194</v>
      </c>
      <c r="J11344" s="10">
        <v>6</v>
      </c>
      <c r="K11344" t="b">
        <v>1</v>
      </c>
    </row>
    <row r="11345" spans="1:11">
      <c r="A11345" s="12">
        <v>43058</v>
      </c>
      <c r="B11345">
        <v>2017</v>
      </c>
      <c r="C11345">
        <v>11</v>
      </c>
      <c r="D11345" s="11">
        <v>43040</v>
      </c>
      <c r="E11345" t="s">
        <v>2183</v>
      </c>
      <c r="F11345">
        <v>7</v>
      </c>
      <c r="G11345" t="s">
        <v>59</v>
      </c>
      <c r="H11345" t="s">
        <v>47</v>
      </c>
      <c r="I11345" t="s">
        <v>2195</v>
      </c>
      <c r="J11345" s="10">
        <v>2.5</v>
      </c>
      <c r="K11345" t="b">
        <v>1</v>
      </c>
    </row>
    <row r="11346" spans="1:11">
      <c r="A11346" s="12">
        <v>43059</v>
      </c>
      <c r="B11346">
        <v>2017</v>
      </c>
      <c r="C11346">
        <v>11</v>
      </c>
      <c r="D11346" s="11">
        <v>43040</v>
      </c>
      <c r="E11346" t="s">
        <v>2183</v>
      </c>
      <c r="F11346">
        <v>1</v>
      </c>
      <c r="G11346" t="s">
        <v>61</v>
      </c>
      <c r="H11346" t="s">
        <v>40</v>
      </c>
      <c r="I11346" t="s">
        <v>2188</v>
      </c>
      <c r="J11346" s="10">
        <v>2.34</v>
      </c>
      <c r="K11346" t="b">
        <v>1</v>
      </c>
    </row>
    <row r="11347" spans="1:11">
      <c r="A11347" s="12">
        <v>43059</v>
      </c>
      <c r="B11347">
        <v>2017</v>
      </c>
      <c r="C11347">
        <v>11</v>
      </c>
      <c r="D11347" s="11">
        <v>43040</v>
      </c>
      <c r="E11347" t="s">
        <v>2183</v>
      </c>
      <c r="F11347">
        <v>1</v>
      </c>
      <c r="G11347" t="s">
        <v>61</v>
      </c>
      <c r="H11347" t="s">
        <v>41</v>
      </c>
      <c r="I11347" t="s">
        <v>2189</v>
      </c>
      <c r="J11347" s="10">
        <v>5.34</v>
      </c>
      <c r="K11347" t="b">
        <v>1</v>
      </c>
    </row>
    <row r="11348" spans="1:11">
      <c r="A11348" s="12">
        <v>43059</v>
      </c>
      <c r="B11348">
        <v>2017</v>
      </c>
      <c r="C11348">
        <v>11</v>
      </c>
      <c r="D11348" s="11">
        <v>43040</v>
      </c>
      <c r="E11348" t="s">
        <v>2183</v>
      </c>
      <c r="F11348">
        <v>1</v>
      </c>
      <c r="G11348" t="s">
        <v>61</v>
      </c>
      <c r="H11348" t="s">
        <v>42</v>
      </c>
      <c r="I11348" t="s">
        <v>2190</v>
      </c>
      <c r="J11348" s="10">
        <v>2.4</v>
      </c>
      <c r="K11348" t="b">
        <v>1</v>
      </c>
    </row>
    <row r="11349" spans="1:11">
      <c r="A11349" s="12">
        <v>43059</v>
      </c>
      <c r="B11349">
        <v>2017</v>
      </c>
      <c r="C11349">
        <v>11</v>
      </c>
      <c r="D11349" s="11">
        <v>43040</v>
      </c>
      <c r="E11349" t="s">
        <v>2183</v>
      </c>
      <c r="F11349">
        <v>1</v>
      </c>
      <c r="G11349" t="s">
        <v>61</v>
      </c>
      <c r="H11349" t="s">
        <v>43</v>
      </c>
      <c r="I11349" t="s">
        <v>2191</v>
      </c>
      <c r="J11349" s="10">
        <v>28.8</v>
      </c>
      <c r="K11349" t="b">
        <v>1</v>
      </c>
    </row>
    <row r="11350" spans="1:11">
      <c r="A11350" s="12">
        <v>43059</v>
      </c>
      <c r="B11350">
        <v>2017</v>
      </c>
      <c r="C11350">
        <v>11</v>
      </c>
      <c r="D11350" s="11">
        <v>43040</v>
      </c>
      <c r="E11350" t="s">
        <v>2183</v>
      </c>
      <c r="F11350">
        <v>1</v>
      </c>
      <c r="G11350" t="s">
        <v>61</v>
      </c>
      <c r="H11350" t="s">
        <v>44</v>
      </c>
      <c r="I11350" t="s">
        <v>2192</v>
      </c>
      <c r="J11350" s="10">
        <v>10</v>
      </c>
      <c r="K11350" t="b">
        <v>1</v>
      </c>
    </row>
    <row r="11351" spans="1:11">
      <c r="A11351" s="12">
        <v>43059</v>
      </c>
      <c r="B11351">
        <v>2017</v>
      </c>
      <c r="C11351">
        <v>11</v>
      </c>
      <c r="D11351" s="11">
        <v>43040</v>
      </c>
      <c r="E11351" t="s">
        <v>2183</v>
      </c>
      <c r="F11351">
        <v>1</v>
      </c>
      <c r="G11351" t="s">
        <v>61</v>
      </c>
      <c r="H11351" t="s">
        <v>45</v>
      </c>
      <c r="I11351" t="s">
        <v>2193</v>
      </c>
      <c r="J11351" s="10">
        <v>0</v>
      </c>
      <c r="K11351" t="b">
        <v>1</v>
      </c>
    </row>
    <row r="11352" spans="1:11">
      <c r="A11352" s="12">
        <v>43059</v>
      </c>
      <c r="B11352">
        <v>2017</v>
      </c>
      <c r="C11352">
        <v>11</v>
      </c>
      <c r="D11352" s="11">
        <v>43040</v>
      </c>
      <c r="E11352" t="s">
        <v>2183</v>
      </c>
      <c r="F11352">
        <v>1</v>
      </c>
      <c r="G11352" t="s">
        <v>61</v>
      </c>
      <c r="H11352" t="s">
        <v>46</v>
      </c>
      <c r="I11352" t="s">
        <v>2194</v>
      </c>
      <c r="J11352" s="10">
        <v>2</v>
      </c>
      <c r="K11352" t="b">
        <v>1</v>
      </c>
    </row>
    <row r="11353" spans="1:11">
      <c r="A11353" s="12">
        <v>43059</v>
      </c>
      <c r="B11353">
        <v>2017</v>
      </c>
      <c r="C11353">
        <v>11</v>
      </c>
      <c r="D11353" s="11">
        <v>43040</v>
      </c>
      <c r="E11353" t="s">
        <v>2183</v>
      </c>
      <c r="F11353">
        <v>1</v>
      </c>
      <c r="G11353" t="s">
        <v>61</v>
      </c>
      <c r="H11353" t="s">
        <v>47</v>
      </c>
      <c r="I11353" t="s">
        <v>2195</v>
      </c>
      <c r="J11353" s="10">
        <v>0</v>
      </c>
      <c r="K11353" t="b">
        <v>1</v>
      </c>
    </row>
    <row r="11354" spans="1:11">
      <c r="A11354" s="12">
        <v>43060</v>
      </c>
      <c r="B11354">
        <v>2017</v>
      </c>
      <c r="C11354">
        <v>11</v>
      </c>
      <c r="D11354" s="11">
        <v>43040</v>
      </c>
      <c r="E11354" t="s">
        <v>2183</v>
      </c>
      <c r="F11354">
        <v>2</v>
      </c>
      <c r="G11354" t="s">
        <v>63</v>
      </c>
      <c r="H11354" t="s">
        <v>40</v>
      </c>
      <c r="I11354" t="s">
        <v>2188</v>
      </c>
      <c r="J11354" s="10">
        <v>13.33</v>
      </c>
      <c r="K11354" t="b">
        <v>1</v>
      </c>
    </row>
    <row r="11355" spans="1:11">
      <c r="A11355" s="12">
        <v>43060</v>
      </c>
      <c r="B11355">
        <v>2017</v>
      </c>
      <c r="C11355">
        <v>11</v>
      </c>
      <c r="D11355" s="11">
        <v>43040</v>
      </c>
      <c r="E11355" t="s">
        <v>2183</v>
      </c>
      <c r="F11355">
        <v>2</v>
      </c>
      <c r="G11355" t="s">
        <v>63</v>
      </c>
      <c r="H11355" t="s">
        <v>41</v>
      </c>
      <c r="I11355" t="s">
        <v>2189</v>
      </c>
      <c r="J11355" s="10">
        <v>0.68</v>
      </c>
      <c r="K11355" t="b">
        <v>1</v>
      </c>
    </row>
    <row r="11356" spans="1:11">
      <c r="A11356" s="12">
        <v>43060</v>
      </c>
      <c r="B11356">
        <v>2017</v>
      </c>
      <c r="C11356">
        <v>11</v>
      </c>
      <c r="D11356" s="11">
        <v>43040</v>
      </c>
      <c r="E11356" t="s">
        <v>2183</v>
      </c>
      <c r="F11356">
        <v>2</v>
      </c>
      <c r="G11356" t="s">
        <v>63</v>
      </c>
      <c r="H11356" t="s">
        <v>42</v>
      </c>
      <c r="I11356" t="s">
        <v>2190</v>
      </c>
      <c r="J11356" s="10">
        <v>1</v>
      </c>
      <c r="K11356" t="b">
        <v>1</v>
      </c>
    </row>
    <row r="11357" spans="1:11">
      <c r="A11357" s="12">
        <v>43060</v>
      </c>
      <c r="B11357">
        <v>2017</v>
      </c>
      <c r="C11357">
        <v>11</v>
      </c>
      <c r="D11357" s="11">
        <v>43040</v>
      </c>
      <c r="E11357" t="s">
        <v>2183</v>
      </c>
      <c r="F11357">
        <v>2</v>
      </c>
      <c r="G11357" t="s">
        <v>63</v>
      </c>
      <c r="H11357" t="s">
        <v>43</v>
      </c>
      <c r="I11357" t="s">
        <v>2191</v>
      </c>
      <c r="J11357" s="10">
        <v>22.4</v>
      </c>
      <c r="K11357" t="b">
        <v>1</v>
      </c>
    </row>
    <row r="11358" spans="1:11">
      <c r="A11358" s="12">
        <v>43060</v>
      </c>
      <c r="B11358">
        <v>2017</v>
      </c>
      <c r="C11358">
        <v>11</v>
      </c>
      <c r="D11358" s="11">
        <v>43040</v>
      </c>
      <c r="E11358" t="s">
        <v>2183</v>
      </c>
      <c r="F11358">
        <v>2</v>
      </c>
      <c r="G11358" t="s">
        <v>63</v>
      </c>
      <c r="H11358" t="s">
        <v>44</v>
      </c>
      <c r="I11358" t="s">
        <v>2192</v>
      </c>
      <c r="J11358" s="10">
        <v>5</v>
      </c>
      <c r="K11358" t="b">
        <v>1</v>
      </c>
    </row>
    <row r="11359" spans="1:11">
      <c r="A11359" s="12">
        <v>43060</v>
      </c>
      <c r="B11359">
        <v>2017</v>
      </c>
      <c r="C11359">
        <v>11</v>
      </c>
      <c r="D11359" s="11">
        <v>43040</v>
      </c>
      <c r="E11359" t="s">
        <v>2183</v>
      </c>
      <c r="F11359">
        <v>2</v>
      </c>
      <c r="G11359" t="s">
        <v>63</v>
      </c>
      <c r="H11359" t="s">
        <v>45</v>
      </c>
      <c r="I11359" t="s">
        <v>2193</v>
      </c>
      <c r="J11359" s="10">
        <v>0</v>
      </c>
      <c r="K11359" t="b">
        <v>1</v>
      </c>
    </row>
    <row r="11360" spans="1:11">
      <c r="A11360" s="12">
        <v>43060</v>
      </c>
      <c r="B11360">
        <v>2017</v>
      </c>
      <c r="C11360">
        <v>11</v>
      </c>
      <c r="D11360" s="11">
        <v>43040</v>
      </c>
      <c r="E11360" t="s">
        <v>2183</v>
      </c>
      <c r="F11360">
        <v>2</v>
      </c>
      <c r="G11360" t="s">
        <v>63</v>
      </c>
      <c r="H11360" t="s">
        <v>46</v>
      </c>
      <c r="I11360" t="s">
        <v>2194</v>
      </c>
      <c r="J11360" s="10">
        <v>2</v>
      </c>
      <c r="K11360" t="b">
        <v>1</v>
      </c>
    </row>
    <row r="11361" spans="1:11">
      <c r="A11361" s="12">
        <v>43060</v>
      </c>
      <c r="B11361">
        <v>2017</v>
      </c>
      <c r="C11361">
        <v>11</v>
      </c>
      <c r="D11361" s="11">
        <v>43040</v>
      </c>
      <c r="E11361" t="s">
        <v>2183</v>
      </c>
      <c r="F11361">
        <v>2</v>
      </c>
      <c r="G11361" t="s">
        <v>63</v>
      </c>
      <c r="H11361" t="s">
        <v>47</v>
      </c>
      <c r="I11361" t="s">
        <v>2195</v>
      </c>
      <c r="J11361" s="10">
        <v>1</v>
      </c>
      <c r="K11361" t="b">
        <v>1</v>
      </c>
    </row>
    <row r="11362" spans="1:11">
      <c r="A11362" s="12">
        <v>43061</v>
      </c>
      <c r="B11362">
        <v>2017</v>
      </c>
      <c r="C11362">
        <v>11</v>
      </c>
      <c r="D11362" s="11">
        <v>43040</v>
      </c>
      <c r="E11362" t="s">
        <v>2183</v>
      </c>
      <c r="F11362">
        <v>3</v>
      </c>
      <c r="G11362" t="s">
        <v>65</v>
      </c>
      <c r="H11362" t="s">
        <v>40</v>
      </c>
      <c r="I11362" t="s">
        <v>2188</v>
      </c>
      <c r="J11362" s="10">
        <v>2</v>
      </c>
      <c r="K11362" t="b">
        <v>1</v>
      </c>
    </row>
    <row r="11363" spans="1:11">
      <c r="A11363" s="12">
        <v>43061</v>
      </c>
      <c r="B11363">
        <v>2017</v>
      </c>
      <c r="C11363">
        <v>11</v>
      </c>
      <c r="D11363" s="11">
        <v>43040</v>
      </c>
      <c r="E11363" t="s">
        <v>2183</v>
      </c>
      <c r="F11363">
        <v>3</v>
      </c>
      <c r="G11363" t="s">
        <v>65</v>
      </c>
      <c r="H11363" t="s">
        <v>41</v>
      </c>
      <c r="I11363" t="s">
        <v>2189</v>
      </c>
      <c r="J11363" s="10">
        <v>4</v>
      </c>
      <c r="K11363" t="b">
        <v>1</v>
      </c>
    </row>
    <row r="11364" spans="1:11">
      <c r="A11364" s="12">
        <v>43061</v>
      </c>
      <c r="B11364">
        <v>2017</v>
      </c>
      <c r="C11364">
        <v>11</v>
      </c>
      <c r="D11364" s="11">
        <v>43040</v>
      </c>
      <c r="E11364" t="s">
        <v>2183</v>
      </c>
      <c r="F11364">
        <v>3</v>
      </c>
      <c r="G11364" t="s">
        <v>65</v>
      </c>
      <c r="H11364" t="s">
        <v>42</v>
      </c>
      <c r="I11364" t="s">
        <v>2190</v>
      </c>
      <c r="J11364" s="10">
        <v>1</v>
      </c>
      <c r="K11364" t="b">
        <v>1</v>
      </c>
    </row>
    <row r="11365" spans="1:11">
      <c r="A11365" s="12">
        <v>43061</v>
      </c>
      <c r="B11365">
        <v>2017</v>
      </c>
      <c r="C11365">
        <v>11</v>
      </c>
      <c r="D11365" s="11">
        <v>43040</v>
      </c>
      <c r="E11365" t="s">
        <v>2183</v>
      </c>
      <c r="F11365">
        <v>3</v>
      </c>
      <c r="G11365" t="s">
        <v>65</v>
      </c>
      <c r="H11365" t="s">
        <v>43</v>
      </c>
      <c r="I11365" t="s">
        <v>2191</v>
      </c>
      <c r="J11365" s="10">
        <v>26.1</v>
      </c>
      <c r="K11365" t="b">
        <v>1</v>
      </c>
    </row>
    <row r="11366" spans="1:11">
      <c r="A11366" s="12">
        <v>43061</v>
      </c>
      <c r="B11366">
        <v>2017</v>
      </c>
      <c r="C11366">
        <v>11</v>
      </c>
      <c r="D11366" s="11">
        <v>43040</v>
      </c>
      <c r="E11366" t="s">
        <v>2183</v>
      </c>
      <c r="F11366">
        <v>3</v>
      </c>
      <c r="G11366" t="s">
        <v>65</v>
      </c>
      <c r="H11366" t="s">
        <v>44</v>
      </c>
      <c r="I11366" t="s">
        <v>2192</v>
      </c>
      <c r="J11366" s="10">
        <v>20</v>
      </c>
      <c r="K11366" t="b">
        <v>1</v>
      </c>
    </row>
    <row r="11367" spans="1:11">
      <c r="A11367" s="12">
        <v>43061</v>
      </c>
      <c r="B11367">
        <v>2017</v>
      </c>
      <c r="C11367">
        <v>11</v>
      </c>
      <c r="D11367" s="11">
        <v>43040</v>
      </c>
      <c r="E11367" t="s">
        <v>2183</v>
      </c>
      <c r="F11367">
        <v>3</v>
      </c>
      <c r="G11367" t="s">
        <v>65</v>
      </c>
      <c r="H11367" t="s">
        <v>45</v>
      </c>
      <c r="I11367" t="s">
        <v>2193</v>
      </c>
      <c r="J11367" s="10">
        <v>0</v>
      </c>
      <c r="K11367" t="b">
        <v>1</v>
      </c>
    </row>
    <row r="11368" spans="1:11">
      <c r="A11368" s="12">
        <v>43061</v>
      </c>
      <c r="B11368">
        <v>2017</v>
      </c>
      <c r="C11368">
        <v>11</v>
      </c>
      <c r="D11368" s="11">
        <v>43040</v>
      </c>
      <c r="E11368" t="s">
        <v>2183</v>
      </c>
      <c r="F11368">
        <v>3</v>
      </c>
      <c r="G11368" t="s">
        <v>65</v>
      </c>
      <c r="H11368" t="s">
        <v>46</v>
      </c>
      <c r="I11368" t="s">
        <v>2194</v>
      </c>
      <c r="J11368" s="10">
        <v>1</v>
      </c>
      <c r="K11368" t="b">
        <v>1</v>
      </c>
    </row>
    <row r="11369" spans="1:11">
      <c r="A11369" s="12">
        <v>43061</v>
      </c>
      <c r="B11369">
        <v>2017</v>
      </c>
      <c r="C11369">
        <v>11</v>
      </c>
      <c r="D11369" s="11">
        <v>43040</v>
      </c>
      <c r="E11369" t="s">
        <v>2183</v>
      </c>
      <c r="F11369">
        <v>3</v>
      </c>
      <c r="G11369" t="s">
        <v>65</v>
      </c>
      <c r="H11369" t="s">
        <v>47</v>
      </c>
      <c r="I11369" t="s">
        <v>2195</v>
      </c>
      <c r="J11369" s="10">
        <v>1</v>
      </c>
      <c r="K11369" t="b">
        <v>1</v>
      </c>
    </row>
    <row r="11370" spans="1:11">
      <c r="A11370" s="12">
        <v>43062</v>
      </c>
      <c r="B11370">
        <v>2017</v>
      </c>
      <c r="C11370">
        <v>11</v>
      </c>
      <c r="D11370" s="11">
        <v>43040</v>
      </c>
      <c r="E11370" t="s">
        <v>2183</v>
      </c>
      <c r="F11370">
        <v>4</v>
      </c>
      <c r="G11370" t="s">
        <v>53</v>
      </c>
      <c r="H11370" t="s">
        <v>40</v>
      </c>
      <c r="I11370" t="s">
        <v>2188</v>
      </c>
      <c r="J11370" s="10">
        <v>9.33</v>
      </c>
      <c r="K11370" t="b">
        <v>1</v>
      </c>
    </row>
    <row r="11371" spans="1:11">
      <c r="A11371" s="12">
        <v>43062</v>
      </c>
      <c r="B11371">
        <v>2017</v>
      </c>
      <c r="C11371">
        <v>11</v>
      </c>
      <c r="D11371" s="11">
        <v>43040</v>
      </c>
      <c r="E11371" t="s">
        <v>2183</v>
      </c>
      <c r="F11371">
        <v>4</v>
      </c>
      <c r="G11371" t="s">
        <v>53</v>
      </c>
      <c r="H11371" t="s">
        <v>41</v>
      </c>
      <c r="I11371" t="s">
        <v>2189</v>
      </c>
      <c r="J11371" s="10">
        <v>5.99</v>
      </c>
      <c r="K11371" t="b">
        <v>1</v>
      </c>
    </row>
    <row r="11372" spans="1:11">
      <c r="A11372" s="12">
        <v>43062</v>
      </c>
      <c r="B11372">
        <v>2017</v>
      </c>
      <c r="C11372">
        <v>11</v>
      </c>
      <c r="D11372" s="11">
        <v>43040</v>
      </c>
      <c r="E11372" t="s">
        <v>2183</v>
      </c>
      <c r="F11372">
        <v>4</v>
      </c>
      <c r="G11372" t="s">
        <v>53</v>
      </c>
      <c r="H11372" t="s">
        <v>42</v>
      </c>
      <c r="I11372" t="s">
        <v>2190</v>
      </c>
      <c r="J11372" s="10">
        <v>6</v>
      </c>
      <c r="K11372" t="b">
        <v>1</v>
      </c>
    </row>
    <row r="11373" spans="1:11">
      <c r="A11373" s="12">
        <v>43062</v>
      </c>
      <c r="B11373">
        <v>2017</v>
      </c>
      <c r="C11373">
        <v>11</v>
      </c>
      <c r="D11373" s="11">
        <v>43040</v>
      </c>
      <c r="E11373" t="s">
        <v>2183</v>
      </c>
      <c r="F11373">
        <v>4</v>
      </c>
      <c r="G11373" t="s">
        <v>53</v>
      </c>
      <c r="H11373" t="s">
        <v>43</v>
      </c>
      <c r="I11373" t="s">
        <v>2191</v>
      </c>
      <c r="J11373" s="10">
        <v>34.3</v>
      </c>
      <c r="K11373" t="b">
        <v>1</v>
      </c>
    </row>
    <row r="11374" spans="1:11">
      <c r="A11374" s="12">
        <v>43062</v>
      </c>
      <c r="B11374">
        <v>2017</v>
      </c>
      <c r="C11374">
        <v>11</v>
      </c>
      <c r="D11374" s="11">
        <v>43040</v>
      </c>
      <c r="E11374" t="s">
        <v>2183</v>
      </c>
      <c r="F11374">
        <v>4</v>
      </c>
      <c r="G11374" t="s">
        <v>53</v>
      </c>
      <c r="H11374" t="s">
        <v>44</v>
      </c>
      <c r="I11374" t="s">
        <v>2192</v>
      </c>
      <c r="J11374" s="10">
        <v>14</v>
      </c>
      <c r="K11374" t="b">
        <v>1</v>
      </c>
    </row>
    <row r="11375" spans="1:11">
      <c r="A11375" s="12">
        <v>43062</v>
      </c>
      <c r="B11375">
        <v>2017</v>
      </c>
      <c r="C11375">
        <v>11</v>
      </c>
      <c r="D11375" s="11">
        <v>43040</v>
      </c>
      <c r="E11375" t="s">
        <v>2183</v>
      </c>
      <c r="F11375">
        <v>4</v>
      </c>
      <c r="G11375" t="s">
        <v>53</v>
      </c>
      <c r="H11375" t="s">
        <v>45</v>
      </c>
      <c r="I11375" t="s">
        <v>2193</v>
      </c>
      <c r="J11375" s="10">
        <v>0</v>
      </c>
      <c r="K11375" t="b">
        <v>1</v>
      </c>
    </row>
    <row r="11376" spans="1:11">
      <c r="A11376" s="12">
        <v>43062</v>
      </c>
      <c r="B11376">
        <v>2017</v>
      </c>
      <c r="C11376">
        <v>11</v>
      </c>
      <c r="D11376" s="11">
        <v>43040</v>
      </c>
      <c r="E11376" t="s">
        <v>2183</v>
      </c>
      <c r="F11376">
        <v>4</v>
      </c>
      <c r="G11376" t="s">
        <v>53</v>
      </c>
      <c r="H11376" t="s">
        <v>46</v>
      </c>
      <c r="I11376" t="s">
        <v>2194</v>
      </c>
      <c r="J11376" s="10">
        <v>0</v>
      </c>
      <c r="K11376" t="b">
        <v>1</v>
      </c>
    </row>
    <row r="11377" spans="1:11">
      <c r="A11377" s="12">
        <v>43062</v>
      </c>
      <c r="B11377">
        <v>2017</v>
      </c>
      <c r="C11377">
        <v>11</v>
      </c>
      <c r="D11377" s="11">
        <v>43040</v>
      </c>
      <c r="E11377" t="s">
        <v>2183</v>
      </c>
      <c r="F11377">
        <v>4</v>
      </c>
      <c r="G11377" t="s">
        <v>53</v>
      </c>
      <c r="H11377" t="s">
        <v>47</v>
      </c>
      <c r="I11377" t="s">
        <v>2195</v>
      </c>
      <c r="J11377" s="10">
        <v>3</v>
      </c>
      <c r="K11377" t="b">
        <v>1</v>
      </c>
    </row>
    <row r="11378" spans="1:11">
      <c r="A11378" s="12">
        <v>43063</v>
      </c>
      <c r="B11378">
        <v>2017</v>
      </c>
      <c r="C11378">
        <v>11</v>
      </c>
      <c r="D11378" s="11">
        <v>43040</v>
      </c>
      <c r="E11378" t="s">
        <v>2183</v>
      </c>
      <c r="F11378">
        <v>5</v>
      </c>
      <c r="G11378" t="s">
        <v>55</v>
      </c>
      <c r="H11378" t="s">
        <v>40</v>
      </c>
      <c r="I11378" t="s">
        <v>2188</v>
      </c>
      <c r="J11378" s="10">
        <v>8</v>
      </c>
      <c r="K11378" t="b">
        <v>1</v>
      </c>
    </row>
    <row r="11379" spans="1:11">
      <c r="A11379" s="12">
        <v>43063</v>
      </c>
      <c r="B11379">
        <v>2017</v>
      </c>
      <c r="C11379">
        <v>11</v>
      </c>
      <c r="D11379" s="11">
        <v>43040</v>
      </c>
      <c r="E11379" t="s">
        <v>2183</v>
      </c>
      <c r="F11379">
        <v>5</v>
      </c>
      <c r="G11379" t="s">
        <v>55</v>
      </c>
      <c r="H11379" t="s">
        <v>41</v>
      </c>
      <c r="I11379" t="s">
        <v>2189</v>
      </c>
      <c r="J11379" s="10">
        <v>3.132</v>
      </c>
      <c r="K11379" t="b">
        <v>1</v>
      </c>
    </row>
    <row r="11380" spans="1:11">
      <c r="A11380" s="12">
        <v>43063</v>
      </c>
      <c r="B11380">
        <v>2017</v>
      </c>
      <c r="C11380">
        <v>11</v>
      </c>
      <c r="D11380" s="11">
        <v>43040</v>
      </c>
      <c r="E11380" t="s">
        <v>2183</v>
      </c>
      <c r="F11380">
        <v>5</v>
      </c>
      <c r="G11380" t="s">
        <v>55</v>
      </c>
      <c r="H11380" t="s">
        <v>42</v>
      </c>
      <c r="I11380" t="s">
        <v>2190</v>
      </c>
      <c r="J11380" s="10">
        <v>5</v>
      </c>
      <c r="K11380" t="b">
        <v>1</v>
      </c>
    </row>
    <row r="11381" spans="1:11">
      <c r="A11381" s="12">
        <v>43063</v>
      </c>
      <c r="B11381">
        <v>2017</v>
      </c>
      <c r="C11381">
        <v>11</v>
      </c>
      <c r="D11381" s="11">
        <v>43040</v>
      </c>
      <c r="E11381" t="s">
        <v>2183</v>
      </c>
      <c r="F11381">
        <v>5</v>
      </c>
      <c r="G11381" t="s">
        <v>55</v>
      </c>
      <c r="H11381" t="s">
        <v>43</v>
      </c>
      <c r="I11381" t="s">
        <v>2191</v>
      </c>
      <c r="J11381" s="10">
        <v>34.324</v>
      </c>
      <c r="K11381" t="b">
        <v>1</v>
      </c>
    </row>
    <row r="11382" spans="1:11">
      <c r="A11382" s="12">
        <v>43063</v>
      </c>
      <c r="B11382">
        <v>2017</v>
      </c>
      <c r="C11382">
        <v>11</v>
      </c>
      <c r="D11382" s="11">
        <v>43040</v>
      </c>
      <c r="E11382" t="s">
        <v>2183</v>
      </c>
      <c r="F11382">
        <v>5</v>
      </c>
      <c r="G11382" t="s">
        <v>55</v>
      </c>
      <c r="H11382" t="s">
        <v>44</v>
      </c>
      <c r="I11382" t="s">
        <v>2192</v>
      </c>
      <c r="J11382" s="10">
        <v>5</v>
      </c>
      <c r="K11382" t="b">
        <v>1</v>
      </c>
    </row>
    <row r="11383" spans="1:11">
      <c r="A11383" s="12">
        <v>43063</v>
      </c>
      <c r="B11383">
        <v>2017</v>
      </c>
      <c r="C11383">
        <v>11</v>
      </c>
      <c r="D11383" s="11">
        <v>43040</v>
      </c>
      <c r="E11383" t="s">
        <v>2183</v>
      </c>
      <c r="F11383">
        <v>5</v>
      </c>
      <c r="G11383" t="s">
        <v>55</v>
      </c>
      <c r="H11383" t="s">
        <v>45</v>
      </c>
      <c r="I11383" t="s">
        <v>2193</v>
      </c>
      <c r="J11383" s="10">
        <v>2</v>
      </c>
      <c r="K11383" t="b">
        <v>1</v>
      </c>
    </row>
    <row r="11384" spans="1:11">
      <c r="A11384" s="12">
        <v>43063</v>
      </c>
      <c r="B11384">
        <v>2017</v>
      </c>
      <c r="C11384">
        <v>11</v>
      </c>
      <c r="D11384" s="11">
        <v>43040</v>
      </c>
      <c r="E11384" t="s">
        <v>2183</v>
      </c>
      <c r="F11384">
        <v>5</v>
      </c>
      <c r="G11384" t="s">
        <v>55</v>
      </c>
      <c r="H11384" t="s">
        <v>46</v>
      </c>
      <c r="I11384" t="s">
        <v>2194</v>
      </c>
      <c r="J11384" s="10">
        <v>2</v>
      </c>
      <c r="K11384" t="b">
        <v>1</v>
      </c>
    </row>
    <row r="11385" spans="1:11">
      <c r="A11385" s="12">
        <v>43063</v>
      </c>
      <c r="B11385">
        <v>2017</v>
      </c>
      <c r="C11385">
        <v>11</v>
      </c>
      <c r="D11385" s="11">
        <v>43040</v>
      </c>
      <c r="E11385" t="s">
        <v>2183</v>
      </c>
      <c r="F11385">
        <v>5</v>
      </c>
      <c r="G11385" t="s">
        <v>55</v>
      </c>
      <c r="H11385" t="s">
        <v>47</v>
      </c>
      <c r="I11385" t="s">
        <v>2195</v>
      </c>
      <c r="J11385" s="10">
        <v>0</v>
      </c>
      <c r="K11385" t="b">
        <v>1</v>
      </c>
    </row>
    <row r="11386" spans="1:11">
      <c r="A11386" s="12">
        <v>43064</v>
      </c>
      <c r="B11386">
        <v>2017</v>
      </c>
      <c r="C11386">
        <v>11</v>
      </c>
      <c r="D11386" s="11">
        <v>43040</v>
      </c>
      <c r="E11386" t="s">
        <v>2183</v>
      </c>
      <c r="F11386">
        <v>6</v>
      </c>
      <c r="G11386" t="s">
        <v>57</v>
      </c>
      <c r="H11386" t="s">
        <v>40</v>
      </c>
      <c r="I11386" t="s">
        <v>2188</v>
      </c>
      <c r="J11386" s="10">
        <v>5.33</v>
      </c>
      <c r="K11386" t="b">
        <v>1</v>
      </c>
    </row>
    <row r="11387" spans="1:11">
      <c r="A11387" s="12">
        <v>43064</v>
      </c>
      <c r="B11387">
        <v>2017</v>
      </c>
      <c r="C11387">
        <v>11</v>
      </c>
      <c r="D11387" s="11">
        <v>43040</v>
      </c>
      <c r="E11387" t="s">
        <v>2183</v>
      </c>
      <c r="F11387">
        <v>6</v>
      </c>
      <c r="G11387" t="s">
        <v>57</v>
      </c>
      <c r="H11387" t="s">
        <v>41</v>
      </c>
      <c r="I11387" t="s">
        <v>2189</v>
      </c>
      <c r="J11387" s="10">
        <v>6.076</v>
      </c>
      <c r="K11387" t="b">
        <v>1</v>
      </c>
    </row>
    <row r="11388" spans="1:11">
      <c r="A11388" s="12">
        <v>43064</v>
      </c>
      <c r="B11388">
        <v>2017</v>
      </c>
      <c r="C11388">
        <v>11</v>
      </c>
      <c r="D11388" s="11">
        <v>43040</v>
      </c>
      <c r="E11388" t="s">
        <v>2183</v>
      </c>
      <c r="F11388">
        <v>6</v>
      </c>
      <c r="G11388" t="s">
        <v>57</v>
      </c>
      <c r="H11388" t="s">
        <v>42</v>
      </c>
      <c r="I11388" t="s">
        <v>2190</v>
      </c>
      <c r="J11388" s="10">
        <v>4.1</v>
      </c>
      <c r="K11388" t="b">
        <v>1</v>
      </c>
    </row>
    <row r="11389" spans="1:11">
      <c r="A11389" s="12">
        <v>43064</v>
      </c>
      <c r="B11389">
        <v>2017</v>
      </c>
      <c r="C11389">
        <v>11</v>
      </c>
      <c r="D11389" s="11">
        <v>43040</v>
      </c>
      <c r="E11389" t="s">
        <v>2183</v>
      </c>
      <c r="F11389">
        <v>6</v>
      </c>
      <c r="G11389" t="s">
        <v>57</v>
      </c>
      <c r="H11389" t="s">
        <v>43</v>
      </c>
      <c r="I11389" t="s">
        <v>2191</v>
      </c>
      <c r="J11389" s="10">
        <v>26.5</v>
      </c>
      <c r="K11389" t="b">
        <v>1</v>
      </c>
    </row>
    <row r="11390" spans="1:11">
      <c r="A11390" s="12">
        <v>43064</v>
      </c>
      <c r="B11390">
        <v>2017</v>
      </c>
      <c r="C11390">
        <v>11</v>
      </c>
      <c r="D11390" s="11">
        <v>43040</v>
      </c>
      <c r="E11390" t="s">
        <v>2183</v>
      </c>
      <c r="F11390">
        <v>6</v>
      </c>
      <c r="G11390" t="s">
        <v>57</v>
      </c>
      <c r="H11390" t="s">
        <v>44</v>
      </c>
      <c r="I11390" t="s">
        <v>2192</v>
      </c>
      <c r="J11390" s="10">
        <v>8</v>
      </c>
      <c r="K11390" t="b">
        <v>1</v>
      </c>
    </row>
    <row r="11391" spans="1:11">
      <c r="A11391" s="12">
        <v>43064</v>
      </c>
      <c r="B11391">
        <v>2017</v>
      </c>
      <c r="C11391">
        <v>11</v>
      </c>
      <c r="D11391" s="11">
        <v>43040</v>
      </c>
      <c r="E11391" t="s">
        <v>2183</v>
      </c>
      <c r="F11391">
        <v>6</v>
      </c>
      <c r="G11391" t="s">
        <v>57</v>
      </c>
      <c r="H11391" t="s">
        <v>45</v>
      </c>
      <c r="I11391" t="s">
        <v>2193</v>
      </c>
      <c r="J11391" s="10">
        <v>0</v>
      </c>
      <c r="K11391" t="b">
        <v>1</v>
      </c>
    </row>
    <row r="11392" spans="1:11">
      <c r="A11392" s="12">
        <v>43064</v>
      </c>
      <c r="B11392">
        <v>2017</v>
      </c>
      <c r="C11392">
        <v>11</v>
      </c>
      <c r="D11392" s="11">
        <v>43040</v>
      </c>
      <c r="E11392" t="s">
        <v>2183</v>
      </c>
      <c r="F11392">
        <v>6</v>
      </c>
      <c r="G11392" t="s">
        <v>57</v>
      </c>
      <c r="H11392" t="s">
        <v>46</v>
      </c>
      <c r="I11392" t="s">
        <v>2194</v>
      </c>
      <c r="J11392" s="10">
        <v>2</v>
      </c>
      <c r="K11392" t="b">
        <v>1</v>
      </c>
    </row>
    <row r="11393" spans="1:11">
      <c r="A11393" s="12">
        <v>43064</v>
      </c>
      <c r="B11393">
        <v>2017</v>
      </c>
      <c r="C11393">
        <v>11</v>
      </c>
      <c r="D11393" s="11">
        <v>43040</v>
      </c>
      <c r="E11393" t="s">
        <v>2183</v>
      </c>
      <c r="F11393">
        <v>6</v>
      </c>
      <c r="G11393" t="s">
        <v>57</v>
      </c>
      <c r="H11393" t="s">
        <v>47</v>
      </c>
      <c r="I11393" t="s">
        <v>2195</v>
      </c>
      <c r="J11393" s="10">
        <v>0</v>
      </c>
      <c r="K11393" t="b">
        <v>1</v>
      </c>
    </row>
    <row r="11394" spans="1:11">
      <c r="A11394" s="12">
        <v>43065</v>
      </c>
      <c r="B11394">
        <v>2017</v>
      </c>
      <c r="C11394">
        <v>11</v>
      </c>
      <c r="D11394" s="11">
        <v>43040</v>
      </c>
      <c r="E11394" t="s">
        <v>2183</v>
      </c>
      <c r="F11394">
        <v>7</v>
      </c>
      <c r="G11394" t="s">
        <v>59</v>
      </c>
      <c r="H11394" t="s">
        <v>40</v>
      </c>
      <c r="I11394" t="s">
        <v>2188</v>
      </c>
      <c r="J11394" s="10">
        <v>5.66</v>
      </c>
      <c r="K11394" t="b">
        <v>1</v>
      </c>
    </row>
    <row r="11395" spans="1:11">
      <c r="A11395" s="12">
        <v>43065</v>
      </c>
      <c r="B11395">
        <v>2017</v>
      </c>
      <c r="C11395">
        <v>11</v>
      </c>
      <c r="D11395" s="11">
        <v>43040</v>
      </c>
      <c r="E11395" t="s">
        <v>2183</v>
      </c>
      <c r="F11395">
        <v>7</v>
      </c>
      <c r="G11395" t="s">
        <v>59</v>
      </c>
      <c r="H11395" t="s">
        <v>41</v>
      </c>
      <c r="I11395" t="s">
        <v>2189</v>
      </c>
      <c r="J11395" s="10">
        <v>5.786</v>
      </c>
      <c r="K11395" t="b">
        <v>1</v>
      </c>
    </row>
    <row r="11396" spans="1:11">
      <c r="A11396" s="12">
        <v>43065</v>
      </c>
      <c r="B11396">
        <v>2017</v>
      </c>
      <c r="C11396">
        <v>11</v>
      </c>
      <c r="D11396" s="11">
        <v>43040</v>
      </c>
      <c r="E11396" t="s">
        <v>2183</v>
      </c>
      <c r="F11396">
        <v>7</v>
      </c>
      <c r="G11396" t="s">
        <v>59</v>
      </c>
      <c r="H11396" t="s">
        <v>42</v>
      </c>
      <c r="I11396" t="s">
        <v>2190</v>
      </c>
      <c r="J11396" s="10">
        <v>1</v>
      </c>
      <c r="K11396" t="b">
        <v>1</v>
      </c>
    </row>
    <row r="11397" spans="1:11">
      <c r="A11397" s="12">
        <v>43065</v>
      </c>
      <c r="B11397">
        <v>2017</v>
      </c>
      <c r="C11397">
        <v>11</v>
      </c>
      <c r="D11397" s="11">
        <v>43040</v>
      </c>
      <c r="E11397" t="s">
        <v>2183</v>
      </c>
      <c r="F11397">
        <v>7</v>
      </c>
      <c r="G11397" t="s">
        <v>59</v>
      </c>
      <c r="H11397" t="s">
        <v>43</v>
      </c>
      <c r="I11397" t="s">
        <v>2191</v>
      </c>
      <c r="J11397" s="10">
        <v>31.2</v>
      </c>
      <c r="K11397" t="b">
        <v>1</v>
      </c>
    </row>
    <row r="11398" spans="1:11">
      <c r="A11398" s="12">
        <v>43065</v>
      </c>
      <c r="B11398">
        <v>2017</v>
      </c>
      <c r="C11398">
        <v>11</v>
      </c>
      <c r="D11398" s="11">
        <v>43040</v>
      </c>
      <c r="E11398" t="s">
        <v>2183</v>
      </c>
      <c r="F11398">
        <v>7</v>
      </c>
      <c r="G11398" t="s">
        <v>59</v>
      </c>
      <c r="H11398" t="s">
        <v>44</v>
      </c>
      <c r="I11398" t="s">
        <v>2192</v>
      </c>
      <c r="J11398" s="10">
        <v>2</v>
      </c>
      <c r="K11398" t="b">
        <v>1</v>
      </c>
    </row>
    <row r="11399" spans="1:11">
      <c r="A11399" s="12">
        <v>43065</v>
      </c>
      <c r="B11399">
        <v>2017</v>
      </c>
      <c r="C11399">
        <v>11</v>
      </c>
      <c r="D11399" s="11">
        <v>43040</v>
      </c>
      <c r="E11399" t="s">
        <v>2183</v>
      </c>
      <c r="F11399">
        <v>7</v>
      </c>
      <c r="G11399" t="s">
        <v>59</v>
      </c>
      <c r="H11399" t="s">
        <v>45</v>
      </c>
      <c r="I11399" t="s">
        <v>2193</v>
      </c>
      <c r="J11399" s="10">
        <v>1</v>
      </c>
      <c r="K11399" t="b">
        <v>1</v>
      </c>
    </row>
    <row r="11400" spans="1:11">
      <c r="A11400" s="12">
        <v>43065</v>
      </c>
      <c r="B11400">
        <v>2017</v>
      </c>
      <c r="C11400">
        <v>11</v>
      </c>
      <c r="D11400" s="11">
        <v>43040</v>
      </c>
      <c r="E11400" t="s">
        <v>2183</v>
      </c>
      <c r="F11400">
        <v>7</v>
      </c>
      <c r="G11400" t="s">
        <v>59</v>
      </c>
      <c r="H11400" t="s">
        <v>46</v>
      </c>
      <c r="I11400" t="s">
        <v>2194</v>
      </c>
      <c r="J11400" s="10">
        <v>12</v>
      </c>
      <c r="K11400" t="b">
        <v>1</v>
      </c>
    </row>
    <row r="11401" spans="1:11">
      <c r="A11401" s="12">
        <v>43065</v>
      </c>
      <c r="B11401">
        <v>2017</v>
      </c>
      <c r="C11401">
        <v>11</v>
      </c>
      <c r="D11401" s="11">
        <v>43040</v>
      </c>
      <c r="E11401" t="s">
        <v>2183</v>
      </c>
      <c r="F11401">
        <v>7</v>
      </c>
      <c r="G11401" t="s">
        <v>59</v>
      </c>
      <c r="H11401" t="s">
        <v>47</v>
      </c>
      <c r="I11401" t="s">
        <v>2195</v>
      </c>
      <c r="J11401" s="10">
        <v>2</v>
      </c>
      <c r="K11401" t="b">
        <v>1</v>
      </c>
    </row>
    <row r="11402" spans="1:11">
      <c r="A11402" s="12">
        <v>43066</v>
      </c>
      <c r="B11402">
        <v>2017</v>
      </c>
      <c r="C11402">
        <v>11</v>
      </c>
      <c r="D11402" s="11">
        <v>43040</v>
      </c>
      <c r="E11402" t="s">
        <v>2183</v>
      </c>
      <c r="F11402">
        <v>1</v>
      </c>
      <c r="G11402" t="s">
        <v>61</v>
      </c>
      <c r="H11402" t="s">
        <v>40</v>
      </c>
      <c r="I11402" t="s">
        <v>2188</v>
      </c>
      <c r="J11402" s="10">
        <v>1.34</v>
      </c>
      <c r="K11402" t="b">
        <v>1</v>
      </c>
    </row>
    <row r="11403" spans="1:11">
      <c r="A11403" s="12">
        <v>43066</v>
      </c>
      <c r="B11403">
        <v>2017</v>
      </c>
      <c r="C11403">
        <v>11</v>
      </c>
      <c r="D11403" s="11">
        <v>43040</v>
      </c>
      <c r="E11403" t="s">
        <v>2183</v>
      </c>
      <c r="F11403">
        <v>1</v>
      </c>
      <c r="G11403" t="s">
        <v>61</v>
      </c>
      <c r="H11403" t="s">
        <v>41</v>
      </c>
      <c r="I11403" t="s">
        <v>2189</v>
      </c>
      <c r="J11403" s="10">
        <v>3.67</v>
      </c>
      <c r="K11403" t="b">
        <v>1</v>
      </c>
    </row>
    <row r="11404" spans="1:11">
      <c r="A11404" s="12">
        <v>43066</v>
      </c>
      <c r="B11404">
        <v>2017</v>
      </c>
      <c r="C11404">
        <v>11</v>
      </c>
      <c r="D11404" s="11">
        <v>43040</v>
      </c>
      <c r="E11404" t="s">
        <v>2183</v>
      </c>
      <c r="F11404">
        <v>1</v>
      </c>
      <c r="G11404" t="s">
        <v>61</v>
      </c>
      <c r="H11404" t="s">
        <v>42</v>
      </c>
      <c r="I11404" t="s">
        <v>2190</v>
      </c>
      <c r="J11404" s="10">
        <v>6.1</v>
      </c>
      <c r="K11404" t="b">
        <v>1</v>
      </c>
    </row>
    <row r="11405" spans="1:11">
      <c r="A11405" s="12">
        <v>43066</v>
      </c>
      <c r="B11405">
        <v>2017</v>
      </c>
      <c r="C11405">
        <v>11</v>
      </c>
      <c r="D11405" s="11">
        <v>43040</v>
      </c>
      <c r="E11405" t="s">
        <v>2183</v>
      </c>
      <c r="F11405">
        <v>1</v>
      </c>
      <c r="G11405" t="s">
        <v>61</v>
      </c>
      <c r="H11405" t="s">
        <v>43</v>
      </c>
      <c r="I11405" t="s">
        <v>2191</v>
      </c>
      <c r="J11405" s="10">
        <v>34.825</v>
      </c>
      <c r="K11405" t="b">
        <v>1</v>
      </c>
    </row>
    <row r="11406" spans="1:11">
      <c r="A11406" s="12">
        <v>43066</v>
      </c>
      <c r="B11406">
        <v>2017</v>
      </c>
      <c r="C11406">
        <v>11</v>
      </c>
      <c r="D11406" s="11">
        <v>43040</v>
      </c>
      <c r="E11406" t="s">
        <v>2183</v>
      </c>
      <c r="F11406">
        <v>1</v>
      </c>
      <c r="G11406" t="s">
        <v>61</v>
      </c>
      <c r="H11406" t="s">
        <v>44</v>
      </c>
      <c r="I11406" t="s">
        <v>2192</v>
      </c>
      <c r="J11406" s="10">
        <v>4</v>
      </c>
      <c r="K11406" t="b">
        <v>1</v>
      </c>
    </row>
    <row r="11407" spans="1:11">
      <c r="A11407" s="12">
        <v>43066</v>
      </c>
      <c r="B11407">
        <v>2017</v>
      </c>
      <c r="C11407">
        <v>11</v>
      </c>
      <c r="D11407" s="11">
        <v>43040</v>
      </c>
      <c r="E11407" t="s">
        <v>2183</v>
      </c>
      <c r="F11407">
        <v>1</v>
      </c>
      <c r="G11407" t="s">
        <v>61</v>
      </c>
      <c r="H11407" t="s">
        <v>45</v>
      </c>
      <c r="I11407" t="s">
        <v>2193</v>
      </c>
      <c r="J11407" s="10">
        <v>0</v>
      </c>
      <c r="K11407" t="b">
        <v>1</v>
      </c>
    </row>
    <row r="11408" spans="1:11">
      <c r="A11408" s="12">
        <v>43066</v>
      </c>
      <c r="B11408">
        <v>2017</v>
      </c>
      <c r="C11408">
        <v>11</v>
      </c>
      <c r="D11408" s="11">
        <v>43040</v>
      </c>
      <c r="E11408" t="s">
        <v>2183</v>
      </c>
      <c r="F11408">
        <v>1</v>
      </c>
      <c r="G11408" t="s">
        <v>61</v>
      </c>
      <c r="H11408" t="s">
        <v>46</v>
      </c>
      <c r="I11408" t="s">
        <v>2194</v>
      </c>
      <c r="J11408" s="10">
        <v>7</v>
      </c>
      <c r="K11408" t="b">
        <v>1</v>
      </c>
    </row>
    <row r="11409" spans="1:11">
      <c r="A11409" s="12">
        <v>43066</v>
      </c>
      <c r="B11409">
        <v>2017</v>
      </c>
      <c r="C11409">
        <v>11</v>
      </c>
      <c r="D11409" s="11">
        <v>43040</v>
      </c>
      <c r="E11409" t="s">
        <v>2183</v>
      </c>
      <c r="F11409">
        <v>1</v>
      </c>
      <c r="G11409" t="s">
        <v>61</v>
      </c>
      <c r="H11409" t="s">
        <v>47</v>
      </c>
      <c r="I11409" t="s">
        <v>2195</v>
      </c>
      <c r="J11409" s="10">
        <v>3</v>
      </c>
      <c r="K11409" t="b">
        <v>1</v>
      </c>
    </row>
    <row r="11410" spans="1:11">
      <c r="A11410" s="12">
        <v>43067</v>
      </c>
      <c r="B11410">
        <v>2017</v>
      </c>
      <c r="C11410">
        <v>11</v>
      </c>
      <c r="D11410" s="11">
        <v>43040</v>
      </c>
      <c r="E11410" t="s">
        <v>2183</v>
      </c>
      <c r="F11410">
        <v>2</v>
      </c>
      <c r="G11410" t="s">
        <v>63</v>
      </c>
      <c r="H11410" t="s">
        <v>40</v>
      </c>
      <c r="I11410" t="s">
        <v>2188</v>
      </c>
      <c r="J11410" s="10">
        <v>5</v>
      </c>
      <c r="K11410" t="b">
        <v>1</v>
      </c>
    </row>
    <row r="11411" spans="1:11">
      <c r="A11411" s="12">
        <v>43067</v>
      </c>
      <c r="B11411">
        <v>2017</v>
      </c>
      <c r="C11411">
        <v>11</v>
      </c>
      <c r="D11411" s="11">
        <v>43040</v>
      </c>
      <c r="E11411" t="s">
        <v>2183</v>
      </c>
      <c r="F11411">
        <v>2</v>
      </c>
      <c r="G11411" t="s">
        <v>63</v>
      </c>
      <c r="H11411" t="s">
        <v>41</v>
      </c>
      <c r="I11411" t="s">
        <v>2189</v>
      </c>
      <c r="J11411" s="10">
        <v>1.34</v>
      </c>
      <c r="K11411" t="b">
        <v>1</v>
      </c>
    </row>
    <row r="11412" spans="1:11">
      <c r="A11412" s="12">
        <v>43067</v>
      </c>
      <c r="B11412">
        <v>2017</v>
      </c>
      <c r="C11412">
        <v>11</v>
      </c>
      <c r="D11412" s="11">
        <v>43040</v>
      </c>
      <c r="E11412" t="s">
        <v>2183</v>
      </c>
      <c r="F11412">
        <v>2</v>
      </c>
      <c r="G11412" t="s">
        <v>63</v>
      </c>
      <c r="H11412" t="s">
        <v>42</v>
      </c>
      <c r="I11412" t="s">
        <v>2190</v>
      </c>
      <c r="J11412" s="10">
        <v>5.35</v>
      </c>
      <c r="K11412" t="b">
        <v>1</v>
      </c>
    </row>
    <row r="11413" spans="1:11">
      <c r="A11413" s="12">
        <v>43067</v>
      </c>
      <c r="B11413">
        <v>2017</v>
      </c>
      <c r="C11413">
        <v>11</v>
      </c>
      <c r="D11413" s="11">
        <v>43040</v>
      </c>
      <c r="E11413" t="s">
        <v>2183</v>
      </c>
      <c r="F11413">
        <v>2</v>
      </c>
      <c r="G11413" t="s">
        <v>63</v>
      </c>
      <c r="H11413" t="s">
        <v>43</v>
      </c>
      <c r="I11413" t="s">
        <v>2191</v>
      </c>
      <c r="J11413" s="10">
        <v>40.6</v>
      </c>
      <c r="K11413" t="b">
        <v>1</v>
      </c>
    </row>
    <row r="11414" spans="1:11">
      <c r="A11414" s="12">
        <v>43067</v>
      </c>
      <c r="B11414">
        <v>2017</v>
      </c>
      <c r="C11414">
        <v>11</v>
      </c>
      <c r="D11414" s="11">
        <v>43040</v>
      </c>
      <c r="E11414" t="s">
        <v>2183</v>
      </c>
      <c r="F11414">
        <v>2</v>
      </c>
      <c r="G11414" t="s">
        <v>63</v>
      </c>
      <c r="H11414" t="s">
        <v>44</v>
      </c>
      <c r="I11414" t="s">
        <v>2192</v>
      </c>
      <c r="J11414" s="10">
        <v>5</v>
      </c>
      <c r="K11414" t="b">
        <v>1</v>
      </c>
    </row>
    <row r="11415" spans="1:11">
      <c r="A11415" s="12">
        <v>43067</v>
      </c>
      <c r="B11415">
        <v>2017</v>
      </c>
      <c r="C11415">
        <v>11</v>
      </c>
      <c r="D11415" s="11">
        <v>43040</v>
      </c>
      <c r="E11415" t="s">
        <v>2183</v>
      </c>
      <c r="F11415">
        <v>2</v>
      </c>
      <c r="G11415" t="s">
        <v>63</v>
      </c>
      <c r="H11415" t="s">
        <v>45</v>
      </c>
      <c r="I11415" t="s">
        <v>2193</v>
      </c>
      <c r="J11415" s="10">
        <v>3</v>
      </c>
      <c r="K11415" t="b">
        <v>1</v>
      </c>
    </row>
    <row r="11416" spans="1:11">
      <c r="A11416" s="12">
        <v>43067</v>
      </c>
      <c r="B11416">
        <v>2017</v>
      </c>
      <c r="C11416">
        <v>11</v>
      </c>
      <c r="D11416" s="11">
        <v>43040</v>
      </c>
      <c r="E11416" t="s">
        <v>2183</v>
      </c>
      <c r="F11416">
        <v>2</v>
      </c>
      <c r="G11416" t="s">
        <v>63</v>
      </c>
      <c r="H11416" t="s">
        <v>46</v>
      </c>
      <c r="I11416" t="s">
        <v>2194</v>
      </c>
      <c r="J11416" s="10">
        <v>8</v>
      </c>
      <c r="K11416" t="b">
        <v>1</v>
      </c>
    </row>
    <row r="11417" spans="1:11">
      <c r="A11417" s="12">
        <v>43067</v>
      </c>
      <c r="B11417">
        <v>2017</v>
      </c>
      <c r="C11417">
        <v>11</v>
      </c>
      <c r="D11417" s="11">
        <v>43040</v>
      </c>
      <c r="E11417" t="s">
        <v>2183</v>
      </c>
      <c r="F11417">
        <v>2</v>
      </c>
      <c r="G11417" t="s">
        <v>63</v>
      </c>
      <c r="H11417" t="s">
        <v>47</v>
      </c>
      <c r="I11417" t="s">
        <v>2195</v>
      </c>
      <c r="J11417" s="10">
        <v>3</v>
      </c>
      <c r="K11417" t="b">
        <v>1</v>
      </c>
    </row>
    <row r="11418" spans="1:11">
      <c r="A11418" s="12">
        <v>43068</v>
      </c>
      <c r="B11418">
        <v>2017</v>
      </c>
      <c r="C11418">
        <v>11</v>
      </c>
      <c r="D11418" s="11">
        <v>43040</v>
      </c>
      <c r="E11418" t="s">
        <v>2183</v>
      </c>
      <c r="F11418">
        <v>3</v>
      </c>
      <c r="G11418" t="s">
        <v>65</v>
      </c>
      <c r="H11418" t="s">
        <v>40</v>
      </c>
      <c r="I11418" t="s">
        <v>2188</v>
      </c>
      <c r="J11418" s="10">
        <v>6.34</v>
      </c>
      <c r="K11418" t="b">
        <v>1</v>
      </c>
    </row>
    <row r="11419" spans="1:11">
      <c r="A11419" s="12">
        <v>43068</v>
      </c>
      <c r="B11419">
        <v>2017</v>
      </c>
      <c r="C11419">
        <v>11</v>
      </c>
      <c r="D11419" s="11">
        <v>43040</v>
      </c>
      <c r="E11419" t="s">
        <v>2183</v>
      </c>
      <c r="F11419">
        <v>3</v>
      </c>
      <c r="G11419" t="s">
        <v>65</v>
      </c>
      <c r="H11419" t="s">
        <v>41</v>
      </c>
      <c r="I11419" t="s">
        <v>2189</v>
      </c>
      <c r="J11419" s="10">
        <v>2.397</v>
      </c>
      <c r="K11419" t="b">
        <v>1</v>
      </c>
    </row>
    <row r="11420" spans="1:11">
      <c r="A11420" s="12">
        <v>43068</v>
      </c>
      <c r="B11420">
        <v>2017</v>
      </c>
      <c r="C11420">
        <v>11</v>
      </c>
      <c r="D11420" s="11">
        <v>43040</v>
      </c>
      <c r="E11420" t="s">
        <v>2183</v>
      </c>
      <c r="F11420">
        <v>3</v>
      </c>
      <c r="G11420" t="s">
        <v>65</v>
      </c>
      <c r="H11420" t="s">
        <v>42</v>
      </c>
      <c r="I11420" t="s">
        <v>2190</v>
      </c>
      <c r="J11420" s="10">
        <v>4.1</v>
      </c>
      <c r="K11420" t="b">
        <v>1</v>
      </c>
    </row>
    <row r="11421" spans="1:11">
      <c r="A11421" s="12">
        <v>43068</v>
      </c>
      <c r="B11421">
        <v>2017</v>
      </c>
      <c r="C11421">
        <v>11</v>
      </c>
      <c r="D11421" s="11">
        <v>43040</v>
      </c>
      <c r="E11421" t="s">
        <v>2183</v>
      </c>
      <c r="F11421">
        <v>3</v>
      </c>
      <c r="G11421" t="s">
        <v>65</v>
      </c>
      <c r="H11421" t="s">
        <v>43</v>
      </c>
      <c r="I11421" t="s">
        <v>2191</v>
      </c>
      <c r="J11421" s="10">
        <v>32.6</v>
      </c>
      <c r="K11421" t="b">
        <v>1</v>
      </c>
    </row>
    <row r="11422" spans="1:11">
      <c r="A11422" s="12">
        <v>43068</v>
      </c>
      <c r="B11422">
        <v>2017</v>
      </c>
      <c r="C11422">
        <v>11</v>
      </c>
      <c r="D11422" s="11">
        <v>43040</v>
      </c>
      <c r="E11422" t="s">
        <v>2183</v>
      </c>
      <c r="F11422">
        <v>3</v>
      </c>
      <c r="G11422" t="s">
        <v>65</v>
      </c>
      <c r="H11422" t="s">
        <v>44</v>
      </c>
      <c r="I11422" t="s">
        <v>2192</v>
      </c>
      <c r="J11422" s="10">
        <v>7</v>
      </c>
      <c r="K11422" t="b">
        <v>1</v>
      </c>
    </row>
    <row r="11423" spans="1:11">
      <c r="A11423" s="12">
        <v>43068</v>
      </c>
      <c r="B11423">
        <v>2017</v>
      </c>
      <c r="C11423">
        <v>11</v>
      </c>
      <c r="D11423" s="11">
        <v>43040</v>
      </c>
      <c r="E11423" t="s">
        <v>2183</v>
      </c>
      <c r="F11423">
        <v>3</v>
      </c>
      <c r="G11423" t="s">
        <v>65</v>
      </c>
      <c r="H11423" t="s">
        <v>45</v>
      </c>
      <c r="I11423" t="s">
        <v>2193</v>
      </c>
      <c r="J11423" s="10">
        <v>0</v>
      </c>
      <c r="K11423" t="b">
        <v>1</v>
      </c>
    </row>
    <row r="11424" spans="1:11">
      <c r="A11424" s="12">
        <v>43068</v>
      </c>
      <c r="B11424">
        <v>2017</v>
      </c>
      <c r="C11424">
        <v>11</v>
      </c>
      <c r="D11424" s="11">
        <v>43040</v>
      </c>
      <c r="E11424" t="s">
        <v>2183</v>
      </c>
      <c r="F11424">
        <v>3</v>
      </c>
      <c r="G11424" t="s">
        <v>65</v>
      </c>
      <c r="H11424" t="s">
        <v>46</v>
      </c>
      <c r="I11424" t="s">
        <v>2194</v>
      </c>
      <c r="J11424" s="10">
        <v>5</v>
      </c>
      <c r="K11424" t="b">
        <v>1</v>
      </c>
    </row>
    <row r="11425" spans="1:11">
      <c r="A11425" s="12">
        <v>43068</v>
      </c>
      <c r="B11425">
        <v>2017</v>
      </c>
      <c r="C11425">
        <v>11</v>
      </c>
      <c r="D11425" s="11">
        <v>43040</v>
      </c>
      <c r="E11425" t="s">
        <v>2183</v>
      </c>
      <c r="F11425">
        <v>3</v>
      </c>
      <c r="G11425" t="s">
        <v>65</v>
      </c>
      <c r="H11425" t="s">
        <v>47</v>
      </c>
      <c r="I11425" t="s">
        <v>2195</v>
      </c>
      <c r="J11425" s="10">
        <v>3</v>
      </c>
      <c r="K11425" t="b">
        <v>1</v>
      </c>
    </row>
    <row r="11426" spans="1:11">
      <c r="A11426" s="12">
        <v>43069</v>
      </c>
      <c r="B11426">
        <v>2017</v>
      </c>
      <c r="C11426">
        <v>11</v>
      </c>
      <c r="D11426" s="11">
        <v>43040</v>
      </c>
      <c r="E11426" t="s">
        <v>2183</v>
      </c>
      <c r="F11426">
        <v>4</v>
      </c>
      <c r="G11426" t="s">
        <v>53</v>
      </c>
      <c r="H11426" t="s">
        <v>40</v>
      </c>
      <c r="I11426" t="s">
        <v>2188</v>
      </c>
      <c r="J11426" s="10">
        <v>5.67</v>
      </c>
      <c r="K11426" t="b">
        <v>1</v>
      </c>
    </row>
    <row r="11427" spans="1:11">
      <c r="A11427" s="12">
        <v>43069</v>
      </c>
      <c r="B11427">
        <v>2017</v>
      </c>
      <c r="C11427">
        <v>11</v>
      </c>
      <c r="D11427" s="11">
        <v>43040</v>
      </c>
      <c r="E11427" t="s">
        <v>2183</v>
      </c>
      <c r="F11427">
        <v>4</v>
      </c>
      <c r="G11427" t="s">
        <v>53</v>
      </c>
      <c r="H11427" t="s">
        <v>41</v>
      </c>
      <c r="I11427" t="s">
        <v>2189</v>
      </c>
      <c r="J11427" s="10">
        <v>1.396</v>
      </c>
      <c r="K11427" t="b">
        <v>1</v>
      </c>
    </row>
    <row r="11428" spans="1:11">
      <c r="A11428" s="12">
        <v>43069</v>
      </c>
      <c r="B11428">
        <v>2017</v>
      </c>
      <c r="C11428">
        <v>11</v>
      </c>
      <c r="D11428" s="11">
        <v>43040</v>
      </c>
      <c r="E11428" t="s">
        <v>2183</v>
      </c>
      <c r="F11428">
        <v>4</v>
      </c>
      <c r="G11428" t="s">
        <v>53</v>
      </c>
      <c r="H11428" t="s">
        <v>42</v>
      </c>
      <c r="I11428" t="s">
        <v>2190</v>
      </c>
      <c r="J11428" s="10">
        <v>3</v>
      </c>
      <c r="K11428" t="b">
        <v>1</v>
      </c>
    </row>
    <row r="11429" spans="1:11">
      <c r="A11429" s="12">
        <v>43069</v>
      </c>
      <c r="B11429">
        <v>2017</v>
      </c>
      <c r="C11429">
        <v>11</v>
      </c>
      <c r="D11429" s="11">
        <v>43040</v>
      </c>
      <c r="E11429" t="s">
        <v>2183</v>
      </c>
      <c r="F11429">
        <v>4</v>
      </c>
      <c r="G11429" t="s">
        <v>53</v>
      </c>
      <c r="H11429" t="s">
        <v>43</v>
      </c>
      <c r="I11429" t="s">
        <v>2191</v>
      </c>
      <c r="J11429" s="10">
        <v>30</v>
      </c>
      <c r="K11429" t="b">
        <v>1</v>
      </c>
    </row>
    <row r="11430" spans="1:11">
      <c r="A11430" s="12">
        <v>43069</v>
      </c>
      <c r="B11430">
        <v>2017</v>
      </c>
      <c r="C11430">
        <v>11</v>
      </c>
      <c r="D11430" s="11">
        <v>43040</v>
      </c>
      <c r="E11430" t="s">
        <v>2183</v>
      </c>
      <c r="F11430">
        <v>4</v>
      </c>
      <c r="G11430" t="s">
        <v>53</v>
      </c>
      <c r="H11430" t="s">
        <v>44</v>
      </c>
      <c r="I11430" t="s">
        <v>2192</v>
      </c>
      <c r="J11430" s="10">
        <v>2</v>
      </c>
      <c r="K11430" t="b">
        <v>1</v>
      </c>
    </row>
    <row r="11431" spans="1:11">
      <c r="A11431" s="12">
        <v>43069</v>
      </c>
      <c r="B11431">
        <v>2017</v>
      </c>
      <c r="C11431">
        <v>11</v>
      </c>
      <c r="D11431" s="11">
        <v>43040</v>
      </c>
      <c r="E11431" t="s">
        <v>2183</v>
      </c>
      <c r="F11431">
        <v>4</v>
      </c>
      <c r="G11431" t="s">
        <v>53</v>
      </c>
      <c r="H11431" t="s">
        <v>45</v>
      </c>
      <c r="I11431" t="s">
        <v>2193</v>
      </c>
      <c r="J11431" s="10">
        <v>0</v>
      </c>
      <c r="K11431" t="b">
        <v>1</v>
      </c>
    </row>
    <row r="11432" spans="1:11">
      <c r="A11432" s="12">
        <v>43069</v>
      </c>
      <c r="B11432">
        <v>2017</v>
      </c>
      <c r="C11432">
        <v>11</v>
      </c>
      <c r="D11432" s="11">
        <v>43040</v>
      </c>
      <c r="E11432" t="s">
        <v>2183</v>
      </c>
      <c r="F11432">
        <v>4</v>
      </c>
      <c r="G11432" t="s">
        <v>53</v>
      </c>
      <c r="H11432" t="s">
        <v>46</v>
      </c>
      <c r="I11432" t="s">
        <v>2194</v>
      </c>
      <c r="J11432" s="10">
        <v>9</v>
      </c>
      <c r="K11432" t="b">
        <v>1</v>
      </c>
    </row>
    <row r="11433" spans="1:11">
      <c r="A11433" s="12">
        <v>43069</v>
      </c>
      <c r="B11433">
        <v>2017</v>
      </c>
      <c r="C11433">
        <v>11</v>
      </c>
      <c r="D11433" s="11">
        <v>43040</v>
      </c>
      <c r="E11433" t="s">
        <v>2183</v>
      </c>
      <c r="F11433">
        <v>4</v>
      </c>
      <c r="G11433" t="s">
        <v>53</v>
      </c>
      <c r="H11433" t="s">
        <v>47</v>
      </c>
      <c r="I11433" t="s">
        <v>2195</v>
      </c>
      <c r="J11433" s="10">
        <v>3</v>
      </c>
      <c r="K11433" t="b">
        <v>1</v>
      </c>
    </row>
    <row r="11434" spans="1:11">
      <c r="A11434" s="12">
        <v>43070</v>
      </c>
      <c r="B11434">
        <v>2017</v>
      </c>
      <c r="C11434">
        <v>12</v>
      </c>
      <c r="D11434" s="11">
        <v>43070</v>
      </c>
      <c r="E11434" t="s">
        <v>2184</v>
      </c>
      <c r="F11434">
        <v>5</v>
      </c>
      <c r="G11434" t="s">
        <v>55</v>
      </c>
      <c r="H11434" t="s">
        <v>40</v>
      </c>
      <c r="I11434" t="s">
        <v>2188</v>
      </c>
      <c r="J11434" s="10">
        <v>10.33</v>
      </c>
      <c r="K11434" t="b">
        <v>1</v>
      </c>
    </row>
    <row r="11435" spans="1:11">
      <c r="A11435" s="12">
        <v>43070</v>
      </c>
      <c r="B11435">
        <v>2017</v>
      </c>
      <c r="C11435">
        <v>12</v>
      </c>
      <c r="D11435" s="11">
        <v>43070</v>
      </c>
      <c r="E11435" t="s">
        <v>2184</v>
      </c>
      <c r="F11435">
        <v>5</v>
      </c>
      <c r="G11435" t="s">
        <v>55</v>
      </c>
      <c r="H11435" t="s">
        <v>41</v>
      </c>
      <c r="I11435" t="s">
        <v>2189</v>
      </c>
      <c r="J11435" s="10">
        <v>7.66</v>
      </c>
      <c r="K11435" t="b">
        <v>1</v>
      </c>
    </row>
    <row r="11436" spans="1:11">
      <c r="A11436" s="12">
        <v>43070</v>
      </c>
      <c r="B11436">
        <v>2017</v>
      </c>
      <c r="C11436">
        <v>12</v>
      </c>
      <c r="D11436" s="11">
        <v>43070</v>
      </c>
      <c r="E11436" t="s">
        <v>2184</v>
      </c>
      <c r="F11436">
        <v>5</v>
      </c>
      <c r="G11436" t="s">
        <v>55</v>
      </c>
      <c r="H11436" t="s">
        <v>42</v>
      </c>
      <c r="I11436" t="s">
        <v>2190</v>
      </c>
      <c r="J11436" s="10">
        <v>1</v>
      </c>
      <c r="K11436" t="b">
        <v>1</v>
      </c>
    </row>
    <row r="11437" spans="1:11">
      <c r="A11437" s="12">
        <v>43070</v>
      </c>
      <c r="B11437">
        <v>2017</v>
      </c>
      <c r="C11437">
        <v>12</v>
      </c>
      <c r="D11437" s="11">
        <v>43070</v>
      </c>
      <c r="E11437" t="s">
        <v>2184</v>
      </c>
      <c r="F11437">
        <v>5</v>
      </c>
      <c r="G11437" t="s">
        <v>55</v>
      </c>
      <c r="H11437" t="s">
        <v>43</v>
      </c>
      <c r="I11437" t="s">
        <v>2191</v>
      </c>
      <c r="J11437" s="10">
        <v>25.4</v>
      </c>
      <c r="K11437" t="b">
        <v>1</v>
      </c>
    </row>
    <row r="11438" spans="1:11">
      <c r="A11438" s="12">
        <v>43070</v>
      </c>
      <c r="B11438">
        <v>2017</v>
      </c>
      <c r="C11438">
        <v>12</v>
      </c>
      <c r="D11438" s="11">
        <v>43070</v>
      </c>
      <c r="E11438" t="s">
        <v>2184</v>
      </c>
      <c r="F11438">
        <v>5</v>
      </c>
      <c r="G11438" t="s">
        <v>55</v>
      </c>
      <c r="H11438" t="s">
        <v>44</v>
      </c>
      <c r="I11438" t="s">
        <v>2192</v>
      </c>
      <c r="J11438" s="10">
        <v>3</v>
      </c>
      <c r="K11438" t="b">
        <v>1</v>
      </c>
    </row>
    <row r="11439" spans="1:11">
      <c r="A11439" s="12">
        <v>43070</v>
      </c>
      <c r="B11439">
        <v>2017</v>
      </c>
      <c r="C11439">
        <v>12</v>
      </c>
      <c r="D11439" s="11">
        <v>43070</v>
      </c>
      <c r="E11439" t="s">
        <v>2184</v>
      </c>
      <c r="F11439">
        <v>5</v>
      </c>
      <c r="G11439" t="s">
        <v>55</v>
      </c>
      <c r="H11439" t="s">
        <v>45</v>
      </c>
      <c r="I11439" t="s">
        <v>2193</v>
      </c>
      <c r="J11439" s="10">
        <v>0</v>
      </c>
      <c r="K11439" t="b">
        <v>1</v>
      </c>
    </row>
    <row r="11440" spans="1:11">
      <c r="A11440" s="12">
        <v>43070</v>
      </c>
      <c r="B11440">
        <v>2017</v>
      </c>
      <c r="C11440">
        <v>12</v>
      </c>
      <c r="D11440" s="11">
        <v>43070</v>
      </c>
      <c r="E11440" t="s">
        <v>2184</v>
      </c>
      <c r="F11440">
        <v>5</v>
      </c>
      <c r="G11440" t="s">
        <v>55</v>
      </c>
      <c r="H11440" t="s">
        <v>46</v>
      </c>
      <c r="I11440" t="s">
        <v>2194</v>
      </c>
      <c r="J11440" s="10">
        <v>5</v>
      </c>
      <c r="K11440" t="b">
        <v>1</v>
      </c>
    </row>
    <row r="11441" spans="1:11">
      <c r="A11441" s="12">
        <v>43070</v>
      </c>
      <c r="B11441">
        <v>2017</v>
      </c>
      <c r="C11441">
        <v>12</v>
      </c>
      <c r="D11441" s="11">
        <v>43070</v>
      </c>
      <c r="E11441" t="s">
        <v>2184</v>
      </c>
      <c r="F11441">
        <v>5</v>
      </c>
      <c r="G11441" t="s">
        <v>55</v>
      </c>
      <c r="H11441" t="s">
        <v>47</v>
      </c>
      <c r="I11441" t="s">
        <v>2195</v>
      </c>
      <c r="J11441" s="10">
        <v>2</v>
      </c>
      <c r="K11441" t="b">
        <v>1</v>
      </c>
    </row>
    <row r="11442" spans="1:11">
      <c r="A11442" s="12">
        <v>43071</v>
      </c>
      <c r="B11442">
        <v>2017</v>
      </c>
      <c r="C11442">
        <v>12</v>
      </c>
      <c r="D11442" s="11">
        <v>43070</v>
      </c>
      <c r="E11442" t="s">
        <v>2184</v>
      </c>
      <c r="F11442">
        <v>6</v>
      </c>
      <c r="G11442" t="s">
        <v>57</v>
      </c>
      <c r="H11442" t="s">
        <v>40</v>
      </c>
      <c r="I11442" t="s">
        <v>2188</v>
      </c>
      <c r="J11442" s="10">
        <v>4.33</v>
      </c>
      <c r="K11442" t="b">
        <v>1</v>
      </c>
    </row>
    <row r="11443" spans="1:11">
      <c r="A11443" s="12">
        <v>43071</v>
      </c>
      <c r="B11443">
        <v>2017</v>
      </c>
      <c r="C11443">
        <v>12</v>
      </c>
      <c r="D11443" s="11">
        <v>43070</v>
      </c>
      <c r="E11443" t="s">
        <v>2184</v>
      </c>
      <c r="F11443">
        <v>6</v>
      </c>
      <c r="G11443" t="s">
        <v>57</v>
      </c>
      <c r="H11443" t="s">
        <v>41</v>
      </c>
      <c r="I11443" t="s">
        <v>2189</v>
      </c>
      <c r="J11443" s="10">
        <v>3.67</v>
      </c>
      <c r="K11443" t="b">
        <v>1</v>
      </c>
    </row>
    <row r="11444" spans="1:11">
      <c r="A11444" s="12">
        <v>43071</v>
      </c>
      <c r="B11444">
        <v>2017</v>
      </c>
      <c r="C11444">
        <v>12</v>
      </c>
      <c r="D11444" s="11">
        <v>43070</v>
      </c>
      <c r="E11444" t="s">
        <v>2184</v>
      </c>
      <c r="F11444">
        <v>6</v>
      </c>
      <c r="G11444" t="s">
        <v>57</v>
      </c>
      <c r="H11444" t="s">
        <v>42</v>
      </c>
      <c r="I11444" t="s">
        <v>2190</v>
      </c>
      <c r="J11444" s="10">
        <v>5</v>
      </c>
      <c r="K11444" t="b">
        <v>1</v>
      </c>
    </row>
    <row r="11445" spans="1:11">
      <c r="A11445" s="12">
        <v>43071</v>
      </c>
      <c r="B11445">
        <v>2017</v>
      </c>
      <c r="C11445">
        <v>12</v>
      </c>
      <c r="D11445" s="11">
        <v>43070</v>
      </c>
      <c r="E11445" t="s">
        <v>2184</v>
      </c>
      <c r="F11445">
        <v>6</v>
      </c>
      <c r="G11445" t="s">
        <v>57</v>
      </c>
      <c r="H11445" t="s">
        <v>43</v>
      </c>
      <c r="I11445" t="s">
        <v>2191</v>
      </c>
      <c r="J11445" s="10">
        <v>22</v>
      </c>
      <c r="K11445" t="b">
        <v>1</v>
      </c>
    </row>
    <row r="11446" spans="1:11">
      <c r="A11446" s="12">
        <v>43071</v>
      </c>
      <c r="B11446">
        <v>2017</v>
      </c>
      <c r="C11446">
        <v>12</v>
      </c>
      <c r="D11446" s="11">
        <v>43070</v>
      </c>
      <c r="E11446" t="s">
        <v>2184</v>
      </c>
      <c r="F11446">
        <v>6</v>
      </c>
      <c r="G11446" t="s">
        <v>57</v>
      </c>
      <c r="H11446" t="s">
        <v>44</v>
      </c>
      <c r="I11446" t="s">
        <v>2192</v>
      </c>
      <c r="J11446" s="10">
        <v>11</v>
      </c>
      <c r="K11446" t="b">
        <v>1</v>
      </c>
    </row>
    <row r="11447" spans="1:11">
      <c r="A11447" s="12">
        <v>43071</v>
      </c>
      <c r="B11447">
        <v>2017</v>
      </c>
      <c r="C11447">
        <v>12</v>
      </c>
      <c r="D11447" s="11">
        <v>43070</v>
      </c>
      <c r="E11447" t="s">
        <v>2184</v>
      </c>
      <c r="F11447">
        <v>6</v>
      </c>
      <c r="G11447" t="s">
        <v>57</v>
      </c>
      <c r="H11447" t="s">
        <v>45</v>
      </c>
      <c r="I11447" t="s">
        <v>2193</v>
      </c>
      <c r="J11447" s="10">
        <v>0</v>
      </c>
      <c r="K11447" t="b">
        <v>1</v>
      </c>
    </row>
    <row r="11448" spans="1:11">
      <c r="A11448" s="12">
        <v>43071</v>
      </c>
      <c r="B11448">
        <v>2017</v>
      </c>
      <c r="C11448">
        <v>12</v>
      </c>
      <c r="D11448" s="11">
        <v>43070</v>
      </c>
      <c r="E11448" t="s">
        <v>2184</v>
      </c>
      <c r="F11448">
        <v>6</v>
      </c>
      <c r="G11448" t="s">
        <v>57</v>
      </c>
      <c r="H11448" t="s">
        <v>46</v>
      </c>
      <c r="I11448" t="s">
        <v>2194</v>
      </c>
      <c r="J11448" s="10">
        <v>0</v>
      </c>
      <c r="K11448" t="b">
        <v>1</v>
      </c>
    </row>
    <row r="11449" spans="1:11">
      <c r="A11449" s="12">
        <v>43071</v>
      </c>
      <c r="B11449">
        <v>2017</v>
      </c>
      <c r="C11449">
        <v>12</v>
      </c>
      <c r="D11449" s="11">
        <v>43070</v>
      </c>
      <c r="E11449" t="s">
        <v>2184</v>
      </c>
      <c r="F11449">
        <v>6</v>
      </c>
      <c r="G11449" t="s">
        <v>57</v>
      </c>
      <c r="H11449" t="s">
        <v>47</v>
      </c>
      <c r="I11449" t="s">
        <v>2195</v>
      </c>
      <c r="J11449" s="10">
        <v>1.5</v>
      </c>
      <c r="K11449" t="b">
        <v>1</v>
      </c>
    </row>
    <row r="11450" spans="1:11">
      <c r="A11450" s="12">
        <v>43072</v>
      </c>
      <c r="B11450">
        <v>2017</v>
      </c>
      <c r="C11450">
        <v>12</v>
      </c>
      <c r="D11450" s="11">
        <v>43070</v>
      </c>
      <c r="E11450" t="s">
        <v>2184</v>
      </c>
      <c r="F11450">
        <v>7</v>
      </c>
      <c r="G11450" t="s">
        <v>59</v>
      </c>
      <c r="H11450" t="s">
        <v>40</v>
      </c>
      <c r="I11450" t="s">
        <v>2188</v>
      </c>
      <c r="J11450" s="10">
        <v>5.33</v>
      </c>
      <c r="K11450" t="b">
        <v>1</v>
      </c>
    </row>
    <row r="11451" spans="1:11">
      <c r="A11451" s="12">
        <v>43072</v>
      </c>
      <c r="B11451">
        <v>2017</v>
      </c>
      <c r="C11451">
        <v>12</v>
      </c>
      <c r="D11451" s="11">
        <v>43070</v>
      </c>
      <c r="E11451" t="s">
        <v>2184</v>
      </c>
      <c r="F11451">
        <v>7</v>
      </c>
      <c r="G11451" t="s">
        <v>59</v>
      </c>
      <c r="H11451" t="s">
        <v>41</v>
      </c>
      <c r="I11451" t="s">
        <v>2189</v>
      </c>
      <c r="J11451" s="10">
        <v>6.023</v>
      </c>
      <c r="K11451" t="b">
        <v>1</v>
      </c>
    </row>
    <row r="11452" spans="1:11">
      <c r="A11452" s="12">
        <v>43072</v>
      </c>
      <c r="B11452">
        <v>2017</v>
      </c>
      <c r="C11452">
        <v>12</v>
      </c>
      <c r="D11452" s="11">
        <v>43070</v>
      </c>
      <c r="E11452" t="s">
        <v>2184</v>
      </c>
      <c r="F11452">
        <v>7</v>
      </c>
      <c r="G11452" t="s">
        <v>59</v>
      </c>
      <c r="H11452" t="s">
        <v>42</v>
      </c>
      <c r="I11452" t="s">
        <v>2190</v>
      </c>
      <c r="J11452" s="10">
        <v>3</v>
      </c>
      <c r="K11452" t="b">
        <v>1</v>
      </c>
    </row>
    <row r="11453" spans="1:11">
      <c r="A11453" s="12">
        <v>43072</v>
      </c>
      <c r="B11453">
        <v>2017</v>
      </c>
      <c r="C11453">
        <v>12</v>
      </c>
      <c r="D11453" s="11">
        <v>43070</v>
      </c>
      <c r="E11453" t="s">
        <v>2184</v>
      </c>
      <c r="F11453">
        <v>7</v>
      </c>
      <c r="G11453" t="s">
        <v>59</v>
      </c>
      <c r="H11453" t="s">
        <v>43</v>
      </c>
      <c r="I11453" t="s">
        <v>2191</v>
      </c>
      <c r="J11453" s="10">
        <v>33.4</v>
      </c>
      <c r="K11453" t="b">
        <v>1</v>
      </c>
    </row>
    <row r="11454" spans="1:11">
      <c r="A11454" s="12">
        <v>43072</v>
      </c>
      <c r="B11454">
        <v>2017</v>
      </c>
      <c r="C11454">
        <v>12</v>
      </c>
      <c r="D11454" s="11">
        <v>43070</v>
      </c>
      <c r="E11454" t="s">
        <v>2184</v>
      </c>
      <c r="F11454">
        <v>7</v>
      </c>
      <c r="G11454" t="s">
        <v>59</v>
      </c>
      <c r="H11454" t="s">
        <v>44</v>
      </c>
      <c r="I11454" t="s">
        <v>2192</v>
      </c>
      <c r="J11454" s="10">
        <v>3</v>
      </c>
      <c r="K11454" t="b">
        <v>1</v>
      </c>
    </row>
    <row r="11455" spans="1:11">
      <c r="A11455" s="12">
        <v>43072</v>
      </c>
      <c r="B11455">
        <v>2017</v>
      </c>
      <c r="C11455">
        <v>12</v>
      </c>
      <c r="D11455" s="11">
        <v>43070</v>
      </c>
      <c r="E11455" t="s">
        <v>2184</v>
      </c>
      <c r="F11455">
        <v>7</v>
      </c>
      <c r="G11455" t="s">
        <v>59</v>
      </c>
      <c r="H11455" t="s">
        <v>45</v>
      </c>
      <c r="I11455" t="s">
        <v>2193</v>
      </c>
      <c r="J11455" s="10">
        <v>0</v>
      </c>
      <c r="K11455" t="b">
        <v>1</v>
      </c>
    </row>
    <row r="11456" spans="1:11">
      <c r="A11456" s="12">
        <v>43072</v>
      </c>
      <c r="B11456">
        <v>2017</v>
      </c>
      <c r="C11456">
        <v>12</v>
      </c>
      <c r="D11456" s="11">
        <v>43070</v>
      </c>
      <c r="E11456" t="s">
        <v>2184</v>
      </c>
      <c r="F11456">
        <v>7</v>
      </c>
      <c r="G11456" t="s">
        <v>59</v>
      </c>
      <c r="H11456" t="s">
        <v>46</v>
      </c>
      <c r="I11456" t="s">
        <v>2194</v>
      </c>
      <c r="J11456" s="10">
        <v>6</v>
      </c>
      <c r="K11456" t="b">
        <v>1</v>
      </c>
    </row>
    <row r="11457" spans="1:11">
      <c r="A11457" s="12">
        <v>43072</v>
      </c>
      <c r="B11457">
        <v>2017</v>
      </c>
      <c r="C11457">
        <v>12</v>
      </c>
      <c r="D11457" s="11">
        <v>43070</v>
      </c>
      <c r="E11457" t="s">
        <v>2184</v>
      </c>
      <c r="F11457">
        <v>7</v>
      </c>
      <c r="G11457" t="s">
        <v>59</v>
      </c>
      <c r="H11457" t="s">
        <v>47</v>
      </c>
      <c r="I11457" t="s">
        <v>2195</v>
      </c>
      <c r="J11457" s="10">
        <v>2</v>
      </c>
      <c r="K11457" t="b">
        <v>1</v>
      </c>
    </row>
    <row r="11458" spans="1:11">
      <c r="A11458" s="12">
        <v>43073</v>
      </c>
      <c r="B11458">
        <v>2017</v>
      </c>
      <c r="C11458">
        <v>12</v>
      </c>
      <c r="D11458" s="11">
        <v>43070</v>
      </c>
      <c r="E11458" t="s">
        <v>2184</v>
      </c>
      <c r="F11458">
        <v>1</v>
      </c>
      <c r="G11458" t="s">
        <v>61</v>
      </c>
      <c r="H11458" t="s">
        <v>40</v>
      </c>
      <c r="I11458" t="s">
        <v>2188</v>
      </c>
      <c r="J11458" s="10">
        <v>1</v>
      </c>
      <c r="K11458" t="b">
        <v>1</v>
      </c>
    </row>
    <row r="11459" spans="1:11">
      <c r="A11459" s="12">
        <v>43073</v>
      </c>
      <c r="B11459">
        <v>2017</v>
      </c>
      <c r="C11459">
        <v>12</v>
      </c>
      <c r="D11459" s="11">
        <v>43070</v>
      </c>
      <c r="E11459" t="s">
        <v>2184</v>
      </c>
      <c r="F11459">
        <v>1</v>
      </c>
      <c r="G11459" t="s">
        <v>61</v>
      </c>
      <c r="H11459" t="s">
        <v>41</v>
      </c>
      <c r="I11459" t="s">
        <v>2189</v>
      </c>
      <c r="J11459" s="10">
        <v>2.363</v>
      </c>
      <c r="K11459" t="b">
        <v>1</v>
      </c>
    </row>
    <row r="11460" spans="1:11">
      <c r="A11460" s="12">
        <v>43073</v>
      </c>
      <c r="B11460">
        <v>2017</v>
      </c>
      <c r="C11460">
        <v>12</v>
      </c>
      <c r="D11460" s="11">
        <v>43070</v>
      </c>
      <c r="E11460" t="s">
        <v>2184</v>
      </c>
      <c r="F11460">
        <v>1</v>
      </c>
      <c r="G11460" t="s">
        <v>61</v>
      </c>
      <c r="H11460" t="s">
        <v>42</v>
      </c>
      <c r="I11460" t="s">
        <v>2190</v>
      </c>
      <c r="J11460" s="10">
        <v>4</v>
      </c>
      <c r="K11460" t="b">
        <v>1</v>
      </c>
    </row>
    <row r="11461" spans="1:11">
      <c r="A11461" s="12">
        <v>43073</v>
      </c>
      <c r="B11461">
        <v>2017</v>
      </c>
      <c r="C11461">
        <v>12</v>
      </c>
      <c r="D11461" s="11">
        <v>43070</v>
      </c>
      <c r="E11461" t="s">
        <v>2184</v>
      </c>
      <c r="F11461">
        <v>1</v>
      </c>
      <c r="G11461" t="s">
        <v>61</v>
      </c>
      <c r="H11461" t="s">
        <v>43</v>
      </c>
      <c r="I11461" t="s">
        <v>2191</v>
      </c>
      <c r="J11461" s="10">
        <v>15.6</v>
      </c>
      <c r="K11461" t="b">
        <v>1</v>
      </c>
    </row>
    <row r="11462" spans="1:11">
      <c r="A11462" s="12">
        <v>43073</v>
      </c>
      <c r="B11462">
        <v>2017</v>
      </c>
      <c r="C11462">
        <v>12</v>
      </c>
      <c r="D11462" s="11">
        <v>43070</v>
      </c>
      <c r="E11462" t="s">
        <v>2184</v>
      </c>
      <c r="F11462">
        <v>1</v>
      </c>
      <c r="G11462" t="s">
        <v>61</v>
      </c>
      <c r="H11462" t="s">
        <v>44</v>
      </c>
      <c r="I11462" t="s">
        <v>2192</v>
      </c>
      <c r="J11462" s="10">
        <v>3</v>
      </c>
      <c r="K11462" t="b">
        <v>1</v>
      </c>
    </row>
    <row r="11463" spans="1:11">
      <c r="A11463" s="12">
        <v>43073</v>
      </c>
      <c r="B11463">
        <v>2017</v>
      </c>
      <c r="C11463">
        <v>12</v>
      </c>
      <c r="D11463" s="11">
        <v>43070</v>
      </c>
      <c r="E11463" t="s">
        <v>2184</v>
      </c>
      <c r="F11463">
        <v>1</v>
      </c>
      <c r="G11463" t="s">
        <v>61</v>
      </c>
      <c r="H11463" t="s">
        <v>45</v>
      </c>
      <c r="I11463" t="s">
        <v>2193</v>
      </c>
      <c r="J11463" s="10">
        <v>0</v>
      </c>
      <c r="K11463" t="b">
        <v>1</v>
      </c>
    </row>
    <row r="11464" spans="1:11">
      <c r="A11464" s="12">
        <v>43073</v>
      </c>
      <c r="B11464">
        <v>2017</v>
      </c>
      <c r="C11464">
        <v>12</v>
      </c>
      <c r="D11464" s="11">
        <v>43070</v>
      </c>
      <c r="E11464" t="s">
        <v>2184</v>
      </c>
      <c r="F11464">
        <v>1</v>
      </c>
      <c r="G11464" t="s">
        <v>61</v>
      </c>
      <c r="H11464" t="s">
        <v>46</v>
      </c>
      <c r="I11464" t="s">
        <v>2194</v>
      </c>
      <c r="J11464" s="10">
        <v>13</v>
      </c>
      <c r="K11464" t="b">
        <v>1</v>
      </c>
    </row>
    <row r="11465" spans="1:11">
      <c r="A11465" s="12">
        <v>43073</v>
      </c>
      <c r="B11465">
        <v>2017</v>
      </c>
      <c r="C11465">
        <v>12</v>
      </c>
      <c r="D11465" s="11">
        <v>43070</v>
      </c>
      <c r="E11465" t="s">
        <v>2184</v>
      </c>
      <c r="F11465">
        <v>1</v>
      </c>
      <c r="G11465" t="s">
        <v>61</v>
      </c>
      <c r="H11465" t="s">
        <v>47</v>
      </c>
      <c r="I11465" t="s">
        <v>2195</v>
      </c>
      <c r="J11465" s="10">
        <v>3</v>
      </c>
      <c r="K11465" t="b">
        <v>1</v>
      </c>
    </row>
    <row r="11466" spans="1:11">
      <c r="A11466" s="12">
        <v>43074</v>
      </c>
      <c r="B11466">
        <v>2017</v>
      </c>
      <c r="C11466">
        <v>12</v>
      </c>
      <c r="D11466" s="11">
        <v>43070</v>
      </c>
      <c r="E11466" t="s">
        <v>2184</v>
      </c>
      <c r="F11466">
        <v>2</v>
      </c>
      <c r="G11466" t="s">
        <v>63</v>
      </c>
      <c r="H11466" t="s">
        <v>40</v>
      </c>
      <c r="I11466" t="s">
        <v>2188</v>
      </c>
      <c r="J11466" s="10">
        <v>3.68</v>
      </c>
      <c r="K11466" t="b">
        <v>1</v>
      </c>
    </row>
    <row r="11467" spans="1:11">
      <c r="A11467" s="12">
        <v>43074</v>
      </c>
      <c r="B11467">
        <v>2017</v>
      </c>
      <c r="C11467">
        <v>12</v>
      </c>
      <c r="D11467" s="11">
        <v>43070</v>
      </c>
      <c r="E11467" t="s">
        <v>2184</v>
      </c>
      <c r="F11467">
        <v>2</v>
      </c>
      <c r="G11467" t="s">
        <v>63</v>
      </c>
      <c r="H11467" t="s">
        <v>41</v>
      </c>
      <c r="I11467" t="s">
        <v>2189</v>
      </c>
      <c r="J11467" s="10">
        <v>3.165</v>
      </c>
      <c r="K11467" t="b">
        <v>1</v>
      </c>
    </row>
    <row r="11468" spans="1:11">
      <c r="A11468" s="12">
        <v>43074</v>
      </c>
      <c r="B11468">
        <v>2017</v>
      </c>
      <c r="C11468">
        <v>12</v>
      </c>
      <c r="D11468" s="11">
        <v>43070</v>
      </c>
      <c r="E11468" t="s">
        <v>2184</v>
      </c>
      <c r="F11468">
        <v>2</v>
      </c>
      <c r="G11468" t="s">
        <v>63</v>
      </c>
      <c r="H11468" t="s">
        <v>42</v>
      </c>
      <c r="I11468" t="s">
        <v>2190</v>
      </c>
      <c r="J11468" s="10">
        <v>4.05</v>
      </c>
      <c r="K11468" t="b">
        <v>1</v>
      </c>
    </row>
    <row r="11469" spans="1:11">
      <c r="A11469" s="12">
        <v>43074</v>
      </c>
      <c r="B11469">
        <v>2017</v>
      </c>
      <c r="C11469">
        <v>12</v>
      </c>
      <c r="D11469" s="11">
        <v>43070</v>
      </c>
      <c r="E11469" t="s">
        <v>2184</v>
      </c>
      <c r="F11469">
        <v>2</v>
      </c>
      <c r="G11469" t="s">
        <v>63</v>
      </c>
      <c r="H11469" t="s">
        <v>43</v>
      </c>
      <c r="I11469" t="s">
        <v>2191</v>
      </c>
      <c r="J11469" s="10">
        <v>17.1</v>
      </c>
      <c r="K11469" t="b">
        <v>1</v>
      </c>
    </row>
    <row r="11470" spans="1:11">
      <c r="A11470" s="12">
        <v>43074</v>
      </c>
      <c r="B11470">
        <v>2017</v>
      </c>
      <c r="C11470">
        <v>12</v>
      </c>
      <c r="D11470" s="11">
        <v>43070</v>
      </c>
      <c r="E11470" t="s">
        <v>2184</v>
      </c>
      <c r="F11470">
        <v>2</v>
      </c>
      <c r="G11470" t="s">
        <v>63</v>
      </c>
      <c r="H11470" t="s">
        <v>44</v>
      </c>
      <c r="I11470" t="s">
        <v>2192</v>
      </c>
      <c r="J11470" s="10">
        <v>1</v>
      </c>
      <c r="K11470" t="b">
        <v>1</v>
      </c>
    </row>
    <row r="11471" spans="1:11">
      <c r="A11471" s="12">
        <v>43074</v>
      </c>
      <c r="B11471">
        <v>2017</v>
      </c>
      <c r="C11471">
        <v>12</v>
      </c>
      <c r="D11471" s="11">
        <v>43070</v>
      </c>
      <c r="E11471" t="s">
        <v>2184</v>
      </c>
      <c r="F11471">
        <v>2</v>
      </c>
      <c r="G11471" t="s">
        <v>63</v>
      </c>
      <c r="H11471" t="s">
        <v>45</v>
      </c>
      <c r="I11471" t="s">
        <v>2193</v>
      </c>
      <c r="J11471" s="10">
        <v>0</v>
      </c>
      <c r="K11471" t="b">
        <v>1</v>
      </c>
    </row>
    <row r="11472" spans="1:11">
      <c r="A11472" s="12">
        <v>43074</v>
      </c>
      <c r="B11472">
        <v>2017</v>
      </c>
      <c r="C11472">
        <v>12</v>
      </c>
      <c r="D11472" s="11">
        <v>43070</v>
      </c>
      <c r="E11472" t="s">
        <v>2184</v>
      </c>
      <c r="F11472">
        <v>2</v>
      </c>
      <c r="G11472" t="s">
        <v>63</v>
      </c>
      <c r="H11472" t="s">
        <v>46</v>
      </c>
      <c r="I11472" t="s">
        <v>2194</v>
      </c>
      <c r="J11472" s="10">
        <v>6</v>
      </c>
      <c r="K11472" t="b">
        <v>1</v>
      </c>
    </row>
    <row r="11473" spans="1:11">
      <c r="A11473" s="12">
        <v>43074</v>
      </c>
      <c r="B11473">
        <v>2017</v>
      </c>
      <c r="C11473">
        <v>12</v>
      </c>
      <c r="D11473" s="11">
        <v>43070</v>
      </c>
      <c r="E11473" t="s">
        <v>2184</v>
      </c>
      <c r="F11473">
        <v>2</v>
      </c>
      <c r="G11473" t="s">
        <v>63</v>
      </c>
      <c r="H11473" t="s">
        <v>47</v>
      </c>
      <c r="I11473" t="s">
        <v>2195</v>
      </c>
      <c r="J11473" s="10">
        <v>2</v>
      </c>
      <c r="K11473" t="b">
        <v>1</v>
      </c>
    </row>
    <row r="11474" spans="1:11">
      <c r="A11474" s="12">
        <v>43075</v>
      </c>
      <c r="B11474">
        <v>2017</v>
      </c>
      <c r="C11474">
        <v>12</v>
      </c>
      <c r="D11474" s="11">
        <v>43070</v>
      </c>
      <c r="E11474" t="s">
        <v>2184</v>
      </c>
      <c r="F11474">
        <v>3</v>
      </c>
      <c r="G11474" t="s">
        <v>65</v>
      </c>
      <c r="H11474" t="s">
        <v>40</v>
      </c>
      <c r="I11474" t="s">
        <v>2188</v>
      </c>
      <c r="J11474" s="10">
        <v>4</v>
      </c>
      <c r="K11474" t="b">
        <v>1</v>
      </c>
    </row>
    <row r="11475" spans="1:11">
      <c r="A11475" s="12">
        <v>43075</v>
      </c>
      <c r="B11475">
        <v>2017</v>
      </c>
      <c r="C11475">
        <v>12</v>
      </c>
      <c r="D11475" s="11">
        <v>43070</v>
      </c>
      <c r="E11475" t="s">
        <v>2184</v>
      </c>
      <c r="F11475">
        <v>3</v>
      </c>
      <c r="G11475" t="s">
        <v>65</v>
      </c>
      <c r="H11475" t="s">
        <v>41</v>
      </c>
      <c r="I11475" t="s">
        <v>2189</v>
      </c>
      <c r="J11475" s="10">
        <v>4.396</v>
      </c>
      <c r="K11475" t="b">
        <v>1</v>
      </c>
    </row>
    <row r="11476" spans="1:11">
      <c r="A11476" s="12">
        <v>43075</v>
      </c>
      <c r="B11476">
        <v>2017</v>
      </c>
      <c r="C11476">
        <v>12</v>
      </c>
      <c r="D11476" s="11">
        <v>43070</v>
      </c>
      <c r="E11476" t="s">
        <v>2184</v>
      </c>
      <c r="F11476">
        <v>3</v>
      </c>
      <c r="G11476" t="s">
        <v>65</v>
      </c>
      <c r="H11476" t="s">
        <v>42</v>
      </c>
      <c r="I11476" t="s">
        <v>2190</v>
      </c>
      <c r="J11476" s="10">
        <v>2.1</v>
      </c>
      <c r="K11476" t="b">
        <v>1</v>
      </c>
    </row>
    <row r="11477" spans="1:11">
      <c r="A11477" s="12">
        <v>43075</v>
      </c>
      <c r="B11477">
        <v>2017</v>
      </c>
      <c r="C11477">
        <v>12</v>
      </c>
      <c r="D11477" s="11">
        <v>43070</v>
      </c>
      <c r="E11477" t="s">
        <v>2184</v>
      </c>
      <c r="F11477">
        <v>3</v>
      </c>
      <c r="G11477" t="s">
        <v>65</v>
      </c>
      <c r="H11477" t="s">
        <v>43</v>
      </c>
      <c r="I11477" t="s">
        <v>2191</v>
      </c>
      <c r="J11477" s="10">
        <v>29.2</v>
      </c>
      <c r="K11477" t="b">
        <v>1</v>
      </c>
    </row>
    <row r="11478" spans="1:11">
      <c r="A11478" s="12">
        <v>43075</v>
      </c>
      <c r="B11478">
        <v>2017</v>
      </c>
      <c r="C11478">
        <v>12</v>
      </c>
      <c r="D11478" s="11">
        <v>43070</v>
      </c>
      <c r="E11478" t="s">
        <v>2184</v>
      </c>
      <c r="F11478">
        <v>3</v>
      </c>
      <c r="G11478" t="s">
        <v>65</v>
      </c>
      <c r="H11478" t="s">
        <v>44</v>
      </c>
      <c r="I11478" t="s">
        <v>2192</v>
      </c>
      <c r="J11478" s="10">
        <v>12</v>
      </c>
      <c r="K11478" t="b">
        <v>1</v>
      </c>
    </row>
    <row r="11479" spans="1:11">
      <c r="A11479" s="12">
        <v>43075</v>
      </c>
      <c r="B11479">
        <v>2017</v>
      </c>
      <c r="C11479">
        <v>12</v>
      </c>
      <c r="D11479" s="11">
        <v>43070</v>
      </c>
      <c r="E11479" t="s">
        <v>2184</v>
      </c>
      <c r="F11479">
        <v>3</v>
      </c>
      <c r="G11479" t="s">
        <v>65</v>
      </c>
      <c r="H11479" t="s">
        <v>45</v>
      </c>
      <c r="I11479" t="s">
        <v>2193</v>
      </c>
      <c r="J11479" s="10">
        <v>0</v>
      </c>
      <c r="K11479" t="b">
        <v>1</v>
      </c>
    </row>
    <row r="11480" spans="1:11">
      <c r="A11480" s="12">
        <v>43075</v>
      </c>
      <c r="B11480">
        <v>2017</v>
      </c>
      <c r="C11480">
        <v>12</v>
      </c>
      <c r="D11480" s="11">
        <v>43070</v>
      </c>
      <c r="E11480" t="s">
        <v>2184</v>
      </c>
      <c r="F11480">
        <v>3</v>
      </c>
      <c r="G11480" t="s">
        <v>65</v>
      </c>
      <c r="H11480" t="s">
        <v>46</v>
      </c>
      <c r="I11480" t="s">
        <v>2194</v>
      </c>
      <c r="J11480" s="10">
        <v>6</v>
      </c>
      <c r="K11480" t="b">
        <v>1</v>
      </c>
    </row>
    <row r="11481" spans="1:11">
      <c r="A11481" s="12">
        <v>43075</v>
      </c>
      <c r="B11481">
        <v>2017</v>
      </c>
      <c r="C11481">
        <v>12</v>
      </c>
      <c r="D11481" s="11">
        <v>43070</v>
      </c>
      <c r="E11481" t="s">
        <v>2184</v>
      </c>
      <c r="F11481">
        <v>3</v>
      </c>
      <c r="G11481" t="s">
        <v>65</v>
      </c>
      <c r="H11481" t="s">
        <v>47</v>
      </c>
      <c r="I11481" t="s">
        <v>2195</v>
      </c>
      <c r="J11481" s="10">
        <v>1</v>
      </c>
      <c r="K11481" t="b">
        <v>1</v>
      </c>
    </row>
    <row r="11482" spans="1:11">
      <c r="A11482" s="12">
        <v>43076</v>
      </c>
      <c r="B11482">
        <v>2017</v>
      </c>
      <c r="C11482">
        <v>12</v>
      </c>
      <c r="D11482" s="11">
        <v>43070</v>
      </c>
      <c r="E11482" t="s">
        <v>2184</v>
      </c>
      <c r="F11482">
        <v>4</v>
      </c>
      <c r="G11482" t="s">
        <v>53</v>
      </c>
      <c r="H11482" t="s">
        <v>40</v>
      </c>
      <c r="I11482" t="s">
        <v>2188</v>
      </c>
      <c r="J11482" s="10">
        <v>3</v>
      </c>
      <c r="K11482" t="b">
        <v>1</v>
      </c>
    </row>
    <row r="11483" spans="1:11">
      <c r="A11483" s="12">
        <v>43076</v>
      </c>
      <c r="B11483">
        <v>2017</v>
      </c>
      <c r="C11483">
        <v>12</v>
      </c>
      <c r="D11483" s="11">
        <v>43070</v>
      </c>
      <c r="E11483" t="s">
        <v>2184</v>
      </c>
      <c r="F11483">
        <v>4</v>
      </c>
      <c r="G11483" t="s">
        <v>53</v>
      </c>
      <c r="H11483" t="s">
        <v>41</v>
      </c>
      <c r="I11483" t="s">
        <v>2189</v>
      </c>
      <c r="J11483" s="10">
        <v>2.66</v>
      </c>
      <c r="K11483" t="b">
        <v>1</v>
      </c>
    </row>
    <row r="11484" spans="1:11">
      <c r="A11484" s="12">
        <v>43076</v>
      </c>
      <c r="B11484">
        <v>2017</v>
      </c>
      <c r="C11484">
        <v>12</v>
      </c>
      <c r="D11484" s="11">
        <v>43070</v>
      </c>
      <c r="E11484" t="s">
        <v>2184</v>
      </c>
      <c r="F11484">
        <v>4</v>
      </c>
      <c r="G11484" t="s">
        <v>53</v>
      </c>
      <c r="H11484" t="s">
        <v>42</v>
      </c>
      <c r="I11484" t="s">
        <v>2190</v>
      </c>
      <c r="J11484" s="10">
        <v>5.45</v>
      </c>
      <c r="K11484" t="b">
        <v>1</v>
      </c>
    </row>
    <row r="11485" spans="1:11">
      <c r="A11485" s="12">
        <v>43076</v>
      </c>
      <c r="B11485">
        <v>2017</v>
      </c>
      <c r="C11485">
        <v>12</v>
      </c>
      <c r="D11485" s="11">
        <v>43070</v>
      </c>
      <c r="E11485" t="s">
        <v>2184</v>
      </c>
      <c r="F11485">
        <v>4</v>
      </c>
      <c r="G11485" t="s">
        <v>53</v>
      </c>
      <c r="H11485" t="s">
        <v>43</v>
      </c>
      <c r="I11485" t="s">
        <v>2191</v>
      </c>
      <c r="J11485" s="10">
        <v>24.9</v>
      </c>
      <c r="K11485" t="b">
        <v>1</v>
      </c>
    </row>
    <row r="11486" spans="1:11">
      <c r="A11486" s="12">
        <v>43076</v>
      </c>
      <c r="B11486">
        <v>2017</v>
      </c>
      <c r="C11486">
        <v>12</v>
      </c>
      <c r="D11486" s="11">
        <v>43070</v>
      </c>
      <c r="E11486" t="s">
        <v>2184</v>
      </c>
      <c r="F11486">
        <v>4</v>
      </c>
      <c r="G11486" t="s">
        <v>53</v>
      </c>
      <c r="H11486" t="s">
        <v>44</v>
      </c>
      <c r="I11486" t="s">
        <v>2192</v>
      </c>
      <c r="J11486" s="10">
        <v>8</v>
      </c>
      <c r="K11486" t="b">
        <v>1</v>
      </c>
    </row>
    <row r="11487" spans="1:11">
      <c r="A11487" s="12">
        <v>43076</v>
      </c>
      <c r="B11487">
        <v>2017</v>
      </c>
      <c r="C11487">
        <v>12</v>
      </c>
      <c r="D11487" s="11">
        <v>43070</v>
      </c>
      <c r="E11487" t="s">
        <v>2184</v>
      </c>
      <c r="F11487">
        <v>4</v>
      </c>
      <c r="G11487" t="s">
        <v>53</v>
      </c>
      <c r="H11487" t="s">
        <v>45</v>
      </c>
      <c r="I11487" t="s">
        <v>2193</v>
      </c>
      <c r="J11487" s="10">
        <v>0</v>
      </c>
      <c r="K11487" t="b">
        <v>1</v>
      </c>
    </row>
    <row r="11488" spans="1:11">
      <c r="A11488" s="12">
        <v>43076</v>
      </c>
      <c r="B11488">
        <v>2017</v>
      </c>
      <c r="C11488">
        <v>12</v>
      </c>
      <c r="D11488" s="11">
        <v>43070</v>
      </c>
      <c r="E11488" t="s">
        <v>2184</v>
      </c>
      <c r="F11488">
        <v>4</v>
      </c>
      <c r="G11488" t="s">
        <v>53</v>
      </c>
      <c r="H11488" t="s">
        <v>46</v>
      </c>
      <c r="I11488" t="s">
        <v>2194</v>
      </c>
      <c r="J11488" s="10">
        <v>7</v>
      </c>
      <c r="K11488" t="b">
        <v>1</v>
      </c>
    </row>
    <row r="11489" spans="1:11">
      <c r="A11489" s="12">
        <v>43076</v>
      </c>
      <c r="B11489">
        <v>2017</v>
      </c>
      <c r="C11489">
        <v>12</v>
      </c>
      <c r="D11489" s="11">
        <v>43070</v>
      </c>
      <c r="E11489" t="s">
        <v>2184</v>
      </c>
      <c r="F11489">
        <v>4</v>
      </c>
      <c r="G11489" t="s">
        <v>53</v>
      </c>
      <c r="H11489" t="s">
        <v>47</v>
      </c>
      <c r="I11489" t="s">
        <v>2195</v>
      </c>
      <c r="J11489" s="10">
        <v>1</v>
      </c>
      <c r="K11489" t="b">
        <v>1</v>
      </c>
    </row>
    <row r="11490" spans="1:11">
      <c r="A11490" s="12">
        <v>43077</v>
      </c>
      <c r="B11490">
        <v>2017</v>
      </c>
      <c r="C11490">
        <v>12</v>
      </c>
      <c r="D11490" s="11">
        <v>43070</v>
      </c>
      <c r="E11490" t="s">
        <v>2184</v>
      </c>
      <c r="F11490">
        <v>5</v>
      </c>
      <c r="G11490" t="s">
        <v>55</v>
      </c>
      <c r="H11490" t="s">
        <v>40</v>
      </c>
      <c r="I11490" t="s">
        <v>2188</v>
      </c>
      <c r="J11490" s="10">
        <v>5.33</v>
      </c>
      <c r="K11490" t="b">
        <v>1</v>
      </c>
    </row>
    <row r="11491" spans="1:11">
      <c r="A11491" s="12">
        <v>43077</v>
      </c>
      <c r="B11491">
        <v>2017</v>
      </c>
      <c r="C11491">
        <v>12</v>
      </c>
      <c r="D11491" s="11">
        <v>43070</v>
      </c>
      <c r="E11491" t="s">
        <v>2184</v>
      </c>
      <c r="F11491">
        <v>5</v>
      </c>
      <c r="G11491" t="s">
        <v>55</v>
      </c>
      <c r="H11491" t="s">
        <v>41</v>
      </c>
      <c r="I11491" t="s">
        <v>2189</v>
      </c>
      <c r="J11491" s="10">
        <v>2.51</v>
      </c>
      <c r="K11491" t="b">
        <v>1</v>
      </c>
    </row>
    <row r="11492" spans="1:11">
      <c r="A11492" s="12">
        <v>43077</v>
      </c>
      <c r="B11492">
        <v>2017</v>
      </c>
      <c r="C11492">
        <v>12</v>
      </c>
      <c r="D11492" s="11">
        <v>43070</v>
      </c>
      <c r="E11492" t="s">
        <v>2184</v>
      </c>
      <c r="F11492">
        <v>5</v>
      </c>
      <c r="G11492" t="s">
        <v>55</v>
      </c>
      <c r="H11492" t="s">
        <v>42</v>
      </c>
      <c r="I11492" t="s">
        <v>2190</v>
      </c>
      <c r="J11492" s="10">
        <v>3.5</v>
      </c>
      <c r="K11492" t="b">
        <v>1</v>
      </c>
    </row>
    <row r="11493" spans="1:11">
      <c r="A11493" s="12">
        <v>43077</v>
      </c>
      <c r="B11493">
        <v>2017</v>
      </c>
      <c r="C11493">
        <v>12</v>
      </c>
      <c r="D11493" s="11">
        <v>43070</v>
      </c>
      <c r="E11493" t="s">
        <v>2184</v>
      </c>
      <c r="F11493">
        <v>5</v>
      </c>
      <c r="G11493" t="s">
        <v>55</v>
      </c>
      <c r="H11493" t="s">
        <v>43</v>
      </c>
      <c r="I11493" t="s">
        <v>2191</v>
      </c>
      <c r="J11493" s="10">
        <v>44.2</v>
      </c>
      <c r="K11493" t="b">
        <v>1</v>
      </c>
    </row>
    <row r="11494" spans="1:11">
      <c r="A11494" s="12">
        <v>43077</v>
      </c>
      <c r="B11494">
        <v>2017</v>
      </c>
      <c r="C11494">
        <v>12</v>
      </c>
      <c r="D11494" s="11">
        <v>43070</v>
      </c>
      <c r="E11494" t="s">
        <v>2184</v>
      </c>
      <c r="F11494">
        <v>5</v>
      </c>
      <c r="G11494" t="s">
        <v>55</v>
      </c>
      <c r="H11494" t="s">
        <v>44</v>
      </c>
      <c r="I11494" t="s">
        <v>2192</v>
      </c>
      <c r="J11494" s="10">
        <v>5</v>
      </c>
      <c r="K11494" t="b">
        <v>1</v>
      </c>
    </row>
    <row r="11495" spans="1:11">
      <c r="A11495" s="12">
        <v>43077</v>
      </c>
      <c r="B11495">
        <v>2017</v>
      </c>
      <c r="C11495">
        <v>12</v>
      </c>
      <c r="D11495" s="11">
        <v>43070</v>
      </c>
      <c r="E11495" t="s">
        <v>2184</v>
      </c>
      <c r="F11495">
        <v>5</v>
      </c>
      <c r="G11495" t="s">
        <v>55</v>
      </c>
      <c r="H11495" t="s">
        <v>45</v>
      </c>
      <c r="I11495" t="s">
        <v>2193</v>
      </c>
      <c r="J11495" s="10">
        <v>1</v>
      </c>
      <c r="K11495" t="b">
        <v>1</v>
      </c>
    </row>
    <row r="11496" spans="1:11">
      <c r="A11496" s="12">
        <v>43077</v>
      </c>
      <c r="B11496">
        <v>2017</v>
      </c>
      <c r="C11496">
        <v>12</v>
      </c>
      <c r="D11496" s="11">
        <v>43070</v>
      </c>
      <c r="E11496" t="s">
        <v>2184</v>
      </c>
      <c r="F11496">
        <v>5</v>
      </c>
      <c r="G11496" t="s">
        <v>55</v>
      </c>
      <c r="H11496" t="s">
        <v>46</v>
      </c>
      <c r="I11496" t="s">
        <v>2194</v>
      </c>
      <c r="J11496" s="10">
        <v>7</v>
      </c>
      <c r="K11496" t="b">
        <v>1</v>
      </c>
    </row>
    <row r="11497" spans="1:11">
      <c r="A11497" s="12">
        <v>43077</v>
      </c>
      <c r="B11497">
        <v>2017</v>
      </c>
      <c r="C11497">
        <v>12</v>
      </c>
      <c r="D11497" s="11">
        <v>43070</v>
      </c>
      <c r="E11497" t="s">
        <v>2184</v>
      </c>
      <c r="F11497">
        <v>5</v>
      </c>
      <c r="G11497" t="s">
        <v>55</v>
      </c>
      <c r="H11497" t="s">
        <v>47</v>
      </c>
      <c r="I11497" t="s">
        <v>2195</v>
      </c>
      <c r="J11497" s="10">
        <v>2</v>
      </c>
      <c r="K11497" t="b">
        <v>1</v>
      </c>
    </row>
    <row r="11498" spans="1:11">
      <c r="A11498" s="12">
        <v>43078</v>
      </c>
      <c r="B11498">
        <v>2017</v>
      </c>
      <c r="C11498">
        <v>12</v>
      </c>
      <c r="D11498" s="11">
        <v>43070</v>
      </c>
      <c r="E11498" t="s">
        <v>2184</v>
      </c>
      <c r="F11498">
        <v>6</v>
      </c>
      <c r="G11498" t="s">
        <v>57</v>
      </c>
      <c r="H11498" t="s">
        <v>40</v>
      </c>
      <c r="I11498" t="s">
        <v>2188</v>
      </c>
      <c r="J11498" s="10">
        <v>5</v>
      </c>
      <c r="K11498" t="b">
        <v>1</v>
      </c>
    </row>
    <row r="11499" spans="1:11">
      <c r="A11499" s="12">
        <v>43078</v>
      </c>
      <c r="B11499">
        <v>2017</v>
      </c>
      <c r="C11499">
        <v>12</v>
      </c>
      <c r="D11499" s="11">
        <v>43070</v>
      </c>
      <c r="E11499" t="s">
        <v>2184</v>
      </c>
      <c r="F11499">
        <v>6</v>
      </c>
      <c r="G11499" t="s">
        <v>57</v>
      </c>
      <c r="H11499" t="s">
        <v>41</v>
      </c>
      <c r="I11499" t="s">
        <v>2189</v>
      </c>
      <c r="J11499" s="10">
        <v>2.17</v>
      </c>
      <c r="K11499" t="b">
        <v>1</v>
      </c>
    </row>
    <row r="11500" spans="1:11">
      <c r="A11500" s="12">
        <v>43078</v>
      </c>
      <c r="B11500">
        <v>2017</v>
      </c>
      <c r="C11500">
        <v>12</v>
      </c>
      <c r="D11500" s="11">
        <v>43070</v>
      </c>
      <c r="E11500" t="s">
        <v>2184</v>
      </c>
      <c r="F11500">
        <v>6</v>
      </c>
      <c r="G11500" t="s">
        <v>57</v>
      </c>
      <c r="H11500" t="s">
        <v>42</v>
      </c>
      <c r="I11500" t="s">
        <v>2190</v>
      </c>
      <c r="J11500" s="10">
        <v>5.4</v>
      </c>
      <c r="K11500" t="b">
        <v>1</v>
      </c>
    </row>
    <row r="11501" spans="1:11">
      <c r="A11501" s="12">
        <v>43078</v>
      </c>
      <c r="B11501">
        <v>2017</v>
      </c>
      <c r="C11501">
        <v>12</v>
      </c>
      <c r="D11501" s="11">
        <v>43070</v>
      </c>
      <c r="E11501" t="s">
        <v>2184</v>
      </c>
      <c r="F11501">
        <v>6</v>
      </c>
      <c r="G11501" t="s">
        <v>57</v>
      </c>
      <c r="H11501" t="s">
        <v>43</v>
      </c>
      <c r="I11501" t="s">
        <v>2191</v>
      </c>
      <c r="J11501" s="10">
        <v>36.6</v>
      </c>
      <c r="K11501" t="b">
        <v>1</v>
      </c>
    </row>
    <row r="11502" spans="1:11">
      <c r="A11502" s="12">
        <v>43078</v>
      </c>
      <c r="B11502">
        <v>2017</v>
      </c>
      <c r="C11502">
        <v>12</v>
      </c>
      <c r="D11502" s="11">
        <v>43070</v>
      </c>
      <c r="E11502" t="s">
        <v>2184</v>
      </c>
      <c r="F11502">
        <v>6</v>
      </c>
      <c r="G11502" t="s">
        <v>57</v>
      </c>
      <c r="H11502" t="s">
        <v>44</v>
      </c>
      <c r="I11502" t="s">
        <v>2192</v>
      </c>
      <c r="J11502" s="10">
        <v>14</v>
      </c>
      <c r="K11502" t="b">
        <v>1</v>
      </c>
    </row>
    <row r="11503" spans="1:11">
      <c r="A11503" s="12">
        <v>43078</v>
      </c>
      <c r="B11503">
        <v>2017</v>
      </c>
      <c r="C11503">
        <v>12</v>
      </c>
      <c r="D11503" s="11">
        <v>43070</v>
      </c>
      <c r="E11503" t="s">
        <v>2184</v>
      </c>
      <c r="F11503">
        <v>6</v>
      </c>
      <c r="G11503" t="s">
        <v>57</v>
      </c>
      <c r="H11503" t="s">
        <v>45</v>
      </c>
      <c r="I11503" t="s">
        <v>2193</v>
      </c>
      <c r="J11503" s="10">
        <v>0</v>
      </c>
      <c r="K11503" t="b">
        <v>1</v>
      </c>
    </row>
    <row r="11504" spans="1:11">
      <c r="A11504" s="12">
        <v>43078</v>
      </c>
      <c r="B11504">
        <v>2017</v>
      </c>
      <c r="C11504">
        <v>12</v>
      </c>
      <c r="D11504" s="11">
        <v>43070</v>
      </c>
      <c r="E11504" t="s">
        <v>2184</v>
      </c>
      <c r="F11504">
        <v>6</v>
      </c>
      <c r="G11504" t="s">
        <v>57</v>
      </c>
      <c r="H11504" t="s">
        <v>46</v>
      </c>
      <c r="I11504" t="s">
        <v>2194</v>
      </c>
      <c r="J11504" s="10">
        <v>7</v>
      </c>
      <c r="K11504" t="b">
        <v>1</v>
      </c>
    </row>
    <row r="11505" spans="1:11">
      <c r="A11505" s="12">
        <v>43078</v>
      </c>
      <c r="B11505">
        <v>2017</v>
      </c>
      <c r="C11505">
        <v>12</v>
      </c>
      <c r="D11505" s="11">
        <v>43070</v>
      </c>
      <c r="E11505" t="s">
        <v>2184</v>
      </c>
      <c r="F11505">
        <v>6</v>
      </c>
      <c r="G11505" t="s">
        <v>57</v>
      </c>
      <c r="H11505" t="s">
        <v>47</v>
      </c>
      <c r="I11505" t="s">
        <v>2195</v>
      </c>
      <c r="J11505" s="10">
        <v>2</v>
      </c>
      <c r="K11505" t="b">
        <v>1</v>
      </c>
    </row>
    <row r="11506" spans="1:11">
      <c r="A11506" s="12">
        <v>43079</v>
      </c>
      <c r="B11506">
        <v>2017</v>
      </c>
      <c r="C11506">
        <v>12</v>
      </c>
      <c r="D11506" s="11">
        <v>43070</v>
      </c>
      <c r="E11506" t="s">
        <v>2184</v>
      </c>
      <c r="F11506">
        <v>7</v>
      </c>
      <c r="G11506" t="s">
        <v>59</v>
      </c>
      <c r="H11506" t="s">
        <v>40</v>
      </c>
      <c r="I11506" t="s">
        <v>2188</v>
      </c>
      <c r="J11506" s="10">
        <v>5</v>
      </c>
      <c r="K11506" t="b">
        <v>1</v>
      </c>
    </row>
    <row r="11507" spans="1:11">
      <c r="A11507" s="12">
        <v>43079</v>
      </c>
      <c r="B11507">
        <v>2017</v>
      </c>
      <c r="C11507">
        <v>12</v>
      </c>
      <c r="D11507" s="11">
        <v>43070</v>
      </c>
      <c r="E11507" t="s">
        <v>2184</v>
      </c>
      <c r="F11507">
        <v>7</v>
      </c>
      <c r="G11507" t="s">
        <v>59</v>
      </c>
      <c r="H11507" t="s">
        <v>41</v>
      </c>
      <c r="I11507" t="s">
        <v>2189</v>
      </c>
      <c r="J11507" s="10">
        <v>2.802</v>
      </c>
      <c r="K11507" t="b">
        <v>1</v>
      </c>
    </row>
    <row r="11508" spans="1:11">
      <c r="A11508" s="12">
        <v>43079</v>
      </c>
      <c r="B11508">
        <v>2017</v>
      </c>
      <c r="C11508">
        <v>12</v>
      </c>
      <c r="D11508" s="11">
        <v>43070</v>
      </c>
      <c r="E11508" t="s">
        <v>2184</v>
      </c>
      <c r="F11508">
        <v>7</v>
      </c>
      <c r="G11508" t="s">
        <v>59</v>
      </c>
      <c r="H11508" t="s">
        <v>42</v>
      </c>
      <c r="I11508" t="s">
        <v>2190</v>
      </c>
      <c r="J11508" s="10">
        <v>5</v>
      </c>
      <c r="K11508" t="b">
        <v>1</v>
      </c>
    </row>
    <row r="11509" spans="1:11">
      <c r="A11509" s="12">
        <v>43079</v>
      </c>
      <c r="B11509">
        <v>2017</v>
      </c>
      <c r="C11509">
        <v>12</v>
      </c>
      <c r="D11509" s="11">
        <v>43070</v>
      </c>
      <c r="E11509" t="s">
        <v>2184</v>
      </c>
      <c r="F11509">
        <v>7</v>
      </c>
      <c r="G11509" t="s">
        <v>59</v>
      </c>
      <c r="H11509" t="s">
        <v>43</v>
      </c>
      <c r="I11509" t="s">
        <v>2191</v>
      </c>
      <c r="J11509" s="10">
        <v>48</v>
      </c>
      <c r="K11509" t="b">
        <v>1</v>
      </c>
    </row>
    <row r="11510" spans="1:11">
      <c r="A11510" s="12">
        <v>43079</v>
      </c>
      <c r="B11510">
        <v>2017</v>
      </c>
      <c r="C11510">
        <v>12</v>
      </c>
      <c r="D11510" s="11">
        <v>43070</v>
      </c>
      <c r="E11510" t="s">
        <v>2184</v>
      </c>
      <c r="F11510">
        <v>7</v>
      </c>
      <c r="G11510" t="s">
        <v>59</v>
      </c>
      <c r="H11510" t="s">
        <v>44</v>
      </c>
      <c r="I11510" t="s">
        <v>2192</v>
      </c>
      <c r="J11510" s="10">
        <v>7</v>
      </c>
      <c r="K11510" t="b">
        <v>1</v>
      </c>
    </row>
    <row r="11511" spans="1:11">
      <c r="A11511" s="12">
        <v>43079</v>
      </c>
      <c r="B11511">
        <v>2017</v>
      </c>
      <c r="C11511">
        <v>12</v>
      </c>
      <c r="D11511" s="11">
        <v>43070</v>
      </c>
      <c r="E11511" t="s">
        <v>2184</v>
      </c>
      <c r="F11511">
        <v>7</v>
      </c>
      <c r="G11511" t="s">
        <v>59</v>
      </c>
      <c r="H11511" t="s">
        <v>45</v>
      </c>
      <c r="I11511" t="s">
        <v>2193</v>
      </c>
      <c r="J11511" s="10">
        <v>0</v>
      </c>
      <c r="K11511" t="b">
        <v>1</v>
      </c>
    </row>
    <row r="11512" spans="1:11">
      <c r="A11512" s="12">
        <v>43079</v>
      </c>
      <c r="B11512">
        <v>2017</v>
      </c>
      <c r="C11512">
        <v>12</v>
      </c>
      <c r="D11512" s="11">
        <v>43070</v>
      </c>
      <c r="E11512" t="s">
        <v>2184</v>
      </c>
      <c r="F11512">
        <v>7</v>
      </c>
      <c r="G11512" t="s">
        <v>59</v>
      </c>
      <c r="H11512" t="s">
        <v>46</v>
      </c>
      <c r="I11512" t="s">
        <v>2194</v>
      </c>
      <c r="J11512" s="10">
        <v>18</v>
      </c>
      <c r="K11512" t="b">
        <v>1</v>
      </c>
    </row>
    <row r="11513" spans="1:11">
      <c r="A11513" s="12">
        <v>43079</v>
      </c>
      <c r="B11513">
        <v>2017</v>
      </c>
      <c r="C11513">
        <v>12</v>
      </c>
      <c r="D11513" s="11">
        <v>43070</v>
      </c>
      <c r="E11513" t="s">
        <v>2184</v>
      </c>
      <c r="F11513">
        <v>7</v>
      </c>
      <c r="G11513" t="s">
        <v>59</v>
      </c>
      <c r="H11513" t="s">
        <v>47</v>
      </c>
      <c r="I11513" t="s">
        <v>2195</v>
      </c>
      <c r="J11513" s="10">
        <v>2</v>
      </c>
      <c r="K11513" t="b">
        <v>1</v>
      </c>
    </row>
    <row r="11514" spans="1:11">
      <c r="A11514" s="12">
        <v>43080</v>
      </c>
      <c r="B11514">
        <v>2017</v>
      </c>
      <c r="C11514">
        <v>12</v>
      </c>
      <c r="D11514" s="11">
        <v>43070</v>
      </c>
      <c r="E11514" t="s">
        <v>2184</v>
      </c>
      <c r="F11514">
        <v>1</v>
      </c>
      <c r="G11514" t="s">
        <v>61</v>
      </c>
      <c r="H11514" t="s">
        <v>40</v>
      </c>
      <c r="I11514" t="s">
        <v>2188</v>
      </c>
      <c r="J11514" s="10">
        <v>8</v>
      </c>
      <c r="K11514" t="b">
        <v>1</v>
      </c>
    </row>
    <row r="11515" spans="1:11">
      <c r="A11515" s="12">
        <v>43080</v>
      </c>
      <c r="B11515">
        <v>2017</v>
      </c>
      <c r="C11515">
        <v>12</v>
      </c>
      <c r="D11515" s="11">
        <v>43070</v>
      </c>
      <c r="E11515" t="s">
        <v>2184</v>
      </c>
      <c r="F11515">
        <v>1</v>
      </c>
      <c r="G11515" t="s">
        <v>61</v>
      </c>
      <c r="H11515" t="s">
        <v>41</v>
      </c>
      <c r="I11515" t="s">
        <v>2189</v>
      </c>
      <c r="J11515" s="10">
        <v>6</v>
      </c>
      <c r="K11515" t="b">
        <v>1</v>
      </c>
    </row>
    <row r="11516" spans="1:11">
      <c r="A11516" s="12">
        <v>43080</v>
      </c>
      <c r="B11516">
        <v>2017</v>
      </c>
      <c r="C11516">
        <v>12</v>
      </c>
      <c r="D11516" s="11">
        <v>43070</v>
      </c>
      <c r="E11516" t="s">
        <v>2184</v>
      </c>
      <c r="F11516">
        <v>1</v>
      </c>
      <c r="G11516" t="s">
        <v>61</v>
      </c>
      <c r="H11516" t="s">
        <v>42</v>
      </c>
      <c r="I11516" t="s">
        <v>2190</v>
      </c>
      <c r="J11516" s="10">
        <v>5.5</v>
      </c>
      <c r="K11516" t="b">
        <v>1</v>
      </c>
    </row>
    <row r="11517" spans="1:11">
      <c r="A11517" s="12">
        <v>43080</v>
      </c>
      <c r="B11517">
        <v>2017</v>
      </c>
      <c r="C11517">
        <v>12</v>
      </c>
      <c r="D11517" s="11">
        <v>43070</v>
      </c>
      <c r="E11517" t="s">
        <v>2184</v>
      </c>
      <c r="F11517">
        <v>1</v>
      </c>
      <c r="G11517" t="s">
        <v>61</v>
      </c>
      <c r="H11517" t="s">
        <v>43</v>
      </c>
      <c r="I11517" t="s">
        <v>2191</v>
      </c>
      <c r="J11517" s="10">
        <v>34.4</v>
      </c>
      <c r="K11517" t="b">
        <v>1</v>
      </c>
    </row>
    <row r="11518" spans="1:11">
      <c r="A11518" s="12">
        <v>43080</v>
      </c>
      <c r="B11518">
        <v>2017</v>
      </c>
      <c r="C11518">
        <v>12</v>
      </c>
      <c r="D11518" s="11">
        <v>43070</v>
      </c>
      <c r="E11518" t="s">
        <v>2184</v>
      </c>
      <c r="F11518">
        <v>1</v>
      </c>
      <c r="G11518" t="s">
        <v>61</v>
      </c>
      <c r="H11518" t="s">
        <v>44</v>
      </c>
      <c r="I11518" t="s">
        <v>2192</v>
      </c>
      <c r="J11518" s="10">
        <v>10</v>
      </c>
      <c r="K11518" t="b">
        <v>1</v>
      </c>
    </row>
    <row r="11519" spans="1:11">
      <c r="A11519" s="12">
        <v>43080</v>
      </c>
      <c r="B11519">
        <v>2017</v>
      </c>
      <c r="C11519">
        <v>12</v>
      </c>
      <c r="D11519" s="11">
        <v>43070</v>
      </c>
      <c r="E11519" t="s">
        <v>2184</v>
      </c>
      <c r="F11519">
        <v>1</v>
      </c>
      <c r="G11519" t="s">
        <v>61</v>
      </c>
      <c r="H11519" t="s">
        <v>45</v>
      </c>
      <c r="I11519" t="s">
        <v>2193</v>
      </c>
      <c r="J11519" s="10">
        <v>0</v>
      </c>
      <c r="K11519" t="b">
        <v>1</v>
      </c>
    </row>
    <row r="11520" spans="1:11">
      <c r="A11520" s="12">
        <v>43080</v>
      </c>
      <c r="B11520">
        <v>2017</v>
      </c>
      <c r="C11520">
        <v>12</v>
      </c>
      <c r="D11520" s="11">
        <v>43070</v>
      </c>
      <c r="E11520" t="s">
        <v>2184</v>
      </c>
      <c r="F11520">
        <v>1</v>
      </c>
      <c r="G11520" t="s">
        <v>61</v>
      </c>
      <c r="H11520" t="s">
        <v>46</v>
      </c>
      <c r="I11520" t="s">
        <v>2194</v>
      </c>
      <c r="J11520" s="10">
        <v>6</v>
      </c>
      <c r="K11520" t="b">
        <v>1</v>
      </c>
    </row>
    <row r="11521" spans="1:11">
      <c r="A11521" s="12">
        <v>43080</v>
      </c>
      <c r="B11521">
        <v>2017</v>
      </c>
      <c r="C11521">
        <v>12</v>
      </c>
      <c r="D11521" s="11">
        <v>43070</v>
      </c>
      <c r="E11521" t="s">
        <v>2184</v>
      </c>
      <c r="F11521">
        <v>1</v>
      </c>
      <c r="G11521" t="s">
        <v>61</v>
      </c>
      <c r="H11521" t="s">
        <v>47</v>
      </c>
      <c r="I11521" t="s">
        <v>2195</v>
      </c>
      <c r="J11521" s="10">
        <v>1</v>
      </c>
      <c r="K11521" t="b">
        <v>1</v>
      </c>
    </row>
    <row r="11522" spans="1:11">
      <c r="A11522" s="12">
        <v>43081</v>
      </c>
      <c r="B11522">
        <v>2017</v>
      </c>
      <c r="C11522">
        <v>12</v>
      </c>
      <c r="D11522" s="11">
        <v>43070</v>
      </c>
      <c r="E11522" t="s">
        <v>2184</v>
      </c>
      <c r="F11522">
        <v>2</v>
      </c>
      <c r="G11522" t="s">
        <v>63</v>
      </c>
      <c r="H11522" t="s">
        <v>40</v>
      </c>
      <c r="I11522" t="s">
        <v>2188</v>
      </c>
      <c r="J11522" s="10">
        <v>1.33</v>
      </c>
      <c r="K11522" t="b">
        <v>1</v>
      </c>
    </row>
    <row r="11523" spans="1:11">
      <c r="A11523" s="12">
        <v>43081</v>
      </c>
      <c r="B11523">
        <v>2017</v>
      </c>
      <c r="C11523">
        <v>12</v>
      </c>
      <c r="D11523" s="11">
        <v>43070</v>
      </c>
      <c r="E11523" t="s">
        <v>2184</v>
      </c>
      <c r="F11523">
        <v>2</v>
      </c>
      <c r="G11523" t="s">
        <v>63</v>
      </c>
      <c r="H11523" t="s">
        <v>41</v>
      </c>
      <c r="I11523" t="s">
        <v>2189</v>
      </c>
      <c r="J11523" s="10">
        <v>5.066</v>
      </c>
      <c r="K11523" t="b">
        <v>1</v>
      </c>
    </row>
    <row r="11524" spans="1:11">
      <c r="A11524" s="12">
        <v>43081</v>
      </c>
      <c r="B11524">
        <v>2017</v>
      </c>
      <c r="C11524">
        <v>12</v>
      </c>
      <c r="D11524" s="11">
        <v>43070</v>
      </c>
      <c r="E11524" t="s">
        <v>2184</v>
      </c>
      <c r="F11524">
        <v>2</v>
      </c>
      <c r="G11524" t="s">
        <v>63</v>
      </c>
      <c r="H11524" t="s">
        <v>42</v>
      </c>
      <c r="I11524" t="s">
        <v>2190</v>
      </c>
      <c r="J11524" s="10">
        <v>3</v>
      </c>
      <c r="K11524" t="b">
        <v>1</v>
      </c>
    </row>
    <row r="11525" spans="1:11">
      <c r="A11525" s="12">
        <v>43081</v>
      </c>
      <c r="B11525">
        <v>2017</v>
      </c>
      <c r="C11525">
        <v>12</v>
      </c>
      <c r="D11525" s="11">
        <v>43070</v>
      </c>
      <c r="E11525" t="s">
        <v>2184</v>
      </c>
      <c r="F11525">
        <v>2</v>
      </c>
      <c r="G11525" t="s">
        <v>63</v>
      </c>
      <c r="H11525" t="s">
        <v>43</v>
      </c>
      <c r="I11525" t="s">
        <v>2191</v>
      </c>
      <c r="J11525" s="10">
        <v>44</v>
      </c>
      <c r="K11525" t="b">
        <v>1</v>
      </c>
    </row>
    <row r="11526" spans="1:11">
      <c r="A11526" s="12">
        <v>43081</v>
      </c>
      <c r="B11526">
        <v>2017</v>
      </c>
      <c r="C11526">
        <v>12</v>
      </c>
      <c r="D11526" s="11">
        <v>43070</v>
      </c>
      <c r="E11526" t="s">
        <v>2184</v>
      </c>
      <c r="F11526">
        <v>2</v>
      </c>
      <c r="G11526" t="s">
        <v>63</v>
      </c>
      <c r="H11526" t="s">
        <v>44</v>
      </c>
      <c r="I11526" t="s">
        <v>2192</v>
      </c>
      <c r="J11526" s="10">
        <v>6</v>
      </c>
      <c r="K11526" t="b">
        <v>1</v>
      </c>
    </row>
    <row r="11527" spans="1:11">
      <c r="A11527" s="12">
        <v>43081</v>
      </c>
      <c r="B11527">
        <v>2017</v>
      </c>
      <c r="C11527">
        <v>12</v>
      </c>
      <c r="D11527" s="11">
        <v>43070</v>
      </c>
      <c r="E11527" t="s">
        <v>2184</v>
      </c>
      <c r="F11527">
        <v>2</v>
      </c>
      <c r="G11527" t="s">
        <v>63</v>
      </c>
      <c r="H11527" t="s">
        <v>45</v>
      </c>
      <c r="I11527" t="s">
        <v>2193</v>
      </c>
      <c r="J11527" s="10">
        <v>1</v>
      </c>
      <c r="K11527" t="b">
        <v>1</v>
      </c>
    </row>
    <row r="11528" spans="1:11">
      <c r="A11528" s="12">
        <v>43081</v>
      </c>
      <c r="B11528">
        <v>2017</v>
      </c>
      <c r="C11528">
        <v>12</v>
      </c>
      <c r="D11528" s="11">
        <v>43070</v>
      </c>
      <c r="E11528" t="s">
        <v>2184</v>
      </c>
      <c r="F11528">
        <v>2</v>
      </c>
      <c r="G11528" t="s">
        <v>63</v>
      </c>
      <c r="H11528" t="s">
        <v>46</v>
      </c>
      <c r="I11528" t="s">
        <v>2194</v>
      </c>
      <c r="J11528" s="10">
        <v>12</v>
      </c>
      <c r="K11528" t="b">
        <v>1</v>
      </c>
    </row>
    <row r="11529" spans="1:11">
      <c r="A11529" s="12">
        <v>43081</v>
      </c>
      <c r="B11529">
        <v>2017</v>
      </c>
      <c r="C11529">
        <v>12</v>
      </c>
      <c r="D11529" s="11">
        <v>43070</v>
      </c>
      <c r="E11529" t="s">
        <v>2184</v>
      </c>
      <c r="F11529">
        <v>2</v>
      </c>
      <c r="G11529" t="s">
        <v>63</v>
      </c>
      <c r="H11529" t="s">
        <v>47</v>
      </c>
      <c r="I11529" t="s">
        <v>2195</v>
      </c>
      <c r="J11529" s="10">
        <v>2</v>
      </c>
      <c r="K11529" t="b">
        <v>1</v>
      </c>
    </row>
    <row r="11530" spans="1:11">
      <c r="A11530" s="12">
        <v>43082</v>
      </c>
      <c r="B11530">
        <v>2017</v>
      </c>
      <c r="C11530">
        <v>12</v>
      </c>
      <c r="D11530" s="11">
        <v>43070</v>
      </c>
      <c r="E11530" t="s">
        <v>2184</v>
      </c>
      <c r="F11530">
        <v>3</v>
      </c>
      <c r="G11530" t="s">
        <v>65</v>
      </c>
      <c r="H11530" t="s">
        <v>40</v>
      </c>
      <c r="I11530" t="s">
        <v>2188</v>
      </c>
      <c r="J11530" s="10">
        <v>4</v>
      </c>
      <c r="K11530" t="b">
        <v>1</v>
      </c>
    </row>
    <row r="11531" spans="1:11">
      <c r="A11531" s="12">
        <v>43082</v>
      </c>
      <c r="B11531">
        <v>2017</v>
      </c>
      <c r="C11531">
        <v>12</v>
      </c>
      <c r="D11531" s="11">
        <v>43070</v>
      </c>
      <c r="E11531" t="s">
        <v>2184</v>
      </c>
      <c r="F11531">
        <v>3</v>
      </c>
      <c r="G11531" t="s">
        <v>65</v>
      </c>
      <c r="H11531" t="s">
        <v>41</v>
      </c>
      <c r="I11531" t="s">
        <v>2189</v>
      </c>
      <c r="J11531" s="10">
        <v>3.34</v>
      </c>
      <c r="K11531" t="b">
        <v>1</v>
      </c>
    </row>
    <row r="11532" spans="1:11">
      <c r="A11532" s="12">
        <v>43082</v>
      </c>
      <c r="B11532">
        <v>2017</v>
      </c>
      <c r="C11532">
        <v>12</v>
      </c>
      <c r="D11532" s="11">
        <v>43070</v>
      </c>
      <c r="E11532" t="s">
        <v>2184</v>
      </c>
      <c r="F11532">
        <v>3</v>
      </c>
      <c r="G11532" t="s">
        <v>65</v>
      </c>
      <c r="H11532" t="s">
        <v>42</v>
      </c>
      <c r="I11532" t="s">
        <v>2190</v>
      </c>
      <c r="J11532" s="10">
        <v>2.3</v>
      </c>
      <c r="K11532" t="b">
        <v>1</v>
      </c>
    </row>
    <row r="11533" spans="1:11">
      <c r="A11533" s="12">
        <v>43082</v>
      </c>
      <c r="B11533">
        <v>2017</v>
      </c>
      <c r="C11533">
        <v>12</v>
      </c>
      <c r="D11533" s="11">
        <v>43070</v>
      </c>
      <c r="E11533" t="s">
        <v>2184</v>
      </c>
      <c r="F11533">
        <v>3</v>
      </c>
      <c r="G11533" t="s">
        <v>65</v>
      </c>
      <c r="H11533" t="s">
        <v>43</v>
      </c>
      <c r="I11533" t="s">
        <v>2191</v>
      </c>
      <c r="J11533" s="10">
        <v>29</v>
      </c>
      <c r="K11533" t="b">
        <v>1</v>
      </c>
    </row>
    <row r="11534" spans="1:11">
      <c r="A11534" s="12">
        <v>43082</v>
      </c>
      <c r="B11534">
        <v>2017</v>
      </c>
      <c r="C11534">
        <v>12</v>
      </c>
      <c r="D11534" s="11">
        <v>43070</v>
      </c>
      <c r="E11534" t="s">
        <v>2184</v>
      </c>
      <c r="F11534">
        <v>3</v>
      </c>
      <c r="G11534" t="s">
        <v>65</v>
      </c>
      <c r="H11534" t="s">
        <v>44</v>
      </c>
      <c r="I11534" t="s">
        <v>2192</v>
      </c>
      <c r="J11534" s="10">
        <v>9</v>
      </c>
      <c r="K11534" t="b">
        <v>1</v>
      </c>
    </row>
    <row r="11535" spans="1:11">
      <c r="A11535" s="12">
        <v>43082</v>
      </c>
      <c r="B11535">
        <v>2017</v>
      </c>
      <c r="C11535">
        <v>12</v>
      </c>
      <c r="D11535" s="11">
        <v>43070</v>
      </c>
      <c r="E11535" t="s">
        <v>2184</v>
      </c>
      <c r="F11535">
        <v>3</v>
      </c>
      <c r="G11535" t="s">
        <v>65</v>
      </c>
      <c r="H11535" t="s">
        <v>45</v>
      </c>
      <c r="I11535" t="s">
        <v>2193</v>
      </c>
      <c r="J11535" s="10">
        <v>0</v>
      </c>
      <c r="K11535" t="b">
        <v>1</v>
      </c>
    </row>
    <row r="11536" spans="1:11">
      <c r="A11536" s="12">
        <v>43082</v>
      </c>
      <c r="B11536">
        <v>2017</v>
      </c>
      <c r="C11536">
        <v>12</v>
      </c>
      <c r="D11536" s="11">
        <v>43070</v>
      </c>
      <c r="E11536" t="s">
        <v>2184</v>
      </c>
      <c r="F11536">
        <v>3</v>
      </c>
      <c r="G11536" t="s">
        <v>65</v>
      </c>
      <c r="H11536" t="s">
        <v>46</v>
      </c>
      <c r="I11536" t="s">
        <v>2194</v>
      </c>
      <c r="J11536" s="10">
        <v>0</v>
      </c>
      <c r="K11536" t="b">
        <v>1</v>
      </c>
    </row>
    <row r="11537" spans="1:11">
      <c r="A11537" s="12">
        <v>43082</v>
      </c>
      <c r="B11537">
        <v>2017</v>
      </c>
      <c r="C11537">
        <v>12</v>
      </c>
      <c r="D11537" s="11">
        <v>43070</v>
      </c>
      <c r="E11537" t="s">
        <v>2184</v>
      </c>
      <c r="F11537">
        <v>3</v>
      </c>
      <c r="G11537" t="s">
        <v>65</v>
      </c>
      <c r="H11537" t="s">
        <v>47</v>
      </c>
      <c r="I11537" t="s">
        <v>2195</v>
      </c>
      <c r="J11537" s="10">
        <v>1</v>
      </c>
      <c r="K11537" t="b">
        <v>1</v>
      </c>
    </row>
    <row r="11538" spans="1:11">
      <c r="A11538" s="12">
        <v>43083</v>
      </c>
      <c r="B11538">
        <v>2017</v>
      </c>
      <c r="C11538">
        <v>12</v>
      </c>
      <c r="D11538" s="11">
        <v>43070</v>
      </c>
      <c r="E11538" t="s">
        <v>2184</v>
      </c>
      <c r="F11538">
        <v>4</v>
      </c>
      <c r="G11538" t="s">
        <v>53</v>
      </c>
      <c r="H11538" t="s">
        <v>40</v>
      </c>
      <c r="I11538" t="s">
        <v>2188</v>
      </c>
      <c r="J11538" s="10">
        <v>3</v>
      </c>
      <c r="K11538" t="b">
        <v>1</v>
      </c>
    </row>
    <row r="11539" spans="1:11">
      <c r="A11539" s="12">
        <v>43083</v>
      </c>
      <c r="B11539">
        <v>2017</v>
      </c>
      <c r="C11539">
        <v>12</v>
      </c>
      <c r="D11539" s="11">
        <v>43070</v>
      </c>
      <c r="E11539" t="s">
        <v>2184</v>
      </c>
      <c r="F11539">
        <v>4</v>
      </c>
      <c r="G11539" t="s">
        <v>53</v>
      </c>
      <c r="H11539" t="s">
        <v>41</v>
      </c>
      <c r="I11539" t="s">
        <v>2189</v>
      </c>
      <c r="J11539" s="10">
        <v>3</v>
      </c>
      <c r="K11539" t="b">
        <v>1</v>
      </c>
    </row>
    <row r="11540" spans="1:11">
      <c r="A11540" s="12">
        <v>43083</v>
      </c>
      <c r="B11540">
        <v>2017</v>
      </c>
      <c r="C11540">
        <v>12</v>
      </c>
      <c r="D11540" s="11">
        <v>43070</v>
      </c>
      <c r="E11540" t="s">
        <v>2184</v>
      </c>
      <c r="F11540">
        <v>4</v>
      </c>
      <c r="G11540" t="s">
        <v>53</v>
      </c>
      <c r="H11540" t="s">
        <v>42</v>
      </c>
      <c r="I11540" t="s">
        <v>2190</v>
      </c>
      <c r="J11540" s="10">
        <v>3</v>
      </c>
      <c r="K11540" t="b">
        <v>1</v>
      </c>
    </row>
    <row r="11541" spans="1:11">
      <c r="A11541" s="12">
        <v>43083</v>
      </c>
      <c r="B11541">
        <v>2017</v>
      </c>
      <c r="C11541">
        <v>12</v>
      </c>
      <c r="D11541" s="11">
        <v>43070</v>
      </c>
      <c r="E11541" t="s">
        <v>2184</v>
      </c>
      <c r="F11541">
        <v>4</v>
      </c>
      <c r="G11541" t="s">
        <v>53</v>
      </c>
      <c r="H11541" t="s">
        <v>43</v>
      </c>
      <c r="I11541" t="s">
        <v>2191</v>
      </c>
      <c r="J11541" s="10">
        <v>30</v>
      </c>
      <c r="K11541" t="b">
        <v>1</v>
      </c>
    </row>
    <row r="11542" spans="1:11">
      <c r="A11542" s="12">
        <v>43083</v>
      </c>
      <c r="B11542">
        <v>2017</v>
      </c>
      <c r="C11542">
        <v>12</v>
      </c>
      <c r="D11542" s="11">
        <v>43070</v>
      </c>
      <c r="E11542" t="s">
        <v>2184</v>
      </c>
      <c r="F11542">
        <v>4</v>
      </c>
      <c r="G11542" t="s">
        <v>53</v>
      </c>
      <c r="H11542" t="s">
        <v>44</v>
      </c>
      <c r="I11542" t="s">
        <v>2192</v>
      </c>
      <c r="J11542" s="10">
        <v>5</v>
      </c>
      <c r="K11542" t="b">
        <v>1</v>
      </c>
    </row>
    <row r="11543" spans="1:11">
      <c r="A11543" s="12">
        <v>43083</v>
      </c>
      <c r="B11543">
        <v>2017</v>
      </c>
      <c r="C11543">
        <v>12</v>
      </c>
      <c r="D11543" s="11">
        <v>43070</v>
      </c>
      <c r="E11543" t="s">
        <v>2184</v>
      </c>
      <c r="F11543">
        <v>4</v>
      </c>
      <c r="G11543" t="s">
        <v>53</v>
      </c>
      <c r="H11543" t="s">
        <v>45</v>
      </c>
      <c r="I11543" t="s">
        <v>2193</v>
      </c>
      <c r="J11543" s="10">
        <v>0</v>
      </c>
      <c r="K11543" t="b">
        <v>1</v>
      </c>
    </row>
    <row r="11544" spans="1:11">
      <c r="A11544" s="12">
        <v>43083</v>
      </c>
      <c r="B11544">
        <v>2017</v>
      </c>
      <c r="C11544">
        <v>12</v>
      </c>
      <c r="D11544" s="11">
        <v>43070</v>
      </c>
      <c r="E11544" t="s">
        <v>2184</v>
      </c>
      <c r="F11544">
        <v>4</v>
      </c>
      <c r="G11544" t="s">
        <v>53</v>
      </c>
      <c r="H11544" t="s">
        <v>46</v>
      </c>
      <c r="I11544" t="s">
        <v>2194</v>
      </c>
      <c r="J11544" s="10">
        <v>0</v>
      </c>
      <c r="K11544" t="b">
        <v>1</v>
      </c>
    </row>
    <row r="11545" spans="1:11">
      <c r="A11545" s="12">
        <v>43083</v>
      </c>
      <c r="B11545">
        <v>2017</v>
      </c>
      <c r="C11545">
        <v>12</v>
      </c>
      <c r="D11545" s="11">
        <v>43070</v>
      </c>
      <c r="E11545" t="s">
        <v>2184</v>
      </c>
      <c r="F11545">
        <v>4</v>
      </c>
      <c r="G11545" t="s">
        <v>53</v>
      </c>
      <c r="H11545" t="s">
        <v>47</v>
      </c>
      <c r="I11545" t="s">
        <v>2195</v>
      </c>
      <c r="J11545" s="10">
        <v>3</v>
      </c>
      <c r="K11545" t="b">
        <v>1</v>
      </c>
    </row>
    <row r="11546" spans="1:11">
      <c r="A11546" s="12">
        <v>43084</v>
      </c>
      <c r="B11546">
        <v>2017</v>
      </c>
      <c r="C11546">
        <v>12</v>
      </c>
      <c r="D11546" s="11">
        <v>43070</v>
      </c>
      <c r="E11546" t="s">
        <v>2184</v>
      </c>
      <c r="F11546">
        <v>5</v>
      </c>
      <c r="G11546" t="s">
        <v>55</v>
      </c>
      <c r="H11546" t="s">
        <v>40</v>
      </c>
      <c r="I11546" t="s">
        <v>2188</v>
      </c>
      <c r="J11546" s="10">
        <v>4.18</v>
      </c>
      <c r="K11546" t="b">
        <v>1</v>
      </c>
    </row>
    <row r="11547" spans="1:11">
      <c r="A11547" s="12">
        <v>43084</v>
      </c>
      <c r="B11547">
        <v>2017</v>
      </c>
      <c r="C11547">
        <v>12</v>
      </c>
      <c r="D11547" s="11">
        <v>43070</v>
      </c>
      <c r="E11547" t="s">
        <v>2184</v>
      </c>
      <c r="F11547">
        <v>5</v>
      </c>
      <c r="G11547" t="s">
        <v>55</v>
      </c>
      <c r="H11547" t="s">
        <v>41</v>
      </c>
      <c r="I11547" t="s">
        <v>2189</v>
      </c>
      <c r="J11547" s="10">
        <v>5.01</v>
      </c>
      <c r="K11547" t="b">
        <v>1</v>
      </c>
    </row>
    <row r="11548" spans="1:11">
      <c r="A11548" s="12">
        <v>43084</v>
      </c>
      <c r="B11548">
        <v>2017</v>
      </c>
      <c r="C11548">
        <v>12</v>
      </c>
      <c r="D11548" s="11">
        <v>43070</v>
      </c>
      <c r="E11548" t="s">
        <v>2184</v>
      </c>
      <c r="F11548">
        <v>5</v>
      </c>
      <c r="G11548" t="s">
        <v>55</v>
      </c>
      <c r="H11548" t="s">
        <v>42</v>
      </c>
      <c r="I11548" t="s">
        <v>2190</v>
      </c>
      <c r="J11548" s="10">
        <v>2.5</v>
      </c>
      <c r="K11548" t="b">
        <v>1</v>
      </c>
    </row>
    <row r="11549" spans="1:11">
      <c r="A11549" s="12">
        <v>43084</v>
      </c>
      <c r="B11549">
        <v>2017</v>
      </c>
      <c r="C11549">
        <v>12</v>
      </c>
      <c r="D11549" s="11">
        <v>43070</v>
      </c>
      <c r="E11549" t="s">
        <v>2184</v>
      </c>
      <c r="F11549">
        <v>5</v>
      </c>
      <c r="G11549" t="s">
        <v>55</v>
      </c>
      <c r="H11549" t="s">
        <v>43</v>
      </c>
      <c r="I11549" t="s">
        <v>2191</v>
      </c>
      <c r="J11549" s="10">
        <v>29</v>
      </c>
      <c r="K11549" t="b">
        <v>1</v>
      </c>
    </row>
    <row r="11550" spans="1:11">
      <c r="A11550" s="12">
        <v>43084</v>
      </c>
      <c r="B11550">
        <v>2017</v>
      </c>
      <c r="C11550">
        <v>12</v>
      </c>
      <c r="D11550" s="11">
        <v>43070</v>
      </c>
      <c r="E11550" t="s">
        <v>2184</v>
      </c>
      <c r="F11550">
        <v>5</v>
      </c>
      <c r="G11550" t="s">
        <v>55</v>
      </c>
      <c r="H11550" t="s">
        <v>44</v>
      </c>
      <c r="I11550" t="s">
        <v>2192</v>
      </c>
      <c r="J11550" s="10">
        <v>6</v>
      </c>
      <c r="K11550" t="b">
        <v>1</v>
      </c>
    </row>
    <row r="11551" spans="1:11">
      <c r="A11551" s="12">
        <v>43084</v>
      </c>
      <c r="B11551">
        <v>2017</v>
      </c>
      <c r="C11551">
        <v>12</v>
      </c>
      <c r="D11551" s="11">
        <v>43070</v>
      </c>
      <c r="E11551" t="s">
        <v>2184</v>
      </c>
      <c r="F11551">
        <v>5</v>
      </c>
      <c r="G11551" t="s">
        <v>55</v>
      </c>
      <c r="H11551" t="s">
        <v>45</v>
      </c>
      <c r="I11551" t="s">
        <v>2193</v>
      </c>
      <c r="J11551" s="10">
        <v>0</v>
      </c>
      <c r="K11551" t="b">
        <v>1</v>
      </c>
    </row>
    <row r="11552" spans="1:11">
      <c r="A11552" s="12">
        <v>43084</v>
      </c>
      <c r="B11552">
        <v>2017</v>
      </c>
      <c r="C11552">
        <v>12</v>
      </c>
      <c r="D11552" s="11">
        <v>43070</v>
      </c>
      <c r="E11552" t="s">
        <v>2184</v>
      </c>
      <c r="F11552">
        <v>5</v>
      </c>
      <c r="G11552" t="s">
        <v>55</v>
      </c>
      <c r="H11552" t="s">
        <v>46</v>
      </c>
      <c r="I11552" t="s">
        <v>2194</v>
      </c>
      <c r="J11552" s="10">
        <v>0</v>
      </c>
      <c r="K11552" t="b">
        <v>1</v>
      </c>
    </row>
    <row r="11553" spans="1:11">
      <c r="A11553" s="12">
        <v>43084</v>
      </c>
      <c r="B11553">
        <v>2017</v>
      </c>
      <c r="C11553">
        <v>12</v>
      </c>
      <c r="D11553" s="11">
        <v>43070</v>
      </c>
      <c r="E11553" t="s">
        <v>2184</v>
      </c>
      <c r="F11553">
        <v>5</v>
      </c>
      <c r="G11553" t="s">
        <v>55</v>
      </c>
      <c r="H11553" t="s">
        <v>47</v>
      </c>
      <c r="I11553" t="s">
        <v>2195</v>
      </c>
      <c r="J11553" s="10">
        <v>1</v>
      </c>
      <c r="K11553" t="b">
        <v>1</v>
      </c>
    </row>
    <row r="11554" spans="1:11">
      <c r="A11554" s="12">
        <v>43085</v>
      </c>
      <c r="B11554">
        <v>2017</v>
      </c>
      <c r="C11554">
        <v>12</v>
      </c>
      <c r="D11554" s="11">
        <v>43070</v>
      </c>
      <c r="E11554" t="s">
        <v>2184</v>
      </c>
      <c r="F11554">
        <v>6</v>
      </c>
      <c r="G11554" t="s">
        <v>57</v>
      </c>
      <c r="H11554" t="s">
        <v>40</v>
      </c>
      <c r="I11554" t="s">
        <v>2188</v>
      </c>
      <c r="J11554" s="10">
        <v>11</v>
      </c>
      <c r="K11554" t="b">
        <v>1</v>
      </c>
    </row>
    <row r="11555" spans="1:11">
      <c r="A11555" s="12">
        <v>43085</v>
      </c>
      <c r="B11555">
        <v>2017</v>
      </c>
      <c r="C11555">
        <v>12</v>
      </c>
      <c r="D11555" s="11">
        <v>43070</v>
      </c>
      <c r="E11555" t="s">
        <v>2184</v>
      </c>
      <c r="F11555">
        <v>6</v>
      </c>
      <c r="G11555" t="s">
        <v>57</v>
      </c>
      <c r="H11555" t="s">
        <v>41</v>
      </c>
      <c r="I11555" t="s">
        <v>2189</v>
      </c>
      <c r="J11555" s="10">
        <v>6</v>
      </c>
      <c r="K11555" t="b">
        <v>1</v>
      </c>
    </row>
    <row r="11556" spans="1:11">
      <c r="A11556" s="12">
        <v>43085</v>
      </c>
      <c r="B11556">
        <v>2017</v>
      </c>
      <c r="C11556">
        <v>12</v>
      </c>
      <c r="D11556" s="11">
        <v>43070</v>
      </c>
      <c r="E11556" t="s">
        <v>2184</v>
      </c>
      <c r="F11556">
        <v>6</v>
      </c>
      <c r="G11556" t="s">
        <v>57</v>
      </c>
      <c r="H11556" t="s">
        <v>42</v>
      </c>
      <c r="I11556" t="s">
        <v>2190</v>
      </c>
      <c r="J11556" s="10">
        <v>3</v>
      </c>
      <c r="K11556" t="b">
        <v>1</v>
      </c>
    </row>
    <row r="11557" spans="1:11">
      <c r="A11557" s="12">
        <v>43085</v>
      </c>
      <c r="B11557">
        <v>2017</v>
      </c>
      <c r="C11557">
        <v>12</v>
      </c>
      <c r="D11557" s="11">
        <v>43070</v>
      </c>
      <c r="E11557" t="s">
        <v>2184</v>
      </c>
      <c r="F11557">
        <v>6</v>
      </c>
      <c r="G11557" t="s">
        <v>57</v>
      </c>
      <c r="H11557" t="s">
        <v>43</v>
      </c>
      <c r="I11557" t="s">
        <v>2191</v>
      </c>
      <c r="J11557" s="10">
        <v>36.6</v>
      </c>
      <c r="K11557" t="b">
        <v>1</v>
      </c>
    </row>
    <row r="11558" spans="1:11">
      <c r="A11558" s="12">
        <v>43085</v>
      </c>
      <c r="B11558">
        <v>2017</v>
      </c>
      <c r="C11558">
        <v>12</v>
      </c>
      <c r="D11558" s="11">
        <v>43070</v>
      </c>
      <c r="E11558" t="s">
        <v>2184</v>
      </c>
      <c r="F11558">
        <v>6</v>
      </c>
      <c r="G11558" t="s">
        <v>57</v>
      </c>
      <c r="H11558" t="s">
        <v>44</v>
      </c>
      <c r="I11558" t="s">
        <v>2192</v>
      </c>
      <c r="J11558" s="10">
        <v>6</v>
      </c>
      <c r="K11558" t="b">
        <v>1</v>
      </c>
    </row>
    <row r="11559" spans="1:11">
      <c r="A11559" s="12">
        <v>43085</v>
      </c>
      <c r="B11559">
        <v>2017</v>
      </c>
      <c r="C11559">
        <v>12</v>
      </c>
      <c r="D11559" s="11">
        <v>43070</v>
      </c>
      <c r="E11559" t="s">
        <v>2184</v>
      </c>
      <c r="F11559">
        <v>6</v>
      </c>
      <c r="G11559" t="s">
        <v>57</v>
      </c>
      <c r="H11559" t="s">
        <v>45</v>
      </c>
      <c r="I11559" t="s">
        <v>2193</v>
      </c>
      <c r="J11559" s="10">
        <v>1</v>
      </c>
      <c r="K11559" t="b">
        <v>1</v>
      </c>
    </row>
    <row r="11560" spans="1:11">
      <c r="A11560" s="12">
        <v>43085</v>
      </c>
      <c r="B11560">
        <v>2017</v>
      </c>
      <c r="C11560">
        <v>12</v>
      </c>
      <c r="D11560" s="11">
        <v>43070</v>
      </c>
      <c r="E11560" t="s">
        <v>2184</v>
      </c>
      <c r="F11560">
        <v>6</v>
      </c>
      <c r="G11560" t="s">
        <v>57</v>
      </c>
      <c r="H11560" t="s">
        <v>46</v>
      </c>
      <c r="I11560" t="s">
        <v>2194</v>
      </c>
      <c r="J11560" s="10">
        <v>1</v>
      </c>
      <c r="K11560" t="b">
        <v>1</v>
      </c>
    </row>
    <row r="11561" spans="1:11">
      <c r="A11561" s="12">
        <v>43085</v>
      </c>
      <c r="B11561">
        <v>2017</v>
      </c>
      <c r="C11561">
        <v>12</v>
      </c>
      <c r="D11561" s="11">
        <v>43070</v>
      </c>
      <c r="E11561" t="s">
        <v>2184</v>
      </c>
      <c r="F11561">
        <v>6</v>
      </c>
      <c r="G11561" t="s">
        <v>57</v>
      </c>
      <c r="H11561" t="s">
        <v>47</v>
      </c>
      <c r="I11561" t="s">
        <v>2195</v>
      </c>
      <c r="J11561" s="10">
        <v>2</v>
      </c>
      <c r="K11561" t="b">
        <v>1</v>
      </c>
    </row>
    <row r="11562" spans="1:11">
      <c r="A11562" s="12">
        <v>43086</v>
      </c>
      <c r="B11562">
        <v>2017</v>
      </c>
      <c r="C11562">
        <v>12</v>
      </c>
      <c r="D11562" s="11">
        <v>43070</v>
      </c>
      <c r="E11562" t="s">
        <v>2184</v>
      </c>
      <c r="F11562">
        <v>7</v>
      </c>
      <c r="G11562" t="s">
        <v>59</v>
      </c>
      <c r="H11562" t="s">
        <v>40</v>
      </c>
      <c r="I11562" t="s">
        <v>2188</v>
      </c>
      <c r="J11562" s="10">
        <v>7</v>
      </c>
      <c r="K11562" t="b">
        <v>1</v>
      </c>
    </row>
    <row r="11563" spans="1:11">
      <c r="A11563" s="12">
        <v>43086</v>
      </c>
      <c r="B11563">
        <v>2017</v>
      </c>
      <c r="C11563">
        <v>12</v>
      </c>
      <c r="D11563" s="11">
        <v>43070</v>
      </c>
      <c r="E11563" t="s">
        <v>2184</v>
      </c>
      <c r="F11563">
        <v>7</v>
      </c>
      <c r="G11563" t="s">
        <v>59</v>
      </c>
      <c r="H11563" t="s">
        <v>41</v>
      </c>
      <c r="I11563" t="s">
        <v>2189</v>
      </c>
      <c r="J11563" s="10">
        <v>0.33</v>
      </c>
      <c r="K11563" t="b">
        <v>1</v>
      </c>
    </row>
    <row r="11564" spans="1:11">
      <c r="A11564" s="12">
        <v>43086</v>
      </c>
      <c r="B11564">
        <v>2017</v>
      </c>
      <c r="C11564">
        <v>12</v>
      </c>
      <c r="D11564" s="11">
        <v>43070</v>
      </c>
      <c r="E11564" t="s">
        <v>2184</v>
      </c>
      <c r="F11564">
        <v>7</v>
      </c>
      <c r="G11564" t="s">
        <v>59</v>
      </c>
      <c r="H11564" t="s">
        <v>42</v>
      </c>
      <c r="I11564" t="s">
        <v>2190</v>
      </c>
      <c r="J11564" s="10">
        <v>5.1</v>
      </c>
      <c r="K11564" t="b">
        <v>1</v>
      </c>
    </row>
    <row r="11565" spans="1:11">
      <c r="A11565" s="12">
        <v>43086</v>
      </c>
      <c r="B11565">
        <v>2017</v>
      </c>
      <c r="C11565">
        <v>12</v>
      </c>
      <c r="D11565" s="11">
        <v>43070</v>
      </c>
      <c r="E11565" t="s">
        <v>2184</v>
      </c>
      <c r="F11565">
        <v>7</v>
      </c>
      <c r="G11565" t="s">
        <v>59</v>
      </c>
      <c r="H11565" t="s">
        <v>43</v>
      </c>
      <c r="I11565" t="s">
        <v>2191</v>
      </c>
      <c r="J11565" s="10">
        <v>37</v>
      </c>
      <c r="K11565" t="b">
        <v>1</v>
      </c>
    </row>
    <row r="11566" spans="1:11">
      <c r="A11566" s="12">
        <v>43086</v>
      </c>
      <c r="B11566">
        <v>2017</v>
      </c>
      <c r="C11566">
        <v>12</v>
      </c>
      <c r="D11566" s="11">
        <v>43070</v>
      </c>
      <c r="E11566" t="s">
        <v>2184</v>
      </c>
      <c r="F11566">
        <v>7</v>
      </c>
      <c r="G11566" t="s">
        <v>59</v>
      </c>
      <c r="H11566" t="s">
        <v>44</v>
      </c>
      <c r="I11566" t="s">
        <v>2192</v>
      </c>
      <c r="J11566" s="10">
        <v>11</v>
      </c>
      <c r="K11566" t="b">
        <v>1</v>
      </c>
    </row>
    <row r="11567" spans="1:11">
      <c r="A11567" s="12">
        <v>43086</v>
      </c>
      <c r="B11567">
        <v>2017</v>
      </c>
      <c r="C11567">
        <v>12</v>
      </c>
      <c r="D11567" s="11">
        <v>43070</v>
      </c>
      <c r="E11567" t="s">
        <v>2184</v>
      </c>
      <c r="F11567">
        <v>7</v>
      </c>
      <c r="G11567" t="s">
        <v>59</v>
      </c>
      <c r="H11567" t="s">
        <v>45</v>
      </c>
      <c r="I11567" t="s">
        <v>2193</v>
      </c>
      <c r="J11567" s="10">
        <v>0</v>
      </c>
      <c r="K11567" t="b">
        <v>1</v>
      </c>
    </row>
    <row r="11568" spans="1:11">
      <c r="A11568" s="12">
        <v>43086</v>
      </c>
      <c r="B11568">
        <v>2017</v>
      </c>
      <c r="C11568">
        <v>12</v>
      </c>
      <c r="D11568" s="11">
        <v>43070</v>
      </c>
      <c r="E11568" t="s">
        <v>2184</v>
      </c>
      <c r="F11568">
        <v>7</v>
      </c>
      <c r="G11568" t="s">
        <v>59</v>
      </c>
      <c r="H11568" t="s">
        <v>46</v>
      </c>
      <c r="I11568" t="s">
        <v>2194</v>
      </c>
      <c r="J11568" s="10">
        <v>15</v>
      </c>
      <c r="K11568" t="b">
        <v>1</v>
      </c>
    </row>
    <row r="11569" spans="1:11">
      <c r="A11569" s="12">
        <v>43086</v>
      </c>
      <c r="B11569">
        <v>2017</v>
      </c>
      <c r="C11569">
        <v>12</v>
      </c>
      <c r="D11569" s="11">
        <v>43070</v>
      </c>
      <c r="E11569" t="s">
        <v>2184</v>
      </c>
      <c r="F11569">
        <v>7</v>
      </c>
      <c r="G11569" t="s">
        <v>59</v>
      </c>
      <c r="H11569" t="s">
        <v>47</v>
      </c>
      <c r="I11569" t="s">
        <v>2195</v>
      </c>
      <c r="J11569" s="10">
        <v>2</v>
      </c>
      <c r="K11569" t="b">
        <v>1</v>
      </c>
    </row>
    <row r="11570" spans="1:11">
      <c r="A11570" s="12">
        <v>43087</v>
      </c>
      <c r="B11570">
        <v>2017</v>
      </c>
      <c r="C11570">
        <v>12</v>
      </c>
      <c r="D11570" s="11">
        <v>43070</v>
      </c>
      <c r="E11570" t="s">
        <v>2184</v>
      </c>
      <c r="F11570">
        <v>1</v>
      </c>
      <c r="G11570" t="s">
        <v>61</v>
      </c>
      <c r="H11570" t="s">
        <v>40</v>
      </c>
      <c r="I11570" t="s">
        <v>2188</v>
      </c>
      <c r="J11570" s="10">
        <v>0.66</v>
      </c>
      <c r="K11570" t="b">
        <v>1</v>
      </c>
    </row>
    <row r="11571" spans="1:11">
      <c r="A11571" s="12">
        <v>43087</v>
      </c>
      <c r="B11571">
        <v>2017</v>
      </c>
      <c r="C11571">
        <v>12</v>
      </c>
      <c r="D11571" s="11">
        <v>43070</v>
      </c>
      <c r="E11571" t="s">
        <v>2184</v>
      </c>
      <c r="F11571">
        <v>1</v>
      </c>
      <c r="G11571" t="s">
        <v>61</v>
      </c>
      <c r="H11571" t="s">
        <v>41</v>
      </c>
      <c r="I11571" t="s">
        <v>2189</v>
      </c>
      <c r="J11571" s="10">
        <v>4.67</v>
      </c>
      <c r="K11571" t="b">
        <v>1</v>
      </c>
    </row>
    <row r="11572" spans="1:11">
      <c r="A11572" s="12">
        <v>43087</v>
      </c>
      <c r="B11572">
        <v>2017</v>
      </c>
      <c r="C11572">
        <v>12</v>
      </c>
      <c r="D11572" s="11">
        <v>43070</v>
      </c>
      <c r="E11572" t="s">
        <v>2184</v>
      </c>
      <c r="F11572">
        <v>1</v>
      </c>
      <c r="G11572" t="s">
        <v>61</v>
      </c>
      <c r="H11572" t="s">
        <v>42</v>
      </c>
      <c r="I11572" t="s">
        <v>2190</v>
      </c>
      <c r="J11572" s="10">
        <v>6</v>
      </c>
      <c r="K11572" t="b">
        <v>1</v>
      </c>
    </row>
    <row r="11573" spans="1:11">
      <c r="A11573" s="12">
        <v>43087</v>
      </c>
      <c r="B11573">
        <v>2017</v>
      </c>
      <c r="C11573">
        <v>12</v>
      </c>
      <c r="D11573" s="11">
        <v>43070</v>
      </c>
      <c r="E11573" t="s">
        <v>2184</v>
      </c>
      <c r="F11573">
        <v>1</v>
      </c>
      <c r="G11573" t="s">
        <v>61</v>
      </c>
      <c r="H11573" t="s">
        <v>43</v>
      </c>
      <c r="I11573" t="s">
        <v>2191</v>
      </c>
      <c r="J11573" s="10">
        <v>31.6</v>
      </c>
      <c r="K11573" t="b">
        <v>1</v>
      </c>
    </row>
    <row r="11574" spans="1:11">
      <c r="A11574" s="12">
        <v>43087</v>
      </c>
      <c r="B11574">
        <v>2017</v>
      </c>
      <c r="C11574">
        <v>12</v>
      </c>
      <c r="D11574" s="11">
        <v>43070</v>
      </c>
      <c r="E11574" t="s">
        <v>2184</v>
      </c>
      <c r="F11574">
        <v>1</v>
      </c>
      <c r="G11574" t="s">
        <v>61</v>
      </c>
      <c r="H11574" t="s">
        <v>44</v>
      </c>
      <c r="I11574" t="s">
        <v>2192</v>
      </c>
      <c r="J11574" s="10">
        <v>7</v>
      </c>
      <c r="K11574" t="b">
        <v>1</v>
      </c>
    </row>
    <row r="11575" spans="1:11">
      <c r="A11575" s="12">
        <v>43087</v>
      </c>
      <c r="B11575">
        <v>2017</v>
      </c>
      <c r="C11575">
        <v>12</v>
      </c>
      <c r="D11575" s="11">
        <v>43070</v>
      </c>
      <c r="E11575" t="s">
        <v>2184</v>
      </c>
      <c r="F11575">
        <v>1</v>
      </c>
      <c r="G11575" t="s">
        <v>61</v>
      </c>
      <c r="H11575" t="s">
        <v>45</v>
      </c>
      <c r="I11575" t="s">
        <v>2193</v>
      </c>
      <c r="J11575" s="10">
        <v>0</v>
      </c>
      <c r="K11575" t="b">
        <v>1</v>
      </c>
    </row>
    <row r="11576" spans="1:11">
      <c r="A11576" s="12">
        <v>43087</v>
      </c>
      <c r="B11576">
        <v>2017</v>
      </c>
      <c r="C11576">
        <v>12</v>
      </c>
      <c r="D11576" s="11">
        <v>43070</v>
      </c>
      <c r="E11576" t="s">
        <v>2184</v>
      </c>
      <c r="F11576">
        <v>1</v>
      </c>
      <c r="G11576" t="s">
        <v>61</v>
      </c>
      <c r="H11576" t="s">
        <v>46</v>
      </c>
      <c r="I11576" t="s">
        <v>2194</v>
      </c>
      <c r="J11576" s="10">
        <v>8</v>
      </c>
      <c r="K11576" t="b">
        <v>1</v>
      </c>
    </row>
    <row r="11577" spans="1:11">
      <c r="A11577" s="12">
        <v>43087</v>
      </c>
      <c r="B11577">
        <v>2017</v>
      </c>
      <c r="C11577">
        <v>12</v>
      </c>
      <c r="D11577" s="11">
        <v>43070</v>
      </c>
      <c r="E11577" t="s">
        <v>2184</v>
      </c>
      <c r="F11577">
        <v>1</v>
      </c>
      <c r="G11577" t="s">
        <v>61</v>
      </c>
      <c r="H11577" t="s">
        <v>47</v>
      </c>
      <c r="I11577" t="s">
        <v>2195</v>
      </c>
      <c r="J11577" s="10">
        <v>0</v>
      </c>
      <c r="K11577" t="b">
        <v>1</v>
      </c>
    </row>
    <row r="11578" spans="1:11">
      <c r="A11578" s="12">
        <v>43088</v>
      </c>
      <c r="B11578">
        <v>2017</v>
      </c>
      <c r="C11578">
        <v>12</v>
      </c>
      <c r="D11578" s="11">
        <v>43070</v>
      </c>
      <c r="E11578" t="s">
        <v>2184</v>
      </c>
      <c r="F11578">
        <v>2</v>
      </c>
      <c r="G11578" t="s">
        <v>63</v>
      </c>
      <c r="H11578" t="s">
        <v>40</v>
      </c>
      <c r="I11578" t="s">
        <v>2188</v>
      </c>
      <c r="J11578" s="10">
        <v>0</v>
      </c>
      <c r="K11578" t="b">
        <v>1</v>
      </c>
    </row>
    <row r="11579" spans="1:11">
      <c r="A11579" s="12">
        <v>43088</v>
      </c>
      <c r="B11579">
        <v>2017</v>
      </c>
      <c r="C11579">
        <v>12</v>
      </c>
      <c r="D11579" s="11">
        <v>43070</v>
      </c>
      <c r="E11579" t="s">
        <v>2184</v>
      </c>
      <c r="F11579">
        <v>2</v>
      </c>
      <c r="G11579" t="s">
        <v>63</v>
      </c>
      <c r="H11579" t="s">
        <v>41</v>
      </c>
      <c r="I11579" t="s">
        <v>2189</v>
      </c>
      <c r="J11579" s="10">
        <v>0</v>
      </c>
      <c r="K11579" t="b">
        <v>1</v>
      </c>
    </row>
    <row r="11580" spans="1:11">
      <c r="A11580" s="12">
        <v>43088</v>
      </c>
      <c r="B11580">
        <v>2017</v>
      </c>
      <c r="C11580">
        <v>12</v>
      </c>
      <c r="D11580" s="11">
        <v>43070</v>
      </c>
      <c r="E11580" t="s">
        <v>2184</v>
      </c>
      <c r="F11580">
        <v>2</v>
      </c>
      <c r="G11580" t="s">
        <v>63</v>
      </c>
      <c r="H11580" t="s">
        <v>42</v>
      </c>
      <c r="I11580" t="s">
        <v>2190</v>
      </c>
      <c r="J11580" s="10">
        <v>0</v>
      </c>
      <c r="K11580" t="b">
        <v>1</v>
      </c>
    </row>
    <row r="11581" spans="1:11">
      <c r="A11581" s="12">
        <v>43088</v>
      </c>
      <c r="B11581">
        <v>2017</v>
      </c>
      <c r="C11581">
        <v>12</v>
      </c>
      <c r="D11581" s="11">
        <v>43070</v>
      </c>
      <c r="E11581" t="s">
        <v>2184</v>
      </c>
      <c r="F11581">
        <v>2</v>
      </c>
      <c r="G11581" t="s">
        <v>63</v>
      </c>
      <c r="H11581" t="s">
        <v>43</v>
      </c>
      <c r="I11581" t="s">
        <v>2191</v>
      </c>
      <c r="J11581" s="10">
        <v>0</v>
      </c>
      <c r="K11581" t="b">
        <v>1</v>
      </c>
    </row>
    <row r="11582" spans="1:11">
      <c r="A11582" s="12">
        <v>43088</v>
      </c>
      <c r="B11582">
        <v>2017</v>
      </c>
      <c r="C11582">
        <v>12</v>
      </c>
      <c r="D11582" s="11">
        <v>43070</v>
      </c>
      <c r="E11582" t="s">
        <v>2184</v>
      </c>
      <c r="F11582">
        <v>2</v>
      </c>
      <c r="G11582" t="s">
        <v>63</v>
      </c>
      <c r="H11582" t="s">
        <v>44</v>
      </c>
      <c r="I11582" t="s">
        <v>2192</v>
      </c>
      <c r="J11582" s="10">
        <v>0</v>
      </c>
      <c r="K11582" t="b">
        <v>1</v>
      </c>
    </row>
    <row r="11583" spans="1:11">
      <c r="A11583" s="12">
        <v>43088</v>
      </c>
      <c r="B11583">
        <v>2017</v>
      </c>
      <c r="C11583">
        <v>12</v>
      </c>
      <c r="D11583" s="11">
        <v>43070</v>
      </c>
      <c r="E11583" t="s">
        <v>2184</v>
      </c>
      <c r="F11583">
        <v>2</v>
      </c>
      <c r="G11583" t="s">
        <v>63</v>
      </c>
      <c r="H11583" t="s">
        <v>45</v>
      </c>
      <c r="I11583" t="s">
        <v>2193</v>
      </c>
      <c r="J11583" s="10">
        <v>0</v>
      </c>
      <c r="K11583" t="b">
        <v>1</v>
      </c>
    </row>
    <row r="11584" spans="1:11">
      <c r="A11584" s="12">
        <v>43088</v>
      </c>
      <c r="B11584">
        <v>2017</v>
      </c>
      <c r="C11584">
        <v>12</v>
      </c>
      <c r="D11584" s="11">
        <v>43070</v>
      </c>
      <c r="E11584" t="s">
        <v>2184</v>
      </c>
      <c r="F11584">
        <v>2</v>
      </c>
      <c r="G11584" t="s">
        <v>63</v>
      </c>
      <c r="H11584" t="s">
        <v>46</v>
      </c>
      <c r="I11584" t="s">
        <v>2194</v>
      </c>
      <c r="J11584" s="10">
        <v>0</v>
      </c>
      <c r="K11584" t="b">
        <v>1</v>
      </c>
    </row>
    <row r="11585" spans="1:11">
      <c r="A11585" s="12">
        <v>43088</v>
      </c>
      <c r="B11585">
        <v>2017</v>
      </c>
      <c r="C11585">
        <v>12</v>
      </c>
      <c r="D11585" s="11">
        <v>43070</v>
      </c>
      <c r="E11585" t="s">
        <v>2184</v>
      </c>
      <c r="F11585">
        <v>2</v>
      </c>
      <c r="G11585" t="s">
        <v>63</v>
      </c>
      <c r="H11585" t="s">
        <v>47</v>
      </c>
      <c r="I11585" t="s">
        <v>2195</v>
      </c>
      <c r="J11585" s="10">
        <v>0</v>
      </c>
      <c r="K11585" t="b">
        <v>1</v>
      </c>
    </row>
    <row r="11586" spans="1:11">
      <c r="A11586" s="12">
        <v>43089</v>
      </c>
      <c r="B11586">
        <v>2017</v>
      </c>
      <c r="C11586">
        <v>12</v>
      </c>
      <c r="D11586" s="11">
        <v>43070</v>
      </c>
      <c r="E11586" t="s">
        <v>2184</v>
      </c>
      <c r="F11586">
        <v>3</v>
      </c>
      <c r="G11586" t="s">
        <v>65</v>
      </c>
      <c r="H11586" t="s">
        <v>40</v>
      </c>
      <c r="I11586" t="s">
        <v>2188</v>
      </c>
      <c r="J11586" s="10">
        <v>2</v>
      </c>
      <c r="K11586" t="b">
        <v>1</v>
      </c>
    </row>
    <row r="11587" spans="1:11">
      <c r="A11587" s="12">
        <v>43089</v>
      </c>
      <c r="B11587">
        <v>2017</v>
      </c>
      <c r="C11587">
        <v>12</v>
      </c>
      <c r="D11587" s="11">
        <v>43070</v>
      </c>
      <c r="E11587" t="s">
        <v>2184</v>
      </c>
      <c r="F11587">
        <v>3</v>
      </c>
      <c r="G11587" t="s">
        <v>65</v>
      </c>
      <c r="H11587" t="s">
        <v>41</v>
      </c>
      <c r="I11587" t="s">
        <v>2189</v>
      </c>
      <c r="J11587" s="10">
        <v>3.396</v>
      </c>
      <c r="K11587" t="b">
        <v>1</v>
      </c>
    </row>
    <row r="11588" spans="1:11">
      <c r="A11588" s="12">
        <v>43089</v>
      </c>
      <c r="B11588">
        <v>2017</v>
      </c>
      <c r="C11588">
        <v>12</v>
      </c>
      <c r="D11588" s="11">
        <v>43070</v>
      </c>
      <c r="E11588" t="s">
        <v>2184</v>
      </c>
      <c r="F11588">
        <v>3</v>
      </c>
      <c r="G11588" t="s">
        <v>65</v>
      </c>
      <c r="H11588" t="s">
        <v>42</v>
      </c>
      <c r="I11588" t="s">
        <v>2190</v>
      </c>
      <c r="J11588" s="10">
        <v>3</v>
      </c>
      <c r="K11588" t="b">
        <v>1</v>
      </c>
    </row>
    <row r="11589" spans="1:11">
      <c r="A11589" s="12">
        <v>43089</v>
      </c>
      <c r="B11589">
        <v>2017</v>
      </c>
      <c r="C11589">
        <v>12</v>
      </c>
      <c r="D11589" s="11">
        <v>43070</v>
      </c>
      <c r="E11589" t="s">
        <v>2184</v>
      </c>
      <c r="F11589">
        <v>3</v>
      </c>
      <c r="G11589" t="s">
        <v>65</v>
      </c>
      <c r="H11589" t="s">
        <v>43</v>
      </c>
      <c r="I11589" t="s">
        <v>2191</v>
      </c>
      <c r="J11589" s="10">
        <v>27.2</v>
      </c>
      <c r="K11589" t="b">
        <v>1</v>
      </c>
    </row>
    <row r="11590" spans="1:11">
      <c r="A11590" s="12">
        <v>43089</v>
      </c>
      <c r="B11590">
        <v>2017</v>
      </c>
      <c r="C11590">
        <v>12</v>
      </c>
      <c r="D11590" s="11">
        <v>43070</v>
      </c>
      <c r="E11590" t="s">
        <v>2184</v>
      </c>
      <c r="F11590">
        <v>3</v>
      </c>
      <c r="G11590" t="s">
        <v>65</v>
      </c>
      <c r="H11590" t="s">
        <v>44</v>
      </c>
      <c r="I11590" t="s">
        <v>2192</v>
      </c>
      <c r="J11590" s="10">
        <v>3</v>
      </c>
      <c r="K11590" t="b">
        <v>1</v>
      </c>
    </row>
    <row r="11591" spans="1:11">
      <c r="A11591" s="12">
        <v>43089</v>
      </c>
      <c r="B11591">
        <v>2017</v>
      </c>
      <c r="C11591">
        <v>12</v>
      </c>
      <c r="D11591" s="11">
        <v>43070</v>
      </c>
      <c r="E11591" t="s">
        <v>2184</v>
      </c>
      <c r="F11591">
        <v>3</v>
      </c>
      <c r="G11591" t="s">
        <v>65</v>
      </c>
      <c r="H11591" t="s">
        <v>45</v>
      </c>
      <c r="I11591" t="s">
        <v>2193</v>
      </c>
      <c r="J11591" s="10">
        <v>0</v>
      </c>
      <c r="K11591" t="b">
        <v>1</v>
      </c>
    </row>
    <row r="11592" spans="1:11">
      <c r="A11592" s="12">
        <v>43089</v>
      </c>
      <c r="B11592">
        <v>2017</v>
      </c>
      <c r="C11592">
        <v>12</v>
      </c>
      <c r="D11592" s="11">
        <v>43070</v>
      </c>
      <c r="E11592" t="s">
        <v>2184</v>
      </c>
      <c r="F11592">
        <v>3</v>
      </c>
      <c r="G11592" t="s">
        <v>65</v>
      </c>
      <c r="H11592" t="s">
        <v>46</v>
      </c>
      <c r="I11592" t="s">
        <v>2194</v>
      </c>
      <c r="J11592" s="10">
        <v>11</v>
      </c>
      <c r="K11592" t="b">
        <v>1</v>
      </c>
    </row>
    <row r="11593" spans="1:11">
      <c r="A11593" s="12">
        <v>43089</v>
      </c>
      <c r="B11593">
        <v>2017</v>
      </c>
      <c r="C11593">
        <v>12</v>
      </c>
      <c r="D11593" s="11">
        <v>43070</v>
      </c>
      <c r="E11593" t="s">
        <v>2184</v>
      </c>
      <c r="F11593">
        <v>3</v>
      </c>
      <c r="G11593" t="s">
        <v>65</v>
      </c>
      <c r="H11593" t="s">
        <v>47</v>
      </c>
      <c r="I11593" t="s">
        <v>2195</v>
      </c>
      <c r="J11593" s="10">
        <v>2</v>
      </c>
      <c r="K11593" t="b">
        <v>1</v>
      </c>
    </row>
    <row r="11594" spans="1:11">
      <c r="A11594" s="12">
        <v>43090</v>
      </c>
      <c r="B11594">
        <v>2017</v>
      </c>
      <c r="C11594">
        <v>12</v>
      </c>
      <c r="D11594" s="11">
        <v>43070</v>
      </c>
      <c r="E11594" t="s">
        <v>2184</v>
      </c>
      <c r="F11594">
        <v>4</v>
      </c>
      <c r="G11594" t="s">
        <v>53</v>
      </c>
      <c r="H11594" t="s">
        <v>40</v>
      </c>
      <c r="I11594" t="s">
        <v>2188</v>
      </c>
      <c r="J11594" s="10">
        <v>2.02</v>
      </c>
      <c r="K11594" t="b">
        <v>1</v>
      </c>
    </row>
    <row r="11595" spans="1:11">
      <c r="A11595" s="12">
        <v>43090</v>
      </c>
      <c r="B11595">
        <v>2017</v>
      </c>
      <c r="C11595">
        <v>12</v>
      </c>
      <c r="D11595" s="11">
        <v>43070</v>
      </c>
      <c r="E11595" t="s">
        <v>2184</v>
      </c>
      <c r="F11595">
        <v>4</v>
      </c>
      <c r="G11595" t="s">
        <v>53</v>
      </c>
      <c r="H11595" t="s">
        <v>41</v>
      </c>
      <c r="I11595" t="s">
        <v>2189</v>
      </c>
      <c r="J11595" s="10">
        <v>2.66</v>
      </c>
      <c r="K11595" t="b">
        <v>1</v>
      </c>
    </row>
    <row r="11596" spans="1:11">
      <c r="A11596" s="12">
        <v>43090</v>
      </c>
      <c r="B11596">
        <v>2017</v>
      </c>
      <c r="C11596">
        <v>12</v>
      </c>
      <c r="D11596" s="11">
        <v>43070</v>
      </c>
      <c r="E11596" t="s">
        <v>2184</v>
      </c>
      <c r="F11596">
        <v>4</v>
      </c>
      <c r="G11596" t="s">
        <v>53</v>
      </c>
      <c r="H11596" t="s">
        <v>42</v>
      </c>
      <c r="I11596" t="s">
        <v>2190</v>
      </c>
      <c r="J11596" s="10">
        <v>4</v>
      </c>
      <c r="K11596" t="b">
        <v>1</v>
      </c>
    </row>
    <row r="11597" spans="1:11">
      <c r="A11597" s="12">
        <v>43090</v>
      </c>
      <c r="B11597">
        <v>2017</v>
      </c>
      <c r="C11597">
        <v>12</v>
      </c>
      <c r="D11597" s="11">
        <v>43070</v>
      </c>
      <c r="E11597" t="s">
        <v>2184</v>
      </c>
      <c r="F11597">
        <v>4</v>
      </c>
      <c r="G11597" t="s">
        <v>53</v>
      </c>
      <c r="H11597" t="s">
        <v>43</v>
      </c>
      <c r="I11597" t="s">
        <v>2191</v>
      </c>
      <c r="J11597" s="10">
        <v>23.4</v>
      </c>
      <c r="K11597" t="b">
        <v>1</v>
      </c>
    </row>
    <row r="11598" spans="1:11">
      <c r="A11598" s="12">
        <v>43090</v>
      </c>
      <c r="B11598">
        <v>2017</v>
      </c>
      <c r="C11598">
        <v>12</v>
      </c>
      <c r="D11598" s="11">
        <v>43070</v>
      </c>
      <c r="E11598" t="s">
        <v>2184</v>
      </c>
      <c r="F11598">
        <v>4</v>
      </c>
      <c r="G11598" t="s">
        <v>53</v>
      </c>
      <c r="H11598" t="s">
        <v>44</v>
      </c>
      <c r="I11598" t="s">
        <v>2192</v>
      </c>
      <c r="J11598" s="10">
        <v>5</v>
      </c>
      <c r="K11598" t="b">
        <v>1</v>
      </c>
    </row>
    <row r="11599" spans="1:11">
      <c r="A11599" s="12">
        <v>43090</v>
      </c>
      <c r="B11599">
        <v>2017</v>
      </c>
      <c r="C11599">
        <v>12</v>
      </c>
      <c r="D11599" s="11">
        <v>43070</v>
      </c>
      <c r="E11599" t="s">
        <v>2184</v>
      </c>
      <c r="F11599">
        <v>4</v>
      </c>
      <c r="G11599" t="s">
        <v>53</v>
      </c>
      <c r="H11599" t="s">
        <v>45</v>
      </c>
      <c r="I11599" t="s">
        <v>2193</v>
      </c>
      <c r="J11599" s="10">
        <v>0</v>
      </c>
      <c r="K11599" t="b">
        <v>1</v>
      </c>
    </row>
    <row r="11600" spans="1:11">
      <c r="A11600" s="12">
        <v>43090</v>
      </c>
      <c r="B11600">
        <v>2017</v>
      </c>
      <c r="C11600">
        <v>12</v>
      </c>
      <c r="D11600" s="11">
        <v>43070</v>
      </c>
      <c r="E11600" t="s">
        <v>2184</v>
      </c>
      <c r="F11600">
        <v>4</v>
      </c>
      <c r="G11600" t="s">
        <v>53</v>
      </c>
      <c r="H11600" t="s">
        <v>46</v>
      </c>
      <c r="I11600" t="s">
        <v>2194</v>
      </c>
      <c r="J11600" s="10">
        <v>6</v>
      </c>
      <c r="K11600" t="b">
        <v>1</v>
      </c>
    </row>
    <row r="11601" spans="1:11">
      <c r="A11601" s="12">
        <v>43090</v>
      </c>
      <c r="B11601">
        <v>2017</v>
      </c>
      <c r="C11601">
        <v>12</v>
      </c>
      <c r="D11601" s="11">
        <v>43070</v>
      </c>
      <c r="E11601" t="s">
        <v>2184</v>
      </c>
      <c r="F11601">
        <v>4</v>
      </c>
      <c r="G11601" t="s">
        <v>53</v>
      </c>
      <c r="H11601" t="s">
        <v>47</v>
      </c>
      <c r="I11601" t="s">
        <v>2195</v>
      </c>
      <c r="J11601" s="10">
        <v>0</v>
      </c>
      <c r="K11601" t="b">
        <v>1</v>
      </c>
    </row>
    <row r="11602" spans="1:11">
      <c r="A11602" s="12">
        <v>43091</v>
      </c>
      <c r="B11602">
        <v>2017</v>
      </c>
      <c r="C11602">
        <v>12</v>
      </c>
      <c r="D11602" s="11">
        <v>43070</v>
      </c>
      <c r="E11602" t="s">
        <v>2184</v>
      </c>
      <c r="F11602">
        <v>5</v>
      </c>
      <c r="G11602" t="s">
        <v>55</v>
      </c>
      <c r="H11602" t="s">
        <v>40</v>
      </c>
      <c r="I11602" t="s">
        <v>2188</v>
      </c>
      <c r="J11602" s="10">
        <v>5.99</v>
      </c>
      <c r="K11602" t="b">
        <v>1</v>
      </c>
    </row>
    <row r="11603" spans="1:11">
      <c r="A11603" s="12">
        <v>43091</v>
      </c>
      <c r="B11603">
        <v>2017</v>
      </c>
      <c r="C11603">
        <v>12</v>
      </c>
      <c r="D11603" s="11">
        <v>43070</v>
      </c>
      <c r="E11603" t="s">
        <v>2184</v>
      </c>
      <c r="F11603">
        <v>5</v>
      </c>
      <c r="G11603" t="s">
        <v>55</v>
      </c>
      <c r="H11603" t="s">
        <v>41</v>
      </c>
      <c r="I11603" t="s">
        <v>2189</v>
      </c>
      <c r="J11603" s="10">
        <v>2.769</v>
      </c>
      <c r="K11603" t="b">
        <v>1</v>
      </c>
    </row>
    <row r="11604" spans="1:11">
      <c r="A11604" s="12">
        <v>43091</v>
      </c>
      <c r="B11604">
        <v>2017</v>
      </c>
      <c r="C11604">
        <v>12</v>
      </c>
      <c r="D11604" s="11">
        <v>43070</v>
      </c>
      <c r="E11604" t="s">
        <v>2184</v>
      </c>
      <c r="F11604">
        <v>5</v>
      </c>
      <c r="G11604" t="s">
        <v>55</v>
      </c>
      <c r="H11604" t="s">
        <v>42</v>
      </c>
      <c r="I11604" t="s">
        <v>2190</v>
      </c>
      <c r="J11604" s="10">
        <v>1.5</v>
      </c>
      <c r="K11604" t="b">
        <v>1</v>
      </c>
    </row>
    <row r="11605" spans="1:11">
      <c r="A11605" s="12">
        <v>43091</v>
      </c>
      <c r="B11605">
        <v>2017</v>
      </c>
      <c r="C11605">
        <v>12</v>
      </c>
      <c r="D11605" s="11">
        <v>43070</v>
      </c>
      <c r="E11605" t="s">
        <v>2184</v>
      </c>
      <c r="F11605">
        <v>5</v>
      </c>
      <c r="G11605" t="s">
        <v>55</v>
      </c>
      <c r="H11605" t="s">
        <v>43</v>
      </c>
      <c r="I11605" t="s">
        <v>2191</v>
      </c>
      <c r="J11605" s="10">
        <v>26</v>
      </c>
      <c r="K11605" t="b">
        <v>1</v>
      </c>
    </row>
    <row r="11606" spans="1:11">
      <c r="A11606" s="12">
        <v>43091</v>
      </c>
      <c r="B11606">
        <v>2017</v>
      </c>
      <c r="C11606">
        <v>12</v>
      </c>
      <c r="D11606" s="11">
        <v>43070</v>
      </c>
      <c r="E11606" t="s">
        <v>2184</v>
      </c>
      <c r="F11606">
        <v>5</v>
      </c>
      <c r="G11606" t="s">
        <v>55</v>
      </c>
      <c r="H11606" t="s">
        <v>44</v>
      </c>
      <c r="I11606" t="s">
        <v>2192</v>
      </c>
      <c r="J11606" s="10">
        <v>13</v>
      </c>
      <c r="K11606" t="b">
        <v>1</v>
      </c>
    </row>
    <row r="11607" spans="1:11">
      <c r="A11607" s="12">
        <v>43091</v>
      </c>
      <c r="B11607">
        <v>2017</v>
      </c>
      <c r="C11607">
        <v>12</v>
      </c>
      <c r="D11607" s="11">
        <v>43070</v>
      </c>
      <c r="E11607" t="s">
        <v>2184</v>
      </c>
      <c r="F11607">
        <v>5</v>
      </c>
      <c r="G11607" t="s">
        <v>55</v>
      </c>
      <c r="H11607" t="s">
        <v>45</v>
      </c>
      <c r="I11607" t="s">
        <v>2193</v>
      </c>
      <c r="J11607" s="10">
        <v>0</v>
      </c>
      <c r="K11607" t="b">
        <v>1</v>
      </c>
    </row>
    <row r="11608" spans="1:11">
      <c r="A11608" s="12">
        <v>43091</v>
      </c>
      <c r="B11608">
        <v>2017</v>
      </c>
      <c r="C11608">
        <v>12</v>
      </c>
      <c r="D11608" s="11">
        <v>43070</v>
      </c>
      <c r="E11608" t="s">
        <v>2184</v>
      </c>
      <c r="F11608">
        <v>5</v>
      </c>
      <c r="G11608" t="s">
        <v>55</v>
      </c>
      <c r="H11608" t="s">
        <v>46</v>
      </c>
      <c r="I11608" t="s">
        <v>2194</v>
      </c>
      <c r="J11608" s="10">
        <v>1</v>
      </c>
      <c r="K11608" t="b">
        <v>1</v>
      </c>
    </row>
    <row r="11609" spans="1:11">
      <c r="A11609" s="12">
        <v>43091</v>
      </c>
      <c r="B11609">
        <v>2017</v>
      </c>
      <c r="C11609">
        <v>12</v>
      </c>
      <c r="D11609" s="11">
        <v>43070</v>
      </c>
      <c r="E11609" t="s">
        <v>2184</v>
      </c>
      <c r="F11609">
        <v>5</v>
      </c>
      <c r="G11609" t="s">
        <v>55</v>
      </c>
      <c r="H11609" t="s">
        <v>47</v>
      </c>
      <c r="I11609" t="s">
        <v>2195</v>
      </c>
      <c r="J11609" s="10">
        <v>1.6</v>
      </c>
      <c r="K11609" t="b">
        <v>1</v>
      </c>
    </row>
    <row r="11610" spans="1:11">
      <c r="A11610" s="12">
        <v>43092</v>
      </c>
      <c r="B11610">
        <v>2017</v>
      </c>
      <c r="C11610">
        <v>12</v>
      </c>
      <c r="D11610" s="11">
        <v>43070</v>
      </c>
      <c r="E11610" t="s">
        <v>2184</v>
      </c>
      <c r="F11610">
        <v>6</v>
      </c>
      <c r="G11610" t="s">
        <v>57</v>
      </c>
      <c r="H11610" t="s">
        <v>40</v>
      </c>
      <c r="I11610" t="s">
        <v>2188</v>
      </c>
      <c r="J11610" s="10">
        <v>6</v>
      </c>
      <c r="K11610" t="b">
        <v>1</v>
      </c>
    </row>
    <row r="11611" spans="1:11">
      <c r="A11611" s="12">
        <v>43092</v>
      </c>
      <c r="B11611">
        <v>2017</v>
      </c>
      <c r="C11611">
        <v>12</v>
      </c>
      <c r="D11611" s="11">
        <v>43070</v>
      </c>
      <c r="E11611" t="s">
        <v>2184</v>
      </c>
      <c r="F11611">
        <v>6</v>
      </c>
      <c r="G11611" t="s">
        <v>57</v>
      </c>
      <c r="H11611" t="s">
        <v>41</v>
      </c>
      <c r="I11611" t="s">
        <v>2189</v>
      </c>
      <c r="J11611" s="10">
        <v>4.505</v>
      </c>
      <c r="K11611" t="b">
        <v>1</v>
      </c>
    </row>
    <row r="11612" spans="1:11">
      <c r="A11612" s="12">
        <v>43092</v>
      </c>
      <c r="B11612">
        <v>2017</v>
      </c>
      <c r="C11612">
        <v>12</v>
      </c>
      <c r="D11612" s="11">
        <v>43070</v>
      </c>
      <c r="E11612" t="s">
        <v>2184</v>
      </c>
      <c r="F11612">
        <v>6</v>
      </c>
      <c r="G11612" t="s">
        <v>57</v>
      </c>
      <c r="H11612" t="s">
        <v>42</v>
      </c>
      <c r="I11612" t="s">
        <v>2190</v>
      </c>
      <c r="J11612" s="10">
        <v>6.1</v>
      </c>
      <c r="K11612" t="b">
        <v>1</v>
      </c>
    </row>
    <row r="11613" spans="1:11">
      <c r="A11613" s="12">
        <v>43092</v>
      </c>
      <c r="B11613">
        <v>2017</v>
      </c>
      <c r="C11613">
        <v>12</v>
      </c>
      <c r="D11613" s="11">
        <v>43070</v>
      </c>
      <c r="E11613" t="s">
        <v>2184</v>
      </c>
      <c r="F11613">
        <v>6</v>
      </c>
      <c r="G11613" t="s">
        <v>57</v>
      </c>
      <c r="H11613" t="s">
        <v>43</v>
      </c>
      <c r="I11613" t="s">
        <v>2191</v>
      </c>
      <c r="J11613" s="10">
        <v>28.3</v>
      </c>
      <c r="K11613" t="b">
        <v>1</v>
      </c>
    </row>
    <row r="11614" spans="1:11">
      <c r="A11614" s="12">
        <v>43092</v>
      </c>
      <c r="B11614">
        <v>2017</v>
      </c>
      <c r="C11614">
        <v>12</v>
      </c>
      <c r="D11614" s="11">
        <v>43070</v>
      </c>
      <c r="E11614" t="s">
        <v>2184</v>
      </c>
      <c r="F11614">
        <v>6</v>
      </c>
      <c r="G11614" t="s">
        <v>57</v>
      </c>
      <c r="H11614" t="s">
        <v>44</v>
      </c>
      <c r="I11614" t="s">
        <v>2192</v>
      </c>
      <c r="J11614" s="10">
        <v>6</v>
      </c>
      <c r="K11614" t="b">
        <v>1</v>
      </c>
    </row>
    <row r="11615" spans="1:11">
      <c r="A11615" s="12">
        <v>43092</v>
      </c>
      <c r="B11615">
        <v>2017</v>
      </c>
      <c r="C11615">
        <v>12</v>
      </c>
      <c r="D11615" s="11">
        <v>43070</v>
      </c>
      <c r="E11615" t="s">
        <v>2184</v>
      </c>
      <c r="F11615">
        <v>6</v>
      </c>
      <c r="G11615" t="s">
        <v>57</v>
      </c>
      <c r="H11615" t="s">
        <v>45</v>
      </c>
      <c r="I11615" t="s">
        <v>2193</v>
      </c>
      <c r="J11615" s="10">
        <v>0</v>
      </c>
      <c r="K11615" t="b">
        <v>1</v>
      </c>
    </row>
    <row r="11616" spans="1:11">
      <c r="A11616" s="12">
        <v>43092</v>
      </c>
      <c r="B11616">
        <v>2017</v>
      </c>
      <c r="C11616">
        <v>12</v>
      </c>
      <c r="D11616" s="11">
        <v>43070</v>
      </c>
      <c r="E11616" t="s">
        <v>2184</v>
      </c>
      <c r="F11616">
        <v>6</v>
      </c>
      <c r="G11616" t="s">
        <v>57</v>
      </c>
      <c r="H11616" t="s">
        <v>46</v>
      </c>
      <c r="I11616" t="s">
        <v>2194</v>
      </c>
      <c r="J11616" s="10">
        <v>1</v>
      </c>
      <c r="K11616" t="b">
        <v>1</v>
      </c>
    </row>
    <row r="11617" spans="1:11">
      <c r="A11617" s="12">
        <v>43092</v>
      </c>
      <c r="B11617">
        <v>2017</v>
      </c>
      <c r="C11617">
        <v>12</v>
      </c>
      <c r="D11617" s="11">
        <v>43070</v>
      </c>
      <c r="E11617" t="s">
        <v>2184</v>
      </c>
      <c r="F11617">
        <v>6</v>
      </c>
      <c r="G11617" t="s">
        <v>57</v>
      </c>
      <c r="H11617" t="s">
        <v>47</v>
      </c>
      <c r="I11617" t="s">
        <v>2195</v>
      </c>
      <c r="J11617" s="10">
        <v>1</v>
      </c>
      <c r="K11617" t="b">
        <v>1</v>
      </c>
    </row>
    <row r="11618" spans="1:11">
      <c r="A11618" s="12">
        <v>43093</v>
      </c>
      <c r="B11618">
        <v>2017</v>
      </c>
      <c r="C11618">
        <v>12</v>
      </c>
      <c r="D11618" s="11">
        <v>43070</v>
      </c>
      <c r="E11618" t="s">
        <v>2184</v>
      </c>
      <c r="F11618">
        <v>7</v>
      </c>
      <c r="G11618" t="s">
        <v>59</v>
      </c>
      <c r="H11618" t="s">
        <v>40</v>
      </c>
      <c r="I11618" t="s">
        <v>2188</v>
      </c>
      <c r="J11618" s="10">
        <v>7.66</v>
      </c>
      <c r="K11618" t="b">
        <v>1</v>
      </c>
    </row>
    <row r="11619" spans="1:11">
      <c r="A11619" s="12">
        <v>43093</v>
      </c>
      <c r="B11619">
        <v>2017</v>
      </c>
      <c r="C11619">
        <v>12</v>
      </c>
      <c r="D11619" s="11">
        <v>43070</v>
      </c>
      <c r="E11619" t="s">
        <v>2184</v>
      </c>
      <c r="F11619">
        <v>7</v>
      </c>
      <c r="G11619" t="s">
        <v>59</v>
      </c>
      <c r="H11619" t="s">
        <v>41</v>
      </c>
      <c r="I11619" t="s">
        <v>2189</v>
      </c>
      <c r="J11619" s="10">
        <v>3.46</v>
      </c>
      <c r="K11619" t="b">
        <v>1</v>
      </c>
    </row>
    <row r="11620" spans="1:11">
      <c r="A11620" s="12">
        <v>43093</v>
      </c>
      <c r="B11620">
        <v>2017</v>
      </c>
      <c r="C11620">
        <v>12</v>
      </c>
      <c r="D11620" s="11">
        <v>43070</v>
      </c>
      <c r="E11620" t="s">
        <v>2184</v>
      </c>
      <c r="F11620">
        <v>7</v>
      </c>
      <c r="G11620" t="s">
        <v>59</v>
      </c>
      <c r="H11620" t="s">
        <v>42</v>
      </c>
      <c r="I11620" t="s">
        <v>2190</v>
      </c>
      <c r="J11620" s="10">
        <v>2</v>
      </c>
      <c r="K11620" t="b">
        <v>1</v>
      </c>
    </row>
    <row r="11621" spans="1:11">
      <c r="A11621" s="12">
        <v>43093</v>
      </c>
      <c r="B11621">
        <v>2017</v>
      </c>
      <c r="C11621">
        <v>12</v>
      </c>
      <c r="D11621" s="11">
        <v>43070</v>
      </c>
      <c r="E11621" t="s">
        <v>2184</v>
      </c>
      <c r="F11621">
        <v>7</v>
      </c>
      <c r="G11621" t="s">
        <v>59</v>
      </c>
      <c r="H11621" t="s">
        <v>43</v>
      </c>
      <c r="I11621" t="s">
        <v>2191</v>
      </c>
      <c r="J11621" s="10">
        <v>32.2</v>
      </c>
      <c r="K11621" t="b">
        <v>1</v>
      </c>
    </row>
    <row r="11622" spans="1:11">
      <c r="A11622" s="12">
        <v>43093</v>
      </c>
      <c r="B11622">
        <v>2017</v>
      </c>
      <c r="C11622">
        <v>12</v>
      </c>
      <c r="D11622" s="11">
        <v>43070</v>
      </c>
      <c r="E11622" t="s">
        <v>2184</v>
      </c>
      <c r="F11622">
        <v>7</v>
      </c>
      <c r="G11622" t="s">
        <v>59</v>
      </c>
      <c r="H11622" t="s">
        <v>44</v>
      </c>
      <c r="I11622" t="s">
        <v>2192</v>
      </c>
      <c r="J11622" s="10">
        <v>4</v>
      </c>
      <c r="K11622" t="b">
        <v>1</v>
      </c>
    </row>
    <row r="11623" spans="1:11">
      <c r="A11623" s="12">
        <v>43093</v>
      </c>
      <c r="B11623">
        <v>2017</v>
      </c>
      <c r="C11623">
        <v>12</v>
      </c>
      <c r="D11623" s="11">
        <v>43070</v>
      </c>
      <c r="E11623" t="s">
        <v>2184</v>
      </c>
      <c r="F11623">
        <v>7</v>
      </c>
      <c r="G11623" t="s">
        <v>59</v>
      </c>
      <c r="H11623" t="s">
        <v>45</v>
      </c>
      <c r="I11623" t="s">
        <v>2193</v>
      </c>
      <c r="J11623" s="10">
        <v>0</v>
      </c>
      <c r="K11623" t="b">
        <v>1</v>
      </c>
    </row>
    <row r="11624" spans="1:11">
      <c r="A11624" s="12">
        <v>43093</v>
      </c>
      <c r="B11624">
        <v>2017</v>
      </c>
      <c r="C11624">
        <v>12</v>
      </c>
      <c r="D11624" s="11">
        <v>43070</v>
      </c>
      <c r="E11624" t="s">
        <v>2184</v>
      </c>
      <c r="F11624">
        <v>7</v>
      </c>
      <c r="G11624" t="s">
        <v>59</v>
      </c>
      <c r="H11624" t="s">
        <v>46</v>
      </c>
      <c r="I11624" t="s">
        <v>2194</v>
      </c>
      <c r="J11624" s="10">
        <v>5</v>
      </c>
      <c r="K11624" t="b">
        <v>1</v>
      </c>
    </row>
    <row r="11625" spans="1:11">
      <c r="A11625" s="12">
        <v>43093</v>
      </c>
      <c r="B11625">
        <v>2017</v>
      </c>
      <c r="C11625">
        <v>12</v>
      </c>
      <c r="D11625" s="11">
        <v>43070</v>
      </c>
      <c r="E11625" t="s">
        <v>2184</v>
      </c>
      <c r="F11625">
        <v>7</v>
      </c>
      <c r="G11625" t="s">
        <v>59</v>
      </c>
      <c r="H11625" t="s">
        <v>47</v>
      </c>
      <c r="I11625" t="s">
        <v>2195</v>
      </c>
      <c r="J11625" s="10">
        <v>1</v>
      </c>
      <c r="K11625" t="b">
        <v>1</v>
      </c>
    </row>
    <row r="11626" spans="1:11">
      <c r="A11626" s="12">
        <v>43094</v>
      </c>
      <c r="B11626">
        <v>2017</v>
      </c>
      <c r="C11626">
        <v>12</v>
      </c>
      <c r="D11626" s="11">
        <v>43070</v>
      </c>
      <c r="E11626" t="s">
        <v>2184</v>
      </c>
      <c r="F11626">
        <v>1</v>
      </c>
      <c r="G11626" t="s">
        <v>61</v>
      </c>
      <c r="H11626" t="s">
        <v>40</v>
      </c>
      <c r="I11626" t="s">
        <v>2188</v>
      </c>
      <c r="J11626" s="10">
        <v>1</v>
      </c>
      <c r="K11626" t="b">
        <v>1</v>
      </c>
    </row>
    <row r="11627" spans="1:11">
      <c r="A11627" s="12">
        <v>43094</v>
      </c>
      <c r="B11627">
        <v>2017</v>
      </c>
      <c r="C11627">
        <v>12</v>
      </c>
      <c r="D11627" s="11">
        <v>43070</v>
      </c>
      <c r="E11627" t="s">
        <v>2184</v>
      </c>
      <c r="F11627">
        <v>1</v>
      </c>
      <c r="G11627" t="s">
        <v>61</v>
      </c>
      <c r="H11627" t="s">
        <v>41</v>
      </c>
      <c r="I11627" t="s">
        <v>2189</v>
      </c>
      <c r="J11627" s="10">
        <v>0.62</v>
      </c>
      <c r="K11627" t="b">
        <v>1</v>
      </c>
    </row>
    <row r="11628" spans="1:11">
      <c r="A11628" s="12">
        <v>43094</v>
      </c>
      <c r="B11628">
        <v>2017</v>
      </c>
      <c r="C11628">
        <v>12</v>
      </c>
      <c r="D11628" s="11">
        <v>43070</v>
      </c>
      <c r="E11628" t="s">
        <v>2184</v>
      </c>
      <c r="F11628">
        <v>1</v>
      </c>
      <c r="G11628" t="s">
        <v>61</v>
      </c>
      <c r="H11628" t="s">
        <v>42</v>
      </c>
      <c r="I11628" t="s">
        <v>2190</v>
      </c>
      <c r="J11628" s="10">
        <v>4.1</v>
      </c>
      <c r="K11628" t="b">
        <v>1</v>
      </c>
    </row>
    <row r="11629" spans="1:11">
      <c r="A11629" s="12">
        <v>43094</v>
      </c>
      <c r="B11629">
        <v>2017</v>
      </c>
      <c r="C11629">
        <v>12</v>
      </c>
      <c r="D11629" s="11">
        <v>43070</v>
      </c>
      <c r="E11629" t="s">
        <v>2184</v>
      </c>
      <c r="F11629">
        <v>1</v>
      </c>
      <c r="G11629" t="s">
        <v>61</v>
      </c>
      <c r="H11629" t="s">
        <v>43</v>
      </c>
      <c r="I11629" t="s">
        <v>2191</v>
      </c>
      <c r="J11629" s="10">
        <v>15.53</v>
      </c>
      <c r="K11629" t="b">
        <v>1</v>
      </c>
    </row>
    <row r="11630" spans="1:11">
      <c r="A11630" s="12">
        <v>43094</v>
      </c>
      <c r="B11630">
        <v>2017</v>
      </c>
      <c r="C11630">
        <v>12</v>
      </c>
      <c r="D11630" s="11">
        <v>43070</v>
      </c>
      <c r="E11630" t="s">
        <v>2184</v>
      </c>
      <c r="F11630">
        <v>1</v>
      </c>
      <c r="G11630" t="s">
        <v>61</v>
      </c>
      <c r="H11630" t="s">
        <v>44</v>
      </c>
      <c r="I11630" t="s">
        <v>2192</v>
      </c>
      <c r="J11630" s="10">
        <v>4</v>
      </c>
      <c r="K11630" t="b">
        <v>1</v>
      </c>
    </row>
    <row r="11631" spans="1:11">
      <c r="A11631" s="12">
        <v>43094</v>
      </c>
      <c r="B11631">
        <v>2017</v>
      </c>
      <c r="C11631">
        <v>12</v>
      </c>
      <c r="D11631" s="11">
        <v>43070</v>
      </c>
      <c r="E11631" t="s">
        <v>2184</v>
      </c>
      <c r="F11631">
        <v>1</v>
      </c>
      <c r="G11631" t="s">
        <v>61</v>
      </c>
      <c r="H11631" t="s">
        <v>45</v>
      </c>
      <c r="I11631" t="s">
        <v>2193</v>
      </c>
      <c r="J11631" s="10">
        <v>0</v>
      </c>
      <c r="K11631" t="b">
        <v>1</v>
      </c>
    </row>
    <row r="11632" spans="1:11">
      <c r="A11632" s="12">
        <v>43094</v>
      </c>
      <c r="B11632">
        <v>2017</v>
      </c>
      <c r="C11632">
        <v>12</v>
      </c>
      <c r="D11632" s="11">
        <v>43070</v>
      </c>
      <c r="E11632" t="s">
        <v>2184</v>
      </c>
      <c r="F11632">
        <v>1</v>
      </c>
      <c r="G11632" t="s">
        <v>61</v>
      </c>
      <c r="H11632" t="s">
        <v>46</v>
      </c>
      <c r="I11632" t="s">
        <v>2194</v>
      </c>
      <c r="J11632" s="10">
        <v>6</v>
      </c>
      <c r="K11632" t="b">
        <v>1</v>
      </c>
    </row>
    <row r="11633" spans="1:11">
      <c r="A11633" s="12">
        <v>43094</v>
      </c>
      <c r="B11633">
        <v>2017</v>
      </c>
      <c r="C11633">
        <v>12</v>
      </c>
      <c r="D11633" s="11">
        <v>43070</v>
      </c>
      <c r="E11633" t="s">
        <v>2184</v>
      </c>
      <c r="F11633">
        <v>1</v>
      </c>
      <c r="G11633" t="s">
        <v>61</v>
      </c>
      <c r="H11633" t="s">
        <v>47</v>
      </c>
      <c r="I11633" t="s">
        <v>2195</v>
      </c>
      <c r="J11633" s="10">
        <v>2</v>
      </c>
      <c r="K11633" t="b">
        <v>1</v>
      </c>
    </row>
    <row r="11634" spans="1:11">
      <c r="A11634" s="12">
        <v>43095</v>
      </c>
      <c r="B11634">
        <v>2017</v>
      </c>
      <c r="C11634">
        <v>12</v>
      </c>
      <c r="D11634" s="11">
        <v>43070</v>
      </c>
      <c r="E11634" t="s">
        <v>2184</v>
      </c>
      <c r="F11634">
        <v>2</v>
      </c>
      <c r="G11634" t="s">
        <v>63</v>
      </c>
      <c r="H11634" t="s">
        <v>40</v>
      </c>
      <c r="I11634" t="s">
        <v>2188</v>
      </c>
      <c r="J11634" s="10">
        <v>2.99</v>
      </c>
      <c r="K11634" t="b">
        <v>1</v>
      </c>
    </row>
    <row r="11635" spans="1:11">
      <c r="A11635" s="12">
        <v>43095</v>
      </c>
      <c r="B11635">
        <v>2017</v>
      </c>
      <c r="C11635">
        <v>12</v>
      </c>
      <c r="D11635" s="11">
        <v>43070</v>
      </c>
      <c r="E11635" t="s">
        <v>2184</v>
      </c>
      <c r="F11635">
        <v>2</v>
      </c>
      <c r="G11635" t="s">
        <v>63</v>
      </c>
      <c r="H11635" t="s">
        <v>41</v>
      </c>
      <c r="I11635" t="s">
        <v>2189</v>
      </c>
      <c r="J11635" s="10">
        <v>4.67</v>
      </c>
      <c r="K11635" t="b">
        <v>1</v>
      </c>
    </row>
    <row r="11636" spans="1:11">
      <c r="A11636" s="12">
        <v>43095</v>
      </c>
      <c r="B11636">
        <v>2017</v>
      </c>
      <c r="C11636">
        <v>12</v>
      </c>
      <c r="D11636" s="11">
        <v>43070</v>
      </c>
      <c r="E11636" t="s">
        <v>2184</v>
      </c>
      <c r="F11636">
        <v>2</v>
      </c>
      <c r="G11636" t="s">
        <v>63</v>
      </c>
      <c r="H11636" t="s">
        <v>42</v>
      </c>
      <c r="I11636" t="s">
        <v>2190</v>
      </c>
      <c r="J11636" s="10">
        <v>3.5</v>
      </c>
      <c r="K11636" t="b">
        <v>1</v>
      </c>
    </row>
    <row r="11637" spans="1:11">
      <c r="A11637" s="12">
        <v>43095</v>
      </c>
      <c r="B11637">
        <v>2017</v>
      </c>
      <c r="C11637">
        <v>12</v>
      </c>
      <c r="D11637" s="11">
        <v>43070</v>
      </c>
      <c r="E11637" t="s">
        <v>2184</v>
      </c>
      <c r="F11637">
        <v>2</v>
      </c>
      <c r="G11637" t="s">
        <v>63</v>
      </c>
      <c r="H11637" t="s">
        <v>43</v>
      </c>
      <c r="I11637" t="s">
        <v>2191</v>
      </c>
      <c r="J11637" s="10">
        <v>56.9</v>
      </c>
      <c r="K11637" t="b">
        <v>1</v>
      </c>
    </row>
    <row r="11638" spans="1:11">
      <c r="A11638" s="12">
        <v>43095</v>
      </c>
      <c r="B11638">
        <v>2017</v>
      </c>
      <c r="C11638">
        <v>12</v>
      </c>
      <c r="D11638" s="11">
        <v>43070</v>
      </c>
      <c r="E11638" t="s">
        <v>2184</v>
      </c>
      <c r="F11638">
        <v>2</v>
      </c>
      <c r="G11638" t="s">
        <v>63</v>
      </c>
      <c r="H11638" t="s">
        <v>44</v>
      </c>
      <c r="I11638" t="s">
        <v>2192</v>
      </c>
      <c r="J11638" s="10">
        <v>9</v>
      </c>
      <c r="K11638" t="b">
        <v>1</v>
      </c>
    </row>
    <row r="11639" spans="1:11">
      <c r="A11639" s="12">
        <v>43095</v>
      </c>
      <c r="B11639">
        <v>2017</v>
      </c>
      <c r="C11639">
        <v>12</v>
      </c>
      <c r="D11639" s="11">
        <v>43070</v>
      </c>
      <c r="E11639" t="s">
        <v>2184</v>
      </c>
      <c r="F11639">
        <v>2</v>
      </c>
      <c r="G11639" t="s">
        <v>63</v>
      </c>
      <c r="H11639" t="s">
        <v>45</v>
      </c>
      <c r="I11639" t="s">
        <v>2193</v>
      </c>
      <c r="J11639" s="10">
        <v>0</v>
      </c>
      <c r="K11639" t="b">
        <v>1</v>
      </c>
    </row>
    <row r="11640" spans="1:11">
      <c r="A11640" s="12">
        <v>43095</v>
      </c>
      <c r="B11640">
        <v>2017</v>
      </c>
      <c r="C11640">
        <v>12</v>
      </c>
      <c r="D11640" s="11">
        <v>43070</v>
      </c>
      <c r="E11640" t="s">
        <v>2184</v>
      </c>
      <c r="F11640">
        <v>2</v>
      </c>
      <c r="G11640" t="s">
        <v>63</v>
      </c>
      <c r="H11640" t="s">
        <v>46</v>
      </c>
      <c r="I11640" t="s">
        <v>2194</v>
      </c>
      <c r="J11640" s="10">
        <v>9</v>
      </c>
      <c r="K11640" t="b">
        <v>1</v>
      </c>
    </row>
    <row r="11641" spans="1:11">
      <c r="A11641" s="12">
        <v>43095</v>
      </c>
      <c r="B11641">
        <v>2017</v>
      </c>
      <c r="C11641">
        <v>12</v>
      </c>
      <c r="D11641" s="11">
        <v>43070</v>
      </c>
      <c r="E11641" t="s">
        <v>2184</v>
      </c>
      <c r="F11641">
        <v>2</v>
      </c>
      <c r="G11641" t="s">
        <v>63</v>
      </c>
      <c r="H11641" t="s">
        <v>47</v>
      </c>
      <c r="I11641" t="s">
        <v>2195</v>
      </c>
      <c r="J11641" s="10">
        <v>2</v>
      </c>
      <c r="K11641" t="b">
        <v>1</v>
      </c>
    </row>
    <row r="11642" spans="1:11">
      <c r="A11642" s="12">
        <v>43096</v>
      </c>
      <c r="B11642">
        <v>2017</v>
      </c>
      <c r="C11642">
        <v>12</v>
      </c>
      <c r="D11642" s="11">
        <v>43070</v>
      </c>
      <c r="E11642" t="s">
        <v>2184</v>
      </c>
      <c r="F11642">
        <v>3</v>
      </c>
      <c r="G11642" t="s">
        <v>65</v>
      </c>
      <c r="H11642" t="s">
        <v>40</v>
      </c>
      <c r="I11642" t="s">
        <v>2188</v>
      </c>
      <c r="J11642" s="10">
        <v>7</v>
      </c>
      <c r="K11642" t="b">
        <v>1</v>
      </c>
    </row>
    <row r="11643" spans="1:11">
      <c r="A11643" s="12">
        <v>43096</v>
      </c>
      <c r="B11643">
        <v>2017</v>
      </c>
      <c r="C11643">
        <v>12</v>
      </c>
      <c r="D11643" s="11">
        <v>43070</v>
      </c>
      <c r="E11643" t="s">
        <v>2184</v>
      </c>
      <c r="F11643">
        <v>3</v>
      </c>
      <c r="G11643" t="s">
        <v>65</v>
      </c>
      <c r="H11643" t="s">
        <v>41</v>
      </c>
      <c r="I11643" t="s">
        <v>2189</v>
      </c>
      <c r="J11643" s="10">
        <v>4.814</v>
      </c>
      <c r="K11643" t="b">
        <v>1</v>
      </c>
    </row>
    <row r="11644" spans="1:11">
      <c r="A11644" s="12">
        <v>43096</v>
      </c>
      <c r="B11644">
        <v>2017</v>
      </c>
      <c r="C11644">
        <v>12</v>
      </c>
      <c r="D11644" s="11">
        <v>43070</v>
      </c>
      <c r="E11644" t="s">
        <v>2184</v>
      </c>
      <c r="F11644">
        <v>3</v>
      </c>
      <c r="G11644" t="s">
        <v>65</v>
      </c>
      <c r="H11644" t="s">
        <v>42</v>
      </c>
      <c r="I11644" t="s">
        <v>2190</v>
      </c>
      <c r="J11644" s="10">
        <v>5.15</v>
      </c>
      <c r="K11644" t="b">
        <v>1</v>
      </c>
    </row>
    <row r="11645" spans="1:11">
      <c r="A11645" s="12">
        <v>43096</v>
      </c>
      <c r="B11645">
        <v>2017</v>
      </c>
      <c r="C11645">
        <v>12</v>
      </c>
      <c r="D11645" s="11">
        <v>43070</v>
      </c>
      <c r="E11645" t="s">
        <v>2184</v>
      </c>
      <c r="F11645">
        <v>3</v>
      </c>
      <c r="G11645" t="s">
        <v>65</v>
      </c>
      <c r="H11645" t="s">
        <v>43</v>
      </c>
      <c r="I11645" t="s">
        <v>2191</v>
      </c>
      <c r="J11645" s="10">
        <v>32.7</v>
      </c>
      <c r="K11645" t="b">
        <v>1</v>
      </c>
    </row>
    <row r="11646" spans="1:11">
      <c r="A11646" s="12">
        <v>43096</v>
      </c>
      <c r="B11646">
        <v>2017</v>
      </c>
      <c r="C11646">
        <v>12</v>
      </c>
      <c r="D11646" s="11">
        <v>43070</v>
      </c>
      <c r="E11646" t="s">
        <v>2184</v>
      </c>
      <c r="F11646">
        <v>3</v>
      </c>
      <c r="G11646" t="s">
        <v>65</v>
      </c>
      <c r="H11646" t="s">
        <v>44</v>
      </c>
      <c r="I11646" t="s">
        <v>2192</v>
      </c>
      <c r="J11646" s="10">
        <v>9</v>
      </c>
      <c r="K11646" t="b">
        <v>1</v>
      </c>
    </row>
    <row r="11647" spans="1:11">
      <c r="A11647" s="12">
        <v>43096</v>
      </c>
      <c r="B11647">
        <v>2017</v>
      </c>
      <c r="C11647">
        <v>12</v>
      </c>
      <c r="D11647" s="11">
        <v>43070</v>
      </c>
      <c r="E11647" t="s">
        <v>2184</v>
      </c>
      <c r="F11647">
        <v>3</v>
      </c>
      <c r="G11647" t="s">
        <v>65</v>
      </c>
      <c r="H11647" t="s">
        <v>45</v>
      </c>
      <c r="I11647" t="s">
        <v>2193</v>
      </c>
      <c r="J11647" s="10">
        <v>0</v>
      </c>
      <c r="K11647" t="b">
        <v>1</v>
      </c>
    </row>
    <row r="11648" spans="1:11">
      <c r="A11648" s="12">
        <v>43096</v>
      </c>
      <c r="B11648">
        <v>2017</v>
      </c>
      <c r="C11648">
        <v>12</v>
      </c>
      <c r="D11648" s="11">
        <v>43070</v>
      </c>
      <c r="E11648" t="s">
        <v>2184</v>
      </c>
      <c r="F11648">
        <v>3</v>
      </c>
      <c r="G11648" t="s">
        <v>65</v>
      </c>
      <c r="H11648" t="s">
        <v>46</v>
      </c>
      <c r="I11648" t="s">
        <v>2194</v>
      </c>
      <c r="J11648" s="10">
        <v>3</v>
      </c>
      <c r="K11648" t="b">
        <v>1</v>
      </c>
    </row>
    <row r="11649" spans="1:11">
      <c r="A11649" s="12">
        <v>43096</v>
      </c>
      <c r="B11649">
        <v>2017</v>
      </c>
      <c r="C11649">
        <v>12</v>
      </c>
      <c r="D11649" s="11">
        <v>43070</v>
      </c>
      <c r="E11649" t="s">
        <v>2184</v>
      </c>
      <c r="F11649">
        <v>3</v>
      </c>
      <c r="G11649" t="s">
        <v>65</v>
      </c>
      <c r="H11649" t="s">
        <v>47</v>
      </c>
      <c r="I11649" t="s">
        <v>2195</v>
      </c>
      <c r="J11649" s="10">
        <v>0</v>
      </c>
      <c r="K11649" t="b">
        <v>1</v>
      </c>
    </row>
    <row r="11650" spans="1:11">
      <c r="A11650" s="12">
        <v>43097</v>
      </c>
      <c r="B11650">
        <v>2017</v>
      </c>
      <c r="C11650">
        <v>12</v>
      </c>
      <c r="D11650" s="11">
        <v>43070</v>
      </c>
      <c r="E11650" t="s">
        <v>2184</v>
      </c>
      <c r="F11650">
        <v>4</v>
      </c>
      <c r="G11650" t="s">
        <v>53</v>
      </c>
      <c r="H11650" t="s">
        <v>40</v>
      </c>
      <c r="I11650" t="s">
        <v>2188</v>
      </c>
      <c r="J11650" s="10">
        <v>7.33</v>
      </c>
      <c r="K11650" t="b">
        <v>1</v>
      </c>
    </row>
    <row r="11651" spans="1:11">
      <c r="A11651" s="12">
        <v>43097</v>
      </c>
      <c r="B11651">
        <v>2017</v>
      </c>
      <c r="C11651">
        <v>12</v>
      </c>
      <c r="D11651" s="11">
        <v>43070</v>
      </c>
      <c r="E11651" t="s">
        <v>2184</v>
      </c>
      <c r="F11651">
        <v>4</v>
      </c>
      <c r="G11651" t="s">
        <v>53</v>
      </c>
      <c r="H11651" t="s">
        <v>41</v>
      </c>
      <c r="I11651" t="s">
        <v>2189</v>
      </c>
      <c r="J11651" s="10">
        <v>3.462</v>
      </c>
      <c r="K11651" t="b">
        <v>1</v>
      </c>
    </row>
    <row r="11652" spans="1:11">
      <c r="A11652" s="12">
        <v>43097</v>
      </c>
      <c r="B11652">
        <v>2017</v>
      </c>
      <c r="C11652">
        <v>12</v>
      </c>
      <c r="D11652" s="11">
        <v>43070</v>
      </c>
      <c r="E11652" t="s">
        <v>2184</v>
      </c>
      <c r="F11652">
        <v>4</v>
      </c>
      <c r="G11652" t="s">
        <v>53</v>
      </c>
      <c r="H11652" t="s">
        <v>42</v>
      </c>
      <c r="I11652" t="s">
        <v>2190</v>
      </c>
      <c r="J11652" s="10">
        <v>5.1</v>
      </c>
      <c r="K11652" t="b">
        <v>1</v>
      </c>
    </row>
    <row r="11653" spans="1:11">
      <c r="A11653" s="12">
        <v>43097</v>
      </c>
      <c r="B11653">
        <v>2017</v>
      </c>
      <c r="C11653">
        <v>12</v>
      </c>
      <c r="D11653" s="11">
        <v>43070</v>
      </c>
      <c r="E11653" t="s">
        <v>2184</v>
      </c>
      <c r="F11653">
        <v>4</v>
      </c>
      <c r="G11653" t="s">
        <v>53</v>
      </c>
      <c r="H11653" t="s">
        <v>43</v>
      </c>
      <c r="I11653" t="s">
        <v>2191</v>
      </c>
      <c r="J11653" s="10">
        <v>35.35</v>
      </c>
      <c r="K11653" t="b">
        <v>1</v>
      </c>
    </row>
    <row r="11654" spans="1:11">
      <c r="A11654" s="12">
        <v>43097</v>
      </c>
      <c r="B11654">
        <v>2017</v>
      </c>
      <c r="C11654">
        <v>12</v>
      </c>
      <c r="D11654" s="11">
        <v>43070</v>
      </c>
      <c r="E11654" t="s">
        <v>2184</v>
      </c>
      <c r="F11654">
        <v>4</v>
      </c>
      <c r="G11654" t="s">
        <v>53</v>
      </c>
      <c r="H11654" t="s">
        <v>44</v>
      </c>
      <c r="I11654" t="s">
        <v>2192</v>
      </c>
      <c r="J11654" s="10">
        <v>12</v>
      </c>
      <c r="K11654" t="b">
        <v>1</v>
      </c>
    </row>
    <row r="11655" spans="1:11">
      <c r="A11655" s="12">
        <v>43097</v>
      </c>
      <c r="B11655">
        <v>2017</v>
      </c>
      <c r="C11655">
        <v>12</v>
      </c>
      <c r="D11655" s="11">
        <v>43070</v>
      </c>
      <c r="E11655" t="s">
        <v>2184</v>
      </c>
      <c r="F11655">
        <v>4</v>
      </c>
      <c r="G11655" t="s">
        <v>53</v>
      </c>
      <c r="H11655" t="s">
        <v>45</v>
      </c>
      <c r="I11655" t="s">
        <v>2193</v>
      </c>
      <c r="J11655" s="10">
        <v>3</v>
      </c>
      <c r="K11655" t="b">
        <v>1</v>
      </c>
    </row>
    <row r="11656" spans="1:11">
      <c r="A11656" s="12">
        <v>43097</v>
      </c>
      <c r="B11656">
        <v>2017</v>
      </c>
      <c r="C11656">
        <v>12</v>
      </c>
      <c r="D11656" s="11">
        <v>43070</v>
      </c>
      <c r="E11656" t="s">
        <v>2184</v>
      </c>
      <c r="F11656">
        <v>4</v>
      </c>
      <c r="G11656" t="s">
        <v>53</v>
      </c>
      <c r="H11656" t="s">
        <v>46</v>
      </c>
      <c r="I11656" t="s">
        <v>2194</v>
      </c>
      <c r="J11656" s="10">
        <v>24</v>
      </c>
      <c r="K11656" t="b">
        <v>1</v>
      </c>
    </row>
    <row r="11657" spans="1:11">
      <c r="A11657" s="12">
        <v>43097</v>
      </c>
      <c r="B11657">
        <v>2017</v>
      </c>
      <c r="C11657">
        <v>12</v>
      </c>
      <c r="D11657" s="11">
        <v>43070</v>
      </c>
      <c r="E11657" t="s">
        <v>2184</v>
      </c>
      <c r="F11657">
        <v>4</v>
      </c>
      <c r="G11657" t="s">
        <v>53</v>
      </c>
      <c r="H11657" t="s">
        <v>47</v>
      </c>
      <c r="I11657" t="s">
        <v>2195</v>
      </c>
      <c r="J11657" s="10">
        <v>1</v>
      </c>
      <c r="K11657" t="b">
        <v>1</v>
      </c>
    </row>
    <row r="11658" spans="1:11">
      <c r="A11658" s="12">
        <v>43098</v>
      </c>
      <c r="B11658">
        <v>2017</v>
      </c>
      <c r="C11658">
        <v>12</v>
      </c>
      <c r="D11658" s="11">
        <v>43070</v>
      </c>
      <c r="E11658" t="s">
        <v>2184</v>
      </c>
      <c r="F11658">
        <v>5</v>
      </c>
      <c r="G11658" t="s">
        <v>55</v>
      </c>
      <c r="H11658" t="s">
        <v>40</v>
      </c>
      <c r="I11658" t="s">
        <v>2188</v>
      </c>
      <c r="J11658" s="10">
        <v>9.34</v>
      </c>
      <c r="K11658" t="b">
        <v>1</v>
      </c>
    </row>
    <row r="11659" spans="1:11">
      <c r="A11659" s="12">
        <v>43098</v>
      </c>
      <c r="B11659">
        <v>2017</v>
      </c>
      <c r="C11659">
        <v>12</v>
      </c>
      <c r="D11659" s="11">
        <v>43070</v>
      </c>
      <c r="E11659" t="s">
        <v>2184</v>
      </c>
      <c r="F11659">
        <v>5</v>
      </c>
      <c r="G11659" t="s">
        <v>55</v>
      </c>
      <c r="H11659" t="s">
        <v>41</v>
      </c>
      <c r="I11659" t="s">
        <v>2189</v>
      </c>
      <c r="J11659" s="10">
        <v>2.066</v>
      </c>
      <c r="K11659" t="b">
        <v>1</v>
      </c>
    </row>
    <row r="11660" spans="1:11">
      <c r="A11660" s="12">
        <v>43098</v>
      </c>
      <c r="B11660">
        <v>2017</v>
      </c>
      <c r="C11660">
        <v>12</v>
      </c>
      <c r="D11660" s="11">
        <v>43070</v>
      </c>
      <c r="E11660" t="s">
        <v>2184</v>
      </c>
      <c r="F11660">
        <v>5</v>
      </c>
      <c r="G11660" t="s">
        <v>55</v>
      </c>
      <c r="H11660" t="s">
        <v>42</v>
      </c>
      <c r="I11660" t="s">
        <v>2190</v>
      </c>
      <c r="J11660" s="10">
        <v>2.5</v>
      </c>
      <c r="K11660" t="b">
        <v>1</v>
      </c>
    </row>
    <row r="11661" spans="1:11">
      <c r="A11661" s="12">
        <v>43098</v>
      </c>
      <c r="B11661">
        <v>2017</v>
      </c>
      <c r="C11661">
        <v>12</v>
      </c>
      <c r="D11661" s="11">
        <v>43070</v>
      </c>
      <c r="E11661" t="s">
        <v>2184</v>
      </c>
      <c r="F11661">
        <v>5</v>
      </c>
      <c r="G11661" t="s">
        <v>55</v>
      </c>
      <c r="H11661" t="s">
        <v>43</v>
      </c>
      <c r="I11661" t="s">
        <v>2191</v>
      </c>
      <c r="J11661" s="10">
        <v>41.4</v>
      </c>
      <c r="K11661" t="b">
        <v>1</v>
      </c>
    </row>
    <row r="11662" spans="1:11">
      <c r="A11662" s="12">
        <v>43098</v>
      </c>
      <c r="B11662">
        <v>2017</v>
      </c>
      <c r="C11662">
        <v>12</v>
      </c>
      <c r="D11662" s="11">
        <v>43070</v>
      </c>
      <c r="E11662" t="s">
        <v>2184</v>
      </c>
      <c r="F11662">
        <v>5</v>
      </c>
      <c r="G11662" t="s">
        <v>55</v>
      </c>
      <c r="H11662" t="s">
        <v>44</v>
      </c>
      <c r="I11662" t="s">
        <v>2192</v>
      </c>
      <c r="J11662" s="10">
        <v>17</v>
      </c>
      <c r="K11662" t="b">
        <v>1</v>
      </c>
    </row>
    <row r="11663" spans="1:11">
      <c r="A11663" s="12">
        <v>43098</v>
      </c>
      <c r="B11663">
        <v>2017</v>
      </c>
      <c r="C11663">
        <v>12</v>
      </c>
      <c r="D11663" s="11">
        <v>43070</v>
      </c>
      <c r="E11663" t="s">
        <v>2184</v>
      </c>
      <c r="F11663">
        <v>5</v>
      </c>
      <c r="G11663" t="s">
        <v>55</v>
      </c>
      <c r="H11663" t="s">
        <v>45</v>
      </c>
      <c r="I11663" t="s">
        <v>2193</v>
      </c>
      <c r="J11663" s="10">
        <v>0</v>
      </c>
      <c r="K11663" t="b">
        <v>1</v>
      </c>
    </row>
    <row r="11664" spans="1:11">
      <c r="A11664" s="12">
        <v>43098</v>
      </c>
      <c r="B11664">
        <v>2017</v>
      </c>
      <c r="C11664">
        <v>12</v>
      </c>
      <c r="D11664" s="11">
        <v>43070</v>
      </c>
      <c r="E11664" t="s">
        <v>2184</v>
      </c>
      <c r="F11664">
        <v>5</v>
      </c>
      <c r="G11664" t="s">
        <v>55</v>
      </c>
      <c r="H11664" t="s">
        <v>46</v>
      </c>
      <c r="I11664" t="s">
        <v>2194</v>
      </c>
      <c r="J11664" s="10">
        <v>11</v>
      </c>
      <c r="K11664" t="b">
        <v>1</v>
      </c>
    </row>
    <row r="11665" spans="1:11">
      <c r="A11665" s="12">
        <v>43098</v>
      </c>
      <c r="B11665">
        <v>2017</v>
      </c>
      <c r="C11665">
        <v>12</v>
      </c>
      <c r="D11665" s="11">
        <v>43070</v>
      </c>
      <c r="E11665" t="s">
        <v>2184</v>
      </c>
      <c r="F11665">
        <v>5</v>
      </c>
      <c r="G11665" t="s">
        <v>55</v>
      </c>
      <c r="H11665" t="s">
        <v>47</v>
      </c>
      <c r="I11665" t="s">
        <v>2195</v>
      </c>
      <c r="J11665" s="10">
        <v>2</v>
      </c>
      <c r="K11665" t="b">
        <v>1</v>
      </c>
    </row>
    <row r="11666" spans="1:11">
      <c r="A11666" s="12">
        <v>43099</v>
      </c>
      <c r="B11666">
        <v>2017</v>
      </c>
      <c r="C11666">
        <v>12</v>
      </c>
      <c r="D11666" s="11">
        <v>43070</v>
      </c>
      <c r="E11666" t="s">
        <v>2184</v>
      </c>
      <c r="F11666">
        <v>6</v>
      </c>
      <c r="G11666" t="s">
        <v>57</v>
      </c>
      <c r="H11666" t="s">
        <v>40</v>
      </c>
      <c r="I11666" t="s">
        <v>2188</v>
      </c>
      <c r="J11666" s="10">
        <v>8.68</v>
      </c>
      <c r="K11666" t="b">
        <v>1</v>
      </c>
    </row>
    <row r="11667" spans="1:11">
      <c r="A11667" s="12">
        <v>43099</v>
      </c>
      <c r="B11667">
        <v>2017</v>
      </c>
      <c r="C11667">
        <v>12</v>
      </c>
      <c r="D11667" s="11">
        <v>43070</v>
      </c>
      <c r="E11667" t="s">
        <v>2184</v>
      </c>
      <c r="F11667">
        <v>6</v>
      </c>
      <c r="G11667" t="s">
        <v>57</v>
      </c>
      <c r="H11667" t="s">
        <v>41</v>
      </c>
      <c r="I11667" t="s">
        <v>2189</v>
      </c>
      <c r="J11667" s="10">
        <v>8.363</v>
      </c>
      <c r="K11667" t="b">
        <v>1</v>
      </c>
    </row>
    <row r="11668" spans="1:11">
      <c r="A11668" s="12">
        <v>43099</v>
      </c>
      <c r="B11668">
        <v>2017</v>
      </c>
      <c r="C11668">
        <v>12</v>
      </c>
      <c r="D11668" s="11">
        <v>43070</v>
      </c>
      <c r="E11668" t="s">
        <v>2184</v>
      </c>
      <c r="F11668">
        <v>6</v>
      </c>
      <c r="G11668" t="s">
        <v>57</v>
      </c>
      <c r="H11668" t="s">
        <v>42</v>
      </c>
      <c r="I11668" t="s">
        <v>2190</v>
      </c>
      <c r="J11668" s="10">
        <v>4</v>
      </c>
      <c r="K11668" t="b">
        <v>1</v>
      </c>
    </row>
    <row r="11669" spans="1:11">
      <c r="A11669" s="12">
        <v>43099</v>
      </c>
      <c r="B11669">
        <v>2017</v>
      </c>
      <c r="C11669">
        <v>12</v>
      </c>
      <c r="D11669" s="11">
        <v>43070</v>
      </c>
      <c r="E11669" t="s">
        <v>2184</v>
      </c>
      <c r="F11669">
        <v>6</v>
      </c>
      <c r="G11669" t="s">
        <v>57</v>
      </c>
      <c r="H11669" t="s">
        <v>43</v>
      </c>
      <c r="I11669" t="s">
        <v>2191</v>
      </c>
      <c r="J11669" s="10">
        <v>50</v>
      </c>
      <c r="K11669" t="b">
        <v>1</v>
      </c>
    </row>
    <row r="11670" spans="1:11">
      <c r="A11670" s="12">
        <v>43099</v>
      </c>
      <c r="B11670">
        <v>2017</v>
      </c>
      <c r="C11670">
        <v>12</v>
      </c>
      <c r="D11670" s="11">
        <v>43070</v>
      </c>
      <c r="E11670" t="s">
        <v>2184</v>
      </c>
      <c r="F11670">
        <v>6</v>
      </c>
      <c r="G11670" t="s">
        <v>57</v>
      </c>
      <c r="H11670" t="s">
        <v>44</v>
      </c>
      <c r="I11670" t="s">
        <v>2192</v>
      </c>
      <c r="J11670" s="10">
        <v>8</v>
      </c>
      <c r="K11670" t="b">
        <v>1</v>
      </c>
    </row>
    <row r="11671" spans="1:11">
      <c r="A11671" s="12">
        <v>43099</v>
      </c>
      <c r="B11671">
        <v>2017</v>
      </c>
      <c r="C11671">
        <v>12</v>
      </c>
      <c r="D11671" s="11">
        <v>43070</v>
      </c>
      <c r="E11671" t="s">
        <v>2184</v>
      </c>
      <c r="F11671">
        <v>6</v>
      </c>
      <c r="G11671" t="s">
        <v>57</v>
      </c>
      <c r="H11671" t="s">
        <v>45</v>
      </c>
      <c r="I11671" t="s">
        <v>2193</v>
      </c>
      <c r="J11671" s="10">
        <v>0</v>
      </c>
      <c r="K11671" t="b">
        <v>1</v>
      </c>
    </row>
    <row r="11672" spans="1:11">
      <c r="A11672" s="12">
        <v>43099</v>
      </c>
      <c r="B11672">
        <v>2017</v>
      </c>
      <c r="C11672">
        <v>12</v>
      </c>
      <c r="D11672" s="11">
        <v>43070</v>
      </c>
      <c r="E11672" t="s">
        <v>2184</v>
      </c>
      <c r="F11672">
        <v>6</v>
      </c>
      <c r="G11672" t="s">
        <v>57</v>
      </c>
      <c r="H11672" t="s">
        <v>46</v>
      </c>
      <c r="I11672" t="s">
        <v>2194</v>
      </c>
      <c r="J11672" s="10">
        <v>10</v>
      </c>
      <c r="K11672" t="b">
        <v>1</v>
      </c>
    </row>
    <row r="11673" spans="1:11">
      <c r="A11673" s="12">
        <v>43099</v>
      </c>
      <c r="B11673">
        <v>2017</v>
      </c>
      <c r="C11673">
        <v>12</v>
      </c>
      <c r="D11673" s="11">
        <v>43070</v>
      </c>
      <c r="E11673" t="s">
        <v>2184</v>
      </c>
      <c r="F11673">
        <v>6</v>
      </c>
      <c r="G11673" t="s">
        <v>57</v>
      </c>
      <c r="H11673" t="s">
        <v>47</v>
      </c>
      <c r="I11673" t="s">
        <v>2195</v>
      </c>
      <c r="J11673" s="10">
        <v>3</v>
      </c>
      <c r="K11673" t="b">
        <v>1</v>
      </c>
    </row>
    <row r="11674" spans="1:11">
      <c r="A11674" s="12">
        <v>43100</v>
      </c>
      <c r="B11674">
        <v>2017</v>
      </c>
      <c r="C11674">
        <v>12</v>
      </c>
      <c r="D11674" s="11">
        <v>43070</v>
      </c>
      <c r="E11674" t="s">
        <v>2184</v>
      </c>
      <c r="F11674">
        <v>7</v>
      </c>
      <c r="G11674" t="s">
        <v>59</v>
      </c>
      <c r="H11674" t="s">
        <v>40</v>
      </c>
      <c r="I11674" t="s">
        <v>2188</v>
      </c>
      <c r="J11674" s="10">
        <v>13.83</v>
      </c>
      <c r="K11674" t="b">
        <v>1</v>
      </c>
    </row>
    <row r="11675" spans="1:11">
      <c r="A11675" s="12">
        <v>43100</v>
      </c>
      <c r="B11675">
        <v>2017</v>
      </c>
      <c r="C11675">
        <v>12</v>
      </c>
      <c r="D11675" s="11">
        <v>43070</v>
      </c>
      <c r="E11675" t="s">
        <v>2184</v>
      </c>
      <c r="F11675">
        <v>7</v>
      </c>
      <c r="G11675" t="s">
        <v>59</v>
      </c>
      <c r="H11675" t="s">
        <v>41</v>
      </c>
      <c r="I11675" t="s">
        <v>2189</v>
      </c>
      <c r="J11675" s="10">
        <v>10.043</v>
      </c>
      <c r="K11675" t="b">
        <v>1</v>
      </c>
    </row>
    <row r="11676" spans="1:11">
      <c r="A11676" s="12">
        <v>43100</v>
      </c>
      <c r="B11676">
        <v>2017</v>
      </c>
      <c r="C11676">
        <v>12</v>
      </c>
      <c r="D11676" s="11">
        <v>43070</v>
      </c>
      <c r="E11676" t="s">
        <v>2184</v>
      </c>
      <c r="F11676">
        <v>7</v>
      </c>
      <c r="G11676" t="s">
        <v>59</v>
      </c>
      <c r="H11676" t="s">
        <v>42</v>
      </c>
      <c r="I11676" t="s">
        <v>2190</v>
      </c>
      <c r="J11676" s="10">
        <v>5.3</v>
      </c>
      <c r="K11676" t="b">
        <v>1</v>
      </c>
    </row>
    <row r="11677" spans="1:11">
      <c r="A11677" s="12">
        <v>43100</v>
      </c>
      <c r="B11677">
        <v>2017</v>
      </c>
      <c r="C11677">
        <v>12</v>
      </c>
      <c r="D11677" s="11">
        <v>43070</v>
      </c>
      <c r="E11677" t="s">
        <v>2184</v>
      </c>
      <c r="F11677">
        <v>7</v>
      </c>
      <c r="G11677" t="s">
        <v>59</v>
      </c>
      <c r="H11677" t="s">
        <v>43</v>
      </c>
      <c r="I11677" t="s">
        <v>2191</v>
      </c>
      <c r="J11677" s="10">
        <v>70.2</v>
      </c>
      <c r="K11677" t="b">
        <v>1</v>
      </c>
    </row>
    <row r="11678" spans="1:11">
      <c r="A11678" s="12">
        <v>43100</v>
      </c>
      <c r="B11678">
        <v>2017</v>
      </c>
      <c r="C11678">
        <v>12</v>
      </c>
      <c r="D11678" s="11">
        <v>43070</v>
      </c>
      <c r="E11678" t="s">
        <v>2184</v>
      </c>
      <c r="F11678">
        <v>7</v>
      </c>
      <c r="G11678" t="s">
        <v>59</v>
      </c>
      <c r="H11678" t="s">
        <v>44</v>
      </c>
      <c r="I11678" t="s">
        <v>2192</v>
      </c>
      <c r="J11678" s="10">
        <v>9</v>
      </c>
      <c r="K11678" t="b">
        <v>1</v>
      </c>
    </row>
    <row r="11679" spans="1:11">
      <c r="A11679" s="12">
        <v>43100</v>
      </c>
      <c r="B11679">
        <v>2017</v>
      </c>
      <c r="C11679">
        <v>12</v>
      </c>
      <c r="D11679" s="11">
        <v>43070</v>
      </c>
      <c r="E11679" t="s">
        <v>2184</v>
      </c>
      <c r="F11679">
        <v>7</v>
      </c>
      <c r="G11679" t="s">
        <v>59</v>
      </c>
      <c r="H11679" t="s">
        <v>45</v>
      </c>
      <c r="I11679" t="s">
        <v>2193</v>
      </c>
      <c r="J11679" s="10">
        <v>0</v>
      </c>
      <c r="K11679" t="b">
        <v>1</v>
      </c>
    </row>
    <row r="11680" spans="1:11">
      <c r="A11680" s="12">
        <v>43100</v>
      </c>
      <c r="B11680">
        <v>2017</v>
      </c>
      <c r="C11680">
        <v>12</v>
      </c>
      <c r="D11680" s="11">
        <v>43070</v>
      </c>
      <c r="E11680" t="s">
        <v>2184</v>
      </c>
      <c r="F11680">
        <v>7</v>
      </c>
      <c r="G11680" t="s">
        <v>59</v>
      </c>
      <c r="H11680" t="s">
        <v>46</v>
      </c>
      <c r="I11680" t="s">
        <v>2194</v>
      </c>
      <c r="J11680" s="10">
        <v>0</v>
      </c>
      <c r="K11680" t="b">
        <v>1</v>
      </c>
    </row>
    <row r="11681" spans="1:11">
      <c r="A11681" s="12">
        <v>43100</v>
      </c>
      <c r="B11681">
        <v>2017</v>
      </c>
      <c r="C11681">
        <v>12</v>
      </c>
      <c r="D11681" s="11">
        <v>43070</v>
      </c>
      <c r="E11681" t="s">
        <v>2184</v>
      </c>
      <c r="F11681">
        <v>7</v>
      </c>
      <c r="G11681" t="s">
        <v>59</v>
      </c>
      <c r="H11681" t="s">
        <v>47</v>
      </c>
      <c r="I11681" t="s">
        <v>2195</v>
      </c>
      <c r="J11681" s="10">
        <v>1</v>
      </c>
      <c r="K11681" t="b">
        <v>1</v>
      </c>
    </row>
    <row r="11682" spans="1:11">
      <c r="A11682" s="12">
        <v>43101</v>
      </c>
      <c r="B11682">
        <v>2018</v>
      </c>
      <c r="C11682">
        <v>1</v>
      </c>
      <c r="D11682" s="11">
        <v>43101</v>
      </c>
      <c r="E11682" t="s">
        <v>2173</v>
      </c>
      <c r="F11682">
        <v>1</v>
      </c>
      <c r="G11682" t="s">
        <v>61</v>
      </c>
      <c r="H11682" t="s">
        <v>40</v>
      </c>
      <c r="I11682" t="s">
        <v>2188</v>
      </c>
      <c r="J11682" s="10">
        <v>0</v>
      </c>
      <c r="K11682" t="b">
        <v>1</v>
      </c>
    </row>
    <row r="11683" spans="1:11">
      <c r="A11683" s="12">
        <v>43101</v>
      </c>
      <c r="B11683">
        <v>2018</v>
      </c>
      <c r="C11683">
        <v>1</v>
      </c>
      <c r="D11683" s="11">
        <v>43101</v>
      </c>
      <c r="E11683" t="s">
        <v>2173</v>
      </c>
      <c r="F11683">
        <v>1</v>
      </c>
      <c r="G11683" t="s">
        <v>61</v>
      </c>
      <c r="H11683" t="s">
        <v>41</v>
      </c>
      <c r="I11683" t="s">
        <v>2189</v>
      </c>
      <c r="J11683" s="10">
        <v>0</v>
      </c>
      <c r="K11683" t="b">
        <v>1</v>
      </c>
    </row>
    <row r="11684" spans="1:11">
      <c r="A11684" s="12">
        <v>43101</v>
      </c>
      <c r="B11684">
        <v>2018</v>
      </c>
      <c r="C11684">
        <v>1</v>
      </c>
      <c r="D11684" s="11">
        <v>43101</v>
      </c>
      <c r="E11684" t="s">
        <v>2173</v>
      </c>
      <c r="F11684">
        <v>1</v>
      </c>
      <c r="G11684" t="s">
        <v>61</v>
      </c>
      <c r="H11684" t="s">
        <v>42</v>
      </c>
      <c r="I11684" t="s">
        <v>2190</v>
      </c>
      <c r="J11684" s="10">
        <v>0</v>
      </c>
      <c r="K11684" t="b">
        <v>1</v>
      </c>
    </row>
    <row r="11685" spans="1:11">
      <c r="A11685" s="12">
        <v>43101</v>
      </c>
      <c r="B11685">
        <v>2018</v>
      </c>
      <c r="C11685">
        <v>1</v>
      </c>
      <c r="D11685" s="11">
        <v>43101</v>
      </c>
      <c r="E11685" t="s">
        <v>2173</v>
      </c>
      <c r="F11685">
        <v>1</v>
      </c>
      <c r="G11685" t="s">
        <v>61</v>
      </c>
      <c r="H11685" t="s">
        <v>43</v>
      </c>
      <c r="I11685" t="s">
        <v>2191</v>
      </c>
      <c r="J11685" s="10">
        <v>0</v>
      </c>
      <c r="K11685" t="b">
        <v>1</v>
      </c>
    </row>
    <row r="11686" spans="1:11">
      <c r="A11686" s="12">
        <v>43101</v>
      </c>
      <c r="B11686">
        <v>2018</v>
      </c>
      <c r="C11686">
        <v>1</v>
      </c>
      <c r="D11686" s="11">
        <v>43101</v>
      </c>
      <c r="E11686" t="s">
        <v>2173</v>
      </c>
      <c r="F11686">
        <v>1</v>
      </c>
      <c r="G11686" t="s">
        <v>61</v>
      </c>
      <c r="H11686" t="s">
        <v>44</v>
      </c>
      <c r="I11686" t="s">
        <v>2192</v>
      </c>
      <c r="J11686" s="10">
        <v>0</v>
      </c>
      <c r="K11686" t="b">
        <v>1</v>
      </c>
    </row>
    <row r="11687" spans="1:11">
      <c r="A11687" s="12">
        <v>43101</v>
      </c>
      <c r="B11687">
        <v>2018</v>
      </c>
      <c r="C11687">
        <v>1</v>
      </c>
      <c r="D11687" s="11">
        <v>43101</v>
      </c>
      <c r="E11687" t="s">
        <v>2173</v>
      </c>
      <c r="F11687">
        <v>1</v>
      </c>
      <c r="G11687" t="s">
        <v>61</v>
      </c>
      <c r="H11687" t="s">
        <v>45</v>
      </c>
      <c r="I11687" t="s">
        <v>2193</v>
      </c>
      <c r="J11687" s="10">
        <v>0</v>
      </c>
      <c r="K11687" t="b">
        <v>1</v>
      </c>
    </row>
    <row r="11688" spans="1:11">
      <c r="A11688" s="12">
        <v>43101</v>
      </c>
      <c r="B11688">
        <v>2018</v>
      </c>
      <c r="C11688">
        <v>1</v>
      </c>
      <c r="D11688" s="11">
        <v>43101</v>
      </c>
      <c r="E11688" t="s">
        <v>2173</v>
      </c>
      <c r="F11688">
        <v>1</v>
      </c>
      <c r="G11688" t="s">
        <v>61</v>
      </c>
      <c r="H11688" t="s">
        <v>46</v>
      </c>
      <c r="I11688" t="s">
        <v>2194</v>
      </c>
      <c r="J11688" s="10">
        <v>0</v>
      </c>
      <c r="K11688" t="b">
        <v>1</v>
      </c>
    </row>
    <row r="11689" spans="1:11">
      <c r="A11689" s="12">
        <v>43101</v>
      </c>
      <c r="B11689">
        <v>2018</v>
      </c>
      <c r="C11689">
        <v>1</v>
      </c>
      <c r="D11689" s="11">
        <v>43101</v>
      </c>
      <c r="E11689" t="s">
        <v>2173</v>
      </c>
      <c r="F11689">
        <v>1</v>
      </c>
      <c r="G11689" t="s">
        <v>61</v>
      </c>
      <c r="H11689" t="s">
        <v>47</v>
      </c>
      <c r="I11689" t="s">
        <v>2195</v>
      </c>
      <c r="J11689" s="10">
        <v>0</v>
      </c>
      <c r="K11689" t="b">
        <v>1</v>
      </c>
    </row>
    <row r="11690" spans="1:11">
      <c r="A11690" s="12">
        <v>43102</v>
      </c>
      <c r="B11690">
        <v>2018</v>
      </c>
      <c r="C11690">
        <v>1</v>
      </c>
      <c r="D11690" s="11">
        <v>43101</v>
      </c>
      <c r="E11690" t="s">
        <v>2173</v>
      </c>
      <c r="F11690">
        <v>2</v>
      </c>
      <c r="G11690" t="s">
        <v>63</v>
      </c>
      <c r="H11690" t="s">
        <v>40</v>
      </c>
      <c r="I11690" t="s">
        <v>2188</v>
      </c>
      <c r="J11690" s="10">
        <v>1</v>
      </c>
      <c r="K11690" t="b">
        <v>1</v>
      </c>
    </row>
    <row r="11691" spans="1:11">
      <c r="A11691" s="12">
        <v>43102</v>
      </c>
      <c r="B11691">
        <v>2018</v>
      </c>
      <c r="C11691">
        <v>1</v>
      </c>
      <c r="D11691" s="11">
        <v>43101</v>
      </c>
      <c r="E11691" t="s">
        <v>2173</v>
      </c>
      <c r="F11691">
        <v>2</v>
      </c>
      <c r="G11691" t="s">
        <v>63</v>
      </c>
      <c r="H11691" t="s">
        <v>41</v>
      </c>
      <c r="I11691" t="s">
        <v>2189</v>
      </c>
      <c r="J11691" s="10">
        <v>5.33</v>
      </c>
      <c r="K11691" t="b">
        <v>1</v>
      </c>
    </row>
    <row r="11692" spans="1:11">
      <c r="A11692" s="12">
        <v>43102</v>
      </c>
      <c r="B11692">
        <v>2018</v>
      </c>
      <c r="C11692">
        <v>1</v>
      </c>
      <c r="D11692" s="11">
        <v>43101</v>
      </c>
      <c r="E11692" t="s">
        <v>2173</v>
      </c>
      <c r="F11692">
        <v>2</v>
      </c>
      <c r="G11692" t="s">
        <v>63</v>
      </c>
      <c r="H11692" t="s">
        <v>42</v>
      </c>
      <c r="I11692" t="s">
        <v>2190</v>
      </c>
      <c r="J11692" s="10">
        <v>2.25</v>
      </c>
      <c r="K11692" t="b">
        <v>1</v>
      </c>
    </row>
    <row r="11693" spans="1:11">
      <c r="A11693" s="12">
        <v>43102</v>
      </c>
      <c r="B11693">
        <v>2018</v>
      </c>
      <c r="C11693">
        <v>1</v>
      </c>
      <c r="D11693" s="11">
        <v>43101</v>
      </c>
      <c r="E11693" t="s">
        <v>2173</v>
      </c>
      <c r="F11693">
        <v>2</v>
      </c>
      <c r="G11693" t="s">
        <v>63</v>
      </c>
      <c r="H11693" t="s">
        <v>43</v>
      </c>
      <c r="I11693" t="s">
        <v>2191</v>
      </c>
      <c r="J11693" s="10">
        <v>38</v>
      </c>
      <c r="K11693" t="b">
        <v>1</v>
      </c>
    </row>
    <row r="11694" spans="1:11">
      <c r="A11694" s="12">
        <v>43102</v>
      </c>
      <c r="B11694">
        <v>2018</v>
      </c>
      <c r="C11694">
        <v>1</v>
      </c>
      <c r="D11694" s="11">
        <v>43101</v>
      </c>
      <c r="E11694" t="s">
        <v>2173</v>
      </c>
      <c r="F11694">
        <v>2</v>
      </c>
      <c r="G11694" t="s">
        <v>63</v>
      </c>
      <c r="H11694" t="s">
        <v>44</v>
      </c>
      <c r="I11694" t="s">
        <v>2192</v>
      </c>
      <c r="J11694" s="10">
        <v>3</v>
      </c>
      <c r="K11694" t="b">
        <v>1</v>
      </c>
    </row>
    <row r="11695" spans="1:11">
      <c r="A11695" s="12">
        <v>43102</v>
      </c>
      <c r="B11695">
        <v>2018</v>
      </c>
      <c r="C11695">
        <v>1</v>
      </c>
      <c r="D11695" s="11">
        <v>43101</v>
      </c>
      <c r="E11695" t="s">
        <v>2173</v>
      </c>
      <c r="F11695">
        <v>2</v>
      </c>
      <c r="G11695" t="s">
        <v>63</v>
      </c>
      <c r="H11695" t="s">
        <v>45</v>
      </c>
      <c r="I11695" t="s">
        <v>2193</v>
      </c>
      <c r="J11695" s="10">
        <v>0</v>
      </c>
      <c r="K11695" t="b">
        <v>1</v>
      </c>
    </row>
    <row r="11696" spans="1:11">
      <c r="A11696" s="12">
        <v>43102</v>
      </c>
      <c r="B11696">
        <v>2018</v>
      </c>
      <c r="C11696">
        <v>1</v>
      </c>
      <c r="D11696" s="11">
        <v>43101</v>
      </c>
      <c r="E11696" t="s">
        <v>2173</v>
      </c>
      <c r="F11696">
        <v>2</v>
      </c>
      <c r="G11696" t="s">
        <v>63</v>
      </c>
      <c r="H11696" t="s">
        <v>46</v>
      </c>
      <c r="I11696" t="s">
        <v>2194</v>
      </c>
      <c r="J11696" s="10">
        <v>2</v>
      </c>
      <c r="K11696" t="b">
        <v>1</v>
      </c>
    </row>
    <row r="11697" spans="1:11">
      <c r="A11697" s="12">
        <v>43102</v>
      </c>
      <c r="B11697">
        <v>2018</v>
      </c>
      <c r="C11697">
        <v>1</v>
      </c>
      <c r="D11697" s="11">
        <v>43101</v>
      </c>
      <c r="E11697" t="s">
        <v>2173</v>
      </c>
      <c r="F11697">
        <v>2</v>
      </c>
      <c r="G11697" t="s">
        <v>63</v>
      </c>
      <c r="H11697" t="s">
        <v>47</v>
      </c>
      <c r="I11697" t="s">
        <v>2195</v>
      </c>
      <c r="J11697" s="10">
        <v>2</v>
      </c>
      <c r="K11697" t="b">
        <v>1</v>
      </c>
    </row>
    <row r="11698" spans="1:11">
      <c r="A11698" s="12">
        <v>43103</v>
      </c>
      <c r="B11698">
        <v>2018</v>
      </c>
      <c r="C11698">
        <v>1</v>
      </c>
      <c r="D11698" s="11">
        <v>43101</v>
      </c>
      <c r="E11698" t="s">
        <v>2173</v>
      </c>
      <c r="F11698">
        <v>3</v>
      </c>
      <c r="G11698" t="s">
        <v>65</v>
      </c>
      <c r="H11698" t="s">
        <v>40</v>
      </c>
      <c r="I11698" t="s">
        <v>2188</v>
      </c>
      <c r="J11698" s="10">
        <v>4.67</v>
      </c>
      <c r="K11698" t="b">
        <v>1</v>
      </c>
    </row>
    <row r="11699" spans="1:11">
      <c r="A11699" s="12">
        <v>43103</v>
      </c>
      <c r="B11699">
        <v>2018</v>
      </c>
      <c r="C11699">
        <v>1</v>
      </c>
      <c r="D11699" s="11">
        <v>43101</v>
      </c>
      <c r="E11699" t="s">
        <v>2173</v>
      </c>
      <c r="F11699">
        <v>3</v>
      </c>
      <c r="G11699" t="s">
        <v>65</v>
      </c>
      <c r="H11699" t="s">
        <v>41</v>
      </c>
      <c r="I11699" t="s">
        <v>2189</v>
      </c>
      <c r="J11699" s="10">
        <v>2.397</v>
      </c>
      <c r="K11699" t="b">
        <v>1</v>
      </c>
    </row>
    <row r="11700" spans="1:11">
      <c r="A11700" s="12">
        <v>43103</v>
      </c>
      <c r="B11700">
        <v>2018</v>
      </c>
      <c r="C11700">
        <v>1</v>
      </c>
      <c r="D11700" s="11">
        <v>43101</v>
      </c>
      <c r="E11700" t="s">
        <v>2173</v>
      </c>
      <c r="F11700">
        <v>3</v>
      </c>
      <c r="G11700" t="s">
        <v>65</v>
      </c>
      <c r="H11700" t="s">
        <v>42</v>
      </c>
      <c r="I11700" t="s">
        <v>2190</v>
      </c>
      <c r="J11700" s="10">
        <v>3</v>
      </c>
      <c r="K11700" t="b">
        <v>1</v>
      </c>
    </row>
    <row r="11701" spans="1:11">
      <c r="A11701" s="12">
        <v>43103</v>
      </c>
      <c r="B11701">
        <v>2018</v>
      </c>
      <c r="C11701">
        <v>1</v>
      </c>
      <c r="D11701" s="11">
        <v>43101</v>
      </c>
      <c r="E11701" t="s">
        <v>2173</v>
      </c>
      <c r="F11701">
        <v>3</v>
      </c>
      <c r="G11701" t="s">
        <v>65</v>
      </c>
      <c r="H11701" t="s">
        <v>43</v>
      </c>
      <c r="I11701" t="s">
        <v>2191</v>
      </c>
      <c r="J11701" s="10">
        <v>54</v>
      </c>
      <c r="K11701" t="b">
        <v>1</v>
      </c>
    </row>
    <row r="11702" spans="1:11">
      <c r="A11702" s="12">
        <v>43103</v>
      </c>
      <c r="B11702">
        <v>2018</v>
      </c>
      <c r="C11702">
        <v>1</v>
      </c>
      <c r="D11702" s="11">
        <v>43101</v>
      </c>
      <c r="E11702" t="s">
        <v>2173</v>
      </c>
      <c r="F11702">
        <v>3</v>
      </c>
      <c r="G11702" t="s">
        <v>65</v>
      </c>
      <c r="H11702" t="s">
        <v>44</v>
      </c>
      <c r="I11702" t="s">
        <v>2192</v>
      </c>
      <c r="J11702" s="10">
        <v>4</v>
      </c>
      <c r="K11702" t="b">
        <v>1</v>
      </c>
    </row>
    <row r="11703" spans="1:11">
      <c r="A11703" s="12">
        <v>43103</v>
      </c>
      <c r="B11703">
        <v>2018</v>
      </c>
      <c r="C11703">
        <v>1</v>
      </c>
      <c r="D11703" s="11">
        <v>43101</v>
      </c>
      <c r="E11703" t="s">
        <v>2173</v>
      </c>
      <c r="F11703">
        <v>3</v>
      </c>
      <c r="G11703" t="s">
        <v>65</v>
      </c>
      <c r="H11703" t="s">
        <v>45</v>
      </c>
      <c r="I11703" t="s">
        <v>2193</v>
      </c>
      <c r="J11703" s="10">
        <v>0</v>
      </c>
      <c r="K11703" t="b">
        <v>1</v>
      </c>
    </row>
    <row r="11704" spans="1:11">
      <c r="A11704" s="12">
        <v>43103</v>
      </c>
      <c r="B11704">
        <v>2018</v>
      </c>
      <c r="C11704">
        <v>1</v>
      </c>
      <c r="D11704" s="11">
        <v>43101</v>
      </c>
      <c r="E11704" t="s">
        <v>2173</v>
      </c>
      <c r="F11704">
        <v>3</v>
      </c>
      <c r="G11704" t="s">
        <v>65</v>
      </c>
      <c r="H11704" t="s">
        <v>46</v>
      </c>
      <c r="I11704" t="s">
        <v>2194</v>
      </c>
      <c r="J11704" s="10">
        <v>10</v>
      </c>
      <c r="K11704" t="b">
        <v>1</v>
      </c>
    </row>
    <row r="11705" spans="1:11">
      <c r="A11705" s="12">
        <v>43103</v>
      </c>
      <c r="B11705">
        <v>2018</v>
      </c>
      <c r="C11705">
        <v>1</v>
      </c>
      <c r="D11705" s="11">
        <v>43101</v>
      </c>
      <c r="E11705" t="s">
        <v>2173</v>
      </c>
      <c r="F11705">
        <v>3</v>
      </c>
      <c r="G11705" t="s">
        <v>65</v>
      </c>
      <c r="H11705" t="s">
        <v>47</v>
      </c>
      <c r="I11705" t="s">
        <v>2195</v>
      </c>
      <c r="J11705" s="10">
        <v>3</v>
      </c>
      <c r="K11705" t="b">
        <v>1</v>
      </c>
    </row>
    <row r="11706" spans="1:11">
      <c r="A11706" s="12">
        <v>43104</v>
      </c>
      <c r="B11706">
        <v>2018</v>
      </c>
      <c r="C11706">
        <v>1</v>
      </c>
      <c r="D11706" s="11">
        <v>43101</v>
      </c>
      <c r="E11706" t="s">
        <v>2173</v>
      </c>
      <c r="F11706">
        <v>4</v>
      </c>
      <c r="G11706" t="s">
        <v>53</v>
      </c>
      <c r="H11706" t="s">
        <v>40</v>
      </c>
      <c r="I11706" t="s">
        <v>2188</v>
      </c>
      <c r="J11706" s="10">
        <v>6</v>
      </c>
      <c r="K11706" t="b">
        <v>1</v>
      </c>
    </row>
    <row r="11707" spans="1:11">
      <c r="A11707" s="12">
        <v>43104</v>
      </c>
      <c r="B11707">
        <v>2018</v>
      </c>
      <c r="C11707">
        <v>1</v>
      </c>
      <c r="D11707" s="11">
        <v>43101</v>
      </c>
      <c r="E11707" t="s">
        <v>2173</v>
      </c>
      <c r="F11707">
        <v>4</v>
      </c>
      <c r="G11707" t="s">
        <v>53</v>
      </c>
      <c r="H11707" t="s">
        <v>41</v>
      </c>
      <c r="I11707" t="s">
        <v>2189</v>
      </c>
      <c r="J11707" s="10">
        <v>1.099</v>
      </c>
      <c r="K11707" t="b">
        <v>1</v>
      </c>
    </row>
    <row r="11708" spans="1:11">
      <c r="A11708" s="12">
        <v>43104</v>
      </c>
      <c r="B11708">
        <v>2018</v>
      </c>
      <c r="C11708">
        <v>1</v>
      </c>
      <c r="D11708" s="11">
        <v>43101</v>
      </c>
      <c r="E11708" t="s">
        <v>2173</v>
      </c>
      <c r="F11708">
        <v>4</v>
      </c>
      <c r="G11708" t="s">
        <v>53</v>
      </c>
      <c r="H11708" t="s">
        <v>42</v>
      </c>
      <c r="I11708" t="s">
        <v>2190</v>
      </c>
      <c r="J11708" s="10">
        <v>1</v>
      </c>
      <c r="K11708" t="b">
        <v>1</v>
      </c>
    </row>
    <row r="11709" spans="1:11">
      <c r="A11709" s="12">
        <v>43104</v>
      </c>
      <c r="B11709">
        <v>2018</v>
      </c>
      <c r="C11709">
        <v>1</v>
      </c>
      <c r="D11709" s="11">
        <v>43101</v>
      </c>
      <c r="E11709" t="s">
        <v>2173</v>
      </c>
      <c r="F11709">
        <v>4</v>
      </c>
      <c r="G11709" t="s">
        <v>53</v>
      </c>
      <c r="H11709" t="s">
        <v>43</v>
      </c>
      <c r="I11709" t="s">
        <v>2191</v>
      </c>
      <c r="J11709" s="10">
        <v>39.2</v>
      </c>
      <c r="K11709" t="b">
        <v>1</v>
      </c>
    </row>
    <row r="11710" spans="1:11">
      <c r="A11710" s="12">
        <v>43104</v>
      </c>
      <c r="B11710">
        <v>2018</v>
      </c>
      <c r="C11710">
        <v>1</v>
      </c>
      <c r="D11710" s="11">
        <v>43101</v>
      </c>
      <c r="E11710" t="s">
        <v>2173</v>
      </c>
      <c r="F11710">
        <v>4</v>
      </c>
      <c r="G11710" t="s">
        <v>53</v>
      </c>
      <c r="H11710" t="s">
        <v>44</v>
      </c>
      <c r="I11710" t="s">
        <v>2192</v>
      </c>
      <c r="J11710" s="10">
        <v>9</v>
      </c>
      <c r="K11710" t="b">
        <v>1</v>
      </c>
    </row>
    <row r="11711" spans="1:11">
      <c r="A11711" s="12">
        <v>43104</v>
      </c>
      <c r="B11711">
        <v>2018</v>
      </c>
      <c r="C11711">
        <v>1</v>
      </c>
      <c r="D11711" s="11">
        <v>43101</v>
      </c>
      <c r="E11711" t="s">
        <v>2173</v>
      </c>
      <c r="F11711">
        <v>4</v>
      </c>
      <c r="G11711" t="s">
        <v>53</v>
      </c>
      <c r="H11711" t="s">
        <v>45</v>
      </c>
      <c r="I11711" t="s">
        <v>2193</v>
      </c>
      <c r="J11711" s="10">
        <v>0</v>
      </c>
      <c r="K11711" t="b">
        <v>1</v>
      </c>
    </row>
    <row r="11712" spans="1:11">
      <c r="A11712" s="12">
        <v>43104</v>
      </c>
      <c r="B11712">
        <v>2018</v>
      </c>
      <c r="C11712">
        <v>1</v>
      </c>
      <c r="D11712" s="11">
        <v>43101</v>
      </c>
      <c r="E11712" t="s">
        <v>2173</v>
      </c>
      <c r="F11712">
        <v>4</v>
      </c>
      <c r="G11712" t="s">
        <v>53</v>
      </c>
      <c r="H11712" t="s">
        <v>46</v>
      </c>
      <c r="I11712" t="s">
        <v>2194</v>
      </c>
      <c r="J11712" s="10">
        <v>1</v>
      </c>
      <c r="K11712" t="b">
        <v>1</v>
      </c>
    </row>
    <row r="11713" spans="1:11">
      <c r="A11713" s="12">
        <v>43104</v>
      </c>
      <c r="B11713">
        <v>2018</v>
      </c>
      <c r="C11713">
        <v>1</v>
      </c>
      <c r="D11713" s="11">
        <v>43101</v>
      </c>
      <c r="E11713" t="s">
        <v>2173</v>
      </c>
      <c r="F11713">
        <v>4</v>
      </c>
      <c r="G11713" t="s">
        <v>53</v>
      </c>
      <c r="H11713" t="s">
        <v>47</v>
      </c>
      <c r="I11713" t="s">
        <v>2195</v>
      </c>
      <c r="J11713" s="10">
        <v>2</v>
      </c>
      <c r="K11713" t="b">
        <v>1</v>
      </c>
    </row>
    <row r="11714" spans="1:11">
      <c r="A11714" s="12">
        <v>43105</v>
      </c>
      <c r="B11714">
        <v>2018</v>
      </c>
      <c r="C11714">
        <v>1</v>
      </c>
      <c r="D11714" s="11">
        <v>43101</v>
      </c>
      <c r="E11714" t="s">
        <v>2173</v>
      </c>
      <c r="F11714">
        <v>5</v>
      </c>
      <c r="G11714" t="s">
        <v>55</v>
      </c>
      <c r="H11714" t="s">
        <v>40</v>
      </c>
      <c r="I11714" t="s">
        <v>2188</v>
      </c>
      <c r="J11714" s="10">
        <v>12</v>
      </c>
      <c r="K11714" t="b">
        <v>1</v>
      </c>
    </row>
    <row r="11715" spans="1:11">
      <c r="A11715" s="12">
        <v>43105</v>
      </c>
      <c r="B11715">
        <v>2018</v>
      </c>
      <c r="C11715">
        <v>1</v>
      </c>
      <c r="D11715" s="11">
        <v>43101</v>
      </c>
      <c r="E11715" t="s">
        <v>2173</v>
      </c>
      <c r="F11715">
        <v>5</v>
      </c>
      <c r="G11715" t="s">
        <v>55</v>
      </c>
      <c r="H11715" t="s">
        <v>41</v>
      </c>
      <c r="I11715" t="s">
        <v>2189</v>
      </c>
      <c r="J11715" s="10">
        <v>6.825</v>
      </c>
      <c r="K11715" t="b">
        <v>1</v>
      </c>
    </row>
    <row r="11716" spans="1:11">
      <c r="A11716" s="12">
        <v>43105</v>
      </c>
      <c r="B11716">
        <v>2018</v>
      </c>
      <c r="C11716">
        <v>1</v>
      </c>
      <c r="D11716" s="11">
        <v>43101</v>
      </c>
      <c r="E11716" t="s">
        <v>2173</v>
      </c>
      <c r="F11716">
        <v>5</v>
      </c>
      <c r="G11716" t="s">
        <v>55</v>
      </c>
      <c r="H11716" t="s">
        <v>42</v>
      </c>
      <c r="I11716" t="s">
        <v>2190</v>
      </c>
      <c r="J11716" s="10">
        <v>3</v>
      </c>
      <c r="K11716" t="b">
        <v>1</v>
      </c>
    </row>
    <row r="11717" spans="1:11">
      <c r="A11717" s="12">
        <v>43105</v>
      </c>
      <c r="B11717">
        <v>2018</v>
      </c>
      <c r="C11717">
        <v>1</v>
      </c>
      <c r="D11717" s="11">
        <v>43101</v>
      </c>
      <c r="E11717" t="s">
        <v>2173</v>
      </c>
      <c r="F11717">
        <v>5</v>
      </c>
      <c r="G11717" t="s">
        <v>55</v>
      </c>
      <c r="H11717" t="s">
        <v>43</v>
      </c>
      <c r="I11717" t="s">
        <v>2191</v>
      </c>
      <c r="J11717" s="10">
        <v>26</v>
      </c>
      <c r="K11717" t="b">
        <v>1</v>
      </c>
    </row>
    <row r="11718" spans="1:11">
      <c r="A11718" s="12">
        <v>43105</v>
      </c>
      <c r="B11718">
        <v>2018</v>
      </c>
      <c r="C11718">
        <v>1</v>
      </c>
      <c r="D11718" s="11">
        <v>43101</v>
      </c>
      <c r="E11718" t="s">
        <v>2173</v>
      </c>
      <c r="F11718">
        <v>5</v>
      </c>
      <c r="G11718" t="s">
        <v>55</v>
      </c>
      <c r="H11718" t="s">
        <v>44</v>
      </c>
      <c r="I11718" t="s">
        <v>2192</v>
      </c>
      <c r="J11718" s="10">
        <v>11</v>
      </c>
      <c r="K11718" t="b">
        <v>1</v>
      </c>
    </row>
    <row r="11719" spans="1:11">
      <c r="A11719" s="12">
        <v>43105</v>
      </c>
      <c r="B11719">
        <v>2018</v>
      </c>
      <c r="C11719">
        <v>1</v>
      </c>
      <c r="D11719" s="11">
        <v>43101</v>
      </c>
      <c r="E11719" t="s">
        <v>2173</v>
      </c>
      <c r="F11719">
        <v>5</v>
      </c>
      <c r="G11719" t="s">
        <v>55</v>
      </c>
      <c r="H11719" t="s">
        <v>45</v>
      </c>
      <c r="I11719" t="s">
        <v>2193</v>
      </c>
      <c r="J11719" s="10">
        <v>0</v>
      </c>
      <c r="K11719" t="b">
        <v>1</v>
      </c>
    </row>
    <row r="11720" spans="1:11">
      <c r="A11720" s="12">
        <v>43105</v>
      </c>
      <c r="B11720">
        <v>2018</v>
      </c>
      <c r="C11720">
        <v>1</v>
      </c>
      <c r="D11720" s="11">
        <v>43101</v>
      </c>
      <c r="E11720" t="s">
        <v>2173</v>
      </c>
      <c r="F11720">
        <v>5</v>
      </c>
      <c r="G11720" t="s">
        <v>55</v>
      </c>
      <c r="H11720" t="s">
        <v>46</v>
      </c>
      <c r="I11720" t="s">
        <v>2194</v>
      </c>
      <c r="J11720" s="10">
        <v>21</v>
      </c>
      <c r="K11720" t="b">
        <v>1</v>
      </c>
    </row>
    <row r="11721" spans="1:11">
      <c r="A11721" s="12">
        <v>43105</v>
      </c>
      <c r="B11721">
        <v>2018</v>
      </c>
      <c r="C11721">
        <v>1</v>
      </c>
      <c r="D11721" s="11">
        <v>43101</v>
      </c>
      <c r="E11721" t="s">
        <v>2173</v>
      </c>
      <c r="F11721">
        <v>5</v>
      </c>
      <c r="G11721" t="s">
        <v>55</v>
      </c>
      <c r="H11721" t="s">
        <v>47</v>
      </c>
      <c r="I11721" t="s">
        <v>2195</v>
      </c>
      <c r="J11721" s="10">
        <v>1</v>
      </c>
      <c r="K11721" t="b">
        <v>1</v>
      </c>
    </row>
    <row r="11722" spans="1:11">
      <c r="A11722" s="12">
        <v>43106</v>
      </c>
      <c r="B11722">
        <v>2018</v>
      </c>
      <c r="C11722">
        <v>1</v>
      </c>
      <c r="D11722" s="11">
        <v>43101</v>
      </c>
      <c r="E11722" t="s">
        <v>2173</v>
      </c>
      <c r="F11722">
        <v>6</v>
      </c>
      <c r="G11722" t="s">
        <v>57</v>
      </c>
      <c r="H11722" t="s">
        <v>40</v>
      </c>
      <c r="I11722" t="s">
        <v>2188</v>
      </c>
      <c r="J11722" s="10">
        <v>4.66</v>
      </c>
      <c r="K11722" t="b">
        <v>1</v>
      </c>
    </row>
    <row r="11723" spans="1:11">
      <c r="A11723" s="12">
        <v>43106</v>
      </c>
      <c r="B11723">
        <v>2018</v>
      </c>
      <c r="C11723">
        <v>1</v>
      </c>
      <c r="D11723" s="11">
        <v>43101</v>
      </c>
      <c r="E11723" t="s">
        <v>2173</v>
      </c>
      <c r="F11723">
        <v>6</v>
      </c>
      <c r="G11723" t="s">
        <v>57</v>
      </c>
      <c r="H11723" t="s">
        <v>41</v>
      </c>
      <c r="I11723" t="s">
        <v>2189</v>
      </c>
      <c r="J11723" s="10">
        <v>1.66</v>
      </c>
      <c r="K11723" t="b">
        <v>1</v>
      </c>
    </row>
    <row r="11724" spans="1:11">
      <c r="A11724" s="12">
        <v>43106</v>
      </c>
      <c r="B11724">
        <v>2018</v>
      </c>
      <c r="C11724">
        <v>1</v>
      </c>
      <c r="D11724" s="11">
        <v>43101</v>
      </c>
      <c r="E11724" t="s">
        <v>2173</v>
      </c>
      <c r="F11724">
        <v>6</v>
      </c>
      <c r="G11724" t="s">
        <v>57</v>
      </c>
      <c r="H11724" t="s">
        <v>42</v>
      </c>
      <c r="I11724" t="s">
        <v>2190</v>
      </c>
      <c r="J11724" s="10">
        <v>2.2</v>
      </c>
      <c r="K11724" t="b">
        <v>1</v>
      </c>
    </row>
    <row r="11725" spans="1:11">
      <c r="A11725" s="12">
        <v>43106</v>
      </c>
      <c r="B11725">
        <v>2018</v>
      </c>
      <c r="C11725">
        <v>1</v>
      </c>
      <c r="D11725" s="11">
        <v>43101</v>
      </c>
      <c r="E11725" t="s">
        <v>2173</v>
      </c>
      <c r="F11725">
        <v>6</v>
      </c>
      <c r="G11725" t="s">
        <v>57</v>
      </c>
      <c r="H11725" t="s">
        <v>43</v>
      </c>
      <c r="I11725" t="s">
        <v>2191</v>
      </c>
      <c r="J11725" s="10">
        <v>73</v>
      </c>
      <c r="K11725" t="b">
        <v>1</v>
      </c>
    </row>
    <row r="11726" spans="1:11">
      <c r="A11726" s="12">
        <v>43106</v>
      </c>
      <c r="B11726">
        <v>2018</v>
      </c>
      <c r="C11726">
        <v>1</v>
      </c>
      <c r="D11726" s="11">
        <v>43101</v>
      </c>
      <c r="E11726" t="s">
        <v>2173</v>
      </c>
      <c r="F11726">
        <v>6</v>
      </c>
      <c r="G11726" t="s">
        <v>57</v>
      </c>
      <c r="H11726" t="s">
        <v>44</v>
      </c>
      <c r="I11726" t="s">
        <v>2192</v>
      </c>
      <c r="J11726" s="10">
        <v>4</v>
      </c>
      <c r="K11726" t="b">
        <v>1</v>
      </c>
    </row>
    <row r="11727" spans="1:11">
      <c r="A11727" s="12">
        <v>43106</v>
      </c>
      <c r="B11727">
        <v>2018</v>
      </c>
      <c r="C11727">
        <v>1</v>
      </c>
      <c r="D11727" s="11">
        <v>43101</v>
      </c>
      <c r="E11727" t="s">
        <v>2173</v>
      </c>
      <c r="F11727">
        <v>6</v>
      </c>
      <c r="G11727" t="s">
        <v>57</v>
      </c>
      <c r="H11727" t="s">
        <v>45</v>
      </c>
      <c r="I11727" t="s">
        <v>2193</v>
      </c>
      <c r="J11727" s="10">
        <v>0</v>
      </c>
      <c r="K11727" t="b">
        <v>1</v>
      </c>
    </row>
    <row r="11728" spans="1:11">
      <c r="A11728" s="12">
        <v>43106</v>
      </c>
      <c r="B11728">
        <v>2018</v>
      </c>
      <c r="C11728">
        <v>1</v>
      </c>
      <c r="D11728" s="11">
        <v>43101</v>
      </c>
      <c r="E11728" t="s">
        <v>2173</v>
      </c>
      <c r="F11728">
        <v>6</v>
      </c>
      <c r="G11728" t="s">
        <v>57</v>
      </c>
      <c r="H11728" t="s">
        <v>46</v>
      </c>
      <c r="I11728" t="s">
        <v>2194</v>
      </c>
      <c r="J11728" s="10">
        <v>5</v>
      </c>
      <c r="K11728" t="b">
        <v>1</v>
      </c>
    </row>
    <row r="11729" spans="1:11">
      <c r="A11729" s="12">
        <v>43106</v>
      </c>
      <c r="B11729">
        <v>2018</v>
      </c>
      <c r="C11729">
        <v>1</v>
      </c>
      <c r="D11729" s="11">
        <v>43101</v>
      </c>
      <c r="E11729" t="s">
        <v>2173</v>
      </c>
      <c r="F11729">
        <v>6</v>
      </c>
      <c r="G11729" t="s">
        <v>57</v>
      </c>
      <c r="H11729" t="s">
        <v>47</v>
      </c>
      <c r="I11729" t="s">
        <v>2195</v>
      </c>
      <c r="J11729" s="10">
        <v>8</v>
      </c>
      <c r="K11729" t="b">
        <v>1</v>
      </c>
    </row>
    <row r="11730" spans="1:11">
      <c r="A11730" s="12">
        <v>43107</v>
      </c>
      <c r="B11730">
        <v>2018</v>
      </c>
      <c r="C11730">
        <v>1</v>
      </c>
      <c r="D11730" s="11">
        <v>43101</v>
      </c>
      <c r="E11730" t="s">
        <v>2173</v>
      </c>
      <c r="F11730">
        <v>7</v>
      </c>
      <c r="G11730" t="s">
        <v>59</v>
      </c>
      <c r="H11730" t="s">
        <v>40</v>
      </c>
      <c r="I11730" t="s">
        <v>2188</v>
      </c>
      <c r="J11730" s="10">
        <v>0</v>
      </c>
      <c r="K11730" t="b">
        <v>1</v>
      </c>
    </row>
    <row r="11731" spans="1:11">
      <c r="A11731" s="12">
        <v>43107</v>
      </c>
      <c r="B11731">
        <v>2018</v>
      </c>
      <c r="C11731">
        <v>1</v>
      </c>
      <c r="D11731" s="11">
        <v>43101</v>
      </c>
      <c r="E11731" t="s">
        <v>2173</v>
      </c>
      <c r="F11731">
        <v>7</v>
      </c>
      <c r="G11731" t="s">
        <v>59</v>
      </c>
      <c r="H11731" t="s">
        <v>41</v>
      </c>
      <c r="I11731" t="s">
        <v>2189</v>
      </c>
      <c r="J11731" s="10">
        <v>0</v>
      </c>
      <c r="K11731" t="b">
        <v>1</v>
      </c>
    </row>
    <row r="11732" spans="1:11">
      <c r="A11732" s="12">
        <v>43107</v>
      </c>
      <c r="B11732">
        <v>2018</v>
      </c>
      <c r="C11732">
        <v>1</v>
      </c>
      <c r="D11732" s="11">
        <v>43101</v>
      </c>
      <c r="E11732" t="s">
        <v>2173</v>
      </c>
      <c r="F11732">
        <v>7</v>
      </c>
      <c r="G11732" t="s">
        <v>59</v>
      </c>
      <c r="H11732" t="s">
        <v>42</v>
      </c>
      <c r="I11732" t="s">
        <v>2190</v>
      </c>
      <c r="J11732" s="10">
        <v>0</v>
      </c>
      <c r="K11732" t="b">
        <v>1</v>
      </c>
    </row>
    <row r="11733" spans="1:11">
      <c r="A11733" s="12">
        <v>43107</v>
      </c>
      <c r="B11733">
        <v>2018</v>
      </c>
      <c r="C11733">
        <v>1</v>
      </c>
      <c r="D11733" s="11">
        <v>43101</v>
      </c>
      <c r="E11733" t="s">
        <v>2173</v>
      </c>
      <c r="F11733">
        <v>7</v>
      </c>
      <c r="G11733" t="s">
        <v>59</v>
      </c>
      <c r="H11733" t="s">
        <v>43</v>
      </c>
      <c r="I11733" t="s">
        <v>2191</v>
      </c>
      <c r="J11733" s="10">
        <v>0</v>
      </c>
      <c r="K11733" t="b">
        <v>1</v>
      </c>
    </row>
    <row r="11734" spans="1:11">
      <c r="A11734" s="12">
        <v>43107</v>
      </c>
      <c r="B11734">
        <v>2018</v>
      </c>
      <c r="C11734">
        <v>1</v>
      </c>
      <c r="D11734" s="11">
        <v>43101</v>
      </c>
      <c r="E11734" t="s">
        <v>2173</v>
      </c>
      <c r="F11734">
        <v>7</v>
      </c>
      <c r="G11734" t="s">
        <v>59</v>
      </c>
      <c r="H11734" t="s">
        <v>44</v>
      </c>
      <c r="I11734" t="s">
        <v>2192</v>
      </c>
      <c r="J11734" s="10">
        <v>0</v>
      </c>
      <c r="K11734" t="b">
        <v>1</v>
      </c>
    </row>
    <row r="11735" spans="1:11">
      <c r="A11735" s="12">
        <v>43107</v>
      </c>
      <c r="B11735">
        <v>2018</v>
      </c>
      <c r="C11735">
        <v>1</v>
      </c>
      <c r="D11735" s="11">
        <v>43101</v>
      </c>
      <c r="E11735" t="s">
        <v>2173</v>
      </c>
      <c r="F11735">
        <v>7</v>
      </c>
      <c r="G11735" t="s">
        <v>59</v>
      </c>
      <c r="H11735" t="s">
        <v>45</v>
      </c>
      <c r="I11735" t="s">
        <v>2193</v>
      </c>
      <c r="J11735" s="10">
        <v>0</v>
      </c>
      <c r="K11735" t="b">
        <v>1</v>
      </c>
    </row>
    <row r="11736" spans="1:11">
      <c r="A11736" s="12">
        <v>43107</v>
      </c>
      <c r="B11736">
        <v>2018</v>
      </c>
      <c r="C11736">
        <v>1</v>
      </c>
      <c r="D11736" s="11">
        <v>43101</v>
      </c>
      <c r="E11736" t="s">
        <v>2173</v>
      </c>
      <c r="F11736">
        <v>7</v>
      </c>
      <c r="G11736" t="s">
        <v>59</v>
      </c>
      <c r="H11736" t="s">
        <v>46</v>
      </c>
      <c r="I11736" t="s">
        <v>2194</v>
      </c>
      <c r="J11736" s="10">
        <v>0</v>
      </c>
      <c r="K11736" t="b">
        <v>1</v>
      </c>
    </row>
    <row r="11737" spans="1:11">
      <c r="A11737" s="12">
        <v>43107</v>
      </c>
      <c r="B11737">
        <v>2018</v>
      </c>
      <c r="C11737">
        <v>1</v>
      </c>
      <c r="D11737" s="11">
        <v>43101</v>
      </c>
      <c r="E11737" t="s">
        <v>2173</v>
      </c>
      <c r="F11737">
        <v>7</v>
      </c>
      <c r="G11737" t="s">
        <v>59</v>
      </c>
      <c r="H11737" t="s">
        <v>47</v>
      </c>
      <c r="I11737" t="s">
        <v>2195</v>
      </c>
      <c r="J11737" s="10">
        <v>0</v>
      </c>
      <c r="K11737" t="b">
        <v>1</v>
      </c>
    </row>
    <row r="11738" spans="1:11">
      <c r="A11738" s="12">
        <v>43108</v>
      </c>
      <c r="B11738">
        <v>2018</v>
      </c>
      <c r="C11738">
        <v>1</v>
      </c>
      <c r="D11738" s="11">
        <v>43101</v>
      </c>
      <c r="E11738" t="s">
        <v>2173</v>
      </c>
      <c r="F11738">
        <v>1</v>
      </c>
      <c r="G11738" t="s">
        <v>61</v>
      </c>
      <c r="H11738" t="s">
        <v>40</v>
      </c>
      <c r="I11738" t="s">
        <v>2188</v>
      </c>
      <c r="J11738" s="10">
        <v>2.33</v>
      </c>
      <c r="K11738" t="b">
        <v>1</v>
      </c>
    </row>
    <row r="11739" spans="1:11">
      <c r="A11739" s="12">
        <v>43108</v>
      </c>
      <c r="B11739">
        <v>2018</v>
      </c>
      <c r="C11739">
        <v>1</v>
      </c>
      <c r="D11739" s="11">
        <v>43101</v>
      </c>
      <c r="E11739" t="s">
        <v>2173</v>
      </c>
      <c r="F11739">
        <v>1</v>
      </c>
      <c r="G11739" t="s">
        <v>61</v>
      </c>
      <c r="H11739" t="s">
        <v>41</v>
      </c>
      <c r="I11739" t="s">
        <v>2189</v>
      </c>
      <c r="J11739" s="10">
        <v>6.53</v>
      </c>
      <c r="K11739" t="b">
        <v>1</v>
      </c>
    </row>
    <row r="11740" spans="1:11">
      <c r="A11740" s="12">
        <v>43108</v>
      </c>
      <c r="B11740">
        <v>2018</v>
      </c>
      <c r="C11740">
        <v>1</v>
      </c>
      <c r="D11740" s="11">
        <v>43101</v>
      </c>
      <c r="E11740" t="s">
        <v>2173</v>
      </c>
      <c r="F11740">
        <v>1</v>
      </c>
      <c r="G11740" t="s">
        <v>61</v>
      </c>
      <c r="H11740" t="s">
        <v>42</v>
      </c>
      <c r="I11740" t="s">
        <v>2190</v>
      </c>
      <c r="J11740" s="10">
        <v>4.2</v>
      </c>
      <c r="K11740" t="b">
        <v>1</v>
      </c>
    </row>
    <row r="11741" spans="1:11">
      <c r="A11741" s="12">
        <v>43108</v>
      </c>
      <c r="B11741">
        <v>2018</v>
      </c>
      <c r="C11741">
        <v>1</v>
      </c>
      <c r="D11741" s="11">
        <v>43101</v>
      </c>
      <c r="E11741" t="s">
        <v>2173</v>
      </c>
      <c r="F11741">
        <v>1</v>
      </c>
      <c r="G11741" t="s">
        <v>61</v>
      </c>
      <c r="H11741" t="s">
        <v>43</v>
      </c>
      <c r="I11741" t="s">
        <v>2191</v>
      </c>
      <c r="J11741" s="10">
        <v>29.6</v>
      </c>
      <c r="K11741" t="b">
        <v>1</v>
      </c>
    </row>
    <row r="11742" spans="1:11">
      <c r="A11742" s="12">
        <v>43108</v>
      </c>
      <c r="B11742">
        <v>2018</v>
      </c>
      <c r="C11742">
        <v>1</v>
      </c>
      <c r="D11742" s="11">
        <v>43101</v>
      </c>
      <c r="E11742" t="s">
        <v>2173</v>
      </c>
      <c r="F11742">
        <v>1</v>
      </c>
      <c r="G11742" t="s">
        <v>61</v>
      </c>
      <c r="H11742" t="s">
        <v>44</v>
      </c>
      <c r="I11742" t="s">
        <v>2192</v>
      </c>
      <c r="J11742" s="10">
        <v>5</v>
      </c>
      <c r="K11742" t="b">
        <v>1</v>
      </c>
    </row>
    <row r="11743" spans="1:11">
      <c r="A11743" s="12">
        <v>43108</v>
      </c>
      <c r="B11743">
        <v>2018</v>
      </c>
      <c r="C11743">
        <v>1</v>
      </c>
      <c r="D11743" s="11">
        <v>43101</v>
      </c>
      <c r="E11743" t="s">
        <v>2173</v>
      </c>
      <c r="F11743">
        <v>1</v>
      </c>
      <c r="G11743" t="s">
        <v>61</v>
      </c>
      <c r="H11743" t="s">
        <v>45</v>
      </c>
      <c r="I11743" t="s">
        <v>2193</v>
      </c>
      <c r="J11743" s="10">
        <v>0</v>
      </c>
      <c r="K11743" t="b">
        <v>1</v>
      </c>
    </row>
    <row r="11744" spans="1:11">
      <c r="A11744" s="12">
        <v>43108</v>
      </c>
      <c r="B11744">
        <v>2018</v>
      </c>
      <c r="C11744">
        <v>1</v>
      </c>
      <c r="D11744" s="11">
        <v>43101</v>
      </c>
      <c r="E11744" t="s">
        <v>2173</v>
      </c>
      <c r="F11744">
        <v>1</v>
      </c>
      <c r="G11744" t="s">
        <v>61</v>
      </c>
      <c r="H11744" t="s">
        <v>46</v>
      </c>
      <c r="I11744" t="s">
        <v>2194</v>
      </c>
      <c r="J11744" s="10">
        <v>0</v>
      </c>
      <c r="K11744" t="b">
        <v>1</v>
      </c>
    </row>
    <row r="11745" spans="1:11">
      <c r="A11745" s="12">
        <v>43108</v>
      </c>
      <c r="B11745">
        <v>2018</v>
      </c>
      <c r="C11745">
        <v>1</v>
      </c>
      <c r="D11745" s="11">
        <v>43101</v>
      </c>
      <c r="E11745" t="s">
        <v>2173</v>
      </c>
      <c r="F11745">
        <v>1</v>
      </c>
      <c r="G11745" t="s">
        <v>61</v>
      </c>
      <c r="H11745" t="s">
        <v>47</v>
      </c>
      <c r="I11745" t="s">
        <v>2195</v>
      </c>
      <c r="J11745" s="10">
        <v>1</v>
      </c>
      <c r="K11745" t="b">
        <v>1</v>
      </c>
    </row>
    <row r="11746" spans="1:11">
      <c r="A11746" s="12">
        <v>43109</v>
      </c>
      <c r="B11746">
        <v>2018</v>
      </c>
      <c r="C11746">
        <v>1</v>
      </c>
      <c r="D11746" s="11">
        <v>43101</v>
      </c>
      <c r="E11746" t="s">
        <v>2173</v>
      </c>
      <c r="F11746">
        <v>2</v>
      </c>
      <c r="G11746" t="s">
        <v>63</v>
      </c>
      <c r="H11746" t="s">
        <v>40</v>
      </c>
      <c r="I11746" t="s">
        <v>2188</v>
      </c>
      <c r="J11746" s="10">
        <v>5.33</v>
      </c>
      <c r="K11746" t="b">
        <v>1</v>
      </c>
    </row>
    <row r="11747" spans="1:11">
      <c r="A11747" s="12">
        <v>43109</v>
      </c>
      <c r="B11747">
        <v>2018</v>
      </c>
      <c r="C11747">
        <v>1</v>
      </c>
      <c r="D11747" s="11">
        <v>43101</v>
      </c>
      <c r="E11747" t="s">
        <v>2173</v>
      </c>
      <c r="F11747">
        <v>2</v>
      </c>
      <c r="G11747" t="s">
        <v>63</v>
      </c>
      <c r="H11747" t="s">
        <v>41</v>
      </c>
      <c r="I11747" t="s">
        <v>2189</v>
      </c>
      <c r="J11747" s="10">
        <v>2.099</v>
      </c>
      <c r="K11747" t="b">
        <v>1</v>
      </c>
    </row>
    <row r="11748" spans="1:11">
      <c r="A11748" s="12">
        <v>43109</v>
      </c>
      <c r="B11748">
        <v>2018</v>
      </c>
      <c r="C11748">
        <v>1</v>
      </c>
      <c r="D11748" s="11">
        <v>43101</v>
      </c>
      <c r="E11748" t="s">
        <v>2173</v>
      </c>
      <c r="F11748">
        <v>2</v>
      </c>
      <c r="G11748" t="s">
        <v>63</v>
      </c>
      <c r="H11748" t="s">
        <v>42</v>
      </c>
      <c r="I11748" t="s">
        <v>2190</v>
      </c>
      <c r="J11748" s="10">
        <v>5</v>
      </c>
      <c r="K11748" t="b">
        <v>1</v>
      </c>
    </row>
    <row r="11749" spans="1:11">
      <c r="A11749" s="12">
        <v>43109</v>
      </c>
      <c r="B11749">
        <v>2018</v>
      </c>
      <c r="C11749">
        <v>1</v>
      </c>
      <c r="D11749" s="11">
        <v>43101</v>
      </c>
      <c r="E11749" t="s">
        <v>2173</v>
      </c>
      <c r="F11749">
        <v>2</v>
      </c>
      <c r="G11749" t="s">
        <v>63</v>
      </c>
      <c r="H11749" t="s">
        <v>43</v>
      </c>
      <c r="I11749" t="s">
        <v>2191</v>
      </c>
      <c r="J11749" s="10">
        <v>33.825</v>
      </c>
      <c r="K11749" t="b">
        <v>1</v>
      </c>
    </row>
    <row r="11750" spans="1:11">
      <c r="A11750" s="12">
        <v>43109</v>
      </c>
      <c r="B11750">
        <v>2018</v>
      </c>
      <c r="C11750">
        <v>1</v>
      </c>
      <c r="D11750" s="11">
        <v>43101</v>
      </c>
      <c r="E11750" t="s">
        <v>2173</v>
      </c>
      <c r="F11750">
        <v>2</v>
      </c>
      <c r="G11750" t="s">
        <v>63</v>
      </c>
      <c r="H11750" t="s">
        <v>44</v>
      </c>
      <c r="I11750" t="s">
        <v>2192</v>
      </c>
      <c r="J11750" s="10">
        <v>9</v>
      </c>
      <c r="K11750" t="b">
        <v>1</v>
      </c>
    </row>
    <row r="11751" spans="1:11">
      <c r="A11751" s="12">
        <v>43109</v>
      </c>
      <c r="B11751">
        <v>2018</v>
      </c>
      <c r="C11751">
        <v>1</v>
      </c>
      <c r="D11751" s="11">
        <v>43101</v>
      </c>
      <c r="E11751" t="s">
        <v>2173</v>
      </c>
      <c r="F11751">
        <v>2</v>
      </c>
      <c r="G11751" t="s">
        <v>63</v>
      </c>
      <c r="H11751" t="s">
        <v>45</v>
      </c>
      <c r="I11751" t="s">
        <v>2193</v>
      </c>
      <c r="J11751" s="10">
        <v>6</v>
      </c>
      <c r="K11751" t="b">
        <v>1</v>
      </c>
    </row>
    <row r="11752" spans="1:11">
      <c r="A11752" s="12">
        <v>43109</v>
      </c>
      <c r="B11752">
        <v>2018</v>
      </c>
      <c r="C11752">
        <v>1</v>
      </c>
      <c r="D11752" s="11">
        <v>43101</v>
      </c>
      <c r="E11752" t="s">
        <v>2173</v>
      </c>
      <c r="F11752">
        <v>2</v>
      </c>
      <c r="G11752" t="s">
        <v>63</v>
      </c>
      <c r="H11752" t="s">
        <v>46</v>
      </c>
      <c r="I11752" t="s">
        <v>2194</v>
      </c>
      <c r="J11752" s="10">
        <v>10</v>
      </c>
      <c r="K11752" t="b">
        <v>1</v>
      </c>
    </row>
    <row r="11753" spans="1:11">
      <c r="A11753" s="12">
        <v>43109</v>
      </c>
      <c r="B11753">
        <v>2018</v>
      </c>
      <c r="C11753">
        <v>1</v>
      </c>
      <c r="D11753" s="11">
        <v>43101</v>
      </c>
      <c r="E11753" t="s">
        <v>2173</v>
      </c>
      <c r="F11753">
        <v>2</v>
      </c>
      <c r="G11753" t="s">
        <v>63</v>
      </c>
      <c r="H11753" t="s">
        <v>47</v>
      </c>
      <c r="I11753" t="s">
        <v>2195</v>
      </c>
      <c r="J11753" s="10">
        <v>1</v>
      </c>
      <c r="K11753" t="b">
        <v>1</v>
      </c>
    </row>
    <row r="11754" spans="1:11">
      <c r="A11754" s="12">
        <v>43110</v>
      </c>
      <c r="B11754">
        <v>2018</v>
      </c>
      <c r="C11754">
        <v>1</v>
      </c>
      <c r="D11754" s="11">
        <v>43101</v>
      </c>
      <c r="E11754" t="s">
        <v>2173</v>
      </c>
      <c r="F11754">
        <v>3</v>
      </c>
      <c r="G11754" t="s">
        <v>65</v>
      </c>
      <c r="H11754" t="s">
        <v>40</v>
      </c>
      <c r="I11754" t="s">
        <v>2188</v>
      </c>
      <c r="J11754" s="10">
        <v>9.33</v>
      </c>
      <c r="K11754" t="b">
        <v>1</v>
      </c>
    </row>
    <row r="11755" spans="1:11">
      <c r="A11755" s="12">
        <v>43110</v>
      </c>
      <c r="B11755">
        <v>2018</v>
      </c>
      <c r="C11755">
        <v>1</v>
      </c>
      <c r="D11755" s="11">
        <v>43101</v>
      </c>
      <c r="E11755" t="s">
        <v>2173</v>
      </c>
      <c r="F11755">
        <v>3</v>
      </c>
      <c r="G11755" t="s">
        <v>65</v>
      </c>
      <c r="H11755" t="s">
        <v>41</v>
      </c>
      <c r="I11755" t="s">
        <v>2189</v>
      </c>
      <c r="J11755" s="10">
        <v>7.406</v>
      </c>
      <c r="K11755" t="b">
        <v>1</v>
      </c>
    </row>
    <row r="11756" spans="1:11">
      <c r="A11756" s="12">
        <v>43110</v>
      </c>
      <c r="B11756">
        <v>2018</v>
      </c>
      <c r="C11756">
        <v>1</v>
      </c>
      <c r="D11756" s="11">
        <v>43101</v>
      </c>
      <c r="E11756" t="s">
        <v>2173</v>
      </c>
      <c r="F11756">
        <v>3</v>
      </c>
      <c r="G11756" t="s">
        <v>65</v>
      </c>
      <c r="H11756" t="s">
        <v>42</v>
      </c>
      <c r="I11756" t="s">
        <v>2190</v>
      </c>
      <c r="J11756" s="10">
        <v>6</v>
      </c>
      <c r="K11756" t="b">
        <v>1</v>
      </c>
    </row>
    <row r="11757" spans="1:11">
      <c r="A11757" s="12">
        <v>43110</v>
      </c>
      <c r="B11757">
        <v>2018</v>
      </c>
      <c r="C11757">
        <v>1</v>
      </c>
      <c r="D11757" s="11">
        <v>43101</v>
      </c>
      <c r="E11757" t="s">
        <v>2173</v>
      </c>
      <c r="F11757">
        <v>3</v>
      </c>
      <c r="G11757" t="s">
        <v>65</v>
      </c>
      <c r="H11757" t="s">
        <v>43</v>
      </c>
      <c r="I11757" t="s">
        <v>2191</v>
      </c>
      <c r="J11757" s="10">
        <v>44.5</v>
      </c>
      <c r="K11757" t="b">
        <v>1</v>
      </c>
    </row>
    <row r="11758" spans="1:11">
      <c r="A11758" s="12">
        <v>43110</v>
      </c>
      <c r="B11758">
        <v>2018</v>
      </c>
      <c r="C11758">
        <v>1</v>
      </c>
      <c r="D11758" s="11">
        <v>43101</v>
      </c>
      <c r="E11758" t="s">
        <v>2173</v>
      </c>
      <c r="F11758">
        <v>3</v>
      </c>
      <c r="G11758" t="s">
        <v>65</v>
      </c>
      <c r="H11758" t="s">
        <v>44</v>
      </c>
      <c r="I11758" t="s">
        <v>2192</v>
      </c>
      <c r="J11758" s="10">
        <v>12</v>
      </c>
      <c r="K11758" t="b">
        <v>1</v>
      </c>
    </row>
    <row r="11759" spans="1:11">
      <c r="A11759" s="12">
        <v>43110</v>
      </c>
      <c r="B11759">
        <v>2018</v>
      </c>
      <c r="C11759">
        <v>1</v>
      </c>
      <c r="D11759" s="11">
        <v>43101</v>
      </c>
      <c r="E11759" t="s">
        <v>2173</v>
      </c>
      <c r="F11759">
        <v>3</v>
      </c>
      <c r="G11759" t="s">
        <v>65</v>
      </c>
      <c r="H11759" t="s">
        <v>45</v>
      </c>
      <c r="I11759" t="s">
        <v>2193</v>
      </c>
      <c r="J11759" s="10">
        <v>0</v>
      </c>
      <c r="K11759" t="b">
        <v>1</v>
      </c>
    </row>
    <row r="11760" spans="1:11">
      <c r="A11760" s="12">
        <v>43110</v>
      </c>
      <c r="B11760">
        <v>2018</v>
      </c>
      <c r="C11760">
        <v>1</v>
      </c>
      <c r="D11760" s="11">
        <v>43101</v>
      </c>
      <c r="E11760" t="s">
        <v>2173</v>
      </c>
      <c r="F11760">
        <v>3</v>
      </c>
      <c r="G11760" t="s">
        <v>65</v>
      </c>
      <c r="H11760" t="s">
        <v>46</v>
      </c>
      <c r="I11760" t="s">
        <v>2194</v>
      </c>
      <c r="J11760" s="10">
        <v>6</v>
      </c>
      <c r="K11760" t="b">
        <v>1</v>
      </c>
    </row>
    <row r="11761" spans="1:11">
      <c r="A11761" s="12">
        <v>43110</v>
      </c>
      <c r="B11761">
        <v>2018</v>
      </c>
      <c r="C11761">
        <v>1</v>
      </c>
      <c r="D11761" s="11">
        <v>43101</v>
      </c>
      <c r="E11761" t="s">
        <v>2173</v>
      </c>
      <c r="F11761">
        <v>3</v>
      </c>
      <c r="G11761" t="s">
        <v>65</v>
      </c>
      <c r="H11761" t="s">
        <v>47</v>
      </c>
      <c r="I11761" t="s">
        <v>2195</v>
      </c>
      <c r="J11761" s="10">
        <v>2</v>
      </c>
      <c r="K11761" t="b">
        <v>1</v>
      </c>
    </row>
    <row r="11762" spans="1:11">
      <c r="A11762" s="12">
        <v>43111</v>
      </c>
      <c r="B11762">
        <v>2018</v>
      </c>
      <c r="C11762">
        <v>1</v>
      </c>
      <c r="D11762" s="11">
        <v>43101</v>
      </c>
      <c r="E11762" t="s">
        <v>2173</v>
      </c>
      <c r="F11762">
        <v>4</v>
      </c>
      <c r="G11762" t="s">
        <v>53</v>
      </c>
      <c r="H11762" t="s">
        <v>40</v>
      </c>
      <c r="I11762" t="s">
        <v>2188</v>
      </c>
      <c r="J11762" s="10">
        <v>4</v>
      </c>
      <c r="K11762" t="b">
        <v>1</v>
      </c>
    </row>
    <row r="11763" spans="1:11">
      <c r="A11763" s="12">
        <v>43111</v>
      </c>
      <c r="B11763">
        <v>2018</v>
      </c>
      <c r="C11763">
        <v>1</v>
      </c>
      <c r="D11763" s="11">
        <v>43101</v>
      </c>
      <c r="E11763" t="s">
        <v>2173</v>
      </c>
      <c r="F11763">
        <v>4</v>
      </c>
      <c r="G11763" t="s">
        <v>53</v>
      </c>
      <c r="H11763" t="s">
        <v>41</v>
      </c>
      <c r="I11763" t="s">
        <v>2189</v>
      </c>
      <c r="J11763" s="10">
        <v>4.33</v>
      </c>
      <c r="K11763" t="b">
        <v>1</v>
      </c>
    </row>
    <row r="11764" spans="1:11">
      <c r="A11764" s="12">
        <v>43111</v>
      </c>
      <c r="B11764">
        <v>2018</v>
      </c>
      <c r="C11764">
        <v>1</v>
      </c>
      <c r="D11764" s="11">
        <v>43101</v>
      </c>
      <c r="E11764" t="s">
        <v>2173</v>
      </c>
      <c r="F11764">
        <v>4</v>
      </c>
      <c r="G11764" t="s">
        <v>53</v>
      </c>
      <c r="H11764" t="s">
        <v>42</v>
      </c>
      <c r="I11764" t="s">
        <v>2190</v>
      </c>
      <c r="J11764" s="10">
        <v>5.5</v>
      </c>
      <c r="K11764" t="b">
        <v>1</v>
      </c>
    </row>
    <row r="11765" spans="1:11">
      <c r="A11765" s="12">
        <v>43111</v>
      </c>
      <c r="B11765">
        <v>2018</v>
      </c>
      <c r="C11765">
        <v>1</v>
      </c>
      <c r="D11765" s="11">
        <v>43101</v>
      </c>
      <c r="E11765" t="s">
        <v>2173</v>
      </c>
      <c r="F11765">
        <v>4</v>
      </c>
      <c r="G11765" t="s">
        <v>53</v>
      </c>
      <c r="H11765" t="s">
        <v>43</v>
      </c>
      <c r="I11765" t="s">
        <v>2191</v>
      </c>
      <c r="J11765" s="10">
        <v>37.6</v>
      </c>
      <c r="K11765" t="b">
        <v>1</v>
      </c>
    </row>
    <row r="11766" spans="1:11">
      <c r="A11766" s="12">
        <v>43111</v>
      </c>
      <c r="B11766">
        <v>2018</v>
      </c>
      <c r="C11766">
        <v>1</v>
      </c>
      <c r="D11766" s="11">
        <v>43101</v>
      </c>
      <c r="E11766" t="s">
        <v>2173</v>
      </c>
      <c r="F11766">
        <v>4</v>
      </c>
      <c r="G11766" t="s">
        <v>53</v>
      </c>
      <c r="H11766" t="s">
        <v>44</v>
      </c>
      <c r="I11766" t="s">
        <v>2192</v>
      </c>
      <c r="J11766" s="10">
        <v>7</v>
      </c>
      <c r="K11766" t="b">
        <v>1</v>
      </c>
    </row>
    <row r="11767" spans="1:11">
      <c r="A11767" s="12">
        <v>43111</v>
      </c>
      <c r="B11767">
        <v>2018</v>
      </c>
      <c r="C11767">
        <v>1</v>
      </c>
      <c r="D11767" s="11">
        <v>43101</v>
      </c>
      <c r="E11767" t="s">
        <v>2173</v>
      </c>
      <c r="F11767">
        <v>4</v>
      </c>
      <c r="G11767" t="s">
        <v>53</v>
      </c>
      <c r="H11767" t="s">
        <v>45</v>
      </c>
      <c r="I11767" t="s">
        <v>2193</v>
      </c>
      <c r="J11767" s="10">
        <v>0</v>
      </c>
      <c r="K11767" t="b">
        <v>1</v>
      </c>
    </row>
    <row r="11768" spans="1:11">
      <c r="A11768" s="12">
        <v>43111</v>
      </c>
      <c r="B11768">
        <v>2018</v>
      </c>
      <c r="C11768">
        <v>1</v>
      </c>
      <c r="D11768" s="11">
        <v>43101</v>
      </c>
      <c r="E11768" t="s">
        <v>2173</v>
      </c>
      <c r="F11768">
        <v>4</v>
      </c>
      <c r="G11768" t="s">
        <v>53</v>
      </c>
      <c r="H11768" t="s">
        <v>46</v>
      </c>
      <c r="I11768" t="s">
        <v>2194</v>
      </c>
      <c r="J11768" s="10">
        <v>5</v>
      </c>
      <c r="K11768" t="b">
        <v>1</v>
      </c>
    </row>
    <row r="11769" spans="1:11">
      <c r="A11769" s="12">
        <v>43111</v>
      </c>
      <c r="B11769">
        <v>2018</v>
      </c>
      <c r="C11769">
        <v>1</v>
      </c>
      <c r="D11769" s="11">
        <v>43101</v>
      </c>
      <c r="E11769" t="s">
        <v>2173</v>
      </c>
      <c r="F11769">
        <v>4</v>
      </c>
      <c r="G11769" t="s">
        <v>53</v>
      </c>
      <c r="H11769" t="s">
        <v>47</v>
      </c>
      <c r="I11769" t="s">
        <v>2195</v>
      </c>
      <c r="J11769" s="10">
        <v>0</v>
      </c>
      <c r="K11769" t="b">
        <v>1</v>
      </c>
    </row>
    <row r="11770" spans="1:11">
      <c r="A11770" s="12">
        <v>43112</v>
      </c>
      <c r="B11770">
        <v>2018</v>
      </c>
      <c r="C11770">
        <v>1</v>
      </c>
      <c r="D11770" s="11">
        <v>43101</v>
      </c>
      <c r="E11770" t="s">
        <v>2173</v>
      </c>
      <c r="F11770">
        <v>5</v>
      </c>
      <c r="G11770" t="s">
        <v>55</v>
      </c>
      <c r="H11770" t="s">
        <v>40</v>
      </c>
      <c r="I11770" t="s">
        <v>2188</v>
      </c>
      <c r="J11770" s="10">
        <v>5.66</v>
      </c>
      <c r="K11770" t="b">
        <v>1</v>
      </c>
    </row>
    <row r="11771" spans="1:11">
      <c r="A11771" s="12">
        <v>43112</v>
      </c>
      <c r="B11771">
        <v>2018</v>
      </c>
      <c r="C11771">
        <v>1</v>
      </c>
      <c r="D11771" s="11">
        <v>43101</v>
      </c>
      <c r="E11771" t="s">
        <v>2173</v>
      </c>
      <c r="F11771">
        <v>5</v>
      </c>
      <c r="G11771" t="s">
        <v>55</v>
      </c>
      <c r="H11771" t="s">
        <v>41</v>
      </c>
      <c r="I11771" t="s">
        <v>2189</v>
      </c>
      <c r="J11771" s="10">
        <v>1.33</v>
      </c>
      <c r="K11771" t="b">
        <v>1</v>
      </c>
    </row>
    <row r="11772" spans="1:11">
      <c r="A11772" s="12">
        <v>43112</v>
      </c>
      <c r="B11772">
        <v>2018</v>
      </c>
      <c r="C11772">
        <v>1</v>
      </c>
      <c r="D11772" s="11">
        <v>43101</v>
      </c>
      <c r="E11772" t="s">
        <v>2173</v>
      </c>
      <c r="F11772">
        <v>5</v>
      </c>
      <c r="G11772" t="s">
        <v>55</v>
      </c>
      <c r="H11772" t="s">
        <v>42</v>
      </c>
      <c r="I11772" t="s">
        <v>2190</v>
      </c>
      <c r="J11772" s="10">
        <v>3</v>
      </c>
      <c r="K11772" t="b">
        <v>1</v>
      </c>
    </row>
    <row r="11773" spans="1:11">
      <c r="A11773" s="12">
        <v>43112</v>
      </c>
      <c r="B11773">
        <v>2018</v>
      </c>
      <c r="C11773">
        <v>1</v>
      </c>
      <c r="D11773" s="11">
        <v>43101</v>
      </c>
      <c r="E11773" t="s">
        <v>2173</v>
      </c>
      <c r="F11773">
        <v>5</v>
      </c>
      <c r="G11773" t="s">
        <v>55</v>
      </c>
      <c r="H11773" t="s">
        <v>43</v>
      </c>
      <c r="I11773" t="s">
        <v>2191</v>
      </c>
      <c r="J11773" s="10">
        <v>42</v>
      </c>
      <c r="K11773" t="b">
        <v>1</v>
      </c>
    </row>
    <row r="11774" spans="1:11">
      <c r="A11774" s="12">
        <v>43112</v>
      </c>
      <c r="B11774">
        <v>2018</v>
      </c>
      <c r="C11774">
        <v>1</v>
      </c>
      <c r="D11774" s="11">
        <v>43101</v>
      </c>
      <c r="E11774" t="s">
        <v>2173</v>
      </c>
      <c r="F11774">
        <v>5</v>
      </c>
      <c r="G11774" t="s">
        <v>55</v>
      </c>
      <c r="H11774" t="s">
        <v>44</v>
      </c>
      <c r="I11774" t="s">
        <v>2192</v>
      </c>
      <c r="J11774" s="10">
        <v>11</v>
      </c>
      <c r="K11774" t="b">
        <v>1</v>
      </c>
    </row>
    <row r="11775" spans="1:11">
      <c r="A11775" s="12">
        <v>43112</v>
      </c>
      <c r="B11775">
        <v>2018</v>
      </c>
      <c r="C11775">
        <v>1</v>
      </c>
      <c r="D11775" s="11">
        <v>43101</v>
      </c>
      <c r="E11775" t="s">
        <v>2173</v>
      </c>
      <c r="F11775">
        <v>5</v>
      </c>
      <c r="G11775" t="s">
        <v>55</v>
      </c>
      <c r="H11775" t="s">
        <v>45</v>
      </c>
      <c r="I11775" t="s">
        <v>2193</v>
      </c>
      <c r="J11775" s="10">
        <v>0</v>
      </c>
      <c r="K11775" t="b">
        <v>1</v>
      </c>
    </row>
    <row r="11776" spans="1:11">
      <c r="A11776" s="12">
        <v>43112</v>
      </c>
      <c r="B11776">
        <v>2018</v>
      </c>
      <c r="C11776">
        <v>1</v>
      </c>
      <c r="D11776" s="11">
        <v>43101</v>
      </c>
      <c r="E11776" t="s">
        <v>2173</v>
      </c>
      <c r="F11776">
        <v>5</v>
      </c>
      <c r="G11776" t="s">
        <v>55</v>
      </c>
      <c r="H11776" t="s">
        <v>46</v>
      </c>
      <c r="I11776" t="s">
        <v>2194</v>
      </c>
      <c r="J11776" s="10">
        <v>10</v>
      </c>
      <c r="K11776" t="b">
        <v>1</v>
      </c>
    </row>
    <row r="11777" spans="1:11">
      <c r="A11777" s="12">
        <v>43112</v>
      </c>
      <c r="B11777">
        <v>2018</v>
      </c>
      <c r="C11777">
        <v>1</v>
      </c>
      <c r="D11777" s="11">
        <v>43101</v>
      </c>
      <c r="E11777" t="s">
        <v>2173</v>
      </c>
      <c r="F11777">
        <v>5</v>
      </c>
      <c r="G11777" t="s">
        <v>55</v>
      </c>
      <c r="H11777" t="s">
        <v>47</v>
      </c>
      <c r="I11777" t="s">
        <v>2195</v>
      </c>
      <c r="J11777" s="10">
        <v>0</v>
      </c>
      <c r="K11777" t="b">
        <v>1</v>
      </c>
    </row>
    <row r="11778" spans="1:11">
      <c r="A11778" s="12">
        <v>43113</v>
      </c>
      <c r="B11778">
        <v>2018</v>
      </c>
      <c r="C11778">
        <v>1</v>
      </c>
      <c r="D11778" s="11">
        <v>43101</v>
      </c>
      <c r="E11778" t="s">
        <v>2173</v>
      </c>
      <c r="F11778">
        <v>6</v>
      </c>
      <c r="G11778" t="s">
        <v>57</v>
      </c>
      <c r="H11778" t="s">
        <v>40</v>
      </c>
      <c r="I11778" t="s">
        <v>2188</v>
      </c>
      <c r="J11778" s="10">
        <v>3.5</v>
      </c>
      <c r="K11778" t="b">
        <v>1</v>
      </c>
    </row>
    <row r="11779" spans="1:11">
      <c r="A11779" s="12">
        <v>43113</v>
      </c>
      <c r="B11779">
        <v>2018</v>
      </c>
      <c r="C11779">
        <v>1</v>
      </c>
      <c r="D11779" s="11">
        <v>43101</v>
      </c>
      <c r="E11779" t="s">
        <v>2173</v>
      </c>
      <c r="F11779">
        <v>6</v>
      </c>
      <c r="G11779" t="s">
        <v>57</v>
      </c>
      <c r="H11779" t="s">
        <v>41</v>
      </c>
      <c r="I11779" t="s">
        <v>2189</v>
      </c>
      <c r="J11779" s="10">
        <v>3.495</v>
      </c>
      <c r="K11779" t="b">
        <v>1</v>
      </c>
    </row>
    <row r="11780" spans="1:11">
      <c r="A11780" s="12">
        <v>43113</v>
      </c>
      <c r="B11780">
        <v>2018</v>
      </c>
      <c r="C11780">
        <v>1</v>
      </c>
      <c r="D11780" s="11">
        <v>43101</v>
      </c>
      <c r="E11780" t="s">
        <v>2173</v>
      </c>
      <c r="F11780">
        <v>6</v>
      </c>
      <c r="G11780" t="s">
        <v>57</v>
      </c>
      <c r="H11780" t="s">
        <v>42</v>
      </c>
      <c r="I11780" t="s">
        <v>2190</v>
      </c>
      <c r="J11780" s="10">
        <v>3.2</v>
      </c>
      <c r="K11780" t="b">
        <v>1</v>
      </c>
    </row>
    <row r="11781" spans="1:11">
      <c r="A11781" s="12">
        <v>43113</v>
      </c>
      <c r="B11781">
        <v>2018</v>
      </c>
      <c r="C11781">
        <v>1</v>
      </c>
      <c r="D11781" s="11">
        <v>43101</v>
      </c>
      <c r="E11781" t="s">
        <v>2173</v>
      </c>
      <c r="F11781">
        <v>6</v>
      </c>
      <c r="G11781" t="s">
        <v>57</v>
      </c>
      <c r="H11781" t="s">
        <v>43</v>
      </c>
      <c r="I11781" t="s">
        <v>2191</v>
      </c>
      <c r="J11781" s="10">
        <v>32</v>
      </c>
      <c r="K11781" t="b">
        <v>1</v>
      </c>
    </row>
    <row r="11782" spans="1:11">
      <c r="A11782" s="12">
        <v>43113</v>
      </c>
      <c r="B11782">
        <v>2018</v>
      </c>
      <c r="C11782">
        <v>1</v>
      </c>
      <c r="D11782" s="11">
        <v>43101</v>
      </c>
      <c r="E11782" t="s">
        <v>2173</v>
      </c>
      <c r="F11782">
        <v>6</v>
      </c>
      <c r="G11782" t="s">
        <v>57</v>
      </c>
      <c r="H11782" t="s">
        <v>44</v>
      </c>
      <c r="I11782" t="s">
        <v>2192</v>
      </c>
      <c r="J11782" s="10">
        <v>6</v>
      </c>
      <c r="K11782" t="b">
        <v>1</v>
      </c>
    </row>
    <row r="11783" spans="1:11">
      <c r="A11783" s="12">
        <v>43113</v>
      </c>
      <c r="B11783">
        <v>2018</v>
      </c>
      <c r="C11783">
        <v>1</v>
      </c>
      <c r="D11783" s="11">
        <v>43101</v>
      </c>
      <c r="E11783" t="s">
        <v>2173</v>
      </c>
      <c r="F11783">
        <v>6</v>
      </c>
      <c r="G11783" t="s">
        <v>57</v>
      </c>
      <c r="H11783" t="s">
        <v>45</v>
      </c>
      <c r="I11783" t="s">
        <v>2193</v>
      </c>
      <c r="J11783" s="10">
        <v>0</v>
      </c>
      <c r="K11783" t="b">
        <v>1</v>
      </c>
    </row>
    <row r="11784" spans="1:11">
      <c r="A11784" s="12">
        <v>43113</v>
      </c>
      <c r="B11784">
        <v>2018</v>
      </c>
      <c r="C11784">
        <v>1</v>
      </c>
      <c r="D11784" s="11">
        <v>43101</v>
      </c>
      <c r="E11784" t="s">
        <v>2173</v>
      </c>
      <c r="F11784">
        <v>6</v>
      </c>
      <c r="G11784" t="s">
        <v>57</v>
      </c>
      <c r="H11784" t="s">
        <v>46</v>
      </c>
      <c r="I11784" t="s">
        <v>2194</v>
      </c>
      <c r="J11784" s="10">
        <v>8</v>
      </c>
      <c r="K11784" t="b">
        <v>1</v>
      </c>
    </row>
    <row r="11785" spans="1:11">
      <c r="A11785" s="12">
        <v>43113</v>
      </c>
      <c r="B11785">
        <v>2018</v>
      </c>
      <c r="C11785">
        <v>1</v>
      </c>
      <c r="D11785" s="11">
        <v>43101</v>
      </c>
      <c r="E11785" t="s">
        <v>2173</v>
      </c>
      <c r="F11785">
        <v>6</v>
      </c>
      <c r="G11785" t="s">
        <v>57</v>
      </c>
      <c r="H11785" t="s">
        <v>47</v>
      </c>
      <c r="I11785" t="s">
        <v>2195</v>
      </c>
      <c r="J11785" s="10">
        <v>1</v>
      </c>
      <c r="K11785" t="b">
        <v>1</v>
      </c>
    </row>
    <row r="11786" spans="1:11">
      <c r="A11786" s="12">
        <v>43114</v>
      </c>
      <c r="B11786">
        <v>2018</v>
      </c>
      <c r="C11786">
        <v>1</v>
      </c>
      <c r="D11786" s="11">
        <v>43101</v>
      </c>
      <c r="E11786" t="s">
        <v>2173</v>
      </c>
      <c r="F11786">
        <v>7</v>
      </c>
      <c r="G11786" t="s">
        <v>59</v>
      </c>
      <c r="H11786" t="s">
        <v>40</v>
      </c>
      <c r="I11786" t="s">
        <v>2188</v>
      </c>
      <c r="J11786" s="10">
        <v>4.33</v>
      </c>
      <c r="K11786" t="b">
        <v>1</v>
      </c>
    </row>
    <row r="11787" spans="1:11">
      <c r="A11787" s="12">
        <v>43114</v>
      </c>
      <c r="B11787">
        <v>2018</v>
      </c>
      <c r="C11787">
        <v>1</v>
      </c>
      <c r="D11787" s="11">
        <v>43101</v>
      </c>
      <c r="E11787" t="s">
        <v>2173</v>
      </c>
      <c r="F11787">
        <v>7</v>
      </c>
      <c r="G11787" t="s">
        <v>59</v>
      </c>
      <c r="H11787" t="s">
        <v>41</v>
      </c>
      <c r="I11787" t="s">
        <v>2189</v>
      </c>
      <c r="J11787" s="10">
        <v>5.155</v>
      </c>
      <c r="K11787" t="b">
        <v>1</v>
      </c>
    </row>
    <row r="11788" spans="1:11">
      <c r="A11788" s="12">
        <v>43114</v>
      </c>
      <c r="B11788">
        <v>2018</v>
      </c>
      <c r="C11788">
        <v>1</v>
      </c>
      <c r="D11788" s="11">
        <v>43101</v>
      </c>
      <c r="E11788" t="s">
        <v>2173</v>
      </c>
      <c r="F11788">
        <v>7</v>
      </c>
      <c r="G11788" t="s">
        <v>59</v>
      </c>
      <c r="H11788" t="s">
        <v>42</v>
      </c>
      <c r="I11788" t="s">
        <v>2190</v>
      </c>
      <c r="J11788" s="10">
        <v>1.2</v>
      </c>
      <c r="K11788" t="b">
        <v>1</v>
      </c>
    </row>
    <row r="11789" spans="1:11">
      <c r="A11789" s="12">
        <v>43114</v>
      </c>
      <c r="B11789">
        <v>2018</v>
      </c>
      <c r="C11789">
        <v>1</v>
      </c>
      <c r="D11789" s="11">
        <v>43101</v>
      </c>
      <c r="E11789" t="s">
        <v>2173</v>
      </c>
      <c r="F11789">
        <v>7</v>
      </c>
      <c r="G11789" t="s">
        <v>59</v>
      </c>
      <c r="H11789" t="s">
        <v>43</v>
      </c>
      <c r="I11789" t="s">
        <v>2191</v>
      </c>
      <c r="J11789" s="10">
        <v>36</v>
      </c>
      <c r="K11789" t="b">
        <v>1</v>
      </c>
    </row>
    <row r="11790" spans="1:11">
      <c r="A11790" s="12">
        <v>43114</v>
      </c>
      <c r="B11790">
        <v>2018</v>
      </c>
      <c r="C11790">
        <v>1</v>
      </c>
      <c r="D11790" s="11">
        <v>43101</v>
      </c>
      <c r="E11790" t="s">
        <v>2173</v>
      </c>
      <c r="F11790">
        <v>7</v>
      </c>
      <c r="G11790" t="s">
        <v>59</v>
      </c>
      <c r="H11790" t="s">
        <v>44</v>
      </c>
      <c r="I11790" t="s">
        <v>2192</v>
      </c>
      <c r="J11790" s="10">
        <v>2</v>
      </c>
      <c r="K11790" t="b">
        <v>1</v>
      </c>
    </row>
    <row r="11791" spans="1:11">
      <c r="A11791" s="12">
        <v>43114</v>
      </c>
      <c r="B11791">
        <v>2018</v>
      </c>
      <c r="C11791">
        <v>1</v>
      </c>
      <c r="D11791" s="11">
        <v>43101</v>
      </c>
      <c r="E11791" t="s">
        <v>2173</v>
      </c>
      <c r="F11791">
        <v>7</v>
      </c>
      <c r="G11791" t="s">
        <v>59</v>
      </c>
      <c r="H11791" t="s">
        <v>45</v>
      </c>
      <c r="I11791" t="s">
        <v>2193</v>
      </c>
      <c r="J11791" s="10">
        <v>0</v>
      </c>
      <c r="K11791" t="b">
        <v>1</v>
      </c>
    </row>
    <row r="11792" spans="1:11">
      <c r="A11792" s="12">
        <v>43114</v>
      </c>
      <c r="B11792">
        <v>2018</v>
      </c>
      <c r="C11792">
        <v>1</v>
      </c>
      <c r="D11792" s="11">
        <v>43101</v>
      </c>
      <c r="E11792" t="s">
        <v>2173</v>
      </c>
      <c r="F11792">
        <v>7</v>
      </c>
      <c r="G11792" t="s">
        <v>59</v>
      </c>
      <c r="H11792" t="s">
        <v>46</v>
      </c>
      <c r="I11792" t="s">
        <v>2194</v>
      </c>
      <c r="J11792" s="10">
        <v>5</v>
      </c>
      <c r="K11792" t="b">
        <v>1</v>
      </c>
    </row>
    <row r="11793" spans="1:11">
      <c r="A11793" s="12">
        <v>43114</v>
      </c>
      <c r="B11793">
        <v>2018</v>
      </c>
      <c r="C11793">
        <v>1</v>
      </c>
      <c r="D11793" s="11">
        <v>43101</v>
      </c>
      <c r="E11793" t="s">
        <v>2173</v>
      </c>
      <c r="F11793">
        <v>7</v>
      </c>
      <c r="G11793" t="s">
        <v>59</v>
      </c>
      <c r="H11793" t="s">
        <v>47</v>
      </c>
      <c r="I11793" t="s">
        <v>2195</v>
      </c>
      <c r="J11793" s="10">
        <v>1</v>
      </c>
      <c r="K11793" t="b">
        <v>1</v>
      </c>
    </row>
    <row r="11794" spans="1:11">
      <c r="A11794" s="12">
        <v>43115</v>
      </c>
      <c r="B11794">
        <v>2018</v>
      </c>
      <c r="C11794">
        <v>1</v>
      </c>
      <c r="D11794" s="11">
        <v>43101</v>
      </c>
      <c r="E11794" t="s">
        <v>2173</v>
      </c>
      <c r="F11794">
        <v>1</v>
      </c>
      <c r="G11794" t="s">
        <v>61</v>
      </c>
      <c r="H11794" t="s">
        <v>40</v>
      </c>
      <c r="I11794" t="s">
        <v>2188</v>
      </c>
      <c r="J11794" s="10">
        <v>6.99</v>
      </c>
      <c r="K11794" t="b">
        <v>1</v>
      </c>
    </row>
    <row r="11795" spans="1:11">
      <c r="A11795" s="12">
        <v>43115</v>
      </c>
      <c r="B11795">
        <v>2018</v>
      </c>
      <c r="C11795">
        <v>1</v>
      </c>
      <c r="D11795" s="11">
        <v>43101</v>
      </c>
      <c r="E11795" t="s">
        <v>2173</v>
      </c>
      <c r="F11795">
        <v>1</v>
      </c>
      <c r="G11795" t="s">
        <v>61</v>
      </c>
      <c r="H11795" t="s">
        <v>41</v>
      </c>
      <c r="I11795" t="s">
        <v>2189</v>
      </c>
      <c r="J11795" s="10">
        <v>2</v>
      </c>
      <c r="K11795" t="b">
        <v>1</v>
      </c>
    </row>
    <row r="11796" spans="1:11">
      <c r="A11796" s="12">
        <v>43115</v>
      </c>
      <c r="B11796">
        <v>2018</v>
      </c>
      <c r="C11796">
        <v>1</v>
      </c>
      <c r="D11796" s="11">
        <v>43101</v>
      </c>
      <c r="E11796" t="s">
        <v>2173</v>
      </c>
      <c r="F11796">
        <v>1</v>
      </c>
      <c r="G11796" t="s">
        <v>61</v>
      </c>
      <c r="H11796" t="s">
        <v>42</v>
      </c>
      <c r="I11796" t="s">
        <v>2190</v>
      </c>
      <c r="J11796" s="10">
        <v>5.1</v>
      </c>
      <c r="K11796" t="b">
        <v>1</v>
      </c>
    </row>
    <row r="11797" spans="1:11">
      <c r="A11797" s="12">
        <v>43115</v>
      </c>
      <c r="B11797">
        <v>2018</v>
      </c>
      <c r="C11797">
        <v>1</v>
      </c>
      <c r="D11797" s="11">
        <v>43101</v>
      </c>
      <c r="E11797" t="s">
        <v>2173</v>
      </c>
      <c r="F11797">
        <v>1</v>
      </c>
      <c r="G11797" t="s">
        <v>61</v>
      </c>
      <c r="H11797" t="s">
        <v>43</v>
      </c>
      <c r="I11797" t="s">
        <v>2191</v>
      </c>
      <c r="J11797" s="10">
        <v>26</v>
      </c>
      <c r="K11797" t="b">
        <v>1</v>
      </c>
    </row>
    <row r="11798" spans="1:11">
      <c r="A11798" s="12">
        <v>43115</v>
      </c>
      <c r="B11798">
        <v>2018</v>
      </c>
      <c r="C11798">
        <v>1</v>
      </c>
      <c r="D11798" s="11">
        <v>43101</v>
      </c>
      <c r="E11798" t="s">
        <v>2173</v>
      </c>
      <c r="F11798">
        <v>1</v>
      </c>
      <c r="G11798" t="s">
        <v>61</v>
      </c>
      <c r="H11798" t="s">
        <v>44</v>
      </c>
      <c r="I11798" t="s">
        <v>2192</v>
      </c>
      <c r="J11798" s="10">
        <v>8</v>
      </c>
      <c r="K11798" t="b">
        <v>1</v>
      </c>
    </row>
    <row r="11799" spans="1:11">
      <c r="A11799" s="12">
        <v>43115</v>
      </c>
      <c r="B11799">
        <v>2018</v>
      </c>
      <c r="C11799">
        <v>1</v>
      </c>
      <c r="D11799" s="11">
        <v>43101</v>
      </c>
      <c r="E11799" t="s">
        <v>2173</v>
      </c>
      <c r="F11799">
        <v>1</v>
      </c>
      <c r="G11799" t="s">
        <v>61</v>
      </c>
      <c r="H11799" t="s">
        <v>45</v>
      </c>
      <c r="I11799" t="s">
        <v>2193</v>
      </c>
      <c r="J11799" s="10">
        <v>0</v>
      </c>
      <c r="K11799" t="b">
        <v>1</v>
      </c>
    </row>
    <row r="11800" spans="1:11">
      <c r="A11800" s="12">
        <v>43115</v>
      </c>
      <c r="B11800">
        <v>2018</v>
      </c>
      <c r="C11800">
        <v>1</v>
      </c>
      <c r="D11800" s="11">
        <v>43101</v>
      </c>
      <c r="E11800" t="s">
        <v>2173</v>
      </c>
      <c r="F11800">
        <v>1</v>
      </c>
      <c r="G11800" t="s">
        <v>61</v>
      </c>
      <c r="H11800" t="s">
        <v>46</v>
      </c>
      <c r="I11800" t="s">
        <v>2194</v>
      </c>
      <c r="J11800" s="10">
        <v>15</v>
      </c>
      <c r="K11800" t="b">
        <v>1</v>
      </c>
    </row>
    <row r="11801" spans="1:11">
      <c r="A11801" s="12">
        <v>43115</v>
      </c>
      <c r="B11801">
        <v>2018</v>
      </c>
      <c r="C11801">
        <v>1</v>
      </c>
      <c r="D11801" s="11">
        <v>43101</v>
      </c>
      <c r="E11801" t="s">
        <v>2173</v>
      </c>
      <c r="F11801">
        <v>1</v>
      </c>
      <c r="G11801" t="s">
        <v>61</v>
      </c>
      <c r="H11801" t="s">
        <v>47</v>
      </c>
      <c r="I11801" t="s">
        <v>2195</v>
      </c>
      <c r="J11801" s="10">
        <v>2</v>
      </c>
      <c r="K11801" t="b">
        <v>1</v>
      </c>
    </row>
    <row r="11802" spans="1:11">
      <c r="A11802" s="12">
        <v>43116</v>
      </c>
      <c r="B11802">
        <v>2018</v>
      </c>
      <c r="C11802">
        <v>1</v>
      </c>
      <c r="D11802" s="11">
        <v>43101</v>
      </c>
      <c r="E11802" t="s">
        <v>2173</v>
      </c>
      <c r="F11802">
        <v>2</v>
      </c>
      <c r="G11802" t="s">
        <v>63</v>
      </c>
      <c r="H11802" t="s">
        <v>40</v>
      </c>
      <c r="I11802" t="s">
        <v>2188</v>
      </c>
      <c r="J11802" s="10">
        <v>6.34</v>
      </c>
      <c r="K11802" t="b">
        <v>1</v>
      </c>
    </row>
    <row r="11803" spans="1:11">
      <c r="A11803" s="12">
        <v>43116</v>
      </c>
      <c r="B11803">
        <v>2018</v>
      </c>
      <c r="C11803">
        <v>1</v>
      </c>
      <c r="D11803" s="11">
        <v>43101</v>
      </c>
      <c r="E11803" t="s">
        <v>2173</v>
      </c>
      <c r="F11803">
        <v>2</v>
      </c>
      <c r="G11803" t="s">
        <v>63</v>
      </c>
      <c r="H11803" t="s">
        <v>41</v>
      </c>
      <c r="I11803" t="s">
        <v>2189</v>
      </c>
      <c r="J11803" s="10">
        <v>2.67</v>
      </c>
      <c r="K11803" t="b">
        <v>1</v>
      </c>
    </row>
    <row r="11804" spans="1:11">
      <c r="A11804" s="12">
        <v>43116</v>
      </c>
      <c r="B11804">
        <v>2018</v>
      </c>
      <c r="C11804">
        <v>1</v>
      </c>
      <c r="D11804" s="11">
        <v>43101</v>
      </c>
      <c r="E11804" t="s">
        <v>2173</v>
      </c>
      <c r="F11804">
        <v>2</v>
      </c>
      <c r="G11804" t="s">
        <v>63</v>
      </c>
      <c r="H11804" t="s">
        <v>42</v>
      </c>
      <c r="I11804" t="s">
        <v>2190</v>
      </c>
      <c r="J11804" s="10">
        <v>3</v>
      </c>
      <c r="K11804" t="b">
        <v>1</v>
      </c>
    </row>
    <row r="11805" spans="1:11">
      <c r="A11805" s="12">
        <v>43116</v>
      </c>
      <c r="B11805">
        <v>2018</v>
      </c>
      <c r="C11805">
        <v>1</v>
      </c>
      <c r="D11805" s="11">
        <v>43101</v>
      </c>
      <c r="E11805" t="s">
        <v>2173</v>
      </c>
      <c r="F11805">
        <v>2</v>
      </c>
      <c r="G11805" t="s">
        <v>63</v>
      </c>
      <c r="H11805" t="s">
        <v>43</v>
      </c>
      <c r="I11805" t="s">
        <v>2191</v>
      </c>
      <c r="J11805" s="10">
        <v>18</v>
      </c>
      <c r="K11805" t="b">
        <v>1</v>
      </c>
    </row>
    <row r="11806" spans="1:11">
      <c r="A11806" s="12">
        <v>43116</v>
      </c>
      <c r="B11806">
        <v>2018</v>
      </c>
      <c r="C11806">
        <v>1</v>
      </c>
      <c r="D11806" s="11">
        <v>43101</v>
      </c>
      <c r="E11806" t="s">
        <v>2173</v>
      </c>
      <c r="F11806">
        <v>2</v>
      </c>
      <c r="G11806" t="s">
        <v>63</v>
      </c>
      <c r="H11806" t="s">
        <v>44</v>
      </c>
      <c r="I11806" t="s">
        <v>2192</v>
      </c>
      <c r="J11806" s="10">
        <v>2</v>
      </c>
      <c r="K11806" t="b">
        <v>1</v>
      </c>
    </row>
    <row r="11807" spans="1:11">
      <c r="A11807" s="12">
        <v>43116</v>
      </c>
      <c r="B11807">
        <v>2018</v>
      </c>
      <c r="C11807">
        <v>1</v>
      </c>
      <c r="D11807" s="11">
        <v>43101</v>
      </c>
      <c r="E11807" t="s">
        <v>2173</v>
      </c>
      <c r="F11807">
        <v>2</v>
      </c>
      <c r="G11807" t="s">
        <v>63</v>
      </c>
      <c r="H11807" t="s">
        <v>45</v>
      </c>
      <c r="I11807" t="s">
        <v>2193</v>
      </c>
      <c r="J11807" s="10">
        <v>0</v>
      </c>
      <c r="K11807" t="b">
        <v>1</v>
      </c>
    </row>
    <row r="11808" spans="1:11">
      <c r="A11808" s="12">
        <v>43116</v>
      </c>
      <c r="B11808">
        <v>2018</v>
      </c>
      <c r="C11808">
        <v>1</v>
      </c>
      <c r="D11808" s="11">
        <v>43101</v>
      </c>
      <c r="E11808" t="s">
        <v>2173</v>
      </c>
      <c r="F11808">
        <v>2</v>
      </c>
      <c r="G11808" t="s">
        <v>63</v>
      </c>
      <c r="H11808" t="s">
        <v>46</v>
      </c>
      <c r="I11808" t="s">
        <v>2194</v>
      </c>
      <c r="J11808" s="10">
        <v>8</v>
      </c>
      <c r="K11808" t="b">
        <v>1</v>
      </c>
    </row>
    <row r="11809" spans="1:11">
      <c r="A11809" s="12">
        <v>43116</v>
      </c>
      <c r="B11809">
        <v>2018</v>
      </c>
      <c r="C11809">
        <v>1</v>
      </c>
      <c r="D11809" s="11">
        <v>43101</v>
      </c>
      <c r="E11809" t="s">
        <v>2173</v>
      </c>
      <c r="F11809">
        <v>2</v>
      </c>
      <c r="G11809" t="s">
        <v>63</v>
      </c>
      <c r="H11809" t="s">
        <v>47</v>
      </c>
      <c r="I11809" t="s">
        <v>2195</v>
      </c>
      <c r="J11809" s="10">
        <v>0</v>
      </c>
      <c r="K11809" t="b">
        <v>1</v>
      </c>
    </row>
    <row r="11810" spans="1:11">
      <c r="A11810" s="12">
        <v>43117</v>
      </c>
      <c r="B11810">
        <v>2018</v>
      </c>
      <c r="C11810">
        <v>1</v>
      </c>
      <c r="D11810" s="11">
        <v>43101</v>
      </c>
      <c r="E11810" t="s">
        <v>2173</v>
      </c>
      <c r="F11810">
        <v>3</v>
      </c>
      <c r="G11810" t="s">
        <v>65</v>
      </c>
      <c r="H11810" t="s">
        <v>40</v>
      </c>
      <c r="I11810" t="s">
        <v>2188</v>
      </c>
      <c r="J11810" s="10">
        <v>6.67</v>
      </c>
      <c r="K11810" t="b">
        <v>1</v>
      </c>
    </row>
    <row r="11811" spans="1:11">
      <c r="A11811" s="12">
        <v>43117</v>
      </c>
      <c r="B11811">
        <v>2018</v>
      </c>
      <c r="C11811">
        <v>1</v>
      </c>
      <c r="D11811" s="11">
        <v>43101</v>
      </c>
      <c r="E11811" t="s">
        <v>2173</v>
      </c>
      <c r="F11811">
        <v>3</v>
      </c>
      <c r="G11811" t="s">
        <v>65</v>
      </c>
      <c r="H11811" t="s">
        <v>41</v>
      </c>
      <c r="I11811" t="s">
        <v>2189</v>
      </c>
      <c r="J11811" s="10">
        <v>2.85</v>
      </c>
      <c r="K11811" t="b">
        <v>1</v>
      </c>
    </row>
    <row r="11812" spans="1:11">
      <c r="A11812" s="12">
        <v>43117</v>
      </c>
      <c r="B11812">
        <v>2018</v>
      </c>
      <c r="C11812">
        <v>1</v>
      </c>
      <c r="D11812" s="11">
        <v>43101</v>
      </c>
      <c r="E11812" t="s">
        <v>2173</v>
      </c>
      <c r="F11812">
        <v>3</v>
      </c>
      <c r="G11812" t="s">
        <v>65</v>
      </c>
      <c r="H11812" t="s">
        <v>42</v>
      </c>
      <c r="I11812" t="s">
        <v>2190</v>
      </c>
      <c r="J11812" s="10">
        <v>2</v>
      </c>
      <c r="K11812" t="b">
        <v>1</v>
      </c>
    </row>
    <row r="11813" spans="1:11">
      <c r="A11813" s="12">
        <v>43117</v>
      </c>
      <c r="B11813">
        <v>2018</v>
      </c>
      <c r="C11813">
        <v>1</v>
      </c>
      <c r="D11813" s="11">
        <v>43101</v>
      </c>
      <c r="E11813" t="s">
        <v>2173</v>
      </c>
      <c r="F11813">
        <v>3</v>
      </c>
      <c r="G11813" t="s">
        <v>65</v>
      </c>
      <c r="H11813" t="s">
        <v>43</v>
      </c>
      <c r="I11813" t="s">
        <v>2191</v>
      </c>
      <c r="J11813" s="10">
        <v>30.2</v>
      </c>
      <c r="K11813" t="b">
        <v>1</v>
      </c>
    </row>
    <row r="11814" spans="1:11">
      <c r="A11814" s="12">
        <v>43117</v>
      </c>
      <c r="B11814">
        <v>2018</v>
      </c>
      <c r="C11814">
        <v>1</v>
      </c>
      <c r="D11814" s="11">
        <v>43101</v>
      </c>
      <c r="E11814" t="s">
        <v>2173</v>
      </c>
      <c r="F11814">
        <v>3</v>
      </c>
      <c r="G11814" t="s">
        <v>65</v>
      </c>
      <c r="H11814" t="s">
        <v>44</v>
      </c>
      <c r="I11814" t="s">
        <v>2192</v>
      </c>
      <c r="J11814" s="10">
        <v>10</v>
      </c>
      <c r="K11814" t="b">
        <v>1</v>
      </c>
    </row>
    <row r="11815" spans="1:11">
      <c r="A11815" s="12">
        <v>43117</v>
      </c>
      <c r="B11815">
        <v>2018</v>
      </c>
      <c r="C11815">
        <v>1</v>
      </c>
      <c r="D11815" s="11">
        <v>43101</v>
      </c>
      <c r="E11815" t="s">
        <v>2173</v>
      </c>
      <c r="F11815">
        <v>3</v>
      </c>
      <c r="G11815" t="s">
        <v>65</v>
      </c>
      <c r="H11815" t="s">
        <v>45</v>
      </c>
      <c r="I11815" t="s">
        <v>2193</v>
      </c>
      <c r="J11815" s="10">
        <v>2</v>
      </c>
      <c r="K11815" t="b">
        <v>1</v>
      </c>
    </row>
    <row r="11816" spans="1:11">
      <c r="A11816" s="12">
        <v>43117</v>
      </c>
      <c r="B11816">
        <v>2018</v>
      </c>
      <c r="C11816">
        <v>1</v>
      </c>
      <c r="D11816" s="11">
        <v>43101</v>
      </c>
      <c r="E11816" t="s">
        <v>2173</v>
      </c>
      <c r="F11816">
        <v>3</v>
      </c>
      <c r="G11816" t="s">
        <v>65</v>
      </c>
      <c r="H11816" t="s">
        <v>46</v>
      </c>
      <c r="I11816" t="s">
        <v>2194</v>
      </c>
      <c r="J11816" s="10">
        <v>41</v>
      </c>
      <c r="K11816" t="b">
        <v>1</v>
      </c>
    </row>
    <row r="11817" spans="1:11">
      <c r="A11817" s="12">
        <v>43117</v>
      </c>
      <c r="B11817">
        <v>2018</v>
      </c>
      <c r="C11817">
        <v>1</v>
      </c>
      <c r="D11817" s="11">
        <v>43101</v>
      </c>
      <c r="E11817" t="s">
        <v>2173</v>
      </c>
      <c r="F11817">
        <v>3</v>
      </c>
      <c r="G11817" t="s">
        <v>65</v>
      </c>
      <c r="H11817" t="s">
        <v>47</v>
      </c>
      <c r="I11817" t="s">
        <v>2195</v>
      </c>
      <c r="J11817" s="10">
        <v>2</v>
      </c>
      <c r="K11817" t="b">
        <v>1</v>
      </c>
    </row>
    <row r="11818" spans="1:11">
      <c r="A11818" s="12">
        <v>43118</v>
      </c>
      <c r="B11818">
        <v>2018</v>
      </c>
      <c r="C11818">
        <v>1</v>
      </c>
      <c r="D11818" s="11">
        <v>43101</v>
      </c>
      <c r="E11818" t="s">
        <v>2173</v>
      </c>
      <c r="F11818">
        <v>4</v>
      </c>
      <c r="G11818" t="s">
        <v>53</v>
      </c>
      <c r="H11818" t="s">
        <v>40</v>
      </c>
      <c r="I11818" t="s">
        <v>2188</v>
      </c>
      <c r="J11818" s="10">
        <v>4.33</v>
      </c>
      <c r="K11818" t="b">
        <v>1</v>
      </c>
    </row>
    <row r="11819" spans="1:11">
      <c r="A11819" s="12">
        <v>43118</v>
      </c>
      <c r="B11819">
        <v>2018</v>
      </c>
      <c r="C11819">
        <v>1</v>
      </c>
      <c r="D11819" s="11">
        <v>43101</v>
      </c>
      <c r="E11819" t="s">
        <v>2173</v>
      </c>
      <c r="F11819">
        <v>4</v>
      </c>
      <c r="G11819" t="s">
        <v>53</v>
      </c>
      <c r="H11819" t="s">
        <v>41</v>
      </c>
      <c r="I11819" t="s">
        <v>2189</v>
      </c>
      <c r="J11819" s="10">
        <v>3.726</v>
      </c>
      <c r="K11819" t="b">
        <v>1</v>
      </c>
    </row>
    <row r="11820" spans="1:11">
      <c r="A11820" s="12">
        <v>43118</v>
      </c>
      <c r="B11820">
        <v>2018</v>
      </c>
      <c r="C11820">
        <v>1</v>
      </c>
      <c r="D11820" s="11">
        <v>43101</v>
      </c>
      <c r="E11820" t="s">
        <v>2173</v>
      </c>
      <c r="F11820">
        <v>4</v>
      </c>
      <c r="G11820" t="s">
        <v>53</v>
      </c>
      <c r="H11820" t="s">
        <v>42</v>
      </c>
      <c r="I11820" t="s">
        <v>2190</v>
      </c>
      <c r="J11820" s="10">
        <v>4</v>
      </c>
      <c r="K11820" t="b">
        <v>1</v>
      </c>
    </row>
    <row r="11821" spans="1:11">
      <c r="A11821" s="12">
        <v>43118</v>
      </c>
      <c r="B11821">
        <v>2018</v>
      </c>
      <c r="C11821">
        <v>1</v>
      </c>
      <c r="D11821" s="11">
        <v>43101</v>
      </c>
      <c r="E11821" t="s">
        <v>2173</v>
      </c>
      <c r="F11821">
        <v>4</v>
      </c>
      <c r="G11821" t="s">
        <v>53</v>
      </c>
      <c r="H11821" t="s">
        <v>43</v>
      </c>
      <c r="I11821" t="s">
        <v>2191</v>
      </c>
      <c r="J11821" s="10">
        <v>58.4</v>
      </c>
      <c r="K11821" t="b">
        <v>1</v>
      </c>
    </row>
    <row r="11822" spans="1:11">
      <c r="A11822" s="12">
        <v>43118</v>
      </c>
      <c r="B11822">
        <v>2018</v>
      </c>
      <c r="C11822">
        <v>1</v>
      </c>
      <c r="D11822" s="11">
        <v>43101</v>
      </c>
      <c r="E11822" t="s">
        <v>2173</v>
      </c>
      <c r="F11822">
        <v>4</v>
      </c>
      <c r="G11822" t="s">
        <v>53</v>
      </c>
      <c r="H11822" t="s">
        <v>44</v>
      </c>
      <c r="I11822" t="s">
        <v>2192</v>
      </c>
      <c r="J11822" s="10">
        <v>9</v>
      </c>
      <c r="K11822" t="b">
        <v>1</v>
      </c>
    </row>
    <row r="11823" spans="1:11">
      <c r="A11823" s="12">
        <v>43118</v>
      </c>
      <c r="B11823">
        <v>2018</v>
      </c>
      <c r="C11823">
        <v>1</v>
      </c>
      <c r="D11823" s="11">
        <v>43101</v>
      </c>
      <c r="E11823" t="s">
        <v>2173</v>
      </c>
      <c r="F11823">
        <v>4</v>
      </c>
      <c r="G11823" t="s">
        <v>53</v>
      </c>
      <c r="H11823" t="s">
        <v>45</v>
      </c>
      <c r="I11823" t="s">
        <v>2193</v>
      </c>
      <c r="J11823" s="10">
        <v>0</v>
      </c>
      <c r="K11823" t="b">
        <v>1</v>
      </c>
    </row>
    <row r="11824" spans="1:11">
      <c r="A11824" s="12">
        <v>43118</v>
      </c>
      <c r="B11824">
        <v>2018</v>
      </c>
      <c r="C11824">
        <v>1</v>
      </c>
      <c r="D11824" s="11">
        <v>43101</v>
      </c>
      <c r="E11824" t="s">
        <v>2173</v>
      </c>
      <c r="F11824">
        <v>4</v>
      </c>
      <c r="G11824" t="s">
        <v>53</v>
      </c>
      <c r="H11824" t="s">
        <v>46</v>
      </c>
      <c r="I11824" t="s">
        <v>2194</v>
      </c>
      <c r="J11824" s="10">
        <v>2</v>
      </c>
      <c r="K11824" t="b">
        <v>1</v>
      </c>
    </row>
    <row r="11825" spans="1:11">
      <c r="A11825" s="12">
        <v>43118</v>
      </c>
      <c r="B11825">
        <v>2018</v>
      </c>
      <c r="C11825">
        <v>1</v>
      </c>
      <c r="D11825" s="11">
        <v>43101</v>
      </c>
      <c r="E11825" t="s">
        <v>2173</v>
      </c>
      <c r="F11825">
        <v>4</v>
      </c>
      <c r="G11825" t="s">
        <v>53</v>
      </c>
      <c r="H11825" t="s">
        <v>47</v>
      </c>
      <c r="I11825" t="s">
        <v>2195</v>
      </c>
      <c r="J11825" s="10">
        <v>1</v>
      </c>
      <c r="K11825" t="b">
        <v>1</v>
      </c>
    </row>
    <row r="11826" spans="1:11">
      <c r="A11826" s="12">
        <v>43119</v>
      </c>
      <c r="B11826">
        <v>2018</v>
      </c>
      <c r="C11826">
        <v>1</v>
      </c>
      <c r="D11826" s="11">
        <v>43101</v>
      </c>
      <c r="E11826" t="s">
        <v>2173</v>
      </c>
      <c r="F11826">
        <v>5</v>
      </c>
      <c r="G11826" t="s">
        <v>55</v>
      </c>
      <c r="H11826" t="s">
        <v>40</v>
      </c>
      <c r="I11826" t="s">
        <v>2188</v>
      </c>
      <c r="J11826" s="10">
        <v>6.33</v>
      </c>
      <c r="K11826" t="b">
        <v>1</v>
      </c>
    </row>
    <row r="11827" spans="1:11">
      <c r="A11827" s="12">
        <v>43119</v>
      </c>
      <c r="B11827">
        <v>2018</v>
      </c>
      <c r="C11827">
        <v>1</v>
      </c>
      <c r="D11827" s="11">
        <v>43101</v>
      </c>
      <c r="E11827" t="s">
        <v>2173</v>
      </c>
      <c r="F11827">
        <v>5</v>
      </c>
      <c r="G11827" t="s">
        <v>55</v>
      </c>
      <c r="H11827" t="s">
        <v>41</v>
      </c>
      <c r="I11827" t="s">
        <v>2189</v>
      </c>
      <c r="J11827" s="10">
        <v>2.528</v>
      </c>
      <c r="K11827" t="b">
        <v>1</v>
      </c>
    </row>
    <row r="11828" spans="1:11">
      <c r="A11828" s="12">
        <v>43119</v>
      </c>
      <c r="B11828">
        <v>2018</v>
      </c>
      <c r="C11828">
        <v>1</v>
      </c>
      <c r="D11828" s="11">
        <v>43101</v>
      </c>
      <c r="E11828" t="s">
        <v>2173</v>
      </c>
      <c r="F11828">
        <v>5</v>
      </c>
      <c r="G11828" t="s">
        <v>55</v>
      </c>
      <c r="H11828" t="s">
        <v>42</v>
      </c>
      <c r="I11828" t="s">
        <v>2190</v>
      </c>
      <c r="J11828" s="10">
        <v>3</v>
      </c>
      <c r="K11828" t="b">
        <v>1</v>
      </c>
    </row>
    <row r="11829" spans="1:11">
      <c r="A11829" s="12">
        <v>43119</v>
      </c>
      <c r="B11829">
        <v>2018</v>
      </c>
      <c r="C11829">
        <v>1</v>
      </c>
      <c r="D11829" s="11">
        <v>43101</v>
      </c>
      <c r="E11829" t="s">
        <v>2173</v>
      </c>
      <c r="F11829">
        <v>5</v>
      </c>
      <c r="G11829" t="s">
        <v>55</v>
      </c>
      <c r="H11829" t="s">
        <v>43</v>
      </c>
      <c r="I11829" t="s">
        <v>2191</v>
      </c>
      <c r="J11829" s="10">
        <v>23.4</v>
      </c>
      <c r="K11829" t="b">
        <v>1</v>
      </c>
    </row>
    <row r="11830" spans="1:11">
      <c r="A11830" s="12">
        <v>43119</v>
      </c>
      <c r="B11830">
        <v>2018</v>
      </c>
      <c r="C11830">
        <v>1</v>
      </c>
      <c r="D11830" s="11">
        <v>43101</v>
      </c>
      <c r="E11830" t="s">
        <v>2173</v>
      </c>
      <c r="F11830">
        <v>5</v>
      </c>
      <c r="G11830" t="s">
        <v>55</v>
      </c>
      <c r="H11830" t="s">
        <v>44</v>
      </c>
      <c r="I11830" t="s">
        <v>2192</v>
      </c>
      <c r="J11830" s="10">
        <v>12</v>
      </c>
      <c r="K11830" t="b">
        <v>1</v>
      </c>
    </row>
    <row r="11831" spans="1:11">
      <c r="A11831" s="12">
        <v>43119</v>
      </c>
      <c r="B11831">
        <v>2018</v>
      </c>
      <c r="C11831">
        <v>1</v>
      </c>
      <c r="D11831" s="11">
        <v>43101</v>
      </c>
      <c r="E11831" t="s">
        <v>2173</v>
      </c>
      <c r="F11831">
        <v>5</v>
      </c>
      <c r="G11831" t="s">
        <v>55</v>
      </c>
      <c r="H11831" t="s">
        <v>45</v>
      </c>
      <c r="I11831" t="s">
        <v>2193</v>
      </c>
      <c r="J11831" s="10">
        <v>0</v>
      </c>
      <c r="K11831" t="b">
        <v>1</v>
      </c>
    </row>
    <row r="11832" spans="1:11">
      <c r="A11832" s="12">
        <v>43119</v>
      </c>
      <c r="B11832">
        <v>2018</v>
      </c>
      <c r="C11832">
        <v>1</v>
      </c>
      <c r="D11832" s="11">
        <v>43101</v>
      </c>
      <c r="E11832" t="s">
        <v>2173</v>
      </c>
      <c r="F11832">
        <v>5</v>
      </c>
      <c r="G11832" t="s">
        <v>55</v>
      </c>
      <c r="H11832" t="s">
        <v>46</v>
      </c>
      <c r="I11832" t="s">
        <v>2194</v>
      </c>
      <c r="J11832" s="10">
        <v>3</v>
      </c>
      <c r="K11832" t="b">
        <v>1</v>
      </c>
    </row>
    <row r="11833" spans="1:11">
      <c r="A11833" s="12">
        <v>43119</v>
      </c>
      <c r="B11833">
        <v>2018</v>
      </c>
      <c r="C11833">
        <v>1</v>
      </c>
      <c r="D11833" s="11">
        <v>43101</v>
      </c>
      <c r="E11833" t="s">
        <v>2173</v>
      </c>
      <c r="F11833">
        <v>5</v>
      </c>
      <c r="G11833" t="s">
        <v>55</v>
      </c>
      <c r="H11833" t="s">
        <v>47</v>
      </c>
      <c r="I11833" t="s">
        <v>2195</v>
      </c>
      <c r="J11833" s="10">
        <v>1</v>
      </c>
      <c r="K11833" t="b">
        <v>1</v>
      </c>
    </row>
    <row r="11834" spans="1:11">
      <c r="A11834" s="12">
        <v>43120</v>
      </c>
      <c r="B11834">
        <v>2018</v>
      </c>
      <c r="C11834">
        <v>1</v>
      </c>
      <c r="D11834" s="11">
        <v>43101</v>
      </c>
      <c r="E11834" t="s">
        <v>2173</v>
      </c>
      <c r="F11834">
        <v>6</v>
      </c>
      <c r="G11834" t="s">
        <v>57</v>
      </c>
      <c r="H11834" t="s">
        <v>40</v>
      </c>
      <c r="I11834" t="s">
        <v>2188</v>
      </c>
      <c r="J11834" s="10">
        <v>2.66</v>
      </c>
      <c r="K11834" t="b">
        <v>1</v>
      </c>
    </row>
    <row r="11835" spans="1:11">
      <c r="A11835" s="12">
        <v>43120</v>
      </c>
      <c r="B11835">
        <v>2018</v>
      </c>
      <c r="C11835">
        <v>1</v>
      </c>
      <c r="D11835" s="11">
        <v>43101</v>
      </c>
      <c r="E11835" t="s">
        <v>2173</v>
      </c>
      <c r="F11835">
        <v>6</v>
      </c>
      <c r="G11835" t="s">
        <v>57</v>
      </c>
      <c r="H11835" t="s">
        <v>41</v>
      </c>
      <c r="I11835" t="s">
        <v>2189</v>
      </c>
      <c r="J11835" s="10">
        <v>2.32</v>
      </c>
      <c r="K11835" t="b">
        <v>1</v>
      </c>
    </row>
    <row r="11836" spans="1:11">
      <c r="A11836" s="12">
        <v>43120</v>
      </c>
      <c r="B11836">
        <v>2018</v>
      </c>
      <c r="C11836">
        <v>1</v>
      </c>
      <c r="D11836" s="11">
        <v>43101</v>
      </c>
      <c r="E11836" t="s">
        <v>2173</v>
      </c>
      <c r="F11836">
        <v>6</v>
      </c>
      <c r="G11836" t="s">
        <v>57</v>
      </c>
      <c r="H11836" t="s">
        <v>42</v>
      </c>
      <c r="I11836" t="s">
        <v>2190</v>
      </c>
      <c r="J11836" s="10">
        <v>2</v>
      </c>
      <c r="K11836" t="b">
        <v>1</v>
      </c>
    </row>
    <row r="11837" spans="1:11">
      <c r="A11837" s="12">
        <v>43120</v>
      </c>
      <c r="B11837">
        <v>2018</v>
      </c>
      <c r="C11837">
        <v>1</v>
      </c>
      <c r="D11837" s="11">
        <v>43101</v>
      </c>
      <c r="E11837" t="s">
        <v>2173</v>
      </c>
      <c r="F11837">
        <v>6</v>
      </c>
      <c r="G11837" t="s">
        <v>57</v>
      </c>
      <c r="H11837" t="s">
        <v>43</v>
      </c>
      <c r="I11837" t="s">
        <v>2191</v>
      </c>
      <c r="J11837" s="10">
        <v>38</v>
      </c>
      <c r="K11837" t="b">
        <v>1</v>
      </c>
    </row>
    <row r="11838" spans="1:11">
      <c r="A11838" s="12">
        <v>43120</v>
      </c>
      <c r="B11838">
        <v>2018</v>
      </c>
      <c r="C11838">
        <v>1</v>
      </c>
      <c r="D11838" s="11">
        <v>43101</v>
      </c>
      <c r="E11838" t="s">
        <v>2173</v>
      </c>
      <c r="F11838">
        <v>6</v>
      </c>
      <c r="G11838" t="s">
        <v>57</v>
      </c>
      <c r="H11838" t="s">
        <v>44</v>
      </c>
      <c r="I11838" t="s">
        <v>2192</v>
      </c>
      <c r="J11838" s="10">
        <v>2</v>
      </c>
      <c r="K11838" t="b">
        <v>1</v>
      </c>
    </row>
    <row r="11839" spans="1:11">
      <c r="A11839" s="12">
        <v>43120</v>
      </c>
      <c r="B11839">
        <v>2018</v>
      </c>
      <c r="C11839">
        <v>1</v>
      </c>
      <c r="D11839" s="11">
        <v>43101</v>
      </c>
      <c r="E11839" t="s">
        <v>2173</v>
      </c>
      <c r="F11839">
        <v>6</v>
      </c>
      <c r="G11839" t="s">
        <v>57</v>
      </c>
      <c r="H11839" t="s">
        <v>45</v>
      </c>
      <c r="I11839" t="s">
        <v>2193</v>
      </c>
      <c r="J11839" s="10">
        <v>0</v>
      </c>
      <c r="K11839" t="b">
        <v>1</v>
      </c>
    </row>
    <row r="11840" spans="1:11">
      <c r="A11840" s="12">
        <v>43120</v>
      </c>
      <c r="B11840">
        <v>2018</v>
      </c>
      <c r="C11840">
        <v>1</v>
      </c>
      <c r="D11840" s="11">
        <v>43101</v>
      </c>
      <c r="E11840" t="s">
        <v>2173</v>
      </c>
      <c r="F11840">
        <v>6</v>
      </c>
      <c r="G11840" t="s">
        <v>57</v>
      </c>
      <c r="H11840" t="s">
        <v>46</v>
      </c>
      <c r="I11840" t="s">
        <v>2194</v>
      </c>
      <c r="J11840" s="10">
        <v>5</v>
      </c>
      <c r="K11840" t="b">
        <v>1</v>
      </c>
    </row>
    <row r="11841" spans="1:11">
      <c r="A11841" s="12">
        <v>43120</v>
      </c>
      <c r="B11841">
        <v>2018</v>
      </c>
      <c r="C11841">
        <v>1</v>
      </c>
      <c r="D11841" s="11">
        <v>43101</v>
      </c>
      <c r="E11841" t="s">
        <v>2173</v>
      </c>
      <c r="F11841">
        <v>6</v>
      </c>
      <c r="G11841" t="s">
        <v>57</v>
      </c>
      <c r="H11841" t="s">
        <v>47</v>
      </c>
      <c r="I11841" t="s">
        <v>2195</v>
      </c>
      <c r="J11841" s="10">
        <v>0</v>
      </c>
      <c r="K11841" t="b">
        <v>1</v>
      </c>
    </row>
    <row r="11842" spans="1:11">
      <c r="A11842" s="12">
        <v>43121</v>
      </c>
      <c r="B11842">
        <v>2018</v>
      </c>
      <c r="C11842">
        <v>1</v>
      </c>
      <c r="D11842" s="11">
        <v>43101</v>
      </c>
      <c r="E11842" t="s">
        <v>2173</v>
      </c>
      <c r="F11842">
        <v>7</v>
      </c>
      <c r="G11842" t="s">
        <v>59</v>
      </c>
      <c r="H11842" t="s">
        <v>40</v>
      </c>
      <c r="I11842" t="s">
        <v>2188</v>
      </c>
      <c r="J11842" s="10">
        <v>3.33</v>
      </c>
      <c r="K11842" t="b">
        <v>1</v>
      </c>
    </row>
    <row r="11843" spans="1:11">
      <c r="A11843" s="12">
        <v>43121</v>
      </c>
      <c r="B11843">
        <v>2018</v>
      </c>
      <c r="C11843">
        <v>1</v>
      </c>
      <c r="D11843" s="11">
        <v>43101</v>
      </c>
      <c r="E11843" t="s">
        <v>2173</v>
      </c>
      <c r="F11843">
        <v>7</v>
      </c>
      <c r="G11843" t="s">
        <v>59</v>
      </c>
      <c r="H11843" t="s">
        <v>41</v>
      </c>
      <c r="I11843" t="s">
        <v>2189</v>
      </c>
      <c r="J11843" s="10">
        <v>3.53</v>
      </c>
      <c r="K11843" t="b">
        <v>1</v>
      </c>
    </row>
    <row r="11844" spans="1:11">
      <c r="A11844" s="12">
        <v>43121</v>
      </c>
      <c r="B11844">
        <v>2018</v>
      </c>
      <c r="C11844">
        <v>1</v>
      </c>
      <c r="D11844" s="11">
        <v>43101</v>
      </c>
      <c r="E11844" t="s">
        <v>2173</v>
      </c>
      <c r="F11844">
        <v>7</v>
      </c>
      <c r="G11844" t="s">
        <v>59</v>
      </c>
      <c r="H11844" t="s">
        <v>42</v>
      </c>
      <c r="I11844" t="s">
        <v>2190</v>
      </c>
      <c r="J11844" s="10">
        <v>3.4</v>
      </c>
      <c r="K11844" t="b">
        <v>1</v>
      </c>
    </row>
    <row r="11845" spans="1:11">
      <c r="A11845" s="12">
        <v>43121</v>
      </c>
      <c r="B11845">
        <v>2018</v>
      </c>
      <c r="C11845">
        <v>1</v>
      </c>
      <c r="D11845" s="11">
        <v>43101</v>
      </c>
      <c r="E11845" t="s">
        <v>2173</v>
      </c>
      <c r="F11845">
        <v>7</v>
      </c>
      <c r="G11845" t="s">
        <v>59</v>
      </c>
      <c r="H11845" t="s">
        <v>43</v>
      </c>
      <c r="I11845" t="s">
        <v>2191</v>
      </c>
      <c r="J11845" s="10">
        <v>32.8</v>
      </c>
      <c r="K11845" t="b">
        <v>1</v>
      </c>
    </row>
    <row r="11846" spans="1:11">
      <c r="A11846" s="12">
        <v>43121</v>
      </c>
      <c r="B11846">
        <v>2018</v>
      </c>
      <c r="C11846">
        <v>1</v>
      </c>
      <c r="D11846" s="11">
        <v>43101</v>
      </c>
      <c r="E11846" t="s">
        <v>2173</v>
      </c>
      <c r="F11846">
        <v>7</v>
      </c>
      <c r="G11846" t="s">
        <v>59</v>
      </c>
      <c r="H11846" t="s">
        <v>44</v>
      </c>
      <c r="I11846" t="s">
        <v>2192</v>
      </c>
      <c r="J11846" s="10">
        <v>6</v>
      </c>
      <c r="K11846" t="b">
        <v>1</v>
      </c>
    </row>
    <row r="11847" spans="1:11">
      <c r="A11847" s="12">
        <v>43121</v>
      </c>
      <c r="B11847">
        <v>2018</v>
      </c>
      <c r="C11847">
        <v>1</v>
      </c>
      <c r="D11847" s="11">
        <v>43101</v>
      </c>
      <c r="E11847" t="s">
        <v>2173</v>
      </c>
      <c r="F11847">
        <v>7</v>
      </c>
      <c r="G11847" t="s">
        <v>59</v>
      </c>
      <c r="H11847" t="s">
        <v>45</v>
      </c>
      <c r="I11847" t="s">
        <v>2193</v>
      </c>
      <c r="J11847" s="10">
        <v>0</v>
      </c>
      <c r="K11847" t="b">
        <v>1</v>
      </c>
    </row>
    <row r="11848" spans="1:11">
      <c r="A11848" s="12">
        <v>43121</v>
      </c>
      <c r="B11848">
        <v>2018</v>
      </c>
      <c r="C11848">
        <v>1</v>
      </c>
      <c r="D11848" s="11">
        <v>43101</v>
      </c>
      <c r="E11848" t="s">
        <v>2173</v>
      </c>
      <c r="F11848">
        <v>7</v>
      </c>
      <c r="G11848" t="s">
        <v>59</v>
      </c>
      <c r="H11848" t="s">
        <v>46</v>
      </c>
      <c r="I11848" t="s">
        <v>2194</v>
      </c>
      <c r="J11848" s="10">
        <v>1</v>
      </c>
      <c r="K11848" t="b">
        <v>1</v>
      </c>
    </row>
    <row r="11849" spans="1:11">
      <c r="A11849" s="12">
        <v>43121</v>
      </c>
      <c r="B11849">
        <v>2018</v>
      </c>
      <c r="C11849">
        <v>1</v>
      </c>
      <c r="D11849" s="11">
        <v>43101</v>
      </c>
      <c r="E11849" t="s">
        <v>2173</v>
      </c>
      <c r="F11849">
        <v>7</v>
      </c>
      <c r="G11849" t="s">
        <v>59</v>
      </c>
      <c r="H11849" t="s">
        <v>47</v>
      </c>
      <c r="I11849" t="s">
        <v>2195</v>
      </c>
      <c r="J11849" s="10">
        <v>3.5</v>
      </c>
      <c r="K11849" t="b">
        <v>1</v>
      </c>
    </row>
    <row r="11850" spans="1:11">
      <c r="A11850" s="12">
        <v>43122</v>
      </c>
      <c r="B11850">
        <v>2018</v>
      </c>
      <c r="C11850">
        <v>1</v>
      </c>
      <c r="D11850" s="11">
        <v>43101</v>
      </c>
      <c r="E11850" t="s">
        <v>2173</v>
      </c>
      <c r="F11850">
        <v>1</v>
      </c>
      <c r="G11850" t="s">
        <v>61</v>
      </c>
      <c r="H11850" t="s">
        <v>40</v>
      </c>
      <c r="I11850" t="s">
        <v>2188</v>
      </c>
      <c r="J11850" s="10">
        <v>6</v>
      </c>
      <c r="K11850" t="b">
        <v>1</v>
      </c>
    </row>
    <row r="11851" spans="1:11">
      <c r="A11851" s="12">
        <v>43122</v>
      </c>
      <c r="B11851">
        <v>2018</v>
      </c>
      <c r="C11851">
        <v>1</v>
      </c>
      <c r="D11851" s="11">
        <v>43101</v>
      </c>
      <c r="E11851" t="s">
        <v>2173</v>
      </c>
      <c r="F11851">
        <v>1</v>
      </c>
      <c r="G11851" t="s">
        <v>61</v>
      </c>
      <c r="H11851" t="s">
        <v>41</v>
      </c>
      <c r="I11851" t="s">
        <v>2189</v>
      </c>
      <c r="J11851" s="10">
        <v>3.396</v>
      </c>
      <c r="K11851" t="b">
        <v>1</v>
      </c>
    </row>
    <row r="11852" spans="1:11">
      <c r="A11852" s="12">
        <v>43122</v>
      </c>
      <c r="B11852">
        <v>2018</v>
      </c>
      <c r="C11852">
        <v>1</v>
      </c>
      <c r="D11852" s="11">
        <v>43101</v>
      </c>
      <c r="E11852" t="s">
        <v>2173</v>
      </c>
      <c r="F11852">
        <v>1</v>
      </c>
      <c r="G11852" t="s">
        <v>61</v>
      </c>
      <c r="H11852" t="s">
        <v>42</v>
      </c>
      <c r="I11852" t="s">
        <v>2190</v>
      </c>
      <c r="J11852" s="10">
        <v>6</v>
      </c>
      <c r="K11852" t="b">
        <v>1</v>
      </c>
    </row>
    <row r="11853" spans="1:11">
      <c r="A11853" s="12">
        <v>43122</v>
      </c>
      <c r="B11853">
        <v>2018</v>
      </c>
      <c r="C11853">
        <v>1</v>
      </c>
      <c r="D11853" s="11">
        <v>43101</v>
      </c>
      <c r="E11853" t="s">
        <v>2173</v>
      </c>
      <c r="F11853">
        <v>1</v>
      </c>
      <c r="G11853" t="s">
        <v>61</v>
      </c>
      <c r="H11853" t="s">
        <v>43</v>
      </c>
      <c r="I11853" t="s">
        <v>2191</v>
      </c>
      <c r="J11853" s="10">
        <v>29</v>
      </c>
      <c r="K11853" t="b">
        <v>1</v>
      </c>
    </row>
    <row r="11854" spans="1:11">
      <c r="A11854" s="12">
        <v>43122</v>
      </c>
      <c r="B11854">
        <v>2018</v>
      </c>
      <c r="C11854">
        <v>1</v>
      </c>
      <c r="D11854" s="11">
        <v>43101</v>
      </c>
      <c r="E11854" t="s">
        <v>2173</v>
      </c>
      <c r="F11854">
        <v>1</v>
      </c>
      <c r="G11854" t="s">
        <v>61</v>
      </c>
      <c r="H11854" t="s">
        <v>44</v>
      </c>
      <c r="I11854" t="s">
        <v>2192</v>
      </c>
      <c r="J11854" s="10">
        <v>5</v>
      </c>
      <c r="K11854" t="b">
        <v>1</v>
      </c>
    </row>
    <row r="11855" spans="1:11">
      <c r="A11855" s="12">
        <v>43122</v>
      </c>
      <c r="B11855">
        <v>2018</v>
      </c>
      <c r="C11855">
        <v>1</v>
      </c>
      <c r="D11855" s="11">
        <v>43101</v>
      </c>
      <c r="E11855" t="s">
        <v>2173</v>
      </c>
      <c r="F11855">
        <v>1</v>
      </c>
      <c r="G11855" t="s">
        <v>61</v>
      </c>
      <c r="H11855" t="s">
        <v>45</v>
      </c>
      <c r="I11855" t="s">
        <v>2193</v>
      </c>
      <c r="J11855" s="10">
        <v>0</v>
      </c>
      <c r="K11855" t="b">
        <v>1</v>
      </c>
    </row>
    <row r="11856" spans="1:11">
      <c r="A11856" s="12">
        <v>43122</v>
      </c>
      <c r="B11856">
        <v>2018</v>
      </c>
      <c r="C11856">
        <v>1</v>
      </c>
      <c r="D11856" s="11">
        <v>43101</v>
      </c>
      <c r="E11856" t="s">
        <v>2173</v>
      </c>
      <c r="F11856">
        <v>1</v>
      </c>
      <c r="G11856" t="s">
        <v>61</v>
      </c>
      <c r="H11856" t="s">
        <v>46</v>
      </c>
      <c r="I11856" t="s">
        <v>2194</v>
      </c>
      <c r="J11856" s="10">
        <v>6</v>
      </c>
      <c r="K11856" t="b">
        <v>1</v>
      </c>
    </row>
    <row r="11857" spans="1:11">
      <c r="A11857" s="12">
        <v>43122</v>
      </c>
      <c r="B11857">
        <v>2018</v>
      </c>
      <c r="C11857">
        <v>1</v>
      </c>
      <c r="D11857" s="11">
        <v>43101</v>
      </c>
      <c r="E11857" t="s">
        <v>2173</v>
      </c>
      <c r="F11857">
        <v>1</v>
      </c>
      <c r="G11857" t="s">
        <v>61</v>
      </c>
      <c r="H11857" t="s">
        <v>47</v>
      </c>
      <c r="I11857" t="s">
        <v>2195</v>
      </c>
      <c r="J11857" s="10">
        <v>1</v>
      </c>
      <c r="K11857" t="b">
        <v>1</v>
      </c>
    </row>
    <row r="11858" spans="1:11">
      <c r="A11858" s="12">
        <v>43123</v>
      </c>
      <c r="B11858">
        <v>2018</v>
      </c>
      <c r="C11858">
        <v>1</v>
      </c>
      <c r="D11858" s="11">
        <v>43101</v>
      </c>
      <c r="E11858" t="s">
        <v>2173</v>
      </c>
      <c r="F11858">
        <v>2</v>
      </c>
      <c r="G11858" t="s">
        <v>63</v>
      </c>
      <c r="H11858" t="s">
        <v>40</v>
      </c>
      <c r="I11858" t="s">
        <v>2188</v>
      </c>
      <c r="J11858" s="10">
        <v>1</v>
      </c>
      <c r="K11858" t="b">
        <v>1</v>
      </c>
    </row>
    <row r="11859" spans="1:11">
      <c r="A11859" s="12">
        <v>43123</v>
      </c>
      <c r="B11859">
        <v>2018</v>
      </c>
      <c r="C11859">
        <v>1</v>
      </c>
      <c r="D11859" s="11">
        <v>43101</v>
      </c>
      <c r="E11859" t="s">
        <v>2173</v>
      </c>
      <c r="F11859">
        <v>2</v>
      </c>
      <c r="G11859" t="s">
        <v>63</v>
      </c>
      <c r="H11859" t="s">
        <v>41</v>
      </c>
      <c r="I11859" t="s">
        <v>2189</v>
      </c>
      <c r="J11859" s="10">
        <v>1.066</v>
      </c>
      <c r="K11859" t="b">
        <v>1</v>
      </c>
    </row>
    <row r="11860" spans="1:11">
      <c r="A11860" s="12">
        <v>43123</v>
      </c>
      <c r="B11860">
        <v>2018</v>
      </c>
      <c r="C11860">
        <v>1</v>
      </c>
      <c r="D11860" s="11">
        <v>43101</v>
      </c>
      <c r="E11860" t="s">
        <v>2173</v>
      </c>
      <c r="F11860">
        <v>2</v>
      </c>
      <c r="G11860" t="s">
        <v>63</v>
      </c>
      <c r="H11860" t="s">
        <v>42</v>
      </c>
      <c r="I11860" t="s">
        <v>2190</v>
      </c>
      <c r="J11860" s="10">
        <v>4.6</v>
      </c>
      <c r="K11860" t="b">
        <v>1</v>
      </c>
    </row>
    <row r="11861" spans="1:11">
      <c r="A11861" s="12">
        <v>43123</v>
      </c>
      <c r="B11861">
        <v>2018</v>
      </c>
      <c r="C11861">
        <v>1</v>
      </c>
      <c r="D11861" s="11">
        <v>43101</v>
      </c>
      <c r="E11861" t="s">
        <v>2173</v>
      </c>
      <c r="F11861">
        <v>2</v>
      </c>
      <c r="G11861" t="s">
        <v>63</v>
      </c>
      <c r="H11861" t="s">
        <v>43</v>
      </c>
      <c r="I11861" t="s">
        <v>2191</v>
      </c>
      <c r="J11861" s="10">
        <v>38.6</v>
      </c>
      <c r="K11861" t="b">
        <v>1</v>
      </c>
    </row>
    <row r="11862" spans="1:11">
      <c r="A11862" s="12">
        <v>43123</v>
      </c>
      <c r="B11862">
        <v>2018</v>
      </c>
      <c r="C11862">
        <v>1</v>
      </c>
      <c r="D11862" s="11">
        <v>43101</v>
      </c>
      <c r="E11862" t="s">
        <v>2173</v>
      </c>
      <c r="F11862">
        <v>2</v>
      </c>
      <c r="G11862" t="s">
        <v>63</v>
      </c>
      <c r="H11862" t="s">
        <v>44</v>
      </c>
      <c r="I11862" t="s">
        <v>2192</v>
      </c>
      <c r="J11862" s="10">
        <v>4</v>
      </c>
      <c r="K11862" t="b">
        <v>1</v>
      </c>
    </row>
    <row r="11863" spans="1:11">
      <c r="A11863" s="12">
        <v>43123</v>
      </c>
      <c r="B11863">
        <v>2018</v>
      </c>
      <c r="C11863">
        <v>1</v>
      </c>
      <c r="D11863" s="11">
        <v>43101</v>
      </c>
      <c r="E11863" t="s">
        <v>2173</v>
      </c>
      <c r="F11863">
        <v>2</v>
      </c>
      <c r="G11863" t="s">
        <v>63</v>
      </c>
      <c r="H11863" t="s">
        <v>45</v>
      </c>
      <c r="I11863" t="s">
        <v>2193</v>
      </c>
      <c r="J11863" s="10">
        <v>0</v>
      </c>
      <c r="K11863" t="b">
        <v>1</v>
      </c>
    </row>
    <row r="11864" spans="1:11">
      <c r="A11864" s="12">
        <v>43123</v>
      </c>
      <c r="B11864">
        <v>2018</v>
      </c>
      <c r="C11864">
        <v>1</v>
      </c>
      <c r="D11864" s="11">
        <v>43101</v>
      </c>
      <c r="E11864" t="s">
        <v>2173</v>
      </c>
      <c r="F11864">
        <v>2</v>
      </c>
      <c r="G11864" t="s">
        <v>63</v>
      </c>
      <c r="H11864" t="s">
        <v>46</v>
      </c>
      <c r="I11864" t="s">
        <v>2194</v>
      </c>
      <c r="J11864" s="10">
        <v>5</v>
      </c>
      <c r="K11864" t="b">
        <v>1</v>
      </c>
    </row>
    <row r="11865" spans="1:11">
      <c r="A11865" s="12">
        <v>43123</v>
      </c>
      <c r="B11865">
        <v>2018</v>
      </c>
      <c r="C11865">
        <v>1</v>
      </c>
      <c r="D11865" s="11">
        <v>43101</v>
      </c>
      <c r="E11865" t="s">
        <v>2173</v>
      </c>
      <c r="F11865">
        <v>2</v>
      </c>
      <c r="G11865" t="s">
        <v>63</v>
      </c>
      <c r="H11865" t="s">
        <v>47</v>
      </c>
      <c r="I11865" t="s">
        <v>2195</v>
      </c>
      <c r="J11865" s="10">
        <v>1</v>
      </c>
      <c r="K11865" t="b">
        <v>1</v>
      </c>
    </row>
    <row r="11866" spans="1:11">
      <c r="A11866" s="12">
        <v>43124</v>
      </c>
      <c r="B11866">
        <v>2018</v>
      </c>
      <c r="C11866">
        <v>1</v>
      </c>
      <c r="D11866" s="11">
        <v>43101</v>
      </c>
      <c r="E11866" t="s">
        <v>2173</v>
      </c>
      <c r="F11866">
        <v>3</v>
      </c>
      <c r="G11866" t="s">
        <v>65</v>
      </c>
      <c r="H11866" t="s">
        <v>40</v>
      </c>
      <c r="I11866" t="s">
        <v>2188</v>
      </c>
      <c r="J11866" s="10">
        <v>7.33</v>
      </c>
      <c r="K11866" t="b">
        <v>1</v>
      </c>
    </row>
    <row r="11867" spans="1:11">
      <c r="A11867" s="12">
        <v>43124</v>
      </c>
      <c r="B11867">
        <v>2018</v>
      </c>
      <c r="C11867">
        <v>1</v>
      </c>
      <c r="D11867" s="11">
        <v>43101</v>
      </c>
      <c r="E11867" t="s">
        <v>2173</v>
      </c>
      <c r="F11867">
        <v>3</v>
      </c>
      <c r="G11867" t="s">
        <v>65</v>
      </c>
      <c r="H11867" t="s">
        <v>41</v>
      </c>
      <c r="I11867" t="s">
        <v>2189</v>
      </c>
      <c r="J11867" s="10">
        <v>6.67</v>
      </c>
      <c r="K11867" t="b">
        <v>1</v>
      </c>
    </row>
    <row r="11868" spans="1:11">
      <c r="A11868" s="12">
        <v>43124</v>
      </c>
      <c r="B11868">
        <v>2018</v>
      </c>
      <c r="C11868">
        <v>1</v>
      </c>
      <c r="D11868" s="11">
        <v>43101</v>
      </c>
      <c r="E11868" t="s">
        <v>2173</v>
      </c>
      <c r="F11868">
        <v>3</v>
      </c>
      <c r="G11868" t="s">
        <v>65</v>
      </c>
      <c r="H11868" t="s">
        <v>42</v>
      </c>
      <c r="I11868" t="s">
        <v>2190</v>
      </c>
      <c r="J11868" s="10">
        <v>4</v>
      </c>
      <c r="K11868" t="b">
        <v>1</v>
      </c>
    </row>
    <row r="11869" spans="1:11">
      <c r="A11869" s="12">
        <v>43124</v>
      </c>
      <c r="B11869">
        <v>2018</v>
      </c>
      <c r="C11869">
        <v>1</v>
      </c>
      <c r="D11869" s="11">
        <v>43101</v>
      </c>
      <c r="E11869" t="s">
        <v>2173</v>
      </c>
      <c r="F11869">
        <v>3</v>
      </c>
      <c r="G11869" t="s">
        <v>65</v>
      </c>
      <c r="H11869" t="s">
        <v>43</v>
      </c>
      <c r="I11869" t="s">
        <v>2191</v>
      </c>
      <c r="J11869" s="10">
        <v>32</v>
      </c>
      <c r="K11869" t="b">
        <v>1</v>
      </c>
    </row>
    <row r="11870" spans="1:11">
      <c r="A11870" s="12">
        <v>43124</v>
      </c>
      <c r="B11870">
        <v>2018</v>
      </c>
      <c r="C11870">
        <v>1</v>
      </c>
      <c r="D11870" s="11">
        <v>43101</v>
      </c>
      <c r="E11870" t="s">
        <v>2173</v>
      </c>
      <c r="F11870">
        <v>3</v>
      </c>
      <c r="G11870" t="s">
        <v>65</v>
      </c>
      <c r="H11870" t="s">
        <v>44</v>
      </c>
      <c r="I11870" t="s">
        <v>2192</v>
      </c>
      <c r="J11870" s="10">
        <v>13</v>
      </c>
      <c r="K11870" t="b">
        <v>1</v>
      </c>
    </row>
    <row r="11871" spans="1:11">
      <c r="A11871" s="12">
        <v>43124</v>
      </c>
      <c r="B11871">
        <v>2018</v>
      </c>
      <c r="C11871">
        <v>1</v>
      </c>
      <c r="D11871" s="11">
        <v>43101</v>
      </c>
      <c r="E11871" t="s">
        <v>2173</v>
      </c>
      <c r="F11871">
        <v>3</v>
      </c>
      <c r="G11871" t="s">
        <v>65</v>
      </c>
      <c r="H11871" t="s">
        <v>45</v>
      </c>
      <c r="I11871" t="s">
        <v>2193</v>
      </c>
      <c r="J11871" s="10">
        <v>0</v>
      </c>
      <c r="K11871" t="b">
        <v>1</v>
      </c>
    </row>
    <row r="11872" spans="1:11">
      <c r="A11872" s="12">
        <v>43124</v>
      </c>
      <c r="B11872">
        <v>2018</v>
      </c>
      <c r="C11872">
        <v>1</v>
      </c>
      <c r="D11872" s="11">
        <v>43101</v>
      </c>
      <c r="E11872" t="s">
        <v>2173</v>
      </c>
      <c r="F11872">
        <v>3</v>
      </c>
      <c r="G11872" t="s">
        <v>65</v>
      </c>
      <c r="H11872" t="s">
        <v>46</v>
      </c>
      <c r="I11872" t="s">
        <v>2194</v>
      </c>
      <c r="J11872" s="10">
        <v>4</v>
      </c>
      <c r="K11872" t="b">
        <v>1</v>
      </c>
    </row>
    <row r="11873" spans="1:11">
      <c r="A11873" s="12">
        <v>43124</v>
      </c>
      <c r="B11873">
        <v>2018</v>
      </c>
      <c r="C11873">
        <v>1</v>
      </c>
      <c r="D11873" s="11">
        <v>43101</v>
      </c>
      <c r="E11873" t="s">
        <v>2173</v>
      </c>
      <c r="F11873">
        <v>3</v>
      </c>
      <c r="G11873" t="s">
        <v>65</v>
      </c>
      <c r="H11873" t="s">
        <v>47</v>
      </c>
      <c r="I11873" t="s">
        <v>2195</v>
      </c>
      <c r="J11873" s="10">
        <v>1</v>
      </c>
      <c r="K11873" t="b">
        <v>1</v>
      </c>
    </row>
    <row r="11874" spans="1:11">
      <c r="A11874" s="12">
        <v>43125</v>
      </c>
      <c r="B11874">
        <v>2018</v>
      </c>
      <c r="C11874">
        <v>1</v>
      </c>
      <c r="D11874" s="11">
        <v>43101</v>
      </c>
      <c r="E11874" t="s">
        <v>2173</v>
      </c>
      <c r="F11874">
        <v>4</v>
      </c>
      <c r="G11874" t="s">
        <v>53</v>
      </c>
      <c r="H11874" t="s">
        <v>40</v>
      </c>
      <c r="I11874" t="s">
        <v>2188</v>
      </c>
      <c r="J11874" s="10">
        <v>3.66</v>
      </c>
      <c r="K11874" t="b">
        <v>1</v>
      </c>
    </row>
    <row r="11875" spans="1:11">
      <c r="A11875" s="12">
        <v>43125</v>
      </c>
      <c r="B11875">
        <v>2018</v>
      </c>
      <c r="C11875">
        <v>1</v>
      </c>
      <c r="D11875" s="11">
        <v>43101</v>
      </c>
      <c r="E11875" t="s">
        <v>2173</v>
      </c>
      <c r="F11875">
        <v>4</v>
      </c>
      <c r="G11875" t="s">
        <v>53</v>
      </c>
      <c r="H11875" t="s">
        <v>41</v>
      </c>
      <c r="I11875" t="s">
        <v>2189</v>
      </c>
      <c r="J11875" s="10">
        <v>5.132</v>
      </c>
      <c r="K11875" t="b">
        <v>1</v>
      </c>
    </row>
    <row r="11876" spans="1:11">
      <c r="A11876" s="12">
        <v>43125</v>
      </c>
      <c r="B11876">
        <v>2018</v>
      </c>
      <c r="C11876">
        <v>1</v>
      </c>
      <c r="D11876" s="11">
        <v>43101</v>
      </c>
      <c r="E11876" t="s">
        <v>2173</v>
      </c>
      <c r="F11876">
        <v>4</v>
      </c>
      <c r="G11876" t="s">
        <v>53</v>
      </c>
      <c r="H11876" t="s">
        <v>42</v>
      </c>
      <c r="I11876" t="s">
        <v>2190</v>
      </c>
      <c r="J11876" s="10">
        <v>4.2</v>
      </c>
      <c r="K11876" t="b">
        <v>1</v>
      </c>
    </row>
    <row r="11877" spans="1:11">
      <c r="A11877" s="12">
        <v>43125</v>
      </c>
      <c r="B11877">
        <v>2018</v>
      </c>
      <c r="C11877">
        <v>1</v>
      </c>
      <c r="D11877" s="11">
        <v>43101</v>
      </c>
      <c r="E11877" t="s">
        <v>2173</v>
      </c>
      <c r="F11877">
        <v>4</v>
      </c>
      <c r="G11877" t="s">
        <v>53</v>
      </c>
      <c r="H11877" t="s">
        <v>43</v>
      </c>
      <c r="I11877" t="s">
        <v>2191</v>
      </c>
      <c r="J11877" s="10">
        <v>36.8</v>
      </c>
      <c r="K11877" t="b">
        <v>1</v>
      </c>
    </row>
    <row r="11878" spans="1:11">
      <c r="A11878" s="12">
        <v>43125</v>
      </c>
      <c r="B11878">
        <v>2018</v>
      </c>
      <c r="C11878">
        <v>1</v>
      </c>
      <c r="D11878" s="11">
        <v>43101</v>
      </c>
      <c r="E11878" t="s">
        <v>2173</v>
      </c>
      <c r="F11878">
        <v>4</v>
      </c>
      <c r="G11878" t="s">
        <v>53</v>
      </c>
      <c r="H11878" t="s">
        <v>44</v>
      </c>
      <c r="I11878" t="s">
        <v>2192</v>
      </c>
      <c r="J11878" s="10">
        <v>15</v>
      </c>
      <c r="K11878" t="b">
        <v>1</v>
      </c>
    </row>
    <row r="11879" spans="1:11">
      <c r="A11879" s="12">
        <v>43125</v>
      </c>
      <c r="B11879">
        <v>2018</v>
      </c>
      <c r="C11879">
        <v>1</v>
      </c>
      <c r="D11879" s="11">
        <v>43101</v>
      </c>
      <c r="E11879" t="s">
        <v>2173</v>
      </c>
      <c r="F11879">
        <v>4</v>
      </c>
      <c r="G11879" t="s">
        <v>53</v>
      </c>
      <c r="H11879" t="s">
        <v>45</v>
      </c>
      <c r="I11879" t="s">
        <v>2193</v>
      </c>
      <c r="J11879" s="10">
        <v>0</v>
      </c>
      <c r="K11879" t="b">
        <v>1</v>
      </c>
    </row>
    <row r="11880" spans="1:11">
      <c r="A11880" s="12">
        <v>43125</v>
      </c>
      <c r="B11880">
        <v>2018</v>
      </c>
      <c r="C11880">
        <v>1</v>
      </c>
      <c r="D11880" s="11">
        <v>43101</v>
      </c>
      <c r="E11880" t="s">
        <v>2173</v>
      </c>
      <c r="F11880">
        <v>4</v>
      </c>
      <c r="G11880" t="s">
        <v>53</v>
      </c>
      <c r="H11880" t="s">
        <v>46</v>
      </c>
      <c r="I11880" t="s">
        <v>2194</v>
      </c>
      <c r="J11880" s="10">
        <v>7</v>
      </c>
      <c r="K11880" t="b">
        <v>1</v>
      </c>
    </row>
    <row r="11881" spans="1:11">
      <c r="A11881" s="12">
        <v>43125</v>
      </c>
      <c r="B11881">
        <v>2018</v>
      </c>
      <c r="C11881">
        <v>1</v>
      </c>
      <c r="D11881" s="11">
        <v>43101</v>
      </c>
      <c r="E11881" t="s">
        <v>2173</v>
      </c>
      <c r="F11881">
        <v>4</v>
      </c>
      <c r="G11881" t="s">
        <v>53</v>
      </c>
      <c r="H11881" t="s">
        <v>47</v>
      </c>
      <c r="I11881" t="s">
        <v>2195</v>
      </c>
      <c r="J11881" s="10">
        <v>3</v>
      </c>
      <c r="K11881" t="b">
        <v>1</v>
      </c>
    </row>
    <row r="11882" spans="1:11">
      <c r="A11882" s="12">
        <v>43126</v>
      </c>
      <c r="B11882">
        <v>2018</v>
      </c>
      <c r="C11882">
        <v>1</v>
      </c>
      <c r="D11882" s="11">
        <v>43101</v>
      </c>
      <c r="E11882" t="s">
        <v>2173</v>
      </c>
      <c r="F11882">
        <v>5</v>
      </c>
      <c r="G11882" t="s">
        <v>55</v>
      </c>
      <c r="H11882" t="s">
        <v>40</v>
      </c>
      <c r="I11882" t="s">
        <v>2188</v>
      </c>
      <c r="J11882" s="10">
        <v>3</v>
      </c>
      <c r="K11882" t="b">
        <v>1</v>
      </c>
    </row>
    <row r="11883" spans="1:11">
      <c r="A11883" s="12">
        <v>43126</v>
      </c>
      <c r="B11883">
        <v>2018</v>
      </c>
      <c r="C11883">
        <v>1</v>
      </c>
      <c r="D11883" s="11">
        <v>43101</v>
      </c>
      <c r="E11883" t="s">
        <v>2173</v>
      </c>
      <c r="F11883">
        <v>5</v>
      </c>
      <c r="G11883" t="s">
        <v>55</v>
      </c>
      <c r="H11883" t="s">
        <v>41</v>
      </c>
      <c r="I11883" t="s">
        <v>2189</v>
      </c>
      <c r="J11883" s="10">
        <v>3.023</v>
      </c>
      <c r="K11883" t="b">
        <v>1</v>
      </c>
    </row>
    <row r="11884" spans="1:11">
      <c r="A11884" s="12">
        <v>43126</v>
      </c>
      <c r="B11884">
        <v>2018</v>
      </c>
      <c r="C11884">
        <v>1</v>
      </c>
      <c r="D11884" s="11">
        <v>43101</v>
      </c>
      <c r="E11884" t="s">
        <v>2173</v>
      </c>
      <c r="F11884">
        <v>5</v>
      </c>
      <c r="G11884" t="s">
        <v>55</v>
      </c>
      <c r="H11884" t="s">
        <v>42</v>
      </c>
      <c r="I11884" t="s">
        <v>2190</v>
      </c>
      <c r="J11884" s="10">
        <v>0.4</v>
      </c>
      <c r="K11884" t="b">
        <v>1</v>
      </c>
    </row>
    <row r="11885" spans="1:11">
      <c r="A11885" s="12">
        <v>43126</v>
      </c>
      <c r="B11885">
        <v>2018</v>
      </c>
      <c r="C11885">
        <v>1</v>
      </c>
      <c r="D11885" s="11">
        <v>43101</v>
      </c>
      <c r="E11885" t="s">
        <v>2173</v>
      </c>
      <c r="F11885">
        <v>5</v>
      </c>
      <c r="G11885" t="s">
        <v>55</v>
      </c>
      <c r="H11885" t="s">
        <v>43</v>
      </c>
      <c r="I11885" t="s">
        <v>2191</v>
      </c>
      <c r="J11885" s="10">
        <v>62.2</v>
      </c>
      <c r="K11885" t="b">
        <v>1</v>
      </c>
    </row>
    <row r="11886" spans="1:11">
      <c r="A11886" s="12">
        <v>43126</v>
      </c>
      <c r="B11886">
        <v>2018</v>
      </c>
      <c r="C11886">
        <v>1</v>
      </c>
      <c r="D11886" s="11">
        <v>43101</v>
      </c>
      <c r="E11886" t="s">
        <v>2173</v>
      </c>
      <c r="F11886">
        <v>5</v>
      </c>
      <c r="G11886" t="s">
        <v>55</v>
      </c>
      <c r="H11886" t="s">
        <v>44</v>
      </c>
      <c r="I11886" t="s">
        <v>2192</v>
      </c>
      <c r="J11886" s="10">
        <v>9</v>
      </c>
      <c r="K11886" t="b">
        <v>1</v>
      </c>
    </row>
    <row r="11887" spans="1:11">
      <c r="A11887" s="12">
        <v>43126</v>
      </c>
      <c r="B11887">
        <v>2018</v>
      </c>
      <c r="C11887">
        <v>1</v>
      </c>
      <c r="D11887" s="11">
        <v>43101</v>
      </c>
      <c r="E11887" t="s">
        <v>2173</v>
      </c>
      <c r="F11887">
        <v>5</v>
      </c>
      <c r="G11887" t="s">
        <v>55</v>
      </c>
      <c r="H11887" t="s">
        <v>45</v>
      </c>
      <c r="I11887" t="s">
        <v>2193</v>
      </c>
      <c r="J11887" s="10">
        <v>0</v>
      </c>
      <c r="K11887" t="b">
        <v>1</v>
      </c>
    </row>
    <row r="11888" spans="1:11">
      <c r="A11888" s="12">
        <v>43126</v>
      </c>
      <c r="B11888">
        <v>2018</v>
      </c>
      <c r="C11888">
        <v>1</v>
      </c>
      <c r="D11888" s="11">
        <v>43101</v>
      </c>
      <c r="E11888" t="s">
        <v>2173</v>
      </c>
      <c r="F11888">
        <v>5</v>
      </c>
      <c r="G11888" t="s">
        <v>55</v>
      </c>
      <c r="H11888" t="s">
        <v>46</v>
      </c>
      <c r="I11888" t="s">
        <v>2194</v>
      </c>
      <c r="J11888" s="10">
        <v>12</v>
      </c>
      <c r="K11888" t="b">
        <v>1</v>
      </c>
    </row>
    <row r="11889" spans="1:11">
      <c r="A11889" s="12">
        <v>43126</v>
      </c>
      <c r="B11889">
        <v>2018</v>
      </c>
      <c r="C11889">
        <v>1</v>
      </c>
      <c r="D11889" s="11">
        <v>43101</v>
      </c>
      <c r="E11889" t="s">
        <v>2173</v>
      </c>
      <c r="F11889">
        <v>5</v>
      </c>
      <c r="G11889" t="s">
        <v>55</v>
      </c>
      <c r="H11889" t="s">
        <v>47</v>
      </c>
      <c r="I11889" t="s">
        <v>2195</v>
      </c>
      <c r="J11889" s="10">
        <v>1</v>
      </c>
      <c r="K11889" t="b">
        <v>1</v>
      </c>
    </row>
    <row r="11890" spans="1:11">
      <c r="A11890" s="12">
        <v>43127</v>
      </c>
      <c r="B11890">
        <v>2018</v>
      </c>
      <c r="C11890">
        <v>1</v>
      </c>
      <c r="D11890" s="11">
        <v>43101</v>
      </c>
      <c r="E11890" t="s">
        <v>2173</v>
      </c>
      <c r="F11890">
        <v>6</v>
      </c>
      <c r="G11890" t="s">
        <v>57</v>
      </c>
      <c r="H11890" t="s">
        <v>40</v>
      </c>
      <c r="I11890" t="s">
        <v>2188</v>
      </c>
      <c r="J11890" s="10">
        <v>3.34</v>
      </c>
      <c r="K11890" t="b">
        <v>1</v>
      </c>
    </row>
    <row r="11891" spans="1:11">
      <c r="A11891" s="12">
        <v>43127</v>
      </c>
      <c r="B11891">
        <v>2018</v>
      </c>
      <c r="C11891">
        <v>1</v>
      </c>
      <c r="D11891" s="11">
        <v>43101</v>
      </c>
      <c r="E11891" t="s">
        <v>2173</v>
      </c>
      <c r="F11891">
        <v>6</v>
      </c>
      <c r="G11891" t="s">
        <v>57</v>
      </c>
      <c r="H11891" t="s">
        <v>41</v>
      </c>
      <c r="I11891" t="s">
        <v>2189</v>
      </c>
      <c r="J11891" s="10">
        <v>7.33</v>
      </c>
      <c r="K11891" t="b">
        <v>1</v>
      </c>
    </row>
    <row r="11892" spans="1:11">
      <c r="A11892" s="12">
        <v>43127</v>
      </c>
      <c r="B11892">
        <v>2018</v>
      </c>
      <c r="C11892">
        <v>1</v>
      </c>
      <c r="D11892" s="11">
        <v>43101</v>
      </c>
      <c r="E11892" t="s">
        <v>2173</v>
      </c>
      <c r="F11892">
        <v>6</v>
      </c>
      <c r="G11892" t="s">
        <v>57</v>
      </c>
      <c r="H11892" t="s">
        <v>42</v>
      </c>
      <c r="I11892" t="s">
        <v>2190</v>
      </c>
      <c r="J11892" s="10">
        <v>3</v>
      </c>
      <c r="K11892" t="b">
        <v>1</v>
      </c>
    </row>
    <row r="11893" spans="1:11">
      <c r="A11893" s="12">
        <v>43127</v>
      </c>
      <c r="B11893">
        <v>2018</v>
      </c>
      <c r="C11893">
        <v>1</v>
      </c>
      <c r="D11893" s="11">
        <v>43101</v>
      </c>
      <c r="E11893" t="s">
        <v>2173</v>
      </c>
      <c r="F11893">
        <v>6</v>
      </c>
      <c r="G11893" t="s">
        <v>57</v>
      </c>
      <c r="H11893" t="s">
        <v>43</v>
      </c>
      <c r="I11893" t="s">
        <v>2191</v>
      </c>
      <c r="J11893" s="10">
        <v>52.9</v>
      </c>
      <c r="K11893" t="b">
        <v>1</v>
      </c>
    </row>
    <row r="11894" spans="1:11">
      <c r="A11894" s="12">
        <v>43127</v>
      </c>
      <c r="B11894">
        <v>2018</v>
      </c>
      <c r="C11894">
        <v>1</v>
      </c>
      <c r="D11894" s="11">
        <v>43101</v>
      </c>
      <c r="E11894" t="s">
        <v>2173</v>
      </c>
      <c r="F11894">
        <v>6</v>
      </c>
      <c r="G11894" t="s">
        <v>57</v>
      </c>
      <c r="H11894" t="s">
        <v>44</v>
      </c>
      <c r="I11894" t="s">
        <v>2192</v>
      </c>
      <c r="J11894" s="10">
        <v>7</v>
      </c>
      <c r="K11894" t="b">
        <v>1</v>
      </c>
    </row>
    <row r="11895" spans="1:11">
      <c r="A11895" s="12">
        <v>43127</v>
      </c>
      <c r="B11895">
        <v>2018</v>
      </c>
      <c r="C11895">
        <v>1</v>
      </c>
      <c r="D11895" s="11">
        <v>43101</v>
      </c>
      <c r="E11895" t="s">
        <v>2173</v>
      </c>
      <c r="F11895">
        <v>6</v>
      </c>
      <c r="G11895" t="s">
        <v>57</v>
      </c>
      <c r="H11895" t="s">
        <v>45</v>
      </c>
      <c r="I11895" t="s">
        <v>2193</v>
      </c>
      <c r="J11895" s="10">
        <v>0</v>
      </c>
      <c r="K11895" t="b">
        <v>1</v>
      </c>
    </row>
    <row r="11896" spans="1:11">
      <c r="A11896" s="12">
        <v>43127</v>
      </c>
      <c r="B11896">
        <v>2018</v>
      </c>
      <c r="C11896">
        <v>1</v>
      </c>
      <c r="D11896" s="11">
        <v>43101</v>
      </c>
      <c r="E11896" t="s">
        <v>2173</v>
      </c>
      <c r="F11896">
        <v>6</v>
      </c>
      <c r="G11896" t="s">
        <v>57</v>
      </c>
      <c r="H11896" t="s">
        <v>46</v>
      </c>
      <c r="I11896" t="s">
        <v>2194</v>
      </c>
      <c r="J11896" s="10">
        <v>3</v>
      </c>
      <c r="K11896" t="b">
        <v>1</v>
      </c>
    </row>
    <row r="11897" spans="1:11">
      <c r="A11897" s="12">
        <v>43127</v>
      </c>
      <c r="B11897">
        <v>2018</v>
      </c>
      <c r="C11897">
        <v>1</v>
      </c>
      <c r="D11897" s="11">
        <v>43101</v>
      </c>
      <c r="E11897" t="s">
        <v>2173</v>
      </c>
      <c r="F11897">
        <v>6</v>
      </c>
      <c r="G11897" t="s">
        <v>57</v>
      </c>
      <c r="H11897" t="s">
        <v>47</v>
      </c>
      <c r="I11897" t="s">
        <v>2195</v>
      </c>
      <c r="J11897" s="10">
        <v>4</v>
      </c>
      <c r="K11897" t="b">
        <v>1</v>
      </c>
    </row>
    <row r="11898" spans="1:11">
      <c r="A11898" s="12">
        <v>43128</v>
      </c>
      <c r="B11898">
        <v>2018</v>
      </c>
      <c r="C11898">
        <v>1</v>
      </c>
      <c r="D11898" s="11">
        <v>43101</v>
      </c>
      <c r="E11898" t="s">
        <v>2173</v>
      </c>
      <c r="F11898">
        <v>7</v>
      </c>
      <c r="G11898" t="s">
        <v>59</v>
      </c>
      <c r="H11898" t="s">
        <v>40</v>
      </c>
      <c r="I11898" t="s">
        <v>2188</v>
      </c>
      <c r="J11898" s="10">
        <v>1.5</v>
      </c>
      <c r="K11898" t="b">
        <v>1</v>
      </c>
    </row>
    <row r="11899" spans="1:11">
      <c r="A11899" s="12">
        <v>43128</v>
      </c>
      <c r="B11899">
        <v>2018</v>
      </c>
      <c r="C11899">
        <v>1</v>
      </c>
      <c r="D11899" s="11">
        <v>43101</v>
      </c>
      <c r="E11899" t="s">
        <v>2173</v>
      </c>
      <c r="F11899">
        <v>7</v>
      </c>
      <c r="G11899" t="s">
        <v>59</v>
      </c>
      <c r="H11899" t="s">
        <v>41</v>
      </c>
      <c r="I11899" t="s">
        <v>2189</v>
      </c>
      <c r="J11899" s="10">
        <v>2.35</v>
      </c>
      <c r="K11899" t="b">
        <v>1</v>
      </c>
    </row>
    <row r="11900" spans="1:11">
      <c r="A11900" s="12">
        <v>43128</v>
      </c>
      <c r="B11900">
        <v>2018</v>
      </c>
      <c r="C11900">
        <v>1</v>
      </c>
      <c r="D11900" s="11">
        <v>43101</v>
      </c>
      <c r="E11900" t="s">
        <v>2173</v>
      </c>
      <c r="F11900">
        <v>7</v>
      </c>
      <c r="G11900" t="s">
        <v>59</v>
      </c>
      <c r="H11900" t="s">
        <v>42</v>
      </c>
      <c r="I11900" t="s">
        <v>2190</v>
      </c>
      <c r="J11900" s="10">
        <v>5.65</v>
      </c>
      <c r="K11900" t="b">
        <v>1</v>
      </c>
    </row>
    <row r="11901" spans="1:11">
      <c r="A11901" s="12">
        <v>43128</v>
      </c>
      <c r="B11901">
        <v>2018</v>
      </c>
      <c r="C11901">
        <v>1</v>
      </c>
      <c r="D11901" s="11">
        <v>43101</v>
      </c>
      <c r="E11901" t="s">
        <v>2173</v>
      </c>
      <c r="F11901">
        <v>7</v>
      </c>
      <c r="G11901" t="s">
        <v>59</v>
      </c>
      <c r="H11901" t="s">
        <v>43</v>
      </c>
      <c r="I11901" t="s">
        <v>2191</v>
      </c>
      <c r="J11901" s="10">
        <v>55</v>
      </c>
      <c r="K11901" t="b">
        <v>1</v>
      </c>
    </row>
    <row r="11902" spans="1:11">
      <c r="A11902" s="12">
        <v>43128</v>
      </c>
      <c r="B11902">
        <v>2018</v>
      </c>
      <c r="C11902">
        <v>1</v>
      </c>
      <c r="D11902" s="11">
        <v>43101</v>
      </c>
      <c r="E11902" t="s">
        <v>2173</v>
      </c>
      <c r="F11902">
        <v>7</v>
      </c>
      <c r="G11902" t="s">
        <v>59</v>
      </c>
      <c r="H11902" t="s">
        <v>44</v>
      </c>
      <c r="I11902" t="s">
        <v>2192</v>
      </c>
      <c r="J11902" s="10">
        <v>11</v>
      </c>
      <c r="K11902" t="b">
        <v>1</v>
      </c>
    </row>
    <row r="11903" spans="1:11">
      <c r="A11903" s="12">
        <v>43128</v>
      </c>
      <c r="B11903">
        <v>2018</v>
      </c>
      <c r="C11903">
        <v>1</v>
      </c>
      <c r="D11903" s="11">
        <v>43101</v>
      </c>
      <c r="E11903" t="s">
        <v>2173</v>
      </c>
      <c r="F11903">
        <v>7</v>
      </c>
      <c r="G11903" t="s">
        <v>59</v>
      </c>
      <c r="H11903" t="s">
        <v>45</v>
      </c>
      <c r="I11903" t="s">
        <v>2193</v>
      </c>
      <c r="J11903" s="10">
        <v>0</v>
      </c>
      <c r="K11903" t="b">
        <v>1</v>
      </c>
    </row>
    <row r="11904" spans="1:11">
      <c r="A11904" s="12">
        <v>43128</v>
      </c>
      <c r="B11904">
        <v>2018</v>
      </c>
      <c r="C11904">
        <v>1</v>
      </c>
      <c r="D11904" s="11">
        <v>43101</v>
      </c>
      <c r="E11904" t="s">
        <v>2173</v>
      </c>
      <c r="F11904">
        <v>7</v>
      </c>
      <c r="G11904" t="s">
        <v>59</v>
      </c>
      <c r="H11904" t="s">
        <v>46</v>
      </c>
      <c r="I11904" t="s">
        <v>2194</v>
      </c>
      <c r="J11904" s="10">
        <v>10</v>
      </c>
      <c r="K11904" t="b">
        <v>1</v>
      </c>
    </row>
    <row r="11905" spans="1:11">
      <c r="A11905" s="12">
        <v>43128</v>
      </c>
      <c r="B11905">
        <v>2018</v>
      </c>
      <c r="C11905">
        <v>1</v>
      </c>
      <c r="D11905" s="11">
        <v>43101</v>
      </c>
      <c r="E11905" t="s">
        <v>2173</v>
      </c>
      <c r="F11905">
        <v>7</v>
      </c>
      <c r="G11905" t="s">
        <v>59</v>
      </c>
      <c r="H11905" t="s">
        <v>47</v>
      </c>
      <c r="I11905" t="s">
        <v>2195</v>
      </c>
      <c r="J11905" s="10">
        <v>2</v>
      </c>
      <c r="K11905" t="b">
        <v>1</v>
      </c>
    </row>
    <row r="11906" spans="1:11">
      <c r="A11906" s="12">
        <v>43129</v>
      </c>
      <c r="B11906">
        <v>2018</v>
      </c>
      <c r="C11906">
        <v>1</v>
      </c>
      <c r="D11906" s="11">
        <v>43101</v>
      </c>
      <c r="E11906" t="s">
        <v>2173</v>
      </c>
      <c r="F11906">
        <v>1</v>
      </c>
      <c r="G11906" t="s">
        <v>61</v>
      </c>
      <c r="H11906" t="s">
        <v>40</v>
      </c>
      <c r="I11906" t="s">
        <v>2188</v>
      </c>
      <c r="J11906" s="10">
        <v>2.33</v>
      </c>
      <c r="K11906" t="b">
        <v>1</v>
      </c>
    </row>
    <row r="11907" spans="1:11">
      <c r="A11907" s="12">
        <v>43129</v>
      </c>
      <c r="B11907">
        <v>2018</v>
      </c>
      <c r="C11907">
        <v>1</v>
      </c>
      <c r="D11907" s="11">
        <v>43101</v>
      </c>
      <c r="E11907" t="s">
        <v>2173</v>
      </c>
      <c r="F11907">
        <v>1</v>
      </c>
      <c r="G11907" t="s">
        <v>61</v>
      </c>
      <c r="H11907" t="s">
        <v>41</v>
      </c>
      <c r="I11907" t="s">
        <v>2189</v>
      </c>
      <c r="J11907" s="10">
        <v>4.363</v>
      </c>
      <c r="K11907" t="b">
        <v>1</v>
      </c>
    </row>
    <row r="11908" spans="1:11">
      <c r="A11908" s="12">
        <v>43129</v>
      </c>
      <c r="B11908">
        <v>2018</v>
      </c>
      <c r="C11908">
        <v>1</v>
      </c>
      <c r="D11908" s="11">
        <v>43101</v>
      </c>
      <c r="E11908" t="s">
        <v>2173</v>
      </c>
      <c r="F11908">
        <v>1</v>
      </c>
      <c r="G11908" t="s">
        <v>61</v>
      </c>
      <c r="H11908" t="s">
        <v>42</v>
      </c>
      <c r="I11908" t="s">
        <v>2190</v>
      </c>
      <c r="J11908" s="10">
        <v>4.25</v>
      </c>
      <c r="K11908" t="b">
        <v>1</v>
      </c>
    </row>
    <row r="11909" spans="1:11">
      <c r="A11909" s="12">
        <v>43129</v>
      </c>
      <c r="B11909">
        <v>2018</v>
      </c>
      <c r="C11909">
        <v>1</v>
      </c>
      <c r="D11909" s="11">
        <v>43101</v>
      </c>
      <c r="E11909" t="s">
        <v>2173</v>
      </c>
      <c r="F11909">
        <v>1</v>
      </c>
      <c r="G11909" t="s">
        <v>61</v>
      </c>
      <c r="H11909" t="s">
        <v>43</v>
      </c>
      <c r="I11909" t="s">
        <v>2191</v>
      </c>
      <c r="J11909" s="10">
        <v>47.9</v>
      </c>
      <c r="K11909" t="b">
        <v>1</v>
      </c>
    </row>
    <row r="11910" spans="1:11">
      <c r="A11910" s="12">
        <v>43129</v>
      </c>
      <c r="B11910">
        <v>2018</v>
      </c>
      <c r="C11910">
        <v>1</v>
      </c>
      <c r="D11910" s="11">
        <v>43101</v>
      </c>
      <c r="E11910" t="s">
        <v>2173</v>
      </c>
      <c r="F11910">
        <v>1</v>
      </c>
      <c r="G11910" t="s">
        <v>61</v>
      </c>
      <c r="H11910" t="s">
        <v>44</v>
      </c>
      <c r="I11910" t="s">
        <v>2192</v>
      </c>
      <c r="J11910" s="10">
        <v>10</v>
      </c>
      <c r="K11910" t="b">
        <v>1</v>
      </c>
    </row>
    <row r="11911" spans="1:11">
      <c r="A11911" s="12">
        <v>43129</v>
      </c>
      <c r="B11911">
        <v>2018</v>
      </c>
      <c r="C11911">
        <v>1</v>
      </c>
      <c r="D11911" s="11">
        <v>43101</v>
      </c>
      <c r="E11911" t="s">
        <v>2173</v>
      </c>
      <c r="F11911">
        <v>1</v>
      </c>
      <c r="G11911" t="s">
        <v>61</v>
      </c>
      <c r="H11911" t="s">
        <v>45</v>
      </c>
      <c r="I11911" t="s">
        <v>2193</v>
      </c>
      <c r="J11911" s="10">
        <v>3</v>
      </c>
      <c r="K11911" t="b">
        <v>1</v>
      </c>
    </row>
    <row r="11912" spans="1:11">
      <c r="A11912" s="12">
        <v>43129</v>
      </c>
      <c r="B11912">
        <v>2018</v>
      </c>
      <c r="C11912">
        <v>1</v>
      </c>
      <c r="D11912" s="11">
        <v>43101</v>
      </c>
      <c r="E11912" t="s">
        <v>2173</v>
      </c>
      <c r="F11912">
        <v>1</v>
      </c>
      <c r="G11912" t="s">
        <v>61</v>
      </c>
      <c r="H11912" t="s">
        <v>46</v>
      </c>
      <c r="I11912" t="s">
        <v>2194</v>
      </c>
      <c r="J11912" s="10">
        <v>4</v>
      </c>
      <c r="K11912" t="b">
        <v>1</v>
      </c>
    </row>
    <row r="11913" spans="1:11">
      <c r="A11913" s="12">
        <v>43129</v>
      </c>
      <c r="B11913">
        <v>2018</v>
      </c>
      <c r="C11913">
        <v>1</v>
      </c>
      <c r="D11913" s="11">
        <v>43101</v>
      </c>
      <c r="E11913" t="s">
        <v>2173</v>
      </c>
      <c r="F11913">
        <v>1</v>
      </c>
      <c r="G11913" t="s">
        <v>61</v>
      </c>
      <c r="H11913" t="s">
        <v>47</v>
      </c>
      <c r="I11913" t="s">
        <v>2195</v>
      </c>
      <c r="J11913" s="10">
        <v>1</v>
      </c>
      <c r="K11913" t="b">
        <v>1</v>
      </c>
    </row>
    <row r="11914" spans="1:11">
      <c r="A11914" s="12">
        <v>43130</v>
      </c>
      <c r="B11914">
        <v>2018</v>
      </c>
      <c r="C11914">
        <v>1</v>
      </c>
      <c r="D11914" s="11">
        <v>43101</v>
      </c>
      <c r="E11914" t="s">
        <v>2173</v>
      </c>
      <c r="F11914">
        <v>2</v>
      </c>
      <c r="G11914" t="s">
        <v>63</v>
      </c>
      <c r="H11914" t="s">
        <v>40</v>
      </c>
      <c r="I11914" t="s">
        <v>2188</v>
      </c>
      <c r="J11914" s="10">
        <v>4.33</v>
      </c>
      <c r="K11914" t="b">
        <v>1</v>
      </c>
    </row>
    <row r="11915" spans="1:11">
      <c r="A11915" s="12">
        <v>43130</v>
      </c>
      <c r="B11915">
        <v>2018</v>
      </c>
      <c r="C11915">
        <v>1</v>
      </c>
      <c r="D11915" s="11">
        <v>43101</v>
      </c>
      <c r="E11915" t="s">
        <v>2173</v>
      </c>
      <c r="F11915">
        <v>2</v>
      </c>
      <c r="G11915" t="s">
        <v>63</v>
      </c>
      <c r="H11915" t="s">
        <v>41</v>
      </c>
      <c r="I11915" t="s">
        <v>2189</v>
      </c>
      <c r="J11915" s="10">
        <v>3.76</v>
      </c>
      <c r="K11915" t="b">
        <v>1</v>
      </c>
    </row>
    <row r="11916" spans="1:11">
      <c r="A11916" s="12">
        <v>43130</v>
      </c>
      <c r="B11916">
        <v>2018</v>
      </c>
      <c r="C11916">
        <v>1</v>
      </c>
      <c r="D11916" s="11">
        <v>43101</v>
      </c>
      <c r="E11916" t="s">
        <v>2173</v>
      </c>
      <c r="F11916">
        <v>2</v>
      </c>
      <c r="G11916" t="s">
        <v>63</v>
      </c>
      <c r="H11916" t="s">
        <v>42</v>
      </c>
      <c r="I11916" t="s">
        <v>2190</v>
      </c>
      <c r="J11916" s="10">
        <v>3</v>
      </c>
      <c r="K11916" t="b">
        <v>1</v>
      </c>
    </row>
    <row r="11917" spans="1:11">
      <c r="A11917" s="12">
        <v>43130</v>
      </c>
      <c r="B11917">
        <v>2018</v>
      </c>
      <c r="C11917">
        <v>1</v>
      </c>
      <c r="D11917" s="11">
        <v>43101</v>
      </c>
      <c r="E11917" t="s">
        <v>2173</v>
      </c>
      <c r="F11917">
        <v>2</v>
      </c>
      <c r="G11917" t="s">
        <v>63</v>
      </c>
      <c r="H11917" t="s">
        <v>43</v>
      </c>
      <c r="I11917" t="s">
        <v>2191</v>
      </c>
      <c r="J11917" s="10">
        <v>37</v>
      </c>
      <c r="K11917" t="b">
        <v>1</v>
      </c>
    </row>
    <row r="11918" spans="1:11">
      <c r="A11918" s="12">
        <v>43130</v>
      </c>
      <c r="B11918">
        <v>2018</v>
      </c>
      <c r="C11918">
        <v>1</v>
      </c>
      <c r="D11918" s="11">
        <v>43101</v>
      </c>
      <c r="E11918" t="s">
        <v>2173</v>
      </c>
      <c r="F11918">
        <v>2</v>
      </c>
      <c r="G11918" t="s">
        <v>63</v>
      </c>
      <c r="H11918" t="s">
        <v>44</v>
      </c>
      <c r="I11918" t="s">
        <v>2192</v>
      </c>
      <c r="J11918" s="10">
        <v>11</v>
      </c>
      <c r="K11918" t="b">
        <v>1</v>
      </c>
    </row>
    <row r="11919" spans="1:11">
      <c r="A11919" s="12">
        <v>43130</v>
      </c>
      <c r="B11919">
        <v>2018</v>
      </c>
      <c r="C11919">
        <v>1</v>
      </c>
      <c r="D11919" s="11">
        <v>43101</v>
      </c>
      <c r="E11919" t="s">
        <v>2173</v>
      </c>
      <c r="F11919">
        <v>2</v>
      </c>
      <c r="G11919" t="s">
        <v>63</v>
      </c>
      <c r="H11919" t="s">
        <v>45</v>
      </c>
      <c r="I11919" t="s">
        <v>2193</v>
      </c>
      <c r="J11919" s="10">
        <v>0</v>
      </c>
      <c r="K11919" t="b">
        <v>1</v>
      </c>
    </row>
    <row r="11920" spans="1:11">
      <c r="A11920" s="12">
        <v>43130</v>
      </c>
      <c r="B11920">
        <v>2018</v>
      </c>
      <c r="C11920">
        <v>1</v>
      </c>
      <c r="D11920" s="11">
        <v>43101</v>
      </c>
      <c r="E11920" t="s">
        <v>2173</v>
      </c>
      <c r="F11920">
        <v>2</v>
      </c>
      <c r="G11920" t="s">
        <v>63</v>
      </c>
      <c r="H11920" t="s">
        <v>46</v>
      </c>
      <c r="I11920" t="s">
        <v>2194</v>
      </c>
      <c r="J11920" s="10">
        <v>4</v>
      </c>
      <c r="K11920" t="b">
        <v>1</v>
      </c>
    </row>
    <row r="11921" spans="1:11">
      <c r="A11921" s="12">
        <v>43130</v>
      </c>
      <c r="B11921">
        <v>2018</v>
      </c>
      <c r="C11921">
        <v>1</v>
      </c>
      <c r="D11921" s="11">
        <v>43101</v>
      </c>
      <c r="E11921" t="s">
        <v>2173</v>
      </c>
      <c r="F11921">
        <v>2</v>
      </c>
      <c r="G11921" t="s">
        <v>63</v>
      </c>
      <c r="H11921" t="s">
        <v>47</v>
      </c>
      <c r="I11921" t="s">
        <v>2195</v>
      </c>
      <c r="J11921" s="10">
        <v>3</v>
      </c>
      <c r="K11921" t="b">
        <v>1</v>
      </c>
    </row>
    <row r="11922" spans="1:11">
      <c r="A11922" s="12">
        <v>43131</v>
      </c>
      <c r="B11922">
        <v>2018</v>
      </c>
      <c r="C11922">
        <v>1</v>
      </c>
      <c r="D11922" s="11">
        <v>43101</v>
      </c>
      <c r="E11922" t="s">
        <v>2173</v>
      </c>
      <c r="F11922">
        <v>3</v>
      </c>
      <c r="G11922" t="s">
        <v>65</v>
      </c>
      <c r="H11922" t="s">
        <v>40</v>
      </c>
      <c r="I11922" t="s">
        <v>2188</v>
      </c>
      <c r="J11922" s="10">
        <v>0.33</v>
      </c>
      <c r="K11922" t="b">
        <v>1</v>
      </c>
    </row>
    <row r="11923" spans="1:11">
      <c r="A11923" s="12">
        <v>43131</v>
      </c>
      <c r="B11923">
        <v>2018</v>
      </c>
      <c r="C11923">
        <v>1</v>
      </c>
      <c r="D11923" s="11">
        <v>43101</v>
      </c>
      <c r="E11923" t="s">
        <v>2173</v>
      </c>
      <c r="F11923">
        <v>3</v>
      </c>
      <c r="G11923" t="s">
        <v>65</v>
      </c>
      <c r="H11923" t="s">
        <v>41</v>
      </c>
      <c r="I11923" t="s">
        <v>2189</v>
      </c>
      <c r="J11923" s="10">
        <v>5.076</v>
      </c>
      <c r="K11923" t="b">
        <v>1</v>
      </c>
    </row>
    <row r="11924" spans="1:11">
      <c r="A11924" s="12">
        <v>43131</v>
      </c>
      <c r="B11924">
        <v>2018</v>
      </c>
      <c r="C11924">
        <v>1</v>
      </c>
      <c r="D11924" s="11">
        <v>43101</v>
      </c>
      <c r="E11924" t="s">
        <v>2173</v>
      </c>
      <c r="F11924">
        <v>3</v>
      </c>
      <c r="G11924" t="s">
        <v>65</v>
      </c>
      <c r="H11924" t="s">
        <v>42</v>
      </c>
      <c r="I11924" t="s">
        <v>2190</v>
      </c>
      <c r="J11924" s="10">
        <v>4</v>
      </c>
      <c r="K11924" t="b">
        <v>1</v>
      </c>
    </row>
    <row r="11925" spans="1:11">
      <c r="A11925" s="12">
        <v>43131</v>
      </c>
      <c r="B11925">
        <v>2018</v>
      </c>
      <c r="C11925">
        <v>1</v>
      </c>
      <c r="D11925" s="11">
        <v>43101</v>
      </c>
      <c r="E11925" t="s">
        <v>2173</v>
      </c>
      <c r="F11925">
        <v>3</v>
      </c>
      <c r="G11925" t="s">
        <v>65</v>
      </c>
      <c r="H11925" t="s">
        <v>43</v>
      </c>
      <c r="I11925" t="s">
        <v>2191</v>
      </c>
      <c r="J11925" s="10">
        <v>30.4</v>
      </c>
      <c r="K11925" t="b">
        <v>1</v>
      </c>
    </row>
    <row r="11926" spans="1:11">
      <c r="A11926" s="12">
        <v>43131</v>
      </c>
      <c r="B11926">
        <v>2018</v>
      </c>
      <c r="C11926">
        <v>1</v>
      </c>
      <c r="D11926" s="11">
        <v>43101</v>
      </c>
      <c r="E11926" t="s">
        <v>2173</v>
      </c>
      <c r="F11926">
        <v>3</v>
      </c>
      <c r="G11926" t="s">
        <v>65</v>
      </c>
      <c r="H11926" t="s">
        <v>44</v>
      </c>
      <c r="I11926" t="s">
        <v>2192</v>
      </c>
      <c r="J11926" s="10">
        <v>12</v>
      </c>
      <c r="K11926" t="b">
        <v>1</v>
      </c>
    </row>
    <row r="11927" spans="1:11">
      <c r="A11927" s="12">
        <v>43131</v>
      </c>
      <c r="B11927">
        <v>2018</v>
      </c>
      <c r="C11927">
        <v>1</v>
      </c>
      <c r="D11927" s="11">
        <v>43101</v>
      </c>
      <c r="E11927" t="s">
        <v>2173</v>
      </c>
      <c r="F11927">
        <v>3</v>
      </c>
      <c r="G11927" t="s">
        <v>65</v>
      </c>
      <c r="H11927" t="s">
        <v>45</v>
      </c>
      <c r="I11927" t="s">
        <v>2193</v>
      </c>
      <c r="J11927" s="10">
        <v>0</v>
      </c>
      <c r="K11927" t="b">
        <v>1</v>
      </c>
    </row>
    <row r="11928" spans="1:11">
      <c r="A11928" s="12">
        <v>43131</v>
      </c>
      <c r="B11928">
        <v>2018</v>
      </c>
      <c r="C11928">
        <v>1</v>
      </c>
      <c r="D11928" s="11">
        <v>43101</v>
      </c>
      <c r="E11928" t="s">
        <v>2173</v>
      </c>
      <c r="F11928">
        <v>3</v>
      </c>
      <c r="G11928" t="s">
        <v>65</v>
      </c>
      <c r="H11928" t="s">
        <v>46</v>
      </c>
      <c r="I11928" t="s">
        <v>2194</v>
      </c>
      <c r="J11928" s="10">
        <v>6</v>
      </c>
      <c r="K11928" t="b">
        <v>1</v>
      </c>
    </row>
    <row r="11929" spans="1:11">
      <c r="A11929" s="12">
        <v>43131</v>
      </c>
      <c r="B11929">
        <v>2018</v>
      </c>
      <c r="C11929">
        <v>1</v>
      </c>
      <c r="D11929" s="11">
        <v>43101</v>
      </c>
      <c r="E11929" t="s">
        <v>2173</v>
      </c>
      <c r="F11929">
        <v>3</v>
      </c>
      <c r="G11929" t="s">
        <v>65</v>
      </c>
      <c r="H11929" t="s">
        <v>47</v>
      </c>
      <c r="I11929" t="s">
        <v>2195</v>
      </c>
      <c r="J11929" s="10">
        <v>1</v>
      </c>
      <c r="K11929" t="b">
        <v>1</v>
      </c>
    </row>
    <row r="11930" spans="1:11">
      <c r="A11930" s="12">
        <v>43132</v>
      </c>
      <c r="B11930">
        <v>2018</v>
      </c>
      <c r="C11930">
        <v>2</v>
      </c>
      <c r="D11930" s="11">
        <v>43132</v>
      </c>
      <c r="E11930" t="s">
        <v>2174</v>
      </c>
      <c r="F11930">
        <v>4</v>
      </c>
      <c r="G11930" t="s">
        <v>53</v>
      </c>
      <c r="H11930" t="s">
        <v>40</v>
      </c>
      <c r="I11930" t="s">
        <v>2188</v>
      </c>
      <c r="J11930" s="10">
        <v>5.34</v>
      </c>
      <c r="K11930" t="b">
        <v>1</v>
      </c>
    </row>
    <row r="11931" spans="1:11">
      <c r="A11931" s="12">
        <v>43132</v>
      </c>
      <c r="B11931">
        <v>2018</v>
      </c>
      <c r="C11931">
        <v>2</v>
      </c>
      <c r="D11931" s="11">
        <v>43132</v>
      </c>
      <c r="E11931" t="s">
        <v>2174</v>
      </c>
      <c r="F11931">
        <v>4</v>
      </c>
      <c r="G11931" t="s">
        <v>53</v>
      </c>
      <c r="H11931" t="s">
        <v>41</v>
      </c>
      <c r="I11931" t="s">
        <v>2189</v>
      </c>
      <c r="J11931" s="10">
        <v>4.33</v>
      </c>
      <c r="K11931" t="b">
        <v>1</v>
      </c>
    </row>
    <row r="11932" spans="1:11">
      <c r="A11932" s="12">
        <v>43132</v>
      </c>
      <c r="B11932">
        <v>2018</v>
      </c>
      <c r="C11932">
        <v>2</v>
      </c>
      <c r="D11932" s="11">
        <v>43132</v>
      </c>
      <c r="E11932" t="s">
        <v>2174</v>
      </c>
      <c r="F11932">
        <v>4</v>
      </c>
      <c r="G11932" t="s">
        <v>53</v>
      </c>
      <c r="H11932" t="s">
        <v>42</v>
      </c>
      <c r="I11932" t="s">
        <v>2190</v>
      </c>
      <c r="J11932" s="10">
        <v>6</v>
      </c>
      <c r="K11932" t="b">
        <v>1</v>
      </c>
    </row>
    <row r="11933" spans="1:11">
      <c r="A11933" s="12">
        <v>43132</v>
      </c>
      <c r="B11933">
        <v>2018</v>
      </c>
      <c r="C11933">
        <v>2</v>
      </c>
      <c r="D11933" s="11">
        <v>43132</v>
      </c>
      <c r="E11933" t="s">
        <v>2174</v>
      </c>
      <c r="F11933">
        <v>4</v>
      </c>
      <c r="G11933" t="s">
        <v>53</v>
      </c>
      <c r="H11933" t="s">
        <v>43</v>
      </c>
      <c r="I11933" t="s">
        <v>2191</v>
      </c>
      <c r="J11933" s="10">
        <v>30.5</v>
      </c>
      <c r="K11933" t="b">
        <v>1</v>
      </c>
    </row>
    <row r="11934" spans="1:11">
      <c r="A11934" s="12">
        <v>43132</v>
      </c>
      <c r="B11934">
        <v>2018</v>
      </c>
      <c r="C11934">
        <v>2</v>
      </c>
      <c r="D11934" s="11">
        <v>43132</v>
      </c>
      <c r="E11934" t="s">
        <v>2174</v>
      </c>
      <c r="F11934">
        <v>4</v>
      </c>
      <c r="G11934" t="s">
        <v>53</v>
      </c>
      <c r="H11934" t="s">
        <v>44</v>
      </c>
      <c r="I11934" t="s">
        <v>2192</v>
      </c>
      <c r="J11934" s="10">
        <v>7</v>
      </c>
      <c r="K11934" t="b">
        <v>1</v>
      </c>
    </row>
    <row r="11935" spans="1:11">
      <c r="A11935" s="12">
        <v>43132</v>
      </c>
      <c r="B11935">
        <v>2018</v>
      </c>
      <c r="C11935">
        <v>2</v>
      </c>
      <c r="D11935" s="11">
        <v>43132</v>
      </c>
      <c r="E11935" t="s">
        <v>2174</v>
      </c>
      <c r="F11935">
        <v>4</v>
      </c>
      <c r="G11935" t="s">
        <v>53</v>
      </c>
      <c r="H11935" t="s">
        <v>45</v>
      </c>
      <c r="I11935" t="s">
        <v>2193</v>
      </c>
      <c r="J11935" s="10">
        <v>0</v>
      </c>
      <c r="K11935" t="b">
        <v>1</v>
      </c>
    </row>
    <row r="11936" spans="1:11">
      <c r="A11936" s="12">
        <v>43132</v>
      </c>
      <c r="B11936">
        <v>2018</v>
      </c>
      <c r="C11936">
        <v>2</v>
      </c>
      <c r="D11936" s="11">
        <v>43132</v>
      </c>
      <c r="E11936" t="s">
        <v>2174</v>
      </c>
      <c r="F11936">
        <v>4</v>
      </c>
      <c r="G11936" t="s">
        <v>53</v>
      </c>
      <c r="H11936" t="s">
        <v>46</v>
      </c>
      <c r="I11936" t="s">
        <v>2194</v>
      </c>
      <c r="J11936" s="10">
        <v>6</v>
      </c>
      <c r="K11936" t="b">
        <v>1</v>
      </c>
    </row>
    <row r="11937" spans="1:11">
      <c r="A11937" s="12">
        <v>43132</v>
      </c>
      <c r="B11937">
        <v>2018</v>
      </c>
      <c r="C11937">
        <v>2</v>
      </c>
      <c r="D11937" s="11">
        <v>43132</v>
      </c>
      <c r="E11937" t="s">
        <v>2174</v>
      </c>
      <c r="F11937">
        <v>4</v>
      </c>
      <c r="G11937" t="s">
        <v>53</v>
      </c>
      <c r="H11937" t="s">
        <v>47</v>
      </c>
      <c r="I11937" t="s">
        <v>2195</v>
      </c>
      <c r="J11937" s="10">
        <v>3</v>
      </c>
      <c r="K11937" t="b">
        <v>1</v>
      </c>
    </row>
    <row r="11938" spans="1:11">
      <c r="A11938" s="12">
        <v>43133</v>
      </c>
      <c r="B11938">
        <v>2018</v>
      </c>
      <c r="C11938">
        <v>2</v>
      </c>
      <c r="D11938" s="11">
        <v>43132</v>
      </c>
      <c r="E11938" t="s">
        <v>2174</v>
      </c>
      <c r="F11938">
        <v>5</v>
      </c>
      <c r="G11938" t="s">
        <v>55</v>
      </c>
      <c r="H11938" t="s">
        <v>40</v>
      </c>
      <c r="I11938" t="s">
        <v>2188</v>
      </c>
      <c r="J11938" s="10">
        <v>2.33</v>
      </c>
      <c r="K11938" t="b">
        <v>1</v>
      </c>
    </row>
    <row r="11939" spans="1:11">
      <c r="A11939" s="12">
        <v>43133</v>
      </c>
      <c r="B11939">
        <v>2018</v>
      </c>
      <c r="C11939">
        <v>2</v>
      </c>
      <c r="D11939" s="11">
        <v>43132</v>
      </c>
      <c r="E11939" t="s">
        <v>2174</v>
      </c>
      <c r="F11939">
        <v>5</v>
      </c>
      <c r="G11939" t="s">
        <v>55</v>
      </c>
      <c r="H11939" t="s">
        <v>41</v>
      </c>
      <c r="I11939" t="s">
        <v>2189</v>
      </c>
      <c r="J11939" s="10">
        <v>4.99</v>
      </c>
      <c r="K11939" t="b">
        <v>1</v>
      </c>
    </row>
    <row r="11940" spans="1:11">
      <c r="A11940" s="12">
        <v>43133</v>
      </c>
      <c r="B11940">
        <v>2018</v>
      </c>
      <c r="C11940">
        <v>2</v>
      </c>
      <c r="D11940" s="11">
        <v>43132</v>
      </c>
      <c r="E11940" t="s">
        <v>2174</v>
      </c>
      <c r="F11940">
        <v>5</v>
      </c>
      <c r="G11940" t="s">
        <v>55</v>
      </c>
      <c r="H11940" t="s">
        <v>42</v>
      </c>
      <c r="I11940" t="s">
        <v>2190</v>
      </c>
      <c r="J11940" s="10">
        <v>4</v>
      </c>
      <c r="K11940" t="b">
        <v>1</v>
      </c>
    </row>
    <row r="11941" spans="1:11">
      <c r="A11941" s="12">
        <v>43133</v>
      </c>
      <c r="B11941">
        <v>2018</v>
      </c>
      <c r="C11941">
        <v>2</v>
      </c>
      <c r="D11941" s="11">
        <v>43132</v>
      </c>
      <c r="E11941" t="s">
        <v>2174</v>
      </c>
      <c r="F11941">
        <v>5</v>
      </c>
      <c r="G11941" t="s">
        <v>55</v>
      </c>
      <c r="H11941" t="s">
        <v>43</v>
      </c>
      <c r="I11941" t="s">
        <v>2191</v>
      </c>
      <c r="J11941" s="10">
        <v>54.6</v>
      </c>
      <c r="K11941" t="b">
        <v>1</v>
      </c>
    </row>
    <row r="11942" spans="1:11">
      <c r="A11942" s="12">
        <v>43133</v>
      </c>
      <c r="B11942">
        <v>2018</v>
      </c>
      <c r="C11942">
        <v>2</v>
      </c>
      <c r="D11942" s="11">
        <v>43132</v>
      </c>
      <c r="E11942" t="s">
        <v>2174</v>
      </c>
      <c r="F11942">
        <v>5</v>
      </c>
      <c r="G11942" t="s">
        <v>55</v>
      </c>
      <c r="H11942" t="s">
        <v>44</v>
      </c>
      <c r="I11942" t="s">
        <v>2192</v>
      </c>
      <c r="J11942" s="10">
        <v>6</v>
      </c>
      <c r="K11942" t="b">
        <v>1</v>
      </c>
    </row>
    <row r="11943" spans="1:11">
      <c r="A11943" s="12">
        <v>43133</v>
      </c>
      <c r="B11943">
        <v>2018</v>
      </c>
      <c r="C11943">
        <v>2</v>
      </c>
      <c r="D11943" s="11">
        <v>43132</v>
      </c>
      <c r="E11943" t="s">
        <v>2174</v>
      </c>
      <c r="F11943">
        <v>5</v>
      </c>
      <c r="G11943" t="s">
        <v>55</v>
      </c>
      <c r="H11943" t="s">
        <v>45</v>
      </c>
      <c r="I11943" t="s">
        <v>2193</v>
      </c>
      <c r="J11943" s="10">
        <v>0</v>
      </c>
      <c r="K11943" t="b">
        <v>1</v>
      </c>
    </row>
    <row r="11944" spans="1:11">
      <c r="A11944" s="12">
        <v>43133</v>
      </c>
      <c r="B11944">
        <v>2018</v>
      </c>
      <c r="C11944">
        <v>2</v>
      </c>
      <c r="D11944" s="11">
        <v>43132</v>
      </c>
      <c r="E11944" t="s">
        <v>2174</v>
      </c>
      <c r="F11944">
        <v>5</v>
      </c>
      <c r="G11944" t="s">
        <v>55</v>
      </c>
      <c r="H11944" t="s">
        <v>46</v>
      </c>
      <c r="I11944" t="s">
        <v>2194</v>
      </c>
      <c r="J11944" s="10">
        <v>6</v>
      </c>
      <c r="K11944" t="b">
        <v>1</v>
      </c>
    </row>
    <row r="11945" spans="1:11">
      <c r="A11945" s="12">
        <v>43133</v>
      </c>
      <c r="B11945">
        <v>2018</v>
      </c>
      <c r="C11945">
        <v>2</v>
      </c>
      <c r="D11945" s="11">
        <v>43132</v>
      </c>
      <c r="E11945" t="s">
        <v>2174</v>
      </c>
      <c r="F11945">
        <v>5</v>
      </c>
      <c r="G11945" t="s">
        <v>55</v>
      </c>
      <c r="H11945" t="s">
        <v>47</v>
      </c>
      <c r="I11945" t="s">
        <v>2195</v>
      </c>
      <c r="J11945" s="10">
        <v>4.4</v>
      </c>
      <c r="K11945" t="b">
        <v>1</v>
      </c>
    </row>
    <row r="11946" spans="1:11">
      <c r="A11946" s="12">
        <v>43134</v>
      </c>
      <c r="B11946">
        <v>2018</v>
      </c>
      <c r="C11946">
        <v>2</v>
      </c>
      <c r="D11946" s="11">
        <v>43132</v>
      </c>
      <c r="E11946" t="s">
        <v>2174</v>
      </c>
      <c r="F11946">
        <v>6</v>
      </c>
      <c r="G11946" t="s">
        <v>57</v>
      </c>
      <c r="H11946" t="s">
        <v>40</v>
      </c>
      <c r="I11946" t="s">
        <v>2188</v>
      </c>
      <c r="J11946" s="10">
        <v>4.33</v>
      </c>
      <c r="K11946" t="b">
        <v>1</v>
      </c>
    </row>
    <row r="11947" spans="1:11">
      <c r="A11947" s="12">
        <v>43134</v>
      </c>
      <c r="B11947">
        <v>2018</v>
      </c>
      <c r="C11947">
        <v>2</v>
      </c>
      <c r="D11947" s="11">
        <v>43132</v>
      </c>
      <c r="E11947" t="s">
        <v>2174</v>
      </c>
      <c r="F11947">
        <v>6</v>
      </c>
      <c r="G11947" t="s">
        <v>57</v>
      </c>
      <c r="H11947" t="s">
        <v>41</v>
      </c>
      <c r="I11947" t="s">
        <v>2189</v>
      </c>
      <c r="J11947" s="10">
        <v>7.13</v>
      </c>
      <c r="K11947" t="b">
        <v>1</v>
      </c>
    </row>
    <row r="11948" spans="1:11">
      <c r="A11948" s="12">
        <v>43134</v>
      </c>
      <c r="B11948">
        <v>2018</v>
      </c>
      <c r="C11948">
        <v>2</v>
      </c>
      <c r="D11948" s="11">
        <v>43132</v>
      </c>
      <c r="E11948" t="s">
        <v>2174</v>
      </c>
      <c r="F11948">
        <v>6</v>
      </c>
      <c r="G11948" t="s">
        <v>57</v>
      </c>
      <c r="H11948" t="s">
        <v>42</v>
      </c>
      <c r="I11948" t="s">
        <v>2190</v>
      </c>
      <c r="J11948" s="10">
        <v>3.3</v>
      </c>
      <c r="K11948" t="b">
        <v>1</v>
      </c>
    </row>
    <row r="11949" spans="1:11">
      <c r="A11949" s="12">
        <v>43134</v>
      </c>
      <c r="B11949">
        <v>2018</v>
      </c>
      <c r="C11949">
        <v>2</v>
      </c>
      <c r="D11949" s="11">
        <v>43132</v>
      </c>
      <c r="E11949" t="s">
        <v>2174</v>
      </c>
      <c r="F11949">
        <v>6</v>
      </c>
      <c r="G11949" t="s">
        <v>57</v>
      </c>
      <c r="H11949" t="s">
        <v>43</v>
      </c>
      <c r="I11949" t="s">
        <v>2191</v>
      </c>
      <c r="J11949" s="10">
        <v>67.09999999999999</v>
      </c>
      <c r="K11949" t="b">
        <v>1</v>
      </c>
    </row>
    <row r="11950" spans="1:11">
      <c r="A11950" s="12">
        <v>43134</v>
      </c>
      <c r="B11950">
        <v>2018</v>
      </c>
      <c r="C11950">
        <v>2</v>
      </c>
      <c r="D11950" s="11">
        <v>43132</v>
      </c>
      <c r="E11950" t="s">
        <v>2174</v>
      </c>
      <c r="F11950">
        <v>6</v>
      </c>
      <c r="G11950" t="s">
        <v>57</v>
      </c>
      <c r="H11950" t="s">
        <v>44</v>
      </c>
      <c r="I11950" t="s">
        <v>2192</v>
      </c>
      <c r="J11950" s="10">
        <v>12</v>
      </c>
      <c r="K11950" t="b">
        <v>1</v>
      </c>
    </row>
    <row r="11951" spans="1:11">
      <c r="A11951" s="12">
        <v>43134</v>
      </c>
      <c r="B11951">
        <v>2018</v>
      </c>
      <c r="C11951">
        <v>2</v>
      </c>
      <c r="D11951" s="11">
        <v>43132</v>
      </c>
      <c r="E11951" t="s">
        <v>2174</v>
      </c>
      <c r="F11951">
        <v>6</v>
      </c>
      <c r="G11951" t="s">
        <v>57</v>
      </c>
      <c r="H11951" t="s">
        <v>45</v>
      </c>
      <c r="I11951" t="s">
        <v>2193</v>
      </c>
      <c r="J11951" s="10">
        <v>0</v>
      </c>
      <c r="K11951" t="b">
        <v>1</v>
      </c>
    </row>
    <row r="11952" spans="1:11">
      <c r="A11952" s="12">
        <v>43134</v>
      </c>
      <c r="B11952">
        <v>2018</v>
      </c>
      <c r="C11952">
        <v>2</v>
      </c>
      <c r="D11952" s="11">
        <v>43132</v>
      </c>
      <c r="E11952" t="s">
        <v>2174</v>
      </c>
      <c r="F11952">
        <v>6</v>
      </c>
      <c r="G11952" t="s">
        <v>57</v>
      </c>
      <c r="H11952" t="s">
        <v>46</v>
      </c>
      <c r="I11952" t="s">
        <v>2194</v>
      </c>
      <c r="J11952" s="10">
        <v>5</v>
      </c>
      <c r="K11952" t="b">
        <v>1</v>
      </c>
    </row>
    <row r="11953" spans="1:11">
      <c r="A11953" s="12">
        <v>43134</v>
      </c>
      <c r="B11953">
        <v>2018</v>
      </c>
      <c r="C11953">
        <v>2</v>
      </c>
      <c r="D11953" s="11">
        <v>43132</v>
      </c>
      <c r="E11953" t="s">
        <v>2174</v>
      </c>
      <c r="F11953">
        <v>6</v>
      </c>
      <c r="G11953" t="s">
        <v>57</v>
      </c>
      <c r="H11953" t="s">
        <v>47</v>
      </c>
      <c r="I11953" t="s">
        <v>2195</v>
      </c>
      <c r="J11953" s="10">
        <v>2</v>
      </c>
      <c r="K11953" t="b">
        <v>1</v>
      </c>
    </row>
    <row r="11954" spans="1:11">
      <c r="A11954" s="12">
        <v>43135</v>
      </c>
      <c r="B11954">
        <v>2018</v>
      </c>
      <c r="C11954">
        <v>2</v>
      </c>
      <c r="D11954" s="11">
        <v>43132</v>
      </c>
      <c r="E11954" t="s">
        <v>2174</v>
      </c>
      <c r="F11954">
        <v>7</v>
      </c>
      <c r="G11954" t="s">
        <v>59</v>
      </c>
      <c r="H11954" t="s">
        <v>40</v>
      </c>
      <c r="I11954" t="s">
        <v>2188</v>
      </c>
      <c r="J11954" s="10">
        <v>7.99</v>
      </c>
      <c r="K11954" t="b">
        <v>1</v>
      </c>
    </row>
    <row r="11955" spans="1:11">
      <c r="A11955" s="12">
        <v>43135</v>
      </c>
      <c r="B11955">
        <v>2018</v>
      </c>
      <c r="C11955">
        <v>2</v>
      </c>
      <c r="D11955" s="11">
        <v>43132</v>
      </c>
      <c r="E11955" t="s">
        <v>2174</v>
      </c>
      <c r="F11955">
        <v>7</v>
      </c>
      <c r="G11955" t="s">
        <v>59</v>
      </c>
      <c r="H11955" t="s">
        <v>41</v>
      </c>
      <c r="I11955" t="s">
        <v>2189</v>
      </c>
      <c r="J11955" s="10">
        <v>9.066000000000001</v>
      </c>
      <c r="K11955" t="b">
        <v>1</v>
      </c>
    </row>
    <row r="11956" spans="1:11">
      <c r="A11956" s="12">
        <v>43135</v>
      </c>
      <c r="B11956">
        <v>2018</v>
      </c>
      <c r="C11956">
        <v>2</v>
      </c>
      <c r="D11956" s="11">
        <v>43132</v>
      </c>
      <c r="E11956" t="s">
        <v>2174</v>
      </c>
      <c r="F11956">
        <v>7</v>
      </c>
      <c r="G11956" t="s">
        <v>59</v>
      </c>
      <c r="H11956" t="s">
        <v>42</v>
      </c>
      <c r="I11956" t="s">
        <v>2190</v>
      </c>
      <c r="J11956" s="10">
        <v>2</v>
      </c>
      <c r="K11956" t="b">
        <v>1</v>
      </c>
    </row>
    <row r="11957" spans="1:11">
      <c r="A11957" s="12">
        <v>43135</v>
      </c>
      <c r="B11957">
        <v>2018</v>
      </c>
      <c r="C11957">
        <v>2</v>
      </c>
      <c r="D11957" s="11">
        <v>43132</v>
      </c>
      <c r="E11957" t="s">
        <v>2174</v>
      </c>
      <c r="F11957">
        <v>7</v>
      </c>
      <c r="G11957" t="s">
        <v>59</v>
      </c>
      <c r="H11957" t="s">
        <v>43</v>
      </c>
      <c r="I11957" t="s">
        <v>2191</v>
      </c>
      <c r="J11957" s="10">
        <v>50.6</v>
      </c>
      <c r="K11957" t="b">
        <v>1</v>
      </c>
    </row>
    <row r="11958" spans="1:11">
      <c r="A11958" s="12">
        <v>43135</v>
      </c>
      <c r="B11958">
        <v>2018</v>
      </c>
      <c r="C11958">
        <v>2</v>
      </c>
      <c r="D11958" s="11">
        <v>43132</v>
      </c>
      <c r="E11958" t="s">
        <v>2174</v>
      </c>
      <c r="F11958">
        <v>7</v>
      </c>
      <c r="G11958" t="s">
        <v>59</v>
      </c>
      <c r="H11958" t="s">
        <v>44</v>
      </c>
      <c r="I11958" t="s">
        <v>2192</v>
      </c>
      <c r="J11958" s="10">
        <v>6</v>
      </c>
      <c r="K11958" t="b">
        <v>1</v>
      </c>
    </row>
    <row r="11959" spans="1:11">
      <c r="A11959" s="12">
        <v>43135</v>
      </c>
      <c r="B11959">
        <v>2018</v>
      </c>
      <c r="C11959">
        <v>2</v>
      </c>
      <c r="D11959" s="11">
        <v>43132</v>
      </c>
      <c r="E11959" t="s">
        <v>2174</v>
      </c>
      <c r="F11959">
        <v>7</v>
      </c>
      <c r="G11959" t="s">
        <v>59</v>
      </c>
      <c r="H11959" t="s">
        <v>45</v>
      </c>
      <c r="I11959" t="s">
        <v>2193</v>
      </c>
      <c r="J11959" s="10">
        <v>0</v>
      </c>
      <c r="K11959" t="b">
        <v>1</v>
      </c>
    </row>
    <row r="11960" spans="1:11">
      <c r="A11960" s="12">
        <v>43135</v>
      </c>
      <c r="B11960">
        <v>2018</v>
      </c>
      <c r="C11960">
        <v>2</v>
      </c>
      <c r="D11960" s="11">
        <v>43132</v>
      </c>
      <c r="E11960" t="s">
        <v>2174</v>
      </c>
      <c r="F11960">
        <v>7</v>
      </c>
      <c r="G11960" t="s">
        <v>59</v>
      </c>
      <c r="H11960" t="s">
        <v>46</v>
      </c>
      <c r="I11960" t="s">
        <v>2194</v>
      </c>
      <c r="J11960" s="10">
        <v>3</v>
      </c>
      <c r="K11960" t="b">
        <v>1</v>
      </c>
    </row>
    <row r="11961" spans="1:11">
      <c r="A11961" s="12">
        <v>43135</v>
      </c>
      <c r="B11961">
        <v>2018</v>
      </c>
      <c r="C11961">
        <v>2</v>
      </c>
      <c r="D11961" s="11">
        <v>43132</v>
      </c>
      <c r="E11961" t="s">
        <v>2174</v>
      </c>
      <c r="F11961">
        <v>7</v>
      </c>
      <c r="G11961" t="s">
        <v>59</v>
      </c>
      <c r="H11961" t="s">
        <v>47</v>
      </c>
      <c r="I11961" t="s">
        <v>2195</v>
      </c>
      <c r="J11961" s="10">
        <v>3</v>
      </c>
      <c r="K11961" t="b">
        <v>1</v>
      </c>
    </row>
    <row r="11962" spans="1:11">
      <c r="A11962" s="12">
        <v>43136</v>
      </c>
      <c r="B11962">
        <v>2018</v>
      </c>
      <c r="C11962">
        <v>2</v>
      </c>
      <c r="D11962" s="11">
        <v>43132</v>
      </c>
      <c r="E11962" t="s">
        <v>2174</v>
      </c>
      <c r="F11962">
        <v>1</v>
      </c>
      <c r="G11962" t="s">
        <v>61</v>
      </c>
      <c r="H11962" t="s">
        <v>40</v>
      </c>
      <c r="I11962" t="s">
        <v>2188</v>
      </c>
      <c r="J11962" s="10">
        <v>7.33</v>
      </c>
      <c r="K11962" t="b">
        <v>1</v>
      </c>
    </row>
    <row r="11963" spans="1:11">
      <c r="A11963" s="12">
        <v>43136</v>
      </c>
      <c r="B11963">
        <v>2018</v>
      </c>
      <c r="C11963">
        <v>2</v>
      </c>
      <c r="D11963" s="11">
        <v>43132</v>
      </c>
      <c r="E11963" t="s">
        <v>2174</v>
      </c>
      <c r="F11963">
        <v>1</v>
      </c>
      <c r="G11963" t="s">
        <v>61</v>
      </c>
      <c r="H11963" t="s">
        <v>41</v>
      </c>
      <c r="I11963" t="s">
        <v>2189</v>
      </c>
      <c r="J11963" s="10">
        <v>3.066</v>
      </c>
      <c r="K11963" t="b">
        <v>1</v>
      </c>
    </row>
    <row r="11964" spans="1:11">
      <c r="A11964" s="12">
        <v>43136</v>
      </c>
      <c r="B11964">
        <v>2018</v>
      </c>
      <c r="C11964">
        <v>2</v>
      </c>
      <c r="D11964" s="11">
        <v>43132</v>
      </c>
      <c r="E11964" t="s">
        <v>2174</v>
      </c>
      <c r="F11964">
        <v>1</v>
      </c>
      <c r="G11964" t="s">
        <v>61</v>
      </c>
      <c r="H11964" t="s">
        <v>42</v>
      </c>
      <c r="I11964" t="s">
        <v>2190</v>
      </c>
      <c r="J11964" s="10">
        <v>3</v>
      </c>
      <c r="K11964" t="b">
        <v>1</v>
      </c>
    </row>
    <row r="11965" spans="1:11">
      <c r="A11965" s="12">
        <v>43136</v>
      </c>
      <c r="B11965">
        <v>2018</v>
      </c>
      <c r="C11965">
        <v>2</v>
      </c>
      <c r="D11965" s="11">
        <v>43132</v>
      </c>
      <c r="E11965" t="s">
        <v>2174</v>
      </c>
      <c r="F11965">
        <v>1</v>
      </c>
      <c r="G11965" t="s">
        <v>61</v>
      </c>
      <c r="H11965" t="s">
        <v>43</v>
      </c>
      <c r="I11965" t="s">
        <v>2191</v>
      </c>
      <c r="J11965" s="10">
        <v>53</v>
      </c>
      <c r="K11965" t="b">
        <v>1</v>
      </c>
    </row>
    <row r="11966" spans="1:11">
      <c r="A11966" s="12">
        <v>43136</v>
      </c>
      <c r="B11966">
        <v>2018</v>
      </c>
      <c r="C11966">
        <v>2</v>
      </c>
      <c r="D11966" s="11">
        <v>43132</v>
      </c>
      <c r="E11966" t="s">
        <v>2174</v>
      </c>
      <c r="F11966">
        <v>1</v>
      </c>
      <c r="G11966" t="s">
        <v>61</v>
      </c>
      <c r="H11966" t="s">
        <v>44</v>
      </c>
      <c r="I11966" t="s">
        <v>2192</v>
      </c>
      <c r="J11966" s="10">
        <v>18</v>
      </c>
      <c r="K11966" t="b">
        <v>1</v>
      </c>
    </row>
    <row r="11967" spans="1:11">
      <c r="A11967" s="12">
        <v>43136</v>
      </c>
      <c r="B11967">
        <v>2018</v>
      </c>
      <c r="C11967">
        <v>2</v>
      </c>
      <c r="D11967" s="11">
        <v>43132</v>
      </c>
      <c r="E11967" t="s">
        <v>2174</v>
      </c>
      <c r="F11967">
        <v>1</v>
      </c>
      <c r="G11967" t="s">
        <v>61</v>
      </c>
      <c r="H11967" t="s">
        <v>45</v>
      </c>
      <c r="I11967" t="s">
        <v>2193</v>
      </c>
      <c r="J11967" s="10">
        <v>0</v>
      </c>
      <c r="K11967" t="b">
        <v>1</v>
      </c>
    </row>
    <row r="11968" spans="1:11">
      <c r="A11968" s="12">
        <v>43136</v>
      </c>
      <c r="B11968">
        <v>2018</v>
      </c>
      <c r="C11968">
        <v>2</v>
      </c>
      <c r="D11968" s="11">
        <v>43132</v>
      </c>
      <c r="E11968" t="s">
        <v>2174</v>
      </c>
      <c r="F11968">
        <v>1</v>
      </c>
      <c r="G11968" t="s">
        <v>61</v>
      </c>
      <c r="H11968" t="s">
        <v>46</v>
      </c>
      <c r="I11968" t="s">
        <v>2194</v>
      </c>
      <c r="J11968" s="10">
        <v>6</v>
      </c>
      <c r="K11968" t="b">
        <v>1</v>
      </c>
    </row>
    <row r="11969" spans="1:11">
      <c r="A11969" s="12">
        <v>43136</v>
      </c>
      <c r="B11969">
        <v>2018</v>
      </c>
      <c r="C11969">
        <v>2</v>
      </c>
      <c r="D11969" s="11">
        <v>43132</v>
      </c>
      <c r="E11969" t="s">
        <v>2174</v>
      </c>
      <c r="F11969">
        <v>1</v>
      </c>
      <c r="G11969" t="s">
        <v>61</v>
      </c>
      <c r="H11969" t="s">
        <v>47</v>
      </c>
      <c r="I11969" t="s">
        <v>2195</v>
      </c>
      <c r="J11969" s="10">
        <v>0.66</v>
      </c>
      <c r="K11969" t="b">
        <v>1</v>
      </c>
    </row>
    <row r="11970" spans="1:11">
      <c r="A11970" s="12">
        <v>43137</v>
      </c>
      <c r="B11970">
        <v>2018</v>
      </c>
      <c r="C11970">
        <v>2</v>
      </c>
      <c r="D11970" s="11">
        <v>43132</v>
      </c>
      <c r="E11970" t="s">
        <v>2174</v>
      </c>
      <c r="F11970">
        <v>2</v>
      </c>
      <c r="G11970" t="s">
        <v>63</v>
      </c>
      <c r="H11970" t="s">
        <v>40</v>
      </c>
      <c r="I11970" t="s">
        <v>2188</v>
      </c>
      <c r="J11970" s="10">
        <v>4.34</v>
      </c>
      <c r="K11970" t="b">
        <v>1</v>
      </c>
    </row>
    <row r="11971" spans="1:11">
      <c r="A11971" s="12">
        <v>43137</v>
      </c>
      <c r="B11971">
        <v>2018</v>
      </c>
      <c r="C11971">
        <v>2</v>
      </c>
      <c r="D11971" s="11">
        <v>43132</v>
      </c>
      <c r="E11971" t="s">
        <v>2174</v>
      </c>
      <c r="F11971">
        <v>2</v>
      </c>
      <c r="G11971" t="s">
        <v>63</v>
      </c>
      <c r="H11971" t="s">
        <v>41</v>
      </c>
      <c r="I11971" t="s">
        <v>2189</v>
      </c>
      <c r="J11971" s="10">
        <v>1.87</v>
      </c>
      <c r="K11971" t="b">
        <v>1</v>
      </c>
    </row>
    <row r="11972" spans="1:11">
      <c r="A11972" s="12">
        <v>43137</v>
      </c>
      <c r="B11972">
        <v>2018</v>
      </c>
      <c r="C11972">
        <v>2</v>
      </c>
      <c r="D11972" s="11">
        <v>43132</v>
      </c>
      <c r="E11972" t="s">
        <v>2174</v>
      </c>
      <c r="F11972">
        <v>2</v>
      </c>
      <c r="G11972" t="s">
        <v>63</v>
      </c>
      <c r="H11972" t="s">
        <v>42</v>
      </c>
      <c r="I11972" t="s">
        <v>2190</v>
      </c>
      <c r="J11972" s="10">
        <v>6.85</v>
      </c>
      <c r="K11972" t="b">
        <v>1</v>
      </c>
    </row>
    <row r="11973" spans="1:11">
      <c r="A11973" s="12">
        <v>43137</v>
      </c>
      <c r="B11973">
        <v>2018</v>
      </c>
      <c r="C11973">
        <v>2</v>
      </c>
      <c r="D11973" s="11">
        <v>43132</v>
      </c>
      <c r="E11973" t="s">
        <v>2174</v>
      </c>
      <c r="F11973">
        <v>2</v>
      </c>
      <c r="G11973" t="s">
        <v>63</v>
      </c>
      <c r="H11973" t="s">
        <v>43</v>
      </c>
      <c r="I11973" t="s">
        <v>2191</v>
      </c>
      <c r="J11973" s="10">
        <v>51.5</v>
      </c>
      <c r="K11973" t="b">
        <v>1</v>
      </c>
    </row>
    <row r="11974" spans="1:11">
      <c r="A11974" s="12">
        <v>43137</v>
      </c>
      <c r="B11974">
        <v>2018</v>
      </c>
      <c r="C11974">
        <v>2</v>
      </c>
      <c r="D11974" s="11">
        <v>43132</v>
      </c>
      <c r="E11974" t="s">
        <v>2174</v>
      </c>
      <c r="F11974">
        <v>2</v>
      </c>
      <c r="G11974" t="s">
        <v>63</v>
      </c>
      <c r="H11974" t="s">
        <v>44</v>
      </c>
      <c r="I11974" t="s">
        <v>2192</v>
      </c>
      <c r="J11974" s="10">
        <v>8</v>
      </c>
      <c r="K11974" t="b">
        <v>1</v>
      </c>
    </row>
    <row r="11975" spans="1:11">
      <c r="A11975" s="12">
        <v>43137</v>
      </c>
      <c r="B11975">
        <v>2018</v>
      </c>
      <c r="C11975">
        <v>2</v>
      </c>
      <c r="D11975" s="11">
        <v>43132</v>
      </c>
      <c r="E11975" t="s">
        <v>2174</v>
      </c>
      <c r="F11975">
        <v>2</v>
      </c>
      <c r="G11975" t="s">
        <v>63</v>
      </c>
      <c r="H11975" t="s">
        <v>45</v>
      </c>
      <c r="I11975" t="s">
        <v>2193</v>
      </c>
      <c r="J11975" s="10">
        <v>0</v>
      </c>
      <c r="K11975" t="b">
        <v>1</v>
      </c>
    </row>
    <row r="11976" spans="1:11">
      <c r="A11976" s="12">
        <v>43137</v>
      </c>
      <c r="B11976">
        <v>2018</v>
      </c>
      <c r="C11976">
        <v>2</v>
      </c>
      <c r="D11976" s="11">
        <v>43132</v>
      </c>
      <c r="E11976" t="s">
        <v>2174</v>
      </c>
      <c r="F11976">
        <v>2</v>
      </c>
      <c r="G11976" t="s">
        <v>63</v>
      </c>
      <c r="H11976" t="s">
        <v>46</v>
      </c>
      <c r="I11976" t="s">
        <v>2194</v>
      </c>
      <c r="J11976" s="10">
        <v>5</v>
      </c>
      <c r="K11976" t="b">
        <v>1</v>
      </c>
    </row>
    <row r="11977" spans="1:11">
      <c r="A11977" s="12">
        <v>43137</v>
      </c>
      <c r="B11977">
        <v>2018</v>
      </c>
      <c r="C11977">
        <v>2</v>
      </c>
      <c r="D11977" s="11">
        <v>43132</v>
      </c>
      <c r="E11977" t="s">
        <v>2174</v>
      </c>
      <c r="F11977">
        <v>2</v>
      </c>
      <c r="G11977" t="s">
        <v>63</v>
      </c>
      <c r="H11977" t="s">
        <v>47</v>
      </c>
      <c r="I11977" t="s">
        <v>2195</v>
      </c>
      <c r="J11977" s="10">
        <v>1</v>
      </c>
      <c r="K11977" t="b">
        <v>1</v>
      </c>
    </row>
    <row r="11978" spans="1:11">
      <c r="A11978" s="12">
        <v>43138</v>
      </c>
      <c r="B11978">
        <v>2018</v>
      </c>
      <c r="C11978">
        <v>2</v>
      </c>
      <c r="D11978" s="11">
        <v>43132</v>
      </c>
      <c r="E11978" t="s">
        <v>2174</v>
      </c>
      <c r="F11978">
        <v>3</v>
      </c>
      <c r="G11978" t="s">
        <v>65</v>
      </c>
      <c r="H11978" t="s">
        <v>40</v>
      </c>
      <c r="I11978" t="s">
        <v>2188</v>
      </c>
      <c r="J11978" s="10">
        <v>4.84</v>
      </c>
      <c r="K11978" t="b">
        <v>1</v>
      </c>
    </row>
    <row r="11979" spans="1:11">
      <c r="A11979" s="12">
        <v>43138</v>
      </c>
      <c r="B11979">
        <v>2018</v>
      </c>
      <c r="C11979">
        <v>2</v>
      </c>
      <c r="D11979" s="11">
        <v>43132</v>
      </c>
      <c r="E11979" t="s">
        <v>2174</v>
      </c>
      <c r="F11979">
        <v>3</v>
      </c>
      <c r="G11979" t="s">
        <v>65</v>
      </c>
      <c r="H11979" t="s">
        <v>41</v>
      </c>
      <c r="I11979" t="s">
        <v>2189</v>
      </c>
      <c r="J11979" s="10">
        <v>8.132</v>
      </c>
      <c r="K11979" t="b">
        <v>1</v>
      </c>
    </row>
    <row r="11980" spans="1:11">
      <c r="A11980" s="12">
        <v>43138</v>
      </c>
      <c r="B11980">
        <v>2018</v>
      </c>
      <c r="C11980">
        <v>2</v>
      </c>
      <c r="D11980" s="11">
        <v>43132</v>
      </c>
      <c r="E11980" t="s">
        <v>2174</v>
      </c>
      <c r="F11980">
        <v>3</v>
      </c>
      <c r="G11980" t="s">
        <v>65</v>
      </c>
      <c r="H11980" t="s">
        <v>42</v>
      </c>
      <c r="I11980" t="s">
        <v>2190</v>
      </c>
      <c r="J11980" s="10">
        <v>3.2</v>
      </c>
      <c r="K11980" t="b">
        <v>1</v>
      </c>
    </row>
    <row r="11981" spans="1:11">
      <c r="A11981" s="12">
        <v>43138</v>
      </c>
      <c r="B11981">
        <v>2018</v>
      </c>
      <c r="C11981">
        <v>2</v>
      </c>
      <c r="D11981" s="11">
        <v>43132</v>
      </c>
      <c r="E11981" t="s">
        <v>2174</v>
      </c>
      <c r="F11981">
        <v>3</v>
      </c>
      <c r="G11981" t="s">
        <v>65</v>
      </c>
      <c r="H11981" t="s">
        <v>43</v>
      </c>
      <c r="I11981" t="s">
        <v>2191</v>
      </c>
      <c r="J11981" s="10">
        <v>44.8</v>
      </c>
      <c r="K11981" t="b">
        <v>1</v>
      </c>
    </row>
    <row r="11982" spans="1:11">
      <c r="A11982" s="12">
        <v>43138</v>
      </c>
      <c r="B11982">
        <v>2018</v>
      </c>
      <c r="C11982">
        <v>2</v>
      </c>
      <c r="D11982" s="11">
        <v>43132</v>
      </c>
      <c r="E11982" t="s">
        <v>2174</v>
      </c>
      <c r="F11982">
        <v>3</v>
      </c>
      <c r="G11982" t="s">
        <v>65</v>
      </c>
      <c r="H11982" t="s">
        <v>44</v>
      </c>
      <c r="I11982" t="s">
        <v>2192</v>
      </c>
      <c r="J11982" s="10">
        <v>8</v>
      </c>
      <c r="K11982" t="b">
        <v>1</v>
      </c>
    </row>
    <row r="11983" spans="1:11">
      <c r="A11983" s="12">
        <v>43138</v>
      </c>
      <c r="B11983">
        <v>2018</v>
      </c>
      <c r="C11983">
        <v>2</v>
      </c>
      <c r="D11983" s="11">
        <v>43132</v>
      </c>
      <c r="E11983" t="s">
        <v>2174</v>
      </c>
      <c r="F11983">
        <v>3</v>
      </c>
      <c r="G11983" t="s">
        <v>65</v>
      </c>
      <c r="H11983" t="s">
        <v>45</v>
      </c>
      <c r="I11983" t="s">
        <v>2193</v>
      </c>
      <c r="J11983" s="10">
        <v>0</v>
      </c>
      <c r="K11983" t="b">
        <v>1</v>
      </c>
    </row>
    <row r="11984" spans="1:11">
      <c r="A11984" s="12">
        <v>43138</v>
      </c>
      <c r="B11984">
        <v>2018</v>
      </c>
      <c r="C11984">
        <v>2</v>
      </c>
      <c r="D11984" s="11">
        <v>43132</v>
      </c>
      <c r="E11984" t="s">
        <v>2174</v>
      </c>
      <c r="F11984">
        <v>3</v>
      </c>
      <c r="G11984" t="s">
        <v>65</v>
      </c>
      <c r="H11984" t="s">
        <v>46</v>
      </c>
      <c r="I11984" t="s">
        <v>2194</v>
      </c>
      <c r="J11984" s="10">
        <v>23</v>
      </c>
      <c r="K11984" t="b">
        <v>1</v>
      </c>
    </row>
    <row r="11985" spans="1:11">
      <c r="A11985" s="12">
        <v>43138</v>
      </c>
      <c r="B11985">
        <v>2018</v>
      </c>
      <c r="C11985">
        <v>2</v>
      </c>
      <c r="D11985" s="11">
        <v>43132</v>
      </c>
      <c r="E11985" t="s">
        <v>2174</v>
      </c>
      <c r="F11985">
        <v>3</v>
      </c>
      <c r="G11985" t="s">
        <v>65</v>
      </c>
      <c r="H11985" t="s">
        <v>47</v>
      </c>
      <c r="I11985" t="s">
        <v>2195</v>
      </c>
      <c r="J11985" s="10">
        <v>0</v>
      </c>
      <c r="K11985" t="b">
        <v>1</v>
      </c>
    </row>
    <row r="11986" spans="1:11">
      <c r="A11986" s="12">
        <v>43139</v>
      </c>
      <c r="B11986">
        <v>2018</v>
      </c>
      <c r="C11986">
        <v>2</v>
      </c>
      <c r="D11986" s="11">
        <v>43132</v>
      </c>
      <c r="E11986" t="s">
        <v>2174</v>
      </c>
      <c r="F11986">
        <v>4</v>
      </c>
      <c r="G11986" t="s">
        <v>53</v>
      </c>
      <c r="H11986" t="s">
        <v>40</v>
      </c>
      <c r="I11986" t="s">
        <v>2188</v>
      </c>
      <c r="J11986" s="10">
        <v>6.33</v>
      </c>
      <c r="K11986" t="b">
        <v>1</v>
      </c>
    </row>
    <row r="11987" spans="1:11">
      <c r="A11987" s="12">
        <v>43139</v>
      </c>
      <c r="B11987">
        <v>2018</v>
      </c>
      <c r="C11987">
        <v>2</v>
      </c>
      <c r="D11987" s="11">
        <v>43132</v>
      </c>
      <c r="E11987" t="s">
        <v>2174</v>
      </c>
      <c r="F11987">
        <v>4</v>
      </c>
      <c r="G11987" t="s">
        <v>53</v>
      </c>
      <c r="H11987" t="s">
        <v>41</v>
      </c>
      <c r="I11987" t="s">
        <v>2189</v>
      </c>
      <c r="J11987" s="10">
        <v>1.34</v>
      </c>
      <c r="K11987" t="b">
        <v>1</v>
      </c>
    </row>
    <row r="11988" spans="1:11">
      <c r="A11988" s="12">
        <v>43139</v>
      </c>
      <c r="B11988">
        <v>2018</v>
      </c>
      <c r="C11988">
        <v>2</v>
      </c>
      <c r="D11988" s="11">
        <v>43132</v>
      </c>
      <c r="E11988" t="s">
        <v>2174</v>
      </c>
      <c r="F11988">
        <v>4</v>
      </c>
      <c r="G11988" t="s">
        <v>53</v>
      </c>
      <c r="H11988" t="s">
        <v>42</v>
      </c>
      <c r="I11988" t="s">
        <v>2190</v>
      </c>
      <c r="J11988" s="10">
        <v>3</v>
      </c>
      <c r="K11988" t="b">
        <v>1</v>
      </c>
    </row>
    <row r="11989" spans="1:11">
      <c r="A11989" s="12">
        <v>43139</v>
      </c>
      <c r="B11989">
        <v>2018</v>
      </c>
      <c r="C11989">
        <v>2</v>
      </c>
      <c r="D11989" s="11">
        <v>43132</v>
      </c>
      <c r="E11989" t="s">
        <v>2174</v>
      </c>
      <c r="F11989">
        <v>4</v>
      </c>
      <c r="G11989" t="s">
        <v>53</v>
      </c>
      <c r="H11989" t="s">
        <v>43</v>
      </c>
      <c r="I11989" t="s">
        <v>2191</v>
      </c>
      <c r="J11989" s="10">
        <v>47</v>
      </c>
      <c r="K11989" t="b">
        <v>1</v>
      </c>
    </row>
    <row r="11990" spans="1:11">
      <c r="A11990" s="12">
        <v>43139</v>
      </c>
      <c r="B11990">
        <v>2018</v>
      </c>
      <c r="C11990">
        <v>2</v>
      </c>
      <c r="D11990" s="11">
        <v>43132</v>
      </c>
      <c r="E11990" t="s">
        <v>2174</v>
      </c>
      <c r="F11990">
        <v>4</v>
      </c>
      <c r="G11990" t="s">
        <v>53</v>
      </c>
      <c r="H11990" t="s">
        <v>44</v>
      </c>
      <c r="I11990" t="s">
        <v>2192</v>
      </c>
      <c r="J11990" s="10">
        <v>7</v>
      </c>
      <c r="K11990" t="b">
        <v>1</v>
      </c>
    </row>
    <row r="11991" spans="1:11">
      <c r="A11991" s="12">
        <v>43139</v>
      </c>
      <c r="B11991">
        <v>2018</v>
      </c>
      <c r="C11991">
        <v>2</v>
      </c>
      <c r="D11991" s="11">
        <v>43132</v>
      </c>
      <c r="E11991" t="s">
        <v>2174</v>
      </c>
      <c r="F11991">
        <v>4</v>
      </c>
      <c r="G11991" t="s">
        <v>53</v>
      </c>
      <c r="H11991" t="s">
        <v>45</v>
      </c>
      <c r="I11991" t="s">
        <v>2193</v>
      </c>
      <c r="J11991" s="10">
        <v>0</v>
      </c>
      <c r="K11991" t="b">
        <v>1</v>
      </c>
    </row>
    <row r="11992" spans="1:11">
      <c r="A11992" s="12">
        <v>43139</v>
      </c>
      <c r="B11992">
        <v>2018</v>
      </c>
      <c r="C11992">
        <v>2</v>
      </c>
      <c r="D11992" s="11">
        <v>43132</v>
      </c>
      <c r="E11992" t="s">
        <v>2174</v>
      </c>
      <c r="F11992">
        <v>4</v>
      </c>
      <c r="G11992" t="s">
        <v>53</v>
      </c>
      <c r="H11992" t="s">
        <v>46</v>
      </c>
      <c r="I11992" t="s">
        <v>2194</v>
      </c>
      <c r="J11992" s="10">
        <v>1.25</v>
      </c>
      <c r="K11992" t="b">
        <v>1</v>
      </c>
    </row>
    <row r="11993" spans="1:11">
      <c r="A11993" s="12">
        <v>43139</v>
      </c>
      <c r="B11993">
        <v>2018</v>
      </c>
      <c r="C11993">
        <v>2</v>
      </c>
      <c r="D11993" s="11">
        <v>43132</v>
      </c>
      <c r="E11993" t="s">
        <v>2174</v>
      </c>
      <c r="F11993">
        <v>4</v>
      </c>
      <c r="G11993" t="s">
        <v>53</v>
      </c>
      <c r="H11993" t="s">
        <v>47</v>
      </c>
      <c r="I11993" t="s">
        <v>2195</v>
      </c>
      <c r="J11993" s="10">
        <v>0</v>
      </c>
      <c r="K11993" t="b">
        <v>1</v>
      </c>
    </row>
    <row r="11994" spans="1:11">
      <c r="A11994" s="12">
        <v>43140</v>
      </c>
      <c r="B11994">
        <v>2018</v>
      </c>
      <c r="C11994">
        <v>2</v>
      </c>
      <c r="D11994" s="11">
        <v>43132</v>
      </c>
      <c r="E11994" t="s">
        <v>2174</v>
      </c>
      <c r="F11994">
        <v>5</v>
      </c>
      <c r="G11994" t="s">
        <v>55</v>
      </c>
      <c r="H11994" t="s">
        <v>40</v>
      </c>
      <c r="I11994" t="s">
        <v>2188</v>
      </c>
      <c r="J11994" s="10">
        <v>3</v>
      </c>
      <c r="K11994" t="b">
        <v>1</v>
      </c>
    </row>
    <row r="11995" spans="1:11">
      <c r="A11995" s="12">
        <v>43140</v>
      </c>
      <c r="B11995">
        <v>2018</v>
      </c>
      <c r="C11995">
        <v>2</v>
      </c>
      <c r="D11995" s="11">
        <v>43132</v>
      </c>
      <c r="E11995" t="s">
        <v>2174</v>
      </c>
      <c r="F11995">
        <v>5</v>
      </c>
      <c r="G11995" t="s">
        <v>55</v>
      </c>
      <c r="H11995" t="s">
        <v>41</v>
      </c>
      <c r="I11995" t="s">
        <v>2189</v>
      </c>
      <c r="J11995" s="10">
        <v>3.69</v>
      </c>
      <c r="K11995" t="b">
        <v>1</v>
      </c>
    </row>
    <row r="11996" spans="1:11">
      <c r="A11996" s="12">
        <v>43140</v>
      </c>
      <c r="B11996">
        <v>2018</v>
      </c>
      <c r="C11996">
        <v>2</v>
      </c>
      <c r="D11996" s="11">
        <v>43132</v>
      </c>
      <c r="E11996" t="s">
        <v>2174</v>
      </c>
      <c r="F11996">
        <v>5</v>
      </c>
      <c r="G11996" t="s">
        <v>55</v>
      </c>
      <c r="H11996" t="s">
        <v>42</v>
      </c>
      <c r="I11996" t="s">
        <v>2190</v>
      </c>
      <c r="J11996" s="10">
        <v>4.25</v>
      </c>
      <c r="K11996" t="b">
        <v>1</v>
      </c>
    </row>
    <row r="11997" spans="1:11">
      <c r="A11997" s="12">
        <v>43140</v>
      </c>
      <c r="B11997">
        <v>2018</v>
      </c>
      <c r="C11997">
        <v>2</v>
      </c>
      <c r="D11997" s="11">
        <v>43132</v>
      </c>
      <c r="E11997" t="s">
        <v>2174</v>
      </c>
      <c r="F11997">
        <v>5</v>
      </c>
      <c r="G11997" t="s">
        <v>55</v>
      </c>
      <c r="H11997" t="s">
        <v>43</v>
      </c>
      <c r="I11997" t="s">
        <v>2191</v>
      </c>
      <c r="J11997" s="10">
        <v>47</v>
      </c>
      <c r="K11997" t="b">
        <v>1</v>
      </c>
    </row>
    <row r="11998" spans="1:11">
      <c r="A11998" s="12">
        <v>43140</v>
      </c>
      <c r="B11998">
        <v>2018</v>
      </c>
      <c r="C11998">
        <v>2</v>
      </c>
      <c r="D11998" s="11">
        <v>43132</v>
      </c>
      <c r="E11998" t="s">
        <v>2174</v>
      </c>
      <c r="F11998">
        <v>5</v>
      </c>
      <c r="G11998" t="s">
        <v>55</v>
      </c>
      <c r="H11998" t="s">
        <v>44</v>
      </c>
      <c r="I11998" t="s">
        <v>2192</v>
      </c>
      <c r="J11998" s="10">
        <v>17</v>
      </c>
      <c r="K11998" t="b">
        <v>1</v>
      </c>
    </row>
    <row r="11999" spans="1:11">
      <c r="A11999" s="12">
        <v>43140</v>
      </c>
      <c r="B11999">
        <v>2018</v>
      </c>
      <c r="C11999">
        <v>2</v>
      </c>
      <c r="D11999" s="11">
        <v>43132</v>
      </c>
      <c r="E11999" t="s">
        <v>2174</v>
      </c>
      <c r="F11999">
        <v>5</v>
      </c>
      <c r="G11999" t="s">
        <v>55</v>
      </c>
      <c r="H11999" t="s">
        <v>45</v>
      </c>
      <c r="I11999" t="s">
        <v>2193</v>
      </c>
      <c r="J11999" s="10">
        <v>0</v>
      </c>
      <c r="K11999" t="b">
        <v>1</v>
      </c>
    </row>
    <row r="12000" spans="1:11">
      <c r="A12000" s="12">
        <v>43140</v>
      </c>
      <c r="B12000">
        <v>2018</v>
      </c>
      <c r="C12000">
        <v>2</v>
      </c>
      <c r="D12000" s="11">
        <v>43132</v>
      </c>
      <c r="E12000" t="s">
        <v>2174</v>
      </c>
      <c r="F12000">
        <v>5</v>
      </c>
      <c r="G12000" t="s">
        <v>55</v>
      </c>
      <c r="H12000" t="s">
        <v>46</v>
      </c>
      <c r="I12000" t="s">
        <v>2194</v>
      </c>
      <c r="J12000" s="10">
        <v>11</v>
      </c>
      <c r="K12000" t="b">
        <v>1</v>
      </c>
    </row>
    <row r="12001" spans="1:11">
      <c r="A12001" s="12">
        <v>43140</v>
      </c>
      <c r="B12001">
        <v>2018</v>
      </c>
      <c r="C12001">
        <v>2</v>
      </c>
      <c r="D12001" s="11">
        <v>43132</v>
      </c>
      <c r="E12001" t="s">
        <v>2174</v>
      </c>
      <c r="F12001">
        <v>5</v>
      </c>
      <c r="G12001" t="s">
        <v>55</v>
      </c>
      <c r="H12001" t="s">
        <v>47</v>
      </c>
      <c r="I12001" t="s">
        <v>2195</v>
      </c>
      <c r="J12001" s="10">
        <v>0</v>
      </c>
      <c r="K12001" t="b">
        <v>1</v>
      </c>
    </row>
    <row r="12002" spans="1:11">
      <c r="A12002" s="12">
        <v>43141</v>
      </c>
      <c r="B12002">
        <v>2018</v>
      </c>
      <c r="C12002">
        <v>2</v>
      </c>
      <c r="D12002" s="11">
        <v>43132</v>
      </c>
      <c r="E12002" t="s">
        <v>2174</v>
      </c>
      <c r="F12002">
        <v>6</v>
      </c>
      <c r="G12002" t="s">
        <v>57</v>
      </c>
      <c r="H12002" t="s">
        <v>40</v>
      </c>
      <c r="I12002" t="s">
        <v>2188</v>
      </c>
      <c r="J12002" s="10">
        <v>10.01</v>
      </c>
      <c r="K12002" t="b">
        <v>1</v>
      </c>
    </row>
    <row r="12003" spans="1:11">
      <c r="A12003" s="12">
        <v>43141</v>
      </c>
      <c r="B12003">
        <v>2018</v>
      </c>
      <c r="C12003">
        <v>2</v>
      </c>
      <c r="D12003" s="11">
        <v>43132</v>
      </c>
      <c r="E12003" t="s">
        <v>2174</v>
      </c>
      <c r="F12003">
        <v>6</v>
      </c>
      <c r="G12003" t="s">
        <v>57</v>
      </c>
      <c r="H12003" t="s">
        <v>41</v>
      </c>
      <c r="I12003" t="s">
        <v>2189</v>
      </c>
      <c r="J12003" s="10">
        <v>5.231</v>
      </c>
      <c r="K12003" t="b">
        <v>1</v>
      </c>
    </row>
    <row r="12004" spans="1:11">
      <c r="A12004" s="12">
        <v>43141</v>
      </c>
      <c r="B12004">
        <v>2018</v>
      </c>
      <c r="C12004">
        <v>2</v>
      </c>
      <c r="D12004" s="11">
        <v>43132</v>
      </c>
      <c r="E12004" t="s">
        <v>2174</v>
      </c>
      <c r="F12004">
        <v>6</v>
      </c>
      <c r="G12004" t="s">
        <v>57</v>
      </c>
      <c r="H12004" t="s">
        <v>42</v>
      </c>
      <c r="I12004" t="s">
        <v>2190</v>
      </c>
      <c r="J12004" s="10">
        <v>3.5</v>
      </c>
      <c r="K12004" t="b">
        <v>1</v>
      </c>
    </row>
    <row r="12005" spans="1:11">
      <c r="A12005" s="12">
        <v>43141</v>
      </c>
      <c r="B12005">
        <v>2018</v>
      </c>
      <c r="C12005">
        <v>2</v>
      </c>
      <c r="D12005" s="11">
        <v>43132</v>
      </c>
      <c r="E12005" t="s">
        <v>2174</v>
      </c>
      <c r="F12005">
        <v>6</v>
      </c>
      <c r="G12005" t="s">
        <v>57</v>
      </c>
      <c r="H12005" t="s">
        <v>43</v>
      </c>
      <c r="I12005" t="s">
        <v>2191</v>
      </c>
      <c r="J12005" s="10">
        <v>60.4</v>
      </c>
      <c r="K12005" t="b">
        <v>1</v>
      </c>
    </row>
    <row r="12006" spans="1:11">
      <c r="A12006" s="12">
        <v>43141</v>
      </c>
      <c r="B12006">
        <v>2018</v>
      </c>
      <c r="C12006">
        <v>2</v>
      </c>
      <c r="D12006" s="11">
        <v>43132</v>
      </c>
      <c r="E12006" t="s">
        <v>2174</v>
      </c>
      <c r="F12006">
        <v>6</v>
      </c>
      <c r="G12006" t="s">
        <v>57</v>
      </c>
      <c r="H12006" t="s">
        <v>44</v>
      </c>
      <c r="I12006" t="s">
        <v>2192</v>
      </c>
      <c r="J12006" s="10">
        <v>6</v>
      </c>
      <c r="K12006" t="b">
        <v>1</v>
      </c>
    </row>
    <row r="12007" spans="1:11">
      <c r="A12007" s="12">
        <v>43141</v>
      </c>
      <c r="B12007">
        <v>2018</v>
      </c>
      <c r="C12007">
        <v>2</v>
      </c>
      <c r="D12007" s="11">
        <v>43132</v>
      </c>
      <c r="E12007" t="s">
        <v>2174</v>
      </c>
      <c r="F12007">
        <v>6</v>
      </c>
      <c r="G12007" t="s">
        <v>57</v>
      </c>
      <c r="H12007" t="s">
        <v>45</v>
      </c>
      <c r="I12007" t="s">
        <v>2193</v>
      </c>
      <c r="J12007" s="10">
        <v>0</v>
      </c>
      <c r="K12007" t="b">
        <v>1</v>
      </c>
    </row>
    <row r="12008" spans="1:11">
      <c r="A12008" s="12">
        <v>43141</v>
      </c>
      <c r="B12008">
        <v>2018</v>
      </c>
      <c r="C12008">
        <v>2</v>
      </c>
      <c r="D12008" s="11">
        <v>43132</v>
      </c>
      <c r="E12008" t="s">
        <v>2174</v>
      </c>
      <c r="F12008">
        <v>6</v>
      </c>
      <c r="G12008" t="s">
        <v>57</v>
      </c>
      <c r="H12008" t="s">
        <v>46</v>
      </c>
      <c r="I12008" t="s">
        <v>2194</v>
      </c>
      <c r="J12008" s="10">
        <v>15</v>
      </c>
      <c r="K12008" t="b">
        <v>1</v>
      </c>
    </row>
    <row r="12009" spans="1:11">
      <c r="A12009" s="12">
        <v>43141</v>
      </c>
      <c r="B12009">
        <v>2018</v>
      </c>
      <c r="C12009">
        <v>2</v>
      </c>
      <c r="D12009" s="11">
        <v>43132</v>
      </c>
      <c r="E12009" t="s">
        <v>2174</v>
      </c>
      <c r="F12009">
        <v>6</v>
      </c>
      <c r="G12009" t="s">
        <v>57</v>
      </c>
      <c r="H12009" t="s">
        <v>47</v>
      </c>
      <c r="I12009" t="s">
        <v>2195</v>
      </c>
      <c r="J12009" s="10">
        <v>3</v>
      </c>
      <c r="K12009" t="b">
        <v>1</v>
      </c>
    </row>
    <row r="12010" spans="1:11">
      <c r="A12010" s="12">
        <v>43142</v>
      </c>
      <c r="B12010">
        <v>2018</v>
      </c>
      <c r="C12010">
        <v>2</v>
      </c>
      <c r="D12010" s="11">
        <v>43132</v>
      </c>
      <c r="E12010" t="s">
        <v>2174</v>
      </c>
      <c r="F12010">
        <v>7</v>
      </c>
      <c r="G12010" t="s">
        <v>59</v>
      </c>
      <c r="H12010" t="s">
        <v>40</v>
      </c>
      <c r="I12010" t="s">
        <v>2188</v>
      </c>
      <c r="J12010" s="10">
        <v>6.33</v>
      </c>
      <c r="K12010" t="b">
        <v>1</v>
      </c>
    </row>
    <row r="12011" spans="1:11">
      <c r="A12011" s="12">
        <v>43142</v>
      </c>
      <c r="B12011">
        <v>2018</v>
      </c>
      <c r="C12011">
        <v>2</v>
      </c>
      <c r="D12011" s="11">
        <v>43132</v>
      </c>
      <c r="E12011" t="s">
        <v>2174</v>
      </c>
      <c r="F12011">
        <v>7</v>
      </c>
      <c r="G12011" t="s">
        <v>59</v>
      </c>
      <c r="H12011" t="s">
        <v>41</v>
      </c>
      <c r="I12011" t="s">
        <v>2189</v>
      </c>
      <c r="J12011" s="10">
        <v>5.396</v>
      </c>
      <c r="K12011" t="b">
        <v>1</v>
      </c>
    </row>
    <row r="12012" spans="1:11">
      <c r="A12012" s="12">
        <v>43142</v>
      </c>
      <c r="B12012">
        <v>2018</v>
      </c>
      <c r="C12012">
        <v>2</v>
      </c>
      <c r="D12012" s="11">
        <v>43132</v>
      </c>
      <c r="E12012" t="s">
        <v>2174</v>
      </c>
      <c r="F12012">
        <v>7</v>
      </c>
      <c r="G12012" t="s">
        <v>59</v>
      </c>
      <c r="H12012" t="s">
        <v>42</v>
      </c>
      <c r="I12012" t="s">
        <v>2190</v>
      </c>
      <c r="J12012" s="10">
        <v>7.8</v>
      </c>
      <c r="K12012" t="b">
        <v>1</v>
      </c>
    </row>
    <row r="12013" spans="1:11">
      <c r="A12013" s="12">
        <v>43142</v>
      </c>
      <c r="B12013">
        <v>2018</v>
      </c>
      <c r="C12013">
        <v>2</v>
      </c>
      <c r="D12013" s="11">
        <v>43132</v>
      </c>
      <c r="E12013" t="s">
        <v>2174</v>
      </c>
      <c r="F12013">
        <v>7</v>
      </c>
      <c r="G12013" t="s">
        <v>59</v>
      </c>
      <c r="H12013" t="s">
        <v>43</v>
      </c>
      <c r="I12013" t="s">
        <v>2191</v>
      </c>
      <c r="J12013" s="10">
        <v>63.25</v>
      </c>
      <c r="K12013" t="b">
        <v>1</v>
      </c>
    </row>
    <row r="12014" spans="1:11">
      <c r="A12014" s="12">
        <v>43142</v>
      </c>
      <c r="B12014">
        <v>2018</v>
      </c>
      <c r="C12014">
        <v>2</v>
      </c>
      <c r="D12014" s="11">
        <v>43132</v>
      </c>
      <c r="E12014" t="s">
        <v>2174</v>
      </c>
      <c r="F12014">
        <v>7</v>
      </c>
      <c r="G12014" t="s">
        <v>59</v>
      </c>
      <c r="H12014" t="s">
        <v>44</v>
      </c>
      <c r="I12014" t="s">
        <v>2192</v>
      </c>
      <c r="J12014" s="10">
        <v>12</v>
      </c>
      <c r="K12014" t="b">
        <v>1</v>
      </c>
    </row>
    <row r="12015" spans="1:11">
      <c r="A12015" s="12">
        <v>43142</v>
      </c>
      <c r="B12015">
        <v>2018</v>
      </c>
      <c r="C12015">
        <v>2</v>
      </c>
      <c r="D12015" s="11">
        <v>43132</v>
      </c>
      <c r="E12015" t="s">
        <v>2174</v>
      </c>
      <c r="F12015">
        <v>7</v>
      </c>
      <c r="G12015" t="s">
        <v>59</v>
      </c>
      <c r="H12015" t="s">
        <v>45</v>
      </c>
      <c r="I12015" t="s">
        <v>2193</v>
      </c>
      <c r="J12015" s="10">
        <v>0</v>
      </c>
      <c r="K12015" t="b">
        <v>1</v>
      </c>
    </row>
    <row r="12016" spans="1:11">
      <c r="A12016" s="12">
        <v>43142</v>
      </c>
      <c r="B12016">
        <v>2018</v>
      </c>
      <c r="C12016">
        <v>2</v>
      </c>
      <c r="D12016" s="11">
        <v>43132</v>
      </c>
      <c r="E12016" t="s">
        <v>2174</v>
      </c>
      <c r="F12016">
        <v>7</v>
      </c>
      <c r="G12016" t="s">
        <v>59</v>
      </c>
      <c r="H12016" t="s">
        <v>46</v>
      </c>
      <c r="I12016" t="s">
        <v>2194</v>
      </c>
      <c r="J12016" s="10">
        <v>10</v>
      </c>
      <c r="K12016" t="b">
        <v>1</v>
      </c>
    </row>
    <row r="12017" spans="1:11">
      <c r="A12017" s="12">
        <v>43142</v>
      </c>
      <c r="B12017">
        <v>2018</v>
      </c>
      <c r="C12017">
        <v>2</v>
      </c>
      <c r="D12017" s="11">
        <v>43132</v>
      </c>
      <c r="E12017" t="s">
        <v>2174</v>
      </c>
      <c r="F12017">
        <v>7</v>
      </c>
      <c r="G12017" t="s">
        <v>59</v>
      </c>
      <c r="H12017" t="s">
        <v>47</v>
      </c>
      <c r="I12017" t="s">
        <v>2195</v>
      </c>
      <c r="J12017" s="10">
        <v>2</v>
      </c>
      <c r="K12017" t="b">
        <v>1</v>
      </c>
    </row>
    <row r="12018" spans="1:11">
      <c r="A12018" s="12">
        <v>43143</v>
      </c>
      <c r="B12018">
        <v>2018</v>
      </c>
      <c r="C12018">
        <v>2</v>
      </c>
      <c r="D12018" s="11">
        <v>43132</v>
      </c>
      <c r="E12018" t="s">
        <v>2174</v>
      </c>
      <c r="F12018">
        <v>1</v>
      </c>
      <c r="G12018" t="s">
        <v>61</v>
      </c>
      <c r="H12018" t="s">
        <v>40</v>
      </c>
      <c r="I12018" t="s">
        <v>2188</v>
      </c>
      <c r="J12018" s="10">
        <v>8</v>
      </c>
      <c r="K12018" t="b">
        <v>1</v>
      </c>
    </row>
    <row r="12019" spans="1:11">
      <c r="A12019" s="12">
        <v>43143</v>
      </c>
      <c r="B12019">
        <v>2018</v>
      </c>
      <c r="C12019">
        <v>2</v>
      </c>
      <c r="D12019" s="11">
        <v>43132</v>
      </c>
      <c r="E12019" t="s">
        <v>2174</v>
      </c>
      <c r="F12019">
        <v>1</v>
      </c>
      <c r="G12019" t="s">
        <v>61</v>
      </c>
      <c r="H12019" t="s">
        <v>41</v>
      </c>
      <c r="I12019" t="s">
        <v>2189</v>
      </c>
      <c r="J12019" s="10">
        <v>4.769</v>
      </c>
      <c r="K12019" t="b">
        <v>1</v>
      </c>
    </row>
    <row r="12020" spans="1:11">
      <c r="A12020" s="12">
        <v>43143</v>
      </c>
      <c r="B12020">
        <v>2018</v>
      </c>
      <c r="C12020">
        <v>2</v>
      </c>
      <c r="D12020" s="11">
        <v>43132</v>
      </c>
      <c r="E12020" t="s">
        <v>2174</v>
      </c>
      <c r="F12020">
        <v>1</v>
      </c>
      <c r="G12020" t="s">
        <v>61</v>
      </c>
      <c r="H12020" t="s">
        <v>42</v>
      </c>
      <c r="I12020" t="s">
        <v>2190</v>
      </c>
      <c r="J12020" s="10">
        <v>10</v>
      </c>
      <c r="K12020" t="b">
        <v>1</v>
      </c>
    </row>
    <row r="12021" spans="1:11">
      <c r="A12021" s="12">
        <v>43143</v>
      </c>
      <c r="B12021">
        <v>2018</v>
      </c>
      <c r="C12021">
        <v>2</v>
      </c>
      <c r="D12021" s="11">
        <v>43132</v>
      </c>
      <c r="E12021" t="s">
        <v>2174</v>
      </c>
      <c r="F12021">
        <v>1</v>
      </c>
      <c r="G12021" t="s">
        <v>61</v>
      </c>
      <c r="H12021" t="s">
        <v>43</v>
      </c>
      <c r="I12021" t="s">
        <v>2191</v>
      </c>
      <c r="J12021" s="10">
        <v>36.3</v>
      </c>
      <c r="K12021" t="b">
        <v>1</v>
      </c>
    </row>
    <row r="12022" spans="1:11">
      <c r="A12022" s="12">
        <v>43143</v>
      </c>
      <c r="B12022">
        <v>2018</v>
      </c>
      <c r="C12022">
        <v>2</v>
      </c>
      <c r="D12022" s="11">
        <v>43132</v>
      </c>
      <c r="E12022" t="s">
        <v>2174</v>
      </c>
      <c r="F12022">
        <v>1</v>
      </c>
      <c r="G12022" t="s">
        <v>61</v>
      </c>
      <c r="H12022" t="s">
        <v>44</v>
      </c>
      <c r="I12022" t="s">
        <v>2192</v>
      </c>
      <c r="J12022" s="10">
        <v>14</v>
      </c>
      <c r="K12022" t="b">
        <v>1</v>
      </c>
    </row>
    <row r="12023" spans="1:11">
      <c r="A12023" s="12">
        <v>43143</v>
      </c>
      <c r="B12023">
        <v>2018</v>
      </c>
      <c r="C12023">
        <v>2</v>
      </c>
      <c r="D12023" s="11">
        <v>43132</v>
      </c>
      <c r="E12023" t="s">
        <v>2174</v>
      </c>
      <c r="F12023">
        <v>1</v>
      </c>
      <c r="G12023" t="s">
        <v>61</v>
      </c>
      <c r="H12023" t="s">
        <v>45</v>
      </c>
      <c r="I12023" t="s">
        <v>2193</v>
      </c>
      <c r="J12023" s="10">
        <v>1</v>
      </c>
      <c r="K12023" t="b">
        <v>1</v>
      </c>
    </row>
    <row r="12024" spans="1:11">
      <c r="A12024" s="12">
        <v>43143</v>
      </c>
      <c r="B12024">
        <v>2018</v>
      </c>
      <c r="C12024">
        <v>2</v>
      </c>
      <c r="D12024" s="11">
        <v>43132</v>
      </c>
      <c r="E12024" t="s">
        <v>2174</v>
      </c>
      <c r="F12024">
        <v>1</v>
      </c>
      <c r="G12024" t="s">
        <v>61</v>
      </c>
      <c r="H12024" t="s">
        <v>46</v>
      </c>
      <c r="I12024" t="s">
        <v>2194</v>
      </c>
      <c r="J12024" s="10">
        <v>1</v>
      </c>
      <c r="K12024" t="b">
        <v>1</v>
      </c>
    </row>
    <row r="12025" spans="1:11">
      <c r="A12025" s="12">
        <v>43143</v>
      </c>
      <c r="B12025">
        <v>2018</v>
      </c>
      <c r="C12025">
        <v>2</v>
      </c>
      <c r="D12025" s="11">
        <v>43132</v>
      </c>
      <c r="E12025" t="s">
        <v>2174</v>
      </c>
      <c r="F12025">
        <v>1</v>
      </c>
      <c r="G12025" t="s">
        <v>61</v>
      </c>
      <c r="H12025" t="s">
        <v>47</v>
      </c>
      <c r="I12025" t="s">
        <v>2195</v>
      </c>
      <c r="J12025" s="10">
        <v>1</v>
      </c>
      <c r="K12025" t="b">
        <v>1</v>
      </c>
    </row>
    <row r="12026" spans="1:11">
      <c r="A12026" s="12">
        <v>43144</v>
      </c>
      <c r="B12026">
        <v>2018</v>
      </c>
      <c r="C12026">
        <v>2</v>
      </c>
      <c r="D12026" s="11">
        <v>43132</v>
      </c>
      <c r="E12026" t="s">
        <v>2174</v>
      </c>
      <c r="F12026">
        <v>2</v>
      </c>
      <c r="G12026" t="s">
        <v>63</v>
      </c>
      <c r="H12026" t="s">
        <v>40</v>
      </c>
      <c r="I12026" t="s">
        <v>2188</v>
      </c>
      <c r="J12026" s="10">
        <v>6</v>
      </c>
      <c r="K12026" t="b">
        <v>1</v>
      </c>
    </row>
    <row r="12027" spans="1:11">
      <c r="A12027" s="12">
        <v>43144</v>
      </c>
      <c r="B12027">
        <v>2018</v>
      </c>
      <c r="C12027">
        <v>2</v>
      </c>
      <c r="D12027" s="11">
        <v>43132</v>
      </c>
      <c r="E12027" t="s">
        <v>2174</v>
      </c>
      <c r="F12027">
        <v>2</v>
      </c>
      <c r="G12027" t="s">
        <v>63</v>
      </c>
      <c r="H12027" t="s">
        <v>41</v>
      </c>
      <c r="I12027" t="s">
        <v>2189</v>
      </c>
      <c r="J12027" s="10">
        <v>8.032999999999999</v>
      </c>
      <c r="K12027" t="b">
        <v>1</v>
      </c>
    </row>
    <row r="12028" spans="1:11">
      <c r="A12028" s="12">
        <v>43144</v>
      </c>
      <c r="B12028">
        <v>2018</v>
      </c>
      <c r="C12028">
        <v>2</v>
      </c>
      <c r="D12028" s="11">
        <v>43132</v>
      </c>
      <c r="E12028" t="s">
        <v>2174</v>
      </c>
      <c r="F12028">
        <v>2</v>
      </c>
      <c r="G12028" t="s">
        <v>63</v>
      </c>
      <c r="H12028" t="s">
        <v>42</v>
      </c>
      <c r="I12028" t="s">
        <v>2190</v>
      </c>
      <c r="J12028" s="10">
        <v>5</v>
      </c>
      <c r="K12028" t="b">
        <v>1</v>
      </c>
    </row>
    <row r="12029" spans="1:11">
      <c r="A12029" s="12">
        <v>43144</v>
      </c>
      <c r="B12029">
        <v>2018</v>
      </c>
      <c r="C12029">
        <v>2</v>
      </c>
      <c r="D12029" s="11">
        <v>43132</v>
      </c>
      <c r="E12029" t="s">
        <v>2174</v>
      </c>
      <c r="F12029">
        <v>2</v>
      </c>
      <c r="G12029" t="s">
        <v>63</v>
      </c>
      <c r="H12029" t="s">
        <v>43</v>
      </c>
      <c r="I12029" t="s">
        <v>2191</v>
      </c>
      <c r="J12029" s="10">
        <v>17.8</v>
      </c>
      <c r="K12029" t="b">
        <v>1</v>
      </c>
    </row>
    <row r="12030" spans="1:11">
      <c r="A12030" s="12">
        <v>43144</v>
      </c>
      <c r="B12030">
        <v>2018</v>
      </c>
      <c r="C12030">
        <v>2</v>
      </c>
      <c r="D12030" s="11">
        <v>43132</v>
      </c>
      <c r="E12030" t="s">
        <v>2174</v>
      </c>
      <c r="F12030">
        <v>2</v>
      </c>
      <c r="G12030" t="s">
        <v>63</v>
      </c>
      <c r="H12030" t="s">
        <v>44</v>
      </c>
      <c r="I12030" t="s">
        <v>2192</v>
      </c>
      <c r="J12030" s="10">
        <v>10</v>
      </c>
      <c r="K12030" t="b">
        <v>1</v>
      </c>
    </row>
    <row r="12031" spans="1:11">
      <c r="A12031" s="12">
        <v>43144</v>
      </c>
      <c r="B12031">
        <v>2018</v>
      </c>
      <c r="C12031">
        <v>2</v>
      </c>
      <c r="D12031" s="11">
        <v>43132</v>
      </c>
      <c r="E12031" t="s">
        <v>2174</v>
      </c>
      <c r="F12031">
        <v>2</v>
      </c>
      <c r="G12031" t="s">
        <v>63</v>
      </c>
      <c r="H12031" t="s">
        <v>45</v>
      </c>
      <c r="I12031" t="s">
        <v>2193</v>
      </c>
      <c r="J12031" s="10">
        <v>0</v>
      </c>
      <c r="K12031" t="b">
        <v>1</v>
      </c>
    </row>
    <row r="12032" spans="1:11">
      <c r="A12032" s="12">
        <v>43144</v>
      </c>
      <c r="B12032">
        <v>2018</v>
      </c>
      <c r="C12032">
        <v>2</v>
      </c>
      <c r="D12032" s="11">
        <v>43132</v>
      </c>
      <c r="E12032" t="s">
        <v>2174</v>
      </c>
      <c r="F12032">
        <v>2</v>
      </c>
      <c r="G12032" t="s">
        <v>63</v>
      </c>
      <c r="H12032" t="s">
        <v>46</v>
      </c>
      <c r="I12032" t="s">
        <v>2194</v>
      </c>
      <c r="J12032" s="10">
        <v>10</v>
      </c>
      <c r="K12032" t="b">
        <v>1</v>
      </c>
    </row>
    <row r="12033" spans="1:11">
      <c r="A12033" s="12">
        <v>43144</v>
      </c>
      <c r="B12033">
        <v>2018</v>
      </c>
      <c r="C12033">
        <v>2</v>
      </c>
      <c r="D12033" s="11">
        <v>43132</v>
      </c>
      <c r="E12033" t="s">
        <v>2174</v>
      </c>
      <c r="F12033">
        <v>2</v>
      </c>
      <c r="G12033" t="s">
        <v>63</v>
      </c>
      <c r="H12033" t="s">
        <v>47</v>
      </c>
      <c r="I12033" t="s">
        <v>2195</v>
      </c>
      <c r="J12033" s="10">
        <v>3</v>
      </c>
      <c r="K12033" t="b">
        <v>1</v>
      </c>
    </row>
    <row r="12034" spans="1:11">
      <c r="A12034" s="12">
        <v>43145</v>
      </c>
      <c r="B12034">
        <v>2018</v>
      </c>
      <c r="C12034">
        <v>2</v>
      </c>
      <c r="D12034" s="11">
        <v>43132</v>
      </c>
      <c r="E12034" t="s">
        <v>2174</v>
      </c>
      <c r="F12034">
        <v>3</v>
      </c>
      <c r="G12034" t="s">
        <v>65</v>
      </c>
      <c r="H12034" t="s">
        <v>40</v>
      </c>
      <c r="I12034" t="s">
        <v>2188</v>
      </c>
      <c r="J12034" s="10">
        <v>1</v>
      </c>
      <c r="K12034" t="b">
        <v>1</v>
      </c>
    </row>
    <row r="12035" spans="1:11">
      <c r="A12035" s="12">
        <v>43145</v>
      </c>
      <c r="B12035">
        <v>2018</v>
      </c>
      <c r="C12035">
        <v>2</v>
      </c>
      <c r="D12035" s="11">
        <v>43132</v>
      </c>
      <c r="E12035" t="s">
        <v>2174</v>
      </c>
      <c r="F12035">
        <v>3</v>
      </c>
      <c r="G12035" t="s">
        <v>65</v>
      </c>
      <c r="H12035" t="s">
        <v>41</v>
      </c>
      <c r="I12035" t="s">
        <v>2189</v>
      </c>
      <c r="J12035" s="10">
        <v>6.33</v>
      </c>
      <c r="K12035" t="b">
        <v>1</v>
      </c>
    </row>
    <row r="12036" spans="1:11">
      <c r="A12036" s="12">
        <v>43145</v>
      </c>
      <c r="B12036">
        <v>2018</v>
      </c>
      <c r="C12036">
        <v>2</v>
      </c>
      <c r="D12036" s="11">
        <v>43132</v>
      </c>
      <c r="E12036" t="s">
        <v>2174</v>
      </c>
      <c r="F12036">
        <v>3</v>
      </c>
      <c r="G12036" t="s">
        <v>65</v>
      </c>
      <c r="H12036" t="s">
        <v>42</v>
      </c>
      <c r="I12036" t="s">
        <v>2190</v>
      </c>
      <c r="J12036" s="10">
        <v>2.1</v>
      </c>
      <c r="K12036" t="b">
        <v>1</v>
      </c>
    </row>
    <row r="12037" spans="1:11">
      <c r="A12037" s="12">
        <v>43145</v>
      </c>
      <c r="B12037">
        <v>2018</v>
      </c>
      <c r="C12037">
        <v>2</v>
      </c>
      <c r="D12037" s="11">
        <v>43132</v>
      </c>
      <c r="E12037" t="s">
        <v>2174</v>
      </c>
      <c r="F12037">
        <v>3</v>
      </c>
      <c r="G12037" t="s">
        <v>65</v>
      </c>
      <c r="H12037" t="s">
        <v>43</v>
      </c>
      <c r="I12037" t="s">
        <v>2191</v>
      </c>
      <c r="J12037" s="10">
        <v>50.3</v>
      </c>
      <c r="K12037" t="b">
        <v>1</v>
      </c>
    </row>
    <row r="12038" spans="1:11">
      <c r="A12038" s="12">
        <v>43145</v>
      </c>
      <c r="B12038">
        <v>2018</v>
      </c>
      <c r="C12038">
        <v>2</v>
      </c>
      <c r="D12038" s="11">
        <v>43132</v>
      </c>
      <c r="E12038" t="s">
        <v>2174</v>
      </c>
      <c r="F12038">
        <v>3</v>
      </c>
      <c r="G12038" t="s">
        <v>65</v>
      </c>
      <c r="H12038" t="s">
        <v>44</v>
      </c>
      <c r="I12038" t="s">
        <v>2192</v>
      </c>
      <c r="J12038" s="10">
        <v>15</v>
      </c>
      <c r="K12038" t="b">
        <v>1</v>
      </c>
    </row>
    <row r="12039" spans="1:11">
      <c r="A12039" s="12">
        <v>43145</v>
      </c>
      <c r="B12039">
        <v>2018</v>
      </c>
      <c r="C12039">
        <v>2</v>
      </c>
      <c r="D12039" s="11">
        <v>43132</v>
      </c>
      <c r="E12039" t="s">
        <v>2174</v>
      </c>
      <c r="F12039">
        <v>3</v>
      </c>
      <c r="G12039" t="s">
        <v>65</v>
      </c>
      <c r="H12039" t="s">
        <v>45</v>
      </c>
      <c r="I12039" t="s">
        <v>2193</v>
      </c>
      <c r="J12039" s="10">
        <v>0</v>
      </c>
      <c r="K12039" t="b">
        <v>1</v>
      </c>
    </row>
    <row r="12040" spans="1:11">
      <c r="A12040" s="12">
        <v>43145</v>
      </c>
      <c r="B12040">
        <v>2018</v>
      </c>
      <c r="C12040">
        <v>2</v>
      </c>
      <c r="D12040" s="11">
        <v>43132</v>
      </c>
      <c r="E12040" t="s">
        <v>2174</v>
      </c>
      <c r="F12040">
        <v>3</v>
      </c>
      <c r="G12040" t="s">
        <v>65</v>
      </c>
      <c r="H12040" t="s">
        <v>46</v>
      </c>
      <c r="I12040" t="s">
        <v>2194</v>
      </c>
      <c r="J12040" s="10">
        <v>14</v>
      </c>
      <c r="K12040" t="b">
        <v>1</v>
      </c>
    </row>
    <row r="12041" spans="1:11">
      <c r="A12041" s="12">
        <v>43145</v>
      </c>
      <c r="B12041">
        <v>2018</v>
      </c>
      <c r="C12041">
        <v>2</v>
      </c>
      <c r="D12041" s="11">
        <v>43132</v>
      </c>
      <c r="E12041" t="s">
        <v>2174</v>
      </c>
      <c r="F12041">
        <v>3</v>
      </c>
      <c r="G12041" t="s">
        <v>65</v>
      </c>
      <c r="H12041" t="s">
        <v>47</v>
      </c>
      <c r="I12041" t="s">
        <v>2195</v>
      </c>
      <c r="J12041" s="10">
        <v>0</v>
      </c>
      <c r="K12041" t="b">
        <v>1</v>
      </c>
    </row>
    <row r="12042" spans="1:11">
      <c r="A12042" s="12">
        <v>43146</v>
      </c>
      <c r="B12042">
        <v>2018</v>
      </c>
      <c r="C12042">
        <v>2</v>
      </c>
      <c r="D12042" s="11">
        <v>43132</v>
      </c>
      <c r="E12042" t="s">
        <v>2174</v>
      </c>
      <c r="F12042">
        <v>4</v>
      </c>
      <c r="G12042" t="s">
        <v>53</v>
      </c>
      <c r="H12042" t="s">
        <v>40</v>
      </c>
      <c r="I12042" t="s">
        <v>2188</v>
      </c>
      <c r="J12042" s="10">
        <v>1.5</v>
      </c>
      <c r="K12042" t="b">
        <v>1</v>
      </c>
    </row>
    <row r="12043" spans="1:11">
      <c r="A12043" s="12">
        <v>43146</v>
      </c>
      <c r="B12043">
        <v>2018</v>
      </c>
      <c r="C12043">
        <v>2</v>
      </c>
      <c r="D12043" s="11">
        <v>43132</v>
      </c>
      <c r="E12043" t="s">
        <v>2174</v>
      </c>
      <c r="F12043">
        <v>4</v>
      </c>
      <c r="G12043" t="s">
        <v>53</v>
      </c>
      <c r="H12043" t="s">
        <v>41</v>
      </c>
      <c r="I12043" t="s">
        <v>2189</v>
      </c>
      <c r="J12043" s="10">
        <v>6.945</v>
      </c>
      <c r="K12043" t="b">
        <v>1</v>
      </c>
    </row>
    <row r="12044" spans="1:11">
      <c r="A12044" s="12">
        <v>43146</v>
      </c>
      <c r="B12044">
        <v>2018</v>
      </c>
      <c r="C12044">
        <v>2</v>
      </c>
      <c r="D12044" s="11">
        <v>43132</v>
      </c>
      <c r="E12044" t="s">
        <v>2174</v>
      </c>
      <c r="F12044">
        <v>4</v>
      </c>
      <c r="G12044" t="s">
        <v>53</v>
      </c>
      <c r="H12044" t="s">
        <v>42</v>
      </c>
      <c r="I12044" t="s">
        <v>2190</v>
      </c>
      <c r="J12044" s="10">
        <v>0.85</v>
      </c>
      <c r="K12044" t="b">
        <v>1</v>
      </c>
    </row>
    <row r="12045" spans="1:11">
      <c r="A12045" s="12">
        <v>43146</v>
      </c>
      <c r="B12045">
        <v>2018</v>
      </c>
      <c r="C12045">
        <v>2</v>
      </c>
      <c r="D12045" s="11">
        <v>43132</v>
      </c>
      <c r="E12045" t="s">
        <v>2174</v>
      </c>
      <c r="F12045">
        <v>4</v>
      </c>
      <c r="G12045" t="s">
        <v>53</v>
      </c>
      <c r="H12045" t="s">
        <v>43</v>
      </c>
      <c r="I12045" t="s">
        <v>2191</v>
      </c>
      <c r="J12045" s="10">
        <v>74.59999999999999</v>
      </c>
      <c r="K12045" t="b">
        <v>1</v>
      </c>
    </row>
    <row r="12046" spans="1:11">
      <c r="A12046" s="12">
        <v>43146</v>
      </c>
      <c r="B12046">
        <v>2018</v>
      </c>
      <c r="C12046">
        <v>2</v>
      </c>
      <c r="D12046" s="11">
        <v>43132</v>
      </c>
      <c r="E12046" t="s">
        <v>2174</v>
      </c>
      <c r="F12046">
        <v>4</v>
      </c>
      <c r="G12046" t="s">
        <v>53</v>
      </c>
      <c r="H12046" t="s">
        <v>44</v>
      </c>
      <c r="I12046" t="s">
        <v>2192</v>
      </c>
      <c r="J12046" s="10">
        <v>6</v>
      </c>
      <c r="K12046" t="b">
        <v>1</v>
      </c>
    </row>
    <row r="12047" spans="1:11">
      <c r="A12047" s="12">
        <v>43146</v>
      </c>
      <c r="B12047">
        <v>2018</v>
      </c>
      <c r="C12047">
        <v>2</v>
      </c>
      <c r="D12047" s="11">
        <v>43132</v>
      </c>
      <c r="E12047" t="s">
        <v>2174</v>
      </c>
      <c r="F12047">
        <v>4</v>
      </c>
      <c r="G12047" t="s">
        <v>53</v>
      </c>
      <c r="H12047" t="s">
        <v>45</v>
      </c>
      <c r="I12047" t="s">
        <v>2193</v>
      </c>
      <c r="J12047" s="10">
        <v>0</v>
      </c>
      <c r="K12047" t="b">
        <v>1</v>
      </c>
    </row>
    <row r="12048" spans="1:11">
      <c r="A12048" s="12">
        <v>43146</v>
      </c>
      <c r="B12048">
        <v>2018</v>
      </c>
      <c r="C12048">
        <v>2</v>
      </c>
      <c r="D12048" s="11">
        <v>43132</v>
      </c>
      <c r="E12048" t="s">
        <v>2174</v>
      </c>
      <c r="F12048">
        <v>4</v>
      </c>
      <c r="G12048" t="s">
        <v>53</v>
      </c>
      <c r="H12048" t="s">
        <v>46</v>
      </c>
      <c r="I12048" t="s">
        <v>2194</v>
      </c>
      <c r="J12048" s="10">
        <v>10</v>
      </c>
      <c r="K12048" t="b">
        <v>1</v>
      </c>
    </row>
    <row r="12049" spans="1:11">
      <c r="A12049" s="12">
        <v>43146</v>
      </c>
      <c r="B12049">
        <v>2018</v>
      </c>
      <c r="C12049">
        <v>2</v>
      </c>
      <c r="D12049" s="11">
        <v>43132</v>
      </c>
      <c r="E12049" t="s">
        <v>2174</v>
      </c>
      <c r="F12049">
        <v>4</v>
      </c>
      <c r="G12049" t="s">
        <v>53</v>
      </c>
      <c r="H12049" t="s">
        <v>47</v>
      </c>
      <c r="I12049" t="s">
        <v>2195</v>
      </c>
      <c r="J12049" s="10">
        <v>0</v>
      </c>
      <c r="K12049" t="b">
        <v>1</v>
      </c>
    </row>
    <row r="12050" spans="1:11">
      <c r="A12050" s="12">
        <v>43147</v>
      </c>
      <c r="B12050">
        <v>2018</v>
      </c>
      <c r="C12050">
        <v>2</v>
      </c>
      <c r="D12050" s="11">
        <v>43132</v>
      </c>
      <c r="E12050" t="s">
        <v>2174</v>
      </c>
      <c r="F12050">
        <v>5</v>
      </c>
      <c r="G12050" t="s">
        <v>55</v>
      </c>
      <c r="H12050" t="s">
        <v>40</v>
      </c>
      <c r="I12050" t="s">
        <v>2188</v>
      </c>
      <c r="J12050" s="10">
        <v>7.68</v>
      </c>
      <c r="K12050" t="b">
        <v>1</v>
      </c>
    </row>
    <row r="12051" spans="1:11">
      <c r="A12051" s="12">
        <v>43147</v>
      </c>
      <c r="B12051">
        <v>2018</v>
      </c>
      <c r="C12051">
        <v>2</v>
      </c>
      <c r="D12051" s="11">
        <v>43132</v>
      </c>
      <c r="E12051" t="s">
        <v>2174</v>
      </c>
      <c r="F12051">
        <v>5</v>
      </c>
      <c r="G12051" t="s">
        <v>55</v>
      </c>
      <c r="H12051" t="s">
        <v>41</v>
      </c>
      <c r="I12051" t="s">
        <v>2189</v>
      </c>
      <c r="J12051" s="10">
        <v>7.175</v>
      </c>
      <c r="K12051" t="b">
        <v>1</v>
      </c>
    </row>
    <row r="12052" spans="1:11">
      <c r="A12052" s="12">
        <v>43147</v>
      </c>
      <c r="B12052">
        <v>2018</v>
      </c>
      <c r="C12052">
        <v>2</v>
      </c>
      <c r="D12052" s="11">
        <v>43132</v>
      </c>
      <c r="E12052" t="s">
        <v>2174</v>
      </c>
      <c r="F12052">
        <v>5</v>
      </c>
      <c r="G12052" t="s">
        <v>55</v>
      </c>
      <c r="H12052" t="s">
        <v>42</v>
      </c>
      <c r="I12052" t="s">
        <v>2190</v>
      </c>
      <c r="J12052" s="10">
        <v>1.2</v>
      </c>
      <c r="K12052" t="b">
        <v>1</v>
      </c>
    </row>
    <row r="12053" spans="1:11">
      <c r="A12053" s="12">
        <v>43147</v>
      </c>
      <c r="B12053">
        <v>2018</v>
      </c>
      <c r="C12053">
        <v>2</v>
      </c>
      <c r="D12053" s="11">
        <v>43132</v>
      </c>
      <c r="E12053" t="s">
        <v>2174</v>
      </c>
      <c r="F12053">
        <v>5</v>
      </c>
      <c r="G12053" t="s">
        <v>55</v>
      </c>
      <c r="H12053" t="s">
        <v>43</v>
      </c>
      <c r="I12053" t="s">
        <v>2191</v>
      </c>
      <c r="J12053" s="10">
        <v>65.16200000000001</v>
      </c>
      <c r="K12053" t="b">
        <v>1</v>
      </c>
    </row>
    <row r="12054" spans="1:11">
      <c r="A12054" s="12">
        <v>43147</v>
      </c>
      <c r="B12054">
        <v>2018</v>
      </c>
      <c r="C12054">
        <v>2</v>
      </c>
      <c r="D12054" s="11">
        <v>43132</v>
      </c>
      <c r="E12054" t="s">
        <v>2174</v>
      </c>
      <c r="F12054">
        <v>5</v>
      </c>
      <c r="G12054" t="s">
        <v>55</v>
      </c>
      <c r="H12054" t="s">
        <v>44</v>
      </c>
      <c r="I12054" t="s">
        <v>2192</v>
      </c>
      <c r="J12054" s="10">
        <v>10</v>
      </c>
      <c r="K12054" t="b">
        <v>1</v>
      </c>
    </row>
    <row r="12055" spans="1:11">
      <c r="A12055" s="12">
        <v>43147</v>
      </c>
      <c r="B12055">
        <v>2018</v>
      </c>
      <c r="C12055">
        <v>2</v>
      </c>
      <c r="D12055" s="11">
        <v>43132</v>
      </c>
      <c r="E12055" t="s">
        <v>2174</v>
      </c>
      <c r="F12055">
        <v>5</v>
      </c>
      <c r="G12055" t="s">
        <v>55</v>
      </c>
      <c r="H12055" t="s">
        <v>45</v>
      </c>
      <c r="I12055" t="s">
        <v>2193</v>
      </c>
      <c r="J12055" s="10">
        <v>0</v>
      </c>
      <c r="K12055" t="b">
        <v>1</v>
      </c>
    </row>
    <row r="12056" spans="1:11">
      <c r="A12056" s="12">
        <v>43147</v>
      </c>
      <c r="B12056">
        <v>2018</v>
      </c>
      <c r="C12056">
        <v>2</v>
      </c>
      <c r="D12056" s="11">
        <v>43132</v>
      </c>
      <c r="E12056" t="s">
        <v>2174</v>
      </c>
      <c r="F12056">
        <v>5</v>
      </c>
      <c r="G12056" t="s">
        <v>55</v>
      </c>
      <c r="H12056" t="s">
        <v>46</v>
      </c>
      <c r="I12056" t="s">
        <v>2194</v>
      </c>
      <c r="J12056" s="10">
        <v>0</v>
      </c>
      <c r="K12056" t="b">
        <v>1</v>
      </c>
    </row>
    <row r="12057" spans="1:11">
      <c r="A12057" s="12">
        <v>43147</v>
      </c>
      <c r="B12057">
        <v>2018</v>
      </c>
      <c r="C12057">
        <v>2</v>
      </c>
      <c r="D12057" s="11">
        <v>43132</v>
      </c>
      <c r="E12057" t="s">
        <v>2174</v>
      </c>
      <c r="F12057">
        <v>5</v>
      </c>
      <c r="G12057" t="s">
        <v>55</v>
      </c>
      <c r="H12057" t="s">
        <v>47</v>
      </c>
      <c r="I12057" t="s">
        <v>2195</v>
      </c>
      <c r="J12057" s="10">
        <v>1</v>
      </c>
      <c r="K12057" t="b">
        <v>1</v>
      </c>
    </row>
    <row r="12058" spans="1:11">
      <c r="A12058" s="12">
        <v>43148</v>
      </c>
      <c r="B12058">
        <v>2018</v>
      </c>
      <c r="C12058">
        <v>2</v>
      </c>
      <c r="D12058" s="11">
        <v>43132</v>
      </c>
      <c r="E12058" t="s">
        <v>2174</v>
      </c>
      <c r="F12058">
        <v>6</v>
      </c>
      <c r="G12058" t="s">
        <v>57</v>
      </c>
      <c r="H12058" t="s">
        <v>40</v>
      </c>
      <c r="I12058" t="s">
        <v>2188</v>
      </c>
      <c r="J12058" s="10">
        <v>1.33</v>
      </c>
      <c r="K12058" t="b">
        <v>1</v>
      </c>
    </row>
    <row r="12059" spans="1:11">
      <c r="A12059" s="12">
        <v>43148</v>
      </c>
      <c r="B12059">
        <v>2018</v>
      </c>
      <c r="C12059">
        <v>2</v>
      </c>
      <c r="D12059" s="11">
        <v>43132</v>
      </c>
      <c r="E12059" t="s">
        <v>2174</v>
      </c>
      <c r="F12059">
        <v>6</v>
      </c>
      <c r="G12059" t="s">
        <v>57</v>
      </c>
      <c r="H12059" t="s">
        <v>41</v>
      </c>
      <c r="I12059" t="s">
        <v>2189</v>
      </c>
      <c r="J12059" s="10">
        <v>3.64</v>
      </c>
      <c r="K12059" t="b">
        <v>1</v>
      </c>
    </row>
    <row r="12060" spans="1:11">
      <c r="A12060" s="12">
        <v>43148</v>
      </c>
      <c r="B12060">
        <v>2018</v>
      </c>
      <c r="C12060">
        <v>2</v>
      </c>
      <c r="D12060" s="11">
        <v>43132</v>
      </c>
      <c r="E12060" t="s">
        <v>2174</v>
      </c>
      <c r="F12060">
        <v>6</v>
      </c>
      <c r="G12060" t="s">
        <v>57</v>
      </c>
      <c r="H12060" t="s">
        <v>42</v>
      </c>
      <c r="I12060" t="s">
        <v>2190</v>
      </c>
      <c r="J12060" s="10">
        <v>2</v>
      </c>
      <c r="K12060" t="b">
        <v>1</v>
      </c>
    </row>
    <row r="12061" spans="1:11">
      <c r="A12061" s="12">
        <v>43148</v>
      </c>
      <c r="B12061">
        <v>2018</v>
      </c>
      <c r="C12061">
        <v>2</v>
      </c>
      <c r="D12061" s="11">
        <v>43132</v>
      </c>
      <c r="E12061" t="s">
        <v>2174</v>
      </c>
      <c r="F12061">
        <v>6</v>
      </c>
      <c r="G12061" t="s">
        <v>57</v>
      </c>
      <c r="H12061" t="s">
        <v>43</v>
      </c>
      <c r="I12061" t="s">
        <v>2191</v>
      </c>
      <c r="J12061" s="10">
        <v>50.4</v>
      </c>
      <c r="K12061" t="b">
        <v>1</v>
      </c>
    </row>
    <row r="12062" spans="1:11">
      <c r="A12062" s="12">
        <v>43148</v>
      </c>
      <c r="B12062">
        <v>2018</v>
      </c>
      <c r="C12062">
        <v>2</v>
      </c>
      <c r="D12062" s="11">
        <v>43132</v>
      </c>
      <c r="E12062" t="s">
        <v>2174</v>
      </c>
      <c r="F12062">
        <v>6</v>
      </c>
      <c r="G12062" t="s">
        <v>57</v>
      </c>
      <c r="H12062" t="s">
        <v>44</v>
      </c>
      <c r="I12062" t="s">
        <v>2192</v>
      </c>
      <c r="J12062" s="10">
        <v>5</v>
      </c>
      <c r="K12062" t="b">
        <v>1</v>
      </c>
    </row>
    <row r="12063" spans="1:11">
      <c r="A12063" s="12">
        <v>43148</v>
      </c>
      <c r="B12063">
        <v>2018</v>
      </c>
      <c r="C12063">
        <v>2</v>
      </c>
      <c r="D12063" s="11">
        <v>43132</v>
      </c>
      <c r="E12063" t="s">
        <v>2174</v>
      </c>
      <c r="F12063">
        <v>6</v>
      </c>
      <c r="G12063" t="s">
        <v>57</v>
      </c>
      <c r="H12063" t="s">
        <v>45</v>
      </c>
      <c r="I12063" t="s">
        <v>2193</v>
      </c>
      <c r="J12063" s="10">
        <v>0</v>
      </c>
      <c r="K12063" t="b">
        <v>1</v>
      </c>
    </row>
    <row r="12064" spans="1:11">
      <c r="A12064" s="12">
        <v>43148</v>
      </c>
      <c r="B12064">
        <v>2018</v>
      </c>
      <c r="C12064">
        <v>2</v>
      </c>
      <c r="D12064" s="11">
        <v>43132</v>
      </c>
      <c r="E12064" t="s">
        <v>2174</v>
      </c>
      <c r="F12064">
        <v>6</v>
      </c>
      <c r="G12064" t="s">
        <v>57</v>
      </c>
      <c r="H12064" t="s">
        <v>46</v>
      </c>
      <c r="I12064" t="s">
        <v>2194</v>
      </c>
      <c r="J12064" s="10">
        <v>9</v>
      </c>
      <c r="K12064" t="b">
        <v>1</v>
      </c>
    </row>
    <row r="12065" spans="1:11">
      <c r="A12065" s="12">
        <v>43148</v>
      </c>
      <c r="B12065">
        <v>2018</v>
      </c>
      <c r="C12065">
        <v>2</v>
      </c>
      <c r="D12065" s="11">
        <v>43132</v>
      </c>
      <c r="E12065" t="s">
        <v>2174</v>
      </c>
      <c r="F12065">
        <v>6</v>
      </c>
      <c r="G12065" t="s">
        <v>57</v>
      </c>
      <c r="H12065" t="s">
        <v>47</v>
      </c>
      <c r="I12065" t="s">
        <v>2195</v>
      </c>
      <c r="J12065" s="10">
        <v>0</v>
      </c>
      <c r="K12065" t="b">
        <v>1</v>
      </c>
    </row>
    <row r="12066" spans="1:11">
      <c r="A12066" s="12">
        <v>43149</v>
      </c>
      <c r="B12066">
        <v>2018</v>
      </c>
      <c r="C12066">
        <v>2</v>
      </c>
      <c r="D12066" s="11">
        <v>43132</v>
      </c>
      <c r="E12066" t="s">
        <v>2174</v>
      </c>
      <c r="F12066">
        <v>7</v>
      </c>
      <c r="G12066" t="s">
        <v>59</v>
      </c>
      <c r="H12066" t="s">
        <v>40</v>
      </c>
      <c r="I12066" t="s">
        <v>2188</v>
      </c>
      <c r="J12066" s="10">
        <v>6</v>
      </c>
      <c r="K12066" t="b">
        <v>1</v>
      </c>
    </row>
    <row r="12067" spans="1:11">
      <c r="A12067" s="12">
        <v>43149</v>
      </c>
      <c r="B12067">
        <v>2018</v>
      </c>
      <c r="C12067">
        <v>2</v>
      </c>
      <c r="D12067" s="11">
        <v>43132</v>
      </c>
      <c r="E12067" t="s">
        <v>2174</v>
      </c>
      <c r="F12067">
        <v>7</v>
      </c>
      <c r="G12067" t="s">
        <v>59</v>
      </c>
      <c r="H12067" t="s">
        <v>41</v>
      </c>
      <c r="I12067" t="s">
        <v>2189</v>
      </c>
      <c r="J12067" s="10">
        <v>6.726</v>
      </c>
      <c r="K12067" t="b">
        <v>1</v>
      </c>
    </row>
    <row r="12068" spans="1:11">
      <c r="A12068" s="12">
        <v>43149</v>
      </c>
      <c r="B12068">
        <v>2018</v>
      </c>
      <c r="C12068">
        <v>2</v>
      </c>
      <c r="D12068" s="11">
        <v>43132</v>
      </c>
      <c r="E12068" t="s">
        <v>2174</v>
      </c>
      <c r="F12068">
        <v>7</v>
      </c>
      <c r="G12068" t="s">
        <v>59</v>
      </c>
      <c r="H12068" t="s">
        <v>42</v>
      </c>
      <c r="I12068" t="s">
        <v>2190</v>
      </c>
      <c r="J12068" s="10">
        <v>7.55</v>
      </c>
      <c r="K12068" t="b">
        <v>1</v>
      </c>
    </row>
    <row r="12069" spans="1:11">
      <c r="A12069" s="12">
        <v>43149</v>
      </c>
      <c r="B12069">
        <v>2018</v>
      </c>
      <c r="C12069">
        <v>2</v>
      </c>
      <c r="D12069" s="11">
        <v>43132</v>
      </c>
      <c r="E12069" t="s">
        <v>2174</v>
      </c>
      <c r="F12069">
        <v>7</v>
      </c>
      <c r="G12069" t="s">
        <v>59</v>
      </c>
      <c r="H12069" t="s">
        <v>43</v>
      </c>
      <c r="I12069" t="s">
        <v>2191</v>
      </c>
      <c r="J12069" s="10">
        <v>44</v>
      </c>
      <c r="K12069" t="b">
        <v>1</v>
      </c>
    </row>
    <row r="12070" spans="1:11">
      <c r="A12070" s="12">
        <v>43149</v>
      </c>
      <c r="B12070">
        <v>2018</v>
      </c>
      <c r="C12070">
        <v>2</v>
      </c>
      <c r="D12070" s="11">
        <v>43132</v>
      </c>
      <c r="E12070" t="s">
        <v>2174</v>
      </c>
      <c r="F12070">
        <v>7</v>
      </c>
      <c r="G12070" t="s">
        <v>59</v>
      </c>
      <c r="H12070" t="s">
        <v>44</v>
      </c>
      <c r="I12070" t="s">
        <v>2192</v>
      </c>
      <c r="J12070" s="10">
        <v>2</v>
      </c>
      <c r="K12070" t="b">
        <v>1</v>
      </c>
    </row>
    <row r="12071" spans="1:11">
      <c r="A12071" s="12">
        <v>43149</v>
      </c>
      <c r="B12071">
        <v>2018</v>
      </c>
      <c r="C12071">
        <v>2</v>
      </c>
      <c r="D12071" s="11">
        <v>43132</v>
      </c>
      <c r="E12071" t="s">
        <v>2174</v>
      </c>
      <c r="F12071">
        <v>7</v>
      </c>
      <c r="G12071" t="s">
        <v>59</v>
      </c>
      <c r="H12071" t="s">
        <v>45</v>
      </c>
      <c r="I12071" t="s">
        <v>2193</v>
      </c>
      <c r="J12071" s="10">
        <v>0</v>
      </c>
      <c r="K12071" t="b">
        <v>1</v>
      </c>
    </row>
    <row r="12072" spans="1:11">
      <c r="A12072" s="12">
        <v>43149</v>
      </c>
      <c r="B12072">
        <v>2018</v>
      </c>
      <c r="C12072">
        <v>2</v>
      </c>
      <c r="D12072" s="11">
        <v>43132</v>
      </c>
      <c r="E12072" t="s">
        <v>2174</v>
      </c>
      <c r="F12072">
        <v>7</v>
      </c>
      <c r="G12072" t="s">
        <v>59</v>
      </c>
      <c r="H12072" t="s">
        <v>46</v>
      </c>
      <c r="I12072" t="s">
        <v>2194</v>
      </c>
      <c r="J12072" s="10">
        <v>4</v>
      </c>
      <c r="K12072" t="b">
        <v>1</v>
      </c>
    </row>
    <row r="12073" spans="1:11">
      <c r="A12073" s="12">
        <v>43149</v>
      </c>
      <c r="B12073">
        <v>2018</v>
      </c>
      <c r="C12073">
        <v>2</v>
      </c>
      <c r="D12073" s="11">
        <v>43132</v>
      </c>
      <c r="E12073" t="s">
        <v>2174</v>
      </c>
      <c r="F12073">
        <v>7</v>
      </c>
      <c r="G12073" t="s">
        <v>59</v>
      </c>
      <c r="H12073" t="s">
        <v>47</v>
      </c>
      <c r="I12073" t="s">
        <v>2195</v>
      </c>
      <c r="J12073" s="10">
        <v>1</v>
      </c>
      <c r="K12073" t="b">
        <v>1</v>
      </c>
    </row>
    <row r="12074" spans="1:11">
      <c r="A12074" s="12">
        <v>43150</v>
      </c>
      <c r="B12074">
        <v>2018</v>
      </c>
      <c r="C12074">
        <v>2</v>
      </c>
      <c r="D12074" s="11">
        <v>43132</v>
      </c>
      <c r="E12074" t="s">
        <v>2174</v>
      </c>
      <c r="F12074">
        <v>1</v>
      </c>
      <c r="G12074" t="s">
        <v>61</v>
      </c>
      <c r="H12074" t="s">
        <v>40</v>
      </c>
      <c r="I12074" t="s">
        <v>2188</v>
      </c>
      <c r="J12074" s="10">
        <v>1</v>
      </c>
      <c r="K12074" t="b">
        <v>1</v>
      </c>
    </row>
    <row r="12075" spans="1:11">
      <c r="A12075" s="12">
        <v>43150</v>
      </c>
      <c r="B12075">
        <v>2018</v>
      </c>
      <c r="C12075">
        <v>2</v>
      </c>
      <c r="D12075" s="11">
        <v>43132</v>
      </c>
      <c r="E12075" t="s">
        <v>2174</v>
      </c>
      <c r="F12075">
        <v>1</v>
      </c>
      <c r="G12075" t="s">
        <v>61</v>
      </c>
      <c r="H12075" t="s">
        <v>41</v>
      </c>
      <c r="I12075" t="s">
        <v>2189</v>
      </c>
      <c r="J12075" s="10">
        <v>3.34</v>
      </c>
      <c r="K12075" t="b">
        <v>1</v>
      </c>
    </row>
    <row r="12076" spans="1:11">
      <c r="A12076" s="12">
        <v>43150</v>
      </c>
      <c r="B12076">
        <v>2018</v>
      </c>
      <c r="C12076">
        <v>2</v>
      </c>
      <c r="D12076" s="11">
        <v>43132</v>
      </c>
      <c r="E12076" t="s">
        <v>2174</v>
      </c>
      <c r="F12076">
        <v>1</v>
      </c>
      <c r="G12076" t="s">
        <v>61</v>
      </c>
      <c r="H12076" t="s">
        <v>42</v>
      </c>
      <c r="I12076" t="s">
        <v>2190</v>
      </c>
      <c r="J12076" s="10">
        <v>1.7</v>
      </c>
      <c r="K12076" t="b">
        <v>1</v>
      </c>
    </row>
    <row r="12077" spans="1:11">
      <c r="A12077" s="12">
        <v>43150</v>
      </c>
      <c r="B12077">
        <v>2018</v>
      </c>
      <c r="C12077">
        <v>2</v>
      </c>
      <c r="D12077" s="11">
        <v>43132</v>
      </c>
      <c r="E12077" t="s">
        <v>2174</v>
      </c>
      <c r="F12077">
        <v>1</v>
      </c>
      <c r="G12077" t="s">
        <v>61</v>
      </c>
      <c r="H12077" t="s">
        <v>43</v>
      </c>
      <c r="I12077" t="s">
        <v>2191</v>
      </c>
      <c r="J12077" s="10">
        <v>27</v>
      </c>
      <c r="K12077" t="b">
        <v>1</v>
      </c>
    </row>
    <row r="12078" spans="1:11">
      <c r="A12078" s="12">
        <v>43150</v>
      </c>
      <c r="B12078">
        <v>2018</v>
      </c>
      <c r="C12078">
        <v>2</v>
      </c>
      <c r="D12078" s="11">
        <v>43132</v>
      </c>
      <c r="E12078" t="s">
        <v>2174</v>
      </c>
      <c r="F12078">
        <v>1</v>
      </c>
      <c r="G12078" t="s">
        <v>61</v>
      </c>
      <c r="H12078" t="s">
        <v>44</v>
      </c>
      <c r="I12078" t="s">
        <v>2192</v>
      </c>
      <c r="J12078" s="10">
        <v>6</v>
      </c>
      <c r="K12078" t="b">
        <v>1</v>
      </c>
    </row>
    <row r="12079" spans="1:11">
      <c r="A12079" s="12">
        <v>43150</v>
      </c>
      <c r="B12079">
        <v>2018</v>
      </c>
      <c r="C12079">
        <v>2</v>
      </c>
      <c r="D12079" s="11">
        <v>43132</v>
      </c>
      <c r="E12079" t="s">
        <v>2174</v>
      </c>
      <c r="F12079">
        <v>1</v>
      </c>
      <c r="G12079" t="s">
        <v>61</v>
      </c>
      <c r="H12079" t="s">
        <v>45</v>
      </c>
      <c r="I12079" t="s">
        <v>2193</v>
      </c>
      <c r="J12079" s="10">
        <v>0</v>
      </c>
      <c r="K12079" t="b">
        <v>1</v>
      </c>
    </row>
    <row r="12080" spans="1:11">
      <c r="A12080" s="12">
        <v>43150</v>
      </c>
      <c r="B12080">
        <v>2018</v>
      </c>
      <c r="C12080">
        <v>2</v>
      </c>
      <c r="D12080" s="11">
        <v>43132</v>
      </c>
      <c r="E12080" t="s">
        <v>2174</v>
      </c>
      <c r="F12080">
        <v>1</v>
      </c>
      <c r="G12080" t="s">
        <v>61</v>
      </c>
      <c r="H12080" t="s">
        <v>46</v>
      </c>
      <c r="I12080" t="s">
        <v>2194</v>
      </c>
      <c r="J12080" s="10">
        <v>12</v>
      </c>
      <c r="K12080" t="b">
        <v>1</v>
      </c>
    </row>
    <row r="12081" spans="1:11">
      <c r="A12081" s="12">
        <v>43150</v>
      </c>
      <c r="B12081">
        <v>2018</v>
      </c>
      <c r="C12081">
        <v>2</v>
      </c>
      <c r="D12081" s="11">
        <v>43132</v>
      </c>
      <c r="E12081" t="s">
        <v>2174</v>
      </c>
      <c r="F12081">
        <v>1</v>
      </c>
      <c r="G12081" t="s">
        <v>61</v>
      </c>
      <c r="H12081" t="s">
        <v>47</v>
      </c>
      <c r="I12081" t="s">
        <v>2195</v>
      </c>
      <c r="J12081" s="10">
        <v>2</v>
      </c>
      <c r="K12081" t="b">
        <v>1</v>
      </c>
    </row>
    <row r="12082" spans="1:11">
      <c r="A12082" s="12">
        <v>43151</v>
      </c>
      <c r="B12082">
        <v>2018</v>
      </c>
      <c r="C12082">
        <v>2</v>
      </c>
      <c r="D12082" s="11">
        <v>43132</v>
      </c>
      <c r="E12082" t="s">
        <v>2174</v>
      </c>
      <c r="F12082">
        <v>2</v>
      </c>
      <c r="G12082" t="s">
        <v>63</v>
      </c>
      <c r="H12082" t="s">
        <v>40</v>
      </c>
      <c r="I12082" t="s">
        <v>2188</v>
      </c>
      <c r="J12082" s="10">
        <v>4.18</v>
      </c>
      <c r="K12082" t="b">
        <v>1</v>
      </c>
    </row>
    <row r="12083" spans="1:11">
      <c r="A12083" s="12">
        <v>43151</v>
      </c>
      <c r="B12083">
        <v>2018</v>
      </c>
      <c r="C12083">
        <v>2</v>
      </c>
      <c r="D12083" s="11">
        <v>43132</v>
      </c>
      <c r="E12083" t="s">
        <v>2174</v>
      </c>
      <c r="F12083">
        <v>2</v>
      </c>
      <c r="G12083" t="s">
        <v>63</v>
      </c>
      <c r="H12083" t="s">
        <v>41</v>
      </c>
      <c r="I12083" t="s">
        <v>2189</v>
      </c>
      <c r="J12083" s="10">
        <v>2.286</v>
      </c>
      <c r="K12083" t="b">
        <v>1</v>
      </c>
    </row>
    <row r="12084" spans="1:11">
      <c r="A12084" s="12">
        <v>43151</v>
      </c>
      <c r="B12084">
        <v>2018</v>
      </c>
      <c r="C12084">
        <v>2</v>
      </c>
      <c r="D12084" s="11">
        <v>43132</v>
      </c>
      <c r="E12084" t="s">
        <v>2174</v>
      </c>
      <c r="F12084">
        <v>2</v>
      </c>
      <c r="G12084" t="s">
        <v>63</v>
      </c>
      <c r="H12084" t="s">
        <v>42</v>
      </c>
      <c r="I12084" t="s">
        <v>2190</v>
      </c>
      <c r="J12084" s="10">
        <v>4.2</v>
      </c>
      <c r="K12084" t="b">
        <v>1</v>
      </c>
    </row>
    <row r="12085" spans="1:11">
      <c r="A12085" s="12">
        <v>43151</v>
      </c>
      <c r="B12085">
        <v>2018</v>
      </c>
      <c r="C12085">
        <v>2</v>
      </c>
      <c r="D12085" s="11">
        <v>43132</v>
      </c>
      <c r="E12085" t="s">
        <v>2174</v>
      </c>
      <c r="F12085">
        <v>2</v>
      </c>
      <c r="G12085" t="s">
        <v>63</v>
      </c>
      <c r="H12085" t="s">
        <v>43</v>
      </c>
      <c r="I12085" t="s">
        <v>2191</v>
      </c>
      <c r="J12085" s="10">
        <v>30.2</v>
      </c>
      <c r="K12085" t="b">
        <v>1</v>
      </c>
    </row>
    <row r="12086" spans="1:11">
      <c r="A12086" s="12">
        <v>43151</v>
      </c>
      <c r="B12086">
        <v>2018</v>
      </c>
      <c r="C12086">
        <v>2</v>
      </c>
      <c r="D12086" s="11">
        <v>43132</v>
      </c>
      <c r="E12086" t="s">
        <v>2174</v>
      </c>
      <c r="F12086">
        <v>2</v>
      </c>
      <c r="G12086" t="s">
        <v>63</v>
      </c>
      <c r="H12086" t="s">
        <v>44</v>
      </c>
      <c r="I12086" t="s">
        <v>2192</v>
      </c>
      <c r="J12086" s="10">
        <v>6</v>
      </c>
      <c r="K12086" t="b">
        <v>1</v>
      </c>
    </row>
    <row r="12087" spans="1:11">
      <c r="A12087" s="12">
        <v>43151</v>
      </c>
      <c r="B12087">
        <v>2018</v>
      </c>
      <c r="C12087">
        <v>2</v>
      </c>
      <c r="D12087" s="11">
        <v>43132</v>
      </c>
      <c r="E12087" t="s">
        <v>2174</v>
      </c>
      <c r="F12087">
        <v>2</v>
      </c>
      <c r="G12087" t="s">
        <v>63</v>
      </c>
      <c r="H12087" t="s">
        <v>45</v>
      </c>
      <c r="I12087" t="s">
        <v>2193</v>
      </c>
      <c r="J12087" s="10">
        <v>0</v>
      </c>
      <c r="K12087" t="b">
        <v>1</v>
      </c>
    </row>
    <row r="12088" spans="1:11">
      <c r="A12088" s="12">
        <v>43151</v>
      </c>
      <c r="B12088">
        <v>2018</v>
      </c>
      <c r="C12088">
        <v>2</v>
      </c>
      <c r="D12088" s="11">
        <v>43132</v>
      </c>
      <c r="E12088" t="s">
        <v>2174</v>
      </c>
      <c r="F12088">
        <v>2</v>
      </c>
      <c r="G12088" t="s">
        <v>63</v>
      </c>
      <c r="H12088" t="s">
        <v>46</v>
      </c>
      <c r="I12088" t="s">
        <v>2194</v>
      </c>
      <c r="J12088" s="10">
        <v>2</v>
      </c>
      <c r="K12088" t="b">
        <v>1</v>
      </c>
    </row>
    <row r="12089" spans="1:11">
      <c r="A12089" s="12">
        <v>43151</v>
      </c>
      <c r="B12089">
        <v>2018</v>
      </c>
      <c r="C12089">
        <v>2</v>
      </c>
      <c r="D12089" s="11">
        <v>43132</v>
      </c>
      <c r="E12089" t="s">
        <v>2174</v>
      </c>
      <c r="F12089">
        <v>2</v>
      </c>
      <c r="G12089" t="s">
        <v>63</v>
      </c>
      <c r="H12089" t="s">
        <v>47</v>
      </c>
      <c r="I12089" t="s">
        <v>2195</v>
      </c>
      <c r="J12089" s="10">
        <v>3</v>
      </c>
      <c r="K12089" t="b">
        <v>1</v>
      </c>
    </row>
    <row r="12090" spans="1:11">
      <c r="A12090" s="12">
        <v>43152</v>
      </c>
      <c r="B12090">
        <v>2018</v>
      </c>
      <c r="C12090">
        <v>2</v>
      </c>
      <c r="D12090" s="11">
        <v>43132</v>
      </c>
      <c r="E12090" t="s">
        <v>2174</v>
      </c>
      <c r="F12090">
        <v>3</v>
      </c>
      <c r="G12090" t="s">
        <v>65</v>
      </c>
      <c r="H12090" t="s">
        <v>40</v>
      </c>
      <c r="I12090" t="s">
        <v>2188</v>
      </c>
      <c r="J12090" s="10">
        <v>1.34</v>
      </c>
      <c r="K12090" t="b">
        <v>1</v>
      </c>
    </row>
    <row r="12091" spans="1:11">
      <c r="A12091" s="12">
        <v>43152</v>
      </c>
      <c r="B12091">
        <v>2018</v>
      </c>
      <c r="C12091">
        <v>2</v>
      </c>
      <c r="D12091" s="11">
        <v>43132</v>
      </c>
      <c r="E12091" t="s">
        <v>2174</v>
      </c>
      <c r="F12091">
        <v>3</v>
      </c>
      <c r="G12091" t="s">
        <v>65</v>
      </c>
      <c r="H12091" t="s">
        <v>41</v>
      </c>
      <c r="I12091" t="s">
        <v>2189</v>
      </c>
      <c r="J12091" s="10">
        <v>7.01</v>
      </c>
      <c r="K12091" t="b">
        <v>1</v>
      </c>
    </row>
    <row r="12092" spans="1:11">
      <c r="A12092" s="12">
        <v>43152</v>
      </c>
      <c r="B12092">
        <v>2018</v>
      </c>
      <c r="C12092">
        <v>2</v>
      </c>
      <c r="D12092" s="11">
        <v>43132</v>
      </c>
      <c r="E12092" t="s">
        <v>2174</v>
      </c>
      <c r="F12092">
        <v>3</v>
      </c>
      <c r="G12092" t="s">
        <v>65</v>
      </c>
      <c r="H12092" t="s">
        <v>42</v>
      </c>
      <c r="I12092" t="s">
        <v>2190</v>
      </c>
      <c r="J12092" s="10">
        <v>9.5</v>
      </c>
      <c r="K12092" t="b">
        <v>1</v>
      </c>
    </row>
    <row r="12093" spans="1:11">
      <c r="A12093" s="12">
        <v>43152</v>
      </c>
      <c r="B12093">
        <v>2018</v>
      </c>
      <c r="C12093">
        <v>2</v>
      </c>
      <c r="D12093" s="11">
        <v>43132</v>
      </c>
      <c r="E12093" t="s">
        <v>2174</v>
      </c>
      <c r="F12093">
        <v>3</v>
      </c>
      <c r="G12093" t="s">
        <v>65</v>
      </c>
      <c r="H12093" t="s">
        <v>43</v>
      </c>
      <c r="I12093" t="s">
        <v>2191</v>
      </c>
      <c r="J12093" s="10">
        <v>27.4</v>
      </c>
      <c r="K12093" t="b">
        <v>1</v>
      </c>
    </row>
    <row r="12094" spans="1:11">
      <c r="A12094" s="12">
        <v>43152</v>
      </c>
      <c r="B12094">
        <v>2018</v>
      </c>
      <c r="C12094">
        <v>2</v>
      </c>
      <c r="D12094" s="11">
        <v>43132</v>
      </c>
      <c r="E12094" t="s">
        <v>2174</v>
      </c>
      <c r="F12094">
        <v>3</v>
      </c>
      <c r="G12094" t="s">
        <v>65</v>
      </c>
      <c r="H12094" t="s">
        <v>44</v>
      </c>
      <c r="I12094" t="s">
        <v>2192</v>
      </c>
      <c r="J12094" s="10">
        <v>5</v>
      </c>
      <c r="K12094" t="b">
        <v>1</v>
      </c>
    </row>
    <row r="12095" spans="1:11">
      <c r="A12095" s="12">
        <v>43152</v>
      </c>
      <c r="B12095">
        <v>2018</v>
      </c>
      <c r="C12095">
        <v>2</v>
      </c>
      <c r="D12095" s="11">
        <v>43132</v>
      </c>
      <c r="E12095" t="s">
        <v>2174</v>
      </c>
      <c r="F12095">
        <v>3</v>
      </c>
      <c r="G12095" t="s">
        <v>65</v>
      </c>
      <c r="H12095" t="s">
        <v>45</v>
      </c>
      <c r="I12095" t="s">
        <v>2193</v>
      </c>
      <c r="J12095" s="10">
        <v>0</v>
      </c>
      <c r="K12095" t="b">
        <v>1</v>
      </c>
    </row>
    <row r="12096" spans="1:11">
      <c r="A12096" s="12">
        <v>43152</v>
      </c>
      <c r="B12096">
        <v>2018</v>
      </c>
      <c r="C12096">
        <v>2</v>
      </c>
      <c r="D12096" s="11">
        <v>43132</v>
      </c>
      <c r="E12096" t="s">
        <v>2174</v>
      </c>
      <c r="F12096">
        <v>3</v>
      </c>
      <c r="G12096" t="s">
        <v>65</v>
      </c>
      <c r="H12096" t="s">
        <v>46</v>
      </c>
      <c r="I12096" t="s">
        <v>2194</v>
      </c>
      <c r="J12096" s="10">
        <v>6</v>
      </c>
      <c r="K12096" t="b">
        <v>1</v>
      </c>
    </row>
    <row r="12097" spans="1:11">
      <c r="A12097" s="12">
        <v>43152</v>
      </c>
      <c r="B12097">
        <v>2018</v>
      </c>
      <c r="C12097">
        <v>2</v>
      </c>
      <c r="D12097" s="11">
        <v>43132</v>
      </c>
      <c r="E12097" t="s">
        <v>2174</v>
      </c>
      <c r="F12097">
        <v>3</v>
      </c>
      <c r="G12097" t="s">
        <v>65</v>
      </c>
      <c r="H12097" t="s">
        <v>47</v>
      </c>
      <c r="I12097" t="s">
        <v>2195</v>
      </c>
      <c r="J12097" s="10">
        <v>1</v>
      </c>
      <c r="K12097" t="b">
        <v>1</v>
      </c>
    </row>
    <row r="12098" spans="1:11">
      <c r="A12098" s="12">
        <v>43153</v>
      </c>
      <c r="B12098">
        <v>2018</v>
      </c>
      <c r="C12098">
        <v>2</v>
      </c>
      <c r="D12098" s="11">
        <v>43132</v>
      </c>
      <c r="E12098" t="s">
        <v>2174</v>
      </c>
      <c r="F12098">
        <v>4</v>
      </c>
      <c r="G12098" t="s">
        <v>53</v>
      </c>
      <c r="H12098" t="s">
        <v>40</v>
      </c>
      <c r="I12098" t="s">
        <v>2188</v>
      </c>
      <c r="J12098" s="10">
        <v>5</v>
      </c>
      <c r="K12098" t="b">
        <v>1</v>
      </c>
    </row>
    <row r="12099" spans="1:11">
      <c r="A12099" s="12">
        <v>43153</v>
      </c>
      <c r="B12099">
        <v>2018</v>
      </c>
      <c r="C12099">
        <v>2</v>
      </c>
      <c r="D12099" s="11">
        <v>43132</v>
      </c>
      <c r="E12099" t="s">
        <v>2174</v>
      </c>
      <c r="F12099">
        <v>4</v>
      </c>
      <c r="G12099" t="s">
        <v>53</v>
      </c>
      <c r="H12099" t="s">
        <v>41</v>
      </c>
      <c r="I12099" t="s">
        <v>2189</v>
      </c>
      <c r="J12099" s="10">
        <v>6.33</v>
      </c>
      <c r="K12099" t="b">
        <v>1</v>
      </c>
    </row>
    <row r="12100" spans="1:11">
      <c r="A12100" s="12">
        <v>43153</v>
      </c>
      <c r="B12100">
        <v>2018</v>
      </c>
      <c r="C12100">
        <v>2</v>
      </c>
      <c r="D12100" s="11">
        <v>43132</v>
      </c>
      <c r="E12100" t="s">
        <v>2174</v>
      </c>
      <c r="F12100">
        <v>4</v>
      </c>
      <c r="G12100" t="s">
        <v>53</v>
      </c>
      <c r="H12100" t="s">
        <v>42</v>
      </c>
      <c r="I12100" t="s">
        <v>2190</v>
      </c>
      <c r="J12100" s="10">
        <v>3.15</v>
      </c>
      <c r="K12100" t="b">
        <v>1</v>
      </c>
    </row>
    <row r="12101" spans="1:11">
      <c r="A12101" s="12">
        <v>43153</v>
      </c>
      <c r="B12101">
        <v>2018</v>
      </c>
      <c r="C12101">
        <v>2</v>
      </c>
      <c r="D12101" s="11">
        <v>43132</v>
      </c>
      <c r="E12101" t="s">
        <v>2174</v>
      </c>
      <c r="F12101">
        <v>4</v>
      </c>
      <c r="G12101" t="s">
        <v>53</v>
      </c>
      <c r="H12101" t="s">
        <v>43</v>
      </c>
      <c r="I12101" t="s">
        <v>2191</v>
      </c>
      <c r="J12101" s="10">
        <v>30</v>
      </c>
      <c r="K12101" t="b">
        <v>1</v>
      </c>
    </row>
    <row r="12102" spans="1:11">
      <c r="A12102" s="12">
        <v>43153</v>
      </c>
      <c r="B12102">
        <v>2018</v>
      </c>
      <c r="C12102">
        <v>2</v>
      </c>
      <c r="D12102" s="11">
        <v>43132</v>
      </c>
      <c r="E12102" t="s">
        <v>2174</v>
      </c>
      <c r="F12102">
        <v>4</v>
      </c>
      <c r="G12102" t="s">
        <v>53</v>
      </c>
      <c r="H12102" t="s">
        <v>44</v>
      </c>
      <c r="I12102" t="s">
        <v>2192</v>
      </c>
      <c r="J12102" s="10">
        <v>6</v>
      </c>
      <c r="K12102" t="b">
        <v>1</v>
      </c>
    </row>
    <row r="12103" spans="1:11">
      <c r="A12103" s="12">
        <v>43153</v>
      </c>
      <c r="B12103">
        <v>2018</v>
      </c>
      <c r="C12103">
        <v>2</v>
      </c>
      <c r="D12103" s="11">
        <v>43132</v>
      </c>
      <c r="E12103" t="s">
        <v>2174</v>
      </c>
      <c r="F12103">
        <v>4</v>
      </c>
      <c r="G12103" t="s">
        <v>53</v>
      </c>
      <c r="H12103" t="s">
        <v>45</v>
      </c>
      <c r="I12103" t="s">
        <v>2193</v>
      </c>
      <c r="J12103" s="10">
        <v>0</v>
      </c>
      <c r="K12103" t="b">
        <v>1</v>
      </c>
    </row>
    <row r="12104" spans="1:11">
      <c r="A12104" s="12">
        <v>43153</v>
      </c>
      <c r="B12104">
        <v>2018</v>
      </c>
      <c r="C12104">
        <v>2</v>
      </c>
      <c r="D12104" s="11">
        <v>43132</v>
      </c>
      <c r="E12104" t="s">
        <v>2174</v>
      </c>
      <c r="F12104">
        <v>4</v>
      </c>
      <c r="G12104" t="s">
        <v>53</v>
      </c>
      <c r="H12104" t="s">
        <v>46</v>
      </c>
      <c r="I12104" t="s">
        <v>2194</v>
      </c>
      <c r="J12104" s="10">
        <v>20</v>
      </c>
      <c r="K12104" t="b">
        <v>1</v>
      </c>
    </row>
    <row r="12105" spans="1:11">
      <c r="A12105" s="12">
        <v>43153</v>
      </c>
      <c r="B12105">
        <v>2018</v>
      </c>
      <c r="C12105">
        <v>2</v>
      </c>
      <c r="D12105" s="11">
        <v>43132</v>
      </c>
      <c r="E12105" t="s">
        <v>2174</v>
      </c>
      <c r="F12105">
        <v>4</v>
      </c>
      <c r="G12105" t="s">
        <v>53</v>
      </c>
      <c r="H12105" t="s">
        <v>47</v>
      </c>
      <c r="I12105" t="s">
        <v>2195</v>
      </c>
      <c r="J12105" s="10">
        <v>0</v>
      </c>
      <c r="K12105" t="b">
        <v>1</v>
      </c>
    </row>
    <row r="12106" spans="1:11">
      <c r="A12106" s="12">
        <v>43154</v>
      </c>
      <c r="B12106">
        <v>2018</v>
      </c>
      <c r="C12106">
        <v>2</v>
      </c>
      <c r="D12106" s="11">
        <v>43132</v>
      </c>
      <c r="E12106" t="s">
        <v>2174</v>
      </c>
      <c r="F12106">
        <v>5</v>
      </c>
      <c r="G12106" t="s">
        <v>55</v>
      </c>
      <c r="H12106" t="s">
        <v>40</v>
      </c>
      <c r="I12106" t="s">
        <v>2188</v>
      </c>
      <c r="J12106" s="10">
        <v>5.83</v>
      </c>
      <c r="K12106" t="b">
        <v>1</v>
      </c>
    </row>
    <row r="12107" spans="1:11">
      <c r="A12107" s="12">
        <v>43154</v>
      </c>
      <c r="B12107">
        <v>2018</v>
      </c>
      <c r="C12107">
        <v>2</v>
      </c>
      <c r="D12107" s="11">
        <v>43132</v>
      </c>
      <c r="E12107" t="s">
        <v>2174</v>
      </c>
      <c r="F12107">
        <v>5</v>
      </c>
      <c r="G12107" t="s">
        <v>55</v>
      </c>
      <c r="H12107" t="s">
        <v>41</v>
      </c>
      <c r="I12107" t="s">
        <v>2189</v>
      </c>
      <c r="J12107" s="10">
        <v>2.979</v>
      </c>
      <c r="K12107" t="b">
        <v>1</v>
      </c>
    </row>
    <row r="12108" spans="1:11">
      <c r="A12108" s="12">
        <v>43154</v>
      </c>
      <c r="B12108">
        <v>2018</v>
      </c>
      <c r="C12108">
        <v>2</v>
      </c>
      <c r="D12108" s="11">
        <v>43132</v>
      </c>
      <c r="E12108" t="s">
        <v>2174</v>
      </c>
      <c r="F12108">
        <v>5</v>
      </c>
      <c r="G12108" t="s">
        <v>55</v>
      </c>
      <c r="H12108" t="s">
        <v>42</v>
      </c>
      <c r="I12108" t="s">
        <v>2190</v>
      </c>
      <c r="J12108" s="10">
        <v>1</v>
      </c>
      <c r="K12108" t="b">
        <v>1</v>
      </c>
    </row>
    <row r="12109" spans="1:11">
      <c r="A12109" s="12">
        <v>43154</v>
      </c>
      <c r="B12109">
        <v>2018</v>
      </c>
      <c r="C12109">
        <v>2</v>
      </c>
      <c r="D12109" s="11">
        <v>43132</v>
      </c>
      <c r="E12109" t="s">
        <v>2174</v>
      </c>
      <c r="F12109">
        <v>5</v>
      </c>
      <c r="G12109" t="s">
        <v>55</v>
      </c>
      <c r="H12109" t="s">
        <v>43</v>
      </c>
      <c r="I12109" t="s">
        <v>2191</v>
      </c>
      <c r="J12109" s="10">
        <v>34.2</v>
      </c>
      <c r="K12109" t="b">
        <v>1</v>
      </c>
    </row>
    <row r="12110" spans="1:11">
      <c r="A12110" s="12">
        <v>43154</v>
      </c>
      <c r="B12110">
        <v>2018</v>
      </c>
      <c r="C12110">
        <v>2</v>
      </c>
      <c r="D12110" s="11">
        <v>43132</v>
      </c>
      <c r="E12110" t="s">
        <v>2174</v>
      </c>
      <c r="F12110">
        <v>5</v>
      </c>
      <c r="G12110" t="s">
        <v>55</v>
      </c>
      <c r="H12110" t="s">
        <v>44</v>
      </c>
      <c r="I12110" t="s">
        <v>2192</v>
      </c>
      <c r="J12110" s="10">
        <v>6</v>
      </c>
      <c r="K12110" t="b">
        <v>1</v>
      </c>
    </row>
    <row r="12111" spans="1:11">
      <c r="A12111" s="12">
        <v>43154</v>
      </c>
      <c r="B12111">
        <v>2018</v>
      </c>
      <c r="C12111">
        <v>2</v>
      </c>
      <c r="D12111" s="11">
        <v>43132</v>
      </c>
      <c r="E12111" t="s">
        <v>2174</v>
      </c>
      <c r="F12111">
        <v>5</v>
      </c>
      <c r="G12111" t="s">
        <v>55</v>
      </c>
      <c r="H12111" t="s">
        <v>45</v>
      </c>
      <c r="I12111" t="s">
        <v>2193</v>
      </c>
      <c r="J12111" s="10">
        <v>0</v>
      </c>
      <c r="K12111" t="b">
        <v>1</v>
      </c>
    </row>
    <row r="12112" spans="1:11">
      <c r="A12112" s="12">
        <v>43154</v>
      </c>
      <c r="B12112">
        <v>2018</v>
      </c>
      <c r="C12112">
        <v>2</v>
      </c>
      <c r="D12112" s="11">
        <v>43132</v>
      </c>
      <c r="E12112" t="s">
        <v>2174</v>
      </c>
      <c r="F12112">
        <v>5</v>
      </c>
      <c r="G12112" t="s">
        <v>55</v>
      </c>
      <c r="H12112" t="s">
        <v>46</v>
      </c>
      <c r="I12112" t="s">
        <v>2194</v>
      </c>
      <c r="J12112" s="10">
        <v>12</v>
      </c>
      <c r="K12112" t="b">
        <v>1</v>
      </c>
    </row>
    <row r="12113" spans="1:11">
      <c r="A12113" s="12">
        <v>43154</v>
      </c>
      <c r="B12113">
        <v>2018</v>
      </c>
      <c r="C12113">
        <v>2</v>
      </c>
      <c r="D12113" s="11">
        <v>43132</v>
      </c>
      <c r="E12113" t="s">
        <v>2174</v>
      </c>
      <c r="F12113">
        <v>5</v>
      </c>
      <c r="G12113" t="s">
        <v>55</v>
      </c>
      <c r="H12113" t="s">
        <v>47</v>
      </c>
      <c r="I12113" t="s">
        <v>2195</v>
      </c>
      <c r="J12113" s="10">
        <v>0</v>
      </c>
      <c r="K12113" t="b">
        <v>1</v>
      </c>
    </row>
    <row r="12114" spans="1:11">
      <c r="A12114" s="12">
        <v>43155</v>
      </c>
      <c r="B12114">
        <v>2018</v>
      </c>
      <c r="C12114">
        <v>2</v>
      </c>
      <c r="D12114" s="11">
        <v>43132</v>
      </c>
      <c r="E12114" t="s">
        <v>2174</v>
      </c>
      <c r="F12114">
        <v>6</v>
      </c>
      <c r="G12114" t="s">
        <v>57</v>
      </c>
      <c r="H12114" t="s">
        <v>40</v>
      </c>
      <c r="I12114" t="s">
        <v>2188</v>
      </c>
      <c r="J12114" s="10">
        <v>8</v>
      </c>
      <c r="K12114" t="b">
        <v>1</v>
      </c>
    </row>
    <row r="12115" spans="1:11">
      <c r="A12115" s="12">
        <v>43155</v>
      </c>
      <c r="B12115">
        <v>2018</v>
      </c>
      <c r="C12115">
        <v>2</v>
      </c>
      <c r="D12115" s="11">
        <v>43132</v>
      </c>
      <c r="E12115" t="s">
        <v>2174</v>
      </c>
      <c r="F12115">
        <v>6</v>
      </c>
      <c r="G12115" t="s">
        <v>57</v>
      </c>
      <c r="H12115" t="s">
        <v>41</v>
      </c>
      <c r="I12115" t="s">
        <v>2189</v>
      </c>
      <c r="J12115" s="10">
        <v>5.68</v>
      </c>
      <c r="K12115" t="b">
        <v>1</v>
      </c>
    </row>
    <row r="12116" spans="1:11">
      <c r="A12116" s="12">
        <v>43155</v>
      </c>
      <c r="B12116">
        <v>2018</v>
      </c>
      <c r="C12116">
        <v>2</v>
      </c>
      <c r="D12116" s="11">
        <v>43132</v>
      </c>
      <c r="E12116" t="s">
        <v>2174</v>
      </c>
      <c r="F12116">
        <v>6</v>
      </c>
      <c r="G12116" t="s">
        <v>57</v>
      </c>
      <c r="H12116" t="s">
        <v>42</v>
      </c>
      <c r="I12116" t="s">
        <v>2190</v>
      </c>
      <c r="J12116" s="10">
        <v>7</v>
      </c>
      <c r="K12116" t="b">
        <v>1</v>
      </c>
    </row>
    <row r="12117" spans="1:11">
      <c r="A12117" s="12">
        <v>43155</v>
      </c>
      <c r="B12117">
        <v>2018</v>
      </c>
      <c r="C12117">
        <v>2</v>
      </c>
      <c r="D12117" s="11">
        <v>43132</v>
      </c>
      <c r="E12117" t="s">
        <v>2174</v>
      </c>
      <c r="F12117">
        <v>6</v>
      </c>
      <c r="G12117" t="s">
        <v>57</v>
      </c>
      <c r="H12117" t="s">
        <v>43</v>
      </c>
      <c r="I12117" t="s">
        <v>2191</v>
      </c>
      <c r="J12117" s="10">
        <v>43.5</v>
      </c>
      <c r="K12117" t="b">
        <v>1</v>
      </c>
    </row>
    <row r="12118" spans="1:11">
      <c r="A12118" s="12">
        <v>43155</v>
      </c>
      <c r="B12118">
        <v>2018</v>
      </c>
      <c r="C12118">
        <v>2</v>
      </c>
      <c r="D12118" s="11">
        <v>43132</v>
      </c>
      <c r="E12118" t="s">
        <v>2174</v>
      </c>
      <c r="F12118">
        <v>6</v>
      </c>
      <c r="G12118" t="s">
        <v>57</v>
      </c>
      <c r="H12118" t="s">
        <v>44</v>
      </c>
      <c r="I12118" t="s">
        <v>2192</v>
      </c>
      <c r="J12118" s="10">
        <v>10</v>
      </c>
      <c r="K12118" t="b">
        <v>1</v>
      </c>
    </row>
    <row r="12119" spans="1:11">
      <c r="A12119" s="12">
        <v>43155</v>
      </c>
      <c r="B12119">
        <v>2018</v>
      </c>
      <c r="C12119">
        <v>2</v>
      </c>
      <c r="D12119" s="11">
        <v>43132</v>
      </c>
      <c r="E12119" t="s">
        <v>2174</v>
      </c>
      <c r="F12119">
        <v>6</v>
      </c>
      <c r="G12119" t="s">
        <v>57</v>
      </c>
      <c r="H12119" t="s">
        <v>45</v>
      </c>
      <c r="I12119" t="s">
        <v>2193</v>
      </c>
      <c r="J12119" s="10">
        <v>0</v>
      </c>
      <c r="K12119" t="b">
        <v>1</v>
      </c>
    </row>
    <row r="12120" spans="1:11">
      <c r="A12120" s="12">
        <v>43155</v>
      </c>
      <c r="B12120">
        <v>2018</v>
      </c>
      <c r="C12120">
        <v>2</v>
      </c>
      <c r="D12120" s="11">
        <v>43132</v>
      </c>
      <c r="E12120" t="s">
        <v>2174</v>
      </c>
      <c r="F12120">
        <v>6</v>
      </c>
      <c r="G12120" t="s">
        <v>57</v>
      </c>
      <c r="H12120" t="s">
        <v>46</v>
      </c>
      <c r="I12120" t="s">
        <v>2194</v>
      </c>
      <c r="J12120" s="10">
        <v>8</v>
      </c>
      <c r="K12120" t="b">
        <v>1</v>
      </c>
    </row>
    <row r="12121" spans="1:11">
      <c r="A12121" s="12">
        <v>43155</v>
      </c>
      <c r="B12121">
        <v>2018</v>
      </c>
      <c r="C12121">
        <v>2</v>
      </c>
      <c r="D12121" s="11">
        <v>43132</v>
      </c>
      <c r="E12121" t="s">
        <v>2174</v>
      </c>
      <c r="F12121">
        <v>6</v>
      </c>
      <c r="G12121" t="s">
        <v>57</v>
      </c>
      <c r="H12121" t="s">
        <v>47</v>
      </c>
      <c r="I12121" t="s">
        <v>2195</v>
      </c>
      <c r="J12121" s="10">
        <v>3</v>
      </c>
      <c r="K12121" t="b">
        <v>1</v>
      </c>
    </row>
    <row r="12122" spans="1:11">
      <c r="A12122" s="12">
        <v>43156</v>
      </c>
      <c r="B12122">
        <v>2018</v>
      </c>
      <c r="C12122">
        <v>2</v>
      </c>
      <c r="D12122" s="11">
        <v>43132</v>
      </c>
      <c r="E12122" t="s">
        <v>2174</v>
      </c>
      <c r="F12122">
        <v>7</v>
      </c>
      <c r="G12122" t="s">
        <v>59</v>
      </c>
      <c r="H12122" t="s">
        <v>40</v>
      </c>
      <c r="I12122" t="s">
        <v>2188</v>
      </c>
      <c r="J12122" s="10">
        <v>4</v>
      </c>
      <c r="K12122" t="b">
        <v>1</v>
      </c>
    </row>
    <row r="12123" spans="1:11">
      <c r="A12123" s="12">
        <v>43156</v>
      </c>
      <c r="B12123">
        <v>2018</v>
      </c>
      <c r="C12123">
        <v>2</v>
      </c>
      <c r="D12123" s="11">
        <v>43132</v>
      </c>
      <c r="E12123" t="s">
        <v>2174</v>
      </c>
      <c r="F12123">
        <v>7</v>
      </c>
      <c r="G12123" t="s">
        <v>59</v>
      </c>
      <c r="H12123" t="s">
        <v>41</v>
      </c>
      <c r="I12123" t="s">
        <v>2189</v>
      </c>
      <c r="J12123" s="10">
        <v>1.68</v>
      </c>
      <c r="K12123" t="b">
        <v>1</v>
      </c>
    </row>
    <row r="12124" spans="1:11">
      <c r="A12124" s="12">
        <v>43156</v>
      </c>
      <c r="B12124">
        <v>2018</v>
      </c>
      <c r="C12124">
        <v>2</v>
      </c>
      <c r="D12124" s="11">
        <v>43132</v>
      </c>
      <c r="E12124" t="s">
        <v>2174</v>
      </c>
      <c r="F12124">
        <v>7</v>
      </c>
      <c r="G12124" t="s">
        <v>59</v>
      </c>
      <c r="H12124" t="s">
        <v>42</v>
      </c>
      <c r="I12124" t="s">
        <v>2190</v>
      </c>
      <c r="J12124" s="10">
        <v>2</v>
      </c>
      <c r="K12124" t="b">
        <v>1</v>
      </c>
    </row>
    <row r="12125" spans="1:11">
      <c r="A12125" s="12">
        <v>43156</v>
      </c>
      <c r="B12125">
        <v>2018</v>
      </c>
      <c r="C12125">
        <v>2</v>
      </c>
      <c r="D12125" s="11">
        <v>43132</v>
      </c>
      <c r="E12125" t="s">
        <v>2174</v>
      </c>
      <c r="F12125">
        <v>7</v>
      </c>
      <c r="G12125" t="s">
        <v>59</v>
      </c>
      <c r="H12125" t="s">
        <v>43</v>
      </c>
      <c r="I12125" t="s">
        <v>2191</v>
      </c>
      <c r="J12125" s="10">
        <v>36.8</v>
      </c>
      <c r="K12125" t="b">
        <v>1</v>
      </c>
    </row>
    <row r="12126" spans="1:11">
      <c r="A12126" s="12">
        <v>43156</v>
      </c>
      <c r="B12126">
        <v>2018</v>
      </c>
      <c r="C12126">
        <v>2</v>
      </c>
      <c r="D12126" s="11">
        <v>43132</v>
      </c>
      <c r="E12126" t="s">
        <v>2174</v>
      </c>
      <c r="F12126">
        <v>7</v>
      </c>
      <c r="G12126" t="s">
        <v>59</v>
      </c>
      <c r="H12126" t="s">
        <v>44</v>
      </c>
      <c r="I12126" t="s">
        <v>2192</v>
      </c>
      <c r="J12126" s="10">
        <v>10</v>
      </c>
      <c r="K12126" t="b">
        <v>1</v>
      </c>
    </row>
    <row r="12127" spans="1:11">
      <c r="A12127" s="12">
        <v>43156</v>
      </c>
      <c r="B12127">
        <v>2018</v>
      </c>
      <c r="C12127">
        <v>2</v>
      </c>
      <c r="D12127" s="11">
        <v>43132</v>
      </c>
      <c r="E12127" t="s">
        <v>2174</v>
      </c>
      <c r="F12127">
        <v>7</v>
      </c>
      <c r="G12127" t="s">
        <v>59</v>
      </c>
      <c r="H12127" t="s">
        <v>45</v>
      </c>
      <c r="I12127" t="s">
        <v>2193</v>
      </c>
      <c r="J12127" s="10">
        <v>0</v>
      </c>
      <c r="K12127" t="b">
        <v>1</v>
      </c>
    </row>
    <row r="12128" spans="1:11">
      <c r="A12128" s="12">
        <v>43156</v>
      </c>
      <c r="B12128">
        <v>2018</v>
      </c>
      <c r="C12128">
        <v>2</v>
      </c>
      <c r="D12128" s="11">
        <v>43132</v>
      </c>
      <c r="E12128" t="s">
        <v>2174</v>
      </c>
      <c r="F12128">
        <v>7</v>
      </c>
      <c r="G12128" t="s">
        <v>59</v>
      </c>
      <c r="H12128" t="s">
        <v>46</v>
      </c>
      <c r="I12128" t="s">
        <v>2194</v>
      </c>
      <c r="J12128" s="10">
        <v>10</v>
      </c>
      <c r="K12128" t="b">
        <v>1</v>
      </c>
    </row>
    <row r="12129" spans="1:11">
      <c r="A12129" s="12">
        <v>43156</v>
      </c>
      <c r="B12129">
        <v>2018</v>
      </c>
      <c r="C12129">
        <v>2</v>
      </c>
      <c r="D12129" s="11">
        <v>43132</v>
      </c>
      <c r="E12129" t="s">
        <v>2174</v>
      </c>
      <c r="F12129">
        <v>7</v>
      </c>
      <c r="G12129" t="s">
        <v>59</v>
      </c>
      <c r="H12129" t="s">
        <v>47</v>
      </c>
      <c r="I12129" t="s">
        <v>2195</v>
      </c>
      <c r="J12129" s="10">
        <v>2</v>
      </c>
      <c r="K12129" t="b">
        <v>1</v>
      </c>
    </row>
    <row r="12130" spans="1:11">
      <c r="A12130" s="12">
        <v>43157</v>
      </c>
      <c r="B12130">
        <v>2018</v>
      </c>
      <c r="C12130">
        <v>2</v>
      </c>
      <c r="D12130" s="11">
        <v>43132</v>
      </c>
      <c r="E12130" t="s">
        <v>2174</v>
      </c>
      <c r="F12130">
        <v>1</v>
      </c>
      <c r="G12130" t="s">
        <v>61</v>
      </c>
      <c r="H12130" t="s">
        <v>40</v>
      </c>
      <c r="I12130" t="s">
        <v>2188</v>
      </c>
      <c r="J12130" s="10">
        <v>1</v>
      </c>
      <c r="K12130" t="b">
        <v>1</v>
      </c>
    </row>
    <row r="12131" spans="1:11">
      <c r="A12131" s="12">
        <v>43157</v>
      </c>
      <c r="B12131">
        <v>2018</v>
      </c>
      <c r="C12131">
        <v>2</v>
      </c>
      <c r="D12131" s="11">
        <v>43132</v>
      </c>
      <c r="E12131" t="s">
        <v>2174</v>
      </c>
      <c r="F12131">
        <v>1</v>
      </c>
      <c r="G12131" t="s">
        <v>61</v>
      </c>
      <c r="H12131" t="s">
        <v>41</v>
      </c>
      <c r="I12131" t="s">
        <v>2189</v>
      </c>
      <c r="J12131" s="10">
        <v>0.66</v>
      </c>
      <c r="K12131" t="b">
        <v>1</v>
      </c>
    </row>
    <row r="12132" spans="1:11">
      <c r="A12132" s="12">
        <v>43157</v>
      </c>
      <c r="B12132">
        <v>2018</v>
      </c>
      <c r="C12132">
        <v>2</v>
      </c>
      <c r="D12132" s="11">
        <v>43132</v>
      </c>
      <c r="E12132" t="s">
        <v>2174</v>
      </c>
      <c r="F12132">
        <v>1</v>
      </c>
      <c r="G12132" t="s">
        <v>61</v>
      </c>
      <c r="H12132" t="s">
        <v>42</v>
      </c>
      <c r="I12132" t="s">
        <v>2190</v>
      </c>
      <c r="J12132" s="10">
        <v>2</v>
      </c>
      <c r="K12132" t="b">
        <v>1</v>
      </c>
    </row>
    <row r="12133" spans="1:11">
      <c r="A12133" s="12">
        <v>43157</v>
      </c>
      <c r="B12133">
        <v>2018</v>
      </c>
      <c r="C12133">
        <v>2</v>
      </c>
      <c r="D12133" s="11">
        <v>43132</v>
      </c>
      <c r="E12133" t="s">
        <v>2174</v>
      </c>
      <c r="F12133">
        <v>1</v>
      </c>
      <c r="G12133" t="s">
        <v>61</v>
      </c>
      <c r="H12133" t="s">
        <v>43</v>
      </c>
      <c r="I12133" t="s">
        <v>2191</v>
      </c>
      <c r="J12133" s="10">
        <v>46.6</v>
      </c>
      <c r="K12133" t="b">
        <v>1</v>
      </c>
    </row>
    <row r="12134" spans="1:11">
      <c r="A12134" s="12">
        <v>43157</v>
      </c>
      <c r="B12134">
        <v>2018</v>
      </c>
      <c r="C12134">
        <v>2</v>
      </c>
      <c r="D12134" s="11">
        <v>43132</v>
      </c>
      <c r="E12134" t="s">
        <v>2174</v>
      </c>
      <c r="F12134">
        <v>1</v>
      </c>
      <c r="G12134" t="s">
        <v>61</v>
      </c>
      <c r="H12134" t="s">
        <v>44</v>
      </c>
      <c r="I12134" t="s">
        <v>2192</v>
      </c>
      <c r="J12134" s="10">
        <v>9</v>
      </c>
      <c r="K12134" t="b">
        <v>1</v>
      </c>
    </row>
    <row r="12135" spans="1:11">
      <c r="A12135" s="12">
        <v>43157</v>
      </c>
      <c r="B12135">
        <v>2018</v>
      </c>
      <c r="C12135">
        <v>2</v>
      </c>
      <c r="D12135" s="11">
        <v>43132</v>
      </c>
      <c r="E12135" t="s">
        <v>2174</v>
      </c>
      <c r="F12135">
        <v>1</v>
      </c>
      <c r="G12135" t="s">
        <v>61</v>
      </c>
      <c r="H12135" t="s">
        <v>45</v>
      </c>
      <c r="I12135" t="s">
        <v>2193</v>
      </c>
      <c r="J12135" s="10">
        <v>0</v>
      </c>
      <c r="K12135" t="b">
        <v>1</v>
      </c>
    </row>
    <row r="12136" spans="1:11">
      <c r="A12136" s="12">
        <v>43157</v>
      </c>
      <c r="B12136">
        <v>2018</v>
      </c>
      <c r="C12136">
        <v>2</v>
      </c>
      <c r="D12136" s="11">
        <v>43132</v>
      </c>
      <c r="E12136" t="s">
        <v>2174</v>
      </c>
      <c r="F12136">
        <v>1</v>
      </c>
      <c r="G12136" t="s">
        <v>61</v>
      </c>
      <c r="H12136" t="s">
        <v>46</v>
      </c>
      <c r="I12136" t="s">
        <v>2194</v>
      </c>
      <c r="J12136" s="10">
        <v>7</v>
      </c>
      <c r="K12136" t="b">
        <v>1</v>
      </c>
    </row>
    <row r="12137" spans="1:11">
      <c r="A12137" s="12">
        <v>43157</v>
      </c>
      <c r="B12137">
        <v>2018</v>
      </c>
      <c r="C12137">
        <v>2</v>
      </c>
      <c r="D12137" s="11">
        <v>43132</v>
      </c>
      <c r="E12137" t="s">
        <v>2174</v>
      </c>
      <c r="F12137">
        <v>1</v>
      </c>
      <c r="G12137" t="s">
        <v>61</v>
      </c>
      <c r="H12137" t="s">
        <v>47</v>
      </c>
      <c r="I12137" t="s">
        <v>2195</v>
      </c>
      <c r="J12137" s="10">
        <v>1</v>
      </c>
      <c r="K12137" t="b">
        <v>1</v>
      </c>
    </row>
    <row r="12138" spans="1:11">
      <c r="A12138" s="12">
        <v>43158</v>
      </c>
      <c r="B12138">
        <v>2018</v>
      </c>
      <c r="C12138">
        <v>2</v>
      </c>
      <c r="D12138" s="11">
        <v>43132</v>
      </c>
      <c r="E12138" t="s">
        <v>2174</v>
      </c>
      <c r="F12138">
        <v>2</v>
      </c>
      <c r="G12138" t="s">
        <v>63</v>
      </c>
      <c r="H12138" t="s">
        <v>40</v>
      </c>
      <c r="I12138" t="s">
        <v>2188</v>
      </c>
      <c r="J12138" s="10">
        <v>3.33</v>
      </c>
      <c r="K12138" t="b">
        <v>1</v>
      </c>
    </row>
    <row r="12139" spans="1:11">
      <c r="A12139" s="12">
        <v>43158</v>
      </c>
      <c r="B12139">
        <v>2018</v>
      </c>
      <c r="C12139">
        <v>2</v>
      </c>
      <c r="D12139" s="11">
        <v>43132</v>
      </c>
      <c r="E12139" t="s">
        <v>2174</v>
      </c>
      <c r="F12139">
        <v>2</v>
      </c>
      <c r="G12139" t="s">
        <v>63</v>
      </c>
      <c r="H12139" t="s">
        <v>41</v>
      </c>
      <c r="I12139" t="s">
        <v>2189</v>
      </c>
      <c r="J12139" s="10">
        <v>2.65</v>
      </c>
      <c r="K12139" t="b">
        <v>1</v>
      </c>
    </row>
    <row r="12140" spans="1:11">
      <c r="A12140" s="12">
        <v>43158</v>
      </c>
      <c r="B12140">
        <v>2018</v>
      </c>
      <c r="C12140">
        <v>2</v>
      </c>
      <c r="D12140" s="11">
        <v>43132</v>
      </c>
      <c r="E12140" t="s">
        <v>2174</v>
      </c>
      <c r="F12140">
        <v>2</v>
      </c>
      <c r="G12140" t="s">
        <v>63</v>
      </c>
      <c r="H12140" t="s">
        <v>42</v>
      </c>
      <c r="I12140" t="s">
        <v>2190</v>
      </c>
      <c r="J12140" s="10">
        <v>3.4</v>
      </c>
      <c r="K12140" t="b">
        <v>1</v>
      </c>
    </row>
    <row r="12141" spans="1:11">
      <c r="A12141" s="12">
        <v>43158</v>
      </c>
      <c r="B12141">
        <v>2018</v>
      </c>
      <c r="C12141">
        <v>2</v>
      </c>
      <c r="D12141" s="11">
        <v>43132</v>
      </c>
      <c r="E12141" t="s">
        <v>2174</v>
      </c>
      <c r="F12141">
        <v>2</v>
      </c>
      <c r="G12141" t="s">
        <v>63</v>
      </c>
      <c r="H12141" t="s">
        <v>43</v>
      </c>
      <c r="I12141" t="s">
        <v>2191</v>
      </c>
      <c r="J12141" s="10">
        <v>26.7</v>
      </c>
      <c r="K12141" t="b">
        <v>1</v>
      </c>
    </row>
    <row r="12142" spans="1:11">
      <c r="A12142" s="12">
        <v>43158</v>
      </c>
      <c r="B12142">
        <v>2018</v>
      </c>
      <c r="C12142">
        <v>2</v>
      </c>
      <c r="D12142" s="11">
        <v>43132</v>
      </c>
      <c r="E12142" t="s">
        <v>2174</v>
      </c>
      <c r="F12142">
        <v>2</v>
      </c>
      <c r="G12142" t="s">
        <v>63</v>
      </c>
      <c r="H12142" t="s">
        <v>44</v>
      </c>
      <c r="I12142" t="s">
        <v>2192</v>
      </c>
      <c r="J12142" s="10">
        <v>20</v>
      </c>
      <c r="K12142" t="b">
        <v>1</v>
      </c>
    </row>
    <row r="12143" spans="1:11">
      <c r="A12143" s="12">
        <v>43158</v>
      </c>
      <c r="B12143">
        <v>2018</v>
      </c>
      <c r="C12143">
        <v>2</v>
      </c>
      <c r="D12143" s="11">
        <v>43132</v>
      </c>
      <c r="E12143" t="s">
        <v>2174</v>
      </c>
      <c r="F12143">
        <v>2</v>
      </c>
      <c r="G12143" t="s">
        <v>63</v>
      </c>
      <c r="H12143" t="s">
        <v>45</v>
      </c>
      <c r="I12143" t="s">
        <v>2193</v>
      </c>
      <c r="J12143" s="10">
        <v>9</v>
      </c>
      <c r="K12143" t="b">
        <v>1</v>
      </c>
    </row>
    <row r="12144" spans="1:11">
      <c r="A12144" s="12">
        <v>43158</v>
      </c>
      <c r="B12144">
        <v>2018</v>
      </c>
      <c r="C12144">
        <v>2</v>
      </c>
      <c r="D12144" s="11">
        <v>43132</v>
      </c>
      <c r="E12144" t="s">
        <v>2174</v>
      </c>
      <c r="F12144">
        <v>2</v>
      </c>
      <c r="G12144" t="s">
        <v>63</v>
      </c>
      <c r="H12144" t="s">
        <v>46</v>
      </c>
      <c r="I12144" t="s">
        <v>2194</v>
      </c>
      <c r="J12144" s="10">
        <v>8</v>
      </c>
      <c r="K12144" t="b">
        <v>1</v>
      </c>
    </row>
    <row r="12145" spans="1:11">
      <c r="A12145" s="12">
        <v>43158</v>
      </c>
      <c r="B12145">
        <v>2018</v>
      </c>
      <c r="C12145">
        <v>2</v>
      </c>
      <c r="D12145" s="11">
        <v>43132</v>
      </c>
      <c r="E12145" t="s">
        <v>2174</v>
      </c>
      <c r="F12145">
        <v>2</v>
      </c>
      <c r="G12145" t="s">
        <v>63</v>
      </c>
      <c r="H12145" t="s">
        <v>47</v>
      </c>
      <c r="I12145" t="s">
        <v>2195</v>
      </c>
      <c r="J12145" s="10">
        <v>1</v>
      </c>
      <c r="K12145" t="b">
        <v>1</v>
      </c>
    </row>
    <row r="12146" spans="1:11">
      <c r="A12146" s="12">
        <v>43159</v>
      </c>
      <c r="B12146">
        <v>2018</v>
      </c>
      <c r="C12146">
        <v>2</v>
      </c>
      <c r="D12146" s="11">
        <v>43132</v>
      </c>
      <c r="E12146" t="s">
        <v>2174</v>
      </c>
      <c r="F12146">
        <v>3</v>
      </c>
      <c r="G12146" t="s">
        <v>65</v>
      </c>
      <c r="H12146" t="s">
        <v>40</v>
      </c>
      <c r="I12146" t="s">
        <v>2188</v>
      </c>
      <c r="J12146" s="10">
        <v>1</v>
      </c>
      <c r="K12146" t="b">
        <v>1</v>
      </c>
    </row>
    <row r="12147" spans="1:11">
      <c r="A12147" s="12">
        <v>43159</v>
      </c>
      <c r="B12147">
        <v>2018</v>
      </c>
      <c r="C12147">
        <v>2</v>
      </c>
      <c r="D12147" s="11">
        <v>43132</v>
      </c>
      <c r="E12147" t="s">
        <v>2174</v>
      </c>
      <c r="F12147">
        <v>3</v>
      </c>
      <c r="G12147" t="s">
        <v>65</v>
      </c>
      <c r="H12147" t="s">
        <v>41</v>
      </c>
      <c r="I12147" t="s">
        <v>2189</v>
      </c>
      <c r="J12147" s="10">
        <v>2.33</v>
      </c>
      <c r="K12147" t="b">
        <v>1</v>
      </c>
    </row>
    <row r="12148" spans="1:11">
      <c r="A12148" s="12">
        <v>43159</v>
      </c>
      <c r="B12148">
        <v>2018</v>
      </c>
      <c r="C12148">
        <v>2</v>
      </c>
      <c r="D12148" s="11">
        <v>43132</v>
      </c>
      <c r="E12148" t="s">
        <v>2174</v>
      </c>
      <c r="F12148">
        <v>3</v>
      </c>
      <c r="G12148" t="s">
        <v>65</v>
      </c>
      <c r="H12148" t="s">
        <v>42</v>
      </c>
      <c r="I12148" t="s">
        <v>2190</v>
      </c>
      <c r="J12148" s="10">
        <v>5.1</v>
      </c>
      <c r="K12148" t="b">
        <v>1</v>
      </c>
    </row>
    <row r="12149" spans="1:11">
      <c r="A12149" s="12">
        <v>43159</v>
      </c>
      <c r="B12149">
        <v>2018</v>
      </c>
      <c r="C12149">
        <v>2</v>
      </c>
      <c r="D12149" s="11">
        <v>43132</v>
      </c>
      <c r="E12149" t="s">
        <v>2174</v>
      </c>
      <c r="F12149">
        <v>3</v>
      </c>
      <c r="G12149" t="s">
        <v>65</v>
      </c>
      <c r="H12149" t="s">
        <v>43</v>
      </c>
      <c r="I12149" t="s">
        <v>2191</v>
      </c>
      <c r="J12149" s="10">
        <v>44.662</v>
      </c>
      <c r="K12149" t="b">
        <v>1</v>
      </c>
    </row>
    <row r="12150" spans="1:11">
      <c r="A12150" s="12">
        <v>43159</v>
      </c>
      <c r="B12150">
        <v>2018</v>
      </c>
      <c r="C12150">
        <v>2</v>
      </c>
      <c r="D12150" s="11">
        <v>43132</v>
      </c>
      <c r="E12150" t="s">
        <v>2174</v>
      </c>
      <c r="F12150">
        <v>3</v>
      </c>
      <c r="G12150" t="s">
        <v>65</v>
      </c>
      <c r="H12150" t="s">
        <v>44</v>
      </c>
      <c r="I12150" t="s">
        <v>2192</v>
      </c>
      <c r="J12150" s="10">
        <v>21</v>
      </c>
      <c r="K12150" t="b">
        <v>1</v>
      </c>
    </row>
    <row r="12151" spans="1:11">
      <c r="A12151" s="12">
        <v>43159</v>
      </c>
      <c r="B12151">
        <v>2018</v>
      </c>
      <c r="C12151">
        <v>2</v>
      </c>
      <c r="D12151" s="11">
        <v>43132</v>
      </c>
      <c r="E12151" t="s">
        <v>2174</v>
      </c>
      <c r="F12151">
        <v>3</v>
      </c>
      <c r="G12151" t="s">
        <v>65</v>
      </c>
      <c r="H12151" t="s">
        <v>45</v>
      </c>
      <c r="I12151" t="s">
        <v>2193</v>
      </c>
      <c r="J12151" s="10">
        <v>2</v>
      </c>
      <c r="K12151" t="b">
        <v>1</v>
      </c>
    </row>
    <row r="12152" spans="1:11">
      <c r="A12152" s="12">
        <v>43159</v>
      </c>
      <c r="B12152">
        <v>2018</v>
      </c>
      <c r="C12152">
        <v>2</v>
      </c>
      <c r="D12152" s="11">
        <v>43132</v>
      </c>
      <c r="E12152" t="s">
        <v>2174</v>
      </c>
      <c r="F12152">
        <v>3</v>
      </c>
      <c r="G12152" t="s">
        <v>65</v>
      </c>
      <c r="H12152" t="s">
        <v>46</v>
      </c>
      <c r="I12152" t="s">
        <v>2194</v>
      </c>
      <c r="J12152" s="10">
        <v>0</v>
      </c>
      <c r="K12152" t="b">
        <v>1</v>
      </c>
    </row>
    <row r="12153" spans="1:11">
      <c r="A12153" s="12">
        <v>43159</v>
      </c>
      <c r="B12153">
        <v>2018</v>
      </c>
      <c r="C12153">
        <v>2</v>
      </c>
      <c r="D12153" s="11">
        <v>43132</v>
      </c>
      <c r="E12153" t="s">
        <v>2174</v>
      </c>
      <c r="F12153">
        <v>3</v>
      </c>
      <c r="G12153" t="s">
        <v>65</v>
      </c>
      <c r="H12153" t="s">
        <v>47</v>
      </c>
      <c r="I12153" t="s">
        <v>2195</v>
      </c>
      <c r="J12153" s="10">
        <v>1</v>
      </c>
      <c r="K12153" t="b">
        <v>1</v>
      </c>
    </row>
    <row r="12154" spans="1:11">
      <c r="A12154" s="12">
        <v>43160</v>
      </c>
      <c r="B12154">
        <v>2018</v>
      </c>
      <c r="C12154">
        <v>3</v>
      </c>
      <c r="D12154" s="11">
        <v>43160</v>
      </c>
      <c r="E12154" t="s">
        <v>2175</v>
      </c>
      <c r="F12154">
        <v>4</v>
      </c>
      <c r="G12154" t="s">
        <v>53</v>
      </c>
      <c r="H12154" t="s">
        <v>40</v>
      </c>
      <c r="I12154" t="s">
        <v>2188</v>
      </c>
      <c r="J12154" s="10">
        <v>1</v>
      </c>
      <c r="K12154" t="b">
        <v>1</v>
      </c>
    </row>
    <row r="12155" spans="1:11">
      <c r="A12155" s="12">
        <v>43160</v>
      </c>
      <c r="B12155">
        <v>2018</v>
      </c>
      <c r="C12155">
        <v>3</v>
      </c>
      <c r="D12155" s="11">
        <v>43160</v>
      </c>
      <c r="E12155" t="s">
        <v>2175</v>
      </c>
      <c r="F12155">
        <v>4</v>
      </c>
      <c r="G12155" t="s">
        <v>53</v>
      </c>
      <c r="H12155" t="s">
        <v>41</v>
      </c>
      <c r="I12155" t="s">
        <v>2189</v>
      </c>
      <c r="J12155" s="10">
        <v>6.033</v>
      </c>
      <c r="K12155" t="b">
        <v>1</v>
      </c>
    </row>
    <row r="12156" spans="1:11">
      <c r="A12156" s="12">
        <v>43160</v>
      </c>
      <c r="B12156">
        <v>2018</v>
      </c>
      <c r="C12156">
        <v>3</v>
      </c>
      <c r="D12156" s="11">
        <v>43160</v>
      </c>
      <c r="E12156" t="s">
        <v>2175</v>
      </c>
      <c r="F12156">
        <v>4</v>
      </c>
      <c r="G12156" t="s">
        <v>53</v>
      </c>
      <c r="H12156" t="s">
        <v>42</v>
      </c>
      <c r="I12156" t="s">
        <v>2190</v>
      </c>
      <c r="J12156" s="10">
        <v>1.05</v>
      </c>
      <c r="K12156" t="b">
        <v>1</v>
      </c>
    </row>
    <row r="12157" spans="1:11">
      <c r="A12157" s="12">
        <v>43160</v>
      </c>
      <c r="B12157">
        <v>2018</v>
      </c>
      <c r="C12157">
        <v>3</v>
      </c>
      <c r="D12157" s="11">
        <v>43160</v>
      </c>
      <c r="E12157" t="s">
        <v>2175</v>
      </c>
      <c r="F12157">
        <v>4</v>
      </c>
      <c r="G12157" t="s">
        <v>53</v>
      </c>
      <c r="H12157" t="s">
        <v>43</v>
      </c>
      <c r="I12157" t="s">
        <v>2191</v>
      </c>
      <c r="J12157" s="10">
        <v>26.4</v>
      </c>
      <c r="K12157" t="b">
        <v>1</v>
      </c>
    </row>
    <row r="12158" spans="1:11">
      <c r="A12158" s="12">
        <v>43160</v>
      </c>
      <c r="B12158">
        <v>2018</v>
      </c>
      <c r="C12158">
        <v>3</v>
      </c>
      <c r="D12158" s="11">
        <v>43160</v>
      </c>
      <c r="E12158" t="s">
        <v>2175</v>
      </c>
      <c r="F12158">
        <v>4</v>
      </c>
      <c r="G12158" t="s">
        <v>53</v>
      </c>
      <c r="H12158" t="s">
        <v>44</v>
      </c>
      <c r="I12158" t="s">
        <v>2192</v>
      </c>
      <c r="J12158" s="10">
        <v>26</v>
      </c>
      <c r="K12158" t="b">
        <v>1</v>
      </c>
    </row>
    <row r="12159" spans="1:11">
      <c r="A12159" s="12">
        <v>43160</v>
      </c>
      <c r="B12159">
        <v>2018</v>
      </c>
      <c r="C12159">
        <v>3</v>
      </c>
      <c r="D12159" s="11">
        <v>43160</v>
      </c>
      <c r="E12159" t="s">
        <v>2175</v>
      </c>
      <c r="F12159">
        <v>4</v>
      </c>
      <c r="G12159" t="s">
        <v>53</v>
      </c>
      <c r="H12159" t="s">
        <v>45</v>
      </c>
      <c r="I12159" t="s">
        <v>2193</v>
      </c>
      <c r="J12159" s="10">
        <v>1</v>
      </c>
      <c r="K12159" t="b">
        <v>1</v>
      </c>
    </row>
    <row r="12160" spans="1:11">
      <c r="A12160" s="12">
        <v>43160</v>
      </c>
      <c r="B12160">
        <v>2018</v>
      </c>
      <c r="C12160">
        <v>3</v>
      </c>
      <c r="D12160" s="11">
        <v>43160</v>
      </c>
      <c r="E12160" t="s">
        <v>2175</v>
      </c>
      <c r="F12160">
        <v>4</v>
      </c>
      <c r="G12160" t="s">
        <v>53</v>
      </c>
      <c r="H12160" t="s">
        <v>46</v>
      </c>
      <c r="I12160" t="s">
        <v>2194</v>
      </c>
      <c r="J12160" s="10">
        <v>12</v>
      </c>
      <c r="K12160" t="b">
        <v>1</v>
      </c>
    </row>
    <row r="12161" spans="1:11">
      <c r="A12161" s="12">
        <v>43160</v>
      </c>
      <c r="B12161">
        <v>2018</v>
      </c>
      <c r="C12161">
        <v>3</v>
      </c>
      <c r="D12161" s="11">
        <v>43160</v>
      </c>
      <c r="E12161" t="s">
        <v>2175</v>
      </c>
      <c r="F12161">
        <v>4</v>
      </c>
      <c r="G12161" t="s">
        <v>53</v>
      </c>
      <c r="H12161" t="s">
        <v>47</v>
      </c>
      <c r="I12161" t="s">
        <v>2195</v>
      </c>
      <c r="J12161" s="10">
        <v>1</v>
      </c>
      <c r="K12161" t="b">
        <v>1</v>
      </c>
    </row>
    <row r="12162" spans="1:11">
      <c r="A12162" s="12">
        <v>43161</v>
      </c>
      <c r="B12162">
        <v>2018</v>
      </c>
      <c r="C12162">
        <v>3</v>
      </c>
      <c r="D12162" s="11">
        <v>43160</v>
      </c>
      <c r="E12162" t="s">
        <v>2175</v>
      </c>
      <c r="F12162">
        <v>5</v>
      </c>
      <c r="G12162" t="s">
        <v>55</v>
      </c>
      <c r="H12162" t="s">
        <v>40</v>
      </c>
      <c r="I12162" t="s">
        <v>2188</v>
      </c>
      <c r="J12162" s="10">
        <v>4</v>
      </c>
      <c r="K12162" t="b">
        <v>1</v>
      </c>
    </row>
    <row r="12163" spans="1:11">
      <c r="A12163" s="12">
        <v>43161</v>
      </c>
      <c r="B12163">
        <v>2018</v>
      </c>
      <c r="C12163">
        <v>3</v>
      </c>
      <c r="D12163" s="11">
        <v>43160</v>
      </c>
      <c r="E12163" t="s">
        <v>2175</v>
      </c>
      <c r="F12163">
        <v>5</v>
      </c>
      <c r="G12163" t="s">
        <v>55</v>
      </c>
      <c r="H12163" t="s">
        <v>41</v>
      </c>
      <c r="I12163" t="s">
        <v>2189</v>
      </c>
      <c r="J12163" s="10">
        <v>3</v>
      </c>
      <c r="K12163" t="b">
        <v>1</v>
      </c>
    </row>
    <row r="12164" spans="1:11">
      <c r="A12164" s="12">
        <v>43161</v>
      </c>
      <c r="B12164">
        <v>2018</v>
      </c>
      <c r="C12164">
        <v>3</v>
      </c>
      <c r="D12164" s="11">
        <v>43160</v>
      </c>
      <c r="E12164" t="s">
        <v>2175</v>
      </c>
      <c r="F12164">
        <v>5</v>
      </c>
      <c r="G12164" t="s">
        <v>55</v>
      </c>
      <c r="H12164" t="s">
        <v>42</v>
      </c>
      <c r="I12164" t="s">
        <v>2190</v>
      </c>
      <c r="J12164" s="10">
        <v>9.5</v>
      </c>
      <c r="K12164" t="b">
        <v>1</v>
      </c>
    </row>
    <row r="12165" spans="1:11">
      <c r="A12165" s="12">
        <v>43161</v>
      </c>
      <c r="B12165">
        <v>2018</v>
      </c>
      <c r="C12165">
        <v>3</v>
      </c>
      <c r="D12165" s="11">
        <v>43160</v>
      </c>
      <c r="E12165" t="s">
        <v>2175</v>
      </c>
      <c r="F12165">
        <v>5</v>
      </c>
      <c r="G12165" t="s">
        <v>55</v>
      </c>
      <c r="H12165" t="s">
        <v>43</v>
      </c>
      <c r="I12165" t="s">
        <v>2191</v>
      </c>
      <c r="J12165" s="10">
        <v>38.4</v>
      </c>
      <c r="K12165" t="b">
        <v>1</v>
      </c>
    </row>
    <row r="12166" spans="1:11">
      <c r="A12166" s="12">
        <v>43161</v>
      </c>
      <c r="B12166">
        <v>2018</v>
      </c>
      <c r="C12166">
        <v>3</v>
      </c>
      <c r="D12166" s="11">
        <v>43160</v>
      </c>
      <c r="E12166" t="s">
        <v>2175</v>
      </c>
      <c r="F12166">
        <v>5</v>
      </c>
      <c r="G12166" t="s">
        <v>55</v>
      </c>
      <c r="H12166" t="s">
        <v>44</v>
      </c>
      <c r="I12166" t="s">
        <v>2192</v>
      </c>
      <c r="J12166" s="10">
        <v>24</v>
      </c>
      <c r="K12166" t="b">
        <v>1</v>
      </c>
    </row>
    <row r="12167" spans="1:11">
      <c r="A12167" s="12">
        <v>43161</v>
      </c>
      <c r="B12167">
        <v>2018</v>
      </c>
      <c r="C12167">
        <v>3</v>
      </c>
      <c r="D12167" s="11">
        <v>43160</v>
      </c>
      <c r="E12167" t="s">
        <v>2175</v>
      </c>
      <c r="F12167">
        <v>5</v>
      </c>
      <c r="G12167" t="s">
        <v>55</v>
      </c>
      <c r="H12167" t="s">
        <v>45</v>
      </c>
      <c r="I12167" t="s">
        <v>2193</v>
      </c>
      <c r="J12167" s="10">
        <v>3</v>
      </c>
      <c r="K12167" t="b">
        <v>1</v>
      </c>
    </row>
    <row r="12168" spans="1:11">
      <c r="A12168" s="12">
        <v>43161</v>
      </c>
      <c r="B12168">
        <v>2018</v>
      </c>
      <c r="C12168">
        <v>3</v>
      </c>
      <c r="D12168" s="11">
        <v>43160</v>
      </c>
      <c r="E12168" t="s">
        <v>2175</v>
      </c>
      <c r="F12168">
        <v>5</v>
      </c>
      <c r="G12168" t="s">
        <v>55</v>
      </c>
      <c r="H12168" t="s">
        <v>46</v>
      </c>
      <c r="I12168" t="s">
        <v>2194</v>
      </c>
      <c r="J12168" s="10">
        <v>17</v>
      </c>
      <c r="K12168" t="b">
        <v>1</v>
      </c>
    </row>
    <row r="12169" spans="1:11">
      <c r="A12169" s="12">
        <v>43161</v>
      </c>
      <c r="B12169">
        <v>2018</v>
      </c>
      <c r="C12169">
        <v>3</v>
      </c>
      <c r="D12169" s="11">
        <v>43160</v>
      </c>
      <c r="E12169" t="s">
        <v>2175</v>
      </c>
      <c r="F12169">
        <v>5</v>
      </c>
      <c r="G12169" t="s">
        <v>55</v>
      </c>
      <c r="H12169" t="s">
        <v>47</v>
      </c>
      <c r="I12169" t="s">
        <v>2195</v>
      </c>
      <c r="J12169" s="10">
        <v>5.5</v>
      </c>
      <c r="K12169" t="b">
        <v>1</v>
      </c>
    </row>
    <row r="12170" spans="1:11">
      <c r="A12170" s="12">
        <v>43162</v>
      </c>
      <c r="B12170">
        <v>2018</v>
      </c>
      <c r="C12170">
        <v>3</v>
      </c>
      <c r="D12170" s="11">
        <v>43160</v>
      </c>
      <c r="E12170" t="s">
        <v>2175</v>
      </c>
      <c r="F12170">
        <v>6</v>
      </c>
      <c r="G12170" t="s">
        <v>57</v>
      </c>
      <c r="H12170" t="s">
        <v>40</v>
      </c>
      <c r="I12170" t="s">
        <v>2188</v>
      </c>
      <c r="J12170" s="10">
        <v>8</v>
      </c>
      <c r="K12170" t="b">
        <v>1</v>
      </c>
    </row>
    <row r="12171" spans="1:11">
      <c r="A12171" s="12">
        <v>43162</v>
      </c>
      <c r="B12171">
        <v>2018</v>
      </c>
      <c r="C12171">
        <v>3</v>
      </c>
      <c r="D12171" s="11">
        <v>43160</v>
      </c>
      <c r="E12171" t="s">
        <v>2175</v>
      </c>
      <c r="F12171">
        <v>6</v>
      </c>
      <c r="G12171" t="s">
        <v>57</v>
      </c>
      <c r="H12171" t="s">
        <v>41</v>
      </c>
      <c r="I12171" t="s">
        <v>2189</v>
      </c>
      <c r="J12171" s="10">
        <v>2.363</v>
      </c>
      <c r="K12171" t="b">
        <v>1</v>
      </c>
    </row>
    <row r="12172" spans="1:11">
      <c r="A12172" s="12">
        <v>43162</v>
      </c>
      <c r="B12172">
        <v>2018</v>
      </c>
      <c r="C12172">
        <v>3</v>
      </c>
      <c r="D12172" s="11">
        <v>43160</v>
      </c>
      <c r="E12172" t="s">
        <v>2175</v>
      </c>
      <c r="F12172">
        <v>6</v>
      </c>
      <c r="G12172" t="s">
        <v>57</v>
      </c>
      <c r="H12172" t="s">
        <v>42</v>
      </c>
      <c r="I12172" t="s">
        <v>2190</v>
      </c>
      <c r="J12172" s="10">
        <v>8.15</v>
      </c>
      <c r="K12172" t="b">
        <v>1</v>
      </c>
    </row>
    <row r="12173" spans="1:11">
      <c r="A12173" s="12">
        <v>43162</v>
      </c>
      <c r="B12173">
        <v>2018</v>
      </c>
      <c r="C12173">
        <v>3</v>
      </c>
      <c r="D12173" s="11">
        <v>43160</v>
      </c>
      <c r="E12173" t="s">
        <v>2175</v>
      </c>
      <c r="F12173">
        <v>6</v>
      </c>
      <c r="G12173" t="s">
        <v>57</v>
      </c>
      <c r="H12173" t="s">
        <v>43</v>
      </c>
      <c r="I12173" t="s">
        <v>2191</v>
      </c>
      <c r="J12173" s="10">
        <v>40.187</v>
      </c>
      <c r="K12173" t="b">
        <v>1</v>
      </c>
    </row>
    <row r="12174" spans="1:11">
      <c r="A12174" s="12">
        <v>43162</v>
      </c>
      <c r="B12174">
        <v>2018</v>
      </c>
      <c r="C12174">
        <v>3</v>
      </c>
      <c r="D12174" s="11">
        <v>43160</v>
      </c>
      <c r="E12174" t="s">
        <v>2175</v>
      </c>
      <c r="F12174">
        <v>6</v>
      </c>
      <c r="G12174" t="s">
        <v>57</v>
      </c>
      <c r="H12174" t="s">
        <v>44</v>
      </c>
      <c r="I12174" t="s">
        <v>2192</v>
      </c>
      <c r="J12174" s="10">
        <v>12</v>
      </c>
      <c r="K12174" t="b">
        <v>1</v>
      </c>
    </row>
    <row r="12175" spans="1:11">
      <c r="A12175" s="12">
        <v>43162</v>
      </c>
      <c r="B12175">
        <v>2018</v>
      </c>
      <c r="C12175">
        <v>3</v>
      </c>
      <c r="D12175" s="11">
        <v>43160</v>
      </c>
      <c r="E12175" t="s">
        <v>2175</v>
      </c>
      <c r="F12175">
        <v>6</v>
      </c>
      <c r="G12175" t="s">
        <v>57</v>
      </c>
      <c r="H12175" t="s">
        <v>45</v>
      </c>
      <c r="I12175" t="s">
        <v>2193</v>
      </c>
      <c r="J12175" s="10">
        <v>1</v>
      </c>
      <c r="K12175" t="b">
        <v>1</v>
      </c>
    </row>
    <row r="12176" spans="1:11">
      <c r="A12176" s="12">
        <v>43162</v>
      </c>
      <c r="B12176">
        <v>2018</v>
      </c>
      <c r="C12176">
        <v>3</v>
      </c>
      <c r="D12176" s="11">
        <v>43160</v>
      </c>
      <c r="E12176" t="s">
        <v>2175</v>
      </c>
      <c r="F12176">
        <v>6</v>
      </c>
      <c r="G12176" t="s">
        <v>57</v>
      </c>
      <c r="H12176" t="s">
        <v>46</v>
      </c>
      <c r="I12176" t="s">
        <v>2194</v>
      </c>
      <c r="J12176" s="10">
        <v>10</v>
      </c>
      <c r="K12176" t="b">
        <v>1</v>
      </c>
    </row>
    <row r="12177" spans="1:11">
      <c r="A12177" s="12">
        <v>43162</v>
      </c>
      <c r="B12177">
        <v>2018</v>
      </c>
      <c r="C12177">
        <v>3</v>
      </c>
      <c r="D12177" s="11">
        <v>43160</v>
      </c>
      <c r="E12177" t="s">
        <v>2175</v>
      </c>
      <c r="F12177">
        <v>6</v>
      </c>
      <c r="G12177" t="s">
        <v>57</v>
      </c>
      <c r="H12177" t="s">
        <v>47</v>
      </c>
      <c r="I12177" t="s">
        <v>2195</v>
      </c>
      <c r="J12177" s="10">
        <v>4</v>
      </c>
      <c r="K12177" t="b">
        <v>1</v>
      </c>
    </row>
    <row r="12178" spans="1:11">
      <c r="A12178" s="12">
        <v>43163</v>
      </c>
      <c r="B12178">
        <v>2018</v>
      </c>
      <c r="C12178">
        <v>3</v>
      </c>
      <c r="D12178" s="11">
        <v>43160</v>
      </c>
      <c r="E12178" t="s">
        <v>2175</v>
      </c>
      <c r="F12178">
        <v>7</v>
      </c>
      <c r="G12178" t="s">
        <v>59</v>
      </c>
      <c r="H12178" t="s">
        <v>40</v>
      </c>
      <c r="I12178" t="s">
        <v>2188</v>
      </c>
      <c r="J12178" s="10">
        <v>1</v>
      </c>
      <c r="K12178" t="b">
        <v>1</v>
      </c>
    </row>
    <row r="12179" spans="1:11">
      <c r="A12179" s="12">
        <v>43163</v>
      </c>
      <c r="B12179">
        <v>2018</v>
      </c>
      <c r="C12179">
        <v>3</v>
      </c>
      <c r="D12179" s="11">
        <v>43160</v>
      </c>
      <c r="E12179" t="s">
        <v>2175</v>
      </c>
      <c r="F12179">
        <v>7</v>
      </c>
      <c r="G12179" t="s">
        <v>59</v>
      </c>
      <c r="H12179" t="s">
        <v>41</v>
      </c>
      <c r="I12179" t="s">
        <v>2189</v>
      </c>
      <c r="J12179" s="10">
        <v>3.736</v>
      </c>
      <c r="K12179" t="b">
        <v>1</v>
      </c>
    </row>
    <row r="12180" spans="1:11">
      <c r="A12180" s="12">
        <v>43163</v>
      </c>
      <c r="B12180">
        <v>2018</v>
      </c>
      <c r="C12180">
        <v>3</v>
      </c>
      <c r="D12180" s="11">
        <v>43160</v>
      </c>
      <c r="E12180" t="s">
        <v>2175</v>
      </c>
      <c r="F12180">
        <v>7</v>
      </c>
      <c r="G12180" t="s">
        <v>59</v>
      </c>
      <c r="H12180" t="s">
        <v>42</v>
      </c>
      <c r="I12180" t="s">
        <v>2190</v>
      </c>
      <c r="J12180" s="10">
        <v>4</v>
      </c>
      <c r="K12180" t="b">
        <v>1</v>
      </c>
    </row>
    <row r="12181" spans="1:11">
      <c r="A12181" s="12">
        <v>43163</v>
      </c>
      <c r="B12181">
        <v>2018</v>
      </c>
      <c r="C12181">
        <v>3</v>
      </c>
      <c r="D12181" s="11">
        <v>43160</v>
      </c>
      <c r="E12181" t="s">
        <v>2175</v>
      </c>
      <c r="F12181">
        <v>7</v>
      </c>
      <c r="G12181" t="s">
        <v>59</v>
      </c>
      <c r="H12181" t="s">
        <v>43</v>
      </c>
      <c r="I12181" t="s">
        <v>2191</v>
      </c>
      <c r="J12181" s="10">
        <v>33.6</v>
      </c>
      <c r="K12181" t="b">
        <v>1</v>
      </c>
    </row>
    <row r="12182" spans="1:11">
      <c r="A12182" s="12">
        <v>43163</v>
      </c>
      <c r="B12182">
        <v>2018</v>
      </c>
      <c r="C12182">
        <v>3</v>
      </c>
      <c r="D12182" s="11">
        <v>43160</v>
      </c>
      <c r="E12182" t="s">
        <v>2175</v>
      </c>
      <c r="F12182">
        <v>7</v>
      </c>
      <c r="G12182" t="s">
        <v>59</v>
      </c>
      <c r="H12182" t="s">
        <v>44</v>
      </c>
      <c r="I12182" t="s">
        <v>2192</v>
      </c>
      <c r="J12182" s="10">
        <v>3</v>
      </c>
      <c r="K12182" t="b">
        <v>1</v>
      </c>
    </row>
    <row r="12183" spans="1:11">
      <c r="A12183" s="12">
        <v>43163</v>
      </c>
      <c r="B12183">
        <v>2018</v>
      </c>
      <c r="C12183">
        <v>3</v>
      </c>
      <c r="D12183" s="11">
        <v>43160</v>
      </c>
      <c r="E12183" t="s">
        <v>2175</v>
      </c>
      <c r="F12183">
        <v>7</v>
      </c>
      <c r="G12183" t="s">
        <v>59</v>
      </c>
      <c r="H12183" t="s">
        <v>45</v>
      </c>
      <c r="I12183" t="s">
        <v>2193</v>
      </c>
      <c r="J12183" s="10">
        <v>0</v>
      </c>
      <c r="K12183" t="b">
        <v>1</v>
      </c>
    </row>
    <row r="12184" spans="1:11">
      <c r="A12184" s="12">
        <v>43163</v>
      </c>
      <c r="B12184">
        <v>2018</v>
      </c>
      <c r="C12184">
        <v>3</v>
      </c>
      <c r="D12184" s="11">
        <v>43160</v>
      </c>
      <c r="E12184" t="s">
        <v>2175</v>
      </c>
      <c r="F12184">
        <v>7</v>
      </c>
      <c r="G12184" t="s">
        <v>59</v>
      </c>
      <c r="H12184" t="s">
        <v>46</v>
      </c>
      <c r="I12184" t="s">
        <v>2194</v>
      </c>
      <c r="J12184" s="10">
        <v>14</v>
      </c>
      <c r="K12184" t="b">
        <v>1</v>
      </c>
    </row>
    <row r="12185" spans="1:11">
      <c r="A12185" s="12">
        <v>43163</v>
      </c>
      <c r="B12185">
        <v>2018</v>
      </c>
      <c r="C12185">
        <v>3</v>
      </c>
      <c r="D12185" s="11">
        <v>43160</v>
      </c>
      <c r="E12185" t="s">
        <v>2175</v>
      </c>
      <c r="F12185">
        <v>7</v>
      </c>
      <c r="G12185" t="s">
        <v>59</v>
      </c>
      <c r="H12185" t="s">
        <v>47</v>
      </c>
      <c r="I12185" t="s">
        <v>2195</v>
      </c>
      <c r="J12185" s="10">
        <v>1</v>
      </c>
      <c r="K12185" t="b">
        <v>1</v>
      </c>
    </row>
    <row r="12186" spans="1:11">
      <c r="A12186" s="12">
        <v>43164</v>
      </c>
      <c r="B12186">
        <v>2018</v>
      </c>
      <c r="C12186">
        <v>3</v>
      </c>
      <c r="D12186" s="11">
        <v>43160</v>
      </c>
      <c r="E12186" t="s">
        <v>2175</v>
      </c>
      <c r="F12186">
        <v>1</v>
      </c>
      <c r="G12186" t="s">
        <v>61</v>
      </c>
      <c r="H12186" t="s">
        <v>40</v>
      </c>
      <c r="I12186" t="s">
        <v>2188</v>
      </c>
      <c r="J12186" s="10">
        <v>4.33</v>
      </c>
      <c r="K12186" t="b">
        <v>1</v>
      </c>
    </row>
    <row r="12187" spans="1:11">
      <c r="A12187" s="12">
        <v>43164</v>
      </c>
      <c r="B12187">
        <v>2018</v>
      </c>
      <c r="C12187">
        <v>3</v>
      </c>
      <c r="D12187" s="11">
        <v>43160</v>
      </c>
      <c r="E12187" t="s">
        <v>2175</v>
      </c>
      <c r="F12187">
        <v>1</v>
      </c>
      <c r="G12187" t="s">
        <v>61</v>
      </c>
      <c r="H12187" t="s">
        <v>41</v>
      </c>
      <c r="I12187" t="s">
        <v>2189</v>
      </c>
      <c r="J12187" s="10">
        <v>5.33</v>
      </c>
      <c r="K12187" t="b">
        <v>1</v>
      </c>
    </row>
    <row r="12188" spans="1:11">
      <c r="A12188" s="12">
        <v>43164</v>
      </c>
      <c r="B12188">
        <v>2018</v>
      </c>
      <c r="C12188">
        <v>3</v>
      </c>
      <c r="D12188" s="11">
        <v>43160</v>
      </c>
      <c r="E12188" t="s">
        <v>2175</v>
      </c>
      <c r="F12188">
        <v>1</v>
      </c>
      <c r="G12188" t="s">
        <v>61</v>
      </c>
      <c r="H12188" t="s">
        <v>42</v>
      </c>
      <c r="I12188" t="s">
        <v>2190</v>
      </c>
      <c r="J12188" s="10">
        <v>6.1</v>
      </c>
      <c r="K12188" t="b">
        <v>1</v>
      </c>
    </row>
    <row r="12189" spans="1:11">
      <c r="A12189" s="12">
        <v>43164</v>
      </c>
      <c r="B12189">
        <v>2018</v>
      </c>
      <c r="C12189">
        <v>3</v>
      </c>
      <c r="D12189" s="11">
        <v>43160</v>
      </c>
      <c r="E12189" t="s">
        <v>2175</v>
      </c>
      <c r="F12189">
        <v>1</v>
      </c>
      <c r="G12189" t="s">
        <v>61</v>
      </c>
      <c r="H12189" t="s">
        <v>43</v>
      </c>
      <c r="I12189" t="s">
        <v>2191</v>
      </c>
      <c r="J12189" s="10">
        <v>25</v>
      </c>
      <c r="K12189" t="b">
        <v>1</v>
      </c>
    </row>
    <row r="12190" spans="1:11">
      <c r="A12190" s="12">
        <v>43164</v>
      </c>
      <c r="B12190">
        <v>2018</v>
      </c>
      <c r="C12190">
        <v>3</v>
      </c>
      <c r="D12190" s="11">
        <v>43160</v>
      </c>
      <c r="E12190" t="s">
        <v>2175</v>
      </c>
      <c r="F12190">
        <v>1</v>
      </c>
      <c r="G12190" t="s">
        <v>61</v>
      </c>
      <c r="H12190" t="s">
        <v>44</v>
      </c>
      <c r="I12190" t="s">
        <v>2192</v>
      </c>
      <c r="J12190" s="10">
        <v>6</v>
      </c>
      <c r="K12190" t="b">
        <v>1</v>
      </c>
    </row>
    <row r="12191" spans="1:11">
      <c r="A12191" s="12">
        <v>43164</v>
      </c>
      <c r="B12191">
        <v>2018</v>
      </c>
      <c r="C12191">
        <v>3</v>
      </c>
      <c r="D12191" s="11">
        <v>43160</v>
      </c>
      <c r="E12191" t="s">
        <v>2175</v>
      </c>
      <c r="F12191">
        <v>1</v>
      </c>
      <c r="G12191" t="s">
        <v>61</v>
      </c>
      <c r="H12191" t="s">
        <v>45</v>
      </c>
      <c r="I12191" t="s">
        <v>2193</v>
      </c>
      <c r="J12191" s="10">
        <v>0</v>
      </c>
      <c r="K12191" t="b">
        <v>1</v>
      </c>
    </row>
    <row r="12192" spans="1:11">
      <c r="A12192" s="12">
        <v>43164</v>
      </c>
      <c r="B12192">
        <v>2018</v>
      </c>
      <c r="C12192">
        <v>3</v>
      </c>
      <c r="D12192" s="11">
        <v>43160</v>
      </c>
      <c r="E12192" t="s">
        <v>2175</v>
      </c>
      <c r="F12192">
        <v>1</v>
      </c>
      <c r="G12192" t="s">
        <v>61</v>
      </c>
      <c r="H12192" t="s">
        <v>46</v>
      </c>
      <c r="I12192" t="s">
        <v>2194</v>
      </c>
      <c r="J12192" s="10">
        <v>17</v>
      </c>
      <c r="K12192" t="b">
        <v>1</v>
      </c>
    </row>
    <row r="12193" spans="1:11">
      <c r="A12193" s="12">
        <v>43164</v>
      </c>
      <c r="B12193">
        <v>2018</v>
      </c>
      <c r="C12193">
        <v>3</v>
      </c>
      <c r="D12193" s="11">
        <v>43160</v>
      </c>
      <c r="E12193" t="s">
        <v>2175</v>
      </c>
      <c r="F12193">
        <v>1</v>
      </c>
      <c r="G12193" t="s">
        <v>61</v>
      </c>
      <c r="H12193" t="s">
        <v>47</v>
      </c>
      <c r="I12193" t="s">
        <v>2195</v>
      </c>
      <c r="J12193" s="10">
        <v>1</v>
      </c>
      <c r="K12193" t="b">
        <v>1</v>
      </c>
    </row>
    <row r="12194" spans="1:11">
      <c r="A12194" s="12">
        <v>43165</v>
      </c>
      <c r="B12194">
        <v>2018</v>
      </c>
      <c r="C12194">
        <v>3</v>
      </c>
      <c r="D12194" s="11">
        <v>43160</v>
      </c>
      <c r="E12194" t="s">
        <v>2175</v>
      </c>
      <c r="F12194">
        <v>2</v>
      </c>
      <c r="G12194" t="s">
        <v>63</v>
      </c>
      <c r="H12194" t="s">
        <v>40</v>
      </c>
      <c r="I12194" t="s">
        <v>2188</v>
      </c>
      <c r="J12194" s="10">
        <v>9.5</v>
      </c>
      <c r="K12194" t="b">
        <v>1</v>
      </c>
    </row>
    <row r="12195" spans="1:11">
      <c r="A12195" s="12">
        <v>43165</v>
      </c>
      <c r="B12195">
        <v>2018</v>
      </c>
      <c r="C12195">
        <v>3</v>
      </c>
      <c r="D12195" s="11">
        <v>43160</v>
      </c>
      <c r="E12195" t="s">
        <v>2175</v>
      </c>
      <c r="F12195">
        <v>2</v>
      </c>
      <c r="G12195" t="s">
        <v>63</v>
      </c>
      <c r="H12195" t="s">
        <v>41</v>
      </c>
      <c r="I12195" t="s">
        <v>2189</v>
      </c>
      <c r="J12195" s="10">
        <v>6.33</v>
      </c>
      <c r="K12195" t="b">
        <v>1</v>
      </c>
    </row>
    <row r="12196" spans="1:11">
      <c r="A12196" s="12">
        <v>43165</v>
      </c>
      <c r="B12196">
        <v>2018</v>
      </c>
      <c r="C12196">
        <v>3</v>
      </c>
      <c r="D12196" s="11">
        <v>43160</v>
      </c>
      <c r="E12196" t="s">
        <v>2175</v>
      </c>
      <c r="F12196">
        <v>2</v>
      </c>
      <c r="G12196" t="s">
        <v>63</v>
      </c>
      <c r="H12196" t="s">
        <v>42</v>
      </c>
      <c r="I12196" t="s">
        <v>2190</v>
      </c>
      <c r="J12196" s="10">
        <v>5.85</v>
      </c>
      <c r="K12196" t="b">
        <v>1</v>
      </c>
    </row>
    <row r="12197" spans="1:11">
      <c r="A12197" s="12">
        <v>43165</v>
      </c>
      <c r="B12197">
        <v>2018</v>
      </c>
      <c r="C12197">
        <v>3</v>
      </c>
      <c r="D12197" s="11">
        <v>43160</v>
      </c>
      <c r="E12197" t="s">
        <v>2175</v>
      </c>
      <c r="F12197">
        <v>2</v>
      </c>
      <c r="G12197" t="s">
        <v>63</v>
      </c>
      <c r="H12197" t="s">
        <v>43</v>
      </c>
      <c r="I12197" t="s">
        <v>2191</v>
      </c>
      <c r="J12197" s="10">
        <v>22.2</v>
      </c>
      <c r="K12197" t="b">
        <v>1</v>
      </c>
    </row>
    <row r="12198" spans="1:11">
      <c r="A12198" s="12">
        <v>43165</v>
      </c>
      <c r="B12198">
        <v>2018</v>
      </c>
      <c r="C12198">
        <v>3</v>
      </c>
      <c r="D12198" s="11">
        <v>43160</v>
      </c>
      <c r="E12198" t="s">
        <v>2175</v>
      </c>
      <c r="F12198">
        <v>2</v>
      </c>
      <c r="G12198" t="s">
        <v>63</v>
      </c>
      <c r="H12198" t="s">
        <v>44</v>
      </c>
      <c r="I12198" t="s">
        <v>2192</v>
      </c>
      <c r="J12198" s="10">
        <v>22</v>
      </c>
      <c r="K12198" t="b">
        <v>1</v>
      </c>
    </row>
    <row r="12199" spans="1:11">
      <c r="A12199" s="12">
        <v>43165</v>
      </c>
      <c r="B12199">
        <v>2018</v>
      </c>
      <c r="C12199">
        <v>3</v>
      </c>
      <c r="D12199" s="11">
        <v>43160</v>
      </c>
      <c r="E12199" t="s">
        <v>2175</v>
      </c>
      <c r="F12199">
        <v>2</v>
      </c>
      <c r="G12199" t="s">
        <v>63</v>
      </c>
      <c r="H12199" t="s">
        <v>45</v>
      </c>
      <c r="I12199" t="s">
        <v>2193</v>
      </c>
      <c r="J12199" s="10">
        <v>8</v>
      </c>
      <c r="K12199" t="b">
        <v>1</v>
      </c>
    </row>
    <row r="12200" spans="1:11">
      <c r="A12200" s="12">
        <v>43165</v>
      </c>
      <c r="B12200">
        <v>2018</v>
      </c>
      <c r="C12200">
        <v>3</v>
      </c>
      <c r="D12200" s="11">
        <v>43160</v>
      </c>
      <c r="E12200" t="s">
        <v>2175</v>
      </c>
      <c r="F12200">
        <v>2</v>
      </c>
      <c r="G12200" t="s">
        <v>63</v>
      </c>
      <c r="H12200" t="s">
        <v>46</v>
      </c>
      <c r="I12200" t="s">
        <v>2194</v>
      </c>
      <c r="J12200" s="10">
        <v>2</v>
      </c>
      <c r="K12200" t="b">
        <v>1</v>
      </c>
    </row>
    <row r="12201" spans="1:11">
      <c r="A12201" s="12">
        <v>43165</v>
      </c>
      <c r="B12201">
        <v>2018</v>
      </c>
      <c r="C12201">
        <v>3</v>
      </c>
      <c r="D12201" s="11">
        <v>43160</v>
      </c>
      <c r="E12201" t="s">
        <v>2175</v>
      </c>
      <c r="F12201">
        <v>2</v>
      </c>
      <c r="G12201" t="s">
        <v>63</v>
      </c>
      <c r="H12201" t="s">
        <v>47</v>
      </c>
      <c r="I12201" t="s">
        <v>2195</v>
      </c>
      <c r="J12201" s="10">
        <v>1</v>
      </c>
      <c r="K12201" t="b">
        <v>1</v>
      </c>
    </row>
    <row r="12202" spans="1:11">
      <c r="A12202" s="12">
        <v>43166</v>
      </c>
      <c r="B12202">
        <v>2018</v>
      </c>
      <c r="C12202">
        <v>3</v>
      </c>
      <c r="D12202" s="11">
        <v>43160</v>
      </c>
      <c r="E12202" t="s">
        <v>2175</v>
      </c>
      <c r="F12202">
        <v>3</v>
      </c>
      <c r="G12202" t="s">
        <v>65</v>
      </c>
      <c r="H12202" t="s">
        <v>40</v>
      </c>
      <c r="I12202" t="s">
        <v>2188</v>
      </c>
      <c r="J12202" s="10">
        <v>4.5</v>
      </c>
      <c r="K12202" t="b">
        <v>1</v>
      </c>
    </row>
    <row r="12203" spans="1:11">
      <c r="A12203" s="12">
        <v>43166</v>
      </c>
      <c r="B12203">
        <v>2018</v>
      </c>
      <c r="C12203">
        <v>3</v>
      </c>
      <c r="D12203" s="11">
        <v>43160</v>
      </c>
      <c r="E12203" t="s">
        <v>2175</v>
      </c>
      <c r="F12203">
        <v>3</v>
      </c>
      <c r="G12203" t="s">
        <v>65</v>
      </c>
      <c r="H12203" t="s">
        <v>41</v>
      </c>
      <c r="I12203" t="s">
        <v>2189</v>
      </c>
      <c r="J12203" s="10">
        <v>1.67</v>
      </c>
      <c r="K12203" t="b">
        <v>1</v>
      </c>
    </row>
    <row r="12204" spans="1:11">
      <c r="A12204" s="12">
        <v>43166</v>
      </c>
      <c r="B12204">
        <v>2018</v>
      </c>
      <c r="C12204">
        <v>3</v>
      </c>
      <c r="D12204" s="11">
        <v>43160</v>
      </c>
      <c r="E12204" t="s">
        <v>2175</v>
      </c>
      <c r="F12204">
        <v>3</v>
      </c>
      <c r="G12204" t="s">
        <v>65</v>
      </c>
      <c r="H12204" t="s">
        <v>42</v>
      </c>
      <c r="I12204" t="s">
        <v>2190</v>
      </c>
      <c r="J12204" s="10">
        <v>4</v>
      </c>
      <c r="K12204" t="b">
        <v>1</v>
      </c>
    </row>
    <row r="12205" spans="1:11">
      <c r="A12205" s="12">
        <v>43166</v>
      </c>
      <c r="B12205">
        <v>2018</v>
      </c>
      <c r="C12205">
        <v>3</v>
      </c>
      <c r="D12205" s="11">
        <v>43160</v>
      </c>
      <c r="E12205" t="s">
        <v>2175</v>
      </c>
      <c r="F12205">
        <v>3</v>
      </c>
      <c r="G12205" t="s">
        <v>65</v>
      </c>
      <c r="H12205" t="s">
        <v>43</v>
      </c>
      <c r="I12205" t="s">
        <v>2191</v>
      </c>
      <c r="J12205" s="10">
        <v>20.2</v>
      </c>
      <c r="K12205" t="b">
        <v>1</v>
      </c>
    </row>
    <row r="12206" spans="1:11">
      <c r="A12206" s="12">
        <v>43166</v>
      </c>
      <c r="B12206">
        <v>2018</v>
      </c>
      <c r="C12206">
        <v>3</v>
      </c>
      <c r="D12206" s="11">
        <v>43160</v>
      </c>
      <c r="E12206" t="s">
        <v>2175</v>
      </c>
      <c r="F12206">
        <v>3</v>
      </c>
      <c r="G12206" t="s">
        <v>65</v>
      </c>
      <c r="H12206" t="s">
        <v>44</v>
      </c>
      <c r="I12206" t="s">
        <v>2192</v>
      </c>
      <c r="J12206" s="10">
        <v>31</v>
      </c>
      <c r="K12206" t="b">
        <v>1</v>
      </c>
    </row>
    <row r="12207" spans="1:11">
      <c r="A12207" s="12">
        <v>43166</v>
      </c>
      <c r="B12207">
        <v>2018</v>
      </c>
      <c r="C12207">
        <v>3</v>
      </c>
      <c r="D12207" s="11">
        <v>43160</v>
      </c>
      <c r="E12207" t="s">
        <v>2175</v>
      </c>
      <c r="F12207">
        <v>3</v>
      </c>
      <c r="G12207" t="s">
        <v>65</v>
      </c>
      <c r="H12207" t="s">
        <v>45</v>
      </c>
      <c r="I12207" t="s">
        <v>2193</v>
      </c>
      <c r="J12207" s="10">
        <v>5</v>
      </c>
      <c r="K12207" t="b">
        <v>1</v>
      </c>
    </row>
    <row r="12208" spans="1:11">
      <c r="A12208" s="12">
        <v>43166</v>
      </c>
      <c r="B12208">
        <v>2018</v>
      </c>
      <c r="C12208">
        <v>3</v>
      </c>
      <c r="D12208" s="11">
        <v>43160</v>
      </c>
      <c r="E12208" t="s">
        <v>2175</v>
      </c>
      <c r="F12208">
        <v>3</v>
      </c>
      <c r="G12208" t="s">
        <v>65</v>
      </c>
      <c r="H12208" t="s">
        <v>46</v>
      </c>
      <c r="I12208" t="s">
        <v>2194</v>
      </c>
      <c r="J12208" s="10">
        <v>11</v>
      </c>
      <c r="K12208" t="b">
        <v>1</v>
      </c>
    </row>
    <row r="12209" spans="1:11">
      <c r="A12209" s="12">
        <v>43166</v>
      </c>
      <c r="B12209">
        <v>2018</v>
      </c>
      <c r="C12209">
        <v>3</v>
      </c>
      <c r="D12209" s="11">
        <v>43160</v>
      </c>
      <c r="E12209" t="s">
        <v>2175</v>
      </c>
      <c r="F12209">
        <v>3</v>
      </c>
      <c r="G12209" t="s">
        <v>65</v>
      </c>
      <c r="H12209" t="s">
        <v>47</v>
      </c>
      <c r="I12209" t="s">
        <v>2195</v>
      </c>
      <c r="J12209" s="10">
        <v>1.4</v>
      </c>
      <c r="K12209" t="b">
        <v>1</v>
      </c>
    </row>
    <row r="12210" spans="1:11">
      <c r="A12210" s="12">
        <v>43167</v>
      </c>
      <c r="B12210">
        <v>2018</v>
      </c>
      <c r="C12210">
        <v>3</v>
      </c>
      <c r="D12210" s="11">
        <v>43160</v>
      </c>
      <c r="E12210" t="s">
        <v>2175</v>
      </c>
      <c r="F12210">
        <v>4</v>
      </c>
      <c r="G12210" t="s">
        <v>53</v>
      </c>
      <c r="H12210" t="s">
        <v>40</v>
      </c>
      <c r="I12210" t="s">
        <v>2188</v>
      </c>
      <c r="J12210" s="10">
        <v>1.33</v>
      </c>
      <c r="K12210" t="b">
        <v>1</v>
      </c>
    </row>
    <row r="12211" spans="1:11">
      <c r="A12211" s="12">
        <v>43167</v>
      </c>
      <c r="B12211">
        <v>2018</v>
      </c>
      <c r="C12211">
        <v>3</v>
      </c>
      <c r="D12211" s="11">
        <v>43160</v>
      </c>
      <c r="E12211" t="s">
        <v>2175</v>
      </c>
      <c r="F12211">
        <v>4</v>
      </c>
      <c r="G12211" t="s">
        <v>53</v>
      </c>
      <c r="H12211" t="s">
        <v>41</v>
      </c>
      <c r="I12211" t="s">
        <v>2189</v>
      </c>
      <c r="J12211" s="10">
        <v>2.769</v>
      </c>
      <c r="K12211" t="b">
        <v>1</v>
      </c>
    </row>
    <row r="12212" spans="1:11">
      <c r="A12212" s="12">
        <v>43167</v>
      </c>
      <c r="B12212">
        <v>2018</v>
      </c>
      <c r="C12212">
        <v>3</v>
      </c>
      <c r="D12212" s="11">
        <v>43160</v>
      </c>
      <c r="E12212" t="s">
        <v>2175</v>
      </c>
      <c r="F12212">
        <v>4</v>
      </c>
      <c r="G12212" t="s">
        <v>53</v>
      </c>
      <c r="H12212" t="s">
        <v>42</v>
      </c>
      <c r="I12212" t="s">
        <v>2190</v>
      </c>
      <c r="J12212" s="10">
        <v>4</v>
      </c>
      <c r="K12212" t="b">
        <v>1</v>
      </c>
    </row>
    <row r="12213" spans="1:11">
      <c r="A12213" s="12">
        <v>43167</v>
      </c>
      <c r="B12213">
        <v>2018</v>
      </c>
      <c r="C12213">
        <v>3</v>
      </c>
      <c r="D12213" s="11">
        <v>43160</v>
      </c>
      <c r="E12213" t="s">
        <v>2175</v>
      </c>
      <c r="F12213">
        <v>4</v>
      </c>
      <c r="G12213" t="s">
        <v>53</v>
      </c>
      <c r="H12213" t="s">
        <v>43</v>
      </c>
      <c r="I12213" t="s">
        <v>2191</v>
      </c>
      <c r="J12213" s="10">
        <v>25.8</v>
      </c>
      <c r="K12213" t="b">
        <v>1</v>
      </c>
    </row>
    <row r="12214" spans="1:11">
      <c r="A12214" s="12">
        <v>43167</v>
      </c>
      <c r="B12214">
        <v>2018</v>
      </c>
      <c r="C12214">
        <v>3</v>
      </c>
      <c r="D12214" s="11">
        <v>43160</v>
      </c>
      <c r="E12214" t="s">
        <v>2175</v>
      </c>
      <c r="F12214">
        <v>4</v>
      </c>
      <c r="G12214" t="s">
        <v>53</v>
      </c>
      <c r="H12214" t="s">
        <v>44</v>
      </c>
      <c r="I12214" t="s">
        <v>2192</v>
      </c>
      <c r="J12214" s="10">
        <v>10</v>
      </c>
      <c r="K12214" t="b">
        <v>1</v>
      </c>
    </row>
    <row r="12215" spans="1:11">
      <c r="A12215" s="12">
        <v>43167</v>
      </c>
      <c r="B12215">
        <v>2018</v>
      </c>
      <c r="C12215">
        <v>3</v>
      </c>
      <c r="D12215" s="11">
        <v>43160</v>
      </c>
      <c r="E12215" t="s">
        <v>2175</v>
      </c>
      <c r="F12215">
        <v>4</v>
      </c>
      <c r="G12215" t="s">
        <v>53</v>
      </c>
      <c r="H12215" t="s">
        <v>45</v>
      </c>
      <c r="I12215" t="s">
        <v>2193</v>
      </c>
      <c r="J12215" s="10">
        <v>0</v>
      </c>
      <c r="K12215" t="b">
        <v>1</v>
      </c>
    </row>
    <row r="12216" spans="1:11">
      <c r="A12216" s="12">
        <v>43167</v>
      </c>
      <c r="B12216">
        <v>2018</v>
      </c>
      <c r="C12216">
        <v>3</v>
      </c>
      <c r="D12216" s="11">
        <v>43160</v>
      </c>
      <c r="E12216" t="s">
        <v>2175</v>
      </c>
      <c r="F12216">
        <v>4</v>
      </c>
      <c r="G12216" t="s">
        <v>53</v>
      </c>
      <c r="H12216" t="s">
        <v>46</v>
      </c>
      <c r="I12216" t="s">
        <v>2194</v>
      </c>
      <c r="J12216" s="10">
        <v>0</v>
      </c>
      <c r="K12216" t="b">
        <v>1</v>
      </c>
    </row>
    <row r="12217" spans="1:11">
      <c r="A12217" s="12">
        <v>43167</v>
      </c>
      <c r="B12217">
        <v>2018</v>
      </c>
      <c r="C12217">
        <v>3</v>
      </c>
      <c r="D12217" s="11">
        <v>43160</v>
      </c>
      <c r="E12217" t="s">
        <v>2175</v>
      </c>
      <c r="F12217">
        <v>4</v>
      </c>
      <c r="G12217" t="s">
        <v>53</v>
      </c>
      <c r="H12217" t="s">
        <v>47</v>
      </c>
      <c r="I12217" t="s">
        <v>2195</v>
      </c>
      <c r="J12217" s="10">
        <v>4</v>
      </c>
      <c r="K12217" t="b">
        <v>1</v>
      </c>
    </row>
    <row r="12218" spans="1:11">
      <c r="A12218" s="12">
        <v>43168</v>
      </c>
      <c r="B12218">
        <v>2018</v>
      </c>
      <c r="C12218">
        <v>3</v>
      </c>
      <c r="D12218" s="11">
        <v>43160</v>
      </c>
      <c r="E12218" t="s">
        <v>2175</v>
      </c>
      <c r="F12218">
        <v>5</v>
      </c>
      <c r="G12218" t="s">
        <v>55</v>
      </c>
      <c r="H12218" t="s">
        <v>40</v>
      </c>
      <c r="I12218" t="s">
        <v>2188</v>
      </c>
      <c r="J12218" s="10">
        <v>6.33</v>
      </c>
      <c r="K12218" t="b">
        <v>1</v>
      </c>
    </row>
    <row r="12219" spans="1:11">
      <c r="A12219" s="12">
        <v>43168</v>
      </c>
      <c r="B12219">
        <v>2018</v>
      </c>
      <c r="C12219">
        <v>3</v>
      </c>
      <c r="D12219" s="11">
        <v>43160</v>
      </c>
      <c r="E12219" t="s">
        <v>2175</v>
      </c>
      <c r="F12219">
        <v>5</v>
      </c>
      <c r="G12219" t="s">
        <v>55</v>
      </c>
      <c r="H12219" t="s">
        <v>41</v>
      </c>
      <c r="I12219" t="s">
        <v>2189</v>
      </c>
      <c r="J12219" s="10">
        <v>2.18</v>
      </c>
      <c r="K12219" t="b">
        <v>1</v>
      </c>
    </row>
    <row r="12220" spans="1:11">
      <c r="A12220" s="12">
        <v>43168</v>
      </c>
      <c r="B12220">
        <v>2018</v>
      </c>
      <c r="C12220">
        <v>3</v>
      </c>
      <c r="D12220" s="11">
        <v>43160</v>
      </c>
      <c r="E12220" t="s">
        <v>2175</v>
      </c>
      <c r="F12220">
        <v>5</v>
      </c>
      <c r="G12220" t="s">
        <v>55</v>
      </c>
      <c r="H12220" t="s">
        <v>42</v>
      </c>
      <c r="I12220" t="s">
        <v>2190</v>
      </c>
      <c r="J12220" s="10">
        <v>4.2</v>
      </c>
      <c r="K12220" t="b">
        <v>1</v>
      </c>
    </row>
    <row r="12221" spans="1:11">
      <c r="A12221" s="12">
        <v>43168</v>
      </c>
      <c r="B12221">
        <v>2018</v>
      </c>
      <c r="C12221">
        <v>3</v>
      </c>
      <c r="D12221" s="11">
        <v>43160</v>
      </c>
      <c r="E12221" t="s">
        <v>2175</v>
      </c>
      <c r="F12221">
        <v>5</v>
      </c>
      <c r="G12221" t="s">
        <v>55</v>
      </c>
      <c r="H12221" t="s">
        <v>43</v>
      </c>
      <c r="I12221" t="s">
        <v>2191</v>
      </c>
      <c r="J12221" s="10">
        <v>41</v>
      </c>
      <c r="K12221" t="b">
        <v>1</v>
      </c>
    </row>
    <row r="12222" spans="1:11">
      <c r="A12222" s="12">
        <v>43168</v>
      </c>
      <c r="B12222">
        <v>2018</v>
      </c>
      <c r="C12222">
        <v>3</v>
      </c>
      <c r="D12222" s="11">
        <v>43160</v>
      </c>
      <c r="E12222" t="s">
        <v>2175</v>
      </c>
      <c r="F12222">
        <v>5</v>
      </c>
      <c r="G12222" t="s">
        <v>55</v>
      </c>
      <c r="H12222" t="s">
        <v>44</v>
      </c>
      <c r="I12222" t="s">
        <v>2192</v>
      </c>
      <c r="J12222" s="10">
        <v>11</v>
      </c>
      <c r="K12222" t="b">
        <v>1</v>
      </c>
    </row>
    <row r="12223" spans="1:11">
      <c r="A12223" s="12">
        <v>43168</v>
      </c>
      <c r="B12223">
        <v>2018</v>
      </c>
      <c r="C12223">
        <v>3</v>
      </c>
      <c r="D12223" s="11">
        <v>43160</v>
      </c>
      <c r="E12223" t="s">
        <v>2175</v>
      </c>
      <c r="F12223">
        <v>5</v>
      </c>
      <c r="G12223" t="s">
        <v>55</v>
      </c>
      <c r="H12223" t="s">
        <v>45</v>
      </c>
      <c r="I12223" t="s">
        <v>2193</v>
      </c>
      <c r="J12223" s="10">
        <v>1</v>
      </c>
      <c r="K12223" t="b">
        <v>1</v>
      </c>
    </row>
    <row r="12224" spans="1:11">
      <c r="A12224" s="12">
        <v>43168</v>
      </c>
      <c r="B12224">
        <v>2018</v>
      </c>
      <c r="C12224">
        <v>3</v>
      </c>
      <c r="D12224" s="11">
        <v>43160</v>
      </c>
      <c r="E12224" t="s">
        <v>2175</v>
      </c>
      <c r="F12224">
        <v>5</v>
      </c>
      <c r="G12224" t="s">
        <v>55</v>
      </c>
      <c r="H12224" t="s">
        <v>46</v>
      </c>
      <c r="I12224" t="s">
        <v>2194</v>
      </c>
      <c r="J12224" s="10">
        <v>10</v>
      </c>
      <c r="K12224" t="b">
        <v>1</v>
      </c>
    </row>
    <row r="12225" spans="1:11">
      <c r="A12225" s="12">
        <v>43168</v>
      </c>
      <c r="B12225">
        <v>2018</v>
      </c>
      <c r="C12225">
        <v>3</v>
      </c>
      <c r="D12225" s="11">
        <v>43160</v>
      </c>
      <c r="E12225" t="s">
        <v>2175</v>
      </c>
      <c r="F12225">
        <v>5</v>
      </c>
      <c r="G12225" t="s">
        <v>55</v>
      </c>
      <c r="H12225" t="s">
        <v>47</v>
      </c>
      <c r="I12225" t="s">
        <v>2195</v>
      </c>
      <c r="J12225" s="10">
        <v>0</v>
      </c>
      <c r="K12225" t="b">
        <v>1</v>
      </c>
    </row>
    <row r="12226" spans="1:11">
      <c r="A12226" s="12">
        <v>43169</v>
      </c>
      <c r="B12226">
        <v>2018</v>
      </c>
      <c r="C12226">
        <v>3</v>
      </c>
      <c r="D12226" s="11">
        <v>43160</v>
      </c>
      <c r="E12226" t="s">
        <v>2175</v>
      </c>
      <c r="F12226">
        <v>6</v>
      </c>
      <c r="G12226" t="s">
        <v>57</v>
      </c>
      <c r="H12226" t="s">
        <v>40</v>
      </c>
      <c r="I12226" t="s">
        <v>2188</v>
      </c>
      <c r="J12226" s="10">
        <v>6</v>
      </c>
      <c r="K12226" t="b">
        <v>1</v>
      </c>
    </row>
    <row r="12227" spans="1:11">
      <c r="A12227" s="12">
        <v>43169</v>
      </c>
      <c r="B12227">
        <v>2018</v>
      </c>
      <c r="C12227">
        <v>3</v>
      </c>
      <c r="D12227" s="11">
        <v>43160</v>
      </c>
      <c r="E12227" t="s">
        <v>2175</v>
      </c>
      <c r="F12227">
        <v>6</v>
      </c>
      <c r="G12227" t="s">
        <v>57</v>
      </c>
      <c r="H12227" t="s">
        <v>41</v>
      </c>
      <c r="I12227" t="s">
        <v>2189</v>
      </c>
      <c r="J12227" s="10">
        <v>4.109</v>
      </c>
      <c r="K12227" t="b">
        <v>1</v>
      </c>
    </row>
    <row r="12228" spans="1:11">
      <c r="A12228" s="12">
        <v>43169</v>
      </c>
      <c r="B12228">
        <v>2018</v>
      </c>
      <c r="C12228">
        <v>3</v>
      </c>
      <c r="D12228" s="11">
        <v>43160</v>
      </c>
      <c r="E12228" t="s">
        <v>2175</v>
      </c>
      <c r="F12228">
        <v>6</v>
      </c>
      <c r="G12228" t="s">
        <v>57</v>
      </c>
      <c r="H12228" t="s">
        <v>42</v>
      </c>
      <c r="I12228" t="s">
        <v>2190</v>
      </c>
      <c r="J12228" s="10">
        <v>4</v>
      </c>
      <c r="K12228" t="b">
        <v>1</v>
      </c>
    </row>
    <row r="12229" spans="1:11">
      <c r="A12229" s="12">
        <v>43169</v>
      </c>
      <c r="B12229">
        <v>2018</v>
      </c>
      <c r="C12229">
        <v>3</v>
      </c>
      <c r="D12229" s="11">
        <v>43160</v>
      </c>
      <c r="E12229" t="s">
        <v>2175</v>
      </c>
      <c r="F12229">
        <v>6</v>
      </c>
      <c r="G12229" t="s">
        <v>57</v>
      </c>
      <c r="H12229" t="s">
        <v>43</v>
      </c>
      <c r="I12229" t="s">
        <v>2191</v>
      </c>
      <c r="J12229" s="10">
        <v>21.7</v>
      </c>
      <c r="K12229" t="b">
        <v>1</v>
      </c>
    </row>
    <row r="12230" spans="1:11">
      <c r="A12230" s="12">
        <v>43169</v>
      </c>
      <c r="B12230">
        <v>2018</v>
      </c>
      <c r="C12230">
        <v>3</v>
      </c>
      <c r="D12230" s="11">
        <v>43160</v>
      </c>
      <c r="E12230" t="s">
        <v>2175</v>
      </c>
      <c r="F12230">
        <v>6</v>
      </c>
      <c r="G12230" t="s">
        <v>57</v>
      </c>
      <c r="H12230" t="s">
        <v>44</v>
      </c>
      <c r="I12230" t="s">
        <v>2192</v>
      </c>
      <c r="J12230" s="10">
        <v>11</v>
      </c>
      <c r="K12230" t="b">
        <v>1</v>
      </c>
    </row>
    <row r="12231" spans="1:11">
      <c r="A12231" s="12">
        <v>43169</v>
      </c>
      <c r="B12231">
        <v>2018</v>
      </c>
      <c r="C12231">
        <v>3</v>
      </c>
      <c r="D12231" s="11">
        <v>43160</v>
      </c>
      <c r="E12231" t="s">
        <v>2175</v>
      </c>
      <c r="F12231">
        <v>6</v>
      </c>
      <c r="G12231" t="s">
        <v>57</v>
      </c>
      <c r="H12231" t="s">
        <v>45</v>
      </c>
      <c r="I12231" t="s">
        <v>2193</v>
      </c>
      <c r="J12231" s="10">
        <v>3</v>
      </c>
      <c r="K12231" t="b">
        <v>1</v>
      </c>
    </row>
    <row r="12232" spans="1:11">
      <c r="A12232" s="12">
        <v>43169</v>
      </c>
      <c r="B12232">
        <v>2018</v>
      </c>
      <c r="C12232">
        <v>3</v>
      </c>
      <c r="D12232" s="11">
        <v>43160</v>
      </c>
      <c r="E12232" t="s">
        <v>2175</v>
      </c>
      <c r="F12232">
        <v>6</v>
      </c>
      <c r="G12232" t="s">
        <v>57</v>
      </c>
      <c r="H12232" t="s">
        <v>46</v>
      </c>
      <c r="I12232" t="s">
        <v>2194</v>
      </c>
      <c r="J12232" s="10">
        <v>17</v>
      </c>
      <c r="K12232" t="b">
        <v>1</v>
      </c>
    </row>
    <row r="12233" spans="1:11">
      <c r="A12233" s="12">
        <v>43169</v>
      </c>
      <c r="B12233">
        <v>2018</v>
      </c>
      <c r="C12233">
        <v>3</v>
      </c>
      <c r="D12233" s="11">
        <v>43160</v>
      </c>
      <c r="E12233" t="s">
        <v>2175</v>
      </c>
      <c r="F12233">
        <v>6</v>
      </c>
      <c r="G12233" t="s">
        <v>57</v>
      </c>
      <c r="H12233" t="s">
        <v>47</v>
      </c>
      <c r="I12233" t="s">
        <v>2195</v>
      </c>
      <c r="J12233" s="10">
        <v>6</v>
      </c>
      <c r="K12233" t="b">
        <v>1</v>
      </c>
    </row>
    <row r="12234" spans="1:11">
      <c r="A12234" s="12">
        <v>43170</v>
      </c>
      <c r="B12234">
        <v>2018</v>
      </c>
      <c r="C12234">
        <v>3</v>
      </c>
      <c r="D12234" s="11">
        <v>43160</v>
      </c>
      <c r="E12234" t="s">
        <v>2175</v>
      </c>
      <c r="F12234">
        <v>7</v>
      </c>
      <c r="G12234" t="s">
        <v>59</v>
      </c>
      <c r="H12234" t="s">
        <v>40</v>
      </c>
      <c r="I12234" t="s">
        <v>2188</v>
      </c>
      <c r="J12234" s="10">
        <v>4.66</v>
      </c>
      <c r="K12234" t="b">
        <v>1</v>
      </c>
    </row>
    <row r="12235" spans="1:11">
      <c r="A12235" s="12">
        <v>43170</v>
      </c>
      <c r="B12235">
        <v>2018</v>
      </c>
      <c r="C12235">
        <v>3</v>
      </c>
      <c r="D12235" s="11">
        <v>43160</v>
      </c>
      <c r="E12235" t="s">
        <v>2175</v>
      </c>
      <c r="F12235">
        <v>7</v>
      </c>
      <c r="G12235" t="s">
        <v>59</v>
      </c>
      <c r="H12235" t="s">
        <v>41</v>
      </c>
      <c r="I12235" t="s">
        <v>2189</v>
      </c>
      <c r="J12235" s="10">
        <v>7.54</v>
      </c>
      <c r="K12235" t="b">
        <v>1</v>
      </c>
    </row>
    <row r="12236" spans="1:11">
      <c r="A12236" s="12">
        <v>43170</v>
      </c>
      <c r="B12236">
        <v>2018</v>
      </c>
      <c r="C12236">
        <v>3</v>
      </c>
      <c r="D12236" s="11">
        <v>43160</v>
      </c>
      <c r="E12236" t="s">
        <v>2175</v>
      </c>
      <c r="F12236">
        <v>7</v>
      </c>
      <c r="G12236" t="s">
        <v>59</v>
      </c>
      <c r="H12236" t="s">
        <v>42</v>
      </c>
      <c r="I12236" t="s">
        <v>2190</v>
      </c>
      <c r="J12236" s="10">
        <v>5.6</v>
      </c>
      <c r="K12236" t="b">
        <v>1</v>
      </c>
    </row>
    <row r="12237" spans="1:11">
      <c r="A12237" s="12">
        <v>43170</v>
      </c>
      <c r="B12237">
        <v>2018</v>
      </c>
      <c r="C12237">
        <v>3</v>
      </c>
      <c r="D12237" s="11">
        <v>43160</v>
      </c>
      <c r="E12237" t="s">
        <v>2175</v>
      </c>
      <c r="F12237">
        <v>7</v>
      </c>
      <c r="G12237" t="s">
        <v>59</v>
      </c>
      <c r="H12237" t="s">
        <v>43</v>
      </c>
      <c r="I12237" t="s">
        <v>2191</v>
      </c>
      <c r="J12237" s="10">
        <v>68</v>
      </c>
      <c r="K12237" t="b">
        <v>1</v>
      </c>
    </row>
    <row r="12238" spans="1:11">
      <c r="A12238" s="12">
        <v>43170</v>
      </c>
      <c r="B12238">
        <v>2018</v>
      </c>
      <c r="C12238">
        <v>3</v>
      </c>
      <c r="D12238" s="11">
        <v>43160</v>
      </c>
      <c r="E12238" t="s">
        <v>2175</v>
      </c>
      <c r="F12238">
        <v>7</v>
      </c>
      <c r="G12238" t="s">
        <v>59</v>
      </c>
      <c r="H12238" t="s">
        <v>44</v>
      </c>
      <c r="I12238" t="s">
        <v>2192</v>
      </c>
      <c r="J12238" s="10">
        <v>0</v>
      </c>
      <c r="K12238" t="b">
        <v>1</v>
      </c>
    </row>
    <row r="12239" spans="1:11">
      <c r="A12239" s="12">
        <v>43170</v>
      </c>
      <c r="B12239">
        <v>2018</v>
      </c>
      <c r="C12239">
        <v>3</v>
      </c>
      <c r="D12239" s="11">
        <v>43160</v>
      </c>
      <c r="E12239" t="s">
        <v>2175</v>
      </c>
      <c r="F12239">
        <v>7</v>
      </c>
      <c r="G12239" t="s">
        <v>59</v>
      </c>
      <c r="H12239" t="s">
        <v>45</v>
      </c>
      <c r="I12239" t="s">
        <v>2193</v>
      </c>
      <c r="J12239" s="10">
        <v>0</v>
      </c>
      <c r="K12239" t="b">
        <v>1</v>
      </c>
    </row>
    <row r="12240" spans="1:11">
      <c r="A12240" s="12">
        <v>43170</v>
      </c>
      <c r="B12240">
        <v>2018</v>
      </c>
      <c r="C12240">
        <v>3</v>
      </c>
      <c r="D12240" s="11">
        <v>43160</v>
      </c>
      <c r="E12240" t="s">
        <v>2175</v>
      </c>
      <c r="F12240">
        <v>7</v>
      </c>
      <c r="G12240" t="s">
        <v>59</v>
      </c>
      <c r="H12240" t="s">
        <v>46</v>
      </c>
      <c r="I12240" t="s">
        <v>2194</v>
      </c>
      <c r="J12240" s="10">
        <v>11</v>
      </c>
      <c r="K12240" t="b">
        <v>1</v>
      </c>
    </row>
    <row r="12241" spans="1:11">
      <c r="A12241" s="12">
        <v>43170</v>
      </c>
      <c r="B12241">
        <v>2018</v>
      </c>
      <c r="C12241">
        <v>3</v>
      </c>
      <c r="D12241" s="11">
        <v>43160</v>
      </c>
      <c r="E12241" t="s">
        <v>2175</v>
      </c>
      <c r="F12241">
        <v>7</v>
      </c>
      <c r="G12241" t="s">
        <v>59</v>
      </c>
      <c r="H12241" t="s">
        <v>47</v>
      </c>
      <c r="I12241" t="s">
        <v>2195</v>
      </c>
      <c r="J12241" s="10">
        <v>3</v>
      </c>
      <c r="K12241" t="b">
        <v>1</v>
      </c>
    </row>
    <row r="12242" spans="1:11">
      <c r="A12242" s="12">
        <v>43171</v>
      </c>
      <c r="B12242">
        <v>2018</v>
      </c>
      <c r="C12242">
        <v>3</v>
      </c>
      <c r="D12242" s="11">
        <v>43160</v>
      </c>
      <c r="E12242" t="s">
        <v>2175</v>
      </c>
      <c r="F12242">
        <v>1</v>
      </c>
      <c r="G12242" t="s">
        <v>61</v>
      </c>
      <c r="H12242" t="s">
        <v>40</v>
      </c>
      <c r="I12242" t="s">
        <v>2188</v>
      </c>
      <c r="J12242" s="10">
        <v>9</v>
      </c>
      <c r="K12242" t="b">
        <v>1</v>
      </c>
    </row>
    <row r="12243" spans="1:11">
      <c r="A12243" s="12">
        <v>43171</v>
      </c>
      <c r="B12243">
        <v>2018</v>
      </c>
      <c r="C12243">
        <v>3</v>
      </c>
      <c r="D12243" s="11">
        <v>43160</v>
      </c>
      <c r="E12243" t="s">
        <v>2175</v>
      </c>
      <c r="F12243">
        <v>1</v>
      </c>
      <c r="G12243" t="s">
        <v>61</v>
      </c>
      <c r="H12243" t="s">
        <v>41</v>
      </c>
      <c r="I12243" t="s">
        <v>2189</v>
      </c>
      <c r="J12243" s="10">
        <v>4.345</v>
      </c>
      <c r="K12243" t="b">
        <v>1</v>
      </c>
    </row>
    <row r="12244" spans="1:11">
      <c r="A12244" s="12">
        <v>43171</v>
      </c>
      <c r="B12244">
        <v>2018</v>
      </c>
      <c r="C12244">
        <v>3</v>
      </c>
      <c r="D12244" s="11">
        <v>43160</v>
      </c>
      <c r="E12244" t="s">
        <v>2175</v>
      </c>
      <c r="F12244">
        <v>1</v>
      </c>
      <c r="G12244" t="s">
        <v>61</v>
      </c>
      <c r="H12244" t="s">
        <v>42</v>
      </c>
      <c r="I12244" t="s">
        <v>2190</v>
      </c>
      <c r="J12244" s="10">
        <v>3</v>
      </c>
      <c r="K12244" t="b">
        <v>1</v>
      </c>
    </row>
    <row r="12245" spans="1:11">
      <c r="A12245" s="12">
        <v>43171</v>
      </c>
      <c r="B12245">
        <v>2018</v>
      </c>
      <c r="C12245">
        <v>3</v>
      </c>
      <c r="D12245" s="11">
        <v>43160</v>
      </c>
      <c r="E12245" t="s">
        <v>2175</v>
      </c>
      <c r="F12245">
        <v>1</v>
      </c>
      <c r="G12245" t="s">
        <v>61</v>
      </c>
      <c r="H12245" t="s">
        <v>43</v>
      </c>
      <c r="I12245" t="s">
        <v>2191</v>
      </c>
      <c r="J12245" s="10">
        <v>22.2</v>
      </c>
      <c r="K12245" t="b">
        <v>1</v>
      </c>
    </row>
    <row r="12246" spans="1:11">
      <c r="A12246" s="12">
        <v>43171</v>
      </c>
      <c r="B12246">
        <v>2018</v>
      </c>
      <c r="C12246">
        <v>3</v>
      </c>
      <c r="D12246" s="11">
        <v>43160</v>
      </c>
      <c r="E12246" t="s">
        <v>2175</v>
      </c>
      <c r="F12246">
        <v>1</v>
      </c>
      <c r="G12246" t="s">
        <v>61</v>
      </c>
      <c r="H12246" t="s">
        <v>44</v>
      </c>
      <c r="I12246" t="s">
        <v>2192</v>
      </c>
      <c r="J12246" s="10">
        <v>9</v>
      </c>
      <c r="K12246" t="b">
        <v>1</v>
      </c>
    </row>
    <row r="12247" spans="1:11">
      <c r="A12247" s="12">
        <v>43171</v>
      </c>
      <c r="B12247">
        <v>2018</v>
      </c>
      <c r="C12247">
        <v>3</v>
      </c>
      <c r="D12247" s="11">
        <v>43160</v>
      </c>
      <c r="E12247" t="s">
        <v>2175</v>
      </c>
      <c r="F12247">
        <v>1</v>
      </c>
      <c r="G12247" t="s">
        <v>61</v>
      </c>
      <c r="H12247" t="s">
        <v>45</v>
      </c>
      <c r="I12247" t="s">
        <v>2193</v>
      </c>
      <c r="J12247" s="10">
        <v>0</v>
      </c>
      <c r="K12247" t="b">
        <v>1</v>
      </c>
    </row>
    <row r="12248" spans="1:11">
      <c r="A12248" s="12">
        <v>43171</v>
      </c>
      <c r="B12248">
        <v>2018</v>
      </c>
      <c r="C12248">
        <v>3</v>
      </c>
      <c r="D12248" s="11">
        <v>43160</v>
      </c>
      <c r="E12248" t="s">
        <v>2175</v>
      </c>
      <c r="F12248">
        <v>1</v>
      </c>
      <c r="G12248" t="s">
        <v>61</v>
      </c>
      <c r="H12248" t="s">
        <v>46</v>
      </c>
      <c r="I12248" t="s">
        <v>2194</v>
      </c>
      <c r="J12248" s="10">
        <v>13</v>
      </c>
      <c r="K12248" t="b">
        <v>1</v>
      </c>
    </row>
    <row r="12249" spans="1:11">
      <c r="A12249" s="12">
        <v>43171</v>
      </c>
      <c r="B12249">
        <v>2018</v>
      </c>
      <c r="C12249">
        <v>3</v>
      </c>
      <c r="D12249" s="11">
        <v>43160</v>
      </c>
      <c r="E12249" t="s">
        <v>2175</v>
      </c>
      <c r="F12249">
        <v>1</v>
      </c>
      <c r="G12249" t="s">
        <v>61</v>
      </c>
      <c r="H12249" t="s">
        <v>47</v>
      </c>
      <c r="I12249" t="s">
        <v>2195</v>
      </c>
      <c r="J12249" s="10">
        <v>8</v>
      </c>
      <c r="K12249" t="b">
        <v>1</v>
      </c>
    </row>
    <row r="12250" spans="1:11">
      <c r="A12250" s="12">
        <v>43172</v>
      </c>
      <c r="B12250">
        <v>2018</v>
      </c>
      <c r="C12250">
        <v>3</v>
      </c>
      <c r="D12250" s="11">
        <v>43160</v>
      </c>
      <c r="E12250" t="s">
        <v>2175</v>
      </c>
      <c r="F12250">
        <v>2</v>
      </c>
      <c r="G12250" t="s">
        <v>63</v>
      </c>
      <c r="H12250" t="s">
        <v>40</v>
      </c>
      <c r="I12250" t="s">
        <v>2188</v>
      </c>
      <c r="J12250" s="10">
        <v>2</v>
      </c>
      <c r="K12250" t="b">
        <v>1</v>
      </c>
    </row>
    <row r="12251" spans="1:11">
      <c r="A12251" s="12">
        <v>43172</v>
      </c>
      <c r="B12251">
        <v>2018</v>
      </c>
      <c r="C12251">
        <v>3</v>
      </c>
      <c r="D12251" s="11">
        <v>43160</v>
      </c>
      <c r="E12251" t="s">
        <v>2175</v>
      </c>
      <c r="F12251">
        <v>2</v>
      </c>
      <c r="G12251" t="s">
        <v>63</v>
      </c>
      <c r="H12251" t="s">
        <v>41</v>
      </c>
      <c r="I12251" t="s">
        <v>2189</v>
      </c>
      <c r="J12251" s="10">
        <v>5.066</v>
      </c>
      <c r="K12251" t="b">
        <v>1</v>
      </c>
    </row>
    <row r="12252" spans="1:11">
      <c r="A12252" s="12">
        <v>43172</v>
      </c>
      <c r="B12252">
        <v>2018</v>
      </c>
      <c r="C12252">
        <v>3</v>
      </c>
      <c r="D12252" s="11">
        <v>43160</v>
      </c>
      <c r="E12252" t="s">
        <v>2175</v>
      </c>
      <c r="F12252">
        <v>2</v>
      </c>
      <c r="G12252" t="s">
        <v>63</v>
      </c>
      <c r="H12252" t="s">
        <v>42</v>
      </c>
      <c r="I12252" t="s">
        <v>2190</v>
      </c>
      <c r="J12252" s="10">
        <v>5.2</v>
      </c>
      <c r="K12252" t="b">
        <v>1</v>
      </c>
    </row>
    <row r="12253" spans="1:11">
      <c r="A12253" s="12">
        <v>43172</v>
      </c>
      <c r="B12253">
        <v>2018</v>
      </c>
      <c r="C12253">
        <v>3</v>
      </c>
      <c r="D12253" s="11">
        <v>43160</v>
      </c>
      <c r="E12253" t="s">
        <v>2175</v>
      </c>
      <c r="F12253">
        <v>2</v>
      </c>
      <c r="G12253" t="s">
        <v>63</v>
      </c>
      <c r="H12253" t="s">
        <v>43</v>
      </c>
      <c r="I12253" t="s">
        <v>2191</v>
      </c>
      <c r="J12253" s="10">
        <v>15.2</v>
      </c>
      <c r="K12253" t="b">
        <v>1</v>
      </c>
    </row>
    <row r="12254" spans="1:11">
      <c r="A12254" s="12">
        <v>43172</v>
      </c>
      <c r="B12254">
        <v>2018</v>
      </c>
      <c r="C12254">
        <v>3</v>
      </c>
      <c r="D12254" s="11">
        <v>43160</v>
      </c>
      <c r="E12254" t="s">
        <v>2175</v>
      </c>
      <c r="F12254">
        <v>2</v>
      </c>
      <c r="G12254" t="s">
        <v>63</v>
      </c>
      <c r="H12254" t="s">
        <v>44</v>
      </c>
      <c r="I12254" t="s">
        <v>2192</v>
      </c>
      <c r="J12254" s="10">
        <v>18</v>
      </c>
      <c r="K12254" t="b">
        <v>1</v>
      </c>
    </row>
    <row r="12255" spans="1:11">
      <c r="A12255" s="12">
        <v>43172</v>
      </c>
      <c r="B12255">
        <v>2018</v>
      </c>
      <c r="C12255">
        <v>3</v>
      </c>
      <c r="D12255" s="11">
        <v>43160</v>
      </c>
      <c r="E12255" t="s">
        <v>2175</v>
      </c>
      <c r="F12255">
        <v>2</v>
      </c>
      <c r="G12255" t="s">
        <v>63</v>
      </c>
      <c r="H12255" t="s">
        <v>45</v>
      </c>
      <c r="I12255" t="s">
        <v>2193</v>
      </c>
      <c r="J12255" s="10">
        <v>0</v>
      </c>
      <c r="K12255" t="b">
        <v>1</v>
      </c>
    </row>
    <row r="12256" spans="1:11">
      <c r="A12256" s="12">
        <v>43172</v>
      </c>
      <c r="B12256">
        <v>2018</v>
      </c>
      <c r="C12256">
        <v>3</v>
      </c>
      <c r="D12256" s="11">
        <v>43160</v>
      </c>
      <c r="E12256" t="s">
        <v>2175</v>
      </c>
      <c r="F12256">
        <v>2</v>
      </c>
      <c r="G12256" t="s">
        <v>63</v>
      </c>
      <c r="H12256" t="s">
        <v>46</v>
      </c>
      <c r="I12256" t="s">
        <v>2194</v>
      </c>
      <c r="J12256" s="10">
        <v>21</v>
      </c>
      <c r="K12256" t="b">
        <v>1</v>
      </c>
    </row>
    <row r="12257" spans="1:11">
      <c r="A12257" s="12">
        <v>43172</v>
      </c>
      <c r="B12257">
        <v>2018</v>
      </c>
      <c r="C12257">
        <v>3</v>
      </c>
      <c r="D12257" s="11">
        <v>43160</v>
      </c>
      <c r="E12257" t="s">
        <v>2175</v>
      </c>
      <c r="F12257">
        <v>2</v>
      </c>
      <c r="G12257" t="s">
        <v>63</v>
      </c>
      <c r="H12257" t="s">
        <v>47</v>
      </c>
      <c r="I12257" t="s">
        <v>2195</v>
      </c>
      <c r="J12257" s="10">
        <v>5</v>
      </c>
      <c r="K12257" t="b">
        <v>1</v>
      </c>
    </row>
    <row r="12258" spans="1:11">
      <c r="A12258" s="12">
        <v>43173</v>
      </c>
      <c r="B12258">
        <v>2018</v>
      </c>
      <c r="C12258">
        <v>3</v>
      </c>
      <c r="D12258" s="11">
        <v>43160</v>
      </c>
      <c r="E12258" t="s">
        <v>2175</v>
      </c>
      <c r="F12258">
        <v>3</v>
      </c>
      <c r="G12258" t="s">
        <v>65</v>
      </c>
      <c r="H12258" t="s">
        <v>40</v>
      </c>
      <c r="I12258" t="s">
        <v>2188</v>
      </c>
      <c r="J12258" s="10">
        <v>2.34</v>
      </c>
      <c r="K12258" t="b">
        <v>1</v>
      </c>
    </row>
    <row r="12259" spans="1:11">
      <c r="A12259" s="12">
        <v>43173</v>
      </c>
      <c r="B12259">
        <v>2018</v>
      </c>
      <c r="C12259">
        <v>3</v>
      </c>
      <c r="D12259" s="11">
        <v>43160</v>
      </c>
      <c r="E12259" t="s">
        <v>2175</v>
      </c>
      <c r="F12259">
        <v>3</v>
      </c>
      <c r="G12259" t="s">
        <v>65</v>
      </c>
      <c r="H12259" t="s">
        <v>41</v>
      </c>
      <c r="I12259" t="s">
        <v>2189</v>
      </c>
      <c r="J12259" s="10">
        <v>2.34</v>
      </c>
      <c r="K12259" t="b">
        <v>1</v>
      </c>
    </row>
    <row r="12260" spans="1:11">
      <c r="A12260" s="12">
        <v>43173</v>
      </c>
      <c r="B12260">
        <v>2018</v>
      </c>
      <c r="C12260">
        <v>3</v>
      </c>
      <c r="D12260" s="11">
        <v>43160</v>
      </c>
      <c r="E12260" t="s">
        <v>2175</v>
      </c>
      <c r="F12260">
        <v>3</v>
      </c>
      <c r="G12260" t="s">
        <v>65</v>
      </c>
      <c r="H12260" t="s">
        <v>42</v>
      </c>
      <c r="I12260" t="s">
        <v>2190</v>
      </c>
      <c r="J12260" s="10">
        <v>0</v>
      </c>
      <c r="K12260" t="b">
        <v>1</v>
      </c>
    </row>
    <row r="12261" spans="1:11">
      <c r="A12261" s="12">
        <v>43173</v>
      </c>
      <c r="B12261">
        <v>2018</v>
      </c>
      <c r="C12261">
        <v>3</v>
      </c>
      <c r="D12261" s="11">
        <v>43160</v>
      </c>
      <c r="E12261" t="s">
        <v>2175</v>
      </c>
      <c r="F12261">
        <v>3</v>
      </c>
      <c r="G12261" t="s">
        <v>65</v>
      </c>
      <c r="H12261" t="s">
        <v>43</v>
      </c>
      <c r="I12261" t="s">
        <v>2191</v>
      </c>
      <c r="J12261" s="10">
        <v>31</v>
      </c>
      <c r="K12261" t="b">
        <v>1</v>
      </c>
    </row>
    <row r="12262" spans="1:11">
      <c r="A12262" s="12">
        <v>43173</v>
      </c>
      <c r="B12262">
        <v>2018</v>
      </c>
      <c r="C12262">
        <v>3</v>
      </c>
      <c r="D12262" s="11">
        <v>43160</v>
      </c>
      <c r="E12262" t="s">
        <v>2175</v>
      </c>
      <c r="F12262">
        <v>3</v>
      </c>
      <c r="G12262" t="s">
        <v>65</v>
      </c>
      <c r="H12262" t="s">
        <v>44</v>
      </c>
      <c r="I12262" t="s">
        <v>2192</v>
      </c>
      <c r="J12262" s="10">
        <v>14</v>
      </c>
      <c r="K12262" t="b">
        <v>1</v>
      </c>
    </row>
    <row r="12263" spans="1:11">
      <c r="A12263" s="12">
        <v>43173</v>
      </c>
      <c r="B12263">
        <v>2018</v>
      </c>
      <c r="C12263">
        <v>3</v>
      </c>
      <c r="D12263" s="11">
        <v>43160</v>
      </c>
      <c r="E12263" t="s">
        <v>2175</v>
      </c>
      <c r="F12263">
        <v>3</v>
      </c>
      <c r="G12263" t="s">
        <v>65</v>
      </c>
      <c r="H12263" t="s">
        <v>45</v>
      </c>
      <c r="I12263" t="s">
        <v>2193</v>
      </c>
      <c r="J12263" s="10">
        <v>2</v>
      </c>
      <c r="K12263" t="b">
        <v>1</v>
      </c>
    </row>
    <row r="12264" spans="1:11">
      <c r="A12264" s="12">
        <v>43173</v>
      </c>
      <c r="B12264">
        <v>2018</v>
      </c>
      <c r="C12264">
        <v>3</v>
      </c>
      <c r="D12264" s="11">
        <v>43160</v>
      </c>
      <c r="E12264" t="s">
        <v>2175</v>
      </c>
      <c r="F12264">
        <v>3</v>
      </c>
      <c r="G12264" t="s">
        <v>65</v>
      </c>
      <c r="H12264" t="s">
        <v>46</v>
      </c>
      <c r="I12264" t="s">
        <v>2194</v>
      </c>
      <c r="J12264" s="10">
        <v>8</v>
      </c>
      <c r="K12264" t="b">
        <v>1</v>
      </c>
    </row>
    <row r="12265" spans="1:11">
      <c r="A12265" s="12">
        <v>43173</v>
      </c>
      <c r="B12265">
        <v>2018</v>
      </c>
      <c r="C12265">
        <v>3</v>
      </c>
      <c r="D12265" s="11">
        <v>43160</v>
      </c>
      <c r="E12265" t="s">
        <v>2175</v>
      </c>
      <c r="F12265">
        <v>3</v>
      </c>
      <c r="G12265" t="s">
        <v>65</v>
      </c>
      <c r="H12265" t="s">
        <v>47</v>
      </c>
      <c r="I12265" t="s">
        <v>2195</v>
      </c>
      <c r="J12265" s="10">
        <v>4</v>
      </c>
      <c r="K12265" t="b">
        <v>1</v>
      </c>
    </row>
    <row r="12266" spans="1:11">
      <c r="A12266" s="12">
        <v>43174</v>
      </c>
      <c r="B12266">
        <v>2018</v>
      </c>
      <c r="C12266">
        <v>3</v>
      </c>
      <c r="D12266" s="11">
        <v>43160</v>
      </c>
      <c r="E12266" t="s">
        <v>2175</v>
      </c>
      <c r="F12266">
        <v>4</v>
      </c>
      <c r="G12266" t="s">
        <v>53</v>
      </c>
      <c r="H12266" t="s">
        <v>40</v>
      </c>
      <c r="I12266" t="s">
        <v>2188</v>
      </c>
      <c r="J12266" s="10">
        <v>3.34</v>
      </c>
      <c r="K12266" t="b">
        <v>1</v>
      </c>
    </row>
    <row r="12267" spans="1:11">
      <c r="A12267" s="12">
        <v>43174</v>
      </c>
      <c r="B12267">
        <v>2018</v>
      </c>
      <c r="C12267">
        <v>3</v>
      </c>
      <c r="D12267" s="11">
        <v>43160</v>
      </c>
      <c r="E12267" t="s">
        <v>2175</v>
      </c>
      <c r="F12267">
        <v>4</v>
      </c>
      <c r="G12267" t="s">
        <v>53</v>
      </c>
      <c r="H12267" t="s">
        <v>41</v>
      </c>
      <c r="I12267" t="s">
        <v>2189</v>
      </c>
      <c r="J12267" s="10">
        <v>2.132</v>
      </c>
      <c r="K12267" t="b">
        <v>1</v>
      </c>
    </row>
    <row r="12268" spans="1:11">
      <c r="A12268" s="12">
        <v>43174</v>
      </c>
      <c r="B12268">
        <v>2018</v>
      </c>
      <c r="C12268">
        <v>3</v>
      </c>
      <c r="D12268" s="11">
        <v>43160</v>
      </c>
      <c r="E12268" t="s">
        <v>2175</v>
      </c>
      <c r="F12268">
        <v>4</v>
      </c>
      <c r="G12268" t="s">
        <v>53</v>
      </c>
      <c r="H12268" t="s">
        <v>42</v>
      </c>
      <c r="I12268" t="s">
        <v>2190</v>
      </c>
      <c r="J12268" s="10">
        <v>3</v>
      </c>
      <c r="K12268" t="b">
        <v>1</v>
      </c>
    </row>
    <row r="12269" spans="1:11">
      <c r="A12269" s="12">
        <v>43174</v>
      </c>
      <c r="B12269">
        <v>2018</v>
      </c>
      <c r="C12269">
        <v>3</v>
      </c>
      <c r="D12269" s="11">
        <v>43160</v>
      </c>
      <c r="E12269" t="s">
        <v>2175</v>
      </c>
      <c r="F12269">
        <v>4</v>
      </c>
      <c r="G12269" t="s">
        <v>53</v>
      </c>
      <c r="H12269" t="s">
        <v>43</v>
      </c>
      <c r="I12269" t="s">
        <v>2191</v>
      </c>
      <c r="J12269" s="10">
        <v>23.9</v>
      </c>
      <c r="K12269" t="b">
        <v>1</v>
      </c>
    </row>
    <row r="12270" spans="1:11">
      <c r="A12270" s="12">
        <v>43174</v>
      </c>
      <c r="B12270">
        <v>2018</v>
      </c>
      <c r="C12270">
        <v>3</v>
      </c>
      <c r="D12270" s="11">
        <v>43160</v>
      </c>
      <c r="E12270" t="s">
        <v>2175</v>
      </c>
      <c r="F12270">
        <v>4</v>
      </c>
      <c r="G12270" t="s">
        <v>53</v>
      </c>
      <c r="H12270" t="s">
        <v>44</v>
      </c>
      <c r="I12270" t="s">
        <v>2192</v>
      </c>
      <c r="J12270" s="10">
        <v>10</v>
      </c>
      <c r="K12270" t="b">
        <v>1</v>
      </c>
    </row>
    <row r="12271" spans="1:11">
      <c r="A12271" s="12">
        <v>43174</v>
      </c>
      <c r="B12271">
        <v>2018</v>
      </c>
      <c r="C12271">
        <v>3</v>
      </c>
      <c r="D12271" s="11">
        <v>43160</v>
      </c>
      <c r="E12271" t="s">
        <v>2175</v>
      </c>
      <c r="F12271">
        <v>4</v>
      </c>
      <c r="G12271" t="s">
        <v>53</v>
      </c>
      <c r="H12271" t="s">
        <v>45</v>
      </c>
      <c r="I12271" t="s">
        <v>2193</v>
      </c>
      <c r="J12271" s="10">
        <v>0</v>
      </c>
      <c r="K12271" t="b">
        <v>1</v>
      </c>
    </row>
    <row r="12272" spans="1:11">
      <c r="A12272" s="12">
        <v>43174</v>
      </c>
      <c r="B12272">
        <v>2018</v>
      </c>
      <c r="C12272">
        <v>3</v>
      </c>
      <c r="D12272" s="11">
        <v>43160</v>
      </c>
      <c r="E12272" t="s">
        <v>2175</v>
      </c>
      <c r="F12272">
        <v>4</v>
      </c>
      <c r="G12272" t="s">
        <v>53</v>
      </c>
      <c r="H12272" t="s">
        <v>46</v>
      </c>
      <c r="I12272" t="s">
        <v>2194</v>
      </c>
      <c r="J12272" s="10">
        <v>10</v>
      </c>
      <c r="K12272" t="b">
        <v>1</v>
      </c>
    </row>
    <row r="12273" spans="1:11">
      <c r="A12273" s="12">
        <v>43174</v>
      </c>
      <c r="B12273">
        <v>2018</v>
      </c>
      <c r="C12273">
        <v>3</v>
      </c>
      <c r="D12273" s="11">
        <v>43160</v>
      </c>
      <c r="E12273" t="s">
        <v>2175</v>
      </c>
      <c r="F12273">
        <v>4</v>
      </c>
      <c r="G12273" t="s">
        <v>53</v>
      </c>
      <c r="H12273" t="s">
        <v>47</v>
      </c>
      <c r="I12273" t="s">
        <v>2195</v>
      </c>
      <c r="J12273" s="10">
        <v>0</v>
      </c>
      <c r="K12273" t="b">
        <v>1</v>
      </c>
    </row>
    <row r="12274" spans="1:11">
      <c r="A12274" s="12">
        <v>43175</v>
      </c>
      <c r="B12274">
        <v>2018</v>
      </c>
      <c r="C12274">
        <v>3</v>
      </c>
      <c r="D12274" s="11">
        <v>43160</v>
      </c>
      <c r="E12274" t="s">
        <v>2175</v>
      </c>
      <c r="F12274">
        <v>5</v>
      </c>
      <c r="G12274" t="s">
        <v>55</v>
      </c>
      <c r="H12274" t="s">
        <v>40</v>
      </c>
      <c r="I12274" t="s">
        <v>2188</v>
      </c>
      <c r="J12274" s="10">
        <v>3.33</v>
      </c>
      <c r="K12274" t="b">
        <v>1</v>
      </c>
    </row>
    <row r="12275" spans="1:11">
      <c r="A12275" s="12">
        <v>43175</v>
      </c>
      <c r="B12275">
        <v>2018</v>
      </c>
      <c r="C12275">
        <v>3</v>
      </c>
      <c r="D12275" s="11">
        <v>43160</v>
      </c>
      <c r="E12275" t="s">
        <v>2175</v>
      </c>
      <c r="F12275">
        <v>5</v>
      </c>
      <c r="G12275" t="s">
        <v>55</v>
      </c>
      <c r="H12275" t="s">
        <v>41</v>
      </c>
      <c r="I12275" t="s">
        <v>2189</v>
      </c>
      <c r="J12275" s="10">
        <v>3.066</v>
      </c>
      <c r="K12275" t="b">
        <v>1</v>
      </c>
    </row>
    <row r="12276" spans="1:11">
      <c r="A12276" s="12">
        <v>43175</v>
      </c>
      <c r="B12276">
        <v>2018</v>
      </c>
      <c r="C12276">
        <v>3</v>
      </c>
      <c r="D12276" s="11">
        <v>43160</v>
      </c>
      <c r="E12276" t="s">
        <v>2175</v>
      </c>
      <c r="F12276">
        <v>5</v>
      </c>
      <c r="G12276" t="s">
        <v>55</v>
      </c>
      <c r="H12276" t="s">
        <v>42</v>
      </c>
      <c r="I12276" t="s">
        <v>2190</v>
      </c>
      <c r="J12276" s="10">
        <v>1</v>
      </c>
      <c r="K12276" t="b">
        <v>1</v>
      </c>
    </row>
    <row r="12277" spans="1:11">
      <c r="A12277" s="12">
        <v>43175</v>
      </c>
      <c r="B12277">
        <v>2018</v>
      </c>
      <c r="C12277">
        <v>3</v>
      </c>
      <c r="D12277" s="11">
        <v>43160</v>
      </c>
      <c r="E12277" t="s">
        <v>2175</v>
      </c>
      <c r="F12277">
        <v>5</v>
      </c>
      <c r="G12277" t="s">
        <v>55</v>
      </c>
      <c r="H12277" t="s">
        <v>43</v>
      </c>
      <c r="I12277" t="s">
        <v>2191</v>
      </c>
      <c r="J12277" s="10">
        <v>29</v>
      </c>
      <c r="K12277" t="b">
        <v>1</v>
      </c>
    </row>
    <row r="12278" spans="1:11">
      <c r="A12278" s="12">
        <v>43175</v>
      </c>
      <c r="B12278">
        <v>2018</v>
      </c>
      <c r="C12278">
        <v>3</v>
      </c>
      <c r="D12278" s="11">
        <v>43160</v>
      </c>
      <c r="E12278" t="s">
        <v>2175</v>
      </c>
      <c r="F12278">
        <v>5</v>
      </c>
      <c r="G12278" t="s">
        <v>55</v>
      </c>
      <c r="H12278" t="s">
        <v>44</v>
      </c>
      <c r="I12278" t="s">
        <v>2192</v>
      </c>
      <c r="J12278" s="10">
        <v>7</v>
      </c>
      <c r="K12278" t="b">
        <v>1</v>
      </c>
    </row>
    <row r="12279" spans="1:11">
      <c r="A12279" s="12">
        <v>43175</v>
      </c>
      <c r="B12279">
        <v>2018</v>
      </c>
      <c r="C12279">
        <v>3</v>
      </c>
      <c r="D12279" s="11">
        <v>43160</v>
      </c>
      <c r="E12279" t="s">
        <v>2175</v>
      </c>
      <c r="F12279">
        <v>5</v>
      </c>
      <c r="G12279" t="s">
        <v>55</v>
      </c>
      <c r="H12279" t="s">
        <v>45</v>
      </c>
      <c r="I12279" t="s">
        <v>2193</v>
      </c>
      <c r="J12279" s="10">
        <v>0</v>
      </c>
      <c r="K12279" t="b">
        <v>1</v>
      </c>
    </row>
    <row r="12280" spans="1:11">
      <c r="A12280" s="12">
        <v>43175</v>
      </c>
      <c r="B12280">
        <v>2018</v>
      </c>
      <c r="C12280">
        <v>3</v>
      </c>
      <c r="D12280" s="11">
        <v>43160</v>
      </c>
      <c r="E12280" t="s">
        <v>2175</v>
      </c>
      <c r="F12280">
        <v>5</v>
      </c>
      <c r="G12280" t="s">
        <v>55</v>
      </c>
      <c r="H12280" t="s">
        <v>46</v>
      </c>
      <c r="I12280" t="s">
        <v>2194</v>
      </c>
      <c r="J12280" s="10">
        <v>2</v>
      </c>
      <c r="K12280" t="b">
        <v>1</v>
      </c>
    </row>
    <row r="12281" spans="1:11">
      <c r="A12281" s="12">
        <v>43175</v>
      </c>
      <c r="B12281">
        <v>2018</v>
      </c>
      <c r="C12281">
        <v>3</v>
      </c>
      <c r="D12281" s="11">
        <v>43160</v>
      </c>
      <c r="E12281" t="s">
        <v>2175</v>
      </c>
      <c r="F12281">
        <v>5</v>
      </c>
      <c r="G12281" t="s">
        <v>55</v>
      </c>
      <c r="H12281" t="s">
        <v>47</v>
      </c>
      <c r="I12281" t="s">
        <v>2195</v>
      </c>
      <c r="J12281" s="10">
        <v>1</v>
      </c>
      <c r="K12281" t="b">
        <v>1</v>
      </c>
    </row>
    <row r="12282" spans="1:11">
      <c r="A12282" s="12">
        <v>43176</v>
      </c>
      <c r="B12282">
        <v>2018</v>
      </c>
      <c r="C12282">
        <v>3</v>
      </c>
      <c r="D12282" s="11">
        <v>43160</v>
      </c>
      <c r="E12282" t="s">
        <v>2175</v>
      </c>
      <c r="F12282">
        <v>6</v>
      </c>
      <c r="G12282" t="s">
        <v>57</v>
      </c>
      <c r="H12282" t="s">
        <v>40</v>
      </c>
      <c r="I12282" t="s">
        <v>2188</v>
      </c>
      <c r="J12282" s="10">
        <v>3.99</v>
      </c>
      <c r="K12282" t="b">
        <v>1</v>
      </c>
    </row>
    <row r="12283" spans="1:11">
      <c r="A12283" s="12">
        <v>43176</v>
      </c>
      <c r="B12283">
        <v>2018</v>
      </c>
      <c r="C12283">
        <v>3</v>
      </c>
      <c r="D12283" s="11">
        <v>43160</v>
      </c>
      <c r="E12283" t="s">
        <v>2175</v>
      </c>
      <c r="F12283">
        <v>6</v>
      </c>
      <c r="G12283" t="s">
        <v>57</v>
      </c>
      <c r="H12283" t="s">
        <v>41</v>
      </c>
      <c r="I12283" t="s">
        <v>2189</v>
      </c>
      <c r="J12283" s="10">
        <v>1.66</v>
      </c>
      <c r="K12283" t="b">
        <v>1</v>
      </c>
    </row>
    <row r="12284" spans="1:11">
      <c r="A12284" s="12">
        <v>43176</v>
      </c>
      <c r="B12284">
        <v>2018</v>
      </c>
      <c r="C12284">
        <v>3</v>
      </c>
      <c r="D12284" s="11">
        <v>43160</v>
      </c>
      <c r="E12284" t="s">
        <v>2175</v>
      </c>
      <c r="F12284">
        <v>6</v>
      </c>
      <c r="G12284" t="s">
        <v>57</v>
      </c>
      <c r="H12284" t="s">
        <v>42</v>
      </c>
      <c r="I12284" t="s">
        <v>2190</v>
      </c>
      <c r="J12284" s="10">
        <v>3.15</v>
      </c>
      <c r="K12284" t="b">
        <v>1</v>
      </c>
    </row>
    <row r="12285" spans="1:11">
      <c r="A12285" s="12">
        <v>43176</v>
      </c>
      <c r="B12285">
        <v>2018</v>
      </c>
      <c r="C12285">
        <v>3</v>
      </c>
      <c r="D12285" s="11">
        <v>43160</v>
      </c>
      <c r="E12285" t="s">
        <v>2175</v>
      </c>
      <c r="F12285">
        <v>6</v>
      </c>
      <c r="G12285" t="s">
        <v>57</v>
      </c>
      <c r="H12285" t="s">
        <v>43</v>
      </c>
      <c r="I12285" t="s">
        <v>2191</v>
      </c>
      <c r="J12285" s="10">
        <v>65</v>
      </c>
      <c r="K12285" t="b">
        <v>1</v>
      </c>
    </row>
    <row r="12286" spans="1:11">
      <c r="A12286" s="12">
        <v>43176</v>
      </c>
      <c r="B12286">
        <v>2018</v>
      </c>
      <c r="C12286">
        <v>3</v>
      </c>
      <c r="D12286" s="11">
        <v>43160</v>
      </c>
      <c r="E12286" t="s">
        <v>2175</v>
      </c>
      <c r="F12286">
        <v>6</v>
      </c>
      <c r="G12286" t="s">
        <v>57</v>
      </c>
      <c r="H12286" t="s">
        <v>44</v>
      </c>
      <c r="I12286" t="s">
        <v>2192</v>
      </c>
      <c r="J12286" s="10">
        <v>11</v>
      </c>
      <c r="K12286" t="b">
        <v>1</v>
      </c>
    </row>
    <row r="12287" spans="1:11">
      <c r="A12287" s="12">
        <v>43176</v>
      </c>
      <c r="B12287">
        <v>2018</v>
      </c>
      <c r="C12287">
        <v>3</v>
      </c>
      <c r="D12287" s="11">
        <v>43160</v>
      </c>
      <c r="E12287" t="s">
        <v>2175</v>
      </c>
      <c r="F12287">
        <v>6</v>
      </c>
      <c r="G12287" t="s">
        <v>57</v>
      </c>
      <c r="H12287" t="s">
        <v>45</v>
      </c>
      <c r="I12287" t="s">
        <v>2193</v>
      </c>
      <c r="J12287" s="10">
        <v>0</v>
      </c>
      <c r="K12287" t="b">
        <v>1</v>
      </c>
    </row>
    <row r="12288" spans="1:11">
      <c r="A12288" s="12">
        <v>43176</v>
      </c>
      <c r="B12288">
        <v>2018</v>
      </c>
      <c r="C12288">
        <v>3</v>
      </c>
      <c r="D12288" s="11">
        <v>43160</v>
      </c>
      <c r="E12288" t="s">
        <v>2175</v>
      </c>
      <c r="F12288">
        <v>6</v>
      </c>
      <c r="G12288" t="s">
        <v>57</v>
      </c>
      <c r="H12288" t="s">
        <v>46</v>
      </c>
      <c r="I12288" t="s">
        <v>2194</v>
      </c>
      <c r="J12288" s="10">
        <v>5</v>
      </c>
      <c r="K12288" t="b">
        <v>1</v>
      </c>
    </row>
    <row r="12289" spans="1:11">
      <c r="A12289" s="12">
        <v>43176</v>
      </c>
      <c r="B12289">
        <v>2018</v>
      </c>
      <c r="C12289">
        <v>3</v>
      </c>
      <c r="D12289" s="11">
        <v>43160</v>
      </c>
      <c r="E12289" t="s">
        <v>2175</v>
      </c>
      <c r="F12289">
        <v>6</v>
      </c>
      <c r="G12289" t="s">
        <v>57</v>
      </c>
      <c r="H12289" t="s">
        <v>47</v>
      </c>
      <c r="I12289" t="s">
        <v>2195</v>
      </c>
      <c r="J12289" s="10">
        <v>4</v>
      </c>
      <c r="K12289" t="b">
        <v>1</v>
      </c>
    </row>
    <row r="12290" spans="1:11">
      <c r="A12290" s="12">
        <v>43177</v>
      </c>
      <c r="B12290">
        <v>2018</v>
      </c>
      <c r="C12290">
        <v>3</v>
      </c>
      <c r="D12290" s="11">
        <v>43160</v>
      </c>
      <c r="E12290" t="s">
        <v>2175</v>
      </c>
      <c r="F12290">
        <v>7</v>
      </c>
      <c r="G12290" t="s">
        <v>59</v>
      </c>
      <c r="H12290" t="s">
        <v>40</v>
      </c>
      <c r="I12290" t="s">
        <v>2188</v>
      </c>
      <c r="J12290" s="10">
        <v>7.33</v>
      </c>
      <c r="K12290" t="b">
        <v>1</v>
      </c>
    </row>
    <row r="12291" spans="1:11">
      <c r="A12291" s="12">
        <v>43177</v>
      </c>
      <c r="B12291">
        <v>2018</v>
      </c>
      <c r="C12291">
        <v>3</v>
      </c>
      <c r="D12291" s="11">
        <v>43160</v>
      </c>
      <c r="E12291" t="s">
        <v>2175</v>
      </c>
      <c r="F12291">
        <v>7</v>
      </c>
      <c r="G12291" t="s">
        <v>59</v>
      </c>
      <c r="H12291" t="s">
        <v>41</v>
      </c>
      <c r="I12291" t="s">
        <v>2189</v>
      </c>
      <c r="J12291" s="10">
        <v>2.929</v>
      </c>
      <c r="K12291" t="b">
        <v>1</v>
      </c>
    </row>
    <row r="12292" spans="1:11">
      <c r="A12292" s="12">
        <v>43177</v>
      </c>
      <c r="B12292">
        <v>2018</v>
      </c>
      <c r="C12292">
        <v>3</v>
      </c>
      <c r="D12292" s="11">
        <v>43160</v>
      </c>
      <c r="E12292" t="s">
        <v>2175</v>
      </c>
      <c r="F12292">
        <v>7</v>
      </c>
      <c r="G12292" t="s">
        <v>59</v>
      </c>
      <c r="H12292" t="s">
        <v>42</v>
      </c>
      <c r="I12292" t="s">
        <v>2190</v>
      </c>
      <c r="J12292" s="10">
        <v>4.3</v>
      </c>
      <c r="K12292" t="b">
        <v>1</v>
      </c>
    </row>
    <row r="12293" spans="1:11">
      <c r="A12293" s="12">
        <v>43177</v>
      </c>
      <c r="B12293">
        <v>2018</v>
      </c>
      <c r="C12293">
        <v>3</v>
      </c>
      <c r="D12293" s="11">
        <v>43160</v>
      </c>
      <c r="E12293" t="s">
        <v>2175</v>
      </c>
      <c r="F12293">
        <v>7</v>
      </c>
      <c r="G12293" t="s">
        <v>59</v>
      </c>
      <c r="H12293" t="s">
        <v>43</v>
      </c>
      <c r="I12293" t="s">
        <v>2191</v>
      </c>
      <c r="J12293" s="10">
        <v>21.5</v>
      </c>
      <c r="K12293" t="b">
        <v>1</v>
      </c>
    </row>
    <row r="12294" spans="1:11">
      <c r="A12294" s="12">
        <v>43177</v>
      </c>
      <c r="B12294">
        <v>2018</v>
      </c>
      <c r="C12294">
        <v>3</v>
      </c>
      <c r="D12294" s="11">
        <v>43160</v>
      </c>
      <c r="E12294" t="s">
        <v>2175</v>
      </c>
      <c r="F12294">
        <v>7</v>
      </c>
      <c r="G12294" t="s">
        <v>59</v>
      </c>
      <c r="H12294" t="s">
        <v>44</v>
      </c>
      <c r="I12294" t="s">
        <v>2192</v>
      </c>
      <c r="J12294" s="10">
        <v>8</v>
      </c>
      <c r="K12294" t="b">
        <v>1</v>
      </c>
    </row>
    <row r="12295" spans="1:11">
      <c r="A12295" s="12">
        <v>43177</v>
      </c>
      <c r="B12295">
        <v>2018</v>
      </c>
      <c r="C12295">
        <v>3</v>
      </c>
      <c r="D12295" s="11">
        <v>43160</v>
      </c>
      <c r="E12295" t="s">
        <v>2175</v>
      </c>
      <c r="F12295">
        <v>7</v>
      </c>
      <c r="G12295" t="s">
        <v>59</v>
      </c>
      <c r="H12295" t="s">
        <v>45</v>
      </c>
      <c r="I12295" t="s">
        <v>2193</v>
      </c>
      <c r="J12295" s="10">
        <v>0</v>
      </c>
      <c r="K12295" t="b">
        <v>1</v>
      </c>
    </row>
    <row r="12296" spans="1:11">
      <c r="A12296" s="12">
        <v>43177</v>
      </c>
      <c r="B12296">
        <v>2018</v>
      </c>
      <c r="C12296">
        <v>3</v>
      </c>
      <c r="D12296" s="11">
        <v>43160</v>
      </c>
      <c r="E12296" t="s">
        <v>2175</v>
      </c>
      <c r="F12296">
        <v>7</v>
      </c>
      <c r="G12296" t="s">
        <v>59</v>
      </c>
      <c r="H12296" t="s">
        <v>46</v>
      </c>
      <c r="I12296" t="s">
        <v>2194</v>
      </c>
      <c r="J12296" s="10">
        <v>2</v>
      </c>
      <c r="K12296" t="b">
        <v>1</v>
      </c>
    </row>
    <row r="12297" spans="1:11">
      <c r="A12297" s="12">
        <v>43177</v>
      </c>
      <c r="B12297">
        <v>2018</v>
      </c>
      <c r="C12297">
        <v>3</v>
      </c>
      <c r="D12297" s="11">
        <v>43160</v>
      </c>
      <c r="E12297" t="s">
        <v>2175</v>
      </c>
      <c r="F12297">
        <v>7</v>
      </c>
      <c r="G12297" t="s">
        <v>59</v>
      </c>
      <c r="H12297" t="s">
        <v>47</v>
      </c>
      <c r="I12297" t="s">
        <v>2195</v>
      </c>
      <c r="J12297" s="10">
        <v>2</v>
      </c>
      <c r="K12297" t="b">
        <v>1</v>
      </c>
    </row>
    <row r="12298" spans="1:11">
      <c r="A12298" s="12">
        <v>43178</v>
      </c>
      <c r="B12298">
        <v>2018</v>
      </c>
      <c r="C12298">
        <v>3</v>
      </c>
      <c r="D12298" s="11">
        <v>43160</v>
      </c>
      <c r="E12298" t="s">
        <v>2175</v>
      </c>
      <c r="F12298">
        <v>1</v>
      </c>
      <c r="G12298" t="s">
        <v>61</v>
      </c>
      <c r="H12298" t="s">
        <v>40</v>
      </c>
      <c r="I12298" t="s">
        <v>2188</v>
      </c>
      <c r="J12298" s="10">
        <v>4.34</v>
      </c>
      <c r="K12298" t="b">
        <v>1</v>
      </c>
    </row>
    <row r="12299" spans="1:11">
      <c r="A12299" s="12">
        <v>43178</v>
      </c>
      <c r="B12299">
        <v>2018</v>
      </c>
      <c r="C12299">
        <v>3</v>
      </c>
      <c r="D12299" s="11">
        <v>43160</v>
      </c>
      <c r="E12299" t="s">
        <v>2175</v>
      </c>
      <c r="F12299">
        <v>1</v>
      </c>
      <c r="G12299" t="s">
        <v>61</v>
      </c>
      <c r="H12299" t="s">
        <v>41</v>
      </c>
      <c r="I12299" t="s">
        <v>2189</v>
      </c>
      <c r="J12299" s="10">
        <v>1</v>
      </c>
      <c r="K12299" t="b">
        <v>1</v>
      </c>
    </row>
    <row r="12300" spans="1:11">
      <c r="A12300" s="12">
        <v>43178</v>
      </c>
      <c r="B12300">
        <v>2018</v>
      </c>
      <c r="C12300">
        <v>3</v>
      </c>
      <c r="D12300" s="11">
        <v>43160</v>
      </c>
      <c r="E12300" t="s">
        <v>2175</v>
      </c>
      <c r="F12300">
        <v>1</v>
      </c>
      <c r="G12300" t="s">
        <v>61</v>
      </c>
      <c r="H12300" t="s">
        <v>42</v>
      </c>
      <c r="I12300" t="s">
        <v>2190</v>
      </c>
      <c r="J12300" s="10">
        <v>0</v>
      </c>
      <c r="K12300" t="b">
        <v>1</v>
      </c>
    </row>
    <row r="12301" spans="1:11">
      <c r="A12301" s="12">
        <v>43178</v>
      </c>
      <c r="B12301">
        <v>2018</v>
      </c>
      <c r="C12301">
        <v>3</v>
      </c>
      <c r="D12301" s="11">
        <v>43160</v>
      </c>
      <c r="E12301" t="s">
        <v>2175</v>
      </c>
      <c r="F12301">
        <v>1</v>
      </c>
      <c r="G12301" t="s">
        <v>61</v>
      </c>
      <c r="H12301" t="s">
        <v>43</v>
      </c>
      <c r="I12301" t="s">
        <v>2191</v>
      </c>
      <c r="J12301" s="10">
        <v>19.6</v>
      </c>
      <c r="K12301" t="b">
        <v>1</v>
      </c>
    </row>
    <row r="12302" spans="1:11">
      <c r="A12302" s="12">
        <v>43178</v>
      </c>
      <c r="B12302">
        <v>2018</v>
      </c>
      <c r="C12302">
        <v>3</v>
      </c>
      <c r="D12302" s="11">
        <v>43160</v>
      </c>
      <c r="E12302" t="s">
        <v>2175</v>
      </c>
      <c r="F12302">
        <v>1</v>
      </c>
      <c r="G12302" t="s">
        <v>61</v>
      </c>
      <c r="H12302" t="s">
        <v>44</v>
      </c>
      <c r="I12302" t="s">
        <v>2192</v>
      </c>
      <c r="J12302" s="10">
        <v>11</v>
      </c>
      <c r="K12302" t="b">
        <v>1</v>
      </c>
    </row>
    <row r="12303" spans="1:11">
      <c r="A12303" s="12">
        <v>43178</v>
      </c>
      <c r="B12303">
        <v>2018</v>
      </c>
      <c r="C12303">
        <v>3</v>
      </c>
      <c r="D12303" s="11">
        <v>43160</v>
      </c>
      <c r="E12303" t="s">
        <v>2175</v>
      </c>
      <c r="F12303">
        <v>1</v>
      </c>
      <c r="G12303" t="s">
        <v>61</v>
      </c>
      <c r="H12303" t="s">
        <v>45</v>
      </c>
      <c r="I12303" t="s">
        <v>2193</v>
      </c>
      <c r="J12303" s="10">
        <v>2</v>
      </c>
      <c r="K12303" t="b">
        <v>1</v>
      </c>
    </row>
    <row r="12304" spans="1:11">
      <c r="A12304" s="12">
        <v>43178</v>
      </c>
      <c r="B12304">
        <v>2018</v>
      </c>
      <c r="C12304">
        <v>3</v>
      </c>
      <c r="D12304" s="11">
        <v>43160</v>
      </c>
      <c r="E12304" t="s">
        <v>2175</v>
      </c>
      <c r="F12304">
        <v>1</v>
      </c>
      <c r="G12304" t="s">
        <v>61</v>
      </c>
      <c r="H12304" t="s">
        <v>46</v>
      </c>
      <c r="I12304" t="s">
        <v>2194</v>
      </c>
      <c r="J12304" s="10">
        <v>18</v>
      </c>
      <c r="K12304" t="b">
        <v>1</v>
      </c>
    </row>
    <row r="12305" spans="1:11">
      <c r="A12305" s="12">
        <v>43178</v>
      </c>
      <c r="B12305">
        <v>2018</v>
      </c>
      <c r="C12305">
        <v>3</v>
      </c>
      <c r="D12305" s="11">
        <v>43160</v>
      </c>
      <c r="E12305" t="s">
        <v>2175</v>
      </c>
      <c r="F12305">
        <v>1</v>
      </c>
      <c r="G12305" t="s">
        <v>61</v>
      </c>
      <c r="H12305" t="s">
        <v>47</v>
      </c>
      <c r="I12305" t="s">
        <v>2195</v>
      </c>
      <c r="J12305" s="10">
        <v>1</v>
      </c>
      <c r="K12305" t="b">
        <v>1</v>
      </c>
    </row>
    <row r="12306" spans="1:11">
      <c r="A12306" s="12">
        <v>43179</v>
      </c>
      <c r="B12306">
        <v>2018</v>
      </c>
      <c r="C12306">
        <v>3</v>
      </c>
      <c r="D12306" s="11">
        <v>43160</v>
      </c>
      <c r="E12306" t="s">
        <v>2175</v>
      </c>
      <c r="F12306">
        <v>2</v>
      </c>
      <c r="G12306" t="s">
        <v>63</v>
      </c>
      <c r="H12306" t="s">
        <v>40</v>
      </c>
      <c r="I12306" t="s">
        <v>2188</v>
      </c>
      <c r="J12306" s="10">
        <v>2.67</v>
      </c>
      <c r="K12306" t="b">
        <v>1</v>
      </c>
    </row>
    <row r="12307" spans="1:11">
      <c r="A12307" s="12">
        <v>43179</v>
      </c>
      <c r="B12307">
        <v>2018</v>
      </c>
      <c r="C12307">
        <v>3</v>
      </c>
      <c r="D12307" s="11">
        <v>43160</v>
      </c>
      <c r="E12307" t="s">
        <v>2175</v>
      </c>
      <c r="F12307">
        <v>2</v>
      </c>
      <c r="G12307" t="s">
        <v>63</v>
      </c>
      <c r="H12307" t="s">
        <v>41</v>
      </c>
      <c r="I12307" t="s">
        <v>2189</v>
      </c>
      <c r="J12307" s="10">
        <v>3.67</v>
      </c>
      <c r="K12307" t="b">
        <v>1</v>
      </c>
    </row>
    <row r="12308" spans="1:11">
      <c r="A12308" s="12">
        <v>43179</v>
      </c>
      <c r="B12308">
        <v>2018</v>
      </c>
      <c r="C12308">
        <v>3</v>
      </c>
      <c r="D12308" s="11">
        <v>43160</v>
      </c>
      <c r="E12308" t="s">
        <v>2175</v>
      </c>
      <c r="F12308">
        <v>2</v>
      </c>
      <c r="G12308" t="s">
        <v>63</v>
      </c>
      <c r="H12308" t="s">
        <v>42</v>
      </c>
      <c r="I12308" t="s">
        <v>2190</v>
      </c>
      <c r="J12308" s="10">
        <v>9</v>
      </c>
      <c r="K12308" t="b">
        <v>1</v>
      </c>
    </row>
    <row r="12309" spans="1:11">
      <c r="A12309" s="12">
        <v>43179</v>
      </c>
      <c r="B12309">
        <v>2018</v>
      </c>
      <c r="C12309">
        <v>3</v>
      </c>
      <c r="D12309" s="11">
        <v>43160</v>
      </c>
      <c r="E12309" t="s">
        <v>2175</v>
      </c>
      <c r="F12309">
        <v>2</v>
      </c>
      <c r="G12309" t="s">
        <v>63</v>
      </c>
      <c r="H12309" t="s">
        <v>43</v>
      </c>
      <c r="I12309" t="s">
        <v>2191</v>
      </c>
      <c r="J12309" s="10">
        <v>48.6</v>
      </c>
      <c r="K12309" t="b">
        <v>1</v>
      </c>
    </row>
    <row r="12310" spans="1:11">
      <c r="A12310" s="12">
        <v>43179</v>
      </c>
      <c r="B12310">
        <v>2018</v>
      </c>
      <c r="C12310">
        <v>3</v>
      </c>
      <c r="D12310" s="11">
        <v>43160</v>
      </c>
      <c r="E12310" t="s">
        <v>2175</v>
      </c>
      <c r="F12310">
        <v>2</v>
      </c>
      <c r="G12310" t="s">
        <v>63</v>
      </c>
      <c r="H12310" t="s">
        <v>44</v>
      </c>
      <c r="I12310" t="s">
        <v>2192</v>
      </c>
      <c r="J12310" s="10">
        <v>7</v>
      </c>
      <c r="K12310" t="b">
        <v>1</v>
      </c>
    </row>
    <row r="12311" spans="1:11">
      <c r="A12311" s="12">
        <v>43179</v>
      </c>
      <c r="B12311">
        <v>2018</v>
      </c>
      <c r="C12311">
        <v>3</v>
      </c>
      <c r="D12311" s="11">
        <v>43160</v>
      </c>
      <c r="E12311" t="s">
        <v>2175</v>
      </c>
      <c r="F12311">
        <v>2</v>
      </c>
      <c r="G12311" t="s">
        <v>63</v>
      </c>
      <c r="H12311" t="s">
        <v>45</v>
      </c>
      <c r="I12311" t="s">
        <v>2193</v>
      </c>
      <c r="J12311" s="10">
        <v>0</v>
      </c>
      <c r="K12311" t="b">
        <v>1</v>
      </c>
    </row>
    <row r="12312" spans="1:11">
      <c r="A12312" s="12">
        <v>43179</v>
      </c>
      <c r="B12312">
        <v>2018</v>
      </c>
      <c r="C12312">
        <v>3</v>
      </c>
      <c r="D12312" s="11">
        <v>43160</v>
      </c>
      <c r="E12312" t="s">
        <v>2175</v>
      </c>
      <c r="F12312">
        <v>2</v>
      </c>
      <c r="G12312" t="s">
        <v>63</v>
      </c>
      <c r="H12312" t="s">
        <v>46</v>
      </c>
      <c r="I12312" t="s">
        <v>2194</v>
      </c>
      <c r="J12312" s="10">
        <v>15</v>
      </c>
      <c r="K12312" t="b">
        <v>1</v>
      </c>
    </row>
    <row r="12313" spans="1:11">
      <c r="A12313" s="12">
        <v>43179</v>
      </c>
      <c r="B12313">
        <v>2018</v>
      </c>
      <c r="C12313">
        <v>3</v>
      </c>
      <c r="D12313" s="11">
        <v>43160</v>
      </c>
      <c r="E12313" t="s">
        <v>2175</v>
      </c>
      <c r="F12313">
        <v>2</v>
      </c>
      <c r="G12313" t="s">
        <v>63</v>
      </c>
      <c r="H12313" t="s">
        <v>47</v>
      </c>
      <c r="I12313" t="s">
        <v>2195</v>
      </c>
      <c r="J12313" s="10">
        <v>5</v>
      </c>
      <c r="K12313" t="b">
        <v>1</v>
      </c>
    </row>
    <row r="12314" spans="1:11">
      <c r="A12314" s="12">
        <v>43180</v>
      </c>
      <c r="B12314">
        <v>2018</v>
      </c>
      <c r="C12314">
        <v>3</v>
      </c>
      <c r="D12314" s="11">
        <v>43160</v>
      </c>
      <c r="E12314" t="s">
        <v>2175</v>
      </c>
      <c r="F12314">
        <v>3</v>
      </c>
      <c r="G12314" t="s">
        <v>65</v>
      </c>
      <c r="H12314" t="s">
        <v>40</v>
      </c>
      <c r="I12314" t="s">
        <v>2188</v>
      </c>
      <c r="J12314" s="10">
        <v>2</v>
      </c>
      <c r="K12314" t="b">
        <v>1</v>
      </c>
    </row>
    <row r="12315" spans="1:11">
      <c r="A12315" s="12">
        <v>43180</v>
      </c>
      <c r="B12315">
        <v>2018</v>
      </c>
      <c r="C12315">
        <v>3</v>
      </c>
      <c r="D12315" s="11">
        <v>43160</v>
      </c>
      <c r="E12315" t="s">
        <v>2175</v>
      </c>
      <c r="F12315">
        <v>3</v>
      </c>
      <c r="G12315" t="s">
        <v>65</v>
      </c>
      <c r="H12315" t="s">
        <v>41</v>
      </c>
      <c r="I12315" t="s">
        <v>2189</v>
      </c>
      <c r="J12315" s="10">
        <v>2</v>
      </c>
      <c r="K12315" t="b">
        <v>1</v>
      </c>
    </row>
    <row r="12316" spans="1:11">
      <c r="A12316" s="12">
        <v>43180</v>
      </c>
      <c r="B12316">
        <v>2018</v>
      </c>
      <c r="C12316">
        <v>3</v>
      </c>
      <c r="D12316" s="11">
        <v>43160</v>
      </c>
      <c r="E12316" t="s">
        <v>2175</v>
      </c>
      <c r="F12316">
        <v>3</v>
      </c>
      <c r="G12316" t="s">
        <v>65</v>
      </c>
      <c r="H12316" t="s">
        <v>42</v>
      </c>
      <c r="I12316" t="s">
        <v>2190</v>
      </c>
      <c r="J12316" s="10">
        <v>2</v>
      </c>
      <c r="K12316" t="b">
        <v>1</v>
      </c>
    </row>
    <row r="12317" spans="1:11">
      <c r="A12317" s="12">
        <v>43180</v>
      </c>
      <c r="B12317">
        <v>2018</v>
      </c>
      <c r="C12317">
        <v>3</v>
      </c>
      <c r="D12317" s="11">
        <v>43160</v>
      </c>
      <c r="E12317" t="s">
        <v>2175</v>
      </c>
      <c r="F12317">
        <v>3</v>
      </c>
      <c r="G12317" t="s">
        <v>65</v>
      </c>
      <c r="H12317" t="s">
        <v>43</v>
      </c>
      <c r="I12317" t="s">
        <v>2191</v>
      </c>
      <c r="J12317" s="10">
        <v>27</v>
      </c>
      <c r="K12317" t="b">
        <v>1</v>
      </c>
    </row>
    <row r="12318" spans="1:11">
      <c r="A12318" s="12">
        <v>43180</v>
      </c>
      <c r="B12318">
        <v>2018</v>
      </c>
      <c r="C12318">
        <v>3</v>
      </c>
      <c r="D12318" s="11">
        <v>43160</v>
      </c>
      <c r="E12318" t="s">
        <v>2175</v>
      </c>
      <c r="F12318">
        <v>3</v>
      </c>
      <c r="G12318" t="s">
        <v>65</v>
      </c>
      <c r="H12318" t="s">
        <v>44</v>
      </c>
      <c r="I12318" t="s">
        <v>2192</v>
      </c>
      <c r="J12318" s="10">
        <v>4</v>
      </c>
      <c r="K12318" t="b">
        <v>1</v>
      </c>
    </row>
    <row r="12319" spans="1:11">
      <c r="A12319" s="12">
        <v>43180</v>
      </c>
      <c r="B12319">
        <v>2018</v>
      </c>
      <c r="C12319">
        <v>3</v>
      </c>
      <c r="D12319" s="11">
        <v>43160</v>
      </c>
      <c r="E12319" t="s">
        <v>2175</v>
      </c>
      <c r="F12319">
        <v>3</v>
      </c>
      <c r="G12319" t="s">
        <v>65</v>
      </c>
      <c r="H12319" t="s">
        <v>45</v>
      </c>
      <c r="I12319" t="s">
        <v>2193</v>
      </c>
      <c r="J12319" s="10">
        <v>0</v>
      </c>
      <c r="K12319" t="b">
        <v>1</v>
      </c>
    </row>
    <row r="12320" spans="1:11">
      <c r="A12320" s="12">
        <v>43180</v>
      </c>
      <c r="B12320">
        <v>2018</v>
      </c>
      <c r="C12320">
        <v>3</v>
      </c>
      <c r="D12320" s="11">
        <v>43160</v>
      </c>
      <c r="E12320" t="s">
        <v>2175</v>
      </c>
      <c r="F12320">
        <v>3</v>
      </c>
      <c r="G12320" t="s">
        <v>65</v>
      </c>
      <c r="H12320" t="s">
        <v>46</v>
      </c>
      <c r="I12320" t="s">
        <v>2194</v>
      </c>
      <c r="J12320" s="10">
        <v>9</v>
      </c>
      <c r="K12320" t="b">
        <v>1</v>
      </c>
    </row>
    <row r="12321" spans="1:11">
      <c r="A12321" s="12">
        <v>43180</v>
      </c>
      <c r="B12321">
        <v>2018</v>
      </c>
      <c r="C12321">
        <v>3</v>
      </c>
      <c r="D12321" s="11">
        <v>43160</v>
      </c>
      <c r="E12321" t="s">
        <v>2175</v>
      </c>
      <c r="F12321">
        <v>3</v>
      </c>
      <c r="G12321" t="s">
        <v>65</v>
      </c>
      <c r="H12321" t="s">
        <v>47</v>
      </c>
      <c r="I12321" t="s">
        <v>2195</v>
      </c>
      <c r="J12321" s="10">
        <v>0</v>
      </c>
      <c r="K12321" t="b">
        <v>1</v>
      </c>
    </row>
    <row r="12322" spans="1:11">
      <c r="A12322" s="12">
        <v>43181</v>
      </c>
      <c r="B12322">
        <v>2018</v>
      </c>
      <c r="C12322">
        <v>3</v>
      </c>
      <c r="D12322" s="11">
        <v>43160</v>
      </c>
      <c r="E12322" t="s">
        <v>2175</v>
      </c>
      <c r="F12322">
        <v>4</v>
      </c>
      <c r="G12322" t="s">
        <v>53</v>
      </c>
      <c r="H12322" t="s">
        <v>40</v>
      </c>
      <c r="I12322" t="s">
        <v>2188</v>
      </c>
      <c r="J12322" s="10">
        <v>3</v>
      </c>
      <c r="K12322" t="b">
        <v>1</v>
      </c>
    </row>
    <row r="12323" spans="1:11">
      <c r="A12323" s="12">
        <v>43181</v>
      </c>
      <c r="B12323">
        <v>2018</v>
      </c>
      <c r="C12323">
        <v>3</v>
      </c>
      <c r="D12323" s="11">
        <v>43160</v>
      </c>
      <c r="E12323" t="s">
        <v>2175</v>
      </c>
      <c r="F12323">
        <v>4</v>
      </c>
      <c r="G12323" t="s">
        <v>53</v>
      </c>
      <c r="H12323" t="s">
        <v>41</v>
      </c>
      <c r="I12323" t="s">
        <v>2189</v>
      </c>
      <c r="J12323" s="10">
        <v>3.67</v>
      </c>
      <c r="K12323" t="b">
        <v>1</v>
      </c>
    </row>
    <row r="12324" spans="1:11">
      <c r="A12324" s="12">
        <v>43181</v>
      </c>
      <c r="B12324">
        <v>2018</v>
      </c>
      <c r="C12324">
        <v>3</v>
      </c>
      <c r="D12324" s="11">
        <v>43160</v>
      </c>
      <c r="E12324" t="s">
        <v>2175</v>
      </c>
      <c r="F12324">
        <v>4</v>
      </c>
      <c r="G12324" t="s">
        <v>53</v>
      </c>
      <c r="H12324" t="s">
        <v>42</v>
      </c>
      <c r="I12324" t="s">
        <v>2190</v>
      </c>
      <c r="J12324" s="10">
        <v>1.55</v>
      </c>
      <c r="K12324" t="b">
        <v>1</v>
      </c>
    </row>
    <row r="12325" spans="1:11">
      <c r="A12325" s="12">
        <v>43181</v>
      </c>
      <c r="B12325">
        <v>2018</v>
      </c>
      <c r="C12325">
        <v>3</v>
      </c>
      <c r="D12325" s="11">
        <v>43160</v>
      </c>
      <c r="E12325" t="s">
        <v>2175</v>
      </c>
      <c r="F12325">
        <v>4</v>
      </c>
      <c r="G12325" t="s">
        <v>53</v>
      </c>
      <c r="H12325" t="s">
        <v>43</v>
      </c>
      <c r="I12325" t="s">
        <v>2191</v>
      </c>
      <c r="J12325" s="10">
        <v>24.6</v>
      </c>
      <c r="K12325" t="b">
        <v>1</v>
      </c>
    </row>
    <row r="12326" spans="1:11">
      <c r="A12326" s="12">
        <v>43181</v>
      </c>
      <c r="B12326">
        <v>2018</v>
      </c>
      <c r="C12326">
        <v>3</v>
      </c>
      <c r="D12326" s="11">
        <v>43160</v>
      </c>
      <c r="E12326" t="s">
        <v>2175</v>
      </c>
      <c r="F12326">
        <v>4</v>
      </c>
      <c r="G12326" t="s">
        <v>53</v>
      </c>
      <c r="H12326" t="s">
        <v>44</v>
      </c>
      <c r="I12326" t="s">
        <v>2192</v>
      </c>
      <c r="J12326" s="10">
        <v>4</v>
      </c>
      <c r="K12326" t="b">
        <v>1</v>
      </c>
    </row>
    <row r="12327" spans="1:11">
      <c r="A12327" s="12">
        <v>43181</v>
      </c>
      <c r="B12327">
        <v>2018</v>
      </c>
      <c r="C12327">
        <v>3</v>
      </c>
      <c r="D12327" s="11">
        <v>43160</v>
      </c>
      <c r="E12327" t="s">
        <v>2175</v>
      </c>
      <c r="F12327">
        <v>4</v>
      </c>
      <c r="G12327" t="s">
        <v>53</v>
      </c>
      <c r="H12327" t="s">
        <v>45</v>
      </c>
      <c r="I12327" t="s">
        <v>2193</v>
      </c>
      <c r="J12327" s="10">
        <v>0</v>
      </c>
      <c r="K12327" t="b">
        <v>1</v>
      </c>
    </row>
    <row r="12328" spans="1:11">
      <c r="A12328" s="12">
        <v>43181</v>
      </c>
      <c r="B12328">
        <v>2018</v>
      </c>
      <c r="C12328">
        <v>3</v>
      </c>
      <c r="D12328" s="11">
        <v>43160</v>
      </c>
      <c r="E12328" t="s">
        <v>2175</v>
      </c>
      <c r="F12328">
        <v>4</v>
      </c>
      <c r="G12328" t="s">
        <v>53</v>
      </c>
      <c r="H12328" t="s">
        <v>46</v>
      </c>
      <c r="I12328" t="s">
        <v>2194</v>
      </c>
      <c r="J12328" s="10">
        <v>0</v>
      </c>
      <c r="K12328" t="b">
        <v>1</v>
      </c>
    </row>
    <row r="12329" spans="1:11">
      <c r="A12329" s="12">
        <v>43181</v>
      </c>
      <c r="B12329">
        <v>2018</v>
      </c>
      <c r="C12329">
        <v>3</v>
      </c>
      <c r="D12329" s="11">
        <v>43160</v>
      </c>
      <c r="E12329" t="s">
        <v>2175</v>
      </c>
      <c r="F12329">
        <v>4</v>
      </c>
      <c r="G12329" t="s">
        <v>53</v>
      </c>
      <c r="H12329" t="s">
        <v>47</v>
      </c>
      <c r="I12329" t="s">
        <v>2195</v>
      </c>
      <c r="J12329" s="10">
        <v>1</v>
      </c>
      <c r="K12329" t="b">
        <v>1</v>
      </c>
    </row>
    <row r="12330" spans="1:11">
      <c r="A12330" s="12">
        <v>43182</v>
      </c>
      <c r="B12330">
        <v>2018</v>
      </c>
      <c r="C12330">
        <v>3</v>
      </c>
      <c r="D12330" s="11">
        <v>43160</v>
      </c>
      <c r="E12330" t="s">
        <v>2175</v>
      </c>
      <c r="F12330">
        <v>5</v>
      </c>
      <c r="G12330" t="s">
        <v>55</v>
      </c>
      <c r="H12330" t="s">
        <v>40</v>
      </c>
      <c r="I12330" t="s">
        <v>2188</v>
      </c>
      <c r="J12330" s="10">
        <v>5</v>
      </c>
      <c r="K12330" t="b">
        <v>1</v>
      </c>
    </row>
    <row r="12331" spans="1:11">
      <c r="A12331" s="12">
        <v>43182</v>
      </c>
      <c r="B12331">
        <v>2018</v>
      </c>
      <c r="C12331">
        <v>3</v>
      </c>
      <c r="D12331" s="11">
        <v>43160</v>
      </c>
      <c r="E12331" t="s">
        <v>2175</v>
      </c>
      <c r="F12331">
        <v>5</v>
      </c>
      <c r="G12331" t="s">
        <v>55</v>
      </c>
      <c r="H12331" t="s">
        <v>41</v>
      </c>
      <c r="I12331" t="s">
        <v>2189</v>
      </c>
      <c r="J12331" s="10">
        <v>5.396</v>
      </c>
      <c r="K12331" t="b">
        <v>1</v>
      </c>
    </row>
    <row r="12332" spans="1:11">
      <c r="A12332" s="12">
        <v>43182</v>
      </c>
      <c r="B12332">
        <v>2018</v>
      </c>
      <c r="C12332">
        <v>3</v>
      </c>
      <c r="D12332" s="11">
        <v>43160</v>
      </c>
      <c r="E12332" t="s">
        <v>2175</v>
      </c>
      <c r="F12332">
        <v>5</v>
      </c>
      <c r="G12332" t="s">
        <v>55</v>
      </c>
      <c r="H12332" t="s">
        <v>42</v>
      </c>
      <c r="I12332" t="s">
        <v>2190</v>
      </c>
      <c r="J12332" s="10">
        <v>5.15</v>
      </c>
      <c r="K12332" t="b">
        <v>1</v>
      </c>
    </row>
    <row r="12333" spans="1:11">
      <c r="A12333" s="12">
        <v>43182</v>
      </c>
      <c r="B12333">
        <v>2018</v>
      </c>
      <c r="C12333">
        <v>3</v>
      </c>
      <c r="D12333" s="11">
        <v>43160</v>
      </c>
      <c r="E12333" t="s">
        <v>2175</v>
      </c>
      <c r="F12333">
        <v>5</v>
      </c>
      <c r="G12333" t="s">
        <v>55</v>
      </c>
      <c r="H12333" t="s">
        <v>43</v>
      </c>
      <c r="I12333" t="s">
        <v>2191</v>
      </c>
      <c r="J12333" s="10">
        <v>34</v>
      </c>
      <c r="K12333" t="b">
        <v>1</v>
      </c>
    </row>
    <row r="12334" spans="1:11">
      <c r="A12334" s="12">
        <v>43182</v>
      </c>
      <c r="B12334">
        <v>2018</v>
      </c>
      <c r="C12334">
        <v>3</v>
      </c>
      <c r="D12334" s="11">
        <v>43160</v>
      </c>
      <c r="E12334" t="s">
        <v>2175</v>
      </c>
      <c r="F12334">
        <v>5</v>
      </c>
      <c r="G12334" t="s">
        <v>55</v>
      </c>
      <c r="H12334" t="s">
        <v>44</v>
      </c>
      <c r="I12334" t="s">
        <v>2192</v>
      </c>
      <c r="J12334" s="10">
        <v>8</v>
      </c>
      <c r="K12334" t="b">
        <v>1</v>
      </c>
    </row>
    <row r="12335" spans="1:11">
      <c r="A12335" s="12">
        <v>43182</v>
      </c>
      <c r="B12335">
        <v>2018</v>
      </c>
      <c r="C12335">
        <v>3</v>
      </c>
      <c r="D12335" s="11">
        <v>43160</v>
      </c>
      <c r="E12335" t="s">
        <v>2175</v>
      </c>
      <c r="F12335">
        <v>5</v>
      </c>
      <c r="G12335" t="s">
        <v>55</v>
      </c>
      <c r="H12335" t="s">
        <v>45</v>
      </c>
      <c r="I12335" t="s">
        <v>2193</v>
      </c>
      <c r="J12335" s="10">
        <v>0</v>
      </c>
      <c r="K12335" t="b">
        <v>1</v>
      </c>
    </row>
    <row r="12336" spans="1:11">
      <c r="A12336" s="12">
        <v>43182</v>
      </c>
      <c r="B12336">
        <v>2018</v>
      </c>
      <c r="C12336">
        <v>3</v>
      </c>
      <c r="D12336" s="11">
        <v>43160</v>
      </c>
      <c r="E12336" t="s">
        <v>2175</v>
      </c>
      <c r="F12336">
        <v>5</v>
      </c>
      <c r="G12336" t="s">
        <v>55</v>
      </c>
      <c r="H12336" t="s">
        <v>46</v>
      </c>
      <c r="I12336" t="s">
        <v>2194</v>
      </c>
      <c r="J12336" s="10">
        <v>11</v>
      </c>
      <c r="K12336" t="b">
        <v>1</v>
      </c>
    </row>
    <row r="12337" spans="1:11">
      <c r="A12337" s="12">
        <v>43182</v>
      </c>
      <c r="B12337">
        <v>2018</v>
      </c>
      <c r="C12337">
        <v>3</v>
      </c>
      <c r="D12337" s="11">
        <v>43160</v>
      </c>
      <c r="E12337" t="s">
        <v>2175</v>
      </c>
      <c r="F12337">
        <v>5</v>
      </c>
      <c r="G12337" t="s">
        <v>55</v>
      </c>
      <c r="H12337" t="s">
        <v>47</v>
      </c>
      <c r="I12337" t="s">
        <v>2195</v>
      </c>
      <c r="J12337" s="10">
        <v>8.5</v>
      </c>
      <c r="K12337" t="b">
        <v>1</v>
      </c>
    </row>
    <row r="12338" spans="1:11">
      <c r="A12338" s="12">
        <v>43183</v>
      </c>
      <c r="B12338">
        <v>2018</v>
      </c>
      <c r="C12338">
        <v>3</v>
      </c>
      <c r="D12338" s="11">
        <v>43160</v>
      </c>
      <c r="E12338" t="s">
        <v>2175</v>
      </c>
      <c r="F12338">
        <v>6</v>
      </c>
      <c r="G12338" t="s">
        <v>57</v>
      </c>
      <c r="H12338" t="s">
        <v>40</v>
      </c>
      <c r="I12338" t="s">
        <v>2188</v>
      </c>
      <c r="J12338" s="10">
        <v>7</v>
      </c>
      <c r="K12338" t="b">
        <v>1</v>
      </c>
    </row>
    <row r="12339" spans="1:11">
      <c r="A12339" s="12">
        <v>43183</v>
      </c>
      <c r="B12339">
        <v>2018</v>
      </c>
      <c r="C12339">
        <v>3</v>
      </c>
      <c r="D12339" s="11">
        <v>43160</v>
      </c>
      <c r="E12339" t="s">
        <v>2175</v>
      </c>
      <c r="F12339">
        <v>6</v>
      </c>
      <c r="G12339" t="s">
        <v>57</v>
      </c>
      <c r="H12339" t="s">
        <v>41</v>
      </c>
      <c r="I12339" t="s">
        <v>2189</v>
      </c>
      <c r="J12339" s="10">
        <v>2.34</v>
      </c>
      <c r="K12339" t="b">
        <v>1</v>
      </c>
    </row>
    <row r="12340" spans="1:11">
      <c r="A12340" s="12">
        <v>43183</v>
      </c>
      <c r="B12340">
        <v>2018</v>
      </c>
      <c r="C12340">
        <v>3</v>
      </c>
      <c r="D12340" s="11">
        <v>43160</v>
      </c>
      <c r="E12340" t="s">
        <v>2175</v>
      </c>
      <c r="F12340">
        <v>6</v>
      </c>
      <c r="G12340" t="s">
        <v>57</v>
      </c>
      <c r="H12340" t="s">
        <v>42</v>
      </c>
      <c r="I12340" t="s">
        <v>2190</v>
      </c>
      <c r="J12340" s="10">
        <v>5</v>
      </c>
      <c r="K12340" t="b">
        <v>1</v>
      </c>
    </row>
    <row r="12341" spans="1:11">
      <c r="A12341" s="12">
        <v>43183</v>
      </c>
      <c r="B12341">
        <v>2018</v>
      </c>
      <c r="C12341">
        <v>3</v>
      </c>
      <c r="D12341" s="11">
        <v>43160</v>
      </c>
      <c r="E12341" t="s">
        <v>2175</v>
      </c>
      <c r="F12341">
        <v>6</v>
      </c>
      <c r="G12341" t="s">
        <v>57</v>
      </c>
      <c r="H12341" t="s">
        <v>43</v>
      </c>
      <c r="I12341" t="s">
        <v>2191</v>
      </c>
      <c r="J12341" s="10">
        <v>40</v>
      </c>
      <c r="K12341" t="b">
        <v>1</v>
      </c>
    </row>
    <row r="12342" spans="1:11">
      <c r="A12342" s="12">
        <v>43183</v>
      </c>
      <c r="B12342">
        <v>2018</v>
      </c>
      <c r="C12342">
        <v>3</v>
      </c>
      <c r="D12342" s="11">
        <v>43160</v>
      </c>
      <c r="E12342" t="s">
        <v>2175</v>
      </c>
      <c r="F12342">
        <v>6</v>
      </c>
      <c r="G12342" t="s">
        <v>57</v>
      </c>
      <c r="H12342" t="s">
        <v>44</v>
      </c>
      <c r="I12342" t="s">
        <v>2192</v>
      </c>
      <c r="J12342" s="10">
        <v>7</v>
      </c>
      <c r="K12342" t="b">
        <v>1</v>
      </c>
    </row>
    <row r="12343" spans="1:11">
      <c r="A12343" s="12">
        <v>43183</v>
      </c>
      <c r="B12343">
        <v>2018</v>
      </c>
      <c r="C12343">
        <v>3</v>
      </c>
      <c r="D12343" s="11">
        <v>43160</v>
      </c>
      <c r="E12343" t="s">
        <v>2175</v>
      </c>
      <c r="F12343">
        <v>6</v>
      </c>
      <c r="G12343" t="s">
        <v>57</v>
      </c>
      <c r="H12343" t="s">
        <v>45</v>
      </c>
      <c r="I12343" t="s">
        <v>2193</v>
      </c>
      <c r="J12343" s="10">
        <v>1</v>
      </c>
      <c r="K12343" t="b">
        <v>1</v>
      </c>
    </row>
    <row r="12344" spans="1:11">
      <c r="A12344" s="12">
        <v>43183</v>
      </c>
      <c r="B12344">
        <v>2018</v>
      </c>
      <c r="C12344">
        <v>3</v>
      </c>
      <c r="D12344" s="11">
        <v>43160</v>
      </c>
      <c r="E12344" t="s">
        <v>2175</v>
      </c>
      <c r="F12344">
        <v>6</v>
      </c>
      <c r="G12344" t="s">
        <v>57</v>
      </c>
      <c r="H12344" t="s">
        <v>46</v>
      </c>
      <c r="I12344" t="s">
        <v>2194</v>
      </c>
      <c r="J12344" s="10">
        <v>2</v>
      </c>
      <c r="K12344" t="b">
        <v>1</v>
      </c>
    </row>
    <row r="12345" spans="1:11">
      <c r="A12345" s="12">
        <v>43183</v>
      </c>
      <c r="B12345">
        <v>2018</v>
      </c>
      <c r="C12345">
        <v>3</v>
      </c>
      <c r="D12345" s="11">
        <v>43160</v>
      </c>
      <c r="E12345" t="s">
        <v>2175</v>
      </c>
      <c r="F12345">
        <v>6</v>
      </c>
      <c r="G12345" t="s">
        <v>57</v>
      </c>
      <c r="H12345" t="s">
        <v>47</v>
      </c>
      <c r="I12345" t="s">
        <v>2195</v>
      </c>
      <c r="J12345" s="10">
        <v>0</v>
      </c>
      <c r="K12345" t="b">
        <v>1</v>
      </c>
    </row>
    <row r="12346" spans="1:11">
      <c r="A12346" s="12">
        <v>43184</v>
      </c>
      <c r="B12346">
        <v>2018</v>
      </c>
      <c r="C12346">
        <v>3</v>
      </c>
      <c r="D12346" s="11">
        <v>43160</v>
      </c>
      <c r="E12346" t="s">
        <v>2175</v>
      </c>
      <c r="F12346">
        <v>7</v>
      </c>
      <c r="G12346" t="s">
        <v>59</v>
      </c>
      <c r="H12346" t="s">
        <v>40</v>
      </c>
      <c r="I12346" t="s">
        <v>2188</v>
      </c>
      <c r="J12346" s="10">
        <v>4</v>
      </c>
      <c r="K12346" t="b">
        <v>1</v>
      </c>
    </row>
    <row r="12347" spans="1:11">
      <c r="A12347" s="12">
        <v>43184</v>
      </c>
      <c r="B12347">
        <v>2018</v>
      </c>
      <c r="C12347">
        <v>3</v>
      </c>
      <c r="D12347" s="11">
        <v>43160</v>
      </c>
      <c r="E12347" t="s">
        <v>2175</v>
      </c>
      <c r="F12347">
        <v>7</v>
      </c>
      <c r="G12347" t="s">
        <v>59</v>
      </c>
      <c r="H12347" t="s">
        <v>41</v>
      </c>
      <c r="I12347" t="s">
        <v>2189</v>
      </c>
      <c r="J12347" s="10">
        <v>2.66</v>
      </c>
      <c r="K12347" t="b">
        <v>1</v>
      </c>
    </row>
    <row r="12348" spans="1:11">
      <c r="A12348" s="12">
        <v>43184</v>
      </c>
      <c r="B12348">
        <v>2018</v>
      </c>
      <c r="C12348">
        <v>3</v>
      </c>
      <c r="D12348" s="11">
        <v>43160</v>
      </c>
      <c r="E12348" t="s">
        <v>2175</v>
      </c>
      <c r="F12348">
        <v>7</v>
      </c>
      <c r="G12348" t="s">
        <v>59</v>
      </c>
      <c r="H12348" t="s">
        <v>42</v>
      </c>
      <c r="I12348" t="s">
        <v>2190</v>
      </c>
      <c r="J12348" s="10">
        <v>3.2</v>
      </c>
      <c r="K12348" t="b">
        <v>1</v>
      </c>
    </row>
    <row r="12349" spans="1:11">
      <c r="A12349" s="12">
        <v>43184</v>
      </c>
      <c r="B12349">
        <v>2018</v>
      </c>
      <c r="C12349">
        <v>3</v>
      </c>
      <c r="D12349" s="11">
        <v>43160</v>
      </c>
      <c r="E12349" t="s">
        <v>2175</v>
      </c>
      <c r="F12349">
        <v>7</v>
      </c>
      <c r="G12349" t="s">
        <v>59</v>
      </c>
      <c r="H12349" t="s">
        <v>43</v>
      </c>
      <c r="I12349" t="s">
        <v>2191</v>
      </c>
      <c r="J12349" s="10">
        <v>47.312</v>
      </c>
      <c r="K12349" t="b">
        <v>1</v>
      </c>
    </row>
    <row r="12350" spans="1:11">
      <c r="A12350" s="12">
        <v>43184</v>
      </c>
      <c r="B12350">
        <v>2018</v>
      </c>
      <c r="C12350">
        <v>3</v>
      </c>
      <c r="D12350" s="11">
        <v>43160</v>
      </c>
      <c r="E12350" t="s">
        <v>2175</v>
      </c>
      <c r="F12350">
        <v>7</v>
      </c>
      <c r="G12350" t="s">
        <v>59</v>
      </c>
      <c r="H12350" t="s">
        <v>44</v>
      </c>
      <c r="I12350" t="s">
        <v>2192</v>
      </c>
      <c r="J12350" s="10">
        <v>9</v>
      </c>
      <c r="K12350" t="b">
        <v>1</v>
      </c>
    </row>
    <row r="12351" spans="1:11">
      <c r="A12351" s="12">
        <v>43184</v>
      </c>
      <c r="B12351">
        <v>2018</v>
      </c>
      <c r="C12351">
        <v>3</v>
      </c>
      <c r="D12351" s="11">
        <v>43160</v>
      </c>
      <c r="E12351" t="s">
        <v>2175</v>
      </c>
      <c r="F12351">
        <v>7</v>
      </c>
      <c r="G12351" t="s">
        <v>59</v>
      </c>
      <c r="H12351" t="s">
        <v>45</v>
      </c>
      <c r="I12351" t="s">
        <v>2193</v>
      </c>
      <c r="J12351" s="10">
        <v>0</v>
      </c>
      <c r="K12351" t="b">
        <v>1</v>
      </c>
    </row>
    <row r="12352" spans="1:11">
      <c r="A12352" s="12">
        <v>43184</v>
      </c>
      <c r="B12352">
        <v>2018</v>
      </c>
      <c r="C12352">
        <v>3</v>
      </c>
      <c r="D12352" s="11">
        <v>43160</v>
      </c>
      <c r="E12352" t="s">
        <v>2175</v>
      </c>
      <c r="F12352">
        <v>7</v>
      </c>
      <c r="G12352" t="s">
        <v>59</v>
      </c>
      <c r="H12352" t="s">
        <v>46</v>
      </c>
      <c r="I12352" t="s">
        <v>2194</v>
      </c>
      <c r="J12352" s="10">
        <v>3</v>
      </c>
      <c r="K12352" t="b">
        <v>1</v>
      </c>
    </row>
    <row r="12353" spans="1:11">
      <c r="A12353" s="12">
        <v>43184</v>
      </c>
      <c r="B12353">
        <v>2018</v>
      </c>
      <c r="C12353">
        <v>3</v>
      </c>
      <c r="D12353" s="11">
        <v>43160</v>
      </c>
      <c r="E12353" t="s">
        <v>2175</v>
      </c>
      <c r="F12353">
        <v>7</v>
      </c>
      <c r="G12353" t="s">
        <v>59</v>
      </c>
      <c r="H12353" t="s">
        <v>47</v>
      </c>
      <c r="I12353" t="s">
        <v>2195</v>
      </c>
      <c r="J12353" s="10">
        <v>2</v>
      </c>
      <c r="K12353" t="b">
        <v>1</v>
      </c>
    </row>
    <row r="12354" spans="1:11">
      <c r="A12354" s="12">
        <v>43185</v>
      </c>
      <c r="B12354">
        <v>2018</v>
      </c>
      <c r="C12354">
        <v>3</v>
      </c>
      <c r="D12354" s="11">
        <v>43160</v>
      </c>
      <c r="E12354" t="s">
        <v>2175</v>
      </c>
      <c r="F12354">
        <v>1</v>
      </c>
      <c r="G12354" t="s">
        <v>61</v>
      </c>
      <c r="H12354" t="s">
        <v>40</v>
      </c>
      <c r="I12354" t="s">
        <v>2188</v>
      </c>
      <c r="J12354" s="10">
        <v>5</v>
      </c>
      <c r="K12354" t="b">
        <v>1</v>
      </c>
    </row>
    <row r="12355" spans="1:11">
      <c r="A12355" s="12">
        <v>43185</v>
      </c>
      <c r="B12355">
        <v>2018</v>
      </c>
      <c r="C12355">
        <v>3</v>
      </c>
      <c r="D12355" s="11">
        <v>43160</v>
      </c>
      <c r="E12355" t="s">
        <v>2175</v>
      </c>
      <c r="F12355">
        <v>1</v>
      </c>
      <c r="G12355" t="s">
        <v>61</v>
      </c>
      <c r="H12355" t="s">
        <v>41</v>
      </c>
      <c r="I12355" t="s">
        <v>2189</v>
      </c>
      <c r="J12355" s="10">
        <v>9.66</v>
      </c>
      <c r="K12355" t="b">
        <v>1</v>
      </c>
    </row>
    <row r="12356" spans="1:11">
      <c r="A12356" s="12">
        <v>43185</v>
      </c>
      <c r="B12356">
        <v>2018</v>
      </c>
      <c r="C12356">
        <v>3</v>
      </c>
      <c r="D12356" s="11">
        <v>43160</v>
      </c>
      <c r="E12356" t="s">
        <v>2175</v>
      </c>
      <c r="F12356">
        <v>1</v>
      </c>
      <c r="G12356" t="s">
        <v>61</v>
      </c>
      <c r="H12356" t="s">
        <v>42</v>
      </c>
      <c r="I12356" t="s">
        <v>2190</v>
      </c>
      <c r="J12356" s="10">
        <v>0.2</v>
      </c>
      <c r="K12356" t="b">
        <v>1</v>
      </c>
    </row>
    <row r="12357" spans="1:11">
      <c r="A12357" s="12">
        <v>43185</v>
      </c>
      <c r="B12357">
        <v>2018</v>
      </c>
      <c r="C12357">
        <v>3</v>
      </c>
      <c r="D12357" s="11">
        <v>43160</v>
      </c>
      <c r="E12357" t="s">
        <v>2175</v>
      </c>
      <c r="F12357">
        <v>1</v>
      </c>
      <c r="G12357" t="s">
        <v>61</v>
      </c>
      <c r="H12357" t="s">
        <v>43</v>
      </c>
      <c r="I12357" t="s">
        <v>2191</v>
      </c>
      <c r="J12357" s="10">
        <v>27.6</v>
      </c>
      <c r="K12357" t="b">
        <v>1</v>
      </c>
    </row>
    <row r="12358" spans="1:11">
      <c r="A12358" s="12">
        <v>43185</v>
      </c>
      <c r="B12358">
        <v>2018</v>
      </c>
      <c r="C12358">
        <v>3</v>
      </c>
      <c r="D12358" s="11">
        <v>43160</v>
      </c>
      <c r="E12358" t="s">
        <v>2175</v>
      </c>
      <c r="F12358">
        <v>1</v>
      </c>
      <c r="G12358" t="s">
        <v>61</v>
      </c>
      <c r="H12358" t="s">
        <v>44</v>
      </c>
      <c r="I12358" t="s">
        <v>2192</v>
      </c>
      <c r="J12358" s="10">
        <v>15</v>
      </c>
      <c r="K12358" t="b">
        <v>1</v>
      </c>
    </row>
    <row r="12359" spans="1:11">
      <c r="A12359" s="12">
        <v>43185</v>
      </c>
      <c r="B12359">
        <v>2018</v>
      </c>
      <c r="C12359">
        <v>3</v>
      </c>
      <c r="D12359" s="11">
        <v>43160</v>
      </c>
      <c r="E12359" t="s">
        <v>2175</v>
      </c>
      <c r="F12359">
        <v>1</v>
      </c>
      <c r="G12359" t="s">
        <v>61</v>
      </c>
      <c r="H12359" t="s">
        <v>45</v>
      </c>
      <c r="I12359" t="s">
        <v>2193</v>
      </c>
      <c r="J12359" s="10">
        <v>4</v>
      </c>
      <c r="K12359" t="b">
        <v>1</v>
      </c>
    </row>
    <row r="12360" spans="1:11">
      <c r="A12360" s="12">
        <v>43185</v>
      </c>
      <c r="B12360">
        <v>2018</v>
      </c>
      <c r="C12360">
        <v>3</v>
      </c>
      <c r="D12360" s="11">
        <v>43160</v>
      </c>
      <c r="E12360" t="s">
        <v>2175</v>
      </c>
      <c r="F12360">
        <v>1</v>
      </c>
      <c r="G12360" t="s">
        <v>61</v>
      </c>
      <c r="H12360" t="s">
        <v>46</v>
      </c>
      <c r="I12360" t="s">
        <v>2194</v>
      </c>
      <c r="J12360" s="10">
        <v>5</v>
      </c>
      <c r="K12360" t="b">
        <v>1</v>
      </c>
    </row>
    <row r="12361" spans="1:11">
      <c r="A12361" s="12">
        <v>43185</v>
      </c>
      <c r="B12361">
        <v>2018</v>
      </c>
      <c r="C12361">
        <v>3</v>
      </c>
      <c r="D12361" s="11">
        <v>43160</v>
      </c>
      <c r="E12361" t="s">
        <v>2175</v>
      </c>
      <c r="F12361">
        <v>1</v>
      </c>
      <c r="G12361" t="s">
        <v>61</v>
      </c>
      <c r="H12361" t="s">
        <v>47</v>
      </c>
      <c r="I12361" t="s">
        <v>2195</v>
      </c>
      <c r="J12361" s="10">
        <v>3.3</v>
      </c>
      <c r="K12361" t="b">
        <v>1</v>
      </c>
    </row>
    <row r="12362" spans="1:11">
      <c r="A12362" s="12">
        <v>43186</v>
      </c>
      <c r="B12362">
        <v>2018</v>
      </c>
      <c r="C12362">
        <v>3</v>
      </c>
      <c r="D12362" s="11">
        <v>43160</v>
      </c>
      <c r="E12362" t="s">
        <v>2175</v>
      </c>
      <c r="F12362">
        <v>2</v>
      </c>
      <c r="G12362" t="s">
        <v>63</v>
      </c>
      <c r="H12362" t="s">
        <v>40</v>
      </c>
      <c r="I12362" t="s">
        <v>2188</v>
      </c>
      <c r="J12362" s="10">
        <v>4.34</v>
      </c>
      <c r="K12362" t="b">
        <v>1</v>
      </c>
    </row>
    <row r="12363" spans="1:11">
      <c r="A12363" s="12">
        <v>43186</v>
      </c>
      <c r="B12363">
        <v>2018</v>
      </c>
      <c r="C12363">
        <v>3</v>
      </c>
      <c r="D12363" s="11">
        <v>43160</v>
      </c>
      <c r="E12363" t="s">
        <v>2175</v>
      </c>
      <c r="F12363">
        <v>2</v>
      </c>
      <c r="G12363" t="s">
        <v>63</v>
      </c>
      <c r="H12363" t="s">
        <v>41</v>
      </c>
      <c r="I12363" t="s">
        <v>2189</v>
      </c>
      <c r="J12363" s="10">
        <v>3.33</v>
      </c>
      <c r="K12363" t="b">
        <v>1</v>
      </c>
    </row>
    <row r="12364" spans="1:11">
      <c r="A12364" s="12">
        <v>43186</v>
      </c>
      <c r="B12364">
        <v>2018</v>
      </c>
      <c r="C12364">
        <v>3</v>
      </c>
      <c r="D12364" s="11">
        <v>43160</v>
      </c>
      <c r="E12364" t="s">
        <v>2175</v>
      </c>
      <c r="F12364">
        <v>2</v>
      </c>
      <c r="G12364" t="s">
        <v>63</v>
      </c>
      <c r="H12364" t="s">
        <v>42</v>
      </c>
      <c r="I12364" t="s">
        <v>2190</v>
      </c>
      <c r="J12364" s="10">
        <v>5.1</v>
      </c>
      <c r="K12364" t="b">
        <v>1</v>
      </c>
    </row>
    <row r="12365" spans="1:11">
      <c r="A12365" s="12">
        <v>43186</v>
      </c>
      <c r="B12365">
        <v>2018</v>
      </c>
      <c r="C12365">
        <v>3</v>
      </c>
      <c r="D12365" s="11">
        <v>43160</v>
      </c>
      <c r="E12365" t="s">
        <v>2175</v>
      </c>
      <c r="F12365">
        <v>2</v>
      </c>
      <c r="G12365" t="s">
        <v>63</v>
      </c>
      <c r="H12365" t="s">
        <v>43</v>
      </c>
      <c r="I12365" t="s">
        <v>2191</v>
      </c>
      <c r="J12365" s="10">
        <v>28</v>
      </c>
      <c r="K12365" t="b">
        <v>1</v>
      </c>
    </row>
    <row r="12366" spans="1:11">
      <c r="A12366" s="12">
        <v>43186</v>
      </c>
      <c r="B12366">
        <v>2018</v>
      </c>
      <c r="C12366">
        <v>3</v>
      </c>
      <c r="D12366" s="11">
        <v>43160</v>
      </c>
      <c r="E12366" t="s">
        <v>2175</v>
      </c>
      <c r="F12366">
        <v>2</v>
      </c>
      <c r="G12366" t="s">
        <v>63</v>
      </c>
      <c r="H12366" t="s">
        <v>44</v>
      </c>
      <c r="I12366" t="s">
        <v>2192</v>
      </c>
      <c r="J12366" s="10">
        <v>14</v>
      </c>
      <c r="K12366" t="b">
        <v>1</v>
      </c>
    </row>
    <row r="12367" spans="1:11">
      <c r="A12367" s="12">
        <v>43186</v>
      </c>
      <c r="B12367">
        <v>2018</v>
      </c>
      <c r="C12367">
        <v>3</v>
      </c>
      <c r="D12367" s="11">
        <v>43160</v>
      </c>
      <c r="E12367" t="s">
        <v>2175</v>
      </c>
      <c r="F12367">
        <v>2</v>
      </c>
      <c r="G12367" t="s">
        <v>63</v>
      </c>
      <c r="H12367" t="s">
        <v>45</v>
      </c>
      <c r="I12367" t="s">
        <v>2193</v>
      </c>
      <c r="J12367" s="10">
        <v>1</v>
      </c>
      <c r="K12367" t="b">
        <v>1</v>
      </c>
    </row>
    <row r="12368" spans="1:11">
      <c r="A12368" s="12">
        <v>43186</v>
      </c>
      <c r="B12368">
        <v>2018</v>
      </c>
      <c r="C12368">
        <v>3</v>
      </c>
      <c r="D12368" s="11">
        <v>43160</v>
      </c>
      <c r="E12368" t="s">
        <v>2175</v>
      </c>
      <c r="F12368">
        <v>2</v>
      </c>
      <c r="G12368" t="s">
        <v>63</v>
      </c>
      <c r="H12368" t="s">
        <v>46</v>
      </c>
      <c r="I12368" t="s">
        <v>2194</v>
      </c>
      <c r="J12368" s="10">
        <v>5</v>
      </c>
      <c r="K12368" t="b">
        <v>1</v>
      </c>
    </row>
    <row r="12369" spans="1:11">
      <c r="A12369" s="12">
        <v>43186</v>
      </c>
      <c r="B12369">
        <v>2018</v>
      </c>
      <c r="C12369">
        <v>3</v>
      </c>
      <c r="D12369" s="11">
        <v>43160</v>
      </c>
      <c r="E12369" t="s">
        <v>2175</v>
      </c>
      <c r="F12369">
        <v>2</v>
      </c>
      <c r="G12369" t="s">
        <v>63</v>
      </c>
      <c r="H12369" t="s">
        <v>47</v>
      </c>
      <c r="I12369" t="s">
        <v>2195</v>
      </c>
      <c r="J12369" s="10">
        <v>2</v>
      </c>
      <c r="K12369" t="b">
        <v>1</v>
      </c>
    </row>
    <row r="12370" spans="1:11">
      <c r="A12370" s="12">
        <v>43187</v>
      </c>
      <c r="B12370">
        <v>2018</v>
      </c>
      <c r="C12370">
        <v>3</v>
      </c>
      <c r="D12370" s="11">
        <v>43160</v>
      </c>
      <c r="E12370" t="s">
        <v>2175</v>
      </c>
      <c r="F12370">
        <v>3</v>
      </c>
      <c r="G12370" t="s">
        <v>65</v>
      </c>
      <c r="H12370" t="s">
        <v>40</v>
      </c>
      <c r="I12370" t="s">
        <v>2188</v>
      </c>
      <c r="J12370" s="10">
        <v>5.5</v>
      </c>
      <c r="K12370" t="b">
        <v>1</v>
      </c>
    </row>
    <row r="12371" spans="1:11">
      <c r="A12371" s="12">
        <v>43187</v>
      </c>
      <c r="B12371">
        <v>2018</v>
      </c>
      <c r="C12371">
        <v>3</v>
      </c>
      <c r="D12371" s="11">
        <v>43160</v>
      </c>
      <c r="E12371" t="s">
        <v>2175</v>
      </c>
      <c r="F12371">
        <v>3</v>
      </c>
      <c r="G12371" t="s">
        <v>65</v>
      </c>
      <c r="H12371" t="s">
        <v>41</v>
      </c>
      <c r="I12371" t="s">
        <v>2189</v>
      </c>
      <c r="J12371" s="10">
        <v>1.66</v>
      </c>
      <c r="K12371" t="b">
        <v>1</v>
      </c>
    </row>
    <row r="12372" spans="1:11">
      <c r="A12372" s="12">
        <v>43187</v>
      </c>
      <c r="B12372">
        <v>2018</v>
      </c>
      <c r="C12372">
        <v>3</v>
      </c>
      <c r="D12372" s="11">
        <v>43160</v>
      </c>
      <c r="E12372" t="s">
        <v>2175</v>
      </c>
      <c r="F12372">
        <v>3</v>
      </c>
      <c r="G12372" t="s">
        <v>65</v>
      </c>
      <c r="H12372" t="s">
        <v>42</v>
      </c>
      <c r="I12372" t="s">
        <v>2190</v>
      </c>
      <c r="J12372" s="10">
        <v>1</v>
      </c>
      <c r="K12372" t="b">
        <v>1</v>
      </c>
    </row>
    <row r="12373" spans="1:11">
      <c r="A12373" s="12">
        <v>43187</v>
      </c>
      <c r="B12373">
        <v>2018</v>
      </c>
      <c r="C12373">
        <v>3</v>
      </c>
      <c r="D12373" s="11">
        <v>43160</v>
      </c>
      <c r="E12373" t="s">
        <v>2175</v>
      </c>
      <c r="F12373">
        <v>3</v>
      </c>
      <c r="G12373" t="s">
        <v>65</v>
      </c>
      <c r="H12373" t="s">
        <v>43</v>
      </c>
      <c r="I12373" t="s">
        <v>2191</v>
      </c>
      <c r="J12373" s="10">
        <v>11.924</v>
      </c>
      <c r="K12373" t="b">
        <v>1</v>
      </c>
    </row>
    <row r="12374" spans="1:11">
      <c r="A12374" s="12">
        <v>43187</v>
      </c>
      <c r="B12374">
        <v>2018</v>
      </c>
      <c r="C12374">
        <v>3</v>
      </c>
      <c r="D12374" s="11">
        <v>43160</v>
      </c>
      <c r="E12374" t="s">
        <v>2175</v>
      </c>
      <c r="F12374">
        <v>3</v>
      </c>
      <c r="G12374" t="s">
        <v>65</v>
      </c>
      <c r="H12374" t="s">
        <v>44</v>
      </c>
      <c r="I12374" t="s">
        <v>2192</v>
      </c>
      <c r="J12374" s="10">
        <v>23</v>
      </c>
      <c r="K12374" t="b">
        <v>1</v>
      </c>
    </row>
    <row r="12375" spans="1:11">
      <c r="A12375" s="12">
        <v>43187</v>
      </c>
      <c r="B12375">
        <v>2018</v>
      </c>
      <c r="C12375">
        <v>3</v>
      </c>
      <c r="D12375" s="11">
        <v>43160</v>
      </c>
      <c r="E12375" t="s">
        <v>2175</v>
      </c>
      <c r="F12375">
        <v>3</v>
      </c>
      <c r="G12375" t="s">
        <v>65</v>
      </c>
      <c r="H12375" t="s">
        <v>45</v>
      </c>
      <c r="I12375" t="s">
        <v>2193</v>
      </c>
      <c r="J12375" s="10">
        <v>2</v>
      </c>
      <c r="K12375" t="b">
        <v>1</v>
      </c>
    </row>
    <row r="12376" spans="1:11">
      <c r="A12376" s="12">
        <v>43187</v>
      </c>
      <c r="B12376">
        <v>2018</v>
      </c>
      <c r="C12376">
        <v>3</v>
      </c>
      <c r="D12376" s="11">
        <v>43160</v>
      </c>
      <c r="E12376" t="s">
        <v>2175</v>
      </c>
      <c r="F12376">
        <v>3</v>
      </c>
      <c r="G12376" t="s">
        <v>65</v>
      </c>
      <c r="H12376" t="s">
        <v>46</v>
      </c>
      <c r="I12376" t="s">
        <v>2194</v>
      </c>
      <c r="J12376" s="10">
        <v>6</v>
      </c>
      <c r="K12376" t="b">
        <v>1</v>
      </c>
    </row>
    <row r="12377" spans="1:11">
      <c r="A12377" s="12">
        <v>43187</v>
      </c>
      <c r="B12377">
        <v>2018</v>
      </c>
      <c r="C12377">
        <v>3</v>
      </c>
      <c r="D12377" s="11">
        <v>43160</v>
      </c>
      <c r="E12377" t="s">
        <v>2175</v>
      </c>
      <c r="F12377">
        <v>3</v>
      </c>
      <c r="G12377" t="s">
        <v>65</v>
      </c>
      <c r="H12377" t="s">
        <v>47</v>
      </c>
      <c r="I12377" t="s">
        <v>2195</v>
      </c>
      <c r="J12377" s="10">
        <v>1.5</v>
      </c>
      <c r="K12377" t="b">
        <v>1</v>
      </c>
    </row>
    <row r="12378" spans="1:11">
      <c r="A12378" s="12">
        <v>43188</v>
      </c>
      <c r="B12378">
        <v>2018</v>
      </c>
      <c r="C12378">
        <v>3</v>
      </c>
      <c r="D12378" s="11">
        <v>43160</v>
      </c>
      <c r="E12378" t="s">
        <v>2175</v>
      </c>
      <c r="F12378">
        <v>4</v>
      </c>
      <c r="G12378" t="s">
        <v>53</v>
      </c>
      <c r="H12378" t="s">
        <v>40</v>
      </c>
      <c r="I12378" t="s">
        <v>2188</v>
      </c>
      <c r="J12378" s="10">
        <v>7</v>
      </c>
      <c r="K12378" t="b">
        <v>1</v>
      </c>
    </row>
    <row r="12379" spans="1:11">
      <c r="A12379" s="12">
        <v>43188</v>
      </c>
      <c r="B12379">
        <v>2018</v>
      </c>
      <c r="C12379">
        <v>3</v>
      </c>
      <c r="D12379" s="11">
        <v>43160</v>
      </c>
      <c r="E12379" t="s">
        <v>2175</v>
      </c>
      <c r="F12379">
        <v>4</v>
      </c>
      <c r="G12379" t="s">
        <v>53</v>
      </c>
      <c r="H12379" t="s">
        <v>41</v>
      </c>
      <c r="I12379" t="s">
        <v>2189</v>
      </c>
      <c r="J12379" s="10">
        <v>2.33</v>
      </c>
      <c r="K12379" t="b">
        <v>1</v>
      </c>
    </row>
    <row r="12380" spans="1:11">
      <c r="A12380" s="12">
        <v>43188</v>
      </c>
      <c r="B12380">
        <v>2018</v>
      </c>
      <c r="C12380">
        <v>3</v>
      </c>
      <c r="D12380" s="11">
        <v>43160</v>
      </c>
      <c r="E12380" t="s">
        <v>2175</v>
      </c>
      <c r="F12380">
        <v>4</v>
      </c>
      <c r="G12380" t="s">
        <v>53</v>
      </c>
      <c r="H12380" t="s">
        <v>42</v>
      </c>
      <c r="I12380" t="s">
        <v>2190</v>
      </c>
      <c r="J12380" s="10">
        <v>3</v>
      </c>
      <c r="K12380" t="b">
        <v>1</v>
      </c>
    </row>
    <row r="12381" spans="1:11">
      <c r="A12381" s="12">
        <v>43188</v>
      </c>
      <c r="B12381">
        <v>2018</v>
      </c>
      <c r="C12381">
        <v>3</v>
      </c>
      <c r="D12381" s="11">
        <v>43160</v>
      </c>
      <c r="E12381" t="s">
        <v>2175</v>
      </c>
      <c r="F12381">
        <v>4</v>
      </c>
      <c r="G12381" t="s">
        <v>53</v>
      </c>
      <c r="H12381" t="s">
        <v>43</v>
      </c>
      <c r="I12381" t="s">
        <v>2191</v>
      </c>
      <c r="J12381" s="10">
        <v>28.2</v>
      </c>
      <c r="K12381" t="b">
        <v>1</v>
      </c>
    </row>
    <row r="12382" spans="1:11">
      <c r="A12382" s="12">
        <v>43188</v>
      </c>
      <c r="B12382">
        <v>2018</v>
      </c>
      <c r="C12382">
        <v>3</v>
      </c>
      <c r="D12382" s="11">
        <v>43160</v>
      </c>
      <c r="E12382" t="s">
        <v>2175</v>
      </c>
      <c r="F12382">
        <v>4</v>
      </c>
      <c r="G12382" t="s">
        <v>53</v>
      </c>
      <c r="H12382" t="s">
        <v>44</v>
      </c>
      <c r="I12382" t="s">
        <v>2192</v>
      </c>
      <c r="J12382" s="10">
        <v>5</v>
      </c>
      <c r="K12382" t="b">
        <v>1</v>
      </c>
    </row>
    <row r="12383" spans="1:11">
      <c r="A12383" s="12">
        <v>43188</v>
      </c>
      <c r="B12383">
        <v>2018</v>
      </c>
      <c r="C12383">
        <v>3</v>
      </c>
      <c r="D12383" s="11">
        <v>43160</v>
      </c>
      <c r="E12383" t="s">
        <v>2175</v>
      </c>
      <c r="F12383">
        <v>4</v>
      </c>
      <c r="G12383" t="s">
        <v>53</v>
      </c>
      <c r="H12383" t="s">
        <v>45</v>
      </c>
      <c r="I12383" t="s">
        <v>2193</v>
      </c>
      <c r="J12383" s="10">
        <v>0</v>
      </c>
      <c r="K12383" t="b">
        <v>1</v>
      </c>
    </row>
    <row r="12384" spans="1:11">
      <c r="A12384" s="12">
        <v>43188</v>
      </c>
      <c r="B12384">
        <v>2018</v>
      </c>
      <c r="C12384">
        <v>3</v>
      </c>
      <c r="D12384" s="11">
        <v>43160</v>
      </c>
      <c r="E12384" t="s">
        <v>2175</v>
      </c>
      <c r="F12384">
        <v>4</v>
      </c>
      <c r="G12384" t="s">
        <v>53</v>
      </c>
      <c r="H12384" t="s">
        <v>46</v>
      </c>
      <c r="I12384" t="s">
        <v>2194</v>
      </c>
      <c r="J12384" s="10">
        <v>7</v>
      </c>
      <c r="K12384" t="b">
        <v>1</v>
      </c>
    </row>
    <row r="12385" spans="1:11">
      <c r="A12385" s="12">
        <v>43188</v>
      </c>
      <c r="B12385">
        <v>2018</v>
      </c>
      <c r="C12385">
        <v>3</v>
      </c>
      <c r="D12385" s="11">
        <v>43160</v>
      </c>
      <c r="E12385" t="s">
        <v>2175</v>
      </c>
      <c r="F12385">
        <v>4</v>
      </c>
      <c r="G12385" t="s">
        <v>53</v>
      </c>
      <c r="H12385" t="s">
        <v>47</v>
      </c>
      <c r="I12385" t="s">
        <v>2195</v>
      </c>
      <c r="J12385" s="10">
        <v>3.3</v>
      </c>
      <c r="K12385" t="b">
        <v>1</v>
      </c>
    </row>
    <row r="12386" spans="1:11">
      <c r="A12386" s="12">
        <v>43189</v>
      </c>
      <c r="B12386">
        <v>2018</v>
      </c>
      <c r="C12386">
        <v>3</v>
      </c>
      <c r="D12386" s="11">
        <v>43160</v>
      </c>
      <c r="E12386" t="s">
        <v>2175</v>
      </c>
      <c r="F12386">
        <v>5</v>
      </c>
      <c r="G12386" t="s">
        <v>55</v>
      </c>
      <c r="H12386" t="s">
        <v>40</v>
      </c>
      <c r="I12386" t="s">
        <v>2188</v>
      </c>
      <c r="J12386" s="10">
        <v>5.33</v>
      </c>
      <c r="K12386" t="b">
        <v>1</v>
      </c>
    </row>
    <row r="12387" spans="1:11">
      <c r="A12387" s="12">
        <v>43189</v>
      </c>
      <c r="B12387">
        <v>2018</v>
      </c>
      <c r="C12387">
        <v>3</v>
      </c>
      <c r="D12387" s="11">
        <v>43160</v>
      </c>
      <c r="E12387" t="s">
        <v>2175</v>
      </c>
      <c r="F12387">
        <v>5</v>
      </c>
      <c r="G12387" t="s">
        <v>55</v>
      </c>
      <c r="H12387" t="s">
        <v>41</v>
      </c>
      <c r="I12387" t="s">
        <v>2189</v>
      </c>
      <c r="J12387" s="10">
        <v>4.46</v>
      </c>
      <c r="K12387" t="b">
        <v>1</v>
      </c>
    </row>
    <row r="12388" spans="1:11">
      <c r="A12388" s="12">
        <v>43189</v>
      </c>
      <c r="B12388">
        <v>2018</v>
      </c>
      <c r="C12388">
        <v>3</v>
      </c>
      <c r="D12388" s="11">
        <v>43160</v>
      </c>
      <c r="E12388" t="s">
        <v>2175</v>
      </c>
      <c r="F12388">
        <v>5</v>
      </c>
      <c r="G12388" t="s">
        <v>55</v>
      </c>
      <c r="H12388" t="s">
        <v>42</v>
      </c>
      <c r="I12388" t="s">
        <v>2190</v>
      </c>
      <c r="J12388" s="10">
        <v>9</v>
      </c>
      <c r="K12388" t="b">
        <v>1</v>
      </c>
    </row>
    <row r="12389" spans="1:11">
      <c r="A12389" s="12">
        <v>43189</v>
      </c>
      <c r="B12389">
        <v>2018</v>
      </c>
      <c r="C12389">
        <v>3</v>
      </c>
      <c r="D12389" s="11">
        <v>43160</v>
      </c>
      <c r="E12389" t="s">
        <v>2175</v>
      </c>
      <c r="F12389">
        <v>5</v>
      </c>
      <c r="G12389" t="s">
        <v>55</v>
      </c>
      <c r="H12389" t="s">
        <v>43</v>
      </c>
      <c r="I12389" t="s">
        <v>2191</v>
      </c>
      <c r="J12389" s="10">
        <v>42</v>
      </c>
      <c r="K12389" t="b">
        <v>1</v>
      </c>
    </row>
    <row r="12390" spans="1:11">
      <c r="A12390" s="12">
        <v>43189</v>
      </c>
      <c r="B12390">
        <v>2018</v>
      </c>
      <c r="C12390">
        <v>3</v>
      </c>
      <c r="D12390" s="11">
        <v>43160</v>
      </c>
      <c r="E12390" t="s">
        <v>2175</v>
      </c>
      <c r="F12390">
        <v>5</v>
      </c>
      <c r="G12390" t="s">
        <v>55</v>
      </c>
      <c r="H12390" t="s">
        <v>44</v>
      </c>
      <c r="I12390" t="s">
        <v>2192</v>
      </c>
      <c r="J12390" s="10">
        <v>33</v>
      </c>
      <c r="K12390" t="b">
        <v>1</v>
      </c>
    </row>
    <row r="12391" spans="1:11">
      <c r="A12391" s="12">
        <v>43189</v>
      </c>
      <c r="B12391">
        <v>2018</v>
      </c>
      <c r="C12391">
        <v>3</v>
      </c>
      <c r="D12391" s="11">
        <v>43160</v>
      </c>
      <c r="E12391" t="s">
        <v>2175</v>
      </c>
      <c r="F12391">
        <v>5</v>
      </c>
      <c r="G12391" t="s">
        <v>55</v>
      </c>
      <c r="H12391" t="s">
        <v>45</v>
      </c>
      <c r="I12391" t="s">
        <v>2193</v>
      </c>
      <c r="J12391" s="10">
        <v>8</v>
      </c>
      <c r="K12391" t="b">
        <v>1</v>
      </c>
    </row>
    <row r="12392" spans="1:11">
      <c r="A12392" s="12">
        <v>43189</v>
      </c>
      <c r="B12392">
        <v>2018</v>
      </c>
      <c r="C12392">
        <v>3</v>
      </c>
      <c r="D12392" s="11">
        <v>43160</v>
      </c>
      <c r="E12392" t="s">
        <v>2175</v>
      </c>
      <c r="F12392">
        <v>5</v>
      </c>
      <c r="G12392" t="s">
        <v>55</v>
      </c>
      <c r="H12392" t="s">
        <v>46</v>
      </c>
      <c r="I12392" t="s">
        <v>2194</v>
      </c>
      <c r="J12392" s="10">
        <v>3</v>
      </c>
      <c r="K12392" t="b">
        <v>1</v>
      </c>
    </row>
    <row r="12393" spans="1:11">
      <c r="A12393" s="12">
        <v>43189</v>
      </c>
      <c r="B12393">
        <v>2018</v>
      </c>
      <c r="C12393">
        <v>3</v>
      </c>
      <c r="D12393" s="11">
        <v>43160</v>
      </c>
      <c r="E12393" t="s">
        <v>2175</v>
      </c>
      <c r="F12393">
        <v>5</v>
      </c>
      <c r="G12393" t="s">
        <v>55</v>
      </c>
      <c r="H12393" t="s">
        <v>47</v>
      </c>
      <c r="I12393" t="s">
        <v>2195</v>
      </c>
      <c r="J12393" s="10">
        <v>2</v>
      </c>
      <c r="K12393" t="b">
        <v>1</v>
      </c>
    </row>
    <row r="12394" spans="1:11">
      <c r="A12394" s="12">
        <v>43190</v>
      </c>
      <c r="B12394">
        <v>2018</v>
      </c>
      <c r="C12394">
        <v>3</v>
      </c>
      <c r="D12394" s="11">
        <v>43160</v>
      </c>
      <c r="E12394" t="s">
        <v>2175</v>
      </c>
      <c r="F12394">
        <v>6</v>
      </c>
      <c r="G12394" t="s">
        <v>57</v>
      </c>
      <c r="H12394" t="s">
        <v>40</v>
      </c>
      <c r="I12394" t="s">
        <v>2188</v>
      </c>
      <c r="J12394" s="10">
        <v>9</v>
      </c>
      <c r="K12394" t="b">
        <v>1</v>
      </c>
    </row>
    <row r="12395" spans="1:11">
      <c r="A12395" s="12">
        <v>43190</v>
      </c>
      <c r="B12395">
        <v>2018</v>
      </c>
      <c r="C12395">
        <v>3</v>
      </c>
      <c r="D12395" s="11">
        <v>43160</v>
      </c>
      <c r="E12395" t="s">
        <v>2175</v>
      </c>
      <c r="F12395">
        <v>6</v>
      </c>
      <c r="G12395" t="s">
        <v>57</v>
      </c>
      <c r="H12395" t="s">
        <v>41</v>
      </c>
      <c r="I12395" t="s">
        <v>2189</v>
      </c>
      <c r="J12395" s="10">
        <v>2.99</v>
      </c>
      <c r="K12395" t="b">
        <v>1</v>
      </c>
    </row>
    <row r="12396" spans="1:11">
      <c r="A12396" s="12">
        <v>43190</v>
      </c>
      <c r="B12396">
        <v>2018</v>
      </c>
      <c r="C12396">
        <v>3</v>
      </c>
      <c r="D12396" s="11">
        <v>43160</v>
      </c>
      <c r="E12396" t="s">
        <v>2175</v>
      </c>
      <c r="F12396">
        <v>6</v>
      </c>
      <c r="G12396" t="s">
        <v>57</v>
      </c>
      <c r="H12396" t="s">
        <v>42</v>
      </c>
      <c r="I12396" t="s">
        <v>2190</v>
      </c>
      <c r="J12396" s="10">
        <v>2</v>
      </c>
      <c r="K12396" t="b">
        <v>1</v>
      </c>
    </row>
    <row r="12397" spans="1:11">
      <c r="A12397" s="12">
        <v>43190</v>
      </c>
      <c r="B12397">
        <v>2018</v>
      </c>
      <c r="C12397">
        <v>3</v>
      </c>
      <c r="D12397" s="11">
        <v>43160</v>
      </c>
      <c r="E12397" t="s">
        <v>2175</v>
      </c>
      <c r="F12397">
        <v>6</v>
      </c>
      <c r="G12397" t="s">
        <v>57</v>
      </c>
      <c r="H12397" t="s">
        <v>43</v>
      </c>
      <c r="I12397" t="s">
        <v>2191</v>
      </c>
      <c r="J12397" s="10">
        <v>50</v>
      </c>
      <c r="K12397" t="b">
        <v>1</v>
      </c>
    </row>
    <row r="12398" spans="1:11">
      <c r="A12398" s="12">
        <v>43190</v>
      </c>
      <c r="B12398">
        <v>2018</v>
      </c>
      <c r="C12398">
        <v>3</v>
      </c>
      <c r="D12398" s="11">
        <v>43160</v>
      </c>
      <c r="E12398" t="s">
        <v>2175</v>
      </c>
      <c r="F12398">
        <v>6</v>
      </c>
      <c r="G12398" t="s">
        <v>57</v>
      </c>
      <c r="H12398" t="s">
        <v>44</v>
      </c>
      <c r="I12398" t="s">
        <v>2192</v>
      </c>
      <c r="J12398" s="10">
        <v>8</v>
      </c>
      <c r="K12398" t="b">
        <v>1</v>
      </c>
    </row>
    <row r="12399" spans="1:11">
      <c r="A12399" s="12">
        <v>43190</v>
      </c>
      <c r="B12399">
        <v>2018</v>
      </c>
      <c r="C12399">
        <v>3</v>
      </c>
      <c r="D12399" s="11">
        <v>43160</v>
      </c>
      <c r="E12399" t="s">
        <v>2175</v>
      </c>
      <c r="F12399">
        <v>6</v>
      </c>
      <c r="G12399" t="s">
        <v>57</v>
      </c>
      <c r="H12399" t="s">
        <v>45</v>
      </c>
      <c r="I12399" t="s">
        <v>2193</v>
      </c>
      <c r="J12399" s="10">
        <v>0</v>
      </c>
      <c r="K12399" t="b">
        <v>1</v>
      </c>
    </row>
    <row r="12400" spans="1:11">
      <c r="A12400" s="12">
        <v>43190</v>
      </c>
      <c r="B12400">
        <v>2018</v>
      </c>
      <c r="C12400">
        <v>3</v>
      </c>
      <c r="D12400" s="11">
        <v>43160</v>
      </c>
      <c r="E12400" t="s">
        <v>2175</v>
      </c>
      <c r="F12400">
        <v>6</v>
      </c>
      <c r="G12400" t="s">
        <v>57</v>
      </c>
      <c r="H12400" t="s">
        <v>46</v>
      </c>
      <c r="I12400" t="s">
        <v>2194</v>
      </c>
      <c r="J12400" s="10">
        <v>3</v>
      </c>
      <c r="K12400" t="b">
        <v>1</v>
      </c>
    </row>
    <row r="12401" spans="1:11">
      <c r="A12401" s="12">
        <v>43190</v>
      </c>
      <c r="B12401">
        <v>2018</v>
      </c>
      <c r="C12401">
        <v>3</v>
      </c>
      <c r="D12401" s="11">
        <v>43160</v>
      </c>
      <c r="E12401" t="s">
        <v>2175</v>
      </c>
      <c r="F12401">
        <v>6</v>
      </c>
      <c r="G12401" t="s">
        <v>57</v>
      </c>
      <c r="H12401" t="s">
        <v>47</v>
      </c>
      <c r="I12401" t="s">
        <v>2195</v>
      </c>
      <c r="J12401" s="10">
        <v>4</v>
      </c>
      <c r="K12401" t="b">
        <v>1</v>
      </c>
    </row>
    <row r="12402" spans="1:11">
      <c r="A12402" s="12">
        <v>43191</v>
      </c>
      <c r="B12402">
        <v>2018</v>
      </c>
      <c r="C12402">
        <v>4</v>
      </c>
      <c r="D12402" s="11">
        <v>43191</v>
      </c>
      <c r="E12402" t="s">
        <v>2176</v>
      </c>
      <c r="F12402">
        <v>7</v>
      </c>
      <c r="G12402" t="s">
        <v>59</v>
      </c>
      <c r="H12402" t="s">
        <v>40</v>
      </c>
      <c r="I12402" t="s">
        <v>2188</v>
      </c>
      <c r="J12402" s="10">
        <v>6.83</v>
      </c>
      <c r="K12402" t="b">
        <v>1</v>
      </c>
    </row>
    <row r="12403" spans="1:11">
      <c r="A12403" s="12">
        <v>43191</v>
      </c>
      <c r="B12403">
        <v>2018</v>
      </c>
      <c r="C12403">
        <v>4</v>
      </c>
      <c r="D12403" s="11">
        <v>43191</v>
      </c>
      <c r="E12403" t="s">
        <v>2176</v>
      </c>
      <c r="F12403">
        <v>7</v>
      </c>
      <c r="G12403" t="s">
        <v>59</v>
      </c>
      <c r="H12403" t="s">
        <v>41</v>
      </c>
      <c r="I12403" t="s">
        <v>2189</v>
      </c>
      <c r="J12403" s="10">
        <v>3.34</v>
      </c>
      <c r="K12403" t="b">
        <v>1</v>
      </c>
    </row>
    <row r="12404" spans="1:11">
      <c r="A12404" s="12">
        <v>43191</v>
      </c>
      <c r="B12404">
        <v>2018</v>
      </c>
      <c r="C12404">
        <v>4</v>
      </c>
      <c r="D12404" s="11">
        <v>43191</v>
      </c>
      <c r="E12404" t="s">
        <v>2176</v>
      </c>
      <c r="F12404">
        <v>7</v>
      </c>
      <c r="G12404" t="s">
        <v>59</v>
      </c>
      <c r="H12404" t="s">
        <v>42</v>
      </c>
      <c r="I12404" t="s">
        <v>2190</v>
      </c>
      <c r="J12404" s="10">
        <v>0</v>
      </c>
      <c r="K12404" t="b">
        <v>1</v>
      </c>
    </row>
    <row r="12405" spans="1:11">
      <c r="A12405" s="12">
        <v>43191</v>
      </c>
      <c r="B12405">
        <v>2018</v>
      </c>
      <c r="C12405">
        <v>4</v>
      </c>
      <c r="D12405" s="11">
        <v>43191</v>
      </c>
      <c r="E12405" t="s">
        <v>2176</v>
      </c>
      <c r="F12405">
        <v>7</v>
      </c>
      <c r="G12405" t="s">
        <v>59</v>
      </c>
      <c r="H12405" t="s">
        <v>43</v>
      </c>
      <c r="I12405" t="s">
        <v>2191</v>
      </c>
      <c r="J12405" s="10">
        <v>37</v>
      </c>
      <c r="K12405" t="b">
        <v>1</v>
      </c>
    </row>
    <row r="12406" spans="1:11">
      <c r="A12406" s="12">
        <v>43191</v>
      </c>
      <c r="B12406">
        <v>2018</v>
      </c>
      <c r="C12406">
        <v>4</v>
      </c>
      <c r="D12406" s="11">
        <v>43191</v>
      </c>
      <c r="E12406" t="s">
        <v>2176</v>
      </c>
      <c r="F12406">
        <v>7</v>
      </c>
      <c r="G12406" t="s">
        <v>59</v>
      </c>
      <c r="H12406" t="s">
        <v>44</v>
      </c>
      <c r="I12406" t="s">
        <v>2192</v>
      </c>
      <c r="J12406" s="10">
        <v>19</v>
      </c>
      <c r="K12406" t="b">
        <v>1</v>
      </c>
    </row>
    <row r="12407" spans="1:11">
      <c r="A12407" s="12">
        <v>43191</v>
      </c>
      <c r="B12407">
        <v>2018</v>
      </c>
      <c r="C12407">
        <v>4</v>
      </c>
      <c r="D12407" s="11">
        <v>43191</v>
      </c>
      <c r="E12407" t="s">
        <v>2176</v>
      </c>
      <c r="F12407">
        <v>7</v>
      </c>
      <c r="G12407" t="s">
        <v>59</v>
      </c>
      <c r="H12407" t="s">
        <v>45</v>
      </c>
      <c r="I12407" t="s">
        <v>2193</v>
      </c>
      <c r="J12407" s="10">
        <v>1</v>
      </c>
      <c r="K12407" t="b">
        <v>1</v>
      </c>
    </row>
    <row r="12408" spans="1:11">
      <c r="A12408" s="12">
        <v>43191</v>
      </c>
      <c r="B12408">
        <v>2018</v>
      </c>
      <c r="C12408">
        <v>4</v>
      </c>
      <c r="D12408" s="11">
        <v>43191</v>
      </c>
      <c r="E12408" t="s">
        <v>2176</v>
      </c>
      <c r="F12408">
        <v>7</v>
      </c>
      <c r="G12408" t="s">
        <v>59</v>
      </c>
      <c r="H12408" t="s">
        <v>46</v>
      </c>
      <c r="I12408" t="s">
        <v>2194</v>
      </c>
      <c r="J12408" s="10">
        <v>22</v>
      </c>
      <c r="K12408" t="b">
        <v>1</v>
      </c>
    </row>
    <row r="12409" spans="1:11">
      <c r="A12409" s="12">
        <v>43191</v>
      </c>
      <c r="B12409">
        <v>2018</v>
      </c>
      <c r="C12409">
        <v>4</v>
      </c>
      <c r="D12409" s="11">
        <v>43191</v>
      </c>
      <c r="E12409" t="s">
        <v>2176</v>
      </c>
      <c r="F12409">
        <v>7</v>
      </c>
      <c r="G12409" t="s">
        <v>59</v>
      </c>
      <c r="H12409" t="s">
        <v>47</v>
      </c>
      <c r="I12409" t="s">
        <v>2195</v>
      </c>
      <c r="J12409" s="10">
        <v>5</v>
      </c>
      <c r="K12409" t="b">
        <v>1</v>
      </c>
    </row>
    <row r="12410" spans="1:11">
      <c r="A12410" s="12">
        <v>43192</v>
      </c>
      <c r="B12410">
        <v>2018</v>
      </c>
      <c r="C12410">
        <v>4</v>
      </c>
      <c r="D12410" s="11">
        <v>43191</v>
      </c>
      <c r="E12410" t="s">
        <v>2176</v>
      </c>
      <c r="F12410">
        <v>1</v>
      </c>
      <c r="G12410" t="s">
        <v>61</v>
      </c>
      <c r="H12410" t="s">
        <v>40</v>
      </c>
      <c r="I12410" t="s">
        <v>2188</v>
      </c>
      <c r="J12410" s="10">
        <v>5.66</v>
      </c>
      <c r="K12410" t="b">
        <v>1</v>
      </c>
    </row>
    <row r="12411" spans="1:11">
      <c r="A12411" s="12">
        <v>43192</v>
      </c>
      <c r="B12411">
        <v>2018</v>
      </c>
      <c r="C12411">
        <v>4</v>
      </c>
      <c r="D12411" s="11">
        <v>43191</v>
      </c>
      <c r="E12411" t="s">
        <v>2176</v>
      </c>
      <c r="F12411">
        <v>1</v>
      </c>
      <c r="G12411" t="s">
        <v>61</v>
      </c>
      <c r="H12411" t="s">
        <v>41</v>
      </c>
      <c r="I12411" t="s">
        <v>2189</v>
      </c>
      <c r="J12411" s="10">
        <v>4.396</v>
      </c>
      <c r="K12411" t="b">
        <v>1</v>
      </c>
    </row>
    <row r="12412" spans="1:11">
      <c r="A12412" s="12">
        <v>43192</v>
      </c>
      <c r="B12412">
        <v>2018</v>
      </c>
      <c r="C12412">
        <v>4</v>
      </c>
      <c r="D12412" s="11">
        <v>43191</v>
      </c>
      <c r="E12412" t="s">
        <v>2176</v>
      </c>
      <c r="F12412">
        <v>1</v>
      </c>
      <c r="G12412" t="s">
        <v>61</v>
      </c>
      <c r="H12412" t="s">
        <v>42</v>
      </c>
      <c r="I12412" t="s">
        <v>2190</v>
      </c>
      <c r="J12412" s="10">
        <v>6.3</v>
      </c>
      <c r="K12412" t="b">
        <v>1</v>
      </c>
    </row>
    <row r="12413" spans="1:11">
      <c r="A12413" s="12">
        <v>43192</v>
      </c>
      <c r="B12413">
        <v>2018</v>
      </c>
      <c r="C12413">
        <v>4</v>
      </c>
      <c r="D12413" s="11">
        <v>43191</v>
      </c>
      <c r="E12413" t="s">
        <v>2176</v>
      </c>
      <c r="F12413">
        <v>1</v>
      </c>
      <c r="G12413" t="s">
        <v>61</v>
      </c>
      <c r="H12413" t="s">
        <v>43</v>
      </c>
      <c r="I12413" t="s">
        <v>2191</v>
      </c>
      <c r="J12413" s="10">
        <v>30</v>
      </c>
      <c r="K12413" t="b">
        <v>1</v>
      </c>
    </row>
    <row r="12414" spans="1:11">
      <c r="A12414" s="12">
        <v>43192</v>
      </c>
      <c r="B12414">
        <v>2018</v>
      </c>
      <c r="C12414">
        <v>4</v>
      </c>
      <c r="D12414" s="11">
        <v>43191</v>
      </c>
      <c r="E12414" t="s">
        <v>2176</v>
      </c>
      <c r="F12414">
        <v>1</v>
      </c>
      <c r="G12414" t="s">
        <v>61</v>
      </c>
      <c r="H12414" t="s">
        <v>44</v>
      </c>
      <c r="I12414" t="s">
        <v>2192</v>
      </c>
      <c r="J12414" s="10">
        <v>31</v>
      </c>
      <c r="K12414" t="b">
        <v>1</v>
      </c>
    </row>
    <row r="12415" spans="1:11">
      <c r="A12415" s="12">
        <v>43192</v>
      </c>
      <c r="B12415">
        <v>2018</v>
      </c>
      <c r="C12415">
        <v>4</v>
      </c>
      <c r="D12415" s="11">
        <v>43191</v>
      </c>
      <c r="E12415" t="s">
        <v>2176</v>
      </c>
      <c r="F12415">
        <v>1</v>
      </c>
      <c r="G12415" t="s">
        <v>61</v>
      </c>
      <c r="H12415" t="s">
        <v>45</v>
      </c>
      <c r="I12415" t="s">
        <v>2193</v>
      </c>
      <c r="J12415" s="10">
        <v>0</v>
      </c>
      <c r="K12415" t="b">
        <v>1</v>
      </c>
    </row>
    <row r="12416" spans="1:11">
      <c r="A12416" s="12">
        <v>43192</v>
      </c>
      <c r="B12416">
        <v>2018</v>
      </c>
      <c r="C12416">
        <v>4</v>
      </c>
      <c r="D12416" s="11">
        <v>43191</v>
      </c>
      <c r="E12416" t="s">
        <v>2176</v>
      </c>
      <c r="F12416">
        <v>1</v>
      </c>
      <c r="G12416" t="s">
        <v>61</v>
      </c>
      <c r="H12416" t="s">
        <v>46</v>
      </c>
      <c r="I12416" t="s">
        <v>2194</v>
      </c>
      <c r="J12416" s="10">
        <v>10</v>
      </c>
      <c r="K12416" t="b">
        <v>1</v>
      </c>
    </row>
    <row r="12417" spans="1:11">
      <c r="A12417" s="12">
        <v>43192</v>
      </c>
      <c r="B12417">
        <v>2018</v>
      </c>
      <c r="C12417">
        <v>4</v>
      </c>
      <c r="D12417" s="11">
        <v>43191</v>
      </c>
      <c r="E12417" t="s">
        <v>2176</v>
      </c>
      <c r="F12417">
        <v>1</v>
      </c>
      <c r="G12417" t="s">
        <v>61</v>
      </c>
      <c r="H12417" t="s">
        <v>47</v>
      </c>
      <c r="I12417" t="s">
        <v>2195</v>
      </c>
      <c r="J12417" s="10">
        <v>10</v>
      </c>
      <c r="K12417" t="b">
        <v>1</v>
      </c>
    </row>
    <row r="12418" spans="1:11">
      <c r="A12418" s="12">
        <v>43193</v>
      </c>
      <c r="B12418">
        <v>2018</v>
      </c>
      <c r="C12418">
        <v>4</v>
      </c>
      <c r="D12418" s="11">
        <v>43191</v>
      </c>
      <c r="E12418" t="s">
        <v>2176</v>
      </c>
      <c r="F12418">
        <v>2</v>
      </c>
      <c r="G12418" t="s">
        <v>63</v>
      </c>
      <c r="H12418" t="s">
        <v>40</v>
      </c>
      <c r="I12418" t="s">
        <v>2188</v>
      </c>
      <c r="J12418" s="10">
        <v>1</v>
      </c>
      <c r="K12418" t="b">
        <v>1</v>
      </c>
    </row>
    <row r="12419" spans="1:11">
      <c r="A12419" s="12">
        <v>43193</v>
      </c>
      <c r="B12419">
        <v>2018</v>
      </c>
      <c r="C12419">
        <v>4</v>
      </c>
      <c r="D12419" s="11">
        <v>43191</v>
      </c>
      <c r="E12419" t="s">
        <v>2176</v>
      </c>
      <c r="F12419">
        <v>2</v>
      </c>
      <c r="G12419" t="s">
        <v>63</v>
      </c>
      <c r="H12419" t="s">
        <v>41</v>
      </c>
      <c r="I12419" t="s">
        <v>2189</v>
      </c>
      <c r="J12419" s="10">
        <v>2.529</v>
      </c>
      <c r="K12419" t="b">
        <v>1</v>
      </c>
    </row>
    <row r="12420" spans="1:11">
      <c r="A12420" s="12">
        <v>43193</v>
      </c>
      <c r="B12420">
        <v>2018</v>
      </c>
      <c r="C12420">
        <v>4</v>
      </c>
      <c r="D12420" s="11">
        <v>43191</v>
      </c>
      <c r="E12420" t="s">
        <v>2176</v>
      </c>
      <c r="F12420">
        <v>2</v>
      </c>
      <c r="G12420" t="s">
        <v>63</v>
      </c>
      <c r="H12420" t="s">
        <v>42</v>
      </c>
      <c r="I12420" t="s">
        <v>2190</v>
      </c>
      <c r="J12420" s="10">
        <v>2</v>
      </c>
      <c r="K12420" t="b">
        <v>1</v>
      </c>
    </row>
    <row r="12421" spans="1:11">
      <c r="A12421" s="12">
        <v>43193</v>
      </c>
      <c r="B12421">
        <v>2018</v>
      </c>
      <c r="C12421">
        <v>4</v>
      </c>
      <c r="D12421" s="11">
        <v>43191</v>
      </c>
      <c r="E12421" t="s">
        <v>2176</v>
      </c>
      <c r="F12421">
        <v>2</v>
      </c>
      <c r="G12421" t="s">
        <v>63</v>
      </c>
      <c r="H12421" t="s">
        <v>43</v>
      </c>
      <c r="I12421" t="s">
        <v>2191</v>
      </c>
      <c r="J12421" s="10">
        <v>38</v>
      </c>
      <c r="K12421" t="b">
        <v>1</v>
      </c>
    </row>
    <row r="12422" spans="1:11">
      <c r="A12422" s="12">
        <v>43193</v>
      </c>
      <c r="B12422">
        <v>2018</v>
      </c>
      <c r="C12422">
        <v>4</v>
      </c>
      <c r="D12422" s="11">
        <v>43191</v>
      </c>
      <c r="E12422" t="s">
        <v>2176</v>
      </c>
      <c r="F12422">
        <v>2</v>
      </c>
      <c r="G12422" t="s">
        <v>63</v>
      </c>
      <c r="H12422" t="s">
        <v>44</v>
      </c>
      <c r="I12422" t="s">
        <v>2192</v>
      </c>
      <c r="J12422" s="10">
        <v>10</v>
      </c>
      <c r="K12422" t="b">
        <v>1</v>
      </c>
    </row>
    <row r="12423" spans="1:11">
      <c r="A12423" s="12">
        <v>43193</v>
      </c>
      <c r="B12423">
        <v>2018</v>
      </c>
      <c r="C12423">
        <v>4</v>
      </c>
      <c r="D12423" s="11">
        <v>43191</v>
      </c>
      <c r="E12423" t="s">
        <v>2176</v>
      </c>
      <c r="F12423">
        <v>2</v>
      </c>
      <c r="G12423" t="s">
        <v>63</v>
      </c>
      <c r="H12423" t="s">
        <v>45</v>
      </c>
      <c r="I12423" t="s">
        <v>2193</v>
      </c>
      <c r="J12423" s="10">
        <v>6</v>
      </c>
      <c r="K12423" t="b">
        <v>1</v>
      </c>
    </row>
    <row r="12424" spans="1:11">
      <c r="A12424" s="12">
        <v>43193</v>
      </c>
      <c r="B12424">
        <v>2018</v>
      </c>
      <c r="C12424">
        <v>4</v>
      </c>
      <c r="D12424" s="11">
        <v>43191</v>
      </c>
      <c r="E12424" t="s">
        <v>2176</v>
      </c>
      <c r="F12424">
        <v>2</v>
      </c>
      <c r="G12424" t="s">
        <v>63</v>
      </c>
      <c r="H12424" t="s">
        <v>46</v>
      </c>
      <c r="I12424" t="s">
        <v>2194</v>
      </c>
      <c r="J12424" s="10">
        <v>5</v>
      </c>
      <c r="K12424" t="b">
        <v>1</v>
      </c>
    </row>
    <row r="12425" spans="1:11">
      <c r="A12425" s="12">
        <v>43193</v>
      </c>
      <c r="B12425">
        <v>2018</v>
      </c>
      <c r="C12425">
        <v>4</v>
      </c>
      <c r="D12425" s="11">
        <v>43191</v>
      </c>
      <c r="E12425" t="s">
        <v>2176</v>
      </c>
      <c r="F12425">
        <v>2</v>
      </c>
      <c r="G12425" t="s">
        <v>63</v>
      </c>
      <c r="H12425" t="s">
        <v>47</v>
      </c>
      <c r="I12425" t="s">
        <v>2195</v>
      </c>
      <c r="J12425" s="10">
        <v>3.5</v>
      </c>
      <c r="K12425" t="b">
        <v>1</v>
      </c>
    </row>
    <row r="12426" spans="1:11">
      <c r="A12426" s="12">
        <v>43194</v>
      </c>
      <c r="B12426">
        <v>2018</v>
      </c>
      <c r="C12426">
        <v>4</v>
      </c>
      <c r="D12426" s="11">
        <v>43191</v>
      </c>
      <c r="E12426" t="s">
        <v>2176</v>
      </c>
      <c r="F12426">
        <v>3</v>
      </c>
      <c r="G12426" t="s">
        <v>65</v>
      </c>
      <c r="H12426" t="s">
        <v>40</v>
      </c>
      <c r="I12426" t="s">
        <v>2188</v>
      </c>
      <c r="J12426" s="10">
        <v>6.01</v>
      </c>
      <c r="K12426" t="b">
        <v>1</v>
      </c>
    </row>
    <row r="12427" spans="1:11">
      <c r="A12427" s="12">
        <v>43194</v>
      </c>
      <c r="B12427">
        <v>2018</v>
      </c>
      <c r="C12427">
        <v>4</v>
      </c>
      <c r="D12427" s="11">
        <v>43191</v>
      </c>
      <c r="E12427" t="s">
        <v>2176</v>
      </c>
      <c r="F12427">
        <v>3</v>
      </c>
      <c r="G12427" t="s">
        <v>65</v>
      </c>
      <c r="H12427" t="s">
        <v>41</v>
      </c>
      <c r="I12427" t="s">
        <v>2189</v>
      </c>
      <c r="J12427" s="10">
        <v>5.2</v>
      </c>
      <c r="K12427" t="b">
        <v>1</v>
      </c>
    </row>
    <row r="12428" spans="1:11">
      <c r="A12428" s="12">
        <v>43194</v>
      </c>
      <c r="B12428">
        <v>2018</v>
      </c>
      <c r="C12428">
        <v>4</v>
      </c>
      <c r="D12428" s="11">
        <v>43191</v>
      </c>
      <c r="E12428" t="s">
        <v>2176</v>
      </c>
      <c r="F12428">
        <v>3</v>
      </c>
      <c r="G12428" t="s">
        <v>65</v>
      </c>
      <c r="H12428" t="s">
        <v>42</v>
      </c>
      <c r="I12428" t="s">
        <v>2190</v>
      </c>
      <c r="J12428" s="10">
        <v>3</v>
      </c>
      <c r="K12428" t="b">
        <v>1</v>
      </c>
    </row>
    <row r="12429" spans="1:11">
      <c r="A12429" s="12">
        <v>43194</v>
      </c>
      <c r="B12429">
        <v>2018</v>
      </c>
      <c r="C12429">
        <v>4</v>
      </c>
      <c r="D12429" s="11">
        <v>43191</v>
      </c>
      <c r="E12429" t="s">
        <v>2176</v>
      </c>
      <c r="F12429">
        <v>3</v>
      </c>
      <c r="G12429" t="s">
        <v>65</v>
      </c>
      <c r="H12429" t="s">
        <v>43</v>
      </c>
      <c r="I12429" t="s">
        <v>2191</v>
      </c>
      <c r="J12429" s="10">
        <v>29</v>
      </c>
      <c r="K12429" t="b">
        <v>1</v>
      </c>
    </row>
    <row r="12430" spans="1:11">
      <c r="A12430" s="12">
        <v>43194</v>
      </c>
      <c r="B12430">
        <v>2018</v>
      </c>
      <c r="C12430">
        <v>4</v>
      </c>
      <c r="D12430" s="11">
        <v>43191</v>
      </c>
      <c r="E12430" t="s">
        <v>2176</v>
      </c>
      <c r="F12430">
        <v>3</v>
      </c>
      <c r="G12430" t="s">
        <v>65</v>
      </c>
      <c r="H12430" t="s">
        <v>44</v>
      </c>
      <c r="I12430" t="s">
        <v>2192</v>
      </c>
      <c r="J12430" s="10">
        <v>9</v>
      </c>
      <c r="K12430" t="b">
        <v>1</v>
      </c>
    </row>
    <row r="12431" spans="1:11">
      <c r="A12431" s="12">
        <v>43194</v>
      </c>
      <c r="B12431">
        <v>2018</v>
      </c>
      <c r="C12431">
        <v>4</v>
      </c>
      <c r="D12431" s="11">
        <v>43191</v>
      </c>
      <c r="E12431" t="s">
        <v>2176</v>
      </c>
      <c r="F12431">
        <v>3</v>
      </c>
      <c r="G12431" t="s">
        <v>65</v>
      </c>
      <c r="H12431" t="s">
        <v>45</v>
      </c>
      <c r="I12431" t="s">
        <v>2193</v>
      </c>
      <c r="J12431" s="10">
        <v>0</v>
      </c>
      <c r="K12431" t="b">
        <v>1</v>
      </c>
    </row>
    <row r="12432" spans="1:11">
      <c r="A12432" s="12">
        <v>43194</v>
      </c>
      <c r="B12432">
        <v>2018</v>
      </c>
      <c r="C12432">
        <v>4</v>
      </c>
      <c r="D12432" s="11">
        <v>43191</v>
      </c>
      <c r="E12432" t="s">
        <v>2176</v>
      </c>
      <c r="F12432">
        <v>3</v>
      </c>
      <c r="G12432" t="s">
        <v>65</v>
      </c>
      <c r="H12432" t="s">
        <v>46</v>
      </c>
      <c r="I12432" t="s">
        <v>2194</v>
      </c>
      <c r="J12432" s="10">
        <v>1</v>
      </c>
      <c r="K12432" t="b">
        <v>1</v>
      </c>
    </row>
    <row r="12433" spans="1:11">
      <c r="A12433" s="12">
        <v>43194</v>
      </c>
      <c r="B12433">
        <v>2018</v>
      </c>
      <c r="C12433">
        <v>4</v>
      </c>
      <c r="D12433" s="11">
        <v>43191</v>
      </c>
      <c r="E12433" t="s">
        <v>2176</v>
      </c>
      <c r="F12433">
        <v>3</v>
      </c>
      <c r="G12433" t="s">
        <v>65</v>
      </c>
      <c r="H12433" t="s">
        <v>47</v>
      </c>
      <c r="I12433" t="s">
        <v>2195</v>
      </c>
      <c r="J12433" s="10">
        <v>8</v>
      </c>
      <c r="K12433" t="b">
        <v>1</v>
      </c>
    </row>
    <row r="12434" spans="1:11">
      <c r="A12434" s="12">
        <v>43195</v>
      </c>
      <c r="B12434">
        <v>2018</v>
      </c>
      <c r="C12434">
        <v>4</v>
      </c>
      <c r="D12434" s="11">
        <v>43191</v>
      </c>
      <c r="E12434" t="s">
        <v>2176</v>
      </c>
      <c r="F12434">
        <v>4</v>
      </c>
      <c r="G12434" t="s">
        <v>53</v>
      </c>
      <c r="H12434" t="s">
        <v>40</v>
      </c>
      <c r="I12434" t="s">
        <v>2188</v>
      </c>
      <c r="J12434" s="10">
        <v>6.33</v>
      </c>
      <c r="K12434" t="b">
        <v>1</v>
      </c>
    </row>
    <row r="12435" spans="1:11">
      <c r="A12435" s="12">
        <v>43195</v>
      </c>
      <c r="B12435">
        <v>2018</v>
      </c>
      <c r="C12435">
        <v>4</v>
      </c>
      <c r="D12435" s="11">
        <v>43191</v>
      </c>
      <c r="E12435" t="s">
        <v>2176</v>
      </c>
      <c r="F12435">
        <v>4</v>
      </c>
      <c r="G12435" t="s">
        <v>53</v>
      </c>
      <c r="H12435" t="s">
        <v>41</v>
      </c>
      <c r="I12435" t="s">
        <v>2189</v>
      </c>
      <c r="J12435" s="10">
        <v>3.67</v>
      </c>
      <c r="K12435" t="b">
        <v>1</v>
      </c>
    </row>
    <row r="12436" spans="1:11">
      <c r="A12436" s="12">
        <v>43195</v>
      </c>
      <c r="B12436">
        <v>2018</v>
      </c>
      <c r="C12436">
        <v>4</v>
      </c>
      <c r="D12436" s="11">
        <v>43191</v>
      </c>
      <c r="E12436" t="s">
        <v>2176</v>
      </c>
      <c r="F12436">
        <v>4</v>
      </c>
      <c r="G12436" t="s">
        <v>53</v>
      </c>
      <c r="H12436" t="s">
        <v>42</v>
      </c>
      <c r="I12436" t="s">
        <v>2190</v>
      </c>
      <c r="J12436" s="10">
        <v>5.4</v>
      </c>
      <c r="K12436" t="b">
        <v>1</v>
      </c>
    </row>
    <row r="12437" spans="1:11">
      <c r="A12437" s="12">
        <v>43195</v>
      </c>
      <c r="B12437">
        <v>2018</v>
      </c>
      <c r="C12437">
        <v>4</v>
      </c>
      <c r="D12437" s="11">
        <v>43191</v>
      </c>
      <c r="E12437" t="s">
        <v>2176</v>
      </c>
      <c r="F12437">
        <v>4</v>
      </c>
      <c r="G12437" t="s">
        <v>53</v>
      </c>
      <c r="H12437" t="s">
        <v>43</v>
      </c>
      <c r="I12437" t="s">
        <v>2191</v>
      </c>
      <c r="J12437" s="10">
        <v>39</v>
      </c>
      <c r="K12437" t="b">
        <v>1</v>
      </c>
    </row>
    <row r="12438" spans="1:11">
      <c r="A12438" s="12">
        <v>43195</v>
      </c>
      <c r="B12438">
        <v>2018</v>
      </c>
      <c r="C12438">
        <v>4</v>
      </c>
      <c r="D12438" s="11">
        <v>43191</v>
      </c>
      <c r="E12438" t="s">
        <v>2176</v>
      </c>
      <c r="F12438">
        <v>4</v>
      </c>
      <c r="G12438" t="s">
        <v>53</v>
      </c>
      <c r="H12438" t="s">
        <v>44</v>
      </c>
      <c r="I12438" t="s">
        <v>2192</v>
      </c>
      <c r="J12438" s="10">
        <v>16</v>
      </c>
      <c r="K12438" t="b">
        <v>1</v>
      </c>
    </row>
    <row r="12439" spans="1:11">
      <c r="A12439" s="12">
        <v>43195</v>
      </c>
      <c r="B12439">
        <v>2018</v>
      </c>
      <c r="C12439">
        <v>4</v>
      </c>
      <c r="D12439" s="11">
        <v>43191</v>
      </c>
      <c r="E12439" t="s">
        <v>2176</v>
      </c>
      <c r="F12439">
        <v>4</v>
      </c>
      <c r="G12439" t="s">
        <v>53</v>
      </c>
      <c r="H12439" t="s">
        <v>45</v>
      </c>
      <c r="I12439" t="s">
        <v>2193</v>
      </c>
      <c r="J12439" s="10">
        <v>1</v>
      </c>
      <c r="K12439" t="b">
        <v>1</v>
      </c>
    </row>
    <row r="12440" spans="1:11">
      <c r="A12440" s="12">
        <v>43195</v>
      </c>
      <c r="B12440">
        <v>2018</v>
      </c>
      <c r="C12440">
        <v>4</v>
      </c>
      <c r="D12440" s="11">
        <v>43191</v>
      </c>
      <c r="E12440" t="s">
        <v>2176</v>
      </c>
      <c r="F12440">
        <v>4</v>
      </c>
      <c r="G12440" t="s">
        <v>53</v>
      </c>
      <c r="H12440" t="s">
        <v>46</v>
      </c>
      <c r="I12440" t="s">
        <v>2194</v>
      </c>
      <c r="J12440" s="10">
        <v>16</v>
      </c>
      <c r="K12440" t="b">
        <v>1</v>
      </c>
    </row>
    <row r="12441" spans="1:11">
      <c r="A12441" s="12">
        <v>43195</v>
      </c>
      <c r="B12441">
        <v>2018</v>
      </c>
      <c r="C12441">
        <v>4</v>
      </c>
      <c r="D12441" s="11">
        <v>43191</v>
      </c>
      <c r="E12441" t="s">
        <v>2176</v>
      </c>
      <c r="F12441">
        <v>4</v>
      </c>
      <c r="G12441" t="s">
        <v>53</v>
      </c>
      <c r="H12441" t="s">
        <v>47</v>
      </c>
      <c r="I12441" t="s">
        <v>2195</v>
      </c>
      <c r="J12441" s="10">
        <v>3</v>
      </c>
      <c r="K12441" t="b">
        <v>1</v>
      </c>
    </row>
    <row r="12442" spans="1:11">
      <c r="A12442" s="12">
        <v>43196</v>
      </c>
      <c r="B12442">
        <v>2018</v>
      </c>
      <c r="C12442">
        <v>4</v>
      </c>
      <c r="D12442" s="11">
        <v>43191</v>
      </c>
      <c r="E12442" t="s">
        <v>2176</v>
      </c>
      <c r="F12442">
        <v>5</v>
      </c>
      <c r="G12442" t="s">
        <v>55</v>
      </c>
      <c r="H12442" t="s">
        <v>40</v>
      </c>
      <c r="I12442" t="s">
        <v>2188</v>
      </c>
      <c r="J12442" s="10">
        <v>3.67</v>
      </c>
      <c r="K12442" t="b">
        <v>1</v>
      </c>
    </row>
    <row r="12443" spans="1:11">
      <c r="A12443" s="12">
        <v>43196</v>
      </c>
      <c r="B12443">
        <v>2018</v>
      </c>
      <c r="C12443">
        <v>4</v>
      </c>
      <c r="D12443" s="11">
        <v>43191</v>
      </c>
      <c r="E12443" t="s">
        <v>2176</v>
      </c>
      <c r="F12443">
        <v>5</v>
      </c>
      <c r="G12443" t="s">
        <v>55</v>
      </c>
      <c r="H12443" t="s">
        <v>41</v>
      </c>
      <c r="I12443" t="s">
        <v>2189</v>
      </c>
      <c r="J12443" s="10">
        <v>3</v>
      </c>
      <c r="K12443" t="b">
        <v>1</v>
      </c>
    </row>
    <row r="12444" spans="1:11">
      <c r="A12444" s="12">
        <v>43196</v>
      </c>
      <c r="B12444">
        <v>2018</v>
      </c>
      <c r="C12444">
        <v>4</v>
      </c>
      <c r="D12444" s="11">
        <v>43191</v>
      </c>
      <c r="E12444" t="s">
        <v>2176</v>
      </c>
      <c r="F12444">
        <v>5</v>
      </c>
      <c r="G12444" t="s">
        <v>55</v>
      </c>
      <c r="H12444" t="s">
        <v>42</v>
      </c>
      <c r="I12444" t="s">
        <v>2190</v>
      </c>
      <c r="J12444" s="10">
        <v>4.2</v>
      </c>
      <c r="K12444" t="b">
        <v>1</v>
      </c>
    </row>
    <row r="12445" spans="1:11">
      <c r="A12445" s="12">
        <v>43196</v>
      </c>
      <c r="B12445">
        <v>2018</v>
      </c>
      <c r="C12445">
        <v>4</v>
      </c>
      <c r="D12445" s="11">
        <v>43191</v>
      </c>
      <c r="E12445" t="s">
        <v>2176</v>
      </c>
      <c r="F12445">
        <v>5</v>
      </c>
      <c r="G12445" t="s">
        <v>55</v>
      </c>
      <c r="H12445" t="s">
        <v>43</v>
      </c>
      <c r="I12445" t="s">
        <v>2191</v>
      </c>
      <c r="J12445" s="10">
        <v>33.525</v>
      </c>
      <c r="K12445" t="b">
        <v>1</v>
      </c>
    </row>
    <row r="12446" spans="1:11">
      <c r="A12446" s="12">
        <v>43196</v>
      </c>
      <c r="B12446">
        <v>2018</v>
      </c>
      <c r="C12446">
        <v>4</v>
      </c>
      <c r="D12446" s="11">
        <v>43191</v>
      </c>
      <c r="E12446" t="s">
        <v>2176</v>
      </c>
      <c r="F12446">
        <v>5</v>
      </c>
      <c r="G12446" t="s">
        <v>55</v>
      </c>
      <c r="H12446" t="s">
        <v>44</v>
      </c>
      <c r="I12446" t="s">
        <v>2192</v>
      </c>
      <c r="J12446" s="10">
        <v>13</v>
      </c>
      <c r="K12446" t="b">
        <v>1</v>
      </c>
    </row>
    <row r="12447" spans="1:11">
      <c r="A12447" s="12">
        <v>43196</v>
      </c>
      <c r="B12447">
        <v>2018</v>
      </c>
      <c r="C12447">
        <v>4</v>
      </c>
      <c r="D12447" s="11">
        <v>43191</v>
      </c>
      <c r="E12447" t="s">
        <v>2176</v>
      </c>
      <c r="F12447">
        <v>5</v>
      </c>
      <c r="G12447" t="s">
        <v>55</v>
      </c>
      <c r="H12447" t="s">
        <v>45</v>
      </c>
      <c r="I12447" t="s">
        <v>2193</v>
      </c>
      <c r="J12447" s="10">
        <v>0</v>
      </c>
      <c r="K12447" t="b">
        <v>1</v>
      </c>
    </row>
    <row r="12448" spans="1:11">
      <c r="A12448" s="12">
        <v>43196</v>
      </c>
      <c r="B12448">
        <v>2018</v>
      </c>
      <c r="C12448">
        <v>4</v>
      </c>
      <c r="D12448" s="11">
        <v>43191</v>
      </c>
      <c r="E12448" t="s">
        <v>2176</v>
      </c>
      <c r="F12448">
        <v>5</v>
      </c>
      <c r="G12448" t="s">
        <v>55</v>
      </c>
      <c r="H12448" t="s">
        <v>46</v>
      </c>
      <c r="I12448" t="s">
        <v>2194</v>
      </c>
      <c r="J12448" s="10">
        <v>23</v>
      </c>
      <c r="K12448" t="b">
        <v>1</v>
      </c>
    </row>
    <row r="12449" spans="1:11">
      <c r="A12449" s="12">
        <v>43196</v>
      </c>
      <c r="B12449">
        <v>2018</v>
      </c>
      <c r="C12449">
        <v>4</v>
      </c>
      <c r="D12449" s="11">
        <v>43191</v>
      </c>
      <c r="E12449" t="s">
        <v>2176</v>
      </c>
      <c r="F12449">
        <v>5</v>
      </c>
      <c r="G12449" t="s">
        <v>55</v>
      </c>
      <c r="H12449" t="s">
        <v>47</v>
      </c>
      <c r="I12449" t="s">
        <v>2195</v>
      </c>
      <c r="J12449" s="10">
        <v>5</v>
      </c>
      <c r="K12449" t="b">
        <v>1</v>
      </c>
    </row>
    <row r="12450" spans="1:11">
      <c r="A12450" s="12">
        <v>43197</v>
      </c>
      <c r="B12450">
        <v>2018</v>
      </c>
      <c r="C12450">
        <v>4</v>
      </c>
      <c r="D12450" s="11">
        <v>43191</v>
      </c>
      <c r="E12450" t="s">
        <v>2176</v>
      </c>
      <c r="F12450">
        <v>6</v>
      </c>
      <c r="G12450" t="s">
        <v>57</v>
      </c>
      <c r="H12450" t="s">
        <v>40</v>
      </c>
      <c r="I12450" t="s">
        <v>2188</v>
      </c>
      <c r="J12450" s="10">
        <v>16.18</v>
      </c>
      <c r="K12450" t="b">
        <v>1</v>
      </c>
    </row>
    <row r="12451" spans="1:11">
      <c r="A12451" s="12">
        <v>43197</v>
      </c>
      <c r="B12451">
        <v>2018</v>
      </c>
      <c r="C12451">
        <v>4</v>
      </c>
      <c r="D12451" s="11">
        <v>43191</v>
      </c>
      <c r="E12451" t="s">
        <v>2176</v>
      </c>
      <c r="F12451">
        <v>6</v>
      </c>
      <c r="G12451" t="s">
        <v>57</v>
      </c>
      <c r="H12451" t="s">
        <v>41</v>
      </c>
      <c r="I12451" t="s">
        <v>2189</v>
      </c>
      <c r="J12451" s="10">
        <v>4.506</v>
      </c>
      <c r="K12451" t="b">
        <v>1</v>
      </c>
    </row>
    <row r="12452" spans="1:11">
      <c r="A12452" s="12">
        <v>43197</v>
      </c>
      <c r="B12452">
        <v>2018</v>
      </c>
      <c r="C12452">
        <v>4</v>
      </c>
      <c r="D12452" s="11">
        <v>43191</v>
      </c>
      <c r="E12452" t="s">
        <v>2176</v>
      </c>
      <c r="F12452">
        <v>6</v>
      </c>
      <c r="G12452" t="s">
        <v>57</v>
      </c>
      <c r="H12452" t="s">
        <v>42</v>
      </c>
      <c r="I12452" t="s">
        <v>2190</v>
      </c>
      <c r="J12452" s="10">
        <v>2</v>
      </c>
      <c r="K12452" t="b">
        <v>1</v>
      </c>
    </row>
    <row r="12453" spans="1:11">
      <c r="A12453" s="12">
        <v>43197</v>
      </c>
      <c r="B12453">
        <v>2018</v>
      </c>
      <c r="C12453">
        <v>4</v>
      </c>
      <c r="D12453" s="11">
        <v>43191</v>
      </c>
      <c r="E12453" t="s">
        <v>2176</v>
      </c>
      <c r="F12453">
        <v>6</v>
      </c>
      <c r="G12453" t="s">
        <v>57</v>
      </c>
      <c r="H12453" t="s">
        <v>43</v>
      </c>
      <c r="I12453" t="s">
        <v>2191</v>
      </c>
      <c r="J12453" s="10">
        <v>40</v>
      </c>
      <c r="K12453" t="b">
        <v>1</v>
      </c>
    </row>
    <row r="12454" spans="1:11">
      <c r="A12454" s="12">
        <v>43197</v>
      </c>
      <c r="B12454">
        <v>2018</v>
      </c>
      <c r="C12454">
        <v>4</v>
      </c>
      <c r="D12454" s="11">
        <v>43191</v>
      </c>
      <c r="E12454" t="s">
        <v>2176</v>
      </c>
      <c r="F12454">
        <v>6</v>
      </c>
      <c r="G12454" t="s">
        <v>57</v>
      </c>
      <c r="H12454" t="s">
        <v>44</v>
      </c>
      <c r="I12454" t="s">
        <v>2192</v>
      </c>
      <c r="J12454" s="10">
        <v>4</v>
      </c>
      <c r="K12454" t="b">
        <v>1</v>
      </c>
    </row>
    <row r="12455" spans="1:11">
      <c r="A12455" s="12">
        <v>43197</v>
      </c>
      <c r="B12455">
        <v>2018</v>
      </c>
      <c r="C12455">
        <v>4</v>
      </c>
      <c r="D12455" s="11">
        <v>43191</v>
      </c>
      <c r="E12455" t="s">
        <v>2176</v>
      </c>
      <c r="F12455">
        <v>6</v>
      </c>
      <c r="G12455" t="s">
        <v>57</v>
      </c>
      <c r="H12455" t="s">
        <v>45</v>
      </c>
      <c r="I12455" t="s">
        <v>2193</v>
      </c>
      <c r="J12455" s="10">
        <v>0</v>
      </c>
      <c r="K12455" t="b">
        <v>1</v>
      </c>
    </row>
    <row r="12456" spans="1:11">
      <c r="A12456" s="12">
        <v>43197</v>
      </c>
      <c r="B12456">
        <v>2018</v>
      </c>
      <c r="C12456">
        <v>4</v>
      </c>
      <c r="D12456" s="11">
        <v>43191</v>
      </c>
      <c r="E12456" t="s">
        <v>2176</v>
      </c>
      <c r="F12456">
        <v>6</v>
      </c>
      <c r="G12456" t="s">
        <v>57</v>
      </c>
      <c r="H12456" t="s">
        <v>46</v>
      </c>
      <c r="I12456" t="s">
        <v>2194</v>
      </c>
      <c r="J12456" s="10">
        <v>5</v>
      </c>
      <c r="K12456" t="b">
        <v>1</v>
      </c>
    </row>
    <row r="12457" spans="1:11">
      <c r="A12457" s="12">
        <v>43197</v>
      </c>
      <c r="B12457">
        <v>2018</v>
      </c>
      <c r="C12457">
        <v>4</v>
      </c>
      <c r="D12457" s="11">
        <v>43191</v>
      </c>
      <c r="E12457" t="s">
        <v>2176</v>
      </c>
      <c r="F12457">
        <v>6</v>
      </c>
      <c r="G12457" t="s">
        <v>57</v>
      </c>
      <c r="H12457" t="s">
        <v>47</v>
      </c>
      <c r="I12457" t="s">
        <v>2195</v>
      </c>
      <c r="J12457" s="10">
        <v>7</v>
      </c>
      <c r="K12457" t="b">
        <v>1</v>
      </c>
    </row>
    <row r="12458" spans="1:11">
      <c r="A12458" s="12">
        <v>43198</v>
      </c>
      <c r="B12458">
        <v>2018</v>
      </c>
      <c r="C12458">
        <v>4</v>
      </c>
      <c r="D12458" s="11">
        <v>43191</v>
      </c>
      <c r="E12458" t="s">
        <v>2176</v>
      </c>
      <c r="F12458">
        <v>7</v>
      </c>
      <c r="G12458" t="s">
        <v>59</v>
      </c>
      <c r="H12458" t="s">
        <v>40</v>
      </c>
      <c r="I12458" t="s">
        <v>2188</v>
      </c>
      <c r="J12458" s="10">
        <v>0</v>
      </c>
      <c r="K12458" t="b">
        <v>1</v>
      </c>
    </row>
    <row r="12459" spans="1:11">
      <c r="A12459" s="12">
        <v>43198</v>
      </c>
      <c r="B12459">
        <v>2018</v>
      </c>
      <c r="C12459">
        <v>4</v>
      </c>
      <c r="D12459" s="11">
        <v>43191</v>
      </c>
      <c r="E12459" t="s">
        <v>2176</v>
      </c>
      <c r="F12459">
        <v>7</v>
      </c>
      <c r="G12459" t="s">
        <v>59</v>
      </c>
      <c r="H12459" t="s">
        <v>41</v>
      </c>
      <c r="I12459" t="s">
        <v>2189</v>
      </c>
      <c r="J12459" s="10">
        <v>0</v>
      </c>
      <c r="K12459" t="b">
        <v>1</v>
      </c>
    </row>
    <row r="12460" spans="1:11">
      <c r="A12460" s="12">
        <v>43198</v>
      </c>
      <c r="B12460">
        <v>2018</v>
      </c>
      <c r="C12460">
        <v>4</v>
      </c>
      <c r="D12460" s="11">
        <v>43191</v>
      </c>
      <c r="E12460" t="s">
        <v>2176</v>
      </c>
      <c r="F12460">
        <v>7</v>
      </c>
      <c r="G12460" t="s">
        <v>59</v>
      </c>
      <c r="H12460" t="s">
        <v>42</v>
      </c>
      <c r="I12460" t="s">
        <v>2190</v>
      </c>
      <c r="J12460" s="10">
        <v>0</v>
      </c>
      <c r="K12460" t="b">
        <v>1</v>
      </c>
    </row>
    <row r="12461" spans="1:11">
      <c r="A12461" s="12">
        <v>43198</v>
      </c>
      <c r="B12461">
        <v>2018</v>
      </c>
      <c r="C12461">
        <v>4</v>
      </c>
      <c r="D12461" s="11">
        <v>43191</v>
      </c>
      <c r="E12461" t="s">
        <v>2176</v>
      </c>
      <c r="F12461">
        <v>7</v>
      </c>
      <c r="G12461" t="s">
        <v>59</v>
      </c>
      <c r="H12461" t="s">
        <v>43</v>
      </c>
      <c r="I12461" t="s">
        <v>2191</v>
      </c>
      <c r="J12461" s="10">
        <v>0</v>
      </c>
      <c r="K12461" t="b">
        <v>1</v>
      </c>
    </row>
    <row r="12462" spans="1:11">
      <c r="A12462" s="12">
        <v>43198</v>
      </c>
      <c r="B12462">
        <v>2018</v>
      </c>
      <c r="C12462">
        <v>4</v>
      </c>
      <c r="D12462" s="11">
        <v>43191</v>
      </c>
      <c r="E12462" t="s">
        <v>2176</v>
      </c>
      <c r="F12462">
        <v>7</v>
      </c>
      <c r="G12462" t="s">
        <v>59</v>
      </c>
      <c r="H12462" t="s">
        <v>44</v>
      </c>
      <c r="I12462" t="s">
        <v>2192</v>
      </c>
      <c r="J12462" s="10">
        <v>0</v>
      </c>
      <c r="K12462" t="b">
        <v>1</v>
      </c>
    </row>
    <row r="12463" spans="1:11">
      <c r="A12463" s="12">
        <v>43198</v>
      </c>
      <c r="B12463">
        <v>2018</v>
      </c>
      <c r="C12463">
        <v>4</v>
      </c>
      <c r="D12463" s="11">
        <v>43191</v>
      </c>
      <c r="E12463" t="s">
        <v>2176</v>
      </c>
      <c r="F12463">
        <v>7</v>
      </c>
      <c r="G12463" t="s">
        <v>59</v>
      </c>
      <c r="H12463" t="s">
        <v>45</v>
      </c>
      <c r="I12463" t="s">
        <v>2193</v>
      </c>
      <c r="J12463" s="10">
        <v>0</v>
      </c>
      <c r="K12463" t="b">
        <v>1</v>
      </c>
    </row>
    <row r="12464" spans="1:11">
      <c r="A12464" s="12">
        <v>43198</v>
      </c>
      <c r="B12464">
        <v>2018</v>
      </c>
      <c r="C12464">
        <v>4</v>
      </c>
      <c r="D12464" s="11">
        <v>43191</v>
      </c>
      <c r="E12464" t="s">
        <v>2176</v>
      </c>
      <c r="F12464">
        <v>7</v>
      </c>
      <c r="G12464" t="s">
        <v>59</v>
      </c>
      <c r="H12464" t="s">
        <v>46</v>
      </c>
      <c r="I12464" t="s">
        <v>2194</v>
      </c>
      <c r="J12464" s="10">
        <v>0</v>
      </c>
      <c r="K12464" t="b">
        <v>1</v>
      </c>
    </row>
    <row r="12465" spans="1:11">
      <c r="A12465" s="12">
        <v>43198</v>
      </c>
      <c r="B12465">
        <v>2018</v>
      </c>
      <c r="C12465">
        <v>4</v>
      </c>
      <c r="D12465" s="11">
        <v>43191</v>
      </c>
      <c r="E12465" t="s">
        <v>2176</v>
      </c>
      <c r="F12465">
        <v>7</v>
      </c>
      <c r="G12465" t="s">
        <v>59</v>
      </c>
      <c r="H12465" t="s">
        <v>47</v>
      </c>
      <c r="I12465" t="s">
        <v>2195</v>
      </c>
      <c r="J12465" s="10">
        <v>0</v>
      </c>
      <c r="K12465" t="b">
        <v>1</v>
      </c>
    </row>
    <row r="12466" spans="1:11">
      <c r="A12466" s="12">
        <v>43199</v>
      </c>
      <c r="B12466">
        <v>2018</v>
      </c>
      <c r="C12466">
        <v>4</v>
      </c>
      <c r="D12466" s="11">
        <v>43191</v>
      </c>
      <c r="E12466" t="s">
        <v>2176</v>
      </c>
      <c r="F12466">
        <v>1</v>
      </c>
      <c r="G12466" t="s">
        <v>61</v>
      </c>
      <c r="H12466" t="s">
        <v>40</v>
      </c>
      <c r="I12466" t="s">
        <v>2188</v>
      </c>
      <c r="J12466" s="10">
        <v>5</v>
      </c>
      <c r="K12466" t="b">
        <v>1</v>
      </c>
    </row>
    <row r="12467" spans="1:11">
      <c r="A12467" s="12">
        <v>43199</v>
      </c>
      <c r="B12467">
        <v>2018</v>
      </c>
      <c r="C12467">
        <v>4</v>
      </c>
      <c r="D12467" s="11">
        <v>43191</v>
      </c>
      <c r="E12467" t="s">
        <v>2176</v>
      </c>
      <c r="F12467">
        <v>1</v>
      </c>
      <c r="G12467" t="s">
        <v>61</v>
      </c>
      <c r="H12467" t="s">
        <v>41</v>
      </c>
      <c r="I12467" t="s">
        <v>2189</v>
      </c>
      <c r="J12467" s="10">
        <v>3</v>
      </c>
      <c r="K12467" t="b">
        <v>1</v>
      </c>
    </row>
    <row r="12468" spans="1:11">
      <c r="A12468" s="12">
        <v>43199</v>
      </c>
      <c r="B12468">
        <v>2018</v>
      </c>
      <c r="C12468">
        <v>4</v>
      </c>
      <c r="D12468" s="11">
        <v>43191</v>
      </c>
      <c r="E12468" t="s">
        <v>2176</v>
      </c>
      <c r="F12468">
        <v>1</v>
      </c>
      <c r="G12468" t="s">
        <v>61</v>
      </c>
      <c r="H12468" t="s">
        <v>42</v>
      </c>
      <c r="I12468" t="s">
        <v>2190</v>
      </c>
      <c r="J12468" s="10">
        <v>6</v>
      </c>
      <c r="K12468" t="b">
        <v>1</v>
      </c>
    </row>
    <row r="12469" spans="1:11">
      <c r="A12469" s="12">
        <v>43199</v>
      </c>
      <c r="B12469">
        <v>2018</v>
      </c>
      <c r="C12469">
        <v>4</v>
      </c>
      <c r="D12469" s="11">
        <v>43191</v>
      </c>
      <c r="E12469" t="s">
        <v>2176</v>
      </c>
      <c r="F12469">
        <v>1</v>
      </c>
      <c r="G12469" t="s">
        <v>61</v>
      </c>
      <c r="H12469" t="s">
        <v>43</v>
      </c>
      <c r="I12469" t="s">
        <v>2191</v>
      </c>
      <c r="J12469" s="10">
        <v>25</v>
      </c>
      <c r="K12469" t="b">
        <v>1</v>
      </c>
    </row>
    <row r="12470" spans="1:11">
      <c r="A12470" s="12">
        <v>43199</v>
      </c>
      <c r="B12470">
        <v>2018</v>
      </c>
      <c r="C12470">
        <v>4</v>
      </c>
      <c r="D12470" s="11">
        <v>43191</v>
      </c>
      <c r="E12470" t="s">
        <v>2176</v>
      </c>
      <c r="F12470">
        <v>1</v>
      </c>
      <c r="G12470" t="s">
        <v>61</v>
      </c>
      <c r="H12470" t="s">
        <v>44</v>
      </c>
      <c r="I12470" t="s">
        <v>2192</v>
      </c>
      <c r="J12470" s="10">
        <v>6</v>
      </c>
      <c r="K12470" t="b">
        <v>1</v>
      </c>
    </row>
    <row r="12471" spans="1:11">
      <c r="A12471" s="12">
        <v>43199</v>
      </c>
      <c r="B12471">
        <v>2018</v>
      </c>
      <c r="C12471">
        <v>4</v>
      </c>
      <c r="D12471" s="11">
        <v>43191</v>
      </c>
      <c r="E12471" t="s">
        <v>2176</v>
      </c>
      <c r="F12471">
        <v>1</v>
      </c>
      <c r="G12471" t="s">
        <v>61</v>
      </c>
      <c r="H12471" t="s">
        <v>45</v>
      </c>
      <c r="I12471" t="s">
        <v>2193</v>
      </c>
      <c r="J12471" s="10">
        <v>0</v>
      </c>
      <c r="K12471" t="b">
        <v>1</v>
      </c>
    </row>
    <row r="12472" spans="1:11">
      <c r="A12472" s="12">
        <v>43199</v>
      </c>
      <c r="B12472">
        <v>2018</v>
      </c>
      <c r="C12472">
        <v>4</v>
      </c>
      <c r="D12472" s="11">
        <v>43191</v>
      </c>
      <c r="E12472" t="s">
        <v>2176</v>
      </c>
      <c r="F12472">
        <v>1</v>
      </c>
      <c r="G12472" t="s">
        <v>61</v>
      </c>
      <c r="H12472" t="s">
        <v>46</v>
      </c>
      <c r="I12472" t="s">
        <v>2194</v>
      </c>
      <c r="J12472" s="10">
        <v>10</v>
      </c>
      <c r="K12472" t="b">
        <v>1</v>
      </c>
    </row>
    <row r="12473" spans="1:11">
      <c r="A12473" s="12">
        <v>43199</v>
      </c>
      <c r="B12473">
        <v>2018</v>
      </c>
      <c r="C12473">
        <v>4</v>
      </c>
      <c r="D12473" s="11">
        <v>43191</v>
      </c>
      <c r="E12473" t="s">
        <v>2176</v>
      </c>
      <c r="F12473">
        <v>1</v>
      </c>
      <c r="G12473" t="s">
        <v>61</v>
      </c>
      <c r="H12473" t="s">
        <v>47</v>
      </c>
      <c r="I12473" t="s">
        <v>2195</v>
      </c>
      <c r="J12473" s="10">
        <v>6</v>
      </c>
      <c r="K12473" t="b">
        <v>1</v>
      </c>
    </row>
    <row r="12474" spans="1:11">
      <c r="A12474" s="12">
        <v>43200</v>
      </c>
      <c r="B12474">
        <v>2018</v>
      </c>
      <c r="C12474">
        <v>4</v>
      </c>
      <c r="D12474" s="11">
        <v>43191</v>
      </c>
      <c r="E12474" t="s">
        <v>2176</v>
      </c>
      <c r="F12474">
        <v>2</v>
      </c>
      <c r="G12474" t="s">
        <v>63</v>
      </c>
      <c r="H12474" t="s">
        <v>40</v>
      </c>
      <c r="I12474" t="s">
        <v>2188</v>
      </c>
      <c r="J12474" s="10">
        <v>2</v>
      </c>
      <c r="K12474" t="b">
        <v>1</v>
      </c>
    </row>
    <row r="12475" spans="1:11">
      <c r="A12475" s="12">
        <v>43200</v>
      </c>
      <c r="B12475">
        <v>2018</v>
      </c>
      <c r="C12475">
        <v>4</v>
      </c>
      <c r="D12475" s="11">
        <v>43191</v>
      </c>
      <c r="E12475" t="s">
        <v>2176</v>
      </c>
      <c r="F12475">
        <v>2</v>
      </c>
      <c r="G12475" t="s">
        <v>63</v>
      </c>
      <c r="H12475" t="s">
        <v>41</v>
      </c>
      <c r="I12475" t="s">
        <v>2189</v>
      </c>
      <c r="J12475" s="10">
        <v>3.067</v>
      </c>
      <c r="K12475" t="b">
        <v>1</v>
      </c>
    </row>
    <row r="12476" spans="1:11">
      <c r="A12476" s="12">
        <v>43200</v>
      </c>
      <c r="B12476">
        <v>2018</v>
      </c>
      <c r="C12476">
        <v>4</v>
      </c>
      <c r="D12476" s="11">
        <v>43191</v>
      </c>
      <c r="E12476" t="s">
        <v>2176</v>
      </c>
      <c r="F12476">
        <v>2</v>
      </c>
      <c r="G12476" t="s">
        <v>63</v>
      </c>
      <c r="H12476" t="s">
        <v>42</v>
      </c>
      <c r="I12476" t="s">
        <v>2190</v>
      </c>
      <c r="J12476" s="10">
        <v>2</v>
      </c>
      <c r="K12476" t="b">
        <v>1</v>
      </c>
    </row>
    <row r="12477" spans="1:11">
      <c r="A12477" s="12">
        <v>43200</v>
      </c>
      <c r="B12477">
        <v>2018</v>
      </c>
      <c r="C12477">
        <v>4</v>
      </c>
      <c r="D12477" s="11">
        <v>43191</v>
      </c>
      <c r="E12477" t="s">
        <v>2176</v>
      </c>
      <c r="F12477">
        <v>2</v>
      </c>
      <c r="G12477" t="s">
        <v>63</v>
      </c>
      <c r="H12477" t="s">
        <v>43</v>
      </c>
      <c r="I12477" t="s">
        <v>2191</v>
      </c>
      <c r="J12477" s="10">
        <v>38.3</v>
      </c>
      <c r="K12477" t="b">
        <v>1</v>
      </c>
    </row>
    <row r="12478" spans="1:11">
      <c r="A12478" s="12">
        <v>43200</v>
      </c>
      <c r="B12478">
        <v>2018</v>
      </c>
      <c r="C12478">
        <v>4</v>
      </c>
      <c r="D12478" s="11">
        <v>43191</v>
      </c>
      <c r="E12478" t="s">
        <v>2176</v>
      </c>
      <c r="F12478">
        <v>2</v>
      </c>
      <c r="G12478" t="s">
        <v>63</v>
      </c>
      <c r="H12478" t="s">
        <v>44</v>
      </c>
      <c r="I12478" t="s">
        <v>2192</v>
      </c>
      <c r="J12478" s="10">
        <v>18</v>
      </c>
      <c r="K12478" t="b">
        <v>1</v>
      </c>
    </row>
    <row r="12479" spans="1:11">
      <c r="A12479" s="12">
        <v>43200</v>
      </c>
      <c r="B12479">
        <v>2018</v>
      </c>
      <c r="C12479">
        <v>4</v>
      </c>
      <c r="D12479" s="11">
        <v>43191</v>
      </c>
      <c r="E12479" t="s">
        <v>2176</v>
      </c>
      <c r="F12479">
        <v>2</v>
      </c>
      <c r="G12479" t="s">
        <v>63</v>
      </c>
      <c r="H12479" t="s">
        <v>45</v>
      </c>
      <c r="I12479" t="s">
        <v>2193</v>
      </c>
      <c r="J12479" s="10">
        <v>3</v>
      </c>
      <c r="K12479" t="b">
        <v>1</v>
      </c>
    </row>
    <row r="12480" spans="1:11">
      <c r="A12480" s="12">
        <v>43200</v>
      </c>
      <c r="B12480">
        <v>2018</v>
      </c>
      <c r="C12480">
        <v>4</v>
      </c>
      <c r="D12480" s="11">
        <v>43191</v>
      </c>
      <c r="E12480" t="s">
        <v>2176</v>
      </c>
      <c r="F12480">
        <v>2</v>
      </c>
      <c r="G12480" t="s">
        <v>63</v>
      </c>
      <c r="H12480" t="s">
        <v>46</v>
      </c>
      <c r="I12480" t="s">
        <v>2194</v>
      </c>
      <c r="J12480" s="10">
        <v>7</v>
      </c>
      <c r="K12480" t="b">
        <v>1</v>
      </c>
    </row>
    <row r="12481" spans="1:11">
      <c r="A12481" s="12">
        <v>43200</v>
      </c>
      <c r="B12481">
        <v>2018</v>
      </c>
      <c r="C12481">
        <v>4</v>
      </c>
      <c r="D12481" s="11">
        <v>43191</v>
      </c>
      <c r="E12481" t="s">
        <v>2176</v>
      </c>
      <c r="F12481">
        <v>2</v>
      </c>
      <c r="G12481" t="s">
        <v>63</v>
      </c>
      <c r="H12481" t="s">
        <v>47</v>
      </c>
      <c r="I12481" t="s">
        <v>2195</v>
      </c>
      <c r="J12481" s="10">
        <v>10</v>
      </c>
      <c r="K12481" t="b">
        <v>1</v>
      </c>
    </row>
    <row r="12482" spans="1:11">
      <c r="A12482" s="12">
        <v>43201</v>
      </c>
      <c r="B12482">
        <v>2018</v>
      </c>
      <c r="C12482">
        <v>4</v>
      </c>
      <c r="D12482" s="11">
        <v>43191</v>
      </c>
      <c r="E12482" t="s">
        <v>2176</v>
      </c>
      <c r="F12482">
        <v>3</v>
      </c>
      <c r="G12482" t="s">
        <v>65</v>
      </c>
      <c r="H12482" t="s">
        <v>40</v>
      </c>
      <c r="I12482" t="s">
        <v>2188</v>
      </c>
      <c r="J12482" s="10">
        <v>6.67</v>
      </c>
      <c r="K12482" t="b">
        <v>1</v>
      </c>
    </row>
    <row r="12483" spans="1:11">
      <c r="A12483" s="12">
        <v>43201</v>
      </c>
      <c r="B12483">
        <v>2018</v>
      </c>
      <c r="C12483">
        <v>4</v>
      </c>
      <c r="D12483" s="11">
        <v>43191</v>
      </c>
      <c r="E12483" t="s">
        <v>2176</v>
      </c>
      <c r="F12483">
        <v>3</v>
      </c>
      <c r="G12483" t="s">
        <v>65</v>
      </c>
      <c r="H12483" t="s">
        <v>41</v>
      </c>
      <c r="I12483" t="s">
        <v>2189</v>
      </c>
      <c r="J12483" s="10">
        <v>3.01</v>
      </c>
      <c r="K12483" t="b">
        <v>1</v>
      </c>
    </row>
    <row r="12484" spans="1:11">
      <c r="A12484" s="12">
        <v>43201</v>
      </c>
      <c r="B12484">
        <v>2018</v>
      </c>
      <c r="C12484">
        <v>4</v>
      </c>
      <c r="D12484" s="11">
        <v>43191</v>
      </c>
      <c r="E12484" t="s">
        <v>2176</v>
      </c>
      <c r="F12484">
        <v>3</v>
      </c>
      <c r="G12484" t="s">
        <v>65</v>
      </c>
      <c r="H12484" t="s">
        <v>42</v>
      </c>
      <c r="I12484" t="s">
        <v>2190</v>
      </c>
      <c r="J12484" s="10">
        <v>2</v>
      </c>
      <c r="K12484" t="b">
        <v>1</v>
      </c>
    </row>
    <row r="12485" spans="1:11">
      <c r="A12485" s="12">
        <v>43201</v>
      </c>
      <c r="B12485">
        <v>2018</v>
      </c>
      <c r="C12485">
        <v>4</v>
      </c>
      <c r="D12485" s="11">
        <v>43191</v>
      </c>
      <c r="E12485" t="s">
        <v>2176</v>
      </c>
      <c r="F12485">
        <v>3</v>
      </c>
      <c r="G12485" t="s">
        <v>65</v>
      </c>
      <c r="H12485" t="s">
        <v>43</v>
      </c>
      <c r="I12485" t="s">
        <v>2191</v>
      </c>
      <c r="J12485" s="10">
        <v>28</v>
      </c>
      <c r="K12485" t="b">
        <v>1</v>
      </c>
    </row>
    <row r="12486" spans="1:11">
      <c r="A12486" s="12">
        <v>43201</v>
      </c>
      <c r="B12486">
        <v>2018</v>
      </c>
      <c r="C12486">
        <v>4</v>
      </c>
      <c r="D12486" s="11">
        <v>43191</v>
      </c>
      <c r="E12486" t="s">
        <v>2176</v>
      </c>
      <c r="F12486">
        <v>3</v>
      </c>
      <c r="G12486" t="s">
        <v>65</v>
      </c>
      <c r="H12486" t="s">
        <v>44</v>
      </c>
      <c r="I12486" t="s">
        <v>2192</v>
      </c>
      <c r="J12486" s="10">
        <v>12</v>
      </c>
      <c r="K12486" t="b">
        <v>1</v>
      </c>
    </row>
    <row r="12487" spans="1:11">
      <c r="A12487" s="12">
        <v>43201</v>
      </c>
      <c r="B12487">
        <v>2018</v>
      </c>
      <c r="C12487">
        <v>4</v>
      </c>
      <c r="D12487" s="11">
        <v>43191</v>
      </c>
      <c r="E12487" t="s">
        <v>2176</v>
      </c>
      <c r="F12487">
        <v>3</v>
      </c>
      <c r="G12487" t="s">
        <v>65</v>
      </c>
      <c r="H12487" t="s">
        <v>45</v>
      </c>
      <c r="I12487" t="s">
        <v>2193</v>
      </c>
      <c r="J12487" s="10">
        <v>0</v>
      </c>
      <c r="K12487" t="b">
        <v>1</v>
      </c>
    </row>
    <row r="12488" spans="1:11">
      <c r="A12488" s="12">
        <v>43201</v>
      </c>
      <c r="B12488">
        <v>2018</v>
      </c>
      <c r="C12488">
        <v>4</v>
      </c>
      <c r="D12488" s="11">
        <v>43191</v>
      </c>
      <c r="E12488" t="s">
        <v>2176</v>
      </c>
      <c r="F12488">
        <v>3</v>
      </c>
      <c r="G12488" t="s">
        <v>65</v>
      </c>
      <c r="H12488" t="s">
        <v>46</v>
      </c>
      <c r="I12488" t="s">
        <v>2194</v>
      </c>
      <c r="J12488" s="10">
        <v>3</v>
      </c>
      <c r="K12488" t="b">
        <v>1</v>
      </c>
    </row>
    <row r="12489" spans="1:11">
      <c r="A12489" s="12">
        <v>43201</v>
      </c>
      <c r="B12489">
        <v>2018</v>
      </c>
      <c r="C12489">
        <v>4</v>
      </c>
      <c r="D12489" s="11">
        <v>43191</v>
      </c>
      <c r="E12489" t="s">
        <v>2176</v>
      </c>
      <c r="F12489">
        <v>3</v>
      </c>
      <c r="G12489" t="s">
        <v>65</v>
      </c>
      <c r="H12489" t="s">
        <v>47</v>
      </c>
      <c r="I12489" t="s">
        <v>2195</v>
      </c>
      <c r="J12489" s="10">
        <v>11</v>
      </c>
      <c r="K12489" t="b">
        <v>1</v>
      </c>
    </row>
    <row r="12490" spans="1:11">
      <c r="A12490" s="12">
        <v>43202</v>
      </c>
      <c r="B12490">
        <v>2018</v>
      </c>
      <c r="C12490">
        <v>4</v>
      </c>
      <c r="D12490" s="11">
        <v>43191</v>
      </c>
      <c r="E12490" t="s">
        <v>2176</v>
      </c>
      <c r="F12490">
        <v>4</v>
      </c>
      <c r="G12490" t="s">
        <v>53</v>
      </c>
      <c r="H12490" t="s">
        <v>40</v>
      </c>
      <c r="I12490" t="s">
        <v>2188</v>
      </c>
      <c r="J12490" s="10">
        <v>5</v>
      </c>
      <c r="K12490" t="b">
        <v>1</v>
      </c>
    </row>
    <row r="12491" spans="1:11">
      <c r="A12491" s="12">
        <v>43202</v>
      </c>
      <c r="B12491">
        <v>2018</v>
      </c>
      <c r="C12491">
        <v>4</v>
      </c>
      <c r="D12491" s="11">
        <v>43191</v>
      </c>
      <c r="E12491" t="s">
        <v>2176</v>
      </c>
      <c r="F12491">
        <v>4</v>
      </c>
      <c r="G12491" t="s">
        <v>53</v>
      </c>
      <c r="H12491" t="s">
        <v>41</v>
      </c>
      <c r="I12491" t="s">
        <v>2189</v>
      </c>
      <c r="J12491" s="10">
        <v>4.759</v>
      </c>
      <c r="K12491" t="b">
        <v>1</v>
      </c>
    </row>
    <row r="12492" spans="1:11">
      <c r="A12492" s="12">
        <v>43202</v>
      </c>
      <c r="B12492">
        <v>2018</v>
      </c>
      <c r="C12492">
        <v>4</v>
      </c>
      <c r="D12492" s="11">
        <v>43191</v>
      </c>
      <c r="E12492" t="s">
        <v>2176</v>
      </c>
      <c r="F12492">
        <v>4</v>
      </c>
      <c r="G12492" t="s">
        <v>53</v>
      </c>
      <c r="H12492" t="s">
        <v>42</v>
      </c>
      <c r="I12492" t="s">
        <v>2190</v>
      </c>
      <c r="J12492" s="10">
        <v>3.5</v>
      </c>
      <c r="K12492" t="b">
        <v>1</v>
      </c>
    </row>
    <row r="12493" spans="1:11">
      <c r="A12493" s="12">
        <v>43202</v>
      </c>
      <c r="B12493">
        <v>2018</v>
      </c>
      <c r="C12493">
        <v>4</v>
      </c>
      <c r="D12493" s="11">
        <v>43191</v>
      </c>
      <c r="E12493" t="s">
        <v>2176</v>
      </c>
      <c r="F12493">
        <v>4</v>
      </c>
      <c r="G12493" t="s">
        <v>53</v>
      </c>
      <c r="H12493" t="s">
        <v>43</v>
      </c>
      <c r="I12493" t="s">
        <v>2191</v>
      </c>
      <c r="J12493" s="10">
        <v>17.4</v>
      </c>
      <c r="K12493" t="b">
        <v>1</v>
      </c>
    </row>
    <row r="12494" spans="1:11">
      <c r="A12494" s="12">
        <v>43202</v>
      </c>
      <c r="B12494">
        <v>2018</v>
      </c>
      <c r="C12494">
        <v>4</v>
      </c>
      <c r="D12494" s="11">
        <v>43191</v>
      </c>
      <c r="E12494" t="s">
        <v>2176</v>
      </c>
      <c r="F12494">
        <v>4</v>
      </c>
      <c r="G12494" t="s">
        <v>53</v>
      </c>
      <c r="H12494" t="s">
        <v>44</v>
      </c>
      <c r="I12494" t="s">
        <v>2192</v>
      </c>
      <c r="J12494" s="10">
        <v>9</v>
      </c>
      <c r="K12494" t="b">
        <v>1</v>
      </c>
    </row>
    <row r="12495" spans="1:11">
      <c r="A12495" s="12">
        <v>43202</v>
      </c>
      <c r="B12495">
        <v>2018</v>
      </c>
      <c r="C12495">
        <v>4</v>
      </c>
      <c r="D12495" s="11">
        <v>43191</v>
      </c>
      <c r="E12495" t="s">
        <v>2176</v>
      </c>
      <c r="F12495">
        <v>4</v>
      </c>
      <c r="G12495" t="s">
        <v>53</v>
      </c>
      <c r="H12495" t="s">
        <v>45</v>
      </c>
      <c r="I12495" t="s">
        <v>2193</v>
      </c>
      <c r="J12495" s="10">
        <v>0</v>
      </c>
      <c r="K12495" t="b">
        <v>1</v>
      </c>
    </row>
    <row r="12496" spans="1:11">
      <c r="A12496" s="12">
        <v>43202</v>
      </c>
      <c r="B12496">
        <v>2018</v>
      </c>
      <c r="C12496">
        <v>4</v>
      </c>
      <c r="D12496" s="11">
        <v>43191</v>
      </c>
      <c r="E12496" t="s">
        <v>2176</v>
      </c>
      <c r="F12496">
        <v>4</v>
      </c>
      <c r="G12496" t="s">
        <v>53</v>
      </c>
      <c r="H12496" t="s">
        <v>46</v>
      </c>
      <c r="I12496" t="s">
        <v>2194</v>
      </c>
      <c r="J12496" s="10">
        <v>6</v>
      </c>
      <c r="K12496" t="b">
        <v>1</v>
      </c>
    </row>
    <row r="12497" spans="1:11">
      <c r="A12497" s="12">
        <v>43202</v>
      </c>
      <c r="B12497">
        <v>2018</v>
      </c>
      <c r="C12497">
        <v>4</v>
      </c>
      <c r="D12497" s="11">
        <v>43191</v>
      </c>
      <c r="E12497" t="s">
        <v>2176</v>
      </c>
      <c r="F12497">
        <v>4</v>
      </c>
      <c r="G12497" t="s">
        <v>53</v>
      </c>
      <c r="H12497" t="s">
        <v>47</v>
      </c>
      <c r="I12497" t="s">
        <v>2195</v>
      </c>
      <c r="J12497" s="10">
        <v>4.5</v>
      </c>
      <c r="K12497" t="b">
        <v>1</v>
      </c>
    </row>
    <row r="12498" spans="1:11">
      <c r="A12498" s="12">
        <v>43203</v>
      </c>
      <c r="B12498">
        <v>2018</v>
      </c>
      <c r="C12498">
        <v>4</v>
      </c>
      <c r="D12498" s="11">
        <v>43191</v>
      </c>
      <c r="E12498" t="s">
        <v>2176</v>
      </c>
      <c r="F12498">
        <v>5</v>
      </c>
      <c r="G12498" t="s">
        <v>55</v>
      </c>
      <c r="H12498" t="s">
        <v>40</v>
      </c>
      <c r="I12498" t="s">
        <v>2188</v>
      </c>
      <c r="J12498" s="10">
        <v>4.5</v>
      </c>
      <c r="K12498" t="b">
        <v>1</v>
      </c>
    </row>
    <row r="12499" spans="1:11">
      <c r="A12499" s="12">
        <v>43203</v>
      </c>
      <c r="B12499">
        <v>2018</v>
      </c>
      <c r="C12499">
        <v>4</v>
      </c>
      <c r="D12499" s="11">
        <v>43191</v>
      </c>
      <c r="E12499" t="s">
        <v>2176</v>
      </c>
      <c r="F12499">
        <v>5</v>
      </c>
      <c r="G12499" t="s">
        <v>55</v>
      </c>
      <c r="H12499" t="s">
        <v>41</v>
      </c>
      <c r="I12499" t="s">
        <v>2189</v>
      </c>
      <c r="J12499" s="10">
        <v>2.033</v>
      </c>
      <c r="K12499" t="b">
        <v>1</v>
      </c>
    </row>
    <row r="12500" spans="1:11">
      <c r="A12500" s="12">
        <v>43203</v>
      </c>
      <c r="B12500">
        <v>2018</v>
      </c>
      <c r="C12500">
        <v>4</v>
      </c>
      <c r="D12500" s="11">
        <v>43191</v>
      </c>
      <c r="E12500" t="s">
        <v>2176</v>
      </c>
      <c r="F12500">
        <v>5</v>
      </c>
      <c r="G12500" t="s">
        <v>55</v>
      </c>
      <c r="H12500" t="s">
        <v>42</v>
      </c>
      <c r="I12500" t="s">
        <v>2190</v>
      </c>
      <c r="J12500" s="10">
        <v>5</v>
      </c>
      <c r="K12500" t="b">
        <v>1</v>
      </c>
    </row>
    <row r="12501" spans="1:11">
      <c r="A12501" s="12">
        <v>43203</v>
      </c>
      <c r="B12501">
        <v>2018</v>
      </c>
      <c r="C12501">
        <v>4</v>
      </c>
      <c r="D12501" s="11">
        <v>43191</v>
      </c>
      <c r="E12501" t="s">
        <v>2176</v>
      </c>
      <c r="F12501">
        <v>5</v>
      </c>
      <c r="G12501" t="s">
        <v>55</v>
      </c>
      <c r="H12501" t="s">
        <v>43</v>
      </c>
      <c r="I12501" t="s">
        <v>2191</v>
      </c>
      <c r="J12501" s="10">
        <v>23</v>
      </c>
      <c r="K12501" t="b">
        <v>1</v>
      </c>
    </row>
    <row r="12502" spans="1:11">
      <c r="A12502" s="12">
        <v>43203</v>
      </c>
      <c r="B12502">
        <v>2018</v>
      </c>
      <c r="C12502">
        <v>4</v>
      </c>
      <c r="D12502" s="11">
        <v>43191</v>
      </c>
      <c r="E12502" t="s">
        <v>2176</v>
      </c>
      <c r="F12502">
        <v>5</v>
      </c>
      <c r="G12502" t="s">
        <v>55</v>
      </c>
      <c r="H12502" t="s">
        <v>44</v>
      </c>
      <c r="I12502" t="s">
        <v>2192</v>
      </c>
      <c r="J12502" s="10">
        <v>12</v>
      </c>
      <c r="K12502" t="b">
        <v>1</v>
      </c>
    </row>
    <row r="12503" spans="1:11">
      <c r="A12503" s="12">
        <v>43203</v>
      </c>
      <c r="B12503">
        <v>2018</v>
      </c>
      <c r="C12503">
        <v>4</v>
      </c>
      <c r="D12503" s="11">
        <v>43191</v>
      </c>
      <c r="E12503" t="s">
        <v>2176</v>
      </c>
      <c r="F12503">
        <v>5</v>
      </c>
      <c r="G12503" t="s">
        <v>55</v>
      </c>
      <c r="H12503" t="s">
        <v>45</v>
      </c>
      <c r="I12503" t="s">
        <v>2193</v>
      </c>
      <c r="J12503" s="10">
        <v>0</v>
      </c>
      <c r="K12503" t="b">
        <v>1</v>
      </c>
    </row>
    <row r="12504" spans="1:11">
      <c r="A12504" s="12">
        <v>43203</v>
      </c>
      <c r="B12504">
        <v>2018</v>
      </c>
      <c r="C12504">
        <v>4</v>
      </c>
      <c r="D12504" s="11">
        <v>43191</v>
      </c>
      <c r="E12504" t="s">
        <v>2176</v>
      </c>
      <c r="F12504">
        <v>5</v>
      </c>
      <c r="G12504" t="s">
        <v>55</v>
      </c>
      <c r="H12504" t="s">
        <v>46</v>
      </c>
      <c r="I12504" t="s">
        <v>2194</v>
      </c>
      <c r="J12504" s="10">
        <v>23</v>
      </c>
      <c r="K12504" t="b">
        <v>1</v>
      </c>
    </row>
    <row r="12505" spans="1:11">
      <c r="A12505" s="12">
        <v>43203</v>
      </c>
      <c r="B12505">
        <v>2018</v>
      </c>
      <c r="C12505">
        <v>4</v>
      </c>
      <c r="D12505" s="11">
        <v>43191</v>
      </c>
      <c r="E12505" t="s">
        <v>2176</v>
      </c>
      <c r="F12505">
        <v>5</v>
      </c>
      <c r="G12505" t="s">
        <v>55</v>
      </c>
      <c r="H12505" t="s">
        <v>47</v>
      </c>
      <c r="I12505" t="s">
        <v>2195</v>
      </c>
      <c r="J12505" s="10">
        <v>4</v>
      </c>
      <c r="K12505" t="b">
        <v>1</v>
      </c>
    </row>
    <row r="12506" spans="1:11">
      <c r="A12506" s="12">
        <v>43204</v>
      </c>
      <c r="B12506">
        <v>2018</v>
      </c>
      <c r="C12506">
        <v>4</v>
      </c>
      <c r="D12506" s="11">
        <v>43191</v>
      </c>
      <c r="E12506" t="s">
        <v>2176</v>
      </c>
      <c r="F12506">
        <v>6</v>
      </c>
      <c r="G12506" t="s">
        <v>57</v>
      </c>
      <c r="H12506" t="s">
        <v>40</v>
      </c>
      <c r="I12506" t="s">
        <v>2188</v>
      </c>
      <c r="J12506" s="10">
        <v>8</v>
      </c>
      <c r="K12506" t="b">
        <v>1</v>
      </c>
    </row>
    <row r="12507" spans="1:11">
      <c r="A12507" s="12">
        <v>43204</v>
      </c>
      <c r="B12507">
        <v>2018</v>
      </c>
      <c r="C12507">
        <v>4</v>
      </c>
      <c r="D12507" s="11">
        <v>43191</v>
      </c>
      <c r="E12507" t="s">
        <v>2176</v>
      </c>
      <c r="F12507">
        <v>6</v>
      </c>
      <c r="G12507" t="s">
        <v>57</v>
      </c>
      <c r="H12507" t="s">
        <v>41</v>
      </c>
      <c r="I12507" t="s">
        <v>2189</v>
      </c>
      <c r="J12507" s="10">
        <v>3.68</v>
      </c>
      <c r="K12507" t="b">
        <v>1</v>
      </c>
    </row>
    <row r="12508" spans="1:11">
      <c r="A12508" s="12">
        <v>43204</v>
      </c>
      <c r="B12508">
        <v>2018</v>
      </c>
      <c r="C12508">
        <v>4</v>
      </c>
      <c r="D12508" s="11">
        <v>43191</v>
      </c>
      <c r="E12508" t="s">
        <v>2176</v>
      </c>
      <c r="F12508">
        <v>6</v>
      </c>
      <c r="G12508" t="s">
        <v>57</v>
      </c>
      <c r="H12508" t="s">
        <v>42</v>
      </c>
      <c r="I12508" t="s">
        <v>2190</v>
      </c>
      <c r="J12508" s="10">
        <v>2</v>
      </c>
      <c r="K12508" t="b">
        <v>1</v>
      </c>
    </row>
    <row r="12509" spans="1:11">
      <c r="A12509" s="12">
        <v>43204</v>
      </c>
      <c r="B12509">
        <v>2018</v>
      </c>
      <c r="C12509">
        <v>4</v>
      </c>
      <c r="D12509" s="11">
        <v>43191</v>
      </c>
      <c r="E12509" t="s">
        <v>2176</v>
      </c>
      <c r="F12509">
        <v>6</v>
      </c>
      <c r="G12509" t="s">
        <v>57</v>
      </c>
      <c r="H12509" t="s">
        <v>43</v>
      </c>
      <c r="I12509" t="s">
        <v>2191</v>
      </c>
      <c r="J12509" s="10">
        <v>24</v>
      </c>
      <c r="K12509" t="b">
        <v>1</v>
      </c>
    </row>
    <row r="12510" spans="1:11">
      <c r="A12510" s="12">
        <v>43204</v>
      </c>
      <c r="B12510">
        <v>2018</v>
      </c>
      <c r="C12510">
        <v>4</v>
      </c>
      <c r="D12510" s="11">
        <v>43191</v>
      </c>
      <c r="E12510" t="s">
        <v>2176</v>
      </c>
      <c r="F12510">
        <v>6</v>
      </c>
      <c r="G12510" t="s">
        <v>57</v>
      </c>
      <c r="H12510" t="s">
        <v>44</v>
      </c>
      <c r="I12510" t="s">
        <v>2192</v>
      </c>
      <c r="J12510" s="10">
        <v>2</v>
      </c>
      <c r="K12510" t="b">
        <v>1</v>
      </c>
    </row>
    <row r="12511" spans="1:11">
      <c r="A12511" s="12">
        <v>43204</v>
      </c>
      <c r="B12511">
        <v>2018</v>
      </c>
      <c r="C12511">
        <v>4</v>
      </c>
      <c r="D12511" s="11">
        <v>43191</v>
      </c>
      <c r="E12511" t="s">
        <v>2176</v>
      </c>
      <c r="F12511">
        <v>6</v>
      </c>
      <c r="G12511" t="s">
        <v>57</v>
      </c>
      <c r="H12511" t="s">
        <v>45</v>
      </c>
      <c r="I12511" t="s">
        <v>2193</v>
      </c>
      <c r="J12511" s="10">
        <v>0</v>
      </c>
      <c r="K12511" t="b">
        <v>1</v>
      </c>
    </row>
    <row r="12512" spans="1:11">
      <c r="A12512" s="12">
        <v>43204</v>
      </c>
      <c r="B12512">
        <v>2018</v>
      </c>
      <c r="C12512">
        <v>4</v>
      </c>
      <c r="D12512" s="11">
        <v>43191</v>
      </c>
      <c r="E12512" t="s">
        <v>2176</v>
      </c>
      <c r="F12512">
        <v>6</v>
      </c>
      <c r="G12512" t="s">
        <v>57</v>
      </c>
      <c r="H12512" t="s">
        <v>46</v>
      </c>
      <c r="I12512" t="s">
        <v>2194</v>
      </c>
      <c r="J12512" s="10">
        <v>3</v>
      </c>
      <c r="K12512" t="b">
        <v>1</v>
      </c>
    </row>
    <row r="12513" spans="1:11">
      <c r="A12513" s="12">
        <v>43204</v>
      </c>
      <c r="B12513">
        <v>2018</v>
      </c>
      <c r="C12513">
        <v>4</v>
      </c>
      <c r="D12513" s="11">
        <v>43191</v>
      </c>
      <c r="E12513" t="s">
        <v>2176</v>
      </c>
      <c r="F12513">
        <v>6</v>
      </c>
      <c r="G12513" t="s">
        <v>57</v>
      </c>
      <c r="H12513" t="s">
        <v>47</v>
      </c>
      <c r="I12513" t="s">
        <v>2195</v>
      </c>
      <c r="J12513" s="10">
        <v>12</v>
      </c>
      <c r="K12513" t="b">
        <v>1</v>
      </c>
    </row>
    <row r="12514" spans="1:11">
      <c r="A12514" s="12">
        <v>43205</v>
      </c>
      <c r="B12514">
        <v>2018</v>
      </c>
      <c r="C12514">
        <v>4</v>
      </c>
      <c r="D12514" s="11">
        <v>43191</v>
      </c>
      <c r="E12514" t="s">
        <v>2176</v>
      </c>
      <c r="F12514">
        <v>7</v>
      </c>
      <c r="G12514" t="s">
        <v>59</v>
      </c>
      <c r="H12514" t="s">
        <v>40</v>
      </c>
      <c r="I12514" t="s">
        <v>2188</v>
      </c>
      <c r="J12514" s="10">
        <v>7.66</v>
      </c>
      <c r="K12514" t="b">
        <v>1</v>
      </c>
    </row>
    <row r="12515" spans="1:11">
      <c r="A12515" s="12">
        <v>43205</v>
      </c>
      <c r="B12515">
        <v>2018</v>
      </c>
      <c r="C12515">
        <v>4</v>
      </c>
      <c r="D12515" s="11">
        <v>43191</v>
      </c>
      <c r="E12515" t="s">
        <v>2176</v>
      </c>
      <c r="F12515">
        <v>7</v>
      </c>
      <c r="G12515" t="s">
        <v>59</v>
      </c>
      <c r="H12515" t="s">
        <v>41</v>
      </c>
      <c r="I12515" t="s">
        <v>2189</v>
      </c>
      <c r="J12515" s="10">
        <v>2.759</v>
      </c>
      <c r="K12515" t="b">
        <v>1</v>
      </c>
    </row>
    <row r="12516" spans="1:11">
      <c r="A12516" s="12">
        <v>43205</v>
      </c>
      <c r="B12516">
        <v>2018</v>
      </c>
      <c r="C12516">
        <v>4</v>
      </c>
      <c r="D12516" s="11">
        <v>43191</v>
      </c>
      <c r="E12516" t="s">
        <v>2176</v>
      </c>
      <c r="F12516">
        <v>7</v>
      </c>
      <c r="G12516" t="s">
        <v>59</v>
      </c>
      <c r="H12516" t="s">
        <v>42</v>
      </c>
      <c r="I12516" t="s">
        <v>2190</v>
      </c>
      <c r="J12516" s="10">
        <v>3</v>
      </c>
      <c r="K12516" t="b">
        <v>1</v>
      </c>
    </row>
    <row r="12517" spans="1:11">
      <c r="A12517" s="12">
        <v>43205</v>
      </c>
      <c r="B12517">
        <v>2018</v>
      </c>
      <c r="C12517">
        <v>4</v>
      </c>
      <c r="D12517" s="11">
        <v>43191</v>
      </c>
      <c r="E12517" t="s">
        <v>2176</v>
      </c>
      <c r="F12517">
        <v>7</v>
      </c>
      <c r="G12517" t="s">
        <v>59</v>
      </c>
      <c r="H12517" t="s">
        <v>43</v>
      </c>
      <c r="I12517" t="s">
        <v>2191</v>
      </c>
      <c r="J12517" s="10">
        <v>20</v>
      </c>
      <c r="K12517" t="b">
        <v>1</v>
      </c>
    </row>
    <row r="12518" spans="1:11">
      <c r="A12518" s="12">
        <v>43205</v>
      </c>
      <c r="B12518">
        <v>2018</v>
      </c>
      <c r="C12518">
        <v>4</v>
      </c>
      <c r="D12518" s="11">
        <v>43191</v>
      </c>
      <c r="E12518" t="s">
        <v>2176</v>
      </c>
      <c r="F12518">
        <v>7</v>
      </c>
      <c r="G12518" t="s">
        <v>59</v>
      </c>
      <c r="H12518" t="s">
        <v>44</v>
      </c>
      <c r="I12518" t="s">
        <v>2192</v>
      </c>
      <c r="J12518" s="10">
        <v>5</v>
      </c>
      <c r="K12518" t="b">
        <v>1</v>
      </c>
    </row>
    <row r="12519" spans="1:11">
      <c r="A12519" s="12">
        <v>43205</v>
      </c>
      <c r="B12519">
        <v>2018</v>
      </c>
      <c r="C12519">
        <v>4</v>
      </c>
      <c r="D12519" s="11">
        <v>43191</v>
      </c>
      <c r="E12519" t="s">
        <v>2176</v>
      </c>
      <c r="F12519">
        <v>7</v>
      </c>
      <c r="G12519" t="s">
        <v>59</v>
      </c>
      <c r="H12519" t="s">
        <v>45</v>
      </c>
      <c r="I12519" t="s">
        <v>2193</v>
      </c>
      <c r="J12519" s="10">
        <v>0</v>
      </c>
      <c r="K12519" t="b">
        <v>1</v>
      </c>
    </row>
    <row r="12520" spans="1:11">
      <c r="A12520" s="12">
        <v>43205</v>
      </c>
      <c r="B12520">
        <v>2018</v>
      </c>
      <c r="C12520">
        <v>4</v>
      </c>
      <c r="D12520" s="11">
        <v>43191</v>
      </c>
      <c r="E12520" t="s">
        <v>2176</v>
      </c>
      <c r="F12520">
        <v>7</v>
      </c>
      <c r="G12520" t="s">
        <v>59</v>
      </c>
      <c r="H12520" t="s">
        <v>46</v>
      </c>
      <c r="I12520" t="s">
        <v>2194</v>
      </c>
      <c r="J12520" s="10">
        <v>0</v>
      </c>
      <c r="K12520" t="b">
        <v>1</v>
      </c>
    </row>
    <row r="12521" spans="1:11">
      <c r="A12521" s="12">
        <v>43205</v>
      </c>
      <c r="B12521">
        <v>2018</v>
      </c>
      <c r="C12521">
        <v>4</v>
      </c>
      <c r="D12521" s="11">
        <v>43191</v>
      </c>
      <c r="E12521" t="s">
        <v>2176</v>
      </c>
      <c r="F12521">
        <v>7</v>
      </c>
      <c r="G12521" t="s">
        <v>59</v>
      </c>
      <c r="H12521" t="s">
        <v>47</v>
      </c>
      <c r="I12521" t="s">
        <v>2195</v>
      </c>
      <c r="J12521" s="10">
        <v>6</v>
      </c>
      <c r="K12521" t="b">
        <v>1</v>
      </c>
    </row>
    <row r="12522" spans="1:11">
      <c r="A12522" s="12">
        <v>43206</v>
      </c>
      <c r="B12522">
        <v>2018</v>
      </c>
      <c r="C12522">
        <v>4</v>
      </c>
      <c r="D12522" s="11">
        <v>43191</v>
      </c>
      <c r="E12522" t="s">
        <v>2176</v>
      </c>
      <c r="F12522">
        <v>1</v>
      </c>
      <c r="G12522" t="s">
        <v>61</v>
      </c>
      <c r="H12522" t="s">
        <v>40</v>
      </c>
      <c r="I12522" t="s">
        <v>2188</v>
      </c>
      <c r="J12522" s="10">
        <v>2</v>
      </c>
      <c r="K12522" t="b">
        <v>1</v>
      </c>
    </row>
    <row r="12523" spans="1:11">
      <c r="A12523" s="12">
        <v>43206</v>
      </c>
      <c r="B12523">
        <v>2018</v>
      </c>
      <c r="C12523">
        <v>4</v>
      </c>
      <c r="D12523" s="11">
        <v>43191</v>
      </c>
      <c r="E12523" t="s">
        <v>2176</v>
      </c>
      <c r="F12523">
        <v>1</v>
      </c>
      <c r="G12523" t="s">
        <v>61</v>
      </c>
      <c r="H12523" t="s">
        <v>41</v>
      </c>
      <c r="I12523" t="s">
        <v>2189</v>
      </c>
      <c r="J12523" s="10">
        <v>6.02</v>
      </c>
      <c r="K12523" t="b">
        <v>1</v>
      </c>
    </row>
    <row r="12524" spans="1:11">
      <c r="A12524" s="12">
        <v>43206</v>
      </c>
      <c r="B12524">
        <v>2018</v>
      </c>
      <c r="C12524">
        <v>4</v>
      </c>
      <c r="D12524" s="11">
        <v>43191</v>
      </c>
      <c r="E12524" t="s">
        <v>2176</v>
      </c>
      <c r="F12524">
        <v>1</v>
      </c>
      <c r="G12524" t="s">
        <v>61</v>
      </c>
      <c r="H12524" t="s">
        <v>42</v>
      </c>
      <c r="I12524" t="s">
        <v>2190</v>
      </c>
      <c r="J12524" s="10">
        <v>0.25</v>
      </c>
      <c r="K12524" t="b">
        <v>1</v>
      </c>
    </row>
    <row r="12525" spans="1:11">
      <c r="A12525" s="12">
        <v>43206</v>
      </c>
      <c r="B12525">
        <v>2018</v>
      </c>
      <c r="C12525">
        <v>4</v>
      </c>
      <c r="D12525" s="11">
        <v>43191</v>
      </c>
      <c r="E12525" t="s">
        <v>2176</v>
      </c>
      <c r="F12525">
        <v>1</v>
      </c>
      <c r="G12525" t="s">
        <v>61</v>
      </c>
      <c r="H12525" t="s">
        <v>43</v>
      </c>
      <c r="I12525" t="s">
        <v>2191</v>
      </c>
      <c r="J12525" s="10">
        <v>40.5</v>
      </c>
      <c r="K12525" t="b">
        <v>1</v>
      </c>
    </row>
    <row r="12526" spans="1:11">
      <c r="A12526" s="12">
        <v>43206</v>
      </c>
      <c r="B12526">
        <v>2018</v>
      </c>
      <c r="C12526">
        <v>4</v>
      </c>
      <c r="D12526" s="11">
        <v>43191</v>
      </c>
      <c r="E12526" t="s">
        <v>2176</v>
      </c>
      <c r="F12526">
        <v>1</v>
      </c>
      <c r="G12526" t="s">
        <v>61</v>
      </c>
      <c r="H12526" t="s">
        <v>44</v>
      </c>
      <c r="I12526" t="s">
        <v>2192</v>
      </c>
      <c r="J12526" s="10">
        <v>9</v>
      </c>
      <c r="K12526" t="b">
        <v>1</v>
      </c>
    </row>
    <row r="12527" spans="1:11">
      <c r="A12527" s="12">
        <v>43206</v>
      </c>
      <c r="B12527">
        <v>2018</v>
      </c>
      <c r="C12527">
        <v>4</v>
      </c>
      <c r="D12527" s="11">
        <v>43191</v>
      </c>
      <c r="E12527" t="s">
        <v>2176</v>
      </c>
      <c r="F12527">
        <v>1</v>
      </c>
      <c r="G12527" t="s">
        <v>61</v>
      </c>
      <c r="H12527" t="s">
        <v>45</v>
      </c>
      <c r="I12527" t="s">
        <v>2193</v>
      </c>
      <c r="J12527" s="10">
        <v>0</v>
      </c>
      <c r="K12527" t="b">
        <v>1</v>
      </c>
    </row>
    <row r="12528" spans="1:11">
      <c r="A12528" s="12">
        <v>43206</v>
      </c>
      <c r="B12528">
        <v>2018</v>
      </c>
      <c r="C12528">
        <v>4</v>
      </c>
      <c r="D12528" s="11">
        <v>43191</v>
      </c>
      <c r="E12528" t="s">
        <v>2176</v>
      </c>
      <c r="F12528">
        <v>1</v>
      </c>
      <c r="G12528" t="s">
        <v>61</v>
      </c>
      <c r="H12528" t="s">
        <v>46</v>
      </c>
      <c r="I12528" t="s">
        <v>2194</v>
      </c>
      <c r="J12528" s="10">
        <v>4</v>
      </c>
      <c r="K12528" t="b">
        <v>1</v>
      </c>
    </row>
    <row r="12529" spans="1:11">
      <c r="A12529" s="12">
        <v>43206</v>
      </c>
      <c r="B12529">
        <v>2018</v>
      </c>
      <c r="C12529">
        <v>4</v>
      </c>
      <c r="D12529" s="11">
        <v>43191</v>
      </c>
      <c r="E12529" t="s">
        <v>2176</v>
      </c>
      <c r="F12529">
        <v>1</v>
      </c>
      <c r="G12529" t="s">
        <v>61</v>
      </c>
      <c r="H12529" t="s">
        <v>47</v>
      </c>
      <c r="I12529" t="s">
        <v>2195</v>
      </c>
      <c r="J12529" s="10">
        <v>3</v>
      </c>
      <c r="K12529" t="b">
        <v>1</v>
      </c>
    </row>
    <row r="12530" spans="1:11">
      <c r="A12530" s="12">
        <v>43207</v>
      </c>
      <c r="B12530">
        <v>2018</v>
      </c>
      <c r="C12530">
        <v>4</v>
      </c>
      <c r="D12530" s="11">
        <v>43191</v>
      </c>
      <c r="E12530" t="s">
        <v>2176</v>
      </c>
      <c r="F12530">
        <v>2</v>
      </c>
      <c r="G12530" t="s">
        <v>63</v>
      </c>
      <c r="H12530" t="s">
        <v>40</v>
      </c>
      <c r="I12530" t="s">
        <v>2188</v>
      </c>
      <c r="J12530" s="10">
        <v>3.34</v>
      </c>
      <c r="K12530" t="b">
        <v>1</v>
      </c>
    </row>
    <row r="12531" spans="1:11">
      <c r="A12531" s="12">
        <v>43207</v>
      </c>
      <c r="B12531">
        <v>2018</v>
      </c>
      <c r="C12531">
        <v>4</v>
      </c>
      <c r="D12531" s="11">
        <v>43191</v>
      </c>
      <c r="E12531" t="s">
        <v>2176</v>
      </c>
      <c r="F12531">
        <v>2</v>
      </c>
      <c r="G12531" t="s">
        <v>63</v>
      </c>
      <c r="H12531" t="s">
        <v>41</v>
      </c>
      <c r="I12531" t="s">
        <v>2189</v>
      </c>
      <c r="J12531" s="10">
        <v>1.406</v>
      </c>
      <c r="K12531" t="b">
        <v>1</v>
      </c>
    </row>
    <row r="12532" spans="1:11">
      <c r="A12532" s="12">
        <v>43207</v>
      </c>
      <c r="B12532">
        <v>2018</v>
      </c>
      <c r="C12532">
        <v>4</v>
      </c>
      <c r="D12532" s="11">
        <v>43191</v>
      </c>
      <c r="E12532" t="s">
        <v>2176</v>
      </c>
      <c r="F12532">
        <v>2</v>
      </c>
      <c r="G12532" t="s">
        <v>63</v>
      </c>
      <c r="H12532" t="s">
        <v>42</v>
      </c>
      <c r="I12532" t="s">
        <v>2190</v>
      </c>
      <c r="J12532" s="10">
        <v>0.15</v>
      </c>
      <c r="K12532" t="b">
        <v>1</v>
      </c>
    </row>
    <row r="12533" spans="1:11">
      <c r="A12533" s="12">
        <v>43207</v>
      </c>
      <c r="B12533">
        <v>2018</v>
      </c>
      <c r="C12533">
        <v>4</v>
      </c>
      <c r="D12533" s="11">
        <v>43191</v>
      </c>
      <c r="E12533" t="s">
        <v>2176</v>
      </c>
      <c r="F12533">
        <v>2</v>
      </c>
      <c r="G12533" t="s">
        <v>63</v>
      </c>
      <c r="H12533" t="s">
        <v>43</v>
      </c>
      <c r="I12533" t="s">
        <v>2191</v>
      </c>
      <c r="J12533" s="10">
        <v>16</v>
      </c>
      <c r="K12533" t="b">
        <v>1</v>
      </c>
    </row>
    <row r="12534" spans="1:11">
      <c r="A12534" s="12">
        <v>43207</v>
      </c>
      <c r="B12534">
        <v>2018</v>
      </c>
      <c r="C12534">
        <v>4</v>
      </c>
      <c r="D12534" s="11">
        <v>43191</v>
      </c>
      <c r="E12534" t="s">
        <v>2176</v>
      </c>
      <c r="F12534">
        <v>2</v>
      </c>
      <c r="G12534" t="s">
        <v>63</v>
      </c>
      <c r="H12534" t="s">
        <v>44</v>
      </c>
      <c r="I12534" t="s">
        <v>2192</v>
      </c>
      <c r="J12534" s="10">
        <v>10</v>
      </c>
      <c r="K12534" t="b">
        <v>1</v>
      </c>
    </row>
    <row r="12535" spans="1:11">
      <c r="A12535" s="12">
        <v>43207</v>
      </c>
      <c r="B12535">
        <v>2018</v>
      </c>
      <c r="C12535">
        <v>4</v>
      </c>
      <c r="D12535" s="11">
        <v>43191</v>
      </c>
      <c r="E12535" t="s">
        <v>2176</v>
      </c>
      <c r="F12535">
        <v>2</v>
      </c>
      <c r="G12535" t="s">
        <v>63</v>
      </c>
      <c r="H12535" t="s">
        <v>45</v>
      </c>
      <c r="I12535" t="s">
        <v>2193</v>
      </c>
      <c r="J12535" s="10">
        <v>0</v>
      </c>
      <c r="K12535" t="b">
        <v>1</v>
      </c>
    </row>
    <row r="12536" spans="1:11">
      <c r="A12536" s="12">
        <v>43207</v>
      </c>
      <c r="B12536">
        <v>2018</v>
      </c>
      <c r="C12536">
        <v>4</v>
      </c>
      <c r="D12536" s="11">
        <v>43191</v>
      </c>
      <c r="E12536" t="s">
        <v>2176</v>
      </c>
      <c r="F12536">
        <v>2</v>
      </c>
      <c r="G12536" t="s">
        <v>63</v>
      </c>
      <c r="H12536" t="s">
        <v>46</v>
      </c>
      <c r="I12536" t="s">
        <v>2194</v>
      </c>
      <c r="J12536" s="10">
        <v>6</v>
      </c>
      <c r="K12536" t="b">
        <v>1</v>
      </c>
    </row>
    <row r="12537" spans="1:11">
      <c r="A12537" s="12">
        <v>43207</v>
      </c>
      <c r="B12537">
        <v>2018</v>
      </c>
      <c r="C12537">
        <v>4</v>
      </c>
      <c r="D12537" s="11">
        <v>43191</v>
      </c>
      <c r="E12537" t="s">
        <v>2176</v>
      </c>
      <c r="F12537">
        <v>2</v>
      </c>
      <c r="G12537" t="s">
        <v>63</v>
      </c>
      <c r="H12537" t="s">
        <v>47</v>
      </c>
      <c r="I12537" t="s">
        <v>2195</v>
      </c>
      <c r="J12537" s="10">
        <v>6</v>
      </c>
      <c r="K12537" t="b">
        <v>1</v>
      </c>
    </row>
    <row r="12538" spans="1:11">
      <c r="A12538" s="12">
        <v>43208</v>
      </c>
      <c r="B12538">
        <v>2018</v>
      </c>
      <c r="C12538">
        <v>4</v>
      </c>
      <c r="D12538" s="11">
        <v>43191</v>
      </c>
      <c r="E12538" t="s">
        <v>2176</v>
      </c>
      <c r="F12538">
        <v>3</v>
      </c>
      <c r="G12538" t="s">
        <v>65</v>
      </c>
      <c r="H12538" t="s">
        <v>40</v>
      </c>
      <c r="I12538" t="s">
        <v>2188</v>
      </c>
      <c r="J12538" s="10">
        <v>5</v>
      </c>
      <c r="K12538" t="b">
        <v>1</v>
      </c>
    </row>
    <row r="12539" spans="1:11">
      <c r="A12539" s="12">
        <v>43208</v>
      </c>
      <c r="B12539">
        <v>2018</v>
      </c>
      <c r="C12539">
        <v>4</v>
      </c>
      <c r="D12539" s="11">
        <v>43191</v>
      </c>
      <c r="E12539" t="s">
        <v>2176</v>
      </c>
      <c r="F12539">
        <v>3</v>
      </c>
      <c r="G12539" t="s">
        <v>65</v>
      </c>
      <c r="H12539" t="s">
        <v>41</v>
      </c>
      <c r="I12539" t="s">
        <v>2189</v>
      </c>
      <c r="J12539" s="10">
        <v>0.54</v>
      </c>
      <c r="K12539" t="b">
        <v>1</v>
      </c>
    </row>
    <row r="12540" spans="1:11">
      <c r="A12540" s="12">
        <v>43208</v>
      </c>
      <c r="B12540">
        <v>2018</v>
      </c>
      <c r="C12540">
        <v>4</v>
      </c>
      <c r="D12540" s="11">
        <v>43191</v>
      </c>
      <c r="E12540" t="s">
        <v>2176</v>
      </c>
      <c r="F12540">
        <v>3</v>
      </c>
      <c r="G12540" t="s">
        <v>65</v>
      </c>
      <c r="H12540" t="s">
        <v>42</v>
      </c>
      <c r="I12540" t="s">
        <v>2190</v>
      </c>
      <c r="J12540" s="10">
        <v>3.25</v>
      </c>
      <c r="K12540" t="b">
        <v>1</v>
      </c>
    </row>
    <row r="12541" spans="1:11">
      <c r="A12541" s="12">
        <v>43208</v>
      </c>
      <c r="B12541">
        <v>2018</v>
      </c>
      <c r="C12541">
        <v>4</v>
      </c>
      <c r="D12541" s="11">
        <v>43191</v>
      </c>
      <c r="E12541" t="s">
        <v>2176</v>
      </c>
      <c r="F12541">
        <v>3</v>
      </c>
      <c r="G12541" t="s">
        <v>65</v>
      </c>
      <c r="H12541" t="s">
        <v>43</v>
      </c>
      <c r="I12541" t="s">
        <v>2191</v>
      </c>
      <c r="J12541" s="10">
        <v>25.25</v>
      </c>
      <c r="K12541" t="b">
        <v>1</v>
      </c>
    </row>
    <row r="12542" spans="1:11">
      <c r="A12542" s="12">
        <v>43208</v>
      </c>
      <c r="B12542">
        <v>2018</v>
      </c>
      <c r="C12542">
        <v>4</v>
      </c>
      <c r="D12542" s="11">
        <v>43191</v>
      </c>
      <c r="E12542" t="s">
        <v>2176</v>
      </c>
      <c r="F12542">
        <v>3</v>
      </c>
      <c r="G12542" t="s">
        <v>65</v>
      </c>
      <c r="H12542" t="s">
        <v>44</v>
      </c>
      <c r="I12542" t="s">
        <v>2192</v>
      </c>
      <c r="J12542" s="10">
        <v>5</v>
      </c>
      <c r="K12542" t="b">
        <v>1</v>
      </c>
    </row>
    <row r="12543" spans="1:11">
      <c r="A12543" s="12">
        <v>43208</v>
      </c>
      <c r="B12543">
        <v>2018</v>
      </c>
      <c r="C12543">
        <v>4</v>
      </c>
      <c r="D12543" s="11">
        <v>43191</v>
      </c>
      <c r="E12543" t="s">
        <v>2176</v>
      </c>
      <c r="F12543">
        <v>3</v>
      </c>
      <c r="G12543" t="s">
        <v>65</v>
      </c>
      <c r="H12543" t="s">
        <v>45</v>
      </c>
      <c r="I12543" t="s">
        <v>2193</v>
      </c>
      <c r="J12543" s="10">
        <v>0</v>
      </c>
      <c r="K12543" t="b">
        <v>1</v>
      </c>
    </row>
    <row r="12544" spans="1:11">
      <c r="A12544" s="12">
        <v>43208</v>
      </c>
      <c r="B12544">
        <v>2018</v>
      </c>
      <c r="C12544">
        <v>4</v>
      </c>
      <c r="D12544" s="11">
        <v>43191</v>
      </c>
      <c r="E12544" t="s">
        <v>2176</v>
      </c>
      <c r="F12544">
        <v>3</v>
      </c>
      <c r="G12544" t="s">
        <v>65</v>
      </c>
      <c r="H12544" t="s">
        <v>46</v>
      </c>
      <c r="I12544" t="s">
        <v>2194</v>
      </c>
      <c r="J12544" s="10">
        <v>7</v>
      </c>
      <c r="K12544" t="b">
        <v>1</v>
      </c>
    </row>
    <row r="12545" spans="1:11">
      <c r="A12545" s="12">
        <v>43208</v>
      </c>
      <c r="B12545">
        <v>2018</v>
      </c>
      <c r="C12545">
        <v>4</v>
      </c>
      <c r="D12545" s="11">
        <v>43191</v>
      </c>
      <c r="E12545" t="s">
        <v>2176</v>
      </c>
      <c r="F12545">
        <v>3</v>
      </c>
      <c r="G12545" t="s">
        <v>65</v>
      </c>
      <c r="H12545" t="s">
        <v>47</v>
      </c>
      <c r="I12545" t="s">
        <v>2195</v>
      </c>
      <c r="J12545" s="10">
        <v>1</v>
      </c>
      <c r="K12545" t="b">
        <v>1</v>
      </c>
    </row>
    <row r="12546" spans="1:11">
      <c r="A12546" s="12">
        <v>43209</v>
      </c>
      <c r="B12546">
        <v>2018</v>
      </c>
      <c r="C12546">
        <v>4</v>
      </c>
      <c r="D12546" s="11">
        <v>43191</v>
      </c>
      <c r="E12546" t="s">
        <v>2176</v>
      </c>
      <c r="F12546">
        <v>4</v>
      </c>
      <c r="G12546" t="s">
        <v>53</v>
      </c>
      <c r="H12546" t="s">
        <v>40</v>
      </c>
      <c r="I12546" t="s">
        <v>2188</v>
      </c>
      <c r="J12546" s="10">
        <v>5</v>
      </c>
      <c r="K12546" t="b">
        <v>1</v>
      </c>
    </row>
    <row r="12547" spans="1:11">
      <c r="A12547" s="12">
        <v>43209</v>
      </c>
      <c r="B12547">
        <v>2018</v>
      </c>
      <c r="C12547">
        <v>4</v>
      </c>
      <c r="D12547" s="11">
        <v>43191</v>
      </c>
      <c r="E12547" t="s">
        <v>2176</v>
      </c>
      <c r="F12547">
        <v>4</v>
      </c>
      <c r="G12547" t="s">
        <v>53</v>
      </c>
      <c r="H12547" t="s">
        <v>41</v>
      </c>
      <c r="I12547" t="s">
        <v>2189</v>
      </c>
      <c r="J12547" s="10">
        <v>5.67</v>
      </c>
      <c r="K12547" t="b">
        <v>1</v>
      </c>
    </row>
    <row r="12548" spans="1:11">
      <c r="A12548" s="12">
        <v>43209</v>
      </c>
      <c r="B12548">
        <v>2018</v>
      </c>
      <c r="C12548">
        <v>4</v>
      </c>
      <c r="D12548" s="11">
        <v>43191</v>
      </c>
      <c r="E12548" t="s">
        <v>2176</v>
      </c>
      <c r="F12548">
        <v>4</v>
      </c>
      <c r="G12548" t="s">
        <v>53</v>
      </c>
      <c r="H12548" t="s">
        <v>42</v>
      </c>
      <c r="I12548" t="s">
        <v>2190</v>
      </c>
      <c r="J12548" s="10">
        <v>1</v>
      </c>
      <c r="K12548" t="b">
        <v>1</v>
      </c>
    </row>
    <row r="12549" spans="1:11">
      <c r="A12549" s="12">
        <v>43209</v>
      </c>
      <c r="B12549">
        <v>2018</v>
      </c>
      <c r="C12549">
        <v>4</v>
      </c>
      <c r="D12549" s="11">
        <v>43191</v>
      </c>
      <c r="E12549" t="s">
        <v>2176</v>
      </c>
      <c r="F12549">
        <v>4</v>
      </c>
      <c r="G12549" t="s">
        <v>53</v>
      </c>
      <c r="H12549" t="s">
        <v>43</v>
      </c>
      <c r="I12549" t="s">
        <v>2191</v>
      </c>
      <c r="J12549" s="10">
        <v>31.375</v>
      </c>
      <c r="K12549" t="b">
        <v>1</v>
      </c>
    </row>
    <row r="12550" spans="1:11">
      <c r="A12550" s="12">
        <v>43209</v>
      </c>
      <c r="B12550">
        <v>2018</v>
      </c>
      <c r="C12550">
        <v>4</v>
      </c>
      <c r="D12550" s="11">
        <v>43191</v>
      </c>
      <c r="E12550" t="s">
        <v>2176</v>
      </c>
      <c r="F12550">
        <v>4</v>
      </c>
      <c r="G12550" t="s">
        <v>53</v>
      </c>
      <c r="H12550" t="s">
        <v>44</v>
      </c>
      <c r="I12550" t="s">
        <v>2192</v>
      </c>
      <c r="J12550" s="10">
        <v>3</v>
      </c>
      <c r="K12550" t="b">
        <v>1</v>
      </c>
    </row>
    <row r="12551" spans="1:11">
      <c r="A12551" s="12">
        <v>43209</v>
      </c>
      <c r="B12551">
        <v>2018</v>
      </c>
      <c r="C12551">
        <v>4</v>
      </c>
      <c r="D12551" s="11">
        <v>43191</v>
      </c>
      <c r="E12551" t="s">
        <v>2176</v>
      </c>
      <c r="F12551">
        <v>4</v>
      </c>
      <c r="G12551" t="s">
        <v>53</v>
      </c>
      <c r="H12551" t="s">
        <v>45</v>
      </c>
      <c r="I12551" t="s">
        <v>2193</v>
      </c>
      <c r="J12551" s="10">
        <v>0</v>
      </c>
      <c r="K12551" t="b">
        <v>1</v>
      </c>
    </row>
    <row r="12552" spans="1:11">
      <c r="A12552" s="12">
        <v>43209</v>
      </c>
      <c r="B12552">
        <v>2018</v>
      </c>
      <c r="C12552">
        <v>4</v>
      </c>
      <c r="D12552" s="11">
        <v>43191</v>
      </c>
      <c r="E12552" t="s">
        <v>2176</v>
      </c>
      <c r="F12552">
        <v>4</v>
      </c>
      <c r="G12552" t="s">
        <v>53</v>
      </c>
      <c r="H12552" t="s">
        <v>46</v>
      </c>
      <c r="I12552" t="s">
        <v>2194</v>
      </c>
      <c r="J12552" s="10">
        <v>1</v>
      </c>
      <c r="K12552" t="b">
        <v>1</v>
      </c>
    </row>
    <row r="12553" spans="1:11">
      <c r="A12553" s="12">
        <v>43209</v>
      </c>
      <c r="B12553">
        <v>2018</v>
      </c>
      <c r="C12553">
        <v>4</v>
      </c>
      <c r="D12553" s="11">
        <v>43191</v>
      </c>
      <c r="E12553" t="s">
        <v>2176</v>
      </c>
      <c r="F12553">
        <v>4</v>
      </c>
      <c r="G12553" t="s">
        <v>53</v>
      </c>
      <c r="H12553" t="s">
        <v>47</v>
      </c>
      <c r="I12553" t="s">
        <v>2195</v>
      </c>
      <c r="J12553" s="10">
        <v>7</v>
      </c>
      <c r="K12553" t="b">
        <v>1</v>
      </c>
    </row>
    <row r="12554" spans="1:11">
      <c r="A12554" s="12">
        <v>43210</v>
      </c>
      <c r="B12554">
        <v>2018</v>
      </c>
      <c r="C12554">
        <v>4</v>
      </c>
      <c r="D12554" s="11">
        <v>43191</v>
      </c>
      <c r="E12554" t="s">
        <v>2176</v>
      </c>
      <c r="F12554">
        <v>5</v>
      </c>
      <c r="G12554" t="s">
        <v>55</v>
      </c>
      <c r="H12554" t="s">
        <v>40</v>
      </c>
      <c r="I12554" t="s">
        <v>2188</v>
      </c>
      <c r="J12554" s="10">
        <v>5</v>
      </c>
      <c r="K12554" t="b">
        <v>1</v>
      </c>
    </row>
    <row r="12555" spans="1:11">
      <c r="A12555" s="12">
        <v>43210</v>
      </c>
      <c r="B12555">
        <v>2018</v>
      </c>
      <c r="C12555">
        <v>4</v>
      </c>
      <c r="D12555" s="11">
        <v>43191</v>
      </c>
      <c r="E12555" t="s">
        <v>2176</v>
      </c>
      <c r="F12555">
        <v>5</v>
      </c>
      <c r="G12555" t="s">
        <v>55</v>
      </c>
      <c r="H12555" t="s">
        <v>41</v>
      </c>
      <c r="I12555" t="s">
        <v>2189</v>
      </c>
      <c r="J12555" s="10">
        <v>4.506</v>
      </c>
      <c r="K12555" t="b">
        <v>1</v>
      </c>
    </row>
    <row r="12556" spans="1:11">
      <c r="A12556" s="12">
        <v>43210</v>
      </c>
      <c r="B12556">
        <v>2018</v>
      </c>
      <c r="C12556">
        <v>4</v>
      </c>
      <c r="D12556" s="11">
        <v>43191</v>
      </c>
      <c r="E12556" t="s">
        <v>2176</v>
      </c>
      <c r="F12556">
        <v>5</v>
      </c>
      <c r="G12556" t="s">
        <v>55</v>
      </c>
      <c r="H12556" t="s">
        <v>42</v>
      </c>
      <c r="I12556" t="s">
        <v>2190</v>
      </c>
      <c r="J12556" s="10">
        <v>0</v>
      </c>
      <c r="K12556" t="b">
        <v>1</v>
      </c>
    </row>
    <row r="12557" spans="1:11">
      <c r="A12557" s="12">
        <v>43210</v>
      </c>
      <c r="B12557">
        <v>2018</v>
      </c>
      <c r="C12557">
        <v>4</v>
      </c>
      <c r="D12557" s="11">
        <v>43191</v>
      </c>
      <c r="E12557" t="s">
        <v>2176</v>
      </c>
      <c r="F12557">
        <v>5</v>
      </c>
      <c r="G12557" t="s">
        <v>55</v>
      </c>
      <c r="H12557" t="s">
        <v>43</v>
      </c>
      <c r="I12557" t="s">
        <v>2191</v>
      </c>
      <c r="J12557" s="10">
        <v>15</v>
      </c>
      <c r="K12557" t="b">
        <v>1</v>
      </c>
    </row>
    <row r="12558" spans="1:11">
      <c r="A12558" s="12">
        <v>43210</v>
      </c>
      <c r="B12558">
        <v>2018</v>
      </c>
      <c r="C12558">
        <v>4</v>
      </c>
      <c r="D12558" s="11">
        <v>43191</v>
      </c>
      <c r="E12558" t="s">
        <v>2176</v>
      </c>
      <c r="F12558">
        <v>5</v>
      </c>
      <c r="G12558" t="s">
        <v>55</v>
      </c>
      <c r="H12558" t="s">
        <v>44</v>
      </c>
      <c r="I12558" t="s">
        <v>2192</v>
      </c>
      <c r="J12558" s="10">
        <v>10</v>
      </c>
      <c r="K12558" t="b">
        <v>1</v>
      </c>
    </row>
    <row r="12559" spans="1:11">
      <c r="A12559" s="12">
        <v>43210</v>
      </c>
      <c r="B12559">
        <v>2018</v>
      </c>
      <c r="C12559">
        <v>4</v>
      </c>
      <c r="D12559" s="11">
        <v>43191</v>
      </c>
      <c r="E12559" t="s">
        <v>2176</v>
      </c>
      <c r="F12559">
        <v>5</v>
      </c>
      <c r="G12559" t="s">
        <v>55</v>
      </c>
      <c r="H12559" t="s">
        <v>45</v>
      </c>
      <c r="I12559" t="s">
        <v>2193</v>
      </c>
      <c r="J12559" s="10">
        <v>0</v>
      </c>
      <c r="K12559" t="b">
        <v>1</v>
      </c>
    </row>
    <row r="12560" spans="1:11">
      <c r="A12560" s="12">
        <v>43210</v>
      </c>
      <c r="B12560">
        <v>2018</v>
      </c>
      <c r="C12560">
        <v>4</v>
      </c>
      <c r="D12560" s="11">
        <v>43191</v>
      </c>
      <c r="E12560" t="s">
        <v>2176</v>
      </c>
      <c r="F12560">
        <v>5</v>
      </c>
      <c r="G12560" t="s">
        <v>55</v>
      </c>
      <c r="H12560" t="s">
        <v>46</v>
      </c>
      <c r="I12560" t="s">
        <v>2194</v>
      </c>
      <c r="J12560" s="10">
        <v>6</v>
      </c>
      <c r="K12560" t="b">
        <v>1</v>
      </c>
    </row>
    <row r="12561" spans="1:11">
      <c r="A12561" s="12">
        <v>43210</v>
      </c>
      <c r="B12561">
        <v>2018</v>
      </c>
      <c r="C12561">
        <v>4</v>
      </c>
      <c r="D12561" s="11">
        <v>43191</v>
      </c>
      <c r="E12561" t="s">
        <v>2176</v>
      </c>
      <c r="F12561">
        <v>5</v>
      </c>
      <c r="G12561" t="s">
        <v>55</v>
      </c>
      <c r="H12561" t="s">
        <v>47</v>
      </c>
      <c r="I12561" t="s">
        <v>2195</v>
      </c>
      <c r="J12561" s="10">
        <v>9</v>
      </c>
      <c r="K12561" t="b">
        <v>1</v>
      </c>
    </row>
    <row r="12562" spans="1:11">
      <c r="A12562" s="12">
        <v>43211</v>
      </c>
      <c r="B12562">
        <v>2018</v>
      </c>
      <c r="C12562">
        <v>4</v>
      </c>
      <c r="D12562" s="11">
        <v>43191</v>
      </c>
      <c r="E12562" t="s">
        <v>2176</v>
      </c>
      <c r="F12562">
        <v>6</v>
      </c>
      <c r="G12562" t="s">
        <v>57</v>
      </c>
      <c r="H12562" t="s">
        <v>40</v>
      </c>
      <c r="I12562" t="s">
        <v>2188</v>
      </c>
      <c r="J12562" s="10">
        <v>3.5</v>
      </c>
      <c r="K12562" t="b">
        <v>1</v>
      </c>
    </row>
    <row r="12563" spans="1:11">
      <c r="A12563" s="12">
        <v>43211</v>
      </c>
      <c r="B12563">
        <v>2018</v>
      </c>
      <c r="C12563">
        <v>4</v>
      </c>
      <c r="D12563" s="11">
        <v>43191</v>
      </c>
      <c r="E12563" t="s">
        <v>2176</v>
      </c>
      <c r="F12563">
        <v>6</v>
      </c>
      <c r="G12563" t="s">
        <v>57</v>
      </c>
      <c r="H12563" t="s">
        <v>41</v>
      </c>
      <c r="I12563" t="s">
        <v>2189</v>
      </c>
      <c r="J12563" s="10">
        <v>3.439</v>
      </c>
      <c r="K12563" t="b">
        <v>1</v>
      </c>
    </row>
    <row r="12564" spans="1:11">
      <c r="A12564" s="12">
        <v>43211</v>
      </c>
      <c r="B12564">
        <v>2018</v>
      </c>
      <c r="C12564">
        <v>4</v>
      </c>
      <c r="D12564" s="11">
        <v>43191</v>
      </c>
      <c r="E12564" t="s">
        <v>2176</v>
      </c>
      <c r="F12564">
        <v>6</v>
      </c>
      <c r="G12564" t="s">
        <v>57</v>
      </c>
      <c r="H12564" t="s">
        <v>42</v>
      </c>
      <c r="I12564" t="s">
        <v>2190</v>
      </c>
      <c r="J12564" s="10">
        <v>2</v>
      </c>
      <c r="K12564" t="b">
        <v>1</v>
      </c>
    </row>
    <row r="12565" spans="1:11">
      <c r="A12565" s="12">
        <v>43211</v>
      </c>
      <c r="B12565">
        <v>2018</v>
      </c>
      <c r="C12565">
        <v>4</v>
      </c>
      <c r="D12565" s="11">
        <v>43191</v>
      </c>
      <c r="E12565" t="s">
        <v>2176</v>
      </c>
      <c r="F12565">
        <v>6</v>
      </c>
      <c r="G12565" t="s">
        <v>57</v>
      </c>
      <c r="H12565" t="s">
        <v>43</v>
      </c>
      <c r="I12565" t="s">
        <v>2191</v>
      </c>
      <c r="J12565" s="10">
        <v>40.4</v>
      </c>
      <c r="K12565" t="b">
        <v>1</v>
      </c>
    </row>
    <row r="12566" spans="1:11">
      <c r="A12566" s="12">
        <v>43211</v>
      </c>
      <c r="B12566">
        <v>2018</v>
      </c>
      <c r="C12566">
        <v>4</v>
      </c>
      <c r="D12566" s="11">
        <v>43191</v>
      </c>
      <c r="E12566" t="s">
        <v>2176</v>
      </c>
      <c r="F12566">
        <v>6</v>
      </c>
      <c r="G12566" t="s">
        <v>57</v>
      </c>
      <c r="H12566" t="s">
        <v>44</v>
      </c>
      <c r="I12566" t="s">
        <v>2192</v>
      </c>
      <c r="J12566" s="10">
        <v>7</v>
      </c>
      <c r="K12566" t="b">
        <v>1</v>
      </c>
    </row>
    <row r="12567" spans="1:11">
      <c r="A12567" s="12">
        <v>43211</v>
      </c>
      <c r="B12567">
        <v>2018</v>
      </c>
      <c r="C12567">
        <v>4</v>
      </c>
      <c r="D12567" s="11">
        <v>43191</v>
      </c>
      <c r="E12567" t="s">
        <v>2176</v>
      </c>
      <c r="F12567">
        <v>6</v>
      </c>
      <c r="G12567" t="s">
        <v>57</v>
      </c>
      <c r="H12567" t="s">
        <v>45</v>
      </c>
      <c r="I12567" t="s">
        <v>2193</v>
      </c>
      <c r="J12567" s="10">
        <v>0</v>
      </c>
      <c r="K12567" t="b">
        <v>1</v>
      </c>
    </row>
    <row r="12568" spans="1:11">
      <c r="A12568" s="12">
        <v>43211</v>
      </c>
      <c r="B12568">
        <v>2018</v>
      </c>
      <c r="C12568">
        <v>4</v>
      </c>
      <c r="D12568" s="11">
        <v>43191</v>
      </c>
      <c r="E12568" t="s">
        <v>2176</v>
      </c>
      <c r="F12568">
        <v>6</v>
      </c>
      <c r="G12568" t="s">
        <v>57</v>
      </c>
      <c r="H12568" t="s">
        <v>46</v>
      </c>
      <c r="I12568" t="s">
        <v>2194</v>
      </c>
      <c r="J12568" s="10">
        <v>4</v>
      </c>
      <c r="K12568" t="b">
        <v>1</v>
      </c>
    </row>
    <row r="12569" spans="1:11">
      <c r="A12569" s="12">
        <v>43211</v>
      </c>
      <c r="B12569">
        <v>2018</v>
      </c>
      <c r="C12569">
        <v>4</v>
      </c>
      <c r="D12569" s="11">
        <v>43191</v>
      </c>
      <c r="E12569" t="s">
        <v>2176</v>
      </c>
      <c r="F12569">
        <v>6</v>
      </c>
      <c r="G12569" t="s">
        <v>57</v>
      </c>
      <c r="H12569" t="s">
        <v>47</v>
      </c>
      <c r="I12569" t="s">
        <v>2195</v>
      </c>
      <c r="J12569" s="10">
        <v>6.2</v>
      </c>
      <c r="K12569" t="b">
        <v>1</v>
      </c>
    </row>
    <row r="12570" spans="1:11">
      <c r="A12570" s="12">
        <v>43212</v>
      </c>
      <c r="B12570">
        <v>2018</v>
      </c>
      <c r="C12570">
        <v>4</v>
      </c>
      <c r="D12570" s="11">
        <v>43191</v>
      </c>
      <c r="E12570" t="s">
        <v>2176</v>
      </c>
      <c r="F12570">
        <v>7</v>
      </c>
      <c r="G12570" t="s">
        <v>59</v>
      </c>
      <c r="H12570" t="s">
        <v>40</v>
      </c>
      <c r="I12570" t="s">
        <v>2188</v>
      </c>
      <c r="J12570" s="10">
        <v>6</v>
      </c>
      <c r="K12570" t="b">
        <v>1</v>
      </c>
    </row>
    <row r="12571" spans="1:11">
      <c r="A12571" s="12">
        <v>43212</v>
      </c>
      <c r="B12571">
        <v>2018</v>
      </c>
      <c r="C12571">
        <v>4</v>
      </c>
      <c r="D12571" s="11">
        <v>43191</v>
      </c>
      <c r="E12571" t="s">
        <v>2176</v>
      </c>
      <c r="F12571">
        <v>7</v>
      </c>
      <c r="G12571" t="s">
        <v>59</v>
      </c>
      <c r="H12571" t="s">
        <v>41</v>
      </c>
      <c r="I12571" t="s">
        <v>2189</v>
      </c>
      <c r="J12571" s="10">
        <v>5.09</v>
      </c>
      <c r="K12571" t="b">
        <v>1</v>
      </c>
    </row>
    <row r="12572" spans="1:11">
      <c r="A12572" s="12">
        <v>43212</v>
      </c>
      <c r="B12572">
        <v>2018</v>
      </c>
      <c r="C12572">
        <v>4</v>
      </c>
      <c r="D12572" s="11">
        <v>43191</v>
      </c>
      <c r="E12572" t="s">
        <v>2176</v>
      </c>
      <c r="F12572">
        <v>7</v>
      </c>
      <c r="G12572" t="s">
        <v>59</v>
      </c>
      <c r="H12572" t="s">
        <v>42</v>
      </c>
      <c r="I12572" t="s">
        <v>2190</v>
      </c>
      <c r="J12572" s="10">
        <v>3.5</v>
      </c>
      <c r="K12572" t="b">
        <v>1</v>
      </c>
    </row>
    <row r="12573" spans="1:11">
      <c r="A12573" s="12">
        <v>43212</v>
      </c>
      <c r="B12573">
        <v>2018</v>
      </c>
      <c r="C12573">
        <v>4</v>
      </c>
      <c r="D12573" s="11">
        <v>43191</v>
      </c>
      <c r="E12573" t="s">
        <v>2176</v>
      </c>
      <c r="F12573">
        <v>7</v>
      </c>
      <c r="G12573" t="s">
        <v>59</v>
      </c>
      <c r="H12573" t="s">
        <v>43</v>
      </c>
      <c r="I12573" t="s">
        <v>2191</v>
      </c>
      <c r="J12573" s="10">
        <v>42.5</v>
      </c>
      <c r="K12573" t="b">
        <v>1</v>
      </c>
    </row>
    <row r="12574" spans="1:11">
      <c r="A12574" s="12">
        <v>43212</v>
      </c>
      <c r="B12574">
        <v>2018</v>
      </c>
      <c r="C12574">
        <v>4</v>
      </c>
      <c r="D12574" s="11">
        <v>43191</v>
      </c>
      <c r="E12574" t="s">
        <v>2176</v>
      </c>
      <c r="F12574">
        <v>7</v>
      </c>
      <c r="G12574" t="s">
        <v>59</v>
      </c>
      <c r="H12574" t="s">
        <v>44</v>
      </c>
      <c r="I12574" t="s">
        <v>2192</v>
      </c>
      <c r="J12574" s="10">
        <v>7</v>
      </c>
      <c r="K12574" t="b">
        <v>1</v>
      </c>
    </row>
    <row r="12575" spans="1:11">
      <c r="A12575" s="12">
        <v>43212</v>
      </c>
      <c r="B12575">
        <v>2018</v>
      </c>
      <c r="C12575">
        <v>4</v>
      </c>
      <c r="D12575" s="11">
        <v>43191</v>
      </c>
      <c r="E12575" t="s">
        <v>2176</v>
      </c>
      <c r="F12575">
        <v>7</v>
      </c>
      <c r="G12575" t="s">
        <v>59</v>
      </c>
      <c r="H12575" t="s">
        <v>45</v>
      </c>
      <c r="I12575" t="s">
        <v>2193</v>
      </c>
      <c r="J12575" s="10">
        <v>0</v>
      </c>
      <c r="K12575" t="b">
        <v>1</v>
      </c>
    </row>
    <row r="12576" spans="1:11">
      <c r="A12576" s="12">
        <v>43212</v>
      </c>
      <c r="B12576">
        <v>2018</v>
      </c>
      <c r="C12576">
        <v>4</v>
      </c>
      <c r="D12576" s="11">
        <v>43191</v>
      </c>
      <c r="E12576" t="s">
        <v>2176</v>
      </c>
      <c r="F12576">
        <v>7</v>
      </c>
      <c r="G12576" t="s">
        <v>59</v>
      </c>
      <c r="H12576" t="s">
        <v>46</v>
      </c>
      <c r="I12576" t="s">
        <v>2194</v>
      </c>
      <c r="J12576" s="10">
        <v>0</v>
      </c>
      <c r="K12576" t="b">
        <v>1</v>
      </c>
    </row>
    <row r="12577" spans="1:11">
      <c r="A12577" s="12">
        <v>43212</v>
      </c>
      <c r="B12577">
        <v>2018</v>
      </c>
      <c r="C12577">
        <v>4</v>
      </c>
      <c r="D12577" s="11">
        <v>43191</v>
      </c>
      <c r="E12577" t="s">
        <v>2176</v>
      </c>
      <c r="F12577">
        <v>7</v>
      </c>
      <c r="G12577" t="s">
        <v>59</v>
      </c>
      <c r="H12577" t="s">
        <v>47</v>
      </c>
      <c r="I12577" t="s">
        <v>2195</v>
      </c>
      <c r="J12577" s="10">
        <v>6.5</v>
      </c>
      <c r="K12577" t="b">
        <v>1</v>
      </c>
    </row>
    <row r="12578" spans="1:11">
      <c r="A12578" s="12">
        <v>43213</v>
      </c>
      <c r="B12578">
        <v>2018</v>
      </c>
      <c r="C12578">
        <v>4</v>
      </c>
      <c r="D12578" s="11">
        <v>43191</v>
      </c>
      <c r="E12578" t="s">
        <v>2176</v>
      </c>
      <c r="F12578">
        <v>1</v>
      </c>
      <c r="G12578" t="s">
        <v>61</v>
      </c>
      <c r="H12578" t="s">
        <v>40</v>
      </c>
      <c r="I12578" t="s">
        <v>2188</v>
      </c>
      <c r="J12578" s="10">
        <v>7</v>
      </c>
      <c r="K12578" t="b">
        <v>1</v>
      </c>
    </row>
    <row r="12579" spans="1:11">
      <c r="A12579" s="12">
        <v>43213</v>
      </c>
      <c r="B12579">
        <v>2018</v>
      </c>
      <c r="C12579">
        <v>4</v>
      </c>
      <c r="D12579" s="11">
        <v>43191</v>
      </c>
      <c r="E12579" t="s">
        <v>2176</v>
      </c>
      <c r="F12579">
        <v>1</v>
      </c>
      <c r="G12579" t="s">
        <v>61</v>
      </c>
      <c r="H12579" t="s">
        <v>41</v>
      </c>
      <c r="I12579" t="s">
        <v>2189</v>
      </c>
      <c r="J12579" s="10">
        <v>0.6929999999999999</v>
      </c>
      <c r="K12579" t="b">
        <v>1</v>
      </c>
    </row>
    <row r="12580" spans="1:11">
      <c r="A12580" s="12">
        <v>43213</v>
      </c>
      <c r="B12580">
        <v>2018</v>
      </c>
      <c r="C12580">
        <v>4</v>
      </c>
      <c r="D12580" s="11">
        <v>43191</v>
      </c>
      <c r="E12580" t="s">
        <v>2176</v>
      </c>
      <c r="F12580">
        <v>1</v>
      </c>
      <c r="G12580" t="s">
        <v>61</v>
      </c>
      <c r="H12580" t="s">
        <v>42</v>
      </c>
      <c r="I12580" t="s">
        <v>2190</v>
      </c>
      <c r="J12580" s="10">
        <v>1</v>
      </c>
      <c r="K12580" t="b">
        <v>1</v>
      </c>
    </row>
    <row r="12581" spans="1:11">
      <c r="A12581" s="12">
        <v>43213</v>
      </c>
      <c r="B12581">
        <v>2018</v>
      </c>
      <c r="C12581">
        <v>4</v>
      </c>
      <c r="D12581" s="11">
        <v>43191</v>
      </c>
      <c r="E12581" t="s">
        <v>2176</v>
      </c>
      <c r="F12581">
        <v>1</v>
      </c>
      <c r="G12581" t="s">
        <v>61</v>
      </c>
      <c r="H12581" t="s">
        <v>43</v>
      </c>
      <c r="I12581" t="s">
        <v>2191</v>
      </c>
      <c r="J12581" s="10">
        <v>15.562</v>
      </c>
      <c r="K12581" t="b">
        <v>1</v>
      </c>
    </row>
    <row r="12582" spans="1:11">
      <c r="A12582" s="12">
        <v>43213</v>
      </c>
      <c r="B12582">
        <v>2018</v>
      </c>
      <c r="C12582">
        <v>4</v>
      </c>
      <c r="D12582" s="11">
        <v>43191</v>
      </c>
      <c r="E12582" t="s">
        <v>2176</v>
      </c>
      <c r="F12582">
        <v>1</v>
      </c>
      <c r="G12582" t="s">
        <v>61</v>
      </c>
      <c r="H12582" t="s">
        <v>44</v>
      </c>
      <c r="I12582" t="s">
        <v>2192</v>
      </c>
      <c r="J12582" s="10">
        <v>7</v>
      </c>
      <c r="K12582" t="b">
        <v>1</v>
      </c>
    </row>
    <row r="12583" spans="1:11">
      <c r="A12583" s="12">
        <v>43213</v>
      </c>
      <c r="B12583">
        <v>2018</v>
      </c>
      <c r="C12583">
        <v>4</v>
      </c>
      <c r="D12583" s="11">
        <v>43191</v>
      </c>
      <c r="E12583" t="s">
        <v>2176</v>
      </c>
      <c r="F12583">
        <v>1</v>
      </c>
      <c r="G12583" t="s">
        <v>61</v>
      </c>
      <c r="H12583" t="s">
        <v>45</v>
      </c>
      <c r="I12583" t="s">
        <v>2193</v>
      </c>
      <c r="J12583" s="10">
        <v>0</v>
      </c>
      <c r="K12583" t="b">
        <v>1</v>
      </c>
    </row>
    <row r="12584" spans="1:11">
      <c r="A12584" s="12">
        <v>43213</v>
      </c>
      <c r="B12584">
        <v>2018</v>
      </c>
      <c r="C12584">
        <v>4</v>
      </c>
      <c r="D12584" s="11">
        <v>43191</v>
      </c>
      <c r="E12584" t="s">
        <v>2176</v>
      </c>
      <c r="F12584">
        <v>1</v>
      </c>
      <c r="G12584" t="s">
        <v>61</v>
      </c>
      <c r="H12584" t="s">
        <v>46</v>
      </c>
      <c r="I12584" t="s">
        <v>2194</v>
      </c>
      <c r="J12584" s="10">
        <v>2</v>
      </c>
      <c r="K12584" t="b">
        <v>1</v>
      </c>
    </row>
    <row r="12585" spans="1:11">
      <c r="A12585" s="12">
        <v>43213</v>
      </c>
      <c r="B12585">
        <v>2018</v>
      </c>
      <c r="C12585">
        <v>4</v>
      </c>
      <c r="D12585" s="11">
        <v>43191</v>
      </c>
      <c r="E12585" t="s">
        <v>2176</v>
      </c>
      <c r="F12585">
        <v>1</v>
      </c>
      <c r="G12585" t="s">
        <v>61</v>
      </c>
      <c r="H12585" t="s">
        <v>47</v>
      </c>
      <c r="I12585" t="s">
        <v>2195</v>
      </c>
      <c r="J12585" s="10">
        <v>9</v>
      </c>
      <c r="K12585" t="b">
        <v>1</v>
      </c>
    </row>
    <row r="12586" spans="1:11">
      <c r="A12586" s="12">
        <v>43214</v>
      </c>
      <c r="B12586">
        <v>2018</v>
      </c>
      <c r="C12586">
        <v>4</v>
      </c>
      <c r="D12586" s="11">
        <v>43191</v>
      </c>
      <c r="E12586" t="s">
        <v>2176</v>
      </c>
      <c r="F12586">
        <v>2</v>
      </c>
      <c r="G12586" t="s">
        <v>63</v>
      </c>
      <c r="H12586" t="s">
        <v>40</v>
      </c>
      <c r="I12586" t="s">
        <v>2188</v>
      </c>
      <c r="J12586" s="10">
        <v>6</v>
      </c>
      <c r="K12586" t="b">
        <v>1</v>
      </c>
    </row>
    <row r="12587" spans="1:11">
      <c r="A12587" s="12">
        <v>43214</v>
      </c>
      <c r="B12587">
        <v>2018</v>
      </c>
      <c r="C12587">
        <v>4</v>
      </c>
      <c r="D12587" s="11">
        <v>43191</v>
      </c>
      <c r="E12587" t="s">
        <v>2176</v>
      </c>
      <c r="F12587">
        <v>2</v>
      </c>
      <c r="G12587" t="s">
        <v>63</v>
      </c>
      <c r="H12587" t="s">
        <v>41</v>
      </c>
      <c r="I12587" t="s">
        <v>2189</v>
      </c>
      <c r="J12587" s="10">
        <v>4.462</v>
      </c>
      <c r="K12587" t="b">
        <v>1</v>
      </c>
    </row>
    <row r="12588" spans="1:11">
      <c r="A12588" s="12">
        <v>43214</v>
      </c>
      <c r="B12588">
        <v>2018</v>
      </c>
      <c r="C12588">
        <v>4</v>
      </c>
      <c r="D12588" s="11">
        <v>43191</v>
      </c>
      <c r="E12588" t="s">
        <v>2176</v>
      </c>
      <c r="F12588">
        <v>2</v>
      </c>
      <c r="G12588" t="s">
        <v>63</v>
      </c>
      <c r="H12588" t="s">
        <v>42</v>
      </c>
      <c r="I12588" t="s">
        <v>2190</v>
      </c>
      <c r="J12588" s="10">
        <v>6</v>
      </c>
      <c r="K12588" t="b">
        <v>1</v>
      </c>
    </row>
    <row r="12589" spans="1:11">
      <c r="A12589" s="12">
        <v>43214</v>
      </c>
      <c r="B12589">
        <v>2018</v>
      </c>
      <c r="C12589">
        <v>4</v>
      </c>
      <c r="D12589" s="11">
        <v>43191</v>
      </c>
      <c r="E12589" t="s">
        <v>2176</v>
      </c>
      <c r="F12589">
        <v>2</v>
      </c>
      <c r="G12589" t="s">
        <v>63</v>
      </c>
      <c r="H12589" t="s">
        <v>43</v>
      </c>
      <c r="I12589" t="s">
        <v>2191</v>
      </c>
      <c r="J12589" s="10">
        <v>20</v>
      </c>
      <c r="K12589" t="b">
        <v>1</v>
      </c>
    </row>
    <row r="12590" spans="1:11">
      <c r="A12590" s="12">
        <v>43214</v>
      </c>
      <c r="B12590">
        <v>2018</v>
      </c>
      <c r="C12590">
        <v>4</v>
      </c>
      <c r="D12590" s="11">
        <v>43191</v>
      </c>
      <c r="E12590" t="s">
        <v>2176</v>
      </c>
      <c r="F12590">
        <v>2</v>
      </c>
      <c r="G12590" t="s">
        <v>63</v>
      </c>
      <c r="H12590" t="s">
        <v>44</v>
      </c>
      <c r="I12590" t="s">
        <v>2192</v>
      </c>
      <c r="J12590" s="10">
        <v>9</v>
      </c>
      <c r="K12590" t="b">
        <v>1</v>
      </c>
    </row>
    <row r="12591" spans="1:11">
      <c r="A12591" s="12">
        <v>43214</v>
      </c>
      <c r="B12591">
        <v>2018</v>
      </c>
      <c r="C12591">
        <v>4</v>
      </c>
      <c r="D12591" s="11">
        <v>43191</v>
      </c>
      <c r="E12591" t="s">
        <v>2176</v>
      </c>
      <c r="F12591">
        <v>2</v>
      </c>
      <c r="G12591" t="s">
        <v>63</v>
      </c>
      <c r="H12591" t="s">
        <v>45</v>
      </c>
      <c r="I12591" t="s">
        <v>2193</v>
      </c>
      <c r="J12591" s="10">
        <v>0</v>
      </c>
      <c r="K12591" t="b">
        <v>1</v>
      </c>
    </row>
    <row r="12592" spans="1:11">
      <c r="A12592" s="12">
        <v>43214</v>
      </c>
      <c r="B12592">
        <v>2018</v>
      </c>
      <c r="C12592">
        <v>4</v>
      </c>
      <c r="D12592" s="11">
        <v>43191</v>
      </c>
      <c r="E12592" t="s">
        <v>2176</v>
      </c>
      <c r="F12592">
        <v>2</v>
      </c>
      <c r="G12592" t="s">
        <v>63</v>
      </c>
      <c r="H12592" t="s">
        <v>46</v>
      </c>
      <c r="I12592" t="s">
        <v>2194</v>
      </c>
      <c r="J12592" s="10">
        <v>1</v>
      </c>
      <c r="K12592" t="b">
        <v>1</v>
      </c>
    </row>
    <row r="12593" spans="1:11">
      <c r="A12593" s="12">
        <v>43214</v>
      </c>
      <c r="B12593">
        <v>2018</v>
      </c>
      <c r="C12593">
        <v>4</v>
      </c>
      <c r="D12593" s="11">
        <v>43191</v>
      </c>
      <c r="E12593" t="s">
        <v>2176</v>
      </c>
      <c r="F12593">
        <v>2</v>
      </c>
      <c r="G12593" t="s">
        <v>63</v>
      </c>
      <c r="H12593" t="s">
        <v>47</v>
      </c>
      <c r="I12593" t="s">
        <v>2195</v>
      </c>
      <c r="J12593" s="10">
        <v>12</v>
      </c>
      <c r="K12593" t="b">
        <v>1</v>
      </c>
    </row>
    <row r="12594" spans="1:11">
      <c r="A12594" s="12">
        <v>43215</v>
      </c>
      <c r="B12594">
        <v>2018</v>
      </c>
      <c r="C12594">
        <v>4</v>
      </c>
      <c r="D12594" s="11">
        <v>43191</v>
      </c>
      <c r="E12594" t="s">
        <v>2176</v>
      </c>
      <c r="F12594">
        <v>3</v>
      </c>
      <c r="G12594" t="s">
        <v>65</v>
      </c>
      <c r="H12594" t="s">
        <v>40</v>
      </c>
      <c r="I12594" t="s">
        <v>2188</v>
      </c>
      <c r="J12594" s="10">
        <v>9</v>
      </c>
      <c r="K12594" t="b">
        <v>1</v>
      </c>
    </row>
    <row r="12595" spans="1:11">
      <c r="A12595" s="12">
        <v>43215</v>
      </c>
      <c r="B12595">
        <v>2018</v>
      </c>
      <c r="C12595">
        <v>4</v>
      </c>
      <c r="D12595" s="11">
        <v>43191</v>
      </c>
      <c r="E12595" t="s">
        <v>2176</v>
      </c>
      <c r="F12595">
        <v>3</v>
      </c>
      <c r="G12595" t="s">
        <v>65</v>
      </c>
      <c r="H12595" t="s">
        <v>41</v>
      </c>
      <c r="I12595" t="s">
        <v>2189</v>
      </c>
      <c r="J12595" s="10">
        <v>7.66</v>
      </c>
      <c r="K12595" t="b">
        <v>1</v>
      </c>
    </row>
    <row r="12596" spans="1:11">
      <c r="A12596" s="12">
        <v>43215</v>
      </c>
      <c r="B12596">
        <v>2018</v>
      </c>
      <c r="C12596">
        <v>4</v>
      </c>
      <c r="D12596" s="11">
        <v>43191</v>
      </c>
      <c r="E12596" t="s">
        <v>2176</v>
      </c>
      <c r="F12596">
        <v>3</v>
      </c>
      <c r="G12596" t="s">
        <v>65</v>
      </c>
      <c r="H12596" t="s">
        <v>42</v>
      </c>
      <c r="I12596" t="s">
        <v>2190</v>
      </c>
      <c r="J12596" s="10">
        <v>5</v>
      </c>
      <c r="K12596" t="b">
        <v>1</v>
      </c>
    </row>
    <row r="12597" spans="1:11">
      <c r="A12597" s="12">
        <v>43215</v>
      </c>
      <c r="B12597">
        <v>2018</v>
      </c>
      <c r="C12597">
        <v>4</v>
      </c>
      <c r="D12597" s="11">
        <v>43191</v>
      </c>
      <c r="E12597" t="s">
        <v>2176</v>
      </c>
      <c r="F12597">
        <v>3</v>
      </c>
      <c r="G12597" t="s">
        <v>65</v>
      </c>
      <c r="H12597" t="s">
        <v>43</v>
      </c>
      <c r="I12597" t="s">
        <v>2191</v>
      </c>
      <c r="J12597" s="10">
        <v>18.1</v>
      </c>
      <c r="K12597" t="b">
        <v>1</v>
      </c>
    </row>
    <row r="12598" spans="1:11">
      <c r="A12598" s="12">
        <v>43215</v>
      </c>
      <c r="B12598">
        <v>2018</v>
      </c>
      <c r="C12598">
        <v>4</v>
      </c>
      <c r="D12598" s="11">
        <v>43191</v>
      </c>
      <c r="E12598" t="s">
        <v>2176</v>
      </c>
      <c r="F12598">
        <v>3</v>
      </c>
      <c r="G12598" t="s">
        <v>65</v>
      </c>
      <c r="H12598" t="s">
        <v>44</v>
      </c>
      <c r="I12598" t="s">
        <v>2192</v>
      </c>
      <c r="J12598" s="10">
        <v>8</v>
      </c>
      <c r="K12598" t="b">
        <v>1</v>
      </c>
    </row>
    <row r="12599" spans="1:11">
      <c r="A12599" s="12">
        <v>43215</v>
      </c>
      <c r="B12599">
        <v>2018</v>
      </c>
      <c r="C12599">
        <v>4</v>
      </c>
      <c r="D12599" s="11">
        <v>43191</v>
      </c>
      <c r="E12599" t="s">
        <v>2176</v>
      </c>
      <c r="F12599">
        <v>3</v>
      </c>
      <c r="G12599" t="s">
        <v>65</v>
      </c>
      <c r="H12599" t="s">
        <v>45</v>
      </c>
      <c r="I12599" t="s">
        <v>2193</v>
      </c>
      <c r="J12599" s="10">
        <v>2</v>
      </c>
      <c r="K12599" t="b">
        <v>1</v>
      </c>
    </row>
    <row r="12600" spans="1:11">
      <c r="A12600" s="12">
        <v>43215</v>
      </c>
      <c r="B12600">
        <v>2018</v>
      </c>
      <c r="C12600">
        <v>4</v>
      </c>
      <c r="D12600" s="11">
        <v>43191</v>
      </c>
      <c r="E12600" t="s">
        <v>2176</v>
      </c>
      <c r="F12600">
        <v>3</v>
      </c>
      <c r="G12600" t="s">
        <v>65</v>
      </c>
      <c r="H12600" t="s">
        <v>46</v>
      </c>
      <c r="I12600" t="s">
        <v>2194</v>
      </c>
      <c r="J12600" s="10">
        <v>30</v>
      </c>
      <c r="K12600" t="b">
        <v>1</v>
      </c>
    </row>
    <row r="12601" spans="1:11">
      <c r="A12601" s="12">
        <v>43215</v>
      </c>
      <c r="B12601">
        <v>2018</v>
      </c>
      <c r="C12601">
        <v>4</v>
      </c>
      <c r="D12601" s="11">
        <v>43191</v>
      </c>
      <c r="E12601" t="s">
        <v>2176</v>
      </c>
      <c r="F12601">
        <v>3</v>
      </c>
      <c r="G12601" t="s">
        <v>65</v>
      </c>
      <c r="H12601" t="s">
        <v>47</v>
      </c>
      <c r="I12601" t="s">
        <v>2195</v>
      </c>
      <c r="J12601" s="10">
        <v>9</v>
      </c>
      <c r="K12601" t="b">
        <v>1</v>
      </c>
    </row>
    <row r="12602" spans="1:11">
      <c r="A12602" s="12">
        <v>43216</v>
      </c>
      <c r="B12602">
        <v>2018</v>
      </c>
      <c r="C12602">
        <v>4</v>
      </c>
      <c r="D12602" s="11">
        <v>43191</v>
      </c>
      <c r="E12602" t="s">
        <v>2176</v>
      </c>
      <c r="F12602">
        <v>4</v>
      </c>
      <c r="G12602" t="s">
        <v>53</v>
      </c>
      <c r="H12602" t="s">
        <v>40</v>
      </c>
      <c r="I12602" t="s">
        <v>2188</v>
      </c>
      <c r="J12602" s="10">
        <v>5.33</v>
      </c>
      <c r="K12602" t="b">
        <v>1</v>
      </c>
    </row>
    <row r="12603" spans="1:11">
      <c r="A12603" s="12">
        <v>43216</v>
      </c>
      <c r="B12603">
        <v>2018</v>
      </c>
      <c r="C12603">
        <v>4</v>
      </c>
      <c r="D12603" s="11">
        <v>43191</v>
      </c>
      <c r="E12603" t="s">
        <v>2176</v>
      </c>
      <c r="F12603">
        <v>4</v>
      </c>
      <c r="G12603" t="s">
        <v>53</v>
      </c>
      <c r="H12603" t="s">
        <v>41</v>
      </c>
      <c r="I12603" t="s">
        <v>2189</v>
      </c>
      <c r="J12603" s="10">
        <v>1.099</v>
      </c>
      <c r="K12603" t="b">
        <v>1</v>
      </c>
    </row>
    <row r="12604" spans="1:11">
      <c r="A12604" s="12">
        <v>43216</v>
      </c>
      <c r="B12604">
        <v>2018</v>
      </c>
      <c r="C12604">
        <v>4</v>
      </c>
      <c r="D12604" s="11">
        <v>43191</v>
      </c>
      <c r="E12604" t="s">
        <v>2176</v>
      </c>
      <c r="F12604">
        <v>4</v>
      </c>
      <c r="G12604" t="s">
        <v>53</v>
      </c>
      <c r="H12604" t="s">
        <v>42</v>
      </c>
      <c r="I12604" t="s">
        <v>2190</v>
      </c>
      <c r="J12604" s="10">
        <v>2</v>
      </c>
      <c r="K12604" t="b">
        <v>1</v>
      </c>
    </row>
    <row r="12605" spans="1:11">
      <c r="A12605" s="12">
        <v>43216</v>
      </c>
      <c r="B12605">
        <v>2018</v>
      </c>
      <c r="C12605">
        <v>4</v>
      </c>
      <c r="D12605" s="11">
        <v>43191</v>
      </c>
      <c r="E12605" t="s">
        <v>2176</v>
      </c>
      <c r="F12605">
        <v>4</v>
      </c>
      <c r="G12605" t="s">
        <v>53</v>
      </c>
      <c r="H12605" t="s">
        <v>43</v>
      </c>
      <c r="I12605" t="s">
        <v>2191</v>
      </c>
      <c r="J12605" s="10">
        <v>18</v>
      </c>
      <c r="K12605" t="b">
        <v>1</v>
      </c>
    </row>
    <row r="12606" spans="1:11">
      <c r="A12606" s="12">
        <v>43216</v>
      </c>
      <c r="B12606">
        <v>2018</v>
      </c>
      <c r="C12606">
        <v>4</v>
      </c>
      <c r="D12606" s="11">
        <v>43191</v>
      </c>
      <c r="E12606" t="s">
        <v>2176</v>
      </c>
      <c r="F12606">
        <v>4</v>
      </c>
      <c r="G12606" t="s">
        <v>53</v>
      </c>
      <c r="H12606" t="s">
        <v>44</v>
      </c>
      <c r="I12606" t="s">
        <v>2192</v>
      </c>
      <c r="J12606" s="10">
        <v>8</v>
      </c>
      <c r="K12606" t="b">
        <v>1</v>
      </c>
    </row>
    <row r="12607" spans="1:11">
      <c r="A12607" s="12">
        <v>43216</v>
      </c>
      <c r="B12607">
        <v>2018</v>
      </c>
      <c r="C12607">
        <v>4</v>
      </c>
      <c r="D12607" s="11">
        <v>43191</v>
      </c>
      <c r="E12607" t="s">
        <v>2176</v>
      </c>
      <c r="F12607">
        <v>4</v>
      </c>
      <c r="G12607" t="s">
        <v>53</v>
      </c>
      <c r="H12607" t="s">
        <v>45</v>
      </c>
      <c r="I12607" t="s">
        <v>2193</v>
      </c>
      <c r="J12607" s="10">
        <v>0</v>
      </c>
      <c r="K12607" t="b">
        <v>1</v>
      </c>
    </row>
    <row r="12608" spans="1:11">
      <c r="A12608" s="12">
        <v>43216</v>
      </c>
      <c r="B12608">
        <v>2018</v>
      </c>
      <c r="C12608">
        <v>4</v>
      </c>
      <c r="D12608" s="11">
        <v>43191</v>
      </c>
      <c r="E12608" t="s">
        <v>2176</v>
      </c>
      <c r="F12608">
        <v>4</v>
      </c>
      <c r="G12608" t="s">
        <v>53</v>
      </c>
      <c r="H12608" t="s">
        <v>46</v>
      </c>
      <c r="I12608" t="s">
        <v>2194</v>
      </c>
      <c r="J12608" s="10">
        <v>7</v>
      </c>
      <c r="K12608" t="b">
        <v>1</v>
      </c>
    </row>
    <row r="12609" spans="1:11">
      <c r="A12609" s="12">
        <v>43216</v>
      </c>
      <c r="B12609">
        <v>2018</v>
      </c>
      <c r="C12609">
        <v>4</v>
      </c>
      <c r="D12609" s="11">
        <v>43191</v>
      </c>
      <c r="E12609" t="s">
        <v>2176</v>
      </c>
      <c r="F12609">
        <v>4</v>
      </c>
      <c r="G12609" t="s">
        <v>53</v>
      </c>
      <c r="H12609" t="s">
        <v>47</v>
      </c>
      <c r="I12609" t="s">
        <v>2195</v>
      </c>
      <c r="J12609" s="10">
        <v>5</v>
      </c>
      <c r="K12609" t="b">
        <v>1</v>
      </c>
    </row>
    <row r="12610" spans="1:11">
      <c r="A12610" s="12">
        <v>43217</v>
      </c>
      <c r="B12610">
        <v>2018</v>
      </c>
      <c r="C12610">
        <v>4</v>
      </c>
      <c r="D12610" s="11">
        <v>43191</v>
      </c>
      <c r="E12610" t="s">
        <v>2176</v>
      </c>
      <c r="F12610">
        <v>5</v>
      </c>
      <c r="G12610" t="s">
        <v>55</v>
      </c>
      <c r="H12610" t="s">
        <v>40</v>
      </c>
      <c r="I12610" t="s">
        <v>2188</v>
      </c>
      <c r="J12610" s="10">
        <v>6.68</v>
      </c>
      <c r="K12610" t="b">
        <v>1</v>
      </c>
    </row>
    <row r="12611" spans="1:11">
      <c r="A12611" s="12">
        <v>43217</v>
      </c>
      <c r="B12611">
        <v>2018</v>
      </c>
      <c r="C12611">
        <v>4</v>
      </c>
      <c r="D12611" s="11">
        <v>43191</v>
      </c>
      <c r="E12611" t="s">
        <v>2176</v>
      </c>
      <c r="F12611">
        <v>5</v>
      </c>
      <c r="G12611" t="s">
        <v>55</v>
      </c>
      <c r="H12611" t="s">
        <v>41</v>
      </c>
      <c r="I12611" t="s">
        <v>2189</v>
      </c>
      <c r="J12611" s="10">
        <v>3.529</v>
      </c>
      <c r="K12611" t="b">
        <v>1</v>
      </c>
    </row>
    <row r="12612" spans="1:11">
      <c r="A12612" s="12">
        <v>43217</v>
      </c>
      <c r="B12612">
        <v>2018</v>
      </c>
      <c r="C12612">
        <v>4</v>
      </c>
      <c r="D12612" s="11">
        <v>43191</v>
      </c>
      <c r="E12612" t="s">
        <v>2176</v>
      </c>
      <c r="F12612">
        <v>5</v>
      </c>
      <c r="G12612" t="s">
        <v>55</v>
      </c>
      <c r="H12612" t="s">
        <v>42</v>
      </c>
      <c r="I12612" t="s">
        <v>2190</v>
      </c>
      <c r="J12612" s="10">
        <v>3</v>
      </c>
      <c r="K12612" t="b">
        <v>1</v>
      </c>
    </row>
    <row r="12613" spans="1:11">
      <c r="A12613" s="12">
        <v>43217</v>
      </c>
      <c r="B12613">
        <v>2018</v>
      </c>
      <c r="C12613">
        <v>4</v>
      </c>
      <c r="D12613" s="11">
        <v>43191</v>
      </c>
      <c r="E12613" t="s">
        <v>2176</v>
      </c>
      <c r="F12613">
        <v>5</v>
      </c>
      <c r="G12613" t="s">
        <v>55</v>
      </c>
      <c r="H12613" t="s">
        <v>43</v>
      </c>
      <c r="I12613" t="s">
        <v>2191</v>
      </c>
      <c r="J12613" s="10">
        <v>43</v>
      </c>
      <c r="K12613" t="b">
        <v>1</v>
      </c>
    </row>
    <row r="12614" spans="1:11">
      <c r="A12614" s="12">
        <v>43217</v>
      </c>
      <c r="B12614">
        <v>2018</v>
      </c>
      <c r="C12614">
        <v>4</v>
      </c>
      <c r="D12614" s="11">
        <v>43191</v>
      </c>
      <c r="E12614" t="s">
        <v>2176</v>
      </c>
      <c r="F12614">
        <v>5</v>
      </c>
      <c r="G12614" t="s">
        <v>55</v>
      </c>
      <c r="H12614" t="s">
        <v>44</v>
      </c>
      <c r="I12614" t="s">
        <v>2192</v>
      </c>
      <c r="J12614" s="10">
        <v>12</v>
      </c>
      <c r="K12614" t="b">
        <v>1</v>
      </c>
    </row>
    <row r="12615" spans="1:11">
      <c r="A12615" s="12">
        <v>43217</v>
      </c>
      <c r="B12615">
        <v>2018</v>
      </c>
      <c r="C12615">
        <v>4</v>
      </c>
      <c r="D12615" s="11">
        <v>43191</v>
      </c>
      <c r="E12615" t="s">
        <v>2176</v>
      </c>
      <c r="F12615">
        <v>5</v>
      </c>
      <c r="G12615" t="s">
        <v>55</v>
      </c>
      <c r="H12615" t="s">
        <v>45</v>
      </c>
      <c r="I12615" t="s">
        <v>2193</v>
      </c>
      <c r="J12615" s="10">
        <v>0</v>
      </c>
      <c r="K12615" t="b">
        <v>1</v>
      </c>
    </row>
    <row r="12616" spans="1:11">
      <c r="A12616" s="12">
        <v>43217</v>
      </c>
      <c r="B12616">
        <v>2018</v>
      </c>
      <c r="C12616">
        <v>4</v>
      </c>
      <c r="D12616" s="11">
        <v>43191</v>
      </c>
      <c r="E12616" t="s">
        <v>2176</v>
      </c>
      <c r="F12616">
        <v>5</v>
      </c>
      <c r="G12616" t="s">
        <v>55</v>
      </c>
      <c r="H12616" t="s">
        <v>46</v>
      </c>
      <c r="I12616" t="s">
        <v>2194</v>
      </c>
      <c r="J12616" s="10">
        <v>6</v>
      </c>
      <c r="K12616" t="b">
        <v>1</v>
      </c>
    </row>
    <row r="12617" spans="1:11">
      <c r="A12617" s="12">
        <v>43217</v>
      </c>
      <c r="B12617">
        <v>2018</v>
      </c>
      <c r="C12617">
        <v>4</v>
      </c>
      <c r="D12617" s="11">
        <v>43191</v>
      </c>
      <c r="E12617" t="s">
        <v>2176</v>
      </c>
      <c r="F12617">
        <v>5</v>
      </c>
      <c r="G12617" t="s">
        <v>55</v>
      </c>
      <c r="H12617" t="s">
        <v>47</v>
      </c>
      <c r="I12617" t="s">
        <v>2195</v>
      </c>
      <c r="J12617" s="10">
        <v>4</v>
      </c>
      <c r="K12617" t="b">
        <v>1</v>
      </c>
    </row>
    <row r="12618" spans="1:11">
      <c r="A12618" s="12">
        <v>43218</v>
      </c>
      <c r="B12618">
        <v>2018</v>
      </c>
      <c r="C12618">
        <v>4</v>
      </c>
      <c r="D12618" s="11">
        <v>43191</v>
      </c>
      <c r="E12618" t="s">
        <v>2176</v>
      </c>
      <c r="F12618">
        <v>6</v>
      </c>
      <c r="G12618" t="s">
        <v>57</v>
      </c>
      <c r="H12618" t="s">
        <v>40</v>
      </c>
      <c r="I12618" t="s">
        <v>2188</v>
      </c>
      <c r="J12618" s="10">
        <v>9.33</v>
      </c>
      <c r="K12618" t="b">
        <v>1</v>
      </c>
    </row>
    <row r="12619" spans="1:11">
      <c r="A12619" s="12">
        <v>43218</v>
      </c>
      <c r="B12619">
        <v>2018</v>
      </c>
      <c r="C12619">
        <v>4</v>
      </c>
      <c r="D12619" s="11">
        <v>43191</v>
      </c>
      <c r="E12619" t="s">
        <v>2176</v>
      </c>
      <c r="F12619">
        <v>6</v>
      </c>
      <c r="G12619" t="s">
        <v>57</v>
      </c>
      <c r="H12619" t="s">
        <v>41</v>
      </c>
      <c r="I12619" t="s">
        <v>2189</v>
      </c>
      <c r="J12619" s="10">
        <v>2</v>
      </c>
      <c r="K12619" t="b">
        <v>1</v>
      </c>
    </row>
    <row r="12620" spans="1:11">
      <c r="A12620" s="12">
        <v>43218</v>
      </c>
      <c r="B12620">
        <v>2018</v>
      </c>
      <c r="C12620">
        <v>4</v>
      </c>
      <c r="D12620" s="11">
        <v>43191</v>
      </c>
      <c r="E12620" t="s">
        <v>2176</v>
      </c>
      <c r="F12620">
        <v>6</v>
      </c>
      <c r="G12620" t="s">
        <v>57</v>
      </c>
      <c r="H12620" t="s">
        <v>42</v>
      </c>
      <c r="I12620" t="s">
        <v>2190</v>
      </c>
      <c r="J12620" s="10">
        <v>2.05</v>
      </c>
      <c r="K12620" t="b">
        <v>1</v>
      </c>
    </row>
    <row r="12621" spans="1:11">
      <c r="A12621" s="12">
        <v>43218</v>
      </c>
      <c r="B12621">
        <v>2018</v>
      </c>
      <c r="C12621">
        <v>4</v>
      </c>
      <c r="D12621" s="11">
        <v>43191</v>
      </c>
      <c r="E12621" t="s">
        <v>2176</v>
      </c>
      <c r="F12621">
        <v>6</v>
      </c>
      <c r="G12621" t="s">
        <v>57</v>
      </c>
      <c r="H12621" t="s">
        <v>43</v>
      </c>
      <c r="I12621" t="s">
        <v>2191</v>
      </c>
      <c r="J12621" s="10">
        <v>27.25</v>
      </c>
      <c r="K12621" t="b">
        <v>1</v>
      </c>
    </row>
    <row r="12622" spans="1:11">
      <c r="A12622" s="12">
        <v>43218</v>
      </c>
      <c r="B12622">
        <v>2018</v>
      </c>
      <c r="C12622">
        <v>4</v>
      </c>
      <c r="D12622" s="11">
        <v>43191</v>
      </c>
      <c r="E12622" t="s">
        <v>2176</v>
      </c>
      <c r="F12622">
        <v>6</v>
      </c>
      <c r="G12622" t="s">
        <v>57</v>
      </c>
      <c r="H12622" t="s">
        <v>44</v>
      </c>
      <c r="I12622" t="s">
        <v>2192</v>
      </c>
      <c r="J12622" s="10">
        <v>11</v>
      </c>
      <c r="K12622" t="b">
        <v>1</v>
      </c>
    </row>
    <row r="12623" spans="1:11">
      <c r="A12623" s="12">
        <v>43218</v>
      </c>
      <c r="B12623">
        <v>2018</v>
      </c>
      <c r="C12623">
        <v>4</v>
      </c>
      <c r="D12623" s="11">
        <v>43191</v>
      </c>
      <c r="E12623" t="s">
        <v>2176</v>
      </c>
      <c r="F12623">
        <v>6</v>
      </c>
      <c r="G12623" t="s">
        <v>57</v>
      </c>
      <c r="H12623" t="s">
        <v>45</v>
      </c>
      <c r="I12623" t="s">
        <v>2193</v>
      </c>
      <c r="J12623" s="10">
        <v>1</v>
      </c>
      <c r="K12623" t="b">
        <v>1</v>
      </c>
    </row>
    <row r="12624" spans="1:11">
      <c r="A12624" s="12">
        <v>43218</v>
      </c>
      <c r="B12624">
        <v>2018</v>
      </c>
      <c r="C12624">
        <v>4</v>
      </c>
      <c r="D12624" s="11">
        <v>43191</v>
      </c>
      <c r="E12624" t="s">
        <v>2176</v>
      </c>
      <c r="F12624">
        <v>6</v>
      </c>
      <c r="G12624" t="s">
        <v>57</v>
      </c>
      <c r="H12624" t="s">
        <v>46</v>
      </c>
      <c r="I12624" t="s">
        <v>2194</v>
      </c>
      <c r="J12624" s="10">
        <v>6</v>
      </c>
      <c r="K12624" t="b">
        <v>1</v>
      </c>
    </row>
    <row r="12625" spans="1:11">
      <c r="A12625" s="12">
        <v>43218</v>
      </c>
      <c r="B12625">
        <v>2018</v>
      </c>
      <c r="C12625">
        <v>4</v>
      </c>
      <c r="D12625" s="11">
        <v>43191</v>
      </c>
      <c r="E12625" t="s">
        <v>2176</v>
      </c>
      <c r="F12625">
        <v>6</v>
      </c>
      <c r="G12625" t="s">
        <v>57</v>
      </c>
      <c r="H12625" t="s">
        <v>47</v>
      </c>
      <c r="I12625" t="s">
        <v>2195</v>
      </c>
      <c r="J12625" s="10">
        <v>7</v>
      </c>
      <c r="K12625" t="b">
        <v>1</v>
      </c>
    </row>
    <row r="12626" spans="1:11">
      <c r="A12626" s="12">
        <v>43219</v>
      </c>
      <c r="B12626">
        <v>2018</v>
      </c>
      <c r="C12626">
        <v>4</v>
      </c>
      <c r="D12626" s="11">
        <v>43191</v>
      </c>
      <c r="E12626" t="s">
        <v>2176</v>
      </c>
      <c r="F12626">
        <v>7</v>
      </c>
      <c r="G12626" t="s">
        <v>59</v>
      </c>
      <c r="H12626" t="s">
        <v>40</v>
      </c>
      <c r="I12626" t="s">
        <v>2188</v>
      </c>
      <c r="J12626" s="10">
        <v>7.33</v>
      </c>
      <c r="K12626" t="b">
        <v>1</v>
      </c>
    </row>
    <row r="12627" spans="1:11">
      <c r="A12627" s="12">
        <v>43219</v>
      </c>
      <c r="B12627">
        <v>2018</v>
      </c>
      <c r="C12627">
        <v>4</v>
      </c>
      <c r="D12627" s="11">
        <v>43191</v>
      </c>
      <c r="E12627" t="s">
        <v>2176</v>
      </c>
      <c r="F12627">
        <v>7</v>
      </c>
      <c r="G12627" t="s">
        <v>59</v>
      </c>
      <c r="H12627" t="s">
        <v>41</v>
      </c>
      <c r="I12627" t="s">
        <v>2189</v>
      </c>
      <c r="J12627" s="10">
        <v>6</v>
      </c>
      <c r="K12627" t="b">
        <v>1</v>
      </c>
    </row>
    <row r="12628" spans="1:11">
      <c r="A12628" s="12">
        <v>43219</v>
      </c>
      <c r="B12628">
        <v>2018</v>
      </c>
      <c r="C12628">
        <v>4</v>
      </c>
      <c r="D12628" s="11">
        <v>43191</v>
      </c>
      <c r="E12628" t="s">
        <v>2176</v>
      </c>
      <c r="F12628">
        <v>7</v>
      </c>
      <c r="G12628" t="s">
        <v>59</v>
      </c>
      <c r="H12628" t="s">
        <v>42</v>
      </c>
      <c r="I12628" t="s">
        <v>2190</v>
      </c>
      <c r="J12628" s="10">
        <v>6</v>
      </c>
      <c r="K12628" t="b">
        <v>1</v>
      </c>
    </row>
    <row r="12629" spans="1:11">
      <c r="A12629" s="12">
        <v>43219</v>
      </c>
      <c r="B12629">
        <v>2018</v>
      </c>
      <c r="C12629">
        <v>4</v>
      </c>
      <c r="D12629" s="11">
        <v>43191</v>
      </c>
      <c r="E12629" t="s">
        <v>2176</v>
      </c>
      <c r="F12629">
        <v>7</v>
      </c>
      <c r="G12629" t="s">
        <v>59</v>
      </c>
      <c r="H12629" t="s">
        <v>43</v>
      </c>
      <c r="I12629" t="s">
        <v>2191</v>
      </c>
      <c r="J12629" s="10">
        <v>14</v>
      </c>
      <c r="K12629" t="b">
        <v>1</v>
      </c>
    </row>
    <row r="12630" spans="1:11">
      <c r="A12630" s="12">
        <v>43219</v>
      </c>
      <c r="B12630">
        <v>2018</v>
      </c>
      <c r="C12630">
        <v>4</v>
      </c>
      <c r="D12630" s="11">
        <v>43191</v>
      </c>
      <c r="E12630" t="s">
        <v>2176</v>
      </c>
      <c r="F12630">
        <v>7</v>
      </c>
      <c r="G12630" t="s">
        <v>59</v>
      </c>
      <c r="H12630" t="s">
        <v>44</v>
      </c>
      <c r="I12630" t="s">
        <v>2192</v>
      </c>
      <c r="J12630" s="10">
        <v>5</v>
      </c>
      <c r="K12630" t="b">
        <v>1</v>
      </c>
    </row>
    <row r="12631" spans="1:11">
      <c r="A12631" s="12">
        <v>43219</v>
      </c>
      <c r="B12631">
        <v>2018</v>
      </c>
      <c r="C12631">
        <v>4</v>
      </c>
      <c r="D12631" s="11">
        <v>43191</v>
      </c>
      <c r="E12631" t="s">
        <v>2176</v>
      </c>
      <c r="F12631">
        <v>7</v>
      </c>
      <c r="G12631" t="s">
        <v>59</v>
      </c>
      <c r="H12631" t="s">
        <v>45</v>
      </c>
      <c r="I12631" t="s">
        <v>2193</v>
      </c>
      <c r="J12631" s="10">
        <v>0</v>
      </c>
      <c r="K12631" t="b">
        <v>1</v>
      </c>
    </row>
    <row r="12632" spans="1:11">
      <c r="A12632" s="12">
        <v>43219</v>
      </c>
      <c r="B12632">
        <v>2018</v>
      </c>
      <c r="C12632">
        <v>4</v>
      </c>
      <c r="D12632" s="11">
        <v>43191</v>
      </c>
      <c r="E12632" t="s">
        <v>2176</v>
      </c>
      <c r="F12632">
        <v>7</v>
      </c>
      <c r="G12632" t="s">
        <v>59</v>
      </c>
      <c r="H12632" t="s">
        <v>46</v>
      </c>
      <c r="I12632" t="s">
        <v>2194</v>
      </c>
      <c r="J12632" s="10">
        <v>14</v>
      </c>
      <c r="K12632" t="b">
        <v>1</v>
      </c>
    </row>
    <row r="12633" spans="1:11">
      <c r="A12633" s="12">
        <v>43219</v>
      </c>
      <c r="B12633">
        <v>2018</v>
      </c>
      <c r="C12633">
        <v>4</v>
      </c>
      <c r="D12633" s="11">
        <v>43191</v>
      </c>
      <c r="E12633" t="s">
        <v>2176</v>
      </c>
      <c r="F12633">
        <v>7</v>
      </c>
      <c r="G12633" t="s">
        <v>59</v>
      </c>
      <c r="H12633" t="s">
        <v>47</v>
      </c>
      <c r="I12633" t="s">
        <v>2195</v>
      </c>
      <c r="J12633" s="10">
        <v>10.4</v>
      </c>
      <c r="K12633" t="b">
        <v>1</v>
      </c>
    </row>
    <row r="12634" spans="1:11">
      <c r="A12634" s="12">
        <v>43220</v>
      </c>
      <c r="B12634">
        <v>2018</v>
      </c>
      <c r="C12634">
        <v>4</v>
      </c>
      <c r="D12634" s="11">
        <v>43191</v>
      </c>
      <c r="E12634" t="s">
        <v>2176</v>
      </c>
      <c r="F12634">
        <v>1</v>
      </c>
      <c r="G12634" t="s">
        <v>61</v>
      </c>
      <c r="H12634" t="s">
        <v>40</v>
      </c>
      <c r="I12634" t="s">
        <v>2188</v>
      </c>
      <c r="J12634" s="10">
        <v>5</v>
      </c>
      <c r="K12634" t="b">
        <v>1</v>
      </c>
    </row>
    <row r="12635" spans="1:11">
      <c r="A12635" s="12">
        <v>43220</v>
      </c>
      <c r="B12635">
        <v>2018</v>
      </c>
      <c r="C12635">
        <v>4</v>
      </c>
      <c r="D12635" s="11">
        <v>43191</v>
      </c>
      <c r="E12635" t="s">
        <v>2176</v>
      </c>
      <c r="F12635">
        <v>1</v>
      </c>
      <c r="G12635" t="s">
        <v>61</v>
      </c>
      <c r="H12635" t="s">
        <v>41</v>
      </c>
      <c r="I12635" t="s">
        <v>2189</v>
      </c>
      <c r="J12635" s="10">
        <v>6.66</v>
      </c>
      <c r="K12635" t="b">
        <v>1</v>
      </c>
    </row>
    <row r="12636" spans="1:11">
      <c r="A12636" s="12">
        <v>43220</v>
      </c>
      <c r="B12636">
        <v>2018</v>
      </c>
      <c r="C12636">
        <v>4</v>
      </c>
      <c r="D12636" s="11">
        <v>43191</v>
      </c>
      <c r="E12636" t="s">
        <v>2176</v>
      </c>
      <c r="F12636">
        <v>1</v>
      </c>
      <c r="G12636" t="s">
        <v>61</v>
      </c>
      <c r="H12636" t="s">
        <v>42</v>
      </c>
      <c r="I12636" t="s">
        <v>2190</v>
      </c>
      <c r="J12636" s="10">
        <v>3</v>
      </c>
      <c r="K12636" t="b">
        <v>1</v>
      </c>
    </row>
    <row r="12637" spans="1:11">
      <c r="A12637" s="12">
        <v>43220</v>
      </c>
      <c r="B12637">
        <v>2018</v>
      </c>
      <c r="C12637">
        <v>4</v>
      </c>
      <c r="D12637" s="11">
        <v>43191</v>
      </c>
      <c r="E12637" t="s">
        <v>2176</v>
      </c>
      <c r="F12637">
        <v>1</v>
      </c>
      <c r="G12637" t="s">
        <v>61</v>
      </c>
      <c r="H12637" t="s">
        <v>43</v>
      </c>
      <c r="I12637" t="s">
        <v>2191</v>
      </c>
      <c r="J12637" s="10">
        <v>14.125</v>
      </c>
      <c r="K12637" t="b">
        <v>1</v>
      </c>
    </row>
    <row r="12638" spans="1:11">
      <c r="A12638" s="12">
        <v>43220</v>
      </c>
      <c r="B12638">
        <v>2018</v>
      </c>
      <c r="C12638">
        <v>4</v>
      </c>
      <c r="D12638" s="11">
        <v>43191</v>
      </c>
      <c r="E12638" t="s">
        <v>2176</v>
      </c>
      <c r="F12638">
        <v>1</v>
      </c>
      <c r="G12638" t="s">
        <v>61</v>
      </c>
      <c r="H12638" t="s">
        <v>44</v>
      </c>
      <c r="I12638" t="s">
        <v>2192</v>
      </c>
      <c r="J12638" s="10">
        <v>12</v>
      </c>
      <c r="K12638" t="b">
        <v>1</v>
      </c>
    </row>
    <row r="12639" spans="1:11">
      <c r="A12639" s="12">
        <v>43220</v>
      </c>
      <c r="B12639">
        <v>2018</v>
      </c>
      <c r="C12639">
        <v>4</v>
      </c>
      <c r="D12639" s="11">
        <v>43191</v>
      </c>
      <c r="E12639" t="s">
        <v>2176</v>
      </c>
      <c r="F12639">
        <v>1</v>
      </c>
      <c r="G12639" t="s">
        <v>61</v>
      </c>
      <c r="H12639" t="s">
        <v>45</v>
      </c>
      <c r="I12639" t="s">
        <v>2193</v>
      </c>
      <c r="J12639" s="10">
        <v>0</v>
      </c>
      <c r="K12639" t="b">
        <v>1</v>
      </c>
    </row>
    <row r="12640" spans="1:11">
      <c r="A12640" s="12">
        <v>43220</v>
      </c>
      <c r="B12640">
        <v>2018</v>
      </c>
      <c r="C12640">
        <v>4</v>
      </c>
      <c r="D12640" s="11">
        <v>43191</v>
      </c>
      <c r="E12640" t="s">
        <v>2176</v>
      </c>
      <c r="F12640">
        <v>1</v>
      </c>
      <c r="G12640" t="s">
        <v>61</v>
      </c>
      <c r="H12640" t="s">
        <v>46</v>
      </c>
      <c r="I12640" t="s">
        <v>2194</v>
      </c>
      <c r="J12640" s="10">
        <v>1</v>
      </c>
      <c r="K12640" t="b">
        <v>1</v>
      </c>
    </row>
    <row r="12641" spans="1:11">
      <c r="A12641" s="12">
        <v>43220</v>
      </c>
      <c r="B12641">
        <v>2018</v>
      </c>
      <c r="C12641">
        <v>4</v>
      </c>
      <c r="D12641" s="11">
        <v>43191</v>
      </c>
      <c r="E12641" t="s">
        <v>2176</v>
      </c>
      <c r="F12641">
        <v>1</v>
      </c>
      <c r="G12641" t="s">
        <v>61</v>
      </c>
      <c r="H12641" t="s">
        <v>47</v>
      </c>
      <c r="I12641" t="s">
        <v>2195</v>
      </c>
      <c r="J12641" s="10">
        <v>7</v>
      </c>
      <c r="K12641" t="b">
        <v>1</v>
      </c>
    </row>
    <row r="12642" spans="1:11">
      <c r="A12642" s="12">
        <v>43221</v>
      </c>
      <c r="B12642">
        <v>2018</v>
      </c>
      <c r="C12642">
        <v>5</v>
      </c>
      <c r="D12642" s="11">
        <v>43221</v>
      </c>
      <c r="E12642" t="s">
        <v>2177</v>
      </c>
      <c r="F12642">
        <v>2</v>
      </c>
      <c r="G12642" t="s">
        <v>63</v>
      </c>
      <c r="H12642" t="s">
        <v>40</v>
      </c>
      <c r="I12642" t="s">
        <v>2188</v>
      </c>
      <c r="J12642" s="10">
        <v>2.34</v>
      </c>
      <c r="K12642" t="b">
        <v>1</v>
      </c>
    </row>
    <row r="12643" spans="1:11">
      <c r="A12643" s="12">
        <v>43221</v>
      </c>
      <c r="B12643">
        <v>2018</v>
      </c>
      <c r="C12643">
        <v>5</v>
      </c>
      <c r="D12643" s="11">
        <v>43221</v>
      </c>
      <c r="E12643" t="s">
        <v>2177</v>
      </c>
      <c r="F12643">
        <v>2</v>
      </c>
      <c r="G12643" t="s">
        <v>63</v>
      </c>
      <c r="H12643" t="s">
        <v>41</v>
      </c>
      <c r="I12643" t="s">
        <v>2189</v>
      </c>
      <c r="J12643" s="10">
        <v>0</v>
      </c>
      <c r="K12643" t="b">
        <v>1</v>
      </c>
    </row>
    <row r="12644" spans="1:11">
      <c r="A12644" s="12">
        <v>43221</v>
      </c>
      <c r="B12644">
        <v>2018</v>
      </c>
      <c r="C12644">
        <v>5</v>
      </c>
      <c r="D12644" s="11">
        <v>43221</v>
      </c>
      <c r="E12644" t="s">
        <v>2177</v>
      </c>
      <c r="F12644">
        <v>2</v>
      </c>
      <c r="G12644" t="s">
        <v>63</v>
      </c>
      <c r="H12644" t="s">
        <v>42</v>
      </c>
      <c r="I12644" t="s">
        <v>2190</v>
      </c>
      <c r="J12644" s="10">
        <v>1</v>
      </c>
      <c r="K12644" t="b">
        <v>1</v>
      </c>
    </row>
    <row r="12645" spans="1:11">
      <c r="A12645" s="12">
        <v>43221</v>
      </c>
      <c r="B12645">
        <v>2018</v>
      </c>
      <c r="C12645">
        <v>5</v>
      </c>
      <c r="D12645" s="11">
        <v>43221</v>
      </c>
      <c r="E12645" t="s">
        <v>2177</v>
      </c>
      <c r="F12645">
        <v>2</v>
      </c>
      <c r="G12645" t="s">
        <v>63</v>
      </c>
      <c r="H12645" t="s">
        <v>43</v>
      </c>
      <c r="I12645" t="s">
        <v>2191</v>
      </c>
      <c r="J12645" s="10">
        <v>6.2</v>
      </c>
      <c r="K12645" t="b">
        <v>1</v>
      </c>
    </row>
    <row r="12646" spans="1:11">
      <c r="A12646" s="12">
        <v>43221</v>
      </c>
      <c r="B12646">
        <v>2018</v>
      </c>
      <c r="C12646">
        <v>5</v>
      </c>
      <c r="D12646" s="11">
        <v>43221</v>
      </c>
      <c r="E12646" t="s">
        <v>2177</v>
      </c>
      <c r="F12646">
        <v>2</v>
      </c>
      <c r="G12646" t="s">
        <v>63</v>
      </c>
      <c r="H12646" t="s">
        <v>44</v>
      </c>
      <c r="I12646" t="s">
        <v>2192</v>
      </c>
      <c r="J12646" s="10">
        <v>0</v>
      </c>
      <c r="K12646" t="b">
        <v>1</v>
      </c>
    </row>
    <row r="12647" spans="1:11">
      <c r="A12647" s="12">
        <v>43221</v>
      </c>
      <c r="B12647">
        <v>2018</v>
      </c>
      <c r="C12647">
        <v>5</v>
      </c>
      <c r="D12647" s="11">
        <v>43221</v>
      </c>
      <c r="E12647" t="s">
        <v>2177</v>
      </c>
      <c r="F12647">
        <v>2</v>
      </c>
      <c r="G12647" t="s">
        <v>63</v>
      </c>
      <c r="H12647" t="s">
        <v>45</v>
      </c>
      <c r="I12647" t="s">
        <v>2193</v>
      </c>
      <c r="J12647" s="10">
        <v>0</v>
      </c>
      <c r="K12647" t="b">
        <v>1</v>
      </c>
    </row>
    <row r="12648" spans="1:11">
      <c r="A12648" s="12">
        <v>43221</v>
      </c>
      <c r="B12648">
        <v>2018</v>
      </c>
      <c r="C12648">
        <v>5</v>
      </c>
      <c r="D12648" s="11">
        <v>43221</v>
      </c>
      <c r="E12648" t="s">
        <v>2177</v>
      </c>
      <c r="F12648">
        <v>2</v>
      </c>
      <c r="G12648" t="s">
        <v>63</v>
      </c>
      <c r="H12648" t="s">
        <v>46</v>
      </c>
      <c r="I12648" t="s">
        <v>2194</v>
      </c>
      <c r="J12648" s="10">
        <v>1</v>
      </c>
      <c r="K12648" t="b">
        <v>1</v>
      </c>
    </row>
    <row r="12649" spans="1:11">
      <c r="A12649" s="12">
        <v>43221</v>
      </c>
      <c r="B12649">
        <v>2018</v>
      </c>
      <c r="C12649">
        <v>5</v>
      </c>
      <c r="D12649" s="11">
        <v>43221</v>
      </c>
      <c r="E12649" t="s">
        <v>2177</v>
      </c>
      <c r="F12649">
        <v>2</v>
      </c>
      <c r="G12649" t="s">
        <v>63</v>
      </c>
      <c r="H12649" t="s">
        <v>47</v>
      </c>
      <c r="I12649" t="s">
        <v>2195</v>
      </c>
      <c r="J12649" s="10">
        <v>8</v>
      </c>
      <c r="K12649" t="b">
        <v>1</v>
      </c>
    </row>
    <row r="12650" spans="1:11">
      <c r="A12650" s="12">
        <v>43222</v>
      </c>
      <c r="B12650">
        <v>2018</v>
      </c>
      <c r="C12650">
        <v>5</v>
      </c>
      <c r="D12650" s="11">
        <v>43221</v>
      </c>
      <c r="E12650" t="s">
        <v>2177</v>
      </c>
      <c r="F12650">
        <v>3</v>
      </c>
      <c r="G12650" t="s">
        <v>65</v>
      </c>
      <c r="H12650" t="s">
        <v>40</v>
      </c>
      <c r="I12650" t="s">
        <v>2188</v>
      </c>
      <c r="J12650" s="10">
        <v>6</v>
      </c>
      <c r="K12650" t="b">
        <v>1</v>
      </c>
    </row>
    <row r="12651" spans="1:11">
      <c r="A12651" s="12">
        <v>43222</v>
      </c>
      <c r="B12651">
        <v>2018</v>
      </c>
      <c r="C12651">
        <v>5</v>
      </c>
      <c r="D12651" s="11">
        <v>43221</v>
      </c>
      <c r="E12651" t="s">
        <v>2177</v>
      </c>
      <c r="F12651">
        <v>3</v>
      </c>
      <c r="G12651" t="s">
        <v>65</v>
      </c>
      <c r="H12651" t="s">
        <v>41</v>
      </c>
      <c r="I12651" t="s">
        <v>2189</v>
      </c>
      <c r="J12651" s="10">
        <v>3.526</v>
      </c>
      <c r="K12651" t="b">
        <v>1</v>
      </c>
    </row>
    <row r="12652" spans="1:11">
      <c r="A12652" s="12">
        <v>43222</v>
      </c>
      <c r="B12652">
        <v>2018</v>
      </c>
      <c r="C12652">
        <v>5</v>
      </c>
      <c r="D12652" s="11">
        <v>43221</v>
      </c>
      <c r="E12652" t="s">
        <v>2177</v>
      </c>
      <c r="F12652">
        <v>3</v>
      </c>
      <c r="G12652" t="s">
        <v>65</v>
      </c>
      <c r="H12652" t="s">
        <v>42</v>
      </c>
      <c r="I12652" t="s">
        <v>2190</v>
      </c>
      <c r="J12652" s="10">
        <v>2</v>
      </c>
      <c r="K12652" t="b">
        <v>1</v>
      </c>
    </row>
    <row r="12653" spans="1:11">
      <c r="A12653" s="12">
        <v>43222</v>
      </c>
      <c r="B12653">
        <v>2018</v>
      </c>
      <c r="C12653">
        <v>5</v>
      </c>
      <c r="D12653" s="11">
        <v>43221</v>
      </c>
      <c r="E12653" t="s">
        <v>2177</v>
      </c>
      <c r="F12653">
        <v>3</v>
      </c>
      <c r="G12653" t="s">
        <v>65</v>
      </c>
      <c r="H12653" t="s">
        <v>43</v>
      </c>
      <c r="I12653" t="s">
        <v>2191</v>
      </c>
      <c r="J12653" s="10">
        <v>38.2</v>
      </c>
      <c r="K12653" t="b">
        <v>1</v>
      </c>
    </row>
    <row r="12654" spans="1:11">
      <c r="A12654" s="12">
        <v>43222</v>
      </c>
      <c r="B12654">
        <v>2018</v>
      </c>
      <c r="C12654">
        <v>5</v>
      </c>
      <c r="D12654" s="11">
        <v>43221</v>
      </c>
      <c r="E12654" t="s">
        <v>2177</v>
      </c>
      <c r="F12654">
        <v>3</v>
      </c>
      <c r="G12654" t="s">
        <v>65</v>
      </c>
      <c r="H12654" t="s">
        <v>44</v>
      </c>
      <c r="I12654" t="s">
        <v>2192</v>
      </c>
      <c r="J12654" s="10">
        <v>7</v>
      </c>
      <c r="K12654" t="b">
        <v>1</v>
      </c>
    </row>
    <row r="12655" spans="1:11">
      <c r="A12655" s="12">
        <v>43222</v>
      </c>
      <c r="B12655">
        <v>2018</v>
      </c>
      <c r="C12655">
        <v>5</v>
      </c>
      <c r="D12655" s="11">
        <v>43221</v>
      </c>
      <c r="E12655" t="s">
        <v>2177</v>
      </c>
      <c r="F12655">
        <v>3</v>
      </c>
      <c r="G12655" t="s">
        <v>65</v>
      </c>
      <c r="H12655" t="s">
        <v>45</v>
      </c>
      <c r="I12655" t="s">
        <v>2193</v>
      </c>
      <c r="J12655" s="10">
        <v>0</v>
      </c>
      <c r="K12655" t="b">
        <v>1</v>
      </c>
    </row>
    <row r="12656" spans="1:11">
      <c r="A12656" s="12">
        <v>43222</v>
      </c>
      <c r="B12656">
        <v>2018</v>
      </c>
      <c r="C12656">
        <v>5</v>
      </c>
      <c r="D12656" s="11">
        <v>43221</v>
      </c>
      <c r="E12656" t="s">
        <v>2177</v>
      </c>
      <c r="F12656">
        <v>3</v>
      </c>
      <c r="G12656" t="s">
        <v>65</v>
      </c>
      <c r="H12656" t="s">
        <v>46</v>
      </c>
      <c r="I12656" t="s">
        <v>2194</v>
      </c>
      <c r="J12656" s="10">
        <v>3</v>
      </c>
      <c r="K12656" t="b">
        <v>1</v>
      </c>
    </row>
    <row r="12657" spans="1:11">
      <c r="A12657" s="12">
        <v>43222</v>
      </c>
      <c r="B12657">
        <v>2018</v>
      </c>
      <c r="C12657">
        <v>5</v>
      </c>
      <c r="D12657" s="11">
        <v>43221</v>
      </c>
      <c r="E12657" t="s">
        <v>2177</v>
      </c>
      <c r="F12657">
        <v>3</v>
      </c>
      <c r="G12657" t="s">
        <v>65</v>
      </c>
      <c r="H12657" t="s">
        <v>47</v>
      </c>
      <c r="I12657" t="s">
        <v>2195</v>
      </c>
      <c r="J12657" s="10">
        <v>9</v>
      </c>
      <c r="K12657" t="b">
        <v>1</v>
      </c>
    </row>
    <row r="12658" spans="1:11">
      <c r="A12658" s="12">
        <v>43223</v>
      </c>
      <c r="B12658">
        <v>2018</v>
      </c>
      <c r="C12658">
        <v>5</v>
      </c>
      <c r="D12658" s="11">
        <v>43221</v>
      </c>
      <c r="E12658" t="s">
        <v>2177</v>
      </c>
      <c r="F12658">
        <v>4</v>
      </c>
      <c r="G12658" t="s">
        <v>53</v>
      </c>
      <c r="H12658" t="s">
        <v>40</v>
      </c>
      <c r="I12658" t="s">
        <v>2188</v>
      </c>
      <c r="J12658" s="10">
        <v>2.33</v>
      </c>
      <c r="K12658" t="b">
        <v>1</v>
      </c>
    </row>
    <row r="12659" spans="1:11">
      <c r="A12659" s="12">
        <v>43223</v>
      </c>
      <c r="B12659">
        <v>2018</v>
      </c>
      <c r="C12659">
        <v>5</v>
      </c>
      <c r="D12659" s="11">
        <v>43221</v>
      </c>
      <c r="E12659" t="s">
        <v>2177</v>
      </c>
      <c r="F12659">
        <v>4</v>
      </c>
      <c r="G12659" t="s">
        <v>53</v>
      </c>
      <c r="H12659" t="s">
        <v>41</v>
      </c>
      <c r="I12659" t="s">
        <v>2189</v>
      </c>
      <c r="J12659" s="10">
        <v>1.779</v>
      </c>
      <c r="K12659" t="b">
        <v>1</v>
      </c>
    </row>
    <row r="12660" spans="1:11">
      <c r="A12660" s="12">
        <v>43223</v>
      </c>
      <c r="B12660">
        <v>2018</v>
      </c>
      <c r="C12660">
        <v>5</v>
      </c>
      <c r="D12660" s="11">
        <v>43221</v>
      </c>
      <c r="E12660" t="s">
        <v>2177</v>
      </c>
      <c r="F12660">
        <v>4</v>
      </c>
      <c r="G12660" t="s">
        <v>53</v>
      </c>
      <c r="H12660" t="s">
        <v>42</v>
      </c>
      <c r="I12660" t="s">
        <v>2190</v>
      </c>
      <c r="J12660" s="10">
        <v>2</v>
      </c>
      <c r="K12660" t="b">
        <v>1</v>
      </c>
    </row>
    <row r="12661" spans="1:11">
      <c r="A12661" s="12">
        <v>43223</v>
      </c>
      <c r="B12661">
        <v>2018</v>
      </c>
      <c r="C12661">
        <v>5</v>
      </c>
      <c r="D12661" s="11">
        <v>43221</v>
      </c>
      <c r="E12661" t="s">
        <v>2177</v>
      </c>
      <c r="F12661">
        <v>4</v>
      </c>
      <c r="G12661" t="s">
        <v>53</v>
      </c>
      <c r="H12661" t="s">
        <v>43</v>
      </c>
      <c r="I12661" t="s">
        <v>2191</v>
      </c>
      <c r="J12661" s="10">
        <v>27.262</v>
      </c>
      <c r="K12661" t="b">
        <v>1</v>
      </c>
    </row>
    <row r="12662" spans="1:11">
      <c r="A12662" s="12">
        <v>43223</v>
      </c>
      <c r="B12662">
        <v>2018</v>
      </c>
      <c r="C12662">
        <v>5</v>
      </c>
      <c r="D12662" s="11">
        <v>43221</v>
      </c>
      <c r="E12662" t="s">
        <v>2177</v>
      </c>
      <c r="F12662">
        <v>4</v>
      </c>
      <c r="G12662" t="s">
        <v>53</v>
      </c>
      <c r="H12662" t="s">
        <v>44</v>
      </c>
      <c r="I12662" t="s">
        <v>2192</v>
      </c>
      <c r="J12662" s="10">
        <v>10</v>
      </c>
      <c r="K12662" t="b">
        <v>1</v>
      </c>
    </row>
    <row r="12663" spans="1:11">
      <c r="A12663" s="12">
        <v>43223</v>
      </c>
      <c r="B12663">
        <v>2018</v>
      </c>
      <c r="C12663">
        <v>5</v>
      </c>
      <c r="D12663" s="11">
        <v>43221</v>
      </c>
      <c r="E12663" t="s">
        <v>2177</v>
      </c>
      <c r="F12663">
        <v>4</v>
      </c>
      <c r="G12663" t="s">
        <v>53</v>
      </c>
      <c r="H12663" t="s">
        <v>45</v>
      </c>
      <c r="I12663" t="s">
        <v>2193</v>
      </c>
      <c r="J12663" s="10">
        <v>0</v>
      </c>
      <c r="K12663" t="b">
        <v>1</v>
      </c>
    </row>
    <row r="12664" spans="1:11">
      <c r="A12664" s="12">
        <v>43223</v>
      </c>
      <c r="B12664">
        <v>2018</v>
      </c>
      <c r="C12664">
        <v>5</v>
      </c>
      <c r="D12664" s="11">
        <v>43221</v>
      </c>
      <c r="E12664" t="s">
        <v>2177</v>
      </c>
      <c r="F12664">
        <v>4</v>
      </c>
      <c r="G12664" t="s">
        <v>53</v>
      </c>
      <c r="H12664" t="s">
        <v>46</v>
      </c>
      <c r="I12664" t="s">
        <v>2194</v>
      </c>
      <c r="J12664" s="10">
        <v>16</v>
      </c>
      <c r="K12664" t="b">
        <v>1</v>
      </c>
    </row>
    <row r="12665" spans="1:11">
      <c r="A12665" s="12">
        <v>43223</v>
      </c>
      <c r="B12665">
        <v>2018</v>
      </c>
      <c r="C12665">
        <v>5</v>
      </c>
      <c r="D12665" s="11">
        <v>43221</v>
      </c>
      <c r="E12665" t="s">
        <v>2177</v>
      </c>
      <c r="F12665">
        <v>4</v>
      </c>
      <c r="G12665" t="s">
        <v>53</v>
      </c>
      <c r="H12665" t="s">
        <v>47</v>
      </c>
      <c r="I12665" t="s">
        <v>2195</v>
      </c>
      <c r="J12665" s="10">
        <v>10</v>
      </c>
      <c r="K12665" t="b">
        <v>1</v>
      </c>
    </row>
    <row r="12666" spans="1:11">
      <c r="A12666" s="12">
        <v>43224</v>
      </c>
      <c r="B12666">
        <v>2018</v>
      </c>
      <c r="C12666">
        <v>5</v>
      </c>
      <c r="D12666" s="11">
        <v>43221</v>
      </c>
      <c r="E12666" t="s">
        <v>2177</v>
      </c>
      <c r="F12666">
        <v>5</v>
      </c>
      <c r="G12666" t="s">
        <v>55</v>
      </c>
      <c r="H12666" t="s">
        <v>40</v>
      </c>
      <c r="I12666" t="s">
        <v>2188</v>
      </c>
      <c r="J12666" s="10">
        <v>1</v>
      </c>
      <c r="K12666" t="b">
        <v>1</v>
      </c>
    </row>
    <row r="12667" spans="1:11">
      <c r="A12667" s="12">
        <v>43224</v>
      </c>
      <c r="B12667">
        <v>2018</v>
      </c>
      <c r="C12667">
        <v>5</v>
      </c>
      <c r="D12667" s="11">
        <v>43221</v>
      </c>
      <c r="E12667" t="s">
        <v>2177</v>
      </c>
      <c r="F12667">
        <v>5</v>
      </c>
      <c r="G12667" t="s">
        <v>55</v>
      </c>
      <c r="H12667" t="s">
        <v>41</v>
      </c>
      <c r="I12667" t="s">
        <v>2189</v>
      </c>
      <c r="J12667" s="10">
        <v>2.93</v>
      </c>
      <c r="K12667" t="b">
        <v>1</v>
      </c>
    </row>
    <row r="12668" spans="1:11">
      <c r="A12668" s="12">
        <v>43224</v>
      </c>
      <c r="B12668">
        <v>2018</v>
      </c>
      <c r="C12668">
        <v>5</v>
      </c>
      <c r="D12668" s="11">
        <v>43221</v>
      </c>
      <c r="E12668" t="s">
        <v>2177</v>
      </c>
      <c r="F12668">
        <v>5</v>
      </c>
      <c r="G12668" t="s">
        <v>55</v>
      </c>
      <c r="H12668" t="s">
        <v>42</v>
      </c>
      <c r="I12668" t="s">
        <v>2190</v>
      </c>
      <c r="J12668" s="10">
        <v>5</v>
      </c>
      <c r="K12668" t="b">
        <v>1</v>
      </c>
    </row>
    <row r="12669" spans="1:11">
      <c r="A12669" s="12">
        <v>43224</v>
      </c>
      <c r="B12669">
        <v>2018</v>
      </c>
      <c r="C12669">
        <v>5</v>
      </c>
      <c r="D12669" s="11">
        <v>43221</v>
      </c>
      <c r="E12669" t="s">
        <v>2177</v>
      </c>
      <c r="F12669">
        <v>5</v>
      </c>
      <c r="G12669" t="s">
        <v>55</v>
      </c>
      <c r="H12669" t="s">
        <v>43</v>
      </c>
      <c r="I12669" t="s">
        <v>2191</v>
      </c>
      <c r="J12669" s="10">
        <v>8.75</v>
      </c>
      <c r="K12669" t="b">
        <v>1</v>
      </c>
    </row>
    <row r="12670" spans="1:11">
      <c r="A12670" s="12">
        <v>43224</v>
      </c>
      <c r="B12670">
        <v>2018</v>
      </c>
      <c r="C12670">
        <v>5</v>
      </c>
      <c r="D12670" s="11">
        <v>43221</v>
      </c>
      <c r="E12670" t="s">
        <v>2177</v>
      </c>
      <c r="F12670">
        <v>5</v>
      </c>
      <c r="G12670" t="s">
        <v>55</v>
      </c>
      <c r="H12670" t="s">
        <v>44</v>
      </c>
      <c r="I12670" t="s">
        <v>2192</v>
      </c>
      <c r="J12670" s="10">
        <v>6</v>
      </c>
      <c r="K12670" t="b">
        <v>1</v>
      </c>
    </row>
    <row r="12671" spans="1:11">
      <c r="A12671" s="12">
        <v>43224</v>
      </c>
      <c r="B12671">
        <v>2018</v>
      </c>
      <c r="C12671">
        <v>5</v>
      </c>
      <c r="D12671" s="11">
        <v>43221</v>
      </c>
      <c r="E12671" t="s">
        <v>2177</v>
      </c>
      <c r="F12671">
        <v>5</v>
      </c>
      <c r="G12671" t="s">
        <v>55</v>
      </c>
      <c r="H12671" t="s">
        <v>45</v>
      </c>
      <c r="I12671" t="s">
        <v>2193</v>
      </c>
      <c r="J12671" s="10">
        <v>0</v>
      </c>
      <c r="K12671" t="b">
        <v>1</v>
      </c>
    </row>
    <row r="12672" spans="1:11">
      <c r="A12672" s="12">
        <v>43224</v>
      </c>
      <c r="B12672">
        <v>2018</v>
      </c>
      <c r="C12672">
        <v>5</v>
      </c>
      <c r="D12672" s="11">
        <v>43221</v>
      </c>
      <c r="E12672" t="s">
        <v>2177</v>
      </c>
      <c r="F12672">
        <v>5</v>
      </c>
      <c r="G12672" t="s">
        <v>55</v>
      </c>
      <c r="H12672" t="s">
        <v>46</v>
      </c>
      <c r="I12672" t="s">
        <v>2194</v>
      </c>
      <c r="J12672" s="10">
        <v>2</v>
      </c>
      <c r="K12672" t="b">
        <v>1</v>
      </c>
    </row>
    <row r="12673" spans="1:11">
      <c r="A12673" s="12">
        <v>43224</v>
      </c>
      <c r="B12673">
        <v>2018</v>
      </c>
      <c r="C12673">
        <v>5</v>
      </c>
      <c r="D12673" s="11">
        <v>43221</v>
      </c>
      <c r="E12673" t="s">
        <v>2177</v>
      </c>
      <c r="F12673">
        <v>5</v>
      </c>
      <c r="G12673" t="s">
        <v>55</v>
      </c>
      <c r="H12673" t="s">
        <v>47</v>
      </c>
      <c r="I12673" t="s">
        <v>2195</v>
      </c>
      <c r="J12673" s="10">
        <v>10.5</v>
      </c>
      <c r="K12673" t="b">
        <v>1</v>
      </c>
    </row>
    <row r="12674" spans="1:11">
      <c r="A12674" s="12">
        <v>43225</v>
      </c>
      <c r="B12674">
        <v>2018</v>
      </c>
      <c r="C12674">
        <v>5</v>
      </c>
      <c r="D12674" s="11">
        <v>43221</v>
      </c>
      <c r="E12674" t="s">
        <v>2177</v>
      </c>
      <c r="F12674">
        <v>6</v>
      </c>
      <c r="G12674" t="s">
        <v>57</v>
      </c>
      <c r="H12674" t="s">
        <v>40</v>
      </c>
      <c r="I12674" t="s">
        <v>2188</v>
      </c>
      <c r="J12674" s="10">
        <v>9</v>
      </c>
      <c r="K12674" t="b">
        <v>1</v>
      </c>
    </row>
    <row r="12675" spans="1:11">
      <c r="A12675" s="12">
        <v>43225</v>
      </c>
      <c r="B12675">
        <v>2018</v>
      </c>
      <c r="C12675">
        <v>5</v>
      </c>
      <c r="D12675" s="11">
        <v>43221</v>
      </c>
      <c r="E12675" t="s">
        <v>2177</v>
      </c>
      <c r="F12675">
        <v>6</v>
      </c>
      <c r="G12675" t="s">
        <v>57</v>
      </c>
      <c r="H12675" t="s">
        <v>41</v>
      </c>
      <c r="I12675" t="s">
        <v>2189</v>
      </c>
      <c r="J12675" s="10">
        <v>3.34</v>
      </c>
      <c r="K12675" t="b">
        <v>1</v>
      </c>
    </row>
    <row r="12676" spans="1:11">
      <c r="A12676" s="12">
        <v>43225</v>
      </c>
      <c r="B12676">
        <v>2018</v>
      </c>
      <c r="C12676">
        <v>5</v>
      </c>
      <c r="D12676" s="11">
        <v>43221</v>
      </c>
      <c r="E12676" t="s">
        <v>2177</v>
      </c>
      <c r="F12676">
        <v>6</v>
      </c>
      <c r="G12676" t="s">
        <v>57</v>
      </c>
      <c r="H12676" t="s">
        <v>42</v>
      </c>
      <c r="I12676" t="s">
        <v>2190</v>
      </c>
      <c r="J12676" s="10">
        <v>5</v>
      </c>
      <c r="K12676" t="b">
        <v>1</v>
      </c>
    </row>
    <row r="12677" spans="1:11">
      <c r="A12677" s="12">
        <v>43225</v>
      </c>
      <c r="B12677">
        <v>2018</v>
      </c>
      <c r="C12677">
        <v>5</v>
      </c>
      <c r="D12677" s="11">
        <v>43221</v>
      </c>
      <c r="E12677" t="s">
        <v>2177</v>
      </c>
      <c r="F12677">
        <v>6</v>
      </c>
      <c r="G12677" t="s">
        <v>57</v>
      </c>
      <c r="H12677" t="s">
        <v>43</v>
      </c>
      <c r="I12677" t="s">
        <v>2191</v>
      </c>
      <c r="J12677" s="10">
        <v>24</v>
      </c>
      <c r="K12677" t="b">
        <v>1</v>
      </c>
    </row>
    <row r="12678" spans="1:11">
      <c r="A12678" s="12">
        <v>43225</v>
      </c>
      <c r="B12678">
        <v>2018</v>
      </c>
      <c r="C12678">
        <v>5</v>
      </c>
      <c r="D12678" s="11">
        <v>43221</v>
      </c>
      <c r="E12678" t="s">
        <v>2177</v>
      </c>
      <c r="F12678">
        <v>6</v>
      </c>
      <c r="G12678" t="s">
        <v>57</v>
      </c>
      <c r="H12678" t="s">
        <v>44</v>
      </c>
      <c r="I12678" t="s">
        <v>2192</v>
      </c>
      <c r="J12678" s="10">
        <v>9</v>
      </c>
      <c r="K12678" t="b">
        <v>1</v>
      </c>
    </row>
    <row r="12679" spans="1:11">
      <c r="A12679" s="12">
        <v>43225</v>
      </c>
      <c r="B12679">
        <v>2018</v>
      </c>
      <c r="C12679">
        <v>5</v>
      </c>
      <c r="D12679" s="11">
        <v>43221</v>
      </c>
      <c r="E12679" t="s">
        <v>2177</v>
      </c>
      <c r="F12679">
        <v>6</v>
      </c>
      <c r="G12679" t="s">
        <v>57</v>
      </c>
      <c r="H12679" t="s">
        <v>45</v>
      </c>
      <c r="I12679" t="s">
        <v>2193</v>
      </c>
      <c r="J12679" s="10">
        <v>0</v>
      </c>
      <c r="K12679" t="b">
        <v>1</v>
      </c>
    </row>
    <row r="12680" spans="1:11">
      <c r="A12680" s="12">
        <v>43225</v>
      </c>
      <c r="B12680">
        <v>2018</v>
      </c>
      <c r="C12680">
        <v>5</v>
      </c>
      <c r="D12680" s="11">
        <v>43221</v>
      </c>
      <c r="E12680" t="s">
        <v>2177</v>
      </c>
      <c r="F12680">
        <v>6</v>
      </c>
      <c r="G12680" t="s">
        <v>57</v>
      </c>
      <c r="H12680" t="s">
        <v>46</v>
      </c>
      <c r="I12680" t="s">
        <v>2194</v>
      </c>
      <c r="J12680" s="10">
        <v>0</v>
      </c>
      <c r="K12680" t="b">
        <v>1</v>
      </c>
    </row>
    <row r="12681" spans="1:11">
      <c r="A12681" s="12">
        <v>43225</v>
      </c>
      <c r="B12681">
        <v>2018</v>
      </c>
      <c r="C12681">
        <v>5</v>
      </c>
      <c r="D12681" s="11">
        <v>43221</v>
      </c>
      <c r="E12681" t="s">
        <v>2177</v>
      </c>
      <c r="F12681">
        <v>6</v>
      </c>
      <c r="G12681" t="s">
        <v>57</v>
      </c>
      <c r="H12681" t="s">
        <v>47</v>
      </c>
      <c r="I12681" t="s">
        <v>2195</v>
      </c>
      <c r="J12681" s="10">
        <v>7</v>
      </c>
      <c r="K12681" t="b">
        <v>1</v>
      </c>
    </row>
    <row r="12682" spans="1:11">
      <c r="A12682" s="12">
        <v>43226</v>
      </c>
      <c r="B12682">
        <v>2018</v>
      </c>
      <c r="C12682">
        <v>5</v>
      </c>
      <c r="D12682" s="11">
        <v>43221</v>
      </c>
      <c r="E12682" t="s">
        <v>2177</v>
      </c>
      <c r="F12682">
        <v>7</v>
      </c>
      <c r="G12682" t="s">
        <v>59</v>
      </c>
      <c r="H12682" t="s">
        <v>40</v>
      </c>
      <c r="I12682" t="s">
        <v>2188</v>
      </c>
      <c r="J12682" s="10">
        <v>3.34</v>
      </c>
      <c r="K12682" t="b">
        <v>1</v>
      </c>
    </row>
    <row r="12683" spans="1:11">
      <c r="A12683" s="12">
        <v>43226</v>
      </c>
      <c r="B12683">
        <v>2018</v>
      </c>
      <c r="C12683">
        <v>5</v>
      </c>
      <c r="D12683" s="11">
        <v>43221</v>
      </c>
      <c r="E12683" t="s">
        <v>2177</v>
      </c>
      <c r="F12683">
        <v>7</v>
      </c>
      <c r="G12683" t="s">
        <v>59</v>
      </c>
      <c r="H12683" t="s">
        <v>41</v>
      </c>
      <c r="I12683" t="s">
        <v>2189</v>
      </c>
      <c r="J12683" s="10">
        <v>10.66</v>
      </c>
      <c r="K12683" t="b">
        <v>1</v>
      </c>
    </row>
    <row r="12684" spans="1:11">
      <c r="A12684" s="12">
        <v>43226</v>
      </c>
      <c r="B12684">
        <v>2018</v>
      </c>
      <c r="C12684">
        <v>5</v>
      </c>
      <c r="D12684" s="11">
        <v>43221</v>
      </c>
      <c r="E12684" t="s">
        <v>2177</v>
      </c>
      <c r="F12684">
        <v>7</v>
      </c>
      <c r="G12684" t="s">
        <v>59</v>
      </c>
      <c r="H12684" t="s">
        <v>42</v>
      </c>
      <c r="I12684" t="s">
        <v>2190</v>
      </c>
      <c r="J12684" s="10">
        <v>0.25</v>
      </c>
      <c r="K12684" t="b">
        <v>1</v>
      </c>
    </row>
    <row r="12685" spans="1:11">
      <c r="A12685" s="12">
        <v>43226</v>
      </c>
      <c r="B12685">
        <v>2018</v>
      </c>
      <c r="C12685">
        <v>5</v>
      </c>
      <c r="D12685" s="11">
        <v>43221</v>
      </c>
      <c r="E12685" t="s">
        <v>2177</v>
      </c>
      <c r="F12685">
        <v>7</v>
      </c>
      <c r="G12685" t="s">
        <v>59</v>
      </c>
      <c r="H12685" t="s">
        <v>43</v>
      </c>
      <c r="I12685" t="s">
        <v>2191</v>
      </c>
      <c r="J12685" s="10">
        <v>18.2</v>
      </c>
      <c r="K12685" t="b">
        <v>1</v>
      </c>
    </row>
    <row r="12686" spans="1:11">
      <c r="A12686" s="12">
        <v>43226</v>
      </c>
      <c r="B12686">
        <v>2018</v>
      </c>
      <c r="C12686">
        <v>5</v>
      </c>
      <c r="D12686" s="11">
        <v>43221</v>
      </c>
      <c r="E12686" t="s">
        <v>2177</v>
      </c>
      <c r="F12686">
        <v>7</v>
      </c>
      <c r="G12686" t="s">
        <v>59</v>
      </c>
      <c r="H12686" t="s">
        <v>44</v>
      </c>
      <c r="I12686" t="s">
        <v>2192</v>
      </c>
      <c r="J12686" s="10">
        <v>9</v>
      </c>
      <c r="K12686" t="b">
        <v>1</v>
      </c>
    </row>
    <row r="12687" spans="1:11">
      <c r="A12687" s="12">
        <v>43226</v>
      </c>
      <c r="B12687">
        <v>2018</v>
      </c>
      <c r="C12687">
        <v>5</v>
      </c>
      <c r="D12687" s="11">
        <v>43221</v>
      </c>
      <c r="E12687" t="s">
        <v>2177</v>
      </c>
      <c r="F12687">
        <v>7</v>
      </c>
      <c r="G12687" t="s">
        <v>59</v>
      </c>
      <c r="H12687" t="s">
        <v>45</v>
      </c>
      <c r="I12687" t="s">
        <v>2193</v>
      </c>
      <c r="J12687" s="10">
        <v>0</v>
      </c>
      <c r="K12687" t="b">
        <v>1</v>
      </c>
    </row>
    <row r="12688" spans="1:11">
      <c r="A12688" s="12">
        <v>43226</v>
      </c>
      <c r="B12688">
        <v>2018</v>
      </c>
      <c r="C12688">
        <v>5</v>
      </c>
      <c r="D12688" s="11">
        <v>43221</v>
      </c>
      <c r="E12688" t="s">
        <v>2177</v>
      </c>
      <c r="F12688">
        <v>7</v>
      </c>
      <c r="G12688" t="s">
        <v>59</v>
      </c>
      <c r="H12688" t="s">
        <v>46</v>
      </c>
      <c r="I12688" t="s">
        <v>2194</v>
      </c>
      <c r="J12688" s="10">
        <v>3</v>
      </c>
      <c r="K12688" t="b">
        <v>1</v>
      </c>
    </row>
    <row r="12689" spans="1:11">
      <c r="A12689" s="12">
        <v>43226</v>
      </c>
      <c r="B12689">
        <v>2018</v>
      </c>
      <c r="C12689">
        <v>5</v>
      </c>
      <c r="D12689" s="11">
        <v>43221</v>
      </c>
      <c r="E12689" t="s">
        <v>2177</v>
      </c>
      <c r="F12689">
        <v>7</v>
      </c>
      <c r="G12689" t="s">
        <v>59</v>
      </c>
      <c r="H12689" t="s">
        <v>47</v>
      </c>
      <c r="I12689" t="s">
        <v>2195</v>
      </c>
      <c r="J12689" s="10">
        <v>13.5</v>
      </c>
      <c r="K12689" t="b">
        <v>1</v>
      </c>
    </row>
    <row r="12690" spans="1:11">
      <c r="A12690" s="12">
        <v>43227</v>
      </c>
      <c r="B12690">
        <v>2018</v>
      </c>
      <c r="C12690">
        <v>5</v>
      </c>
      <c r="D12690" s="11">
        <v>43221</v>
      </c>
      <c r="E12690" t="s">
        <v>2177</v>
      </c>
      <c r="F12690">
        <v>1</v>
      </c>
      <c r="G12690" t="s">
        <v>61</v>
      </c>
      <c r="H12690" t="s">
        <v>40</v>
      </c>
      <c r="I12690" t="s">
        <v>2188</v>
      </c>
      <c r="J12690" s="10">
        <v>9.66</v>
      </c>
      <c r="K12690" t="b">
        <v>1</v>
      </c>
    </row>
    <row r="12691" spans="1:11">
      <c r="A12691" s="12">
        <v>43227</v>
      </c>
      <c r="B12691">
        <v>2018</v>
      </c>
      <c r="C12691">
        <v>5</v>
      </c>
      <c r="D12691" s="11">
        <v>43221</v>
      </c>
      <c r="E12691" t="s">
        <v>2177</v>
      </c>
      <c r="F12691">
        <v>1</v>
      </c>
      <c r="G12691" t="s">
        <v>61</v>
      </c>
      <c r="H12691" t="s">
        <v>41</v>
      </c>
      <c r="I12691" t="s">
        <v>2189</v>
      </c>
      <c r="J12691" s="10">
        <v>0.033</v>
      </c>
      <c r="K12691" t="b">
        <v>1</v>
      </c>
    </row>
    <row r="12692" spans="1:11">
      <c r="A12692" s="12">
        <v>43227</v>
      </c>
      <c r="B12692">
        <v>2018</v>
      </c>
      <c r="C12692">
        <v>5</v>
      </c>
      <c r="D12692" s="11">
        <v>43221</v>
      </c>
      <c r="E12692" t="s">
        <v>2177</v>
      </c>
      <c r="F12692">
        <v>1</v>
      </c>
      <c r="G12692" t="s">
        <v>61</v>
      </c>
      <c r="H12692" t="s">
        <v>42</v>
      </c>
      <c r="I12692" t="s">
        <v>2190</v>
      </c>
      <c r="J12692" s="10">
        <v>0</v>
      </c>
      <c r="K12692" t="b">
        <v>1</v>
      </c>
    </row>
    <row r="12693" spans="1:11">
      <c r="A12693" s="12">
        <v>43227</v>
      </c>
      <c r="B12693">
        <v>2018</v>
      </c>
      <c r="C12693">
        <v>5</v>
      </c>
      <c r="D12693" s="11">
        <v>43221</v>
      </c>
      <c r="E12693" t="s">
        <v>2177</v>
      </c>
      <c r="F12693">
        <v>1</v>
      </c>
      <c r="G12693" t="s">
        <v>61</v>
      </c>
      <c r="H12693" t="s">
        <v>43</v>
      </c>
      <c r="I12693" t="s">
        <v>2191</v>
      </c>
      <c r="J12693" s="10">
        <v>22</v>
      </c>
      <c r="K12693" t="b">
        <v>1</v>
      </c>
    </row>
    <row r="12694" spans="1:11">
      <c r="A12694" s="12">
        <v>43227</v>
      </c>
      <c r="B12694">
        <v>2018</v>
      </c>
      <c r="C12694">
        <v>5</v>
      </c>
      <c r="D12694" s="11">
        <v>43221</v>
      </c>
      <c r="E12694" t="s">
        <v>2177</v>
      </c>
      <c r="F12694">
        <v>1</v>
      </c>
      <c r="G12694" t="s">
        <v>61</v>
      </c>
      <c r="H12694" t="s">
        <v>44</v>
      </c>
      <c r="I12694" t="s">
        <v>2192</v>
      </c>
      <c r="J12694" s="10">
        <v>13</v>
      </c>
      <c r="K12694" t="b">
        <v>1</v>
      </c>
    </row>
    <row r="12695" spans="1:11">
      <c r="A12695" s="12">
        <v>43227</v>
      </c>
      <c r="B12695">
        <v>2018</v>
      </c>
      <c r="C12695">
        <v>5</v>
      </c>
      <c r="D12695" s="11">
        <v>43221</v>
      </c>
      <c r="E12695" t="s">
        <v>2177</v>
      </c>
      <c r="F12695">
        <v>1</v>
      </c>
      <c r="G12695" t="s">
        <v>61</v>
      </c>
      <c r="H12695" t="s">
        <v>45</v>
      </c>
      <c r="I12695" t="s">
        <v>2193</v>
      </c>
      <c r="J12695" s="10">
        <v>0</v>
      </c>
      <c r="K12695" t="b">
        <v>1</v>
      </c>
    </row>
    <row r="12696" spans="1:11">
      <c r="A12696" s="12">
        <v>43227</v>
      </c>
      <c r="B12696">
        <v>2018</v>
      </c>
      <c r="C12696">
        <v>5</v>
      </c>
      <c r="D12696" s="11">
        <v>43221</v>
      </c>
      <c r="E12696" t="s">
        <v>2177</v>
      </c>
      <c r="F12696">
        <v>1</v>
      </c>
      <c r="G12696" t="s">
        <v>61</v>
      </c>
      <c r="H12696" t="s">
        <v>46</v>
      </c>
      <c r="I12696" t="s">
        <v>2194</v>
      </c>
      <c r="J12696" s="10">
        <v>7</v>
      </c>
      <c r="K12696" t="b">
        <v>1</v>
      </c>
    </row>
    <row r="12697" spans="1:11">
      <c r="A12697" s="12">
        <v>43227</v>
      </c>
      <c r="B12697">
        <v>2018</v>
      </c>
      <c r="C12697">
        <v>5</v>
      </c>
      <c r="D12697" s="11">
        <v>43221</v>
      </c>
      <c r="E12697" t="s">
        <v>2177</v>
      </c>
      <c r="F12697">
        <v>1</v>
      </c>
      <c r="G12697" t="s">
        <v>61</v>
      </c>
      <c r="H12697" t="s">
        <v>47</v>
      </c>
      <c r="I12697" t="s">
        <v>2195</v>
      </c>
      <c r="J12697" s="10">
        <v>3</v>
      </c>
      <c r="K12697" t="b">
        <v>1</v>
      </c>
    </row>
    <row r="12698" spans="1:11">
      <c r="A12698" s="12">
        <v>43228</v>
      </c>
      <c r="B12698">
        <v>2018</v>
      </c>
      <c r="C12698">
        <v>5</v>
      </c>
      <c r="D12698" s="11">
        <v>43221</v>
      </c>
      <c r="E12698" t="s">
        <v>2177</v>
      </c>
      <c r="F12698">
        <v>2</v>
      </c>
      <c r="G12698" t="s">
        <v>63</v>
      </c>
      <c r="H12698" t="s">
        <v>40</v>
      </c>
      <c r="I12698" t="s">
        <v>2188</v>
      </c>
      <c r="J12698" s="10">
        <v>10.5</v>
      </c>
      <c r="K12698" t="b">
        <v>1</v>
      </c>
    </row>
    <row r="12699" spans="1:11">
      <c r="A12699" s="12">
        <v>43228</v>
      </c>
      <c r="B12699">
        <v>2018</v>
      </c>
      <c r="C12699">
        <v>5</v>
      </c>
      <c r="D12699" s="11">
        <v>43221</v>
      </c>
      <c r="E12699" t="s">
        <v>2177</v>
      </c>
      <c r="F12699">
        <v>2</v>
      </c>
      <c r="G12699" t="s">
        <v>63</v>
      </c>
      <c r="H12699" t="s">
        <v>41</v>
      </c>
      <c r="I12699" t="s">
        <v>2189</v>
      </c>
      <c r="J12699" s="10">
        <v>5.84</v>
      </c>
      <c r="K12699" t="b">
        <v>1</v>
      </c>
    </row>
    <row r="12700" spans="1:11">
      <c r="A12700" s="12">
        <v>43228</v>
      </c>
      <c r="B12700">
        <v>2018</v>
      </c>
      <c r="C12700">
        <v>5</v>
      </c>
      <c r="D12700" s="11">
        <v>43221</v>
      </c>
      <c r="E12700" t="s">
        <v>2177</v>
      </c>
      <c r="F12700">
        <v>2</v>
      </c>
      <c r="G12700" t="s">
        <v>63</v>
      </c>
      <c r="H12700" t="s">
        <v>42</v>
      </c>
      <c r="I12700" t="s">
        <v>2190</v>
      </c>
      <c r="J12700" s="10">
        <v>1</v>
      </c>
      <c r="K12700" t="b">
        <v>1</v>
      </c>
    </row>
    <row r="12701" spans="1:11">
      <c r="A12701" s="12">
        <v>43228</v>
      </c>
      <c r="B12701">
        <v>2018</v>
      </c>
      <c r="C12701">
        <v>5</v>
      </c>
      <c r="D12701" s="11">
        <v>43221</v>
      </c>
      <c r="E12701" t="s">
        <v>2177</v>
      </c>
      <c r="F12701">
        <v>2</v>
      </c>
      <c r="G12701" t="s">
        <v>63</v>
      </c>
      <c r="H12701" t="s">
        <v>43</v>
      </c>
      <c r="I12701" t="s">
        <v>2191</v>
      </c>
      <c r="J12701" s="10">
        <v>15</v>
      </c>
      <c r="K12701" t="b">
        <v>1</v>
      </c>
    </row>
    <row r="12702" spans="1:11">
      <c r="A12702" s="12">
        <v>43228</v>
      </c>
      <c r="B12702">
        <v>2018</v>
      </c>
      <c r="C12702">
        <v>5</v>
      </c>
      <c r="D12702" s="11">
        <v>43221</v>
      </c>
      <c r="E12702" t="s">
        <v>2177</v>
      </c>
      <c r="F12702">
        <v>2</v>
      </c>
      <c r="G12702" t="s">
        <v>63</v>
      </c>
      <c r="H12702" t="s">
        <v>44</v>
      </c>
      <c r="I12702" t="s">
        <v>2192</v>
      </c>
      <c r="J12702" s="10">
        <v>14</v>
      </c>
      <c r="K12702" t="b">
        <v>1</v>
      </c>
    </row>
    <row r="12703" spans="1:11">
      <c r="A12703" s="12">
        <v>43228</v>
      </c>
      <c r="B12703">
        <v>2018</v>
      </c>
      <c r="C12703">
        <v>5</v>
      </c>
      <c r="D12703" s="11">
        <v>43221</v>
      </c>
      <c r="E12703" t="s">
        <v>2177</v>
      </c>
      <c r="F12703">
        <v>2</v>
      </c>
      <c r="G12703" t="s">
        <v>63</v>
      </c>
      <c r="H12703" t="s">
        <v>45</v>
      </c>
      <c r="I12703" t="s">
        <v>2193</v>
      </c>
      <c r="J12703" s="10">
        <v>2</v>
      </c>
      <c r="K12703" t="b">
        <v>1</v>
      </c>
    </row>
    <row r="12704" spans="1:11">
      <c r="A12704" s="12">
        <v>43228</v>
      </c>
      <c r="B12704">
        <v>2018</v>
      </c>
      <c r="C12704">
        <v>5</v>
      </c>
      <c r="D12704" s="11">
        <v>43221</v>
      </c>
      <c r="E12704" t="s">
        <v>2177</v>
      </c>
      <c r="F12704">
        <v>2</v>
      </c>
      <c r="G12704" t="s">
        <v>63</v>
      </c>
      <c r="H12704" t="s">
        <v>46</v>
      </c>
      <c r="I12704" t="s">
        <v>2194</v>
      </c>
      <c r="J12704" s="10">
        <v>1</v>
      </c>
      <c r="K12704" t="b">
        <v>1</v>
      </c>
    </row>
    <row r="12705" spans="1:11">
      <c r="A12705" s="12">
        <v>43228</v>
      </c>
      <c r="B12705">
        <v>2018</v>
      </c>
      <c r="C12705">
        <v>5</v>
      </c>
      <c r="D12705" s="11">
        <v>43221</v>
      </c>
      <c r="E12705" t="s">
        <v>2177</v>
      </c>
      <c r="F12705">
        <v>2</v>
      </c>
      <c r="G12705" t="s">
        <v>63</v>
      </c>
      <c r="H12705" t="s">
        <v>47</v>
      </c>
      <c r="I12705" t="s">
        <v>2195</v>
      </c>
      <c r="J12705" s="10">
        <v>9</v>
      </c>
      <c r="K12705" t="b">
        <v>1</v>
      </c>
    </row>
    <row r="12706" spans="1:11">
      <c r="A12706" s="12">
        <v>43229</v>
      </c>
      <c r="B12706">
        <v>2018</v>
      </c>
      <c r="C12706">
        <v>5</v>
      </c>
      <c r="D12706" s="11">
        <v>43221</v>
      </c>
      <c r="E12706" t="s">
        <v>2177</v>
      </c>
      <c r="F12706">
        <v>3</v>
      </c>
      <c r="G12706" t="s">
        <v>65</v>
      </c>
      <c r="H12706" t="s">
        <v>40</v>
      </c>
      <c r="I12706" t="s">
        <v>2188</v>
      </c>
      <c r="J12706" s="10">
        <v>9.34</v>
      </c>
      <c r="K12706" t="b">
        <v>1</v>
      </c>
    </row>
    <row r="12707" spans="1:11">
      <c r="A12707" s="12">
        <v>43229</v>
      </c>
      <c r="B12707">
        <v>2018</v>
      </c>
      <c r="C12707">
        <v>5</v>
      </c>
      <c r="D12707" s="11">
        <v>43221</v>
      </c>
      <c r="E12707" t="s">
        <v>2177</v>
      </c>
      <c r="F12707">
        <v>3</v>
      </c>
      <c r="G12707" t="s">
        <v>65</v>
      </c>
      <c r="H12707" t="s">
        <v>41</v>
      </c>
      <c r="I12707" t="s">
        <v>2189</v>
      </c>
      <c r="J12707" s="10">
        <v>2.33</v>
      </c>
      <c r="K12707" t="b">
        <v>1</v>
      </c>
    </row>
    <row r="12708" spans="1:11">
      <c r="A12708" s="12">
        <v>43229</v>
      </c>
      <c r="B12708">
        <v>2018</v>
      </c>
      <c r="C12708">
        <v>5</v>
      </c>
      <c r="D12708" s="11">
        <v>43221</v>
      </c>
      <c r="E12708" t="s">
        <v>2177</v>
      </c>
      <c r="F12708">
        <v>3</v>
      </c>
      <c r="G12708" t="s">
        <v>65</v>
      </c>
      <c r="H12708" t="s">
        <v>42</v>
      </c>
      <c r="I12708" t="s">
        <v>2190</v>
      </c>
      <c r="J12708" s="10">
        <v>7</v>
      </c>
      <c r="K12708" t="b">
        <v>1</v>
      </c>
    </row>
    <row r="12709" spans="1:11">
      <c r="A12709" s="12">
        <v>43229</v>
      </c>
      <c r="B12709">
        <v>2018</v>
      </c>
      <c r="C12709">
        <v>5</v>
      </c>
      <c r="D12709" s="11">
        <v>43221</v>
      </c>
      <c r="E12709" t="s">
        <v>2177</v>
      </c>
      <c r="F12709">
        <v>3</v>
      </c>
      <c r="G12709" t="s">
        <v>65</v>
      </c>
      <c r="H12709" t="s">
        <v>43</v>
      </c>
      <c r="I12709" t="s">
        <v>2191</v>
      </c>
      <c r="J12709" s="10">
        <v>24.4</v>
      </c>
      <c r="K12709" t="b">
        <v>1</v>
      </c>
    </row>
    <row r="12710" spans="1:11">
      <c r="A12710" s="12">
        <v>43229</v>
      </c>
      <c r="B12710">
        <v>2018</v>
      </c>
      <c r="C12710">
        <v>5</v>
      </c>
      <c r="D12710" s="11">
        <v>43221</v>
      </c>
      <c r="E12710" t="s">
        <v>2177</v>
      </c>
      <c r="F12710">
        <v>3</v>
      </c>
      <c r="G12710" t="s">
        <v>65</v>
      </c>
      <c r="H12710" t="s">
        <v>44</v>
      </c>
      <c r="I12710" t="s">
        <v>2192</v>
      </c>
      <c r="J12710" s="10">
        <v>8</v>
      </c>
      <c r="K12710" t="b">
        <v>1</v>
      </c>
    </row>
    <row r="12711" spans="1:11">
      <c r="A12711" s="12">
        <v>43229</v>
      </c>
      <c r="B12711">
        <v>2018</v>
      </c>
      <c r="C12711">
        <v>5</v>
      </c>
      <c r="D12711" s="11">
        <v>43221</v>
      </c>
      <c r="E12711" t="s">
        <v>2177</v>
      </c>
      <c r="F12711">
        <v>3</v>
      </c>
      <c r="G12711" t="s">
        <v>65</v>
      </c>
      <c r="H12711" t="s">
        <v>45</v>
      </c>
      <c r="I12711" t="s">
        <v>2193</v>
      </c>
      <c r="J12711" s="10">
        <v>2</v>
      </c>
      <c r="K12711" t="b">
        <v>1</v>
      </c>
    </row>
    <row r="12712" spans="1:11">
      <c r="A12712" s="12">
        <v>43229</v>
      </c>
      <c r="B12712">
        <v>2018</v>
      </c>
      <c r="C12712">
        <v>5</v>
      </c>
      <c r="D12712" s="11">
        <v>43221</v>
      </c>
      <c r="E12712" t="s">
        <v>2177</v>
      </c>
      <c r="F12712">
        <v>3</v>
      </c>
      <c r="G12712" t="s">
        <v>65</v>
      </c>
      <c r="H12712" t="s">
        <v>46</v>
      </c>
      <c r="I12712" t="s">
        <v>2194</v>
      </c>
      <c r="J12712" s="10">
        <v>2</v>
      </c>
      <c r="K12712" t="b">
        <v>1</v>
      </c>
    </row>
    <row r="12713" spans="1:11">
      <c r="A12713" s="12">
        <v>43229</v>
      </c>
      <c r="B12713">
        <v>2018</v>
      </c>
      <c r="C12713">
        <v>5</v>
      </c>
      <c r="D12713" s="11">
        <v>43221</v>
      </c>
      <c r="E12713" t="s">
        <v>2177</v>
      </c>
      <c r="F12713">
        <v>3</v>
      </c>
      <c r="G12713" t="s">
        <v>65</v>
      </c>
      <c r="H12713" t="s">
        <v>47</v>
      </c>
      <c r="I12713" t="s">
        <v>2195</v>
      </c>
      <c r="J12713" s="10">
        <v>5</v>
      </c>
      <c r="K12713" t="b">
        <v>1</v>
      </c>
    </row>
    <row r="12714" spans="1:11">
      <c r="A12714" s="12">
        <v>43230</v>
      </c>
      <c r="B12714">
        <v>2018</v>
      </c>
      <c r="C12714">
        <v>5</v>
      </c>
      <c r="D12714" s="11">
        <v>43221</v>
      </c>
      <c r="E12714" t="s">
        <v>2177</v>
      </c>
      <c r="F12714">
        <v>4</v>
      </c>
      <c r="G12714" t="s">
        <v>53</v>
      </c>
      <c r="H12714" t="s">
        <v>40</v>
      </c>
      <c r="I12714" t="s">
        <v>2188</v>
      </c>
      <c r="J12714" s="10">
        <v>8.5</v>
      </c>
      <c r="K12714" t="b">
        <v>1</v>
      </c>
    </row>
    <row r="12715" spans="1:11">
      <c r="A12715" s="12">
        <v>43230</v>
      </c>
      <c r="B12715">
        <v>2018</v>
      </c>
      <c r="C12715">
        <v>5</v>
      </c>
      <c r="D12715" s="11">
        <v>43221</v>
      </c>
      <c r="E12715" t="s">
        <v>2177</v>
      </c>
      <c r="F12715">
        <v>4</v>
      </c>
      <c r="G12715" t="s">
        <v>53</v>
      </c>
      <c r="H12715" t="s">
        <v>41</v>
      </c>
      <c r="I12715" t="s">
        <v>2189</v>
      </c>
      <c r="J12715" s="10">
        <v>5.32</v>
      </c>
      <c r="K12715" t="b">
        <v>1</v>
      </c>
    </row>
    <row r="12716" spans="1:11">
      <c r="A12716" s="12">
        <v>43230</v>
      </c>
      <c r="B12716">
        <v>2018</v>
      </c>
      <c r="C12716">
        <v>5</v>
      </c>
      <c r="D12716" s="11">
        <v>43221</v>
      </c>
      <c r="E12716" t="s">
        <v>2177</v>
      </c>
      <c r="F12716">
        <v>4</v>
      </c>
      <c r="G12716" t="s">
        <v>53</v>
      </c>
      <c r="H12716" t="s">
        <v>42</v>
      </c>
      <c r="I12716" t="s">
        <v>2190</v>
      </c>
      <c r="J12716" s="10">
        <v>6</v>
      </c>
      <c r="K12716" t="b">
        <v>1</v>
      </c>
    </row>
    <row r="12717" spans="1:11">
      <c r="A12717" s="12">
        <v>43230</v>
      </c>
      <c r="B12717">
        <v>2018</v>
      </c>
      <c r="C12717">
        <v>5</v>
      </c>
      <c r="D12717" s="11">
        <v>43221</v>
      </c>
      <c r="E12717" t="s">
        <v>2177</v>
      </c>
      <c r="F12717">
        <v>4</v>
      </c>
      <c r="G12717" t="s">
        <v>53</v>
      </c>
      <c r="H12717" t="s">
        <v>43</v>
      </c>
      <c r="I12717" t="s">
        <v>2191</v>
      </c>
      <c r="J12717" s="10">
        <v>39</v>
      </c>
      <c r="K12717" t="b">
        <v>1</v>
      </c>
    </row>
    <row r="12718" spans="1:11">
      <c r="A12718" s="12">
        <v>43230</v>
      </c>
      <c r="B12718">
        <v>2018</v>
      </c>
      <c r="C12718">
        <v>5</v>
      </c>
      <c r="D12718" s="11">
        <v>43221</v>
      </c>
      <c r="E12718" t="s">
        <v>2177</v>
      </c>
      <c r="F12718">
        <v>4</v>
      </c>
      <c r="G12718" t="s">
        <v>53</v>
      </c>
      <c r="H12718" t="s">
        <v>44</v>
      </c>
      <c r="I12718" t="s">
        <v>2192</v>
      </c>
      <c r="J12718" s="10">
        <v>12</v>
      </c>
      <c r="K12718" t="b">
        <v>1</v>
      </c>
    </row>
    <row r="12719" spans="1:11">
      <c r="A12719" s="12">
        <v>43230</v>
      </c>
      <c r="B12719">
        <v>2018</v>
      </c>
      <c r="C12719">
        <v>5</v>
      </c>
      <c r="D12719" s="11">
        <v>43221</v>
      </c>
      <c r="E12719" t="s">
        <v>2177</v>
      </c>
      <c r="F12719">
        <v>4</v>
      </c>
      <c r="G12719" t="s">
        <v>53</v>
      </c>
      <c r="H12719" t="s">
        <v>45</v>
      </c>
      <c r="I12719" t="s">
        <v>2193</v>
      </c>
      <c r="J12719" s="10">
        <v>0</v>
      </c>
      <c r="K12719" t="b">
        <v>1</v>
      </c>
    </row>
    <row r="12720" spans="1:11">
      <c r="A12720" s="12">
        <v>43230</v>
      </c>
      <c r="B12720">
        <v>2018</v>
      </c>
      <c r="C12720">
        <v>5</v>
      </c>
      <c r="D12720" s="11">
        <v>43221</v>
      </c>
      <c r="E12720" t="s">
        <v>2177</v>
      </c>
      <c r="F12720">
        <v>4</v>
      </c>
      <c r="G12720" t="s">
        <v>53</v>
      </c>
      <c r="H12720" t="s">
        <v>46</v>
      </c>
      <c r="I12720" t="s">
        <v>2194</v>
      </c>
      <c r="J12720" s="10">
        <v>1</v>
      </c>
      <c r="K12720" t="b">
        <v>1</v>
      </c>
    </row>
    <row r="12721" spans="1:11">
      <c r="A12721" s="12">
        <v>43230</v>
      </c>
      <c r="B12721">
        <v>2018</v>
      </c>
      <c r="C12721">
        <v>5</v>
      </c>
      <c r="D12721" s="11">
        <v>43221</v>
      </c>
      <c r="E12721" t="s">
        <v>2177</v>
      </c>
      <c r="F12721">
        <v>4</v>
      </c>
      <c r="G12721" t="s">
        <v>53</v>
      </c>
      <c r="H12721" t="s">
        <v>47</v>
      </c>
      <c r="I12721" t="s">
        <v>2195</v>
      </c>
      <c r="J12721" s="10">
        <v>6</v>
      </c>
      <c r="K12721" t="b">
        <v>1</v>
      </c>
    </row>
    <row r="12722" spans="1:11">
      <c r="A12722" s="12">
        <v>43231</v>
      </c>
      <c r="B12722">
        <v>2018</v>
      </c>
      <c r="C12722">
        <v>5</v>
      </c>
      <c r="D12722" s="11">
        <v>43221</v>
      </c>
      <c r="E12722" t="s">
        <v>2177</v>
      </c>
      <c r="F12722">
        <v>5</v>
      </c>
      <c r="G12722" t="s">
        <v>55</v>
      </c>
      <c r="H12722" t="s">
        <v>40</v>
      </c>
      <c r="I12722" t="s">
        <v>2188</v>
      </c>
      <c r="J12722" s="10">
        <v>9.33</v>
      </c>
      <c r="K12722" t="b">
        <v>1</v>
      </c>
    </row>
    <row r="12723" spans="1:11">
      <c r="A12723" s="12">
        <v>43231</v>
      </c>
      <c r="B12723">
        <v>2018</v>
      </c>
      <c r="C12723">
        <v>5</v>
      </c>
      <c r="D12723" s="11">
        <v>43221</v>
      </c>
      <c r="E12723" t="s">
        <v>2177</v>
      </c>
      <c r="F12723">
        <v>5</v>
      </c>
      <c r="G12723" t="s">
        <v>55</v>
      </c>
      <c r="H12723" t="s">
        <v>41</v>
      </c>
      <c r="I12723" t="s">
        <v>2189</v>
      </c>
      <c r="J12723" s="10">
        <v>1.34</v>
      </c>
      <c r="K12723" t="b">
        <v>1</v>
      </c>
    </row>
    <row r="12724" spans="1:11">
      <c r="A12724" s="12">
        <v>43231</v>
      </c>
      <c r="B12724">
        <v>2018</v>
      </c>
      <c r="C12724">
        <v>5</v>
      </c>
      <c r="D12724" s="11">
        <v>43221</v>
      </c>
      <c r="E12724" t="s">
        <v>2177</v>
      </c>
      <c r="F12724">
        <v>5</v>
      </c>
      <c r="G12724" t="s">
        <v>55</v>
      </c>
      <c r="H12724" t="s">
        <v>42</v>
      </c>
      <c r="I12724" t="s">
        <v>2190</v>
      </c>
      <c r="J12724" s="10">
        <v>3</v>
      </c>
      <c r="K12724" t="b">
        <v>1</v>
      </c>
    </row>
    <row r="12725" spans="1:11">
      <c r="A12725" s="12">
        <v>43231</v>
      </c>
      <c r="B12725">
        <v>2018</v>
      </c>
      <c r="C12725">
        <v>5</v>
      </c>
      <c r="D12725" s="11">
        <v>43221</v>
      </c>
      <c r="E12725" t="s">
        <v>2177</v>
      </c>
      <c r="F12725">
        <v>5</v>
      </c>
      <c r="G12725" t="s">
        <v>55</v>
      </c>
      <c r="H12725" t="s">
        <v>43</v>
      </c>
      <c r="I12725" t="s">
        <v>2191</v>
      </c>
      <c r="J12725" s="10">
        <v>19</v>
      </c>
      <c r="K12725" t="b">
        <v>1</v>
      </c>
    </row>
    <row r="12726" spans="1:11">
      <c r="A12726" s="12">
        <v>43231</v>
      </c>
      <c r="B12726">
        <v>2018</v>
      </c>
      <c r="C12726">
        <v>5</v>
      </c>
      <c r="D12726" s="11">
        <v>43221</v>
      </c>
      <c r="E12726" t="s">
        <v>2177</v>
      </c>
      <c r="F12726">
        <v>5</v>
      </c>
      <c r="G12726" t="s">
        <v>55</v>
      </c>
      <c r="H12726" t="s">
        <v>44</v>
      </c>
      <c r="I12726" t="s">
        <v>2192</v>
      </c>
      <c r="J12726" s="10">
        <v>6</v>
      </c>
      <c r="K12726" t="b">
        <v>1</v>
      </c>
    </row>
    <row r="12727" spans="1:11">
      <c r="A12727" s="12">
        <v>43231</v>
      </c>
      <c r="B12727">
        <v>2018</v>
      </c>
      <c r="C12727">
        <v>5</v>
      </c>
      <c r="D12727" s="11">
        <v>43221</v>
      </c>
      <c r="E12727" t="s">
        <v>2177</v>
      </c>
      <c r="F12727">
        <v>5</v>
      </c>
      <c r="G12727" t="s">
        <v>55</v>
      </c>
      <c r="H12727" t="s">
        <v>45</v>
      </c>
      <c r="I12727" t="s">
        <v>2193</v>
      </c>
      <c r="J12727" s="10">
        <v>0</v>
      </c>
      <c r="K12727" t="b">
        <v>1</v>
      </c>
    </row>
    <row r="12728" spans="1:11">
      <c r="A12728" s="12">
        <v>43231</v>
      </c>
      <c r="B12728">
        <v>2018</v>
      </c>
      <c r="C12728">
        <v>5</v>
      </c>
      <c r="D12728" s="11">
        <v>43221</v>
      </c>
      <c r="E12728" t="s">
        <v>2177</v>
      </c>
      <c r="F12728">
        <v>5</v>
      </c>
      <c r="G12728" t="s">
        <v>55</v>
      </c>
      <c r="H12728" t="s">
        <v>46</v>
      </c>
      <c r="I12728" t="s">
        <v>2194</v>
      </c>
      <c r="J12728" s="10">
        <v>2</v>
      </c>
      <c r="K12728" t="b">
        <v>1</v>
      </c>
    </row>
    <row r="12729" spans="1:11">
      <c r="A12729" s="12">
        <v>43231</v>
      </c>
      <c r="B12729">
        <v>2018</v>
      </c>
      <c r="C12729">
        <v>5</v>
      </c>
      <c r="D12729" s="11">
        <v>43221</v>
      </c>
      <c r="E12729" t="s">
        <v>2177</v>
      </c>
      <c r="F12729">
        <v>5</v>
      </c>
      <c r="G12729" t="s">
        <v>55</v>
      </c>
      <c r="H12729" t="s">
        <v>47</v>
      </c>
      <c r="I12729" t="s">
        <v>2195</v>
      </c>
      <c r="J12729" s="10">
        <v>10</v>
      </c>
      <c r="K12729" t="b">
        <v>1</v>
      </c>
    </row>
    <row r="12730" spans="1:11">
      <c r="A12730" s="12">
        <v>43232</v>
      </c>
      <c r="B12730">
        <v>2018</v>
      </c>
      <c r="C12730">
        <v>5</v>
      </c>
      <c r="D12730" s="11">
        <v>43221</v>
      </c>
      <c r="E12730" t="s">
        <v>2177</v>
      </c>
      <c r="F12730">
        <v>6</v>
      </c>
      <c r="G12730" t="s">
        <v>57</v>
      </c>
      <c r="H12730" t="s">
        <v>40</v>
      </c>
      <c r="I12730" t="s">
        <v>2188</v>
      </c>
      <c r="J12730" s="10">
        <v>1.33</v>
      </c>
      <c r="K12730" t="b">
        <v>1</v>
      </c>
    </row>
    <row r="12731" spans="1:11">
      <c r="A12731" s="12">
        <v>43232</v>
      </c>
      <c r="B12731">
        <v>2018</v>
      </c>
      <c r="C12731">
        <v>5</v>
      </c>
      <c r="D12731" s="11">
        <v>43221</v>
      </c>
      <c r="E12731" t="s">
        <v>2177</v>
      </c>
      <c r="F12731">
        <v>6</v>
      </c>
      <c r="G12731" t="s">
        <v>57</v>
      </c>
      <c r="H12731" t="s">
        <v>41</v>
      </c>
      <c r="I12731" t="s">
        <v>2189</v>
      </c>
      <c r="J12731" s="10">
        <v>3.66</v>
      </c>
      <c r="K12731" t="b">
        <v>1</v>
      </c>
    </row>
    <row r="12732" spans="1:11">
      <c r="A12732" s="12">
        <v>43232</v>
      </c>
      <c r="B12732">
        <v>2018</v>
      </c>
      <c r="C12732">
        <v>5</v>
      </c>
      <c r="D12732" s="11">
        <v>43221</v>
      </c>
      <c r="E12732" t="s">
        <v>2177</v>
      </c>
      <c r="F12732">
        <v>6</v>
      </c>
      <c r="G12732" t="s">
        <v>57</v>
      </c>
      <c r="H12732" t="s">
        <v>42</v>
      </c>
      <c r="I12732" t="s">
        <v>2190</v>
      </c>
      <c r="J12732" s="10">
        <v>5.15</v>
      </c>
      <c r="K12732" t="b">
        <v>1</v>
      </c>
    </row>
    <row r="12733" spans="1:11">
      <c r="A12733" s="12">
        <v>43232</v>
      </c>
      <c r="B12733">
        <v>2018</v>
      </c>
      <c r="C12733">
        <v>5</v>
      </c>
      <c r="D12733" s="11">
        <v>43221</v>
      </c>
      <c r="E12733" t="s">
        <v>2177</v>
      </c>
      <c r="F12733">
        <v>6</v>
      </c>
      <c r="G12733" t="s">
        <v>57</v>
      </c>
      <c r="H12733" t="s">
        <v>43</v>
      </c>
      <c r="I12733" t="s">
        <v>2191</v>
      </c>
      <c r="J12733" s="10">
        <v>27</v>
      </c>
      <c r="K12733" t="b">
        <v>1</v>
      </c>
    </row>
    <row r="12734" spans="1:11">
      <c r="A12734" s="12">
        <v>43232</v>
      </c>
      <c r="B12734">
        <v>2018</v>
      </c>
      <c r="C12734">
        <v>5</v>
      </c>
      <c r="D12734" s="11">
        <v>43221</v>
      </c>
      <c r="E12734" t="s">
        <v>2177</v>
      </c>
      <c r="F12734">
        <v>6</v>
      </c>
      <c r="G12734" t="s">
        <v>57</v>
      </c>
      <c r="H12734" t="s">
        <v>44</v>
      </c>
      <c r="I12734" t="s">
        <v>2192</v>
      </c>
      <c r="J12734" s="10">
        <v>10</v>
      </c>
      <c r="K12734" t="b">
        <v>1</v>
      </c>
    </row>
    <row r="12735" spans="1:11">
      <c r="A12735" s="12">
        <v>43232</v>
      </c>
      <c r="B12735">
        <v>2018</v>
      </c>
      <c r="C12735">
        <v>5</v>
      </c>
      <c r="D12735" s="11">
        <v>43221</v>
      </c>
      <c r="E12735" t="s">
        <v>2177</v>
      </c>
      <c r="F12735">
        <v>6</v>
      </c>
      <c r="G12735" t="s">
        <v>57</v>
      </c>
      <c r="H12735" t="s">
        <v>45</v>
      </c>
      <c r="I12735" t="s">
        <v>2193</v>
      </c>
      <c r="J12735" s="10">
        <v>0</v>
      </c>
      <c r="K12735" t="b">
        <v>1</v>
      </c>
    </row>
    <row r="12736" spans="1:11">
      <c r="A12736" s="12">
        <v>43232</v>
      </c>
      <c r="B12736">
        <v>2018</v>
      </c>
      <c r="C12736">
        <v>5</v>
      </c>
      <c r="D12736" s="11">
        <v>43221</v>
      </c>
      <c r="E12736" t="s">
        <v>2177</v>
      </c>
      <c r="F12736">
        <v>6</v>
      </c>
      <c r="G12736" t="s">
        <v>57</v>
      </c>
      <c r="H12736" t="s">
        <v>46</v>
      </c>
      <c r="I12736" t="s">
        <v>2194</v>
      </c>
      <c r="J12736" s="10">
        <v>11</v>
      </c>
      <c r="K12736" t="b">
        <v>1</v>
      </c>
    </row>
    <row r="12737" spans="1:11">
      <c r="A12737" s="12">
        <v>43232</v>
      </c>
      <c r="B12737">
        <v>2018</v>
      </c>
      <c r="C12737">
        <v>5</v>
      </c>
      <c r="D12737" s="11">
        <v>43221</v>
      </c>
      <c r="E12737" t="s">
        <v>2177</v>
      </c>
      <c r="F12737">
        <v>6</v>
      </c>
      <c r="G12737" t="s">
        <v>57</v>
      </c>
      <c r="H12737" t="s">
        <v>47</v>
      </c>
      <c r="I12737" t="s">
        <v>2195</v>
      </c>
      <c r="J12737" s="10">
        <v>8</v>
      </c>
      <c r="K12737" t="b">
        <v>1</v>
      </c>
    </row>
    <row r="12738" spans="1:11">
      <c r="A12738" s="12">
        <v>43233</v>
      </c>
      <c r="B12738">
        <v>2018</v>
      </c>
      <c r="C12738">
        <v>5</v>
      </c>
      <c r="D12738" s="11">
        <v>43221</v>
      </c>
      <c r="E12738" t="s">
        <v>2177</v>
      </c>
      <c r="F12738">
        <v>7</v>
      </c>
      <c r="G12738" t="s">
        <v>59</v>
      </c>
      <c r="H12738" t="s">
        <v>40</v>
      </c>
      <c r="I12738" t="s">
        <v>2188</v>
      </c>
      <c r="J12738" s="10">
        <v>5.16</v>
      </c>
      <c r="K12738" t="b">
        <v>1</v>
      </c>
    </row>
    <row r="12739" spans="1:11">
      <c r="A12739" s="12">
        <v>43233</v>
      </c>
      <c r="B12739">
        <v>2018</v>
      </c>
      <c r="C12739">
        <v>5</v>
      </c>
      <c r="D12739" s="11">
        <v>43221</v>
      </c>
      <c r="E12739" t="s">
        <v>2177</v>
      </c>
      <c r="F12739">
        <v>7</v>
      </c>
      <c r="G12739" t="s">
        <v>59</v>
      </c>
      <c r="H12739" t="s">
        <v>41</v>
      </c>
      <c r="I12739" t="s">
        <v>2189</v>
      </c>
      <c r="J12739" s="10">
        <v>5.759</v>
      </c>
      <c r="K12739" t="b">
        <v>1</v>
      </c>
    </row>
    <row r="12740" spans="1:11">
      <c r="A12740" s="12">
        <v>43233</v>
      </c>
      <c r="B12740">
        <v>2018</v>
      </c>
      <c r="C12740">
        <v>5</v>
      </c>
      <c r="D12740" s="11">
        <v>43221</v>
      </c>
      <c r="E12740" t="s">
        <v>2177</v>
      </c>
      <c r="F12740">
        <v>7</v>
      </c>
      <c r="G12740" t="s">
        <v>59</v>
      </c>
      <c r="H12740" t="s">
        <v>42</v>
      </c>
      <c r="I12740" t="s">
        <v>2190</v>
      </c>
      <c r="J12740" s="10">
        <v>3</v>
      </c>
      <c r="K12740" t="b">
        <v>1</v>
      </c>
    </row>
    <row r="12741" spans="1:11">
      <c r="A12741" s="12">
        <v>43233</v>
      </c>
      <c r="B12741">
        <v>2018</v>
      </c>
      <c r="C12741">
        <v>5</v>
      </c>
      <c r="D12741" s="11">
        <v>43221</v>
      </c>
      <c r="E12741" t="s">
        <v>2177</v>
      </c>
      <c r="F12741">
        <v>7</v>
      </c>
      <c r="G12741" t="s">
        <v>59</v>
      </c>
      <c r="H12741" t="s">
        <v>43</v>
      </c>
      <c r="I12741" t="s">
        <v>2191</v>
      </c>
      <c r="J12741" s="10">
        <v>14.4</v>
      </c>
      <c r="K12741" t="b">
        <v>1</v>
      </c>
    </row>
    <row r="12742" spans="1:11">
      <c r="A12742" s="12">
        <v>43233</v>
      </c>
      <c r="B12742">
        <v>2018</v>
      </c>
      <c r="C12742">
        <v>5</v>
      </c>
      <c r="D12742" s="11">
        <v>43221</v>
      </c>
      <c r="E12742" t="s">
        <v>2177</v>
      </c>
      <c r="F12742">
        <v>7</v>
      </c>
      <c r="G12742" t="s">
        <v>59</v>
      </c>
      <c r="H12742" t="s">
        <v>44</v>
      </c>
      <c r="I12742" t="s">
        <v>2192</v>
      </c>
      <c r="J12742" s="10">
        <v>3</v>
      </c>
      <c r="K12742" t="b">
        <v>1</v>
      </c>
    </row>
    <row r="12743" spans="1:11">
      <c r="A12743" s="12">
        <v>43233</v>
      </c>
      <c r="B12743">
        <v>2018</v>
      </c>
      <c r="C12743">
        <v>5</v>
      </c>
      <c r="D12743" s="11">
        <v>43221</v>
      </c>
      <c r="E12743" t="s">
        <v>2177</v>
      </c>
      <c r="F12743">
        <v>7</v>
      </c>
      <c r="G12743" t="s">
        <v>59</v>
      </c>
      <c r="H12743" t="s">
        <v>45</v>
      </c>
      <c r="I12743" t="s">
        <v>2193</v>
      </c>
      <c r="J12743" s="10">
        <v>0</v>
      </c>
      <c r="K12743" t="b">
        <v>1</v>
      </c>
    </row>
    <row r="12744" spans="1:11">
      <c r="A12744" s="12">
        <v>43233</v>
      </c>
      <c r="B12744">
        <v>2018</v>
      </c>
      <c r="C12744">
        <v>5</v>
      </c>
      <c r="D12744" s="11">
        <v>43221</v>
      </c>
      <c r="E12744" t="s">
        <v>2177</v>
      </c>
      <c r="F12744">
        <v>7</v>
      </c>
      <c r="G12744" t="s">
        <v>59</v>
      </c>
      <c r="H12744" t="s">
        <v>46</v>
      </c>
      <c r="I12744" t="s">
        <v>2194</v>
      </c>
      <c r="J12744" s="10">
        <v>7</v>
      </c>
      <c r="K12744" t="b">
        <v>1</v>
      </c>
    </row>
    <row r="12745" spans="1:11">
      <c r="A12745" s="12">
        <v>43233</v>
      </c>
      <c r="B12745">
        <v>2018</v>
      </c>
      <c r="C12745">
        <v>5</v>
      </c>
      <c r="D12745" s="11">
        <v>43221</v>
      </c>
      <c r="E12745" t="s">
        <v>2177</v>
      </c>
      <c r="F12745">
        <v>7</v>
      </c>
      <c r="G12745" t="s">
        <v>59</v>
      </c>
      <c r="H12745" t="s">
        <v>47</v>
      </c>
      <c r="I12745" t="s">
        <v>2195</v>
      </c>
      <c r="J12745" s="10">
        <v>10</v>
      </c>
      <c r="K12745" t="b">
        <v>1</v>
      </c>
    </row>
    <row r="12746" spans="1:11">
      <c r="A12746" s="12">
        <v>43234</v>
      </c>
      <c r="B12746">
        <v>2018</v>
      </c>
      <c r="C12746">
        <v>5</v>
      </c>
      <c r="D12746" s="11">
        <v>43221</v>
      </c>
      <c r="E12746" t="s">
        <v>2177</v>
      </c>
      <c r="F12746">
        <v>1</v>
      </c>
      <c r="G12746" t="s">
        <v>61</v>
      </c>
      <c r="H12746" t="s">
        <v>40</v>
      </c>
      <c r="I12746" t="s">
        <v>2188</v>
      </c>
      <c r="J12746" s="10">
        <v>6</v>
      </c>
      <c r="K12746" t="b">
        <v>1</v>
      </c>
    </row>
    <row r="12747" spans="1:11">
      <c r="A12747" s="12">
        <v>43234</v>
      </c>
      <c r="B12747">
        <v>2018</v>
      </c>
      <c r="C12747">
        <v>5</v>
      </c>
      <c r="D12747" s="11">
        <v>43221</v>
      </c>
      <c r="E12747" t="s">
        <v>2177</v>
      </c>
      <c r="F12747">
        <v>1</v>
      </c>
      <c r="G12747" t="s">
        <v>61</v>
      </c>
      <c r="H12747" t="s">
        <v>41</v>
      </c>
      <c r="I12747" t="s">
        <v>2189</v>
      </c>
      <c r="J12747" s="10">
        <v>6.539</v>
      </c>
      <c r="K12747" t="b">
        <v>1</v>
      </c>
    </row>
    <row r="12748" spans="1:11">
      <c r="A12748" s="12">
        <v>43234</v>
      </c>
      <c r="B12748">
        <v>2018</v>
      </c>
      <c r="C12748">
        <v>5</v>
      </c>
      <c r="D12748" s="11">
        <v>43221</v>
      </c>
      <c r="E12748" t="s">
        <v>2177</v>
      </c>
      <c r="F12748">
        <v>1</v>
      </c>
      <c r="G12748" t="s">
        <v>61</v>
      </c>
      <c r="H12748" t="s">
        <v>42</v>
      </c>
      <c r="I12748" t="s">
        <v>2190</v>
      </c>
      <c r="J12748" s="10">
        <v>1</v>
      </c>
      <c r="K12748" t="b">
        <v>1</v>
      </c>
    </row>
    <row r="12749" spans="1:11">
      <c r="A12749" s="12">
        <v>43234</v>
      </c>
      <c r="B12749">
        <v>2018</v>
      </c>
      <c r="C12749">
        <v>5</v>
      </c>
      <c r="D12749" s="11">
        <v>43221</v>
      </c>
      <c r="E12749" t="s">
        <v>2177</v>
      </c>
      <c r="F12749">
        <v>1</v>
      </c>
      <c r="G12749" t="s">
        <v>61</v>
      </c>
      <c r="H12749" t="s">
        <v>43</v>
      </c>
      <c r="I12749" t="s">
        <v>2191</v>
      </c>
      <c r="J12749" s="10">
        <v>20</v>
      </c>
      <c r="K12749" t="b">
        <v>1</v>
      </c>
    </row>
    <row r="12750" spans="1:11">
      <c r="A12750" s="12">
        <v>43234</v>
      </c>
      <c r="B12750">
        <v>2018</v>
      </c>
      <c r="C12750">
        <v>5</v>
      </c>
      <c r="D12750" s="11">
        <v>43221</v>
      </c>
      <c r="E12750" t="s">
        <v>2177</v>
      </c>
      <c r="F12750">
        <v>1</v>
      </c>
      <c r="G12750" t="s">
        <v>61</v>
      </c>
      <c r="H12750" t="s">
        <v>44</v>
      </c>
      <c r="I12750" t="s">
        <v>2192</v>
      </c>
      <c r="J12750" s="10">
        <v>4</v>
      </c>
      <c r="K12750" t="b">
        <v>1</v>
      </c>
    </row>
    <row r="12751" spans="1:11">
      <c r="A12751" s="12">
        <v>43234</v>
      </c>
      <c r="B12751">
        <v>2018</v>
      </c>
      <c r="C12751">
        <v>5</v>
      </c>
      <c r="D12751" s="11">
        <v>43221</v>
      </c>
      <c r="E12751" t="s">
        <v>2177</v>
      </c>
      <c r="F12751">
        <v>1</v>
      </c>
      <c r="G12751" t="s">
        <v>61</v>
      </c>
      <c r="H12751" t="s">
        <v>45</v>
      </c>
      <c r="I12751" t="s">
        <v>2193</v>
      </c>
      <c r="J12751" s="10">
        <v>1</v>
      </c>
      <c r="K12751" t="b">
        <v>1</v>
      </c>
    </row>
    <row r="12752" spans="1:11">
      <c r="A12752" s="12">
        <v>43234</v>
      </c>
      <c r="B12752">
        <v>2018</v>
      </c>
      <c r="C12752">
        <v>5</v>
      </c>
      <c r="D12752" s="11">
        <v>43221</v>
      </c>
      <c r="E12752" t="s">
        <v>2177</v>
      </c>
      <c r="F12752">
        <v>1</v>
      </c>
      <c r="G12752" t="s">
        <v>61</v>
      </c>
      <c r="H12752" t="s">
        <v>46</v>
      </c>
      <c r="I12752" t="s">
        <v>2194</v>
      </c>
      <c r="J12752" s="10">
        <v>37</v>
      </c>
      <c r="K12752" t="b">
        <v>1</v>
      </c>
    </row>
    <row r="12753" spans="1:11">
      <c r="A12753" s="12">
        <v>43234</v>
      </c>
      <c r="B12753">
        <v>2018</v>
      </c>
      <c r="C12753">
        <v>5</v>
      </c>
      <c r="D12753" s="11">
        <v>43221</v>
      </c>
      <c r="E12753" t="s">
        <v>2177</v>
      </c>
      <c r="F12753">
        <v>1</v>
      </c>
      <c r="G12753" t="s">
        <v>61</v>
      </c>
      <c r="H12753" t="s">
        <v>47</v>
      </c>
      <c r="I12753" t="s">
        <v>2195</v>
      </c>
      <c r="J12753" s="10">
        <v>3</v>
      </c>
      <c r="K12753" t="b">
        <v>1</v>
      </c>
    </row>
    <row r="12754" spans="1:11">
      <c r="A12754" s="12">
        <v>43235</v>
      </c>
      <c r="B12754">
        <v>2018</v>
      </c>
      <c r="C12754">
        <v>5</v>
      </c>
      <c r="D12754" s="11">
        <v>43221</v>
      </c>
      <c r="E12754" t="s">
        <v>2177</v>
      </c>
      <c r="F12754">
        <v>2</v>
      </c>
      <c r="G12754" t="s">
        <v>63</v>
      </c>
      <c r="H12754" t="s">
        <v>40</v>
      </c>
      <c r="I12754" t="s">
        <v>2188</v>
      </c>
      <c r="J12754" s="10">
        <v>4</v>
      </c>
      <c r="K12754" t="b">
        <v>1</v>
      </c>
    </row>
    <row r="12755" spans="1:11">
      <c r="A12755" s="12">
        <v>43235</v>
      </c>
      <c r="B12755">
        <v>2018</v>
      </c>
      <c r="C12755">
        <v>5</v>
      </c>
      <c r="D12755" s="11">
        <v>43221</v>
      </c>
      <c r="E12755" t="s">
        <v>2177</v>
      </c>
      <c r="F12755">
        <v>2</v>
      </c>
      <c r="G12755" t="s">
        <v>63</v>
      </c>
      <c r="H12755" t="s">
        <v>41</v>
      </c>
      <c r="I12755" t="s">
        <v>2189</v>
      </c>
      <c r="J12755" s="10">
        <v>0.67</v>
      </c>
      <c r="K12755" t="b">
        <v>1</v>
      </c>
    </row>
    <row r="12756" spans="1:11">
      <c r="A12756" s="12">
        <v>43235</v>
      </c>
      <c r="B12756">
        <v>2018</v>
      </c>
      <c r="C12756">
        <v>5</v>
      </c>
      <c r="D12756" s="11">
        <v>43221</v>
      </c>
      <c r="E12756" t="s">
        <v>2177</v>
      </c>
      <c r="F12756">
        <v>2</v>
      </c>
      <c r="G12756" t="s">
        <v>63</v>
      </c>
      <c r="H12756" t="s">
        <v>42</v>
      </c>
      <c r="I12756" t="s">
        <v>2190</v>
      </c>
      <c r="J12756" s="10">
        <v>2</v>
      </c>
      <c r="K12756" t="b">
        <v>1</v>
      </c>
    </row>
    <row r="12757" spans="1:11">
      <c r="A12757" s="12">
        <v>43235</v>
      </c>
      <c r="B12757">
        <v>2018</v>
      </c>
      <c r="C12757">
        <v>5</v>
      </c>
      <c r="D12757" s="11">
        <v>43221</v>
      </c>
      <c r="E12757" t="s">
        <v>2177</v>
      </c>
      <c r="F12757">
        <v>2</v>
      </c>
      <c r="G12757" t="s">
        <v>63</v>
      </c>
      <c r="H12757" t="s">
        <v>43</v>
      </c>
      <c r="I12757" t="s">
        <v>2191</v>
      </c>
      <c r="J12757" s="10">
        <v>14</v>
      </c>
      <c r="K12757" t="b">
        <v>1</v>
      </c>
    </row>
    <row r="12758" spans="1:11">
      <c r="A12758" s="12">
        <v>43235</v>
      </c>
      <c r="B12758">
        <v>2018</v>
      </c>
      <c r="C12758">
        <v>5</v>
      </c>
      <c r="D12758" s="11">
        <v>43221</v>
      </c>
      <c r="E12758" t="s">
        <v>2177</v>
      </c>
      <c r="F12758">
        <v>2</v>
      </c>
      <c r="G12758" t="s">
        <v>63</v>
      </c>
      <c r="H12758" t="s">
        <v>44</v>
      </c>
      <c r="I12758" t="s">
        <v>2192</v>
      </c>
      <c r="J12758" s="10">
        <v>11</v>
      </c>
      <c r="K12758" t="b">
        <v>1</v>
      </c>
    </row>
    <row r="12759" spans="1:11">
      <c r="A12759" s="12">
        <v>43235</v>
      </c>
      <c r="B12759">
        <v>2018</v>
      </c>
      <c r="C12759">
        <v>5</v>
      </c>
      <c r="D12759" s="11">
        <v>43221</v>
      </c>
      <c r="E12759" t="s">
        <v>2177</v>
      </c>
      <c r="F12759">
        <v>2</v>
      </c>
      <c r="G12759" t="s">
        <v>63</v>
      </c>
      <c r="H12759" t="s">
        <v>45</v>
      </c>
      <c r="I12759" t="s">
        <v>2193</v>
      </c>
      <c r="J12759" s="10">
        <v>0</v>
      </c>
      <c r="K12759" t="b">
        <v>1</v>
      </c>
    </row>
    <row r="12760" spans="1:11">
      <c r="A12760" s="12">
        <v>43235</v>
      </c>
      <c r="B12760">
        <v>2018</v>
      </c>
      <c r="C12760">
        <v>5</v>
      </c>
      <c r="D12760" s="11">
        <v>43221</v>
      </c>
      <c r="E12760" t="s">
        <v>2177</v>
      </c>
      <c r="F12760">
        <v>2</v>
      </c>
      <c r="G12760" t="s">
        <v>63</v>
      </c>
      <c r="H12760" t="s">
        <v>46</v>
      </c>
      <c r="I12760" t="s">
        <v>2194</v>
      </c>
      <c r="J12760" s="10">
        <v>5</v>
      </c>
      <c r="K12760" t="b">
        <v>1</v>
      </c>
    </row>
    <row r="12761" spans="1:11">
      <c r="A12761" s="12">
        <v>43235</v>
      </c>
      <c r="B12761">
        <v>2018</v>
      </c>
      <c r="C12761">
        <v>5</v>
      </c>
      <c r="D12761" s="11">
        <v>43221</v>
      </c>
      <c r="E12761" t="s">
        <v>2177</v>
      </c>
      <c r="F12761">
        <v>2</v>
      </c>
      <c r="G12761" t="s">
        <v>63</v>
      </c>
      <c r="H12761" t="s">
        <v>47</v>
      </c>
      <c r="I12761" t="s">
        <v>2195</v>
      </c>
      <c r="J12761" s="10">
        <v>7</v>
      </c>
      <c r="K12761" t="b">
        <v>1</v>
      </c>
    </row>
    <row r="12762" spans="1:11">
      <c r="A12762" s="12">
        <v>43236</v>
      </c>
      <c r="B12762">
        <v>2018</v>
      </c>
      <c r="C12762">
        <v>5</v>
      </c>
      <c r="D12762" s="11">
        <v>43221</v>
      </c>
      <c r="E12762" t="s">
        <v>2177</v>
      </c>
      <c r="F12762">
        <v>3</v>
      </c>
      <c r="G12762" t="s">
        <v>65</v>
      </c>
      <c r="H12762" t="s">
        <v>40</v>
      </c>
      <c r="I12762" t="s">
        <v>2188</v>
      </c>
      <c r="J12762" s="10">
        <v>4.01</v>
      </c>
      <c r="K12762" t="b">
        <v>1</v>
      </c>
    </row>
    <row r="12763" spans="1:11">
      <c r="A12763" s="12">
        <v>43236</v>
      </c>
      <c r="B12763">
        <v>2018</v>
      </c>
      <c r="C12763">
        <v>5</v>
      </c>
      <c r="D12763" s="11">
        <v>43221</v>
      </c>
      <c r="E12763" t="s">
        <v>2177</v>
      </c>
      <c r="F12763">
        <v>3</v>
      </c>
      <c r="G12763" t="s">
        <v>65</v>
      </c>
      <c r="H12763" t="s">
        <v>41</v>
      </c>
      <c r="I12763" t="s">
        <v>2189</v>
      </c>
      <c r="J12763" s="10">
        <v>2.33</v>
      </c>
      <c r="K12763" t="b">
        <v>1</v>
      </c>
    </row>
    <row r="12764" spans="1:11">
      <c r="A12764" s="12">
        <v>43236</v>
      </c>
      <c r="B12764">
        <v>2018</v>
      </c>
      <c r="C12764">
        <v>5</v>
      </c>
      <c r="D12764" s="11">
        <v>43221</v>
      </c>
      <c r="E12764" t="s">
        <v>2177</v>
      </c>
      <c r="F12764">
        <v>3</v>
      </c>
      <c r="G12764" t="s">
        <v>65</v>
      </c>
      <c r="H12764" t="s">
        <v>42</v>
      </c>
      <c r="I12764" t="s">
        <v>2190</v>
      </c>
      <c r="J12764" s="10">
        <v>2.5</v>
      </c>
      <c r="K12764" t="b">
        <v>1</v>
      </c>
    </row>
    <row r="12765" spans="1:11">
      <c r="A12765" s="12">
        <v>43236</v>
      </c>
      <c r="B12765">
        <v>2018</v>
      </c>
      <c r="C12765">
        <v>5</v>
      </c>
      <c r="D12765" s="11">
        <v>43221</v>
      </c>
      <c r="E12765" t="s">
        <v>2177</v>
      </c>
      <c r="F12765">
        <v>3</v>
      </c>
      <c r="G12765" t="s">
        <v>65</v>
      </c>
      <c r="H12765" t="s">
        <v>43</v>
      </c>
      <c r="I12765" t="s">
        <v>2191</v>
      </c>
      <c r="J12765" s="10">
        <v>13.4</v>
      </c>
      <c r="K12765" t="b">
        <v>1</v>
      </c>
    </row>
    <row r="12766" spans="1:11">
      <c r="A12766" s="12">
        <v>43236</v>
      </c>
      <c r="B12766">
        <v>2018</v>
      </c>
      <c r="C12766">
        <v>5</v>
      </c>
      <c r="D12766" s="11">
        <v>43221</v>
      </c>
      <c r="E12766" t="s">
        <v>2177</v>
      </c>
      <c r="F12766">
        <v>3</v>
      </c>
      <c r="G12766" t="s">
        <v>65</v>
      </c>
      <c r="H12766" t="s">
        <v>44</v>
      </c>
      <c r="I12766" t="s">
        <v>2192</v>
      </c>
      <c r="J12766" s="10">
        <v>9</v>
      </c>
      <c r="K12766" t="b">
        <v>1</v>
      </c>
    </row>
    <row r="12767" spans="1:11">
      <c r="A12767" s="12">
        <v>43236</v>
      </c>
      <c r="B12767">
        <v>2018</v>
      </c>
      <c r="C12767">
        <v>5</v>
      </c>
      <c r="D12767" s="11">
        <v>43221</v>
      </c>
      <c r="E12767" t="s">
        <v>2177</v>
      </c>
      <c r="F12767">
        <v>3</v>
      </c>
      <c r="G12767" t="s">
        <v>65</v>
      </c>
      <c r="H12767" t="s">
        <v>45</v>
      </c>
      <c r="I12767" t="s">
        <v>2193</v>
      </c>
      <c r="J12767" s="10">
        <v>0</v>
      </c>
      <c r="K12767" t="b">
        <v>1</v>
      </c>
    </row>
    <row r="12768" spans="1:11">
      <c r="A12768" s="12">
        <v>43236</v>
      </c>
      <c r="B12768">
        <v>2018</v>
      </c>
      <c r="C12768">
        <v>5</v>
      </c>
      <c r="D12768" s="11">
        <v>43221</v>
      </c>
      <c r="E12768" t="s">
        <v>2177</v>
      </c>
      <c r="F12768">
        <v>3</v>
      </c>
      <c r="G12768" t="s">
        <v>65</v>
      </c>
      <c r="H12768" t="s">
        <v>46</v>
      </c>
      <c r="I12768" t="s">
        <v>2194</v>
      </c>
      <c r="J12768" s="10">
        <v>2</v>
      </c>
      <c r="K12768" t="b">
        <v>1</v>
      </c>
    </row>
    <row r="12769" spans="1:11">
      <c r="A12769" s="12">
        <v>43236</v>
      </c>
      <c r="B12769">
        <v>2018</v>
      </c>
      <c r="C12769">
        <v>5</v>
      </c>
      <c r="D12769" s="11">
        <v>43221</v>
      </c>
      <c r="E12769" t="s">
        <v>2177</v>
      </c>
      <c r="F12769">
        <v>3</v>
      </c>
      <c r="G12769" t="s">
        <v>65</v>
      </c>
      <c r="H12769" t="s">
        <v>47</v>
      </c>
      <c r="I12769" t="s">
        <v>2195</v>
      </c>
      <c r="J12769" s="10">
        <v>8</v>
      </c>
      <c r="K12769" t="b">
        <v>1</v>
      </c>
    </row>
    <row r="12770" spans="1:11">
      <c r="A12770" s="12">
        <v>43237</v>
      </c>
      <c r="B12770">
        <v>2018</v>
      </c>
      <c r="C12770">
        <v>5</v>
      </c>
      <c r="D12770" s="11">
        <v>43221</v>
      </c>
      <c r="E12770" t="s">
        <v>2177</v>
      </c>
      <c r="F12770">
        <v>4</v>
      </c>
      <c r="G12770" t="s">
        <v>53</v>
      </c>
      <c r="H12770" t="s">
        <v>40</v>
      </c>
      <c r="I12770" t="s">
        <v>2188</v>
      </c>
      <c r="J12770" s="10">
        <v>2</v>
      </c>
      <c r="K12770" t="b">
        <v>1</v>
      </c>
    </row>
    <row r="12771" spans="1:11">
      <c r="A12771" s="12">
        <v>43237</v>
      </c>
      <c r="B12771">
        <v>2018</v>
      </c>
      <c r="C12771">
        <v>5</v>
      </c>
      <c r="D12771" s="11">
        <v>43221</v>
      </c>
      <c r="E12771" t="s">
        <v>2177</v>
      </c>
      <c r="F12771">
        <v>4</v>
      </c>
      <c r="G12771" t="s">
        <v>53</v>
      </c>
      <c r="H12771" t="s">
        <v>41</v>
      </c>
      <c r="I12771" t="s">
        <v>2189</v>
      </c>
      <c r="J12771" s="10">
        <v>2.78</v>
      </c>
      <c r="K12771" t="b">
        <v>1</v>
      </c>
    </row>
    <row r="12772" spans="1:11">
      <c r="A12772" s="12">
        <v>43237</v>
      </c>
      <c r="B12772">
        <v>2018</v>
      </c>
      <c r="C12772">
        <v>5</v>
      </c>
      <c r="D12772" s="11">
        <v>43221</v>
      </c>
      <c r="E12772" t="s">
        <v>2177</v>
      </c>
      <c r="F12772">
        <v>4</v>
      </c>
      <c r="G12772" t="s">
        <v>53</v>
      </c>
      <c r="H12772" t="s">
        <v>42</v>
      </c>
      <c r="I12772" t="s">
        <v>2190</v>
      </c>
      <c r="J12772" s="10">
        <v>3.5</v>
      </c>
      <c r="K12772" t="b">
        <v>1</v>
      </c>
    </row>
    <row r="12773" spans="1:11">
      <c r="A12773" s="12">
        <v>43237</v>
      </c>
      <c r="B12773">
        <v>2018</v>
      </c>
      <c r="C12773">
        <v>5</v>
      </c>
      <c r="D12773" s="11">
        <v>43221</v>
      </c>
      <c r="E12773" t="s">
        <v>2177</v>
      </c>
      <c r="F12773">
        <v>4</v>
      </c>
      <c r="G12773" t="s">
        <v>53</v>
      </c>
      <c r="H12773" t="s">
        <v>43</v>
      </c>
      <c r="I12773" t="s">
        <v>2191</v>
      </c>
      <c r="J12773" s="10">
        <v>16</v>
      </c>
      <c r="K12773" t="b">
        <v>1</v>
      </c>
    </row>
    <row r="12774" spans="1:11">
      <c r="A12774" s="12">
        <v>43237</v>
      </c>
      <c r="B12774">
        <v>2018</v>
      </c>
      <c r="C12774">
        <v>5</v>
      </c>
      <c r="D12774" s="11">
        <v>43221</v>
      </c>
      <c r="E12774" t="s">
        <v>2177</v>
      </c>
      <c r="F12774">
        <v>4</v>
      </c>
      <c r="G12774" t="s">
        <v>53</v>
      </c>
      <c r="H12774" t="s">
        <v>44</v>
      </c>
      <c r="I12774" t="s">
        <v>2192</v>
      </c>
      <c r="J12774" s="10">
        <v>11</v>
      </c>
      <c r="K12774" t="b">
        <v>1</v>
      </c>
    </row>
    <row r="12775" spans="1:11">
      <c r="A12775" s="12">
        <v>43237</v>
      </c>
      <c r="B12775">
        <v>2018</v>
      </c>
      <c r="C12775">
        <v>5</v>
      </c>
      <c r="D12775" s="11">
        <v>43221</v>
      </c>
      <c r="E12775" t="s">
        <v>2177</v>
      </c>
      <c r="F12775">
        <v>4</v>
      </c>
      <c r="G12775" t="s">
        <v>53</v>
      </c>
      <c r="H12775" t="s">
        <v>45</v>
      </c>
      <c r="I12775" t="s">
        <v>2193</v>
      </c>
      <c r="J12775" s="10">
        <v>0</v>
      </c>
      <c r="K12775" t="b">
        <v>1</v>
      </c>
    </row>
    <row r="12776" spans="1:11">
      <c r="A12776" s="12">
        <v>43237</v>
      </c>
      <c r="B12776">
        <v>2018</v>
      </c>
      <c r="C12776">
        <v>5</v>
      </c>
      <c r="D12776" s="11">
        <v>43221</v>
      </c>
      <c r="E12776" t="s">
        <v>2177</v>
      </c>
      <c r="F12776">
        <v>4</v>
      </c>
      <c r="G12776" t="s">
        <v>53</v>
      </c>
      <c r="H12776" t="s">
        <v>46</v>
      </c>
      <c r="I12776" t="s">
        <v>2194</v>
      </c>
      <c r="J12776" s="10">
        <v>1</v>
      </c>
      <c r="K12776" t="b">
        <v>1</v>
      </c>
    </row>
    <row r="12777" spans="1:11">
      <c r="A12777" s="12">
        <v>43237</v>
      </c>
      <c r="B12777">
        <v>2018</v>
      </c>
      <c r="C12777">
        <v>5</v>
      </c>
      <c r="D12777" s="11">
        <v>43221</v>
      </c>
      <c r="E12777" t="s">
        <v>2177</v>
      </c>
      <c r="F12777">
        <v>4</v>
      </c>
      <c r="G12777" t="s">
        <v>53</v>
      </c>
      <c r="H12777" t="s">
        <v>47</v>
      </c>
      <c r="I12777" t="s">
        <v>2195</v>
      </c>
      <c r="J12777" s="10">
        <v>4</v>
      </c>
      <c r="K12777" t="b">
        <v>1</v>
      </c>
    </row>
    <row r="12778" spans="1:11">
      <c r="A12778" s="12">
        <v>43238</v>
      </c>
      <c r="B12778">
        <v>2018</v>
      </c>
      <c r="C12778">
        <v>5</v>
      </c>
      <c r="D12778" s="11">
        <v>43221</v>
      </c>
      <c r="E12778" t="s">
        <v>2177</v>
      </c>
      <c r="F12778">
        <v>5</v>
      </c>
      <c r="G12778" t="s">
        <v>55</v>
      </c>
      <c r="H12778" t="s">
        <v>40</v>
      </c>
      <c r="I12778" t="s">
        <v>2188</v>
      </c>
      <c r="J12778" s="10">
        <v>2.34</v>
      </c>
      <c r="K12778" t="b">
        <v>1</v>
      </c>
    </row>
    <row r="12779" spans="1:11">
      <c r="A12779" s="12">
        <v>43238</v>
      </c>
      <c r="B12779">
        <v>2018</v>
      </c>
      <c r="C12779">
        <v>5</v>
      </c>
      <c r="D12779" s="11">
        <v>43221</v>
      </c>
      <c r="E12779" t="s">
        <v>2177</v>
      </c>
      <c r="F12779">
        <v>5</v>
      </c>
      <c r="G12779" t="s">
        <v>55</v>
      </c>
      <c r="H12779" t="s">
        <v>41</v>
      </c>
      <c r="I12779" t="s">
        <v>2189</v>
      </c>
      <c r="J12779" s="10">
        <v>1.396</v>
      </c>
      <c r="K12779" t="b">
        <v>1</v>
      </c>
    </row>
    <row r="12780" spans="1:11">
      <c r="A12780" s="12">
        <v>43238</v>
      </c>
      <c r="B12780">
        <v>2018</v>
      </c>
      <c r="C12780">
        <v>5</v>
      </c>
      <c r="D12780" s="11">
        <v>43221</v>
      </c>
      <c r="E12780" t="s">
        <v>2177</v>
      </c>
      <c r="F12780">
        <v>5</v>
      </c>
      <c r="G12780" t="s">
        <v>55</v>
      </c>
      <c r="H12780" t="s">
        <v>42</v>
      </c>
      <c r="I12780" t="s">
        <v>2190</v>
      </c>
      <c r="J12780" s="10">
        <v>6</v>
      </c>
      <c r="K12780" t="b">
        <v>1</v>
      </c>
    </row>
    <row r="12781" spans="1:11">
      <c r="A12781" s="12">
        <v>43238</v>
      </c>
      <c r="B12781">
        <v>2018</v>
      </c>
      <c r="C12781">
        <v>5</v>
      </c>
      <c r="D12781" s="11">
        <v>43221</v>
      </c>
      <c r="E12781" t="s">
        <v>2177</v>
      </c>
      <c r="F12781">
        <v>5</v>
      </c>
      <c r="G12781" t="s">
        <v>55</v>
      </c>
      <c r="H12781" t="s">
        <v>43</v>
      </c>
      <c r="I12781" t="s">
        <v>2191</v>
      </c>
      <c r="J12781" s="10">
        <v>30</v>
      </c>
      <c r="K12781" t="b">
        <v>1</v>
      </c>
    </row>
    <row r="12782" spans="1:11">
      <c r="A12782" s="12">
        <v>43238</v>
      </c>
      <c r="B12782">
        <v>2018</v>
      </c>
      <c r="C12782">
        <v>5</v>
      </c>
      <c r="D12782" s="11">
        <v>43221</v>
      </c>
      <c r="E12782" t="s">
        <v>2177</v>
      </c>
      <c r="F12782">
        <v>5</v>
      </c>
      <c r="G12782" t="s">
        <v>55</v>
      </c>
      <c r="H12782" t="s">
        <v>44</v>
      </c>
      <c r="I12782" t="s">
        <v>2192</v>
      </c>
      <c r="J12782" s="10">
        <v>11</v>
      </c>
      <c r="K12782" t="b">
        <v>1</v>
      </c>
    </row>
    <row r="12783" spans="1:11">
      <c r="A12783" s="12">
        <v>43238</v>
      </c>
      <c r="B12783">
        <v>2018</v>
      </c>
      <c r="C12783">
        <v>5</v>
      </c>
      <c r="D12783" s="11">
        <v>43221</v>
      </c>
      <c r="E12783" t="s">
        <v>2177</v>
      </c>
      <c r="F12783">
        <v>5</v>
      </c>
      <c r="G12783" t="s">
        <v>55</v>
      </c>
      <c r="H12783" t="s">
        <v>45</v>
      </c>
      <c r="I12783" t="s">
        <v>2193</v>
      </c>
      <c r="J12783" s="10">
        <v>0</v>
      </c>
      <c r="K12783" t="b">
        <v>1</v>
      </c>
    </row>
    <row r="12784" spans="1:11">
      <c r="A12784" s="12">
        <v>43238</v>
      </c>
      <c r="B12784">
        <v>2018</v>
      </c>
      <c r="C12784">
        <v>5</v>
      </c>
      <c r="D12784" s="11">
        <v>43221</v>
      </c>
      <c r="E12784" t="s">
        <v>2177</v>
      </c>
      <c r="F12784">
        <v>5</v>
      </c>
      <c r="G12784" t="s">
        <v>55</v>
      </c>
      <c r="H12784" t="s">
        <v>46</v>
      </c>
      <c r="I12784" t="s">
        <v>2194</v>
      </c>
      <c r="J12784" s="10">
        <v>2</v>
      </c>
      <c r="K12784" t="b">
        <v>1</v>
      </c>
    </row>
    <row r="12785" spans="1:11">
      <c r="A12785" s="12">
        <v>43238</v>
      </c>
      <c r="B12785">
        <v>2018</v>
      </c>
      <c r="C12785">
        <v>5</v>
      </c>
      <c r="D12785" s="11">
        <v>43221</v>
      </c>
      <c r="E12785" t="s">
        <v>2177</v>
      </c>
      <c r="F12785">
        <v>5</v>
      </c>
      <c r="G12785" t="s">
        <v>55</v>
      </c>
      <c r="H12785" t="s">
        <v>47</v>
      </c>
      <c r="I12785" t="s">
        <v>2195</v>
      </c>
      <c r="J12785" s="10">
        <v>2.4</v>
      </c>
      <c r="K12785" t="b">
        <v>1</v>
      </c>
    </row>
    <row r="12786" spans="1:11">
      <c r="A12786" s="12">
        <v>43239</v>
      </c>
      <c r="B12786">
        <v>2018</v>
      </c>
      <c r="C12786">
        <v>5</v>
      </c>
      <c r="D12786" s="11">
        <v>43221</v>
      </c>
      <c r="E12786" t="s">
        <v>2177</v>
      </c>
      <c r="F12786">
        <v>6</v>
      </c>
      <c r="G12786" t="s">
        <v>57</v>
      </c>
      <c r="H12786" t="s">
        <v>40</v>
      </c>
      <c r="I12786" t="s">
        <v>2188</v>
      </c>
      <c r="J12786" s="10">
        <v>2.34</v>
      </c>
      <c r="K12786" t="b">
        <v>1</v>
      </c>
    </row>
    <row r="12787" spans="1:11">
      <c r="A12787" s="12">
        <v>43239</v>
      </c>
      <c r="B12787">
        <v>2018</v>
      </c>
      <c r="C12787">
        <v>5</v>
      </c>
      <c r="D12787" s="11">
        <v>43221</v>
      </c>
      <c r="E12787" t="s">
        <v>2177</v>
      </c>
      <c r="F12787">
        <v>6</v>
      </c>
      <c r="G12787" t="s">
        <v>57</v>
      </c>
      <c r="H12787" t="s">
        <v>41</v>
      </c>
      <c r="I12787" t="s">
        <v>2189</v>
      </c>
      <c r="J12787" s="10">
        <v>2.561</v>
      </c>
      <c r="K12787" t="b">
        <v>1</v>
      </c>
    </row>
    <row r="12788" spans="1:11">
      <c r="A12788" s="12">
        <v>43239</v>
      </c>
      <c r="B12788">
        <v>2018</v>
      </c>
      <c r="C12788">
        <v>5</v>
      </c>
      <c r="D12788" s="11">
        <v>43221</v>
      </c>
      <c r="E12788" t="s">
        <v>2177</v>
      </c>
      <c r="F12788">
        <v>6</v>
      </c>
      <c r="G12788" t="s">
        <v>57</v>
      </c>
      <c r="H12788" t="s">
        <v>42</v>
      </c>
      <c r="I12788" t="s">
        <v>2190</v>
      </c>
      <c r="J12788" s="10">
        <v>1</v>
      </c>
      <c r="K12788" t="b">
        <v>1</v>
      </c>
    </row>
    <row r="12789" spans="1:11">
      <c r="A12789" s="12">
        <v>43239</v>
      </c>
      <c r="B12789">
        <v>2018</v>
      </c>
      <c r="C12789">
        <v>5</v>
      </c>
      <c r="D12789" s="11">
        <v>43221</v>
      </c>
      <c r="E12789" t="s">
        <v>2177</v>
      </c>
      <c r="F12789">
        <v>6</v>
      </c>
      <c r="G12789" t="s">
        <v>57</v>
      </c>
      <c r="H12789" t="s">
        <v>43</v>
      </c>
      <c r="I12789" t="s">
        <v>2191</v>
      </c>
      <c r="J12789" s="10">
        <v>18.4</v>
      </c>
      <c r="K12789" t="b">
        <v>1</v>
      </c>
    </row>
    <row r="12790" spans="1:11">
      <c r="A12790" s="12">
        <v>43239</v>
      </c>
      <c r="B12790">
        <v>2018</v>
      </c>
      <c r="C12790">
        <v>5</v>
      </c>
      <c r="D12790" s="11">
        <v>43221</v>
      </c>
      <c r="E12790" t="s">
        <v>2177</v>
      </c>
      <c r="F12790">
        <v>6</v>
      </c>
      <c r="G12790" t="s">
        <v>57</v>
      </c>
      <c r="H12790" t="s">
        <v>44</v>
      </c>
      <c r="I12790" t="s">
        <v>2192</v>
      </c>
      <c r="J12790" s="10">
        <v>7</v>
      </c>
      <c r="K12790" t="b">
        <v>1</v>
      </c>
    </row>
    <row r="12791" spans="1:11">
      <c r="A12791" s="12">
        <v>43239</v>
      </c>
      <c r="B12791">
        <v>2018</v>
      </c>
      <c r="C12791">
        <v>5</v>
      </c>
      <c r="D12791" s="11">
        <v>43221</v>
      </c>
      <c r="E12791" t="s">
        <v>2177</v>
      </c>
      <c r="F12791">
        <v>6</v>
      </c>
      <c r="G12791" t="s">
        <v>57</v>
      </c>
      <c r="H12791" t="s">
        <v>45</v>
      </c>
      <c r="I12791" t="s">
        <v>2193</v>
      </c>
      <c r="J12791" s="10">
        <v>5</v>
      </c>
      <c r="K12791" t="b">
        <v>1</v>
      </c>
    </row>
    <row r="12792" spans="1:11">
      <c r="A12792" s="12">
        <v>43239</v>
      </c>
      <c r="B12792">
        <v>2018</v>
      </c>
      <c r="C12792">
        <v>5</v>
      </c>
      <c r="D12792" s="11">
        <v>43221</v>
      </c>
      <c r="E12792" t="s">
        <v>2177</v>
      </c>
      <c r="F12792">
        <v>6</v>
      </c>
      <c r="G12792" t="s">
        <v>57</v>
      </c>
      <c r="H12792" t="s">
        <v>46</v>
      </c>
      <c r="I12792" t="s">
        <v>2194</v>
      </c>
      <c r="J12792" s="10">
        <v>0</v>
      </c>
      <c r="K12792" t="b">
        <v>1</v>
      </c>
    </row>
    <row r="12793" spans="1:11">
      <c r="A12793" s="12">
        <v>43239</v>
      </c>
      <c r="B12793">
        <v>2018</v>
      </c>
      <c r="C12793">
        <v>5</v>
      </c>
      <c r="D12793" s="11">
        <v>43221</v>
      </c>
      <c r="E12793" t="s">
        <v>2177</v>
      </c>
      <c r="F12793">
        <v>6</v>
      </c>
      <c r="G12793" t="s">
        <v>57</v>
      </c>
      <c r="H12793" t="s">
        <v>47</v>
      </c>
      <c r="I12793" t="s">
        <v>2195</v>
      </c>
      <c r="J12793" s="10">
        <v>5</v>
      </c>
      <c r="K12793" t="b">
        <v>1</v>
      </c>
    </row>
    <row r="12794" spans="1:11">
      <c r="A12794" s="12">
        <v>43240</v>
      </c>
      <c r="B12794">
        <v>2018</v>
      </c>
      <c r="C12794">
        <v>5</v>
      </c>
      <c r="D12794" s="11">
        <v>43221</v>
      </c>
      <c r="E12794" t="s">
        <v>2177</v>
      </c>
      <c r="F12794">
        <v>7</v>
      </c>
      <c r="G12794" t="s">
        <v>59</v>
      </c>
      <c r="H12794" t="s">
        <v>40</v>
      </c>
      <c r="I12794" t="s">
        <v>2188</v>
      </c>
      <c r="J12794" s="10">
        <v>7</v>
      </c>
      <c r="K12794" t="b">
        <v>1</v>
      </c>
    </row>
    <row r="12795" spans="1:11">
      <c r="A12795" s="12">
        <v>43240</v>
      </c>
      <c r="B12795">
        <v>2018</v>
      </c>
      <c r="C12795">
        <v>5</v>
      </c>
      <c r="D12795" s="11">
        <v>43221</v>
      </c>
      <c r="E12795" t="s">
        <v>2177</v>
      </c>
      <c r="F12795">
        <v>7</v>
      </c>
      <c r="G12795" t="s">
        <v>59</v>
      </c>
      <c r="H12795" t="s">
        <v>41</v>
      </c>
      <c r="I12795" t="s">
        <v>2189</v>
      </c>
      <c r="J12795" s="10">
        <v>8.01</v>
      </c>
      <c r="K12795" t="b">
        <v>1</v>
      </c>
    </row>
    <row r="12796" spans="1:11">
      <c r="A12796" s="12">
        <v>43240</v>
      </c>
      <c r="B12796">
        <v>2018</v>
      </c>
      <c r="C12796">
        <v>5</v>
      </c>
      <c r="D12796" s="11">
        <v>43221</v>
      </c>
      <c r="E12796" t="s">
        <v>2177</v>
      </c>
      <c r="F12796">
        <v>7</v>
      </c>
      <c r="G12796" t="s">
        <v>59</v>
      </c>
      <c r="H12796" t="s">
        <v>42</v>
      </c>
      <c r="I12796" t="s">
        <v>2190</v>
      </c>
      <c r="J12796" s="10">
        <v>1</v>
      </c>
      <c r="K12796" t="b">
        <v>1</v>
      </c>
    </row>
    <row r="12797" spans="1:11">
      <c r="A12797" s="12">
        <v>43240</v>
      </c>
      <c r="B12797">
        <v>2018</v>
      </c>
      <c r="C12797">
        <v>5</v>
      </c>
      <c r="D12797" s="11">
        <v>43221</v>
      </c>
      <c r="E12797" t="s">
        <v>2177</v>
      </c>
      <c r="F12797">
        <v>7</v>
      </c>
      <c r="G12797" t="s">
        <v>59</v>
      </c>
      <c r="H12797" t="s">
        <v>43</v>
      </c>
      <c r="I12797" t="s">
        <v>2191</v>
      </c>
      <c r="J12797" s="10">
        <v>45</v>
      </c>
      <c r="K12797" t="b">
        <v>1</v>
      </c>
    </row>
    <row r="12798" spans="1:11">
      <c r="A12798" s="12">
        <v>43240</v>
      </c>
      <c r="B12798">
        <v>2018</v>
      </c>
      <c r="C12798">
        <v>5</v>
      </c>
      <c r="D12798" s="11">
        <v>43221</v>
      </c>
      <c r="E12798" t="s">
        <v>2177</v>
      </c>
      <c r="F12798">
        <v>7</v>
      </c>
      <c r="G12798" t="s">
        <v>59</v>
      </c>
      <c r="H12798" t="s">
        <v>44</v>
      </c>
      <c r="I12798" t="s">
        <v>2192</v>
      </c>
      <c r="J12798" s="10">
        <v>6</v>
      </c>
      <c r="K12798" t="b">
        <v>1</v>
      </c>
    </row>
    <row r="12799" spans="1:11">
      <c r="A12799" s="12">
        <v>43240</v>
      </c>
      <c r="B12799">
        <v>2018</v>
      </c>
      <c r="C12799">
        <v>5</v>
      </c>
      <c r="D12799" s="11">
        <v>43221</v>
      </c>
      <c r="E12799" t="s">
        <v>2177</v>
      </c>
      <c r="F12799">
        <v>7</v>
      </c>
      <c r="G12799" t="s">
        <v>59</v>
      </c>
      <c r="H12799" t="s">
        <v>45</v>
      </c>
      <c r="I12799" t="s">
        <v>2193</v>
      </c>
      <c r="J12799" s="10">
        <v>1</v>
      </c>
      <c r="K12799" t="b">
        <v>1</v>
      </c>
    </row>
    <row r="12800" spans="1:11">
      <c r="A12800" s="12">
        <v>43240</v>
      </c>
      <c r="B12800">
        <v>2018</v>
      </c>
      <c r="C12800">
        <v>5</v>
      </c>
      <c r="D12800" s="11">
        <v>43221</v>
      </c>
      <c r="E12800" t="s">
        <v>2177</v>
      </c>
      <c r="F12800">
        <v>7</v>
      </c>
      <c r="G12800" t="s">
        <v>59</v>
      </c>
      <c r="H12800" t="s">
        <v>46</v>
      </c>
      <c r="I12800" t="s">
        <v>2194</v>
      </c>
      <c r="J12800" s="10">
        <v>0</v>
      </c>
      <c r="K12800" t="b">
        <v>1</v>
      </c>
    </row>
    <row r="12801" spans="1:11">
      <c r="A12801" s="12">
        <v>43240</v>
      </c>
      <c r="B12801">
        <v>2018</v>
      </c>
      <c r="C12801">
        <v>5</v>
      </c>
      <c r="D12801" s="11">
        <v>43221</v>
      </c>
      <c r="E12801" t="s">
        <v>2177</v>
      </c>
      <c r="F12801">
        <v>7</v>
      </c>
      <c r="G12801" t="s">
        <v>59</v>
      </c>
      <c r="H12801" t="s">
        <v>47</v>
      </c>
      <c r="I12801" t="s">
        <v>2195</v>
      </c>
      <c r="J12801" s="10">
        <v>10</v>
      </c>
      <c r="K12801" t="b">
        <v>1</v>
      </c>
    </row>
    <row r="12802" spans="1:11">
      <c r="A12802" s="12">
        <v>43241</v>
      </c>
      <c r="B12802">
        <v>2018</v>
      </c>
      <c r="C12802">
        <v>5</v>
      </c>
      <c r="D12802" s="11">
        <v>43221</v>
      </c>
      <c r="E12802" t="s">
        <v>2177</v>
      </c>
      <c r="F12802">
        <v>1</v>
      </c>
      <c r="G12802" t="s">
        <v>61</v>
      </c>
      <c r="H12802" t="s">
        <v>40</v>
      </c>
      <c r="I12802" t="s">
        <v>2188</v>
      </c>
      <c r="J12802" s="10">
        <v>12</v>
      </c>
      <c r="K12802" t="b">
        <v>1</v>
      </c>
    </row>
    <row r="12803" spans="1:11">
      <c r="A12803" s="12">
        <v>43241</v>
      </c>
      <c r="B12803">
        <v>2018</v>
      </c>
      <c r="C12803">
        <v>5</v>
      </c>
      <c r="D12803" s="11">
        <v>43221</v>
      </c>
      <c r="E12803" t="s">
        <v>2177</v>
      </c>
      <c r="F12803">
        <v>1</v>
      </c>
      <c r="G12803" t="s">
        <v>61</v>
      </c>
      <c r="H12803" t="s">
        <v>41</v>
      </c>
      <c r="I12803" t="s">
        <v>2189</v>
      </c>
      <c r="J12803" s="10">
        <v>2.759</v>
      </c>
      <c r="K12803" t="b">
        <v>1</v>
      </c>
    </row>
    <row r="12804" spans="1:11">
      <c r="A12804" s="12">
        <v>43241</v>
      </c>
      <c r="B12804">
        <v>2018</v>
      </c>
      <c r="C12804">
        <v>5</v>
      </c>
      <c r="D12804" s="11">
        <v>43221</v>
      </c>
      <c r="E12804" t="s">
        <v>2177</v>
      </c>
      <c r="F12804">
        <v>1</v>
      </c>
      <c r="G12804" t="s">
        <v>61</v>
      </c>
      <c r="H12804" t="s">
        <v>42</v>
      </c>
      <c r="I12804" t="s">
        <v>2190</v>
      </c>
      <c r="J12804" s="10">
        <v>2.15</v>
      </c>
      <c r="K12804" t="b">
        <v>1</v>
      </c>
    </row>
    <row r="12805" spans="1:11">
      <c r="A12805" s="12">
        <v>43241</v>
      </c>
      <c r="B12805">
        <v>2018</v>
      </c>
      <c r="C12805">
        <v>5</v>
      </c>
      <c r="D12805" s="11">
        <v>43221</v>
      </c>
      <c r="E12805" t="s">
        <v>2177</v>
      </c>
      <c r="F12805">
        <v>1</v>
      </c>
      <c r="G12805" t="s">
        <v>61</v>
      </c>
      <c r="H12805" t="s">
        <v>43</v>
      </c>
      <c r="I12805" t="s">
        <v>2191</v>
      </c>
      <c r="J12805" s="10">
        <v>14.6</v>
      </c>
      <c r="K12805" t="b">
        <v>1</v>
      </c>
    </row>
    <row r="12806" spans="1:11">
      <c r="A12806" s="12">
        <v>43241</v>
      </c>
      <c r="B12806">
        <v>2018</v>
      </c>
      <c r="C12806">
        <v>5</v>
      </c>
      <c r="D12806" s="11">
        <v>43221</v>
      </c>
      <c r="E12806" t="s">
        <v>2177</v>
      </c>
      <c r="F12806">
        <v>1</v>
      </c>
      <c r="G12806" t="s">
        <v>61</v>
      </c>
      <c r="H12806" t="s">
        <v>44</v>
      </c>
      <c r="I12806" t="s">
        <v>2192</v>
      </c>
      <c r="J12806" s="10">
        <v>18</v>
      </c>
      <c r="K12806" t="b">
        <v>1</v>
      </c>
    </row>
    <row r="12807" spans="1:11">
      <c r="A12807" s="12">
        <v>43241</v>
      </c>
      <c r="B12807">
        <v>2018</v>
      </c>
      <c r="C12807">
        <v>5</v>
      </c>
      <c r="D12807" s="11">
        <v>43221</v>
      </c>
      <c r="E12807" t="s">
        <v>2177</v>
      </c>
      <c r="F12807">
        <v>1</v>
      </c>
      <c r="G12807" t="s">
        <v>61</v>
      </c>
      <c r="H12807" t="s">
        <v>45</v>
      </c>
      <c r="I12807" t="s">
        <v>2193</v>
      </c>
      <c r="J12807" s="10">
        <v>0</v>
      </c>
      <c r="K12807" t="b">
        <v>1</v>
      </c>
    </row>
    <row r="12808" spans="1:11">
      <c r="A12808" s="12">
        <v>43241</v>
      </c>
      <c r="B12808">
        <v>2018</v>
      </c>
      <c r="C12808">
        <v>5</v>
      </c>
      <c r="D12808" s="11">
        <v>43221</v>
      </c>
      <c r="E12808" t="s">
        <v>2177</v>
      </c>
      <c r="F12808">
        <v>1</v>
      </c>
      <c r="G12808" t="s">
        <v>61</v>
      </c>
      <c r="H12808" t="s">
        <v>46</v>
      </c>
      <c r="I12808" t="s">
        <v>2194</v>
      </c>
      <c r="J12808" s="10">
        <v>11</v>
      </c>
      <c r="K12808" t="b">
        <v>1</v>
      </c>
    </row>
    <row r="12809" spans="1:11">
      <c r="A12809" s="12">
        <v>43241</v>
      </c>
      <c r="B12809">
        <v>2018</v>
      </c>
      <c r="C12809">
        <v>5</v>
      </c>
      <c r="D12809" s="11">
        <v>43221</v>
      </c>
      <c r="E12809" t="s">
        <v>2177</v>
      </c>
      <c r="F12809">
        <v>1</v>
      </c>
      <c r="G12809" t="s">
        <v>61</v>
      </c>
      <c r="H12809" t="s">
        <v>47</v>
      </c>
      <c r="I12809" t="s">
        <v>2195</v>
      </c>
      <c r="J12809" s="10">
        <v>5</v>
      </c>
      <c r="K12809" t="b">
        <v>1</v>
      </c>
    </row>
    <row r="12810" spans="1:11">
      <c r="A12810" s="12">
        <v>43242</v>
      </c>
      <c r="B12810">
        <v>2018</v>
      </c>
      <c r="C12810">
        <v>5</v>
      </c>
      <c r="D12810" s="11">
        <v>43221</v>
      </c>
      <c r="E12810" t="s">
        <v>2177</v>
      </c>
      <c r="F12810">
        <v>2</v>
      </c>
      <c r="G12810" t="s">
        <v>63</v>
      </c>
      <c r="H12810" t="s">
        <v>40</v>
      </c>
      <c r="I12810" t="s">
        <v>2188</v>
      </c>
      <c r="J12810" s="10">
        <v>3.67</v>
      </c>
      <c r="K12810" t="b">
        <v>1</v>
      </c>
    </row>
    <row r="12811" spans="1:11">
      <c r="A12811" s="12">
        <v>43242</v>
      </c>
      <c r="B12811">
        <v>2018</v>
      </c>
      <c r="C12811">
        <v>5</v>
      </c>
      <c r="D12811" s="11">
        <v>43221</v>
      </c>
      <c r="E12811" t="s">
        <v>2177</v>
      </c>
      <c r="F12811">
        <v>2</v>
      </c>
      <c r="G12811" t="s">
        <v>63</v>
      </c>
      <c r="H12811" t="s">
        <v>41</v>
      </c>
      <c r="I12811" t="s">
        <v>2189</v>
      </c>
      <c r="J12811" s="10">
        <v>2.33</v>
      </c>
      <c r="K12811" t="b">
        <v>1</v>
      </c>
    </row>
    <row r="12812" spans="1:11">
      <c r="A12812" s="12">
        <v>43242</v>
      </c>
      <c r="B12812">
        <v>2018</v>
      </c>
      <c r="C12812">
        <v>5</v>
      </c>
      <c r="D12812" s="11">
        <v>43221</v>
      </c>
      <c r="E12812" t="s">
        <v>2177</v>
      </c>
      <c r="F12812">
        <v>2</v>
      </c>
      <c r="G12812" t="s">
        <v>63</v>
      </c>
      <c r="H12812" t="s">
        <v>42</v>
      </c>
      <c r="I12812" t="s">
        <v>2190</v>
      </c>
      <c r="J12812" s="10">
        <v>3</v>
      </c>
      <c r="K12812" t="b">
        <v>1</v>
      </c>
    </row>
    <row r="12813" spans="1:11">
      <c r="A12813" s="12">
        <v>43242</v>
      </c>
      <c r="B12813">
        <v>2018</v>
      </c>
      <c r="C12813">
        <v>5</v>
      </c>
      <c r="D12813" s="11">
        <v>43221</v>
      </c>
      <c r="E12813" t="s">
        <v>2177</v>
      </c>
      <c r="F12813">
        <v>2</v>
      </c>
      <c r="G12813" t="s">
        <v>63</v>
      </c>
      <c r="H12813" t="s">
        <v>43</v>
      </c>
      <c r="I12813" t="s">
        <v>2191</v>
      </c>
      <c r="J12813" s="10">
        <v>8.061999999999999</v>
      </c>
      <c r="K12813" t="b">
        <v>1</v>
      </c>
    </row>
    <row r="12814" spans="1:11">
      <c r="A12814" s="12">
        <v>43242</v>
      </c>
      <c r="B12814">
        <v>2018</v>
      </c>
      <c r="C12814">
        <v>5</v>
      </c>
      <c r="D12814" s="11">
        <v>43221</v>
      </c>
      <c r="E12814" t="s">
        <v>2177</v>
      </c>
      <c r="F12814">
        <v>2</v>
      </c>
      <c r="G12814" t="s">
        <v>63</v>
      </c>
      <c r="H12814" t="s">
        <v>44</v>
      </c>
      <c r="I12814" t="s">
        <v>2192</v>
      </c>
      <c r="J12814" s="10">
        <v>7</v>
      </c>
      <c r="K12814" t="b">
        <v>1</v>
      </c>
    </row>
    <row r="12815" spans="1:11">
      <c r="A12815" s="12">
        <v>43242</v>
      </c>
      <c r="B12815">
        <v>2018</v>
      </c>
      <c r="C12815">
        <v>5</v>
      </c>
      <c r="D12815" s="11">
        <v>43221</v>
      </c>
      <c r="E12815" t="s">
        <v>2177</v>
      </c>
      <c r="F12815">
        <v>2</v>
      </c>
      <c r="G12815" t="s">
        <v>63</v>
      </c>
      <c r="H12815" t="s">
        <v>45</v>
      </c>
      <c r="I12815" t="s">
        <v>2193</v>
      </c>
      <c r="J12815" s="10">
        <v>0</v>
      </c>
      <c r="K12815" t="b">
        <v>1</v>
      </c>
    </row>
    <row r="12816" spans="1:11">
      <c r="A12816" s="12">
        <v>43242</v>
      </c>
      <c r="B12816">
        <v>2018</v>
      </c>
      <c r="C12816">
        <v>5</v>
      </c>
      <c r="D12816" s="11">
        <v>43221</v>
      </c>
      <c r="E12816" t="s">
        <v>2177</v>
      </c>
      <c r="F12816">
        <v>2</v>
      </c>
      <c r="G12816" t="s">
        <v>63</v>
      </c>
      <c r="H12816" t="s">
        <v>46</v>
      </c>
      <c r="I12816" t="s">
        <v>2194</v>
      </c>
      <c r="J12816" s="10">
        <v>6</v>
      </c>
      <c r="K12816" t="b">
        <v>1</v>
      </c>
    </row>
    <row r="12817" spans="1:11">
      <c r="A12817" s="12">
        <v>43242</v>
      </c>
      <c r="B12817">
        <v>2018</v>
      </c>
      <c r="C12817">
        <v>5</v>
      </c>
      <c r="D12817" s="11">
        <v>43221</v>
      </c>
      <c r="E12817" t="s">
        <v>2177</v>
      </c>
      <c r="F12817">
        <v>2</v>
      </c>
      <c r="G12817" t="s">
        <v>63</v>
      </c>
      <c r="H12817" t="s">
        <v>47</v>
      </c>
      <c r="I12817" t="s">
        <v>2195</v>
      </c>
      <c r="J12817" s="10">
        <v>6</v>
      </c>
      <c r="K12817" t="b">
        <v>1</v>
      </c>
    </row>
    <row r="12818" spans="1:11">
      <c r="A12818" s="12">
        <v>43243</v>
      </c>
      <c r="B12818">
        <v>2018</v>
      </c>
      <c r="C12818">
        <v>5</v>
      </c>
      <c r="D12818" s="11">
        <v>43221</v>
      </c>
      <c r="E12818" t="s">
        <v>2177</v>
      </c>
      <c r="F12818">
        <v>3</v>
      </c>
      <c r="G12818" t="s">
        <v>65</v>
      </c>
      <c r="H12818" t="s">
        <v>40</v>
      </c>
      <c r="I12818" t="s">
        <v>2188</v>
      </c>
      <c r="J12818" s="10">
        <v>1.5</v>
      </c>
      <c r="K12818" t="b">
        <v>1</v>
      </c>
    </row>
    <row r="12819" spans="1:11">
      <c r="A12819" s="12">
        <v>43243</v>
      </c>
      <c r="B12819">
        <v>2018</v>
      </c>
      <c r="C12819">
        <v>5</v>
      </c>
      <c r="D12819" s="11">
        <v>43221</v>
      </c>
      <c r="E12819" t="s">
        <v>2177</v>
      </c>
      <c r="F12819">
        <v>3</v>
      </c>
      <c r="G12819" t="s">
        <v>65</v>
      </c>
      <c r="H12819" t="s">
        <v>41</v>
      </c>
      <c r="I12819" t="s">
        <v>2189</v>
      </c>
      <c r="J12819" s="10">
        <v>3.66</v>
      </c>
      <c r="K12819" t="b">
        <v>1</v>
      </c>
    </row>
    <row r="12820" spans="1:11">
      <c r="A12820" s="12">
        <v>43243</v>
      </c>
      <c r="B12820">
        <v>2018</v>
      </c>
      <c r="C12820">
        <v>5</v>
      </c>
      <c r="D12820" s="11">
        <v>43221</v>
      </c>
      <c r="E12820" t="s">
        <v>2177</v>
      </c>
      <c r="F12820">
        <v>3</v>
      </c>
      <c r="G12820" t="s">
        <v>65</v>
      </c>
      <c r="H12820" t="s">
        <v>42</v>
      </c>
      <c r="I12820" t="s">
        <v>2190</v>
      </c>
      <c r="J12820" s="10">
        <v>0</v>
      </c>
      <c r="K12820" t="b">
        <v>1</v>
      </c>
    </row>
    <row r="12821" spans="1:11">
      <c r="A12821" s="12">
        <v>43243</v>
      </c>
      <c r="B12821">
        <v>2018</v>
      </c>
      <c r="C12821">
        <v>5</v>
      </c>
      <c r="D12821" s="11">
        <v>43221</v>
      </c>
      <c r="E12821" t="s">
        <v>2177</v>
      </c>
      <c r="F12821">
        <v>3</v>
      </c>
      <c r="G12821" t="s">
        <v>65</v>
      </c>
      <c r="H12821" t="s">
        <v>43</v>
      </c>
      <c r="I12821" t="s">
        <v>2191</v>
      </c>
      <c r="J12821" s="10">
        <v>11</v>
      </c>
      <c r="K12821" t="b">
        <v>1</v>
      </c>
    </row>
    <row r="12822" spans="1:11">
      <c r="A12822" s="12">
        <v>43243</v>
      </c>
      <c r="B12822">
        <v>2018</v>
      </c>
      <c r="C12822">
        <v>5</v>
      </c>
      <c r="D12822" s="11">
        <v>43221</v>
      </c>
      <c r="E12822" t="s">
        <v>2177</v>
      </c>
      <c r="F12822">
        <v>3</v>
      </c>
      <c r="G12822" t="s">
        <v>65</v>
      </c>
      <c r="H12822" t="s">
        <v>44</v>
      </c>
      <c r="I12822" t="s">
        <v>2192</v>
      </c>
      <c r="J12822" s="10">
        <v>7</v>
      </c>
      <c r="K12822" t="b">
        <v>1</v>
      </c>
    </row>
    <row r="12823" spans="1:11">
      <c r="A12823" s="12">
        <v>43243</v>
      </c>
      <c r="B12823">
        <v>2018</v>
      </c>
      <c r="C12823">
        <v>5</v>
      </c>
      <c r="D12823" s="11">
        <v>43221</v>
      </c>
      <c r="E12823" t="s">
        <v>2177</v>
      </c>
      <c r="F12823">
        <v>3</v>
      </c>
      <c r="G12823" t="s">
        <v>65</v>
      </c>
      <c r="H12823" t="s">
        <v>45</v>
      </c>
      <c r="I12823" t="s">
        <v>2193</v>
      </c>
      <c r="J12823" s="10">
        <v>0</v>
      </c>
      <c r="K12823" t="b">
        <v>1</v>
      </c>
    </row>
    <row r="12824" spans="1:11">
      <c r="A12824" s="12">
        <v>43243</v>
      </c>
      <c r="B12824">
        <v>2018</v>
      </c>
      <c r="C12824">
        <v>5</v>
      </c>
      <c r="D12824" s="11">
        <v>43221</v>
      </c>
      <c r="E12824" t="s">
        <v>2177</v>
      </c>
      <c r="F12824">
        <v>3</v>
      </c>
      <c r="G12824" t="s">
        <v>65</v>
      </c>
      <c r="H12824" t="s">
        <v>46</v>
      </c>
      <c r="I12824" t="s">
        <v>2194</v>
      </c>
      <c r="J12824" s="10">
        <v>0</v>
      </c>
      <c r="K12824" t="b">
        <v>1</v>
      </c>
    </row>
    <row r="12825" spans="1:11">
      <c r="A12825" s="12">
        <v>43243</v>
      </c>
      <c r="B12825">
        <v>2018</v>
      </c>
      <c r="C12825">
        <v>5</v>
      </c>
      <c r="D12825" s="11">
        <v>43221</v>
      </c>
      <c r="E12825" t="s">
        <v>2177</v>
      </c>
      <c r="F12825">
        <v>3</v>
      </c>
      <c r="G12825" t="s">
        <v>65</v>
      </c>
      <c r="H12825" t="s">
        <v>47</v>
      </c>
      <c r="I12825" t="s">
        <v>2195</v>
      </c>
      <c r="J12825" s="10">
        <v>7</v>
      </c>
      <c r="K12825" t="b">
        <v>1</v>
      </c>
    </row>
    <row r="12826" spans="1:11">
      <c r="A12826" s="12">
        <v>43244</v>
      </c>
      <c r="B12826">
        <v>2018</v>
      </c>
      <c r="C12826">
        <v>5</v>
      </c>
      <c r="D12826" s="11">
        <v>43221</v>
      </c>
      <c r="E12826" t="s">
        <v>2177</v>
      </c>
      <c r="F12826">
        <v>4</v>
      </c>
      <c r="G12826" t="s">
        <v>53</v>
      </c>
      <c r="H12826" t="s">
        <v>40</v>
      </c>
      <c r="I12826" t="s">
        <v>2188</v>
      </c>
      <c r="J12826" s="10">
        <v>2</v>
      </c>
      <c r="K12826" t="b">
        <v>1</v>
      </c>
    </row>
    <row r="12827" spans="1:11">
      <c r="A12827" s="12">
        <v>43244</v>
      </c>
      <c r="B12827">
        <v>2018</v>
      </c>
      <c r="C12827">
        <v>5</v>
      </c>
      <c r="D12827" s="11">
        <v>43221</v>
      </c>
      <c r="E12827" t="s">
        <v>2177</v>
      </c>
      <c r="F12827">
        <v>4</v>
      </c>
      <c r="G12827" t="s">
        <v>53</v>
      </c>
      <c r="H12827" t="s">
        <v>41</v>
      </c>
      <c r="I12827" t="s">
        <v>2189</v>
      </c>
      <c r="J12827" s="10">
        <v>1.99</v>
      </c>
      <c r="K12827" t="b">
        <v>1</v>
      </c>
    </row>
    <row r="12828" spans="1:11">
      <c r="A12828" s="12">
        <v>43244</v>
      </c>
      <c r="B12828">
        <v>2018</v>
      </c>
      <c r="C12828">
        <v>5</v>
      </c>
      <c r="D12828" s="11">
        <v>43221</v>
      </c>
      <c r="E12828" t="s">
        <v>2177</v>
      </c>
      <c r="F12828">
        <v>4</v>
      </c>
      <c r="G12828" t="s">
        <v>53</v>
      </c>
      <c r="H12828" t="s">
        <v>42</v>
      </c>
      <c r="I12828" t="s">
        <v>2190</v>
      </c>
      <c r="J12828" s="10">
        <v>5</v>
      </c>
      <c r="K12828" t="b">
        <v>1</v>
      </c>
    </row>
    <row r="12829" spans="1:11">
      <c r="A12829" s="12">
        <v>43244</v>
      </c>
      <c r="B12829">
        <v>2018</v>
      </c>
      <c r="C12829">
        <v>5</v>
      </c>
      <c r="D12829" s="11">
        <v>43221</v>
      </c>
      <c r="E12829" t="s">
        <v>2177</v>
      </c>
      <c r="F12829">
        <v>4</v>
      </c>
      <c r="G12829" t="s">
        <v>53</v>
      </c>
      <c r="H12829" t="s">
        <v>43</v>
      </c>
      <c r="I12829" t="s">
        <v>2191</v>
      </c>
      <c r="J12829" s="10">
        <v>20.2</v>
      </c>
      <c r="K12829" t="b">
        <v>1</v>
      </c>
    </row>
    <row r="12830" spans="1:11">
      <c r="A12830" s="12">
        <v>43244</v>
      </c>
      <c r="B12830">
        <v>2018</v>
      </c>
      <c r="C12830">
        <v>5</v>
      </c>
      <c r="D12830" s="11">
        <v>43221</v>
      </c>
      <c r="E12830" t="s">
        <v>2177</v>
      </c>
      <c r="F12830">
        <v>4</v>
      </c>
      <c r="G12830" t="s">
        <v>53</v>
      </c>
      <c r="H12830" t="s">
        <v>44</v>
      </c>
      <c r="I12830" t="s">
        <v>2192</v>
      </c>
      <c r="J12830" s="10">
        <v>6</v>
      </c>
      <c r="K12830" t="b">
        <v>1</v>
      </c>
    </row>
    <row r="12831" spans="1:11">
      <c r="A12831" s="12">
        <v>43244</v>
      </c>
      <c r="B12831">
        <v>2018</v>
      </c>
      <c r="C12831">
        <v>5</v>
      </c>
      <c r="D12831" s="11">
        <v>43221</v>
      </c>
      <c r="E12831" t="s">
        <v>2177</v>
      </c>
      <c r="F12831">
        <v>4</v>
      </c>
      <c r="G12831" t="s">
        <v>53</v>
      </c>
      <c r="H12831" t="s">
        <v>45</v>
      </c>
      <c r="I12831" t="s">
        <v>2193</v>
      </c>
      <c r="J12831" s="10">
        <v>1</v>
      </c>
      <c r="K12831" t="b">
        <v>1</v>
      </c>
    </row>
    <row r="12832" spans="1:11">
      <c r="A12832" s="12">
        <v>43244</v>
      </c>
      <c r="B12832">
        <v>2018</v>
      </c>
      <c r="C12832">
        <v>5</v>
      </c>
      <c r="D12832" s="11">
        <v>43221</v>
      </c>
      <c r="E12832" t="s">
        <v>2177</v>
      </c>
      <c r="F12832">
        <v>4</v>
      </c>
      <c r="G12832" t="s">
        <v>53</v>
      </c>
      <c r="H12832" t="s">
        <v>46</v>
      </c>
      <c r="I12832" t="s">
        <v>2194</v>
      </c>
      <c r="J12832" s="10">
        <v>10</v>
      </c>
      <c r="K12832" t="b">
        <v>1</v>
      </c>
    </row>
    <row r="12833" spans="1:11">
      <c r="A12833" s="12">
        <v>43244</v>
      </c>
      <c r="B12833">
        <v>2018</v>
      </c>
      <c r="C12833">
        <v>5</v>
      </c>
      <c r="D12833" s="11">
        <v>43221</v>
      </c>
      <c r="E12833" t="s">
        <v>2177</v>
      </c>
      <c r="F12833">
        <v>4</v>
      </c>
      <c r="G12833" t="s">
        <v>53</v>
      </c>
      <c r="H12833" t="s">
        <v>47</v>
      </c>
      <c r="I12833" t="s">
        <v>2195</v>
      </c>
      <c r="J12833" s="10">
        <v>1</v>
      </c>
      <c r="K12833" t="b">
        <v>1</v>
      </c>
    </row>
    <row r="12834" spans="1:11">
      <c r="A12834" s="12">
        <v>43245</v>
      </c>
      <c r="B12834">
        <v>2018</v>
      </c>
      <c r="C12834">
        <v>5</v>
      </c>
      <c r="D12834" s="11">
        <v>43221</v>
      </c>
      <c r="E12834" t="s">
        <v>2177</v>
      </c>
      <c r="F12834">
        <v>5</v>
      </c>
      <c r="G12834" t="s">
        <v>55</v>
      </c>
      <c r="H12834" t="s">
        <v>40</v>
      </c>
      <c r="I12834" t="s">
        <v>2188</v>
      </c>
      <c r="J12834" s="10">
        <v>2.33</v>
      </c>
      <c r="K12834" t="b">
        <v>1</v>
      </c>
    </row>
    <row r="12835" spans="1:11">
      <c r="A12835" s="12">
        <v>43245</v>
      </c>
      <c r="B12835">
        <v>2018</v>
      </c>
      <c r="C12835">
        <v>5</v>
      </c>
      <c r="D12835" s="11">
        <v>43221</v>
      </c>
      <c r="E12835" t="s">
        <v>2177</v>
      </c>
      <c r="F12835">
        <v>5</v>
      </c>
      <c r="G12835" t="s">
        <v>55</v>
      </c>
      <c r="H12835" t="s">
        <v>41</v>
      </c>
      <c r="I12835" t="s">
        <v>2189</v>
      </c>
      <c r="J12835" s="10">
        <v>2.33</v>
      </c>
      <c r="K12835" t="b">
        <v>1</v>
      </c>
    </row>
    <row r="12836" spans="1:11">
      <c r="A12836" s="12">
        <v>43245</v>
      </c>
      <c r="B12836">
        <v>2018</v>
      </c>
      <c r="C12836">
        <v>5</v>
      </c>
      <c r="D12836" s="11">
        <v>43221</v>
      </c>
      <c r="E12836" t="s">
        <v>2177</v>
      </c>
      <c r="F12836">
        <v>5</v>
      </c>
      <c r="G12836" t="s">
        <v>55</v>
      </c>
      <c r="H12836" t="s">
        <v>42</v>
      </c>
      <c r="I12836" t="s">
        <v>2190</v>
      </c>
      <c r="J12836" s="10">
        <v>2</v>
      </c>
      <c r="K12836" t="b">
        <v>1</v>
      </c>
    </row>
    <row r="12837" spans="1:11">
      <c r="A12837" s="12">
        <v>43245</v>
      </c>
      <c r="B12837">
        <v>2018</v>
      </c>
      <c r="C12837">
        <v>5</v>
      </c>
      <c r="D12837" s="11">
        <v>43221</v>
      </c>
      <c r="E12837" t="s">
        <v>2177</v>
      </c>
      <c r="F12837">
        <v>5</v>
      </c>
      <c r="G12837" t="s">
        <v>55</v>
      </c>
      <c r="H12837" t="s">
        <v>43</v>
      </c>
      <c r="I12837" t="s">
        <v>2191</v>
      </c>
      <c r="J12837" s="10">
        <v>16.4</v>
      </c>
      <c r="K12837" t="b">
        <v>1</v>
      </c>
    </row>
    <row r="12838" spans="1:11">
      <c r="A12838" s="12">
        <v>43245</v>
      </c>
      <c r="B12838">
        <v>2018</v>
      </c>
      <c r="C12838">
        <v>5</v>
      </c>
      <c r="D12838" s="11">
        <v>43221</v>
      </c>
      <c r="E12838" t="s">
        <v>2177</v>
      </c>
      <c r="F12838">
        <v>5</v>
      </c>
      <c r="G12838" t="s">
        <v>55</v>
      </c>
      <c r="H12838" t="s">
        <v>44</v>
      </c>
      <c r="I12838" t="s">
        <v>2192</v>
      </c>
      <c r="J12838" s="10">
        <v>9</v>
      </c>
      <c r="K12838" t="b">
        <v>1</v>
      </c>
    </row>
    <row r="12839" spans="1:11">
      <c r="A12839" s="12">
        <v>43245</v>
      </c>
      <c r="B12839">
        <v>2018</v>
      </c>
      <c r="C12839">
        <v>5</v>
      </c>
      <c r="D12839" s="11">
        <v>43221</v>
      </c>
      <c r="E12839" t="s">
        <v>2177</v>
      </c>
      <c r="F12839">
        <v>5</v>
      </c>
      <c r="G12839" t="s">
        <v>55</v>
      </c>
      <c r="H12839" t="s">
        <v>45</v>
      </c>
      <c r="I12839" t="s">
        <v>2193</v>
      </c>
      <c r="J12839" s="10">
        <v>0</v>
      </c>
      <c r="K12839" t="b">
        <v>1</v>
      </c>
    </row>
    <row r="12840" spans="1:11">
      <c r="A12840" s="12">
        <v>43245</v>
      </c>
      <c r="B12840">
        <v>2018</v>
      </c>
      <c r="C12840">
        <v>5</v>
      </c>
      <c r="D12840" s="11">
        <v>43221</v>
      </c>
      <c r="E12840" t="s">
        <v>2177</v>
      </c>
      <c r="F12840">
        <v>5</v>
      </c>
      <c r="G12840" t="s">
        <v>55</v>
      </c>
      <c r="H12840" t="s">
        <v>46</v>
      </c>
      <c r="I12840" t="s">
        <v>2194</v>
      </c>
      <c r="J12840" s="10">
        <v>1</v>
      </c>
      <c r="K12840" t="b">
        <v>1</v>
      </c>
    </row>
    <row r="12841" spans="1:11">
      <c r="A12841" s="12">
        <v>43245</v>
      </c>
      <c r="B12841">
        <v>2018</v>
      </c>
      <c r="C12841">
        <v>5</v>
      </c>
      <c r="D12841" s="11">
        <v>43221</v>
      </c>
      <c r="E12841" t="s">
        <v>2177</v>
      </c>
      <c r="F12841">
        <v>5</v>
      </c>
      <c r="G12841" t="s">
        <v>55</v>
      </c>
      <c r="H12841" t="s">
        <v>47</v>
      </c>
      <c r="I12841" t="s">
        <v>2195</v>
      </c>
      <c r="J12841" s="10">
        <v>2</v>
      </c>
      <c r="K12841" t="b">
        <v>1</v>
      </c>
    </row>
    <row r="12842" spans="1:11">
      <c r="A12842" s="12">
        <v>43246</v>
      </c>
      <c r="B12842">
        <v>2018</v>
      </c>
      <c r="C12842">
        <v>5</v>
      </c>
      <c r="D12842" s="11">
        <v>43221</v>
      </c>
      <c r="E12842" t="s">
        <v>2177</v>
      </c>
      <c r="F12842">
        <v>6</v>
      </c>
      <c r="G12842" t="s">
        <v>57</v>
      </c>
      <c r="H12842" t="s">
        <v>40</v>
      </c>
      <c r="I12842" t="s">
        <v>2188</v>
      </c>
      <c r="J12842" s="10">
        <v>3.33</v>
      </c>
      <c r="K12842" t="b">
        <v>1</v>
      </c>
    </row>
    <row r="12843" spans="1:11">
      <c r="A12843" s="12">
        <v>43246</v>
      </c>
      <c r="B12843">
        <v>2018</v>
      </c>
      <c r="C12843">
        <v>5</v>
      </c>
      <c r="D12843" s="11">
        <v>43221</v>
      </c>
      <c r="E12843" t="s">
        <v>2177</v>
      </c>
      <c r="F12843">
        <v>6</v>
      </c>
      <c r="G12843" t="s">
        <v>57</v>
      </c>
      <c r="H12843" t="s">
        <v>41</v>
      </c>
      <c r="I12843" t="s">
        <v>2189</v>
      </c>
      <c r="J12843" s="10">
        <v>2.759</v>
      </c>
      <c r="K12843" t="b">
        <v>1</v>
      </c>
    </row>
    <row r="12844" spans="1:11">
      <c r="A12844" s="12">
        <v>43246</v>
      </c>
      <c r="B12844">
        <v>2018</v>
      </c>
      <c r="C12844">
        <v>5</v>
      </c>
      <c r="D12844" s="11">
        <v>43221</v>
      </c>
      <c r="E12844" t="s">
        <v>2177</v>
      </c>
      <c r="F12844">
        <v>6</v>
      </c>
      <c r="G12844" t="s">
        <v>57</v>
      </c>
      <c r="H12844" t="s">
        <v>42</v>
      </c>
      <c r="I12844" t="s">
        <v>2190</v>
      </c>
      <c r="J12844" s="10">
        <v>7</v>
      </c>
      <c r="K12844" t="b">
        <v>1</v>
      </c>
    </row>
    <row r="12845" spans="1:11">
      <c r="A12845" s="12">
        <v>43246</v>
      </c>
      <c r="B12845">
        <v>2018</v>
      </c>
      <c r="C12845">
        <v>5</v>
      </c>
      <c r="D12845" s="11">
        <v>43221</v>
      </c>
      <c r="E12845" t="s">
        <v>2177</v>
      </c>
      <c r="F12845">
        <v>6</v>
      </c>
      <c r="G12845" t="s">
        <v>57</v>
      </c>
      <c r="H12845" t="s">
        <v>43</v>
      </c>
      <c r="I12845" t="s">
        <v>2191</v>
      </c>
      <c r="J12845" s="10">
        <v>16.262</v>
      </c>
      <c r="K12845" t="b">
        <v>1</v>
      </c>
    </row>
    <row r="12846" spans="1:11">
      <c r="A12846" s="12">
        <v>43246</v>
      </c>
      <c r="B12846">
        <v>2018</v>
      </c>
      <c r="C12846">
        <v>5</v>
      </c>
      <c r="D12846" s="11">
        <v>43221</v>
      </c>
      <c r="E12846" t="s">
        <v>2177</v>
      </c>
      <c r="F12846">
        <v>6</v>
      </c>
      <c r="G12846" t="s">
        <v>57</v>
      </c>
      <c r="H12846" t="s">
        <v>44</v>
      </c>
      <c r="I12846" t="s">
        <v>2192</v>
      </c>
      <c r="J12846" s="10">
        <v>7</v>
      </c>
      <c r="K12846" t="b">
        <v>1</v>
      </c>
    </row>
    <row r="12847" spans="1:11">
      <c r="A12847" s="12">
        <v>43246</v>
      </c>
      <c r="B12847">
        <v>2018</v>
      </c>
      <c r="C12847">
        <v>5</v>
      </c>
      <c r="D12847" s="11">
        <v>43221</v>
      </c>
      <c r="E12847" t="s">
        <v>2177</v>
      </c>
      <c r="F12847">
        <v>6</v>
      </c>
      <c r="G12847" t="s">
        <v>57</v>
      </c>
      <c r="H12847" t="s">
        <v>45</v>
      </c>
      <c r="I12847" t="s">
        <v>2193</v>
      </c>
      <c r="J12847" s="10">
        <v>0</v>
      </c>
      <c r="K12847" t="b">
        <v>1</v>
      </c>
    </row>
    <row r="12848" spans="1:11">
      <c r="A12848" s="12">
        <v>43246</v>
      </c>
      <c r="B12848">
        <v>2018</v>
      </c>
      <c r="C12848">
        <v>5</v>
      </c>
      <c r="D12848" s="11">
        <v>43221</v>
      </c>
      <c r="E12848" t="s">
        <v>2177</v>
      </c>
      <c r="F12848">
        <v>6</v>
      </c>
      <c r="G12848" t="s">
        <v>57</v>
      </c>
      <c r="H12848" t="s">
        <v>46</v>
      </c>
      <c r="I12848" t="s">
        <v>2194</v>
      </c>
      <c r="J12848" s="10">
        <v>3</v>
      </c>
      <c r="K12848" t="b">
        <v>1</v>
      </c>
    </row>
    <row r="12849" spans="1:11">
      <c r="A12849" s="12">
        <v>43246</v>
      </c>
      <c r="B12849">
        <v>2018</v>
      </c>
      <c r="C12849">
        <v>5</v>
      </c>
      <c r="D12849" s="11">
        <v>43221</v>
      </c>
      <c r="E12849" t="s">
        <v>2177</v>
      </c>
      <c r="F12849">
        <v>6</v>
      </c>
      <c r="G12849" t="s">
        <v>57</v>
      </c>
      <c r="H12849" t="s">
        <v>47</v>
      </c>
      <c r="I12849" t="s">
        <v>2195</v>
      </c>
      <c r="J12849" s="10">
        <v>5</v>
      </c>
      <c r="K12849" t="b">
        <v>1</v>
      </c>
    </row>
    <row r="12850" spans="1:11">
      <c r="A12850" s="12">
        <v>43247</v>
      </c>
      <c r="B12850">
        <v>2018</v>
      </c>
      <c r="C12850">
        <v>5</v>
      </c>
      <c r="D12850" s="11">
        <v>43221</v>
      </c>
      <c r="E12850" t="s">
        <v>2177</v>
      </c>
      <c r="F12850">
        <v>7</v>
      </c>
      <c r="G12850" t="s">
        <v>59</v>
      </c>
      <c r="H12850" t="s">
        <v>40</v>
      </c>
      <c r="I12850" t="s">
        <v>2188</v>
      </c>
      <c r="J12850" s="10">
        <v>6.33</v>
      </c>
      <c r="K12850" t="b">
        <v>1</v>
      </c>
    </row>
    <row r="12851" spans="1:11">
      <c r="A12851" s="12">
        <v>43247</v>
      </c>
      <c r="B12851">
        <v>2018</v>
      </c>
      <c r="C12851">
        <v>5</v>
      </c>
      <c r="D12851" s="11">
        <v>43221</v>
      </c>
      <c r="E12851" t="s">
        <v>2177</v>
      </c>
      <c r="F12851">
        <v>7</v>
      </c>
      <c r="G12851" t="s">
        <v>59</v>
      </c>
      <c r="H12851" t="s">
        <v>41</v>
      </c>
      <c r="I12851" t="s">
        <v>2189</v>
      </c>
      <c r="J12851" s="10">
        <v>4.518</v>
      </c>
      <c r="K12851" t="b">
        <v>1</v>
      </c>
    </row>
    <row r="12852" spans="1:11">
      <c r="A12852" s="12">
        <v>43247</v>
      </c>
      <c r="B12852">
        <v>2018</v>
      </c>
      <c r="C12852">
        <v>5</v>
      </c>
      <c r="D12852" s="11">
        <v>43221</v>
      </c>
      <c r="E12852" t="s">
        <v>2177</v>
      </c>
      <c r="F12852">
        <v>7</v>
      </c>
      <c r="G12852" t="s">
        <v>59</v>
      </c>
      <c r="H12852" t="s">
        <v>42</v>
      </c>
      <c r="I12852" t="s">
        <v>2190</v>
      </c>
      <c r="J12852" s="10">
        <v>5</v>
      </c>
      <c r="K12852" t="b">
        <v>1</v>
      </c>
    </row>
    <row r="12853" spans="1:11">
      <c r="A12853" s="12">
        <v>43247</v>
      </c>
      <c r="B12853">
        <v>2018</v>
      </c>
      <c r="C12853">
        <v>5</v>
      </c>
      <c r="D12853" s="11">
        <v>43221</v>
      </c>
      <c r="E12853" t="s">
        <v>2177</v>
      </c>
      <c r="F12853">
        <v>7</v>
      </c>
      <c r="G12853" t="s">
        <v>59</v>
      </c>
      <c r="H12853" t="s">
        <v>43</v>
      </c>
      <c r="I12853" t="s">
        <v>2191</v>
      </c>
      <c r="J12853" s="10">
        <v>49.262</v>
      </c>
      <c r="K12853" t="b">
        <v>1</v>
      </c>
    </row>
    <row r="12854" spans="1:11">
      <c r="A12854" s="12">
        <v>43247</v>
      </c>
      <c r="B12854">
        <v>2018</v>
      </c>
      <c r="C12854">
        <v>5</v>
      </c>
      <c r="D12854" s="11">
        <v>43221</v>
      </c>
      <c r="E12854" t="s">
        <v>2177</v>
      </c>
      <c r="F12854">
        <v>7</v>
      </c>
      <c r="G12854" t="s">
        <v>59</v>
      </c>
      <c r="H12854" t="s">
        <v>44</v>
      </c>
      <c r="I12854" t="s">
        <v>2192</v>
      </c>
      <c r="J12854" s="10">
        <v>6</v>
      </c>
      <c r="K12854" t="b">
        <v>1</v>
      </c>
    </row>
    <row r="12855" spans="1:11">
      <c r="A12855" s="12">
        <v>43247</v>
      </c>
      <c r="B12855">
        <v>2018</v>
      </c>
      <c r="C12855">
        <v>5</v>
      </c>
      <c r="D12855" s="11">
        <v>43221</v>
      </c>
      <c r="E12855" t="s">
        <v>2177</v>
      </c>
      <c r="F12855">
        <v>7</v>
      </c>
      <c r="G12855" t="s">
        <v>59</v>
      </c>
      <c r="H12855" t="s">
        <v>45</v>
      </c>
      <c r="I12855" t="s">
        <v>2193</v>
      </c>
      <c r="J12855" s="10">
        <v>1</v>
      </c>
      <c r="K12855" t="b">
        <v>1</v>
      </c>
    </row>
    <row r="12856" spans="1:11">
      <c r="A12856" s="12">
        <v>43247</v>
      </c>
      <c r="B12856">
        <v>2018</v>
      </c>
      <c r="C12856">
        <v>5</v>
      </c>
      <c r="D12856" s="11">
        <v>43221</v>
      </c>
      <c r="E12856" t="s">
        <v>2177</v>
      </c>
      <c r="F12856">
        <v>7</v>
      </c>
      <c r="G12856" t="s">
        <v>59</v>
      </c>
      <c r="H12856" t="s">
        <v>46</v>
      </c>
      <c r="I12856" t="s">
        <v>2194</v>
      </c>
      <c r="J12856" s="10">
        <v>0</v>
      </c>
      <c r="K12856" t="b">
        <v>1</v>
      </c>
    </row>
    <row r="12857" spans="1:11">
      <c r="A12857" s="12">
        <v>43247</v>
      </c>
      <c r="B12857">
        <v>2018</v>
      </c>
      <c r="C12857">
        <v>5</v>
      </c>
      <c r="D12857" s="11">
        <v>43221</v>
      </c>
      <c r="E12857" t="s">
        <v>2177</v>
      </c>
      <c r="F12857">
        <v>7</v>
      </c>
      <c r="G12857" t="s">
        <v>59</v>
      </c>
      <c r="H12857" t="s">
        <v>47</v>
      </c>
      <c r="I12857" t="s">
        <v>2195</v>
      </c>
      <c r="J12857" s="10">
        <v>11</v>
      </c>
      <c r="K12857" t="b">
        <v>1</v>
      </c>
    </row>
    <row r="12858" spans="1:11">
      <c r="A12858" s="12">
        <v>43248</v>
      </c>
      <c r="B12858">
        <v>2018</v>
      </c>
      <c r="C12858">
        <v>5</v>
      </c>
      <c r="D12858" s="11">
        <v>43221</v>
      </c>
      <c r="E12858" t="s">
        <v>2177</v>
      </c>
      <c r="F12858">
        <v>1</v>
      </c>
      <c r="G12858" t="s">
        <v>61</v>
      </c>
      <c r="H12858" t="s">
        <v>40</v>
      </c>
      <c r="I12858" t="s">
        <v>2188</v>
      </c>
      <c r="J12858" s="10">
        <v>7</v>
      </c>
      <c r="K12858" t="b">
        <v>1</v>
      </c>
    </row>
    <row r="12859" spans="1:11">
      <c r="A12859" s="12">
        <v>43248</v>
      </c>
      <c r="B12859">
        <v>2018</v>
      </c>
      <c r="C12859">
        <v>5</v>
      </c>
      <c r="D12859" s="11">
        <v>43221</v>
      </c>
      <c r="E12859" t="s">
        <v>2177</v>
      </c>
      <c r="F12859">
        <v>1</v>
      </c>
      <c r="G12859" t="s">
        <v>61</v>
      </c>
      <c r="H12859" t="s">
        <v>41</v>
      </c>
      <c r="I12859" t="s">
        <v>2189</v>
      </c>
      <c r="J12859" s="10">
        <v>3.01</v>
      </c>
      <c r="K12859" t="b">
        <v>1</v>
      </c>
    </row>
    <row r="12860" spans="1:11">
      <c r="A12860" s="12">
        <v>43248</v>
      </c>
      <c r="B12860">
        <v>2018</v>
      </c>
      <c r="C12860">
        <v>5</v>
      </c>
      <c r="D12860" s="11">
        <v>43221</v>
      </c>
      <c r="E12860" t="s">
        <v>2177</v>
      </c>
      <c r="F12860">
        <v>1</v>
      </c>
      <c r="G12860" t="s">
        <v>61</v>
      </c>
      <c r="H12860" t="s">
        <v>42</v>
      </c>
      <c r="I12860" t="s">
        <v>2190</v>
      </c>
      <c r="J12860" s="10">
        <v>1.2</v>
      </c>
      <c r="K12860" t="b">
        <v>1</v>
      </c>
    </row>
    <row r="12861" spans="1:11">
      <c r="A12861" s="12">
        <v>43248</v>
      </c>
      <c r="B12861">
        <v>2018</v>
      </c>
      <c r="C12861">
        <v>5</v>
      </c>
      <c r="D12861" s="11">
        <v>43221</v>
      </c>
      <c r="E12861" t="s">
        <v>2177</v>
      </c>
      <c r="F12861">
        <v>1</v>
      </c>
      <c r="G12861" t="s">
        <v>61</v>
      </c>
      <c r="H12861" t="s">
        <v>43</v>
      </c>
      <c r="I12861" t="s">
        <v>2191</v>
      </c>
      <c r="J12861" s="10">
        <v>19.6</v>
      </c>
      <c r="K12861" t="b">
        <v>1</v>
      </c>
    </row>
    <row r="12862" spans="1:11">
      <c r="A12862" s="12">
        <v>43248</v>
      </c>
      <c r="B12862">
        <v>2018</v>
      </c>
      <c r="C12862">
        <v>5</v>
      </c>
      <c r="D12862" s="11">
        <v>43221</v>
      </c>
      <c r="E12862" t="s">
        <v>2177</v>
      </c>
      <c r="F12862">
        <v>1</v>
      </c>
      <c r="G12862" t="s">
        <v>61</v>
      </c>
      <c r="H12862" t="s">
        <v>44</v>
      </c>
      <c r="I12862" t="s">
        <v>2192</v>
      </c>
      <c r="J12862" s="10">
        <v>7</v>
      </c>
      <c r="K12862" t="b">
        <v>1</v>
      </c>
    </row>
    <row r="12863" spans="1:11">
      <c r="A12863" s="12">
        <v>43248</v>
      </c>
      <c r="B12863">
        <v>2018</v>
      </c>
      <c r="C12863">
        <v>5</v>
      </c>
      <c r="D12863" s="11">
        <v>43221</v>
      </c>
      <c r="E12863" t="s">
        <v>2177</v>
      </c>
      <c r="F12863">
        <v>1</v>
      </c>
      <c r="G12863" t="s">
        <v>61</v>
      </c>
      <c r="H12863" t="s">
        <v>45</v>
      </c>
      <c r="I12863" t="s">
        <v>2193</v>
      </c>
      <c r="J12863" s="10">
        <v>0</v>
      </c>
      <c r="K12863" t="b">
        <v>1</v>
      </c>
    </row>
    <row r="12864" spans="1:11">
      <c r="A12864" s="12">
        <v>43248</v>
      </c>
      <c r="B12864">
        <v>2018</v>
      </c>
      <c r="C12864">
        <v>5</v>
      </c>
      <c r="D12864" s="11">
        <v>43221</v>
      </c>
      <c r="E12864" t="s">
        <v>2177</v>
      </c>
      <c r="F12864">
        <v>1</v>
      </c>
      <c r="G12864" t="s">
        <v>61</v>
      </c>
      <c r="H12864" t="s">
        <v>46</v>
      </c>
      <c r="I12864" t="s">
        <v>2194</v>
      </c>
      <c r="J12864" s="10">
        <v>7</v>
      </c>
      <c r="K12864" t="b">
        <v>1</v>
      </c>
    </row>
    <row r="12865" spans="1:11">
      <c r="A12865" s="12">
        <v>43248</v>
      </c>
      <c r="B12865">
        <v>2018</v>
      </c>
      <c r="C12865">
        <v>5</v>
      </c>
      <c r="D12865" s="11">
        <v>43221</v>
      </c>
      <c r="E12865" t="s">
        <v>2177</v>
      </c>
      <c r="F12865">
        <v>1</v>
      </c>
      <c r="G12865" t="s">
        <v>61</v>
      </c>
      <c r="H12865" t="s">
        <v>47</v>
      </c>
      <c r="I12865" t="s">
        <v>2195</v>
      </c>
      <c r="J12865" s="10">
        <v>6</v>
      </c>
      <c r="K12865" t="b">
        <v>1</v>
      </c>
    </row>
    <row r="12866" spans="1:11">
      <c r="A12866" s="12">
        <v>43249</v>
      </c>
      <c r="B12866">
        <v>2018</v>
      </c>
      <c r="C12866">
        <v>5</v>
      </c>
      <c r="D12866" s="11">
        <v>43221</v>
      </c>
      <c r="E12866" t="s">
        <v>2177</v>
      </c>
      <c r="F12866">
        <v>2</v>
      </c>
      <c r="G12866" t="s">
        <v>63</v>
      </c>
      <c r="H12866" t="s">
        <v>40</v>
      </c>
      <c r="I12866" t="s">
        <v>2188</v>
      </c>
      <c r="J12866" s="10">
        <v>9</v>
      </c>
      <c r="K12866" t="b">
        <v>1</v>
      </c>
    </row>
    <row r="12867" spans="1:11">
      <c r="A12867" s="12">
        <v>43249</v>
      </c>
      <c r="B12867">
        <v>2018</v>
      </c>
      <c r="C12867">
        <v>5</v>
      </c>
      <c r="D12867" s="11">
        <v>43221</v>
      </c>
      <c r="E12867" t="s">
        <v>2177</v>
      </c>
      <c r="F12867">
        <v>2</v>
      </c>
      <c r="G12867" t="s">
        <v>63</v>
      </c>
      <c r="H12867" t="s">
        <v>41</v>
      </c>
      <c r="I12867" t="s">
        <v>2189</v>
      </c>
      <c r="J12867" s="10">
        <v>4.033</v>
      </c>
      <c r="K12867" t="b">
        <v>1</v>
      </c>
    </row>
    <row r="12868" spans="1:11">
      <c r="A12868" s="12">
        <v>43249</v>
      </c>
      <c r="B12868">
        <v>2018</v>
      </c>
      <c r="C12868">
        <v>5</v>
      </c>
      <c r="D12868" s="11">
        <v>43221</v>
      </c>
      <c r="E12868" t="s">
        <v>2177</v>
      </c>
      <c r="F12868">
        <v>2</v>
      </c>
      <c r="G12868" t="s">
        <v>63</v>
      </c>
      <c r="H12868" t="s">
        <v>42</v>
      </c>
      <c r="I12868" t="s">
        <v>2190</v>
      </c>
      <c r="J12868" s="10">
        <v>3.3</v>
      </c>
      <c r="K12868" t="b">
        <v>1</v>
      </c>
    </row>
    <row r="12869" spans="1:11">
      <c r="A12869" s="12">
        <v>43249</v>
      </c>
      <c r="B12869">
        <v>2018</v>
      </c>
      <c r="C12869">
        <v>5</v>
      </c>
      <c r="D12869" s="11">
        <v>43221</v>
      </c>
      <c r="E12869" t="s">
        <v>2177</v>
      </c>
      <c r="F12869">
        <v>2</v>
      </c>
      <c r="G12869" t="s">
        <v>63</v>
      </c>
      <c r="H12869" t="s">
        <v>43</v>
      </c>
      <c r="I12869" t="s">
        <v>2191</v>
      </c>
      <c r="J12869" s="10">
        <v>21.25</v>
      </c>
      <c r="K12869" t="b">
        <v>1</v>
      </c>
    </row>
    <row r="12870" spans="1:11">
      <c r="A12870" s="12">
        <v>43249</v>
      </c>
      <c r="B12870">
        <v>2018</v>
      </c>
      <c r="C12870">
        <v>5</v>
      </c>
      <c r="D12870" s="11">
        <v>43221</v>
      </c>
      <c r="E12870" t="s">
        <v>2177</v>
      </c>
      <c r="F12870">
        <v>2</v>
      </c>
      <c r="G12870" t="s">
        <v>63</v>
      </c>
      <c r="H12870" t="s">
        <v>44</v>
      </c>
      <c r="I12870" t="s">
        <v>2192</v>
      </c>
      <c r="J12870" s="10">
        <v>7</v>
      </c>
      <c r="K12870" t="b">
        <v>1</v>
      </c>
    </row>
    <row r="12871" spans="1:11">
      <c r="A12871" s="12">
        <v>43249</v>
      </c>
      <c r="B12871">
        <v>2018</v>
      </c>
      <c r="C12871">
        <v>5</v>
      </c>
      <c r="D12871" s="11">
        <v>43221</v>
      </c>
      <c r="E12871" t="s">
        <v>2177</v>
      </c>
      <c r="F12871">
        <v>2</v>
      </c>
      <c r="G12871" t="s">
        <v>63</v>
      </c>
      <c r="H12871" t="s">
        <v>45</v>
      </c>
      <c r="I12871" t="s">
        <v>2193</v>
      </c>
      <c r="J12871" s="10">
        <v>0</v>
      </c>
      <c r="K12871" t="b">
        <v>1</v>
      </c>
    </row>
    <row r="12872" spans="1:11">
      <c r="A12872" s="12">
        <v>43249</v>
      </c>
      <c r="B12872">
        <v>2018</v>
      </c>
      <c r="C12872">
        <v>5</v>
      </c>
      <c r="D12872" s="11">
        <v>43221</v>
      </c>
      <c r="E12872" t="s">
        <v>2177</v>
      </c>
      <c r="F12872">
        <v>2</v>
      </c>
      <c r="G12872" t="s">
        <v>63</v>
      </c>
      <c r="H12872" t="s">
        <v>46</v>
      </c>
      <c r="I12872" t="s">
        <v>2194</v>
      </c>
      <c r="J12872" s="10">
        <v>4</v>
      </c>
      <c r="K12872" t="b">
        <v>1</v>
      </c>
    </row>
    <row r="12873" spans="1:11">
      <c r="A12873" s="12">
        <v>43249</v>
      </c>
      <c r="B12873">
        <v>2018</v>
      </c>
      <c r="C12873">
        <v>5</v>
      </c>
      <c r="D12873" s="11">
        <v>43221</v>
      </c>
      <c r="E12873" t="s">
        <v>2177</v>
      </c>
      <c r="F12873">
        <v>2</v>
      </c>
      <c r="G12873" t="s">
        <v>63</v>
      </c>
      <c r="H12873" t="s">
        <v>47</v>
      </c>
      <c r="I12873" t="s">
        <v>2195</v>
      </c>
      <c r="J12873" s="10">
        <v>6</v>
      </c>
      <c r="K12873" t="b">
        <v>1</v>
      </c>
    </row>
    <row r="12874" spans="1:11">
      <c r="A12874" s="12">
        <v>43250</v>
      </c>
      <c r="B12874">
        <v>2018</v>
      </c>
      <c r="C12874">
        <v>5</v>
      </c>
      <c r="D12874" s="11">
        <v>43221</v>
      </c>
      <c r="E12874" t="s">
        <v>2177</v>
      </c>
      <c r="F12874">
        <v>3</v>
      </c>
      <c r="G12874" t="s">
        <v>65</v>
      </c>
      <c r="H12874" t="s">
        <v>40</v>
      </c>
      <c r="I12874" t="s">
        <v>2188</v>
      </c>
      <c r="J12874" s="10">
        <v>4.34</v>
      </c>
      <c r="K12874" t="b">
        <v>1</v>
      </c>
    </row>
    <row r="12875" spans="1:11">
      <c r="A12875" s="12">
        <v>43250</v>
      </c>
      <c r="B12875">
        <v>2018</v>
      </c>
      <c r="C12875">
        <v>5</v>
      </c>
      <c r="D12875" s="11">
        <v>43221</v>
      </c>
      <c r="E12875" t="s">
        <v>2177</v>
      </c>
      <c r="F12875">
        <v>3</v>
      </c>
      <c r="G12875" t="s">
        <v>65</v>
      </c>
      <c r="H12875" t="s">
        <v>41</v>
      </c>
      <c r="I12875" t="s">
        <v>2189</v>
      </c>
      <c r="J12875" s="10">
        <v>1.67</v>
      </c>
      <c r="K12875" t="b">
        <v>1</v>
      </c>
    </row>
    <row r="12876" spans="1:11">
      <c r="A12876" s="12">
        <v>43250</v>
      </c>
      <c r="B12876">
        <v>2018</v>
      </c>
      <c r="C12876">
        <v>5</v>
      </c>
      <c r="D12876" s="11">
        <v>43221</v>
      </c>
      <c r="E12876" t="s">
        <v>2177</v>
      </c>
      <c r="F12876">
        <v>3</v>
      </c>
      <c r="G12876" t="s">
        <v>65</v>
      </c>
      <c r="H12876" t="s">
        <v>42</v>
      </c>
      <c r="I12876" t="s">
        <v>2190</v>
      </c>
      <c r="J12876" s="10">
        <v>2</v>
      </c>
      <c r="K12876" t="b">
        <v>1</v>
      </c>
    </row>
    <row r="12877" spans="1:11">
      <c r="A12877" s="12">
        <v>43250</v>
      </c>
      <c r="B12877">
        <v>2018</v>
      </c>
      <c r="C12877">
        <v>5</v>
      </c>
      <c r="D12877" s="11">
        <v>43221</v>
      </c>
      <c r="E12877" t="s">
        <v>2177</v>
      </c>
      <c r="F12877">
        <v>3</v>
      </c>
      <c r="G12877" t="s">
        <v>65</v>
      </c>
      <c r="H12877" t="s">
        <v>43</v>
      </c>
      <c r="I12877" t="s">
        <v>2191</v>
      </c>
      <c r="J12877" s="10">
        <v>16.4</v>
      </c>
      <c r="K12877" t="b">
        <v>1</v>
      </c>
    </row>
    <row r="12878" spans="1:11">
      <c r="A12878" s="12">
        <v>43250</v>
      </c>
      <c r="B12878">
        <v>2018</v>
      </c>
      <c r="C12878">
        <v>5</v>
      </c>
      <c r="D12878" s="11">
        <v>43221</v>
      </c>
      <c r="E12878" t="s">
        <v>2177</v>
      </c>
      <c r="F12878">
        <v>3</v>
      </c>
      <c r="G12878" t="s">
        <v>65</v>
      </c>
      <c r="H12878" t="s">
        <v>44</v>
      </c>
      <c r="I12878" t="s">
        <v>2192</v>
      </c>
      <c r="J12878" s="10">
        <v>9</v>
      </c>
      <c r="K12878" t="b">
        <v>1</v>
      </c>
    </row>
    <row r="12879" spans="1:11">
      <c r="A12879" s="12">
        <v>43250</v>
      </c>
      <c r="B12879">
        <v>2018</v>
      </c>
      <c r="C12879">
        <v>5</v>
      </c>
      <c r="D12879" s="11">
        <v>43221</v>
      </c>
      <c r="E12879" t="s">
        <v>2177</v>
      </c>
      <c r="F12879">
        <v>3</v>
      </c>
      <c r="G12879" t="s">
        <v>65</v>
      </c>
      <c r="H12879" t="s">
        <v>45</v>
      </c>
      <c r="I12879" t="s">
        <v>2193</v>
      </c>
      <c r="J12879" s="10">
        <v>0</v>
      </c>
      <c r="K12879" t="b">
        <v>1</v>
      </c>
    </row>
    <row r="12880" spans="1:11">
      <c r="A12880" s="12">
        <v>43250</v>
      </c>
      <c r="B12880">
        <v>2018</v>
      </c>
      <c r="C12880">
        <v>5</v>
      </c>
      <c r="D12880" s="11">
        <v>43221</v>
      </c>
      <c r="E12880" t="s">
        <v>2177</v>
      </c>
      <c r="F12880">
        <v>3</v>
      </c>
      <c r="G12880" t="s">
        <v>65</v>
      </c>
      <c r="H12880" t="s">
        <v>46</v>
      </c>
      <c r="I12880" t="s">
        <v>2194</v>
      </c>
      <c r="J12880" s="10">
        <v>14</v>
      </c>
      <c r="K12880" t="b">
        <v>1</v>
      </c>
    </row>
    <row r="12881" spans="1:11">
      <c r="A12881" s="12">
        <v>43250</v>
      </c>
      <c r="B12881">
        <v>2018</v>
      </c>
      <c r="C12881">
        <v>5</v>
      </c>
      <c r="D12881" s="11">
        <v>43221</v>
      </c>
      <c r="E12881" t="s">
        <v>2177</v>
      </c>
      <c r="F12881">
        <v>3</v>
      </c>
      <c r="G12881" t="s">
        <v>65</v>
      </c>
      <c r="H12881" t="s">
        <v>47</v>
      </c>
      <c r="I12881" t="s">
        <v>2195</v>
      </c>
      <c r="J12881" s="10">
        <v>10</v>
      </c>
      <c r="K12881" t="b">
        <v>1</v>
      </c>
    </row>
    <row r="12882" spans="1:11">
      <c r="A12882" s="12">
        <v>43251</v>
      </c>
      <c r="B12882">
        <v>2018</v>
      </c>
      <c r="C12882">
        <v>5</v>
      </c>
      <c r="D12882" s="11">
        <v>43221</v>
      </c>
      <c r="E12882" t="s">
        <v>2177</v>
      </c>
      <c r="F12882">
        <v>4</v>
      </c>
      <c r="G12882" t="s">
        <v>53</v>
      </c>
      <c r="H12882" t="s">
        <v>40</v>
      </c>
      <c r="I12882" t="s">
        <v>2188</v>
      </c>
      <c r="J12882" s="10">
        <v>3.5</v>
      </c>
      <c r="K12882" t="b">
        <v>1</v>
      </c>
    </row>
    <row r="12883" spans="1:11">
      <c r="A12883" s="12">
        <v>43251</v>
      </c>
      <c r="B12883">
        <v>2018</v>
      </c>
      <c r="C12883">
        <v>5</v>
      </c>
      <c r="D12883" s="11">
        <v>43221</v>
      </c>
      <c r="E12883" t="s">
        <v>2177</v>
      </c>
      <c r="F12883">
        <v>4</v>
      </c>
      <c r="G12883" t="s">
        <v>53</v>
      </c>
      <c r="H12883" t="s">
        <v>41</v>
      </c>
      <c r="I12883" t="s">
        <v>2189</v>
      </c>
      <c r="J12883" s="10">
        <v>3.66</v>
      </c>
      <c r="K12883" t="b">
        <v>1</v>
      </c>
    </row>
    <row r="12884" spans="1:11">
      <c r="A12884" s="12">
        <v>43251</v>
      </c>
      <c r="B12884">
        <v>2018</v>
      </c>
      <c r="C12884">
        <v>5</v>
      </c>
      <c r="D12884" s="11">
        <v>43221</v>
      </c>
      <c r="E12884" t="s">
        <v>2177</v>
      </c>
      <c r="F12884">
        <v>4</v>
      </c>
      <c r="G12884" t="s">
        <v>53</v>
      </c>
      <c r="H12884" t="s">
        <v>42</v>
      </c>
      <c r="I12884" t="s">
        <v>2190</v>
      </c>
      <c r="J12884" s="10">
        <v>1.35</v>
      </c>
      <c r="K12884" t="b">
        <v>1</v>
      </c>
    </row>
    <row r="12885" spans="1:11">
      <c r="A12885" s="12">
        <v>43251</v>
      </c>
      <c r="B12885">
        <v>2018</v>
      </c>
      <c r="C12885">
        <v>5</v>
      </c>
      <c r="D12885" s="11">
        <v>43221</v>
      </c>
      <c r="E12885" t="s">
        <v>2177</v>
      </c>
      <c r="F12885">
        <v>4</v>
      </c>
      <c r="G12885" t="s">
        <v>53</v>
      </c>
      <c r="H12885" t="s">
        <v>43</v>
      </c>
      <c r="I12885" t="s">
        <v>2191</v>
      </c>
      <c r="J12885" s="10">
        <v>11.4</v>
      </c>
      <c r="K12885" t="b">
        <v>1</v>
      </c>
    </row>
    <row r="12886" spans="1:11">
      <c r="A12886" s="12">
        <v>43251</v>
      </c>
      <c r="B12886">
        <v>2018</v>
      </c>
      <c r="C12886">
        <v>5</v>
      </c>
      <c r="D12886" s="11">
        <v>43221</v>
      </c>
      <c r="E12886" t="s">
        <v>2177</v>
      </c>
      <c r="F12886">
        <v>4</v>
      </c>
      <c r="G12886" t="s">
        <v>53</v>
      </c>
      <c r="H12886" t="s">
        <v>44</v>
      </c>
      <c r="I12886" t="s">
        <v>2192</v>
      </c>
      <c r="J12886" s="10">
        <v>10</v>
      </c>
      <c r="K12886" t="b">
        <v>1</v>
      </c>
    </row>
    <row r="12887" spans="1:11">
      <c r="A12887" s="12">
        <v>43251</v>
      </c>
      <c r="B12887">
        <v>2018</v>
      </c>
      <c r="C12887">
        <v>5</v>
      </c>
      <c r="D12887" s="11">
        <v>43221</v>
      </c>
      <c r="E12887" t="s">
        <v>2177</v>
      </c>
      <c r="F12887">
        <v>4</v>
      </c>
      <c r="G12887" t="s">
        <v>53</v>
      </c>
      <c r="H12887" t="s">
        <v>45</v>
      </c>
      <c r="I12887" t="s">
        <v>2193</v>
      </c>
      <c r="J12887" s="10">
        <v>0</v>
      </c>
      <c r="K12887" t="b">
        <v>1</v>
      </c>
    </row>
    <row r="12888" spans="1:11">
      <c r="A12888" s="12">
        <v>43251</v>
      </c>
      <c r="B12888">
        <v>2018</v>
      </c>
      <c r="C12888">
        <v>5</v>
      </c>
      <c r="D12888" s="11">
        <v>43221</v>
      </c>
      <c r="E12888" t="s">
        <v>2177</v>
      </c>
      <c r="F12888">
        <v>4</v>
      </c>
      <c r="G12888" t="s">
        <v>53</v>
      </c>
      <c r="H12888" t="s">
        <v>46</v>
      </c>
      <c r="I12888" t="s">
        <v>2194</v>
      </c>
      <c r="J12888" s="10">
        <v>8</v>
      </c>
      <c r="K12888" t="b">
        <v>1</v>
      </c>
    </row>
    <row r="12889" spans="1:11">
      <c r="A12889" s="12">
        <v>43251</v>
      </c>
      <c r="B12889">
        <v>2018</v>
      </c>
      <c r="C12889">
        <v>5</v>
      </c>
      <c r="D12889" s="11">
        <v>43221</v>
      </c>
      <c r="E12889" t="s">
        <v>2177</v>
      </c>
      <c r="F12889">
        <v>4</v>
      </c>
      <c r="G12889" t="s">
        <v>53</v>
      </c>
      <c r="H12889" t="s">
        <v>47</v>
      </c>
      <c r="I12889" t="s">
        <v>2195</v>
      </c>
      <c r="J12889" s="10">
        <v>5.64</v>
      </c>
      <c r="K12889" t="b">
        <v>1</v>
      </c>
    </row>
    <row r="12890" spans="1:11">
      <c r="A12890" s="12">
        <v>43252</v>
      </c>
      <c r="B12890">
        <v>2018</v>
      </c>
      <c r="C12890">
        <v>6</v>
      </c>
      <c r="D12890" s="11">
        <v>43252</v>
      </c>
      <c r="E12890" t="s">
        <v>2178</v>
      </c>
      <c r="F12890">
        <v>5</v>
      </c>
      <c r="G12890" t="s">
        <v>55</v>
      </c>
      <c r="H12890" t="s">
        <v>40</v>
      </c>
      <c r="I12890" t="s">
        <v>2188</v>
      </c>
      <c r="J12890" s="10">
        <v>12.33</v>
      </c>
      <c r="K12890" t="b">
        <v>1</v>
      </c>
    </row>
    <row r="12891" spans="1:11">
      <c r="A12891" s="12">
        <v>43252</v>
      </c>
      <c r="B12891">
        <v>2018</v>
      </c>
      <c r="C12891">
        <v>6</v>
      </c>
      <c r="D12891" s="11">
        <v>43252</v>
      </c>
      <c r="E12891" t="s">
        <v>2178</v>
      </c>
      <c r="F12891">
        <v>5</v>
      </c>
      <c r="G12891" t="s">
        <v>55</v>
      </c>
      <c r="H12891" t="s">
        <v>41</v>
      </c>
      <c r="I12891" t="s">
        <v>2189</v>
      </c>
      <c r="J12891" s="10">
        <v>2.18</v>
      </c>
      <c r="K12891" t="b">
        <v>1</v>
      </c>
    </row>
    <row r="12892" spans="1:11">
      <c r="A12892" s="12">
        <v>43252</v>
      </c>
      <c r="B12892">
        <v>2018</v>
      </c>
      <c r="C12892">
        <v>6</v>
      </c>
      <c r="D12892" s="11">
        <v>43252</v>
      </c>
      <c r="E12892" t="s">
        <v>2178</v>
      </c>
      <c r="F12892">
        <v>5</v>
      </c>
      <c r="G12892" t="s">
        <v>55</v>
      </c>
      <c r="H12892" t="s">
        <v>42</v>
      </c>
      <c r="I12892" t="s">
        <v>2190</v>
      </c>
      <c r="J12892" s="10">
        <v>4</v>
      </c>
      <c r="K12892" t="b">
        <v>1</v>
      </c>
    </row>
    <row r="12893" spans="1:11">
      <c r="A12893" s="12">
        <v>43252</v>
      </c>
      <c r="B12893">
        <v>2018</v>
      </c>
      <c r="C12893">
        <v>6</v>
      </c>
      <c r="D12893" s="11">
        <v>43252</v>
      </c>
      <c r="E12893" t="s">
        <v>2178</v>
      </c>
      <c r="F12893">
        <v>5</v>
      </c>
      <c r="G12893" t="s">
        <v>55</v>
      </c>
      <c r="H12893" t="s">
        <v>43</v>
      </c>
      <c r="I12893" t="s">
        <v>2191</v>
      </c>
      <c r="J12893" s="10">
        <v>29</v>
      </c>
      <c r="K12893" t="b">
        <v>1</v>
      </c>
    </row>
    <row r="12894" spans="1:11">
      <c r="A12894" s="12">
        <v>43252</v>
      </c>
      <c r="B12894">
        <v>2018</v>
      </c>
      <c r="C12894">
        <v>6</v>
      </c>
      <c r="D12894" s="11">
        <v>43252</v>
      </c>
      <c r="E12894" t="s">
        <v>2178</v>
      </c>
      <c r="F12894">
        <v>5</v>
      </c>
      <c r="G12894" t="s">
        <v>55</v>
      </c>
      <c r="H12894" t="s">
        <v>44</v>
      </c>
      <c r="I12894" t="s">
        <v>2192</v>
      </c>
      <c r="J12894" s="10">
        <v>9</v>
      </c>
      <c r="K12894" t="b">
        <v>1</v>
      </c>
    </row>
    <row r="12895" spans="1:11">
      <c r="A12895" s="12">
        <v>43252</v>
      </c>
      <c r="B12895">
        <v>2018</v>
      </c>
      <c r="C12895">
        <v>6</v>
      </c>
      <c r="D12895" s="11">
        <v>43252</v>
      </c>
      <c r="E12895" t="s">
        <v>2178</v>
      </c>
      <c r="F12895">
        <v>5</v>
      </c>
      <c r="G12895" t="s">
        <v>55</v>
      </c>
      <c r="H12895" t="s">
        <v>45</v>
      </c>
      <c r="I12895" t="s">
        <v>2193</v>
      </c>
      <c r="J12895" s="10">
        <v>0</v>
      </c>
      <c r="K12895" t="b">
        <v>1</v>
      </c>
    </row>
    <row r="12896" spans="1:11">
      <c r="A12896" s="12">
        <v>43252</v>
      </c>
      <c r="B12896">
        <v>2018</v>
      </c>
      <c r="C12896">
        <v>6</v>
      </c>
      <c r="D12896" s="11">
        <v>43252</v>
      </c>
      <c r="E12896" t="s">
        <v>2178</v>
      </c>
      <c r="F12896">
        <v>5</v>
      </c>
      <c r="G12896" t="s">
        <v>55</v>
      </c>
      <c r="H12896" t="s">
        <v>46</v>
      </c>
      <c r="I12896" t="s">
        <v>2194</v>
      </c>
      <c r="J12896" s="10">
        <v>5</v>
      </c>
      <c r="K12896" t="b">
        <v>1</v>
      </c>
    </row>
    <row r="12897" spans="1:11">
      <c r="A12897" s="12">
        <v>43252</v>
      </c>
      <c r="B12897">
        <v>2018</v>
      </c>
      <c r="C12897">
        <v>6</v>
      </c>
      <c r="D12897" s="11">
        <v>43252</v>
      </c>
      <c r="E12897" t="s">
        <v>2178</v>
      </c>
      <c r="F12897">
        <v>5</v>
      </c>
      <c r="G12897" t="s">
        <v>55</v>
      </c>
      <c r="H12897" t="s">
        <v>47</v>
      </c>
      <c r="I12897" t="s">
        <v>2195</v>
      </c>
      <c r="J12897" s="10">
        <v>3</v>
      </c>
      <c r="K12897" t="b">
        <v>1</v>
      </c>
    </row>
    <row r="12898" spans="1:11">
      <c r="A12898" s="12">
        <v>43253</v>
      </c>
      <c r="B12898">
        <v>2018</v>
      </c>
      <c r="C12898">
        <v>6</v>
      </c>
      <c r="D12898" s="11">
        <v>43252</v>
      </c>
      <c r="E12898" t="s">
        <v>2178</v>
      </c>
      <c r="F12898">
        <v>6</v>
      </c>
      <c r="G12898" t="s">
        <v>57</v>
      </c>
      <c r="H12898" t="s">
        <v>40</v>
      </c>
      <c r="I12898" t="s">
        <v>2188</v>
      </c>
      <c r="J12898" s="10">
        <v>8</v>
      </c>
      <c r="K12898" t="b">
        <v>1</v>
      </c>
    </row>
    <row r="12899" spans="1:11">
      <c r="A12899" s="12">
        <v>43253</v>
      </c>
      <c r="B12899">
        <v>2018</v>
      </c>
      <c r="C12899">
        <v>6</v>
      </c>
      <c r="D12899" s="11">
        <v>43252</v>
      </c>
      <c r="E12899" t="s">
        <v>2178</v>
      </c>
      <c r="F12899">
        <v>6</v>
      </c>
      <c r="G12899" t="s">
        <v>57</v>
      </c>
      <c r="H12899" t="s">
        <v>41</v>
      </c>
      <c r="I12899" t="s">
        <v>2189</v>
      </c>
      <c r="J12899" s="10">
        <v>3.086</v>
      </c>
      <c r="K12899" t="b">
        <v>1</v>
      </c>
    </row>
    <row r="12900" spans="1:11">
      <c r="A12900" s="12">
        <v>43253</v>
      </c>
      <c r="B12900">
        <v>2018</v>
      </c>
      <c r="C12900">
        <v>6</v>
      </c>
      <c r="D12900" s="11">
        <v>43252</v>
      </c>
      <c r="E12900" t="s">
        <v>2178</v>
      </c>
      <c r="F12900">
        <v>6</v>
      </c>
      <c r="G12900" t="s">
        <v>57</v>
      </c>
      <c r="H12900" t="s">
        <v>42</v>
      </c>
      <c r="I12900" t="s">
        <v>2190</v>
      </c>
      <c r="J12900" s="10">
        <v>4</v>
      </c>
      <c r="K12900" t="b">
        <v>1</v>
      </c>
    </row>
    <row r="12901" spans="1:11">
      <c r="A12901" s="12">
        <v>43253</v>
      </c>
      <c r="B12901">
        <v>2018</v>
      </c>
      <c r="C12901">
        <v>6</v>
      </c>
      <c r="D12901" s="11">
        <v>43252</v>
      </c>
      <c r="E12901" t="s">
        <v>2178</v>
      </c>
      <c r="F12901">
        <v>6</v>
      </c>
      <c r="G12901" t="s">
        <v>57</v>
      </c>
      <c r="H12901" t="s">
        <v>43</v>
      </c>
      <c r="I12901" t="s">
        <v>2191</v>
      </c>
      <c r="J12901" s="10">
        <v>23</v>
      </c>
      <c r="K12901" t="b">
        <v>1</v>
      </c>
    </row>
    <row r="12902" spans="1:11">
      <c r="A12902" s="12">
        <v>43253</v>
      </c>
      <c r="B12902">
        <v>2018</v>
      </c>
      <c r="C12902">
        <v>6</v>
      </c>
      <c r="D12902" s="11">
        <v>43252</v>
      </c>
      <c r="E12902" t="s">
        <v>2178</v>
      </c>
      <c r="F12902">
        <v>6</v>
      </c>
      <c r="G12902" t="s">
        <v>57</v>
      </c>
      <c r="H12902" t="s">
        <v>44</v>
      </c>
      <c r="I12902" t="s">
        <v>2192</v>
      </c>
      <c r="J12902" s="10">
        <v>9</v>
      </c>
      <c r="K12902" t="b">
        <v>1</v>
      </c>
    </row>
    <row r="12903" spans="1:11">
      <c r="A12903" s="12">
        <v>43253</v>
      </c>
      <c r="B12903">
        <v>2018</v>
      </c>
      <c r="C12903">
        <v>6</v>
      </c>
      <c r="D12903" s="11">
        <v>43252</v>
      </c>
      <c r="E12903" t="s">
        <v>2178</v>
      </c>
      <c r="F12903">
        <v>6</v>
      </c>
      <c r="G12903" t="s">
        <v>57</v>
      </c>
      <c r="H12903" t="s">
        <v>45</v>
      </c>
      <c r="I12903" t="s">
        <v>2193</v>
      </c>
      <c r="J12903" s="10">
        <v>3</v>
      </c>
      <c r="K12903" t="b">
        <v>1</v>
      </c>
    </row>
    <row r="12904" spans="1:11">
      <c r="A12904" s="12">
        <v>43253</v>
      </c>
      <c r="B12904">
        <v>2018</v>
      </c>
      <c r="C12904">
        <v>6</v>
      </c>
      <c r="D12904" s="11">
        <v>43252</v>
      </c>
      <c r="E12904" t="s">
        <v>2178</v>
      </c>
      <c r="F12904">
        <v>6</v>
      </c>
      <c r="G12904" t="s">
        <v>57</v>
      </c>
      <c r="H12904" t="s">
        <v>46</v>
      </c>
      <c r="I12904" t="s">
        <v>2194</v>
      </c>
      <c r="J12904" s="10">
        <v>7</v>
      </c>
      <c r="K12904" t="b">
        <v>1</v>
      </c>
    </row>
    <row r="12905" spans="1:11">
      <c r="A12905" s="12">
        <v>43253</v>
      </c>
      <c r="B12905">
        <v>2018</v>
      </c>
      <c r="C12905">
        <v>6</v>
      </c>
      <c r="D12905" s="11">
        <v>43252</v>
      </c>
      <c r="E12905" t="s">
        <v>2178</v>
      </c>
      <c r="F12905">
        <v>6</v>
      </c>
      <c r="G12905" t="s">
        <v>57</v>
      </c>
      <c r="H12905" t="s">
        <v>47</v>
      </c>
      <c r="I12905" t="s">
        <v>2195</v>
      </c>
      <c r="J12905" s="10">
        <v>9</v>
      </c>
      <c r="K12905" t="b">
        <v>1</v>
      </c>
    </row>
    <row r="12906" spans="1:11">
      <c r="A12906" s="12">
        <v>43254</v>
      </c>
      <c r="B12906">
        <v>2018</v>
      </c>
      <c r="C12906">
        <v>6</v>
      </c>
      <c r="D12906" s="11">
        <v>43252</v>
      </c>
      <c r="E12906" t="s">
        <v>2178</v>
      </c>
      <c r="F12906">
        <v>7</v>
      </c>
      <c r="G12906" t="s">
        <v>59</v>
      </c>
      <c r="H12906" t="s">
        <v>40</v>
      </c>
      <c r="I12906" t="s">
        <v>2188</v>
      </c>
      <c r="J12906" s="10">
        <v>5</v>
      </c>
      <c r="K12906" t="b">
        <v>1</v>
      </c>
    </row>
    <row r="12907" spans="1:11">
      <c r="A12907" s="12">
        <v>43254</v>
      </c>
      <c r="B12907">
        <v>2018</v>
      </c>
      <c r="C12907">
        <v>6</v>
      </c>
      <c r="D12907" s="11">
        <v>43252</v>
      </c>
      <c r="E12907" t="s">
        <v>2178</v>
      </c>
      <c r="F12907">
        <v>7</v>
      </c>
      <c r="G12907" t="s">
        <v>59</v>
      </c>
      <c r="H12907" t="s">
        <v>41</v>
      </c>
      <c r="I12907" t="s">
        <v>2189</v>
      </c>
      <c r="J12907" s="10">
        <v>2.746</v>
      </c>
      <c r="K12907" t="b">
        <v>1</v>
      </c>
    </row>
    <row r="12908" spans="1:11">
      <c r="A12908" s="12">
        <v>43254</v>
      </c>
      <c r="B12908">
        <v>2018</v>
      </c>
      <c r="C12908">
        <v>6</v>
      </c>
      <c r="D12908" s="11">
        <v>43252</v>
      </c>
      <c r="E12908" t="s">
        <v>2178</v>
      </c>
      <c r="F12908">
        <v>7</v>
      </c>
      <c r="G12908" t="s">
        <v>59</v>
      </c>
      <c r="H12908" t="s">
        <v>42</v>
      </c>
      <c r="I12908" t="s">
        <v>2190</v>
      </c>
      <c r="J12908" s="10">
        <v>1</v>
      </c>
      <c r="K12908" t="b">
        <v>1</v>
      </c>
    </row>
    <row r="12909" spans="1:11">
      <c r="A12909" s="12">
        <v>43254</v>
      </c>
      <c r="B12909">
        <v>2018</v>
      </c>
      <c r="C12909">
        <v>6</v>
      </c>
      <c r="D12909" s="11">
        <v>43252</v>
      </c>
      <c r="E12909" t="s">
        <v>2178</v>
      </c>
      <c r="F12909">
        <v>7</v>
      </c>
      <c r="G12909" t="s">
        <v>59</v>
      </c>
      <c r="H12909" t="s">
        <v>43</v>
      </c>
      <c r="I12909" t="s">
        <v>2191</v>
      </c>
      <c r="J12909" s="10">
        <v>22.4</v>
      </c>
      <c r="K12909" t="b">
        <v>1</v>
      </c>
    </row>
    <row r="12910" spans="1:11">
      <c r="A12910" s="12">
        <v>43254</v>
      </c>
      <c r="B12910">
        <v>2018</v>
      </c>
      <c r="C12910">
        <v>6</v>
      </c>
      <c r="D12910" s="11">
        <v>43252</v>
      </c>
      <c r="E12910" t="s">
        <v>2178</v>
      </c>
      <c r="F12910">
        <v>7</v>
      </c>
      <c r="G12910" t="s">
        <v>59</v>
      </c>
      <c r="H12910" t="s">
        <v>44</v>
      </c>
      <c r="I12910" t="s">
        <v>2192</v>
      </c>
      <c r="J12910" s="10">
        <v>8</v>
      </c>
      <c r="K12910" t="b">
        <v>1</v>
      </c>
    </row>
    <row r="12911" spans="1:11">
      <c r="A12911" s="12">
        <v>43254</v>
      </c>
      <c r="B12911">
        <v>2018</v>
      </c>
      <c r="C12911">
        <v>6</v>
      </c>
      <c r="D12911" s="11">
        <v>43252</v>
      </c>
      <c r="E12911" t="s">
        <v>2178</v>
      </c>
      <c r="F12911">
        <v>7</v>
      </c>
      <c r="G12911" t="s">
        <v>59</v>
      </c>
      <c r="H12911" t="s">
        <v>45</v>
      </c>
      <c r="I12911" t="s">
        <v>2193</v>
      </c>
      <c r="J12911" s="10">
        <v>1</v>
      </c>
      <c r="K12911" t="b">
        <v>1</v>
      </c>
    </row>
    <row r="12912" spans="1:11">
      <c r="A12912" s="12">
        <v>43254</v>
      </c>
      <c r="B12912">
        <v>2018</v>
      </c>
      <c r="C12912">
        <v>6</v>
      </c>
      <c r="D12912" s="11">
        <v>43252</v>
      </c>
      <c r="E12912" t="s">
        <v>2178</v>
      </c>
      <c r="F12912">
        <v>7</v>
      </c>
      <c r="G12912" t="s">
        <v>59</v>
      </c>
      <c r="H12912" t="s">
        <v>46</v>
      </c>
      <c r="I12912" t="s">
        <v>2194</v>
      </c>
      <c r="J12912" s="10">
        <v>0</v>
      </c>
      <c r="K12912" t="b">
        <v>1</v>
      </c>
    </row>
    <row r="12913" spans="1:11">
      <c r="A12913" s="12">
        <v>43254</v>
      </c>
      <c r="B12913">
        <v>2018</v>
      </c>
      <c r="C12913">
        <v>6</v>
      </c>
      <c r="D12913" s="11">
        <v>43252</v>
      </c>
      <c r="E12913" t="s">
        <v>2178</v>
      </c>
      <c r="F12913">
        <v>7</v>
      </c>
      <c r="G12913" t="s">
        <v>59</v>
      </c>
      <c r="H12913" t="s">
        <v>47</v>
      </c>
      <c r="I12913" t="s">
        <v>2195</v>
      </c>
      <c r="J12913" s="10">
        <v>2</v>
      </c>
      <c r="K12913" t="b">
        <v>1</v>
      </c>
    </row>
    <row r="12914" spans="1:11">
      <c r="A12914" s="12">
        <v>43255</v>
      </c>
      <c r="B12914">
        <v>2018</v>
      </c>
      <c r="C12914">
        <v>6</v>
      </c>
      <c r="D12914" s="11">
        <v>43252</v>
      </c>
      <c r="E12914" t="s">
        <v>2178</v>
      </c>
      <c r="F12914">
        <v>1</v>
      </c>
      <c r="G12914" t="s">
        <v>61</v>
      </c>
      <c r="H12914" t="s">
        <v>40</v>
      </c>
      <c r="I12914" t="s">
        <v>2188</v>
      </c>
      <c r="J12914" s="10">
        <v>3.33</v>
      </c>
      <c r="K12914" t="b">
        <v>1</v>
      </c>
    </row>
    <row r="12915" spans="1:11">
      <c r="A12915" s="12">
        <v>43255</v>
      </c>
      <c r="B12915">
        <v>2018</v>
      </c>
      <c r="C12915">
        <v>6</v>
      </c>
      <c r="D12915" s="11">
        <v>43252</v>
      </c>
      <c r="E12915" t="s">
        <v>2178</v>
      </c>
      <c r="F12915">
        <v>1</v>
      </c>
      <c r="G12915" t="s">
        <v>61</v>
      </c>
      <c r="H12915" t="s">
        <v>41</v>
      </c>
      <c r="I12915" t="s">
        <v>2189</v>
      </c>
      <c r="J12915" s="10">
        <v>3</v>
      </c>
      <c r="K12915" t="b">
        <v>1</v>
      </c>
    </row>
    <row r="12916" spans="1:11">
      <c r="A12916" s="12">
        <v>43255</v>
      </c>
      <c r="B12916">
        <v>2018</v>
      </c>
      <c r="C12916">
        <v>6</v>
      </c>
      <c r="D12916" s="11">
        <v>43252</v>
      </c>
      <c r="E12916" t="s">
        <v>2178</v>
      </c>
      <c r="F12916">
        <v>1</v>
      </c>
      <c r="G12916" t="s">
        <v>61</v>
      </c>
      <c r="H12916" t="s">
        <v>42</v>
      </c>
      <c r="I12916" t="s">
        <v>2190</v>
      </c>
      <c r="J12916" s="10">
        <v>6</v>
      </c>
      <c r="K12916" t="b">
        <v>1</v>
      </c>
    </row>
    <row r="12917" spans="1:11">
      <c r="A12917" s="12">
        <v>43255</v>
      </c>
      <c r="B12917">
        <v>2018</v>
      </c>
      <c r="C12917">
        <v>6</v>
      </c>
      <c r="D12917" s="11">
        <v>43252</v>
      </c>
      <c r="E12917" t="s">
        <v>2178</v>
      </c>
      <c r="F12917">
        <v>1</v>
      </c>
      <c r="G12917" t="s">
        <v>61</v>
      </c>
      <c r="H12917" t="s">
        <v>43</v>
      </c>
      <c r="I12917" t="s">
        <v>2191</v>
      </c>
      <c r="J12917" s="10">
        <v>19</v>
      </c>
      <c r="K12917" t="b">
        <v>1</v>
      </c>
    </row>
    <row r="12918" spans="1:11">
      <c r="A12918" s="12">
        <v>43255</v>
      </c>
      <c r="B12918">
        <v>2018</v>
      </c>
      <c r="C12918">
        <v>6</v>
      </c>
      <c r="D12918" s="11">
        <v>43252</v>
      </c>
      <c r="E12918" t="s">
        <v>2178</v>
      </c>
      <c r="F12918">
        <v>1</v>
      </c>
      <c r="G12918" t="s">
        <v>61</v>
      </c>
      <c r="H12918" t="s">
        <v>44</v>
      </c>
      <c r="I12918" t="s">
        <v>2192</v>
      </c>
      <c r="J12918" s="10">
        <v>3</v>
      </c>
      <c r="K12918" t="b">
        <v>1</v>
      </c>
    </row>
    <row r="12919" spans="1:11">
      <c r="A12919" s="12">
        <v>43255</v>
      </c>
      <c r="B12919">
        <v>2018</v>
      </c>
      <c r="C12919">
        <v>6</v>
      </c>
      <c r="D12919" s="11">
        <v>43252</v>
      </c>
      <c r="E12919" t="s">
        <v>2178</v>
      </c>
      <c r="F12919">
        <v>1</v>
      </c>
      <c r="G12919" t="s">
        <v>61</v>
      </c>
      <c r="H12919" t="s">
        <v>45</v>
      </c>
      <c r="I12919" t="s">
        <v>2193</v>
      </c>
      <c r="J12919" s="10">
        <v>0</v>
      </c>
      <c r="K12919" t="b">
        <v>1</v>
      </c>
    </row>
    <row r="12920" spans="1:11">
      <c r="A12920" s="12">
        <v>43255</v>
      </c>
      <c r="B12920">
        <v>2018</v>
      </c>
      <c r="C12920">
        <v>6</v>
      </c>
      <c r="D12920" s="11">
        <v>43252</v>
      </c>
      <c r="E12920" t="s">
        <v>2178</v>
      </c>
      <c r="F12920">
        <v>1</v>
      </c>
      <c r="G12920" t="s">
        <v>61</v>
      </c>
      <c r="H12920" t="s">
        <v>46</v>
      </c>
      <c r="I12920" t="s">
        <v>2194</v>
      </c>
      <c r="J12920" s="10">
        <v>6</v>
      </c>
      <c r="K12920" t="b">
        <v>1</v>
      </c>
    </row>
    <row r="12921" spans="1:11">
      <c r="A12921" s="12">
        <v>43255</v>
      </c>
      <c r="B12921">
        <v>2018</v>
      </c>
      <c r="C12921">
        <v>6</v>
      </c>
      <c r="D12921" s="11">
        <v>43252</v>
      </c>
      <c r="E12921" t="s">
        <v>2178</v>
      </c>
      <c r="F12921">
        <v>1</v>
      </c>
      <c r="G12921" t="s">
        <v>61</v>
      </c>
      <c r="H12921" t="s">
        <v>47</v>
      </c>
      <c r="I12921" t="s">
        <v>2195</v>
      </c>
      <c r="J12921" s="10">
        <v>6</v>
      </c>
      <c r="K12921" t="b">
        <v>1</v>
      </c>
    </row>
    <row r="12922" spans="1:11">
      <c r="A12922" s="12">
        <v>43256</v>
      </c>
      <c r="B12922">
        <v>2018</v>
      </c>
      <c r="C12922">
        <v>6</v>
      </c>
      <c r="D12922" s="11">
        <v>43252</v>
      </c>
      <c r="E12922" t="s">
        <v>2178</v>
      </c>
      <c r="F12922">
        <v>2</v>
      </c>
      <c r="G12922" t="s">
        <v>63</v>
      </c>
      <c r="H12922" t="s">
        <v>40</v>
      </c>
      <c r="I12922" t="s">
        <v>2188</v>
      </c>
      <c r="J12922" s="10">
        <v>4.33</v>
      </c>
      <c r="K12922" t="b">
        <v>1</v>
      </c>
    </row>
    <row r="12923" spans="1:11">
      <c r="A12923" s="12">
        <v>43256</v>
      </c>
      <c r="B12923">
        <v>2018</v>
      </c>
      <c r="C12923">
        <v>6</v>
      </c>
      <c r="D12923" s="11">
        <v>43252</v>
      </c>
      <c r="E12923" t="s">
        <v>2178</v>
      </c>
      <c r="F12923">
        <v>2</v>
      </c>
      <c r="G12923" t="s">
        <v>63</v>
      </c>
      <c r="H12923" t="s">
        <v>41</v>
      </c>
      <c r="I12923" t="s">
        <v>2189</v>
      </c>
      <c r="J12923" s="10">
        <v>3.67</v>
      </c>
      <c r="K12923" t="b">
        <v>1</v>
      </c>
    </row>
    <row r="12924" spans="1:11">
      <c r="A12924" s="12">
        <v>43256</v>
      </c>
      <c r="B12924">
        <v>2018</v>
      </c>
      <c r="C12924">
        <v>6</v>
      </c>
      <c r="D12924" s="11">
        <v>43252</v>
      </c>
      <c r="E12924" t="s">
        <v>2178</v>
      </c>
      <c r="F12924">
        <v>2</v>
      </c>
      <c r="G12924" t="s">
        <v>63</v>
      </c>
      <c r="H12924" t="s">
        <v>42</v>
      </c>
      <c r="I12924" t="s">
        <v>2190</v>
      </c>
      <c r="J12924" s="10">
        <v>1.05</v>
      </c>
      <c r="K12924" t="b">
        <v>1</v>
      </c>
    </row>
    <row r="12925" spans="1:11">
      <c r="A12925" s="12">
        <v>43256</v>
      </c>
      <c r="B12925">
        <v>2018</v>
      </c>
      <c r="C12925">
        <v>6</v>
      </c>
      <c r="D12925" s="11">
        <v>43252</v>
      </c>
      <c r="E12925" t="s">
        <v>2178</v>
      </c>
      <c r="F12925">
        <v>2</v>
      </c>
      <c r="G12925" t="s">
        <v>63</v>
      </c>
      <c r="H12925" t="s">
        <v>43</v>
      </c>
      <c r="I12925" t="s">
        <v>2191</v>
      </c>
      <c r="J12925" s="10">
        <v>20</v>
      </c>
      <c r="K12925" t="b">
        <v>1</v>
      </c>
    </row>
    <row r="12926" spans="1:11">
      <c r="A12926" s="12">
        <v>43256</v>
      </c>
      <c r="B12926">
        <v>2018</v>
      </c>
      <c r="C12926">
        <v>6</v>
      </c>
      <c r="D12926" s="11">
        <v>43252</v>
      </c>
      <c r="E12926" t="s">
        <v>2178</v>
      </c>
      <c r="F12926">
        <v>2</v>
      </c>
      <c r="G12926" t="s">
        <v>63</v>
      </c>
      <c r="H12926" t="s">
        <v>44</v>
      </c>
      <c r="I12926" t="s">
        <v>2192</v>
      </c>
      <c r="J12926" s="10">
        <v>7</v>
      </c>
      <c r="K12926" t="b">
        <v>1</v>
      </c>
    </row>
    <row r="12927" spans="1:11">
      <c r="A12927" s="12">
        <v>43256</v>
      </c>
      <c r="B12927">
        <v>2018</v>
      </c>
      <c r="C12927">
        <v>6</v>
      </c>
      <c r="D12927" s="11">
        <v>43252</v>
      </c>
      <c r="E12927" t="s">
        <v>2178</v>
      </c>
      <c r="F12927">
        <v>2</v>
      </c>
      <c r="G12927" t="s">
        <v>63</v>
      </c>
      <c r="H12927" t="s">
        <v>45</v>
      </c>
      <c r="I12927" t="s">
        <v>2193</v>
      </c>
      <c r="J12927" s="10">
        <v>2</v>
      </c>
      <c r="K12927" t="b">
        <v>1</v>
      </c>
    </row>
    <row r="12928" spans="1:11">
      <c r="A12928" s="12">
        <v>43256</v>
      </c>
      <c r="B12928">
        <v>2018</v>
      </c>
      <c r="C12928">
        <v>6</v>
      </c>
      <c r="D12928" s="11">
        <v>43252</v>
      </c>
      <c r="E12928" t="s">
        <v>2178</v>
      </c>
      <c r="F12928">
        <v>2</v>
      </c>
      <c r="G12928" t="s">
        <v>63</v>
      </c>
      <c r="H12928" t="s">
        <v>46</v>
      </c>
      <c r="I12928" t="s">
        <v>2194</v>
      </c>
      <c r="J12928" s="10">
        <v>0</v>
      </c>
      <c r="K12928" t="b">
        <v>1</v>
      </c>
    </row>
    <row r="12929" spans="1:11">
      <c r="A12929" s="12">
        <v>43256</v>
      </c>
      <c r="B12929">
        <v>2018</v>
      </c>
      <c r="C12929">
        <v>6</v>
      </c>
      <c r="D12929" s="11">
        <v>43252</v>
      </c>
      <c r="E12929" t="s">
        <v>2178</v>
      </c>
      <c r="F12929">
        <v>2</v>
      </c>
      <c r="G12929" t="s">
        <v>63</v>
      </c>
      <c r="H12929" t="s">
        <v>47</v>
      </c>
      <c r="I12929" t="s">
        <v>2195</v>
      </c>
      <c r="J12929" s="10">
        <v>7</v>
      </c>
      <c r="K12929" t="b">
        <v>1</v>
      </c>
    </row>
    <row r="12930" spans="1:11">
      <c r="A12930" s="12">
        <v>43257</v>
      </c>
      <c r="B12930">
        <v>2018</v>
      </c>
      <c r="C12930">
        <v>6</v>
      </c>
      <c r="D12930" s="11">
        <v>43252</v>
      </c>
      <c r="E12930" t="s">
        <v>2178</v>
      </c>
      <c r="F12930">
        <v>3</v>
      </c>
      <c r="G12930" t="s">
        <v>65</v>
      </c>
      <c r="H12930" t="s">
        <v>40</v>
      </c>
      <c r="I12930" t="s">
        <v>2188</v>
      </c>
      <c r="J12930" s="10">
        <v>6</v>
      </c>
      <c r="K12930" t="b">
        <v>1</v>
      </c>
    </row>
    <row r="12931" spans="1:11">
      <c r="A12931" s="12">
        <v>43257</v>
      </c>
      <c r="B12931">
        <v>2018</v>
      </c>
      <c r="C12931">
        <v>6</v>
      </c>
      <c r="D12931" s="11">
        <v>43252</v>
      </c>
      <c r="E12931" t="s">
        <v>2178</v>
      </c>
      <c r="F12931">
        <v>3</v>
      </c>
      <c r="G12931" t="s">
        <v>65</v>
      </c>
      <c r="H12931" t="s">
        <v>41</v>
      </c>
      <c r="I12931" t="s">
        <v>2189</v>
      </c>
      <c r="J12931" s="10">
        <v>2.34</v>
      </c>
      <c r="K12931" t="b">
        <v>1</v>
      </c>
    </row>
    <row r="12932" spans="1:11">
      <c r="A12932" s="12">
        <v>43257</v>
      </c>
      <c r="B12932">
        <v>2018</v>
      </c>
      <c r="C12932">
        <v>6</v>
      </c>
      <c r="D12932" s="11">
        <v>43252</v>
      </c>
      <c r="E12932" t="s">
        <v>2178</v>
      </c>
      <c r="F12932">
        <v>3</v>
      </c>
      <c r="G12932" t="s">
        <v>65</v>
      </c>
      <c r="H12932" t="s">
        <v>42</v>
      </c>
      <c r="I12932" t="s">
        <v>2190</v>
      </c>
      <c r="J12932" s="10">
        <v>0.15</v>
      </c>
      <c r="K12932" t="b">
        <v>1</v>
      </c>
    </row>
    <row r="12933" spans="1:11">
      <c r="A12933" s="12">
        <v>43257</v>
      </c>
      <c r="B12933">
        <v>2018</v>
      </c>
      <c r="C12933">
        <v>6</v>
      </c>
      <c r="D12933" s="11">
        <v>43252</v>
      </c>
      <c r="E12933" t="s">
        <v>2178</v>
      </c>
      <c r="F12933">
        <v>3</v>
      </c>
      <c r="G12933" t="s">
        <v>65</v>
      </c>
      <c r="H12933" t="s">
        <v>43</v>
      </c>
      <c r="I12933" t="s">
        <v>2191</v>
      </c>
      <c r="J12933" s="10">
        <v>17.25</v>
      </c>
      <c r="K12933" t="b">
        <v>1</v>
      </c>
    </row>
    <row r="12934" spans="1:11">
      <c r="A12934" s="12">
        <v>43257</v>
      </c>
      <c r="B12934">
        <v>2018</v>
      </c>
      <c r="C12934">
        <v>6</v>
      </c>
      <c r="D12934" s="11">
        <v>43252</v>
      </c>
      <c r="E12934" t="s">
        <v>2178</v>
      </c>
      <c r="F12934">
        <v>3</v>
      </c>
      <c r="G12934" t="s">
        <v>65</v>
      </c>
      <c r="H12934" t="s">
        <v>44</v>
      </c>
      <c r="I12934" t="s">
        <v>2192</v>
      </c>
      <c r="J12934" s="10">
        <v>16</v>
      </c>
      <c r="K12934" t="b">
        <v>1</v>
      </c>
    </row>
    <row r="12935" spans="1:11">
      <c r="A12935" s="12">
        <v>43257</v>
      </c>
      <c r="B12935">
        <v>2018</v>
      </c>
      <c r="C12935">
        <v>6</v>
      </c>
      <c r="D12935" s="11">
        <v>43252</v>
      </c>
      <c r="E12935" t="s">
        <v>2178</v>
      </c>
      <c r="F12935">
        <v>3</v>
      </c>
      <c r="G12935" t="s">
        <v>65</v>
      </c>
      <c r="H12935" t="s">
        <v>45</v>
      </c>
      <c r="I12935" t="s">
        <v>2193</v>
      </c>
      <c r="J12935" s="10">
        <v>3</v>
      </c>
      <c r="K12935" t="b">
        <v>1</v>
      </c>
    </row>
    <row r="12936" spans="1:11">
      <c r="A12936" s="12">
        <v>43257</v>
      </c>
      <c r="B12936">
        <v>2018</v>
      </c>
      <c r="C12936">
        <v>6</v>
      </c>
      <c r="D12936" s="11">
        <v>43252</v>
      </c>
      <c r="E12936" t="s">
        <v>2178</v>
      </c>
      <c r="F12936">
        <v>3</v>
      </c>
      <c r="G12936" t="s">
        <v>65</v>
      </c>
      <c r="H12936" t="s">
        <v>46</v>
      </c>
      <c r="I12936" t="s">
        <v>2194</v>
      </c>
      <c r="J12936" s="10">
        <v>0</v>
      </c>
      <c r="K12936" t="b">
        <v>1</v>
      </c>
    </row>
    <row r="12937" spans="1:11">
      <c r="A12937" s="12">
        <v>43257</v>
      </c>
      <c r="B12937">
        <v>2018</v>
      </c>
      <c r="C12937">
        <v>6</v>
      </c>
      <c r="D12937" s="11">
        <v>43252</v>
      </c>
      <c r="E12937" t="s">
        <v>2178</v>
      </c>
      <c r="F12937">
        <v>3</v>
      </c>
      <c r="G12937" t="s">
        <v>65</v>
      </c>
      <c r="H12937" t="s">
        <v>47</v>
      </c>
      <c r="I12937" t="s">
        <v>2195</v>
      </c>
      <c r="J12937" s="10">
        <v>2</v>
      </c>
      <c r="K12937" t="b">
        <v>1</v>
      </c>
    </row>
    <row r="12938" spans="1:11">
      <c r="A12938" s="12">
        <v>43258</v>
      </c>
      <c r="B12938">
        <v>2018</v>
      </c>
      <c r="C12938">
        <v>6</v>
      </c>
      <c r="D12938" s="11">
        <v>43252</v>
      </c>
      <c r="E12938" t="s">
        <v>2178</v>
      </c>
      <c r="F12938">
        <v>4</v>
      </c>
      <c r="G12938" t="s">
        <v>53</v>
      </c>
      <c r="H12938" t="s">
        <v>40</v>
      </c>
      <c r="I12938" t="s">
        <v>2188</v>
      </c>
      <c r="J12938" s="10">
        <v>2</v>
      </c>
      <c r="K12938" t="b">
        <v>1</v>
      </c>
    </row>
    <row r="12939" spans="1:11">
      <c r="A12939" s="12">
        <v>43258</v>
      </c>
      <c r="B12939">
        <v>2018</v>
      </c>
      <c r="C12939">
        <v>6</v>
      </c>
      <c r="D12939" s="11">
        <v>43252</v>
      </c>
      <c r="E12939" t="s">
        <v>2178</v>
      </c>
      <c r="F12939">
        <v>4</v>
      </c>
      <c r="G12939" t="s">
        <v>53</v>
      </c>
      <c r="H12939" t="s">
        <v>41</v>
      </c>
      <c r="I12939" t="s">
        <v>2189</v>
      </c>
      <c r="J12939" s="10">
        <v>4.528</v>
      </c>
      <c r="K12939" t="b">
        <v>1</v>
      </c>
    </row>
    <row r="12940" spans="1:11">
      <c r="A12940" s="12">
        <v>43258</v>
      </c>
      <c r="B12940">
        <v>2018</v>
      </c>
      <c r="C12940">
        <v>6</v>
      </c>
      <c r="D12940" s="11">
        <v>43252</v>
      </c>
      <c r="E12940" t="s">
        <v>2178</v>
      </c>
      <c r="F12940">
        <v>4</v>
      </c>
      <c r="G12940" t="s">
        <v>53</v>
      </c>
      <c r="H12940" t="s">
        <v>42</v>
      </c>
      <c r="I12940" t="s">
        <v>2190</v>
      </c>
      <c r="J12940" s="10">
        <v>0.25</v>
      </c>
      <c r="K12940" t="b">
        <v>1</v>
      </c>
    </row>
    <row r="12941" spans="1:11">
      <c r="A12941" s="12">
        <v>43258</v>
      </c>
      <c r="B12941">
        <v>2018</v>
      </c>
      <c r="C12941">
        <v>6</v>
      </c>
      <c r="D12941" s="11">
        <v>43252</v>
      </c>
      <c r="E12941" t="s">
        <v>2178</v>
      </c>
      <c r="F12941">
        <v>4</v>
      </c>
      <c r="G12941" t="s">
        <v>53</v>
      </c>
      <c r="H12941" t="s">
        <v>43</v>
      </c>
      <c r="I12941" t="s">
        <v>2191</v>
      </c>
      <c r="J12941" s="10">
        <v>19</v>
      </c>
      <c r="K12941" t="b">
        <v>1</v>
      </c>
    </row>
    <row r="12942" spans="1:11">
      <c r="A12942" s="12">
        <v>43258</v>
      </c>
      <c r="B12942">
        <v>2018</v>
      </c>
      <c r="C12942">
        <v>6</v>
      </c>
      <c r="D12942" s="11">
        <v>43252</v>
      </c>
      <c r="E12942" t="s">
        <v>2178</v>
      </c>
      <c r="F12942">
        <v>4</v>
      </c>
      <c r="G12942" t="s">
        <v>53</v>
      </c>
      <c r="H12942" t="s">
        <v>44</v>
      </c>
      <c r="I12942" t="s">
        <v>2192</v>
      </c>
      <c r="J12942" s="10">
        <v>11</v>
      </c>
      <c r="K12942" t="b">
        <v>1</v>
      </c>
    </row>
    <row r="12943" spans="1:11">
      <c r="A12943" s="12">
        <v>43258</v>
      </c>
      <c r="B12943">
        <v>2018</v>
      </c>
      <c r="C12943">
        <v>6</v>
      </c>
      <c r="D12943" s="11">
        <v>43252</v>
      </c>
      <c r="E12943" t="s">
        <v>2178</v>
      </c>
      <c r="F12943">
        <v>4</v>
      </c>
      <c r="G12943" t="s">
        <v>53</v>
      </c>
      <c r="H12943" t="s">
        <v>45</v>
      </c>
      <c r="I12943" t="s">
        <v>2193</v>
      </c>
      <c r="J12943" s="10">
        <v>1</v>
      </c>
      <c r="K12943" t="b">
        <v>1</v>
      </c>
    </row>
    <row r="12944" spans="1:11">
      <c r="A12944" s="12">
        <v>43258</v>
      </c>
      <c r="B12944">
        <v>2018</v>
      </c>
      <c r="C12944">
        <v>6</v>
      </c>
      <c r="D12944" s="11">
        <v>43252</v>
      </c>
      <c r="E12944" t="s">
        <v>2178</v>
      </c>
      <c r="F12944">
        <v>4</v>
      </c>
      <c r="G12944" t="s">
        <v>53</v>
      </c>
      <c r="H12944" t="s">
        <v>46</v>
      </c>
      <c r="I12944" t="s">
        <v>2194</v>
      </c>
      <c r="J12944" s="10">
        <v>10</v>
      </c>
      <c r="K12944" t="b">
        <v>1</v>
      </c>
    </row>
    <row r="12945" spans="1:11">
      <c r="A12945" s="12">
        <v>43258</v>
      </c>
      <c r="B12945">
        <v>2018</v>
      </c>
      <c r="C12945">
        <v>6</v>
      </c>
      <c r="D12945" s="11">
        <v>43252</v>
      </c>
      <c r="E12945" t="s">
        <v>2178</v>
      </c>
      <c r="F12945">
        <v>4</v>
      </c>
      <c r="G12945" t="s">
        <v>53</v>
      </c>
      <c r="H12945" t="s">
        <v>47</v>
      </c>
      <c r="I12945" t="s">
        <v>2195</v>
      </c>
      <c r="J12945" s="10">
        <v>2</v>
      </c>
      <c r="K12945" t="b">
        <v>1</v>
      </c>
    </row>
    <row r="12946" spans="1:11">
      <c r="A12946" s="12">
        <v>43259</v>
      </c>
      <c r="B12946">
        <v>2018</v>
      </c>
      <c r="C12946">
        <v>6</v>
      </c>
      <c r="D12946" s="11">
        <v>43252</v>
      </c>
      <c r="E12946" t="s">
        <v>2178</v>
      </c>
      <c r="F12946">
        <v>5</v>
      </c>
      <c r="G12946" t="s">
        <v>55</v>
      </c>
      <c r="H12946" t="s">
        <v>40</v>
      </c>
      <c r="I12946" t="s">
        <v>2188</v>
      </c>
      <c r="J12946" s="10">
        <v>4</v>
      </c>
      <c r="K12946" t="b">
        <v>1</v>
      </c>
    </row>
    <row r="12947" spans="1:11">
      <c r="A12947" s="12">
        <v>43259</v>
      </c>
      <c r="B12947">
        <v>2018</v>
      </c>
      <c r="C12947">
        <v>6</v>
      </c>
      <c r="D12947" s="11">
        <v>43252</v>
      </c>
      <c r="E12947" t="s">
        <v>2178</v>
      </c>
      <c r="F12947">
        <v>5</v>
      </c>
      <c r="G12947" t="s">
        <v>55</v>
      </c>
      <c r="H12947" t="s">
        <v>41</v>
      </c>
      <c r="I12947" t="s">
        <v>2189</v>
      </c>
      <c r="J12947" s="10">
        <v>1.33</v>
      </c>
      <c r="K12947" t="b">
        <v>1</v>
      </c>
    </row>
    <row r="12948" spans="1:11">
      <c r="A12948" s="12">
        <v>43259</v>
      </c>
      <c r="B12948">
        <v>2018</v>
      </c>
      <c r="C12948">
        <v>6</v>
      </c>
      <c r="D12948" s="11">
        <v>43252</v>
      </c>
      <c r="E12948" t="s">
        <v>2178</v>
      </c>
      <c r="F12948">
        <v>5</v>
      </c>
      <c r="G12948" t="s">
        <v>55</v>
      </c>
      <c r="H12948" t="s">
        <v>42</v>
      </c>
      <c r="I12948" t="s">
        <v>2190</v>
      </c>
      <c r="J12948" s="10">
        <v>2</v>
      </c>
      <c r="K12948" t="b">
        <v>1</v>
      </c>
    </row>
    <row r="12949" spans="1:11">
      <c r="A12949" s="12">
        <v>43259</v>
      </c>
      <c r="B12949">
        <v>2018</v>
      </c>
      <c r="C12949">
        <v>6</v>
      </c>
      <c r="D12949" s="11">
        <v>43252</v>
      </c>
      <c r="E12949" t="s">
        <v>2178</v>
      </c>
      <c r="F12949">
        <v>5</v>
      </c>
      <c r="G12949" t="s">
        <v>55</v>
      </c>
      <c r="H12949" t="s">
        <v>43</v>
      </c>
      <c r="I12949" t="s">
        <v>2191</v>
      </c>
      <c r="J12949" s="10">
        <v>9</v>
      </c>
      <c r="K12949" t="b">
        <v>1</v>
      </c>
    </row>
    <row r="12950" spans="1:11">
      <c r="A12950" s="12">
        <v>43259</v>
      </c>
      <c r="B12950">
        <v>2018</v>
      </c>
      <c r="C12950">
        <v>6</v>
      </c>
      <c r="D12950" s="11">
        <v>43252</v>
      </c>
      <c r="E12950" t="s">
        <v>2178</v>
      </c>
      <c r="F12950">
        <v>5</v>
      </c>
      <c r="G12950" t="s">
        <v>55</v>
      </c>
      <c r="H12950" t="s">
        <v>44</v>
      </c>
      <c r="I12950" t="s">
        <v>2192</v>
      </c>
      <c r="J12950" s="10">
        <v>6</v>
      </c>
      <c r="K12950" t="b">
        <v>1</v>
      </c>
    </row>
    <row r="12951" spans="1:11">
      <c r="A12951" s="12">
        <v>43259</v>
      </c>
      <c r="B12951">
        <v>2018</v>
      </c>
      <c r="C12951">
        <v>6</v>
      </c>
      <c r="D12951" s="11">
        <v>43252</v>
      </c>
      <c r="E12951" t="s">
        <v>2178</v>
      </c>
      <c r="F12951">
        <v>5</v>
      </c>
      <c r="G12951" t="s">
        <v>55</v>
      </c>
      <c r="H12951" t="s">
        <v>45</v>
      </c>
      <c r="I12951" t="s">
        <v>2193</v>
      </c>
      <c r="J12951" s="10">
        <v>0</v>
      </c>
      <c r="K12951" t="b">
        <v>1</v>
      </c>
    </row>
    <row r="12952" spans="1:11">
      <c r="A12952" s="12">
        <v>43259</v>
      </c>
      <c r="B12952">
        <v>2018</v>
      </c>
      <c r="C12952">
        <v>6</v>
      </c>
      <c r="D12952" s="11">
        <v>43252</v>
      </c>
      <c r="E12952" t="s">
        <v>2178</v>
      </c>
      <c r="F12952">
        <v>5</v>
      </c>
      <c r="G12952" t="s">
        <v>55</v>
      </c>
      <c r="H12952" t="s">
        <v>46</v>
      </c>
      <c r="I12952" t="s">
        <v>2194</v>
      </c>
      <c r="J12952" s="10">
        <v>2</v>
      </c>
      <c r="K12952" t="b">
        <v>1</v>
      </c>
    </row>
    <row r="12953" spans="1:11">
      <c r="A12953" s="12">
        <v>43259</v>
      </c>
      <c r="B12953">
        <v>2018</v>
      </c>
      <c r="C12953">
        <v>6</v>
      </c>
      <c r="D12953" s="11">
        <v>43252</v>
      </c>
      <c r="E12953" t="s">
        <v>2178</v>
      </c>
      <c r="F12953">
        <v>5</v>
      </c>
      <c r="G12953" t="s">
        <v>55</v>
      </c>
      <c r="H12953" t="s">
        <v>47</v>
      </c>
      <c r="I12953" t="s">
        <v>2195</v>
      </c>
      <c r="J12953" s="10">
        <v>4.4</v>
      </c>
      <c r="K12953" t="b">
        <v>1</v>
      </c>
    </row>
    <row r="12954" spans="1:11">
      <c r="A12954" s="12">
        <v>43260</v>
      </c>
      <c r="B12954">
        <v>2018</v>
      </c>
      <c r="C12954">
        <v>6</v>
      </c>
      <c r="D12954" s="11">
        <v>43252</v>
      </c>
      <c r="E12954" t="s">
        <v>2178</v>
      </c>
      <c r="F12954">
        <v>6</v>
      </c>
      <c r="G12954" t="s">
        <v>57</v>
      </c>
      <c r="H12954" t="s">
        <v>40</v>
      </c>
      <c r="I12954" t="s">
        <v>2188</v>
      </c>
      <c r="J12954" s="10">
        <v>8</v>
      </c>
      <c r="K12954" t="b">
        <v>1</v>
      </c>
    </row>
    <row r="12955" spans="1:11">
      <c r="A12955" s="12">
        <v>43260</v>
      </c>
      <c r="B12955">
        <v>2018</v>
      </c>
      <c r="C12955">
        <v>6</v>
      </c>
      <c r="D12955" s="11">
        <v>43252</v>
      </c>
      <c r="E12955" t="s">
        <v>2178</v>
      </c>
      <c r="F12955">
        <v>6</v>
      </c>
      <c r="G12955" t="s">
        <v>57</v>
      </c>
      <c r="H12955" t="s">
        <v>41</v>
      </c>
      <c r="I12955" t="s">
        <v>2189</v>
      </c>
      <c r="J12955" s="10">
        <v>6.462</v>
      </c>
      <c r="K12955" t="b">
        <v>1</v>
      </c>
    </row>
    <row r="12956" spans="1:11">
      <c r="A12956" s="12">
        <v>43260</v>
      </c>
      <c r="B12956">
        <v>2018</v>
      </c>
      <c r="C12956">
        <v>6</v>
      </c>
      <c r="D12956" s="11">
        <v>43252</v>
      </c>
      <c r="E12956" t="s">
        <v>2178</v>
      </c>
      <c r="F12956">
        <v>6</v>
      </c>
      <c r="G12956" t="s">
        <v>57</v>
      </c>
      <c r="H12956" t="s">
        <v>42</v>
      </c>
      <c r="I12956" t="s">
        <v>2190</v>
      </c>
      <c r="J12956" s="10">
        <v>3</v>
      </c>
      <c r="K12956" t="b">
        <v>1</v>
      </c>
    </row>
    <row r="12957" spans="1:11">
      <c r="A12957" s="12">
        <v>43260</v>
      </c>
      <c r="B12957">
        <v>2018</v>
      </c>
      <c r="C12957">
        <v>6</v>
      </c>
      <c r="D12957" s="11">
        <v>43252</v>
      </c>
      <c r="E12957" t="s">
        <v>2178</v>
      </c>
      <c r="F12957">
        <v>6</v>
      </c>
      <c r="G12957" t="s">
        <v>57</v>
      </c>
      <c r="H12957" t="s">
        <v>43</v>
      </c>
      <c r="I12957" t="s">
        <v>2191</v>
      </c>
      <c r="J12957" s="10">
        <v>21</v>
      </c>
      <c r="K12957" t="b">
        <v>1</v>
      </c>
    </row>
    <row r="12958" spans="1:11">
      <c r="A12958" s="12">
        <v>43260</v>
      </c>
      <c r="B12958">
        <v>2018</v>
      </c>
      <c r="C12958">
        <v>6</v>
      </c>
      <c r="D12958" s="11">
        <v>43252</v>
      </c>
      <c r="E12958" t="s">
        <v>2178</v>
      </c>
      <c r="F12958">
        <v>6</v>
      </c>
      <c r="G12958" t="s">
        <v>57</v>
      </c>
      <c r="H12958" t="s">
        <v>44</v>
      </c>
      <c r="I12958" t="s">
        <v>2192</v>
      </c>
      <c r="J12958" s="10">
        <v>11</v>
      </c>
      <c r="K12958" t="b">
        <v>1</v>
      </c>
    </row>
    <row r="12959" spans="1:11">
      <c r="A12959" s="12">
        <v>43260</v>
      </c>
      <c r="B12959">
        <v>2018</v>
      </c>
      <c r="C12959">
        <v>6</v>
      </c>
      <c r="D12959" s="11">
        <v>43252</v>
      </c>
      <c r="E12959" t="s">
        <v>2178</v>
      </c>
      <c r="F12959">
        <v>6</v>
      </c>
      <c r="G12959" t="s">
        <v>57</v>
      </c>
      <c r="H12959" t="s">
        <v>45</v>
      </c>
      <c r="I12959" t="s">
        <v>2193</v>
      </c>
      <c r="J12959" s="10">
        <v>0</v>
      </c>
      <c r="K12959" t="b">
        <v>1</v>
      </c>
    </row>
    <row r="12960" spans="1:11">
      <c r="A12960" s="12">
        <v>43260</v>
      </c>
      <c r="B12960">
        <v>2018</v>
      </c>
      <c r="C12960">
        <v>6</v>
      </c>
      <c r="D12960" s="11">
        <v>43252</v>
      </c>
      <c r="E12960" t="s">
        <v>2178</v>
      </c>
      <c r="F12960">
        <v>6</v>
      </c>
      <c r="G12960" t="s">
        <v>57</v>
      </c>
      <c r="H12960" t="s">
        <v>46</v>
      </c>
      <c r="I12960" t="s">
        <v>2194</v>
      </c>
      <c r="J12960" s="10">
        <v>5</v>
      </c>
      <c r="K12960" t="b">
        <v>1</v>
      </c>
    </row>
    <row r="12961" spans="1:11">
      <c r="A12961" s="12">
        <v>43260</v>
      </c>
      <c r="B12961">
        <v>2018</v>
      </c>
      <c r="C12961">
        <v>6</v>
      </c>
      <c r="D12961" s="11">
        <v>43252</v>
      </c>
      <c r="E12961" t="s">
        <v>2178</v>
      </c>
      <c r="F12961">
        <v>6</v>
      </c>
      <c r="G12961" t="s">
        <v>57</v>
      </c>
      <c r="H12961" t="s">
        <v>47</v>
      </c>
      <c r="I12961" t="s">
        <v>2195</v>
      </c>
      <c r="J12961" s="10">
        <v>0</v>
      </c>
      <c r="K12961" t="b">
        <v>1</v>
      </c>
    </row>
    <row r="12962" spans="1:11">
      <c r="A12962" s="12">
        <v>43261</v>
      </c>
      <c r="B12962">
        <v>2018</v>
      </c>
      <c r="C12962">
        <v>6</v>
      </c>
      <c r="D12962" s="11">
        <v>43252</v>
      </c>
      <c r="E12962" t="s">
        <v>2178</v>
      </c>
      <c r="F12962">
        <v>7</v>
      </c>
      <c r="G12962" t="s">
        <v>59</v>
      </c>
      <c r="H12962" t="s">
        <v>40</v>
      </c>
      <c r="I12962" t="s">
        <v>2188</v>
      </c>
      <c r="J12962" s="10">
        <v>2.66</v>
      </c>
      <c r="K12962" t="b">
        <v>1</v>
      </c>
    </row>
    <row r="12963" spans="1:11">
      <c r="A12963" s="12">
        <v>43261</v>
      </c>
      <c r="B12963">
        <v>2018</v>
      </c>
      <c r="C12963">
        <v>6</v>
      </c>
      <c r="D12963" s="11">
        <v>43252</v>
      </c>
      <c r="E12963" t="s">
        <v>2178</v>
      </c>
      <c r="F12963">
        <v>7</v>
      </c>
      <c r="G12963" t="s">
        <v>59</v>
      </c>
      <c r="H12963" t="s">
        <v>41</v>
      </c>
      <c r="I12963" t="s">
        <v>2189</v>
      </c>
      <c r="J12963" s="10">
        <v>4.693</v>
      </c>
      <c r="K12963" t="b">
        <v>1</v>
      </c>
    </row>
    <row r="12964" spans="1:11">
      <c r="A12964" s="12">
        <v>43261</v>
      </c>
      <c r="B12964">
        <v>2018</v>
      </c>
      <c r="C12964">
        <v>6</v>
      </c>
      <c r="D12964" s="11">
        <v>43252</v>
      </c>
      <c r="E12964" t="s">
        <v>2178</v>
      </c>
      <c r="F12964">
        <v>7</v>
      </c>
      <c r="G12964" t="s">
        <v>59</v>
      </c>
      <c r="H12964" t="s">
        <v>42</v>
      </c>
      <c r="I12964" t="s">
        <v>2190</v>
      </c>
      <c r="J12964" s="10">
        <v>5</v>
      </c>
      <c r="K12964" t="b">
        <v>1</v>
      </c>
    </row>
    <row r="12965" spans="1:11">
      <c r="A12965" s="12">
        <v>43261</v>
      </c>
      <c r="B12965">
        <v>2018</v>
      </c>
      <c r="C12965">
        <v>6</v>
      </c>
      <c r="D12965" s="11">
        <v>43252</v>
      </c>
      <c r="E12965" t="s">
        <v>2178</v>
      </c>
      <c r="F12965">
        <v>7</v>
      </c>
      <c r="G12965" t="s">
        <v>59</v>
      </c>
      <c r="H12965" t="s">
        <v>43</v>
      </c>
      <c r="I12965" t="s">
        <v>2191</v>
      </c>
      <c r="J12965" s="10">
        <v>33.2</v>
      </c>
      <c r="K12965" t="b">
        <v>1</v>
      </c>
    </row>
    <row r="12966" spans="1:11">
      <c r="A12966" s="12">
        <v>43261</v>
      </c>
      <c r="B12966">
        <v>2018</v>
      </c>
      <c r="C12966">
        <v>6</v>
      </c>
      <c r="D12966" s="11">
        <v>43252</v>
      </c>
      <c r="E12966" t="s">
        <v>2178</v>
      </c>
      <c r="F12966">
        <v>7</v>
      </c>
      <c r="G12966" t="s">
        <v>59</v>
      </c>
      <c r="H12966" t="s">
        <v>44</v>
      </c>
      <c r="I12966" t="s">
        <v>2192</v>
      </c>
      <c r="J12966" s="10">
        <v>7</v>
      </c>
      <c r="K12966" t="b">
        <v>1</v>
      </c>
    </row>
    <row r="12967" spans="1:11">
      <c r="A12967" s="12">
        <v>43261</v>
      </c>
      <c r="B12967">
        <v>2018</v>
      </c>
      <c r="C12967">
        <v>6</v>
      </c>
      <c r="D12967" s="11">
        <v>43252</v>
      </c>
      <c r="E12967" t="s">
        <v>2178</v>
      </c>
      <c r="F12967">
        <v>7</v>
      </c>
      <c r="G12967" t="s">
        <v>59</v>
      </c>
      <c r="H12967" t="s">
        <v>45</v>
      </c>
      <c r="I12967" t="s">
        <v>2193</v>
      </c>
      <c r="J12967" s="10">
        <v>0</v>
      </c>
      <c r="K12967" t="b">
        <v>1</v>
      </c>
    </row>
    <row r="12968" spans="1:11">
      <c r="A12968" s="12">
        <v>43261</v>
      </c>
      <c r="B12968">
        <v>2018</v>
      </c>
      <c r="C12968">
        <v>6</v>
      </c>
      <c r="D12968" s="11">
        <v>43252</v>
      </c>
      <c r="E12968" t="s">
        <v>2178</v>
      </c>
      <c r="F12968">
        <v>7</v>
      </c>
      <c r="G12968" t="s">
        <v>59</v>
      </c>
      <c r="H12968" t="s">
        <v>46</v>
      </c>
      <c r="I12968" t="s">
        <v>2194</v>
      </c>
      <c r="J12968" s="10">
        <v>0</v>
      </c>
      <c r="K12968" t="b">
        <v>1</v>
      </c>
    </row>
    <row r="12969" spans="1:11">
      <c r="A12969" s="12">
        <v>43261</v>
      </c>
      <c r="B12969">
        <v>2018</v>
      </c>
      <c r="C12969">
        <v>6</v>
      </c>
      <c r="D12969" s="11">
        <v>43252</v>
      </c>
      <c r="E12969" t="s">
        <v>2178</v>
      </c>
      <c r="F12969">
        <v>7</v>
      </c>
      <c r="G12969" t="s">
        <v>59</v>
      </c>
      <c r="H12969" t="s">
        <v>47</v>
      </c>
      <c r="I12969" t="s">
        <v>2195</v>
      </c>
      <c r="J12969" s="10">
        <v>3</v>
      </c>
      <c r="K12969" t="b">
        <v>1</v>
      </c>
    </row>
    <row r="12970" spans="1:11">
      <c r="A12970" s="12">
        <v>43262</v>
      </c>
      <c r="B12970">
        <v>2018</v>
      </c>
      <c r="C12970">
        <v>6</v>
      </c>
      <c r="D12970" s="11">
        <v>43252</v>
      </c>
      <c r="E12970" t="s">
        <v>2178</v>
      </c>
      <c r="F12970">
        <v>1</v>
      </c>
      <c r="G12970" t="s">
        <v>61</v>
      </c>
      <c r="H12970" t="s">
        <v>40</v>
      </c>
      <c r="I12970" t="s">
        <v>2188</v>
      </c>
      <c r="J12970" s="10">
        <v>8</v>
      </c>
      <c r="K12970" t="b">
        <v>1</v>
      </c>
    </row>
    <row r="12971" spans="1:11">
      <c r="A12971" s="12">
        <v>43262</v>
      </c>
      <c r="B12971">
        <v>2018</v>
      </c>
      <c r="C12971">
        <v>6</v>
      </c>
      <c r="D12971" s="11">
        <v>43252</v>
      </c>
      <c r="E12971" t="s">
        <v>2178</v>
      </c>
      <c r="F12971">
        <v>1</v>
      </c>
      <c r="G12971" t="s">
        <v>61</v>
      </c>
      <c r="H12971" t="s">
        <v>41</v>
      </c>
      <c r="I12971" t="s">
        <v>2189</v>
      </c>
      <c r="J12971" s="10">
        <v>8.33</v>
      </c>
      <c r="K12971" t="b">
        <v>1</v>
      </c>
    </row>
    <row r="12972" spans="1:11">
      <c r="A12972" s="12">
        <v>43262</v>
      </c>
      <c r="B12972">
        <v>2018</v>
      </c>
      <c r="C12972">
        <v>6</v>
      </c>
      <c r="D12972" s="11">
        <v>43252</v>
      </c>
      <c r="E12972" t="s">
        <v>2178</v>
      </c>
      <c r="F12972">
        <v>1</v>
      </c>
      <c r="G12972" t="s">
        <v>61</v>
      </c>
      <c r="H12972" t="s">
        <v>42</v>
      </c>
      <c r="I12972" t="s">
        <v>2190</v>
      </c>
      <c r="J12972" s="10">
        <v>3.1</v>
      </c>
      <c r="K12972" t="b">
        <v>1</v>
      </c>
    </row>
    <row r="12973" spans="1:11">
      <c r="A12973" s="12">
        <v>43262</v>
      </c>
      <c r="B12973">
        <v>2018</v>
      </c>
      <c r="C12973">
        <v>6</v>
      </c>
      <c r="D12973" s="11">
        <v>43252</v>
      </c>
      <c r="E12973" t="s">
        <v>2178</v>
      </c>
      <c r="F12973">
        <v>1</v>
      </c>
      <c r="G12973" t="s">
        <v>61</v>
      </c>
      <c r="H12973" t="s">
        <v>43</v>
      </c>
      <c r="I12973" t="s">
        <v>2191</v>
      </c>
      <c r="J12973" s="10">
        <v>17</v>
      </c>
      <c r="K12973" t="b">
        <v>1</v>
      </c>
    </row>
    <row r="12974" spans="1:11">
      <c r="A12974" s="12">
        <v>43262</v>
      </c>
      <c r="B12974">
        <v>2018</v>
      </c>
      <c r="C12974">
        <v>6</v>
      </c>
      <c r="D12974" s="11">
        <v>43252</v>
      </c>
      <c r="E12974" t="s">
        <v>2178</v>
      </c>
      <c r="F12974">
        <v>1</v>
      </c>
      <c r="G12974" t="s">
        <v>61</v>
      </c>
      <c r="H12974" t="s">
        <v>44</v>
      </c>
      <c r="I12974" t="s">
        <v>2192</v>
      </c>
      <c r="J12974" s="10">
        <v>17</v>
      </c>
      <c r="K12974" t="b">
        <v>1</v>
      </c>
    </row>
    <row r="12975" spans="1:11">
      <c r="A12975" s="12">
        <v>43262</v>
      </c>
      <c r="B12975">
        <v>2018</v>
      </c>
      <c r="C12975">
        <v>6</v>
      </c>
      <c r="D12975" s="11">
        <v>43252</v>
      </c>
      <c r="E12975" t="s">
        <v>2178</v>
      </c>
      <c r="F12975">
        <v>1</v>
      </c>
      <c r="G12975" t="s">
        <v>61</v>
      </c>
      <c r="H12975" t="s">
        <v>45</v>
      </c>
      <c r="I12975" t="s">
        <v>2193</v>
      </c>
      <c r="J12975" s="10">
        <v>0</v>
      </c>
      <c r="K12975" t="b">
        <v>1</v>
      </c>
    </row>
    <row r="12976" spans="1:11">
      <c r="A12976" s="12">
        <v>43262</v>
      </c>
      <c r="B12976">
        <v>2018</v>
      </c>
      <c r="C12976">
        <v>6</v>
      </c>
      <c r="D12976" s="11">
        <v>43252</v>
      </c>
      <c r="E12976" t="s">
        <v>2178</v>
      </c>
      <c r="F12976">
        <v>1</v>
      </c>
      <c r="G12976" t="s">
        <v>61</v>
      </c>
      <c r="H12976" t="s">
        <v>46</v>
      </c>
      <c r="I12976" t="s">
        <v>2194</v>
      </c>
      <c r="J12976" s="10">
        <v>0</v>
      </c>
      <c r="K12976" t="b">
        <v>1</v>
      </c>
    </row>
    <row r="12977" spans="1:11">
      <c r="A12977" s="12">
        <v>43262</v>
      </c>
      <c r="B12977">
        <v>2018</v>
      </c>
      <c r="C12977">
        <v>6</v>
      </c>
      <c r="D12977" s="11">
        <v>43252</v>
      </c>
      <c r="E12977" t="s">
        <v>2178</v>
      </c>
      <c r="F12977">
        <v>1</v>
      </c>
      <c r="G12977" t="s">
        <v>61</v>
      </c>
      <c r="H12977" t="s">
        <v>47</v>
      </c>
      <c r="I12977" t="s">
        <v>2195</v>
      </c>
      <c r="J12977" s="10">
        <v>6</v>
      </c>
      <c r="K12977" t="b">
        <v>1</v>
      </c>
    </row>
    <row r="12978" spans="1:11">
      <c r="A12978" s="12">
        <v>43263</v>
      </c>
      <c r="B12978">
        <v>2018</v>
      </c>
      <c r="C12978">
        <v>6</v>
      </c>
      <c r="D12978" s="11">
        <v>43252</v>
      </c>
      <c r="E12978" t="s">
        <v>2178</v>
      </c>
      <c r="F12978">
        <v>2</v>
      </c>
      <c r="G12978" t="s">
        <v>63</v>
      </c>
      <c r="H12978" t="s">
        <v>40</v>
      </c>
      <c r="I12978" t="s">
        <v>2188</v>
      </c>
      <c r="J12978" s="10">
        <v>2.34</v>
      </c>
      <c r="K12978" t="b">
        <v>1</v>
      </c>
    </row>
    <row r="12979" spans="1:11">
      <c r="A12979" s="12">
        <v>43263</v>
      </c>
      <c r="B12979">
        <v>2018</v>
      </c>
      <c r="C12979">
        <v>6</v>
      </c>
      <c r="D12979" s="11">
        <v>43252</v>
      </c>
      <c r="E12979" t="s">
        <v>2178</v>
      </c>
      <c r="F12979">
        <v>2</v>
      </c>
      <c r="G12979" t="s">
        <v>63</v>
      </c>
      <c r="H12979" t="s">
        <v>41</v>
      </c>
      <c r="I12979" t="s">
        <v>2189</v>
      </c>
      <c r="J12979" s="10">
        <v>4.5</v>
      </c>
      <c r="K12979" t="b">
        <v>1</v>
      </c>
    </row>
    <row r="12980" spans="1:11">
      <c r="A12980" s="12">
        <v>43263</v>
      </c>
      <c r="B12980">
        <v>2018</v>
      </c>
      <c r="C12980">
        <v>6</v>
      </c>
      <c r="D12980" s="11">
        <v>43252</v>
      </c>
      <c r="E12980" t="s">
        <v>2178</v>
      </c>
      <c r="F12980">
        <v>2</v>
      </c>
      <c r="G12980" t="s">
        <v>63</v>
      </c>
      <c r="H12980" t="s">
        <v>42</v>
      </c>
      <c r="I12980" t="s">
        <v>2190</v>
      </c>
      <c r="J12980" s="10">
        <v>4</v>
      </c>
      <c r="K12980" t="b">
        <v>1</v>
      </c>
    </row>
    <row r="12981" spans="1:11">
      <c r="A12981" s="12">
        <v>43263</v>
      </c>
      <c r="B12981">
        <v>2018</v>
      </c>
      <c r="C12981">
        <v>6</v>
      </c>
      <c r="D12981" s="11">
        <v>43252</v>
      </c>
      <c r="E12981" t="s">
        <v>2178</v>
      </c>
      <c r="F12981">
        <v>2</v>
      </c>
      <c r="G12981" t="s">
        <v>63</v>
      </c>
      <c r="H12981" t="s">
        <v>43</v>
      </c>
      <c r="I12981" t="s">
        <v>2191</v>
      </c>
      <c r="J12981" s="10">
        <v>18.186</v>
      </c>
      <c r="K12981" t="b">
        <v>1</v>
      </c>
    </row>
    <row r="12982" spans="1:11">
      <c r="A12982" s="12">
        <v>43263</v>
      </c>
      <c r="B12982">
        <v>2018</v>
      </c>
      <c r="C12982">
        <v>6</v>
      </c>
      <c r="D12982" s="11">
        <v>43252</v>
      </c>
      <c r="E12982" t="s">
        <v>2178</v>
      </c>
      <c r="F12982">
        <v>2</v>
      </c>
      <c r="G12982" t="s">
        <v>63</v>
      </c>
      <c r="H12982" t="s">
        <v>44</v>
      </c>
      <c r="I12982" t="s">
        <v>2192</v>
      </c>
      <c r="J12982" s="10">
        <v>3</v>
      </c>
      <c r="K12982" t="b">
        <v>1</v>
      </c>
    </row>
    <row r="12983" spans="1:11">
      <c r="A12983" s="12">
        <v>43263</v>
      </c>
      <c r="B12983">
        <v>2018</v>
      </c>
      <c r="C12983">
        <v>6</v>
      </c>
      <c r="D12983" s="11">
        <v>43252</v>
      </c>
      <c r="E12983" t="s">
        <v>2178</v>
      </c>
      <c r="F12983">
        <v>2</v>
      </c>
      <c r="G12983" t="s">
        <v>63</v>
      </c>
      <c r="H12983" t="s">
        <v>45</v>
      </c>
      <c r="I12983" t="s">
        <v>2193</v>
      </c>
      <c r="J12983" s="10">
        <v>0</v>
      </c>
      <c r="K12983" t="b">
        <v>1</v>
      </c>
    </row>
    <row r="12984" spans="1:11">
      <c r="A12984" s="12">
        <v>43263</v>
      </c>
      <c r="B12984">
        <v>2018</v>
      </c>
      <c r="C12984">
        <v>6</v>
      </c>
      <c r="D12984" s="11">
        <v>43252</v>
      </c>
      <c r="E12984" t="s">
        <v>2178</v>
      </c>
      <c r="F12984">
        <v>2</v>
      </c>
      <c r="G12984" t="s">
        <v>63</v>
      </c>
      <c r="H12984" t="s">
        <v>46</v>
      </c>
      <c r="I12984" t="s">
        <v>2194</v>
      </c>
      <c r="J12984" s="10">
        <v>1</v>
      </c>
      <c r="K12984" t="b">
        <v>1</v>
      </c>
    </row>
    <row r="12985" spans="1:11">
      <c r="A12985" s="12">
        <v>43263</v>
      </c>
      <c r="B12985">
        <v>2018</v>
      </c>
      <c r="C12985">
        <v>6</v>
      </c>
      <c r="D12985" s="11">
        <v>43252</v>
      </c>
      <c r="E12985" t="s">
        <v>2178</v>
      </c>
      <c r="F12985">
        <v>2</v>
      </c>
      <c r="G12985" t="s">
        <v>63</v>
      </c>
      <c r="H12985" t="s">
        <v>47</v>
      </c>
      <c r="I12985" t="s">
        <v>2195</v>
      </c>
      <c r="J12985" s="10">
        <v>7.4</v>
      </c>
      <c r="K12985" t="b">
        <v>1</v>
      </c>
    </row>
    <row r="12986" spans="1:11">
      <c r="A12986" s="12">
        <v>43264</v>
      </c>
      <c r="B12986">
        <v>2018</v>
      </c>
      <c r="C12986">
        <v>6</v>
      </c>
      <c r="D12986" s="11">
        <v>43252</v>
      </c>
      <c r="E12986" t="s">
        <v>2178</v>
      </c>
      <c r="F12986">
        <v>3</v>
      </c>
      <c r="G12986" t="s">
        <v>65</v>
      </c>
      <c r="H12986" t="s">
        <v>40</v>
      </c>
      <c r="I12986" t="s">
        <v>2188</v>
      </c>
      <c r="J12986" s="10">
        <v>12</v>
      </c>
      <c r="K12986" t="b">
        <v>1</v>
      </c>
    </row>
    <row r="12987" spans="1:11">
      <c r="A12987" s="12">
        <v>43264</v>
      </c>
      <c r="B12987">
        <v>2018</v>
      </c>
      <c r="C12987">
        <v>6</v>
      </c>
      <c r="D12987" s="11">
        <v>43252</v>
      </c>
      <c r="E12987" t="s">
        <v>2178</v>
      </c>
      <c r="F12987">
        <v>3</v>
      </c>
      <c r="G12987" t="s">
        <v>65</v>
      </c>
      <c r="H12987" t="s">
        <v>41</v>
      </c>
      <c r="I12987" t="s">
        <v>2189</v>
      </c>
      <c r="J12987" s="10">
        <v>4.33</v>
      </c>
      <c r="K12987" t="b">
        <v>1</v>
      </c>
    </row>
    <row r="12988" spans="1:11">
      <c r="A12988" s="12">
        <v>43264</v>
      </c>
      <c r="B12988">
        <v>2018</v>
      </c>
      <c r="C12988">
        <v>6</v>
      </c>
      <c r="D12988" s="11">
        <v>43252</v>
      </c>
      <c r="E12988" t="s">
        <v>2178</v>
      </c>
      <c r="F12988">
        <v>3</v>
      </c>
      <c r="G12988" t="s">
        <v>65</v>
      </c>
      <c r="H12988" t="s">
        <v>42</v>
      </c>
      <c r="I12988" t="s">
        <v>2190</v>
      </c>
      <c r="J12988" s="10">
        <v>1.2</v>
      </c>
      <c r="K12988" t="b">
        <v>1</v>
      </c>
    </row>
    <row r="12989" spans="1:11">
      <c r="A12989" s="12">
        <v>43264</v>
      </c>
      <c r="B12989">
        <v>2018</v>
      </c>
      <c r="C12989">
        <v>6</v>
      </c>
      <c r="D12989" s="11">
        <v>43252</v>
      </c>
      <c r="E12989" t="s">
        <v>2178</v>
      </c>
      <c r="F12989">
        <v>3</v>
      </c>
      <c r="G12989" t="s">
        <v>65</v>
      </c>
      <c r="H12989" t="s">
        <v>43</v>
      </c>
      <c r="I12989" t="s">
        <v>2191</v>
      </c>
      <c r="J12989" s="10">
        <v>22.25</v>
      </c>
      <c r="K12989" t="b">
        <v>1</v>
      </c>
    </row>
    <row r="12990" spans="1:11">
      <c r="A12990" s="12">
        <v>43264</v>
      </c>
      <c r="B12990">
        <v>2018</v>
      </c>
      <c r="C12990">
        <v>6</v>
      </c>
      <c r="D12990" s="11">
        <v>43252</v>
      </c>
      <c r="E12990" t="s">
        <v>2178</v>
      </c>
      <c r="F12990">
        <v>3</v>
      </c>
      <c r="G12990" t="s">
        <v>65</v>
      </c>
      <c r="H12990" t="s">
        <v>44</v>
      </c>
      <c r="I12990" t="s">
        <v>2192</v>
      </c>
      <c r="J12990" s="10">
        <v>1</v>
      </c>
      <c r="K12990" t="b">
        <v>1</v>
      </c>
    </row>
    <row r="12991" spans="1:11">
      <c r="A12991" s="12">
        <v>43264</v>
      </c>
      <c r="B12991">
        <v>2018</v>
      </c>
      <c r="C12991">
        <v>6</v>
      </c>
      <c r="D12991" s="11">
        <v>43252</v>
      </c>
      <c r="E12991" t="s">
        <v>2178</v>
      </c>
      <c r="F12991">
        <v>3</v>
      </c>
      <c r="G12991" t="s">
        <v>65</v>
      </c>
      <c r="H12991" t="s">
        <v>45</v>
      </c>
      <c r="I12991" t="s">
        <v>2193</v>
      </c>
      <c r="J12991" s="10">
        <v>0</v>
      </c>
      <c r="K12991" t="b">
        <v>1</v>
      </c>
    </row>
    <row r="12992" spans="1:11">
      <c r="A12992" s="12">
        <v>43264</v>
      </c>
      <c r="B12992">
        <v>2018</v>
      </c>
      <c r="C12992">
        <v>6</v>
      </c>
      <c r="D12992" s="11">
        <v>43252</v>
      </c>
      <c r="E12992" t="s">
        <v>2178</v>
      </c>
      <c r="F12992">
        <v>3</v>
      </c>
      <c r="G12992" t="s">
        <v>65</v>
      </c>
      <c r="H12992" t="s">
        <v>46</v>
      </c>
      <c r="I12992" t="s">
        <v>2194</v>
      </c>
      <c r="J12992" s="10">
        <v>0</v>
      </c>
      <c r="K12992" t="b">
        <v>1</v>
      </c>
    </row>
    <row r="12993" spans="1:11">
      <c r="A12993" s="12">
        <v>43264</v>
      </c>
      <c r="B12993">
        <v>2018</v>
      </c>
      <c r="C12993">
        <v>6</v>
      </c>
      <c r="D12993" s="11">
        <v>43252</v>
      </c>
      <c r="E12993" t="s">
        <v>2178</v>
      </c>
      <c r="F12993">
        <v>3</v>
      </c>
      <c r="G12993" t="s">
        <v>65</v>
      </c>
      <c r="H12993" t="s">
        <v>47</v>
      </c>
      <c r="I12993" t="s">
        <v>2195</v>
      </c>
      <c r="J12993" s="10">
        <v>2</v>
      </c>
      <c r="K12993" t="b">
        <v>1</v>
      </c>
    </row>
    <row r="12994" spans="1:11">
      <c r="A12994" s="12">
        <v>43265</v>
      </c>
      <c r="B12994">
        <v>2018</v>
      </c>
      <c r="C12994">
        <v>6</v>
      </c>
      <c r="D12994" s="11">
        <v>43252</v>
      </c>
      <c r="E12994" t="s">
        <v>2178</v>
      </c>
      <c r="F12994">
        <v>4</v>
      </c>
      <c r="G12994" t="s">
        <v>53</v>
      </c>
      <c r="H12994" t="s">
        <v>40</v>
      </c>
      <c r="I12994" t="s">
        <v>2188</v>
      </c>
      <c r="J12994" s="10">
        <v>0</v>
      </c>
      <c r="K12994" t="b">
        <v>1</v>
      </c>
    </row>
    <row r="12995" spans="1:11">
      <c r="A12995" s="12">
        <v>43265</v>
      </c>
      <c r="B12995">
        <v>2018</v>
      </c>
      <c r="C12995">
        <v>6</v>
      </c>
      <c r="D12995" s="11">
        <v>43252</v>
      </c>
      <c r="E12995" t="s">
        <v>2178</v>
      </c>
      <c r="F12995">
        <v>4</v>
      </c>
      <c r="G12995" t="s">
        <v>53</v>
      </c>
      <c r="H12995" t="s">
        <v>41</v>
      </c>
      <c r="I12995" t="s">
        <v>2189</v>
      </c>
      <c r="J12995" s="10">
        <v>1</v>
      </c>
      <c r="K12995" t="b">
        <v>1</v>
      </c>
    </row>
    <row r="12996" spans="1:11">
      <c r="A12996" s="12">
        <v>43265</v>
      </c>
      <c r="B12996">
        <v>2018</v>
      </c>
      <c r="C12996">
        <v>6</v>
      </c>
      <c r="D12996" s="11">
        <v>43252</v>
      </c>
      <c r="E12996" t="s">
        <v>2178</v>
      </c>
      <c r="F12996">
        <v>4</v>
      </c>
      <c r="G12996" t="s">
        <v>53</v>
      </c>
      <c r="H12996" t="s">
        <v>42</v>
      </c>
      <c r="I12996" t="s">
        <v>2190</v>
      </c>
      <c r="J12996" s="10">
        <v>1</v>
      </c>
      <c r="K12996" t="b">
        <v>1</v>
      </c>
    </row>
    <row r="12997" spans="1:11">
      <c r="A12997" s="12">
        <v>43265</v>
      </c>
      <c r="B12997">
        <v>2018</v>
      </c>
      <c r="C12997">
        <v>6</v>
      </c>
      <c r="D12997" s="11">
        <v>43252</v>
      </c>
      <c r="E12997" t="s">
        <v>2178</v>
      </c>
      <c r="F12997">
        <v>4</v>
      </c>
      <c r="G12997" t="s">
        <v>53</v>
      </c>
      <c r="H12997" t="s">
        <v>43</v>
      </c>
      <c r="I12997" t="s">
        <v>2191</v>
      </c>
      <c r="J12997" s="10">
        <v>22</v>
      </c>
      <c r="K12997" t="b">
        <v>1</v>
      </c>
    </row>
    <row r="12998" spans="1:11">
      <c r="A12998" s="12">
        <v>43265</v>
      </c>
      <c r="B12998">
        <v>2018</v>
      </c>
      <c r="C12998">
        <v>6</v>
      </c>
      <c r="D12998" s="11">
        <v>43252</v>
      </c>
      <c r="E12998" t="s">
        <v>2178</v>
      </c>
      <c r="F12998">
        <v>4</v>
      </c>
      <c r="G12998" t="s">
        <v>53</v>
      </c>
      <c r="H12998" t="s">
        <v>44</v>
      </c>
      <c r="I12998" t="s">
        <v>2192</v>
      </c>
      <c r="J12998" s="10">
        <v>11</v>
      </c>
      <c r="K12998" t="b">
        <v>1</v>
      </c>
    </row>
    <row r="12999" spans="1:11">
      <c r="A12999" s="12">
        <v>43265</v>
      </c>
      <c r="B12999">
        <v>2018</v>
      </c>
      <c r="C12999">
        <v>6</v>
      </c>
      <c r="D12999" s="11">
        <v>43252</v>
      </c>
      <c r="E12999" t="s">
        <v>2178</v>
      </c>
      <c r="F12999">
        <v>4</v>
      </c>
      <c r="G12999" t="s">
        <v>53</v>
      </c>
      <c r="H12999" t="s">
        <v>45</v>
      </c>
      <c r="I12999" t="s">
        <v>2193</v>
      </c>
      <c r="J12999" s="10">
        <v>0</v>
      </c>
      <c r="K12999" t="b">
        <v>1</v>
      </c>
    </row>
    <row r="13000" spans="1:11">
      <c r="A13000" s="12">
        <v>43265</v>
      </c>
      <c r="B13000">
        <v>2018</v>
      </c>
      <c r="C13000">
        <v>6</v>
      </c>
      <c r="D13000" s="11">
        <v>43252</v>
      </c>
      <c r="E13000" t="s">
        <v>2178</v>
      </c>
      <c r="F13000">
        <v>4</v>
      </c>
      <c r="G13000" t="s">
        <v>53</v>
      </c>
      <c r="H13000" t="s">
        <v>46</v>
      </c>
      <c r="I13000" t="s">
        <v>2194</v>
      </c>
      <c r="J13000" s="10">
        <v>0</v>
      </c>
      <c r="K13000" t="b">
        <v>1</v>
      </c>
    </row>
    <row r="13001" spans="1:11">
      <c r="A13001" s="12">
        <v>43265</v>
      </c>
      <c r="B13001">
        <v>2018</v>
      </c>
      <c r="C13001">
        <v>6</v>
      </c>
      <c r="D13001" s="11">
        <v>43252</v>
      </c>
      <c r="E13001" t="s">
        <v>2178</v>
      </c>
      <c r="F13001">
        <v>4</v>
      </c>
      <c r="G13001" t="s">
        <v>53</v>
      </c>
      <c r="H13001" t="s">
        <v>47</v>
      </c>
      <c r="I13001" t="s">
        <v>2195</v>
      </c>
      <c r="J13001" s="10">
        <v>2</v>
      </c>
      <c r="K13001" t="b">
        <v>1</v>
      </c>
    </row>
    <row r="13002" spans="1:11">
      <c r="A13002" s="12">
        <v>43266</v>
      </c>
      <c r="B13002">
        <v>2018</v>
      </c>
      <c r="C13002">
        <v>6</v>
      </c>
      <c r="D13002" s="11">
        <v>43252</v>
      </c>
      <c r="E13002" t="s">
        <v>2178</v>
      </c>
      <c r="F13002">
        <v>5</v>
      </c>
      <c r="G13002" t="s">
        <v>55</v>
      </c>
      <c r="H13002" t="s">
        <v>40</v>
      </c>
      <c r="I13002" t="s">
        <v>2188</v>
      </c>
      <c r="J13002" s="10">
        <v>1</v>
      </c>
      <c r="K13002" t="b">
        <v>1</v>
      </c>
    </row>
    <row r="13003" spans="1:11">
      <c r="A13003" s="12">
        <v>43266</v>
      </c>
      <c r="B13003">
        <v>2018</v>
      </c>
      <c r="C13003">
        <v>6</v>
      </c>
      <c r="D13003" s="11">
        <v>43252</v>
      </c>
      <c r="E13003" t="s">
        <v>2178</v>
      </c>
      <c r="F13003">
        <v>5</v>
      </c>
      <c r="G13003" t="s">
        <v>55</v>
      </c>
      <c r="H13003" t="s">
        <v>41</v>
      </c>
      <c r="I13003" t="s">
        <v>2189</v>
      </c>
      <c r="J13003" s="10">
        <v>0.066</v>
      </c>
      <c r="K13003" t="b">
        <v>1</v>
      </c>
    </row>
    <row r="13004" spans="1:11">
      <c r="A13004" s="12">
        <v>43266</v>
      </c>
      <c r="B13004">
        <v>2018</v>
      </c>
      <c r="C13004">
        <v>6</v>
      </c>
      <c r="D13004" s="11">
        <v>43252</v>
      </c>
      <c r="E13004" t="s">
        <v>2178</v>
      </c>
      <c r="F13004">
        <v>5</v>
      </c>
      <c r="G13004" t="s">
        <v>55</v>
      </c>
      <c r="H13004" t="s">
        <v>42</v>
      </c>
      <c r="I13004" t="s">
        <v>2190</v>
      </c>
      <c r="J13004" s="10">
        <v>0.3</v>
      </c>
      <c r="K13004" t="b">
        <v>1</v>
      </c>
    </row>
    <row r="13005" spans="1:11">
      <c r="A13005" s="12">
        <v>43266</v>
      </c>
      <c r="B13005">
        <v>2018</v>
      </c>
      <c r="C13005">
        <v>6</v>
      </c>
      <c r="D13005" s="11">
        <v>43252</v>
      </c>
      <c r="E13005" t="s">
        <v>2178</v>
      </c>
      <c r="F13005">
        <v>5</v>
      </c>
      <c r="G13005" t="s">
        <v>55</v>
      </c>
      <c r="H13005" t="s">
        <v>43</v>
      </c>
      <c r="I13005" t="s">
        <v>2191</v>
      </c>
      <c r="J13005" s="10">
        <v>11.133</v>
      </c>
      <c r="K13005" t="b">
        <v>1</v>
      </c>
    </row>
    <row r="13006" spans="1:11">
      <c r="A13006" s="12">
        <v>43266</v>
      </c>
      <c r="B13006">
        <v>2018</v>
      </c>
      <c r="C13006">
        <v>6</v>
      </c>
      <c r="D13006" s="11">
        <v>43252</v>
      </c>
      <c r="E13006" t="s">
        <v>2178</v>
      </c>
      <c r="F13006">
        <v>5</v>
      </c>
      <c r="G13006" t="s">
        <v>55</v>
      </c>
      <c r="H13006" t="s">
        <v>44</v>
      </c>
      <c r="I13006" t="s">
        <v>2192</v>
      </c>
      <c r="J13006" s="10">
        <v>10</v>
      </c>
      <c r="K13006" t="b">
        <v>1</v>
      </c>
    </row>
    <row r="13007" spans="1:11">
      <c r="A13007" s="12">
        <v>43266</v>
      </c>
      <c r="B13007">
        <v>2018</v>
      </c>
      <c r="C13007">
        <v>6</v>
      </c>
      <c r="D13007" s="11">
        <v>43252</v>
      </c>
      <c r="E13007" t="s">
        <v>2178</v>
      </c>
      <c r="F13007">
        <v>5</v>
      </c>
      <c r="G13007" t="s">
        <v>55</v>
      </c>
      <c r="H13007" t="s">
        <v>45</v>
      </c>
      <c r="I13007" t="s">
        <v>2193</v>
      </c>
      <c r="J13007" s="10">
        <v>0</v>
      </c>
      <c r="K13007" t="b">
        <v>1</v>
      </c>
    </row>
    <row r="13008" spans="1:11">
      <c r="A13008" s="12">
        <v>43266</v>
      </c>
      <c r="B13008">
        <v>2018</v>
      </c>
      <c r="C13008">
        <v>6</v>
      </c>
      <c r="D13008" s="11">
        <v>43252</v>
      </c>
      <c r="E13008" t="s">
        <v>2178</v>
      </c>
      <c r="F13008">
        <v>5</v>
      </c>
      <c r="G13008" t="s">
        <v>55</v>
      </c>
      <c r="H13008" t="s">
        <v>46</v>
      </c>
      <c r="I13008" t="s">
        <v>2194</v>
      </c>
      <c r="J13008" s="10">
        <v>8</v>
      </c>
      <c r="K13008" t="b">
        <v>1</v>
      </c>
    </row>
    <row r="13009" spans="1:11">
      <c r="A13009" s="12">
        <v>43266</v>
      </c>
      <c r="B13009">
        <v>2018</v>
      </c>
      <c r="C13009">
        <v>6</v>
      </c>
      <c r="D13009" s="11">
        <v>43252</v>
      </c>
      <c r="E13009" t="s">
        <v>2178</v>
      </c>
      <c r="F13009">
        <v>5</v>
      </c>
      <c r="G13009" t="s">
        <v>55</v>
      </c>
      <c r="H13009" t="s">
        <v>47</v>
      </c>
      <c r="I13009" t="s">
        <v>2195</v>
      </c>
      <c r="J13009" s="10">
        <v>2</v>
      </c>
      <c r="K13009" t="b">
        <v>1</v>
      </c>
    </row>
    <row r="13010" spans="1:11">
      <c r="A13010" s="12">
        <v>43267</v>
      </c>
      <c r="B13010">
        <v>2018</v>
      </c>
      <c r="C13010">
        <v>6</v>
      </c>
      <c r="D13010" s="11">
        <v>43252</v>
      </c>
      <c r="E13010" t="s">
        <v>2178</v>
      </c>
      <c r="F13010">
        <v>6</v>
      </c>
      <c r="G13010" t="s">
        <v>57</v>
      </c>
      <c r="H13010" t="s">
        <v>40</v>
      </c>
      <c r="I13010" t="s">
        <v>2188</v>
      </c>
      <c r="J13010" s="10">
        <v>3.34</v>
      </c>
      <c r="K13010" t="b">
        <v>1</v>
      </c>
    </row>
    <row r="13011" spans="1:11">
      <c r="A13011" s="12">
        <v>43267</v>
      </c>
      <c r="B13011">
        <v>2018</v>
      </c>
      <c r="C13011">
        <v>6</v>
      </c>
      <c r="D13011" s="11">
        <v>43252</v>
      </c>
      <c r="E13011" t="s">
        <v>2178</v>
      </c>
      <c r="F13011">
        <v>6</v>
      </c>
      <c r="G13011" t="s">
        <v>57</v>
      </c>
      <c r="H13011" t="s">
        <v>41</v>
      </c>
      <c r="I13011" t="s">
        <v>2189</v>
      </c>
      <c r="J13011" s="10">
        <v>6.383</v>
      </c>
      <c r="K13011" t="b">
        <v>1</v>
      </c>
    </row>
    <row r="13012" spans="1:11">
      <c r="A13012" s="12">
        <v>43267</v>
      </c>
      <c r="B13012">
        <v>2018</v>
      </c>
      <c r="C13012">
        <v>6</v>
      </c>
      <c r="D13012" s="11">
        <v>43252</v>
      </c>
      <c r="E13012" t="s">
        <v>2178</v>
      </c>
      <c r="F13012">
        <v>6</v>
      </c>
      <c r="G13012" t="s">
        <v>57</v>
      </c>
      <c r="H13012" t="s">
        <v>42</v>
      </c>
      <c r="I13012" t="s">
        <v>2190</v>
      </c>
      <c r="J13012" s="10">
        <v>5</v>
      </c>
      <c r="K13012" t="b">
        <v>1</v>
      </c>
    </row>
    <row r="13013" spans="1:11">
      <c r="A13013" s="12">
        <v>43267</v>
      </c>
      <c r="B13013">
        <v>2018</v>
      </c>
      <c r="C13013">
        <v>6</v>
      </c>
      <c r="D13013" s="11">
        <v>43252</v>
      </c>
      <c r="E13013" t="s">
        <v>2178</v>
      </c>
      <c r="F13013">
        <v>6</v>
      </c>
      <c r="G13013" t="s">
        <v>57</v>
      </c>
      <c r="H13013" t="s">
        <v>43</v>
      </c>
      <c r="I13013" t="s">
        <v>2191</v>
      </c>
      <c r="J13013" s="10">
        <v>10</v>
      </c>
      <c r="K13013" t="b">
        <v>1</v>
      </c>
    </row>
    <row r="13014" spans="1:11">
      <c r="A13014" s="12">
        <v>43267</v>
      </c>
      <c r="B13014">
        <v>2018</v>
      </c>
      <c r="C13014">
        <v>6</v>
      </c>
      <c r="D13014" s="11">
        <v>43252</v>
      </c>
      <c r="E13014" t="s">
        <v>2178</v>
      </c>
      <c r="F13014">
        <v>6</v>
      </c>
      <c r="G13014" t="s">
        <v>57</v>
      </c>
      <c r="H13014" t="s">
        <v>44</v>
      </c>
      <c r="I13014" t="s">
        <v>2192</v>
      </c>
      <c r="J13014" s="10">
        <v>5</v>
      </c>
      <c r="K13014" t="b">
        <v>1</v>
      </c>
    </row>
    <row r="13015" spans="1:11">
      <c r="A13015" s="12">
        <v>43267</v>
      </c>
      <c r="B13015">
        <v>2018</v>
      </c>
      <c r="C13015">
        <v>6</v>
      </c>
      <c r="D13015" s="11">
        <v>43252</v>
      </c>
      <c r="E13015" t="s">
        <v>2178</v>
      </c>
      <c r="F13015">
        <v>6</v>
      </c>
      <c r="G13015" t="s">
        <v>57</v>
      </c>
      <c r="H13015" t="s">
        <v>45</v>
      </c>
      <c r="I13015" t="s">
        <v>2193</v>
      </c>
      <c r="J13015" s="10">
        <v>0</v>
      </c>
      <c r="K13015" t="b">
        <v>1</v>
      </c>
    </row>
    <row r="13016" spans="1:11">
      <c r="A13016" s="12">
        <v>43267</v>
      </c>
      <c r="B13016">
        <v>2018</v>
      </c>
      <c r="C13016">
        <v>6</v>
      </c>
      <c r="D13016" s="11">
        <v>43252</v>
      </c>
      <c r="E13016" t="s">
        <v>2178</v>
      </c>
      <c r="F13016">
        <v>6</v>
      </c>
      <c r="G13016" t="s">
        <v>57</v>
      </c>
      <c r="H13016" t="s">
        <v>46</v>
      </c>
      <c r="I13016" t="s">
        <v>2194</v>
      </c>
      <c r="J13016" s="10">
        <v>2</v>
      </c>
      <c r="K13016" t="b">
        <v>1</v>
      </c>
    </row>
    <row r="13017" spans="1:11">
      <c r="A13017" s="12">
        <v>43267</v>
      </c>
      <c r="B13017">
        <v>2018</v>
      </c>
      <c r="C13017">
        <v>6</v>
      </c>
      <c r="D13017" s="11">
        <v>43252</v>
      </c>
      <c r="E13017" t="s">
        <v>2178</v>
      </c>
      <c r="F13017">
        <v>6</v>
      </c>
      <c r="G13017" t="s">
        <v>57</v>
      </c>
      <c r="H13017" t="s">
        <v>47</v>
      </c>
      <c r="I13017" t="s">
        <v>2195</v>
      </c>
      <c r="J13017" s="10">
        <v>7</v>
      </c>
      <c r="K13017" t="b">
        <v>1</v>
      </c>
    </row>
    <row r="13018" spans="1:11">
      <c r="A13018" s="12">
        <v>43268</v>
      </c>
      <c r="B13018">
        <v>2018</v>
      </c>
      <c r="C13018">
        <v>6</v>
      </c>
      <c r="D13018" s="11">
        <v>43252</v>
      </c>
      <c r="E13018" t="s">
        <v>2178</v>
      </c>
      <c r="F13018">
        <v>7</v>
      </c>
      <c r="G13018" t="s">
        <v>59</v>
      </c>
      <c r="H13018" t="s">
        <v>40</v>
      </c>
      <c r="I13018" t="s">
        <v>2188</v>
      </c>
      <c r="J13018" s="10">
        <v>4.84</v>
      </c>
      <c r="K13018" t="b">
        <v>1</v>
      </c>
    </row>
    <row r="13019" spans="1:11">
      <c r="A13019" s="12">
        <v>43268</v>
      </c>
      <c r="B13019">
        <v>2018</v>
      </c>
      <c r="C13019">
        <v>6</v>
      </c>
      <c r="D13019" s="11">
        <v>43252</v>
      </c>
      <c r="E13019" t="s">
        <v>2178</v>
      </c>
      <c r="F13019">
        <v>7</v>
      </c>
      <c r="G13019" t="s">
        <v>59</v>
      </c>
      <c r="H13019" t="s">
        <v>41</v>
      </c>
      <c r="I13019" t="s">
        <v>2189</v>
      </c>
      <c r="J13019" s="10">
        <v>6.586</v>
      </c>
      <c r="K13019" t="b">
        <v>1</v>
      </c>
    </row>
    <row r="13020" spans="1:11">
      <c r="A13020" s="12">
        <v>43268</v>
      </c>
      <c r="B13020">
        <v>2018</v>
      </c>
      <c r="C13020">
        <v>6</v>
      </c>
      <c r="D13020" s="11">
        <v>43252</v>
      </c>
      <c r="E13020" t="s">
        <v>2178</v>
      </c>
      <c r="F13020">
        <v>7</v>
      </c>
      <c r="G13020" t="s">
        <v>59</v>
      </c>
      <c r="H13020" t="s">
        <v>42</v>
      </c>
      <c r="I13020" t="s">
        <v>2190</v>
      </c>
      <c r="J13020" s="10">
        <v>6</v>
      </c>
      <c r="K13020" t="b">
        <v>1</v>
      </c>
    </row>
    <row r="13021" spans="1:11">
      <c r="A13021" s="12">
        <v>43268</v>
      </c>
      <c r="B13021">
        <v>2018</v>
      </c>
      <c r="C13021">
        <v>6</v>
      </c>
      <c r="D13021" s="11">
        <v>43252</v>
      </c>
      <c r="E13021" t="s">
        <v>2178</v>
      </c>
      <c r="F13021">
        <v>7</v>
      </c>
      <c r="G13021" t="s">
        <v>59</v>
      </c>
      <c r="H13021" t="s">
        <v>43</v>
      </c>
      <c r="I13021" t="s">
        <v>2191</v>
      </c>
      <c r="J13021" s="10">
        <v>24</v>
      </c>
      <c r="K13021" t="b">
        <v>1</v>
      </c>
    </row>
    <row r="13022" spans="1:11">
      <c r="A13022" s="12">
        <v>43268</v>
      </c>
      <c r="B13022">
        <v>2018</v>
      </c>
      <c r="C13022">
        <v>6</v>
      </c>
      <c r="D13022" s="11">
        <v>43252</v>
      </c>
      <c r="E13022" t="s">
        <v>2178</v>
      </c>
      <c r="F13022">
        <v>7</v>
      </c>
      <c r="G13022" t="s">
        <v>59</v>
      </c>
      <c r="H13022" t="s">
        <v>44</v>
      </c>
      <c r="I13022" t="s">
        <v>2192</v>
      </c>
      <c r="J13022" s="10">
        <v>10</v>
      </c>
      <c r="K13022" t="b">
        <v>1</v>
      </c>
    </row>
    <row r="13023" spans="1:11">
      <c r="A13023" s="12">
        <v>43268</v>
      </c>
      <c r="B13023">
        <v>2018</v>
      </c>
      <c r="C13023">
        <v>6</v>
      </c>
      <c r="D13023" s="11">
        <v>43252</v>
      </c>
      <c r="E13023" t="s">
        <v>2178</v>
      </c>
      <c r="F13023">
        <v>7</v>
      </c>
      <c r="G13023" t="s">
        <v>59</v>
      </c>
      <c r="H13023" t="s">
        <v>45</v>
      </c>
      <c r="I13023" t="s">
        <v>2193</v>
      </c>
      <c r="J13023" s="10">
        <v>0</v>
      </c>
      <c r="K13023" t="b">
        <v>1</v>
      </c>
    </row>
    <row r="13024" spans="1:11">
      <c r="A13024" s="12">
        <v>43268</v>
      </c>
      <c r="B13024">
        <v>2018</v>
      </c>
      <c r="C13024">
        <v>6</v>
      </c>
      <c r="D13024" s="11">
        <v>43252</v>
      </c>
      <c r="E13024" t="s">
        <v>2178</v>
      </c>
      <c r="F13024">
        <v>7</v>
      </c>
      <c r="G13024" t="s">
        <v>59</v>
      </c>
      <c r="H13024" t="s">
        <v>46</v>
      </c>
      <c r="I13024" t="s">
        <v>2194</v>
      </c>
      <c r="J13024" s="10">
        <v>5</v>
      </c>
      <c r="K13024" t="b">
        <v>1</v>
      </c>
    </row>
    <row r="13025" spans="1:11">
      <c r="A13025" s="12">
        <v>43268</v>
      </c>
      <c r="B13025">
        <v>2018</v>
      </c>
      <c r="C13025">
        <v>6</v>
      </c>
      <c r="D13025" s="11">
        <v>43252</v>
      </c>
      <c r="E13025" t="s">
        <v>2178</v>
      </c>
      <c r="F13025">
        <v>7</v>
      </c>
      <c r="G13025" t="s">
        <v>59</v>
      </c>
      <c r="H13025" t="s">
        <v>47</v>
      </c>
      <c r="I13025" t="s">
        <v>2195</v>
      </c>
      <c r="J13025" s="10">
        <v>4</v>
      </c>
      <c r="K13025" t="b">
        <v>1</v>
      </c>
    </row>
    <row r="13026" spans="1:11">
      <c r="A13026" s="12">
        <v>43269</v>
      </c>
      <c r="B13026">
        <v>2018</v>
      </c>
      <c r="C13026">
        <v>6</v>
      </c>
      <c r="D13026" s="11">
        <v>43252</v>
      </c>
      <c r="E13026" t="s">
        <v>2178</v>
      </c>
      <c r="F13026">
        <v>1</v>
      </c>
      <c r="G13026" t="s">
        <v>61</v>
      </c>
      <c r="H13026" t="s">
        <v>40</v>
      </c>
      <c r="I13026" t="s">
        <v>2188</v>
      </c>
      <c r="J13026" s="10">
        <v>4.5</v>
      </c>
      <c r="K13026" t="b">
        <v>1</v>
      </c>
    </row>
    <row r="13027" spans="1:11">
      <c r="A13027" s="12">
        <v>43269</v>
      </c>
      <c r="B13027">
        <v>2018</v>
      </c>
      <c r="C13027">
        <v>6</v>
      </c>
      <c r="D13027" s="11">
        <v>43252</v>
      </c>
      <c r="E13027" t="s">
        <v>2178</v>
      </c>
      <c r="F13027">
        <v>1</v>
      </c>
      <c r="G13027" t="s">
        <v>61</v>
      </c>
      <c r="H13027" t="s">
        <v>41</v>
      </c>
      <c r="I13027" t="s">
        <v>2189</v>
      </c>
      <c r="J13027" s="10">
        <v>1.33</v>
      </c>
      <c r="K13027" t="b">
        <v>1</v>
      </c>
    </row>
    <row r="13028" spans="1:11">
      <c r="A13028" s="12">
        <v>43269</v>
      </c>
      <c r="B13028">
        <v>2018</v>
      </c>
      <c r="C13028">
        <v>6</v>
      </c>
      <c r="D13028" s="11">
        <v>43252</v>
      </c>
      <c r="E13028" t="s">
        <v>2178</v>
      </c>
      <c r="F13028">
        <v>1</v>
      </c>
      <c r="G13028" t="s">
        <v>61</v>
      </c>
      <c r="H13028" t="s">
        <v>42</v>
      </c>
      <c r="I13028" t="s">
        <v>2190</v>
      </c>
      <c r="J13028" s="10">
        <v>2.1</v>
      </c>
      <c r="K13028" t="b">
        <v>1</v>
      </c>
    </row>
    <row r="13029" spans="1:11">
      <c r="A13029" s="12">
        <v>43269</v>
      </c>
      <c r="B13029">
        <v>2018</v>
      </c>
      <c r="C13029">
        <v>6</v>
      </c>
      <c r="D13029" s="11">
        <v>43252</v>
      </c>
      <c r="E13029" t="s">
        <v>2178</v>
      </c>
      <c r="F13029">
        <v>1</v>
      </c>
      <c r="G13029" t="s">
        <v>61</v>
      </c>
      <c r="H13029" t="s">
        <v>43</v>
      </c>
      <c r="I13029" t="s">
        <v>2191</v>
      </c>
      <c r="J13029" s="10">
        <v>14</v>
      </c>
      <c r="K13029" t="b">
        <v>1</v>
      </c>
    </row>
    <row r="13030" spans="1:11">
      <c r="A13030" s="12">
        <v>43269</v>
      </c>
      <c r="B13030">
        <v>2018</v>
      </c>
      <c r="C13030">
        <v>6</v>
      </c>
      <c r="D13030" s="11">
        <v>43252</v>
      </c>
      <c r="E13030" t="s">
        <v>2178</v>
      </c>
      <c r="F13030">
        <v>1</v>
      </c>
      <c r="G13030" t="s">
        <v>61</v>
      </c>
      <c r="H13030" t="s">
        <v>44</v>
      </c>
      <c r="I13030" t="s">
        <v>2192</v>
      </c>
      <c r="J13030" s="10">
        <v>4</v>
      </c>
      <c r="K13030" t="b">
        <v>1</v>
      </c>
    </row>
    <row r="13031" spans="1:11">
      <c r="A13031" s="12">
        <v>43269</v>
      </c>
      <c r="B13031">
        <v>2018</v>
      </c>
      <c r="C13031">
        <v>6</v>
      </c>
      <c r="D13031" s="11">
        <v>43252</v>
      </c>
      <c r="E13031" t="s">
        <v>2178</v>
      </c>
      <c r="F13031">
        <v>1</v>
      </c>
      <c r="G13031" t="s">
        <v>61</v>
      </c>
      <c r="H13031" t="s">
        <v>45</v>
      </c>
      <c r="I13031" t="s">
        <v>2193</v>
      </c>
      <c r="J13031" s="10">
        <v>0</v>
      </c>
      <c r="K13031" t="b">
        <v>1</v>
      </c>
    </row>
    <row r="13032" spans="1:11">
      <c r="A13032" s="12">
        <v>43269</v>
      </c>
      <c r="B13032">
        <v>2018</v>
      </c>
      <c r="C13032">
        <v>6</v>
      </c>
      <c r="D13032" s="11">
        <v>43252</v>
      </c>
      <c r="E13032" t="s">
        <v>2178</v>
      </c>
      <c r="F13032">
        <v>1</v>
      </c>
      <c r="G13032" t="s">
        <v>61</v>
      </c>
      <c r="H13032" t="s">
        <v>46</v>
      </c>
      <c r="I13032" t="s">
        <v>2194</v>
      </c>
      <c r="J13032" s="10">
        <v>1</v>
      </c>
      <c r="K13032" t="b">
        <v>1</v>
      </c>
    </row>
    <row r="13033" spans="1:11">
      <c r="A13033" s="12">
        <v>43269</v>
      </c>
      <c r="B13033">
        <v>2018</v>
      </c>
      <c r="C13033">
        <v>6</v>
      </c>
      <c r="D13033" s="11">
        <v>43252</v>
      </c>
      <c r="E13033" t="s">
        <v>2178</v>
      </c>
      <c r="F13033">
        <v>1</v>
      </c>
      <c r="G13033" t="s">
        <v>61</v>
      </c>
      <c r="H13033" t="s">
        <v>47</v>
      </c>
      <c r="I13033" t="s">
        <v>2195</v>
      </c>
      <c r="J13033" s="10">
        <v>6</v>
      </c>
      <c r="K13033" t="b">
        <v>1</v>
      </c>
    </row>
    <row r="13034" spans="1:11">
      <c r="A13034" s="12">
        <v>43270</v>
      </c>
      <c r="B13034">
        <v>2018</v>
      </c>
      <c r="C13034">
        <v>6</v>
      </c>
      <c r="D13034" s="11">
        <v>43252</v>
      </c>
      <c r="E13034" t="s">
        <v>2178</v>
      </c>
      <c r="F13034">
        <v>2</v>
      </c>
      <c r="G13034" t="s">
        <v>63</v>
      </c>
      <c r="H13034" t="s">
        <v>40</v>
      </c>
      <c r="I13034" t="s">
        <v>2188</v>
      </c>
      <c r="J13034" s="10">
        <v>4</v>
      </c>
      <c r="K13034" t="b">
        <v>1</v>
      </c>
    </row>
    <row r="13035" spans="1:11">
      <c r="A13035" s="12">
        <v>43270</v>
      </c>
      <c r="B13035">
        <v>2018</v>
      </c>
      <c r="C13035">
        <v>6</v>
      </c>
      <c r="D13035" s="11">
        <v>43252</v>
      </c>
      <c r="E13035" t="s">
        <v>2178</v>
      </c>
      <c r="F13035">
        <v>2</v>
      </c>
      <c r="G13035" t="s">
        <v>63</v>
      </c>
      <c r="H13035" t="s">
        <v>41</v>
      </c>
      <c r="I13035" t="s">
        <v>2189</v>
      </c>
      <c r="J13035" s="10">
        <v>3.34</v>
      </c>
      <c r="K13035" t="b">
        <v>1</v>
      </c>
    </row>
    <row r="13036" spans="1:11">
      <c r="A13036" s="12">
        <v>43270</v>
      </c>
      <c r="B13036">
        <v>2018</v>
      </c>
      <c r="C13036">
        <v>6</v>
      </c>
      <c r="D13036" s="11">
        <v>43252</v>
      </c>
      <c r="E13036" t="s">
        <v>2178</v>
      </c>
      <c r="F13036">
        <v>2</v>
      </c>
      <c r="G13036" t="s">
        <v>63</v>
      </c>
      <c r="H13036" t="s">
        <v>42</v>
      </c>
      <c r="I13036" t="s">
        <v>2190</v>
      </c>
      <c r="J13036" s="10">
        <v>4</v>
      </c>
      <c r="K13036" t="b">
        <v>1</v>
      </c>
    </row>
    <row r="13037" spans="1:11">
      <c r="A13037" s="12">
        <v>43270</v>
      </c>
      <c r="B13037">
        <v>2018</v>
      </c>
      <c r="C13037">
        <v>6</v>
      </c>
      <c r="D13037" s="11">
        <v>43252</v>
      </c>
      <c r="E13037" t="s">
        <v>2178</v>
      </c>
      <c r="F13037">
        <v>2</v>
      </c>
      <c r="G13037" t="s">
        <v>63</v>
      </c>
      <c r="H13037" t="s">
        <v>43</v>
      </c>
      <c r="I13037" t="s">
        <v>2191</v>
      </c>
      <c r="J13037" s="10">
        <v>23</v>
      </c>
      <c r="K13037" t="b">
        <v>1</v>
      </c>
    </row>
    <row r="13038" spans="1:11">
      <c r="A13038" s="12">
        <v>43270</v>
      </c>
      <c r="B13038">
        <v>2018</v>
      </c>
      <c r="C13038">
        <v>6</v>
      </c>
      <c r="D13038" s="11">
        <v>43252</v>
      </c>
      <c r="E13038" t="s">
        <v>2178</v>
      </c>
      <c r="F13038">
        <v>2</v>
      </c>
      <c r="G13038" t="s">
        <v>63</v>
      </c>
      <c r="H13038" t="s">
        <v>44</v>
      </c>
      <c r="I13038" t="s">
        <v>2192</v>
      </c>
      <c r="J13038" s="10">
        <v>8</v>
      </c>
      <c r="K13038" t="b">
        <v>1</v>
      </c>
    </row>
    <row r="13039" spans="1:11">
      <c r="A13039" s="12">
        <v>43270</v>
      </c>
      <c r="B13039">
        <v>2018</v>
      </c>
      <c r="C13039">
        <v>6</v>
      </c>
      <c r="D13039" s="11">
        <v>43252</v>
      </c>
      <c r="E13039" t="s">
        <v>2178</v>
      </c>
      <c r="F13039">
        <v>2</v>
      </c>
      <c r="G13039" t="s">
        <v>63</v>
      </c>
      <c r="H13039" t="s">
        <v>45</v>
      </c>
      <c r="I13039" t="s">
        <v>2193</v>
      </c>
      <c r="J13039" s="10">
        <v>0</v>
      </c>
      <c r="K13039" t="b">
        <v>1</v>
      </c>
    </row>
    <row r="13040" spans="1:11">
      <c r="A13040" s="12">
        <v>43270</v>
      </c>
      <c r="B13040">
        <v>2018</v>
      </c>
      <c r="C13040">
        <v>6</v>
      </c>
      <c r="D13040" s="11">
        <v>43252</v>
      </c>
      <c r="E13040" t="s">
        <v>2178</v>
      </c>
      <c r="F13040">
        <v>2</v>
      </c>
      <c r="G13040" t="s">
        <v>63</v>
      </c>
      <c r="H13040" t="s">
        <v>46</v>
      </c>
      <c r="I13040" t="s">
        <v>2194</v>
      </c>
      <c r="J13040" s="10">
        <v>5</v>
      </c>
      <c r="K13040" t="b">
        <v>1</v>
      </c>
    </row>
    <row r="13041" spans="1:11">
      <c r="A13041" s="12">
        <v>43270</v>
      </c>
      <c r="B13041">
        <v>2018</v>
      </c>
      <c r="C13041">
        <v>6</v>
      </c>
      <c r="D13041" s="11">
        <v>43252</v>
      </c>
      <c r="E13041" t="s">
        <v>2178</v>
      </c>
      <c r="F13041">
        <v>2</v>
      </c>
      <c r="G13041" t="s">
        <v>63</v>
      </c>
      <c r="H13041" t="s">
        <v>47</v>
      </c>
      <c r="I13041" t="s">
        <v>2195</v>
      </c>
      <c r="J13041" s="10">
        <v>3</v>
      </c>
      <c r="K13041" t="b">
        <v>1</v>
      </c>
    </row>
    <row r="13042" spans="1:11">
      <c r="A13042" s="12">
        <v>43271</v>
      </c>
      <c r="B13042">
        <v>2018</v>
      </c>
      <c r="C13042">
        <v>6</v>
      </c>
      <c r="D13042" s="11">
        <v>43252</v>
      </c>
      <c r="E13042" t="s">
        <v>2178</v>
      </c>
      <c r="F13042">
        <v>3</v>
      </c>
      <c r="G13042" t="s">
        <v>65</v>
      </c>
      <c r="H13042" t="s">
        <v>40</v>
      </c>
      <c r="I13042" t="s">
        <v>2188</v>
      </c>
      <c r="J13042" s="10">
        <v>3.66</v>
      </c>
      <c r="K13042" t="b">
        <v>1</v>
      </c>
    </row>
    <row r="13043" spans="1:11">
      <c r="A13043" s="12">
        <v>43271</v>
      </c>
      <c r="B13043">
        <v>2018</v>
      </c>
      <c r="C13043">
        <v>6</v>
      </c>
      <c r="D13043" s="11">
        <v>43252</v>
      </c>
      <c r="E13043" t="s">
        <v>2178</v>
      </c>
      <c r="F13043">
        <v>3</v>
      </c>
      <c r="G13043" t="s">
        <v>65</v>
      </c>
      <c r="H13043" t="s">
        <v>41</v>
      </c>
      <c r="I13043" t="s">
        <v>2189</v>
      </c>
      <c r="J13043" s="10">
        <v>4.528</v>
      </c>
      <c r="K13043" t="b">
        <v>1</v>
      </c>
    </row>
    <row r="13044" spans="1:11">
      <c r="A13044" s="12">
        <v>43271</v>
      </c>
      <c r="B13044">
        <v>2018</v>
      </c>
      <c r="C13044">
        <v>6</v>
      </c>
      <c r="D13044" s="11">
        <v>43252</v>
      </c>
      <c r="E13044" t="s">
        <v>2178</v>
      </c>
      <c r="F13044">
        <v>3</v>
      </c>
      <c r="G13044" t="s">
        <v>65</v>
      </c>
      <c r="H13044" t="s">
        <v>42</v>
      </c>
      <c r="I13044" t="s">
        <v>2190</v>
      </c>
      <c r="J13044" s="10">
        <v>2.5</v>
      </c>
      <c r="K13044" t="b">
        <v>1</v>
      </c>
    </row>
    <row r="13045" spans="1:11">
      <c r="A13045" s="12">
        <v>43271</v>
      </c>
      <c r="B13045">
        <v>2018</v>
      </c>
      <c r="C13045">
        <v>6</v>
      </c>
      <c r="D13045" s="11">
        <v>43252</v>
      </c>
      <c r="E13045" t="s">
        <v>2178</v>
      </c>
      <c r="F13045">
        <v>3</v>
      </c>
      <c r="G13045" t="s">
        <v>65</v>
      </c>
      <c r="H13045" t="s">
        <v>43</v>
      </c>
      <c r="I13045" t="s">
        <v>2191</v>
      </c>
      <c r="J13045" s="10">
        <v>15.062</v>
      </c>
      <c r="K13045" t="b">
        <v>1</v>
      </c>
    </row>
    <row r="13046" spans="1:11">
      <c r="A13046" s="12">
        <v>43271</v>
      </c>
      <c r="B13046">
        <v>2018</v>
      </c>
      <c r="C13046">
        <v>6</v>
      </c>
      <c r="D13046" s="11">
        <v>43252</v>
      </c>
      <c r="E13046" t="s">
        <v>2178</v>
      </c>
      <c r="F13046">
        <v>3</v>
      </c>
      <c r="G13046" t="s">
        <v>65</v>
      </c>
      <c r="H13046" t="s">
        <v>44</v>
      </c>
      <c r="I13046" t="s">
        <v>2192</v>
      </c>
      <c r="J13046" s="10">
        <v>8</v>
      </c>
      <c r="K13046" t="b">
        <v>1</v>
      </c>
    </row>
    <row r="13047" spans="1:11">
      <c r="A13047" s="12">
        <v>43271</v>
      </c>
      <c r="B13047">
        <v>2018</v>
      </c>
      <c r="C13047">
        <v>6</v>
      </c>
      <c r="D13047" s="11">
        <v>43252</v>
      </c>
      <c r="E13047" t="s">
        <v>2178</v>
      </c>
      <c r="F13047">
        <v>3</v>
      </c>
      <c r="G13047" t="s">
        <v>65</v>
      </c>
      <c r="H13047" t="s">
        <v>45</v>
      </c>
      <c r="I13047" t="s">
        <v>2193</v>
      </c>
      <c r="J13047" s="10">
        <v>3</v>
      </c>
      <c r="K13047" t="b">
        <v>1</v>
      </c>
    </row>
    <row r="13048" spans="1:11">
      <c r="A13048" s="12">
        <v>43271</v>
      </c>
      <c r="B13048">
        <v>2018</v>
      </c>
      <c r="C13048">
        <v>6</v>
      </c>
      <c r="D13048" s="11">
        <v>43252</v>
      </c>
      <c r="E13048" t="s">
        <v>2178</v>
      </c>
      <c r="F13048">
        <v>3</v>
      </c>
      <c r="G13048" t="s">
        <v>65</v>
      </c>
      <c r="H13048" t="s">
        <v>46</v>
      </c>
      <c r="I13048" t="s">
        <v>2194</v>
      </c>
      <c r="J13048" s="10">
        <v>11</v>
      </c>
      <c r="K13048" t="b">
        <v>1</v>
      </c>
    </row>
    <row r="13049" spans="1:11">
      <c r="A13049" s="12">
        <v>43271</v>
      </c>
      <c r="B13049">
        <v>2018</v>
      </c>
      <c r="C13049">
        <v>6</v>
      </c>
      <c r="D13049" s="11">
        <v>43252</v>
      </c>
      <c r="E13049" t="s">
        <v>2178</v>
      </c>
      <c r="F13049">
        <v>3</v>
      </c>
      <c r="G13049" t="s">
        <v>65</v>
      </c>
      <c r="H13049" t="s">
        <v>47</v>
      </c>
      <c r="I13049" t="s">
        <v>2195</v>
      </c>
      <c r="J13049" s="10">
        <v>2.6</v>
      </c>
      <c r="K13049" t="b">
        <v>1</v>
      </c>
    </row>
    <row r="13050" spans="1:11">
      <c r="A13050" s="12">
        <v>43272</v>
      </c>
      <c r="B13050">
        <v>2018</v>
      </c>
      <c r="C13050">
        <v>6</v>
      </c>
      <c r="D13050" s="11">
        <v>43252</v>
      </c>
      <c r="E13050" t="s">
        <v>2178</v>
      </c>
      <c r="F13050">
        <v>4</v>
      </c>
      <c r="G13050" t="s">
        <v>53</v>
      </c>
      <c r="H13050" t="s">
        <v>40</v>
      </c>
      <c r="I13050" t="s">
        <v>2188</v>
      </c>
      <c r="J13050" s="10">
        <v>3.35</v>
      </c>
      <c r="K13050" t="b">
        <v>1</v>
      </c>
    </row>
    <row r="13051" spans="1:11">
      <c r="A13051" s="12">
        <v>43272</v>
      </c>
      <c r="B13051">
        <v>2018</v>
      </c>
      <c r="C13051">
        <v>6</v>
      </c>
      <c r="D13051" s="11">
        <v>43252</v>
      </c>
      <c r="E13051" t="s">
        <v>2178</v>
      </c>
      <c r="F13051">
        <v>4</v>
      </c>
      <c r="G13051" t="s">
        <v>53</v>
      </c>
      <c r="H13051" t="s">
        <v>41</v>
      </c>
      <c r="I13051" t="s">
        <v>2189</v>
      </c>
      <c r="J13051" s="10">
        <v>2.913</v>
      </c>
      <c r="K13051" t="b">
        <v>1</v>
      </c>
    </row>
    <row r="13052" spans="1:11">
      <c r="A13052" s="12">
        <v>43272</v>
      </c>
      <c r="B13052">
        <v>2018</v>
      </c>
      <c r="C13052">
        <v>6</v>
      </c>
      <c r="D13052" s="11">
        <v>43252</v>
      </c>
      <c r="E13052" t="s">
        <v>2178</v>
      </c>
      <c r="F13052">
        <v>4</v>
      </c>
      <c r="G13052" t="s">
        <v>53</v>
      </c>
      <c r="H13052" t="s">
        <v>42</v>
      </c>
      <c r="I13052" t="s">
        <v>2190</v>
      </c>
      <c r="J13052" s="10">
        <v>4</v>
      </c>
      <c r="K13052" t="b">
        <v>1</v>
      </c>
    </row>
    <row r="13053" spans="1:11">
      <c r="A13053" s="12">
        <v>43272</v>
      </c>
      <c r="B13053">
        <v>2018</v>
      </c>
      <c r="C13053">
        <v>6</v>
      </c>
      <c r="D13053" s="11">
        <v>43252</v>
      </c>
      <c r="E13053" t="s">
        <v>2178</v>
      </c>
      <c r="F13053">
        <v>4</v>
      </c>
      <c r="G13053" t="s">
        <v>53</v>
      </c>
      <c r="H13053" t="s">
        <v>43</v>
      </c>
      <c r="I13053" t="s">
        <v>2191</v>
      </c>
      <c r="J13053" s="10">
        <v>36</v>
      </c>
      <c r="K13053" t="b">
        <v>1</v>
      </c>
    </row>
    <row r="13054" spans="1:11">
      <c r="A13054" s="12">
        <v>43272</v>
      </c>
      <c r="B13054">
        <v>2018</v>
      </c>
      <c r="C13054">
        <v>6</v>
      </c>
      <c r="D13054" s="11">
        <v>43252</v>
      </c>
      <c r="E13054" t="s">
        <v>2178</v>
      </c>
      <c r="F13054">
        <v>4</v>
      </c>
      <c r="G13054" t="s">
        <v>53</v>
      </c>
      <c r="H13054" t="s">
        <v>44</v>
      </c>
      <c r="I13054" t="s">
        <v>2192</v>
      </c>
      <c r="J13054" s="10">
        <v>5</v>
      </c>
      <c r="K13054" t="b">
        <v>1</v>
      </c>
    </row>
    <row r="13055" spans="1:11">
      <c r="A13055" s="12">
        <v>43272</v>
      </c>
      <c r="B13055">
        <v>2018</v>
      </c>
      <c r="C13055">
        <v>6</v>
      </c>
      <c r="D13055" s="11">
        <v>43252</v>
      </c>
      <c r="E13055" t="s">
        <v>2178</v>
      </c>
      <c r="F13055">
        <v>4</v>
      </c>
      <c r="G13055" t="s">
        <v>53</v>
      </c>
      <c r="H13055" t="s">
        <v>45</v>
      </c>
      <c r="I13055" t="s">
        <v>2193</v>
      </c>
      <c r="J13055" s="10">
        <v>0</v>
      </c>
      <c r="K13055" t="b">
        <v>1</v>
      </c>
    </row>
    <row r="13056" spans="1:11">
      <c r="A13056" s="12">
        <v>43272</v>
      </c>
      <c r="B13056">
        <v>2018</v>
      </c>
      <c r="C13056">
        <v>6</v>
      </c>
      <c r="D13056" s="11">
        <v>43252</v>
      </c>
      <c r="E13056" t="s">
        <v>2178</v>
      </c>
      <c r="F13056">
        <v>4</v>
      </c>
      <c r="G13056" t="s">
        <v>53</v>
      </c>
      <c r="H13056" t="s">
        <v>46</v>
      </c>
      <c r="I13056" t="s">
        <v>2194</v>
      </c>
      <c r="J13056" s="10">
        <v>5</v>
      </c>
      <c r="K13056" t="b">
        <v>1</v>
      </c>
    </row>
    <row r="13057" spans="1:11">
      <c r="A13057" s="12">
        <v>43272</v>
      </c>
      <c r="B13057">
        <v>2018</v>
      </c>
      <c r="C13057">
        <v>6</v>
      </c>
      <c r="D13057" s="11">
        <v>43252</v>
      </c>
      <c r="E13057" t="s">
        <v>2178</v>
      </c>
      <c r="F13057">
        <v>4</v>
      </c>
      <c r="G13057" t="s">
        <v>53</v>
      </c>
      <c r="H13057" t="s">
        <v>47</v>
      </c>
      <c r="I13057" t="s">
        <v>2195</v>
      </c>
      <c r="J13057" s="10">
        <v>10.5</v>
      </c>
      <c r="K13057" t="b">
        <v>1</v>
      </c>
    </row>
    <row r="13058" spans="1:11">
      <c r="A13058" s="12">
        <v>43273</v>
      </c>
      <c r="B13058">
        <v>2018</v>
      </c>
      <c r="C13058">
        <v>6</v>
      </c>
      <c r="D13058" s="11">
        <v>43252</v>
      </c>
      <c r="E13058" t="s">
        <v>2178</v>
      </c>
      <c r="F13058">
        <v>5</v>
      </c>
      <c r="G13058" t="s">
        <v>55</v>
      </c>
      <c r="H13058" t="s">
        <v>40</v>
      </c>
      <c r="I13058" t="s">
        <v>2188</v>
      </c>
      <c r="J13058" s="10">
        <v>5</v>
      </c>
      <c r="K13058" t="b">
        <v>1</v>
      </c>
    </row>
    <row r="13059" spans="1:11">
      <c r="A13059" s="12">
        <v>43273</v>
      </c>
      <c r="B13059">
        <v>2018</v>
      </c>
      <c r="C13059">
        <v>6</v>
      </c>
      <c r="D13059" s="11">
        <v>43252</v>
      </c>
      <c r="E13059" t="s">
        <v>2178</v>
      </c>
      <c r="F13059">
        <v>5</v>
      </c>
      <c r="G13059" t="s">
        <v>55</v>
      </c>
      <c r="H13059" t="s">
        <v>41</v>
      </c>
      <c r="I13059" t="s">
        <v>2189</v>
      </c>
      <c r="J13059" s="10">
        <v>5.099</v>
      </c>
      <c r="K13059" t="b">
        <v>1</v>
      </c>
    </row>
    <row r="13060" spans="1:11">
      <c r="A13060" s="12">
        <v>43273</v>
      </c>
      <c r="B13060">
        <v>2018</v>
      </c>
      <c r="C13060">
        <v>6</v>
      </c>
      <c r="D13060" s="11">
        <v>43252</v>
      </c>
      <c r="E13060" t="s">
        <v>2178</v>
      </c>
      <c r="F13060">
        <v>5</v>
      </c>
      <c r="G13060" t="s">
        <v>55</v>
      </c>
      <c r="H13060" t="s">
        <v>42</v>
      </c>
      <c r="I13060" t="s">
        <v>2190</v>
      </c>
      <c r="J13060" s="10">
        <v>4.15</v>
      </c>
      <c r="K13060" t="b">
        <v>1</v>
      </c>
    </row>
    <row r="13061" spans="1:11">
      <c r="A13061" s="12">
        <v>43273</v>
      </c>
      <c r="B13061">
        <v>2018</v>
      </c>
      <c r="C13061">
        <v>6</v>
      </c>
      <c r="D13061" s="11">
        <v>43252</v>
      </c>
      <c r="E13061" t="s">
        <v>2178</v>
      </c>
      <c r="F13061">
        <v>5</v>
      </c>
      <c r="G13061" t="s">
        <v>55</v>
      </c>
      <c r="H13061" t="s">
        <v>43</v>
      </c>
      <c r="I13061" t="s">
        <v>2191</v>
      </c>
      <c r="J13061" s="10">
        <v>12</v>
      </c>
      <c r="K13061" t="b">
        <v>1</v>
      </c>
    </row>
    <row r="13062" spans="1:11">
      <c r="A13062" s="12">
        <v>43273</v>
      </c>
      <c r="B13062">
        <v>2018</v>
      </c>
      <c r="C13062">
        <v>6</v>
      </c>
      <c r="D13062" s="11">
        <v>43252</v>
      </c>
      <c r="E13062" t="s">
        <v>2178</v>
      </c>
      <c r="F13062">
        <v>5</v>
      </c>
      <c r="G13062" t="s">
        <v>55</v>
      </c>
      <c r="H13062" t="s">
        <v>44</v>
      </c>
      <c r="I13062" t="s">
        <v>2192</v>
      </c>
      <c r="J13062" s="10">
        <v>3</v>
      </c>
      <c r="K13062" t="b">
        <v>1</v>
      </c>
    </row>
    <row r="13063" spans="1:11">
      <c r="A13063" s="12">
        <v>43273</v>
      </c>
      <c r="B13063">
        <v>2018</v>
      </c>
      <c r="C13063">
        <v>6</v>
      </c>
      <c r="D13063" s="11">
        <v>43252</v>
      </c>
      <c r="E13063" t="s">
        <v>2178</v>
      </c>
      <c r="F13063">
        <v>5</v>
      </c>
      <c r="G13063" t="s">
        <v>55</v>
      </c>
      <c r="H13063" t="s">
        <v>45</v>
      </c>
      <c r="I13063" t="s">
        <v>2193</v>
      </c>
      <c r="J13063" s="10">
        <v>0</v>
      </c>
      <c r="K13063" t="b">
        <v>1</v>
      </c>
    </row>
    <row r="13064" spans="1:11">
      <c r="A13064" s="12">
        <v>43273</v>
      </c>
      <c r="B13064">
        <v>2018</v>
      </c>
      <c r="C13064">
        <v>6</v>
      </c>
      <c r="D13064" s="11">
        <v>43252</v>
      </c>
      <c r="E13064" t="s">
        <v>2178</v>
      </c>
      <c r="F13064">
        <v>5</v>
      </c>
      <c r="G13064" t="s">
        <v>55</v>
      </c>
      <c r="H13064" t="s">
        <v>46</v>
      </c>
      <c r="I13064" t="s">
        <v>2194</v>
      </c>
      <c r="J13064" s="10">
        <v>6</v>
      </c>
      <c r="K13064" t="b">
        <v>1</v>
      </c>
    </row>
    <row r="13065" spans="1:11">
      <c r="A13065" s="12">
        <v>43273</v>
      </c>
      <c r="B13065">
        <v>2018</v>
      </c>
      <c r="C13065">
        <v>6</v>
      </c>
      <c r="D13065" s="11">
        <v>43252</v>
      </c>
      <c r="E13065" t="s">
        <v>2178</v>
      </c>
      <c r="F13065">
        <v>5</v>
      </c>
      <c r="G13065" t="s">
        <v>55</v>
      </c>
      <c r="H13065" t="s">
        <v>47</v>
      </c>
      <c r="I13065" t="s">
        <v>2195</v>
      </c>
      <c r="J13065" s="10">
        <v>5.5</v>
      </c>
      <c r="K13065" t="b">
        <v>1</v>
      </c>
    </row>
    <row r="13066" spans="1:11">
      <c r="A13066" s="12">
        <v>43274</v>
      </c>
      <c r="B13066">
        <v>2018</v>
      </c>
      <c r="C13066">
        <v>6</v>
      </c>
      <c r="D13066" s="11">
        <v>43252</v>
      </c>
      <c r="E13066" t="s">
        <v>2178</v>
      </c>
      <c r="F13066">
        <v>6</v>
      </c>
      <c r="G13066" t="s">
        <v>57</v>
      </c>
      <c r="H13066" t="s">
        <v>40</v>
      </c>
      <c r="I13066" t="s">
        <v>2188</v>
      </c>
      <c r="J13066" s="10">
        <v>5.33</v>
      </c>
      <c r="K13066" t="b">
        <v>1</v>
      </c>
    </row>
    <row r="13067" spans="1:11">
      <c r="A13067" s="12">
        <v>43274</v>
      </c>
      <c r="B13067">
        <v>2018</v>
      </c>
      <c r="C13067">
        <v>6</v>
      </c>
      <c r="D13067" s="11">
        <v>43252</v>
      </c>
      <c r="E13067" t="s">
        <v>2178</v>
      </c>
      <c r="F13067">
        <v>6</v>
      </c>
      <c r="G13067" t="s">
        <v>57</v>
      </c>
      <c r="H13067" t="s">
        <v>41</v>
      </c>
      <c r="I13067" t="s">
        <v>2189</v>
      </c>
      <c r="J13067" s="10">
        <v>7.343</v>
      </c>
      <c r="K13067" t="b">
        <v>1</v>
      </c>
    </row>
    <row r="13068" spans="1:11">
      <c r="A13068" s="12">
        <v>43274</v>
      </c>
      <c r="B13068">
        <v>2018</v>
      </c>
      <c r="C13068">
        <v>6</v>
      </c>
      <c r="D13068" s="11">
        <v>43252</v>
      </c>
      <c r="E13068" t="s">
        <v>2178</v>
      </c>
      <c r="F13068">
        <v>6</v>
      </c>
      <c r="G13068" t="s">
        <v>57</v>
      </c>
      <c r="H13068" t="s">
        <v>42</v>
      </c>
      <c r="I13068" t="s">
        <v>2190</v>
      </c>
      <c r="J13068" s="10">
        <v>2</v>
      </c>
      <c r="K13068" t="b">
        <v>1</v>
      </c>
    </row>
    <row r="13069" spans="1:11">
      <c r="A13069" s="12">
        <v>43274</v>
      </c>
      <c r="B13069">
        <v>2018</v>
      </c>
      <c r="C13069">
        <v>6</v>
      </c>
      <c r="D13069" s="11">
        <v>43252</v>
      </c>
      <c r="E13069" t="s">
        <v>2178</v>
      </c>
      <c r="F13069">
        <v>6</v>
      </c>
      <c r="G13069" t="s">
        <v>57</v>
      </c>
      <c r="H13069" t="s">
        <v>43</v>
      </c>
      <c r="I13069" t="s">
        <v>2191</v>
      </c>
      <c r="J13069" s="10">
        <v>14</v>
      </c>
      <c r="K13069" t="b">
        <v>1</v>
      </c>
    </row>
    <row r="13070" spans="1:11">
      <c r="A13070" s="12">
        <v>43274</v>
      </c>
      <c r="B13070">
        <v>2018</v>
      </c>
      <c r="C13070">
        <v>6</v>
      </c>
      <c r="D13070" s="11">
        <v>43252</v>
      </c>
      <c r="E13070" t="s">
        <v>2178</v>
      </c>
      <c r="F13070">
        <v>6</v>
      </c>
      <c r="G13070" t="s">
        <v>57</v>
      </c>
      <c r="H13070" t="s">
        <v>44</v>
      </c>
      <c r="I13070" t="s">
        <v>2192</v>
      </c>
      <c r="J13070" s="10">
        <v>7</v>
      </c>
      <c r="K13070" t="b">
        <v>1</v>
      </c>
    </row>
    <row r="13071" spans="1:11">
      <c r="A13071" s="12">
        <v>43274</v>
      </c>
      <c r="B13071">
        <v>2018</v>
      </c>
      <c r="C13071">
        <v>6</v>
      </c>
      <c r="D13071" s="11">
        <v>43252</v>
      </c>
      <c r="E13071" t="s">
        <v>2178</v>
      </c>
      <c r="F13071">
        <v>6</v>
      </c>
      <c r="G13071" t="s">
        <v>57</v>
      </c>
      <c r="H13071" t="s">
        <v>45</v>
      </c>
      <c r="I13071" t="s">
        <v>2193</v>
      </c>
      <c r="J13071" s="10">
        <v>0</v>
      </c>
      <c r="K13071" t="b">
        <v>1</v>
      </c>
    </row>
    <row r="13072" spans="1:11">
      <c r="A13072" s="12">
        <v>43274</v>
      </c>
      <c r="B13072">
        <v>2018</v>
      </c>
      <c r="C13072">
        <v>6</v>
      </c>
      <c r="D13072" s="11">
        <v>43252</v>
      </c>
      <c r="E13072" t="s">
        <v>2178</v>
      </c>
      <c r="F13072">
        <v>6</v>
      </c>
      <c r="G13072" t="s">
        <v>57</v>
      </c>
      <c r="H13072" t="s">
        <v>46</v>
      </c>
      <c r="I13072" t="s">
        <v>2194</v>
      </c>
      <c r="J13072" s="10">
        <v>1</v>
      </c>
      <c r="K13072" t="b">
        <v>1</v>
      </c>
    </row>
    <row r="13073" spans="1:11">
      <c r="A13073" s="12">
        <v>43274</v>
      </c>
      <c r="B13073">
        <v>2018</v>
      </c>
      <c r="C13073">
        <v>6</v>
      </c>
      <c r="D13073" s="11">
        <v>43252</v>
      </c>
      <c r="E13073" t="s">
        <v>2178</v>
      </c>
      <c r="F13073">
        <v>6</v>
      </c>
      <c r="G13073" t="s">
        <v>57</v>
      </c>
      <c r="H13073" t="s">
        <v>47</v>
      </c>
      <c r="I13073" t="s">
        <v>2195</v>
      </c>
      <c r="J13073" s="10">
        <v>2</v>
      </c>
      <c r="K13073" t="b">
        <v>1</v>
      </c>
    </row>
    <row r="13074" spans="1:11">
      <c r="A13074" s="12">
        <v>43275</v>
      </c>
      <c r="B13074">
        <v>2018</v>
      </c>
      <c r="C13074">
        <v>6</v>
      </c>
      <c r="D13074" s="11">
        <v>43252</v>
      </c>
      <c r="E13074" t="s">
        <v>2178</v>
      </c>
      <c r="F13074">
        <v>7</v>
      </c>
      <c r="G13074" t="s">
        <v>59</v>
      </c>
      <c r="H13074" t="s">
        <v>40</v>
      </c>
      <c r="I13074" t="s">
        <v>2188</v>
      </c>
      <c r="J13074" s="10">
        <v>1.67</v>
      </c>
      <c r="K13074" t="b">
        <v>1</v>
      </c>
    </row>
    <row r="13075" spans="1:11">
      <c r="A13075" s="12">
        <v>43275</v>
      </c>
      <c r="B13075">
        <v>2018</v>
      </c>
      <c r="C13075">
        <v>6</v>
      </c>
      <c r="D13075" s="11">
        <v>43252</v>
      </c>
      <c r="E13075" t="s">
        <v>2178</v>
      </c>
      <c r="F13075">
        <v>7</v>
      </c>
      <c r="G13075" t="s">
        <v>59</v>
      </c>
      <c r="H13075" t="s">
        <v>41</v>
      </c>
      <c r="I13075" t="s">
        <v>2189</v>
      </c>
      <c r="J13075" s="10">
        <v>4.746</v>
      </c>
      <c r="K13075" t="b">
        <v>1</v>
      </c>
    </row>
    <row r="13076" spans="1:11">
      <c r="A13076" s="12">
        <v>43275</v>
      </c>
      <c r="B13076">
        <v>2018</v>
      </c>
      <c r="C13076">
        <v>6</v>
      </c>
      <c r="D13076" s="11">
        <v>43252</v>
      </c>
      <c r="E13076" t="s">
        <v>2178</v>
      </c>
      <c r="F13076">
        <v>7</v>
      </c>
      <c r="G13076" t="s">
        <v>59</v>
      </c>
      <c r="H13076" t="s">
        <v>42</v>
      </c>
      <c r="I13076" t="s">
        <v>2190</v>
      </c>
      <c r="J13076" s="10">
        <v>2</v>
      </c>
      <c r="K13076" t="b">
        <v>1</v>
      </c>
    </row>
    <row r="13077" spans="1:11">
      <c r="A13077" s="12">
        <v>43275</v>
      </c>
      <c r="B13077">
        <v>2018</v>
      </c>
      <c r="C13077">
        <v>6</v>
      </c>
      <c r="D13077" s="11">
        <v>43252</v>
      </c>
      <c r="E13077" t="s">
        <v>2178</v>
      </c>
      <c r="F13077">
        <v>7</v>
      </c>
      <c r="G13077" t="s">
        <v>59</v>
      </c>
      <c r="H13077" t="s">
        <v>43</v>
      </c>
      <c r="I13077" t="s">
        <v>2191</v>
      </c>
      <c r="J13077" s="10">
        <v>29</v>
      </c>
      <c r="K13077" t="b">
        <v>1</v>
      </c>
    </row>
    <row r="13078" spans="1:11">
      <c r="A13078" s="12">
        <v>43275</v>
      </c>
      <c r="B13078">
        <v>2018</v>
      </c>
      <c r="C13078">
        <v>6</v>
      </c>
      <c r="D13078" s="11">
        <v>43252</v>
      </c>
      <c r="E13078" t="s">
        <v>2178</v>
      </c>
      <c r="F13078">
        <v>7</v>
      </c>
      <c r="G13078" t="s">
        <v>59</v>
      </c>
      <c r="H13078" t="s">
        <v>44</v>
      </c>
      <c r="I13078" t="s">
        <v>2192</v>
      </c>
      <c r="J13078" s="10">
        <v>10</v>
      </c>
      <c r="K13078" t="b">
        <v>1</v>
      </c>
    </row>
    <row r="13079" spans="1:11">
      <c r="A13079" s="12">
        <v>43275</v>
      </c>
      <c r="B13079">
        <v>2018</v>
      </c>
      <c r="C13079">
        <v>6</v>
      </c>
      <c r="D13079" s="11">
        <v>43252</v>
      </c>
      <c r="E13079" t="s">
        <v>2178</v>
      </c>
      <c r="F13079">
        <v>7</v>
      </c>
      <c r="G13079" t="s">
        <v>59</v>
      </c>
      <c r="H13079" t="s">
        <v>45</v>
      </c>
      <c r="I13079" t="s">
        <v>2193</v>
      </c>
      <c r="J13079" s="10">
        <v>0</v>
      </c>
      <c r="K13079" t="b">
        <v>1</v>
      </c>
    </row>
    <row r="13080" spans="1:11">
      <c r="A13080" s="12">
        <v>43275</v>
      </c>
      <c r="B13080">
        <v>2018</v>
      </c>
      <c r="C13080">
        <v>6</v>
      </c>
      <c r="D13080" s="11">
        <v>43252</v>
      </c>
      <c r="E13080" t="s">
        <v>2178</v>
      </c>
      <c r="F13080">
        <v>7</v>
      </c>
      <c r="G13080" t="s">
        <v>59</v>
      </c>
      <c r="H13080" t="s">
        <v>46</v>
      </c>
      <c r="I13080" t="s">
        <v>2194</v>
      </c>
      <c r="J13080" s="10">
        <v>0</v>
      </c>
      <c r="K13080" t="b">
        <v>1</v>
      </c>
    </row>
    <row r="13081" spans="1:11">
      <c r="A13081" s="12">
        <v>43275</v>
      </c>
      <c r="B13081">
        <v>2018</v>
      </c>
      <c r="C13081">
        <v>6</v>
      </c>
      <c r="D13081" s="11">
        <v>43252</v>
      </c>
      <c r="E13081" t="s">
        <v>2178</v>
      </c>
      <c r="F13081">
        <v>7</v>
      </c>
      <c r="G13081" t="s">
        <v>59</v>
      </c>
      <c r="H13081" t="s">
        <v>47</v>
      </c>
      <c r="I13081" t="s">
        <v>2195</v>
      </c>
      <c r="J13081" s="10">
        <v>3</v>
      </c>
      <c r="K13081" t="b">
        <v>1</v>
      </c>
    </row>
    <row r="13082" spans="1:11">
      <c r="A13082" s="12">
        <v>43276</v>
      </c>
      <c r="B13082">
        <v>2018</v>
      </c>
      <c r="C13082">
        <v>6</v>
      </c>
      <c r="D13082" s="11">
        <v>43252</v>
      </c>
      <c r="E13082" t="s">
        <v>2178</v>
      </c>
      <c r="F13082">
        <v>1</v>
      </c>
      <c r="G13082" t="s">
        <v>61</v>
      </c>
      <c r="H13082" t="s">
        <v>40</v>
      </c>
      <c r="I13082" t="s">
        <v>2188</v>
      </c>
      <c r="J13082" s="10">
        <v>3.33</v>
      </c>
      <c r="K13082" t="b">
        <v>1</v>
      </c>
    </row>
    <row r="13083" spans="1:11">
      <c r="A13083" s="12">
        <v>43276</v>
      </c>
      <c r="B13083">
        <v>2018</v>
      </c>
      <c r="C13083">
        <v>6</v>
      </c>
      <c r="D13083" s="11">
        <v>43252</v>
      </c>
      <c r="E13083" t="s">
        <v>2178</v>
      </c>
      <c r="F13083">
        <v>1</v>
      </c>
      <c r="G13083" t="s">
        <v>61</v>
      </c>
      <c r="H13083" t="s">
        <v>41</v>
      </c>
      <c r="I13083" t="s">
        <v>2189</v>
      </c>
      <c r="J13083" s="10">
        <v>3.099</v>
      </c>
      <c r="K13083" t="b">
        <v>1</v>
      </c>
    </row>
    <row r="13084" spans="1:11">
      <c r="A13084" s="12">
        <v>43276</v>
      </c>
      <c r="B13084">
        <v>2018</v>
      </c>
      <c r="C13084">
        <v>6</v>
      </c>
      <c r="D13084" s="11">
        <v>43252</v>
      </c>
      <c r="E13084" t="s">
        <v>2178</v>
      </c>
      <c r="F13084">
        <v>1</v>
      </c>
      <c r="G13084" t="s">
        <v>61</v>
      </c>
      <c r="H13084" t="s">
        <v>42</v>
      </c>
      <c r="I13084" t="s">
        <v>2190</v>
      </c>
      <c r="J13084" s="10">
        <v>0</v>
      </c>
      <c r="K13084" t="b">
        <v>1</v>
      </c>
    </row>
    <row r="13085" spans="1:11">
      <c r="A13085" s="12">
        <v>43276</v>
      </c>
      <c r="B13085">
        <v>2018</v>
      </c>
      <c r="C13085">
        <v>6</v>
      </c>
      <c r="D13085" s="11">
        <v>43252</v>
      </c>
      <c r="E13085" t="s">
        <v>2178</v>
      </c>
      <c r="F13085">
        <v>1</v>
      </c>
      <c r="G13085" t="s">
        <v>61</v>
      </c>
      <c r="H13085" t="s">
        <v>43</v>
      </c>
      <c r="I13085" t="s">
        <v>2191</v>
      </c>
      <c r="J13085" s="10">
        <v>31.062</v>
      </c>
      <c r="K13085" t="b">
        <v>1</v>
      </c>
    </row>
    <row r="13086" spans="1:11">
      <c r="A13086" s="12">
        <v>43276</v>
      </c>
      <c r="B13086">
        <v>2018</v>
      </c>
      <c r="C13086">
        <v>6</v>
      </c>
      <c r="D13086" s="11">
        <v>43252</v>
      </c>
      <c r="E13086" t="s">
        <v>2178</v>
      </c>
      <c r="F13086">
        <v>1</v>
      </c>
      <c r="G13086" t="s">
        <v>61</v>
      </c>
      <c r="H13086" t="s">
        <v>44</v>
      </c>
      <c r="I13086" t="s">
        <v>2192</v>
      </c>
      <c r="J13086" s="10">
        <v>12</v>
      </c>
      <c r="K13086" t="b">
        <v>1</v>
      </c>
    </row>
    <row r="13087" spans="1:11">
      <c r="A13087" s="12">
        <v>43276</v>
      </c>
      <c r="B13087">
        <v>2018</v>
      </c>
      <c r="C13087">
        <v>6</v>
      </c>
      <c r="D13087" s="11">
        <v>43252</v>
      </c>
      <c r="E13087" t="s">
        <v>2178</v>
      </c>
      <c r="F13087">
        <v>1</v>
      </c>
      <c r="G13087" t="s">
        <v>61</v>
      </c>
      <c r="H13087" t="s">
        <v>45</v>
      </c>
      <c r="I13087" t="s">
        <v>2193</v>
      </c>
      <c r="J13087" s="10">
        <v>3</v>
      </c>
      <c r="K13087" t="b">
        <v>1</v>
      </c>
    </row>
    <row r="13088" spans="1:11">
      <c r="A13088" s="12">
        <v>43276</v>
      </c>
      <c r="B13088">
        <v>2018</v>
      </c>
      <c r="C13088">
        <v>6</v>
      </c>
      <c r="D13088" s="11">
        <v>43252</v>
      </c>
      <c r="E13088" t="s">
        <v>2178</v>
      </c>
      <c r="F13088">
        <v>1</v>
      </c>
      <c r="G13088" t="s">
        <v>61</v>
      </c>
      <c r="H13088" t="s">
        <v>46</v>
      </c>
      <c r="I13088" t="s">
        <v>2194</v>
      </c>
      <c r="J13088" s="10">
        <v>5</v>
      </c>
      <c r="K13088" t="b">
        <v>1</v>
      </c>
    </row>
    <row r="13089" spans="1:11">
      <c r="A13089" s="12">
        <v>43276</v>
      </c>
      <c r="B13089">
        <v>2018</v>
      </c>
      <c r="C13089">
        <v>6</v>
      </c>
      <c r="D13089" s="11">
        <v>43252</v>
      </c>
      <c r="E13089" t="s">
        <v>2178</v>
      </c>
      <c r="F13089">
        <v>1</v>
      </c>
      <c r="G13089" t="s">
        <v>61</v>
      </c>
      <c r="H13089" t="s">
        <v>47</v>
      </c>
      <c r="I13089" t="s">
        <v>2195</v>
      </c>
      <c r="J13089" s="10">
        <v>2</v>
      </c>
      <c r="K13089" t="b">
        <v>1</v>
      </c>
    </row>
    <row r="13090" spans="1:11">
      <c r="A13090" s="12">
        <v>43277</v>
      </c>
      <c r="B13090">
        <v>2018</v>
      </c>
      <c r="C13090">
        <v>6</v>
      </c>
      <c r="D13090" s="11">
        <v>43252</v>
      </c>
      <c r="E13090" t="s">
        <v>2178</v>
      </c>
      <c r="F13090">
        <v>2</v>
      </c>
      <c r="G13090" t="s">
        <v>63</v>
      </c>
      <c r="H13090" t="s">
        <v>40</v>
      </c>
      <c r="I13090" t="s">
        <v>2188</v>
      </c>
      <c r="J13090" s="10">
        <v>10.33</v>
      </c>
      <c r="K13090" t="b">
        <v>1</v>
      </c>
    </row>
    <row r="13091" spans="1:11">
      <c r="A13091" s="12">
        <v>43277</v>
      </c>
      <c r="B13091">
        <v>2018</v>
      </c>
      <c r="C13091">
        <v>6</v>
      </c>
      <c r="D13091" s="11">
        <v>43252</v>
      </c>
      <c r="E13091" t="s">
        <v>2178</v>
      </c>
      <c r="F13091">
        <v>2</v>
      </c>
      <c r="G13091" t="s">
        <v>63</v>
      </c>
      <c r="H13091" t="s">
        <v>41</v>
      </c>
      <c r="I13091" t="s">
        <v>2189</v>
      </c>
      <c r="J13091" s="10">
        <v>5.67</v>
      </c>
      <c r="K13091" t="b">
        <v>1</v>
      </c>
    </row>
    <row r="13092" spans="1:11">
      <c r="A13092" s="12">
        <v>43277</v>
      </c>
      <c r="B13092">
        <v>2018</v>
      </c>
      <c r="C13092">
        <v>6</v>
      </c>
      <c r="D13092" s="11">
        <v>43252</v>
      </c>
      <c r="E13092" t="s">
        <v>2178</v>
      </c>
      <c r="F13092">
        <v>2</v>
      </c>
      <c r="G13092" t="s">
        <v>63</v>
      </c>
      <c r="H13092" t="s">
        <v>42</v>
      </c>
      <c r="I13092" t="s">
        <v>2190</v>
      </c>
      <c r="J13092" s="10">
        <v>3</v>
      </c>
      <c r="K13092" t="b">
        <v>1</v>
      </c>
    </row>
    <row r="13093" spans="1:11">
      <c r="A13093" s="12">
        <v>43277</v>
      </c>
      <c r="B13093">
        <v>2018</v>
      </c>
      <c r="C13093">
        <v>6</v>
      </c>
      <c r="D13093" s="11">
        <v>43252</v>
      </c>
      <c r="E13093" t="s">
        <v>2178</v>
      </c>
      <c r="F13093">
        <v>2</v>
      </c>
      <c r="G13093" t="s">
        <v>63</v>
      </c>
      <c r="H13093" t="s">
        <v>43</v>
      </c>
      <c r="I13093" t="s">
        <v>2191</v>
      </c>
      <c r="J13093" s="10">
        <v>15</v>
      </c>
      <c r="K13093" t="b">
        <v>1</v>
      </c>
    </row>
    <row r="13094" spans="1:11">
      <c r="A13094" s="12">
        <v>43277</v>
      </c>
      <c r="B13094">
        <v>2018</v>
      </c>
      <c r="C13094">
        <v>6</v>
      </c>
      <c r="D13094" s="11">
        <v>43252</v>
      </c>
      <c r="E13094" t="s">
        <v>2178</v>
      </c>
      <c r="F13094">
        <v>2</v>
      </c>
      <c r="G13094" t="s">
        <v>63</v>
      </c>
      <c r="H13094" t="s">
        <v>44</v>
      </c>
      <c r="I13094" t="s">
        <v>2192</v>
      </c>
      <c r="J13094" s="10">
        <v>6</v>
      </c>
      <c r="K13094" t="b">
        <v>1</v>
      </c>
    </row>
    <row r="13095" spans="1:11">
      <c r="A13095" s="12">
        <v>43277</v>
      </c>
      <c r="B13095">
        <v>2018</v>
      </c>
      <c r="C13095">
        <v>6</v>
      </c>
      <c r="D13095" s="11">
        <v>43252</v>
      </c>
      <c r="E13095" t="s">
        <v>2178</v>
      </c>
      <c r="F13095">
        <v>2</v>
      </c>
      <c r="G13095" t="s">
        <v>63</v>
      </c>
      <c r="H13095" t="s">
        <v>45</v>
      </c>
      <c r="I13095" t="s">
        <v>2193</v>
      </c>
      <c r="J13095" s="10">
        <v>0</v>
      </c>
      <c r="K13095" t="b">
        <v>1</v>
      </c>
    </row>
    <row r="13096" spans="1:11">
      <c r="A13096" s="12">
        <v>43277</v>
      </c>
      <c r="B13096">
        <v>2018</v>
      </c>
      <c r="C13096">
        <v>6</v>
      </c>
      <c r="D13096" s="11">
        <v>43252</v>
      </c>
      <c r="E13096" t="s">
        <v>2178</v>
      </c>
      <c r="F13096">
        <v>2</v>
      </c>
      <c r="G13096" t="s">
        <v>63</v>
      </c>
      <c r="H13096" t="s">
        <v>46</v>
      </c>
      <c r="I13096" t="s">
        <v>2194</v>
      </c>
      <c r="J13096" s="10">
        <v>9</v>
      </c>
      <c r="K13096" t="b">
        <v>1</v>
      </c>
    </row>
    <row r="13097" spans="1:11">
      <c r="A13097" s="12">
        <v>43277</v>
      </c>
      <c r="B13097">
        <v>2018</v>
      </c>
      <c r="C13097">
        <v>6</v>
      </c>
      <c r="D13097" s="11">
        <v>43252</v>
      </c>
      <c r="E13097" t="s">
        <v>2178</v>
      </c>
      <c r="F13097">
        <v>2</v>
      </c>
      <c r="G13097" t="s">
        <v>63</v>
      </c>
      <c r="H13097" t="s">
        <v>47</v>
      </c>
      <c r="I13097" t="s">
        <v>2195</v>
      </c>
      <c r="J13097" s="10">
        <v>4.4</v>
      </c>
      <c r="K13097" t="b">
        <v>1</v>
      </c>
    </row>
    <row r="13098" spans="1:11">
      <c r="A13098" s="12">
        <v>43278</v>
      </c>
      <c r="B13098">
        <v>2018</v>
      </c>
      <c r="C13098">
        <v>6</v>
      </c>
      <c r="D13098" s="11">
        <v>43252</v>
      </c>
      <c r="E13098" t="s">
        <v>2178</v>
      </c>
      <c r="F13098">
        <v>3</v>
      </c>
      <c r="G13098" t="s">
        <v>65</v>
      </c>
      <c r="H13098" t="s">
        <v>40</v>
      </c>
      <c r="I13098" t="s">
        <v>2188</v>
      </c>
      <c r="J13098" s="10">
        <v>2</v>
      </c>
      <c r="K13098" t="b">
        <v>1</v>
      </c>
    </row>
    <row r="13099" spans="1:11">
      <c r="A13099" s="12">
        <v>43278</v>
      </c>
      <c r="B13099">
        <v>2018</v>
      </c>
      <c r="C13099">
        <v>6</v>
      </c>
      <c r="D13099" s="11">
        <v>43252</v>
      </c>
      <c r="E13099" t="s">
        <v>2178</v>
      </c>
      <c r="F13099">
        <v>3</v>
      </c>
      <c r="G13099" t="s">
        <v>65</v>
      </c>
      <c r="H13099" t="s">
        <v>41</v>
      </c>
      <c r="I13099" t="s">
        <v>2189</v>
      </c>
      <c r="J13099" s="10">
        <v>2.396</v>
      </c>
      <c r="K13099" t="b">
        <v>1</v>
      </c>
    </row>
    <row r="13100" spans="1:11">
      <c r="A13100" s="12">
        <v>43278</v>
      </c>
      <c r="B13100">
        <v>2018</v>
      </c>
      <c r="C13100">
        <v>6</v>
      </c>
      <c r="D13100" s="11">
        <v>43252</v>
      </c>
      <c r="E13100" t="s">
        <v>2178</v>
      </c>
      <c r="F13100">
        <v>3</v>
      </c>
      <c r="G13100" t="s">
        <v>65</v>
      </c>
      <c r="H13100" t="s">
        <v>42</v>
      </c>
      <c r="I13100" t="s">
        <v>2190</v>
      </c>
      <c r="J13100" s="10">
        <v>3</v>
      </c>
      <c r="K13100" t="b">
        <v>1</v>
      </c>
    </row>
    <row r="13101" spans="1:11">
      <c r="A13101" s="12">
        <v>43278</v>
      </c>
      <c r="B13101">
        <v>2018</v>
      </c>
      <c r="C13101">
        <v>6</v>
      </c>
      <c r="D13101" s="11">
        <v>43252</v>
      </c>
      <c r="E13101" t="s">
        <v>2178</v>
      </c>
      <c r="F13101">
        <v>3</v>
      </c>
      <c r="G13101" t="s">
        <v>65</v>
      </c>
      <c r="H13101" t="s">
        <v>43</v>
      </c>
      <c r="I13101" t="s">
        <v>2191</v>
      </c>
      <c r="J13101" s="10">
        <v>11</v>
      </c>
      <c r="K13101" t="b">
        <v>1</v>
      </c>
    </row>
    <row r="13102" spans="1:11">
      <c r="A13102" s="12">
        <v>43278</v>
      </c>
      <c r="B13102">
        <v>2018</v>
      </c>
      <c r="C13102">
        <v>6</v>
      </c>
      <c r="D13102" s="11">
        <v>43252</v>
      </c>
      <c r="E13102" t="s">
        <v>2178</v>
      </c>
      <c r="F13102">
        <v>3</v>
      </c>
      <c r="G13102" t="s">
        <v>65</v>
      </c>
      <c r="H13102" t="s">
        <v>44</v>
      </c>
      <c r="I13102" t="s">
        <v>2192</v>
      </c>
      <c r="J13102" s="10">
        <v>10</v>
      </c>
      <c r="K13102" t="b">
        <v>1</v>
      </c>
    </row>
    <row r="13103" spans="1:11">
      <c r="A13103" s="12">
        <v>43278</v>
      </c>
      <c r="B13103">
        <v>2018</v>
      </c>
      <c r="C13103">
        <v>6</v>
      </c>
      <c r="D13103" s="11">
        <v>43252</v>
      </c>
      <c r="E13103" t="s">
        <v>2178</v>
      </c>
      <c r="F13103">
        <v>3</v>
      </c>
      <c r="G13103" t="s">
        <v>65</v>
      </c>
      <c r="H13103" t="s">
        <v>45</v>
      </c>
      <c r="I13103" t="s">
        <v>2193</v>
      </c>
      <c r="J13103" s="10">
        <v>0</v>
      </c>
      <c r="K13103" t="b">
        <v>1</v>
      </c>
    </row>
    <row r="13104" spans="1:11">
      <c r="A13104" s="12">
        <v>43278</v>
      </c>
      <c r="B13104">
        <v>2018</v>
      </c>
      <c r="C13104">
        <v>6</v>
      </c>
      <c r="D13104" s="11">
        <v>43252</v>
      </c>
      <c r="E13104" t="s">
        <v>2178</v>
      </c>
      <c r="F13104">
        <v>3</v>
      </c>
      <c r="G13104" t="s">
        <v>65</v>
      </c>
      <c r="H13104" t="s">
        <v>46</v>
      </c>
      <c r="I13104" t="s">
        <v>2194</v>
      </c>
      <c r="J13104" s="10">
        <v>2</v>
      </c>
      <c r="K13104" t="b">
        <v>1</v>
      </c>
    </row>
    <row r="13105" spans="1:11">
      <c r="A13105" s="12">
        <v>43278</v>
      </c>
      <c r="B13105">
        <v>2018</v>
      </c>
      <c r="C13105">
        <v>6</v>
      </c>
      <c r="D13105" s="11">
        <v>43252</v>
      </c>
      <c r="E13105" t="s">
        <v>2178</v>
      </c>
      <c r="F13105">
        <v>3</v>
      </c>
      <c r="G13105" t="s">
        <v>65</v>
      </c>
      <c r="H13105" t="s">
        <v>47</v>
      </c>
      <c r="I13105" t="s">
        <v>2195</v>
      </c>
      <c r="J13105" s="10">
        <v>3</v>
      </c>
      <c r="K13105" t="b">
        <v>1</v>
      </c>
    </row>
    <row r="13106" spans="1:11">
      <c r="A13106" s="12">
        <v>43279</v>
      </c>
      <c r="B13106">
        <v>2018</v>
      </c>
      <c r="C13106">
        <v>6</v>
      </c>
      <c r="D13106" s="11">
        <v>43252</v>
      </c>
      <c r="E13106" t="s">
        <v>2178</v>
      </c>
      <c r="F13106">
        <v>4</v>
      </c>
      <c r="G13106" t="s">
        <v>53</v>
      </c>
      <c r="H13106" t="s">
        <v>40</v>
      </c>
      <c r="I13106" t="s">
        <v>2188</v>
      </c>
      <c r="J13106" s="10">
        <v>3</v>
      </c>
      <c r="K13106" t="b">
        <v>1</v>
      </c>
    </row>
    <row r="13107" spans="1:11">
      <c r="A13107" s="12">
        <v>43279</v>
      </c>
      <c r="B13107">
        <v>2018</v>
      </c>
      <c r="C13107">
        <v>6</v>
      </c>
      <c r="D13107" s="11">
        <v>43252</v>
      </c>
      <c r="E13107" t="s">
        <v>2178</v>
      </c>
      <c r="F13107">
        <v>4</v>
      </c>
      <c r="G13107" t="s">
        <v>53</v>
      </c>
      <c r="H13107" t="s">
        <v>41</v>
      </c>
      <c r="I13107" t="s">
        <v>2189</v>
      </c>
      <c r="J13107" s="10">
        <v>2.192</v>
      </c>
      <c r="K13107" t="b">
        <v>1</v>
      </c>
    </row>
    <row r="13108" spans="1:11">
      <c r="A13108" s="12">
        <v>43279</v>
      </c>
      <c r="B13108">
        <v>2018</v>
      </c>
      <c r="C13108">
        <v>6</v>
      </c>
      <c r="D13108" s="11">
        <v>43252</v>
      </c>
      <c r="E13108" t="s">
        <v>2178</v>
      </c>
      <c r="F13108">
        <v>4</v>
      </c>
      <c r="G13108" t="s">
        <v>53</v>
      </c>
      <c r="H13108" t="s">
        <v>42</v>
      </c>
      <c r="I13108" t="s">
        <v>2190</v>
      </c>
      <c r="J13108" s="10">
        <v>4</v>
      </c>
      <c r="K13108" t="b">
        <v>1</v>
      </c>
    </row>
    <row r="13109" spans="1:11">
      <c r="A13109" s="12">
        <v>43279</v>
      </c>
      <c r="B13109">
        <v>2018</v>
      </c>
      <c r="C13109">
        <v>6</v>
      </c>
      <c r="D13109" s="11">
        <v>43252</v>
      </c>
      <c r="E13109" t="s">
        <v>2178</v>
      </c>
      <c r="F13109">
        <v>4</v>
      </c>
      <c r="G13109" t="s">
        <v>53</v>
      </c>
      <c r="H13109" t="s">
        <v>43</v>
      </c>
      <c r="I13109" t="s">
        <v>2191</v>
      </c>
      <c r="J13109" s="10">
        <v>10</v>
      </c>
      <c r="K13109" t="b">
        <v>1</v>
      </c>
    </row>
    <row r="13110" spans="1:11">
      <c r="A13110" s="12">
        <v>43279</v>
      </c>
      <c r="B13110">
        <v>2018</v>
      </c>
      <c r="C13110">
        <v>6</v>
      </c>
      <c r="D13110" s="11">
        <v>43252</v>
      </c>
      <c r="E13110" t="s">
        <v>2178</v>
      </c>
      <c r="F13110">
        <v>4</v>
      </c>
      <c r="G13110" t="s">
        <v>53</v>
      </c>
      <c r="H13110" t="s">
        <v>44</v>
      </c>
      <c r="I13110" t="s">
        <v>2192</v>
      </c>
      <c r="J13110" s="10">
        <v>13</v>
      </c>
      <c r="K13110" t="b">
        <v>1</v>
      </c>
    </row>
    <row r="13111" spans="1:11">
      <c r="A13111" s="12">
        <v>43279</v>
      </c>
      <c r="B13111">
        <v>2018</v>
      </c>
      <c r="C13111">
        <v>6</v>
      </c>
      <c r="D13111" s="11">
        <v>43252</v>
      </c>
      <c r="E13111" t="s">
        <v>2178</v>
      </c>
      <c r="F13111">
        <v>4</v>
      </c>
      <c r="G13111" t="s">
        <v>53</v>
      </c>
      <c r="H13111" t="s">
        <v>45</v>
      </c>
      <c r="I13111" t="s">
        <v>2193</v>
      </c>
      <c r="J13111" s="10">
        <v>0</v>
      </c>
      <c r="K13111" t="b">
        <v>1</v>
      </c>
    </row>
    <row r="13112" spans="1:11">
      <c r="A13112" s="12">
        <v>43279</v>
      </c>
      <c r="B13112">
        <v>2018</v>
      </c>
      <c r="C13112">
        <v>6</v>
      </c>
      <c r="D13112" s="11">
        <v>43252</v>
      </c>
      <c r="E13112" t="s">
        <v>2178</v>
      </c>
      <c r="F13112">
        <v>4</v>
      </c>
      <c r="G13112" t="s">
        <v>53</v>
      </c>
      <c r="H13112" t="s">
        <v>46</v>
      </c>
      <c r="I13112" t="s">
        <v>2194</v>
      </c>
      <c r="J13112" s="10">
        <v>5</v>
      </c>
      <c r="K13112" t="b">
        <v>1</v>
      </c>
    </row>
    <row r="13113" spans="1:11">
      <c r="A13113" s="12">
        <v>43279</v>
      </c>
      <c r="B13113">
        <v>2018</v>
      </c>
      <c r="C13113">
        <v>6</v>
      </c>
      <c r="D13113" s="11">
        <v>43252</v>
      </c>
      <c r="E13113" t="s">
        <v>2178</v>
      </c>
      <c r="F13113">
        <v>4</v>
      </c>
      <c r="G13113" t="s">
        <v>53</v>
      </c>
      <c r="H13113" t="s">
        <v>47</v>
      </c>
      <c r="I13113" t="s">
        <v>2195</v>
      </c>
      <c r="J13113" s="10">
        <v>2</v>
      </c>
      <c r="K13113" t="b">
        <v>1</v>
      </c>
    </row>
    <row r="13114" spans="1:11">
      <c r="A13114" s="12">
        <v>43280</v>
      </c>
      <c r="B13114">
        <v>2018</v>
      </c>
      <c r="C13114">
        <v>6</v>
      </c>
      <c r="D13114" s="11">
        <v>43252</v>
      </c>
      <c r="E13114" t="s">
        <v>2178</v>
      </c>
      <c r="F13114">
        <v>5</v>
      </c>
      <c r="G13114" t="s">
        <v>55</v>
      </c>
      <c r="H13114" t="s">
        <v>40</v>
      </c>
      <c r="I13114" t="s">
        <v>2188</v>
      </c>
      <c r="J13114" s="10">
        <v>1</v>
      </c>
      <c r="K13114" t="b">
        <v>1</v>
      </c>
    </row>
    <row r="13115" spans="1:11">
      <c r="A13115" s="12">
        <v>43280</v>
      </c>
      <c r="B13115">
        <v>2018</v>
      </c>
      <c r="C13115">
        <v>6</v>
      </c>
      <c r="D13115" s="11">
        <v>43252</v>
      </c>
      <c r="E13115" t="s">
        <v>2178</v>
      </c>
      <c r="F13115">
        <v>5</v>
      </c>
      <c r="G13115" t="s">
        <v>55</v>
      </c>
      <c r="H13115" t="s">
        <v>41</v>
      </c>
      <c r="I13115" t="s">
        <v>2189</v>
      </c>
      <c r="J13115" s="10">
        <v>3</v>
      </c>
      <c r="K13115" t="b">
        <v>1</v>
      </c>
    </row>
    <row r="13116" spans="1:11">
      <c r="A13116" s="12">
        <v>43280</v>
      </c>
      <c r="B13116">
        <v>2018</v>
      </c>
      <c r="C13116">
        <v>6</v>
      </c>
      <c r="D13116" s="11">
        <v>43252</v>
      </c>
      <c r="E13116" t="s">
        <v>2178</v>
      </c>
      <c r="F13116">
        <v>5</v>
      </c>
      <c r="G13116" t="s">
        <v>55</v>
      </c>
      <c r="H13116" t="s">
        <v>42</v>
      </c>
      <c r="I13116" t="s">
        <v>2190</v>
      </c>
      <c r="J13116" s="10">
        <v>2</v>
      </c>
      <c r="K13116" t="b">
        <v>1</v>
      </c>
    </row>
    <row r="13117" spans="1:11">
      <c r="A13117" s="12">
        <v>43280</v>
      </c>
      <c r="B13117">
        <v>2018</v>
      </c>
      <c r="C13117">
        <v>6</v>
      </c>
      <c r="D13117" s="11">
        <v>43252</v>
      </c>
      <c r="E13117" t="s">
        <v>2178</v>
      </c>
      <c r="F13117">
        <v>5</v>
      </c>
      <c r="G13117" t="s">
        <v>55</v>
      </c>
      <c r="H13117" t="s">
        <v>43</v>
      </c>
      <c r="I13117" t="s">
        <v>2191</v>
      </c>
      <c r="J13117" s="10">
        <v>10</v>
      </c>
      <c r="K13117" t="b">
        <v>1</v>
      </c>
    </row>
    <row r="13118" spans="1:11">
      <c r="A13118" s="12">
        <v>43280</v>
      </c>
      <c r="B13118">
        <v>2018</v>
      </c>
      <c r="C13118">
        <v>6</v>
      </c>
      <c r="D13118" s="11">
        <v>43252</v>
      </c>
      <c r="E13118" t="s">
        <v>2178</v>
      </c>
      <c r="F13118">
        <v>5</v>
      </c>
      <c r="G13118" t="s">
        <v>55</v>
      </c>
      <c r="H13118" t="s">
        <v>44</v>
      </c>
      <c r="I13118" t="s">
        <v>2192</v>
      </c>
      <c r="J13118" s="10">
        <v>8</v>
      </c>
      <c r="K13118" t="b">
        <v>1</v>
      </c>
    </row>
    <row r="13119" spans="1:11">
      <c r="A13119" s="12">
        <v>43280</v>
      </c>
      <c r="B13119">
        <v>2018</v>
      </c>
      <c r="C13119">
        <v>6</v>
      </c>
      <c r="D13119" s="11">
        <v>43252</v>
      </c>
      <c r="E13119" t="s">
        <v>2178</v>
      </c>
      <c r="F13119">
        <v>5</v>
      </c>
      <c r="G13119" t="s">
        <v>55</v>
      </c>
      <c r="H13119" t="s">
        <v>45</v>
      </c>
      <c r="I13119" t="s">
        <v>2193</v>
      </c>
      <c r="J13119" s="10">
        <v>0</v>
      </c>
      <c r="K13119" t="b">
        <v>1</v>
      </c>
    </row>
    <row r="13120" spans="1:11">
      <c r="A13120" s="12">
        <v>43280</v>
      </c>
      <c r="B13120">
        <v>2018</v>
      </c>
      <c r="C13120">
        <v>6</v>
      </c>
      <c r="D13120" s="11">
        <v>43252</v>
      </c>
      <c r="E13120" t="s">
        <v>2178</v>
      </c>
      <c r="F13120">
        <v>5</v>
      </c>
      <c r="G13120" t="s">
        <v>55</v>
      </c>
      <c r="H13120" t="s">
        <v>46</v>
      </c>
      <c r="I13120" t="s">
        <v>2194</v>
      </c>
      <c r="J13120" s="10">
        <v>0</v>
      </c>
      <c r="K13120" t="b">
        <v>1</v>
      </c>
    </row>
    <row r="13121" spans="1:11">
      <c r="A13121" s="12">
        <v>43280</v>
      </c>
      <c r="B13121">
        <v>2018</v>
      </c>
      <c r="C13121">
        <v>6</v>
      </c>
      <c r="D13121" s="11">
        <v>43252</v>
      </c>
      <c r="E13121" t="s">
        <v>2178</v>
      </c>
      <c r="F13121">
        <v>5</v>
      </c>
      <c r="G13121" t="s">
        <v>55</v>
      </c>
      <c r="H13121" t="s">
        <v>47</v>
      </c>
      <c r="I13121" t="s">
        <v>2195</v>
      </c>
      <c r="J13121" s="10">
        <v>4</v>
      </c>
      <c r="K13121" t="b">
        <v>1</v>
      </c>
    </row>
    <row r="13122" spans="1:11">
      <c r="A13122" s="12">
        <v>43281</v>
      </c>
      <c r="B13122">
        <v>2018</v>
      </c>
      <c r="C13122">
        <v>6</v>
      </c>
      <c r="D13122" s="11">
        <v>43252</v>
      </c>
      <c r="E13122" t="s">
        <v>2178</v>
      </c>
      <c r="F13122">
        <v>6</v>
      </c>
      <c r="G13122" t="s">
        <v>57</v>
      </c>
      <c r="H13122" t="s">
        <v>40</v>
      </c>
      <c r="I13122" t="s">
        <v>2188</v>
      </c>
      <c r="J13122" s="10">
        <v>6.84</v>
      </c>
      <c r="K13122" t="b">
        <v>1</v>
      </c>
    </row>
    <row r="13123" spans="1:11">
      <c r="A13123" s="12">
        <v>43281</v>
      </c>
      <c r="B13123">
        <v>2018</v>
      </c>
      <c r="C13123">
        <v>6</v>
      </c>
      <c r="D13123" s="11">
        <v>43252</v>
      </c>
      <c r="E13123" t="s">
        <v>2178</v>
      </c>
      <c r="F13123">
        <v>6</v>
      </c>
      <c r="G13123" t="s">
        <v>57</v>
      </c>
      <c r="H13123" t="s">
        <v>41</v>
      </c>
      <c r="I13123" t="s">
        <v>2189</v>
      </c>
      <c r="J13123" s="10">
        <v>3.34</v>
      </c>
      <c r="K13123" t="b">
        <v>1</v>
      </c>
    </row>
    <row r="13124" spans="1:11">
      <c r="A13124" s="12">
        <v>43281</v>
      </c>
      <c r="B13124">
        <v>2018</v>
      </c>
      <c r="C13124">
        <v>6</v>
      </c>
      <c r="D13124" s="11">
        <v>43252</v>
      </c>
      <c r="E13124" t="s">
        <v>2178</v>
      </c>
      <c r="F13124">
        <v>6</v>
      </c>
      <c r="G13124" t="s">
        <v>57</v>
      </c>
      <c r="H13124" t="s">
        <v>42</v>
      </c>
      <c r="I13124" t="s">
        <v>2190</v>
      </c>
      <c r="J13124" s="10">
        <v>7</v>
      </c>
      <c r="K13124" t="b">
        <v>1</v>
      </c>
    </row>
    <row r="13125" spans="1:11">
      <c r="A13125" s="12">
        <v>43281</v>
      </c>
      <c r="B13125">
        <v>2018</v>
      </c>
      <c r="C13125">
        <v>6</v>
      </c>
      <c r="D13125" s="11">
        <v>43252</v>
      </c>
      <c r="E13125" t="s">
        <v>2178</v>
      </c>
      <c r="F13125">
        <v>6</v>
      </c>
      <c r="G13125" t="s">
        <v>57</v>
      </c>
      <c r="H13125" t="s">
        <v>43</v>
      </c>
      <c r="I13125" t="s">
        <v>2191</v>
      </c>
      <c r="J13125" s="10">
        <v>26.8</v>
      </c>
      <c r="K13125" t="b">
        <v>1</v>
      </c>
    </row>
    <row r="13126" spans="1:11">
      <c r="A13126" s="12">
        <v>43281</v>
      </c>
      <c r="B13126">
        <v>2018</v>
      </c>
      <c r="C13126">
        <v>6</v>
      </c>
      <c r="D13126" s="11">
        <v>43252</v>
      </c>
      <c r="E13126" t="s">
        <v>2178</v>
      </c>
      <c r="F13126">
        <v>6</v>
      </c>
      <c r="G13126" t="s">
        <v>57</v>
      </c>
      <c r="H13126" t="s">
        <v>44</v>
      </c>
      <c r="I13126" t="s">
        <v>2192</v>
      </c>
      <c r="J13126" s="10">
        <v>10</v>
      </c>
      <c r="K13126" t="b">
        <v>1</v>
      </c>
    </row>
    <row r="13127" spans="1:11">
      <c r="A13127" s="12">
        <v>43281</v>
      </c>
      <c r="B13127">
        <v>2018</v>
      </c>
      <c r="C13127">
        <v>6</v>
      </c>
      <c r="D13127" s="11">
        <v>43252</v>
      </c>
      <c r="E13127" t="s">
        <v>2178</v>
      </c>
      <c r="F13127">
        <v>6</v>
      </c>
      <c r="G13127" t="s">
        <v>57</v>
      </c>
      <c r="H13127" t="s">
        <v>45</v>
      </c>
      <c r="I13127" t="s">
        <v>2193</v>
      </c>
      <c r="J13127" s="10">
        <v>2</v>
      </c>
      <c r="K13127" t="b">
        <v>1</v>
      </c>
    </row>
    <row r="13128" spans="1:11">
      <c r="A13128" s="12">
        <v>43281</v>
      </c>
      <c r="B13128">
        <v>2018</v>
      </c>
      <c r="C13128">
        <v>6</v>
      </c>
      <c r="D13128" s="11">
        <v>43252</v>
      </c>
      <c r="E13128" t="s">
        <v>2178</v>
      </c>
      <c r="F13128">
        <v>6</v>
      </c>
      <c r="G13128" t="s">
        <v>57</v>
      </c>
      <c r="H13128" t="s">
        <v>46</v>
      </c>
      <c r="I13128" t="s">
        <v>2194</v>
      </c>
      <c r="J13128" s="10">
        <v>0</v>
      </c>
      <c r="K13128" t="b">
        <v>1</v>
      </c>
    </row>
    <row r="13129" spans="1:11">
      <c r="A13129" s="12">
        <v>43281</v>
      </c>
      <c r="B13129">
        <v>2018</v>
      </c>
      <c r="C13129">
        <v>6</v>
      </c>
      <c r="D13129" s="11">
        <v>43252</v>
      </c>
      <c r="E13129" t="s">
        <v>2178</v>
      </c>
      <c r="F13129">
        <v>6</v>
      </c>
      <c r="G13129" t="s">
        <v>57</v>
      </c>
      <c r="H13129" t="s">
        <v>47</v>
      </c>
      <c r="I13129" t="s">
        <v>2195</v>
      </c>
      <c r="J13129" s="10">
        <v>4</v>
      </c>
      <c r="K13129" t="b">
        <v>1</v>
      </c>
    </row>
    <row r="13130" spans="1:11">
      <c r="A13130" s="12">
        <v>43282</v>
      </c>
      <c r="B13130">
        <v>2018</v>
      </c>
      <c r="C13130">
        <v>7</v>
      </c>
      <c r="D13130" s="11">
        <v>43282</v>
      </c>
      <c r="E13130" t="s">
        <v>2179</v>
      </c>
      <c r="F13130">
        <v>7</v>
      </c>
      <c r="G13130" t="s">
        <v>59</v>
      </c>
      <c r="H13130" t="s">
        <v>40</v>
      </c>
      <c r="I13130" t="s">
        <v>2188</v>
      </c>
      <c r="J13130" s="10">
        <v>2</v>
      </c>
      <c r="K13130" t="b">
        <v>1</v>
      </c>
    </row>
    <row r="13131" spans="1:11">
      <c r="A13131" s="12">
        <v>43282</v>
      </c>
      <c r="B13131">
        <v>2018</v>
      </c>
      <c r="C13131">
        <v>7</v>
      </c>
      <c r="D13131" s="11">
        <v>43282</v>
      </c>
      <c r="E13131" t="s">
        <v>2179</v>
      </c>
      <c r="F13131">
        <v>7</v>
      </c>
      <c r="G13131" t="s">
        <v>59</v>
      </c>
      <c r="H13131" t="s">
        <v>41</v>
      </c>
      <c r="I13131" t="s">
        <v>2189</v>
      </c>
      <c r="J13131" s="10">
        <v>3.693</v>
      </c>
      <c r="K13131" t="b">
        <v>1</v>
      </c>
    </row>
    <row r="13132" spans="1:11">
      <c r="A13132" s="12">
        <v>43282</v>
      </c>
      <c r="B13132">
        <v>2018</v>
      </c>
      <c r="C13132">
        <v>7</v>
      </c>
      <c r="D13132" s="11">
        <v>43282</v>
      </c>
      <c r="E13132" t="s">
        <v>2179</v>
      </c>
      <c r="F13132">
        <v>7</v>
      </c>
      <c r="G13132" t="s">
        <v>59</v>
      </c>
      <c r="H13132" t="s">
        <v>42</v>
      </c>
      <c r="I13132" t="s">
        <v>2190</v>
      </c>
      <c r="J13132" s="10">
        <v>1</v>
      </c>
      <c r="K13132" t="b">
        <v>1</v>
      </c>
    </row>
    <row r="13133" spans="1:11">
      <c r="A13133" s="12">
        <v>43282</v>
      </c>
      <c r="B13133">
        <v>2018</v>
      </c>
      <c r="C13133">
        <v>7</v>
      </c>
      <c r="D13133" s="11">
        <v>43282</v>
      </c>
      <c r="E13133" t="s">
        <v>2179</v>
      </c>
      <c r="F13133">
        <v>7</v>
      </c>
      <c r="G13133" t="s">
        <v>59</v>
      </c>
      <c r="H13133" t="s">
        <v>43</v>
      </c>
      <c r="I13133" t="s">
        <v>2191</v>
      </c>
      <c r="J13133" s="10">
        <v>22</v>
      </c>
      <c r="K13133" t="b">
        <v>1</v>
      </c>
    </row>
    <row r="13134" spans="1:11">
      <c r="A13134" s="12">
        <v>43282</v>
      </c>
      <c r="B13134">
        <v>2018</v>
      </c>
      <c r="C13134">
        <v>7</v>
      </c>
      <c r="D13134" s="11">
        <v>43282</v>
      </c>
      <c r="E13134" t="s">
        <v>2179</v>
      </c>
      <c r="F13134">
        <v>7</v>
      </c>
      <c r="G13134" t="s">
        <v>59</v>
      </c>
      <c r="H13134" t="s">
        <v>44</v>
      </c>
      <c r="I13134" t="s">
        <v>2192</v>
      </c>
      <c r="J13134" s="10">
        <v>7</v>
      </c>
      <c r="K13134" t="b">
        <v>1</v>
      </c>
    </row>
    <row r="13135" spans="1:11">
      <c r="A13135" s="12">
        <v>43282</v>
      </c>
      <c r="B13135">
        <v>2018</v>
      </c>
      <c r="C13135">
        <v>7</v>
      </c>
      <c r="D13135" s="11">
        <v>43282</v>
      </c>
      <c r="E13135" t="s">
        <v>2179</v>
      </c>
      <c r="F13135">
        <v>7</v>
      </c>
      <c r="G13135" t="s">
        <v>59</v>
      </c>
      <c r="H13135" t="s">
        <v>45</v>
      </c>
      <c r="I13135" t="s">
        <v>2193</v>
      </c>
      <c r="J13135" s="10">
        <v>0</v>
      </c>
      <c r="K13135" t="b">
        <v>1</v>
      </c>
    </row>
    <row r="13136" spans="1:11">
      <c r="A13136" s="12">
        <v>43282</v>
      </c>
      <c r="B13136">
        <v>2018</v>
      </c>
      <c r="C13136">
        <v>7</v>
      </c>
      <c r="D13136" s="11">
        <v>43282</v>
      </c>
      <c r="E13136" t="s">
        <v>2179</v>
      </c>
      <c r="F13136">
        <v>7</v>
      </c>
      <c r="G13136" t="s">
        <v>59</v>
      </c>
      <c r="H13136" t="s">
        <v>46</v>
      </c>
      <c r="I13136" t="s">
        <v>2194</v>
      </c>
      <c r="J13136" s="10">
        <v>10</v>
      </c>
      <c r="K13136" t="b">
        <v>1</v>
      </c>
    </row>
    <row r="13137" spans="1:11">
      <c r="A13137" s="12">
        <v>43282</v>
      </c>
      <c r="B13137">
        <v>2018</v>
      </c>
      <c r="C13137">
        <v>7</v>
      </c>
      <c r="D13137" s="11">
        <v>43282</v>
      </c>
      <c r="E13137" t="s">
        <v>2179</v>
      </c>
      <c r="F13137">
        <v>7</v>
      </c>
      <c r="G13137" t="s">
        <v>59</v>
      </c>
      <c r="H13137" t="s">
        <v>47</v>
      </c>
      <c r="I13137" t="s">
        <v>2195</v>
      </c>
      <c r="J13137" s="10">
        <v>4</v>
      </c>
      <c r="K13137" t="b">
        <v>1</v>
      </c>
    </row>
    <row r="13138" spans="1:11">
      <c r="A13138" s="12">
        <v>43283</v>
      </c>
      <c r="B13138">
        <v>2018</v>
      </c>
      <c r="C13138">
        <v>7</v>
      </c>
      <c r="D13138" s="11">
        <v>43282</v>
      </c>
      <c r="E13138" t="s">
        <v>2179</v>
      </c>
      <c r="F13138">
        <v>1</v>
      </c>
      <c r="G13138" t="s">
        <v>61</v>
      </c>
      <c r="H13138" t="s">
        <v>40</v>
      </c>
      <c r="I13138" t="s">
        <v>2188</v>
      </c>
      <c r="J13138" s="10">
        <v>3.33</v>
      </c>
      <c r="K13138" t="b">
        <v>1</v>
      </c>
    </row>
    <row r="13139" spans="1:11">
      <c r="A13139" s="12">
        <v>43283</v>
      </c>
      <c r="B13139">
        <v>2018</v>
      </c>
      <c r="C13139">
        <v>7</v>
      </c>
      <c r="D13139" s="11">
        <v>43282</v>
      </c>
      <c r="E13139" t="s">
        <v>2179</v>
      </c>
      <c r="F13139">
        <v>1</v>
      </c>
      <c r="G13139" t="s">
        <v>61</v>
      </c>
      <c r="H13139" t="s">
        <v>41</v>
      </c>
      <c r="I13139" t="s">
        <v>2189</v>
      </c>
      <c r="J13139" s="10">
        <v>6.33</v>
      </c>
      <c r="K13139" t="b">
        <v>1</v>
      </c>
    </row>
    <row r="13140" spans="1:11">
      <c r="A13140" s="12">
        <v>43283</v>
      </c>
      <c r="B13140">
        <v>2018</v>
      </c>
      <c r="C13140">
        <v>7</v>
      </c>
      <c r="D13140" s="11">
        <v>43282</v>
      </c>
      <c r="E13140" t="s">
        <v>2179</v>
      </c>
      <c r="F13140">
        <v>1</v>
      </c>
      <c r="G13140" t="s">
        <v>61</v>
      </c>
      <c r="H13140" t="s">
        <v>42</v>
      </c>
      <c r="I13140" t="s">
        <v>2190</v>
      </c>
      <c r="J13140" s="10">
        <v>3</v>
      </c>
      <c r="K13140" t="b">
        <v>1</v>
      </c>
    </row>
    <row r="13141" spans="1:11">
      <c r="A13141" s="12">
        <v>43283</v>
      </c>
      <c r="B13141">
        <v>2018</v>
      </c>
      <c r="C13141">
        <v>7</v>
      </c>
      <c r="D13141" s="11">
        <v>43282</v>
      </c>
      <c r="E13141" t="s">
        <v>2179</v>
      </c>
      <c r="F13141">
        <v>1</v>
      </c>
      <c r="G13141" t="s">
        <v>61</v>
      </c>
      <c r="H13141" t="s">
        <v>43</v>
      </c>
      <c r="I13141" t="s">
        <v>2191</v>
      </c>
      <c r="J13141" s="10">
        <v>24.6</v>
      </c>
      <c r="K13141" t="b">
        <v>1</v>
      </c>
    </row>
    <row r="13142" spans="1:11">
      <c r="A13142" s="12">
        <v>43283</v>
      </c>
      <c r="B13142">
        <v>2018</v>
      </c>
      <c r="C13142">
        <v>7</v>
      </c>
      <c r="D13142" s="11">
        <v>43282</v>
      </c>
      <c r="E13142" t="s">
        <v>2179</v>
      </c>
      <c r="F13142">
        <v>1</v>
      </c>
      <c r="G13142" t="s">
        <v>61</v>
      </c>
      <c r="H13142" t="s">
        <v>44</v>
      </c>
      <c r="I13142" t="s">
        <v>2192</v>
      </c>
      <c r="J13142" s="10">
        <v>18</v>
      </c>
      <c r="K13142" t="b">
        <v>1</v>
      </c>
    </row>
    <row r="13143" spans="1:11">
      <c r="A13143" s="12">
        <v>43283</v>
      </c>
      <c r="B13143">
        <v>2018</v>
      </c>
      <c r="C13143">
        <v>7</v>
      </c>
      <c r="D13143" s="11">
        <v>43282</v>
      </c>
      <c r="E13143" t="s">
        <v>2179</v>
      </c>
      <c r="F13143">
        <v>1</v>
      </c>
      <c r="G13143" t="s">
        <v>61</v>
      </c>
      <c r="H13143" t="s">
        <v>45</v>
      </c>
      <c r="I13143" t="s">
        <v>2193</v>
      </c>
      <c r="J13143" s="10">
        <v>0</v>
      </c>
      <c r="K13143" t="b">
        <v>1</v>
      </c>
    </row>
    <row r="13144" spans="1:11">
      <c r="A13144" s="12">
        <v>43283</v>
      </c>
      <c r="B13144">
        <v>2018</v>
      </c>
      <c r="C13144">
        <v>7</v>
      </c>
      <c r="D13144" s="11">
        <v>43282</v>
      </c>
      <c r="E13144" t="s">
        <v>2179</v>
      </c>
      <c r="F13144">
        <v>1</v>
      </c>
      <c r="G13144" t="s">
        <v>61</v>
      </c>
      <c r="H13144" t="s">
        <v>46</v>
      </c>
      <c r="I13144" t="s">
        <v>2194</v>
      </c>
      <c r="J13144" s="10">
        <v>3</v>
      </c>
      <c r="K13144" t="b">
        <v>1</v>
      </c>
    </row>
    <row r="13145" spans="1:11">
      <c r="A13145" s="12">
        <v>43283</v>
      </c>
      <c r="B13145">
        <v>2018</v>
      </c>
      <c r="C13145">
        <v>7</v>
      </c>
      <c r="D13145" s="11">
        <v>43282</v>
      </c>
      <c r="E13145" t="s">
        <v>2179</v>
      </c>
      <c r="F13145">
        <v>1</v>
      </c>
      <c r="G13145" t="s">
        <v>61</v>
      </c>
      <c r="H13145" t="s">
        <v>47</v>
      </c>
      <c r="I13145" t="s">
        <v>2195</v>
      </c>
      <c r="J13145" s="10">
        <v>7</v>
      </c>
      <c r="K13145" t="b">
        <v>1</v>
      </c>
    </row>
    <row r="13146" spans="1:11">
      <c r="A13146" s="12">
        <v>43284</v>
      </c>
      <c r="B13146">
        <v>2018</v>
      </c>
      <c r="C13146">
        <v>7</v>
      </c>
      <c r="D13146" s="11">
        <v>43282</v>
      </c>
      <c r="E13146" t="s">
        <v>2179</v>
      </c>
      <c r="F13146">
        <v>2</v>
      </c>
      <c r="G13146" t="s">
        <v>63</v>
      </c>
      <c r="H13146" t="s">
        <v>40</v>
      </c>
      <c r="I13146" t="s">
        <v>2188</v>
      </c>
      <c r="J13146" s="10">
        <v>6.34</v>
      </c>
      <c r="K13146" t="b">
        <v>1</v>
      </c>
    </row>
    <row r="13147" spans="1:11">
      <c r="A13147" s="12">
        <v>43284</v>
      </c>
      <c r="B13147">
        <v>2018</v>
      </c>
      <c r="C13147">
        <v>7</v>
      </c>
      <c r="D13147" s="11">
        <v>43282</v>
      </c>
      <c r="E13147" t="s">
        <v>2179</v>
      </c>
      <c r="F13147">
        <v>2</v>
      </c>
      <c r="G13147" t="s">
        <v>63</v>
      </c>
      <c r="H13147" t="s">
        <v>41</v>
      </c>
      <c r="I13147" t="s">
        <v>2189</v>
      </c>
      <c r="J13147" s="10">
        <v>2.33</v>
      </c>
      <c r="K13147" t="b">
        <v>1</v>
      </c>
    </row>
    <row r="13148" spans="1:11">
      <c r="A13148" s="12">
        <v>43284</v>
      </c>
      <c r="B13148">
        <v>2018</v>
      </c>
      <c r="C13148">
        <v>7</v>
      </c>
      <c r="D13148" s="11">
        <v>43282</v>
      </c>
      <c r="E13148" t="s">
        <v>2179</v>
      </c>
      <c r="F13148">
        <v>2</v>
      </c>
      <c r="G13148" t="s">
        <v>63</v>
      </c>
      <c r="H13148" t="s">
        <v>42</v>
      </c>
      <c r="I13148" t="s">
        <v>2190</v>
      </c>
      <c r="J13148" s="10">
        <v>1</v>
      </c>
      <c r="K13148" t="b">
        <v>1</v>
      </c>
    </row>
    <row r="13149" spans="1:11">
      <c r="A13149" s="12">
        <v>43284</v>
      </c>
      <c r="B13149">
        <v>2018</v>
      </c>
      <c r="C13149">
        <v>7</v>
      </c>
      <c r="D13149" s="11">
        <v>43282</v>
      </c>
      <c r="E13149" t="s">
        <v>2179</v>
      </c>
      <c r="F13149">
        <v>2</v>
      </c>
      <c r="G13149" t="s">
        <v>63</v>
      </c>
      <c r="H13149" t="s">
        <v>43</v>
      </c>
      <c r="I13149" t="s">
        <v>2191</v>
      </c>
      <c r="J13149" s="10">
        <v>13.6</v>
      </c>
      <c r="K13149" t="b">
        <v>1</v>
      </c>
    </row>
    <row r="13150" spans="1:11">
      <c r="A13150" s="12">
        <v>43284</v>
      </c>
      <c r="B13150">
        <v>2018</v>
      </c>
      <c r="C13150">
        <v>7</v>
      </c>
      <c r="D13150" s="11">
        <v>43282</v>
      </c>
      <c r="E13150" t="s">
        <v>2179</v>
      </c>
      <c r="F13150">
        <v>2</v>
      </c>
      <c r="G13150" t="s">
        <v>63</v>
      </c>
      <c r="H13150" t="s">
        <v>44</v>
      </c>
      <c r="I13150" t="s">
        <v>2192</v>
      </c>
      <c r="J13150" s="10">
        <v>9</v>
      </c>
      <c r="K13150" t="b">
        <v>1</v>
      </c>
    </row>
    <row r="13151" spans="1:11">
      <c r="A13151" s="12">
        <v>43284</v>
      </c>
      <c r="B13151">
        <v>2018</v>
      </c>
      <c r="C13151">
        <v>7</v>
      </c>
      <c r="D13151" s="11">
        <v>43282</v>
      </c>
      <c r="E13151" t="s">
        <v>2179</v>
      </c>
      <c r="F13151">
        <v>2</v>
      </c>
      <c r="G13151" t="s">
        <v>63</v>
      </c>
      <c r="H13151" t="s">
        <v>45</v>
      </c>
      <c r="I13151" t="s">
        <v>2193</v>
      </c>
      <c r="J13151" s="10">
        <v>0</v>
      </c>
      <c r="K13151" t="b">
        <v>1</v>
      </c>
    </row>
    <row r="13152" spans="1:11">
      <c r="A13152" s="12">
        <v>43284</v>
      </c>
      <c r="B13152">
        <v>2018</v>
      </c>
      <c r="C13152">
        <v>7</v>
      </c>
      <c r="D13152" s="11">
        <v>43282</v>
      </c>
      <c r="E13152" t="s">
        <v>2179</v>
      </c>
      <c r="F13152">
        <v>2</v>
      </c>
      <c r="G13152" t="s">
        <v>63</v>
      </c>
      <c r="H13152" t="s">
        <v>46</v>
      </c>
      <c r="I13152" t="s">
        <v>2194</v>
      </c>
      <c r="J13152" s="10">
        <v>8</v>
      </c>
      <c r="K13152" t="b">
        <v>1</v>
      </c>
    </row>
    <row r="13153" spans="1:11">
      <c r="A13153" s="12">
        <v>43284</v>
      </c>
      <c r="B13153">
        <v>2018</v>
      </c>
      <c r="C13153">
        <v>7</v>
      </c>
      <c r="D13153" s="11">
        <v>43282</v>
      </c>
      <c r="E13153" t="s">
        <v>2179</v>
      </c>
      <c r="F13153">
        <v>2</v>
      </c>
      <c r="G13153" t="s">
        <v>63</v>
      </c>
      <c r="H13153" t="s">
        <v>47</v>
      </c>
      <c r="I13153" t="s">
        <v>2195</v>
      </c>
      <c r="J13153" s="10">
        <v>3</v>
      </c>
      <c r="K13153" t="b">
        <v>1</v>
      </c>
    </row>
    <row r="13154" spans="1:11">
      <c r="A13154" s="12">
        <v>43285</v>
      </c>
      <c r="B13154">
        <v>2018</v>
      </c>
      <c r="C13154">
        <v>7</v>
      </c>
      <c r="D13154" s="11">
        <v>43282</v>
      </c>
      <c r="E13154" t="s">
        <v>2179</v>
      </c>
      <c r="F13154">
        <v>3</v>
      </c>
      <c r="G13154" t="s">
        <v>65</v>
      </c>
      <c r="H13154" t="s">
        <v>40</v>
      </c>
      <c r="I13154" t="s">
        <v>2188</v>
      </c>
      <c r="J13154" s="10">
        <v>1</v>
      </c>
      <c r="K13154" t="b">
        <v>1</v>
      </c>
    </row>
    <row r="13155" spans="1:11">
      <c r="A13155" s="12">
        <v>43285</v>
      </c>
      <c r="B13155">
        <v>2018</v>
      </c>
      <c r="C13155">
        <v>7</v>
      </c>
      <c r="D13155" s="11">
        <v>43282</v>
      </c>
      <c r="E13155" t="s">
        <v>2179</v>
      </c>
      <c r="F13155">
        <v>3</v>
      </c>
      <c r="G13155" t="s">
        <v>65</v>
      </c>
      <c r="H13155" t="s">
        <v>41</v>
      </c>
      <c r="I13155" t="s">
        <v>2189</v>
      </c>
      <c r="J13155" s="10">
        <v>2.83</v>
      </c>
      <c r="K13155" t="b">
        <v>1</v>
      </c>
    </row>
    <row r="13156" spans="1:11">
      <c r="A13156" s="12">
        <v>43285</v>
      </c>
      <c r="B13156">
        <v>2018</v>
      </c>
      <c r="C13156">
        <v>7</v>
      </c>
      <c r="D13156" s="11">
        <v>43282</v>
      </c>
      <c r="E13156" t="s">
        <v>2179</v>
      </c>
      <c r="F13156">
        <v>3</v>
      </c>
      <c r="G13156" t="s">
        <v>65</v>
      </c>
      <c r="H13156" t="s">
        <v>42</v>
      </c>
      <c r="I13156" t="s">
        <v>2190</v>
      </c>
      <c r="J13156" s="10">
        <v>3.5</v>
      </c>
      <c r="K13156" t="b">
        <v>1</v>
      </c>
    </row>
    <row r="13157" spans="1:11">
      <c r="A13157" s="12">
        <v>43285</v>
      </c>
      <c r="B13157">
        <v>2018</v>
      </c>
      <c r="C13157">
        <v>7</v>
      </c>
      <c r="D13157" s="11">
        <v>43282</v>
      </c>
      <c r="E13157" t="s">
        <v>2179</v>
      </c>
      <c r="F13157">
        <v>3</v>
      </c>
      <c r="G13157" t="s">
        <v>65</v>
      </c>
      <c r="H13157" t="s">
        <v>43</v>
      </c>
      <c r="I13157" t="s">
        <v>2191</v>
      </c>
      <c r="J13157" s="10">
        <v>16.25</v>
      </c>
      <c r="K13157" t="b">
        <v>1</v>
      </c>
    </row>
    <row r="13158" spans="1:11">
      <c r="A13158" s="12">
        <v>43285</v>
      </c>
      <c r="B13158">
        <v>2018</v>
      </c>
      <c r="C13158">
        <v>7</v>
      </c>
      <c r="D13158" s="11">
        <v>43282</v>
      </c>
      <c r="E13158" t="s">
        <v>2179</v>
      </c>
      <c r="F13158">
        <v>3</v>
      </c>
      <c r="G13158" t="s">
        <v>65</v>
      </c>
      <c r="H13158" t="s">
        <v>44</v>
      </c>
      <c r="I13158" t="s">
        <v>2192</v>
      </c>
      <c r="J13158" s="10">
        <v>6</v>
      </c>
      <c r="K13158" t="b">
        <v>1</v>
      </c>
    </row>
    <row r="13159" spans="1:11">
      <c r="A13159" s="12">
        <v>43285</v>
      </c>
      <c r="B13159">
        <v>2018</v>
      </c>
      <c r="C13159">
        <v>7</v>
      </c>
      <c r="D13159" s="11">
        <v>43282</v>
      </c>
      <c r="E13159" t="s">
        <v>2179</v>
      </c>
      <c r="F13159">
        <v>3</v>
      </c>
      <c r="G13159" t="s">
        <v>65</v>
      </c>
      <c r="H13159" t="s">
        <v>45</v>
      </c>
      <c r="I13159" t="s">
        <v>2193</v>
      </c>
      <c r="J13159" s="10">
        <v>0</v>
      </c>
      <c r="K13159" t="b">
        <v>1</v>
      </c>
    </row>
    <row r="13160" spans="1:11">
      <c r="A13160" s="12">
        <v>43285</v>
      </c>
      <c r="B13160">
        <v>2018</v>
      </c>
      <c r="C13160">
        <v>7</v>
      </c>
      <c r="D13160" s="11">
        <v>43282</v>
      </c>
      <c r="E13160" t="s">
        <v>2179</v>
      </c>
      <c r="F13160">
        <v>3</v>
      </c>
      <c r="G13160" t="s">
        <v>65</v>
      </c>
      <c r="H13160" t="s">
        <v>46</v>
      </c>
      <c r="I13160" t="s">
        <v>2194</v>
      </c>
      <c r="J13160" s="10">
        <v>22</v>
      </c>
      <c r="K13160" t="b">
        <v>1</v>
      </c>
    </row>
    <row r="13161" spans="1:11">
      <c r="A13161" s="12">
        <v>43285</v>
      </c>
      <c r="B13161">
        <v>2018</v>
      </c>
      <c r="C13161">
        <v>7</v>
      </c>
      <c r="D13161" s="11">
        <v>43282</v>
      </c>
      <c r="E13161" t="s">
        <v>2179</v>
      </c>
      <c r="F13161">
        <v>3</v>
      </c>
      <c r="G13161" t="s">
        <v>65</v>
      </c>
      <c r="H13161" t="s">
        <v>47</v>
      </c>
      <c r="I13161" t="s">
        <v>2195</v>
      </c>
      <c r="J13161" s="10">
        <v>7</v>
      </c>
      <c r="K13161" t="b">
        <v>1</v>
      </c>
    </row>
    <row r="13162" spans="1:11">
      <c r="A13162" s="12">
        <v>43286</v>
      </c>
      <c r="B13162">
        <v>2018</v>
      </c>
      <c r="C13162">
        <v>7</v>
      </c>
      <c r="D13162" s="11">
        <v>43282</v>
      </c>
      <c r="E13162" t="s">
        <v>2179</v>
      </c>
      <c r="F13162">
        <v>4</v>
      </c>
      <c r="G13162" t="s">
        <v>53</v>
      </c>
      <c r="H13162" t="s">
        <v>40</v>
      </c>
      <c r="I13162" t="s">
        <v>2188</v>
      </c>
      <c r="J13162" s="10">
        <v>4.33</v>
      </c>
      <c r="K13162" t="b">
        <v>1</v>
      </c>
    </row>
    <row r="13163" spans="1:11">
      <c r="A13163" s="12">
        <v>43286</v>
      </c>
      <c r="B13163">
        <v>2018</v>
      </c>
      <c r="C13163">
        <v>7</v>
      </c>
      <c r="D13163" s="11">
        <v>43282</v>
      </c>
      <c r="E13163" t="s">
        <v>2179</v>
      </c>
      <c r="F13163">
        <v>4</v>
      </c>
      <c r="G13163" t="s">
        <v>53</v>
      </c>
      <c r="H13163" t="s">
        <v>41</v>
      </c>
      <c r="I13163" t="s">
        <v>2189</v>
      </c>
      <c r="J13163" s="10">
        <v>2.759</v>
      </c>
      <c r="K13163" t="b">
        <v>1</v>
      </c>
    </row>
    <row r="13164" spans="1:11">
      <c r="A13164" s="12">
        <v>43286</v>
      </c>
      <c r="B13164">
        <v>2018</v>
      </c>
      <c r="C13164">
        <v>7</v>
      </c>
      <c r="D13164" s="11">
        <v>43282</v>
      </c>
      <c r="E13164" t="s">
        <v>2179</v>
      </c>
      <c r="F13164">
        <v>4</v>
      </c>
      <c r="G13164" t="s">
        <v>53</v>
      </c>
      <c r="H13164" t="s">
        <v>42</v>
      </c>
      <c r="I13164" t="s">
        <v>2190</v>
      </c>
      <c r="J13164" s="10">
        <v>4</v>
      </c>
      <c r="K13164" t="b">
        <v>1</v>
      </c>
    </row>
    <row r="13165" spans="1:11">
      <c r="A13165" s="12">
        <v>43286</v>
      </c>
      <c r="B13165">
        <v>2018</v>
      </c>
      <c r="C13165">
        <v>7</v>
      </c>
      <c r="D13165" s="11">
        <v>43282</v>
      </c>
      <c r="E13165" t="s">
        <v>2179</v>
      </c>
      <c r="F13165">
        <v>4</v>
      </c>
      <c r="G13165" t="s">
        <v>53</v>
      </c>
      <c r="H13165" t="s">
        <v>43</v>
      </c>
      <c r="I13165" t="s">
        <v>2191</v>
      </c>
      <c r="J13165" s="10">
        <v>15</v>
      </c>
      <c r="K13165" t="b">
        <v>1</v>
      </c>
    </row>
    <row r="13166" spans="1:11">
      <c r="A13166" s="12">
        <v>43286</v>
      </c>
      <c r="B13166">
        <v>2018</v>
      </c>
      <c r="C13166">
        <v>7</v>
      </c>
      <c r="D13166" s="11">
        <v>43282</v>
      </c>
      <c r="E13166" t="s">
        <v>2179</v>
      </c>
      <c r="F13166">
        <v>4</v>
      </c>
      <c r="G13166" t="s">
        <v>53</v>
      </c>
      <c r="H13166" t="s">
        <v>44</v>
      </c>
      <c r="I13166" t="s">
        <v>2192</v>
      </c>
      <c r="J13166" s="10">
        <v>6</v>
      </c>
      <c r="K13166" t="b">
        <v>1</v>
      </c>
    </row>
    <row r="13167" spans="1:11">
      <c r="A13167" s="12">
        <v>43286</v>
      </c>
      <c r="B13167">
        <v>2018</v>
      </c>
      <c r="C13167">
        <v>7</v>
      </c>
      <c r="D13167" s="11">
        <v>43282</v>
      </c>
      <c r="E13167" t="s">
        <v>2179</v>
      </c>
      <c r="F13167">
        <v>4</v>
      </c>
      <c r="G13167" t="s">
        <v>53</v>
      </c>
      <c r="H13167" t="s">
        <v>45</v>
      </c>
      <c r="I13167" t="s">
        <v>2193</v>
      </c>
      <c r="J13167" s="10">
        <v>3</v>
      </c>
      <c r="K13167" t="b">
        <v>1</v>
      </c>
    </row>
    <row r="13168" spans="1:11">
      <c r="A13168" s="12">
        <v>43286</v>
      </c>
      <c r="B13168">
        <v>2018</v>
      </c>
      <c r="C13168">
        <v>7</v>
      </c>
      <c r="D13168" s="11">
        <v>43282</v>
      </c>
      <c r="E13168" t="s">
        <v>2179</v>
      </c>
      <c r="F13168">
        <v>4</v>
      </c>
      <c r="G13168" t="s">
        <v>53</v>
      </c>
      <c r="H13168" t="s">
        <v>46</v>
      </c>
      <c r="I13168" t="s">
        <v>2194</v>
      </c>
      <c r="J13168" s="10">
        <v>3</v>
      </c>
      <c r="K13168" t="b">
        <v>1</v>
      </c>
    </row>
    <row r="13169" spans="1:11">
      <c r="A13169" s="12">
        <v>43286</v>
      </c>
      <c r="B13169">
        <v>2018</v>
      </c>
      <c r="C13169">
        <v>7</v>
      </c>
      <c r="D13169" s="11">
        <v>43282</v>
      </c>
      <c r="E13169" t="s">
        <v>2179</v>
      </c>
      <c r="F13169">
        <v>4</v>
      </c>
      <c r="G13169" t="s">
        <v>53</v>
      </c>
      <c r="H13169" t="s">
        <v>47</v>
      </c>
      <c r="I13169" t="s">
        <v>2195</v>
      </c>
      <c r="J13169" s="10">
        <v>1</v>
      </c>
      <c r="K13169" t="b">
        <v>1</v>
      </c>
    </row>
    <row r="13170" spans="1:11">
      <c r="A13170" s="12">
        <v>43287</v>
      </c>
      <c r="B13170">
        <v>2018</v>
      </c>
      <c r="C13170">
        <v>7</v>
      </c>
      <c r="D13170" s="11">
        <v>43282</v>
      </c>
      <c r="E13170" t="s">
        <v>2179</v>
      </c>
      <c r="F13170">
        <v>5</v>
      </c>
      <c r="G13170" t="s">
        <v>55</v>
      </c>
      <c r="H13170" t="s">
        <v>40</v>
      </c>
      <c r="I13170" t="s">
        <v>2188</v>
      </c>
      <c r="J13170" s="10">
        <v>2.33</v>
      </c>
      <c r="K13170" t="b">
        <v>1</v>
      </c>
    </row>
    <row r="13171" spans="1:11">
      <c r="A13171" s="12">
        <v>43287</v>
      </c>
      <c r="B13171">
        <v>2018</v>
      </c>
      <c r="C13171">
        <v>7</v>
      </c>
      <c r="D13171" s="11">
        <v>43282</v>
      </c>
      <c r="E13171" t="s">
        <v>2179</v>
      </c>
      <c r="F13171">
        <v>5</v>
      </c>
      <c r="G13171" t="s">
        <v>55</v>
      </c>
      <c r="H13171" t="s">
        <v>41</v>
      </c>
      <c r="I13171" t="s">
        <v>2189</v>
      </c>
      <c r="J13171" s="10">
        <v>5.33</v>
      </c>
      <c r="K13171" t="b">
        <v>1</v>
      </c>
    </row>
    <row r="13172" spans="1:11">
      <c r="A13172" s="12">
        <v>43287</v>
      </c>
      <c r="B13172">
        <v>2018</v>
      </c>
      <c r="C13172">
        <v>7</v>
      </c>
      <c r="D13172" s="11">
        <v>43282</v>
      </c>
      <c r="E13172" t="s">
        <v>2179</v>
      </c>
      <c r="F13172">
        <v>5</v>
      </c>
      <c r="G13172" t="s">
        <v>55</v>
      </c>
      <c r="H13172" t="s">
        <v>42</v>
      </c>
      <c r="I13172" t="s">
        <v>2190</v>
      </c>
      <c r="J13172" s="10">
        <v>1.25</v>
      </c>
      <c r="K13172" t="b">
        <v>1</v>
      </c>
    </row>
    <row r="13173" spans="1:11">
      <c r="A13173" s="12">
        <v>43287</v>
      </c>
      <c r="B13173">
        <v>2018</v>
      </c>
      <c r="C13173">
        <v>7</v>
      </c>
      <c r="D13173" s="11">
        <v>43282</v>
      </c>
      <c r="E13173" t="s">
        <v>2179</v>
      </c>
      <c r="F13173">
        <v>5</v>
      </c>
      <c r="G13173" t="s">
        <v>55</v>
      </c>
      <c r="H13173" t="s">
        <v>43</v>
      </c>
      <c r="I13173" t="s">
        <v>2191</v>
      </c>
      <c r="J13173" s="10">
        <v>20</v>
      </c>
      <c r="K13173" t="b">
        <v>1</v>
      </c>
    </row>
    <row r="13174" spans="1:11">
      <c r="A13174" s="12">
        <v>43287</v>
      </c>
      <c r="B13174">
        <v>2018</v>
      </c>
      <c r="C13174">
        <v>7</v>
      </c>
      <c r="D13174" s="11">
        <v>43282</v>
      </c>
      <c r="E13174" t="s">
        <v>2179</v>
      </c>
      <c r="F13174">
        <v>5</v>
      </c>
      <c r="G13174" t="s">
        <v>55</v>
      </c>
      <c r="H13174" t="s">
        <v>44</v>
      </c>
      <c r="I13174" t="s">
        <v>2192</v>
      </c>
      <c r="J13174" s="10">
        <v>15</v>
      </c>
      <c r="K13174" t="b">
        <v>1</v>
      </c>
    </row>
    <row r="13175" spans="1:11">
      <c r="A13175" s="12">
        <v>43287</v>
      </c>
      <c r="B13175">
        <v>2018</v>
      </c>
      <c r="C13175">
        <v>7</v>
      </c>
      <c r="D13175" s="11">
        <v>43282</v>
      </c>
      <c r="E13175" t="s">
        <v>2179</v>
      </c>
      <c r="F13175">
        <v>5</v>
      </c>
      <c r="G13175" t="s">
        <v>55</v>
      </c>
      <c r="H13175" t="s">
        <v>45</v>
      </c>
      <c r="I13175" t="s">
        <v>2193</v>
      </c>
      <c r="J13175" s="10">
        <v>0</v>
      </c>
      <c r="K13175" t="b">
        <v>1</v>
      </c>
    </row>
    <row r="13176" spans="1:11">
      <c r="A13176" s="12">
        <v>43287</v>
      </c>
      <c r="B13176">
        <v>2018</v>
      </c>
      <c r="C13176">
        <v>7</v>
      </c>
      <c r="D13176" s="11">
        <v>43282</v>
      </c>
      <c r="E13176" t="s">
        <v>2179</v>
      </c>
      <c r="F13176">
        <v>5</v>
      </c>
      <c r="G13176" t="s">
        <v>55</v>
      </c>
      <c r="H13176" t="s">
        <v>46</v>
      </c>
      <c r="I13176" t="s">
        <v>2194</v>
      </c>
      <c r="J13176" s="10">
        <v>0</v>
      </c>
      <c r="K13176" t="b">
        <v>1</v>
      </c>
    </row>
    <row r="13177" spans="1:11">
      <c r="A13177" s="12">
        <v>43287</v>
      </c>
      <c r="B13177">
        <v>2018</v>
      </c>
      <c r="C13177">
        <v>7</v>
      </c>
      <c r="D13177" s="11">
        <v>43282</v>
      </c>
      <c r="E13177" t="s">
        <v>2179</v>
      </c>
      <c r="F13177">
        <v>5</v>
      </c>
      <c r="G13177" t="s">
        <v>55</v>
      </c>
      <c r="H13177" t="s">
        <v>47</v>
      </c>
      <c r="I13177" t="s">
        <v>2195</v>
      </c>
      <c r="J13177" s="10">
        <v>6</v>
      </c>
      <c r="K13177" t="b">
        <v>1</v>
      </c>
    </row>
    <row r="13178" spans="1:11">
      <c r="A13178" s="12">
        <v>43288</v>
      </c>
      <c r="B13178">
        <v>2018</v>
      </c>
      <c r="C13178">
        <v>7</v>
      </c>
      <c r="D13178" s="11">
        <v>43282</v>
      </c>
      <c r="E13178" t="s">
        <v>2179</v>
      </c>
      <c r="F13178">
        <v>6</v>
      </c>
      <c r="G13178" t="s">
        <v>57</v>
      </c>
      <c r="H13178" t="s">
        <v>40</v>
      </c>
      <c r="I13178" t="s">
        <v>2188</v>
      </c>
      <c r="J13178" s="10">
        <v>6.33</v>
      </c>
      <c r="K13178" t="b">
        <v>1</v>
      </c>
    </row>
    <row r="13179" spans="1:11">
      <c r="A13179" s="12">
        <v>43288</v>
      </c>
      <c r="B13179">
        <v>2018</v>
      </c>
      <c r="C13179">
        <v>7</v>
      </c>
      <c r="D13179" s="11">
        <v>43282</v>
      </c>
      <c r="E13179" t="s">
        <v>2179</v>
      </c>
      <c r="F13179">
        <v>6</v>
      </c>
      <c r="G13179" t="s">
        <v>57</v>
      </c>
      <c r="H13179" t="s">
        <v>41</v>
      </c>
      <c r="I13179" t="s">
        <v>2189</v>
      </c>
      <c r="J13179" s="10">
        <v>8.52</v>
      </c>
      <c r="K13179" t="b">
        <v>1</v>
      </c>
    </row>
    <row r="13180" spans="1:11">
      <c r="A13180" s="12">
        <v>43288</v>
      </c>
      <c r="B13180">
        <v>2018</v>
      </c>
      <c r="C13180">
        <v>7</v>
      </c>
      <c r="D13180" s="11">
        <v>43282</v>
      </c>
      <c r="E13180" t="s">
        <v>2179</v>
      </c>
      <c r="F13180">
        <v>6</v>
      </c>
      <c r="G13180" t="s">
        <v>57</v>
      </c>
      <c r="H13180" t="s">
        <v>42</v>
      </c>
      <c r="I13180" t="s">
        <v>2190</v>
      </c>
      <c r="J13180" s="10">
        <v>7</v>
      </c>
      <c r="K13180" t="b">
        <v>1</v>
      </c>
    </row>
    <row r="13181" spans="1:11">
      <c r="A13181" s="12">
        <v>43288</v>
      </c>
      <c r="B13181">
        <v>2018</v>
      </c>
      <c r="C13181">
        <v>7</v>
      </c>
      <c r="D13181" s="11">
        <v>43282</v>
      </c>
      <c r="E13181" t="s">
        <v>2179</v>
      </c>
      <c r="F13181">
        <v>6</v>
      </c>
      <c r="G13181" t="s">
        <v>57</v>
      </c>
      <c r="H13181" t="s">
        <v>43</v>
      </c>
      <c r="I13181" t="s">
        <v>2191</v>
      </c>
      <c r="J13181" s="10">
        <v>19</v>
      </c>
      <c r="K13181" t="b">
        <v>1</v>
      </c>
    </row>
    <row r="13182" spans="1:11">
      <c r="A13182" s="12">
        <v>43288</v>
      </c>
      <c r="B13182">
        <v>2018</v>
      </c>
      <c r="C13182">
        <v>7</v>
      </c>
      <c r="D13182" s="11">
        <v>43282</v>
      </c>
      <c r="E13182" t="s">
        <v>2179</v>
      </c>
      <c r="F13182">
        <v>6</v>
      </c>
      <c r="G13182" t="s">
        <v>57</v>
      </c>
      <c r="H13182" t="s">
        <v>44</v>
      </c>
      <c r="I13182" t="s">
        <v>2192</v>
      </c>
      <c r="J13182" s="10">
        <v>14</v>
      </c>
      <c r="K13182" t="b">
        <v>1</v>
      </c>
    </row>
    <row r="13183" spans="1:11">
      <c r="A13183" s="12">
        <v>43288</v>
      </c>
      <c r="B13183">
        <v>2018</v>
      </c>
      <c r="C13183">
        <v>7</v>
      </c>
      <c r="D13183" s="11">
        <v>43282</v>
      </c>
      <c r="E13183" t="s">
        <v>2179</v>
      </c>
      <c r="F13183">
        <v>6</v>
      </c>
      <c r="G13183" t="s">
        <v>57</v>
      </c>
      <c r="H13183" t="s">
        <v>45</v>
      </c>
      <c r="I13183" t="s">
        <v>2193</v>
      </c>
      <c r="J13183" s="10">
        <v>0</v>
      </c>
      <c r="K13183" t="b">
        <v>1</v>
      </c>
    </row>
    <row r="13184" spans="1:11">
      <c r="A13184" s="12">
        <v>43288</v>
      </c>
      <c r="B13184">
        <v>2018</v>
      </c>
      <c r="C13184">
        <v>7</v>
      </c>
      <c r="D13184" s="11">
        <v>43282</v>
      </c>
      <c r="E13184" t="s">
        <v>2179</v>
      </c>
      <c r="F13184">
        <v>6</v>
      </c>
      <c r="G13184" t="s">
        <v>57</v>
      </c>
      <c r="H13184" t="s">
        <v>46</v>
      </c>
      <c r="I13184" t="s">
        <v>2194</v>
      </c>
      <c r="J13184" s="10">
        <v>0</v>
      </c>
      <c r="K13184" t="b">
        <v>1</v>
      </c>
    </row>
    <row r="13185" spans="1:11">
      <c r="A13185" s="12">
        <v>43288</v>
      </c>
      <c r="B13185">
        <v>2018</v>
      </c>
      <c r="C13185">
        <v>7</v>
      </c>
      <c r="D13185" s="11">
        <v>43282</v>
      </c>
      <c r="E13185" t="s">
        <v>2179</v>
      </c>
      <c r="F13185">
        <v>6</v>
      </c>
      <c r="G13185" t="s">
        <v>57</v>
      </c>
      <c r="H13185" t="s">
        <v>47</v>
      </c>
      <c r="I13185" t="s">
        <v>2195</v>
      </c>
      <c r="J13185" s="10">
        <v>5.5</v>
      </c>
      <c r="K13185" t="b">
        <v>1</v>
      </c>
    </row>
    <row r="13186" spans="1:11">
      <c r="A13186" s="12">
        <v>43289</v>
      </c>
      <c r="B13186">
        <v>2018</v>
      </c>
      <c r="C13186">
        <v>7</v>
      </c>
      <c r="D13186" s="11">
        <v>43282</v>
      </c>
      <c r="E13186" t="s">
        <v>2179</v>
      </c>
      <c r="F13186">
        <v>7</v>
      </c>
      <c r="G13186" t="s">
        <v>59</v>
      </c>
      <c r="H13186" t="s">
        <v>40</v>
      </c>
      <c r="I13186" t="s">
        <v>2188</v>
      </c>
      <c r="J13186" s="10">
        <v>7.33</v>
      </c>
      <c r="K13186" t="b">
        <v>1</v>
      </c>
    </row>
    <row r="13187" spans="1:11">
      <c r="A13187" s="12">
        <v>43289</v>
      </c>
      <c r="B13187">
        <v>2018</v>
      </c>
      <c r="C13187">
        <v>7</v>
      </c>
      <c r="D13187" s="11">
        <v>43282</v>
      </c>
      <c r="E13187" t="s">
        <v>2179</v>
      </c>
      <c r="F13187">
        <v>7</v>
      </c>
      <c r="G13187" t="s">
        <v>59</v>
      </c>
      <c r="H13187" t="s">
        <v>41</v>
      </c>
      <c r="I13187" t="s">
        <v>2189</v>
      </c>
      <c r="J13187" s="10">
        <v>5.211</v>
      </c>
      <c r="K13187" t="b">
        <v>1</v>
      </c>
    </row>
    <row r="13188" spans="1:11">
      <c r="A13188" s="12">
        <v>43289</v>
      </c>
      <c r="B13188">
        <v>2018</v>
      </c>
      <c r="C13188">
        <v>7</v>
      </c>
      <c r="D13188" s="11">
        <v>43282</v>
      </c>
      <c r="E13188" t="s">
        <v>2179</v>
      </c>
      <c r="F13188">
        <v>7</v>
      </c>
      <c r="G13188" t="s">
        <v>59</v>
      </c>
      <c r="H13188" t="s">
        <v>42</v>
      </c>
      <c r="I13188" t="s">
        <v>2190</v>
      </c>
      <c r="J13188" s="10">
        <v>2</v>
      </c>
      <c r="K13188" t="b">
        <v>1</v>
      </c>
    </row>
    <row r="13189" spans="1:11">
      <c r="A13189" s="12">
        <v>43289</v>
      </c>
      <c r="B13189">
        <v>2018</v>
      </c>
      <c r="C13189">
        <v>7</v>
      </c>
      <c r="D13189" s="11">
        <v>43282</v>
      </c>
      <c r="E13189" t="s">
        <v>2179</v>
      </c>
      <c r="F13189">
        <v>7</v>
      </c>
      <c r="G13189" t="s">
        <v>59</v>
      </c>
      <c r="H13189" t="s">
        <v>43</v>
      </c>
      <c r="I13189" t="s">
        <v>2191</v>
      </c>
      <c r="J13189" s="10">
        <v>28</v>
      </c>
      <c r="K13189" t="b">
        <v>1</v>
      </c>
    </row>
    <row r="13190" spans="1:11">
      <c r="A13190" s="12">
        <v>43289</v>
      </c>
      <c r="B13190">
        <v>2018</v>
      </c>
      <c r="C13190">
        <v>7</v>
      </c>
      <c r="D13190" s="11">
        <v>43282</v>
      </c>
      <c r="E13190" t="s">
        <v>2179</v>
      </c>
      <c r="F13190">
        <v>7</v>
      </c>
      <c r="G13190" t="s">
        <v>59</v>
      </c>
      <c r="H13190" t="s">
        <v>44</v>
      </c>
      <c r="I13190" t="s">
        <v>2192</v>
      </c>
      <c r="J13190" s="10">
        <v>10</v>
      </c>
      <c r="K13190" t="b">
        <v>1</v>
      </c>
    </row>
    <row r="13191" spans="1:11">
      <c r="A13191" s="12">
        <v>43289</v>
      </c>
      <c r="B13191">
        <v>2018</v>
      </c>
      <c r="C13191">
        <v>7</v>
      </c>
      <c r="D13191" s="11">
        <v>43282</v>
      </c>
      <c r="E13191" t="s">
        <v>2179</v>
      </c>
      <c r="F13191">
        <v>7</v>
      </c>
      <c r="G13191" t="s">
        <v>59</v>
      </c>
      <c r="H13191" t="s">
        <v>45</v>
      </c>
      <c r="I13191" t="s">
        <v>2193</v>
      </c>
      <c r="J13191" s="10">
        <v>0</v>
      </c>
      <c r="K13191" t="b">
        <v>1</v>
      </c>
    </row>
    <row r="13192" spans="1:11">
      <c r="A13192" s="12">
        <v>43289</v>
      </c>
      <c r="B13192">
        <v>2018</v>
      </c>
      <c r="C13192">
        <v>7</v>
      </c>
      <c r="D13192" s="11">
        <v>43282</v>
      </c>
      <c r="E13192" t="s">
        <v>2179</v>
      </c>
      <c r="F13192">
        <v>7</v>
      </c>
      <c r="G13192" t="s">
        <v>59</v>
      </c>
      <c r="H13192" t="s">
        <v>46</v>
      </c>
      <c r="I13192" t="s">
        <v>2194</v>
      </c>
      <c r="J13192" s="10">
        <v>5</v>
      </c>
      <c r="K13192" t="b">
        <v>1</v>
      </c>
    </row>
    <row r="13193" spans="1:11">
      <c r="A13193" s="12">
        <v>43289</v>
      </c>
      <c r="B13193">
        <v>2018</v>
      </c>
      <c r="C13193">
        <v>7</v>
      </c>
      <c r="D13193" s="11">
        <v>43282</v>
      </c>
      <c r="E13193" t="s">
        <v>2179</v>
      </c>
      <c r="F13193">
        <v>7</v>
      </c>
      <c r="G13193" t="s">
        <v>59</v>
      </c>
      <c r="H13193" t="s">
        <v>47</v>
      </c>
      <c r="I13193" t="s">
        <v>2195</v>
      </c>
      <c r="J13193" s="10">
        <v>4</v>
      </c>
      <c r="K13193" t="b">
        <v>1</v>
      </c>
    </row>
    <row r="13194" spans="1:11">
      <c r="A13194" s="12">
        <v>43290</v>
      </c>
      <c r="B13194">
        <v>2018</v>
      </c>
      <c r="C13194">
        <v>7</v>
      </c>
      <c r="D13194" s="11">
        <v>43282</v>
      </c>
      <c r="E13194" t="s">
        <v>2179</v>
      </c>
      <c r="F13194">
        <v>1</v>
      </c>
      <c r="G13194" t="s">
        <v>61</v>
      </c>
      <c r="H13194" t="s">
        <v>40</v>
      </c>
      <c r="I13194" t="s">
        <v>2188</v>
      </c>
      <c r="J13194" s="10">
        <v>3.33</v>
      </c>
      <c r="K13194" t="b">
        <v>1</v>
      </c>
    </row>
    <row r="13195" spans="1:11">
      <c r="A13195" s="12">
        <v>43290</v>
      </c>
      <c r="B13195">
        <v>2018</v>
      </c>
      <c r="C13195">
        <v>7</v>
      </c>
      <c r="D13195" s="11">
        <v>43282</v>
      </c>
      <c r="E13195" t="s">
        <v>2179</v>
      </c>
      <c r="F13195">
        <v>1</v>
      </c>
      <c r="G13195" t="s">
        <v>61</v>
      </c>
      <c r="H13195" t="s">
        <v>41</v>
      </c>
      <c r="I13195" t="s">
        <v>2189</v>
      </c>
      <c r="J13195" s="10">
        <v>2</v>
      </c>
      <c r="K13195" t="b">
        <v>1</v>
      </c>
    </row>
    <row r="13196" spans="1:11">
      <c r="A13196" s="12">
        <v>43290</v>
      </c>
      <c r="B13196">
        <v>2018</v>
      </c>
      <c r="C13196">
        <v>7</v>
      </c>
      <c r="D13196" s="11">
        <v>43282</v>
      </c>
      <c r="E13196" t="s">
        <v>2179</v>
      </c>
      <c r="F13196">
        <v>1</v>
      </c>
      <c r="G13196" t="s">
        <v>61</v>
      </c>
      <c r="H13196" t="s">
        <v>42</v>
      </c>
      <c r="I13196" t="s">
        <v>2190</v>
      </c>
      <c r="J13196" s="10">
        <v>4</v>
      </c>
      <c r="K13196" t="b">
        <v>1</v>
      </c>
    </row>
    <row r="13197" spans="1:11">
      <c r="A13197" s="12">
        <v>43290</v>
      </c>
      <c r="B13197">
        <v>2018</v>
      </c>
      <c r="C13197">
        <v>7</v>
      </c>
      <c r="D13197" s="11">
        <v>43282</v>
      </c>
      <c r="E13197" t="s">
        <v>2179</v>
      </c>
      <c r="F13197">
        <v>1</v>
      </c>
      <c r="G13197" t="s">
        <v>61</v>
      </c>
      <c r="H13197" t="s">
        <v>43</v>
      </c>
      <c r="I13197" t="s">
        <v>2191</v>
      </c>
      <c r="J13197" s="10">
        <v>31</v>
      </c>
      <c r="K13197" t="b">
        <v>1</v>
      </c>
    </row>
    <row r="13198" spans="1:11">
      <c r="A13198" s="12">
        <v>43290</v>
      </c>
      <c r="B13198">
        <v>2018</v>
      </c>
      <c r="C13198">
        <v>7</v>
      </c>
      <c r="D13198" s="11">
        <v>43282</v>
      </c>
      <c r="E13198" t="s">
        <v>2179</v>
      </c>
      <c r="F13198">
        <v>1</v>
      </c>
      <c r="G13198" t="s">
        <v>61</v>
      </c>
      <c r="H13198" t="s">
        <v>44</v>
      </c>
      <c r="I13198" t="s">
        <v>2192</v>
      </c>
      <c r="J13198" s="10">
        <v>12</v>
      </c>
      <c r="K13198" t="b">
        <v>1</v>
      </c>
    </row>
    <row r="13199" spans="1:11">
      <c r="A13199" s="12">
        <v>43290</v>
      </c>
      <c r="B13199">
        <v>2018</v>
      </c>
      <c r="C13199">
        <v>7</v>
      </c>
      <c r="D13199" s="11">
        <v>43282</v>
      </c>
      <c r="E13199" t="s">
        <v>2179</v>
      </c>
      <c r="F13199">
        <v>1</v>
      </c>
      <c r="G13199" t="s">
        <v>61</v>
      </c>
      <c r="H13199" t="s">
        <v>45</v>
      </c>
      <c r="I13199" t="s">
        <v>2193</v>
      </c>
      <c r="J13199" s="10">
        <v>3</v>
      </c>
      <c r="K13199" t="b">
        <v>1</v>
      </c>
    </row>
    <row r="13200" spans="1:11">
      <c r="A13200" s="12">
        <v>43290</v>
      </c>
      <c r="B13200">
        <v>2018</v>
      </c>
      <c r="C13200">
        <v>7</v>
      </c>
      <c r="D13200" s="11">
        <v>43282</v>
      </c>
      <c r="E13200" t="s">
        <v>2179</v>
      </c>
      <c r="F13200">
        <v>1</v>
      </c>
      <c r="G13200" t="s">
        <v>61</v>
      </c>
      <c r="H13200" t="s">
        <v>46</v>
      </c>
      <c r="I13200" t="s">
        <v>2194</v>
      </c>
      <c r="J13200" s="10">
        <v>0</v>
      </c>
      <c r="K13200" t="b">
        <v>1</v>
      </c>
    </row>
    <row r="13201" spans="1:11">
      <c r="A13201" s="12">
        <v>43290</v>
      </c>
      <c r="B13201">
        <v>2018</v>
      </c>
      <c r="C13201">
        <v>7</v>
      </c>
      <c r="D13201" s="11">
        <v>43282</v>
      </c>
      <c r="E13201" t="s">
        <v>2179</v>
      </c>
      <c r="F13201">
        <v>1</v>
      </c>
      <c r="G13201" t="s">
        <v>61</v>
      </c>
      <c r="H13201" t="s">
        <v>47</v>
      </c>
      <c r="I13201" t="s">
        <v>2195</v>
      </c>
      <c r="J13201" s="10">
        <v>3</v>
      </c>
      <c r="K13201" t="b">
        <v>1</v>
      </c>
    </row>
    <row r="13202" spans="1:11">
      <c r="A13202" s="12">
        <v>43291</v>
      </c>
      <c r="B13202">
        <v>2018</v>
      </c>
      <c r="C13202">
        <v>7</v>
      </c>
      <c r="D13202" s="11">
        <v>43282</v>
      </c>
      <c r="E13202" t="s">
        <v>2179</v>
      </c>
      <c r="F13202">
        <v>2</v>
      </c>
      <c r="G13202" t="s">
        <v>63</v>
      </c>
      <c r="H13202" t="s">
        <v>40</v>
      </c>
      <c r="I13202" t="s">
        <v>2188</v>
      </c>
      <c r="J13202" s="10">
        <v>6</v>
      </c>
      <c r="K13202" t="b">
        <v>1</v>
      </c>
    </row>
    <row r="13203" spans="1:11">
      <c r="A13203" s="12">
        <v>43291</v>
      </c>
      <c r="B13203">
        <v>2018</v>
      </c>
      <c r="C13203">
        <v>7</v>
      </c>
      <c r="D13203" s="11">
        <v>43282</v>
      </c>
      <c r="E13203" t="s">
        <v>2179</v>
      </c>
      <c r="F13203">
        <v>2</v>
      </c>
      <c r="G13203" t="s">
        <v>63</v>
      </c>
      <c r="H13203" t="s">
        <v>41</v>
      </c>
      <c r="I13203" t="s">
        <v>2189</v>
      </c>
      <c r="J13203" s="10">
        <v>6.36</v>
      </c>
      <c r="K13203" t="b">
        <v>1</v>
      </c>
    </row>
    <row r="13204" spans="1:11">
      <c r="A13204" s="12">
        <v>43291</v>
      </c>
      <c r="B13204">
        <v>2018</v>
      </c>
      <c r="C13204">
        <v>7</v>
      </c>
      <c r="D13204" s="11">
        <v>43282</v>
      </c>
      <c r="E13204" t="s">
        <v>2179</v>
      </c>
      <c r="F13204">
        <v>2</v>
      </c>
      <c r="G13204" t="s">
        <v>63</v>
      </c>
      <c r="H13204" t="s">
        <v>42</v>
      </c>
      <c r="I13204" t="s">
        <v>2190</v>
      </c>
      <c r="J13204" s="10">
        <v>4</v>
      </c>
      <c r="K13204" t="b">
        <v>1</v>
      </c>
    </row>
    <row r="13205" spans="1:11">
      <c r="A13205" s="12">
        <v>43291</v>
      </c>
      <c r="B13205">
        <v>2018</v>
      </c>
      <c r="C13205">
        <v>7</v>
      </c>
      <c r="D13205" s="11">
        <v>43282</v>
      </c>
      <c r="E13205" t="s">
        <v>2179</v>
      </c>
      <c r="F13205">
        <v>2</v>
      </c>
      <c r="G13205" t="s">
        <v>63</v>
      </c>
      <c r="H13205" t="s">
        <v>43</v>
      </c>
      <c r="I13205" t="s">
        <v>2191</v>
      </c>
      <c r="J13205" s="10">
        <v>34</v>
      </c>
      <c r="K13205" t="b">
        <v>1</v>
      </c>
    </row>
    <row r="13206" spans="1:11">
      <c r="A13206" s="12">
        <v>43291</v>
      </c>
      <c r="B13206">
        <v>2018</v>
      </c>
      <c r="C13206">
        <v>7</v>
      </c>
      <c r="D13206" s="11">
        <v>43282</v>
      </c>
      <c r="E13206" t="s">
        <v>2179</v>
      </c>
      <c r="F13206">
        <v>2</v>
      </c>
      <c r="G13206" t="s">
        <v>63</v>
      </c>
      <c r="H13206" t="s">
        <v>44</v>
      </c>
      <c r="I13206" t="s">
        <v>2192</v>
      </c>
      <c r="J13206" s="10">
        <v>9</v>
      </c>
      <c r="K13206" t="b">
        <v>1</v>
      </c>
    </row>
    <row r="13207" spans="1:11">
      <c r="A13207" s="12">
        <v>43291</v>
      </c>
      <c r="B13207">
        <v>2018</v>
      </c>
      <c r="C13207">
        <v>7</v>
      </c>
      <c r="D13207" s="11">
        <v>43282</v>
      </c>
      <c r="E13207" t="s">
        <v>2179</v>
      </c>
      <c r="F13207">
        <v>2</v>
      </c>
      <c r="G13207" t="s">
        <v>63</v>
      </c>
      <c r="H13207" t="s">
        <v>45</v>
      </c>
      <c r="I13207" t="s">
        <v>2193</v>
      </c>
      <c r="J13207" s="10">
        <v>2</v>
      </c>
      <c r="K13207" t="b">
        <v>1</v>
      </c>
    </row>
    <row r="13208" spans="1:11">
      <c r="A13208" s="12">
        <v>43291</v>
      </c>
      <c r="B13208">
        <v>2018</v>
      </c>
      <c r="C13208">
        <v>7</v>
      </c>
      <c r="D13208" s="11">
        <v>43282</v>
      </c>
      <c r="E13208" t="s">
        <v>2179</v>
      </c>
      <c r="F13208">
        <v>2</v>
      </c>
      <c r="G13208" t="s">
        <v>63</v>
      </c>
      <c r="H13208" t="s">
        <v>46</v>
      </c>
      <c r="I13208" t="s">
        <v>2194</v>
      </c>
      <c r="J13208" s="10">
        <v>2</v>
      </c>
      <c r="K13208" t="b">
        <v>1</v>
      </c>
    </row>
    <row r="13209" spans="1:11">
      <c r="A13209" s="12">
        <v>43291</v>
      </c>
      <c r="B13209">
        <v>2018</v>
      </c>
      <c r="C13209">
        <v>7</v>
      </c>
      <c r="D13209" s="11">
        <v>43282</v>
      </c>
      <c r="E13209" t="s">
        <v>2179</v>
      </c>
      <c r="F13209">
        <v>2</v>
      </c>
      <c r="G13209" t="s">
        <v>63</v>
      </c>
      <c r="H13209" t="s">
        <v>47</v>
      </c>
      <c r="I13209" t="s">
        <v>2195</v>
      </c>
      <c r="J13209" s="10">
        <v>4</v>
      </c>
      <c r="K13209" t="b">
        <v>1</v>
      </c>
    </row>
    <row r="13210" spans="1:11">
      <c r="A13210" s="12">
        <v>43292</v>
      </c>
      <c r="B13210">
        <v>2018</v>
      </c>
      <c r="C13210">
        <v>7</v>
      </c>
      <c r="D13210" s="11">
        <v>43282</v>
      </c>
      <c r="E13210" t="s">
        <v>2179</v>
      </c>
      <c r="F13210">
        <v>3</v>
      </c>
      <c r="G13210" t="s">
        <v>65</v>
      </c>
      <c r="H13210" t="s">
        <v>40</v>
      </c>
      <c r="I13210" t="s">
        <v>2188</v>
      </c>
      <c r="J13210" s="10">
        <v>10</v>
      </c>
      <c r="K13210" t="b">
        <v>1</v>
      </c>
    </row>
    <row r="13211" spans="1:11">
      <c r="A13211" s="12">
        <v>43292</v>
      </c>
      <c r="B13211">
        <v>2018</v>
      </c>
      <c r="C13211">
        <v>7</v>
      </c>
      <c r="D13211" s="11">
        <v>43282</v>
      </c>
      <c r="E13211" t="s">
        <v>2179</v>
      </c>
      <c r="F13211">
        <v>3</v>
      </c>
      <c r="G13211" t="s">
        <v>65</v>
      </c>
      <c r="H13211" t="s">
        <v>41</v>
      </c>
      <c r="I13211" t="s">
        <v>2189</v>
      </c>
      <c r="J13211" s="10">
        <v>3.363</v>
      </c>
      <c r="K13211" t="b">
        <v>1</v>
      </c>
    </row>
    <row r="13212" spans="1:11">
      <c r="A13212" s="12">
        <v>43292</v>
      </c>
      <c r="B13212">
        <v>2018</v>
      </c>
      <c r="C13212">
        <v>7</v>
      </c>
      <c r="D13212" s="11">
        <v>43282</v>
      </c>
      <c r="E13212" t="s">
        <v>2179</v>
      </c>
      <c r="F13212">
        <v>3</v>
      </c>
      <c r="G13212" t="s">
        <v>65</v>
      </c>
      <c r="H13212" t="s">
        <v>42</v>
      </c>
      <c r="I13212" t="s">
        <v>2190</v>
      </c>
      <c r="J13212" s="10">
        <v>3</v>
      </c>
      <c r="K13212" t="b">
        <v>1</v>
      </c>
    </row>
    <row r="13213" spans="1:11">
      <c r="A13213" s="12">
        <v>43292</v>
      </c>
      <c r="B13213">
        <v>2018</v>
      </c>
      <c r="C13213">
        <v>7</v>
      </c>
      <c r="D13213" s="11">
        <v>43282</v>
      </c>
      <c r="E13213" t="s">
        <v>2179</v>
      </c>
      <c r="F13213">
        <v>3</v>
      </c>
      <c r="G13213" t="s">
        <v>65</v>
      </c>
      <c r="H13213" t="s">
        <v>43</v>
      </c>
      <c r="I13213" t="s">
        <v>2191</v>
      </c>
      <c r="J13213" s="10">
        <v>29.4</v>
      </c>
      <c r="K13213" t="b">
        <v>1</v>
      </c>
    </row>
    <row r="13214" spans="1:11">
      <c r="A13214" s="12">
        <v>43292</v>
      </c>
      <c r="B13214">
        <v>2018</v>
      </c>
      <c r="C13214">
        <v>7</v>
      </c>
      <c r="D13214" s="11">
        <v>43282</v>
      </c>
      <c r="E13214" t="s">
        <v>2179</v>
      </c>
      <c r="F13214">
        <v>3</v>
      </c>
      <c r="G13214" t="s">
        <v>65</v>
      </c>
      <c r="H13214" t="s">
        <v>44</v>
      </c>
      <c r="I13214" t="s">
        <v>2192</v>
      </c>
      <c r="J13214" s="10">
        <v>13</v>
      </c>
      <c r="K13214" t="b">
        <v>1</v>
      </c>
    </row>
    <row r="13215" spans="1:11">
      <c r="A13215" s="12">
        <v>43292</v>
      </c>
      <c r="B13215">
        <v>2018</v>
      </c>
      <c r="C13215">
        <v>7</v>
      </c>
      <c r="D13215" s="11">
        <v>43282</v>
      </c>
      <c r="E13215" t="s">
        <v>2179</v>
      </c>
      <c r="F13215">
        <v>3</v>
      </c>
      <c r="G13215" t="s">
        <v>65</v>
      </c>
      <c r="H13215" t="s">
        <v>45</v>
      </c>
      <c r="I13215" t="s">
        <v>2193</v>
      </c>
      <c r="J13215" s="10">
        <v>0</v>
      </c>
      <c r="K13215" t="b">
        <v>1</v>
      </c>
    </row>
    <row r="13216" spans="1:11">
      <c r="A13216" s="12">
        <v>43292</v>
      </c>
      <c r="B13216">
        <v>2018</v>
      </c>
      <c r="C13216">
        <v>7</v>
      </c>
      <c r="D13216" s="11">
        <v>43282</v>
      </c>
      <c r="E13216" t="s">
        <v>2179</v>
      </c>
      <c r="F13216">
        <v>3</v>
      </c>
      <c r="G13216" t="s">
        <v>65</v>
      </c>
      <c r="H13216" t="s">
        <v>46</v>
      </c>
      <c r="I13216" t="s">
        <v>2194</v>
      </c>
      <c r="J13216" s="10">
        <v>6</v>
      </c>
      <c r="K13216" t="b">
        <v>1</v>
      </c>
    </row>
    <row r="13217" spans="1:11">
      <c r="A13217" s="12">
        <v>43292</v>
      </c>
      <c r="B13217">
        <v>2018</v>
      </c>
      <c r="C13217">
        <v>7</v>
      </c>
      <c r="D13217" s="11">
        <v>43282</v>
      </c>
      <c r="E13217" t="s">
        <v>2179</v>
      </c>
      <c r="F13217">
        <v>3</v>
      </c>
      <c r="G13217" t="s">
        <v>65</v>
      </c>
      <c r="H13217" t="s">
        <v>47</v>
      </c>
      <c r="I13217" t="s">
        <v>2195</v>
      </c>
      <c r="J13217" s="10">
        <v>2</v>
      </c>
      <c r="K13217" t="b">
        <v>1</v>
      </c>
    </row>
    <row r="13218" spans="1:11">
      <c r="A13218" s="12">
        <v>43293</v>
      </c>
      <c r="B13218">
        <v>2018</v>
      </c>
      <c r="C13218">
        <v>7</v>
      </c>
      <c r="D13218" s="11">
        <v>43282</v>
      </c>
      <c r="E13218" t="s">
        <v>2179</v>
      </c>
      <c r="F13218">
        <v>4</v>
      </c>
      <c r="G13218" t="s">
        <v>53</v>
      </c>
      <c r="H13218" t="s">
        <v>40</v>
      </c>
      <c r="I13218" t="s">
        <v>2188</v>
      </c>
      <c r="J13218" s="10">
        <v>3</v>
      </c>
      <c r="K13218" t="b">
        <v>1</v>
      </c>
    </row>
    <row r="13219" spans="1:11">
      <c r="A13219" s="12">
        <v>43293</v>
      </c>
      <c r="B13219">
        <v>2018</v>
      </c>
      <c r="C13219">
        <v>7</v>
      </c>
      <c r="D13219" s="11">
        <v>43282</v>
      </c>
      <c r="E13219" t="s">
        <v>2179</v>
      </c>
      <c r="F13219">
        <v>4</v>
      </c>
      <c r="G13219" t="s">
        <v>53</v>
      </c>
      <c r="H13219" t="s">
        <v>41</v>
      </c>
      <c r="I13219" t="s">
        <v>2189</v>
      </c>
      <c r="J13219" s="10">
        <v>4.34</v>
      </c>
      <c r="K13219" t="b">
        <v>1</v>
      </c>
    </row>
    <row r="13220" spans="1:11">
      <c r="A13220" s="12">
        <v>43293</v>
      </c>
      <c r="B13220">
        <v>2018</v>
      </c>
      <c r="C13220">
        <v>7</v>
      </c>
      <c r="D13220" s="11">
        <v>43282</v>
      </c>
      <c r="E13220" t="s">
        <v>2179</v>
      </c>
      <c r="F13220">
        <v>4</v>
      </c>
      <c r="G13220" t="s">
        <v>53</v>
      </c>
      <c r="H13220" t="s">
        <v>42</v>
      </c>
      <c r="I13220" t="s">
        <v>2190</v>
      </c>
      <c r="J13220" s="10">
        <v>7</v>
      </c>
      <c r="K13220" t="b">
        <v>1</v>
      </c>
    </row>
    <row r="13221" spans="1:11">
      <c r="A13221" s="12">
        <v>43293</v>
      </c>
      <c r="B13221">
        <v>2018</v>
      </c>
      <c r="C13221">
        <v>7</v>
      </c>
      <c r="D13221" s="11">
        <v>43282</v>
      </c>
      <c r="E13221" t="s">
        <v>2179</v>
      </c>
      <c r="F13221">
        <v>4</v>
      </c>
      <c r="G13221" t="s">
        <v>53</v>
      </c>
      <c r="H13221" t="s">
        <v>43</v>
      </c>
      <c r="I13221" t="s">
        <v>2191</v>
      </c>
      <c r="J13221" s="10">
        <v>24</v>
      </c>
      <c r="K13221" t="b">
        <v>1</v>
      </c>
    </row>
    <row r="13222" spans="1:11">
      <c r="A13222" s="12">
        <v>43293</v>
      </c>
      <c r="B13222">
        <v>2018</v>
      </c>
      <c r="C13222">
        <v>7</v>
      </c>
      <c r="D13222" s="11">
        <v>43282</v>
      </c>
      <c r="E13222" t="s">
        <v>2179</v>
      </c>
      <c r="F13222">
        <v>4</v>
      </c>
      <c r="G13222" t="s">
        <v>53</v>
      </c>
      <c r="H13222" t="s">
        <v>44</v>
      </c>
      <c r="I13222" t="s">
        <v>2192</v>
      </c>
      <c r="J13222" s="10">
        <v>11</v>
      </c>
      <c r="K13222" t="b">
        <v>1</v>
      </c>
    </row>
    <row r="13223" spans="1:11">
      <c r="A13223" s="12">
        <v>43293</v>
      </c>
      <c r="B13223">
        <v>2018</v>
      </c>
      <c r="C13223">
        <v>7</v>
      </c>
      <c r="D13223" s="11">
        <v>43282</v>
      </c>
      <c r="E13223" t="s">
        <v>2179</v>
      </c>
      <c r="F13223">
        <v>4</v>
      </c>
      <c r="G13223" t="s">
        <v>53</v>
      </c>
      <c r="H13223" t="s">
        <v>45</v>
      </c>
      <c r="I13223" t="s">
        <v>2193</v>
      </c>
      <c r="J13223" s="10">
        <v>4</v>
      </c>
      <c r="K13223" t="b">
        <v>1</v>
      </c>
    </row>
    <row r="13224" spans="1:11">
      <c r="A13224" s="12">
        <v>43293</v>
      </c>
      <c r="B13224">
        <v>2018</v>
      </c>
      <c r="C13224">
        <v>7</v>
      </c>
      <c r="D13224" s="11">
        <v>43282</v>
      </c>
      <c r="E13224" t="s">
        <v>2179</v>
      </c>
      <c r="F13224">
        <v>4</v>
      </c>
      <c r="G13224" t="s">
        <v>53</v>
      </c>
      <c r="H13224" t="s">
        <v>46</v>
      </c>
      <c r="I13224" t="s">
        <v>2194</v>
      </c>
      <c r="J13224" s="10">
        <v>0</v>
      </c>
      <c r="K13224" t="b">
        <v>1</v>
      </c>
    </row>
    <row r="13225" spans="1:11">
      <c r="A13225" s="12">
        <v>43293</v>
      </c>
      <c r="B13225">
        <v>2018</v>
      </c>
      <c r="C13225">
        <v>7</v>
      </c>
      <c r="D13225" s="11">
        <v>43282</v>
      </c>
      <c r="E13225" t="s">
        <v>2179</v>
      </c>
      <c r="F13225">
        <v>4</v>
      </c>
      <c r="G13225" t="s">
        <v>53</v>
      </c>
      <c r="H13225" t="s">
        <v>47</v>
      </c>
      <c r="I13225" t="s">
        <v>2195</v>
      </c>
      <c r="J13225" s="10">
        <v>3</v>
      </c>
      <c r="K13225" t="b">
        <v>1</v>
      </c>
    </row>
    <row r="13226" spans="1:11">
      <c r="A13226" s="12">
        <v>43294</v>
      </c>
      <c r="B13226">
        <v>2018</v>
      </c>
      <c r="C13226">
        <v>7</v>
      </c>
      <c r="D13226" s="11">
        <v>43282</v>
      </c>
      <c r="E13226" t="s">
        <v>2179</v>
      </c>
      <c r="F13226">
        <v>5</v>
      </c>
      <c r="G13226" t="s">
        <v>55</v>
      </c>
      <c r="H13226" t="s">
        <v>40</v>
      </c>
      <c r="I13226" t="s">
        <v>2188</v>
      </c>
      <c r="J13226" s="10">
        <v>1.34</v>
      </c>
      <c r="K13226" t="b">
        <v>1</v>
      </c>
    </row>
    <row r="13227" spans="1:11">
      <c r="A13227" s="12">
        <v>43294</v>
      </c>
      <c r="B13227">
        <v>2018</v>
      </c>
      <c r="C13227">
        <v>7</v>
      </c>
      <c r="D13227" s="11">
        <v>43282</v>
      </c>
      <c r="E13227" t="s">
        <v>2179</v>
      </c>
      <c r="F13227">
        <v>5</v>
      </c>
      <c r="G13227" t="s">
        <v>55</v>
      </c>
      <c r="H13227" t="s">
        <v>41</v>
      </c>
      <c r="I13227" t="s">
        <v>2189</v>
      </c>
      <c r="J13227" s="10">
        <v>2.67</v>
      </c>
      <c r="K13227" t="b">
        <v>1</v>
      </c>
    </row>
    <row r="13228" spans="1:11">
      <c r="A13228" s="12">
        <v>43294</v>
      </c>
      <c r="B13228">
        <v>2018</v>
      </c>
      <c r="C13228">
        <v>7</v>
      </c>
      <c r="D13228" s="11">
        <v>43282</v>
      </c>
      <c r="E13228" t="s">
        <v>2179</v>
      </c>
      <c r="F13228">
        <v>5</v>
      </c>
      <c r="G13228" t="s">
        <v>55</v>
      </c>
      <c r="H13228" t="s">
        <v>42</v>
      </c>
      <c r="I13228" t="s">
        <v>2190</v>
      </c>
      <c r="J13228" s="10">
        <v>1.15</v>
      </c>
      <c r="K13228" t="b">
        <v>1</v>
      </c>
    </row>
    <row r="13229" spans="1:11">
      <c r="A13229" s="12">
        <v>43294</v>
      </c>
      <c r="B13229">
        <v>2018</v>
      </c>
      <c r="C13229">
        <v>7</v>
      </c>
      <c r="D13229" s="11">
        <v>43282</v>
      </c>
      <c r="E13229" t="s">
        <v>2179</v>
      </c>
      <c r="F13229">
        <v>5</v>
      </c>
      <c r="G13229" t="s">
        <v>55</v>
      </c>
      <c r="H13229" t="s">
        <v>43</v>
      </c>
      <c r="I13229" t="s">
        <v>2191</v>
      </c>
      <c r="J13229" s="10">
        <v>22</v>
      </c>
      <c r="K13229" t="b">
        <v>1</v>
      </c>
    </row>
    <row r="13230" spans="1:11">
      <c r="A13230" s="12">
        <v>43294</v>
      </c>
      <c r="B13230">
        <v>2018</v>
      </c>
      <c r="C13230">
        <v>7</v>
      </c>
      <c r="D13230" s="11">
        <v>43282</v>
      </c>
      <c r="E13230" t="s">
        <v>2179</v>
      </c>
      <c r="F13230">
        <v>5</v>
      </c>
      <c r="G13230" t="s">
        <v>55</v>
      </c>
      <c r="H13230" t="s">
        <v>44</v>
      </c>
      <c r="I13230" t="s">
        <v>2192</v>
      </c>
      <c r="J13230" s="10">
        <v>5</v>
      </c>
      <c r="K13230" t="b">
        <v>1</v>
      </c>
    </row>
    <row r="13231" spans="1:11">
      <c r="A13231" s="12">
        <v>43294</v>
      </c>
      <c r="B13231">
        <v>2018</v>
      </c>
      <c r="C13231">
        <v>7</v>
      </c>
      <c r="D13231" s="11">
        <v>43282</v>
      </c>
      <c r="E13231" t="s">
        <v>2179</v>
      </c>
      <c r="F13231">
        <v>5</v>
      </c>
      <c r="G13231" t="s">
        <v>55</v>
      </c>
      <c r="H13231" t="s">
        <v>45</v>
      </c>
      <c r="I13231" t="s">
        <v>2193</v>
      </c>
      <c r="J13231" s="10">
        <v>0</v>
      </c>
      <c r="K13231" t="b">
        <v>1</v>
      </c>
    </row>
    <row r="13232" spans="1:11">
      <c r="A13232" s="12">
        <v>43294</v>
      </c>
      <c r="B13232">
        <v>2018</v>
      </c>
      <c r="C13232">
        <v>7</v>
      </c>
      <c r="D13232" s="11">
        <v>43282</v>
      </c>
      <c r="E13232" t="s">
        <v>2179</v>
      </c>
      <c r="F13232">
        <v>5</v>
      </c>
      <c r="G13232" t="s">
        <v>55</v>
      </c>
      <c r="H13232" t="s">
        <v>46</v>
      </c>
      <c r="I13232" t="s">
        <v>2194</v>
      </c>
      <c r="J13232" s="10">
        <v>2</v>
      </c>
      <c r="K13232" t="b">
        <v>1</v>
      </c>
    </row>
    <row r="13233" spans="1:11">
      <c r="A13233" s="12">
        <v>43294</v>
      </c>
      <c r="B13233">
        <v>2018</v>
      </c>
      <c r="C13233">
        <v>7</v>
      </c>
      <c r="D13233" s="11">
        <v>43282</v>
      </c>
      <c r="E13233" t="s">
        <v>2179</v>
      </c>
      <c r="F13233">
        <v>5</v>
      </c>
      <c r="G13233" t="s">
        <v>55</v>
      </c>
      <c r="H13233" t="s">
        <v>47</v>
      </c>
      <c r="I13233" t="s">
        <v>2195</v>
      </c>
      <c r="J13233" s="10">
        <v>3</v>
      </c>
      <c r="K13233" t="b">
        <v>1</v>
      </c>
    </row>
    <row r="13234" spans="1:11">
      <c r="A13234" s="12">
        <v>43295</v>
      </c>
      <c r="B13234">
        <v>2018</v>
      </c>
      <c r="C13234">
        <v>7</v>
      </c>
      <c r="D13234" s="11">
        <v>43282</v>
      </c>
      <c r="E13234" t="s">
        <v>2179</v>
      </c>
      <c r="F13234">
        <v>6</v>
      </c>
      <c r="G13234" t="s">
        <v>57</v>
      </c>
      <c r="H13234" t="s">
        <v>40</v>
      </c>
      <c r="I13234" t="s">
        <v>2188</v>
      </c>
      <c r="J13234" s="10">
        <v>0</v>
      </c>
      <c r="K13234" t="b">
        <v>1</v>
      </c>
    </row>
    <row r="13235" spans="1:11">
      <c r="A13235" s="12">
        <v>43295</v>
      </c>
      <c r="B13235">
        <v>2018</v>
      </c>
      <c r="C13235">
        <v>7</v>
      </c>
      <c r="D13235" s="11">
        <v>43282</v>
      </c>
      <c r="E13235" t="s">
        <v>2179</v>
      </c>
      <c r="F13235">
        <v>6</v>
      </c>
      <c r="G13235" t="s">
        <v>57</v>
      </c>
      <c r="H13235" t="s">
        <v>41</v>
      </c>
      <c r="I13235" t="s">
        <v>2189</v>
      </c>
      <c r="J13235" s="10">
        <v>3.2</v>
      </c>
      <c r="K13235" t="b">
        <v>1</v>
      </c>
    </row>
    <row r="13236" spans="1:11">
      <c r="A13236" s="12">
        <v>43295</v>
      </c>
      <c r="B13236">
        <v>2018</v>
      </c>
      <c r="C13236">
        <v>7</v>
      </c>
      <c r="D13236" s="11">
        <v>43282</v>
      </c>
      <c r="E13236" t="s">
        <v>2179</v>
      </c>
      <c r="F13236">
        <v>6</v>
      </c>
      <c r="G13236" t="s">
        <v>57</v>
      </c>
      <c r="H13236" t="s">
        <v>42</v>
      </c>
      <c r="I13236" t="s">
        <v>2190</v>
      </c>
      <c r="J13236" s="10">
        <v>0</v>
      </c>
      <c r="K13236" t="b">
        <v>1</v>
      </c>
    </row>
    <row r="13237" spans="1:11">
      <c r="A13237" s="12">
        <v>43295</v>
      </c>
      <c r="B13237">
        <v>2018</v>
      </c>
      <c r="C13237">
        <v>7</v>
      </c>
      <c r="D13237" s="11">
        <v>43282</v>
      </c>
      <c r="E13237" t="s">
        <v>2179</v>
      </c>
      <c r="F13237">
        <v>6</v>
      </c>
      <c r="G13237" t="s">
        <v>57</v>
      </c>
      <c r="H13237" t="s">
        <v>43</v>
      </c>
      <c r="I13237" t="s">
        <v>2191</v>
      </c>
      <c r="J13237" s="10">
        <v>26</v>
      </c>
      <c r="K13237" t="b">
        <v>1</v>
      </c>
    </row>
    <row r="13238" spans="1:11">
      <c r="A13238" s="12">
        <v>43295</v>
      </c>
      <c r="B13238">
        <v>2018</v>
      </c>
      <c r="C13238">
        <v>7</v>
      </c>
      <c r="D13238" s="11">
        <v>43282</v>
      </c>
      <c r="E13238" t="s">
        <v>2179</v>
      </c>
      <c r="F13238">
        <v>6</v>
      </c>
      <c r="G13238" t="s">
        <v>57</v>
      </c>
      <c r="H13238" t="s">
        <v>44</v>
      </c>
      <c r="I13238" t="s">
        <v>2192</v>
      </c>
      <c r="J13238" s="10">
        <v>8</v>
      </c>
      <c r="K13238" t="b">
        <v>1</v>
      </c>
    </row>
    <row r="13239" spans="1:11">
      <c r="A13239" s="12">
        <v>43295</v>
      </c>
      <c r="B13239">
        <v>2018</v>
      </c>
      <c r="C13239">
        <v>7</v>
      </c>
      <c r="D13239" s="11">
        <v>43282</v>
      </c>
      <c r="E13239" t="s">
        <v>2179</v>
      </c>
      <c r="F13239">
        <v>6</v>
      </c>
      <c r="G13239" t="s">
        <v>57</v>
      </c>
      <c r="H13239" t="s">
        <v>45</v>
      </c>
      <c r="I13239" t="s">
        <v>2193</v>
      </c>
      <c r="J13239" s="10">
        <v>0</v>
      </c>
      <c r="K13239" t="b">
        <v>1</v>
      </c>
    </row>
    <row r="13240" spans="1:11">
      <c r="A13240" s="12">
        <v>43295</v>
      </c>
      <c r="B13240">
        <v>2018</v>
      </c>
      <c r="C13240">
        <v>7</v>
      </c>
      <c r="D13240" s="11">
        <v>43282</v>
      </c>
      <c r="E13240" t="s">
        <v>2179</v>
      </c>
      <c r="F13240">
        <v>6</v>
      </c>
      <c r="G13240" t="s">
        <v>57</v>
      </c>
      <c r="H13240" t="s">
        <v>46</v>
      </c>
      <c r="I13240" t="s">
        <v>2194</v>
      </c>
      <c r="J13240" s="10">
        <v>0</v>
      </c>
      <c r="K13240" t="b">
        <v>1</v>
      </c>
    </row>
    <row r="13241" spans="1:11">
      <c r="A13241" s="12">
        <v>43295</v>
      </c>
      <c r="B13241">
        <v>2018</v>
      </c>
      <c r="C13241">
        <v>7</v>
      </c>
      <c r="D13241" s="11">
        <v>43282</v>
      </c>
      <c r="E13241" t="s">
        <v>2179</v>
      </c>
      <c r="F13241">
        <v>6</v>
      </c>
      <c r="G13241" t="s">
        <v>57</v>
      </c>
      <c r="H13241" t="s">
        <v>47</v>
      </c>
      <c r="I13241" t="s">
        <v>2195</v>
      </c>
      <c r="J13241" s="10">
        <v>1.4</v>
      </c>
      <c r="K13241" t="b">
        <v>1</v>
      </c>
    </row>
    <row r="13242" spans="1:11">
      <c r="A13242" s="12">
        <v>43296</v>
      </c>
      <c r="B13242">
        <v>2018</v>
      </c>
      <c r="C13242">
        <v>7</v>
      </c>
      <c r="D13242" s="11">
        <v>43282</v>
      </c>
      <c r="E13242" t="s">
        <v>2179</v>
      </c>
      <c r="F13242">
        <v>7</v>
      </c>
      <c r="G13242" t="s">
        <v>59</v>
      </c>
      <c r="H13242" t="s">
        <v>40</v>
      </c>
      <c r="I13242" t="s">
        <v>2188</v>
      </c>
      <c r="J13242" s="10">
        <v>10</v>
      </c>
      <c r="K13242" t="b">
        <v>1</v>
      </c>
    </row>
    <row r="13243" spans="1:11">
      <c r="A13243" s="12">
        <v>43296</v>
      </c>
      <c r="B13243">
        <v>2018</v>
      </c>
      <c r="C13243">
        <v>7</v>
      </c>
      <c r="D13243" s="11">
        <v>43282</v>
      </c>
      <c r="E13243" t="s">
        <v>2179</v>
      </c>
      <c r="F13243">
        <v>7</v>
      </c>
      <c r="G13243" t="s">
        <v>59</v>
      </c>
      <c r="H13243" t="s">
        <v>41</v>
      </c>
      <c r="I13243" t="s">
        <v>2189</v>
      </c>
      <c r="J13243" s="10">
        <v>9.42</v>
      </c>
      <c r="K13243" t="b">
        <v>1</v>
      </c>
    </row>
    <row r="13244" spans="1:11">
      <c r="A13244" s="12">
        <v>43296</v>
      </c>
      <c r="B13244">
        <v>2018</v>
      </c>
      <c r="C13244">
        <v>7</v>
      </c>
      <c r="D13244" s="11">
        <v>43282</v>
      </c>
      <c r="E13244" t="s">
        <v>2179</v>
      </c>
      <c r="F13244">
        <v>7</v>
      </c>
      <c r="G13244" t="s">
        <v>59</v>
      </c>
      <c r="H13244" t="s">
        <v>42</v>
      </c>
      <c r="I13244" t="s">
        <v>2190</v>
      </c>
      <c r="J13244" s="10">
        <v>3.5</v>
      </c>
      <c r="K13244" t="b">
        <v>1</v>
      </c>
    </row>
    <row r="13245" spans="1:11">
      <c r="A13245" s="12">
        <v>43296</v>
      </c>
      <c r="B13245">
        <v>2018</v>
      </c>
      <c r="C13245">
        <v>7</v>
      </c>
      <c r="D13245" s="11">
        <v>43282</v>
      </c>
      <c r="E13245" t="s">
        <v>2179</v>
      </c>
      <c r="F13245">
        <v>7</v>
      </c>
      <c r="G13245" t="s">
        <v>59</v>
      </c>
      <c r="H13245" t="s">
        <v>43</v>
      </c>
      <c r="I13245" t="s">
        <v>2191</v>
      </c>
      <c r="J13245" s="10">
        <v>23</v>
      </c>
      <c r="K13245" t="b">
        <v>1</v>
      </c>
    </row>
    <row r="13246" spans="1:11">
      <c r="A13246" s="12">
        <v>43296</v>
      </c>
      <c r="B13246">
        <v>2018</v>
      </c>
      <c r="C13246">
        <v>7</v>
      </c>
      <c r="D13246" s="11">
        <v>43282</v>
      </c>
      <c r="E13246" t="s">
        <v>2179</v>
      </c>
      <c r="F13246">
        <v>7</v>
      </c>
      <c r="G13246" t="s">
        <v>59</v>
      </c>
      <c r="H13246" t="s">
        <v>44</v>
      </c>
      <c r="I13246" t="s">
        <v>2192</v>
      </c>
      <c r="J13246" s="10">
        <v>4</v>
      </c>
      <c r="K13246" t="b">
        <v>1</v>
      </c>
    </row>
    <row r="13247" spans="1:11">
      <c r="A13247" s="12">
        <v>43296</v>
      </c>
      <c r="B13247">
        <v>2018</v>
      </c>
      <c r="C13247">
        <v>7</v>
      </c>
      <c r="D13247" s="11">
        <v>43282</v>
      </c>
      <c r="E13247" t="s">
        <v>2179</v>
      </c>
      <c r="F13247">
        <v>7</v>
      </c>
      <c r="G13247" t="s">
        <v>59</v>
      </c>
      <c r="H13247" t="s">
        <v>45</v>
      </c>
      <c r="I13247" t="s">
        <v>2193</v>
      </c>
      <c r="J13247" s="10">
        <v>0</v>
      </c>
      <c r="K13247" t="b">
        <v>1</v>
      </c>
    </row>
    <row r="13248" spans="1:11">
      <c r="A13248" s="12">
        <v>43296</v>
      </c>
      <c r="B13248">
        <v>2018</v>
      </c>
      <c r="C13248">
        <v>7</v>
      </c>
      <c r="D13248" s="11">
        <v>43282</v>
      </c>
      <c r="E13248" t="s">
        <v>2179</v>
      </c>
      <c r="F13248">
        <v>7</v>
      </c>
      <c r="G13248" t="s">
        <v>59</v>
      </c>
      <c r="H13248" t="s">
        <v>46</v>
      </c>
      <c r="I13248" t="s">
        <v>2194</v>
      </c>
      <c r="J13248" s="10">
        <v>1</v>
      </c>
      <c r="K13248" t="b">
        <v>1</v>
      </c>
    </row>
    <row r="13249" spans="1:11">
      <c r="A13249" s="12">
        <v>43296</v>
      </c>
      <c r="B13249">
        <v>2018</v>
      </c>
      <c r="C13249">
        <v>7</v>
      </c>
      <c r="D13249" s="11">
        <v>43282</v>
      </c>
      <c r="E13249" t="s">
        <v>2179</v>
      </c>
      <c r="F13249">
        <v>7</v>
      </c>
      <c r="G13249" t="s">
        <v>59</v>
      </c>
      <c r="H13249" t="s">
        <v>47</v>
      </c>
      <c r="I13249" t="s">
        <v>2195</v>
      </c>
      <c r="J13249" s="10">
        <v>7</v>
      </c>
      <c r="K13249" t="b">
        <v>1</v>
      </c>
    </row>
    <row r="13250" spans="1:11">
      <c r="A13250" s="12">
        <v>43297</v>
      </c>
      <c r="B13250">
        <v>2018</v>
      </c>
      <c r="C13250">
        <v>7</v>
      </c>
      <c r="D13250" s="11">
        <v>43282</v>
      </c>
      <c r="E13250" t="s">
        <v>2179</v>
      </c>
      <c r="F13250">
        <v>1</v>
      </c>
      <c r="G13250" t="s">
        <v>61</v>
      </c>
      <c r="H13250" t="s">
        <v>40</v>
      </c>
      <c r="I13250" t="s">
        <v>2188</v>
      </c>
      <c r="J13250" s="10">
        <v>9.33</v>
      </c>
      <c r="K13250" t="b">
        <v>1</v>
      </c>
    </row>
    <row r="13251" spans="1:11">
      <c r="A13251" s="12">
        <v>43297</v>
      </c>
      <c r="B13251">
        <v>2018</v>
      </c>
      <c r="C13251">
        <v>7</v>
      </c>
      <c r="D13251" s="11">
        <v>43282</v>
      </c>
      <c r="E13251" t="s">
        <v>2179</v>
      </c>
      <c r="F13251">
        <v>1</v>
      </c>
      <c r="G13251" t="s">
        <v>61</v>
      </c>
      <c r="H13251" t="s">
        <v>41</v>
      </c>
      <c r="I13251" t="s">
        <v>2189</v>
      </c>
      <c r="J13251" s="10">
        <v>5.023</v>
      </c>
      <c r="K13251" t="b">
        <v>1</v>
      </c>
    </row>
    <row r="13252" spans="1:11">
      <c r="A13252" s="12">
        <v>43297</v>
      </c>
      <c r="B13252">
        <v>2018</v>
      </c>
      <c r="C13252">
        <v>7</v>
      </c>
      <c r="D13252" s="11">
        <v>43282</v>
      </c>
      <c r="E13252" t="s">
        <v>2179</v>
      </c>
      <c r="F13252">
        <v>1</v>
      </c>
      <c r="G13252" t="s">
        <v>61</v>
      </c>
      <c r="H13252" t="s">
        <v>42</v>
      </c>
      <c r="I13252" t="s">
        <v>2190</v>
      </c>
      <c r="J13252" s="10">
        <v>1</v>
      </c>
      <c r="K13252" t="b">
        <v>1</v>
      </c>
    </row>
    <row r="13253" spans="1:11">
      <c r="A13253" s="12">
        <v>43297</v>
      </c>
      <c r="B13253">
        <v>2018</v>
      </c>
      <c r="C13253">
        <v>7</v>
      </c>
      <c r="D13253" s="11">
        <v>43282</v>
      </c>
      <c r="E13253" t="s">
        <v>2179</v>
      </c>
      <c r="F13253">
        <v>1</v>
      </c>
      <c r="G13253" t="s">
        <v>61</v>
      </c>
      <c r="H13253" t="s">
        <v>43</v>
      </c>
      <c r="I13253" t="s">
        <v>2191</v>
      </c>
      <c r="J13253" s="10">
        <v>22</v>
      </c>
      <c r="K13253" t="b">
        <v>1</v>
      </c>
    </row>
    <row r="13254" spans="1:11">
      <c r="A13254" s="12">
        <v>43297</v>
      </c>
      <c r="B13254">
        <v>2018</v>
      </c>
      <c r="C13254">
        <v>7</v>
      </c>
      <c r="D13254" s="11">
        <v>43282</v>
      </c>
      <c r="E13254" t="s">
        <v>2179</v>
      </c>
      <c r="F13254">
        <v>1</v>
      </c>
      <c r="G13254" t="s">
        <v>61</v>
      </c>
      <c r="H13254" t="s">
        <v>44</v>
      </c>
      <c r="I13254" t="s">
        <v>2192</v>
      </c>
      <c r="J13254" s="10">
        <v>8</v>
      </c>
      <c r="K13254" t="b">
        <v>1</v>
      </c>
    </row>
    <row r="13255" spans="1:11">
      <c r="A13255" s="12">
        <v>43297</v>
      </c>
      <c r="B13255">
        <v>2018</v>
      </c>
      <c r="C13255">
        <v>7</v>
      </c>
      <c r="D13255" s="11">
        <v>43282</v>
      </c>
      <c r="E13255" t="s">
        <v>2179</v>
      </c>
      <c r="F13255">
        <v>1</v>
      </c>
      <c r="G13255" t="s">
        <v>61</v>
      </c>
      <c r="H13255" t="s">
        <v>45</v>
      </c>
      <c r="I13255" t="s">
        <v>2193</v>
      </c>
      <c r="J13255" s="10">
        <v>0</v>
      </c>
      <c r="K13255" t="b">
        <v>1</v>
      </c>
    </row>
    <row r="13256" spans="1:11">
      <c r="A13256" s="12">
        <v>43297</v>
      </c>
      <c r="B13256">
        <v>2018</v>
      </c>
      <c r="C13256">
        <v>7</v>
      </c>
      <c r="D13256" s="11">
        <v>43282</v>
      </c>
      <c r="E13256" t="s">
        <v>2179</v>
      </c>
      <c r="F13256">
        <v>1</v>
      </c>
      <c r="G13256" t="s">
        <v>61</v>
      </c>
      <c r="H13256" t="s">
        <v>46</v>
      </c>
      <c r="I13256" t="s">
        <v>2194</v>
      </c>
      <c r="J13256" s="10">
        <v>0</v>
      </c>
      <c r="K13256" t="b">
        <v>1</v>
      </c>
    </row>
    <row r="13257" spans="1:11">
      <c r="A13257" s="12">
        <v>43297</v>
      </c>
      <c r="B13257">
        <v>2018</v>
      </c>
      <c r="C13257">
        <v>7</v>
      </c>
      <c r="D13257" s="11">
        <v>43282</v>
      </c>
      <c r="E13257" t="s">
        <v>2179</v>
      </c>
      <c r="F13257">
        <v>1</v>
      </c>
      <c r="G13257" t="s">
        <v>61</v>
      </c>
      <c r="H13257" t="s">
        <v>47</v>
      </c>
      <c r="I13257" t="s">
        <v>2195</v>
      </c>
      <c r="J13257" s="10">
        <v>3</v>
      </c>
      <c r="K13257" t="b">
        <v>1</v>
      </c>
    </row>
    <row r="13258" spans="1:11">
      <c r="A13258" s="12">
        <v>43298</v>
      </c>
      <c r="B13258">
        <v>2018</v>
      </c>
      <c r="C13258">
        <v>7</v>
      </c>
      <c r="D13258" s="11">
        <v>43282</v>
      </c>
      <c r="E13258" t="s">
        <v>2179</v>
      </c>
      <c r="F13258">
        <v>2</v>
      </c>
      <c r="G13258" t="s">
        <v>63</v>
      </c>
      <c r="H13258" t="s">
        <v>40</v>
      </c>
      <c r="I13258" t="s">
        <v>2188</v>
      </c>
      <c r="J13258" s="10">
        <v>2.33</v>
      </c>
      <c r="K13258" t="b">
        <v>1</v>
      </c>
    </row>
    <row r="13259" spans="1:11">
      <c r="A13259" s="12">
        <v>43298</v>
      </c>
      <c r="B13259">
        <v>2018</v>
      </c>
      <c r="C13259">
        <v>7</v>
      </c>
      <c r="D13259" s="11">
        <v>43282</v>
      </c>
      <c r="E13259" t="s">
        <v>2179</v>
      </c>
      <c r="F13259">
        <v>2</v>
      </c>
      <c r="G13259" t="s">
        <v>63</v>
      </c>
      <c r="H13259" t="s">
        <v>41</v>
      </c>
      <c r="I13259" t="s">
        <v>2189</v>
      </c>
      <c r="J13259" s="10">
        <v>3.66</v>
      </c>
      <c r="K13259" t="b">
        <v>1</v>
      </c>
    </row>
    <row r="13260" spans="1:11">
      <c r="A13260" s="12">
        <v>43298</v>
      </c>
      <c r="B13260">
        <v>2018</v>
      </c>
      <c r="C13260">
        <v>7</v>
      </c>
      <c r="D13260" s="11">
        <v>43282</v>
      </c>
      <c r="E13260" t="s">
        <v>2179</v>
      </c>
      <c r="F13260">
        <v>2</v>
      </c>
      <c r="G13260" t="s">
        <v>63</v>
      </c>
      <c r="H13260" t="s">
        <v>42</v>
      </c>
      <c r="I13260" t="s">
        <v>2190</v>
      </c>
      <c r="J13260" s="10">
        <v>2</v>
      </c>
      <c r="K13260" t="b">
        <v>1</v>
      </c>
    </row>
    <row r="13261" spans="1:11">
      <c r="A13261" s="12">
        <v>43298</v>
      </c>
      <c r="B13261">
        <v>2018</v>
      </c>
      <c r="C13261">
        <v>7</v>
      </c>
      <c r="D13261" s="11">
        <v>43282</v>
      </c>
      <c r="E13261" t="s">
        <v>2179</v>
      </c>
      <c r="F13261">
        <v>2</v>
      </c>
      <c r="G13261" t="s">
        <v>63</v>
      </c>
      <c r="H13261" t="s">
        <v>43</v>
      </c>
      <c r="I13261" t="s">
        <v>2191</v>
      </c>
      <c r="J13261" s="10">
        <v>29.4</v>
      </c>
      <c r="K13261" t="b">
        <v>1</v>
      </c>
    </row>
    <row r="13262" spans="1:11">
      <c r="A13262" s="12">
        <v>43298</v>
      </c>
      <c r="B13262">
        <v>2018</v>
      </c>
      <c r="C13262">
        <v>7</v>
      </c>
      <c r="D13262" s="11">
        <v>43282</v>
      </c>
      <c r="E13262" t="s">
        <v>2179</v>
      </c>
      <c r="F13262">
        <v>2</v>
      </c>
      <c r="G13262" t="s">
        <v>63</v>
      </c>
      <c r="H13262" t="s">
        <v>44</v>
      </c>
      <c r="I13262" t="s">
        <v>2192</v>
      </c>
      <c r="J13262" s="10">
        <v>13</v>
      </c>
      <c r="K13262" t="b">
        <v>1</v>
      </c>
    </row>
    <row r="13263" spans="1:11">
      <c r="A13263" s="12">
        <v>43298</v>
      </c>
      <c r="B13263">
        <v>2018</v>
      </c>
      <c r="C13263">
        <v>7</v>
      </c>
      <c r="D13263" s="11">
        <v>43282</v>
      </c>
      <c r="E13263" t="s">
        <v>2179</v>
      </c>
      <c r="F13263">
        <v>2</v>
      </c>
      <c r="G13263" t="s">
        <v>63</v>
      </c>
      <c r="H13263" t="s">
        <v>45</v>
      </c>
      <c r="I13263" t="s">
        <v>2193</v>
      </c>
      <c r="J13263" s="10">
        <v>0</v>
      </c>
      <c r="K13263" t="b">
        <v>1</v>
      </c>
    </row>
    <row r="13264" spans="1:11">
      <c r="A13264" s="12">
        <v>43298</v>
      </c>
      <c r="B13264">
        <v>2018</v>
      </c>
      <c r="C13264">
        <v>7</v>
      </c>
      <c r="D13264" s="11">
        <v>43282</v>
      </c>
      <c r="E13264" t="s">
        <v>2179</v>
      </c>
      <c r="F13264">
        <v>2</v>
      </c>
      <c r="G13264" t="s">
        <v>63</v>
      </c>
      <c r="H13264" t="s">
        <v>46</v>
      </c>
      <c r="I13264" t="s">
        <v>2194</v>
      </c>
      <c r="J13264" s="10">
        <v>0</v>
      </c>
      <c r="K13264" t="b">
        <v>1</v>
      </c>
    </row>
    <row r="13265" spans="1:11">
      <c r="A13265" s="12">
        <v>43298</v>
      </c>
      <c r="B13265">
        <v>2018</v>
      </c>
      <c r="C13265">
        <v>7</v>
      </c>
      <c r="D13265" s="11">
        <v>43282</v>
      </c>
      <c r="E13265" t="s">
        <v>2179</v>
      </c>
      <c r="F13265">
        <v>2</v>
      </c>
      <c r="G13265" t="s">
        <v>63</v>
      </c>
      <c r="H13265" t="s">
        <v>47</v>
      </c>
      <c r="I13265" t="s">
        <v>2195</v>
      </c>
      <c r="J13265" s="10">
        <v>6</v>
      </c>
      <c r="K13265" t="b">
        <v>1</v>
      </c>
    </row>
    <row r="13266" spans="1:11">
      <c r="A13266" s="12">
        <v>43299</v>
      </c>
      <c r="B13266">
        <v>2018</v>
      </c>
      <c r="C13266">
        <v>7</v>
      </c>
      <c r="D13266" s="11">
        <v>43282</v>
      </c>
      <c r="E13266" t="s">
        <v>2179</v>
      </c>
      <c r="F13266">
        <v>3</v>
      </c>
      <c r="G13266" t="s">
        <v>65</v>
      </c>
      <c r="H13266" t="s">
        <v>40</v>
      </c>
      <c r="I13266" t="s">
        <v>2188</v>
      </c>
      <c r="J13266" s="10">
        <v>2.5</v>
      </c>
      <c r="K13266" t="b">
        <v>1</v>
      </c>
    </row>
    <row r="13267" spans="1:11">
      <c r="A13267" s="12">
        <v>43299</v>
      </c>
      <c r="B13267">
        <v>2018</v>
      </c>
      <c r="C13267">
        <v>7</v>
      </c>
      <c r="D13267" s="11">
        <v>43282</v>
      </c>
      <c r="E13267" t="s">
        <v>2179</v>
      </c>
      <c r="F13267">
        <v>3</v>
      </c>
      <c r="G13267" t="s">
        <v>65</v>
      </c>
      <c r="H13267" t="s">
        <v>41</v>
      </c>
      <c r="I13267" t="s">
        <v>2189</v>
      </c>
      <c r="J13267" s="10">
        <v>2.837</v>
      </c>
      <c r="K13267" t="b">
        <v>1</v>
      </c>
    </row>
    <row r="13268" spans="1:11">
      <c r="A13268" s="12">
        <v>43299</v>
      </c>
      <c r="B13268">
        <v>2018</v>
      </c>
      <c r="C13268">
        <v>7</v>
      </c>
      <c r="D13268" s="11">
        <v>43282</v>
      </c>
      <c r="E13268" t="s">
        <v>2179</v>
      </c>
      <c r="F13268">
        <v>3</v>
      </c>
      <c r="G13268" t="s">
        <v>65</v>
      </c>
      <c r="H13268" t="s">
        <v>42</v>
      </c>
      <c r="I13268" t="s">
        <v>2190</v>
      </c>
      <c r="J13268" s="10">
        <v>5</v>
      </c>
      <c r="K13268" t="b">
        <v>1</v>
      </c>
    </row>
    <row r="13269" spans="1:11">
      <c r="A13269" s="12">
        <v>43299</v>
      </c>
      <c r="B13269">
        <v>2018</v>
      </c>
      <c r="C13269">
        <v>7</v>
      </c>
      <c r="D13269" s="11">
        <v>43282</v>
      </c>
      <c r="E13269" t="s">
        <v>2179</v>
      </c>
      <c r="F13269">
        <v>3</v>
      </c>
      <c r="G13269" t="s">
        <v>65</v>
      </c>
      <c r="H13269" t="s">
        <v>43</v>
      </c>
      <c r="I13269" t="s">
        <v>2191</v>
      </c>
      <c r="J13269" s="10">
        <v>10</v>
      </c>
      <c r="K13269" t="b">
        <v>1</v>
      </c>
    </row>
    <row r="13270" spans="1:11">
      <c r="A13270" s="12">
        <v>43299</v>
      </c>
      <c r="B13270">
        <v>2018</v>
      </c>
      <c r="C13270">
        <v>7</v>
      </c>
      <c r="D13270" s="11">
        <v>43282</v>
      </c>
      <c r="E13270" t="s">
        <v>2179</v>
      </c>
      <c r="F13270">
        <v>3</v>
      </c>
      <c r="G13270" t="s">
        <v>65</v>
      </c>
      <c r="H13270" t="s">
        <v>44</v>
      </c>
      <c r="I13270" t="s">
        <v>2192</v>
      </c>
      <c r="J13270" s="10">
        <v>17</v>
      </c>
      <c r="K13270" t="b">
        <v>1</v>
      </c>
    </row>
    <row r="13271" spans="1:11">
      <c r="A13271" s="12">
        <v>43299</v>
      </c>
      <c r="B13271">
        <v>2018</v>
      </c>
      <c r="C13271">
        <v>7</v>
      </c>
      <c r="D13271" s="11">
        <v>43282</v>
      </c>
      <c r="E13271" t="s">
        <v>2179</v>
      </c>
      <c r="F13271">
        <v>3</v>
      </c>
      <c r="G13271" t="s">
        <v>65</v>
      </c>
      <c r="H13271" t="s">
        <v>45</v>
      </c>
      <c r="I13271" t="s">
        <v>2193</v>
      </c>
      <c r="J13271" s="10">
        <v>0</v>
      </c>
      <c r="K13271" t="b">
        <v>1</v>
      </c>
    </row>
    <row r="13272" spans="1:11">
      <c r="A13272" s="12">
        <v>43299</v>
      </c>
      <c r="B13272">
        <v>2018</v>
      </c>
      <c r="C13272">
        <v>7</v>
      </c>
      <c r="D13272" s="11">
        <v>43282</v>
      </c>
      <c r="E13272" t="s">
        <v>2179</v>
      </c>
      <c r="F13272">
        <v>3</v>
      </c>
      <c r="G13272" t="s">
        <v>65</v>
      </c>
      <c r="H13272" t="s">
        <v>46</v>
      </c>
      <c r="I13272" t="s">
        <v>2194</v>
      </c>
      <c r="J13272" s="10">
        <v>12</v>
      </c>
      <c r="K13272" t="b">
        <v>1</v>
      </c>
    </row>
    <row r="13273" spans="1:11">
      <c r="A13273" s="12">
        <v>43299</v>
      </c>
      <c r="B13273">
        <v>2018</v>
      </c>
      <c r="C13273">
        <v>7</v>
      </c>
      <c r="D13273" s="11">
        <v>43282</v>
      </c>
      <c r="E13273" t="s">
        <v>2179</v>
      </c>
      <c r="F13273">
        <v>3</v>
      </c>
      <c r="G13273" t="s">
        <v>65</v>
      </c>
      <c r="H13273" t="s">
        <v>47</v>
      </c>
      <c r="I13273" t="s">
        <v>2195</v>
      </c>
      <c r="J13273" s="10">
        <v>6</v>
      </c>
      <c r="K13273" t="b">
        <v>1</v>
      </c>
    </row>
    <row r="13274" spans="1:11">
      <c r="A13274" s="12">
        <v>43300</v>
      </c>
      <c r="B13274">
        <v>2018</v>
      </c>
      <c r="C13274">
        <v>7</v>
      </c>
      <c r="D13274" s="11">
        <v>43282</v>
      </c>
      <c r="E13274" t="s">
        <v>2179</v>
      </c>
      <c r="F13274">
        <v>4</v>
      </c>
      <c r="G13274" t="s">
        <v>53</v>
      </c>
      <c r="H13274" t="s">
        <v>40</v>
      </c>
      <c r="I13274" t="s">
        <v>2188</v>
      </c>
      <c r="J13274" s="10">
        <v>6.84</v>
      </c>
      <c r="K13274" t="b">
        <v>1</v>
      </c>
    </row>
    <row r="13275" spans="1:11">
      <c r="A13275" s="12">
        <v>43300</v>
      </c>
      <c r="B13275">
        <v>2018</v>
      </c>
      <c r="C13275">
        <v>7</v>
      </c>
      <c r="D13275" s="11">
        <v>43282</v>
      </c>
      <c r="E13275" t="s">
        <v>2179</v>
      </c>
      <c r="F13275">
        <v>4</v>
      </c>
      <c r="G13275" t="s">
        <v>53</v>
      </c>
      <c r="H13275" t="s">
        <v>41</v>
      </c>
      <c r="I13275" t="s">
        <v>2189</v>
      </c>
      <c r="J13275" s="10">
        <v>4</v>
      </c>
      <c r="K13275" t="b">
        <v>1</v>
      </c>
    </row>
    <row r="13276" spans="1:11">
      <c r="A13276" s="12">
        <v>43300</v>
      </c>
      <c r="B13276">
        <v>2018</v>
      </c>
      <c r="C13276">
        <v>7</v>
      </c>
      <c r="D13276" s="11">
        <v>43282</v>
      </c>
      <c r="E13276" t="s">
        <v>2179</v>
      </c>
      <c r="F13276">
        <v>4</v>
      </c>
      <c r="G13276" t="s">
        <v>53</v>
      </c>
      <c r="H13276" t="s">
        <v>42</v>
      </c>
      <c r="I13276" t="s">
        <v>2190</v>
      </c>
      <c r="J13276" s="10">
        <v>3</v>
      </c>
      <c r="K13276" t="b">
        <v>1</v>
      </c>
    </row>
    <row r="13277" spans="1:11">
      <c r="A13277" s="12">
        <v>43300</v>
      </c>
      <c r="B13277">
        <v>2018</v>
      </c>
      <c r="C13277">
        <v>7</v>
      </c>
      <c r="D13277" s="11">
        <v>43282</v>
      </c>
      <c r="E13277" t="s">
        <v>2179</v>
      </c>
      <c r="F13277">
        <v>4</v>
      </c>
      <c r="G13277" t="s">
        <v>53</v>
      </c>
      <c r="H13277" t="s">
        <v>43</v>
      </c>
      <c r="I13277" t="s">
        <v>2191</v>
      </c>
      <c r="J13277" s="10">
        <v>16</v>
      </c>
      <c r="K13277" t="b">
        <v>1</v>
      </c>
    </row>
    <row r="13278" spans="1:11">
      <c r="A13278" s="12">
        <v>43300</v>
      </c>
      <c r="B13278">
        <v>2018</v>
      </c>
      <c r="C13278">
        <v>7</v>
      </c>
      <c r="D13278" s="11">
        <v>43282</v>
      </c>
      <c r="E13278" t="s">
        <v>2179</v>
      </c>
      <c r="F13278">
        <v>4</v>
      </c>
      <c r="G13278" t="s">
        <v>53</v>
      </c>
      <c r="H13278" t="s">
        <v>44</v>
      </c>
      <c r="I13278" t="s">
        <v>2192</v>
      </c>
      <c r="J13278" s="10">
        <v>14</v>
      </c>
      <c r="K13278" t="b">
        <v>1</v>
      </c>
    </row>
    <row r="13279" spans="1:11">
      <c r="A13279" s="12">
        <v>43300</v>
      </c>
      <c r="B13279">
        <v>2018</v>
      </c>
      <c r="C13279">
        <v>7</v>
      </c>
      <c r="D13279" s="11">
        <v>43282</v>
      </c>
      <c r="E13279" t="s">
        <v>2179</v>
      </c>
      <c r="F13279">
        <v>4</v>
      </c>
      <c r="G13279" t="s">
        <v>53</v>
      </c>
      <c r="H13279" t="s">
        <v>45</v>
      </c>
      <c r="I13279" t="s">
        <v>2193</v>
      </c>
      <c r="J13279" s="10">
        <v>1</v>
      </c>
      <c r="K13279" t="b">
        <v>1</v>
      </c>
    </row>
    <row r="13280" spans="1:11">
      <c r="A13280" s="12">
        <v>43300</v>
      </c>
      <c r="B13280">
        <v>2018</v>
      </c>
      <c r="C13280">
        <v>7</v>
      </c>
      <c r="D13280" s="11">
        <v>43282</v>
      </c>
      <c r="E13280" t="s">
        <v>2179</v>
      </c>
      <c r="F13280">
        <v>4</v>
      </c>
      <c r="G13280" t="s">
        <v>53</v>
      </c>
      <c r="H13280" t="s">
        <v>46</v>
      </c>
      <c r="I13280" t="s">
        <v>2194</v>
      </c>
      <c r="J13280" s="10">
        <v>0</v>
      </c>
      <c r="K13280" t="b">
        <v>1</v>
      </c>
    </row>
    <row r="13281" spans="1:11">
      <c r="A13281" s="12">
        <v>43300</v>
      </c>
      <c r="B13281">
        <v>2018</v>
      </c>
      <c r="C13281">
        <v>7</v>
      </c>
      <c r="D13281" s="11">
        <v>43282</v>
      </c>
      <c r="E13281" t="s">
        <v>2179</v>
      </c>
      <c r="F13281">
        <v>4</v>
      </c>
      <c r="G13281" t="s">
        <v>53</v>
      </c>
      <c r="H13281" t="s">
        <v>47</v>
      </c>
      <c r="I13281" t="s">
        <v>2195</v>
      </c>
      <c r="J13281" s="10">
        <v>3</v>
      </c>
      <c r="K13281" t="b">
        <v>1</v>
      </c>
    </row>
    <row r="13282" spans="1:11">
      <c r="A13282" s="12">
        <v>43301</v>
      </c>
      <c r="B13282">
        <v>2018</v>
      </c>
      <c r="C13282">
        <v>7</v>
      </c>
      <c r="D13282" s="11">
        <v>43282</v>
      </c>
      <c r="E13282" t="s">
        <v>2179</v>
      </c>
      <c r="F13282">
        <v>5</v>
      </c>
      <c r="G13282" t="s">
        <v>55</v>
      </c>
      <c r="H13282" t="s">
        <v>40</v>
      </c>
      <c r="I13282" t="s">
        <v>2188</v>
      </c>
      <c r="J13282" s="10">
        <v>5</v>
      </c>
      <c r="K13282" t="b">
        <v>1</v>
      </c>
    </row>
    <row r="13283" spans="1:11">
      <c r="A13283" s="12">
        <v>43301</v>
      </c>
      <c r="B13283">
        <v>2018</v>
      </c>
      <c r="C13283">
        <v>7</v>
      </c>
      <c r="D13283" s="11">
        <v>43282</v>
      </c>
      <c r="E13283" t="s">
        <v>2179</v>
      </c>
      <c r="F13283">
        <v>5</v>
      </c>
      <c r="G13283" t="s">
        <v>55</v>
      </c>
      <c r="H13283" t="s">
        <v>41</v>
      </c>
      <c r="I13283" t="s">
        <v>2189</v>
      </c>
      <c r="J13283" s="10">
        <v>7.177</v>
      </c>
      <c r="K13283" t="b">
        <v>1</v>
      </c>
    </row>
    <row r="13284" spans="1:11">
      <c r="A13284" s="12">
        <v>43301</v>
      </c>
      <c r="B13284">
        <v>2018</v>
      </c>
      <c r="C13284">
        <v>7</v>
      </c>
      <c r="D13284" s="11">
        <v>43282</v>
      </c>
      <c r="E13284" t="s">
        <v>2179</v>
      </c>
      <c r="F13284">
        <v>5</v>
      </c>
      <c r="G13284" t="s">
        <v>55</v>
      </c>
      <c r="H13284" t="s">
        <v>42</v>
      </c>
      <c r="I13284" t="s">
        <v>2190</v>
      </c>
      <c r="J13284" s="10">
        <v>5</v>
      </c>
      <c r="K13284" t="b">
        <v>1</v>
      </c>
    </row>
    <row r="13285" spans="1:11">
      <c r="A13285" s="12">
        <v>43301</v>
      </c>
      <c r="B13285">
        <v>2018</v>
      </c>
      <c r="C13285">
        <v>7</v>
      </c>
      <c r="D13285" s="11">
        <v>43282</v>
      </c>
      <c r="E13285" t="s">
        <v>2179</v>
      </c>
      <c r="F13285">
        <v>5</v>
      </c>
      <c r="G13285" t="s">
        <v>55</v>
      </c>
      <c r="H13285" t="s">
        <v>43</v>
      </c>
      <c r="I13285" t="s">
        <v>2191</v>
      </c>
      <c r="J13285" s="10">
        <v>35.2</v>
      </c>
      <c r="K13285" t="b">
        <v>1</v>
      </c>
    </row>
    <row r="13286" spans="1:11">
      <c r="A13286" s="12">
        <v>43301</v>
      </c>
      <c r="B13286">
        <v>2018</v>
      </c>
      <c r="C13286">
        <v>7</v>
      </c>
      <c r="D13286" s="11">
        <v>43282</v>
      </c>
      <c r="E13286" t="s">
        <v>2179</v>
      </c>
      <c r="F13286">
        <v>5</v>
      </c>
      <c r="G13286" t="s">
        <v>55</v>
      </c>
      <c r="H13286" t="s">
        <v>44</v>
      </c>
      <c r="I13286" t="s">
        <v>2192</v>
      </c>
      <c r="J13286" s="10">
        <v>2</v>
      </c>
      <c r="K13286" t="b">
        <v>1</v>
      </c>
    </row>
    <row r="13287" spans="1:11">
      <c r="A13287" s="12">
        <v>43301</v>
      </c>
      <c r="B13287">
        <v>2018</v>
      </c>
      <c r="C13287">
        <v>7</v>
      </c>
      <c r="D13287" s="11">
        <v>43282</v>
      </c>
      <c r="E13287" t="s">
        <v>2179</v>
      </c>
      <c r="F13287">
        <v>5</v>
      </c>
      <c r="G13287" t="s">
        <v>55</v>
      </c>
      <c r="H13287" t="s">
        <v>45</v>
      </c>
      <c r="I13287" t="s">
        <v>2193</v>
      </c>
      <c r="J13287" s="10">
        <v>1</v>
      </c>
      <c r="K13287" t="b">
        <v>1</v>
      </c>
    </row>
    <row r="13288" spans="1:11">
      <c r="A13288" s="12">
        <v>43301</v>
      </c>
      <c r="B13288">
        <v>2018</v>
      </c>
      <c r="C13288">
        <v>7</v>
      </c>
      <c r="D13288" s="11">
        <v>43282</v>
      </c>
      <c r="E13288" t="s">
        <v>2179</v>
      </c>
      <c r="F13288">
        <v>5</v>
      </c>
      <c r="G13288" t="s">
        <v>55</v>
      </c>
      <c r="H13288" t="s">
        <v>46</v>
      </c>
      <c r="I13288" t="s">
        <v>2194</v>
      </c>
      <c r="J13288" s="10">
        <v>2</v>
      </c>
      <c r="K13288" t="b">
        <v>1</v>
      </c>
    </row>
    <row r="13289" spans="1:11">
      <c r="A13289" s="12">
        <v>43301</v>
      </c>
      <c r="B13289">
        <v>2018</v>
      </c>
      <c r="C13289">
        <v>7</v>
      </c>
      <c r="D13289" s="11">
        <v>43282</v>
      </c>
      <c r="E13289" t="s">
        <v>2179</v>
      </c>
      <c r="F13289">
        <v>5</v>
      </c>
      <c r="G13289" t="s">
        <v>55</v>
      </c>
      <c r="H13289" t="s">
        <v>47</v>
      </c>
      <c r="I13289" t="s">
        <v>2195</v>
      </c>
      <c r="J13289" s="10">
        <v>4</v>
      </c>
      <c r="K13289" t="b">
        <v>1</v>
      </c>
    </row>
    <row r="13290" spans="1:11">
      <c r="A13290" s="12">
        <v>43302</v>
      </c>
      <c r="B13290">
        <v>2018</v>
      </c>
      <c r="C13290">
        <v>7</v>
      </c>
      <c r="D13290" s="11">
        <v>43282</v>
      </c>
      <c r="E13290" t="s">
        <v>2179</v>
      </c>
      <c r="F13290">
        <v>6</v>
      </c>
      <c r="G13290" t="s">
        <v>57</v>
      </c>
      <c r="H13290" t="s">
        <v>40</v>
      </c>
      <c r="I13290" t="s">
        <v>2188</v>
      </c>
      <c r="J13290" s="10">
        <v>4</v>
      </c>
      <c r="K13290" t="b">
        <v>1</v>
      </c>
    </row>
    <row r="13291" spans="1:11">
      <c r="A13291" s="12">
        <v>43302</v>
      </c>
      <c r="B13291">
        <v>2018</v>
      </c>
      <c r="C13291">
        <v>7</v>
      </c>
      <c r="D13291" s="11">
        <v>43282</v>
      </c>
      <c r="E13291" t="s">
        <v>2179</v>
      </c>
      <c r="F13291">
        <v>6</v>
      </c>
      <c r="G13291" t="s">
        <v>57</v>
      </c>
      <c r="H13291" t="s">
        <v>41</v>
      </c>
      <c r="I13291" t="s">
        <v>2189</v>
      </c>
      <c r="J13291" s="10">
        <v>5.02</v>
      </c>
      <c r="K13291" t="b">
        <v>1</v>
      </c>
    </row>
    <row r="13292" spans="1:11">
      <c r="A13292" s="12">
        <v>43302</v>
      </c>
      <c r="B13292">
        <v>2018</v>
      </c>
      <c r="C13292">
        <v>7</v>
      </c>
      <c r="D13292" s="11">
        <v>43282</v>
      </c>
      <c r="E13292" t="s">
        <v>2179</v>
      </c>
      <c r="F13292">
        <v>6</v>
      </c>
      <c r="G13292" t="s">
        <v>57</v>
      </c>
      <c r="H13292" t="s">
        <v>42</v>
      </c>
      <c r="I13292" t="s">
        <v>2190</v>
      </c>
      <c r="J13292" s="10">
        <v>0.3</v>
      </c>
      <c r="K13292" t="b">
        <v>1</v>
      </c>
    </row>
    <row r="13293" spans="1:11">
      <c r="A13293" s="12">
        <v>43302</v>
      </c>
      <c r="B13293">
        <v>2018</v>
      </c>
      <c r="C13293">
        <v>7</v>
      </c>
      <c r="D13293" s="11">
        <v>43282</v>
      </c>
      <c r="E13293" t="s">
        <v>2179</v>
      </c>
      <c r="F13293">
        <v>6</v>
      </c>
      <c r="G13293" t="s">
        <v>57</v>
      </c>
      <c r="H13293" t="s">
        <v>43</v>
      </c>
      <c r="I13293" t="s">
        <v>2191</v>
      </c>
      <c r="J13293" s="10">
        <v>22</v>
      </c>
      <c r="K13293" t="b">
        <v>1</v>
      </c>
    </row>
    <row r="13294" spans="1:11">
      <c r="A13294" s="12">
        <v>43302</v>
      </c>
      <c r="B13294">
        <v>2018</v>
      </c>
      <c r="C13294">
        <v>7</v>
      </c>
      <c r="D13294" s="11">
        <v>43282</v>
      </c>
      <c r="E13294" t="s">
        <v>2179</v>
      </c>
      <c r="F13294">
        <v>6</v>
      </c>
      <c r="G13294" t="s">
        <v>57</v>
      </c>
      <c r="H13294" t="s">
        <v>44</v>
      </c>
      <c r="I13294" t="s">
        <v>2192</v>
      </c>
      <c r="J13294" s="10">
        <v>7</v>
      </c>
      <c r="K13294" t="b">
        <v>1</v>
      </c>
    </row>
    <row r="13295" spans="1:11">
      <c r="A13295" s="12">
        <v>43302</v>
      </c>
      <c r="B13295">
        <v>2018</v>
      </c>
      <c r="C13295">
        <v>7</v>
      </c>
      <c r="D13295" s="11">
        <v>43282</v>
      </c>
      <c r="E13295" t="s">
        <v>2179</v>
      </c>
      <c r="F13295">
        <v>6</v>
      </c>
      <c r="G13295" t="s">
        <v>57</v>
      </c>
      <c r="H13295" t="s">
        <v>45</v>
      </c>
      <c r="I13295" t="s">
        <v>2193</v>
      </c>
      <c r="J13295" s="10">
        <v>0</v>
      </c>
      <c r="K13295" t="b">
        <v>1</v>
      </c>
    </row>
    <row r="13296" spans="1:11">
      <c r="A13296" s="12">
        <v>43302</v>
      </c>
      <c r="B13296">
        <v>2018</v>
      </c>
      <c r="C13296">
        <v>7</v>
      </c>
      <c r="D13296" s="11">
        <v>43282</v>
      </c>
      <c r="E13296" t="s">
        <v>2179</v>
      </c>
      <c r="F13296">
        <v>6</v>
      </c>
      <c r="G13296" t="s">
        <v>57</v>
      </c>
      <c r="H13296" t="s">
        <v>46</v>
      </c>
      <c r="I13296" t="s">
        <v>2194</v>
      </c>
      <c r="J13296" s="10">
        <v>5</v>
      </c>
      <c r="K13296" t="b">
        <v>1</v>
      </c>
    </row>
    <row r="13297" spans="1:11">
      <c r="A13297" s="12">
        <v>43302</v>
      </c>
      <c r="B13297">
        <v>2018</v>
      </c>
      <c r="C13297">
        <v>7</v>
      </c>
      <c r="D13297" s="11">
        <v>43282</v>
      </c>
      <c r="E13297" t="s">
        <v>2179</v>
      </c>
      <c r="F13297">
        <v>6</v>
      </c>
      <c r="G13297" t="s">
        <v>57</v>
      </c>
      <c r="H13297" t="s">
        <v>47</v>
      </c>
      <c r="I13297" t="s">
        <v>2195</v>
      </c>
      <c r="J13297" s="10">
        <v>1</v>
      </c>
      <c r="K13297" t="b">
        <v>1</v>
      </c>
    </row>
    <row r="13298" spans="1:11">
      <c r="A13298" s="12">
        <v>43303</v>
      </c>
      <c r="B13298">
        <v>2018</v>
      </c>
      <c r="C13298">
        <v>7</v>
      </c>
      <c r="D13298" s="11">
        <v>43282</v>
      </c>
      <c r="E13298" t="s">
        <v>2179</v>
      </c>
      <c r="F13298">
        <v>7</v>
      </c>
      <c r="G13298" t="s">
        <v>59</v>
      </c>
      <c r="H13298" t="s">
        <v>40</v>
      </c>
      <c r="I13298" t="s">
        <v>2188</v>
      </c>
      <c r="J13298" s="10">
        <v>3.66</v>
      </c>
      <c r="K13298" t="b">
        <v>1</v>
      </c>
    </row>
    <row r="13299" spans="1:11">
      <c r="A13299" s="12">
        <v>43303</v>
      </c>
      <c r="B13299">
        <v>2018</v>
      </c>
      <c r="C13299">
        <v>7</v>
      </c>
      <c r="D13299" s="11">
        <v>43282</v>
      </c>
      <c r="E13299" t="s">
        <v>2179</v>
      </c>
      <c r="F13299">
        <v>7</v>
      </c>
      <c r="G13299" t="s">
        <v>59</v>
      </c>
      <c r="H13299" t="s">
        <v>41</v>
      </c>
      <c r="I13299" t="s">
        <v>2189</v>
      </c>
      <c r="J13299" s="10">
        <v>4.34</v>
      </c>
      <c r="K13299" t="b">
        <v>1</v>
      </c>
    </row>
    <row r="13300" spans="1:11">
      <c r="A13300" s="12">
        <v>43303</v>
      </c>
      <c r="B13300">
        <v>2018</v>
      </c>
      <c r="C13300">
        <v>7</v>
      </c>
      <c r="D13300" s="11">
        <v>43282</v>
      </c>
      <c r="E13300" t="s">
        <v>2179</v>
      </c>
      <c r="F13300">
        <v>7</v>
      </c>
      <c r="G13300" t="s">
        <v>59</v>
      </c>
      <c r="H13300" t="s">
        <v>42</v>
      </c>
      <c r="I13300" t="s">
        <v>2190</v>
      </c>
      <c r="J13300" s="10">
        <v>0</v>
      </c>
      <c r="K13300" t="b">
        <v>1</v>
      </c>
    </row>
    <row r="13301" spans="1:11">
      <c r="A13301" s="12">
        <v>43303</v>
      </c>
      <c r="B13301">
        <v>2018</v>
      </c>
      <c r="C13301">
        <v>7</v>
      </c>
      <c r="D13301" s="11">
        <v>43282</v>
      </c>
      <c r="E13301" t="s">
        <v>2179</v>
      </c>
      <c r="F13301">
        <v>7</v>
      </c>
      <c r="G13301" t="s">
        <v>59</v>
      </c>
      <c r="H13301" t="s">
        <v>43</v>
      </c>
      <c r="I13301" t="s">
        <v>2191</v>
      </c>
      <c r="J13301" s="10">
        <v>31</v>
      </c>
      <c r="K13301" t="b">
        <v>1</v>
      </c>
    </row>
    <row r="13302" spans="1:11">
      <c r="A13302" s="12">
        <v>43303</v>
      </c>
      <c r="B13302">
        <v>2018</v>
      </c>
      <c r="C13302">
        <v>7</v>
      </c>
      <c r="D13302" s="11">
        <v>43282</v>
      </c>
      <c r="E13302" t="s">
        <v>2179</v>
      </c>
      <c r="F13302">
        <v>7</v>
      </c>
      <c r="G13302" t="s">
        <v>59</v>
      </c>
      <c r="H13302" t="s">
        <v>44</v>
      </c>
      <c r="I13302" t="s">
        <v>2192</v>
      </c>
      <c r="J13302" s="10">
        <v>4</v>
      </c>
      <c r="K13302" t="b">
        <v>1</v>
      </c>
    </row>
    <row r="13303" spans="1:11">
      <c r="A13303" s="12">
        <v>43303</v>
      </c>
      <c r="B13303">
        <v>2018</v>
      </c>
      <c r="C13303">
        <v>7</v>
      </c>
      <c r="D13303" s="11">
        <v>43282</v>
      </c>
      <c r="E13303" t="s">
        <v>2179</v>
      </c>
      <c r="F13303">
        <v>7</v>
      </c>
      <c r="G13303" t="s">
        <v>59</v>
      </c>
      <c r="H13303" t="s">
        <v>45</v>
      </c>
      <c r="I13303" t="s">
        <v>2193</v>
      </c>
      <c r="J13303" s="10">
        <v>0</v>
      </c>
      <c r="K13303" t="b">
        <v>1</v>
      </c>
    </row>
    <row r="13304" spans="1:11">
      <c r="A13304" s="12">
        <v>43303</v>
      </c>
      <c r="B13304">
        <v>2018</v>
      </c>
      <c r="C13304">
        <v>7</v>
      </c>
      <c r="D13304" s="11">
        <v>43282</v>
      </c>
      <c r="E13304" t="s">
        <v>2179</v>
      </c>
      <c r="F13304">
        <v>7</v>
      </c>
      <c r="G13304" t="s">
        <v>59</v>
      </c>
      <c r="H13304" t="s">
        <v>46</v>
      </c>
      <c r="I13304" t="s">
        <v>2194</v>
      </c>
      <c r="J13304" s="10">
        <v>5</v>
      </c>
      <c r="K13304" t="b">
        <v>1</v>
      </c>
    </row>
    <row r="13305" spans="1:11">
      <c r="A13305" s="12">
        <v>43303</v>
      </c>
      <c r="B13305">
        <v>2018</v>
      </c>
      <c r="C13305">
        <v>7</v>
      </c>
      <c r="D13305" s="11">
        <v>43282</v>
      </c>
      <c r="E13305" t="s">
        <v>2179</v>
      </c>
      <c r="F13305">
        <v>7</v>
      </c>
      <c r="G13305" t="s">
        <v>59</v>
      </c>
      <c r="H13305" t="s">
        <v>47</v>
      </c>
      <c r="I13305" t="s">
        <v>2195</v>
      </c>
      <c r="J13305" s="10">
        <v>6</v>
      </c>
      <c r="K13305" t="b">
        <v>1</v>
      </c>
    </row>
    <row r="13306" spans="1:11">
      <c r="A13306" s="12">
        <v>43304</v>
      </c>
      <c r="B13306">
        <v>2018</v>
      </c>
      <c r="C13306">
        <v>7</v>
      </c>
      <c r="D13306" s="11">
        <v>43282</v>
      </c>
      <c r="E13306" t="s">
        <v>2179</v>
      </c>
      <c r="F13306">
        <v>1</v>
      </c>
      <c r="G13306" t="s">
        <v>61</v>
      </c>
      <c r="H13306" t="s">
        <v>40</v>
      </c>
      <c r="I13306" t="s">
        <v>2188</v>
      </c>
      <c r="J13306" s="10">
        <v>8.68</v>
      </c>
      <c r="K13306" t="b">
        <v>1</v>
      </c>
    </row>
    <row r="13307" spans="1:11">
      <c r="A13307" s="12">
        <v>43304</v>
      </c>
      <c r="B13307">
        <v>2018</v>
      </c>
      <c r="C13307">
        <v>7</v>
      </c>
      <c r="D13307" s="11">
        <v>43282</v>
      </c>
      <c r="E13307" t="s">
        <v>2179</v>
      </c>
      <c r="F13307">
        <v>1</v>
      </c>
      <c r="G13307" t="s">
        <v>61</v>
      </c>
      <c r="H13307" t="s">
        <v>41</v>
      </c>
      <c r="I13307" t="s">
        <v>2189</v>
      </c>
      <c r="J13307" s="10">
        <v>1.863</v>
      </c>
      <c r="K13307" t="b">
        <v>1</v>
      </c>
    </row>
    <row r="13308" spans="1:11">
      <c r="A13308" s="12">
        <v>43304</v>
      </c>
      <c r="B13308">
        <v>2018</v>
      </c>
      <c r="C13308">
        <v>7</v>
      </c>
      <c r="D13308" s="11">
        <v>43282</v>
      </c>
      <c r="E13308" t="s">
        <v>2179</v>
      </c>
      <c r="F13308">
        <v>1</v>
      </c>
      <c r="G13308" t="s">
        <v>61</v>
      </c>
      <c r="H13308" t="s">
        <v>42</v>
      </c>
      <c r="I13308" t="s">
        <v>2190</v>
      </c>
      <c r="J13308" s="10">
        <v>2.1</v>
      </c>
      <c r="K13308" t="b">
        <v>1</v>
      </c>
    </row>
    <row r="13309" spans="1:11">
      <c r="A13309" s="12">
        <v>43304</v>
      </c>
      <c r="B13309">
        <v>2018</v>
      </c>
      <c r="C13309">
        <v>7</v>
      </c>
      <c r="D13309" s="11">
        <v>43282</v>
      </c>
      <c r="E13309" t="s">
        <v>2179</v>
      </c>
      <c r="F13309">
        <v>1</v>
      </c>
      <c r="G13309" t="s">
        <v>61</v>
      </c>
      <c r="H13309" t="s">
        <v>43</v>
      </c>
      <c r="I13309" t="s">
        <v>2191</v>
      </c>
      <c r="J13309" s="10">
        <v>12</v>
      </c>
      <c r="K13309" t="b">
        <v>1</v>
      </c>
    </row>
    <row r="13310" spans="1:11">
      <c r="A13310" s="12">
        <v>43304</v>
      </c>
      <c r="B13310">
        <v>2018</v>
      </c>
      <c r="C13310">
        <v>7</v>
      </c>
      <c r="D13310" s="11">
        <v>43282</v>
      </c>
      <c r="E13310" t="s">
        <v>2179</v>
      </c>
      <c r="F13310">
        <v>1</v>
      </c>
      <c r="G13310" t="s">
        <v>61</v>
      </c>
      <c r="H13310" t="s">
        <v>44</v>
      </c>
      <c r="I13310" t="s">
        <v>2192</v>
      </c>
      <c r="J13310" s="10">
        <v>15</v>
      </c>
      <c r="K13310" t="b">
        <v>1</v>
      </c>
    </row>
    <row r="13311" spans="1:11">
      <c r="A13311" s="12">
        <v>43304</v>
      </c>
      <c r="B13311">
        <v>2018</v>
      </c>
      <c r="C13311">
        <v>7</v>
      </c>
      <c r="D13311" s="11">
        <v>43282</v>
      </c>
      <c r="E13311" t="s">
        <v>2179</v>
      </c>
      <c r="F13311">
        <v>1</v>
      </c>
      <c r="G13311" t="s">
        <v>61</v>
      </c>
      <c r="H13311" t="s">
        <v>45</v>
      </c>
      <c r="I13311" t="s">
        <v>2193</v>
      </c>
      <c r="J13311" s="10">
        <v>1</v>
      </c>
      <c r="K13311" t="b">
        <v>1</v>
      </c>
    </row>
    <row r="13312" spans="1:11">
      <c r="A13312" s="12">
        <v>43304</v>
      </c>
      <c r="B13312">
        <v>2018</v>
      </c>
      <c r="C13312">
        <v>7</v>
      </c>
      <c r="D13312" s="11">
        <v>43282</v>
      </c>
      <c r="E13312" t="s">
        <v>2179</v>
      </c>
      <c r="F13312">
        <v>1</v>
      </c>
      <c r="G13312" t="s">
        <v>61</v>
      </c>
      <c r="H13312" t="s">
        <v>46</v>
      </c>
      <c r="I13312" t="s">
        <v>2194</v>
      </c>
      <c r="J13312" s="10">
        <v>0</v>
      </c>
      <c r="K13312" t="b">
        <v>1</v>
      </c>
    </row>
    <row r="13313" spans="1:11">
      <c r="A13313" s="12">
        <v>43304</v>
      </c>
      <c r="B13313">
        <v>2018</v>
      </c>
      <c r="C13313">
        <v>7</v>
      </c>
      <c r="D13313" s="11">
        <v>43282</v>
      </c>
      <c r="E13313" t="s">
        <v>2179</v>
      </c>
      <c r="F13313">
        <v>1</v>
      </c>
      <c r="G13313" t="s">
        <v>61</v>
      </c>
      <c r="H13313" t="s">
        <v>47</v>
      </c>
      <c r="I13313" t="s">
        <v>2195</v>
      </c>
      <c r="J13313" s="10">
        <v>5.3</v>
      </c>
      <c r="K13313" t="b">
        <v>1</v>
      </c>
    </row>
    <row r="13314" spans="1:11">
      <c r="A13314" s="12">
        <v>43305</v>
      </c>
      <c r="B13314">
        <v>2018</v>
      </c>
      <c r="C13314">
        <v>7</v>
      </c>
      <c r="D13314" s="11">
        <v>43282</v>
      </c>
      <c r="E13314" t="s">
        <v>2179</v>
      </c>
      <c r="F13314">
        <v>2</v>
      </c>
      <c r="G13314" t="s">
        <v>63</v>
      </c>
      <c r="H13314" t="s">
        <v>40</v>
      </c>
      <c r="I13314" t="s">
        <v>2188</v>
      </c>
      <c r="J13314" s="10">
        <v>9.68</v>
      </c>
      <c r="K13314" t="b">
        <v>1</v>
      </c>
    </row>
    <row r="13315" spans="1:11">
      <c r="A13315" s="12">
        <v>43305</v>
      </c>
      <c r="B13315">
        <v>2018</v>
      </c>
      <c r="C13315">
        <v>7</v>
      </c>
      <c r="D13315" s="11">
        <v>43282</v>
      </c>
      <c r="E13315" t="s">
        <v>2179</v>
      </c>
      <c r="F13315">
        <v>2</v>
      </c>
      <c r="G13315" t="s">
        <v>63</v>
      </c>
      <c r="H13315" t="s">
        <v>41</v>
      </c>
      <c r="I13315" t="s">
        <v>2189</v>
      </c>
      <c r="J13315" s="10">
        <v>4</v>
      </c>
      <c r="K13315" t="b">
        <v>1</v>
      </c>
    </row>
    <row r="13316" spans="1:11">
      <c r="A13316" s="12">
        <v>43305</v>
      </c>
      <c r="B13316">
        <v>2018</v>
      </c>
      <c r="C13316">
        <v>7</v>
      </c>
      <c r="D13316" s="11">
        <v>43282</v>
      </c>
      <c r="E13316" t="s">
        <v>2179</v>
      </c>
      <c r="F13316">
        <v>2</v>
      </c>
      <c r="G13316" t="s">
        <v>63</v>
      </c>
      <c r="H13316" t="s">
        <v>42</v>
      </c>
      <c r="I13316" t="s">
        <v>2190</v>
      </c>
      <c r="J13316" s="10">
        <v>2</v>
      </c>
      <c r="K13316" t="b">
        <v>1</v>
      </c>
    </row>
    <row r="13317" spans="1:11">
      <c r="A13317" s="12">
        <v>43305</v>
      </c>
      <c r="B13317">
        <v>2018</v>
      </c>
      <c r="C13317">
        <v>7</v>
      </c>
      <c r="D13317" s="11">
        <v>43282</v>
      </c>
      <c r="E13317" t="s">
        <v>2179</v>
      </c>
      <c r="F13317">
        <v>2</v>
      </c>
      <c r="G13317" t="s">
        <v>63</v>
      </c>
      <c r="H13317" t="s">
        <v>43</v>
      </c>
      <c r="I13317" t="s">
        <v>2191</v>
      </c>
      <c r="J13317" s="10">
        <v>22</v>
      </c>
      <c r="K13317" t="b">
        <v>1</v>
      </c>
    </row>
    <row r="13318" spans="1:11">
      <c r="A13318" s="12">
        <v>43305</v>
      </c>
      <c r="B13318">
        <v>2018</v>
      </c>
      <c r="C13318">
        <v>7</v>
      </c>
      <c r="D13318" s="11">
        <v>43282</v>
      </c>
      <c r="E13318" t="s">
        <v>2179</v>
      </c>
      <c r="F13318">
        <v>2</v>
      </c>
      <c r="G13318" t="s">
        <v>63</v>
      </c>
      <c r="H13318" t="s">
        <v>44</v>
      </c>
      <c r="I13318" t="s">
        <v>2192</v>
      </c>
      <c r="J13318" s="10">
        <v>4</v>
      </c>
      <c r="K13318" t="b">
        <v>1</v>
      </c>
    </row>
    <row r="13319" spans="1:11">
      <c r="A13319" s="12">
        <v>43305</v>
      </c>
      <c r="B13319">
        <v>2018</v>
      </c>
      <c r="C13319">
        <v>7</v>
      </c>
      <c r="D13319" s="11">
        <v>43282</v>
      </c>
      <c r="E13319" t="s">
        <v>2179</v>
      </c>
      <c r="F13319">
        <v>2</v>
      </c>
      <c r="G13319" t="s">
        <v>63</v>
      </c>
      <c r="H13319" t="s">
        <v>45</v>
      </c>
      <c r="I13319" t="s">
        <v>2193</v>
      </c>
      <c r="J13319" s="10">
        <v>1</v>
      </c>
      <c r="K13319" t="b">
        <v>1</v>
      </c>
    </row>
    <row r="13320" spans="1:11">
      <c r="A13320" s="12">
        <v>43305</v>
      </c>
      <c r="B13320">
        <v>2018</v>
      </c>
      <c r="C13320">
        <v>7</v>
      </c>
      <c r="D13320" s="11">
        <v>43282</v>
      </c>
      <c r="E13320" t="s">
        <v>2179</v>
      </c>
      <c r="F13320">
        <v>2</v>
      </c>
      <c r="G13320" t="s">
        <v>63</v>
      </c>
      <c r="H13320" t="s">
        <v>46</v>
      </c>
      <c r="I13320" t="s">
        <v>2194</v>
      </c>
      <c r="J13320" s="10">
        <v>2</v>
      </c>
      <c r="K13320" t="b">
        <v>1</v>
      </c>
    </row>
    <row r="13321" spans="1:11">
      <c r="A13321" s="12">
        <v>43305</v>
      </c>
      <c r="B13321">
        <v>2018</v>
      </c>
      <c r="C13321">
        <v>7</v>
      </c>
      <c r="D13321" s="11">
        <v>43282</v>
      </c>
      <c r="E13321" t="s">
        <v>2179</v>
      </c>
      <c r="F13321">
        <v>2</v>
      </c>
      <c r="G13321" t="s">
        <v>63</v>
      </c>
      <c r="H13321" t="s">
        <v>47</v>
      </c>
      <c r="I13321" t="s">
        <v>2195</v>
      </c>
      <c r="J13321" s="10">
        <v>2</v>
      </c>
      <c r="K13321" t="b">
        <v>1</v>
      </c>
    </row>
    <row r="13322" spans="1:11">
      <c r="A13322" s="12">
        <v>43306</v>
      </c>
      <c r="B13322">
        <v>2018</v>
      </c>
      <c r="C13322">
        <v>7</v>
      </c>
      <c r="D13322" s="11">
        <v>43282</v>
      </c>
      <c r="E13322" t="s">
        <v>2179</v>
      </c>
      <c r="F13322">
        <v>3</v>
      </c>
      <c r="G13322" t="s">
        <v>65</v>
      </c>
      <c r="H13322" t="s">
        <v>40</v>
      </c>
      <c r="I13322" t="s">
        <v>2188</v>
      </c>
      <c r="J13322" s="10">
        <v>5</v>
      </c>
      <c r="K13322" t="b">
        <v>1</v>
      </c>
    </row>
    <row r="13323" spans="1:11">
      <c r="A13323" s="12">
        <v>43306</v>
      </c>
      <c r="B13323">
        <v>2018</v>
      </c>
      <c r="C13323">
        <v>7</v>
      </c>
      <c r="D13323" s="11">
        <v>43282</v>
      </c>
      <c r="E13323" t="s">
        <v>2179</v>
      </c>
      <c r="F13323">
        <v>3</v>
      </c>
      <c r="G13323" t="s">
        <v>65</v>
      </c>
      <c r="H13323" t="s">
        <v>41</v>
      </c>
      <c r="I13323" t="s">
        <v>2189</v>
      </c>
      <c r="J13323" s="10">
        <v>2.68</v>
      </c>
      <c r="K13323" t="b">
        <v>1</v>
      </c>
    </row>
    <row r="13324" spans="1:11">
      <c r="A13324" s="12">
        <v>43306</v>
      </c>
      <c r="B13324">
        <v>2018</v>
      </c>
      <c r="C13324">
        <v>7</v>
      </c>
      <c r="D13324" s="11">
        <v>43282</v>
      </c>
      <c r="E13324" t="s">
        <v>2179</v>
      </c>
      <c r="F13324">
        <v>3</v>
      </c>
      <c r="G13324" t="s">
        <v>65</v>
      </c>
      <c r="H13324" t="s">
        <v>42</v>
      </c>
      <c r="I13324" t="s">
        <v>2190</v>
      </c>
      <c r="J13324" s="10">
        <v>2</v>
      </c>
      <c r="K13324" t="b">
        <v>1</v>
      </c>
    </row>
    <row r="13325" spans="1:11">
      <c r="A13325" s="12">
        <v>43306</v>
      </c>
      <c r="B13325">
        <v>2018</v>
      </c>
      <c r="C13325">
        <v>7</v>
      </c>
      <c r="D13325" s="11">
        <v>43282</v>
      </c>
      <c r="E13325" t="s">
        <v>2179</v>
      </c>
      <c r="F13325">
        <v>3</v>
      </c>
      <c r="G13325" t="s">
        <v>65</v>
      </c>
      <c r="H13325" t="s">
        <v>43</v>
      </c>
      <c r="I13325" t="s">
        <v>2191</v>
      </c>
      <c r="J13325" s="10">
        <v>16</v>
      </c>
      <c r="K13325" t="b">
        <v>1</v>
      </c>
    </row>
    <row r="13326" spans="1:11">
      <c r="A13326" s="12">
        <v>43306</v>
      </c>
      <c r="B13326">
        <v>2018</v>
      </c>
      <c r="C13326">
        <v>7</v>
      </c>
      <c r="D13326" s="11">
        <v>43282</v>
      </c>
      <c r="E13326" t="s">
        <v>2179</v>
      </c>
      <c r="F13326">
        <v>3</v>
      </c>
      <c r="G13326" t="s">
        <v>65</v>
      </c>
      <c r="H13326" t="s">
        <v>44</v>
      </c>
      <c r="I13326" t="s">
        <v>2192</v>
      </c>
      <c r="J13326" s="10">
        <v>7</v>
      </c>
      <c r="K13326" t="b">
        <v>1</v>
      </c>
    </row>
    <row r="13327" spans="1:11">
      <c r="A13327" s="12">
        <v>43306</v>
      </c>
      <c r="B13327">
        <v>2018</v>
      </c>
      <c r="C13327">
        <v>7</v>
      </c>
      <c r="D13327" s="11">
        <v>43282</v>
      </c>
      <c r="E13327" t="s">
        <v>2179</v>
      </c>
      <c r="F13327">
        <v>3</v>
      </c>
      <c r="G13327" t="s">
        <v>65</v>
      </c>
      <c r="H13327" t="s">
        <v>45</v>
      </c>
      <c r="I13327" t="s">
        <v>2193</v>
      </c>
      <c r="J13327" s="10">
        <v>0</v>
      </c>
      <c r="K13327" t="b">
        <v>1</v>
      </c>
    </row>
    <row r="13328" spans="1:11">
      <c r="A13328" s="12">
        <v>43306</v>
      </c>
      <c r="B13328">
        <v>2018</v>
      </c>
      <c r="C13328">
        <v>7</v>
      </c>
      <c r="D13328" s="11">
        <v>43282</v>
      </c>
      <c r="E13328" t="s">
        <v>2179</v>
      </c>
      <c r="F13328">
        <v>3</v>
      </c>
      <c r="G13328" t="s">
        <v>65</v>
      </c>
      <c r="H13328" t="s">
        <v>46</v>
      </c>
      <c r="I13328" t="s">
        <v>2194</v>
      </c>
      <c r="J13328" s="10">
        <v>0</v>
      </c>
      <c r="K13328" t="b">
        <v>1</v>
      </c>
    </row>
    <row r="13329" spans="1:11">
      <c r="A13329" s="12">
        <v>43306</v>
      </c>
      <c r="B13329">
        <v>2018</v>
      </c>
      <c r="C13329">
        <v>7</v>
      </c>
      <c r="D13329" s="11">
        <v>43282</v>
      </c>
      <c r="E13329" t="s">
        <v>2179</v>
      </c>
      <c r="F13329">
        <v>3</v>
      </c>
      <c r="G13329" t="s">
        <v>65</v>
      </c>
      <c r="H13329" t="s">
        <v>47</v>
      </c>
      <c r="I13329" t="s">
        <v>2195</v>
      </c>
      <c r="J13329" s="10">
        <v>2</v>
      </c>
      <c r="K13329" t="b">
        <v>1</v>
      </c>
    </row>
    <row r="13330" spans="1:11">
      <c r="A13330" s="12">
        <v>43307</v>
      </c>
      <c r="B13330">
        <v>2018</v>
      </c>
      <c r="C13330">
        <v>7</v>
      </c>
      <c r="D13330" s="11">
        <v>43282</v>
      </c>
      <c r="E13330" t="s">
        <v>2179</v>
      </c>
      <c r="F13330">
        <v>4</v>
      </c>
      <c r="G13330" t="s">
        <v>53</v>
      </c>
      <c r="H13330" t="s">
        <v>40</v>
      </c>
      <c r="I13330" t="s">
        <v>2188</v>
      </c>
      <c r="J13330" s="10">
        <v>4.33</v>
      </c>
      <c r="K13330" t="b">
        <v>1</v>
      </c>
    </row>
    <row r="13331" spans="1:11">
      <c r="A13331" s="12">
        <v>43307</v>
      </c>
      <c r="B13331">
        <v>2018</v>
      </c>
      <c r="C13331">
        <v>7</v>
      </c>
      <c r="D13331" s="11">
        <v>43282</v>
      </c>
      <c r="E13331" t="s">
        <v>2179</v>
      </c>
      <c r="F13331">
        <v>4</v>
      </c>
      <c r="G13331" t="s">
        <v>53</v>
      </c>
      <c r="H13331" t="s">
        <v>41</v>
      </c>
      <c r="I13331" t="s">
        <v>2189</v>
      </c>
      <c r="J13331" s="10">
        <v>1.827</v>
      </c>
      <c r="K13331" t="b">
        <v>1</v>
      </c>
    </row>
    <row r="13332" spans="1:11">
      <c r="A13332" s="12">
        <v>43307</v>
      </c>
      <c r="B13332">
        <v>2018</v>
      </c>
      <c r="C13332">
        <v>7</v>
      </c>
      <c r="D13332" s="11">
        <v>43282</v>
      </c>
      <c r="E13332" t="s">
        <v>2179</v>
      </c>
      <c r="F13332">
        <v>4</v>
      </c>
      <c r="G13332" t="s">
        <v>53</v>
      </c>
      <c r="H13332" t="s">
        <v>42</v>
      </c>
      <c r="I13332" t="s">
        <v>2190</v>
      </c>
      <c r="J13332" s="10">
        <v>5</v>
      </c>
      <c r="K13332" t="b">
        <v>1</v>
      </c>
    </row>
    <row r="13333" spans="1:11">
      <c r="A13333" s="12">
        <v>43307</v>
      </c>
      <c r="B13333">
        <v>2018</v>
      </c>
      <c r="C13333">
        <v>7</v>
      </c>
      <c r="D13333" s="11">
        <v>43282</v>
      </c>
      <c r="E13333" t="s">
        <v>2179</v>
      </c>
      <c r="F13333">
        <v>4</v>
      </c>
      <c r="G13333" t="s">
        <v>53</v>
      </c>
      <c r="H13333" t="s">
        <v>43</v>
      </c>
      <c r="I13333" t="s">
        <v>2191</v>
      </c>
      <c r="J13333" s="10">
        <v>24</v>
      </c>
      <c r="K13333" t="b">
        <v>1</v>
      </c>
    </row>
    <row r="13334" spans="1:11">
      <c r="A13334" s="12">
        <v>43307</v>
      </c>
      <c r="B13334">
        <v>2018</v>
      </c>
      <c r="C13334">
        <v>7</v>
      </c>
      <c r="D13334" s="11">
        <v>43282</v>
      </c>
      <c r="E13334" t="s">
        <v>2179</v>
      </c>
      <c r="F13334">
        <v>4</v>
      </c>
      <c r="G13334" t="s">
        <v>53</v>
      </c>
      <c r="H13334" t="s">
        <v>44</v>
      </c>
      <c r="I13334" t="s">
        <v>2192</v>
      </c>
      <c r="J13334" s="10">
        <v>4</v>
      </c>
      <c r="K13334" t="b">
        <v>1</v>
      </c>
    </row>
    <row r="13335" spans="1:11">
      <c r="A13335" s="12">
        <v>43307</v>
      </c>
      <c r="B13335">
        <v>2018</v>
      </c>
      <c r="C13335">
        <v>7</v>
      </c>
      <c r="D13335" s="11">
        <v>43282</v>
      </c>
      <c r="E13335" t="s">
        <v>2179</v>
      </c>
      <c r="F13335">
        <v>4</v>
      </c>
      <c r="G13335" t="s">
        <v>53</v>
      </c>
      <c r="H13335" t="s">
        <v>45</v>
      </c>
      <c r="I13335" t="s">
        <v>2193</v>
      </c>
      <c r="J13335" s="10">
        <v>0</v>
      </c>
      <c r="K13335" t="b">
        <v>1</v>
      </c>
    </row>
    <row r="13336" spans="1:11">
      <c r="A13336" s="12">
        <v>43307</v>
      </c>
      <c r="B13336">
        <v>2018</v>
      </c>
      <c r="C13336">
        <v>7</v>
      </c>
      <c r="D13336" s="11">
        <v>43282</v>
      </c>
      <c r="E13336" t="s">
        <v>2179</v>
      </c>
      <c r="F13336">
        <v>4</v>
      </c>
      <c r="G13336" t="s">
        <v>53</v>
      </c>
      <c r="H13336" t="s">
        <v>46</v>
      </c>
      <c r="I13336" t="s">
        <v>2194</v>
      </c>
      <c r="J13336" s="10">
        <v>1</v>
      </c>
      <c r="K13336" t="b">
        <v>1</v>
      </c>
    </row>
    <row r="13337" spans="1:11">
      <c r="A13337" s="12">
        <v>43307</v>
      </c>
      <c r="B13337">
        <v>2018</v>
      </c>
      <c r="C13337">
        <v>7</v>
      </c>
      <c r="D13337" s="11">
        <v>43282</v>
      </c>
      <c r="E13337" t="s">
        <v>2179</v>
      </c>
      <c r="F13337">
        <v>4</v>
      </c>
      <c r="G13337" t="s">
        <v>53</v>
      </c>
      <c r="H13337" t="s">
        <v>47</v>
      </c>
      <c r="I13337" t="s">
        <v>2195</v>
      </c>
      <c r="J13337" s="10">
        <v>4</v>
      </c>
      <c r="K13337" t="b">
        <v>1</v>
      </c>
    </row>
    <row r="13338" spans="1:11">
      <c r="A13338" s="12">
        <v>43308</v>
      </c>
      <c r="B13338">
        <v>2018</v>
      </c>
      <c r="C13338">
        <v>7</v>
      </c>
      <c r="D13338" s="11">
        <v>43282</v>
      </c>
      <c r="E13338" t="s">
        <v>2179</v>
      </c>
      <c r="F13338">
        <v>5</v>
      </c>
      <c r="G13338" t="s">
        <v>55</v>
      </c>
      <c r="H13338" t="s">
        <v>40</v>
      </c>
      <c r="I13338" t="s">
        <v>2188</v>
      </c>
      <c r="J13338" s="10">
        <v>2.34</v>
      </c>
      <c r="K13338" t="b">
        <v>1</v>
      </c>
    </row>
    <row r="13339" spans="1:11">
      <c r="A13339" s="12">
        <v>43308</v>
      </c>
      <c r="B13339">
        <v>2018</v>
      </c>
      <c r="C13339">
        <v>7</v>
      </c>
      <c r="D13339" s="11">
        <v>43282</v>
      </c>
      <c r="E13339" t="s">
        <v>2179</v>
      </c>
      <c r="F13339">
        <v>5</v>
      </c>
      <c r="G13339" t="s">
        <v>55</v>
      </c>
      <c r="H13339" t="s">
        <v>41</v>
      </c>
      <c r="I13339" t="s">
        <v>2189</v>
      </c>
      <c r="J13339" s="10">
        <v>3.34</v>
      </c>
      <c r="K13339" t="b">
        <v>1</v>
      </c>
    </row>
    <row r="13340" spans="1:11">
      <c r="A13340" s="12">
        <v>43308</v>
      </c>
      <c r="B13340">
        <v>2018</v>
      </c>
      <c r="C13340">
        <v>7</v>
      </c>
      <c r="D13340" s="11">
        <v>43282</v>
      </c>
      <c r="E13340" t="s">
        <v>2179</v>
      </c>
      <c r="F13340">
        <v>5</v>
      </c>
      <c r="G13340" t="s">
        <v>55</v>
      </c>
      <c r="H13340" t="s">
        <v>42</v>
      </c>
      <c r="I13340" t="s">
        <v>2190</v>
      </c>
      <c r="J13340" s="10">
        <v>3</v>
      </c>
      <c r="K13340" t="b">
        <v>1</v>
      </c>
    </row>
    <row r="13341" spans="1:11">
      <c r="A13341" s="12">
        <v>43308</v>
      </c>
      <c r="B13341">
        <v>2018</v>
      </c>
      <c r="C13341">
        <v>7</v>
      </c>
      <c r="D13341" s="11">
        <v>43282</v>
      </c>
      <c r="E13341" t="s">
        <v>2179</v>
      </c>
      <c r="F13341">
        <v>5</v>
      </c>
      <c r="G13341" t="s">
        <v>55</v>
      </c>
      <c r="H13341" t="s">
        <v>43</v>
      </c>
      <c r="I13341" t="s">
        <v>2191</v>
      </c>
      <c r="J13341" s="10">
        <v>19.4</v>
      </c>
      <c r="K13341" t="b">
        <v>1</v>
      </c>
    </row>
    <row r="13342" spans="1:11">
      <c r="A13342" s="12">
        <v>43308</v>
      </c>
      <c r="B13342">
        <v>2018</v>
      </c>
      <c r="C13342">
        <v>7</v>
      </c>
      <c r="D13342" s="11">
        <v>43282</v>
      </c>
      <c r="E13342" t="s">
        <v>2179</v>
      </c>
      <c r="F13342">
        <v>5</v>
      </c>
      <c r="G13342" t="s">
        <v>55</v>
      </c>
      <c r="H13342" t="s">
        <v>44</v>
      </c>
      <c r="I13342" t="s">
        <v>2192</v>
      </c>
      <c r="J13342" s="10">
        <v>11</v>
      </c>
      <c r="K13342" t="b">
        <v>1</v>
      </c>
    </row>
    <row r="13343" spans="1:11">
      <c r="A13343" s="12">
        <v>43308</v>
      </c>
      <c r="B13343">
        <v>2018</v>
      </c>
      <c r="C13343">
        <v>7</v>
      </c>
      <c r="D13343" s="11">
        <v>43282</v>
      </c>
      <c r="E13343" t="s">
        <v>2179</v>
      </c>
      <c r="F13343">
        <v>5</v>
      </c>
      <c r="G13343" t="s">
        <v>55</v>
      </c>
      <c r="H13343" t="s">
        <v>45</v>
      </c>
      <c r="I13343" t="s">
        <v>2193</v>
      </c>
      <c r="J13343" s="10">
        <v>0</v>
      </c>
      <c r="K13343" t="b">
        <v>1</v>
      </c>
    </row>
    <row r="13344" spans="1:11">
      <c r="A13344" s="12">
        <v>43308</v>
      </c>
      <c r="B13344">
        <v>2018</v>
      </c>
      <c r="C13344">
        <v>7</v>
      </c>
      <c r="D13344" s="11">
        <v>43282</v>
      </c>
      <c r="E13344" t="s">
        <v>2179</v>
      </c>
      <c r="F13344">
        <v>5</v>
      </c>
      <c r="G13344" t="s">
        <v>55</v>
      </c>
      <c r="H13344" t="s">
        <v>46</v>
      </c>
      <c r="I13344" t="s">
        <v>2194</v>
      </c>
      <c r="J13344" s="10">
        <v>1</v>
      </c>
      <c r="K13344" t="b">
        <v>1</v>
      </c>
    </row>
    <row r="13345" spans="1:11">
      <c r="A13345" s="12">
        <v>43308</v>
      </c>
      <c r="B13345">
        <v>2018</v>
      </c>
      <c r="C13345">
        <v>7</v>
      </c>
      <c r="D13345" s="11">
        <v>43282</v>
      </c>
      <c r="E13345" t="s">
        <v>2179</v>
      </c>
      <c r="F13345">
        <v>5</v>
      </c>
      <c r="G13345" t="s">
        <v>55</v>
      </c>
      <c r="H13345" t="s">
        <v>47</v>
      </c>
      <c r="I13345" t="s">
        <v>2195</v>
      </c>
      <c r="J13345" s="10">
        <v>6</v>
      </c>
      <c r="K13345" t="b">
        <v>1</v>
      </c>
    </row>
    <row r="13346" spans="1:11">
      <c r="A13346" s="12">
        <v>43309</v>
      </c>
      <c r="B13346">
        <v>2018</v>
      </c>
      <c r="C13346">
        <v>7</v>
      </c>
      <c r="D13346" s="11">
        <v>43282</v>
      </c>
      <c r="E13346" t="s">
        <v>2179</v>
      </c>
      <c r="F13346">
        <v>6</v>
      </c>
      <c r="G13346" t="s">
        <v>57</v>
      </c>
      <c r="H13346" t="s">
        <v>40</v>
      </c>
      <c r="I13346" t="s">
        <v>2188</v>
      </c>
      <c r="J13346" s="10">
        <v>6</v>
      </c>
      <c r="K13346" t="b">
        <v>1</v>
      </c>
    </row>
    <row r="13347" spans="1:11">
      <c r="A13347" s="12">
        <v>43309</v>
      </c>
      <c r="B13347">
        <v>2018</v>
      </c>
      <c r="C13347">
        <v>7</v>
      </c>
      <c r="D13347" s="11">
        <v>43282</v>
      </c>
      <c r="E13347" t="s">
        <v>2179</v>
      </c>
      <c r="F13347">
        <v>6</v>
      </c>
      <c r="G13347" t="s">
        <v>57</v>
      </c>
      <c r="H13347" t="s">
        <v>41</v>
      </c>
      <c r="I13347" t="s">
        <v>2189</v>
      </c>
      <c r="J13347" s="10">
        <v>4.01</v>
      </c>
      <c r="K13347" t="b">
        <v>1</v>
      </c>
    </row>
    <row r="13348" spans="1:11">
      <c r="A13348" s="12">
        <v>43309</v>
      </c>
      <c r="B13348">
        <v>2018</v>
      </c>
      <c r="C13348">
        <v>7</v>
      </c>
      <c r="D13348" s="11">
        <v>43282</v>
      </c>
      <c r="E13348" t="s">
        <v>2179</v>
      </c>
      <c r="F13348">
        <v>6</v>
      </c>
      <c r="G13348" t="s">
        <v>57</v>
      </c>
      <c r="H13348" t="s">
        <v>42</v>
      </c>
      <c r="I13348" t="s">
        <v>2190</v>
      </c>
      <c r="J13348" s="10">
        <v>1</v>
      </c>
      <c r="K13348" t="b">
        <v>1</v>
      </c>
    </row>
    <row r="13349" spans="1:11">
      <c r="A13349" s="12">
        <v>43309</v>
      </c>
      <c r="B13349">
        <v>2018</v>
      </c>
      <c r="C13349">
        <v>7</v>
      </c>
      <c r="D13349" s="11">
        <v>43282</v>
      </c>
      <c r="E13349" t="s">
        <v>2179</v>
      </c>
      <c r="F13349">
        <v>6</v>
      </c>
      <c r="G13349" t="s">
        <v>57</v>
      </c>
      <c r="H13349" t="s">
        <v>43</v>
      </c>
      <c r="I13349" t="s">
        <v>2191</v>
      </c>
      <c r="J13349" s="10">
        <v>24.5</v>
      </c>
      <c r="K13349" t="b">
        <v>1</v>
      </c>
    </row>
    <row r="13350" spans="1:11">
      <c r="A13350" s="12">
        <v>43309</v>
      </c>
      <c r="B13350">
        <v>2018</v>
      </c>
      <c r="C13350">
        <v>7</v>
      </c>
      <c r="D13350" s="11">
        <v>43282</v>
      </c>
      <c r="E13350" t="s">
        <v>2179</v>
      </c>
      <c r="F13350">
        <v>6</v>
      </c>
      <c r="G13350" t="s">
        <v>57</v>
      </c>
      <c r="H13350" t="s">
        <v>44</v>
      </c>
      <c r="I13350" t="s">
        <v>2192</v>
      </c>
      <c r="J13350" s="10">
        <v>9</v>
      </c>
      <c r="K13350" t="b">
        <v>1</v>
      </c>
    </row>
    <row r="13351" spans="1:11">
      <c r="A13351" s="12">
        <v>43309</v>
      </c>
      <c r="B13351">
        <v>2018</v>
      </c>
      <c r="C13351">
        <v>7</v>
      </c>
      <c r="D13351" s="11">
        <v>43282</v>
      </c>
      <c r="E13351" t="s">
        <v>2179</v>
      </c>
      <c r="F13351">
        <v>6</v>
      </c>
      <c r="G13351" t="s">
        <v>57</v>
      </c>
      <c r="H13351" t="s">
        <v>45</v>
      </c>
      <c r="I13351" t="s">
        <v>2193</v>
      </c>
      <c r="J13351" s="10">
        <v>0</v>
      </c>
      <c r="K13351" t="b">
        <v>1</v>
      </c>
    </row>
    <row r="13352" spans="1:11">
      <c r="A13352" s="12">
        <v>43309</v>
      </c>
      <c r="B13352">
        <v>2018</v>
      </c>
      <c r="C13352">
        <v>7</v>
      </c>
      <c r="D13352" s="11">
        <v>43282</v>
      </c>
      <c r="E13352" t="s">
        <v>2179</v>
      </c>
      <c r="F13352">
        <v>6</v>
      </c>
      <c r="G13352" t="s">
        <v>57</v>
      </c>
      <c r="H13352" t="s">
        <v>46</v>
      </c>
      <c r="I13352" t="s">
        <v>2194</v>
      </c>
      <c r="J13352" s="10">
        <v>0</v>
      </c>
      <c r="K13352" t="b">
        <v>1</v>
      </c>
    </row>
    <row r="13353" spans="1:11">
      <c r="A13353" s="12">
        <v>43309</v>
      </c>
      <c r="B13353">
        <v>2018</v>
      </c>
      <c r="C13353">
        <v>7</v>
      </c>
      <c r="D13353" s="11">
        <v>43282</v>
      </c>
      <c r="E13353" t="s">
        <v>2179</v>
      </c>
      <c r="F13353">
        <v>6</v>
      </c>
      <c r="G13353" t="s">
        <v>57</v>
      </c>
      <c r="H13353" t="s">
        <v>47</v>
      </c>
      <c r="I13353" t="s">
        <v>2195</v>
      </c>
      <c r="J13353" s="10">
        <v>3</v>
      </c>
      <c r="K13353" t="b">
        <v>1</v>
      </c>
    </row>
    <row r="13354" spans="1:11">
      <c r="A13354" s="12">
        <v>43310</v>
      </c>
      <c r="B13354">
        <v>2018</v>
      </c>
      <c r="C13354">
        <v>7</v>
      </c>
      <c r="D13354" s="11">
        <v>43282</v>
      </c>
      <c r="E13354" t="s">
        <v>2179</v>
      </c>
      <c r="F13354">
        <v>7</v>
      </c>
      <c r="G13354" t="s">
        <v>59</v>
      </c>
      <c r="H13354" t="s">
        <v>40</v>
      </c>
      <c r="I13354" t="s">
        <v>2188</v>
      </c>
      <c r="J13354" s="10">
        <v>3.5</v>
      </c>
      <c r="K13354" t="b">
        <v>1</v>
      </c>
    </row>
    <row r="13355" spans="1:11">
      <c r="A13355" s="12">
        <v>43310</v>
      </c>
      <c r="B13355">
        <v>2018</v>
      </c>
      <c r="C13355">
        <v>7</v>
      </c>
      <c r="D13355" s="11">
        <v>43282</v>
      </c>
      <c r="E13355" t="s">
        <v>2179</v>
      </c>
      <c r="F13355">
        <v>7</v>
      </c>
      <c r="G13355" t="s">
        <v>59</v>
      </c>
      <c r="H13355" t="s">
        <v>41</v>
      </c>
      <c r="I13355" t="s">
        <v>2189</v>
      </c>
      <c r="J13355" s="10">
        <v>4.35</v>
      </c>
      <c r="K13355" t="b">
        <v>1</v>
      </c>
    </row>
    <row r="13356" spans="1:11">
      <c r="A13356" s="12">
        <v>43310</v>
      </c>
      <c r="B13356">
        <v>2018</v>
      </c>
      <c r="C13356">
        <v>7</v>
      </c>
      <c r="D13356" s="11">
        <v>43282</v>
      </c>
      <c r="E13356" t="s">
        <v>2179</v>
      </c>
      <c r="F13356">
        <v>7</v>
      </c>
      <c r="G13356" t="s">
        <v>59</v>
      </c>
      <c r="H13356" t="s">
        <v>42</v>
      </c>
      <c r="I13356" t="s">
        <v>2190</v>
      </c>
      <c r="J13356" s="10">
        <v>2.1</v>
      </c>
      <c r="K13356" t="b">
        <v>1</v>
      </c>
    </row>
    <row r="13357" spans="1:11">
      <c r="A13357" s="12">
        <v>43310</v>
      </c>
      <c r="B13357">
        <v>2018</v>
      </c>
      <c r="C13357">
        <v>7</v>
      </c>
      <c r="D13357" s="11">
        <v>43282</v>
      </c>
      <c r="E13357" t="s">
        <v>2179</v>
      </c>
      <c r="F13357">
        <v>7</v>
      </c>
      <c r="G13357" t="s">
        <v>59</v>
      </c>
      <c r="H13357" t="s">
        <v>43</v>
      </c>
      <c r="I13357" t="s">
        <v>2191</v>
      </c>
      <c r="J13357" s="10">
        <v>9</v>
      </c>
      <c r="K13357" t="b">
        <v>1</v>
      </c>
    </row>
    <row r="13358" spans="1:11">
      <c r="A13358" s="12">
        <v>43310</v>
      </c>
      <c r="B13358">
        <v>2018</v>
      </c>
      <c r="C13358">
        <v>7</v>
      </c>
      <c r="D13358" s="11">
        <v>43282</v>
      </c>
      <c r="E13358" t="s">
        <v>2179</v>
      </c>
      <c r="F13358">
        <v>7</v>
      </c>
      <c r="G13358" t="s">
        <v>59</v>
      </c>
      <c r="H13358" t="s">
        <v>44</v>
      </c>
      <c r="I13358" t="s">
        <v>2192</v>
      </c>
      <c r="J13358" s="10">
        <v>7</v>
      </c>
      <c r="K13358" t="b">
        <v>1</v>
      </c>
    </row>
    <row r="13359" spans="1:11">
      <c r="A13359" s="12">
        <v>43310</v>
      </c>
      <c r="B13359">
        <v>2018</v>
      </c>
      <c r="C13359">
        <v>7</v>
      </c>
      <c r="D13359" s="11">
        <v>43282</v>
      </c>
      <c r="E13359" t="s">
        <v>2179</v>
      </c>
      <c r="F13359">
        <v>7</v>
      </c>
      <c r="G13359" t="s">
        <v>59</v>
      </c>
      <c r="H13359" t="s">
        <v>45</v>
      </c>
      <c r="I13359" t="s">
        <v>2193</v>
      </c>
      <c r="J13359" s="10">
        <v>1</v>
      </c>
      <c r="K13359" t="b">
        <v>1</v>
      </c>
    </row>
    <row r="13360" spans="1:11">
      <c r="A13360" s="12">
        <v>43310</v>
      </c>
      <c r="B13360">
        <v>2018</v>
      </c>
      <c r="C13360">
        <v>7</v>
      </c>
      <c r="D13360" s="11">
        <v>43282</v>
      </c>
      <c r="E13360" t="s">
        <v>2179</v>
      </c>
      <c r="F13360">
        <v>7</v>
      </c>
      <c r="G13360" t="s">
        <v>59</v>
      </c>
      <c r="H13360" t="s">
        <v>46</v>
      </c>
      <c r="I13360" t="s">
        <v>2194</v>
      </c>
      <c r="J13360" s="10">
        <v>0</v>
      </c>
      <c r="K13360" t="b">
        <v>1</v>
      </c>
    </row>
    <row r="13361" spans="1:11">
      <c r="A13361" s="12">
        <v>43310</v>
      </c>
      <c r="B13361">
        <v>2018</v>
      </c>
      <c r="C13361">
        <v>7</v>
      </c>
      <c r="D13361" s="11">
        <v>43282</v>
      </c>
      <c r="E13361" t="s">
        <v>2179</v>
      </c>
      <c r="F13361">
        <v>7</v>
      </c>
      <c r="G13361" t="s">
        <v>59</v>
      </c>
      <c r="H13361" t="s">
        <v>47</v>
      </c>
      <c r="I13361" t="s">
        <v>2195</v>
      </c>
      <c r="J13361" s="10">
        <v>3</v>
      </c>
      <c r="K13361" t="b">
        <v>1</v>
      </c>
    </row>
    <row r="13362" spans="1:11">
      <c r="A13362" s="12">
        <v>43311</v>
      </c>
      <c r="B13362">
        <v>2018</v>
      </c>
      <c r="C13362">
        <v>7</v>
      </c>
      <c r="D13362" s="11">
        <v>43282</v>
      </c>
      <c r="E13362" t="s">
        <v>2179</v>
      </c>
      <c r="F13362">
        <v>1</v>
      </c>
      <c r="G13362" t="s">
        <v>61</v>
      </c>
      <c r="H13362" t="s">
        <v>40</v>
      </c>
      <c r="I13362" t="s">
        <v>2188</v>
      </c>
      <c r="J13362" s="10">
        <v>3</v>
      </c>
      <c r="K13362" t="b">
        <v>1</v>
      </c>
    </row>
    <row r="13363" spans="1:11">
      <c r="A13363" s="12">
        <v>43311</v>
      </c>
      <c r="B13363">
        <v>2018</v>
      </c>
      <c r="C13363">
        <v>7</v>
      </c>
      <c r="D13363" s="11">
        <v>43282</v>
      </c>
      <c r="E13363" t="s">
        <v>2179</v>
      </c>
      <c r="F13363">
        <v>1</v>
      </c>
      <c r="G13363" t="s">
        <v>61</v>
      </c>
      <c r="H13363" t="s">
        <v>41</v>
      </c>
      <c r="I13363" t="s">
        <v>2189</v>
      </c>
      <c r="J13363" s="10">
        <v>6.33</v>
      </c>
      <c r="K13363" t="b">
        <v>1</v>
      </c>
    </row>
    <row r="13364" spans="1:11">
      <c r="A13364" s="12">
        <v>43311</v>
      </c>
      <c r="B13364">
        <v>2018</v>
      </c>
      <c r="C13364">
        <v>7</v>
      </c>
      <c r="D13364" s="11">
        <v>43282</v>
      </c>
      <c r="E13364" t="s">
        <v>2179</v>
      </c>
      <c r="F13364">
        <v>1</v>
      </c>
      <c r="G13364" t="s">
        <v>61</v>
      </c>
      <c r="H13364" t="s">
        <v>42</v>
      </c>
      <c r="I13364" t="s">
        <v>2190</v>
      </c>
      <c r="J13364" s="10">
        <v>5.3</v>
      </c>
      <c r="K13364" t="b">
        <v>1</v>
      </c>
    </row>
    <row r="13365" spans="1:11">
      <c r="A13365" s="12">
        <v>43311</v>
      </c>
      <c r="B13365">
        <v>2018</v>
      </c>
      <c r="C13365">
        <v>7</v>
      </c>
      <c r="D13365" s="11">
        <v>43282</v>
      </c>
      <c r="E13365" t="s">
        <v>2179</v>
      </c>
      <c r="F13365">
        <v>1</v>
      </c>
      <c r="G13365" t="s">
        <v>61</v>
      </c>
      <c r="H13365" t="s">
        <v>43</v>
      </c>
      <c r="I13365" t="s">
        <v>2191</v>
      </c>
      <c r="J13365" s="10">
        <v>26</v>
      </c>
      <c r="K13365" t="b">
        <v>1</v>
      </c>
    </row>
    <row r="13366" spans="1:11">
      <c r="A13366" s="12">
        <v>43311</v>
      </c>
      <c r="B13366">
        <v>2018</v>
      </c>
      <c r="C13366">
        <v>7</v>
      </c>
      <c r="D13366" s="11">
        <v>43282</v>
      </c>
      <c r="E13366" t="s">
        <v>2179</v>
      </c>
      <c r="F13366">
        <v>1</v>
      </c>
      <c r="G13366" t="s">
        <v>61</v>
      </c>
      <c r="H13366" t="s">
        <v>44</v>
      </c>
      <c r="I13366" t="s">
        <v>2192</v>
      </c>
      <c r="J13366" s="10">
        <v>9</v>
      </c>
      <c r="K13366" t="b">
        <v>1</v>
      </c>
    </row>
    <row r="13367" spans="1:11">
      <c r="A13367" s="12">
        <v>43311</v>
      </c>
      <c r="B13367">
        <v>2018</v>
      </c>
      <c r="C13367">
        <v>7</v>
      </c>
      <c r="D13367" s="11">
        <v>43282</v>
      </c>
      <c r="E13367" t="s">
        <v>2179</v>
      </c>
      <c r="F13367">
        <v>1</v>
      </c>
      <c r="G13367" t="s">
        <v>61</v>
      </c>
      <c r="H13367" t="s">
        <v>45</v>
      </c>
      <c r="I13367" t="s">
        <v>2193</v>
      </c>
      <c r="J13367" s="10">
        <v>2</v>
      </c>
      <c r="K13367" t="b">
        <v>1</v>
      </c>
    </row>
    <row r="13368" spans="1:11">
      <c r="A13368" s="12">
        <v>43311</v>
      </c>
      <c r="B13368">
        <v>2018</v>
      </c>
      <c r="C13368">
        <v>7</v>
      </c>
      <c r="D13368" s="11">
        <v>43282</v>
      </c>
      <c r="E13368" t="s">
        <v>2179</v>
      </c>
      <c r="F13368">
        <v>1</v>
      </c>
      <c r="G13368" t="s">
        <v>61</v>
      </c>
      <c r="H13368" t="s">
        <v>46</v>
      </c>
      <c r="I13368" t="s">
        <v>2194</v>
      </c>
      <c r="J13368" s="10">
        <v>0</v>
      </c>
      <c r="K13368" t="b">
        <v>1</v>
      </c>
    </row>
    <row r="13369" spans="1:11">
      <c r="A13369" s="12">
        <v>43311</v>
      </c>
      <c r="B13369">
        <v>2018</v>
      </c>
      <c r="C13369">
        <v>7</v>
      </c>
      <c r="D13369" s="11">
        <v>43282</v>
      </c>
      <c r="E13369" t="s">
        <v>2179</v>
      </c>
      <c r="F13369">
        <v>1</v>
      </c>
      <c r="G13369" t="s">
        <v>61</v>
      </c>
      <c r="H13369" t="s">
        <v>47</v>
      </c>
      <c r="I13369" t="s">
        <v>2195</v>
      </c>
      <c r="J13369" s="10">
        <v>4</v>
      </c>
      <c r="K13369" t="b">
        <v>1</v>
      </c>
    </row>
    <row r="13370" spans="1:11">
      <c r="A13370" s="12">
        <v>43312</v>
      </c>
      <c r="B13370">
        <v>2018</v>
      </c>
      <c r="C13370">
        <v>7</v>
      </c>
      <c r="D13370" s="11">
        <v>43282</v>
      </c>
      <c r="E13370" t="s">
        <v>2179</v>
      </c>
      <c r="F13370">
        <v>2</v>
      </c>
      <c r="G13370" t="s">
        <v>63</v>
      </c>
      <c r="H13370" t="s">
        <v>40</v>
      </c>
      <c r="I13370" t="s">
        <v>2188</v>
      </c>
      <c r="J13370" s="10">
        <v>7.33</v>
      </c>
      <c r="K13370" t="b">
        <v>1</v>
      </c>
    </row>
    <row r="13371" spans="1:11">
      <c r="A13371" s="12">
        <v>43312</v>
      </c>
      <c r="B13371">
        <v>2018</v>
      </c>
      <c r="C13371">
        <v>7</v>
      </c>
      <c r="D13371" s="11">
        <v>43282</v>
      </c>
      <c r="E13371" t="s">
        <v>2179</v>
      </c>
      <c r="F13371">
        <v>2</v>
      </c>
      <c r="G13371" t="s">
        <v>63</v>
      </c>
      <c r="H13371" t="s">
        <v>41</v>
      </c>
      <c r="I13371" t="s">
        <v>2189</v>
      </c>
      <c r="J13371" s="10">
        <v>3.736</v>
      </c>
      <c r="K13371" t="b">
        <v>1</v>
      </c>
    </row>
    <row r="13372" spans="1:11">
      <c r="A13372" s="12">
        <v>43312</v>
      </c>
      <c r="B13372">
        <v>2018</v>
      </c>
      <c r="C13372">
        <v>7</v>
      </c>
      <c r="D13372" s="11">
        <v>43282</v>
      </c>
      <c r="E13372" t="s">
        <v>2179</v>
      </c>
      <c r="F13372">
        <v>2</v>
      </c>
      <c r="G13372" t="s">
        <v>63</v>
      </c>
      <c r="H13372" t="s">
        <v>42</v>
      </c>
      <c r="I13372" t="s">
        <v>2190</v>
      </c>
      <c r="J13372" s="10">
        <v>3</v>
      </c>
      <c r="K13372" t="b">
        <v>1</v>
      </c>
    </row>
    <row r="13373" spans="1:11">
      <c r="A13373" s="12">
        <v>43312</v>
      </c>
      <c r="B13373">
        <v>2018</v>
      </c>
      <c r="C13373">
        <v>7</v>
      </c>
      <c r="D13373" s="11">
        <v>43282</v>
      </c>
      <c r="E13373" t="s">
        <v>2179</v>
      </c>
      <c r="F13373">
        <v>2</v>
      </c>
      <c r="G13373" t="s">
        <v>63</v>
      </c>
      <c r="H13373" t="s">
        <v>43</v>
      </c>
      <c r="I13373" t="s">
        <v>2191</v>
      </c>
      <c r="J13373" s="10">
        <v>13</v>
      </c>
      <c r="K13373" t="b">
        <v>1</v>
      </c>
    </row>
    <row r="13374" spans="1:11">
      <c r="A13374" s="12">
        <v>43312</v>
      </c>
      <c r="B13374">
        <v>2018</v>
      </c>
      <c r="C13374">
        <v>7</v>
      </c>
      <c r="D13374" s="11">
        <v>43282</v>
      </c>
      <c r="E13374" t="s">
        <v>2179</v>
      </c>
      <c r="F13374">
        <v>2</v>
      </c>
      <c r="G13374" t="s">
        <v>63</v>
      </c>
      <c r="H13374" t="s">
        <v>44</v>
      </c>
      <c r="I13374" t="s">
        <v>2192</v>
      </c>
      <c r="J13374" s="10">
        <v>5</v>
      </c>
      <c r="K13374" t="b">
        <v>1</v>
      </c>
    </row>
    <row r="13375" spans="1:11">
      <c r="A13375" s="12">
        <v>43312</v>
      </c>
      <c r="B13375">
        <v>2018</v>
      </c>
      <c r="C13375">
        <v>7</v>
      </c>
      <c r="D13375" s="11">
        <v>43282</v>
      </c>
      <c r="E13375" t="s">
        <v>2179</v>
      </c>
      <c r="F13375">
        <v>2</v>
      </c>
      <c r="G13375" t="s">
        <v>63</v>
      </c>
      <c r="H13375" t="s">
        <v>45</v>
      </c>
      <c r="I13375" t="s">
        <v>2193</v>
      </c>
      <c r="J13375" s="10">
        <v>0</v>
      </c>
      <c r="K13375" t="b">
        <v>1</v>
      </c>
    </row>
    <row r="13376" spans="1:11">
      <c r="A13376" s="12">
        <v>43312</v>
      </c>
      <c r="B13376">
        <v>2018</v>
      </c>
      <c r="C13376">
        <v>7</v>
      </c>
      <c r="D13376" s="11">
        <v>43282</v>
      </c>
      <c r="E13376" t="s">
        <v>2179</v>
      </c>
      <c r="F13376">
        <v>2</v>
      </c>
      <c r="G13376" t="s">
        <v>63</v>
      </c>
      <c r="H13376" t="s">
        <v>46</v>
      </c>
      <c r="I13376" t="s">
        <v>2194</v>
      </c>
      <c r="J13376" s="10">
        <v>0</v>
      </c>
      <c r="K13376" t="b">
        <v>1</v>
      </c>
    </row>
    <row r="13377" spans="1:11">
      <c r="A13377" s="12">
        <v>43312</v>
      </c>
      <c r="B13377">
        <v>2018</v>
      </c>
      <c r="C13377">
        <v>7</v>
      </c>
      <c r="D13377" s="11">
        <v>43282</v>
      </c>
      <c r="E13377" t="s">
        <v>2179</v>
      </c>
      <c r="F13377">
        <v>2</v>
      </c>
      <c r="G13377" t="s">
        <v>63</v>
      </c>
      <c r="H13377" t="s">
        <v>47</v>
      </c>
      <c r="I13377" t="s">
        <v>2195</v>
      </c>
      <c r="J13377" s="10">
        <v>3</v>
      </c>
      <c r="K13377" t="b">
        <v>1</v>
      </c>
    </row>
    <row r="13378" spans="1:11">
      <c r="A13378" s="12">
        <v>43313</v>
      </c>
      <c r="B13378">
        <v>2018</v>
      </c>
      <c r="C13378">
        <v>8</v>
      </c>
      <c r="D13378" s="11">
        <v>43313</v>
      </c>
      <c r="E13378" t="s">
        <v>2180</v>
      </c>
      <c r="F13378">
        <v>3</v>
      </c>
      <c r="G13378" t="s">
        <v>65</v>
      </c>
      <c r="H13378" t="s">
        <v>40</v>
      </c>
      <c r="I13378" t="s">
        <v>2188</v>
      </c>
      <c r="J13378" s="10">
        <v>1</v>
      </c>
      <c r="K13378" t="b">
        <v>1</v>
      </c>
    </row>
    <row r="13379" spans="1:11">
      <c r="A13379" s="12">
        <v>43313</v>
      </c>
      <c r="B13379">
        <v>2018</v>
      </c>
      <c r="C13379">
        <v>8</v>
      </c>
      <c r="D13379" s="11">
        <v>43313</v>
      </c>
      <c r="E13379" t="s">
        <v>2180</v>
      </c>
      <c r="F13379">
        <v>3</v>
      </c>
      <c r="G13379" t="s">
        <v>65</v>
      </c>
      <c r="H13379" t="s">
        <v>41</v>
      </c>
      <c r="I13379" t="s">
        <v>2189</v>
      </c>
      <c r="J13379" s="10">
        <v>2.34</v>
      </c>
      <c r="K13379" t="b">
        <v>1</v>
      </c>
    </row>
    <row r="13380" spans="1:11">
      <c r="A13380" s="12">
        <v>43313</v>
      </c>
      <c r="B13380">
        <v>2018</v>
      </c>
      <c r="C13380">
        <v>8</v>
      </c>
      <c r="D13380" s="11">
        <v>43313</v>
      </c>
      <c r="E13380" t="s">
        <v>2180</v>
      </c>
      <c r="F13380">
        <v>3</v>
      </c>
      <c r="G13380" t="s">
        <v>65</v>
      </c>
      <c r="H13380" t="s">
        <v>42</v>
      </c>
      <c r="I13380" t="s">
        <v>2190</v>
      </c>
      <c r="J13380" s="10">
        <v>1</v>
      </c>
      <c r="K13380" t="b">
        <v>1</v>
      </c>
    </row>
    <row r="13381" spans="1:11">
      <c r="A13381" s="12">
        <v>43313</v>
      </c>
      <c r="B13381">
        <v>2018</v>
      </c>
      <c r="C13381">
        <v>8</v>
      </c>
      <c r="D13381" s="11">
        <v>43313</v>
      </c>
      <c r="E13381" t="s">
        <v>2180</v>
      </c>
      <c r="F13381">
        <v>3</v>
      </c>
      <c r="G13381" t="s">
        <v>65</v>
      </c>
      <c r="H13381" t="s">
        <v>43</v>
      </c>
      <c r="I13381" t="s">
        <v>2191</v>
      </c>
      <c r="J13381" s="10">
        <v>14</v>
      </c>
      <c r="K13381" t="b">
        <v>1</v>
      </c>
    </row>
    <row r="13382" spans="1:11">
      <c r="A13382" s="12">
        <v>43313</v>
      </c>
      <c r="B13382">
        <v>2018</v>
      </c>
      <c r="C13382">
        <v>8</v>
      </c>
      <c r="D13382" s="11">
        <v>43313</v>
      </c>
      <c r="E13382" t="s">
        <v>2180</v>
      </c>
      <c r="F13382">
        <v>3</v>
      </c>
      <c r="G13382" t="s">
        <v>65</v>
      </c>
      <c r="H13382" t="s">
        <v>44</v>
      </c>
      <c r="I13382" t="s">
        <v>2192</v>
      </c>
      <c r="J13382" s="10">
        <v>9</v>
      </c>
      <c r="K13382" t="b">
        <v>1</v>
      </c>
    </row>
    <row r="13383" spans="1:11">
      <c r="A13383" s="12">
        <v>43313</v>
      </c>
      <c r="B13383">
        <v>2018</v>
      </c>
      <c r="C13383">
        <v>8</v>
      </c>
      <c r="D13383" s="11">
        <v>43313</v>
      </c>
      <c r="E13383" t="s">
        <v>2180</v>
      </c>
      <c r="F13383">
        <v>3</v>
      </c>
      <c r="G13383" t="s">
        <v>65</v>
      </c>
      <c r="H13383" t="s">
        <v>45</v>
      </c>
      <c r="I13383" t="s">
        <v>2193</v>
      </c>
      <c r="J13383" s="10">
        <v>1</v>
      </c>
      <c r="K13383" t="b">
        <v>1</v>
      </c>
    </row>
    <row r="13384" spans="1:11">
      <c r="A13384" s="12">
        <v>43313</v>
      </c>
      <c r="B13384">
        <v>2018</v>
      </c>
      <c r="C13384">
        <v>8</v>
      </c>
      <c r="D13384" s="11">
        <v>43313</v>
      </c>
      <c r="E13384" t="s">
        <v>2180</v>
      </c>
      <c r="F13384">
        <v>3</v>
      </c>
      <c r="G13384" t="s">
        <v>65</v>
      </c>
      <c r="H13384" t="s">
        <v>46</v>
      </c>
      <c r="I13384" t="s">
        <v>2194</v>
      </c>
      <c r="J13384" s="10">
        <v>1</v>
      </c>
      <c r="K13384" t="b">
        <v>1</v>
      </c>
    </row>
    <row r="13385" spans="1:11">
      <c r="A13385" s="12">
        <v>43313</v>
      </c>
      <c r="B13385">
        <v>2018</v>
      </c>
      <c r="C13385">
        <v>8</v>
      </c>
      <c r="D13385" s="11">
        <v>43313</v>
      </c>
      <c r="E13385" t="s">
        <v>2180</v>
      </c>
      <c r="F13385">
        <v>3</v>
      </c>
      <c r="G13385" t="s">
        <v>65</v>
      </c>
      <c r="H13385" t="s">
        <v>47</v>
      </c>
      <c r="I13385" t="s">
        <v>2195</v>
      </c>
      <c r="J13385" s="10">
        <v>7</v>
      </c>
      <c r="K13385" t="b">
        <v>1</v>
      </c>
    </row>
    <row r="13386" spans="1:11">
      <c r="A13386" s="12">
        <v>43314</v>
      </c>
      <c r="B13386">
        <v>2018</v>
      </c>
      <c r="C13386">
        <v>8</v>
      </c>
      <c r="D13386" s="11">
        <v>43313</v>
      </c>
      <c r="E13386" t="s">
        <v>2180</v>
      </c>
      <c r="F13386">
        <v>4</v>
      </c>
      <c r="G13386" t="s">
        <v>53</v>
      </c>
      <c r="H13386" t="s">
        <v>40</v>
      </c>
      <c r="I13386" t="s">
        <v>2188</v>
      </c>
      <c r="J13386" s="10">
        <v>0</v>
      </c>
      <c r="K13386" t="b">
        <v>1</v>
      </c>
    </row>
    <row r="13387" spans="1:11">
      <c r="A13387" s="12">
        <v>43314</v>
      </c>
      <c r="B13387">
        <v>2018</v>
      </c>
      <c r="C13387">
        <v>8</v>
      </c>
      <c r="D13387" s="11">
        <v>43313</v>
      </c>
      <c r="E13387" t="s">
        <v>2180</v>
      </c>
      <c r="F13387">
        <v>4</v>
      </c>
      <c r="G13387" t="s">
        <v>53</v>
      </c>
      <c r="H13387" t="s">
        <v>41</v>
      </c>
      <c r="I13387" t="s">
        <v>2189</v>
      </c>
      <c r="J13387" s="10">
        <v>1</v>
      </c>
      <c r="K13387" t="b">
        <v>1</v>
      </c>
    </row>
    <row r="13388" spans="1:11">
      <c r="A13388" s="12">
        <v>43314</v>
      </c>
      <c r="B13388">
        <v>2018</v>
      </c>
      <c r="C13388">
        <v>8</v>
      </c>
      <c r="D13388" s="11">
        <v>43313</v>
      </c>
      <c r="E13388" t="s">
        <v>2180</v>
      </c>
      <c r="F13388">
        <v>4</v>
      </c>
      <c r="G13388" t="s">
        <v>53</v>
      </c>
      <c r="H13388" t="s">
        <v>42</v>
      </c>
      <c r="I13388" t="s">
        <v>2190</v>
      </c>
      <c r="J13388" s="10">
        <v>0</v>
      </c>
      <c r="K13388" t="b">
        <v>1</v>
      </c>
    </row>
    <row r="13389" spans="1:11">
      <c r="A13389" s="12">
        <v>43314</v>
      </c>
      <c r="B13389">
        <v>2018</v>
      </c>
      <c r="C13389">
        <v>8</v>
      </c>
      <c r="D13389" s="11">
        <v>43313</v>
      </c>
      <c r="E13389" t="s">
        <v>2180</v>
      </c>
      <c r="F13389">
        <v>4</v>
      </c>
      <c r="G13389" t="s">
        <v>53</v>
      </c>
      <c r="H13389" t="s">
        <v>43</v>
      </c>
      <c r="I13389" t="s">
        <v>2191</v>
      </c>
      <c r="J13389" s="10">
        <v>11</v>
      </c>
      <c r="K13389" t="b">
        <v>1</v>
      </c>
    </row>
    <row r="13390" spans="1:11">
      <c r="A13390" s="12">
        <v>43314</v>
      </c>
      <c r="B13390">
        <v>2018</v>
      </c>
      <c r="C13390">
        <v>8</v>
      </c>
      <c r="D13390" s="11">
        <v>43313</v>
      </c>
      <c r="E13390" t="s">
        <v>2180</v>
      </c>
      <c r="F13390">
        <v>4</v>
      </c>
      <c r="G13390" t="s">
        <v>53</v>
      </c>
      <c r="H13390" t="s">
        <v>44</v>
      </c>
      <c r="I13390" t="s">
        <v>2192</v>
      </c>
      <c r="J13390" s="10">
        <v>11</v>
      </c>
      <c r="K13390" t="b">
        <v>1</v>
      </c>
    </row>
    <row r="13391" spans="1:11">
      <c r="A13391" s="12">
        <v>43314</v>
      </c>
      <c r="B13391">
        <v>2018</v>
      </c>
      <c r="C13391">
        <v>8</v>
      </c>
      <c r="D13391" s="11">
        <v>43313</v>
      </c>
      <c r="E13391" t="s">
        <v>2180</v>
      </c>
      <c r="F13391">
        <v>4</v>
      </c>
      <c r="G13391" t="s">
        <v>53</v>
      </c>
      <c r="H13391" t="s">
        <v>45</v>
      </c>
      <c r="I13391" t="s">
        <v>2193</v>
      </c>
      <c r="J13391" s="10">
        <v>0</v>
      </c>
      <c r="K13391" t="b">
        <v>1</v>
      </c>
    </row>
    <row r="13392" spans="1:11">
      <c r="A13392" s="12">
        <v>43314</v>
      </c>
      <c r="B13392">
        <v>2018</v>
      </c>
      <c r="C13392">
        <v>8</v>
      </c>
      <c r="D13392" s="11">
        <v>43313</v>
      </c>
      <c r="E13392" t="s">
        <v>2180</v>
      </c>
      <c r="F13392">
        <v>4</v>
      </c>
      <c r="G13392" t="s">
        <v>53</v>
      </c>
      <c r="H13392" t="s">
        <v>46</v>
      </c>
      <c r="I13392" t="s">
        <v>2194</v>
      </c>
      <c r="J13392" s="10">
        <v>2</v>
      </c>
      <c r="K13392" t="b">
        <v>1</v>
      </c>
    </row>
    <row r="13393" spans="1:11">
      <c r="A13393" s="12">
        <v>43314</v>
      </c>
      <c r="B13393">
        <v>2018</v>
      </c>
      <c r="C13393">
        <v>8</v>
      </c>
      <c r="D13393" s="11">
        <v>43313</v>
      </c>
      <c r="E13393" t="s">
        <v>2180</v>
      </c>
      <c r="F13393">
        <v>4</v>
      </c>
      <c r="G13393" t="s">
        <v>53</v>
      </c>
      <c r="H13393" t="s">
        <v>47</v>
      </c>
      <c r="I13393" t="s">
        <v>2195</v>
      </c>
      <c r="J13393" s="10">
        <v>5</v>
      </c>
      <c r="K13393" t="b">
        <v>1</v>
      </c>
    </row>
    <row r="13394" spans="1:11">
      <c r="A13394" s="12">
        <v>43315</v>
      </c>
      <c r="B13394">
        <v>2018</v>
      </c>
      <c r="C13394">
        <v>8</v>
      </c>
      <c r="D13394" s="11">
        <v>43313</v>
      </c>
      <c r="E13394" t="s">
        <v>2180</v>
      </c>
      <c r="F13394">
        <v>5</v>
      </c>
      <c r="G13394" t="s">
        <v>55</v>
      </c>
      <c r="H13394" t="s">
        <v>40</v>
      </c>
      <c r="I13394" t="s">
        <v>2188</v>
      </c>
      <c r="J13394" s="10">
        <v>4.01</v>
      </c>
      <c r="K13394" t="b">
        <v>1</v>
      </c>
    </row>
    <row r="13395" spans="1:11">
      <c r="A13395" s="12">
        <v>43315</v>
      </c>
      <c r="B13395">
        <v>2018</v>
      </c>
      <c r="C13395">
        <v>8</v>
      </c>
      <c r="D13395" s="11">
        <v>43313</v>
      </c>
      <c r="E13395" t="s">
        <v>2180</v>
      </c>
      <c r="F13395">
        <v>5</v>
      </c>
      <c r="G13395" t="s">
        <v>55</v>
      </c>
      <c r="H13395" t="s">
        <v>41</v>
      </c>
      <c r="I13395" t="s">
        <v>2189</v>
      </c>
      <c r="J13395" s="10">
        <v>2.67</v>
      </c>
      <c r="K13395" t="b">
        <v>1</v>
      </c>
    </row>
    <row r="13396" spans="1:11">
      <c r="A13396" s="12">
        <v>43315</v>
      </c>
      <c r="B13396">
        <v>2018</v>
      </c>
      <c r="C13396">
        <v>8</v>
      </c>
      <c r="D13396" s="11">
        <v>43313</v>
      </c>
      <c r="E13396" t="s">
        <v>2180</v>
      </c>
      <c r="F13396">
        <v>5</v>
      </c>
      <c r="G13396" t="s">
        <v>55</v>
      </c>
      <c r="H13396" t="s">
        <v>42</v>
      </c>
      <c r="I13396" t="s">
        <v>2190</v>
      </c>
      <c r="J13396" s="10">
        <v>2</v>
      </c>
      <c r="K13396" t="b">
        <v>1</v>
      </c>
    </row>
    <row r="13397" spans="1:11">
      <c r="A13397" s="12">
        <v>43315</v>
      </c>
      <c r="B13397">
        <v>2018</v>
      </c>
      <c r="C13397">
        <v>8</v>
      </c>
      <c r="D13397" s="11">
        <v>43313</v>
      </c>
      <c r="E13397" t="s">
        <v>2180</v>
      </c>
      <c r="F13397">
        <v>5</v>
      </c>
      <c r="G13397" t="s">
        <v>55</v>
      </c>
      <c r="H13397" t="s">
        <v>43</v>
      </c>
      <c r="I13397" t="s">
        <v>2191</v>
      </c>
      <c r="J13397" s="10">
        <v>21</v>
      </c>
      <c r="K13397" t="b">
        <v>1</v>
      </c>
    </row>
    <row r="13398" spans="1:11">
      <c r="A13398" s="12">
        <v>43315</v>
      </c>
      <c r="B13398">
        <v>2018</v>
      </c>
      <c r="C13398">
        <v>8</v>
      </c>
      <c r="D13398" s="11">
        <v>43313</v>
      </c>
      <c r="E13398" t="s">
        <v>2180</v>
      </c>
      <c r="F13398">
        <v>5</v>
      </c>
      <c r="G13398" t="s">
        <v>55</v>
      </c>
      <c r="H13398" t="s">
        <v>44</v>
      </c>
      <c r="I13398" t="s">
        <v>2192</v>
      </c>
      <c r="J13398" s="10">
        <v>9</v>
      </c>
      <c r="K13398" t="b">
        <v>1</v>
      </c>
    </row>
    <row r="13399" spans="1:11">
      <c r="A13399" s="12">
        <v>43315</v>
      </c>
      <c r="B13399">
        <v>2018</v>
      </c>
      <c r="C13399">
        <v>8</v>
      </c>
      <c r="D13399" s="11">
        <v>43313</v>
      </c>
      <c r="E13399" t="s">
        <v>2180</v>
      </c>
      <c r="F13399">
        <v>5</v>
      </c>
      <c r="G13399" t="s">
        <v>55</v>
      </c>
      <c r="H13399" t="s">
        <v>45</v>
      </c>
      <c r="I13399" t="s">
        <v>2193</v>
      </c>
      <c r="J13399" s="10">
        <v>0</v>
      </c>
      <c r="K13399" t="b">
        <v>1</v>
      </c>
    </row>
    <row r="13400" spans="1:11">
      <c r="A13400" s="12">
        <v>43315</v>
      </c>
      <c r="B13400">
        <v>2018</v>
      </c>
      <c r="C13400">
        <v>8</v>
      </c>
      <c r="D13400" s="11">
        <v>43313</v>
      </c>
      <c r="E13400" t="s">
        <v>2180</v>
      </c>
      <c r="F13400">
        <v>5</v>
      </c>
      <c r="G13400" t="s">
        <v>55</v>
      </c>
      <c r="H13400" t="s">
        <v>46</v>
      </c>
      <c r="I13400" t="s">
        <v>2194</v>
      </c>
      <c r="J13400" s="10">
        <v>0</v>
      </c>
      <c r="K13400" t="b">
        <v>1</v>
      </c>
    </row>
    <row r="13401" spans="1:11">
      <c r="A13401" s="12">
        <v>43315</v>
      </c>
      <c r="B13401">
        <v>2018</v>
      </c>
      <c r="C13401">
        <v>8</v>
      </c>
      <c r="D13401" s="11">
        <v>43313</v>
      </c>
      <c r="E13401" t="s">
        <v>2180</v>
      </c>
      <c r="F13401">
        <v>5</v>
      </c>
      <c r="G13401" t="s">
        <v>55</v>
      </c>
      <c r="H13401" t="s">
        <v>47</v>
      </c>
      <c r="I13401" t="s">
        <v>2195</v>
      </c>
      <c r="J13401" s="10">
        <v>1</v>
      </c>
      <c r="K13401" t="b">
        <v>1</v>
      </c>
    </row>
    <row r="13402" spans="1:11">
      <c r="A13402" s="12">
        <v>43316</v>
      </c>
      <c r="B13402">
        <v>2018</v>
      </c>
      <c r="C13402">
        <v>8</v>
      </c>
      <c r="D13402" s="11">
        <v>43313</v>
      </c>
      <c r="E13402" t="s">
        <v>2180</v>
      </c>
      <c r="F13402">
        <v>6</v>
      </c>
      <c r="G13402" t="s">
        <v>57</v>
      </c>
      <c r="H13402" t="s">
        <v>40</v>
      </c>
      <c r="I13402" t="s">
        <v>2188</v>
      </c>
      <c r="J13402" s="10">
        <v>5</v>
      </c>
      <c r="K13402" t="b">
        <v>1</v>
      </c>
    </row>
    <row r="13403" spans="1:11">
      <c r="A13403" s="12">
        <v>43316</v>
      </c>
      <c r="B13403">
        <v>2018</v>
      </c>
      <c r="C13403">
        <v>8</v>
      </c>
      <c r="D13403" s="11">
        <v>43313</v>
      </c>
      <c r="E13403" t="s">
        <v>2180</v>
      </c>
      <c r="F13403">
        <v>6</v>
      </c>
      <c r="G13403" t="s">
        <v>57</v>
      </c>
      <c r="H13403" t="s">
        <v>41</v>
      </c>
      <c r="I13403" t="s">
        <v>2189</v>
      </c>
      <c r="J13403" s="10">
        <v>3.87</v>
      </c>
      <c r="K13403" t="b">
        <v>1</v>
      </c>
    </row>
    <row r="13404" spans="1:11">
      <c r="A13404" s="12">
        <v>43316</v>
      </c>
      <c r="B13404">
        <v>2018</v>
      </c>
      <c r="C13404">
        <v>8</v>
      </c>
      <c r="D13404" s="11">
        <v>43313</v>
      </c>
      <c r="E13404" t="s">
        <v>2180</v>
      </c>
      <c r="F13404">
        <v>6</v>
      </c>
      <c r="G13404" t="s">
        <v>57</v>
      </c>
      <c r="H13404" t="s">
        <v>42</v>
      </c>
      <c r="I13404" t="s">
        <v>2190</v>
      </c>
      <c r="J13404" s="10">
        <v>2</v>
      </c>
      <c r="K13404" t="b">
        <v>1</v>
      </c>
    </row>
    <row r="13405" spans="1:11">
      <c r="A13405" s="12">
        <v>43316</v>
      </c>
      <c r="B13405">
        <v>2018</v>
      </c>
      <c r="C13405">
        <v>8</v>
      </c>
      <c r="D13405" s="11">
        <v>43313</v>
      </c>
      <c r="E13405" t="s">
        <v>2180</v>
      </c>
      <c r="F13405">
        <v>6</v>
      </c>
      <c r="G13405" t="s">
        <v>57</v>
      </c>
      <c r="H13405" t="s">
        <v>43</v>
      </c>
      <c r="I13405" t="s">
        <v>2191</v>
      </c>
      <c r="J13405" s="10">
        <v>8</v>
      </c>
      <c r="K13405" t="b">
        <v>1</v>
      </c>
    </row>
    <row r="13406" spans="1:11">
      <c r="A13406" s="12">
        <v>43316</v>
      </c>
      <c r="B13406">
        <v>2018</v>
      </c>
      <c r="C13406">
        <v>8</v>
      </c>
      <c r="D13406" s="11">
        <v>43313</v>
      </c>
      <c r="E13406" t="s">
        <v>2180</v>
      </c>
      <c r="F13406">
        <v>6</v>
      </c>
      <c r="G13406" t="s">
        <v>57</v>
      </c>
      <c r="H13406" t="s">
        <v>44</v>
      </c>
      <c r="I13406" t="s">
        <v>2192</v>
      </c>
      <c r="J13406" s="10">
        <v>11</v>
      </c>
      <c r="K13406" t="b">
        <v>1</v>
      </c>
    </row>
    <row r="13407" spans="1:11">
      <c r="A13407" s="12">
        <v>43316</v>
      </c>
      <c r="B13407">
        <v>2018</v>
      </c>
      <c r="C13407">
        <v>8</v>
      </c>
      <c r="D13407" s="11">
        <v>43313</v>
      </c>
      <c r="E13407" t="s">
        <v>2180</v>
      </c>
      <c r="F13407">
        <v>6</v>
      </c>
      <c r="G13407" t="s">
        <v>57</v>
      </c>
      <c r="H13407" t="s">
        <v>45</v>
      </c>
      <c r="I13407" t="s">
        <v>2193</v>
      </c>
      <c r="J13407" s="10">
        <v>3</v>
      </c>
      <c r="K13407" t="b">
        <v>1</v>
      </c>
    </row>
    <row r="13408" spans="1:11">
      <c r="A13408" s="12">
        <v>43316</v>
      </c>
      <c r="B13408">
        <v>2018</v>
      </c>
      <c r="C13408">
        <v>8</v>
      </c>
      <c r="D13408" s="11">
        <v>43313</v>
      </c>
      <c r="E13408" t="s">
        <v>2180</v>
      </c>
      <c r="F13408">
        <v>6</v>
      </c>
      <c r="G13408" t="s">
        <v>57</v>
      </c>
      <c r="H13408" t="s">
        <v>46</v>
      </c>
      <c r="I13408" t="s">
        <v>2194</v>
      </c>
      <c r="J13408" s="10">
        <v>0</v>
      </c>
      <c r="K13408" t="b">
        <v>1</v>
      </c>
    </row>
    <row r="13409" spans="1:11">
      <c r="A13409" s="12">
        <v>43316</v>
      </c>
      <c r="B13409">
        <v>2018</v>
      </c>
      <c r="C13409">
        <v>8</v>
      </c>
      <c r="D13409" s="11">
        <v>43313</v>
      </c>
      <c r="E13409" t="s">
        <v>2180</v>
      </c>
      <c r="F13409">
        <v>6</v>
      </c>
      <c r="G13409" t="s">
        <v>57</v>
      </c>
      <c r="H13409" t="s">
        <v>47</v>
      </c>
      <c r="I13409" t="s">
        <v>2195</v>
      </c>
      <c r="J13409" s="10">
        <v>8</v>
      </c>
      <c r="K13409" t="b">
        <v>1</v>
      </c>
    </row>
    <row r="13410" spans="1:11">
      <c r="A13410" s="12">
        <v>43317</v>
      </c>
      <c r="B13410">
        <v>2018</v>
      </c>
      <c r="C13410">
        <v>8</v>
      </c>
      <c r="D13410" s="11">
        <v>43313</v>
      </c>
      <c r="E13410" t="s">
        <v>2180</v>
      </c>
      <c r="F13410">
        <v>7</v>
      </c>
      <c r="G13410" t="s">
        <v>59</v>
      </c>
      <c r="H13410" t="s">
        <v>40</v>
      </c>
      <c r="I13410" t="s">
        <v>2188</v>
      </c>
      <c r="J13410" s="10">
        <v>6</v>
      </c>
      <c r="K13410" t="b">
        <v>1</v>
      </c>
    </row>
    <row r="13411" spans="1:11">
      <c r="A13411" s="12">
        <v>43317</v>
      </c>
      <c r="B13411">
        <v>2018</v>
      </c>
      <c r="C13411">
        <v>8</v>
      </c>
      <c r="D13411" s="11">
        <v>43313</v>
      </c>
      <c r="E13411" t="s">
        <v>2180</v>
      </c>
      <c r="F13411">
        <v>7</v>
      </c>
      <c r="G13411" t="s">
        <v>59</v>
      </c>
      <c r="H13411" t="s">
        <v>41</v>
      </c>
      <c r="I13411" t="s">
        <v>2189</v>
      </c>
      <c r="J13411" s="10">
        <v>0.99</v>
      </c>
      <c r="K13411" t="b">
        <v>1</v>
      </c>
    </row>
    <row r="13412" spans="1:11">
      <c r="A13412" s="12">
        <v>43317</v>
      </c>
      <c r="B13412">
        <v>2018</v>
      </c>
      <c r="C13412">
        <v>8</v>
      </c>
      <c r="D13412" s="11">
        <v>43313</v>
      </c>
      <c r="E13412" t="s">
        <v>2180</v>
      </c>
      <c r="F13412">
        <v>7</v>
      </c>
      <c r="G13412" t="s">
        <v>59</v>
      </c>
      <c r="H13412" t="s">
        <v>42</v>
      </c>
      <c r="I13412" t="s">
        <v>2190</v>
      </c>
      <c r="J13412" s="10">
        <v>5</v>
      </c>
      <c r="K13412" t="b">
        <v>1</v>
      </c>
    </row>
    <row r="13413" spans="1:11">
      <c r="A13413" s="12">
        <v>43317</v>
      </c>
      <c r="B13413">
        <v>2018</v>
      </c>
      <c r="C13413">
        <v>8</v>
      </c>
      <c r="D13413" s="11">
        <v>43313</v>
      </c>
      <c r="E13413" t="s">
        <v>2180</v>
      </c>
      <c r="F13413">
        <v>7</v>
      </c>
      <c r="G13413" t="s">
        <v>59</v>
      </c>
      <c r="H13413" t="s">
        <v>43</v>
      </c>
      <c r="I13413" t="s">
        <v>2191</v>
      </c>
      <c r="J13413" s="10">
        <v>13</v>
      </c>
      <c r="K13413" t="b">
        <v>1</v>
      </c>
    </row>
    <row r="13414" spans="1:11">
      <c r="A13414" s="12">
        <v>43317</v>
      </c>
      <c r="B13414">
        <v>2018</v>
      </c>
      <c r="C13414">
        <v>8</v>
      </c>
      <c r="D13414" s="11">
        <v>43313</v>
      </c>
      <c r="E13414" t="s">
        <v>2180</v>
      </c>
      <c r="F13414">
        <v>7</v>
      </c>
      <c r="G13414" t="s">
        <v>59</v>
      </c>
      <c r="H13414" t="s">
        <v>44</v>
      </c>
      <c r="I13414" t="s">
        <v>2192</v>
      </c>
      <c r="J13414" s="10">
        <v>4</v>
      </c>
      <c r="K13414" t="b">
        <v>1</v>
      </c>
    </row>
    <row r="13415" spans="1:11">
      <c r="A13415" s="12">
        <v>43317</v>
      </c>
      <c r="B13415">
        <v>2018</v>
      </c>
      <c r="C13415">
        <v>8</v>
      </c>
      <c r="D13415" s="11">
        <v>43313</v>
      </c>
      <c r="E13415" t="s">
        <v>2180</v>
      </c>
      <c r="F13415">
        <v>7</v>
      </c>
      <c r="G13415" t="s">
        <v>59</v>
      </c>
      <c r="H13415" t="s">
        <v>45</v>
      </c>
      <c r="I13415" t="s">
        <v>2193</v>
      </c>
      <c r="J13415" s="10">
        <v>2</v>
      </c>
      <c r="K13415" t="b">
        <v>1</v>
      </c>
    </row>
    <row r="13416" spans="1:11">
      <c r="A13416" s="12">
        <v>43317</v>
      </c>
      <c r="B13416">
        <v>2018</v>
      </c>
      <c r="C13416">
        <v>8</v>
      </c>
      <c r="D13416" s="11">
        <v>43313</v>
      </c>
      <c r="E13416" t="s">
        <v>2180</v>
      </c>
      <c r="F13416">
        <v>7</v>
      </c>
      <c r="G13416" t="s">
        <v>59</v>
      </c>
      <c r="H13416" t="s">
        <v>46</v>
      </c>
      <c r="I13416" t="s">
        <v>2194</v>
      </c>
      <c r="J13416" s="10">
        <v>6</v>
      </c>
      <c r="K13416" t="b">
        <v>1</v>
      </c>
    </row>
    <row r="13417" spans="1:11">
      <c r="A13417" s="12">
        <v>43317</v>
      </c>
      <c r="B13417">
        <v>2018</v>
      </c>
      <c r="C13417">
        <v>8</v>
      </c>
      <c r="D13417" s="11">
        <v>43313</v>
      </c>
      <c r="E13417" t="s">
        <v>2180</v>
      </c>
      <c r="F13417">
        <v>7</v>
      </c>
      <c r="G13417" t="s">
        <v>59</v>
      </c>
      <c r="H13417" t="s">
        <v>47</v>
      </c>
      <c r="I13417" t="s">
        <v>2195</v>
      </c>
      <c r="J13417" s="10">
        <v>1.3</v>
      </c>
      <c r="K13417" t="b">
        <v>1</v>
      </c>
    </row>
    <row r="13418" spans="1:11">
      <c r="A13418" s="12">
        <v>43318</v>
      </c>
      <c r="B13418">
        <v>2018</v>
      </c>
      <c r="C13418">
        <v>8</v>
      </c>
      <c r="D13418" s="11">
        <v>43313</v>
      </c>
      <c r="E13418" t="s">
        <v>2180</v>
      </c>
      <c r="F13418">
        <v>1</v>
      </c>
      <c r="G13418" t="s">
        <v>61</v>
      </c>
      <c r="H13418" t="s">
        <v>40</v>
      </c>
      <c r="I13418" t="s">
        <v>2188</v>
      </c>
      <c r="J13418" s="10">
        <v>8.33</v>
      </c>
      <c r="K13418" t="b">
        <v>1</v>
      </c>
    </row>
    <row r="13419" spans="1:11">
      <c r="A13419" s="12">
        <v>43318</v>
      </c>
      <c r="B13419">
        <v>2018</v>
      </c>
      <c r="C13419">
        <v>8</v>
      </c>
      <c r="D13419" s="11">
        <v>43313</v>
      </c>
      <c r="E13419" t="s">
        <v>2180</v>
      </c>
      <c r="F13419">
        <v>1</v>
      </c>
      <c r="G13419" t="s">
        <v>61</v>
      </c>
      <c r="H13419" t="s">
        <v>41</v>
      </c>
      <c r="I13419" t="s">
        <v>2189</v>
      </c>
      <c r="J13419" s="10">
        <v>6.165</v>
      </c>
      <c r="K13419" t="b">
        <v>1</v>
      </c>
    </row>
    <row r="13420" spans="1:11">
      <c r="A13420" s="12">
        <v>43318</v>
      </c>
      <c r="B13420">
        <v>2018</v>
      </c>
      <c r="C13420">
        <v>8</v>
      </c>
      <c r="D13420" s="11">
        <v>43313</v>
      </c>
      <c r="E13420" t="s">
        <v>2180</v>
      </c>
      <c r="F13420">
        <v>1</v>
      </c>
      <c r="G13420" t="s">
        <v>61</v>
      </c>
      <c r="H13420" t="s">
        <v>42</v>
      </c>
      <c r="I13420" t="s">
        <v>2190</v>
      </c>
      <c r="J13420" s="10">
        <v>2</v>
      </c>
      <c r="K13420" t="b">
        <v>1</v>
      </c>
    </row>
    <row r="13421" spans="1:11">
      <c r="A13421" s="12">
        <v>43318</v>
      </c>
      <c r="B13421">
        <v>2018</v>
      </c>
      <c r="C13421">
        <v>8</v>
      </c>
      <c r="D13421" s="11">
        <v>43313</v>
      </c>
      <c r="E13421" t="s">
        <v>2180</v>
      </c>
      <c r="F13421">
        <v>1</v>
      </c>
      <c r="G13421" t="s">
        <v>61</v>
      </c>
      <c r="H13421" t="s">
        <v>43</v>
      </c>
      <c r="I13421" t="s">
        <v>2191</v>
      </c>
      <c r="J13421" s="10">
        <v>21.388</v>
      </c>
      <c r="K13421" t="b">
        <v>1</v>
      </c>
    </row>
    <row r="13422" spans="1:11">
      <c r="A13422" s="12">
        <v>43318</v>
      </c>
      <c r="B13422">
        <v>2018</v>
      </c>
      <c r="C13422">
        <v>8</v>
      </c>
      <c r="D13422" s="11">
        <v>43313</v>
      </c>
      <c r="E13422" t="s">
        <v>2180</v>
      </c>
      <c r="F13422">
        <v>1</v>
      </c>
      <c r="G13422" t="s">
        <v>61</v>
      </c>
      <c r="H13422" t="s">
        <v>44</v>
      </c>
      <c r="I13422" t="s">
        <v>2192</v>
      </c>
      <c r="J13422" s="10">
        <v>7</v>
      </c>
      <c r="K13422" t="b">
        <v>1</v>
      </c>
    </row>
    <row r="13423" spans="1:11">
      <c r="A13423" s="12">
        <v>43318</v>
      </c>
      <c r="B13423">
        <v>2018</v>
      </c>
      <c r="C13423">
        <v>8</v>
      </c>
      <c r="D13423" s="11">
        <v>43313</v>
      </c>
      <c r="E13423" t="s">
        <v>2180</v>
      </c>
      <c r="F13423">
        <v>1</v>
      </c>
      <c r="G13423" t="s">
        <v>61</v>
      </c>
      <c r="H13423" t="s">
        <v>45</v>
      </c>
      <c r="I13423" t="s">
        <v>2193</v>
      </c>
      <c r="J13423" s="10">
        <v>0</v>
      </c>
      <c r="K13423" t="b">
        <v>1</v>
      </c>
    </row>
    <row r="13424" spans="1:11">
      <c r="A13424" s="12">
        <v>43318</v>
      </c>
      <c r="B13424">
        <v>2018</v>
      </c>
      <c r="C13424">
        <v>8</v>
      </c>
      <c r="D13424" s="11">
        <v>43313</v>
      </c>
      <c r="E13424" t="s">
        <v>2180</v>
      </c>
      <c r="F13424">
        <v>1</v>
      </c>
      <c r="G13424" t="s">
        <v>61</v>
      </c>
      <c r="H13424" t="s">
        <v>46</v>
      </c>
      <c r="I13424" t="s">
        <v>2194</v>
      </c>
      <c r="J13424" s="10">
        <v>6</v>
      </c>
      <c r="K13424" t="b">
        <v>1</v>
      </c>
    </row>
    <row r="13425" spans="1:11">
      <c r="A13425" s="12">
        <v>43318</v>
      </c>
      <c r="B13425">
        <v>2018</v>
      </c>
      <c r="C13425">
        <v>8</v>
      </c>
      <c r="D13425" s="11">
        <v>43313</v>
      </c>
      <c r="E13425" t="s">
        <v>2180</v>
      </c>
      <c r="F13425">
        <v>1</v>
      </c>
      <c r="G13425" t="s">
        <v>61</v>
      </c>
      <c r="H13425" t="s">
        <v>47</v>
      </c>
      <c r="I13425" t="s">
        <v>2195</v>
      </c>
      <c r="J13425" s="10">
        <v>2</v>
      </c>
      <c r="K13425" t="b">
        <v>1</v>
      </c>
    </row>
    <row r="13426" spans="1:11">
      <c r="A13426" s="12">
        <v>43319</v>
      </c>
      <c r="B13426">
        <v>2018</v>
      </c>
      <c r="C13426">
        <v>8</v>
      </c>
      <c r="D13426" s="11">
        <v>43313</v>
      </c>
      <c r="E13426" t="s">
        <v>2180</v>
      </c>
      <c r="F13426">
        <v>2</v>
      </c>
      <c r="G13426" t="s">
        <v>63</v>
      </c>
      <c r="H13426" t="s">
        <v>40</v>
      </c>
      <c r="I13426" t="s">
        <v>2188</v>
      </c>
      <c r="J13426" s="10">
        <v>2.33</v>
      </c>
      <c r="K13426" t="b">
        <v>1</v>
      </c>
    </row>
    <row r="13427" spans="1:11">
      <c r="A13427" s="12">
        <v>43319</v>
      </c>
      <c r="B13427">
        <v>2018</v>
      </c>
      <c r="C13427">
        <v>8</v>
      </c>
      <c r="D13427" s="11">
        <v>43313</v>
      </c>
      <c r="E13427" t="s">
        <v>2180</v>
      </c>
      <c r="F13427">
        <v>2</v>
      </c>
      <c r="G13427" t="s">
        <v>63</v>
      </c>
      <c r="H13427" t="s">
        <v>41</v>
      </c>
      <c r="I13427" t="s">
        <v>2189</v>
      </c>
      <c r="J13427" s="10">
        <v>2.67</v>
      </c>
      <c r="K13427" t="b">
        <v>1</v>
      </c>
    </row>
    <row r="13428" spans="1:11">
      <c r="A13428" s="12">
        <v>43319</v>
      </c>
      <c r="B13428">
        <v>2018</v>
      </c>
      <c r="C13428">
        <v>8</v>
      </c>
      <c r="D13428" s="11">
        <v>43313</v>
      </c>
      <c r="E13428" t="s">
        <v>2180</v>
      </c>
      <c r="F13428">
        <v>2</v>
      </c>
      <c r="G13428" t="s">
        <v>63</v>
      </c>
      <c r="H13428" t="s">
        <v>42</v>
      </c>
      <c r="I13428" t="s">
        <v>2190</v>
      </c>
      <c r="J13428" s="10">
        <v>8</v>
      </c>
      <c r="K13428" t="b">
        <v>1</v>
      </c>
    </row>
    <row r="13429" spans="1:11">
      <c r="A13429" s="12">
        <v>43319</v>
      </c>
      <c r="B13429">
        <v>2018</v>
      </c>
      <c r="C13429">
        <v>8</v>
      </c>
      <c r="D13429" s="11">
        <v>43313</v>
      </c>
      <c r="E13429" t="s">
        <v>2180</v>
      </c>
      <c r="F13429">
        <v>2</v>
      </c>
      <c r="G13429" t="s">
        <v>63</v>
      </c>
      <c r="H13429" t="s">
        <v>43</v>
      </c>
      <c r="I13429" t="s">
        <v>2191</v>
      </c>
      <c r="J13429" s="10">
        <v>15</v>
      </c>
      <c r="K13429" t="b">
        <v>1</v>
      </c>
    </row>
    <row r="13430" spans="1:11">
      <c r="A13430" s="12">
        <v>43319</v>
      </c>
      <c r="B13430">
        <v>2018</v>
      </c>
      <c r="C13430">
        <v>8</v>
      </c>
      <c r="D13430" s="11">
        <v>43313</v>
      </c>
      <c r="E13430" t="s">
        <v>2180</v>
      </c>
      <c r="F13430">
        <v>2</v>
      </c>
      <c r="G13430" t="s">
        <v>63</v>
      </c>
      <c r="H13430" t="s">
        <v>44</v>
      </c>
      <c r="I13430" t="s">
        <v>2192</v>
      </c>
      <c r="J13430" s="10">
        <v>7</v>
      </c>
      <c r="K13430" t="b">
        <v>1</v>
      </c>
    </row>
    <row r="13431" spans="1:11">
      <c r="A13431" s="12">
        <v>43319</v>
      </c>
      <c r="B13431">
        <v>2018</v>
      </c>
      <c r="C13431">
        <v>8</v>
      </c>
      <c r="D13431" s="11">
        <v>43313</v>
      </c>
      <c r="E13431" t="s">
        <v>2180</v>
      </c>
      <c r="F13431">
        <v>2</v>
      </c>
      <c r="G13431" t="s">
        <v>63</v>
      </c>
      <c r="H13431" t="s">
        <v>45</v>
      </c>
      <c r="I13431" t="s">
        <v>2193</v>
      </c>
      <c r="J13431" s="10">
        <v>1</v>
      </c>
      <c r="K13431" t="b">
        <v>1</v>
      </c>
    </row>
    <row r="13432" spans="1:11">
      <c r="A13432" s="12">
        <v>43319</v>
      </c>
      <c r="B13432">
        <v>2018</v>
      </c>
      <c r="C13432">
        <v>8</v>
      </c>
      <c r="D13432" s="11">
        <v>43313</v>
      </c>
      <c r="E13432" t="s">
        <v>2180</v>
      </c>
      <c r="F13432">
        <v>2</v>
      </c>
      <c r="G13432" t="s">
        <v>63</v>
      </c>
      <c r="H13432" t="s">
        <v>46</v>
      </c>
      <c r="I13432" t="s">
        <v>2194</v>
      </c>
      <c r="J13432" s="10">
        <v>1</v>
      </c>
      <c r="K13432" t="b">
        <v>1</v>
      </c>
    </row>
    <row r="13433" spans="1:11">
      <c r="A13433" s="12">
        <v>43319</v>
      </c>
      <c r="B13433">
        <v>2018</v>
      </c>
      <c r="C13433">
        <v>8</v>
      </c>
      <c r="D13433" s="11">
        <v>43313</v>
      </c>
      <c r="E13433" t="s">
        <v>2180</v>
      </c>
      <c r="F13433">
        <v>2</v>
      </c>
      <c r="G13433" t="s">
        <v>63</v>
      </c>
      <c r="H13433" t="s">
        <v>47</v>
      </c>
      <c r="I13433" t="s">
        <v>2195</v>
      </c>
      <c r="J13433" s="10">
        <v>3</v>
      </c>
      <c r="K13433" t="b">
        <v>1</v>
      </c>
    </row>
    <row r="13434" spans="1:11">
      <c r="A13434" s="12">
        <v>43320</v>
      </c>
      <c r="B13434">
        <v>2018</v>
      </c>
      <c r="C13434">
        <v>8</v>
      </c>
      <c r="D13434" s="11">
        <v>43313</v>
      </c>
      <c r="E13434" t="s">
        <v>2180</v>
      </c>
      <c r="F13434">
        <v>3</v>
      </c>
      <c r="G13434" t="s">
        <v>65</v>
      </c>
      <c r="H13434" t="s">
        <v>40</v>
      </c>
      <c r="I13434" t="s">
        <v>2188</v>
      </c>
      <c r="J13434" s="10">
        <v>4.33</v>
      </c>
      <c r="K13434" t="b">
        <v>1</v>
      </c>
    </row>
    <row r="13435" spans="1:11">
      <c r="A13435" s="12">
        <v>43320</v>
      </c>
      <c r="B13435">
        <v>2018</v>
      </c>
      <c r="C13435">
        <v>8</v>
      </c>
      <c r="D13435" s="11">
        <v>43313</v>
      </c>
      <c r="E13435" t="s">
        <v>2180</v>
      </c>
      <c r="F13435">
        <v>3</v>
      </c>
      <c r="G13435" t="s">
        <v>65</v>
      </c>
      <c r="H13435" t="s">
        <v>41</v>
      </c>
      <c r="I13435" t="s">
        <v>2189</v>
      </c>
      <c r="J13435" s="10">
        <v>2.793</v>
      </c>
      <c r="K13435" t="b">
        <v>1</v>
      </c>
    </row>
    <row r="13436" spans="1:11">
      <c r="A13436" s="12">
        <v>43320</v>
      </c>
      <c r="B13436">
        <v>2018</v>
      </c>
      <c r="C13436">
        <v>8</v>
      </c>
      <c r="D13436" s="11">
        <v>43313</v>
      </c>
      <c r="E13436" t="s">
        <v>2180</v>
      </c>
      <c r="F13436">
        <v>3</v>
      </c>
      <c r="G13436" t="s">
        <v>65</v>
      </c>
      <c r="H13436" t="s">
        <v>42</v>
      </c>
      <c r="I13436" t="s">
        <v>2190</v>
      </c>
      <c r="J13436" s="10">
        <v>2</v>
      </c>
      <c r="K13436" t="b">
        <v>1</v>
      </c>
    </row>
    <row r="13437" spans="1:11">
      <c r="A13437" s="12">
        <v>43320</v>
      </c>
      <c r="B13437">
        <v>2018</v>
      </c>
      <c r="C13437">
        <v>8</v>
      </c>
      <c r="D13437" s="11">
        <v>43313</v>
      </c>
      <c r="E13437" t="s">
        <v>2180</v>
      </c>
      <c r="F13437">
        <v>3</v>
      </c>
      <c r="G13437" t="s">
        <v>65</v>
      </c>
      <c r="H13437" t="s">
        <v>43</v>
      </c>
      <c r="I13437" t="s">
        <v>2191</v>
      </c>
      <c r="J13437" s="10">
        <v>10</v>
      </c>
      <c r="K13437" t="b">
        <v>1</v>
      </c>
    </row>
    <row r="13438" spans="1:11">
      <c r="A13438" s="12">
        <v>43320</v>
      </c>
      <c r="B13438">
        <v>2018</v>
      </c>
      <c r="C13438">
        <v>8</v>
      </c>
      <c r="D13438" s="11">
        <v>43313</v>
      </c>
      <c r="E13438" t="s">
        <v>2180</v>
      </c>
      <c r="F13438">
        <v>3</v>
      </c>
      <c r="G13438" t="s">
        <v>65</v>
      </c>
      <c r="H13438" t="s">
        <v>44</v>
      </c>
      <c r="I13438" t="s">
        <v>2192</v>
      </c>
      <c r="J13438" s="10">
        <v>13</v>
      </c>
      <c r="K13438" t="b">
        <v>1</v>
      </c>
    </row>
    <row r="13439" spans="1:11">
      <c r="A13439" s="12">
        <v>43320</v>
      </c>
      <c r="B13439">
        <v>2018</v>
      </c>
      <c r="C13439">
        <v>8</v>
      </c>
      <c r="D13439" s="11">
        <v>43313</v>
      </c>
      <c r="E13439" t="s">
        <v>2180</v>
      </c>
      <c r="F13439">
        <v>3</v>
      </c>
      <c r="G13439" t="s">
        <v>65</v>
      </c>
      <c r="H13439" t="s">
        <v>45</v>
      </c>
      <c r="I13439" t="s">
        <v>2193</v>
      </c>
      <c r="J13439" s="10">
        <v>0</v>
      </c>
      <c r="K13439" t="b">
        <v>1</v>
      </c>
    </row>
    <row r="13440" spans="1:11">
      <c r="A13440" s="12">
        <v>43320</v>
      </c>
      <c r="B13440">
        <v>2018</v>
      </c>
      <c r="C13440">
        <v>8</v>
      </c>
      <c r="D13440" s="11">
        <v>43313</v>
      </c>
      <c r="E13440" t="s">
        <v>2180</v>
      </c>
      <c r="F13440">
        <v>3</v>
      </c>
      <c r="G13440" t="s">
        <v>65</v>
      </c>
      <c r="H13440" t="s">
        <v>46</v>
      </c>
      <c r="I13440" t="s">
        <v>2194</v>
      </c>
      <c r="J13440" s="10">
        <v>0</v>
      </c>
      <c r="K13440" t="b">
        <v>1</v>
      </c>
    </row>
    <row r="13441" spans="1:11">
      <c r="A13441" s="12">
        <v>43320</v>
      </c>
      <c r="B13441">
        <v>2018</v>
      </c>
      <c r="C13441">
        <v>8</v>
      </c>
      <c r="D13441" s="11">
        <v>43313</v>
      </c>
      <c r="E13441" t="s">
        <v>2180</v>
      </c>
      <c r="F13441">
        <v>3</v>
      </c>
      <c r="G13441" t="s">
        <v>65</v>
      </c>
      <c r="H13441" t="s">
        <v>47</v>
      </c>
      <c r="I13441" t="s">
        <v>2195</v>
      </c>
      <c r="J13441" s="10">
        <v>2</v>
      </c>
      <c r="K13441" t="b">
        <v>1</v>
      </c>
    </row>
    <row r="13442" spans="1:11">
      <c r="A13442" s="12">
        <v>43321</v>
      </c>
      <c r="B13442">
        <v>2018</v>
      </c>
      <c r="C13442">
        <v>8</v>
      </c>
      <c r="D13442" s="11">
        <v>43313</v>
      </c>
      <c r="E13442" t="s">
        <v>2180</v>
      </c>
      <c r="F13442">
        <v>4</v>
      </c>
      <c r="G13442" t="s">
        <v>53</v>
      </c>
      <c r="H13442" t="s">
        <v>40</v>
      </c>
      <c r="I13442" t="s">
        <v>2188</v>
      </c>
      <c r="J13442" s="10">
        <v>2.67</v>
      </c>
      <c r="K13442" t="b">
        <v>1</v>
      </c>
    </row>
    <row r="13443" spans="1:11">
      <c r="A13443" s="12">
        <v>43321</v>
      </c>
      <c r="B13443">
        <v>2018</v>
      </c>
      <c r="C13443">
        <v>8</v>
      </c>
      <c r="D13443" s="11">
        <v>43313</v>
      </c>
      <c r="E13443" t="s">
        <v>2180</v>
      </c>
      <c r="F13443">
        <v>4</v>
      </c>
      <c r="G13443" t="s">
        <v>53</v>
      </c>
      <c r="H13443" t="s">
        <v>41</v>
      </c>
      <c r="I13443" t="s">
        <v>2189</v>
      </c>
      <c r="J13443" s="10">
        <v>3.066</v>
      </c>
      <c r="K13443" t="b">
        <v>1</v>
      </c>
    </row>
    <row r="13444" spans="1:11">
      <c r="A13444" s="12">
        <v>43321</v>
      </c>
      <c r="B13444">
        <v>2018</v>
      </c>
      <c r="C13444">
        <v>8</v>
      </c>
      <c r="D13444" s="11">
        <v>43313</v>
      </c>
      <c r="E13444" t="s">
        <v>2180</v>
      </c>
      <c r="F13444">
        <v>4</v>
      </c>
      <c r="G13444" t="s">
        <v>53</v>
      </c>
      <c r="H13444" t="s">
        <v>42</v>
      </c>
      <c r="I13444" t="s">
        <v>2190</v>
      </c>
      <c r="J13444" s="10">
        <v>1</v>
      </c>
      <c r="K13444" t="b">
        <v>1</v>
      </c>
    </row>
    <row r="13445" spans="1:11">
      <c r="A13445" s="12">
        <v>43321</v>
      </c>
      <c r="B13445">
        <v>2018</v>
      </c>
      <c r="C13445">
        <v>8</v>
      </c>
      <c r="D13445" s="11">
        <v>43313</v>
      </c>
      <c r="E13445" t="s">
        <v>2180</v>
      </c>
      <c r="F13445">
        <v>4</v>
      </c>
      <c r="G13445" t="s">
        <v>53</v>
      </c>
      <c r="H13445" t="s">
        <v>43</v>
      </c>
      <c r="I13445" t="s">
        <v>2191</v>
      </c>
      <c r="J13445" s="10">
        <v>29.4</v>
      </c>
      <c r="K13445" t="b">
        <v>1</v>
      </c>
    </row>
    <row r="13446" spans="1:11">
      <c r="A13446" s="12">
        <v>43321</v>
      </c>
      <c r="B13446">
        <v>2018</v>
      </c>
      <c r="C13446">
        <v>8</v>
      </c>
      <c r="D13446" s="11">
        <v>43313</v>
      </c>
      <c r="E13446" t="s">
        <v>2180</v>
      </c>
      <c r="F13446">
        <v>4</v>
      </c>
      <c r="G13446" t="s">
        <v>53</v>
      </c>
      <c r="H13446" t="s">
        <v>44</v>
      </c>
      <c r="I13446" t="s">
        <v>2192</v>
      </c>
      <c r="J13446" s="10">
        <v>13</v>
      </c>
      <c r="K13446" t="b">
        <v>1</v>
      </c>
    </row>
    <row r="13447" spans="1:11">
      <c r="A13447" s="12">
        <v>43321</v>
      </c>
      <c r="B13447">
        <v>2018</v>
      </c>
      <c r="C13447">
        <v>8</v>
      </c>
      <c r="D13447" s="11">
        <v>43313</v>
      </c>
      <c r="E13447" t="s">
        <v>2180</v>
      </c>
      <c r="F13447">
        <v>4</v>
      </c>
      <c r="G13447" t="s">
        <v>53</v>
      </c>
      <c r="H13447" t="s">
        <v>45</v>
      </c>
      <c r="I13447" t="s">
        <v>2193</v>
      </c>
      <c r="J13447" s="10">
        <v>0</v>
      </c>
      <c r="K13447" t="b">
        <v>1</v>
      </c>
    </row>
    <row r="13448" spans="1:11">
      <c r="A13448" s="12">
        <v>43321</v>
      </c>
      <c r="B13448">
        <v>2018</v>
      </c>
      <c r="C13448">
        <v>8</v>
      </c>
      <c r="D13448" s="11">
        <v>43313</v>
      </c>
      <c r="E13448" t="s">
        <v>2180</v>
      </c>
      <c r="F13448">
        <v>4</v>
      </c>
      <c r="G13448" t="s">
        <v>53</v>
      </c>
      <c r="H13448" t="s">
        <v>46</v>
      </c>
      <c r="I13448" t="s">
        <v>2194</v>
      </c>
      <c r="J13448" s="10">
        <v>0</v>
      </c>
      <c r="K13448" t="b">
        <v>1</v>
      </c>
    </row>
    <row r="13449" spans="1:11">
      <c r="A13449" s="12">
        <v>43321</v>
      </c>
      <c r="B13449">
        <v>2018</v>
      </c>
      <c r="C13449">
        <v>8</v>
      </c>
      <c r="D13449" s="11">
        <v>43313</v>
      </c>
      <c r="E13449" t="s">
        <v>2180</v>
      </c>
      <c r="F13449">
        <v>4</v>
      </c>
      <c r="G13449" t="s">
        <v>53</v>
      </c>
      <c r="H13449" t="s">
        <v>47</v>
      </c>
      <c r="I13449" t="s">
        <v>2195</v>
      </c>
      <c r="J13449" s="10">
        <v>2</v>
      </c>
      <c r="K13449" t="b">
        <v>1</v>
      </c>
    </row>
    <row r="13450" spans="1:11">
      <c r="A13450" s="12">
        <v>43322</v>
      </c>
      <c r="B13450">
        <v>2018</v>
      </c>
      <c r="C13450">
        <v>8</v>
      </c>
      <c r="D13450" s="11">
        <v>43313</v>
      </c>
      <c r="E13450" t="s">
        <v>2180</v>
      </c>
      <c r="F13450">
        <v>5</v>
      </c>
      <c r="G13450" t="s">
        <v>55</v>
      </c>
      <c r="H13450" t="s">
        <v>40</v>
      </c>
      <c r="I13450" t="s">
        <v>2188</v>
      </c>
      <c r="J13450" s="10">
        <v>6</v>
      </c>
      <c r="K13450" t="b">
        <v>1</v>
      </c>
    </row>
    <row r="13451" spans="1:11">
      <c r="A13451" s="12">
        <v>43322</v>
      </c>
      <c r="B13451">
        <v>2018</v>
      </c>
      <c r="C13451">
        <v>8</v>
      </c>
      <c r="D13451" s="11">
        <v>43313</v>
      </c>
      <c r="E13451" t="s">
        <v>2180</v>
      </c>
      <c r="F13451">
        <v>5</v>
      </c>
      <c r="G13451" t="s">
        <v>55</v>
      </c>
      <c r="H13451" t="s">
        <v>41</v>
      </c>
      <c r="I13451" t="s">
        <v>2189</v>
      </c>
      <c r="J13451" s="10">
        <v>4</v>
      </c>
      <c r="K13451" t="b">
        <v>1</v>
      </c>
    </row>
    <row r="13452" spans="1:11">
      <c r="A13452" s="12">
        <v>43322</v>
      </c>
      <c r="B13452">
        <v>2018</v>
      </c>
      <c r="C13452">
        <v>8</v>
      </c>
      <c r="D13452" s="11">
        <v>43313</v>
      </c>
      <c r="E13452" t="s">
        <v>2180</v>
      </c>
      <c r="F13452">
        <v>5</v>
      </c>
      <c r="G13452" t="s">
        <v>55</v>
      </c>
      <c r="H13452" t="s">
        <v>42</v>
      </c>
      <c r="I13452" t="s">
        <v>2190</v>
      </c>
      <c r="J13452" s="10">
        <v>4</v>
      </c>
      <c r="K13452" t="b">
        <v>1</v>
      </c>
    </row>
    <row r="13453" spans="1:11">
      <c r="A13453" s="12">
        <v>43322</v>
      </c>
      <c r="B13453">
        <v>2018</v>
      </c>
      <c r="C13453">
        <v>8</v>
      </c>
      <c r="D13453" s="11">
        <v>43313</v>
      </c>
      <c r="E13453" t="s">
        <v>2180</v>
      </c>
      <c r="F13453">
        <v>5</v>
      </c>
      <c r="G13453" t="s">
        <v>55</v>
      </c>
      <c r="H13453" t="s">
        <v>43</v>
      </c>
      <c r="I13453" t="s">
        <v>2191</v>
      </c>
      <c r="J13453" s="10">
        <v>19</v>
      </c>
      <c r="K13453" t="b">
        <v>1</v>
      </c>
    </row>
    <row r="13454" spans="1:11">
      <c r="A13454" s="12">
        <v>43322</v>
      </c>
      <c r="B13454">
        <v>2018</v>
      </c>
      <c r="C13454">
        <v>8</v>
      </c>
      <c r="D13454" s="11">
        <v>43313</v>
      </c>
      <c r="E13454" t="s">
        <v>2180</v>
      </c>
      <c r="F13454">
        <v>5</v>
      </c>
      <c r="G13454" t="s">
        <v>55</v>
      </c>
      <c r="H13454" t="s">
        <v>44</v>
      </c>
      <c r="I13454" t="s">
        <v>2192</v>
      </c>
      <c r="J13454" s="10">
        <v>4</v>
      </c>
      <c r="K13454" t="b">
        <v>1</v>
      </c>
    </row>
    <row r="13455" spans="1:11">
      <c r="A13455" s="12">
        <v>43322</v>
      </c>
      <c r="B13455">
        <v>2018</v>
      </c>
      <c r="C13455">
        <v>8</v>
      </c>
      <c r="D13455" s="11">
        <v>43313</v>
      </c>
      <c r="E13455" t="s">
        <v>2180</v>
      </c>
      <c r="F13455">
        <v>5</v>
      </c>
      <c r="G13455" t="s">
        <v>55</v>
      </c>
      <c r="H13455" t="s">
        <v>45</v>
      </c>
      <c r="I13455" t="s">
        <v>2193</v>
      </c>
      <c r="J13455" s="10">
        <v>0</v>
      </c>
      <c r="K13455" t="b">
        <v>1</v>
      </c>
    </row>
    <row r="13456" spans="1:11">
      <c r="A13456" s="12">
        <v>43322</v>
      </c>
      <c r="B13456">
        <v>2018</v>
      </c>
      <c r="C13456">
        <v>8</v>
      </c>
      <c r="D13456" s="11">
        <v>43313</v>
      </c>
      <c r="E13456" t="s">
        <v>2180</v>
      </c>
      <c r="F13456">
        <v>5</v>
      </c>
      <c r="G13456" t="s">
        <v>55</v>
      </c>
      <c r="H13456" t="s">
        <v>46</v>
      </c>
      <c r="I13456" t="s">
        <v>2194</v>
      </c>
      <c r="J13456" s="10">
        <v>0</v>
      </c>
      <c r="K13456" t="b">
        <v>1</v>
      </c>
    </row>
    <row r="13457" spans="1:11">
      <c r="A13457" s="12">
        <v>43322</v>
      </c>
      <c r="B13457">
        <v>2018</v>
      </c>
      <c r="C13457">
        <v>8</v>
      </c>
      <c r="D13457" s="11">
        <v>43313</v>
      </c>
      <c r="E13457" t="s">
        <v>2180</v>
      </c>
      <c r="F13457">
        <v>5</v>
      </c>
      <c r="G13457" t="s">
        <v>55</v>
      </c>
      <c r="H13457" t="s">
        <v>47</v>
      </c>
      <c r="I13457" t="s">
        <v>2195</v>
      </c>
      <c r="J13457" s="10">
        <v>2</v>
      </c>
      <c r="K13457" t="b">
        <v>1</v>
      </c>
    </row>
    <row r="13458" spans="1:11">
      <c r="A13458" s="12">
        <v>43323</v>
      </c>
      <c r="B13458">
        <v>2018</v>
      </c>
      <c r="C13458">
        <v>8</v>
      </c>
      <c r="D13458" s="11">
        <v>43313</v>
      </c>
      <c r="E13458" t="s">
        <v>2180</v>
      </c>
      <c r="F13458">
        <v>6</v>
      </c>
      <c r="G13458" t="s">
        <v>57</v>
      </c>
      <c r="H13458" t="s">
        <v>40</v>
      </c>
      <c r="I13458" t="s">
        <v>2188</v>
      </c>
      <c r="J13458" s="10">
        <v>4</v>
      </c>
      <c r="K13458" t="b">
        <v>1</v>
      </c>
    </row>
    <row r="13459" spans="1:11">
      <c r="A13459" s="12">
        <v>43323</v>
      </c>
      <c r="B13459">
        <v>2018</v>
      </c>
      <c r="C13459">
        <v>8</v>
      </c>
      <c r="D13459" s="11">
        <v>43313</v>
      </c>
      <c r="E13459" t="s">
        <v>2180</v>
      </c>
      <c r="F13459">
        <v>6</v>
      </c>
      <c r="G13459" t="s">
        <v>57</v>
      </c>
      <c r="H13459" t="s">
        <v>41</v>
      </c>
      <c r="I13459" t="s">
        <v>2189</v>
      </c>
      <c r="J13459" s="10">
        <v>4.133</v>
      </c>
      <c r="K13459" t="b">
        <v>1</v>
      </c>
    </row>
    <row r="13460" spans="1:11">
      <c r="A13460" s="12">
        <v>43323</v>
      </c>
      <c r="B13460">
        <v>2018</v>
      </c>
      <c r="C13460">
        <v>8</v>
      </c>
      <c r="D13460" s="11">
        <v>43313</v>
      </c>
      <c r="E13460" t="s">
        <v>2180</v>
      </c>
      <c r="F13460">
        <v>6</v>
      </c>
      <c r="G13460" t="s">
        <v>57</v>
      </c>
      <c r="H13460" t="s">
        <v>42</v>
      </c>
      <c r="I13460" t="s">
        <v>2190</v>
      </c>
      <c r="J13460" s="10">
        <v>6</v>
      </c>
      <c r="K13460" t="b">
        <v>1</v>
      </c>
    </row>
    <row r="13461" spans="1:11">
      <c r="A13461" s="12">
        <v>43323</v>
      </c>
      <c r="B13461">
        <v>2018</v>
      </c>
      <c r="C13461">
        <v>8</v>
      </c>
      <c r="D13461" s="11">
        <v>43313</v>
      </c>
      <c r="E13461" t="s">
        <v>2180</v>
      </c>
      <c r="F13461">
        <v>6</v>
      </c>
      <c r="G13461" t="s">
        <v>57</v>
      </c>
      <c r="H13461" t="s">
        <v>43</v>
      </c>
      <c r="I13461" t="s">
        <v>2191</v>
      </c>
      <c r="J13461" s="10">
        <v>37</v>
      </c>
      <c r="K13461" t="b">
        <v>1</v>
      </c>
    </row>
    <row r="13462" spans="1:11">
      <c r="A13462" s="12">
        <v>43323</v>
      </c>
      <c r="B13462">
        <v>2018</v>
      </c>
      <c r="C13462">
        <v>8</v>
      </c>
      <c r="D13462" s="11">
        <v>43313</v>
      </c>
      <c r="E13462" t="s">
        <v>2180</v>
      </c>
      <c r="F13462">
        <v>6</v>
      </c>
      <c r="G13462" t="s">
        <v>57</v>
      </c>
      <c r="H13462" t="s">
        <v>44</v>
      </c>
      <c r="I13462" t="s">
        <v>2192</v>
      </c>
      <c r="J13462" s="10">
        <v>16</v>
      </c>
      <c r="K13462" t="b">
        <v>1</v>
      </c>
    </row>
    <row r="13463" spans="1:11">
      <c r="A13463" s="12">
        <v>43323</v>
      </c>
      <c r="B13463">
        <v>2018</v>
      </c>
      <c r="C13463">
        <v>8</v>
      </c>
      <c r="D13463" s="11">
        <v>43313</v>
      </c>
      <c r="E13463" t="s">
        <v>2180</v>
      </c>
      <c r="F13463">
        <v>6</v>
      </c>
      <c r="G13463" t="s">
        <v>57</v>
      </c>
      <c r="H13463" t="s">
        <v>45</v>
      </c>
      <c r="I13463" t="s">
        <v>2193</v>
      </c>
      <c r="J13463" s="10">
        <v>1</v>
      </c>
      <c r="K13463" t="b">
        <v>1</v>
      </c>
    </row>
    <row r="13464" spans="1:11">
      <c r="A13464" s="12">
        <v>43323</v>
      </c>
      <c r="B13464">
        <v>2018</v>
      </c>
      <c r="C13464">
        <v>8</v>
      </c>
      <c r="D13464" s="11">
        <v>43313</v>
      </c>
      <c r="E13464" t="s">
        <v>2180</v>
      </c>
      <c r="F13464">
        <v>6</v>
      </c>
      <c r="G13464" t="s">
        <v>57</v>
      </c>
      <c r="H13464" t="s">
        <v>46</v>
      </c>
      <c r="I13464" t="s">
        <v>2194</v>
      </c>
      <c r="J13464" s="10">
        <v>5</v>
      </c>
      <c r="K13464" t="b">
        <v>1</v>
      </c>
    </row>
    <row r="13465" spans="1:11">
      <c r="A13465" s="12">
        <v>43323</v>
      </c>
      <c r="B13465">
        <v>2018</v>
      </c>
      <c r="C13465">
        <v>8</v>
      </c>
      <c r="D13465" s="11">
        <v>43313</v>
      </c>
      <c r="E13465" t="s">
        <v>2180</v>
      </c>
      <c r="F13465">
        <v>6</v>
      </c>
      <c r="G13465" t="s">
        <v>57</v>
      </c>
      <c r="H13465" t="s">
        <v>47</v>
      </c>
      <c r="I13465" t="s">
        <v>2195</v>
      </c>
      <c r="J13465" s="10">
        <v>10</v>
      </c>
      <c r="K13465" t="b">
        <v>1</v>
      </c>
    </row>
    <row r="13466" spans="1:11">
      <c r="A13466" s="12">
        <v>43324</v>
      </c>
      <c r="B13466">
        <v>2018</v>
      </c>
      <c r="C13466">
        <v>8</v>
      </c>
      <c r="D13466" s="11">
        <v>43313</v>
      </c>
      <c r="E13466" t="s">
        <v>2180</v>
      </c>
      <c r="F13466">
        <v>7</v>
      </c>
      <c r="G13466" t="s">
        <v>59</v>
      </c>
      <c r="H13466" t="s">
        <v>40</v>
      </c>
      <c r="I13466" t="s">
        <v>2188</v>
      </c>
      <c r="J13466" s="10">
        <v>10.99</v>
      </c>
      <c r="K13466" t="b">
        <v>1</v>
      </c>
    </row>
    <row r="13467" spans="1:11">
      <c r="A13467" s="12">
        <v>43324</v>
      </c>
      <c r="B13467">
        <v>2018</v>
      </c>
      <c r="C13467">
        <v>8</v>
      </c>
      <c r="D13467" s="11">
        <v>43313</v>
      </c>
      <c r="E13467" t="s">
        <v>2180</v>
      </c>
      <c r="F13467">
        <v>7</v>
      </c>
      <c r="G13467" t="s">
        <v>59</v>
      </c>
      <c r="H13467" t="s">
        <v>41</v>
      </c>
      <c r="I13467" t="s">
        <v>2189</v>
      </c>
      <c r="J13467" s="10">
        <v>4.99</v>
      </c>
      <c r="K13467" t="b">
        <v>1</v>
      </c>
    </row>
    <row r="13468" spans="1:11">
      <c r="A13468" s="12">
        <v>43324</v>
      </c>
      <c r="B13468">
        <v>2018</v>
      </c>
      <c r="C13468">
        <v>8</v>
      </c>
      <c r="D13468" s="11">
        <v>43313</v>
      </c>
      <c r="E13468" t="s">
        <v>2180</v>
      </c>
      <c r="F13468">
        <v>7</v>
      </c>
      <c r="G13468" t="s">
        <v>59</v>
      </c>
      <c r="H13468" t="s">
        <v>42</v>
      </c>
      <c r="I13468" t="s">
        <v>2190</v>
      </c>
      <c r="J13468" s="10">
        <v>6</v>
      </c>
      <c r="K13468" t="b">
        <v>1</v>
      </c>
    </row>
    <row r="13469" spans="1:11">
      <c r="A13469" s="12">
        <v>43324</v>
      </c>
      <c r="B13469">
        <v>2018</v>
      </c>
      <c r="C13469">
        <v>8</v>
      </c>
      <c r="D13469" s="11">
        <v>43313</v>
      </c>
      <c r="E13469" t="s">
        <v>2180</v>
      </c>
      <c r="F13469">
        <v>7</v>
      </c>
      <c r="G13469" t="s">
        <v>59</v>
      </c>
      <c r="H13469" t="s">
        <v>43</v>
      </c>
      <c r="I13469" t="s">
        <v>2191</v>
      </c>
      <c r="J13469" s="10">
        <v>16</v>
      </c>
      <c r="K13469" t="b">
        <v>1</v>
      </c>
    </row>
    <row r="13470" spans="1:11">
      <c r="A13470" s="12">
        <v>43324</v>
      </c>
      <c r="B13470">
        <v>2018</v>
      </c>
      <c r="C13470">
        <v>8</v>
      </c>
      <c r="D13470" s="11">
        <v>43313</v>
      </c>
      <c r="E13470" t="s">
        <v>2180</v>
      </c>
      <c r="F13470">
        <v>7</v>
      </c>
      <c r="G13470" t="s">
        <v>59</v>
      </c>
      <c r="H13470" t="s">
        <v>44</v>
      </c>
      <c r="I13470" t="s">
        <v>2192</v>
      </c>
      <c r="J13470" s="10">
        <v>6</v>
      </c>
      <c r="K13470" t="b">
        <v>1</v>
      </c>
    </row>
    <row r="13471" spans="1:11">
      <c r="A13471" s="12">
        <v>43324</v>
      </c>
      <c r="B13471">
        <v>2018</v>
      </c>
      <c r="C13471">
        <v>8</v>
      </c>
      <c r="D13471" s="11">
        <v>43313</v>
      </c>
      <c r="E13471" t="s">
        <v>2180</v>
      </c>
      <c r="F13471">
        <v>7</v>
      </c>
      <c r="G13471" t="s">
        <v>59</v>
      </c>
      <c r="H13471" t="s">
        <v>45</v>
      </c>
      <c r="I13471" t="s">
        <v>2193</v>
      </c>
      <c r="J13471" s="10">
        <v>0</v>
      </c>
      <c r="K13471" t="b">
        <v>1</v>
      </c>
    </row>
    <row r="13472" spans="1:11">
      <c r="A13472" s="12">
        <v>43324</v>
      </c>
      <c r="B13472">
        <v>2018</v>
      </c>
      <c r="C13472">
        <v>8</v>
      </c>
      <c r="D13472" s="11">
        <v>43313</v>
      </c>
      <c r="E13472" t="s">
        <v>2180</v>
      </c>
      <c r="F13472">
        <v>7</v>
      </c>
      <c r="G13472" t="s">
        <v>59</v>
      </c>
      <c r="H13472" t="s">
        <v>46</v>
      </c>
      <c r="I13472" t="s">
        <v>2194</v>
      </c>
      <c r="J13472" s="10">
        <v>1</v>
      </c>
      <c r="K13472" t="b">
        <v>1</v>
      </c>
    </row>
    <row r="13473" spans="1:11">
      <c r="A13473" s="12">
        <v>43324</v>
      </c>
      <c r="B13473">
        <v>2018</v>
      </c>
      <c r="C13473">
        <v>8</v>
      </c>
      <c r="D13473" s="11">
        <v>43313</v>
      </c>
      <c r="E13473" t="s">
        <v>2180</v>
      </c>
      <c r="F13473">
        <v>7</v>
      </c>
      <c r="G13473" t="s">
        <v>59</v>
      </c>
      <c r="H13473" t="s">
        <v>47</v>
      </c>
      <c r="I13473" t="s">
        <v>2195</v>
      </c>
      <c r="J13473" s="10">
        <v>2</v>
      </c>
      <c r="K13473" t="b">
        <v>1</v>
      </c>
    </row>
    <row r="13474" spans="1:11">
      <c r="A13474" s="12">
        <v>43325</v>
      </c>
      <c r="B13474">
        <v>2018</v>
      </c>
      <c r="C13474">
        <v>8</v>
      </c>
      <c r="D13474" s="11">
        <v>43313</v>
      </c>
      <c r="E13474" t="s">
        <v>2180</v>
      </c>
      <c r="F13474">
        <v>1</v>
      </c>
      <c r="G13474" t="s">
        <v>61</v>
      </c>
      <c r="H13474" t="s">
        <v>40</v>
      </c>
      <c r="I13474" t="s">
        <v>2188</v>
      </c>
      <c r="J13474" s="10">
        <v>3.33</v>
      </c>
      <c r="K13474" t="b">
        <v>1</v>
      </c>
    </row>
    <row r="13475" spans="1:11">
      <c r="A13475" s="12">
        <v>43325</v>
      </c>
      <c r="B13475">
        <v>2018</v>
      </c>
      <c r="C13475">
        <v>8</v>
      </c>
      <c r="D13475" s="11">
        <v>43313</v>
      </c>
      <c r="E13475" t="s">
        <v>2180</v>
      </c>
      <c r="F13475">
        <v>1</v>
      </c>
      <c r="G13475" t="s">
        <v>61</v>
      </c>
      <c r="H13475" t="s">
        <v>41</v>
      </c>
      <c r="I13475" t="s">
        <v>2189</v>
      </c>
      <c r="J13475" s="10">
        <v>5.02</v>
      </c>
      <c r="K13475" t="b">
        <v>1</v>
      </c>
    </row>
    <row r="13476" spans="1:11">
      <c r="A13476" s="12">
        <v>43325</v>
      </c>
      <c r="B13476">
        <v>2018</v>
      </c>
      <c r="C13476">
        <v>8</v>
      </c>
      <c r="D13476" s="11">
        <v>43313</v>
      </c>
      <c r="E13476" t="s">
        <v>2180</v>
      </c>
      <c r="F13476">
        <v>1</v>
      </c>
      <c r="G13476" t="s">
        <v>61</v>
      </c>
      <c r="H13476" t="s">
        <v>42</v>
      </c>
      <c r="I13476" t="s">
        <v>2190</v>
      </c>
      <c r="J13476" s="10">
        <v>2</v>
      </c>
      <c r="K13476" t="b">
        <v>1</v>
      </c>
    </row>
    <row r="13477" spans="1:11">
      <c r="A13477" s="12">
        <v>43325</v>
      </c>
      <c r="B13477">
        <v>2018</v>
      </c>
      <c r="C13477">
        <v>8</v>
      </c>
      <c r="D13477" s="11">
        <v>43313</v>
      </c>
      <c r="E13477" t="s">
        <v>2180</v>
      </c>
      <c r="F13477">
        <v>1</v>
      </c>
      <c r="G13477" t="s">
        <v>61</v>
      </c>
      <c r="H13477" t="s">
        <v>43</v>
      </c>
      <c r="I13477" t="s">
        <v>2191</v>
      </c>
      <c r="J13477" s="10">
        <v>23.25</v>
      </c>
      <c r="K13477" t="b">
        <v>1</v>
      </c>
    </row>
    <row r="13478" spans="1:11">
      <c r="A13478" s="12">
        <v>43325</v>
      </c>
      <c r="B13478">
        <v>2018</v>
      </c>
      <c r="C13478">
        <v>8</v>
      </c>
      <c r="D13478" s="11">
        <v>43313</v>
      </c>
      <c r="E13478" t="s">
        <v>2180</v>
      </c>
      <c r="F13478">
        <v>1</v>
      </c>
      <c r="G13478" t="s">
        <v>61</v>
      </c>
      <c r="H13478" t="s">
        <v>44</v>
      </c>
      <c r="I13478" t="s">
        <v>2192</v>
      </c>
      <c r="J13478" s="10">
        <v>15</v>
      </c>
      <c r="K13478" t="b">
        <v>1</v>
      </c>
    </row>
    <row r="13479" spans="1:11">
      <c r="A13479" s="12">
        <v>43325</v>
      </c>
      <c r="B13479">
        <v>2018</v>
      </c>
      <c r="C13479">
        <v>8</v>
      </c>
      <c r="D13479" s="11">
        <v>43313</v>
      </c>
      <c r="E13479" t="s">
        <v>2180</v>
      </c>
      <c r="F13479">
        <v>1</v>
      </c>
      <c r="G13479" t="s">
        <v>61</v>
      </c>
      <c r="H13479" t="s">
        <v>45</v>
      </c>
      <c r="I13479" t="s">
        <v>2193</v>
      </c>
      <c r="J13479" s="10">
        <v>0</v>
      </c>
      <c r="K13479" t="b">
        <v>1</v>
      </c>
    </row>
    <row r="13480" spans="1:11">
      <c r="A13480" s="12">
        <v>43325</v>
      </c>
      <c r="B13480">
        <v>2018</v>
      </c>
      <c r="C13480">
        <v>8</v>
      </c>
      <c r="D13480" s="11">
        <v>43313</v>
      </c>
      <c r="E13480" t="s">
        <v>2180</v>
      </c>
      <c r="F13480">
        <v>1</v>
      </c>
      <c r="G13480" t="s">
        <v>61</v>
      </c>
      <c r="H13480" t="s">
        <v>46</v>
      </c>
      <c r="I13480" t="s">
        <v>2194</v>
      </c>
      <c r="J13480" s="10">
        <v>3</v>
      </c>
      <c r="K13480" t="b">
        <v>1</v>
      </c>
    </row>
    <row r="13481" spans="1:11">
      <c r="A13481" s="12">
        <v>43325</v>
      </c>
      <c r="B13481">
        <v>2018</v>
      </c>
      <c r="C13481">
        <v>8</v>
      </c>
      <c r="D13481" s="11">
        <v>43313</v>
      </c>
      <c r="E13481" t="s">
        <v>2180</v>
      </c>
      <c r="F13481">
        <v>1</v>
      </c>
      <c r="G13481" t="s">
        <v>61</v>
      </c>
      <c r="H13481" t="s">
        <v>47</v>
      </c>
      <c r="I13481" t="s">
        <v>2195</v>
      </c>
      <c r="J13481" s="10">
        <v>2</v>
      </c>
      <c r="K13481" t="b">
        <v>1</v>
      </c>
    </row>
    <row r="13482" spans="1:11">
      <c r="A13482" s="12">
        <v>43326</v>
      </c>
      <c r="B13482">
        <v>2018</v>
      </c>
      <c r="C13482">
        <v>8</v>
      </c>
      <c r="D13482" s="11">
        <v>43313</v>
      </c>
      <c r="E13482" t="s">
        <v>2180</v>
      </c>
      <c r="F13482">
        <v>2</v>
      </c>
      <c r="G13482" t="s">
        <v>63</v>
      </c>
      <c r="H13482" t="s">
        <v>40</v>
      </c>
      <c r="I13482" t="s">
        <v>2188</v>
      </c>
      <c r="J13482" s="10">
        <v>1.33</v>
      </c>
      <c r="K13482" t="b">
        <v>1</v>
      </c>
    </row>
    <row r="13483" spans="1:11">
      <c r="A13483" s="12">
        <v>43326</v>
      </c>
      <c r="B13483">
        <v>2018</v>
      </c>
      <c r="C13483">
        <v>8</v>
      </c>
      <c r="D13483" s="11">
        <v>43313</v>
      </c>
      <c r="E13483" t="s">
        <v>2180</v>
      </c>
      <c r="F13483">
        <v>2</v>
      </c>
      <c r="G13483" t="s">
        <v>63</v>
      </c>
      <c r="H13483" t="s">
        <v>41</v>
      </c>
      <c r="I13483" t="s">
        <v>2189</v>
      </c>
      <c r="J13483" s="10">
        <v>2.736</v>
      </c>
      <c r="K13483" t="b">
        <v>1</v>
      </c>
    </row>
    <row r="13484" spans="1:11">
      <c r="A13484" s="12">
        <v>43326</v>
      </c>
      <c r="B13484">
        <v>2018</v>
      </c>
      <c r="C13484">
        <v>8</v>
      </c>
      <c r="D13484" s="11">
        <v>43313</v>
      </c>
      <c r="E13484" t="s">
        <v>2180</v>
      </c>
      <c r="F13484">
        <v>2</v>
      </c>
      <c r="G13484" t="s">
        <v>63</v>
      </c>
      <c r="H13484" t="s">
        <v>42</v>
      </c>
      <c r="I13484" t="s">
        <v>2190</v>
      </c>
      <c r="J13484" s="10">
        <v>5</v>
      </c>
      <c r="K13484" t="b">
        <v>1</v>
      </c>
    </row>
    <row r="13485" spans="1:11">
      <c r="A13485" s="12">
        <v>43326</v>
      </c>
      <c r="B13485">
        <v>2018</v>
      </c>
      <c r="C13485">
        <v>8</v>
      </c>
      <c r="D13485" s="11">
        <v>43313</v>
      </c>
      <c r="E13485" t="s">
        <v>2180</v>
      </c>
      <c r="F13485">
        <v>2</v>
      </c>
      <c r="G13485" t="s">
        <v>63</v>
      </c>
      <c r="H13485" t="s">
        <v>43</v>
      </c>
      <c r="I13485" t="s">
        <v>2191</v>
      </c>
      <c r="J13485" s="10">
        <v>12</v>
      </c>
      <c r="K13485" t="b">
        <v>1</v>
      </c>
    </row>
    <row r="13486" spans="1:11">
      <c r="A13486" s="12">
        <v>43326</v>
      </c>
      <c r="B13486">
        <v>2018</v>
      </c>
      <c r="C13486">
        <v>8</v>
      </c>
      <c r="D13486" s="11">
        <v>43313</v>
      </c>
      <c r="E13486" t="s">
        <v>2180</v>
      </c>
      <c r="F13486">
        <v>2</v>
      </c>
      <c r="G13486" t="s">
        <v>63</v>
      </c>
      <c r="H13486" t="s">
        <v>44</v>
      </c>
      <c r="I13486" t="s">
        <v>2192</v>
      </c>
      <c r="J13486" s="10">
        <v>9</v>
      </c>
      <c r="K13486" t="b">
        <v>1</v>
      </c>
    </row>
    <row r="13487" spans="1:11">
      <c r="A13487" s="12">
        <v>43326</v>
      </c>
      <c r="B13487">
        <v>2018</v>
      </c>
      <c r="C13487">
        <v>8</v>
      </c>
      <c r="D13487" s="11">
        <v>43313</v>
      </c>
      <c r="E13487" t="s">
        <v>2180</v>
      </c>
      <c r="F13487">
        <v>2</v>
      </c>
      <c r="G13487" t="s">
        <v>63</v>
      </c>
      <c r="H13487" t="s">
        <v>45</v>
      </c>
      <c r="I13487" t="s">
        <v>2193</v>
      </c>
      <c r="J13487" s="10">
        <v>0</v>
      </c>
      <c r="K13487" t="b">
        <v>1</v>
      </c>
    </row>
    <row r="13488" spans="1:11">
      <c r="A13488" s="12">
        <v>43326</v>
      </c>
      <c r="B13488">
        <v>2018</v>
      </c>
      <c r="C13488">
        <v>8</v>
      </c>
      <c r="D13488" s="11">
        <v>43313</v>
      </c>
      <c r="E13488" t="s">
        <v>2180</v>
      </c>
      <c r="F13488">
        <v>2</v>
      </c>
      <c r="G13488" t="s">
        <v>63</v>
      </c>
      <c r="H13488" t="s">
        <v>46</v>
      </c>
      <c r="I13488" t="s">
        <v>2194</v>
      </c>
      <c r="J13488" s="10">
        <v>4</v>
      </c>
      <c r="K13488" t="b">
        <v>1</v>
      </c>
    </row>
    <row r="13489" spans="1:11">
      <c r="A13489" s="12">
        <v>43326</v>
      </c>
      <c r="B13489">
        <v>2018</v>
      </c>
      <c r="C13489">
        <v>8</v>
      </c>
      <c r="D13489" s="11">
        <v>43313</v>
      </c>
      <c r="E13489" t="s">
        <v>2180</v>
      </c>
      <c r="F13489">
        <v>2</v>
      </c>
      <c r="G13489" t="s">
        <v>63</v>
      </c>
      <c r="H13489" t="s">
        <v>47</v>
      </c>
      <c r="I13489" t="s">
        <v>2195</v>
      </c>
      <c r="J13489" s="10">
        <v>5</v>
      </c>
      <c r="K13489" t="b">
        <v>1</v>
      </c>
    </row>
    <row r="13490" spans="1:11">
      <c r="A13490" s="12">
        <v>43327</v>
      </c>
      <c r="B13490">
        <v>2018</v>
      </c>
      <c r="C13490">
        <v>8</v>
      </c>
      <c r="D13490" s="11">
        <v>43313</v>
      </c>
      <c r="E13490" t="s">
        <v>2180</v>
      </c>
      <c r="F13490">
        <v>3</v>
      </c>
      <c r="G13490" t="s">
        <v>65</v>
      </c>
      <c r="H13490" t="s">
        <v>40</v>
      </c>
      <c r="I13490" t="s">
        <v>2188</v>
      </c>
      <c r="J13490" s="10">
        <v>8.34</v>
      </c>
      <c r="K13490" t="b">
        <v>1</v>
      </c>
    </row>
    <row r="13491" spans="1:11">
      <c r="A13491" s="12">
        <v>43327</v>
      </c>
      <c r="B13491">
        <v>2018</v>
      </c>
      <c r="C13491">
        <v>8</v>
      </c>
      <c r="D13491" s="11">
        <v>43313</v>
      </c>
      <c r="E13491" t="s">
        <v>2180</v>
      </c>
      <c r="F13491">
        <v>3</v>
      </c>
      <c r="G13491" t="s">
        <v>65</v>
      </c>
      <c r="H13491" t="s">
        <v>41</v>
      </c>
      <c r="I13491" t="s">
        <v>2189</v>
      </c>
      <c r="J13491" s="10">
        <v>4.199</v>
      </c>
      <c r="K13491" t="b">
        <v>1</v>
      </c>
    </row>
    <row r="13492" spans="1:11">
      <c r="A13492" s="12">
        <v>43327</v>
      </c>
      <c r="B13492">
        <v>2018</v>
      </c>
      <c r="C13492">
        <v>8</v>
      </c>
      <c r="D13492" s="11">
        <v>43313</v>
      </c>
      <c r="E13492" t="s">
        <v>2180</v>
      </c>
      <c r="F13492">
        <v>3</v>
      </c>
      <c r="G13492" t="s">
        <v>65</v>
      </c>
      <c r="H13492" t="s">
        <v>42</v>
      </c>
      <c r="I13492" t="s">
        <v>2190</v>
      </c>
      <c r="J13492" s="10">
        <v>2</v>
      </c>
      <c r="K13492" t="b">
        <v>1</v>
      </c>
    </row>
    <row r="13493" spans="1:11">
      <c r="A13493" s="12">
        <v>43327</v>
      </c>
      <c r="B13493">
        <v>2018</v>
      </c>
      <c r="C13493">
        <v>8</v>
      </c>
      <c r="D13493" s="11">
        <v>43313</v>
      </c>
      <c r="E13493" t="s">
        <v>2180</v>
      </c>
      <c r="F13493">
        <v>3</v>
      </c>
      <c r="G13493" t="s">
        <v>65</v>
      </c>
      <c r="H13493" t="s">
        <v>43</v>
      </c>
      <c r="I13493" t="s">
        <v>2191</v>
      </c>
      <c r="J13493" s="10">
        <v>32.2</v>
      </c>
      <c r="K13493" t="b">
        <v>1</v>
      </c>
    </row>
    <row r="13494" spans="1:11">
      <c r="A13494" s="12">
        <v>43327</v>
      </c>
      <c r="B13494">
        <v>2018</v>
      </c>
      <c r="C13494">
        <v>8</v>
      </c>
      <c r="D13494" s="11">
        <v>43313</v>
      </c>
      <c r="E13494" t="s">
        <v>2180</v>
      </c>
      <c r="F13494">
        <v>3</v>
      </c>
      <c r="G13494" t="s">
        <v>65</v>
      </c>
      <c r="H13494" t="s">
        <v>44</v>
      </c>
      <c r="I13494" t="s">
        <v>2192</v>
      </c>
      <c r="J13494" s="10">
        <v>13</v>
      </c>
      <c r="K13494" t="b">
        <v>1</v>
      </c>
    </row>
    <row r="13495" spans="1:11">
      <c r="A13495" s="12">
        <v>43327</v>
      </c>
      <c r="B13495">
        <v>2018</v>
      </c>
      <c r="C13495">
        <v>8</v>
      </c>
      <c r="D13495" s="11">
        <v>43313</v>
      </c>
      <c r="E13495" t="s">
        <v>2180</v>
      </c>
      <c r="F13495">
        <v>3</v>
      </c>
      <c r="G13495" t="s">
        <v>65</v>
      </c>
      <c r="H13495" t="s">
        <v>45</v>
      </c>
      <c r="I13495" t="s">
        <v>2193</v>
      </c>
      <c r="J13495" s="10">
        <v>2</v>
      </c>
      <c r="K13495" t="b">
        <v>1</v>
      </c>
    </row>
    <row r="13496" spans="1:11">
      <c r="A13496" s="12">
        <v>43327</v>
      </c>
      <c r="B13496">
        <v>2018</v>
      </c>
      <c r="C13496">
        <v>8</v>
      </c>
      <c r="D13496" s="11">
        <v>43313</v>
      </c>
      <c r="E13496" t="s">
        <v>2180</v>
      </c>
      <c r="F13496">
        <v>3</v>
      </c>
      <c r="G13496" t="s">
        <v>65</v>
      </c>
      <c r="H13496" t="s">
        <v>46</v>
      </c>
      <c r="I13496" t="s">
        <v>2194</v>
      </c>
      <c r="J13496" s="10">
        <v>0</v>
      </c>
      <c r="K13496" t="b">
        <v>1</v>
      </c>
    </row>
    <row r="13497" spans="1:11">
      <c r="A13497" s="12">
        <v>43327</v>
      </c>
      <c r="B13497">
        <v>2018</v>
      </c>
      <c r="C13497">
        <v>8</v>
      </c>
      <c r="D13497" s="11">
        <v>43313</v>
      </c>
      <c r="E13497" t="s">
        <v>2180</v>
      </c>
      <c r="F13497">
        <v>3</v>
      </c>
      <c r="G13497" t="s">
        <v>65</v>
      </c>
      <c r="H13497" t="s">
        <v>47</v>
      </c>
      <c r="I13497" t="s">
        <v>2195</v>
      </c>
      <c r="J13497" s="10">
        <v>1</v>
      </c>
      <c r="K13497" t="b">
        <v>1</v>
      </c>
    </row>
    <row r="13498" spans="1:11">
      <c r="A13498" s="12">
        <v>43328</v>
      </c>
      <c r="B13498">
        <v>2018</v>
      </c>
      <c r="C13498">
        <v>8</v>
      </c>
      <c r="D13498" s="11">
        <v>43313</v>
      </c>
      <c r="E13498" t="s">
        <v>2180</v>
      </c>
      <c r="F13498">
        <v>4</v>
      </c>
      <c r="G13498" t="s">
        <v>53</v>
      </c>
      <c r="H13498" t="s">
        <v>40</v>
      </c>
      <c r="I13498" t="s">
        <v>2188</v>
      </c>
      <c r="J13498" s="10">
        <v>3.33</v>
      </c>
      <c r="K13498" t="b">
        <v>1</v>
      </c>
    </row>
    <row r="13499" spans="1:11">
      <c r="A13499" s="12">
        <v>43328</v>
      </c>
      <c r="B13499">
        <v>2018</v>
      </c>
      <c r="C13499">
        <v>8</v>
      </c>
      <c r="D13499" s="11">
        <v>43313</v>
      </c>
      <c r="E13499" t="s">
        <v>2180</v>
      </c>
      <c r="F13499">
        <v>4</v>
      </c>
      <c r="G13499" t="s">
        <v>53</v>
      </c>
      <c r="H13499" t="s">
        <v>41</v>
      </c>
      <c r="I13499" t="s">
        <v>2189</v>
      </c>
      <c r="J13499" s="10">
        <v>8.728999999999999</v>
      </c>
      <c r="K13499" t="b">
        <v>1</v>
      </c>
    </row>
    <row r="13500" spans="1:11">
      <c r="A13500" s="12">
        <v>43328</v>
      </c>
      <c r="B13500">
        <v>2018</v>
      </c>
      <c r="C13500">
        <v>8</v>
      </c>
      <c r="D13500" s="11">
        <v>43313</v>
      </c>
      <c r="E13500" t="s">
        <v>2180</v>
      </c>
      <c r="F13500">
        <v>4</v>
      </c>
      <c r="G13500" t="s">
        <v>53</v>
      </c>
      <c r="H13500" t="s">
        <v>42</v>
      </c>
      <c r="I13500" t="s">
        <v>2190</v>
      </c>
      <c r="J13500" s="10">
        <v>4</v>
      </c>
      <c r="K13500" t="b">
        <v>1</v>
      </c>
    </row>
    <row r="13501" spans="1:11">
      <c r="A13501" s="12">
        <v>43328</v>
      </c>
      <c r="B13501">
        <v>2018</v>
      </c>
      <c r="C13501">
        <v>8</v>
      </c>
      <c r="D13501" s="11">
        <v>43313</v>
      </c>
      <c r="E13501" t="s">
        <v>2180</v>
      </c>
      <c r="F13501">
        <v>4</v>
      </c>
      <c r="G13501" t="s">
        <v>53</v>
      </c>
      <c r="H13501" t="s">
        <v>43</v>
      </c>
      <c r="I13501" t="s">
        <v>2191</v>
      </c>
      <c r="J13501" s="10">
        <v>27.4</v>
      </c>
      <c r="K13501" t="b">
        <v>1</v>
      </c>
    </row>
    <row r="13502" spans="1:11">
      <c r="A13502" s="12">
        <v>43328</v>
      </c>
      <c r="B13502">
        <v>2018</v>
      </c>
      <c r="C13502">
        <v>8</v>
      </c>
      <c r="D13502" s="11">
        <v>43313</v>
      </c>
      <c r="E13502" t="s">
        <v>2180</v>
      </c>
      <c r="F13502">
        <v>4</v>
      </c>
      <c r="G13502" t="s">
        <v>53</v>
      </c>
      <c r="H13502" t="s">
        <v>44</v>
      </c>
      <c r="I13502" t="s">
        <v>2192</v>
      </c>
      <c r="J13502" s="10">
        <v>6</v>
      </c>
      <c r="K13502" t="b">
        <v>1</v>
      </c>
    </row>
    <row r="13503" spans="1:11">
      <c r="A13503" s="12">
        <v>43328</v>
      </c>
      <c r="B13503">
        <v>2018</v>
      </c>
      <c r="C13503">
        <v>8</v>
      </c>
      <c r="D13503" s="11">
        <v>43313</v>
      </c>
      <c r="E13503" t="s">
        <v>2180</v>
      </c>
      <c r="F13503">
        <v>4</v>
      </c>
      <c r="G13503" t="s">
        <v>53</v>
      </c>
      <c r="H13503" t="s">
        <v>45</v>
      </c>
      <c r="I13503" t="s">
        <v>2193</v>
      </c>
      <c r="J13503" s="10">
        <v>3</v>
      </c>
      <c r="K13503" t="b">
        <v>1</v>
      </c>
    </row>
    <row r="13504" spans="1:11">
      <c r="A13504" s="12">
        <v>43328</v>
      </c>
      <c r="B13504">
        <v>2018</v>
      </c>
      <c r="C13504">
        <v>8</v>
      </c>
      <c r="D13504" s="11">
        <v>43313</v>
      </c>
      <c r="E13504" t="s">
        <v>2180</v>
      </c>
      <c r="F13504">
        <v>4</v>
      </c>
      <c r="G13504" t="s">
        <v>53</v>
      </c>
      <c r="H13504" t="s">
        <v>46</v>
      </c>
      <c r="I13504" t="s">
        <v>2194</v>
      </c>
      <c r="J13504" s="10">
        <v>5</v>
      </c>
      <c r="K13504" t="b">
        <v>1</v>
      </c>
    </row>
    <row r="13505" spans="1:11">
      <c r="A13505" s="12">
        <v>43328</v>
      </c>
      <c r="B13505">
        <v>2018</v>
      </c>
      <c r="C13505">
        <v>8</v>
      </c>
      <c r="D13505" s="11">
        <v>43313</v>
      </c>
      <c r="E13505" t="s">
        <v>2180</v>
      </c>
      <c r="F13505">
        <v>4</v>
      </c>
      <c r="G13505" t="s">
        <v>53</v>
      </c>
      <c r="H13505" t="s">
        <v>47</v>
      </c>
      <c r="I13505" t="s">
        <v>2195</v>
      </c>
      <c r="J13505" s="10">
        <v>5</v>
      </c>
      <c r="K13505" t="b">
        <v>1</v>
      </c>
    </row>
    <row r="13506" spans="1:11">
      <c r="A13506" s="12">
        <v>43329</v>
      </c>
      <c r="B13506">
        <v>2018</v>
      </c>
      <c r="C13506">
        <v>8</v>
      </c>
      <c r="D13506" s="11">
        <v>43313</v>
      </c>
      <c r="E13506" t="s">
        <v>2180</v>
      </c>
      <c r="F13506">
        <v>5</v>
      </c>
      <c r="G13506" t="s">
        <v>55</v>
      </c>
      <c r="H13506" t="s">
        <v>40</v>
      </c>
      <c r="I13506" t="s">
        <v>2188</v>
      </c>
      <c r="J13506" s="10">
        <v>2.33</v>
      </c>
      <c r="K13506" t="b">
        <v>1</v>
      </c>
    </row>
    <row r="13507" spans="1:11">
      <c r="A13507" s="12">
        <v>43329</v>
      </c>
      <c r="B13507">
        <v>2018</v>
      </c>
      <c r="C13507">
        <v>8</v>
      </c>
      <c r="D13507" s="11">
        <v>43313</v>
      </c>
      <c r="E13507" t="s">
        <v>2180</v>
      </c>
      <c r="F13507">
        <v>5</v>
      </c>
      <c r="G13507" t="s">
        <v>55</v>
      </c>
      <c r="H13507" t="s">
        <v>41</v>
      </c>
      <c r="I13507" t="s">
        <v>2189</v>
      </c>
      <c r="J13507" s="10">
        <v>2.99</v>
      </c>
      <c r="K13507" t="b">
        <v>1</v>
      </c>
    </row>
    <row r="13508" spans="1:11">
      <c r="A13508" s="12">
        <v>43329</v>
      </c>
      <c r="B13508">
        <v>2018</v>
      </c>
      <c r="C13508">
        <v>8</v>
      </c>
      <c r="D13508" s="11">
        <v>43313</v>
      </c>
      <c r="E13508" t="s">
        <v>2180</v>
      </c>
      <c r="F13508">
        <v>5</v>
      </c>
      <c r="G13508" t="s">
        <v>55</v>
      </c>
      <c r="H13508" t="s">
        <v>42</v>
      </c>
      <c r="I13508" t="s">
        <v>2190</v>
      </c>
      <c r="J13508" s="10">
        <v>2.4</v>
      </c>
      <c r="K13508" t="b">
        <v>1</v>
      </c>
    </row>
    <row r="13509" spans="1:11">
      <c r="A13509" s="12">
        <v>43329</v>
      </c>
      <c r="B13509">
        <v>2018</v>
      </c>
      <c r="C13509">
        <v>8</v>
      </c>
      <c r="D13509" s="11">
        <v>43313</v>
      </c>
      <c r="E13509" t="s">
        <v>2180</v>
      </c>
      <c r="F13509">
        <v>5</v>
      </c>
      <c r="G13509" t="s">
        <v>55</v>
      </c>
      <c r="H13509" t="s">
        <v>43</v>
      </c>
      <c r="I13509" t="s">
        <v>2191</v>
      </c>
      <c r="J13509" s="10">
        <v>23</v>
      </c>
      <c r="K13509" t="b">
        <v>1</v>
      </c>
    </row>
    <row r="13510" spans="1:11">
      <c r="A13510" s="12">
        <v>43329</v>
      </c>
      <c r="B13510">
        <v>2018</v>
      </c>
      <c r="C13510">
        <v>8</v>
      </c>
      <c r="D13510" s="11">
        <v>43313</v>
      </c>
      <c r="E13510" t="s">
        <v>2180</v>
      </c>
      <c r="F13510">
        <v>5</v>
      </c>
      <c r="G13510" t="s">
        <v>55</v>
      </c>
      <c r="H13510" t="s">
        <v>44</v>
      </c>
      <c r="I13510" t="s">
        <v>2192</v>
      </c>
      <c r="J13510" s="10">
        <v>5</v>
      </c>
      <c r="K13510" t="b">
        <v>1</v>
      </c>
    </row>
    <row r="13511" spans="1:11">
      <c r="A13511" s="12">
        <v>43329</v>
      </c>
      <c r="B13511">
        <v>2018</v>
      </c>
      <c r="C13511">
        <v>8</v>
      </c>
      <c r="D13511" s="11">
        <v>43313</v>
      </c>
      <c r="E13511" t="s">
        <v>2180</v>
      </c>
      <c r="F13511">
        <v>5</v>
      </c>
      <c r="G13511" t="s">
        <v>55</v>
      </c>
      <c r="H13511" t="s">
        <v>45</v>
      </c>
      <c r="I13511" t="s">
        <v>2193</v>
      </c>
      <c r="J13511" s="10">
        <v>1</v>
      </c>
      <c r="K13511" t="b">
        <v>1</v>
      </c>
    </row>
    <row r="13512" spans="1:11">
      <c r="A13512" s="12">
        <v>43329</v>
      </c>
      <c r="B13512">
        <v>2018</v>
      </c>
      <c r="C13512">
        <v>8</v>
      </c>
      <c r="D13512" s="11">
        <v>43313</v>
      </c>
      <c r="E13512" t="s">
        <v>2180</v>
      </c>
      <c r="F13512">
        <v>5</v>
      </c>
      <c r="G13512" t="s">
        <v>55</v>
      </c>
      <c r="H13512" t="s">
        <v>46</v>
      </c>
      <c r="I13512" t="s">
        <v>2194</v>
      </c>
      <c r="J13512" s="10">
        <v>5</v>
      </c>
      <c r="K13512" t="b">
        <v>1</v>
      </c>
    </row>
    <row r="13513" spans="1:11">
      <c r="A13513" s="12">
        <v>43329</v>
      </c>
      <c r="B13513">
        <v>2018</v>
      </c>
      <c r="C13513">
        <v>8</v>
      </c>
      <c r="D13513" s="11">
        <v>43313</v>
      </c>
      <c r="E13513" t="s">
        <v>2180</v>
      </c>
      <c r="F13513">
        <v>5</v>
      </c>
      <c r="G13513" t="s">
        <v>55</v>
      </c>
      <c r="H13513" t="s">
        <v>47</v>
      </c>
      <c r="I13513" t="s">
        <v>2195</v>
      </c>
      <c r="J13513" s="10">
        <v>1</v>
      </c>
      <c r="K13513" t="b">
        <v>1</v>
      </c>
    </row>
    <row r="13514" spans="1:11">
      <c r="A13514" s="12">
        <v>43330</v>
      </c>
      <c r="B13514">
        <v>2018</v>
      </c>
      <c r="C13514">
        <v>8</v>
      </c>
      <c r="D13514" s="11">
        <v>43313</v>
      </c>
      <c r="E13514" t="s">
        <v>2180</v>
      </c>
      <c r="F13514">
        <v>6</v>
      </c>
      <c r="G13514" t="s">
        <v>57</v>
      </c>
      <c r="H13514" t="s">
        <v>40</v>
      </c>
      <c r="I13514" t="s">
        <v>2188</v>
      </c>
      <c r="J13514" s="10">
        <v>6.33</v>
      </c>
      <c r="K13514" t="b">
        <v>1</v>
      </c>
    </row>
    <row r="13515" spans="1:11">
      <c r="A13515" s="12">
        <v>43330</v>
      </c>
      <c r="B13515">
        <v>2018</v>
      </c>
      <c r="C13515">
        <v>8</v>
      </c>
      <c r="D13515" s="11">
        <v>43313</v>
      </c>
      <c r="E13515" t="s">
        <v>2180</v>
      </c>
      <c r="F13515">
        <v>6</v>
      </c>
      <c r="G13515" t="s">
        <v>57</v>
      </c>
      <c r="H13515" t="s">
        <v>41</v>
      </c>
      <c r="I13515" t="s">
        <v>2189</v>
      </c>
      <c r="J13515" s="10">
        <v>5.34</v>
      </c>
      <c r="K13515" t="b">
        <v>1</v>
      </c>
    </row>
    <row r="13516" spans="1:11">
      <c r="A13516" s="12">
        <v>43330</v>
      </c>
      <c r="B13516">
        <v>2018</v>
      </c>
      <c r="C13516">
        <v>8</v>
      </c>
      <c r="D13516" s="11">
        <v>43313</v>
      </c>
      <c r="E13516" t="s">
        <v>2180</v>
      </c>
      <c r="F13516">
        <v>6</v>
      </c>
      <c r="G13516" t="s">
        <v>57</v>
      </c>
      <c r="H13516" t="s">
        <v>42</v>
      </c>
      <c r="I13516" t="s">
        <v>2190</v>
      </c>
      <c r="J13516" s="10">
        <v>0</v>
      </c>
      <c r="K13516" t="b">
        <v>1</v>
      </c>
    </row>
    <row r="13517" spans="1:11">
      <c r="A13517" s="12">
        <v>43330</v>
      </c>
      <c r="B13517">
        <v>2018</v>
      </c>
      <c r="C13517">
        <v>8</v>
      </c>
      <c r="D13517" s="11">
        <v>43313</v>
      </c>
      <c r="E13517" t="s">
        <v>2180</v>
      </c>
      <c r="F13517">
        <v>6</v>
      </c>
      <c r="G13517" t="s">
        <v>57</v>
      </c>
      <c r="H13517" t="s">
        <v>43</v>
      </c>
      <c r="I13517" t="s">
        <v>2191</v>
      </c>
      <c r="J13517" s="10">
        <v>32.1</v>
      </c>
      <c r="K13517" t="b">
        <v>1</v>
      </c>
    </row>
    <row r="13518" spans="1:11">
      <c r="A13518" s="12">
        <v>43330</v>
      </c>
      <c r="B13518">
        <v>2018</v>
      </c>
      <c r="C13518">
        <v>8</v>
      </c>
      <c r="D13518" s="11">
        <v>43313</v>
      </c>
      <c r="E13518" t="s">
        <v>2180</v>
      </c>
      <c r="F13518">
        <v>6</v>
      </c>
      <c r="G13518" t="s">
        <v>57</v>
      </c>
      <c r="H13518" t="s">
        <v>44</v>
      </c>
      <c r="I13518" t="s">
        <v>2192</v>
      </c>
      <c r="J13518" s="10">
        <v>5</v>
      </c>
      <c r="K13518" t="b">
        <v>1</v>
      </c>
    </row>
    <row r="13519" spans="1:11">
      <c r="A13519" s="12">
        <v>43330</v>
      </c>
      <c r="B13519">
        <v>2018</v>
      </c>
      <c r="C13519">
        <v>8</v>
      </c>
      <c r="D13519" s="11">
        <v>43313</v>
      </c>
      <c r="E13519" t="s">
        <v>2180</v>
      </c>
      <c r="F13519">
        <v>6</v>
      </c>
      <c r="G13519" t="s">
        <v>57</v>
      </c>
      <c r="H13519" t="s">
        <v>45</v>
      </c>
      <c r="I13519" t="s">
        <v>2193</v>
      </c>
      <c r="J13519" s="10">
        <v>1</v>
      </c>
      <c r="K13519" t="b">
        <v>1</v>
      </c>
    </row>
    <row r="13520" spans="1:11">
      <c r="A13520" s="12">
        <v>43330</v>
      </c>
      <c r="B13520">
        <v>2018</v>
      </c>
      <c r="C13520">
        <v>8</v>
      </c>
      <c r="D13520" s="11">
        <v>43313</v>
      </c>
      <c r="E13520" t="s">
        <v>2180</v>
      </c>
      <c r="F13520">
        <v>6</v>
      </c>
      <c r="G13520" t="s">
        <v>57</v>
      </c>
      <c r="H13520" t="s">
        <v>46</v>
      </c>
      <c r="I13520" t="s">
        <v>2194</v>
      </c>
      <c r="J13520" s="10">
        <v>6</v>
      </c>
      <c r="K13520" t="b">
        <v>1</v>
      </c>
    </row>
    <row r="13521" spans="1:11">
      <c r="A13521" s="12">
        <v>43330</v>
      </c>
      <c r="B13521">
        <v>2018</v>
      </c>
      <c r="C13521">
        <v>8</v>
      </c>
      <c r="D13521" s="11">
        <v>43313</v>
      </c>
      <c r="E13521" t="s">
        <v>2180</v>
      </c>
      <c r="F13521">
        <v>6</v>
      </c>
      <c r="G13521" t="s">
        <v>57</v>
      </c>
      <c r="H13521" t="s">
        <v>47</v>
      </c>
      <c r="I13521" t="s">
        <v>2195</v>
      </c>
      <c r="J13521" s="10">
        <v>0</v>
      </c>
      <c r="K13521" t="b">
        <v>1</v>
      </c>
    </row>
    <row r="13522" spans="1:11">
      <c r="A13522" s="12">
        <v>43331</v>
      </c>
      <c r="B13522">
        <v>2018</v>
      </c>
      <c r="C13522">
        <v>8</v>
      </c>
      <c r="D13522" s="11">
        <v>43313</v>
      </c>
      <c r="E13522" t="s">
        <v>2180</v>
      </c>
      <c r="F13522">
        <v>7</v>
      </c>
      <c r="G13522" t="s">
        <v>59</v>
      </c>
      <c r="H13522" t="s">
        <v>40</v>
      </c>
      <c r="I13522" t="s">
        <v>2188</v>
      </c>
      <c r="J13522" s="10">
        <v>6.33</v>
      </c>
      <c r="K13522" t="b">
        <v>1</v>
      </c>
    </row>
    <row r="13523" spans="1:11">
      <c r="A13523" s="12">
        <v>43331</v>
      </c>
      <c r="B13523">
        <v>2018</v>
      </c>
      <c r="C13523">
        <v>8</v>
      </c>
      <c r="D13523" s="11">
        <v>43313</v>
      </c>
      <c r="E13523" t="s">
        <v>2180</v>
      </c>
      <c r="F13523">
        <v>7</v>
      </c>
      <c r="G13523" t="s">
        <v>59</v>
      </c>
      <c r="H13523" t="s">
        <v>41</v>
      </c>
      <c r="I13523" t="s">
        <v>2189</v>
      </c>
      <c r="J13523" s="10">
        <v>4.495</v>
      </c>
      <c r="K13523" t="b">
        <v>1</v>
      </c>
    </row>
    <row r="13524" spans="1:11">
      <c r="A13524" s="12">
        <v>43331</v>
      </c>
      <c r="B13524">
        <v>2018</v>
      </c>
      <c r="C13524">
        <v>8</v>
      </c>
      <c r="D13524" s="11">
        <v>43313</v>
      </c>
      <c r="E13524" t="s">
        <v>2180</v>
      </c>
      <c r="F13524">
        <v>7</v>
      </c>
      <c r="G13524" t="s">
        <v>59</v>
      </c>
      <c r="H13524" t="s">
        <v>42</v>
      </c>
      <c r="I13524" t="s">
        <v>2190</v>
      </c>
      <c r="J13524" s="10">
        <v>1</v>
      </c>
      <c r="K13524" t="b">
        <v>1</v>
      </c>
    </row>
    <row r="13525" spans="1:11">
      <c r="A13525" s="12">
        <v>43331</v>
      </c>
      <c r="B13525">
        <v>2018</v>
      </c>
      <c r="C13525">
        <v>8</v>
      </c>
      <c r="D13525" s="11">
        <v>43313</v>
      </c>
      <c r="E13525" t="s">
        <v>2180</v>
      </c>
      <c r="F13525">
        <v>7</v>
      </c>
      <c r="G13525" t="s">
        <v>59</v>
      </c>
      <c r="H13525" t="s">
        <v>43</v>
      </c>
      <c r="I13525" t="s">
        <v>2191</v>
      </c>
      <c r="J13525" s="10">
        <v>19.9</v>
      </c>
      <c r="K13525" t="b">
        <v>1</v>
      </c>
    </row>
    <row r="13526" spans="1:11">
      <c r="A13526" s="12">
        <v>43331</v>
      </c>
      <c r="B13526">
        <v>2018</v>
      </c>
      <c r="C13526">
        <v>8</v>
      </c>
      <c r="D13526" s="11">
        <v>43313</v>
      </c>
      <c r="E13526" t="s">
        <v>2180</v>
      </c>
      <c r="F13526">
        <v>7</v>
      </c>
      <c r="G13526" t="s">
        <v>59</v>
      </c>
      <c r="H13526" t="s">
        <v>44</v>
      </c>
      <c r="I13526" t="s">
        <v>2192</v>
      </c>
      <c r="J13526" s="10">
        <v>3</v>
      </c>
      <c r="K13526" t="b">
        <v>1</v>
      </c>
    </row>
    <row r="13527" spans="1:11">
      <c r="A13527" s="12">
        <v>43331</v>
      </c>
      <c r="B13527">
        <v>2018</v>
      </c>
      <c r="C13527">
        <v>8</v>
      </c>
      <c r="D13527" s="11">
        <v>43313</v>
      </c>
      <c r="E13527" t="s">
        <v>2180</v>
      </c>
      <c r="F13527">
        <v>7</v>
      </c>
      <c r="G13527" t="s">
        <v>59</v>
      </c>
      <c r="H13527" t="s">
        <v>45</v>
      </c>
      <c r="I13527" t="s">
        <v>2193</v>
      </c>
      <c r="J13527" s="10">
        <v>0</v>
      </c>
      <c r="K13527" t="b">
        <v>1</v>
      </c>
    </row>
    <row r="13528" spans="1:11">
      <c r="A13528" s="12">
        <v>43331</v>
      </c>
      <c r="B13528">
        <v>2018</v>
      </c>
      <c r="C13528">
        <v>8</v>
      </c>
      <c r="D13528" s="11">
        <v>43313</v>
      </c>
      <c r="E13528" t="s">
        <v>2180</v>
      </c>
      <c r="F13528">
        <v>7</v>
      </c>
      <c r="G13528" t="s">
        <v>59</v>
      </c>
      <c r="H13528" t="s">
        <v>46</v>
      </c>
      <c r="I13528" t="s">
        <v>2194</v>
      </c>
      <c r="J13528" s="10">
        <v>5</v>
      </c>
      <c r="K13528" t="b">
        <v>1</v>
      </c>
    </row>
    <row r="13529" spans="1:11">
      <c r="A13529" s="12">
        <v>43331</v>
      </c>
      <c r="B13529">
        <v>2018</v>
      </c>
      <c r="C13529">
        <v>8</v>
      </c>
      <c r="D13529" s="11">
        <v>43313</v>
      </c>
      <c r="E13529" t="s">
        <v>2180</v>
      </c>
      <c r="F13529">
        <v>7</v>
      </c>
      <c r="G13529" t="s">
        <v>59</v>
      </c>
      <c r="H13529" t="s">
        <v>47</v>
      </c>
      <c r="I13529" t="s">
        <v>2195</v>
      </c>
      <c r="J13529" s="10">
        <v>6</v>
      </c>
      <c r="K13529" t="b">
        <v>1</v>
      </c>
    </row>
    <row r="13530" spans="1:11">
      <c r="A13530" s="12">
        <v>43332</v>
      </c>
      <c r="B13530">
        <v>2018</v>
      </c>
      <c r="C13530">
        <v>8</v>
      </c>
      <c r="D13530" s="11">
        <v>43313</v>
      </c>
      <c r="E13530" t="s">
        <v>2180</v>
      </c>
      <c r="F13530">
        <v>1</v>
      </c>
      <c r="G13530" t="s">
        <v>61</v>
      </c>
      <c r="H13530" t="s">
        <v>40</v>
      </c>
      <c r="I13530" t="s">
        <v>2188</v>
      </c>
      <c r="J13530" s="10">
        <v>4</v>
      </c>
      <c r="K13530" t="b">
        <v>1</v>
      </c>
    </row>
    <row r="13531" spans="1:11">
      <c r="A13531" s="12">
        <v>43332</v>
      </c>
      <c r="B13531">
        <v>2018</v>
      </c>
      <c r="C13531">
        <v>8</v>
      </c>
      <c r="D13531" s="11">
        <v>43313</v>
      </c>
      <c r="E13531" t="s">
        <v>2180</v>
      </c>
      <c r="F13531">
        <v>1</v>
      </c>
      <c r="G13531" t="s">
        <v>61</v>
      </c>
      <c r="H13531" t="s">
        <v>41</v>
      </c>
      <c r="I13531" t="s">
        <v>2189</v>
      </c>
      <c r="J13531" s="10">
        <v>5.68</v>
      </c>
      <c r="K13531" t="b">
        <v>1</v>
      </c>
    </row>
    <row r="13532" spans="1:11">
      <c r="A13532" s="12">
        <v>43332</v>
      </c>
      <c r="B13532">
        <v>2018</v>
      </c>
      <c r="C13532">
        <v>8</v>
      </c>
      <c r="D13532" s="11">
        <v>43313</v>
      </c>
      <c r="E13532" t="s">
        <v>2180</v>
      </c>
      <c r="F13532">
        <v>1</v>
      </c>
      <c r="G13532" t="s">
        <v>61</v>
      </c>
      <c r="H13532" t="s">
        <v>42</v>
      </c>
      <c r="I13532" t="s">
        <v>2190</v>
      </c>
      <c r="J13532" s="10">
        <v>4.2</v>
      </c>
      <c r="K13532" t="b">
        <v>1</v>
      </c>
    </row>
    <row r="13533" spans="1:11">
      <c r="A13533" s="12">
        <v>43332</v>
      </c>
      <c r="B13533">
        <v>2018</v>
      </c>
      <c r="C13533">
        <v>8</v>
      </c>
      <c r="D13533" s="11">
        <v>43313</v>
      </c>
      <c r="E13533" t="s">
        <v>2180</v>
      </c>
      <c r="F13533">
        <v>1</v>
      </c>
      <c r="G13533" t="s">
        <v>61</v>
      </c>
      <c r="H13533" t="s">
        <v>43</v>
      </c>
      <c r="I13533" t="s">
        <v>2191</v>
      </c>
      <c r="J13533" s="10">
        <v>21.4</v>
      </c>
      <c r="K13533" t="b">
        <v>1</v>
      </c>
    </row>
    <row r="13534" spans="1:11">
      <c r="A13534" s="12">
        <v>43332</v>
      </c>
      <c r="B13534">
        <v>2018</v>
      </c>
      <c r="C13534">
        <v>8</v>
      </c>
      <c r="D13534" s="11">
        <v>43313</v>
      </c>
      <c r="E13534" t="s">
        <v>2180</v>
      </c>
      <c r="F13534">
        <v>1</v>
      </c>
      <c r="G13534" t="s">
        <v>61</v>
      </c>
      <c r="H13534" t="s">
        <v>44</v>
      </c>
      <c r="I13534" t="s">
        <v>2192</v>
      </c>
      <c r="J13534" s="10">
        <v>7</v>
      </c>
      <c r="K13534" t="b">
        <v>1</v>
      </c>
    </row>
    <row r="13535" spans="1:11">
      <c r="A13535" s="12">
        <v>43332</v>
      </c>
      <c r="B13535">
        <v>2018</v>
      </c>
      <c r="C13535">
        <v>8</v>
      </c>
      <c r="D13535" s="11">
        <v>43313</v>
      </c>
      <c r="E13535" t="s">
        <v>2180</v>
      </c>
      <c r="F13535">
        <v>1</v>
      </c>
      <c r="G13535" t="s">
        <v>61</v>
      </c>
      <c r="H13535" t="s">
        <v>45</v>
      </c>
      <c r="I13535" t="s">
        <v>2193</v>
      </c>
      <c r="J13535" s="10">
        <v>0</v>
      </c>
      <c r="K13535" t="b">
        <v>1</v>
      </c>
    </row>
    <row r="13536" spans="1:11">
      <c r="A13536" s="12">
        <v>43332</v>
      </c>
      <c r="B13536">
        <v>2018</v>
      </c>
      <c r="C13536">
        <v>8</v>
      </c>
      <c r="D13536" s="11">
        <v>43313</v>
      </c>
      <c r="E13536" t="s">
        <v>2180</v>
      </c>
      <c r="F13536">
        <v>1</v>
      </c>
      <c r="G13536" t="s">
        <v>61</v>
      </c>
      <c r="H13536" t="s">
        <v>46</v>
      </c>
      <c r="I13536" t="s">
        <v>2194</v>
      </c>
      <c r="J13536" s="10">
        <v>20</v>
      </c>
      <c r="K13536" t="b">
        <v>1</v>
      </c>
    </row>
    <row r="13537" spans="1:11">
      <c r="A13537" s="12">
        <v>43332</v>
      </c>
      <c r="B13537">
        <v>2018</v>
      </c>
      <c r="C13537">
        <v>8</v>
      </c>
      <c r="D13537" s="11">
        <v>43313</v>
      </c>
      <c r="E13537" t="s">
        <v>2180</v>
      </c>
      <c r="F13537">
        <v>1</v>
      </c>
      <c r="G13537" t="s">
        <v>61</v>
      </c>
      <c r="H13537" t="s">
        <v>47</v>
      </c>
      <c r="I13537" t="s">
        <v>2195</v>
      </c>
      <c r="J13537" s="10">
        <v>3</v>
      </c>
      <c r="K13537" t="b">
        <v>1</v>
      </c>
    </row>
    <row r="13538" spans="1:11">
      <c r="A13538" s="12">
        <v>43333</v>
      </c>
      <c r="B13538">
        <v>2018</v>
      </c>
      <c r="C13538">
        <v>8</v>
      </c>
      <c r="D13538" s="11">
        <v>43313</v>
      </c>
      <c r="E13538" t="s">
        <v>2180</v>
      </c>
      <c r="F13538">
        <v>2</v>
      </c>
      <c r="G13538" t="s">
        <v>63</v>
      </c>
      <c r="H13538" t="s">
        <v>40</v>
      </c>
      <c r="I13538" t="s">
        <v>2188</v>
      </c>
      <c r="J13538" s="10">
        <v>2.34</v>
      </c>
      <c r="K13538" t="b">
        <v>1</v>
      </c>
    </row>
    <row r="13539" spans="1:11">
      <c r="A13539" s="12">
        <v>43333</v>
      </c>
      <c r="B13539">
        <v>2018</v>
      </c>
      <c r="C13539">
        <v>8</v>
      </c>
      <c r="D13539" s="11">
        <v>43313</v>
      </c>
      <c r="E13539" t="s">
        <v>2180</v>
      </c>
      <c r="F13539">
        <v>2</v>
      </c>
      <c r="G13539" t="s">
        <v>63</v>
      </c>
      <c r="H13539" t="s">
        <v>41</v>
      </c>
      <c r="I13539" t="s">
        <v>2189</v>
      </c>
      <c r="J13539" s="10">
        <v>3</v>
      </c>
      <c r="K13539" t="b">
        <v>1</v>
      </c>
    </row>
    <row r="13540" spans="1:11">
      <c r="A13540" s="12">
        <v>43333</v>
      </c>
      <c r="B13540">
        <v>2018</v>
      </c>
      <c r="C13540">
        <v>8</v>
      </c>
      <c r="D13540" s="11">
        <v>43313</v>
      </c>
      <c r="E13540" t="s">
        <v>2180</v>
      </c>
      <c r="F13540">
        <v>2</v>
      </c>
      <c r="G13540" t="s">
        <v>63</v>
      </c>
      <c r="H13540" t="s">
        <v>42</v>
      </c>
      <c r="I13540" t="s">
        <v>2190</v>
      </c>
      <c r="J13540" s="10">
        <v>2.15</v>
      </c>
      <c r="K13540" t="b">
        <v>1</v>
      </c>
    </row>
    <row r="13541" spans="1:11">
      <c r="A13541" s="12">
        <v>43333</v>
      </c>
      <c r="B13541">
        <v>2018</v>
      </c>
      <c r="C13541">
        <v>8</v>
      </c>
      <c r="D13541" s="11">
        <v>43313</v>
      </c>
      <c r="E13541" t="s">
        <v>2180</v>
      </c>
      <c r="F13541">
        <v>2</v>
      </c>
      <c r="G13541" t="s">
        <v>63</v>
      </c>
      <c r="H13541" t="s">
        <v>43</v>
      </c>
      <c r="I13541" t="s">
        <v>2191</v>
      </c>
      <c r="J13541" s="10">
        <v>26.2</v>
      </c>
      <c r="K13541" t="b">
        <v>1</v>
      </c>
    </row>
    <row r="13542" spans="1:11">
      <c r="A13542" s="12">
        <v>43333</v>
      </c>
      <c r="B13542">
        <v>2018</v>
      </c>
      <c r="C13542">
        <v>8</v>
      </c>
      <c r="D13542" s="11">
        <v>43313</v>
      </c>
      <c r="E13542" t="s">
        <v>2180</v>
      </c>
      <c r="F13542">
        <v>2</v>
      </c>
      <c r="G13542" t="s">
        <v>63</v>
      </c>
      <c r="H13542" t="s">
        <v>44</v>
      </c>
      <c r="I13542" t="s">
        <v>2192</v>
      </c>
      <c r="J13542" s="10">
        <v>4</v>
      </c>
      <c r="K13542" t="b">
        <v>1</v>
      </c>
    </row>
    <row r="13543" spans="1:11">
      <c r="A13543" s="12">
        <v>43333</v>
      </c>
      <c r="B13543">
        <v>2018</v>
      </c>
      <c r="C13543">
        <v>8</v>
      </c>
      <c r="D13543" s="11">
        <v>43313</v>
      </c>
      <c r="E13543" t="s">
        <v>2180</v>
      </c>
      <c r="F13543">
        <v>2</v>
      </c>
      <c r="G13543" t="s">
        <v>63</v>
      </c>
      <c r="H13543" t="s">
        <v>45</v>
      </c>
      <c r="I13543" t="s">
        <v>2193</v>
      </c>
      <c r="J13543" s="10">
        <v>1</v>
      </c>
      <c r="K13543" t="b">
        <v>1</v>
      </c>
    </row>
    <row r="13544" spans="1:11">
      <c r="A13544" s="12">
        <v>43333</v>
      </c>
      <c r="B13544">
        <v>2018</v>
      </c>
      <c r="C13544">
        <v>8</v>
      </c>
      <c r="D13544" s="11">
        <v>43313</v>
      </c>
      <c r="E13544" t="s">
        <v>2180</v>
      </c>
      <c r="F13544">
        <v>2</v>
      </c>
      <c r="G13544" t="s">
        <v>63</v>
      </c>
      <c r="H13544" t="s">
        <v>46</v>
      </c>
      <c r="I13544" t="s">
        <v>2194</v>
      </c>
      <c r="J13544" s="10">
        <v>1</v>
      </c>
      <c r="K13544" t="b">
        <v>1</v>
      </c>
    </row>
    <row r="13545" spans="1:11">
      <c r="A13545" s="12">
        <v>43333</v>
      </c>
      <c r="B13545">
        <v>2018</v>
      </c>
      <c r="C13545">
        <v>8</v>
      </c>
      <c r="D13545" s="11">
        <v>43313</v>
      </c>
      <c r="E13545" t="s">
        <v>2180</v>
      </c>
      <c r="F13545">
        <v>2</v>
      </c>
      <c r="G13545" t="s">
        <v>63</v>
      </c>
      <c r="H13545" t="s">
        <v>47</v>
      </c>
      <c r="I13545" t="s">
        <v>2195</v>
      </c>
      <c r="J13545" s="10">
        <v>4</v>
      </c>
      <c r="K13545" t="b">
        <v>1</v>
      </c>
    </row>
    <row r="13546" spans="1:11">
      <c r="A13546" s="12">
        <v>43334</v>
      </c>
      <c r="B13546">
        <v>2018</v>
      </c>
      <c r="C13546">
        <v>8</v>
      </c>
      <c r="D13546" s="11">
        <v>43313</v>
      </c>
      <c r="E13546" t="s">
        <v>2180</v>
      </c>
      <c r="F13546">
        <v>3</v>
      </c>
      <c r="G13546" t="s">
        <v>65</v>
      </c>
      <c r="H13546" t="s">
        <v>40</v>
      </c>
      <c r="I13546" t="s">
        <v>2188</v>
      </c>
      <c r="J13546" s="10">
        <v>5</v>
      </c>
      <c r="K13546" t="b">
        <v>1</v>
      </c>
    </row>
    <row r="13547" spans="1:11">
      <c r="A13547" s="12">
        <v>43334</v>
      </c>
      <c r="B13547">
        <v>2018</v>
      </c>
      <c r="C13547">
        <v>8</v>
      </c>
      <c r="D13547" s="11">
        <v>43313</v>
      </c>
      <c r="E13547" t="s">
        <v>2180</v>
      </c>
      <c r="F13547">
        <v>3</v>
      </c>
      <c r="G13547" t="s">
        <v>65</v>
      </c>
      <c r="H13547" t="s">
        <v>41</v>
      </c>
      <c r="I13547" t="s">
        <v>2189</v>
      </c>
      <c r="J13547" s="10">
        <v>4.33</v>
      </c>
      <c r="K13547" t="b">
        <v>1</v>
      </c>
    </row>
    <row r="13548" spans="1:11">
      <c r="A13548" s="12">
        <v>43334</v>
      </c>
      <c r="B13548">
        <v>2018</v>
      </c>
      <c r="C13548">
        <v>8</v>
      </c>
      <c r="D13548" s="11">
        <v>43313</v>
      </c>
      <c r="E13548" t="s">
        <v>2180</v>
      </c>
      <c r="F13548">
        <v>3</v>
      </c>
      <c r="G13548" t="s">
        <v>65</v>
      </c>
      <c r="H13548" t="s">
        <v>42</v>
      </c>
      <c r="I13548" t="s">
        <v>2190</v>
      </c>
      <c r="J13548" s="10">
        <v>0</v>
      </c>
      <c r="K13548" t="b">
        <v>1</v>
      </c>
    </row>
    <row r="13549" spans="1:11">
      <c r="A13549" s="12">
        <v>43334</v>
      </c>
      <c r="B13549">
        <v>2018</v>
      </c>
      <c r="C13549">
        <v>8</v>
      </c>
      <c r="D13549" s="11">
        <v>43313</v>
      </c>
      <c r="E13549" t="s">
        <v>2180</v>
      </c>
      <c r="F13549">
        <v>3</v>
      </c>
      <c r="G13549" t="s">
        <v>65</v>
      </c>
      <c r="H13549" t="s">
        <v>43</v>
      </c>
      <c r="I13549" t="s">
        <v>2191</v>
      </c>
      <c r="J13549" s="10">
        <v>18</v>
      </c>
      <c r="K13549" t="b">
        <v>1</v>
      </c>
    </row>
    <row r="13550" spans="1:11">
      <c r="A13550" s="12">
        <v>43334</v>
      </c>
      <c r="B13550">
        <v>2018</v>
      </c>
      <c r="C13550">
        <v>8</v>
      </c>
      <c r="D13550" s="11">
        <v>43313</v>
      </c>
      <c r="E13550" t="s">
        <v>2180</v>
      </c>
      <c r="F13550">
        <v>3</v>
      </c>
      <c r="G13550" t="s">
        <v>65</v>
      </c>
      <c r="H13550" t="s">
        <v>44</v>
      </c>
      <c r="I13550" t="s">
        <v>2192</v>
      </c>
      <c r="J13550" s="10">
        <v>4</v>
      </c>
      <c r="K13550" t="b">
        <v>1</v>
      </c>
    </row>
    <row r="13551" spans="1:11">
      <c r="A13551" s="12">
        <v>43334</v>
      </c>
      <c r="B13551">
        <v>2018</v>
      </c>
      <c r="C13551">
        <v>8</v>
      </c>
      <c r="D13551" s="11">
        <v>43313</v>
      </c>
      <c r="E13551" t="s">
        <v>2180</v>
      </c>
      <c r="F13551">
        <v>3</v>
      </c>
      <c r="G13551" t="s">
        <v>65</v>
      </c>
      <c r="H13551" t="s">
        <v>45</v>
      </c>
      <c r="I13551" t="s">
        <v>2193</v>
      </c>
      <c r="J13551" s="10">
        <v>1</v>
      </c>
      <c r="K13551" t="b">
        <v>1</v>
      </c>
    </row>
    <row r="13552" spans="1:11">
      <c r="A13552" s="12">
        <v>43334</v>
      </c>
      <c r="B13552">
        <v>2018</v>
      </c>
      <c r="C13552">
        <v>8</v>
      </c>
      <c r="D13552" s="11">
        <v>43313</v>
      </c>
      <c r="E13552" t="s">
        <v>2180</v>
      </c>
      <c r="F13552">
        <v>3</v>
      </c>
      <c r="G13552" t="s">
        <v>65</v>
      </c>
      <c r="H13552" t="s">
        <v>46</v>
      </c>
      <c r="I13552" t="s">
        <v>2194</v>
      </c>
      <c r="J13552" s="10">
        <v>0</v>
      </c>
      <c r="K13552" t="b">
        <v>1</v>
      </c>
    </row>
    <row r="13553" spans="1:11">
      <c r="A13553" s="12">
        <v>43334</v>
      </c>
      <c r="B13553">
        <v>2018</v>
      </c>
      <c r="C13553">
        <v>8</v>
      </c>
      <c r="D13553" s="11">
        <v>43313</v>
      </c>
      <c r="E13553" t="s">
        <v>2180</v>
      </c>
      <c r="F13553">
        <v>3</v>
      </c>
      <c r="G13553" t="s">
        <v>65</v>
      </c>
      <c r="H13553" t="s">
        <v>47</v>
      </c>
      <c r="I13553" t="s">
        <v>2195</v>
      </c>
      <c r="J13553" s="10">
        <v>4</v>
      </c>
      <c r="K13553" t="b">
        <v>1</v>
      </c>
    </row>
    <row r="13554" spans="1:11">
      <c r="A13554" s="12">
        <v>43335</v>
      </c>
      <c r="B13554">
        <v>2018</v>
      </c>
      <c r="C13554">
        <v>8</v>
      </c>
      <c r="D13554" s="11">
        <v>43313</v>
      </c>
      <c r="E13554" t="s">
        <v>2180</v>
      </c>
      <c r="F13554">
        <v>4</v>
      </c>
      <c r="G13554" t="s">
        <v>53</v>
      </c>
      <c r="H13554" t="s">
        <v>40</v>
      </c>
      <c r="I13554" t="s">
        <v>2188</v>
      </c>
      <c r="J13554" s="10">
        <v>5</v>
      </c>
      <c r="K13554" t="b">
        <v>1</v>
      </c>
    </row>
    <row r="13555" spans="1:11">
      <c r="A13555" s="12">
        <v>43335</v>
      </c>
      <c r="B13555">
        <v>2018</v>
      </c>
      <c r="C13555">
        <v>8</v>
      </c>
      <c r="D13555" s="11">
        <v>43313</v>
      </c>
      <c r="E13555" t="s">
        <v>2180</v>
      </c>
      <c r="F13555">
        <v>4</v>
      </c>
      <c r="G13555" t="s">
        <v>53</v>
      </c>
      <c r="H13555" t="s">
        <v>41</v>
      </c>
      <c r="I13555" t="s">
        <v>2189</v>
      </c>
      <c r="J13555" s="10">
        <v>4.067</v>
      </c>
      <c r="K13555" t="b">
        <v>1</v>
      </c>
    </row>
    <row r="13556" spans="1:11">
      <c r="A13556" s="12">
        <v>43335</v>
      </c>
      <c r="B13556">
        <v>2018</v>
      </c>
      <c r="C13556">
        <v>8</v>
      </c>
      <c r="D13556" s="11">
        <v>43313</v>
      </c>
      <c r="E13556" t="s">
        <v>2180</v>
      </c>
      <c r="F13556">
        <v>4</v>
      </c>
      <c r="G13556" t="s">
        <v>53</v>
      </c>
      <c r="H13556" t="s">
        <v>42</v>
      </c>
      <c r="I13556" t="s">
        <v>2190</v>
      </c>
      <c r="J13556" s="10">
        <v>4</v>
      </c>
      <c r="K13556" t="b">
        <v>1</v>
      </c>
    </row>
    <row r="13557" spans="1:11">
      <c r="A13557" s="12">
        <v>43335</v>
      </c>
      <c r="B13557">
        <v>2018</v>
      </c>
      <c r="C13557">
        <v>8</v>
      </c>
      <c r="D13557" s="11">
        <v>43313</v>
      </c>
      <c r="E13557" t="s">
        <v>2180</v>
      </c>
      <c r="F13557">
        <v>4</v>
      </c>
      <c r="G13557" t="s">
        <v>53</v>
      </c>
      <c r="H13557" t="s">
        <v>43</v>
      </c>
      <c r="I13557" t="s">
        <v>2191</v>
      </c>
      <c r="J13557" s="10">
        <v>35</v>
      </c>
      <c r="K13557" t="b">
        <v>1</v>
      </c>
    </row>
    <row r="13558" spans="1:11">
      <c r="A13558" s="12">
        <v>43335</v>
      </c>
      <c r="B13558">
        <v>2018</v>
      </c>
      <c r="C13558">
        <v>8</v>
      </c>
      <c r="D13558" s="11">
        <v>43313</v>
      </c>
      <c r="E13558" t="s">
        <v>2180</v>
      </c>
      <c r="F13558">
        <v>4</v>
      </c>
      <c r="G13558" t="s">
        <v>53</v>
      </c>
      <c r="H13558" t="s">
        <v>44</v>
      </c>
      <c r="I13558" t="s">
        <v>2192</v>
      </c>
      <c r="J13558" s="10">
        <v>8</v>
      </c>
      <c r="K13558" t="b">
        <v>1</v>
      </c>
    </row>
    <row r="13559" spans="1:11">
      <c r="A13559" s="12">
        <v>43335</v>
      </c>
      <c r="B13559">
        <v>2018</v>
      </c>
      <c r="C13559">
        <v>8</v>
      </c>
      <c r="D13559" s="11">
        <v>43313</v>
      </c>
      <c r="E13559" t="s">
        <v>2180</v>
      </c>
      <c r="F13559">
        <v>4</v>
      </c>
      <c r="G13559" t="s">
        <v>53</v>
      </c>
      <c r="H13559" t="s">
        <v>45</v>
      </c>
      <c r="I13559" t="s">
        <v>2193</v>
      </c>
      <c r="J13559" s="10">
        <v>0</v>
      </c>
      <c r="K13559" t="b">
        <v>1</v>
      </c>
    </row>
    <row r="13560" spans="1:11">
      <c r="A13560" s="12">
        <v>43335</v>
      </c>
      <c r="B13560">
        <v>2018</v>
      </c>
      <c r="C13560">
        <v>8</v>
      </c>
      <c r="D13560" s="11">
        <v>43313</v>
      </c>
      <c r="E13560" t="s">
        <v>2180</v>
      </c>
      <c r="F13560">
        <v>4</v>
      </c>
      <c r="G13560" t="s">
        <v>53</v>
      </c>
      <c r="H13560" t="s">
        <v>46</v>
      </c>
      <c r="I13560" t="s">
        <v>2194</v>
      </c>
      <c r="J13560" s="10">
        <v>23</v>
      </c>
      <c r="K13560" t="b">
        <v>1</v>
      </c>
    </row>
    <row r="13561" spans="1:11">
      <c r="A13561" s="12">
        <v>43335</v>
      </c>
      <c r="B13561">
        <v>2018</v>
      </c>
      <c r="C13561">
        <v>8</v>
      </c>
      <c r="D13561" s="11">
        <v>43313</v>
      </c>
      <c r="E13561" t="s">
        <v>2180</v>
      </c>
      <c r="F13561">
        <v>4</v>
      </c>
      <c r="G13561" t="s">
        <v>53</v>
      </c>
      <c r="H13561" t="s">
        <v>47</v>
      </c>
      <c r="I13561" t="s">
        <v>2195</v>
      </c>
      <c r="J13561" s="10">
        <v>3</v>
      </c>
      <c r="K13561" t="b">
        <v>1</v>
      </c>
    </row>
    <row r="13562" spans="1:11">
      <c r="A13562" s="12">
        <v>43336</v>
      </c>
      <c r="B13562">
        <v>2018</v>
      </c>
      <c r="C13562">
        <v>8</v>
      </c>
      <c r="D13562" s="11">
        <v>43313</v>
      </c>
      <c r="E13562" t="s">
        <v>2180</v>
      </c>
      <c r="F13562">
        <v>5</v>
      </c>
      <c r="G13562" t="s">
        <v>55</v>
      </c>
      <c r="H13562" t="s">
        <v>40</v>
      </c>
      <c r="I13562" t="s">
        <v>2188</v>
      </c>
      <c r="J13562" s="10">
        <v>4</v>
      </c>
      <c r="K13562" t="b">
        <v>1</v>
      </c>
    </row>
    <row r="13563" spans="1:11">
      <c r="A13563" s="12">
        <v>43336</v>
      </c>
      <c r="B13563">
        <v>2018</v>
      </c>
      <c r="C13563">
        <v>8</v>
      </c>
      <c r="D13563" s="11">
        <v>43313</v>
      </c>
      <c r="E13563" t="s">
        <v>2180</v>
      </c>
      <c r="F13563">
        <v>5</v>
      </c>
      <c r="G13563" t="s">
        <v>55</v>
      </c>
      <c r="H13563" t="s">
        <v>41</v>
      </c>
      <c r="I13563" t="s">
        <v>2189</v>
      </c>
      <c r="J13563" s="10">
        <v>2.34</v>
      </c>
      <c r="K13563" t="b">
        <v>1</v>
      </c>
    </row>
    <row r="13564" spans="1:11">
      <c r="A13564" s="12">
        <v>43336</v>
      </c>
      <c r="B13564">
        <v>2018</v>
      </c>
      <c r="C13564">
        <v>8</v>
      </c>
      <c r="D13564" s="11">
        <v>43313</v>
      </c>
      <c r="E13564" t="s">
        <v>2180</v>
      </c>
      <c r="F13564">
        <v>5</v>
      </c>
      <c r="G13564" t="s">
        <v>55</v>
      </c>
      <c r="H13564" t="s">
        <v>42</v>
      </c>
      <c r="I13564" t="s">
        <v>2190</v>
      </c>
      <c r="J13564" s="10">
        <v>1</v>
      </c>
      <c r="K13564" t="b">
        <v>1</v>
      </c>
    </row>
    <row r="13565" spans="1:11">
      <c r="A13565" s="12">
        <v>43336</v>
      </c>
      <c r="B13565">
        <v>2018</v>
      </c>
      <c r="C13565">
        <v>8</v>
      </c>
      <c r="D13565" s="11">
        <v>43313</v>
      </c>
      <c r="E13565" t="s">
        <v>2180</v>
      </c>
      <c r="F13565">
        <v>5</v>
      </c>
      <c r="G13565" t="s">
        <v>55</v>
      </c>
      <c r="H13565" t="s">
        <v>43</v>
      </c>
      <c r="I13565" t="s">
        <v>2191</v>
      </c>
      <c r="J13565" s="10">
        <v>38.5</v>
      </c>
      <c r="K13565" t="b">
        <v>1</v>
      </c>
    </row>
    <row r="13566" spans="1:11">
      <c r="A13566" s="12">
        <v>43336</v>
      </c>
      <c r="B13566">
        <v>2018</v>
      </c>
      <c r="C13566">
        <v>8</v>
      </c>
      <c r="D13566" s="11">
        <v>43313</v>
      </c>
      <c r="E13566" t="s">
        <v>2180</v>
      </c>
      <c r="F13566">
        <v>5</v>
      </c>
      <c r="G13566" t="s">
        <v>55</v>
      </c>
      <c r="H13566" t="s">
        <v>44</v>
      </c>
      <c r="I13566" t="s">
        <v>2192</v>
      </c>
      <c r="J13566" s="10">
        <v>7</v>
      </c>
      <c r="K13566" t="b">
        <v>1</v>
      </c>
    </row>
    <row r="13567" spans="1:11">
      <c r="A13567" s="12">
        <v>43336</v>
      </c>
      <c r="B13567">
        <v>2018</v>
      </c>
      <c r="C13567">
        <v>8</v>
      </c>
      <c r="D13567" s="11">
        <v>43313</v>
      </c>
      <c r="E13567" t="s">
        <v>2180</v>
      </c>
      <c r="F13567">
        <v>5</v>
      </c>
      <c r="G13567" t="s">
        <v>55</v>
      </c>
      <c r="H13567" t="s">
        <v>45</v>
      </c>
      <c r="I13567" t="s">
        <v>2193</v>
      </c>
      <c r="J13567" s="10">
        <v>0</v>
      </c>
      <c r="K13567" t="b">
        <v>1</v>
      </c>
    </row>
    <row r="13568" spans="1:11">
      <c r="A13568" s="12">
        <v>43336</v>
      </c>
      <c r="B13568">
        <v>2018</v>
      </c>
      <c r="C13568">
        <v>8</v>
      </c>
      <c r="D13568" s="11">
        <v>43313</v>
      </c>
      <c r="E13568" t="s">
        <v>2180</v>
      </c>
      <c r="F13568">
        <v>5</v>
      </c>
      <c r="G13568" t="s">
        <v>55</v>
      </c>
      <c r="H13568" t="s">
        <v>46</v>
      </c>
      <c r="I13568" t="s">
        <v>2194</v>
      </c>
      <c r="J13568" s="10">
        <v>21</v>
      </c>
      <c r="K13568" t="b">
        <v>1</v>
      </c>
    </row>
    <row r="13569" spans="1:11">
      <c r="A13569" s="12">
        <v>43336</v>
      </c>
      <c r="B13569">
        <v>2018</v>
      </c>
      <c r="C13569">
        <v>8</v>
      </c>
      <c r="D13569" s="11">
        <v>43313</v>
      </c>
      <c r="E13569" t="s">
        <v>2180</v>
      </c>
      <c r="F13569">
        <v>5</v>
      </c>
      <c r="G13569" t="s">
        <v>55</v>
      </c>
      <c r="H13569" t="s">
        <v>47</v>
      </c>
      <c r="I13569" t="s">
        <v>2195</v>
      </c>
      <c r="J13569" s="10">
        <v>4</v>
      </c>
      <c r="K13569" t="b">
        <v>1</v>
      </c>
    </row>
    <row r="13570" spans="1:11">
      <c r="A13570" s="12">
        <v>43337</v>
      </c>
      <c r="B13570">
        <v>2018</v>
      </c>
      <c r="C13570">
        <v>8</v>
      </c>
      <c r="D13570" s="11">
        <v>43313</v>
      </c>
      <c r="E13570" t="s">
        <v>2180</v>
      </c>
      <c r="F13570">
        <v>6</v>
      </c>
      <c r="G13570" t="s">
        <v>57</v>
      </c>
      <c r="H13570" t="s">
        <v>40</v>
      </c>
      <c r="I13570" t="s">
        <v>2188</v>
      </c>
      <c r="J13570" s="10">
        <v>3.67</v>
      </c>
      <c r="K13570" t="b">
        <v>1</v>
      </c>
    </row>
    <row r="13571" spans="1:11">
      <c r="A13571" s="12">
        <v>43337</v>
      </c>
      <c r="B13571">
        <v>2018</v>
      </c>
      <c r="C13571">
        <v>8</v>
      </c>
      <c r="D13571" s="11">
        <v>43313</v>
      </c>
      <c r="E13571" t="s">
        <v>2180</v>
      </c>
      <c r="F13571">
        <v>6</v>
      </c>
      <c r="G13571" t="s">
        <v>57</v>
      </c>
      <c r="H13571" t="s">
        <v>41</v>
      </c>
      <c r="I13571" t="s">
        <v>2189</v>
      </c>
      <c r="J13571" s="10">
        <v>4.01</v>
      </c>
      <c r="K13571" t="b">
        <v>1</v>
      </c>
    </row>
    <row r="13572" spans="1:11">
      <c r="A13572" s="12">
        <v>43337</v>
      </c>
      <c r="B13572">
        <v>2018</v>
      </c>
      <c r="C13572">
        <v>8</v>
      </c>
      <c r="D13572" s="11">
        <v>43313</v>
      </c>
      <c r="E13572" t="s">
        <v>2180</v>
      </c>
      <c r="F13572">
        <v>6</v>
      </c>
      <c r="G13572" t="s">
        <v>57</v>
      </c>
      <c r="H13572" t="s">
        <v>42</v>
      </c>
      <c r="I13572" t="s">
        <v>2190</v>
      </c>
      <c r="J13572" s="10">
        <v>3.2</v>
      </c>
      <c r="K13572" t="b">
        <v>1</v>
      </c>
    </row>
    <row r="13573" spans="1:11">
      <c r="A13573" s="12">
        <v>43337</v>
      </c>
      <c r="B13573">
        <v>2018</v>
      </c>
      <c r="C13573">
        <v>8</v>
      </c>
      <c r="D13573" s="11">
        <v>43313</v>
      </c>
      <c r="E13573" t="s">
        <v>2180</v>
      </c>
      <c r="F13573">
        <v>6</v>
      </c>
      <c r="G13573" t="s">
        <v>57</v>
      </c>
      <c r="H13573" t="s">
        <v>43</v>
      </c>
      <c r="I13573" t="s">
        <v>2191</v>
      </c>
      <c r="J13573" s="10">
        <v>27</v>
      </c>
      <c r="K13573" t="b">
        <v>1</v>
      </c>
    </row>
    <row r="13574" spans="1:11">
      <c r="A13574" s="12">
        <v>43337</v>
      </c>
      <c r="B13574">
        <v>2018</v>
      </c>
      <c r="C13574">
        <v>8</v>
      </c>
      <c r="D13574" s="11">
        <v>43313</v>
      </c>
      <c r="E13574" t="s">
        <v>2180</v>
      </c>
      <c r="F13574">
        <v>6</v>
      </c>
      <c r="G13574" t="s">
        <v>57</v>
      </c>
      <c r="H13574" t="s">
        <v>44</v>
      </c>
      <c r="I13574" t="s">
        <v>2192</v>
      </c>
      <c r="J13574" s="10">
        <v>4</v>
      </c>
      <c r="K13574" t="b">
        <v>1</v>
      </c>
    </row>
    <row r="13575" spans="1:11">
      <c r="A13575" s="12">
        <v>43337</v>
      </c>
      <c r="B13575">
        <v>2018</v>
      </c>
      <c r="C13575">
        <v>8</v>
      </c>
      <c r="D13575" s="11">
        <v>43313</v>
      </c>
      <c r="E13575" t="s">
        <v>2180</v>
      </c>
      <c r="F13575">
        <v>6</v>
      </c>
      <c r="G13575" t="s">
        <v>57</v>
      </c>
      <c r="H13575" t="s">
        <v>45</v>
      </c>
      <c r="I13575" t="s">
        <v>2193</v>
      </c>
      <c r="J13575" s="10">
        <v>0</v>
      </c>
      <c r="K13575" t="b">
        <v>1</v>
      </c>
    </row>
    <row r="13576" spans="1:11">
      <c r="A13576" s="12">
        <v>43337</v>
      </c>
      <c r="B13576">
        <v>2018</v>
      </c>
      <c r="C13576">
        <v>8</v>
      </c>
      <c r="D13576" s="11">
        <v>43313</v>
      </c>
      <c r="E13576" t="s">
        <v>2180</v>
      </c>
      <c r="F13576">
        <v>6</v>
      </c>
      <c r="G13576" t="s">
        <v>57</v>
      </c>
      <c r="H13576" t="s">
        <v>46</v>
      </c>
      <c r="I13576" t="s">
        <v>2194</v>
      </c>
      <c r="J13576" s="10">
        <v>6</v>
      </c>
      <c r="K13576" t="b">
        <v>1</v>
      </c>
    </row>
    <row r="13577" spans="1:11">
      <c r="A13577" s="12">
        <v>43337</v>
      </c>
      <c r="B13577">
        <v>2018</v>
      </c>
      <c r="C13577">
        <v>8</v>
      </c>
      <c r="D13577" s="11">
        <v>43313</v>
      </c>
      <c r="E13577" t="s">
        <v>2180</v>
      </c>
      <c r="F13577">
        <v>6</v>
      </c>
      <c r="G13577" t="s">
        <v>57</v>
      </c>
      <c r="H13577" t="s">
        <v>47</v>
      </c>
      <c r="I13577" t="s">
        <v>2195</v>
      </c>
      <c r="J13577" s="10">
        <v>2.5</v>
      </c>
      <c r="K13577" t="b">
        <v>1</v>
      </c>
    </row>
    <row r="13578" spans="1:11">
      <c r="A13578" s="12">
        <v>43338</v>
      </c>
      <c r="B13578">
        <v>2018</v>
      </c>
      <c r="C13578">
        <v>8</v>
      </c>
      <c r="D13578" s="11">
        <v>43313</v>
      </c>
      <c r="E13578" t="s">
        <v>2180</v>
      </c>
      <c r="F13578">
        <v>7</v>
      </c>
      <c r="G13578" t="s">
        <v>59</v>
      </c>
      <c r="H13578" t="s">
        <v>40</v>
      </c>
      <c r="I13578" t="s">
        <v>2188</v>
      </c>
      <c r="J13578" s="10">
        <v>11.33</v>
      </c>
      <c r="K13578" t="b">
        <v>1</v>
      </c>
    </row>
    <row r="13579" spans="1:11">
      <c r="A13579" s="12">
        <v>43338</v>
      </c>
      <c r="B13579">
        <v>2018</v>
      </c>
      <c r="C13579">
        <v>8</v>
      </c>
      <c r="D13579" s="11">
        <v>43313</v>
      </c>
      <c r="E13579" t="s">
        <v>2180</v>
      </c>
      <c r="F13579">
        <v>7</v>
      </c>
      <c r="G13579" t="s">
        <v>59</v>
      </c>
      <c r="H13579" t="s">
        <v>41</v>
      </c>
      <c r="I13579" t="s">
        <v>2189</v>
      </c>
      <c r="J13579" s="10">
        <v>6.67</v>
      </c>
      <c r="K13579" t="b">
        <v>1</v>
      </c>
    </row>
    <row r="13580" spans="1:11">
      <c r="A13580" s="12">
        <v>43338</v>
      </c>
      <c r="B13580">
        <v>2018</v>
      </c>
      <c r="C13580">
        <v>8</v>
      </c>
      <c r="D13580" s="11">
        <v>43313</v>
      </c>
      <c r="E13580" t="s">
        <v>2180</v>
      </c>
      <c r="F13580">
        <v>7</v>
      </c>
      <c r="G13580" t="s">
        <v>59</v>
      </c>
      <c r="H13580" t="s">
        <v>42</v>
      </c>
      <c r="I13580" t="s">
        <v>2190</v>
      </c>
      <c r="J13580" s="10">
        <v>4</v>
      </c>
      <c r="K13580" t="b">
        <v>1</v>
      </c>
    </row>
    <row r="13581" spans="1:11">
      <c r="A13581" s="12">
        <v>43338</v>
      </c>
      <c r="B13581">
        <v>2018</v>
      </c>
      <c r="C13581">
        <v>8</v>
      </c>
      <c r="D13581" s="11">
        <v>43313</v>
      </c>
      <c r="E13581" t="s">
        <v>2180</v>
      </c>
      <c r="F13581">
        <v>7</v>
      </c>
      <c r="G13581" t="s">
        <v>59</v>
      </c>
      <c r="H13581" t="s">
        <v>43</v>
      </c>
      <c r="I13581" t="s">
        <v>2191</v>
      </c>
      <c r="J13581" s="10">
        <v>57</v>
      </c>
      <c r="K13581" t="b">
        <v>1</v>
      </c>
    </row>
    <row r="13582" spans="1:11">
      <c r="A13582" s="12">
        <v>43338</v>
      </c>
      <c r="B13582">
        <v>2018</v>
      </c>
      <c r="C13582">
        <v>8</v>
      </c>
      <c r="D13582" s="11">
        <v>43313</v>
      </c>
      <c r="E13582" t="s">
        <v>2180</v>
      </c>
      <c r="F13582">
        <v>7</v>
      </c>
      <c r="G13582" t="s">
        <v>59</v>
      </c>
      <c r="H13582" t="s">
        <v>44</v>
      </c>
      <c r="I13582" t="s">
        <v>2192</v>
      </c>
      <c r="J13582" s="10">
        <v>10</v>
      </c>
      <c r="K13582" t="b">
        <v>1</v>
      </c>
    </row>
    <row r="13583" spans="1:11">
      <c r="A13583" s="12">
        <v>43338</v>
      </c>
      <c r="B13583">
        <v>2018</v>
      </c>
      <c r="C13583">
        <v>8</v>
      </c>
      <c r="D13583" s="11">
        <v>43313</v>
      </c>
      <c r="E13583" t="s">
        <v>2180</v>
      </c>
      <c r="F13583">
        <v>7</v>
      </c>
      <c r="G13583" t="s">
        <v>59</v>
      </c>
      <c r="H13583" t="s">
        <v>45</v>
      </c>
      <c r="I13583" t="s">
        <v>2193</v>
      </c>
      <c r="J13583" s="10">
        <v>0</v>
      </c>
      <c r="K13583" t="b">
        <v>1</v>
      </c>
    </row>
    <row r="13584" spans="1:11">
      <c r="A13584" s="12">
        <v>43338</v>
      </c>
      <c r="B13584">
        <v>2018</v>
      </c>
      <c r="C13584">
        <v>8</v>
      </c>
      <c r="D13584" s="11">
        <v>43313</v>
      </c>
      <c r="E13584" t="s">
        <v>2180</v>
      </c>
      <c r="F13584">
        <v>7</v>
      </c>
      <c r="G13584" t="s">
        <v>59</v>
      </c>
      <c r="H13584" t="s">
        <v>46</v>
      </c>
      <c r="I13584" t="s">
        <v>2194</v>
      </c>
      <c r="J13584" s="10">
        <v>8</v>
      </c>
      <c r="K13584" t="b">
        <v>1</v>
      </c>
    </row>
    <row r="13585" spans="1:11">
      <c r="A13585" s="12">
        <v>43338</v>
      </c>
      <c r="B13585">
        <v>2018</v>
      </c>
      <c r="C13585">
        <v>8</v>
      </c>
      <c r="D13585" s="11">
        <v>43313</v>
      </c>
      <c r="E13585" t="s">
        <v>2180</v>
      </c>
      <c r="F13585">
        <v>7</v>
      </c>
      <c r="G13585" t="s">
        <v>59</v>
      </c>
      <c r="H13585" t="s">
        <v>47</v>
      </c>
      <c r="I13585" t="s">
        <v>2195</v>
      </c>
      <c r="J13585" s="10">
        <v>4.3</v>
      </c>
      <c r="K13585" t="b">
        <v>1</v>
      </c>
    </row>
    <row r="13586" spans="1:11">
      <c r="A13586" s="12">
        <v>43339</v>
      </c>
      <c r="B13586">
        <v>2018</v>
      </c>
      <c r="C13586">
        <v>8</v>
      </c>
      <c r="D13586" s="11">
        <v>43313</v>
      </c>
      <c r="E13586" t="s">
        <v>2180</v>
      </c>
      <c r="F13586">
        <v>1</v>
      </c>
      <c r="G13586" t="s">
        <v>61</v>
      </c>
      <c r="H13586" t="s">
        <v>40</v>
      </c>
      <c r="I13586" t="s">
        <v>2188</v>
      </c>
      <c r="J13586" s="10">
        <v>3.34</v>
      </c>
      <c r="K13586" t="b">
        <v>1</v>
      </c>
    </row>
    <row r="13587" spans="1:11">
      <c r="A13587" s="12">
        <v>43339</v>
      </c>
      <c r="B13587">
        <v>2018</v>
      </c>
      <c r="C13587">
        <v>8</v>
      </c>
      <c r="D13587" s="11">
        <v>43313</v>
      </c>
      <c r="E13587" t="s">
        <v>2180</v>
      </c>
      <c r="F13587">
        <v>1</v>
      </c>
      <c r="G13587" t="s">
        <v>61</v>
      </c>
      <c r="H13587" t="s">
        <v>41</v>
      </c>
      <c r="I13587" t="s">
        <v>2189</v>
      </c>
      <c r="J13587" s="10">
        <v>1</v>
      </c>
      <c r="K13587" t="b">
        <v>1</v>
      </c>
    </row>
    <row r="13588" spans="1:11">
      <c r="A13588" s="12">
        <v>43339</v>
      </c>
      <c r="B13588">
        <v>2018</v>
      </c>
      <c r="C13588">
        <v>8</v>
      </c>
      <c r="D13588" s="11">
        <v>43313</v>
      </c>
      <c r="E13588" t="s">
        <v>2180</v>
      </c>
      <c r="F13588">
        <v>1</v>
      </c>
      <c r="G13588" t="s">
        <v>61</v>
      </c>
      <c r="H13588" t="s">
        <v>42</v>
      </c>
      <c r="I13588" t="s">
        <v>2190</v>
      </c>
      <c r="J13588" s="10">
        <v>9</v>
      </c>
      <c r="K13588" t="b">
        <v>1</v>
      </c>
    </row>
    <row r="13589" spans="1:11">
      <c r="A13589" s="12">
        <v>43339</v>
      </c>
      <c r="B13589">
        <v>2018</v>
      </c>
      <c r="C13589">
        <v>8</v>
      </c>
      <c r="D13589" s="11">
        <v>43313</v>
      </c>
      <c r="E13589" t="s">
        <v>2180</v>
      </c>
      <c r="F13589">
        <v>1</v>
      </c>
      <c r="G13589" t="s">
        <v>61</v>
      </c>
      <c r="H13589" t="s">
        <v>43</v>
      </c>
      <c r="I13589" t="s">
        <v>2191</v>
      </c>
      <c r="J13589" s="10">
        <v>16</v>
      </c>
      <c r="K13589" t="b">
        <v>1</v>
      </c>
    </row>
    <row r="13590" spans="1:11">
      <c r="A13590" s="12">
        <v>43339</v>
      </c>
      <c r="B13590">
        <v>2018</v>
      </c>
      <c r="C13590">
        <v>8</v>
      </c>
      <c r="D13590" s="11">
        <v>43313</v>
      </c>
      <c r="E13590" t="s">
        <v>2180</v>
      </c>
      <c r="F13590">
        <v>1</v>
      </c>
      <c r="G13590" t="s">
        <v>61</v>
      </c>
      <c r="H13590" t="s">
        <v>44</v>
      </c>
      <c r="I13590" t="s">
        <v>2192</v>
      </c>
      <c r="J13590" s="10">
        <v>6</v>
      </c>
      <c r="K13590" t="b">
        <v>1</v>
      </c>
    </row>
    <row r="13591" spans="1:11">
      <c r="A13591" s="12">
        <v>43339</v>
      </c>
      <c r="B13591">
        <v>2018</v>
      </c>
      <c r="C13591">
        <v>8</v>
      </c>
      <c r="D13591" s="11">
        <v>43313</v>
      </c>
      <c r="E13591" t="s">
        <v>2180</v>
      </c>
      <c r="F13591">
        <v>1</v>
      </c>
      <c r="G13591" t="s">
        <v>61</v>
      </c>
      <c r="H13591" t="s">
        <v>45</v>
      </c>
      <c r="I13591" t="s">
        <v>2193</v>
      </c>
      <c r="J13591" s="10">
        <v>0</v>
      </c>
      <c r="K13591" t="b">
        <v>1</v>
      </c>
    </row>
    <row r="13592" spans="1:11">
      <c r="A13592" s="12">
        <v>43339</v>
      </c>
      <c r="B13592">
        <v>2018</v>
      </c>
      <c r="C13592">
        <v>8</v>
      </c>
      <c r="D13592" s="11">
        <v>43313</v>
      </c>
      <c r="E13592" t="s">
        <v>2180</v>
      </c>
      <c r="F13592">
        <v>1</v>
      </c>
      <c r="G13592" t="s">
        <v>61</v>
      </c>
      <c r="H13592" t="s">
        <v>46</v>
      </c>
      <c r="I13592" t="s">
        <v>2194</v>
      </c>
      <c r="J13592" s="10">
        <v>1</v>
      </c>
      <c r="K13592" t="b">
        <v>1</v>
      </c>
    </row>
    <row r="13593" spans="1:11">
      <c r="A13593" s="12">
        <v>43339</v>
      </c>
      <c r="B13593">
        <v>2018</v>
      </c>
      <c r="C13593">
        <v>8</v>
      </c>
      <c r="D13593" s="11">
        <v>43313</v>
      </c>
      <c r="E13593" t="s">
        <v>2180</v>
      </c>
      <c r="F13593">
        <v>1</v>
      </c>
      <c r="G13593" t="s">
        <v>61</v>
      </c>
      <c r="H13593" t="s">
        <v>47</v>
      </c>
      <c r="I13593" t="s">
        <v>2195</v>
      </c>
      <c r="J13593" s="10">
        <v>1</v>
      </c>
      <c r="K13593" t="b">
        <v>1</v>
      </c>
    </row>
    <row r="13594" spans="1:11">
      <c r="A13594" s="12">
        <v>43340</v>
      </c>
      <c r="B13594">
        <v>2018</v>
      </c>
      <c r="C13594">
        <v>8</v>
      </c>
      <c r="D13594" s="11">
        <v>43313</v>
      </c>
      <c r="E13594" t="s">
        <v>2180</v>
      </c>
      <c r="F13594">
        <v>2</v>
      </c>
      <c r="G13594" t="s">
        <v>63</v>
      </c>
      <c r="H13594" t="s">
        <v>40</v>
      </c>
      <c r="I13594" t="s">
        <v>2188</v>
      </c>
      <c r="J13594" s="10">
        <v>2</v>
      </c>
      <c r="K13594" t="b">
        <v>1</v>
      </c>
    </row>
    <row r="13595" spans="1:11">
      <c r="A13595" s="12">
        <v>43340</v>
      </c>
      <c r="B13595">
        <v>2018</v>
      </c>
      <c r="C13595">
        <v>8</v>
      </c>
      <c r="D13595" s="11">
        <v>43313</v>
      </c>
      <c r="E13595" t="s">
        <v>2180</v>
      </c>
      <c r="F13595">
        <v>2</v>
      </c>
      <c r="G13595" t="s">
        <v>63</v>
      </c>
      <c r="H13595" t="s">
        <v>41</v>
      </c>
      <c r="I13595" t="s">
        <v>2189</v>
      </c>
      <c r="J13595" s="10">
        <v>2.68</v>
      </c>
      <c r="K13595" t="b">
        <v>1</v>
      </c>
    </row>
    <row r="13596" spans="1:11">
      <c r="A13596" s="12">
        <v>43340</v>
      </c>
      <c r="B13596">
        <v>2018</v>
      </c>
      <c r="C13596">
        <v>8</v>
      </c>
      <c r="D13596" s="11">
        <v>43313</v>
      </c>
      <c r="E13596" t="s">
        <v>2180</v>
      </c>
      <c r="F13596">
        <v>2</v>
      </c>
      <c r="G13596" t="s">
        <v>63</v>
      </c>
      <c r="H13596" t="s">
        <v>42</v>
      </c>
      <c r="I13596" t="s">
        <v>2190</v>
      </c>
      <c r="J13596" s="10">
        <v>1</v>
      </c>
      <c r="K13596" t="b">
        <v>1</v>
      </c>
    </row>
    <row r="13597" spans="1:11">
      <c r="A13597" s="12">
        <v>43340</v>
      </c>
      <c r="B13597">
        <v>2018</v>
      </c>
      <c r="C13597">
        <v>8</v>
      </c>
      <c r="D13597" s="11">
        <v>43313</v>
      </c>
      <c r="E13597" t="s">
        <v>2180</v>
      </c>
      <c r="F13597">
        <v>2</v>
      </c>
      <c r="G13597" t="s">
        <v>63</v>
      </c>
      <c r="H13597" t="s">
        <v>43</v>
      </c>
      <c r="I13597" t="s">
        <v>2191</v>
      </c>
      <c r="J13597" s="10">
        <v>26.4</v>
      </c>
      <c r="K13597" t="b">
        <v>1</v>
      </c>
    </row>
    <row r="13598" spans="1:11">
      <c r="A13598" s="12">
        <v>43340</v>
      </c>
      <c r="B13598">
        <v>2018</v>
      </c>
      <c r="C13598">
        <v>8</v>
      </c>
      <c r="D13598" s="11">
        <v>43313</v>
      </c>
      <c r="E13598" t="s">
        <v>2180</v>
      </c>
      <c r="F13598">
        <v>2</v>
      </c>
      <c r="G13598" t="s">
        <v>63</v>
      </c>
      <c r="H13598" t="s">
        <v>44</v>
      </c>
      <c r="I13598" t="s">
        <v>2192</v>
      </c>
      <c r="J13598" s="10">
        <v>7</v>
      </c>
      <c r="K13598" t="b">
        <v>1</v>
      </c>
    </row>
    <row r="13599" spans="1:11">
      <c r="A13599" s="12">
        <v>43340</v>
      </c>
      <c r="B13599">
        <v>2018</v>
      </c>
      <c r="C13599">
        <v>8</v>
      </c>
      <c r="D13599" s="11">
        <v>43313</v>
      </c>
      <c r="E13599" t="s">
        <v>2180</v>
      </c>
      <c r="F13599">
        <v>2</v>
      </c>
      <c r="G13599" t="s">
        <v>63</v>
      </c>
      <c r="H13599" t="s">
        <v>45</v>
      </c>
      <c r="I13599" t="s">
        <v>2193</v>
      </c>
      <c r="J13599" s="10">
        <v>1</v>
      </c>
      <c r="K13599" t="b">
        <v>1</v>
      </c>
    </row>
    <row r="13600" spans="1:11">
      <c r="A13600" s="12">
        <v>43340</v>
      </c>
      <c r="B13600">
        <v>2018</v>
      </c>
      <c r="C13600">
        <v>8</v>
      </c>
      <c r="D13600" s="11">
        <v>43313</v>
      </c>
      <c r="E13600" t="s">
        <v>2180</v>
      </c>
      <c r="F13600">
        <v>2</v>
      </c>
      <c r="G13600" t="s">
        <v>63</v>
      </c>
      <c r="H13600" t="s">
        <v>46</v>
      </c>
      <c r="I13600" t="s">
        <v>2194</v>
      </c>
      <c r="J13600" s="10">
        <v>0</v>
      </c>
      <c r="K13600" t="b">
        <v>1</v>
      </c>
    </row>
    <row r="13601" spans="1:11">
      <c r="A13601" s="12">
        <v>43340</v>
      </c>
      <c r="B13601">
        <v>2018</v>
      </c>
      <c r="C13601">
        <v>8</v>
      </c>
      <c r="D13601" s="11">
        <v>43313</v>
      </c>
      <c r="E13601" t="s">
        <v>2180</v>
      </c>
      <c r="F13601">
        <v>2</v>
      </c>
      <c r="G13601" t="s">
        <v>63</v>
      </c>
      <c r="H13601" t="s">
        <v>47</v>
      </c>
      <c r="I13601" t="s">
        <v>2195</v>
      </c>
      <c r="J13601" s="10">
        <v>3</v>
      </c>
      <c r="K13601" t="b">
        <v>1</v>
      </c>
    </row>
    <row r="13602" spans="1:11">
      <c r="A13602" s="12">
        <v>43341</v>
      </c>
      <c r="B13602">
        <v>2018</v>
      </c>
      <c r="C13602">
        <v>8</v>
      </c>
      <c r="D13602" s="11">
        <v>43313</v>
      </c>
      <c r="E13602" t="s">
        <v>2180</v>
      </c>
      <c r="F13602">
        <v>3</v>
      </c>
      <c r="G13602" t="s">
        <v>65</v>
      </c>
      <c r="H13602" t="s">
        <v>40</v>
      </c>
      <c r="I13602" t="s">
        <v>2188</v>
      </c>
      <c r="J13602" s="10">
        <v>6.67</v>
      </c>
      <c r="K13602" t="b">
        <v>1</v>
      </c>
    </row>
    <row r="13603" spans="1:11">
      <c r="A13603" s="12">
        <v>43341</v>
      </c>
      <c r="B13603">
        <v>2018</v>
      </c>
      <c r="C13603">
        <v>8</v>
      </c>
      <c r="D13603" s="11">
        <v>43313</v>
      </c>
      <c r="E13603" t="s">
        <v>2180</v>
      </c>
      <c r="F13603">
        <v>3</v>
      </c>
      <c r="G13603" t="s">
        <v>65</v>
      </c>
      <c r="H13603" t="s">
        <v>41</v>
      </c>
      <c r="I13603" t="s">
        <v>2189</v>
      </c>
      <c r="J13603" s="10">
        <v>2.67</v>
      </c>
      <c r="K13603" t="b">
        <v>1</v>
      </c>
    </row>
    <row r="13604" spans="1:11">
      <c r="A13604" s="12">
        <v>43341</v>
      </c>
      <c r="B13604">
        <v>2018</v>
      </c>
      <c r="C13604">
        <v>8</v>
      </c>
      <c r="D13604" s="11">
        <v>43313</v>
      </c>
      <c r="E13604" t="s">
        <v>2180</v>
      </c>
      <c r="F13604">
        <v>3</v>
      </c>
      <c r="G13604" t="s">
        <v>65</v>
      </c>
      <c r="H13604" t="s">
        <v>42</v>
      </c>
      <c r="I13604" t="s">
        <v>2190</v>
      </c>
      <c r="J13604" s="10">
        <v>1.3</v>
      </c>
      <c r="K13604" t="b">
        <v>1</v>
      </c>
    </row>
    <row r="13605" spans="1:11">
      <c r="A13605" s="12">
        <v>43341</v>
      </c>
      <c r="B13605">
        <v>2018</v>
      </c>
      <c r="C13605">
        <v>8</v>
      </c>
      <c r="D13605" s="11">
        <v>43313</v>
      </c>
      <c r="E13605" t="s">
        <v>2180</v>
      </c>
      <c r="F13605">
        <v>3</v>
      </c>
      <c r="G13605" t="s">
        <v>65</v>
      </c>
      <c r="H13605" t="s">
        <v>43</v>
      </c>
      <c r="I13605" t="s">
        <v>2191</v>
      </c>
      <c r="J13605" s="10">
        <v>28.5</v>
      </c>
      <c r="K13605" t="b">
        <v>1</v>
      </c>
    </row>
    <row r="13606" spans="1:11">
      <c r="A13606" s="12">
        <v>43341</v>
      </c>
      <c r="B13606">
        <v>2018</v>
      </c>
      <c r="C13606">
        <v>8</v>
      </c>
      <c r="D13606" s="11">
        <v>43313</v>
      </c>
      <c r="E13606" t="s">
        <v>2180</v>
      </c>
      <c r="F13606">
        <v>3</v>
      </c>
      <c r="G13606" t="s">
        <v>65</v>
      </c>
      <c r="H13606" t="s">
        <v>44</v>
      </c>
      <c r="I13606" t="s">
        <v>2192</v>
      </c>
      <c r="J13606" s="10">
        <v>10</v>
      </c>
      <c r="K13606" t="b">
        <v>1</v>
      </c>
    </row>
    <row r="13607" spans="1:11">
      <c r="A13607" s="12">
        <v>43341</v>
      </c>
      <c r="B13607">
        <v>2018</v>
      </c>
      <c r="C13607">
        <v>8</v>
      </c>
      <c r="D13607" s="11">
        <v>43313</v>
      </c>
      <c r="E13607" t="s">
        <v>2180</v>
      </c>
      <c r="F13607">
        <v>3</v>
      </c>
      <c r="G13607" t="s">
        <v>65</v>
      </c>
      <c r="H13607" t="s">
        <v>45</v>
      </c>
      <c r="I13607" t="s">
        <v>2193</v>
      </c>
      <c r="J13607" s="10">
        <v>1</v>
      </c>
      <c r="K13607" t="b">
        <v>1</v>
      </c>
    </row>
    <row r="13608" spans="1:11">
      <c r="A13608" s="12">
        <v>43341</v>
      </c>
      <c r="B13608">
        <v>2018</v>
      </c>
      <c r="C13608">
        <v>8</v>
      </c>
      <c r="D13608" s="11">
        <v>43313</v>
      </c>
      <c r="E13608" t="s">
        <v>2180</v>
      </c>
      <c r="F13608">
        <v>3</v>
      </c>
      <c r="G13608" t="s">
        <v>65</v>
      </c>
      <c r="H13608" t="s">
        <v>46</v>
      </c>
      <c r="I13608" t="s">
        <v>2194</v>
      </c>
      <c r="J13608" s="10">
        <v>5</v>
      </c>
      <c r="K13608" t="b">
        <v>1</v>
      </c>
    </row>
    <row r="13609" spans="1:11">
      <c r="A13609" s="12">
        <v>43341</v>
      </c>
      <c r="B13609">
        <v>2018</v>
      </c>
      <c r="C13609">
        <v>8</v>
      </c>
      <c r="D13609" s="11">
        <v>43313</v>
      </c>
      <c r="E13609" t="s">
        <v>2180</v>
      </c>
      <c r="F13609">
        <v>3</v>
      </c>
      <c r="G13609" t="s">
        <v>65</v>
      </c>
      <c r="H13609" t="s">
        <v>47</v>
      </c>
      <c r="I13609" t="s">
        <v>2195</v>
      </c>
      <c r="J13609" s="10">
        <v>3</v>
      </c>
      <c r="K13609" t="b">
        <v>1</v>
      </c>
    </row>
    <row r="13610" spans="1:11">
      <c r="A13610" s="12">
        <v>43342</v>
      </c>
      <c r="B13610">
        <v>2018</v>
      </c>
      <c r="C13610">
        <v>8</v>
      </c>
      <c r="D13610" s="11">
        <v>43313</v>
      </c>
      <c r="E13610" t="s">
        <v>2180</v>
      </c>
      <c r="F13610">
        <v>4</v>
      </c>
      <c r="G13610" t="s">
        <v>53</v>
      </c>
      <c r="H13610" t="s">
        <v>40</v>
      </c>
      <c r="I13610" t="s">
        <v>2188</v>
      </c>
      <c r="J13610" s="10">
        <v>2.33</v>
      </c>
      <c r="K13610" t="b">
        <v>1</v>
      </c>
    </row>
    <row r="13611" spans="1:11">
      <c r="A13611" s="12">
        <v>43342</v>
      </c>
      <c r="B13611">
        <v>2018</v>
      </c>
      <c r="C13611">
        <v>8</v>
      </c>
      <c r="D13611" s="11">
        <v>43313</v>
      </c>
      <c r="E13611" t="s">
        <v>2180</v>
      </c>
      <c r="F13611">
        <v>4</v>
      </c>
      <c r="G13611" t="s">
        <v>53</v>
      </c>
      <c r="H13611" t="s">
        <v>41</v>
      </c>
      <c r="I13611" t="s">
        <v>2189</v>
      </c>
      <c r="J13611" s="10">
        <v>2.736</v>
      </c>
      <c r="K13611" t="b">
        <v>1</v>
      </c>
    </row>
    <row r="13612" spans="1:11">
      <c r="A13612" s="12">
        <v>43342</v>
      </c>
      <c r="B13612">
        <v>2018</v>
      </c>
      <c r="C13612">
        <v>8</v>
      </c>
      <c r="D13612" s="11">
        <v>43313</v>
      </c>
      <c r="E13612" t="s">
        <v>2180</v>
      </c>
      <c r="F13612">
        <v>4</v>
      </c>
      <c r="G13612" t="s">
        <v>53</v>
      </c>
      <c r="H13612" t="s">
        <v>42</v>
      </c>
      <c r="I13612" t="s">
        <v>2190</v>
      </c>
      <c r="J13612" s="10">
        <v>3</v>
      </c>
      <c r="K13612" t="b">
        <v>1</v>
      </c>
    </row>
    <row r="13613" spans="1:11">
      <c r="A13613" s="12">
        <v>43342</v>
      </c>
      <c r="B13613">
        <v>2018</v>
      </c>
      <c r="C13613">
        <v>8</v>
      </c>
      <c r="D13613" s="11">
        <v>43313</v>
      </c>
      <c r="E13613" t="s">
        <v>2180</v>
      </c>
      <c r="F13613">
        <v>4</v>
      </c>
      <c r="G13613" t="s">
        <v>53</v>
      </c>
      <c r="H13613" t="s">
        <v>43</v>
      </c>
      <c r="I13613" t="s">
        <v>2191</v>
      </c>
      <c r="J13613" s="10">
        <v>38</v>
      </c>
      <c r="K13613" t="b">
        <v>1</v>
      </c>
    </row>
    <row r="13614" spans="1:11">
      <c r="A13614" s="12">
        <v>43342</v>
      </c>
      <c r="B13614">
        <v>2018</v>
      </c>
      <c r="C13614">
        <v>8</v>
      </c>
      <c r="D13614" s="11">
        <v>43313</v>
      </c>
      <c r="E13614" t="s">
        <v>2180</v>
      </c>
      <c r="F13614">
        <v>4</v>
      </c>
      <c r="G13614" t="s">
        <v>53</v>
      </c>
      <c r="H13614" t="s">
        <v>44</v>
      </c>
      <c r="I13614" t="s">
        <v>2192</v>
      </c>
      <c r="J13614" s="10">
        <v>7</v>
      </c>
      <c r="K13614" t="b">
        <v>1</v>
      </c>
    </row>
    <row r="13615" spans="1:11">
      <c r="A13615" s="12">
        <v>43342</v>
      </c>
      <c r="B13615">
        <v>2018</v>
      </c>
      <c r="C13615">
        <v>8</v>
      </c>
      <c r="D13615" s="11">
        <v>43313</v>
      </c>
      <c r="E13615" t="s">
        <v>2180</v>
      </c>
      <c r="F13615">
        <v>4</v>
      </c>
      <c r="G13615" t="s">
        <v>53</v>
      </c>
      <c r="H13615" t="s">
        <v>45</v>
      </c>
      <c r="I13615" t="s">
        <v>2193</v>
      </c>
      <c r="J13615" s="10">
        <v>0</v>
      </c>
      <c r="K13615" t="b">
        <v>1</v>
      </c>
    </row>
    <row r="13616" spans="1:11">
      <c r="A13616" s="12">
        <v>43342</v>
      </c>
      <c r="B13616">
        <v>2018</v>
      </c>
      <c r="C13616">
        <v>8</v>
      </c>
      <c r="D13616" s="11">
        <v>43313</v>
      </c>
      <c r="E13616" t="s">
        <v>2180</v>
      </c>
      <c r="F13616">
        <v>4</v>
      </c>
      <c r="G13616" t="s">
        <v>53</v>
      </c>
      <c r="H13616" t="s">
        <v>46</v>
      </c>
      <c r="I13616" t="s">
        <v>2194</v>
      </c>
      <c r="J13616" s="10">
        <v>4</v>
      </c>
      <c r="K13616" t="b">
        <v>1</v>
      </c>
    </row>
    <row r="13617" spans="1:11">
      <c r="A13617" s="12">
        <v>43342</v>
      </c>
      <c r="B13617">
        <v>2018</v>
      </c>
      <c r="C13617">
        <v>8</v>
      </c>
      <c r="D13617" s="11">
        <v>43313</v>
      </c>
      <c r="E13617" t="s">
        <v>2180</v>
      </c>
      <c r="F13617">
        <v>4</v>
      </c>
      <c r="G13617" t="s">
        <v>53</v>
      </c>
      <c r="H13617" t="s">
        <v>47</v>
      </c>
      <c r="I13617" t="s">
        <v>2195</v>
      </c>
      <c r="J13617" s="10">
        <v>2</v>
      </c>
      <c r="K13617" t="b">
        <v>1</v>
      </c>
    </row>
    <row r="13618" spans="1:11">
      <c r="A13618" s="12">
        <v>43343</v>
      </c>
      <c r="B13618">
        <v>2018</v>
      </c>
      <c r="C13618">
        <v>8</v>
      </c>
      <c r="D13618" s="11">
        <v>43313</v>
      </c>
      <c r="E13618" t="s">
        <v>2180</v>
      </c>
      <c r="F13618">
        <v>5</v>
      </c>
      <c r="G13618" t="s">
        <v>55</v>
      </c>
      <c r="H13618" t="s">
        <v>40</v>
      </c>
      <c r="I13618" t="s">
        <v>2188</v>
      </c>
      <c r="J13618" s="10">
        <v>4.34</v>
      </c>
      <c r="K13618" t="b">
        <v>1</v>
      </c>
    </row>
    <row r="13619" spans="1:11">
      <c r="A13619" s="12">
        <v>43343</v>
      </c>
      <c r="B13619">
        <v>2018</v>
      </c>
      <c r="C13619">
        <v>8</v>
      </c>
      <c r="D13619" s="11">
        <v>43313</v>
      </c>
      <c r="E13619" t="s">
        <v>2180</v>
      </c>
      <c r="F13619">
        <v>5</v>
      </c>
      <c r="G13619" t="s">
        <v>55</v>
      </c>
      <c r="H13619" t="s">
        <v>41</v>
      </c>
      <c r="I13619" t="s">
        <v>2189</v>
      </c>
      <c r="J13619" s="10">
        <v>3.34</v>
      </c>
      <c r="K13619" t="b">
        <v>1</v>
      </c>
    </row>
    <row r="13620" spans="1:11">
      <c r="A13620" s="12">
        <v>43343</v>
      </c>
      <c r="B13620">
        <v>2018</v>
      </c>
      <c r="C13620">
        <v>8</v>
      </c>
      <c r="D13620" s="11">
        <v>43313</v>
      </c>
      <c r="E13620" t="s">
        <v>2180</v>
      </c>
      <c r="F13620">
        <v>5</v>
      </c>
      <c r="G13620" t="s">
        <v>55</v>
      </c>
      <c r="H13620" t="s">
        <v>42</v>
      </c>
      <c r="I13620" t="s">
        <v>2190</v>
      </c>
      <c r="J13620" s="10">
        <v>0</v>
      </c>
      <c r="K13620" t="b">
        <v>1</v>
      </c>
    </row>
    <row r="13621" spans="1:11">
      <c r="A13621" s="12">
        <v>43343</v>
      </c>
      <c r="B13621">
        <v>2018</v>
      </c>
      <c r="C13621">
        <v>8</v>
      </c>
      <c r="D13621" s="11">
        <v>43313</v>
      </c>
      <c r="E13621" t="s">
        <v>2180</v>
      </c>
      <c r="F13621">
        <v>5</v>
      </c>
      <c r="G13621" t="s">
        <v>55</v>
      </c>
      <c r="H13621" t="s">
        <v>43</v>
      </c>
      <c r="I13621" t="s">
        <v>2191</v>
      </c>
      <c r="J13621" s="10">
        <v>17.2</v>
      </c>
      <c r="K13621" t="b">
        <v>1</v>
      </c>
    </row>
    <row r="13622" spans="1:11">
      <c r="A13622" s="12">
        <v>43343</v>
      </c>
      <c r="B13622">
        <v>2018</v>
      </c>
      <c r="C13622">
        <v>8</v>
      </c>
      <c r="D13622" s="11">
        <v>43313</v>
      </c>
      <c r="E13622" t="s">
        <v>2180</v>
      </c>
      <c r="F13622">
        <v>5</v>
      </c>
      <c r="G13622" t="s">
        <v>55</v>
      </c>
      <c r="H13622" t="s">
        <v>44</v>
      </c>
      <c r="I13622" t="s">
        <v>2192</v>
      </c>
      <c r="J13622" s="10">
        <v>13</v>
      </c>
      <c r="K13622" t="b">
        <v>1</v>
      </c>
    </row>
    <row r="13623" spans="1:11">
      <c r="A13623" s="12">
        <v>43343</v>
      </c>
      <c r="B13623">
        <v>2018</v>
      </c>
      <c r="C13623">
        <v>8</v>
      </c>
      <c r="D13623" s="11">
        <v>43313</v>
      </c>
      <c r="E13623" t="s">
        <v>2180</v>
      </c>
      <c r="F13623">
        <v>5</v>
      </c>
      <c r="G13623" t="s">
        <v>55</v>
      </c>
      <c r="H13623" t="s">
        <v>45</v>
      </c>
      <c r="I13623" t="s">
        <v>2193</v>
      </c>
      <c r="J13623" s="10">
        <v>1</v>
      </c>
      <c r="K13623" t="b">
        <v>1</v>
      </c>
    </row>
    <row r="13624" spans="1:11">
      <c r="A13624" s="12">
        <v>43343</v>
      </c>
      <c r="B13624">
        <v>2018</v>
      </c>
      <c r="C13624">
        <v>8</v>
      </c>
      <c r="D13624" s="11">
        <v>43313</v>
      </c>
      <c r="E13624" t="s">
        <v>2180</v>
      </c>
      <c r="F13624">
        <v>5</v>
      </c>
      <c r="G13624" t="s">
        <v>55</v>
      </c>
      <c r="H13624" t="s">
        <v>46</v>
      </c>
      <c r="I13624" t="s">
        <v>2194</v>
      </c>
      <c r="J13624" s="10">
        <v>20</v>
      </c>
      <c r="K13624" t="b">
        <v>1</v>
      </c>
    </row>
    <row r="13625" spans="1:11">
      <c r="A13625" s="12">
        <v>43343</v>
      </c>
      <c r="B13625">
        <v>2018</v>
      </c>
      <c r="C13625">
        <v>8</v>
      </c>
      <c r="D13625" s="11">
        <v>43313</v>
      </c>
      <c r="E13625" t="s">
        <v>2180</v>
      </c>
      <c r="F13625">
        <v>5</v>
      </c>
      <c r="G13625" t="s">
        <v>55</v>
      </c>
      <c r="H13625" t="s">
        <v>47</v>
      </c>
      <c r="I13625" t="s">
        <v>2195</v>
      </c>
      <c r="J13625" s="10">
        <v>4</v>
      </c>
      <c r="K13625" t="b">
        <v>1</v>
      </c>
    </row>
    <row r="13626" spans="1:11">
      <c r="A13626" s="12">
        <v>43344</v>
      </c>
      <c r="B13626">
        <v>2018</v>
      </c>
      <c r="C13626">
        <v>9</v>
      </c>
      <c r="D13626" s="11">
        <v>43344</v>
      </c>
      <c r="E13626" t="s">
        <v>2181</v>
      </c>
      <c r="F13626">
        <v>6</v>
      </c>
      <c r="G13626" t="s">
        <v>57</v>
      </c>
      <c r="H13626" t="s">
        <v>40</v>
      </c>
      <c r="I13626" t="s">
        <v>2188</v>
      </c>
      <c r="J13626" s="10">
        <v>2.34</v>
      </c>
      <c r="K13626" t="b">
        <v>1</v>
      </c>
    </row>
    <row r="13627" spans="1:11">
      <c r="A13627" s="12">
        <v>43344</v>
      </c>
      <c r="B13627">
        <v>2018</v>
      </c>
      <c r="C13627">
        <v>9</v>
      </c>
      <c r="D13627" s="11">
        <v>43344</v>
      </c>
      <c r="E13627" t="s">
        <v>2181</v>
      </c>
      <c r="F13627">
        <v>6</v>
      </c>
      <c r="G13627" t="s">
        <v>57</v>
      </c>
      <c r="H13627" t="s">
        <v>41</v>
      </c>
      <c r="I13627" t="s">
        <v>2189</v>
      </c>
      <c r="J13627" s="10">
        <v>0</v>
      </c>
      <c r="K13627" t="b">
        <v>1</v>
      </c>
    </row>
    <row r="13628" spans="1:11">
      <c r="A13628" s="12">
        <v>43344</v>
      </c>
      <c r="B13628">
        <v>2018</v>
      </c>
      <c r="C13628">
        <v>9</v>
      </c>
      <c r="D13628" s="11">
        <v>43344</v>
      </c>
      <c r="E13628" t="s">
        <v>2181</v>
      </c>
      <c r="F13628">
        <v>6</v>
      </c>
      <c r="G13628" t="s">
        <v>57</v>
      </c>
      <c r="H13628" t="s">
        <v>42</v>
      </c>
      <c r="I13628" t="s">
        <v>2190</v>
      </c>
      <c r="J13628" s="10">
        <v>2.2</v>
      </c>
      <c r="K13628" t="b">
        <v>1</v>
      </c>
    </row>
    <row r="13629" spans="1:11">
      <c r="A13629" s="12">
        <v>43344</v>
      </c>
      <c r="B13629">
        <v>2018</v>
      </c>
      <c r="C13629">
        <v>9</v>
      </c>
      <c r="D13629" s="11">
        <v>43344</v>
      </c>
      <c r="E13629" t="s">
        <v>2181</v>
      </c>
      <c r="F13629">
        <v>6</v>
      </c>
      <c r="G13629" t="s">
        <v>57</v>
      </c>
      <c r="H13629" t="s">
        <v>43</v>
      </c>
      <c r="I13629" t="s">
        <v>2191</v>
      </c>
      <c r="J13629" s="10">
        <v>19</v>
      </c>
      <c r="K13629" t="b">
        <v>1</v>
      </c>
    </row>
    <row r="13630" spans="1:11">
      <c r="A13630" s="12">
        <v>43344</v>
      </c>
      <c r="B13630">
        <v>2018</v>
      </c>
      <c r="C13630">
        <v>9</v>
      </c>
      <c r="D13630" s="11">
        <v>43344</v>
      </c>
      <c r="E13630" t="s">
        <v>2181</v>
      </c>
      <c r="F13630">
        <v>6</v>
      </c>
      <c r="G13630" t="s">
        <v>57</v>
      </c>
      <c r="H13630" t="s">
        <v>44</v>
      </c>
      <c r="I13630" t="s">
        <v>2192</v>
      </c>
      <c r="J13630" s="10">
        <v>6</v>
      </c>
      <c r="K13630" t="b">
        <v>1</v>
      </c>
    </row>
    <row r="13631" spans="1:11">
      <c r="A13631" s="12">
        <v>43344</v>
      </c>
      <c r="B13631">
        <v>2018</v>
      </c>
      <c r="C13631">
        <v>9</v>
      </c>
      <c r="D13631" s="11">
        <v>43344</v>
      </c>
      <c r="E13631" t="s">
        <v>2181</v>
      </c>
      <c r="F13631">
        <v>6</v>
      </c>
      <c r="G13631" t="s">
        <v>57</v>
      </c>
      <c r="H13631" t="s">
        <v>45</v>
      </c>
      <c r="I13631" t="s">
        <v>2193</v>
      </c>
      <c r="J13631" s="10">
        <v>1</v>
      </c>
      <c r="K13631" t="b">
        <v>1</v>
      </c>
    </row>
    <row r="13632" spans="1:11">
      <c r="A13632" s="12">
        <v>43344</v>
      </c>
      <c r="B13632">
        <v>2018</v>
      </c>
      <c r="C13632">
        <v>9</v>
      </c>
      <c r="D13632" s="11">
        <v>43344</v>
      </c>
      <c r="E13632" t="s">
        <v>2181</v>
      </c>
      <c r="F13632">
        <v>6</v>
      </c>
      <c r="G13632" t="s">
        <v>57</v>
      </c>
      <c r="H13632" t="s">
        <v>46</v>
      </c>
      <c r="I13632" t="s">
        <v>2194</v>
      </c>
      <c r="J13632" s="10">
        <v>1</v>
      </c>
      <c r="K13632" t="b">
        <v>1</v>
      </c>
    </row>
    <row r="13633" spans="1:11">
      <c r="A13633" s="12">
        <v>43344</v>
      </c>
      <c r="B13633">
        <v>2018</v>
      </c>
      <c r="C13633">
        <v>9</v>
      </c>
      <c r="D13633" s="11">
        <v>43344</v>
      </c>
      <c r="E13633" t="s">
        <v>2181</v>
      </c>
      <c r="F13633">
        <v>6</v>
      </c>
      <c r="G13633" t="s">
        <v>57</v>
      </c>
      <c r="H13633" t="s">
        <v>47</v>
      </c>
      <c r="I13633" t="s">
        <v>2195</v>
      </c>
      <c r="J13633" s="10">
        <v>2</v>
      </c>
      <c r="K13633" t="b">
        <v>1</v>
      </c>
    </row>
    <row r="13634" spans="1:11">
      <c r="A13634" s="12">
        <v>43345</v>
      </c>
      <c r="B13634">
        <v>2018</v>
      </c>
      <c r="C13634">
        <v>9</v>
      </c>
      <c r="D13634" s="11">
        <v>43344</v>
      </c>
      <c r="E13634" t="s">
        <v>2181</v>
      </c>
      <c r="F13634">
        <v>7</v>
      </c>
      <c r="G13634" t="s">
        <v>59</v>
      </c>
      <c r="H13634" t="s">
        <v>40</v>
      </c>
      <c r="I13634" t="s">
        <v>2188</v>
      </c>
      <c r="J13634" s="10">
        <v>6.68</v>
      </c>
      <c r="K13634" t="b">
        <v>1</v>
      </c>
    </row>
    <row r="13635" spans="1:11">
      <c r="A13635" s="12">
        <v>43345</v>
      </c>
      <c r="B13635">
        <v>2018</v>
      </c>
      <c r="C13635">
        <v>9</v>
      </c>
      <c r="D13635" s="11">
        <v>43344</v>
      </c>
      <c r="E13635" t="s">
        <v>2181</v>
      </c>
      <c r="F13635">
        <v>7</v>
      </c>
      <c r="G13635" t="s">
        <v>59</v>
      </c>
      <c r="H13635" t="s">
        <v>41</v>
      </c>
      <c r="I13635" t="s">
        <v>2189</v>
      </c>
      <c r="J13635" s="10">
        <v>5.373</v>
      </c>
      <c r="K13635" t="b">
        <v>1</v>
      </c>
    </row>
    <row r="13636" spans="1:11">
      <c r="A13636" s="12">
        <v>43345</v>
      </c>
      <c r="B13636">
        <v>2018</v>
      </c>
      <c r="C13636">
        <v>9</v>
      </c>
      <c r="D13636" s="11">
        <v>43344</v>
      </c>
      <c r="E13636" t="s">
        <v>2181</v>
      </c>
      <c r="F13636">
        <v>7</v>
      </c>
      <c r="G13636" t="s">
        <v>59</v>
      </c>
      <c r="H13636" t="s">
        <v>42</v>
      </c>
      <c r="I13636" t="s">
        <v>2190</v>
      </c>
      <c r="J13636" s="10">
        <v>3</v>
      </c>
      <c r="K13636" t="b">
        <v>1</v>
      </c>
    </row>
    <row r="13637" spans="1:11">
      <c r="A13637" s="12">
        <v>43345</v>
      </c>
      <c r="B13637">
        <v>2018</v>
      </c>
      <c r="C13637">
        <v>9</v>
      </c>
      <c r="D13637" s="11">
        <v>43344</v>
      </c>
      <c r="E13637" t="s">
        <v>2181</v>
      </c>
      <c r="F13637">
        <v>7</v>
      </c>
      <c r="G13637" t="s">
        <v>59</v>
      </c>
      <c r="H13637" t="s">
        <v>43</v>
      </c>
      <c r="I13637" t="s">
        <v>2191</v>
      </c>
      <c r="J13637" s="10">
        <v>20</v>
      </c>
      <c r="K13637" t="b">
        <v>1</v>
      </c>
    </row>
    <row r="13638" spans="1:11">
      <c r="A13638" s="12">
        <v>43345</v>
      </c>
      <c r="B13638">
        <v>2018</v>
      </c>
      <c r="C13638">
        <v>9</v>
      </c>
      <c r="D13638" s="11">
        <v>43344</v>
      </c>
      <c r="E13638" t="s">
        <v>2181</v>
      </c>
      <c r="F13638">
        <v>7</v>
      </c>
      <c r="G13638" t="s">
        <v>59</v>
      </c>
      <c r="H13638" t="s">
        <v>44</v>
      </c>
      <c r="I13638" t="s">
        <v>2192</v>
      </c>
      <c r="J13638" s="10">
        <v>5</v>
      </c>
      <c r="K13638" t="b">
        <v>1</v>
      </c>
    </row>
    <row r="13639" spans="1:11">
      <c r="A13639" s="12">
        <v>43345</v>
      </c>
      <c r="B13639">
        <v>2018</v>
      </c>
      <c r="C13639">
        <v>9</v>
      </c>
      <c r="D13639" s="11">
        <v>43344</v>
      </c>
      <c r="E13639" t="s">
        <v>2181</v>
      </c>
      <c r="F13639">
        <v>7</v>
      </c>
      <c r="G13639" t="s">
        <v>59</v>
      </c>
      <c r="H13639" t="s">
        <v>45</v>
      </c>
      <c r="I13639" t="s">
        <v>2193</v>
      </c>
      <c r="J13639" s="10">
        <v>0</v>
      </c>
      <c r="K13639" t="b">
        <v>1</v>
      </c>
    </row>
    <row r="13640" spans="1:11">
      <c r="A13640" s="12">
        <v>43345</v>
      </c>
      <c r="B13640">
        <v>2018</v>
      </c>
      <c r="C13640">
        <v>9</v>
      </c>
      <c r="D13640" s="11">
        <v>43344</v>
      </c>
      <c r="E13640" t="s">
        <v>2181</v>
      </c>
      <c r="F13640">
        <v>7</v>
      </c>
      <c r="G13640" t="s">
        <v>59</v>
      </c>
      <c r="H13640" t="s">
        <v>46</v>
      </c>
      <c r="I13640" t="s">
        <v>2194</v>
      </c>
      <c r="J13640" s="10">
        <v>5</v>
      </c>
      <c r="K13640" t="b">
        <v>1</v>
      </c>
    </row>
    <row r="13641" spans="1:11">
      <c r="A13641" s="12">
        <v>43345</v>
      </c>
      <c r="B13641">
        <v>2018</v>
      </c>
      <c r="C13641">
        <v>9</v>
      </c>
      <c r="D13641" s="11">
        <v>43344</v>
      </c>
      <c r="E13641" t="s">
        <v>2181</v>
      </c>
      <c r="F13641">
        <v>7</v>
      </c>
      <c r="G13641" t="s">
        <v>59</v>
      </c>
      <c r="H13641" t="s">
        <v>47</v>
      </c>
      <c r="I13641" t="s">
        <v>2195</v>
      </c>
      <c r="J13641" s="10">
        <v>2</v>
      </c>
      <c r="K13641" t="b">
        <v>1</v>
      </c>
    </row>
    <row r="13642" spans="1:11">
      <c r="A13642" s="12">
        <v>43346</v>
      </c>
      <c r="B13642">
        <v>2018</v>
      </c>
      <c r="C13642">
        <v>9</v>
      </c>
      <c r="D13642" s="11">
        <v>43344</v>
      </c>
      <c r="E13642" t="s">
        <v>2181</v>
      </c>
      <c r="F13642">
        <v>1</v>
      </c>
      <c r="G13642" t="s">
        <v>61</v>
      </c>
      <c r="H13642" t="s">
        <v>40</v>
      </c>
      <c r="I13642" t="s">
        <v>2188</v>
      </c>
      <c r="J13642" s="10">
        <v>1</v>
      </c>
      <c r="K13642" t="b">
        <v>1</v>
      </c>
    </row>
    <row r="13643" spans="1:11">
      <c r="A13643" s="12">
        <v>43346</v>
      </c>
      <c r="B13643">
        <v>2018</v>
      </c>
      <c r="C13643">
        <v>9</v>
      </c>
      <c r="D13643" s="11">
        <v>43344</v>
      </c>
      <c r="E13643" t="s">
        <v>2181</v>
      </c>
      <c r="F13643">
        <v>1</v>
      </c>
      <c r="G13643" t="s">
        <v>61</v>
      </c>
      <c r="H13643" t="s">
        <v>41</v>
      </c>
      <c r="I13643" t="s">
        <v>2189</v>
      </c>
      <c r="J13643" s="10">
        <v>2.02</v>
      </c>
      <c r="K13643" t="b">
        <v>1</v>
      </c>
    </row>
    <row r="13644" spans="1:11">
      <c r="A13644" s="12">
        <v>43346</v>
      </c>
      <c r="B13644">
        <v>2018</v>
      </c>
      <c r="C13644">
        <v>9</v>
      </c>
      <c r="D13644" s="11">
        <v>43344</v>
      </c>
      <c r="E13644" t="s">
        <v>2181</v>
      </c>
      <c r="F13644">
        <v>1</v>
      </c>
      <c r="G13644" t="s">
        <v>61</v>
      </c>
      <c r="H13644" t="s">
        <v>42</v>
      </c>
      <c r="I13644" t="s">
        <v>2190</v>
      </c>
      <c r="J13644" s="10">
        <v>2</v>
      </c>
      <c r="K13644" t="b">
        <v>1</v>
      </c>
    </row>
    <row r="13645" spans="1:11">
      <c r="A13645" s="12">
        <v>43346</v>
      </c>
      <c r="B13645">
        <v>2018</v>
      </c>
      <c r="C13645">
        <v>9</v>
      </c>
      <c r="D13645" s="11">
        <v>43344</v>
      </c>
      <c r="E13645" t="s">
        <v>2181</v>
      </c>
      <c r="F13645">
        <v>1</v>
      </c>
      <c r="G13645" t="s">
        <v>61</v>
      </c>
      <c r="H13645" t="s">
        <v>43</v>
      </c>
      <c r="I13645" t="s">
        <v>2191</v>
      </c>
      <c r="J13645" s="10">
        <v>27.4</v>
      </c>
      <c r="K13645" t="b">
        <v>1</v>
      </c>
    </row>
    <row r="13646" spans="1:11">
      <c r="A13646" s="12">
        <v>43346</v>
      </c>
      <c r="B13646">
        <v>2018</v>
      </c>
      <c r="C13646">
        <v>9</v>
      </c>
      <c r="D13646" s="11">
        <v>43344</v>
      </c>
      <c r="E13646" t="s">
        <v>2181</v>
      </c>
      <c r="F13646">
        <v>1</v>
      </c>
      <c r="G13646" t="s">
        <v>61</v>
      </c>
      <c r="H13646" t="s">
        <v>44</v>
      </c>
      <c r="I13646" t="s">
        <v>2192</v>
      </c>
      <c r="J13646" s="10">
        <v>12</v>
      </c>
      <c r="K13646" t="b">
        <v>1</v>
      </c>
    </row>
    <row r="13647" spans="1:11">
      <c r="A13647" s="12">
        <v>43346</v>
      </c>
      <c r="B13647">
        <v>2018</v>
      </c>
      <c r="C13647">
        <v>9</v>
      </c>
      <c r="D13647" s="11">
        <v>43344</v>
      </c>
      <c r="E13647" t="s">
        <v>2181</v>
      </c>
      <c r="F13647">
        <v>1</v>
      </c>
      <c r="G13647" t="s">
        <v>61</v>
      </c>
      <c r="H13647" t="s">
        <v>45</v>
      </c>
      <c r="I13647" t="s">
        <v>2193</v>
      </c>
      <c r="J13647" s="10">
        <v>0</v>
      </c>
      <c r="K13647" t="b">
        <v>1</v>
      </c>
    </row>
    <row r="13648" spans="1:11">
      <c r="A13648" s="12">
        <v>43346</v>
      </c>
      <c r="B13648">
        <v>2018</v>
      </c>
      <c r="C13648">
        <v>9</v>
      </c>
      <c r="D13648" s="11">
        <v>43344</v>
      </c>
      <c r="E13648" t="s">
        <v>2181</v>
      </c>
      <c r="F13648">
        <v>1</v>
      </c>
      <c r="G13648" t="s">
        <v>61</v>
      </c>
      <c r="H13648" t="s">
        <v>46</v>
      </c>
      <c r="I13648" t="s">
        <v>2194</v>
      </c>
      <c r="J13648" s="10">
        <v>0</v>
      </c>
      <c r="K13648" t="b">
        <v>1</v>
      </c>
    </row>
    <row r="13649" spans="1:11">
      <c r="A13649" s="12">
        <v>43346</v>
      </c>
      <c r="B13649">
        <v>2018</v>
      </c>
      <c r="C13649">
        <v>9</v>
      </c>
      <c r="D13649" s="11">
        <v>43344</v>
      </c>
      <c r="E13649" t="s">
        <v>2181</v>
      </c>
      <c r="F13649">
        <v>1</v>
      </c>
      <c r="G13649" t="s">
        <v>61</v>
      </c>
      <c r="H13649" t="s">
        <v>47</v>
      </c>
      <c r="I13649" t="s">
        <v>2195</v>
      </c>
      <c r="J13649" s="10">
        <v>4</v>
      </c>
      <c r="K13649" t="b">
        <v>1</v>
      </c>
    </row>
    <row r="13650" spans="1:11">
      <c r="A13650" s="12">
        <v>43347</v>
      </c>
      <c r="B13650">
        <v>2018</v>
      </c>
      <c r="C13650">
        <v>9</v>
      </c>
      <c r="D13650" s="11">
        <v>43344</v>
      </c>
      <c r="E13650" t="s">
        <v>2181</v>
      </c>
      <c r="F13650">
        <v>2</v>
      </c>
      <c r="G13650" t="s">
        <v>63</v>
      </c>
      <c r="H13650" t="s">
        <v>40</v>
      </c>
      <c r="I13650" t="s">
        <v>2188</v>
      </c>
      <c r="J13650" s="10">
        <v>4</v>
      </c>
      <c r="K13650" t="b">
        <v>1</v>
      </c>
    </row>
    <row r="13651" spans="1:11">
      <c r="A13651" s="12">
        <v>43347</v>
      </c>
      <c r="B13651">
        <v>2018</v>
      </c>
      <c r="C13651">
        <v>9</v>
      </c>
      <c r="D13651" s="11">
        <v>43344</v>
      </c>
      <c r="E13651" t="s">
        <v>2181</v>
      </c>
      <c r="F13651">
        <v>2</v>
      </c>
      <c r="G13651" t="s">
        <v>63</v>
      </c>
      <c r="H13651" t="s">
        <v>41</v>
      </c>
      <c r="I13651" t="s">
        <v>2189</v>
      </c>
      <c r="J13651" s="10">
        <v>1.086</v>
      </c>
      <c r="K13651" t="b">
        <v>1</v>
      </c>
    </row>
    <row r="13652" spans="1:11">
      <c r="A13652" s="12">
        <v>43347</v>
      </c>
      <c r="B13652">
        <v>2018</v>
      </c>
      <c r="C13652">
        <v>9</v>
      </c>
      <c r="D13652" s="11">
        <v>43344</v>
      </c>
      <c r="E13652" t="s">
        <v>2181</v>
      </c>
      <c r="F13652">
        <v>2</v>
      </c>
      <c r="G13652" t="s">
        <v>63</v>
      </c>
      <c r="H13652" t="s">
        <v>42</v>
      </c>
      <c r="I13652" t="s">
        <v>2190</v>
      </c>
      <c r="J13652" s="10">
        <v>1</v>
      </c>
      <c r="K13652" t="b">
        <v>1</v>
      </c>
    </row>
    <row r="13653" spans="1:11">
      <c r="A13653" s="12">
        <v>43347</v>
      </c>
      <c r="B13653">
        <v>2018</v>
      </c>
      <c r="C13653">
        <v>9</v>
      </c>
      <c r="D13653" s="11">
        <v>43344</v>
      </c>
      <c r="E13653" t="s">
        <v>2181</v>
      </c>
      <c r="F13653">
        <v>2</v>
      </c>
      <c r="G13653" t="s">
        <v>63</v>
      </c>
      <c r="H13653" t="s">
        <v>43</v>
      </c>
      <c r="I13653" t="s">
        <v>2191</v>
      </c>
      <c r="J13653" s="10">
        <v>22</v>
      </c>
      <c r="K13653" t="b">
        <v>1</v>
      </c>
    </row>
    <row r="13654" spans="1:11">
      <c r="A13654" s="12">
        <v>43347</v>
      </c>
      <c r="B13654">
        <v>2018</v>
      </c>
      <c r="C13654">
        <v>9</v>
      </c>
      <c r="D13654" s="11">
        <v>43344</v>
      </c>
      <c r="E13654" t="s">
        <v>2181</v>
      </c>
      <c r="F13654">
        <v>2</v>
      </c>
      <c r="G13654" t="s">
        <v>63</v>
      </c>
      <c r="H13654" t="s">
        <v>44</v>
      </c>
      <c r="I13654" t="s">
        <v>2192</v>
      </c>
      <c r="J13654" s="10">
        <v>7</v>
      </c>
      <c r="K13654" t="b">
        <v>1</v>
      </c>
    </row>
    <row r="13655" spans="1:11">
      <c r="A13655" s="12">
        <v>43347</v>
      </c>
      <c r="B13655">
        <v>2018</v>
      </c>
      <c r="C13655">
        <v>9</v>
      </c>
      <c r="D13655" s="11">
        <v>43344</v>
      </c>
      <c r="E13655" t="s">
        <v>2181</v>
      </c>
      <c r="F13655">
        <v>2</v>
      </c>
      <c r="G13655" t="s">
        <v>63</v>
      </c>
      <c r="H13655" t="s">
        <v>45</v>
      </c>
      <c r="I13655" t="s">
        <v>2193</v>
      </c>
      <c r="J13655" s="10">
        <v>0</v>
      </c>
      <c r="K13655" t="b">
        <v>1</v>
      </c>
    </row>
    <row r="13656" spans="1:11">
      <c r="A13656" s="12">
        <v>43347</v>
      </c>
      <c r="B13656">
        <v>2018</v>
      </c>
      <c r="C13656">
        <v>9</v>
      </c>
      <c r="D13656" s="11">
        <v>43344</v>
      </c>
      <c r="E13656" t="s">
        <v>2181</v>
      </c>
      <c r="F13656">
        <v>2</v>
      </c>
      <c r="G13656" t="s">
        <v>63</v>
      </c>
      <c r="H13656" t="s">
        <v>46</v>
      </c>
      <c r="I13656" t="s">
        <v>2194</v>
      </c>
      <c r="J13656" s="10">
        <v>3</v>
      </c>
      <c r="K13656" t="b">
        <v>1</v>
      </c>
    </row>
    <row r="13657" spans="1:11">
      <c r="A13657" s="12">
        <v>43347</v>
      </c>
      <c r="B13657">
        <v>2018</v>
      </c>
      <c r="C13657">
        <v>9</v>
      </c>
      <c r="D13657" s="11">
        <v>43344</v>
      </c>
      <c r="E13657" t="s">
        <v>2181</v>
      </c>
      <c r="F13657">
        <v>2</v>
      </c>
      <c r="G13657" t="s">
        <v>63</v>
      </c>
      <c r="H13657" t="s">
        <v>47</v>
      </c>
      <c r="I13657" t="s">
        <v>2195</v>
      </c>
      <c r="J13657" s="10">
        <v>2</v>
      </c>
      <c r="K13657" t="b">
        <v>1</v>
      </c>
    </row>
    <row r="13658" spans="1:11">
      <c r="A13658" s="12">
        <v>43348</v>
      </c>
      <c r="B13658">
        <v>2018</v>
      </c>
      <c r="C13658">
        <v>9</v>
      </c>
      <c r="D13658" s="11">
        <v>43344</v>
      </c>
      <c r="E13658" t="s">
        <v>2181</v>
      </c>
      <c r="F13658">
        <v>3</v>
      </c>
      <c r="G13658" t="s">
        <v>65</v>
      </c>
      <c r="H13658" t="s">
        <v>40</v>
      </c>
      <c r="I13658" t="s">
        <v>2188</v>
      </c>
      <c r="J13658" s="10">
        <v>6.5</v>
      </c>
      <c r="K13658" t="b">
        <v>1</v>
      </c>
    </row>
    <row r="13659" spans="1:11">
      <c r="A13659" s="12">
        <v>43348</v>
      </c>
      <c r="B13659">
        <v>2018</v>
      </c>
      <c r="C13659">
        <v>9</v>
      </c>
      <c r="D13659" s="11">
        <v>43344</v>
      </c>
      <c r="E13659" t="s">
        <v>2181</v>
      </c>
      <c r="F13659">
        <v>3</v>
      </c>
      <c r="G13659" t="s">
        <v>65</v>
      </c>
      <c r="H13659" t="s">
        <v>41</v>
      </c>
      <c r="I13659" t="s">
        <v>2189</v>
      </c>
      <c r="J13659" s="10">
        <v>3.33</v>
      </c>
      <c r="K13659" t="b">
        <v>1</v>
      </c>
    </row>
    <row r="13660" spans="1:11">
      <c r="A13660" s="12">
        <v>43348</v>
      </c>
      <c r="B13660">
        <v>2018</v>
      </c>
      <c r="C13660">
        <v>9</v>
      </c>
      <c r="D13660" s="11">
        <v>43344</v>
      </c>
      <c r="E13660" t="s">
        <v>2181</v>
      </c>
      <c r="F13660">
        <v>3</v>
      </c>
      <c r="G13660" t="s">
        <v>65</v>
      </c>
      <c r="H13660" t="s">
        <v>42</v>
      </c>
      <c r="I13660" t="s">
        <v>2190</v>
      </c>
      <c r="J13660" s="10">
        <v>1.5</v>
      </c>
      <c r="K13660" t="b">
        <v>1</v>
      </c>
    </row>
    <row r="13661" spans="1:11">
      <c r="A13661" s="12">
        <v>43348</v>
      </c>
      <c r="B13661">
        <v>2018</v>
      </c>
      <c r="C13661">
        <v>9</v>
      </c>
      <c r="D13661" s="11">
        <v>43344</v>
      </c>
      <c r="E13661" t="s">
        <v>2181</v>
      </c>
      <c r="F13661">
        <v>3</v>
      </c>
      <c r="G13661" t="s">
        <v>65</v>
      </c>
      <c r="H13661" t="s">
        <v>43</v>
      </c>
      <c r="I13661" t="s">
        <v>2191</v>
      </c>
      <c r="J13661" s="10">
        <v>28</v>
      </c>
      <c r="K13661" t="b">
        <v>1</v>
      </c>
    </row>
    <row r="13662" spans="1:11">
      <c r="A13662" s="12">
        <v>43348</v>
      </c>
      <c r="B13662">
        <v>2018</v>
      </c>
      <c r="C13662">
        <v>9</v>
      </c>
      <c r="D13662" s="11">
        <v>43344</v>
      </c>
      <c r="E13662" t="s">
        <v>2181</v>
      </c>
      <c r="F13662">
        <v>3</v>
      </c>
      <c r="G13662" t="s">
        <v>65</v>
      </c>
      <c r="H13662" t="s">
        <v>44</v>
      </c>
      <c r="I13662" t="s">
        <v>2192</v>
      </c>
      <c r="J13662" s="10">
        <v>11</v>
      </c>
      <c r="K13662" t="b">
        <v>1</v>
      </c>
    </row>
    <row r="13663" spans="1:11">
      <c r="A13663" s="12">
        <v>43348</v>
      </c>
      <c r="B13663">
        <v>2018</v>
      </c>
      <c r="C13663">
        <v>9</v>
      </c>
      <c r="D13663" s="11">
        <v>43344</v>
      </c>
      <c r="E13663" t="s">
        <v>2181</v>
      </c>
      <c r="F13663">
        <v>3</v>
      </c>
      <c r="G13663" t="s">
        <v>65</v>
      </c>
      <c r="H13663" t="s">
        <v>45</v>
      </c>
      <c r="I13663" t="s">
        <v>2193</v>
      </c>
      <c r="J13663" s="10">
        <v>0</v>
      </c>
      <c r="K13663" t="b">
        <v>1</v>
      </c>
    </row>
    <row r="13664" spans="1:11">
      <c r="A13664" s="12">
        <v>43348</v>
      </c>
      <c r="B13664">
        <v>2018</v>
      </c>
      <c r="C13664">
        <v>9</v>
      </c>
      <c r="D13664" s="11">
        <v>43344</v>
      </c>
      <c r="E13664" t="s">
        <v>2181</v>
      </c>
      <c r="F13664">
        <v>3</v>
      </c>
      <c r="G13664" t="s">
        <v>65</v>
      </c>
      <c r="H13664" t="s">
        <v>46</v>
      </c>
      <c r="I13664" t="s">
        <v>2194</v>
      </c>
      <c r="J13664" s="10">
        <v>3</v>
      </c>
      <c r="K13664" t="b">
        <v>1</v>
      </c>
    </row>
    <row r="13665" spans="1:11">
      <c r="A13665" s="12">
        <v>43348</v>
      </c>
      <c r="B13665">
        <v>2018</v>
      </c>
      <c r="C13665">
        <v>9</v>
      </c>
      <c r="D13665" s="11">
        <v>43344</v>
      </c>
      <c r="E13665" t="s">
        <v>2181</v>
      </c>
      <c r="F13665">
        <v>3</v>
      </c>
      <c r="G13665" t="s">
        <v>65</v>
      </c>
      <c r="H13665" t="s">
        <v>47</v>
      </c>
      <c r="I13665" t="s">
        <v>2195</v>
      </c>
      <c r="J13665" s="10">
        <v>2</v>
      </c>
      <c r="K13665" t="b">
        <v>1</v>
      </c>
    </row>
    <row r="13666" spans="1:11">
      <c r="A13666" s="12">
        <v>43349</v>
      </c>
      <c r="B13666">
        <v>2018</v>
      </c>
      <c r="C13666">
        <v>9</v>
      </c>
      <c r="D13666" s="11">
        <v>43344</v>
      </c>
      <c r="E13666" t="s">
        <v>2181</v>
      </c>
      <c r="F13666">
        <v>4</v>
      </c>
      <c r="G13666" t="s">
        <v>53</v>
      </c>
      <c r="H13666" t="s">
        <v>40</v>
      </c>
      <c r="I13666" t="s">
        <v>2188</v>
      </c>
      <c r="J13666" s="10">
        <v>6.66</v>
      </c>
      <c r="K13666" t="b">
        <v>1</v>
      </c>
    </row>
    <row r="13667" spans="1:11">
      <c r="A13667" s="12">
        <v>43349</v>
      </c>
      <c r="B13667">
        <v>2018</v>
      </c>
      <c r="C13667">
        <v>9</v>
      </c>
      <c r="D13667" s="11">
        <v>43344</v>
      </c>
      <c r="E13667" t="s">
        <v>2181</v>
      </c>
      <c r="F13667">
        <v>4</v>
      </c>
      <c r="G13667" t="s">
        <v>53</v>
      </c>
      <c r="H13667" t="s">
        <v>41</v>
      </c>
      <c r="I13667" t="s">
        <v>2189</v>
      </c>
      <c r="J13667" s="10">
        <v>4.056</v>
      </c>
      <c r="K13667" t="b">
        <v>1</v>
      </c>
    </row>
    <row r="13668" spans="1:11">
      <c r="A13668" s="12">
        <v>43349</v>
      </c>
      <c r="B13668">
        <v>2018</v>
      </c>
      <c r="C13668">
        <v>9</v>
      </c>
      <c r="D13668" s="11">
        <v>43344</v>
      </c>
      <c r="E13668" t="s">
        <v>2181</v>
      </c>
      <c r="F13668">
        <v>4</v>
      </c>
      <c r="G13668" t="s">
        <v>53</v>
      </c>
      <c r="H13668" t="s">
        <v>42</v>
      </c>
      <c r="I13668" t="s">
        <v>2190</v>
      </c>
      <c r="J13668" s="10">
        <v>3</v>
      </c>
      <c r="K13668" t="b">
        <v>1</v>
      </c>
    </row>
    <row r="13669" spans="1:11">
      <c r="A13669" s="12">
        <v>43349</v>
      </c>
      <c r="B13669">
        <v>2018</v>
      </c>
      <c r="C13669">
        <v>9</v>
      </c>
      <c r="D13669" s="11">
        <v>43344</v>
      </c>
      <c r="E13669" t="s">
        <v>2181</v>
      </c>
      <c r="F13669">
        <v>4</v>
      </c>
      <c r="G13669" t="s">
        <v>53</v>
      </c>
      <c r="H13669" t="s">
        <v>43</v>
      </c>
      <c r="I13669" t="s">
        <v>2191</v>
      </c>
      <c r="J13669" s="10">
        <v>18.4</v>
      </c>
      <c r="K13669" t="b">
        <v>1</v>
      </c>
    </row>
    <row r="13670" spans="1:11">
      <c r="A13670" s="12">
        <v>43349</v>
      </c>
      <c r="B13670">
        <v>2018</v>
      </c>
      <c r="C13670">
        <v>9</v>
      </c>
      <c r="D13670" s="11">
        <v>43344</v>
      </c>
      <c r="E13670" t="s">
        <v>2181</v>
      </c>
      <c r="F13670">
        <v>4</v>
      </c>
      <c r="G13670" t="s">
        <v>53</v>
      </c>
      <c r="H13670" t="s">
        <v>44</v>
      </c>
      <c r="I13670" t="s">
        <v>2192</v>
      </c>
      <c r="J13670" s="10">
        <v>13</v>
      </c>
      <c r="K13670" t="b">
        <v>1</v>
      </c>
    </row>
    <row r="13671" spans="1:11">
      <c r="A13671" s="12">
        <v>43349</v>
      </c>
      <c r="B13671">
        <v>2018</v>
      </c>
      <c r="C13671">
        <v>9</v>
      </c>
      <c r="D13671" s="11">
        <v>43344</v>
      </c>
      <c r="E13671" t="s">
        <v>2181</v>
      </c>
      <c r="F13671">
        <v>4</v>
      </c>
      <c r="G13671" t="s">
        <v>53</v>
      </c>
      <c r="H13671" t="s">
        <v>45</v>
      </c>
      <c r="I13671" t="s">
        <v>2193</v>
      </c>
      <c r="J13671" s="10">
        <v>0</v>
      </c>
      <c r="K13671" t="b">
        <v>1</v>
      </c>
    </row>
    <row r="13672" spans="1:11">
      <c r="A13672" s="12">
        <v>43349</v>
      </c>
      <c r="B13672">
        <v>2018</v>
      </c>
      <c r="C13672">
        <v>9</v>
      </c>
      <c r="D13672" s="11">
        <v>43344</v>
      </c>
      <c r="E13672" t="s">
        <v>2181</v>
      </c>
      <c r="F13672">
        <v>4</v>
      </c>
      <c r="G13672" t="s">
        <v>53</v>
      </c>
      <c r="H13672" t="s">
        <v>46</v>
      </c>
      <c r="I13672" t="s">
        <v>2194</v>
      </c>
      <c r="J13672" s="10">
        <v>5</v>
      </c>
      <c r="K13672" t="b">
        <v>1</v>
      </c>
    </row>
    <row r="13673" spans="1:11">
      <c r="A13673" s="12">
        <v>43349</v>
      </c>
      <c r="B13673">
        <v>2018</v>
      </c>
      <c r="C13673">
        <v>9</v>
      </c>
      <c r="D13673" s="11">
        <v>43344</v>
      </c>
      <c r="E13673" t="s">
        <v>2181</v>
      </c>
      <c r="F13673">
        <v>4</v>
      </c>
      <c r="G13673" t="s">
        <v>53</v>
      </c>
      <c r="H13673" t="s">
        <v>47</v>
      </c>
      <c r="I13673" t="s">
        <v>2195</v>
      </c>
      <c r="J13673" s="10">
        <v>0</v>
      </c>
      <c r="K13673" t="b">
        <v>1</v>
      </c>
    </row>
    <row r="13674" spans="1:11">
      <c r="A13674" s="12">
        <v>43350</v>
      </c>
      <c r="B13674">
        <v>2018</v>
      </c>
      <c r="C13674">
        <v>9</v>
      </c>
      <c r="D13674" s="11">
        <v>43344</v>
      </c>
      <c r="E13674" t="s">
        <v>2181</v>
      </c>
      <c r="F13674">
        <v>5</v>
      </c>
      <c r="G13674" t="s">
        <v>55</v>
      </c>
      <c r="H13674" t="s">
        <v>40</v>
      </c>
      <c r="I13674" t="s">
        <v>2188</v>
      </c>
      <c r="J13674" s="10">
        <v>2</v>
      </c>
      <c r="K13674" t="b">
        <v>1</v>
      </c>
    </row>
    <row r="13675" spans="1:11">
      <c r="A13675" s="12">
        <v>43350</v>
      </c>
      <c r="B13675">
        <v>2018</v>
      </c>
      <c r="C13675">
        <v>9</v>
      </c>
      <c r="D13675" s="11">
        <v>43344</v>
      </c>
      <c r="E13675" t="s">
        <v>2181</v>
      </c>
      <c r="F13675">
        <v>5</v>
      </c>
      <c r="G13675" t="s">
        <v>55</v>
      </c>
      <c r="H13675" t="s">
        <v>41</v>
      </c>
      <c r="I13675" t="s">
        <v>2189</v>
      </c>
      <c r="J13675" s="10">
        <v>1.746</v>
      </c>
      <c r="K13675" t="b">
        <v>1</v>
      </c>
    </row>
    <row r="13676" spans="1:11">
      <c r="A13676" s="12">
        <v>43350</v>
      </c>
      <c r="B13676">
        <v>2018</v>
      </c>
      <c r="C13676">
        <v>9</v>
      </c>
      <c r="D13676" s="11">
        <v>43344</v>
      </c>
      <c r="E13676" t="s">
        <v>2181</v>
      </c>
      <c r="F13676">
        <v>5</v>
      </c>
      <c r="G13676" t="s">
        <v>55</v>
      </c>
      <c r="H13676" t="s">
        <v>42</v>
      </c>
      <c r="I13676" t="s">
        <v>2190</v>
      </c>
      <c r="J13676" s="10">
        <v>4</v>
      </c>
      <c r="K13676" t="b">
        <v>1</v>
      </c>
    </row>
    <row r="13677" spans="1:11">
      <c r="A13677" s="12">
        <v>43350</v>
      </c>
      <c r="B13677">
        <v>2018</v>
      </c>
      <c r="C13677">
        <v>9</v>
      </c>
      <c r="D13677" s="11">
        <v>43344</v>
      </c>
      <c r="E13677" t="s">
        <v>2181</v>
      </c>
      <c r="F13677">
        <v>5</v>
      </c>
      <c r="G13677" t="s">
        <v>55</v>
      </c>
      <c r="H13677" t="s">
        <v>43</v>
      </c>
      <c r="I13677" t="s">
        <v>2191</v>
      </c>
      <c r="J13677" s="10">
        <v>42</v>
      </c>
      <c r="K13677" t="b">
        <v>1</v>
      </c>
    </row>
    <row r="13678" spans="1:11">
      <c r="A13678" s="12">
        <v>43350</v>
      </c>
      <c r="B13678">
        <v>2018</v>
      </c>
      <c r="C13678">
        <v>9</v>
      </c>
      <c r="D13678" s="11">
        <v>43344</v>
      </c>
      <c r="E13678" t="s">
        <v>2181</v>
      </c>
      <c r="F13678">
        <v>5</v>
      </c>
      <c r="G13678" t="s">
        <v>55</v>
      </c>
      <c r="H13678" t="s">
        <v>44</v>
      </c>
      <c r="I13678" t="s">
        <v>2192</v>
      </c>
      <c r="J13678" s="10">
        <v>6</v>
      </c>
      <c r="K13678" t="b">
        <v>1</v>
      </c>
    </row>
    <row r="13679" spans="1:11">
      <c r="A13679" s="12">
        <v>43350</v>
      </c>
      <c r="B13679">
        <v>2018</v>
      </c>
      <c r="C13679">
        <v>9</v>
      </c>
      <c r="D13679" s="11">
        <v>43344</v>
      </c>
      <c r="E13679" t="s">
        <v>2181</v>
      </c>
      <c r="F13679">
        <v>5</v>
      </c>
      <c r="G13679" t="s">
        <v>55</v>
      </c>
      <c r="H13679" t="s">
        <v>45</v>
      </c>
      <c r="I13679" t="s">
        <v>2193</v>
      </c>
      <c r="J13679" s="10">
        <v>0</v>
      </c>
      <c r="K13679" t="b">
        <v>1</v>
      </c>
    </row>
    <row r="13680" spans="1:11">
      <c r="A13680" s="12">
        <v>43350</v>
      </c>
      <c r="B13680">
        <v>2018</v>
      </c>
      <c r="C13680">
        <v>9</v>
      </c>
      <c r="D13680" s="11">
        <v>43344</v>
      </c>
      <c r="E13680" t="s">
        <v>2181</v>
      </c>
      <c r="F13680">
        <v>5</v>
      </c>
      <c r="G13680" t="s">
        <v>55</v>
      </c>
      <c r="H13680" t="s">
        <v>46</v>
      </c>
      <c r="I13680" t="s">
        <v>2194</v>
      </c>
      <c r="J13680" s="10">
        <v>22</v>
      </c>
      <c r="K13680" t="b">
        <v>1</v>
      </c>
    </row>
    <row r="13681" spans="1:11">
      <c r="A13681" s="12">
        <v>43350</v>
      </c>
      <c r="B13681">
        <v>2018</v>
      </c>
      <c r="C13681">
        <v>9</v>
      </c>
      <c r="D13681" s="11">
        <v>43344</v>
      </c>
      <c r="E13681" t="s">
        <v>2181</v>
      </c>
      <c r="F13681">
        <v>5</v>
      </c>
      <c r="G13681" t="s">
        <v>55</v>
      </c>
      <c r="H13681" t="s">
        <v>47</v>
      </c>
      <c r="I13681" t="s">
        <v>2195</v>
      </c>
      <c r="J13681" s="10">
        <v>7.7</v>
      </c>
      <c r="K13681" t="b">
        <v>1</v>
      </c>
    </row>
    <row r="13682" spans="1:11">
      <c r="A13682" s="12">
        <v>43351</v>
      </c>
      <c r="B13682">
        <v>2018</v>
      </c>
      <c r="C13682">
        <v>9</v>
      </c>
      <c r="D13682" s="11">
        <v>43344</v>
      </c>
      <c r="E13682" t="s">
        <v>2181</v>
      </c>
      <c r="F13682">
        <v>6</v>
      </c>
      <c r="G13682" t="s">
        <v>57</v>
      </c>
      <c r="H13682" t="s">
        <v>40</v>
      </c>
      <c r="I13682" t="s">
        <v>2188</v>
      </c>
      <c r="J13682" s="10">
        <v>10</v>
      </c>
      <c r="K13682" t="b">
        <v>1</v>
      </c>
    </row>
    <row r="13683" spans="1:11">
      <c r="A13683" s="12">
        <v>43351</v>
      </c>
      <c r="B13683">
        <v>2018</v>
      </c>
      <c r="C13683">
        <v>9</v>
      </c>
      <c r="D13683" s="11">
        <v>43344</v>
      </c>
      <c r="E13683" t="s">
        <v>2181</v>
      </c>
      <c r="F13683">
        <v>6</v>
      </c>
      <c r="G13683" t="s">
        <v>57</v>
      </c>
      <c r="H13683" t="s">
        <v>41</v>
      </c>
      <c r="I13683" t="s">
        <v>2189</v>
      </c>
      <c r="J13683" s="10">
        <v>2.34</v>
      </c>
      <c r="K13683" t="b">
        <v>1</v>
      </c>
    </row>
    <row r="13684" spans="1:11">
      <c r="A13684" s="12">
        <v>43351</v>
      </c>
      <c r="B13684">
        <v>2018</v>
      </c>
      <c r="C13684">
        <v>9</v>
      </c>
      <c r="D13684" s="11">
        <v>43344</v>
      </c>
      <c r="E13684" t="s">
        <v>2181</v>
      </c>
      <c r="F13684">
        <v>6</v>
      </c>
      <c r="G13684" t="s">
        <v>57</v>
      </c>
      <c r="H13684" t="s">
        <v>42</v>
      </c>
      <c r="I13684" t="s">
        <v>2190</v>
      </c>
      <c r="J13684" s="10">
        <v>6.1</v>
      </c>
      <c r="K13684" t="b">
        <v>1</v>
      </c>
    </row>
    <row r="13685" spans="1:11">
      <c r="A13685" s="12">
        <v>43351</v>
      </c>
      <c r="B13685">
        <v>2018</v>
      </c>
      <c r="C13685">
        <v>9</v>
      </c>
      <c r="D13685" s="11">
        <v>43344</v>
      </c>
      <c r="E13685" t="s">
        <v>2181</v>
      </c>
      <c r="F13685">
        <v>6</v>
      </c>
      <c r="G13685" t="s">
        <v>57</v>
      </c>
      <c r="H13685" t="s">
        <v>43</v>
      </c>
      <c r="I13685" t="s">
        <v>2191</v>
      </c>
      <c r="J13685" s="10">
        <v>35.4</v>
      </c>
      <c r="K13685" t="b">
        <v>1</v>
      </c>
    </row>
    <row r="13686" spans="1:11">
      <c r="A13686" s="12">
        <v>43351</v>
      </c>
      <c r="B13686">
        <v>2018</v>
      </c>
      <c r="C13686">
        <v>9</v>
      </c>
      <c r="D13686" s="11">
        <v>43344</v>
      </c>
      <c r="E13686" t="s">
        <v>2181</v>
      </c>
      <c r="F13686">
        <v>6</v>
      </c>
      <c r="G13686" t="s">
        <v>57</v>
      </c>
      <c r="H13686" t="s">
        <v>44</v>
      </c>
      <c r="I13686" t="s">
        <v>2192</v>
      </c>
      <c r="J13686" s="10">
        <v>12</v>
      </c>
      <c r="K13686" t="b">
        <v>1</v>
      </c>
    </row>
    <row r="13687" spans="1:11">
      <c r="A13687" s="12">
        <v>43351</v>
      </c>
      <c r="B13687">
        <v>2018</v>
      </c>
      <c r="C13687">
        <v>9</v>
      </c>
      <c r="D13687" s="11">
        <v>43344</v>
      </c>
      <c r="E13687" t="s">
        <v>2181</v>
      </c>
      <c r="F13687">
        <v>6</v>
      </c>
      <c r="G13687" t="s">
        <v>57</v>
      </c>
      <c r="H13687" t="s">
        <v>45</v>
      </c>
      <c r="I13687" t="s">
        <v>2193</v>
      </c>
      <c r="J13687" s="10">
        <v>0</v>
      </c>
      <c r="K13687" t="b">
        <v>1</v>
      </c>
    </row>
    <row r="13688" spans="1:11">
      <c r="A13688" s="12">
        <v>43351</v>
      </c>
      <c r="B13688">
        <v>2018</v>
      </c>
      <c r="C13688">
        <v>9</v>
      </c>
      <c r="D13688" s="11">
        <v>43344</v>
      </c>
      <c r="E13688" t="s">
        <v>2181</v>
      </c>
      <c r="F13688">
        <v>6</v>
      </c>
      <c r="G13688" t="s">
        <v>57</v>
      </c>
      <c r="H13688" t="s">
        <v>46</v>
      </c>
      <c r="I13688" t="s">
        <v>2194</v>
      </c>
      <c r="J13688" s="10">
        <v>10</v>
      </c>
      <c r="K13688" t="b">
        <v>1</v>
      </c>
    </row>
    <row r="13689" spans="1:11">
      <c r="A13689" s="12">
        <v>43351</v>
      </c>
      <c r="B13689">
        <v>2018</v>
      </c>
      <c r="C13689">
        <v>9</v>
      </c>
      <c r="D13689" s="11">
        <v>43344</v>
      </c>
      <c r="E13689" t="s">
        <v>2181</v>
      </c>
      <c r="F13689">
        <v>6</v>
      </c>
      <c r="G13689" t="s">
        <v>57</v>
      </c>
      <c r="H13689" t="s">
        <v>47</v>
      </c>
      <c r="I13689" t="s">
        <v>2195</v>
      </c>
      <c r="J13689" s="10">
        <v>1</v>
      </c>
      <c r="K13689" t="b">
        <v>1</v>
      </c>
    </row>
    <row r="13690" spans="1:11">
      <c r="A13690" s="12">
        <v>43352</v>
      </c>
      <c r="B13690">
        <v>2018</v>
      </c>
      <c r="C13690">
        <v>9</v>
      </c>
      <c r="D13690" s="11">
        <v>43344</v>
      </c>
      <c r="E13690" t="s">
        <v>2181</v>
      </c>
      <c r="F13690">
        <v>7</v>
      </c>
      <c r="G13690" t="s">
        <v>59</v>
      </c>
      <c r="H13690" t="s">
        <v>40</v>
      </c>
      <c r="I13690" t="s">
        <v>2188</v>
      </c>
      <c r="J13690" s="10">
        <v>4</v>
      </c>
      <c r="K13690" t="b">
        <v>1</v>
      </c>
    </row>
    <row r="13691" spans="1:11">
      <c r="A13691" s="12">
        <v>43352</v>
      </c>
      <c r="B13691">
        <v>2018</v>
      </c>
      <c r="C13691">
        <v>9</v>
      </c>
      <c r="D13691" s="11">
        <v>43344</v>
      </c>
      <c r="E13691" t="s">
        <v>2181</v>
      </c>
      <c r="F13691">
        <v>7</v>
      </c>
      <c r="G13691" t="s">
        <v>59</v>
      </c>
      <c r="H13691" t="s">
        <v>41</v>
      </c>
      <c r="I13691" t="s">
        <v>2189</v>
      </c>
      <c r="J13691" s="10">
        <v>5.944</v>
      </c>
      <c r="K13691" t="b">
        <v>1</v>
      </c>
    </row>
    <row r="13692" spans="1:11">
      <c r="A13692" s="12">
        <v>43352</v>
      </c>
      <c r="B13692">
        <v>2018</v>
      </c>
      <c r="C13692">
        <v>9</v>
      </c>
      <c r="D13692" s="11">
        <v>43344</v>
      </c>
      <c r="E13692" t="s">
        <v>2181</v>
      </c>
      <c r="F13692">
        <v>7</v>
      </c>
      <c r="G13692" t="s">
        <v>59</v>
      </c>
      <c r="H13692" t="s">
        <v>42</v>
      </c>
      <c r="I13692" t="s">
        <v>2190</v>
      </c>
      <c r="J13692" s="10">
        <v>0</v>
      </c>
      <c r="K13692" t="b">
        <v>1</v>
      </c>
    </row>
    <row r="13693" spans="1:11">
      <c r="A13693" s="12">
        <v>43352</v>
      </c>
      <c r="B13693">
        <v>2018</v>
      </c>
      <c r="C13693">
        <v>9</v>
      </c>
      <c r="D13693" s="11">
        <v>43344</v>
      </c>
      <c r="E13693" t="s">
        <v>2181</v>
      </c>
      <c r="F13693">
        <v>7</v>
      </c>
      <c r="G13693" t="s">
        <v>59</v>
      </c>
      <c r="H13693" t="s">
        <v>43</v>
      </c>
      <c r="I13693" t="s">
        <v>2191</v>
      </c>
      <c r="J13693" s="10">
        <v>50</v>
      </c>
      <c r="K13693" t="b">
        <v>1</v>
      </c>
    </row>
    <row r="13694" spans="1:11">
      <c r="A13694" s="12">
        <v>43352</v>
      </c>
      <c r="B13694">
        <v>2018</v>
      </c>
      <c r="C13694">
        <v>9</v>
      </c>
      <c r="D13694" s="11">
        <v>43344</v>
      </c>
      <c r="E13694" t="s">
        <v>2181</v>
      </c>
      <c r="F13694">
        <v>7</v>
      </c>
      <c r="G13694" t="s">
        <v>59</v>
      </c>
      <c r="H13694" t="s">
        <v>44</v>
      </c>
      <c r="I13694" t="s">
        <v>2192</v>
      </c>
      <c r="J13694" s="10">
        <v>2</v>
      </c>
      <c r="K13694" t="b">
        <v>1</v>
      </c>
    </row>
    <row r="13695" spans="1:11">
      <c r="A13695" s="12">
        <v>43352</v>
      </c>
      <c r="B13695">
        <v>2018</v>
      </c>
      <c r="C13695">
        <v>9</v>
      </c>
      <c r="D13695" s="11">
        <v>43344</v>
      </c>
      <c r="E13695" t="s">
        <v>2181</v>
      </c>
      <c r="F13695">
        <v>7</v>
      </c>
      <c r="G13695" t="s">
        <v>59</v>
      </c>
      <c r="H13695" t="s">
        <v>45</v>
      </c>
      <c r="I13695" t="s">
        <v>2193</v>
      </c>
      <c r="J13695" s="10">
        <v>0</v>
      </c>
      <c r="K13695" t="b">
        <v>1</v>
      </c>
    </row>
    <row r="13696" spans="1:11">
      <c r="A13696" s="12">
        <v>43352</v>
      </c>
      <c r="B13696">
        <v>2018</v>
      </c>
      <c r="C13696">
        <v>9</v>
      </c>
      <c r="D13696" s="11">
        <v>43344</v>
      </c>
      <c r="E13696" t="s">
        <v>2181</v>
      </c>
      <c r="F13696">
        <v>7</v>
      </c>
      <c r="G13696" t="s">
        <v>59</v>
      </c>
      <c r="H13696" t="s">
        <v>46</v>
      </c>
      <c r="I13696" t="s">
        <v>2194</v>
      </c>
      <c r="J13696" s="10">
        <v>0</v>
      </c>
      <c r="K13696" t="b">
        <v>1</v>
      </c>
    </row>
    <row r="13697" spans="1:11">
      <c r="A13697" s="12">
        <v>43352</v>
      </c>
      <c r="B13697">
        <v>2018</v>
      </c>
      <c r="C13697">
        <v>9</v>
      </c>
      <c r="D13697" s="11">
        <v>43344</v>
      </c>
      <c r="E13697" t="s">
        <v>2181</v>
      </c>
      <c r="F13697">
        <v>7</v>
      </c>
      <c r="G13697" t="s">
        <v>59</v>
      </c>
      <c r="H13697" t="s">
        <v>47</v>
      </c>
      <c r="I13697" t="s">
        <v>2195</v>
      </c>
      <c r="J13697" s="10">
        <v>5</v>
      </c>
      <c r="K13697" t="b">
        <v>1</v>
      </c>
    </row>
    <row r="13698" spans="1:11">
      <c r="A13698" s="12">
        <v>43353</v>
      </c>
      <c r="B13698">
        <v>2018</v>
      </c>
      <c r="C13698">
        <v>9</v>
      </c>
      <c r="D13698" s="11">
        <v>43344</v>
      </c>
      <c r="E13698" t="s">
        <v>2181</v>
      </c>
      <c r="F13698">
        <v>1</v>
      </c>
      <c r="G13698" t="s">
        <v>61</v>
      </c>
      <c r="H13698" t="s">
        <v>40</v>
      </c>
      <c r="I13698" t="s">
        <v>2188</v>
      </c>
      <c r="J13698" s="10">
        <v>7</v>
      </c>
      <c r="K13698" t="b">
        <v>1</v>
      </c>
    </row>
    <row r="13699" spans="1:11">
      <c r="A13699" s="12">
        <v>43353</v>
      </c>
      <c r="B13699">
        <v>2018</v>
      </c>
      <c r="C13699">
        <v>9</v>
      </c>
      <c r="D13699" s="11">
        <v>43344</v>
      </c>
      <c r="E13699" t="s">
        <v>2181</v>
      </c>
      <c r="F13699">
        <v>1</v>
      </c>
      <c r="G13699" t="s">
        <v>61</v>
      </c>
      <c r="H13699" t="s">
        <v>41</v>
      </c>
      <c r="I13699" t="s">
        <v>2189</v>
      </c>
      <c r="J13699" s="10">
        <v>2.406</v>
      </c>
      <c r="K13699" t="b">
        <v>1</v>
      </c>
    </row>
    <row r="13700" spans="1:11">
      <c r="A13700" s="12">
        <v>43353</v>
      </c>
      <c r="B13700">
        <v>2018</v>
      </c>
      <c r="C13700">
        <v>9</v>
      </c>
      <c r="D13700" s="11">
        <v>43344</v>
      </c>
      <c r="E13700" t="s">
        <v>2181</v>
      </c>
      <c r="F13700">
        <v>1</v>
      </c>
      <c r="G13700" t="s">
        <v>61</v>
      </c>
      <c r="H13700" t="s">
        <v>42</v>
      </c>
      <c r="I13700" t="s">
        <v>2190</v>
      </c>
      <c r="J13700" s="10">
        <v>2</v>
      </c>
      <c r="K13700" t="b">
        <v>1</v>
      </c>
    </row>
    <row r="13701" spans="1:11">
      <c r="A13701" s="12">
        <v>43353</v>
      </c>
      <c r="B13701">
        <v>2018</v>
      </c>
      <c r="C13701">
        <v>9</v>
      </c>
      <c r="D13701" s="11">
        <v>43344</v>
      </c>
      <c r="E13701" t="s">
        <v>2181</v>
      </c>
      <c r="F13701">
        <v>1</v>
      </c>
      <c r="G13701" t="s">
        <v>61</v>
      </c>
      <c r="H13701" t="s">
        <v>43</v>
      </c>
      <c r="I13701" t="s">
        <v>2191</v>
      </c>
      <c r="J13701" s="10">
        <v>49.4</v>
      </c>
      <c r="K13701" t="b">
        <v>1</v>
      </c>
    </row>
    <row r="13702" spans="1:11">
      <c r="A13702" s="12">
        <v>43353</v>
      </c>
      <c r="B13702">
        <v>2018</v>
      </c>
      <c r="C13702">
        <v>9</v>
      </c>
      <c r="D13702" s="11">
        <v>43344</v>
      </c>
      <c r="E13702" t="s">
        <v>2181</v>
      </c>
      <c r="F13702">
        <v>1</v>
      </c>
      <c r="G13702" t="s">
        <v>61</v>
      </c>
      <c r="H13702" t="s">
        <v>44</v>
      </c>
      <c r="I13702" t="s">
        <v>2192</v>
      </c>
      <c r="J13702" s="10">
        <v>14</v>
      </c>
      <c r="K13702" t="b">
        <v>1</v>
      </c>
    </row>
    <row r="13703" spans="1:11">
      <c r="A13703" s="12">
        <v>43353</v>
      </c>
      <c r="B13703">
        <v>2018</v>
      </c>
      <c r="C13703">
        <v>9</v>
      </c>
      <c r="D13703" s="11">
        <v>43344</v>
      </c>
      <c r="E13703" t="s">
        <v>2181</v>
      </c>
      <c r="F13703">
        <v>1</v>
      </c>
      <c r="G13703" t="s">
        <v>61</v>
      </c>
      <c r="H13703" t="s">
        <v>45</v>
      </c>
      <c r="I13703" t="s">
        <v>2193</v>
      </c>
      <c r="J13703" s="10">
        <v>3</v>
      </c>
      <c r="K13703" t="b">
        <v>1</v>
      </c>
    </row>
    <row r="13704" spans="1:11">
      <c r="A13704" s="12">
        <v>43353</v>
      </c>
      <c r="B13704">
        <v>2018</v>
      </c>
      <c r="C13704">
        <v>9</v>
      </c>
      <c r="D13704" s="11">
        <v>43344</v>
      </c>
      <c r="E13704" t="s">
        <v>2181</v>
      </c>
      <c r="F13704">
        <v>1</v>
      </c>
      <c r="G13704" t="s">
        <v>61</v>
      </c>
      <c r="H13704" t="s">
        <v>46</v>
      </c>
      <c r="I13704" t="s">
        <v>2194</v>
      </c>
      <c r="J13704" s="10">
        <v>1</v>
      </c>
      <c r="K13704" t="b">
        <v>1</v>
      </c>
    </row>
    <row r="13705" spans="1:11">
      <c r="A13705" s="12">
        <v>43353</v>
      </c>
      <c r="B13705">
        <v>2018</v>
      </c>
      <c r="C13705">
        <v>9</v>
      </c>
      <c r="D13705" s="11">
        <v>43344</v>
      </c>
      <c r="E13705" t="s">
        <v>2181</v>
      </c>
      <c r="F13705">
        <v>1</v>
      </c>
      <c r="G13705" t="s">
        <v>61</v>
      </c>
      <c r="H13705" t="s">
        <v>47</v>
      </c>
      <c r="I13705" t="s">
        <v>2195</v>
      </c>
      <c r="J13705" s="10">
        <v>2</v>
      </c>
      <c r="K13705" t="b">
        <v>1</v>
      </c>
    </row>
    <row r="13706" spans="1:11">
      <c r="A13706" s="12">
        <v>43354</v>
      </c>
      <c r="B13706">
        <v>2018</v>
      </c>
      <c r="C13706">
        <v>9</v>
      </c>
      <c r="D13706" s="11">
        <v>43344</v>
      </c>
      <c r="E13706" t="s">
        <v>2181</v>
      </c>
      <c r="F13706">
        <v>2</v>
      </c>
      <c r="G13706" t="s">
        <v>63</v>
      </c>
      <c r="H13706" t="s">
        <v>40</v>
      </c>
      <c r="I13706" t="s">
        <v>2188</v>
      </c>
      <c r="J13706" s="10">
        <v>9</v>
      </c>
      <c r="K13706" t="b">
        <v>1</v>
      </c>
    </row>
    <row r="13707" spans="1:11">
      <c r="A13707" s="12">
        <v>43354</v>
      </c>
      <c r="B13707">
        <v>2018</v>
      </c>
      <c r="C13707">
        <v>9</v>
      </c>
      <c r="D13707" s="11">
        <v>43344</v>
      </c>
      <c r="E13707" t="s">
        <v>2181</v>
      </c>
      <c r="F13707">
        <v>2</v>
      </c>
      <c r="G13707" t="s">
        <v>63</v>
      </c>
      <c r="H13707" t="s">
        <v>41</v>
      </c>
      <c r="I13707" t="s">
        <v>2189</v>
      </c>
      <c r="J13707" s="10">
        <v>2.726</v>
      </c>
      <c r="K13707" t="b">
        <v>1</v>
      </c>
    </row>
    <row r="13708" spans="1:11">
      <c r="A13708" s="12">
        <v>43354</v>
      </c>
      <c r="B13708">
        <v>2018</v>
      </c>
      <c r="C13708">
        <v>9</v>
      </c>
      <c r="D13708" s="11">
        <v>43344</v>
      </c>
      <c r="E13708" t="s">
        <v>2181</v>
      </c>
      <c r="F13708">
        <v>2</v>
      </c>
      <c r="G13708" t="s">
        <v>63</v>
      </c>
      <c r="H13708" t="s">
        <v>42</v>
      </c>
      <c r="I13708" t="s">
        <v>2190</v>
      </c>
      <c r="J13708" s="10">
        <v>3</v>
      </c>
      <c r="K13708" t="b">
        <v>1</v>
      </c>
    </row>
    <row r="13709" spans="1:11">
      <c r="A13709" s="12">
        <v>43354</v>
      </c>
      <c r="B13709">
        <v>2018</v>
      </c>
      <c r="C13709">
        <v>9</v>
      </c>
      <c r="D13709" s="11">
        <v>43344</v>
      </c>
      <c r="E13709" t="s">
        <v>2181</v>
      </c>
      <c r="F13709">
        <v>2</v>
      </c>
      <c r="G13709" t="s">
        <v>63</v>
      </c>
      <c r="H13709" t="s">
        <v>43</v>
      </c>
      <c r="I13709" t="s">
        <v>2191</v>
      </c>
      <c r="J13709" s="10">
        <v>50.6</v>
      </c>
      <c r="K13709" t="b">
        <v>1</v>
      </c>
    </row>
    <row r="13710" spans="1:11">
      <c r="A13710" s="12">
        <v>43354</v>
      </c>
      <c r="B13710">
        <v>2018</v>
      </c>
      <c r="C13710">
        <v>9</v>
      </c>
      <c r="D13710" s="11">
        <v>43344</v>
      </c>
      <c r="E13710" t="s">
        <v>2181</v>
      </c>
      <c r="F13710">
        <v>2</v>
      </c>
      <c r="G13710" t="s">
        <v>63</v>
      </c>
      <c r="H13710" t="s">
        <v>44</v>
      </c>
      <c r="I13710" t="s">
        <v>2192</v>
      </c>
      <c r="J13710" s="10">
        <v>15</v>
      </c>
      <c r="K13710" t="b">
        <v>1</v>
      </c>
    </row>
    <row r="13711" spans="1:11">
      <c r="A13711" s="12">
        <v>43354</v>
      </c>
      <c r="B13711">
        <v>2018</v>
      </c>
      <c r="C13711">
        <v>9</v>
      </c>
      <c r="D13711" s="11">
        <v>43344</v>
      </c>
      <c r="E13711" t="s">
        <v>2181</v>
      </c>
      <c r="F13711">
        <v>2</v>
      </c>
      <c r="G13711" t="s">
        <v>63</v>
      </c>
      <c r="H13711" t="s">
        <v>45</v>
      </c>
      <c r="I13711" t="s">
        <v>2193</v>
      </c>
      <c r="J13711" s="10">
        <v>0</v>
      </c>
      <c r="K13711" t="b">
        <v>1</v>
      </c>
    </row>
    <row r="13712" spans="1:11">
      <c r="A13712" s="12">
        <v>43354</v>
      </c>
      <c r="B13712">
        <v>2018</v>
      </c>
      <c r="C13712">
        <v>9</v>
      </c>
      <c r="D13712" s="11">
        <v>43344</v>
      </c>
      <c r="E13712" t="s">
        <v>2181</v>
      </c>
      <c r="F13712">
        <v>2</v>
      </c>
      <c r="G13712" t="s">
        <v>63</v>
      </c>
      <c r="H13712" t="s">
        <v>46</v>
      </c>
      <c r="I13712" t="s">
        <v>2194</v>
      </c>
      <c r="J13712" s="10">
        <v>6</v>
      </c>
      <c r="K13712" t="b">
        <v>1</v>
      </c>
    </row>
    <row r="13713" spans="1:11">
      <c r="A13713" s="12">
        <v>43354</v>
      </c>
      <c r="B13713">
        <v>2018</v>
      </c>
      <c r="C13713">
        <v>9</v>
      </c>
      <c r="D13713" s="11">
        <v>43344</v>
      </c>
      <c r="E13713" t="s">
        <v>2181</v>
      </c>
      <c r="F13713">
        <v>2</v>
      </c>
      <c r="G13713" t="s">
        <v>63</v>
      </c>
      <c r="H13713" t="s">
        <v>47</v>
      </c>
      <c r="I13713" t="s">
        <v>2195</v>
      </c>
      <c r="J13713" s="10">
        <v>4</v>
      </c>
      <c r="K13713" t="b">
        <v>1</v>
      </c>
    </row>
    <row r="13714" spans="1:11">
      <c r="A13714" s="12">
        <v>43355</v>
      </c>
      <c r="B13714">
        <v>2018</v>
      </c>
      <c r="C13714">
        <v>9</v>
      </c>
      <c r="D13714" s="11">
        <v>43344</v>
      </c>
      <c r="E13714" t="s">
        <v>2181</v>
      </c>
      <c r="F13714">
        <v>3</v>
      </c>
      <c r="G13714" t="s">
        <v>65</v>
      </c>
      <c r="H13714" t="s">
        <v>40</v>
      </c>
      <c r="I13714" t="s">
        <v>2188</v>
      </c>
      <c r="J13714" s="10">
        <v>4</v>
      </c>
      <c r="K13714" t="b">
        <v>1</v>
      </c>
    </row>
    <row r="13715" spans="1:11">
      <c r="A13715" s="12">
        <v>43355</v>
      </c>
      <c r="B13715">
        <v>2018</v>
      </c>
      <c r="C13715">
        <v>9</v>
      </c>
      <c r="D13715" s="11">
        <v>43344</v>
      </c>
      <c r="E13715" t="s">
        <v>2181</v>
      </c>
      <c r="F13715">
        <v>3</v>
      </c>
      <c r="G13715" t="s">
        <v>65</v>
      </c>
      <c r="H13715" t="s">
        <v>41</v>
      </c>
      <c r="I13715" t="s">
        <v>2189</v>
      </c>
      <c r="J13715" s="10">
        <v>3</v>
      </c>
      <c r="K13715" t="b">
        <v>1</v>
      </c>
    </row>
    <row r="13716" spans="1:11">
      <c r="A13716" s="12">
        <v>43355</v>
      </c>
      <c r="B13716">
        <v>2018</v>
      </c>
      <c r="C13716">
        <v>9</v>
      </c>
      <c r="D13716" s="11">
        <v>43344</v>
      </c>
      <c r="E13716" t="s">
        <v>2181</v>
      </c>
      <c r="F13716">
        <v>3</v>
      </c>
      <c r="G13716" t="s">
        <v>65</v>
      </c>
      <c r="H13716" t="s">
        <v>42</v>
      </c>
      <c r="I13716" t="s">
        <v>2190</v>
      </c>
      <c r="J13716" s="10">
        <v>2</v>
      </c>
      <c r="K13716" t="b">
        <v>1</v>
      </c>
    </row>
    <row r="13717" spans="1:11">
      <c r="A13717" s="12">
        <v>43355</v>
      </c>
      <c r="B13717">
        <v>2018</v>
      </c>
      <c r="C13717">
        <v>9</v>
      </c>
      <c r="D13717" s="11">
        <v>43344</v>
      </c>
      <c r="E13717" t="s">
        <v>2181</v>
      </c>
      <c r="F13717">
        <v>3</v>
      </c>
      <c r="G13717" t="s">
        <v>65</v>
      </c>
      <c r="H13717" t="s">
        <v>43</v>
      </c>
      <c r="I13717" t="s">
        <v>2191</v>
      </c>
      <c r="J13717" s="10">
        <v>35</v>
      </c>
      <c r="K13717" t="b">
        <v>1</v>
      </c>
    </row>
    <row r="13718" spans="1:11">
      <c r="A13718" s="12">
        <v>43355</v>
      </c>
      <c r="B13718">
        <v>2018</v>
      </c>
      <c r="C13718">
        <v>9</v>
      </c>
      <c r="D13718" s="11">
        <v>43344</v>
      </c>
      <c r="E13718" t="s">
        <v>2181</v>
      </c>
      <c r="F13718">
        <v>3</v>
      </c>
      <c r="G13718" t="s">
        <v>65</v>
      </c>
      <c r="H13718" t="s">
        <v>44</v>
      </c>
      <c r="I13718" t="s">
        <v>2192</v>
      </c>
      <c r="J13718" s="10">
        <v>18</v>
      </c>
      <c r="K13718" t="b">
        <v>1</v>
      </c>
    </row>
    <row r="13719" spans="1:11">
      <c r="A13719" s="12">
        <v>43355</v>
      </c>
      <c r="B13719">
        <v>2018</v>
      </c>
      <c r="C13719">
        <v>9</v>
      </c>
      <c r="D13719" s="11">
        <v>43344</v>
      </c>
      <c r="E13719" t="s">
        <v>2181</v>
      </c>
      <c r="F13719">
        <v>3</v>
      </c>
      <c r="G13719" t="s">
        <v>65</v>
      </c>
      <c r="H13719" t="s">
        <v>45</v>
      </c>
      <c r="I13719" t="s">
        <v>2193</v>
      </c>
      <c r="J13719" s="10">
        <v>0</v>
      </c>
      <c r="K13719" t="b">
        <v>1</v>
      </c>
    </row>
    <row r="13720" spans="1:11">
      <c r="A13720" s="12">
        <v>43355</v>
      </c>
      <c r="B13720">
        <v>2018</v>
      </c>
      <c r="C13720">
        <v>9</v>
      </c>
      <c r="D13720" s="11">
        <v>43344</v>
      </c>
      <c r="E13720" t="s">
        <v>2181</v>
      </c>
      <c r="F13720">
        <v>3</v>
      </c>
      <c r="G13720" t="s">
        <v>65</v>
      </c>
      <c r="H13720" t="s">
        <v>46</v>
      </c>
      <c r="I13720" t="s">
        <v>2194</v>
      </c>
      <c r="J13720" s="10">
        <v>5</v>
      </c>
      <c r="K13720" t="b">
        <v>1</v>
      </c>
    </row>
    <row r="13721" spans="1:11">
      <c r="A13721" s="12">
        <v>43355</v>
      </c>
      <c r="B13721">
        <v>2018</v>
      </c>
      <c r="C13721">
        <v>9</v>
      </c>
      <c r="D13721" s="11">
        <v>43344</v>
      </c>
      <c r="E13721" t="s">
        <v>2181</v>
      </c>
      <c r="F13721">
        <v>3</v>
      </c>
      <c r="G13721" t="s">
        <v>65</v>
      </c>
      <c r="H13721" t="s">
        <v>47</v>
      </c>
      <c r="I13721" t="s">
        <v>2195</v>
      </c>
      <c r="J13721" s="10">
        <v>0</v>
      </c>
      <c r="K13721" t="b">
        <v>1</v>
      </c>
    </row>
    <row r="13722" spans="1:11">
      <c r="A13722" s="12">
        <v>43356</v>
      </c>
      <c r="B13722">
        <v>2018</v>
      </c>
      <c r="C13722">
        <v>9</v>
      </c>
      <c r="D13722" s="11">
        <v>43344</v>
      </c>
      <c r="E13722" t="s">
        <v>2181</v>
      </c>
      <c r="F13722">
        <v>4</v>
      </c>
      <c r="G13722" t="s">
        <v>53</v>
      </c>
      <c r="H13722" t="s">
        <v>40</v>
      </c>
      <c r="I13722" t="s">
        <v>2188</v>
      </c>
      <c r="J13722" s="10">
        <v>2.83</v>
      </c>
      <c r="K13722" t="b">
        <v>1</v>
      </c>
    </row>
    <row r="13723" spans="1:11">
      <c r="A13723" s="12">
        <v>43356</v>
      </c>
      <c r="B13723">
        <v>2018</v>
      </c>
      <c r="C13723">
        <v>9</v>
      </c>
      <c r="D13723" s="11">
        <v>43344</v>
      </c>
      <c r="E13723" t="s">
        <v>2181</v>
      </c>
      <c r="F13723">
        <v>4</v>
      </c>
      <c r="G13723" t="s">
        <v>53</v>
      </c>
      <c r="H13723" t="s">
        <v>41</v>
      </c>
      <c r="I13723" t="s">
        <v>2189</v>
      </c>
      <c r="J13723" s="10">
        <v>3.086</v>
      </c>
      <c r="K13723" t="b">
        <v>1</v>
      </c>
    </row>
    <row r="13724" spans="1:11">
      <c r="A13724" s="12">
        <v>43356</v>
      </c>
      <c r="B13724">
        <v>2018</v>
      </c>
      <c r="C13724">
        <v>9</v>
      </c>
      <c r="D13724" s="11">
        <v>43344</v>
      </c>
      <c r="E13724" t="s">
        <v>2181</v>
      </c>
      <c r="F13724">
        <v>4</v>
      </c>
      <c r="G13724" t="s">
        <v>53</v>
      </c>
      <c r="H13724" t="s">
        <v>42</v>
      </c>
      <c r="I13724" t="s">
        <v>2190</v>
      </c>
      <c r="J13724" s="10">
        <v>1</v>
      </c>
      <c r="K13724" t="b">
        <v>1</v>
      </c>
    </row>
    <row r="13725" spans="1:11">
      <c r="A13725" s="12">
        <v>43356</v>
      </c>
      <c r="B13725">
        <v>2018</v>
      </c>
      <c r="C13725">
        <v>9</v>
      </c>
      <c r="D13725" s="11">
        <v>43344</v>
      </c>
      <c r="E13725" t="s">
        <v>2181</v>
      </c>
      <c r="F13725">
        <v>4</v>
      </c>
      <c r="G13725" t="s">
        <v>53</v>
      </c>
      <c r="H13725" t="s">
        <v>43</v>
      </c>
      <c r="I13725" t="s">
        <v>2191</v>
      </c>
      <c r="J13725" s="10">
        <v>20.6</v>
      </c>
      <c r="K13725" t="b">
        <v>1</v>
      </c>
    </row>
    <row r="13726" spans="1:11">
      <c r="A13726" s="12">
        <v>43356</v>
      </c>
      <c r="B13726">
        <v>2018</v>
      </c>
      <c r="C13726">
        <v>9</v>
      </c>
      <c r="D13726" s="11">
        <v>43344</v>
      </c>
      <c r="E13726" t="s">
        <v>2181</v>
      </c>
      <c r="F13726">
        <v>4</v>
      </c>
      <c r="G13726" t="s">
        <v>53</v>
      </c>
      <c r="H13726" t="s">
        <v>44</v>
      </c>
      <c r="I13726" t="s">
        <v>2192</v>
      </c>
      <c r="J13726" s="10">
        <v>5</v>
      </c>
      <c r="K13726" t="b">
        <v>1</v>
      </c>
    </row>
    <row r="13727" spans="1:11">
      <c r="A13727" s="12">
        <v>43356</v>
      </c>
      <c r="B13727">
        <v>2018</v>
      </c>
      <c r="C13727">
        <v>9</v>
      </c>
      <c r="D13727" s="11">
        <v>43344</v>
      </c>
      <c r="E13727" t="s">
        <v>2181</v>
      </c>
      <c r="F13727">
        <v>4</v>
      </c>
      <c r="G13727" t="s">
        <v>53</v>
      </c>
      <c r="H13727" t="s">
        <v>45</v>
      </c>
      <c r="I13727" t="s">
        <v>2193</v>
      </c>
      <c r="J13727" s="10">
        <v>2</v>
      </c>
      <c r="K13727" t="b">
        <v>1</v>
      </c>
    </row>
    <row r="13728" spans="1:11">
      <c r="A13728" s="12">
        <v>43356</v>
      </c>
      <c r="B13728">
        <v>2018</v>
      </c>
      <c r="C13728">
        <v>9</v>
      </c>
      <c r="D13728" s="11">
        <v>43344</v>
      </c>
      <c r="E13728" t="s">
        <v>2181</v>
      </c>
      <c r="F13728">
        <v>4</v>
      </c>
      <c r="G13728" t="s">
        <v>53</v>
      </c>
      <c r="H13728" t="s">
        <v>46</v>
      </c>
      <c r="I13728" t="s">
        <v>2194</v>
      </c>
      <c r="J13728" s="10">
        <v>12</v>
      </c>
      <c r="K13728" t="b">
        <v>1</v>
      </c>
    </row>
    <row r="13729" spans="1:11">
      <c r="A13729" s="12">
        <v>43356</v>
      </c>
      <c r="B13729">
        <v>2018</v>
      </c>
      <c r="C13729">
        <v>9</v>
      </c>
      <c r="D13729" s="11">
        <v>43344</v>
      </c>
      <c r="E13729" t="s">
        <v>2181</v>
      </c>
      <c r="F13729">
        <v>4</v>
      </c>
      <c r="G13729" t="s">
        <v>53</v>
      </c>
      <c r="H13729" t="s">
        <v>47</v>
      </c>
      <c r="I13729" t="s">
        <v>2195</v>
      </c>
      <c r="J13729" s="10">
        <v>2</v>
      </c>
      <c r="K13729" t="b">
        <v>1</v>
      </c>
    </row>
    <row r="13730" spans="1:11">
      <c r="A13730" s="12">
        <v>43357</v>
      </c>
      <c r="B13730">
        <v>2018</v>
      </c>
      <c r="C13730">
        <v>9</v>
      </c>
      <c r="D13730" s="11">
        <v>43344</v>
      </c>
      <c r="E13730" t="s">
        <v>2181</v>
      </c>
      <c r="F13730">
        <v>5</v>
      </c>
      <c r="G13730" t="s">
        <v>55</v>
      </c>
      <c r="H13730" t="s">
        <v>40</v>
      </c>
      <c r="I13730" t="s">
        <v>2188</v>
      </c>
      <c r="J13730" s="10">
        <v>8</v>
      </c>
      <c r="K13730" t="b">
        <v>1</v>
      </c>
    </row>
    <row r="13731" spans="1:11">
      <c r="A13731" s="12">
        <v>43357</v>
      </c>
      <c r="B13731">
        <v>2018</v>
      </c>
      <c r="C13731">
        <v>9</v>
      </c>
      <c r="D13731" s="11">
        <v>43344</v>
      </c>
      <c r="E13731" t="s">
        <v>2181</v>
      </c>
      <c r="F13731">
        <v>5</v>
      </c>
      <c r="G13731" t="s">
        <v>55</v>
      </c>
      <c r="H13731" t="s">
        <v>41</v>
      </c>
      <c r="I13731" t="s">
        <v>2189</v>
      </c>
      <c r="J13731" s="10">
        <v>7.02</v>
      </c>
      <c r="K13731" t="b">
        <v>1</v>
      </c>
    </row>
    <row r="13732" spans="1:11">
      <c r="A13732" s="12">
        <v>43357</v>
      </c>
      <c r="B13732">
        <v>2018</v>
      </c>
      <c r="C13732">
        <v>9</v>
      </c>
      <c r="D13732" s="11">
        <v>43344</v>
      </c>
      <c r="E13732" t="s">
        <v>2181</v>
      </c>
      <c r="F13732">
        <v>5</v>
      </c>
      <c r="G13732" t="s">
        <v>55</v>
      </c>
      <c r="H13732" t="s">
        <v>42</v>
      </c>
      <c r="I13732" t="s">
        <v>2190</v>
      </c>
      <c r="J13732" s="10">
        <v>4</v>
      </c>
      <c r="K13732" t="b">
        <v>1</v>
      </c>
    </row>
    <row r="13733" spans="1:11">
      <c r="A13733" s="12">
        <v>43357</v>
      </c>
      <c r="B13733">
        <v>2018</v>
      </c>
      <c r="C13733">
        <v>9</v>
      </c>
      <c r="D13733" s="11">
        <v>43344</v>
      </c>
      <c r="E13733" t="s">
        <v>2181</v>
      </c>
      <c r="F13733">
        <v>5</v>
      </c>
      <c r="G13733" t="s">
        <v>55</v>
      </c>
      <c r="H13733" t="s">
        <v>43</v>
      </c>
      <c r="I13733" t="s">
        <v>2191</v>
      </c>
      <c r="J13733" s="10">
        <v>54</v>
      </c>
      <c r="K13733" t="b">
        <v>1</v>
      </c>
    </row>
    <row r="13734" spans="1:11">
      <c r="A13734" s="12">
        <v>43357</v>
      </c>
      <c r="B13734">
        <v>2018</v>
      </c>
      <c r="C13734">
        <v>9</v>
      </c>
      <c r="D13734" s="11">
        <v>43344</v>
      </c>
      <c r="E13734" t="s">
        <v>2181</v>
      </c>
      <c r="F13734">
        <v>5</v>
      </c>
      <c r="G13734" t="s">
        <v>55</v>
      </c>
      <c r="H13734" t="s">
        <v>44</v>
      </c>
      <c r="I13734" t="s">
        <v>2192</v>
      </c>
      <c r="J13734" s="10">
        <v>7</v>
      </c>
      <c r="K13734" t="b">
        <v>1</v>
      </c>
    </row>
    <row r="13735" spans="1:11">
      <c r="A13735" s="12">
        <v>43357</v>
      </c>
      <c r="B13735">
        <v>2018</v>
      </c>
      <c r="C13735">
        <v>9</v>
      </c>
      <c r="D13735" s="11">
        <v>43344</v>
      </c>
      <c r="E13735" t="s">
        <v>2181</v>
      </c>
      <c r="F13735">
        <v>5</v>
      </c>
      <c r="G13735" t="s">
        <v>55</v>
      </c>
      <c r="H13735" t="s">
        <v>45</v>
      </c>
      <c r="I13735" t="s">
        <v>2193</v>
      </c>
      <c r="J13735" s="10">
        <v>0</v>
      </c>
      <c r="K13735" t="b">
        <v>1</v>
      </c>
    </row>
    <row r="13736" spans="1:11">
      <c r="A13736" s="12">
        <v>43357</v>
      </c>
      <c r="B13736">
        <v>2018</v>
      </c>
      <c r="C13736">
        <v>9</v>
      </c>
      <c r="D13736" s="11">
        <v>43344</v>
      </c>
      <c r="E13736" t="s">
        <v>2181</v>
      </c>
      <c r="F13736">
        <v>5</v>
      </c>
      <c r="G13736" t="s">
        <v>55</v>
      </c>
      <c r="H13736" t="s">
        <v>46</v>
      </c>
      <c r="I13736" t="s">
        <v>2194</v>
      </c>
      <c r="J13736" s="10">
        <v>1</v>
      </c>
      <c r="K13736" t="b">
        <v>1</v>
      </c>
    </row>
    <row r="13737" spans="1:11">
      <c r="A13737" s="12">
        <v>43357</v>
      </c>
      <c r="B13737">
        <v>2018</v>
      </c>
      <c r="C13737">
        <v>9</v>
      </c>
      <c r="D13737" s="11">
        <v>43344</v>
      </c>
      <c r="E13737" t="s">
        <v>2181</v>
      </c>
      <c r="F13737">
        <v>5</v>
      </c>
      <c r="G13737" t="s">
        <v>55</v>
      </c>
      <c r="H13737" t="s">
        <v>47</v>
      </c>
      <c r="I13737" t="s">
        <v>2195</v>
      </c>
      <c r="J13737" s="10">
        <v>2</v>
      </c>
      <c r="K13737" t="b">
        <v>1</v>
      </c>
    </row>
    <row r="13738" spans="1:11">
      <c r="A13738" s="12">
        <v>43358</v>
      </c>
      <c r="B13738">
        <v>2018</v>
      </c>
      <c r="C13738">
        <v>9</v>
      </c>
      <c r="D13738" s="11">
        <v>43344</v>
      </c>
      <c r="E13738" t="s">
        <v>2181</v>
      </c>
      <c r="F13738">
        <v>6</v>
      </c>
      <c r="G13738" t="s">
        <v>57</v>
      </c>
      <c r="H13738" t="s">
        <v>40</v>
      </c>
      <c r="I13738" t="s">
        <v>2188</v>
      </c>
      <c r="J13738" s="10">
        <v>6</v>
      </c>
      <c r="K13738" t="b">
        <v>1</v>
      </c>
    </row>
    <row r="13739" spans="1:11">
      <c r="A13739" s="12">
        <v>43358</v>
      </c>
      <c r="B13739">
        <v>2018</v>
      </c>
      <c r="C13739">
        <v>9</v>
      </c>
      <c r="D13739" s="11">
        <v>43344</v>
      </c>
      <c r="E13739" t="s">
        <v>2181</v>
      </c>
      <c r="F13739">
        <v>6</v>
      </c>
      <c r="G13739" t="s">
        <v>57</v>
      </c>
      <c r="H13739" t="s">
        <v>41</v>
      </c>
      <c r="I13739" t="s">
        <v>2189</v>
      </c>
      <c r="J13739" s="10">
        <v>2.01</v>
      </c>
      <c r="K13739" t="b">
        <v>1</v>
      </c>
    </row>
    <row r="13740" spans="1:11">
      <c r="A13740" s="12">
        <v>43358</v>
      </c>
      <c r="B13740">
        <v>2018</v>
      </c>
      <c r="C13740">
        <v>9</v>
      </c>
      <c r="D13740" s="11">
        <v>43344</v>
      </c>
      <c r="E13740" t="s">
        <v>2181</v>
      </c>
      <c r="F13740">
        <v>6</v>
      </c>
      <c r="G13740" t="s">
        <v>57</v>
      </c>
      <c r="H13740" t="s">
        <v>42</v>
      </c>
      <c r="I13740" t="s">
        <v>2190</v>
      </c>
      <c r="J13740" s="10">
        <v>4</v>
      </c>
      <c r="K13740" t="b">
        <v>1</v>
      </c>
    </row>
    <row r="13741" spans="1:11">
      <c r="A13741" s="12">
        <v>43358</v>
      </c>
      <c r="B13741">
        <v>2018</v>
      </c>
      <c r="C13741">
        <v>9</v>
      </c>
      <c r="D13741" s="11">
        <v>43344</v>
      </c>
      <c r="E13741" t="s">
        <v>2181</v>
      </c>
      <c r="F13741">
        <v>6</v>
      </c>
      <c r="G13741" t="s">
        <v>57</v>
      </c>
      <c r="H13741" t="s">
        <v>43</v>
      </c>
      <c r="I13741" t="s">
        <v>2191</v>
      </c>
      <c r="J13741" s="10">
        <v>19.7</v>
      </c>
      <c r="K13741" t="b">
        <v>1</v>
      </c>
    </row>
    <row r="13742" spans="1:11">
      <c r="A13742" s="12">
        <v>43358</v>
      </c>
      <c r="B13742">
        <v>2018</v>
      </c>
      <c r="C13742">
        <v>9</v>
      </c>
      <c r="D13742" s="11">
        <v>43344</v>
      </c>
      <c r="E13742" t="s">
        <v>2181</v>
      </c>
      <c r="F13742">
        <v>6</v>
      </c>
      <c r="G13742" t="s">
        <v>57</v>
      </c>
      <c r="H13742" t="s">
        <v>44</v>
      </c>
      <c r="I13742" t="s">
        <v>2192</v>
      </c>
      <c r="J13742" s="10">
        <v>6</v>
      </c>
      <c r="K13742" t="b">
        <v>1</v>
      </c>
    </row>
    <row r="13743" spans="1:11">
      <c r="A13743" s="12">
        <v>43358</v>
      </c>
      <c r="B13743">
        <v>2018</v>
      </c>
      <c r="C13743">
        <v>9</v>
      </c>
      <c r="D13743" s="11">
        <v>43344</v>
      </c>
      <c r="E13743" t="s">
        <v>2181</v>
      </c>
      <c r="F13743">
        <v>6</v>
      </c>
      <c r="G13743" t="s">
        <v>57</v>
      </c>
      <c r="H13743" t="s">
        <v>45</v>
      </c>
      <c r="I13743" t="s">
        <v>2193</v>
      </c>
      <c r="J13743" s="10">
        <v>0</v>
      </c>
      <c r="K13743" t="b">
        <v>1</v>
      </c>
    </row>
    <row r="13744" spans="1:11">
      <c r="A13744" s="12">
        <v>43358</v>
      </c>
      <c r="B13744">
        <v>2018</v>
      </c>
      <c r="C13744">
        <v>9</v>
      </c>
      <c r="D13744" s="11">
        <v>43344</v>
      </c>
      <c r="E13744" t="s">
        <v>2181</v>
      </c>
      <c r="F13744">
        <v>6</v>
      </c>
      <c r="G13744" t="s">
        <v>57</v>
      </c>
      <c r="H13744" t="s">
        <v>46</v>
      </c>
      <c r="I13744" t="s">
        <v>2194</v>
      </c>
      <c r="J13744" s="10">
        <v>10</v>
      </c>
      <c r="K13744" t="b">
        <v>1</v>
      </c>
    </row>
    <row r="13745" spans="1:11">
      <c r="A13745" s="12">
        <v>43358</v>
      </c>
      <c r="B13745">
        <v>2018</v>
      </c>
      <c r="C13745">
        <v>9</v>
      </c>
      <c r="D13745" s="11">
        <v>43344</v>
      </c>
      <c r="E13745" t="s">
        <v>2181</v>
      </c>
      <c r="F13745">
        <v>6</v>
      </c>
      <c r="G13745" t="s">
        <v>57</v>
      </c>
      <c r="H13745" t="s">
        <v>47</v>
      </c>
      <c r="I13745" t="s">
        <v>2195</v>
      </c>
      <c r="J13745" s="10">
        <v>4.4</v>
      </c>
      <c r="K13745" t="b">
        <v>1</v>
      </c>
    </row>
    <row r="13746" spans="1:11">
      <c r="A13746" s="12">
        <v>43359</v>
      </c>
      <c r="B13746">
        <v>2018</v>
      </c>
      <c r="C13746">
        <v>9</v>
      </c>
      <c r="D13746" s="11">
        <v>43344</v>
      </c>
      <c r="E13746" t="s">
        <v>2181</v>
      </c>
      <c r="F13746">
        <v>7</v>
      </c>
      <c r="G13746" t="s">
        <v>59</v>
      </c>
      <c r="H13746" t="s">
        <v>40</v>
      </c>
      <c r="I13746" t="s">
        <v>2188</v>
      </c>
      <c r="J13746" s="10">
        <v>3.33</v>
      </c>
      <c r="K13746" t="b">
        <v>1</v>
      </c>
    </row>
    <row r="13747" spans="1:11">
      <c r="A13747" s="12">
        <v>43359</v>
      </c>
      <c r="B13747">
        <v>2018</v>
      </c>
      <c r="C13747">
        <v>9</v>
      </c>
      <c r="D13747" s="11">
        <v>43344</v>
      </c>
      <c r="E13747" t="s">
        <v>2181</v>
      </c>
      <c r="F13747">
        <v>7</v>
      </c>
      <c r="G13747" t="s">
        <v>59</v>
      </c>
      <c r="H13747" t="s">
        <v>41</v>
      </c>
      <c r="I13747" t="s">
        <v>2189</v>
      </c>
      <c r="J13747" s="10">
        <v>0.67</v>
      </c>
      <c r="K13747" t="b">
        <v>1</v>
      </c>
    </row>
    <row r="13748" spans="1:11">
      <c r="A13748" s="12">
        <v>43359</v>
      </c>
      <c r="B13748">
        <v>2018</v>
      </c>
      <c r="C13748">
        <v>9</v>
      </c>
      <c r="D13748" s="11">
        <v>43344</v>
      </c>
      <c r="E13748" t="s">
        <v>2181</v>
      </c>
      <c r="F13748">
        <v>7</v>
      </c>
      <c r="G13748" t="s">
        <v>59</v>
      </c>
      <c r="H13748" t="s">
        <v>42</v>
      </c>
      <c r="I13748" t="s">
        <v>2190</v>
      </c>
      <c r="J13748" s="10">
        <v>3.25</v>
      </c>
      <c r="K13748" t="b">
        <v>1</v>
      </c>
    </row>
    <row r="13749" spans="1:11">
      <c r="A13749" s="12">
        <v>43359</v>
      </c>
      <c r="B13749">
        <v>2018</v>
      </c>
      <c r="C13749">
        <v>9</v>
      </c>
      <c r="D13749" s="11">
        <v>43344</v>
      </c>
      <c r="E13749" t="s">
        <v>2181</v>
      </c>
      <c r="F13749">
        <v>7</v>
      </c>
      <c r="G13749" t="s">
        <v>59</v>
      </c>
      <c r="H13749" t="s">
        <v>43</v>
      </c>
      <c r="I13749" t="s">
        <v>2191</v>
      </c>
      <c r="J13749" s="10">
        <v>24.25</v>
      </c>
      <c r="K13749" t="b">
        <v>1</v>
      </c>
    </row>
    <row r="13750" spans="1:11">
      <c r="A13750" s="12">
        <v>43359</v>
      </c>
      <c r="B13750">
        <v>2018</v>
      </c>
      <c r="C13750">
        <v>9</v>
      </c>
      <c r="D13750" s="11">
        <v>43344</v>
      </c>
      <c r="E13750" t="s">
        <v>2181</v>
      </c>
      <c r="F13750">
        <v>7</v>
      </c>
      <c r="G13750" t="s">
        <v>59</v>
      </c>
      <c r="H13750" t="s">
        <v>44</v>
      </c>
      <c r="I13750" t="s">
        <v>2192</v>
      </c>
      <c r="J13750" s="10">
        <v>6</v>
      </c>
      <c r="K13750" t="b">
        <v>1</v>
      </c>
    </row>
    <row r="13751" spans="1:11">
      <c r="A13751" s="12">
        <v>43359</v>
      </c>
      <c r="B13751">
        <v>2018</v>
      </c>
      <c r="C13751">
        <v>9</v>
      </c>
      <c r="D13751" s="11">
        <v>43344</v>
      </c>
      <c r="E13751" t="s">
        <v>2181</v>
      </c>
      <c r="F13751">
        <v>7</v>
      </c>
      <c r="G13751" t="s">
        <v>59</v>
      </c>
      <c r="H13751" t="s">
        <v>45</v>
      </c>
      <c r="I13751" t="s">
        <v>2193</v>
      </c>
      <c r="J13751" s="10">
        <v>1</v>
      </c>
      <c r="K13751" t="b">
        <v>1</v>
      </c>
    </row>
    <row r="13752" spans="1:11">
      <c r="A13752" s="12">
        <v>43359</v>
      </c>
      <c r="B13752">
        <v>2018</v>
      </c>
      <c r="C13752">
        <v>9</v>
      </c>
      <c r="D13752" s="11">
        <v>43344</v>
      </c>
      <c r="E13752" t="s">
        <v>2181</v>
      </c>
      <c r="F13752">
        <v>7</v>
      </c>
      <c r="G13752" t="s">
        <v>59</v>
      </c>
      <c r="H13752" t="s">
        <v>46</v>
      </c>
      <c r="I13752" t="s">
        <v>2194</v>
      </c>
      <c r="J13752" s="10">
        <v>7</v>
      </c>
      <c r="K13752" t="b">
        <v>1</v>
      </c>
    </row>
    <row r="13753" spans="1:11">
      <c r="A13753" s="12">
        <v>43359</v>
      </c>
      <c r="B13753">
        <v>2018</v>
      </c>
      <c r="C13753">
        <v>9</v>
      </c>
      <c r="D13753" s="11">
        <v>43344</v>
      </c>
      <c r="E13753" t="s">
        <v>2181</v>
      </c>
      <c r="F13753">
        <v>7</v>
      </c>
      <c r="G13753" t="s">
        <v>59</v>
      </c>
      <c r="H13753" t="s">
        <v>47</v>
      </c>
      <c r="I13753" t="s">
        <v>2195</v>
      </c>
      <c r="J13753" s="10">
        <v>3</v>
      </c>
      <c r="K13753" t="b">
        <v>1</v>
      </c>
    </row>
    <row r="13754" spans="1:11">
      <c r="A13754" s="12">
        <v>43360</v>
      </c>
      <c r="B13754">
        <v>2018</v>
      </c>
      <c r="C13754">
        <v>9</v>
      </c>
      <c r="D13754" s="11">
        <v>43344</v>
      </c>
      <c r="E13754" t="s">
        <v>2181</v>
      </c>
      <c r="F13754">
        <v>1</v>
      </c>
      <c r="G13754" t="s">
        <v>61</v>
      </c>
      <c r="H13754" t="s">
        <v>40</v>
      </c>
      <c r="I13754" t="s">
        <v>2188</v>
      </c>
      <c r="J13754" s="10">
        <v>3</v>
      </c>
      <c r="K13754" t="b">
        <v>1</v>
      </c>
    </row>
    <row r="13755" spans="1:11">
      <c r="A13755" s="12">
        <v>43360</v>
      </c>
      <c r="B13755">
        <v>2018</v>
      </c>
      <c r="C13755">
        <v>9</v>
      </c>
      <c r="D13755" s="11">
        <v>43344</v>
      </c>
      <c r="E13755" t="s">
        <v>2181</v>
      </c>
      <c r="F13755">
        <v>1</v>
      </c>
      <c r="G13755" t="s">
        <v>61</v>
      </c>
      <c r="H13755" t="s">
        <v>41</v>
      </c>
      <c r="I13755" t="s">
        <v>2189</v>
      </c>
      <c r="J13755" s="10">
        <v>2.33</v>
      </c>
      <c r="K13755" t="b">
        <v>1</v>
      </c>
    </row>
    <row r="13756" spans="1:11">
      <c r="A13756" s="12">
        <v>43360</v>
      </c>
      <c r="B13756">
        <v>2018</v>
      </c>
      <c r="C13756">
        <v>9</v>
      </c>
      <c r="D13756" s="11">
        <v>43344</v>
      </c>
      <c r="E13756" t="s">
        <v>2181</v>
      </c>
      <c r="F13756">
        <v>1</v>
      </c>
      <c r="G13756" t="s">
        <v>61</v>
      </c>
      <c r="H13756" t="s">
        <v>42</v>
      </c>
      <c r="I13756" t="s">
        <v>2190</v>
      </c>
      <c r="J13756" s="10">
        <v>3.75</v>
      </c>
      <c r="K13756" t="b">
        <v>1</v>
      </c>
    </row>
    <row r="13757" spans="1:11">
      <c r="A13757" s="12">
        <v>43360</v>
      </c>
      <c r="B13757">
        <v>2018</v>
      </c>
      <c r="C13757">
        <v>9</v>
      </c>
      <c r="D13757" s="11">
        <v>43344</v>
      </c>
      <c r="E13757" t="s">
        <v>2181</v>
      </c>
      <c r="F13757">
        <v>1</v>
      </c>
      <c r="G13757" t="s">
        <v>61</v>
      </c>
      <c r="H13757" t="s">
        <v>43</v>
      </c>
      <c r="I13757" t="s">
        <v>2191</v>
      </c>
      <c r="J13757" s="10">
        <v>44.4</v>
      </c>
      <c r="K13757" t="b">
        <v>1</v>
      </c>
    </row>
    <row r="13758" spans="1:11">
      <c r="A13758" s="12">
        <v>43360</v>
      </c>
      <c r="B13758">
        <v>2018</v>
      </c>
      <c r="C13758">
        <v>9</v>
      </c>
      <c r="D13758" s="11">
        <v>43344</v>
      </c>
      <c r="E13758" t="s">
        <v>2181</v>
      </c>
      <c r="F13758">
        <v>1</v>
      </c>
      <c r="G13758" t="s">
        <v>61</v>
      </c>
      <c r="H13758" t="s">
        <v>44</v>
      </c>
      <c r="I13758" t="s">
        <v>2192</v>
      </c>
      <c r="J13758" s="10">
        <v>10</v>
      </c>
      <c r="K13758" t="b">
        <v>1</v>
      </c>
    </row>
    <row r="13759" spans="1:11">
      <c r="A13759" s="12">
        <v>43360</v>
      </c>
      <c r="B13759">
        <v>2018</v>
      </c>
      <c r="C13759">
        <v>9</v>
      </c>
      <c r="D13759" s="11">
        <v>43344</v>
      </c>
      <c r="E13759" t="s">
        <v>2181</v>
      </c>
      <c r="F13759">
        <v>1</v>
      </c>
      <c r="G13759" t="s">
        <v>61</v>
      </c>
      <c r="H13759" t="s">
        <v>45</v>
      </c>
      <c r="I13759" t="s">
        <v>2193</v>
      </c>
      <c r="J13759" s="10">
        <v>1</v>
      </c>
      <c r="K13759" t="b">
        <v>1</v>
      </c>
    </row>
    <row r="13760" spans="1:11">
      <c r="A13760" s="12">
        <v>43360</v>
      </c>
      <c r="B13760">
        <v>2018</v>
      </c>
      <c r="C13760">
        <v>9</v>
      </c>
      <c r="D13760" s="11">
        <v>43344</v>
      </c>
      <c r="E13760" t="s">
        <v>2181</v>
      </c>
      <c r="F13760">
        <v>1</v>
      </c>
      <c r="G13760" t="s">
        <v>61</v>
      </c>
      <c r="H13760" t="s">
        <v>46</v>
      </c>
      <c r="I13760" t="s">
        <v>2194</v>
      </c>
      <c r="J13760" s="10">
        <v>5</v>
      </c>
      <c r="K13760" t="b">
        <v>1</v>
      </c>
    </row>
    <row r="13761" spans="1:11">
      <c r="A13761" s="12">
        <v>43360</v>
      </c>
      <c r="B13761">
        <v>2018</v>
      </c>
      <c r="C13761">
        <v>9</v>
      </c>
      <c r="D13761" s="11">
        <v>43344</v>
      </c>
      <c r="E13761" t="s">
        <v>2181</v>
      </c>
      <c r="F13761">
        <v>1</v>
      </c>
      <c r="G13761" t="s">
        <v>61</v>
      </c>
      <c r="H13761" t="s">
        <v>47</v>
      </c>
      <c r="I13761" t="s">
        <v>2195</v>
      </c>
      <c r="J13761" s="10">
        <v>0</v>
      </c>
      <c r="K13761" t="b">
        <v>1</v>
      </c>
    </row>
    <row r="13762" spans="1:11">
      <c r="A13762" s="12">
        <v>43361</v>
      </c>
      <c r="B13762">
        <v>2018</v>
      </c>
      <c r="C13762">
        <v>9</v>
      </c>
      <c r="D13762" s="11">
        <v>43344</v>
      </c>
      <c r="E13762" t="s">
        <v>2181</v>
      </c>
      <c r="F13762">
        <v>2</v>
      </c>
      <c r="G13762" t="s">
        <v>63</v>
      </c>
      <c r="H13762" t="s">
        <v>40</v>
      </c>
      <c r="I13762" t="s">
        <v>2188</v>
      </c>
      <c r="J13762" s="10">
        <v>4.34</v>
      </c>
      <c r="K13762" t="b">
        <v>1</v>
      </c>
    </row>
    <row r="13763" spans="1:11">
      <c r="A13763" s="12">
        <v>43361</v>
      </c>
      <c r="B13763">
        <v>2018</v>
      </c>
      <c r="C13763">
        <v>9</v>
      </c>
      <c r="D13763" s="11">
        <v>43344</v>
      </c>
      <c r="E13763" t="s">
        <v>2181</v>
      </c>
      <c r="F13763">
        <v>2</v>
      </c>
      <c r="G13763" t="s">
        <v>63</v>
      </c>
      <c r="H13763" t="s">
        <v>41</v>
      </c>
      <c r="I13763" t="s">
        <v>2189</v>
      </c>
      <c r="J13763" s="10">
        <v>3</v>
      </c>
      <c r="K13763" t="b">
        <v>1</v>
      </c>
    </row>
    <row r="13764" spans="1:11">
      <c r="A13764" s="12">
        <v>43361</v>
      </c>
      <c r="B13764">
        <v>2018</v>
      </c>
      <c r="C13764">
        <v>9</v>
      </c>
      <c r="D13764" s="11">
        <v>43344</v>
      </c>
      <c r="E13764" t="s">
        <v>2181</v>
      </c>
      <c r="F13764">
        <v>2</v>
      </c>
      <c r="G13764" t="s">
        <v>63</v>
      </c>
      <c r="H13764" t="s">
        <v>42</v>
      </c>
      <c r="I13764" t="s">
        <v>2190</v>
      </c>
      <c r="J13764" s="10">
        <v>3.7</v>
      </c>
      <c r="K13764" t="b">
        <v>1</v>
      </c>
    </row>
    <row r="13765" spans="1:11">
      <c r="A13765" s="12">
        <v>43361</v>
      </c>
      <c r="B13765">
        <v>2018</v>
      </c>
      <c r="C13765">
        <v>9</v>
      </c>
      <c r="D13765" s="11">
        <v>43344</v>
      </c>
      <c r="E13765" t="s">
        <v>2181</v>
      </c>
      <c r="F13765">
        <v>2</v>
      </c>
      <c r="G13765" t="s">
        <v>63</v>
      </c>
      <c r="H13765" t="s">
        <v>43</v>
      </c>
      <c r="I13765" t="s">
        <v>2191</v>
      </c>
      <c r="J13765" s="10">
        <v>20</v>
      </c>
      <c r="K13765" t="b">
        <v>1</v>
      </c>
    </row>
    <row r="13766" spans="1:11">
      <c r="A13766" s="12">
        <v>43361</v>
      </c>
      <c r="B13766">
        <v>2018</v>
      </c>
      <c r="C13766">
        <v>9</v>
      </c>
      <c r="D13766" s="11">
        <v>43344</v>
      </c>
      <c r="E13766" t="s">
        <v>2181</v>
      </c>
      <c r="F13766">
        <v>2</v>
      </c>
      <c r="G13766" t="s">
        <v>63</v>
      </c>
      <c r="H13766" t="s">
        <v>44</v>
      </c>
      <c r="I13766" t="s">
        <v>2192</v>
      </c>
      <c r="J13766" s="10">
        <v>6</v>
      </c>
      <c r="K13766" t="b">
        <v>1</v>
      </c>
    </row>
    <row r="13767" spans="1:11">
      <c r="A13767" s="12">
        <v>43361</v>
      </c>
      <c r="B13767">
        <v>2018</v>
      </c>
      <c r="C13767">
        <v>9</v>
      </c>
      <c r="D13767" s="11">
        <v>43344</v>
      </c>
      <c r="E13767" t="s">
        <v>2181</v>
      </c>
      <c r="F13767">
        <v>2</v>
      </c>
      <c r="G13767" t="s">
        <v>63</v>
      </c>
      <c r="H13767" t="s">
        <v>45</v>
      </c>
      <c r="I13767" t="s">
        <v>2193</v>
      </c>
      <c r="J13767" s="10">
        <v>0</v>
      </c>
      <c r="K13767" t="b">
        <v>1</v>
      </c>
    </row>
    <row r="13768" spans="1:11">
      <c r="A13768" s="12">
        <v>43361</v>
      </c>
      <c r="B13768">
        <v>2018</v>
      </c>
      <c r="C13768">
        <v>9</v>
      </c>
      <c r="D13768" s="11">
        <v>43344</v>
      </c>
      <c r="E13768" t="s">
        <v>2181</v>
      </c>
      <c r="F13768">
        <v>2</v>
      </c>
      <c r="G13768" t="s">
        <v>63</v>
      </c>
      <c r="H13768" t="s">
        <v>46</v>
      </c>
      <c r="I13768" t="s">
        <v>2194</v>
      </c>
      <c r="J13768" s="10">
        <v>1</v>
      </c>
      <c r="K13768" t="b">
        <v>1</v>
      </c>
    </row>
    <row r="13769" spans="1:11">
      <c r="A13769" s="12">
        <v>43361</v>
      </c>
      <c r="B13769">
        <v>2018</v>
      </c>
      <c r="C13769">
        <v>9</v>
      </c>
      <c r="D13769" s="11">
        <v>43344</v>
      </c>
      <c r="E13769" t="s">
        <v>2181</v>
      </c>
      <c r="F13769">
        <v>2</v>
      </c>
      <c r="G13769" t="s">
        <v>63</v>
      </c>
      <c r="H13769" t="s">
        <v>47</v>
      </c>
      <c r="I13769" t="s">
        <v>2195</v>
      </c>
      <c r="J13769" s="10">
        <v>5</v>
      </c>
      <c r="K13769" t="b">
        <v>1</v>
      </c>
    </row>
    <row r="13770" spans="1:11">
      <c r="A13770" s="12">
        <v>43362</v>
      </c>
      <c r="B13770">
        <v>2018</v>
      </c>
      <c r="C13770">
        <v>9</v>
      </c>
      <c r="D13770" s="11">
        <v>43344</v>
      </c>
      <c r="E13770" t="s">
        <v>2181</v>
      </c>
      <c r="F13770">
        <v>3</v>
      </c>
      <c r="G13770" t="s">
        <v>65</v>
      </c>
      <c r="H13770" t="s">
        <v>40</v>
      </c>
      <c r="I13770" t="s">
        <v>2188</v>
      </c>
      <c r="J13770" s="10">
        <v>6</v>
      </c>
      <c r="K13770" t="b">
        <v>1</v>
      </c>
    </row>
    <row r="13771" spans="1:11">
      <c r="A13771" s="12">
        <v>43362</v>
      </c>
      <c r="B13771">
        <v>2018</v>
      </c>
      <c r="C13771">
        <v>9</v>
      </c>
      <c r="D13771" s="11">
        <v>43344</v>
      </c>
      <c r="E13771" t="s">
        <v>2181</v>
      </c>
      <c r="F13771">
        <v>3</v>
      </c>
      <c r="G13771" t="s">
        <v>65</v>
      </c>
      <c r="H13771" t="s">
        <v>41</v>
      </c>
      <c r="I13771" t="s">
        <v>2189</v>
      </c>
      <c r="J13771" s="10">
        <v>3.68</v>
      </c>
      <c r="K13771" t="b">
        <v>1</v>
      </c>
    </row>
    <row r="13772" spans="1:11">
      <c r="A13772" s="12">
        <v>43362</v>
      </c>
      <c r="B13772">
        <v>2018</v>
      </c>
      <c r="C13772">
        <v>9</v>
      </c>
      <c r="D13772" s="11">
        <v>43344</v>
      </c>
      <c r="E13772" t="s">
        <v>2181</v>
      </c>
      <c r="F13772">
        <v>3</v>
      </c>
      <c r="G13772" t="s">
        <v>65</v>
      </c>
      <c r="H13772" t="s">
        <v>42</v>
      </c>
      <c r="I13772" t="s">
        <v>2190</v>
      </c>
      <c r="J13772" s="10">
        <v>2</v>
      </c>
      <c r="K13772" t="b">
        <v>1</v>
      </c>
    </row>
    <row r="13773" spans="1:11">
      <c r="A13773" s="12">
        <v>43362</v>
      </c>
      <c r="B13773">
        <v>2018</v>
      </c>
      <c r="C13773">
        <v>9</v>
      </c>
      <c r="D13773" s="11">
        <v>43344</v>
      </c>
      <c r="E13773" t="s">
        <v>2181</v>
      </c>
      <c r="F13773">
        <v>3</v>
      </c>
      <c r="G13773" t="s">
        <v>65</v>
      </c>
      <c r="H13773" t="s">
        <v>43</v>
      </c>
      <c r="I13773" t="s">
        <v>2191</v>
      </c>
      <c r="J13773" s="10">
        <v>26</v>
      </c>
      <c r="K13773" t="b">
        <v>1</v>
      </c>
    </row>
    <row r="13774" spans="1:11">
      <c r="A13774" s="12">
        <v>43362</v>
      </c>
      <c r="B13774">
        <v>2018</v>
      </c>
      <c r="C13774">
        <v>9</v>
      </c>
      <c r="D13774" s="11">
        <v>43344</v>
      </c>
      <c r="E13774" t="s">
        <v>2181</v>
      </c>
      <c r="F13774">
        <v>3</v>
      </c>
      <c r="G13774" t="s">
        <v>65</v>
      </c>
      <c r="H13774" t="s">
        <v>44</v>
      </c>
      <c r="I13774" t="s">
        <v>2192</v>
      </c>
      <c r="J13774" s="10">
        <v>10</v>
      </c>
      <c r="K13774" t="b">
        <v>1</v>
      </c>
    </row>
    <row r="13775" spans="1:11">
      <c r="A13775" s="12">
        <v>43362</v>
      </c>
      <c r="B13775">
        <v>2018</v>
      </c>
      <c r="C13775">
        <v>9</v>
      </c>
      <c r="D13775" s="11">
        <v>43344</v>
      </c>
      <c r="E13775" t="s">
        <v>2181</v>
      </c>
      <c r="F13775">
        <v>3</v>
      </c>
      <c r="G13775" t="s">
        <v>65</v>
      </c>
      <c r="H13775" t="s">
        <v>45</v>
      </c>
      <c r="I13775" t="s">
        <v>2193</v>
      </c>
      <c r="J13775" s="10">
        <v>0</v>
      </c>
      <c r="K13775" t="b">
        <v>1</v>
      </c>
    </row>
    <row r="13776" spans="1:11">
      <c r="A13776" s="12">
        <v>43362</v>
      </c>
      <c r="B13776">
        <v>2018</v>
      </c>
      <c r="C13776">
        <v>9</v>
      </c>
      <c r="D13776" s="11">
        <v>43344</v>
      </c>
      <c r="E13776" t="s">
        <v>2181</v>
      </c>
      <c r="F13776">
        <v>3</v>
      </c>
      <c r="G13776" t="s">
        <v>65</v>
      </c>
      <c r="H13776" t="s">
        <v>46</v>
      </c>
      <c r="I13776" t="s">
        <v>2194</v>
      </c>
      <c r="J13776" s="10">
        <v>9</v>
      </c>
      <c r="K13776" t="b">
        <v>1</v>
      </c>
    </row>
    <row r="13777" spans="1:11">
      <c r="A13777" s="12">
        <v>43362</v>
      </c>
      <c r="B13777">
        <v>2018</v>
      </c>
      <c r="C13777">
        <v>9</v>
      </c>
      <c r="D13777" s="11">
        <v>43344</v>
      </c>
      <c r="E13777" t="s">
        <v>2181</v>
      </c>
      <c r="F13777">
        <v>3</v>
      </c>
      <c r="G13777" t="s">
        <v>65</v>
      </c>
      <c r="H13777" t="s">
        <v>47</v>
      </c>
      <c r="I13777" t="s">
        <v>2195</v>
      </c>
      <c r="J13777" s="10">
        <v>7</v>
      </c>
      <c r="K13777" t="b">
        <v>1</v>
      </c>
    </row>
    <row r="13778" spans="1:11">
      <c r="A13778" s="12">
        <v>43363</v>
      </c>
      <c r="B13778">
        <v>2018</v>
      </c>
      <c r="C13778">
        <v>9</v>
      </c>
      <c r="D13778" s="11">
        <v>43344</v>
      </c>
      <c r="E13778" t="s">
        <v>2181</v>
      </c>
      <c r="F13778">
        <v>4</v>
      </c>
      <c r="G13778" t="s">
        <v>53</v>
      </c>
      <c r="H13778" t="s">
        <v>40</v>
      </c>
      <c r="I13778" t="s">
        <v>2188</v>
      </c>
      <c r="J13778" s="10">
        <v>2</v>
      </c>
      <c r="K13778" t="b">
        <v>1</v>
      </c>
    </row>
    <row r="13779" spans="1:11">
      <c r="A13779" s="12">
        <v>43363</v>
      </c>
      <c r="B13779">
        <v>2018</v>
      </c>
      <c r="C13779">
        <v>9</v>
      </c>
      <c r="D13779" s="11">
        <v>43344</v>
      </c>
      <c r="E13779" t="s">
        <v>2181</v>
      </c>
      <c r="F13779">
        <v>4</v>
      </c>
      <c r="G13779" t="s">
        <v>53</v>
      </c>
      <c r="H13779" t="s">
        <v>41</v>
      </c>
      <c r="I13779" t="s">
        <v>2189</v>
      </c>
      <c r="J13779" s="10">
        <v>4.067</v>
      </c>
      <c r="K13779" t="b">
        <v>1</v>
      </c>
    </row>
    <row r="13780" spans="1:11">
      <c r="A13780" s="12">
        <v>43363</v>
      </c>
      <c r="B13780">
        <v>2018</v>
      </c>
      <c r="C13780">
        <v>9</v>
      </c>
      <c r="D13780" s="11">
        <v>43344</v>
      </c>
      <c r="E13780" t="s">
        <v>2181</v>
      </c>
      <c r="F13780">
        <v>4</v>
      </c>
      <c r="G13780" t="s">
        <v>53</v>
      </c>
      <c r="H13780" t="s">
        <v>42</v>
      </c>
      <c r="I13780" t="s">
        <v>2190</v>
      </c>
      <c r="J13780" s="10">
        <v>2</v>
      </c>
      <c r="K13780" t="b">
        <v>1</v>
      </c>
    </row>
    <row r="13781" spans="1:11">
      <c r="A13781" s="12">
        <v>43363</v>
      </c>
      <c r="B13781">
        <v>2018</v>
      </c>
      <c r="C13781">
        <v>9</v>
      </c>
      <c r="D13781" s="11">
        <v>43344</v>
      </c>
      <c r="E13781" t="s">
        <v>2181</v>
      </c>
      <c r="F13781">
        <v>4</v>
      </c>
      <c r="G13781" t="s">
        <v>53</v>
      </c>
      <c r="H13781" t="s">
        <v>43</v>
      </c>
      <c r="I13781" t="s">
        <v>2191</v>
      </c>
      <c r="J13781" s="10">
        <v>24.2</v>
      </c>
      <c r="K13781" t="b">
        <v>1</v>
      </c>
    </row>
    <row r="13782" spans="1:11">
      <c r="A13782" s="12">
        <v>43363</v>
      </c>
      <c r="B13782">
        <v>2018</v>
      </c>
      <c r="C13782">
        <v>9</v>
      </c>
      <c r="D13782" s="11">
        <v>43344</v>
      </c>
      <c r="E13782" t="s">
        <v>2181</v>
      </c>
      <c r="F13782">
        <v>4</v>
      </c>
      <c r="G13782" t="s">
        <v>53</v>
      </c>
      <c r="H13782" t="s">
        <v>44</v>
      </c>
      <c r="I13782" t="s">
        <v>2192</v>
      </c>
      <c r="J13782" s="10">
        <v>13</v>
      </c>
      <c r="K13782" t="b">
        <v>1</v>
      </c>
    </row>
    <row r="13783" spans="1:11">
      <c r="A13783" s="12">
        <v>43363</v>
      </c>
      <c r="B13783">
        <v>2018</v>
      </c>
      <c r="C13783">
        <v>9</v>
      </c>
      <c r="D13783" s="11">
        <v>43344</v>
      </c>
      <c r="E13783" t="s">
        <v>2181</v>
      </c>
      <c r="F13783">
        <v>4</v>
      </c>
      <c r="G13783" t="s">
        <v>53</v>
      </c>
      <c r="H13783" t="s">
        <v>45</v>
      </c>
      <c r="I13783" t="s">
        <v>2193</v>
      </c>
      <c r="J13783" s="10">
        <v>1</v>
      </c>
      <c r="K13783" t="b">
        <v>1</v>
      </c>
    </row>
    <row r="13784" spans="1:11">
      <c r="A13784" s="12">
        <v>43363</v>
      </c>
      <c r="B13784">
        <v>2018</v>
      </c>
      <c r="C13784">
        <v>9</v>
      </c>
      <c r="D13784" s="11">
        <v>43344</v>
      </c>
      <c r="E13784" t="s">
        <v>2181</v>
      </c>
      <c r="F13784">
        <v>4</v>
      </c>
      <c r="G13784" t="s">
        <v>53</v>
      </c>
      <c r="H13784" t="s">
        <v>46</v>
      </c>
      <c r="I13784" t="s">
        <v>2194</v>
      </c>
      <c r="J13784" s="10">
        <v>0</v>
      </c>
      <c r="K13784" t="b">
        <v>1</v>
      </c>
    </row>
    <row r="13785" spans="1:11">
      <c r="A13785" s="12">
        <v>43363</v>
      </c>
      <c r="B13785">
        <v>2018</v>
      </c>
      <c r="C13785">
        <v>9</v>
      </c>
      <c r="D13785" s="11">
        <v>43344</v>
      </c>
      <c r="E13785" t="s">
        <v>2181</v>
      </c>
      <c r="F13785">
        <v>4</v>
      </c>
      <c r="G13785" t="s">
        <v>53</v>
      </c>
      <c r="H13785" t="s">
        <v>47</v>
      </c>
      <c r="I13785" t="s">
        <v>2195</v>
      </c>
      <c r="J13785" s="10">
        <v>5</v>
      </c>
      <c r="K13785" t="b">
        <v>1</v>
      </c>
    </row>
    <row r="13786" spans="1:11">
      <c r="A13786" s="12">
        <v>43364</v>
      </c>
      <c r="B13786">
        <v>2018</v>
      </c>
      <c r="C13786">
        <v>9</v>
      </c>
      <c r="D13786" s="11">
        <v>43344</v>
      </c>
      <c r="E13786" t="s">
        <v>2181</v>
      </c>
      <c r="F13786">
        <v>5</v>
      </c>
      <c r="G13786" t="s">
        <v>55</v>
      </c>
      <c r="H13786" t="s">
        <v>40</v>
      </c>
      <c r="I13786" t="s">
        <v>2188</v>
      </c>
      <c r="J13786" s="10">
        <v>4.66</v>
      </c>
      <c r="K13786" t="b">
        <v>1</v>
      </c>
    </row>
    <row r="13787" spans="1:11">
      <c r="A13787" s="12">
        <v>43364</v>
      </c>
      <c r="B13787">
        <v>2018</v>
      </c>
      <c r="C13787">
        <v>9</v>
      </c>
      <c r="D13787" s="11">
        <v>43344</v>
      </c>
      <c r="E13787" t="s">
        <v>2181</v>
      </c>
      <c r="F13787">
        <v>5</v>
      </c>
      <c r="G13787" t="s">
        <v>55</v>
      </c>
      <c r="H13787" t="s">
        <v>41</v>
      </c>
      <c r="I13787" t="s">
        <v>2189</v>
      </c>
      <c r="J13787" s="10">
        <v>5.837</v>
      </c>
      <c r="K13787" t="b">
        <v>1</v>
      </c>
    </row>
    <row r="13788" spans="1:11">
      <c r="A13788" s="12">
        <v>43364</v>
      </c>
      <c r="B13788">
        <v>2018</v>
      </c>
      <c r="C13788">
        <v>9</v>
      </c>
      <c r="D13788" s="11">
        <v>43344</v>
      </c>
      <c r="E13788" t="s">
        <v>2181</v>
      </c>
      <c r="F13788">
        <v>5</v>
      </c>
      <c r="G13788" t="s">
        <v>55</v>
      </c>
      <c r="H13788" t="s">
        <v>42</v>
      </c>
      <c r="I13788" t="s">
        <v>2190</v>
      </c>
      <c r="J13788" s="10">
        <v>1</v>
      </c>
      <c r="K13788" t="b">
        <v>1</v>
      </c>
    </row>
    <row r="13789" spans="1:11">
      <c r="A13789" s="12">
        <v>43364</v>
      </c>
      <c r="B13789">
        <v>2018</v>
      </c>
      <c r="C13789">
        <v>9</v>
      </c>
      <c r="D13789" s="11">
        <v>43344</v>
      </c>
      <c r="E13789" t="s">
        <v>2181</v>
      </c>
      <c r="F13789">
        <v>5</v>
      </c>
      <c r="G13789" t="s">
        <v>55</v>
      </c>
      <c r="H13789" t="s">
        <v>43</v>
      </c>
      <c r="I13789" t="s">
        <v>2191</v>
      </c>
      <c r="J13789" s="10">
        <v>33.1</v>
      </c>
      <c r="K13789" t="b">
        <v>1</v>
      </c>
    </row>
    <row r="13790" spans="1:11">
      <c r="A13790" s="12">
        <v>43364</v>
      </c>
      <c r="B13790">
        <v>2018</v>
      </c>
      <c r="C13790">
        <v>9</v>
      </c>
      <c r="D13790" s="11">
        <v>43344</v>
      </c>
      <c r="E13790" t="s">
        <v>2181</v>
      </c>
      <c r="F13790">
        <v>5</v>
      </c>
      <c r="G13790" t="s">
        <v>55</v>
      </c>
      <c r="H13790" t="s">
        <v>44</v>
      </c>
      <c r="I13790" t="s">
        <v>2192</v>
      </c>
      <c r="J13790" s="10">
        <v>10</v>
      </c>
      <c r="K13790" t="b">
        <v>1</v>
      </c>
    </row>
    <row r="13791" spans="1:11">
      <c r="A13791" s="12">
        <v>43364</v>
      </c>
      <c r="B13791">
        <v>2018</v>
      </c>
      <c r="C13791">
        <v>9</v>
      </c>
      <c r="D13791" s="11">
        <v>43344</v>
      </c>
      <c r="E13791" t="s">
        <v>2181</v>
      </c>
      <c r="F13791">
        <v>5</v>
      </c>
      <c r="G13791" t="s">
        <v>55</v>
      </c>
      <c r="H13791" t="s">
        <v>45</v>
      </c>
      <c r="I13791" t="s">
        <v>2193</v>
      </c>
      <c r="J13791" s="10">
        <v>0</v>
      </c>
      <c r="K13791" t="b">
        <v>1</v>
      </c>
    </row>
    <row r="13792" spans="1:11">
      <c r="A13792" s="12">
        <v>43364</v>
      </c>
      <c r="B13792">
        <v>2018</v>
      </c>
      <c r="C13792">
        <v>9</v>
      </c>
      <c r="D13792" s="11">
        <v>43344</v>
      </c>
      <c r="E13792" t="s">
        <v>2181</v>
      </c>
      <c r="F13792">
        <v>5</v>
      </c>
      <c r="G13792" t="s">
        <v>55</v>
      </c>
      <c r="H13792" t="s">
        <v>46</v>
      </c>
      <c r="I13792" t="s">
        <v>2194</v>
      </c>
      <c r="J13792" s="10">
        <v>1</v>
      </c>
      <c r="K13792" t="b">
        <v>1</v>
      </c>
    </row>
    <row r="13793" spans="1:11">
      <c r="A13793" s="12">
        <v>43364</v>
      </c>
      <c r="B13793">
        <v>2018</v>
      </c>
      <c r="C13793">
        <v>9</v>
      </c>
      <c r="D13793" s="11">
        <v>43344</v>
      </c>
      <c r="E13793" t="s">
        <v>2181</v>
      </c>
      <c r="F13793">
        <v>5</v>
      </c>
      <c r="G13793" t="s">
        <v>55</v>
      </c>
      <c r="H13793" t="s">
        <v>47</v>
      </c>
      <c r="I13793" t="s">
        <v>2195</v>
      </c>
      <c r="J13793" s="10">
        <v>3</v>
      </c>
      <c r="K13793" t="b">
        <v>1</v>
      </c>
    </row>
    <row r="13794" spans="1:11">
      <c r="A13794" s="12">
        <v>43365</v>
      </c>
      <c r="B13794">
        <v>2018</v>
      </c>
      <c r="C13794">
        <v>9</v>
      </c>
      <c r="D13794" s="11">
        <v>43344</v>
      </c>
      <c r="E13794" t="s">
        <v>2181</v>
      </c>
      <c r="F13794">
        <v>6</v>
      </c>
      <c r="G13794" t="s">
        <v>57</v>
      </c>
      <c r="H13794" t="s">
        <v>40</v>
      </c>
      <c r="I13794" t="s">
        <v>2188</v>
      </c>
      <c r="J13794" s="10">
        <v>6</v>
      </c>
      <c r="K13794" t="b">
        <v>1</v>
      </c>
    </row>
    <row r="13795" spans="1:11">
      <c r="A13795" s="12">
        <v>43365</v>
      </c>
      <c r="B13795">
        <v>2018</v>
      </c>
      <c r="C13795">
        <v>9</v>
      </c>
      <c r="D13795" s="11">
        <v>43344</v>
      </c>
      <c r="E13795" t="s">
        <v>2181</v>
      </c>
      <c r="F13795">
        <v>6</v>
      </c>
      <c r="G13795" t="s">
        <v>57</v>
      </c>
      <c r="H13795" t="s">
        <v>41</v>
      </c>
      <c r="I13795" t="s">
        <v>2189</v>
      </c>
      <c r="J13795" s="10">
        <v>3.833</v>
      </c>
      <c r="K13795" t="b">
        <v>1</v>
      </c>
    </row>
    <row r="13796" spans="1:11">
      <c r="A13796" s="12">
        <v>43365</v>
      </c>
      <c r="B13796">
        <v>2018</v>
      </c>
      <c r="C13796">
        <v>9</v>
      </c>
      <c r="D13796" s="11">
        <v>43344</v>
      </c>
      <c r="E13796" t="s">
        <v>2181</v>
      </c>
      <c r="F13796">
        <v>6</v>
      </c>
      <c r="G13796" t="s">
        <v>57</v>
      </c>
      <c r="H13796" t="s">
        <v>42</v>
      </c>
      <c r="I13796" t="s">
        <v>2190</v>
      </c>
      <c r="J13796" s="10">
        <v>1.5</v>
      </c>
      <c r="K13796" t="b">
        <v>1</v>
      </c>
    </row>
    <row r="13797" spans="1:11">
      <c r="A13797" s="12">
        <v>43365</v>
      </c>
      <c r="B13797">
        <v>2018</v>
      </c>
      <c r="C13797">
        <v>9</v>
      </c>
      <c r="D13797" s="11">
        <v>43344</v>
      </c>
      <c r="E13797" t="s">
        <v>2181</v>
      </c>
      <c r="F13797">
        <v>6</v>
      </c>
      <c r="G13797" t="s">
        <v>57</v>
      </c>
      <c r="H13797" t="s">
        <v>43</v>
      </c>
      <c r="I13797" t="s">
        <v>2191</v>
      </c>
      <c r="J13797" s="10">
        <v>31.6</v>
      </c>
      <c r="K13797" t="b">
        <v>1</v>
      </c>
    </row>
    <row r="13798" spans="1:11">
      <c r="A13798" s="12">
        <v>43365</v>
      </c>
      <c r="B13798">
        <v>2018</v>
      </c>
      <c r="C13798">
        <v>9</v>
      </c>
      <c r="D13798" s="11">
        <v>43344</v>
      </c>
      <c r="E13798" t="s">
        <v>2181</v>
      </c>
      <c r="F13798">
        <v>6</v>
      </c>
      <c r="G13798" t="s">
        <v>57</v>
      </c>
      <c r="H13798" t="s">
        <v>44</v>
      </c>
      <c r="I13798" t="s">
        <v>2192</v>
      </c>
      <c r="J13798" s="10">
        <v>6</v>
      </c>
      <c r="K13798" t="b">
        <v>1</v>
      </c>
    </row>
    <row r="13799" spans="1:11">
      <c r="A13799" s="12">
        <v>43365</v>
      </c>
      <c r="B13799">
        <v>2018</v>
      </c>
      <c r="C13799">
        <v>9</v>
      </c>
      <c r="D13799" s="11">
        <v>43344</v>
      </c>
      <c r="E13799" t="s">
        <v>2181</v>
      </c>
      <c r="F13799">
        <v>6</v>
      </c>
      <c r="G13799" t="s">
        <v>57</v>
      </c>
      <c r="H13799" t="s">
        <v>45</v>
      </c>
      <c r="I13799" t="s">
        <v>2193</v>
      </c>
      <c r="J13799" s="10">
        <v>1</v>
      </c>
      <c r="K13799" t="b">
        <v>1</v>
      </c>
    </row>
    <row r="13800" spans="1:11">
      <c r="A13800" s="12">
        <v>43365</v>
      </c>
      <c r="B13800">
        <v>2018</v>
      </c>
      <c r="C13800">
        <v>9</v>
      </c>
      <c r="D13800" s="11">
        <v>43344</v>
      </c>
      <c r="E13800" t="s">
        <v>2181</v>
      </c>
      <c r="F13800">
        <v>6</v>
      </c>
      <c r="G13800" t="s">
        <v>57</v>
      </c>
      <c r="H13800" t="s">
        <v>46</v>
      </c>
      <c r="I13800" t="s">
        <v>2194</v>
      </c>
      <c r="J13800" s="10">
        <v>23</v>
      </c>
      <c r="K13800" t="b">
        <v>1</v>
      </c>
    </row>
    <row r="13801" spans="1:11">
      <c r="A13801" s="12">
        <v>43365</v>
      </c>
      <c r="B13801">
        <v>2018</v>
      </c>
      <c r="C13801">
        <v>9</v>
      </c>
      <c r="D13801" s="11">
        <v>43344</v>
      </c>
      <c r="E13801" t="s">
        <v>2181</v>
      </c>
      <c r="F13801">
        <v>6</v>
      </c>
      <c r="G13801" t="s">
        <v>57</v>
      </c>
      <c r="H13801" t="s">
        <v>47</v>
      </c>
      <c r="I13801" t="s">
        <v>2195</v>
      </c>
      <c r="J13801" s="10">
        <v>3</v>
      </c>
      <c r="K13801" t="b">
        <v>1</v>
      </c>
    </row>
    <row r="13802" spans="1:11">
      <c r="A13802" s="12">
        <v>43366</v>
      </c>
      <c r="B13802">
        <v>2018</v>
      </c>
      <c r="C13802">
        <v>9</v>
      </c>
      <c r="D13802" s="11">
        <v>43344</v>
      </c>
      <c r="E13802" t="s">
        <v>2181</v>
      </c>
      <c r="F13802">
        <v>7</v>
      </c>
      <c r="G13802" t="s">
        <v>59</v>
      </c>
      <c r="H13802" t="s">
        <v>40</v>
      </c>
      <c r="I13802" t="s">
        <v>2188</v>
      </c>
      <c r="J13802" s="10">
        <v>7.34</v>
      </c>
      <c r="K13802" t="b">
        <v>1</v>
      </c>
    </row>
    <row r="13803" spans="1:11">
      <c r="A13803" s="12">
        <v>43366</v>
      </c>
      <c r="B13803">
        <v>2018</v>
      </c>
      <c r="C13803">
        <v>9</v>
      </c>
      <c r="D13803" s="11">
        <v>43344</v>
      </c>
      <c r="E13803" t="s">
        <v>2181</v>
      </c>
      <c r="F13803">
        <v>7</v>
      </c>
      <c r="G13803" t="s">
        <v>59</v>
      </c>
      <c r="H13803" t="s">
        <v>41</v>
      </c>
      <c r="I13803" t="s">
        <v>2189</v>
      </c>
      <c r="J13803" s="10">
        <v>9.439</v>
      </c>
      <c r="K13803" t="b">
        <v>1</v>
      </c>
    </row>
    <row r="13804" spans="1:11">
      <c r="A13804" s="12">
        <v>43366</v>
      </c>
      <c r="B13804">
        <v>2018</v>
      </c>
      <c r="C13804">
        <v>9</v>
      </c>
      <c r="D13804" s="11">
        <v>43344</v>
      </c>
      <c r="E13804" t="s">
        <v>2181</v>
      </c>
      <c r="F13804">
        <v>7</v>
      </c>
      <c r="G13804" t="s">
        <v>59</v>
      </c>
      <c r="H13804" t="s">
        <v>42</v>
      </c>
      <c r="I13804" t="s">
        <v>2190</v>
      </c>
      <c r="J13804" s="10">
        <v>3.25</v>
      </c>
      <c r="K13804" t="b">
        <v>1</v>
      </c>
    </row>
    <row r="13805" spans="1:11">
      <c r="A13805" s="12">
        <v>43366</v>
      </c>
      <c r="B13805">
        <v>2018</v>
      </c>
      <c r="C13805">
        <v>9</v>
      </c>
      <c r="D13805" s="11">
        <v>43344</v>
      </c>
      <c r="E13805" t="s">
        <v>2181</v>
      </c>
      <c r="F13805">
        <v>7</v>
      </c>
      <c r="G13805" t="s">
        <v>59</v>
      </c>
      <c r="H13805" t="s">
        <v>43</v>
      </c>
      <c r="I13805" t="s">
        <v>2191</v>
      </c>
      <c r="J13805" s="10">
        <v>42.862</v>
      </c>
      <c r="K13805" t="b">
        <v>1</v>
      </c>
    </row>
    <row r="13806" spans="1:11">
      <c r="A13806" s="12">
        <v>43366</v>
      </c>
      <c r="B13806">
        <v>2018</v>
      </c>
      <c r="C13806">
        <v>9</v>
      </c>
      <c r="D13806" s="11">
        <v>43344</v>
      </c>
      <c r="E13806" t="s">
        <v>2181</v>
      </c>
      <c r="F13806">
        <v>7</v>
      </c>
      <c r="G13806" t="s">
        <v>59</v>
      </c>
      <c r="H13806" t="s">
        <v>44</v>
      </c>
      <c r="I13806" t="s">
        <v>2192</v>
      </c>
      <c r="J13806" s="10">
        <v>9</v>
      </c>
      <c r="K13806" t="b">
        <v>1</v>
      </c>
    </row>
    <row r="13807" spans="1:11">
      <c r="A13807" s="12">
        <v>43366</v>
      </c>
      <c r="B13807">
        <v>2018</v>
      </c>
      <c r="C13807">
        <v>9</v>
      </c>
      <c r="D13807" s="11">
        <v>43344</v>
      </c>
      <c r="E13807" t="s">
        <v>2181</v>
      </c>
      <c r="F13807">
        <v>7</v>
      </c>
      <c r="G13807" t="s">
        <v>59</v>
      </c>
      <c r="H13807" t="s">
        <v>45</v>
      </c>
      <c r="I13807" t="s">
        <v>2193</v>
      </c>
      <c r="J13807" s="10">
        <v>0</v>
      </c>
      <c r="K13807" t="b">
        <v>1</v>
      </c>
    </row>
    <row r="13808" spans="1:11">
      <c r="A13808" s="12">
        <v>43366</v>
      </c>
      <c r="B13808">
        <v>2018</v>
      </c>
      <c r="C13808">
        <v>9</v>
      </c>
      <c r="D13808" s="11">
        <v>43344</v>
      </c>
      <c r="E13808" t="s">
        <v>2181</v>
      </c>
      <c r="F13808">
        <v>7</v>
      </c>
      <c r="G13808" t="s">
        <v>59</v>
      </c>
      <c r="H13808" t="s">
        <v>46</v>
      </c>
      <c r="I13808" t="s">
        <v>2194</v>
      </c>
      <c r="J13808" s="10">
        <v>8</v>
      </c>
      <c r="K13808" t="b">
        <v>1</v>
      </c>
    </row>
    <row r="13809" spans="1:11">
      <c r="A13809" s="12">
        <v>43366</v>
      </c>
      <c r="B13809">
        <v>2018</v>
      </c>
      <c r="C13809">
        <v>9</v>
      </c>
      <c r="D13809" s="11">
        <v>43344</v>
      </c>
      <c r="E13809" t="s">
        <v>2181</v>
      </c>
      <c r="F13809">
        <v>7</v>
      </c>
      <c r="G13809" t="s">
        <v>59</v>
      </c>
      <c r="H13809" t="s">
        <v>47</v>
      </c>
      <c r="I13809" t="s">
        <v>2195</v>
      </c>
      <c r="J13809" s="10">
        <v>5</v>
      </c>
      <c r="K13809" t="b">
        <v>1</v>
      </c>
    </row>
    <row r="13810" spans="1:11">
      <c r="A13810" s="12">
        <v>43367</v>
      </c>
      <c r="B13810">
        <v>2018</v>
      </c>
      <c r="C13810">
        <v>9</v>
      </c>
      <c r="D13810" s="11">
        <v>43344</v>
      </c>
      <c r="E13810" t="s">
        <v>2181</v>
      </c>
      <c r="F13810">
        <v>1</v>
      </c>
      <c r="G13810" t="s">
        <v>61</v>
      </c>
      <c r="H13810" t="s">
        <v>40</v>
      </c>
      <c r="I13810" t="s">
        <v>2188</v>
      </c>
      <c r="J13810" s="10">
        <v>7.33</v>
      </c>
      <c r="K13810" t="b">
        <v>1</v>
      </c>
    </row>
    <row r="13811" spans="1:11">
      <c r="A13811" s="12">
        <v>43367</v>
      </c>
      <c r="B13811">
        <v>2018</v>
      </c>
      <c r="C13811">
        <v>9</v>
      </c>
      <c r="D13811" s="11">
        <v>43344</v>
      </c>
      <c r="E13811" t="s">
        <v>2181</v>
      </c>
      <c r="F13811">
        <v>1</v>
      </c>
      <c r="G13811" t="s">
        <v>61</v>
      </c>
      <c r="H13811" t="s">
        <v>41</v>
      </c>
      <c r="I13811" t="s">
        <v>2189</v>
      </c>
      <c r="J13811" s="10">
        <v>3.67</v>
      </c>
      <c r="K13811" t="b">
        <v>1</v>
      </c>
    </row>
    <row r="13812" spans="1:11">
      <c r="A13812" s="12">
        <v>43367</v>
      </c>
      <c r="B13812">
        <v>2018</v>
      </c>
      <c r="C13812">
        <v>9</v>
      </c>
      <c r="D13812" s="11">
        <v>43344</v>
      </c>
      <c r="E13812" t="s">
        <v>2181</v>
      </c>
      <c r="F13812">
        <v>1</v>
      </c>
      <c r="G13812" t="s">
        <v>61</v>
      </c>
      <c r="H13812" t="s">
        <v>42</v>
      </c>
      <c r="I13812" t="s">
        <v>2190</v>
      </c>
      <c r="J13812" s="10">
        <v>5.5</v>
      </c>
      <c r="K13812" t="b">
        <v>1</v>
      </c>
    </row>
    <row r="13813" spans="1:11">
      <c r="A13813" s="12">
        <v>43367</v>
      </c>
      <c r="B13813">
        <v>2018</v>
      </c>
      <c r="C13813">
        <v>9</v>
      </c>
      <c r="D13813" s="11">
        <v>43344</v>
      </c>
      <c r="E13813" t="s">
        <v>2181</v>
      </c>
      <c r="F13813">
        <v>1</v>
      </c>
      <c r="G13813" t="s">
        <v>61</v>
      </c>
      <c r="H13813" t="s">
        <v>43</v>
      </c>
      <c r="I13813" t="s">
        <v>2191</v>
      </c>
      <c r="J13813" s="10">
        <v>53.8</v>
      </c>
      <c r="K13813" t="b">
        <v>1</v>
      </c>
    </row>
    <row r="13814" spans="1:11">
      <c r="A13814" s="12">
        <v>43367</v>
      </c>
      <c r="B13814">
        <v>2018</v>
      </c>
      <c r="C13814">
        <v>9</v>
      </c>
      <c r="D13814" s="11">
        <v>43344</v>
      </c>
      <c r="E13814" t="s">
        <v>2181</v>
      </c>
      <c r="F13814">
        <v>1</v>
      </c>
      <c r="G13814" t="s">
        <v>61</v>
      </c>
      <c r="H13814" t="s">
        <v>44</v>
      </c>
      <c r="I13814" t="s">
        <v>2192</v>
      </c>
      <c r="J13814" s="10">
        <v>7</v>
      </c>
      <c r="K13814" t="b">
        <v>1</v>
      </c>
    </row>
    <row r="13815" spans="1:11">
      <c r="A13815" s="12">
        <v>43367</v>
      </c>
      <c r="B13815">
        <v>2018</v>
      </c>
      <c r="C13815">
        <v>9</v>
      </c>
      <c r="D13815" s="11">
        <v>43344</v>
      </c>
      <c r="E13815" t="s">
        <v>2181</v>
      </c>
      <c r="F13815">
        <v>1</v>
      </c>
      <c r="G13815" t="s">
        <v>61</v>
      </c>
      <c r="H13815" t="s">
        <v>45</v>
      </c>
      <c r="I13815" t="s">
        <v>2193</v>
      </c>
      <c r="J13815" s="10">
        <v>0</v>
      </c>
      <c r="K13815" t="b">
        <v>1</v>
      </c>
    </row>
    <row r="13816" spans="1:11">
      <c r="A13816" s="12">
        <v>43367</v>
      </c>
      <c r="B13816">
        <v>2018</v>
      </c>
      <c r="C13816">
        <v>9</v>
      </c>
      <c r="D13816" s="11">
        <v>43344</v>
      </c>
      <c r="E13816" t="s">
        <v>2181</v>
      </c>
      <c r="F13816">
        <v>1</v>
      </c>
      <c r="G13816" t="s">
        <v>61</v>
      </c>
      <c r="H13816" t="s">
        <v>46</v>
      </c>
      <c r="I13816" t="s">
        <v>2194</v>
      </c>
      <c r="J13816" s="10">
        <v>9</v>
      </c>
      <c r="K13816" t="b">
        <v>1</v>
      </c>
    </row>
    <row r="13817" spans="1:11">
      <c r="A13817" s="12">
        <v>43367</v>
      </c>
      <c r="B13817">
        <v>2018</v>
      </c>
      <c r="C13817">
        <v>9</v>
      </c>
      <c r="D13817" s="11">
        <v>43344</v>
      </c>
      <c r="E13817" t="s">
        <v>2181</v>
      </c>
      <c r="F13817">
        <v>1</v>
      </c>
      <c r="G13817" t="s">
        <v>61</v>
      </c>
      <c r="H13817" t="s">
        <v>47</v>
      </c>
      <c r="I13817" t="s">
        <v>2195</v>
      </c>
      <c r="J13817" s="10">
        <v>2</v>
      </c>
      <c r="K13817" t="b">
        <v>1</v>
      </c>
    </row>
    <row r="13818" spans="1:11">
      <c r="A13818" s="12">
        <v>43368</v>
      </c>
      <c r="B13818">
        <v>2018</v>
      </c>
      <c r="C13818">
        <v>9</v>
      </c>
      <c r="D13818" s="11">
        <v>43344</v>
      </c>
      <c r="E13818" t="s">
        <v>2181</v>
      </c>
      <c r="F13818">
        <v>2</v>
      </c>
      <c r="G13818" t="s">
        <v>63</v>
      </c>
      <c r="H13818" t="s">
        <v>40</v>
      </c>
      <c r="I13818" t="s">
        <v>2188</v>
      </c>
      <c r="J13818" s="10">
        <v>6</v>
      </c>
      <c r="K13818" t="b">
        <v>1</v>
      </c>
    </row>
    <row r="13819" spans="1:11">
      <c r="A13819" s="12">
        <v>43368</v>
      </c>
      <c r="B13819">
        <v>2018</v>
      </c>
      <c r="C13819">
        <v>9</v>
      </c>
      <c r="D13819" s="11">
        <v>43344</v>
      </c>
      <c r="E13819" t="s">
        <v>2181</v>
      </c>
      <c r="F13819">
        <v>2</v>
      </c>
      <c r="G13819" t="s">
        <v>63</v>
      </c>
      <c r="H13819" t="s">
        <v>41</v>
      </c>
      <c r="I13819" t="s">
        <v>2189</v>
      </c>
      <c r="J13819" s="10">
        <v>4.736</v>
      </c>
      <c r="K13819" t="b">
        <v>1</v>
      </c>
    </row>
    <row r="13820" spans="1:11">
      <c r="A13820" s="12">
        <v>43368</v>
      </c>
      <c r="B13820">
        <v>2018</v>
      </c>
      <c r="C13820">
        <v>9</v>
      </c>
      <c r="D13820" s="11">
        <v>43344</v>
      </c>
      <c r="E13820" t="s">
        <v>2181</v>
      </c>
      <c r="F13820">
        <v>2</v>
      </c>
      <c r="G13820" t="s">
        <v>63</v>
      </c>
      <c r="H13820" t="s">
        <v>42</v>
      </c>
      <c r="I13820" t="s">
        <v>2190</v>
      </c>
      <c r="J13820" s="10">
        <v>3.3</v>
      </c>
      <c r="K13820" t="b">
        <v>1</v>
      </c>
    </row>
    <row r="13821" spans="1:11">
      <c r="A13821" s="12">
        <v>43368</v>
      </c>
      <c r="B13821">
        <v>2018</v>
      </c>
      <c r="C13821">
        <v>9</v>
      </c>
      <c r="D13821" s="11">
        <v>43344</v>
      </c>
      <c r="E13821" t="s">
        <v>2181</v>
      </c>
      <c r="F13821">
        <v>2</v>
      </c>
      <c r="G13821" t="s">
        <v>63</v>
      </c>
      <c r="H13821" t="s">
        <v>43</v>
      </c>
      <c r="I13821" t="s">
        <v>2191</v>
      </c>
      <c r="J13821" s="10">
        <v>53.85</v>
      </c>
      <c r="K13821" t="b">
        <v>1</v>
      </c>
    </row>
    <row r="13822" spans="1:11">
      <c r="A13822" s="12">
        <v>43368</v>
      </c>
      <c r="B13822">
        <v>2018</v>
      </c>
      <c r="C13822">
        <v>9</v>
      </c>
      <c r="D13822" s="11">
        <v>43344</v>
      </c>
      <c r="E13822" t="s">
        <v>2181</v>
      </c>
      <c r="F13822">
        <v>2</v>
      </c>
      <c r="G13822" t="s">
        <v>63</v>
      </c>
      <c r="H13822" t="s">
        <v>44</v>
      </c>
      <c r="I13822" t="s">
        <v>2192</v>
      </c>
      <c r="J13822" s="10">
        <v>11</v>
      </c>
      <c r="K13822" t="b">
        <v>1</v>
      </c>
    </row>
    <row r="13823" spans="1:11">
      <c r="A13823" s="12">
        <v>43368</v>
      </c>
      <c r="B13823">
        <v>2018</v>
      </c>
      <c r="C13823">
        <v>9</v>
      </c>
      <c r="D13823" s="11">
        <v>43344</v>
      </c>
      <c r="E13823" t="s">
        <v>2181</v>
      </c>
      <c r="F13823">
        <v>2</v>
      </c>
      <c r="G13823" t="s">
        <v>63</v>
      </c>
      <c r="H13823" t="s">
        <v>45</v>
      </c>
      <c r="I13823" t="s">
        <v>2193</v>
      </c>
      <c r="J13823" s="10">
        <v>0</v>
      </c>
      <c r="K13823" t="b">
        <v>1</v>
      </c>
    </row>
    <row r="13824" spans="1:11">
      <c r="A13824" s="12">
        <v>43368</v>
      </c>
      <c r="B13824">
        <v>2018</v>
      </c>
      <c r="C13824">
        <v>9</v>
      </c>
      <c r="D13824" s="11">
        <v>43344</v>
      </c>
      <c r="E13824" t="s">
        <v>2181</v>
      </c>
      <c r="F13824">
        <v>2</v>
      </c>
      <c r="G13824" t="s">
        <v>63</v>
      </c>
      <c r="H13824" t="s">
        <v>46</v>
      </c>
      <c r="I13824" t="s">
        <v>2194</v>
      </c>
      <c r="J13824" s="10">
        <v>22</v>
      </c>
      <c r="K13824" t="b">
        <v>1</v>
      </c>
    </row>
    <row r="13825" spans="1:11">
      <c r="A13825" s="12">
        <v>43368</v>
      </c>
      <c r="B13825">
        <v>2018</v>
      </c>
      <c r="C13825">
        <v>9</v>
      </c>
      <c r="D13825" s="11">
        <v>43344</v>
      </c>
      <c r="E13825" t="s">
        <v>2181</v>
      </c>
      <c r="F13825">
        <v>2</v>
      </c>
      <c r="G13825" t="s">
        <v>63</v>
      </c>
      <c r="H13825" t="s">
        <v>47</v>
      </c>
      <c r="I13825" t="s">
        <v>2195</v>
      </c>
      <c r="J13825" s="10">
        <v>2</v>
      </c>
      <c r="K13825" t="b">
        <v>1</v>
      </c>
    </row>
    <row r="13826" spans="1:11">
      <c r="A13826" s="12">
        <v>43369</v>
      </c>
      <c r="B13826">
        <v>2018</v>
      </c>
      <c r="C13826">
        <v>9</v>
      </c>
      <c r="D13826" s="11">
        <v>43344</v>
      </c>
      <c r="E13826" t="s">
        <v>2181</v>
      </c>
      <c r="F13826">
        <v>3</v>
      </c>
      <c r="G13826" t="s">
        <v>65</v>
      </c>
      <c r="H13826" t="s">
        <v>40</v>
      </c>
      <c r="I13826" t="s">
        <v>2188</v>
      </c>
      <c r="J13826" s="10">
        <v>3</v>
      </c>
      <c r="K13826" t="b">
        <v>1</v>
      </c>
    </row>
    <row r="13827" spans="1:11">
      <c r="A13827" s="12">
        <v>43369</v>
      </c>
      <c r="B13827">
        <v>2018</v>
      </c>
      <c r="C13827">
        <v>9</v>
      </c>
      <c r="D13827" s="11">
        <v>43344</v>
      </c>
      <c r="E13827" t="s">
        <v>2181</v>
      </c>
      <c r="F13827">
        <v>3</v>
      </c>
      <c r="G13827" t="s">
        <v>65</v>
      </c>
      <c r="H13827" t="s">
        <v>41</v>
      </c>
      <c r="I13827" t="s">
        <v>2189</v>
      </c>
      <c r="J13827" s="10">
        <v>9</v>
      </c>
      <c r="K13827" t="b">
        <v>1</v>
      </c>
    </row>
    <row r="13828" spans="1:11">
      <c r="A13828" s="12">
        <v>43369</v>
      </c>
      <c r="B13828">
        <v>2018</v>
      </c>
      <c r="C13828">
        <v>9</v>
      </c>
      <c r="D13828" s="11">
        <v>43344</v>
      </c>
      <c r="E13828" t="s">
        <v>2181</v>
      </c>
      <c r="F13828">
        <v>3</v>
      </c>
      <c r="G13828" t="s">
        <v>65</v>
      </c>
      <c r="H13828" t="s">
        <v>42</v>
      </c>
      <c r="I13828" t="s">
        <v>2190</v>
      </c>
      <c r="J13828" s="10">
        <v>6</v>
      </c>
      <c r="K13828" t="b">
        <v>1</v>
      </c>
    </row>
    <row r="13829" spans="1:11">
      <c r="A13829" s="12">
        <v>43369</v>
      </c>
      <c r="B13829">
        <v>2018</v>
      </c>
      <c r="C13829">
        <v>9</v>
      </c>
      <c r="D13829" s="11">
        <v>43344</v>
      </c>
      <c r="E13829" t="s">
        <v>2181</v>
      </c>
      <c r="F13829">
        <v>3</v>
      </c>
      <c r="G13829" t="s">
        <v>65</v>
      </c>
      <c r="H13829" t="s">
        <v>43</v>
      </c>
      <c r="I13829" t="s">
        <v>2191</v>
      </c>
      <c r="J13829" s="10">
        <v>41.4</v>
      </c>
      <c r="K13829" t="b">
        <v>1</v>
      </c>
    </row>
    <row r="13830" spans="1:11">
      <c r="A13830" s="12">
        <v>43369</v>
      </c>
      <c r="B13830">
        <v>2018</v>
      </c>
      <c r="C13830">
        <v>9</v>
      </c>
      <c r="D13830" s="11">
        <v>43344</v>
      </c>
      <c r="E13830" t="s">
        <v>2181</v>
      </c>
      <c r="F13830">
        <v>3</v>
      </c>
      <c r="G13830" t="s">
        <v>65</v>
      </c>
      <c r="H13830" t="s">
        <v>44</v>
      </c>
      <c r="I13830" t="s">
        <v>2192</v>
      </c>
      <c r="J13830" s="10">
        <v>9</v>
      </c>
      <c r="K13830" t="b">
        <v>1</v>
      </c>
    </row>
    <row r="13831" spans="1:11">
      <c r="A13831" s="12">
        <v>43369</v>
      </c>
      <c r="B13831">
        <v>2018</v>
      </c>
      <c r="C13831">
        <v>9</v>
      </c>
      <c r="D13831" s="11">
        <v>43344</v>
      </c>
      <c r="E13831" t="s">
        <v>2181</v>
      </c>
      <c r="F13831">
        <v>3</v>
      </c>
      <c r="G13831" t="s">
        <v>65</v>
      </c>
      <c r="H13831" t="s">
        <v>45</v>
      </c>
      <c r="I13831" t="s">
        <v>2193</v>
      </c>
      <c r="J13831" s="10">
        <v>1</v>
      </c>
      <c r="K13831" t="b">
        <v>1</v>
      </c>
    </row>
    <row r="13832" spans="1:11">
      <c r="A13832" s="12">
        <v>43369</v>
      </c>
      <c r="B13832">
        <v>2018</v>
      </c>
      <c r="C13832">
        <v>9</v>
      </c>
      <c r="D13832" s="11">
        <v>43344</v>
      </c>
      <c r="E13832" t="s">
        <v>2181</v>
      </c>
      <c r="F13832">
        <v>3</v>
      </c>
      <c r="G13832" t="s">
        <v>65</v>
      </c>
      <c r="H13832" t="s">
        <v>46</v>
      </c>
      <c r="I13832" t="s">
        <v>2194</v>
      </c>
      <c r="J13832" s="10">
        <v>0</v>
      </c>
      <c r="K13832" t="b">
        <v>1</v>
      </c>
    </row>
    <row r="13833" spans="1:11">
      <c r="A13833" s="12">
        <v>43369</v>
      </c>
      <c r="B13833">
        <v>2018</v>
      </c>
      <c r="C13833">
        <v>9</v>
      </c>
      <c r="D13833" s="11">
        <v>43344</v>
      </c>
      <c r="E13833" t="s">
        <v>2181</v>
      </c>
      <c r="F13833">
        <v>3</v>
      </c>
      <c r="G13833" t="s">
        <v>65</v>
      </c>
      <c r="H13833" t="s">
        <v>47</v>
      </c>
      <c r="I13833" t="s">
        <v>2195</v>
      </c>
      <c r="J13833" s="10">
        <v>3</v>
      </c>
      <c r="K13833" t="b">
        <v>1</v>
      </c>
    </row>
    <row r="13834" spans="1:11">
      <c r="A13834" s="12">
        <v>43370</v>
      </c>
      <c r="B13834">
        <v>2018</v>
      </c>
      <c r="C13834">
        <v>9</v>
      </c>
      <c r="D13834" s="11">
        <v>43344</v>
      </c>
      <c r="E13834" t="s">
        <v>2181</v>
      </c>
      <c r="F13834">
        <v>4</v>
      </c>
      <c r="G13834" t="s">
        <v>53</v>
      </c>
      <c r="H13834" t="s">
        <v>40</v>
      </c>
      <c r="I13834" t="s">
        <v>2188</v>
      </c>
      <c r="J13834" s="10">
        <v>4</v>
      </c>
      <c r="K13834" t="b">
        <v>1</v>
      </c>
    </row>
    <row r="13835" spans="1:11">
      <c r="A13835" s="12">
        <v>43370</v>
      </c>
      <c r="B13835">
        <v>2018</v>
      </c>
      <c r="C13835">
        <v>9</v>
      </c>
      <c r="D13835" s="11">
        <v>43344</v>
      </c>
      <c r="E13835" t="s">
        <v>2181</v>
      </c>
      <c r="F13835">
        <v>4</v>
      </c>
      <c r="G13835" t="s">
        <v>53</v>
      </c>
      <c r="H13835" t="s">
        <v>41</v>
      </c>
      <c r="I13835" t="s">
        <v>2189</v>
      </c>
      <c r="J13835" s="10">
        <v>6.567</v>
      </c>
      <c r="K13835" t="b">
        <v>1</v>
      </c>
    </row>
    <row r="13836" spans="1:11">
      <c r="A13836" s="12">
        <v>43370</v>
      </c>
      <c r="B13836">
        <v>2018</v>
      </c>
      <c r="C13836">
        <v>9</v>
      </c>
      <c r="D13836" s="11">
        <v>43344</v>
      </c>
      <c r="E13836" t="s">
        <v>2181</v>
      </c>
      <c r="F13836">
        <v>4</v>
      </c>
      <c r="G13836" t="s">
        <v>53</v>
      </c>
      <c r="H13836" t="s">
        <v>42</v>
      </c>
      <c r="I13836" t="s">
        <v>2190</v>
      </c>
      <c r="J13836" s="10">
        <v>4.6</v>
      </c>
      <c r="K13836" t="b">
        <v>1</v>
      </c>
    </row>
    <row r="13837" spans="1:11">
      <c r="A13837" s="12">
        <v>43370</v>
      </c>
      <c r="B13837">
        <v>2018</v>
      </c>
      <c r="C13837">
        <v>9</v>
      </c>
      <c r="D13837" s="11">
        <v>43344</v>
      </c>
      <c r="E13837" t="s">
        <v>2181</v>
      </c>
      <c r="F13837">
        <v>4</v>
      </c>
      <c r="G13837" t="s">
        <v>53</v>
      </c>
      <c r="H13837" t="s">
        <v>43</v>
      </c>
      <c r="I13837" t="s">
        <v>2191</v>
      </c>
      <c r="J13837" s="10">
        <v>19</v>
      </c>
      <c r="K13837" t="b">
        <v>1</v>
      </c>
    </row>
    <row r="13838" spans="1:11">
      <c r="A13838" s="12">
        <v>43370</v>
      </c>
      <c r="B13838">
        <v>2018</v>
      </c>
      <c r="C13838">
        <v>9</v>
      </c>
      <c r="D13838" s="11">
        <v>43344</v>
      </c>
      <c r="E13838" t="s">
        <v>2181</v>
      </c>
      <c r="F13838">
        <v>4</v>
      </c>
      <c r="G13838" t="s">
        <v>53</v>
      </c>
      <c r="H13838" t="s">
        <v>44</v>
      </c>
      <c r="I13838" t="s">
        <v>2192</v>
      </c>
      <c r="J13838" s="10">
        <v>11</v>
      </c>
      <c r="K13838" t="b">
        <v>1</v>
      </c>
    </row>
    <row r="13839" spans="1:11">
      <c r="A13839" s="12">
        <v>43370</v>
      </c>
      <c r="B13839">
        <v>2018</v>
      </c>
      <c r="C13839">
        <v>9</v>
      </c>
      <c r="D13839" s="11">
        <v>43344</v>
      </c>
      <c r="E13839" t="s">
        <v>2181</v>
      </c>
      <c r="F13839">
        <v>4</v>
      </c>
      <c r="G13839" t="s">
        <v>53</v>
      </c>
      <c r="H13839" t="s">
        <v>45</v>
      </c>
      <c r="I13839" t="s">
        <v>2193</v>
      </c>
      <c r="J13839" s="10">
        <v>0</v>
      </c>
      <c r="K13839" t="b">
        <v>1</v>
      </c>
    </row>
    <row r="13840" spans="1:11">
      <c r="A13840" s="12">
        <v>43370</v>
      </c>
      <c r="B13840">
        <v>2018</v>
      </c>
      <c r="C13840">
        <v>9</v>
      </c>
      <c r="D13840" s="11">
        <v>43344</v>
      </c>
      <c r="E13840" t="s">
        <v>2181</v>
      </c>
      <c r="F13840">
        <v>4</v>
      </c>
      <c r="G13840" t="s">
        <v>53</v>
      </c>
      <c r="H13840" t="s">
        <v>46</v>
      </c>
      <c r="I13840" t="s">
        <v>2194</v>
      </c>
      <c r="J13840" s="10">
        <v>7</v>
      </c>
      <c r="K13840" t="b">
        <v>1</v>
      </c>
    </row>
    <row r="13841" spans="1:11">
      <c r="A13841" s="12">
        <v>43370</v>
      </c>
      <c r="B13841">
        <v>2018</v>
      </c>
      <c r="C13841">
        <v>9</v>
      </c>
      <c r="D13841" s="11">
        <v>43344</v>
      </c>
      <c r="E13841" t="s">
        <v>2181</v>
      </c>
      <c r="F13841">
        <v>4</v>
      </c>
      <c r="G13841" t="s">
        <v>53</v>
      </c>
      <c r="H13841" t="s">
        <v>47</v>
      </c>
      <c r="I13841" t="s">
        <v>2195</v>
      </c>
      <c r="J13841" s="10">
        <v>3</v>
      </c>
      <c r="K13841" t="b">
        <v>1</v>
      </c>
    </row>
    <row r="13842" spans="1:11">
      <c r="A13842" s="12">
        <v>43371</v>
      </c>
      <c r="B13842">
        <v>2018</v>
      </c>
      <c r="C13842">
        <v>9</v>
      </c>
      <c r="D13842" s="11">
        <v>43344</v>
      </c>
      <c r="E13842" t="s">
        <v>2181</v>
      </c>
      <c r="F13842">
        <v>5</v>
      </c>
      <c r="G13842" t="s">
        <v>55</v>
      </c>
      <c r="H13842" t="s">
        <v>40</v>
      </c>
      <c r="I13842" t="s">
        <v>2188</v>
      </c>
      <c r="J13842" s="10">
        <v>2</v>
      </c>
      <c r="K13842" t="b">
        <v>1</v>
      </c>
    </row>
    <row r="13843" spans="1:11">
      <c r="A13843" s="12">
        <v>43371</v>
      </c>
      <c r="B13843">
        <v>2018</v>
      </c>
      <c r="C13843">
        <v>9</v>
      </c>
      <c r="D13843" s="11">
        <v>43344</v>
      </c>
      <c r="E13843" t="s">
        <v>2181</v>
      </c>
      <c r="F13843">
        <v>5</v>
      </c>
      <c r="G13843" t="s">
        <v>55</v>
      </c>
      <c r="H13843" t="s">
        <v>41</v>
      </c>
      <c r="I13843" t="s">
        <v>2189</v>
      </c>
      <c r="J13843" s="10">
        <v>4.68</v>
      </c>
      <c r="K13843" t="b">
        <v>1</v>
      </c>
    </row>
    <row r="13844" spans="1:11">
      <c r="A13844" s="12">
        <v>43371</v>
      </c>
      <c r="B13844">
        <v>2018</v>
      </c>
      <c r="C13844">
        <v>9</v>
      </c>
      <c r="D13844" s="11">
        <v>43344</v>
      </c>
      <c r="E13844" t="s">
        <v>2181</v>
      </c>
      <c r="F13844">
        <v>5</v>
      </c>
      <c r="G13844" t="s">
        <v>55</v>
      </c>
      <c r="H13844" t="s">
        <v>42</v>
      </c>
      <c r="I13844" t="s">
        <v>2190</v>
      </c>
      <c r="J13844" s="10">
        <v>3.7</v>
      </c>
      <c r="K13844" t="b">
        <v>1</v>
      </c>
    </row>
    <row r="13845" spans="1:11">
      <c r="A13845" s="12">
        <v>43371</v>
      </c>
      <c r="B13845">
        <v>2018</v>
      </c>
      <c r="C13845">
        <v>9</v>
      </c>
      <c r="D13845" s="11">
        <v>43344</v>
      </c>
      <c r="E13845" t="s">
        <v>2181</v>
      </c>
      <c r="F13845">
        <v>5</v>
      </c>
      <c r="G13845" t="s">
        <v>55</v>
      </c>
      <c r="H13845" t="s">
        <v>43</v>
      </c>
      <c r="I13845" t="s">
        <v>2191</v>
      </c>
      <c r="J13845" s="10">
        <v>40.6</v>
      </c>
      <c r="K13845" t="b">
        <v>1</v>
      </c>
    </row>
    <row r="13846" spans="1:11">
      <c r="A13846" s="12">
        <v>43371</v>
      </c>
      <c r="B13846">
        <v>2018</v>
      </c>
      <c r="C13846">
        <v>9</v>
      </c>
      <c r="D13846" s="11">
        <v>43344</v>
      </c>
      <c r="E13846" t="s">
        <v>2181</v>
      </c>
      <c r="F13846">
        <v>5</v>
      </c>
      <c r="G13846" t="s">
        <v>55</v>
      </c>
      <c r="H13846" t="s">
        <v>44</v>
      </c>
      <c r="I13846" t="s">
        <v>2192</v>
      </c>
      <c r="J13846" s="10">
        <v>3</v>
      </c>
      <c r="K13846" t="b">
        <v>1</v>
      </c>
    </row>
    <row r="13847" spans="1:11">
      <c r="A13847" s="12">
        <v>43371</v>
      </c>
      <c r="B13847">
        <v>2018</v>
      </c>
      <c r="C13847">
        <v>9</v>
      </c>
      <c r="D13847" s="11">
        <v>43344</v>
      </c>
      <c r="E13847" t="s">
        <v>2181</v>
      </c>
      <c r="F13847">
        <v>5</v>
      </c>
      <c r="G13847" t="s">
        <v>55</v>
      </c>
      <c r="H13847" t="s">
        <v>45</v>
      </c>
      <c r="I13847" t="s">
        <v>2193</v>
      </c>
      <c r="J13847" s="10">
        <v>0</v>
      </c>
      <c r="K13847" t="b">
        <v>1</v>
      </c>
    </row>
    <row r="13848" spans="1:11">
      <c r="A13848" s="12">
        <v>43371</v>
      </c>
      <c r="B13848">
        <v>2018</v>
      </c>
      <c r="C13848">
        <v>9</v>
      </c>
      <c r="D13848" s="11">
        <v>43344</v>
      </c>
      <c r="E13848" t="s">
        <v>2181</v>
      </c>
      <c r="F13848">
        <v>5</v>
      </c>
      <c r="G13848" t="s">
        <v>55</v>
      </c>
      <c r="H13848" t="s">
        <v>46</v>
      </c>
      <c r="I13848" t="s">
        <v>2194</v>
      </c>
      <c r="J13848" s="10">
        <v>5</v>
      </c>
      <c r="K13848" t="b">
        <v>1</v>
      </c>
    </row>
    <row r="13849" spans="1:11">
      <c r="A13849" s="12">
        <v>43371</v>
      </c>
      <c r="B13849">
        <v>2018</v>
      </c>
      <c r="C13849">
        <v>9</v>
      </c>
      <c r="D13849" s="11">
        <v>43344</v>
      </c>
      <c r="E13849" t="s">
        <v>2181</v>
      </c>
      <c r="F13849">
        <v>5</v>
      </c>
      <c r="G13849" t="s">
        <v>55</v>
      </c>
      <c r="H13849" t="s">
        <v>47</v>
      </c>
      <c r="I13849" t="s">
        <v>2195</v>
      </c>
      <c r="J13849" s="10">
        <v>3</v>
      </c>
      <c r="K13849" t="b">
        <v>1</v>
      </c>
    </row>
    <row r="13850" spans="1:11">
      <c r="A13850" s="12">
        <v>43372</v>
      </c>
      <c r="B13850">
        <v>2018</v>
      </c>
      <c r="C13850">
        <v>9</v>
      </c>
      <c r="D13850" s="11">
        <v>43344</v>
      </c>
      <c r="E13850" t="s">
        <v>2181</v>
      </c>
      <c r="F13850">
        <v>6</v>
      </c>
      <c r="G13850" t="s">
        <v>57</v>
      </c>
      <c r="H13850" t="s">
        <v>40</v>
      </c>
      <c r="I13850" t="s">
        <v>2188</v>
      </c>
      <c r="J13850" s="10">
        <v>3.5</v>
      </c>
      <c r="K13850" t="b">
        <v>1</v>
      </c>
    </row>
    <row r="13851" spans="1:11">
      <c r="A13851" s="12">
        <v>43372</v>
      </c>
      <c r="B13851">
        <v>2018</v>
      </c>
      <c r="C13851">
        <v>9</v>
      </c>
      <c r="D13851" s="11">
        <v>43344</v>
      </c>
      <c r="E13851" t="s">
        <v>2181</v>
      </c>
      <c r="F13851">
        <v>6</v>
      </c>
      <c r="G13851" t="s">
        <v>57</v>
      </c>
      <c r="H13851" t="s">
        <v>41</v>
      </c>
      <c r="I13851" t="s">
        <v>2189</v>
      </c>
      <c r="J13851" s="10">
        <v>5.33</v>
      </c>
      <c r="K13851" t="b">
        <v>1</v>
      </c>
    </row>
    <row r="13852" spans="1:11">
      <c r="A13852" s="12">
        <v>43372</v>
      </c>
      <c r="B13852">
        <v>2018</v>
      </c>
      <c r="C13852">
        <v>9</v>
      </c>
      <c r="D13852" s="11">
        <v>43344</v>
      </c>
      <c r="E13852" t="s">
        <v>2181</v>
      </c>
      <c r="F13852">
        <v>6</v>
      </c>
      <c r="G13852" t="s">
        <v>57</v>
      </c>
      <c r="H13852" t="s">
        <v>42</v>
      </c>
      <c r="I13852" t="s">
        <v>2190</v>
      </c>
      <c r="J13852" s="10">
        <v>2.15</v>
      </c>
      <c r="K13852" t="b">
        <v>1</v>
      </c>
    </row>
    <row r="13853" spans="1:11">
      <c r="A13853" s="12">
        <v>43372</v>
      </c>
      <c r="B13853">
        <v>2018</v>
      </c>
      <c r="C13853">
        <v>9</v>
      </c>
      <c r="D13853" s="11">
        <v>43344</v>
      </c>
      <c r="E13853" t="s">
        <v>2181</v>
      </c>
      <c r="F13853">
        <v>6</v>
      </c>
      <c r="G13853" t="s">
        <v>57</v>
      </c>
      <c r="H13853" t="s">
        <v>43</v>
      </c>
      <c r="I13853" t="s">
        <v>2191</v>
      </c>
      <c r="J13853" s="10">
        <v>57.7</v>
      </c>
      <c r="K13853" t="b">
        <v>1</v>
      </c>
    </row>
    <row r="13854" spans="1:11">
      <c r="A13854" s="12">
        <v>43372</v>
      </c>
      <c r="B13854">
        <v>2018</v>
      </c>
      <c r="C13854">
        <v>9</v>
      </c>
      <c r="D13854" s="11">
        <v>43344</v>
      </c>
      <c r="E13854" t="s">
        <v>2181</v>
      </c>
      <c r="F13854">
        <v>6</v>
      </c>
      <c r="G13854" t="s">
        <v>57</v>
      </c>
      <c r="H13854" t="s">
        <v>44</v>
      </c>
      <c r="I13854" t="s">
        <v>2192</v>
      </c>
      <c r="J13854" s="10">
        <v>4</v>
      </c>
      <c r="K13854" t="b">
        <v>1</v>
      </c>
    </row>
    <row r="13855" spans="1:11">
      <c r="A13855" s="12">
        <v>43372</v>
      </c>
      <c r="B13855">
        <v>2018</v>
      </c>
      <c r="C13855">
        <v>9</v>
      </c>
      <c r="D13855" s="11">
        <v>43344</v>
      </c>
      <c r="E13855" t="s">
        <v>2181</v>
      </c>
      <c r="F13855">
        <v>6</v>
      </c>
      <c r="G13855" t="s">
        <v>57</v>
      </c>
      <c r="H13855" t="s">
        <v>45</v>
      </c>
      <c r="I13855" t="s">
        <v>2193</v>
      </c>
      <c r="J13855" s="10">
        <v>0</v>
      </c>
      <c r="K13855" t="b">
        <v>1</v>
      </c>
    </row>
    <row r="13856" spans="1:11">
      <c r="A13856" s="12">
        <v>43372</v>
      </c>
      <c r="B13856">
        <v>2018</v>
      </c>
      <c r="C13856">
        <v>9</v>
      </c>
      <c r="D13856" s="11">
        <v>43344</v>
      </c>
      <c r="E13856" t="s">
        <v>2181</v>
      </c>
      <c r="F13856">
        <v>6</v>
      </c>
      <c r="G13856" t="s">
        <v>57</v>
      </c>
      <c r="H13856" t="s">
        <v>46</v>
      </c>
      <c r="I13856" t="s">
        <v>2194</v>
      </c>
      <c r="J13856" s="10">
        <v>21</v>
      </c>
      <c r="K13856" t="b">
        <v>1</v>
      </c>
    </row>
    <row r="13857" spans="1:11">
      <c r="A13857" s="12">
        <v>43372</v>
      </c>
      <c r="B13857">
        <v>2018</v>
      </c>
      <c r="C13857">
        <v>9</v>
      </c>
      <c r="D13857" s="11">
        <v>43344</v>
      </c>
      <c r="E13857" t="s">
        <v>2181</v>
      </c>
      <c r="F13857">
        <v>6</v>
      </c>
      <c r="G13857" t="s">
        <v>57</v>
      </c>
      <c r="H13857" t="s">
        <v>47</v>
      </c>
      <c r="I13857" t="s">
        <v>2195</v>
      </c>
      <c r="J13857" s="10">
        <v>1</v>
      </c>
      <c r="K13857" t="b">
        <v>1</v>
      </c>
    </row>
    <row r="13858" spans="1:11">
      <c r="A13858" s="12">
        <v>43373</v>
      </c>
      <c r="B13858">
        <v>2018</v>
      </c>
      <c r="C13858">
        <v>9</v>
      </c>
      <c r="D13858" s="11">
        <v>43344</v>
      </c>
      <c r="E13858" t="s">
        <v>2181</v>
      </c>
      <c r="F13858">
        <v>7</v>
      </c>
      <c r="G13858" t="s">
        <v>59</v>
      </c>
      <c r="H13858" t="s">
        <v>40</v>
      </c>
      <c r="I13858" t="s">
        <v>2188</v>
      </c>
      <c r="J13858" s="10">
        <v>11.01</v>
      </c>
      <c r="K13858" t="b">
        <v>1</v>
      </c>
    </row>
    <row r="13859" spans="1:11">
      <c r="A13859" s="12">
        <v>43373</v>
      </c>
      <c r="B13859">
        <v>2018</v>
      </c>
      <c r="C13859">
        <v>9</v>
      </c>
      <c r="D13859" s="11">
        <v>43344</v>
      </c>
      <c r="E13859" t="s">
        <v>2181</v>
      </c>
      <c r="F13859">
        <v>7</v>
      </c>
      <c r="G13859" t="s">
        <v>59</v>
      </c>
      <c r="H13859" t="s">
        <v>41</v>
      </c>
      <c r="I13859" t="s">
        <v>2189</v>
      </c>
      <c r="J13859" s="10">
        <v>2.01</v>
      </c>
      <c r="K13859" t="b">
        <v>1</v>
      </c>
    </row>
    <row r="13860" spans="1:11">
      <c r="A13860" s="12">
        <v>43373</v>
      </c>
      <c r="B13860">
        <v>2018</v>
      </c>
      <c r="C13860">
        <v>9</v>
      </c>
      <c r="D13860" s="11">
        <v>43344</v>
      </c>
      <c r="E13860" t="s">
        <v>2181</v>
      </c>
      <c r="F13860">
        <v>7</v>
      </c>
      <c r="G13860" t="s">
        <v>59</v>
      </c>
      <c r="H13860" t="s">
        <v>42</v>
      </c>
      <c r="I13860" t="s">
        <v>2190</v>
      </c>
      <c r="J13860" s="10">
        <v>2</v>
      </c>
      <c r="K13860" t="b">
        <v>1</v>
      </c>
    </row>
    <row r="13861" spans="1:11">
      <c r="A13861" s="12">
        <v>43373</v>
      </c>
      <c r="B13861">
        <v>2018</v>
      </c>
      <c r="C13861">
        <v>9</v>
      </c>
      <c r="D13861" s="11">
        <v>43344</v>
      </c>
      <c r="E13861" t="s">
        <v>2181</v>
      </c>
      <c r="F13861">
        <v>7</v>
      </c>
      <c r="G13861" t="s">
        <v>59</v>
      </c>
      <c r="H13861" t="s">
        <v>43</v>
      </c>
      <c r="I13861" t="s">
        <v>2191</v>
      </c>
      <c r="J13861" s="10">
        <v>54</v>
      </c>
      <c r="K13861" t="b">
        <v>1</v>
      </c>
    </row>
    <row r="13862" spans="1:11">
      <c r="A13862" s="12">
        <v>43373</v>
      </c>
      <c r="B13862">
        <v>2018</v>
      </c>
      <c r="C13862">
        <v>9</v>
      </c>
      <c r="D13862" s="11">
        <v>43344</v>
      </c>
      <c r="E13862" t="s">
        <v>2181</v>
      </c>
      <c r="F13862">
        <v>7</v>
      </c>
      <c r="G13862" t="s">
        <v>59</v>
      </c>
      <c r="H13862" t="s">
        <v>44</v>
      </c>
      <c r="I13862" t="s">
        <v>2192</v>
      </c>
      <c r="J13862" s="10">
        <v>9</v>
      </c>
      <c r="K13862" t="b">
        <v>1</v>
      </c>
    </row>
    <row r="13863" spans="1:11">
      <c r="A13863" s="12">
        <v>43373</v>
      </c>
      <c r="B13863">
        <v>2018</v>
      </c>
      <c r="C13863">
        <v>9</v>
      </c>
      <c r="D13863" s="11">
        <v>43344</v>
      </c>
      <c r="E13863" t="s">
        <v>2181</v>
      </c>
      <c r="F13863">
        <v>7</v>
      </c>
      <c r="G13863" t="s">
        <v>59</v>
      </c>
      <c r="H13863" t="s">
        <v>45</v>
      </c>
      <c r="I13863" t="s">
        <v>2193</v>
      </c>
      <c r="J13863" s="10">
        <v>1</v>
      </c>
      <c r="K13863" t="b">
        <v>1</v>
      </c>
    </row>
    <row r="13864" spans="1:11">
      <c r="A13864" s="12">
        <v>43373</v>
      </c>
      <c r="B13864">
        <v>2018</v>
      </c>
      <c r="C13864">
        <v>9</v>
      </c>
      <c r="D13864" s="11">
        <v>43344</v>
      </c>
      <c r="E13864" t="s">
        <v>2181</v>
      </c>
      <c r="F13864">
        <v>7</v>
      </c>
      <c r="G13864" t="s">
        <v>59</v>
      </c>
      <c r="H13864" t="s">
        <v>46</v>
      </c>
      <c r="I13864" t="s">
        <v>2194</v>
      </c>
      <c r="J13864" s="10">
        <v>3</v>
      </c>
      <c r="K13864" t="b">
        <v>1</v>
      </c>
    </row>
    <row r="13865" spans="1:11">
      <c r="A13865" s="12">
        <v>43373</v>
      </c>
      <c r="B13865">
        <v>2018</v>
      </c>
      <c r="C13865">
        <v>9</v>
      </c>
      <c r="D13865" s="11">
        <v>43344</v>
      </c>
      <c r="E13865" t="s">
        <v>2181</v>
      </c>
      <c r="F13865">
        <v>7</v>
      </c>
      <c r="G13865" t="s">
        <v>59</v>
      </c>
      <c r="H13865" t="s">
        <v>47</v>
      </c>
      <c r="I13865" t="s">
        <v>2195</v>
      </c>
      <c r="J13865" s="10">
        <v>3</v>
      </c>
      <c r="K13865" t="b">
        <v>1</v>
      </c>
    </row>
    <row r="13866" spans="1:11">
      <c r="A13866" s="12">
        <v>43374</v>
      </c>
      <c r="B13866">
        <v>2018</v>
      </c>
      <c r="C13866">
        <v>10</v>
      </c>
      <c r="D13866" s="11">
        <v>43374</v>
      </c>
      <c r="E13866" t="s">
        <v>2182</v>
      </c>
      <c r="F13866">
        <v>1</v>
      </c>
      <c r="G13866" t="s">
        <v>61</v>
      </c>
      <c r="H13866" t="s">
        <v>40</v>
      </c>
      <c r="I13866" t="s">
        <v>2188</v>
      </c>
      <c r="J13866" s="10">
        <v>3</v>
      </c>
      <c r="K13866" t="b">
        <v>1</v>
      </c>
    </row>
    <row r="13867" spans="1:11">
      <c r="A13867" s="12">
        <v>43374</v>
      </c>
      <c r="B13867">
        <v>2018</v>
      </c>
      <c r="C13867">
        <v>10</v>
      </c>
      <c r="D13867" s="11">
        <v>43374</v>
      </c>
      <c r="E13867" t="s">
        <v>2182</v>
      </c>
      <c r="F13867">
        <v>1</v>
      </c>
      <c r="G13867" t="s">
        <v>61</v>
      </c>
      <c r="H13867" t="s">
        <v>41</v>
      </c>
      <c r="I13867" t="s">
        <v>2189</v>
      </c>
      <c r="J13867" s="10">
        <v>4.932</v>
      </c>
      <c r="K13867" t="b">
        <v>1</v>
      </c>
    </row>
    <row r="13868" spans="1:11">
      <c r="A13868" s="12">
        <v>43374</v>
      </c>
      <c r="B13868">
        <v>2018</v>
      </c>
      <c r="C13868">
        <v>10</v>
      </c>
      <c r="D13868" s="11">
        <v>43374</v>
      </c>
      <c r="E13868" t="s">
        <v>2182</v>
      </c>
      <c r="F13868">
        <v>1</v>
      </c>
      <c r="G13868" t="s">
        <v>61</v>
      </c>
      <c r="H13868" t="s">
        <v>42</v>
      </c>
      <c r="I13868" t="s">
        <v>2190</v>
      </c>
      <c r="J13868" s="10">
        <v>1</v>
      </c>
      <c r="K13868" t="b">
        <v>1</v>
      </c>
    </row>
    <row r="13869" spans="1:11">
      <c r="A13869" s="12">
        <v>43374</v>
      </c>
      <c r="B13869">
        <v>2018</v>
      </c>
      <c r="C13869">
        <v>10</v>
      </c>
      <c r="D13869" s="11">
        <v>43374</v>
      </c>
      <c r="E13869" t="s">
        <v>2182</v>
      </c>
      <c r="F13869">
        <v>1</v>
      </c>
      <c r="G13869" t="s">
        <v>61</v>
      </c>
      <c r="H13869" t="s">
        <v>43</v>
      </c>
      <c r="I13869" t="s">
        <v>2191</v>
      </c>
      <c r="J13869" s="10">
        <v>53</v>
      </c>
      <c r="K13869" t="b">
        <v>1</v>
      </c>
    </row>
    <row r="13870" spans="1:11">
      <c r="A13870" s="12">
        <v>43374</v>
      </c>
      <c r="B13870">
        <v>2018</v>
      </c>
      <c r="C13870">
        <v>10</v>
      </c>
      <c r="D13870" s="11">
        <v>43374</v>
      </c>
      <c r="E13870" t="s">
        <v>2182</v>
      </c>
      <c r="F13870">
        <v>1</v>
      </c>
      <c r="G13870" t="s">
        <v>61</v>
      </c>
      <c r="H13870" t="s">
        <v>44</v>
      </c>
      <c r="I13870" t="s">
        <v>2192</v>
      </c>
      <c r="J13870" s="10">
        <v>10</v>
      </c>
      <c r="K13870" t="b">
        <v>1</v>
      </c>
    </row>
    <row r="13871" spans="1:11">
      <c r="A13871" s="12">
        <v>43374</v>
      </c>
      <c r="B13871">
        <v>2018</v>
      </c>
      <c r="C13871">
        <v>10</v>
      </c>
      <c r="D13871" s="11">
        <v>43374</v>
      </c>
      <c r="E13871" t="s">
        <v>2182</v>
      </c>
      <c r="F13871">
        <v>1</v>
      </c>
      <c r="G13871" t="s">
        <v>61</v>
      </c>
      <c r="H13871" t="s">
        <v>45</v>
      </c>
      <c r="I13871" t="s">
        <v>2193</v>
      </c>
      <c r="J13871" s="10">
        <v>0</v>
      </c>
      <c r="K13871" t="b">
        <v>1</v>
      </c>
    </row>
    <row r="13872" spans="1:11">
      <c r="A13872" s="12">
        <v>43374</v>
      </c>
      <c r="B13872">
        <v>2018</v>
      </c>
      <c r="C13872">
        <v>10</v>
      </c>
      <c r="D13872" s="11">
        <v>43374</v>
      </c>
      <c r="E13872" t="s">
        <v>2182</v>
      </c>
      <c r="F13872">
        <v>1</v>
      </c>
      <c r="G13872" t="s">
        <v>61</v>
      </c>
      <c r="H13872" t="s">
        <v>46</v>
      </c>
      <c r="I13872" t="s">
        <v>2194</v>
      </c>
      <c r="J13872" s="10">
        <v>21</v>
      </c>
      <c r="K13872" t="b">
        <v>1</v>
      </c>
    </row>
    <row r="13873" spans="1:11">
      <c r="A13873" s="12">
        <v>43374</v>
      </c>
      <c r="B13873">
        <v>2018</v>
      </c>
      <c r="C13873">
        <v>10</v>
      </c>
      <c r="D13873" s="11">
        <v>43374</v>
      </c>
      <c r="E13873" t="s">
        <v>2182</v>
      </c>
      <c r="F13873">
        <v>1</v>
      </c>
      <c r="G13873" t="s">
        <v>61</v>
      </c>
      <c r="H13873" t="s">
        <v>47</v>
      </c>
      <c r="I13873" t="s">
        <v>2195</v>
      </c>
      <c r="J13873" s="10">
        <v>3</v>
      </c>
      <c r="K13873" t="b">
        <v>1</v>
      </c>
    </row>
    <row r="13874" spans="1:11">
      <c r="A13874" s="12">
        <v>43375</v>
      </c>
      <c r="B13874">
        <v>2018</v>
      </c>
      <c r="C13874">
        <v>10</v>
      </c>
      <c r="D13874" s="11">
        <v>43374</v>
      </c>
      <c r="E13874" t="s">
        <v>2182</v>
      </c>
      <c r="F13874">
        <v>2</v>
      </c>
      <c r="G13874" t="s">
        <v>63</v>
      </c>
      <c r="H13874" t="s">
        <v>40</v>
      </c>
      <c r="I13874" t="s">
        <v>2188</v>
      </c>
      <c r="J13874" s="10">
        <v>6</v>
      </c>
      <c r="K13874" t="b">
        <v>1</v>
      </c>
    </row>
    <row r="13875" spans="1:11">
      <c r="A13875" s="12">
        <v>43375</v>
      </c>
      <c r="B13875">
        <v>2018</v>
      </c>
      <c r="C13875">
        <v>10</v>
      </c>
      <c r="D13875" s="11">
        <v>43374</v>
      </c>
      <c r="E13875" t="s">
        <v>2182</v>
      </c>
      <c r="F13875">
        <v>2</v>
      </c>
      <c r="G13875" t="s">
        <v>63</v>
      </c>
      <c r="H13875" t="s">
        <v>41</v>
      </c>
      <c r="I13875" t="s">
        <v>2189</v>
      </c>
      <c r="J13875" s="10">
        <v>3.91</v>
      </c>
      <c r="K13875" t="b">
        <v>1</v>
      </c>
    </row>
    <row r="13876" spans="1:11">
      <c r="A13876" s="12">
        <v>43375</v>
      </c>
      <c r="B13876">
        <v>2018</v>
      </c>
      <c r="C13876">
        <v>10</v>
      </c>
      <c r="D13876" s="11">
        <v>43374</v>
      </c>
      <c r="E13876" t="s">
        <v>2182</v>
      </c>
      <c r="F13876">
        <v>2</v>
      </c>
      <c r="G13876" t="s">
        <v>63</v>
      </c>
      <c r="H13876" t="s">
        <v>42</v>
      </c>
      <c r="I13876" t="s">
        <v>2190</v>
      </c>
      <c r="J13876" s="10">
        <v>3.5</v>
      </c>
      <c r="K13876" t="b">
        <v>1</v>
      </c>
    </row>
    <row r="13877" spans="1:11">
      <c r="A13877" s="12">
        <v>43375</v>
      </c>
      <c r="B13877">
        <v>2018</v>
      </c>
      <c r="C13877">
        <v>10</v>
      </c>
      <c r="D13877" s="11">
        <v>43374</v>
      </c>
      <c r="E13877" t="s">
        <v>2182</v>
      </c>
      <c r="F13877">
        <v>2</v>
      </c>
      <c r="G13877" t="s">
        <v>63</v>
      </c>
      <c r="H13877" t="s">
        <v>43</v>
      </c>
      <c r="I13877" t="s">
        <v>2191</v>
      </c>
      <c r="J13877" s="10">
        <v>18.6</v>
      </c>
      <c r="K13877" t="b">
        <v>1</v>
      </c>
    </row>
    <row r="13878" spans="1:11">
      <c r="A13878" s="12">
        <v>43375</v>
      </c>
      <c r="B13878">
        <v>2018</v>
      </c>
      <c r="C13878">
        <v>10</v>
      </c>
      <c r="D13878" s="11">
        <v>43374</v>
      </c>
      <c r="E13878" t="s">
        <v>2182</v>
      </c>
      <c r="F13878">
        <v>2</v>
      </c>
      <c r="G13878" t="s">
        <v>63</v>
      </c>
      <c r="H13878" t="s">
        <v>44</v>
      </c>
      <c r="I13878" t="s">
        <v>2192</v>
      </c>
      <c r="J13878" s="10">
        <v>7</v>
      </c>
      <c r="K13878" t="b">
        <v>1</v>
      </c>
    </row>
    <row r="13879" spans="1:11">
      <c r="A13879" s="12">
        <v>43375</v>
      </c>
      <c r="B13879">
        <v>2018</v>
      </c>
      <c r="C13879">
        <v>10</v>
      </c>
      <c r="D13879" s="11">
        <v>43374</v>
      </c>
      <c r="E13879" t="s">
        <v>2182</v>
      </c>
      <c r="F13879">
        <v>2</v>
      </c>
      <c r="G13879" t="s">
        <v>63</v>
      </c>
      <c r="H13879" t="s">
        <v>45</v>
      </c>
      <c r="I13879" t="s">
        <v>2193</v>
      </c>
      <c r="J13879" s="10">
        <v>0</v>
      </c>
      <c r="K13879" t="b">
        <v>1</v>
      </c>
    </row>
    <row r="13880" spans="1:11">
      <c r="A13880" s="12">
        <v>43375</v>
      </c>
      <c r="B13880">
        <v>2018</v>
      </c>
      <c r="C13880">
        <v>10</v>
      </c>
      <c r="D13880" s="11">
        <v>43374</v>
      </c>
      <c r="E13880" t="s">
        <v>2182</v>
      </c>
      <c r="F13880">
        <v>2</v>
      </c>
      <c r="G13880" t="s">
        <v>63</v>
      </c>
      <c r="H13880" t="s">
        <v>46</v>
      </c>
      <c r="I13880" t="s">
        <v>2194</v>
      </c>
      <c r="J13880" s="10">
        <v>6</v>
      </c>
      <c r="K13880" t="b">
        <v>1</v>
      </c>
    </row>
    <row r="13881" spans="1:11">
      <c r="A13881" s="12">
        <v>43375</v>
      </c>
      <c r="B13881">
        <v>2018</v>
      </c>
      <c r="C13881">
        <v>10</v>
      </c>
      <c r="D13881" s="11">
        <v>43374</v>
      </c>
      <c r="E13881" t="s">
        <v>2182</v>
      </c>
      <c r="F13881">
        <v>2</v>
      </c>
      <c r="G13881" t="s">
        <v>63</v>
      </c>
      <c r="H13881" t="s">
        <v>47</v>
      </c>
      <c r="I13881" t="s">
        <v>2195</v>
      </c>
      <c r="J13881" s="10">
        <v>0</v>
      </c>
      <c r="K13881" t="b">
        <v>1</v>
      </c>
    </row>
    <row r="13882" spans="1:11">
      <c r="A13882" s="12">
        <v>43376</v>
      </c>
      <c r="B13882">
        <v>2018</v>
      </c>
      <c r="C13882">
        <v>10</v>
      </c>
      <c r="D13882" s="11">
        <v>43374</v>
      </c>
      <c r="E13882" t="s">
        <v>2182</v>
      </c>
      <c r="F13882">
        <v>3</v>
      </c>
      <c r="G13882" t="s">
        <v>65</v>
      </c>
      <c r="H13882" t="s">
        <v>40</v>
      </c>
      <c r="I13882" t="s">
        <v>2188</v>
      </c>
      <c r="J13882" s="10">
        <v>6</v>
      </c>
      <c r="K13882" t="b">
        <v>1</v>
      </c>
    </row>
    <row r="13883" spans="1:11">
      <c r="A13883" s="12">
        <v>43376</v>
      </c>
      <c r="B13883">
        <v>2018</v>
      </c>
      <c r="C13883">
        <v>10</v>
      </c>
      <c r="D13883" s="11">
        <v>43374</v>
      </c>
      <c r="E13883" t="s">
        <v>2182</v>
      </c>
      <c r="F13883">
        <v>3</v>
      </c>
      <c r="G13883" t="s">
        <v>65</v>
      </c>
      <c r="H13883" t="s">
        <v>41</v>
      </c>
      <c r="I13883" t="s">
        <v>2189</v>
      </c>
      <c r="J13883" s="10">
        <v>3.33</v>
      </c>
      <c r="K13883" t="b">
        <v>1</v>
      </c>
    </row>
    <row r="13884" spans="1:11">
      <c r="A13884" s="12">
        <v>43376</v>
      </c>
      <c r="B13884">
        <v>2018</v>
      </c>
      <c r="C13884">
        <v>10</v>
      </c>
      <c r="D13884" s="11">
        <v>43374</v>
      </c>
      <c r="E13884" t="s">
        <v>2182</v>
      </c>
      <c r="F13884">
        <v>3</v>
      </c>
      <c r="G13884" t="s">
        <v>65</v>
      </c>
      <c r="H13884" t="s">
        <v>42</v>
      </c>
      <c r="I13884" t="s">
        <v>2190</v>
      </c>
      <c r="J13884" s="10">
        <v>3</v>
      </c>
      <c r="K13884" t="b">
        <v>1</v>
      </c>
    </row>
    <row r="13885" spans="1:11">
      <c r="A13885" s="12">
        <v>43376</v>
      </c>
      <c r="B13885">
        <v>2018</v>
      </c>
      <c r="C13885">
        <v>10</v>
      </c>
      <c r="D13885" s="11">
        <v>43374</v>
      </c>
      <c r="E13885" t="s">
        <v>2182</v>
      </c>
      <c r="F13885">
        <v>3</v>
      </c>
      <c r="G13885" t="s">
        <v>65</v>
      </c>
      <c r="H13885" t="s">
        <v>43</v>
      </c>
      <c r="I13885" t="s">
        <v>2191</v>
      </c>
      <c r="J13885" s="10">
        <v>34.9</v>
      </c>
      <c r="K13885" t="b">
        <v>1</v>
      </c>
    </row>
    <row r="13886" spans="1:11">
      <c r="A13886" s="12">
        <v>43376</v>
      </c>
      <c r="B13886">
        <v>2018</v>
      </c>
      <c r="C13886">
        <v>10</v>
      </c>
      <c r="D13886" s="11">
        <v>43374</v>
      </c>
      <c r="E13886" t="s">
        <v>2182</v>
      </c>
      <c r="F13886">
        <v>3</v>
      </c>
      <c r="G13886" t="s">
        <v>65</v>
      </c>
      <c r="H13886" t="s">
        <v>44</v>
      </c>
      <c r="I13886" t="s">
        <v>2192</v>
      </c>
      <c r="J13886" s="10">
        <v>12</v>
      </c>
      <c r="K13886" t="b">
        <v>1</v>
      </c>
    </row>
    <row r="13887" spans="1:11">
      <c r="A13887" s="12">
        <v>43376</v>
      </c>
      <c r="B13887">
        <v>2018</v>
      </c>
      <c r="C13887">
        <v>10</v>
      </c>
      <c r="D13887" s="11">
        <v>43374</v>
      </c>
      <c r="E13887" t="s">
        <v>2182</v>
      </c>
      <c r="F13887">
        <v>3</v>
      </c>
      <c r="G13887" t="s">
        <v>65</v>
      </c>
      <c r="H13887" t="s">
        <v>45</v>
      </c>
      <c r="I13887" t="s">
        <v>2193</v>
      </c>
      <c r="J13887" s="10">
        <v>2</v>
      </c>
      <c r="K13887" t="b">
        <v>1</v>
      </c>
    </row>
    <row r="13888" spans="1:11">
      <c r="A13888" s="12">
        <v>43376</v>
      </c>
      <c r="B13888">
        <v>2018</v>
      </c>
      <c r="C13888">
        <v>10</v>
      </c>
      <c r="D13888" s="11">
        <v>43374</v>
      </c>
      <c r="E13888" t="s">
        <v>2182</v>
      </c>
      <c r="F13888">
        <v>3</v>
      </c>
      <c r="G13888" t="s">
        <v>65</v>
      </c>
      <c r="H13888" t="s">
        <v>46</v>
      </c>
      <c r="I13888" t="s">
        <v>2194</v>
      </c>
      <c r="J13888" s="10">
        <v>5</v>
      </c>
      <c r="K13888" t="b">
        <v>1</v>
      </c>
    </row>
    <row r="13889" spans="1:11">
      <c r="A13889" s="12">
        <v>43376</v>
      </c>
      <c r="B13889">
        <v>2018</v>
      </c>
      <c r="C13889">
        <v>10</v>
      </c>
      <c r="D13889" s="11">
        <v>43374</v>
      </c>
      <c r="E13889" t="s">
        <v>2182</v>
      </c>
      <c r="F13889">
        <v>3</v>
      </c>
      <c r="G13889" t="s">
        <v>65</v>
      </c>
      <c r="H13889" t="s">
        <v>47</v>
      </c>
      <c r="I13889" t="s">
        <v>2195</v>
      </c>
      <c r="J13889" s="10">
        <v>4</v>
      </c>
      <c r="K13889" t="b">
        <v>1</v>
      </c>
    </row>
    <row r="13890" spans="1:11">
      <c r="A13890" s="12">
        <v>43377</v>
      </c>
      <c r="B13890">
        <v>2018</v>
      </c>
      <c r="C13890">
        <v>10</v>
      </c>
      <c r="D13890" s="11">
        <v>43374</v>
      </c>
      <c r="E13890" t="s">
        <v>2182</v>
      </c>
      <c r="F13890">
        <v>4</v>
      </c>
      <c r="G13890" t="s">
        <v>53</v>
      </c>
      <c r="H13890" t="s">
        <v>40</v>
      </c>
      <c r="I13890" t="s">
        <v>2188</v>
      </c>
      <c r="J13890" s="10">
        <v>6</v>
      </c>
      <c r="K13890" t="b">
        <v>1</v>
      </c>
    </row>
    <row r="13891" spans="1:11">
      <c r="A13891" s="12">
        <v>43377</v>
      </c>
      <c r="B13891">
        <v>2018</v>
      </c>
      <c r="C13891">
        <v>10</v>
      </c>
      <c r="D13891" s="11">
        <v>43374</v>
      </c>
      <c r="E13891" t="s">
        <v>2182</v>
      </c>
      <c r="F13891">
        <v>4</v>
      </c>
      <c r="G13891" t="s">
        <v>53</v>
      </c>
      <c r="H13891" t="s">
        <v>41</v>
      </c>
      <c r="I13891" t="s">
        <v>2189</v>
      </c>
      <c r="J13891" s="10">
        <v>3.36</v>
      </c>
      <c r="K13891" t="b">
        <v>1</v>
      </c>
    </row>
    <row r="13892" spans="1:11">
      <c r="A13892" s="12">
        <v>43377</v>
      </c>
      <c r="B13892">
        <v>2018</v>
      </c>
      <c r="C13892">
        <v>10</v>
      </c>
      <c r="D13892" s="11">
        <v>43374</v>
      </c>
      <c r="E13892" t="s">
        <v>2182</v>
      </c>
      <c r="F13892">
        <v>4</v>
      </c>
      <c r="G13892" t="s">
        <v>53</v>
      </c>
      <c r="H13892" t="s">
        <v>42</v>
      </c>
      <c r="I13892" t="s">
        <v>2190</v>
      </c>
      <c r="J13892" s="10">
        <v>2</v>
      </c>
      <c r="K13892" t="b">
        <v>1</v>
      </c>
    </row>
    <row r="13893" spans="1:11">
      <c r="A13893" s="12">
        <v>43377</v>
      </c>
      <c r="B13893">
        <v>2018</v>
      </c>
      <c r="C13893">
        <v>10</v>
      </c>
      <c r="D13893" s="11">
        <v>43374</v>
      </c>
      <c r="E13893" t="s">
        <v>2182</v>
      </c>
      <c r="F13893">
        <v>4</v>
      </c>
      <c r="G13893" t="s">
        <v>53</v>
      </c>
      <c r="H13893" t="s">
        <v>43</v>
      </c>
      <c r="I13893" t="s">
        <v>2191</v>
      </c>
      <c r="J13893" s="10">
        <v>32</v>
      </c>
      <c r="K13893" t="b">
        <v>1</v>
      </c>
    </row>
    <row r="13894" spans="1:11">
      <c r="A13894" s="12">
        <v>43377</v>
      </c>
      <c r="B13894">
        <v>2018</v>
      </c>
      <c r="C13894">
        <v>10</v>
      </c>
      <c r="D13894" s="11">
        <v>43374</v>
      </c>
      <c r="E13894" t="s">
        <v>2182</v>
      </c>
      <c r="F13894">
        <v>4</v>
      </c>
      <c r="G13894" t="s">
        <v>53</v>
      </c>
      <c r="H13894" t="s">
        <v>44</v>
      </c>
      <c r="I13894" t="s">
        <v>2192</v>
      </c>
      <c r="J13894" s="10">
        <v>12</v>
      </c>
      <c r="K13894" t="b">
        <v>1</v>
      </c>
    </row>
    <row r="13895" spans="1:11">
      <c r="A13895" s="12">
        <v>43377</v>
      </c>
      <c r="B13895">
        <v>2018</v>
      </c>
      <c r="C13895">
        <v>10</v>
      </c>
      <c r="D13895" s="11">
        <v>43374</v>
      </c>
      <c r="E13895" t="s">
        <v>2182</v>
      </c>
      <c r="F13895">
        <v>4</v>
      </c>
      <c r="G13895" t="s">
        <v>53</v>
      </c>
      <c r="H13895" t="s">
        <v>45</v>
      </c>
      <c r="I13895" t="s">
        <v>2193</v>
      </c>
      <c r="J13895" s="10">
        <v>1</v>
      </c>
      <c r="K13895" t="b">
        <v>1</v>
      </c>
    </row>
    <row r="13896" spans="1:11">
      <c r="A13896" s="12">
        <v>43377</v>
      </c>
      <c r="B13896">
        <v>2018</v>
      </c>
      <c r="C13896">
        <v>10</v>
      </c>
      <c r="D13896" s="11">
        <v>43374</v>
      </c>
      <c r="E13896" t="s">
        <v>2182</v>
      </c>
      <c r="F13896">
        <v>4</v>
      </c>
      <c r="G13896" t="s">
        <v>53</v>
      </c>
      <c r="H13896" t="s">
        <v>46</v>
      </c>
      <c r="I13896" t="s">
        <v>2194</v>
      </c>
      <c r="J13896" s="10">
        <v>5</v>
      </c>
      <c r="K13896" t="b">
        <v>1</v>
      </c>
    </row>
    <row r="13897" spans="1:11">
      <c r="A13897" s="12">
        <v>43377</v>
      </c>
      <c r="B13897">
        <v>2018</v>
      </c>
      <c r="C13897">
        <v>10</v>
      </c>
      <c r="D13897" s="11">
        <v>43374</v>
      </c>
      <c r="E13897" t="s">
        <v>2182</v>
      </c>
      <c r="F13897">
        <v>4</v>
      </c>
      <c r="G13897" t="s">
        <v>53</v>
      </c>
      <c r="H13897" t="s">
        <v>47</v>
      </c>
      <c r="I13897" t="s">
        <v>2195</v>
      </c>
      <c r="J13897" s="10">
        <v>0</v>
      </c>
      <c r="K13897" t="b">
        <v>1</v>
      </c>
    </row>
    <row r="13898" spans="1:11">
      <c r="A13898" s="12">
        <v>43378</v>
      </c>
      <c r="B13898">
        <v>2018</v>
      </c>
      <c r="C13898">
        <v>10</v>
      </c>
      <c r="D13898" s="11">
        <v>43374</v>
      </c>
      <c r="E13898" t="s">
        <v>2182</v>
      </c>
      <c r="F13898">
        <v>5</v>
      </c>
      <c r="G13898" t="s">
        <v>55</v>
      </c>
      <c r="H13898" t="s">
        <v>40</v>
      </c>
      <c r="I13898" t="s">
        <v>2188</v>
      </c>
      <c r="J13898" s="10">
        <v>4.84</v>
      </c>
      <c r="K13898" t="b">
        <v>1</v>
      </c>
    </row>
    <row r="13899" spans="1:11">
      <c r="A13899" s="12">
        <v>43378</v>
      </c>
      <c r="B13899">
        <v>2018</v>
      </c>
      <c r="C13899">
        <v>10</v>
      </c>
      <c r="D13899" s="11">
        <v>43374</v>
      </c>
      <c r="E13899" t="s">
        <v>2182</v>
      </c>
      <c r="F13899">
        <v>5</v>
      </c>
      <c r="G13899" t="s">
        <v>55</v>
      </c>
      <c r="H13899" t="s">
        <v>41</v>
      </c>
      <c r="I13899" t="s">
        <v>2189</v>
      </c>
      <c r="J13899" s="10">
        <v>3.397</v>
      </c>
      <c r="K13899" t="b">
        <v>1</v>
      </c>
    </row>
    <row r="13900" spans="1:11">
      <c r="A13900" s="12">
        <v>43378</v>
      </c>
      <c r="B13900">
        <v>2018</v>
      </c>
      <c r="C13900">
        <v>10</v>
      </c>
      <c r="D13900" s="11">
        <v>43374</v>
      </c>
      <c r="E13900" t="s">
        <v>2182</v>
      </c>
      <c r="F13900">
        <v>5</v>
      </c>
      <c r="G13900" t="s">
        <v>55</v>
      </c>
      <c r="H13900" t="s">
        <v>42</v>
      </c>
      <c r="I13900" t="s">
        <v>2190</v>
      </c>
      <c r="J13900" s="10">
        <v>1.1</v>
      </c>
      <c r="K13900" t="b">
        <v>1</v>
      </c>
    </row>
    <row r="13901" spans="1:11">
      <c r="A13901" s="12">
        <v>43378</v>
      </c>
      <c r="B13901">
        <v>2018</v>
      </c>
      <c r="C13901">
        <v>10</v>
      </c>
      <c r="D13901" s="11">
        <v>43374</v>
      </c>
      <c r="E13901" t="s">
        <v>2182</v>
      </c>
      <c r="F13901">
        <v>5</v>
      </c>
      <c r="G13901" t="s">
        <v>55</v>
      </c>
      <c r="H13901" t="s">
        <v>43</v>
      </c>
      <c r="I13901" t="s">
        <v>2191</v>
      </c>
      <c r="J13901" s="10">
        <v>22.8</v>
      </c>
      <c r="K13901" t="b">
        <v>1</v>
      </c>
    </row>
    <row r="13902" spans="1:11">
      <c r="A13902" s="12">
        <v>43378</v>
      </c>
      <c r="B13902">
        <v>2018</v>
      </c>
      <c r="C13902">
        <v>10</v>
      </c>
      <c r="D13902" s="11">
        <v>43374</v>
      </c>
      <c r="E13902" t="s">
        <v>2182</v>
      </c>
      <c r="F13902">
        <v>5</v>
      </c>
      <c r="G13902" t="s">
        <v>55</v>
      </c>
      <c r="H13902" t="s">
        <v>44</v>
      </c>
      <c r="I13902" t="s">
        <v>2192</v>
      </c>
      <c r="J13902" s="10">
        <v>7</v>
      </c>
      <c r="K13902" t="b">
        <v>1</v>
      </c>
    </row>
    <row r="13903" spans="1:11">
      <c r="A13903" s="12">
        <v>43378</v>
      </c>
      <c r="B13903">
        <v>2018</v>
      </c>
      <c r="C13903">
        <v>10</v>
      </c>
      <c r="D13903" s="11">
        <v>43374</v>
      </c>
      <c r="E13903" t="s">
        <v>2182</v>
      </c>
      <c r="F13903">
        <v>5</v>
      </c>
      <c r="G13903" t="s">
        <v>55</v>
      </c>
      <c r="H13903" t="s">
        <v>45</v>
      </c>
      <c r="I13903" t="s">
        <v>2193</v>
      </c>
      <c r="J13903" s="10">
        <v>0</v>
      </c>
      <c r="K13903" t="b">
        <v>1</v>
      </c>
    </row>
    <row r="13904" spans="1:11">
      <c r="A13904" s="12">
        <v>43378</v>
      </c>
      <c r="B13904">
        <v>2018</v>
      </c>
      <c r="C13904">
        <v>10</v>
      </c>
      <c r="D13904" s="11">
        <v>43374</v>
      </c>
      <c r="E13904" t="s">
        <v>2182</v>
      </c>
      <c r="F13904">
        <v>5</v>
      </c>
      <c r="G13904" t="s">
        <v>55</v>
      </c>
      <c r="H13904" t="s">
        <v>46</v>
      </c>
      <c r="I13904" t="s">
        <v>2194</v>
      </c>
      <c r="J13904" s="10">
        <v>14</v>
      </c>
      <c r="K13904" t="b">
        <v>1</v>
      </c>
    </row>
    <row r="13905" spans="1:11">
      <c r="A13905" s="12">
        <v>43378</v>
      </c>
      <c r="B13905">
        <v>2018</v>
      </c>
      <c r="C13905">
        <v>10</v>
      </c>
      <c r="D13905" s="11">
        <v>43374</v>
      </c>
      <c r="E13905" t="s">
        <v>2182</v>
      </c>
      <c r="F13905">
        <v>5</v>
      </c>
      <c r="G13905" t="s">
        <v>55</v>
      </c>
      <c r="H13905" t="s">
        <v>47</v>
      </c>
      <c r="I13905" t="s">
        <v>2195</v>
      </c>
      <c r="J13905" s="10">
        <v>1</v>
      </c>
      <c r="K13905" t="b">
        <v>1</v>
      </c>
    </row>
    <row r="13906" spans="1:11">
      <c r="A13906" s="12">
        <v>43379</v>
      </c>
      <c r="B13906">
        <v>2018</v>
      </c>
      <c r="C13906">
        <v>10</v>
      </c>
      <c r="D13906" s="11">
        <v>43374</v>
      </c>
      <c r="E13906" t="s">
        <v>2182</v>
      </c>
      <c r="F13906">
        <v>6</v>
      </c>
      <c r="G13906" t="s">
        <v>57</v>
      </c>
      <c r="H13906" t="s">
        <v>40</v>
      </c>
      <c r="I13906" t="s">
        <v>2188</v>
      </c>
      <c r="J13906" s="10">
        <v>2</v>
      </c>
      <c r="K13906" t="b">
        <v>1</v>
      </c>
    </row>
    <row r="13907" spans="1:11">
      <c r="A13907" s="12">
        <v>43379</v>
      </c>
      <c r="B13907">
        <v>2018</v>
      </c>
      <c r="C13907">
        <v>10</v>
      </c>
      <c r="D13907" s="11">
        <v>43374</v>
      </c>
      <c r="E13907" t="s">
        <v>2182</v>
      </c>
      <c r="F13907">
        <v>6</v>
      </c>
      <c r="G13907" t="s">
        <v>57</v>
      </c>
      <c r="H13907" t="s">
        <v>41</v>
      </c>
      <c r="I13907" t="s">
        <v>2189</v>
      </c>
      <c r="J13907" s="10">
        <v>5.36</v>
      </c>
      <c r="K13907" t="b">
        <v>1</v>
      </c>
    </row>
    <row r="13908" spans="1:11">
      <c r="A13908" s="12">
        <v>43379</v>
      </c>
      <c r="B13908">
        <v>2018</v>
      </c>
      <c r="C13908">
        <v>10</v>
      </c>
      <c r="D13908" s="11">
        <v>43374</v>
      </c>
      <c r="E13908" t="s">
        <v>2182</v>
      </c>
      <c r="F13908">
        <v>6</v>
      </c>
      <c r="G13908" t="s">
        <v>57</v>
      </c>
      <c r="H13908" t="s">
        <v>42</v>
      </c>
      <c r="I13908" t="s">
        <v>2190</v>
      </c>
      <c r="J13908" s="10">
        <v>3.2</v>
      </c>
      <c r="K13908" t="b">
        <v>1</v>
      </c>
    </row>
    <row r="13909" spans="1:11">
      <c r="A13909" s="12">
        <v>43379</v>
      </c>
      <c r="B13909">
        <v>2018</v>
      </c>
      <c r="C13909">
        <v>10</v>
      </c>
      <c r="D13909" s="11">
        <v>43374</v>
      </c>
      <c r="E13909" t="s">
        <v>2182</v>
      </c>
      <c r="F13909">
        <v>6</v>
      </c>
      <c r="G13909" t="s">
        <v>57</v>
      </c>
      <c r="H13909" t="s">
        <v>43</v>
      </c>
      <c r="I13909" t="s">
        <v>2191</v>
      </c>
      <c r="J13909" s="10">
        <v>59.25</v>
      </c>
      <c r="K13909" t="b">
        <v>1</v>
      </c>
    </row>
    <row r="13910" spans="1:11">
      <c r="A13910" s="12">
        <v>43379</v>
      </c>
      <c r="B13910">
        <v>2018</v>
      </c>
      <c r="C13910">
        <v>10</v>
      </c>
      <c r="D13910" s="11">
        <v>43374</v>
      </c>
      <c r="E13910" t="s">
        <v>2182</v>
      </c>
      <c r="F13910">
        <v>6</v>
      </c>
      <c r="G13910" t="s">
        <v>57</v>
      </c>
      <c r="H13910" t="s">
        <v>44</v>
      </c>
      <c r="I13910" t="s">
        <v>2192</v>
      </c>
      <c r="J13910" s="10">
        <v>4</v>
      </c>
      <c r="K13910" t="b">
        <v>1</v>
      </c>
    </row>
    <row r="13911" spans="1:11">
      <c r="A13911" s="12">
        <v>43379</v>
      </c>
      <c r="B13911">
        <v>2018</v>
      </c>
      <c r="C13911">
        <v>10</v>
      </c>
      <c r="D13911" s="11">
        <v>43374</v>
      </c>
      <c r="E13911" t="s">
        <v>2182</v>
      </c>
      <c r="F13911">
        <v>6</v>
      </c>
      <c r="G13911" t="s">
        <v>57</v>
      </c>
      <c r="H13911" t="s">
        <v>45</v>
      </c>
      <c r="I13911" t="s">
        <v>2193</v>
      </c>
      <c r="J13911" s="10">
        <v>0</v>
      </c>
      <c r="K13911" t="b">
        <v>1</v>
      </c>
    </row>
    <row r="13912" spans="1:11">
      <c r="A13912" s="12">
        <v>43379</v>
      </c>
      <c r="B13912">
        <v>2018</v>
      </c>
      <c r="C13912">
        <v>10</v>
      </c>
      <c r="D13912" s="11">
        <v>43374</v>
      </c>
      <c r="E13912" t="s">
        <v>2182</v>
      </c>
      <c r="F13912">
        <v>6</v>
      </c>
      <c r="G13912" t="s">
        <v>57</v>
      </c>
      <c r="H13912" t="s">
        <v>46</v>
      </c>
      <c r="I13912" t="s">
        <v>2194</v>
      </c>
      <c r="J13912" s="10">
        <v>3</v>
      </c>
      <c r="K13912" t="b">
        <v>1</v>
      </c>
    </row>
    <row r="13913" spans="1:11">
      <c r="A13913" s="12">
        <v>43379</v>
      </c>
      <c r="B13913">
        <v>2018</v>
      </c>
      <c r="C13913">
        <v>10</v>
      </c>
      <c r="D13913" s="11">
        <v>43374</v>
      </c>
      <c r="E13913" t="s">
        <v>2182</v>
      </c>
      <c r="F13913">
        <v>6</v>
      </c>
      <c r="G13913" t="s">
        <v>57</v>
      </c>
      <c r="H13913" t="s">
        <v>47</v>
      </c>
      <c r="I13913" t="s">
        <v>2195</v>
      </c>
      <c r="J13913" s="10">
        <v>0.1</v>
      </c>
      <c r="K13913" t="b">
        <v>1</v>
      </c>
    </row>
    <row r="13914" spans="1:11">
      <c r="A13914" s="12">
        <v>43380</v>
      </c>
      <c r="B13914">
        <v>2018</v>
      </c>
      <c r="C13914">
        <v>10</v>
      </c>
      <c r="D13914" s="11">
        <v>43374</v>
      </c>
      <c r="E13914" t="s">
        <v>2182</v>
      </c>
      <c r="F13914">
        <v>7</v>
      </c>
      <c r="G13914" t="s">
        <v>59</v>
      </c>
      <c r="H13914" t="s">
        <v>40</v>
      </c>
      <c r="I13914" t="s">
        <v>2188</v>
      </c>
      <c r="J13914" s="10">
        <v>2.68</v>
      </c>
      <c r="K13914" t="b">
        <v>1</v>
      </c>
    </row>
    <row r="13915" spans="1:11">
      <c r="A13915" s="12">
        <v>43380</v>
      </c>
      <c r="B13915">
        <v>2018</v>
      </c>
      <c r="C13915">
        <v>10</v>
      </c>
      <c r="D13915" s="11">
        <v>43374</v>
      </c>
      <c r="E13915" t="s">
        <v>2182</v>
      </c>
      <c r="F13915">
        <v>7</v>
      </c>
      <c r="G13915" t="s">
        <v>59</v>
      </c>
      <c r="H13915" t="s">
        <v>41</v>
      </c>
      <c r="I13915" t="s">
        <v>2189</v>
      </c>
      <c r="J13915" s="10">
        <v>7.35</v>
      </c>
      <c r="K13915" t="b">
        <v>1</v>
      </c>
    </row>
    <row r="13916" spans="1:11">
      <c r="A13916" s="12">
        <v>43380</v>
      </c>
      <c r="B13916">
        <v>2018</v>
      </c>
      <c r="C13916">
        <v>10</v>
      </c>
      <c r="D13916" s="11">
        <v>43374</v>
      </c>
      <c r="E13916" t="s">
        <v>2182</v>
      </c>
      <c r="F13916">
        <v>7</v>
      </c>
      <c r="G13916" t="s">
        <v>59</v>
      </c>
      <c r="H13916" t="s">
        <v>42</v>
      </c>
      <c r="I13916" t="s">
        <v>2190</v>
      </c>
      <c r="J13916" s="10">
        <v>2</v>
      </c>
      <c r="K13916" t="b">
        <v>1</v>
      </c>
    </row>
    <row r="13917" spans="1:11">
      <c r="A13917" s="12">
        <v>43380</v>
      </c>
      <c r="B13917">
        <v>2018</v>
      </c>
      <c r="C13917">
        <v>10</v>
      </c>
      <c r="D13917" s="11">
        <v>43374</v>
      </c>
      <c r="E13917" t="s">
        <v>2182</v>
      </c>
      <c r="F13917">
        <v>7</v>
      </c>
      <c r="G13917" t="s">
        <v>59</v>
      </c>
      <c r="H13917" t="s">
        <v>43</v>
      </c>
      <c r="I13917" t="s">
        <v>2191</v>
      </c>
      <c r="J13917" s="10">
        <v>42.4</v>
      </c>
      <c r="K13917" t="b">
        <v>1</v>
      </c>
    </row>
    <row r="13918" spans="1:11">
      <c r="A13918" s="12">
        <v>43380</v>
      </c>
      <c r="B13918">
        <v>2018</v>
      </c>
      <c r="C13918">
        <v>10</v>
      </c>
      <c r="D13918" s="11">
        <v>43374</v>
      </c>
      <c r="E13918" t="s">
        <v>2182</v>
      </c>
      <c r="F13918">
        <v>7</v>
      </c>
      <c r="G13918" t="s">
        <v>59</v>
      </c>
      <c r="H13918" t="s">
        <v>44</v>
      </c>
      <c r="I13918" t="s">
        <v>2192</v>
      </c>
      <c r="J13918" s="10">
        <v>8</v>
      </c>
      <c r="K13918" t="b">
        <v>1</v>
      </c>
    </row>
    <row r="13919" spans="1:11">
      <c r="A13919" s="12">
        <v>43380</v>
      </c>
      <c r="B13919">
        <v>2018</v>
      </c>
      <c r="C13919">
        <v>10</v>
      </c>
      <c r="D13919" s="11">
        <v>43374</v>
      </c>
      <c r="E13919" t="s">
        <v>2182</v>
      </c>
      <c r="F13919">
        <v>7</v>
      </c>
      <c r="G13919" t="s">
        <v>59</v>
      </c>
      <c r="H13919" t="s">
        <v>45</v>
      </c>
      <c r="I13919" t="s">
        <v>2193</v>
      </c>
      <c r="J13919" s="10">
        <v>0</v>
      </c>
      <c r="K13919" t="b">
        <v>1</v>
      </c>
    </row>
    <row r="13920" spans="1:11">
      <c r="A13920" s="12">
        <v>43380</v>
      </c>
      <c r="B13920">
        <v>2018</v>
      </c>
      <c r="C13920">
        <v>10</v>
      </c>
      <c r="D13920" s="11">
        <v>43374</v>
      </c>
      <c r="E13920" t="s">
        <v>2182</v>
      </c>
      <c r="F13920">
        <v>7</v>
      </c>
      <c r="G13920" t="s">
        <v>59</v>
      </c>
      <c r="H13920" t="s">
        <v>46</v>
      </c>
      <c r="I13920" t="s">
        <v>2194</v>
      </c>
      <c r="J13920" s="10">
        <v>9</v>
      </c>
      <c r="K13920" t="b">
        <v>1</v>
      </c>
    </row>
    <row r="13921" spans="1:11">
      <c r="A13921" s="12">
        <v>43380</v>
      </c>
      <c r="B13921">
        <v>2018</v>
      </c>
      <c r="C13921">
        <v>10</v>
      </c>
      <c r="D13921" s="11">
        <v>43374</v>
      </c>
      <c r="E13921" t="s">
        <v>2182</v>
      </c>
      <c r="F13921">
        <v>7</v>
      </c>
      <c r="G13921" t="s">
        <v>59</v>
      </c>
      <c r="H13921" t="s">
        <v>47</v>
      </c>
      <c r="I13921" t="s">
        <v>2195</v>
      </c>
      <c r="J13921" s="10">
        <v>1</v>
      </c>
      <c r="K13921" t="b">
        <v>1</v>
      </c>
    </row>
    <row r="13922" spans="1:11">
      <c r="A13922" s="12">
        <v>43381</v>
      </c>
      <c r="B13922">
        <v>2018</v>
      </c>
      <c r="C13922">
        <v>10</v>
      </c>
      <c r="D13922" s="11">
        <v>43374</v>
      </c>
      <c r="E13922" t="s">
        <v>2182</v>
      </c>
      <c r="F13922">
        <v>1</v>
      </c>
      <c r="G13922" t="s">
        <v>61</v>
      </c>
      <c r="H13922" t="s">
        <v>40</v>
      </c>
      <c r="I13922" t="s">
        <v>2188</v>
      </c>
      <c r="J13922" s="10">
        <v>4</v>
      </c>
      <c r="K13922" t="b">
        <v>1</v>
      </c>
    </row>
    <row r="13923" spans="1:11">
      <c r="A13923" s="12">
        <v>43381</v>
      </c>
      <c r="B13923">
        <v>2018</v>
      </c>
      <c r="C13923">
        <v>10</v>
      </c>
      <c r="D13923" s="11">
        <v>43374</v>
      </c>
      <c r="E13923" t="s">
        <v>2182</v>
      </c>
      <c r="F13923">
        <v>1</v>
      </c>
      <c r="G13923" t="s">
        <v>61</v>
      </c>
      <c r="H13923" t="s">
        <v>41</v>
      </c>
      <c r="I13923" t="s">
        <v>2189</v>
      </c>
      <c r="J13923" s="10">
        <v>1.68</v>
      </c>
      <c r="K13923" t="b">
        <v>1</v>
      </c>
    </row>
    <row r="13924" spans="1:11">
      <c r="A13924" s="12">
        <v>43381</v>
      </c>
      <c r="B13924">
        <v>2018</v>
      </c>
      <c r="C13924">
        <v>10</v>
      </c>
      <c r="D13924" s="11">
        <v>43374</v>
      </c>
      <c r="E13924" t="s">
        <v>2182</v>
      </c>
      <c r="F13924">
        <v>1</v>
      </c>
      <c r="G13924" t="s">
        <v>61</v>
      </c>
      <c r="H13924" t="s">
        <v>42</v>
      </c>
      <c r="I13924" t="s">
        <v>2190</v>
      </c>
      <c r="J13924" s="10">
        <v>3</v>
      </c>
      <c r="K13924" t="b">
        <v>1</v>
      </c>
    </row>
    <row r="13925" spans="1:11">
      <c r="A13925" s="12">
        <v>43381</v>
      </c>
      <c r="B13925">
        <v>2018</v>
      </c>
      <c r="C13925">
        <v>10</v>
      </c>
      <c r="D13925" s="11">
        <v>43374</v>
      </c>
      <c r="E13925" t="s">
        <v>2182</v>
      </c>
      <c r="F13925">
        <v>1</v>
      </c>
      <c r="G13925" t="s">
        <v>61</v>
      </c>
      <c r="H13925" t="s">
        <v>43</v>
      </c>
      <c r="I13925" t="s">
        <v>2191</v>
      </c>
      <c r="J13925" s="10">
        <v>30</v>
      </c>
      <c r="K13925" t="b">
        <v>1</v>
      </c>
    </row>
    <row r="13926" spans="1:11">
      <c r="A13926" s="12">
        <v>43381</v>
      </c>
      <c r="B13926">
        <v>2018</v>
      </c>
      <c r="C13926">
        <v>10</v>
      </c>
      <c r="D13926" s="11">
        <v>43374</v>
      </c>
      <c r="E13926" t="s">
        <v>2182</v>
      </c>
      <c r="F13926">
        <v>1</v>
      </c>
      <c r="G13926" t="s">
        <v>61</v>
      </c>
      <c r="H13926" t="s">
        <v>44</v>
      </c>
      <c r="I13926" t="s">
        <v>2192</v>
      </c>
      <c r="J13926" s="10">
        <v>18</v>
      </c>
      <c r="K13926" t="b">
        <v>1</v>
      </c>
    </row>
    <row r="13927" spans="1:11">
      <c r="A13927" s="12">
        <v>43381</v>
      </c>
      <c r="B13927">
        <v>2018</v>
      </c>
      <c r="C13927">
        <v>10</v>
      </c>
      <c r="D13927" s="11">
        <v>43374</v>
      </c>
      <c r="E13927" t="s">
        <v>2182</v>
      </c>
      <c r="F13927">
        <v>1</v>
      </c>
      <c r="G13927" t="s">
        <v>61</v>
      </c>
      <c r="H13927" t="s">
        <v>45</v>
      </c>
      <c r="I13927" t="s">
        <v>2193</v>
      </c>
      <c r="J13927" s="10">
        <v>5</v>
      </c>
      <c r="K13927" t="b">
        <v>1</v>
      </c>
    </row>
    <row r="13928" spans="1:11">
      <c r="A13928" s="12">
        <v>43381</v>
      </c>
      <c r="B13928">
        <v>2018</v>
      </c>
      <c r="C13928">
        <v>10</v>
      </c>
      <c r="D13928" s="11">
        <v>43374</v>
      </c>
      <c r="E13928" t="s">
        <v>2182</v>
      </c>
      <c r="F13928">
        <v>1</v>
      </c>
      <c r="G13928" t="s">
        <v>61</v>
      </c>
      <c r="H13928" t="s">
        <v>46</v>
      </c>
      <c r="I13928" t="s">
        <v>2194</v>
      </c>
      <c r="J13928" s="10">
        <v>0</v>
      </c>
      <c r="K13928" t="b">
        <v>1</v>
      </c>
    </row>
    <row r="13929" spans="1:11">
      <c r="A13929" s="12">
        <v>43381</v>
      </c>
      <c r="B13929">
        <v>2018</v>
      </c>
      <c r="C13929">
        <v>10</v>
      </c>
      <c r="D13929" s="11">
        <v>43374</v>
      </c>
      <c r="E13929" t="s">
        <v>2182</v>
      </c>
      <c r="F13929">
        <v>1</v>
      </c>
      <c r="G13929" t="s">
        <v>61</v>
      </c>
      <c r="H13929" t="s">
        <v>47</v>
      </c>
      <c r="I13929" t="s">
        <v>2195</v>
      </c>
      <c r="J13929" s="10">
        <v>3</v>
      </c>
      <c r="K13929" t="b">
        <v>1</v>
      </c>
    </row>
    <row r="13930" spans="1:11">
      <c r="A13930" s="12">
        <v>43382</v>
      </c>
      <c r="B13930">
        <v>2018</v>
      </c>
      <c r="C13930">
        <v>10</v>
      </c>
      <c r="D13930" s="11">
        <v>43374</v>
      </c>
      <c r="E13930" t="s">
        <v>2182</v>
      </c>
      <c r="F13930">
        <v>2</v>
      </c>
      <c r="G13930" t="s">
        <v>63</v>
      </c>
      <c r="H13930" t="s">
        <v>40</v>
      </c>
      <c r="I13930" t="s">
        <v>2188</v>
      </c>
      <c r="J13930" s="10">
        <v>2</v>
      </c>
      <c r="K13930" t="b">
        <v>1</v>
      </c>
    </row>
    <row r="13931" spans="1:11">
      <c r="A13931" s="12">
        <v>43382</v>
      </c>
      <c r="B13931">
        <v>2018</v>
      </c>
      <c r="C13931">
        <v>10</v>
      </c>
      <c r="D13931" s="11">
        <v>43374</v>
      </c>
      <c r="E13931" t="s">
        <v>2182</v>
      </c>
      <c r="F13931">
        <v>2</v>
      </c>
      <c r="G13931" t="s">
        <v>63</v>
      </c>
      <c r="H13931" t="s">
        <v>41</v>
      </c>
      <c r="I13931" t="s">
        <v>2189</v>
      </c>
      <c r="J13931" s="10">
        <v>1.67</v>
      </c>
      <c r="K13931" t="b">
        <v>1</v>
      </c>
    </row>
    <row r="13932" spans="1:11">
      <c r="A13932" s="12">
        <v>43382</v>
      </c>
      <c r="B13932">
        <v>2018</v>
      </c>
      <c r="C13932">
        <v>10</v>
      </c>
      <c r="D13932" s="11">
        <v>43374</v>
      </c>
      <c r="E13932" t="s">
        <v>2182</v>
      </c>
      <c r="F13932">
        <v>2</v>
      </c>
      <c r="G13932" t="s">
        <v>63</v>
      </c>
      <c r="H13932" t="s">
        <v>42</v>
      </c>
      <c r="I13932" t="s">
        <v>2190</v>
      </c>
      <c r="J13932" s="10">
        <v>1</v>
      </c>
      <c r="K13932" t="b">
        <v>1</v>
      </c>
    </row>
    <row r="13933" spans="1:11">
      <c r="A13933" s="12">
        <v>43382</v>
      </c>
      <c r="B13933">
        <v>2018</v>
      </c>
      <c r="C13933">
        <v>10</v>
      </c>
      <c r="D13933" s="11">
        <v>43374</v>
      </c>
      <c r="E13933" t="s">
        <v>2182</v>
      </c>
      <c r="F13933">
        <v>2</v>
      </c>
      <c r="G13933" t="s">
        <v>63</v>
      </c>
      <c r="H13933" t="s">
        <v>43</v>
      </c>
      <c r="I13933" t="s">
        <v>2191</v>
      </c>
      <c r="J13933" s="10">
        <v>30</v>
      </c>
      <c r="K13933" t="b">
        <v>1</v>
      </c>
    </row>
    <row r="13934" spans="1:11">
      <c r="A13934" s="12">
        <v>43382</v>
      </c>
      <c r="B13934">
        <v>2018</v>
      </c>
      <c r="C13934">
        <v>10</v>
      </c>
      <c r="D13934" s="11">
        <v>43374</v>
      </c>
      <c r="E13934" t="s">
        <v>2182</v>
      </c>
      <c r="F13934">
        <v>2</v>
      </c>
      <c r="G13934" t="s">
        <v>63</v>
      </c>
      <c r="H13934" t="s">
        <v>44</v>
      </c>
      <c r="I13934" t="s">
        <v>2192</v>
      </c>
      <c r="J13934" s="10">
        <v>18</v>
      </c>
      <c r="K13934" t="b">
        <v>1</v>
      </c>
    </row>
    <row r="13935" spans="1:11">
      <c r="A13935" s="12">
        <v>43382</v>
      </c>
      <c r="B13935">
        <v>2018</v>
      </c>
      <c r="C13935">
        <v>10</v>
      </c>
      <c r="D13935" s="11">
        <v>43374</v>
      </c>
      <c r="E13935" t="s">
        <v>2182</v>
      </c>
      <c r="F13935">
        <v>2</v>
      </c>
      <c r="G13935" t="s">
        <v>63</v>
      </c>
      <c r="H13935" t="s">
        <v>45</v>
      </c>
      <c r="I13935" t="s">
        <v>2193</v>
      </c>
      <c r="J13935" s="10">
        <v>0</v>
      </c>
      <c r="K13935" t="b">
        <v>1</v>
      </c>
    </row>
    <row r="13936" spans="1:11">
      <c r="A13936" s="12">
        <v>43382</v>
      </c>
      <c r="B13936">
        <v>2018</v>
      </c>
      <c r="C13936">
        <v>10</v>
      </c>
      <c r="D13936" s="11">
        <v>43374</v>
      </c>
      <c r="E13936" t="s">
        <v>2182</v>
      </c>
      <c r="F13936">
        <v>2</v>
      </c>
      <c r="G13936" t="s">
        <v>63</v>
      </c>
      <c r="H13936" t="s">
        <v>46</v>
      </c>
      <c r="I13936" t="s">
        <v>2194</v>
      </c>
      <c r="J13936" s="10">
        <v>29</v>
      </c>
      <c r="K13936" t="b">
        <v>1</v>
      </c>
    </row>
    <row r="13937" spans="1:11">
      <c r="A13937" s="12">
        <v>43382</v>
      </c>
      <c r="B13937">
        <v>2018</v>
      </c>
      <c r="C13937">
        <v>10</v>
      </c>
      <c r="D13937" s="11">
        <v>43374</v>
      </c>
      <c r="E13937" t="s">
        <v>2182</v>
      </c>
      <c r="F13937">
        <v>2</v>
      </c>
      <c r="G13937" t="s">
        <v>63</v>
      </c>
      <c r="H13937" t="s">
        <v>47</v>
      </c>
      <c r="I13937" t="s">
        <v>2195</v>
      </c>
      <c r="J13937" s="10">
        <v>1</v>
      </c>
      <c r="K13937" t="b">
        <v>1</v>
      </c>
    </row>
    <row r="13938" spans="1:11">
      <c r="A13938" s="12">
        <v>43383</v>
      </c>
      <c r="B13938">
        <v>2018</v>
      </c>
      <c r="C13938">
        <v>10</v>
      </c>
      <c r="D13938" s="11">
        <v>43374</v>
      </c>
      <c r="E13938" t="s">
        <v>2182</v>
      </c>
      <c r="F13938">
        <v>3</v>
      </c>
      <c r="G13938" t="s">
        <v>65</v>
      </c>
      <c r="H13938" t="s">
        <v>40</v>
      </c>
      <c r="I13938" t="s">
        <v>2188</v>
      </c>
      <c r="J13938" s="10">
        <v>9</v>
      </c>
      <c r="K13938" t="b">
        <v>1</v>
      </c>
    </row>
    <row r="13939" spans="1:11">
      <c r="A13939" s="12">
        <v>43383</v>
      </c>
      <c r="B13939">
        <v>2018</v>
      </c>
      <c r="C13939">
        <v>10</v>
      </c>
      <c r="D13939" s="11">
        <v>43374</v>
      </c>
      <c r="E13939" t="s">
        <v>2182</v>
      </c>
      <c r="F13939">
        <v>3</v>
      </c>
      <c r="G13939" t="s">
        <v>65</v>
      </c>
      <c r="H13939" t="s">
        <v>41</v>
      </c>
      <c r="I13939" t="s">
        <v>2189</v>
      </c>
      <c r="J13939" s="10">
        <v>8.01</v>
      </c>
      <c r="K13939" t="b">
        <v>1</v>
      </c>
    </row>
    <row r="13940" spans="1:11">
      <c r="A13940" s="12">
        <v>43383</v>
      </c>
      <c r="B13940">
        <v>2018</v>
      </c>
      <c r="C13940">
        <v>10</v>
      </c>
      <c r="D13940" s="11">
        <v>43374</v>
      </c>
      <c r="E13940" t="s">
        <v>2182</v>
      </c>
      <c r="F13940">
        <v>3</v>
      </c>
      <c r="G13940" t="s">
        <v>65</v>
      </c>
      <c r="H13940" t="s">
        <v>42</v>
      </c>
      <c r="I13940" t="s">
        <v>2190</v>
      </c>
      <c r="J13940" s="10">
        <v>4.1</v>
      </c>
      <c r="K13940" t="b">
        <v>1</v>
      </c>
    </row>
    <row r="13941" spans="1:11">
      <c r="A13941" s="12">
        <v>43383</v>
      </c>
      <c r="B13941">
        <v>2018</v>
      </c>
      <c r="C13941">
        <v>10</v>
      </c>
      <c r="D13941" s="11">
        <v>43374</v>
      </c>
      <c r="E13941" t="s">
        <v>2182</v>
      </c>
      <c r="F13941">
        <v>3</v>
      </c>
      <c r="G13941" t="s">
        <v>65</v>
      </c>
      <c r="H13941" t="s">
        <v>43</v>
      </c>
      <c r="I13941" t="s">
        <v>2191</v>
      </c>
      <c r="J13941" s="10">
        <v>41.2</v>
      </c>
      <c r="K13941" t="b">
        <v>1</v>
      </c>
    </row>
    <row r="13942" spans="1:11">
      <c r="A13942" s="12">
        <v>43383</v>
      </c>
      <c r="B13942">
        <v>2018</v>
      </c>
      <c r="C13942">
        <v>10</v>
      </c>
      <c r="D13942" s="11">
        <v>43374</v>
      </c>
      <c r="E13942" t="s">
        <v>2182</v>
      </c>
      <c r="F13942">
        <v>3</v>
      </c>
      <c r="G13942" t="s">
        <v>65</v>
      </c>
      <c r="H13942" t="s">
        <v>44</v>
      </c>
      <c r="I13942" t="s">
        <v>2192</v>
      </c>
      <c r="J13942" s="10">
        <v>13</v>
      </c>
      <c r="K13942" t="b">
        <v>1</v>
      </c>
    </row>
    <row r="13943" spans="1:11">
      <c r="A13943" s="12">
        <v>43383</v>
      </c>
      <c r="B13943">
        <v>2018</v>
      </c>
      <c r="C13943">
        <v>10</v>
      </c>
      <c r="D13943" s="11">
        <v>43374</v>
      </c>
      <c r="E13943" t="s">
        <v>2182</v>
      </c>
      <c r="F13943">
        <v>3</v>
      </c>
      <c r="G13943" t="s">
        <v>65</v>
      </c>
      <c r="H13943" t="s">
        <v>45</v>
      </c>
      <c r="I13943" t="s">
        <v>2193</v>
      </c>
      <c r="J13943" s="10">
        <v>0</v>
      </c>
      <c r="K13943" t="b">
        <v>1</v>
      </c>
    </row>
    <row r="13944" spans="1:11">
      <c r="A13944" s="12">
        <v>43383</v>
      </c>
      <c r="B13944">
        <v>2018</v>
      </c>
      <c r="C13944">
        <v>10</v>
      </c>
      <c r="D13944" s="11">
        <v>43374</v>
      </c>
      <c r="E13944" t="s">
        <v>2182</v>
      </c>
      <c r="F13944">
        <v>3</v>
      </c>
      <c r="G13944" t="s">
        <v>65</v>
      </c>
      <c r="H13944" t="s">
        <v>46</v>
      </c>
      <c r="I13944" t="s">
        <v>2194</v>
      </c>
      <c r="J13944" s="10">
        <v>20</v>
      </c>
      <c r="K13944" t="b">
        <v>1</v>
      </c>
    </row>
    <row r="13945" spans="1:11">
      <c r="A13945" s="12">
        <v>43383</v>
      </c>
      <c r="B13945">
        <v>2018</v>
      </c>
      <c r="C13945">
        <v>10</v>
      </c>
      <c r="D13945" s="11">
        <v>43374</v>
      </c>
      <c r="E13945" t="s">
        <v>2182</v>
      </c>
      <c r="F13945">
        <v>3</v>
      </c>
      <c r="G13945" t="s">
        <v>65</v>
      </c>
      <c r="H13945" t="s">
        <v>47</v>
      </c>
      <c r="I13945" t="s">
        <v>2195</v>
      </c>
      <c r="J13945" s="10">
        <v>2</v>
      </c>
      <c r="K13945" t="b">
        <v>1</v>
      </c>
    </row>
    <row r="13946" spans="1:11">
      <c r="A13946" s="12">
        <v>43384</v>
      </c>
      <c r="B13946">
        <v>2018</v>
      </c>
      <c r="C13946">
        <v>10</v>
      </c>
      <c r="D13946" s="11">
        <v>43374</v>
      </c>
      <c r="E13946" t="s">
        <v>2182</v>
      </c>
      <c r="F13946">
        <v>4</v>
      </c>
      <c r="G13946" t="s">
        <v>53</v>
      </c>
      <c r="H13946" t="s">
        <v>40</v>
      </c>
      <c r="I13946" t="s">
        <v>2188</v>
      </c>
      <c r="J13946" s="10">
        <v>2</v>
      </c>
      <c r="K13946" t="b">
        <v>1</v>
      </c>
    </row>
    <row r="13947" spans="1:11">
      <c r="A13947" s="12">
        <v>43384</v>
      </c>
      <c r="B13947">
        <v>2018</v>
      </c>
      <c r="C13947">
        <v>10</v>
      </c>
      <c r="D13947" s="11">
        <v>43374</v>
      </c>
      <c r="E13947" t="s">
        <v>2182</v>
      </c>
      <c r="F13947">
        <v>4</v>
      </c>
      <c r="G13947" t="s">
        <v>53</v>
      </c>
      <c r="H13947" t="s">
        <v>41</v>
      </c>
      <c r="I13947" t="s">
        <v>2189</v>
      </c>
      <c r="J13947" s="10">
        <v>2.33</v>
      </c>
      <c r="K13947" t="b">
        <v>1</v>
      </c>
    </row>
    <row r="13948" spans="1:11">
      <c r="A13948" s="12">
        <v>43384</v>
      </c>
      <c r="B13948">
        <v>2018</v>
      </c>
      <c r="C13948">
        <v>10</v>
      </c>
      <c r="D13948" s="11">
        <v>43374</v>
      </c>
      <c r="E13948" t="s">
        <v>2182</v>
      </c>
      <c r="F13948">
        <v>4</v>
      </c>
      <c r="G13948" t="s">
        <v>53</v>
      </c>
      <c r="H13948" t="s">
        <v>42</v>
      </c>
      <c r="I13948" t="s">
        <v>2190</v>
      </c>
      <c r="J13948" s="10">
        <v>2.1</v>
      </c>
      <c r="K13948" t="b">
        <v>1</v>
      </c>
    </row>
    <row r="13949" spans="1:11">
      <c r="A13949" s="12">
        <v>43384</v>
      </c>
      <c r="B13949">
        <v>2018</v>
      </c>
      <c r="C13949">
        <v>10</v>
      </c>
      <c r="D13949" s="11">
        <v>43374</v>
      </c>
      <c r="E13949" t="s">
        <v>2182</v>
      </c>
      <c r="F13949">
        <v>4</v>
      </c>
      <c r="G13949" t="s">
        <v>53</v>
      </c>
      <c r="H13949" t="s">
        <v>43</v>
      </c>
      <c r="I13949" t="s">
        <v>2191</v>
      </c>
      <c r="J13949" s="10">
        <v>31</v>
      </c>
      <c r="K13949" t="b">
        <v>1</v>
      </c>
    </row>
    <row r="13950" spans="1:11">
      <c r="A13950" s="12">
        <v>43384</v>
      </c>
      <c r="B13950">
        <v>2018</v>
      </c>
      <c r="C13950">
        <v>10</v>
      </c>
      <c r="D13950" s="11">
        <v>43374</v>
      </c>
      <c r="E13950" t="s">
        <v>2182</v>
      </c>
      <c r="F13950">
        <v>4</v>
      </c>
      <c r="G13950" t="s">
        <v>53</v>
      </c>
      <c r="H13950" t="s">
        <v>44</v>
      </c>
      <c r="I13950" t="s">
        <v>2192</v>
      </c>
      <c r="J13950" s="10">
        <v>15</v>
      </c>
      <c r="K13950" t="b">
        <v>1</v>
      </c>
    </row>
    <row r="13951" spans="1:11">
      <c r="A13951" s="12">
        <v>43384</v>
      </c>
      <c r="B13951">
        <v>2018</v>
      </c>
      <c r="C13951">
        <v>10</v>
      </c>
      <c r="D13951" s="11">
        <v>43374</v>
      </c>
      <c r="E13951" t="s">
        <v>2182</v>
      </c>
      <c r="F13951">
        <v>4</v>
      </c>
      <c r="G13951" t="s">
        <v>53</v>
      </c>
      <c r="H13951" t="s">
        <v>45</v>
      </c>
      <c r="I13951" t="s">
        <v>2193</v>
      </c>
      <c r="J13951" s="10">
        <v>0</v>
      </c>
      <c r="K13951" t="b">
        <v>1</v>
      </c>
    </row>
    <row r="13952" spans="1:11">
      <c r="A13952" s="12">
        <v>43384</v>
      </c>
      <c r="B13952">
        <v>2018</v>
      </c>
      <c r="C13952">
        <v>10</v>
      </c>
      <c r="D13952" s="11">
        <v>43374</v>
      </c>
      <c r="E13952" t="s">
        <v>2182</v>
      </c>
      <c r="F13952">
        <v>4</v>
      </c>
      <c r="G13952" t="s">
        <v>53</v>
      </c>
      <c r="H13952" t="s">
        <v>46</v>
      </c>
      <c r="I13952" t="s">
        <v>2194</v>
      </c>
      <c r="J13952" s="10">
        <v>0</v>
      </c>
      <c r="K13952" t="b">
        <v>1</v>
      </c>
    </row>
    <row r="13953" spans="1:11">
      <c r="A13953" s="12">
        <v>43384</v>
      </c>
      <c r="B13953">
        <v>2018</v>
      </c>
      <c r="C13953">
        <v>10</v>
      </c>
      <c r="D13953" s="11">
        <v>43374</v>
      </c>
      <c r="E13953" t="s">
        <v>2182</v>
      </c>
      <c r="F13953">
        <v>4</v>
      </c>
      <c r="G13953" t="s">
        <v>53</v>
      </c>
      <c r="H13953" t="s">
        <v>47</v>
      </c>
      <c r="I13953" t="s">
        <v>2195</v>
      </c>
      <c r="J13953" s="10">
        <v>1</v>
      </c>
      <c r="K13953" t="b">
        <v>1</v>
      </c>
    </row>
    <row r="13954" spans="1:11">
      <c r="A13954" s="12">
        <v>43385</v>
      </c>
      <c r="B13954">
        <v>2018</v>
      </c>
      <c r="C13954">
        <v>10</v>
      </c>
      <c r="D13954" s="11">
        <v>43374</v>
      </c>
      <c r="E13954" t="s">
        <v>2182</v>
      </c>
      <c r="F13954">
        <v>5</v>
      </c>
      <c r="G13954" t="s">
        <v>55</v>
      </c>
      <c r="H13954" t="s">
        <v>40</v>
      </c>
      <c r="I13954" t="s">
        <v>2188</v>
      </c>
      <c r="J13954" s="10">
        <v>6.33</v>
      </c>
      <c r="K13954" t="b">
        <v>1</v>
      </c>
    </row>
    <row r="13955" spans="1:11">
      <c r="A13955" s="12">
        <v>43385</v>
      </c>
      <c r="B13955">
        <v>2018</v>
      </c>
      <c r="C13955">
        <v>10</v>
      </c>
      <c r="D13955" s="11">
        <v>43374</v>
      </c>
      <c r="E13955" t="s">
        <v>2182</v>
      </c>
      <c r="F13955">
        <v>5</v>
      </c>
      <c r="G13955" t="s">
        <v>55</v>
      </c>
      <c r="H13955" t="s">
        <v>41</v>
      </c>
      <c r="I13955" t="s">
        <v>2189</v>
      </c>
      <c r="J13955" s="10">
        <v>4.363</v>
      </c>
      <c r="K13955" t="b">
        <v>1</v>
      </c>
    </row>
    <row r="13956" spans="1:11">
      <c r="A13956" s="12">
        <v>43385</v>
      </c>
      <c r="B13956">
        <v>2018</v>
      </c>
      <c r="C13956">
        <v>10</v>
      </c>
      <c r="D13956" s="11">
        <v>43374</v>
      </c>
      <c r="E13956" t="s">
        <v>2182</v>
      </c>
      <c r="F13956">
        <v>5</v>
      </c>
      <c r="G13956" t="s">
        <v>55</v>
      </c>
      <c r="H13956" t="s">
        <v>42</v>
      </c>
      <c r="I13956" t="s">
        <v>2190</v>
      </c>
      <c r="J13956" s="10">
        <v>1</v>
      </c>
      <c r="K13956" t="b">
        <v>1</v>
      </c>
    </row>
    <row r="13957" spans="1:11">
      <c r="A13957" s="12">
        <v>43385</v>
      </c>
      <c r="B13957">
        <v>2018</v>
      </c>
      <c r="C13957">
        <v>10</v>
      </c>
      <c r="D13957" s="11">
        <v>43374</v>
      </c>
      <c r="E13957" t="s">
        <v>2182</v>
      </c>
      <c r="F13957">
        <v>5</v>
      </c>
      <c r="G13957" t="s">
        <v>55</v>
      </c>
      <c r="H13957" t="s">
        <v>43</v>
      </c>
      <c r="I13957" t="s">
        <v>2191</v>
      </c>
      <c r="J13957" s="10">
        <v>26</v>
      </c>
      <c r="K13957" t="b">
        <v>1</v>
      </c>
    </row>
    <row r="13958" spans="1:11">
      <c r="A13958" s="12">
        <v>43385</v>
      </c>
      <c r="B13958">
        <v>2018</v>
      </c>
      <c r="C13958">
        <v>10</v>
      </c>
      <c r="D13958" s="11">
        <v>43374</v>
      </c>
      <c r="E13958" t="s">
        <v>2182</v>
      </c>
      <c r="F13958">
        <v>5</v>
      </c>
      <c r="G13958" t="s">
        <v>55</v>
      </c>
      <c r="H13958" t="s">
        <v>44</v>
      </c>
      <c r="I13958" t="s">
        <v>2192</v>
      </c>
      <c r="J13958" s="10">
        <v>6</v>
      </c>
      <c r="K13958" t="b">
        <v>1</v>
      </c>
    </row>
    <row r="13959" spans="1:11">
      <c r="A13959" s="12">
        <v>43385</v>
      </c>
      <c r="B13959">
        <v>2018</v>
      </c>
      <c r="C13959">
        <v>10</v>
      </c>
      <c r="D13959" s="11">
        <v>43374</v>
      </c>
      <c r="E13959" t="s">
        <v>2182</v>
      </c>
      <c r="F13959">
        <v>5</v>
      </c>
      <c r="G13959" t="s">
        <v>55</v>
      </c>
      <c r="H13959" t="s">
        <v>45</v>
      </c>
      <c r="I13959" t="s">
        <v>2193</v>
      </c>
      <c r="J13959" s="10">
        <v>0</v>
      </c>
      <c r="K13959" t="b">
        <v>1</v>
      </c>
    </row>
    <row r="13960" spans="1:11">
      <c r="A13960" s="12">
        <v>43385</v>
      </c>
      <c r="B13960">
        <v>2018</v>
      </c>
      <c r="C13960">
        <v>10</v>
      </c>
      <c r="D13960" s="11">
        <v>43374</v>
      </c>
      <c r="E13960" t="s">
        <v>2182</v>
      </c>
      <c r="F13960">
        <v>5</v>
      </c>
      <c r="G13960" t="s">
        <v>55</v>
      </c>
      <c r="H13960" t="s">
        <v>46</v>
      </c>
      <c r="I13960" t="s">
        <v>2194</v>
      </c>
      <c r="J13960" s="10">
        <v>1</v>
      </c>
      <c r="K13960" t="b">
        <v>1</v>
      </c>
    </row>
    <row r="13961" spans="1:11">
      <c r="A13961" s="12">
        <v>43385</v>
      </c>
      <c r="B13961">
        <v>2018</v>
      </c>
      <c r="C13961">
        <v>10</v>
      </c>
      <c r="D13961" s="11">
        <v>43374</v>
      </c>
      <c r="E13961" t="s">
        <v>2182</v>
      </c>
      <c r="F13961">
        <v>5</v>
      </c>
      <c r="G13961" t="s">
        <v>55</v>
      </c>
      <c r="H13961" t="s">
        <v>47</v>
      </c>
      <c r="I13961" t="s">
        <v>2195</v>
      </c>
      <c r="J13961" s="10">
        <v>6</v>
      </c>
      <c r="K13961" t="b">
        <v>1</v>
      </c>
    </row>
    <row r="13962" spans="1:11">
      <c r="A13962" s="12">
        <v>43386</v>
      </c>
      <c r="B13962">
        <v>2018</v>
      </c>
      <c r="C13962">
        <v>10</v>
      </c>
      <c r="D13962" s="11">
        <v>43374</v>
      </c>
      <c r="E13962" t="s">
        <v>2182</v>
      </c>
      <c r="F13962">
        <v>6</v>
      </c>
      <c r="G13962" t="s">
        <v>57</v>
      </c>
      <c r="H13962" t="s">
        <v>40</v>
      </c>
      <c r="I13962" t="s">
        <v>2188</v>
      </c>
      <c r="J13962" s="10">
        <v>6.99</v>
      </c>
      <c r="K13962" t="b">
        <v>1</v>
      </c>
    </row>
    <row r="13963" spans="1:11">
      <c r="A13963" s="12">
        <v>43386</v>
      </c>
      <c r="B13963">
        <v>2018</v>
      </c>
      <c r="C13963">
        <v>10</v>
      </c>
      <c r="D13963" s="11">
        <v>43374</v>
      </c>
      <c r="E13963" t="s">
        <v>2182</v>
      </c>
      <c r="F13963">
        <v>6</v>
      </c>
      <c r="G13963" t="s">
        <v>57</v>
      </c>
      <c r="H13963" t="s">
        <v>41</v>
      </c>
      <c r="I13963" t="s">
        <v>2189</v>
      </c>
      <c r="J13963" s="10">
        <v>4.507</v>
      </c>
      <c r="K13963" t="b">
        <v>1</v>
      </c>
    </row>
    <row r="13964" spans="1:11">
      <c r="A13964" s="12">
        <v>43386</v>
      </c>
      <c r="B13964">
        <v>2018</v>
      </c>
      <c r="C13964">
        <v>10</v>
      </c>
      <c r="D13964" s="11">
        <v>43374</v>
      </c>
      <c r="E13964" t="s">
        <v>2182</v>
      </c>
      <c r="F13964">
        <v>6</v>
      </c>
      <c r="G13964" t="s">
        <v>57</v>
      </c>
      <c r="H13964" t="s">
        <v>42</v>
      </c>
      <c r="I13964" t="s">
        <v>2190</v>
      </c>
      <c r="J13964" s="10">
        <v>3.25</v>
      </c>
      <c r="K13964" t="b">
        <v>1</v>
      </c>
    </row>
    <row r="13965" spans="1:11">
      <c r="A13965" s="12">
        <v>43386</v>
      </c>
      <c r="B13965">
        <v>2018</v>
      </c>
      <c r="C13965">
        <v>10</v>
      </c>
      <c r="D13965" s="11">
        <v>43374</v>
      </c>
      <c r="E13965" t="s">
        <v>2182</v>
      </c>
      <c r="F13965">
        <v>6</v>
      </c>
      <c r="G13965" t="s">
        <v>57</v>
      </c>
      <c r="H13965" t="s">
        <v>43</v>
      </c>
      <c r="I13965" t="s">
        <v>2191</v>
      </c>
      <c r="J13965" s="10">
        <v>29.6</v>
      </c>
      <c r="K13965" t="b">
        <v>1</v>
      </c>
    </row>
    <row r="13966" spans="1:11">
      <c r="A13966" s="12">
        <v>43386</v>
      </c>
      <c r="B13966">
        <v>2018</v>
      </c>
      <c r="C13966">
        <v>10</v>
      </c>
      <c r="D13966" s="11">
        <v>43374</v>
      </c>
      <c r="E13966" t="s">
        <v>2182</v>
      </c>
      <c r="F13966">
        <v>6</v>
      </c>
      <c r="G13966" t="s">
        <v>57</v>
      </c>
      <c r="H13966" t="s">
        <v>44</v>
      </c>
      <c r="I13966" t="s">
        <v>2192</v>
      </c>
      <c r="J13966" s="10">
        <v>8</v>
      </c>
      <c r="K13966" t="b">
        <v>1</v>
      </c>
    </row>
    <row r="13967" spans="1:11">
      <c r="A13967" s="12">
        <v>43386</v>
      </c>
      <c r="B13967">
        <v>2018</v>
      </c>
      <c r="C13967">
        <v>10</v>
      </c>
      <c r="D13967" s="11">
        <v>43374</v>
      </c>
      <c r="E13967" t="s">
        <v>2182</v>
      </c>
      <c r="F13967">
        <v>6</v>
      </c>
      <c r="G13967" t="s">
        <v>57</v>
      </c>
      <c r="H13967" t="s">
        <v>45</v>
      </c>
      <c r="I13967" t="s">
        <v>2193</v>
      </c>
      <c r="J13967" s="10">
        <v>0</v>
      </c>
      <c r="K13967" t="b">
        <v>1</v>
      </c>
    </row>
    <row r="13968" spans="1:11">
      <c r="A13968" s="12">
        <v>43386</v>
      </c>
      <c r="B13968">
        <v>2018</v>
      </c>
      <c r="C13968">
        <v>10</v>
      </c>
      <c r="D13968" s="11">
        <v>43374</v>
      </c>
      <c r="E13968" t="s">
        <v>2182</v>
      </c>
      <c r="F13968">
        <v>6</v>
      </c>
      <c r="G13968" t="s">
        <v>57</v>
      </c>
      <c r="H13968" t="s">
        <v>46</v>
      </c>
      <c r="I13968" t="s">
        <v>2194</v>
      </c>
      <c r="J13968" s="10">
        <v>6</v>
      </c>
      <c r="K13968" t="b">
        <v>1</v>
      </c>
    </row>
    <row r="13969" spans="1:11">
      <c r="A13969" s="12">
        <v>43386</v>
      </c>
      <c r="B13969">
        <v>2018</v>
      </c>
      <c r="C13969">
        <v>10</v>
      </c>
      <c r="D13969" s="11">
        <v>43374</v>
      </c>
      <c r="E13969" t="s">
        <v>2182</v>
      </c>
      <c r="F13969">
        <v>6</v>
      </c>
      <c r="G13969" t="s">
        <v>57</v>
      </c>
      <c r="H13969" t="s">
        <v>47</v>
      </c>
      <c r="I13969" t="s">
        <v>2195</v>
      </c>
      <c r="J13969" s="10">
        <v>3</v>
      </c>
      <c r="K13969" t="b">
        <v>1</v>
      </c>
    </row>
    <row r="13970" spans="1:11">
      <c r="A13970" s="12">
        <v>43387</v>
      </c>
      <c r="B13970">
        <v>2018</v>
      </c>
      <c r="C13970">
        <v>10</v>
      </c>
      <c r="D13970" s="11">
        <v>43374</v>
      </c>
      <c r="E13970" t="s">
        <v>2182</v>
      </c>
      <c r="F13970">
        <v>7</v>
      </c>
      <c r="G13970" t="s">
        <v>59</v>
      </c>
      <c r="H13970" t="s">
        <v>40</v>
      </c>
      <c r="I13970" t="s">
        <v>2188</v>
      </c>
      <c r="J13970" s="10">
        <v>2.34</v>
      </c>
      <c r="K13970" t="b">
        <v>1</v>
      </c>
    </row>
    <row r="13971" spans="1:11">
      <c r="A13971" s="12">
        <v>43387</v>
      </c>
      <c r="B13971">
        <v>2018</v>
      </c>
      <c r="C13971">
        <v>10</v>
      </c>
      <c r="D13971" s="11">
        <v>43374</v>
      </c>
      <c r="E13971" t="s">
        <v>2182</v>
      </c>
      <c r="F13971">
        <v>7</v>
      </c>
      <c r="G13971" t="s">
        <v>59</v>
      </c>
      <c r="H13971" t="s">
        <v>41</v>
      </c>
      <c r="I13971" t="s">
        <v>2189</v>
      </c>
      <c r="J13971" s="10">
        <v>6.01</v>
      </c>
      <c r="K13971" t="b">
        <v>1</v>
      </c>
    </row>
    <row r="13972" spans="1:11">
      <c r="A13972" s="12">
        <v>43387</v>
      </c>
      <c r="B13972">
        <v>2018</v>
      </c>
      <c r="C13972">
        <v>10</v>
      </c>
      <c r="D13972" s="11">
        <v>43374</v>
      </c>
      <c r="E13972" t="s">
        <v>2182</v>
      </c>
      <c r="F13972">
        <v>7</v>
      </c>
      <c r="G13972" t="s">
        <v>59</v>
      </c>
      <c r="H13972" t="s">
        <v>42</v>
      </c>
      <c r="I13972" t="s">
        <v>2190</v>
      </c>
      <c r="J13972" s="10">
        <v>6.2</v>
      </c>
      <c r="K13972" t="b">
        <v>1</v>
      </c>
    </row>
    <row r="13973" spans="1:11">
      <c r="A13973" s="12">
        <v>43387</v>
      </c>
      <c r="B13973">
        <v>2018</v>
      </c>
      <c r="C13973">
        <v>10</v>
      </c>
      <c r="D13973" s="11">
        <v>43374</v>
      </c>
      <c r="E13973" t="s">
        <v>2182</v>
      </c>
      <c r="F13973">
        <v>7</v>
      </c>
      <c r="G13973" t="s">
        <v>59</v>
      </c>
      <c r="H13973" t="s">
        <v>43</v>
      </c>
      <c r="I13973" t="s">
        <v>2191</v>
      </c>
      <c r="J13973" s="10">
        <v>51.7</v>
      </c>
      <c r="K13973" t="b">
        <v>1</v>
      </c>
    </row>
    <row r="13974" spans="1:11">
      <c r="A13974" s="12">
        <v>43387</v>
      </c>
      <c r="B13974">
        <v>2018</v>
      </c>
      <c r="C13974">
        <v>10</v>
      </c>
      <c r="D13974" s="11">
        <v>43374</v>
      </c>
      <c r="E13974" t="s">
        <v>2182</v>
      </c>
      <c r="F13974">
        <v>7</v>
      </c>
      <c r="G13974" t="s">
        <v>59</v>
      </c>
      <c r="H13974" t="s">
        <v>44</v>
      </c>
      <c r="I13974" t="s">
        <v>2192</v>
      </c>
      <c r="J13974" s="10">
        <v>9</v>
      </c>
      <c r="K13974" t="b">
        <v>1</v>
      </c>
    </row>
    <row r="13975" spans="1:11">
      <c r="A13975" s="12">
        <v>43387</v>
      </c>
      <c r="B13975">
        <v>2018</v>
      </c>
      <c r="C13975">
        <v>10</v>
      </c>
      <c r="D13975" s="11">
        <v>43374</v>
      </c>
      <c r="E13975" t="s">
        <v>2182</v>
      </c>
      <c r="F13975">
        <v>7</v>
      </c>
      <c r="G13975" t="s">
        <v>59</v>
      </c>
      <c r="H13975" t="s">
        <v>45</v>
      </c>
      <c r="I13975" t="s">
        <v>2193</v>
      </c>
      <c r="J13975" s="10">
        <v>2</v>
      </c>
      <c r="K13975" t="b">
        <v>1</v>
      </c>
    </row>
    <row r="13976" spans="1:11">
      <c r="A13976" s="12">
        <v>43387</v>
      </c>
      <c r="B13976">
        <v>2018</v>
      </c>
      <c r="C13976">
        <v>10</v>
      </c>
      <c r="D13976" s="11">
        <v>43374</v>
      </c>
      <c r="E13976" t="s">
        <v>2182</v>
      </c>
      <c r="F13976">
        <v>7</v>
      </c>
      <c r="G13976" t="s">
        <v>59</v>
      </c>
      <c r="H13976" t="s">
        <v>46</v>
      </c>
      <c r="I13976" t="s">
        <v>2194</v>
      </c>
      <c r="J13976" s="10">
        <v>0</v>
      </c>
      <c r="K13976" t="b">
        <v>1</v>
      </c>
    </row>
    <row r="13977" spans="1:11">
      <c r="A13977" s="12">
        <v>43387</v>
      </c>
      <c r="B13977">
        <v>2018</v>
      </c>
      <c r="C13977">
        <v>10</v>
      </c>
      <c r="D13977" s="11">
        <v>43374</v>
      </c>
      <c r="E13977" t="s">
        <v>2182</v>
      </c>
      <c r="F13977">
        <v>7</v>
      </c>
      <c r="G13977" t="s">
        <v>59</v>
      </c>
      <c r="H13977" t="s">
        <v>47</v>
      </c>
      <c r="I13977" t="s">
        <v>2195</v>
      </c>
      <c r="J13977" s="10">
        <v>6</v>
      </c>
      <c r="K13977" t="b">
        <v>1</v>
      </c>
    </row>
    <row r="13978" spans="1:11">
      <c r="A13978" s="12">
        <v>43388</v>
      </c>
      <c r="B13978">
        <v>2018</v>
      </c>
      <c r="C13978">
        <v>10</v>
      </c>
      <c r="D13978" s="11">
        <v>43374</v>
      </c>
      <c r="E13978" t="s">
        <v>2182</v>
      </c>
      <c r="F13978">
        <v>1</v>
      </c>
      <c r="G13978" t="s">
        <v>61</v>
      </c>
      <c r="H13978" t="s">
        <v>40</v>
      </c>
      <c r="I13978" t="s">
        <v>2188</v>
      </c>
      <c r="J13978" s="10">
        <v>7.17</v>
      </c>
      <c r="K13978" t="b">
        <v>1</v>
      </c>
    </row>
    <row r="13979" spans="1:11">
      <c r="A13979" s="12">
        <v>43388</v>
      </c>
      <c r="B13979">
        <v>2018</v>
      </c>
      <c r="C13979">
        <v>10</v>
      </c>
      <c r="D13979" s="11">
        <v>43374</v>
      </c>
      <c r="E13979" t="s">
        <v>2182</v>
      </c>
      <c r="F13979">
        <v>1</v>
      </c>
      <c r="G13979" t="s">
        <v>61</v>
      </c>
      <c r="H13979" t="s">
        <v>41</v>
      </c>
      <c r="I13979" t="s">
        <v>2189</v>
      </c>
      <c r="J13979" s="10">
        <v>0.066</v>
      </c>
      <c r="K13979" t="b">
        <v>1</v>
      </c>
    </row>
    <row r="13980" spans="1:11">
      <c r="A13980" s="12">
        <v>43388</v>
      </c>
      <c r="B13980">
        <v>2018</v>
      </c>
      <c r="C13980">
        <v>10</v>
      </c>
      <c r="D13980" s="11">
        <v>43374</v>
      </c>
      <c r="E13980" t="s">
        <v>2182</v>
      </c>
      <c r="F13980">
        <v>1</v>
      </c>
      <c r="G13980" t="s">
        <v>61</v>
      </c>
      <c r="H13980" t="s">
        <v>42</v>
      </c>
      <c r="I13980" t="s">
        <v>2190</v>
      </c>
      <c r="J13980" s="10">
        <v>3</v>
      </c>
      <c r="K13980" t="b">
        <v>1</v>
      </c>
    </row>
    <row r="13981" spans="1:11">
      <c r="A13981" s="12">
        <v>43388</v>
      </c>
      <c r="B13981">
        <v>2018</v>
      </c>
      <c r="C13981">
        <v>10</v>
      </c>
      <c r="D13981" s="11">
        <v>43374</v>
      </c>
      <c r="E13981" t="s">
        <v>2182</v>
      </c>
      <c r="F13981">
        <v>1</v>
      </c>
      <c r="G13981" t="s">
        <v>61</v>
      </c>
      <c r="H13981" t="s">
        <v>43</v>
      </c>
      <c r="I13981" t="s">
        <v>2191</v>
      </c>
      <c r="J13981" s="10">
        <v>47.6</v>
      </c>
      <c r="K13981" t="b">
        <v>1</v>
      </c>
    </row>
    <row r="13982" spans="1:11">
      <c r="A13982" s="12">
        <v>43388</v>
      </c>
      <c r="B13982">
        <v>2018</v>
      </c>
      <c r="C13982">
        <v>10</v>
      </c>
      <c r="D13982" s="11">
        <v>43374</v>
      </c>
      <c r="E13982" t="s">
        <v>2182</v>
      </c>
      <c r="F13982">
        <v>1</v>
      </c>
      <c r="G13982" t="s">
        <v>61</v>
      </c>
      <c r="H13982" t="s">
        <v>44</v>
      </c>
      <c r="I13982" t="s">
        <v>2192</v>
      </c>
      <c r="J13982" s="10">
        <v>12</v>
      </c>
      <c r="K13982" t="b">
        <v>1</v>
      </c>
    </row>
    <row r="13983" spans="1:11">
      <c r="A13983" s="12">
        <v>43388</v>
      </c>
      <c r="B13983">
        <v>2018</v>
      </c>
      <c r="C13983">
        <v>10</v>
      </c>
      <c r="D13983" s="11">
        <v>43374</v>
      </c>
      <c r="E13983" t="s">
        <v>2182</v>
      </c>
      <c r="F13983">
        <v>1</v>
      </c>
      <c r="G13983" t="s">
        <v>61</v>
      </c>
      <c r="H13983" t="s">
        <v>45</v>
      </c>
      <c r="I13983" t="s">
        <v>2193</v>
      </c>
      <c r="J13983" s="10">
        <v>0</v>
      </c>
      <c r="K13983" t="b">
        <v>1</v>
      </c>
    </row>
    <row r="13984" spans="1:11">
      <c r="A13984" s="12">
        <v>43388</v>
      </c>
      <c r="B13984">
        <v>2018</v>
      </c>
      <c r="C13984">
        <v>10</v>
      </c>
      <c r="D13984" s="11">
        <v>43374</v>
      </c>
      <c r="E13984" t="s">
        <v>2182</v>
      </c>
      <c r="F13984">
        <v>1</v>
      </c>
      <c r="G13984" t="s">
        <v>61</v>
      </c>
      <c r="H13984" t="s">
        <v>46</v>
      </c>
      <c r="I13984" t="s">
        <v>2194</v>
      </c>
      <c r="J13984" s="10">
        <v>5</v>
      </c>
      <c r="K13984" t="b">
        <v>1</v>
      </c>
    </row>
    <row r="13985" spans="1:11">
      <c r="A13985" s="12">
        <v>43388</v>
      </c>
      <c r="B13985">
        <v>2018</v>
      </c>
      <c r="C13985">
        <v>10</v>
      </c>
      <c r="D13985" s="11">
        <v>43374</v>
      </c>
      <c r="E13985" t="s">
        <v>2182</v>
      </c>
      <c r="F13985">
        <v>1</v>
      </c>
      <c r="G13985" t="s">
        <v>61</v>
      </c>
      <c r="H13985" t="s">
        <v>47</v>
      </c>
      <c r="I13985" t="s">
        <v>2195</v>
      </c>
      <c r="J13985" s="10">
        <v>6</v>
      </c>
      <c r="K13985" t="b">
        <v>1</v>
      </c>
    </row>
    <row r="13986" spans="1:11">
      <c r="A13986" s="12">
        <v>43389</v>
      </c>
      <c r="B13986">
        <v>2018</v>
      </c>
      <c r="C13986">
        <v>10</v>
      </c>
      <c r="D13986" s="11">
        <v>43374</v>
      </c>
      <c r="E13986" t="s">
        <v>2182</v>
      </c>
      <c r="F13986">
        <v>2</v>
      </c>
      <c r="G13986" t="s">
        <v>63</v>
      </c>
      <c r="H13986" t="s">
        <v>40</v>
      </c>
      <c r="I13986" t="s">
        <v>2188</v>
      </c>
      <c r="J13986" s="10">
        <v>6</v>
      </c>
      <c r="K13986" t="b">
        <v>1</v>
      </c>
    </row>
    <row r="13987" spans="1:11">
      <c r="A13987" s="12">
        <v>43389</v>
      </c>
      <c r="B13987">
        <v>2018</v>
      </c>
      <c r="C13987">
        <v>10</v>
      </c>
      <c r="D13987" s="11">
        <v>43374</v>
      </c>
      <c r="E13987" t="s">
        <v>2182</v>
      </c>
      <c r="F13987">
        <v>2</v>
      </c>
      <c r="G13987" t="s">
        <v>63</v>
      </c>
      <c r="H13987" t="s">
        <v>41</v>
      </c>
      <c r="I13987" t="s">
        <v>2189</v>
      </c>
      <c r="J13987" s="10">
        <v>5.322</v>
      </c>
      <c r="K13987" t="b">
        <v>1</v>
      </c>
    </row>
    <row r="13988" spans="1:11">
      <c r="A13988" s="12">
        <v>43389</v>
      </c>
      <c r="B13988">
        <v>2018</v>
      </c>
      <c r="C13988">
        <v>10</v>
      </c>
      <c r="D13988" s="11">
        <v>43374</v>
      </c>
      <c r="E13988" t="s">
        <v>2182</v>
      </c>
      <c r="F13988">
        <v>2</v>
      </c>
      <c r="G13988" t="s">
        <v>63</v>
      </c>
      <c r="H13988" t="s">
        <v>42</v>
      </c>
      <c r="I13988" t="s">
        <v>2190</v>
      </c>
      <c r="J13988" s="10">
        <v>2</v>
      </c>
      <c r="K13988" t="b">
        <v>1</v>
      </c>
    </row>
    <row r="13989" spans="1:11">
      <c r="A13989" s="12">
        <v>43389</v>
      </c>
      <c r="B13989">
        <v>2018</v>
      </c>
      <c r="C13989">
        <v>10</v>
      </c>
      <c r="D13989" s="11">
        <v>43374</v>
      </c>
      <c r="E13989" t="s">
        <v>2182</v>
      </c>
      <c r="F13989">
        <v>2</v>
      </c>
      <c r="G13989" t="s">
        <v>63</v>
      </c>
      <c r="H13989" t="s">
        <v>43</v>
      </c>
      <c r="I13989" t="s">
        <v>2191</v>
      </c>
      <c r="J13989" s="10">
        <v>27.3</v>
      </c>
      <c r="K13989" t="b">
        <v>1</v>
      </c>
    </row>
    <row r="13990" spans="1:11">
      <c r="A13990" s="12">
        <v>43389</v>
      </c>
      <c r="B13990">
        <v>2018</v>
      </c>
      <c r="C13990">
        <v>10</v>
      </c>
      <c r="D13990" s="11">
        <v>43374</v>
      </c>
      <c r="E13990" t="s">
        <v>2182</v>
      </c>
      <c r="F13990">
        <v>2</v>
      </c>
      <c r="G13990" t="s">
        <v>63</v>
      </c>
      <c r="H13990" t="s">
        <v>44</v>
      </c>
      <c r="I13990" t="s">
        <v>2192</v>
      </c>
      <c r="J13990" s="10">
        <v>5</v>
      </c>
      <c r="K13990" t="b">
        <v>1</v>
      </c>
    </row>
    <row r="13991" spans="1:11">
      <c r="A13991" s="12">
        <v>43389</v>
      </c>
      <c r="B13991">
        <v>2018</v>
      </c>
      <c r="C13991">
        <v>10</v>
      </c>
      <c r="D13991" s="11">
        <v>43374</v>
      </c>
      <c r="E13991" t="s">
        <v>2182</v>
      </c>
      <c r="F13991">
        <v>2</v>
      </c>
      <c r="G13991" t="s">
        <v>63</v>
      </c>
      <c r="H13991" t="s">
        <v>45</v>
      </c>
      <c r="I13991" t="s">
        <v>2193</v>
      </c>
      <c r="J13991" s="10">
        <v>3</v>
      </c>
      <c r="K13991" t="b">
        <v>1</v>
      </c>
    </row>
    <row r="13992" spans="1:11">
      <c r="A13992" s="12">
        <v>43389</v>
      </c>
      <c r="B13992">
        <v>2018</v>
      </c>
      <c r="C13992">
        <v>10</v>
      </c>
      <c r="D13992" s="11">
        <v>43374</v>
      </c>
      <c r="E13992" t="s">
        <v>2182</v>
      </c>
      <c r="F13992">
        <v>2</v>
      </c>
      <c r="G13992" t="s">
        <v>63</v>
      </c>
      <c r="H13992" t="s">
        <v>46</v>
      </c>
      <c r="I13992" t="s">
        <v>2194</v>
      </c>
      <c r="J13992" s="10">
        <v>6</v>
      </c>
      <c r="K13992" t="b">
        <v>1</v>
      </c>
    </row>
    <row r="13993" spans="1:11">
      <c r="A13993" s="12">
        <v>43389</v>
      </c>
      <c r="B13993">
        <v>2018</v>
      </c>
      <c r="C13993">
        <v>10</v>
      </c>
      <c r="D13993" s="11">
        <v>43374</v>
      </c>
      <c r="E13993" t="s">
        <v>2182</v>
      </c>
      <c r="F13993">
        <v>2</v>
      </c>
      <c r="G13993" t="s">
        <v>63</v>
      </c>
      <c r="H13993" t="s">
        <v>47</v>
      </c>
      <c r="I13993" t="s">
        <v>2195</v>
      </c>
      <c r="J13993" s="10">
        <v>0</v>
      </c>
      <c r="K13993" t="b">
        <v>1</v>
      </c>
    </row>
    <row r="13994" spans="1:11">
      <c r="A13994" s="12">
        <v>43390</v>
      </c>
      <c r="B13994">
        <v>2018</v>
      </c>
      <c r="C13994">
        <v>10</v>
      </c>
      <c r="D13994" s="11">
        <v>43374</v>
      </c>
      <c r="E13994" t="s">
        <v>2182</v>
      </c>
      <c r="F13994">
        <v>3</v>
      </c>
      <c r="G13994" t="s">
        <v>65</v>
      </c>
      <c r="H13994" t="s">
        <v>40</v>
      </c>
      <c r="I13994" t="s">
        <v>2188</v>
      </c>
      <c r="J13994" s="10">
        <v>2.33</v>
      </c>
      <c r="K13994" t="b">
        <v>1</v>
      </c>
    </row>
    <row r="13995" spans="1:11">
      <c r="A13995" s="12">
        <v>43390</v>
      </c>
      <c r="B13995">
        <v>2018</v>
      </c>
      <c r="C13995">
        <v>10</v>
      </c>
      <c r="D13995" s="11">
        <v>43374</v>
      </c>
      <c r="E13995" t="s">
        <v>2182</v>
      </c>
      <c r="F13995">
        <v>3</v>
      </c>
      <c r="G13995" t="s">
        <v>65</v>
      </c>
      <c r="H13995" t="s">
        <v>41</v>
      </c>
      <c r="I13995" t="s">
        <v>2189</v>
      </c>
      <c r="J13995" s="10">
        <v>6</v>
      </c>
      <c r="K13995" t="b">
        <v>1</v>
      </c>
    </row>
    <row r="13996" spans="1:11">
      <c r="A13996" s="12">
        <v>43390</v>
      </c>
      <c r="B13996">
        <v>2018</v>
      </c>
      <c r="C13996">
        <v>10</v>
      </c>
      <c r="D13996" s="11">
        <v>43374</v>
      </c>
      <c r="E13996" t="s">
        <v>2182</v>
      </c>
      <c r="F13996">
        <v>3</v>
      </c>
      <c r="G13996" t="s">
        <v>65</v>
      </c>
      <c r="H13996" t="s">
        <v>42</v>
      </c>
      <c r="I13996" t="s">
        <v>2190</v>
      </c>
      <c r="J13996" s="10">
        <v>4</v>
      </c>
      <c r="K13996" t="b">
        <v>1</v>
      </c>
    </row>
    <row r="13997" spans="1:11">
      <c r="A13997" s="12">
        <v>43390</v>
      </c>
      <c r="B13997">
        <v>2018</v>
      </c>
      <c r="C13997">
        <v>10</v>
      </c>
      <c r="D13997" s="11">
        <v>43374</v>
      </c>
      <c r="E13997" t="s">
        <v>2182</v>
      </c>
      <c r="F13997">
        <v>3</v>
      </c>
      <c r="G13997" t="s">
        <v>65</v>
      </c>
      <c r="H13997" t="s">
        <v>43</v>
      </c>
      <c r="I13997" t="s">
        <v>2191</v>
      </c>
      <c r="J13997" s="10">
        <v>52.2</v>
      </c>
      <c r="K13997" t="b">
        <v>1</v>
      </c>
    </row>
    <row r="13998" spans="1:11">
      <c r="A13998" s="12">
        <v>43390</v>
      </c>
      <c r="B13998">
        <v>2018</v>
      </c>
      <c r="C13998">
        <v>10</v>
      </c>
      <c r="D13998" s="11">
        <v>43374</v>
      </c>
      <c r="E13998" t="s">
        <v>2182</v>
      </c>
      <c r="F13998">
        <v>3</v>
      </c>
      <c r="G13998" t="s">
        <v>65</v>
      </c>
      <c r="H13998" t="s">
        <v>44</v>
      </c>
      <c r="I13998" t="s">
        <v>2192</v>
      </c>
      <c r="J13998" s="10">
        <v>5</v>
      </c>
      <c r="K13998" t="b">
        <v>1</v>
      </c>
    </row>
    <row r="13999" spans="1:11">
      <c r="A13999" s="12">
        <v>43390</v>
      </c>
      <c r="B13999">
        <v>2018</v>
      </c>
      <c r="C13999">
        <v>10</v>
      </c>
      <c r="D13999" s="11">
        <v>43374</v>
      </c>
      <c r="E13999" t="s">
        <v>2182</v>
      </c>
      <c r="F13999">
        <v>3</v>
      </c>
      <c r="G13999" t="s">
        <v>65</v>
      </c>
      <c r="H13999" t="s">
        <v>45</v>
      </c>
      <c r="I13999" t="s">
        <v>2193</v>
      </c>
      <c r="J13999" s="10">
        <v>0</v>
      </c>
      <c r="K13999" t="b">
        <v>1</v>
      </c>
    </row>
    <row r="14000" spans="1:11">
      <c r="A14000" s="12">
        <v>43390</v>
      </c>
      <c r="B14000">
        <v>2018</v>
      </c>
      <c r="C14000">
        <v>10</v>
      </c>
      <c r="D14000" s="11">
        <v>43374</v>
      </c>
      <c r="E14000" t="s">
        <v>2182</v>
      </c>
      <c r="F14000">
        <v>3</v>
      </c>
      <c r="G14000" t="s">
        <v>65</v>
      </c>
      <c r="H14000" t="s">
        <v>46</v>
      </c>
      <c r="I14000" t="s">
        <v>2194</v>
      </c>
      <c r="J14000" s="10">
        <v>1</v>
      </c>
      <c r="K14000" t="b">
        <v>1</v>
      </c>
    </row>
    <row r="14001" spans="1:11">
      <c r="A14001" s="12">
        <v>43390</v>
      </c>
      <c r="B14001">
        <v>2018</v>
      </c>
      <c r="C14001">
        <v>10</v>
      </c>
      <c r="D14001" s="11">
        <v>43374</v>
      </c>
      <c r="E14001" t="s">
        <v>2182</v>
      </c>
      <c r="F14001">
        <v>3</v>
      </c>
      <c r="G14001" t="s">
        <v>65</v>
      </c>
      <c r="H14001" t="s">
        <v>47</v>
      </c>
      <c r="I14001" t="s">
        <v>2195</v>
      </c>
      <c r="J14001" s="10">
        <v>4</v>
      </c>
      <c r="K14001" t="b">
        <v>1</v>
      </c>
    </row>
    <row r="14002" spans="1:11">
      <c r="A14002" s="12">
        <v>43391</v>
      </c>
      <c r="B14002">
        <v>2018</v>
      </c>
      <c r="C14002">
        <v>10</v>
      </c>
      <c r="D14002" s="11">
        <v>43374</v>
      </c>
      <c r="E14002" t="s">
        <v>2182</v>
      </c>
      <c r="F14002">
        <v>4</v>
      </c>
      <c r="G14002" t="s">
        <v>53</v>
      </c>
      <c r="H14002" t="s">
        <v>40</v>
      </c>
      <c r="I14002" t="s">
        <v>2188</v>
      </c>
      <c r="J14002" s="10">
        <v>4.34</v>
      </c>
      <c r="K14002" t="b">
        <v>1</v>
      </c>
    </row>
    <row r="14003" spans="1:11">
      <c r="A14003" s="12">
        <v>43391</v>
      </c>
      <c r="B14003">
        <v>2018</v>
      </c>
      <c r="C14003">
        <v>10</v>
      </c>
      <c r="D14003" s="11">
        <v>43374</v>
      </c>
      <c r="E14003" t="s">
        <v>2182</v>
      </c>
      <c r="F14003">
        <v>4</v>
      </c>
      <c r="G14003" t="s">
        <v>53</v>
      </c>
      <c r="H14003" t="s">
        <v>41</v>
      </c>
      <c r="I14003" t="s">
        <v>2189</v>
      </c>
      <c r="J14003" s="10">
        <v>3</v>
      </c>
      <c r="K14003" t="b">
        <v>1</v>
      </c>
    </row>
    <row r="14004" spans="1:11">
      <c r="A14004" s="12">
        <v>43391</v>
      </c>
      <c r="B14004">
        <v>2018</v>
      </c>
      <c r="C14004">
        <v>10</v>
      </c>
      <c r="D14004" s="11">
        <v>43374</v>
      </c>
      <c r="E14004" t="s">
        <v>2182</v>
      </c>
      <c r="F14004">
        <v>4</v>
      </c>
      <c r="G14004" t="s">
        <v>53</v>
      </c>
      <c r="H14004" t="s">
        <v>42</v>
      </c>
      <c r="I14004" t="s">
        <v>2190</v>
      </c>
      <c r="J14004" s="10">
        <v>1.1</v>
      </c>
      <c r="K14004" t="b">
        <v>1</v>
      </c>
    </row>
    <row r="14005" spans="1:11">
      <c r="A14005" s="12">
        <v>43391</v>
      </c>
      <c r="B14005">
        <v>2018</v>
      </c>
      <c r="C14005">
        <v>10</v>
      </c>
      <c r="D14005" s="11">
        <v>43374</v>
      </c>
      <c r="E14005" t="s">
        <v>2182</v>
      </c>
      <c r="F14005">
        <v>4</v>
      </c>
      <c r="G14005" t="s">
        <v>53</v>
      </c>
      <c r="H14005" t="s">
        <v>43</v>
      </c>
      <c r="I14005" t="s">
        <v>2191</v>
      </c>
      <c r="J14005" s="10">
        <v>14</v>
      </c>
      <c r="K14005" t="b">
        <v>1</v>
      </c>
    </row>
    <row r="14006" spans="1:11">
      <c r="A14006" s="12">
        <v>43391</v>
      </c>
      <c r="B14006">
        <v>2018</v>
      </c>
      <c r="C14006">
        <v>10</v>
      </c>
      <c r="D14006" s="11">
        <v>43374</v>
      </c>
      <c r="E14006" t="s">
        <v>2182</v>
      </c>
      <c r="F14006">
        <v>4</v>
      </c>
      <c r="G14006" t="s">
        <v>53</v>
      </c>
      <c r="H14006" t="s">
        <v>44</v>
      </c>
      <c r="I14006" t="s">
        <v>2192</v>
      </c>
      <c r="J14006" s="10">
        <v>9</v>
      </c>
      <c r="K14006" t="b">
        <v>1</v>
      </c>
    </row>
    <row r="14007" spans="1:11">
      <c r="A14007" s="12">
        <v>43391</v>
      </c>
      <c r="B14007">
        <v>2018</v>
      </c>
      <c r="C14007">
        <v>10</v>
      </c>
      <c r="D14007" s="11">
        <v>43374</v>
      </c>
      <c r="E14007" t="s">
        <v>2182</v>
      </c>
      <c r="F14007">
        <v>4</v>
      </c>
      <c r="G14007" t="s">
        <v>53</v>
      </c>
      <c r="H14007" t="s">
        <v>45</v>
      </c>
      <c r="I14007" t="s">
        <v>2193</v>
      </c>
      <c r="J14007" s="10">
        <v>1</v>
      </c>
      <c r="K14007" t="b">
        <v>1</v>
      </c>
    </row>
    <row r="14008" spans="1:11">
      <c r="A14008" s="12">
        <v>43391</v>
      </c>
      <c r="B14008">
        <v>2018</v>
      </c>
      <c r="C14008">
        <v>10</v>
      </c>
      <c r="D14008" s="11">
        <v>43374</v>
      </c>
      <c r="E14008" t="s">
        <v>2182</v>
      </c>
      <c r="F14008">
        <v>4</v>
      </c>
      <c r="G14008" t="s">
        <v>53</v>
      </c>
      <c r="H14008" t="s">
        <v>46</v>
      </c>
      <c r="I14008" t="s">
        <v>2194</v>
      </c>
      <c r="J14008" s="10">
        <v>10</v>
      </c>
      <c r="K14008" t="b">
        <v>1</v>
      </c>
    </row>
    <row r="14009" spans="1:11">
      <c r="A14009" s="12">
        <v>43391</v>
      </c>
      <c r="B14009">
        <v>2018</v>
      </c>
      <c r="C14009">
        <v>10</v>
      </c>
      <c r="D14009" s="11">
        <v>43374</v>
      </c>
      <c r="E14009" t="s">
        <v>2182</v>
      </c>
      <c r="F14009">
        <v>4</v>
      </c>
      <c r="G14009" t="s">
        <v>53</v>
      </c>
      <c r="H14009" t="s">
        <v>47</v>
      </c>
      <c r="I14009" t="s">
        <v>2195</v>
      </c>
      <c r="J14009" s="10">
        <v>5</v>
      </c>
      <c r="K14009" t="b">
        <v>1</v>
      </c>
    </row>
    <row r="14010" spans="1:11">
      <c r="A14010" s="12">
        <v>43392</v>
      </c>
      <c r="B14010">
        <v>2018</v>
      </c>
      <c r="C14010">
        <v>10</v>
      </c>
      <c r="D14010" s="11">
        <v>43374</v>
      </c>
      <c r="E14010" t="s">
        <v>2182</v>
      </c>
      <c r="F14010">
        <v>5</v>
      </c>
      <c r="G14010" t="s">
        <v>55</v>
      </c>
      <c r="H14010" t="s">
        <v>40</v>
      </c>
      <c r="I14010" t="s">
        <v>2188</v>
      </c>
      <c r="J14010" s="10">
        <v>4</v>
      </c>
      <c r="K14010" t="b">
        <v>1</v>
      </c>
    </row>
    <row r="14011" spans="1:11">
      <c r="A14011" s="12">
        <v>43392</v>
      </c>
      <c r="B14011">
        <v>2018</v>
      </c>
      <c r="C14011">
        <v>10</v>
      </c>
      <c r="D14011" s="11">
        <v>43374</v>
      </c>
      <c r="E14011" t="s">
        <v>2182</v>
      </c>
      <c r="F14011">
        <v>5</v>
      </c>
      <c r="G14011" t="s">
        <v>55</v>
      </c>
      <c r="H14011" t="s">
        <v>41</v>
      </c>
      <c r="I14011" t="s">
        <v>2189</v>
      </c>
      <c r="J14011" s="10">
        <v>2.066</v>
      </c>
      <c r="K14011" t="b">
        <v>1</v>
      </c>
    </row>
    <row r="14012" spans="1:11">
      <c r="A14012" s="12">
        <v>43392</v>
      </c>
      <c r="B14012">
        <v>2018</v>
      </c>
      <c r="C14012">
        <v>10</v>
      </c>
      <c r="D14012" s="11">
        <v>43374</v>
      </c>
      <c r="E14012" t="s">
        <v>2182</v>
      </c>
      <c r="F14012">
        <v>5</v>
      </c>
      <c r="G14012" t="s">
        <v>55</v>
      </c>
      <c r="H14012" t="s">
        <v>42</v>
      </c>
      <c r="I14012" t="s">
        <v>2190</v>
      </c>
      <c r="J14012" s="10">
        <v>0</v>
      </c>
      <c r="K14012" t="b">
        <v>1</v>
      </c>
    </row>
    <row r="14013" spans="1:11">
      <c r="A14013" s="12">
        <v>43392</v>
      </c>
      <c r="B14013">
        <v>2018</v>
      </c>
      <c r="C14013">
        <v>10</v>
      </c>
      <c r="D14013" s="11">
        <v>43374</v>
      </c>
      <c r="E14013" t="s">
        <v>2182</v>
      </c>
      <c r="F14013">
        <v>5</v>
      </c>
      <c r="G14013" t="s">
        <v>55</v>
      </c>
      <c r="H14013" t="s">
        <v>43</v>
      </c>
      <c r="I14013" t="s">
        <v>2191</v>
      </c>
      <c r="J14013" s="10">
        <v>10.6</v>
      </c>
      <c r="K14013" t="b">
        <v>1</v>
      </c>
    </row>
    <row r="14014" spans="1:11">
      <c r="A14014" s="12">
        <v>43392</v>
      </c>
      <c r="B14014">
        <v>2018</v>
      </c>
      <c r="C14014">
        <v>10</v>
      </c>
      <c r="D14014" s="11">
        <v>43374</v>
      </c>
      <c r="E14014" t="s">
        <v>2182</v>
      </c>
      <c r="F14014">
        <v>5</v>
      </c>
      <c r="G14014" t="s">
        <v>55</v>
      </c>
      <c r="H14014" t="s">
        <v>44</v>
      </c>
      <c r="I14014" t="s">
        <v>2192</v>
      </c>
      <c r="J14014" s="10">
        <v>5</v>
      </c>
      <c r="K14014" t="b">
        <v>1</v>
      </c>
    </row>
    <row r="14015" spans="1:11">
      <c r="A14015" s="12">
        <v>43392</v>
      </c>
      <c r="B14015">
        <v>2018</v>
      </c>
      <c r="C14015">
        <v>10</v>
      </c>
      <c r="D14015" s="11">
        <v>43374</v>
      </c>
      <c r="E14015" t="s">
        <v>2182</v>
      </c>
      <c r="F14015">
        <v>5</v>
      </c>
      <c r="G14015" t="s">
        <v>55</v>
      </c>
      <c r="H14015" t="s">
        <v>45</v>
      </c>
      <c r="I14015" t="s">
        <v>2193</v>
      </c>
      <c r="J14015" s="10">
        <v>2</v>
      </c>
      <c r="K14015" t="b">
        <v>1</v>
      </c>
    </row>
    <row r="14016" spans="1:11">
      <c r="A14016" s="12">
        <v>43392</v>
      </c>
      <c r="B14016">
        <v>2018</v>
      </c>
      <c r="C14016">
        <v>10</v>
      </c>
      <c r="D14016" s="11">
        <v>43374</v>
      </c>
      <c r="E14016" t="s">
        <v>2182</v>
      </c>
      <c r="F14016">
        <v>5</v>
      </c>
      <c r="G14016" t="s">
        <v>55</v>
      </c>
      <c r="H14016" t="s">
        <v>46</v>
      </c>
      <c r="I14016" t="s">
        <v>2194</v>
      </c>
      <c r="J14016" s="10">
        <v>6</v>
      </c>
      <c r="K14016" t="b">
        <v>1</v>
      </c>
    </row>
    <row r="14017" spans="1:11">
      <c r="A14017" s="12">
        <v>43392</v>
      </c>
      <c r="B14017">
        <v>2018</v>
      </c>
      <c r="C14017">
        <v>10</v>
      </c>
      <c r="D14017" s="11">
        <v>43374</v>
      </c>
      <c r="E14017" t="s">
        <v>2182</v>
      </c>
      <c r="F14017">
        <v>5</v>
      </c>
      <c r="G14017" t="s">
        <v>55</v>
      </c>
      <c r="H14017" t="s">
        <v>47</v>
      </c>
      <c r="I14017" t="s">
        <v>2195</v>
      </c>
      <c r="J14017" s="10">
        <v>4</v>
      </c>
      <c r="K14017" t="b">
        <v>1</v>
      </c>
    </row>
    <row r="14018" spans="1:11">
      <c r="A14018" s="12">
        <v>43393</v>
      </c>
      <c r="B14018">
        <v>2018</v>
      </c>
      <c r="C14018">
        <v>10</v>
      </c>
      <c r="D14018" s="11">
        <v>43374</v>
      </c>
      <c r="E14018" t="s">
        <v>2182</v>
      </c>
      <c r="F14018">
        <v>6</v>
      </c>
      <c r="G14018" t="s">
        <v>57</v>
      </c>
      <c r="H14018" t="s">
        <v>40</v>
      </c>
      <c r="I14018" t="s">
        <v>2188</v>
      </c>
      <c r="J14018" s="10">
        <v>2.34</v>
      </c>
      <c r="K14018" t="b">
        <v>1</v>
      </c>
    </row>
    <row r="14019" spans="1:11">
      <c r="A14019" s="12">
        <v>43393</v>
      </c>
      <c r="B14019">
        <v>2018</v>
      </c>
      <c r="C14019">
        <v>10</v>
      </c>
      <c r="D14019" s="11">
        <v>43374</v>
      </c>
      <c r="E14019" t="s">
        <v>2182</v>
      </c>
      <c r="F14019">
        <v>6</v>
      </c>
      <c r="G14019" t="s">
        <v>57</v>
      </c>
      <c r="H14019" t="s">
        <v>41</v>
      </c>
      <c r="I14019" t="s">
        <v>2189</v>
      </c>
      <c r="J14019" s="10">
        <v>2.02</v>
      </c>
      <c r="K14019" t="b">
        <v>1</v>
      </c>
    </row>
    <row r="14020" spans="1:11">
      <c r="A14020" s="12">
        <v>43393</v>
      </c>
      <c r="B14020">
        <v>2018</v>
      </c>
      <c r="C14020">
        <v>10</v>
      </c>
      <c r="D14020" s="11">
        <v>43374</v>
      </c>
      <c r="E14020" t="s">
        <v>2182</v>
      </c>
      <c r="F14020">
        <v>6</v>
      </c>
      <c r="G14020" t="s">
        <v>57</v>
      </c>
      <c r="H14020" t="s">
        <v>42</v>
      </c>
      <c r="I14020" t="s">
        <v>2190</v>
      </c>
      <c r="J14020" s="10">
        <v>2</v>
      </c>
      <c r="K14020" t="b">
        <v>1</v>
      </c>
    </row>
    <row r="14021" spans="1:11">
      <c r="A14021" s="12">
        <v>43393</v>
      </c>
      <c r="B14021">
        <v>2018</v>
      </c>
      <c r="C14021">
        <v>10</v>
      </c>
      <c r="D14021" s="11">
        <v>43374</v>
      </c>
      <c r="E14021" t="s">
        <v>2182</v>
      </c>
      <c r="F14021">
        <v>6</v>
      </c>
      <c r="G14021" t="s">
        <v>57</v>
      </c>
      <c r="H14021" t="s">
        <v>43</v>
      </c>
      <c r="I14021" t="s">
        <v>2191</v>
      </c>
      <c r="J14021" s="10">
        <v>33</v>
      </c>
      <c r="K14021" t="b">
        <v>1</v>
      </c>
    </row>
    <row r="14022" spans="1:11">
      <c r="A14022" s="12">
        <v>43393</v>
      </c>
      <c r="B14022">
        <v>2018</v>
      </c>
      <c r="C14022">
        <v>10</v>
      </c>
      <c r="D14022" s="11">
        <v>43374</v>
      </c>
      <c r="E14022" t="s">
        <v>2182</v>
      </c>
      <c r="F14022">
        <v>6</v>
      </c>
      <c r="G14022" t="s">
        <v>57</v>
      </c>
      <c r="H14022" t="s">
        <v>44</v>
      </c>
      <c r="I14022" t="s">
        <v>2192</v>
      </c>
      <c r="J14022" s="10">
        <v>9</v>
      </c>
      <c r="K14022" t="b">
        <v>1</v>
      </c>
    </row>
    <row r="14023" spans="1:11">
      <c r="A14023" s="12">
        <v>43393</v>
      </c>
      <c r="B14023">
        <v>2018</v>
      </c>
      <c r="C14023">
        <v>10</v>
      </c>
      <c r="D14023" s="11">
        <v>43374</v>
      </c>
      <c r="E14023" t="s">
        <v>2182</v>
      </c>
      <c r="F14023">
        <v>6</v>
      </c>
      <c r="G14023" t="s">
        <v>57</v>
      </c>
      <c r="H14023" t="s">
        <v>45</v>
      </c>
      <c r="I14023" t="s">
        <v>2193</v>
      </c>
      <c r="J14023" s="10">
        <v>0</v>
      </c>
      <c r="K14023" t="b">
        <v>1</v>
      </c>
    </row>
    <row r="14024" spans="1:11">
      <c r="A14024" s="12">
        <v>43393</v>
      </c>
      <c r="B14024">
        <v>2018</v>
      </c>
      <c r="C14024">
        <v>10</v>
      </c>
      <c r="D14024" s="11">
        <v>43374</v>
      </c>
      <c r="E14024" t="s">
        <v>2182</v>
      </c>
      <c r="F14024">
        <v>6</v>
      </c>
      <c r="G14024" t="s">
        <v>57</v>
      </c>
      <c r="H14024" t="s">
        <v>46</v>
      </c>
      <c r="I14024" t="s">
        <v>2194</v>
      </c>
      <c r="J14024" s="10">
        <v>34</v>
      </c>
      <c r="K14024" t="b">
        <v>1</v>
      </c>
    </row>
    <row r="14025" spans="1:11">
      <c r="A14025" s="12">
        <v>43393</v>
      </c>
      <c r="B14025">
        <v>2018</v>
      </c>
      <c r="C14025">
        <v>10</v>
      </c>
      <c r="D14025" s="11">
        <v>43374</v>
      </c>
      <c r="E14025" t="s">
        <v>2182</v>
      </c>
      <c r="F14025">
        <v>6</v>
      </c>
      <c r="G14025" t="s">
        <v>57</v>
      </c>
      <c r="H14025" t="s">
        <v>47</v>
      </c>
      <c r="I14025" t="s">
        <v>2195</v>
      </c>
      <c r="J14025" s="10">
        <v>5</v>
      </c>
      <c r="K14025" t="b">
        <v>1</v>
      </c>
    </row>
    <row r="14026" spans="1:11">
      <c r="A14026" s="12">
        <v>43394</v>
      </c>
      <c r="B14026">
        <v>2018</v>
      </c>
      <c r="C14026">
        <v>10</v>
      </c>
      <c r="D14026" s="11">
        <v>43374</v>
      </c>
      <c r="E14026" t="s">
        <v>2182</v>
      </c>
      <c r="F14026">
        <v>7</v>
      </c>
      <c r="G14026" t="s">
        <v>59</v>
      </c>
      <c r="H14026" t="s">
        <v>40</v>
      </c>
      <c r="I14026" t="s">
        <v>2188</v>
      </c>
      <c r="J14026" s="10">
        <v>6.67</v>
      </c>
      <c r="K14026" t="b">
        <v>1</v>
      </c>
    </row>
    <row r="14027" spans="1:11">
      <c r="A14027" s="12">
        <v>43394</v>
      </c>
      <c r="B14027">
        <v>2018</v>
      </c>
      <c r="C14027">
        <v>10</v>
      </c>
      <c r="D14027" s="11">
        <v>43374</v>
      </c>
      <c r="E14027" t="s">
        <v>2182</v>
      </c>
      <c r="F14027">
        <v>7</v>
      </c>
      <c r="G14027" t="s">
        <v>59</v>
      </c>
      <c r="H14027" t="s">
        <v>41</v>
      </c>
      <c r="I14027" t="s">
        <v>2189</v>
      </c>
      <c r="J14027" s="10">
        <v>8.69</v>
      </c>
      <c r="K14027" t="b">
        <v>1</v>
      </c>
    </row>
    <row r="14028" spans="1:11">
      <c r="A14028" s="12">
        <v>43394</v>
      </c>
      <c r="B14028">
        <v>2018</v>
      </c>
      <c r="C14028">
        <v>10</v>
      </c>
      <c r="D14028" s="11">
        <v>43374</v>
      </c>
      <c r="E14028" t="s">
        <v>2182</v>
      </c>
      <c r="F14028">
        <v>7</v>
      </c>
      <c r="G14028" t="s">
        <v>59</v>
      </c>
      <c r="H14028" t="s">
        <v>42</v>
      </c>
      <c r="I14028" t="s">
        <v>2190</v>
      </c>
      <c r="J14028" s="10">
        <v>1</v>
      </c>
      <c r="K14028" t="b">
        <v>1</v>
      </c>
    </row>
    <row r="14029" spans="1:11">
      <c r="A14029" s="12">
        <v>43394</v>
      </c>
      <c r="B14029">
        <v>2018</v>
      </c>
      <c r="C14029">
        <v>10</v>
      </c>
      <c r="D14029" s="11">
        <v>43374</v>
      </c>
      <c r="E14029" t="s">
        <v>2182</v>
      </c>
      <c r="F14029">
        <v>7</v>
      </c>
      <c r="G14029" t="s">
        <v>59</v>
      </c>
      <c r="H14029" t="s">
        <v>43</v>
      </c>
      <c r="I14029" t="s">
        <v>2191</v>
      </c>
      <c r="J14029" s="10">
        <v>56.3</v>
      </c>
      <c r="K14029" t="b">
        <v>1</v>
      </c>
    </row>
    <row r="14030" spans="1:11">
      <c r="A14030" s="12">
        <v>43394</v>
      </c>
      <c r="B14030">
        <v>2018</v>
      </c>
      <c r="C14030">
        <v>10</v>
      </c>
      <c r="D14030" s="11">
        <v>43374</v>
      </c>
      <c r="E14030" t="s">
        <v>2182</v>
      </c>
      <c r="F14030">
        <v>7</v>
      </c>
      <c r="G14030" t="s">
        <v>59</v>
      </c>
      <c r="H14030" t="s">
        <v>44</v>
      </c>
      <c r="I14030" t="s">
        <v>2192</v>
      </c>
      <c r="J14030" s="10">
        <v>5</v>
      </c>
      <c r="K14030" t="b">
        <v>1</v>
      </c>
    </row>
    <row r="14031" spans="1:11">
      <c r="A14031" s="12">
        <v>43394</v>
      </c>
      <c r="B14031">
        <v>2018</v>
      </c>
      <c r="C14031">
        <v>10</v>
      </c>
      <c r="D14031" s="11">
        <v>43374</v>
      </c>
      <c r="E14031" t="s">
        <v>2182</v>
      </c>
      <c r="F14031">
        <v>7</v>
      </c>
      <c r="G14031" t="s">
        <v>59</v>
      </c>
      <c r="H14031" t="s">
        <v>45</v>
      </c>
      <c r="I14031" t="s">
        <v>2193</v>
      </c>
      <c r="J14031" s="10">
        <v>3</v>
      </c>
      <c r="K14031" t="b">
        <v>1</v>
      </c>
    </row>
    <row r="14032" spans="1:11">
      <c r="A14032" s="12">
        <v>43394</v>
      </c>
      <c r="B14032">
        <v>2018</v>
      </c>
      <c r="C14032">
        <v>10</v>
      </c>
      <c r="D14032" s="11">
        <v>43374</v>
      </c>
      <c r="E14032" t="s">
        <v>2182</v>
      </c>
      <c r="F14032">
        <v>7</v>
      </c>
      <c r="G14032" t="s">
        <v>59</v>
      </c>
      <c r="H14032" t="s">
        <v>46</v>
      </c>
      <c r="I14032" t="s">
        <v>2194</v>
      </c>
      <c r="J14032" s="10">
        <v>5</v>
      </c>
      <c r="K14032" t="b">
        <v>1</v>
      </c>
    </row>
    <row r="14033" spans="1:11">
      <c r="A14033" s="12">
        <v>43394</v>
      </c>
      <c r="B14033">
        <v>2018</v>
      </c>
      <c r="C14033">
        <v>10</v>
      </c>
      <c r="D14033" s="11">
        <v>43374</v>
      </c>
      <c r="E14033" t="s">
        <v>2182</v>
      </c>
      <c r="F14033">
        <v>7</v>
      </c>
      <c r="G14033" t="s">
        <v>59</v>
      </c>
      <c r="H14033" t="s">
        <v>47</v>
      </c>
      <c r="I14033" t="s">
        <v>2195</v>
      </c>
      <c r="J14033" s="10">
        <v>1</v>
      </c>
      <c r="K14033" t="b">
        <v>1</v>
      </c>
    </row>
    <row r="14034" spans="1:11">
      <c r="A14034" s="12">
        <v>43395</v>
      </c>
      <c r="B14034">
        <v>2018</v>
      </c>
      <c r="C14034">
        <v>10</v>
      </c>
      <c r="D14034" s="11">
        <v>43374</v>
      </c>
      <c r="E14034" t="s">
        <v>2182</v>
      </c>
      <c r="F14034">
        <v>1</v>
      </c>
      <c r="G14034" t="s">
        <v>61</v>
      </c>
      <c r="H14034" t="s">
        <v>40</v>
      </c>
      <c r="I14034" t="s">
        <v>2188</v>
      </c>
      <c r="J14034" s="10">
        <v>2.66</v>
      </c>
      <c r="K14034" t="b">
        <v>1</v>
      </c>
    </row>
    <row r="14035" spans="1:11">
      <c r="A14035" s="12">
        <v>43395</v>
      </c>
      <c r="B14035">
        <v>2018</v>
      </c>
      <c r="C14035">
        <v>10</v>
      </c>
      <c r="D14035" s="11">
        <v>43374</v>
      </c>
      <c r="E14035" t="s">
        <v>2182</v>
      </c>
      <c r="F14035">
        <v>1</v>
      </c>
      <c r="G14035" t="s">
        <v>61</v>
      </c>
      <c r="H14035" t="s">
        <v>41</v>
      </c>
      <c r="I14035" t="s">
        <v>2189</v>
      </c>
      <c r="J14035" s="10">
        <v>7.01</v>
      </c>
      <c r="K14035" t="b">
        <v>1</v>
      </c>
    </row>
    <row r="14036" spans="1:11">
      <c r="A14036" s="12">
        <v>43395</v>
      </c>
      <c r="B14036">
        <v>2018</v>
      </c>
      <c r="C14036">
        <v>10</v>
      </c>
      <c r="D14036" s="11">
        <v>43374</v>
      </c>
      <c r="E14036" t="s">
        <v>2182</v>
      </c>
      <c r="F14036">
        <v>1</v>
      </c>
      <c r="G14036" t="s">
        <v>61</v>
      </c>
      <c r="H14036" t="s">
        <v>42</v>
      </c>
      <c r="I14036" t="s">
        <v>2190</v>
      </c>
      <c r="J14036" s="10">
        <v>3.3</v>
      </c>
      <c r="K14036" t="b">
        <v>1</v>
      </c>
    </row>
    <row r="14037" spans="1:11">
      <c r="A14037" s="12">
        <v>43395</v>
      </c>
      <c r="B14037">
        <v>2018</v>
      </c>
      <c r="C14037">
        <v>10</v>
      </c>
      <c r="D14037" s="11">
        <v>43374</v>
      </c>
      <c r="E14037" t="s">
        <v>2182</v>
      </c>
      <c r="F14037">
        <v>1</v>
      </c>
      <c r="G14037" t="s">
        <v>61</v>
      </c>
      <c r="H14037" t="s">
        <v>43</v>
      </c>
      <c r="I14037" t="s">
        <v>2191</v>
      </c>
      <c r="J14037" s="10">
        <v>18.8</v>
      </c>
      <c r="K14037" t="b">
        <v>1</v>
      </c>
    </row>
    <row r="14038" spans="1:11">
      <c r="A14038" s="12">
        <v>43395</v>
      </c>
      <c r="B14038">
        <v>2018</v>
      </c>
      <c r="C14038">
        <v>10</v>
      </c>
      <c r="D14038" s="11">
        <v>43374</v>
      </c>
      <c r="E14038" t="s">
        <v>2182</v>
      </c>
      <c r="F14038">
        <v>1</v>
      </c>
      <c r="G14038" t="s">
        <v>61</v>
      </c>
      <c r="H14038" t="s">
        <v>44</v>
      </c>
      <c r="I14038" t="s">
        <v>2192</v>
      </c>
      <c r="J14038" s="10">
        <v>8</v>
      </c>
      <c r="K14038" t="b">
        <v>1</v>
      </c>
    </row>
    <row r="14039" spans="1:11">
      <c r="A14039" s="12">
        <v>43395</v>
      </c>
      <c r="B14039">
        <v>2018</v>
      </c>
      <c r="C14039">
        <v>10</v>
      </c>
      <c r="D14039" s="11">
        <v>43374</v>
      </c>
      <c r="E14039" t="s">
        <v>2182</v>
      </c>
      <c r="F14039">
        <v>1</v>
      </c>
      <c r="G14039" t="s">
        <v>61</v>
      </c>
      <c r="H14039" t="s">
        <v>45</v>
      </c>
      <c r="I14039" t="s">
        <v>2193</v>
      </c>
      <c r="J14039" s="10">
        <v>0</v>
      </c>
      <c r="K14039" t="b">
        <v>1</v>
      </c>
    </row>
    <row r="14040" spans="1:11">
      <c r="A14040" s="12">
        <v>43395</v>
      </c>
      <c r="B14040">
        <v>2018</v>
      </c>
      <c r="C14040">
        <v>10</v>
      </c>
      <c r="D14040" s="11">
        <v>43374</v>
      </c>
      <c r="E14040" t="s">
        <v>2182</v>
      </c>
      <c r="F14040">
        <v>1</v>
      </c>
      <c r="G14040" t="s">
        <v>61</v>
      </c>
      <c r="H14040" t="s">
        <v>46</v>
      </c>
      <c r="I14040" t="s">
        <v>2194</v>
      </c>
      <c r="J14040" s="10">
        <v>28</v>
      </c>
      <c r="K14040" t="b">
        <v>1</v>
      </c>
    </row>
    <row r="14041" spans="1:11">
      <c r="A14041" s="12">
        <v>43395</v>
      </c>
      <c r="B14041">
        <v>2018</v>
      </c>
      <c r="C14041">
        <v>10</v>
      </c>
      <c r="D14041" s="11">
        <v>43374</v>
      </c>
      <c r="E14041" t="s">
        <v>2182</v>
      </c>
      <c r="F14041">
        <v>1</v>
      </c>
      <c r="G14041" t="s">
        <v>61</v>
      </c>
      <c r="H14041" t="s">
        <v>47</v>
      </c>
      <c r="I14041" t="s">
        <v>2195</v>
      </c>
      <c r="J14041" s="10">
        <v>1.3</v>
      </c>
      <c r="K14041" t="b">
        <v>1</v>
      </c>
    </row>
    <row r="14042" spans="1:11">
      <c r="A14042" s="12">
        <v>43396</v>
      </c>
      <c r="B14042">
        <v>2018</v>
      </c>
      <c r="C14042">
        <v>10</v>
      </c>
      <c r="D14042" s="11">
        <v>43374</v>
      </c>
      <c r="E14042" t="s">
        <v>2182</v>
      </c>
      <c r="F14042">
        <v>2</v>
      </c>
      <c r="G14042" t="s">
        <v>63</v>
      </c>
      <c r="H14042" t="s">
        <v>40</v>
      </c>
      <c r="I14042" t="s">
        <v>2188</v>
      </c>
      <c r="J14042" s="10">
        <v>2.34</v>
      </c>
      <c r="K14042" t="b">
        <v>1</v>
      </c>
    </row>
    <row r="14043" spans="1:11">
      <c r="A14043" s="12">
        <v>43396</v>
      </c>
      <c r="B14043">
        <v>2018</v>
      </c>
      <c r="C14043">
        <v>10</v>
      </c>
      <c r="D14043" s="11">
        <v>43374</v>
      </c>
      <c r="E14043" t="s">
        <v>2182</v>
      </c>
      <c r="F14043">
        <v>2</v>
      </c>
      <c r="G14043" t="s">
        <v>63</v>
      </c>
      <c r="H14043" t="s">
        <v>41</v>
      </c>
      <c r="I14043" t="s">
        <v>2189</v>
      </c>
      <c r="J14043" s="10">
        <v>2</v>
      </c>
      <c r="K14043" t="b">
        <v>1</v>
      </c>
    </row>
    <row r="14044" spans="1:11">
      <c r="A14044" s="12">
        <v>43396</v>
      </c>
      <c r="B14044">
        <v>2018</v>
      </c>
      <c r="C14044">
        <v>10</v>
      </c>
      <c r="D14044" s="11">
        <v>43374</v>
      </c>
      <c r="E14044" t="s">
        <v>2182</v>
      </c>
      <c r="F14044">
        <v>2</v>
      </c>
      <c r="G14044" t="s">
        <v>63</v>
      </c>
      <c r="H14044" t="s">
        <v>42</v>
      </c>
      <c r="I14044" t="s">
        <v>2190</v>
      </c>
      <c r="J14044" s="10">
        <v>0.45</v>
      </c>
      <c r="K14044" t="b">
        <v>1</v>
      </c>
    </row>
    <row r="14045" spans="1:11">
      <c r="A14045" s="12">
        <v>43396</v>
      </c>
      <c r="B14045">
        <v>2018</v>
      </c>
      <c r="C14045">
        <v>10</v>
      </c>
      <c r="D14045" s="11">
        <v>43374</v>
      </c>
      <c r="E14045" t="s">
        <v>2182</v>
      </c>
      <c r="F14045">
        <v>2</v>
      </c>
      <c r="G14045" t="s">
        <v>63</v>
      </c>
      <c r="H14045" t="s">
        <v>43</v>
      </c>
      <c r="I14045" t="s">
        <v>2191</v>
      </c>
      <c r="J14045" s="10">
        <v>44.8</v>
      </c>
      <c r="K14045" t="b">
        <v>1</v>
      </c>
    </row>
    <row r="14046" spans="1:11">
      <c r="A14046" s="12">
        <v>43396</v>
      </c>
      <c r="B14046">
        <v>2018</v>
      </c>
      <c r="C14046">
        <v>10</v>
      </c>
      <c r="D14046" s="11">
        <v>43374</v>
      </c>
      <c r="E14046" t="s">
        <v>2182</v>
      </c>
      <c r="F14046">
        <v>2</v>
      </c>
      <c r="G14046" t="s">
        <v>63</v>
      </c>
      <c r="H14046" t="s">
        <v>44</v>
      </c>
      <c r="I14046" t="s">
        <v>2192</v>
      </c>
      <c r="J14046" s="10">
        <v>9</v>
      </c>
      <c r="K14046" t="b">
        <v>1</v>
      </c>
    </row>
    <row r="14047" spans="1:11">
      <c r="A14047" s="12">
        <v>43396</v>
      </c>
      <c r="B14047">
        <v>2018</v>
      </c>
      <c r="C14047">
        <v>10</v>
      </c>
      <c r="D14047" s="11">
        <v>43374</v>
      </c>
      <c r="E14047" t="s">
        <v>2182</v>
      </c>
      <c r="F14047">
        <v>2</v>
      </c>
      <c r="G14047" t="s">
        <v>63</v>
      </c>
      <c r="H14047" t="s">
        <v>45</v>
      </c>
      <c r="I14047" t="s">
        <v>2193</v>
      </c>
      <c r="J14047" s="10">
        <v>1</v>
      </c>
      <c r="K14047" t="b">
        <v>1</v>
      </c>
    </row>
    <row r="14048" spans="1:11">
      <c r="A14048" s="12">
        <v>43396</v>
      </c>
      <c r="B14048">
        <v>2018</v>
      </c>
      <c r="C14048">
        <v>10</v>
      </c>
      <c r="D14048" s="11">
        <v>43374</v>
      </c>
      <c r="E14048" t="s">
        <v>2182</v>
      </c>
      <c r="F14048">
        <v>2</v>
      </c>
      <c r="G14048" t="s">
        <v>63</v>
      </c>
      <c r="H14048" t="s">
        <v>46</v>
      </c>
      <c r="I14048" t="s">
        <v>2194</v>
      </c>
      <c r="J14048" s="10">
        <v>11</v>
      </c>
      <c r="K14048" t="b">
        <v>1</v>
      </c>
    </row>
    <row r="14049" spans="1:11">
      <c r="A14049" s="12">
        <v>43396</v>
      </c>
      <c r="B14049">
        <v>2018</v>
      </c>
      <c r="C14049">
        <v>10</v>
      </c>
      <c r="D14049" s="11">
        <v>43374</v>
      </c>
      <c r="E14049" t="s">
        <v>2182</v>
      </c>
      <c r="F14049">
        <v>2</v>
      </c>
      <c r="G14049" t="s">
        <v>63</v>
      </c>
      <c r="H14049" t="s">
        <v>47</v>
      </c>
      <c r="I14049" t="s">
        <v>2195</v>
      </c>
      <c r="J14049" s="10">
        <v>3</v>
      </c>
      <c r="K14049" t="b">
        <v>1</v>
      </c>
    </row>
    <row r="14050" spans="1:11">
      <c r="A14050" s="12">
        <v>43397</v>
      </c>
      <c r="B14050">
        <v>2018</v>
      </c>
      <c r="C14050">
        <v>10</v>
      </c>
      <c r="D14050" s="11">
        <v>43374</v>
      </c>
      <c r="E14050" t="s">
        <v>2182</v>
      </c>
      <c r="F14050">
        <v>3</v>
      </c>
      <c r="G14050" t="s">
        <v>65</v>
      </c>
      <c r="H14050" t="s">
        <v>40</v>
      </c>
      <c r="I14050" t="s">
        <v>2188</v>
      </c>
      <c r="J14050" s="10">
        <v>4</v>
      </c>
      <c r="K14050" t="b">
        <v>1</v>
      </c>
    </row>
    <row r="14051" spans="1:11">
      <c r="A14051" s="12">
        <v>43397</v>
      </c>
      <c r="B14051">
        <v>2018</v>
      </c>
      <c r="C14051">
        <v>10</v>
      </c>
      <c r="D14051" s="11">
        <v>43374</v>
      </c>
      <c r="E14051" t="s">
        <v>2182</v>
      </c>
      <c r="F14051">
        <v>3</v>
      </c>
      <c r="G14051" t="s">
        <v>65</v>
      </c>
      <c r="H14051" t="s">
        <v>41</v>
      </c>
      <c r="I14051" t="s">
        <v>2189</v>
      </c>
      <c r="J14051" s="10">
        <v>2.109</v>
      </c>
      <c r="K14051" t="b">
        <v>1</v>
      </c>
    </row>
    <row r="14052" spans="1:11">
      <c r="A14052" s="12">
        <v>43397</v>
      </c>
      <c r="B14052">
        <v>2018</v>
      </c>
      <c r="C14052">
        <v>10</v>
      </c>
      <c r="D14052" s="11">
        <v>43374</v>
      </c>
      <c r="E14052" t="s">
        <v>2182</v>
      </c>
      <c r="F14052">
        <v>3</v>
      </c>
      <c r="G14052" t="s">
        <v>65</v>
      </c>
      <c r="H14052" t="s">
        <v>42</v>
      </c>
      <c r="I14052" t="s">
        <v>2190</v>
      </c>
      <c r="J14052" s="10">
        <v>5</v>
      </c>
      <c r="K14052" t="b">
        <v>1</v>
      </c>
    </row>
    <row r="14053" spans="1:11">
      <c r="A14053" s="12">
        <v>43397</v>
      </c>
      <c r="B14053">
        <v>2018</v>
      </c>
      <c r="C14053">
        <v>10</v>
      </c>
      <c r="D14053" s="11">
        <v>43374</v>
      </c>
      <c r="E14053" t="s">
        <v>2182</v>
      </c>
      <c r="F14053">
        <v>3</v>
      </c>
      <c r="G14053" t="s">
        <v>65</v>
      </c>
      <c r="H14053" t="s">
        <v>43</v>
      </c>
      <c r="I14053" t="s">
        <v>2191</v>
      </c>
      <c r="J14053" s="10">
        <v>37.2</v>
      </c>
      <c r="K14053" t="b">
        <v>1</v>
      </c>
    </row>
    <row r="14054" spans="1:11">
      <c r="A14054" s="12">
        <v>43397</v>
      </c>
      <c r="B14054">
        <v>2018</v>
      </c>
      <c r="C14054">
        <v>10</v>
      </c>
      <c r="D14054" s="11">
        <v>43374</v>
      </c>
      <c r="E14054" t="s">
        <v>2182</v>
      </c>
      <c r="F14054">
        <v>3</v>
      </c>
      <c r="G14054" t="s">
        <v>65</v>
      </c>
      <c r="H14054" t="s">
        <v>44</v>
      </c>
      <c r="I14054" t="s">
        <v>2192</v>
      </c>
      <c r="J14054" s="10">
        <v>7</v>
      </c>
      <c r="K14054" t="b">
        <v>1</v>
      </c>
    </row>
    <row r="14055" spans="1:11">
      <c r="A14055" s="12">
        <v>43397</v>
      </c>
      <c r="B14055">
        <v>2018</v>
      </c>
      <c r="C14055">
        <v>10</v>
      </c>
      <c r="D14055" s="11">
        <v>43374</v>
      </c>
      <c r="E14055" t="s">
        <v>2182</v>
      </c>
      <c r="F14055">
        <v>3</v>
      </c>
      <c r="G14055" t="s">
        <v>65</v>
      </c>
      <c r="H14055" t="s">
        <v>45</v>
      </c>
      <c r="I14055" t="s">
        <v>2193</v>
      </c>
      <c r="J14055" s="10">
        <v>0</v>
      </c>
      <c r="K14055" t="b">
        <v>1</v>
      </c>
    </row>
    <row r="14056" spans="1:11">
      <c r="A14056" s="12">
        <v>43397</v>
      </c>
      <c r="B14056">
        <v>2018</v>
      </c>
      <c r="C14056">
        <v>10</v>
      </c>
      <c r="D14056" s="11">
        <v>43374</v>
      </c>
      <c r="E14056" t="s">
        <v>2182</v>
      </c>
      <c r="F14056">
        <v>3</v>
      </c>
      <c r="G14056" t="s">
        <v>65</v>
      </c>
      <c r="H14056" t="s">
        <v>46</v>
      </c>
      <c r="I14056" t="s">
        <v>2194</v>
      </c>
      <c r="J14056" s="10">
        <v>10</v>
      </c>
      <c r="K14056" t="b">
        <v>1</v>
      </c>
    </row>
    <row r="14057" spans="1:11">
      <c r="A14057" s="12">
        <v>43397</v>
      </c>
      <c r="B14057">
        <v>2018</v>
      </c>
      <c r="C14057">
        <v>10</v>
      </c>
      <c r="D14057" s="11">
        <v>43374</v>
      </c>
      <c r="E14057" t="s">
        <v>2182</v>
      </c>
      <c r="F14057">
        <v>3</v>
      </c>
      <c r="G14057" t="s">
        <v>65</v>
      </c>
      <c r="H14057" t="s">
        <v>47</v>
      </c>
      <c r="I14057" t="s">
        <v>2195</v>
      </c>
      <c r="J14057" s="10">
        <v>1.5</v>
      </c>
      <c r="K14057" t="b">
        <v>1</v>
      </c>
    </row>
    <row r="14058" spans="1:11">
      <c r="A14058" s="12">
        <v>43398</v>
      </c>
      <c r="B14058">
        <v>2018</v>
      </c>
      <c r="C14058">
        <v>10</v>
      </c>
      <c r="D14058" s="11">
        <v>43374</v>
      </c>
      <c r="E14058" t="s">
        <v>2182</v>
      </c>
      <c r="F14058">
        <v>4</v>
      </c>
      <c r="G14058" t="s">
        <v>53</v>
      </c>
      <c r="H14058" t="s">
        <v>40</v>
      </c>
      <c r="I14058" t="s">
        <v>2188</v>
      </c>
      <c r="J14058" s="10">
        <v>5.33</v>
      </c>
      <c r="K14058" t="b">
        <v>1</v>
      </c>
    </row>
    <row r="14059" spans="1:11">
      <c r="A14059" s="12">
        <v>43398</v>
      </c>
      <c r="B14059">
        <v>2018</v>
      </c>
      <c r="C14059">
        <v>10</v>
      </c>
      <c r="D14059" s="11">
        <v>43374</v>
      </c>
      <c r="E14059" t="s">
        <v>2182</v>
      </c>
      <c r="F14059">
        <v>4</v>
      </c>
      <c r="G14059" t="s">
        <v>53</v>
      </c>
      <c r="H14059" t="s">
        <v>41</v>
      </c>
      <c r="I14059" t="s">
        <v>2189</v>
      </c>
      <c r="J14059" s="10">
        <v>5.429</v>
      </c>
      <c r="K14059" t="b">
        <v>1</v>
      </c>
    </row>
    <row r="14060" spans="1:11">
      <c r="A14060" s="12">
        <v>43398</v>
      </c>
      <c r="B14060">
        <v>2018</v>
      </c>
      <c r="C14060">
        <v>10</v>
      </c>
      <c r="D14060" s="11">
        <v>43374</v>
      </c>
      <c r="E14060" t="s">
        <v>2182</v>
      </c>
      <c r="F14060">
        <v>4</v>
      </c>
      <c r="G14060" t="s">
        <v>53</v>
      </c>
      <c r="H14060" t="s">
        <v>42</v>
      </c>
      <c r="I14060" t="s">
        <v>2190</v>
      </c>
      <c r="J14060" s="10">
        <v>3</v>
      </c>
      <c r="K14060" t="b">
        <v>1</v>
      </c>
    </row>
    <row r="14061" spans="1:11">
      <c r="A14061" s="12">
        <v>43398</v>
      </c>
      <c r="B14061">
        <v>2018</v>
      </c>
      <c r="C14061">
        <v>10</v>
      </c>
      <c r="D14061" s="11">
        <v>43374</v>
      </c>
      <c r="E14061" t="s">
        <v>2182</v>
      </c>
      <c r="F14061">
        <v>4</v>
      </c>
      <c r="G14061" t="s">
        <v>53</v>
      </c>
      <c r="H14061" t="s">
        <v>43</v>
      </c>
      <c r="I14061" t="s">
        <v>2191</v>
      </c>
      <c r="J14061" s="10">
        <v>52.2</v>
      </c>
      <c r="K14061" t="b">
        <v>1</v>
      </c>
    </row>
    <row r="14062" spans="1:11">
      <c r="A14062" s="12">
        <v>43398</v>
      </c>
      <c r="B14062">
        <v>2018</v>
      </c>
      <c r="C14062">
        <v>10</v>
      </c>
      <c r="D14062" s="11">
        <v>43374</v>
      </c>
      <c r="E14062" t="s">
        <v>2182</v>
      </c>
      <c r="F14062">
        <v>4</v>
      </c>
      <c r="G14062" t="s">
        <v>53</v>
      </c>
      <c r="H14062" t="s">
        <v>44</v>
      </c>
      <c r="I14062" t="s">
        <v>2192</v>
      </c>
      <c r="J14062" s="10">
        <v>12</v>
      </c>
      <c r="K14062" t="b">
        <v>1</v>
      </c>
    </row>
    <row r="14063" spans="1:11">
      <c r="A14063" s="12">
        <v>43398</v>
      </c>
      <c r="B14063">
        <v>2018</v>
      </c>
      <c r="C14063">
        <v>10</v>
      </c>
      <c r="D14063" s="11">
        <v>43374</v>
      </c>
      <c r="E14063" t="s">
        <v>2182</v>
      </c>
      <c r="F14063">
        <v>4</v>
      </c>
      <c r="G14063" t="s">
        <v>53</v>
      </c>
      <c r="H14063" t="s">
        <v>45</v>
      </c>
      <c r="I14063" t="s">
        <v>2193</v>
      </c>
      <c r="J14063" s="10">
        <v>0</v>
      </c>
      <c r="K14063" t="b">
        <v>1</v>
      </c>
    </row>
    <row r="14064" spans="1:11">
      <c r="A14064" s="12">
        <v>43398</v>
      </c>
      <c r="B14064">
        <v>2018</v>
      </c>
      <c r="C14064">
        <v>10</v>
      </c>
      <c r="D14064" s="11">
        <v>43374</v>
      </c>
      <c r="E14064" t="s">
        <v>2182</v>
      </c>
      <c r="F14064">
        <v>4</v>
      </c>
      <c r="G14064" t="s">
        <v>53</v>
      </c>
      <c r="H14064" t="s">
        <v>46</v>
      </c>
      <c r="I14064" t="s">
        <v>2194</v>
      </c>
      <c r="J14064" s="10">
        <v>33</v>
      </c>
      <c r="K14064" t="b">
        <v>1</v>
      </c>
    </row>
    <row r="14065" spans="1:11">
      <c r="A14065" s="12">
        <v>43398</v>
      </c>
      <c r="B14065">
        <v>2018</v>
      </c>
      <c r="C14065">
        <v>10</v>
      </c>
      <c r="D14065" s="11">
        <v>43374</v>
      </c>
      <c r="E14065" t="s">
        <v>2182</v>
      </c>
      <c r="F14065">
        <v>4</v>
      </c>
      <c r="G14065" t="s">
        <v>53</v>
      </c>
      <c r="H14065" t="s">
        <v>47</v>
      </c>
      <c r="I14065" t="s">
        <v>2195</v>
      </c>
      <c r="J14065" s="10">
        <v>3</v>
      </c>
      <c r="K14065" t="b">
        <v>1</v>
      </c>
    </row>
    <row r="14066" spans="1:11">
      <c r="A14066" s="12">
        <v>43399</v>
      </c>
      <c r="B14066">
        <v>2018</v>
      </c>
      <c r="C14066">
        <v>10</v>
      </c>
      <c r="D14066" s="11">
        <v>43374</v>
      </c>
      <c r="E14066" t="s">
        <v>2182</v>
      </c>
      <c r="F14066">
        <v>5</v>
      </c>
      <c r="G14066" t="s">
        <v>55</v>
      </c>
      <c r="H14066" t="s">
        <v>40</v>
      </c>
      <c r="I14066" t="s">
        <v>2188</v>
      </c>
      <c r="J14066" s="10">
        <v>4</v>
      </c>
      <c r="K14066" t="b">
        <v>1</v>
      </c>
    </row>
    <row r="14067" spans="1:11">
      <c r="A14067" s="12">
        <v>43399</v>
      </c>
      <c r="B14067">
        <v>2018</v>
      </c>
      <c r="C14067">
        <v>10</v>
      </c>
      <c r="D14067" s="11">
        <v>43374</v>
      </c>
      <c r="E14067" t="s">
        <v>2182</v>
      </c>
      <c r="F14067">
        <v>5</v>
      </c>
      <c r="G14067" t="s">
        <v>55</v>
      </c>
      <c r="H14067" t="s">
        <v>41</v>
      </c>
      <c r="I14067" t="s">
        <v>2189</v>
      </c>
      <c r="J14067" s="10">
        <v>5.373</v>
      </c>
      <c r="K14067" t="b">
        <v>1</v>
      </c>
    </row>
    <row r="14068" spans="1:11">
      <c r="A14068" s="12">
        <v>43399</v>
      </c>
      <c r="B14068">
        <v>2018</v>
      </c>
      <c r="C14068">
        <v>10</v>
      </c>
      <c r="D14068" s="11">
        <v>43374</v>
      </c>
      <c r="E14068" t="s">
        <v>2182</v>
      </c>
      <c r="F14068">
        <v>5</v>
      </c>
      <c r="G14068" t="s">
        <v>55</v>
      </c>
      <c r="H14068" t="s">
        <v>42</v>
      </c>
      <c r="I14068" t="s">
        <v>2190</v>
      </c>
      <c r="J14068" s="10">
        <v>4.6</v>
      </c>
      <c r="K14068" t="b">
        <v>1</v>
      </c>
    </row>
    <row r="14069" spans="1:11">
      <c r="A14069" s="12">
        <v>43399</v>
      </c>
      <c r="B14069">
        <v>2018</v>
      </c>
      <c r="C14069">
        <v>10</v>
      </c>
      <c r="D14069" s="11">
        <v>43374</v>
      </c>
      <c r="E14069" t="s">
        <v>2182</v>
      </c>
      <c r="F14069">
        <v>5</v>
      </c>
      <c r="G14069" t="s">
        <v>55</v>
      </c>
      <c r="H14069" t="s">
        <v>43</v>
      </c>
      <c r="I14069" t="s">
        <v>2191</v>
      </c>
      <c r="J14069" s="10">
        <v>44</v>
      </c>
      <c r="K14069" t="b">
        <v>1</v>
      </c>
    </row>
    <row r="14070" spans="1:11">
      <c r="A14070" s="12">
        <v>43399</v>
      </c>
      <c r="B14070">
        <v>2018</v>
      </c>
      <c r="C14070">
        <v>10</v>
      </c>
      <c r="D14070" s="11">
        <v>43374</v>
      </c>
      <c r="E14070" t="s">
        <v>2182</v>
      </c>
      <c r="F14070">
        <v>5</v>
      </c>
      <c r="G14070" t="s">
        <v>55</v>
      </c>
      <c r="H14070" t="s">
        <v>44</v>
      </c>
      <c r="I14070" t="s">
        <v>2192</v>
      </c>
      <c r="J14070" s="10">
        <v>14</v>
      </c>
      <c r="K14070" t="b">
        <v>1</v>
      </c>
    </row>
    <row r="14071" spans="1:11">
      <c r="A14071" s="12">
        <v>43399</v>
      </c>
      <c r="B14071">
        <v>2018</v>
      </c>
      <c r="C14071">
        <v>10</v>
      </c>
      <c r="D14071" s="11">
        <v>43374</v>
      </c>
      <c r="E14071" t="s">
        <v>2182</v>
      </c>
      <c r="F14071">
        <v>5</v>
      </c>
      <c r="G14071" t="s">
        <v>55</v>
      </c>
      <c r="H14071" t="s">
        <v>45</v>
      </c>
      <c r="I14071" t="s">
        <v>2193</v>
      </c>
      <c r="J14071" s="10">
        <v>1</v>
      </c>
      <c r="K14071" t="b">
        <v>1</v>
      </c>
    </row>
    <row r="14072" spans="1:11">
      <c r="A14072" s="12">
        <v>43399</v>
      </c>
      <c r="B14072">
        <v>2018</v>
      </c>
      <c r="C14072">
        <v>10</v>
      </c>
      <c r="D14072" s="11">
        <v>43374</v>
      </c>
      <c r="E14072" t="s">
        <v>2182</v>
      </c>
      <c r="F14072">
        <v>5</v>
      </c>
      <c r="G14072" t="s">
        <v>55</v>
      </c>
      <c r="H14072" t="s">
        <v>46</v>
      </c>
      <c r="I14072" t="s">
        <v>2194</v>
      </c>
      <c r="J14072" s="10">
        <v>14</v>
      </c>
      <c r="K14072" t="b">
        <v>1</v>
      </c>
    </row>
    <row r="14073" spans="1:11">
      <c r="A14073" s="12">
        <v>43399</v>
      </c>
      <c r="B14073">
        <v>2018</v>
      </c>
      <c r="C14073">
        <v>10</v>
      </c>
      <c r="D14073" s="11">
        <v>43374</v>
      </c>
      <c r="E14073" t="s">
        <v>2182</v>
      </c>
      <c r="F14073">
        <v>5</v>
      </c>
      <c r="G14073" t="s">
        <v>55</v>
      </c>
      <c r="H14073" t="s">
        <v>47</v>
      </c>
      <c r="I14073" t="s">
        <v>2195</v>
      </c>
      <c r="J14073" s="10">
        <v>1</v>
      </c>
      <c r="K14073" t="b">
        <v>1</v>
      </c>
    </row>
    <row r="14074" spans="1:11">
      <c r="A14074" s="12">
        <v>43400</v>
      </c>
      <c r="B14074">
        <v>2018</v>
      </c>
      <c r="C14074">
        <v>10</v>
      </c>
      <c r="D14074" s="11">
        <v>43374</v>
      </c>
      <c r="E14074" t="s">
        <v>2182</v>
      </c>
      <c r="F14074">
        <v>6</v>
      </c>
      <c r="G14074" t="s">
        <v>57</v>
      </c>
      <c r="H14074" t="s">
        <v>40</v>
      </c>
      <c r="I14074" t="s">
        <v>2188</v>
      </c>
      <c r="J14074" s="10">
        <v>8.34</v>
      </c>
      <c r="K14074" t="b">
        <v>1</v>
      </c>
    </row>
    <row r="14075" spans="1:11">
      <c r="A14075" s="12">
        <v>43400</v>
      </c>
      <c r="B14075">
        <v>2018</v>
      </c>
      <c r="C14075">
        <v>10</v>
      </c>
      <c r="D14075" s="11">
        <v>43374</v>
      </c>
      <c r="E14075" t="s">
        <v>2182</v>
      </c>
      <c r="F14075">
        <v>6</v>
      </c>
      <c r="G14075" t="s">
        <v>57</v>
      </c>
      <c r="H14075" t="s">
        <v>41</v>
      </c>
      <c r="I14075" t="s">
        <v>2189</v>
      </c>
      <c r="J14075" s="10">
        <v>3.426</v>
      </c>
      <c r="K14075" t="b">
        <v>1</v>
      </c>
    </row>
    <row r="14076" spans="1:11">
      <c r="A14076" s="12">
        <v>43400</v>
      </c>
      <c r="B14076">
        <v>2018</v>
      </c>
      <c r="C14076">
        <v>10</v>
      </c>
      <c r="D14076" s="11">
        <v>43374</v>
      </c>
      <c r="E14076" t="s">
        <v>2182</v>
      </c>
      <c r="F14076">
        <v>6</v>
      </c>
      <c r="G14076" t="s">
        <v>57</v>
      </c>
      <c r="H14076" t="s">
        <v>42</v>
      </c>
      <c r="I14076" t="s">
        <v>2190</v>
      </c>
      <c r="J14076" s="10">
        <v>2.2</v>
      </c>
      <c r="K14076" t="b">
        <v>1</v>
      </c>
    </row>
    <row r="14077" spans="1:11">
      <c r="A14077" s="12">
        <v>43400</v>
      </c>
      <c r="B14077">
        <v>2018</v>
      </c>
      <c r="C14077">
        <v>10</v>
      </c>
      <c r="D14077" s="11">
        <v>43374</v>
      </c>
      <c r="E14077" t="s">
        <v>2182</v>
      </c>
      <c r="F14077">
        <v>6</v>
      </c>
      <c r="G14077" t="s">
        <v>57</v>
      </c>
      <c r="H14077" t="s">
        <v>43</v>
      </c>
      <c r="I14077" t="s">
        <v>2191</v>
      </c>
      <c r="J14077" s="10">
        <v>49.975</v>
      </c>
      <c r="K14077" t="b">
        <v>1</v>
      </c>
    </row>
    <row r="14078" spans="1:11">
      <c r="A14078" s="12">
        <v>43400</v>
      </c>
      <c r="B14078">
        <v>2018</v>
      </c>
      <c r="C14078">
        <v>10</v>
      </c>
      <c r="D14078" s="11">
        <v>43374</v>
      </c>
      <c r="E14078" t="s">
        <v>2182</v>
      </c>
      <c r="F14078">
        <v>6</v>
      </c>
      <c r="G14078" t="s">
        <v>57</v>
      </c>
      <c r="H14078" t="s">
        <v>44</v>
      </c>
      <c r="I14078" t="s">
        <v>2192</v>
      </c>
      <c r="J14078" s="10">
        <v>12</v>
      </c>
      <c r="K14078" t="b">
        <v>1</v>
      </c>
    </row>
    <row r="14079" spans="1:11">
      <c r="A14079" s="12">
        <v>43400</v>
      </c>
      <c r="B14079">
        <v>2018</v>
      </c>
      <c r="C14079">
        <v>10</v>
      </c>
      <c r="D14079" s="11">
        <v>43374</v>
      </c>
      <c r="E14079" t="s">
        <v>2182</v>
      </c>
      <c r="F14079">
        <v>6</v>
      </c>
      <c r="G14079" t="s">
        <v>57</v>
      </c>
      <c r="H14079" t="s">
        <v>45</v>
      </c>
      <c r="I14079" t="s">
        <v>2193</v>
      </c>
      <c r="J14079" s="10">
        <v>1</v>
      </c>
      <c r="K14079" t="b">
        <v>1</v>
      </c>
    </row>
    <row r="14080" spans="1:11">
      <c r="A14080" s="12">
        <v>43400</v>
      </c>
      <c r="B14080">
        <v>2018</v>
      </c>
      <c r="C14080">
        <v>10</v>
      </c>
      <c r="D14080" s="11">
        <v>43374</v>
      </c>
      <c r="E14080" t="s">
        <v>2182</v>
      </c>
      <c r="F14080">
        <v>6</v>
      </c>
      <c r="G14080" t="s">
        <v>57</v>
      </c>
      <c r="H14080" t="s">
        <v>46</v>
      </c>
      <c r="I14080" t="s">
        <v>2194</v>
      </c>
      <c r="J14080" s="10">
        <v>7</v>
      </c>
      <c r="K14080" t="b">
        <v>1</v>
      </c>
    </row>
    <row r="14081" spans="1:11">
      <c r="A14081" s="12">
        <v>43400</v>
      </c>
      <c r="B14081">
        <v>2018</v>
      </c>
      <c r="C14081">
        <v>10</v>
      </c>
      <c r="D14081" s="11">
        <v>43374</v>
      </c>
      <c r="E14081" t="s">
        <v>2182</v>
      </c>
      <c r="F14081">
        <v>6</v>
      </c>
      <c r="G14081" t="s">
        <v>57</v>
      </c>
      <c r="H14081" t="s">
        <v>47</v>
      </c>
      <c r="I14081" t="s">
        <v>2195</v>
      </c>
      <c r="J14081" s="10">
        <v>2</v>
      </c>
      <c r="K14081" t="b">
        <v>1</v>
      </c>
    </row>
    <row r="14082" spans="1:11">
      <c r="A14082" s="12">
        <v>43401</v>
      </c>
      <c r="B14082">
        <v>2018</v>
      </c>
      <c r="C14082">
        <v>10</v>
      </c>
      <c r="D14082" s="11">
        <v>43374</v>
      </c>
      <c r="E14082" t="s">
        <v>2182</v>
      </c>
      <c r="F14082">
        <v>7</v>
      </c>
      <c r="G14082" t="s">
        <v>59</v>
      </c>
      <c r="H14082" t="s">
        <v>40</v>
      </c>
      <c r="I14082" t="s">
        <v>2188</v>
      </c>
      <c r="J14082" s="10">
        <v>5.33</v>
      </c>
      <c r="K14082" t="b">
        <v>1</v>
      </c>
    </row>
    <row r="14083" spans="1:11">
      <c r="A14083" s="12">
        <v>43401</v>
      </c>
      <c r="B14083">
        <v>2018</v>
      </c>
      <c r="C14083">
        <v>10</v>
      </c>
      <c r="D14083" s="11">
        <v>43374</v>
      </c>
      <c r="E14083" t="s">
        <v>2182</v>
      </c>
      <c r="F14083">
        <v>7</v>
      </c>
      <c r="G14083" t="s">
        <v>59</v>
      </c>
      <c r="H14083" t="s">
        <v>41</v>
      </c>
      <c r="I14083" t="s">
        <v>2189</v>
      </c>
      <c r="J14083" s="10">
        <v>5.33</v>
      </c>
      <c r="K14083" t="b">
        <v>1</v>
      </c>
    </row>
    <row r="14084" spans="1:11">
      <c r="A14084" s="12">
        <v>43401</v>
      </c>
      <c r="B14084">
        <v>2018</v>
      </c>
      <c r="C14084">
        <v>10</v>
      </c>
      <c r="D14084" s="11">
        <v>43374</v>
      </c>
      <c r="E14084" t="s">
        <v>2182</v>
      </c>
      <c r="F14084">
        <v>7</v>
      </c>
      <c r="G14084" t="s">
        <v>59</v>
      </c>
      <c r="H14084" t="s">
        <v>42</v>
      </c>
      <c r="I14084" t="s">
        <v>2190</v>
      </c>
      <c r="J14084" s="10">
        <v>1.6</v>
      </c>
      <c r="K14084" t="b">
        <v>1</v>
      </c>
    </row>
    <row r="14085" spans="1:11">
      <c r="A14085" s="12">
        <v>43401</v>
      </c>
      <c r="B14085">
        <v>2018</v>
      </c>
      <c r="C14085">
        <v>10</v>
      </c>
      <c r="D14085" s="11">
        <v>43374</v>
      </c>
      <c r="E14085" t="s">
        <v>2182</v>
      </c>
      <c r="F14085">
        <v>7</v>
      </c>
      <c r="G14085" t="s">
        <v>59</v>
      </c>
      <c r="H14085" t="s">
        <v>43</v>
      </c>
      <c r="I14085" t="s">
        <v>2191</v>
      </c>
      <c r="J14085" s="10">
        <v>53.75</v>
      </c>
      <c r="K14085" t="b">
        <v>1</v>
      </c>
    </row>
    <row r="14086" spans="1:11">
      <c r="A14086" s="12">
        <v>43401</v>
      </c>
      <c r="B14086">
        <v>2018</v>
      </c>
      <c r="C14086">
        <v>10</v>
      </c>
      <c r="D14086" s="11">
        <v>43374</v>
      </c>
      <c r="E14086" t="s">
        <v>2182</v>
      </c>
      <c r="F14086">
        <v>7</v>
      </c>
      <c r="G14086" t="s">
        <v>59</v>
      </c>
      <c r="H14086" t="s">
        <v>44</v>
      </c>
      <c r="I14086" t="s">
        <v>2192</v>
      </c>
      <c r="J14086" s="10">
        <v>9</v>
      </c>
      <c r="K14086" t="b">
        <v>1</v>
      </c>
    </row>
    <row r="14087" spans="1:11">
      <c r="A14087" s="12">
        <v>43401</v>
      </c>
      <c r="B14087">
        <v>2018</v>
      </c>
      <c r="C14087">
        <v>10</v>
      </c>
      <c r="D14087" s="11">
        <v>43374</v>
      </c>
      <c r="E14087" t="s">
        <v>2182</v>
      </c>
      <c r="F14087">
        <v>7</v>
      </c>
      <c r="G14087" t="s">
        <v>59</v>
      </c>
      <c r="H14087" t="s">
        <v>45</v>
      </c>
      <c r="I14087" t="s">
        <v>2193</v>
      </c>
      <c r="J14087" s="10">
        <v>3</v>
      </c>
      <c r="K14087" t="b">
        <v>1</v>
      </c>
    </row>
    <row r="14088" spans="1:11">
      <c r="A14088" s="12">
        <v>43401</v>
      </c>
      <c r="B14088">
        <v>2018</v>
      </c>
      <c r="C14088">
        <v>10</v>
      </c>
      <c r="D14088" s="11">
        <v>43374</v>
      </c>
      <c r="E14088" t="s">
        <v>2182</v>
      </c>
      <c r="F14088">
        <v>7</v>
      </c>
      <c r="G14088" t="s">
        <v>59</v>
      </c>
      <c r="H14088" t="s">
        <v>46</v>
      </c>
      <c r="I14088" t="s">
        <v>2194</v>
      </c>
      <c r="J14088" s="10">
        <v>13</v>
      </c>
      <c r="K14088" t="b">
        <v>1</v>
      </c>
    </row>
    <row r="14089" spans="1:11">
      <c r="A14089" s="12">
        <v>43401</v>
      </c>
      <c r="B14089">
        <v>2018</v>
      </c>
      <c r="C14089">
        <v>10</v>
      </c>
      <c r="D14089" s="11">
        <v>43374</v>
      </c>
      <c r="E14089" t="s">
        <v>2182</v>
      </c>
      <c r="F14089">
        <v>7</v>
      </c>
      <c r="G14089" t="s">
        <v>59</v>
      </c>
      <c r="H14089" t="s">
        <v>47</v>
      </c>
      <c r="I14089" t="s">
        <v>2195</v>
      </c>
      <c r="J14089" s="10">
        <v>3</v>
      </c>
      <c r="K14089" t="b">
        <v>1</v>
      </c>
    </row>
    <row r="14090" spans="1:11">
      <c r="A14090" s="12">
        <v>43402</v>
      </c>
      <c r="B14090">
        <v>2018</v>
      </c>
      <c r="C14090">
        <v>10</v>
      </c>
      <c r="D14090" s="11">
        <v>43374</v>
      </c>
      <c r="E14090" t="s">
        <v>2182</v>
      </c>
      <c r="F14090">
        <v>1</v>
      </c>
      <c r="G14090" t="s">
        <v>61</v>
      </c>
      <c r="H14090" t="s">
        <v>40</v>
      </c>
      <c r="I14090" t="s">
        <v>2188</v>
      </c>
      <c r="J14090" s="10">
        <v>5.35</v>
      </c>
      <c r="K14090" t="b">
        <v>1</v>
      </c>
    </row>
    <row r="14091" spans="1:11">
      <c r="A14091" s="12">
        <v>43402</v>
      </c>
      <c r="B14091">
        <v>2018</v>
      </c>
      <c r="C14091">
        <v>10</v>
      </c>
      <c r="D14091" s="11">
        <v>43374</v>
      </c>
      <c r="E14091" t="s">
        <v>2182</v>
      </c>
      <c r="F14091">
        <v>1</v>
      </c>
      <c r="G14091" t="s">
        <v>61</v>
      </c>
      <c r="H14091" t="s">
        <v>41</v>
      </c>
      <c r="I14091" t="s">
        <v>2189</v>
      </c>
      <c r="J14091" s="10">
        <v>2.67</v>
      </c>
      <c r="K14091" t="b">
        <v>1</v>
      </c>
    </row>
    <row r="14092" spans="1:11">
      <c r="A14092" s="12">
        <v>43402</v>
      </c>
      <c r="B14092">
        <v>2018</v>
      </c>
      <c r="C14092">
        <v>10</v>
      </c>
      <c r="D14092" s="11">
        <v>43374</v>
      </c>
      <c r="E14092" t="s">
        <v>2182</v>
      </c>
      <c r="F14092">
        <v>1</v>
      </c>
      <c r="G14092" t="s">
        <v>61</v>
      </c>
      <c r="H14092" t="s">
        <v>42</v>
      </c>
      <c r="I14092" t="s">
        <v>2190</v>
      </c>
      <c r="J14092" s="10">
        <v>2.35</v>
      </c>
      <c r="K14092" t="b">
        <v>1</v>
      </c>
    </row>
    <row r="14093" spans="1:11">
      <c r="A14093" s="12">
        <v>43402</v>
      </c>
      <c r="B14093">
        <v>2018</v>
      </c>
      <c r="C14093">
        <v>10</v>
      </c>
      <c r="D14093" s="11">
        <v>43374</v>
      </c>
      <c r="E14093" t="s">
        <v>2182</v>
      </c>
      <c r="F14093">
        <v>1</v>
      </c>
      <c r="G14093" t="s">
        <v>61</v>
      </c>
      <c r="H14093" t="s">
        <v>43</v>
      </c>
      <c r="I14093" t="s">
        <v>2191</v>
      </c>
      <c r="J14093" s="10">
        <v>32.8</v>
      </c>
      <c r="K14093" t="b">
        <v>1</v>
      </c>
    </row>
    <row r="14094" spans="1:11">
      <c r="A14094" s="12">
        <v>43402</v>
      </c>
      <c r="B14094">
        <v>2018</v>
      </c>
      <c r="C14094">
        <v>10</v>
      </c>
      <c r="D14094" s="11">
        <v>43374</v>
      </c>
      <c r="E14094" t="s">
        <v>2182</v>
      </c>
      <c r="F14094">
        <v>1</v>
      </c>
      <c r="G14094" t="s">
        <v>61</v>
      </c>
      <c r="H14094" t="s">
        <v>44</v>
      </c>
      <c r="I14094" t="s">
        <v>2192</v>
      </c>
      <c r="J14094" s="10">
        <v>5</v>
      </c>
      <c r="K14094" t="b">
        <v>1</v>
      </c>
    </row>
    <row r="14095" spans="1:11">
      <c r="A14095" s="12">
        <v>43402</v>
      </c>
      <c r="B14095">
        <v>2018</v>
      </c>
      <c r="C14095">
        <v>10</v>
      </c>
      <c r="D14095" s="11">
        <v>43374</v>
      </c>
      <c r="E14095" t="s">
        <v>2182</v>
      </c>
      <c r="F14095">
        <v>1</v>
      </c>
      <c r="G14095" t="s">
        <v>61</v>
      </c>
      <c r="H14095" t="s">
        <v>45</v>
      </c>
      <c r="I14095" t="s">
        <v>2193</v>
      </c>
      <c r="J14095" s="10">
        <v>0</v>
      </c>
      <c r="K14095" t="b">
        <v>1</v>
      </c>
    </row>
    <row r="14096" spans="1:11">
      <c r="A14096" s="12">
        <v>43402</v>
      </c>
      <c r="B14096">
        <v>2018</v>
      </c>
      <c r="C14096">
        <v>10</v>
      </c>
      <c r="D14096" s="11">
        <v>43374</v>
      </c>
      <c r="E14096" t="s">
        <v>2182</v>
      </c>
      <c r="F14096">
        <v>1</v>
      </c>
      <c r="G14096" t="s">
        <v>61</v>
      </c>
      <c r="H14096" t="s">
        <v>46</v>
      </c>
      <c r="I14096" t="s">
        <v>2194</v>
      </c>
      <c r="J14096" s="10">
        <v>10</v>
      </c>
      <c r="K14096" t="b">
        <v>1</v>
      </c>
    </row>
    <row r="14097" spans="1:11">
      <c r="A14097" s="12">
        <v>43402</v>
      </c>
      <c r="B14097">
        <v>2018</v>
      </c>
      <c r="C14097">
        <v>10</v>
      </c>
      <c r="D14097" s="11">
        <v>43374</v>
      </c>
      <c r="E14097" t="s">
        <v>2182</v>
      </c>
      <c r="F14097">
        <v>1</v>
      </c>
      <c r="G14097" t="s">
        <v>61</v>
      </c>
      <c r="H14097" t="s">
        <v>47</v>
      </c>
      <c r="I14097" t="s">
        <v>2195</v>
      </c>
      <c r="J14097" s="10">
        <v>3</v>
      </c>
      <c r="K14097" t="b">
        <v>1</v>
      </c>
    </row>
    <row r="14098" spans="1:11">
      <c r="A14098" s="12">
        <v>43403</v>
      </c>
      <c r="B14098">
        <v>2018</v>
      </c>
      <c r="C14098">
        <v>10</v>
      </c>
      <c r="D14098" s="11">
        <v>43374</v>
      </c>
      <c r="E14098" t="s">
        <v>2182</v>
      </c>
      <c r="F14098">
        <v>2</v>
      </c>
      <c r="G14098" t="s">
        <v>63</v>
      </c>
      <c r="H14098" t="s">
        <v>40</v>
      </c>
      <c r="I14098" t="s">
        <v>2188</v>
      </c>
      <c r="J14098" s="10">
        <v>9.33</v>
      </c>
      <c r="K14098" t="b">
        <v>1</v>
      </c>
    </row>
    <row r="14099" spans="1:11">
      <c r="A14099" s="12">
        <v>43403</v>
      </c>
      <c r="B14099">
        <v>2018</v>
      </c>
      <c r="C14099">
        <v>10</v>
      </c>
      <c r="D14099" s="11">
        <v>43374</v>
      </c>
      <c r="E14099" t="s">
        <v>2182</v>
      </c>
      <c r="F14099">
        <v>2</v>
      </c>
      <c r="G14099" t="s">
        <v>63</v>
      </c>
      <c r="H14099" t="s">
        <v>41</v>
      </c>
      <c r="I14099" t="s">
        <v>2189</v>
      </c>
      <c r="J14099" s="10">
        <v>4</v>
      </c>
      <c r="K14099" t="b">
        <v>1</v>
      </c>
    </row>
    <row r="14100" spans="1:11">
      <c r="A14100" s="12">
        <v>43403</v>
      </c>
      <c r="B14100">
        <v>2018</v>
      </c>
      <c r="C14100">
        <v>10</v>
      </c>
      <c r="D14100" s="11">
        <v>43374</v>
      </c>
      <c r="E14100" t="s">
        <v>2182</v>
      </c>
      <c r="F14100">
        <v>2</v>
      </c>
      <c r="G14100" t="s">
        <v>63</v>
      </c>
      <c r="H14100" t="s">
        <v>42</v>
      </c>
      <c r="I14100" t="s">
        <v>2190</v>
      </c>
      <c r="J14100" s="10">
        <v>1</v>
      </c>
      <c r="K14100" t="b">
        <v>1</v>
      </c>
    </row>
    <row r="14101" spans="1:11">
      <c r="A14101" s="12">
        <v>43403</v>
      </c>
      <c r="B14101">
        <v>2018</v>
      </c>
      <c r="C14101">
        <v>10</v>
      </c>
      <c r="D14101" s="11">
        <v>43374</v>
      </c>
      <c r="E14101" t="s">
        <v>2182</v>
      </c>
      <c r="F14101">
        <v>2</v>
      </c>
      <c r="G14101" t="s">
        <v>63</v>
      </c>
      <c r="H14101" t="s">
        <v>43</v>
      </c>
      <c r="I14101" t="s">
        <v>2191</v>
      </c>
      <c r="J14101" s="10">
        <v>18.2</v>
      </c>
      <c r="K14101" t="b">
        <v>1</v>
      </c>
    </row>
    <row r="14102" spans="1:11">
      <c r="A14102" s="12">
        <v>43403</v>
      </c>
      <c r="B14102">
        <v>2018</v>
      </c>
      <c r="C14102">
        <v>10</v>
      </c>
      <c r="D14102" s="11">
        <v>43374</v>
      </c>
      <c r="E14102" t="s">
        <v>2182</v>
      </c>
      <c r="F14102">
        <v>2</v>
      </c>
      <c r="G14102" t="s">
        <v>63</v>
      </c>
      <c r="H14102" t="s">
        <v>44</v>
      </c>
      <c r="I14102" t="s">
        <v>2192</v>
      </c>
      <c r="J14102" s="10">
        <v>7</v>
      </c>
      <c r="K14102" t="b">
        <v>1</v>
      </c>
    </row>
    <row r="14103" spans="1:11">
      <c r="A14103" s="12">
        <v>43403</v>
      </c>
      <c r="B14103">
        <v>2018</v>
      </c>
      <c r="C14103">
        <v>10</v>
      </c>
      <c r="D14103" s="11">
        <v>43374</v>
      </c>
      <c r="E14103" t="s">
        <v>2182</v>
      </c>
      <c r="F14103">
        <v>2</v>
      </c>
      <c r="G14103" t="s">
        <v>63</v>
      </c>
      <c r="H14103" t="s">
        <v>45</v>
      </c>
      <c r="I14103" t="s">
        <v>2193</v>
      </c>
      <c r="J14103" s="10">
        <v>0</v>
      </c>
      <c r="K14103" t="b">
        <v>1</v>
      </c>
    </row>
    <row r="14104" spans="1:11">
      <c r="A14104" s="12">
        <v>43403</v>
      </c>
      <c r="B14104">
        <v>2018</v>
      </c>
      <c r="C14104">
        <v>10</v>
      </c>
      <c r="D14104" s="11">
        <v>43374</v>
      </c>
      <c r="E14104" t="s">
        <v>2182</v>
      </c>
      <c r="F14104">
        <v>2</v>
      </c>
      <c r="G14104" t="s">
        <v>63</v>
      </c>
      <c r="H14104" t="s">
        <v>46</v>
      </c>
      <c r="I14104" t="s">
        <v>2194</v>
      </c>
      <c r="J14104" s="10">
        <v>13</v>
      </c>
      <c r="K14104" t="b">
        <v>1</v>
      </c>
    </row>
    <row r="14105" spans="1:11">
      <c r="A14105" s="12">
        <v>43403</v>
      </c>
      <c r="B14105">
        <v>2018</v>
      </c>
      <c r="C14105">
        <v>10</v>
      </c>
      <c r="D14105" s="11">
        <v>43374</v>
      </c>
      <c r="E14105" t="s">
        <v>2182</v>
      </c>
      <c r="F14105">
        <v>2</v>
      </c>
      <c r="G14105" t="s">
        <v>63</v>
      </c>
      <c r="H14105" t="s">
        <v>47</v>
      </c>
      <c r="I14105" t="s">
        <v>2195</v>
      </c>
      <c r="J14105" s="10">
        <v>1</v>
      </c>
      <c r="K14105" t="b">
        <v>1</v>
      </c>
    </row>
    <row r="14106" spans="1:11">
      <c r="A14106" s="12">
        <v>43404</v>
      </c>
      <c r="B14106">
        <v>2018</v>
      </c>
      <c r="C14106">
        <v>10</v>
      </c>
      <c r="D14106" s="11">
        <v>43374</v>
      </c>
      <c r="E14106" t="s">
        <v>2182</v>
      </c>
      <c r="F14106">
        <v>3</v>
      </c>
      <c r="G14106" t="s">
        <v>65</v>
      </c>
      <c r="H14106" t="s">
        <v>40</v>
      </c>
      <c r="I14106" t="s">
        <v>2188</v>
      </c>
      <c r="J14106" s="10">
        <v>2</v>
      </c>
      <c r="K14106" t="b">
        <v>1</v>
      </c>
    </row>
    <row r="14107" spans="1:11">
      <c r="A14107" s="12">
        <v>43404</v>
      </c>
      <c r="B14107">
        <v>2018</v>
      </c>
      <c r="C14107">
        <v>10</v>
      </c>
      <c r="D14107" s="11">
        <v>43374</v>
      </c>
      <c r="E14107" t="s">
        <v>2182</v>
      </c>
      <c r="F14107">
        <v>3</v>
      </c>
      <c r="G14107" t="s">
        <v>65</v>
      </c>
      <c r="H14107" t="s">
        <v>41</v>
      </c>
      <c r="I14107" t="s">
        <v>2189</v>
      </c>
      <c r="J14107" s="10">
        <v>4.68</v>
      </c>
      <c r="K14107" t="b">
        <v>1</v>
      </c>
    </row>
    <row r="14108" spans="1:11">
      <c r="A14108" s="12">
        <v>43404</v>
      </c>
      <c r="B14108">
        <v>2018</v>
      </c>
      <c r="C14108">
        <v>10</v>
      </c>
      <c r="D14108" s="11">
        <v>43374</v>
      </c>
      <c r="E14108" t="s">
        <v>2182</v>
      </c>
      <c r="F14108">
        <v>3</v>
      </c>
      <c r="G14108" t="s">
        <v>65</v>
      </c>
      <c r="H14108" t="s">
        <v>42</v>
      </c>
      <c r="I14108" t="s">
        <v>2190</v>
      </c>
      <c r="J14108" s="10">
        <v>3</v>
      </c>
      <c r="K14108" t="b">
        <v>1</v>
      </c>
    </row>
    <row r="14109" spans="1:11">
      <c r="A14109" s="12">
        <v>43404</v>
      </c>
      <c r="B14109">
        <v>2018</v>
      </c>
      <c r="C14109">
        <v>10</v>
      </c>
      <c r="D14109" s="11">
        <v>43374</v>
      </c>
      <c r="E14109" t="s">
        <v>2182</v>
      </c>
      <c r="F14109">
        <v>3</v>
      </c>
      <c r="G14109" t="s">
        <v>65</v>
      </c>
      <c r="H14109" t="s">
        <v>43</v>
      </c>
      <c r="I14109" t="s">
        <v>2191</v>
      </c>
      <c r="J14109" s="10">
        <v>34.1</v>
      </c>
      <c r="K14109" t="b">
        <v>1</v>
      </c>
    </row>
    <row r="14110" spans="1:11">
      <c r="A14110" s="12">
        <v>43404</v>
      </c>
      <c r="B14110">
        <v>2018</v>
      </c>
      <c r="C14110">
        <v>10</v>
      </c>
      <c r="D14110" s="11">
        <v>43374</v>
      </c>
      <c r="E14110" t="s">
        <v>2182</v>
      </c>
      <c r="F14110">
        <v>3</v>
      </c>
      <c r="G14110" t="s">
        <v>65</v>
      </c>
      <c r="H14110" t="s">
        <v>44</v>
      </c>
      <c r="I14110" t="s">
        <v>2192</v>
      </c>
      <c r="J14110" s="10">
        <v>7</v>
      </c>
      <c r="K14110" t="b">
        <v>1</v>
      </c>
    </row>
    <row r="14111" spans="1:11">
      <c r="A14111" s="12">
        <v>43404</v>
      </c>
      <c r="B14111">
        <v>2018</v>
      </c>
      <c r="C14111">
        <v>10</v>
      </c>
      <c r="D14111" s="11">
        <v>43374</v>
      </c>
      <c r="E14111" t="s">
        <v>2182</v>
      </c>
      <c r="F14111">
        <v>3</v>
      </c>
      <c r="G14111" t="s">
        <v>65</v>
      </c>
      <c r="H14111" t="s">
        <v>45</v>
      </c>
      <c r="I14111" t="s">
        <v>2193</v>
      </c>
      <c r="J14111" s="10">
        <v>0</v>
      </c>
      <c r="K14111" t="b">
        <v>1</v>
      </c>
    </row>
    <row r="14112" spans="1:11">
      <c r="A14112" s="12">
        <v>43404</v>
      </c>
      <c r="B14112">
        <v>2018</v>
      </c>
      <c r="C14112">
        <v>10</v>
      </c>
      <c r="D14112" s="11">
        <v>43374</v>
      </c>
      <c r="E14112" t="s">
        <v>2182</v>
      </c>
      <c r="F14112">
        <v>3</v>
      </c>
      <c r="G14112" t="s">
        <v>65</v>
      </c>
      <c r="H14112" t="s">
        <v>46</v>
      </c>
      <c r="I14112" t="s">
        <v>2194</v>
      </c>
      <c r="J14112" s="10">
        <v>2</v>
      </c>
      <c r="K14112" t="b">
        <v>1</v>
      </c>
    </row>
    <row r="14113" spans="1:11">
      <c r="A14113" s="12">
        <v>43404</v>
      </c>
      <c r="B14113">
        <v>2018</v>
      </c>
      <c r="C14113">
        <v>10</v>
      </c>
      <c r="D14113" s="11">
        <v>43374</v>
      </c>
      <c r="E14113" t="s">
        <v>2182</v>
      </c>
      <c r="F14113">
        <v>3</v>
      </c>
      <c r="G14113" t="s">
        <v>65</v>
      </c>
      <c r="H14113" t="s">
        <v>47</v>
      </c>
      <c r="I14113" t="s">
        <v>2195</v>
      </c>
      <c r="J14113" s="10">
        <v>2</v>
      </c>
      <c r="K14113" t="b">
        <v>1</v>
      </c>
    </row>
    <row r="14114" spans="1:11">
      <c r="A14114" s="12">
        <v>43405</v>
      </c>
      <c r="B14114">
        <v>2018</v>
      </c>
      <c r="C14114">
        <v>11</v>
      </c>
      <c r="D14114" s="11">
        <v>43405</v>
      </c>
      <c r="E14114" t="s">
        <v>2183</v>
      </c>
      <c r="F14114">
        <v>4</v>
      </c>
      <c r="G14114" t="s">
        <v>53</v>
      </c>
      <c r="H14114" t="s">
        <v>40</v>
      </c>
      <c r="I14114" t="s">
        <v>2188</v>
      </c>
      <c r="J14114" s="10">
        <v>7.84</v>
      </c>
      <c r="K14114" t="b">
        <v>1</v>
      </c>
    </row>
    <row r="14115" spans="1:11">
      <c r="A14115" s="12">
        <v>43405</v>
      </c>
      <c r="B14115">
        <v>2018</v>
      </c>
      <c r="C14115">
        <v>11</v>
      </c>
      <c r="D14115" s="11">
        <v>43405</v>
      </c>
      <c r="E14115" t="s">
        <v>2183</v>
      </c>
      <c r="F14115">
        <v>4</v>
      </c>
      <c r="G14115" t="s">
        <v>53</v>
      </c>
      <c r="H14115" t="s">
        <v>41</v>
      </c>
      <c r="I14115" t="s">
        <v>2189</v>
      </c>
      <c r="J14115" s="10">
        <v>0.34</v>
      </c>
      <c r="K14115" t="b">
        <v>1</v>
      </c>
    </row>
    <row r="14116" spans="1:11">
      <c r="A14116" s="12">
        <v>43405</v>
      </c>
      <c r="B14116">
        <v>2018</v>
      </c>
      <c r="C14116">
        <v>11</v>
      </c>
      <c r="D14116" s="11">
        <v>43405</v>
      </c>
      <c r="E14116" t="s">
        <v>2183</v>
      </c>
      <c r="F14116">
        <v>4</v>
      </c>
      <c r="G14116" t="s">
        <v>53</v>
      </c>
      <c r="H14116" t="s">
        <v>42</v>
      </c>
      <c r="I14116" t="s">
        <v>2190</v>
      </c>
      <c r="J14116" s="10">
        <v>3</v>
      </c>
      <c r="K14116" t="b">
        <v>1</v>
      </c>
    </row>
    <row r="14117" spans="1:11">
      <c r="A14117" s="12">
        <v>43405</v>
      </c>
      <c r="B14117">
        <v>2018</v>
      </c>
      <c r="C14117">
        <v>11</v>
      </c>
      <c r="D14117" s="11">
        <v>43405</v>
      </c>
      <c r="E14117" t="s">
        <v>2183</v>
      </c>
      <c r="F14117">
        <v>4</v>
      </c>
      <c r="G14117" t="s">
        <v>53</v>
      </c>
      <c r="H14117" t="s">
        <v>43</v>
      </c>
      <c r="I14117" t="s">
        <v>2191</v>
      </c>
      <c r="J14117" s="10">
        <v>25</v>
      </c>
      <c r="K14117" t="b">
        <v>1</v>
      </c>
    </row>
    <row r="14118" spans="1:11">
      <c r="A14118" s="12">
        <v>43405</v>
      </c>
      <c r="B14118">
        <v>2018</v>
      </c>
      <c r="C14118">
        <v>11</v>
      </c>
      <c r="D14118" s="11">
        <v>43405</v>
      </c>
      <c r="E14118" t="s">
        <v>2183</v>
      </c>
      <c r="F14118">
        <v>4</v>
      </c>
      <c r="G14118" t="s">
        <v>53</v>
      </c>
      <c r="H14118" t="s">
        <v>44</v>
      </c>
      <c r="I14118" t="s">
        <v>2192</v>
      </c>
      <c r="J14118" s="10">
        <v>6</v>
      </c>
      <c r="K14118" t="b">
        <v>1</v>
      </c>
    </row>
    <row r="14119" spans="1:11">
      <c r="A14119" s="12">
        <v>43405</v>
      </c>
      <c r="B14119">
        <v>2018</v>
      </c>
      <c r="C14119">
        <v>11</v>
      </c>
      <c r="D14119" s="11">
        <v>43405</v>
      </c>
      <c r="E14119" t="s">
        <v>2183</v>
      </c>
      <c r="F14119">
        <v>4</v>
      </c>
      <c r="G14119" t="s">
        <v>53</v>
      </c>
      <c r="H14119" t="s">
        <v>45</v>
      </c>
      <c r="I14119" t="s">
        <v>2193</v>
      </c>
      <c r="J14119" s="10">
        <v>3</v>
      </c>
      <c r="K14119" t="b">
        <v>1</v>
      </c>
    </row>
    <row r="14120" spans="1:11">
      <c r="A14120" s="12">
        <v>43405</v>
      </c>
      <c r="B14120">
        <v>2018</v>
      </c>
      <c r="C14120">
        <v>11</v>
      </c>
      <c r="D14120" s="11">
        <v>43405</v>
      </c>
      <c r="E14120" t="s">
        <v>2183</v>
      </c>
      <c r="F14120">
        <v>4</v>
      </c>
      <c r="G14120" t="s">
        <v>53</v>
      </c>
      <c r="H14120" t="s">
        <v>46</v>
      </c>
      <c r="I14120" t="s">
        <v>2194</v>
      </c>
      <c r="J14120" s="10">
        <v>7</v>
      </c>
      <c r="K14120" t="b">
        <v>1</v>
      </c>
    </row>
    <row r="14121" spans="1:11">
      <c r="A14121" s="12">
        <v>43405</v>
      </c>
      <c r="B14121">
        <v>2018</v>
      </c>
      <c r="C14121">
        <v>11</v>
      </c>
      <c r="D14121" s="11">
        <v>43405</v>
      </c>
      <c r="E14121" t="s">
        <v>2183</v>
      </c>
      <c r="F14121">
        <v>4</v>
      </c>
      <c r="G14121" t="s">
        <v>53</v>
      </c>
      <c r="H14121" t="s">
        <v>47</v>
      </c>
      <c r="I14121" t="s">
        <v>2195</v>
      </c>
      <c r="J14121" s="10">
        <v>0</v>
      </c>
      <c r="K14121" t="b">
        <v>1</v>
      </c>
    </row>
    <row r="14122" spans="1:11">
      <c r="A14122" s="12">
        <v>43406</v>
      </c>
      <c r="B14122">
        <v>2018</v>
      </c>
      <c r="C14122">
        <v>11</v>
      </c>
      <c r="D14122" s="11">
        <v>43405</v>
      </c>
      <c r="E14122" t="s">
        <v>2183</v>
      </c>
      <c r="F14122">
        <v>5</v>
      </c>
      <c r="G14122" t="s">
        <v>55</v>
      </c>
      <c r="H14122" t="s">
        <v>40</v>
      </c>
      <c r="I14122" t="s">
        <v>2188</v>
      </c>
      <c r="J14122" s="10">
        <v>5.14</v>
      </c>
      <c r="K14122" t="b">
        <v>1</v>
      </c>
    </row>
    <row r="14123" spans="1:11">
      <c r="A14123" s="12">
        <v>43406</v>
      </c>
      <c r="B14123">
        <v>2018</v>
      </c>
      <c r="C14123">
        <v>11</v>
      </c>
      <c r="D14123" s="11">
        <v>43405</v>
      </c>
      <c r="E14123" t="s">
        <v>2183</v>
      </c>
      <c r="F14123">
        <v>5</v>
      </c>
      <c r="G14123" t="s">
        <v>55</v>
      </c>
      <c r="H14123" t="s">
        <v>41</v>
      </c>
      <c r="I14123" t="s">
        <v>2189</v>
      </c>
      <c r="J14123" s="10">
        <v>1.845</v>
      </c>
      <c r="K14123" t="b">
        <v>1</v>
      </c>
    </row>
    <row r="14124" spans="1:11">
      <c r="A14124" s="12">
        <v>43406</v>
      </c>
      <c r="B14124">
        <v>2018</v>
      </c>
      <c r="C14124">
        <v>11</v>
      </c>
      <c r="D14124" s="11">
        <v>43405</v>
      </c>
      <c r="E14124" t="s">
        <v>2183</v>
      </c>
      <c r="F14124">
        <v>5</v>
      </c>
      <c r="G14124" t="s">
        <v>55</v>
      </c>
      <c r="H14124" t="s">
        <v>42</v>
      </c>
      <c r="I14124" t="s">
        <v>2190</v>
      </c>
      <c r="J14124" s="10">
        <v>0</v>
      </c>
      <c r="K14124" t="b">
        <v>1</v>
      </c>
    </row>
    <row r="14125" spans="1:11">
      <c r="A14125" s="12">
        <v>43406</v>
      </c>
      <c r="B14125">
        <v>2018</v>
      </c>
      <c r="C14125">
        <v>11</v>
      </c>
      <c r="D14125" s="11">
        <v>43405</v>
      </c>
      <c r="E14125" t="s">
        <v>2183</v>
      </c>
      <c r="F14125">
        <v>5</v>
      </c>
      <c r="G14125" t="s">
        <v>55</v>
      </c>
      <c r="H14125" t="s">
        <v>43</v>
      </c>
      <c r="I14125" t="s">
        <v>2191</v>
      </c>
      <c r="J14125" s="10">
        <v>32.6</v>
      </c>
      <c r="K14125" t="b">
        <v>1</v>
      </c>
    </row>
    <row r="14126" spans="1:11">
      <c r="A14126" s="12">
        <v>43406</v>
      </c>
      <c r="B14126">
        <v>2018</v>
      </c>
      <c r="C14126">
        <v>11</v>
      </c>
      <c r="D14126" s="11">
        <v>43405</v>
      </c>
      <c r="E14126" t="s">
        <v>2183</v>
      </c>
      <c r="F14126">
        <v>5</v>
      </c>
      <c r="G14126" t="s">
        <v>55</v>
      </c>
      <c r="H14126" t="s">
        <v>44</v>
      </c>
      <c r="I14126" t="s">
        <v>2192</v>
      </c>
      <c r="J14126" s="10">
        <v>8.199999999999999</v>
      </c>
      <c r="K14126" t="b">
        <v>1</v>
      </c>
    </row>
    <row r="14127" spans="1:11">
      <c r="A14127" s="12">
        <v>43406</v>
      </c>
      <c r="B14127">
        <v>2018</v>
      </c>
      <c r="C14127">
        <v>11</v>
      </c>
      <c r="D14127" s="11">
        <v>43405</v>
      </c>
      <c r="E14127" t="s">
        <v>2183</v>
      </c>
      <c r="F14127">
        <v>5</v>
      </c>
      <c r="G14127" t="s">
        <v>55</v>
      </c>
      <c r="H14127" t="s">
        <v>45</v>
      </c>
      <c r="I14127" t="s">
        <v>2193</v>
      </c>
      <c r="J14127" s="10">
        <v>0</v>
      </c>
      <c r="K14127" t="b">
        <v>1</v>
      </c>
    </row>
    <row r="14128" spans="1:11">
      <c r="A14128" s="12">
        <v>43406</v>
      </c>
      <c r="B14128">
        <v>2018</v>
      </c>
      <c r="C14128">
        <v>11</v>
      </c>
      <c r="D14128" s="11">
        <v>43405</v>
      </c>
      <c r="E14128" t="s">
        <v>2183</v>
      </c>
      <c r="F14128">
        <v>5</v>
      </c>
      <c r="G14128" t="s">
        <v>55</v>
      </c>
      <c r="H14128" t="s">
        <v>46</v>
      </c>
      <c r="I14128" t="s">
        <v>2194</v>
      </c>
      <c r="J14128" s="10">
        <v>1</v>
      </c>
      <c r="K14128" t="b">
        <v>1</v>
      </c>
    </row>
    <row r="14129" spans="1:11">
      <c r="A14129" s="12">
        <v>43406</v>
      </c>
      <c r="B14129">
        <v>2018</v>
      </c>
      <c r="C14129">
        <v>11</v>
      </c>
      <c r="D14129" s="11">
        <v>43405</v>
      </c>
      <c r="E14129" t="s">
        <v>2183</v>
      </c>
      <c r="F14129">
        <v>5</v>
      </c>
      <c r="G14129" t="s">
        <v>55</v>
      </c>
      <c r="H14129" t="s">
        <v>47</v>
      </c>
      <c r="I14129" t="s">
        <v>2195</v>
      </c>
      <c r="J14129" s="10">
        <v>3.3</v>
      </c>
      <c r="K14129" t="b">
        <v>1</v>
      </c>
    </row>
    <row r="14130" spans="1:11">
      <c r="A14130" s="12">
        <v>43407</v>
      </c>
      <c r="B14130">
        <v>2018</v>
      </c>
      <c r="C14130">
        <v>11</v>
      </c>
      <c r="D14130" s="11">
        <v>43405</v>
      </c>
      <c r="E14130" t="s">
        <v>2183</v>
      </c>
      <c r="F14130">
        <v>6</v>
      </c>
      <c r="G14130" t="s">
        <v>57</v>
      </c>
      <c r="H14130" t="s">
        <v>40</v>
      </c>
      <c r="I14130" t="s">
        <v>2188</v>
      </c>
      <c r="J14130" s="10">
        <v>3</v>
      </c>
      <c r="K14130" t="b">
        <v>1</v>
      </c>
    </row>
    <row r="14131" spans="1:11">
      <c r="A14131" s="12">
        <v>43407</v>
      </c>
      <c r="B14131">
        <v>2018</v>
      </c>
      <c r="C14131">
        <v>11</v>
      </c>
      <c r="D14131" s="11">
        <v>43405</v>
      </c>
      <c r="E14131" t="s">
        <v>2183</v>
      </c>
      <c r="F14131">
        <v>6</v>
      </c>
      <c r="G14131" t="s">
        <v>57</v>
      </c>
      <c r="H14131" t="s">
        <v>41</v>
      </c>
      <c r="I14131" t="s">
        <v>2189</v>
      </c>
      <c r="J14131" s="10">
        <v>3</v>
      </c>
      <c r="K14131" t="b">
        <v>1</v>
      </c>
    </row>
    <row r="14132" spans="1:11">
      <c r="A14132" s="12">
        <v>43407</v>
      </c>
      <c r="B14132">
        <v>2018</v>
      </c>
      <c r="C14132">
        <v>11</v>
      </c>
      <c r="D14132" s="11">
        <v>43405</v>
      </c>
      <c r="E14132" t="s">
        <v>2183</v>
      </c>
      <c r="F14132">
        <v>6</v>
      </c>
      <c r="G14132" t="s">
        <v>57</v>
      </c>
      <c r="H14132" t="s">
        <v>42</v>
      </c>
      <c r="I14132" t="s">
        <v>2190</v>
      </c>
      <c r="J14132" s="10">
        <v>6.2</v>
      </c>
      <c r="K14132" t="b">
        <v>1</v>
      </c>
    </row>
    <row r="14133" spans="1:11">
      <c r="A14133" s="12">
        <v>43407</v>
      </c>
      <c r="B14133">
        <v>2018</v>
      </c>
      <c r="C14133">
        <v>11</v>
      </c>
      <c r="D14133" s="11">
        <v>43405</v>
      </c>
      <c r="E14133" t="s">
        <v>2183</v>
      </c>
      <c r="F14133">
        <v>6</v>
      </c>
      <c r="G14133" t="s">
        <v>57</v>
      </c>
      <c r="H14133" t="s">
        <v>43</v>
      </c>
      <c r="I14133" t="s">
        <v>2191</v>
      </c>
      <c r="J14133" s="10">
        <v>45.4</v>
      </c>
      <c r="K14133" t="b">
        <v>1</v>
      </c>
    </row>
    <row r="14134" spans="1:11">
      <c r="A14134" s="12">
        <v>43407</v>
      </c>
      <c r="B14134">
        <v>2018</v>
      </c>
      <c r="C14134">
        <v>11</v>
      </c>
      <c r="D14134" s="11">
        <v>43405</v>
      </c>
      <c r="E14134" t="s">
        <v>2183</v>
      </c>
      <c r="F14134">
        <v>6</v>
      </c>
      <c r="G14134" t="s">
        <v>57</v>
      </c>
      <c r="H14134" t="s">
        <v>44</v>
      </c>
      <c r="I14134" t="s">
        <v>2192</v>
      </c>
      <c r="J14134" s="10">
        <v>2</v>
      </c>
      <c r="K14134" t="b">
        <v>1</v>
      </c>
    </row>
    <row r="14135" spans="1:11">
      <c r="A14135" s="12">
        <v>43407</v>
      </c>
      <c r="B14135">
        <v>2018</v>
      </c>
      <c r="C14135">
        <v>11</v>
      </c>
      <c r="D14135" s="11">
        <v>43405</v>
      </c>
      <c r="E14135" t="s">
        <v>2183</v>
      </c>
      <c r="F14135">
        <v>6</v>
      </c>
      <c r="G14135" t="s">
        <v>57</v>
      </c>
      <c r="H14135" t="s">
        <v>45</v>
      </c>
      <c r="I14135" t="s">
        <v>2193</v>
      </c>
      <c r="J14135" s="10">
        <v>0</v>
      </c>
      <c r="K14135" t="b">
        <v>1</v>
      </c>
    </row>
    <row r="14136" spans="1:11">
      <c r="A14136" s="12">
        <v>43407</v>
      </c>
      <c r="B14136">
        <v>2018</v>
      </c>
      <c r="C14136">
        <v>11</v>
      </c>
      <c r="D14136" s="11">
        <v>43405</v>
      </c>
      <c r="E14136" t="s">
        <v>2183</v>
      </c>
      <c r="F14136">
        <v>6</v>
      </c>
      <c r="G14136" t="s">
        <v>57</v>
      </c>
      <c r="H14136" t="s">
        <v>46</v>
      </c>
      <c r="I14136" t="s">
        <v>2194</v>
      </c>
      <c r="J14136" s="10">
        <v>0</v>
      </c>
      <c r="K14136" t="b">
        <v>1</v>
      </c>
    </row>
    <row r="14137" spans="1:11">
      <c r="A14137" s="12">
        <v>43407</v>
      </c>
      <c r="B14137">
        <v>2018</v>
      </c>
      <c r="C14137">
        <v>11</v>
      </c>
      <c r="D14137" s="11">
        <v>43405</v>
      </c>
      <c r="E14137" t="s">
        <v>2183</v>
      </c>
      <c r="F14137">
        <v>6</v>
      </c>
      <c r="G14137" t="s">
        <v>57</v>
      </c>
      <c r="H14137" t="s">
        <v>47</v>
      </c>
      <c r="I14137" t="s">
        <v>2195</v>
      </c>
      <c r="J14137" s="10">
        <v>2</v>
      </c>
      <c r="K14137" t="b">
        <v>1</v>
      </c>
    </row>
    <row r="14138" spans="1:11">
      <c r="A14138" s="12">
        <v>43408</v>
      </c>
      <c r="B14138">
        <v>2018</v>
      </c>
      <c r="C14138">
        <v>11</v>
      </c>
      <c r="D14138" s="11">
        <v>43405</v>
      </c>
      <c r="E14138" t="s">
        <v>2183</v>
      </c>
      <c r="F14138">
        <v>7</v>
      </c>
      <c r="G14138" t="s">
        <v>59</v>
      </c>
      <c r="H14138" t="s">
        <v>40</v>
      </c>
      <c r="I14138" t="s">
        <v>2188</v>
      </c>
      <c r="J14138" s="10">
        <v>13.99</v>
      </c>
      <c r="K14138" t="b">
        <v>1</v>
      </c>
    </row>
    <row r="14139" spans="1:11">
      <c r="A14139" s="12">
        <v>43408</v>
      </c>
      <c r="B14139">
        <v>2018</v>
      </c>
      <c r="C14139">
        <v>11</v>
      </c>
      <c r="D14139" s="11">
        <v>43405</v>
      </c>
      <c r="E14139" t="s">
        <v>2183</v>
      </c>
      <c r="F14139">
        <v>7</v>
      </c>
      <c r="G14139" t="s">
        <v>59</v>
      </c>
      <c r="H14139" t="s">
        <v>41</v>
      </c>
      <c r="I14139" t="s">
        <v>2189</v>
      </c>
      <c r="J14139" s="10">
        <v>4.896</v>
      </c>
      <c r="K14139" t="b">
        <v>1</v>
      </c>
    </row>
    <row r="14140" spans="1:11">
      <c r="A14140" s="12">
        <v>43408</v>
      </c>
      <c r="B14140">
        <v>2018</v>
      </c>
      <c r="C14140">
        <v>11</v>
      </c>
      <c r="D14140" s="11">
        <v>43405</v>
      </c>
      <c r="E14140" t="s">
        <v>2183</v>
      </c>
      <c r="F14140">
        <v>7</v>
      </c>
      <c r="G14140" t="s">
        <v>59</v>
      </c>
      <c r="H14140" t="s">
        <v>42</v>
      </c>
      <c r="I14140" t="s">
        <v>2190</v>
      </c>
      <c r="J14140" s="10">
        <v>0</v>
      </c>
      <c r="K14140" t="b">
        <v>1</v>
      </c>
    </row>
    <row r="14141" spans="1:11">
      <c r="A14141" s="12">
        <v>43408</v>
      </c>
      <c r="B14141">
        <v>2018</v>
      </c>
      <c r="C14141">
        <v>11</v>
      </c>
      <c r="D14141" s="11">
        <v>43405</v>
      </c>
      <c r="E14141" t="s">
        <v>2183</v>
      </c>
      <c r="F14141">
        <v>7</v>
      </c>
      <c r="G14141" t="s">
        <v>59</v>
      </c>
      <c r="H14141" t="s">
        <v>43</v>
      </c>
      <c r="I14141" t="s">
        <v>2191</v>
      </c>
      <c r="J14141" s="10">
        <v>52</v>
      </c>
      <c r="K14141" t="b">
        <v>1</v>
      </c>
    </row>
    <row r="14142" spans="1:11">
      <c r="A14142" s="12">
        <v>43408</v>
      </c>
      <c r="B14142">
        <v>2018</v>
      </c>
      <c r="C14142">
        <v>11</v>
      </c>
      <c r="D14142" s="11">
        <v>43405</v>
      </c>
      <c r="E14142" t="s">
        <v>2183</v>
      </c>
      <c r="F14142">
        <v>7</v>
      </c>
      <c r="G14142" t="s">
        <v>59</v>
      </c>
      <c r="H14142" t="s">
        <v>44</v>
      </c>
      <c r="I14142" t="s">
        <v>2192</v>
      </c>
      <c r="J14142" s="10">
        <v>7</v>
      </c>
      <c r="K14142" t="b">
        <v>1</v>
      </c>
    </row>
    <row r="14143" spans="1:11">
      <c r="A14143" s="12">
        <v>43408</v>
      </c>
      <c r="B14143">
        <v>2018</v>
      </c>
      <c r="C14143">
        <v>11</v>
      </c>
      <c r="D14143" s="11">
        <v>43405</v>
      </c>
      <c r="E14143" t="s">
        <v>2183</v>
      </c>
      <c r="F14143">
        <v>7</v>
      </c>
      <c r="G14143" t="s">
        <v>59</v>
      </c>
      <c r="H14143" t="s">
        <v>45</v>
      </c>
      <c r="I14143" t="s">
        <v>2193</v>
      </c>
      <c r="J14143" s="10">
        <v>0</v>
      </c>
      <c r="K14143" t="b">
        <v>1</v>
      </c>
    </row>
    <row r="14144" spans="1:11">
      <c r="A14144" s="12">
        <v>43408</v>
      </c>
      <c r="B14144">
        <v>2018</v>
      </c>
      <c r="C14144">
        <v>11</v>
      </c>
      <c r="D14144" s="11">
        <v>43405</v>
      </c>
      <c r="E14144" t="s">
        <v>2183</v>
      </c>
      <c r="F14144">
        <v>7</v>
      </c>
      <c r="G14144" t="s">
        <v>59</v>
      </c>
      <c r="H14144" t="s">
        <v>46</v>
      </c>
      <c r="I14144" t="s">
        <v>2194</v>
      </c>
      <c r="J14144" s="10">
        <v>13</v>
      </c>
      <c r="K14144" t="b">
        <v>1</v>
      </c>
    </row>
    <row r="14145" spans="1:11">
      <c r="A14145" s="12">
        <v>43408</v>
      </c>
      <c r="B14145">
        <v>2018</v>
      </c>
      <c r="C14145">
        <v>11</v>
      </c>
      <c r="D14145" s="11">
        <v>43405</v>
      </c>
      <c r="E14145" t="s">
        <v>2183</v>
      </c>
      <c r="F14145">
        <v>7</v>
      </c>
      <c r="G14145" t="s">
        <v>59</v>
      </c>
      <c r="H14145" t="s">
        <v>47</v>
      </c>
      <c r="I14145" t="s">
        <v>2195</v>
      </c>
      <c r="J14145" s="10">
        <v>1</v>
      </c>
      <c r="K14145" t="b">
        <v>1</v>
      </c>
    </row>
    <row r="14146" spans="1:11">
      <c r="A14146" s="12">
        <v>43409</v>
      </c>
      <c r="B14146">
        <v>2018</v>
      </c>
      <c r="C14146">
        <v>11</v>
      </c>
      <c r="D14146" s="11">
        <v>43405</v>
      </c>
      <c r="E14146" t="s">
        <v>2183</v>
      </c>
      <c r="F14146">
        <v>1</v>
      </c>
      <c r="G14146" t="s">
        <v>61</v>
      </c>
      <c r="H14146" t="s">
        <v>40</v>
      </c>
      <c r="I14146" t="s">
        <v>2188</v>
      </c>
      <c r="J14146" s="10">
        <v>6.33</v>
      </c>
      <c r="K14146" t="b">
        <v>1</v>
      </c>
    </row>
    <row r="14147" spans="1:11">
      <c r="A14147" s="12">
        <v>43409</v>
      </c>
      <c r="B14147">
        <v>2018</v>
      </c>
      <c r="C14147">
        <v>11</v>
      </c>
      <c r="D14147" s="11">
        <v>43405</v>
      </c>
      <c r="E14147" t="s">
        <v>2183</v>
      </c>
      <c r="F14147">
        <v>1</v>
      </c>
      <c r="G14147" t="s">
        <v>61</v>
      </c>
      <c r="H14147" t="s">
        <v>41</v>
      </c>
      <c r="I14147" t="s">
        <v>2189</v>
      </c>
      <c r="J14147" s="10">
        <v>2.34</v>
      </c>
      <c r="K14147" t="b">
        <v>1</v>
      </c>
    </row>
    <row r="14148" spans="1:11">
      <c r="A14148" s="12">
        <v>43409</v>
      </c>
      <c r="B14148">
        <v>2018</v>
      </c>
      <c r="C14148">
        <v>11</v>
      </c>
      <c r="D14148" s="11">
        <v>43405</v>
      </c>
      <c r="E14148" t="s">
        <v>2183</v>
      </c>
      <c r="F14148">
        <v>1</v>
      </c>
      <c r="G14148" t="s">
        <v>61</v>
      </c>
      <c r="H14148" t="s">
        <v>42</v>
      </c>
      <c r="I14148" t="s">
        <v>2190</v>
      </c>
      <c r="J14148" s="10">
        <v>6</v>
      </c>
      <c r="K14148" t="b">
        <v>1</v>
      </c>
    </row>
    <row r="14149" spans="1:11">
      <c r="A14149" s="12">
        <v>43409</v>
      </c>
      <c r="B14149">
        <v>2018</v>
      </c>
      <c r="C14149">
        <v>11</v>
      </c>
      <c r="D14149" s="11">
        <v>43405</v>
      </c>
      <c r="E14149" t="s">
        <v>2183</v>
      </c>
      <c r="F14149">
        <v>1</v>
      </c>
      <c r="G14149" t="s">
        <v>61</v>
      </c>
      <c r="H14149" t="s">
        <v>43</v>
      </c>
      <c r="I14149" t="s">
        <v>2191</v>
      </c>
      <c r="J14149" s="10">
        <v>29</v>
      </c>
      <c r="K14149" t="b">
        <v>1</v>
      </c>
    </row>
    <row r="14150" spans="1:11">
      <c r="A14150" s="12">
        <v>43409</v>
      </c>
      <c r="B14150">
        <v>2018</v>
      </c>
      <c r="C14150">
        <v>11</v>
      </c>
      <c r="D14150" s="11">
        <v>43405</v>
      </c>
      <c r="E14150" t="s">
        <v>2183</v>
      </c>
      <c r="F14150">
        <v>1</v>
      </c>
      <c r="G14150" t="s">
        <v>61</v>
      </c>
      <c r="H14150" t="s">
        <v>44</v>
      </c>
      <c r="I14150" t="s">
        <v>2192</v>
      </c>
      <c r="J14150" s="10">
        <v>14</v>
      </c>
      <c r="K14150" t="b">
        <v>1</v>
      </c>
    </row>
    <row r="14151" spans="1:11">
      <c r="A14151" s="12">
        <v>43409</v>
      </c>
      <c r="B14151">
        <v>2018</v>
      </c>
      <c r="C14151">
        <v>11</v>
      </c>
      <c r="D14151" s="11">
        <v>43405</v>
      </c>
      <c r="E14151" t="s">
        <v>2183</v>
      </c>
      <c r="F14151">
        <v>1</v>
      </c>
      <c r="G14151" t="s">
        <v>61</v>
      </c>
      <c r="H14151" t="s">
        <v>45</v>
      </c>
      <c r="I14151" t="s">
        <v>2193</v>
      </c>
      <c r="J14151" s="10">
        <v>0</v>
      </c>
      <c r="K14151" t="b">
        <v>1</v>
      </c>
    </row>
    <row r="14152" spans="1:11">
      <c r="A14152" s="12">
        <v>43409</v>
      </c>
      <c r="B14152">
        <v>2018</v>
      </c>
      <c r="C14152">
        <v>11</v>
      </c>
      <c r="D14152" s="11">
        <v>43405</v>
      </c>
      <c r="E14152" t="s">
        <v>2183</v>
      </c>
      <c r="F14152">
        <v>1</v>
      </c>
      <c r="G14152" t="s">
        <v>61</v>
      </c>
      <c r="H14152" t="s">
        <v>46</v>
      </c>
      <c r="I14152" t="s">
        <v>2194</v>
      </c>
      <c r="J14152" s="10">
        <v>13</v>
      </c>
      <c r="K14152" t="b">
        <v>1</v>
      </c>
    </row>
    <row r="14153" spans="1:11">
      <c r="A14153" s="12">
        <v>43409</v>
      </c>
      <c r="B14153">
        <v>2018</v>
      </c>
      <c r="C14153">
        <v>11</v>
      </c>
      <c r="D14153" s="11">
        <v>43405</v>
      </c>
      <c r="E14153" t="s">
        <v>2183</v>
      </c>
      <c r="F14153">
        <v>1</v>
      </c>
      <c r="G14153" t="s">
        <v>61</v>
      </c>
      <c r="H14153" t="s">
        <v>47</v>
      </c>
      <c r="I14153" t="s">
        <v>2195</v>
      </c>
      <c r="J14153" s="10">
        <v>2.3</v>
      </c>
      <c r="K14153" t="b">
        <v>1</v>
      </c>
    </row>
    <row r="14154" spans="1:11">
      <c r="A14154" s="12">
        <v>43410</v>
      </c>
      <c r="B14154">
        <v>2018</v>
      </c>
      <c r="C14154">
        <v>11</v>
      </c>
      <c r="D14154" s="11">
        <v>43405</v>
      </c>
      <c r="E14154" t="s">
        <v>2183</v>
      </c>
      <c r="F14154">
        <v>2</v>
      </c>
      <c r="G14154" t="s">
        <v>63</v>
      </c>
      <c r="H14154" t="s">
        <v>40</v>
      </c>
      <c r="I14154" t="s">
        <v>2188</v>
      </c>
      <c r="J14154" s="10">
        <v>3.33</v>
      </c>
      <c r="K14154" t="b">
        <v>1</v>
      </c>
    </row>
    <row r="14155" spans="1:11">
      <c r="A14155" s="12">
        <v>43410</v>
      </c>
      <c r="B14155">
        <v>2018</v>
      </c>
      <c r="C14155">
        <v>11</v>
      </c>
      <c r="D14155" s="11">
        <v>43405</v>
      </c>
      <c r="E14155" t="s">
        <v>2183</v>
      </c>
      <c r="F14155">
        <v>2</v>
      </c>
      <c r="G14155" t="s">
        <v>63</v>
      </c>
      <c r="H14155" t="s">
        <v>41</v>
      </c>
      <c r="I14155" t="s">
        <v>2189</v>
      </c>
      <c r="J14155" s="10">
        <v>6.68</v>
      </c>
      <c r="K14155" t="b">
        <v>1</v>
      </c>
    </row>
    <row r="14156" spans="1:11">
      <c r="A14156" s="12">
        <v>43410</v>
      </c>
      <c r="B14156">
        <v>2018</v>
      </c>
      <c r="C14156">
        <v>11</v>
      </c>
      <c r="D14156" s="11">
        <v>43405</v>
      </c>
      <c r="E14156" t="s">
        <v>2183</v>
      </c>
      <c r="F14156">
        <v>2</v>
      </c>
      <c r="G14156" t="s">
        <v>63</v>
      </c>
      <c r="H14156" t="s">
        <v>42</v>
      </c>
      <c r="I14156" t="s">
        <v>2190</v>
      </c>
      <c r="J14156" s="10">
        <v>10.55</v>
      </c>
      <c r="K14156" t="b">
        <v>1</v>
      </c>
    </row>
    <row r="14157" spans="1:11">
      <c r="A14157" s="12">
        <v>43410</v>
      </c>
      <c r="B14157">
        <v>2018</v>
      </c>
      <c r="C14157">
        <v>11</v>
      </c>
      <c r="D14157" s="11">
        <v>43405</v>
      </c>
      <c r="E14157" t="s">
        <v>2183</v>
      </c>
      <c r="F14157">
        <v>2</v>
      </c>
      <c r="G14157" t="s">
        <v>63</v>
      </c>
      <c r="H14157" t="s">
        <v>43</v>
      </c>
      <c r="I14157" t="s">
        <v>2191</v>
      </c>
      <c r="J14157" s="10">
        <v>37.7</v>
      </c>
      <c r="K14157" t="b">
        <v>1</v>
      </c>
    </row>
    <row r="14158" spans="1:11">
      <c r="A14158" s="12">
        <v>43410</v>
      </c>
      <c r="B14158">
        <v>2018</v>
      </c>
      <c r="C14158">
        <v>11</v>
      </c>
      <c r="D14158" s="11">
        <v>43405</v>
      </c>
      <c r="E14158" t="s">
        <v>2183</v>
      </c>
      <c r="F14158">
        <v>2</v>
      </c>
      <c r="G14158" t="s">
        <v>63</v>
      </c>
      <c r="H14158" t="s">
        <v>44</v>
      </c>
      <c r="I14158" t="s">
        <v>2192</v>
      </c>
      <c r="J14158" s="10">
        <v>8</v>
      </c>
      <c r="K14158" t="b">
        <v>1</v>
      </c>
    </row>
    <row r="14159" spans="1:11">
      <c r="A14159" s="12">
        <v>43410</v>
      </c>
      <c r="B14159">
        <v>2018</v>
      </c>
      <c r="C14159">
        <v>11</v>
      </c>
      <c r="D14159" s="11">
        <v>43405</v>
      </c>
      <c r="E14159" t="s">
        <v>2183</v>
      </c>
      <c r="F14159">
        <v>2</v>
      </c>
      <c r="G14159" t="s">
        <v>63</v>
      </c>
      <c r="H14159" t="s">
        <v>45</v>
      </c>
      <c r="I14159" t="s">
        <v>2193</v>
      </c>
      <c r="J14159" s="10">
        <v>0</v>
      </c>
      <c r="K14159" t="b">
        <v>1</v>
      </c>
    </row>
    <row r="14160" spans="1:11">
      <c r="A14160" s="12">
        <v>43410</v>
      </c>
      <c r="B14160">
        <v>2018</v>
      </c>
      <c r="C14160">
        <v>11</v>
      </c>
      <c r="D14160" s="11">
        <v>43405</v>
      </c>
      <c r="E14160" t="s">
        <v>2183</v>
      </c>
      <c r="F14160">
        <v>2</v>
      </c>
      <c r="G14160" t="s">
        <v>63</v>
      </c>
      <c r="H14160" t="s">
        <v>46</v>
      </c>
      <c r="I14160" t="s">
        <v>2194</v>
      </c>
      <c r="J14160" s="10">
        <v>13</v>
      </c>
      <c r="K14160" t="b">
        <v>1</v>
      </c>
    </row>
    <row r="14161" spans="1:11">
      <c r="A14161" s="12">
        <v>43410</v>
      </c>
      <c r="B14161">
        <v>2018</v>
      </c>
      <c r="C14161">
        <v>11</v>
      </c>
      <c r="D14161" s="11">
        <v>43405</v>
      </c>
      <c r="E14161" t="s">
        <v>2183</v>
      </c>
      <c r="F14161">
        <v>2</v>
      </c>
      <c r="G14161" t="s">
        <v>63</v>
      </c>
      <c r="H14161" t="s">
        <v>47</v>
      </c>
      <c r="I14161" t="s">
        <v>2195</v>
      </c>
      <c r="J14161" s="10">
        <v>2.5</v>
      </c>
      <c r="K14161" t="b">
        <v>1</v>
      </c>
    </row>
    <row r="14162" spans="1:11">
      <c r="A14162" s="12">
        <v>43411</v>
      </c>
      <c r="B14162">
        <v>2018</v>
      </c>
      <c r="C14162">
        <v>11</v>
      </c>
      <c r="D14162" s="11">
        <v>43405</v>
      </c>
      <c r="E14162" t="s">
        <v>2183</v>
      </c>
      <c r="F14162">
        <v>3</v>
      </c>
      <c r="G14162" t="s">
        <v>65</v>
      </c>
      <c r="H14162" t="s">
        <v>40</v>
      </c>
      <c r="I14162" t="s">
        <v>2188</v>
      </c>
      <c r="J14162" s="10">
        <v>7</v>
      </c>
      <c r="K14162" t="b">
        <v>1</v>
      </c>
    </row>
    <row r="14163" spans="1:11">
      <c r="A14163" s="12">
        <v>43411</v>
      </c>
      <c r="B14163">
        <v>2018</v>
      </c>
      <c r="C14163">
        <v>11</v>
      </c>
      <c r="D14163" s="11">
        <v>43405</v>
      </c>
      <c r="E14163" t="s">
        <v>2183</v>
      </c>
      <c r="F14163">
        <v>3</v>
      </c>
      <c r="G14163" t="s">
        <v>65</v>
      </c>
      <c r="H14163" t="s">
        <v>41</v>
      </c>
      <c r="I14163" t="s">
        <v>2189</v>
      </c>
      <c r="J14163" s="10">
        <v>1.863</v>
      </c>
      <c r="K14163" t="b">
        <v>1</v>
      </c>
    </row>
    <row r="14164" spans="1:11">
      <c r="A14164" s="12">
        <v>43411</v>
      </c>
      <c r="B14164">
        <v>2018</v>
      </c>
      <c r="C14164">
        <v>11</v>
      </c>
      <c r="D14164" s="11">
        <v>43405</v>
      </c>
      <c r="E14164" t="s">
        <v>2183</v>
      </c>
      <c r="F14164">
        <v>3</v>
      </c>
      <c r="G14164" t="s">
        <v>65</v>
      </c>
      <c r="H14164" t="s">
        <v>42</v>
      </c>
      <c r="I14164" t="s">
        <v>2190</v>
      </c>
      <c r="J14164" s="10">
        <v>3</v>
      </c>
      <c r="K14164" t="b">
        <v>1</v>
      </c>
    </row>
    <row r="14165" spans="1:11">
      <c r="A14165" s="12">
        <v>43411</v>
      </c>
      <c r="B14165">
        <v>2018</v>
      </c>
      <c r="C14165">
        <v>11</v>
      </c>
      <c r="D14165" s="11">
        <v>43405</v>
      </c>
      <c r="E14165" t="s">
        <v>2183</v>
      </c>
      <c r="F14165">
        <v>3</v>
      </c>
      <c r="G14165" t="s">
        <v>65</v>
      </c>
      <c r="H14165" t="s">
        <v>43</v>
      </c>
      <c r="I14165" t="s">
        <v>2191</v>
      </c>
      <c r="J14165" s="10">
        <v>38.9</v>
      </c>
      <c r="K14165" t="b">
        <v>1</v>
      </c>
    </row>
    <row r="14166" spans="1:11">
      <c r="A14166" s="12">
        <v>43411</v>
      </c>
      <c r="B14166">
        <v>2018</v>
      </c>
      <c r="C14166">
        <v>11</v>
      </c>
      <c r="D14166" s="11">
        <v>43405</v>
      </c>
      <c r="E14166" t="s">
        <v>2183</v>
      </c>
      <c r="F14166">
        <v>3</v>
      </c>
      <c r="G14166" t="s">
        <v>65</v>
      </c>
      <c r="H14166" t="s">
        <v>44</v>
      </c>
      <c r="I14166" t="s">
        <v>2192</v>
      </c>
      <c r="J14166" s="10">
        <v>15</v>
      </c>
      <c r="K14166" t="b">
        <v>1</v>
      </c>
    </row>
    <row r="14167" spans="1:11">
      <c r="A14167" s="12">
        <v>43411</v>
      </c>
      <c r="B14167">
        <v>2018</v>
      </c>
      <c r="C14167">
        <v>11</v>
      </c>
      <c r="D14167" s="11">
        <v>43405</v>
      </c>
      <c r="E14167" t="s">
        <v>2183</v>
      </c>
      <c r="F14167">
        <v>3</v>
      </c>
      <c r="G14167" t="s">
        <v>65</v>
      </c>
      <c r="H14167" t="s">
        <v>45</v>
      </c>
      <c r="I14167" t="s">
        <v>2193</v>
      </c>
      <c r="J14167" s="10">
        <v>3</v>
      </c>
      <c r="K14167" t="b">
        <v>1</v>
      </c>
    </row>
    <row r="14168" spans="1:11">
      <c r="A14168" s="12">
        <v>43411</v>
      </c>
      <c r="B14168">
        <v>2018</v>
      </c>
      <c r="C14168">
        <v>11</v>
      </c>
      <c r="D14168" s="11">
        <v>43405</v>
      </c>
      <c r="E14168" t="s">
        <v>2183</v>
      </c>
      <c r="F14168">
        <v>3</v>
      </c>
      <c r="G14168" t="s">
        <v>65</v>
      </c>
      <c r="H14168" t="s">
        <v>46</v>
      </c>
      <c r="I14168" t="s">
        <v>2194</v>
      </c>
      <c r="J14168" s="10">
        <v>8</v>
      </c>
      <c r="K14168" t="b">
        <v>1</v>
      </c>
    </row>
    <row r="14169" spans="1:11">
      <c r="A14169" s="12">
        <v>43411</v>
      </c>
      <c r="B14169">
        <v>2018</v>
      </c>
      <c r="C14169">
        <v>11</v>
      </c>
      <c r="D14169" s="11">
        <v>43405</v>
      </c>
      <c r="E14169" t="s">
        <v>2183</v>
      </c>
      <c r="F14169">
        <v>3</v>
      </c>
      <c r="G14169" t="s">
        <v>65</v>
      </c>
      <c r="H14169" t="s">
        <v>47</v>
      </c>
      <c r="I14169" t="s">
        <v>2195</v>
      </c>
      <c r="J14169" s="10">
        <v>0</v>
      </c>
      <c r="K14169" t="b">
        <v>1</v>
      </c>
    </row>
    <row r="14170" spans="1:11">
      <c r="A14170" s="12">
        <v>43412</v>
      </c>
      <c r="B14170">
        <v>2018</v>
      </c>
      <c r="C14170">
        <v>11</v>
      </c>
      <c r="D14170" s="11">
        <v>43405</v>
      </c>
      <c r="E14170" t="s">
        <v>2183</v>
      </c>
      <c r="F14170">
        <v>4</v>
      </c>
      <c r="G14170" t="s">
        <v>53</v>
      </c>
      <c r="H14170" t="s">
        <v>40</v>
      </c>
      <c r="I14170" t="s">
        <v>2188</v>
      </c>
      <c r="J14170" s="10">
        <v>3</v>
      </c>
      <c r="K14170" t="b">
        <v>1</v>
      </c>
    </row>
    <row r="14171" spans="1:11">
      <c r="A14171" s="12">
        <v>43412</v>
      </c>
      <c r="B14171">
        <v>2018</v>
      </c>
      <c r="C14171">
        <v>11</v>
      </c>
      <c r="D14171" s="11">
        <v>43405</v>
      </c>
      <c r="E14171" t="s">
        <v>2183</v>
      </c>
      <c r="F14171">
        <v>4</v>
      </c>
      <c r="G14171" t="s">
        <v>53</v>
      </c>
      <c r="H14171" t="s">
        <v>41</v>
      </c>
      <c r="I14171" t="s">
        <v>2189</v>
      </c>
      <c r="J14171" s="10">
        <v>1.573</v>
      </c>
      <c r="K14171" t="b">
        <v>1</v>
      </c>
    </row>
    <row r="14172" spans="1:11">
      <c r="A14172" s="12">
        <v>43412</v>
      </c>
      <c r="B14172">
        <v>2018</v>
      </c>
      <c r="C14172">
        <v>11</v>
      </c>
      <c r="D14172" s="11">
        <v>43405</v>
      </c>
      <c r="E14172" t="s">
        <v>2183</v>
      </c>
      <c r="F14172">
        <v>4</v>
      </c>
      <c r="G14172" t="s">
        <v>53</v>
      </c>
      <c r="H14172" t="s">
        <v>42</v>
      </c>
      <c r="I14172" t="s">
        <v>2190</v>
      </c>
      <c r="J14172" s="10">
        <v>6</v>
      </c>
      <c r="K14172" t="b">
        <v>1</v>
      </c>
    </row>
    <row r="14173" spans="1:11">
      <c r="A14173" s="12">
        <v>43412</v>
      </c>
      <c r="B14173">
        <v>2018</v>
      </c>
      <c r="C14173">
        <v>11</v>
      </c>
      <c r="D14173" s="11">
        <v>43405</v>
      </c>
      <c r="E14173" t="s">
        <v>2183</v>
      </c>
      <c r="F14173">
        <v>4</v>
      </c>
      <c r="G14173" t="s">
        <v>53</v>
      </c>
      <c r="H14173" t="s">
        <v>43</v>
      </c>
      <c r="I14173" t="s">
        <v>2191</v>
      </c>
      <c r="J14173" s="10">
        <v>38</v>
      </c>
      <c r="K14173" t="b">
        <v>1</v>
      </c>
    </row>
    <row r="14174" spans="1:11">
      <c r="A14174" s="12">
        <v>43412</v>
      </c>
      <c r="B14174">
        <v>2018</v>
      </c>
      <c r="C14174">
        <v>11</v>
      </c>
      <c r="D14174" s="11">
        <v>43405</v>
      </c>
      <c r="E14174" t="s">
        <v>2183</v>
      </c>
      <c r="F14174">
        <v>4</v>
      </c>
      <c r="G14174" t="s">
        <v>53</v>
      </c>
      <c r="H14174" t="s">
        <v>44</v>
      </c>
      <c r="I14174" t="s">
        <v>2192</v>
      </c>
      <c r="J14174" s="10">
        <v>5</v>
      </c>
      <c r="K14174" t="b">
        <v>1</v>
      </c>
    </row>
    <row r="14175" spans="1:11">
      <c r="A14175" s="12">
        <v>43412</v>
      </c>
      <c r="B14175">
        <v>2018</v>
      </c>
      <c r="C14175">
        <v>11</v>
      </c>
      <c r="D14175" s="11">
        <v>43405</v>
      </c>
      <c r="E14175" t="s">
        <v>2183</v>
      </c>
      <c r="F14175">
        <v>4</v>
      </c>
      <c r="G14175" t="s">
        <v>53</v>
      </c>
      <c r="H14175" t="s">
        <v>45</v>
      </c>
      <c r="I14175" t="s">
        <v>2193</v>
      </c>
      <c r="J14175" s="10">
        <v>0</v>
      </c>
      <c r="K14175" t="b">
        <v>1</v>
      </c>
    </row>
    <row r="14176" spans="1:11">
      <c r="A14176" s="12">
        <v>43412</v>
      </c>
      <c r="B14176">
        <v>2018</v>
      </c>
      <c r="C14176">
        <v>11</v>
      </c>
      <c r="D14176" s="11">
        <v>43405</v>
      </c>
      <c r="E14176" t="s">
        <v>2183</v>
      </c>
      <c r="F14176">
        <v>4</v>
      </c>
      <c r="G14176" t="s">
        <v>53</v>
      </c>
      <c r="H14176" t="s">
        <v>46</v>
      </c>
      <c r="I14176" t="s">
        <v>2194</v>
      </c>
      <c r="J14176" s="10">
        <v>16</v>
      </c>
      <c r="K14176" t="b">
        <v>1</v>
      </c>
    </row>
    <row r="14177" spans="1:11">
      <c r="A14177" s="12">
        <v>43412</v>
      </c>
      <c r="B14177">
        <v>2018</v>
      </c>
      <c r="C14177">
        <v>11</v>
      </c>
      <c r="D14177" s="11">
        <v>43405</v>
      </c>
      <c r="E14177" t="s">
        <v>2183</v>
      </c>
      <c r="F14177">
        <v>4</v>
      </c>
      <c r="G14177" t="s">
        <v>53</v>
      </c>
      <c r="H14177" t="s">
        <v>47</v>
      </c>
      <c r="I14177" t="s">
        <v>2195</v>
      </c>
      <c r="J14177" s="10">
        <v>2</v>
      </c>
      <c r="K14177" t="b">
        <v>1</v>
      </c>
    </row>
    <row r="14178" spans="1:11">
      <c r="A14178" s="12">
        <v>43413</v>
      </c>
      <c r="B14178">
        <v>2018</v>
      </c>
      <c r="C14178">
        <v>11</v>
      </c>
      <c r="D14178" s="11">
        <v>43405</v>
      </c>
      <c r="E14178" t="s">
        <v>2183</v>
      </c>
      <c r="F14178">
        <v>5</v>
      </c>
      <c r="G14178" t="s">
        <v>55</v>
      </c>
      <c r="H14178" t="s">
        <v>40</v>
      </c>
      <c r="I14178" t="s">
        <v>2188</v>
      </c>
      <c r="J14178" s="10">
        <v>5</v>
      </c>
      <c r="K14178" t="b">
        <v>1</v>
      </c>
    </row>
    <row r="14179" spans="1:11">
      <c r="A14179" s="12">
        <v>43413</v>
      </c>
      <c r="B14179">
        <v>2018</v>
      </c>
      <c r="C14179">
        <v>11</v>
      </c>
      <c r="D14179" s="11">
        <v>43405</v>
      </c>
      <c r="E14179" t="s">
        <v>2183</v>
      </c>
      <c r="F14179">
        <v>5</v>
      </c>
      <c r="G14179" t="s">
        <v>55</v>
      </c>
      <c r="H14179" t="s">
        <v>41</v>
      </c>
      <c r="I14179" t="s">
        <v>2189</v>
      </c>
      <c r="J14179" s="10">
        <v>0.67</v>
      </c>
      <c r="K14179" t="b">
        <v>1</v>
      </c>
    </row>
    <row r="14180" spans="1:11">
      <c r="A14180" s="12">
        <v>43413</v>
      </c>
      <c r="B14180">
        <v>2018</v>
      </c>
      <c r="C14180">
        <v>11</v>
      </c>
      <c r="D14180" s="11">
        <v>43405</v>
      </c>
      <c r="E14180" t="s">
        <v>2183</v>
      </c>
      <c r="F14180">
        <v>5</v>
      </c>
      <c r="G14180" t="s">
        <v>55</v>
      </c>
      <c r="H14180" t="s">
        <v>42</v>
      </c>
      <c r="I14180" t="s">
        <v>2190</v>
      </c>
      <c r="J14180" s="10">
        <v>5</v>
      </c>
      <c r="K14180" t="b">
        <v>1</v>
      </c>
    </row>
    <row r="14181" spans="1:11">
      <c r="A14181" s="12">
        <v>43413</v>
      </c>
      <c r="B14181">
        <v>2018</v>
      </c>
      <c r="C14181">
        <v>11</v>
      </c>
      <c r="D14181" s="11">
        <v>43405</v>
      </c>
      <c r="E14181" t="s">
        <v>2183</v>
      </c>
      <c r="F14181">
        <v>5</v>
      </c>
      <c r="G14181" t="s">
        <v>55</v>
      </c>
      <c r="H14181" t="s">
        <v>43</v>
      </c>
      <c r="I14181" t="s">
        <v>2191</v>
      </c>
      <c r="J14181" s="10">
        <v>43</v>
      </c>
      <c r="K14181" t="b">
        <v>1</v>
      </c>
    </row>
    <row r="14182" spans="1:11">
      <c r="A14182" s="12">
        <v>43413</v>
      </c>
      <c r="B14182">
        <v>2018</v>
      </c>
      <c r="C14182">
        <v>11</v>
      </c>
      <c r="D14182" s="11">
        <v>43405</v>
      </c>
      <c r="E14182" t="s">
        <v>2183</v>
      </c>
      <c r="F14182">
        <v>5</v>
      </c>
      <c r="G14182" t="s">
        <v>55</v>
      </c>
      <c r="H14182" t="s">
        <v>44</v>
      </c>
      <c r="I14182" t="s">
        <v>2192</v>
      </c>
      <c r="J14182" s="10">
        <v>7</v>
      </c>
      <c r="K14182" t="b">
        <v>1</v>
      </c>
    </row>
    <row r="14183" spans="1:11">
      <c r="A14183" s="12">
        <v>43413</v>
      </c>
      <c r="B14183">
        <v>2018</v>
      </c>
      <c r="C14183">
        <v>11</v>
      </c>
      <c r="D14183" s="11">
        <v>43405</v>
      </c>
      <c r="E14183" t="s">
        <v>2183</v>
      </c>
      <c r="F14183">
        <v>5</v>
      </c>
      <c r="G14183" t="s">
        <v>55</v>
      </c>
      <c r="H14183" t="s">
        <v>45</v>
      </c>
      <c r="I14183" t="s">
        <v>2193</v>
      </c>
      <c r="J14183" s="10">
        <v>1</v>
      </c>
      <c r="K14183" t="b">
        <v>1</v>
      </c>
    </row>
    <row r="14184" spans="1:11">
      <c r="A14184" s="12">
        <v>43413</v>
      </c>
      <c r="B14184">
        <v>2018</v>
      </c>
      <c r="C14184">
        <v>11</v>
      </c>
      <c r="D14184" s="11">
        <v>43405</v>
      </c>
      <c r="E14184" t="s">
        <v>2183</v>
      </c>
      <c r="F14184">
        <v>5</v>
      </c>
      <c r="G14184" t="s">
        <v>55</v>
      </c>
      <c r="H14184" t="s">
        <v>46</v>
      </c>
      <c r="I14184" t="s">
        <v>2194</v>
      </c>
      <c r="J14184" s="10">
        <v>22</v>
      </c>
      <c r="K14184" t="b">
        <v>1</v>
      </c>
    </row>
    <row r="14185" spans="1:11">
      <c r="A14185" s="12">
        <v>43413</v>
      </c>
      <c r="B14185">
        <v>2018</v>
      </c>
      <c r="C14185">
        <v>11</v>
      </c>
      <c r="D14185" s="11">
        <v>43405</v>
      </c>
      <c r="E14185" t="s">
        <v>2183</v>
      </c>
      <c r="F14185">
        <v>5</v>
      </c>
      <c r="G14185" t="s">
        <v>55</v>
      </c>
      <c r="H14185" t="s">
        <v>47</v>
      </c>
      <c r="I14185" t="s">
        <v>2195</v>
      </c>
      <c r="J14185" s="10">
        <v>0</v>
      </c>
      <c r="K14185" t="b">
        <v>1</v>
      </c>
    </row>
    <row r="14186" spans="1:11">
      <c r="A14186" s="12">
        <v>43414</v>
      </c>
      <c r="B14186">
        <v>2018</v>
      </c>
      <c r="C14186">
        <v>11</v>
      </c>
      <c r="D14186" s="11">
        <v>43405</v>
      </c>
      <c r="E14186" t="s">
        <v>2183</v>
      </c>
      <c r="F14186">
        <v>6</v>
      </c>
      <c r="G14186" t="s">
        <v>57</v>
      </c>
      <c r="H14186" t="s">
        <v>40</v>
      </c>
      <c r="I14186" t="s">
        <v>2188</v>
      </c>
      <c r="J14186" s="10">
        <v>4.33</v>
      </c>
      <c r="K14186" t="b">
        <v>1</v>
      </c>
    </row>
    <row r="14187" spans="1:11">
      <c r="A14187" s="12">
        <v>43414</v>
      </c>
      <c r="B14187">
        <v>2018</v>
      </c>
      <c r="C14187">
        <v>11</v>
      </c>
      <c r="D14187" s="11">
        <v>43405</v>
      </c>
      <c r="E14187" t="s">
        <v>2183</v>
      </c>
      <c r="F14187">
        <v>6</v>
      </c>
      <c r="G14187" t="s">
        <v>57</v>
      </c>
      <c r="H14187" t="s">
        <v>41</v>
      </c>
      <c r="I14187" t="s">
        <v>2189</v>
      </c>
      <c r="J14187" s="10">
        <v>2.417</v>
      </c>
      <c r="K14187" t="b">
        <v>1</v>
      </c>
    </row>
    <row r="14188" spans="1:11">
      <c r="A14188" s="12">
        <v>43414</v>
      </c>
      <c r="B14188">
        <v>2018</v>
      </c>
      <c r="C14188">
        <v>11</v>
      </c>
      <c r="D14188" s="11">
        <v>43405</v>
      </c>
      <c r="E14188" t="s">
        <v>2183</v>
      </c>
      <c r="F14188">
        <v>6</v>
      </c>
      <c r="G14188" t="s">
        <v>57</v>
      </c>
      <c r="H14188" t="s">
        <v>42</v>
      </c>
      <c r="I14188" t="s">
        <v>2190</v>
      </c>
      <c r="J14188" s="10">
        <v>2</v>
      </c>
      <c r="K14188" t="b">
        <v>1</v>
      </c>
    </row>
    <row r="14189" spans="1:11">
      <c r="A14189" s="12">
        <v>43414</v>
      </c>
      <c r="B14189">
        <v>2018</v>
      </c>
      <c r="C14189">
        <v>11</v>
      </c>
      <c r="D14189" s="11">
        <v>43405</v>
      </c>
      <c r="E14189" t="s">
        <v>2183</v>
      </c>
      <c r="F14189">
        <v>6</v>
      </c>
      <c r="G14189" t="s">
        <v>57</v>
      </c>
      <c r="H14189" t="s">
        <v>43</v>
      </c>
      <c r="I14189" t="s">
        <v>2191</v>
      </c>
      <c r="J14189" s="10">
        <v>35.6</v>
      </c>
      <c r="K14189" t="b">
        <v>1</v>
      </c>
    </row>
    <row r="14190" spans="1:11">
      <c r="A14190" s="12">
        <v>43414</v>
      </c>
      <c r="B14190">
        <v>2018</v>
      </c>
      <c r="C14190">
        <v>11</v>
      </c>
      <c r="D14190" s="11">
        <v>43405</v>
      </c>
      <c r="E14190" t="s">
        <v>2183</v>
      </c>
      <c r="F14190">
        <v>6</v>
      </c>
      <c r="G14190" t="s">
        <v>57</v>
      </c>
      <c r="H14190" t="s">
        <v>44</v>
      </c>
      <c r="I14190" t="s">
        <v>2192</v>
      </c>
      <c r="J14190" s="10">
        <v>7</v>
      </c>
      <c r="K14190" t="b">
        <v>1</v>
      </c>
    </row>
    <row r="14191" spans="1:11">
      <c r="A14191" s="12">
        <v>43414</v>
      </c>
      <c r="B14191">
        <v>2018</v>
      </c>
      <c r="C14191">
        <v>11</v>
      </c>
      <c r="D14191" s="11">
        <v>43405</v>
      </c>
      <c r="E14191" t="s">
        <v>2183</v>
      </c>
      <c r="F14191">
        <v>6</v>
      </c>
      <c r="G14191" t="s">
        <v>57</v>
      </c>
      <c r="H14191" t="s">
        <v>45</v>
      </c>
      <c r="I14191" t="s">
        <v>2193</v>
      </c>
      <c r="J14191" s="10">
        <v>1</v>
      </c>
      <c r="K14191" t="b">
        <v>1</v>
      </c>
    </row>
    <row r="14192" spans="1:11">
      <c r="A14192" s="12">
        <v>43414</v>
      </c>
      <c r="B14192">
        <v>2018</v>
      </c>
      <c r="C14192">
        <v>11</v>
      </c>
      <c r="D14192" s="11">
        <v>43405</v>
      </c>
      <c r="E14192" t="s">
        <v>2183</v>
      </c>
      <c r="F14192">
        <v>6</v>
      </c>
      <c r="G14192" t="s">
        <v>57</v>
      </c>
      <c r="H14192" t="s">
        <v>46</v>
      </c>
      <c r="I14192" t="s">
        <v>2194</v>
      </c>
      <c r="J14192" s="10">
        <v>11</v>
      </c>
      <c r="K14192" t="b">
        <v>1</v>
      </c>
    </row>
    <row r="14193" spans="1:11">
      <c r="A14193" s="12">
        <v>43414</v>
      </c>
      <c r="B14193">
        <v>2018</v>
      </c>
      <c r="C14193">
        <v>11</v>
      </c>
      <c r="D14193" s="11">
        <v>43405</v>
      </c>
      <c r="E14193" t="s">
        <v>2183</v>
      </c>
      <c r="F14193">
        <v>6</v>
      </c>
      <c r="G14193" t="s">
        <v>57</v>
      </c>
      <c r="H14193" t="s">
        <v>47</v>
      </c>
      <c r="I14193" t="s">
        <v>2195</v>
      </c>
      <c r="J14193" s="10">
        <v>1.1</v>
      </c>
      <c r="K14193" t="b">
        <v>1</v>
      </c>
    </row>
    <row r="14194" spans="1:11">
      <c r="A14194" s="12">
        <v>43415</v>
      </c>
      <c r="B14194">
        <v>2018</v>
      </c>
      <c r="C14194">
        <v>11</v>
      </c>
      <c r="D14194" s="11">
        <v>43405</v>
      </c>
      <c r="E14194" t="s">
        <v>2183</v>
      </c>
      <c r="F14194">
        <v>7</v>
      </c>
      <c r="G14194" t="s">
        <v>59</v>
      </c>
      <c r="H14194" t="s">
        <v>40</v>
      </c>
      <c r="I14194" t="s">
        <v>2188</v>
      </c>
      <c r="J14194" s="10">
        <v>11</v>
      </c>
      <c r="K14194" t="b">
        <v>1</v>
      </c>
    </row>
    <row r="14195" spans="1:11">
      <c r="A14195" s="12">
        <v>43415</v>
      </c>
      <c r="B14195">
        <v>2018</v>
      </c>
      <c r="C14195">
        <v>11</v>
      </c>
      <c r="D14195" s="11">
        <v>43405</v>
      </c>
      <c r="E14195" t="s">
        <v>2183</v>
      </c>
      <c r="F14195">
        <v>7</v>
      </c>
      <c r="G14195" t="s">
        <v>59</v>
      </c>
      <c r="H14195" t="s">
        <v>41</v>
      </c>
      <c r="I14195" t="s">
        <v>2189</v>
      </c>
      <c r="J14195" s="10">
        <v>4.246</v>
      </c>
      <c r="K14195" t="b">
        <v>1</v>
      </c>
    </row>
    <row r="14196" spans="1:11">
      <c r="A14196" s="12">
        <v>43415</v>
      </c>
      <c r="B14196">
        <v>2018</v>
      </c>
      <c r="C14196">
        <v>11</v>
      </c>
      <c r="D14196" s="11">
        <v>43405</v>
      </c>
      <c r="E14196" t="s">
        <v>2183</v>
      </c>
      <c r="F14196">
        <v>7</v>
      </c>
      <c r="G14196" t="s">
        <v>59</v>
      </c>
      <c r="H14196" t="s">
        <v>42</v>
      </c>
      <c r="I14196" t="s">
        <v>2190</v>
      </c>
      <c r="J14196" s="10">
        <v>2</v>
      </c>
      <c r="K14196" t="b">
        <v>1</v>
      </c>
    </row>
    <row r="14197" spans="1:11">
      <c r="A14197" s="12">
        <v>43415</v>
      </c>
      <c r="B14197">
        <v>2018</v>
      </c>
      <c r="C14197">
        <v>11</v>
      </c>
      <c r="D14197" s="11">
        <v>43405</v>
      </c>
      <c r="E14197" t="s">
        <v>2183</v>
      </c>
      <c r="F14197">
        <v>7</v>
      </c>
      <c r="G14197" t="s">
        <v>59</v>
      </c>
      <c r="H14197" t="s">
        <v>43</v>
      </c>
      <c r="I14197" t="s">
        <v>2191</v>
      </c>
      <c r="J14197" s="10">
        <v>33.65</v>
      </c>
      <c r="K14197" t="b">
        <v>1</v>
      </c>
    </row>
    <row r="14198" spans="1:11">
      <c r="A14198" s="12">
        <v>43415</v>
      </c>
      <c r="B14198">
        <v>2018</v>
      </c>
      <c r="C14198">
        <v>11</v>
      </c>
      <c r="D14198" s="11">
        <v>43405</v>
      </c>
      <c r="E14198" t="s">
        <v>2183</v>
      </c>
      <c r="F14198">
        <v>7</v>
      </c>
      <c r="G14198" t="s">
        <v>59</v>
      </c>
      <c r="H14198" t="s">
        <v>44</v>
      </c>
      <c r="I14198" t="s">
        <v>2192</v>
      </c>
      <c r="J14198" s="10">
        <v>14</v>
      </c>
      <c r="K14198" t="b">
        <v>1</v>
      </c>
    </row>
    <row r="14199" spans="1:11">
      <c r="A14199" s="12">
        <v>43415</v>
      </c>
      <c r="B14199">
        <v>2018</v>
      </c>
      <c r="C14199">
        <v>11</v>
      </c>
      <c r="D14199" s="11">
        <v>43405</v>
      </c>
      <c r="E14199" t="s">
        <v>2183</v>
      </c>
      <c r="F14199">
        <v>7</v>
      </c>
      <c r="G14199" t="s">
        <v>59</v>
      </c>
      <c r="H14199" t="s">
        <v>45</v>
      </c>
      <c r="I14199" t="s">
        <v>2193</v>
      </c>
      <c r="J14199" s="10">
        <v>0</v>
      </c>
      <c r="K14199" t="b">
        <v>1</v>
      </c>
    </row>
    <row r="14200" spans="1:11">
      <c r="A14200" s="12">
        <v>43415</v>
      </c>
      <c r="B14200">
        <v>2018</v>
      </c>
      <c r="C14200">
        <v>11</v>
      </c>
      <c r="D14200" s="11">
        <v>43405</v>
      </c>
      <c r="E14200" t="s">
        <v>2183</v>
      </c>
      <c r="F14200">
        <v>7</v>
      </c>
      <c r="G14200" t="s">
        <v>59</v>
      </c>
      <c r="H14200" t="s">
        <v>46</v>
      </c>
      <c r="I14200" t="s">
        <v>2194</v>
      </c>
      <c r="J14200" s="10">
        <v>10</v>
      </c>
      <c r="K14200" t="b">
        <v>1</v>
      </c>
    </row>
    <row r="14201" spans="1:11">
      <c r="A14201" s="12">
        <v>43415</v>
      </c>
      <c r="B14201">
        <v>2018</v>
      </c>
      <c r="C14201">
        <v>11</v>
      </c>
      <c r="D14201" s="11">
        <v>43405</v>
      </c>
      <c r="E14201" t="s">
        <v>2183</v>
      </c>
      <c r="F14201">
        <v>7</v>
      </c>
      <c r="G14201" t="s">
        <v>59</v>
      </c>
      <c r="H14201" t="s">
        <v>47</v>
      </c>
      <c r="I14201" t="s">
        <v>2195</v>
      </c>
      <c r="J14201" s="10">
        <v>1</v>
      </c>
      <c r="K14201" t="b">
        <v>1</v>
      </c>
    </row>
    <row r="14202" spans="1:11">
      <c r="A14202" s="12">
        <v>43416</v>
      </c>
      <c r="B14202">
        <v>2018</v>
      </c>
      <c r="C14202">
        <v>11</v>
      </c>
      <c r="D14202" s="11">
        <v>43405</v>
      </c>
      <c r="E14202" t="s">
        <v>2183</v>
      </c>
      <c r="F14202">
        <v>1</v>
      </c>
      <c r="G14202" t="s">
        <v>61</v>
      </c>
      <c r="H14202" t="s">
        <v>40</v>
      </c>
      <c r="I14202" t="s">
        <v>2188</v>
      </c>
      <c r="J14202" s="10">
        <v>2.34</v>
      </c>
      <c r="K14202" t="b">
        <v>1</v>
      </c>
    </row>
    <row r="14203" spans="1:11">
      <c r="A14203" s="12">
        <v>43416</v>
      </c>
      <c r="B14203">
        <v>2018</v>
      </c>
      <c r="C14203">
        <v>11</v>
      </c>
      <c r="D14203" s="11">
        <v>43405</v>
      </c>
      <c r="E14203" t="s">
        <v>2183</v>
      </c>
      <c r="F14203">
        <v>1</v>
      </c>
      <c r="G14203" t="s">
        <v>61</v>
      </c>
      <c r="H14203" t="s">
        <v>41</v>
      </c>
      <c r="I14203" t="s">
        <v>2189</v>
      </c>
      <c r="J14203" s="10">
        <v>2.33</v>
      </c>
      <c r="K14203" t="b">
        <v>1</v>
      </c>
    </row>
    <row r="14204" spans="1:11">
      <c r="A14204" s="12">
        <v>43416</v>
      </c>
      <c r="B14204">
        <v>2018</v>
      </c>
      <c r="C14204">
        <v>11</v>
      </c>
      <c r="D14204" s="11">
        <v>43405</v>
      </c>
      <c r="E14204" t="s">
        <v>2183</v>
      </c>
      <c r="F14204">
        <v>1</v>
      </c>
      <c r="G14204" t="s">
        <v>61</v>
      </c>
      <c r="H14204" t="s">
        <v>42</v>
      </c>
      <c r="I14204" t="s">
        <v>2190</v>
      </c>
      <c r="J14204" s="10">
        <v>7</v>
      </c>
      <c r="K14204" t="b">
        <v>1</v>
      </c>
    </row>
    <row r="14205" spans="1:11">
      <c r="A14205" s="12">
        <v>43416</v>
      </c>
      <c r="B14205">
        <v>2018</v>
      </c>
      <c r="C14205">
        <v>11</v>
      </c>
      <c r="D14205" s="11">
        <v>43405</v>
      </c>
      <c r="E14205" t="s">
        <v>2183</v>
      </c>
      <c r="F14205">
        <v>1</v>
      </c>
      <c r="G14205" t="s">
        <v>61</v>
      </c>
      <c r="H14205" t="s">
        <v>43</v>
      </c>
      <c r="I14205" t="s">
        <v>2191</v>
      </c>
      <c r="J14205" s="10">
        <v>35</v>
      </c>
      <c r="K14205" t="b">
        <v>1</v>
      </c>
    </row>
    <row r="14206" spans="1:11">
      <c r="A14206" s="12">
        <v>43416</v>
      </c>
      <c r="B14206">
        <v>2018</v>
      </c>
      <c r="C14206">
        <v>11</v>
      </c>
      <c r="D14206" s="11">
        <v>43405</v>
      </c>
      <c r="E14206" t="s">
        <v>2183</v>
      </c>
      <c r="F14206">
        <v>1</v>
      </c>
      <c r="G14206" t="s">
        <v>61</v>
      </c>
      <c r="H14206" t="s">
        <v>44</v>
      </c>
      <c r="I14206" t="s">
        <v>2192</v>
      </c>
      <c r="J14206" s="10">
        <v>15</v>
      </c>
      <c r="K14206" t="b">
        <v>1</v>
      </c>
    </row>
    <row r="14207" spans="1:11">
      <c r="A14207" s="12">
        <v>43416</v>
      </c>
      <c r="B14207">
        <v>2018</v>
      </c>
      <c r="C14207">
        <v>11</v>
      </c>
      <c r="D14207" s="11">
        <v>43405</v>
      </c>
      <c r="E14207" t="s">
        <v>2183</v>
      </c>
      <c r="F14207">
        <v>1</v>
      </c>
      <c r="G14207" t="s">
        <v>61</v>
      </c>
      <c r="H14207" t="s">
        <v>45</v>
      </c>
      <c r="I14207" t="s">
        <v>2193</v>
      </c>
      <c r="J14207" s="10">
        <v>2</v>
      </c>
      <c r="K14207" t="b">
        <v>1</v>
      </c>
    </row>
    <row r="14208" spans="1:11">
      <c r="A14208" s="12">
        <v>43416</v>
      </c>
      <c r="B14208">
        <v>2018</v>
      </c>
      <c r="C14208">
        <v>11</v>
      </c>
      <c r="D14208" s="11">
        <v>43405</v>
      </c>
      <c r="E14208" t="s">
        <v>2183</v>
      </c>
      <c r="F14208">
        <v>1</v>
      </c>
      <c r="G14208" t="s">
        <v>61</v>
      </c>
      <c r="H14208" t="s">
        <v>46</v>
      </c>
      <c r="I14208" t="s">
        <v>2194</v>
      </c>
      <c r="J14208" s="10">
        <v>24</v>
      </c>
      <c r="K14208" t="b">
        <v>1</v>
      </c>
    </row>
    <row r="14209" spans="1:11">
      <c r="A14209" s="12">
        <v>43416</v>
      </c>
      <c r="B14209">
        <v>2018</v>
      </c>
      <c r="C14209">
        <v>11</v>
      </c>
      <c r="D14209" s="11">
        <v>43405</v>
      </c>
      <c r="E14209" t="s">
        <v>2183</v>
      </c>
      <c r="F14209">
        <v>1</v>
      </c>
      <c r="G14209" t="s">
        <v>61</v>
      </c>
      <c r="H14209" t="s">
        <v>47</v>
      </c>
      <c r="I14209" t="s">
        <v>2195</v>
      </c>
      <c r="J14209" s="10">
        <v>1</v>
      </c>
      <c r="K14209" t="b">
        <v>1</v>
      </c>
    </row>
    <row r="14210" spans="1:11">
      <c r="A14210" s="12">
        <v>43417</v>
      </c>
      <c r="B14210">
        <v>2018</v>
      </c>
      <c r="C14210">
        <v>11</v>
      </c>
      <c r="D14210" s="11">
        <v>43405</v>
      </c>
      <c r="E14210" t="s">
        <v>2183</v>
      </c>
      <c r="F14210">
        <v>2</v>
      </c>
      <c r="G14210" t="s">
        <v>63</v>
      </c>
      <c r="H14210" t="s">
        <v>40</v>
      </c>
      <c r="I14210" t="s">
        <v>2188</v>
      </c>
      <c r="J14210" s="10">
        <v>6.33</v>
      </c>
      <c r="K14210" t="b">
        <v>1</v>
      </c>
    </row>
    <row r="14211" spans="1:11">
      <c r="A14211" s="12">
        <v>43417</v>
      </c>
      <c r="B14211">
        <v>2018</v>
      </c>
      <c r="C14211">
        <v>11</v>
      </c>
      <c r="D14211" s="11">
        <v>43405</v>
      </c>
      <c r="E14211" t="s">
        <v>2183</v>
      </c>
      <c r="F14211">
        <v>2</v>
      </c>
      <c r="G14211" t="s">
        <v>63</v>
      </c>
      <c r="H14211" t="s">
        <v>41</v>
      </c>
      <c r="I14211" t="s">
        <v>2189</v>
      </c>
      <c r="J14211" s="10">
        <v>5.35</v>
      </c>
      <c r="K14211" t="b">
        <v>1</v>
      </c>
    </row>
    <row r="14212" spans="1:11">
      <c r="A14212" s="12">
        <v>43417</v>
      </c>
      <c r="B14212">
        <v>2018</v>
      </c>
      <c r="C14212">
        <v>11</v>
      </c>
      <c r="D14212" s="11">
        <v>43405</v>
      </c>
      <c r="E14212" t="s">
        <v>2183</v>
      </c>
      <c r="F14212">
        <v>2</v>
      </c>
      <c r="G14212" t="s">
        <v>63</v>
      </c>
      <c r="H14212" t="s">
        <v>42</v>
      </c>
      <c r="I14212" t="s">
        <v>2190</v>
      </c>
      <c r="J14212" s="10">
        <v>6</v>
      </c>
      <c r="K14212" t="b">
        <v>1</v>
      </c>
    </row>
    <row r="14213" spans="1:11">
      <c r="A14213" s="12">
        <v>43417</v>
      </c>
      <c r="B14213">
        <v>2018</v>
      </c>
      <c r="C14213">
        <v>11</v>
      </c>
      <c r="D14213" s="11">
        <v>43405</v>
      </c>
      <c r="E14213" t="s">
        <v>2183</v>
      </c>
      <c r="F14213">
        <v>2</v>
      </c>
      <c r="G14213" t="s">
        <v>63</v>
      </c>
      <c r="H14213" t="s">
        <v>43</v>
      </c>
      <c r="I14213" t="s">
        <v>2191</v>
      </c>
      <c r="J14213" s="10">
        <v>29.7</v>
      </c>
      <c r="K14213" t="b">
        <v>1</v>
      </c>
    </row>
    <row r="14214" spans="1:11">
      <c r="A14214" s="12">
        <v>43417</v>
      </c>
      <c r="B14214">
        <v>2018</v>
      </c>
      <c r="C14214">
        <v>11</v>
      </c>
      <c r="D14214" s="11">
        <v>43405</v>
      </c>
      <c r="E14214" t="s">
        <v>2183</v>
      </c>
      <c r="F14214">
        <v>2</v>
      </c>
      <c r="G14214" t="s">
        <v>63</v>
      </c>
      <c r="H14214" t="s">
        <v>44</v>
      </c>
      <c r="I14214" t="s">
        <v>2192</v>
      </c>
      <c r="J14214" s="10">
        <v>18</v>
      </c>
      <c r="K14214" t="b">
        <v>1</v>
      </c>
    </row>
    <row r="14215" spans="1:11">
      <c r="A14215" s="12">
        <v>43417</v>
      </c>
      <c r="B14215">
        <v>2018</v>
      </c>
      <c r="C14215">
        <v>11</v>
      </c>
      <c r="D14215" s="11">
        <v>43405</v>
      </c>
      <c r="E14215" t="s">
        <v>2183</v>
      </c>
      <c r="F14215">
        <v>2</v>
      </c>
      <c r="G14215" t="s">
        <v>63</v>
      </c>
      <c r="H14215" t="s">
        <v>45</v>
      </c>
      <c r="I14215" t="s">
        <v>2193</v>
      </c>
      <c r="J14215" s="10">
        <v>0</v>
      </c>
      <c r="K14215" t="b">
        <v>1</v>
      </c>
    </row>
    <row r="14216" spans="1:11">
      <c r="A14216" s="12">
        <v>43417</v>
      </c>
      <c r="B14216">
        <v>2018</v>
      </c>
      <c r="C14216">
        <v>11</v>
      </c>
      <c r="D14216" s="11">
        <v>43405</v>
      </c>
      <c r="E14216" t="s">
        <v>2183</v>
      </c>
      <c r="F14216">
        <v>2</v>
      </c>
      <c r="G14216" t="s">
        <v>63</v>
      </c>
      <c r="H14216" t="s">
        <v>46</v>
      </c>
      <c r="I14216" t="s">
        <v>2194</v>
      </c>
      <c r="J14216" s="10">
        <v>18</v>
      </c>
      <c r="K14216" t="b">
        <v>1</v>
      </c>
    </row>
    <row r="14217" spans="1:11">
      <c r="A14217" s="12">
        <v>43417</v>
      </c>
      <c r="B14217">
        <v>2018</v>
      </c>
      <c r="C14217">
        <v>11</v>
      </c>
      <c r="D14217" s="11">
        <v>43405</v>
      </c>
      <c r="E14217" t="s">
        <v>2183</v>
      </c>
      <c r="F14217">
        <v>2</v>
      </c>
      <c r="G14217" t="s">
        <v>63</v>
      </c>
      <c r="H14217" t="s">
        <v>47</v>
      </c>
      <c r="I14217" t="s">
        <v>2195</v>
      </c>
      <c r="J14217" s="10">
        <v>3</v>
      </c>
      <c r="K14217" t="b">
        <v>1</v>
      </c>
    </row>
    <row r="14218" spans="1:11">
      <c r="A14218" s="12">
        <v>43418</v>
      </c>
      <c r="B14218">
        <v>2018</v>
      </c>
      <c r="C14218">
        <v>11</v>
      </c>
      <c r="D14218" s="11">
        <v>43405</v>
      </c>
      <c r="E14218" t="s">
        <v>2183</v>
      </c>
      <c r="F14218">
        <v>3</v>
      </c>
      <c r="G14218" t="s">
        <v>65</v>
      </c>
      <c r="H14218" t="s">
        <v>40</v>
      </c>
      <c r="I14218" t="s">
        <v>2188</v>
      </c>
      <c r="J14218" s="10">
        <v>5.66</v>
      </c>
      <c r="K14218" t="b">
        <v>1</v>
      </c>
    </row>
    <row r="14219" spans="1:11">
      <c r="A14219" s="12">
        <v>43418</v>
      </c>
      <c r="B14219">
        <v>2018</v>
      </c>
      <c r="C14219">
        <v>11</v>
      </c>
      <c r="D14219" s="11">
        <v>43405</v>
      </c>
      <c r="E14219" t="s">
        <v>2183</v>
      </c>
      <c r="F14219">
        <v>3</v>
      </c>
      <c r="G14219" t="s">
        <v>65</v>
      </c>
      <c r="H14219" t="s">
        <v>41</v>
      </c>
      <c r="I14219" t="s">
        <v>2189</v>
      </c>
      <c r="J14219" s="10">
        <v>4.67</v>
      </c>
      <c r="K14219" t="b">
        <v>1</v>
      </c>
    </row>
    <row r="14220" spans="1:11">
      <c r="A14220" s="12">
        <v>43418</v>
      </c>
      <c r="B14220">
        <v>2018</v>
      </c>
      <c r="C14220">
        <v>11</v>
      </c>
      <c r="D14220" s="11">
        <v>43405</v>
      </c>
      <c r="E14220" t="s">
        <v>2183</v>
      </c>
      <c r="F14220">
        <v>3</v>
      </c>
      <c r="G14220" t="s">
        <v>65</v>
      </c>
      <c r="H14220" t="s">
        <v>42</v>
      </c>
      <c r="I14220" t="s">
        <v>2190</v>
      </c>
      <c r="J14220" s="10">
        <v>3</v>
      </c>
      <c r="K14220" t="b">
        <v>1</v>
      </c>
    </row>
    <row r="14221" spans="1:11">
      <c r="A14221" s="12">
        <v>43418</v>
      </c>
      <c r="B14221">
        <v>2018</v>
      </c>
      <c r="C14221">
        <v>11</v>
      </c>
      <c r="D14221" s="11">
        <v>43405</v>
      </c>
      <c r="E14221" t="s">
        <v>2183</v>
      </c>
      <c r="F14221">
        <v>3</v>
      </c>
      <c r="G14221" t="s">
        <v>65</v>
      </c>
      <c r="H14221" t="s">
        <v>43</v>
      </c>
      <c r="I14221" t="s">
        <v>2191</v>
      </c>
      <c r="J14221" s="10">
        <v>28.4</v>
      </c>
      <c r="K14221" t="b">
        <v>1</v>
      </c>
    </row>
    <row r="14222" spans="1:11">
      <c r="A14222" s="12">
        <v>43418</v>
      </c>
      <c r="B14222">
        <v>2018</v>
      </c>
      <c r="C14222">
        <v>11</v>
      </c>
      <c r="D14222" s="11">
        <v>43405</v>
      </c>
      <c r="E14222" t="s">
        <v>2183</v>
      </c>
      <c r="F14222">
        <v>3</v>
      </c>
      <c r="G14222" t="s">
        <v>65</v>
      </c>
      <c r="H14222" t="s">
        <v>44</v>
      </c>
      <c r="I14222" t="s">
        <v>2192</v>
      </c>
      <c r="J14222" s="10">
        <v>9</v>
      </c>
      <c r="K14222" t="b">
        <v>1</v>
      </c>
    </row>
    <row r="14223" spans="1:11">
      <c r="A14223" s="12">
        <v>43418</v>
      </c>
      <c r="B14223">
        <v>2018</v>
      </c>
      <c r="C14223">
        <v>11</v>
      </c>
      <c r="D14223" s="11">
        <v>43405</v>
      </c>
      <c r="E14223" t="s">
        <v>2183</v>
      </c>
      <c r="F14223">
        <v>3</v>
      </c>
      <c r="G14223" t="s">
        <v>65</v>
      </c>
      <c r="H14223" t="s">
        <v>45</v>
      </c>
      <c r="I14223" t="s">
        <v>2193</v>
      </c>
      <c r="J14223" s="10">
        <v>0</v>
      </c>
      <c r="K14223" t="b">
        <v>1</v>
      </c>
    </row>
    <row r="14224" spans="1:11">
      <c r="A14224" s="12">
        <v>43418</v>
      </c>
      <c r="B14224">
        <v>2018</v>
      </c>
      <c r="C14224">
        <v>11</v>
      </c>
      <c r="D14224" s="11">
        <v>43405</v>
      </c>
      <c r="E14224" t="s">
        <v>2183</v>
      </c>
      <c r="F14224">
        <v>3</v>
      </c>
      <c r="G14224" t="s">
        <v>65</v>
      </c>
      <c r="H14224" t="s">
        <v>46</v>
      </c>
      <c r="I14224" t="s">
        <v>2194</v>
      </c>
      <c r="J14224" s="10">
        <v>0</v>
      </c>
      <c r="K14224" t="b">
        <v>1</v>
      </c>
    </row>
    <row r="14225" spans="1:11">
      <c r="A14225" s="12">
        <v>43418</v>
      </c>
      <c r="B14225">
        <v>2018</v>
      </c>
      <c r="C14225">
        <v>11</v>
      </c>
      <c r="D14225" s="11">
        <v>43405</v>
      </c>
      <c r="E14225" t="s">
        <v>2183</v>
      </c>
      <c r="F14225">
        <v>3</v>
      </c>
      <c r="G14225" t="s">
        <v>65</v>
      </c>
      <c r="H14225" t="s">
        <v>47</v>
      </c>
      <c r="I14225" t="s">
        <v>2195</v>
      </c>
      <c r="J14225" s="10">
        <v>0</v>
      </c>
      <c r="K14225" t="b">
        <v>1</v>
      </c>
    </row>
    <row r="14226" spans="1:11">
      <c r="A14226" s="12">
        <v>43419</v>
      </c>
      <c r="B14226">
        <v>2018</v>
      </c>
      <c r="C14226">
        <v>11</v>
      </c>
      <c r="D14226" s="11">
        <v>43405</v>
      </c>
      <c r="E14226" t="s">
        <v>2183</v>
      </c>
      <c r="F14226">
        <v>4</v>
      </c>
      <c r="G14226" t="s">
        <v>53</v>
      </c>
      <c r="H14226" t="s">
        <v>40</v>
      </c>
      <c r="I14226" t="s">
        <v>2188</v>
      </c>
      <c r="J14226" s="10">
        <v>2</v>
      </c>
      <c r="K14226" t="b">
        <v>1</v>
      </c>
    </row>
    <row r="14227" spans="1:11">
      <c r="A14227" s="12">
        <v>43419</v>
      </c>
      <c r="B14227">
        <v>2018</v>
      </c>
      <c r="C14227">
        <v>11</v>
      </c>
      <c r="D14227" s="11">
        <v>43405</v>
      </c>
      <c r="E14227" t="s">
        <v>2183</v>
      </c>
      <c r="F14227">
        <v>4</v>
      </c>
      <c r="G14227" t="s">
        <v>53</v>
      </c>
      <c r="H14227" t="s">
        <v>41</v>
      </c>
      <c r="I14227" t="s">
        <v>2189</v>
      </c>
      <c r="J14227" s="10">
        <v>4.083</v>
      </c>
      <c r="K14227" t="b">
        <v>1</v>
      </c>
    </row>
    <row r="14228" spans="1:11">
      <c r="A14228" s="12">
        <v>43419</v>
      </c>
      <c r="B14228">
        <v>2018</v>
      </c>
      <c r="C14228">
        <v>11</v>
      </c>
      <c r="D14228" s="11">
        <v>43405</v>
      </c>
      <c r="E14228" t="s">
        <v>2183</v>
      </c>
      <c r="F14228">
        <v>4</v>
      </c>
      <c r="G14228" t="s">
        <v>53</v>
      </c>
      <c r="H14228" t="s">
        <v>42</v>
      </c>
      <c r="I14228" t="s">
        <v>2190</v>
      </c>
      <c r="J14228" s="10">
        <v>2</v>
      </c>
      <c r="K14228" t="b">
        <v>1</v>
      </c>
    </row>
    <row r="14229" spans="1:11">
      <c r="A14229" s="12">
        <v>43419</v>
      </c>
      <c r="B14229">
        <v>2018</v>
      </c>
      <c r="C14229">
        <v>11</v>
      </c>
      <c r="D14229" s="11">
        <v>43405</v>
      </c>
      <c r="E14229" t="s">
        <v>2183</v>
      </c>
      <c r="F14229">
        <v>4</v>
      </c>
      <c r="G14229" t="s">
        <v>53</v>
      </c>
      <c r="H14229" t="s">
        <v>43</v>
      </c>
      <c r="I14229" t="s">
        <v>2191</v>
      </c>
      <c r="J14229" s="10">
        <v>49.6</v>
      </c>
      <c r="K14229" t="b">
        <v>1</v>
      </c>
    </row>
    <row r="14230" spans="1:11">
      <c r="A14230" s="12">
        <v>43419</v>
      </c>
      <c r="B14230">
        <v>2018</v>
      </c>
      <c r="C14230">
        <v>11</v>
      </c>
      <c r="D14230" s="11">
        <v>43405</v>
      </c>
      <c r="E14230" t="s">
        <v>2183</v>
      </c>
      <c r="F14230">
        <v>4</v>
      </c>
      <c r="G14230" t="s">
        <v>53</v>
      </c>
      <c r="H14230" t="s">
        <v>44</v>
      </c>
      <c r="I14230" t="s">
        <v>2192</v>
      </c>
      <c r="J14230" s="10">
        <v>3</v>
      </c>
      <c r="K14230" t="b">
        <v>1</v>
      </c>
    </row>
    <row r="14231" spans="1:11">
      <c r="A14231" s="12">
        <v>43419</v>
      </c>
      <c r="B14231">
        <v>2018</v>
      </c>
      <c r="C14231">
        <v>11</v>
      </c>
      <c r="D14231" s="11">
        <v>43405</v>
      </c>
      <c r="E14231" t="s">
        <v>2183</v>
      </c>
      <c r="F14231">
        <v>4</v>
      </c>
      <c r="G14231" t="s">
        <v>53</v>
      </c>
      <c r="H14231" t="s">
        <v>45</v>
      </c>
      <c r="I14231" t="s">
        <v>2193</v>
      </c>
      <c r="J14231" s="10">
        <v>2</v>
      </c>
      <c r="K14231" t="b">
        <v>1</v>
      </c>
    </row>
    <row r="14232" spans="1:11">
      <c r="A14232" s="12">
        <v>43419</v>
      </c>
      <c r="B14232">
        <v>2018</v>
      </c>
      <c r="C14232">
        <v>11</v>
      </c>
      <c r="D14232" s="11">
        <v>43405</v>
      </c>
      <c r="E14232" t="s">
        <v>2183</v>
      </c>
      <c r="F14232">
        <v>4</v>
      </c>
      <c r="G14232" t="s">
        <v>53</v>
      </c>
      <c r="H14232" t="s">
        <v>46</v>
      </c>
      <c r="I14232" t="s">
        <v>2194</v>
      </c>
      <c r="J14232" s="10">
        <v>29</v>
      </c>
      <c r="K14232" t="b">
        <v>1</v>
      </c>
    </row>
    <row r="14233" spans="1:11">
      <c r="A14233" s="12">
        <v>43419</v>
      </c>
      <c r="B14233">
        <v>2018</v>
      </c>
      <c r="C14233">
        <v>11</v>
      </c>
      <c r="D14233" s="11">
        <v>43405</v>
      </c>
      <c r="E14233" t="s">
        <v>2183</v>
      </c>
      <c r="F14233">
        <v>4</v>
      </c>
      <c r="G14233" t="s">
        <v>53</v>
      </c>
      <c r="H14233" t="s">
        <v>47</v>
      </c>
      <c r="I14233" t="s">
        <v>2195</v>
      </c>
      <c r="J14233" s="10">
        <v>0</v>
      </c>
      <c r="K14233" t="b">
        <v>1</v>
      </c>
    </row>
    <row r="14234" spans="1:11">
      <c r="A14234" s="12">
        <v>43420</v>
      </c>
      <c r="B14234">
        <v>2018</v>
      </c>
      <c r="C14234">
        <v>11</v>
      </c>
      <c r="D14234" s="11">
        <v>43405</v>
      </c>
      <c r="E14234" t="s">
        <v>2183</v>
      </c>
      <c r="F14234">
        <v>5</v>
      </c>
      <c r="G14234" t="s">
        <v>55</v>
      </c>
      <c r="H14234" t="s">
        <v>40</v>
      </c>
      <c r="I14234" t="s">
        <v>2188</v>
      </c>
      <c r="J14234" s="10">
        <v>8.33</v>
      </c>
      <c r="K14234" t="b">
        <v>1</v>
      </c>
    </row>
    <row r="14235" spans="1:11">
      <c r="A14235" s="12">
        <v>43420</v>
      </c>
      <c r="B14235">
        <v>2018</v>
      </c>
      <c r="C14235">
        <v>11</v>
      </c>
      <c r="D14235" s="11">
        <v>43405</v>
      </c>
      <c r="E14235" t="s">
        <v>2183</v>
      </c>
      <c r="F14235">
        <v>5</v>
      </c>
      <c r="G14235" t="s">
        <v>55</v>
      </c>
      <c r="H14235" t="s">
        <v>41</v>
      </c>
      <c r="I14235" t="s">
        <v>2189</v>
      </c>
      <c r="J14235" s="10">
        <v>2.66</v>
      </c>
      <c r="K14235" t="b">
        <v>1</v>
      </c>
    </row>
    <row r="14236" spans="1:11">
      <c r="A14236" s="12">
        <v>43420</v>
      </c>
      <c r="B14236">
        <v>2018</v>
      </c>
      <c r="C14236">
        <v>11</v>
      </c>
      <c r="D14236" s="11">
        <v>43405</v>
      </c>
      <c r="E14236" t="s">
        <v>2183</v>
      </c>
      <c r="F14236">
        <v>5</v>
      </c>
      <c r="G14236" t="s">
        <v>55</v>
      </c>
      <c r="H14236" t="s">
        <v>42</v>
      </c>
      <c r="I14236" t="s">
        <v>2190</v>
      </c>
      <c r="J14236" s="10">
        <v>4</v>
      </c>
      <c r="K14236" t="b">
        <v>1</v>
      </c>
    </row>
    <row r="14237" spans="1:11">
      <c r="A14237" s="12">
        <v>43420</v>
      </c>
      <c r="B14237">
        <v>2018</v>
      </c>
      <c r="C14237">
        <v>11</v>
      </c>
      <c r="D14237" s="11">
        <v>43405</v>
      </c>
      <c r="E14237" t="s">
        <v>2183</v>
      </c>
      <c r="F14237">
        <v>5</v>
      </c>
      <c r="G14237" t="s">
        <v>55</v>
      </c>
      <c r="H14237" t="s">
        <v>43</v>
      </c>
      <c r="I14237" t="s">
        <v>2191</v>
      </c>
      <c r="J14237" s="10">
        <v>21.5</v>
      </c>
      <c r="K14237" t="b">
        <v>1</v>
      </c>
    </row>
    <row r="14238" spans="1:11">
      <c r="A14238" s="12">
        <v>43420</v>
      </c>
      <c r="B14238">
        <v>2018</v>
      </c>
      <c r="C14238">
        <v>11</v>
      </c>
      <c r="D14238" s="11">
        <v>43405</v>
      </c>
      <c r="E14238" t="s">
        <v>2183</v>
      </c>
      <c r="F14238">
        <v>5</v>
      </c>
      <c r="G14238" t="s">
        <v>55</v>
      </c>
      <c r="H14238" t="s">
        <v>44</v>
      </c>
      <c r="I14238" t="s">
        <v>2192</v>
      </c>
      <c r="J14238" s="10">
        <v>6</v>
      </c>
      <c r="K14238" t="b">
        <v>1</v>
      </c>
    </row>
    <row r="14239" spans="1:11">
      <c r="A14239" s="12">
        <v>43420</v>
      </c>
      <c r="B14239">
        <v>2018</v>
      </c>
      <c r="C14239">
        <v>11</v>
      </c>
      <c r="D14239" s="11">
        <v>43405</v>
      </c>
      <c r="E14239" t="s">
        <v>2183</v>
      </c>
      <c r="F14239">
        <v>5</v>
      </c>
      <c r="G14239" t="s">
        <v>55</v>
      </c>
      <c r="H14239" t="s">
        <v>45</v>
      </c>
      <c r="I14239" t="s">
        <v>2193</v>
      </c>
      <c r="J14239" s="10">
        <v>0</v>
      </c>
      <c r="K14239" t="b">
        <v>1</v>
      </c>
    </row>
    <row r="14240" spans="1:11">
      <c r="A14240" s="12">
        <v>43420</v>
      </c>
      <c r="B14240">
        <v>2018</v>
      </c>
      <c r="C14240">
        <v>11</v>
      </c>
      <c r="D14240" s="11">
        <v>43405</v>
      </c>
      <c r="E14240" t="s">
        <v>2183</v>
      </c>
      <c r="F14240">
        <v>5</v>
      </c>
      <c r="G14240" t="s">
        <v>55</v>
      </c>
      <c r="H14240" t="s">
        <v>46</v>
      </c>
      <c r="I14240" t="s">
        <v>2194</v>
      </c>
      <c r="J14240" s="10">
        <v>6</v>
      </c>
      <c r="K14240" t="b">
        <v>1</v>
      </c>
    </row>
    <row r="14241" spans="1:11">
      <c r="A14241" s="12">
        <v>43420</v>
      </c>
      <c r="B14241">
        <v>2018</v>
      </c>
      <c r="C14241">
        <v>11</v>
      </c>
      <c r="D14241" s="11">
        <v>43405</v>
      </c>
      <c r="E14241" t="s">
        <v>2183</v>
      </c>
      <c r="F14241">
        <v>5</v>
      </c>
      <c r="G14241" t="s">
        <v>55</v>
      </c>
      <c r="H14241" t="s">
        <v>47</v>
      </c>
      <c r="I14241" t="s">
        <v>2195</v>
      </c>
      <c r="J14241" s="10">
        <v>0.4</v>
      </c>
      <c r="K14241" t="b">
        <v>1</v>
      </c>
    </row>
    <row r="14242" spans="1:11">
      <c r="A14242" s="12">
        <v>43421</v>
      </c>
      <c r="B14242">
        <v>2018</v>
      </c>
      <c r="C14242">
        <v>11</v>
      </c>
      <c r="D14242" s="11">
        <v>43405</v>
      </c>
      <c r="E14242" t="s">
        <v>2183</v>
      </c>
      <c r="F14242">
        <v>6</v>
      </c>
      <c r="G14242" t="s">
        <v>57</v>
      </c>
      <c r="H14242" t="s">
        <v>40</v>
      </c>
      <c r="I14242" t="s">
        <v>2188</v>
      </c>
      <c r="J14242" s="10">
        <v>8</v>
      </c>
      <c r="K14242" t="b">
        <v>1</v>
      </c>
    </row>
    <row r="14243" spans="1:11">
      <c r="A14243" s="12">
        <v>43421</v>
      </c>
      <c r="B14243">
        <v>2018</v>
      </c>
      <c r="C14243">
        <v>11</v>
      </c>
      <c r="D14243" s="11">
        <v>43405</v>
      </c>
      <c r="E14243" t="s">
        <v>2183</v>
      </c>
      <c r="F14243">
        <v>6</v>
      </c>
      <c r="G14243" t="s">
        <v>57</v>
      </c>
      <c r="H14243" t="s">
        <v>41</v>
      </c>
      <c r="I14243" t="s">
        <v>2189</v>
      </c>
      <c r="J14243" s="10">
        <v>2.34</v>
      </c>
      <c r="K14243" t="b">
        <v>1</v>
      </c>
    </row>
    <row r="14244" spans="1:11">
      <c r="A14244" s="12">
        <v>43421</v>
      </c>
      <c r="B14244">
        <v>2018</v>
      </c>
      <c r="C14244">
        <v>11</v>
      </c>
      <c r="D14244" s="11">
        <v>43405</v>
      </c>
      <c r="E14244" t="s">
        <v>2183</v>
      </c>
      <c r="F14244">
        <v>6</v>
      </c>
      <c r="G14244" t="s">
        <v>57</v>
      </c>
      <c r="H14244" t="s">
        <v>42</v>
      </c>
      <c r="I14244" t="s">
        <v>2190</v>
      </c>
      <c r="J14244" s="10">
        <v>1</v>
      </c>
      <c r="K14244" t="b">
        <v>1</v>
      </c>
    </row>
    <row r="14245" spans="1:11">
      <c r="A14245" s="12">
        <v>43421</v>
      </c>
      <c r="B14245">
        <v>2018</v>
      </c>
      <c r="C14245">
        <v>11</v>
      </c>
      <c r="D14245" s="11">
        <v>43405</v>
      </c>
      <c r="E14245" t="s">
        <v>2183</v>
      </c>
      <c r="F14245">
        <v>6</v>
      </c>
      <c r="G14245" t="s">
        <v>57</v>
      </c>
      <c r="H14245" t="s">
        <v>43</v>
      </c>
      <c r="I14245" t="s">
        <v>2191</v>
      </c>
      <c r="J14245" s="10">
        <v>39</v>
      </c>
      <c r="K14245" t="b">
        <v>1</v>
      </c>
    </row>
    <row r="14246" spans="1:11">
      <c r="A14246" s="12">
        <v>43421</v>
      </c>
      <c r="B14246">
        <v>2018</v>
      </c>
      <c r="C14246">
        <v>11</v>
      </c>
      <c r="D14246" s="11">
        <v>43405</v>
      </c>
      <c r="E14246" t="s">
        <v>2183</v>
      </c>
      <c r="F14246">
        <v>6</v>
      </c>
      <c r="G14246" t="s">
        <v>57</v>
      </c>
      <c r="H14246" t="s">
        <v>44</v>
      </c>
      <c r="I14246" t="s">
        <v>2192</v>
      </c>
      <c r="J14246" s="10">
        <v>5</v>
      </c>
      <c r="K14246" t="b">
        <v>1</v>
      </c>
    </row>
    <row r="14247" spans="1:11">
      <c r="A14247" s="12">
        <v>43421</v>
      </c>
      <c r="B14247">
        <v>2018</v>
      </c>
      <c r="C14247">
        <v>11</v>
      </c>
      <c r="D14247" s="11">
        <v>43405</v>
      </c>
      <c r="E14247" t="s">
        <v>2183</v>
      </c>
      <c r="F14247">
        <v>6</v>
      </c>
      <c r="G14247" t="s">
        <v>57</v>
      </c>
      <c r="H14247" t="s">
        <v>45</v>
      </c>
      <c r="I14247" t="s">
        <v>2193</v>
      </c>
      <c r="J14247" s="10">
        <v>0</v>
      </c>
      <c r="K14247" t="b">
        <v>1</v>
      </c>
    </row>
    <row r="14248" spans="1:11">
      <c r="A14248" s="12">
        <v>43421</v>
      </c>
      <c r="B14248">
        <v>2018</v>
      </c>
      <c r="C14248">
        <v>11</v>
      </c>
      <c r="D14248" s="11">
        <v>43405</v>
      </c>
      <c r="E14248" t="s">
        <v>2183</v>
      </c>
      <c r="F14248">
        <v>6</v>
      </c>
      <c r="G14248" t="s">
        <v>57</v>
      </c>
      <c r="H14248" t="s">
        <v>46</v>
      </c>
      <c r="I14248" t="s">
        <v>2194</v>
      </c>
      <c r="J14248" s="10">
        <v>13</v>
      </c>
      <c r="K14248" t="b">
        <v>1</v>
      </c>
    </row>
    <row r="14249" spans="1:11">
      <c r="A14249" s="12">
        <v>43421</v>
      </c>
      <c r="B14249">
        <v>2018</v>
      </c>
      <c r="C14249">
        <v>11</v>
      </c>
      <c r="D14249" s="11">
        <v>43405</v>
      </c>
      <c r="E14249" t="s">
        <v>2183</v>
      </c>
      <c r="F14249">
        <v>6</v>
      </c>
      <c r="G14249" t="s">
        <v>57</v>
      </c>
      <c r="H14249" t="s">
        <v>47</v>
      </c>
      <c r="I14249" t="s">
        <v>2195</v>
      </c>
      <c r="J14249" s="10">
        <v>2</v>
      </c>
      <c r="K14249" t="b">
        <v>1</v>
      </c>
    </row>
    <row r="14250" spans="1:11">
      <c r="A14250" s="12">
        <v>43422</v>
      </c>
      <c r="B14250">
        <v>2018</v>
      </c>
      <c r="C14250">
        <v>11</v>
      </c>
      <c r="D14250" s="11">
        <v>43405</v>
      </c>
      <c r="E14250" t="s">
        <v>2183</v>
      </c>
      <c r="F14250">
        <v>7</v>
      </c>
      <c r="G14250" t="s">
        <v>59</v>
      </c>
      <c r="H14250" t="s">
        <v>40</v>
      </c>
      <c r="I14250" t="s">
        <v>2188</v>
      </c>
      <c r="J14250" s="10">
        <v>4.68</v>
      </c>
      <c r="K14250" t="b">
        <v>1</v>
      </c>
    </row>
    <row r="14251" spans="1:11">
      <c r="A14251" s="12">
        <v>43422</v>
      </c>
      <c r="B14251">
        <v>2018</v>
      </c>
      <c r="C14251">
        <v>11</v>
      </c>
      <c r="D14251" s="11">
        <v>43405</v>
      </c>
      <c r="E14251" t="s">
        <v>2183</v>
      </c>
      <c r="F14251">
        <v>7</v>
      </c>
      <c r="G14251" t="s">
        <v>59</v>
      </c>
      <c r="H14251" t="s">
        <v>41</v>
      </c>
      <c r="I14251" t="s">
        <v>2189</v>
      </c>
      <c r="J14251" s="10">
        <v>4.68</v>
      </c>
      <c r="K14251" t="b">
        <v>1</v>
      </c>
    </row>
    <row r="14252" spans="1:11">
      <c r="A14252" s="12">
        <v>43422</v>
      </c>
      <c r="B14252">
        <v>2018</v>
      </c>
      <c r="C14252">
        <v>11</v>
      </c>
      <c r="D14252" s="11">
        <v>43405</v>
      </c>
      <c r="E14252" t="s">
        <v>2183</v>
      </c>
      <c r="F14252">
        <v>7</v>
      </c>
      <c r="G14252" t="s">
        <v>59</v>
      </c>
      <c r="H14252" t="s">
        <v>42</v>
      </c>
      <c r="I14252" t="s">
        <v>2190</v>
      </c>
      <c r="J14252" s="10">
        <v>5</v>
      </c>
      <c r="K14252" t="b">
        <v>1</v>
      </c>
    </row>
    <row r="14253" spans="1:11">
      <c r="A14253" s="12">
        <v>43422</v>
      </c>
      <c r="B14253">
        <v>2018</v>
      </c>
      <c r="C14253">
        <v>11</v>
      </c>
      <c r="D14253" s="11">
        <v>43405</v>
      </c>
      <c r="E14253" t="s">
        <v>2183</v>
      </c>
      <c r="F14253">
        <v>7</v>
      </c>
      <c r="G14253" t="s">
        <v>59</v>
      </c>
      <c r="H14253" t="s">
        <v>43</v>
      </c>
      <c r="I14253" t="s">
        <v>2191</v>
      </c>
      <c r="J14253" s="10">
        <v>32.9</v>
      </c>
      <c r="K14253" t="b">
        <v>1</v>
      </c>
    </row>
    <row r="14254" spans="1:11">
      <c r="A14254" s="12">
        <v>43422</v>
      </c>
      <c r="B14254">
        <v>2018</v>
      </c>
      <c r="C14254">
        <v>11</v>
      </c>
      <c r="D14254" s="11">
        <v>43405</v>
      </c>
      <c r="E14254" t="s">
        <v>2183</v>
      </c>
      <c r="F14254">
        <v>7</v>
      </c>
      <c r="G14254" t="s">
        <v>59</v>
      </c>
      <c r="H14254" t="s">
        <v>44</v>
      </c>
      <c r="I14254" t="s">
        <v>2192</v>
      </c>
      <c r="J14254" s="10">
        <v>7</v>
      </c>
      <c r="K14254" t="b">
        <v>1</v>
      </c>
    </row>
    <row r="14255" spans="1:11">
      <c r="A14255" s="12">
        <v>43422</v>
      </c>
      <c r="B14255">
        <v>2018</v>
      </c>
      <c r="C14255">
        <v>11</v>
      </c>
      <c r="D14255" s="11">
        <v>43405</v>
      </c>
      <c r="E14255" t="s">
        <v>2183</v>
      </c>
      <c r="F14255">
        <v>7</v>
      </c>
      <c r="G14255" t="s">
        <v>59</v>
      </c>
      <c r="H14255" t="s">
        <v>45</v>
      </c>
      <c r="I14255" t="s">
        <v>2193</v>
      </c>
      <c r="J14255" s="10">
        <v>1</v>
      </c>
      <c r="K14255" t="b">
        <v>1</v>
      </c>
    </row>
    <row r="14256" spans="1:11">
      <c r="A14256" s="12">
        <v>43422</v>
      </c>
      <c r="B14256">
        <v>2018</v>
      </c>
      <c r="C14256">
        <v>11</v>
      </c>
      <c r="D14256" s="11">
        <v>43405</v>
      </c>
      <c r="E14256" t="s">
        <v>2183</v>
      </c>
      <c r="F14256">
        <v>7</v>
      </c>
      <c r="G14256" t="s">
        <v>59</v>
      </c>
      <c r="H14256" t="s">
        <v>46</v>
      </c>
      <c r="I14256" t="s">
        <v>2194</v>
      </c>
      <c r="J14256" s="10">
        <v>10</v>
      </c>
      <c r="K14256" t="b">
        <v>1</v>
      </c>
    </row>
    <row r="14257" spans="1:11">
      <c r="A14257" s="12">
        <v>43422</v>
      </c>
      <c r="B14257">
        <v>2018</v>
      </c>
      <c r="C14257">
        <v>11</v>
      </c>
      <c r="D14257" s="11">
        <v>43405</v>
      </c>
      <c r="E14257" t="s">
        <v>2183</v>
      </c>
      <c r="F14257">
        <v>7</v>
      </c>
      <c r="G14257" t="s">
        <v>59</v>
      </c>
      <c r="H14257" t="s">
        <v>47</v>
      </c>
      <c r="I14257" t="s">
        <v>2195</v>
      </c>
      <c r="J14257" s="10">
        <v>1</v>
      </c>
      <c r="K14257" t="b">
        <v>1</v>
      </c>
    </row>
    <row r="14258" spans="1:11">
      <c r="A14258" s="12">
        <v>43423</v>
      </c>
      <c r="B14258">
        <v>2018</v>
      </c>
      <c r="C14258">
        <v>11</v>
      </c>
      <c r="D14258" s="11">
        <v>43405</v>
      </c>
      <c r="E14258" t="s">
        <v>2183</v>
      </c>
      <c r="F14258">
        <v>1</v>
      </c>
      <c r="G14258" t="s">
        <v>61</v>
      </c>
      <c r="H14258" t="s">
        <v>40</v>
      </c>
      <c r="I14258" t="s">
        <v>2188</v>
      </c>
      <c r="J14258" s="10">
        <v>6.01</v>
      </c>
      <c r="K14258" t="b">
        <v>1</v>
      </c>
    </row>
    <row r="14259" spans="1:11">
      <c r="A14259" s="12">
        <v>43423</v>
      </c>
      <c r="B14259">
        <v>2018</v>
      </c>
      <c r="C14259">
        <v>11</v>
      </c>
      <c r="D14259" s="11">
        <v>43405</v>
      </c>
      <c r="E14259" t="s">
        <v>2183</v>
      </c>
      <c r="F14259">
        <v>1</v>
      </c>
      <c r="G14259" t="s">
        <v>61</v>
      </c>
      <c r="H14259" t="s">
        <v>41</v>
      </c>
      <c r="I14259" t="s">
        <v>2189</v>
      </c>
      <c r="J14259" s="10">
        <v>2.44</v>
      </c>
      <c r="K14259" t="b">
        <v>1</v>
      </c>
    </row>
    <row r="14260" spans="1:11">
      <c r="A14260" s="12">
        <v>43423</v>
      </c>
      <c r="B14260">
        <v>2018</v>
      </c>
      <c r="C14260">
        <v>11</v>
      </c>
      <c r="D14260" s="11">
        <v>43405</v>
      </c>
      <c r="E14260" t="s">
        <v>2183</v>
      </c>
      <c r="F14260">
        <v>1</v>
      </c>
      <c r="G14260" t="s">
        <v>61</v>
      </c>
      <c r="H14260" t="s">
        <v>42</v>
      </c>
      <c r="I14260" t="s">
        <v>2190</v>
      </c>
      <c r="J14260" s="10">
        <v>2</v>
      </c>
      <c r="K14260" t="b">
        <v>1</v>
      </c>
    </row>
    <row r="14261" spans="1:11">
      <c r="A14261" s="12">
        <v>43423</v>
      </c>
      <c r="B14261">
        <v>2018</v>
      </c>
      <c r="C14261">
        <v>11</v>
      </c>
      <c r="D14261" s="11">
        <v>43405</v>
      </c>
      <c r="E14261" t="s">
        <v>2183</v>
      </c>
      <c r="F14261">
        <v>1</v>
      </c>
      <c r="G14261" t="s">
        <v>61</v>
      </c>
      <c r="H14261" t="s">
        <v>43</v>
      </c>
      <c r="I14261" t="s">
        <v>2191</v>
      </c>
      <c r="J14261" s="10">
        <v>47.2</v>
      </c>
      <c r="K14261" t="b">
        <v>1</v>
      </c>
    </row>
    <row r="14262" spans="1:11">
      <c r="A14262" s="12">
        <v>43423</v>
      </c>
      <c r="B14262">
        <v>2018</v>
      </c>
      <c r="C14262">
        <v>11</v>
      </c>
      <c r="D14262" s="11">
        <v>43405</v>
      </c>
      <c r="E14262" t="s">
        <v>2183</v>
      </c>
      <c r="F14262">
        <v>1</v>
      </c>
      <c r="G14262" t="s">
        <v>61</v>
      </c>
      <c r="H14262" t="s">
        <v>44</v>
      </c>
      <c r="I14262" t="s">
        <v>2192</v>
      </c>
      <c r="J14262" s="10">
        <v>6</v>
      </c>
      <c r="K14262" t="b">
        <v>1</v>
      </c>
    </row>
    <row r="14263" spans="1:11">
      <c r="A14263" s="12">
        <v>43423</v>
      </c>
      <c r="B14263">
        <v>2018</v>
      </c>
      <c r="C14263">
        <v>11</v>
      </c>
      <c r="D14263" s="11">
        <v>43405</v>
      </c>
      <c r="E14263" t="s">
        <v>2183</v>
      </c>
      <c r="F14263">
        <v>1</v>
      </c>
      <c r="G14263" t="s">
        <v>61</v>
      </c>
      <c r="H14263" t="s">
        <v>45</v>
      </c>
      <c r="I14263" t="s">
        <v>2193</v>
      </c>
      <c r="J14263" s="10">
        <v>3</v>
      </c>
      <c r="K14263" t="b">
        <v>1</v>
      </c>
    </row>
    <row r="14264" spans="1:11">
      <c r="A14264" s="12">
        <v>43423</v>
      </c>
      <c r="B14264">
        <v>2018</v>
      </c>
      <c r="C14264">
        <v>11</v>
      </c>
      <c r="D14264" s="11">
        <v>43405</v>
      </c>
      <c r="E14264" t="s">
        <v>2183</v>
      </c>
      <c r="F14264">
        <v>1</v>
      </c>
      <c r="G14264" t="s">
        <v>61</v>
      </c>
      <c r="H14264" t="s">
        <v>46</v>
      </c>
      <c r="I14264" t="s">
        <v>2194</v>
      </c>
      <c r="J14264" s="10">
        <v>3</v>
      </c>
      <c r="K14264" t="b">
        <v>1</v>
      </c>
    </row>
    <row r="14265" spans="1:11">
      <c r="A14265" s="12">
        <v>43423</v>
      </c>
      <c r="B14265">
        <v>2018</v>
      </c>
      <c r="C14265">
        <v>11</v>
      </c>
      <c r="D14265" s="11">
        <v>43405</v>
      </c>
      <c r="E14265" t="s">
        <v>2183</v>
      </c>
      <c r="F14265">
        <v>1</v>
      </c>
      <c r="G14265" t="s">
        <v>61</v>
      </c>
      <c r="H14265" t="s">
        <v>47</v>
      </c>
      <c r="I14265" t="s">
        <v>2195</v>
      </c>
      <c r="J14265" s="10">
        <v>0</v>
      </c>
      <c r="K14265" t="b">
        <v>1</v>
      </c>
    </row>
    <row r="14266" spans="1:11">
      <c r="A14266" s="12">
        <v>43424</v>
      </c>
      <c r="B14266">
        <v>2018</v>
      </c>
      <c r="C14266">
        <v>11</v>
      </c>
      <c r="D14266" s="11">
        <v>43405</v>
      </c>
      <c r="E14266" t="s">
        <v>2183</v>
      </c>
      <c r="F14266">
        <v>2</v>
      </c>
      <c r="G14266" t="s">
        <v>63</v>
      </c>
      <c r="H14266" t="s">
        <v>40</v>
      </c>
      <c r="I14266" t="s">
        <v>2188</v>
      </c>
      <c r="J14266" s="10">
        <v>5.33</v>
      </c>
      <c r="K14266" t="b">
        <v>1</v>
      </c>
    </row>
    <row r="14267" spans="1:11">
      <c r="A14267" s="12">
        <v>43424</v>
      </c>
      <c r="B14267">
        <v>2018</v>
      </c>
      <c r="C14267">
        <v>11</v>
      </c>
      <c r="D14267" s="11">
        <v>43405</v>
      </c>
      <c r="E14267" t="s">
        <v>2183</v>
      </c>
      <c r="F14267">
        <v>2</v>
      </c>
      <c r="G14267" t="s">
        <v>63</v>
      </c>
      <c r="H14267" t="s">
        <v>41</v>
      </c>
      <c r="I14267" t="s">
        <v>2189</v>
      </c>
      <c r="J14267" s="10">
        <v>3.803</v>
      </c>
      <c r="K14267" t="b">
        <v>1</v>
      </c>
    </row>
    <row r="14268" spans="1:11">
      <c r="A14268" s="12">
        <v>43424</v>
      </c>
      <c r="B14268">
        <v>2018</v>
      </c>
      <c r="C14268">
        <v>11</v>
      </c>
      <c r="D14268" s="11">
        <v>43405</v>
      </c>
      <c r="E14268" t="s">
        <v>2183</v>
      </c>
      <c r="F14268">
        <v>2</v>
      </c>
      <c r="G14268" t="s">
        <v>63</v>
      </c>
      <c r="H14268" t="s">
        <v>42</v>
      </c>
      <c r="I14268" t="s">
        <v>2190</v>
      </c>
      <c r="J14268" s="10">
        <v>4</v>
      </c>
      <c r="K14268" t="b">
        <v>1</v>
      </c>
    </row>
    <row r="14269" spans="1:11">
      <c r="A14269" s="12">
        <v>43424</v>
      </c>
      <c r="B14269">
        <v>2018</v>
      </c>
      <c r="C14269">
        <v>11</v>
      </c>
      <c r="D14269" s="11">
        <v>43405</v>
      </c>
      <c r="E14269" t="s">
        <v>2183</v>
      </c>
      <c r="F14269">
        <v>2</v>
      </c>
      <c r="G14269" t="s">
        <v>63</v>
      </c>
      <c r="H14269" t="s">
        <v>43</v>
      </c>
      <c r="I14269" t="s">
        <v>2191</v>
      </c>
      <c r="J14269" s="10">
        <v>31.5</v>
      </c>
      <c r="K14269" t="b">
        <v>1</v>
      </c>
    </row>
    <row r="14270" spans="1:11">
      <c r="A14270" s="12">
        <v>43424</v>
      </c>
      <c r="B14270">
        <v>2018</v>
      </c>
      <c r="C14270">
        <v>11</v>
      </c>
      <c r="D14270" s="11">
        <v>43405</v>
      </c>
      <c r="E14270" t="s">
        <v>2183</v>
      </c>
      <c r="F14270">
        <v>2</v>
      </c>
      <c r="G14270" t="s">
        <v>63</v>
      </c>
      <c r="H14270" t="s">
        <v>44</v>
      </c>
      <c r="I14270" t="s">
        <v>2192</v>
      </c>
      <c r="J14270" s="10">
        <v>4</v>
      </c>
      <c r="K14270" t="b">
        <v>1</v>
      </c>
    </row>
    <row r="14271" spans="1:11">
      <c r="A14271" s="12">
        <v>43424</v>
      </c>
      <c r="B14271">
        <v>2018</v>
      </c>
      <c r="C14271">
        <v>11</v>
      </c>
      <c r="D14271" s="11">
        <v>43405</v>
      </c>
      <c r="E14271" t="s">
        <v>2183</v>
      </c>
      <c r="F14271">
        <v>2</v>
      </c>
      <c r="G14271" t="s">
        <v>63</v>
      </c>
      <c r="H14271" t="s">
        <v>45</v>
      </c>
      <c r="I14271" t="s">
        <v>2193</v>
      </c>
      <c r="J14271" s="10">
        <v>1</v>
      </c>
      <c r="K14271" t="b">
        <v>1</v>
      </c>
    </row>
    <row r="14272" spans="1:11">
      <c r="A14272" s="12">
        <v>43424</v>
      </c>
      <c r="B14272">
        <v>2018</v>
      </c>
      <c r="C14272">
        <v>11</v>
      </c>
      <c r="D14272" s="11">
        <v>43405</v>
      </c>
      <c r="E14272" t="s">
        <v>2183</v>
      </c>
      <c r="F14272">
        <v>2</v>
      </c>
      <c r="G14272" t="s">
        <v>63</v>
      </c>
      <c r="H14272" t="s">
        <v>46</v>
      </c>
      <c r="I14272" t="s">
        <v>2194</v>
      </c>
      <c r="J14272" s="10">
        <v>10</v>
      </c>
      <c r="K14272" t="b">
        <v>1</v>
      </c>
    </row>
    <row r="14273" spans="1:11">
      <c r="A14273" s="12">
        <v>43424</v>
      </c>
      <c r="B14273">
        <v>2018</v>
      </c>
      <c r="C14273">
        <v>11</v>
      </c>
      <c r="D14273" s="11">
        <v>43405</v>
      </c>
      <c r="E14273" t="s">
        <v>2183</v>
      </c>
      <c r="F14273">
        <v>2</v>
      </c>
      <c r="G14273" t="s">
        <v>63</v>
      </c>
      <c r="H14273" t="s">
        <v>47</v>
      </c>
      <c r="I14273" t="s">
        <v>2195</v>
      </c>
      <c r="J14273" s="10">
        <v>3</v>
      </c>
      <c r="K14273" t="b">
        <v>1</v>
      </c>
    </row>
    <row r="14274" spans="1:11">
      <c r="A14274" s="12">
        <v>43425</v>
      </c>
      <c r="B14274">
        <v>2018</v>
      </c>
      <c r="C14274">
        <v>11</v>
      </c>
      <c r="D14274" s="11">
        <v>43405</v>
      </c>
      <c r="E14274" t="s">
        <v>2183</v>
      </c>
      <c r="F14274">
        <v>3</v>
      </c>
      <c r="G14274" t="s">
        <v>65</v>
      </c>
      <c r="H14274" t="s">
        <v>40</v>
      </c>
      <c r="I14274" t="s">
        <v>2188</v>
      </c>
      <c r="J14274" s="10">
        <v>7</v>
      </c>
      <c r="K14274" t="b">
        <v>1</v>
      </c>
    </row>
    <row r="14275" spans="1:11">
      <c r="A14275" s="12">
        <v>43425</v>
      </c>
      <c r="B14275">
        <v>2018</v>
      </c>
      <c r="C14275">
        <v>11</v>
      </c>
      <c r="D14275" s="11">
        <v>43405</v>
      </c>
      <c r="E14275" t="s">
        <v>2183</v>
      </c>
      <c r="F14275">
        <v>3</v>
      </c>
      <c r="G14275" t="s">
        <v>65</v>
      </c>
      <c r="H14275" t="s">
        <v>41</v>
      </c>
      <c r="I14275" t="s">
        <v>2189</v>
      </c>
      <c r="J14275" s="10">
        <v>2.34</v>
      </c>
      <c r="K14275" t="b">
        <v>1</v>
      </c>
    </row>
    <row r="14276" spans="1:11">
      <c r="A14276" s="12">
        <v>43425</v>
      </c>
      <c r="B14276">
        <v>2018</v>
      </c>
      <c r="C14276">
        <v>11</v>
      </c>
      <c r="D14276" s="11">
        <v>43405</v>
      </c>
      <c r="E14276" t="s">
        <v>2183</v>
      </c>
      <c r="F14276">
        <v>3</v>
      </c>
      <c r="G14276" t="s">
        <v>65</v>
      </c>
      <c r="H14276" t="s">
        <v>42</v>
      </c>
      <c r="I14276" t="s">
        <v>2190</v>
      </c>
      <c r="J14276" s="10">
        <v>3.25</v>
      </c>
      <c r="K14276" t="b">
        <v>1</v>
      </c>
    </row>
    <row r="14277" spans="1:11">
      <c r="A14277" s="12">
        <v>43425</v>
      </c>
      <c r="B14277">
        <v>2018</v>
      </c>
      <c r="C14277">
        <v>11</v>
      </c>
      <c r="D14277" s="11">
        <v>43405</v>
      </c>
      <c r="E14277" t="s">
        <v>2183</v>
      </c>
      <c r="F14277">
        <v>3</v>
      </c>
      <c r="G14277" t="s">
        <v>65</v>
      </c>
      <c r="H14277" t="s">
        <v>43</v>
      </c>
      <c r="I14277" t="s">
        <v>2191</v>
      </c>
      <c r="J14277" s="10">
        <v>22</v>
      </c>
      <c r="K14277" t="b">
        <v>1</v>
      </c>
    </row>
    <row r="14278" spans="1:11">
      <c r="A14278" s="12">
        <v>43425</v>
      </c>
      <c r="B14278">
        <v>2018</v>
      </c>
      <c r="C14278">
        <v>11</v>
      </c>
      <c r="D14278" s="11">
        <v>43405</v>
      </c>
      <c r="E14278" t="s">
        <v>2183</v>
      </c>
      <c r="F14278">
        <v>3</v>
      </c>
      <c r="G14278" t="s">
        <v>65</v>
      </c>
      <c r="H14278" t="s">
        <v>44</v>
      </c>
      <c r="I14278" t="s">
        <v>2192</v>
      </c>
      <c r="J14278" s="10">
        <v>5</v>
      </c>
      <c r="K14278" t="b">
        <v>1</v>
      </c>
    </row>
    <row r="14279" spans="1:11">
      <c r="A14279" s="12">
        <v>43425</v>
      </c>
      <c r="B14279">
        <v>2018</v>
      </c>
      <c r="C14279">
        <v>11</v>
      </c>
      <c r="D14279" s="11">
        <v>43405</v>
      </c>
      <c r="E14279" t="s">
        <v>2183</v>
      </c>
      <c r="F14279">
        <v>3</v>
      </c>
      <c r="G14279" t="s">
        <v>65</v>
      </c>
      <c r="H14279" t="s">
        <v>45</v>
      </c>
      <c r="I14279" t="s">
        <v>2193</v>
      </c>
      <c r="J14279" s="10">
        <v>0</v>
      </c>
      <c r="K14279" t="b">
        <v>1</v>
      </c>
    </row>
    <row r="14280" spans="1:11">
      <c r="A14280" s="12">
        <v>43425</v>
      </c>
      <c r="B14280">
        <v>2018</v>
      </c>
      <c r="C14280">
        <v>11</v>
      </c>
      <c r="D14280" s="11">
        <v>43405</v>
      </c>
      <c r="E14280" t="s">
        <v>2183</v>
      </c>
      <c r="F14280">
        <v>3</v>
      </c>
      <c r="G14280" t="s">
        <v>65</v>
      </c>
      <c r="H14280" t="s">
        <v>46</v>
      </c>
      <c r="I14280" t="s">
        <v>2194</v>
      </c>
      <c r="J14280" s="10">
        <v>5</v>
      </c>
      <c r="K14280" t="b">
        <v>1</v>
      </c>
    </row>
    <row r="14281" spans="1:11">
      <c r="A14281" s="12">
        <v>43425</v>
      </c>
      <c r="B14281">
        <v>2018</v>
      </c>
      <c r="C14281">
        <v>11</v>
      </c>
      <c r="D14281" s="11">
        <v>43405</v>
      </c>
      <c r="E14281" t="s">
        <v>2183</v>
      </c>
      <c r="F14281">
        <v>3</v>
      </c>
      <c r="G14281" t="s">
        <v>65</v>
      </c>
      <c r="H14281" t="s">
        <v>47</v>
      </c>
      <c r="I14281" t="s">
        <v>2195</v>
      </c>
      <c r="J14281" s="10">
        <v>1</v>
      </c>
      <c r="K14281" t="b">
        <v>1</v>
      </c>
    </row>
    <row r="14282" spans="1:11">
      <c r="A14282" s="12">
        <v>43426</v>
      </c>
      <c r="B14282">
        <v>2018</v>
      </c>
      <c r="C14282">
        <v>11</v>
      </c>
      <c r="D14282" s="11">
        <v>43405</v>
      </c>
      <c r="E14282" t="s">
        <v>2183</v>
      </c>
      <c r="F14282">
        <v>4</v>
      </c>
      <c r="G14282" t="s">
        <v>53</v>
      </c>
      <c r="H14282" t="s">
        <v>40</v>
      </c>
      <c r="I14282" t="s">
        <v>2188</v>
      </c>
      <c r="J14282" s="10">
        <v>8</v>
      </c>
      <c r="K14282" t="b">
        <v>1</v>
      </c>
    </row>
    <row r="14283" spans="1:11">
      <c r="A14283" s="12">
        <v>43426</v>
      </c>
      <c r="B14283">
        <v>2018</v>
      </c>
      <c r="C14283">
        <v>11</v>
      </c>
      <c r="D14283" s="11">
        <v>43405</v>
      </c>
      <c r="E14283" t="s">
        <v>2183</v>
      </c>
      <c r="F14283">
        <v>4</v>
      </c>
      <c r="G14283" t="s">
        <v>53</v>
      </c>
      <c r="H14283" t="s">
        <v>41</v>
      </c>
      <c r="I14283" t="s">
        <v>2189</v>
      </c>
      <c r="J14283" s="10">
        <v>7.066</v>
      </c>
      <c r="K14283" t="b">
        <v>1</v>
      </c>
    </row>
    <row r="14284" spans="1:11">
      <c r="A14284" s="12">
        <v>43426</v>
      </c>
      <c r="B14284">
        <v>2018</v>
      </c>
      <c r="C14284">
        <v>11</v>
      </c>
      <c r="D14284" s="11">
        <v>43405</v>
      </c>
      <c r="E14284" t="s">
        <v>2183</v>
      </c>
      <c r="F14284">
        <v>4</v>
      </c>
      <c r="G14284" t="s">
        <v>53</v>
      </c>
      <c r="H14284" t="s">
        <v>42</v>
      </c>
      <c r="I14284" t="s">
        <v>2190</v>
      </c>
      <c r="J14284" s="10">
        <v>3</v>
      </c>
      <c r="K14284" t="b">
        <v>1</v>
      </c>
    </row>
    <row r="14285" spans="1:11">
      <c r="A14285" s="12">
        <v>43426</v>
      </c>
      <c r="B14285">
        <v>2018</v>
      </c>
      <c r="C14285">
        <v>11</v>
      </c>
      <c r="D14285" s="11">
        <v>43405</v>
      </c>
      <c r="E14285" t="s">
        <v>2183</v>
      </c>
      <c r="F14285">
        <v>4</v>
      </c>
      <c r="G14285" t="s">
        <v>53</v>
      </c>
      <c r="H14285" t="s">
        <v>43</v>
      </c>
      <c r="I14285" t="s">
        <v>2191</v>
      </c>
      <c r="J14285" s="10">
        <v>22.4</v>
      </c>
      <c r="K14285" t="b">
        <v>1</v>
      </c>
    </row>
    <row r="14286" spans="1:11">
      <c r="A14286" s="12">
        <v>43426</v>
      </c>
      <c r="B14286">
        <v>2018</v>
      </c>
      <c r="C14286">
        <v>11</v>
      </c>
      <c r="D14286" s="11">
        <v>43405</v>
      </c>
      <c r="E14286" t="s">
        <v>2183</v>
      </c>
      <c r="F14286">
        <v>4</v>
      </c>
      <c r="G14286" t="s">
        <v>53</v>
      </c>
      <c r="H14286" t="s">
        <v>44</v>
      </c>
      <c r="I14286" t="s">
        <v>2192</v>
      </c>
      <c r="J14286" s="10">
        <v>9</v>
      </c>
      <c r="K14286" t="b">
        <v>1</v>
      </c>
    </row>
    <row r="14287" spans="1:11">
      <c r="A14287" s="12">
        <v>43426</v>
      </c>
      <c r="B14287">
        <v>2018</v>
      </c>
      <c r="C14287">
        <v>11</v>
      </c>
      <c r="D14287" s="11">
        <v>43405</v>
      </c>
      <c r="E14287" t="s">
        <v>2183</v>
      </c>
      <c r="F14287">
        <v>4</v>
      </c>
      <c r="G14287" t="s">
        <v>53</v>
      </c>
      <c r="H14287" t="s">
        <v>45</v>
      </c>
      <c r="I14287" t="s">
        <v>2193</v>
      </c>
      <c r="J14287" s="10">
        <v>0</v>
      </c>
      <c r="K14287" t="b">
        <v>1</v>
      </c>
    </row>
    <row r="14288" spans="1:11">
      <c r="A14288" s="12">
        <v>43426</v>
      </c>
      <c r="B14288">
        <v>2018</v>
      </c>
      <c r="C14288">
        <v>11</v>
      </c>
      <c r="D14288" s="11">
        <v>43405</v>
      </c>
      <c r="E14288" t="s">
        <v>2183</v>
      </c>
      <c r="F14288">
        <v>4</v>
      </c>
      <c r="G14288" t="s">
        <v>53</v>
      </c>
      <c r="H14288" t="s">
        <v>46</v>
      </c>
      <c r="I14288" t="s">
        <v>2194</v>
      </c>
      <c r="J14288" s="10">
        <v>15</v>
      </c>
      <c r="K14288" t="b">
        <v>1</v>
      </c>
    </row>
    <row r="14289" spans="1:11">
      <c r="A14289" s="12">
        <v>43426</v>
      </c>
      <c r="B14289">
        <v>2018</v>
      </c>
      <c r="C14289">
        <v>11</v>
      </c>
      <c r="D14289" s="11">
        <v>43405</v>
      </c>
      <c r="E14289" t="s">
        <v>2183</v>
      </c>
      <c r="F14289">
        <v>4</v>
      </c>
      <c r="G14289" t="s">
        <v>53</v>
      </c>
      <c r="H14289" t="s">
        <v>47</v>
      </c>
      <c r="I14289" t="s">
        <v>2195</v>
      </c>
      <c r="J14289" s="10">
        <v>2</v>
      </c>
      <c r="K14289" t="b">
        <v>1</v>
      </c>
    </row>
    <row r="14290" spans="1:11">
      <c r="A14290" s="12">
        <v>43427</v>
      </c>
      <c r="B14290">
        <v>2018</v>
      </c>
      <c r="C14290">
        <v>11</v>
      </c>
      <c r="D14290" s="11">
        <v>43405</v>
      </c>
      <c r="E14290" t="s">
        <v>2183</v>
      </c>
      <c r="F14290">
        <v>5</v>
      </c>
      <c r="G14290" t="s">
        <v>55</v>
      </c>
      <c r="H14290" t="s">
        <v>40</v>
      </c>
      <c r="I14290" t="s">
        <v>2188</v>
      </c>
      <c r="J14290" s="10">
        <v>6</v>
      </c>
      <c r="K14290" t="b">
        <v>1</v>
      </c>
    </row>
    <row r="14291" spans="1:11">
      <c r="A14291" s="12">
        <v>43427</v>
      </c>
      <c r="B14291">
        <v>2018</v>
      </c>
      <c r="C14291">
        <v>11</v>
      </c>
      <c r="D14291" s="11">
        <v>43405</v>
      </c>
      <c r="E14291" t="s">
        <v>2183</v>
      </c>
      <c r="F14291">
        <v>5</v>
      </c>
      <c r="G14291" t="s">
        <v>55</v>
      </c>
      <c r="H14291" t="s">
        <v>41</v>
      </c>
      <c r="I14291" t="s">
        <v>2189</v>
      </c>
      <c r="J14291" s="10">
        <v>4.472</v>
      </c>
      <c r="K14291" t="b">
        <v>1</v>
      </c>
    </row>
    <row r="14292" spans="1:11">
      <c r="A14292" s="12">
        <v>43427</v>
      </c>
      <c r="B14292">
        <v>2018</v>
      </c>
      <c r="C14292">
        <v>11</v>
      </c>
      <c r="D14292" s="11">
        <v>43405</v>
      </c>
      <c r="E14292" t="s">
        <v>2183</v>
      </c>
      <c r="F14292">
        <v>5</v>
      </c>
      <c r="G14292" t="s">
        <v>55</v>
      </c>
      <c r="H14292" t="s">
        <v>42</v>
      </c>
      <c r="I14292" t="s">
        <v>2190</v>
      </c>
      <c r="J14292" s="10">
        <v>3</v>
      </c>
      <c r="K14292" t="b">
        <v>1</v>
      </c>
    </row>
    <row r="14293" spans="1:11">
      <c r="A14293" s="12">
        <v>43427</v>
      </c>
      <c r="B14293">
        <v>2018</v>
      </c>
      <c r="C14293">
        <v>11</v>
      </c>
      <c r="D14293" s="11">
        <v>43405</v>
      </c>
      <c r="E14293" t="s">
        <v>2183</v>
      </c>
      <c r="F14293">
        <v>5</v>
      </c>
      <c r="G14293" t="s">
        <v>55</v>
      </c>
      <c r="H14293" t="s">
        <v>43</v>
      </c>
      <c r="I14293" t="s">
        <v>2191</v>
      </c>
      <c r="J14293" s="10">
        <v>29.6</v>
      </c>
      <c r="K14293" t="b">
        <v>1</v>
      </c>
    </row>
    <row r="14294" spans="1:11">
      <c r="A14294" s="12">
        <v>43427</v>
      </c>
      <c r="B14294">
        <v>2018</v>
      </c>
      <c r="C14294">
        <v>11</v>
      </c>
      <c r="D14294" s="11">
        <v>43405</v>
      </c>
      <c r="E14294" t="s">
        <v>2183</v>
      </c>
      <c r="F14294">
        <v>5</v>
      </c>
      <c r="G14294" t="s">
        <v>55</v>
      </c>
      <c r="H14294" t="s">
        <v>44</v>
      </c>
      <c r="I14294" t="s">
        <v>2192</v>
      </c>
      <c r="J14294" s="10">
        <v>13</v>
      </c>
      <c r="K14294" t="b">
        <v>1</v>
      </c>
    </row>
    <row r="14295" spans="1:11">
      <c r="A14295" s="12">
        <v>43427</v>
      </c>
      <c r="B14295">
        <v>2018</v>
      </c>
      <c r="C14295">
        <v>11</v>
      </c>
      <c r="D14295" s="11">
        <v>43405</v>
      </c>
      <c r="E14295" t="s">
        <v>2183</v>
      </c>
      <c r="F14295">
        <v>5</v>
      </c>
      <c r="G14295" t="s">
        <v>55</v>
      </c>
      <c r="H14295" t="s">
        <v>45</v>
      </c>
      <c r="I14295" t="s">
        <v>2193</v>
      </c>
      <c r="J14295" s="10">
        <v>1</v>
      </c>
      <c r="K14295" t="b">
        <v>1</v>
      </c>
    </row>
    <row r="14296" spans="1:11">
      <c r="A14296" s="12">
        <v>43427</v>
      </c>
      <c r="B14296">
        <v>2018</v>
      </c>
      <c r="C14296">
        <v>11</v>
      </c>
      <c r="D14296" s="11">
        <v>43405</v>
      </c>
      <c r="E14296" t="s">
        <v>2183</v>
      </c>
      <c r="F14296">
        <v>5</v>
      </c>
      <c r="G14296" t="s">
        <v>55</v>
      </c>
      <c r="H14296" t="s">
        <v>46</v>
      </c>
      <c r="I14296" t="s">
        <v>2194</v>
      </c>
      <c r="J14296" s="10">
        <v>24</v>
      </c>
      <c r="K14296" t="b">
        <v>1</v>
      </c>
    </row>
    <row r="14297" spans="1:11">
      <c r="A14297" s="12">
        <v>43427</v>
      </c>
      <c r="B14297">
        <v>2018</v>
      </c>
      <c r="C14297">
        <v>11</v>
      </c>
      <c r="D14297" s="11">
        <v>43405</v>
      </c>
      <c r="E14297" t="s">
        <v>2183</v>
      </c>
      <c r="F14297">
        <v>5</v>
      </c>
      <c r="G14297" t="s">
        <v>55</v>
      </c>
      <c r="H14297" t="s">
        <v>47</v>
      </c>
      <c r="I14297" t="s">
        <v>2195</v>
      </c>
      <c r="J14297" s="10">
        <v>3</v>
      </c>
      <c r="K14297" t="b">
        <v>1</v>
      </c>
    </row>
    <row r="14298" spans="1:11">
      <c r="A14298" s="12">
        <v>43428</v>
      </c>
      <c r="B14298">
        <v>2018</v>
      </c>
      <c r="C14298">
        <v>11</v>
      </c>
      <c r="D14298" s="11">
        <v>43405</v>
      </c>
      <c r="E14298" t="s">
        <v>2183</v>
      </c>
      <c r="F14298">
        <v>6</v>
      </c>
      <c r="G14298" t="s">
        <v>57</v>
      </c>
      <c r="H14298" t="s">
        <v>40</v>
      </c>
      <c r="I14298" t="s">
        <v>2188</v>
      </c>
      <c r="J14298" s="10">
        <v>5.66</v>
      </c>
      <c r="K14298" t="b">
        <v>1</v>
      </c>
    </row>
    <row r="14299" spans="1:11">
      <c r="A14299" s="12">
        <v>43428</v>
      </c>
      <c r="B14299">
        <v>2018</v>
      </c>
      <c r="C14299">
        <v>11</v>
      </c>
      <c r="D14299" s="11">
        <v>43405</v>
      </c>
      <c r="E14299" t="s">
        <v>2183</v>
      </c>
      <c r="F14299">
        <v>6</v>
      </c>
      <c r="G14299" t="s">
        <v>57</v>
      </c>
      <c r="H14299" t="s">
        <v>41</v>
      </c>
      <c r="I14299" t="s">
        <v>2189</v>
      </c>
      <c r="J14299" s="10">
        <v>5.78</v>
      </c>
      <c r="K14299" t="b">
        <v>1</v>
      </c>
    </row>
    <row r="14300" spans="1:11">
      <c r="A14300" s="12">
        <v>43428</v>
      </c>
      <c r="B14300">
        <v>2018</v>
      </c>
      <c r="C14300">
        <v>11</v>
      </c>
      <c r="D14300" s="11">
        <v>43405</v>
      </c>
      <c r="E14300" t="s">
        <v>2183</v>
      </c>
      <c r="F14300">
        <v>6</v>
      </c>
      <c r="G14300" t="s">
        <v>57</v>
      </c>
      <c r="H14300" t="s">
        <v>42</v>
      </c>
      <c r="I14300" t="s">
        <v>2190</v>
      </c>
      <c r="J14300" s="10">
        <v>5</v>
      </c>
      <c r="K14300" t="b">
        <v>1</v>
      </c>
    </row>
    <row r="14301" spans="1:11">
      <c r="A14301" s="12">
        <v>43428</v>
      </c>
      <c r="B14301">
        <v>2018</v>
      </c>
      <c r="C14301">
        <v>11</v>
      </c>
      <c r="D14301" s="11">
        <v>43405</v>
      </c>
      <c r="E14301" t="s">
        <v>2183</v>
      </c>
      <c r="F14301">
        <v>6</v>
      </c>
      <c r="G14301" t="s">
        <v>57</v>
      </c>
      <c r="H14301" t="s">
        <v>43</v>
      </c>
      <c r="I14301" t="s">
        <v>2191</v>
      </c>
      <c r="J14301" s="10">
        <v>29.2</v>
      </c>
      <c r="K14301" t="b">
        <v>1</v>
      </c>
    </row>
    <row r="14302" spans="1:11">
      <c r="A14302" s="12">
        <v>43428</v>
      </c>
      <c r="B14302">
        <v>2018</v>
      </c>
      <c r="C14302">
        <v>11</v>
      </c>
      <c r="D14302" s="11">
        <v>43405</v>
      </c>
      <c r="E14302" t="s">
        <v>2183</v>
      </c>
      <c r="F14302">
        <v>6</v>
      </c>
      <c r="G14302" t="s">
        <v>57</v>
      </c>
      <c r="H14302" t="s">
        <v>44</v>
      </c>
      <c r="I14302" t="s">
        <v>2192</v>
      </c>
      <c r="J14302" s="10">
        <v>11</v>
      </c>
      <c r="K14302" t="b">
        <v>1</v>
      </c>
    </row>
    <row r="14303" spans="1:11">
      <c r="A14303" s="12">
        <v>43428</v>
      </c>
      <c r="B14303">
        <v>2018</v>
      </c>
      <c r="C14303">
        <v>11</v>
      </c>
      <c r="D14303" s="11">
        <v>43405</v>
      </c>
      <c r="E14303" t="s">
        <v>2183</v>
      </c>
      <c r="F14303">
        <v>6</v>
      </c>
      <c r="G14303" t="s">
        <v>57</v>
      </c>
      <c r="H14303" t="s">
        <v>45</v>
      </c>
      <c r="I14303" t="s">
        <v>2193</v>
      </c>
      <c r="J14303" s="10">
        <v>0</v>
      </c>
      <c r="K14303" t="b">
        <v>1</v>
      </c>
    </row>
    <row r="14304" spans="1:11">
      <c r="A14304" s="12">
        <v>43428</v>
      </c>
      <c r="B14304">
        <v>2018</v>
      </c>
      <c r="C14304">
        <v>11</v>
      </c>
      <c r="D14304" s="11">
        <v>43405</v>
      </c>
      <c r="E14304" t="s">
        <v>2183</v>
      </c>
      <c r="F14304">
        <v>6</v>
      </c>
      <c r="G14304" t="s">
        <v>57</v>
      </c>
      <c r="H14304" t="s">
        <v>46</v>
      </c>
      <c r="I14304" t="s">
        <v>2194</v>
      </c>
      <c r="J14304" s="10">
        <v>7</v>
      </c>
      <c r="K14304" t="b">
        <v>1</v>
      </c>
    </row>
    <row r="14305" spans="1:11">
      <c r="A14305" s="12">
        <v>43428</v>
      </c>
      <c r="B14305">
        <v>2018</v>
      </c>
      <c r="C14305">
        <v>11</v>
      </c>
      <c r="D14305" s="11">
        <v>43405</v>
      </c>
      <c r="E14305" t="s">
        <v>2183</v>
      </c>
      <c r="F14305">
        <v>6</v>
      </c>
      <c r="G14305" t="s">
        <v>57</v>
      </c>
      <c r="H14305" t="s">
        <v>47</v>
      </c>
      <c r="I14305" t="s">
        <v>2195</v>
      </c>
      <c r="J14305" s="10">
        <v>0.3</v>
      </c>
      <c r="K14305" t="b">
        <v>1</v>
      </c>
    </row>
    <row r="14306" spans="1:11">
      <c r="A14306" s="12">
        <v>43429</v>
      </c>
      <c r="B14306">
        <v>2018</v>
      </c>
      <c r="C14306">
        <v>11</v>
      </c>
      <c r="D14306" s="11">
        <v>43405</v>
      </c>
      <c r="E14306" t="s">
        <v>2183</v>
      </c>
      <c r="F14306">
        <v>7</v>
      </c>
      <c r="G14306" t="s">
        <v>59</v>
      </c>
      <c r="H14306" t="s">
        <v>40</v>
      </c>
      <c r="I14306" t="s">
        <v>2188</v>
      </c>
      <c r="J14306" s="10">
        <v>5.33</v>
      </c>
      <c r="K14306" t="b">
        <v>1</v>
      </c>
    </row>
    <row r="14307" spans="1:11">
      <c r="A14307" s="12">
        <v>43429</v>
      </c>
      <c r="B14307">
        <v>2018</v>
      </c>
      <c r="C14307">
        <v>11</v>
      </c>
      <c r="D14307" s="11">
        <v>43405</v>
      </c>
      <c r="E14307" t="s">
        <v>2183</v>
      </c>
      <c r="F14307">
        <v>7</v>
      </c>
      <c r="G14307" t="s">
        <v>59</v>
      </c>
      <c r="H14307" t="s">
        <v>41</v>
      </c>
      <c r="I14307" t="s">
        <v>2189</v>
      </c>
      <c r="J14307" s="10">
        <v>3.593</v>
      </c>
      <c r="K14307" t="b">
        <v>1</v>
      </c>
    </row>
    <row r="14308" spans="1:11">
      <c r="A14308" s="12">
        <v>43429</v>
      </c>
      <c r="B14308">
        <v>2018</v>
      </c>
      <c r="C14308">
        <v>11</v>
      </c>
      <c r="D14308" s="11">
        <v>43405</v>
      </c>
      <c r="E14308" t="s">
        <v>2183</v>
      </c>
      <c r="F14308">
        <v>7</v>
      </c>
      <c r="G14308" t="s">
        <v>59</v>
      </c>
      <c r="H14308" t="s">
        <v>42</v>
      </c>
      <c r="I14308" t="s">
        <v>2190</v>
      </c>
      <c r="J14308" s="10">
        <v>3.15</v>
      </c>
      <c r="K14308" t="b">
        <v>1</v>
      </c>
    </row>
    <row r="14309" spans="1:11">
      <c r="A14309" s="12">
        <v>43429</v>
      </c>
      <c r="B14309">
        <v>2018</v>
      </c>
      <c r="C14309">
        <v>11</v>
      </c>
      <c r="D14309" s="11">
        <v>43405</v>
      </c>
      <c r="E14309" t="s">
        <v>2183</v>
      </c>
      <c r="F14309">
        <v>7</v>
      </c>
      <c r="G14309" t="s">
        <v>59</v>
      </c>
      <c r="H14309" t="s">
        <v>43</v>
      </c>
      <c r="I14309" t="s">
        <v>2191</v>
      </c>
      <c r="J14309" s="10">
        <v>19.1</v>
      </c>
      <c r="K14309" t="b">
        <v>1</v>
      </c>
    </row>
    <row r="14310" spans="1:11">
      <c r="A14310" s="12">
        <v>43429</v>
      </c>
      <c r="B14310">
        <v>2018</v>
      </c>
      <c r="C14310">
        <v>11</v>
      </c>
      <c r="D14310" s="11">
        <v>43405</v>
      </c>
      <c r="E14310" t="s">
        <v>2183</v>
      </c>
      <c r="F14310">
        <v>7</v>
      </c>
      <c r="G14310" t="s">
        <v>59</v>
      </c>
      <c r="H14310" t="s">
        <v>44</v>
      </c>
      <c r="I14310" t="s">
        <v>2192</v>
      </c>
      <c r="J14310" s="10">
        <v>6</v>
      </c>
      <c r="K14310" t="b">
        <v>1</v>
      </c>
    </row>
    <row r="14311" spans="1:11">
      <c r="A14311" s="12">
        <v>43429</v>
      </c>
      <c r="B14311">
        <v>2018</v>
      </c>
      <c r="C14311">
        <v>11</v>
      </c>
      <c r="D14311" s="11">
        <v>43405</v>
      </c>
      <c r="E14311" t="s">
        <v>2183</v>
      </c>
      <c r="F14311">
        <v>7</v>
      </c>
      <c r="G14311" t="s">
        <v>59</v>
      </c>
      <c r="H14311" t="s">
        <v>45</v>
      </c>
      <c r="I14311" t="s">
        <v>2193</v>
      </c>
      <c r="J14311" s="10">
        <v>1</v>
      </c>
      <c r="K14311" t="b">
        <v>1</v>
      </c>
    </row>
    <row r="14312" spans="1:11">
      <c r="A14312" s="12">
        <v>43429</v>
      </c>
      <c r="B14312">
        <v>2018</v>
      </c>
      <c r="C14312">
        <v>11</v>
      </c>
      <c r="D14312" s="11">
        <v>43405</v>
      </c>
      <c r="E14312" t="s">
        <v>2183</v>
      </c>
      <c r="F14312">
        <v>7</v>
      </c>
      <c r="G14312" t="s">
        <v>59</v>
      </c>
      <c r="H14312" t="s">
        <v>46</v>
      </c>
      <c r="I14312" t="s">
        <v>2194</v>
      </c>
      <c r="J14312" s="10">
        <v>3</v>
      </c>
      <c r="K14312" t="b">
        <v>1</v>
      </c>
    </row>
    <row r="14313" spans="1:11">
      <c r="A14313" s="12">
        <v>43429</v>
      </c>
      <c r="B14313">
        <v>2018</v>
      </c>
      <c r="C14313">
        <v>11</v>
      </c>
      <c r="D14313" s="11">
        <v>43405</v>
      </c>
      <c r="E14313" t="s">
        <v>2183</v>
      </c>
      <c r="F14313">
        <v>7</v>
      </c>
      <c r="G14313" t="s">
        <v>59</v>
      </c>
      <c r="H14313" t="s">
        <v>47</v>
      </c>
      <c r="I14313" t="s">
        <v>2195</v>
      </c>
      <c r="J14313" s="10">
        <v>2</v>
      </c>
      <c r="K14313" t="b">
        <v>1</v>
      </c>
    </row>
    <row r="14314" spans="1:11">
      <c r="A14314" s="12">
        <v>43430</v>
      </c>
      <c r="B14314">
        <v>2018</v>
      </c>
      <c r="C14314">
        <v>11</v>
      </c>
      <c r="D14314" s="11">
        <v>43405</v>
      </c>
      <c r="E14314" t="s">
        <v>2183</v>
      </c>
      <c r="F14314">
        <v>1</v>
      </c>
      <c r="G14314" t="s">
        <v>61</v>
      </c>
      <c r="H14314" t="s">
        <v>40</v>
      </c>
      <c r="I14314" t="s">
        <v>2188</v>
      </c>
      <c r="J14314" s="10">
        <v>5.33</v>
      </c>
      <c r="K14314" t="b">
        <v>1</v>
      </c>
    </row>
    <row r="14315" spans="1:11">
      <c r="A14315" s="12">
        <v>43430</v>
      </c>
      <c r="B14315">
        <v>2018</v>
      </c>
      <c r="C14315">
        <v>11</v>
      </c>
      <c r="D14315" s="11">
        <v>43405</v>
      </c>
      <c r="E14315" t="s">
        <v>2183</v>
      </c>
      <c r="F14315">
        <v>1</v>
      </c>
      <c r="G14315" t="s">
        <v>61</v>
      </c>
      <c r="H14315" t="s">
        <v>41</v>
      </c>
      <c r="I14315" t="s">
        <v>2189</v>
      </c>
      <c r="J14315" s="10">
        <v>2.34</v>
      </c>
      <c r="K14315" t="b">
        <v>1</v>
      </c>
    </row>
    <row r="14316" spans="1:11">
      <c r="A14316" s="12">
        <v>43430</v>
      </c>
      <c r="B14316">
        <v>2018</v>
      </c>
      <c r="C14316">
        <v>11</v>
      </c>
      <c r="D14316" s="11">
        <v>43405</v>
      </c>
      <c r="E14316" t="s">
        <v>2183</v>
      </c>
      <c r="F14316">
        <v>1</v>
      </c>
      <c r="G14316" t="s">
        <v>61</v>
      </c>
      <c r="H14316" t="s">
        <v>42</v>
      </c>
      <c r="I14316" t="s">
        <v>2190</v>
      </c>
      <c r="J14316" s="10">
        <v>2</v>
      </c>
      <c r="K14316" t="b">
        <v>1</v>
      </c>
    </row>
    <row r="14317" spans="1:11">
      <c r="A14317" s="12">
        <v>43430</v>
      </c>
      <c r="B14317">
        <v>2018</v>
      </c>
      <c r="C14317">
        <v>11</v>
      </c>
      <c r="D14317" s="11">
        <v>43405</v>
      </c>
      <c r="E14317" t="s">
        <v>2183</v>
      </c>
      <c r="F14317">
        <v>1</v>
      </c>
      <c r="G14317" t="s">
        <v>61</v>
      </c>
      <c r="H14317" t="s">
        <v>43</v>
      </c>
      <c r="I14317" t="s">
        <v>2191</v>
      </c>
      <c r="J14317" s="10">
        <v>36.3</v>
      </c>
      <c r="K14317" t="b">
        <v>1</v>
      </c>
    </row>
    <row r="14318" spans="1:11">
      <c r="A14318" s="12">
        <v>43430</v>
      </c>
      <c r="B14318">
        <v>2018</v>
      </c>
      <c r="C14318">
        <v>11</v>
      </c>
      <c r="D14318" s="11">
        <v>43405</v>
      </c>
      <c r="E14318" t="s">
        <v>2183</v>
      </c>
      <c r="F14318">
        <v>1</v>
      </c>
      <c r="G14318" t="s">
        <v>61</v>
      </c>
      <c r="H14318" t="s">
        <v>44</v>
      </c>
      <c r="I14318" t="s">
        <v>2192</v>
      </c>
      <c r="J14318" s="10">
        <v>15</v>
      </c>
      <c r="K14318" t="b">
        <v>1</v>
      </c>
    </row>
    <row r="14319" spans="1:11">
      <c r="A14319" s="12">
        <v>43430</v>
      </c>
      <c r="B14319">
        <v>2018</v>
      </c>
      <c r="C14319">
        <v>11</v>
      </c>
      <c r="D14319" s="11">
        <v>43405</v>
      </c>
      <c r="E14319" t="s">
        <v>2183</v>
      </c>
      <c r="F14319">
        <v>1</v>
      </c>
      <c r="G14319" t="s">
        <v>61</v>
      </c>
      <c r="H14319" t="s">
        <v>45</v>
      </c>
      <c r="I14319" t="s">
        <v>2193</v>
      </c>
      <c r="J14319" s="10">
        <v>1</v>
      </c>
      <c r="K14319" t="b">
        <v>1</v>
      </c>
    </row>
    <row r="14320" spans="1:11">
      <c r="A14320" s="12">
        <v>43430</v>
      </c>
      <c r="B14320">
        <v>2018</v>
      </c>
      <c r="C14320">
        <v>11</v>
      </c>
      <c r="D14320" s="11">
        <v>43405</v>
      </c>
      <c r="E14320" t="s">
        <v>2183</v>
      </c>
      <c r="F14320">
        <v>1</v>
      </c>
      <c r="G14320" t="s">
        <v>61</v>
      </c>
      <c r="H14320" t="s">
        <v>46</v>
      </c>
      <c r="I14320" t="s">
        <v>2194</v>
      </c>
      <c r="J14320" s="10">
        <v>16</v>
      </c>
      <c r="K14320" t="b">
        <v>1</v>
      </c>
    </row>
    <row r="14321" spans="1:11">
      <c r="A14321" s="12">
        <v>43430</v>
      </c>
      <c r="B14321">
        <v>2018</v>
      </c>
      <c r="C14321">
        <v>11</v>
      </c>
      <c r="D14321" s="11">
        <v>43405</v>
      </c>
      <c r="E14321" t="s">
        <v>2183</v>
      </c>
      <c r="F14321">
        <v>1</v>
      </c>
      <c r="G14321" t="s">
        <v>61</v>
      </c>
      <c r="H14321" t="s">
        <v>47</v>
      </c>
      <c r="I14321" t="s">
        <v>2195</v>
      </c>
      <c r="J14321" s="10">
        <v>3</v>
      </c>
      <c r="K14321" t="b">
        <v>1</v>
      </c>
    </row>
    <row r="14322" spans="1:11">
      <c r="A14322" s="12">
        <v>43431</v>
      </c>
      <c r="B14322">
        <v>2018</v>
      </c>
      <c r="C14322">
        <v>11</v>
      </c>
      <c r="D14322" s="11">
        <v>43405</v>
      </c>
      <c r="E14322" t="s">
        <v>2183</v>
      </c>
      <c r="F14322">
        <v>2</v>
      </c>
      <c r="G14322" t="s">
        <v>63</v>
      </c>
      <c r="H14322" t="s">
        <v>40</v>
      </c>
      <c r="I14322" t="s">
        <v>2188</v>
      </c>
      <c r="J14322" s="10">
        <v>8</v>
      </c>
      <c r="K14322" t="b">
        <v>1</v>
      </c>
    </row>
    <row r="14323" spans="1:11">
      <c r="A14323" s="12">
        <v>43431</v>
      </c>
      <c r="B14323">
        <v>2018</v>
      </c>
      <c r="C14323">
        <v>11</v>
      </c>
      <c r="D14323" s="11">
        <v>43405</v>
      </c>
      <c r="E14323" t="s">
        <v>2183</v>
      </c>
      <c r="F14323">
        <v>2</v>
      </c>
      <c r="G14323" t="s">
        <v>63</v>
      </c>
      <c r="H14323" t="s">
        <v>41</v>
      </c>
      <c r="I14323" t="s">
        <v>2189</v>
      </c>
      <c r="J14323" s="10">
        <v>4.67</v>
      </c>
      <c r="K14323" t="b">
        <v>1</v>
      </c>
    </row>
    <row r="14324" spans="1:11">
      <c r="A14324" s="12">
        <v>43431</v>
      </c>
      <c r="B14324">
        <v>2018</v>
      </c>
      <c r="C14324">
        <v>11</v>
      </c>
      <c r="D14324" s="11">
        <v>43405</v>
      </c>
      <c r="E14324" t="s">
        <v>2183</v>
      </c>
      <c r="F14324">
        <v>2</v>
      </c>
      <c r="G14324" t="s">
        <v>63</v>
      </c>
      <c r="H14324" t="s">
        <v>42</v>
      </c>
      <c r="I14324" t="s">
        <v>2190</v>
      </c>
      <c r="J14324" s="10">
        <v>2</v>
      </c>
      <c r="K14324" t="b">
        <v>1</v>
      </c>
    </row>
    <row r="14325" spans="1:11">
      <c r="A14325" s="12">
        <v>43431</v>
      </c>
      <c r="B14325">
        <v>2018</v>
      </c>
      <c r="C14325">
        <v>11</v>
      </c>
      <c r="D14325" s="11">
        <v>43405</v>
      </c>
      <c r="E14325" t="s">
        <v>2183</v>
      </c>
      <c r="F14325">
        <v>2</v>
      </c>
      <c r="G14325" t="s">
        <v>63</v>
      </c>
      <c r="H14325" t="s">
        <v>43</v>
      </c>
      <c r="I14325" t="s">
        <v>2191</v>
      </c>
      <c r="J14325" s="10">
        <v>41.5</v>
      </c>
      <c r="K14325" t="b">
        <v>1</v>
      </c>
    </row>
    <row r="14326" spans="1:11">
      <c r="A14326" s="12">
        <v>43431</v>
      </c>
      <c r="B14326">
        <v>2018</v>
      </c>
      <c r="C14326">
        <v>11</v>
      </c>
      <c r="D14326" s="11">
        <v>43405</v>
      </c>
      <c r="E14326" t="s">
        <v>2183</v>
      </c>
      <c r="F14326">
        <v>2</v>
      </c>
      <c r="G14326" t="s">
        <v>63</v>
      </c>
      <c r="H14326" t="s">
        <v>44</v>
      </c>
      <c r="I14326" t="s">
        <v>2192</v>
      </c>
      <c r="J14326" s="10">
        <v>2</v>
      </c>
      <c r="K14326" t="b">
        <v>1</v>
      </c>
    </row>
    <row r="14327" spans="1:11">
      <c r="A14327" s="12">
        <v>43431</v>
      </c>
      <c r="B14327">
        <v>2018</v>
      </c>
      <c r="C14327">
        <v>11</v>
      </c>
      <c r="D14327" s="11">
        <v>43405</v>
      </c>
      <c r="E14327" t="s">
        <v>2183</v>
      </c>
      <c r="F14327">
        <v>2</v>
      </c>
      <c r="G14327" t="s">
        <v>63</v>
      </c>
      <c r="H14327" t="s">
        <v>45</v>
      </c>
      <c r="I14327" t="s">
        <v>2193</v>
      </c>
      <c r="J14327" s="10">
        <v>0</v>
      </c>
      <c r="K14327" t="b">
        <v>1</v>
      </c>
    </row>
    <row r="14328" spans="1:11">
      <c r="A14328" s="12">
        <v>43431</v>
      </c>
      <c r="B14328">
        <v>2018</v>
      </c>
      <c r="C14328">
        <v>11</v>
      </c>
      <c r="D14328" s="11">
        <v>43405</v>
      </c>
      <c r="E14328" t="s">
        <v>2183</v>
      </c>
      <c r="F14328">
        <v>2</v>
      </c>
      <c r="G14328" t="s">
        <v>63</v>
      </c>
      <c r="H14328" t="s">
        <v>46</v>
      </c>
      <c r="I14328" t="s">
        <v>2194</v>
      </c>
      <c r="J14328" s="10">
        <v>5</v>
      </c>
      <c r="K14328" t="b">
        <v>1</v>
      </c>
    </row>
    <row r="14329" spans="1:11">
      <c r="A14329" s="12">
        <v>43431</v>
      </c>
      <c r="B14329">
        <v>2018</v>
      </c>
      <c r="C14329">
        <v>11</v>
      </c>
      <c r="D14329" s="11">
        <v>43405</v>
      </c>
      <c r="E14329" t="s">
        <v>2183</v>
      </c>
      <c r="F14329">
        <v>2</v>
      </c>
      <c r="G14329" t="s">
        <v>63</v>
      </c>
      <c r="H14329" t="s">
        <v>47</v>
      </c>
      <c r="I14329" t="s">
        <v>2195</v>
      </c>
      <c r="J14329" s="10">
        <v>2</v>
      </c>
      <c r="K14329" t="b">
        <v>1</v>
      </c>
    </row>
    <row r="14330" spans="1:11">
      <c r="A14330" s="12">
        <v>43432</v>
      </c>
      <c r="B14330">
        <v>2018</v>
      </c>
      <c r="C14330">
        <v>11</v>
      </c>
      <c r="D14330" s="11">
        <v>43405</v>
      </c>
      <c r="E14330" t="s">
        <v>2183</v>
      </c>
      <c r="F14330">
        <v>3</v>
      </c>
      <c r="G14330" t="s">
        <v>65</v>
      </c>
      <c r="H14330" t="s">
        <v>40</v>
      </c>
      <c r="I14330" t="s">
        <v>2188</v>
      </c>
      <c r="J14330" s="10">
        <v>3</v>
      </c>
      <c r="K14330" t="b">
        <v>1</v>
      </c>
    </row>
    <row r="14331" spans="1:11">
      <c r="A14331" s="12">
        <v>43432</v>
      </c>
      <c r="B14331">
        <v>2018</v>
      </c>
      <c r="C14331">
        <v>11</v>
      </c>
      <c r="D14331" s="11">
        <v>43405</v>
      </c>
      <c r="E14331" t="s">
        <v>2183</v>
      </c>
      <c r="F14331">
        <v>3</v>
      </c>
      <c r="G14331" t="s">
        <v>65</v>
      </c>
      <c r="H14331" t="s">
        <v>41</v>
      </c>
      <c r="I14331" t="s">
        <v>2189</v>
      </c>
      <c r="J14331" s="10">
        <v>5.67</v>
      </c>
      <c r="K14331" t="b">
        <v>1</v>
      </c>
    </row>
    <row r="14332" spans="1:11">
      <c r="A14332" s="12">
        <v>43432</v>
      </c>
      <c r="B14332">
        <v>2018</v>
      </c>
      <c r="C14332">
        <v>11</v>
      </c>
      <c r="D14332" s="11">
        <v>43405</v>
      </c>
      <c r="E14332" t="s">
        <v>2183</v>
      </c>
      <c r="F14332">
        <v>3</v>
      </c>
      <c r="G14332" t="s">
        <v>65</v>
      </c>
      <c r="H14332" t="s">
        <v>42</v>
      </c>
      <c r="I14332" t="s">
        <v>2190</v>
      </c>
      <c r="J14332" s="10">
        <v>1</v>
      </c>
      <c r="K14332" t="b">
        <v>1</v>
      </c>
    </row>
    <row r="14333" spans="1:11">
      <c r="A14333" s="12">
        <v>43432</v>
      </c>
      <c r="B14333">
        <v>2018</v>
      </c>
      <c r="C14333">
        <v>11</v>
      </c>
      <c r="D14333" s="11">
        <v>43405</v>
      </c>
      <c r="E14333" t="s">
        <v>2183</v>
      </c>
      <c r="F14333">
        <v>3</v>
      </c>
      <c r="G14333" t="s">
        <v>65</v>
      </c>
      <c r="H14333" t="s">
        <v>43</v>
      </c>
      <c r="I14333" t="s">
        <v>2191</v>
      </c>
      <c r="J14333" s="10">
        <v>24.4</v>
      </c>
      <c r="K14333" t="b">
        <v>1</v>
      </c>
    </row>
    <row r="14334" spans="1:11">
      <c r="A14334" s="12">
        <v>43432</v>
      </c>
      <c r="B14334">
        <v>2018</v>
      </c>
      <c r="C14334">
        <v>11</v>
      </c>
      <c r="D14334" s="11">
        <v>43405</v>
      </c>
      <c r="E14334" t="s">
        <v>2183</v>
      </c>
      <c r="F14334">
        <v>3</v>
      </c>
      <c r="G14334" t="s">
        <v>65</v>
      </c>
      <c r="H14334" t="s">
        <v>44</v>
      </c>
      <c r="I14334" t="s">
        <v>2192</v>
      </c>
      <c r="J14334" s="10">
        <v>15</v>
      </c>
      <c r="K14334" t="b">
        <v>1</v>
      </c>
    </row>
    <row r="14335" spans="1:11">
      <c r="A14335" s="12">
        <v>43432</v>
      </c>
      <c r="B14335">
        <v>2018</v>
      </c>
      <c r="C14335">
        <v>11</v>
      </c>
      <c r="D14335" s="11">
        <v>43405</v>
      </c>
      <c r="E14335" t="s">
        <v>2183</v>
      </c>
      <c r="F14335">
        <v>3</v>
      </c>
      <c r="G14335" t="s">
        <v>65</v>
      </c>
      <c r="H14335" t="s">
        <v>45</v>
      </c>
      <c r="I14335" t="s">
        <v>2193</v>
      </c>
      <c r="J14335" s="10">
        <v>2</v>
      </c>
      <c r="K14335" t="b">
        <v>1</v>
      </c>
    </row>
    <row r="14336" spans="1:11">
      <c r="A14336" s="12">
        <v>43432</v>
      </c>
      <c r="B14336">
        <v>2018</v>
      </c>
      <c r="C14336">
        <v>11</v>
      </c>
      <c r="D14336" s="11">
        <v>43405</v>
      </c>
      <c r="E14336" t="s">
        <v>2183</v>
      </c>
      <c r="F14336">
        <v>3</v>
      </c>
      <c r="G14336" t="s">
        <v>65</v>
      </c>
      <c r="H14336" t="s">
        <v>46</v>
      </c>
      <c r="I14336" t="s">
        <v>2194</v>
      </c>
      <c r="J14336" s="10">
        <v>8</v>
      </c>
      <c r="K14336" t="b">
        <v>1</v>
      </c>
    </row>
    <row r="14337" spans="1:11">
      <c r="A14337" s="12">
        <v>43432</v>
      </c>
      <c r="B14337">
        <v>2018</v>
      </c>
      <c r="C14337">
        <v>11</v>
      </c>
      <c r="D14337" s="11">
        <v>43405</v>
      </c>
      <c r="E14337" t="s">
        <v>2183</v>
      </c>
      <c r="F14337">
        <v>3</v>
      </c>
      <c r="G14337" t="s">
        <v>65</v>
      </c>
      <c r="H14337" t="s">
        <v>47</v>
      </c>
      <c r="I14337" t="s">
        <v>2195</v>
      </c>
      <c r="J14337" s="10">
        <v>4</v>
      </c>
      <c r="K14337" t="b">
        <v>1</v>
      </c>
    </row>
    <row r="14338" spans="1:11">
      <c r="A14338" s="12">
        <v>43433</v>
      </c>
      <c r="B14338">
        <v>2018</v>
      </c>
      <c r="C14338">
        <v>11</v>
      </c>
      <c r="D14338" s="11">
        <v>43405</v>
      </c>
      <c r="E14338" t="s">
        <v>2183</v>
      </c>
      <c r="F14338">
        <v>4</v>
      </c>
      <c r="G14338" t="s">
        <v>53</v>
      </c>
      <c r="H14338" t="s">
        <v>40</v>
      </c>
      <c r="I14338" t="s">
        <v>2188</v>
      </c>
      <c r="J14338" s="10">
        <v>4.33</v>
      </c>
      <c r="K14338" t="b">
        <v>1</v>
      </c>
    </row>
    <row r="14339" spans="1:11">
      <c r="A14339" s="12">
        <v>43433</v>
      </c>
      <c r="B14339">
        <v>2018</v>
      </c>
      <c r="C14339">
        <v>11</v>
      </c>
      <c r="D14339" s="11">
        <v>43405</v>
      </c>
      <c r="E14339" t="s">
        <v>2183</v>
      </c>
      <c r="F14339">
        <v>4</v>
      </c>
      <c r="G14339" t="s">
        <v>53</v>
      </c>
      <c r="H14339" t="s">
        <v>41</v>
      </c>
      <c r="I14339" t="s">
        <v>2189</v>
      </c>
      <c r="J14339" s="10">
        <v>4.32</v>
      </c>
      <c r="K14339" t="b">
        <v>1</v>
      </c>
    </row>
    <row r="14340" spans="1:11">
      <c r="A14340" s="12">
        <v>43433</v>
      </c>
      <c r="B14340">
        <v>2018</v>
      </c>
      <c r="C14340">
        <v>11</v>
      </c>
      <c r="D14340" s="11">
        <v>43405</v>
      </c>
      <c r="E14340" t="s">
        <v>2183</v>
      </c>
      <c r="F14340">
        <v>4</v>
      </c>
      <c r="G14340" t="s">
        <v>53</v>
      </c>
      <c r="H14340" t="s">
        <v>42</v>
      </c>
      <c r="I14340" t="s">
        <v>2190</v>
      </c>
      <c r="J14340" s="10">
        <v>1</v>
      </c>
      <c r="K14340" t="b">
        <v>1</v>
      </c>
    </row>
    <row r="14341" spans="1:11">
      <c r="A14341" s="12">
        <v>43433</v>
      </c>
      <c r="B14341">
        <v>2018</v>
      </c>
      <c r="C14341">
        <v>11</v>
      </c>
      <c r="D14341" s="11">
        <v>43405</v>
      </c>
      <c r="E14341" t="s">
        <v>2183</v>
      </c>
      <c r="F14341">
        <v>4</v>
      </c>
      <c r="G14341" t="s">
        <v>53</v>
      </c>
      <c r="H14341" t="s">
        <v>43</v>
      </c>
      <c r="I14341" t="s">
        <v>2191</v>
      </c>
      <c r="J14341" s="10">
        <v>22.6</v>
      </c>
      <c r="K14341" t="b">
        <v>1</v>
      </c>
    </row>
    <row r="14342" spans="1:11">
      <c r="A14342" s="12">
        <v>43433</v>
      </c>
      <c r="B14342">
        <v>2018</v>
      </c>
      <c r="C14342">
        <v>11</v>
      </c>
      <c r="D14342" s="11">
        <v>43405</v>
      </c>
      <c r="E14342" t="s">
        <v>2183</v>
      </c>
      <c r="F14342">
        <v>4</v>
      </c>
      <c r="G14342" t="s">
        <v>53</v>
      </c>
      <c r="H14342" t="s">
        <v>44</v>
      </c>
      <c r="I14342" t="s">
        <v>2192</v>
      </c>
      <c r="J14342" s="10">
        <v>7</v>
      </c>
      <c r="K14342" t="b">
        <v>1</v>
      </c>
    </row>
    <row r="14343" spans="1:11">
      <c r="A14343" s="12">
        <v>43433</v>
      </c>
      <c r="B14343">
        <v>2018</v>
      </c>
      <c r="C14343">
        <v>11</v>
      </c>
      <c r="D14343" s="11">
        <v>43405</v>
      </c>
      <c r="E14343" t="s">
        <v>2183</v>
      </c>
      <c r="F14343">
        <v>4</v>
      </c>
      <c r="G14343" t="s">
        <v>53</v>
      </c>
      <c r="H14343" t="s">
        <v>45</v>
      </c>
      <c r="I14343" t="s">
        <v>2193</v>
      </c>
      <c r="J14343" s="10">
        <v>0</v>
      </c>
      <c r="K14343" t="b">
        <v>1</v>
      </c>
    </row>
    <row r="14344" spans="1:11">
      <c r="A14344" s="12">
        <v>43433</v>
      </c>
      <c r="B14344">
        <v>2018</v>
      </c>
      <c r="C14344">
        <v>11</v>
      </c>
      <c r="D14344" s="11">
        <v>43405</v>
      </c>
      <c r="E14344" t="s">
        <v>2183</v>
      </c>
      <c r="F14344">
        <v>4</v>
      </c>
      <c r="G14344" t="s">
        <v>53</v>
      </c>
      <c r="H14344" t="s">
        <v>46</v>
      </c>
      <c r="I14344" t="s">
        <v>2194</v>
      </c>
      <c r="J14344" s="10">
        <v>1</v>
      </c>
      <c r="K14344" t="b">
        <v>1</v>
      </c>
    </row>
    <row r="14345" spans="1:11">
      <c r="A14345" s="12">
        <v>43433</v>
      </c>
      <c r="B14345">
        <v>2018</v>
      </c>
      <c r="C14345">
        <v>11</v>
      </c>
      <c r="D14345" s="11">
        <v>43405</v>
      </c>
      <c r="E14345" t="s">
        <v>2183</v>
      </c>
      <c r="F14345">
        <v>4</v>
      </c>
      <c r="G14345" t="s">
        <v>53</v>
      </c>
      <c r="H14345" t="s">
        <v>47</v>
      </c>
      <c r="I14345" t="s">
        <v>2195</v>
      </c>
      <c r="J14345" s="10">
        <v>3</v>
      </c>
      <c r="K14345" t="b">
        <v>1</v>
      </c>
    </row>
    <row r="14346" spans="1:11">
      <c r="A14346" s="12">
        <v>43434</v>
      </c>
      <c r="B14346">
        <v>2018</v>
      </c>
      <c r="C14346">
        <v>11</v>
      </c>
      <c r="D14346" s="11">
        <v>43405</v>
      </c>
      <c r="E14346" t="s">
        <v>2183</v>
      </c>
      <c r="F14346">
        <v>5</v>
      </c>
      <c r="G14346" t="s">
        <v>55</v>
      </c>
      <c r="H14346" t="s">
        <v>40</v>
      </c>
      <c r="I14346" t="s">
        <v>2188</v>
      </c>
      <c r="J14346" s="10">
        <v>1</v>
      </c>
      <c r="K14346" t="b">
        <v>1</v>
      </c>
    </row>
    <row r="14347" spans="1:11">
      <c r="A14347" s="12">
        <v>43434</v>
      </c>
      <c r="B14347">
        <v>2018</v>
      </c>
      <c r="C14347">
        <v>11</v>
      </c>
      <c r="D14347" s="11">
        <v>43405</v>
      </c>
      <c r="E14347" t="s">
        <v>2183</v>
      </c>
      <c r="F14347">
        <v>5</v>
      </c>
      <c r="G14347" t="s">
        <v>55</v>
      </c>
      <c r="H14347" t="s">
        <v>41</v>
      </c>
      <c r="I14347" t="s">
        <v>2189</v>
      </c>
      <c r="J14347" s="10">
        <v>3.01</v>
      </c>
      <c r="K14347" t="b">
        <v>1</v>
      </c>
    </row>
    <row r="14348" spans="1:11">
      <c r="A14348" s="12">
        <v>43434</v>
      </c>
      <c r="B14348">
        <v>2018</v>
      </c>
      <c r="C14348">
        <v>11</v>
      </c>
      <c r="D14348" s="11">
        <v>43405</v>
      </c>
      <c r="E14348" t="s">
        <v>2183</v>
      </c>
      <c r="F14348">
        <v>5</v>
      </c>
      <c r="G14348" t="s">
        <v>55</v>
      </c>
      <c r="H14348" t="s">
        <v>42</v>
      </c>
      <c r="I14348" t="s">
        <v>2190</v>
      </c>
      <c r="J14348" s="10">
        <v>1</v>
      </c>
      <c r="K14348" t="b">
        <v>1</v>
      </c>
    </row>
    <row r="14349" spans="1:11">
      <c r="A14349" s="12">
        <v>43434</v>
      </c>
      <c r="B14349">
        <v>2018</v>
      </c>
      <c r="C14349">
        <v>11</v>
      </c>
      <c r="D14349" s="11">
        <v>43405</v>
      </c>
      <c r="E14349" t="s">
        <v>2183</v>
      </c>
      <c r="F14349">
        <v>5</v>
      </c>
      <c r="G14349" t="s">
        <v>55</v>
      </c>
      <c r="H14349" t="s">
        <v>43</v>
      </c>
      <c r="I14349" t="s">
        <v>2191</v>
      </c>
      <c r="J14349" s="10">
        <v>22.4</v>
      </c>
      <c r="K14349" t="b">
        <v>1</v>
      </c>
    </row>
    <row r="14350" spans="1:11">
      <c r="A14350" s="12">
        <v>43434</v>
      </c>
      <c r="B14350">
        <v>2018</v>
      </c>
      <c r="C14350">
        <v>11</v>
      </c>
      <c r="D14350" s="11">
        <v>43405</v>
      </c>
      <c r="E14350" t="s">
        <v>2183</v>
      </c>
      <c r="F14350">
        <v>5</v>
      </c>
      <c r="G14350" t="s">
        <v>55</v>
      </c>
      <c r="H14350" t="s">
        <v>44</v>
      </c>
      <c r="I14350" t="s">
        <v>2192</v>
      </c>
      <c r="J14350" s="10">
        <v>3</v>
      </c>
      <c r="K14350" t="b">
        <v>1</v>
      </c>
    </row>
    <row r="14351" spans="1:11">
      <c r="A14351" s="12">
        <v>43434</v>
      </c>
      <c r="B14351">
        <v>2018</v>
      </c>
      <c r="C14351">
        <v>11</v>
      </c>
      <c r="D14351" s="11">
        <v>43405</v>
      </c>
      <c r="E14351" t="s">
        <v>2183</v>
      </c>
      <c r="F14351">
        <v>5</v>
      </c>
      <c r="G14351" t="s">
        <v>55</v>
      </c>
      <c r="H14351" t="s">
        <v>45</v>
      </c>
      <c r="I14351" t="s">
        <v>2193</v>
      </c>
      <c r="J14351" s="10">
        <v>0</v>
      </c>
      <c r="K14351" t="b">
        <v>1</v>
      </c>
    </row>
    <row r="14352" spans="1:11">
      <c r="A14352" s="12">
        <v>43434</v>
      </c>
      <c r="B14352">
        <v>2018</v>
      </c>
      <c r="C14352">
        <v>11</v>
      </c>
      <c r="D14352" s="11">
        <v>43405</v>
      </c>
      <c r="E14352" t="s">
        <v>2183</v>
      </c>
      <c r="F14352">
        <v>5</v>
      </c>
      <c r="G14352" t="s">
        <v>55</v>
      </c>
      <c r="H14352" t="s">
        <v>46</v>
      </c>
      <c r="I14352" t="s">
        <v>2194</v>
      </c>
      <c r="J14352" s="10">
        <v>0</v>
      </c>
      <c r="K14352" t="b">
        <v>1</v>
      </c>
    </row>
    <row r="14353" spans="1:11">
      <c r="A14353" s="12">
        <v>43434</v>
      </c>
      <c r="B14353">
        <v>2018</v>
      </c>
      <c r="C14353">
        <v>11</v>
      </c>
      <c r="D14353" s="11">
        <v>43405</v>
      </c>
      <c r="E14353" t="s">
        <v>2183</v>
      </c>
      <c r="F14353">
        <v>5</v>
      </c>
      <c r="G14353" t="s">
        <v>55</v>
      </c>
      <c r="H14353" t="s">
        <v>47</v>
      </c>
      <c r="I14353" t="s">
        <v>2195</v>
      </c>
      <c r="J14353" s="10">
        <v>2.5</v>
      </c>
      <c r="K14353" t="b">
        <v>1</v>
      </c>
    </row>
    <row r="14354" spans="1:11">
      <c r="A14354" s="12">
        <v>43435</v>
      </c>
      <c r="B14354">
        <v>2018</v>
      </c>
      <c r="C14354">
        <v>12</v>
      </c>
      <c r="D14354" s="11">
        <v>43435</v>
      </c>
      <c r="E14354" t="s">
        <v>2184</v>
      </c>
      <c r="F14354">
        <v>6</v>
      </c>
      <c r="G14354" t="s">
        <v>57</v>
      </c>
      <c r="H14354" t="s">
        <v>40</v>
      </c>
      <c r="I14354" t="s">
        <v>2188</v>
      </c>
      <c r="J14354" s="10">
        <v>7</v>
      </c>
      <c r="K14354" t="b">
        <v>1</v>
      </c>
    </row>
    <row r="14355" spans="1:11">
      <c r="A14355" s="12">
        <v>43435</v>
      </c>
      <c r="B14355">
        <v>2018</v>
      </c>
      <c r="C14355">
        <v>12</v>
      </c>
      <c r="D14355" s="11">
        <v>43435</v>
      </c>
      <c r="E14355" t="s">
        <v>2184</v>
      </c>
      <c r="F14355">
        <v>6</v>
      </c>
      <c r="G14355" t="s">
        <v>57</v>
      </c>
      <c r="H14355" t="s">
        <v>41</v>
      </c>
      <c r="I14355" t="s">
        <v>2189</v>
      </c>
      <c r="J14355" s="10">
        <v>8.779</v>
      </c>
      <c r="K14355" t="b">
        <v>1</v>
      </c>
    </row>
    <row r="14356" spans="1:11">
      <c r="A14356" s="12">
        <v>43435</v>
      </c>
      <c r="B14356">
        <v>2018</v>
      </c>
      <c r="C14356">
        <v>12</v>
      </c>
      <c r="D14356" s="11">
        <v>43435</v>
      </c>
      <c r="E14356" t="s">
        <v>2184</v>
      </c>
      <c r="F14356">
        <v>6</v>
      </c>
      <c r="G14356" t="s">
        <v>57</v>
      </c>
      <c r="H14356" t="s">
        <v>42</v>
      </c>
      <c r="I14356" t="s">
        <v>2190</v>
      </c>
      <c r="J14356" s="10">
        <v>2.05</v>
      </c>
      <c r="K14356" t="b">
        <v>1</v>
      </c>
    </row>
    <row r="14357" spans="1:11">
      <c r="A14357" s="12">
        <v>43435</v>
      </c>
      <c r="B14357">
        <v>2018</v>
      </c>
      <c r="C14357">
        <v>12</v>
      </c>
      <c r="D14357" s="11">
        <v>43435</v>
      </c>
      <c r="E14357" t="s">
        <v>2184</v>
      </c>
      <c r="F14357">
        <v>6</v>
      </c>
      <c r="G14357" t="s">
        <v>57</v>
      </c>
      <c r="H14357" t="s">
        <v>43</v>
      </c>
      <c r="I14357" t="s">
        <v>2191</v>
      </c>
      <c r="J14357" s="10">
        <v>41</v>
      </c>
      <c r="K14357" t="b">
        <v>1</v>
      </c>
    </row>
    <row r="14358" spans="1:11">
      <c r="A14358" s="12">
        <v>43435</v>
      </c>
      <c r="B14358">
        <v>2018</v>
      </c>
      <c r="C14358">
        <v>12</v>
      </c>
      <c r="D14358" s="11">
        <v>43435</v>
      </c>
      <c r="E14358" t="s">
        <v>2184</v>
      </c>
      <c r="F14358">
        <v>6</v>
      </c>
      <c r="G14358" t="s">
        <v>57</v>
      </c>
      <c r="H14358" t="s">
        <v>44</v>
      </c>
      <c r="I14358" t="s">
        <v>2192</v>
      </c>
      <c r="J14358" s="10">
        <v>7</v>
      </c>
      <c r="K14358" t="b">
        <v>1</v>
      </c>
    </row>
    <row r="14359" spans="1:11">
      <c r="A14359" s="12">
        <v>43435</v>
      </c>
      <c r="B14359">
        <v>2018</v>
      </c>
      <c r="C14359">
        <v>12</v>
      </c>
      <c r="D14359" s="11">
        <v>43435</v>
      </c>
      <c r="E14359" t="s">
        <v>2184</v>
      </c>
      <c r="F14359">
        <v>6</v>
      </c>
      <c r="G14359" t="s">
        <v>57</v>
      </c>
      <c r="H14359" t="s">
        <v>45</v>
      </c>
      <c r="I14359" t="s">
        <v>2193</v>
      </c>
      <c r="J14359" s="10">
        <v>3</v>
      </c>
      <c r="K14359" t="b">
        <v>1</v>
      </c>
    </row>
    <row r="14360" spans="1:11">
      <c r="A14360" s="12">
        <v>43435</v>
      </c>
      <c r="B14360">
        <v>2018</v>
      </c>
      <c r="C14360">
        <v>12</v>
      </c>
      <c r="D14360" s="11">
        <v>43435</v>
      </c>
      <c r="E14360" t="s">
        <v>2184</v>
      </c>
      <c r="F14360">
        <v>6</v>
      </c>
      <c r="G14360" t="s">
        <v>57</v>
      </c>
      <c r="H14360" t="s">
        <v>46</v>
      </c>
      <c r="I14360" t="s">
        <v>2194</v>
      </c>
      <c r="J14360" s="10">
        <v>13</v>
      </c>
      <c r="K14360" t="b">
        <v>1</v>
      </c>
    </row>
    <row r="14361" spans="1:11">
      <c r="A14361" s="12">
        <v>43435</v>
      </c>
      <c r="B14361">
        <v>2018</v>
      </c>
      <c r="C14361">
        <v>12</v>
      </c>
      <c r="D14361" s="11">
        <v>43435</v>
      </c>
      <c r="E14361" t="s">
        <v>2184</v>
      </c>
      <c r="F14361">
        <v>6</v>
      </c>
      <c r="G14361" t="s">
        <v>57</v>
      </c>
      <c r="H14361" t="s">
        <v>47</v>
      </c>
      <c r="I14361" t="s">
        <v>2195</v>
      </c>
      <c r="J14361" s="10">
        <v>2</v>
      </c>
      <c r="K14361" t="b">
        <v>1</v>
      </c>
    </row>
    <row r="14362" spans="1:11">
      <c r="A14362" s="12">
        <v>43436</v>
      </c>
      <c r="B14362">
        <v>2018</v>
      </c>
      <c r="C14362">
        <v>12</v>
      </c>
      <c r="D14362" s="11">
        <v>43435</v>
      </c>
      <c r="E14362" t="s">
        <v>2184</v>
      </c>
      <c r="F14362">
        <v>7</v>
      </c>
      <c r="G14362" t="s">
        <v>59</v>
      </c>
      <c r="H14362" t="s">
        <v>40</v>
      </c>
      <c r="I14362" t="s">
        <v>2188</v>
      </c>
      <c r="J14362" s="10">
        <v>3.17</v>
      </c>
      <c r="K14362" t="b">
        <v>1</v>
      </c>
    </row>
    <row r="14363" spans="1:11">
      <c r="A14363" s="12">
        <v>43436</v>
      </c>
      <c r="B14363">
        <v>2018</v>
      </c>
      <c r="C14363">
        <v>12</v>
      </c>
      <c r="D14363" s="11">
        <v>43435</v>
      </c>
      <c r="E14363" t="s">
        <v>2184</v>
      </c>
      <c r="F14363">
        <v>7</v>
      </c>
      <c r="G14363" t="s">
        <v>59</v>
      </c>
      <c r="H14363" t="s">
        <v>41</v>
      </c>
      <c r="I14363" t="s">
        <v>2189</v>
      </c>
      <c r="J14363" s="10">
        <v>5.779</v>
      </c>
      <c r="K14363" t="b">
        <v>1</v>
      </c>
    </row>
    <row r="14364" spans="1:11">
      <c r="A14364" s="12">
        <v>43436</v>
      </c>
      <c r="B14364">
        <v>2018</v>
      </c>
      <c r="C14364">
        <v>12</v>
      </c>
      <c r="D14364" s="11">
        <v>43435</v>
      </c>
      <c r="E14364" t="s">
        <v>2184</v>
      </c>
      <c r="F14364">
        <v>7</v>
      </c>
      <c r="G14364" t="s">
        <v>59</v>
      </c>
      <c r="H14364" t="s">
        <v>42</v>
      </c>
      <c r="I14364" t="s">
        <v>2190</v>
      </c>
      <c r="J14364" s="10">
        <v>10</v>
      </c>
      <c r="K14364" t="b">
        <v>1</v>
      </c>
    </row>
    <row r="14365" spans="1:11">
      <c r="A14365" s="12">
        <v>43436</v>
      </c>
      <c r="B14365">
        <v>2018</v>
      </c>
      <c r="C14365">
        <v>12</v>
      </c>
      <c r="D14365" s="11">
        <v>43435</v>
      </c>
      <c r="E14365" t="s">
        <v>2184</v>
      </c>
      <c r="F14365">
        <v>7</v>
      </c>
      <c r="G14365" t="s">
        <v>59</v>
      </c>
      <c r="H14365" t="s">
        <v>43</v>
      </c>
      <c r="I14365" t="s">
        <v>2191</v>
      </c>
      <c r="J14365" s="10">
        <v>65.7</v>
      </c>
      <c r="K14365" t="b">
        <v>1</v>
      </c>
    </row>
    <row r="14366" spans="1:11">
      <c r="A14366" s="12">
        <v>43436</v>
      </c>
      <c r="B14366">
        <v>2018</v>
      </c>
      <c r="C14366">
        <v>12</v>
      </c>
      <c r="D14366" s="11">
        <v>43435</v>
      </c>
      <c r="E14366" t="s">
        <v>2184</v>
      </c>
      <c r="F14366">
        <v>7</v>
      </c>
      <c r="G14366" t="s">
        <v>59</v>
      </c>
      <c r="H14366" t="s">
        <v>44</v>
      </c>
      <c r="I14366" t="s">
        <v>2192</v>
      </c>
      <c r="J14366" s="10">
        <v>6</v>
      </c>
      <c r="K14366" t="b">
        <v>1</v>
      </c>
    </row>
    <row r="14367" spans="1:11">
      <c r="A14367" s="12">
        <v>43436</v>
      </c>
      <c r="B14367">
        <v>2018</v>
      </c>
      <c r="C14367">
        <v>12</v>
      </c>
      <c r="D14367" s="11">
        <v>43435</v>
      </c>
      <c r="E14367" t="s">
        <v>2184</v>
      </c>
      <c r="F14367">
        <v>7</v>
      </c>
      <c r="G14367" t="s">
        <v>59</v>
      </c>
      <c r="H14367" t="s">
        <v>45</v>
      </c>
      <c r="I14367" t="s">
        <v>2193</v>
      </c>
      <c r="J14367" s="10">
        <v>0</v>
      </c>
      <c r="K14367" t="b">
        <v>1</v>
      </c>
    </row>
    <row r="14368" spans="1:11">
      <c r="A14368" s="12">
        <v>43436</v>
      </c>
      <c r="B14368">
        <v>2018</v>
      </c>
      <c r="C14368">
        <v>12</v>
      </c>
      <c r="D14368" s="11">
        <v>43435</v>
      </c>
      <c r="E14368" t="s">
        <v>2184</v>
      </c>
      <c r="F14368">
        <v>7</v>
      </c>
      <c r="G14368" t="s">
        <v>59</v>
      </c>
      <c r="H14368" t="s">
        <v>46</v>
      </c>
      <c r="I14368" t="s">
        <v>2194</v>
      </c>
      <c r="J14368" s="10">
        <v>27</v>
      </c>
      <c r="K14368" t="b">
        <v>1</v>
      </c>
    </row>
    <row r="14369" spans="1:11">
      <c r="A14369" s="12">
        <v>43436</v>
      </c>
      <c r="B14369">
        <v>2018</v>
      </c>
      <c r="C14369">
        <v>12</v>
      </c>
      <c r="D14369" s="11">
        <v>43435</v>
      </c>
      <c r="E14369" t="s">
        <v>2184</v>
      </c>
      <c r="F14369">
        <v>7</v>
      </c>
      <c r="G14369" t="s">
        <v>59</v>
      </c>
      <c r="H14369" t="s">
        <v>47</v>
      </c>
      <c r="I14369" t="s">
        <v>2195</v>
      </c>
      <c r="J14369" s="10">
        <v>8</v>
      </c>
      <c r="K14369" t="b">
        <v>1</v>
      </c>
    </row>
    <row r="14370" spans="1:11">
      <c r="A14370" s="12">
        <v>43437</v>
      </c>
      <c r="B14370">
        <v>2018</v>
      </c>
      <c r="C14370">
        <v>12</v>
      </c>
      <c r="D14370" s="11">
        <v>43435</v>
      </c>
      <c r="E14370" t="s">
        <v>2184</v>
      </c>
      <c r="F14370">
        <v>1</v>
      </c>
      <c r="G14370" t="s">
        <v>61</v>
      </c>
      <c r="H14370" t="s">
        <v>40</v>
      </c>
      <c r="I14370" t="s">
        <v>2188</v>
      </c>
      <c r="J14370" s="10">
        <v>6</v>
      </c>
      <c r="K14370" t="b">
        <v>1</v>
      </c>
    </row>
    <row r="14371" spans="1:11">
      <c r="A14371" s="12">
        <v>43437</v>
      </c>
      <c r="B14371">
        <v>2018</v>
      </c>
      <c r="C14371">
        <v>12</v>
      </c>
      <c r="D14371" s="11">
        <v>43435</v>
      </c>
      <c r="E14371" t="s">
        <v>2184</v>
      </c>
      <c r="F14371">
        <v>1</v>
      </c>
      <c r="G14371" t="s">
        <v>61</v>
      </c>
      <c r="H14371" t="s">
        <v>41</v>
      </c>
      <c r="I14371" t="s">
        <v>2189</v>
      </c>
      <c r="J14371" s="10">
        <v>5.083</v>
      </c>
      <c r="K14371" t="b">
        <v>1</v>
      </c>
    </row>
    <row r="14372" spans="1:11">
      <c r="A14372" s="12">
        <v>43437</v>
      </c>
      <c r="B14372">
        <v>2018</v>
      </c>
      <c r="C14372">
        <v>12</v>
      </c>
      <c r="D14372" s="11">
        <v>43435</v>
      </c>
      <c r="E14372" t="s">
        <v>2184</v>
      </c>
      <c r="F14372">
        <v>1</v>
      </c>
      <c r="G14372" t="s">
        <v>61</v>
      </c>
      <c r="H14372" t="s">
        <v>42</v>
      </c>
      <c r="I14372" t="s">
        <v>2190</v>
      </c>
      <c r="J14372" s="10">
        <v>2.1</v>
      </c>
      <c r="K14372" t="b">
        <v>1</v>
      </c>
    </row>
    <row r="14373" spans="1:11">
      <c r="A14373" s="12">
        <v>43437</v>
      </c>
      <c r="B14373">
        <v>2018</v>
      </c>
      <c r="C14373">
        <v>12</v>
      </c>
      <c r="D14373" s="11">
        <v>43435</v>
      </c>
      <c r="E14373" t="s">
        <v>2184</v>
      </c>
      <c r="F14373">
        <v>1</v>
      </c>
      <c r="G14373" t="s">
        <v>61</v>
      </c>
      <c r="H14373" t="s">
        <v>43</v>
      </c>
      <c r="I14373" t="s">
        <v>2191</v>
      </c>
      <c r="J14373" s="10">
        <v>44</v>
      </c>
      <c r="K14373" t="b">
        <v>1</v>
      </c>
    </row>
    <row r="14374" spans="1:11">
      <c r="A14374" s="12">
        <v>43437</v>
      </c>
      <c r="B14374">
        <v>2018</v>
      </c>
      <c r="C14374">
        <v>12</v>
      </c>
      <c r="D14374" s="11">
        <v>43435</v>
      </c>
      <c r="E14374" t="s">
        <v>2184</v>
      </c>
      <c r="F14374">
        <v>1</v>
      </c>
      <c r="G14374" t="s">
        <v>61</v>
      </c>
      <c r="H14374" t="s">
        <v>44</v>
      </c>
      <c r="I14374" t="s">
        <v>2192</v>
      </c>
      <c r="J14374" s="10">
        <v>13</v>
      </c>
      <c r="K14374" t="b">
        <v>1</v>
      </c>
    </row>
    <row r="14375" spans="1:11">
      <c r="A14375" s="12">
        <v>43437</v>
      </c>
      <c r="B14375">
        <v>2018</v>
      </c>
      <c r="C14375">
        <v>12</v>
      </c>
      <c r="D14375" s="11">
        <v>43435</v>
      </c>
      <c r="E14375" t="s">
        <v>2184</v>
      </c>
      <c r="F14375">
        <v>1</v>
      </c>
      <c r="G14375" t="s">
        <v>61</v>
      </c>
      <c r="H14375" t="s">
        <v>45</v>
      </c>
      <c r="I14375" t="s">
        <v>2193</v>
      </c>
      <c r="J14375" s="10">
        <v>0</v>
      </c>
      <c r="K14375" t="b">
        <v>1</v>
      </c>
    </row>
    <row r="14376" spans="1:11">
      <c r="A14376" s="12">
        <v>43437</v>
      </c>
      <c r="B14376">
        <v>2018</v>
      </c>
      <c r="C14376">
        <v>12</v>
      </c>
      <c r="D14376" s="11">
        <v>43435</v>
      </c>
      <c r="E14376" t="s">
        <v>2184</v>
      </c>
      <c r="F14376">
        <v>1</v>
      </c>
      <c r="G14376" t="s">
        <v>61</v>
      </c>
      <c r="H14376" t="s">
        <v>46</v>
      </c>
      <c r="I14376" t="s">
        <v>2194</v>
      </c>
      <c r="J14376" s="10">
        <v>13</v>
      </c>
      <c r="K14376" t="b">
        <v>1</v>
      </c>
    </row>
    <row r="14377" spans="1:11">
      <c r="A14377" s="12">
        <v>43437</v>
      </c>
      <c r="B14377">
        <v>2018</v>
      </c>
      <c r="C14377">
        <v>12</v>
      </c>
      <c r="D14377" s="11">
        <v>43435</v>
      </c>
      <c r="E14377" t="s">
        <v>2184</v>
      </c>
      <c r="F14377">
        <v>1</v>
      </c>
      <c r="G14377" t="s">
        <v>61</v>
      </c>
      <c r="H14377" t="s">
        <v>47</v>
      </c>
      <c r="I14377" t="s">
        <v>2195</v>
      </c>
      <c r="J14377" s="10">
        <v>1</v>
      </c>
      <c r="K14377" t="b">
        <v>1</v>
      </c>
    </row>
    <row r="14378" spans="1:11">
      <c r="A14378" s="12">
        <v>43438</v>
      </c>
      <c r="B14378">
        <v>2018</v>
      </c>
      <c r="C14378">
        <v>12</v>
      </c>
      <c r="D14378" s="11">
        <v>43435</v>
      </c>
      <c r="E14378" t="s">
        <v>2184</v>
      </c>
      <c r="F14378">
        <v>2</v>
      </c>
      <c r="G14378" t="s">
        <v>63</v>
      </c>
      <c r="H14378" t="s">
        <v>40</v>
      </c>
      <c r="I14378" t="s">
        <v>2188</v>
      </c>
      <c r="J14378" s="10">
        <v>2.5</v>
      </c>
      <c r="K14378" t="b">
        <v>1</v>
      </c>
    </row>
    <row r="14379" spans="1:11">
      <c r="A14379" s="12">
        <v>43438</v>
      </c>
      <c r="B14379">
        <v>2018</v>
      </c>
      <c r="C14379">
        <v>12</v>
      </c>
      <c r="D14379" s="11">
        <v>43435</v>
      </c>
      <c r="E14379" t="s">
        <v>2184</v>
      </c>
      <c r="F14379">
        <v>2</v>
      </c>
      <c r="G14379" t="s">
        <v>63</v>
      </c>
      <c r="H14379" t="s">
        <v>41</v>
      </c>
      <c r="I14379" t="s">
        <v>2189</v>
      </c>
      <c r="J14379" s="10">
        <v>3</v>
      </c>
      <c r="K14379" t="b">
        <v>1</v>
      </c>
    </row>
    <row r="14380" spans="1:11">
      <c r="A14380" s="12">
        <v>43438</v>
      </c>
      <c r="B14380">
        <v>2018</v>
      </c>
      <c r="C14380">
        <v>12</v>
      </c>
      <c r="D14380" s="11">
        <v>43435</v>
      </c>
      <c r="E14380" t="s">
        <v>2184</v>
      </c>
      <c r="F14380">
        <v>2</v>
      </c>
      <c r="G14380" t="s">
        <v>63</v>
      </c>
      <c r="H14380" t="s">
        <v>42</v>
      </c>
      <c r="I14380" t="s">
        <v>2190</v>
      </c>
      <c r="J14380" s="10">
        <v>3</v>
      </c>
      <c r="K14380" t="b">
        <v>1</v>
      </c>
    </row>
    <row r="14381" spans="1:11">
      <c r="A14381" s="12">
        <v>43438</v>
      </c>
      <c r="B14381">
        <v>2018</v>
      </c>
      <c r="C14381">
        <v>12</v>
      </c>
      <c r="D14381" s="11">
        <v>43435</v>
      </c>
      <c r="E14381" t="s">
        <v>2184</v>
      </c>
      <c r="F14381">
        <v>2</v>
      </c>
      <c r="G14381" t="s">
        <v>63</v>
      </c>
      <c r="H14381" t="s">
        <v>43</v>
      </c>
      <c r="I14381" t="s">
        <v>2191</v>
      </c>
      <c r="J14381" s="10">
        <v>32.2</v>
      </c>
      <c r="K14381" t="b">
        <v>1</v>
      </c>
    </row>
    <row r="14382" spans="1:11">
      <c r="A14382" s="12">
        <v>43438</v>
      </c>
      <c r="B14382">
        <v>2018</v>
      </c>
      <c r="C14382">
        <v>12</v>
      </c>
      <c r="D14382" s="11">
        <v>43435</v>
      </c>
      <c r="E14382" t="s">
        <v>2184</v>
      </c>
      <c r="F14382">
        <v>2</v>
      </c>
      <c r="G14382" t="s">
        <v>63</v>
      </c>
      <c r="H14382" t="s">
        <v>44</v>
      </c>
      <c r="I14382" t="s">
        <v>2192</v>
      </c>
      <c r="J14382" s="10">
        <v>11</v>
      </c>
      <c r="K14382" t="b">
        <v>1</v>
      </c>
    </row>
    <row r="14383" spans="1:11">
      <c r="A14383" s="12">
        <v>43438</v>
      </c>
      <c r="B14383">
        <v>2018</v>
      </c>
      <c r="C14383">
        <v>12</v>
      </c>
      <c r="D14383" s="11">
        <v>43435</v>
      </c>
      <c r="E14383" t="s">
        <v>2184</v>
      </c>
      <c r="F14383">
        <v>2</v>
      </c>
      <c r="G14383" t="s">
        <v>63</v>
      </c>
      <c r="H14383" t="s">
        <v>45</v>
      </c>
      <c r="I14383" t="s">
        <v>2193</v>
      </c>
      <c r="J14383" s="10">
        <v>0</v>
      </c>
      <c r="K14383" t="b">
        <v>1</v>
      </c>
    </row>
    <row r="14384" spans="1:11">
      <c r="A14384" s="12">
        <v>43438</v>
      </c>
      <c r="B14384">
        <v>2018</v>
      </c>
      <c r="C14384">
        <v>12</v>
      </c>
      <c r="D14384" s="11">
        <v>43435</v>
      </c>
      <c r="E14384" t="s">
        <v>2184</v>
      </c>
      <c r="F14384">
        <v>2</v>
      </c>
      <c r="G14384" t="s">
        <v>63</v>
      </c>
      <c r="H14384" t="s">
        <v>46</v>
      </c>
      <c r="I14384" t="s">
        <v>2194</v>
      </c>
      <c r="J14384" s="10">
        <v>5</v>
      </c>
      <c r="K14384" t="b">
        <v>1</v>
      </c>
    </row>
    <row r="14385" spans="1:11">
      <c r="A14385" s="12">
        <v>43438</v>
      </c>
      <c r="B14385">
        <v>2018</v>
      </c>
      <c r="C14385">
        <v>12</v>
      </c>
      <c r="D14385" s="11">
        <v>43435</v>
      </c>
      <c r="E14385" t="s">
        <v>2184</v>
      </c>
      <c r="F14385">
        <v>2</v>
      </c>
      <c r="G14385" t="s">
        <v>63</v>
      </c>
      <c r="H14385" t="s">
        <v>47</v>
      </c>
      <c r="I14385" t="s">
        <v>2195</v>
      </c>
      <c r="J14385" s="10">
        <v>3</v>
      </c>
      <c r="K14385" t="b">
        <v>1</v>
      </c>
    </row>
    <row r="14386" spans="1:11">
      <c r="A14386" s="12">
        <v>43439</v>
      </c>
      <c r="B14386">
        <v>2018</v>
      </c>
      <c r="C14386">
        <v>12</v>
      </c>
      <c r="D14386" s="11">
        <v>43435</v>
      </c>
      <c r="E14386" t="s">
        <v>2184</v>
      </c>
      <c r="F14386">
        <v>3</v>
      </c>
      <c r="G14386" t="s">
        <v>65</v>
      </c>
      <c r="H14386" t="s">
        <v>40</v>
      </c>
      <c r="I14386" t="s">
        <v>2188</v>
      </c>
      <c r="J14386" s="10">
        <v>5.33</v>
      </c>
      <c r="K14386" t="b">
        <v>1</v>
      </c>
    </row>
    <row r="14387" spans="1:11">
      <c r="A14387" s="12">
        <v>43439</v>
      </c>
      <c r="B14387">
        <v>2018</v>
      </c>
      <c r="C14387">
        <v>12</v>
      </c>
      <c r="D14387" s="11">
        <v>43435</v>
      </c>
      <c r="E14387" t="s">
        <v>2184</v>
      </c>
      <c r="F14387">
        <v>3</v>
      </c>
      <c r="G14387" t="s">
        <v>65</v>
      </c>
      <c r="H14387" t="s">
        <v>41</v>
      </c>
      <c r="I14387" t="s">
        <v>2189</v>
      </c>
      <c r="J14387" s="10">
        <v>3.726</v>
      </c>
      <c r="K14387" t="b">
        <v>1</v>
      </c>
    </row>
    <row r="14388" spans="1:11">
      <c r="A14388" s="12">
        <v>43439</v>
      </c>
      <c r="B14388">
        <v>2018</v>
      </c>
      <c r="C14388">
        <v>12</v>
      </c>
      <c r="D14388" s="11">
        <v>43435</v>
      </c>
      <c r="E14388" t="s">
        <v>2184</v>
      </c>
      <c r="F14388">
        <v>3</v>
      </c>
      <c r="G14388" t="s">
        <v>65</v>
      </c>
      <c r="H14388" t="s">
        <v>42</v>
      </c>
      <c r="I14388" t="s">
        <v>2190</v>
      </c>
      <c r="J14388" s="10">
        <v>3.5</v>
      </c>
      <c r="K14388" t="b">
        <v>1</v>
      </c>
    </row>
    <row r="14389" spans="1:11">
      <c r="A14389" s="12">
        <v>43439</v>
      </c>
      <c r="B14389">
        <v>2018</v>
      </c>
      <c r="C14389">
        <v>12</v>
      </c>
      <c r="D14389" s="11">
        <v>43435</v>
      </c>
      <c r="E14389" t="s">
        <v>2184</v>
      </c>
      <c r="F14389">
        <v>3</v>
      </c>
      <c r="G14389" t="s">
        <v>65</v>
      </c>
      <c r="H14389" t="s">
        <v>43</v>
      </c>
      <c r="I14389" t="s">
        <v>2191</v>
      </c>
      <c r="J14389" s="10">
        <v>41.3</v>
      </c>
      <c r="K14389" t="b">
        <v>1</v>
      </c>
    </row>
    <row r="14390" spans="1:11">
      <c r="A14390" s="12">
        <v>43439</v>
      </c>
      <c r="B14390">
        <v>2018</v>
      </c>
      <c r="C14390">
        <v>12</v>
      </c>
      <c r="D14390" s="11">
        <v>43435</v>
      </c>
      <c r="E14390" t="s">
        <v>2184</v>
      </c>
      <c r="F14390">
        <v>3</v>
      </c>
      <c r="G14390" t="s">
        <v>65</v>
      </c>
      <c r="H14390" t="s">
        <v>44</v>
      </c>
      <c r="I14390" t="s">
        <v>2192</v>
      </c>
      <c r="J14390" s="10">
        <v>13</v>
      </c>
      <c r="K14390" t="b">
        <v>1</v>
      </c>
    </row>
    <row r="14391" spans="1:11">
      <c r="A14391" s="12">
        <v>43439</v>
      </c>
      <c r="B14391">
        <v>2018</v>
      </c>
      <c r="C14391">
        <v>12</v>
      </c>
      <c r="D14391" s="11">
        <v>43435</v>
      </c>
      <c r="E14391" t="s">
        <v>2184</v>
      </c>
      <c r="F14391">
        <v>3</v>
      </c>
      <c r="G14391" t="s">
        <v>65</v>
      </c>
      <c r="H14391" t="s">
        <v>45</v>
      </c>
      <c r="I14391" t="s">
        <v>2193</v>
      </c>
      <c r="J14391" s="10">
        <v>0</v>
      </c>
      <c r="K14391" t="b">
        <v>1</v>
      </c>
    </row>
    <row r="14392" spans="1:11">
      <c r="A14392" s="12">
        <v>43439</v>
      </c>
      <c r="B14392">
        <v>2018</v>
      </c>
      <c r="C14392">
        <v>12</v>
      </c>
      <c r="D14392" s="11">
        <v>43435</v>
      </c>
      <c r="E14392" t="s">
        <v>2184</v>
      </c>
      <c r="F14392">
        <v>3</v>
      </c>
      <c r="G14392" t="s">
        <v>65</v>
      </c>
      <c r="H14392" t="s">
        <v>46</v>
      </c>
      <c r="I14392" t="s">
        <v>2194</v>
      </c>
      <c r="J14392" s="10">
        <v>15</v>
      </c>
      <c r="K14392" t="b">
        <v>1</v>
      </c>
    </row>
    <row r="14393" spans="1:11">
      <c r="A14393" s="12">
        <v>43439</v>
      </c>
      <c r="B14393">
        <v>2018</v>
      </c>
      <c r="C14393">
        <v>12</v>
      </c>
      <c r="D14393" s="11">
        <v>43435</v>
      </c>
      <c r="E14393" t="s">
        <v>2184</v>
      </c>
      <c r="F14393">
        <v>3</v>
      </c>
      <c r="G14393" t="s">
        <v>65</v>
      </c>
      <c r="H14393" t="s">
        <v>47</v>
      </c>
      <c r="I14393" t="s">
        <v>2195</v>
      </c>
      <c r="J14393" s="10">
        <v>2</v>
      </c>
      <c r="K14393" t="b">
        <v>1</v>
      </c>
    </row>
    <row r="14394" spans="1:11">
      <c r="A14394" s="12">
        <v>43440</v>
      </c>
      <c r="B14394">
        <v>2018</v>
      </c>
      <c r="C14394">
        <v>12</v>
      </c>
      <c r="D14394" s="11">
        <v>43435</v>
      </c>
      <c r="E14394" t="s">
        <v>2184</v>
      </c>
      <c r="F14394">
        <v>4</v>
      </c>
      <c r="G14394" t="s">
        <v>53</v>
      </c>
      <c r="H14394" t="s">
        <v>40</v>
      </c>
      <c r="I14394" t="s">
        <v>2188</v>
      </c>
      <c r="J14394" s="10">
        <v>0</v>
      </c>
      <c r="K14394" t="b">
        <v>1</v>
      </c>
    </row>
    <row r="14395" spans="1:11">
      <c r="A14395" s="12">
        <v>43440</v>
      </c>
      <c r="B14395">
        <v>2018</v>
      </c>
      <c r="C14395">
        <v>12</v>
      </c>
      <c r="D14395" s="11">
        <v>43435</v>
      </c>
      <c r="E14395" t="s">
        <v>2184</v>
      </c>
      <c r="F14395">
        <v>4</v>
      </c>
      <c r="G14395" t="s">
        <v>53</v>
      </c>
      <c r="H14395" t="s">
        <v>41</v>
      </c>
      <c r="I14395" t="s">
        <v>2189</v>
      </c>
      <c r="J14395" s="10">
        <v>0</v>
      </c>
      <c r="K14395" t="b">
        <v>1</v>
      </c>
    </row>
    <row r="14396" spans="1:11">
      <c r="A14396" s="12">
        <v>43440</v>
      </c>
      <c r="B14396">
        <v>2018</v>
      </c>
      <c r="C14396">
        <v>12</v>
      </c>
      <c r="D14396" s="11">
        <v>43435</v>
      </c>
      <c r="E14396" t="s">
        <v>2184</v>
      </c>
      <c r="F14396">
        <v>4</v>
      </c>
      <c r="G14396" t="s">
        <v>53</v>
      </c>
      <c r="H14396" t="s">
        <v>42</v>
      </c>
      <c r="I14396" t="s">
        <v>2190</v>
      </c>
      <c r="J14396" s="10">
        <v>0</v>
      </c>
      <c r="K14396" t="b">
        <v>1</v>
      </c>
    </row>
    <row r="14397" spans="1:11">
      <c r="A14397" s="12">
        <v>43440</v>
      </c>
      <c r="B14397">
        <v>2018</v>
      </c>
      <c r="C14397">
        <v>12</v>
      </c>
      <c r="D14397" s="11">
        <v>43435</v>
      </c>
      <c r="E14397" t="s">
        <v>2184</v>
      </c>
      <c r="F14397">
        <v>4</v>
      </c>
      <c r="G14397" t="s">
        <v>53</v>
      </c>
      <c r="H14397" t="s">
        <v>43</v>
      </c>
      <c r="I14397" t="s">
        <v>2191</v>
      </c>
      <c r="J14397" s="10">
        <v>0</v>
      </c>
      <c r="K14397" t="b">
        <v>1</v>
      </c>
    </row>
    <row r="14398" spans="1:11">
      <c r="A14398" s="12">
        <v>43440</v>
      </c>
      <c r="B14398">
        <v>2018</v>
      </c>
      <c r="C14398">
        <v>12</v>
      </c>
      <c r="D14398" s="11">
        <v>43435</v>
      </c>
      <c r="E14398" t="s">
        <v>2184</v>
      </c>
      <c r="F14398">
        <v>4</v>
      </c>
      <c r="G14398" t="s">
        <v>53</v>
      </c>
      <c r="H14398" t="s">
        <v>44</v>
      </c>
      <c r="I14398" t="s">
        <v>2192</v>
      </c>
      <c r="J14398" s="10">
        <v>0</v>
      </c>
      <c r="K14398" t="b">
        <v>1</v>
      </c>
    </row>
    <row r="14399" spans="1:11">
      <c r="A14399" s="12">
        <v>43440</v>
      </c>
      <c r="B14399">
        <v>2018</v>
      </c>
      <c r="C14399">
        <v>12</v>
      </c>
      <c r="D14399" s="11">
        <v>43435</v>
      </c>
      <c r="E14399" t="s">
        <v>2184</v>
      </c>
      <c r="F14399">
        <v>4</v>
      </c>
      <c r="G14399" t="s">
        <v>53</v>
      </c>
      <c r="H14399" t="s">
        <v>45</v>
      </c>
      <c r="I14399" t="s">
        <v>2193</v>
      </c>
      <c r="J14399" s="10">
        <v>0</v>
      </c>
      <c r="K14399" t="b">
        <v>1</v>
      </c>
    </row>
    <row r="14400" spans="1:11">
      <c r="A14400" s="12">
        <v>43440</v>
      </c>
      <c r="B14400">
        <v>2018</v>
      </c>
      <c r="C14400">
        <v>12</v>
      </c>
      <c r="D14400" s="11">
        <v>43435</v>
      </c>
      <c r="E14400" t="s">
        <v>2184</v>
      </c>
      <c r="F14400">
        <v>4</v>
      </c>
      <c r="G14400" t="s">
        <v>53</v>
      </c>
      <c r="H14400" t="s">
        <v>46</v>
      </c>
      <c r="I14400" t="s">
        <v>2194</v>
      </c>
      <c r="J14400" s="10">
        <v>0</v>
      </c>
      <c r="K14400" t="b">
        <v>1</v>
      </c>
    </row>
    <row r="14401" spans="1:11">
      <c r="A14401" s="12">
        <v>43440</v>
      </c>
      <c r="B14401">
        <v>2018</v>
      </c>
      <c r="C14401">
        <v>12</v>
      </c>
      <c r="D14401" s="11">
        <v>43435</v>
      </c>
      <c r="E14401" t="s">
        <v>2184</v>
      </c>
      <c r="F14401">
        <v>4</v>
      </c>
      <c r="G14401" t="s">
        <v>53</v>
      </c>
      <c r="H14401" t="s">
        <v>47</v>
      </c>
      <c r="I14401" t="s">
        <v>2195</v>
      </c>
      <c r="J14401" s="10">
        <v>0</v>
      </c>
      <c r="K14401" t="b">
        <v>1</v>
      </c>
    </row>
    <row r="14402" spans="1:11">
      <c r="A14402" s="12">
        <v>43441</v>
      </c>
      <c r="B14402">
        <v>2018</v>
      </c>
      <c r="C14402">
        <v>12</v>
      </c>
      <c r="D14402" s="11">
        <v>43435</v>
      </c>
      <c r="E14402" t="s">
        <v>2184</v>
      </c>
      <c r="F14402">
        <v>5</v>
      </c>
      <c r="G14402" t="s">
        <v>55</v>
      </c>
      <c r="H14402" t="s">
        <v>40</v>
      </c>
      <c r="I14402" t="s">
        <v>2188</v>
      </c>
      <c r="J14402" s="10">
        <v>5</v>
      </c>
      <c r="K14402" t="b">
        <v>1</v>
      </c>
    </row>
    <row r="14403" spans="1:11">
      <c r="A14403" s="12">
        <v>43441</v>
      </c>
      <c r="B14403">
        <v>2018</v>
      </c>
      <c r="C14403">
        <v>12</v>
      </c>
      <c r="D14403" s="11">
        <v>43435</v>
      </c>
      <c r="E14403" t="s">
        <v>2184</v>
      </c>
      <c r="F14403">
        <v>5</v>
      </c>
      <c r="G14403" t="s">
        <v>55</v>
      </c>
      <c r="H14403" t="s">
        <v>41</v>
      </c>
      <c r="I14403" t="s">
        <v>2189</v>
      </c>
      <c r="J14403" s="10">
        <v>3.01</v>
      </c>
      <c r="K14403" t="b">
        <v>1</v>
      </c>
    </row>
    <row r="14404" spans="1:11">
      <c r="A14404" s="12">
        <v>43441</v>
      </c>
      <c r="B14404">
        <v>2018</v>
      </c>
      <c r="C14404">
        <v>12</v>
      </c>
      <c r="D14404" s="11">
        <v>43435</v>
      </c>
      <c r="E14404" t="s">
        <v>2184</v>
      </c>
      <c r="F14404">
        <v>5</v>
      </c>
      <c r="G14404" t="s">
        <v>55</v>
      </c>
      <c r="H14404" t="s">
        <v>42</v>
      </c>
      <c r="I14404" t="s">
        <v>2190</v>
      </c>
      <c r="J14404" s="10">
        <v>3</v>
      </c>
      <c r="K14404" t="b">
        <v>1</v>
      </c>
    </row>
    <row r="14405" spans="1:11">
      <c r="A14405" s="12">
        <v>43441</v>
      </c>
      <c r="B14405">
        <v>2018</v>
      </c>
      <c r="C14405">
        <v>12</v>
      </c>
      <c r="D14405" s="11">
        <v>43435</v>
      </c>
      <c r="E14405" t="s">
        <v>2184</v>
      </c>
      <c r="F14405">
        <v>5</v>
      </c>
      <c r="G14405" t="s">
        <v>55</v>
      </c>
      <c r="H14405" t="s">
        <v>43</v>
      </c>
      <c r="I14405" t="s">
        <v>2191</v>
      </c>
      <c r="J14405" s="10">
        <v>47.4</v>
      </c>
      <c r="K14405" t="b">
        <v>1</v>
      </c>
    </row>
    <row r="14406" spans="1:11">
      <c r="A14406" s="12">
        <v>43441</v>
      </c>
      <c r="B14406">
        <v>2018</v>
      </c>
      <c r="C14406">
        <v>12</v>
      </c>
      <c r="D14406" s="11">
        <v>43435</v>
      </c>
      <c r="E14406" t="s">
        <v>2184</v>
      </c>
      <c r="F14406">
        <v>5</v>
      </c>
      <c r="G14406" t="s">
        <v>55</v>
      </c>
      <c r="H14406" t="s">
        <v>44</v>
      </c>
      <c r="I14406" t="s">
        <v>2192</v>
      </c>
      <c r="J14406" s="10">
        <v>14</v>
      </c>
      <c r="K14406" t="b">
        <v>1</v>
      </c>
    </row>
    <row r="14407" spans="1:11">
      <c r="A14407" s="12">
        <v>43441</v>
      </c>
      <c r="B14407">
        <v>2018</v>
      </c>
      <c r="C14407">
        <v>12</v>
      </c>
      <c r="D14407" s="11">
        <v>43435</v>
      </c>
      <c r="E14407" t="s">
        <v>2184</v>
      </c>
      <c r="F14407">
        <v>5</v>
      </c>
      <c r="G14407" t="s">
        <v>55</v>
      </c>
      <c r="H14407" t="s">
        <v>45</v>
      </c>
      <c r="I14407" t="s">
        <v>2193</v>
      </c>
      <c r="J14407" s="10">
        <v>0</v>
      </c>
      <c r="K14407" t="b">
        <v>1</v>
      </c>
    </row>
    <row r="14408" spans="1:11">
      <c r="A14408" s="12">
        <v>43441</v>
      </c>
      <c r="B14408">
        <v>2018</v>
      </c>
      <c r="C14408">
        <v>12</v>
      </c>
      <c r="D14408" s="11">
        <v>43435</v>
      </c>
      <c r="E14408" t="s">
        <v>2184</v>
      </c>
      <c r="F14408">
        <v>5</v>
      </c>
      <c r="G14408" t="s">
        <v>55</v>
      </c>
      <c r="H14408" t="s">
        <v>46</v>
      </c>
      <c r="I14408" t="s">
        <v>2194</v>
      </c>
      <c r="J14408" s="10">
        <v>12</v>
      </c>
      <c r="K14408" t="b">
        <v>1</v>
      </c>
    </row>
    <row r="14409" spans="1:11">
      <c r="A14409" s="12">
        <v>43441</v>
      </c>
      <c r="B14409">
        <v>2018</v>
      </c>
      <c r="C14409">
        <v>12</v>
      </c>
      <c r="D14409" s="11">
        <v>43435</v>
      </c>
      <c r="E14409" t="s">
        <v>2184</v>
      </c>
      <c r="F14409">
        <v>5</v>
      </c>
      <c r="G14409" t="s">
        <v>55</v>
      </c>
      <c r="H14409" t="s">
        <v>47</v>
      </c>
      <c r="I14409" t="s">
        <v>2195</v>
      </c>
      <c r="J14409" s="10">
        <v>3</v>
      </c>
      <c r="K14409" t="b">
        <v>1</v>
      </c>
    </row>
    <row r="14410" spans="1:11">
      <c r="A14410" s="12">
        <v>43442</v>
      </c>
      <c r="B14410">
        <v>2018</v>
      </c>
      <c r="C14410">
        <v>12</v>
      </c>
      <c r="D14410" s="11">
        <v>43435</v>
      </c>
      <c r="E14410" t="s">
        <v>2184</v>
      </c>
      <c r="F14410">
        <v>6</v>
      </c>
      <c r="G14410" t="s">
        <v>57</v>
      </c>
      <c r="H14410" t="s">
        <v>40</v>
      </c>
      <c r="I14410" t="s">
        <v>2188</v>
      </c>
      <c r="J14410" s="10">
        <v>0</v>
      </c>
      <c r="K14410" t="b">
        <v>1</v>
      </c>
    </row>
    <row r="14411" spans="1:11">
      <c r="A14411" s="12">
        <v>43442</v>
      </c>
      <c r="B14411">
        <v>2018</v>
      </c>
      <c r="C14411">
        <v>12</v>
      </c>
      <c r="D14411" s="11">
        <v>43435</v>
      </c>
      <c r="E14411" t="s">
        <v>2184</v>
      </c>
      <c r="F14411">
        <v>6</v>
      </c>
      <c r="G14411" t="s">
        <v>57</v>
      </c>
      <c r="H14411" t="s">
        <v>41</v>
      </c>
      <c r="I14411" t="s">
        <v>2189</v>
      </c>
      <c r="J14411" s="10">
        <v>0</v>
      </c>
      <c r="K14411" t="b">
        <v>1</v>
      </c>
    </row>
    <row r="14412" spans="1:11">
      <c r="A14412" s="12">
        <v>43442</v>
      </c>
      <c r="B14412">
        <v>2018</v>
      </c>
      <c r="C14412">
        <v>12</v>
      </c>
      <c r="D14412" s="11">
        <v>43435</v>
      </c>
      <c r="E14412" t="s">
        <v>2184</v>
      </c>
      <c r="F14412">
        <v>6</v>
      </c>
      <c r="G14412" t="s">
        <v>57</v>
      </c>
      <c r="H14412" t="s">
        <v>42</v>
      </c>
      <c r="I14412" t="s">
        <v>2190</v>
      </c>
      <c r="J14412" s="10">
        <v>0</v>
      </c>
      <c r="K14412" t="b">
        <v>1</v>
      </c>
    </row>
    <row r="14413" spans="1:11">
      <c r="A14413" s="12">
        <v>43442</v>
      </c>
      <c r="B14413">
        <v>2018</v>
      </c>
      <c r="C14413">
        <v>12</v>
      </c>
      <c r="D14413" s="11">
        <v>43435</v>
      </c>
      <c r="E14413" t="s">
        <v>2184</v>
      </c>
      <c r="F14413">
        <v>6</v>
      </c>
      <c r="G14413" t="s">
        <v>57</v>
      </c>
      <c r="H14413" t="s">
        <v>43</v>
      </c>
      <c r="I14413" t="s">
        <v>2191</v>
      </c>
      <c r="J14413" s="10">
        <v>0</v>
      </c>
      <c r="K14413" t="b">
        <v>1</v>
      </c>
    </row>
    <row r="14414" spans="1:11">
      <c r="A14414" s="12">
        <v>43442</v>
      </c>
      <c r="B14414">
        <v>2018</v>
      </c>
      <c r="C14414">
        <v>12</v>
      </c>
      <c r="D14414" s="11">
        <v>43435</v>
      </c>
      <c r="E14414" t="s">
        <v>2184</v>
      </c>
      <c r="F14414">
        <v>6</v>
      </c>
      <c r="G14414" t="s">
        <v>57</v>
      </c>
      <c r="H14414" t="s">
        <v>44</v>
      </c>
      <c r="I14414" t="s">
        <v>2192</v>
      </c>
      <c r="J14414" s="10">
        <v>0</v>
      </c>
      <c r="K14414" t="b">
        <v>1</v>
      </c>
    </row>
    <row r="14415" spans="1:11">
      <c r="A14415" s="12">
        <v>43442</v>
      </c>
      <c r="B14415">
        <v>2018</v>
      </c>
      <c r="C14415">
        <v>12</v>
      </c>
      <c r="D14415" s="11">
        <v>43435</v>
      </c>
      <c r="E14415" t="s">
        <v>2184</v>
      </c>
      <c r="F14415">
        <v>6</v>
      </c>
      <c r="G14415" t="s">
        <v>57</v>
      </c>
      <c r="H14415" t="s">
        <v>45</v>
      </c>
      <c r="I14415" t="s">
        <v>2193</v>
      </c>
      <c r="J14415" s="10">
        <v>0</v>
      </c>
      <c r="K14415" t="b">
        <v>1</v>
      </c>
    </row>
    <row r="14416" spans="1:11">
      <c r="A14416" s="12">
        <v>43442</v>
      </c>
      <c r="B14416">
        <v>2018</v>
      </c>
      <c r="C14416">
        <v>12</v>
      </c>
      <c r="D14416" s="11">
        <v>43435</v>
      </c>
      <c r="E14416" t="s">
        <v>2184</v>
      </c>
      <c r="F14416">
        <v>6</v>
      </c>
      <c r="G14416" t="s">
        <v>57</v>
      </c>
      <c r="H14416" t="s">
        <v>46</v>
      </c>
      <c r="I14416" t="s">
        <v>2194</v>
      </c>
      <c r="J14416" s="10">
        <v>0</v>
      </c>
      <c r="K14416" t="b">
        <v>1</v>
      </c>
    </row>
    <row r="14417" spans="1:11">
      <c r="A14417" s="12">
        <v>43442</v>
      </c>
      <c r="B14417">
        <v>2018</v>
      </c>
      <c r="C14417">
        <v>12</v>
      </c>
      <c r="D14417" s="11">
        <v>43435</v>
      </c>
      <c r="E14417" t="s">
        <v>2184</v>
      </c>
      <c r="F14417">
        <v>6</v>
      </c>
      <c r="G14417" t="s">
        <v>57</v>
      </c>
      <c r="H14417" t="s">
        <v>47</v>
      </c>
      <c r="I14417" t="s">
        <v>2195</v>
      </c>
      <c r="J14417" s="10">
        <v>0</v>
      </c>
      <c r="K14417" t="b">
        <v>1</v>
      </c>
    </row>
    <row r="14418" spans="1:11">
      <c r="A14418" s="12">
        <v>43443</v>
      </c>
      <c r="B14418">
        <v>2018</v>
      </c>
      <c r="C14418">
        <v>12</v>
      </c>
      <c r="D14418" s="11">
        <v>43435</v>
      </c>
      <c r="E14418" t="s">
        <v>2184</v>
      </c>
      <c r="F14418">
        <v>7</v>
      </c>
      <c r="G14418" t="s">
        <v>59</v>
      </c>
      <c r="H14418" t="s">
        <v>40</v>
      </c>
      <c r="I14418" t="s">
        <v>2188</v>
      </c>
      <c r="J14418" s="10">
        <v>4.66</v>
      </c>
      <c r="K14418" t="b">
        <v>1</v>
      </c>
    </row>
    <row r="14419" spans="1:11">
      <c r="A14419" s="12">
        <v>43443</v>
      </c>
      <c r="B14419">
        <v>2018</v>
      </c>
      <c r="C14419">
        <v>12</v>
      </c>
      <c r="D14419" s="11">
        <v>43435</v>
      </c>
      <c r="E14419" t="s">
        <v>2184</v>
      </c>
      <c r="F14419">
        <v>7</v>
      </c>
      <c r="G14419" t="s">
        <v>59</v>
      </c>
      <c r="H14419" t="s">
        <v>41</v>
      </c>
      <c r="I14419" t="s">
        <v>2189</v>
      </c>
      <c r="J14419" s="10">
        <v>6.69</v>
      </c>
      <c r="K14419" t="b">
        <v>1</v>
      </c>
    </row>
    <row r="14420" spans="1:11">
      <c r="A14420" s="12">
        <v>43443</v>
      </c>
      <c r="B14420">
        <v>2018</v>
      </c>
      <c r="C14420">
        <v>12</v>
      </c>
      <c r="D14420" s="11">
        <v>43435</v>
      </c>
      <c r="E14420" t="s">
        <v>2184</v>
      </c>
      <c r="F14420">
        <v>7</v>
      </c>
      <c r="G14420" t="s">
        <v>59</v>
      </c>
      <c r="H14420" t="s">
        <v>42</v>
      </c>
      <c r="I14420" t="s">
        <v>2190</v>
      </c>
      <c r="J14420" s="10">
        <v>4.1</v>
      </c>
      <c r="K14420" t="b">
        <v>1</v>
      </c>
    </row>
    <row r="14421" spans="1:11">
      <c r="A14421" s="12">
        <v>43443</v>
      </c>
      <c r="B14421">
        <v>2018</v>
      </c>
      <c r="C14421">
        <v>12</v>
      </c>
      <c r="D14421" s="11">
        <v>43435</v>
      </c>
      <c r="E14421" t="s">
        <v>2184</v>
      </c>
      <c r="F14421">
        <v>7</v>
      </c>
      <c r="G14421" t="s">
        <v>59</v>
      </c>
      <c r="H14421" t="s">
        <v>43</v>
      </c>
      <c r="I14421" t="s">
        <v>2191</v>
      </c>
      <c r="J14421" s="10">
        <v>57.7</v>
      </c>
      <c r="K14421" t="b">
        <v>1</v>
      </c>
    </row>
    <row r="14422" spans="1:11">
      <c r="A14422" s="12">
        <v>43443</v>
      </c>
      <c r="B14422">
        <v>2018</v>
      </c>
      <c r="C14422">
        <v>12</v>
      </c>
      <c r="D14422" s="11">
        <v>43435</v>
      </c>
      <c r="E14422" t="s">
        <v>2184</v>
      </c>
      <c r="F14422">
        <v>7</v>
      </c>
      <c r="G14422" t="s">
        <v>59</v>
      </c>
      <c r="H14422" t="s">
        <v>44</v>
      </c>
      <c r="I14422" t="s">
        <v>2192</v>
      </c>
      <c r="J14422" s="10">
        <v>9</v>
      </c>
      <c r="K14422" t="b">
        <v>1</v>
      </c>
    </row>
    <row r="14423" spans="1:11">
      <c r="A14423" s="12">
        <v>43443</v>
      </c>
      <c r="B14423">
        <v>2018</v>
      </c>
      <c r="C14423">
        <v>12</v>
      </c>
      <c r="D14423" s="11">
        <v>43435</v>
      </c>
      <c r="E14423" t="s">
        <v>2184</v>
      </c>
      <c r="F14423">
        <v>7</v>
      </c>
      <c r="G14423" t="s">
        <v>59</v>
      </c>
      <c r="H14423" t="s">
        <v>45</v>
      </c>
      <c r="I14423" t="s">
        <v>2193</v>
      </c>
      <c r="J14423" s="10">
        <v>0</v>
      </c>
      <c r="K14423" t="b">
        <v>1</v>
      </c>
    </row>
    <row r="14424" spans="1:11">
      <c r="A14424" s="12">
        <v>43443</v>
      </c>
      <c r="B14424">
        <v>2018</v>
      </c>
      <c r="C14424">
        <v>12</v>
      </c>
      <c r="D14424" s="11">
        <v>43435</v>
      </c>
      <c r="E14424" t="s">
        <v>2184</v>
      </c>
      <c r="F14424">
        <v>7</v>
      </c>
      <c r="G14424" t="s">
        <v>59</v>
      </c>
      <c r="H14424" t="s">
        <v>46</v>
      </c>
      <c r="I14424" t="s">
        <v>2194</v>
      </c>
      <c r="J14424" s="10">
        <v>11</v>
      </c>
      <c r="K14424" t="b">
        <v>1</v>
      </c>
    </row>
    <row r="14425" spans="1:11">
      <c r="A14425" s="12">
        <v>43443</v>
      </c>
      <c r="B14425">
        <v>2018</v>
      </c>
      <c r="C14425">
        <v>12</v>
      </c>
      <c r="D14425" s="11">
        <v>43435</v>
      </c>
      <c r="E14425" t="s">
        <v>2184</v>
      </c>
      <c r="F14425">
        <v>7</v>
      </c>
      <c r="G14425" t="s">
        <v>59</v>
      </c>
      <c r="H14425" t="s">
        <v>47</v>
      </c>
      <c r="I14425" t="s">
        <v>2195</v>
      </c>
      <c r="J14425" s="10">
        <v>0</v>
      </c>
      <c r="K14425" t="b">
        <v>1</v>
      </c>
    </row>
    <row r="14426" spans="1:11">
      <c r="A14426" s="12">
        <v>43444</v>
      </c>
      <c r="B14426">
        <v>2018</v>
      </c>
      <c r="C14426">
        <v>12</v>
      </c>
      <c r="D14426" s="11">
        <v>43435</v>
      </c>
      <c r="E14426" t="s">
        <v>2184</v>
      </c>
      <c r="F14426">
        <v>1</v>
      </c>
      <c r="G14426" t="s">
        <v>61</v>
      </c>
      <c r="H14426" t="s">
        <v>40</v>
      </c>
      <c r="I14426" t="s">
        <v>2188</v>
      </c>
      <c r="J14426" s="10">
        <v>4</v>
      </c>
      <c r="K14426" t="b">
        <v>1</v>
      </c>
    </row>
    <row r="14427" spans="1:11">
      <c r="A14427" s="12">
        <v>43444</v>
      </c>
      <c r="B14427">
        <v>2018</v>
      </c>
      <c r="C14427">
        <v>12</v>
      </c>
      <c r="D14427" s="11">
        <v>43435</v>
      </c>
      <c r="E14427" t="s">
        <v>2184</v>
      </c>
      <c r="F14427">
        <v>1</v>
      </c>
      <c r="G14427" t="s">
        <v>61</v>
      </c>
      <c r="H14427" t="s">
        <v>41</v>
      </c>
      <c r="I14427" t="s">
        <v>2189</v>
      </c>
      <c r="J14427" s="10">
        <v>5</v>
      </c>
      <c r="K14427" t="b">
        <v>1</v>
      </c>
    </row>
    <row r="14428" spans="1:11">
      <c r="A14428" s="12">
        <v>43444</v>
      </c>
      <c r="B14428">
        <v>2018</v>
      </c>
      <c r="C14428">
        <v>12</v>
      </c>
      <c r="D14428" s="11">
        <v>43435</v>
      </c>
      <c r="E14428" t="s">
        <v>2184</v>
      </c>
      <c r="F14428">
        <v>1</v>
      </c>
      <c r="G14428" t="s">
        <v>61</v>
      </c>
      <c r="H14428" t="s">
        <v>42</v>
      </c>
      <c r="I14428" t="s">
        <v>2190</v>
      </c>
      <c r="J14428" s="10">
        <v>1.5</v>
      </c>
      <c r="K14428" t="b">
        <v>1</v>
      </c>
    </row>
    <row r="14429" spans="1:11">
      <c r="A14429" s="12">
        <v>43444</v>
      </c>
      <c r="B14429">
        <v>2018</v>
      </c>
      <c r="C14429">
        <v>12</v>
      </c>
      <c r="D14429" s="11">
        <v>43435</v>
      </c>
      <c r="E14429" t="s">
        <v>2184</v>
      </c>
      <c r="F14429">
        <v>1</v>
      </c>
      <c r="G14429" t="s">
        <v>61</v>
      </c>
      <c r="H14429" t="s">
        <v>43</v>
      </c>
      <c r="I14429" t="s">
        <v>2191</v>
      </c>
      <c r="J14429" s="10">
        <v>23.8</v>
      </c>
      <c r="K14429" t="b">
        <v>1</v>
      </c>
    </row>
    <row r="14430" spans="1:11">
      <c r="A14430" s="12">
        <v>43444</v>
      </c>
      <c r="B14430">
        <v>2018</v>
      </c>
      <c r="C14430">
        <v>12</v>
      </c>
      <c r="D14430" s="11">
        <v>43435</v>
      </c>
      <c r="E14430" t="s">
        <v>2184</v>
      </c>
      <c r="F14430">
        <v>1</v>
      </c>
      <c r="G14430" t="s">
        <v>61</v>
      </c>
      <c r="H14430" t="s">
        <v>44</v>
      </c>
      <c r="I14430" t="s">
        <v>2192</v>
      </c>
      <c r="J14430" s="10">
        <v>12</v>
      </c>
      <c r="K14430" t="b">
        <v>1</v>
      </c>
    </row>
    <row r="14431" spans="1:11">
      <c r="A14431" s="12">
        <v>43444</v>
      </c>
      <c r="B14431">
        <v>2018</v>
      </c>
      <c r="C14431">
        <v>12</v>
      </c>
      <c r="D14431" s="11">
        <v>43435</v>
      </c>
      <c r="E14431" t="s">
        <v>2184</v>
      </c>
      <c r="F14431">
        <v>1</v>
      </c>
      <c r="G14431" t="s">
        <v>61</v>
      </c>
      <c r="H14431" t="s">
        <v>45</v>
      </c>
      <c r="I14431" t="s">
        <v>2193</v>
      </c>
      <c r="J14431" s="10">
        <v>1</v>
      </c>
      <c r="K14431" t="b">
        <v>1</v>
      </c>
    </row>
    <row r="14432" spans="1:11">
      <c r="A14432" s="12">
        <v>43444</v>
      </c>
      <c r="B14432">
        <v>2018</v>
      </c>
      <c r="C14432">
        <v>12</v>
      </c>
      <c r="D14432" s="11">
        <v>43435</v>
      </c>
      <c r="E14432" t="s">
        <v>2184</v>
      </c>
      <c r="F14432">
        <v>1</v>
      </c>
      <c r="G14432" t="s">
        <v>61</v>
      </c>
      <c r="H14432" t="s">
        <v>46</v>
      </c>
      <c r="I14432" t="s">
        <v>2194</v>
      </c>
      <c r="J14432" s="10">
        <v>7</v>
      </c>
      <c r="K14432" t="b">
        <v>1</v>
      </c>
    </row>
    <row r="14433" spans="1:11">
      <c r="A14433" s="12">
        <v>43444</v>
      </c>
      <c r="B14433">
        <v>2018</v>
      </c>
      <c r="C14433">
        <v>12</v>
      </c>
      <c r="D14433" s="11">
        <v>43435</v>
      </c>
      <c r="E14433" t="s">
        <v>2184</v>
      </c>
      <c r="F14433">
        <v>1</v>
      </c>
      <c r="G14433" t="s">
        <v>61</v>
      </c>
      <c r="H14433" t="s">
        <v>47</v>
      </c>
      <c r="I14433" t="s">
        <v>2195</v>
      </c>
      <c r="J14433" s="10">
        <v>1</v>
      </c>
      <c r="K14433" t="b">
        <v>1</v>
      </c>
    </row>
    <row r="14434" spans="1:11">
      <c r="A14434" s="12">
        <v>43445</v>
      </c>
      <c r="B14434">
        <v>2018</v>
      </c>
      <c r="C14434">
        <v>12</v>
      </c>
      <c r="D14434" s="11">
        <v>43435</v>
      </c>
      <c r="E14434" t="s">
        <v>2184</v>
      </c>
      <c r="F14434">
        <v>2</v>
      </c>
      <c r="G14434" t="s">
        <v>63</v>
      </c>
      <c r="H14434" t="s">
        <v>40</v>
      </c>
      <c r="I14434" t="s">
        <v>2188</v>
      </c>
      <c r="J14434" s="10">
        <v>4</v>
      </c>
      <c r="K14434" t="b">
        <v>1</v>
      </c>
    </row>
    <row r="14435" spans="1:11">
      <c r="A14435" s="12">
        <v>43445</v>
      </c>
      <c r="B14435">
        <v>2018</v>
      </c>
      <c r="C14435">
        <v>12</v>
      </c>
      <c r="D14435" s="11">
        <v>43435</v>
      </c>
      <c r="E14435" t="s">
        <v>2184</v>
      </c>
      <c r="F14435">
        <v>2</v>
      </c>
      <c r="G14435" t="s">
        <v>63</v>
      </c>
      <c r="H14435" t="s">
        <v>41</v>
      </c>
      <c r="I14435" t="s">
        <v>2189</v>
      </c>
      <c r="J14435" s="10">
        <v>4.01</v>
      </c>
      <c r="K14435" t="b">
        <v>1</v>
      </c>
    </row>
    <row r="14436" spans="1:11">
      <c r="A14436" s="12">
        <v>43445</v>
      </c>
      <c r="B14436">
        <v>2018</v>
      </c>
      <c r="C14436">
        <v>12</v>
      </c>
      <c r="D14436" s="11">
        <v>43435</v>
      </c>
      <c r="E14436" t="s">
        <v>2184</v>
      </c>
      <c r="F14436">
        <v>2</v>
      </c>
      <c r="G14436" t="s">
        <v>63</v>
      </c>
      <c r="H14436" t="s">
        <v>42</v>
      </c>
      <c r="I14436" t="s">
        <v>2190</v>
      </c>
      <c r="J14436" s="10">
        <v>8.35</v>
      </c>
      <c r="K14436" t="b">
        <v>1</v>
      </c>
    </row>
    <row r="14437" spans="1:11">
      <c r="A14437" s="12">
        <v>43445</v>
      </c>
      <c r="B14437">
        <v>2018</v>
      </c>
      <c r="C14437">
        <v>12</v>
      </c>
      <c r="D14437" s="11">
        <v>43435</v>
      </c>
      <c r="E14437" t="s">
        <v>2184</v>
      </c>
      <c r="F14437">
        <v>2</v>
      </c>
      <c r="G14437" t="s">
        <v>63</v>
      </c>
      <c r="H14437" t="s">
        <v>43</v>
      </c>
      <c r="I14437" t="s">
        <v>2191</v>
      </c>
      <c r="J14437" s="10">
        <v>28</v>
      </c>
      <c r="K14437" t="b">
        <v>1</v>
      </c>
    </row>
    <row r="14438" spans="1:11">
      <c r="A14438" s="12">
        <v>43445</v>
      </c>
      <c r="B14438">
        <v>2018</v>
      </c>
      <c r="C14438">
        <v>12</v>
      </c>
      <c r="D14438" s="11">
        <v>43435</v>
      </c>
      <c r="E14438" t="s">
        <v>2184</v>
      </c>
      <c r="F14438">
        <v>2</v>
      </c>
      <c r="G14438" t="s">
        <v>63</v>
      </c>
      <c r="H14438" t="s">
        <v>44</v>
      </c>
      <c r="I14438" t="s">
        <v>2192</v>
      </c>
      <c r="J14438" s="10">
        <v>12</v>
      </c>
      <c r="K14438" t="b">
        <v>1</v>
      </c>
    </row>
    <row r="14439" spans="1:11">
      <c r="A14439" s="12">
        <v>43445</v>
      </c>
      <c r="B14439">
        <v>2018</v>
      </c>
      <c r="C14439">
        <v>12</v>
      </c>
      <c r="D14439" s="11">
        <v>43435</v>
      </c>
      <c r="E14439" t="s">
        <v>2184</v>
      </c>
      <c r="F14439">
        <v>2</v>
      </c>
      <c r="G14439" t="s">
        <v>63</v>
      </c>
      <c r="H14439" t="s">
        <v>45</v>
      </c>
      <c r="I14439" t="s">
        <v>2193</v>
      </c>
      <c r="J14439" s="10">
        <v>3</v>
      </c>
      <c r="K14439" t="b">
        <v>1</v>
      </c>
    </row>
    <row r="14440" spans="1:11">
      <c r="A14440" s="12">
        <v>43445</v>
      </c>
      <c r="B14440">
        <v>2018</v>
      </c>
      <c r="C14440">
        <v>12</v>
      </c>
      <c r="D14440" s="11">
        <v>43435</v>
      </c>
      <c r="E14440" t="s">
        <v>2184</v>
      </c>
      <c r="F14440">
        <v>2</v>
      </c>
      <c r="G14440" t="s">
        <v>63</v>
      </c>
      <c r="H14440" t="s">
        <v>46</v>
      </c>
      <c r="I14440" t="s">
        <v>2194</v>
      </c>
      <c r="J14440" s="10">
        <v>2</v>
      </c>
      <c r="K14440" t="b">
        <v>1</v>
      </c>
    </row>
    <row r="14441" spans="1:11">
      <c r="A14441" s="12">
        <v>43445</v>
      </c>
      <c r="B14441">
        <v>2018</v>
      </c>
      <c r="C14441">
        <v>12</v>
      </c>
      <c r="D14441" s="11">
        <v>43435</v>
      </c>
      <c r="E14441" t="s">
        <v>2184</v>
      </c>
      <c r="F14441">
        <v>2</v>
      </c>
      <c r="G14441" t="s">
        <v>63</v>
      </c>
      <c r="H14441" t="s">
        <v>47</v>
      </c>
      <c r="I14441" t="s">
        <v>2195</v>
      </c>
      <c r="J14441" s="10">
        <v>5.5</v>
      </c>
      <c r="K14441" t="b">
        <v>1</v>
      </c>
    </row>
    <row r="14442" spans="1:11">
      <c r="A14442" s="12">
        <v>43446</v>
      </c>
      <c r="B14442">
        <v>2018</v>
      </c>
      <c r="C14442">
        <v>12</v>
      </c>
      <c r="D14442" s="11">
        <v>43435</v>
      </c>
      <c r="E14442" t="s">
        <v>2184</v>
      </c>
      <c r="F14442">
        <v>3</v>
      </c>
      <c r="G14442" t="s">
        <v>65</v>
      </c>
      <c r="H14442" t="s">
        <v>40</v>
      </c>
      <c r="I14442" t="s">
        <v>2188</v>
      </c>
      <c r="J14442" s="10">
        <v>4.33</v>
      </c>
      <c r="K14442" t="b">
        <v>1</v>
      </c>
    </row>
    <row r="14443" spans="1:11">
      <c r="A14443" s="12">
        <v>43446</v>
      </c>
      <c r="B14443">
        <v>2018</v>
      </c>
      <c r="C14443">
        <v>12</v>
      </c>
      <c r="D14443" s="11">
        <v>43435</v>
      </c>
      <c r="E14443" t="s">
        <v>2184</v>
      </c>
      <c r="F14443">
        <v>3</v>
      </c>
      <c r="G14443" t="s">
        <v>65</v>
      </c>
      <c r="H14443" t="s">
        <v>41</v>
      </c>
      <c r="I14443" t="s">
        <v>2189</v>
      </c>
      <c r="J14443" s="10">
        <v>2</v>
      </c>
      <c r="K14443" t="b">
        <v>1</v>
      </c>
    </row>
    <row r="14444" spans="1:11">
      <c r="A14444" s="12">
        <v>43446</v>
      </c>
      <c r="B14444">
        <v>2018</v>
      </c>
      <c r="C14444">
        <v>12</v>
      </c>
      <c r="D14444" s="11">
        <v>43435</v>
      </c>
      <c r="E14444" t="s">
        <v>2184</v>
      </c>
      <c r="F14444">
        <v>3</v>
      </c>
      <c r="G14444" t="s">
        <v>65</v>
      </c>
      <c r="H14444" t="s">
        <v>42</v>
      </c>
      <c r="I14444" t="s">
        <v>2190</v>
      </c>
      <c r="J14444" s="10">
        <v>3</v>
      </c>
      <c r="K14444" t="b">
        <v>1</v>
      </c>
    </row>
    <row r="14445" spans="1:11">
      <c r="A14445" s="12">
        <v>43446</v>
      </c>
      <c r="B14445">
        <v>2018</v>
      </c>
      <c r="C14445">
        <v>12</v>
      </c>
      <c r="D14445" s="11">
        <v>43435</v>
      </c>
      <c r="E14445" t="s">
        <v>2184</v>
      </c>
      <c r="F14445">
        <v>3</v>
      </c>
      <c r="G14445" t="s">
        <v>65</v>
      </c>
      <c r="H14445" t="s">
        <v>43</v>
      </c>
      <c r="I14445" t="s">
        <v>2191</v>
      </c>
      <c r="J14445" s="10">
        <v>37.6</v>
      </c>
      <c r="K14445" t="b">
        <v>1</v>
      </c>
    </row>
    <row r="14446" spans="1:11">
      <c r="A14446" s="12">
        <v>43446</v>
      </c>
      <c r="B14446">
        <v>2018</v>
      </c>
      <c r="C14446">
        <v>12</v>
      </c>
      <c r="D14446" s="11">
        <v>43435</v>
      </c>
      <c r="E14446" t="s">
        <v>2184</v>
      </c>
      <c r="F14446">
        <v>3</v>
      </c>
      <c r="G14446" t="s">
        <v>65</v>
      </c>
      <c r="H14446" t="s">
        <v>44</v>
      </c>
      <c r="I14446" t="s">
        <v>2192</v>
      </c>
      <c r="J14446" s="10">
        <v>11</v>
      </c>
      <c r="K14446" t="b">
        <v>1</v>
      </c>
    </row>
    <row r="14447" spans="1:11">
      <c r="A14447" s="12">
        <v>43446</v>
      </c>
      <c r="B14447">
        <v>2018</v>
      </c>
      <c r="C14447">
        <v>12</v>
      </c>
      <c r="D14447" s="11">
        <v>43435</v>
      </c>
      <c r="E14447" t="s">
        <v>2184</v>
      </c>
      <c r="F14447">
        <v>3</v>
      </c>
      <c r="G14447" t="s">
        <v>65</v>
      </c>
      <c r="H14447" t="s">
        <v>45</v>
      </c>
      <c r="I14447" t="s">
        <v>2193</v>
      </c>
      <c r="J14447" s="10">
        <v>0</v>
      </c>
      <c r="K14447" t="b">
        <v>1</v>
      </c>
    </row>
    <row r="14448" spans="1:11">
      <c r="A14448" s="12">
        <v>43446</v>
      </c>
      <c r="B14448">
        <v>2018</v>
      </c>
      <c r="C14448">
        <v>12</v>
      </c>
      <c r="D14448" s="11">
        <v>43435</v>
      </c>
      <c r="E14448" t="s">
        <v>2184</v>
      </c>
      <c r="F14448">
        <v>3</v>
      </c>
      <c r="G14448" t="s">
        <v>65</v>
      </c>
      <c r="H14448" t="s">
        <v>46</v>
      </c>
      <c r="I14448" t="s">
        <v>2194</v>
      </c>
      <c r="J14448" s="10">
        <v>21</v>
      </c>
      <c r="K14448" t="b">
        <v>1</v>
      </c>
    </row>
    <row r="14449" spans="1:11">
      <c r="A14449" s="12">
        <v>43446</v>
      </c>
      <c r="B14449">
        <v>2018</v>
      </c>
      <c r="C14449">
        <v>12</v>
      </c>
      <c r="D14449" s="11">
        <v>43435</v>
      </c>
      <c r="E14449" t="s">
        <v>2184</v>
      </c>
      <c r="F14449">
        <v>3</v>
      </c>
      <c r="G14449" t="s">
        <v>65</v>
      </c>
      <c r="H14449" t="s">
        <v>47</v>
      </c>
      <c r="I14449" t="s">
        <v>2195</v>
      </c>
      <c r="J14449" s="10">
        <v>0</v>
      </c>
      <c r="K14449" t="b">
        <v>1</v>
      </c>
    </row>
    <row r="14450" spans="1:11">
      <c r="A14450" s="12">
        <v>43447</v>
      </c>
      <c r="B14450">
        <v>2018</v>
      </c>
      <c r="C14450">
        <v>12</v>
      </c>
      <c r="D14450" s="11">
        <v>43435</v>
      </c>
      <c r="E14450" t="s">
        <v>2184</v>
      </c>
      <c r="F14450">
        <v>4</v>
      </c>
      <c r="G14450" t="s">
        <v>53</v>
      </c>
      <c r="H14450" t="s">
        <v>40</v>
      </c>
      <c r="I14450" t="s">
        <v>2188</v>
      </c>
      <c r="J14450" s="10">
        <v>3.68</v>
      </c>
      <c r="K14450" t="b">
        <v>1</v>
      </c>
    </row>
    <row r="14451" spans="1:11">
      <c r="A14451" s="12">
        <v>43447</v>
      </c>
      <c r="B14451">
        <v>2018</v>
      </c>
      <c r="C14451">
        <v>12</v>
      </c>
      <c r="D14451" s="11">
        <v>43435</v>
      </c>
      <c r="E14451" t="s">
        <v>2184</v>
      </c>
      <c r="F14451">
        <v>4</v>
      </c>
      <c r="G14451" t="s">
        <v>53</v>
      </c>
      <c r="H14451" t="s">
        <v>41</v>
      </c>
      <c r="I14451" t="s">
        <v>2189</v>
      </c>
      <c r="J14451" s="10">
        <v>2.243</v>
      </c>
      <c r="K14451" t="b">
        <v>1</v>
      </c>
    </row>
    <row r="14452" spans="1:11">
      <c r="A14452" s="12">
        <v>43447</v>
      </c>
      <c r="B14452">
        <v>2018</v>
      </c>
      <c r="C14452">
        <v>12</v>
      </c>
      <c r="D14452" s="11">
        <v>43435</v>
      </c>
      <c r="E14452" t="s">
        <v>2184</v>
      </c>
      <c r="F14452">
        <v>4</v>
      </c>
      <c r="G14452" t="s">
        <v>53</v>
      </c>
      <c r="H14452" t="s">
        <v>42</v>
      </c>
      <c r="I14452" t="s">
        <v>2190</v>
      </c>
      <c r="J14452" s="10">
        <v>3</v>
      </c>
      <c r="K14452" t="b">
        <v>1</v>
      </c>
    </row>
    <row r="14453" spans="1:11">
      <c r="A14453" s="12">
        <v>43447</v>
      </c>
      <c r="B14453">
        <v>2018</v>
      </c>
      <c r="C14453">
        <v>12</v>
      </c>
      <c r="D14453" s="11">
        <v>43435</v>
      </c>
      <c r="E14453" t="s">
        <v>2184</v>
      </c>
      <c r="F14453">
        <v>4</v>
      </c>
      <c r="G14453" t="s">
        <v>53</v>
      </c>
      <c r="H14453" t="s">
        <v>43</v>
      </c>
      <c r="I14453" t="s">
        <v>2191</v>
      </c>
      <c r="J14453" s="10">
        <v>47.5</v>
      </c>
      <c r="K14453" t="b">
        <v>1</v>
      </c>
    </row>
    <row r="14454" spans="1:11">
      <c r="A14454" s="12">
        <v>43447</v>
      </c>
      <c r="B14454">
        <v>2018</v>
      </c>
      <c r="C14454">
        <v>12</v>
      </c>
      <c r="D14454" s="11">
        <v>43435</v>
      </c>
      <c r="E14454" t="s">
        <v>2184</v>
      </c>
      <c r="F14454">
        <v>4</v>
      </c>
      <c r="G14454" t="s">
        <v>53</v>
      </c>
      <c r="H14454" t="s">
        <v>44</v>
      </c>
      <c r="I14454" t="s">
        <v>2192</v>
      </c>
      <c r="J14454" s="10">
        <v>6</v>
      </c>
      <c r="K14454" t="b">
        <v>1</v>
      </c>
    </row>
    <row r="14455" spans="1:11">
      <c r="A14455" s="12">
        <v>43447</v>
      </c>
      <c r="B14455">
        <v>2018</v>
      </c>
      <c r="C14455">
        <v>12</v>
      </c>
      <c r="D14455" s="11">
        <v>43435</v>
      </c>
      <c r="E14455" t="s">
        <v>2184</v>
      </c>
      <c r="F14455">
        <v>4</v>
      </c>
      <c r="G14455" t="s">
        <v>53</v>
      </c>
      <c r="H14455" t="s">
        <v>45</v>
      </c>
      <c r="I14455" t="s">
        <v>2193</v>
      </c>
      <c r="J14455" s="10">
        <v>0</v>
      </c>
      <c r="K14455" t="b">
        <v>1</v>
      </c>
    </row>
    <row r="14456" spans="1:11">
      <c r="A14456" s="12">
        <v>43447</v>
      </c>
      <c r="B14456">
        <v>2018</v>
      </c>
      <c r="C14456">
        <v>12</v>
      </c>
      <c r="D14456" s="11">
        <v>43435</v>
      </c>
      <c r="E14456" t="s">
        <v>2184</v>
      </c>
      <c r="F14456">
        <v>4</v>
      </c>
      <c r="G14456" t="s">
        <v>53</v>
      </c>
      <c r="H14456" t="s">
        <v>46</v>
      </c>
      <c r="I14456" t="s">
        <v>2194</v>
      </c>
      <c r="J14456" s="10">
        <v>6</v>
      </c>
      <c r="K14456" t="b">
        <v>1</v>
      </c>
    </row>
    <row r="14457" spans="1:11">
      <c r="A14457" s="12">
        <v>43447</v>
      </c>
      <c r="B14457">
        <v>2018</v>
      </c>
      <c r="C14457">
        <v>12</v>
      </c>
      <c r="D14457" s="11">
        <v>43435</v>
      </c>
      <c r="E14457" t="s">
        <v>2184</v>
      </c>
      <c r="F14457">
        <v>4</v>
      </c>
      <c r="G14457" t="s">
        <v>53</v>
      </c>
      <c r="H14457" t="s">
        <v>47</v>
      </c>
      <c r="I14457" t="s">
        <v>2195</v>
      </c>
      <c r="J14457" s="10">
        <v>0</v>
      </c>
      <c r="K14457" t="b">
        <v>1</v>
      </c>
    </row>
    <row r="14458" spans="1:11">
      <c r="A14458" s="12">
        <v>43448</v>
      </c>
      <c r="B14458">
        <v>2018</v>
      </c>
      <c r="C14458">
        <v>12</v>
      </c>
      <c r="D14458" s="11">
        <v>43435</v>
      </c>
      <c r="E14458" t="s">
        <v>2184</v>
      </c>
      <c r="F14458">
        <v>5</v>
      </c>
      <c r="G14458" t="s">
        <v>55</v>
      </c>
      <c r="H14458" t="s">
        <v>40</v>
      </c>
      <c r="I14458" t="s">
        <v>2188</v>
      </c>
      <c r="J14458" s="10">
        <v>2</v>
      </c>
      <c r="K14458" t="b">
        <v>1</v>
      </c>
    </row>
    <row r="14459" spans="1:11">
      <c r="A14459" s="12">
        <v>43448</v>
      </c>
      <c r="B14459">
        <v>2018</v>
      </c>
      <c r="C14459">
        <v>12</v>
      </c>
      <c r="D14459" s="11">
        <v>43435</v>
      </c>
      <c r="E14459" t="s">
        <v>2184</v>
      </c>
      <c r="F14459">
        <v>5</v>
      </c>
      <c r="G14459" t="s">
        <v>55</v>
      </c>
      <c r="H14459" t="s">
        <v>41</v>
      </c>
      <c r="I14459" t="s">
        <v>2189</v>
      </c>
      <c r="J14459" s="10">
        <v>2</v>
      </c>
      <c r="K14459" t="b">
        <v>1</v>
      </c>
    </row>
    <row r="14460" spans="1:11">
      <c r="A14460" s="12">
        <v>43448</v>
      </c>
      <c r="B14460">
        <v>2018</v>
      </c>
      <c r="C14460">
        <v>12</v>
      </c>
      <c r="D14460" s="11">
        <v>43435</v>
      </c>
      <c r="E14460" t="s">
        <v>2184</v>
      </c>
      <c r="F14460">
        <v>5</v>
      </c>
      <c r="G14460" t="s">
        <v>55</v>
      </c>
      <c r="H14460" t="s">
        <v>42</v>
      </c>
      <c r="I14460" t="s">
        <v>2190</v>
      </c>
      <c r="J14460" s="10">
        <v>0.2</v>
      </c>
      <c r="K14460" t="b">
        <v>1</v>
      </c>
    </row>
    <row r="14461" spans="1:11">
      <c r="A14461" s="12">
        <v>43448</v>
      </c>
      <c r="B14461">
        <v>2018</v>
      </c>
      <c r="C14461">
        <v>12</v>
      </c>
      <c r="D14461" s="11">
        <v>43435</v>
      </c>
      <c r="E14461" t="s">
        <v>2184</v>
      </c>
      <c r="F14461">
        <v>5</v>
      </c>
      <c r="G14461" t="s">
        <v>55</v>
      </c>
      <c r="H14461" t="s">
        <v>43</v>
      </c>
      <c r="I14461" t="s">
        <v>2191</v>
      </c>
      <c r="J14461" s="10">
        <v>23.4</v>
      </c>
      <c r="K14461" t="b">
        <v>1</v>
      </c>
    </row>
    <row r="14462" spans="1:11">
      <c r="A14462" s="12">
        <v>43448</v>
      </c>
      <c r="B14462">
        <v>2018</v>
      </c>
      <c r="C14462">
        <v>12</v>
      </c>
      <c r="D14462" s="11">
        <v>43435</v>
      </c>
      <c r="E14462" t="s">
        <v>2184</v>
      </c>
      <c r="F14462">
        <v>5</v>
      </c>
      <c r="G14462" t="s">
        <v>55</v>
      </c>
      <c r="H14462" t="s">
        <v>44</v>
      </c>
      <c r="I14462" t="s">
        <v>2192</v>
      </c>
      <c r="J14462" s="10">
        <v>2</v>
      </c>
      <c r="K14462" t="b">
        <v>1</v>
      </c>
    </row>
    <row r="14463" spans="1:11">
      <c r="A14463" s="12">
        <v>43448</v>
      </c>
      <c r="B14463">
        <v>2018</v>
      </c>
      <c r="C14463">
        <v>12</v>
      </c>
      <c r="D14463" s="11">
        <v>43435</v>
      </c>
      <c r="E14463" t="s">
        <v>2184</v>
      </c>
      <c r="F14463">
        <v>5</v>
      </c>
      <c r="G14463" t="s">
        <v>55</v>
      </c>
      <c r="H14463" t="s">
        <v>45</v>
      </c>
      <c r="I14463" t="s">
        <v>2193</v>
      </c>
      <c r="J14463" s="10">
        <v>1</v>
      </c>
      <c r="K14463" t="b">
        <v>1</v>
      </c>
    </row>
    <row r="14464" spans="1:11">
      <c r="A14464" s="12">
        <v>43448</v>
      </c>
      <c r="B14464">
        <v>2018</v>
      </c>
      <c r="C14464">
        <v>12</v>
      </c>
      <c r="D14464" s="11">
        <v>43435</v>
      </c>
      <c r="E14464" t="s">
        <v>2184</v>
      </c>
      <c r="F14464">
        <v>5</v>
      </c>
      <c r="G14464" t="s">
        <v>55</v>
      </c>
      <c r="H14464" t="s">
        <v>46</v>
      </c>
      <c r="I14464" t="s">
        <v>2194</v>
      </c>
      <c r="J14464" s="10">
        <v>29</v>
      </c>
      <c r="K14464" t="b">
        <v>1</v>
      </c>
    </row>
    <row r="14465" spans="1:11">
      <c r="A14465" s="12">
        <v>43448</v>
      </c>
      <c r="B14465">
        <v>2018</v>
      </c>
      <c r="C14465">
        <v>12</v>
      </c>
      <c r="D14465" s="11">
        <v>43435</v>
      </c>
      <c r="E14465" t="s">
        <v>2184</v>
      </c>
      <c r="F14465">
        <v>5</v>
      </c>
      <c r="G14465" t="s">
        <v>55</v>
      </c>
      <c r="H14465" t="s">
        <v>47</v>
      </c>
      <c r="I14465" t="s">
        <v>2195</v>
      </c>
      <c r="J14465" s="10">
        <v>1</v>
      </c>
      <c r="K14465" t="b">
        <v>1</v>
      </c>
    </row>
    <row r="14466" spans="1:11">
      <c r="A14466" s="12">
        <v>43449</v>
      </c>
      <c r="B14466">
        <v>2018</v>
      </c>
      <c r="C14466">
        <v>12</v>
      </c>
      <c r="D14466" s="11">
        <v>43435</v>
      </c>
      <c r="E14466" t="s">
        <v>2184</v>
      </c>
      <c r="F14466">
        <v>6</v>
      </c>
      <c r="G14466" t="s">
        <v>57</v>
      </c>
      <c r="H14466" t="s">
        <v>40</v>
      </c>
      <c r="I14466" t="s">
        <v>2188</v>
      </c>
      <c r="J14466" s="10">
        <v>4</v>
      </c>
      <c r="K14466" t="b">
        <v>1</v>
      </c>
    </row>
    <row r="14467" spans="1:11">
      <c r="A14467" s="12">
        <v>43449</v>
      </c>
      <c r="B14467">
        <v>2018</v>
      </c>
      <c r="C14467">
        <v>12</v>
      </c>
      <c r="D14467" s="11">
        <v>43435</v>
      </c>
      <c r="E14467" t="s">
        <v>2184</v>
      </c>
      <c r="F14467">
        <v>6</v>
      </c>
      <c r="G14467" t="s">
        <v>57</v>
      </c>
      <c r="H14467" t="s">
        <v>41</v>
      </c>
      <c r="I14467" t="s">
        <v>2189</v>
      </c>
      <c r="J14467" s="10">
        <v>2.34</v>
      </c>
      <c r="K14467" t="b">
        <v>1</v>
      </c>
    </row>
    <row r="14468" spans="1:11">
      <c r="A14468" s="12">
        <v>43449</v>
      </c>
      <c r="B14468">
        <v>2018</v>
      </c>
      <c r="C14468">
        <v>12</v>
      </c>
      <c r="D14468" s="11">
        <v>43435</v>
      </c>
      <c r="E14468" t="s">
        <v>2184</v>
      </c>
      <c r="F14468">
        <v>6</v>
      </c>
      <c r="G14468" t="s">
        <v>57</v>
      </c>
      <c r="H14468" t="s">
        <v>42</v>
      </c>
      <c r="I14468" t="s">
        <v>2190</v>
      </c>
      <c r="J14468" s="10">
        <v>3.45</v>
      </c>
      <c r="K14468" t="b">
        <v>1</v>
      </c>
    </row>
    <row r="14469" spans="1:11">
      <c r="A14469" s="12">
        <v>43449</v>
      </c>
      <c r="B14469">
        <v>2018</v>
      </c>
      <c r="C14469">
        <v>12</v>
      </c>
      <c r="D14469" s="11">
        <v>43435</v>
      </c>
      <c r="E14469" t="s">
        <v>2184</v>
      </c>
      <c r="F14469">
        <v>6</v>
      </c>
      <c r="G14469" t="s">
        <v>57</v>
      </c>
      <c r="H14469" t="s">
        <v>43</v>
      </c>
      <c r="I14469" t="s">
        <v>2191</v>
      </c>
      <c r="J14469" s="10">
        <v>62.4</v>
      </c>
      <c r="K14469" t="b">
        <v>1</v>
      </c>
    </row>
    <row r="14470" spans="1:11">
      <c r="A14470" s="12">
        <v>43449</v>
      </c>
      <c r="B14470">
        <v>2018</v>
      </c>
      <c r="C14470">
        <v>12</v>
      </c>
      <c r="D14470" s="11">
        <v>43435</v>
      </c>
      <c r="E14470" t="s">
        <v>2184</v>
      </c>
      <c r="F14470">
        <v>6</v>
      </c>
      <c r="G14470" t="s">
        <v>57</v>
      </c>
      <c r="H14470" t="s">
        <v>44</v>
      </c>
      <c r="I14470" t="s">
        <v>2192</v>
      </c>
      <c r="J14470" s="10">
        <v>5</v>
      </c>
      <c r="K14470" t="b">
        <v>1</v>
      </c>
    </row>
    <row r="14471" spans="1:11">
      <c r="A14471" s="12">
        <v>43449</v>
      </c>
      <c r="B14471">
        <v>2018</v>
      </c>
      <c r="C14471">
        <v>12</v>
      </c>
      <c r="D14471" s="11">
        <v>43435</v>
      </c>
      <c r="E14471" t="s">
        <v>2184</v>
      </c>
      <c r="F14471">
        <v>6</v>
      </c>
      <c r="G14471" t="s">
        <v>57</v>
      </c>
      <c r="H14471" t="s">
        <v>45</v>
      </c>
      <c r="I14471" t="s">
        <v>2193</v>
      </c>
      <c r="J14471" s="10">
        <v>0</v>
      </c>
      <c r="K14471" t="b">
        <v>1</v>
      </c>
    </row>
    <row r="14472" spans="1:11">
      <c r="A14472" s="12">
        <v>43449</v>
      </c>
      <c r="B14472">
        <v>2018</v>
      </c>
      <c r="C14472">
        <v>12</v>
      </c>
      <c r="D14472" s="11">
        <v>43435</v>
      </c>
      <c r="E14472" t="s">
        <v>2184</v>
      </c>
      <c r="F14472">
        <v>6</v>
      </c>
      <c r="G14472" t="s">
        <v>57</v>
      </c>
      <c r="H14472" t="s">
        <v>46</v>
      </c>
      <c r="I14472" t="s">
        <v>2194</v>
      </c>
      <c r="J14472" s="10">
        <v>26</v>
      </c>
      <c r="K14472" t="b">
        <v>1</v>
      </c>
    </row>
    <row r="14473" spans="1:11">
      <c r="A14473" s="12">
        <v>43449</v>
      </c>
      <c r="B14473">
        <v>2018</v>
      </c>
      <c r="C14473">
        <v>12</v>
      </c>
      <c r="D14473" s="11">
        <v>43435</v>
      </c>
      <c r="E14473" t="s">
        <v>2184</v>
      </c>
      <c r="F14473">
        <v>6</v>
      </c>
      <c r="G14473" t="s">
        <v>57</v>
      </c>
      <c r="H14473" t="s">
        <v>47</v>
      </c>
      <c r="I14473" t="s">
        <v>2195</v>
      </c>
      <c r="J14473" s="10">
        <v>2.3</v>
      </c>
      <c r="K14473" t="b">
        <v>1</v>
      </c>
    </row>
    <row r="14474" spans="1:11">
      <c r="A14474" s="12">
        <v>43450</v>
      </c>
      <c r="B14474">
        <v>2018</v>
      </c>
      <c r="C14474">
        <v>12</v>
      </c>
      <c r="D14474" s="11">
        <v>43435</v>
      </c>
      <c r="E14474" t="s">
        <v>2184</v>
      </c>
      <c r="F14474">
        <v>7</v>
      </c>
      <c r="G14474" t="s">
        <v>59</v>
      </c>
      <c r="H14474" t="s">
        <v>40</v>
      </c>
      <c r="I14474" t="s">
        <v>2188</v>
      </c>
      <c r="J14474" s="10">
        <v>1.33</v>
      </c>
      <c r="K14474" t="b">
        <v>1</v>
      </c>
    </row>
    <row r="14475" spans="1:11">
      <c r="A14475" s="12">
        <v>43450</v>
      </c>
      <c r="B14475">
        <v>2018</v>
      </c>
      <c r="C14475">
        <v>12</v>
      </c>
      <c r="D14475" s="11">
        <v>43435</v>
      </c>
      <c r="E14475" t="s">
        <v>2184</v>
      </c>
      <c r="F14475">
        <v>7</v>
      </c>
      <c r="G14475" t="s">
        <v>59</v>
      </c>
      <c r="H14475" t="s">
        <v>41</v>
      </c>
      <c r="I14475" t="s">
        <v>2189</v>
      </c>
      <c r="J14475" s="10">
        <v>4.32</v>
      </c>
      <c r="K14475" t="b">
        <v>1</v>
      </c>
    </row>
    <row r="14476" spans="1:11">
      <c r="A14476" s="12">
        <v>43450</v>
      </c>
      <c r="B14476">
        <v>2018</v>
      </c>
      <c r="C14476">
        <v>12</v>
      </c>
      <c r="D14476" s="11">
        <v>43435</v>
      </c>
      <c r="E14476" t="s">
        <v>2184</v>
      </c>
      <c r="F14476">
        <v>7</v>
      </c>
      <c r="G14476" t="s">
        <v>59</v>
      </c>
      <c r="H14476" t="s">
        <v>42</v>
      </c>
      <c r="I14476" t="s">
        <v>2190</v>
      </c>
      <c r="J14476" s="10">
        <v>0.2</v>
      </c>
      <c r="K14476" t="b">
        <v>1</v>
      </c>
    </row>
    <row r="14477" spans="1:11">
      <c r="A14477" s="12">
        <v>43450</v>
      </c>
      <c r="B14477">
        <v>2018</v>
      </c>
      <c r="C14477">
        <v>12</v>
      </c>
      <c r="D14477" s="11">
        <v>43435</v>
      </c>
      <c r="E14477" t="s">
        <v>2184</v>
      </c>
      <c r="F14477">
        <v>7</v>
      </c>
      <c r="G14477" t="s">
        <v>59</v>
      </c>
      <c r="H14477" t="s">
        <v>43</v>
      </c>
      <c r="I14477" t="s">
        <v>2191</v>
      </c>
      <c r="J14477" s="10">
        <v>27</v>
      </c>
      <c r="K14477" t="b">
        <v>1</v>
      </c>
    </row>
    <row r="14478" spans="1:11">
      <c r="A14478" s="12">
        <v>43450</v>
      </c>
      <c r="B14478">
        <v>2018</v>
      </c>
      <c r="C14478">
        <v>12</v>
      </c>
      <c r="D14478" s="11">
        <v>43435</v>
      </c>
      <c r="E14478" t="s">
        <v>2184</v>
      </c>
      <c r="F14478">
        <v>7</v>
      </c>
      <c r="G14478" t="s">
        <v>59</v>
      </c>
      <c r="H14478" t="s">
        <v>44</v>
      </c>
      <c r="I14478" t="s">
        <v>2192</v>
      </c>
      <c r="J14478" s="10">
        <v>3</v>
      </c>
      <c r="K14478" t="b">
        <v>1</v>
      </c>
    </row>
    <row r="14479" spans="1:11">
      <c r="A14479" s="12">
        <v>43450</v>
      </c>
      <c r="B14479">
        <v>2018</v>
      </c>
      <c r="C14479">
        <v>12</v>
      </c>
      <c r="D14479" s="11">
        <v>43435</v>
      </c>
      <c r="E14479" t="s">
        <v>2184</v>
      </c>
      <c r="F14479">
        <v>7</v>
      </c>
      <c r="G14479" t="s">
        <v>59</v>
      </c>
      <c r="H14479" t="s">
        <v>45</v>
      </c>
      <c r="I14479" t="s">
        <v>2193</v>
      </c>
      <c r="J14479" s="10">
        <v>0</v>
      </c>
      <c r="K14479" t="b">
        <v>1</v>
      </c>
    </row>
    <row r="14480" spans="1:11">
      <c r="A14480" s="12">
        <v>43450</v>
      </c>
      <c r="B14480">
        <v>2018</v>
      </c>
      <c r="C14480">
        <v>12</v>
      </c>
      <c r="D14480" s="11">
        <v>43435</v>
      </c>
      <c r="E14480" t="s">
        <v>2184</v>
      </c>
      <c r="F14480">
        <v>7</v>
      </c>
      <c r="G14480" t="s">
        <v>59</v>
      </c>
      <c r="H14480" t="s">
        <v>46</v>
      </c>
      <c r="I14480" t="s">
        <v>2194</v>
      </c>
      <c r="J14480" s="10">
        <v>7</v>
      </c>
      <c r="K14480" t="b">
        <v>1</v>
      </c>
    </row>
    <row r="14481" spans="1:11">
      <c r="A14481" s="12">
        <v>43450</v>
      </c>
      <c r="B14481">
        <v>2018</v>
      </c>
      <c r="C14481">
        <v>12</v>
      </c>
      <c r="D14481" s="11">
        <v>43435</v>
      </c>
      <c r="E14481" t="s">
        <v>2184</v>
      </c>
      <c r="F14481">
        <v>7</v>
      </c>
      <c r="G14481" t="s">
        <v>59</v>
      </c>
      <c r="H14481" t="s">
        <v>47</v>
      </c>
      <c r="I14481" t="s">
        <v>2195</v>
      </c>
      <c r="J14481" s="10">
        <v>1</v>
      </c>
      <c r="K14481" t="b">
        <v>1</v>
      </c>
    </row>
    <row r="14482" spans="1:11">
      <c r="A14482" s="12">
        <v>43451</v>
      </c>
      <c r="B14482">
        <v>2018</v>
      </c>
      <c r="C14482">
        <v>12</v>
      </c>
      <c r="D14482" s="11">
        <v>43435</v>
      </c>
      <c r="E14482" t="s">
        <v>2184</v>
      </c>
      <c r="F14482">
        <v>1</v>
      </c>
      <c r="G14482" t="s">
        <v>61</v>
      </c>
      <c r="H14482" t="s">
        <v>40</v>
      </c>
      <c r="I14482" t="s">
        <v>2188</v>
      </c>
      <c r="J14482" s="10">
        <v>6.34</v>
      </c>
      <c r="K14482" t="b">
        <v>1</v>
      </c>
    </row>
    <row r="14483" spans="1:11">
      <c r="A14483" s="12">
        <v>43451</v>
      </c>
      <c r="B14483">
        <v>2018</v>
      </c>
      <c r="C14483">
        <v>12</v>
      </c>
      <c r="D14483" s="11">
        <v>43435</v>
      </c>
      <c r="E14483" t="s">
        <v>2184</v>
      </c>
      <c r="F14483">
        <v>1</v>
      </c>
      <c r="G14483" t="s">
        <v>61</v>
      </c>
      <c r="H14483" t="s">
        <v>41</v>
      </c>
      <c r="I14483" t="s">
        <v>2189</v>
      </c>
      <c r="J14483" s="10">
        <v>2.01</v>
      </c>
      <c r="K14483" t="b">
        <v>1</v>
      </c>
    </row>
    <row r="14484" spans="1:11">
      <c r="A14484" s="12">
        <v>43451</v>
      </c>
      <c r="B14484">
        <v>2018</v>
      </c>
      <c r="C14484">
        <v>12</v>
      </c>
      <c r="D14484" s="11">
        <v>43435</v>
      </c>
      <c r="E14484" t="s">
        <v>2184</v>
      </c>
      <c r="F14484">
        <v>1</v>
      </c>
      <c r="G14484" t="s">
        <v>61</v>
      </c>
      <c r="H14484" t="s">
        <v>42</v>
      </c>
      <c r="I14484" t="s">
        <v>2190</v>
      </c>
      <c r="J14484" s="10">
        <v>5</v>
      </c>
      <c r="K14484" t="b">
        <v>1</v>
      </c>
    </row>
    <row r="14485" spans="1:11">
      <c r="A14485" s="12">
        <v>43451</v>
      </c>
      <c r="B14485">
        <v>2018</v>
      </c>
      <c r="C14485">
        <v>12</v>
      </c>
      <c r="D14485" s="11">
        <v>43435</v>
      </c>
      <c r="E14485" t="s">
        <v>2184</v>
      </c>
      <c r="F14485">
        <v>1</v>
      </c>
      <c r="G14485" t="s">
        <v>61</v>
      </c>
      <c r="H14485" t="s">
        <v>43</v>
      </c>
      <c r="I14485" t="s">
        <v>2191</v>
      </c>
      <c r="J14485" s="10">
        <v>53</v>
      </c>
      <c r="K14485" t="b">
        <v>1</v>
      </c>
    </row>
    <row r="14486" spans="1:11">
      <c r="A14486" s="12">
        <v>43451</v>
      </c>
      <c r="B14486">
        <v>2018</v>
      </c>
      <c r="C14486">
        <v>12</v>
      </c>
      <c r="D14486" s="11">
        <v>43435</v>
      </c>
      <c r="E14486" t="s">
        <v>2184</v>
      </c>
      <c r="F14486">
        <v>1</v>
      </c>
      <c r="G14486" t="s">
        <v>61</v>
      </c>
      <c r="H14486" t="s">
        <v>44</v>
      </c>
      <c r="I14486" t="s">
        <v>2192</v>
      </c>
      <c r="J14486" s="10">
        <v>6</v>
      </c>
      <c r="K14486" t="b">
        <v>1</v>
      </c>
    </row>
    <row r="14487" spans="1:11">
      <c r="A14487" s="12">
        <v>43451</v>
      </c>
      <c r="B14487">
        <v>2018</v>
      </c>
      <c r="C14487">
        <v>12</v>
      </c>
      <c r="D14487" s="11">
        <v>43435</v>
      </c>
      <c r="E14487" t="s">
        <v>2184</v>
      </c>
      <c r="F14487">
        <v>1</v>
      </c>
      <c r="G14487" t="s">
        <v>61</v>
      </c>
      <c r="H14487" t="s">
        <v>45</v>
      </c>
      <c r="I14487" t="s">
        <v>2193</v>
      </c>
      <c r="J14487" s="10">
        <v>1</v>
      </c>
      <c r="K14487" t="b">
        <v>1</v>
      </c>
    </row>
    <row r="14488" spans="1:11">
      <c r="A14488" s="12">
        <v>43451</v>
      </c>
      <c r="B14488">
        <v>2018</v>
      </c>
      <c r="C14488">
        <v>12</v>
      </c>
      <c r="D14488" s="11">
        <v>43435</v>
      </c>
      <c r="E14488" t="s">
        <v>2184</v>
      </c>
      <c r="F14488">
        <v>1</v>
      </c>
      <c r="G14488" t="s">
        <v>61</v>
      </c>
      <c r="H14488" t="s">
        <v>46</v>
      </c>
      <c r="I14488" t="s">
        <v>2194</v>
      </c>
      <c r="J14488" s="10">
        <v>22</v>
      </c>
      <c r="K14488" t="b">
        <v>1</v>
      </c>
    </row>
    <row r="14489" spans="1:11">
      <c r="A14489" s="12">
        <v>43451</v>
      </c>
      <c r="B14489">
        <v>2018</v>
      </c>
      <c r="C14489">
        <v>12</v>
      </c>
      <c r="D14489" s="11">
        <v>43435</v>
      </c>
      <c r="E14489" t="s">
        <v>2184</v>
      </c>
      <c r="F14489">
        <v>1</v>
      </c>
      <c r="G14489" t="s">
        <v>61</v>
      </c>
      <c r="H14489" t="s">
        <v>47</v>
      </c>
      <c r="I14489" t="s">
        <v>2195</v>
      </c>
      <c r="J14489" s="10">
        <v>2</v>
      </c>
      <c r="K14489" t="b">
        <v>1</v>
      </c>
    </row>
    <row r="14490" spans="1:11">
      <c r="A14490" s="12">
        <v>43452</v>
      </c>
      <c r="B14490">
        <v>2018</v>
      </c>
      <c r="C14490">
        <v>12</v>
      </c>
      <c r="D14490" s="11">
        <v>43435</v>
      </c>
      <c r="E14490" t="s">
        <v>2184</v>
      </c>
      <c r="F14490">
        <v>2</v>
      </c>
      <c r="G14490" t="s">
        <v>63</v>
      </c>
      <c r="H14490" t="s">
        <v>40</v>
      </c>
      <c r="I14490" t="s">
        <v>2188</v>
      </c>
      <c r="J14490" s="10">
        <v>0.33</v>
      </c>
      <c r="K14490" t="b">
        <v>1</v>
      </c>
    </row>
    <row r="14491" spans="1:11">
      <c r="A14491" s="12">
        <v>43452</v>
      </c>
      <c r="B14491">
        <v>2018</v>
      </c>
      <c r="C14491">
        <v>12</v>
      </c>
      <c r="D14491" s="11">
        <v>43435</v>
      </c>
      <c r="E14491" t="s">
        <v>2184</v>
      </c>
      <c r="F14491">
        <v>2</v>
      </c>
      <c r="G14491" t="s">
        <v>63</v>
      </c>
      <c r="H14491" t="s">
        <v>41</v>
      </c>
      <c r="I14491" t="s">
        <v>2189</v>
      </c>
      <c r="J14491" s="10">
        <v>2.473</v>
      </c>
      <c r="K14491" t="b">
        <v>1</v>
      </c>
    </row>
    <row r="14492" spans="1:11">
      <c r="A14492" s="12">
        <v>43452</v>
      </c>
      <c r="B14492">
        <v>2018</v>
      </c>
      <c r="C14492">
        <v>12</v>
      </c>
      <c r="D14492" s="11">
        <v>43435</v>
      </c>
      <c r="E14492" t="s">
        <v>2184</v>
      </c>
      <c r="F14492">
        <v>2</v>
      </c>
      <c r="G14492" t="s">
        <v>63</v>
      </c>
      <c r="H14492" t="s">
        <v>42</v>
      </c>
      <c r="I14492" t="s">
        <v>2190</v>
      </c>
      <c r="J14492" s="10">
        <v>1</v>
      </c>
      <c r="K14492" t="b">
        <v>1</v>
      </c>
    </row>
    <row r="14493" spans="1:11">
      <c r="A14493" s="12">
        <v>43452</v>
      </c>
      <c r="B14493">
        <v>2018</v>
      </c>
      <c r="C14493">
        <v>12</v>
      </c>
      <c r="D14493" s="11">
        <v>43435</v>
      </c>
      <c r="E14493" t="s">
        <v>2184</v>
      </c>
      <c r="F14493">
        <v>2</v>
      </c>
      <c r="G14493" t="s">
        <v>63</v>
      </c>
      <c r="H14493" t="s">
        <v>43</v>
      </c>
      <c r="I14493" t="s">
        <v>2191</v>
      </c>
      <c r="J14493" s="10">
        <v>34.5</v>
      </c>
      <c r="K14493" t="b">
        <v>1</v>
      </c>
    </row>
    <row r="14494" spans="1:11">
      <c r="A14494" s="12">
        <v>43452</v>
      </c>
      <c r="B14494">
        <v>2018</v>
      </c>
      <c r="C14494">
        <v>12</v>
      </c>
      <c r="D14494" s="11">
        <v>43435</v>
      </c>
      <c r="E14494" t="s">
        <v>2184</v>
      </c>
      <c r="F14494">
        <v>2</v>
      </c>
      <c r="G14494" t="s">
        <v>63</v>
      </c>
      <c r="H14494" t="s">
        <v>44</v>
      </c>
      <c r="I14494" t="s">
        <v>2192</v>
      </c>
      <c r="J14494" s="10">
        <v>12</v>
      </c>
      <c r="K14494" t="b">
        <v>1</v>
      </c>
    </row>
    <row r="14495" spans="1:11">
      <c r="A14495" s="12">
        <v>43452</v>
      </c>
      <c r="B14495">
        <v>2018</v>
      </c>
      <c r="C14495">
        <v>12</v>
      </c>
      <c r="D14495" s="11">
        <v>43435</v>
      </c>
      <c r="E14495" t="s">
        <v>2184</v>
      </c>
      <c r="F14495">
        <v>2</v>
      </c>
      <c r="G14495" t="s">
        <v>63</v>
      </c>
      <c r="H14495" t="s">
        <v>45</v>
      </c>
      <c r="I14495" t="s">
        <v>2193</v>
      </c>
      <c r="J14495" s="10">
        <v>3</v>
      </c>
      <c r="K14495" t="b">
        <v>1</v>
      </c>
    </row>
    <row r="14496" spans="1:11">
      <c r="A14496" s="12">
        <v>43452</v>
      </c>
      <c r="B14496">
        <v>2018</v>
      </c>
      <c r="C14496">
        <v>12</v>
      </c>
      <c r="D14496" s="11">
        <v>43435</v>
      </c>
      <c r="E14496" t="s">
        <v>2184</v>
      </c>
      <c r="F14496">
        <v>2</v>
      </c>
      <c r="G14496" t="s">
        <v>63</v>
      </c>
      <c r="H14496" t="s">
        <v>46</v>
      </c>
      <c r="I14496" t="s">
        <v>2194</v>
      </c>
      <c r="J14496" s="10">
        <v>9</v>
      </c>
      <c r="K14496" t="b">
        <v>1</v>
      </c>
    </row>
    <row r="14497" spans="1:11">
      <c r="A14497" s="12">
        <v>43452</v>
      </c>
      <c r="B14497">
        <v>2018</v>
      </c>
      <c r="C14497">
        <v>12</v>
      </c>
      <c r="D14497" s="11">
        <v>43435</v>
      </c>
      <c r="E14497" t="s">
        <v>2184</v>
      </c>
      <c r="F14497">
        <v>2</v>
      </c>
      <c r="G14497" t="s">
        <v>63</v>
      </c>
      <c r="H14497" t="s">
        <v>47</v>
      </c>
      <c r="I14497" t="s">
        <v>2195</v>
      </c>
      <c r="J14497" s="10">
        <v>2</v>
      </c>
      <c r="K14497" t="b">
        <v>1</v>
      </c>
    </row>
    <row r="14498" spans="1:11">
      <c r="A14498" s="12">
        <v>43453</v>
      </c>
      <c r="B14498">
        <v>2018</v>
      </c>
      <c r="C14498">
        <v>12</v>
      </c>
      <c r="D14498" s="11">
        <v>43435</v>
      </c>
      <c r="E14498" t="s">
        <v>2184</v>
      </c>
      <c r="F14498">
        <v>3</v>
      </c>
      <c r="G14498" t="s">
        <v>65</v>
      </c>
      <c r="H14498" t="s">
        <v>40</v>
      </c>
      <c r="I14498" t="s">
        <v>2188</v>
      </c>
      <c r="J14498" s="10">
        <v>0</v>
      </c>
      <c r="K14498" t="b">
        <v>1</v>
      </c>
    </row>
    <row r="14499" spans="1:11">
      <c r="A14499" s="12">
        <v>43453</v>
      </c>
      <c r="B14499">
        <v>2018</v>
      </c>
      <c r="C14499">
        <v>12</v>
      </c>
      <c r="D14499" s="11">
        <v>43435</v>
      </c>
      <c r="E14499" t="s">
        <v>2184</v>
      </c>
      <c r="F14499">
        <v>3</v>
      </c>
      <c r="G14499" t="s">
        <v>65</v>
      </c>
      <c r="H14499" t="s">
        <v>41</v>
      </c>
      <c r="I14499" t="s">
        <v>2189</v>
      </c>
      <c r="J14499" s="10">
        <v>0</v>
      </c>
      <c r="K14499" t="b">
        <v>1</v>
      </c>
    </row>
    <row r="14500" spans="1:11">
      <c r="A14500" s="12">
        <v>43453</v>
      </c>
      <c r="B14500">
        <v>2018</v>
      </c>
      <c r="C14500">
        <v>12</v>
      </c>
      <c r="D14500" s="11">
        <v>43435</v>
      </c>
      <c r="E14500" t="s">
        <v>2184</v>
      </c>
      <c r="F14500">
        <v>3</v>
      </c>
      <c r="G14500" t="s">
        <v>65</v>
      </c>
      <c r="H14500" t="s">
        <v>42</v>
      </c>
      <c r="I14500" t="s">
        <v>2190</v>
      </c>
      <c r="J14500" s="10">
        <v>0</v>
      </c>
      <c r="K14500" t="b">
        <v>1</v>
      </c>
    </row>
    <row r="14501" spans="1:11">
      <c r="A14501" s="12">
        <v>43453</v>
      </c>
      <c r="B14501">
        <v>2018</v>
      </c>
      <c r="C14501">
        <v>12</v>
      </c>
      <c r="D14501" s="11">
        <v>43435</v>
      </c>
      <c r="E14501" t="s">
        <v>2184</v>
      </c>
      <c r="F14501">
        <v>3</v>
      </c>
      <c r="G14501" t="s">
        <v>65</v>
      </c>
      <c r="H14501" t="s">
        <v>43</v>
      </c>
      <c r="I14501" t="s">
        <v>2191</v>
      </c>
      <c r="J14501" s="10">
        <v>0</v>
      </c>
      <c r="K14501" t="b">
        <v>1</v>
      </c>
    </row>
    <row r="14502" spans="1:11">
      <c r="A14502" s="12">
        <v>43453</v>
      </c>
      <c r="B14502">
        <v>2018</v>
      </c>
      <c r="C14502">
        <v>12</v>
      </c>
      <c r="D14502" s="11">
        <v>43435</v>
      </c>
      <c r="E14502" t="s">
        <v>2184</v>
      </c>
      <c r="F14502">
        <v>3</v>
      </c>
      <c r="G14502" t="s">
        <v>65</v>
      </c>
      <c r="H14502" t="s">
        <v>44</v>
      </c>
      <c r="I14502" t="s">
        <v>2192</v>
      </c>
      <c r="J14502" s="10">
        <v>0</v>
      </c>
      <c r="K14502" t="b">
        <v>1</v>
      </c>
    </row>
    <row r="14503" spans="1:11">
      <c r="A14503" s="12">
        <v>43453</v>
      </c>
      <c r="B14503">
        <v>2018</v>
      </c>
      <c r="C14503">
        <v>12</v>
      </c>
      <c r="D14503" s="11">
        <v>43435</v>
      </c>
      <c r="E14503" t="s">
        <v>2184</v>
      </c>
      <c r="F14503">
        <v>3</v>
      </c>
      <c r="G14503" t="s">
        <v>65</v>
      </c>
      <c r="H14503" t="s">
        <v>45</v>
      </c>
      <c r="I14503" t="s">
        <v>2193</v>
      </c>
      <c r="J14503" s="10">
        <v>0</v>
      </c>
      <c r="K14503" t="b">
        <v>1</v>
      </c>
    </row>
    <row r="14504" spans="1:11">
      <c r="A14504" s="12">
        <v>43453</v>
      </c>
      <c r="B14504">
        <v>2018</v>
      </c>
      <c r="C14504">
        <v>12</v>
      </c>
      <c r="D14504" s="11">
        <v>43435</v>
      </c>
      <c r="E14504" t="s">
        <v>2184</v>
      </c>
      <c r="F14504">
        <v>3</v>
      </c>
      <c r="G14504" t="s">
        <v>65</v>
      </c>
      <c r="H14504" t="s">
        <v>46</v>
      </c>
      <c r="I14504" t="s">
        <v>2194</v>
      </c>
      <c r="J14504" s="10">
        <v>0</v>
      </c>
      <c r="K14504" t="b">
        <v>1</v>
      </c>
    </row>
    <row r="14505" spans="1:11">
      <c r="A14505" s="12">
        <v>43453</v>
      </c>
      <c r="B14505">
        <v>2018</v>
      </c>
      <c r="C14505">
        <v>12</v>
      </c>
      <c r="D14505" s="11">
        <v>43435</v>
      </c>
      <c r="E14505" t="s">
        <v>2184</v>
      </c>
      <c r="F14505">
        <v>3</v>
      </c>
      <c r="G14505" t="s">
        <v>65</v>
      </c>
      <c r="H14505" t="s">
        <v>47</v>
      </c>
      <c r="I14505" t="s">
        <v>2195</v>
      </c>
      <c r="J14505" s="10">
        <v>0</v>
      </c>
      <c r="K14505" t="b">
        <v>1</v>
      </c>
    </row>
    <row r="14506" spans="1:11">
      <c r="A14506" s="12">
        <v>43454</v>
      </c>
      <c r="B14506">
        <v>2018</v>
      </c>
      <c r="C14506">
        <v>12</v>
      </c>
      <c r="D14506" s="11">
        <v>43435</v>
      </c>
      <c r="E14506" t="s">
        <v>2184</v>
      </c>
      <c r="F14506">
        <v>4</v>
      </c>
      <c r="G14506" t="s">
        <v>53</v>
      </c>
      <c r="H14506" t="s">
        <v>40</v>
      </c>
      <c r="I14506" t="s">
        <v>2188</v>
      </c>
      <c r="J14506" s="10">
        <v>8.34</v>
      </c>
      <c r="K14506" t="b">
        <v>1</v>
      </c>
    </row>
    <row r="14507" spans="1:11">
      <c r="A14507" s="12">
        <v>43454</v>
      </c>
      <c r="B14507">
        <v>2018</v>
      </c>
      <c r="C14507">
        <v>12</v>
      </c>
      <c r="D14507" s="11">
        <v>43435</v>
      </c>
      <c r="E14507" t="s">
        <v>2184</v>
      </c>
      <c r="F14507">
        <v>4</v>
      </c>
      <c r="G14507" t="s">
        <v>53</v>
      </c>
      <c r="H14507" t="s">
        <v>41</v>
      </c>
      <c r="I14507" t="s">
        <v>2189</v>
      </c>
      <c r="J14507" s="10">
        <v>1.66</v>
      </c>
      <c r="K14507" t="b">
        <v>1</v>
      </c>
    </row>
    <row r="14508" spans="1:11">
      <c r="A14508" s="12">
        <v>43454</v>
      </c>
      <c r="B14508">
        <v>2018</v>
      </c>
      <c r="C14508">
        <v>12</v>
      </c>
      <c r="D14508" s="11">
        <v>43435</v>
      </c>
      <c r="E14508" t="s">
        <v>2184</v>
      </c>
      <c r="F14508">
        <v>4</v>
      </c>
      <c r="G14508" t="s">
        <v>53</v>
      </c>
      <c r="H14508" t="s">
        <v>42</v>
      </c>
      <c r="I14508" t="s">
        <v>2190</v>
      </c>
      <c r="J14508" s="10">
        <v>1</v>
      </c>
      <c r="K14508" t="b">
        <v>1</v>
      </c>
    </row>
    <row r="14509" spans="1:11">
      <c r="A14509" s="12">
        <v>43454</v>
      </c>
      <c r="B14509">
        <v>2018</v>
      </c>
      <c r="C14509">
        <v>12</v>
      </c>
      <c r="D14509" s="11">
        <v>43435</v>
      </c>
      <c r="E14509" t="s">
        <v>2184</v>
      </c>
      <c r="F14509">
        <v>4</v>
      </c>
      <c r="G14509" t="s">
        <v>53</v>
      </c>
      <c r="H14509" t="s">
        <v>43</v>
      </c>
      <c r="I14509" t="s">
        <v>2191</v>
      </c>
      <c r="J14509" s="10">
        <v>27</v>
      </c>
      <c r="K14509" t="b">
        <v>1</v>
      </c>
    </row>
    <row r="14510" spans="1:11">
      <c r="A14510" s="12">
        <v>43454</v>
      </c>
      <c r="B14510">
        <v>2018</v>
      </c>
      <c r="C14510">
        <v>12</v>
      </c>
      <c r="D14510" s="11">
        <v>43435</v>
      </c>
      <c r="E14510" t="s">
        <v>2184</v>
      </c>
      <c r="F14510">
        <v>4</v>
      </c>
      <c r="G14510" t="s">
        <v>53</v>
      </c>
      <c r="H14510" t="s">
        <v>44</v>
      </c>
      <c r="I14510" t="s">
        <v>2192</v>
      </c>
      <c r="J14510" s="10">
        <v>12</v>
      </c>
      <c r="K14510" t="b">
        <v>1</v>
      </c>
    </row>
    <row r="14511" spans="1:11">
      <c r="A14511" s="12">
        <v>43454</v>
      </c>
      <c r="B14511">
        <v>2018</v>
      </c>
      <c r="C14511">
        <v>12</v>
      </c>
      <c r="D14511" s="11">
        <v>43435</v>
      </c>
      <c r="E14511" t="s">
        <v>2184</v>
      </c>
      <c r="F14511">
        <v>4</v>
      </c>
      <c r="G14511" t="s">
        <v>53</v>
      </c>
      <c r="H14511" t="s">
        <v>45</v>
      </c>
      <c r="I14511" t="s">
        <v>2193</v>
      </c>
      <c r="J14511" s="10">
        <v>3</v>
      </c>
      <c r="K14511" t="b">
        <v>1</v>
      </c>
    </row>
    <row r="14512" spans="1:11">
      <c r="A14512" s="12">
        <v>43454</v>
      </c>
      <c r="B14512">
        <v>2018</v>
      </c>
      <c r="C14512">
        <v>12</v>
      </c>
      <c r="D14512" s="11">
        <v>43435</v>
      </c>
      <c r="E14512" t="s">
        <v>2184</v>
      </c>
      <c r="F14512">
        <v>4</v>
      </c>
      <c r="G14512" t="s">
        <v>53</v>
      </c>
      <c r="H14512" t="s">
        <v>46</v>
      </c>
      <c r="I14512" t="s">
        <v>2194</v>
      </c>
      <c r="J14512" s="10">
        <v>1</v>
      </c>
      <c r="K14512" t="b">
        <v>1</v>
      </c>
    </row>
    <row r="14513" spans="1:11">
      <c r="A14513" s="12">
        <v>43454</v>
      </c>
      <c r="B14513">
        <v>2018</v>
      </c>
      <c r="C14513">
        <v>12</v>
      </c>
      <c r="D14513" s="11">
        <v>43435</v>
      </c>
      <c r="E14513" t="s">
        <v>2184</v>
      </c>
      <c r="F14513">
        <v>4</v>
      </c>
      <c r="G14513" t="s">
        <v>53</v>
      </c>
      <c r="H14513" t="s">
        <v>47</v>
      </c>
      <c r="I14513" t="s">
        <v>2195</v>
      </c>
      <c r="J14513" s="10">
        <v>0</v>
      </c>
      <c r="K14513" t="b">
        <v>1</v>
      </c>
    </row>
    <row r="14514" spans="1:11">
      <c r="A14514" s="12">
        <v>43455</v>
      </c>
      <c r="B14514">
        <v>2018</v>
      </c>
      <c r="C14514">
        <v>12</v>
      </c>
      <c r="D14514" s="11">
        <v>43435</v>
      </c>
      <c r="E14514" t="s">
        <v>2184</v>
      </c>
      <c r="F14514">
        <v>5</v>
      </c>
      <c r="G14514" t="s">
        <v>55</v>
      </c>
      <c r="H14514" t="s">
        <v>40</v>
      </c>
      <c r="I14514" t="s">
        <v>2188</v>
      </c>
      <c r="J14514" s="10">
        <v>2</v>
      </c>
      <c r="K14514" t="b">
        <v>1</v>
      </c>
    </row>
    <row r="14515" spans="1:11">
      <c r="A14515" s="12">
        <v>43455</v>
      </c>
      <c r="B14515">
        <v>2018</v>
      </c>
      <c r="C14515">
        <v>12</v>
      </c>
      <c r="D14515" s="11">
        <v>43435</v>
      </c>
      <c r="E14515" t="s">
        <v>2184</v>
      </c>
      <c r="F14515">
        <v>5</v>
      </c>
      <c r="G14515" t="s">
        <v>55</v>
      </c>
      <c r="H14515" t="s">
        <v>41</v>
      </c>
      <c r="I14515" t="s">
        <v>2189</v>
      </c>
      <c r="J14515" s="10">
        <v>1.35</v>
      </c>
      <c r="K14515" t="b">
        <v>1</v>
      </c>
    </row>
    <row r="14516" spans="1:11">
      <c r="A14516" s="12">
        <v>43455</v>
      </c>
      <c r="B14516">
        <v>2018</v>
      </c>
      <c r="C14516">
        <v>12</v>
      </c>
      <c r="D14516" s="11">
        <v>43435</v>
      </c>
      <c r="E14516" t="s">
        <v>2184</v>
      </c>
      <c r="F14516">
        <v>5</v>
      </c>
      <c r="G14516" t="s">
        <v>55</v>
      </c>
      <c r="H14516" t="s">
        <v>42</v>
      </c>
      <c r="I14516" t="s">
        <v>2190</v>
      </c>
      <c r="J14516" s="10">
        <v>0</v>
      </c>
      <c r="K14516" t="b">
        <v>1</v>
      </c>
    </row>
    <row r="14517" spans="1:11">
      <c r="A14517" s="12">
        <v>43455</v>
      </c>
      <c r="B14517">
        <v>2018</v>
      </c>
      <c r="C14517">
        <v>12</v>
      </c>
      <c r="D14517" s="11">
        <v>43435</v>
      </c>
      <c r="E14517" t="s">
        <v>2184</v>
      </c>
      <c r="F14517">
        <v>5</v>
      </c>
      <c r="G14517" t="s">
        <v>55</v>
      </c>
      <c r="H14517" t="s">
        <v>43</v>
      </c>
      <c r="I14517" t="s">
        <v>2191</v>
      </c>
      <c r="J14517" s="10">
        <v>35</v>
      </c>
      <c r="K14517" t="b">
        <v>1</v>
      </c>
    </row>
    <row r="14518" spans="1:11">
      <c r="A14518" s="12">
        <v>43455</v>
      </c>
      <c r="B14518">
        <v>2018</v>
      </c>
      <c r="C14518">
        <v>12</v>
      </c>
      <c r="D14518" s="11">
        <v>43435</v>
      </c>
      <c r="E14518" t="s">
        <v>2184</v>
      </c>
      <c r="F14518">
        <v>5</v>
      </c>
      <c r="G14518" t="s">
        <v>55</v>
      </c>
      <c r="H14518" t="s">
        <v>44</v>
      </c>
      <c r="I14518" t="s">
        <v>2192</v>
      </c>
      <c r="J14518" s="10">
        <v>12</v>
      </c>
      <c r="K14518" t="b">
        <v>1</v>
      </c>
    </row>
    <row r="14519" spans="1:11">
      <c r="A14519" s="12">
        <v>43455</v>
      </c>
      <c r="B14519">
        <v>2018</v>
      </c>
      <c r="C14519">
        <v>12</v>
      </c>
      <c r="D14519" s="11">
        <v>43435</v>
      </c>
      <c r="E14519" t="s">
        <v>2184</v>
      </c>
      <c r="F14519">
        <v>5</v>
      </c>
      <c r="G14519" t="s">
        <v>55</v>
      </c>
      <c r="H14519" t="s">
        <v>45</v>
      </c>
      <c r="I14519" t="s">
        <v>2193</v>
      </c>
      <c r="J14519" s="10">
        <v>1</v>
      </c>
      <c r="K14519" t="b">
        <v>1</v>
      </c>
    </row>
    <row r="14520" spans="1:11">
      <c r="A14520" s="12">
        <v>43455</v>
      </c>
      <c r="B14520">
        <v>2018</v>
      </c>
      <c r="C14520">
        <v>12</v>
      </c>
      <c r="D14520" s="11">
        <v>43435</v>
      </c>
      <c r="E14520" t="s">
        <v>2184</v>
      </c>
      <c r="F14520">
        <v>5</v>
      </c>
      <c r="G14520" t="s">
        <v>55</v>
      </c>
      <c r="H14520" t="s">
        <v>46</v>
      </c>
      <c r="I14520" t="s">
        <v>2194</v>
      </c>
      <c r="J14520" s="10">
        <v>13</v>
      </c>
      <c r="K14520" t="b">
        <v>1</v>
      </c>
    </row>
    <row r="14521" spans="1:11">
      <c r="A14521" s="12">
        <v>43455</v>
      </c>
      <c r="B14521">
        <v>2018</v>
      </c>
      <c r="C14521">
        <v>12</v>
      </c>
      <c r="D14521" s="11">
        <v>43435</v>
      </c>
      <c r="E14521" t="s">
        <v>2184</v>
      </c>
      <c r="F14521">
        <v>5</v>
      </c>
      <c r="G14521" t="s">
        <v>55</v>
      </c>
      <c r="H14521" t="s">
        <v>47</v>
      </c>
      <c r="I14521" t="s">
        <v>2195</v>
      </c>
      <c r="J14521" s="10">
        <v>1</v>
      </c>
      <c r="K14521" t="b">
        <v>1</v>
      </c>
    </row>
    <row r="14522" spans="1:11">
      <c r="A14522" s="12">
        <v>43456</v>
      </c>
      <c r="B14522">
        <v>2018</v>
      </c>
      <c r="C14522">
        <v>12</v>
      </c>
      <c r="D14522" s="11">
        <v>43435</v>
      </c>
      <c r="E14522" t="s">
        <v>2184</v>
      </c>
      <c r="F14522">
        <v>6</v>
      </c>
      <c r="G14522" t="s">
        <v>57</v>
      </c>
      <c r="H14522" t="s">
        <v>40</v>
      </c>
      <c r="I14522" t="s">
        <v>2188</v>
      </c>
      <c r="J14522" s="10">
        <v>8.34</v>
      </c>
      <c r="K14522" t="b">
        <v>1</v>
      </c>
    </row>
    <row r="14523" spans="1:11">
      <c r="A14523" s="12">
        <v>43456</v>
      </c>
      <c r="B14523">
        <v>2018</v>
      </c>
      <c r="C14523">
        <v>12</v>
      </c>
      <c r="D14523" s="11">
        <v>43435</v>
      </c>
      <c r="E14523" t="s">
        <v>2184</v>
      </c>
      <c r="F14523">
        <v>6</v>
      </c>
      <c r="G14523" t="s">
        <v>57</v>
      </c>
      <c r="H14523" t="s">
        <v>41</v>
      </c>
      <c r="I14523" t="s">
        <v>2189</v>
      </c>
      <c r="J14523" s="10">
        <v>3.34</v>
      </c>
      <c r="K14523" t="b">
        <v>1</v>
      </c>
    </row>
    <row r="14524" spans="1:11">
      <c r="A14524" s="12">
        <v>43456</v>
      </c>
      <c r="B14524">
        <v>2018</v>
      </c>
      <c r="C14524">
        <v>12</v>
      </c>
      <c r="D14524" s="11">
        <v>43435</v>
      </c>
      <c r="E14524" t="s">
        <v>2184</v>
      </c>
      <c r="F14524">
        <v>6</v>
      </c>
      <c r="G14524" t="s">
        <v>57</v>
      </c>
      <c r="H14524" t="s">
        <v>42</v>
      </c>
      <c r="I14524" t="s">
        <v>2190</v>
      </c>
      <c r="J14524" s="10">
        <v>4.5</v>
      </c>
      <c r="K14524" t="b">
        <v>1</v>
      </c>
    </row>
    <row r="14525" spans="1:11">
      <c r="A14525" s="12">
        <v>43456</v>
      </c>
      <c r="B14525">
        <v>2018</v>
      </c>
      <c r="C14525">
        <v>12</v>
      </c>
      <c r="D14525" s="11">
        <v>43435</v>
      </c>
      <c r="E14525" t="s">
        <v>2184</v>
      </c>
      <c r="F14525">
        <v>6</v>
      </c>
      <c r="G14525" t="s">
        <v>57</v>
      </c>
      <c r="H14525" t="s">
        <v>43</v>
      </c>
      <c r="I14525" t="s">
        <v>2191</v>
      </c>
      <c r="J14525" s="10">
        <v>43.4</v>
      </c>
      <c r="K14525" t="b">
        <v>1</v>
      </c>
    </row>
    <row r="14526" spans="1:11">
      <c r="A14526" s="12">
        <v>43456</v>
      </c>
      <c r="B14526">
        <v>2018</v>
      </c>
      <c r="C14526">
        <v>12</v>
      </c>
      <c r="D14526" s="11">
        <v>43435</v>
      </c>
      <c r="E14526" t="s">
        <v>2184</v>
      </c>
      <c r="F14526">
        <v>6</v>
      </c>
      <c r="G14526" t="s">
        <v>57</v>
      </c>
      <c r="H14526" t="s">
        <v>44</v>
      </c>
      <c r="I14526" t="s">
        <v>2192</v>
      </c>
      <c r="J14526" s="10">
        <v>3</v>
      </c>
      <c r="K14526" t="b">
        <v>1</v>
      </c>
    </row>
    <row r="14527" spans="1:11">
      <c r="A14527" s="12">
        <v>43456</v>
      </c>
      <c r="B14527">
        <v>2018</v>
      </c>
      <c r="C14527">
        <v>12</v>
      </c>
      <c r="D14527" s="11">
        <v>43435</v>
      </c>
      <c r="E14527" t="s">
        <v>2184</v>
      </c>
      <c r="F14527">
        <v>6</v>
      </c>
      <c r="G14527" t="s">
        <v>57</v>
      </c>
      <c r="H14527" t="s">
        <v>45</v>
      </c>
      <c r="I14527" t="s">
        <v>2193</v>
      </c>
      <c r="J14527" s="10">
        <v>1</v>
      </c>
      <c r="K14527" t="b">
        <v>1</v>
      </c>
    </row>
    <row r="14528" spans="1:11">
      <c r="A14528" s="12">
        <v>43456</v>
      </c>
      <c r="B14528">
        <v>2018</v>
      </c>
      <c r="C14528">
        <v>12</v>
      </c>
      <c r="D14528" s="11">
        <v>43435</v>
      </c>
      <c r="E14528" t="s">
        <v>2184</v>
      </c>
      <c r="F14528">
        <v>6</v>
      </c>
      <c r="G14528" t="s">
        <v>57</v>
      </c>
      <c r="H14528" t="s">
        <v>46</v>
      </c>
      <c r="I14528" t="s">
        <v>2194</v>
      </c>
      <c r="J14528" s="10">
        <v>0</v>
      </c>
      <c r="K14528" t="b">
        <v>1</v>
      </c>
    </row>
    <row r="14529" spans="1:11">
      <c r="A14529" s="12">
        <v>43456</v>
      </c>
      <c r="B14529">
        <v>2018</v>
      </c>
      <c r="C14529">
        <v>12</v>
      </c>
      <c r="D14529" s="11">
        <v>43435</v>
      </c>
      <c r="E14529" t="s">
        <v>2184</v>
      </c>
      <c r="F14529">
        <v>6</v>
      </c>
      <c r="G14529" t="s">
        <v>57</v>
      </c>
      <c r="H14529" t="s">
        <v>47</v>
      </c>
      <c r="I14529" t="s">
        <v>2195</v>
      </c>
      <c r="J14529" s="10">
        <v>0</v>
      </c>
      <c r="K14529" t="b">
        <v>1</v>
      </c>
    </row>
    <row r="14530" spans="1:11">
      <c r="A14530" s="12">
        <v>43457</v>
      </c>
      <c r="B14530">
        <v>2018</v>
      </c>
      <c r="C14530">
        <v>12</v>
      </c>
      <c r="D14530" s="11">
        <v>43435</v>
      </c>
      <c r="E14530" t="s">
        <v>2184</v>
      </c>
      <c r="F14530">
        <v>7</v>
      </c>
      <c r="G14530" t="s">
        <v>59</v>
      </c>
      <c r="H14530" t="s">
        <v>40</v>
      </c>
      <c r="I14530" t="s">
        <v>2188</v>
      </c>
      <c r="J14530" s="10">
        <v>12.33</v>
      </c>
      <c r="K14530" t="b">
        <v>1</v>
      </c>
    </row>
    <row r="14531" spans="1:11">
      <c r="A14531" s="12">
        <v>43457</v>
      </c>
      <c r="B14531">
        <v>2018</v>
      </c>
      <c r="C14531">
        <v>12</v>
      </c>
      <c r="D14531" s="11">
        <v>43435</v>
      </c>
      <c r="E14531" t="s">
        <v>2184</v>
      </c>
      <c r="F14531">
        <v>7</v>
      </c>
      <c r="G14531" t="s">
        <v>59</v>
      </c>
      <c r="H14531" t="s">
        <v>41</v>
      </c>
      <c r="I14531" t="s">
        <v>2189</v>
      </c>
      <c r="J14531" s="10">
        <v>6.406</v>
      </c>
      <c r="K14531" t="b">
        <v>1</v>
      </c>
    </row>
    <row r="14532" spans="1:11">
      <c r="A14532" s="12">
        <v>43457</v>
      </c>
      <c r="B14532">
        <v>2018</v>
      </c>
      <c r="C14532">
        <v>12</v>
      </c>
      <c r="D14532" s="11">
        <v>43435</v>
      </c>
      <c r="E14532" t="s">
        <v>2184</v>
      </c>
      <c r="F14532">
        <v>7</v>
      </c>
      <c r="G14532" t="s">
        <v>59</v>
      </c>
      <c r="H14532" t="s">
        <v>42</v>
      </c>
      <c r="I14532" t="s">
        <v>2190</v>
      </c>
      <c r="J14532" s="10">
        <v>2.3</v>
      </c>
      <c r="K14532" t="b">
        <v>1</v>
      </c>
    </row>
    <row r="14533" spans="1:11">
      <c r="A14533" s="12">
        <v>43457</v>
      </c>
      <c r="B14533">
        <v>2018</v>
      </c>
      <c r="C14533">
        <v>12</v>
      </c>
      <c r="D14533" s="11">
        <v>43435</v>
      </c>
      <c r="E14533" t="s">
        <v>2184</v>
      </c>
      <c r="F14533">
        <v>7</v>
      </c>
      <c r="G14533" t="s">
        <v>59</v>
      </c>
      <c r="H14533" t="s">
        <v>43</v>
      </c>
      <c r="I14533" t="s">
        <v>2191</v>
      </c>
      <c r="J14533" s="10">
        <v>47.7</v>
      </c>
      <c r="K14533" t="b">
        <v>1</v>
      </c>
    </row>
    <row r="14534" spans="1:11">
      <c r="A14534" s="12">
        <v>43457</v>
      </c>
      <c r="B14534">
        <v>2018</v>
      </c>
      <c r="C14534">
        <v>12</v>
      </c>
      <c r="D14534" s="11">
        <v>43435</v>
      </c>
      <c r="E14534" t="s">
        <v>2184</v>
      </c>
      <c r="F14534">
        <v>7</v>
      </c>
      <c r="G14534" t="s">
        <v>59</v>
      </c>
      <c r="H14534" t="s">
        <v>44</v>
      </c>
      <c r="I14534" t="s">
        <v>2192</v>
      </c>
      <c r="J14534" s="10">
        <v>8</v>
      </c>
      <c r="K14534" t="b">
        <v>1</v>
      </c>
    </row>
    <row r="14535" spans="1:11">
      <c r="A14535" s="12">
        <v>43457</v>
      </c>
      <c r="B14535">
        <v>2018</v>
      </c>
      <c r="C14535">
        <v>12</v>
      </c>
      <c r="D14535" s="11">
        <v>43435</v>
      </c>
      <c r="E14535" t="s">
        <v>2184</v>
      </c>
      <c r="F14535">
        <v>7</v>
      </c>
      <c r="G14535" t="s">
        <v>59</v>
      </c>
      <c r="H14535" t="s">
        <v>45</v>
      </c>
      <c r="I14535" t="s">
        <v>2193</v>
      </c>
      <c r="J14535" s="10">
        <v>0</v>
      </c>
      <c r="K14535" t="b">
        <v>1</v>
      </c>
    </row>
    <row r="14536" spans="1:11">
      <c r="A14536" s="12">
        <v>43457</v>
      </c>
      <c r="B14536">
        <v>2018</v>
      </c>
      <c r="C14536">
        <v>12</v>
      </c>
      <c r="D14536" s="11">
        <v>43435</v>
      </c>
      <c r="E14536" t="s">
        <v>2184</v>
      </c>
      <c r="F14536">
        <v>7</v>
      </c>
      <c r="G14536" t="s">
        <v>59</v>
      </c>
      <c r="H14536" t="s">
        <v>46</v>
      </c>
      <c r="I14536" t="s">
        <v>2194</v>
      </c>
      <c r="J14536" s="10">
        <v>13</v>
      </c>
      <c r="K14536" t="b">
        <v>1</v>
      </c>
    </row>
    <row r="14537" spans="1:11">
      <c r="A14537" s="12">
        <v>43457</v>
      </c>
      <c r="B14537">
        <v>2018</v>
      </c>
      <c r="C14537">
        <v>12</v>
      </c>
      <c r="D14537" s="11">
        <v>43435</v>
      </c>
      <c r="E14537" t="s">
        <v>2184</v>
      </c>
      <c r="F14537">
        <v>7</v>
      </c>
      <c r="G14537" t="s">
        <v>59</v>
      </c>
      <c r="H14537" t="s">
        <v>47</v>
      </c>
      <c r="I14537" t="s">
        <v>2195</v>
      </c>
      <c r="J14537" s="10">
        <v>4</v>
      </c>
      <c r="K14537" t="b">
        <v>1</v>
      </c>
    </row>
    <row r="14538" spans="1:11">
      <c r="A14538" s="12">
        <v>43458</v>
      </c>
      <c r="B14538">
        <v>2018</v>
      </c>
      <c r="C14538">
        <v>12</v>
      </c>
      <c r="D14538" s="11">
        <v>43435</v>
      </c>
      <c r="E14538" t="s">
        <v>2184</v>
      </c>
      <c r="F14538">
        <v>1</v>
      </c>
      <c r="G14538" t="s">
        <v>61</v>
      </c>
      <c r="H14538" t="s">
        <v>40</v>
      </c>
      <c r="I14538" t="s">
        <v>2188</v>
      </c>
      <c r="J14538" s="10">
        <v>8.67</v>
      </c>
      <c r="K14538" t="b">
        <v>1</v>
      </c>
    </row>
    <row r="14539" spans="1:11">
      <c r="A14539" s="12">
        <v>43458</v>
      </c>
      <c r="B14539">
        <v>2018</v>
      </c>
      <c r="C14539">
        <v>12</v>
      </c>
      <c r="D14539" s="11">
        <v>43435</v>
      </c>
      <c r="E14539" t="s">
        <v>2184</v>
      </c>
      <c r="F14539">
        <v>1</v>
      </c>
      <c r="G14539" t="s">
        <v>61</v>
      </c>
      <c r="H14539" t="s">
        <v>41</v>
      </c>
      <c r="I14539" t="s">
        <v>2189</v>
      </c>
      <c r="J14539" s="10">
        <v>4.35</v>
      </c>
      <c r="K14539" t="b">
        <v>1</v>
      </c>
    </row>
    <row r="14540" spans="1:11">
      <c r="A14540" s="12">
        <v>43458</v>
      </c>
      <c r="B14540">
        <v>2018</v>
      </c>
      <c r="C14540">
        <v>12</v>
      </c>
      <c r="D14540" s="11">
        <v>43435</v>
      </c>
      <c r="E14540" t="s">
        <v>2184</v>
      </c>
      <c r="F14540">
        <v>1</v>
      </c>
      <c r="G14540" t="s">
        <v>61</v>
      </c>
      <c r="H14540" t="s">
        <v>42</v>
      </c>
      <c r="I14540" t="s">
        <v>2190</v>
      </c>
      <c r="J14540" s="10">
        <v>1</v>
      </c>
      <c r="K14540" t="b">
        <v>1</v>
      </c>
    </row>
    <row r="14541" spans="1:11">
      <c r="A14541" s="12">
        <v>43458</v>
      </c>
      <c r="B14541">
        <v>2018</v>
      </c>
      <c r="C14541">
        <v>12</v>
      </c>
      <c r="D14541" s="11">
        <v>43435</v>
      </c>
      <c r="E14541" t="s">
        <v>2184</v>
      </c>
      <c r="F14541">
        <v>1</v>
      </c>
      <c r="G14541" t="s">
        <v>61</v>
      </c>
      <c r="H14541" t="s">
        <v>43</v>
      </c>
      <c r="I14541" t="s">
        <v>2191</v>
      </c>
      <c r="J14541" s="10">
        <v>32</v>
      </c>
      <c r="K14541" t="b">
        <v>1</v>
      </c>
    </row>
    <row r="14542" spans="1:11">
      <c r="A14542" s="12">
        <v>43458</v>
      </c>
      <c r="B14542">
        <v>2018</v>
      </c>
      <c r="C14542">
        <v>12</v>
      </c>
      <c r="D14542" s="11">
        <v>43435</v>
      </c>
      <c r="E14542" t="s">
        <v>2184</v>
      </c>
      <c r="F14542">
        <v>1</v>
      </c>
      <c r="G14542" t="s">
        <v>61</v>
      </c>
      <c r="H14542" t="s">
        <v>44</v>
      </c>
      <c r="I14542" t="s">
        <v>2192</v>
      </c>
      <c r="J14542" s="10">
        <v>20</v>
      </c>
      <c r="K14542" t="b">
        <v>1</v>
      </c>
    </row>
    <row r="14543" spans="1:11">
      <c r="A14543" s="12">
        <v>43458</v>
      </c>
      <c r="B14543">
        <v>2018</v>
      </c>
      <c r="C14543">
        <v>12</v>
      </c>
      <c r="D14543" s="11">
        <v>43435</v>
      </c>
      <c r="E14543" t="s">
        <v>2184</v>
      </c>
      <c r="F14543">
        <v>1</v>
      </c>
      <c r="G14543" t="s">
        <v>61</v>
      </c>
      <c r="H14543" t="s">
        <v>45</v>
      </c>
      <c r="I14543" t="s">
        <v>2193</v>
      </c>
      <c r="J14543" s="10">
        <v>0</v>
      </c>
      <c r="K14543" t="b">
        <v>1</v>
      </c>
    </row>
    <row r="14544" spans="1:11">
      <c r="A14544" s="12">
        <v>43458</v>
      </c>
      <c r="B14544">
        <v>2018</v>
      </c>
      <c r="C14544">
        <v>12</v>
      </c>
      <c r="D14544" s="11">
        <v>43435</v>
      </c>
      <c r="E14544" t="s">
        <v>2184</v>
      </c>
      <c r="F14544">
        <v>1</v>
      </c>
      <c r="G14544" t="s">
        <v>61</v>
      </c>
      <c r="H14544" t="s">
        <v>46</v>
      </c>
      <c r="I14544" t="s">
        <v>2194</v>
      </c>
      <c r="J14544" s="10">
        <v>8</v>
      </c>
      <c r="K14544" t="b">
        <v>1</v>
      </c>
    </row>
    <row r="14545" spans="1:11">
      <c r="A14545" s="12">
        <v>43458</v>
      </c>
      <c r="B14545">
        <v>2018</v>
      </c>
      <c r="C14545">
        <v>12</v>
      </c>
      <c r="D14545" s="11">
        <v>43435</v>
      </c>
      <c r="E14545" t="s">
        <v>2184</v>
      </c>
      <c r="F14545">
        <v>1</v>
      </c>
      <c r="G14545" t="s">
        <v>61</v>
      </c>
      <c r="H14545" t="s">
        <v>47</v>
      </c>
      <c r="I14545" t="s">
        <v>2195</v>
      </c>
      <c r="J14545" s="10">
        <v>1</v>
      </c>
      <c r="K14545" t="b">
        <v>1</v>
      </c>
    </row>
    <row r="14546" spans="1:11">
      <c r="A14546" s="12">
        <v>43459</v>
      </c>
      <c r="B14546">
        <v>2018</v>
      </c>
      <c r="C14546">
        <v>12</v>
      </c>
      <c r="D14546" s="11">
        <v>43435</v>
      </c>
      <c r="E14546" t="s">
        <v>2184</v>
      </c>
      <c r="F14546">
        <v>2</v>
      </c>
      <c r="G14546" t="s">
        <v>63</v>
      </c>
      <c r="H14546" t="s">
        <v>40</v>
      </c>
      <c r="I14546" t="s">
        <v>2188</v>
      </c>
      <c r="J14546" s="10">
        <v>8</v>
      </c>
      <c r="K14546" t="b">
        <v>1</v>
      </c>
    </row>
    <row r="14547" spans="1:11">
      <c r="A14547" s="12">
        <v>43459</v>
      </c>
      <c r="B14547">
        <v>2018</v>
      </c>
      <c r="C14547">
        <v>12</v>
      </c>
      <c r="D14547" s="11">
        <v>43435</v>
      </c>
      <c r="E14547" t="s">
        <v>2184</v>
      </c>
      <c r="F14547">
        <v>2</v>
      </c>
      <c r="G14547" t="s">
        <v>63</v>
      </c>
      <c r="H14547" t="s">
        <v>41</v>
      </c>
      <c r="I14547" t="s">
        <v>2189</v>
      </c>
      <c r="J14547" s="10">
        <v>6.076</v>
      </c>
      <c r="K14547" t="b">
        <v>1</v>
      </c>
    </row>
    <row r="14548" spans="1:11">
      <c r="A14548" s="12">
        <v>43459</v>
      </c>
      <c r="B14548">
        <v>2018</v>
      </c>
      <c r="C14548">
        <v>12</v>
      </c>
      <c r="D14548" s="11">
        <v>43435</v>
      </c>
      <c r="E14548" t="s">
        <v>2184</v>
      </c>
      <c r="F14548">
        <v>2</v>
      </c>
      <c r="G14548" t="s">
        <v>63</v>
      </c>
      <c r="H14548" t="s">
        <v>42</v>
      </c>
      <c r="I14548" t="s">
        <v>2190</v>
      </c>
      <c r="J14548" s="10">
        <v>5.1</v>
      </c>
      <c r="K14548" t="b">
        <v>1</v>
      </c>
    </row>
    <row r="14549" spans="1:11">
      <c r="A14549" s="12">
        <v>43459</v>
      </c>
      <c r="B14549">
        <v>2018</v>
      </c>
      <c r="C14549">
        <v>12</v>
      </c>
      <c r="D14549" s="11">
        <v>43435</v>
      </c>
      <c r="E14549" t="s">
        <v>2184</v>
      </c>
      <c r="F14549">
        <v>2</v>
      </c>
      <c r="G14549" t="s">
        <v>63</v>
      </c>
      <c r="H14549" t="s">
        <v>43</v>
      </c>
      <c r="I14549" t="s">
        <v>2191</v>
      </c>
      <c r="J14549" s="10">
        <v>42.6</v>
      </c>
      <c r="K14549" t="b">
        <v>1</v>
      </c>
    </row>
    <row r="14550" spans="1:11">
      <c r="A14550" s="12">
        <v>43459</v>
      </c>
      <c r="B14550">
        <v>2018</v>
      </c>
      <c r="C14550">
        <v>12</v>
      </c>
      <c r="D14550" s="11">
        <v>43435</v>
      </c>
      <c r="E14550" t="s">
        <v>2184</v>
      </c>
      <c r="F14550">
        <v>2</v>
      </c>
      <c r="G14550" t="s">
        <v>63</v>
      </c>
      <c r="H14550" t="s">
        <v>44</v>
      </c>
      <c r="I14550" t="s">
        <v>2192</v>
      </c>
      <c r="J14550" s="10">
        <v>9</v>
      </c>
      <c r="K14550" t="b">
        <v>1</v>
      </c>
    </row>
    <row r="14551" spans="1:11">
      <c r="A14551" s="12">
        <v>43459</v>
      </c>
      <c r="B14551">
        <v>2018</v>
      </c>
      <c r="C14551">
        <v>12</v>
      </c>
      <c r="D14551" s="11">
        <v>43435</v>
      </c>
      <c r="E14551" t="s">
        <v>2184</v>
      </c>
      <c r="F14551">
        <v>2</v>
      </c>
      <c r="G14551" t="s">
        <v>63</v>
      </c>
      <c r="H14551" t="s">
        <v>45</v>
      </c>
      <c r="I14551" t="s">
        <v>2193</v>
      </c>
      <c r="J14551" s="10">
        <v>3</v>
      </c>
      <c r="K14551" t="b">
        <v>1</v>
      </c>
    </row>
    <row r="14552" spans="1:11">
      <c r="A14552" s="12">
        <v>43459</v>
      </c>
      <c r="B14552">
        <v>2018</v>
      </c>
      <c r="C14552">
        <v>12</v>
      </c>
      <c r="D14552" s="11">
        <v>43435</v>
      </c>
      <c r="E14552" t="s">
        <v>2184</v>
      </c>
      <c r="F14552">
        <v>2</v>
      </c>
      <c r="G14552" t="s">
        <v>63</v>
      </c>
      <c r="H14552" t="s">
        <v>46</v>
      </c>
      <c r="I14552" t="s">
        <v>2194</v>
      </c>
      <c r="J14552" s="10">
        <v>21</v>
      </c>
      <c r="K14552" t="b">
        <v>1</v>
      </c>
    </row>
    <row r="14553" spans="1:11">
      <c r="A14553" s="12">
        <v>43459</v>
      </c>
      <c r="B14553">
        <v>2018</v>
      </c>
      <c r="C14553">
        <v>12</v>
      </c>
      <c r="D14553" s="11">
        <v>43435</v>
      </c>
      <c r="E14553" t="s">
        <v>2184</v>
      </c>
      <c r="F14553">
        <v>2</v>
      </c>
      <c r="G14553" t="s">
        <v>63</v>
      </c>
      <c r="H14553" t="s">
        <v>47</v>
      </c>
      <c r="I14553" t="s">
        <v>2195</v>
      </c>
      <c r="J14553" s="10">
        <v>2</v>
      </c>
      <c r="K14553" t="b">
        <v>1</v>
      </c>
    </row>
    <row r="14554" spans="1:11">
      <c r="A14554" s="12">
        <v>43460</v>
      </c>
      <c r="B14554">
        <v>2018</v>
      </c>
      <c r="C14554">
        <v>12</v>
      </c>
      <c r="D14554" s="11">
        <v>43435</v>
      </c>
      <c r="E14554" t="s">
        <v>2184</v>
      </c>
      <c r="F14554">
        <v>3</v>
      </c>
      <c r="G14554" t="s">
        <v>65</v>
      </c>
      <c r="H14554" t="s">
        <v>40</v>
      </c>
      <c r="I14554" t="s">
        <v>2188</v>
      </c>
      <c r="J14554" s="10">
        <v>1</v>
      </c>
      <c r="K14554" t="b">
        <v>1</v>
      </c>
    </row>
    <row r="14555" spans="1:11">
      <c r="A14555" s="12">
        <v>43460</v>
      </c>
      <c r="B14555">
        <v>2018</v>
      </c>
      <c r="C14555">
        <v>12</v>
      </c>
      <c r="D14555" s="11">
        <v>43435</v>
      </c>
      <c r="E14555" t="s">
        <v>2184</v>
      </c>
      <c r="F14555">
        <v>3</v>
      </c>
      <c r="G14555" t="s">
        <v>65</v>
      </c>
      <c r="H14555" t="s">
        <v>41</v>
      </c>
      <c r="I14555" t="s">
        <v>2189</v>
      </c>
      <c r="J14555" s="10">
        <v>0.66</v>
      </c>
      <c r="K14555" t="b">
        <v>1</v>
      </c>
    </row>
    <row r="14556" spans="1:11">
      <c r="A14556" s="12">
        <v>43460</v>
      </c>
      <c r="B14556">
        <v>2018</v>
      </c>
      <c r="C14556">
        <v>12</v>
      </c>
      <c r="D14556" s="11">
        <v>43435</v>
      </c>
      <c r="E14556" t="s">
        <v>2184</v>
      </c>
      <c r="F14556">
        <v>3</v>
      </c>
      <c r="G14556" t="s">
        <v>65</v>
      </c>
      <c r="H14556" t="s">
        <v>42</v>
      </c>
      <c r="I14556" t="s">
        <v>2190</v>
      </c>
      <c r="J14556" s="10">
        <v>2.15</v>
      </c>
      <c r="K14556" t="b">
        <v>1</v>
      </c>
    </row>
    <row r="14557" spans="1:11">
      <c r="A14557" s="12">
        <v>43460</v>
      </c>
      <c r="B14557">
        <v>2018</v>
      </c>
      <c r="C14557">
        <v>12</v>
      </c>
      <c r="D14557" s="11">
        <v>43435</v>
      </c>
      <c r="E14557" t="s">
        <v>2184</v>
      </c>
      <c r="F14557">
        <v>3</v>
      </c>
      <c r="G14557" t="s">
        <v>65</v>
      </c>
      <c r="H14557" t="s">
        <v>43</v>
      </c>
      <c r="I14557" t="s">
        <v>2191</v>
      </c>
      <c r="J14557" s="10">
        <v>50</v>
      </c>
      <c r="K14557" t="b">
        <v>1</v>
      </c>
    </row>
    <row r="14558" spans="1:11">
      <c r="A14558" s="12">
        <v>43460</v>
      </c>
      <c r="B14558">
        <v>2018</v>
      </c>
      <c r="C14558">
        <v>12</v>
      </c>
      <c r="D14558" s="11">
        <v>43435</v>
      </c>
      <c r="E14558" t="s">
        <v>2184</v>
      </c>
      <c r="F14558">
        <v>3</v>
      </c>
      <c r="G14558" t="s">
        <v>65</v>
      </c>
      <c r="H14558" t="s">
        <v>44</v>
      </c>
      <c r="I14558" t="s">
        <v>2192</v>
      </c>
      <c r="J14558" s="10">
        <v>8</v>
      </c>
      <c r="K14558" t="b">
        <v>1</v>
      </c>
    </row>
    <row r="14559" spans="1:11">
      <c r="A14559" s="12">
        <v>43460</v>
      </c>
      <c r="B14559">
        <v>2018</v>
      </c>
      <c r="C14559">
        <v>12</v>
      </c>
      <c r="D14559" s="11">
        <v>43435</v>
      </c>
      <c r="E14559" t="s">
        <v>2184</v>
      </c>
      <c r="F14559">
        <v>3</v>
      </c>
      <c r="G14559" t="s">
        <v>65</v>
      </c>
      <c r="H14559" t="s">
        <v>45</v>
      </c>
      <c r="I14559" t="s">
        <v>2193</v>
      </c>
      <c r="J14559" s="10">
        <v>1</v>
      </c>
      <c r="K14559" t="b">
        <v>1</v>
      </c>
    </row>
    <row r="14560" spans="1:11">
      <c r="A14560" s="12">
        <v>43460</v>
      </c>
      <c r="B14560">
        <v>2018</v>
      </c>
      <c r="C14560">
        <v>12</v>
      </c>
      <c r="D14560" s="11">
        <v>43435</v>
      </c>
      <c r="E14560" t="s">
        <v>2184</v>
      </c>
      <c r="F14560">
        <v>3</v>
      </c>
      <c r="G14560" t="s">
        <v>65</v>
      </c>
      <c r="H14560" t="s">
        <v>46</v>
      </c>
      <c r="I14560" t="s">
        <v>2194</v>
      </c>
      <c r="J14560" s="10">
        <v>13</v>
      </c>
      <c r="K14560" t="b">
        <v>1</v>
      </c>
    </row>
    <row r="14561" spans="1:11">
      <c r="A14561" s="12">
        <v>43460</v>
      </c>
      <c r="B14561">
        <v>2018</v>
      </c>
      <c r="C14561">
        <v>12</v>
      </c>
      <c r="D14561" s="11">
        <v>43435</v>
      </c>
      <c r="E14561" t="s">
        <v>2184</v>
      </c>
      <c r="F14561">
        <v>3</v>
      </c>
      <c r="G14561" t="s">
        <v>65</v>
      </c>
      <c r="H14561" t="s">
        <v>47</v>
      </c>
      <c r="I14561" t="s">
        <v>2195</v>
      </c>
      <c r="J14561" s="10">
        <v>2</v>
      </c>
      <c r="K14561" t="b">
        <v>1</v>
      </c>
    </row>
    <row r="14562" spans="1:11">
      <c r="A14562" s="12">
        <v>43461</v>
      </c>
      <c r="B14562">
        <v>2018</v>
      </c>
      <c r="C14562">
        <v>12</v>
      </c>
      <c r="D14562" s="11">
        <v>43435</v>
      </c>
      <c r="E14562" t="s">
        <v>2184</v>
      </c>
      <c r="F14562">
        <v>4</v>
      </c>
      <c r="G14562" t="s">
        <v>53</v>
      </c>
      <c r="H14562" t="s">
        <v>40</v>
      </c>
      <c r="I14562" t="s">
        <v>2188</v>
      </c>
      <c r="J14562" s="10">
        <v>3.68</v>
      </c>
      <c r="K14562" t="b">
        <v>1</v>
      </c>
    </row>
    <row r="14563" spans="1:11">
      <c r="A14563" s="12">
        <v>43461</v>
      </c>
      <c r="B14563">
        <v>2018</v>
      </c>
      <c r="C14563">
        <v>12</v>
      </c>
      <c r="D14563" s="11">
        <v>43435</v>
      </c>
      <c r="E14563" t="s">
        <v>2184</v>
      </c>
      <c r="F14563">
        <v>4</v>
      </c>
      <c r="G14563" t="s">
        <v>53</v>
      </c>
      <c r="H14563" t="s">
        <v>41</v>
      </c>
      <c r="I14563" t="s">
        <v>2189</v>
      </c>
      <c r="J14563" s="10">
        <v>3.01</v>
      </c>
      <c r="K14563" t="b">
        <v>1</v>
      </c>
    </row>
    <row r="14564" spans="1:11">
      <c r="A14564" s="12">
        <v>43461</v>
      </c>
      <c r="B14564">
        <v>2018</v>
      </c>
      <c r="C14564">
        <v>12</v>
      </c>
      <c r="D14564" s="11">
        <v>43435</v>
      </c>
      <c r="E14564" t="s">
        <v>2184</v>
      </c>
      <c r="F14564">
        <v>4</v>
      </c>
      <c r="G14564" t="s">
        <v>53</v>
      </c>
      <c r="H14564" t="s">
        <v>42</v>
      </c>
      <c r="I14564" t="s">
        <v>2190</v>
      </c>
      <c r="J14564" s="10">
        <v>3.05</v>
      </c>
      <c r="K14564" t="b">
        <v>1</v>
      </c>
    </row>
    <row r="14565" spans="1:11">
      <c r="A14565" s="12">
        <v>43461</v>
      </c>
      <c r="B14565">
        <v>2018</v>
      </c>
      <c r="C14565">
        <v>12</v>
      </c>
      <c r="D14565" s="11">
        <v>43435</v>
      </c>
      <c r="E14565" t="s">
        <v>2184</v>
      </c>
      <c r="F14565">
        <v>4</v>
      </c>
      <c r="G14565" t="s">
        <v>53</v>
      </c>
      <c r="H14565" t="s">
        <v>43</v>
      </c>
      <c r="I14565" t="s">
        <v>2191</v>
      </c>
      <c r="J14565" s="10">
        <v>40.6</v>
      </c>
      <c r="K14565" t="b">
        <v>1</v>
      </c>
    </row>
    <row r="14566" spans="1:11">
      <c r="A14566" s="12">
        <v>43461</v>
      </c>
      <c r="B14566">
        <v>2018</v>
      </c>
      <c r="C14566">
        <v>12</v>
      </c>
      <c r="D14566" s="11">
        <v>43435</v>
      </c>
      <c r="E14566" t="s">
        <v>2184</v>
      </c>
      <c r="F14566">
        <v>4</v>
      </c>
      <c r="G14566" t="s">
        <v>53</v>
      </c>
      <c r="H14566" t="s">
        <v>44</v>
      </c>
      <c r="I14566" t="s">
        <v>2192</v>
      </c>
      <c r="J14566" s="10">
        <v>8</v>
      </c>
      <c r="K14566" t="b">
        <v>1</v>
      </c>
    </row>
    <row r="14567" spans="1:11">
      <c r="A14567" s="12">
        <v>43461</v>
      </c>
      <c r="B14567">
        <v>2018</v>
      </c>
      <c r="C14567">
        <v>12</v>
      </c>
      <c r="D14567" s="11">
        <v>43435</v>
      </c>
      <c r="E14567" t="s">
        <v>2184</v>
      </c>
      <c r="F14567">
        <v>4</v>
      </c>
      <c r="G14567" t="s">
        <v>53</v>
      </c>
      <c r="H14567" t="s">
        <v>45</v>
      </c>
      <c r="I14567" t="s">
        <v>2193</v>
      </c>
      <c r="J14567" s="10">
        <v>0</v>
      </c>
      <c r="K14567" t="b">
        <v>1</v>
      </c>
    </row>
    <row r="14568" spans="1:11">
      <c r="A14568" s="12">
        <v>43461</v>
      </c>
      <c r="B14568">
        <v>2018</v>
      </c>
      <c r="C14568">
        <v>12</v>
      </c>
      <c r="D14568" s="11">
        <v>43435</v>
      </c>
      <c r="E14568" t="s">
        <v>2184</v>
      </c>
      <c r="F14568">
        <v>4</v>
      </c>
      <c r="G14568" t="s">
        <v>53</v>
      </c>
      <c r="H14568" t="s">
        <v>46</v>
      </c>
      <c r="I14568" t="s">
        <v>2194</v>
      </c>
      <c r="J14568" s="10">
        <v>7</v>
      </c>
      <c r="K14568" t="b">
        <v>1</v>
      </c>
    </row>
    <row r="14569" spans="1:11">
      <c r="A14569" s="12">
        <v>43461</v>
      </c>
      <c r="B14569">
        <v>2018</v>
      </c>
      <c r="C14569">
        <v>12</v>
      </c>
      <c r="D14569" s="11">
        <v>43435</v>
      </c>
      <c r="E14569" t="s">
        <v>2184</v>
      </c>
      <c r="F14569">
        <v>4</v>
      </c>
      <c r="G14569" t="s">
        <v>53</v>
      </c>
      <c r="H14569" t="s">
        <v>47</v>
      </c>
      <c r="I14569" t="s">
        <v>2195</v>
      </c>
      <c r="J14569" s="10">
        <v>0</v>
      </c>
      <c r="K14569" t="b">
        <v>1</v>
      </c>
    </row>
    <row r="14570" spans="1:11">
      <c r="A14570" s="12">
        <v>43462</v>
      </c>
      <c r="B14570">
        <v>2018</v>
      </c>
      <c r="C14570">
        <v>12</v>
      </c>
      <c r="D14570" s="11">
        <v>43435</v>
      </c>
      <c r="E14570" t="s">
        <v>2184</v>
      </c>
      <c r="F14570">
        <v>5</v>
      </c>
      <c r="G14570" t="s">
        <v>55</v>
      </c>
      <c r="H14570" t="s">
        <v>40</v>
      </c>
      <c r="I14570" t="s">
        <v>2188</v>
      </c>
      <c r="J14570" s="10">
        <v>11.67</v>
      </c>
      <c r="K14570" t="b">
        <v>1</v>
      </c>
    </row>
    <row r="14571" spans="1:11">
      <c r="A14571" s="12">
        <v>43462</v>
      </c>
      <c r="B14571">
        <v>2018</v>
      </c>
      <c r="C14571">
        <v>12</v>
      </c>
      <c r="D14571" s="11">
        <v>43435</v>
      </c>
      <c r="E14571" t="s">
        <v>2184</v>
      </c>
      <c r="F14571">
        <v>5</v>
      </c>
      <c r="G14571" t="s">
        <v>55</v>
      </c>
      <c r="H14571" t="s">
        <v>41</v>
      </c>
      <c r="I14571" t="s">
        <v>2189</v>
      </c>
      <c r="J14571" s="10">
        <v>5.845</v>
      </c>
      <c r="K14571" t="b">
        <v>1</v>
      </c>
    </row>
    <row r="14572" spans="1:11">
      <c r="A14572" s="12">
        <v>43462</v>
      </c>
      <c r="B14572">
        <v>2018</v>
      </c>
      <c r="C14572">
        <v>12</v>
      </c>
      <c r="D14572" s="11">
        <v>43435</v>
      </c>
      <c r="E14572" t="s">
        <v>2184</v>
      </c>
      <c r="F14572">
        <v>5</v>
      </c>
      <c r="G14572" t="s">
        <v>55</v>
      </c>
      <c r="H14572" t="s">
        <v>42</v>
      </c>
      <c r="I14572" t="s">
        <v>2190</v>
      </c>
      <c r="J14572" s="10">
        <v>1</v>
      </c>
      <c r="K14572" t="b">
        <v>1</v>
      </c>
    </row>
    <row r="14573" spans="1:11">
      <c r="A14573" s="12">
        <v>43462</v>
      </c>
      <c r="B14573">
        <v>2018</v>
      </c>
      <c r="C14573">
        <v>12</v>
      </c>
      <c r="D14573" s="11">
        <v>43435</v>
      </c>
      <c r="E14573" t="s">
        <v>2184</v>
      </c>
      <c r="F14573">
        <v>5</v>
      </c>
      <c r="G14573" t="s">
        <v>55</v>
      </c>
      <c r="H14573" t="s">
        <v>43</v>
      </c>
      <c r="I14573" t="s">
        <v>2191</v>
      </c>
      <c r="J14573" s="10">
        <v>56.4</v>
      </c>
      <c r="K14573" t="b">
        <v>1</v>
      </c>
    </row>
    <row r="14574" spans="1:11">
      <c r="A14574" s="12">
        <v>43462</v>
      </c>
      <c r="B14574">
        <v>2018</v>
      </c>
      <c r="C14574">
        <v>12</v>
      </c>
      <c r="D14574" s="11">
        <v>43435</v>
      </c>
      <c r="E14574" t="s">
        <v>2184</v>
      </c>
      <c r="F14574">
        <v>5</v>
      </c>
      <c r="G14574" t="s">
        <v>55</v>
      </c>
      <c r="H14574" t="s">
        <v>44</v>
      </c>
      <c r="I14574" t="s">
        <v>2192</v>
      </c>
      <c r="J14574" s="10">
        <v>11</v>
      </c>
      <c r="K14574" t="b">
        <v>1</v>
      </c>
    </row>
    <row r="14575" spans="1:11">
      <c r="A14575" s="12">
        <v>43462</v>
      </c>
      <c r="B14575">
        <v>2018</v>
      </c>
      <c r="C14575">
        <v>12</v>
      </c>
      <c r="D14575" s="11">
        <v>43435</v>
      </c>
      <c r="E14575" t="s">
        <v>2184</v>
      </c>
      <c r="F14575">
        <v>5</v>
      </c>
      <c r="G14575" t="s">
        <v>55</v>
      </c>
      <c r="H14575" t="s">
        <v>45</v>
      </c>
      <c r="I14575" t="s">
        <v>2193</v>
      </c>
      <c r="J14575" s="10">
        <v>6</v>
      </c>
      <c r="K14575" t="b">
        <v>1</v>
      </c>
    </row>
    <row r="14576" spans="1:11">
      <c r="A14576" s="12">
        <v>43462</v>
      </c>
      <c r="B14576">
        <v>2018</v>
      </c>
      <c r="C14576">
        <v>12</v>
      </c>
      <c r="D14576" s="11">
        <v>43435</v>
      </c>
      <c r="E14576" t="s">
        <v>2184</v>
      </c>
      <c r="F14576">
        <v>5</v>
      </c>
      <c r="G14576" t="s">
        <v>55</v>
      </c>
      <c r="H14576" t="s">
        <v>46</v>
      </c>
      <c r="I14576" t="s">
        <v>2194</v>
      </c>
      <c r="J14576" s="10">
        <v>9</v>
      </c>
      <c r="K14576" t="b">
        <v>1</v>
      </c>
    </row>
    <row r="14577" spans="1:11">
      <c r="A14577" s="12">
        <v>43462</v>
      </c>
      <c r="B14577">
        <v>2018</v>
      </c>
      <c r="C14577">
        <v>12</v>
      </c>
      <c r="D14577" s="11">
        <v>43435</v>
      </c>
      <c r="E14577" t="s">
        <v>2184</v>
      </c>
      <c r="F14577">
        <v>5</v>
      </c>
      <c r="G14577" t="s">
        <v>55</v>
      </c>
      <c r="H14577" t="s">
        <v>47</v>
      </c>
      <c r="I14577" t="s">
        <v>2195</v>
      </c>
      <c r="J14577" s="10">
        <v>0</v>
      </c>
      <c r="K14577" t="b">
        <v>1</v>
      </c>
    </row>
    <row r="14578" spans="1:11">
      <c r="A14578" s="12">
        <v>43463</v>
      </c>
      <c r="B14578">
        <v>2018</v>
      </c>
      <c r="C14578">
        <v>12</v>
      </c>
      <c r="D14578" s="11">
        <v>43435</v>
      </c>
      <c r="E14578" t="s">
        <v>2184</v>
      </c>
      <c r="F14578">
        <v>6</v>
      </c>
      <c r="G14578" t="s">
        <v>57</v>
      </c>
      <c r="H14578" t="s">
        <v>40</v>
      </c>
      <c r="I14578" t="s">
        <v>2188</v>
      </c>
      <c r="J14578" s="10">
        <v>6.68</v>
      </c>
      <c r="K14578" t="b">
        <v>1</v>
      </c>
    </row>
    <row r="14579" spans="1:11">
      <c r="A14579" s="12">
        <v>43463</v>
      </c>
      <c r="B14579">
        <v>2018</v>
      </c>
      <c r="C14579">
        <v>12</v>
      </c>
      <c r="D14579" s="11">
        <v>43435</v>
      </c>
      <c r="E14579" t="s">
        <v>2184</v>
      </c>
      <c r="F14579">
        <v>6</v>
      </c>
      <c r="G14579" t="s">
        <v>57</v>
      </c>
      <c r="H14579" t="s">
        <v>41</v>
      </c>
      <c r="I14579" t="s">
        <v>2189</v>
      </c>
      <c r="J14579" s="10">
        <v>5.611</v>
      </c>
      <c r="K14579" t="b">
        <v>1</v>
      </c>
    </row>
    <row r="14580" spans="1:11">
      <c r="A14580" s="12">
        <v>43463</v>
      </c>
      <c r="B14580">
        <v>2018</v>
      </c>
      <c r="C14580">
        <v>12</v>
      </c>
      <c r="D14580" s="11">
        <v>43435</v>
      </c>
      <c r="E14580" t="s">
        <v>2184</v>
      </c>
      <c r="F14580">
        <v>6</v>
      </c>
      <c r="G14580" t="s">
        <v>57</v>
      </c>
      <c r="H14580" t="s">
        <v>42</v>
      </c>
      <c r="I14580" t="s">
        <v>2190</v>
      </c>
      <c r="J14580" s="10">
        <v>1</v>
      </c>
      <c r="K14580" t="b">
        <v>1</v>
      </c>
    </row>
    <row r="14581" spans="1:11">
      <c r="A14581" s="12">
        <v>43463</v>
      </c>
      <c r="B14581">
        <v>2018</v>
      </c>
      <c r="C14581">
        <v>12</v>
      </c>
      <c r="D14581" s="11">
        <v>43435</v>
      </c>
      <c r="E14581" t="s">
        <v>2184</v>
      </c>
      <c r="F14581">
        <v>6</v>
      </c>
      <c r="G14581" t="s">
        <v>57</v>
      </c>
      <c r="H14581" t="s">
        <v>43</v>
      </c>
      <c r="I14581" t="s">
        <v>2191</v>
      </c>
      <c r="J14581" s="10">
        <v>68.34999999999999</v>
      </c>
      <c r="K14581" t="b">
        <v>1</v>
      </c>
    </row>
    <row r="14582" spans="1:11">
      <c r="A14582" s="12">
        <v>43463</v>
      </c>
      <c r="B14582">
        <v>2018</v>
      </c>
      <c r="C14582">
        <v>12</v>
      </c>
      <c r="D14582" s="11">
        <v>43435</v>
      </c>
      <c r="E14582" t="s">
        <v>2184</v>
      </c>
      <c r="F14582">
        <v>6</v>
      </c>
      <c r="G14582" t="s">
        <v>57</v>
      </c>
      <c r="H14582" t="s">
        <v>44</v>
      </c>
      <c r="I14582" t="s">
        <v>2192</v>
      </c>
      <c r="J14582" s="10">
        <v>5</v>
      </c>
      <c r="K14582" t="b">
        <v>1</v>
      </c>
    </row>
    <row r="14583" spans="1:11">
      <c r="A14583" s="12">
        <v>43463</v>
      </c>
      <c r="B14583">
        <v>2018</v>
      </c>
      <c r="C14583">
        <v>12</v>
      </c>
      <c r="D14583" s="11">
        <v>43435</v>
      </c>
      <c r="E14583" t="s">
        <v>2184</v>
      </c>
      <c r="F14583">
        <v>6</v>
      </c>
      <c r="G14583" t="s">
        <v>57</v>
      </c>
      <c r="H14583" t="s">
        <v>45</v>
      </c>
      <c r="I14583" t="s">
        <v>2193</v>
      </c>
      <c r="J14583" s="10">
        <v>0</v>
      </c>
      <c r="K14583" t="b">
        <v>1</v>
      </c>
    </row>
    <row r="14584" spans="1:11">
      <c r="A14584" s="12">
        <v>43463</v>
      </c>
      <c r="B14584">
        <v>2018</v>
      </c>
      <c r="C14584">
        <v>12</v>
      </c>
      <c r="D14584" s="11">
        <v>43435</v>
      </c>
      <c r="E14584" t="s">
        <v>2184</v>
      </c>
      <c r="F14584">
        <v>6</v>
      </c>
      <c r="G14584" t="s">
        <v>57</v>
      </c>
      <c r="H14584" t="s">
        <v>46</v>
      </c>
      <c r="I14584" t="s">
        <v>2194</v>
      </c>
      <c r="J14584" s="10">
        <v>7</v>
      </c>
      <c r="K14584" t="b">
        <v>1</v>
      </c>
    </row>
    <row r="14585" spans="1:11">
      <c r="A14585" s="12">
        <v>43463</v>
      </c>
      <c r="B14585">
        <v>2018</v>
      </c>
      <c r="C14585">
        <v>12</v>
      </c>
      <c r="D14585" s="11">
        <v>43435</v>
      </c>
      <c r="E14585" t="s">
        <v>2184</v>
      </c>
      <c r="F14585">
        <v>6</v>
      </c>
      <c r="G14585" t="s">
        <v>57</v>
      </c>
      <c r="H14585" t="s">
        <v>47</v>
      </c>
      <c r="I14585" t="s">
        <v>2195</v>
      </c>
      <c r="J14585" s="10">
        <v>2</v>
      </c>
      <c r="K14585" t="b">
        <v>1</v>
      </c>
    </row>
    <row r="14586" spans="1:11">
      <c r="A14586" s="12">
        <v>43464</v>
      </c>
      <c r="B14586">
        <v>2018</v>
      </c>
      <c r="C14586">
        <v>12</v>
      </c>
      <c r="D14586" s="11">
        <v>43435</v>
      </c>
      <c r="E14586" t="s">
        <v>2184</v>
      </c>
      <c r="F14586">
        <v>7</v>
      </c>
      <c r="G14586" t="s">
        <v>59</v>
      </c>
      <c r="H14586" t="s">
        <v>40</v>
      </c>
      <c r="I14586" t="s">
        <v>2188</v>
      </c>
      <c r="J14586" s="10">
        <v>5.33</v>
      </c>
      <c r="K14586" t="b">
        <v>1</v>
      </c>
    </row>
    <row r="14587" spans="1:11">
      <c r="A14587" s="12">
        <v>43464</v>
      </c>
      <c r="B14587">
        <v>2018</v>
      </c>
      <c r="C14587">
        <v>12</v>
      </c>
      <c r="D14587" s="11">
        <v>43435</v>
      </c>
      <c r="E14587" t="s">
        <v>2184</v>
      </c>
      <c r="F14587">
        <v>7</v>
      </c>
      <c r="G14587" t="s">
        <v>59</v>
      </c>
      <c r="H14587" t="s">
        <v>41</v>
      </c>
      <c r="I14587" t="s">
        <v>2189</v>
      </c>
      <c r="J14587" s="10">
        <v>7.593</v>
      </c>
      <c r="K14587" t="b">
        <v>1</v>
      </c>
    </row>
    <row r="14588" spans="1:11">
      <c r="A14588" s="12">
        <v>43464</v>
      </c>
      <c r="B14588">
        <v>2018</v>
      </c>
      <c r="C14588">
        <v>12</v>
      </c>
      <c r="D14588" s="11">
        <v>43435</v>
      </c>
      <c r="E14588" t="s">
        <v>2184</v>
      </c>
      <c r="F14588">
        <v>7</v>
      </c>
      <c r="G14588" t="s">
        <v>59</v>
      </c>
      <c r="H14588" t="s">
        <v>42</v>
      </c>
      <c r="I14588" t="s">
        <v>2190</v>
      </c>
      <c r="J14588" s="10">
        <v>5</v>
      </c>
      <c r="K14588" t="b">
        <v>1</v>
      </c>
    </row>
    <row r="14589" spans="1:11">
      <c r="A14589" s="12">
        <v>43464</v>
      </c>
      <c r="B14589">
        <v>2018</v>
      </c>
      <c r="C14589">
        <v>12</v>
      </c>
      <c r="D14589" s="11">
        <v>43435</v>
      </c>
      <c r="E14589" t="s">
        <v>2184</v>
      </c>
      <c r="F14589">
        <v>7</v>
      </c>
      <c r="G14589" t="s">
        <v>59</v>
      </c>
      <c r="H14589" t="s">
        <v>43</v>
      </c>
      <c r="I14589" t="s">
        <v>2191</v>
      </c>
      <c r="J14589" s="10">
        <v>59.9</v>
      </c>
      <c r="K14589" t="b">
        <v>1</v>
      </c>
    </row>
    <row r="14590" spans="1:11">
      <c r="A14590" s="12">
        <v>43464</v>
      </c>
      <c r="B14590">
        <v>2018</v>
      </c>
      <c r="C14590">
        <v>12</v>
      </c>
      <c r="D14590" s="11">
        <v>43435</v>
      </c>
      <c r="E14590" t="s">
        <v>2184</v>
      </c>
      <c r="F14590">
        <v>7</v>
      </c>
      <c r="G14590" t="s">
        <v>59</v>
      </c>
      <c r="H14590" t="s">
        <v>44</v>
      </c>
      <c r="I14590" t="s">
        <v>2192</v>
      </c>
      <c r="J14590" s="10">
        <v>6</v>
      </c>
      <c r="K14590" t="b">
        <v>1</v>
      </c>
    </row>
    <row r="14591" spans="1:11">
      <c r="A14591" s="12">
        <v>43464</v>
      </c>
      <c r="B14591">
        <v>2018</v>
      </c>
      <c r="C14591">
        <v>12</v>
      </c>
      <c r="D14591" s="11">
        <v>43435</v>
      </c>
      <c r="E14591" t="s">
        <v>2184</v>
      </c>
      <c r="F14591">
        <v>7</v>
      </c>
      <c r="G14591" t="s">
        <v>59</v>
      </c>
      <c r="H14591" t="s">
        <v>45</v>
      </c>
      <c r="I14591" t="s">
        <v>2193</v>
      </c>
      <c r="J14591" s="10">
        <v>0</v>
      </c>
      <c r="K14591" t="b">
        <v>1</v>
      </c>
    </row>
    <row r="14592" spans="1:11">
      <c r="A14592" s="12">
        <v>43464</v>
      </c>
      <c r="B14592">
        <v>2018</v>
      </c>
      <c r="C14592">
        <v>12</v>
      </c>
      <c r="D14592" s="11">
        <v>43435</v>
      </c>
      <c r="E14592" t="s">
        <v>2184</v>
      </c>
      <c r="F14592">
        <v>7</v>
      </c>
      <c r="G14592" t="s">
        <v>59</v>
      </c>
      <c r="H14592" t="s">
        <v>46</v>
      </c>
      <c r="I14592" t="s">
        <v>2194</v>
      </c>
      <c r="J14592" s="10">
        <v>31</v>
      </c>
      <c r="K14592" t="b">
        <v>1</v>
      </c>
    </row>
    <row r="14593" spans="1:11">
      <c r="A14593" s="12">
        <v>43464</v>
      </c>
      <c r="B14593">
        <v>2018</v>
      </c>
      <c r="C14593">
        <v>12</v>
      </c>
      <c r="D14593" s="11">
        <v>43435</v>
      </c>
      <c r="E14593" t="s">
        <v>2184</v>
      </c>
      <c r="F14593">
        <v>7</v>
      </c>
      <c r="G14593" t="s">
        <v>59</v>
      </c>
      <c r="H14593" t="s">
        <v>47</v>
      </c>
      <c r="I14593" t="s">
        <v>2195</v>
      </c>
      <c r="J14593" s="10">
        <v>3.3</v>
      </c>
      <c r="K14593" t="b">
        <v>1</v>
      </c>
    </row>
    <row r="14594" spans="1:11">
      <c r="A14594" s="12">
        <v>43465</v>
      </c>
      <c r="B14594">
        <v>2018</v>
      </c>
      <c r="C14594">
        <v>12</v>
      </c>
      <c r="D14594" s="11">
        <v>43435</v>
      </c>
      <c r="E14594" t="s">
        <v>2184</v>
      </c>
      <c r="F14594">
        <v>1</v>
      </c>
      <c r="G14594" t="s">
        <v>61</v>
      </c>
      <c r="H14594" t="s">
        <v>40</v>
      </c>
      <c r="I14594" t="s">
        <v>2188</v>
      </c>
      <c r="J14594" s="10">
        <v>8</v>
      </c>
      <c r="K14594" t="b">
        <v>1</v>
      </c>
    </row>
    <row r="14595" spans="1:11">
      <c r="A14595" s="12">
        <v>43465</v>
      </c>
      <c r="B14595">
        <v>2018</v>
      </c>
      <c r="C14595">
        <v>12</v>
      </c>
      <c r="D14595" s="11">
        <v>43435</v>
      </c>
      <c r="E14595" t="s">
        <v>2184</v>
      </c>
      <c r="F14595">
        <v>1</v>
      </c>
      <c r="G14595" t="s">
        <v>61</v>
      </c>
      <c r="H14595" t="s">
        <v>41</v>
      </c>
      <c r="I14595" t="s">
        <v>2189</v>
      </c>
      <c r="J14595" s="10">
        <v>4.66</v>
      </c>
      <c r="K14595" t="b">
        <v>1</v>
      </c>
    </row>
    <row r="14596" spans="1:11">
      <c r="A14596" s="12">
        <v>43465</v>
      </c>
      <c r="B14596">
        <v>2018</v>
      </c>
      <c r="C14596">
        <v>12</v>
      </c>
      <c r="D14596" s="11">
        <v>43435</v>
      </c>
      <c r="E14596" t="s">
        <v>2184</v>
      </c>
      <c r="F14596">
        <v>1</v>
      </c>
      <c r="G14596" t="s">
        <v>61</v>
      </c>
      <c r="H14596" t="s">
        <v>42</v>
      </c>
      <c r="I14596" t="s">
        <v>2190</v>
      </c>
      <c r="J14596" s="10">
        <v>5.2</v>
      </c>
      <c r="K14596" t="b">
        <v>1</v>
      </c>
    </row>
    <row r="14597" spans="1:11">
      <c r="A14597" s="12">
        <v>43465</v>
      </c>
      <c r="B14597">
        <v>2018</v>
      </c>
      <c r="C14597">
        <v>12</v>
      </c>
      <c r="D14597" s="11">
        <v>43435</v>
      </c>
      <c r="E14597" t="s">
        <v>2184</v>
      </c>
      <c r="F14597">
        <v>1</v>
      </c>
      <c r="G14597" t="s">
        <v>61</v>
      </c>
      <c r="H14597" t="s">
        <v>43</v>
      </c>
      <c r="I14597" t="s">
        <v>2191</v>
      </c>
      <c r="J14597" s="10">
        <v>44.5</v>
      </c>
      <c r="K14597" t="b">
        <v>1</v>
      </c>
    </row>
    <row r="14598" spans="1:11">
      <c r="A14598" s="12">
        <v>43465</v>
      </c>
      <c r="B14598">
        <v>2018</v>
      </c>
      <c r="C14598">
        <v>12</v>
      </c>
      <c r="D14598" s="11">
        <v>43435</v>
      </c>
      <c r="E14598" t="s">
        <v>2184</v>
      </c>
      <c r="F14598">
        <v>1</v>
      </c>
      <c r="G14598" t="s">
        <v>61</v>
      </c>
      <c r="H14598" t="s">
        <v>44</v>
      </c>
      <c r="I14598" t="s">
        <v>2192</v>
      </c>
      <c r="J14598" s="10">
        <v>10</v>
      </c>
      <c r="K14598" t="b">
        <v>1</v>
      </c>
    </row>
    <row r="14599" spans="1:11">
      <c r="A14599" s="12">
        <v>43465</v>
      </c>
      <c r="B14599">
        <v>2018</v>
      </c>
      <c r="C14599">
        <v>12</v>
      </c>
      <c r="D14599" s="11">
        <v>43435</v>
      </c>
      <c r="E14599" t="s">
        <v>2184</v>
      </c>
      <c r="F14599">
        <v>1</v>
      </c>
      <c r="G14599" t="s">
        <v>61</v>
      </c>
      <c r="H14599" t="s">
        <v>45</v>
      </c>
      <c r="I14599" t="s">
        <v>2193</v>
      </c>
      <c r="J14599" s="10">
        <v>0</v>
      </c>
      <c r="K14599" t="b">
        <v>1</v>
      </c>
    </row>
    <row r="14600" spans="1:11">
      <c r="A14600" s="12">
        <v>43465</v>
      </c>
      <c r="B14600">
        <v>2018</v>
      </c>
      <c r="C14600">
        <v>12</v>
      </c>
      <c r="D14600" s="11">
        <v>43435</v>
      </c>
      <c r="E14600" t="s">
        <v>2184</v>
      </c>
      <c r="F14600">
        <v>1</v>
      </c>
      <c r="G14600" t="s">
        <v>61</v>
      </c>
      <c r="H14600" t="s">
        <v>46</v>
      </c>
      <c r="I14600" t="s">
        <v>2194</v>
      </c>
      <c r="J14600" s="10">
        <v>6</v>
      </c>
      <c r="K14600" t="b">
        <v>1</v>
      </c>
    </row>
    <row r="14601" spans="1:11">
      <c r="A14601" s="12">
        <v>43465</v>
      </c>
      <c r="B14601">
        <v>2018</v>
      </c>
      <c r="C14601">
        <v>12</v>
      </c>
      <c r="D14601" s="11">
        <v>43435</v>
      </c>
      <c r="E14601" t="s">
        <v>2184</v>
      </c>
      <c r="F14601">
        <v>1</v>
      </c>
      <c r="G14601" t="s">
        <v>61</v>
      </c>
      <c r="H14601" t="s">
        <v>47</v>
      </c>
      <c r="I14601" t="s">
        <v>2195</v>
      </c>
      <c r="J14601" s="10">
        <v>4</v>
      </c>
      <c r="K14601" t="b">
        <v>1</v>
      </c>
    </row>
    <row r="14602" spans="1:11">
      <c r="A14602" s="12">
        <v>43466</v>
      </c>
      <c r="B14602">
        <v>2019</v>
      </c>
      <c r="C14602">
        <v>1</v>
      </c>
      <c r="D14602" s="11">
        <v>43466</v>
      </c>
      <c r="E14602" t="s">
        <v>2173</v>
      </c>
      <c r="F14602">
        <v>2</v>
      </c>
      <c r="G14602" t="s">
        <v>63</v>
      </c>
      <c r="H14602" t="s">
        <v>40</v>
      </c>
      <c r="I14602" t="s">
        <v>2188</v>
      </c>
      <c r="J14602" s="10">
        <v>0</v>
      </c>
      <c r="K14602" t="b">
        <v>1</v>
      </c>
    </row>
    <row r="14603" spans="1:11">
      <c r="A14603" s="12">
        <v>43466</v>
      </c>
      <c r="B14603">
        <v>2019</v>
      </c>
      <c r="C14603">
        <v>1</v>
      </c>
      <c r="D14603" s="11">
        <v>43466</v>
      </c>
      <c r="E14603" t="s">
        <v>2173</v>
      </c>
      <c r="F14603">
        <v>2</v>
      </c>
      <c r="G14603" t="s">
        <v>63</v>
      </c>
      <c r="H14603" t="s">
        <v>41</v>
      </c>
      <c r="I14603" t="s">
        <v>2189</v>
      </c>
      <c r="J14603" s="10">
        <v>0</v>
      </c>
      <c r="K14603" t="b">
        <v>1</v>
      </c>
    </row>
    <row r="14604" spans="1:11">
      <c r="A14604" s="12">
        <v>43466</v>
      </c>
      <c r="B14604">
        <v>2019</v>
      </c>
      <c r="C14604">
        <v>1</v>
      </c>
      <c r="D14604" s="11">
        <v>43466</v>
      </c>
      <c r="E14604" t="s">
        <v>2173</v>
      </c>
      <c r="F14604">
        <v>2</v>
      </c>
      <c r="G14604" t="s">
        <v>63</v>
      </c>
      <c r="H14604" t="s">
        <v>42</v>
      </c>
      <c r="I14604" t="s">
        <v>2190</v>
      </c>
      <c r="J14604" s="10">
        <v>0</v>
      </c>
      <c r="K14604" t="b">
        <v>1</v>
      </c>
    </row>
    <row r="14605" spans="1:11">
      <c r="A14605" s="12">
        <v>43466</v>
      </c>
      <c r="B14605">
        <v>2019</v>
      </c>
      <c r="C14605">
        <v>1</v>
      </c>
      <c r="D14605" s="11">
        <v>43466</v>
      </c>
      <c r="E14605" t="s">
        <v>2173</v>
      </c>
      <c r="F14605">
        <v>2</v>
      </c>
      <c r="G14605" t="s">
        <v>63</v>
      </c>
      <c r="H14605" t="s">
        <v>43</v>
      </c>
      <c r="I14605" t="s">
        <v>2191</v>
      </c>
      <c r="J14605" s="10">
        <v>0</v>
      </c>
      <c r="K14605" t="b">
        <v>1</v>
      </c>
    </row>
    <row r="14606" spans="1:11">
      <c r="A14606" s="12">
        <v>43466</v>
      </c>
      <c r="B14606">
        <v>2019</v>
      </c>
      <c r="C14606">
        <v>1</v>
      </c>
      <c r="D14606" s="11">
        <v>43466</v>
      </c>
      <c r="E14606" t="s">
        <v>2173</v>
      </c>
      <c r="F14606">
        <v>2</v>
      </c>
      <c r="G14606" t="s">
        <v>63</v>
      </c>
      <c r="H14606" t="s">
        <v>44</v>
      </c>
      <c r="I14606" t="s">
        <v>2192</v>
      </c>
      <c r="J14606" s="10">
        <v>0</v>
      </c>
      <c r="K14606" t="b">
        <v>1</v>
      </c>
    </row>
    <row r="14607" spans="1:11">
      <c r="A14607" s="12">
        <v>43466</v>
      </c>
      <c r="B14607">
        <v>2019</v>
      </c>
      <c r="C14607">
        <v>1</v>
      </c>
      <c r="D14607" s="11">
        <v>43466</v>
      </c>
      <c r="E14607" t="s">
        <v>2173</v>
      </c>
      <c r="F14607">
        <v>2</v>
      </c>
      <c r="G14607" t="s">
        <v>63</v>
      </c>
      <c r="H14607" t="s">
        <v>45</v>
      </c>
      <c r="I14607" t="s">
        <v>2193</v>
      </c>
      <c r="J14607" s="10">
        <v>0</v>
      </c>
      <c r="K14607" t="b">
        <v>1</v>
      </c>
    </row>
    <row r="14608" spans="1:11">
      <c r="A14608" s="12">
        <v>43466</v>
      </c>
      <c r="B14608">
        <v>2019</v>
      </c>
      <c r="C14608">
        <v>1</v>
      </c>
      <c r="D14608" s="11">
        <v>43466</v>
      </c>
      <c r="E14608" t="s">
        <v>2173</v>
      </c>
      <c r="F14608">
        <v>2</v>
      </c>
      <c r="G14608" t="s">
        <v>63</v>
      </c>
      <c r="H14608" t="s">
        <v>46</v>
      </c>
      <c r="I14608" t="s">
        <v>2194</v>
      </c>
      <c r="J14608" s="10">
        <v>0</v>
      </c>
      <c r="K14608" t="b">
        <v>1</v>
      </c>
    </row>
    <row r="14609" spans="1:11">
      <c r="A14609" s="12">
        <v>43466</v>
      </c>
      <c r="B14609">
        <v>2019</v>
      </c>
      <c r="C14609">
        <v>1</v>
      </c>
      <c r="D14609" s="11">
        <v>43466</v>
      </c>
      <c r="E14609" t="s">
        <v>2173</v>
      </c>
      <c r="F14609">
        <v>2</v>
      </c>
      <c r="G14609" t="s">
        <v>63</v>
      </c>
      <c r="H14609" t="s">
        <v>47</v>
      </c>
      <c r="I14609" t="s">
        <v>2195</v>
      </c>
      <c r="J14609" s="10">
        <v>0</v>
      </c>
      <c r="K14609" t="b">
        <v>1</v>
      </c>
    </row>
    <row r="14610" spans="1:11">
      <c r="A14610" s="12">
        <v>43467</v>
      </c>
      <c r="B14610">
        <v>2019</v>
      </c>
      <c r="C14610">
        <v>1</v>
      </c>
      <c r="D14610" s="11">
        <v>43466</v>
      </c>
      <c r="E14610" t="s">
        <v>2173</v>
      </c>
      <c r="F14610">
        <v>3</v>
      </c>
      <c r="G14610" t="s">
        <v>65</v>
      </c>
      <c r="H14610" t="s">
        <v>40</v>
      </c>
      <c r="I14610" t="s">
        <v>2188</v>
      </c>
      <c r="J14610" s="10">
        <v>5.33</v>
      </c>
      <c r="K14610" t="b">
        <v>1</v>
      </c>
    </row>
    <row r="14611" spans="1:11">
      <c r="A14611" s="12">
        <v>43467</v>
      </c>
      <c r="B14611">
        <v>2019</v>
      </c>
      <c r="C14611">
        <v>1</v>
      </c>
      <c r="D14611" s="11">
        <v>43466</v>
      </c>
      <c r="E14611" t="s">
        <v>2173</v>
      </c>
      <c r="F14611">
        <v>3</v>
      </c>
      <c r="G14611" t="s">
        <v>65</v>
      </c>
      <c r="H14611" t="s">
        <v>41</v>
      </c>
      <c r="I14611" t="s">
        <v>2189</v>
      </c>
      <c r="J14611" s="10">
        <v>4.397</v>
      </c>
      <c r="K14611" t="b">
        <v>1</v>
      </c>
    </row>
    <row r="14612" spans="1:11">
      <c r="A14612" s="12">
        <v>43467</v>
      </c>
      <c r="B14612">
        <v>2019</v>
      </c>
      <c r="C14612">
        <v>1</v>
      </c>
      <c r="D14612" s="11">
        <v>43466</v>
      </c>
      <c r="E14612" t="s">
        <v>2173</v>
      </c>
      <c r="F14612">
        <v>3</v>
      </c>
      <c r="G14612" t="s">
        <v>65</v>
      </c>
      <c r="H14612" t="s">
        <v>42</v>
      </c>
      <c r="I14612" t="s">
        <v>2190</v>
      </c>
      <c r="J14612" s="10">
        <v>4.15</v>
      </c>
      <c r="K14612" t="b">
        <v>1</v>
      </c>
    </row>
    <row r="14613" spans="1:11">
      <c r="A14613" s="12">
        <v>43467</v>
      </c>
      <c r="B14613">
        <v>2019</v>
      </c>
      <c r="C14613">
        <v>1</v>
      </c>
      <c r="D14613" s="11">
        <v>43466</v>
      </c>
      <c r="E14613" t="s">
        <v>2173</v>
      </c>
      <c r="F14613">
        <v>3</v>
      </c>
      <c r="G14613" t="s">
        <v>65</v>
      </c>
      <c r="H14613" t="s">
        <v>43</v>
      </c>
      <c r="I14613" t="s">
        <v>2191</v>
      </c>
      <c r="J14613" s="10">
        <v>36.8</v>
      </c>
      <c r="K14613" t="b">
        <v>1</v>
      </c>
    </row>
    <row r="14614" spans="1:11">
      <c r="A14614" s="12">
        <v>43467</v>
      </c>
      <c r="B14614">
        <v>2019</v>
      </c>
      <c r="C14614">
        <v>1</v>
      </c>
      <c r="D14614" s="11">
        <v>43466</v>
      </c>
      <c r="E14614" t="s">
        <v>2173</v>
      </c>
      <c r="F14614">
        <v>3</v>
      </c>
      <c r="G14614" t="s">
        <v>65</v>
      </c>
      <c r="H14614" t="s">
        <v>44</v>
      </c>
      <c r="I14614" t="s">
        <v>2192</v>
      </c>
      <c r="J14614" s="10">
        <v>4</v>
      </c>
      <c r="K14614" t="b">
        <v>1</v>
      </c>
    </row>
    <row r="14615" spans="1:11">
      <c r="A14615" s="12">
        <v>43467</v>
      </c>
      <c r="B14615">
        <v>2019</v>
      </c>
      <c r="C14615">
        <v>1</v>
      </c>
      <c r="D14615" s="11">
        <v>43466</v>
      </c>
      <c r="E14615" t="s">
        <v>2173</v>
      </c>
      <c r="F14615">
        <v>3</v>
      </c>
      <c r="G14615" t="s">
        <v>65</v>
      </c>
      <c r="H14615" t="s">
        <v>45</v>
      </c>
      <c r="I14615" t="s">
        <v>2193</v>
      </c>
      <c r="J14615" s="10">
        <v>0</v>
      </c>
      <c r="K14615" t="b">
        <v>1</v>
      </c>
    </row>
    <row r="14616" spans="1:11">
      <c r="A14616" s="12">
        <v>43467</v>
      </c>
      <c r="B14616">
        <v>2019</v>
      </c>
      <c r="C14616">
        <v>1</v>
      </c>
      <c r="D14616" s="11">
        <v>43466</v>
      </c>
      <c r="E14616" t="s">
        <v>2173</v>
      </c>
      <c r="F14616">
        <v>3</v>
      </c>
      <c r="G14616" t="s">
        <v>65</v>
      </c>
      <c r="H14616" t="s">
        <v>46</v>
      </c>
      <c r="I14616" t="s">
        <v>2194</v>
      </c>
      <c r="J14616" s="10">
        <v>9</v>
      </c>
      <c r="K14616" t="b">
        <v>1</v>
      </c>
    </row>
    <row r="14617" spans="1:11">
      <c r="A14617" s="12">
        <v>43467</v>
      </c>
      <c r="B14617">
        <v>2019</v>
      </c>
      <c r="C14617">
        <v>1</v>
      </c>
      <c r="D14617" s="11">
        <v>43466</v>
      </c>
      <c r="E14617" t="s">
        <v>2173</v>
      </c>
      <c r="F14617">
        <v>3</v>
      </c>
      <c r="G14617" t="s">
        <v>65</v>
      </c>
      <c r="H14617" t="s">
        <v>47</v>
      </c>
      <c r="I14617" t="s">
        <v>2195</v>
      </c>
      <c r="J14617" s="10">
        <v>2</v>
      </c>
      <c r="K14617" t="b">
        <v>1</v>
      </c>
    </row>
    <row r="14618" spans="1:11">
      <c r="A14618" s="12">
        <v>43468</v>
      </c>
      <c r="B14618">
        <v>2019</v>
      </c>
      <c r="C14618">
        <v>1</v>
      </c>
      <c r="D14618" s="11">
        <v>43466</v>
      </c>
      <c r="E14618" t="s">
        <v>2173</v>
      </c>
      <c r="F14618">
        <v>4</v>
      </c>
      <c r="G14618" t="s">
        <v>53</v>
      </c>
      <c r="H14618" t="s">
        <v>40</v>
      </c>
      <c r="I14618" t="s">
        <v>2188</v>
      </c>
      <c r="J14618" s="10">
        <v>4.33</v>
      </c>
      <c r="K14618" t="b">
        <v>1</v>
      </c>
    </row>
    <row r="14619" spans="1:11">
      <c r="A14619" s="12">
        <v>43468</v>
      </c>
      <c r="B14619">
        <v>2019</v>
      </c>
      <c r="C14619">
        <v>1</v>
      </c>
      <c r="D14619" s="11">
        <v>43466</v>
      </c>
      <c r="E14619" t="s">
        <v>2173</v>
      </c>
      <c r="F14619">
        <v>4</v>
      </c>
      <c r="G14619" t="s">
        <v>53</v>
      </c>
      <c r="H14619" t="s">
        <v>41</v>
      </c>
      <c r="I14619" t="s">
        <v>2189</v>
      </c>
      <c r="J14619" s="10">
        <v>4.836</v>
      </c>
      <c r="K14619" t="b">
        <v>1</v>
      </c>
    </row>
    <row r="14620" spans="1:11">
      <c r="A14620" s="12">
        <v>43468</v>
      </c>
      <c r="B14620">
        <v>2019</v>
      </c>
      <c r="C14620">
        <v>1</v>
      </c>
      <c r="D14620" s="11">
        <v>43466</v>
      </c>
      <c r="E14620" t="s">
        <v>2173</v>
      </c>
      <c r="F14620">
        <v>4</v>
      </c>
      <c r="G14620" t="s">
        <v>53</v>
      </c>
      <c r="H14620" t="s">
        <v>42</v>
      </c>
      <c r="I14620" t="s">
        <v>2190</v>
      </c>
      <c r="J14620" s="10">
        <v>6.25</v>
      </c>
      <c r="K14620" t="b">
        <v>1</v>
      </c>
    </row>
    <row r="14621" spans="1:11">
      <c r="A14621" s="12">
        <v>43468</v>
      </c>
      <c r="B14621">
        <v>2019</v>
      </c>
      <c r="C14621">
        <v>1</v>
      </c>
      <c r="D14621" s="11">
        <v>43466</v>
      </c>
      <c r="E14621" t="s">
        <v>2173</v>
      </c>
      <c r="F14621">
        <v>4</v>
      </c>
      <c r="G14621" t="s">
        <v>53</v>
      </c>
      <c r="H14621" t="s">
        <v>43</v>
      </c>
      <c r="I14621" t="s">
        <v>2191</v>
      </c>
      <c r="J14621" s="10">
        <v>42.4</v>
      </c>
      <c r="K14621" t="b">
        <v>1</v>
      </c>
    </row>
    <row r="14622" spans="1:11">
      <c r="A14622" s="12">
        <v>43468</v>
      </c>
      <c r="B14622">
        <v>2019</v>
      </c>
      <c r="C14622">
        <v>1</v>
      </c>
      <c r="D14622" s="11">
        <v>43466</v>
      </c>
      <c r="E14622" t="s">
        <v>2173</v>
      </c>
      <c r="F14622">
        <v>4</v>
      </c>
      <c r="G14622" t="s">
        <v>53</v>
      </c>
      <c r="H14622" t="s">
        <v>44</v>
      </c>
      <c r="I14622" t="s">
        <v>2192</v>
      </c>
      <c r="J14622" s="10">
        <v>6</v>
      </c>
      <c r="K14622" t="b">
        <v>1</v>
      </c>
    </row>
    <row r="14623" spans="1:11">
      <c r="A14623" s="12">
        <v>43468</v>
      </c>
      <c r="B14623">
        <v>2019</v>
      </c>
      <c r="C14623">
        <v>1</v>
      </c>
      <c r="D14623" s="11">
        <v>43466</v>
      </c>
      <c r="E14623" t="s">
        <v>2173</v>
      </c>
      <c r="F14623">
        <v>4</v>
      </c>
      <c r="G14623" t="s">
        <v>53</v>
      </c>
      <c r="H14623" t="s">
        <v>45</v>
      </c>
      <c r="I14623" t="s">
        <v>2193</v>
      </c>
      <c r="J14623" s="10">
        <v>0</v>
      </c>
      <c r="K14623" t="b">
        <v>1</v>
      </c>
    </row>
    <row r="14624" spans="1:11">
      <c r="A14624" s="12">
        <v>43468</v>
      </c>
      <c r="B14624">
        <v>2019</v>
      </c>
      <c r="C14624">
        <v>1</v>
      </c>
      <c r="D14624" s="11">
        <v>43466</v>
      </c>
      <c r="E14624" t="s">
        <v>2173</v>
      </c>
      <c r="F14624">
        <v>4</v>
      </c>
      <c r="G14624" t="s">
        <v>53</v>
      </c>
      <c r="H14624" t="s">
        <v>46</v>
      </c>
      <c r="I14624" t="s">
        <v>2194</v>
      </c>
      <c r="J14624" s="10">
        <v>9</v>
      </c>
      <c r="K14624" t="b">
        <v>1</v>
      </c>
    </row>
    <row r="14625" spans="1:11">
      <c r="A14625" s="12">
        <v>43468</v>
      </c>
      <c r="B14625">
        <v>2019</v>
      </c>
      <c r="C14625">
        <v>1</v>
      </c>
      <c r="D14625" s="11">
        <v>43466</v>
      </c>
      <c r="E14625" t="s">
        <v>2173</v>
      </c>
      <c r="F14625">
        <v>4</v>
      </c>
      <c r="G14625" t="s">
        <v>53</v>
      </c>
      <c r="H14625" t="s">
        <v>47</v>
      </c>
      <c r="I14625" t="s">
        <v>2195</v>
      </c>
      <c r="J14625" s="10">
        <v>0</v>
      </c>
      <c r="K14625" t="b">
        <v>1</v>
      </c>
    </row>
    <row r="14626" spans="1:11">
      <c r="A14626" s="12">
        <v>43469</v>
      </c>
      <c r="B14626">
        <v>2019</v>
      </c>
      <c r="C14626">
        <v>1</v>
      </c>
      <c r="D14626" s="11">
        <v>43466</v>
      </c>
      <c r="E14626" t="s">
        <v>2173</v>
      </c>
      <c r="F14626">
        <v>5</v>
      </c>
      <c r="G14626" t="s">
        <v>55</v>
      </c>
      <c r="H14626" t="s">
        <v>40</v>
      </c>
      <c r="I14626" t="s">
        <v>2188</v>
      </c>
      <c r="J14626" s="10">
        <v>7</v>
      </c>
      <c r="K14626" t="b">
        <v>1</v>
      </c>
    </row>
    <row r="14627" spans="1:11">
      <c r="A14627" s="12">
        <v>43469</v>
      </c>
      <c r="B14627">
        <v>2019</v>
      </c>
      <c r="C14627">
        <v>1</v>
      </c>
      <c r="D14627" s="11">
        <v>43466</v>
      </c>
      <c r="E14627" t="s">
        <v>2173</v>
      </c>
      <c r="F14627">
        <v>5</v>
      </c>
      <c r="G14627" t="s">
        <v>55</v>
      </c>
      <c r="H14627" t="s">
        <v>41</v>
      </c>
      <c r="I14627" t="s">
        <v>2189</v>
      </c>
      <c r="J14627" s="10">
        <v>3.67</v>
      </c>
      <c r="K14627" t="b">
        <v>1</v>
      </c>
    </row>
    <row r="14628" spans="1:11">
      <c r="A14628" s="12">
        <v>43469</v>
      </c>
      <c r="B14628">
        <v>2019</v>
      </c>
      <c r="C14628">
        <v>1</v>
      </c>
      <c r="D14628" s="11">
        <v>43466</v>
      </c>
      <c r="E14628" t="s">
        <v>2173</v>
      </c>
      <c r="F14628">
        <v>5</v>
      </c>
      <c r="G14628" t="s">
        <v>55</v>
      </c>
      <c r="H14628" t="s">
        <v>42</v>
      </c>
      <c r="I14628" t="s">
        <v>2190</v>
      </c>
      <c r="J14628" s="10">
        <v>2.6</v>
      </c>
      <c r="K14628" t="b">
        <v>1</v>
      </c>
    </row>
    <row r="14629" spans="1:11">
      <c r="A14629" s="12">
        <v>43469</v>
      </c>
      <c r="B14629">
        <v>2019</v>
      </c>
      <c r="C14629">
        <v>1</v>
      </c>
      <c r="D14629" s="11">
        <v>43466</v>
      </c>
      <c r="E14629" t="s">
        <v>2173</v>
      </c>
      <c r="F14629">
        <v>5</v>
      </c>
      <c r="G14629" t="s">
        <v>55</v>
      </c>
      <c r="H14629" t="s">
        <v>43</v>
      </c>
      <c r="I14629" t="s">
        <v>2191</v>
      </c>
      <c r="J14629" s="10">
        <v>55.8</v>
      </c>
      <c r="K14629" t="b">
        <v>1</v>
      </c>
    </row>
    <row r="14630" spans="1:11">
      <c r="A14630" s="12">
        <v>43469</v>
      </c>
      <c r="B14630">
        <v>2019</v>
      </c>
      <c r="C14630">
        <v>1</v>
      </c>
      <c r="D14630" s="11">
        <v>43466</v>
      </c>
      <c r="E14630" t="s">
        <v>2173</v>
      </c>
      <c r="F14630">
        <v>5</v>
      </c>
      <c r="G14630" t="s">
        <v>55</v>
      </c>
      <c r="H14630" t="s">
        <v>44</v>
      </c>
      <c r="I14630" t="s">
        <v>2192</v>
      </c>
      <c r="J14630" s="10">
        <v>10</v>
      </c>
      <c r="K14630" t="b">
        <v>1</v>
      </c>
    </row>
    <row r="14631" spans="1:11">
      <c r="A14631" s="12">
        <v>43469</v>
      </c>
      <c r="B14631">
        <v>2019</v>
      </c>
      <c r="C14631">
        <v>1</v>
      </c>
      <c r="D14631" s="11">
        <v>43466</v>
      </c>
      <c r="E14631" t="s">
        <v>2173</v>
      </c>
      <c r="F14631">
        <v>5</v>
      </c>
      <c r="G14631" t="s">
        <v>55</v>
      </c>
      <c r="H14631" t="s">
        <v>45</v>
      </c>
      <c r="I14631" t="s">
        <v>2193</v>
      </c>
      <c r="J14631" s="10">
        <v>0</v>
      </c>
      <c r="K14631" t="b">
        <v>1</v>
      </c>
    </row>
    <row r="14632" spans="1:11">
      <c r="A14632" s="12">
        <v>43469</v>
      </c>
      <c r="B14632">
        <v>2019</v>
      </c>
      <c r="C14632">
        <v>1</v>
      </c>
      <c r="D14632" s="11">
        <v>43466</v>
      </c>
      <c r="E14632" t="s">
        <v>2173</v>
      </c>
      <c r="F14632">
        <v>5</v>
      </c>
      <c r="G14632" t="s">
        <v>55</v>
      </c>
      <c r="H14632" t="s">
        <v>46</v>
      </c>
      <c r="I14632" t="s">
        <v>2194</v>
      </c>
      <c r="J14632" s="10">
        <v>0</v>
      </c>
      <c r="K14632" t="b">
        <v>1</v>
      </c>
    </row>
    <row r="14633" spans="1:11">
      <c r="A14633" s="12">
        <v>43469</v>
      </c>
      <c r="B14633">
        <v>2019</v>
      </c>
      <c r="C14633">
        <v>1</v>
      </c>
      <c r="D14633" s="11">
        <v>43466</v>
      </c>
      <c r="E14633" t="s">
        <v>2173</v>
      </c>
      <c r="F14633">
        <v>5</v>
      </c>
      <c r="G14633" t="s">
        <v>55</v>
      </c>
      <c r="H14633" t="s">
        <v>47</v>
      </c>
      <c r="I14633" t="s">
        <v>2195</v>
      </c>
      <c r="J14633" s="10">
        <v>1</v>
      </c>
      <c r="K14633" t="b">
        <v>1</v>
      </c>
    </row>
    <row r="14634" spans="1:11">
      <c r="A14634" s="12">
        <v>43470</v>
      </c>
      <c r="B14634">
        <v>2019</v>
      </c>
      <c r="C14634">
        <v>1</v>
      </c>
      <c r="D14634" s="11">
        <v>43466</v>
      </c>
      <c r="E14634" t="s">
        <v>2173</v>
      </c>
      <c r="F14634">
        <v>6</v>
      </c>
      <c r="G14634" t="s">
        <v>57</v>
      </c>
      <c r="H14634" t="s">
        <v>40</v>
      </c>
      <c r="I14634" t="s">
        <v>2188</v>
      </c>
      <c r="J14634" s="10">
        <v>8.01</v>
      </c>
      <c r="K14634" t="b">
        <v>1</v>
      </c>
    </row>
    <row r="14635" spans="1:11">
      <c r="A14635" s="12">
        <v>43470</v>
      </c>
      <c r="B14635">
        <v>2019</v>
      </c>
      <c r="C14635">
        <v>1</v>
      </c>
      <c r="D14635" s="11">
        <v>43466</v>
      </c>
      <c r="E14635" t="s">
        <v>2173</v>
      </c>
      <c r="F14635">
        <v>6</v>
      </c>
      <c r="G14635" t="s">
        <v>57</v>
      </c>
      <c r="H14635" t="s">
        <v>41</v>
      </c>
      <c r="I14635" t="s">
        <v>2189</v>
      </c>
      <c r="J14635" s="10">
        <v>3.69</v>
      </c>
      <c r="K14635" t="b">
        <v>1</v>
      </c>
    </row>
    <row r="14636" spans="1:11">
      <c r="A14636" s="12">
        <v>43470</v>
      </c>
      <c r="B14636">
        <v>2019</v>
      </c>
      <c r="C14636">
        <v>1</v>
      </c>
      <c r="D14636" s="11">
        <v>43466</v>
      </c>
      <c r="E14636" t="s">
        <v>2173</v>
      </c>
      <c r="F14636">
        <v>6</v>
      </c>
      <c r="G14636" t="s">
        <v>57</v>
      </c>
      <c r="H14636" t="s">
        <v>42</v>
      </c>
      <c r="I14636" t="s">
        <v>2190</v>
      </c>
      <c r="J14636" s="10">
        <v>3.1</v>
      </c>
      <c r="K14636" t="b">
        <v>1</v>
      </c>
    </row>
    <row r="14637" spans="1:11">
      <c r="A14637" s="12">
        <v>43470</v>
      </c>
      <c r="B14637">
        <v>2019</v>
      </c>
      <c r="C14637">
        <v>1</v>
      </c>
      <c r="D14637" s="11">
        <v>43466</v>
      </c>
      <c r="E14637" t="s">
        <v>2173</v>
      </c>
      <c r="F14637">
        <v>6</v>
      </c>
      <c r="G14637" t="s">
        <v>57</v>
      </c>
      <c r="H14637" t="s">
        <v>43</v>
      </c>
      <c r="I14637" t="s">
        <v>2191</v>
      </c>
      <c r="J14637" s="10">
        <v>62.75</v>
      </c>
      <c r="K14637" t="b">
        <v>1</v>
      </c>
    </row>
    <row r="14638" spans="1:11">
      <c r="A14638" s="12">
        <v>43470</v>
      </c>
      <c r="B14638">
        <v>2019</v>
      </c>
      <c r="C14638">
        <v>1</v>
      </c>
      <c r="D14638" s="11">
        <v>43466</v>
      </c>
      <c r="E14638" t="s">
        <v>2173</v>
      </c>
      <c r="F14638">
        <v>6</v>
      </c>
      <c r="G14638" t="s">
        <v>57</v>
      </c>
      <c r="H14638" t="s">
        <v>44</v>
      </c>
      <c r="I14638" t="s">
        <v>2192</v>
      </c>
      <c r="J14638" s="10">
        <v>10</v>
      </c>
      <c r="K14638" t="b">
        <v>1</v>
      </c>
    </row>
    <row r="14639" spans="1:11">
      <c r="A14639" s="12">
        <v>43470</v>
      </c>
      <c r="B14639">
        <v>2019</v>
      </c>
      <c r="C14639">
        <v>1</v>
      </c>
      <c r="D14639" s="11">
        <v>43466</v>
      </c>
      <c r="E14639" t="s">
        <v>2173</v>
      </c>
      <c r="F14639">
        <v>6</v>
      </c>
      <c r="G14639" t="s">
        <v>57</v>
      </c>
      <c r="H14639" t="s">
        <v>45</v>
      </c>
      <c r="I14639" t="s">
        <v>2193</v>
      </c>
      <c r="J14639" s="10">
        <v>0</v>
      </c>
      <c r="K14639" t="b">
        <v>1</v>
      </c>
    </row>
    <row r="14640" spans="1:11">
      <c r="A14640" s="12">
        <v>43470</v>
      </c>
      <c r="B14640">
        <v>2019</v>
      </c>
      <c r="C14640">
        <v>1</v>
      </c>
      <c r="D14640" s="11">
        <v>43466</v>
      </c>
      <c r="E14640" t="s">
        <v>2173</v>
      </c>
      <c r="F14640">
        <v>6</v>
      </c>
      <c r="G14640" t="s">
        <v>57</v>
      </c>
      <c r="H14640" t="s">
        <v>46</v>
      </c>
      <c r="I14640" t="s">
        <v>2194</v>
      </c>
      <c r="J14640" s="10">
        <v>30</v>
      </c>
      <c r="K14640" t="b">
        <v>1</v>
      </c>
    </row>
    <row r="14641" spans="1:11">
      <c r="A14641" s="12">
        <v>43470</v>
      </c>
      <c r="B14641">
        <v>2019</v>
      </c>
      <c r="C14641">
        <v>1</v>
      </c>
      <c r="D14641" s="11">
        <v>43466</v>
      </c>
      <c r="E14641" t="s">
        <v>2173</v>
      </c>
      <c r="F14641">
        <v>6</v>
      </c>
      <c r="G14641" t="s">
        <v>57</v>
      </c>
      <c r="H14641" t="s">
        <v>47</v>
      </c>
      <c r="I14641" t="s">
        <v>2195</v>
      </c>
      <c r="J14641" s="10">
        <v>1</v>
      </c>
      <c r="K14641" t="b">
        <v>1</v>
      </c>
    </row>
    <row r="14642" spans="1:11">
      <c r="A14642" s="12">
        <v>43471</v>
      </c>
      <c r="B14642">
        <v>2019</v>
      </c>
      <c r="C14642">
        <v>1</v>
      </c>
      <c r="D14642" s="11">
        <v>43466</v>
      </c>
      <c r="E14642" t="s">
        <v>2173</v>
      </c>
      <c r="F14642">
        <v>7</v>
      </c>
      <c r="G14642" t="s">
        <v>59</v>
      </c>
      <c r="H14642" t="s">
        <v>40</v>
      </c>
      <c r="I14642" t="s">
        <v>2188</v>
      </c>
      <c r="J14642" s="10">
        <v>8.33</v>
      </c>
      <c r="K14642" t="b">
        <v>1</v>
      </c>
    </row>
    <row r="14643" spans="1:11">
      <c r="A14643" s="12">
        <v>43471</v>
      </c>
      <c r="B14643">
        <v>2019</v>
      </c>
      <c r="C14643">
        <v>1</v>
      </c>
      <c r="D14643" s="11">
        <v>43466</v>
      </c>
      <c r="E14643" t="s">
        <v>2173</v>
      </c>
      <c r="F14643">
        <v>7</v>
      </c>
      <c r="G14643" t="s">
        <v>59</v>
      </c>
      <c r="H14643" t="s">
        <v>41</v>
      </c>
      <c r="I14643" t="s">
        <v>2189</v>
      </c>
      <c r="J14643" s="10">
        <v>10.01</v>
      </c>
      <c r="K14643" t="b">
        <v>1</v>
      </c>
    </row>
    <row r="14644" spans="1:11">
      <c r="A14644" s="12">
        <v>43471</v>
      </c>
      <c r="B14644">
        <v>2019</v>
      </c>
      <c r="C14644">
        <v>1</v>
      </c>
      <c r="D14644" s="11">
        <v>43466</v>
      </c>
      <c r="E14644" t="s">
        <v>2173</v>
      </c>
      <c r="F14644">
        <v>7</v>
      </c>
      <c r="G14644" t="s">
        <v>59</v>
      </c>
      <c r="H14644" t="s">
        <v>42</v>
      </c>
      <c r="I14644" t="s">
        <v>2190</v>
      </c>
      <c r="J14644" s="10">
        <v>2.25</v>
      </c>
      <c r="K14644" t="b">
        <v>1</v>
      </c>
    </row>
    <row r="14645" spans="1:11">
      <c r="A14645" s="12">
        <v>43471</v>
      </c>
      <c r="B14645">
        <v>2019</v>
      </c>
      <c r="C14645">
        <v>1</v>
      </c>
      <c r="D14645" s="11">
        <v>43466</v>
      </c>
      <c r="E14645" t="s">
        <v>2173</v>
      </c>
      <c r="F14645">
        <v>7</v>
      </c>
      <c r="G14645" t="s">
        <v>59</v>
      </c>
      <c r="H14645" t="s">
        <v>43</v>
      </c>
      <c r="I14645" t="s">
        <v>2191</v>
      </c>
      <c r="J14645" s="10">
        <v>47.4</v>
      </c>
      <c r="K14645" t="b">
        <v>1</v>
      </c>
    </row>
    <row r="14646" spans="1:11">
      <c r="A14646" s="12">
        <v>43471</v>
      </c>
      <c r="B14646">
        <v>2019</v>
      </c>
      <c r="C14646">
        <v>1</v>
      </c>
      <c r="D14646" s="11">
        <v>43466</v>
      </c>
      <c r="E14646" t="s">
        <v>2173</v>
      </c>
      <c r="F14646">
        <v>7</v>
      </c>
      <c r="G14646" t="s">
        <v>59</v>
      </c>
      <c r="H14646" t="s">
        <v>44</v>
      </c>
      <c r="I14646" t="s">
        <v>2192</v>
      </c>
      <c r="J14646" s="10">
        <v>11</v>
      </c>
      <c r="K14646" t="b">
        <v>1</v>
      </c>
    </row>
    <row r="14647" spans="1:11">
      <c r="A14647" s="12">
        <v>43471</v>
      </c>
      <c r="B14647">
        <v>2019</v>
      </c>
      <c r="C14647">
        <v>1</v>
      </c>
      <c r="D14647" s="11">
        <v>43466</v>
      </c>
      <c r="E14647" t="s">
        <v>2173</v>
      </c>
      <c r="F14647">
        <v>7</v>
      </c>
      <c r="G14647" t="s">
        <v>59</v>
      </c>
      <c r="H14647" t="s">
        <v>45</v>
      </c>
      <c r="I14647" t="s">
        <v>2193</v>
      </c>
      <c r="J14647" s="10">
        <v>2</v>
      </c>
      <c r="K14647" t="b">
        <v>1</v>
      </c>
    </row>
    <row r="14648" spans="1:11">
      <c r="A14648" s="12">
        <v>43471</v>
      </c>
      <c r="B14648">
        <v>2019</v>
      </c>
      <c r="C14648">
        <v>1</v>
      </c>
      <c r="D14648" s="11">
        <v>43466</v>
      </c>
      <c r="E14648" t="s">
        <v>2173</v>
      </c>
      <c r="F14648">
        <v>7</v>
      </c>
      <c r="G14648" t="s">
        <v>59</v>
      </c>
      <c r="H14648" t="s">
        <v>46</v>
      </c>
      <c r="I14648" t="s">
        <v>2194</v>
      </c>
      <c r="J14648" s="10">
        <v>0</v>
      </c>
      <c r="K14648" t="b">
        <v>1</v>
      </c>
    </row>
    <row r="14649" spans="1:11">
      <c r="A14649" s="12">
        <v>43471</v>
      </c>
      <c r="B14649">
        <v>2019</v>
      </c>
      <c r="C14649">
        <v>1</v>
      </c>
      <c r="D14649" s="11">
        <v>43466</v>
      </c>
      <c r="E14649" t="s">
        <v>2173</v>
      </c>
      <c r="F14649">
        <v>7</v>
      </c>
      <c r="G14649" t="s">
        <v>59</v>
      </c>
      <c r="H14649" t="s">
        <v>47</v>
      </c>
      <c r="I14649" t="s">
        <v>2195</v>
      </c>
      <c r="J14649" s="10">
        <v>3</v>
      </c>
      <c r="K14649" t="b">
        <v>1</v>
      </c>
    </row>
    <row r="14650" spans="1:11">
      <c r="A14650" s="12">
        <v>43472</v>
      </c>
      <c r="B14650">
        <v>2019</v>
      </c>
      <c r="C14650">
        <v>1</v>
      </c>
      <c r="D14650" s="11">
        <v>43466</v>
      </c>
      <c r="E14650" t="s">
        <v>2173</v>
      </c>
      <c r="F14650">
        <v>1</v>
      </c>
      <c r="G14650" t="s">
        <v>61</v>
      </c>
      <c r="H14650" t="s">
        <v>40</v>
      </c>
      <c r="I14650" t="s">
        <v>2188</v>
      </c>
      <c r="J14650" s="10">
        <v>0</v>
      </c>
      <c r="K14650" t="b">
        <v>1</v>
      </c>
    </row>
    <row r="14651" spans="1:11">
      <c r="A14651" s="12">
        <v>43472</v>
      </c>
      <c r="B14651">
        <v>2019</v>
      </c>
      <c r="C14651">
        <v>1</v>
      </c>
      <c r="D14651" s="11">
        <v>43466</v>
      </c>
      <c r="E14651" t="s">
        <v>2173</v>
      </c>
      <c r="F14651">
        <v>1</v>
      </c>
      <c r="G14651" t="s">
        <v>61</v>
      </c>
      <c r="H14651" t="s">
        <v>41</v>
      </c>
      <c r="I14651" t="s">
        <v>2189</v>
      </c>
      <c r="J14651" s="10">
        <v>0</v>
      </c>
      <c r="K14651" t="b">
        <v>1</v>
      </c>
    </row>
    <row r="14652" spans="1:11">
      <c r="A14652" s="12">
        <v>43472</v>
      </c>
      <c r="B14652">
        <v>2019</v>
      </c>
      <c r="C14652">
        <v>1</v>
      </c>
      <c r="D14652" s="11">
        <v>43466</v>
      </c>
      <c r="E14652" t="s">
        <v>2173</v>
      </c>
      <c r="F14652">
        <v>1</v>
      </c>
      <c r="G14652" t="s">
        <v>61</v>
      </c>
      <c r="H14652" t="s">
        <v>42</v>
      </c>
      <c r="I14652" t="s">
        <v>2190</v>
      </c>
      <c r="J14652" s="10">
        <v>0</v>
      </c>
      <c r="K14652" t="b">
        <v>1</v>
      </c>
    </row>
    <row r="14653" spans="1:11">
      <c r="A14653" s="12">
        <v>43472</v>
      </c>
      <c r="B14653">
        <v>2019</v>
      </c>
      <c r="C14653">
        <v>1</v>
      </c>
      <c r="D14653" s="11">
        <v>43466</v>
      </c>
      <c r="E14653" t="s">
        <v>2173</v>
      </c>
      <c r="F14653">
        <v>1</v>
      </c>
      <c r="G14653" t="s">
        <v>61</v>
      </c>
      <c r="H14653" t="s">
        <v>43</v>
      </c>
      <c r="I14653" t="s">
        <v>2191</v>
      </c>
      <c r="J14653" s="10">
        <v>0</v>
      </c>
      <c r="K14653" t="b">
        <v>1</v>
      </c>
    </row>
    <row r="14654" spans="1:11">
      <c r="A14654" s="12">
        <v>43472</v>
      </c>
      <c r="B14654">
        <v>2019</v>
      </c>
      <c r="C14654">
        <v>1</v>
      </c>
      <c r="D14654" s="11">
        <v>43466</v>
      </c>
      <c r="E14654" t="s">
        <v>2173</v>
      </c>
      <c r="F14654">
        <v>1</v>
      </c>
      <c r="G14654" t="s">
        <v>61</v>
      </c>
      <c r="H14654" t="s">
        <v>44</v>
      </c>
      <c r="I14654" t="s">
        <v>2192</v>
      </c>
      <c r="J14654" s="10">
        <v>0</v>
      </c>
      <c r="K14654" t="b">
        <v>1</v>
      </c>
    </row>
    <row r="14655" spans="1:11">
      <c r="A14655" s="12">
        <v>43472</v>
      </c>
      <c r="B14655">
        <v>2019</v>
      </c>
      <c r="C14655">
        <v>1</v>
      </c>
      <c r="D14655" s="11">
        <v>43466</v>
      </c>
      <c r="E14655" t="s">
        <v>2173</v>
      </c>
      <c r="F14655">
        <v>1</v>
      </c>
      <c r="G14655" t="s">
        <v>61</v>
      </c>
      <c r="H14655" t="s">
        <v>45</v>
      </c>
      <c r="I14655" t="s">
        <v>2193</v>
      </c>
      <c r="J14655" s="10">
        <v>0</v>
      </c>
      <c r="K14655" t="b">
        <v>1</v>
      </c>
    </row>
    <row r="14656" spans="1:11">
      <c r="A14656" s="12">
        <v>43472</v>
      </c>
      <c r="B14656">
        <v>2019</v>
      </c>
      <c r="C14656">
        <v>1</v>
      </c>
      <c r="D14656" s="11">
        <v>43466</v>
      </c>
      <c r="E14656" t="s">
        <v>2173</v>
      </c>
      <c r="F14656">
        <v>1</v>
      </c>
      <c r="G14656" t="s">
        <v>61</v>
      </c>
      <c r="H14656" t="s">
        <v>46</v>
      </c>
      <c r="I14656" t="s">
        <v>2194</v>
      </c>
      <c r="J14656" s="10">
        <v>0</v>
      </c>
      <c r="K14656" t="b">
        <v>1</v>
      </c>
    </row>
    <row r="14657" spans="1:11">
      <c r="A14657" s="12">
        <v>43472</v>
      </c>
      <c r="B14657">
        <v>2019</v>
      </c>
      <c r="C14657">
        <v>1</v>
      </c>
      <c r="D14657" s="11">
        <v>43466</v>
      </c>
      <c r="E14657" t="s">
        <v>2173</v>
      </c>
      <c r="F14657">
        <v>1</v>
      </c>
      <c r="G14657" t="s">
        <v>61</v>
      </c>
      <c r="H14657" t="s">
        <v>47</v>
      </c>
      <c r="I14657" t="s">
        <v>2195</v>
      </c>
      <c r="J14657" s="10">
        <v>0</v>
      </c>
      <c r="K14657" t="b">
        <v>1</v>
      </c>
    </row>
    <row r="14658" spans="1:11">
      <c r="A14658" s="12">
        <v>43473</v>
      </c>
      <c r="B14658">
        <v>2019</v>
      </c>
      <c r="C14658">
        <v>1</v>
      </c>
      <c r="D14658" s="11">
        <v>43466</v>
      </c>
      <c r="E14658" t="s">
        <v>2173</v>
      </c>
      <c r="F14658">
        <v>2</v>
      </c>
      <c r="G14658" t="s">
        <v>63</v>
      </c>
      <c r="H14658" t="s">
        <v>40</v>
      </c>
      <c r="I14658" t="s">
        <v>2188</v>
      </c>
      <c r="J14658" s="10">
        <v>4.34</v>
      </c>
      <c r="K14658" t="b">
        <v>1</v>
      </c>
    </row>
    <row r="14659" spans="1:11">
      <c r="A14659" s="12">
        <v>43473</v>
      </c>
      <c r="B14659">
        <v>2019</v>
      </c>
      <c r="C14659">
        <v>1</v>
      </c>
      <c r="D14659" s="11">
        <v>43466</v>
      </c>
      <c r="E14659" t="s">
        <v>2173</v>
      </c>
      <c r="F14659">
        <v>2</v>
      </c>
      <c r="G14659" t="s">
        <v>63</v>
      </c>
      <c r="H14659" t="s">
        <v>41</v>
      </c>
      <c r="I14659" t="s">
        <v>2189</v>
      </c>
      <c r="J14659" s="10">
        <v>3.32</v>
      </c>
      <c r="K14659" t="b">
        <v>1</v>
      </c>
    </row>
    <row r="14660" spans="1:11">
      <c r="A14660" s="12">
        <v>43473</v>
      </c>
      <c r="B14660">
        <v>2019</v>
      </c>
      <c r="C14660">
        <v>1</v>
      </c>
      <c r="D14660" s="11">
        <v>43466</v>
      </c>
      <c r="E14660" t="s">
        <v>2173</v>
      </c>
      <c r="F14660">
        <v>2</v>
      </c>
      <c r="G14660" t="s">
        <v>63</v>
      </c>
      <c r="H14660" t="s">
        <v>42</v>
      </c>
      <c r="I14660" t="s">
        <v>2190</v>
      </c>
      <c r="J14660" s="10">
        <v>0</v>
      </c>
      <c r="K14660" t="b">
        <v>1</v>
      </c>
    </row>
    <row r="14661" spans="1:11">
      <c r="A14661" s="12">
        <v>43473</v>
      </c>
      <c r="B14661">
        <v>2019</v>
      </c>
      <c r="C14661">
        <v>1</v>
      </c>
      <c r="D14661" s="11">
        <v>43466</v>
      </c>
      <c r="E14661" t="s">
        <v>2173</v>
      </c>
      <c r="F14661">
        <v>2</v>
      </c>
      <c r="G14661" t="s">
        <v>63</v>
      </c>
      <c r="H14661" t="s">
        <v>43</v>
      </c>
      <c r="I14661" t="s">
        <v>2191</v>
      </c>
      <c r="J14661" s="10">
        <v>41.8</v>
      </c>
      <c r="K14661" t="b">
        <v>1</v>
      </c>
    </row>
    <row r="14662" spans="1:11">
      <c r="A14662" s="12">
        <v>43473</v>
      </c>
      <c r="B14662">
        <v>2019</v>
      </c>
      <c r="C14662">
        <v>1</v>
      </c>
      <c r="D14662" s="11">
        <v>43466</v>
      </c>
      <c r="E14662" t="s">
        <v>2173</v>
      </c>
      <c r="F14662">
        <v>2</v>
      </c>
      <c r="G14662" t="s">
        <v>63</v>
      </c>
      <c r="H14662" t="s">
        <v>44</v>
      </c>
      <c r="I14662" t="s">
        <v>2192</v>
      </c>
      <c r="J14662" s="10">
        <v>6</v>
      </c>
      <c r="K14662" t="b">
        <v>1</v>
      </c>
    </row>
    <row r="14663" spans="1:11">
      <c r="A14663" s="12">
        <v>43473</v>
      </c>
      <c r="B14663">
        <v>2019</v>
      </c>
      <c r="C14663">
        <v>1</v>
      </c>
      <c r="D14663" s="11">
        <v>43466</v>
      </c>
      <c r="E14663" t="s">
        <v>2173</v>
      </c>
      <c r="F14663">
        <v>2</v>
      </c>
      <c r="G14663" t="s">
        <v>63</v>
      </c>
      <c r="H14663" t="s">
        <v>45</v>
      </c>
      <c r="I14663" t="s">
        <v>2193</v>
      </c>
      <c r="J14663" s="10">
        <v>0</v>
      </c>
      <c r="K14663" t="b">
        <v>1</v>
      </c>
    </row>
    <row r="14664" spans="1:11">
      <c r="A14664" s="12">
        <v>43473</v>
      </c>
      <c r="B14664">
        <v>2019</v>
      </c>
      <c r="C14664">
        <v>1</v>
      </c>
      <c r="D14664" s="11">
        <v>43466</v>
      </c>
      <c r="E14664" t="s">
        <v>2173</v>
      </c>
      <c r="F14664">
        <v>2</v>
      </c>
      <c r="G14664" t="s">
        <v>63</v>
      </c>
      <c r="H14664" t="s">
        <v>46</v>
      </c>
      <c r="I14664" t="s">
        <v>2194</v>
      </c>
      <c r="J14664" s="10">
        <v>10</v>
      </c>
      <c r="K14664" t="b">
        <v>1</v>
      </c>
    </row>
    <row r="14665" spans="1:11">
      <c r="A14665" s="12">
        <v>43473</v>
      </c>
      <c r="B14665">
        <v>2019</v>
      </c>
      <c r="C14665">
        <v>1</v>
      </c>
      <c r="D14665" s="11">
        <v>43466</v>
      </c>
      <c r="E14665" t="s">
        <v>2173</v>
      </c>
      <c r="F14665">
        <v>2</v>
      </c>
      <c r="G14665" t="s">
        <v>63</v>
      </c>
      <c r="H14665" t="s">
        <v>47</v>
      </c>
      <c r="I14665" t="s">
        <v>2195</v>
      </c>
      <c r="J14665" s="10">
        <v>2</v>
      </c>
      <c r="K14665" t="b">
        <v>1</v>
      </c>
    </row>
    <row r="14666" spans="1:11">
      <c r="A14666" s="12">
        <v>43474</v>
      </c>
      <c r="B14666">
        <v>2019</v>
      </c>
      <c r="C14666">
        <v>1</v>
      </c>
      <c r="D14666" s="11">
        <v>43466</v>
      </c>
      <c r="E14666" t="s">
        <v>2173</v>
      </c>
      <c r="F14666">
        <v>3</v>
      </c>
      <c r="G14666" t="s">
        <v>65</v>
      </c>
      <c r="H14666" t="s">
        <v>40</v>
      </c>
      <c r="I14666" t="s">
        <v>2188</v>
      </c>
      <c r="J14666" s="10">
        <v>3</v>
      </c>
      <c r="K14666" t="b">
        <v>1</v>
      </c>
    </row>
    <row r="14667" spans="1:11">
      <c r="A14667" s="12">
        <v>43474</v>
      </c>
      <c r="B14667">
        <v>2019</v>
      </c>
      <c r="C14667">
        <v>1</v>
      </c>
      <c r="D14667" s="11">
        <v>43466</v>
      </c>
      <c r="E14667" t="s">
        <v>2173</v>
      </c>
      <c r="F14667">
        <v>3</v>
      </c>
      <c r="G14667" t="s">
        <v>65</v>
      </c>
      <c r="H14667" t="s">
        <v>41</v>
      </c>
      <c r="I14667" t="s">
        <v>2189</v>
      </c>
      <c r="J14667" s="10">
        <v>1.33</v>
      </c>
      <c r="K14667" t="b">
        <v>1</v>
      </c>
    </row>
    <row r="14668" spans="1:11">
      <c r="A14668" s="12">
        <v>43474</v>
      </c>
      <c r="B14668">
        <v>2019</v>
      </c>
      <c r="C14668">
        <v>1</v>
      </c>
      <c r="D14668" s="11">
        <v>43466</v>
      </c>
      <c r="E14668" t="s">
        <v>2173</v>
      </c>
      <c r="F14668">
        <v>3</v>
      </c>
      <c r="G14668" t="s">
        <v>65</v>
      </c>
      <c r="H14668" t="s">
        <v>42</v>
      </c>
      <c r="I14668" t="s">
        <v>2190</v>
      </c>
      <c r="J14668" s="10">
        <v>2</v>
      </c>
      <c r="K14668" t="b">
        <v>1</v>
      </c>
    </row>
    <row r="14669" spans="1:11">
      <c r="A14669" s="12">
        <v>43474</v>
      </c>
      <c r="B14669">
        <v>2019</v>
      </c>
      <c r="C14669">
        <v>1</v>
      </c>
      <c r="D14669" s="11">
        <v>43466</v>
      </c>
      <c r="E14669" t="s">
        <v>2173</v>
      </c>
      <c r="F14669">
        <v>3</v>
      </c>
      <c r="G14669" t="s">
        <v>65</v>
      </c>
      <c r="H14669" t="s">
        <v>43</v>
      </c>
      <c r="I14669" t="s">
        <v>2191</v>
      </c>
      <c r="J14669" s="10">
        <v>64.8</v>
      </c>
      <c r="K14669" t="b">
        <v>1</v>
      </c>
    </row>
    <row r="14670" spans="1:11">
      <c r="A14670" s="12">
        <v>43474</v>
      </c>
      <c r="B14670">
        <v>2019</v>
      </c>
      <c r="C14670">
        <v>1</v>
      </c>
      <c r="D14670" s="11">
        <v>43466</v>
      </c>
      <c r="E14670" t="s">
        <v>2173</v>
      </c>
      <c r="F14670">
        <v>3</v>
      </c>
      <c r="G14670" t="s">
        <v>65</v>
      </c>
      <c r="H14670" t="s">
        <v>44</v>
      </c>
      <c r="I14670" t="s">
        <v>2192</v>
      </c>
      <c r="J14670" s="10">
        <v>24</v>
      </c>
      <c r="K14670" t="b">
        <v>1</v>
      </c>
    </row>
    <row r="14671" spans="1:11">
      <c r="A14671" s="12">
        <v>43474</v>
      </c>
      <c r="B14671">
        <v>2019</v>
      </c>
      <c r="C14671">
        <v>1</v>
      </c>
      <c r="D14671" s="11">
        <v>43466</v>
      </c>
      <c r="E14671" t="s">
        <v>2173</v>
      </c>
      <c r="F14671">
        <v>3</v>
      </c>
      <c r="G14671" t="s">
        <v>65</v>
      </c>
      <c r="H14671" t="s">
        <v>45</v>
      </c>
      <c r="I14671" t="s">
        <v>2193</v>
      </c>
      <c r="J14671" s="10">
        <v>3</v>
      </c>
      <c r="K14671" t="b">
        <v>1</v>
      </c>
    </row>
    <row r="14672" spans="1:11">
      <c r="A14672" s="12">
        <v>43474</v>
      </c>
      <c r="B14672">
        <v>2019</v>
      </c>
      <c r="C14672">
        <v>1</v>
      </c>
      <c r="D14672" s="11">
        <v>43466</v>
      </c>
      <c r="E14672" t="s">
        <v>2173</v>
      </c>
      <c r="F14672">
        <v>3</v>
      </c>
      <c r="G14672" t="s">
        <v>65</v>
      </c>
      <c r="H14672" t="s">
        <v>46</v>
      </c>
      <c r="I14672" t="s">
        <v>2194</v>
      </c>
      <c r="J14672" s="10">
        <v>10</v>
      </c>
      <c r="K14672" t="b">
        <v>1</v>
      </c>
    </row>
    <row r="14673" spans="1:11">
      <c r="A14673" s="12">
        <v>43474</v>
      </c>
      <c r="B14673">
        <v>2019</v>
      </c>
      <c r="C14673">
        <v>1</v>
      </c>
      <c r="D14673" s="11">
        <v>43466</v>
      </c>
      <c r="E14673" t="s">
        <v>2173</v>
      </c>
      <c r="F14673">
        <v>3</v>
      </c>
      <c r="G14673" t="s">
        <v>65</v>
      </c>
      <c r="H14673" t="s">
        <v>47</v>
      </c>
      <c r="I14673" t="s">
        <v>2195</v>
      </c>
      <c r="J14673" s="10">
        <v>1</v>
      </c>
      <c r="K14673" t="b">
        <v>1</v>
      </c>
    </row>
    <row r="14674" spans="1:11">
      <c r="A14674" s="12">
        <v>43475</v>
      </c>
      <c r="B14674">
        <v>2019</v>
      </c>
      <c r="C14674">
        <v>1</v>
      </c>
      <c r="D14674" s="11">
        <v>43466</v>
      </c>
      <c r="E14674" t="s">
        <v>2173</v>
      </c>
      <c r="F14674">
        <v>4</v>
      </c>
      <c r="G14674" t="s">
        <v>53</v>
      </c>
      <c r="H14674" t="s">
        <v>40</v>
      </c>
      <c r="I14674" t="s">
        <v>2188</v>
      </c>
      <c r="J14674" s="10">
        <v>8</v>
      </c>
      <c r="K14674" t="b">
        <v>1</v>
      </c>
    </row>
    <row r="14675" spans="1:11">
      <c r="A14675" s="12">
        <v>43475</v>
      </c>
      <c r="B14675">
        <v>2019</v>
      </c>
      <c r="C14675">
        <v>1</v>
      </c>
      <c r="D14675" s="11">
        <v>43466</v>
      </c>
      <c r="E14675" t="s">
        <v>2173</v>
      </c>
      <c r="F14675">
        <v>4</v>
      </c>
      <c r="G14675" t="s">
        <v>53</v>
      </c>
      <c r="H14675" t="s">
        <v>41</v>
      </c>
      <c r="I14675" t="s">
        <v>2189</v>
      </c>
      <c r="J14675" s="10">
        <v>3.58</v>
      </c>
      <c r="K14675" t="b">
        <v>1</v>
      </c>
    </row>
    <row r="14676" spans="1:11">
      <c r="A14676" s="12">
        <v>43475</v>
      </c>
      <c r="B14676">
        <v>2019</v>
      </c>
      <c r="C14676">
        <v>1</v>
      </c>
      <c r="D14676" s="11">
        <v>43466</v>
      </c>
      <c r="E14676" t="s">
        <v>2173</v>
      </c>
      <c r="F14676">
        <v>4</v>
      </c>
      <c r="G14676" t="s">
        <v>53</v>
      </c>
      <c r="H14676" t="s">
        <v>42</v>
      </c>
      <c r="I14676" t="s">
        <v>2190</v>
      </c>
      <c r="J14676" s="10">
        <v>5.6</v>
      </c>
      <c r="K14676" t="b">
        <v>1</v>
      </c>
    </row>
    <row r="14677" spans="1:11">
      <c r="A14677" s="12">
        <v>43475</v>
      </c>
      <c r="B14677">
        <v>2019</v>
      </c>
      <c r="C14677">
        <v>1</v>
      </c>
      <c r="D14677" s="11">
        <v>43466</v>
      </c>
      <c r="E14677" t="s">
        <v>2173</v>
      </c>
      <c r="F14677">
        <v>4</v>
      </c>
      <c r="G14677" t="s">
        <v>53</v>
      </c>
      <c r="H14677" t="s">
        <v>43</v>
      </c>
      <c r="I14677" t="s">
        <v>2191</v>
      </c>
      <c r="J14677" s="10">
        <v>39.1</v>
      </c>
      <c r="K14677" t="b">
        <v>1</v>
      </c>
    </row>
    <row r="14678" spans="1:11">
      <c r="A14678" s="12">
        <v>43475</v>
      </c>
      <c r="B14678">
        <v>2019</v>
      </c>
      <c r="C14678">
        <v>1</v>
      </c>
      <c r="D14678" s="11">
        <v>43466</v>
      </c>
      <c r="E14678" t="s">
        <v>2173</v>
      </c>
      <c r="F14678">
        <v>4</v>
      </c>
      <c r="G14678" t="s">
        <v>53</v>
      </c>
      <c r="H14678" t="s">
        <v>44</v>
      </c>
      <c r="I14678" t="s">
        <v>2192</v>
      </c>
      <c r="J14678" s="10">
        <v>12</v>
      </c>
      <c r="K14678" t="b">
        <v>1</v>
      </c>
    </row>
    <row r="14679" spans="1:11">
      <c r="A14679" s="12">
        <v>43475</v>
      </c>
      <c r="B14679">
        <v>2019</v>
      </c>
      <c r="C14679">
        <v>1</v>
      </c>
      <c r="D14679" s="11">
        <v>43466</v>
      </c>
      <c r="E14679" t="s">
        <v>2173</v>
      </c>
      <c r="F14679">
        <v>4</v>
      </c>
      <c r="G14679" t="s">
        <v>53</v>
      </c>
      <c r="H14679" t="s">
        <v>45</v>
      </c>
      <c r="I14679" t="s">
        <v>2193</v>
      </c>
      <c r="J14679" s="10">
        <v>2</v>
      </c>
      <c r="K14679" t="b">
        <v>1</v>
      </c>
    </row>
    <row r="14680" spans="1:11">
      <c r="A14680" s="12">
        <v>43475</v>
      </c>
      <c r="B14680">
        <v>2019</v>
      </c>
      <c r="C14680">
        <v>1</v>
      </c>
      <c r="D14680" s="11">
        <v>43466</v>
      </c>
      <c r="E14680" t="s">
        <v>2173</v>
      </c>
      <c r="F14680">
        <v>4</v>
      </c>
      <c r="G14680" t="s">
        <v>53</v>
      </c>
      <c r="H14680" t="s">
        <v>46</v>
      </c>
      <c r="I14680" t="s">
        <v>2194</v>
      </c>
      <c r="J14680" s="10">
        <v>13</v>
      </c>
      <c r="K14680" t="b">
        <v>1</v>
      </c>
    </row>
    <row r="14681" spans="1:11">
      <c r="A14681" s="12">
        <v>43475</v>
      </c>
      <c r="B14681">
        <v>2019</v>
      </c>
      <c r="C14681">
        <v>1</v>
      </c>
      <c r="D14681" s="11">
        <v>43466</v>
      </c>
      <c r="E14681" t="s">
        <v>2173</v>
      </c>
      <c r="F14681">
        <v>4</v>
      </c>
      <c r="G14681" t="s">
        <v>53</v>
      </c>
      <c r="H14681" t="s">
        <v>47</v>
      </c>
      <c r="I14681" t="s">
        <v>2195</v>
      </c>
      <c r="J14681" s="10">
        <v>1</v>
      </c>
      <c r="K14681" t="b">
        <v>1</v>
      </c>
    </row>
    <row r="14682" spans="1:11">
      <c r="A14682" s="12">
        <v>43476</v>
      </c>
      <c r="B14682">
        <v>2019</v>
      </c>
      <c r="C14682">
        <v>1</v>
      </c>
      <c r="D14682" s="11">
        <v>43466</v>
      </c>
      <c r="E14682" t="s">
        <v>2173</v>
      </c>
      <c r="F14682">
        <v>5</v>
      </c>
      <c r="G14682" t="s">
        <v>55</v>
      </c>
      <c r="H14682" t="s">
        <v>40</v>
      </c>
      <c r="I14682" t="s">
        <v>2188</v>
      </c>
      <c r="J14682" s="10">
        <v>5.33</v>
      </c>
      <c r="K14682" t="b">
        <v>1</v>
      </c>
    </row>
    <row r="14683" spans="1:11">
      <c r="A14683" s="12">
        <v>43476</v>
      </c>
      <c r="B14683">
        <v>2019</v>
      </c>
      <c r="C14683">
        <v>1</v>
      </c>
      <c r="D14683" s="11">
        <v>43466</v>
      </c>
      <c r="E14683" t="s">
        <v>2173</v>
      </c>
      <c r="F14683">
        <v>5</v>
      </c>
      <c r="G14683" t="s">
        <v>55</v>
      </c>
      <c r="H14683" t="s">
        <v>41</v>
      </c>
      <c r="I14683" t="s">
        <v>2189</v>
      </c>
      <c r="J14683" s="10">
        <v>7.34</v>
      </c>
      <c r="K14683" t="b">
        <v>1</v>
      </c>
    </row>
    <row r="14684" spans="1:11">
      <c r="A14684" s="12">
        <v>43476</v>
      </c>
      <c r="B14684">
        <v>2019</v>
      </c>
      <c r="C14684">
        <v>1</v>
      </c>
      <c r="D14684" s="11">
        <v>43466</v>
      </c>
      <c r="E14684" t="s">
        <v>2173</v>
      </c>
      <c r="F14684">
        <v>5</v>
      </c>
      <c r="G14684" t="s">
        <v>55</v>
      </c>
      <c r="H14684" t="s">
        <v>42</v>
      </c>
      <c r="I14684" t="s">
        <v>2190</v>
      </c>
      <c r="J14684" s="10">
        <v>3</v>
      </c>
      <c r="K14684" t="b">
        <v>1</v>
      </c>
    </row>
    <row r="14685" spans="1:11">
      <c r="A14685" s="12">
        <v>43476</v>
      </c>
      <c r="B14685">
        <v>2019</v>
      </c>
      <c r="C14685">
        <v>1</v>
      </c>
      <c r="D14685" s="11">
        <v>43466</v>
      </c>
      <c r="E14685" t="s">
        <v>2173</v>
      </c>
      <c r="F14685">
        <v>5</v>
      </c>
      <c r="G14685" t="s">
        <v>55</v>
      </c>
      <c r="H14685" t="s">
        <v>43</v>
      </c>
      <c r="I14685" t="s">
        <v>2191</v>
      </c>
      <c r="J14685" s="10">
        <v>61.6</v>
      </c>
      <c r="K14685" t="b">
        <v>1</v>
      </c>
    </row>
    <row r="14686" spans="1:11">
      <c r="A14686" s="12">
        <v>43476</v>
      </c>
      <c r="B14686">
        <v>2019</v>
      </c>
      <c r="C14686">
        <v>1</v>
      </c>
      <c r="D14686" s="11">
        <v>43466</v>
      </c>
      <c r="E14686" t="s">
        <v>2173</v>
      </c>
      <c r="F14686">
        <v>5</v>
      </c>
      <c r="G14686" t="s">
        <v>55</v>
      </c>
      <c r="H14686" t="s">
        <v>44</v>
      </c>
      <c r="I14686" t="s">
        <v>2192</v>
      </c>
      <c r="J14686" s="10">
        <v>12</v>
      </c>
      <c r="K14686" t="b">
        <v>1</v>
      </c>
    </row>
    <row r="14687" spans="1:11">
      <c r="A14687" s="12">
        <v>43476</v>
      </c>
      <c r="B14687">
        <v>2019</v>
      </c>
      <c r="C14687">
        <v>1</v>
      </c>
      <c r="D14687" s="11">
        <v>43466</v>
      </c>
      <c r="E14687" t="s">
        <v>2173</v>
      </c>
      <c r="F14687">
        <v>5</v>
      </c>
      <c r="G14687" t="s">
        <v>55</v>
      </c>
      <c r="H14687" t="s">
        <v>45</v>
      </c>
      <c r="I14687" t="s">
        <v>2193</v>
      </c>
      <c r="J14687" s="10">
        <v>0</v>
      </c>
      <c r="K14687" t="b">
        <v>1</v>
      </c>
    </row>
    <row r="14688" spans="1:11">
      <c r="A14688" s="12">
        <v>43476</v>
      </c>
      <c r="B14688">
        <v>2019</v>
      </c>
      <c r="C14688">
        <v>1</v>
      </c>
      <c r="D14688" s="11">
        <v>43466</v>
      </c>
      <c r="E14688" t="s">
        <v>2173</v>
      </c>
      <c r="F14688">
        <v>5</v>
      </c>
      <c r="G14688" t="s">
        <v>55</v>
      </c>
      <c r="H14688" t="s">
        <v>46</v>
      </c>
      <c r="I14688" t="s">
        <v>2194</v>
      </c>
      <c r="J14688" s="10">
        <v>6</v>
      </c>
      <c r="K14688" t="b">
        <v>1</v>
      </c>
    </row>
    <row r="14689" spans="1:11">
      <c r="A14689" s="12">
        <v>43476</v>
      </c>
      <c r="B14689">
        <v>2019</v>
      </c>
      <c r="C14689">
        <v>1</v>
      </c>
      <c r="D14689" s="11">
        <v>43466</v>
      </c>
      <c r="E14689" t="s">
        <v>2173</v>
      </c>
      <c r="F14689">
        <v>5</v>
      </c>
      <c r="G14689" t="s">
        <v>55</v>
      </c>
      <c r="H14689" t="s">
        <v>47</v>
      </c>
      <c r="I14689" t="s">
        <v>2195</v>
      </c>
      <c r="J14689" s="10">
        <v>0</v>
      </c>
      <c r="K14689" t="b">
        <v>1</v>
      </c>
    </row>
    <row r="14690" spans="1:11">
      <c r="A14690" s="12">
        <v>43477</v>
      </c>
      <c r="B14690">
        <v>2019</v>
      </c>
      <c r="C14690">
        <v>1</v>
      </c>
      <c r="D14690" s="11">
        <v>43466</v>
      </c>
      <c r="E14690" t="s">
        <v>2173</v>
      </c>
      <c r="F14690">
        <v>6</v>
      </c>
      <c r="G14690" t="s">
        <v>57</v>
      </c>
      <c r="H14690" t="s">
        <v>40</v>
      </c>
      <c r="I14690" t="s">
        <v>2188</v>
      </c>
      <c r="J14690" s="10">
        <v>6.66</v>
      </c>
      <c r="K14690" t="b">
        <v>1</v>
      </c>
    </row>
    <row r="14691" spans="1:11">
      <c r="A14691" s="12">
        <v>43477</v>
      </c>
      <c r="B14691">
        <v>2019</v>
      </c>
      <c r="C14691">
        <v>1</v>
      </c>
      <c r="D14691" s="11">
        <v>43466</v>
      </c>
      <c r="E14691" t="s">
        <v>2173</v>
      </c>
      <c r="F14691">
        <v>6</v>
      </c>
      <c r="G14691" t="s">
        <v>57</v>
      </c>
      <c r="H14691" t="s">
        <v>41</v>
      </c>
      <c r="I14691" t="s">
        <v>2189</v>
      </c>
      <c r="J14691" s="10">
        <v>7.02</v>
      </c>
      <c r="K14691" t="b">
        <v>1</v>
      </c>
    </row>
    <row r="14692" spans="1:11">
      <c r="A14692" s="12">
        <v>43477</v>
      </c>
      <c r="B14692">
        <v>2019</v>
      </c>
      <c r="C14692">
        <v>1</v>
      </c>
      <c r="D14692" s="11">
        <v>43466</v>
      </c>
      <c r="E14692" t="s">
        <v>2173</v>
      </c>
      <c r="F14692">
        <v>6</v>
      </c>
      <c r="G14692" t="s">
        <v>57</v>
      </c>
      <c r="H14692" t="s">
        <v>42</v>
      </c>
      <c r="I14692" t="s">
        <v>2190</v>
      </c>
      <c r="J14692" s="10">
        <v>5</v>
      </c>
      <c r="K14692" t="b">
        <v>1</v>
      </c>
    </row>
    <row r="14693" spans="1:11">
      <c r="A14693" s="12">
        <v>43477</v>
      </c>
      <c r="B14693">
        <v>2019</v>
      </c>
      <c r="C14693">
        <v>1</v>
      </c>
      <c r="D14693" s="11">
        <v>43466</v>
      </c>
      <c r="E14693" t="s">
        <v>2173</v>
      </c>
      <c r="F14693">
        <v>6</v>
      </c>
      <c r="G14693" t="s">
        <v>57</v>
      </c>
      <c r="H14693" t="s">
        <v>43</v>
      </c>
      <c r="I14693" t="s">
        <v>2191</v>
      </c>
      <c r="J14693" s="10">
        <v>74.5</v>
      </c>
      <c r="K14693" t="b">
        <v>1</v>
      </c>
    </row>
    <row r="14694" spans="1:11">
      <c r="A14694" s="12">
        <v>43477</v>
      </c>
      <c r="B14694">
        <v>2019</v>
      </c>
      <c r="C14694">
        <v>1</v>
      </c>
      <c r="D14694" s="11">
        <v>43466</v>
      </c>
      <c r="E14694" t="s">
        <v>2173</v>
      </c>
      <c r="F14694">
        <v>6</v>
      </c>
      <c r="G14694" t="s">
        <v>57</v>
      </c>
      <c r="H14694" t="s">
        <v>44</v>
      </c>
      <c r="I14694" t="s">
        <v>2192</v>
      </c>
      <c r="J14694" s="10">
        <v>21.2</v>
      </c>
      <c r="K14694" t="b">
        <v>1</v>
      </c>
    </row>
    <row r="14695" spans="1:11">
      <c r="A14695" s="12">
        <v>43477</v>
      </c>
      <c r="B14695">
        <v>2019</v>
      </c>
      <c r="C14695">
        <v>1</v>
      </c>
      <c r="D14695" s="11">
        <v>43466</v>
      </c>
      <c r="E14695" t="s">
        <v>2173</v>
      </c>
      <c r="F14695">
        <v>6</v>
      </c>
      <c r="G14695" t="s">
        <v>57</v>
      </c>
      <c r="H14695" t="s">
        <v>45</v>
      </c>
      <c r="I14695" t="s">
        <v>2193</v>
      </c>
      <c r="J14695" s="10">
        <v>0</v>
      </c>
      <c r="K14695" t="b">
        <v>1</v>
      </c>
    </row>
    <row r="14696" spans="1:11">
      <c r="A14696" s="12">
        <v>43477</v>
      </c>
      <c r="B14696">
        <v>2019</v>
      </c>
      <c r="C14696">
        <v>1</v>
      </c>
      <c r="D14696" s="11">
        <v>43466</v>
      </c>
      <c r="E14696" t="s">
        <v>2173</v>
      </c>
      <c r="F14696">
        <v>6</v>
      </c>
      <c r="G14696" t="s">
        <v>57</v>
      </c>
      <c r="H14696" t="s">
        <v>46</v>
      </c>
      <c r="I14696" t="s">
        <v>2194</v>
      </c>
      <c r="J14696" s="10">
        <v>10</v>
      </c>
      <c r="K14696" t="b">
        <v>1</v>
      </c>
    </row>
    <row r="14697" spans="1:11">
      <c r="A14697" s="12">
        <v>43477</v>
      </c>
      <c r="B14697">
        <v>2019</v>
      </c>
      <c r="C14697">
        <v>1</v>
      </c>
      <c r="D14697" s="11">
        <v>43466</v>
      </c>
      <c r="E14697" t="s">
        <v>2173</v>
      </c>
      <c r="F14697">
        <v>6</v>
      </c>
      <c r="G14697" t="s">
        <v>57</v>
      </c>
      <c r="H14697" t="s">
        <v>47</v>
      </c>
      <c r="I14697" t="s">
        <v>2195</v>
      </c>
      <c r="J14697" s="10">
        <v>0</v>
      </c>
      <c r="K14697" t="b">
        <v>1</v>
      </c>
    </row>
    <row r="14698" spans="1:11">
      <c r="A14698" s="12">
        <v>43478</v>
      </c>
      <c r="B14698">
        <v>2019</v>
      </c>
      <c r="C14698">
        <v>1</v>
      </c>
      <c r="D14698" s="11">
        <v>43466</v>
      </c>
      <c r="E14698" t="s">
        <v>2173</v>
      </c>
      <c r="F14698">
        <v>7</v>
      </c>
      <c r="G14698" t="s">
        <v>59</v>
      </c>
      <c r="H14698" t="s">
        <v>40</v>
      </c>
      <c r="I14698" t="s">
        <v>2188</v>
      </c>
      <c r="J14698" s="10">
        <v>8.33</v>
      </c>
      <c r="K14698" t="b">
        <v>1</v>
      </c>
    </row>
    <row r="14699" spans="1:11">
      <c r="A14699" s="12">
        <v>43478</v>
      </c>
      <c r="B14699">
        <v>2019</v>
      </c>
      <c r="C14699">
        <v>1</v>
      </c>
      <c r="D14699" s="11">
        <v>43466</v>
      </c>
      <c r="E14699" t="s">
        <v>2173</v>
      </c>
      <c r="F14699">
        <v>7</v>
      </c>
      <c r="G14699" t="s">
        <v>59</v>
      </c>
      <c r="H14699" t="s">
        <v>41</v>
      </c>
      <c r="I14699" t="s">
        <v>2189</v>
      </c>
      <c r="J14699" s="10">
        <v>5.814</v>
      </c>
      <c r="K14699" t="b">
        <v>1</v>
      </c>
    </row>
    <row r="14700" spans="1:11">
      <c r="A14700" s="12">
        <v>43478</v>
      </c>
      <c r="B14700">
        <v>2019</v>
      </c>
      <c r="C14700">
        <v>1</v>
      </c>
      <c r="D14700" s="11">
        <v>43466</v>
      </c>
      <c r="E14700" t="s">
        <v>2173</v>
      </c>
      <c r="F14700">
        <v>7</v>
      </c>
      <c r="G14700" t="s">
        <v>59</v>
      </c>
      <c r="H14700" t="s">
        <v>42</v>
      </c>
      <c r="I14700" t="s">
        <v>2190</v>
      </c>
      <c r="J14700" s="10">
        <v>4.6</v>
      </c>
      <c r="K14700" t="b">
        <v>1</v>
      </c>
    </row>
    <row r="14701" spans="1:11">
      <c r="A14701" s="12">
        <v>43478</v>
      </c>
      <c r="B14701">
        <v>2019</v>
      </c>
      <c r="C14701">
        <v>1</v>
      </c>
      <c r="D14701" s="11">
        <v>43466</v>
      </c>
      <c r="E14701" t="s">
        <v>2173</v>
      </c>
      <c r="F14701">
        <v>7</v>
      </c>
      <c r="G14701" t="s">
        <v>59</v>
      </c>
      <c r="H14701" t="s">
        <v>43</v>
      </c>
      <c r="I14701" t="s">
        <v>2191</v>
      </c>
      <c r="J14701" s="10">
        <v>73</v>
      </c>
      <c r="K14701" t="b">
        <v>1</v>
      </c>
    </row>
    <row r="14702" spans="1:11">
      <c r="A14702" s="12">
        <v>43478</v>
      </c>
      <c r="B14702">
        <v>2019</v>
      </c>
      <c r="C14702">
        <v>1</v>
      </c>
      <c r="D14702" s="11">
        <v>43466</v>
      </c>
      <c r="E14702" t="s">
        <v>2173</v>
      </c>
      <c r="F14702">
        <v>7</v>
      </c>
      <c r="G14702" t="s">
        <v>59</v>
      </c>
      <c r="H14702" t="s">
        <v>44</v>
      </c>
      <c r="I14702" t="s">
        <v>2192</v>
      </c>
      <c r="J14702" s="10">
        <v>4</v>
      </c>
      <c r="K14702" t="b">
        <v>1</v>
      </c>
    </row>
    <row r="14703" spans="1:11">
      <c r="A14703" s="12">
        <v>43478</v>
      </c>
      <c r="B14703">
        <v>2019</v>
      </c>
      <c r="C14703">
        <v>1</v>
      </c>
      <c r="D14703" s="11">
        <v>43466</v>
      </c>
      <c r="E14703" t="s">
        <v>2173</v>
      </c>
      <c r="F14703">
        <v>7</v>
      </c>
      <c r="G14703" t="s">
        <v>59</v>
      </c>
      <c r="H14703" t="s">
        <v>45</v>
      </c>
      <c r="I14703" t="s">
        <v>2193</v>
      </c>
      <c r="J14703" s="10">
        <v>1</v>
      </c>
      <c r="K14703" t="b">
        <v>1</v>
      </c>
    </row>
    <row r="14704" spans="1:11">
      <c r="A14704" s="12">
        <v>43478</v>
      </c>
      <c r="B14704">
        <v>2019</v>
      </c>
      <c r="C14704">
        <v>1</v>
      </c>
      <c r="D14704" s="11">
        <v>43466</v>
      </c>
      <c r="E14704" t="s">
        <v>2173</v>
      </c>
      <c r="F14704">
        <v>7</v>
      </c>
      <c r="G14704" t="s">
        <v>59</v>
      </c>
      <c r="H14704" t="s">
        <v>46</v>
      </c>
      <c r="I14704" t="s">
        <v>2194</v>
      </c>
      <c r="J14704" s="10">
        <v>1</v>
      </c>
      <c r="K14704" t="b">
        <v>1</v>
      </c>
    </row>
    <row r="14705" spans="1:11">
      <c r="A14705" s="12">
        <v>43478</v>
      </c>
      <c r="B14705">
        <v>2019</v>
      </c>
      <c r="C14705">
        <v>1</v>
      </c>
      <c r="D14705" s="11">
        <v>43466</v>
      </c>
      <c r="E14705" t="s">
        <v>2173</v>
      </c>
      <c r="F14705">
        <v>7</v>
      </c>
      <c r="G14705" t="s">
        <v>59</v>
      </c>
      <c r="H14705" t="s">
        <v>47</v>
      </c>
      <c r="I14705" t="s">
        <v>2195</v>
      </c>
      <c r="J14705" s="10">
        <v>2</v>
      </c>
      <c r="K14705" t="b">
        <v>1</v>
      </c>
    </row>
    <row r="14706" spans="1:11">
      <c r="A14706" s="12">
        <v>43479</v>
      </c>
      <c r="B14706">
        <v>2019</v>
      </c>
      <c r="C14706">
        <v>1</v>
      </c>
      <c r="D14706" s="11">
        <v>43466</v>
      </c>
      <c r="E14706" t="s">
        <v>2173</v>
      </c>
      <c r="F14706">
        <v>1</v>
      </c>
      <c r="G14706" t="s">
        <v>61</v>
      </c>
      <c r="H14706" t="s">
        <v>40</v>
      </c>
      <c r="I14706" t="s">
        <v>2188</v>
      </c>
      <c r="J14706" s="10">
        <v>9</v>
      </c>
      <c r="K14706" t="b">
        <v>1</v>
      </c>
    </row>
    <row r="14707" spans="1:11">
      <c r="A14707" s="12">
        <v>43479</v>
      </c>
      <c r="B14707">
        <v>2019</v>
      </c>
      <c r="C14707">
        <v>1</v>
      </c>
      <c r="D14707" s="11">
        <v>43466</v>
      </c>
      <c r="E14707" t="s">
        <v>2173</v>
      </c>
      <c r="F14707">
        <v>1</v>
      </c>
      <c r="G14707" t="s">
        <v>61</v>
      </c>
      <c r="H14707" t="s">
        <v>41</v>
      </c>
      <c r="I14707" t="s">
        <v>2189</v>
      </c>
      <c r="J14707" s="10">
        <v>9.699999999999999</v>
      </c>
      <c r="K14707" t="b">
        <v>1</v>
      </c>
    </row>
    <row r="14708" spans="1:11">
      <c r="A14708" s="12">
        <v>43479</v>
      </c>
      <c r="B14708">
        <v>2019</v>
      </c>
      <c r="C14708">
        <v>1</v>
      </c>
      <c r="D14708" s="11">
        <v>43466</v>
      </c>
      <c r="E14708" t="s">
        <v>2173</v>
      </c>
      <c r="F14708">
        <v>1</v>
      </c>
      <c r="G14708" t="s">
        <v>61</v>
      </c>
      <c r="H14708" t="s">
        <v>42</v>
      </c>
      <c r="I14708" t="s">
        <v>2190</v>
      </c>
      <c r="J14708" s="10">
        <v>3</v>
      </c>
      <c r="K14708" t="b">
        <v>1</v>
      </c>
    </row>
    <row r="14709" spans="1:11">
      <c r="A14709" s="12">
        <v>43479</v>
      </c>
      <c r="B14709">
        <v>2019</v>
      </c>
      <c r="C14709">
        <v>1</v>
      </c>
      <c r="D14709" s="11">
        <v>43466</v>
      </c>
      <c r="E14709" t="s">
        <v>2173</v>
      </c>
      <c r="F14709">
        <v>1</v>
      </c>
      <c r="G14709" t="s">
        <v>61</v>
      </c>
      <c r="H14709" t="s">
        <v>43</v>
      </c>
      <c r="I14709" t="s">
        <v>2191</v>
      </c>
      <c r="J14709" s="10">
        <v>51</v>
      </c>
      <c r="K14709" t="b">
        <v>1</v>
      </c>
    </row>
    <row r="14710" spans="1:11">
      <c r="A14710" s="12">
        <v>43479</v>
      </c>
      <c r="B14710">
        <v>2019</v>
      </c>
      <c r="C14710">
        <v>1</v>
      </c>
      <c r="D14710" s="11">
        <v>43466</v>
      </c>
      <c r="E14710" t="s">
        <v>2173</v>
      </c>
      <c r="F14710">
        <v>1</v>
      </c>
      <c r="G14710" t="s">
        <v>61</v>
      </c>
      <c r="H14710" t="s">
        <v>44</v>
      </c>
      <c r="I14710" t="s">
        <v>2192</v>
      </c>
      <c r="J14710" s="10">
        <v>10</v>
      </c>
      <c r="K14710" t="b">
        <v>1</v>
      </c>
    </row>
    <row r="14711" spans="1:11">
      <c r="A14711" s="12">
        <v>43479</v>
      </c>
      <c r="B14711">
        <v>2019</v>
      </c>
      <c r="C14711">
        <v>1</v>
      </c>
      <c r="D14711" s="11">
        <v>43466</v>
      </c>
      <c r="E14711" t="s">
        <v>2173</v>
      </c>
      <c r="F14711">
        <v>1</v>
      </c>
      <c r="G14711" t="s">
        <v>61</v>
      </c>
      <c r="H14711" t="s">
        <v>45</v>
      </c>
      <c r="I14711" t="s">
        <v>2193</v>
      </c>
      <c r="J14711" s="10">
        <v>0</v>
      </c>
      <c r="K14711" t="b">
        <v>1</v>
      </c>
    </row>
    <row r="14712" spans="1:11">
      <c r="A14712" s="12">
        <v>43479</v>
      </c>
      <c r="B14712">
        <v>2019</v>
      </c>
      <c r="C14712">
        <v>1</v>
      </c>
      <c r="D14712" s="11">
        <v>43466</v>
      </c>
      <c r="E14712" t="s">
        <v>2173</v>
      </c>
      <c r="F14712">
        <v>1</v>
      </c>
      <c r="G14712" t="s">
        <v>61</v>
      </c>
      <c r="H14712" t="s">
        <v>46</v>
      </c>
      <c r="I14712" t="s">
        <v>2194</v>
      </c>
      <c r="J14712" s="10">
        <v>18</v>
      </c>
      <c r="K14712" t="b">
        <v>1</v>
      </c>
    </row>
    <row r="14713" spans="1:11">
      <c r="A14713" s="12">
        <v>43479</v>
      </c>
      <c r="B14713">
        <v>2019</v>
      </c>
      <c r="C14713">
        <v>1</v>
      </c>
      <c r="D14713" s="11">
        <v>43466</v>
      </c>
      <c r="E14713" t="s">
        <v>2173</v>
      </c>
      <c r="F14713">
        <v>1</v>
      </c>
      <c r="G14713" t="s">
        <v>61</v>
      </c>
      <c r="H14713" t="s">
        <v>47</v>
      </c>
      <c r="I14713" t="s">
        <v>2195</v>
      </c>
      <c r="J14713" s="10">
        <v>0</v>
      </c>
      <c r="K14713" t="b">
        <v>1</v>
      </c>
    </row>
    <row r="14714" spans="1:11">
      <c r="A14714" s="12">
        <v>43480</v>
      </c>
      <c r="B14714">
        <v>2019</v>
      </c>
      <c r="C14714">
        <v>1</v>
      </c>
      <c r="D14714" s="11">
        <v>43466</v>
      </c>
      <c r="E14714" t="s">
        <v>2173</v>
      </c>
      <c r="F14714">
        <v>2</v>
      </c>
      <c r="G14714" t="s">
        <v>63</v>
      </c>
      <c r="H14714" t="s">
        <v>40</v>
      </c>
      <c r="I14714" t="s">
        <v>2188</v>
      </c>
      <c r="J14714" s="10">
        <v>4.33</v>
      </c>
      <c r="K14714" t="b">
        <v>1</v>
      </c>
    </row>
    <row r="14715" spans="1:11">
      <c r="A14715" s="12">
        <v>43480</v>
      </c>
      <c r="B14715">
        <v>2019</v>
      </c>
      <c r="C14715">
        <v>1</v>
      </c>
      <c r="D14715" s="11">
        <v>43466</v>
      </c>
      <c r="E14715" t="s">
        <v>2173</v>
      </c>
      <c r="F14715">
        <v>2</v>
      </c>
      <c r="G14715" t="s">
        <v>63</v>
      </c>
      <c r="H14715" t="s">
        <v>41</v>
      </c>
      <c r="I14715" t="s">
        <v>2189</v>
      </c>
      <c r="J14715" s="10">
        <v>4.33</v>
      </c>
      <c r="K14715" t="b">
        <v>1</v>
      </c>
    </row>
    <row r="14716" spans="1:11">
      <c r="A14716" s="12">
        <v>43480</v>
      </c>
      <c r="B14716">
        <v>2019</v>
      </c>
      <c r="C14716">
        <v>1</v>
      </c>
      <c r="D14716" s="11">
        <v>43466</v>
      </c>
      <c r="E14716" t="s">
        <v>2173</v>
      </c>
      <c r="F14716">
        <v>2</v>
      </c>
      <c r="G14716" t="s">
        <v>63</v>
      </c>
      <c r="H14716" t="s">
        <v>42</v>
      </c>
      <c r="I14716" t="s">
        <v>2190</v>
      </c>
      <c r="J14716" s="10">
        <v>3.65</v>
      </c>
      <c r="K14716" t="b">
        <v>1</v>
      </c>
    </row>
    <row r="14717" spans="1:11">
      <c r="A14717" s="12">
        <v>43480</v>
      </c>
      <c r="B14717">
        <v>2019</v>
      </c>
      <c r="C14717">
        <v>1</v>
      </c>
      <c r="D14717" s="11">
        <v>43466</v>
      </c>
      <c r="E14717" t="s">
        <v>2173</v>
      </c>
      <c r="F14717">
        <v>2</v>
      </c>
      <c r="G14717" t="s">
        <v>63</v>
      </c>
      <c r="H14717" t="s">
        <v>43</v>
      </c>
      <c r="I14717" t="s">
        <v>2191</v>
      </c>
      <c r="J14717" s="10">
        <v>30.4</v>
      </c>
      <c r="K14717" t="b">
        <v>1</v>
      </c>
    </row>
    <row r="14718" spans="1:11">
      <c r="A14718" s="12">
        <v>43480</v>
      </c>
      <c r="B14718">
        <v>2019</v>
      </c>
      <c r="C14718">
        <v>1</v>
      </c>
      <c r="D14718" s="11">
        <v>43466</v>
      </c>
      <c r="E14718" t="s">
        <v>2173</v>
      </c>
      <c r="F14718">
        <v>2</v>
      </c>
      <c r="G14718" t="s">
        <v>63</v>
      </c>
      <c r="H14718" t="s">
        <v>44</v>
      </c>
      <c r="I14718" t="s">
        <v>2192</v>
      </c>
      <c r="J14718" s="10">
        <v>9</v>
      </c>
      <c r="K14718" t="b">
        <v>1</v>
      </c>
    </row>
    <row r="14719" spans="1:11">
      <c r="A14719" s="12">
        <v>43480</v>
      </c>
      <c r="B14719">
        <v>2019</v>
      </c>
      <c r="C14719">
        <v>1</v>
      </c>
      <c r="D14719" s="11">
        <v>43466</v>
      </c>
      <c r="E14719" t="s">
        <v>2173</v>
      </c>
      <c r="F14719">
        <v>2</v>
      </c>
      <c r="G14719" t="s">
        <v>63</v>
      </c>
      <c r="H14719" t="s">
        <v>45</v>
      </c>
      <c r="I14719" t="s">
        <v>2193</v>
      </c>
      <c r="J14719" s="10">
        <v>0</v>
      </c>
      <c r="K14719" t="b">
        <v>1</v>
      </c>
    </row>
    <row r="14720" spans="1:11">
      <c r="A14720" s="12">
        <v>43480</v>
      </c>
      <c r="B14720">
        <v>2019</v>
      </c>
      <c r="C14720">
        <v>1</v>
      </c>
      <c r="D14720" s="11">
        <v>43466</v>
      </c>
      <c r="E14720" t="s">
        <v>2173</v>
      </c>
      <c r="F14720">
        <v>2</v>
      </c>
      <c r="G14720" t="s">
        <v>63</v>
      </c>
      <c r="H14720" t="s">
        <v>46</v>
      </c>
      <c r="I14720" t="s">
        <v>2194</v>
      </c>
      <c r="J14720" s="10">
        <v>19</v>
      </c>
      <c r="K14720" t="b">
        <v>1</v>
      </c>
    </row>
    <row r="14721" spans="1:11">
      <c r="A14721" s="12">
        <v>43480</v>
      </c>
      <c r="B14721">
        <v>2019</v>
      </c>
      <c r="C14721">
        <v>1</v>
      </c>
      <c r="D14721" s="11">
        <v>43466</v>
      </c>
      <c r="E14721" t="s">
        <v>2173</v>
      </c>
      <c r="F14721">
        <v>2</v>
      </c>
      <c r="G14721" t="s">
        <v>63</v>
      </c>
      <c r="H14721" t="s">
        <v>47</v>
      </c>
      <c r="I14721" t="s">
        <v>2195</v>
      </c>
      <c r="J14721" s="10">
        <v>1</v>
      </c>
      <c r="K14721" t="b">
        <v>1</v>
      </c>
    </row>
    <row r="14722" spans="1:11">
      <c r="A14722" s="12">
        <v>43481</v>
      </c>
      <c r="B14722">
        <v>2019</v>
      </c>
      <c r="C14722">
        <v>1</v>
      </c>
      <c r="D14722" s="11">
        <v>43466</v>
      </c>
      <c r="E14722" t="s">
        <v>2173</v>
      </c>
      <c r="F14722">
        <v>3</v>
      </c>
      <c r="G14722" t="s">
        <v>65</v>
      </c>
      <c r="H14722" t="s">
        <v>40</v>
      </c>
      <c r="I14722" t="s">
        <v>2188</v>
      </c>
      <c r="J14722" s="10">
        <v>7.5</v>
      </c>
      <c r="K14722" t="b">
        <v>1</v>
      </c>
    </row>
    <row r="14723" spans="1:11">
      <c r="A14723" s="12">
        <v>43481</v>
      </c>
      <c r="B14723">
        <v>2019</v>
      </c>
      <c r="C14723">
        <v>1</v>
      </c>
      <c r="D14723" s="11">
        <v>43466</v>
      </c>
      <c r="E14723" t="s">
        <v>2173</v>
      </c>
      <c r="F14723">
        <v>3</v>
      </c>
      <c r="G14723" t="s">
        <v>65</v>
      </c>
      <c r="H14723" t="s">
        <v>41</v>
      </c>
      <c r="I14723" t="s">
        <v>2189</v>
      </c>
      <c r="J14723" s="10">
        <v>5.066</v>
      </c>
      <c r="K14723" t="b">
        <v>1</v>
      </c>
    </row>
    <row r="14724" spans="1:11">
      <c r="A14724" s="12">
        <v>43481</v>
      </c>
      <c r="B14724">
        <v>2019</v>
      </c>
      <c r="C14724">
        <v>1</v>
      </c>
      <c r="D14724" s="11">
        <v>43466</v>
      </c>
      <c r="E14724" t="s">
        <v>2173</v>
      </c>
      <c r="F14724">
        <v>3</v>
      </c>
      <c r="G14724" t="s">
        <v>65</v>
      </c>
      <c r="H14724" t="s">
        <v>42</v>
      </c>
      <c r="I14724" t="s">
        <v>2190</v>
      </c>
      <c r="J14724" s="10">
        <v>6</v>
      </c>
      <c r="K14724" t="b">
        <v>1</v>
      </c>
    </row>
    <row r="14725" spans="1:11">
      <c r="A14725" s="12">
        <v>43481</v>
      </c>
      <c r="B14725">
        <v>2019</v>
      </c>
      <c r="C14725">
        <v>1</v>
      </c>
      <c r="D14725" s="11">
        <v>43466</v>
      </c>
      <c r="E14725" t="s">
        <v>2173</v>
      </c>
      <c r="F14725">
        <v>3</v>
      </c>
      <c r="G14725" t="s">
        <v>65</v>
      </c>
      <c r="H14725" t="s">
        <v>43</v>
      </c>
      <c r="I14725" t="s">
        <v>2191</v>
      </c>
      <c r="J14725" s="10">
        <v>48.8</v>
      </c>
      <c r="K14725" t="b">
        <v>1</v>
      </c>
    </row>
    <row r="14726" spans="1:11">
      <c r="A14726" s="12">
        <v>43481</v>
      </c>
      <c r="B14726">
        <v>2019</v>
      </c>
      <c r="C14726">
        <v>1</v>
      </c>
      <c r="D14726" s="11">
        <v>43466</v>
      </c>
      <c r="E14726" t="s">
        <v>2173</v>
      </c>
      <c r="F14726">
        <v>3</v>
      </c>
      <c r="G14726" t="s">
        <v>65</v>
      </c>
      <c r="H14726" t="s">
        <v>44</v>
      </c>
      <c r="I14726" t="s">
        <v>2192</v>
      </c>
      <c r="J14726" s="10">
        <v>12</v>
      </c>
      <c r="K14726" t="b">
        <v>1</v>
      </c>
    </row>
    <row r="14727" spans="1:11">
      <c r="A14727" s="12">
        <v>43481</v>
      </c>
      <c r="B14727">
        <v>2019</v>
      </c>
      <c r="C14727">
        <v>1</v>
      </c>
      <c r="D14727" s="11">
        <v>43466</v>
      </c>
      <c r="E14727" t="s">
        <v>2173</v>
      </c>
      <c r="F14727">
        <v>3</v>
      </c>
      <c r="G14727" t="s">
        <v>65</v>
      </c>
      <c r="H14727" t="s">
        <v>45</v>
      </c>
      <c r="I14727" t="s">
        <v>2193</v>
      </c>
      <c r="J14727" s="10">
        <v>0</v>
      </c>
      <c r="K14727" t="b">
        <v>1</v>
      </c>
    </row>
    <row r="14728" spans="1:11">
      <c r="A14728" s="12">
        <v>43481</v>
      </c>
      <c r="B14728">
        <v>2019</v>
      </c>
      <c r="C14728">
        <v>1</v>
      </c>
      <c r="D14728" s="11">
        <v>43466</v>
      </c>
      <c r="E14728" t="s">
        <v>2173</v>
      </c>
      <c r="F14728">
        <v>3</v>
      </c>
      <c r="G14728" t="s">
        <v>65</v>
      </c>
      <c r="H14728" t="s">
        <v>46</v>
      </c>
      <c r="I14728" t="s">
        <v>2194</v>
      </c>
      <c r="J14728" s="10">
        <v>17</v>
      </c>
      <c r="K14728" t="b">
        <v>1</v>
      </c>
    </row>
    <row r="14729" spans="1:11">
      <c r="A14729" s="12">
        <v>43481</v>
      </c>
      <c r="B14729">
        <v>2019</v>
      </c>
      <c r="C14729">
        <v>1</v>
      </c>
      <c r="D14729" s="11">
        <v>43466</v>
      </c>
      <c r="E14729" t="s">
        <v>2173</v>
      </c>
      <c r="F14729">
        <v>3</v>
      </c>
      <c r="G14729" t="s">
        <v>65</v>
      </c>
      <c r="H14729" t="s">
        <v>47</v>
      </c>
      <c r="I14729" t="s">
        <v>2195</v>
      </c>
      <c r="J14729" s="10">
        <v>5</v>
      </c>
      <c r="K14729" t="b">
        <v>1</v>
      </c>
    </row>
    <row r="14730" spans="1:11">
      <c r="A14730" s="12">
        <v>43482</v>
      </c>
      <c r="B14730">
        <v>2019</v>
      </c>
      <c r="C14730">
        <v>1</v>
      </c>
      <c r="D14730" s="11">
        <v>43466</v>
      </c>
      <c r="E14730" t="s">
        <v>2173</v>
      </c>
      <c r="F14730">
        <v>4</v>
      </c>
      <c r="G14730" t="s">
        <v>53</v>
      </c>
      <c r="H14730" t="s">
        <v>40</v>
      </c>
      <c r="I14730" t="s">
        <v>2188</v>
      </c>
      <c r="J14730" s="10">
        <v>5.34</v>
      </c>
      <c r="K14730" t="b">
        <v>1</v>
      </c>
    </row>
    <row r="14731" spans="1:11">
      <c r="A14731" s="12">
        <v>43482</v>
      </c>
      <c r="B14731">
        <v>2019</v>
      </c>
      <c r="C14731">
        <v>1</v>
      </c>
      <c r="D14731" s="11">
        <v>43466</v>
      </c>
      <c r="E14731" t="s">
        <v>2173</v>
      </c>
      <c r="F14731">
        <v>4</v>
      </c>
      <c r="G14731" t="s">
        <v>53</v>
      </c>
      <c r="H14731" t="s">
        <v>41</v>
      </c>
      <c r="I14731" t="s">
        <v>2189</v>
      </c>
      <c r="J14731" s="10">
        <v>3.68</v>
      </c>
      <c r="K14731" t="b">
        <v>1</v>
      </c>
    </row>
    <row r="14732" spans="1:11">
      <c r="A14732" s="12">
        <v>43482</v>
      </c>
      <c r="B14732">
        <v>2019</v>
      </c>
      <c r="C14732">
        <v>1</v>
      </c>
      <c r="D14732" s="11">
        <v>43466</v>
      </c>
      <c r="E14732" t="s">
        <v>2173</v>
      </c>
      <c r="F14732">
        <v>4</v>
      </c>
      <c r="G14732" t="s">
        <v>53</v>
      </c>
      <c r="H14732" t="s">
        <v>42</v>
      </c>
      <c r="I14732" t="s">
        <v>2190</v>
      </c>
      <c r="J14732" s="10">
        <v>3.7</v>
      </c>
      <c r="K14732" t="b">
        <v>1</v>
      </c>
    </row>
    <row r="14733" spans="1:11">
      <c r="A14733" s="12">
        <v>43482</v>
      </c>
      <c r="B14733">
        <v>2019</v>
      </c>
      <c r="C14733">
        <v>1</v>
      </c>
      <c r="D14733" s="11">
        <v>43466</v>
      </c>
      <c r="E14733" t="s">
        <v>2173</v>
      </c>
      <c r="F14733">
        <v>4</v>
      </c>
      <c r="G14733" t="s">
        <v>53</v>
      </c>
      <c r="H14733" t="s">
        <v>43</v>
      </c>
      <c r="I14733" t="s">
        <v>2191</v>
      </c>
      <c r="J14733" s="10">
        <v>55.6</v>
      </c>
      <c r="K14733" t="b">
        <v>1</v>
      </c>
    </row>
    <row r="14734" spans="1:11">
      <c r="A14734" s="12">
        <v>43482</v>
      </c>
      <c r="B14734">
        <v>2019</v>
      </c>
      <c r="C14734">
        <v>1</v>
      </c>
      <c r="D14734" s="11">
        <v>43466</v>
      </c>
      <c r="E14734" t="s">
        <v>2173</v>
      </c>
      <c r="F14734">
        <v>4</v>
      </c>
      <c r="G14734" t="s">
        <v>53</v>
      </c>
      <c r="H14734" t="s">
        <v>44</v>
      </c>
      <c r="I14734" t="s">
        <v>2192</v>
      </c>
      <c r="J14734" s="10">
        <v>10</v>
      </c>
      <c r="K14734" t="b">
        <v>1</v>
      </c>
    </row>
    <row r="14735" spans="1:11">
      <c r="A14735" s="12">
        <v>43482</v>
      </c>
      <c r="B14735">
        <v>2019</v>
      </c>
      <c r="C14735">
        <v>1</v>
      </c>
      <c r="D14735" s="11">
        <v>43466</v>
      </c>
      <c r="E14735" t="s">
        <v>2173</v>
      </c>
      <c r="F14735">
        <v>4</v>
      </c>
      <c r="G14735" t="s">
        <v>53</v>
      </c>
      <c r="H14735" t="s">
        <v>45</v>
      </c>
      <c r="I14735" t="s">
        <v>2193</v>
      </c>
      <c r="J14735" s="10">
        <v>3</v>
      </c>
      <c r="K14735" t="b">
        <v>1</v>
      </c>
    </row>
    <row r="14736" spans="1:11">
      <c r="A14736" s="12">
        <v>43482</v>
      </c>
      <c r="B14736">
        <v>2019</v>
      </c>
      <c r="C14736">
        <v>1</v>
      </c>
      <c r="D14736" s="11">
        <v>43466</v>
      </c>
      <c r="E14736" t="s">
        <v>2173</v>
      </c>
      <c r="F14736">
        <v>4</v>
      </c>
      <c r="G14736" t="s">
        <v>53</v>
      </c>
      <c r="H14736" t="s">
        <v>46</v>
      </c>
      <c r="I14736" t="s">
        <v>2194</v>
      </c>
      <c r="J14736" s="10">
        <v>8</v>
      </c>
      <c r="K14736" t="b">
        <v>1</v>
      </c>
    </row>
    <row r="14737" spans="1:11">
      <c r="A14737" s="12">
        <v>43482</v>
      </c>
      <c r="B14737">
        <v>2019</v>
      </c>
      <c r="C14737">
        <v>1</v>
      </c>
      <c r="D14737" s="11">
        <v>43466</v>
      </c>
      <c r="E14737" t="s">
        <v>2173</v>
      </c>
      <c r="F14737">
        <v>4</v>
      </c>
      <c r="G14737" t="s">
        <v>53</v>
      </c>
      <c r="H14737" t="s">
        <v>47</v>
      </c>
      <c r="I14737" t="s">
        <v>2195</v>
      </c>
      <c r="J14737" s="10">
        <v>1</v>
      </c>
      <c r="K14737" t="b">
        <v>1</v>
      </c>
    </row>
    <row r="14738" spans="1:11">
      <c r="A14738" s="12">
        <v>43483</v>
      </c>
      <c r="B14738">
        <v>2019</v>
      </c>
      <c r="C14738">
        <v>1</v>
      </c>
      <c r="D14738" s="11">
        <v>43466</v>
      </c>
      <c r="E14738" t="s">
        <v>2173</v>
      </c>
      <c r="F14738">
        <v>5</v>
      </c>
      <c r="G14738" t="s">
        <v>55</v>
      </c>
      <c r="H14738" t="s">
        <v>40</v>
      </c>
      <c r="I14738" t="s">
        <v>2188</v>
      </c>
      <c r="J14738" s="10">
        <v>6.33</v>
      </c>
      <c r="K14738" t="b">
        <v>1</v>
      </c>
    </row>
    <row r="14739" spans="1:11">
      <c r="A14739" s="12">
        <v>43483</v>
      </c>
      <c r="B14739">
        <v>2019</v>
      </c>
      <c r="C14739">
        <v>1</v>
      </c>
      <c r="D14739" s="11">
        <v>43466</v>
      </c>
      <c r="E14739" t="s">
        <v>2173</v>
      </c>
      <c r="F14739">
        <v>5</v>
      </c>
      <c r="G14739" t="s">
        <v>55</v>
      </c>
      <c r="H14739" t="s">
        <v>41</v>
      </c>
      <c r="I14739" t="s">
        <v>2189</v>
      </c>
      <c r="J14739" s="10">
        <v>6.439</v>
      </c>
      <c r="K14739" t="b">
        <v>1</v>
      </c>
    </row>
    <row r="14740" spans="1:11">
      <c r="A14740" s="12">
        <v>43483</v>
      </c>
      <c r="B14740">
        <v>2019</v>
      </c>
      <c r="C14740">
        <v>1</v>
      </c>
      <c r="D14740" s="11">
        <v>43466</v>
      </c>
      <c r="E14740" t="s">
        <v>2173</v>
      </c>
      <c r="F14740">
        <v>5</v>
      </c>
      <c r="G14740" t="s">
        <v>55</v>
      </c>
      <c r="H14740" t="s">
        <v>42</v>
      </c>
      <c r="I14740" t="s">
        <v>2190</v>
      </c>
      <c r="J14740" s="10">
        <v>4</v>
      </c>
      <c r="K14740" t="b">
        <v>1</v>
      </c>
    </row>
    <row r="14741" spans="1:11">
      <c r="A14741" s="12">
        <v>43483</v>
      </c>
      <c r="B14741">
        <v>2019</v>
      </c>
      <c r="C14741">
        <v>1</v>
      </c>
      <c r="D14741" s="11">
        <v>43466</v>
      </c>
      <c r="E14741" t="s">
        <v>2173</v>
      </c>
      <c r="F14741">
        <v>5</v>
      </c>
      <c r="G14741" t="s">
        <v>55</v>
      </c>
      <c r="H14741" t="s">
        <v>43</v>
      </c>
      <c r="I14741" t="s">
        <v>2191</v>
      </c>
      <c r="J14741" s="10">
        <v>27.8</v>
      </c>
      <c r="K14741" t="b">
        <v>1</v>
      </c>
    </row>
    <row r="14742" spans="1:11">
      <c r="A14742" s="12">
        <v>43483</v>
      </c>
      <c r="B14742">
        <v>2019</v>
      </c>
      <c r="C14742">
        <v>1</v>
      </c>
      <c r="D14742" s="11">
        <v>43466</v>
      </c>
      <c r="E14742" t="s">
        <v>2173</v>
      </c>
      <c r="F14742">
        <v>5</v>
      </c>
      <c r="G14742" t="s">
        <v>55</v>
      </c>
      <c r="H14742" t="s">
        <v>44</v>
      </c>
      <c r="I14742" t="s">
        <v>2192</v>
      </c>
      <c r="J14742" s="10">
        <v>13</v>
      </c>
      <c r="K14742" t="b">
        <v>1</v>
      </c>
    </row>
    <row r="14743" spans="1:11">
      <c r="A14743" s="12">
        <v>43483</v>
      </c>
      <c r="B14743">
        <v>2019</v>
      </c>
      <c r="C14743">
        <v>1</v>
      </c>
      <c r="D14743" s="11">
        <v>43466</v>
      </c>
      <c r="E14743" t="s">
        <v>2173</v>
      </c>
      <c r="F14743">
        <v>5</v>
      </c>
      <c r="G14743" t="s">
        <v>55</v>
      </c>
      <c r="H14743" t="s">
        <v>45</v>
      </c>
      <c r="I14743" t="s">
        <v>2193</v>
      </c>
      <c r="J14743" s="10">
        <v>0</v>
      </c>
      <c r="K14743" t="b">
        <v>1</v>
      </c>
    </row>
    <row r="14744" spans="1:11">
      <c r="A14744" s="12">
        <v>43483</v>
      </c>
      <c r="B14744">
        <v>2019</v>
      </c>
      <c r="C14744">
        <v>1</v>
      </c>
      <c r="D14744" s="11">
        <v>43466</v>
      </c>
      <c r="E14744" t="s">
        <v>2173</v>
      </c>
      <c r="F14744">
        <v>5</v>
      </c>
      <c r="G14744" t="s">
        <v>55</v>
      </c>
      <c r="H14744" t="s">
        <v>46</v>
      </c>
      <c r="I14744" t="s">
        <v>2194</v>
      </c>
      <c r="J14744" s="10">
        <v>24</v>
      </c>
      <c r="K14744" t="b">
        <v>1</v>
      </c>
    </row>
    <row r="14745" spans="1:11">
      <c r="A14745" s="12">
        <v>43483</v>
      </c>
      <c r="B14745">
        <v>2019</v>
      </c>
      <c r="C14745">
        <v>1</v>
      </c>
      <c r="D14745" s="11">
        <v>43466</v>
      </c>
      <c r="E14745" t="s">
        <v>2173</v>
      </c>
      <c r="F14745">
        <v>5</v>
      </c>
      <c r="G14745" t="s">
        <v>55</v>
      </c>
      <c r="H14745" t="s">
        <v>47</v>
      </c>
      <c r="I14745" t="s">
        <v>2195</v>
      </c>
      <c r="J14745" s="10">
        <v>2</v>
      </c>
      <c r="K14745" t="b">
        <v>1</v>
      </c>
    </row>
    <row r="14746" spans="1:11">
      <c r="A14746" s="12">
        <v>43484</v>
      </c>
      <c r="B14746">
        <v>2019</v>
      </c>
      <c r="C14746">
        <v>1</v>
      </c>
      <c r="D14746" s="11">
        <v>43466</v>
      </c>
      <c r="E14746" t="s">
        <v>2173</v>
      </c>
      <c r="F14746">
        <v>6</v>
      </c>
      <c r="G14746" t="s">
        <v>57</v>
      </c>
      <c r="H14746" t="s">
        <v>40</v>
      </c>
      <c r="I14746" t="s">
        <v>2188</v>
      </c>
      <c r="J14746" s="10">
        <v>7.02</v>
      </c>
      <c r="K14746" t="b">
        <v>1</v>
      </c>
    </row>
    <row r="14747" spans="1:11">
      <c r="A14747" s="12">
        <v>43484</v>
      </c>
      <c r="B14747">
        <v>2019</v>
      </c>
      <c r="C14747">
        <v>1</v>
      </c>
      <c r="D14747" s="11">
        <v>43466</v>
      </c>
      <c r="E14747" t="s">
        <v>2173</v>
      </c>
      <c r="F14747">
        <v>6</v>
      </c>
      <c r="G14747" t="s">
        <v>57</v>
      </c>
      <c r="H14747" t="s">
        <v>41</v>
      </c>
      <c r="I14747" t="s">
        <v>2189</v>
      </c>
      <c r="J14747" s="10">
        <v>8.391</v>
      </c>
      <c r="K14747" t="b">
        <v>1</v>
      </c>
    </row>
    <row r="14748" spans="1:11">
      <c r="A14748" s="12">
        <v>43484</v>
      </c>
      <c r="B14748">
        <v>2019</v>
      </c>
      <c r="C14748">
        <v>1</v>
      </c>
      <c r="D14748" s="11">
        <v>43466</v>
      </c>
      <c r="E14748" t="s">
        <v>2173</v>
      </c>
      <c r="F14748">
        <v>6</v>
      </c>
      <c r="G14748" t="s">
        <v>57</v>
      </c>
      <c r="H14748" t="s">
        <v>42</v>
      </c>
      <c r="I14748" t="s">
        <v>2190</v>
      </c>
      <c r="J14748" s="10">
        <v>5.5</v>
      </c>
      <c r="K14748" t="b">
        <v>1</v>
      </c>
    </row>
    <row r="14749" spans="1:11">
      <c r="A14749" s="12">
        <v>43484</v>
      </c>
      <c r="B14749">
        <v>2019</v>
      </c>
      <c r="C14749">
        <v>1</v>
      </c>
      <c r="D14749" s="11">
        <v>43466</v>
      </c>
      <c r="E14749" t="s">
        <v>2173</v>
      </c>
      <c r="F14749">
        <v>6</v>
      </c>
      <c r="G14749" t="s">
        <v>57</v>
      </c>
      <c r="H14749" t="s">
        <v>43</v>
      </c>
      <c r="I14749" t="s">
        <v>2191</v>
      </c>
      <c r="J14749" s="10">
        <v>77.40000000000001</v>
      </c>
      <c r="K14749" t="b">
        <v>1</v>
      </c>
    </row>
    <row r="14750" spans="1:11">
      <c r="A14750" s="12">
        <v>43484</v>
      </c>
      <c r="B14750">
        <v>2019</v>
      </c>
      <c r="C14750">
        <v>1</v>
      </c>
      <c r="D14750" s="11">
        <v>43466</v>
      </c>
      <c r="E14750" t="s">
        <v>2173</v>
      </c>
      <c r="F14750">
        <v>6</v>
      </c>
      <c r="G14750" t="s">
        <v>57</v>
      </c>
      <c r="H14750" t="s">
        <v>44</v>
      </c>
      <c r="I14750" t="s">
        <v>2192</v>
      </c>
      <c r="J14750" s="10">
        <v>9</v>
      </c>
      <c r="K14750" t="b">
        <v>1</v>
      </c>
    </row>
    <row r="14751" spans="1:11">
      <c r="A14751" s="12">
        <v>43484</v>
      </c>
      <c r="B14751">
        <v>2019</v>
      </c>
      <c r="C14751">
        <v>1</v>
      </c>
      <c r="D14751" s="11">
        <v>43466</v>
      </c>
      <c r="E14751" t="s">
        <v>2173</v>
      </c>
      <c r="F14751">
        <v>6</v>
      </c>
      <c r="G14751" t="s">
        <v>57</v>
      </c>
      <c r="H14751" t="s">
        <v>45</v>
      </c>
      <c r="I14751" t="s">
        <v>2193</v>
      </c>
      <c r="J14751" s="10">
        <v>0</v>
      </c>
      <c r="K14751" t="b">
        <v>1</v>
      </c>
    </row>
    <row r="14752" spans="1:11">
      <c r="A14752" s="12">
        <v>43484</v>
      </c>
      <c r="B14752">
        <v>2019</v>
      </c>
      <c r="C14752">
        <v>1</v>
      </c>
      <c r="D14752" s="11">
        <v>43466</v>
      </c>
      <c r="E14752" t="s">
        <v>2173</v>
      </c>
      <c r="F14752">
        <v>6</v>
      </c>
      <c r="G14752" t="s">
        <v>57</v>
      </c>
      <c r="H14752" t="s">
        <v>46</v>
      </c>
      <c r="I14752" t="s">
        <v>2194</v>
      </c>
      <c r="J14752" s="10">
        <v>1</v>
      </c>
      <c r="K14752" t="b">
        <v>1</v>
      </c>
    </row>
    <row r="14753" spans="1:11">
      <c r="A14753" s="12">
        <v>43484</v>
      </c>
      <c r="B14753">
        <v>2019</v>
      </c>
      <c r="C14753">
        <v>1</v>
      </c>
      <c r="D14753" s="11">
        <v>43466</v>
      </c>
      <c r="E14753" t="s">
        <v>2173</v>
      </c>
      <c r="F14753">
        <v>6</v>
      </c>
      <c r="G14753" t="s">
        <v>57</v>
      </c>
      <c r="H14753" t="s">
        <v>47</v>
      </c>
      <c r="I14753" t="s">
        <v>2195</v>
      </c>
      <c r="J14753" s="10">
        <v>3</v>
      </c>
      <c r="K14753" t="b">
        <v>1</v>
      </c>
    </row>
    <row r="14754" spans="1:11">
      <c r="A14754" s="12">
        <v>43485</v>
      </c>
      <c r="B14754">
        <v>2019</v>
      </c>
      <c r="C14754">
        <v>1</v>
      </c>
      <c r="D14754" s="11">
        <v>43466</v>
      </c>
      <c r="E14754" t="s">
        <v>2173</v>
      </c>
      <c r="F14754">
        <v>7</v>
      </c>
      <c r="G14754" t="s">
        <v>59</v>
      </c>
      <c r="H14754" t="s">
        <v>40</v>
      </c>
      <c r="I14754" t="s">
        <v>2188</v>
      </c>
      <c r="J14754" s="10">
        <v>11.67</v>
      </c>
      <c r="K14754" t="b">
        <v>1</v>
      </c>
    </row>
    <row r="14755" spans="1:11">
      <c r="A14755" s="12">
        <v>43485</v>
      </c>
      <c r="B14755">
        <v>2019</v>
      </c>
      <c r="C14755">
        <v>1</v>
      </c>
      <c r="D14755" s="11">
        <v>43466</v>
      </c>
      <c r="E14755" t="s">
        <v>2173</v>
      </c>
      <c r="F14755">
        <v>7</v>
      </c>
      <c r="G14755" t="s">
        <v>59</v>
      </c>
      <c r="H14755" t="s">
        <v>41</v>
      </c>
      <c r="I14755" t="s">
        <v>2189</v>
      </c>
      <c r="J14755" s="10">
        <v>14.463</v>
      </c>
      <c r="K14755" t="b">
        <v>1</v>
      </c>
    </row>
    <row r="14756" spans="1:11">
      <c r="A14756" s="12">
        <v>43485</v>
      </c>
      <c r="B14756">
        <v>2019</v>
      </c>
      <c r="C14756">
        <v>1</v>
      </c>
      <c r="D14756" s="11">
        <v>43466</v>
      </c>
      <c r="E14756" t="s">
        <v>2173</v>
      </c>
      <c r="F14756">
        <v>7</v>
      </c>
      <c r="G14756" t="s">
        <v>59</v>
      </c>
      <c r="H14756" t="s">
        <v>42</v>
      </c>
      <c r="I14756" t="s">
        <v>2190</v>
      </c>
      <c r="J14756" s="10">
        <v>2.1</v>
      </c>
      <c r="K14756" t="b">
        <v>1</v>
      </c>
    </row>
    <row r="14757" spans="1:11">
      <c r="A14757" s="12">
        <v>43485</v>
      </c>
      <c r="B14757">
        <v>2019</v>
      </c>
      <c r="C14757">
        <v>1</v>
      </c>
      <c r="D14757" s="11">
        <v>43466</v>
      </c>
      <c r="E14757" t="s">
        <v>2173</v>
      </c>
      <c r="F14757">
        <v>7</v>
      </c>
      <c r="G14757" t="s">
        <v>59</v>
      </c>
      <c r="H14757" t="s">
        <v>43</v>
      </c>
      <c r="I14757" t="s">
        <v>2191</v>
      </c>
      <c r="J14757" s="10">
        <v>93.05</v>
      </c>
      <c r="K14757" t="b">
        <v>1</v>
      </c>
    </row>
    <row r="14758" spans="1:11">
      <c r="A14758" s="12">
        <v>43485</v>
      </c>
      <c r="B14758">
        <v>2019</v>
      </c>
      <c r="C14758">
        <v>1</v>
      </c>
      <c r="D14758" s="11">
        <v>43466</v>
      </c>
      <c r="E14758" t="s">
        <v>2173</v>
      </c>
      <c r="F14758">
        <v>7</v>
      </c>
      <c r="G14758" t="s">
        <v>59</v>
      </c>
      <c r="H14758" t="s">
        <v>44</v>
      </c>
      <c r="I14758" t="s">
        <v>2192</v>
      </c>
      <c r="J14758" s="10">
        <v>6</v>
      </c>
      <c r="K14758" t="b">
        <v>1</v>
      </c>
    </row>
    <row r="14759" spans="1:11">
      <c r="A14759" s="12">
        <v>43485</v>
      </c>
      <c r="B14759">
        <v>2019</v>
      </c>
      <c r="C14759">
        <v>1</v>
      </c>
      <c r="D14759" s="11">
        <v>43466</v>
      </c>
      <c r="E14759" t="s">
        <v>2173</v>
      </c>
      <c r="F14759">
        <v>7</v>
      </c>
      <c r="G14759" t="s">
        <v>59</v>
      </c>
      <c r="H14759" t="s">
        <v>45</v>
      </c>
      <c r="I14759" t="s">
        <v>2193</v>
      </c>
      <c r="J14759" s="10">
        <v>0</v>
      </c>
      <c r="K14759" t="b">
        <v>1</v>
      </c>
    </row>
    <row r="14760" spans="1:11">
      <c r="A14760" s="12">
        <v>43485</v>
      </c>
      <c r="B14760">
        <v>2019</v>
      </c>
      <c r="C14760">
        <v>1</v>
      </c>
      <c r="D14760" s="11">
        <v>43466</v>
      </c>
      <c r="E14760" t="s">
        <v>2173</v>
      </c>
      <c r="F14760">
        <v>7</v>
      </c>
      <c r="G14760" t="s">
        <v>59</v>
      </c>
      <c r="H14760" t="s">
        <v>46</v>
      </c>
      <c r="I14760" t="s">
        <v>2194</v>
      </c>
      <c r="J14760" s="10">
        <v>34</v>
      </c>
      <c r="K14760" t="b">
        <v>1</v>
      </c>
    </row>
    <row r="14761" spans="1:11">
      <c r="A14761" s="12">
        <v>43485</v>
      </c>
      <c r="B14761">
        <v>2019</v>
      </c>
      <c r="C14761">
        <v>1</v>
      </c>
      <c r="D14761" s="11">
        <v>43466</v>
      </c>
      <c r="E14761" t="s">
        <v>2173</v>
      </c>
      <c r="F14761">
        <v>7</v>
      </c>
      <c r="G14761" t="s">
        <v>59</v>
      </c>
      <c r="H14761" t="s">
        <v>47</v>
      </c>
      <c r="I14761" t="s">
        <v>2195</v>
      </c>
      <c r="J14761" s="10">
        <v>1</v>
      </c>
      <c r="K14761" t="b">
        <v>1</v>
      </c>
    </row>
    <row r="14762" spans="1:11">
      <c r="A14762" s="12">
        <v>43486</v>
      </c>
      <c r="B14762">
        <v>2019</v>
      </c>
      <c r="C14762">
        <v>1</v>
      </c>
      <c r="D14762" s="11">
        <v>43466</v>
      </c>
      <c r="E14762" t="s">
        <v>2173</v>
      </c>
      <c r="F14762">
        <v>1</v>
      </c>
      <c r="G14762" t="s">
        <v>61</v>
      </c>
      <c r="H14762" t="s">
        <v>40</v>
      </c>
      <c r="I14762" t="s">
        <v>2188</v>
      </c>
      <c r="J14762" s="10">
        <v>4.34</v>
      </c>
      <c r="K14762" t="b">
        <v>1</v>
      </c>
    </row>
    <row r="14763" spans="1:11">
      <c r="A14763" s="12">
        <v>43486</v>
      </c>
      <c r="B14763">
        <v>2019</v>
      </c>
      <c r="C14763">
        <v>1</v>
      </c>
      <c r="D14763" s="11">
        <v>43466</v>
      </c>
      <c r="E14763" t="s">
        <v>2173</v>
      </c>
      <c r="F14763">
        <v>1</v>
      </c>
      <c r="G14763" t="s">
        <v>61</v>
      </c>
      <c r="H14763" t="s">
        <v>41</v>
      </c>
      <c r="I14763" t="s">
        <v>2189</v>
      </c>
      <c r="J14763" s="10">
        <v>5.825</v>
      </c>
      <c r="K14763" t="b">
        <v>1</v>
      </c>
    </row>
    <row r="14764" spans="1:11">
      <c r="A14764" s="12">
        <v>43486</v>
      </c>
      <c r="B14764">
        <v>2019</v>
      </c>
      <c r="C14764">
        <v>1</v>
      </c>
      <c r="D14764" s="11">
        <v>43466</v>
      </c>
      <c r="E14764" t="s">
        <v>2173</v>
      </c>
      <c r="F14764">
        <v>1</v>
      </c>
      <c r="G14764" t="s">
        <v>61</v>
      </c>
      <c r="H14764" t="s">
        <v>42</v>
      </c>
      <c r="I14764" t="s">
        <v>2190</v>
      </c>
      <c r="J14764" s="10">
        <v>0</v>
      </c>
      <c r="K14764" t="b">
        <v>1</v>
      </c>
    </row>
    <row r="14765" spans="1:11">
      <c r="A14765" s="12">
        <v>43486</v>
      </c>
      <c r="B14765">
        <v>2019</v>
      </c>
      <c r="C14765">
        <v>1</v>
      </c>
      <c r="D14765" s="11">
        <v>43466</v>
      </c>
      <c r="E14765" t="s">
        <v>2173</v>
      </c>
      <c r="F14765">
        <v>1</v>
      </c>
      <c r="G14765" t="s">
        <v>61</v>
      </c>
      <c r="H14765" t="s">
        <v>43</v>
      </c>
      <c r="I14765" t="s">
        <v>2191</v>
      </c>
      <c r="J14765" s="10">
        <v>67.15000000000001</v>
      </c>
      <c r="K14765" t="b">
        <v>1</v>
      </c>
    </row>
    <row r="14766" spans="1:11">
      <c r="A14766" s="12">
        <v>43486</v>
      </c>
      <c r="B14766">
        <v>2019</v>
      </c>
      <c r="C14766">
        <v>1</v>
      </c>
      <c r="D14766" s="11">
        <v>43466</v>
      </c>
      <c r="E14766" t="s">
        <v>2173</v>
      </c>
      <c r="F14766">
        <v>1</v>
      </c>
      <c r="G14766" t="s">
        <v>61</v>
      </c>
      <c r="H14766" t="s">
        <v>44</v>
      </c>
      <c r="I14766" t="s">
        <v>2192</v>
      </c>
      <c r="J14766" s="10">
        <v>11</v>
      </c>
      <c r="K14766" t="b">
        <v>1</v>
      </c>
    </row>
    <row r="14767" spans="1:11">
      <c r="A14767" s="12">
        <v>43486</v>
      </c>
      <c r="B14767">
        <v>2019</v>
      </c>
      <c r="C14767">
        <v>1</v>
      </c>
      <c r="D14767" s="11">
        <v>43466</v>
      </c>
      <c r="E14767" t="s">
        <v>2173</v>
      </c>
      <c r="F14767">
        <v>1</v>
      </c>
      <c r="G14767" t="s">
        <v>61</v>
      </c>
      <c r="H14767" t="s">
        <v>45</v>
      </c>
      <c r="I14767" t="s">
        <v>2193</v>
      </c>
      <c r="J14767" s="10">
        <v>0</v>
      </c>
      <c r="K14767" t="b">
        <v>1</v>
      </c>
    </row>
    <row r="14768" spans="1:11">
      <c r="A14768" s="12">
        <v>43486</v>
      </c>
      <c r="B14768">
        <v>2019</v>
      </c>
      <c r="C14768">
        <v>1</v>
      </c>
      <c r="D14768" s="11">
        <v>43466</v>
      </c>
      <c r="E14768" t="s">
        <v>2173</v>
      </c>
      <c r="F14768">
        <v>1</v>
      </c>
      <c r="G14768" t="s">
        <v>61</v>
      </c>
      <c r="H14768" t="s">
        <v>46</v>
      </c>
      <c r="I14768" t="s">
        <v>2194</v>
      </c>
      <c r="J14768" s="10">
        <v>31</v>
      </c>
      <c r="K14768" t="b">
        <v>1</v>
      </c>
    </row>
    <row r="14769" spans="1:11">
      <c r="A14769" s="12">
        <v>43486</v>
      </c>
      <c r="B14769">
        <v>2019</v>
      </c>
      <c r="C14769">
        <v>1</v>
      </c>
      <c r="D14769" s="11">
        <v>43466</v>
      </c>
      <c r="E14769" t="s">
        <v>2173</v>
      </c>
      <c r="F14769">
        <v>1</v>
      </c>
      <c r="G14769" t="s">
        <v>61</v>
      </c>
      <c r="H14769" t="s">
        <v>47</v>
      </c>
      <c r="I14769" t="s">
        <v>2195</v>
      </c>
      <c r="J14769" s="10">
        <v>0</v>
      </c>
      <c r="K14769" t="b">
        <v>1</v>
      </c>
    </row>
    <row r="14770" spans="1:11">
      <c r="A14770" s="12">
        <v>43487</v>
      </c>
      <c r="B14770">
        <v>2019</v>
      </c>
      <c r="C14770">
        <v>1</v>
      </c>
      <c r="D14770" s="11">
        <v>43466</v>
      </c>
      <c r="E14770" t="s">
        <v>2173</v>
      </c>
      <c r="F14770">
        <v>2</v>
      </c>
      <c r="G14770" t="s">
        <v>63</v>
      </c>
      <c r="H14770" t="s">
        <v>40</v>
      </c>
      <c r="I14770" t="s">
        <v>2188</v>
      </c>
      <c r="J14770" s="10">
        <v>6.83</v>
      </c>
      <c r="K14770" t="b">
        <v>1</v>
      </c>
    </row>
    <row r="14771" spans="1:11">
      <c r="A14771" s="12">
        <v>43487</v>
      </c>
      <c r="B14771">
        <v>2019</v>
      </c>
      <c r="C14771">
        <v>1</v>
      </c>
      <c r="D14771" s="11">
        <v>43466</v>
      </c>
      <c r="E14771" t="s">
        <v>2173</v>
      </c>
      <c r="F14771">
        <v>2</v>
      </c>
      <c r="G14771" t="s">
        <v>63</v>
      </c>
      <c r="H14771" t="s">
        <v>41</v>
      </c>
      <c r="I14771" t="s">
        <v>2189</v>
      </c>
      <c r="J14771" s="10">
        <v>7.076</v>
      </c>
      <c r="K14771" t="b">
        <v>1</v>
      </c>
    </row>
    <row r="14772" spans="1:11">
      <c r="A14772" s="12">
        <v>43487</v>
      </c>
      <c r="B14772">
        <v>2019</v>
      </c>
      <c r="C14772">
        <v>1</v>
      </c>
      <c r="D14772" s="11">
        <v>43466</v>
      </c>
      <c r="E14772" t="s">
        <v>2173</v>
      </c>
      <c r="F14772">
        <v>2</v>
      </c>
      <c r="G14772" t="s">
        <v>63</v>
      </c>
      <c r="H14772" t="s">
        <v>42</v>
      </c>
      <c r="I14772" t="s">
        <v>2190</v>
      </c>
      <c r="J14772" s="10">
        <v>1</v>
      </c>
      <c r="K14772" t="b">
        <v>1</v>
      </c>
    </row>
    <row r="14773" spans="1:11">
      <c r="A14773" s="12">
        <v>43487</v>
      </c>
      <c r="B14773">
        <v>2019</v>
      </c>
      <c r="C14773">
        <v>1</v>
      </c>
      <c r="D14773" s="11">
        <v>43466</v>
      </c>
      <c r="E14773" t="s">
        <v>2173</v>
      </c>
      <c r="F14773">
        <v>2</v>
      </c>
      <c r="G14773" t="s">
        <v>63</v>
      </c>
      <c r="H14773" t="s">
        <v>43</v>
      </c>
      <c r="I14773" t="s">
        <v>2191</v>
      </c>
      <c r="J14773" s="10">
        <v>74.90000000000001</v>
      </c>
      <c r="K14773" t="b">
        <v>1</v>
      </c>
    </row>
    <row r="14774" spans="1:11">
      <c r="A14774" s="12">
        <v>43487</v>
      </c>
      <c r="B14774">
        <v>2019</v>
      </c>
      <c r="C14774">
        <v>1</v>
      </c>
      <c r="D14774" s="11">
        <v>43466</v>
      </c>
      <c r="E14774" t="s">
        <v>2173</v>
      </c>
      <c r="F14774">
        <v>2</v>
      </c>
      <c r="G14774" t="s">
        <v>63</v>
      </c>
      <c r="H14774" t="s">
        <v>44</v>
      </c>
      <c r="I14774" t="s">
        <v>2192</v>
      </c>
      <c r="J14774" s="10">
        <v>13</v>
      </c>
      <c r="K14774" t="b">
        <v>1</v>
      </c>
    </row>
    <row r="14775" spans="1:11">
      <c r="A14775" s="12">
        <v>43487</v>
      </c>
      <c r="B14775">
        <v>2019</v>
      </c>
      <c r="C14775">
        <v>1</v>
      </c>
      <c r="D14775" s="11">
        <v>43466</v>
      </c>
      <c r="E14775" t="s">
        <v>2173</v>
      </c>
      <c r="F14775">
        <v>2</v>
      </c>
      <c r="G14775" t="s">
        <v>63</v>
      </c>
      <c r="H14775" t="s">
        <v>45</v>
      </c>
      <c r="I14775" t="s">
        <v>2193</v>
      </c>
      <c r="J14775" s="10">
        <v>1</v>
      </c>
      <c r="K14775" t="b">
        <v>1</v>
      </c>
    </row>
    <row r="14776" spans="1:11">
      <c r="A14776" s="12">
        <v>43487</v>
      </c>
      <c r="B14776">
        <v>2019</v>
      </c>
      <c r="C14776">
        <v>1</v>
      </c>
      <c r="D14776" s="11">
        <v>43466</v>
      </c>
      <c r="E14776" t="s">
        <v>2173</v>
      </c>
      <c r="F14776">
        <v>2</v>
      </c>
      <c r="G14776" t="s">
        <v>63</v>
      </c>
      <c r="H14776" t="s">
        <v>46</v>
      </c>
      <c r="I14776" t="s">
        <v>2194</v>
      </c>
      <c r="J14776" s="10">
        <v>7</v>
      </c>
      <c r="K14776" t="b">
        <v>1</v>
      </c>
    </row>
    <row r="14777" spans="1:11">
      <c r="A14777" s="12">
        <v>43487</v>
      </c>
      <c r="B14777">
        <v>2019</v>
      </c>
      <c r="C14777">
        <v>1</v>
      </c>
      <c r="D14777" s="11">
        <v>43466</v>
      </c>
      <c r="E14777" t="s">
        <v>2173</v>
      </c>
      <c r="F14777">
        <v>2</v>
      </c>
      <c r="G14777" t="s">
        <v>63</v>
      </c>
      <c r="H14777" t="s">
        <v>47</v>
      </c>
      <c r="I14777" t="s">
        <v>2195</v>
      </c>
      <c r="J14777" s="10">
        <v>0</v>
      </c>
      <c r="K14777" t="b">
        <v>1</v>
      </c>
    </row>
    <row r="14778" spans="1:11">
      <c r="A14778" s="12">
        <v>43488</v>
      </c>
      <c r="B14778">
        <v>2019</v>
      </c>
      <c r="C14778">
        <v>1</v>
      </c>
      <c r="D14778" s="11">
        <v>43466</v>
      </c>
      <c r="E14778" t="s">
        <v>2173</v>
      </c>
      <c r="F14778">
        <v>3</v>
      </c>
      <c r="G14778" t="s">
        <v>65</v>
      </c>
      <c r="H14778" t="s">
        <v>40</v>
      </c>
      <c r="I14778" t="s">
        <v>2188</v>
      </c>
      <c r="J14778" s="10">
        <v>3.33</v>
      </c>
      <c r="K14778" t="b">
        <v>1</v>
      </c>
    </row>
    <row r="14779" spans="1:11">
      <c r="A14779" s="12">
        <v>43488</v>
      </c>
      <c r="B14779">
        <v>2019</v>
      </c>
      <c r="C14779">
        <v>1</v>
      </c>
      <c r="D14779" s="11">
        <v>43466</v>
      </c>
      <c r="E14779" t="s">
        <v>2173</v>
      </c>
      <c r="F14779">
        <v>3</v>
      </c>
      <c r="G14779" t="s">
        <v>65</v>
      </c>
      <c r="H14779" t="s">
        <v>41</v>
      </c>
      <c r="I14779" t="s">
        <v>2189</v>
      </c>
      <c r="J14779" s="10">
        <v>8.462999999999999</v>
      </c>
      <c r="K14779" t="b">
        <v>1</v>
      </c>
    </row>
    <row r="14780" spans="1:11">
      <c r="A14780" s="12">
        <v>43488</v>
      </c>
      <c r="B14780">
        <v>2019</v>
      </c>
      <c r="C14780">
        <v>1</v>
      </c>
      <c r="D14780" s="11">
        <v>43466</v>
      </c>
      <c r="E14780" t="s">
        <v>2173</v>
      </c>
      <c r="F14780">
        <v>3</v>
      </c>
      <c r="G14780" t="s">
        <v>65</v>
      </c>
      <c r="H14780" t="s">
        <v>42</v>
      </c>
      <c r="I14780" t="s">
        <v>2190</v>
      </c>
      <c r="J14780" s="10">
        <v>7.1</v>
      </c>
      <c r="K14780" t="b">
        <v>1</v>
      </c>
    </row>
    <row r="14781" spans="1:11">
      <c r="A14781" s="12">
        <v>43488</v>
      </c>
      <c r="B14781">
        <v>2019</v>
      </c>
      <c r="C14781">
        <v>1</v>
      </c>
      <c r="D14781" s="11">
        <v>43466</v>
      </c>
      <c r="E14781" t="s">
        <v>2173</v>
      </c>
      <c r="F14781">
        <v>3</v>
      </c>
      <c r="G14781" t="s">
        <v>65</v>
      </c>
      <c r="H14781" t="s">
        <v>43</v>
      </c>
      <c r="I14781" t="s">
        <v>2191</v>
      </c>
      <c r="J14781" s="10">
        <v>58.4</v>
      </c>
      <c r="K14781" t="b">
        <v>1</v>
      </c>
    </row>
    <row r="14782" spans="1:11">
      <c r="A14782" s="12">
        <v>43488</v>
      </c>
      <c r="B14782">
        <v>2019</v>
      </c>
      <c r="C14782">
        <v>1</v>
      </c>
      <c r="D14782" s="11">
        <v>43466</v>
      </c>
      <c r="E14782" t="s">
        <v>2173</v>
      </c>
      <c r="F14782">
        <v>3</v>
      </c>
      <c r="G14782" t="s">
        <v>65</v>
      </c>
      <c r="H14782" t="s">
        <v>44</v>
      </c>
      <c r="I14782" t="s">
        <v>2192</v>
      </c>
      <c r="J14782" s="10">
        <v>4</v>
      </c>
      <c r="K14782" t="b">
        <v>1</v>
      </c>
    </row>
    <row r="14783" spans="1:11">
      <c r="A14783" s="12">
        <v>43488</v>
      </c>
      <c r="B14783">
        <v>2019</v>
      </c>
      <c r="C14783">
        <v>1</v>
      </c>
      <c r="D14783" s="11">
        <v>43466</v>
      </c>
      <c r="E14783" t="s">
        <v>2173</v>
      </c>
      <c r="F14783">
        <v>3</v>
      </c>
      <c r="G14783" t="s">
        <v>65</v>
      </c>
      <c r="H14783" t="s">
        <v>45</v>
      </c>
      <c r="I14783" t="s">
        <v>2193</v>
      </c>
      <c r="J14783" s="10">
        <v>0</v>
      </c>
      <c r="K14783" t="b">
        <v>1</v>
      </c>
    </row>
    <row r="14784" spans="1:11">
      <c r="A14784" s="12">
        <v>43488</v>
      </c>
      <c r="B14784">
        <v>2019</v>
      </c>
      <c r="C14784">
        <v>1</v>
      </c>
      <c r="D14784" s="11">
        <v>43466</v>
      </c>
      <c r="E14784" t="s">
        <v>2173</v>
      </c>
      <c r="F14784">
        <v>3</v>
      </c>
      <c r="G14784" t="s">
        <v>65</v>
      </c>
      <c r="H14784" t="s">
        <v>46</v>
      </c>
      <c r="I14784" t="s">
        <v>2194</v>
      </c>
      <c r="J14784" s="10">
        <v>23</v>
      </c>
      <c r="K14784" t="b">
        <v>1</v>
      </c>
    </row>
    <row r="14785" spans="1:11">
      <c r="A14785" s="12">
        <v>43488</v>
      </c>
      <c r="B14785">
        <v>2019</v>
      </c>
      <c r="C14785">
        <v>1</v>
      </c>
      <c r="D14785" s="11">
        <v>43466</v>
      </c>
      <c r="E14785" t="s">
        <v>2173</v>
      </c>
      <c r="F14785">
        <v>3</v>
      </c>
      <c r="G14785" t="s">
        <v>65</v>
      </c>
      <c r="H14785" t="s">
        <v>47</v>
      </c>
      <c r="I14785" t="s">
        <v>2195</v>
      </c>
      <c r="J14785" s="10">
        <v>2</v>
      </c>
      <c r="K14785" t="b">
        <v>1</v>
      </c>
    </row>
    <row r="14786" spans="1:11">
      <c r="A14786" s="12">
        <v>43489</v>
      </c>
      <c r="B14786">
        <v>2019</v>
      </c>
      <c r="C14786">
        <v>1</v>
      </c>
      <c r="D14786" s="11">
        <v>43466</v>
      </c>
      <c r="E14786" t="s">
        <v>2173</v>
      </c>
      <c r="F14786">
        <v>4</v>
      </c>
      <c r="G14786" t="s">
        <v>53</v>
      </c>
      <c r="H14786" t="s">
        <v>40</v>
      </c>
      <c r="I14786" t="s">
        <v>2188</v>
      </c>
      <c r="J14786" s="10">
        <v>4</v>
      </c>
      <c r="K14786" t="b">
        <v>1</v>
      </c>
    </row>
    <row r="14787" spans="1:11">
      <c r="A14787" s="12">
        <v>43489</v>
      </c>
      <c r="B14787">
        <v>2019</v>
      </c>
      <c r="C14787">
        <v>1</v>
      </c>
      <c r="D14787" s="11">
        <v>43466</v>
      </c>
      <c r="E14787" t="s">
        <v>2173</v>
      </c>
      <c r="F14787">
        <v>4</v>
      </c>
      <c r="G14787" t="s">
        <v>53</v>
      </c>
      <c r="H14787" t="s">
        <v>41</v>
      </c>
      <c r="I14787" t="s">
        <v>2189</v>
      </c>
      <c r="J14787" s="10">
        <v>4.495</v>
      </c>
      <c r="K14787" t="b">
        <v>1</v>
      </c>
    </row>
    <row r="14788" spans="1:11">
      <c r="A14788" s="12">
        <v>43489</v>
      </c>
      <c r="B14788">
        <v>2019</v>
      </c>
      <c r="C14788">
        <v>1</v>
      </c>
      <c r="D14788" s="11">
        <v>43466</v>
      </c>
      <c r="E14788" t="s">
        <v>2173</v>
      </c>
      <c r="F14788">
        <v>4</v>
      </c>
      <c r="G14788" t="s">
        <v>53</v>
      </c>
      <c r="H14788" t="s">
        <v>42</v>
      </c>
      <c r="I14788" t="s">
        <v>2190</v>
      </c>
      <c r="J14788" s="10">
        <v>6</v>
      </c>
      <c r="K14788" t="b">
        <v>1</v>
      </c>
    </row>
    <row r="14789" spans="1:11">
      <c r="A14789" s="12">
        <v>43489</v>
      </c>
      <c r="B14789">
        <v>2019</v>
      </c>
      <c r="C14789">
        <v>1</v>
      </c>
      <c r="D14789" s="11">
        <v>43466</v>
      </c>
      <c r="E14789" t="s">
        <v>2173</v>
      </c>
      <c r="F14789">
        <v>4</v>
      </c>
      <c r="G14789" t="s">
        <v>53</v>
      </c>
      <c r="H14789" t="s">
        <v>43</v>
      </c>
      <c r="I14789" t="s">
        <v>2191</v>
      </c>
      <c r="J14789" s="10">
        <v>47.3</v>
      </c>
      <c r="K14789" t="b">
        <v>1</v>
      </c>
    </row>
    <row r="14790" spans="1:11">
      <c r="A14790" s="12">
        <v>43489</v>
      </c>
      <c r="B14790">
        <v>2019</v>
      </c>
      <c r="C14790">
        <v>1</v>
      </c>
      <c r="D14790" s="11">
        <v>43466</v>
      </c>
      <c r="E14790" t="s">
        <v>2173</v>
      </c>
      <c r="F14790">
        <v>4</v>
      </c>
      <c r="G14790" t="s">
        <v>53</v>
      </c>
      <c r="H14790" t="s">
        <v>44</v>
      </c>
      <c r="I14790" t="s">
        <v>2192</v>
      </c>
      <c r="J14790" s="10">
        <v>7</v>
      </c>
      <c r="K14790" t="b">
        <v>1</v>
      </c>
    </row>
    <row r="14791" spans="1:11">
      <c r="A14791" s="12">
        <v>43489</v>
      </c>
      <c r="B14791">
        <v>2019</v>
      </c>
      <c r="C14791">
        <v>1</v>
      </c>
      <c r="D14791" s="11">
        <v>43466</v>
      </c>
      <c r="E14791" t="s">
        <v>2173</v>
      </c>
      <c r="F14791">
        <v>4</v>
      </c>
      <c r="G14791" t="s">
        <v>53</v>
      </c>
      <c r="H14791" t="s">
        <v>45</v>
      </c>
      <c r="I14791" t="s">
        <v>2193</v>
      </c>
      <c r="J14791" s="10">
        <v>4</v>
      </c>
      <c r="K14791" t="b">
        <v>1</v>
      </c>
    </row>
    <row r="14792" spans="1:11">
      <c r="A14792" s="12">
        <v>43489</v>
      </c>
      <c r="B14792">
        <v>2019</v>
      </c>
      <c r="C14792">
        <v>1</v>
      </c>
      <c r="D14792" s="11">
        <v>43466</v>
      </c>
      <c r="E14792" t="s">
        <v>2173</v>
      </c>
      <c r="F14792">
        <v>4</v>
      </c>
      <c r="G14792" t="s">
        <v>53</v>
      </c>
      <c r="H14792" t="s">
        <v>46</v>
      </c>
      <c r="I14792" t="s">
        <v>2194</v>
      </c>
      <c r="J14792" s="10">
        <v>2</v>
      </c>
      <c r="K14792" t="b">
        <v>1</v>
      </c>
    </row>
    <row r="14793" spans="1:11">
      <c r="A14793" s="12">
        <v>43489</v>
      </c>
      <c r="B14793">
        <v>2019</v>
      </c>
      <c r="C14793">
        <v>1</v>
      </c>
      <c r="D14793" s="11">
        <v>43466</v>
      </c>
      <c r="E14793" t="s">
        <v>2173</v>
      </c>
      <c r="F14793">
        <v>4</v>
      </c>
      <c r="G14793" t="s">
        <v>53</v>
      </c>
      <c r="H14793" t="s">
        <v>47</v>
      </c>
      <c r="I14793" t="s">
        <v>2195</v>
      </c>
      <c r="J14793" s="10">
        <v>3</v>
      </c>
      <c r="K14793" t="b">
        <v>1</v>
      </c>
    </row>
    <row r="14794" spans="1:11">
      <c r="A14794" s="12">
        <v>43490</v>
      </c>
      <c r="B14794">
        <v>2019</v>
      </c>
      <c r="C14794">
        <v>1</v>
      </c>
      <c r="D14794" s="11">
        <v>43466</v>
      </c>
      <c r="E14794" t="s">
        <v>2173</v>
      </c>
      <c r="F14794">
        <v>5</v>
      </c>
      <c r="G14794" t="s">
        <v>55</v>
      </c>
      <c r="H14794" t="s">
        <v>40</v>
      </c>
      <c r="I14794" t="s">
        <v>2188</v>
      </c>
      <c r="J14794" s="10">
        <v>2.33</v>
      </c>
      <c r="K14794" t="b">
        <v>1</v>
      </c>
    </row>
    <row r="14795" spans="1:11">
      <c r="A14795" s="12">
        <v>43490</v>
      </c>
      <c r="B14795">
        <v>2019</v>
      </c>
      <c r="C14795">
        <v>1</v>
      </c>
      <c r="D14795" s="11">
        <v>43466</v>
      </c>
      <c r="E14795" t="s">
        <v>2173</v>
      </c>
      <c r="F14795">
        <v>5</v>
      </c>
      <c r="G14795" t="s">
        <v>55</v>
      </c>
      <c r="H14795" t="s">
        <v>41</v>
      </c>
      <c r="I14795" t="s">
        <v>2189</v>
      </c>
      <c r="J14795" s="10">
        <v>7.18</v>
      </c>
      <c r="K14795" t="b">
        <v>1</v>
      </c>
    </row>
    <row r="14796" spans="1:11">
      <c r="A14796" s="12">
        <v>43490</v>
      </c>
      <c r="B14796">
        <v>2019</v>
      </c>
      <c r="C14796">
        <v>1</v>
      </c>
      <c r="D14796" s="11">
        <v>43466</v>
      </c>
      <c r="E14796" t="s">
        <v>2173</v>
      </c>
      <c r="F14796">
        <v>5</v>
      </c>
      <c r="G14796" t="s">
        <v>55</v>
      </c>
      <c r="H14796" t="s">
        <v>42</v>
      </c>
      <c r="I14796" t="s">
        <v>2190</v>
      </c>
      <c r="J14796" s="10">
        <v>4</v>
      </c>
      <c r="K14796" t="b">
        <v>1</v>
      </c>
    </row>
    <row r="14797" spans="1:11">
      <c r="A14797" s="12">
        <v>43490</v>
      </c>
      <c r="B14797">
        <v>2019</v>
      </c>
      <c r="C14797">
        <v>1</v>
      </c>
      <c r="D14797" s="11">
        <v>43466</v>
      </c>
      <c r="E14797" t="s">
        <v>2173</v>
      </c>
      <c r="F14797">
        <v>5</v>
      </c>
      <c r="G14797" t="s">
        <v>55</v>
      </c>
      <c r="H14797" t="s">
        <v>43</v>
      </c>
      <c r="I14797" t="s">
        <v>2191</v>
      </c>
      <c r="J14797" s="10">
        <v>32.65</v>
      </c>
      <c r="K14797" t="b">
        <v>1</v>
      </c>
    </row>
    <row r="14798" spans="1:11">
      <c r="A14798" s="12">
        <v>43490</v>
      </c>
      <c r="B14798">
        <v>2019</v>
      </c>
      <c r="C14798">
        <v>1</v>
      </c>
      <c r="D14798" s="11">
        <v>43466</v>
      </c>
      <c r="E14798" t="s">
        <v>2173</v>
      </c>
      <c r="F14798">
        <v>5</v>
      </c>
      <c r="G14798" t="s">
        <v>55</v>
      </c>
      <c r="H14798" t="s">
        <v>44</v>
      </c>
      <c r="I14798" t="s">
        <v>2192</v>
      </c>
      <c r="J14798" s="10">
        <v>11</v>
      </c>
      <c r="K14798" t="b">
        <v>1</v>
      </c>
    </row>
    <row r="14799" spans="1:11">
      <c r="A14799" s="12">
        <v>43490</v>
      </c>
      <c r="B14799">
        <v>2019</v>
      </c>
      <c r="C14799">
        <v>1</v>
      </c>
      <c r="D14799" s="11">
        <v>43466</v>
      </c>
      <c r="E14799" t="s">
        <v>2173</v>
      </c>
      <c r="F14799">
        <v>5</v>
      </c>
      <c r="G14799" t="s">
        <v>55</v>
      </c>
      <c r="H14799" t="s">
        <v>45</v>
      </c>
      <c r="I14799" t="s">
        <v>2193</v>
      </c>
      <c r="J14799" s="10">
        <v>2</v>
      </c>
      <c r="K14799" t="b">
        <v>1</v>
      </c>
    </row>
    <row r="14800" spans="1:11">
      <c r="A14800" s="12">
        <v>43490</v>
      </c>
      <c r="B14800">
        <v>2019</v>
      </c>
      <c r="C14800">
        <v>1</v>
      </c>
      <c r="D14800" s="11">
        <v>43466</v>
      </c>
      <c r="E14800" t="s">
        <v>2173</v>
      </c>
      <c r="F14800">
        <v>5</v>
      </c>
      <c r="G14800" t="s">
        <v>55</v>
      </c>
      <c r="H14800" t="s">
        <v>46</v>
      </c>
      <c r="I14800" t="s">
        <v>2194</v>
      </c>
      <c r="J14800" s="10">
        <v>11</v>
      </c>
      <c r="K14800" t="b">
        <v>1</v>
      </c>
    </row>
    <row r="14801" spans="1:11">
      <c r="A14801" s="12">
        <v>43490</v>
      </c>
      <c r="B14801">
        <v>2019</v>
      </c>
      <c r="C14801">
        <v>1</v>
      </c>
      <c r="D14801" s="11">
        <v>43466</v>
      </c>
      <c r="E14801" t="s">
        <v>2173</v>
      </c>
      <c r="F14801">
        <v>5</v>
      </c>
      <c r="G14801" t="s">
        <v>55</v>
      </c>
      <c r="H14801" t="s">
        <v>47</v>
      </c>
      <c r="I14801" t="s">
        <v>2195</v>
      </c>
      <c r="J14801" s="10">
        <v>1</v>
      </c>
      <c r="K14801" t="b">
        <v>1</v>
      </c>
    </row>
    <row r="14802" spans="1:11">
      <c r="A14802" s="12">
        <v>43491</v>
      </c>
      <c r="B14802">
        <v>2019</v>
      </c>
      <c r="C14802">
        <v>1</v>
      </c>
      <c r="D14802" s="11">
        <v>43466</v>
      </c>
      <c r="E14802" t="s">
        <v>2173</v>
      </c>
      <c r="F14802">
        <v>6</v>
      </c>
      <c r="G14802" t="s">
        <v>57</v>
      </c>
      <c r="H14802" t="s">
        <v>40</v>
      </c>
      <c r="I14802" t="s">
        <v>2188</v>
      </c>
      <c r="J14802" s="10">
        <v>7</v>
      </c>
      <c r="K14802" t="b">
        <v>1</v>
      </c>
    </row>
    <row r="14803" spans="1:11">
      <c r="A14803" s="12">
        <v>43491</v>
      </c>
      <c r="B14803">
        <v>2019</v>
      </c>
      <c r="C14803">
        <v>1</v>
      </c>
      <c r="D14803" s="11">
        <v>43466</v>
      </c>
      <c r="E14803" t="s">
        <v>2173</v>
      </c>
      <c r="F14803">
        <v>6</v>
      </c>
      <c r="G14803" t="s">
        <v>57</v>
      </c>
      <c r="H14803" t="s">
        <v>41</v>
      </c>
      <c r="I14803" t="s">
        <v>2189</v>
      </c>
      <c r="J14803" s="10">
        <v>8.459</v>
      </c>
      <c r="K14803" t="b">
        <v>1</v>
      </c>
    </row>
    <row r="14804" spans="1:11">
      <c r="A14804" s="12">
        <v>43491</v>
      </c>
      <c r="B14804">
        <v>2019</v>
      </c>
      <c r="C14804">
        <v>1</v>
      </c>
      <c r="D14804" s="11">
        <v>43466</v>
      </c>
      <c r="E14804" t="s">
        <v>2173</v>
      </c>
      <c r="F14804">
        <v>6</v>
      </c>
      <c r="G14804" t="s">
        <v>57</v>
      </c>
      <c r="H14804" t="s">
        <v>42</v>
      </c>
      <c r="I14804" t="s">
        <v>2190</v>
      </c>
      <c r="J14804" s="10">
        <v>2.4</v>
      </c>
      <c r="K14804" t="b">
        <v>1</v>
      </c>
    </row>
    <row r="14805" spans="1:11">
      <c r="A14805" s="12">
        <v>43491</v>
      </c>
      <c r="B14805">
        <v>2019</v>
      </c>
      <c r="C14805">
        <v>1</v>
      </c>
      <c r="D14805" s="11">
        <v>43466</v>
      </c>
      <c r="E14805" t="s">
        <v>2173</v>
      </c>
      <c r="F14805">
        <v>6</v>
      </c>
      <c r="G14805" t="s">
        <v>57</v>
      </c>
      <c r="H14805" t="s">
        <v>43</v>
      </c>
      <c r="I14805" t="s">
        <v>2191</v>
      </c>
      <c r="J14805" s="10">
        <v>97.8</v>
      </c>
      <c r="K14805" t="b">
        <v>1</v>
      </c>
    </row>
    <row r="14806" spans="1:11">
      <c r="A14806" s="12">
        <v>43491</v>
      </c>
      <c r="B14806">
        <v>2019</v>
      </c>
      <c r="C14806">
        <v>1</v>
      </c>
      <c r="D14806" s="11">
        <v>43466</v>
      </c>
      <c r="E14806" t="s">
        <v>2173</v>
      </c>
      <c r="F14806">
        <v>6</v>
      </c>
      <c r="G14806" t="s">
        <v>57</v>
      </c>
      <c r="H14806" t="s">
        <v>44</v>
      </c>
      <c r="I14806" t="s">
        <v>2192</v>
      </c>
      <c r="J14806" s="10">
        <v>11</v>
      </c>
      <c r="K14806" t="b">
        <v>1</v>
      </c>
    </row>
    <row r="14807" spans="1:11">
      <c r="A14807" s="12">
        <v>43491</v>
      </c>
      <c r="B14807">
        <v>2019</v>
      </c>
      <c r="C14807">
        <v>1</v>
      </c>
      <c r="D14807" s="11">
        <v>43466</v>
      </c>
      <c r="E14807" t="s">
        <v>2173</v>
      </c>
      <c r="F14807">
        <v>6</v>
      </c>
      <c r="G14807" t="s">
        <v>57</v>
      </c>
      <c r="H14807" t="s">
        <v>45</v>
      </c>
      <c r="I14807" t="s">
        <v>2193</v>
      </c>
      <c r="J14807" s="10">
        <v>1</v>
      </c>
      <c r="K14807" t="b">
        <v>1</v>
      </c>
    </row>
    <row r="14808" spans="1:11">
      <c r="A14808" s="12">
        <v>43491</v>
      </c>
      <c r="B14808">
        <v>2019</v>
      </c>
      <c r="C14808">
        <v>1</v>
      </c>
      <c r="D14808" s="11">
        <v>43466</v>
      </c>
      <c r="E14808" t="s">
        <v>2173</v>
      </c>
      <c r="F14808">
        <v>6</v>
      </c>
      <c r="G14808" t="s">
        <v>57</v>
      </c>
      <c r="H14808" t="s">
        <v>46</v>
      </c>
      <c r="I14808" t="s">
        <v>2194</v>
      </c>
      <c r="J14808" s="10">
        <v>13</v>
      </c>
      <c r="K14808" t="b">
        <v>1</v>
      </c>
    </row>
    <row r="14809" spans="1:11">
      <c r="A14809" s="12">
        <v>43491</v>
      </c>
      <c r="B14809">
        <v>2019</v>
      </c>
      <c r="C14809">
        <v>1</v>
      </c>
      <c r="D14809" s="11">
        <v>43466</v>
      </c>
      <c r="E14809" t="s">
        <v>2173</v>
      </c>
      <c r="F14809">
        <v>6</v>
      </c>
      <c r="G14809" t="s">
        <v>57</v>
      </c>
      <c r="H14809" t="s">
        <v>47</v>
      </c>
      <c r="I14809" t="s">
        <v>2195</v>
      </c>
      <c r="J14809" s="10">
        <v>1</v>
      </c>
      <c r="K14809" t="b">
        <v>1</v>
      </c>
    </row>
    <row r="14810" spans="1:11">
      <c r="A14810" s="12">
        <v>43492</v>
      </c>
      <c r="B14810">
        <v>2019</v>
      </c>
      <c r="C14810">
        <v>1</v>
      </c>
      <c r="D14810" s="11">
        <v>43466</v>
      </c>
      <c r="E14810" t="s">
        <v>2173</v>
      </c>
      <c r="F14810">
        <v>7</v>
      </c>
      <c r="G14810" t="s">
        <v>59</v>
      </c>
      <c r="H14810" t="s">
        <v>40</v>
      </c>
      <c r="I14810" t="s">
        <v>2188</v>
      </c>
      <c r="J14810" s="10">
        <v>10.52</v>
      </c>
      <c r="K14810" t="b">
        <v>1</v>
      </c>
    </row>
    <row r="14811" spans="1:11">
      <c r="A14811" s="12">
        <v>43492</v>
      </c>
      <c r="B14811">
        <v>2019</v>
      </c>
      <c r="C14811">
        <v>1</v>
      </c>
      <c r="D14811" s="11">
        <v>43466</v>
      </c>
      <c r="E14811" t="s">
        <v>2173</v>
      </c>
      <c r="F14811">
        <v>7</v>
      </c>
      <c r="G14811" t="s">
        <v>59</v>
      </c>
      <c r="H14811" t="s">
        <v>41</v>
      </c>
      <c r="I14811" t="s">
        <v>2189</v>
      </c>
      <c r="J14811" s="10">
        <v>11.745</v>
      </c>
      <c r="K14811" t="b">
        <v>1</v>
      </c>
    </row>
    <row r="14812" spans="1:11">
      <c r="A14812" s="12">
        <v>43492</v>
      </c>
      <c r="B14812">
        <v>2019</v>
      </c>
      <c r="C14812">
        <v>1</v>
      </c>
      <c r="D14812" s="11">
        <v>43466</v>
      </c>
      <c r="E14812" t="s">
        <v>2173</v>
      </c>
      <c r="F14812">
        <v>7</v>
      </c>
      <c r="G14812" t="s">
        <v>59</v>
      </c>
      <c r="H14812" t="s">
        <v>42</v>
      </c>
      <c r="I14812" t="s">
        <v>2190</v>
      </c>
      <c r="J14812" s="10">
        <v>2</v>
      </c>
      <c r="K14812" t="b">
        <v>1</v>
      </c>
    </row>
    <row r="14813" spans="1:11">
      <c r="A14813" s="12">
        <v>43492</v>
      </c>
      <c r="B14813">
        <v>2019</v>
      </c>
      <c r="C14813">
        <v>1</v>
      </c>
      <c r="D14813" s="11">
        <v>43466</v>
      </c>
      <c r="E14813" t="s">
        <v>2173</v>
      </c>
      <c r="F14813">
        <v>7</v>
      </c>
      <c r="G14813" t="s">
        <v>59</v>
      </c>
      <c r="H14813" t="s">
        <v>43</v>
      </c>
      <c r="I14813" t="s">
        <v>2191</v>
      </c>
      <c r="J14813" s="10">
        <v>100.1</v>
      </c>
      <c r="K14813" t="b">
        <v>1</v>
      </c>
    </row>
    <row r="14814" spans="1:11">
      <c r="A14814" s="12">
        <v>43492</v>
      </c>
      <c r="B14814">
        <v>2019</v>
      </c>
      <c r="C14814">
        <v>1</v>
      </c>
      <c r="D14814" s="11">
        <v>43466</v>
      </c>
      <c r="E14814" t="s">
        <v>2173</v>
      </c>
      <c r="F14814">
        <v>7</v>
      </c>
      <c r="G14814" t="s">
        <v>59</v>
      </c>
      <c r="H14814" t="s">
        <v>44</v>
      </c>
      <c r="I14814" t="s">
        <v>2192</v>
      </c>
      <c r="J14814" s="10">
        <v>12</v>
      </c>
      <c r="K14814" t="b">
        <v>1</v>
      </c>
    </row>
    <row r="14815" spans="1:11">
      <c r="A14815" s="12">
        <v>43492</v>
      </c>
      <c r="B14815">
        <v>2019</v>
      </c>
      <c r="C14815">
        <v>1</v>
      </c>
      <c r="D14815" s="11">
        <v>43466</v>
      </c>
      <c r="E14815" t="s">
        <v>2173</v>
      </c>
      <c r="F14815">
        <v>7</v>
      </c>
      <c r="G14815" t="s">
        <v>59</v>
      </c>
      <c r="H14815" t="s">
        <v>45</v>
      </c>
      <c r="I14815" t="s">
        <v>2193</v>
      </c>
      <c r="J14815" s="10">
        <v>1</v>
      </c>
      <c r="K14815" t="b">
        <v>1</v>
      </c>
    </row>
    <row r="14816" spans="1:11">
      <c r="A14816" s="12">
        <v>43492</v>
      </c>
      <c r="B14816">
        <v>2019</v>
      </c>
      <c r="C14816">
        <v>1</v>
      </c>
      <c r="D14816" s="11">
        <v>43466</v>
      </c>
      <c r="E14816" t="s">
        <v>2173</v>
      </c>
      <c r="F14816">
        <v>7</v>
      </c>
      <c r="G14816" t="s">
        <v>59</v>
      </c>
      <c r="H14816" t="s">
        <v>46</v>
      </c>
      <c r="I14816" t="s">
        <v>2194</v>
      </c>
      <c r="J14816" s="10">
        <v>6</v>
      </c>
      <c r="K14816" t="b">
        <v>1</v>
      </c>
    </row>
    <row r="14817" spans="1:11">
      <c r="A14817" s="12">
        <v>43492</v>
      </c>
      <c r="B14817">
        <v>2019</v>
      </c>
      <c r="C14817">
        <v>1</v>
      </c>
      <c r="D14817" s="11">
        <v>43466</v>
      </c>
      <c r="E14817" t="s">
        <v>2173</v>
      </c>
      <c r="F14817">
        <v>7</v>
      </c>
      <c r="G14817" t="s">
        <v>59</v>
      </c>
      <c r="H14817" t="s">
        <v>47</v>
      </c>
      <c r="I14817" t="s">
        <v>2195</v>
      </c>
      <c r="J14817" s="10">
        <v>2</v>
      </c>
      <c r="K14817" t="b">
        <v>1</v>
      </c>
    </row>
    <row r="14818" spans="1:11">
      <c r="A14818" s="12">
        <v>43493</v>
      </c>
      <c r="B14818">
        <v>2019</v>
      </c>
      <c r="C14818">
        <v>1</v>
      </c>
      <c r="D14818" s="11">
        <v>43466</v>
      </c>
      <c r="E14818" t="s">
        <v>2173</v>
      </c>
      <c r="F14818">
        <v>1</v>
      </c>
      <c r="G14818" t="s">
        <v>61</v>
      </c>
      <c r="H14818" t="s">
        <v>40</v>
      </c>
      <c r="I14818" t="s">
        <v>2188</v>
      </c>
      <c r="J14818" s="10">
        <v>8.5</v>
      </c>
      <c r="K14818" t="b">
        <v>1</v>
      </c>
    </row>
    <row r="14819" spans="1:11">
      <c r="A14819" s="12">
        <v>43493</v>
      </c>
      <c r="B14819">
        <v>2019</v>
      </c>
      <c r="C14819">
        <v>1</v>
      </c>
      <c r="D14819" s="11">
        <v>43466</v>
      </c>
      <c r="E14819" t="s">
        <v>2173</v>
      </c>
      <c r="F14819">
        <v>1</v>
      </c>
      <c r="G14819" t="s">
        <v>61</v>
      </c>
      <c r="H14819" t="s">
        <v>41</v>
      </c>
      <c r="I14819" t="s">
        <v>2189</v>
      </c>
      <c r="J14819" s="10">
        <v>7.109</v>
      </c>
      <c r="K14819" t="b">
        <v>1</v>
      </c>
    </row>
    <row r="14820" spans="1:11">
      <c r="A14820" s="12">
        <v>43493</v>
      </c>
      <c r="B14820">
        <v>2019</v>
      </c>
      <c r="C14820">
        <v>1</v>
      </c>
      <c r="D14820" s="11">
        <v>43466</v>
      </c>
      <c r="E14820" t="s">
        <v>2173</v>
      </c>
      <c r="F14820">
        <v>1</v>
      </c>
      <c r="G14820" t="s">
        <v>61</v>
      </c>
      <c r="H14820" t="s">
        <v>42</v>
      </c>
      <c r="I14820" t="s">
        <v>2190</v>
      </c>
      <c r="J14820" s="10">
        <v>3</v>
      </c>
      <c r="K14820" t="b">
        <v>1</v>
      </c>
    </row>
    <row r="14821" spans="1:11">
      <c r="A14821" s="12">
        <v>43493</v>
      </c>
      <c r="B14821">
        <v>2019</v>
      </c>
      <c r="C14821">
        <v>1</v>
      </c>
      <c r="D14821" s="11">
        <v>43466</v>
      </c>
      <c r="E14821" t="s">
        <v>2173</v>
      </c>
      <c r="F14821">
        <v>1</v>
      </c>
      <c r="G14821" t="s">
        <v>61</v>
      </c>
      <c r="H14821" t="s">
        <v>43</v>
      </c>
      <c r="I14821" t="s">
        <v>2191</v>
      </c>
      <c r="J14821" s="10">
        <v>45</v>
      </c>
      <c r="K14821" t="b">
        <v>1</v>
      </c>
    </row>
    <row r="14822" spans="1:11">
      <c r="A14822" s="12">
        <v>43493</v>
      </c>
      <c r="B14822">
        <v>2019</v>
      </c>
      <c r="C14822">
        <v>1</v>
      </c>
      <c r="D14822" s="11">
        <v>43466</v>
      </c>
      <c r="E14822" t="s">
        <v>2173</v>
      </c>
      <c r="F14822">
        <v>1</v>
      </c>
      <c r="G14822" t="s">
        <v>61</v>
      </c>
      <c r="H14822" t="s">
        <v>44</v>
      </c>
      <c r="I14822" t="s">
        <v>2192</v>
      </c>
      <c r="J14822" s="10">
        <v>11</v>
      </c>
      <c r="K14822" t="b">
        <v>1</v>
      </c>
    </row>
    <row r="14823" spans="1:11">
      <c r="A14823" s="12">
        <v>43493</v>
      </c>
      <c r="B14823">
        <v>2019</v>
      </c>
      <c r="C14823">
        <v>1</v>
      </c>
      <c r="D14823" s="11">
        <v>43466</v>
      </c>
      <c r="E14823" t="s">
        <v>2173</v>
      </c>
      <c r="F14823">
        <v>1</v>
      </c>
      <c r="G14823" t="s">
        <v>61</v>
      </c>
      <c r="H14823" t="s">
        <v>45</v>
      </c>
      <c r="I14823" t="s">
        <v>2193</v>
      </c>
      <c r="J14823" s="10">
        <v>0</v>
      </c>
      <c r="K14823" t="b">
        <v>1</v>
      </c>
    </row>
    <row r="14824" spans="1:11">
      <c r="A14824" s="12">
        <v>43493</v>
      </c>
      <c r="B14824">
        <v>2019</v>
      </c>
      <c r="C14824">
        <v>1</v>
      </c>
      <c r="D14824" s="11">
        <v>43466</v>
      </c>
      <c r="E14824" t="s">
        <v>2173</v>
      </c>
      <c r="F14824">
        <v>1</v>
      </c>
      <c r="G14824" t="s">
        <v>61</v>
      </c>
      <c r="H14824" t="s">
        <v>46</v>
      </c>
      <c r="I14824" t="s">
        <v>2194</v>
      </c>
      <c r="J14824" s="10">
        <v>28</v>
      </c>
      <c r="K14824" t="b">
        <v>1</v>
      </c>
    </row>
    <row r="14825" spans="1:11">
      <c r="A14825" s="12">
        <v>43493</v>
      </c>
      <c r="B14825">
        <v>2019</v>
      </c>
      <c r="C14825">
        <v>1</v>
      </c>
      <c r="D14825" s="11">
        <v>43466</v>
      </c>
      <c r="E14825" t="s">
        <v>2173</v>
      </c>
      <c r="F14825">
        <v>1</v>
      </c>
      <c r="G14825" t="s">
        <v>61</v>
      </c>
      <c r="H14825" t="s">
        <v>47</v>
      </c>
      <c r="I14825" t="s">
        <v>2195</v>
      </c>
      <c r="J14825" s="10">
        <v>3</v>
      </c>
      <c r="K14825" t="b">
        <v>1</v>
      </c>
    </row>
    <row r="14826" spans="1:11">
      <c r="A14826" s="12">
        <v>43494</v>
      </c>
      <c r="B14826">
        <v>2019</v>
      </c>
      <c r="C14826">
        <v>1</v>
      </c>
      <c r="D14826" s="11">
        <v>43466</v>
      </c>
      <c r="E14826" t="s">
        <v>2173</v>
      </c>
      <c r="F14826">
        <v>2</v>
      </c>
      <c r="G14826" t="s">
        <v>63</v>
      </c>
      <c r="H14826" t="s">
        <v>40</v>
      </c>
      <c r="I14826" t="s">
        <v>2188</v>
      </c>
      <c r="J14826" s="10">
        <v>5</v>
      </c>
      <c r="K14826" t="b">
        <v>1</v>
      </c>
    </row>
    <row r="14827" spans="1:11">
      <c r="A14827" s="12">
        <v>43494</v>
      </c>
      <c r="B14827">
        <v>2019</v>
      </c>
      <c r="C14827">
        <v>1</v>
      </c>
      <c r="D14827" s="11">
        <v>43466</v>
      </c>
      <c r="E14827" t="s">
        <v>2173</v>
      </c>
      <c r="F14827">
        <v>2</v>
      </c>
      <c r="G14827" t="s">
        <v>63</v>
      </c>
      <c r="H14827" t="s">
        <v>41</v>
      </c>
      <c r="I14827" t="s">
        <v>2189</v>
      </c>
      <c r="J14827" s="10">
        <v>5</v>
      </c>
      <c r="K14827" t="b">
        <v>1</v>
      </c>
    </row>
    <row r="14828" spans="1:11">
      <c r="A14828" s="12">
        <v>43494</v>
      </c>
      <c r="B14828">
        <v>2019</v>
      </c>
      <c r="C14828">
        <v>1</v>
      </c>
      <c r="D14828" s="11">
        <v>43466</v>
      </c>
      <c r="E14828" t="s">
        <v>2173</v>
      </c>
      <c r="F14828">
        <v>2</v>
      </c>
      <c r="G14828" t="s">
        <v>63</v>
      </c>
      <c r="H14828" t="s">
        <v>42</v>
      </c>
      <c r="I14828" t="s">
        <v>2190</v>
      </c>
      <c r="J14828" s="10">
        <v>3.45</v>
      </c>
      <c r="K14828" t="b">
        <v>1</v>
      </c>
    </row>
    <row r="14829" spans="1:11">
      <c r="A14829" s="12">
        <v>43494</v>
      </c>
      <c r="B14829">
        <v>2019</v>
      </c>
      <c r="C14829">
        <v>1</v>
      </c>
      <c r="D14829" s="11">
        <v>43466</v>
      </c>
      <c r="E14829" t="s">
        <v>2173</v>
      </c>
      <c r="F14829">
        <v>2</v>
      </c>
      <c r="G14829" t="s">
        <v>63</v>
      </c>
      <c r="H14829" t="s">
        <v>43</v>
      </c>
      <c r="I14829" t="s">
        <v>2191</v>
      </c>
      <c r="J14829" s="10">
        <v>38.8</v>
      </c>
      <c r="K14829" t="b">
        <v>1</v>
      </c>
    </row>
    <row r="14830" spans="1:11">
      <c r="A14830" s="12">
        <v>43494</v>
      </c>
      <c r="B14830">
        <v>2019</v>
      </c>
      <c r="C14830">
        <v>1</v>
      </c>
      <c r="D14830" s="11">
        <v>43466</v>
      </c>
      <c r="E14830" t="s">
        <v>2173</v>
      </c>
      <c r="F14830">
        <v>2</v>
      </c>
      <c r="G14830" t="s">
        <v>63</v>
      </c>
      <c r="H14830" t="s">
        <v>44</v>
      </c>
      <c r="I14830" t="s">
        <v>2192</v>
      </c>
      <c r="J14830" s="10">
        <v>10</v>
      </c>
      <c r="K14830" t="b">
        <v>1</v>
      </c>
    </row>
    <row r="14831" spans="1:11">
      <c r="A14831" s="12">
        <v>43494</v>
      </c>
      <c r="B14831">
        <v>2019</v>
      </c>
      <c r="C14831">
        <v>1</v>
      </c>
      <c r="D14831" s="11">
        <v>43466</v>
      </c>
      <c r="E14831" t="s">
        <v>2173</v>
      </c>
      <c r="F14831">
        <v>2</v>
      </c>
      <c r="G14831" t="s">
        <v>63</v>
      </c>
      <c r="H14831" t="s">
        <v>45</v>
      </c>
      <c r="I14831" t="s">
        <v>2193</v>
      </c>
      <c r="J14831" s="10">
        <v>2</v>
      </c>
      <c r="K14831" t="b">
        <v>1</v>
      </c>
    </row>
    <row r="14832" spans="1:11">
      <c r="A14832" s="12">
        <v>43494</v>
      </c>
      <c r="B14832">
        <v>2019</v>
      </c>
      <c r="C14832">
        <v>1</v>
      </c>
      <c r="D14832" s="11">
        <v>43466</v>
      </c>
      <c r="E14832" t="s">
        <v>2173</v>
      </c>
      <c r="F14832">
        <v>2</v>
      </c>
      <c r="G14832" t="s">
        <v>63</v>
      </c>
      <c r="H14832" t="s">
        <v>46</v>
      </c>
      <c r="I14832" t="s">
        <v>2194</v>
      </c>
      <c r="J14832" s="10">
        <v>15</v>
      </c>
      <c r="K14832" t="b">
        <v>1</v>
      </c>
    </row>
    <row r="14833" spans="1:11">
      <c r="A14833" s="12">
        <v>43494</v>
      </c>
      <c r="B14833">
        <v>2019</v>
      </c>
      <c r="C14833">
        <v>1</v>
      </c>
      <c r="D14833" s="11">
        <v>43466</v>
      </c>
      <c r="E14833" t="s">
        <v>2173</v>
      </c>
      <c r="F14833">
        <v>2</v>
      </c>
      <c r="G14833" t="s">
        <v>63</v>
      </c>
      <c r="H14833" t="s">
        <v>47</v>
      </c>
      <c r="I14833" t="s">
        <v>2195</v>
      </c>
      <c r="J14833" s="10">
        <v>0</v>
      </c>
      <c r="K14833" t="b">
        <v>1</v>
      </c>
    </row>
    <row r="14834" spans="1:11">
      <c r="A14834" s="12">
        <v>43495</v>
      </c>
      <c r="B14834">
        <v>2019</v>
      </c>
      <c r="C14834">
        <v>1</v>
      </c>
      <c r="D14834" s="11">
        <v>43466</v>
      </c>
      <c r="E14834" t="s">
        <v>2173</v>
      </c>
      <c r="F14834">
        <v>3</v>
      </c>
      <c r="G14834" t="s">
        <v>65</v>
      </c>
      <c r="H14834" t="s">
        <v>40</v>
      </c>
      <c r="I14834" t="s">
        <v>2188</v>
      </c>
      <c r="J14834" s="10">
        <v>6.33</v>
      </c>
      <c r="K14834" t="b">
        <v>1</v>
      </c>
    </row>
    <row r="14835" spans="1:11">
      <c r="A14835" s="12">
        <v>43495</v>
      </c>
      <c r="B14835">
        <v>2019</v>
      </c>
      <c r="C14835">
        <v>1</v>
      </c>
      <c r="D14835" s="11">
        <v>43466</v>
      </c>
      <c r="E14835" t="s">
        <v>2173</v>
      </c>
      <c r="F14835">
        <v>3</v>
      </c>
      <c r="G14835" t="s">
        <v>65</v>
      </c>
      <c r="H14835" t="s">
        <v>41</v>
      </c>
      <c r="I14835" t="s">
        <v>2189</v>
      </c>
      <c r="J14835" s="10">
        <v>5.713</v>
      </c>
      <c r="K14835" t="b">
        <v>1</v>
      </c>
    </row>
    <row r="14836" spans="1:11">
      <c r="A14836" s="12">
        <v>43495</v>
      </c>
      <c r="B14836">
        <v>2019</v>
      </c>
      <c r="C14836">
        <v>1</v>
      </c>
      <c r="D14836" s="11">
        <v>43466</v>
      </c>
      <c r="E14836" t="s">
        <v>2173</v>
      </c>
      <c r="F14836">
        <v>3</v>
      </c>
      <c r="G14836" t="s">
        <v>65</v>
      </c>
      <c r="H14836" t="s">
        <v>42</v>
      </c>
      <c r="I14836" t="s">
        <v>2190</v>
      </c>
      <c r="J14836" s="10">
        <v>2.25</v>
      </c>
      <c r="K14836" t="b">
        <v>1</v>
      </c>
    </row>
    <row r="14837" spans="1:11">
      <c r="A14837" s="12">
        <v>43495</v>
      </c>
      <c r="B14837">
        <v>2019</v>
      </c>
      <c r="C14837">
        <v>1</v>
      </c>
      <c r="D14837" s="11">
        <v>43466</v>
      </c>
      <c r="E14837" t="s">
        <v>2173</v>
      </c>
      <c r="F14837">
        <v>3</v>
      </c>
      <c r="G14837" t="s">
        <v>65</v>
      </c>
      <c r="H14837" t="s">
        <v>43</v>
      </c>
      <c r="I14837" t="s">
        <v>2191</v>
      </c>
      <c r="J14837" s="10">
        <v>52.312</v>
      </c>
      <c r="K14837" t="b">
        <v>1</v>
      </c>
    </row>
    <row r="14838" spans="1:11">
      <c r="A14838" s="12">
        <v>43495</v>
      </c>
      <c r="B14838">
        <v>2019</v>
      </c>
      <c r="C14838">
        <v>1</v>
      </c>
      <c r="D14838" s="11">
        <v>43466</v>
      </c>
      <c r="E14838" t="s">
        <v>2173</v>
      </c>
      <c r="F14838">
        <v>3</v>
      </c>
      <c r="G14838" t="s">
        <v>65</v>
      </c>
      <c r="H14838" t="s">
        <v>44</v>
      </c>
      <c r="I14838" t="s">
        <v>2192</v>
      </c>
      <c r="J14838" s="10">
        <v>8</v>
      </c>
      <c r="K14838" t="b">
        <v>1</v>
      </c>
    </row>
    <row r="14839" spans="1:11">
      <c r="A14839" s="12">
        <v>43495</v>
      </c>
      <c r="B14839">
        <v>2019</v>
      </c>
      <c r="C14839">
        <v>1</v>
      </c>
      <c r="D14839" s="11">
        <v>43466</v>
      </c>
      <c r="E14839" t="s">
        <v>2173</v>
      </c>
      <c r="F14839">
        <v>3</v>
      </c>
      <c r="G14839" t="s">
        <v>65</v>
      </c>
      <c r="H14839" t="s">
        <v>45</v>
      </c>
      <c r="I14839" t="s">
        <v>2193</v>
      </c>
      <c r="J14839" s="10">
        <v>0</v>
      </c>
      <c r="K14839" t="b">
        <v>1</v>
      </c>
    </row>
    <row r="14840" spans="1:11">
      <c r="A14840" s="12">
        <v>43495</v>
      </c>
      <c r="B14840">
        <v>2019</v>
      </c>
      <c r="C14840">
        <v>1</v>
      </c>
      <c r="D14840" s="11">
        <v>43466</v>
      </c>
      <c r="E14840" t="s">
        <v>2173</v>
      </c>
      <c r="F14840">
        <v>3</v>
      </c>
      <c r="G14840" t="s">
        <v>65</v>
      </c>
      <c r="H14840" t="s">
        <v>46</v>
      </c>
      <c r="I14840" t="s">
        <v>2194</v>
      </c>
      <c r="J14840" s="10">
        <v>11</v>
      </c>
      <c r="K14840" t="b">
        <v>1</v>
      </c>
    </row>
    <row r="14841" spans="1:11">
      <c r="A14841" s="12">
        <v>43495</v>
      </c>
      <c r="B14841">
        <v>2019</v>
      </c>
      <c r="C14841">
        <v>1</v>
      </c>
      <c r="D14841" s="11">
        <v>43466</v>
      </c>
      <c r="E14841" t="s">
        <v>2173</v>
      </c>
      <c r="F14841">
        <v>3</v>
      </c>
      <c r="G14841" t="s">
        <v>65</v>
      </c>
      <c r="H14841" t="s">
        <v>47</v>
      </c>
      <c r="I14841" t="s">
        <v>2195</v>
      </c>
      <c r="J14841" s="10">
        <v>1.3</v>
      </c>
      <c r="K14841" t="b">
        <v>1</v>
      </c>
    </row>
    <row r="14842" spans="1:11">
      <c r="A14842" s="12">
        <v>43496</v>
      </c>
      <c r="B14842">
        <v>2019</v>
      </c>
      <c r="C14842">
        <v>1</v>
      </c>
      <c r="D14842" s="11">
        <v>43466</v>
      </c>
      <c r="E14842" t="s">
        <v>2173</v>
      </c>
      <c r="F14842">
        <v>4</v>
      </c>
      <c r="G14842" t="s">
        <v>53</v>
      </c>
      <c r="H14842" t="s">
        <v>40</v>
      </c>
      <c r="I14842" t="s">
        <v>2188</v>
      </c>
      <c r="J14842" s="10">
        <v>1.67</v>
      </c>
      <c r="K14842" t="b">
        <v>1</v>
      </c>
    </row>
    <row r="14843" spans="1:11">
      <c r="A14843" s="12">
        <v>43496</v>
      </c>
      <c r="B14843">
        <v>2019</v>
      </c>
      <c r="C14843">
        <v>1</v>
      </c>
      <c r="D14843" s="11">
        <v>43466</v>
      </c>
      <c r="E14843" t="s">
        <v>2173</v>
      </c>
      <c r="F14843">
        <v>4</v>
      </c>
      <c r="G14843" t="s">
        <v>53</v>
      </c>
      <c r="H14843" t="s">
        <v>41</v>
      </c>
      <c r="I14843" t="s">
        <v>2189</v>
      </c>
      <c r="J14843" s="10">
        <v>11.505</v>
      </c>
      <c r="K14843" t="b">
        <v>1</v>
      </c>
    </row>
    <row r="14844" spans="1:11">
      <c r="A14844" s="12">
        <v>43496</v>
      </c>
      <c r="B14844">
        <v>2019</v>
      </c>
      <c r="C14844">
        <v>1</v>
      </c>
      <c r="D14844" s="11">
        <v>43466</v>
      </c>
      <c r="E14844" t="s">
        <v>2173</v>
      </c>
      <c r="F14844">
        <v>4</v>
      </c>
      <c r="G14844" t="s">
        <v>53</v>
      </c>
      <c r="H14844" t="s">
        <v>42</v>
      </c>
      <c r="I14844" t="s">
        <v>2190</v>
      </c>
      <c r="J14844" s="10">
        <v>2</v>
      </c>
      <c r="K14844" t="b">
        <v>1</v>
      </c>
    </row>
    <row r="14845" spans="1:11">
      <c r="A14845" s="12">
        <v>43496</v>
      </c>
      <c r="B14845">
        <v>2019</v>
      </c>
      <c r="C14845">
        <v>1</v>
      </c>
      <c r="D14845" s="11">
        <v>43466</v>
      </c>
      <c r="E14845" t="s">
        <v>2173</v>
      </c>
      <c r="F14845">
        <v>4</v>
      </c>
      <c r="G14845" t="s">
        <v>53</v>
      </c>
      <c r="H14845" t="s">
        <v>43</v>
      </c>
      <c r="I14845" t="s">
        <v>2191</v>
      </c>
      <c r="J14845" s="10">
        <v>62.2</v>
      </c>
      <c r="K14845" t="b">
        <v>1</v>
      </c>
    </row>
    <row r="14846" spans="1:11">
      <c r="A14846" s="12">
        <v>43496</v>
      </c>
      <c r="B14846">
        <v>2019</v>
      </c>
      <c r="C14846">
        <v>1</v>
      </c>
      <c r="D14846" s="11">
        <v>43466</v>
      </c>
      <c r="E14846" t="s">
        <v>2173</v>
      </c>
      <c r="F14846">
        <v>4</v>
      </c>
      <c r="G14846" t="s">
        <v>53</v>
      </c>
      <c r="H14846" t="s">
        <v>44</v>
      </c>
      <c r="I14846" t="s">
        <v>2192</v>
      </c>
      <c r="J14846" s="10">
        <v>8</v>
      </c>
      <c r="K14846" t="b">
        <v>1</v>
      </c>
    </row>
    <row r="14847" spans="1:11">
      <c r="A14847" s="12">
        <v>43496</v>
      </c>
      <c r="B14847">
        <v>2019</v>
      </c>
      <c r="C14847">
        <v>1</v>
      </c>
      <c r="D14847" s="11">
        <v>43466</v>
      </c>
      <c r="E14847" t="s">
        <v>2173</v>
      </c>
      <c r="F14847">
        <v>4</v>
      </c>
      <c r="G14847" t="s">
        <v>53</v>
      </c>
      <c r="H14847" t="s">
        <v>45</v>
      </c>
      <c r="I14847" t="s">
        <v>2193</v>
      </c>
      <c r="J14847" s="10">
        <v>1</v>
      </c>
      <c r="K14847" t="b">
        <v>1</v>
      </c>
    </row>
    <row r="14848" spans="1:11">
      <c r="A14848" s="12">
        <v>43496</v>
      </c>
      <c r="B14848">
        <v>2019</v>
      </c>
      <c r="C14848">
        <v>1</v>
      </c>
      <c r="D14848" s="11">
        <v>43466</v>
      </c>
      <c r="E14848" t="s">
        <v>2173</v>
      </c>
      <c r="F14848">
        <v>4</v>
      </c>
      <c r="G14848" t="s">
        <v>53</v>
      </c>
      <c r="H14848" t="s">
        <v>46</v>
      </c>
      <c r="I14848" t="s">
        <v>2194</v>
      </c>
      <c r="J14848" s="10">
        <v>20</v>
      </c>
      <c r="K14848" t="b">
        <v>1</v>
      </c>
    </row>
    <row r="14849" spans="1:11">
      <c r="A14849" s="12">
        <v>43496</v>
      </c>
      <c r="B14849">
        <v>2019</v>
      </c>
      <c r="C14849">
        <v>1</v>
      </c>
      <c r="D14849" s="11">
        <v>43466</v>
      </c>
      <c r="E14849" t="s">
        <v>2173</v>
      </c>
      <c r="F14849">
        <v>4</v>
      </c>
      <c r="G14849" t="s">
        <v>53</v>
      </c>
      <c r="H14849" t="s">
        <v>47</v>
      </c>
      <c r="I14849" t="s">
        <v>2195</v>
      </c>
      <c r="J14849" s="10">
        <v>2</v>
      </c>
      <c r="K14849" t="b">
        <v>1</v>
      </c>
    </row>
    <row r="14850" spans="1:11">
      <c r="A14850" s="12">
        <v>43497</v>
      </c>
      <c r="B14850">
        <v>2019</v>
      </c>
      <c r="C14850">
        <v>2</v>
      </c>
      <c r="D14850" s="11">
        <v>43497</v>
      </c>
      <c r="E14850" t="s">
        <v>2174</v>
      </c>
      <c r="F14850">
        <v>5</v>
      </c>
      <c r="G14850" t="s">
        <v>55</v>
      </c>
      <c r="H14850" t="s">
        <v>40</v>
      </c>
      <c r="I14850" t="s">
        <v>2188</v>
      </c>
      <c r="J14850" s="10">
        <v>11.34</v>
      </c>
      <c r="K14850" t="b">
        <v>1</v>
      </c>
    </row>
    <row r="14851" spans="1:11">
      <c r="A14851" s="12">
        <v>43497</v>
      </c>
      <c r="B14851">
        <v>2019</v>
      </c>
      <c r="C14851">
        <v>2</v>
      </c>
      <c r="D14851" s="11">
        <v>43497</v>
      </c>
      <c r="E14851" t="s">
        <v>2174</v>
      </c>
      <c r="F14851">
        <v>5</v>
      </c>
      <c r="G14851" t="s">
        <v>55</v>
      </c>
      <c r="H14851" t="s">
        <v>41</v>
      </c>
      <c r="I14851" t="s">
        <v>2189</v>
      </c>
      <c r="J14851" s="10">
        <v>1.726</v>
      </c>
      <c r="K14851" t="b">
        <v>1</v>
      </c>
    </row>
    <row r="14852" spans="1:11">
      <c r="A14852" s="12">
        <v>43497</v>
      </c>
      <c r="B14852">
        <v>2019</v>
      </c>
      <c r="C14852">
        <v>2</v>
      </c>
      <c r="D14852" s="11">
        <v>43497</v>
      </c>
      <c r="E14852" t="s">
        <v>2174</v>
      </c>
      <c r="F14852">
        <v>5</v>
      </c>
      <c r="G14852" t="s">
        <v>55</v>
      </c>
      <c r="H14852" t="s">
        <v>42</v>
      </c>
      <c r="I14852" t="s">
        <v>2190</v>
      </c>
      <c r="J14852" s="10">
        <v>8</v>
      </c>
      <c r="K14852" t="b">
        <v>1</v>
      </c>
    </row>
    <row r="14853" spans="1:11">
      <c r="A14853" s="12">
        <v>43497</v>
      </c>
      <c r="B14853">
        <v>2019</v>
      </c>
      <c r="C14853">
        <v>2</v>
      </c>
      <c r="D14853" s="11">
        <v>43497</v>
      </c>
      <c r="E14853" t="s">
        <v>2174</v>
      </c>
      <c r="F14853">
        <v>5</v>
      </c>
      <c r="G14853" t="s">
        <v>55</v>
      </c>
      <c r="H14853" t="s">
        <v>43</v>
      </c>
      <c r="I14853" t="s">
        <v>2191</v>
      </c>
      <c r="J14853" s="10">
        <v>38.9</v>
      </c>
      <c r="K14853" t="b">
        <v>1</v>
      </c>
    </row>
    <row r="14854" spans="1:11">
      <c r="A14854" s="12">
        <v>43497</v>
      </c>
      <c r="B14854">
        <v>2019</v>
      </c>
      <c r="C14854">
        <v>2</v>
      </c>
      <c r="D14854" s="11">
        <v>43497</v>
      </c>
      <c r="E14854" t="s">
        <v>2174</v>
      </c>
      <c r="F14854">
        <v>5</v>
      </c>
      <c r="G14854" t="s">
        <v>55</v>
      </c>
      <c r="H14854" t="s">
        <v>44</v>
      </c>
      <c r="I14854" t="s">
        <v>2192</v>
      </c>
      <c r="J14854" s="10">
        <v>9</v>
      </c>
      <c r="K14854" t="b">
        <v>1</v>
      </c>
    </row>
    <row r="14855" spans="1:11">
      <c r="A14855" s="12">
        <v>43497</v>
      </c>
      <c r="B14855">
        <v>2019</v>
      </c>
      <c r="C14855">
        <v>2</v>
      </c>
      <c r="D14855" s="11">
        <v>43497</v>
      </c>
      <c r="E14855" t="s">
        <v>2174</v>
      </c>
      <c r="F14855">
        <v>5</v>
      </c>
      <c r="G14855" t="s">
        <v>55</v>
      </c>
      <c r="H14855" t="s">
        <v>45</v>
      </c>
      <c r="I14855" t="s">
        <v>2193</v>
      </c>
      <c r="J14855" s="10">
        <v>0</v>
      </c>
      <c r="K14855" t="b">
        <v>1</v>
      </c>
    </row>
    <row r="14856" spans="1:11">
      <c r="A14856" s="12">
        <v>43497</v>
      </c>
      <c r="B14856">
        <v>2019</v>
      </c>
      <c r="C14856">
        <v>2</v>
      </c>
      <c r="D14856" s="11">
        <v>43497</v>
      </c>
      <c r="E14856" t="s">
        <v>2174</v>
      </c>
      <c r="F14856">
        <v>5</v>
      </c>
      <c r="G14856" t="s">
        <v>55</v>
      </c>
      <c r="H14856" t="s">
        <v>46</v>
      </c>
      <c r="I14856" t="s">
        <v>2194</v>
      </c>
      <c r="J14856" s="10">
        <v>7</v>
      </c>
      <c r="K14856" t="b">
        <v>1</v>
      </c>
    </row>
    <row r="14857" spans="1:11">
      <c r="A14857" s="12">
        <v>43497</v>
      </c>
      <c r="B14857">
        <v>2019</v>
      </c>
      <c r="C14857">
        <v>2</v>
      </c>
      <c r="D14857" s="11">
        <v>43497</v>
      </c>
      <c r="E14857" t="s">
        <v>2174</v>
      </c>
      <c r="F14857">
        <v>5</v>
      </c>
      <c r="G14857" t="s">
        <v>55</v>
      </c>
      <c r="H14857" t="s">
        <v>47</v>
      </c>
      <c r="I14857" t="s">
        <v>2195</v>
      </c>
      <c r="J14857" s="10">
        <v>3</v>
      </c>
      <c r="K14857" t="b">
        <v>1</v>
      </c>
    </row>
    <row r="14858" spans="1:11">
      <c r="A14858" s="12">
        <v>43498</v>
      </c>
      <c r="B14858">
        <v>2019</v>
      </c>
      <c r="C14858">
        <v>2</v>
      </c>
      <c r="D14858" s="11">
        <v>43497</v>
      </c>
      <c r="E14858" t="s">
        <v>2174</v>
      </c>
      <c r="F14858">
        <v>6</v>
      </c>
      <c r="G14858" t="s">
        <v>57</v>
      </c>
      <c r="H14858" t="s">
        <v>40</v>
      </c>
      <c r="I14858" t="s">
        <v>2188</v>
      </c>
      <c r="J14858" s="10">
        <v>13.34</v>
      </c>
      <c r="K14858" t="b">
        <v>1</v>
      </c>
    </row>
    <row r="14859" spans="1:11">
      <c r="A14859" s="12">
        <v>43498</v>
      </c>
      <c r="B14859">
        <v>2019</v>
      </c>
      <c r="C14859">
        <v>2</v>
      </c>
      <c r="D14859" s="11">
        <v>43497</v>
      </c>
      <c r="E14859" t="s">
        <v>2174</v>
      </c>
      <c r="F14859">
        <v>6</v>
      </c>
      <c r="G14859" t="s">
        <v>57</v>
      </c>
      <c r="H14859" t="s">
        <v>41</v>
      </c>
      <c r="I14859" t="s">
        <v>2189</v>
      </c>
      <c r="J14859" s="10">
        <v>12.706</v>
      </c>
      <c r="K14859" t="b">
        <v>1</v>
      </c>
    </row>
    <row r="14860" spans="1:11">
      <c r="A14860" s="12">
        <v>43498</v>
      </c>
      <c r="B14860">
        <v>2019</v>
      </c>
      <c r="C14860">
        <v>2</v>
      </c>
      <c r="D14860" s="11">
        <v>43497</v>
      </c>
      <c r="E14860" t="s">
        <v>2174</v>
      </c>
      <c r="F14860">
        <v>6</v>
      </c>
      <c r="G14860" t="s">
        <v>57</v>
      </c>
      <c r="H14860" t="s">
        <v>42</v>
      </c>
      <c r="I14860" t="s">
        <v>2190</v>
      </c>
      <c r="J14860" s="10">
        <v>6.2</v>
      </c>
      <c r="K14860" t="b">
        <v>1</v>
      </c>
    </row>
    <row r="14861" spans="1:11">
      <c r="A14861" s="12">
        <v>43498</v>
      </c>
      <c r="B14861">
        <v>2019</v>
      </c>
      <c r="C14861">
        <v>2</v>
      </c>
      <c r="D14861" s="11">
        <v>43497</v>
      </c>
      <c r="E14861" t="s">
        <v>2174</v>
      </c>
      <c r="F14861">
        <v>6</v>
      </c>
      <c r="G14861" t="s">
        <v>57</v>
      </c>
      <c r="H14861" t="s">
        <v>43</v>
      </c>
      <c r="I14861" t="s">
        <v>2191</v>
      </c>
      <c r="J14861" s="10">
        <v>64.262</v>
      </c>
      <c r="K14861" t="b">
        <v>1</v>
      </c>
    </row>
    <row r="14862" spans="1:11">
      <c r="A14862" s="12">
        <v>43498</v>
      </c>
      <c r="B14862">
        <v>2019</v>
      </c>
      <c r="C14862">
        <v>2</v>
      </c>
      <c r="D14862" s="11">
        <v>43497</v>
      </c>
      <c r="E14862" t="s">
        <v>2174</v>
      </c>
      <c r="F14862">
        <v>6</v>
      </c>
      <c r="G14862" t="s">
        <v>57</v>
      </c>
      <c r="H14862" t="s">
        <v>44</v>
      </c>
      <c r="I14862" t="s">
        <v>2192</v>
      </c>
      <c r="J14862" s="10">
        <v>8</v>
      </c>
      <c r="K14862" t="b">
        <v>1</v>
      </c>
    </row>
    <row r="14863" spans="1:11">
      <c r="A14863" s="12">
        <v>43498</v>
      </c>
      <c r="B14863">
        <v>2019</v>
      </c>
      <c r="C14863">
        <v>2</v>
      </c>
      <c r="D14863" s="11">
        <v>43497</v>
      </c>
      <c r="E14863" t="s">
        <v>2174</v>
      </c>
      <c r="F14863">
        <v>6</v>
      </c>
      <c r="G14863" t="s">
        <v>57</v>
      </c>
      <c r="H14863" t="s">
        <v>45</v>
      </c>
      <c r="I14863" t="s">
        <v>2193</v>
      </c>
      <c r="J14863" s="10">
        <v>1</v>
      </c>
      <c r="K14863" t="b">
        <v>1</v>
      </c>
    </row>
    <row r="14864" spans="1:11">
      <c r="A14864" s="12">
        <v>43498</v>
      </c>
      <c r="B14864">
        <v>2019</v>
      </c>
      <c r="C14864">
        <v>2</v>
      </c>
      <c r="D14864" s="11">
        <v>43497</v>
      </c>
      <c r="E14864" t="s">
        <v>2174</v>
      </c>
      <c r="F14864">
        <v>6</v>
      </c>
      <c r="G14864" t="s">
        <v>57</v>
      </c>
      <c r="H14864" t="s">
        <v>46</v>
      </c>
      <c r="I14864" t="s">
        <v>2194</v>
      </c>
      <c r="J14864" s="10">
        <v>45</v>
      </c>
      <c r="K14864" t="b">
        <v>1</v>
      </c>
    </row>
    <row r="14865" spans="1:11">
      <c r="A14865" s="12">
        <v>43498</v>
      </c>
      <c r="B14865">
        <v>2019</v>
      </c>
      <c r="C14865">
        <v>2</v>
      </c>
      <c r="D14865" s="11">
        <v>43497</v>
      </c>
      <c r="E14865" t="s">
        <v>2174</v>
      </c>
      <c r="F14865">
        <v>6</v>
      </c>
      <c r="G14865" t="s">
        <v>57</v>
      </c>
      <c r="H14865" t="s">
        <v>47</v>
      </c>
      <c r="I14865" t="s">
        <v>2195</v>
      </c>
      <c r="J14865" s="10">
        <v>0</v>
      </c>
      <c r="K14865" t="b">
        <v>1</v>
      </c>
    </row>
    <row r="14866" spans="1:11">
      <c r="A14866" s="12">
        <v>43499</v>
      </c>
      <c r="B14866">
        <v>2019</v>
      </c>
      <c r="C14866">
        <v>2</v>
      </c>
      <c r="D14866" s="11">
        <v>43497</v>
      </c>
      <c r="E14866" t="s">
        <v>2174</v>
      </c>
      <c r="F14866">
        <v>7</v>
      </c>
      <c r="G14866" t="s">
        <v>59</v>
      </c>
      <c r="H14866" t="s">
        <v>40</v>
      </c>
      <c r="I14866" t="s">
        <v>2188</v>
      </c>
      <c r="J14866" s="10">
        <v>6</v>
      </c>
      <c r="K14866" t="b">
        <v>1</v>
      </c>
    </row>
    <row r="14867" spans="1:11">
      <c r="A14867" s="12">
        <v>43499</v>
      </c>
      <c r="B14867">
        <v>2019</v>
      </c>
      <c r="C14867">
        <v>2</v>
      </c>
      <c r="D14867" s="11">
        <v>43497</v>
      </c>
      <c r="E14867" t="s">
        <v>2174</v>
      </c>
      <c r="F14867">
        <v>7</v>
      </c>
      <c r="G14867" t="s">
        <v>59</v>
      </c>
      <c r="H14867" t="s">
        <v>41</v>
      </c>
      <c r="I14867" t="s">
        <v>2189</v>
      </c>
      <c r="J14867" s="10">
        <v>9.811999999999999</v>
      </c>
      <c r="K14867" t="b">
        <v>1</v>
      </c>
    </row>
    <row r="14868" spans="1:11">
      <c r="A14868" s="12">
        <v>43499</v>
      </c>
      <c r="B14868">
        <v>2019</v>
      </c>
      <c r="C14868">
        <v>2</v>
      </c>
      <c r="D14868" s="11">
        <v>43497</v>
      </c>
      <c r="E14868" t="s">
        <v>2174</v>
      </c>
      <c r="F14868">
        <v>7</v>
      </c>
      <c r="G14868" t="s">
        <v>59</v>
      </c>
      <c r="H14868" t="s">
        <v>42</v>
      </c>
      <c r="I14868" t="s">
        <v>2190</v>
      </c>
      <c r="J14868" s="10">
        <v>5.75</v>
      </c>
      <c r="K14868" t="b">
        <v>1</v>
      </c>
    </row>
    <row r="14869" spans="1:11">
      <c r="A14869" s="12">
        <v>43499</v>
      </c>
      <c r="B14869">
        <v>2019</v>
      </c>
      <c r="C14869">
        <v>2</v>
      </c>
      <c r="D14869" s="11">
        <v>43497</v>
      </c>
      <c r="E14869" t="s">
        <v>2174</v>
      </c>
      <c r="F14869">
        <v>7</v>
      </c>
      <c r="G14869" t="s">
        <v>59</v>
      </c>
      <c r="H14869" t="s">
        <v>43</v>
      </c>
      <c r="I14869" t="s">
        <v>2191</v>
      </c>
      <c r="J14869" s="10">
        <v>47.088</v>
      </c>
      <c r="K14869" t="b">
        <v>1</v>
      </c>
    </row>
    <row r="14870" spans="1:11">
      <c r="A14870" s="12">
        <v>43499</v>
      </c>
      <c r="B14870">
        <v>2019</v>
      </c>
      <c r="C14870">
        <v>2</v>
      </c>
      <c r="D14870" s="11">
        <v>43497</v>
      </c>
      <c r="E14870" t="s">
        <v>2174</v>
      </c>
      <c r="F14870">
        <v>7</v>
      </c>
      <c r="G14870" t="s">
        <v>59</v>
      </c>
      <c r="H14870" t="s">
        <v>44</v>
      </c>
      <c r="I14870" t="s">
        <v>2192</v>
      </c>
      <c r="J14870" s="10">
        <v>10</v>
      </c>
      <c r="K14870" t="b">
        <v>1</v>
      </c>
    </row>
    <row r="14871" spans="1:11">
      <c r="A14871" s="12">
        <v>43499</v>
      </c>
      <c r="B14871">
        <v>2019</v>
      </c>
      <c r="C14871">
        <v>2</v>
      </c>
      <c r="D14871" s="11">
        <v>43497</v>
      </c>
      <c r="E14871" t="s">
        <v>2174</v>
      </c>
      <c r="F14871">
        <v>7</v>
      </c>
      <c r="G14871" t="s">
        <v>59</v>
      </c>
      <c r="H14871" t="s">
        <v>45</v>
      </c>
      <c r="I14871" t="s">
        <v>2193</v>
      </c>
      <c r="J14871" s="10">
        <v>1</v>
      </c>
      <c r="K14871" t="b">
        <v>1</v>
      </c>
    </row>
    <row r="14872" spans="1:11">
      <c r="A14872" s="12">
        <v>43499</v>
      </c>
      <c r="B14872">
        <v>2019</v>
      </c>
      <c r="C14872">
        <v>2</v>
      </c>
      <c r="D14872" s="11">
        <v>43497</v>
      </c>
      <c r="E14872" t="s">
        <v>2174</v>
      </c>
      <c r="F14872">
        <v>7</v>
      </c>
      <c r="G14872" t="s">
        <v>59</v>
      </c>
      <c r="H14872" t="s">
        <v>46</v>
      </c>
      <c r="I14872" t="s">
        <v>2194</v>
      </c>
      <c r="J14872" s="10">
        <v>5</v>
      </c>
      <c r="K14872" t="b">
        <v>1</v>
      </c>
    </row>
    <row r="14873" spans="1:11">
      <c r="A14873" s="12">
        <v>43499</v>
      </c>
      <c r="B14873">
        <v>2019</v>
      </c>
      <c r="C14873">
        <v>2</v>
      </c>
      <c r="D14873" s="11">
        <v>43497</v>
      </c>
      <c r="E14873" t="s">
        <v>2174</v>
      </c>
      <c r="F14873">
        <v>7</v>
      </c>
      <c r="G14873" t="s">
        <v>59</v>
      </c>
      <c r="H14873" t="s">
        <v>47</v>
      </c>
      <c r="I14873" t="s">
        <v>2195</v>
      </c>
      <c r="J14873" s="10">
        <v>4.4</v>
      </c>
      <c r="K14873" t="b">
        <v>1</v>
      </c>
    </row>
    <row r="14874" spans="1:11">
      <c r="A14874" s="12">
        <v>43500</v>
      </c>
      <c r="B14874">
        <v>2019</v>
      </c>
      <c r="C14874">
        <v>2</v>
      </c>
      <c r="D14874" s="11">
        <v>43497</v>
      </c>
      <c r="E14874" t="s">
        <v>2174</v>
      </c>
      <c r="F14874">
        <v>1</v>
      </c>
      <c r="G14874" t="s">
        <v>61</v>
      </c>
      <c r="H14874" t="s">
        <v>40</v>
      </c>
      <c r="I14874" t="s">
        <v>2188</v>
      </c>
      <c r="J14874" s="10">
        <v>6.33</v>
      </c>
      <c r="K14874" t="b">
        <v>1</v>
      </c>
    </row>
    <row r="14875" spans="1:11">
      <c r="A14875" s="12">
        <v>43500</v>
      </c>
      <c r="B14875">
        <v>2019</v>
      </c>
      <c r="C14875">
        <v>2</v>
      </c>
      <c r="D14875" s="11">
        <v>43497</v>
      </c>
      <c r="E14875" t="s">
        <v>2174</v>
      </c>
      <c r="F14875">
        <v>1</v>
      </c>
      <c r="G14875" t="s">
        <v>61</v>
      </c>
      <c r="H14875" t="s">
        <v>41</v>
      </c>
      <c r="I14875" t="s">
        <v>2189</v>
      </c>
      <c r="J14875" s="10">
        <v>6.68</v>
      </c>
      <c r="K14875" t="b">
        <v>1</v>
      </c>
    </row>
    <row r="14876" spans="1:11">
      <c r="A14876" s="12">
        <v>43500</v>
      </c>
      <c r="B14876">
        <v>2019</v>
      </c>
      <c r="C14876">
        <v>2</v>
      </c>
      <c r="D14876" s="11">
        <v>43497</v>
      </c>
      <c r="E14876" t="s">
        <v>2174</v>
      </c>
      <c r="F14876">
        <v>1</v>
      </c>
      <c r="G14876" t="s">
        <v>61</v>
      </c>
      <c r="H14876" t="s">
        <v>42</v>
      </c>
      <c r="I14876" t="s">
        <v>2190</v>
      </c>
      <c r="J14876" s="10">
        <v>3</v>
      </c>
      <c r="K14876" t="b">
        <v>1</v>
      </c>
    </row>
    <row r="14877" spans="1:11">
      <c r="A14877" s="12">
        <v>43500</v>
      </c>
      <c r="B14877">
        <v>2019</v>
      </c>
      <c r="C14877">
        <v>2</v>
      </c>
      <c r="D14877" s="11">
        <v>43497</v>
      </c>
      <c r="E14877" t="s">
        <v>2174</v>
      </c>
      <c r="F14877">
        <v>1</v>
      </c>
      <c r="G14877" t="s">
        <v>61</v>
      </c>
      <c r="H14877" t="s">
        <v>43</v>
      </c>
      <c r="I14877" t="s">
        <v>2191</v>
      </c>
      <c r="J14877" s="10">
        <v>47</v>
      </c>
      <c r="K14877" t="b">
        <v>1</v>
      </c>
    </row>
    <row r="14878" spans="1:11">
      <c r="A14878" s="12">
        <v>43500</v>
      </c>
      <c r="B14878">
        <v>2019</v>
      </c>
      <c r="C14878">
        <v>2</v>
      </c>
      <c r="D14878" s="11">
        <v>43497</v>
      </c>
      <c r="E14878" t="s">
        <v>2174</v>
      </c>
      <c r="F14878">
        <v>1</v>
      </c>
      <c r="G14878" t="s">
        <v>61</v>
      </c>
      <c r="H14878" t="s">
        <v>44</v>
      </c>
      <c r="I14878" t="s">
        <v>2192</v>
      </c>
      <c r="J14878" s="10">
        <v>5</v>
      </c>
      <c r="K14878" t="b">
        <v>1</v>
      </c>
    </row>
    <row r="14879" spans="1:11">
      <c r="A14879" s="12">
        <v>43500</v>
      </c>
      <c r="B14879">
        <v>2019</v>
      </c>
      <c r="C14879">
        <v>2</v>
      </c>
      <c r="D14879" s="11">
        <v>43497</v>
      </c>
      <c r="E14879" t="s">
        <v>2174</v>
      </c>
      <c r="F14879">
        <v>1</v>
      </c>
      <c r="G14879" t="s">
        <v>61</v>
      </c>
      <c r="H14879" t="s">
        <v>45</v>
      </c>
      <c r="I14879" t="s">
        <v>2193</v>
      </c>
      <c r="J14879" s="10">
        <v>1</v>
      </c>
      <c r="K14879" t="b">
        <v>1</v>
      </c>
    </row>
    <row r="14880" spans="1:11">
      <c r="A14880" s="12">
        <v>43500</v>
      </c>
      <c r="B14880">
        <v>2019</v>
      </c>
      <c r="C14880">
        <v>2</v>
      </c>
      <c r="D14880" s="11">
        <v>43497</v>
      </c>
      <c r="E14880" t="s">
        <v>2174</v>
      </c>
      <c r="F14880">
        <v>1</v>
      </c>
      <c r="G14880" t="s">
        <v>61</v>
      </c>
      <c r="H14880" t="s">
        <v>46</v>
      </c>
      <c r="I14880" t="s">
        <v>2194</v>
      </c>
      <c r="J14880" s="10">
        <v>12</v>
      </c>
      <c r="K14880" t="b">
        <v>1</v>
      </c>
    </row>
    <row r="14881" spans="1:11">
      <c r="A14881" s="12">
        <v>43500</v>
      </c>
      <c r="B14881">
        <v>2019</v>
      </c>
      <c r="C14881">
        <v>2</v>
      </c>
      <c r="D14881" s="11">
        <v>43497</v>
      </c>
      <c r="E14881" t="s">
        <v>2174</v>
      </c>
      <c r="F14881">
        <v>1</v>
      </c>
      <c r="G14881" t="s">
        <v>61</v>
      </c>
      <c r="H14881" t="s">
        <v>47</v>
      </c>
      <c r="I14881" t="s">
        <v>2195</v>
      </c>
      <c r="J14881" s="10">
        <v>2</v>
      </c>
      <c r="K14881" t="b">
        <v>1</v>
      </c>
    </row>
    <row r="14882" spans="1:11">
      <c r="A14882" s="12">
        <v>43501</v>
      </c>
      <c r="B14882">
        <v>2019</v>
      </c>
      <c r="C14882">
        <v>2</v>
      </c>
      <c r="D14882" s="11">
        <v>43497</v>
      </c>
      <c r="E14882" t="s">
        <v>2174</v>
      </c>
      <c r="F14882">
        <v>2</v>
      </c>
      <c r="G14882" t="s">
        <v>63</v>
      </c>
      <c r="H14882" t="s">
        <v>40</v>
      </c>
      <c r="I14882" t="s">
        <v>2188</v>
      </c>
      <c r="J14882" s="10">
        <v>5.33</v>
      </c>
      <c r="K14882" t="b">
        <v>1</v>
      </c>
    </row>
    <row r="14883" spans="1:11">
      <c r="A14883" s="12">
        <v>43501</v>
      </c>
      <c r="B14883">
        <v>2019</v>
      </c>
      <c r="C14883">
        <v>2</v>
      </c>
      <c r="D14883" s="11">
        <v>43497</v>
      </c>
      <c r="E14883" t="s">
        <v>2174</v>
      </c>
      <c r="F14883">
        <v>2</v>
      </c>
      <c r="G14883" t="s">
        <v>63</v>
      </c>
      <c r="H14883" t="s">
        <v>41</v>
      </c>
      <c r="I14883" t="s">
        <v>2189</v>
      </c>
      <c r="J14883" s="10">
        <v>10.386</v>
      </c>
      <c r="K14883" t="b">
        <v>1</v>
      </c>
    </row>
    <row r="14884" spans="1:11">
      <c r="A14884" s="12">
        <v>43501</v>
      </c>
      <c r="B14884">
        <v>2019</v>
      </c>
      <c r="C14884">
        <v>2</v>
      </c>
      <c r="D14884" s="11">
        <v>43497</v>
      </c>
      <c r="E14884" t="s">
        <v>2174</v>
      </c>
      <c r="F14884">
        <v>2</v>
      </c>
      <c r="G14884" t="s">
        <v>63</v>
      </c>
      <c r="H14884" t="s">
        <v>42</v>
      </c>
      <c r="I14884" t="s">
        <v>2190</v>
      </c>
      <c r="J14884" s="10">
        <v>3.65</v>
      </c>
      <c r="K14884" t="b">
        <v>1</v>
      </c>
    </row>
    <row r="14885" spans="1:11">
      <c r="A14885" s="12">
        <v>43501</v>
      </c>
      <c r="B14885">
        <v>2019</v>
      </c>
      <c r="C14885">
        <v>2</v>
      </c>
      <c r="D14885" s="11">
        <v>43497</v>
      </c>
      <c r="E14885" t="s">
        <v>2174</v>
      </c>
      <c r="F14885">
        <v>2</v>
      </c>
      <c r="G14885" t="s">
        <v>63</v>
      </c>
      <c r="H14885" t="s">
        <v>43</v>
      </c>
      <c r="I14885" t="s">
        <v>2191</v>
      </c>
      <c r="J14885" s="10">
        <v>33.8</v>
      </c>
      <c r="K14885" t="b">
        <v>1</v>
      </c>
    </row>
    <row r="14886" spans="1:11">
      <c r="A14886" s="12">
        <v>43501</v>
      </c>
      <c r="B14886">
        <v>2019</v>
      </c>
      <c r="C14886">
        <v>2</v>
      </c>
      <c r="D14886" s="11">
        <v>43497</v>
      </c>
      <c r="E14886" t="s">
        <v>2174</v>
      </c>
      <c r="F14886">
        <v>2</v>
      </c>
      <c r="G14886" t="s">
        <v>63</v>
      </c>
      <c r="H14886" t="s">
        <v>44</v>
      </c>
      <c r="I14886" t="s">
        <v>2192</v>
      </c>
      <c r="J14886" s="10">
        <v>2</v>
      </c>
      <c r="K14886" t="b">
        <v>1</v>
      </c>
    </row>
    <row r="14887" spans="1:11">
      <c r="A14887" s="12">
        <v>43501</v>
      </c>
      <c r="B14887">
        <v>2019</v>
      </c>
      <c r="C14887">
        <v>2</v>
      </c>
      <c r="D14887" s="11">
        <v>43497</v>
      </c>
      <c r="E14887" t="s">
        <v>2174</v>
      </c>
      <c r="F14887">
        <v>2</v>
      </c>
      <c r="G14887" t="s">
        <v>63</v>
      </c>
      <c r="H14887" t="s">
        <v>45</v>
      </c>
      <c r="I14887" t="s">
        <v>2193</v>
      </c>
      <c r="J14887" s="10">
        <v>0</v>
      </c>
      <c r="K14887" t="b">
        <v>1</v>
      </c>
    </row>
    <row r="14888" spans="1:11">
      <c r="A14888" s="12">
        <v>43501</v>
      </c>
      <c r="B14888">
        <v>2019</v>
      </c>
      <c r="C14888">
        <v>2</v>
      </c>
      <c r="D14888" s="11">
        <v>43497</v>
      </c>
      <c r="E14888" t="s">
        <v>2174</v>
      </c>
      <c r="F14888">
        <v>2</v>
      </c>
      <c r="G14888" t="s">
        <v>63</v>
      </c>
      <c r="H14888" t="s">
        <v>46</v>
      </c>
      <c r="I14888" t="s">
        <v>2194</v>
      </c>
      <c r="J14888" s="10">
        <v>1</v>
      </c>
      <c r="K14888" t="b">
        <v>1</v>
      </c>
    </row>
    <row r="14889" spans="1:11">
      <c r="A14889" s="12">
        <v>43501</v>
      </c>
      <c r="B14889">
        <v>2019</v>
      </c>
      <c r="C14889">
        <v>2</v>
      </c>
      <c r="D14889" s="11">
        <v>43497</v>
      </c>
      <c r="E14889" t="s">
        <v>2174</v>
      </c>
      <c r="F14889">
        <v>2</v>
      </c>
      <c r="G14889" t="s">
        <v>63</v>
      </c>
      <c r="H14889" t="s">
        <v>47</v>
      </c>
      <c r="I14889" t="s">
        <v>2195</v>
      </c>
      <c r="J14889" s="10">
        <v>4</v>
      </c>
      <c r="K14889" t="b">
        <v>1</v>
      </c>
    </row>
    <row r="14890" spans="1:11">
      <c r="A14890" s="12">
        <v>43502</v>
      </c>
      <c r="B14890">
        <v>2019</v>
      </c>
      <c r="C14890">
        <v>2</v>
      </c>
      <c r="D14890" s="11">
        <v>43497</v>
      </c>
      <c r="E14890" t="s">
        <v>2174</v>
      </c>
      <c r="F14890">
        <v>3</v>
      </c>
      <c r="G14890" t="s">
        <v>65</v>
      </c>
      <c r="H14890" t="s">
        <v>40</v>
      </c>
      <c r="I14890" t="s">
        <v>2188</v>
      </c>
      <c r="J14890" s="10">
        <v>6.34</v>
      </c>
      <c r="K14890" t="b">
        <v>1</v>
      </c>
    </row>
    <row r="14891" spans="1:11">
      <c r="A14891" s="12">
        <v>43502</v>
      </c>
      <c r="B14891">
        <v>2019</v>
      </c>
      <c r="C14891">
        <v>2</v>
      </c>
      <c r="D14891" s="11">
        <v>43497</v>
      </c>
      <c r="E14891" t="s">
        <v>2174</v>
      </c>
      <c r="F14891">
        <v>3</v>
      </c>
      <c r="G14891" t="s">
        <v>65</v>
      </c>
      <c r="H14891" t="s">
        <v>41</v>
      </c>
      <c r="I14891" t="s">
        <v>2189</v>
      </c>
      <c r="J14891" s="10">
        <v>4.178</v>
      </c>
      <c r="K14891" t="b">
        <v>1</v>
      </c>
    </row>
    <row r="14892" spans="1:11">
      <c r="A14892" s="12">
        <v>43502</v>
      </c>
      <c r="B14892">
        <v>2019</v>
      </c>
      <c r="C14892">
        <v>2</v>
      </c>
      <c r="D14892" s="11">
        <v>43497</v>
      </c>
      <c r="E14892" t="s">
        <v>2174</v>
      </c>
      <c r="F14892">
        <v>3</v>
      </c>
      <c r="G14892" t="s">
        <v>65</v>
      </c>
      <c r="H14892" t="s">
        <v>42</v>
      </c>
      <c r="I14892" t="s">
        <v>2190</v>
      </c>
      <c r="J14892" s="10">
        <v>2.2</v>
      </c>
      <c r="K14892" t="b">
        <v>1</v>
      </c>
    </row>
    <row r="14893" spans="1:11">
      <c r="A14893" s="12">
        <v>43502</v>
      </c>
      <c r="B14893">
        <v>2019</v>
      </c>
      <c r="C14893">
        <v>2</v>
      </c>
      <c r="D14893" s="11">
        <v>43497</v>
      </c>
      <c r="E14893" t="s">
        <v>2174</v>
      </c>
      <c r="F14893">
        <v>3</v>
      </c>
      <c r="G14893" t="s">
        <v>65</v>
      </c>
      <c r="H14893" t="s">
        <v>43</v>
      </c>
      <c r="I14893" t="s">
        <v>2191</v>
      </c>
      <c r="J14893" s="10">
        <v>29</v>
      </c>
      <c r="K14893" t="b">
        <v>1</v>
      </c>
    </row>
    <row r="14894" spans="1:11">
      <c r="A14894" s="12">
        <v>43502</v>
      </c>
      <c r="B14894">
        <v>2019</v>
      </c>
      <c r="C14894">
        <v>2</v>
      </c>
      <c r="D14894" s="11">
        <v>43497</v>
      </c>
      <c r="E14894" t="s">
        <v>2174</v>
      </c>
      <c r="F14894">
        <v>3</v>
      </c>
      <c r="G14894" t="s">
        <v>65</v>
      </c>
      <c r="H14894" t="s">
        <v>44</v>
      </c>
      <c r="I14894" t="s">
        <v>2192</v>
      </c>
      <c r="J14894" s="10">
        <v>4</v>
      </c>
      <c r="K14894" t="b">
        <v>1</v>
      </c>
    </row>
    <row r="14895" spans="1:11">
      <c r="A14895" s="12">
        <v>43502</v>
      </c>
      <c r="B14895">
        <v>2019</v>
      </c>
      <c r="C14895">
        <v>2</v>
      </c>
      <c r="D14895" s="11">
        <v>43497</v>
      </c>
      <c r="E14895" t="s">
        <v>2174</v>
      </c>
      <c r="F14895">
        <v>3</v>
      </c>
      <c r="G14895" t="s">
        <v>65</v>
      </c>
      <c r="H14895" t="s">
        <v>45</v>
      </c>
      <c r="I14895" t="s">
        <v>2193</v>
      </c>
      <c r="J14895" s="10">
        <v>0</v>
      </c>
      <c r="K14895" t="b">
        <v>1</v>
      </c>
    </row>
    <row r="14896" spans="1:11">
      <c r="A14896" s="12">
        <v>43502</v>
      </c>
      <c r="B14896">
        <v>2019</v>
      </c>
      <c r="C14896">
        <v>2</v>
      </c>
      <c r="D14896" s="11">
        <v>43497</v>
      </c>
      <c r="E14896" t="s">
        <v>2174</v>
      </c>
      <c r="F14896">
        <v>3</v>
      </c>
      <c r="G14896" t="s">
        <v>65</v>
      </c>
      <c r="H14896" t="s">
        <v>46</v>
      </c>
      <c r="I14896" t="s">
        <v>2194</v>
      </c>
      <c r="J14896" s="10">
        <v>4</v>
      </c>
      <c r="K14896" t="b">
        <v>1</v>
      </c>
    </row>
    <row r="14897" spans="1:11">
      <c r="A14897" s="12">
        <v>43502</v>
      </c>
      <c r="B14897">
        <v>2019</v>
      </c>
      <c r="C14897">
        <v>2</v>
      </c>
      <c r="D14897" s="11">
        <v>43497</v>
      </c>
      <c r="E14897" t="s">
        <v>2174</v>
      </c>
      <c r="F14897">
        <v>3</v>
      </c>
      <c r="G14897" t="s">
        <v>65</v>
      </c>
      <c r="H14897" t="s">
        <v>47</v>
      </c>
      <c r="I14897" t="s">
        <v>2195</v>
      </c>
      <c r="J14897" s="10">
        <v>1.5</v>
      </c>
      <c r="K14897" t="b">
        <v>1</v>
      </c>
    </row>
    <row r="14898" spans="1:11">
      <c r="A14898" s="12">
        <v>43503</v>
      </c>
      <c r="B14898">
        <v>2019</v>
      </c>
      <c r="C14898">
        <v>2</v>
      </c>
      <c r="D14898" s="11">
        <v>43497</v>
      </c>
      <c r="E14898" t="s">
        <v>2174</v>
      </c>
      <c r="F14898">
        <v>4</v>
      </c>
      <c r="G14898" t="s">
        <v>53</v>
      </c>
      <c r="H14898" t="s">
        <v>40</v>
      </c>
      <c r="I14898" t="s">
        <v>2188</v>
      </c>
      <c r="J14898" s="10">
        <v>2.33</v>
      </c>
      <c r="K14898" t="b">
        <v>1</v>
      </c>
    </row>
    <row r="14899" spans="1:11">
      <c r="A14899" s="12">
        <v>43503</v>
      </c>
      <c r="B14899">
        <v>2019</v>
      </c>
      <c r="C14899">
        <v>2</v>
      </c>
      <c r="D14899" s="11">
        <v>43497</v>
      </c>
      <c r="E14899" t="s">
        <v>2174</v>
      </c>
      <c r="F14899">
        <v>4</v>
      </c>
      <c r="G14899" t="s">
        <v>53</v>
      </c>
      <c r="H14899" t="s">
        <v>41</v>
      </c>
      <c r="I14899" t="s">
        <v>2189</v>
      </c>
      <c r="J14899" s="10">
        <v>5.132</v>
      </c>
      <c r="K14899" t="b">
        <v>1</v>
      </c>
    </row>
    <row r="14900" spans="1:11">
      <c r="A14900" s="12">
        <v>43503</v>
      </c>
      <c r="B14900">
        <v>2019</v>
      </c>
      <c r="C14900">
        <v>2</v>
      </c>
      <c r="D14900" s="11">
        <v>43497</v>
      </c>
      <c r="E14900" t="s">
        <v>2174</v>
      </c>
      <c r="F14900">
        <v>4</v>
      </c>
      <c r="G14900" t="s">
        <v>53</v>
      </c>
      <c r="H14900" t="s">
        <v>42</v>
      </c>
      <c r="I14900" t="s">
        <v>2190</v>
      </c>
      <c r="J14900" s="10">
        <v>4.5</v>
      </c>
      <c r="K14900" t="b">
        <v>1</v>
      </c>
    </row>
    <row r="14901" spans="1:11">
      <c r="A14901" s="12">
        <v>43503</v>
      </c>
      <c r="B14901">
        <v>2019</v>
      </c>
      <c r="C14901">
        <v>2</v>
      </c>
      <c r="D14901" s="11">
        <v>43497</v>
      </c>
      <c r="E14901" t="s">
        <v>2174</v>
      </c>
      <c r="F14901">
        <v>4</v>
      </c>
      <c r="G14901" t="s">
        <v>53</v>
      </c>
      <c r="H14901" t="s">
        <v>43</v>
      </c>
      <c r="I14901" t="s">
        <v>2191</v>
      </c>
      <c r="J14901" s="10">
        <v>42.6</v>
      </c>
      <c r="K14901" t="b">
        <v>1</v>
      </c>
    </row>
    <row r="14902" spans="1:11">
      <c r="A14902" s="12">
        <v>43503</v>
      </c>
      <c r="B14902">
        <v>2019</v>
      </c>
      <c r="C14902">
        <v>2</v>
      </c>
      <c r="D14902" s="11">
        <v>43497</v>
      </c>
      <c r="E14902" t="s">
        <v>2174</v>
      </c>
      <c r="F14902">
        <v>4</v>
      </c>
      <c r="G14902" t="s">
        <v>53</v>
      </c>
      <c r="H14902" t="s">
        <v>44</v>
      </c>
      <c r="I14902" t="s">
        <v>2192</v>
      </c>
      <c r="J14902" s="10">
        <v>11</v>
      </c>
      <c r="K14902" t="b">
        <v>1</v>
      </c>
    </row>
    <row r="14903" spans="1:11">
      <c r="A14903" s="12">
        <v>43503</v>
      </c>
      <c r="B14903">
        <v>2019</v>
      </c>
      <c r="C14903">
        <v>2</v>
      </c>
      <c r="D14903" s="11">
        <v>43497</v>
      </c>
      <c r="E14903" t="s">
        <v>2174</v>
      </c>
      <c r="F14903">
        <v>4</v>
      </c>
      <c r="G14903" t="s">
        <v>53</v>
      </c>
      <c r="H14903" t="s">
        <v>45</v>
      </c>
      <c r="I14903" t="s">
        <v>2193</v>
      </c>
      <c r="J14903" s="10">
        <v>0</v>
      </c>
      <c r="K14903" t="b">
        <v>1</v>
      </c>
    </row>
    <row r="14904" spans="1:11">
      <c r="A14904" s="12">
        <v>43503</v>
      </c>
      <c r="B14904">
        <v>2019</v>
      </c>
      <c r="C14904">
        <v>2</v>
      </c>
      <c r="D14904" s="11">
        <v>43497</v>
      </c>
      <c r="E14904" t="s">
        <v>2174</v>
      </c>
      <c r="F14904">
        <v>4</v>
      </c>
      <c r="G14904" t="s">
        <v>53</v>
      </c>
      <c r="H14904" t="s">
        <v>46</v>
      </c>
      <c r="I14904" t="s">
        <v>2194</v>
      </c>
      <c r="J14904" s="10">
        <v>22</v>
      </c>
      <c r="K14904" t="b">
        <v>1</v>
      </c>
    </row>
    <row r="14905" spans="1:11">
      <c r="A14905" s="12">
        <v>43503</v>
      </c>
      <c r="B14905">
        <v>2019</v>
      </c>
      <c r="C14905">
        <v>2</v>
      </c>
      <c r="D14905" s="11">
        <v>43497</v>
      </c>
      <c r="E14905" t="s">
        <v>2174</v>
      </c>
      <c r="F14905">
        <v>4</v>
      </c>
      <c r="G14905" t="s">
        <v>53</v>
      </c>
      <c r="H14905" t="s">
        <v>47</v>
      </c>
      <c r="I14905" t="s">
        <v>2195</v>
      </c>
      <c r="J14905" s="10">
        <v>1</v>
      </c>
      <c r="K14905" t="b">
        <v>1</v>
      </c>
    </row>
    <row r="14906" spans="1:11">
      <c r="A14906" s="12">
        <v>43504</v>
      </c>
      <c r="B14906">
        <v>2019</v>
      </c>
      <c r="C14906">
        <v>2</v>
      </c>
      <c r="D14906" s="11">
        <v>43497</v>
      </c>
      <c r="E14906" t="s">
        <v>2174</v>
      </c>
      <c r="F14906">
        <v>5</v>
      </c>
      <c r="G14906" t="s">
        <v>55</v>
      </c>
      <c r="H14906" t="s">
        <v>40</v>
      </c>
      <c r="I14906" t="s">
        <v>2188</v>
      </c>
      <c r="J14906" s="10">
        <v>2</v>
      </c>
      <c r="K14906" t="b">
        <v>1</v>
      </c>
    </row>
    <row r="14907" spans="1:11">
      <c r="A14907" s="12">
        <v>43504</v>
      </c>
      <c r="B14907">
        <v>2019</v>
      </c>
      <c r="C14907">
        <v>2</v>
      </c>
      <c r="D14907" s="11">
        <v>43497</v>
      </c>
      <c r="E14907" t="s">
        <v>2174</v>
      </c>
      <c r="F14907">
        <v>5</v>
      </c>
      <c r="G14907" t="s">
        <v>55</v>
      </c>
      <c r="H14907" t="s">
        <v>41</v>
      </c>
      <c r="I14907" t="s">
        <v>2189</v>
      </c>
      <c r="J14907" s="10">
        <v>6.373</v>
      </c>
      <c r="K14907" t="b">
        <v>1</v>
      </c>
    </row>
    <row r="14908" spans="1:11">
      <c r="A14908" s="12">
        <v>43504</v>
      </c>
      <c r="B14908">
        <v>2019</v>
      </c>
      <c r="C14908">
        <v>2</v>
      </c>
      <c r="D14908" s="11">
        <v>43497</v>
      </c>
      <c r="E14908" t="s">
        <v>2174</v>
      </c>
      <c r="F14908">
        <v>5</v>
      </c>
      <c r="G14908" t="s">
        <v>55</v>
      </c>
      <c r="H14908" t="s">
        <v>42</v>
      </c>
      <c r="I14908" t="s">
        <v>2190</v>
      </c>
      <c r="J14908" s="10">
        <v>7</v>
      </c>
      <c r="K14908" t="b">
        <v>1</v>
      </c>
    </row>
    <row r="14909" spans="1:11">
      <c r="A14909" s="12">
        <v>43504</v>
      </c>
      <c r="B14909">
        <v>2019</v>
      </c>
      <c r="C14909">
        <v>2</v>
      </c>
      <c r="D14909" s="11">
        <v>43497</v>
      </c>
      <c r="E14909" t="s">
        <v>2174</v>
      </c>
      <c r="F14909">
        <v>5</v>
      </c>
      <c r="G14909" t="s">
        <v>55</v>
      </c>
      <c r="H14909" t="s">
        <v>43</v>
      </c>
      <c r="I14909" t="s">
        <v>2191</v>
      </c>
      <c r="J14909" s="10">
        <v>50.2</v>
      </c>
      <c r="K14909" t="b">
        <v>1</v>
      </c>
    </row>
    <row r="14910" spans="1:11">
      <c r="A14910" s="12">
        <v>43504</v>
      </c>
      <c r="B14910">
        <v>2019</v>
      </c>
      <c r="C14910">
        <v>2</v>
      </c>
      <c r="D14910" s="11">
        <v>43497</v>
      </c>
      <c r="E14910" t="s">
        <v>2174</v>
      </c>
      <c r="F14910">
        <v>5</v>
      </c>
      <c r="G14910" t="s">
        <v>55</v>
      </c>
      <c r="H14910" t="s">
        <v>44</v>
      </c>
      <c r="I14910" t="s">
        <v>2192</v>
      </c>
      <c r="J14910" s="10">
        <v>9</v>
      </c>
      <c r="K14910" t="b">
        <v>1</v>
      </c>
    </row>
    <row r="14911" spans="1:11">
      <c r="A14911" s="12">
        <v>43504</v>
      </c>
      <c r="B14911">
        <v>2019</v>
      </c>
      <c r="C14911">
        <v>2</v>
      </c>
      <c r="D14911" s="11">
        <v>43497</v>
      </c>
      <c r="E14911" t="s">
        <v>2174</v>
      </c>
      <c r="F14911">
        <v>5</v>
      </c>
      <c r="G14911" t="s">
        <v>55</v>
      </c>
      <c r="H14911" t="s">
        <v>45</v>
      </c>
      <c r="I14911" t="s">
        <v>2193</v>
      </c>
      <c r="J14911" s="10">
        <v>3</v>
      </c>
      <c r="K14911" t="b">
        <v>1</v>
      </c>
    </row>
    <row r="14912" spans="1:11">
      <c r="A14912" s="12">
        <v>43504</v>
      </c>
      <c r="B14912">
        <v>2019</v>
      </c>
      <c r="C14912">
        <v>2</v>
      </c>
      <c r="D14912" s="11">
        <v>43497</v>
      </c>
      <c r="E14912" t="s">
        <v>2174</v>
      </c>
      <c r="F14912">
        <v>5</v>
      </c>
      <c r="G14912" t="s">
        <v>55</v>
      </c>
      <c r="H14912" t="s">
        <v>46</v>
      </c>
      <c r="I14912" t="s">
        <v>2194</v>
      </c>
      <c r="J14912" s="10">
        <v>12</v>
      </c>
      <c r="K14912" t="b">
        <v>1</v>
      </c>
    </row>
    <row r="14913" spans="1:11">
      <c r="A14913" s="12">
        <v>43504</v>
      </c>
      <c r="B14913">
        <v>2019</v>
      </c>
      <c r="C14913">
        <v>2</v>
      </c>
      <c r="D14913" s="11">
        <v>43497</v>
      </c>
      <c r="E14913" t="s">
        <v>2174</v>
      </c>
      <c r="F14913">
        <v>5</v>
      </c>
      <c r="G14913" t="s">
        <v>55</v>
      </c>
      <c r="H14913" t="s">
        <v>47</v>
      </c>
      <c r="I14913" t="s">
        <v>2195</v>
      </c>
      <c r="J14913" s="10">
        <v>5</v>
      </c>
      <c r="K14913" t="b">
        <v>1</v>
      </c>
    </row>
    <row r="14914" spans="1:11">
      <c r="A14914" s="12">
        <v>43505</v>
      </c>
      <c r="B14914">
        <v>2019</v>
      </c>
      <c r="C14914">
        <v>2</v>
      </c>
      <c r="D14914" s="11">
        <v>43497</v>
      </c>
      <c r="E14914" t="s">
        <v>2174</v>
      </c>
      <c r="F14914">
        <v>6</v>
      </c>
      <c r="G14914" t="s">
        <v>57</v>
      </c>
      <c r="H14914" t="s">
        <v>40</v>
      </c>
      <c r="I14914" t="s">
        <v>2188</v>
      </c>
      <c r="J14914" s="10">
        <v>6.68</v>
      </c>
      <c r="K14914" t="b">
        <v>1</v>
      </c>
    </row>
    <row r="14915" spans="1:11">
      <c r="A14915" s="12">
        <v>43505</v>
      </c>
      <c r="B14915">
        <v>2019</v>
      </c>
      <c r="C14915">
        <v>2</v>
      </c>
      <c r="D14915" s="11">
        <v>43497</v>
      </c>
      <c r="E14915" t="s">
        <v>2174</v>
      </c>
      <c r="F14915">
        <v>6</v>
      </c>
      <c r="G14915" t="s">
        <v>57</v>
      </c>
      <c r="H14915" t="s">
        <v>41</v>
      </c>
      <c r="I14915" t="s">
        <v>2189</v>
      </c>
      <c r="J14915" s="10">
        <v>7.383</v>
      </c>
      <c r="K14915" t="b">
        <v>1</v>
      </c>
    </row>
    <row r="14916" spans="1:11">
      <c r="A14916" s="12">
        <v>43505</v>
      </c>
      <c r="B14916">
        <v>2019</v>
      </c>
      <c r="C14916">
        <v>2</v>
      </c>
      <c r="D14916" s="11">
        <v>43497</v>
      </c>
      <c r="E14916" t="s">
        <v>2174</v>
      </c>
      <c r="F14916">
        <v>6</v>
      </c>
      <c r="G14916" t="s">
        <v>57</v>
      </c>
      <c r="H14916" t="s">
        <v>42</v>
      </c>
      <c r="I14916" t="s">
        <v>2190</v>
      </c>
      <c r="J14916" s="10">
        <v>5</v>
      </c>
      <c r="K14916" t="b">
        <v>1</v>
      </c>
    </row>
    <row r="14917" spans="1:11">
      <c r="A14917" s="12">
        <v>43505</v>
      </c>
      <c r="B14917">
        <v>2019</v>
      </c>
      <c r="C14917">
        <v>2</v>
      </c>
      <c r="D14917" s="11">
        <v>43497</v>
      </c>
      <c r="E14917" t="s">
        <v>2174</v>
      </c>
      <c r="F14917">
        <v>6</v>
      </c>
      <c r="G14917" t="s">
        <v>57</v>
      </c>
      <c r="H14917" t="s">
        <v>43</v>
      </c>
      <c r="I14917" t="s">
        <v>2191</v>
      </c>
      <c r="J14917" s="10">
        <v>51.65</v>
      </c>
      <c r="K14917" t="b">
        <v>1</v>
      </c>
    </row>
    <row r="14918" spans="1:11">
      <c r="A14918" s="12">
        <v>43505</v>
      </c>
      <c r="B14918">
        <v>2019</v>
      </c>
      <c r="C14918">
        <v>2</v>
      </c>
      <c r="D14918" s="11">
        <v>43497</v>
      </c>
      <c r="E14918" t="s">
        <v>2174</v>
      </c>
      <c r="F14918">
        <v>6</v>
      </c>
      <c r="G14918" t="s">
        <v>57</v>
      </c>
      <c r="H14918" t="s">
        <v>44</v>
      </c>
      <c r="I14918" t="s">
        <v>2192</v>
      </c>
      <c r="J14918" s="10">
        <v>10</v>
      </c>
      <c r="K14918" t="b">
        <v>1</v>
      </c>
    </row>
    <row r="14919" spans="1:11">
      <c r="A14919" s="12">
        <v>43505</v>
      </c>
      <c r="B14919">
        <v>2019</v>
      </c>
      <c r="C14919">
        <v>2</v>
      </c>
      <c r="D14919" s="11">
        <v>43497</v>
      </c>
      <c r="E14919" t="s">
        <v>2174</v>
      </c>
      <c r="F14919">
        <v>6</v>
      </c>
      <c r="G14919" t="s">
        <v>57</v>
      </c>
      <c r="H14919" t="s">
        <v>45</v>
      </c>
      <c r="I14919" t="s">
        <v>2193</v>
      </c>
      <c r="J14919" s="10">
        <v>0</v>
      </c>
      <c r="K14919" t="b">
        <v>1</v>
      </c>
    </row>
    <row r="14920" spans="1:11">
      <c r="A14920" s="12">
        <v>43505</v>
      </c>
      <c r="B14920">
        <v>2019</v>
      </c>
      <c r="C14920">
        <v>2</v>
      </c>
      <c r="D14920" s="11">
        <v>43497</v>
      </c>
      <c r="E14920" t="s">
        <v>2174</v>
      </c>
      <c r="F14920">
        <v>6</v>
      </c>
      <c r="G14920" t="s">
        <v>57</v>
      </c>
      <c r="H14920" t="s">
        <v>46</v>
      </c>
      <c r="I14920" t="s">
        <v>2194</v>
      </c>
      <c r="J14920" s="10">
        <v>11</v>
      </c>
      <c r="K14920" t="b">
        <v>1</v>
      </c>
    </row>
    <row r="14921" spans="1:11">
      <c r="A14921" s="12">
        <v>43505</v>
      </c>
      <c r="B14921">
        <v>2019</v>
      </c>
      <c r="C14921">
        <v>2</v>
      </c>
      <c r="D14921" s="11">
        <v>43497</v>
      </c>
      <c r="E14921" t="s">
        <v>2174</v>
      </c>
      <c r="F14921">
        <v>6</v>
      </c>
      <c r="G14921" t="s">
        <v>57</v>
      </c>
      <c r="H14921" t="s">
        <v>47</v>
      </c>
      <c r="I14921" t="s">
        <v>2195</v>
      </c>
      <c r="J14921" s="10">
        <v>1</v>
      </c>
      <c r="K14921" t="b">
        <v>1</v>
      </c>
    </row>
    <row r="14922" spans="1:11">
      <c r="A14922" s="12">
        <v>43506</v>
      </c>
      <c r="B14922">
        <v>2019</v>
      </c>
      <c r="C14922">
        <v>2</v>
      </c>
      <c r="D14922" s="11">
        <v>43497</v>
      </c>
      <c r="E14922" t="s">
        <v>2174</v>
      </c>
      <c r="F14922">
        <v>7</v>
      </c>
      <c r="G14922" t="s">
        <v>59</v>
      </c>
      <c r="H14922" t="s">
        <v>40</v>
      </c>
      <c r="I14922" t="s">
        <v>2188</v>
      </c>
      <c r="J14922" s="10">
        <v>3.34</v>
      </c>
      <c r="K14922" t="b">
        <v>1</v>
      </c>
    </row>
    <row r="14923" spans="1:11">
      <c r="A14923" s="12">
        <v>43506</v>
      </c>
      <c r="B14923">
        <v>2019</v>
      </c>
      <c r="C14923">
        <v>2</v>
      </c>
      <c r="D14923" s="11">
        <v>43497</v>
      </c>
      <c r="E14923" t="s">
        <v>2174</v>
      </c>
      <c r="F14923">
        <v>7</v>
      </c>
      <c r="G14923" t="s">
        <v>59</v>
      </c>
      <c r="H14923" t="s">
        <v>41</v>
      </c>
      <c r="I14923" t="s">
        <v>2189</v>
      </c>
      <c r="J14923" s="10">
        <v>7.119</v>
      </c>
      <c r="K14923" t="b">
        <v>1</v>
      </c>
    </row>
    <row r="14924" spans="1:11">
      <c r="A14924" s="12">
        <v>43506</v>
      </c>
      <c r="B14924">
        <v>2019</v>
      </c>
      <c r="C14924">
        <v>2</v>
      </c>
      <c r="D14924" s="11">
        <v>43497</v>
      </c>
      <c r="E14924" t="s">
        <v>2174</v>
      </c>
      <c r="F14924">
        <v>7</v>
      </c>
      <c r="G14924" t="s">
        <v>59</v>
      </c>
      <c r="H14924" t="s">
        <v>42</v>
      </c>
      <c r="I14924" t="s">
        <v>2190</v>
      </c>
      <c r="J14924" s="10">
        <v>3.35</v>
      </c>
      <c r="K14924" t="b">
        <v>1</v>
      </c>
    </row>
    <row r="14925" spans="1:11">
      <c r="A14925" s="12">
        <v>43506</v>
      </c>
      <c r="B14925">
        <v>2019</v>
      </c>
      <c r="C14925">
        <v>2</v>
      </c>
      <c r="D14925" s="11">
        <v>43497</v>
      </c>
      <c r="E14925" t="s">
        <v>2174</v>
      </c>
      <c r="F14925">
        <v>7</v>
      </c>
      <c r="G14925" t="s">
        <v>59</v>
      </c>
      <c r="H14925" t="s">
        <v>43</v>
      </c>
      <c r="I14925" t="s">
        <v>2191</v>
      </c>
      <c r="J14925" s="10">
        <v>43.2</v>
      </c>
      <c r="K14925" t="b">
        <v>1</v>
      </c>
    </row>
    <row r="14926" spans="1:11">
      <c r="A14926" s="12">
        <v>43506</v>
      </c>
      <c r="B14926">
        <v>2019</v>
      </c>
      <c r="C14926">
        <v>2</v>
      </c>
      <c r="D14926" s="11">
        <v>43497</v>
      </c>
      <c r="E14926" t="s">
        <v>2174</v>
      </c>
      <c r="F14926">
        <v>7</v>
      </c>
      <c r="G14926" t="s">
        <v>59</v>
      </c>
      <c r="H14926" t="s">
        <v>44</v>
      </c>
      <c r="I14926" t="s">
        <v>2192</v>
      </c>
      <c r="J14926" s="10">
        <v>9</v>
      </c>
      <c r="K14926" t="b">
        <v>1</v>
      </c>
    </row>
    <row r="14927" spans="1:11">
      <c r="A14927" s="12">
        <v>43506</v>
      </c>
      <c r="B14927">
        <v>2019</v>
      </c>
      <c r="C14927">
        <v>2</v>
      </c>
      <c r="D14927" s="11">
        <v>43497</v>
      </c>
      <c r="E14927" t="s">
        <v>2174</v>
      </c>
      <c r="F14927">
        <v>7</v>
      </c>
      <c r="G14927" t="s">
        <v>59</v>
      </c>
      <c r="H14927" t="s">
        <v>45</v>
      </c>
      <c r="I14927" t="s">
        <v>2193</v>
      </c>
      <c r="J14927" s="10">
        <v>0</v>
      </c>
      <c r="K14927" t="b">
        <v>1</v>
      </c>
    </row>
    <row r="14928" spans="1:11">
      <c r="A14928" s="12">
        <v>43506</v>
      </c>
      <c r="B14928">
        <v>2019</v>
      </c>
      <c r="C14928">
        <v>2</v>
      </c>
      <c r="D14928" s="11">
        <v>43497</v>
      </c>
      <c r="E14928" t="s">
        <v>2174</v>
      </c>
      <c r="F14928">
        <v>7</v>
      </c>
      <c r="G14928" t="s">
        <v>59</v>
      </c>
      <c r="H14928" t="s">
        <v>46</v>
      </c>
      <c r="I14928" t="s">
        <v>2194</v>
      </c>
      <c r="J14928" s="10">
        <v>0</v>
      </c>
      <c r="K14928" t="b">
        <v>1</v>
      </c>
    </row>
    <row r="14929" spans="1:11">
      <c r="A14929" s="12">
        <v>43506</v>
      </c>
      <c r="B14929">
        <v>2019</v>
      </c>
      <c r="C14929">
        <v>2</v>
      </c>
      <c r="D14929" s="11">
        <v>43497</v>
      </c>
      <c r="E14929" t="s">
        <v>2174</v>
      </c>
      <c r="F14929">
        <v>7</v>
      </c>
      <c r="G14929" t="s">
        <v>59</v>
      </c>
      <c r="H14929" t="s">
        <v>47</v>
      </c>
      <c r="I14929" t="s">
        <v>2195</v>
      </c>
      <c r="J14929" s="10">
        <v>1.2</v>
      </c>
      <c r="K14929" t="b">
        <v>1</v>
      </c>
    </row>
    <row r="14930" spans="1:11">
      <c r="A14930" s="12">
        <v>43507</v>
      </c>
      <c r="B14930">
        <v>2019</v>
      </c>
      <c r="C14930">
        <v>2</v>
      </c>
      <c r="D14930" s="11">
        <v>43497</v>
      </c>
      <c r="E14930" t="s">
        <v>2174</v>
      </c>
      <c r="F14930">
        <v>1</v>
      </c>
      <c r="G14930" t="s">
        <v>61</v>
      </c>
      <c r="H14930" t="s">
        <v>40</v>
      </c>
      <c r="I14930" t="s">
        <v>2188</v>
      </c>
      <c r="J14930" s="10">
        <v>8</v>
      </c>
      <c r="K14930" t="b">
        <v>1</v>
      </c>
    </row>
    <row r="14931" spans="1:11">
      <c r="A14931" s="12">
        <v>43507</v>
      </c>
      <c r="B14931">
        <v>2019</v>
      </c>
      <c r="C14931">
        <v>2</v>
      </c>
      <c r="D14931" s="11">
        <v>43497</v>
      </c>
      <c r="E14931" t="s">
        <v>2174</v>
      </c>
      <c r="F14931">
        <v>1</v>
      </c>
      <c r="G14931" t="s">
        <v>61</v>
      </c>
      <c r="H14931" t="s">
        <v>41</v>
      </c>
      <c r="I14931" t="s">
        <v>2189</v>
      </c>
      <c r="J14931" s="10">
        <v>7.469</v>
      </c>
      <c r="K14931" t="b">
        <v>1</v>
      </c>
    </row>
    <row r="14932" spans="1:11">
      <c r="A14932" s="12">
        <v>43507</v>
      </c>
      <c r="B14932">
        <v>2019</v>
      </c>
      <c r="C14932">
        <v>2</v>
      </c>
      <c r="D14932" s="11">
        <v>43497</v>
      </c>
      <c r="E14932" t="s">
        <v>2174</v>
      </c>
      <c r="F14932">
        <v>1</v>
      </c>
      <c r="G14932" t="s">
        <v>61</v>
      </c>
      <c r="H14932" t="s">
        <v>42</v>
      </c>
      <c r="I14932" t="s">
        <v>2190</v>
      </c>
      <c r="J14932" s="10">
        <v>6.15</v>
      </c>
      <c r="K14932" t="b">
        <v>1</v>
      </c>
    </row>
    <row r="14933" spans="1:11">
      <c r="A14933" s="12">
        <v>43507</v>
      </c>
      <c r="B14933">
        <v>2019</v>
      </c>
      <c r="C14933">
        <v>2</v>
      </c>
      <c r="D14933" s="11">
        <v>43497</v>
      </c>
      <c r="E14933" t="s">
        <v>2174</v>
      </c>
      <c r="F14933">
        <v>1</v>
      </c>
      <c r="G14933" t="s">
        <v>61</v>
      </c>
      <c r="H14933" t="s">
        <v>43</v>
      </c>
      <c r="I14933" t="s">
        <v>2191</v>
      </c>
      <c r="J14933" s="10">
        <v>30</v>
      </c>
      <c r="K14933" t="b">
        <v>1</v>
      </c>
    </row>
    <row r="14934" spans="1:11">
      <c r="A14934" s="12">
        <v>43507</v>
      </c>
      <c r="B14934">
        <v>2019</v>
      </c>
      <c r="C14934">
        <v>2</v>
      </c>
      <c r="D14934" s="11">
        <v>43497</v>
      </c>
      <c r="E14934" t="s">
        <v>2174</v>
      </c>
      <c r="F14934">
        <v>1</v>
      </c>
      <c r="G14934" t="s">
        <v>61</v>
      </c>
      <c r="H14934" t="s">
        <v>44</v>
      </c>
      <c r="I14934" t="s">
        <v>2192</v>
      </c>
      <c r="J14934" s="10">
        <v>10</v>
      </c>
      <c r="K14934" t="b">
        <v>1</v>
      </c>
    </row>
    <row r="14935" spans="1:11">
      <c r="A14935" s="12">
        <v>43507</v>
      </c>
      <c r="B14935">
        <v>2019</v>
      </c>
      <c r="C14935">
        <v>2</v>
      </c>
      <c r="D14935" s="11">
        <v>43497</v>
      </c>
      <c r="E14935" t="s">
        <v>2174</v>
      </c>
      <c r="F14935">
        <v>1</v>
      </c>
      <c r="G14935" t="s">
        <v>61</v>
      </c>
      <c r="H14935" t="s">
        <v>45</v>
      </c>
      <c r="I14935" t="s">
        <v>2193</v>
      </c>
      <c r="J14935" s="10">
        <v>0</v>
      </c>
      <c r="K14935" t="b">
        <v>1</v>
      </c>
    </row>
    <row r="14936" spans="1:11">
      <c r="A14936" s="12">
        <v>43507</v>
      </c>
      <c r="B14936">
        <v>2019</v>
      </c>
      <c r="C14936">
        <v>2</v>
      </c>
      <c r="D14936" s="11">
        <v>43497</v>
      </c>
      <c r="E14936" t="s">
        <v>2174</v>
      </c>
      <c r="F14936">
        <v>1</v>
      </c>
      <c r="G14936" t="s">
        <v>61</v>
      </c>
      <c r="H14936" t="s">
        <v>46</v>
      </c>
      <c r="I14936" t="s">
        <v>2194</v>
      </c>
      <c r="J14936" s="10">
        <v>5</v>
      </c>
      <c r="K14936" t="b">
        <v>1</v>
      </c>
    </row>
    <row r="14937" spans="1:11">
      <c r="A14937" s="12">
        <v>43507</v>
      </c>
      <c r="B14937">
        <v>2019</v>
      </c>
      <c r="C14937">
        <v>2</v>
      </c>
      <c r="D14937" s="11">
        <v>43497</v>
      </c>
      <c r="E14937" t="s">
        <v>2174</v>
      </c>
      <c r="F14937">
        <v>1</v>
      </c>
      <c r="G14937" t="s">
        <v>61</v>
      </c>
      <c r="H14937" t="s">
        <v>47</v>
      </c>
      <c r="I14937" t="s">
        <v>2195</v>
      </c>
      <c r="J14937" s="10">
        <v>3</v>
      </c>
      <c r="K14937" t="b">
        <v>1</v>
      </c>
    </row>
    <row r="14938" spans="1:11">
      <c r="A14938" s="12">
        <v>43508</v>
      </c>
      <c r="B14938">
        <v>2019</v>
      </c>
      <c r="C14938">
        <v>2</v>
      </c>
      <c r="D14938" s="11">
        <v>43497</v>
      </c>
      <c r="E14938" t="s">
        <v>2174</v>
      </c>
      <c r="F14938">
        <v>2</v>
      </c>
      <c r="G14938" t="s">
        <v>63</v>
      </c>
      <c r="H14938" t="s">
        <v>40</v>
      </c>
      <c r="I14938" t="s">
        <v>2188</v>
      </c>
      <c r="J14938" s="10">
        <v>6.66</v>
      </c>
      <c r="K14938" t="b">
        <v>1</v>
      </c>
    </row>
    <row r="14939" spans="1:11">
      <c r="A14939" s="12">
        <v>43508</v>
      </c>
      <c r="B14939">
        <v>2019</v>
      </c>
      <c r="C14939">
        <v>2</v>
      </c>
      <c r="D14939" s="11">
        <v>43497</v>
      </c>
      <c r="E14939" t="s">
        <v>2174</v>
      </c>
      <c r="F14939">
        <v>2</v>
      </c>
      <c r="G14939" t="s">
        <v>63</v>
      </c>
      <c r="H14939" t="s">
        <v>41</v>
      </c>
      <c r="I14939" t="s">
        <v>2189</v>
      </c>
      <c r="J14939" s="10">
        <v>3.34</v>
      </c>
      <c r="K14939" t="b">
        <v>1</v>
      </c>
    </row>
    <row r="14940" spans="1:11">
      <c r="A14940" s="12">
        <v>43508</v>
      </c>
      <c r="B14940">
        <v>2019</v>
      </c>
      <c r="C14940">
        <v>2</v>
      </c>
      <c r="D14940" s="11">
        <v>43497</v>
      </c>
      <c r="E14940" t="s">
        <v>2174</v>
      </c>
      <c r="F14940">
        <v>2</v>
      </c>
      <c r="G14940" t="s">
        <v>63</v>
      </c>
      <c r="H14940" t="s">
        <v>42</v>
      </c>
      <c r="I14940" t="s">
        <v>2190</v>
      </c>
      <c r="J14940" s="10">
        <v>0</v>
      </c>
      <c r="K14940" t="b">
        <v>1</v>
      </c>
    </row>
    <row r="14941" spans="1:11">
      <c r="A14941" s="12">
        <v>43508</v>
      </c>
      <c r="B14941">
        <v>2019</v>
      </c>
      <c r="C14941">
        <v>2</v>
      </c>
      <c r="D14941" s="11">
        <v>43497</v>
      </c>
      <c r="E14941" t="s">
        <v>2174</v>
      </c>
      <c r="F14941">
        <v>2</v>
      </c>
      <c r="G14941" t="s">
        <v>63</v>
      </c>
      <c r="H14941" t="s">
        <v>43</v>
      </c>
      <c r="I14941" t="s">
        <v>2191</v>
      </c>
      <c r="J14941" s="10">
        <v>34.6</v>
      </c>
      <c r="K14941" t="b">
        <v>1</v>
      </c>
    </row>
    <row r="14942" spans="1:11">
      <c r="A14942" s="12">
        <v>43508</v>
      </c>
      <c r="B14942">
        <v>2019</v>
      </c>
      <c r="C14942">
        <v>2</v>
      </c>
      <c r="D14942" s="11">
        <v>43497</v>
      </c>
      <c r="E14942" t="s">
        <v>2174</v>
      </c>
      <c r="F14942">
        <v>2</v>
      </c>
      <c r="G14942" t="s">
        <v>63</v>
      </c>
      <c r="H14942" t="s">
        <v>44</v>
      </c>
      <c r="I14942" t="s">
        <v>2192</v>
      </c>
      <c r="J14942" s="10">
        <v>8.199999999999999</v>
      </c>
      <c r="K14942" t="b">
        <v>1</v>
      </c>
    </row>
    <row r="14943" spans="1:11">
      <c r="A14943" s="12">
        <v>43508</v>
      </c>
      <c r="B14943">
        <v>2019</v>
      </c>
      <c r="C14943">
        <v>2</v>
      </c>
      <c r="D14943" s="11">
        <v>43497</v>
      </c>
      <c r="E14943" t="s">
        <v>2174</v>
      </c>
      <c r="F14943">
        <v>2</v>
      </c>
      <c r="G14943" t="s">
        <v>63</v>
      </c>
      <c r="H14943" t="s">
        <v>45</v>
      </c>
      <c r="I14943" t="s">
        <v>2193</v>
      </c>
      <c r="J14943" s="10">
        <v>0</v>
      </c>
      <c r="K14943" t="b">
        <v>1</v>
      </c>
    </row>
    <row r="14944" spans="1:11">
      <c r="A14944" s="12">
        <v>43508</v>
      </c>
      <c r="B14944">
        <v>2019</v>
      </c>
      <c r="C14944">
        <v>2</v>
      </c>
      <c r="D14944" s="11">
        <v>43497</v>
      </c>
      <c r="E14944" t="s">
        <v>2174</v>
      </c>
      <c r="F14944">
        <v>2</v>
      </c>
      <c r="G14944" t="s">
        <v>63</v>
      </c>
      <c r="H14944" t="s">
        <v>46</v>
      </c>
      <c r="I14944" t="s">
        <v>2194</v>
      </c>
      <c r="J14944" s="10">
        <v>6</v>
      </c>
      <c r="K14944" t="b">
        <v>1</v>
      </c>
    </row>
    <row r="14945" spans="1:11">
      <c r="A14945" s="12">
        <v>43508</v>
      </c>
      <c r="B14945">
        <v>2019</v>
      </c>
      <c r="C14945">
        <v>2</v>
      </c>
      <c r="D14945" s="11">
        <v>43497</v>
      </c>
      <c r="E14945" t="s">
        <v>2174</v>
      </c>
      <c r="F14945">
        <v>2</v>
      </c>
      <c r="G14945" t="s">
        <v>63</v>
      </c>
      <c r="H14945" t="s">
        <v>47</v>
      </c>
      <c r="I14945" t="s">
        <v>2195</v>
      </c>
      <c r="J14945" s="10">
        <v>0.5</v>
      </c>
      <c r="K14945" t="b">
        <v>1</v>
      </c>
    </row>
    <row r="14946" spans="1:11">
      <c r="A14946" s="12">
        <v>43509</v>
      </c>
      <c r="B14946">
        <v>2019</v>
      </c>
      <c r="C14946">
        <v>2</v>
      </c>
      <c r="D14946" s="11">
        <v>43497</v>
      </c>
      <c r="E14946" t="s">
        <v>2174</v>
      </c>
      <c r="F14946">
        <v>3</v>
      </c>
      <c r="G14946" t="s">
        <v>65</v>
      </c>
      <c r="H14946" t="s">
        <v>40</v>
      </c>
      <c r="I14946" t="s">
        <v>2188</v>
      </c>
      <c r="J14946" s="10">
        <v>4</v>
      </c>
      <c r="K14946" t="b">
        <v>1</v>
      </c>
    </row>
    <row r="14947" spans="1:11">
      <c r="A14947" s="12">
        <v>43509</v>
      </c>
      <c r="B14947">
        <v>2019</v>
      </c>
      <c r="C14947">
        <v>2</v>
      </c>
      <c r="D14947" s="11">
        <v>43497</v>
      </c>
      <c r="E14947" t="s">
        <v>2174</v>
      </c>
      <c r="F14947">
        <v>3</v>
      </c>
      <c r="G14947" t="s">
        <v>65</v>
      </c>
      <c r="H14947" t="s">
        <v>41</v>
      </c>
      <c r="I14947" t="s">
        <v>2189</v>
      </c>
      <c r="J14947" s="10">
        <v>4.01</v>
      </c>
      <c r="K14947" t="b">
        <v>1</v>
      </c>
    </row>
    <row r="14948" spans="1:11">
      <c r="A14948" s="12">
        <v>43509</v>
      </c>
      <c r="B14948">
        <v>2019</v>
      </c>
      <c r="C14948">
        <v>2</v>
      </c>
      <c r="D14948" s="11">
        <v>43497</v>
      </c>
      <c r="E14948" t="s">
        <v>2174</v>
      </c>
      <c r="F14948">
        <v>3</v>
      </c>
      <c r="G14948" t="s">
        <v>65</v>
      </c>
      <c r="H14948" t="s">
        <v>42</v>
      </c>
      <c r="I14948" t="s">
        <v>2190</v>
      </c>
      <c r="J14948" s="10">
        <v>1</v>
      </c>
      <c r="K14948" t="b">
        <v>1</v>
      </c>
    </row>
    <row r="14949" spans="1:11">
      <c r="A14949" s="12">
        <v>43509</v>
      </c>
      <c r="B14949">
        <v>2019</v>
      </c>
      <c r="C14949">
        <v>2</v>
      </c>
      <c r="D14949" s="11">
        <v>43497</v>
      </c>
      <c r="E14949" t="s">
        <v>2174</v>
      </c>
      <c r="F14949">
        <v>3</v>
      </c>
      <c r="G14949" t="s">
        <v>65</v>
      </c>
      <c r="H14949" t="s">
        <v>43</v>
      </c>
      <c r="I14949" t="s">
        <v>2191</v>
      </c>
      <c r="J14949" s="10">
        <v>27.2</v>
      </c>
      <c r="K14949" t="b">
        <v>1</v>
      </c>
    </row>
    <row r="14950" spans="1:11">
      <c r="A14950" s="12">
        <v>43509</v>
      </c>
      <c r="B14950">
        <v>2019</v>
      </c>
      <c r="C14950">
        <v>2</v>
      </c>
      <c r="D14950" s="11">
        <v>43497</v>
      </c>
      <c r="E14950" t="s">
        <v>2174</v>
      </c>
      <c r="F14950">
        <v>3</v>
      </c>
      <c r="G14950" t="s">
        <v>65</v>
      </c>
      <c r="H14950" t="s">
        <v>44</v>
      </c>
      <c r="I14950" t="s">
        <v>2192</v>
      </c>
      <c r="J14950" s="10">
        <v>16</v>
      </c>
      <c r="K14950" t="b">
        <v>1</v>
      </c>
    </row>
    <row r="14951" spans="1:11">
      <c r="A14951" s="12">
        <v>43509</v>
      </c>
      <c r="B14951">
        <v>2019</v>
      </c>
      <c r="C14951">
        <v>2</v>
      </c>
      <c r="D14951" s="11">
        <v>43497</v>
      </c>
      <c r="E14951" t="s">
        <v>2174</v>
      </c>
      <c r="F14951">
        <v>3</v>
      </c>
      <c r="G14951" t="s">
        <v>65</v>
      </c>
      <c r="H14951" t="s">
        <v>45</v>
      </c>
      <c r="I14951" t="s">
        <v>2193</v>
      </c>
      <c r="J14951" s="10">
        <v>0</v>
      </c>
      <c r="K14951" t="b">
        <v>1</v>
      </c>
    </row>
    <row r="14952" spans="1:11">
      <c r="A14952" s="12">
        <v>43509</v>
      </c>
      <c r="B14952">
        <v>2019</v>
      </c>
      <c r="C14952">
        <v>2</v>
      </c>
      <c r="D14952" s="11">
        <v>43497</v>
      </c>
      <c r="E14952" t="s">
        <v>2174</v>
      </c>
      <c r="F14952">
        <v>3</v>
      </c>
      <c r="G14952" t="s">
        <v>65</v>
      </c>
      <c r="H14952" t="s">
        <v>46</v>
      </c>
      <c r="I14952" t="s">
        <v>2194</v>
      </c>
      <c r="J14952" s="10">
        <v>8</v>
      </c>
      <c r="K14952" t="b">
        <v>1</v>
      </c>
    </row>
    <row r="14953" spans="1:11">
      <c r="A14953" s="12">
        <v>43509</v>
      </c>
      <c r="B14953">
        <v>2019</v>
      </c>
      <c r="C14953">
        <v>2</v>
      </c>
      <c r="D14953" s="11">
        <v>43497</v>
      </c>
      <c r="E14953" t="s">
        <v>2174</v>
      </c>
      <c r="F14953">
        <v>3</v>
      </c>
      <c r="G14953" t="s">
        <v>65</v>
      </c>
      <c r="H14953" t="s">
        <v>47</v>
      </c>
      <c r="I14953" t="s">
        <v>2195</v>
      </c>
      <c r="J14953" s="10">
        <v>2</v>
      </c>
      <c r="K14953" t="b">
        <v>1</v>
      </c>
    </row>
    <row r="14954" spans="1:11">
      <c r="A14954" s="12">
        <v>43510</v>
      </c>
      <c r="B14954">
        <v>2019</v>
      </c>
      <c r="C14954">
        <v>2</v>
      </c>
      <c r="D14954" s="11">
        <v>43497</v>
      </c>
      <c r="E14954" t="s">
        <v>2174</v>
      </c>
      <c r="F14954">
        <v>4</v>
      </c>
      <c r="G14954" t="s">
        <v>53</v>
      </c>
      <c r="H14954" t="s">
        <v>40</v>
      </c>
      <c r="I14954" t="s">
        <v>2188</v>
      </c>
      <c r="J14954" s="10">
        <v>2.33</v>
      </c>
      <c r="K14954" t="b">
        <v>1</v>
      </c>
    </row>
    <row r="14955" spans="1:11">
      <c r="A14955" s="12">
        <v>43510</v>
      </c>
      <c r="B14955">
        <v>2019</v>
      </c>
      <c r="C14955">
        <v>2</v>
      </c>
      <c r="D14955" s="11">
        <v>43497</v>
      </c>
      <c r="E14955" t="s">
        <v>2174</v>
      </c>
      <c r="F14955">
        <v>4</v>
      </c>
      <c r="G14955" t="s">
        <v>53</v>
      </c>
      <c r="H14955" t="s">
        <v>41</v>
      </c>
      <c r="I14955" t="s">
        <v>2189</v>
      </c>
      <c r="J14955" s="10">
        <v>6.517</v>
      </c>
      <c r="K14955" t="b">
        <v>1</v>
      </c>
    </row>
    <row r="14956" spans="1:11">
      <c r="A14956" s="12">
        <v>43510</v>
      </c>
      <c r="B14956">
        <v>2019</v>
      </c>
      <c r="C14956">
        <v>2</v>
      </c>
      <c r="D14956" s="11">
        <v>43497</v>
      </c>
      <c r="E14956" t="s">
        <v>2174</v>
      </c>
      <c r="F14956">
        <v>4</v>
      </c>
      <c r="G14956" t="s">
        <v>53</v>
      </c>
      <c r="H14956" t="s">
        <v>42</v>
      </c>
      <c r="I14956" t="s">
        <v>2190</v>
      </c>
      <c r="J14956" s="10">
        <v>3.15</v>
      </c>
      <c r="K14956" t="b">
        <v>1</v>
      </c>
    </row>
    <row r="14957" spans="1:11">
      <c r="A14957" s="12">
        <v>43510</v>
      </c>
      <c r="B14957">
        <v>2019</v>
      </c>
      <c r="C14957">
        <v>2</v>
      </c>
      <c r="D14957" s="11">
        <v>43497</v>
      </c>
      <c r="E14957" t="s">
        <v>2174</v>
      </c>
      <c r="F14957">
        <v>4</v>
      </c>
      <c r="G14957" t="s">
        <v>53</v>
      </c>
      <c r="H14957" t="s">
        <v>43</v>
      </c>
      <c r="I14957" t="s">
        <v>2191</v>
      </c>
      <c r="J14957" s="10">
        <v>54.5</v>
      </c>
      <c r="K14957" t="b">
        <v>1</v>
      </c>
    </row>
    <row r="14958" spans="1:11">
      <c r="A14958" s="12">
        <v>43510</v>
      </c>
      <c r="B14958">
        <v>2019</v>
      </c>
      <c r="C14958">
        <v>2</v>
      </c>
      <c r="D14958" s="11">
        <v>43497</v>
      </c>
      <c r="E14958" t="s">
        <v>2174</v>
      </c>
      <c r="F14958">
        <v>4</v>
      </c>
      <c r="G14958" t="s">
        <v>53</v>
      </c>
      <c r="H14958" t="s">
        <v>44</v>
      </c>
      <c r="I14958" t="s">
        <v>2192</v>
      </c>
      <c r="J14958" s="10">
        <v>9</v>
      </c>
      <c r="K14958" t="b">
        <v>1</v>
      </c>
    </row>
    <row r="14959" spans="1:11">
      <c r="A14959" s="12">
        <v>43510</v>
      </c>
      <c r="B14959">
        <v>2019</v>
      </c>
      <c r="C14959">
        <v>2</v>
      </c>
      <c r="D14959" s="11">
        <v>43497</v>
      </c>
      <c r="E14959" t="s">
        <v>2174</v>
      </c>
      <c r="F14959">
        <v>4</v>
      </c>
      <c r="G14959" t="s">
        <v>53</v>
      </c>
      <c r="H14959" t="s">
        <v>45</v>
      </c>
      <c r="I14959" t="s">
        <v>2193</v>
      </c>
      <c r="J14959" s="10">
        <v>0</v>
      </c>
      <c r="K14959" t="b">
        <v>1</v>
      </c>
    </row>
    <row r="14960" spans="1:11">
      <c r="A14960" s="12">
        <v>43510</v>
      </c>
      <c r="B14960">
        <v>2019</v>
      </c>
      <c r="C14960">
        <v>2</v>
      </c>
      <c r="D14960" s="11">
        <v>43497</v>
      </c>
      <c r="E14960" t="s">
        <v>2174</v>
      </c>
      <c r="F14960">
        <v>4</v>
      </c>
      <c r="G14960" t="s">
        <v>53</v>
      </c>
      <c r="H14960" t="s">
        <v>46</v>
      </c>
      <c r="I14960" t="s">
        <v>2194</v>
      </c>
      <c r="J14960" s="10">
        <v>7</v>
      </c>
      <c r="K14960" t="b">
        <v>1</v>
      </c>
    </row>
    <row r="14961" spans="1:11">
      <c r="A14961" s="12">
        <v>43510</v>
      </c>
      <c r="B14961">
        <v>2019</v>
      </c>
      <c r="C14961">
        <v>2</v>
      </c>
      <c r="D14961" s="11">
        <v>43497</v>
      </c>
      <c r="E14961" t="s">
        <v>2174</v>
      </c>
      <c r="F14961">
        <v>4</v>
      </c>
      <c r="G14961" t="s">
        <v>53</v>
      </c>
      <c r="H14961" t="s">
        <v>47</v>
      </c>
      <c r="I14961" t="s">
        <v>2195</v>
      </c>
      <c r="J14961" s="10">
        <v>3</v>
      </c>
      <c r="K14961" t="b">
        <v>1</v>
      </c>
    </row>
    <row r="14962" spans="1:11">
      <c r="A14962" s="12">
        <v>43511</v>
      </c>
      <c r="B14962">
        <v>2019</v>
      </c>
      <c r="C14962">
        <v>2</v>
      </c>
      <c r="D14962" s="11">
        <v>43497</v>
      </c>
      <c r="E14962" t="s">
        <v>2174</v>
      </c>
      <c r="F14962">
        <v>5</v>
      </c>
      <c r="G14962" t="s">
        <v>55</v>
      </c>
      <c r="H14962" t="s">
        <v>40</v>
      </c>
      <c r="I14962" t="s">
        <v>2188</v>
      </c>
      <c r="J14962" s="10">
        <v>5.34</v>
      </c>
      <c r="K14962" t="b">
        <v>1</v>
      </c>
    </row>
    <row r="14963" spans="1:11">
      <c r="A14963" s="12">
        <v>43511</v>
      </c>
      <c r="B14963">
        <v>2019</v>
      </c>
      <c r="C14963">
        <v>2</v>
      </c>
      <c r="D14963" s="11">
        <v>43497</v>
      </c>
      <c r="E14963" t="s">
        <v>2174</v>
      </c>
      <c r="F14963">
        <v>5</v>
      </c>
      <c r="G14963" t="s">
        <v>55</v>
      </c>
      <c r="H14963" t="s">
        <v>41</v>
      </c>
      <c r="I14963" t="s">
        <v>2189</v>
      </c>
      <c r="J14963" s="10">
        <v>5</v>
      </c>
      <c r="K14963" t="b">
        <v>1</v>
      </c>
    </row>
    <row r="14964" spans="1:11">
      <c r="A14964" s="12">
        <v>43511</v>
      </c>
      <c r="B14964">
        <v>2019</v>
      </c>
      <c r="C14964">
        <v>2</v>
      </c>
      <c r="D14964" s="11">
        <v>43497</v>
      </c>
      <c r="E14964" t="s">
        <v>2174</v>
      </c>
      <c r="F14964">
        <v>5</v>
      </c>
      <c r="G14964" t="s">
        <v>55</v>
      </c>
      <c r="H14964" t="s">
        <v>42</v>
      </c>
      <c r="I14964" t="s">
        <v>2190</v>
      </c>
      <c r="J14964" s="10">
        <v>12.5</v>
      </c>
      <c r="K14964" t="b">
        <v>1</v>
      </c>
    </row>
    <row r="14965" spans="1:11">
      <c r="A14965" s="12">
        <v>43511</v>
      </c>
      <c r="B14965">
        <v>2019</v>
      </c>
      <c r="C14965">
        <v>2</v>
      </c>
      <c r="D14965" s="11">
        <v>43497</v>
      </c>
      <c r="E14965" t="s">
        <v>2174</v>
      </c>
      <c r="F14965">
        <v>5</v>
      </c>
      <c r="G14965" t="s">
        <v>55</v>
      </c>
      <c r="H14965" t="s">
        <v>43</v>
      </c>
      <c r="I14965" t="s">
        <v>2191</v>
      </c>
      <c r="J14965" s="10">
        <v>52.05</v>
      </c>
      <c r="K14965" t="b">
        <v>1</v>
      </c>
    </row>
    <row r="14966" spans="1:11">
      <c r="A14966" s="12">
        <v>43511</v>
      </c>
      <c r="B14966">
        <v>2019</v>
      </c>
      <c r="C14966">
        <v>2</v>
      </c>
      <c r="D14966" s="11">
        <v>43497</v>
      </c>
      <c r="E14966" t="s">
        <v>2174</v>
      </c>
      <c r="F14966">
        <v>5</v>
      </c>
      <c r="G14966" t="s">
        <v>55</v>
      </c>
      <c r="H14966" t="s">
        <v>44</v>
      </c>
      <c r="I14966" t="s">
        <v>2192</v>
      </c>
      <c r="J14966" s="10">
        <v>16</v>
      </c>
      <c r="K14966" t="b">
        <v>1</v>
      </c>
    </row>
    <row r="14967" spans="1:11">
      <c r="A14967" s="12">
        <v>43511</v>
      </c>
      <c r="B14967">
        <v>2019</v>
      </c>
      <c r="C14967">
        <v>2</v>
      </c>
      <c r="D14967" s="11">
        <v>43497</v>
      </c>
      <c r="E14967" t="s">
        <v>2174</v>
      </c>
      <c r="F14967">
        <v>5</v>
      </c>
      <c r="G14967" t="s">
        <v>55</v>
      </c>
      <c r="H14967" t="s">
        <v>45</v>
      </c>
      <c r="I14967" t="s">
        <v>2193</v>
      </c>
      <c r="J14967" s="10">
        <v>0</v>
      </c>
      <c r="K14967" t="b">
        <v>1</v>
      </c>
    </row>
    <row r="14968" spans="1:11">
      <c r="A14968" s="12">
        <v>43511</v>
      </c>
      <c r="B14968">
        <v>2019</v>
      </c>
      <c r="C14968">
        <v>2</v>
      </c>
      <c r="D14968" s="11">
        <v>43497</v>
      </c>
      <c r="E14968" t="s">
        <v>2174</v>
      </c>
      <c r="F14968">
        <v>5</v>
      </c>
      <c r="G14968" t="s">
        <v>55</v>
      </c>
      <c r="H14968" t="s">
        <v>46</v>
      </c>
      <c r="I14968" t="s">
        <v>2194</v>
      </c>
      <c r="J14968" s="10">
        <v>3</v>
      </c>
      <c r="K14968" t="b">
        <v>1</v>
      </c>
    </row>
    <row r="14969" spans="1:11">
      <c r="A14969" s="12">
        <v>43511</v>
      </c>
      <c r="B14969">
        <v>2019</v>
      </c>
      <c r="C14969">
        <v>2</v>
      </c>
      <c r="D14969" s="11">
        <v>43497</v>
      </c>
      <c r="E14969" t="s">
        <v>2174</v>
      </c>
      <c r="F14969">
        <v>5</v>
      </c>
      <c r="G14969" t="s">
        <v>55</v>
      </c>
      <c r="H14969" t="s">
        <v>47</v>
      </c>
      <c r="I14969" t="s">
        <v>2195</v>
      </c>
      <c r="J14969" s="10">
        <v>2</v>
      </c>
      <c r="K14969" t="b">
        <v>1</v>
      </c>
    </row>
    <row r="14970" spans="1:11">
      <c r="A14970" s="12">
        <v>43512</v>
      </c>
      <c r="B14970">
        <v>2019</v>
      </c>
      <c r="C14970">
        <v>2</v>
      </c>
      <c r="D14970" s="11">
        <v>43497</v>
      </c>
      <c r="E14970" t="s">
        <v>2174</v>
      </c>
      <c r="F14970">
        <v>6</v>
      </c>
      <c r="G14970" t="s">
        <v>57</v>
      </c>
      <c r="H14970" t="s">
        <v>40</v>
      </c>
      <c r="I14970" t="s">
        <v>2188</v>
      </c>
      <c r="J14970" s="10">
        <v>6.34</v>
      </c>
      <c r="K14970" t="b">
        <v>1</v>
      </c>
    </row>
    <row r="14971" spans="1:11">
      <c r="A14971" s="12">
        <v>43512</v>
      </c>
      <c r="B14971">
        <v>2019</v>
      </c>
      <c r="C14971">
        <v>2</v>
      </c>
      <c r="D14971" s="11">
        <v>43497</v>
      </c>
      <c r="E14971" t="s">
        <v>2174</v>
      </c>
      <c r="F14971">
        <v>6</v>
      </c>
      <c r="G14971" t="s">
        <v>57</v>
      </c>
      <c r="H14971" t="s">
        <v>41</v>
      </c>
      <c r="I14971" t="s">
        <v>2189</v>
      </c>
      <c r="J14971" s="10">
        <v>6.02</v>
      </c>
      <c r="K14971" t="b">
        <v>1</v>
      </c>
    </row>
    <row r="14972" spans="1:11">
      <c r="A14972" s="12">
        <v>43512</v>
      </c>
      <c r="B14972">
        <v>2019</v>
      </c>
      <c r="C14972">
        <v>2</v>
      </c>
      <c r="D14972" s="11">
        <v>43497</v>
      </c>
      <c r="E14972" t="s">
        <v>2174</v>
      </c>
      <c r="F14972">
        <v>6</v>
      </c>
      <c r="G14972" t="s">
        <v>57</v>
      </c>
      <c r="H14972" t="s">
        <v>42</v>
      </c>
      <c r="I14972" t="s">
        <v>2190</v>
      </c>
      <c r="J14972" s="10">
        <v>5</v>
      </c>
      <c r="K14972" t="b">
        <v>1</v>
      </c>
    </row>
    <row r="14973" spans="1:11">
      <c r="A14973" s="12">
        <v>43512</v>
      </c>
      <c r="B14973">
        <v>2019</v>
      </c>
      <c r="C14973">
        <v>2</v>
      </c>
      <c r="D14973" s="11">
        <v>43497</v>
      </c>
      <c r="E14973" t="s">
        <v>2174</v>
      </c>
      <c r="F14973">
        <v>6</v>
      </c>
      <c r="G14973" t="s">
        <v>57</v>
      </c>
      <c r="H14973" t="s">
        <v>43</v>
      </c>
      <c r="I14973" t="s">
        <v>2191</v>
      </c>
      <c r="J14973" s="10">
        <v>36.4</v>
      </c>
      <c r="K14973" t="b">
        <v>1</v>
      </c>
    </row>
    <row r="14974" spans="1:11">
      <c r="A14974" s="12">
        <v>43512</v>
      </c>
      <c r="B14974">
        <v>2019</v>
      </c>
      <c r="C14974">
        <v>2</v>
      </c>
      <c r="D14974" s="11">
        <v>43497</v>
      </c>
      <c r="E14974" t="s">
        <v>2174</v>
      </c>
      <c r="F14974">
        <v>6</v>
      </c>
      <c r="G14974" t="s">
        <v>57</v>
      </c>
      <c r="H14974" t="s">
        <v>44</v>
      </c>
      <c r="I14974" t="s">
        <v>2192</v>
      </c>
      <c r="J14974" s="10">
        <v>8</v>
      </c>
      <c r="K14974" t="b">
        <v>1</v>
      </c>
    </row>
    <row r="14975" spans="1:11">
      <c r="A14975" s="12">
        <v>43512</v>
      </c>
      <c r="B14975">
        <v>2019</v>
      </c>
      <c r="C14975">
        <v>2</v>
      </c>
      <c r="D14975" s="11">
        <v>43497</v>
      </c>
      <c r="E14975" t="s">
        <v>2174</v>
      </c>
      <c r="F14975">
        <v>6</v>
      </c>
      <c r="G14975" t="s">
        <v>57</v>
      </c>
      <c r="H14975" t="s">
        <v>45</v>
      </c>
      <c r="I14975" t="s">
        <v>2193</v>
      </c>
      <c r="J14975" s="10">
        <v>0</v>
      </c>
      <c r="K14975" t="b">
        <v>1</v>
      </c>
    </row>
    <row r="14976" spans="1:11">
      <c r="A14976" s="12">
        <v>43512</v>
      </c>
      <c r="B14976">
        <v>2019</v>
      </c>
      <c r="C14976">
        <v>2</v>
      </c>
      <c r="D14976" s="11">
        <v>43497</v>
      </c>
      <c r="E14976" t="s">
        <v>2174</v>
      </c>
      <c r="F14976">
        <v>6</v>
      </c>
      <c r="G14976" t="s">
        <v>57</v>
      </c>
      <c r="H14976" t="s">
        <v>46</v>
      </c>
      <c r="I14976" t="s">
        <v>2194</v>
      </c>
      <c r="J14976" s="10">
        <v>6</v>
      </c>
      <c r="K14976" t="b">
        <v>1</v>
      </c>
    </row>
    <row r="14977" spans="1:11">
      <c r="A14977" s="12">
        <v>43512</v>
      </c>
      <c r="B14977">
        <v>2019</v>
      </c>
      <c r="C14977">
        <v>2</v>
      </c>
      <c r="D14977" s="11">
        <v>43497</v>
      </c>
      <c r="E14977" t="s">
        <v>2174</v>
      </c>
      <c r="F14977">
        <v>6</v>
      </c>
      <c r="G14977" t="s">
        <v>57</v>
      </c>
      <c r="H14977" t="s">
        <v>47</v>
      </c>
      <c r="I14977" t="s">
        <v>2195</v>
      </c>
      <c r="J14977" s="10">
        <v>3</v>
      </c>
      <c r="K14977" t="b">
        <v>1</v>
      </c>
    </row>
    <row r="14978" spans="1:11">
      <c r="A14978" s="12">
        <v>43513</v>
      </c>
      <c r="B14978">
        <v>2019</v>
      </c>
      <c r="C14978">
        <v>2</v>
      </c>
      <c r="D14978" s="11">
        <v>43497</v>
      </c>
      <c r="E14978" t="s">
        <v>2174</v>
      </c>
      <c r="F14978">
        <v>7</v>
      </c>
      <c r="G14978" t="s">
        <v>59</v>
      </c>
      <c r="H14978" t="s">
        <v>40</v>
      </c>
      <c r="I14978" t="s">
        <v>2188</v>
      </c>
      <c r="J14978" s="10">
        <v>2.34</v>
      </c>
      <c r="K14978" t="b">
        <v>1</v>
      </c>
    </row>
    <row r="14979" spans="1:11">
      <c r="A14979" s="12">
        <v>43513</v>
      </c>
      <c r="B14979">
        <v>2019</v>
      </c>
      <c r="C14979">
        <v>2</v>
      </c>
      <c r="D14979" s="11">
        <v>43497</v>
      </c>
      <c r="E14979" t="s">
        <v>2174</v>
      </c>
      <c r="F14979">
        <v>7</v>
      </c>
      <c r="G14979" t="s">
        <v>59</v>
      </c>
      <c r="H14979" t="s">
        <v>41</v>
      </c>
      <c r="I14979" t="s">
        <v>2189</v>
      </c>
      <c r="J14979" s="10">
        <v>4.416</v>
      </c>
      <c r="K14979" t="b">
        <v>1</v>
      </c>
    </row>
    <row r="14980" spans="1:11">
      <c r="A14980" s="12">
        <v>43513</v>
      </c>
      <c r="B14980">
        <v>2019</v>
      </c>
      <c r="C14980">
        <v>2</v>
      </c>
      <c r="D14980" s="11">
        <v>43497</v>
      </c>
      <c r="E14980" t="s">
        <v>2174</v>
      </c>
      <c r="F14980">
        <v>7</v>
      </c>
      <c r="G14980" t="s">
        <v>59</v>
      </c>
      <c r="H14980" t="s">
        <v>42</v>
      </c>
      <c r="I14980" t="s">
        <v>2190</v>
      </c>
      <c r="J14980" s="10">
        <v>4</v>
      </c>
      <c r="K14980" t="b">
        <v>1</v>
      </c>
    </row>
    <row r="14981" spans="1:11">
      <c r="A14981" s="12">
        <v>43513</v>
      </c>
      <c r="B14981">
        <v>2019</v>
      </c>
      <c r="C14981">
        <v>2</v>
      </c>
      <c r="D14981" s="11">
        <v>43497</v>
      </c>
      <c r="E14981" t="s">
        <v>2174</v>
      </c>
      <c r="F14981">
        <v>7</v>
      </c>
      <c r="G14981" t="s">
        <v>59</v>
      </c>
      <c r="H14981" t="s">
        <v>43</v>
      </c>
      <c r="I14981" t="s">
        <v>2191</v>
      </c>
      <c r="J14981" s="10">
        <v>15.162</v>
      </c>
      <c r="K14981" t="b">
        <v>1</v>
      </c>
    </row>
    <row r="14982" spans="1:11">
      <c r="A14982" s="12">
        <v>43513</v>
      </c>
      <c r="B14982">
        <v>2019</v>
      </c>
      <c r="C14982">
        <v>2</v>
      </c>
      <c r="D14982" s="11">
        <v>43497</v>
      </c>
      <c r="E14982" t="s">
        <v>2174</v>
      </c>
      <c r="F14982">
        <v>7</v>
      </c>
      <c r="G14982" t="s">
        <v>59</v>
      </c>
      <c r="H14982" t="s">
        <v>44</v>
      </c>
      <c r="I14982" t="s">
        <v>2192</v>
      </c>
      <c r="J14982" s="10">
        <v>11.2</v>
      </c>
      <c r="K14982" t="b">
        <v>1</v>
      </c>
    </row>
    <row r="14983" spans="1:11">
      <c r="A14983" s="12">
        <v>43513</v>
      </c>
      <c r="B14983">
        <v>2019</v>
      </c>
      <c r="C14983">
        <v>2</v>
      </c>
      <c r="D14983" s="11">
        <v>43497</v>
      </c>
      <c r="E14983" t="s">
        <v>2174</v>
      </c>
      <c r="F14983">
        <v>7</v>
      </c>
      <c r="G14983" t="s">
        <v>59</v>
      </c>
      <c r="H14983" t="s">
        <v>45</v>
      </c>
      <c r="I14983" t="s">
        <v>2193</v>
      </c>
      <c r="J14983" s="10">
        <v>0</v>
      </c>
      <c r="K14983" t="b">
        <v>1</v>
      </c>
    </row>
    <row r="14984" spans="1:11">
      <c r="A14984" s="12">
        <v>43513</v>
      </c>
      <c r="B14984">
        <v>2019</v>
      </c>
      <c r="C14984">
        <v>2</v>
      </c>
      <c r="D14984" s="11">
        <v>43497</v>
      </c>
      <c r="E14984" t="s">
        <v>2174</v>
      </c>
      <c r="F14984">
        <v>7</v>
      </c>
      <c r="G14984" t="s">
        <v>59</v>
      </c>
      <c r="H14984" t="s">
        <v>46</v>
      </c>
      <c r="I14984" t="s">
        <v>2194</v>
      </c>
      <c r="J14984" s="10">
        <v>0</v>
      </c>
      <c r="K14984" t="b">
        <v>1</v>
      </c>
    </row>
    <row r="14985" spans="1:11">
      <c r="A14985" s="12">
        <v>43513</v>
      </c>
      <c r="B14985">
        <v>2019</v>
      </c>
      <c r="C14985">
        <v>2</v>
      </c>
      <c r="D14985" s="11">
        <v>43497</v>
      </c>
      <c r="E14985" t="s">
        <v>2174</v>
      </c>
      <c r="F14985">
        <v>7</v>
      </c>
      <c r="G14985" t="s">
        <v>59</v>
      </c>
      <c r="H14985" t="s">
        <v>47</v>
      </c>
      <c r="I14985" t="s">
        <v>2195</v>
      </c>
      <c r="J14985" s="10">
        <v>3.1</v>
      </c>
      <c r="K14985" t="b">
        <v>1</v>
      </c>
    </row>
    <row r="14986" spans="1:11">
      <c r="A14986" s="12">
        <v>43514</v>
      </c>
      <c r="B14986">
        <v>2019</v>
      </c>
      <c r="C14986">
        <v>2</v>
      </c>
      <c r="D14986" s="11">
        <v>43497</v>
      </c>
      <c r="E14986" t="s">
        <v>2174</v>
      </c>
      <c r="F14986">
        <v>1</v>
      </c>
      <c r="G14986" t="s">
        <v>61</v>
      </c>
      <c r="H14986" t="s">
        <v>40</v>
      </c>
      <c r="I14986" t="s">
        <v>2188</v>
      </c>
      <c r="J14986" s="10">
        <v>3.34</v>
      </c>
      <c r="K14986" t="b">
        <v>1</v>
      </c>
    </row>
    <row r="14987" spans="1:11">
      <c r="A14987" s="12">
        <v>43514</v>
      </c>
      <c r="B14987">
        <v>2019</v>
      </c>
      <c r="C14987">
        <v>2</v>
      </c>
      <c r="D14987" s="11">
        <v>43497</v>
      </c>
      <c r="E14987" t="s">
        <v>2174</v>
      </c>
      <c r="F14987">
        <v>1</v>
      </c>
      <c r="G14987" t="s">
        <v>61</v>
      </c>
      <c r="H14987" t="s">
        <v>41</v>
      </c>
      <c r="I14987" t="s">
        <v>2189</v>
      </c>
      <c r="J14987" s="10">
        <v>2.076</v>
      </c>
      <c r="K14987" t="b">
        <v>1</v>
      </c>
    </row>
    <row r="14988" spans="1:11">
      <c r="A14988" s="12">
        <v>43514</v>
      </c>
      <c r="B14988">
        <v>2019</v>
      </c>
      <c r="C14988">
        <v>2</v>
      </c>
      <c r="D14988" s="11">
        <v>43497</v>
      </c>
      <c r="E14988" t="s">
        <v>2174</v>
      </c>
      <c r="F14988">
        <v>1</v>
      </c>
      <c r="G14988" t="s">
        <v>61</v>
      </c>
      <c r="H14988" t="s">
        <v>42</v>
      </c>
      <c r="I14988" t="s">
        <v>2190</v>
      </c>
      <c r="J14988" s="10">
        <v>3.6</v>
      </c>
      <c r="K14988" t="b">
        <v>1</v>
      </c>
    </row>
    <row r="14989" spans="1:11">
      <c r="A14989" s="12">
        <v>43514</v>
      </c>
      <c r="B14989">
        <v>2019</v>
      </c>
      <c r="C14989">
        <v>2</v>
      </c>
      <c r="D14989" s="11">
        <v>43497</v>
      </c>
      <c r="E14989" t="s">
        <v>2174</v>
      </c>
      <c r="F14989">
        <v>1</v>
      </c>
      <c r="G14989" t="s">
        <v>61</v>
      </c>
      <c r="H14989" t="s">
        <v>43</v>
      </c>
      <c r="I14989" t="s">
        <v>2191</v>
      </c>
      <c r="J14989" s="10">
        <v>27.4</v>
      </c>
      <c r="K14989" t="b">
        <v>1</v>
      </c>
    </row>
    <row r="14990" spans="1:11">
      <c r="A14990" s="12">
        <v>43514</v>
      </c>
      <c r="B14990">
        <v>2019</v>
      </c>
      <c r="C14990">
        <v>2</v>
      </c>
      <c r="D14990" s="11">
        <v>43497</v>
      </c>
      <c r="E14990" t="s">
        <v>2174</v>
      </c>
      <c r="F14990">
        <v>1</v>
      </c>
      <c r="G14990" t="s">
        <v>61</v>
      </c>
      <c r="H14990" t="s">
        <v>44</v>
      </c>
      <c r="I14990" t="s">
        <v>2192</v>
      </c>
      <c r="J14990" s="10">
        <v>7</v>
      </c>
      <c r="K14990" t="b">
        <v>1</v>
      </c>
    </row>
    <row r="14991" spans="1:11">
      <c r="A14991" s="12">
        <v>43514</v>
      </c>
      <c r="B14991">
        <v>2019</v>
      </c>
      <c r="C14991">
        <v>2</v>
      </c>
      <c r="D14991" s="11">
        <v>43497</v>
      </c>
      <c r="E14991" t="s">
        <v>2174</v>
      </c>
      <c r="F14991">
        <v>1</v>
      </c>
      <c r="G14991" t="s">
        <v>61</v>
      </c>
      <c r="H14991" t="s">
        <v>45</v>
      </c>
      <c r="I14991" t="s">
        <v>2193</v>
      </c>
      <c r="J14991" s="10">
        <v>0</v>
      </c>
      <c r="K14991" t="b">
        <v>1</v>
      </c>
    </row>
    <row r="14992" spans="1:11">
      <c r="A14992" s="12">
        <v>43514</v>
      </c>
      <c r="B14992">
        <v>2019</v>
      </c>
      <c r="C14992">
        <v>2</v>
      </c>
      <c r="D14992" s="11">
        <v>43497</v>
      </c>
      <c r="E14992" t="s">
        <v>2174</v>
      </c>
      <c r="F14992">
        <v>1</v>
      </c>
      <c r="G14992" t="s">
        <v>61</v>
      </c>
      <c r="H14992" t="s">
        <v>46</v>
      </c>
      <c r="I14992" t="s">
        <v>2194</v>
      </c>
      <c r="J14992" s="10">
        <v>10</v>
      </c>
      <c r="K14992" t="b">
        <v>1</v>
      </c>
    </row>
    <row r="14993" spans="1:11">
      <c r="A14993" s="12">
        <v>43514</v>
      </c>
      <c r="B14993">
        <v>2019</v>
      </c>
      <c r="C14993">
        <v>2</v>
      </c>
      <c r="D14993" s="11">
        <v>43497</v>
      </c>
      <c r="E14993" t="s">
        <v>2174</v>
      </c>
      <c r="F14993">
        <v>1</v>
      </c>
      <c r="G14993" t="s">
        <v>61</v>
      </c>
      <c r="H14993" t="s">
        <v>47</v>
      </c>
      <c r="I14993" t="s">
        <v>2195</v>
      </c>
      <c r="J14993" s="10">
        <v>0</v>
      </c>
      <c r="K14993" t="b">
        <v>1</v>
      </c>
    </row>
    <row r="14994" spans="1:11">
      <c r="A14994" s="12">
        <v>43515</v>
      </c>
      <c r="B14994">
        <v>2019</v>
      </c>
      <c r="C14994">
        <v>2</v>
      </c>
      <c r="D14994" s="11">
        <v>43497</v>
      </c>
      <c r="E14994" t="s">
        <v>2174</v>
      </c>
      <c r="F14994">
        <v>2</v>
      </c>
      <c r="G14994" t="s">
        <v>63</v>
      </c>
      <c r="H14994" t="s">
        <v>40</v>
      </c>
      <c r="I14994" t="s">
        <v>2188</v>
      </c>
      <c r="J14994" s="10">
        <v>3.33</v>
      </c>
      <c r="K14994" t="b">
        <v>1</v>
      </c>
    </row>
    <row r="14995" spans="1:11">
      <c r="A14995" s="12">
        <v>43515</v>
      </c>
      <c r="B14995">
        <v>2019</v>
      </c>
      <c r="C14995">
        <v>2</v>
      </c>
      <c r="D14995" s="11">
        <v>43497</v>
      </c>
      <c r="E14995" t="s">
        <v>2174</v>
      </c>
      <c r="F14995">
        <v>2</v>
      </c>
      <c r="G14995" t="s">
        <v>63</v>
      </c>
      <c r="H14995" t="s">
        <v>41</v>
      </c>
      <c r="I14995" t="s">
        <v>2189</v>
      </c>
      <c r="J14995" s="10">
        <v>4.33</v>
      </c>
      <c r="K14995" t="b">
        <v>1</v>
      </c>
    </row>
    <row r="14996" spans="1:11">
      <c r="A14996" s="12">
        <v>43515</v>
      </c>
      <c r="B14996">
        <v>2019</v>
      </c>
      <c r="C14996">
        <v>2</v>
      </c>
      <c r="D14996" s="11">
        <v>43497</v>
      </c>
      <c r="E14996" t="s">
        <v>2174</v>
      </c>
      <c r="F14996">
        <v>2</v>
      </c>
      <c r="G14996" t="s">
        <v>63</v>
      </c>
      <c r="H14996" t="s">
        <v>42</v>
      </c>
      <c r="I14996" t="s">
        <v>2190</v>
      </c>
      <c r="J14996" s="10">
        <v>1.5</v>
      </c>
      <c r="K14996" t="b">
        <v>1</v>
      </c>
    </row>
    <row r="14997" spans="1:11">
      <c r="A14997" s="12">
        <v>43515</v>
      </c>
      <c r="B14997">
        <v>2019</v>
      </c>
      <c r="C14997">
        <v>2</v>
      </c>
      <c r="D14997" s="11">
        <v>43497</v>
      </c>
      <c r="E14997" t="s">
        <v>2174</v>
      </c>
      <c r="F14997">
        <v>2</v>
      </c>
      <c r="G14997" t="s">
        <v>63</v>
      </c>
      <c r="H14997" t="s">
        <v>43</v>
      </c>
      <c r="I14997" t="s">
        <v>2191</v>
      </c>
      <c r="J14997" s="10">
        <v>27.4</v>
      </c>
      <c r="K14997" t="b">
        <v>1</v>
      </c>
    </row>
    <row r="14998" spans="1:11">
      <c r="A14998" s="12">
        <v>43515</v>
      </c>
      <c r="B14998">
        <v>2019</v>
      </c>
      <c r="C14998">
        <v>2</v>
      </c>
      <c r="D14998" s="11">
        <v>43497</v>
      </c>
      <c r="E14998" t="s">
        <v>2174</v>
      </c>
      <c r="F14998">
        <v>2</v>
      </c>
      <c r="G14998" t="s">
        <v>63</v>
      </c>
      <c r="H14998" t="s">
        <v>44</v>
      </c>
      <c r="I14998" t="s">
        <v>2192</v>
      </c>
      <c r="J14998" s="10">
        <v>15</v>
      </c>
      <c r="K14998" t="b">
        <v>1</v>
      </c>
    </row>
    <row r="14999" spans="1:11">
      <c r="A14999" s="12">
        <v>43515</v>
      </c>
      <c r="B14999">
        <v>2019</v>
      </c>
      <c r="C14999">
        <v>2</v>
      </c>
      <c r="D14999" s="11">
        <v>43497</v>
      </c>
      <c r="E14999" t="s">
        <v>2174</v>
      </c>
      <c r="F14999">
        <v>2</v>
      </c>
      <c r="G14999" t="s">
        <v>63</v>
      </c>
      <c r="H14999" t="s">
        <v>45</v>
      </c>
      <c r="I14999" t="s">
        <v>2193</v>
      </c>
      <c r="J14999" s="10">
        <v>2</v>
      </c>
      <c r="K14999" t="b">
        <v>1</v>
      </c>
    </row>
    <row r="15000" spans="1:11">
      <c r="A15000" s="12">
        <v>43515</v>
      </c>
      <c r="B15000">
        <v>2019</v>
      </c>
      <c r="C15000">
        <v>2</v>
      </c>
      <c r="D15000" s="11">
        <v>43497</v>
      </c>
      <c r="E15000" t="s">
        <v>2174</v>
      </c>
      <c r="F15000">
        <v>2</v>
      </c>
      <c r="G15000" t="s">
        <v>63</v>
      </c>
      <c r="H15000" t="s">
        <v>46</v>
      </c>
      <c r="I15000" t="s">
        <v>2194</v>
      </c>
      <c r="J15000" s="10">
        <v>6</v>
      </c>
      <c r="K15000" t="b">
        <v>1</v>
      </c>
    </row>
    <row r="15001" spans="1:11">
      <c r="A15001" s="12">
        <v>43515</v>
      </c>
      <c r="B15001">
        <v>2019</v>
      </c>
      <c r="C15001">
        <v>2</v>
      </c>
      <c r="D15001" s="11">
        <v>43497</v>
      </c>
      <c r="E15001" t="s">
        <v>2174</v>
      </c>
      <c r="F15001">
        <v>2</v>
      </c>
      <c r="G15001" t="s">
        <v>63</v>
      </c>
      <c r="H15001" t="s">
        <v>47</v>
      </c>
      <c r="I15001" t="s">
        <v>2195</v>
      </c>
      <c r="J15001" s="10">
        <v>3</v>
      </c>
      <c r="K15001" t="b">
        <v>1</v>
      </c>
    </row>
    <row r="15002" spans="1:11">
      <c r="A15002" s="12">
        <v>43516</v>
      </c>
      <c r="B15002">
        <v>2019</v>
      </c>
      <c r="C15002">
        <v>2</v>
      </c>
      <c r="D15002" s="11">
        <v>43497</v>
      </c>
      <c r="E15002" t="s">
        <v>2174</v>
      </c>
      <c r="F15002">
        <v>3</v>
      </c>
      <c r="G15002" t="s">
        <v>65</v>
      </c>
      <c r="H15002" t="s">
        <v>40</v>
      </c>
      <c r="I15002" t="s">
        <v>2188</v>
      </c>
      <c r="J15002" s="10">
        <v>2.34</v>
      </c>
      <c r="K15002" t="b">
        <v>1</v>
      </c>
    </row>
    <row r="15003" spans="1:11">
      <c r="A15003" s="12">
        <v>43516</v>
      </c>
      <c r="B15003">
        <v>2019</v>
      </c>
      <c r="C15003">
        <v>2</v>
      </c>
      <c r="D15003" s="11">
        <v>43497</v>
      </c>
      <c r="E15003" t="s">
        <v>2174</v>
      </c>
      <c r="F15003">
        <v>3</v>
      </c>
      <c r="G15003" t="s">
        <v>65</v>
      </c>
      <c r="H15003" t="s">
        <v>41</v>
      </c>
      <c r="I15003" t="s">
        <v>2189</v>
      </c>
      <c r="J15003" s="10">
        <v>4.779</v>
      </c>
      <c r="K15003" t="b">
        <v>1</v>
      </c>
    </row>
    <row r="15004" spans="1:11">
      <c r="A15004" s="12">
        <v>43516</v>
      </c>
      <c r="B15004">
        <v>2019</v>
      </c>
      <c r="C15004">
        <v>2</v>
      </c>
      <c r="D15004" s="11">
        <v>43497</v>
      </c>
      <c r="E15004" t="s">
        <v>2174</v>
      </c>
      <c r="F15004">
        <v>3</v>
      </c>
      <c r="G15004" t="s">
        <v>65</v>
      </c>
      <c r="H15004" t="s">
        <v>42</v>
      </c>
      <c r="I15004" t="s">
        <v>2190</v>
      </c>
      <c r="J15004" s="10">
        <v>3.3</v>
      </c>
      <c r="K15004" t="b">
        <v>1</v>
      </c>
    </row>
    <row r="15005" spans="1:11">
      <c r="A15005" s="12">
        <v>43516</v>
      </c>
      <c r="B15005">
        <v>2019</v>
      </c>
      <c r="C15005">
        <v>2</v>
      </c>
      <c r="D15005" s="11">
        <v>43497</v>
      </c>
      <c r="E15005" t="s">
        <v>2174</v>
      </c>
      <c r="F15005">
        <v>3</v>
      </c>
      <c r="G15005" t="s">
        <v>65</v>
      </c>
      <c r="H15005" t="s">
        <v>43</v>
      </c>
      <c r="I15005" t="s">
        <v>2191</v>
      </c>
      <c r="J15005" s="10">
        <v>30.6</v>
      </c>
      <c r="K15005" t="b">
        <v>1</v>
      </c>
    </row>
    <row r="15006" spans="1:11">
      <c r="A15006" s="12">
        <v>43516</v>
      </c>
      <c r="B15006">
        <v>2019</v>
      </c>
      <c r="C15006">
        <v>2</v>
      </c>
      <c r="D15006" s="11">
        <v>43497</v>
      </c>
      <c r="E15006" t="s">
        <v>2174</v>
      </c>
      <c r="F15006">
        <v>3</v>
      </c>
      <c r="G15006" t="s">
        <v>65</v>
      </c>
      <c r="H15006" t="s">
        <v>44</v>
      </c>
      <c r="I15006" t="s">
        <v>2192</v>
      </c>
      <c r="J15006" s="10">
        <v>14</v>
      </c>
      <c r="K15006" t="b">
        <v>1</v>
      </c>
    </row>
    <row r="15007" spans="1:11">
      <c r="A15007" s="12">
        <v>43516</v>
      </c>
      <c r="B15007">
        <v>2019</v>
      </c>
      <c r="C15007">
        <v>2</v>
      </c>
      <c r="D15007" s="11">
        <v>43497</v>
      </c>
      <c r="E15007" t="s">
        <v>2174</v>
      </c>
      <c r="F15007">
        <v>3</v>
      </c>
      <c r="G15007" t="s">
        <v>65</v>
      </c>
      <c r="H15007" t="s">
        <v>45</v>
      </c>
      <c r="I15007" t="s">
        <v>2193</v>
      </c>
      <c r="J15007" s="10">
        <v>0</v>
      </c>
      <c r="K15007" t="b">
        <v>1</v>
      </c>
    </row>
    <row r="15008" spans="1:11">
      <c r="A15008" s="12">
        <v>43516</v>
      </c>
      <c r="B15008">
        <v>2019</v>
      </c>
      <c r="C15008">
        <v>2</v>
      </c>
      <c r="D15008" s="11">
        <v>43497</v>
      </c>
      <c r="E15008" t="s">
        <v>2174</v>
      </c>
      <c r="F15008">
        <v>3</v>
      </c>
      <c r="G15008" t="s">
        <v>65</v>
      </c>
      <c r="H15008" t="s">
        <v>46</v>
      </c>
      <c r="I15008" t="s">
        <v>2194</v>
      </c>
      <c r="J15008" s="10">
        <v>7</v>
      </c>
      <c r="K15008" t="b">
        <v>1</v>
      </c>
    </row>
    <row r="15009" spans="1:11">
      <c r="A15009" s="12">
        <v>43516</v>
      </c>
      <c r="B15009">
        <v>2019</v>
      </c>
      <c r="C15009">
        <v>2</v>
      </c>
      <c r="D15009" s="11">
        <v>43497</v>
      </c>
      <c r="E15009" t="s">
        <v>2174</v>
      </c>
      <c r="F15009">
        <v>3</v>
      </c>
      <c r="G15009" t="s">
        <v>65</v>
      </c>
      <c r="H15009" t="s">
        <v>47</v>
      </c>
      <c r="I15009" t="s">
        <v>2195</v>
      </c>
      <c r="J15009" s="10">
        <v>3</v>
      </c>
      <c r="K15009" t="b">
        <v>1</v>
      </c>
    </row>
    <row r="15010" spans="1:11">
      <c r="A15010" s="12">
        <v>43517</v>
      </c>
      <c r="B15010">
        <v>2019</v>
      </c>
      <c r="C15010">
        <v>2</v>
      </c>
      <c r="D15010" s="11">
        <v>43497</v>
      </c>
      <c r="E15010" t="s">
        <v>2174</v>
      </c>
      <c r="F15010">
        <v>4</v>
      </c>
      <c r="G15010" t="s">
        <v>53</v>
      </c>
      <c r="H15010" t="s">
        <v>40</v>
      </c>
      <c r="I15010" t="s">
        <v>2188</v>
      </c>
      <c r="J15010" s="10">
        <v>1.66</v>
      </c>
      <c r="K15010" t="b">
        <v>1</v>
      </c>
    </row>
    <row r="15011" spans="1:11">
      <c r="A15011" s="12">
        <v>43517</v>
      </c>
      <c r="B15011">
        <v>2019</v>
      </c>
      <c r="C15011">
        <v>2</v>
      </c>
      <c r="D15011" s="11">
        <v>43497</v>
      </c>
      <c r="E15011" t="s">
        <v>2174</v>
      </c>
      <c r="F15011">
        <v>4</v>
      </c>
      <c r="G15011" t="s">
        <v>53</v>
      </c>
      <c r="H15011" t="s">
        <v>41</v>
      </c>
      <c r="I15011" t="s">
        <v>2189</v>
      </c>
      <c r="J15011" s="10">
        <v>5</v>
      </c>
      <c r="K15011" t="b">
        <v>1</v>
      </c>
    </row>
    <row r="15012" spans="1:11">
      <c r="A15012" s="12">
        <v>43517</v>
      </c>
      <c r="B15012">
        <v>2019</v>
      </c>
      <c r="C15012">
        <v>2</v>
      </c>
      <c r="D15012" s="11">
        <v>43497</v>
      </c>
      <c r="E15012" t="s">
        <v>2174</v>
      </c>
      <c r="F15012">
        <v>4</v>
      </c>
      <c r="G15012" t="s">
        <v>53</v>
      </c>
      <c r="H15012" t="s">
        <v>42</v>
      </c>
      <c r="I15012" t="s">
        <v>2190</v>
      </c>
      <c r="J15012" s="10">
        <v>2.1</v>
      </c>
      <c r="K15012" t="b">
        <v>1</v>
      </c>
    </row>
    <row r="15013" spans="1:11">
      <c r="A15013" s="12">
        <v>43517</v>
      </c>
      <c r="B15013">
        <v>2019</v>
      </c>
      <c r="C15013">
        <v>2</v>
      </c>
      <c r="D15013" s="11">
        <v>43497</v>
      </c>
      <c r="E15013" t="s">
        <v>2174</v>
      </c>
      <c r="F15013">
        <v>4</v>
      </c>
      <c r="G15013" t="s">
        <v>53</v>
      </c>
      <c r="H15013" t="s">
        <v>43</v>
      </c>
      <c r="I15013" t="s">
        <v>2191</v>
      </c>
      <c r="J15013" s="10">
        <v>45.4</v>
      </c>
      <c r="K15013" t="b">
        <v>1</v>
      </c>
    </row>
    <row r="15014" spans="1:11">
      <c r="A15014" s="12">
        <v>43517</v>
      </c>
      <c r="B15014">
        <v>2019</v>
      </c>
      <c r="C15014">
        <v>2</v>
      </c>
      <c r="D15014" s="11">
        <v>43497</v>
      </c>
      <c r="E15014" t="s">
        <v>2174</v>
      </c>
      <c r="F15014">
        <v>4</v>
      </c>
      <c r="G15014" t="s">
        <v>53</v>
      </c>
      <c r="H15014" t="s">
        <v>44</v>
      </c>
      <c r="I15014" t="s">
        <v>2192</v>
      </c>
      <c r="J15014" s="10">
        <v>15</v>
      </c>
      <c r="K15014" t="b">
        <v>1</v>
      </c>
    </row>
    <row r="15015" spans="1:11">
      <c r="A15015" s="12">
        <v>43517</v>
      </c>
      <c r="B15015">
        <v>2019</v>
      </c>
      <c r="C15015">
        <v>2</v>
      </c>
      <c r="D15015" s="11">
        <v>43497</v>
      </c>
      <c r="E15015" t="s">
        <v>2174</v>
      </c>
      <c r="F15015">
        <v>4</v>
      </c>
      <c r="G15015" t="s">
        <v>53</v>
      </c>
      <c r="H15015" t="s">
        <v>45</v>
      </c>
      <c r="I15015" t="s">
        <v>2193</v>
      </c>
      <c r="J15015" s="10">
        <v>1</v>
      </c>
      <c r="K15015" t="b">
        <v>1</v>
      </c>
    </row>
    <row r="15016" spans="1:11">
      <c r="A15016" s="12">
        <v>43517</v>
      </c>
      <c r="B15016">
        <v>2019</v>
      </c>
      <c r="C15016">
        <v>2</v>
      </c>
      <c r="D15016" s="11">
        <v>43497</v>
      </c>
      <c r="E15016" t="s">
        <v>2174</v>
      </c>
      <c r="F15016">
        <v>4</v>
      </c>
      <c r="G15016" t="s">
        <v>53</v>
      </c>
      <c r="H15016" t="s">
        <v>46</v>
      </c>
      <c r="I15016" t="s">
        <v>2194</v>
      </c>
      <c r="J15016" s="10">
        <v>5</v>
      </c>
      <c r="K15016" t="b">
        <v>1</v>
      </c>
    </row>
    <row r="15017" spans="1:11">
      <c r="A15017" s="12">
        <v>43517</v>
      </c>
      <c r="B15017">
        <v>2019</v>
      </c>
      <c r="C15017">
        <v>2</v>
      </c>
      <c r="D15017" s="11">
        <v>43497</v>
      </c>
      <c r="E15017" t="s">
        <v>2174</v>
      </c>
      <c r="F15017">
        <v>4</v>
      </c>
      <c r="G15017" t="s">
        <v>53</v>
      </c>
      <c r="H15017" t="s">
        <v>47</v>
      </c>
      <c r="I15017" t="s">
        <v>2195</v>
      </c>
      <c r="J15017" s="10">
        <v>2</v>
      </c>
      <c r="K15017" t="b">
        <v>1</v>
      </c>
    </row>
    <row r="15018" spans="1:11">
      <c r="A15018" s="12">
        <v>43518</v>
      </c>
      <c r="B15018">
        <v>2019</v>
      </c>
      <c r="C15018">
        <v>2</v>
      </c>
      <c r="D15018" s="11">
        <v>43497</v>
      </c>
      <c r="E15018" t="s">
        <v>2174</v>
      </c>
      <c r="F15018">
        <v>5</v>
      </c>
      <c r="G15018" t="s">
        <v>55</v>
      </c>
      <c r="H15018" t="s">
        <v>40</v>
      </c>
      <c r="I15018" t="s">
        <v>2188</v>
      </c>
      <c r="J15018" s="10">
        <v>2.33</v>
      </c>
      <c r="K15018" t="b">
        <v>1</v>
      </c>
    </row>
    <row r="15019" spans="1:11">
      <c r="A15019" s="12">
        <v>43518</v>
      </c>
      <c r="B15019">
        <v>2019</v>
      </c>
      <c r="C15019">
        <v>2</v>
      </c>
      <c r="D15019" s="11">
        <v>43497</v>
      </c>
      <c r="E15019" t="s">
        <v>2174</v>
      </c>
      <c r="F15019">
        <v>5</v>
      </c>
      <c r="G15019" t="s">
        <v>55</v>
      </c>
      <c r="H15019" t="s">
        <v>41</v>
      </c>
      <c r="I15019" t="s">
        <v>2189</v>
      </c>
      <c r="J15019" s="10">
        <v>2</v>
      </c>
      <c r="K15019" t="b">
        <v>1</v>
      </c>
    </row>
    <row r="15020" spans="1:11">
      <c r="A15020" s="12">
        <v>43518</v>
      </c>
      <c r="B15020">
        <v>2019</v>
      </c>
      <c r="C15020">
        <v>2</v>
      </c>
      <c r="D15020" s="11">
        <v>43497</v>
      </c>
      <c r="E15020" t="s">
        <v>2174</v>
      </c>
      <c r="F15020">
        <v>5</v>
      </c>
      <c r="G15020" t="s">
        <v>55</v>
      </c>
      <c r="H15020" t="s">
        <v>42</v>
      </c>
      <c r="I15020" t="s">
        <v>2190</v>
      </c>
      <c r="J15020" s="10">
        <v>1.2</v>
      </c>
      <c r="K15020" t="b">
        <v>1</v>
      </c>
    </row>
    <row r="15021" spans="1:11">
      <c r="A15021" s="12">
        <v>43518</v>
      </c>
      <c r="B15021">
        <v>2019</v>
      </c>
      <c r="C15021">
        <v>2</v>
      </c>
      <c r="D15021" s="11">
        <v>43497</v>
      </c>
      <c r="E15021" t="s">
        <v>2174</v>
      </c>
      <c r="F15021">
        <v>5</v>
      </c>
      <c r="G15021" t="s">
        <v>55</v>
      </c>
      <c r="H15021" t="s">
        <v>43</v>
      </c>
      <c r="I15021" t="s">
        <v>2191</v>
      </c>
      <c r="J15021" s="10">
        <v>16</v>
      </c>
      <c r="K15021" t="b">
        <v>1</v>
      </c>
    </row>
    <row r="15022" spans="1:11">
      <c r="A15022" s="12">
        <v>43518</v>
      </c>
      <c r="B15022">
        <v>2019</v>
      </c>
      <c r="C15022">
        <v>2</v>
      </c>
      <c r="D15022" s="11">
        <v>43497</v>
      </c>
      <c r="E15022" t="s">
        <v>2174</v>
      </c>
      <c r="F15022">
        <v>5</v>
      </c>
      <c r="G15022" t="s">
        <v>55</v>
      </c>
      <c r="H15022" t="s">
        <v>44</v>
      </c>
      <c r="I15022" t="s">
        <v>2192</v>
      </c>
      <c r="J15022" s="10">
        <v>5</v>
      </c>
      <c r="K15022" t="b">
        <v>1</v>
      </c>
    </row>
    <row r="15023" spans="1:11">
      <c r="A15023" s="12">
        <v>43518</v>
      </c>
      <c r="B15023">
        <v>2019</v>
      </c>
      <c r="C15023">
        <v>2</v>
      </c>
      <c r="D15023" s="11">
        <v>43497</v>
      </c>
      <c r="E15023" t="s">
        <v>2174</v>
      </c>
      <c r="F15023">
        <v>5</v>
      </c>
      <c r="G15023" t="s">
        <v>55</v>
      </c>
      <c r="H15023" t="s">
        <v>45</v>
      </c>
      <c r="I15023" t="s">
        <v>2193</v>
      </c>
      <c r="J15023" s="10">
        <v>0</v>
      </c>
      <c r="K15023" t="b">
        <v>1</v>
      </c>
    </row>
    <row r="15024" spans="1:11">
      <c r="A15024" s="12">
        <v>43518</v>
      </c>
      <c r="B15024">
        <v>2019</v>
      </c>
      <c r="C15024">
        <v>2</v>
      </c>
      <c r="D15024" s="11">
        <v>43497</v>
      </c>
      <c r="E15024" t="s">
        <v>2174</v>
      </c>
      <c r="F15024">
        <v>5</v>
      </c>
      <c r="G15024" t="s">
        <v>55</v>
      </c>
      <c r="H15024" t="s">
        <v>46</v>
      </c>
      <c r="I15024" t="s">
        <v>2194</v>
      </c>
      <c r="J15024" s="10">
        <v>1</v>
      </c>
      <c r="K15024" t="b">
        <v>1</v>
      </c>
    </row>
    <row r="15025" spans="1:11">
      <c r="A15025" s="12">
        <v>43518</v>
      </c>
      <c r="B15025">
        <v>2019</v>
      </c>
      <c r="C15025">
        <v>2</v>
      </c>
      <c r="D15025" s="11">
        <v>43497</v>
      </c>
      <c r="E15025" t="s">
        <v>2174</v>
      </c>
      <c r="F15025">
        <v>5</v>
      </c>
      <c r="G15025" t="s">
        <v>55</v>
      </c>
      <c r="H15025" t="s">
        <v>47</v>
      </c>
      <c r="I15025" t="s">
        <v>2195</v>
      </c>
      <c r="J15025" s="10">
        <v>2</v>
      </c>
      <c r="K15025" t="b">
        <v>1</v>
      </c>
    </row>
    <row r="15026" spans="1:11">
      <c r="A15026" s="12">
        <v>43519</v>
      </c>
      <c r="B15026">
        <v>2019</v>
      </c>
      <c r="C15026">
        <v>2</v>
      </c>
      <c r="D15026" s="11">
        <v>43497</v>
      </c>
      <c r="E15026" t="s">
        <v>2174</v>
      </c>
      <c r="F15026">
        <v>6</v>
      </c>
      <c r="G15026" t="s">
        <v>57</v>
      </c>
      <c r="H15026" t="s">
        <v>40</v>
      </c>
      <c r="I15026" t="s">
        <v>2188</v>
      </c>
      <c r="J15026" s="10">
        <v>5.01</v>
      </c>
      <c r="K15026" t="b">
        <v>1</v>
      </c>
    </row>
    <row r="15027" spans="1:11">
      <c r="A15027" s="12">
        <v>43519</v>
      </c>
      <c r="B15027">
        <v>2019</v>
      </c>
      <c r="C15027">
        <v>2</v>
      </c>
      <c r="D15027" s="11">
        <v>43497</v>
      </c>
      <c r="E15027" t="s">
        <v>2174</v>
      </c>
      <c r="F15027">
        <v>6</v>
      </c>
      <c r="G15027" t="s">
        <v>57</v>
      </c>
      <c r="H15027" t="s">
        <v>41</v>
      </c>
      <c r="I15027" t="s">
        <v>2189</v>
      </c>
      <c r="J15027" s="10">
        <v>2.44</v>
      </c>
      <c r="K15027" t="b">
        <v>1</v>
      </c>
    </row>
    <row r="15028" spans="1:11">
      <c r="A15028" s="12">
        <v>43519</v>
      </c>
      <c r="B15028">
        <v>2019</v>
      </c>
      <c r="C15028">
        <v>2</v>
      </c>
      <c r="D15028" s="11">
        <v>43497</v>
      </c>
      <c r="E15028" t="s">
        <v>2174</v>
      </c>
      <c r="F15028">
        <v>6</v>
      </c>
      <c r="G15028" t="s">
        <v>57</v>
      </c>
      <c r="H15028" t="s">
        <v>42</v>
      </c>
      <c r="I15028" t="s">
        <v>2190</v>
      </c>
      <c r="J15028" s="10">
        <v>3.2</v>
      </c>
      <c r="K15028" t="b">
        <v>1</v>
      </c>
    </row>
    <row r="15029" spans="1:11">
      <c r="A15029" s="12">
        <v>43519</v>
      </c>
      <c r="B15029">
        <v>2019</v>
      </c>
      <c r="C15029">
        <v>2</v>
      </c>
      <c r="D15029" s="11">
        <v>43497</v>
      </c>
      <c r="E15029" t="s">
        <v>2174</v>
      </c>
      <c r="F15029">
        <v>6</v>
      </c>
      <c r="G15029" t="s">
        <v>57</v>
      </c>
      <c r="H15029" t="s">
        <v>43</v>
      </c>
      <c r="I15029" t="s">
        <v>2191</v>
      </c>
      <c r="J15029" s="10">
        <v>38.2</v>
      </c>
      <c r="K15029" t="b">
        <v>1</v>
      </c>
    </row>
    <row r="15030" spans="1:11">
      <c r="A15030" s="12">
        <v>43519</v>
      </c>
      <c r="B15030">
        <v>2019</v>
      </c>
      <c r="C15030">
        <v>2</v>
      </c>
      <c r="D15030" s="11">
        <v>43497</v>
      </c>
      <c r="E15030" t="s">
        <v>2174</v>
      </c>
      <c r="F15030">
        <v>6</v>
      </c>
      <c r="G15030" t="s">
        <v>57</v>
      </c>
      <c r="H15030" t="s">
        <v>44</v>
      </c>
      <c r="I15030" t="s">
        <v>2192</v>
      </c>
      <c r="J15030" s="10">
        <v>13</v>
      </c>
      <c r="K15030" t="b">
        <v>1</v>
      </c>
    </row>
    <row r="15031" spans="1:11">
      <c r="A15031" s="12">
        <v>43519</v>
      </c>
      <c r="B15031">
        <v>2019</v>
      </c>
      <c r="C15031">
        <v>2</v>
      </c>
      <c r="D15031" s="11">
        <v>43497</v>
      </c>
      <c r="E15031" t="s">
        <v>2174</v>
      </c>
      <c r="F15031">
        <v>6</v>
      </c>
      <c r="G15031" t="s">
        <v>57</v>
      </c>
      <c r="H15031" t="s">
        <v>45</v>
      </c>
      <c r="I15031" t="s">
        <v>2193</v>
      </c>
      <c r="J15031" s="10">
        <v>0</v>
      </c>
      <c r="K15031" t="b">
        <v>1</v>
      </c>
    </row>
    <row r="15032" spans="1:11">
      <c r="A15032" s="12">
        <v>43519</v>
      </c>
      <c r="B15032">
        <v>2019</v>
      </c>
      <c r="C15032">
        <v>2</v>
      </c>
      <c r="D15032" s="11">
        <v>43497</v>
      </c>
      <c r="E15032" t="s">
        <v>2174</v>
      </c>
      <c r="F15032">
        <v>6</v>
      </c>
      <c r="G15032" t="s">
        <v>57</v>
      </c>
      <c r="H15032" t="s">
        <v>46</v>
      </c>
      <c r="I15032" t="s">
        <v>2194</v>
      </c>
      <c r="J15032" s="10">
        <v>0</v>
      </c>
      <c r="K15032" t="b">
        <v>1</v>
      </c>
    </row>
    <row r="15033" spans="1:11">
      <c r="A15033" s="12">
        <v>43519</v>
      </c>
      <c r="B15033">
        <v>2019</v>
      </c>
      <c r="C15033">
        <v>2</v>
      </c>
      <c r="D15033" s="11">
        <v>43497</v>
      </c>
      <c r="E15033" t="s">
        <v>2174</v>
      </c>
      <c r="F15033">
        <v>6</v>
      </c>
      <c r="G15033" t="s">
        <v>57</v>
      </c>
      <c r="H15033" t="s">
        <v>47</v>
      </c>
      <c r="I15033" t="s">
        <v>2195</v>
      </c>
      <c r="J15033" s="10">
        <v>1.3</v>
      </c>
      <c r="K15033" t="b">
        <v>1</v>
      </c>
    </row>
    <row r="15034" spans="1:11">
      <c r="A15034" s="12">
        <v>43520</v>
      </c>
      <c r="B15034">
        <v>2019</v>
      </c>
      <c r="C15034">
        <v>2</v>
      </c>
      <c r="D15034" s="11">
        <v>43497</v>
      </c>
      <c r="E15034" t="s">
        <v>2174</v>
      </c>
      <c r="F15034">
        <v>7</v>
      </c>
      <c r="G15034" t="s">
        <v>59</v>
      </c>
      <c r="H15034" t="s">
        <v>40</v>
      </c>
      <c r="I15034" t="s">
        <v>2188</v>
      </c>
      <c r="J15034" s="10">
        <v>4.34</v>
      </c>
      <c r="K15034" t="b">
        <v>1</v>
      </c>
    </row>
    <row r="15035" spans="1:11">
      <c r="A15035" s="12">
        <v>43520</v>
      </c>
      <c r="B15035">
        <v>2019</v>
      </c>
      <c r="C15035">
        <v>2</v>
      </c>
      <c r="D15035" s="11">
        <v>43497</v>
      </c>
      <c r="E15035" t="s">
        <v>2174</v>
      </c>
      <c r="F15035">
        <v>7</v>
      </c>
      <c r="G15035" t="s">
        <v>59</v>
      </c>
      <c r="H15035" t="s">
        <v>41</v>
      </c>
      <c r="I15035" t="s">
        <v>2189</v>
      </c>
      <c r="J15035" s="10">
        <v>4.01</v>
      </c>
      <c r="K15035" t="b">
        <v>1</v>
      </c>
    </row>
    <row r="15036" spans="1:11">
      <c r="A15036" s="12">
        <v>43520</v>
      </c>
      <c r="B15036">
        <v>2019</v>
      </c>
      <c r="C15036">
        <v>2</v>
      </c>
      <c r="D15036" s="11">
        <v>43497</v>
      </c>
      <c r="E15036" t="s">
        <v>2174</v>
      </c>
      <c r="F15036">
        <v>7</v>
      </c>
      <c r="G15036" t="s">
        <v>59</v>
      </c>
      <c r="H15036" t="s">
        <v>42</v>
      </c>
      <c r="I15036" t="s">
        <v>2190</v>
      </c>
      <c r="J15036" s="10">
        <v>1.5</v>
      </c>
      <c r="K15036" t="b">
        <v>1</v>
      </c>
    </row>
    <row r="15037" spans="1:11">
      <c r="A15037" s="12">
        <v>43520</v>
      </c>
      <c r="B15037">
        <v>2019</v>
      </c>
      <c r="C15037">
        <v>2</v>
      </c>
      <c r="D15037" s="11">
        <v>43497</v>
      </c>
      <c r="E15037" t="s">
        <v>2174</v>
      </c>
      <c r="F15037">
        <v>7</v>
      </c>
      <c r="G15037" t="s">
        <v>59</v>
      </c>
      <c r="H15037" t="s">
        <v>43</v>
      </c>
      <c r="I15037" t="s">
        <v>2191</v>
      </c>
      <c r="J15037" s="10">
        <v>19</v>
      </c>
      <c r="K15037" t="b">
        <v>1</v>
      </c>
    </row>
    <row r="15038" spans="1:11">
      <c r="A15038" s="12">
        <v>43520</v>
      </c>
      <c r="B15038">
        <v>2019</v>
      </c>
      <c r="C15038">
        <v>2</v>
      </c>
      <c r="D15038" s="11">
        <v>43497</v>
      </c>
      <c r="E15038" t="s">
        <v>2174</v>
      </c>
      <c r="F15038">
        <v>7</v>
      </c>
      <c r="G15038" t="s">
        <v>59</v>
      </c>
      <c r="H15038" t="s">
        <v>44</v>
      </c>
      <c r="I15038" t="s">
        <v>2192</v>
      </c>
      <c r="J15038" s="10">
        <v>2</v>
      </c>
      <c r="K15038" t="b">
        <v>1</v>
      </c>
    </row>
    <row r="15039" spans="1:11">
      <c r="A15039" s="12">
        <v>43520</v>
      </c>
      <c r="B15039">
        <v>2019</v>
      </c>
      <c r="C15039">
        <v>2</v>
      </c>
      <c r="D15039" s="11">
        <v>43497</v>
      </c>
      <c r="E15039" t="s">
        <v>2174</v>
      </c>
      <c r="F15039">
        <v>7</v>
      </c>
      <c r="G15039" t="s">
        <v>59</v>
      </c>
      <c r="H15039" t="s">
        <v>45</v>
      </c>
      <c r="I15039" t="s">
        <v>2193</v>
      </c>
      <c r="J15039" s="10">
        <v>0</v>
      </c>
      <c r="K15039" t="b">
        <v>1</v>
      </c>
    </row>
    <row r="15040" spans="1:11">
      <c r="A15040" s="12">
        <v>43520</v>
      </c>
      <c r="B15040">
        <v>2019</v>
      </c>
      <c r="C15040">
        <v>2</v>
      </c>
      <c r="D15040" s="11">
        <v>43497</v>
      </c>
      <c r="E15040" t="s">
        <v>2174</v>
      </c>
      <c r="F15040">
        <v>7</v>
      </c>
      <c r="G15040" t="s">
        <v>59</v>
      </c>
      <c r="H15040" t="s">
        <v>46</v>
      </c>
      <c r="I15040" t="s">
        <v>2194</v>
      </c>
      <c r="J15040" s="10">
        <v>2</v>
      </c>
      <c r="K15040" t="b">
        <v>1</v>
      </c>
    </row>
    <row r="15041" spans="1:11">
      <c r="A15041" s="12">
        <v>43520</v>
      </c>
      <c r="B15041">
        <v>2019</v>
      </c>
      <c r="C15041">
        <v>2</v>
      </c>
      <c r="D15041" s="11">
        <v>43497</v>
      </c>
      <c r="E15041" t="s">
        <v>2174</v>
      </c>
      <c r="F15041">
        <v>7</v>
      </c>
      <c r="G15041" t="s">
        <v>59</v>
      </c>
      <c r="H15041" t="s">
        <v>47</v>
      </c>
      <c r="I15041" t="s">
        <v>2195</v>
      </c>
      <c r="J15041" s="10">
        <v>2</v>
      </c>
      <c r="K15041" t="b">
        <v>1</v>
      </c>
    </row>
    <row r="15042" spans="1:11">
      <c r="A15042" s="12">
        <v>43521</v>
      </c>
      <c r="B15042">
        <v>2019</v>
      </c>
      <c r="C15042">
        <v>2</v>
      </c>
      <c r="D15042" s="11">
        <v>43497</v>
      </c>
      <c r="E15042" t="s">
        <v>2174</v>
      </c>
      <c r="F15042">
        <v>1</v>
      </c>
      <c r="G15042" t="s">
        <v>61</v>
      </c>
      <c r="H15042" t="s">
        <v>40</v>
      </c>
      <c r="I15042" t="s">
        <v>2188</v>
      </c>
      <c r="J15042" s="10">
        <v>5.34</v>
      </c>
      <c r="K15042" t="b">
        <v>1</v>
      </c>
    </row>
    <row r="15043" spans="1:11">
      <c r="A15043" s="12">
        <v>43521</v>
      </c>
      <c r="B15043">
        <v>2019</v>
      </c>
      <c r="C15043">
        <v>2</v>
      </c>
      <c r="D15043" s="11">
        <v>43497</v>
      </c>
      <c r="E15043" t="s">
        <v>2174</v>
      </c>
      <c r="F15043">
        <v>1</v>
      </c>
      <c r="G15043" t="s">
        <v>61</v>
      </c>
      <c r="H15043" t="s">
        <v>41</v>
      </c>
      <c r="I15043" t="s">
        <v>2189</v>
      </c>
      <c r="J15043" s="10">
        <v>1.423</v>
      </c>
      <c r="K15043" t="b">
        <v>1</v>
      </c>
    </row>
    <row r="15044" spans="1:11">
      <c r="A15044" s="12">
        <v>43521</v>
      </c>
      <c r="B15044">
        <v>2019</v>
      </c>
      <c r="C15044">
        <v>2</v>
      </c>
      <c r="D15044" s="11">
        <v>43497</v>
      </c>
      <c r="E15044" t="s">
        <v>2174</v>
      </c>
      <c r="F15044">
        <v>1</v>
      </c>
      <c r="G15044" t="s">
        <v>61</v>
      </c>
      <c r="H15044" t="s">
        <v>42</v>
      </c>
      <c r="I15044" t="s">
        <v>2190</v>
      </c>
      <c r="J15044" s="10">
        <v>3</v>
      </c>
      <c r="K15044" t="b">
        <v>1</v>
      </c>
    </row>
    <row r="15045" spans="1:11">
      <c r="A15045" s="12">
        <v>43521</v>
      </c>
      <c r="B15045">
        <v>2019</v>
      </c>
      <c r="C15045">
        <v>2</v>
      </c>
      <c r="D15045" s="11">
        <v>43497</v>
      </c>
      <c r="E15045" t="s">
        <v>2174</v>
      </c>
      <c r="F15045">
        <v>1</v>
      </c>
      <c r="G15045" t="s">
        <v>61</v>
      </c>
      <c r="H15045" t="s">
        <v>43</v>
      </c>
      <c r="I15045" t="s">
        <v>2191</v>
      </c>
      <c r="J15045" s="10">
        <v>25.2</v>
      </c>
      <c r="K15045" t="b">
        <v>1</v>
      </c>
    </row>
    <row r="15046" spans="1:11">
      <c r="A15046" s="12">
        <v>43521</v>
      </c>
      <c r="B15046">
        <v>2019</v>
      </c>
      <c r="C15046">
        <v>2</v>
      </c>
      <c r="D15046" s="11">
        <v>43497</v>
      </c>
      <c r="E15046" t="s">
        <v>2174</v>
      </c>
      <c r="F15046">
        <v>1</v>
      </c>
      <c r="G15046" t="s">
        <v>61</v>
      </c>
      <c r="H15046" t="s">
        <v>44</v>
      </c>
      <c r="I15046" t="s">
        <v>2192</v>
      </c>
      <c r="J15046" s="10">
        <v>4</v>
      </c>
      <c r="K15046" t="b">
        <v>1</v>
      </c>
    </row>
    <row r="15047" spans="1:11">
      <c r="A15047" s="12">
        <v>43521</v>
      </c>
      <c r="B15047">
        <v>2019</v>
      </c>
      <c r="C15047">
        <v>2</v>
      </c>
      <c r="D15047" s="11">
        <v>43497</v>
      </c>
      <c r="E15047" t="s">
        <v>2174</v>
      </c>
      <c r="F15047">
        <v>1</v>
      </c>
      <c r="G15047" t="s">
        <v>61</v>
      </c>
      <c r="H15047" t="s">
        <v>45</v>
      </c>
      <c r="I15047" t="s">
        <v>2193</v>
      </c>
      <c r="J15047" s="10">
        <v>2</v>
      </c>
      <c r="K15047" t="b">
        <v>1</v>
      </c>
    </row>
    <row r="15048" spans="1:11">
      <c r="A15048" s="12">
        <v>43521</v>
      </c>
      <c r="B15048">
        <v>2019</v>
      </c>
      <c r="C15048">
        <v>2</v>
      </c>
      <c r="D15048" s="11">
        <v>43497</v>
      </c>
      <c r="E15048" t="s">
        <v>2174</v>
      </c>
      <c r="F15048">
        <v>1</v>
      </c>
      <c r="G15048" t="s">
        <v>61</v>
      </c>
      <c r="H15048" t="s">
        <v>46</v>
      </c>
      <c r="I15048" t="s">
        <v>2194</v>
      </c>
      <c r="J15048" s="10">
        <v>2</v>
      </c>
      <c r="K15048" t="b">
        <v>1</v>
      </c>
    </row>
    <row r="15049" spans="1:11">
      <c r="A15049" s="12">
        <v>43521</v>
      </c>
      <c r="B15049">
        <v>2019</v>
      </c>
      <c r="C15049">
        <v>2</v>
      </c>
      <c r="D15049" s="11">
        <v>43497</v>
      </c>
      <c r="E15049" t="s">
        <v>2174</v>
      </c>
      <c r="F15049">
        <v>1</v>
      </c>
      <c r="G15049" t="s">
        <v>61</v>
      </c>
      <c r="H15049" t="s">
        <v>47</v>
      </c>
      <c r="I15049" t="s">
        <v>2195</v>
      </c>
      <c r="J15049" s="10">
        <v>3</v>
      </c>
      <c r="K15049" t="b">
        <v>1</v>
      </c>
    </row>
    <row r="15050" spans="1:11">
      <c r="A15050" s="12">
        <v>43522</v>
      </c>
      <c r="B15050">
        <v>2019</v>
      </c>
      <c r="C15050">
        <v>2</v>
      </c>
      <c r="D15050" s="11">
        <v>43497</v>
      </c>
      <c r="E15050" t="s">
        <v>2174</v>
      </c>
      <c r="F15050">
        <v>2</v>
      </c>
      <c r="G15050" t="s">
        <v>63</v>
      </c>
      <c r="H15050" t="s">
        <v>40</v>
      </c>
      <c r="I15050" t="s">
        <v>2188</v>
      </c>
      <c r="J15050" s="10">
        <v>2.33</v>
      </c>
      <c r="K15050" t="b">
        <v>1</v>
      </c>
    </row>
    <row r="15051" spans="1:11">
      <c r="A15051" s="12">
        <v>43522</v>
      </c>
      <c r="B15051">
        <v>2019</v>
      </c>
      <c r="C15051">
        <v>2</v>
      </c>
      <c r="D15051" s="11">
        <v>43497</v>
      </c>
      <c r="E15051" t="s">
        <v>2174</v>
      </c>
      <c r="F15051">
        <v>2</v>
      </c>
      <c r="G15051" t="s">
        <v>63</v>
      </c>
      <c r="H15051" t="s">
        <v>41</v>
      </c>
      <c r="I15051" t="s">
        <v>2189</v>
      </c>
      <c r="J15051" s="10">
        <v>3.83</v>
      </c>
      <c r="K15051" t="b">
        <v>1</v>
      </c>
    </row>
    <row r="15052" spans="1:11">
      <c r="A15052" s="12">
        <v>43522</v>
      </c>
      <c r="B15052">
        <v>2019</v>
      </c>
      <c r="C15052">
        <v>2</v>
      </c>
      <c r="D15052" s="11">
        <v>43497</v>
      </c>
      <c r="E15052" t="s">
        <v>2174</v>
      </c>
      <c r="F15052">
        <v>2</v>
      </c>
      <c r="G15052" t="s">
        <v>63</v>
      </c>
      <c r="H15052" t="s">
        <v>42</v>
      </c>
      <c r="I15052" t="s">
        <v>2190</v>
      </c>
      <c r="J15052" s="10">
        <v>5.15</v>
      </c>
      <c r="K15052" t="b">
        <v>1</v>
      </c>
    </row>
    <row r="15053" spans="1:11">
      <c r="A15053" s="12">
        <v>43522</v>
      </c>
      <c r="B15053">
        <v>2019</v>
      </c>
      <c r="C15053">
        <v>2</v>
      </c>
      <c r="D15053" s="11">
        <v>43497</v>
      </c>
      <c r="E15053" t="s">
        <v>2174</v>
      </c>
      <c r="F15053">
        <v>2</v>
      </c>
      <c r="G15053" t="s">
        <v>63</v>
      </c>
      <c r="H15053" t="s">
        <v>43</v>
      </c>
      <c r="I15053" t="s">
        <v>2191</v>
      </c>
      <c r="J15053" s="10">
        <v>27</v>
      </c>
      <c r="K15053" t="b">
        <v>1</v>
      </c>
    </row>
    <row r="15054" spans="1:11">
      <c r="A15054" s="12">
        <v>43522</v>
      </c>
      <c r="B15054">
        <v>2019</v>
      </c>
      <c r="C15054">
        <v>2</v>
      </c>
      <c r="D15054" s="11">
        <v>43497</v>
      </c>
      <c r="E15054" t="s">
        <v>2174</v>
      </c>
      <c r="F15054">
        <v>2</v>
      </c>
      <c r="G15054" t="s">
        <v>63</v>
      </c>
      <c r="H15054" t="s">
        <v>44</v>
      </c>
      <c r="I15054" t="s">
        <v>2192</v>
      </c>
      <c r="J15054" s="10">
        <v>8</v>
      </c>
      <c r="K15054" t="b">
        <v>1</v>
      </c>
    </row>
    <row r="15055" spans="1:11">
      <c r="A15055" s="12">
        <v>43522</v>
      </c>
      <c r="B15055">
        <v>2019</v>
      </c>
      <c r="C15055">
        <v>2</v>
      </c>
      <c r="D15055" s="11">
        <v>43497</v>
      </c>
      <c r="E15055" t="s">
        <v>2174</v>
      </c>
      <c r="F15055">
        <v>2</v>
      </c>
      <c r="G15055" t="s">
        <v>63</v>
      </c>
      <c r="H15055" t="s">
        <v>45</v>
      </c>
      <c r="I15055" t="s">
        <v>2193</v>
      </c>
      <c r="J15055" s="10">
        <v>0</v>
      </c>
      <c r="K15055" t="b">
        <v>1</v>
      </c>
    </row>
    <row r="15056" spans="1:11">
      <c r="A15056" s="12">
        <v>43522</v>
      </c>
      <c r="B15056">
        <v>2019</v>
      </c>
      <c r="C15056">
        <v>2</v>
      </c>
      <c r="D15056" s="11">
        <v>43497</v>
      </c>
      <c r="E15056" t="s">
        <v>2174</v>
      </c>
      <c r="F15056">
        <v>2</v>
      </c>
      <c r="G15056" t="s">
        <v>63</v>
      </c>
      <c r="H15056" t="s">
        <v>46</v>
      </c>
      <c r="I15056" t="s">
        <v>2194</v>
      </c>
      <c r="J15056" s="10">
        <v>3</v>
      </c>
      <c r="K15056" t="b">
        <v>1</v>
      </c>
    </row>
    <row r="15057" spans="1:11">
      <c r="A15057" s="12">
        <v>43522</v>
      </c>
      <c r="B15057">
        <v>2019</v>
      </c>
      <c r="C15057">
        <v>2</v>
      </c>
      <c r="D15057" s="11">
        <v>43497</v>
      </c>
      <c r="E15057" t="s">
        <v>2174</v>
      </c>
      <c r="F15057">
        <v>2</v>
      </c>
      <c r="G15057" t="s">
        <v>63</v>
      </c>
      <c r="H15057" t="s">
        <v>47</v>
      </c>
      <c r="I15057" t="s">
        <v>2195</v>
      </c>
      <c r="J15057" s="10">
        <v>3</v>
      </c>
      <c r="K15057" t="b">
        <v>1</v>
      </c>
    </row>
    <row r="15058" spans="1:11">
      <c r="A15058" s="12">
        <v>43523</v>
      </c>
      <c r="B15058">
        <v>2019</v>
      </c>
      <c r="C15058">
        <v>2</v>
      </c>
      <c r="D15058" s="11">
        <v>43497</v>
      </c>
      <c r="E15058" t="s">
        <v>2174</v>
      </c>
      <c r="F15058">
        <v>3</v>
      </c>
      <c r="G15058" t="s">
        <v>65</v>
      </c>
      <c r="H15058" t="s">
        <v>40</v>
      </c>
      <c r="I15058" t="s">
        <v>2188</v>
      </c>
      <c r="J15058" s="10">
        <v>5</v>
      </c>
      <c r="K15058" t="b">
        <v>1</v>
      </c>
    </row>
    <row r="15059" spans="1:11">
      <c r="A15059" s="12">
        <v>43523</v>
      </c>
      <c r="B15059">
        <v>2019</v>
      </c>
      <c r="C15059">
        <v>2</v>
      </c>
      <c r="D15059" s="11">
        <v>43497</v>
      </c>
      <c r="E15059" t="s">
        <v>2174</v>
      </c>
      <c r="F15059">
        <v>3</v>
      </c>
      <c r="G15059" t="s">
        <v>65</v>
      </c>
      <c r="H15059" t="s">
        <v>41</v>
      </c>
      <c r="I15059" t="s">
        <v>2189</v>
      </c>
      <c r="J15059" s="10">
        <v>0.67</v>
      </c>
      <c r="K15059" t="b">
        <v>1</v>
      </c>
    </row>
    <row r="15060" spans="1:11">
      <c r="A15060" s="12">
        <v>43523</v>
      </c>
      <c r="B15060">
        <v>2019</v>
      </c>
      <c r="C15060">
        <v>2</v>
      </c>
      <c r="D15060" s="11">
        <v>43497</v>
      </c>
      <c r="E15060" t="s">
        <v>2174</v>
      </c>
      <c r="F15060">
        <v>3</v>
      </c>
      <c r="G15060" t="s">
        <v>65</v>
      </c>
      <c r="H15060" t="s">
        <v>42</v>
      </c>
      <c r="I15060" t="s">
        <v>2190</v>
      </c>
      <c r="J15060" s="10">
        <v>1.2</v>
      </c>
      <c r="K15060" t="b">
        <v>1</v>
      </c>
    </row>
    <row r="15061" spans="1:11">
      <c r="A15061" s="12">
        <v>43523</v>
      </c>
      <c r="B15061">
        <v>2019</v>
      </c>
      <c r="C15061">
        <v>2</v>
      </c>
      <c r="D15061" s="11">
        <v>43497</v>
      </c>
      <c r="E15061" t="s">
        <v>2174</v>
      </c>
      <c r="F15061">
        <v>3</v>
      </c>
      <c r="G15061" t="s">
        <v>65</v>
      </c>
      <c r="H15061" t="s">
        <v>43</v>
      </c>
      <c r="I15061" t="s">
        <v>2191</v>
      </c>
      <c r="J15061" s="10">
        <v>13.4</v>
      </c>
      <c r="K15061" t="b">
        <v>1</v>
      </c>
    </row>
    <row r="15062" spans="1:11">
      <c r="A15062" s="12">
        <v>43523</v>
      </c>
      <c r="B15062">
        <v>2019</v>
      </c>
      <c r="C15062">
        <v>2</v>
      </c>
      <c r="D15062" s="11">
        <v>43497</v>
      </c>
      <c r="E15062" t="s">
        <v>2174</v>
      </c>
      <c r="F15062">
        <v>3</v>
      </c>
      <c r="G15062" t="s">
        <v>65</v>
      </c>
      <c r="H15062" t="s">
        <v>44</v>
      </c>
      <c r="I15062" t="s">
        <v>2192</v>
      </c>
      <c r="J15062" s="10">
        <v>9</v>
      </c>
      <c r="K15062" t="b">
        <v>1</v>
      </c>
    </row>
    <row r="15063" spans="1:11">
      <c r="A15063" s="12">
        <v>43523</v>
      </c>
      <c r="B15063">
        <v>2019</v>
      </c>
      <c r="C15063">
        <v>2</v>
      </c>
      <c r="D15063" s="11">
        <v>43497</v>
      </c>
      <c r="E15063" t="s">
        <v>2174</v>
      </c>
      <c r="F15063">
        <v>3</v>
      </c>
      <c r="G15063" t="s">
        <v>65</v>
      </c>
      <c r="H15063" t="s">
        <v>45</v>
      </c>
      <c r="I15063" t="s">
        <v>2193</v>
      </c>
      <c r="J15063" s="10">
        <v>0</v>
      </c>
      <c r="K15063" t="b">
        <v>1</v>
      </c>
    </row>
    <row r="15064" spans="1:11">
      <c r="A15064" s="12">
        <v>43523</v>
      </c>
      <c r="B15064">
        <v>2019</v>
      </c>
      <c r="C15064">
        <v>2</v>
      </c>
      <c r="D15064" s="11">
        <v>43497</v>
      </c>
      <c r="E15064" t="s">
        <v>2174</v>
      </c>
      <c r="F15064">
        <v>3</v>
      </c>
      <c r="G15064" t="s">
        <v>65</v>
      </c>
      <c r="H15064" t="s">
        <v>46</v>
      </c>
      <c r="I15064" t="s">
        <v>2194</v>
      </c>
      <c r="J15064" s="10">
        <v>1</v>
      </c>
      <c r="K15064" t="b">
        <v>1</v>
      </c>
    </row>
    <row r="15065" spans="1:11">
      <c r="A15065" s="12">
        <v>43523</v>
      </c>
      <c r="B15065">
        <v>2019</v>
      </c>
      <c r="C15065">
        <v>2</v>
      </c>
      <c r="D15065" s="11">
        <v>43497</v>
      </c>
      <c r="E15065" t="s">
        <v>2174</v>
      </c>
      <c r="F15065">
        <v>3</v>
      </c>
      <c r="G15065" t="s">
        <v>65</v>
      </c>
      <c r="H15065" t="s">
        <v>47</v>
      </c>
      <c r="I15065" t="s">
        <v>2195</v>
      </c>
      <c r="J15065" s="10">
        <v>7.5</v>
      </c>
      <c r="K15065" t="b">
        <v>1</v>
      </c>
    </row>
    <row r="15066" spans="1:11">
      <c r="A15066" s="12">
        <v>43524</v>
      </c>
      <c r="B15066">
        <v>2019</v>
      </c>
      <c r="C15066">
        <v>2</v>
      </c>
      <c r="D15066" s="11">
        <v>43497</v>
      </c>
      <c r="E15066" t="s">
        <v>2174</v>
      </c>
      <c r="F15066">
        <v>4</v>
      </c>
      <c r="G15066" t="s">
        <v>53</v>
      </c>
      <c r="H15066" t="s">
        <v>40</v>
      </c>
      <c r="I15066" t="s">
        <v>2188</v>
      </c>
      <c r="J15066" s="10">
        <v>0.67</v>
      </c>
      <c r="K15066" t="b">
        <v>1</v>
      </c>
    </row>
    <row r="15067" spans="1:11">
      <c r="A15067" s="12">
        <v>43524</v>
      </c>
      <c r="B15067">
        <v>2019</v>
      </c>
      <c r="C15067">
        <v>2</v>
      </c>
      <c r="D15067" s="11">
        <v>43497</v>
      </c>
      <c r="E15067" t="s">
        <v>2174</v>
      </c>
      <c r="F15067">
        <v>4</v>
      </c>
      <c r="G15067" t="s">
        <v>53</v>
      </c>
      <c r="H15067" t="s">
        <v>41</v>
      </c>
      <c r="I15067" t="s">
        <v>2189</v>
      </c>
      <c r="J15067" s="10">
        <v>3.33</v>
      </c>
      <c r="K15067" t="b">
        <v>1</v>
      </c>
    </row>
    <row r="15068" spans="1:11">
      <c r="A15068" s="12">
        <v>43524</v>
      </c>
      <c r="B15068">
        <v>2019</v>
      </c>
      <c r="C15068">
        <v>2</v>
      </c>
      <c r="D15068" s="11">
        <v>43497</v>
      </c>
      <c r="E15068" t="s">
        <v>2174</v>
      </c>
      <c r="F15068">
        <v>4</v>
      </c>
      <c r="G15068" t="s">
        <v>53</v>
      </c>
      <c r="H15068" t="s">
        <v>42</v>
      </c>
      <c r="I15068" t="s">
        <v>2190</v>
      </c>
      <c r="J15068" s="10">
        <v>4</v>
      </c>
      <c r="K15068" t="b">
        <v>1</v>
      </c>
    </row>
    <row r="15069" spans="1:11">
      <c r="A15069" s="12">
        <v>43524</v>
      </c>
      <c r="B15069">
        <v>2019</v>
      </c>
      <c r="C15069">
        <v>2</v>
      </c>
      <c r="D15069" s="11">
        <v>43497</v>
      </c>
      <c r="E15069" t="s">
        <v>2174</v>
      </c>
      <c r="F15069">
        <v>4</v>
      </c>
      <c r="G15069" t="s">
        <v>53</v>
      </c>
      <c r="H15069" t="s">
        <v>43</v>
      </c>
      <c r="I15069" t="s">
        <v>2191</v>
      </c>
      <c r="J15069" s="10">
        <v>34</v>
      </c>
      <c r="K15069" t="b">
        <v>1</v>
      </c>
    </row>
    <row r="15070" spans="1:11">
      <c r="A15070" s="12">
        <v>43524</v>
      </c>
      <c r="B15070">
        <v>2019</v>
      </c>
      <c r="C15070">
        <v>2</v>
      </c>
      <c r="D15070" s="11">
        <v>43497</v>
      </c>
      <c r="E15070" t="s">
        <v>2174</v>
      </c>
      <c r="F15070">
        <v>4</v>
      </c>
      <c r="G15070" t="s">
        <v>53</v>
      </c>
      <c r="H15070" t="s">
        <v>44</v>
      </c>
      <c r="I15070" t="s">
        <v>2192</v>
      </c>
      <c r="J15070" s="10">
        <v>2</v>
      </c>
      <c r="K15070" t="b">
        <v>1</v>
      </c>
    </row>
    <row r="15071" spans="1:11">
      <c r="A15071" s="12">
        <v>43524</v>
      </c>
      <c r="B15071">
        <v>2019</v>
      </c>
      <c r="C15071">
        <v>2</v>
      </c>
      <c r="D15071" s="11">
        <v>43497</v>
      </c>
      <c r="E15071" t="s">
        <v>2174</v>
      </c>
      <c r="F15071">
        <v>4</v>
      </c>
      <c r="G15071" t="s">
        <v>53</v>
      </c>
      <c r="H15071" t="s">
        <v>45</v>
      </c>
      <c r="I15071" t="s">
        <v>2193</v>
      </c>
      <c r="J15071" s="10">
        <v>1</v>
      </c>
      <c r="K15071" t="b">
        <v>1</v>
      </c>
    </row>
    <row r="15072" spans="1:11">
      <c r="A15072" s="12">
        <v>43524</v>
      </c>
      <c r="B15072">
        <v>2019</v>
      </c>
      <c r="C15072">
        <v>2</v>
      </c>
      <c r="D15072" s="11">
        <v>43497</v>
      </c>
      <c r="E15072" t="s">
        <v>2174</v>
      </c>
      <c r="F15072">
        <v>4</v>
      </c>
      <c r="G15072" t="s">
        <v>53</v>
      </c>
      <c r="H15072" t="s">
        <v>46</v>
      </c>
      <c r="I15072" t="s">
        <v>2194</v>
      </c>
      <c r="J15072" s="10">
        <v>35</v>
      </c>
      <c r="K15072" t="b">
        <v>1</v>
      </c>
    </row>
    <row r="15073" spans="1:11">
      <c r="A15073" s="12">
        <v>43524</v>
      </c>
      <c r="B15073">
        <v>2019</v>
      </c>
      <c r="C15073">
        <v>2</v>
      </c>
      <c r="D15073" s="11">
        <v>43497</v>
      </c>
      <c r="E15073" t="s">
        <v>2174</v>
      </c>
      <c r="F15073">
        <v>4</v>
      </c>
      <c r="G15073" t="s">
        <v>53</v>
      </c>
      <c r="H15073" t="s">
        <v>47</v>
      </c>
      <c r="I15073" t="s">
        <v>2195</v>
      </c>
      <c r="J15073" s="10">
        <v>3</v>
      </c>
      <c r="K15073" t="b">
        <v>1</v>
      </c>
    </row>
    <row r="15074" spans="1:11">
      <c r="A15074" s="12">
        <v>43525</v>
      </c>
      <c r="B15074">
        <v>2019</v>
      </c>
      <c r="C15074">
        <v>3</v>
      </c>
      <c r="D15074" s="11">
        <v>43525</v>
      </c>
      <c r="E15074" t="s">
        <v>2175</v>
      </c>
      <c r="F15074">
        <v>5</v>
      </c>
      <c r="G15074" t="s">
        <v>55</v>
      </c>
      <c r="H15074" t="s">
        <v>40</v>
      </c>
      <c r="I15074" t="s">
        <v>2188</v>
      </c>
      <c r="J15074" s="10">
        <v>1.33</v>
      </c>
      <c r="K15074" t="b">
        <v>1</v>
      </c>
    </row>
    <row r="15075" spans="1:11">
      <c r="A15075" s="12">
        <v>43525</v>
      </c>
      <c r="B15075">
        <v>2019</v>
      </c>
      <c r="C15075">
        <v>3</v>
      </c>
      <c r="D15075" s="11">
        <v>43525</v>
      </c>
      <c r="E15075" t="s">
        <v>2175</v>
      </c>
      <c r="F15075">
        <v>5</v>
      </c>
      <c r="G15075" t="s">
        <v>55</v>
      </c>
      <c r="H15075" t="s">
        <v>41</v>
      </c>
      <c r="I15075" t="s">
        <v>2189</v>
      </c>
      <c r="J15075" s="10">
        <v>3.821</v>
      </c>
      <c r="K15075" t="b">
        <v>1</v>
      </c>
    </row>
    <row r="15076" spans="1:11">
      <c r="A15076" s="12">
        <v>43525</v>
      </c>
      <c r="B15076">
        <v>2019</v>
      </c>
      <c r="C15076">
        <v>3</v>
      </c>
      <c r="D15076" s="11">
        <v>43525</v>
      </c>
      <c r="E15076" t="s">
        <v>2175</v>
      </c>
      <c r="F15076">
        <v>5</v>
      </c>
      <c r="G15076" t="s">
        <v>55</v>
      </c>
      <c r="H15076" t="s">
        <v>42</v>
      </c>
      <c r="I15076" t="s">
        <v>2190</v>
      </c>
      <c r="J15076" s="10">
        <v>2.5</v>
      </c>
      <c r="K15076" t="b">
        <v>1</v>
      </c>
    </row>
    <row r="15077" spans="1:11">
      <c r="A15077" s="12">
        <v>43525</v>
      </c>
      <c r="B15077">
        <v>2019</v>
      </c>
      <c r="C15077">
        <v>3</v>
      </c>
      <c r="D15077" s="11">
        <v>43525</v>
      </c>
      <c r="E15077" t="s">
        <v>2175</v>
      </c>
      <c r="F15077">
        <v>5</v>
      </c>
      <c r="G15077" t="s">
        <v>55</v>
      </c>
      <c r="H15077" t="s">
        <v>43</v>
      </c>
      <c r="I15077" t="s">
        <v>2191</v>
      </c>
      <c r="J15077" s="10">
        <v>22.2</v>
      </c>
      <c r="K15077" t="b">
        <v>1</v>
      </c>
    </row>
    <row r="15078" spans="1:11">
      <c r="A15078" s="12">
        <v>43525</v>
      </c>
      <c r="B15078">
        <v>2019</v>
      </c>
      <c r="C15078">
        <v>3</v>
      </c>
      <c r="D15078" s="11">
        <v>43525</v>
      </c>
      <c r="E15078" t="s">
        <v>2175</v>
      </c>
      <c r="F15078">
        <v>5</v>
      </c>
      <c r="G15078" t="s">
        <v>55</v>
      </c>
      <c r="H15078" t="s">
        <v>44</v>
      </c>
      <c r="I15078" t="s">
        <v>2192</v>
      </c>
      <c r="J15078" s="10">
        <v>12</v>
      </c>
      <c r="K15078" t="b">
        <v>1</v>
      </c>
    </row>
    <row r="15079" spans="1:11">
      <c r="A15079" s="12">
        <v>43525</v>
      </c>
      <c r="B15079">
        <v>2019</v>
      </c>
      <c r="C15079">
        <v>3</v>
      </c>
      <c r="D15079" s="11">
        <v>43525</v>
      </c>
      <c r="E15079" t="s">
        <v>2175</v>
      </c>
      <c r="F15079">
        <v>5</v>
      </c>
      <c r="G15079" t="s">
        <v>55</v>
      </c>
      <c r="H15079" t="s">
        <v>45</v>
      </c>
      <c r="I15079" t="s">
        <v>2193</v>
      </c>
      <c r="J15079" s="10">
        <v>0</v>
      </c>
      <c r="K15079" t="b">
        <v>1</v>
      </c>
    </row>
    <row r="15080" spans="1:11">
      <c r="A15080" s="12">
        <v>43525</v>
      </c>
      <c r="B15080">
        <v>2019</v>
      </c>
      <c r="C15080">
        <v>3</v>
      </c>
      <c r="D15080" s="11">
        <v>43525</v>
      </c>
      <c r="E15080" t="s">
        <v>2175</v>
      </c>
      <c r="F15080">
        <v>5</v>
      </c>
      <c r="G15080" t="s">
        <v>55</v>
      </c>
      <c r="H15080" t="s">
        <v>46</v>
      </c>
      <c r="I15080" t="s">
        <v>2194</v>
      </c>
      <c r="J15080" s="10">
        <v>6</v>
      </c>
      <c r="K15080" t="b">
        <v>1</v>
      </c>
    </row>
    <row r="15081" spans="1:11">
      <c r="A15081" s="12">
        <v>43525</v>
      </c>
      <c r="B15081">
        <v>2019</v>
      </c>
      <c r="C15081">
        <v>3</v>
      </c>
      <c r="D15081" s="11">
        <v>43525</v>
      </c>
      <c r="E15081" t="s">
        <v>2175</v>
      </c>
      <c r="F15081">
        <v>5</v>
      </c>
      <c r="G15081" t="s">
        <v>55</v>
      </c>
      <c r="H15081" t="s">
        <v>47</v>
      </c>
      <c r="I15081" t="s">
        <v>2195</v>
      </c>
      <c r="J15081" s="10">
        <v>2</v>
      </c>
      <c r="K15081" t="b">
        <v>1</v>
      </c>
    </row>
    <row r="15082" spans="1:11">
      <c r="A15082" s="12">
        <v>43526</v>
      </c>
      <c r="B15082">
        <v>2019</v>
      </c>
      <c r="C15082">
        <v>3</v>
      </c>
      <c r="D15082" s="11">
        <v>43525</v>
      </c>
      <c r="E15082" t="s">
        <v>2175</v>
      </c>
      <c r="F15082">
        <v>6</v>
      </c>
      <c r="G15082" t="s">
        <v>57</v>
      </c>
      <c r="H15082" t="s">
        <v>40</v>
      </c>
      <c r="I15082" t="s">
        <v>2188</v>
      </c>
      <c r="J15082" s="10">
        <v>4.01</v>
      </c>
      <c r="K15082" t="b">
        <v>1</v>
      </c>
    </row>
    <row r="15083" spans="1:11">
      <c r="A15083" s="12">
        <v>43526</v>
      </c>
      <c r="B15083">
        <v>2019</v>
      </c>
      <c r="C15083">
        <v>3</v>
      </c>
      <c r="D15083" s="11">
        <v>43525</v>
      </c>
      <c r="E15083" t="s">
        <v>2175</v>
      </c>
      <c r="F15083">
        <v>6</v>
      </c>
      <c r="G15083" t="s">
        <v>57</v>
      </c>
      <c r="H15083" t="s">
        <v>41</v>
      </c>
      <c r="I15083" t="s">
        <v>2189</v>
      </c>
      <c r="J15083" s="10">
        <v>1.33</v>
      </c>
      <c r="K15083" t="b">
        <v>1</v>
      </c>
    </row>
    <row r="15084" spans="1:11">
      <c r="A15084" s="12">
        <v>43526</v>
      </c>
      <c r="B15084">
        <v>2019</v>
      </c>
      <c r="C15084">
        <v>3</v>
      </c>
      <c r="D15084" s="11">
        <v>43525</v>
      </c>
      <c r="E15084" t="s">
        <v>2175</v>
      </c>
      <c r="F15084">
        <v>6</v>
      </c>
      <c r="G15084" t="s">
        <v>57</v>
      </c>
      <c r="H15084" t="s">
        <v>42</v>
      </c>
      <c r="I15084" t="s">
        <v>2190</v>
      </c>
      <c r="J15084" s="10">
        <v>4</v>
      </c>
      <c r="K15084" t="b">
        <v>1</v>
      </c>
    </row>
    <row r="15085" spans="1:11">
      <c r="A15085" s="12">
        <v>43526</v>
      </c>
      <c r="B15085">
        <v>2019</v>
      </c>
      <c r="C15085">
        <v>3</v>
      </c>
      <c r="D15085" s="11">
        <v>43525</v>
      </c>
      <c r="E15085" t="s">
        <v>2175</v>
      </c>
      <c r="F15085">
        <v>6</v>
      </c>
      <c r="G15085" t="s">
        <v>57</v>
      </c>
      <c r="H15085" t="s">
        <v>43</v>
      </c>
      <c r="I15085" t="s">
        <v>2191</v>
      </c>
      <c r="J15085" s="10">
        <v>46</v>
      </c>
      <c r="K15085" t="b">
        <v>1</v>
      </c>
    </row>
    <row r="15086" spans="1:11">
      <c r="A15086" s="12">
        <v>43526</v>
      </c>
      <c r="B15086">
        <v>2019</v>
      </c>
      <c r="C15086">
        <v>3</v>
      </c>
      <c r="D15086" s="11">
        <v>43525</v>
      </c>
      <c r="E15086" t="s">
        <v>2175</v>
      </c>
      <c r="F15086">
        <v>6</v>
      </c>
      <c r="G15086" t="s">
        <v>57</v>
      </c>
      <c r="H15086" t="s">
        <v>44</v>
      </c>
      <c r="I15086" t="s">
        <v>2192</v>
      </c>
      <c r="J15086" s="10">
        <v>9</v>
      </c>
      <c r="K15086" t="b">
        <v>1</v>
      </c>
    </row>
    <row r="15087" spans="1:11">
      <c r="A15087" s="12">
        <v>43526</v>
      </c>
      <c r="B15087">
        <v>2019</v>
      </c>
      <c r="C15087">
        <v>3</v>
      </c>
      <c r="D15087" s="11">
        <v>43525</v>
      </c>
      <c r="E15087" t="s">
        <v>2175</v>
      </c>
      <c r="F15087">
        <v>6</v>
      </c>
      <c r="G15087" t="s">
        <v>57</v>
      </c>
      <c r="H15087" t="s">
        <v>45</v>
      </c>
      <c r="I15087" t="s">
        <v>2193</v>
      </c>
      <c r="J15087" s="10">
        <v>3</v>
      </c>
      <c r="K15087" t="b">
        <v>1</v>
      </c>
    </row>
    <row r="15088" spans="1:11">
      <c r="A15088" s="12">
        <v>43526</v>
      </c>
      <c r="B15088">
        <v>2019</v>
      </c>
      <c r="C15088">
        <v>3</v>
      </c>
      <c r="D15088" s="11">
        <v>43525</v>
      </c>
      <c r="E15088" t="s">
        <v>2175</v>
      </c>
      <c r="F15088">
        <v>6</v>
      </c>
      <c r="G15088" t="s">
        <v>57</v>
      </c>
      <c r="H15088" t="s">
        <v>46</v>
      </c>
      <c r="I15088" t="s">
        <v>2194</v>
      </c>
      <c r="J15088" s="10">
        <v>0</v>
      </c>
      <c r="K15088" t="b">
        <v>1</v>
      </c>
    </row>
    <row r="15089" spans="1:11">
      <c r="A15089" s="12">
        <v>43526</v>
      </c>
      <c r="B15089">
        <v>2019</v>
      </c>
      <c r="C15089">
        <v>3</v>
      </c>
      <c r="D15089" s="11">
        <v>43525</v>
      </c>
      <c r="E15089" t="s">
        <v>2175</v>
      </c>
      <c r="F15089">
        <v>6</v>
      </c>
      <c r="G15089" t="s">
        <v>57</v>
      </c>
      <c r="H15089" t="s">
        <v>47</v>
      </c>
      <c r="I15089" t="s">
        <v>2195</v>
      </c>
      <c r="J15089" s="10">
        <v>5</v>
      </c>
      <c r="K15089" t="b">
        <v>1</v>
      </c>
    </row>
    <row r="15090" spans="1:11">
      <c r="A15090" s="12">
        <v>43527</v>
      </c>
      <c r="B15090">
        <v>2019</v>
      </c>
      <c r="C15090">
        <v>3</v>
      </c>
      <c r="D15090" s="11">
        <v>43525</v>
      </c>
      <c r="E15090" t="s">
        <v>2175</v>
      </c>
      <c r="F15090">
        <v>7</v>
      </c>
      <c r="G15090" t="s">
        <v>59</v>
      </c>
      <c r="H15090" t="s">
        <v>40</v>
      </c>
      <c r="I15090" t="s">
        <v>2188</v>
      </c>
      <c r="J15090" s="10">
        <v>8</v>
      </c>
      <c r="K15090" t="b">
        <v>1</v>
      </c>
    </row>
    <row r="15091" spans="1:11">
      <c r="A15091" s="12">
        <v>43527</v>
      </c>
      <c r="B15091">
        <v>2019</v>
      </c>
      <c r="C15091">
        <v>3</v>
      </c>
      <c r="D15091" s="11">
        <v>43525</v>
      </c>
      <c r="E15091" t="s">
        <v>2175</v>
      </c>
      <c r="F15091">
        <v>7</v>
      </c>
      <c r="G15091" t="s">
        <v>59</v>
      </c>
      <c r="H15091" t="s">
        <v>41</v>
      </c>
      <c r="I15091" t="s">
        <v>2189</v>
      </c>
      <c r="J15091" s="10">
        <v>4.01</v>
      </c>
      <c r="K15091" t="b">
        <v>1</v>
      </c>
    </row>
    <row r="15092" spans="1:11">
      <c r="A15092" s="12">
        <v>43527</v>
      </c>
      <c r="B15092">
        <v>2019</v>
      </c>
      <c r="C15092">
        <v>3</v>
      </c>
      <c r="D15092" s="11">
        <v>43525</v>
      </c>
      <c r="E15092" t="s">
        <v>2175</v>
      </c>
      <c r="F15092">
        <v>7</v>
      </c>
      <c r="G15092" t="s">
        <v>59</v>
      </c>
      <c r="H15092" t="s">
        <v>42</v>
      </c>
      <c r="I15092" t="s">
        <v>2190</v>
      </c>
      <c r="J15092" s="10">
        <v>1</v>
      </c>
      <c r="K15092" t="b">
        <v>1</v>
      </c>
    </row>
    <row r="15093" spans="1:11">
      <c r="A15093" s="12">
        <v>43527</v>
      </c>
      <c r="B15093">
        <v>2019</v>
      </c>
      <c r="C15093">
        <v>3</v>
      </c>
      <c r="D15093" s="11">
        <v>43525</v>
      </c>
      <c r="E15093" t="s">
        <v>2175</v>
      </c>
      <c r="F15093">
        <v>7</v>
      </c>
      <c r="G15093" t="s">
        <v>59</v>
      </c>
      <c r="H15093" t="s">
        <v>43</v>
      </c>
      <c r="I15093" t="s">
        <v>2191</v>
      </c>
      <c r="J15093" s="10">
        <v>20</v>
      </c>
      <c r="K15093" t="b">
        <v>1</v>
      </c>
    </row>
    <row r="15094" spans="1:11">
      <c r="A15094" s="12">
        <v>43527</v>
      </c>
      <c r="B15094">
        <v>2019</v>
      </c>
      <c r="C15094">
        <v>3</v>
      </c>
      <c r="D15094" s="11">
        <v>43525</v>
      </c>
      <c r="E15094" t="s">
        <v>2175</v>
      </c>
      <c r="F15094">
        <v>7</v>
      </c>
      <c r="G15094" t="s">
        <v>59</v>
      </c>
      <c r="H15094" t="s">
        <v>44</v>
      </c>
      <c r="I15094" t="s">
        <v>2192</v>
      </c>
      <c r="J15094" s="10">
        <v>5</v>
      </c>
      <c r="K15094" t="b">
        <v>1</v>
      </c>
    </row>
    <row r="15095" spans="1:11">
      <c r="A15095" s="12">
        <v>43527</v>
      </c>
      <c r="B15095">
        <v>2019</v>
      </c>
      <c r="C15095">
        <v>3</v>
      </c>
      <c r="D15095" s="11">
        <v>43525</v>
      </c>
      <c r="E15095" t="s">
        <v>2175</v>
      </c>
      <c r="F15095">
        <v>7</v>
      </c>
      <c r="G15095" t="s">
        <v>59</v>
      </c>
      <c r="H15095" t="s">
        <v>45</v>
      </c>
      <c r="I15095" t="s">
        <v>2193</v>
      </c>
      <c r="J15095" s="10">
        <v>0</v>
      </c>
      <c r="K15095" t="b">
        <v>1</v>
      </c>
    </row>
    <row r="15096" spans="1:11">
      <c r="A15096" s="12">
        <v>43527</v>
      </c>
      <c r="B15096">
        <v>2019</v>
      </c>
      <c r="C15096">
        <v>3</v>
      </c>
      <c r="D15096" s="11">
        <v>43525</v>
      </c>
      <c r="E15096" t="s">
        <v>2175</v>
      </c>
      <c r="F15096">
        <v>7</v>
      </c>
      <c r="G15096" t="s">
        <v>59</v>
      </c>
      <c r="H15096" t="s">
        <v>46</v>
      </c>
      <c r="I15096" t="s">
        <v>2194</v>
      </c>
      <c r="J15096" s="10">
        <v>10</v>
      </c>
      <c r="K15096" t="b">
        <v>1</v>
      </c>
    </row>
    <row r="15097" spans="1:11">
      <c r="A15097" s="12">
        <v>43527</v>
      </c>
      <c r="B15097">
        <v>2019</v>
      </c>
      <c r="C15097">
        <v>3</v>
      </c>
      <c r="D15097" s="11">
        <v>43525</v>
      </c>
      <c r="E15097" t="s">
        <v>2175</v>
      </c>
      <c r="F15097">
        <v>7</v>
      </c>
      <c r="G15097" t="s">
        <v>59</v>
      </c>
      <c r="H15097" t="s">
        <v>47</v>
      </c>
      <c r="I15097" t="s">
        <v>2195</v>
      </c>
      <c r="J15097" s="10">
        <v>0.4</v>
      </c>
      <c r="K15097" t="b">
        <v>1</v>
      </c>
    </row>
    <row r="15098" spans="1:11">
      <c r="A15098" s="12">
        <v>43528</v>
      </c>
      <c r="B15098">
        <v>2019</v>
      </c>
      <c r="C15098">
        <v>3</v>
      </c>
      <c r="D15098" s="11">
        <v>43525</v>
      </c>
      <c r="E15098" t="s">
        <v>2175</v>
      </c>
      <c r="F15098">
        <v>1</v>
      </c>
      <c r="G15098" t="s">
        <v>61</v>
      </c>
      <c r="H15098" t="s">
        <v>40</v>
      </c>
      <c r="I15098" t="s">
        <v>2188</v>
      </c>
      <c r="J15098" s="10">
        <v>5.33</v>
      </c>
      <c r="K15098" t="b">
        <v>1</v>
      </c>
    </row>
    <row r="15099" spans="1:11">
      <c r="A15099" s="12">
        <v>43528</v>
      </c>
      <c r="B15099">
        <v>2019</v>
      </c>
      <c r="C15099">
        <v>3</v>
      </c>
      <c r="D15099" s="11">
        <v>43525</v>
      </c>
      <c r="E15099" t="s">
        <v>2175</v>
      </c>
      <c r="F15099">
        <v>1</v>
      </c>
      <c r="G15099" t="s">
        <v>61</v>
      </c>
      <c r="H15099" t="s">
        <v>41</v>
      </c>
      <c r="I15099" t="s">
        <v>2189</v>
      </c>
      <c r="J15099" s="10">
        <v>2.67</v>
      </c>
      <c r="K15099" t="b">
        <v>1</v>
      </c>
    </row>
    <row r="15100" spans="1:11">
      <c r="A15100" s="12">
        <v>43528</v>
      </c>
      <c r="B15100">
        <v>2019</v>
      </c>
      <c r="C15100">
        <v>3</v>
      </c>
      <c r="D15100" s="11">
        <v>43525</v>
      </c>
      <c r="E15100" t="s">
        <v>2175</v>
      </c>
      <c r="F15100">
        <v>1</v>
      </c>
      <c r="G15100" t="s">
        <v>61</v>
      </c>
      <c r="H15100" t="s">
        <v>42</v>
      </c>
      <c r="I15100" t="s">
        <v>2190</v>
      </c>
      <c r="J15100" s="10">
        <v>7</v>
      </c>
      <c r="K15100" t="b">
        <v>1</v>
      </c>
    </row>
    <row r="15101" spans="1:11">
      <c r="A15101" s="12">
        <v>43528</v>
      </c>
      <c r="B15101">
        <v>2019</v>
      </c>
      <c r="C15101">
        <v>3</v>
      </c>
      <c r="D15101" s="11">
        <v>43525</v>
      </c>
      <c r="E15101" t="s">
        <v>2175</v>
      </c>
      <c r="F15101">
        <v>1</v>
      </c>
      <c r="G15101" t="s">
        <v>61</v>
      </c>
      <c r="H15101" t="s">
        <v>43</v>
      </c>
      <c r="I15101" t="s">
        <v>2191</v>
      </c>
      <c r="J15101" s="10">
        <v>41</v>
      </c>
      <c r="K15101" t="b">
        <v>1</v>
      </c>
    </row>
    <row r="15102" spans="1:11">
      <c r="A15102" s="12">
        <v>43528</v>
      </c>
      <c r="B15102">
        <v>2019</v>
      </c>
      <c r="C15102">
        <v>3</v>
      </c>
      <c r="D15102" s="11">
        <v>43525</v>
      </c>
      <c r="E15102" t="s">
        <v>2175</v>
      </c>
      <c r="F15102">
        <v>1</v>
      </c>
      <c r="G15102" t="s">
        <v>61</v>
      </c>
      <c r="H15102" t="s">
        <v>44</v>
      </c>
      <c r="I15102" t="s">
        <v>2192</v>
      </c>
      <c r="J15102" s="10">
        <v>3</v>
      </c>
      <c r="K15102" t="b">
        <v>1</v>
      </c>
    </row>
    <row r="15103" spans="1:11">
      <c r="A15103" s="12">
        <v>43528</v>
      </c>
      <c r="B15103">
        <v>2019</v>
      </c>
      <c r="C15103">
        <v>3</v>
      </c>
      <c r="D15103" s="11">
        <v>43525</v>
      </c>
      <c r="E15103" t="s">
        <v>2175</v>
      </c>
      <c r="F15103">
        <v>1</v>
      </c>
      <c r="G15103" t="s">
        <v>61</v>
      </c>
      <c r="H15103" t="s">
        <v>45</v>
      </c>
      <c r="I15103" t="s">
        <v>2193</v>
      </c>
      <c r="J15103" s="10">
        <v>0</v>
      </c>
      <c r="K15103" t="b">
        <v>1</v>
      </c>
    </row>
    <row r="15104" spans="1:11">
      <c r="A15104" s="12">
        <v>43528</v>
      </c>
      <c r="B15104">
        <v>2019</v>
      </c>
      <c r="C15104">
        <v>3</v>
      </c>
      <c r="D15104" s="11">
        <v>43525</v>
      </c>
      <c r="E15104" t="s">
        <v>2175</v>
      </c>
      <c r="F15104">
        <v>1</v>
      </c>
      <c r="G15104" t="s">
        <v>61</v>
      </c>
      <c r="H15104" t="s">
        <v>46</v>
      </c>
      <c r="I15104" t="s">
        <v>2194</v>
      </c>
      <c r="J15104" s="10">
        <v>5</v>
      </c>
      <c r="K15104" t="b">
        <v>1</v>
      </c>
    </row>
    <row r="15105" spans="1:11">
      <c r="A15105" s="12">
        <v>43528</v>
      </c>
      <c r="B15105">
        <v>2019</v>
      </c>
      <c r="C15105">
        <v>3</v>
      </c>
      <c r="D15105" s="11">
        <v>43525</v>
      </c>
      <c r="E15105" t="s">
        <v>2175</v>
      </c>
      <c r="F15105">
        <v>1</v>
      </c>
      <c r="G15105" t="s">
        <v>61</v>
      </c>
      <c r="H15105" t="s">
        <v>47</v>
      </c>
      <c r="I15105" t="s">
        <v>2195</v>
      </c>
      <c r="J15105" s="10">
        <v>2</v>
      </c>
      <c r="K15105" t="b">
        <v>1</v>
      </c>
    </row>
    <row r="15106" spans="1:11">
      <c r="A15106" s="12">
        <v>43529</v>
      </c>
      <c r="B15106">
        <v>2019</v>
      </c>
      <c r="C15106">
        <v>3</v>
      </c>
      <c r="D15106" s="11">
        <v>43525</v>
      </c>
      <c r="E15106" t="s">
        <v>2175</v>
      </c>
      <c r="F15106">
        <v>2</v>
      </c>
      <c r="G15106" t="s">
        <v>63</v>
      </c>
      <c r="H15106" t="s">
        <v>40</v>
      </c>
      <c r="I15106" t="s">
        <v>2188</v>
      </c>
      <c r="J15106" s="10">
        <v>3.01</v>
      </c>
      <c r="K15106" t="b">
        <v>1</v>
      </c>
    </row>
    <row r="15107" spans="1:11">
      <c r="A15107" s="12">
        <v>43529</v>
      </c>
      <c r="B15107">
        <v>2019</v>
      </c>
      <c r="C15107">
        <v>3</v>
      </c>
      <c r="D15107" s="11">
        <v>43525</v>
      </c>
      <c r="E15107" t="s">
        <v>2175</v>
      </c>
      <c r="F15107">
        <v>2</v>
      </c>
      <c r="G15107" t="s">
        <v>63</v>
      </c>
      <c r="H15107" t="s">
        <v>41</v>
      </c>
      <c r="I15107" t="s">
        <v>2189</v>
      </c>
      <c r="J15107" s="10">
        <v>2.33</v>
      </c>
      <c r="K15107" t="b">
        <v>1</v>
      </c>
    </row>
    <row r="15108" spans="1:11">
      <c r="A15108" s="12">
        <v>43529</v>
      </c>
      <c r="B15108">
        <v>2019</v>
      </c>
      <c r="C15108">
        <v>3</v>
      </c>
      <c r="D15108" s="11">
        <v>43525</v>
      </c>
      <c r="E15108" t="s">
        <v>2175</v>
      </c>
      <c r="F15108">
        <v>2</v>
      </c>
      <c r="G15108" t="s">
        <v>63</v>
      </c>
      <c r="H15108" t="s">
        <v>42</v>
      </c>
      <c r="I15108" t="s">
        <v>2190</v>
      </c>
      <c r="J15108" s="10">
        <v>0.2</v>
      </c>
      <c r="K15108" t="b">
        <v>1</v>
      </c>
    </row>
    <row r="15109" spans="1:11">
      <c r="A15109" s="12">
        <v>43529</v>
      </c>
      <c r="B15109">
        <v>2019</v>
      </c>
      <c r="C15109">
        <v>3</v>
      </c>
      <c r="D15109" s="11">
        <v>43525</v>
      </c>
      <c r="E15109" t="s">
        <v>2175</v>
      </c>
      <c r="F15109">
        <v>2</v>
      </c>
      <c r="G15109" t="s">
        <v>63</v>
      </c>
      <c r="H15109" t="s">
        <v>43</v>
      </c>
      <c r="I15109" t="s">
        <v>2191</v>
      </c>
      <c r="J15109" s="10">
        <v>20</v>
      </c>
      <c r="K15109" t="b">
        <v>1</v>
      </c>
    </row>
    <row r="15110" spans="1:11">
      <c r="A15110" s="12">
        <v>43529</v>
      </c>
      <c r="B15110">
        <v>2019</v>
      </c>
      <c r="C15110">
        <v>3</v>
      </c>
      <c r="D15110" s="11">
        <v>43525</v>
      </c>
      <c r="E15110" t="s">
        <v>2175</v>
      </c>
      <c r="F15110">
        <v>2</v>
      </c>
      <c r="G15110" t="s">
        <v>63</v>
      </c>
      <c r="H15110" t="s">
        <v>44</v>
      </c>
      <c r="I15110" t="s">
        <v>2192</v>
      </c>
      <c r="J15110" s="10">
        <v>8</v>
      </c>
      <c r="K15110" t="b">
        <v>1</v>
      </c>
    </row>
    <row r="15111" spans="1:11">
      <c r="A15111" s="12">
        <v>43529</v>
      </c>
      <c r="B15111">
        <v>2019</v>
      </c>
      <c r="C15111">
        <v>3</v>
      </c>
      <c r="D15111" s="11">
        <v>43525</v>
      </c>
      <c r="E15111" t="s">
        <v>2175</v>
      </c>
      <c r="F15111">
        <v>2</v>
      </c>
      <c r="G15111" t="s">
        <v>63</v>
      </c>
      <c r="H15111" t="s">
        <v>45</v>
      </c>
      <c r="I15111" t="s">
        <v>2193</v>
      </c>
      <c r="J15111" s="10">
        <v>3</v>
      </c>
      <c r="K15111" t="b">
        <v>1</v>
      </c>
    </row>
    <row r="15112" spans="1:11">
      <c r="A15112" s="12">
        <v>43529</v>
      </c>
      <c r="B15112">
        <v>2019</v>
      </c>
      <c r="C15112">
        <v>3</v>
      </c>
      <c r="D15112" s="11">
        <v>43525</v>
      </c>
      <c r="E15112" t="s">
        <v>2175</v>
      </c>
      <c r="F15112">
        <v>2</v>
      </c>
      <c r="G15112" t="s">
        <v>63</v>
      </c>
      <c r="H15112" t="s">
        <v>46</v>
      </c>
      <c r="I15112" t="s">
        <v>2194</v>
      </c>
      <c r="J15112" s="10">
        <v>6</v>
      </c>
      <c r="K15112" t="b">
        <v>1</v>
      </c>
    </row>
    <row r="15113" spans="1:11">
      <c r="A15113" s="12">
        <v>43529</v>
      </c>
      <c r="B15113">
        <v>2019</v>
      </c>
      <c r="C15113">
        <v>3</v>
      </c>
      <c r="D15113" s="11">
        <v>43525</v>
      </c>
      <c r="E15113" t="s">
        <v>2175</v>
      </c>
      <c r="F15113">
        <v>2</v>
      </c>
      <c r="G15113" t="s">
        <v>63</v>
      </c>
      <c r="H15113" t="s">
        <v>47</v>
      </c>
      <c r="I15113" t="s">
        <v>2195</v>
      </c>
      <c r="J15113" s="10">
        <v>5.3</v>
      </c>
      <c r="K15113" t="b">
        <v>1</v>
      </c>
    </row>
    <row r="15114" spans="1:11">
      <c r="A15114" s="12">
        <v>43530</v>
      </c>
      <c r="B15114">
        <v>2019</v>
      </c>
      <c r="C15114">
        <v>3</v>
      </c>
      <c r="D15114" s="11">
        <v>43525</v>
      </c>
      <c r="E15114" t="s">
        <v>2175</v>
      </c>
      <c r="F15114">
        <v>3</v>
      </c>
      <c r="G15114" t="s">
        <v>65</v>
      </c>
      <c r="H15114" t="s">
        <v>40</v>
      </c>
      <c r="I15114" t="s">
        <v>2188</v>
      </c>
      <c r="J15114" s="10">
        <v>0.34</v>
      </c>
      <c r="K15114" t="b">
        <v>1</v>
      </c>
    </row>
    <row r="15115" spans="1:11">
      <c r="A15115" s="12">
        <v>43530</v>
      </c>
      <c r="B15115">
        <v>2019</v>
      </c>
      <c r="C15115">
        <v>3</v>
      </c>
      <c r="D15115" s="11">
        <v>43525</v>
      </c>
      <c r="E15115" t="s">
        <v>2175</v>
      </c>
      <c r="F15115">
        <v>3</v>
      </c>
      <c r="G15115" t="s">
        <v>65</v>
      </c>
      <c r="H15115" t="s">
        <v>41</v>
      </c>
      <c r="I15115" t="s">
        <v>2189</v>
      </c>
      <c r="J15115" s="10">
        <v>1.396</v>
      </c>
      <c r="K15115" t="b">
        <v>1</v>
      </c>
    </row>
    <row r="15116" spans="1:11">
      <c r="A15116" s="12">
        <v>43530</v>
      </c>
      <c r="B15116">
        <v>2019</v>
      </c>
      <c r="C15116">
        <v>3</v>
      </c>
      <c r="D15116" s="11">
        <v>43525</v>
      </c>
      <c r="E15116" t="s">
        <v>2175</v>
      </c>
      <c r="F15116">
        <v>3</v>
      </c>
      <c r="G15116" t="s">
        <v>65</v>
      </c>
      <c r="H15116" t="s">
        <v>42</v>
      </c>
      <c r="I15116" t="s">
        <v>2190</v>
      </c>
      <c r="J15116" s="10">
        <v>0.7</v>
      </c>
      <c r="K15116" t="b">
        <v>1</v>
      </c>
    </row>
    <row r="15117" spans="1:11">
      <c r="A15117" s="12">
        <v>43530</v>
      </c>
      <c r="B15117">
        <v>2019</v>
      </c>
      <c r="C15117">
        <v>3</v>
      </c>
      <c r="D15117" s="11">
        <v>43525</v>
      </c>
      <c r="E15117" t="s">
        <v>2175</v>
      </c>
      <c r="F15117">
        <v>3</v>
      </c>
      <c r="G15117" t="s">
        <v>65</v>
      </c>
      <c r="H15117" t="s">
        <v>43</v>
      </c>
      <c r="I15117" t="s">
        <v>2191</v>
      </c>
      <c r="J15117" s="10">
        <v>31</v>
      </c>
      <c r="K15117" t="b">
        <v>1</v>
      </c>
    </row>
    <row r="15118" spans="1:11">
      <c r="A15118" s="12">
        <v>43530</v>
      </c>
      <c r="B15118">
        <v>2019</v>
      </c>
      <c r="C15118">
        <v>3</v>
      </c>
      <c r="D15118" s="11">
        <v>43525</v>
      </c>
      <c r="E15118" t="s">
        <v>2175</v>
      </c>
      <c r="F15118">
        <v>3</v>
      </c>
      <c r="G15118" t="s">
        <v>65</v>
      </c>
      <c r="H15118" t="s">
        <v>44</v>
      </c>
      <c r="I15118" t="s">
        <v>2192</v>
      </c>
      <c r="J15118" s="10">
        <v>17</v>
      </c>
      <c r="K15118" t="b">
        <v>1</v>
      </c>
    </row>
    <row r="15119" spans="1:11">
      <c r="A15119" s="12">
        <v>43530</v>
      </c>
      <c r="B15119">
        <v>2019</v>
      </c>
      <c r="C15119">
        <v>3</v>
      </c>
      <c r="D15119" s="11">
        <v>43525</v>
      </c>
      <c r="E15119" t="s">
        <v>2175</v>
      </c>
      <c r="F15119">
        <v>3</v>
      </c>
      <c r="G15119" t="s">
        <v>65</v>
      </c>
      <c r="H15119" t="s">
        <v>45</v>
      </c>
      <c r="I15119" t="s">
        <v>2193</v>
      </c>
      <c r="J15119" s="10">
        <v>1</v>
      </c>
      <c r="K15119" t="b">
        <v>1</v>
      </c>
    </row>
    <row r="15120" spans="1:11">
      <c r="A15120" s="12">
        <v>43530</v>
      </c>
      <c r="B15120">
        <v>2019</v>
      </c>
      <c r="C15120">
        <v>3</v>
      </c>
      <c r="D15120" s="11">
        <v>43525</v>
      </c>
      <c r="E15120" t="s">
        <v>2175</v>
      </c>
      <c r="F15120">
        <v>3</v>
      </c>
      <c r="G15120" t="s">
        <v>65</v>
      </c>
      <c r="H15120" t="s">
        <v>46</v>
      </c>
      <c r="I15120" t="s">
        <v>2194</v>
      </c>
      <c r="J15120" s="10">
        <v>5</v>
      </c>
      <c r="K15120" t="b">
        <v>1</v>
      </c>
    </row>
    <row r="15121" spans="1:11">
      <c r="A15121" s="12">
        <v>43530</v>
      </c>
      <c r="B15121">
        <v>2019</v>
      </c>
      <c r="C15121">
        <v>3</v>
      </c>
      <c r="D15121" s="11">
        <v>43525</v>
      </c>
      <c r="E15121" t="s">
        <v>2175</v>
      </c>
      <c r="F15121">
        <v>3</v>
      </c>
      <c r="G15121" t="s">
        <v>65</v>
      </c>
      <c r="H15121" t="s">
        <v>47</v>
      </c>
      <c r="I15121" t="s">
        <v>2195</v>
      </c>
      <c r="J15121" s="10">
        <v>3</v>
      </c>
      <c r="K15121" t="b">
        <v>1</v>
      </c>
    </row>
    <row r="15122" spans="1:11">
      <c r="A15122" s="12">
        <v>43531</v>
      </c>
      <c r="B15122">
        <v>2019</v>
      </c>
      <c r="C15122">
        <v>3</v>
      </c>
      <c r="D15122" s="11">
        <v>43525</v>
      </c>
      <c r="E15122" t="s">
        <v>2175</v>
      </c>
      <c r="F15122">
        <v>4</v>
      </c>
      <c r="G15122" t="s">
        <v>53</v>
      </c>
      <c r="H15122" t="s">
        <v>40</v>
      </c>
      <c r="I15122" t="s">
        <v>2188</v>
      </c>
      <c r="J15122" s="10">
        <v>7.33</v>
      </c>
      <c r="K15122" t="b">
        <v>1</v>
      </c>
    </row>
    <row r="15123" spans="1:11">
      <c r="A15123" s="12">
        <v>43531</v>
      </c>
      <c r="B15123">
        <v>2019</v>
      </c>
      <c r="C15123">
        <v>3</v>
      </c>
      <c r="D15123" s="11">
        <v>43525</v>
      </c>
      <c r="E15123" t="s">
        <v>2175</v>
      </c>
      <c r="F15123">
        <v>4</v>
      </c>
      <c r="G15123" t="s">
        <v>53</v>
      </c>
      <c r="H15123" t="s">
        <v>41</v>
      </c>
      <c r="I15123" t="s">
        <v>2189</v>
      </c>
      <c r="J15123" s="10">
        <v>2.076</v>
      </c>
      <c r="K15123" t="b">
        <v>1</v>
      </c>
    </row>
    <row r="15124" spans="1:11">
      <c r="A15124" s="12">
        <v>43531</v>
      </c>
      <c r="B15124">
        <v>2019</v>
      </c>
      <c r="C15124">
        <v>3</v>
      </c>
      <c r="D15124" s="11">
        <v>43525</v>
      </c>
      <c r="E15124" t="s">
        <v>2175</v>
      </c>
      <c r="F15124">
        <v>4</v>
      </c>
      <c r="G15124" t="s">
        <v>53</v>
      </c>
      <c r="H15124" t="s">
        <v>42</v>
      </c>
      <c r="I15124" t="s">
        <v>2190</v>
      </c>
      <c r="J15124" s="10">
        <v>4.25</v>
      </c>
      <c r="K15124" t="b">
        <v>1</v>
      </c>
    </row>
    <row r="15125" spans="1:11">
      <c r="A15125" s="12">
        <v>43531</v>
      </c>
      <c r="B15125">
        <v>2019</v>
      </c>
      <c r="C15125">
        <v>3</v>
      </c>
      <c r="D15125" s="11">
        <v>43525</v>
      </c>
      <c r="E15125" t="s">
        <v>2175</v>
      </c>
      <c r="F15125">
        <v>4</v>
      </c>
      <c r="G15125" t="s">
        <v>53</v>
      </c>
      <c r="H15125" t="s">
        <v>43</v>
      </c>
      <c r="I15125" t="s">
        <v>2191</v>
      </c>
      <c r="J15125" s="10">
        <v>10</v>
      </c>
      <c r="K15125" t="b">
        <v>1</v>
      </c>
    </row>
    <row r="15126" spans="1:11">
      <c r="A15126" s="12">
        <v>43531</v>
      </c>
      <c r="B15126">
        <v>2019</v>
      </c>
      <c r="C15126">
        <v>3</v>
      </c>
      <c r="D15126" s="11">
        <v>43525</v>
      </c>
      <c r="E15126" t="s">
        <v>2175</v>
      </c>
      <c r="F15126">
        <v>4</v>
      </c>
      <c r="G15126" t="s">
        <v>53</v>
      </c>
      <c r="H15126" t="s">
        <v>44</v>
      </c>
      <c r="I15126" t="s">
        <v>2192</v>
      </c>
      <c r="J15126" s="10">
        <v>24</v>
      </c>
      <c r="K15126" t="b">
        <v>1</v>
      </c>
    </row>
    <row r="15127" spans="1:11">
      <c r="A15127" s="12">
        <v>43531</v>
      </c>
      <c r="B15127">
        <v>2019</v>
      </c>
      <c r="C15127">
        <v>3</v>
      </c>
      <c r="D15127" s="11">
        <v>43525</v>
      </c>
      <c r="E15127" t="s">
        <v>2175</v>
      </c>
      <c r="F15127">
        <v>4</v>
      </c>
      <c r="G15127" t="s">
        <v>53</v>
      </c>
      <c r="H15127" t="s">
        <v>45</v>
      </c>
      <c r="I15127" t="s">
        <v>2193</v>
      </c>
      <c r="J15127" s="10">
        <v>0</v>
      </c>
      <c r="K15127" t="b">
        <v>1</v>
      </c>
    </row>
    <row r="15128" spans="1:11">
      <c r="A15128" s="12">
        <v>43531</v>
      </c>
      <c r="B15128">
        <v>2019</v>
      </c>
      <c r="C15128">
        <v>3</v>
      </c>
      <c r="D15128" s="11">
        <v>43525</v>
      </c>
      <c r="E15128" t="s">
        <v>2175</v>
      </c>
      <c r="F15128">
        <v>4</v>
      </c>
      <c r="G15128" t="s">
        <v>53</v>
      </c>
      <c r="H15128" t="s">
        <v>46</v>
      </c>
      <c r="I15128" t="s">
        <v>2194</v>
      </c>
      <c r="J15128" s="10">
        <v>0</v>
      </c>
      <c r="K15128" t="b">
        <v>1</v>
      </c>
    </row>
    <row r="15129" spans="1:11">
      <c r="A15129" s="12">
        <v>43531</v>
      </c>
      <c r="B15129">
        <v>2019</v>
      </c>
      <c r="C15129">
        <v>3</v>
      </c>
      <c r="D15129" s="11">
        <v>43525</v>
      </c>
      <c r="E15129" t="s">
        <v>2175</v>
      </c>
      <c r="F15129">
        <v>4</v>
      </c>
      <c r="G15129" t="s">
        <v>53</v>
      </c>
      <c r="H15129" t="s">
        <v>47</v>
      </c>
      <c r="I15129" t="s">
        <v>2195</v>
      </c>
      <c r="J15129" s="10">
        <v>4</v>
      </c>
      <c r="K15129" t="b">
        <v>1</v>
      </c>
    </row>
    <row r="15130" spans="1:11">
      <c r="A15130" s="12">
        <v>43532</v>
      </c>
      <c r="B15130">
        <v>2019</v>
      </c>
      <c r="C15130">
        <v>3</v>
      </c>
      <c r="D15130" s="11">
        <v>43525</v>
      </c>
      <c r="E15130" t="s">
        <v>2175</v>
      </c>
      <c r="F15130">
        <v>5</v>
      </c>
      <c r="G15130" t="s">
        <v>55</v>
      </c>
      <c r="H15130" t="s">
        <v>40</v>
      </c>
      <c r="I15130" t="s">
        <v>2188</v>
      </c>
      <c r="J15130" s="10">
        <v>2.33</v>
      </c>
      <c r="K15130" t="b">
        <v>1</v>
      </c>
    </row>
    <row r="15131" spans="1:11">
      <c r="A15131" s="12">
        <v>43532</v>
      </c>
      <c r="B15131">
        <v>2019</v>
      </c>
      <c r="C15131">
        <v>3</v>
      </c>
      <c r="D15131" s="11">
        <v>43525</v>
      </c>
      <c r="E15131" t="s">
        <v>2175</v>
      </c>
      <c r="F15131">
        <v>5</v>
      </c>
      <c r="G15131" t="s">
        <v>55</v>
      </c>
      <c r="H15131" t="s">
        <v>41</v>
      </c>
      <c r="I15131" t="s">
        <v>2189</v>
      </c>
      <c r="J15131" s="10">
        <v>3.34</v>
      </c>
      <c r="K15131" t="b">
        <v>1</v>
      </c>
    </row>
    <row r="15132" spans="1:11">
      <c r="A15132" s="12">
        <v>43532</v>
      </c>
      <c r="B15132">
        <v>2019</v>
      </c>
      <c r="C15132">
        <v>3</v>
      </c>
      <c r="D15132" s="11">
        <v>43525</v>
      </c>
      <c r="E15132" t="s">
        <v>2175</v>
      </c>
      <c r="F15132">
        <v>5</v>
      </c>
      <c r="G15132" t="s">
        <v>55</v>
      </c>
      <c r="H15132" t="s">
        <v>42</v>
      </c>
      <c r="I15132" t="s">
        <v>2190</v>
      </c>
      <c r="J15132" s="10">
        <v>0.2</v>
      </c>
      <c r="K15132" t="b">
        <v>1</v>
      </c>
    </row>
    <row r="15133" spans="1:11">
      <c r="A15133" s="12">
        <v>43532</v>
      </c>
      <c r="B15133">
        <v>2019</v>
      </c>
      <c r="C15133">
        <v>3</v>
      </c>
      <c r="D15133" s="11">
        <v>43525</v>
      </c>
      <c r="E15133" t="s">
        <v>2175</v>
      </c>
      <c r="F15133">
        <v>5</v>
      </c>
      <c r="G15133" t="s">
        <v>55</v>
      </c>
      <c r="H15133" t="s">
        <v>43</v>
      </c>
      <c r="I15133" t="s">
        <v>2191</v>
      </c>
      <c r="J15133" s="10">
        <v>33.7</v>
      </c>
      <c r="K15133" t="b">
        <v>1</v>
      </c>
    </row>
    <row r="15134" spans="1:11">
      <c r="A15134" s="12">
        <v>43532</v>
      </c>
      <c r="B15134">
        <v>2019</v>
      </c>
      <c r="C15134">
        <v>3</v>
      </c>
      <c r="D15134" s="11">
        <v>43525</v>
      </c>
      <c r="E15134" t="s">
        <v>2175</v>
      </c>
      <c r="F15134">
        <v>5</v>
      </c>
      <c r="G15134" t="s">
        <v>55</v>
      </c>
      <c r="H15134" t="s">
        <v>44</v>
      </c>
      <c r="I15134" t="s">
        <v>2192</v>
      </c>
      <c r="J15134" s="10">
        <v>4</v>
      </c>
      <c r="K15134" t="b">
        <v>1</v>
      </c>
    </row>
    <row r="15135" spans="1:11">
      <c r="A15135" s="12">
        <v>43532</v>
      </c>
      <c r="B15135">
        <v>2019</v>
      </c>
      <c r="C15135">
        <v>3</v>
      </c>
      <c r="D15135" s="11">
        <v>43525</v>
      </c>
      <c r="E15135" t="s">
        <v>2175</v>
      </c>
      <c r="F15135">
        <v>5</v>
      </c>
      <c r="G15135" t="s">
        <v>55</v>
      </c>
      <c r="H15135" t="s">
        <v>45</v>
      </c>
      <c r="I15135" t="s">
        <v>2193</v>
      </c>
      <c r="J15135" s="10">
        <v>1</v>
      </c>
      <c r="K15135" t="b">
        <v>1</v>
      </c>
    </row>
    <row r="15136" spans="1:11">
      <c r="A15136" s="12">
        <v>43532</v>
      </c>
      <c r="B15136">
        <v>2019</v>
      </c>
      <c r="C15136">
        <v>3</v>
      </c>
      <c r="D15136" s="11">
        <v>43525</v>
      </c>
      <c r="E15136" t="s">
        <v>2175</v>
      </c>
      <c r="F15136">
        <v>5</v>
      </c>
      <c r="G15136" t="s">
        <v>55</v>
      </c>
      <c r="H15136" t="s">
        <v>46</v>
      </c>
      <c r="I15136" t="s">
        <v>2194</v>
      </c>
      <c r="J15136" s="10">
        <v>0</v>
      </c>
      <c r="K15136" t="b">
        <v>1</v>
      </c>
    </row>
    <row r="15137" spans="1:11">
      <c r="A15137" s="12">
        <v>43532</v>
      </c>
      <c r="B15137">
        <v>2019</v>
      </c>
      <c r="C15137">
        <v>3</v>
      </c>
      <c r="D15137" s="11">
        <v>43525</v>
      </c>
      <c r="E15137" t="s">
        <v>2175</v>
      </c>
      <c r="F15137">
        <v>5</v>
      </c>
      <c r="G15137" t="s">
        <v>55</v>
      </c>
      <c r="H15137" t="s">
        <v>47</v>
      </c>
      <c r="I15137" t="s">
        <v>2195</v>
      </c>
      <c r="J15137" s="10">
        <v>4.3</v>
      </c>
      <c r="K15137" t="b">
        <v>1</v>
      </c>
    </row>
    <row r="15138" spans="1:11">
      <c r="A15138" s="12">
        <v>43533</v>
      </c>
      <c r="B15138">
        <v>2019</v>
      </c>
      <c r="C15138">
        <v>3</v>
      </c>
      <c r="D15138" s="11">
        <v>43525</v>
      </c>
      <c r="E15138" t="s">
        <v>2175</v>
      </c>
      <c r="F15138">
        <v>6</v>
      </c>
      <c r="G15138" t="s">
        <v>57</v>
      </c>
      <c r="H15138" t="s">
        <v>40</v>
      </c>
      <c r="I15138" t="s">
        <v>2188</v>
      </c>
      <c r="J15138" s="10">
        <v>6.34</v>
      </c>
      <c r="K15138" t="b">
        <v>1</v>
      </c>
    </row>
    <row r="15139" spans="1:11">
      <c r="A15139" s="12">
        <v>43533</v>
      </c>
      <c r="B15139">
        <v>2019</v>
      </c>
      <c r="C15139">
        <v>3</v>
      </c>
      <c r="D15139" s="11">
        <v>43525</v>
      </c>
      <c r="E15139" t="s">
        <v>2175</v>
      </c>
      <c r="F15139">
        <v>6</v>
      </c>
      <c r="G15139" t="s">
        <v>57</v>
      </c>
      <c r="H15139" t="s">
        <v>41</v>
      </c>
      <c r="I15139" t="s">
        <v>2189</v>
      </c>
      <c r="J15139" s="10">
        <v>1.67</v>
      </c>
      <c r="K15139" t="b">
        <v>1</v>
      </c>
    </row>
    <row r="15140" spans="1:11">
      <c r="A15140" s="12">
        <v>43533</v>
      </c>
      <c r="B15140">
        <v>2019</v>
      </c>
      <c r="C15140">
        <v>3</v>
      </c>
      <c r="D15140" s="11">
        <v>43525</v>
      </c>
      <c r="E15140" t="s">
        <v>2175</v>
      </c>
      <c r="F15140">
        <v>6</v>
      </c>
      <c r="G15140" t="s">
        <v>57</v>
      </c>
      <c r="H15140" t="s">
        <v>42</v>
      </c>
      <c r="I15140" t="s">
        <v>2190</v>
      </c>
      <c r="J15140" s="10">
        <v>4</v>
      </c>
      <c r="K15140" t="b">
        <v>1</v>
      </c>
    </row>
    <row r="15141" spans="1:11">
      <c r="A15141" s="12">
        <v>43533</v>
      </c>
      <c r="B15141">
        <v>2019</v>
      </c>
      <c r="C15141">
        <v>3</v>
      </c>
      <c r="D15141" s="11">
        <v>43525</v>
      </c>
      <c r="E15141" t="s">
        <v>2175</v>
      </c>
      <c r="F15141">
        <v>6</v>
      </c>
      <c r="G15141" t="s">
        <v>57</v>
      </c>
      <c r="H15141" t="s">
        <v>43</v>
      </c>
      <c r="I15141" t="s">
        <v>2191</v>
      </c>
      <c r="J15141" s="10">
        <v>45.2</v>
      </c>
      <c r="K15141" t="b">
        <v>1</v>
      </c>
    </row>
    <row r="15142" spans="1:11">
      <c r="A15142" s="12">
        <v>43533</v>
      </c>
      <c r="B15142">
        <v>2019</v>
      </c>
      <c r="C15142">
        <v>3</v>
      </c>
      <c r="D15142" s="11">
        <v>43525</v>
      </c>
      <c r="E15142" t="s">
        <v>2175</v>
      </c>
      <c r="F15142">
        <v>6</v>
      </c>
      <c r="G15142" t="s">
        <v>57</v>
      </c>
      <c r="H15142" t="s">
        <v>44</v>
      </c>
      <c r="I15142" t="s">
        <v>2192</v>
      </c>
      <c r="J15142" s="10">
        <v>11</v>
      </c>
      <c r="K15142" t="b">
        <v>1</v>
      </c>
    </row>
    <row r="15143" spans="1:11">
      <c r="A15143" s="12">
        <v>43533</v>
      </c>
      <c r="B15143">
        <v>2019</v>
      </c>
      <c r="C15143">
        <v>3</v>
      </c>
      <c r="D15143" s="11">
        <v>43525</v>
      </c>
      <c r="E15143" t="s">
        <v>2175</v>
      </c>
      <c r="F15143">
        <v>6</v>
      </c>
      <c r="G15143" t="s">
        <v>57</v>
      </c>
      <c r="H15143" t="s">
        <v>45</v>
      </c>
      <c r="I15143" t="s">
        <v>2193</v>
      </c>
      <c r="J15143" s="10">
        <v>0</v>
      </c>
      <c r="K15143" t="b">
        <v>1</v>
      </c>
    </row>
    <row r="15144" spans="1:11">
      <c r="A15144" s="12">
        <v>43533</v>
      </c>
      <c r="B15144">
        <v>2019</v>
      </c>
      <c r="C15144">
        <v>3</v>
      </c>
      <c r="D15144" s="11">
        <v>43525</v>
      </c>
      <c r="E15144" t="s">
        <v>2175</v>
      </c>
      <c r="F15144">
        <v>6</v>
      </c>
      <c r="G15144" t="s">
        <v>57</v>
      </c>
      <c r="H15144" t="s">
        <v>46</v>
      </c>
      <c r="I15144" t="s">
        <v>2194</v>
      </c>
      <c r="J15144" s="10">
        <v>7</v>
      </c>
      <c r="K15144" t="b">
        <v>1</v>
      </c>
    </row>
    <row r="15145" spans="1:11">
      <c r="A15145" s="12">
        <v>43533</v>
      </c>
      <c r="B15145">
        <v>2019</v>
      </c>
      <c r="C15145">
        <v>3</v>
      </c>
      <c r="D15145" s="11">
        <v>43525</v>
      </c>
      <c r="E15145" t="s">
        <v>2175</v>
      </c>
      <c r="F15145">
        <v>6</v>
      </c>
      <c r="G15145" t="s">
        <v>57</v>
      </c>
      <c r="H15145" t="s">
        <v>47</v>
      </c>
      <c r="I15145" t="s">
        <v>2195</v>
      </c>
      <c r="J15145" s="10">
        <v>5</v>
      </c>
      <c r="K15145" t="b">
        <v>1</v>
      </c>
    </row>
    <row r="15146" spans="1:11">
      <c r="A15146" s="12">
        <v>43534</v>
      </c>
      <c r="B15146">
        <v>2019</v>
      </c>
      <c r="C15146">
        <v>3</v>
      </c>
      <c r="D15146" s="11">
        <v>43525</v>
      </c>
      <c r="E15146" t="s">
        <v>2175</v>
      </c>
      <c r="F15146">
        <v>7</v>
      </c>
      <c r="G15146" t="s">
        <v>59</v>
      </c>
      <c r="H15146" t="s">
        <v>40</v>
      </c>
      <c r="I15146" t="s">
        <v>2188</v>
      </c>
      <c r="J15146" s="10">
        <v>5.83</v>
      </c>
      <c r="K15146" t="b">
        <v>1</v>
      </c>
    </row>
    <row r="15147" spans="1:11">
      <c r="A15147" s="12">
        <v>43534</v>
      </c>
      <c r="B15147">
        <v>2019</v>
      </c>
      <c r="C15147">
        <v>3</v>
      </c>
      <c r="D15147" s="11">
        <v>43525</v>
      </c>
      <c r="E15147" t="s">
        <v>2175</v>
      </c>
      <c r="F15147">
        <v>7</v>
      </c>
      <c r="G15147" t="s">
        <v>59</v>
      </c>
      <c r="H15147" t="s">
        <v>41</v>
      </c>
      <c r="I15147" t="s">
        <v>2189</v>
      </c>
      <c r="J15147" s="10">
        <v>3.087</v>
      </c>
      <c r="K15147" t="b">
        <v>1</v>
      </c>
    </row>
    <row r="15148" spans="1:11">
      <c r="A15148" s="12">
        <v>43534</v>
      </c>
      <c r="B15148">
        <v>2019</v>
      </c>
      <c r="C15148">
        <v>3</v>
      </c>
      <c r="D15148" s="11">
        <v>43525</v>
      </c>
      <c r="E15148" t="s">
        <v>2175</v>
      </c>
      <c r="F15148">
        <v>7</v>
      </c>
      <c r="G15148" t="s">
        <v>59</v>
      </c>
      <c r="H15148" t="s">
        <v>42</v>
      </c>
      <c r="I15148" t="s">
        <v>2190</v>
      </c>
      <c r="J15148" s="10">
        <v>5.35</v>
      </c>
      <c r="K15148" t="b">
        <v>1</v>
      </c>
    </row>
    <row r="15149" spans="1:11">
      <c r="A15149" s="12">
        <v>43534</v>
      </c>
      <c r="B15149">
        <v>2019</v>
      </c>
      <c r="C15149">
        <v>3</v>
      </c>
      <c r="D15149" s="11">
        <v>43525</v>
      </c>
      <c r="E15149" t="s">
        <v>2175</v>
      </c>
      <c r="F15149">
        <v>7</v>
      </c>
      <c r="G15149" t="s">
        <v>59</v>
      </c>
      <c r="H15149" t="s">
        <v>43</v>
      </c>
      <c r="I15149" t="s">
        <v>2191</v>
      </c>
      <c r="J15149" s="10">
        <v>51</v>
      </c>
      <c r="K15149" t="b">
        <v>1</v>
      </c>
    </row>
    <row r="15150" spans="1:11">
      <c r="A15150" s="12">
        <v>43534</v>
      </c>
      <c r="B15150">
        <v>2019</v>
      </c>
      <c r="C15150">
        <v>3</v>
      </c>
      <c r="D15150" s="11">
        <v>43525</v>
      </c>
      <c r="E15150" t="s">
        <v>2175</v>
      </c>
      <c r="F15150">
        <v>7</v>
      </c>
      <c r="G15150" t="s">
        <v>59</v>
      </c>
      <c r="H15150" t="s">
        <v>44</v>
      </c>
      <c r="I15150" t="s">
        <v>2192</v>
      </c>
      <c r="J15150" s="10">
        <v>5</v>
      </c>
      <c r="K15150" t="b">
        <v>1</v>
      </c>
    </row>
    <row r="15151" spans="1:11">
      <c r="A15151" s="12">
        <v>43534</v>
      </c>
      <c r="B15151">
        <v>2019</v>
      </c>
      <c r="C15151">
        <v>3</v>
      </c>
      <c r="D15151" s="11">
        <v>43525</v>
      </c>
      <c r="E15151" t="s">
        <v>2175</v>
      </c>
      <c r="F15151">
        <v>7</v>
      </c>
      <c r="G15151" t="s">
        <v>59</v>
      </c>
      <c r="H15151" t="s">
        <v>45</v>
      </c>
      <c r="I15151" t="s">
        <v>2193</v>
      </c>
      <c r="J15151" s="10">
        <v>0</v>
      </c>
      <c r="K15151" t="b">
        <v>1</v>
      </c>
    </row>
    <row r="15152" spans="1:11">
      <c r="A15152" s="12">
        <v>43534</v>
      </c>
      <c r="B15152">
        <v>2019</v>
      </c>
      <c r="C15152">
        <v>3</v>
      </c>
      <c r="D15152" s="11">
        <v>43525</v>
      </c>
      <c r="E15152" t="s">
        <v>2175</v>
      </c>
      <c r="F15152">
        <v>7</v>
      </c>
      <c r="G15152" t="s">
        <v>59</v>
      </c>
      <c r="H15152" t="s">
        <v>46</v>
      </c>
      <c r="I15152" t="s">
        <v>2194</v>
      </c>
      <c r="J15152" s="10">
        <v>3</v>
      </c>
      <c r="K15152" t="b">
        <v>1</v>
      </c>
    </row>
    <row r="15153" spans="1:11">
      <c r="A15153" s="12">
        <v>43534</v>
      </c>
      <c r="B15153">
        <v>2019</v>
      </c>
      <c r="C15153">
        <v>3</v>
      </c>
      <c r="D15153" s="11">
        <v>43525</v>
      </c>
      <c r="E15153" t="s">
        <v>2175</v>
      </c>
      <c r="F15153">
        <v>7</v>
      </c>
      <c r="G15153" t="s">
        <v>59</v>
      </c>
      <c r="H15153" t="s">
        <v>47</v>
      </c>
      <c r="I15153" t="s">
        <v>2195</v>
      </c>
      <c r="J15153" s="10">
        <v>9</v>
      </c>
      <c r="K15153" t="b">
        <v>1</v>
      </c>
    </row>
    <row r="15154" spans="1:11">
      <c r="A15154" s="12">
        <v>43535</v>
      </c>
      <c r="B15154">
        <v>2019</v>
      </c>
      <c r="C15154">
        <v>3</v>
      </c>
      <c r="D15154" s="11">
        <v>43525</v>
      </c>
      <c r="E15154" t="s">
        <v>2175</v>
      </c>
      <c r="F15154">
        <v>1</v>
      </c>
      <c r="G15154" t="s">
        <v>61</v>
      </c>
      <c r="H15154" t="s">
        <v>40</v>
      </c>
      <c r="I15154" t="s">
        <v>2188</v>
      </c>
      <c r="J15154" s="10">
        <v>14.66</v>
      </c>
      <c r="K15154" t="b">
        <v>1</v>
      </c>
    </row>
    <row r="15155" spans="1:11">
      <c r="A15155" s="12">
        <v>43535</v>
      </c>
      <c r="B15155">
        <v>2019</v>
      </c>
      <c r="C15155">
        <v>3</v>
      </c>
      <c r="D15155" s="11">
        <v>43525</v>
      </c>
      <c r="E15155" t="s">
        <v>2175</v>
      </c>
      <c r="F15155">
        <v>1</v>
      </c>
      <c r="G15155" t="s">
        <v>61</v>
      </c>
      <c r="H15155" t="s">
        <v>41</v>
      </c>
      <c r="I15155" t="s">
        <v>2189</v>
      </c>
      <c r="J15155" s="10">
        <v>3.67</v>
      </c>
      <c r="K15155" t="b">
        <v>1</v>
      </c>
    </row>
    <row r="15156" spans="1:11">
      <c r="A15156" s="12">
        <v>43535</v>
      </c>
      <c r="B15156">
        <v>2019</v>
      </c>
      <c r="C15156">
        <v>3</v>
      </c>
      <c r="D15156" s="11">
        <v>43525</v>
      </c>
      <c r="E15156" t="s">
        <v>2175</v>
      </c>
      <c r="F15156">
        <v>1</v>
      </c>
      <c r="G15156" t="s">
        <v>61</v>
      </c>
      <c r="H15156" t="s">
        <v>42</v>
      </c>
      <c r="I15156" t="s">
        <v>2190</v>
      </c>
      <c r="J15156" s="10">
        <v>2.5</v>
      </c>
      <c r="K15156" t="b">
        <v>1</v>
      </c>
    </row>
    <row r="15157" spans="1:11">
      <c r="A15157" s="12">
        <v>43535</v>
      </c>
      <c r="B15157">
        <v>2019</v>
      </c>
      <c r="C15157">
        <v>3</v>
      </c>
      <c r="D15157" s="11">
        <v>43525</v>
      </c>
      <c r="E15157" t="s">
        <v>2175</v>
      </c>
      <c r="F15157">
        <v>1</v>
      </c>
      <c r="G15157" t="s">
        <v>61</v>
      </c>
      <c r="H15157" t="s">
        <v>43</v>
      </c>
      <c r="I15157" t="s">
        <v>2191</v>
      </c>
      <c r="J15157" s="10">
        <v>26.4</v>
      </c>
      <c r="K15157" t="b">
        <v>1</v>
      </c>
    </row>
    <row r="15158" spans="1:11">
      <c r="A15158" s="12">
        <v>43535</v>
      </c>
      <c r="B15158">
        <v>2019</v>
      </c>
      <c r="C15158">
        <v>3</v>
      </c>
      <c r="D15158" s="11">
        <v>43525</v>
      </c>
      <c r="E15158" t="s">
        <v>2175</v>
      </c>
      <c r="F15158">
        <v>1</v>
      </c>
      <c r="G15158" t="s">
        <v>61</v>
      </c>
      <c r="H15158" t="s">
        <v>44</v>
      </c>
      <c r="I15158" t="s">
        <v>2192</v>
      </c>
      <c r="J15158" s="10">
        <v>10</v>
      </c>
      <c r="K15158" t="b">
        <v>1</v>
      </c>
    </row>
    <row r="15159" spans="1:11">
      <c r="A15159" s="12">
        <v>43535</v>
      </c>
      <c r="B15159">
        <v>2019</v>
      </c>
      <c r="C15159">
        <v>3</v>
      </c>
      <c r="D15159" s="11">
        <v>43525</v>
      </c>
      <c r="E15159" t="s">
        <v>2175</v>
      </c>
      <c r="F15159">
        <v>1</v>
      </c>
      <c r="G15159" t="s">
        <v>61</v>
      </c>
      <c r="H15159" t="s">
        <v>45</v>
      </c>
      <c r="I15159" t="s">
        <v>2193</v>
      </c>
      <c r="J15159" s="10">
        <v>3</v>
      </c>
      <c r="K15159" t="b">
        <v>1</v>
      </c>
    </row>
    <row r="15160" spans="1:11">
      <c r="A15160" s="12">
        <v>43535</v>
      </c>
      <c r="B15160">
        <v>2019</v>
      </c>
      <c r="C15160">
        <v>3</v>
      </c>
      <c r="D15160" s="11">
        <v>43525</v>
      </c>
      <c r="E15160" t="s">
        <v>2175</v>
      </c>
      <c r="F15160">
        <v>1</v>
      </c>
      <c r="G15160" t="s">
        <v>61</v>
      </c>
      <c r="H15160" t="s">
        <v>46</v>
      </c>
      <c r="I15160" t="s">
        <v>2194</v>
      </c>
      <c r="J15160" s="10">
        <v>11</v>
      </c>
      <c r="K15160" t="b">
        <v>1</v>
      </c>
    </row>
    <row r="15161" spans="1:11">
      <c r="A15161" s="12">
        <v>43535</v>
      </c>
      <c r="B15161">
        <v>2019</v>
      </c>
      <c r="C15161">
        <v>3</v>
      </c>
      <c r="D15161" s="11">
        <v>43525</v>
      </c>
      <c r="E15161" t="s">
        <v>2175</v>
      </c>
      <c r="F15161">
        <v>1</v>
      </c>
      <c r="G15161" t="s">
        <v>61</v>
      </c>
      <c r="H15161" t="s">
        <v>47</v>
      </c>
      <c r="I15161" t="s">
        <v>2195</v>
      </c>
      <c r="J15161" s="10">
        <v>3</v>
      </c>
      <c r="K15161" t="b">
        <v>1</v>
      </c>
    </row>
    <row r="15162" spans="1:11">
      <c r="A15162" s="12">
        <v>43536</v>
      </c>
      <c r="B15162">
        <v>2019</v>
      </c>
      <c r="C15162">
        <v>3</v>
      </c>
      <c r="D15162" s="11">
        <v>43525</v>
      </c>
      <c r="E15162" t="s">
        <v>2175</v>
      </c>
      <c r="F15162">
        <v>2</v>
      </c>
      <c r="G15162" t="s">
        <v>63</v>
      </c>
      <c r="H15162" t="s">
        <v>40</v>
      </c>
      <c r="I15162" t="s">
        <v>2188</v>
      </c>
      <c r="J15162" s="10">
        <v>4.33</v>
      </c>
      <c r="K15162" t="b">
        <v>1</v>
      </c>
    </row>
    <row r="15163" spans="1:11">
      <c r="A15163" s="12">
        <v>43536</v>
      </c>
      <c r="B15163">
        <v>2019</v>
      </c>
      <c r="C15163">
        <v>3</v>
      </c>
      <c r="D15163" s="11">
        <v>43525</v>
      </c>
      <c r="E15163" t="s">
        <v>2175</v>
      </c>
      <c r="F15163">
        <v>2</v>
      </c>
      <c r="G15163" t="s">
        <v>63</v>
      </c>
      <c r="H15163" t="s">
        <v>41</v>
      </c>
      <c r="I15163" t="s">
        <v>2189</v>
      </c>
      <c r="J15163" s="10">
        <v>3.373</v>
      </c>
      <c r="K15163" t="b">
        <v>1</v>
      </c>
    </row>
    <row r="15164" spans="1:11">
      <c r="A15164" s="12">
        <v>43536</v>
      </c>
      <c r="B15164">
        <v>2019</v>
      </c>
      <c r="C15164">
        <v>3</v>
      </c>
      <c r="D15164" s="11">
        <v>43525</v>
      </c>
      <c r="E15164" t="s">
        <v>2175</v>
      </c>
      <c r="F15164">
        <v>2</v>
      </c>
      <c r="G15164" t="s">
        <v>63</v>
      </c>
      <c r="H15164" t="s">
        <v>42</v>
      </c>
      <c r="I15164" t="s">
        <v>2190</v>
      </c>
      <c r="J15164" s="10">
        <v>1.5</v>
      </c>
      <c r="K15164" t="b">
        <v>1</v>
      </c>
    </row>
    <row r="15165" spans="1:11">
      <c r="A15165" s="12">
        <v>43536</v>
      </c>
      <c r="B15165">
        <v>2019</v>
      </c>
      <c r="C15165">
        <v>3</v>
      </c>
      <c r="D15165" s="11">
        <v>43525</v>
      </c>
      <c r="E15165" t="s">
        <v>2175</v>
      </c>
      <c r="F15165">
        <v>2</v>
      </c>
      <c r="G15165" t="s">
        <v>63</v>
      </c>
      <c r="H15165" t="s">
        <v>43</v>
      </c>
      <c r="I15165" t="s">
        <v>2191</v>
      </c>
      <c r="J15165" s="10">
        <v>31.85</v>
      </c>
      <c r="K15165" t="b">
        <v>1</v>
      </c>
    </row>
    <row r="15166" spans="1:11">
      <c r="A15166" s="12">
        <v>43536</v>
      </c>
      <c r="B15166">
        <v>2019</v>
      </c>
      <c r="C15166">
        <v>3</v>
      </c>
      <c r="D15166" s="11">
        <v>43525</v>
      </c>
      <c r="E15166" t="s">
        <v>2175</v>
      </c>
      <c r="F15166">
        <v>2</v>
      </c>
      <c r="G15166" t="s">
        <v>63</v>
      </c>
      <c r="H15166" t="s">
        <v>44</v>
      </c>
      <c r="I15166" t="s">
        <v>2192</v>
      </c>
      <c r="J15166" s="10">
        <v>12</v>
      </c>
      <c r="K15166" t="b">
        <v>1</v>
      </c>
    </row>
    <row r="15167" spans="1:11">
      <c r="A15167" s="12">
        <v>43536</v>
      </c>
      <c r="B15167">
        <v>2019</v>
      </c>
      <c r="C15167">
        <v>3</v>
      </c>
      <c r="D15167" s="11">
        <v>43525</v>
      </c>
      <c r="E15167" t="s">
        <v>2175</v>
      </c>
      <c r="F15167">
        <v>2</v>
      </c>
      <c r="G15167" t="s">
        <v>63</v>
      </c>
      <c r="H15167" t="s">
        <v>45</v>
      </c>
      <c r="I15167" t="s">
        <v>2193</v>
      </c>
      <c r="J15167" s="10">
        <v>0</v>
      </c>
      <c r="K15167" t="b">
        <v>1</v>
      </c>
    </row>
    <row r="15168" spans="1:11">
      <c r="A15168" s="12">
        <v>43536</v>
      </c>
      <c r="B15168">
        <v>2019</v>
      </c>
      <c r="C15168">
        <v>3</v>
      </c>
      <c r="D15168" s="11">
        <v>43525</v>
      </c>
      <c r="E15168" t="s">
        <v>2175</v>
      </c>
      <c r="F15168">
        <v>2</v>
      </c>
      <c r="G15168" t="s">
        <v>63</v>
      </c>
      <c r="H15168" t="s">
        <v>46</v>
      </c>
      <c r="I15168" t="s">
        <v>2194</v>
      </c>
      <c r="J15168" s="10">
        <v>7</v>
      </c>
      <c r="K15168" t="b">
        <v>1</v>
      </c>
    </row>
    <row r="15169" spans="1:11">
      <c r="A15169" s="12">
        <v>43536</v>
      </c>
      <c r="B15169">
        <v>2019</v>
      </c>
      <c r="C15169">
        <v>3</v>
      </c>
      <c r="D15169" s="11">
        <v>43525</v>
      </c>
      <c r="E15169" t="s">
        <v>2175</v>
      </c>
      <c r="F15169">
        <v>2</v>
      </c>
      <c r="G15169" t="s">
        <v>63</v>
      </c>
      <c r="H15169" t="s">
        <v>47</v>
      </c>
      <c r="I15169" t="s">
        <v>2195</v>
      </c>
      <c r="J15169" s="10">
        <v>2</v>
      </c>
      <c r="K15169" t="b">
        <v>1</v>
      </c>
    </row>
    <row r="15170" spans="1:11">
      <c r="A15170" s="12">
        <v>43537</v>
      </c>
      <c r="B15170">
        <v>2019</v>
      </c>
      <c r="C15170">
        <v>3</v>
      </c>
      <c r="D15170" s="11">
        <v>43525</v>
      </c>
      <c r="E15170" t="s">
        <v>2175</v>
      </c>
      <c r="F15170">
        <v>3</v>
      </c>
      <c r="G15170" t="s">
        <v>65</v>
      </c>
      <c r="H15170" t="s">
        <v>40</v>
      </c>
      <c r="I15170" t="s">
        <v>2188</v>
      </c>
      <c r="J15170" s="10">
        <v>2.67</v>
      </c>
      <c r="K15170" t="b">
        <v>1</v>
      </c>
    </row>
    <row r="15171" spans="1:11">
      <c r="A15171" s="12">
        <v>43537</v>
      </c>
      <c r="B15171">
        <v>2019</v>
      </c>
      <c r="C15171">
        <v>3</v>
      </c>
      <c r="D15171" s="11">
        <v>43525</v>
      </c>
      <c r="E15171" t="s">
        <v>2175</v>
      </c>
      <c r="F15171">
        <v>3</v>
      </c>
      <c r="G15171" t="s">
        <v>65</v>
      </c>
      <c r="H15171" t="s">
        <v>41</v>
      </c>
      <c r="I15171" t="s">
        <v>2189</v>
      </c>
      <c r="J15171" s="10">
        <v>4.34</v>
      </c>
      <c r="K15171" t="b">
        <v>1</v>
      </c>
    </row>
    <row r="15172" spans="1:11">
      <c r="A15172" s="12">
        <v>43537</v>
      </c>
      <c r="B15172">
        <v>2019</v>
      </c>
      <c r="C15172">
        <v>3</v>
      </c>
      <c r="D15172" s="11">
        <v>43525</v>
      </c>
      <c r="E15172" t="s">
        <v>2175</v>
      </c>
      <c r="F15172">
        <v>3</v>
      </c>
      <c r="G15172" t="s">
        <v>65</v>
      </c>
      <c r="H15172" t="s">
        <v>42</v>
      </c>
      <c r="I15172" t="s">
        <v>2190</v>
      </c>
      <c r="J15172" s="10">
        <v>6</v>
      </c>
      <c r="K15172" t="b">
        <v>1</v>
      </c>
    </row>
    <row r="15173" spans="1:11">
      <c r="A15173" s="12">
        <v>43537</v>
      </c>
      <c r="B15173">
        <v>2019</v>
      </c>
      <c r="C15173">
        <v>3</v>
      </c>
      <c r="D15173" s="11">
        <v>43525</v>
      </c>
      <c r="E15173" t="s">
        <v>2175</v>
      </c>
      <c r="F15173">
        <v>3</v>
      </c>
      <c r="G15173" t="s">
        <v>65</v>
      </c>
      <c r="H15173" t="s">
        <v>43</v>
      </c>
      <c r="I15173" t="s">
        <v>2191</v>
      </c>
      <c r="J15173" s="10">
        <v>22</v>
      </c>
      <c r="K15173" t="b">
        <v>1</v>
      </c>
    </row>
    <row r="15174" spans="1:11">
      <c r="A15174" s="12">
        <v>43537</v>
      </c>
      <c r="B15174">
        <v>2019</v>
      </c>
      <c r="C15174">
        <v>3</v>
      </c>
      <c r="D15174" s="11">
        <v>43525</v>
      </c>
      <c r="E15174" t="s">
        <v>2175</v>
      </c>
      <c r="F15174">
        <v>3</v>
      </c>
      <c r="G15174" t="s">
        <v>65</v>
      </c>
      <c r="H15174" t="s">
        <v>44</v>
      </c>
      <c r="I15174" t="s">
        <v>2192</v>
      </c>
      <c r="J15174" s="10">
        <v>10</v>
      </c>
      <c r="K15174" t="b">
        <v>1</v>
      </c>
    </row>
    <row r="15175" spans="1:11">
      <c r="A15175" s="12">
        <v>43537</v>
      </c>
      <c r="B15175">
        <v>2019</v>
      </c>
      <c r="C15175">
        <v>3</v>
      </c>
      <c r="D15175" s="11">
        <v>43525</v>
      </c>
      <c r="E15175" t="s">
        <v>2175</v>
      </c>
      <c r="F15175">
        <v>3</v>
      </c>
      <c r="G15175" t="s">
        <v>65</v>
      </c>
      <c r="H15175" t="s">
        <v>45</v>
      </c>
      <c r="I15175" t="s">
        <v>2193</v>
      </c>
      <c r="J15175" s="10">
        <v>0</v>
      </c>
      <c r="K15175" t="b">
        <v>1</v>
      </c>
    </row>
    <row r="15176" spans="1:11">
      <c r="A15176" s="12">
        <v>43537</v>
      </c>
      <c r="B15176">
        <v>2019</v>
      </c>
      <c r="C15176">
        <v>3</v>
      </c>
      <c r="D15176" s="11">
        <v>43525</v>
      </c>
      <c r="E15176" t="s">
        <v>2175</v>
      </c>
      <c r="F15176">
        <v>3</v>
      </c>
      <c r="G15176" t="s">
        <v>65</v>
      </c>
      <c r="H15176" t="s">
        <v>46</v>
      </c>
      <c r="I15176" t="s">
        <v>2194</v>
      </c>
      <c r="J15176" s="10">
        <v>8</v>
      </c>
      <c r="K15176" t="b">
        <v>1</v>
      </c>
    </row>
    <row r="15177" spans="1:11">
      <c r="A15177" s="12">
        <v>43537</v>
      </c>
      <c r="B15177">
        <v>2019</v>
      </c>
      <c r="C15177">
        <v>3</v>
      </c>
      <c r="D15177" s="11">
        <v>43525</v>
      </c>
      <c r="E15177" t="s">
        <v>2175</v>
      </c>
      <c r="F15177">
        <v>3</v>
      </c>
      <c r="G15177" t="s">
        <v>65</v>
      </c>
      <c r="H15177" t="s">
        <v>47</v>
      </c>
      <c r="I15177" t="s">
        <v>2195</v>
      </c>
      <c r="J15177" s="10">
        <v>4</v>
      </c>
      <c r="K15177" t="b">
        <v>1</v>
      </c>
    </row>
    <row r="15178" spans="1:11">
      <c r="A15178" s="12">
        <v>43538</v>
      </c>
      <c r="B15178">
        <v>2019</v>
      </c>
      <c r="C15178">
        <v>3</v>
      </c>
      <c r="D15178" s="11">
        <v>43525</v>
      </c>
      <c r="E15178" t="s">
        <v>2175</v>
      </c>
      <c r="F15178">
        <v>4</v>
      </c>
      <c r="G15178" t="s">
        <v>53</v>
      </c>
      <c r="H15178" t="s">
        <v>40</v>
      </c>
      <c r="I15178" t="s">
        <v>2188</v>
      </c>
      <c r="J15178" s="10">
        <v>4</v>
      </c>
      <c r="K15178" t="b">
        <v>1</v>
      </c>
    </row>
    <row r="15179" spans="1:11">
      <c r="A15179" s="12">
        <v>43538</v>
      </c>
      <c r="B15179">
        <v>2019</v>
      </c>
      <c r="C15179">
        <v>3</v>
      </c>
      <c r="D15179" s="11">
        <v>43525</v>
      </c>
      <c r="E15179" t="s">
        <v>2175</v>
      </c>
      <c r="F15179">
        <v>4</v>
      </c>
      <c r="G15179" t="s">
        <v>53</v>
      </c>
      <c r="H15179" t="s">
        <v>41</v>
      </c>
      <c r="I15179" t="s">
        <v>2189</v>
      </c>
      <c r="J15179" s="10">
        <v>5.67</v>
      </c>
      <c r="K15179" t="b">
        <v>1</v>
      </c>
    </row>
    <row r="15180" spans="1:11">
      <c r="A15180" s="12">
        <v>43538</v>
      </c>
      <c r="B15180">
        <v>2019</v>
      </c>
      <c r="C15180">
        <v>3</v>
      </c>
      <c r="D15180" s="11">
        <v>43525</v>
      </c>
      <c r="E15180" t="s">
        <v>2175</v>
      </c>
      <c r="F15180">
        <v>4</v>
      </c>
      <c r="G15180" t="s">
        <v>53</v>
      </c>
      <c r="H15180" t="s">
        <v>42</v>
      </c>
      <c r="I15180" t="s">
        <v>2190</v>
      </c>
      <c r="J15180" s="10">
        <v>0.2</v>
      </c>
      <c r="K15180" t="b">
        <v>1</v>
      </c>
    </row>
    <row r="15181" spans="1:11">
      <c r="A15181" s="12">
        <v>43538</v>
      </c>
      <c r="B15181">
        <v>2019</v>
      </c>
      <c r="C15181">
        <v>3</v>
      </c>
      <c r="D15181" s="11">
        <v>43525</v>
      </c>
      <c r="E15181" t="s">
        <v>2175</v>
      </c>
      <c r="F15181">
        <v>4</v>
      </c>
      <c r="G15181" t="s">
        <v>53</v>
      </c>
      <c r="H15181" t="s">
        <v>43</v>
      </c>
      <c r="I15181" t="s">
        <v>2191</v>
      </c>
      <c r="J15181" s="10">
        <v>47.2</v>
      </c>
      <c r="K15181" t="b">
        <v>1</v>
      </c>
    </row>
    <row r="15182" spans="1:11">
      <c r="A15182" s="12">
        <v>43538</v>
      </c>
      <c r="B15182">
        <v>2019</v>
      </c>
      <c r="C15182">
        <v>3</v>
      </c>
      <c r="D15182" s="11">
        <v>43525</v>
      </c>
      <c r="E15182" t="s">
        <v>2175</v>
      </c>
      <c r="F15182">
        <v>4</v>
      </c>
      <c r="G15182" t="s">
        <v>53</v>
      </c>
      <c r="H15182" t="s">
        <v>44</v>
      </c>
      <c r="I15182" t="s">
        <v>2192</v>
      </c>
      <c r="J15182" s="10">
        <v>12</v>
      </c>
      <c r="K15182" t="b">
        <v>1</v>
      </c>
    </row>
    <row r="15183" spans="1:11">
      <c r="A15183" s="12">
        <v>43538</v>
      </c>
      <c r="B15183">
        <v>2019</v>
      </c>
      <c r="C15183">
        <v>3</v>
      </c>
      <c r="D15183" s="11">
        <v>43525</v>
      </c>
      <c r="E15183" t="s">
        <v>2175</v>
      </c>
      <c r="F15183">
        <v>4</v>
      </c>
      <c r="G15183" t="s">
        <v>53</v>
      </c>
      <c r="H15183" t="s">
        <v>45</v>
      </c>
      <c r="I15183" t="s">
        <v>2193</v>
      </c>
      <c r="J15183" s="10">
        <v>1</v>
      </c>
      <c r="K15183" t="b">
        <v>1</v>
      </c>
    </row>
    <row r="15184" spans="1:11">
      <c r="A15184" s="12">
        <v>43538</v>
      </c>
      <c r="B15184">
        <v>2019</v>
      </c>
      <c r="C15184">
        <v>3</v>
      </c>
      <c r="D15184" s="11">
        <v>43525</v>
      </c>
      <c r="E15184" t="s">
        <v>2175</v>
      </c>
      <c r="F15184">
        <v>4</v>
      </c>
      <c r="G15184" t="s">
        <v>53</v>
      </c>
      <c r="H15184" t="s">
        <v>46</v>
      </c>
      <c r="I15184" t="s">
        <v>2194</v>
      </c>
      <c r="J15184" s="10">
        <v>27</v>
      </c>
      <c r="K15184" t="b">
        <v>1</v>
      </c>
    </row>
    <row r="15185" spans="1:11">
      <c r="A15185" s="12">
        <v>43538</v>
      </c>
      <c r="B15185">
        <v>2019</v>
      </c>
      <c r="C15185">
        <v>3</v>
      </c>
      <c r="D15185" s="11">
        <v>43525</v>
      </c>
      <c r="E15185" t="s">
        <v>2175</v>
      </c>
      <c r="F15185">
        <v>4</v>
      </c>
      <c r="G15185" t="s">
        <v>53</v>
      </c>
      <c r="H15185" t="s">
        <v>47</v>
      </c>
      <c r="I15185" t="s">
        <v>2195</v>
      </c>
      <c r="J15185" s="10">
        <v>6</v>
      </c>
      <c r="K15185" t="b">
        <v>1</v>
      </c>
    </row>
    <row r="15186" spans="1:11">
      <c r="A15186" s="12">
        <v>43539</v>
      </c>
      <c r="B15186">
        <v>2019</v>
      </c>
      <c r="C15186">
        <v>3</v>
      </c>
      <c r="D15186" s="11">
        <v>43525</v>
      </c>
      <c r="E15186" t="s">
        <v>2175</v>
      </c>
      <c r="F15186">
        <v>5</v>
      </c>
      <c r="G15186" t="s">
        <v>55</v>
      </c>
      <c r="H15186" t="s">
        <v>40</v>
      </c>
      <c r="I15186" t="s">
        <v>2188</v>
      </c>
      <c r="J15186" s="10">
        <v>2.83</v>
      </c>
      <c r="K15186" t="b">
        <v>1</v>
      </c>
    </row>
    <row r="15187" spans="1:11">
      <c r="A15187" s="12">
        <v>43539</v>
      </c>
      <c r="B15187">
        <v>2019</v>
      </c>
      <c r="C15187">
        <v>3</v>
      </c>
      <c r="D15187" s="11">
        <v>43525</v>
      </c>
      <c r="E15187" t="s">
        <v>2175</v>
      </c>
      <c r="F15187">
        <v>5</v>
      </c>
      <c r="G15187" t="s">
        <v>55</v>
      </c>
      <c r="H15187" t="s">
        <v>41</v>
      </c>
      <c r="I15187" t="s">
        <v>2189</v>
      </c>
      <c r="J15187" s="10">
        <v>1.34</v>
      </c>
      <c r="K15187" t="b">
        <v>1</v>
      </c>
    </row>
    <row r="15188" spans="1:11">
      <c r="A15188" s="12">
        <v>43539</v>
      </c>
      <c r="B15188">
        <v>2019</v>
      </c>
      <c r="C15188">
        <v>3</v>
      </c>
      <c r="D15188" s="11">
        <v>43525</v>
      </c>
      <c r="E15188" t="s">
        <v>2175</v>
      </c>
      <c r="F15188">
        <v>5</v>
      </c>
      <c r="G15188" t="s">
        <v>55</v>
      </c>
      <c r="H15188" t="s">
        <v>42</v>
      </c>
      <c r="I15188" t="s">
        <v>2190</v>
      </c>
      <c r="J15188" s="10">
        <v>3</v>
      </c>
      <c r="K15188" t="b">
        <v>1</v>
      </c>
    </row>
    <row r="15189" spans="1:11">
      <c r="A15189" s="12">
        <v>43539</v>
      </c>
      <c r="B15189">
        <v>2019</v>
      </c>
      <c r="C15189">
        <v>3</v>
      </c>
      <c r="D15189" s="11">
        <v>43525</v>
      </c>
      <c r="E15189" t="s">
        <v>2175</v>
      </c>
      <c r="F15189">
        <v>5</v>
      </c>
      <c r="G15189" t="s">
        <v>55</v>
      </c>
      <c r="H15189" t="s">
        <v>43</v>
      </c>
      <c r="I15189" t="s">
        <v>2191</v>
      </c>
      <c r="J15189" s="10">
        <v>40</v>
      </c>
      <c r="K15189" t="b">
        <v>1</v>
      </c>
    </row>
    <row r="15190" spans="1:11">
      <c r="A15190" s="12">
        <v>43539</v>
      </c>
      <c r="B15190">
        <v>2019</v>
      </c>
      <c r="C15190">
        <v>3</v>
      </c>
      <c r="D15190" s="11">
        <v>43525</v>
      </c>
      <c r="E15190" t="s">
        <v>2175</v>
      </c>
      <c r="F15190">
        <v>5</v>
      </c>
      <c r="G15190" t="s">
        <v>55</v>
      </c>
      <c r="H15190" t="s">
        <v>44</v>
      </c>
      <c r="I15190" t="s">
        <v>2192</v>
      </c>
      <c r="J15190" s="10">
        <v>7</v>
      </c>
      <c r="K15190" t="b">
        <v>1</v>
      </c>
    </row>
    <row r="15191" spans="1:11">
      <c r="A15191" s="12">
        <v>43539</v>
      </c>
      <c r="B15191">
        <v>2019</v>
      </c>
      <c r="C15191">
        <v>3</v>
      </c>
      <c r="D15191" s="11">
        <v>43525</v>
      </c>
      <c r="E15191" t="s">
        <v>2175</v>
      </c>
      <c r="F15191">
        <v>5</v>
      </c>
      <c r="G15191" t="s">
        <v>55</v>
      </c>
      <c r="H15191" t="s">
        <v>45</v>
      </c>
      <c r="I15191" t="s">
        <v>2193</v>
      </c>
      <c r="J15191" s="10">
        <v>1</v>
      </c>
      <c r="K15191" t="b">
        <v>1</v>
      </c>
    </row>
    <row r="15192" spans="1:11">
      <c r="A15192" s="12">
        <v>43539</v>
      </c>
      <c r="B15192">
        <v>2019</v>
      </c>
      <c r="C15192">
        <v>3</v>
      </c>
      <c r="D15192" s="11">
        <v>43525</v>
      </c>
      <c r="E15192" t="s">
        <v>2175</v>
      </c>
      <c r="F15192">
        <v>5</v>
      </c>
      <c r="G15192" t="s">
        <v>55</v>
      </c>
      <c r="H15192" t="s">
        <v>46</v>
      </c>
      <c r="I15192" t="s">
        <v>2194</v>
      </c>
      <c r="J15192" s="10">
        <v>20</v>
      </c>
      <c r="K15192" t="b">
        <v>1</v>
      </c>
    </row>
    <row r="15193" spans="1:11">
      <c r="A15193" s="12">
        <v>43539</v>
      </c>
      <c r="B15193">
        <v>2019</v>
      </c>
      <c r="C15193">
        <v>3</v>
      </c>
      <c r="D15193" s="11">
        <v>43525</v>
      </c>
      <c r="E15193" t="s">
        <v>2175</v>
      </c>
      <c r="F15193">
        <v>5</v>
      </c>
      <c r="G15193" t="s">
        <v>55</v>
      </c>
      <c r="H15193" t="s">
        <v>47</v>
      </c>
      <c r="I15193" t="s">
        <v>2195</v>
      </c>
      <c r="J15193" s="10">
        <v>5</v>
      </c>
      <c r="K15193" t="b">
        <v>1</v>
      </c>
    </row>
    <row r="15194" spans="1:11">
      <c r="A15194" s="12">
        <v>43540</v>
      </c>
      <c r="B15194">
        <v>2019</v>
      </c>
      <c r="C15194">
        <v>3</v>
      </c>
      <c r="D15194" s="11">
        <v>43525</v>
      </c>
      <c r="E15194" t="s">
        <v>2175</v>
      </c>
      <c r="F15194">
        <v>6</v>
      </c>
      <c r="G15194" t="s">
        <v>57</v>
      </c>
      <c r="H15194" t="s">
        <v>40</v>
      </c>
      <c r="I15194" t="s">
        <v>2188</v>
      </c>
      <c r="J15194" s="10">
        <v>8.34</v>
      </c>
      <c r="K15194" t="b">
        <v>1</v>
      </c>
    </row>
    <row r="15195" spans="1:11">
      <c r="A15195" s="12">
        <v>43540</v>
      </c>
      <c r="B15195">
        <v>2019</v>
      </c>
      <c r="C15195">
        <v>3</v>
      </c>
      <c r="D15195" s="11">
        <v>43525</v>
      </c>
      <c r="E15195" t="s">
        <v>2175</v>
      </c>
      <c r="F15195">
        <v>6</v>
      </c>
      <c r="G15195" t="s">
        <v>57</v>
      </c>
      <c r="H15195" t="s">
        <v>41</v>
      </c>
      <c r="I15195" t="s">
        <v>2189</v>
      </c>
      <c r="J15195" s="10">
        <v>0.837</v>
      </c>
      <c r="K15195" t="b">
        <v>1</v>
      </c>
    </row>
    <row r="15196" spans="1:11">
      <c r="A15196" s="12">
        <v>43540</v>
      </c>
      <c r="B15196">
        <v>2019</v>
      </c>
      <c r="C15196">
        <v>3</v>
      </c>
      <c r="D15196" s="11">
        <v>43525</v>
      </c>
      <c r="E15196" t="s">
        <v>2175</v>
      </c>
      <c r="F15196">
        <v>6</v>
      </c>
      <c r="G15196" t="s">
        <v>57</v>
      </c>
      <c r="H15196" t="s">
        <v>42</v>
      </c>
      <c r="I15196" t="s">
        <v>2190</v>
      </c>
      <c r="J15196" s="10">
        <v>5</v>
      </c>
      <c r="K15196" t="b">
        <v>1</v>
      </c>
    </row>
    <row r="15197" spans="1:11">
      <c r="A15197" s="12">
        <v>43540</v>
      </c>
      <c r="B15197">
        <v>2019</v>
      </c>
      <c r="C15197">
        <v>3</v>
      </c>
      <c r="D15197" s="11">
        <v>43525</v>
      </c>
      <c r="E15197" t="s">
        <v>2175</v>
      </c>
      <c r="F15197">
        <v>6</v>
      </c>
      <c r="G15197" t="s">
        <v>57</v>
      </c>
      <c r="H15197" t="s">
        <v>43</v>
      </c>
      <c r="I15197" t="s">
        <v>2191</v>
      </c>
      <c r="J15197" s="10">
        <v>29</v>
      </c>
      <c r="K15197" t="b">
        <v>1</v>
      </c>
    </row>
    <row r="15198" spans="1:11">
      <c r="A15198" s="12">
        <v>43540</v>
      </c>
      <c r="B15198">
        <v>2019</v>
      </c>
      <c r="C15198">
        <v>3</v>
      </c>
      <c r="D15198" s="11">
        <v>43525</v>
      </c>
      <c r="E15198" t="s">
        <v>2175</v>
      </c>
      <c r="F15198">
        <v>6</v>
      </c>
      <c r="G15198" t="s">
        <v>57</v>
      </c>
      <c r="H15198" t="s">
        <v>44</v>
      </c>
      <c r="I15198" t="s">
        <v>2192</v>
      </c>
      <c r="J15198" s="10">
        <v>9</v>
      </c>
      <c r="K15198" t="b">
        <v>1</v>
      </c>
    </row>
    <row r="15199" spans="1:11">
      <c r="A15199" s="12">
        <v>43540</v>
      </c>
      <c r="B15199">
        <v>2019</v>
      </c>
      <c r="C15199">
        <v>3</v>
      </c>
      <c r="D15199" s="11">
        <v>43525</v>
      </c>
      <c r="E15199" t="s">
        <v>2175</v>
      </c>
      <c r="F15199">
        <v>6</v>
      </c>
      <c r="G15199" t="s">
        <v>57</v>
      </c>
      <c r="H15199" t="s">
        <v>45</v>
      </c>
      <c r="I15199" t="s">
        <v>2193</v>
      </c>
      <c r="J15199" s="10">
        <v>0</v>
      </c>
      <c r="K15199" t="b">
        <v>1</v>
      </c>
    </row>
    <row r="15200" spans="1:11">
      <c r="A15200" s="12">
        <v>43540</v>
      </c>
      <c r="B15200">
        <v>2019</v>
      </c>
      <c r="C15200">
        <v>3</v>
      </c>
      <c r="D15200" s="11">
        <v>43525</v>
      </c>
      <c r="E15200" t="s">
        <v>2175</v>
      </c>
      <c r="F15200">
        <v>6</v>
      </c>
      <c r="G15200" t="s">
        <v>57</v>
      </c>
      <c r="H15200" t="s">
        <v>46</v>
      </c>
      <c r="I15200" t="s">
        <v>2194</v>
      </c>
      <c r="J15200" s="10">
        <v>5</v>
      </c>
      <c r="K15200" t="b">
        <v>1</v>
      </c>
    </row>
    <row r="15201" spans="1:11">
      <c r="A15201" s="12">
        <v>43540</v>
      </c>
      <c r="B15201">
        <v>2019</v>
      </c>
      <c r="C15201">
        <v>3</v>
      </c>
      <c r="D15201" s="11">
        <v>43525</v>
      </c>
      <c r="E15201" t="s">
        <v>2175</v>
      </c>
      <c r="F15201">
        <v>6</v>
      </c>
      <c r="G15201" t="s">
        <v>57</v>
      </c>
      <c r="H15201" t="s">
        <v>47</v>
      </c>
      <c r="I15201" t="s">
        <v>2195</v>
      </c>
      <c r="J15201" s="10">
        <v>7</v>
      </c>
      <c r="K15201" t="b">
        <v>1</v>
      </c>
    </row>
    <row r="15202" spans="1:11">
      <c r="A15202" s="12">
        <v>43541</v>
      </c>
      <c r="B15202">
        <v>2019</v>
      </c>
      <c r="C15202">
        <v>3</v>
      </c>
      <c r="D15202" s="11">
        <v>43525</v>
      </c>
      <c r="E15202" t="s">
        <v>2175</v>
      </c>
      <c r="F15202">
        <v>7</v>
      </c>
      <c r="G15202" t="s">
        <v>59</v>
      </c>
      <c r="H15202" t="s">
        <v>40</v>
      </c>
      <c r="I15202" t="s">
        <v>2188</v>
      </c>
      <c r="J15202" s="10">
        <v>6.68</v>
      </c>
      <c r="K15202" t="b">
        <v>1</v>
      </c>
    </row>
    <row r="15203" spans="1:11">
      <c r="A15203" s="12">
        <v>43541</v>
      </c>
      <c r="B15203">
        <v>2019</v>
      </c>
      <c r="C15203">
        <v>3</v>
      </c>
      <c r="D15203" s="11">
        <v>43525</v>
      </c>
      <c r="E15203" t="s">
        <v>2175</v>
      </c>
      <c r="F15203">
        <v>7</v>
      </c>
      <c r="G15203" t="s">
        <v>59</v>
      </c>
      <c r="H15203" t="s">
        <v>41</v>
      </c>
      <c r="I15203" t="s">
        <v>2189</v>
      </c>
      <c r="J15203" s="10">
        <v>3.723</v>
      </c>
      <c r="K15203" t="b">
        <v>1</v>
      </c>
    </row>
    <row r="15204" spans="1:11">
      <c r="A15204" s="12">
        <v>43541</v>
      </c>
      <c r="B15204">
        <v>2019</v>
      </c>
      <c r="C15204">
        <v>3</v>
      </c>
      <c r="D15204" s="11">
        <v>43525</v>
      </c>
      <c r="E15204" t="s">
        <v>2175</v>
      </c>
      <c r="F15204">
        <v>7</v>
      </c>
      <c r="G15204" t="s">
        <v>59</v>
      </c>
      <c r="H15204" t="s">
        <v>42</v>
      </c>
      <c r="I15204" t="s">
        <v>2190</v>
      </c>
      <c r="J15204" s="10">
        <v>2</v>
      </c>
      <c r="K15204" t="b">
        <v>1</v>
      </c>
    </row>
    <row r="15205" spans="1:11">
      <c r="A15205" s="12">
        <v>43541</v>
      </c>
      <c r="B15205">
        <v>2019</v>
      </c>
      <c r="C15205">
        <v>3</v>
      </c>
      <c r="D15205" s="11">
        <v>43525</v>
      </c>
      <c r="E15205" t="s">
        <v>2175</v>
      </c>
      <c r="F15205">
        <v>7</v>
      </c>
      <c r="G15205" t="s">
        <v>59</v>
      </c>
      <c r="H15205" t="s">
        <v>43</v>
      </c>
      <c r="I15205" t="s">
        <v>2191</v>
      </c>
      <c r="J15205" s="10">
        <v>55</v>
      </c>
      <c r="K15205" t="b">
        <v>1</v>
      </c>
    </row>
    <row r="15206" spans="1:11">
      <c r="A15206" s="12">
        <v>43541</v>
      </c>
      <c r="B15206">
        <v>2019</v>
      </c>
      <c r="C15206">
        <v>3</v>
      </c>
      <c r="D15206" s="11">
        <v>43525</v>
      </c>
      <c r="E15206" t="s">
        <v>2175</v>
      </c>
      <c r="F15206">
        <v>7</v>
      </c>
      <c r="G15206" t="s">
        <v>59</v>
      </c>
      <c r="H15206" t="s">
        <v>44</v>
      </c>
      <c r="I15206" t="s">
        <v>2192</v>
      </c>
      <c r="J15206" s="10">
        <v>6</v>
      </c>
      <c r="K15206" t="b">
        <v>1</v>
      </c>
    </row>
    <row r="15207" spans="1:11">
      <c r="A15207" s="12">
        <v>43541</v>
      </c>
      <c r="B15207">
        <v>2019</v>
      </c>
      <c r="C15207">
        <v>3</v>
      </c>
      <c r="D15207" s="11">
        <v>43525</v>
      </c>
      <c r="E15207" t="s">
        <v>2175</v>
      </c>
      <c r="F15207">
        <v>7</v>
      </c>
      <c r="G15207" t="s">
        <v>59</v>
      </c>
      <c r="H15207" t="s">
        <v>45</v>
      </c>
      <c r="I15207" t="s">
        <v>2193</v>
      </c>
      <c r="J15207" s="10">
        <v>0</v>
      </c>
      <c r="K15207" t="b">
        <v>1</v>
      </c>
    </row>
    <row r="15208" spans="1:11">
      <c r="A15208" s="12">
        <v>43541</v>
      </c>
      <c r="B15208">
        <v>2019</v>
      </c>
      <c r="C15208">
        <v>3</v>
      </c>
      <c r="D15208" s="11">
        <v>43525</v>
      </c>
      <c r="E15208" t="s">
        <v>2175</v>
      </c>
      <c r="F15208">
        <v>7</v>
      </c>
      <c r="G15208" t="s">
        <v>59</v>
      </c>
      <c r="H15208" t="s">
        <v>46</v>
      </c>
      <c r="I15208" t="s">
        <v>2194</v>
      </c>
      <c r="J15208" s="10">
        <v>10</v>
      </c>
      <c r="K15208" t="b">
        <v>1</v>
      </c>
    </row>
    <row r="15209" spans="1:11">
      <c r="A15209" s="12">
        <v>43541</v>
      </c>
      <c r="B15209">
        <v>2019</v>
      </c>
      <c r="C15209">
        <v>3</v>
      </c>
      <c r="D15209" s="11">
        <v>43525</v>
      </c>
      <c r="E15209" t="s">
        <v>2175</v>
      </c>
      <c r="F15209">
        <v>7</v>
      </c>
      <c r="G15209" t="s">
        <v>59</v>
      </c>
      <c r="H15209" t="s">
        <v>47</v>
      </c>
      <c r="I15209" t="s">
        <v>2195</v>
      </c>
      <c r="J15209" s="10">
        <v>5</v>
      </c>
      <c r="K15209" t="b">
        <v>1</v>
      </c>
    </row>
    <row r="15210" spans="1:11">
      <c r="A15210" s="12">
        <v>43542</v>
      </c>
      <c r="B15210">
        <v>2019</v>
      </c>
      <c r="C15210">
        <v>3</v>
      </c>
      <c r="D15210" s="11">
        <v>43525</v>
      </c>
      <c r="E15210" t="s">
        <v>2175</v>
      </c>
      <c r="F15210">
        <v>1</v>
      </c>
      <c r="G15210" t="s">
        <v>61</v>
      </c>
      <c r="H15210" t="s">
        <v>40</v>
      </c>
      <c r="I15210" t="s">
        <v>2188</v>
      </c>
      <c r="J15210" s="10">
        <v>2.33</v>
      </c>
      <c r="K15210" t="b">
        <v>1</v>
      </c>
    </row>
    <row r="15211" spans="1:11">
      <c r="A15211" s="12">
        <v>43542</v>
      </c>
      <c r="B15211">
        <v>2019</v>
      </c>
      <c r="C15211">
        <v>3</v>
      </c>
      <c r="D15211" s="11">
        <v>43525</v>
      </c>
      <c r="E15211" t="s">
        <v>2175</v>
      </c>
      <c r="F15211">
        <v>1</v>
      </c>
      <c r="G15211" t="s">
        <v>61</v>
      </c>
      <c r="H15211" t="s">
        <v>41</v>
      </c>
      <c r="I15211" t="s">
        <v>2189</v>
      </c>
      <c r="J15211" s="10">
        <v>0.835</v>
      </c>
      <c r="K15211" t="b">
        <v>1</v>
      </c>
    </row>
    <row r="15212" spans="1:11">
      <c r="A15212" s="12">
        <v>43542</v>
      </c>
      <c r="B15212">
        <v>2019</v>
      </c>
      <c r="C15212">
        <v>3</v>
      </c>
      <c r="D15212" s="11">
        <v>43525</v>
      </c>
      <c r="E15212" t="s">
        <v>2175</v>
      </c>
      <c r="F15212">
        <v>1</v>
      </c>
      <c r="G15212" t="s">
        <v>61</v>
      </c>
      <c r="H15212" t="s">
        <v>42</v>
      </c>
      <c r="I15212" t="s">
        <v>2190</v>
      </c>
      <c r="J15212" s="10">
        <v>2.1</v>
      </c>
      <c r="K15212" t="b">
        <v>1</v>
      </c>
    </row>
    <row r="15213" spans="1:11">
      <c r="A15213" s="12">
        <v>43542</v>
      </c>
      <c r="B15213">
        <v>2019</v>
      </c>
      <c r="C15213">
        <v>3</v>
      </c>
      <c r="D15213" s="11">
        <v>43525</v>
      </c>
      <c r="E15213" t="s">
        <v>2175</v>
      </c>
      <c r="F15213">
        <v>1</v>
      </c>
      <c r="G15213" t="s">
        <v>61</v>
      </c>
      <c r="H15213" t="s">
        <v>43</v>
      </c>
      <c r="I15213" t="s">
        <v>2191</v>
      </c>
      <c r="J15213" s="10">
        <v>23</v>
      </c>
      <c r="K15213" t="b">
        <v>1</v>
      </c>
    </row>
    <row r="15214" spans="1:11">
      <c r="A15214" s="12">
        <v>43542</v>
      </c>
      <c r="B15214">
        <v>2019</v>
      </c>
      <c r="C15214">
        <v>3</v>
      </c>
      <c r="D15214" s="11">
        <v>43525</v>
      </c>
      <c r="E15214" t="s">
        <v>2175</v>
      </c>
      <c r="F15214">
        <v>1</v>
      </c>
      <c r="G15214" t="s">
        <v>61</v>
      </c>
      <c r="H15214" t="s">
        <v>44</v>
      </c>
      <c r="I15214" t="s">
        <v>2192</v>
      </c>
      <c r="J15214" s="10">
        <v>11</v>
      </c>
      <c r="K15214" t="b">
        <v>1</v>
      </c>
    </row>
    <row r="15215" spans="1:11">
      <c r="A15215" s="12">
        <v>43542</v>
      </c>
      <c r="B15215">
        <v>2019</v>
      </c>
      <c r="C15215">
        <v>3</v>
      </c>
      <c r="D15215" s="11">
        <v>43525</v>
      </c>
      <c r="E15215" t="s">
        <v>2175</v>
      </c>
      <c r="F15215">
        <v>1</v>
      </c>
      <c r="G15215" t="s">
        <v>61</v>
      </c>
      <c r="H15215" t="s">
        <v>45</v>
      </c>
      <c r="I15215" t="s">
        <v>2193</v>
      </c>
      <c r="J15215" s="10">
        <v>0</v>
      </c>
      <c r="K15215" t="b">
        <v>1</v>
      </c>
    </row>
    <row r="15216" spans="1:11">
      <c r="A15216" s="12">
        <v>43542</v>
      </c>
      <c r="B15216">
        <v>2019</v>
      </c>
      <c r="C15216">
        <v>3</v>
      </c>
      <c r="D15216" s="11">
        <v>43525</v>
      </c>
      <c r="E15216" t="s">
        <v>2175</v>
      </c>
      <c r="F15216">
        <v>1</v>
      </c>
      <c r="G15216" t="s">
        <v>61</v>
      </c>
      <c r="H15216" t="s">
        <v>46</v>
      </c>
      <c r="I15216" t="s">
        <v>2194</v>
      </c>
      <c r="J15216" s="10">
        <v>1</v>
      </c>
      <c r="K15216" t="b">
        <v>1</v>
      </c>
    </row>
    <row r="15217" spans="1:11">
      <c r="A15217" s="12">
        <v>43542</v>
      </c>
      <c r="B15217">
        <v>2019</v>
      </c>
      <c r="C15217">
        <v>3</v>
      </c>
      <c r="D15217" s="11">
        <v>43525</v>
      </c>
      <c r="E15217" t="s">
        <v>2175</v>
      </c>
      <c r="F15217">
        <v>1</v>
      </c>
      <c r="G15217" t="s">
        <v>61</v>
      </c>
      <c r="H15217" t="s">
        <v>47</v>
      </c>
      <c r="I15217" t="s">
        <v>2195</v>
      </c>
      <c r="J15217" s="10">
        <v>9</v>
      </c>
      <c r="K15217" t="b">
        <v>1</v>
      </c>
    </row>
    <row r="15218" spans="1:11">
      <c r="A15218" s="12">
        <v>43543</v>
      </c>
      <c r="B15218">
        <v>2019</v>
      </c>
      <c r="C15218">
        <v>3</v>
      </c>
      <c r="D15218" s="11">
        <v>43525</v>
      </c>
      <c r="E15218" t="s">
        <v>2175</v>
      </c>
      <c r="F15218">
        <v>2</v>
      </c>
      <c r="G15218" t="s">
        <v>63</v>
      </c>
      <c r="H15218" t="s">
        <v>40</v>
      </c>
      <c r="I15218" t="s">
        <v>2188</v>
      </c>
      <c r="J15218" s="10">
        <v>9</v>
      </c>
      <c r="K15218" t="b">
        <v>1</v>
      </c>
    </row>
    <row r="15219" spans="1:11">
      <c r="A15219" s="12">
        <v>43543</v>
      </c>
      <c r="B15219">
        <v>2019</v>
      </c>
      <c r="C15219">
        <v>3</v>
      </c>
      <c r="D15219" s="11">
        <v>43525</v>
      </c>
      <c r="E15219" t="s">
        <v>2175</v>
      </c>
      <c r="F15219">
        <v>2</v>
      </c>
      <c r="G15219" t="s">
        <v>63</v>
      </c>
      <c r="H15219" t="s">
        <v>41</v>
      </c>
      <c r="I15219" t="s">
        <v>2189</v>
      </c>
      <c r="J15219" s="10">
        <v>3.33</v>
      </c>
      <c r="K15219" t="b">
        <v>1</v>
      </c>
    </row>
    <row r="15220" spans="1:11">
      <c r="A15220" s="12">
        <v>43543</v>
      </c>
      <c r="B15220">
        <v>2019</v>
      </c>
      <c r="C15220">
        <v>3</v>
      </c>
      <c r="D15220" s="11">
        <v>43525</v>
      </c>
      <c r="E15220" t="s">
        <v>2175</v>
      </c>
      <c r="F15220">
        <v>2</v>
      </c>
      <c r="G15220" t="s">
        <v>63</v>
      </c>
      <c r="H15220" t="s">
        <v>42</v>
      </c>
      <c r="I15220" t="s">
        <v>2190</v>
      </c>
      <c r="J15220" s="10">
        <v>1.5</v>
      </c>
      <c r="K15220" t="b">
        <v>1</v>
      </c>
    </row>
    <row r="15221" spans="1:11">
      <c r="A15221" s="12">
        <v>43543</v>
      </c>
      <c r="B15221">
        <v>2019</v>
      </c>
      <c r="C15221">
        <v>3</v>
      </c>
      <c r="D15221" s="11">
        <v>43525</v>
      </c>
      <c r="E15221" t="s">
        <v>2175</v>
      </c>
      <c r="F15221">
        <v>2</v>
      </c>
      <c r="G15221" t="s">
        <v>63</v>
      </c>
      <c r="H15221" t="s">
        <v>43</v>
      </c>
      <c r="I15221" t="s">
        <v>2191</v>
      </c>
      <c r="J15221" s="10">
        <v>26.2</v>
      </c>
      <c r="K15221" t="b">
        <v>1</v>
      </c>
    </row>
    <row r="15222" spans="1:11">
      <c r="A15222" s="12">
        <v>43543</v>
      </c>
      <c r="B15222">
        <v>2019</v>
      </c>
      <c r="C15222">
        <v>3</v>
      </c>
      <c r="D15222" s="11">
        <v>43525</v>
      </c>
      <c r="E15222" t="s">
        <v>2175</v>
      </c>
      <c r="F15222">
        <v>2</v>
      </c>
      <c r="G15222" t="s">
        <v>63</v>
      </c>
      <c r="H15222" t="s">
        <v>44</v>
      </c>
      <c r="I15222" t="s">
        <v>2192</v>
      </c>
      <c r="J15222" s="10">
        <v>10</v>
      </c>
      <c r="K15222" t="b">
        <v>1</v>
      </c>
    </row>
    <row r="15223" spans="1:11">
      <c r="A15223" s="12">
        <v>43543</v>
      </c>
      <c r="B15223">
        <v>2019</v>
      </c>
      <c r="C15223">
        <v>3</v>
      </c>
      <c r="D15223" s="11">
        <v>43525</v>
      </c>
      <c r="E15223" t="s">
        <v>2175</v>
      </c>
      <c r="F15223">
        <v>2</v>
      </c>
      <c r="G15223" t="s">
        <v>63</v>
      </c>
      <c r="H15223" t="s">
        <v>45</v>
      </c>
      <c r="I15223" t="s">
        <v>2193</v>
      </c>
      <c r="J15223" s="10">
        <v>1</v>
      </c>
      <c r="K15223" t="b">
        <v>1</v>
      </c>
    </row>
    <row r="15224" spans="1:11">
      <c r="A15224" s="12">
        <v>43543</v>
      </c>
      <c r="B15224">
        <v>2019</v>
      </c>
      <c r="C15224">
        <v>3</v>
      </c>
      <c r="D15224" s="11">
        <v>43525</v>
      </c>
      <c r="E15224" t="s">
        <v>2175</v>
      </c>
      <c r="F15224">
        <v>2</v>
      </c>
      <c r="G15224" t="s">
        <v>63</v>
      </c>
      <c r="H15224" t="s">
        <v>46</v>
      </c>
      <c r="I15224" t="s">
        <v>2194</v>
      </c>
      <c r="J15224" s="10">
        <v>2</v>
      </c>
      <c r="K15224" t="b">
        <v>1</v>
      </c>
    </row>
    <row r="15225" spans="1:11">
      <c r="A15225" s="12">
        <v>43543</v>
      </c>
      <c r="B15225">
        <v>2019</v>
      </c>
      <c r="C15225">
        <v>3</v>
      </c>
      <c r="D15225" s="11">
        <v>43525</v>
      </c>
      <c r="E15225" t="s">
        <v>2175</v>
      </c>
      <c r="F15225">
        <v>2</v>
      </c>
      <c r="G15225" t="s">
        <v>63</v>
      </c>
      <c r="H15225" t="s">
        <v>47</v>
      </c>
      <c r="I15225" t="s">
        <v>2195</v>
      </c>
      <c r="J15225" s="10">
        <v>8</v>
      </c>
      <c r="K15225" t="b">
        <v>1</v>
      </c>
    </row>
    <row r="15226" spans="1:11">
      <c r="A15226" s="12">
        <v>43544</v>
      </c>
      <c r="B15226">
        <v>2019</v>
      </c>
      <c r="C15226">
        <v>3</v>
      </c>
      <c r="D15226" s="11">
        <v>43525</v>
      </c>
      <c r="E15226" t="s">
        <v>2175</v>
      </c>
      <c r="F15226">
        <v>3</v>
      </c>
      <c r="G15226" t="s">
        <v>65</v>
      </c>
      <c r="H15226" t="s">
        <v>40</v>
      </c>
      <c r="I15226" t="s">
        <v>2188</v>
      </c>
      <c r="J15226" s="10">
        <v>5.67</v>
      </c>
      <c r="K15226" t="b">
        <v>1</v>
      </c>
    </row>
    <row r="15227" spans="1:11">
      <c r="A15227" s="12">
        <v>43544</v>
      </c>
      <c r="B15227">
        <v>2019</v>
      </c>
      <c r="C15227">
        <v>3</v>
      </c>
      <c r="D15227" s="11">
        <v>43525</v>
      </c>
      <c r="E15227" t="s">
        <v>2175</v>
      </c>
      <c r="F15227">
        <v>3</v>
      </c>
      <c r="G15227" t="s">
        <v>65</v>
      </c>
      <c r="H15227" t="s">
        <v>41</v>
      </c>
      <c r="I15227" t="s">
        <v>2189</v>
      </c>
      <c r="J15227" s="10">
        <v>2</v>
      </c>
      <c r="K15227" t="b">
        <v>1</v>
      </c>
    </row>
    <row r="15228" spans="1:11">
      <c r="A15228" s="12">
        <v>43544</v>
      </c>
      <c r="B15228">
        <v>2019</v>
      </c>
      <c r="C15228">
        <v>3</v>
      </c>
      <c r="D15228" s="11">
        <v>43525</v>
      </c>
      <c r="E15228" t="s">
        <v>2175</v>
      </c>
      <c r="F15228">
        <v>3</v>
      </c>
      <c r="G15228" t="s">
        <v>65</v>
      </c>
      <c r="H15228" t="s">
        <v>42</v>
      </c>
      <c r="I15228" t="s">
        <v>2190</v>
      </c>
      <c r="J15228" s="10">
        <v>2</v>
      </c>
      <c r="K15228" t="b">
        <v>1</v>
      </c>
    </row>
    <row r="15229" spans="1:11">
      <c r="A15229" s="12">
        <v>43544</v>
      </c>
      <c r="B15229">
        <v>2019</v>
      </c>
      <c r="C15229">
        <v>3</v>
      </c>
      <c r="D15229" s="11">
        <v>43525</v>
      </c>
      <c r="E15229" t="s">
        <v>2175</v>
      </c>
      <c r="F15229">
        <v>3</v>
      </c>
      <c r="G15229" t="s">
        <v>65</v>
      </c>
      <c r="H15229" t="s">
        <v>43</v>
      </c>
      <c r="I15229" t="s">
        <v>2191</v>
      </c>
      <c r="J15229" s="10">
        <v>28.9</v>
      </c>
      <c r="K15229" t="b">
        <v>1</v>
      </c>
    </row>
    <row r="15230" spans="1:11">
      <c r="A15230" s="12">
        <v>43544</v>
      </c>
      <c r="B15230">
        <v>2019</v>
      </c>
      <c r="C15230">
        <v>3</v>
      </c>
      <c r="D15230" s="11">
        <v>43525</v>
      </c>
      <c r="E15230" t="s">
        <v>2175</v>
      </c>
      <c r="F15230">
        <v>3</v>
      </c>
      <c r="G15230" t="s">
        <v>65</v>
      </c>
      <c r="H15230" t="s">
        <v>44</v>
      </c>
      <c r="I15230" t="s">
        <v>2192</v>
      </c>
      <c r="J15230" s="10">
        <v>8.199999999999999</v>
      </c>
      <c r="K15230" t="b">
        <v>1</v>
      </c>
    </row>
    <row r="15231" spans="1:11">
      <c r="A15231" s="12">
        <v>43544</v>
      </c>
      <c r="B15231">
        <v>2019</v>
      </c>
      <c r="C15231">
        <v>3</v>
      </c>
      <c r="D15231" s="11">
        <v>43525</v>
      </c>
      <c r="E15231" t="s">
        <v>2175</v>
      </c>
      <c r="F15231">
        <v>3</v>
      </c>
      <c r="G15231" t="s">
        <v>65</v>
      </c>
      <c r="H15231" t="s">
        <v>45</v>
      </c>
      <c r="I15231" t="s">
        <v>2193</v>
      </c>
      <c r="J15231" s="10">
        <v>0</v>
      </c>
      <c r="K15231" t="b">
        <v>1</v>
      </c>
    </row>
    <row r="15232" spans="1:11">
      <c r="A15232" s="12">
        <v>43544</v>
      </c>
      <c r="B15232">
        <v>2019</v>
      </c>
      <c r="C15232">
        <v>3</v>
      </c>
      <c r="D15232" s="11">
        <v>43525</v>
      </c>
      <c r="E15232" t="s">
        <v>2175</v>
      </c>
      <c r="F15232">
        <v>3</v>
      </c>
      <c r="G15232" t="s">
        <v>65</v>
      </c>
      <c r="H15232" t="s">
        <v>46</v>
      </c>
      <c r="I15232" t="s">
        <v>2194</v>
      </c>
      <c r="J15232" s="10">
        <v>19</v>
      </c>
      <c r="K15232" t="b">
        <v>1</v>
      </c>
    </row>
    <row r="15233" spans="1:11">
      <c r="A15233" s="12">
        <v>43544</v>
      </c>
      <c r="B15233">
        <v>2019</v>
      </c>
      <c r="C15233">
        <v>3</v>
      </c>
      <c r="D15233" s="11">
        <v>43525</v>
      </c>
      <c r="E15233" t="s">
        <v>2175</v>
      </c>
      <c r="F15233">
        <v>3</v>
      </c>
      <c r="G15233" t="s">
        <v>65</v>
      </c>
      <c r="H15233" t="s">
        <v>47</v>
      </c>
      <c r="I15233" t="s">
        <v>2195</v>
      </c>
      <c r="J15233" s="10">
        <v>5</v>
      </c>
      <c r="K15233" t="b">
        <v>1</v>
      </c>
    </row>
    <row r="15234" spans="1:11">
      <c r="A15234" s="12">
        <v>43545</v>
      </c>
      <c r="B15234">
        <v>2019</v>
      </c>
      <c r="C15234">
        <v>3</v>
      </c>
      <c r="D15234" s="11">
        <v>43525</v>
      </c>
      <c r="E15234" t="s">
        <v>2175</v>
      </c>
      <c r="F15234">
        <v>4</v>
      </c>
      <c r="G15234" t="s">
        <v>53</v>
      </c>
      <c r="H15234" t="s">
        <v>40</v>
      </c>
      <c r="I15234" t="s">
        <v>2188</v>
      </c>
      <c r="J15234" s="10">
        <v>2.33</v>
      </c>
      <c r="K15234" t="b">
        <v>1</v>
      </c>
    </row>
    <row r="15235" spans="1:11">
      <c r="A15235" s="12">
        <v>43545</v>
      </c>
      <c r="B15235">
        <v>2019</v>
      </c>
      <c r="C15235">
        <v>3</v>
      </c>
      <c r="D15235" s="11">
        <v>43525</v>
      </c>
      <c r="E15235" t="s">
        <v>2175</v>
      </c>
      <c r="F15235">
        <v>4</v>
      </c>
      <c r="G15235" t="s">
        <v>53</v>
      </c>
      <c r="H15235" t="s">
        <v>41</v>
      </c>
      <c r="I15235" t="s">
        <v>2189</v>
      </c>
      <c r="J15235" s="10">
        <v>1.423</v>
      </c>
      <c r="K15235" t="b">
        <v>1</v>
      </c>
    </row>
    <row r="15236" spans="1:11">
      <c r="A15236" s="12">
        <v>43545</v>
      </c>
      <c r="B15236">
        <v>2019</v>
      </c>
      <c r="C15236">
        <v>3</v>
      </c>
      <c r="D15236" s="11">
        <v>43525</v>
      </c>
      <c r="E15236" t="s">
        <v>2175</v>
      </c>
      <c r="F15236">
        <v>4</v>
      </c>
      <c r="G15236" t="s">
        <v>53</v>
      </c>
      <c r="H15236" t="s">
        <v>42</v>
      </c>
      <c r="I15236" t="s">
        <v>2190</v>
      </c>
      <c r="J15236" s="10">
        <v>0</v>
      </c>
      <c r="K15236" t="b">
        <v>1</v>
      </c>
    </row>
    <row r="15237" spans="1:11">
      <c r="A15237" s="12">
        <v>43545</v>
      </c>
      <c r="B15237">
        <v>2019</v>
      </c>
      <c r="C15237">
        <v>3</v>
      </c>
      <c r="D15237" s="11">
        <v>43525</v>
      </c>
      <c r="E15237" t="s">
        <v>2175</v>
      </c>
      <c r="F15237">
        <v>4</v>
      </c>
      <c r="G15237" t="s">
        <v>53</v>
      </c>
      <c r="H15237" t="s">
        <v>43</v>
      </c>
      <c r="I15237" t="s">
        <v>2191</v>
      </c>
      <c r="J15237" s="10">
        <v>18.8</v>
      </c>
      <c r="K15237" t="b">
        <v>1</v>
      </c>
    </row>
    <row r="15238" spans="1:11">
      <c r="A15238" s="12">
        <v>43545</v>
      </c>
      <c r="B15238">
        <v>2019</v>
      </c>
      <c r="C15238">
        <v>3</v>
      </c>
      <c r="D15238" s="11">
        <v>43525</v>
      </c>
      <c r="E15238" t="s">
        <v>2175</v>
      </c>
      <c r="F15238">
        <v>4</v>
      </c>
      <c r="G15238" t="s">
        <v>53</v>
      </c>
      <c r="H15238" t="s">
        <v>44</v>
      </c>
      <c r="I15238" t="s">
        <v>2192</v>
      </c>
      <c r="J15238" s="10">
        <v>13</v>
      </c>
      <c r="K15238" t="b">
        <v>1</v>
      </c>
    </row>
    <row r="15239" spans="1:11">
      <c r="A15239" s="12">
        <v>43545</v>
      </c>
      <c r="B15239">
        <v>2019</v>
      </c>
      <c r="C15239">
        <v>3</v>
      </c>
      <c r="D15239" s="11">
        <v>43525</v>
      </c>
      <c r="E15239" t="s">
        <v>2175</v>
      </c>
      <c r="F15239">
        <v>4</v>
      </c>
      <c r="G15239" t="s">
        <v>53</v>
      </c>
      <c r="H15239" t="s">
        <v>45</v>
      </c>
      <c r="I15239" t="s">
        <v>2193</v>
      </c>
      <c r="J15239" s="10">
        <v>0</v>
      </c>
      <c r="K15239" t="b">
        <v>1</v>
      </c>
    </row>
    <row r="15240" spans="1:11">
      <c r="A15240" s="12">
        <v>43545</v>
      </c>
      <c r="B15240">
        <v>2019</v>
      </c>
      <c r="C15240">
        <v>3</v>
      </c>
      <c r="D15240" s="11">
        <v>43525</v>
      </c>
      <c r="E15240" t="s">
        <v>2175</v>
      </c>
      <c r="F15240">
        <v>4</v>
      </c>
      <c r="G15240" t="s">
        <v>53</v>
      </c>
      <c r="H15240" t="s">
        <v>46</v>
      </c>
      <c r="I15240" t="s">
        <v>2194</v>
      </c>
      <c r="J15240" s="10">
        <v>6</v>
      </c>
      <c r="K15240" t="b">
        <v>1</v>
      </c>
    </row>
    <row r="15241" spans="1:11">
      <c r="A15241" s="12">
        <v>43545</v>
      </c>
      <c r="B15241">
        <v>2019</v>
      </c>
      <c r="C15241">
        <v>3</v>
      </c>
      <c r="D15241" s="11">
        <v>43525</v>
      </c>
      <c r="E15241" t="s">
        <v>2175</v>
      </c>
      <c r="F15241">
        <v>4</v>
      </c>
      <c r="G15241" t="s">
        <v>53</v>
      </c>
      <c r="H15241" t="s">
        <v>47</v>
      </c>
      <c r="I15241" t="s">
        <v>2195</v>
      </c>
      <c r="J15241" s="10">
        <v>5</v>
      </c>
      <c r="K15241" t="b">
        <v>1</v>
      </c>
    </row>
    <row r="15242" spans="1:11">
      <c r="A15242" s="12">
        <v>43546</v>
      </c>
      <c r="B15242">
        <v>2019</v>
      </c>
      <c r="C15242">
        <v>3</v>
      </c>
      <c r="D15242" s="11">
        <v>43525</v>
      </c>
      <c r="E15242" t="s">
        <v>2175</v>
      </c>
      <c r="F15242">
        <v>5</v>
      </c>
      <c r="G15242" t="s">
        <v>55</v>
      </c>
      <c r="H15242" t="s">
        <v>40</v>
      </c>
      <c r="I15242" t="s">
        <v>2188</v>
      </c>
      <c r="J15242" s="10">
        <v>4.66</v>
      </c>
      <c r="K15242" t="b">
        <v>1</v>
      </c>
    </row>
    <row r="15243" spans="1:11">
      <c r="A15243" s="12">
        <v>43546</v>
      </c>
      <c r="B15243">
        <v>2019</v>
      </c>
      <c r="C15243">
        <v>3</v>
      </c>
      <c r="D15243" s="11">
        <v>43525</v>
      </c>
      <c r="E15243" t="s">
        <v>2175</v>
      </c>
      <c r="F15243">
        <v>5</v>
      </c>
      <c r="G15243" t="s">
        <v>55</v>
      </c>
      <c r="H15243" t="s">
        <v>41</v>
      </c>
      <c r="I15243" t="s">
        <v>2189</v>
      </c>
      <c r="J15243" s="10">
        <v>7.043</v>
      </c>
      <c r="K15243" t="b">
        <v>1</v>
      </c>
    </row>
    <row r="15244" spans="1:11">
      <c r="A15244" s="12">
        <v>43546</v>
      </c>
      <c r="B15244">
        <v>2019</v>
      </c>
      <c r="C15244">
        <v>3</v>
      </c>
      <c r="D15244" s="11">
        <v>43525</v>
      </c>
      <c r="E15244" t="s">
        <v>2175</v>
      </c>
      <c r="F15244">
        <v>5</v>
      </c>
      <c r="G15244" t="s">
        <v>55</v>
      </c>
      <c r="H15244" t="s">
        <v>42</v>
      </c>
      <c r="I15244" t="s">
        <v>2190</v>
      </c>
      <c r="J15244" s="10">
        <v>1.1</v>
      </c>
      <c r="K15244" t="b">
        <v>1</v>
      </c>
    </row>
    <row r="15245" spans="1:11">
      <c r="A15245" s="12">
        <v>43546</v>
      </c>
      <c r="B15245">
        <v>2019</v>
      </c>
      <c r="C15245">
        <v>3</v>
      </c>
      <c r="D15245" s="11">
        <v>43525</v>
      </c>
      <c r="E15245" t="s">
        <v>2175</v>
      </c>
      <c r="F15245">
        <v>5</v>
      </c>
      <c r="G15245" t="s">
        <v>55</v>
      </c>
      <c r="H15245" t="s">
        <v>43</v>
      </c>
      <c r="I15245" t="s">
        <v>2191</v>
      </c>
      <c r="J15245" s="10">
        <v>41</v>
      </c>
      <c r="K15245" t="b">
        <v>1</v>
      </c>
    </row>
    <row r="15246" spans="1:11">
      <c r="A15246" s="12">
        <v>43546</v>
      </c>
      <c r="B15246">
        <v>2019</v>
      </c>
      <c r="C15246">
        <v>3</v>
      </c>
      <c r="D15246" s="11">
        <v>43525</v>
      </c>
      <c r="E15246" t="s">
        <v>2175</v>
      </c>
      <c r="F15246">
        <v>5</v>
      </c>
      <c r="G15246" t="s">
        <v>55</v>
      </c>
      <c r="H15246" t="s">
        <v>44</v>
      </c>
      <c r="I15246" t="s">
        <v>2192</v>
      </c>
      <c r="J15246" s="10">
        <v>13</v>
      </c>
      <c r="K15246" t="b">
        <v>1</v>
      </c>
    </row>
    <row r="15247" spans="1:11">
      <c r="A15247" s="12">
        <v>43546</v>
      </c>
      <c r="B15247">
        <v>2019</v>
      </c>
      <c r="C15247">
        <v>3</v>
      </c>
      <c r="D15247" s="11">
        <v>43525</v>
      </c>
      <c r="E15247" t="s">
        <v>2175</v>
      </c>
      <c r="F15247">
        <v>5</v>
      </c>
      <c r="G15247" t="s">
        <v>55</v>
      </c>
      <c r="H15247" t="s">
        <v>45</v>
      </c>
      <c r="I15247" t="s">
        <v>2193</v>
      </c>
      <c r="J15247" s="10">
        <v>0</v>
      </c>
      <c r="K15247" t="b">
        <v>1</v>
      </c>
    </row>
    <row r="15248" spans="1:11">
      <c r="A15248" s="12">
        <v>43546</v>
      </c>
      <c r="B15248">
        <v>2019</v>
      </c>
      <c r="C15248">
        <v>3</v>
      </c>
      <c r="D15248" s="11">
        <v>43525</v>
      </c>
      <c r="E15248" t="s">
        <v>2175</v>
      </c>
      <c r="F15248">
        <v>5</v>
      </c>
      <c r="G15248" t="s">
        <v>55</v>
      </c>
      <c r="H15248" t="s">
        <v>46</v>
      </c>
      <c r="I15248" t="s">
        <v>2194</v>
      </c>
      <c r="J15248" s="10">
        <v>29</v>
      </c>
      <c r="K15248" t="b">
        <v>1</v>
      </c>
    </row>
    <row r="15249" spans="1:11">
      <c r="A15249" s="12">
        <v>43546</v>
      </c>
      <c r="B15249">
        <v>2019</v>
      </c>
      <c r="C15249">
        <v>3</v>
      </c>
      <c r="D15249" s="11">
        <v>43525</v>
      </c>
      <c r="E15249" t="s">
        <v>2175</v>
      </c>
      <c r="F15249">
        <v>5</v>
      </c>
      <c r="G15249" t="s">
        <v>55</v>
      </c>
      <c r="H15249" t="s">
        <v>47</v>
      </c>
      <c r="I15249" t="s">
        <v>2195</v>
      </c>
      <c r="J15249" s="10">
        <v>6</v>
      </c>
      <c r="K15249" t="b">
        <v>1</v>
      </c>
    </row>
    <row r="15250" spans="1:11">
      <c r="A15250" s="12">
        <v>43547</v>
      </c>
      <c r="B15250">
        <v>2019</v>
      </c>
      <c r="C15250">
        <v>3</v>
      </c>
      <c r="D15250" s="11">
        <v>43525</v>
      </c>
      <c r="E15250" t="s">
        <v>2175</v>
      </c>
      <c r="F15250">
        <v>6</v>
      </c>
      <c r="G15250" t="s">
        <v>57</v>
      </c>
      <c r="H15250" t="s">
        <v>40</v>
      </c>
      <c r="I15250" t="s">
        <v>2188</v>
      </c>
      <c r="J15250" s="10">
        <v>6</v>
      </c>
      <c r="K15250" t="b">
        <v>1</v>
      </c>
    </row>
    <row r="15251" spans="1:11">
      <c r="A15251" s="12">
        <v>43547</v>
      </c>
      <c r="B15251">
        <v>2019</v>
      </c>
      <c r="C15251">
        <v>3</v>
      </c>
      <c r="D15251" s="11">
        <v>43525</v>
      </c>
      <c r="E15251" t="s">
        <v>2175</v>
      </c>
      <c r="F15251">
        <v>6</v>
      </c>
      <c r="G15251" t="s">
        <v>57</v>
      </c>
      <c r="H15251" t="s">
        <v>41</v>
      </c>
      <c r="I15251" t="s">
        <v>2189</v>
      </c>
      <c r="J15251" s="10">
        <v>3.36</v>
      </c>
      <c r="K15251" t="b">
        <v>1</v>
      </c>
    </row>
    <row r="15252" spans="1:11">
      <c r="A15252" s="12">
        <v>43547</v>
      </c>
      <c r="B15252">
        <v>2019</v>
      </c>
      <c r="C15252">
        <v>3</v>
      </c>
      <c r="D15252" s="11">
        <v>43525</v>
      </c>
      <c r="E15252" t="s">
        <v>2175</v>
      </c>
      <c r="F15252">
        <v>6</v>
      </c>
      <c r="G15252" t="s">
        <v>57</v>
      </c>
      <c r="H15252" t="s">
        <v>42</v>
      </c>
      <c r="I15252" t="s">
        <v>2190</v>
      </c>
      <c r="J15252" s="10">
        <v>4.25</v>
      </c>
      <c r="K15252" t="b">
        <v>1</v>
      </c>
    </row>
    <row r="15253" spans="1:11">
      <c r="A15253" s="12">
        <v>43547</v>
      </c>
      <c r="B15253">
        <v>2019</v>
      </c>
      <c r="C15253">
        <v>3</v>
      </c>
      <c r="D15253" s="11">
        <v>43525</v>
      </c>
      <c r="E15253" t="s">
        <v>2175</v>
      </c>
      <c r="F15253">
        <v>6</v>
      </c>
      <c r="G15253" t="s">
        <v>57</v>
      </c>
      <c r="H15253" t="s">
        <v>43</v>
      </c>
      <c r="I15253" t="s">
        <v>2191</v>
      </c>
      <c r="J15253" s="10">
        <v>15.5</v>
      </c>
      <c r="K15253" t="b">
        <v>1</v>
      </c>
    </row>
    <row r="15254" spans="1:11">
      <c r="A15254" s="12">
        <v>43547</v>
      </c>
      <c r="B15254">
        <v>2019</v>
      </c>
      <c r="C15254">
        <v>3</v>
      </c>
      <c r="D15254" s="11">
        <v>43525</v>
      </c>
      <c r="E15254" t="s">
        <v>2175</v>
      </c>
      <c r="F15254">
        <v>6</v>
      </c>
      <c r="G15254" t="s">
        <v>57</v>
      </c>
      <c r="H15254" t="s">
        <v>44</v>
      </c>
      <c r="I15254" t="s">
        <v>2192</v>
      </c>
      <c r="J15254" s="10">
        <v>7</v>
      </c>
      <c r="K15254" t="b">
        <v>1</v>
      </c>
    </row>
    <row r="15255" spans="1:11">
      <c r="A15255" s="12">
        <v>43547</v>
      </c>
      <c r="B15255">
        <v>2019</v>
      </c>
      <c r="C15255">
        <v>3</v>
      </c>
      <c r="D15255" s="11">
        <v>43525</v>
      </c>
      <c r="E15255" t="s">
        <v>2175</v>
      </c>
      <c r="F15255">
        <v>6</v>
      </c>
      <c r="G15255" t="s">
        <v>57</v>
      </c>
      <c r="H15255" t="s">
        <v>45</v>
      </c>
      <c r="I15255" t="s">
        <v>2193</v>
      </c>
      <c r="J15255" s="10">
        <v>0</v>
      </c>
      <c r="K15255" t="b">
        <v>1</v>
      </c>
    </row>
    <row r="15256" spans="1:11">
      <c r="A15256" s="12">
        <v>43547</v>
      </c>
      <c r="B15256">
        <v>2019</v>
      </c>
      <c r="C15256">
        <v>3</v>
      </c>
      <c r="D15256" s="11">
        <v>43525</v>
      </c>
      <c r="E15256" t="s">
        <v>2175</v>
      </c>
      <c r="F15256">
        <v>6</v>
      </c>
      <c r="G15256" t="s">
        <v>57</v>
      </c>
      <c r="H15256" t="s">
        <v>46</v>
      </c>
      <c r="I15256" t="s">
        <v>2194</v>
      </c>
      <c r="J15256" s="10">
        <v>1</v>
      </c>
      <c r="K15256" t="b">
        <v>1</v>
      </c>
    </row>
    <row r="15257" spans="1:11">
      <c r="A15257" s="12">
        <v>43547</v>
      </c>
      <c r="B15257">
        <v>2019</v>
      </c>
      <c r="C15257">
        <v>3</v>
      </c>
      <c r="D15257" s="11">
        <v>43525</v>
      </c>
      <c r="E15257" t="s">
        <v>2175</v>
      </c>
      <c r="F15257">
        <v>6</v>
      </c>
      <c r="G15257" t="s">
        <v>57</v>
      </c>
      <c r="H15257" t="s">
        <v>47</v>
      </c>
      <c r="I15257" t="s">
        <v>2195</v>
      </c>
      <c r="J15257" s="10">
        <v>5</v>
      </c>
      <c r="K15257" t="b">
        <v>1</v>
      </c>
    </row>
    <row r="15258" spans="1:11">
      <c r="A15258" s="12">
        <v>43548</v>
      </c>
      <c r="B15258">
        <v>2019</v>
      </c>
      <c r="C15258">
        <v>3</v>
      </c>
      <c r="D15258" s="11">
        <v>43525</v>
      </c>
      <c r="E15258" t="s">
        <v>2175</v>
      </c>
      <c r="F15258">
        <v>7</v>
      </c>
      <c r="G15258" t="s">
        <v>59</v>
      </c>
      <c r="H15258" t="s">
        <v>40</v>
      </c>
      <c r="I15258" t="s">
        <v>2188</v>
      </c>
      <c r="J15258" s="10">
        <v>6</v>
      </c>
      <c r="K15258" t="b">
        <v>1</v>
      </c>
    </row>
    <row r="15259" spans="1:11">
      <c r="A15259" s="12">
        <v>43548</v>
      </c>
      <c r="B15259">
        <v>2019</v>
      </c>
      <c r="C15259">
        <v>3</v>
      </c>
      <c r="D15259" s="11">
        <v>43525</v>
      </c>
      <c r="E15259" t="s">
        <v>2175</v>
      </c>
      <c r="F15259">
        <v>7</v>
      </c>
      <c r="G15259" t="s">
        <v>59</v>
      </c>
      <c r="H15259" t="s">
        <v>41</v>
      </c>
      <c r="I15259" t="s">
        <v>2189</v>
      </c>
      <c r="J15259" s="10">
        <v>2.67</v>
      </c>
      <c r="K15259" t="b">
        <v>1</v>
      </c>
    </row>
    <row r="15260" spans="1:11">
      <c r="A15260" s="12">
        <v>43548</v>
      </c>
      <c r="B15260">
        <v>2019</v>
      </c>
      <c r="C15260">
        <v>3</v>
      </c>
      <c r="D15260" s="11">
        <v>43525</v>
      </c>
      <c r="E15260" t="s">
        <v>2175</v>
      </c>
      <c r="F15260">
        <v>7</v>
      </c>
      <c r="G15260" t="s">
        <v>59</v>
      </c>
      <c r="H15260" t="s">
        <v>42</v>
      </c>
      <c r="I15260" t="s">
        <v>2190</v>
      </c>
      <c r="J15260" s="10">
        <v>3</v>
      </c>
      <c r="K15260" t="b">
        <v>1</v>
      </c>
    </row>
    <row r="15261" spans="1:11">
      <c r="A15261" s="12">
        <v>43548</v>
      </c>
      <c r="B15261">
        <v>2019</v>
      </c>
      <c r="C15261">
        <v>3</v>
      </c>
      <c r="D15261" s="11">
        <v>43525</v>
      </c>
      <c r="E15261" t="s">
        <v>2175</v>
      </c>
      <c r="F15261">
        <v>7</v>
      </c>
      <c r="G15261" t="s">
        <v>59</v>
      </c>
      <c r="H15261" t="s">
        <v>43</v>
      </c>
      <c r="I15261" t="s">
        <v>2191</v>
      </c>
      <c r="J15261" s="10">
        <v>43.2</v>
      </c>
      <c r="K15261" t="b">
        <v>1</v>
      </c>
    </row>
    <row r="15262" spans="1:11">
      <c r="A15262" s="12">
        <v>43548</v>
      </c>
      <c r="B15262">
        <v>2019</v>
      </c>
      <c r="C15262">
        <v>3</v>
      </c>
      <c r="D15262" s="11">
        <v>43525</v>
      </c>
      <c r="E15262" t="s">
        <v>2175</v>
      </c>
      <c r="F15262">
        <v>7</v>
      </c>
      <c r="G15262" t="s">
        <v>59</v>
      </c>
      <c r="H15262" t="s">
        <v>44</v>
      </c>
      <c r="I15262" t="s">
        <v>2192</v>
      </c>
      <c r="J15262" s="10">
        <v>6.2</v>
      </c>
      <c r="K15262" t="b">
        <v>1</v>
      </c>
    </row>
    <row r="15263" spans="1:11">
      <c r="A15263" s="12">
        <v>43548</v>
      </c>
      <c r="B15263">
        <v>2019</v>
      </c>
      <c r="C15263">
        <v>3</v>
      </c>
      <c r="D15263" s="11">
        <v>43525</v>
      </c>
      <c r="E15263" t="s">
        <v>2175</v>
      </c>
      <c r="F15263">
        <v>7</v>
      </c>
      <c r="G15263" t="s">
        <v>59</v>
      </c>
      <c r="H15263" t="s">
        <v>45</v>
      </c>
      <c r="I15263" t="s">
        <v>2193</v>
      </c>
      <c r="J15263" s="10">
        <v>1</v>
      </c>
      <c r="K15263" t="b">
        <v>1</v>
      </c>
    </row>
    <row r="15264" spans="1:11">
      <c r="A15264" s="12">
        <v>43548</v>
      </c>
      <c r="B15264">
        <v>2019</v>
      </c>
      <c r="C15264">
        <v>3</v>
      </c>
      <c r="D15264" s="11">
        <v>43525</v>
      </c>
      <c r="E15264" t="s">
        <v>2175</v>
      </c>
      <c r="F15264">
        <v>7</v>
      </c>
      <c r="G15264" t="s">
        <v>59</v>
      </c>
      <c r="H15264" t="s">
        <v>46</v>
      </c>
      <c r="I15264" t="s">
        <v>2194</v>
      </c>
      <c r="J15264" s="10">
        <v>16</v>
      </c>
      <c r="K15264" t="b">
        <v>1</v>
      </c>
    </row>
    <row r="15265" spans="1:11">
      <c r="A15265" s="12">
        <v>43548</v>
      </c>
      <c r="B15265">
        <v>2019</v>
      </c>
      <c r="C15265">
        <v>3</v>
      </c>
      <c r="D15265" s="11">
        <v>43525</v>
      </c>
      <c r="E15265" t="s">
        <v>2175</v>
      </c>
      <c r="F15265">
        <v>7</v>
      </c>
      <c r="G15265" t="s">
        <v>59</v>
      </c>
      <c r="H15265" t="s">
        <v>47</v>
      </c>
      <c r="I15265" t="s">
        <v>2195</v>
      </c>
      <c r="J15265" s="10">
        <v>10</v>
      </c>
      <c r="K15265" t="b">
        <v>1</v>
      </c>
    </row>
    <row r="15266" spans="1:11">
      <c r="A15266" s="12">
        <v>43549</v>
      </c>
      <c r="B15266">
        <v>2019</v>
      </c>
      <c r="C15266">
        <v>3</v>
      </c>
      <c r="D15266" s="11">
        <v>43525</v>
      </c>
      <c r="E15266" t="s">
        <v>2175</v>
      </c>
      <c r="F15266">
        <v>1</v>
      </c>
      <c r="G15266" t="s">
        <v>61</v>
      </c>
      <c r="H15266" t="s">
        <v>40</v>
      </c>
      <c r="I15266" t="s">
        <v>2188</v>
      </c>
      <c r="J15266" s="10">
        <v>4.84</v>
      </c>
      <c r="K15266" t="b">
        <v>1</v>
      </c>
    </row>
    <row r="15267" spans="1:11">
      <c r="A15267" s="12">
        <v>43549</v>
      </c>
      <c r="B15267">
        <v>2019</v>
      </c>
      <c r="C15267">
        <v>3</v>
      </c>
      <c r="D15267" s="11">
        <v>43525</v>
      </c>
      <c r="E15267" t="s">
        <v>2175</v>
      </c>
      <c r="F15267">
        <v>1</v>
      </c>
      <c r="G15267" t="s">
        <v>61</v>
      </c>
      <c r="H15267" t="s">
        <v>41</v>
      </c>
      <c r="I15267" t="s">
        <v>2189</v>
      </c>
      <c r="J15267" s="10">
        <v>4.523</v>
      </c>
      <c r="K15267" t="b">
        <v>1</v>
      </c>
    </row>
    <row r="15268" spans="1:11">
      <c r="A15268" s="12">
        <v>43549</v>
      </c>
      <c r="B15268">
        <v>2019</v>
      </c>
      <c r="C15268">
        <v>3</v>
      </c>
      <c r="D15268" s="11">
        <v>43525</v>
      </c>
      <c r="E15268" t="s">
        <v>2175</v>
      </c>
      <c r="F15268">
        <v>1</v>
      </c>
      <c r="G15268" t="s">
        <v>61</v>
      </c>
      <c r="H15268" t="s">
        <v>42</v>
      </c>
      <c r="I15268" t="s">
        <v>2190</v>
      </c>
      <c r="J15268" s="10">
        <v>6</v>
      </c>
      <c r="K15268" t="b">
        <v>1</v>
      </c>
    </row>
    <row r="15269" spans="1:11">
      <c r="A15269" s="12">
        <v>43549</v>
      </c>
      <c r="B15269">
        <v>2019</v>
      </c>
      <c r="C15269">
        <v>3</v>
      </c>
      <c r="D15269" s="11">
        <v>43525</v>
      </c>
      <c r="E15269" t="s">
        <v>2175</v>
      </c>
      <c r="F15269">
        <v>1</v>
      </c>
      <c r="G15269" t="s">
        <v>61</v>
      </c>
      <c r="H15269" t="s">
        <v>43</v>
      </c>
      <c r="I15269" t="s">
        <v>2191</v>
      </c>
      <c r="J15269" s="10">
        <v>27</v>
      </c>
      <c r="K15269" t="b">
        <v>1</v>
      </c>
    </row>
    <row r="15270" spans="1:11">
      <c r="A15270" s="12">
        <v>43549</v>
      </c>
      <c r="B15270">
        <v>2019</v>
      </c>
      <c r="C15270">
        <v>3</v>
      </c>
      <c r="D15270" s="11">
        <v>43525</v>
      </c>
      <c r="E15270" t="s">
        <v>2175</v>
      </c>
      <c r="F15270">
        <v>1</v>
      </c>
      <c r="G15270" t="s">
        <v>61</v>
      </c>
      <c r="H15270" t="s">
        <v>44</v>
      </c>
      <c r="I15270" t="s">
        <v>2192</v>
      </c>
      <c r="J15270" s="10">
        <v>11</v>
      </c>
      <c r="K15270" t="b">
        <v>1</v>
      </c>
    </row>
    <row r="15271" spans="1:11">
      <c r="A15271" s="12">
        <v>43549</v>
      </c>
      <c r="B15271">
        <v>2019</v>
      </c>
      <c r="C15271">
        <v>3</v>
      </c>
      <c r="D15271" s="11">
        <v>43525</v>
      </c>
      <c r="E15271" t="s">
        <v>2175</v>
      </c>
      <c r="F15271">
        <v>1</v>
      </c>
      <c r="G15271" t="s">
        <v>61</v>
      </c>
      <c r="H15271" t="s">
        <v>45</v>
      </c>
      <c r="I15271" t="s">
        <v>2193</v>
      </c>
      <c r="J15271" s="10">
        <v>1</v>
      </c>
      <c r="K15271" t="b">
        <v>1</v>
      </c>
    </row>
    <row r="15272" spans="1:11">
      <c r="A15272" s="12">
        <v>43549</v>
      </c>
      <c r="B15272">
        <v>2019</v>
      </c>
      <c r="C15272">
        <v>3</v>
      </c>
      <c r="D15272" s="11">
        <v>43525</v>
      </c>
      <c r="E15272" t="s">
        <v>2175</v>
      </c>
      <c r="F15272">
        <v>1</v>
      </c>
      <c r="G15272" t="s">
        <v>61</v>
      </c>
      <c r="H15272" t="s">
        <v>46</v>
      </c>
      <c r="I15272" t="s">
        <v>2194</v>
      </c>
      <c r="J15272" s="10">
        <v>6</v>
      </c>
      <c r="K15272" t="b">
        <v>1</v>
      </c>
    </row>
    <row r="15273" spans="1:11">
      <c r="A15273" s="12">
        <v>43549</v>
      </c>
      <c r="B15273">
        <v>2019</v>
      </c>
      <c r="C15273">
        <v>3</v>
      </c>
      <c r="D15273" s="11">
        <v>43525</v>
      </c>
      <c r="E15273" t="s">
        <v>2175</v>
      </c>
      <c r="F15273">
        <v>1</v>
      </c>
      <c r="G15273" t="s">
        <v>61</v>
      </c>
      <c r="H15273" t="s">
        <v>47</v>
      </c>
      <c r="I15273" t="s">
        <v>2195</v>
      </c>
      <c r="J15273" s="10">
        <v>6</v>
      </c>
      <c r="K15273" t="b">
        <v>1</v>
      </c>
    </row>
    <row r="15274" spans="1:11">
      <c r="A15274" s="12">
        <v>43550</v>
      </c>
      <c r="B15274">
        <v>2019</v>
      </c>
      <c r="C15274">
        <v>3</v>
      </c>
      <c r="D15274" s="11">
        <v>43525</v>
      </c>
      <c r="E15274" t="s">
        <v>2175</v>
      </c>
      <c r="F15274">
        <v>2</v>
      </c>
      <c r="G15274" t="s">
        <v>63</v>
      </c>
      <c r="H15274" t="s">
        <v>40</v>
      </c>
      <c r="I15274" t="s">
        <v>2188</v>
      </c>
      <c r="J15274" s="10">
        <v>4</v>
      </c>
      <c r="K15274" t="b">
        <v>1</v>
      </c>
    </row>
    <row r="15275" spans="1:11">
      <c r="A15275" s="12">
        <v>43550</v>
      </c>
      <c r="B15275">
        <v>2019</v>
      </c>
      <c r="C15275">
        <v>3</v>
      </c>
      <c r="D15275" s="11">
        <v>43525</v>
      </c>
      <c r="E15275" t="s">
        <v>2175</v>
      </c>
      <c r="F15275">
        <v>2</v>
      </c>
      <c r="G15275" t="s">
        <v>63</v>
      </c>
      <c r="H15275" t="s">
        <v>41</v>
      </c>
      <c r="I15275" t="s">
        <v>2189</v>
      </c>
      <c r="J15275" s="10">
        <v>5.51</v>
      </c>
      <c r="K15275" t="b">
        <v>1</v>
      </c>
    </row>
    <row r="15276" spans="1:11">
      <c r="A15276" s="12">
        <v>43550</v>
      </c>
      <c r="B15276">
        <v>2019</v>
      </c>
      <c r="C15276">
        <v>3</v>
      </c>
      <c r="D15276" s="11">
        <v>43525</v>
      </c>
      <c r="E15276" t="s">
        <v>2175</v>
      </c>
      <c r="F15276">
        <v>2</v>
      </c>
      <c r="G15276" t="s">
        <v>63</v>
      </c>
      <c r="H15276" t="s">
        <v>42</v>
      </c>
      <c r="I15276" t="s">
        <v>2190</v>
      </c>
      <c r="J15276" s="10">
        <v>3</v>
      </c>
      <c r="K15276" t="b">
        <v>1</v>
      </c>
    </row>
    <row r="15277" spans="1:11">
      <c r="A15277" s="12">
        <v>43550</v>
      </c>
      <c r="B15277">
        <v>2019</v>
      </c>
      <c r="C15277">
        <v>3</v>
      </c>
      <c r="D15277" s="11">
        <v>43525</v>
      </c>
      <c r="E15277" t="s">
        <v>2175</v>
      </c>
      <c r="F15277">
        <v>2</v>
      </c>
      <c r="G15277" t="s">
        <v>63</v>
      </c>
      <c r="H15277" t="s">
        <v>43</v>
      </c>
      <c r="I15277" t="s">
        <v>2191</v>
      </c>
      <c r="J15277" s="10">
        <v>36</v>
      </c>
      <c r="K15277" t="b">
        <v>1</v>
      </c>
    </row>
    <row r="15278" spans="1:11">
      <c r="A15278" s="12">
        <v>43550</v>
      </c>
      <c r="B15278">
        <v>2019</v>
      </c>
      <c r="C15278">
        <v>3</v>
      </c>
      <c r="D15278" s="11">
        <v>43525</v>
      </c>
      <c r="E15278" t="s">
        <v>2175</v>
      </c>
      <c r="F15278">
        <v>2</v>
      </c>
      <c r="G15278" t="s">
        <v>63</v>
      </c>
      <c r="H15278" t="s">
        <v>44</v>
      </c>
      <c r="I15278" t="s">
        <v>2192</v>
      </c>
      <c r="J15278" s="10">
        <v>11</v>
      </c>
      <c r="K15278" t="b">
        <v>1</v>
      </c>
    </row>
    <row r="15279" spans="1:11">
      <c r="A15279" s="12">
        <v>43550</v>
      </c>
      <c r="B15279">
        <v>2019</v>
      </c>
      <c r="C15279">
        <v>3</v>
      </c>
      <c r="D15279" s="11">
        <v>43525</v>
      </c>
      <c r="E15279" t="s">
        <v>2175</v>
      </c>
      <c r="F15279">
        <v>2</v>
      </c>
      <c r="G15279" t="s">
        <v>63</v>
      </c>
      <c r="H15279" t="s">
        <v>45</v>
      </c>
      <c r="I15279" t="s">
        <v>2193</v>
      </c>
      <c r="J15279" s="10">
        <v>0</v>
      </c>
      <c r="K15279" t="b">
        <v>1</v>
      </c>
    </row>
    <row r="15280" spans="1:11">
      <c r="A15280" s="12">
        <v>43550</v>
      </c>
      <c r="B15280">
        <v>2019</v>
      </c>
      <c r="C15280">
        <v>3</v>
      </c>
      <c r="D15280" s="11">
        <v>43525</v>
      </c>
      <c r="E15280" t="s">
        <v>2175</v>
      </c>
      <c r="F15280">
        <v>2</v>
      </c>
      <c r="G15280" t="s">
        <v>63</v>
      </c>
      <c r="H15280" t="s">
        <v>46</v>
      </c>
      <c r="I15280" t="s">
        <v>2194</v>
      </c>
      <c r="J15280" s="10">
        <v>19</v>
      </c>
      <c r="K15280" t="b">
        <v>1</v>
      </c>
    </row>
    <row r="15281" spans="1:11">
      <c r="A15281" s="12">
        <v>43550</v>
      </c>
      <c r="B15281">
        <v>2019</v>
      </c>
      <c r="C15281">
        <v>3</v>
      </c>
      <c r="D15281" s="11">
        <v>43525</v>
      </c>
      <c r="E15281" t="s">
        <v>2175</v>
      </c>
      <c r="F15281">
        <v>2</v>
      </c>
      <c r="G15281" t="s">
        <v>63</v>
      </c>
      <c r="H15281" t="s">
        <v>47</v>
      </c>
      <c r="I15281" t="s">
        <v>2195</v>
      </c>
      <c r="J15281" s="10">
        <v>9</v>
      </c>
      <c r="K15281" t="b">
        <v>1</v>
      </c>
    </row>
    <row r="15282" spans="1:11">
      <c r="A15282" s="12">
        <v>43551</v>
      </c>
      <c r="B15282">
        <v>2019</v>
      </c>
      <c r="C15282">
        <v>3</v>
      </c>
      <c r="D15282" s="11">
        <v>43525</v>
      </c>
      <c r="E15282" t="s">
        <v>2175</v>
      </c>
      <c r="F15282">
        <v>3</v>
      </c>
      <c r="G15282" t="s">
        <v>65</v>
      </c>
      <c r="H15282" t="s">
        <v>40</v>
      </c>
      <c r="I15282" t="s">
        <v>2188</v>
      </c>
      <c r="J15282" s="10">
        <v>6.34</v>
      </c>
      <c r="K15282" t="b">
        <v>1</v>
      </c>
    </row>
    <row r="15283" spans="1:11">
      <c r="A15283" s="12">
        <v>43551</v>
      </c>
      <c r="B15283">
        <v>2019</v>
      </c>
      <c r="C15283">
        <v>3</v>
      </c>
      <c r="D15283" s="11">
        <v>43525</v>
      </c>
      <c r="E15283" t="s">
        <v>2175</v>
      </c>
      <c r="F15283">
        <v>3</v>
      </c>
      <c r="G15283" t="s">
        <v>65</v>
      </c>
      <c r="H15283" t="s">
        <v>41</v>
      </c>
      <c r="I15283" t="s">
        <v>2189</v>
      </c>
      <c r="J15283" s="10">
        <v>7.769</v>
      </c>
      <c r="K15283" t="b">
        <v>1</v>
      </c>
    </row>
    <row r="15284" spans="1:11">
      <c r="A15284" s="12">
        <v>43551</v>
      </c>
      <c r="B15284">
        <v>2019</v>
      </c>
      <c r="C15284">
        <v>3</v>
      </c>
      <c r="D15284" s="11">
        <v>43525</v>
      </c>
      <c r="E15284" t="s">
        <v>2175</v>
      </c>
      <c r="F15284">
        <v>3</v>
      </c>
      <c r="G15284" t="s">
        <v>65</v>
      </c>
      <c r="H15284" t="s">
        <v>42</v>
      </c>
      <c r="I15284" t="s">
        <v>2190</v>
      </c>
      <c r="J15284" s="10">
        <v>3</v>
      </c>
      <c r="K15284" t="b">
        <v>1</v>
      </c>
    </row>
    <row r="15285" spans="1:11">
      <c r="A15285" s="12">
        <v>43551</v>
      </c>
      <c r="B15285">
        <v>2019</v>
      </c>
      <c r="C15285">
        <v>3</v>
      </c>
      <c r="D15285" s="11">
        <v>43525</v>
      </c>
      <c r="E15285" t="s">
        <v>2175</v>
      </c>
      <c r="F15285">
        <v>3</v>
      </c>
      <c r="G15285" t="s">
        <v>65</v>
      </c>
      <c r="H15285" t="s">
        <v>43</v>
      </c>
      <c r="I15285" t="s">
        <v>2191</v>
      </c>
      <c r="J15285" s="10">
        <v>25.6</v>
      </c>
      <c r="K15285" t="b">
        <v>1</v>
      </c>
    </row>
    <row r="15286" spans="1:11">
      <c r="A15286" s="12">
        <v>43551</v>
      </c>
      <c r="B15286">
        <v>2019</v>
      </c>
      <c r="C15286">
        <v>3</v>
      </c>
      <c r="D15286" s="11">
        <v>43525</v>
      </c>
      <c r="E15286" t="s">
        <v>2175</v>
      </c>
      <c r="F15286">
        <v>3</v>
      </c>
      <c r="G15286" t="s">
        <v>65</v>
      </c>
      <c r="H15286" t="s">
        <v>44</v>
      </c>
      <c r="I15286" t="s">
        <v>2192</v>
      </c>
      <c r="J15286" s="10">
        <v>12</v>
      </c>
      <c r="K15286" t="b">
        <v>1</v>
      </c>
    </row>
    <row r="15287" spans="1:11">
      <c r="A15287" s="12">
        <v>43551</v>
      </c>
      <c r="B15287">
        <v>2019</v>
      </c>
      <c r="C15287">
        <v>3</v>
      </c>
      <c r="D15287" s="11">
        <v>43525</v>
      </c>
      <c r="E15287" t="s">
        <v>2175</v>
      </c>
      <c r="F15287">
        <v>3</v>
      </c>
      <c r="G15287" t="s">
        <v>65</v>
      </c>
      <c r="H15287" t="s">
        <v>45</v>
      </c>
      <c r="I15287" t="s">
        <v>2193</v>
      </c>
      <c r="J15287" s="10">
        <v>1</v>
      </c>
      <c r="K15287" t="b">
        <v>1</v>
      </c>
    </row>
    <row r="15288" spans="1:11">
      <c r="A15288" s="12">
        <v>43551</v>
      </c>
      <c r="B15288">
        <v>2019</v>
      </c>
      <c r="C15288">
        <v>3</v>
      </c>
      <c r="D15288" s="11">
        <v>43525</v>
      </c>
      <c r="E15288" t="s">
        <v>2175</v>
      </c>
      <c r="F15288">
        <v>3</v>
      </c>
      <c r="G15288" t="s">
        <v>65</v>
      </c>
      <c r="H15288" t="s">
        <v>46</v>
      </c>
      <c r="I15288" t="s">
        <v>2194</v>
      </c>
      <c r="J15288" s="10">
        <v>0</v>
      </c>
      <c r="K15288" t="b">
        <v>1</v>
      </c>
    </row>
    <row r="15289" spans="1:11">
      <c r="A15289" s="12">
        <v>43551</v>
      </c>
      <c r="B15289">
        <v>2019</v>
      </c>
      <c r="C15289">
        <v>3</v>
      </c>
      <c r="D15289" s="11">
        <v>43525</v>
      </c>
      <c r="E15289" t="s">
        <v>2175</v>
      </c>
      <c r="F15289">
        <v>3</v>
      </c>
      <c r="G15289" t="s">
        <v>65</v>
      </c>
      <c r="H15289" t="s">
        <v>47</v>
      </c>
      <c r="I15289" t="s">
        <v>2195</v>
      </c>
      <c r="J15289" s="10">
        <v>9</v>
      </c>
      <c r="K15289" t="b">
        <v>1</v>
      </c>
    </row>
    <row r="15290" spans="1:11">
      <c r="A15290" s="12">
        <v>43552</v>
      </c>
      <c r="B15290">
        <v>2019</v>
      </c>
      <c r="C15290">
        <v>3</v>
      </c>
      <c r="D15290" s="11">
        <v>43525</v>
      </c>
      <c r="E15290" t="s">
        <v>2175</v>
      </c>
      <c r="F15290">
        <v>4</v>
      </c>
      <c r="G15290" t="s">
        <v>53</v>
      </c>
      <c r="H15290" t="s">
        <v>40</v>
      </c>
      <c r="I15290" t="s">
        <v>2188</v>
      </c>
      <c r="J15290" s="10">
        <v>1.33</v>
      </c>
      <c r="K15290" t="b">
        <v>1</v>
      </c>
    </row>
    <row r="15291" spans="1:11">
      <c r="A15291" s="12">
        <v>43552</v>
      </c>
      <c r="B15291">
        <v>2019</v>
      </c>
      <c r="C15291">
        <v>3</v>
      </c>
      <c r="D15291" s="11">
        <v>43525</v>
      </c>
      <c r="E15291" t="s">
        <v>2175</v>
      </c>
      <c r="F15291">
        <v>4</v>
      </c>
      <c r="G15291" t="s">
        <v>53</v>
      </c>
      <c r="H15291" t="s">
        <v>41</v>
      </c>
      <c r="I15291" t="s">
        <v>2189</v>
      </c>
      <c r="J15291" s="10">
        <v>6.43</v>
      </c>
      <c r="K15291" t="b">
        <v>1</v>
      </c>
    </row>
    <row r="15292" spans="1:11">
      <c r="A15292" s="12">
        <v>43552</v>
      </c>
      <c r="B15292">
        <v>2019</v>
      </c>
      <c r="C15292">
        <v>3</v>
      </c>
      <c r="D15292" s="11">
        <v>43525</v>
      </c>
      <c r="E15292" t="s">
        <v>2175</v>
      </c>
      <c r="F15292">
        <v>4</v>
      </c>
      <c r="G15292" t="s">
        <v>53</v>
      </c>
      <c r="H15292" t="s">
        <v>42</v>
      </c>
      <c r="I15292" t="s">
        <v>2190</v>
      </c>
      <c r="J15292" s="10">
        <v>1.4</v>
      </c>
      <c r="K15292" t="b">
        <v>1</v>
      </c>
    </row>
    <row r="15293" spans="1:11">
      <c r="A15293" s="12">
        <v>43552</v>
      </c>
      <c r="B15293">
        <v>2019</v>
      </c>
      <c r="C15293">
        <v>3</v>
      </c>
      <c r="D15293" s="11">
        <v>43525</v>
      </c>
      <c r="E15293" t="s">
        <v>2175</v>
      </c>
      <c r="F15293">
        <v>4</v>
      </c>
      <c r="G15293" t="s">
        <v>53</v>
      </c>
      <c r="H15293" t="s">
        <v>43</v>
      </c>
      <c r="I15293" t="s">
        <v>2191</v>
      </c>
      <c r="J15293" s="10">
        <v>14</v>
      </c>
      <c r="K15293" t="b">
        <v>1</v>
      </c>
    </row>
    <row r="15294" spans="1:11">
      <c r="A15294" s="12">
        <v>43552</v>
      </c>
      <c r="B15294">
        <v>2019</v>
      </c>
      <c r="C15294">
        <v>3</v>
      </c>
      <c r="D15294" s="11">
        <v>43525</v>
      </c>
      <c r="E15294" t="s">
        <v>2175</v>
      </c>
      <c r="F15294">
        <v>4</v>
      </c>
      <c r="G15294" t="s">
        <v>53</v>
      </c>
      <c r="H15294" t="s">
        <v>44</v>
      </c>
      <c r="I15294" t="s">
        <v>2192</v>
      </c>
      <c r="J15294" s="10">
        <v>6</v>
      </c>
      <c r="K15294" t="b">
        <v>1</v>
      </c>
    </row>
    <row r="15295" spans="1:11">
      <c r="A15295" s="12">
        <v>43552</v>
      </c>
      <c r="B15295">
        <v>2019</v>
      </c>
      <c r="C15295">
        <v>3</v>
      </c>
      <c r="D15295" s="11">
        <v>43525</v>
      </c>
      <c r="E15295" t="s">
        <v>2175</v>
      </c>
      <c r="F15295">
        <v>4</v>
      </c>
      <c r="G15295" t="s">
        <v>53</v>
      </c>
      <c r="H15295" t="s">
        <v>45</v>
      </c>
      <c r="I15295" t="s">
        <v>2193</v>
      </c>
      <c r="J15295" s="10">
        <v>0</v>
      </c>
      <c r="K15295" t="b">
        <v>1</v>
      </c>
    </row>
    <row r="15296" spans="1:11">
      <c r="A15296" s="12">
        <v>43552</v>
      </c>
      <c r="B15296">
        <v>2019</v>
      </c>
      <c r="C15296">
        <v>3</v>
      </c>
      <c r="D15296" s="11">
        <v>43525</v>
      </c>
      <c r="E15296" t="s">
        <v>2175</v>
      </c>
      <c r="F15296">
        <v>4</v>
      </c>
      <c r="G15296" t="s">
        <v>53</v>
      </c>
      <c r="H15296" t="s">
        <v>46</v>
      </c>
      <c r="I15296" t="s">
        <v>2194</v>
      </c>
      <c r="J15296" s="10">
        <v>7</v>
      </c>
      <c r="K15296" t="b">
        <v>1</v>
      </c>
    </row>
    <row r="15297" spans="1:11">
      <c r="A15297" s="12">
        <v>43552</v>
      </c>
      <c r="B15297">
        <v>2019</v>
      </c>
      <c r="C15297">
        <v>3</v>
      </c>
      <c r="D15297" s="11">
        <v>43525</v>
      </c>
      <c r="E15297" t="s">
        <v>2175</v>
      </c>
      <c r="F15297">
        <v>4</v>
      </c>
      <c r="G15297" t="s">
        <v>53</v>
      </c>
      <c r="H15297" t="s">
        <v>47</v>
      </c>
      <c r="I15297" t="s">
        <v>2195</v>
      </c>
      <c r="J15297" s="10">
        <v>1</v>
      </c>
      <c r="K15297" t="b">
        <v>1</v>
      </c>
    </row>
    <row r="15298" spans="1:11">
      <c r="A15298" s="12">
        <v>43553</v>
      </c>
      <c r="B15298">
        <v>2019</v>
      </c>
      <c r="C15298">
        <v>3</v>
      </c>
      <c r="D15298" s="11">
        <v>43525</v>
      </c>
      <c r="E15298" t="s">
        <v>2175</v>
      </c>
      <c r="F15298">
        <v>5</v>
      </c>
      <c r="G15298" t="s">
        <v>55</v>
      </c>
      <c r="H15298" t="s">
        <v>40</v>
      </c>
      <c r="I15298" t="s">
        <v>2188</v>
      </c>
      <c r="J15298" s="10">
        <v>3</v>
      </c>
      <c r="K15298" t="b">
        <v>1</v>
      </c>
    </row>
    <row r="15299" spans="1:11">
      <c r="A15299" s="12">
        <v>43553</v>
      </c>
      <c r="B15299">
        <v>2019</v>
      </c>
      <c r="C15299">
        <v>3</v>
      </c>
      <c r="D15299" s="11">
        <v>43525</v>
      </c>
      <c r="E15299" t="s">
        <v>2175</v>
      </c>
      <c r="F15299">
        <v>5</v>
      </c>
      <c r="G15299" t="s">
        <v>55</v>
      </c>
      <c r="H15299" t="s">
        <v>41</v>
      </c>
      <c r="I15299" t="s">
        <v>2189</v>
      </c>
      <c r="J15299" s="10">
        <v>4.298</v>
      </c>
      <c r="K15299" t="b">
        <v>1</v>
      </c>
    </row>
    <row r="15300" spans="1:11">
      <c r="A15300" s="12">
        <v>43553</v>
      </c>
      <c r="B15300">
        <v>2019</v>
      </c>
      <c r="C15300">
        <v>3</v>
      </c>
      <c r="D15300" s="11">
        <v>43525</v>
      </c>
      <c r="E15300" t="s">
        <v>2175</v>
      </c>
      <c r="F15300">
        <v>5</v>
      </c>
      <c r="G15300" t="s">
        <v>55</v>
      </c>
      <c r="H15300" t="s">
        <v>42</v>
      </c>
      <c r="I15300" t="s">
        <v>2190</v>
      </c>
      <c r="J15300" s="10">
        <v>4</v>
      </c>
      <c r="K15300" t="b">
        <v>1</v>
      </c>
    </row>
    <row r="15301" spans="1:11">
      <c r="A15301" s="12">
        <v>43553</v>
      </c>
      <c r="B15301">
        <v>2019</v>
      </c>
      <c r="C15301">
        <v>3</v>
      </c>
      <c r="D15301" s="11">
        <v>43525</v>
      </c>
      <c r="E15301" t="s">
        <v>2175</v>
      </c>
      <c r="F15301">
        <v>5</v>
      </c>
      <c r="G15301" t="s">
        <v>55</v>
      </c>
      <c r="H15301" t="s">
        <v>43</v>
      </c>
      <c r="I15301" t="s">
        <v>2191</v>
      </c>
      <c r="J15301" s="10">
        <v>25.3</v>
      </c>
      <c r="K15301" t="b">
        <v>1</v>
      </c>
    </row>
    <row r="15302" spans="1:11">
      <c r="A15302" s="12">
        <v>43553</v>
      </c>
      <c r="B15302">
        <v>2019</v>
      </c>
      <c r="C15302">
        <v>3</v>
      </c>
      <c r="D15302" s="11">
        <v>43525</v>
      </c>
      <c r="E15302" t="s">
        <v>2175</v>
      </c>
      <c r="F15302">
        <v>5</v>
      </c>
      <c r="G15302" t="s">
        <v>55</v>
      </c>
      <c r="H15302" t="s">
        <v>44</v>
      </c>
      <c r="I15302" t="s">
        <v>2192</v>
      </c>
      <c r="J15302" s="10">
        <v>10</v>
      </c>
      <c r="K15302" t="b">
        <v>1</v>
      </c>
    </row>
    <row r="15303" spans="1:11">
      <c r="A15303" s="12">
        <v>43553</v>
      </c>
      <c r="B15303">
        <v>2019</v>
      </c>
      <c r="C15303">
        <v>3</v>
      </c>
      <c r="D15303" s="11">
        <v>43525</v>
      </c>
      <c r="E15303" t="s">
        <v>2175</v>
      </c>
      <c r="F15303">
        <v>5</v>
      </c>
      <c r="G15303" t="s">
        <v>55</v>
      </c>
      <c r="H15303" t="s">
        <v>45</v>
      </c>
      <c r="I15303" t="s">
        <v>2193</v>
      </c>
      <c r="J15303" s="10">
        <v>0</v>
      </c>
      <c r="K15303" t="b">
        <v>1</v>
      </c>
    </row>
    <row r="15304" spans="1:11">
      <c r="A15304" s="12">
        <v>43553</v>
      </c>
      <c r="B15304">
        <v>2019</v>
      </c>
      <c r="C15304">
        <v>3</v>
      </c>
      <c r="D15304" s="11">
        <v>43525</v>
      </c>
      <c r="E15304" t="s">
        <v>2175</v>
      </c>
      <c r="F15304">
        <v>5</v>
      </c>
      <c r="G15304" t="s">
        <v>55</v>
      </c>
      <c r="H15304" t="s">
        <v>46</v>
      </c>
      <c r="I15304" t="s">
        <v>2194</v>
      </c>
      <c r="J15304" s="10">
        <v>16</v>
      </c>
      <c r="K15304" t="b">
        <v>1</v>
      </c>
    </row>
    <row r="15305" spans="1:11">
      <c r="A15305" s="12">
        <v>43553</v>
      </c>
      <c r="B15305">
        <v>2019</v>
      </c>
      <c r="C15305">
        <v>3</v>
      </c>
      <c r="D15305" s="11">
        <v>43525</v>
      </c>
      <c r="E15305" t="s">
        <v>2175</v>
      </c>
      <c r="F15305">
        <v>5</v>
      </c>
      <c r="G15305" t="s">
        <v>55</v>
      </c>
      <c r="H15305" t="s">
        <v>47</v>
      </c>
      <c r="I15305" t="s">
        <v>2195</v>
      </c>
      <c r="J15305" s="10">
        <v>9.199999999999999</v>
      </c>
      <c r="K15305" t="b">
        <v>1</v>
      </c>
    </row>
    <row r="15306" spans="1:11">
      <c r="A15306" s="12">
        <v>43554</v>
      </c>
      <c r="B15306">
        <v>2019</v>
      </c>
      <c r="C15306">
        <v>3</v>
      </c>
      <c r="D15306" s="11">
        <v>43525</v>
      </c>
      <c r="E15306" t="s">
        <v>2175</v>
      </c>
      <c r="F15306">
        <v>6</v>
      </c>
      <c r="G15306" t="s">
        <v>57</v>
      </c>
      <c r="H15306" t="s">
        <v>40</v>
      </c>
      <c r="I15306" t="s">
        <v>2188</v>
      </c>
      <c r="J15306" s="10">
        <v>4.66</v>
      </c>
      <c r="K15306" t="b">
        <v>1</v>
      </c>
    </row>
    <row r="15307" spans="1:11">
      <c r="A15307" s="12">
        <v>43554</v>
      </c>
      <c r="B15307">
        <v>2019</v>
      </c>
      <c r="C15307">
        <v>3</v>
      </c>
      <c r="D15307" s="11">
        <v>43525</v>
      </c>
      <c r="E15307" t="s">
        <v>2175</v>
      </c>
      <c r="F15307">
        <v>6</v>
      </c>
      <c r="G15307" t="s">
        <v>57</v>
      </c>
      <c r="H15307" t="s">
        <v>41</v>
      </c>
      <c r="I15307" t="s">
        <v>2189</v>
      </c>
      <c r="J15307" s="10">
        <v>10.68</v>
      </c>
      <c r="K15307" t="b">
        <v>1</v>
      </c>
    </row>
    <row r="15308" spans="1:11">
      <c r="A15308" s="12">
        <v>43554</v>
      </c>
      <c r="B15308">
        <v>2019</v>
      </c>
      <c r="C15308">
        <v>3</v>
      </c>
      <c r="D15308" s="11">
        <v>43525</v>
      </c>
      <c r="E15308" t="s">
        <v>2175</v>
      </c>
      <c r="F15308">
        <v>6</v>
      </c>
      <c r="G15308" t="s">
        <v>57</v>
      </c>
      <c r="H15308" t="s">
        <v>42</v>
      </c>
      <c r="I15308" t="s">
        <v>2190</v>
      </c>
      <c r="J15308" s="10">
        <v>1.1</v>
      </c>
      <c r="K15308" t="b">
        <v>1</v>
      </c>
    </row>
    <row r="15309" spans="1:11">
      <c r="A15309" s="12">
        <v>43554</v>
      </c>
      <c r="B15309">
        <v>2019</v>
      </c>
      <c r="C15309">
        <v>3</v>
      </c>
      <c r="D15309" s="11">
        <v>43525</v>
      </c>
      <c r="E15309" t="s">
        <v>2175</v>
      </c>
      <c r="F15309">
        <v>6</v>
      </c>
      <c r="G15309" t="s">
        <v>57</v>
      </c>
      <c r="H15309" t="s">
        <v>43</v>
      </c>
      <c r="I15309" t="s">
        <v>2191</v>
      </c>
      <c r="J15309" s="10">
        <v>18</v>
      </c>
      <c r="K15309" t="b">
        <v>1</v>
      </c>
    </row>
    <row r="15310" spans="1:11">
      <c r="A15310" s="12">
        <v>43554</v>
      </c>
      <c r="B15310">
        <v>2019</v>
      </c>
      <c r="C15310">
        <v>3</v>
      </c>
      <c r="D15310" s="11">
        <v>43525</v>
      </c>
      <c r="E15310" t="s">
        <v>2175</v>
      </c>
      <c r="F15310">
        <v>6</v>
      </c>
      <c r="G15310" t="s">
        <v>57</v>
      </c>
      <c r="H15310" t="s">
        <v>44</v>
      </c>
      <c r="I15310" t="s">
        <v>2192</v>
      </c>
      <c r="J15310" s="10">
        <v>11</v>
      </c>
      <c r="K15310" t="b">
        <v>1</v>
      </c>
    </row>
    <row r="15311" spans="1:11">
      <c r="A15311" s="12">
        <v>43554</v>
      </c>
      <c r="B15311">
        <v>2019</v>
      </c>
      <c r="C15311">
        <v>3</v>
      </c>
      <c r="D15311" s="11">
        <v>43525</v>
      </c>
      <c r="E15311" t="s">
        <v>2175</v>
      </c>
      <c r="F15311">
        <v>6</v>
      </c>
      <c r="G15311" t="s">
        <v>57</v>
      </c>
      <c r="H15311" t="s">
        <v>45</v>
      </c>
      <c r="I15311" t="s">
        <v>2193</v>
      </c>
      <c r="J15311" s="10">
        <v>1</v>
      </c>
      <c r="K15311" t="b">
        <v>1</v>
      </c>
    </row>
    <row r="15312" spans="1:11">
      <c r="A15312" s="12">
        <v>43554</v>
      </c>
      <c r="B15312">
        <v>2019</v>
      </c>
      <c r="C15312">
        <v>3</v>
      </c>
      <c r="D15312" s="11">
        <v>43525</v>
      </c>
      <c r="E15312" t="s">
        <v>2175</v>
      </c>
      <c r="F15312">
        <v>6</v>
      </c>
      <c r="G15312" t="s">
        <v>57</v>
      </c>
      <c r="H15312" t="s">
        <v>46</v>
      </c>
      <c r="I15312" t="s">
        <v>2194</v>
      </c>
      <c r="J15312" s="10">
        <v>0</v>
      </c>
      <c r="K15312" t="b">
        <v>1</v>
      </c>
    </row>
    <row r="15313" spans="1:11">
      <c r="A15313" s="12">
        <v>43554</v>
      </c>
      <c r="B15313">
        <v>2019</v>
      </c>
      <c r="C15313">
        <v>3</v>
      </c>
      <c r="D15313" s="11">
        <v>43525</v>
      </c>
      <c r="E15313" t="s">
        <v>2175</v>
      </c>
      <c r="F15313">
        <v>6</v>
      </c>
      <c r="G15313" t="s">
        <v>57</v>
      </c>
      <c r="H15313" t="s">
        <v>47</v>
      </c>
      <c r="I15313" t="s">
        <v>2195</v>
      </c>
      <c r="J15313" s="10">
        <v>6.1</v>
      </c>
      <c r="K15313" t="b">
        <v>1</v>
      </c>
    </row>
    <row r="15314" spans="1:11">
      <c r="A15314" s="12">
        <v>43555</v>
      </c>
      <c r="B15314">
        <v>2019</v>
      </c>
      <c r="C15314">
        <v>3</v>
      </c>
      <c r="D15314" s="11">
        <v>43525</v>
      </c>
      <c r="E15314" t="s">
        <v>2175</v>
      </c>
      <c r="F15314">
        <v>7</v>
      </c>
      <c r="G15314" t="s">
        <v>59</v>
      </c>
      <c r="H15314" t="s">
        <v>40</v>
      </c>
      <c r="I15314" t="s">
        <v>2188</v>
      </c>
      <c r="J15314" s="10">
        <v>7</v>
      </c>
      <c r="K15314" t="b">
        <v>1</v>
      </c>
    </row>
    <row r="15315" spans="1:11">
      <c r="A15315" s="12">
        <v>43555</v>
      </c>
      <c r="B15315">
        <v>2019</v>
      </c>
      <c r="C15315">
        <v>3</v>
      </c>
      <c r="D15315" s="11">
        <v>43525</v>
      </c>
      <c r="E15315" t="s">
        <v>2175</v>
      </c>
      <c r="F15315">
        <v>7</v>
      </c>
      <c r="G15315" t="s">
        <v>59</v>
      </c>
      <c r="H15315" t="s">
        <v>41</v>
      </c>
      <c r="I15315" t="s">
        <v>2189</v>
      </c>
      <c r="J15315" s="10">
        <v>4.564</v>
      </c>
      <c r="K15315" t="b">
        <v>1</v>
      </c>
    </row>
    <row r="15316" spans="1:11">
      <c r="A15316" s="12">
        <v>43555</v>
      </c>
      <c r="B15316">
        <v>2019</v>
      </c>
      <c r="C15316">
        <v>3</v>
      </c>
      <c r="D15316" s="11">
        <v>43525</v>
      </c>
      <c r="E15316" t="s">
        <v>2175</v>
      </c>
      <c r="F15316">
        <v>7</v>
      </c>
      <c r="G15316" t="s">
        <v>59</v>
      </c>
      <c r="H15316" t="s">
        <v>42</v>
      </c>
      <c r="I15316" t="s">
        <v>2190</v>
      </c>
      <c r="J15316" s="10">
        <v>1.5</v>
      </c>
      <c r="K15316" t="b">
        <v>1</v>
      </c>
    </row>
    <row r="15317" spans="1:11">
      <c r="A15317" s="12">
        <v>43555</v>
      </c>
      <c r="B15317">
        <v>2019</v>
      </c>
      <c r="C15317">
        <v>3</v>
      </c>
      <c r="D15317" s="11">
        <v>43525</v>
      </c>
      <c r="E15317" t="s">
        <v>2175</v>
      </c>
      <c r="F15317">
        <v>7</v>
      </c>
      <c r="G15317" t="s">
        <v>59</v>
      </c>
      <c r="H15317" t="s">
        <v>43</v>
      </c>
      <c r="I15317" t="s">
        <v>2191</v>
      </c>
      <c r="J15317" s="10">
        <v>27</v>
      </c>
      <c r="K15317" t="b">
        <v>1</v>
      </c>
    </row>
    <row r="15318" spans="1:11">
      <c r="A15318" s="12">
        <v>43555</v>
      </c>
      <c r="B15318">
        <v>2019</v>
      </c>
      <c r="C15318">
        <v>3</v>
      </c>
      <c r="D15318" s="11">
        <v>43525</v>
      </c>
      <c r="E15318" t="s">
        <v>2175</v>
      </c>
      <c r="F15318">
        <v>7</v>
      </c>
      <c r="G15318" t="s">
        <v>59</v>
      </c>
      <c r="H15318" t="s">
        <v>44</v>
      </c>
      <c r="I15318" t="s">
        <v>2192</v>
      </c>
      <c r="J15318" s="10">
        <v>8</v>
      </c>
      <c r="K15318" t="b">
        <v>1</v>
      </c>
    </row>
    <row r="15319" spans="1:11">
      <c r="A15319" s="12">
        <v>43555</v>
      </c>
      <c r="B15319">
        <v>2019</v>
      </c>
      <c r="C15319">
        <v>3</v>
      </c>
      <c r="D15319" s="11">
        <v>43525</v>
      </c>
      <c r="E15319" t="s">
        <v>2175</v>
      </c>
      <c r="F15319">
        <v>7</v>
      </c>
      <c r="G15319" t="s">
        <v>59</v>
      </c>
      <c r="H15319" t="s">
        <v>45</v>
      </c>
      <c r="I15319" t="s">
        <v>2193</v>
      </c>
      <c r="J15319" s="10">
        <v>1</v>
      </c>
      <c r="K15319" t="b">
        <v>1</v>
      </c>
    </row>
    <row r="15320" spans="1:11">
      <c r="A15320" s="12">
        <v>43555</v>
      </c>
      <c r="B15320">
        <v>2019</v>
      </c>
      <c r="C15320">
        <v>3</v>
      </c>
      <c r="D15320" s="11">
        <v>43525</v>
      </c>
      <c r="E15320" t="s">
        <v>2175</v>
      </c>
      <c r="F15320">
        <v>7</v>
      </c>
      <c r="G15320" t="s">
        <v>59</v>
      </c>
      <c r="H15320" t="s">
        <v>46</v>
      </c>
      <c r="I15320" t="s">
        <v>2194</v>
      </c>
      <c r="J15320" s="10">
        <v>5</v>
      </c>
      <c r="K15320" t="b">
        <v>1</v>
      </c>
    </row>
    <row r="15321" spans="1:11">
      <c r="A15321" s="12">
        <v>43555</v>
      </c>
      <c r="B15321">
        <v>2019</v>
      </c>
      <c r="C15321">
        <v>3</v>
      </c>
      <c r="D15321" s="11">
        <v>43525</v>
      </c>
      <c r="E15321" t="s">
        <v>2175</v>
      </c>
      <c r="F15321">
        <v>7</v>
      </c>
      <c r="G15321" t="s">
        <v>59</v>
      </c>
      <c r="H15321" t="s">
        <v>47</v>
      </c>
      <c r="I15321" t="s">
        <v>2195</v>
      </c>
      <c r="J15321" s="10">
        <v>9.199999999999999</v>
      </c>
      <c r="K15321" t="b">
        <v>1</v>
      </c>
    </row>
    <row r="15322" spans="1:11">
      <c r="A15322" s="12">
        <v>43556</v>
      </c>
      <c r="B15322">
        <v>2019</v>
      </c>
      <c r="C15322">
        <v>4</v>
      </c>
      <c r="D15322" s="11">
        <v>43556</v>
      </c>
      <c r="E15322" t="s">
        <v>2176</v>
      </c>
      <c r="F15322">
        <v>1</v>
      </c>
      <c r="G15322" t="s">
        <v>61</v>
      </c>
      <c r="H15322" t="s">
        <v>40</v>
      </c>
      <c r="I15322" t="s">
        <v>2188</v>
      </c>
      <c r="J15322" s="10">
        <v>3.01</v>
      </c>
      <c r="K15322" t="b">
        <v>1</v>
      </c>
    </row>
    <row r="15323" spans="1:11">
      <c r="A15323" s="12">
        <v>43556</v>
      </c>
      <c r="B15323">
        <v>2019</v>
      </c>
      <c r="C15323">
        <v>4</v>
      </c>
      <c r="D15323" s="11">
        <v>43556</v>
      </c>
      <c r="E15323" t="s">
        <v>2176</v>
      </c>
      <c r="F15323">
        <v>1</v>
      </c>
      <c r="G15323" t="s">
        <v>61</v>
      </c>
      <c r="H15323" t="s">
        <v>41</v>
      </c>
      <c r="I15323" t="s">
        <v>2189</v>
      </c>
      <c r="J15323" s="10">
        <v>1.703</v>
      </c>
      <c r="K15323" t="b">
        <v>1</v>
      </c>
    </row>
    <row r="15324" spans="1:11">
      <c r="A15324" s="12">
        <v>43556</v>
      </c>
      <c r="B15324">
        <v>2019</v>
      </c>
      <c r="C15324">
        <v>4</v>
      </c>
      <c r="D15324" s="11">
        <v>43556</v>
      </c>
      <c r="E15324" t="s">
        <v>2176</v>
      </c>
      <c r="F15324">
        <v>1</v>
      </c>
      <c r="G15324" t="s">
        <v>61</v>
      </c>
      <c r="H15324" t="s">
        <v>42</v>
      </c>
      <c r="I15324" t="s">
        <v>2190</v>
      </c>
      <c r="J15324" s="10">
        <v>3</v>
      </c>
      <c r="K15324" t="b">
        <v>1</v>
      </c>
    </row>
    <row r="15325" spans="1:11">
      <c r="A15325" s="12">
        <v>43556</v>
      </c>
      <c r="B15325">
        <v>2019</v>
      </c>
      <c r="C15325">
        <v>4</v>
      </c>
      <c r="D15325" s="11">
        <v>43556</v>
      </c>
      <c r="E15325" t="s">
        <v>2176</v>
      </c>
      <c r="F15325">
        <v>1</v>
      </c>
      <c r="G15325" t="s">
        <v>61</v>
      </c>
      <c r="H15325" t="s">
        <v>43</v>
      </c>
      <c r="I15325" t="s">
        <v>2191</v>
      </c>
      <c r="J15325" s="10">
        <v>34.65</v>
      </c>
      <c r="K15325" t="b">
        <v>1</v>
      </c>
    </row>
    <row r="15326" spans="1:11">
      <c r="A15326" s="12">
        <v>43556</v>
      </c>
      <c r="B15326">
        <v>2019</v>
      </c>
      <c r="C15326">
        <v>4</v>
      </c>
      <c r="D15326" s="11">
        <v>43556</v>
      </c>
      <c r="E15326" t="s">
        <v>2176</v>
      </c>
      <c r="F15326">
        <v>1</v>
      </c>
      <c r="G15326" t="s">
        <v>61</v>
      </c>
      <c r="H15326" t="s">
        <v>44</v>
      </c>
      <c r="I15326" t="s">
        <v>2192</v>
      </c>
      <c r="J15326" s="10">
        <v>12</v>
      </c>
      <c r="K15326" t="b">
        <v>1</v>
      </c>
    </row>
    <row r="15327" spans="1:11">
      <c r="A15327" s="12">
        <v>43556</v>
      </c>
      <c r="B15327">
        <v>2019</v>
      </c>
      <c r="C15327">
        <v>4</v>
      </c>
      <c r="D15327" s="11">
        <v>43556</v>
      </c>
      <c r="E15327" t="s">
        <v>2176</v>
      </c>
      <c r="F15327">
        <v>1</v>
      </c>
      <c r="G15327" t="s">
        <v>61</v>
      </c>
      <c r="H15327" t="s">
        <v>45</v>
      </c>
      <c r="I15327" t="s">
        <v>2193</v>
      </c>
      <c r="J15327" s="10">
        <v>0</v>
      </c>
      <c r="K15327" t="b">
        <v>1</v>
      </c>
    </row>
    <row r="15328" spans="1:11">
      <c r="A15328" s="12">
        <v>43556</v>
      </c>
      <c r="B15328">
        <v>2019</v>
      </c>
      <c r="C15328">
        <v>4</v>
      </c>
      <c r="D15328" s="11">
        <v>43556</v>
      </c>
      <c r="E15328" t="s">
        <v>2176</v>
      </c>
      <c r="F15328">
        <v>1</v>
      </c>
      <c r="G15328" t="s">
        <v>61</v>
      </c>
      <c r="H15328" t="s">
        <v>46</v>
      </c>
      <c r="I15328" t="s">
        <v>2194</v>
      </c>
      <c r="J15328" s="10">
        <v>5</v>
      </c>
      <c r="K15328" t="b">
        <v>1</v>
      </c>
    </row>
    <row r="15329" spans="1:11">
      <c r="A15329" s="12">
        <v>43556</v>
      </c>
      <c r="B15329">
        <v>2019</v>
      </c>
      <c r="C15329">
        <v>4</v>
      </c>
      <c r="D15329" s="11">
        <v>43556</v>
      </c>
      <c r="E15329" t="s">
        <v>2176</v>
      </c>
      <c r="F15329">
        <v>1</v>
      </c>
      <c r="G15329" t="s">
        <v>61</v>
      </c>
      <c r="H15329" t="s">
        <v>47</v>
      </c>
      <c r="I15329" t="s">
        <v>2195</v>
      </c>
      <c r="J15329" s="10">
        <v>5</v>
      </c>
      <c r="K15329" t="b">
        <v>1</v>
      </c>
    </row>
    <row r="15330" spans="1:11">
      <c r="A15330" s="12">
        <v>43557</v>
      </c>
      <c r="B15330">
        <v>2019</v>
      </c>
      <c r="C15330">
        <v>4</v>
      </c>
      <c r="D15330" s="11">
        <v>43556</v>
      </c>
      <c r="E15330" t="s">
        <v>2176</v>
      </c>
      <c r="F15330">
        <v>2</v>
      </c>
      <c r="G15330" t="s">
        <v>63</v>
      </c>
      <c r="H15330" t="s">
        <v>40</v>
      </c>
      <c r="I15330" t="s">
        <v>2188</v>
      </c>
      <c r="J15330" s="10">
        <v>7.67</v>
      </c>
      <c r="K15330" t="b">
        <v>1</v>
      </c>
    </row>
    <row r="15331" spans="1:11">
      <c r="A15331" s="12">
        <v>43557</v>
      </c>
      <c r="B15331">
        <v>2019</v>
      </c>
      <c r="C15331">
        <v>4</v>
      </c>
      <c r="D15331" s="11">
        <v>43556</v>
      </c>
      <c r="E15331" t="s">
        <v>2176</v>
      </c>
      <c r="F15331">
        <v>2</v>
      </c>
      <c r="G15331" t="s">
        <v>63</v>
      </c>
      <c r="H15331" t="s">
        <v>41</v>
      </c>
      <c r="I15331" t="s">
        <v>2189</v>
      </c>
      <c r="J15331" s="10">
        <v>1.33</v>
      </c>
      <c r="K15331" t="b">
        <v>1</v>
      </c>
    </row>
    <row r="15332" spans="1:11">
      <c r="A15332" s="12">
        <v>43557</v>
      </c>
      <c r="B15332">
        <v>2019</v>
      </c>
      <c r="C15332">
        <v>4</v>
      </c>
      <c r="D15332" s="11">
        <v>43556</v>
      </c>
      <c r="E15332" t="s">
        <v>2176</v>
      </c>
      <c r="F15332">
        <v>2</v>
      </c>
      <c r="G15332" t="s">
        <v>63</v>
      </c>
      <c r="H15332" t="s">
        <v>42</v>
      </c>
      <c r="I15332" t="s">
        <v>2190</v>
      </c>
      <c r="J15332" s="10">
        <v>3</v>
      </c>
      <c r="K15332" t="b">
        <v>1</v>
      </c>
    </row>
    <row r="15333" spans="1:11">
      <c r="A15333" s="12">
        <v>43557</v>
      </c>
      <c r="B15333">
        <v>2019</v>
      </c>
      <c r="C15333">
        <v>4</v>
      </c>
      <c r="D15333" s="11">
        <v>43556</v>
      </c>
      <c r="E15333" t="s">
        <v>2176</v>
      </c>
      <c r="F15333">
        <v>2</v>
      </c>
      <c r="G15333" t="s">
        <v>63</v>
      </c>
      <c r="H15333" t="s">
        <v>43</v>
      </c>
      <c r="I15333" t="s">
        <v>2191</v>
      </c>
      <c r="J15333" s="10">
        <v>24</v>
      </c>
      <c r="K15333" t="b">
        <v>1</v>
      </c>
    </row>
    <row r="15334" spans="1:11">
      <c r="A15334" s="12">
        <v>43557</v>
      </c>
      <c r="B15334">
        <v>2019</v>
      </c>
      <c r="C15334">
        <v>4</v>
      </c>
      <c r="D15334" s="11">
        <v>43556</v>
      </c>
      <c r="E15334" t="s">
        <v>2176</v>
      </c>
      <c r="F15334">
        <v>2</v>
      </c>
      <c r="G15334" t="s">
        <v>63</v>
      </c>
      <c r="H15334" t="s">
        <v>44</v>
      </c>
      <c r="I15334" t="s">
        <v>2192</v>
      </c>
      <c r="J15334" s="10">
        <v>7</v>
      </c>
      <c r="K15334" t="b">
        <v>1</v>
      </c>
    </row>
    <row r="15335" spans="1:11">
      <c r="A15335" s="12">
        <v>43557</v>
      </c>
      <c r="B15335">
        <v>2019</v>
      </c>
      <c r="C15335">
        <v>4</v>
      </c>
      <c r="D15335" s="11">
        <v>43556</v>
      </c>
      <c r="E15335" t="s">
        <v>2176</v>
      </c>
      <c r="F15335">
        <v>2</v>
      </c>
      <c r="G15335" t="s">
        <v>63</v>
      </c>
      <c r="H15335" t="s">
        <v>45</v>
      </c>
      <c r="I15335" t="s">
        <v>2193</v>
      </c>
      <c r="J15335" s="10">
        <v>0</v>
      </c>
      <c r="K15335" t="b">
        <v>1</v>
      </c>
    </row>
    <row r="15336" spans="1:11">
      <c r="A15336" s="12">
        <v>43557</v>
      </c>
      <c r="B15336">
        <v>2019</v>
      </c>
      <c r="C15336">
        <v>4</v>
      </c>
      <c r="D15336" s="11">
        <v>43556</v>
      </c>
      <c r="E15336" t="s">
        <v>2176</v>
      </c>
      <c r="F15336">
        <v>2</v>
      </c>
      <c r="G15336" t="s">
        <v>63</v>
      </c>
      <c r="H15336" t="s">
        <v>46</v>
      </c>
      <c r="I15336" t="s">
        <v>2194</v>
      </c>
      <c r="J15336" s="10">
        <v>10</v>
      </c>
      <c r="K15336" t="b">
        <v>1</v>
      </c>
    </row>
    <row r="15337" spans="1:11">
      <c r="A15337" s="12">
        <v>43557</v>
      </c>
      <c r="B15337">
        <v>2019</v>
      </c>
      <c r="C15337">
        <v>4</v>
      </c>
      <c r="D15337" s="11">
        <v>43556</v>
      </c>
      <c r="E15337" t="s">
        <v>2176</v>
      </c>
      <c r="F15337">
        <v>2</v>
      </c>
      <c r="G15337" t="s">
        <v>63</v>
      </c>
      <c r="H15337" t="s">
        <v>47</v>
      </c>
      <c r="I15337" t="s">
        <v>2195</v>
      </c>
      <c r="J15337" s="10">
        <v>8</v>
      </c>
      <c r="K15337" t="b">
        <v>1</v>
      </c>
    </row>
    <row r="15338" spans="1:11">
      <c r="A15338" s="12">
        <v>43558</v>
      </c>
      <c r="B15338">
        <v>2019</v>
      </c>
      <c r="C15338">
        <v>4</v>
      </c>
      <c r="D15338" s="11">
        <v>43556</v>
      </c>
      <c r="E15338" t="s">
        <v>2176</v>
      </c>
      <c r="F15338">
        <v>3</v>
      </c>
      <c r="G15338" t="s">
        <v>65</v>
      </c>
      <c r="H15338" t="s">
        <v>40</v>
      </c>
      <c r="I15338" t="s">
        <v>2188</v>
      </c>
      <c r="J15338" s="10">
        <v>5.33</v>
      </c>
      <c r="K15338" t="b">
        <v>1</v>
      </c>
    </row>
    <row r="15339" spans="1:11">
      <c r="A15339" s="12">
        <v>43558</v>
      </c>
      <c r="B15339">
        <v>2019</v>
      </c>
      <c r="C15339">
        <v>4</v>
      </c>
      <c r="D15339" s="11">
        <v>43556</v>
      </c>
      <c r="E15339" t="s">
        <v>2176</v>
      </c>
      <c r="F15339">
        <v>3</v>
      </c>
      <c r="G15339" t="s">
        <v>65</v>
      </c>
      <c r="H15339" t="s">
        <v>41</v>
      </c>
      <c r="I15339" t="s">
        <v>2189</v>
      </c>
      <c r="J15339" s="10">
        <v>5.099</v>
      </c>
      <c r="K15339" t="b">
        <v>1</v>
      </c>
    </row>
    <row r="15340" spans="1:11">
      <c r="A15340" s="12">
        <v>43558</v>
      </c>
      <c r="B15340">
        <v>2019</v>
      </c>
      <c r="C15340">
        <v>4</v>
      </c>
      <c r="D15340" s="11">
        <v>43556</v>
      </c>
      <c r="E15340" t="s">
        <v>2176</v>
      </c>
      <c r="F15340">
        <v>3</v>
      </c>
      <c r="G15340" t="s">
        <v>65</v>
      </c>
      <c r="H15340" t="s">
        <v>42</v>
      </c>
      <c r="I15340" t="s">
        <v>2190</v>
      </c>
      <c r="J15340" s="10">
        <v>1.5</v>
      </c>
      <c r="K15340" t="b">
        <v>1</v>
      </c>
    </row>
    <row r="15341" spans="1:11">
      <c r="A15341" s="12">
        <v>43558</v>
      </c>
      <c r="B15341">
        <v>2019</v>
      </c>
      <c r="C15341">
        <v>4</v>
      </c>
      <c r="D15341" s="11">
        <v>43556</v>
      </c>
      <c r="E15341" t="s">
        <v>2176</v>
      </c>
      <c r="F15341">
        <v>3</v>
      </c>
      <c r="G15341" t="s">
        <v>65</v>
      </c>
      <c r="H15341" t="s">
        <v>43</v>
      </c>
      <c r="I15341" t="s">
        <v>2191</v>
      </c>
      <c r="J15341" s="10">
        <v>18.3</v>
      </c>
      <c r="K15341" t="b">
        <v>1</v>
      </c>
    </row>
    <row r="15342" spans="1:11">
      <c r="A15342" s="12">
        <v>43558</v>
      </c>
      <c r="B15342">
        <v>2019</v>
      </c>
      <c r="C15342">
        <v>4</v>
      </c>
      <c r="D15342" s="11">
        <v>43556</v>
      </c>
      <c r="E15342" t="s">
        <v>2176</v>
      </c>
      <c r="F15342">
        <v>3</v>
      </c>
      <c r="G15342" t="s">
        <v>65</v>
      </c>
      <c r="H15342" t="s">
        <v>44</v>
      </c>
      <c r="I15342" t="s">
        <v>2192</v>
      </c>
      <c r="J15342" s="10">
        <v>12</v>
      </c>
      <c r="K15342" t="b">
        <v>1</v>
      </c>
    </row>
    <row r="15343" spans="1:11">
      <c r="A15343" s="12">
        <v>43558</v>
      </c>
      <c r="B15343">
        <v>2019</v>
      </c>
      <c r="C15343">
        <v>4</v>
      </c>
      <c r="D15343" s="11">
        <v>43556</v>
      </c>
      <c r="E15343" t="s">
        <v>2176</v>
      </c>
      <c r="F15343">
        <v>3</v>
      </c>
      <c r="G15343" t="s">
        <v>65</v>
      </c>
      <c r="H15343" t="s">
        <v>45</v>
      </c>
      <c r="I15343" t="s">
        <v>2193</v>
      </c>
      <c r="J15343" s="10">
        <v>0</v>
      </c>
      <c r="K15343" t="b">
        <v>1</v>
      </c>
    </row>
    <row r="15344" spans="1:11">
      <c r="A15344" s="12">
        <v>43558</v>
      </c>
      <c r="B15344">
        <v>2019</v>
      </c>
      <c r="C15344">
        <v>4</v>
      </c>
      <c r="D15344" s="11">
        <v>43556</v>
      </c>
      <c r="E15344" t="s">
        <v>2176</v>
      </c>
      <c r="F15344">
        <v>3</v>
      </c>
      <c r="G15344" t="s">
        <v>65</v>
      </c>
      <c r="H15344" t="s">
        <v>46</v>
      </c>
      <c r="I15344" t="s">
        <v>2194</v>
      </c>
      <c r="J15344" s="10">
        <v>4</v>
      </c>
      <c r="K15344" t="b">
        <v>1</v>
      </c>
    </row>
    <row r="15345" spans="1:11">
      <c r="A15345" s="12">
        <v>43558</v>
      </c>
      <c r="B15345">
        <v>2019</v>
      </c>
      <c r="C15345">
        <v>4</v>
      </c>
      <c r="D15345" s="11">
        <v>43556</v>
      </c>
      <c r="E15345" t="s">
        <v>2176</v>
      </c>
      <c r="F15345">
        <v>3</v>
      </c>
      <c r="G15345" t="s">
        <v>65</v>
      </c>
      <c r="H15345" t="s">
        <v>47</v>
      </c>
      <c r="I15345" t="s">
        <v>2195</v>
      </c>
      <c r="J15345" s="10">
        <v>9.300000000000001</v>
      </c>
      <c r="K15345" t="b">
        <v>1</v>
      </c>
    </row>
    <row r="15346" spans="1:11">
      <c r="A15346" s="12">
        <v>43559</v>
      </c>
      <c r="B15346">
        <v>2019</v>
      </c>
      <c r="C15346">
        <v>4</v>
      </c>
      <c r="D15346" s="11">
        <v>43556</v>
      </c>
      <c r="E15346" t="s">
        <v>2176</v>
      </c>
      <c r="F15346">
        <v>4</v>
      </c>
      <c r="G15346" t="s">
        <v>53</v>
      </c>
      <c r="H15346" t="s">
        <v>40</v>
      </c>
      <c r="I15346" t="s">
        <v>2188</v>
      </c>
      <c r="J15346" s="10">
        <v>4.5</v>
      </c>
      <c r="K15346" t="b">
        <v>1</v>
      </c>
    </row>
    <row r="15347" spans="1:11">
      <c r="A15347" s="12">
        <v>43559</v>
      </c>
      <c r="B15347">
        <v>2019</v>
      </c>
      <c r="C15347">
        <v>4</v>
      </c>
      <c r="D15347" s="11">
        <v>43556</v>
      </c>
      <c r="E15347" t="s">
        <v>2176</v>
      </c>
      <c r="F15347">
        <v>4</v>
      </c>
      <c r="G15347" t="s">
        <v>53</v>
      </c>
      <c r="H15347" t="s">
        <v>41</v>
      </c>
      <c r="I15347" t="s">
        <v>2189</v>
      </c>
      <c r="J15347" s="10">
        <v>2.226</v>
      </c>
      <c r="K15347" t="b">
        <v>1</v>
      </c>
    </row>
    <row r="15348" spans="1:11">
      <c r="A15348" s="12">
        <v>43559</v>
      </c>
      <c r="B15348">
        <v>2019</v>
      </c>
      <c r="C15348">
        <v>4</v>
      </c>
      <c r="D15348" s="11">
        <v>43556</v>
      </c>
      <c r="E15348" t="s">
        <v>2176</v>
      </c>
      <c r="F15348">
        <v>4</v>
      </c>
      <c r="G15348" t="s">
        <v>53</v>
      </c>
      <c r="H15348" t="s">
        <v>42</v>
      </c>
      <c r="I15348" t="s">
        <v>2190</v>
      </c>
      <c r="J15348" s="10">
        <v>8</v>
      </c>
      <c r="K15348" t="b">
        <v>1</v>
      </c>
    </row>
    <row r="15349" spans="1:11">
      <c r="A15349" s="12">
        <v>43559</v>
      </c>
      <c r="B15349">
        <v>2019</v>
      </c>
      <c r="C15349">
        <v>4</v>
      </c>
      <c r="D15349" s="11">
        <v>43556</v>
      </c>
      <c r="E15349" t="s">
        <v>2176</v>
      </c>
      <c r="F15349">
        <v>4</v>
      </c>
      <c r="G15349" t="s">
        <v>53</v>
      </c>
      <c r="H15349" t="s">
        <v>43</v>
      </c>
      <c r="I15349" t="s">
        <v>2191</v>
      </c>
      <c r="J15349" s="10">
        <v>39</v>
      </c>
      <c r="K15349" t="b">
        <v>1</v>
      </c>
    </row>
    <row r="15350" spans="1:11">
      <c r="A15350" s="12">
        <v>43559</v>
      </c>
      <c r="B15350">
        <v>2019</v>
      </c>
      <c r="C15350">
        <v>4</v>
      </c>
      <c r="D15350" s="11">
        <v>43556</v>
      </c>
      <c r="E15350" t="s">
        <v>2176</v>
      </c>
      <c r="F15350">
        <v>4</v>
      </c>
      <c r="G15350" t="s">
        <v>53</v>
      </c>
      <c r="H15350" t="s">
        <v>44</v>
      </c>
      <c r="I15350" t="s">
        <v>2192</v>
      </c>
      <c r="J15350" s="10">
        <v>8</v>
      </c>
      <c r="K15350" t="b">
        <v>1</v>
      </c>
    </row>
    <row r="15351" spans="1:11">
      <c r="A15351" s="12">
        <v>43559</v>
      </c>
      <c r="B15351">
        <v>2019</v>
      </c>
      <c r="C15351">
        <v>4</v>
      </c>
      <c r="D15351" s="11">
        <v>43556</v>
      </c>
      <c r="E15351" t="s">
        <v>2176</v>
      </c>
      <c r="F15351">
        <v>4</v>
      </c>
      <c r="G15351" t="s">
        <v>53</v>
      </c>
      <c r="H15351" t="s">
        <v>45</v>
      </c>
      <c r="I15351" t="s">
        <v>2193</v>
      </c>
      <c r="J15351" s="10">
        <v>1</v>
      </c>
      <c r="K15351" t="b">
        <v>1</v>
      </c>
    </row>
    <row r="15352" spans="1:11">
      <c r="A15352" s="12">
        <v>43559</v>
      </c>
      <c r="B15352">
        <v>2019</v>
      </c>
      <c r="C15352">
        <v>4</v>
      </c>
      <c r="D15352" s="11">
        <v>43556</v>
      </c>
      <c r="E15352" t="s">
        <v>2176</v>
      </c>
      <c r="F15352">
        <v>4</v>
      </c>
      <c r="G15352" t="s">
        <v>53</v>
      </c>
      <c r="H15352" t="s">
        <v>46</v>
      </c>
      <c r="I15352" t="s">
        <v>2194</v>
      </c>
      <c r="J15352" s="10">
        <v>13</v>
      </c>
      <c r="K15352" t="b">
        <v>1</v>
      </c>
    </row>
    <row r="15353" spans="1:11">
      <c r="A15353" s="12">
        <v>43559</v>
      </c>
      <c r="B15353">
        <v>2019</v>
      </c>
      <c r="C15353">
        <v>4</v>
      </c>
      <c r="D15353" s="11">
        <v>43556</v>
      </c>
      <c r="E15353" t="s">
        <v>2176</v>
      </c>
      <c r="F15353">
        <v>4</v>
      </c>
      <c r="G15353" t="s">
        <v>53</v>
      </c>
      <c r="H15353" t="s">
        <v>47</v>
      </c>
      <c r="I15353" t="s">
        <v>2195</v>
      </c>
      <c r="J15353" s="10">
        <v>15</v>
      </c>
      <c r="K15353" t="b">
        <v>1</v>
      </c>
    </row>
    <row r="15354" spans="1:11">
      <c r="A15354" s="12">
        <v>43560</v>
      </c>
      <c r="B15354">
        <v>2019</v>
      </c>
      <c r="C15354">
        <v>4</v>
      </c>
      <c r="D15354" s="11">
        <v>43556</v>
      </c>
      <c r="E15354" t="s">
        <v>2176</v>
      </c>
      <c r="F15354">
        <v>5</v>
      </c>
      <c r="G15354" t="s">
        <v>55</v>
      </c>
      <c r="H15354" t="s">
        <v>40</v>
      </c>
      <c r="I15354" t="s">
        <v>2188</v>
      </c>
      <c r="J15354" s="10">
        <v>6.34</v>
      </c>
      <c r="K15354" t="b">
        <v>1</v>
      </c>
    </row>
    <row r="15355" spans="1:11">
      <c r="A15355" s="12">
        <v>43560</v>
      </c>
      <c r="B15355">
        <v>2019</v>
      </c>
      <c r="C15355">
        <v>4</v>
      </c>
      <c r="D15355" s="11">
        <v>43556</v>
      </c>
      <c r="E15355" t="s">
        <v>2176</v>
      </c>
      <c r="F15355">
        <v>5</v>
      </c>
      <c r="G15355" t="s">
        <v>55</v>
      </c>
      <c r="H15355" t="s">
        <v>41</v>
      </c>
      <c r="I15355" t="s">
        <v>2189</v>
      </c>
      <c r="J15355" s="10">
        <v>4.198</v>
      </c>
      <c r="K15355" t="b">
        <v>1</v>
      </c>
    </row>
    <row r="15356" spans="1:11">
      <c r="A15356" s="12">
        <v>43560</v>
      </c>
      <c r="B15356">
        <v>2019</v>
      </c>
      <c r="C15356">
        <v>4</v>
      </c>
      <c r="D15356" s="11">
        <v>43556</v>
      </c>
      <c r="E15356" t="s">
        <v>2176</v>
      </c>
      <c r="F15356">
        <v>5</v>
      </c>
      <c r="G15356" t="s">
        <v>55</v>
      </c>
      <c r="H15356" t="s">
        <v>42</v>
      </c>
      <c r="I15356" t="s">
        <v>2190</v>
      </c>
      <c r="J15356" s="10">
        <v>4</v>
      </c>
      <c r="K15356" t="b">
        <v>1</v>
      </c>
    </row>
    <row r="15357" spans="1:11">
      <c r="A15357" s="12">
        <v>43560</v>
      </c>
      <c r="B15357">
        <v>2019</v>
      </c>
      <c r="C15357">
        <v>4</v>
      </c>
      <c r="D15357" s="11">
        <v>43556</v>
      </c>
      <c r="E15357" t="s">
        <v>2176</v>
      </c>
      <c r="F15357">
        <v>5</v>
      </c>
      <c r="G15357" t="s">
        <v>55</v>
      </c>
      <c r="H15357" t="s">
        <v>43</v>
      </c>
      <c r="I15357" t="s">
        <v>2191</v>
      </c>
      <c r="J15357" s="10">
        <v>25.2</v>
      </c>
      <c r="K15357" t="b">
        <v>1</v>
      </c>
    </row>
    <row r="15358" spans="1:11">
      <c r="A15358" s="12">
        <v>43560</v>
      </c>
      <c r="B15358">
        <v>2019</v>
      </c>
      <c r="C15358">
        <v>4</v>
      </c>
      <c r="D15358" s="11">
        <v>43556</v>
      </c>
      <c r="E15358" t="s">
        <v>2176</v>
      </c>
      <c r="F15358">
        <v>5</v>
      </c>
      <c r="G15358" t="s">
        <v>55</v>
      </c>
      <c r="H15358" t="s">
        <v>44</v>
      </c>
      <c r="I15358" t="s">
        <v>2192</v>
      </c>
      <c r="J15358" s="10">
        <v>7</v>
      </c>
      <c r="K15358" t="b">
        <v>1</v>
      </c>
    </row>
    <row r="15359" spans="1:11">
      <c r="A15359" s="12">
        <v>43560</v>
      </c>
      <c r="B15359">
        <v>2019</v>
      </c>
      <c r="C15359">
        <v>4</v>
      </c>
      <c r="D15359" s="11">
        <v>43556</v>
      </c>
      <c r="E15359" t="s">
        <v>2176</v>
      </c>
      <c r="F15359">
        <v>5</v>
      </c>
      <c r="G15359" t="s">
        <v>55</v>
      </c>
      <c r="H15359" t="s">
        <v>45</v>
      </c>
      <c r="I15359" t="s">
        <v>2193</v>
      </c>
      <c r="J15359" s="10">
        <v>0</v>
      </c>
      <c r="K15359" t="b">
        <v>1</v>
      </c>
    </row>
    <row r="15360" spans="1:11">
      <c r="A15360" s="12">
        <v>43560</v>
      </c>
      <c r="B15360">
        <v>2019</v>
      </c>
      <c r="C15360">
        <v>4</v>
      </c>
      <c r="D15360" s="11">
        <v>43556</v>
      </c>
      <c r="E15360" t="s">
        <v>2176</v>
      </c>
      <c r="F15360">
        <v>5</v>
      </c>
      <c r="G15360" t="s">
        <v>55</v>
      </c>
      <c r="H15360" t="s">
        <v>46</v>
      </c>
      <c r="I15360" t="s">
        <v>2194</v>
      </c>
      <c r="J15360" s="10">
        <v>3</v>
      </c>
      <c r="K15360" t="b">
        <v>1</v>
      </c>
    </row>
    <row r="15361" spans="1:11">
      <c r="A15361" s="12">
        <v>43560</v>
      </c>
      <c r="B15361">
        <v>2019</v>
      </c>
      <c r="C15361">
        <v>4</v>
      </c>
      <c r="D15361" s="11">
        <v>43556</v>
      </c>
      <c r="E15361" t="s">
        <v>2176</v>
      </c>
      <c r="F15361">
        <v>5</v>
      </c>
      <c r="G15361" t="s">
        <v>55</v>
      </c>
      <c r="H15361" t="s">
        <v>47</v>
      </c>
      <c r="I15361" t="s">
        <v>2195</v>
      </c>
      <c r="J15361" s="10">
        <v>4</v>
      </c>
      <c r="K15361" t="b">
        <v>1</v>
      </c>
    </row>
    <row r="15362" spans="1:11">
      <c r="A15362" s="12">
        <v>43561</v>
      </c>
      <c r="B15362">
        <v>2019</v>
      </c>
      <c r="C15362">
        <v>4</v>
      </c>
      <c r="D15362" s="11">
        <v>43556</v>
      </c>
      <c r="E15362" t="s">
        <v>2176</v>
      </c>
      <c r="F15362">
        <v>6</v>
      </c>
      <c r="G15362" t="s">
        <v>57</v>
      </c>
      <c r="H15362" t="s">
        <v>40</v>
      </c>
      <c r="I15362" t="s">
        <v>2188</v>
      </c>
      <c r="J15362" s="10">
        <v>3.34</v>
      </c>
      <c r="K15362" t="b">
        <v>1</v>
      </c>
    </row>
    <row r="15363" spans="1:11">
      <c r="A15363" s="12">
        <v>43561</v>
      </c>
      <c r="B15363">
        <v>2019</v>
      </c>
      <c r="C15363">
        <v>4</v>
      </c>
      <c r="D15363" s="11">
        <v>43556</v>
      </c>
      <c r="E15363" t="s">
        <v>2176</v>
      </c>
      <c r="F15363">
        <v>6</v>
      </c>
      <c r="G15363" t="s">
        <v>57</v>
      </c>
      <c r="H15363" t="s">
        <v>41</v>
      </c>
      <c r="I15363" t="s">
        <v>2189</v>
      </c>
      <c r="J15363" s="10">
        <v>6.01</v>
      </c>
      <c r="K15363" t="b">
        <v>1</v>
      </c>
    </row>
    <row r="15364" spans="1:11">
      <c r="A15364" s="12">
        <v>43561</v>
      </c>
      <c r="B15364">
        <v>2019</v>
      </c>
      <c r="C15364">
        <v>4</v>
      </c>
      <c r="D15364" s="11">
        <v>43556</v>
      </c>
      <c r="E15364" t="s">
        <v>2176</v>
      </c>
      <c r="F15364">
        <v>6</v>
      </c>
      <c r="G15364" t="s">
        <v>57</v>
      </c>
      <c r="H15364" t="s">
        <v>42</v>
      </c>
      <c r="I15364" t="s">
        <v>2190</v>
      </c>
      <c r="J15364" s="10">
        <v>3</v>
      </c>
      <c r="K15364" t="b">
        <v>1</v>
      </c>
    </row>
    <row r="15365" spans="1:11">
      <c r="A15365" s="12">
        <v>43561</v>
      </c>
      <c r="B15365">
        <v>2019</v>
      </c>
      <c r="C15365">
        <v>4</v>
      </c>
      <c r="D15365" s="11">
        <v>43556</v>
      </c>
      <c r="E15365" t="s">
        <v>2176</v>
      </c>
      <c r="F15365">
        <v>6</v>
      </c>
      <c r="G15365" t="s">
        <v>57</v>
      </c>
      <c r="H15365" t="s">
        <v>43</v>
      </c>
      <c r="I15365" t="s">
        <v>2191</v>
      </c>
      <c r="J15365" s="10">
        <v>13.2</v>
      </c>
      <c r="K15365" t="b">
        <v>1</v>
      </c>
    </row>
    <row r="15366" spans="1:11">
      <c r="A15366" s="12">
        <v>43561</v>
      </c>
      <c r="B15366">
        <v>2019</v>
      </c>
      <c r="C15366">
        <v>4</v>
      </c>
      <c r="D15366" s="11">
        <v>43556</v>
      </c>
      <c r="E15366" t="s">
        <v>2176</v>
      </c>
      <c r="F15366">
        <v>6</v>
      </c>
      <c r="G15366" t="s">
        <v>57</v>
      </c>
      <c r="H15366" t="s">
        <v>44</v>
      </c>
      <c r="I15366" t="s">
        <v>2192</v>
      </c>
      <c r="J15366" s="10">
        <v>13</v>
      </c>
      <c r="K15366" t="b">
        <v>1</v>
      </c>
    </row>
    <row r="15367" spans="1:11">
      <c r="A15367" s="12">
        <v>43561</v>
      </c>
      <c r="B15367">
        <v>2019</v>
      </c>
      <c r="C15367">
        <v>4</v>
      </c>
      <c r="D15367" s="11">
        <v>43556</v>
      </c>
      <c r="E15367" t="s">
        <v>2176</v>
      </c>
      <c r="F15367">
        <v>6</v>
      </c>
      <c r="G15367" t="s">
        <v>57</v>
      </c>
      <c r="H15367" t="s">
        <v>45</v>
      </c>
      <c r="I15367" t="s">
        <v>2193</v>
      </c>
      <c r="J15367" s="10">
        <v>0</v>
      </c>
      <c r="K15367" t="b">
        <v>1</v>
      </c>
    </row>
    <row r="15368" spans="1:11">
      <c r="A15368" s="12">
        <v>43561</v>
      </c>
      <c r="B15368">
        <v>2019</v>
      </c>
      <c r="C15368">
        <v>4</v>
      </c>
      <c r="D15368" s="11">
        <v>43556</v>
      </c>
      <c r="E15368" t="s">
        <v>2176</v>
      </c>
      <c r="F15368">
        <v>6</v>
      </c>
      <c r="G15368" t="s">
        <v>57</v>
      </c>
      <c r="H15368" t="s">
        <v>46</v>
      </c>
      <c r="I15368" t="s">
        <v>2194</v>
      </c>
      <c r="J15368" s="10">
        <v>16</v>
      </c>
      <c r="K15368" t="b">
        <v>1</v>
      </c>
    </row>
    <row r="15369" spans="1:11">
      <c r="A15369" s="12">
        <v>43561</v>
      </c>
      <c r="B15369">
        <v>2019</v>
      </c>
      <c r="C15369">
        <v>4</v>
      </c>
      <c r="D15369" s="11">
        <v>43556</v>
      </c>
      <c r="E15369" t="s">
        <v>2176</v>
      </c>
      <c r="F15369">
        <v>6</v>
      </c>
      <c r="G15369" t="s">
        <v>57</v>
      </c>
      <c r="H15369" t="s">
        <v>47</v>
      </c>
      <c r="I15369" t="s">
        <v>2195</v>
      </c>
      <c r="J15369" s="10">
        <v>9.300000000000001</v>
      </c>
      <c r="K15369" t="b">
        <v>1</v>
      </c>
    </row>
    <row r="15370" spans="1:11">
      <c r="A15370" s="12">
        <v>43562</v>
      </c>
      <c r="B15370">
        <v>2019</v>
      </c>
      <c r="C15370">
        <v>4</v>
      </c>
      <c r="D15370" s="11">
        <v>43556</v>
      </c>
      <c r="E15370" t="s">
        <v>2176</v>
      </c>
      <c r="F15370">
        <v>7</v>
      </c>
      <c r="G15370" t="s">
        <v>59</v>
      </c>
      <c r="H15370" t="s">
        <v>40</v>
      </c>
      <c r="I15370" t="s">
        <v>2188</v>
      </c>
      <c r="J15370" s="10">
        <v>6</v>
      </c>
      <c r="K15370" t="b">
        <v>1</v>
      </c>
    </row>
    <row r="15371" spans="1:11">
      <c r="A15371" s="12">
        <v>43562</v>
      </c>
      <c r="B15371">
        <v>2019</v>
      </c>
      <c r="C15371">
        <v>4</v>
      </c>
      <c r="D15371" s="11">
        <v>43556</v>
      </c>
      <c r="E15371" t="s">
        <v>2176</v>
      </c>
      <c r="F15371">
        <v>7</v>
      </c>
      <c r="G15371" t="s">
        <v>59</v>
      </c>
      <c r="H15371" t="s">
        <v>41</v>
      </c>
      <c r="I15371" t="s">
        <v>2189</v>
      </c>
      <c r="J15371" s="10">
        <v>5.119</v>
      </c>
      <c r="K15371" t="b">
        <v>1</v>
      </c>
    </row>
    <row r="15372" spans="1:11">
      <c r="A15372" s="12">
        <v>43562</v>
      </c>
      <c r="B15372">
        <v>2019</v>
      </c>
      <c r="C15372">
        <v>4</v>
      </c>
      <c r="D15372" s="11">
        <v>43556</v>
      </c>
      <c r="E15372" t="s">
        <v>2176</v>
      </c>
      <c r="F15372">
        <v>7</v>
      </c>
      <c r="G15372" t="s">
        <v>59</v>
      </c>
      <c r="H15372" t="s">
        <v>42</v>
      </c>
      <c r="I15372" t="s">
        <v>2190</v>
      </c>
      <c r="J15372" s="10">
        <v>4</v>
      </c>
      <c r="K15372" t="b">
        <v>1</v>
      </c>
    </row>
    <row r="15373" spans="1:11">
      <c r="A15373" s="12">
        <v>43562</v>
      </c>
      <c r="B15373">
        <v>2019</v>
      </c>
      <c r="C15373">
        <v>4</v>
      </c>
      <c r="D15373" s="11">
        <v>43556</v>
      </c>
      <c r="E15373" t="s">
        <v>2176</v>
      </c>
      <c r="F15373">
        <v>7</v>
      </c>
      <c r="G15373" t="s">
        <v>59</v>
      </c>
      <c r="H15373" t="s">
        <v>43</v>
      </c>
      <c r="I15373" t="s">
        <v>2191</v>
      </c>
      <c r="J15373" s="10">
        <v>19</v>
      </c>
      <c r="K15373" t="b">
        <v>1</v>
      </c>
    </row>
    <row r="15374" spans="1:11">
      <c r="A15374" s="12">
        <v>43562</v>
      </c>
      <c r="B15374">
        <v>2019</v>
      </c>
      <c r="C15374">
        <v>4</v>
      </c>
      <c r="D15374" s="11">
        <v>43556</v>
      </c>
      <c r="E15374" t="s">
        <v>2176</v>
      </c>
      <c r="F15374">
        <v>7</v>
      </c>
      <c r="G15374" t="s">
        <v>59</v>
      </c>
      <c r="H15374" t="s">
        <v>44</v>
      </c>
      <c r="I15374" t="s">
        <v>2192</v>
      </c>
      <c r="J15374" s="10">
        <v>3</v>
      </c>
      <c r="K15374" t="b">
        <v>1</v>
      </c>
    </row>
    <row r="15375" spans="1:11">
      <c r="A15375" s="12">
        <v>43562</v>
      </c>
      <c r="B15375">
        <v>2019</v>
      </c>
      <c r="C15375">
        <v>4</v>
      </c>
      <c r="D15375" s="11">
        <v>43556</v>
      </c>
      <c r="E15375" t="s">
        <v>2176</v>
      </c>
      <c r="F15375">
        <v>7</v>
      </c>
      <c r="G15375" t="s">
        <v>59</v>
      </c>
      <c r="H15375" t="s">
        <v>45</v>
      </c>
      <c r="I15375" t="s">
        <v>2193</v>
      </c>
      <c r="J15375" s="10">
        <v>0</v>
      </c>
      <c r="K15375" t="b">
        <v>1</v>
      </c>
    </row>
    <row r="15376" spans="1:11">
      <c r="A15376" s="12">
        <v>43562</v>
      </c>
      <c r="B15376">
        <v>2019</v>
      </c>
      <c r="C15376">
        <v>4</v>
      </c>
      <c r="D15376" s="11">
        <v>43556</v>
      </c>
      <c r="E15376" t="s">
        <v>2176</v>
      </c>
      <c r="F15376">
        <v>7</v>
      </c>
      <c r="G15376" t="s">
        <v>59</v>
      </c>
      <c r="H15376" t="s">
        <v>46</v>
      </c>
      <c r="I15376" t="s">
        <v>2194</v>
      </c>
      <c r="J15376" s="10">
        <v>0</v>
      </c>
      <c r="K15376" t="b">
        <v>1</v>
      </c>
    </row>
    <row r="15377" spans="1:11">
      <c r="A15377" s="12">
        <v>43562</v>
      </c>
      <c r="B15377">
        <v>2019</v>
      </c>
      <c r="C15377">
        <v>4</v>
      </c>
      <c r="D15377" s="11">
        <v>43556</v>
      </c>
      <c r="E15377" t="s">
        <v>2176</v>
      </c>
      <c r="F15377">
        <v>7</v>
      </c>
      <c r="G15377" t="s">
        <v>59</v>
      </c>
      <c r="H15377" t="s">
        <v>47</v>
      </c>
      <c r="I15377" t="s">
        <v>2195</v>
      </c>
      <c r="J15377" s="10">
        <v>7</v>
      </c>
      <c r="K15377" t="b">
        <v>1</v>
      </c>
    </row>
    <row r="15378" spans="1:11">
      <c r="A15378" s="12">
        <v>43563</v>
      </c>
      <c r="B15378">
        <v>2019</v>
      </c>
      <c r="C15378">
        <v>4</v>
      </c>
      <c r="D15378" s="11">
        <v>43556</v>
      </c>
      <c r="E15378" t="s">
        <v>2176</v>
      </c>
      <c r="F15378">
        <v>1</v>
      </c>
      <c r="G15378" t="s">
        <v>61</v>
      </c>
      <c r="H15378" t="s">
        <v>40</v>
      </c>
      <c r="I15378" t="s">
        <v>2188</v>
      </c>
      <c r="J15378" s="10">
        <v>5</v>
      </c>
      <c r="K15378" t="b">
        <v>1</v>
      </c>
    </row>
    <row r="15379" spans="1:11">
      <c r="A15379" s="12">
        <v>43563</v>
      </c>
      <c r="B15379">
        <v>2019</v>
      </c>
      <c r="C15379">
        <v>4</v>
      </c>
      <c r="D15379" s="11">
        <v>43556</v>
      </c>
      <c r="E15379" t="s">
        <v>2176</v>
      </c>
      <c r="F15379">
        <v>1</v>
      </c>
      <c r="G15379" t="s">
        <v>61</v>
      </c>
      <c r="H15379" t="s">
        <v>41</v>
      </c>
      <c r="I15379" t="s">
        <v>2189</v>
      </c>
      <c r="J15379" s="10">
        <v>4.35</v>
      </c>
      <c r="K15379" t="b">
        <v>1</v>
      </c>
    </row>
    <row r="15380" spans="1:11">
      <c r="A15380" s="12">
        <v>43563</v>
      </c>
      <c r="B15380">
        <v>2019</v>
      </c>
      <c r="C15380">
        <v>4</v>
      </c>
      <c r="D15380" s="11">
        <v>43556</v>
      </c>
      <c r="E15380" t="s">
        <v>2176</v>
      </c>
      <c r="F15380">
        <v>1</v>
      </c>
      <c r="G15380" t="s">
        <v>61</v>
      </c>
      <c r="H15380" t="s">
        <v>42</v>
      </c>
      <c r="I15380" t="s">
        <v>2190</v>
      </c>
      <c r="J15380" s="10">
        <v>3.3</v>
      </c>
      <c r="K15380" t="b">
        <v>1</v>
      </c>
    </row>
    <row r="15381" spans="1:11">
      <c r="A15381" s="12">
        <v>43563</v>
      </c>
      <c r="B15381">
        <v>2019</v>
      </c>
      <c r="C15381">
        <v>4</v>
      </c>
      <c r="D15381" s="11">
        <v>43556</v>
      </c>
      <c r="E15381" t="s">
        <v>2176</v>
      </c>
      <c r="F15381">
        <v>1</v>
      </c>
      <c r="G15381" t="s">
        <v>61</v>
      </c>
      <c r="H15381" t="s">
        <v>43</v>
      </c>
      <c r="I15381" t="s">
        <v>2191</v>
      </c>
      <c r="J15381" s="10">
        <v>10</v>
      </c>
      <c r="K15381" t="b">
        <v>1</v>
      </c>
    </row>
    <row r="15382" spans="1:11">
      <c r="A15382" s="12">
        <v>43563</v>
      </c>
      <c r="B15382">
        <v>2019</v>
      </c>
      <c r="C15382">
        <v>4</v>
      </c>
      <c r="D15382" s="11">
        <v>43556</v>
      </c>
      <c r="E15382" t="s">
        <v>2176</v>
      </c>
      <c r="F15382">
        <v>1</v>
      </c>
      <c r="G15382" t="s">
        <v>61</v>
      </c>
      <c r="H15382" t="s">
        <v>44</v>
      </c>
      <c r="I15382" t="s">
        <v>2192</v>
      </c>
      <c r="J15382" s="10">
        <v>8.199999999999999</v>
      </c>
      <c r="K15382" t="b">
        <v>1</v>
      </c>
    </row>
    <row r="15383" spans="1:11">
      <c r="A15383" s="12">
        <v>43563</v>
      </c>
      <c r="B15383">
        <v>2019</v>
      </c>
      <c r="C15383">
        <v>4</v>
      </c>
      <c r="D15383" s="11">
        <v>43556</v>
      </c>
      <c r="E15383" t="s">
        <v>2176</v>
      </c>
      <c r="F15383">
        <v>1</v>
      </c>
      <c r="G15383" t="s">
        <v>61</v>
      </c>
      <c r="H15383" t="s">
        <v>45</v>
      </c>
      <c r="I15383" t="s">
        <v>2193</v>
      </c>
      <c r="J15383" s="10">
        <v>0</v>
      </c>
      <c r="K15383" t="b">
        <v>1</v>
      </c>
    </row>
    <row r="15384" spans="1:11">
      <c r="A15384" s="12">
        <v>43563</v>
      </c>
      <c r="B15384">
        <v>2019</v>
      </c>
      <c r="C15384">
        <v>4</v>
      </c>
      <c r="D15384" s="11">
        <v>43556</v>
      </c>
      <c r="E15384" t="s">
        <v>2176</v>
      </c>
      <c r="F15384">
        <v>1</v>
      </c>
      <c r="G15384" t="s">
        <v>61</v>
      </c>
      <c r="H15384" t="s">
        <v>46</v>
      </c>
      <c r="I15384" t="s">
        <v>2194</v>
      </c>
      <c r="J15384" s="10">
        <v>4</v>
      </c>
      <c r="K15384" t="b">
        <v>1</v>
      </c>
    </row>
    <row r="15385" spans="1:11">
      <c r="A15385" s="12">
        <v>43563</v>
      </c>
      <c r="B15385">
        <v>2019</v>
      </c>
      <c r="C15385">
        <v>4</v>
      </c>
      <c r="D15385" s="11">
        <v>43556</v>
      </c>
      <c r="E15385" t="s">
        <v>2176</v>
      </c>
      <c r="F15385">
        <v>1</v>
      </c>
      <c r="G15385" t="s">
        <v>61</v>
      </c>
      <c r="H15385" t="s">
        <v>47</v>
      </c>
      <c r="I15385" t="s">
        <v>2195</v>
      </c>
      <c r="J15385" s="10">
        <v>3</v>
      </c>
      <c r="K15385" t="b">
        <v>1</v>
      </c>
    </row>
    <row r="15386" spans="1:11">
      <c r="A15386" s="12">
        <v>43564</v>
      </c>
      <c r="B15386">
        <v>2019</v>
      </c>
      <c r="C15386">
        <v>4</v>
      </c>
      <c r="D15386" s="11">
        <v>43556</v>
      </c>
      <c r="E15386" t="s">
        <v>2176</v>
      </c>
      <c r="F15386">
        <v>2</v>
      </c>
      <c r="G15386" t="s">
        <v>63</v>
      </c>
      <c r="H15386" t="s">
        <v>40</v>
      </c>
      <c r="I15386" t="s">
        <v>2188</v>
      </c>
      <c r="J15386" s="10">
        <v>2.83</v>
      </c>
      <c r="K15386" t="b">
        <v>1</v>
      </c>
    </row>
    <row r="15387" spans="1:11">
      <c r="A15387" s="12">
        <v>43564</v>
      </c>
      <c r="B15387">
        <v>2019</v>
      </c>
      <c r="C15387">
        <v>4</v>
      </c>
      <c r="D15387" s="11">
        <v>43556</v>
      </c>
      <c r="E15387" t="s">
        <v>2176</v>
      </c>
      <c r="F15387">
        <v>2</v>
      </c>
      <c r="G15387" t="s">
        <v>63</v>
      </c>
      <c r="H15387" t="s">
        <v>41</v>
      </c>
      <c r="I15387" t="s">
        <v>2189</v>
      </c>
      <c r="J15387" s="10">
        <v>2</v>
      </c>
      <c r="K15387" t="b">
        <v>1</v>
      </c>
    </row>
    <row r="15388" spans="1:11">
      <c r="A15388" s="12">
        <v>43564</v>
      </c>
      <c r="B15388">
        <v>2019</v>
      </c>
      <c r="C15388">
        <v>4</v>
      </c>
      <c r="D15388" s="11">
        <v>43556</v>
      </c>
      <c r="E15388" t="s">
        <v>2176</v>
      </c>
      <c r="F15388">
        <v>2</v>
      </c>
      <c r="G15388" t="s">
        <v>63</v>
      </c>
      <c r="H15388" t="s">
        <v>42</v>
      </c>
      <c r="I15388" t="s">
        <v>2190</v>
      </c>
      <c r="J15388" s="10">
        <v>1</v>
      </c>
      <c r="K15388" t="b">
        <v>1</v>
      </c>
    </row>
    <row r="15389" spans="1:11">
      <c r="A15389" s="12">
        <v>43564</v>
      </c>
      <c r="B15389">
        <v>2019</v>
      </c>
      <c r="C15389">
        <v>4</v>
      </c>
      <c r="D15389" s="11">
        <v>43556</v>
      </c>
      <c r="E15389" t="s">
        <v>2176</v>
      </c>
      <c r="F15389">
        <v>2</v>
      </c>
      <c r="G15389" t="s">
        <v>63</v>
      </c>
      <c r="H15389" t="s">
        <v>43</v>
      </c>
      <c r="I15389" t="s">
        <v>2191</v>
      </c>
      <c r="J15389" s="10">
        <v>12</v>
      </c>
      <c r="K15389" t="b">
        <v>1</v>
      </c>
    </row>
    <row r="15390" spans="1:11">
      <c r="A15390" s="12">
        <v>43564</v>
      </c>
      <c r="B15390">
        <v>2019</v>
      </c>
      <c r="C15390">
        <v>4</v>
      </c>
      <c r="D15390" s="11">
        <v>43556</v>
      </c>
      <c r="E15390" t="s">
        <v>2176</v>
      </c>
      <c r="F15390">
        <v>2</v>
      </c>
      <c r="G15390" t="s">
        <v>63</v>
      </c>
      <c r="H15390" t="s">
        <v>44</v>
      </c>
      <c r="I15390" t="s">
        <v>2192</v>
      </c>
      <c r="J15390" s="10">
        <v>10</v>
      </c>
      <c r="K15390" t="b">
        <v>1</v>
      </c>
    </row>
    <row r="15391" spans="1:11">
      <c r="A15391" s="12">
        <v>43564</v>
      </c>
      <c r="B15391">
        <v>2019</v>
      </c>
      <c r="C15391">
        <v>4</v>
      </c>
      <c r="D15391" s="11">
        <v>43556</v>
      </c>
      <c r="E15391" t="s">
        <v>2176</v>
      </c>
      <c r="F15391">
        <v>2</v>
      </c>
      <c r="G15391" t="s">
        <v>63</v>
      </c>
      <c r="H15391" t="s">
        <v>45</v>
      </c>
      <c r="I15391" t="s">
        <v>2193</v>
      </c>
      <c r="J15391" s="10">
        <v>0</v>
      </c>
      <c r="K15391" t="b">
        <v>1</v>
      </c>
    </row>
    <row r="15392" spans="1:11">
      <c r="A15392" s="12">
        <v>43564</v>
      </c>
      <c r="B15392">
        <v>2019</v>
      </c>
      <c r="C15392">
        <v>4</v>
      </c>
      <c r="D15392" s="11">
        <v>43556</v>
      </c>
      <c r="E15392" t="s">
        <v>2176</v>
      </c>
      <c r="F15392">
        <v>2</v>
      </c>
      <c r="G15392" t="s">
        <v>63</v>
      </c>
      <c r="H15392" t="s">
        <v>46</v>
      </c>
      <c r="I15392" t="s">
        <v>2194</v>
      </c>
      <c r="J15392" s="10">
        <v>3</v>
      </c>
      <c r="K15392" t="b">
        <v>1</v>
      </c>
    </row>
    <row r="15393" spans="1:11">
      <c r="A15393" s="12">
        <v>43564</v>
      </c>
      <c r="B15393">
        <v>2019</v>
      </c>
      <c r="C15393">
        <v>4</v>
      </c>
      <c r="D15393" s="11">
        <v>43556</v>
      </c>
      <c r="E15393" t="s">
        <v>2176</v>
      </c>
      <c r="F15393">
        <v>2</v>
      </c>
      <c r="G15393" t="s">
        <v>63</v>
      </c>
      <c r="H15393" t="s">
        <v>47</v>
      </c>
      <c r="I15393" t="s">
        <v>2195</v>
      </c>
      <c r="J15393" s="10">
        <v>5</v>
      </c>
      <c r="K15393" t="b">
        <v>1</v>
      </c>
    </row>
    <row r="15394" spans="1:11">
      <c r="A15394" s="12">
        <v>43565</v>
      </c>
      <c r="B15394">
        <v>2019</v>
      </c>
      <c r="C15394">
        <v>4</v>
      </c>
      <c r="D15394" s="11">
        <v>43556</v>
      </c>
      <c r="E15394" t="s">
        <v>2176</v>
      </c>
      <c r="F15394">
        <v>3</v>
      </c>
      <c r="G15394" t="s">
        <v>65</v>
      </c>
      <c r="H15394" t="s">
        <v>40</v>
      </c>
      <c r="I15394" t="s">
        <v>2188</v>
      </c>
      <c r="J15394" s="10">
        <v>2.34</v>
      </c>
      <c r="K15394" t="b">
        <v>1</v>
      </c>
    </row>
    <row r="15395" spans="1:11">
      <c r="A15395" s="12">
        <v>43565</v>
      </c>
      <c r="B15395">
        <v>2019</v>
      </c>
      <c r="C15395">
        <v>4</v>
      </c>
      <c r="D15395" s="11">
        <v>43556</v>
      </c>
      <c r="E15395" t="s">
        <v>2176</v>
      </c>
      <c r="F15395">
        <v>3</v>
      </c>
      <c r="G15395" t="s">
        <v>65</v>
      </c>
      <c r="H15395" t="s">
        <v>41</v>
      </c>
      <c r="I15395" t="s">
        <v>2189</v>
      </c>
      <c r="J15395" s="10">
        <v>2.746</v>
      </c>
      <c r="K15395" t="b">
        <v>1</v>
      </c>
    </row>
    <row r="15396" spans="1:11">
      <c r="A15396" s="12">
        <v>43565</v>
      </c>
      <c r="B15396">
        <v>2019</v>
      </c>
      <c r="C15396">
        <v>4</v>
      </c>
      <c r="D15396" s="11">
        <v>43556</v>
      </c>
      <c r="E15396" t="s">
        <v>2176</v>
      </c>
      <c r="F15396">
        <v>3</v>
      </c>
      <c r="G15396" t="s">
        <v>65</v>
      </c>
      <c r="H15396" t="s">
        <v>42</v>
      </c>
      <c r="I15396" t="s">
        <v>2190</v>
      </c>
      <c r="J15396" s="10">
        <v>2</v>
      </c>
      <c r="K15396" t="b">
        <v>1</v>
      </c>
    </row>
    <row r="15397" spans="1:11">
      <c r="A15397" s="12">
        <v>43565</v>
      </c>
      <c r="B15397">
        <v>2019</v>
      </c>
      <c r="C15397">
        <v>4</v>
      </c>
      <c r="D15397" s="11">
        <v>43556</v>
      </c>
      <c r="E15397" t="s">
        <v>2176</v>
      </c>
      <c r="F15397">
        <v>3</v>
      </c>
      <c r="G15397" t="s">
        <v>65</v>
      </c>
      <c r="H15397" t="s">
        <v>43</v>
      </c>
      <c r="I15397" t="s">
        <v>2191</v>
      </c>
      <c r="J15397" s="10">
        <v>34</v>
      </c>
      <c r="K15397" t="b">
        <v>1</v>
      </c>
    </row>
    <row r="15398" spans="1:11">
      <c r="A15398" s="12">
        <v>43565</v>
      </c>
      <c r="B15398">
        <v>2019</v>
      </c>
      <c r="C15398">
        <v>4</v>
      </c>
      <c r="D15398" s="11">
        <v>43556</v>
      </c>
      <c r="E15398" t="s">
        <v>2176</v>
      </c>
      <c r="F15398">
        <v>3</v>
      </c>
      <c r="G15398" t="s">
        <v>65</v>
      </c>
      <c r="H15398" t="s">
        <v>44</v>
      </c>
      <c r="I15398" t="s">
        <v>2192</v>
      </c>
      <c r="J15398" s="10">
        <v>16.2</v>
      </c>
      <c r="K15398" t="b">
        <v>1</v>
      </c>
    </row>
    <row r="15399" spans="1:11">
      <c r="A15399" s="12">
        <v>43565</v>
      </c>
      <c r="B15399">
        <v>2019</v>
      </c>
      <c r="C15399">
        <v>4</v>
      </c>
      <c r="D15399" s="11">
        <v>43556</v>
      </c>
      <c r="E15399" t="s">
        <v>2176</v>
      </c>
      <c r="F15399">
        <v>3</v>
      </c>
      <c r="G15399" t="s">
        <v>65</v>
      </c>
      <c r="H15399" t="s">
        <v>45</v>
      </c>
      <c r="I15399" t="s">
        <v>2193</v>
      </c>
      <c r="J15399" s="10">
        <v>3</v>
      </c>
      <c r="K15399" t="b">
        <v>1</v>
      </c>
    </row>
    <row r="15400" spans="1:11">
      <c r="A15400" s="12">
        <v>43565</v>
      </c>
      <c r="B15400">
        <v>2019</v>
      </c>
      <c r="C15400">
        <v>4</v>
      </c>
      <c r="D15400" s="11">
        <v>43556</v>
      </c>
      <c r="E15400" t="s">
        <v>2176</v>
      </c>
      <c r="F15400">
        <v>3</v>
      </c>
      <c r="G15400" t="s">
        <v>65</v>
      </c>
      <c r="H15400" t="s">
        <v>46</v>
      </c>
      <c r="I15400" t="s">
        <v>2194</v>
      </c>
      <c r="J15400" s="10">
        <v>9</v>
      </c>
      <c r="K15400" t="b">
        <v>1</v>
      </c>
    </row>
    <row r="15401" spans="1:11">
      <c r="A15401" s="12">
        <v>43565</v>
      </c>
      <c r="B15401">
        <v>2019</v>
      </c>
      <c r="C15401">
        <v>4</v>
      </c>
      <c r="D15401" s="11">
        <v>43556</v>
      </c>
      <c r="E15401" t="s">
        <v>2176</v>
      </c>
      <c r="F15401">
        <v>3</v>
      </c>
      <c r="G15401" t="s">
        <v>65</v>
      </c>
      <c r="H15401" t="s">
        <v>47</v>
      </c>
      <c r="I15401" t="s">
        <v>2195</v>
      </c>
      <c r="J15401" s="10">
        <v>8</v>
      </c>
      <c r="K15401" t="b">
        <v>1</v>
      </c>
    </row>
    <row r="15402" spans="1:11">
      <c r="A15402" s="12">
        <v>43566</v>
      </c>
      <c r="B15402">
        <v>2019</v>
      </c>
      <c r="C15402">
        <v>4</v>
      </c>
      <c r="D15402" s="11">
        <v>43556</v>
      </c>
      <c r="E15402" t="s">
        <v>2176</v>
      </c>
      <c r="F15402">
        <v>4</v>
      </c>
      <c r="G15402" t="s">
        <v>53</v>
      </c>
      <c r="H15402" t="s">
        <v>40</v>
      </c>
      <c r="I15402" t="s">
        <v>2188</v>
      </c>
      <c r="J15402" s="10">
        <v>7.33</v>
      </c>
      <c r="K15402" t="b">
        <v>1</v>
      </c>
    </row>
    <row r="15403" spans="1:11">
      <c r="A15403" s="12">
        <v>43566</v>
      </c>
      <c r="B15403">
        <v>2019</v>
      </c>
      <c r="C15403">
        <v>4</v>
      </c>
      <c r="D15403" s="11">
        <v>43556</v>
      </c>
      <c r="E15403" t="s">
        <v>2176</v>
      </c>
      <c r="F15403">
        <v>4</v>
      </c>
      <c r="G15403" t="s">
        <v>53</v>
      </c>
      <c r="H15403" t="s">
        <v>41</v>
      </c>
      <c r="I15403" t="s">
        <v>2189</v>
      </c>
      <c r="J15403" s="10">
        <v>6.156</v>
      </c>
      <c r="K15403" t="b">
        <v>1</v>
      </c>
    </row>
    <row r="15404" spans="1:11">
      <c r="A15404" s="12">
        <v>43566</v>
      </c>
      <c r="B15404">
        <v>2019</v>
      </c>
      <c r="C15404">
        <v>4</v>
      </c>
      <c r="D15404" s="11">
        <v>43556</v>
      </c>
      <c r="E15404" t="s">
        <v>2176</v>
      </c>
      <c r="F15404">
        <v>4</v>
      </c>
      <c r="G15404" t="s">
        <v>53</v>
      </c>
      <c r="H15404" t="s">
        <v>42</v>
      </c>
      <c r="I15404" t="s">
        <v>2190</v>
      </c>
      <c r="J15404" s="10">
        <v>2</v>
      </c>
      <c r="K15404" t="b">
        <v>1</v>
      </c>
    </row>
    <row r="15405" spans="1:11">
      <c r="A15405" s="12">
        <v>43566</v>
      </c>
      <c r="B15405">
        <v>2019</v>
      </c>
      <c r="C15405">
        <v>4</v>
      </c>
      <c r="D15405" s="11">
        <v>43556</v>
      </c>
      <c r="E15405" t="s">
        <v>2176</v>
      </c>
      <c r="F15405">
        <v>4</v>
      </c>
      <c r="G15405" t="s">
        <v>53</v>
      </c>
      <c r="H15405" t="s">
        <v>43</v>
      </c>
      <c r="I15405" t="s">
        <v>2191</v>
      </c>
      <c r="J15405" s="10">
        <v>15.9</v>
      </c>
      <c r="K15405" t="b">
        <v>1</v>
      </c>
    </row>
    <row r="15406" spans="1:11">
      <c r="A15406" s="12">
        <v>43566</v>
      </c>
      <c r="B15406">
        <v>2019</v>
      </c>
      <c r="C15406">
        <v>4</v>
      </c>
      <c r="D15406" s="11">
        <v>43556</v>
      </c>
      <c r="E15406" t="s">
        <v>2176</v>
      </c>
      <c r="F15406">
        <v>4</v>
      </c>
      <c r="G15406" t="s">
        <v>53</v>
      </c>
      <c r="H15406" t="s">
        <v>44</v>
      </c>
      <c r="I15406" t="s">
        <v>2192</v>
      </c>
      <c r="J15406" s="10">
        <v>15</v>
      </c>
      <c r="K15406" t="b">
        <v>1</v>
      </c>
    </row>
    <row r="15407" spans="1:11">
      <c r="A15407" s="12">
        <v>43566</v>
      </c>
      <c r="B15407">
        <v>2019</v>
      </c>
      <c r="C15407">
        <v>4</v>
      </c>
      <c r="D15407" s="11">
        <v>43556</v>
      </c>
      <c r="E15407" t="s">
        <v>2176</v>
      </c>
      <c r="F15407">
        <v>4</v>
      </c>
      <c r="G15407" t="s">
        <v>53</v>
      </c>
      <c r="H15407" t="s">
        <v>45</v>
      </c>
      <c r="I15407" t="s">
        <v>2193</v>
      </c>
      <c r="J15407" s="10">
        <v>0</v>
      </c>
      <c r="K15407" t="b">
        <v>1</v>
      </c>
    </row>
    <row r="15408" spans="1:11">
      <c r="A15408" s="12">
        <v>43566</v>
      </c>
      <c r="B15408">
        <v>2019</v>
      </c>
      <c r="C15408">
        <v>4</v>
      </c>
      <c r="D15408" s="11">
        <v>43556</v>
      </c>
      <c r="E15408" t="s">
        <v>2176</v>
      </c>
      <c r="F15408">
        <v>4</v>
      </c>
      <c r="G15408" t="s">
        <v>53</v>
      </c>
      <c r="H15408" t="s">
        <v>46</v>
      </c>
      <c r="I15408" t="s">
        <v>2194</v>
      </c>
      <c r="J15408" s="10">
        <v>7</v>
      </c>
      <c r="K15408" t="b">
        <v>1</v>
      </c>
    </row>
    <row r="15409" spans="1:11">
      <c r="A15409" s="12">
        <v>43566</v>
      </c>
      <c r="B15409">
        <v>2019</v>
      </c>
      <c r="C15409">
        <v>4</v>
      </c>
      <c r="D15409" s="11">
        <v>43556</v>
      </c>
      <c r="E15409" t="s">
        <v>2176</v>
      </c>
      <c r="F15409">
        <v>4</v>
      </c>
      <c r="G15409" t="s">
        <v>53</v>
      </c>
      <c r="H15409" t="s">
        <v>47</v>
      </c>
      <c r="I15409" t="s">
        <v>2195</v>
      </c>
      <c r="J15409" s="10">
        <v>8</v>
      </c>
      <c r="K15409" t="b">
        <v>1</v>
      </c>
    </row>
    <row r="15410" spans="1:11">
      <c r="A15410" s="12">
        <v>43567</v>
      </c>
      <c r="B15410">
        <v>2019</v>
      </c>
      <c r="C15410">
        <v>4</v>
      </c>
      <c r="D15410" s="11">
        <v>43556</v>
      </c>
      <c r="E15410" t="s">
        <v>2176</v>
      </c>
      <c r="F15410">
        <v>5</v>
      </c>
      <c r="G15410" t="s">
        <v>55</v>
      </c>
      <c r="H15410" t="s">
        <v>40</v>
      </c>
      <c r="I15410" t="s">
        <v>2188</v>
      </c>
      <c r="J15410" s="10">
        <v>4.33</v>
      </c>
      <c r="K15410" t="b">
        <v>1</v>
      </c>
    </row>
    <row r="15411" spans="1:11">
      <c r="A15411" s="12">
        <v>43567</v>
      </c>
      <c r="B15411">
        <v>2019</v>
      </c>
      <c r="C15411">
        <v>4</v>
      </c>
      <c r="D15411" s="11">
        <v>43556</v>
      </c>
      <c r="E15411" t="s">
        <v>2176</v>
      </c>
      <c r="F15411">
        <v>5</v>
      </c>
      <c r="G15411" t="s">
        <v>55</v>
      </c>
      <c r="H15411" t="s">
        <v>41</v>
      </c>
      <c r="I15411" t="s">
        <v>2189</v>
      </c>
      <c r="J15411" s="10">
        <v>4.373</v>
      </c>
      <c r="K15411" t="b">
        <v>1</v>
      </c>
    </row>
    <row r="15412" spans="1:11">
      <c r="A15412" s="12">
        <v>43567</v>
      </c>
      <c r="B15412">
        <v>2019</v>
      </c>
      <c r="C15412">
        <v>4</v>
      </c>
      <c r="D15412" s="11">
        <v>43556</v>
      </c>
      <c r="E15412" t="s">
        <v>2176</v>
      </c>
      <c r="F15412">
        <v>5</v>
      </c>
      <c r="G15412" t="s">
        <v>55</v>
      </c>
      <c r="H15412" t="s">
        <v>42</v>
      </c>
      <c r="I15412" t="s">
        <v>2190</v>
      </c>
      <c r="J15412" s="10">
        <v>4.1</v>
      </c>
      <c r="K15412" t="b">
        <v>1</v>
      </c>
    </row>
    <row r="15413" spans="1:11">
      <c r="A15413" s="12">
        <v>43567</v>
      </c>
      <c r="B15413">
        <v>2019</v>
      </c>
      <c r="C15413">
        <v>4</v>
      </c>
      <c r="D15413" s="11">
        <v>43556</v>
      </c>
      <c r="E15413" t="s">
        <v>2176</v>
      </c>
      <c r="F15413">
        <v>5</v>
      </c>
      <c r="G15413" t="s">
        <v>55</v>
      </c>
      <c r="H15413" t="s">
        <v>43</v>
      </c>
      <c r="I15413" t="s">
        <v>2191</v>
      </c>
      <c r="J15413" s="10">
        <v>16.6</v>
      </c>
      <c r="K15413" t="b">
        <v>1</v>
      </c>
    </row>
    <row r="15414" spans="1:11">
      <c r="A15414" s="12">
        <v>43567</v>
      </c>
      <c r="B15414">
        <v>2019</v>
      </c>
      <c r="C15414">
        <v>4</v>
      </c>
      <c r="D15414" s="11">
        <v>43556</v>
      </c>
      <c r="E15414" t="s">
        <v>2176</v>
      </c>
      <c r="F15414">
        <v>5</v>
      </c>
      <c r="G15414" t="s">
        <v>55</v>
      </c>
      <c r="H15414" t="s">
        <v>44</v>
      </c>
      <c r="I15414" t="s">
        <v>2192</v>
      </c>
      <c r="J15414" s="10">
        <v>16</v>
      </c>
      <c r="K15414" t="b">
        <v>1</v>
      </c>
    </row>
    <row r="15415" spans="1:11">
      <c r="A15415" s="12">
        <v>43567</v>
      </c>
      <c r="B15415">
        <v>2019</v>
      </c>
      <c r="C15415">
        <v>4</v>
      </c>
      <c r="D15415" s="11">
        <v>43556</v>
      </c>
      <c r="E15415" t="s">
        <v>2176</v>
      </c>
      <c r="F15415">
        <v>5</v>
      </c>
      <c r="G15415" t="s">
        <v>55</v>
      </c>
      <c r="H15415" t="s">
        <v>45</v>
      </c>
      <c r="I15415" t="s">
        <v>2193</v>
      </c>
      <c r="J15415" s="10">
        <v>0</v>
      </c>
      <c r="K15415" t="b">
        <v>1</v>
      </c>
    </row>
    <row r="15416" spans="1:11">
      <c r="A15416" s="12">
        <v>43567</v>
      </c>
      <c r="B15416">
        <v>2019</v>
      </c>
      <c r="C15416">
        <v>4</v>
      </c>
      <c r="D15416" s="11">
        <v>43556</v>
      </c>
      <c r="E15416" t="s">
        <v>2176</v>
      </c>
      <c r="F15416">
        <v>5</v>
      </c>
      <c r="G15416" t="s">
        <v>55</v>
      </c>
      <c r="H15416" t="s">
        <v>46</v>
      </c>
      <c r="I15416" t="s">
        <v>2194</v>
      </c>
      <c r="J15416" s="10">
        <v>6</v>
      </c>
      <c r="K15416" t="b">
        <v>1</v>
      </c>
    </row>
    <row r="15417" spans="1:11">
      <c r="A15417" s="12">
        <v>43567</v>
      </c>
      <c r="B15417">
        <v>2019</v>
      </c>
      <c r="C15417">
        <v>4</v>
      </c>
      <c r="D15417" s="11">
        <v>43556</v>
      </c>
      <c r="E15417" t="s">
        <v>2176</v>
      </c>
      <c r="F15417">
        <v>5</v>
      </c>
      <c r="G15417" t="s">
        <v>55</v>
      </c>
      <c r="H15417" t="s">
        <v>47</v>
      </c>
      <c r="I15417" t="s">
        <v>2195</v>
      </c>
      <c r="J15417" s="10">
        <v>7</v>
      </c>
      <c r="K15417" t="b">
        <v>1</v>
      </c>
    </row>
    <row r="15418" spans="1:11">
      <c r="A15418" s="12">
        <v>43568</v>
      </c>
      <c r="B15418">
        <v>2019</v>
      </c>
      <c r="C15418">
        <v>4</v>
      </c>
      <c r="D15418" s="11">
        <v>43556</v>
      </c>
      <c r="E15418" t="s">
        <v>2176</v>
      </c>
      <c r="F15418">
        <v>6</v>
      </c>
      <c r="G15418" t="s">
        <v>57</v>
      </c>
      <c r="H15418" t="s">
        <v>40</v>
      </c>
      <c r="I15418" t="s">
        <v>2188</v>
      </c>
      <c r="J15418" s="10">
        <v>4.5</v>
      </c>
      <c r="K15418" t="b">
        <v>1</v>
      </c>
    </row>
    <row r="15419" spans="1:11">
      <c r="A15419" s="12">
        <v>43568</v>
      </c>
      <c r="B15419">
        <v>2019</v>
      </c>
      <c r="C15419">
        <v>4</v>
      </c>
      <c r="D15419" s="11">
        <v>43556</v>
      </c>
      <c r="E15419" t="s">
        <v>2176</v>
      </c>
      <c r="F15419">
        <v>6</v>
      </c>
      <c r="G15419" t="s">
        <v>57</v>
      </c>
      <c r="H15419" t="s">
        <v>41</v>
      </c>
      <c r="I15419" t="s">
        <v>2189</v>
      </c>
      <c r="J15419" s="10">
        <v>4.134</v>
      </c>
      <c r="K15419" t="b">
        <v>1</v>
      </c>
    </row>
    <row r="15420" spans="1:11">
      <c r="A15420" s="12">
        <v>43568</v>
      </c>
      <c r="B15420">
        <v>2019</v>
      </c>
      <c r="C15420">
        <v>4</v>
      </c>
      <c r="D15420" s="11">
        <v>43556</v>
      </c>
      <c r="E15420" t="s">
        <v>2176</v>
      </c>
      <c r="F15420">
        <v>6</v>
      </c>
      <c r="G15420" t="s">
        <v>57</v>
      </c>
      <c r="H15420" t="s">
        <v>42</v>
      </c>
      <c r="I15420" t="s">
        <v>2190</v>
      </c>
      <c r="J15420" s="10">
        <v>1.1</v>
      </c>
      <c r="K15420" t="b">
        <v>1</v>
      </c>
    </row>
    <row r="15421" spans="1:11">
      <c r="A15421" s="12">
        <v>43568</v>
      </c>
      <c r="B15421">
        <v>2019</v>
      </c>
      <c r="C15421">
        <v>4</v>
      </c>
      <c r="D15421" s="11">
        <v>43556</v>
      </c>
      <c r="E15421" t="s">
        <v>2176</v>
      </c>
      <c r="F15421">
        <v>6</v>
      </c>
      <c r="G15421" t="s">
        <v>57</v>
      </c>
      <c r="H15421" t="s">
        <v>43</v>
      </c>
      <c r="I15421" t="s">
        <v>2191</v>
      </c>
      <c r="J15421" s="10">
        <v>14</v>
      </c>
      <c r="K15421" t="b">
        <v>1</v>
      </c>
    </row>
    <row r="15422" spans="1:11">
      <c r="A15422" s="12">
        <v>43568</v>
      </c>
      <c r="B15422">
        <v>2019</v>
      </c>
      <c r="C15422">
        <v>4</v>
      </c>
      <c r="D15422" s="11">
        <v>43556</v>
      </c>
      <c r="E15422" t="s">
        <v>2176</v>
      </c>
      <c r="F15422">
        <v>6</v>
      </c>
      <c r="G15422" t="s">
        <v>57</v>
      </c>
      <c r="H15422" t="s">
        <v>44</v>
      </c>
      <c r="I15422" t="s">
        <v>2192</v>
      </c>
      <c r="J15422" s="10">
        <v>4</v>
      </c>
      <c r="K15422" t="b">
        <v>1</v>
      </c>
    </row>
    <row r="15423" spans="1:11">
      <c r="A15423" s="12">
        <v>43568</v>
      </c>
      <c r="B15423">
        <v>2019</v>
      </c>
      <c r="C15423">
        <v>4</v>
      </c>
      <c r="D15423" s="11">
        <v>43556</v>
      </c>
      <c r="E15423" t="s">
        <v>2176</v>
      </c>
      <c r="F15423">
        <v>6</v>
      </c>
      <c r="G15423" t="s">
        <v>57</v>
      </c>
      <c r="H15423" t="s">
        <v>45</v>
      </c>
      <c r="I15423" t="s">
        <v>2193</v>
      </c>
      <c r="J15423" s="10">
        <v>0</v>
      </c>
      <c r="K15423" t="b">
        <v>1</v>
      </c>
    </row>
    <row r="15424" spans="1:11">
      <c r="A15424" s="12">
        <v>43568</v>
      </c>
      <c r="B15424">
        <v>2019</v>
      </c>
      <c r="C15424">
        <v>4</v>
      </c>
      <c r="D15424" s="11">
        <v>43556</v>
      </c>
      <c r="E15424" t="s">
        <v>2176</v>
      </c>
      <c r="F15424">
        <v>6</v>
      </c>
      <c r="G15424" t="s">
        <v>57</v>
      </c>
      <c r="H15424" t="s">
        <v>46</v>
      </c>
      <c r="I15424" t="s">
        <v>2194</v>
      </c>
      <c r="J15424" s="10">
        <v>6</v>
      </c>
      <c r="K15424" t="b">
        <v>1</v>
      </c>
    </row>
    <row r="15425" spans="1:11">
      <c r="A15425" s="12">
        <v>43568</v>
      </c>
      <c r="B15425">
        <v>2019</v>
      </c>
      <c r="C15425">
        <v>4</v>
      </c>
      <c r="D15425" s="11">
        <v>43556</v>
      </c>
      <c r="E15425" t="s">
        <v>2176</v>
      </c>
      <c r="F15425">
        <v>6</v>
      </c>
      <c r="G15425" t="s">
        <v>57</v>
      </c>
      <c r="H15425" t="s">
        <v>47</v>
      </c>
      <c r="I15425" t="s">
        <v>2195</v>
      </c>
      <c r="J15425" s="10">
        <v>4</v>
      </c>
      <c r="K15425" t="b">
        <v>1</v>
      </c>
    </row>
    <row r="15426" spans="1:11">
      <c r="A15426" s="12">
        <v>43569</v>
      </c>
      <c r="B15426">
        <v>2019</v>
      </c>
      <c r="C15426">
        <v>4</v>
      </c>
      <c r="D15426" s="11">
        <v>43556</v>
      </c>
      <c r="E15426" t="s">
        <v>2176</v>
      </c>
      <c r="F15426">
        <v>7</v>
      </c>
      <c r="G15426" t="s">
        <v>59</v>
      </c>
      <c r="H15426" t="s">
        <v>40</v>
      </c>
      <c r="I15426" t="s">
        <v>2188</v>
      </c>
      <c r="J15426" s="10">
        <v>4</v>
      </c>
      <c r="K15426" t="b">
        <v>1</v>
      </c>
    </row>
    <row r="15427" spans="1:11">
      <c r="A15427" s="12">
        <v>43569</v>
      </c>
      <c r="B15427">
        <v>2019</v>
      </c>
      <c r="C15427">
        <v>4</v>
      </c>
      <c r="D15427" s="11">
        <v>43556</v>
      </c>
      <c r="E15427" t="s">
        <v>2176</v>
      </c>
      <c r="F15427">
        <v>7</v>
      </c>
      <c r="G15427" t="s">
        <v>59</v>
      </c>
      <c r="H15427" t="s">
        <v>41</v>
      </c>
      <c r="I15427" t="s">
        <v>2189</v>
      </c>
      <c r="J15427" s="10">
        <v>4.406</v>
      </c>
      <c r="K15427" t="b">
        <v>1</v>
      </c>
    </row>
    <row r="15428" spans="1:11">
      <c r="A15428" s="12">
        <v>43569</v>
      </c>
      <c r="B15428">
        <v>2019</v>
      </c>
      <c r="C15428">
        <v>4</v>
      </c>
      <c r="D15428" s="11">
        <v>43556</v>
      </c>
      <c r="E15428" t="s">
        <v>2176</v>
      </c>
      <c r="F15428">
        <v>7</v>
      </c>
      <c r="G15428" t="s">
        <v>59</v>
      </c>
      <c r="H15428" t="s">
        <v>42</v>
      </c>
      <c r="I15428" t="s">
        <v>2190</v>
      </c>
      <c r="J15428" s="10">
        <v>1</v>
      </c>
      <c r="K15428" t="b">
        <v>1</v>
      </c>
    </row>
    <row r="15429" spans="1:11">
      <c r="A15429" s="12">
        <v>43569</v>
      </c>
      <c r="B15429">
        <v>2019</v>
      </c>
      <c r="C15429">
        <v>4</v>
      </c>
      <c r="D15429" s="11">
        <v>43556</v>
      </c>
      <c r="E15429" t="s">
        <v>2176</v>
      </c>
      <c r="F15429">
        <v>7</v>
      </c>
      <c r="G15429" t="s">
        <v>59</v>
      </c>
      <c r="H15429" t="s">
        <v>43</v>
      </c>
      <c r="I15429" t="s">
        <v>2191</v>
      </c>
      <c r="J15429" s="10">
        <v>23</v>
      </c>
      <c r="K15429" t="b">
        <v>1</v>
      </c>
    </row>
    <row r="15430" spans="1:11">
      <c r="A15430" s="12">
        <v>43569</v>
      </c>
      <c r="B15430">
        <v>2019</v>
      </c>
      <c r="C15430">
        <v>4</v>
      </c>
      <c r="D15430" s="11">
        <v>43556</v>
      </c>
      <c r="E15430" t="s">
        <v>2176</v>
      </c>
      <c r="F15430">
        <v>7</v>
      </c>
      <c r="G15430" t="s">
        <v>59</v>
      </c>
      <c r="H15430" t="s">
        <v>44</v>
      </c>
      <c r="I15430" t="s">
        <v>2192</v>
      </c>
      <c r="J15430" s="10">
        <v>3</v>
      </c>
      <c r="K15430" t="b">
        <v>1</v>
      </c>
    </row>
    <row r="15431" spans="1:11">
      <c r="A15431" s="12">
        <v>43569</v>
      </c>
      <c r="B15431">
        <v>2019</v>
      </c>
      <c r="C15431">
        <v>4</v>
      </c>
      <c r="D15431" s="11">
        <v>43556</v>
      </c>
      <c r="E15431" t="s">
        <v>2176</v>
      </c>
      <c r="F15431">
        <v>7</v>
      </c>
      <c r="G15431" t="s">
        <v>59</v>
      </c>
      <c r="H15431" t="s">
        <v>45</v>
      </c>
      <c r="I15431" t="s">
        <v>2193</v>
      </c>
      <c r="J15431" s="10">
        <v>1</v>
      </c>
      <c r="K15431" t="b">
        <v>1</v>
      </c>
    </row>
    <row r="15432" spans="1:11">
      <c r="A15432" s="12">
        <v>43569</v>
      </c>
      <c r="B15432">
        <v>2019</v>
      </c>
      <c r="C15432">
        <v>4</v>
      </c>
      <c r="D15432" s="11">
        <v>43556</v>
      </c>
      <c r="E15432" t="s">
        <v>2176</v>
      </c>
      <c r="F15432">
        <v>7</v>
      </c>
      <c r="G15432" t="s">
        <v>59</v>
      </c>
      <c r="H15432" t="s">
        <v>46</v>
      </c>
      <c r="I15432" t="s">
        <v>2194</v>
      </c>
      <c r="J15432" s="10">
        <v>7</v>
      </c>
      <c r="K15432" t="b">
        <v>1</v>
      </c>
    </row>
    <row r="15433" spans="1:11">
      <c r="A15433" s="12">
        <v>43569</v>
      </c>
      <c r="B15433">
        <v>2019</v>
      </c>
      <c r="C15433">
        <v>4</v>
      </c>
      <c r="D15433" s="11">
        <v>43556</v>
      </c>
      <c r="E15433" t="s">
        <v>2176</v>
      </c>
      <c r="F15433">
        <v>7</v>
      </c>
      <c r="G15433" t="s">
        <v>59</v>
      </c>
      <c r="H15433" t="s">
        <v>47</v>
      </c>
      <c r="I15433" t="s">
        <v>2195</v>
      </c>
      <c r="J15433" s="10">
        <v>5.5</v>
      </c>
      <c r="K15433" t="b">
        <v>1</v>
      </c>
    </row>
    <row r="15434" spans="1:11">
      <c r="A15434" s="12">
        <v>43570</v>
      </c>
      <c r="B15434">
        <v>2019</v>
      </c>
      <c r="C15434">
        <v>4</v>
      </c>
      <c r="D15434" s="11">
        <v>43556</v>
      </c>
      <c r="E15434" t="s">
        <v>2176</v>
      </c>
      <c r="F15434">
        <v>1</v>
      </c>
      <c r="G15434" t="s">
        <v>61</v>
      </c>
      <c r="H15434" t="s">
        <v>40</v>
      </c>
      <c r="I15434" t="s">
        <v>2188</v>
      </c>
      <c r="J15434" s="10">
        <v>4.66</v>
      </c>
      <c r="K15434" t="b">
        <v>1</v>
      </c>
    </row>
    <row r="15435" spans="1:11">
      <c r="A15435" s="12">
        <v>43570</v>
      </c>
      <c r="B15435">
        <v>2019</v>
      </c>
      <c r="C15435">
        <v>4</v>
      </c>
      <c r="D15435" s="11">
        <v>43556</v>
      </c>
      <c r="E15435" t="s">
        <v>2176</v>
      </c>
      <c r="F15435">
        <v>1</v>
      </c>
      <c r="G15435" t="s">
        <v>61</v>
      </c>
      <c r="H15435" t="s">
        <v>41</v>
      </c>
      <c r="I15435" t="s">
        <v>2189</v>
      </c>
      <c r="J15435" s="10">
        <v>6</v>
      </c>
      <c r="K15435" t="b">
        <v>1</v>
      </c>
    </row>
    <row r="15436" spans="1:11">
      <c r="A15436" s="12">
        <v>43570</v>
      </c>
      <c r="B15436">
        <v>2019</v>
      </c>
      <c r="C15436">
        <v>4</v>
      </c>
      <c r="D15436" s="11">
        <v>43556</v>
      </c>
      <c r="E15436" t="s">
        <v>2176</v>
      </c>
      <c r="F15436">
        <v>1</v>
      </c>
      <c r="G15436" t="s">
        <v>61</v>
      </c>
      <c r="H15436" t="s">
        <v>42</v>
      </c>
      <c r="I15436" t="s">
        <v>2190</v>
      </c>
      <c r="J15436" s="10">
        <v>5.3</v>
      </c>
      <c r="K15436" t="b">
        <v>1</v>
      </c>
    </row>
    <row r="15437" spans="1:11">
      <c r="A15437" s="12">
        <v>43570</v>
      </c>
      <c r="B15437">
        <v>2019</v>
      </c>
      <c r="C15437">
        <v>4</v>
      </c>
      <c r="D15437" s="11">
        <v>43556</v>
      </c>
      <c r="E15437" t="s">
        <v>2176</v>
      </c>
      <c r="F15437">
        <v>1</v>
      </c>
      <c r="G15437" t="s">
        <v>61</v>
      </c>
      <c r="H15437" t="s">
        <v>43</v>
      </c>
      <c r="I15437" t="s">
        <v>2191</v>
      </c>
      <c r="J15437" s="10">
        <v>8.800000000000001</v>
      </c>
      <c r="K15437" t="b">
        <v>1</v>
      </c>
    </row>
    <row r="15438" spans="1:11">
      <c r="A15438" s="12">
        <v>43570</v>
      </c>
      <c r="B15438">
        <v>2019</v>
      </c>
      <c r="C15438">
        <v>4</v>
      </c>
      <c r="D15438" s="11">
        <v>43556</v>
      </c>
      <c r="E15438" t="s">
        <v>2176</v>
      </c>
      <c r="F15438">
        <v>1</v>
      </c>
      <c r="G15438" t="s">
        <v>61</v>
      </c>
      <c r="H15438" t="s">
        <v>44</v>
      </c>
      <c r="I15438" t="s">
        <v>2192</v>
      </c>
      <c r="J15438" s="10">
        <v>17</v>
      </c>
      <c r="K15438" t="b">
        <v>1</v>
      </c>
    </row>
    <row r="15439" spans="1:11">
      <c r="A15439" s="12">
        <v>43570</v>
      </c>
      <c r="B15439">
        <v>2019</v>
      </c>
      <c r="C15439">
        <v>4</v>
      </c>
      <c r="D15439" s="11">
        <v>43556</v>
      </c>
      <c r="E15439" t="s">
        <v>2176</v>
      </c>
      <c r="F15439">
        <v>1</v>
      </c>
      <c r="G15439" t="s">
        <v>61</v>
      </c>
      <c r="H15439" t="s">
        <v>45</v>
      </c>
      <c r="I15439" t="s">
        <v>2193</v>
      </c>
      <c r="J15439" s="10">
        <v>2</v>
      </c>
      <c r="K15439" t="b">
        <v>1</v>
      </c>
    </row>
    <row r="15440" spans="1:11">
      <c r="A15440" s="12">
        <v>43570</v>
      </c>
      <c r="B15440">
        <v>2019</v>
      </c>
      <c r="C15440">
        <v>4</v>
      </c>
      <c r="D15440" s="11">
        <v>43556</v>
      </c>
      <c r="E15440" t="s">
        <v>2176</v>
      </c>
      <c r="F15440">
        <v>1</v>
      </c>
      <c r="G15440" t="s">
        <v>61</v>
      </c>
      <c r="H15440" t="s">
        <v>46</v>
      </c>
      <c r="I15440" t="s">
        <v>2194</v>
      </c>
      <c r="J15440" s="10">
        <v>3</v>
      </c>
      <c r="K15440" t="b">
        <v>1</v>
      </c>
    </row>
    <row r="15441" spans="1:11">
      <c r="A15441" s="12">
        <v>43570</v>
      </c>
      <c r="B15441">
        <v>2019</v>
      </c>
      <c r="C15441">
        <v>4</v>
      </c>
      <c r="D15441" s="11">
        <v>43556</v>
      </c>
      <c r="E15441" t="s">
        <v>2176</v>
      </c>
      <c r="F15441">
        <v>1</v>
      </c>
      <c r="G15441" t="s">
        <v>61</v>
      </c>
      <c r="H15441" t="s">
        <v>47</v>
      </c>
      <c r="I15441" t="s">
        <v>2195</v>
      </c>
      <c r="J15441" s="10">
        <v>5</v>
      </c>
      <c r="K15441" t="b">
        <v>1</v>
      </c>
    </row>
    <row r="15442" spans="1:11">
      <c r="A15442" s="12">
        <v>43571</v>
      </c>
      <c r="B15442">
        <v>2019</v>
      </c>
      <c r="C15442">
        <v>4</v>
      </c>
      <c r="D15442" s="11">
        <v>43556</v>
      </c>
      <c r="E15442" t="s">
        <v>2176</v>
      </c>
      <c r="F15442">
        <v>2</v>
      </c>
      <c r="G15442" t="s">
        <v>63</v>
      </c>
      <c r="H15442" t="s">
        <v>40</v>
      </c>
      <c r="I15442" t="s">
        <v>2188</v>
      </c>
      <c r="J15442" s="10">
        <v>2</v>
      </c>
      <c r="K15442" t="b">
        <v>1</v>
      </c>
    </row>
    <row r="15443" spans="1:11">
      <c r="A15443" s="12">
        <v>43571</v>
      </c>
      <c r="B15443">
        <v>2019</v>
      </c>
      <c r="C15443">
        <v>4</v>
      </c>
      <c r="D15443" s="11">
        <v>43556</v>
      </c>
      <c r="E15443" t="s">
        <v>2176</v>
      </c>
      <c r="F15443">
        <v>2</v>
      </c>
      <c r="G15443" t="s">
        <v>63</v>
      </c>
      <c r="H15443" t="s">
        <v>41</v>
      </c>
      <c r="I15443" t="s">
        <v>2189</v>
      </c>
      <c r="J15443" s="10">
        <v>2.67</v>
      </c>
      <c r="K15443" t="b">
        <v>1</v>
      </c>
    </row>
    <row r="15444" spans="1:11">
      <c r="A15444" s="12">
        <v>43571</v>
      </c>
      <c r="B15444">
        <v>2019</v>
      </c>
      <c r="C15444">
        <v>4</v>
      </c>
      <c r="D15444" s="11">
        <v>43556</v>
      </c>
      <c r="E15444" t="s">
        <v>2176</v>
      </c>
      <c r="F15444">
        <v>2</v>
      </c>
      <c r="G15444" t="s">
        <v>63</v>
      </c>
      <c r="H15444" t="s">
        <v>42</v>
      </c>
      <c r="I15444" t="s">
        <v>2190</v>
      </c>
      <c r="J15444" s="10">
        <v>2</v>
      </c>
      <c r="K15444" t="b">
        <v>1</v>
      </c>
    </row>
    <row r="15445" spans="1:11">
      <c r="A15445" s="12">
        <v>43571</v>
      </c>
      <c r="B15445">
        <v>2019</v>
      </c>
      <c r="C15445">
        <v>4</v>
      </c>
      <c r="D15445" s="11">
        <v>43556</v>
      </c>
      <c r="E15445" t="s">
        <v>2176</v>
      </c>
      <c r="F15445">
        <v>2</v>
      </c>
      <c r="G15445" t="s">
        <v>63</v>
      </c>
      <c r="H15445" t="s">
        <v>43</v>
      </c>
      <c r="I15445" t="s">
        <v>2191</v>
      </c>
      <c r="J15445" s="10">
        <v>27.2</v>
      </c>
      <c r="K15445" t="b">
        <v>1</v>
      </c>
    </row>
    <row r="15446" spans="1:11">
      <c r="A15446" s="12">
        <v>43571</v>
      </c>
      <c r="B15446">
        <v>2019</v>
      </c>
      <c r="C15446">
        <v>4</v>
      </c>
      <c r="D15446" s="11">
        <v>43556</v>
      </c>
      <c r="E15446" t="s">
        <v>2176</v>
      </c>
      <c r="F15446">
        <v>2</v>
      </c>
      <c r="G15446" t="s">
        <v>63</v>
      </c>
      <c r="H15446" t="s">
        <v>44</v>
      </c>
      <c r="I15446" t="s">
        <v>2192</v>
      </c>
      <c r="J15446" s="10">
        <v>12</v>
      </c>
      <c r="K15446" t="b">
        <v>1</v>
      </c>
    </row>
    <row r="15447" spans="1:11">
      <c r="A15447" s="12">
        <v>43571</v>
      </c>
      <c r="B15447">
        <v>2019</v>
      </c>
      <c r="C15447">
        <v>4</v>
      </c>
      <c r="D15447" s="11">
        <v>43556</v>
      </c>
      <c r="E15447" t="s">
        <v>2176</v>
      </c>
      <c r="F15447">
        <v>2</v>
      </c>
      <c r="G15447" t="s">
        <v>63</v>
      </c>
      <c r="H15447" t="s">
        <v>45</v>
      </c>
      <c r="I15447" t="s">
        <v>2193</v>
      </c>
      <c r="J15447" s="10">
        <v>3</v>
      </c>
      <c r="K15447" t="b">
        <v>1</v>
      </c>
    </row>
    <row r="15448" spans="1:11">
      <c r="A15448" s="12">
        <v>43571</v>
      </c>
      <c r="B15448">
        <v>2019</v>
      </c>
      <c r="C15448">
        <v>4</v>
      </c>
      <c r="D15448" s="11">
        <v>43556</v>
      </c>
      <c r="E15448" t="s">
        <v>2176</v>
      </c>
      <c r="F15448">
        <v>2</v>
      </c>
      <c r="G15448" t="s">
        <v>63</v>
      </c>
      <c r="H15448" t="s">
        <v>46</v>
      </c>
      <c r="I15448" t="s">
        <v>2194</v>
      </c>
      <c r="J15448" s="10">
        <v>1</v>
      </c>
      <c r="K15448" t="b">
        <v>1</v>
      </c>
    </row>
    <row r="15449" spans="1:11">
      <c r="A15449" s="12">
        <v>43571</v>
      </c>
      <c r="B15449">
        <v>2019</v>
      </c>
      <c r="C15449">
        <v>4</v>
      </c>
      <c r="D15449" s="11">
        <v>43556</v>
      </c>
      <c r="E15449" t="s">
        <v>2176</v>
      </c>
      <c r="F15449">
        <v>2</v>
      </c>
      <c r="G15449" t="s">
        <v>63</v>
      </c>
      <c r="H15449" t="s">
        <v>47</v>
      </c>
      <c r="I15449" t="s">
        <v>2195</v>
      </c>
      <c r="J15449" s="10">
        <v>3</v>
      </c>
      <c r="K15449" t="b">
        <v>1</v>
      </c>
    </row>
    <row r="15450" spans="1:11">
      <c r="A15450" s="12">
        <v>43572</v>
      </c>
      <c r="B15450">
        <v>2019</v>
      </c>
      <c r="C15450">
        <v>4</v>
      </c>
      <c r="D15450" s="11">
        <v>43556</v>
      </c>
      <c r="E15450" t="s">
        <v>2176</v>
      </c>
      <c r="F15450">
        <v>3</v>
      </c>
      <c r="G15450" t="s">
        <v>65</v>
      </c>
      <c r="H15450" t="s">
        <v>40</v>
      </c>
      <c r="I15450" t="s">
        <v>2188</v>
      </c>
      <c r="J15450" s="10">
        <v>7</v>
      </c>
      <c r="K15450" t="b">
        <v>1</v>
      </c>
    </row>
    <row r="15451" spans="1:11">
      <c r="A15451" s="12">
        <v>43572</v>
      </c>
      <c r="B15451">
        <v>2019</v>
      </c>
      <c r="C15451">
        <v>4</v>
      </c>
      <c r="D15451" s="11">
        <v>43556</v>
      </c>
      <c r="E15451" t="s">
        <v>2176</v>
      </c>
      <c r="F15451">
        <v>3</v>
      </c>
      <c r="G15451" t="s">
        <v>65</v>
      </c>
      <c r="H15451" t="s">
        <v>41</v>
      </c>
      <c r="I15451" t="s">
        <v>2189</v>
      </c>
      <c r="J15451" s="10">
        <v>4</v>
      </c>
      <c r="K15451" t="b">
        <v>1</v>
      </c>
    </row>
    <row r="15452" spans="1:11">
      <c r="A15452" s="12">
        <v>43572</v>
      </c>
      <c r="B15452">
        <v>2019</v>
      </c>
      <c r="C15452">
        <v>4</v>
      </c>
      <c r="D15452" s="11">
        <v>43556</v>
      </c>
      <c r="E15452" t="s">
        <v>2176</v>
      </c>
      <c r="F15452">
        <v>3</v>
      </c>
      <c r="G15452" t="s">
        <v>65</v>
      </c>
      <c r="H15452" t="s">
        <v>42</v>
      </c>
      <c r="I15452" t="s">
        <v>2190</v>
      </c>
      <c r="J15452" s="10">
        <v>1.25</v>
      </c>
      <c r="K15452" t="b">
        <v>1</v>
      </c>
    </row>
    <row r="15453" spans="1:11">
      <c r="A15453" s="12">
        <v>43572</v>
      </c>
      <c r="B15453">
        <v>2019</v>
      </c>
      <c r="C15453">
        <v>4</v>
      </c>
      <c r="D15453" s="11">
        <v>43556</v>
      </c>
      <c r="E15453" t="s">
        <v>2176</v>
      </c>
      <c r="F15453">
        <v>3</v>
      </c>
      <c r="G15453" t="s">
        <v>65</v>
      </c>
      <c r="H15453" t="s">
        <v>43</v>
      </c>
      <c r="I15453" t="s">
        <v>2191</v>
      </c>
      <c r="J15453" s="10">
        <v>13.5</v>
      </c>
      <c r="K15453" t="b">
        <v>1</v>
      </c>
    </row>
    <row r="15454" spans="1:11">
      <c r="A15454" s="12">
        <v>43572</v>
      </c>
      <c r="B15454">
        <v>2019</v>
      </c>
      <c r="C15454">
        <v>4</v>
      </c>
      <c r="D15454" s="11">
        <v>43556</v>
      </c>
      <c r="E15454" t="s">
        <v>2176</v>
      </c>
      <c r="F15454">
        <v>3</v>
      </c>
      <c r="G15454" t="s">
        <v>65</v>
      </c>
      <c r="H15454" t="s">
        <v>44</v>
      </c>
      <c r="I15454" t="s">
        <v>2192</v>
      </c>
      <c r="J15454" s="10">
        <v>11</v>
      </c>
      <c r="K15454" t="b">
        <v>1</v>
      </c>
    </row>
    <row r="15455" spans="1:11">
      <c r="A15455" s="12">
        <v>43572</v>
      </c>
      <c r="B15455">
        <v>2019</v>
      </c>
      <c r="C15455">
        <v>4</v>
      </c>
      <c r="D15455" s="11">
        <v>43556</v>
      </c>
      <c r="E15455" t="s">
        <v>2176</v>
      </c>
      <c r="F15455">
        <v>3</v>
      </c>
      <c r="G15455" t="s">
        <v>65</v>
      </c>
      <c r="H15455" t="s">
        <v>45</v>
      </c>
      <c r="I15455" t="s">
        <v>2193</v>
      </c>
      <c r="J15455" s="10">
        <v>1</v>
      </c>
      <c r="K15455" t="b">
        <v>1</v>
      </c>
    </row>
    <row r="15456" spans="1:11">
      <c r="A15456" s="12">
        <v>43572</v>
      </c>
      <c r="B15456">
        <v>2019</v>
      </c>
      <c r="C15456">
        <v>4</v>
      </c>
      <c r="D15456" s="11">
        <v>43556</v>
      </c>
      <c r="E15456" t="s">
        <v>2176</v>
      </c>
      <c r="F15456">
        <v>3</v>
      </c>
      <c r="G15456" t="s">
        <v>65</v>
      </c>
      <c r="H15456" t="s">
        <v>46</v>
      </c>
      <c r="I15456" t="s">
        <v>2194</v>
      </c>
      <c r="J15456" s="10">
        <v>24</v>
      </c>
      <c r="K15456" t="b">
        <v>1</v>
      </c>
    </row>
    <row r="15457" spans="1:11">
      <c r="A15457" s="12">
        <v>43572</v>
      </c>
      <c r="B15457">
        <v>2019</v>
      </c>
      <c r="C15457">
        <v>4</v>
      </c>
      <c r="D15457" s="11">
        <v>43556</v>
      </c>
      <c r="E15457" t="s">
        <v>2176</v>
      </c>
      <c r="F15457">
        <v>3</v>
      </c>
      <c r="G15457" t="s">
        <v>65</v>
      </c>
      <c r="H15457" t="s">
        <v>47</v>
      </c>
      <c r="I15457" t="s">
        <v>2195</v>
      </c>
      <c r="J15457" s="10">
        <v>5</v>
      </c>
      <c r="K15457" t="b">
        <v>1</v>
      </c>
    </row>
    <row r="15458" spans="1:11">
      <c r="A15458" s="12">
        <v>43573</v>
      </c>
      <c r="B15458">
        <v>2019</v>
      </c>
      <c r="C15458">
        <v>4</v>
      </c>
      <c r="D15458" s="11">
        <v>43556</v>
      </c>
      <c r="E15458" t="s">
        <v>2176</v>
      </c>
      <c r="F15458">
        <v>4</v>
      </c>
      <c r="G15458" t="s">
        <v>53</v>
      </c>
      <c r="H15458" t="s">
        <v>40</v>
      </c>
      <c r="I15458" t="s">
        <v>2188</v>
      </c>
      <c r="J15458" s="10">
        <v>0</v>
      </c>
      <c r="K15458" t="b">
        <v>1</v>
      </c>
    </row>
    <row r="15459" spans="1:11">
      <c r="A15459" s="12">
        <v>43573</v>
      </c>
      <c r="B15459">
        <v>2019</v>
      </c>
      <c r="C15459">
        <v>4</v>
      </c>
      <c r="D15459" s="11">
        <v>43556</v>
      </c>
      <c r="E15459" t="s">
        <v>2176</v>
      </c>
      <c r="F15459">
        <v>4</v>
      </c>
      <c r="G15459" t="s">
        <v>53</v>
      </c>
      <c r="H15459" t="s">
        <v>41</v>
      </c>
      <c r="I15459" t="s">
        <v>2189</v>
      </c>
      <c r="J15459" s="10">
        <v>0</v>
      </c>
      <c r="K15459" t="b">
        <v>1</v>
      </c>
    </row>
    <row r="15460" spans="1:11">
      <c r="A15460" s="12">
        <v>43573</v>
      </c>
      <c r="B15460">
        <v>2019</v>
      </c>
      <c r="C15460">
        <v>4</v>
      </c>
      <c r="D15460" s="11">
        <v>43556</v>
      </c>
      <c r="E15460" t="s">
        <v>2176</v>
      </c>
      <c r="F15460">
        <v>4</v>
      </c>
      <c r="G15460" t="s">
        <v>53</v>
      </c>
      <c r="H15460" t="s">
        <v>42</v>
      </c>
      <c r="I15460" t="s">
        <v>2190</v>
      </c>
      <c r="J15460" s="10">
        <v>0</v>
      </c>
      <c r="K15460" t="b">
        <v>1</v>
      </c>
    </row>
    <row r="15461" spans="1:11">
      <c r="A15461" s="12">
        <v>43573</v>
      </c>
      <c r="B15461">
        <v>2019</v>
      </c>
      <c r="C15461">
        <v>4</v>
      </c>
      <c r="D15461" s="11">
        <v>43556</v>
      </c>
      <c r="E15461" t="s">
        <v>2176</v>
      </c>
      <c r="F15461">
        <v>4</v>
      </c>
      <c r="G15461" t="s">
        <v>53</v>
      </c>
      <c r="H15461" t="s">
        <v>43</v>
      </c>
      <c r="I15461" t="s">
        <v>2191</v>
      </c>
      <c r="J15461" s="10">
        <v>0</v>
      </c>
      <c r="K15461" t="b">
        <v>1</v>
      </c>
    </row>
    <row r="15462" spans="1:11">
      <c r="A15462" s="12">
        <v>43573</v>
      </c>
      <c r="B15462">
        <v>2019</v>
      </c>
      <c r="C15462">
        <v>4</v>
      </c>
      <c r="D15462" s="11">
        <v>43556</v>
      </c>
      <c r="E15462" t="s">
        <v>2176</v>
      </c>
      <c r="F15462">
        <v>4</v>
      </c>
      <c r="G15462" t="s">
        <v>53</v>
      </c>
      <c r="H15462" t="s">
        <v>44</v>
      </c>
      <c r="I15462" t="s">
        <v>2192</v>
      </c>
      <c r="J15462" s="10">
        <v>0</v>
      </c>
      <c r="K15462" t="b">
        <v>1</v>
      </c>
    </row>
    <row r="15463" spans="1:11">
      <c r="A15463" s="12">
        <v>43573</v>
      </c>
      <c r="B15463">
        <v>2019</v>
      </c>
      <c r="C15463">
        <v>4</v>
      </c>
      <c r="D15463" s="11">
        <v>43556</v>
      </c>
      <c r="E15463" t="s">
        <v>2176</v>
      </c>
      <c r="F15463">
        <v>4</v>
      </c>
      <c r="G15463" t="s">
        <v>53</v>
      </c>
      <c r="H15463" t="s">
        <v>45</v>
      </c>
      <c r="I15463" t="s">
        <v>2193</v>
      </c>
      <c r="J15463" s="10">
        <v>0</v>
      </c>
      <c r="K15463" t="b">
        <v>1</v>
      </c>
    </row>
    <row r="15464" spans="1:11">
      <c r="A15464" s="12">
        <v>43573</v>
      </c>
      <c r="B15464">
        <v>2019</v>
      </c>
      <c r="C15464">
        <v>4</v>
      </c>
      <c r="D15464" s="11">
        <v>43556</v>
      </c>
      <c r="E15464" t="s">
        <v>2176</v>
      </c>
      <c r="F15464">
        <v>4</v>
      </c>
      <c r="G15464" t="s">
        <v>53</v>
      </c>
      <c r="H15464" t="s">
        <v>46</v>
      </c>
      <c r="I15464" t="s">
        <v>2194</v>
      </c>
      <c r="J15464" s="10">
        <v>0</v>
      </c>
      <c r="K15464" t="b">
        <v>1</v>
      </c>
    </row>
    <row r="15465" spans="1:11">
      <c r="A15465" s="12">
        <v>43573</v>
      </c>
      <c r="B15465">
        <v>2019</v>
      </c>
      <c r="C15465">
        <v>4</v>
      </c>
      <c r="D15465" s="11">
        <v>43556</v>
      </c>
      <c r="E15465" t="s">
        <v>2176</v>
      </c>
      <c r="F15465">
        <v>4</v>
      </c>
      <c r="G15465" t="s">
        <v>53</v>
      </c>
      <c r="H15465" t="s">
        <v>47</v>
      </c>
      <c r="I15465" t="s">
        <v>2195</v>
      </c>
      <c r="J15465" s="10">
        <v>0</v>
      </c>
      <c r="K15465" t="b">
        <v>1</v>
      </c>
    </row>
    <row r="15466" spans="1:11">
      <c r="A15466" s="12">
        <v>43574</v>
      </c>
      <c r="B15466">
        <v>2019</v>
      </c>
      <c r="C15466">
        <v>4</v>
      </c>
      <c r="D15466" s="11">
        <v>43556</v>
      </c>
      <c r="E15466" t="s">
        <v>2176</v>
      </c>
      <c r="F15466">
        <v>5</v>
      </c>
      <c r="G15466" t="s">
        <v>55</v>
      </c>
      <c r="H15466" t="s">
        <v>40</v>
      </c>
      <c r="I15466" t="s">
        <v>2188</v>
      </c>
      <c r="J15466" s="10">
        <v>3.34</v>
      </c>
      <c r="K15466" t="b">
        <v>1</v>
      </c>
    </row>
    <row r="15467" spans="1:11">
      <c r="A15467" s="12">
        <v>43574</v>
      </c>
      <c r="B15467">
        <v>2019</v>
      </c>
      <c r="C15467">
        <v>4</v>
      </c>
      <c r="D15467" s="11">
        <v>43556</v>
      </c>
      <c r="E15467" t="s">
        <v>2176</v>
      </c>
      <c r="F15467">
        <v>5</v>
      </c>
      <c r="G15467" t="s">
        <v>55</v>
      </c>
      <c r="H15467" t="s">
        <v>41</v>
      </c>
      <c r="I15467" t="s">
        <v>2189</v>
      </c>
      <c r="J15467" s="10">
        <v>2.743</v>
      </c>
      <c r="K15467" t="b">
        <v>1</v>
      </c>
    </row>
    <row r="15468" spans="1:11">
      <c r="A15468" s="12">
        <v>43574</v>
      </c>
      <c r="B15468">
        <v>2019</v>
      </c>
      <c r="C15468">
        <v>4</v>
      </c>
      <c r="D15468" s="11">
        <v>43556</v>
      </c>
      <c r="E15468" t="s">
        <v>2176</v>
      </c>
      <c r="F15468">
        <v>5</v>
      </c>
      <c r="G15468" t="s">
        <v>55</v>
      </c>
      <c r="H15468" t="s">
        <v>42</v>
      </c>
      <c r="I15468" t="s">
        <v>2190</v>
      </c>
      <c r="J15468" s="10">
        <v>1.5</v>
      </c>
      <c r="K15468" t="b">
        <v>1</v>
      </c>
    </row>
    <row r="15469" spans="1:11">
      <c r="A15469" s="12">
        <v>43574</v>
      </c>
      <c r="B15469">
        <v>2019</v>
      </c>
      <c r="C15469">
        <v>4</v>
      </c>
      <c r="D15469" s="11">
        <v>43556</v>
      </c>
      <c r="E15469" t="s">
        <v>2176</v>
      </c>
      <c r="F15469">
        <v>5</v>
      </c>
      <c r="G15469" t="s">
        <v>55</v>
      </c>
      <c r="H15469" t="s">
        <v>43</v>
      </c>
      <c r="I15469" t="s">
        <v>2191</v>
      </c>
      <c r="J15469" s="10">
        <v>25</v>
      </c>
      <c r="K15469" t="b">
        <v>1</v>
      </c>
    </row>
    <row r="15470" spans="1:11">
      <c r="A15470" s="12">
        <v>43574</v>
      </c>
      <c r="B15470">
        <v>2019</v>
      </c>
      <c r="C15470">
        <v>4</v>
      </c>
      <c r="D15470" s="11">
        <v>43556</v>
      </c>
      <c r="E15470" t="s">
        <v>2176</v>
      </c>
      <c r="F15470">
        <v>5</v>
      </c>
      <c r="G15470" t="s">
        <v>55</v>
      </c>
      <c r="H15470" t="s">
        <v>44</v>
      </c>
      <c r="I15470" t="s">
        <v>2192</v>
      </c>
      <c r="J15470" s="10">
        <v>17</v>
      </c>
      <c r="K15470" t="b">
        <v>1</v>
      </c>
    </row>
    <row r="15471" spans="1:11">
      <c r="A15471" s="12">
        <v>43574</v>
      </c>
      <c r="B15471">
        <v>2019</v>
      </c>
      <c r="C15471">
        <v>4</v>
      </c>
      <c r="D15471" s="11">
        <v>43556</v>
      </c>
      <c r="E15471" t="s">
        <v>2176</v>
      </c>
      <c r="F15471">
        <v>5</v>
      </c>
      <c r="G15471" t="s">
        <v>55</v>
      </c>
      <c r="H15471" t="s">
        <v>45</v>
      </c>
      <c r="I15471" t="s">
        <v>2193</v>
      </c>
      <c r="J15471" s="10">
        <v>0</v>
      </c>
      <c r="K15471" t="b">
        <v>1</v>
      </c>
    </row>
    <row r="15472" spans="1:11">
      <c r="A15472" s="12">
        <v>43574</v>
      </c>
      <c r="B15472">
        <v>2019</v>
      </c>
      <c r="C15472">
        <v>4</v>
      </c>
      <c r="D15472" s="11">
        <v>43556</v>
      </c>
      <c r="E15472" t="s">
        <v>2176</v>
      </c>
      <c r="F15472">
        <v>5</v>
      </c>
      <c r="G15472" t="s">
        <v>55</v>
      </c>
      <c r="H15472" t="s">
        <v>46</v>
      </c>
      <c r="I15472" t="s">
        <v>2194</v>
      </c>
      <c r="J15472" s="10">
        <v>6</v>
      </c>
      <c r="K15472" t="b">
        <v>1</v>
      </c>
    </row>
    <row r="15473" spans="1:11">
      <c r="A15473" s="12">
        <v>43574</v>
      </c>
      <c r="B15473">
        <v>2019</v>
      </c>
      <c r="C15473">
        <v>4</v>
      </c>
      <c r="D15473" s="11">
        <v>43556</v>
      </c>
      <c r="E15473" t="s">
        <v>2176</v>
      </c>
      <c r="F15473">
        <v>5</v>
      </c>
      <c r="G15473" t="s">
        <v>55</v>
      </c>
      <c r="H15473" t="s">
        <v>47</v>
      </c>
      <c r="I15473" t="s">
        <v>2195</v>
      </c>
      <c r="J15473" s="10">
        <v>2</v>
      </c>
      <c r="K15473" t="b">
        <v>1</v>
      </c>
    </row>
    <row r="15474" spans="1:11">
      <c r="A15474" s="12">
        <v>43575</v>
      </c>
      <c r="B15474">
        <v>2019</v>
      </c>
      <c r="C15474">
        <v>4</v>
      </c>
      <c r="D15474" s="11">
        <v>43556</v>
      </c>
      <c r="E15474" t="s">
        <v>2176</v>
      </c>
      <c r="F15474">
        <v>6</v>
      </c>
      <c r="G15474" t="s">
        <v>57</v>
      </c>
      <c r="H15474" t="s">
        <v>40</v>
      </c>
      <c r="I15474" t="s">
        <v>2188</v>
      </c>
      <c r="J15474" s="10">
        <v>9</v>
      </c>
      <c r="K15474" t="b">
        <v>1</v>
      </c>
    </row>
    <row r="15475" spans="1:11">
      <c r="A15475" s="12">
        <v>43575</v>
      </c>
      <c r="B15475">
        <v>2019</v>
      </c>
      <c r="C15475">
        <v>4</v>
      </c>
      <c r="D15475" s="11">
        <v>43556</v>
      </c>
      <c r="E15475" t="s">
        <v>2176</v>
      </c>
      <c r="F15475">
        <v>6</v>
      </c>
      <c r="G15475" t="s">
        <v>57</v>
      </c>
      <c r="H15475" t="s">
        <v>41</v>
      </c>
      <c r="I15475" t="s">
        <v>2189</v>
      </c>
      <c r="J15475" s="10">
        <v>3.769</v>
      </c>
      <c r="K15475" t="b">
        <v>1</v>
      </c>
    </row>
    <row r="15476" spans="1:11">
      <c r="A15476" s="12">
        <v>43575</v>
      </c>
      <c r="B15476">
        <v>2019</v>
      </c>
      <c r="C15476">
        <v>4</v>
      </c>
      <c r="D15476" s="11">
        <v>43556</v>
      </c>
      <c r="E15476" t="s">
        <v>2176</v>
      </c>
      <c r="F15476">
        <v>6</v>
      </c>
      <c r="G15476" t="s">
        <v>57</v>
      </c>
      <c r="H15476" t="s">
        <v>42</v>
      </c>
      <c r="I15476" t="s">
        <v>2190</v>
      </c>
      <c r="J15476" s="10">
        <v>1.5</v>
      </c>
      <c r="K15476" t="b">
        <v>1</v>
      </c>
    </row>
    <row r="15477" spans="1:11">
      <c r="A15477" s="12">
        <v>43575</v>
      </c>
      <c r="B15477">
        <v>2019</v>
      </c>
      <c r="C15477">
        <v>4</v>
      </c>
      <c r="D15477" s="11">
        <v>43556</v>
      </c>
      <c r="E15477" t="s">
        <v>2176</v>
      </c>
      <c r="F15477">
        <v>6</v>
      </c>
      <c r="G15477" t="s">
        <v>57</v>
      </c>
      <c r="H15477" t="s">
        <v>43</v>
      </c>
      <c r="I15477" t="s">
        <v>2191</v>
      </c>
      <c r="J15477" s="10">
        <v>22.4</v>
      </c>
      <c r="K15477" t="b">
        <v>1</v>
      </c>
    </row>
    <row r="15478" spans="1:11">
      <c r="A15478" s="12">
        <v>43575</v>
      </c>
      <c r="B15478">
        <v>2019</v>
      </c>
      <c r="C15478">
        <v>4</v>
      </c>
      <c r="D15478" s="11">
        <v>43556</v>
      </c>
      <c r="E15478" t="s">
        <v>2176</v>
      </c>
      <c r="F15478">
        <v>6</v>
      </c>
      <c r="G15478" t="s">
        <v>57</v>
      </c>
      <c r="H15478" t="s">
        <v>44</v>
      </c>
      <c r="I15478" t="s">
        <v>2192</v>
      </c>
      <c r="J15478" s="10">
        <v>12</v>
      </c>
      <c r="K15478" t="b">
        <v>1</v>
      </c>
    </row>
    <row r="15479" spans="1:11">
      <c r="A15479" s="12">
        <v>43575</v>
      </c>
      <c r="B15479">
        <v>2019</v>
      </c>
      <c r="C15479">
        <v>4</v>
      </c>
      <c r="D15479" s="11">
        <v>43556</v>
      </c>
      <c r="E15479" t="s">
        <v>2176</v>
      </c>
      <c r="F15479">
        <v>6</v>
      </c>
      <c r="G15479" t="s">
        <v>57</v>
      </c>
      <c r="H15479" t="s">
        <v>45</v>
      </c>
      <c r="I15479" t="s">
        <v>2193</v>
      </c>
      <c r="J15479" s="10">
        <v>3</v>
      </c>
      <c r="K15479" t="b">
        <v>1</v>
      </c>
    </row>
    <row r="15480" spans="1:11">
      <c r="A15480" s="12">
        <v>43575</v>
      </c>
      <c r="B15480">
        <v>2019</v>
      </c>
      <c r="C15480">
        <v>4</v>
      </c>
      <c r="D15480" s="11">
        <v>43556</v>
      </c>
      <c r="E15480" t="s">
        <v>2176</v>
      </c>
      <c r="F15480">
        <v>6</v>
      </c>
      <c r="G15480" t="s">
        <v>57</v>
      </c>
      <c r="H15480" t="s">
        <v>46</v>
      </c>
      <c r="I15480" t="s">
        <v>2194</v>
      </c>
      <c r="J15480" s="10">
        <v>0</v>
      </c>
      <c r="K15480" t="b">
        <v>1</v>
      </c>
    </row>
    <row r="15481" spans="1:11">
      <c r="A15481" s="12">
        <v>43575</v>
      </c>
      <c r="B15481">
        <v>2019</v>
      </c>
      <c r="C15481">
        <v>4</v>
      </c>
      <c r="D15481" s="11">
        <v>43556</v>
      </c>
      <c r="E15481" t="s">
        <v>2176</v>
      </c>
      <c r="F15481">
        <v>6</v>
      </c>
      <c r="G15481" t="s">
        <v>57</v>
      </c>
      <c r="H15481" t="s">
        <v>47</v>
      </c>
      <c r="I15481" t="s">
        <v>2195</v>
      </c>
      <c r="J15481" s="10">
        <v>6</v>
      </c>
      <c r="K15481" t="b">
        <v>1</v>
      </c>
    </row>
    <row r="15482" spans="1:11">
      <c r="A15482" s="12">
        <v>43576</v>
      </c>
      <c r="B15482">
        <v>2019</v>
      </c>
      <c r="C15482">
        <v>4</v>
      </c>
      <c r="D15482" s="11">
        <v>43556</v>
      </c>
      <c r="E15482" t="s">
        <v>2176</v>
      </c>
      <c r="F15482">
        <v>7</v>
      </c>
      <c r="G15482" t="s">
        <v>59</v>
      </c>
      <c r="H15482" t="s">
        <v>40</v>
      </c>
      <c r="I15482" t="s">
        <v>2188</v>
      </c>
      <c r="J15482" s="10">
        <v>3.84</v>
      </c>
      <c r="K15482" t="b">
        <v>1</v>
      </c>
    </row>
    <row r="15483" spans="1:11">
      <c r="A15483" s="12">
        <v>43576</v>
      </c>
      <c r="B15483">
        <v>2019</v>
      </c>
      <c r="C15483">
        <v>4</v>
      </c>
      <c r="D15483" s="11">
        <v>43556</v>
      </c>
      <c r="E15483" t="s">
        <v>2176</v>
      </c>
      <c r="F15483">
        <v>7</v>
      </c>
      <c r="G15483" t="s">
        <v>59</v>
      </c>
      <c r="H15483" t="s">
        <v>41</v>
      </c>
      <c r="I15483" t="s">
        <v>2189</v>
      </c>
      <c r="J15483" s="10">
        <v>4.845</v>
      </c>
      <c r="K15483" t="b">
        <v>1</v>
      </c>
    </row>
    <row r="15484" spans="1:11">
      <c r="A15484" s="12">
        <v>43576</v>
      </c>
      <c r="B15484">
        <v>2019</v>
      </c>
      <c r="C15484">
        <v>4</v>
      </c>
      <c r="D15484" s="11">
        <v>43556</v>
      </c>
      <c r="E15484" t="s">
        <v>2176</v>
      </c>
      <c r="F15484">
        <v>7</v>
      </c>
      <c r="G15484" t="s">
        <v>59</v>
      </c>
      <c r="H15484" t="s">
        <v>42</v>
      </c>
      <c r="I15484" t="s">
        <v>2190</v>
      </c>
      <c r="J15484" s="10">
        <v>3</v>
      </c>
      <c r="K15484" t="b">
        <v>1</v>
      </c>
    </row>
    <row r="15485" spans="1:11">
      <c r="A15485" s="12">
        <v>43576</v>
      </c>
      <c r="B15485">
        <v>2019</v>
      </c>
      <c r="C15485">
        <v>4</v>
      </c>
      <c r="D15485" s="11">
        <v>43556</v>
      </c>
      <c r="E15485" t="s">
        <v>2176</v>
      </c>
      <c r="F15485">
        <v>7</v>
      </c>
      <c r="G15485" t="s">
        <v>59</v>
      </c>
      <c r="H15485" t="s">
        <v>43</v>
      </c>
      <c r="I15485" t="s">
        <v>2191</v>
      </c>
      <c r="J15485" s="10">
        <v>21</v>
      </c>
      <c r="K15485" t="b">
        <v>1</v>
      </c>
    </row>
    <row r="15486" spans="1:11">
      <c r="A15486" s="12">
        <v>43576</v>
      </c>
      <c r="B15486">
        <v>2019</v>
      </c>
      <c r="C15486">
        <v>4</v>
      </c>
      <c r="D15486" s="11">
        <v>43556</v>
      </c>
      <c r="E15486" t="s">
        <v>2176</v>
      </c>
      <c r="F15486">
        <v>7</v>
      </c>
      <c r="G15486" t="s">
        <v>59</v>
      </c>
      <c r="H15486" t="s">
        <v>44</v>
      </c>
      <c r="I15486" t="s">
        <v>2192</v>
      </c>
      <c r="J15486" s="10">
        <v>11</v>
      </c>
      <c r="K15486" t="b">
        <v>1</v>
      </c>
    </row>
    <row r="15487" spans="1:11">
      <c r="A15487" s="12">
        <v>43576</v>
      </c>
      <c r="B15487">
        <v>2019</v>
      </c>
      <c r="C15487">
        <v>4</v>
      </c>
      <c r="D15487" s="11">
        <v>43556</v>
      </c>
      <c r="E15487" t="s">
        <v>2176</v>
      </c>
      <c r="F15487">
        <v>7</v>
      </c>
      <c r="G15487" t="s">
        <v>59</v>
      </c>
      <c r="H15487" t="s">
        <v>45</v>
      </c>
      <c r="I15487" t="s">
        <v>2193</v>
      </c>
      <c r="J15487" s="10">
        <v>0</v>
      </c>
      <c r="K15487" t="b">
        <v>1</v>
      </c>
    </row>
    <row r="15488" spans="1:11">
      <c r="A15488" s="12">
        <v>43576</v>
      </c>
      <c r="B15488">
        <v>2019</v>
      </c>
      <c r="C15488">
        <v>4</v>
      </c>
      <c r="D15488" s="11">
        <v>43556</v>
      </c>
      <c r="E15488" t="s">
        <v>2176</v>
      </c>
      <c r="F15488">
        <v>7</v>
      </c>
      <c r="G15488" t="s">
        <v>59</v>
      </c>
      <c r="H15488" t="s">
        <v>46</v>
      </c>
      <c r="I15488" t="s">
        <v>2194</v>
      </c>
      <c r="J15488" s="10">
        <v>2</v>
      </c>
      <c r="K15488" t="b">
        <v>1</v>
      </c>
    </row>
    <row r="15489" spans="1:11">
      <c r="A15489" s="12">
        <v>43576</v>
      </c>
      <c r="B15489">
        <v>2019</v>
      </c>
      <c r="C15489">
        <v>4</v>
      </c>
      <c r="D15489" s="11">
        <v>43556</v>
      </c>
      <c r="E15489" t="s">
        <v>2176</v>
      </c>
      <c r="F15489">
        <v>7</v>
      </c>
      <c r="G15489" t="s">
        <v>59</v>
      </c>
      <c r="H15489" t="s">
        <v>47</v>
      </c>
      <c r="I15489" t="s">
        <v>2195</v>
      </c>
      <c r="J15489" s="10">
        <v>12.2</v>
      </c>
      <c r="K15489" t="b">
        <v>1</v>
      </c>
    </row>
    <row r="15490" spans="1:11">
      <c r="A15490" s="12">
        <v>43577</v>
      </c>
      <c r="B15490">
        <v>2019</v>
      </c>
      <c r="C15490">
        <v>4</v>
      </c>
      <c r="D15490" s="11">
        <v>43556</v>
      </c>
      <c r="E15490" t="s">
        <v>2176</v>
      </c>
      <c r="F15490">
        <v>1</v>
      </c>
      <c r="G15490" t="s">
        <v>61</v>
      </c>
      <c r="H15490" t="s">
        <v>40</v>
      </c>
      <c r="I15490" t="s">
        <v>2188</v>
      </c>
      <c r="J15490" s="10">
        <v>8.67</v>
      </c>
      <c r="K15490" t="b">
        <v>1</v>
      </c>
    </row>
    <row r="15491" spans="1:11">
      <c r="A15491" s="12">
        <v>43577</v>
      </c>
      <c r="B15491">
        <v>2019</v>
      </c>
      <c r="C15491">
        <v>4</v>
      </c>
      <c r="D15491" s="11">
        <v>43556</v>
      </c>
      <c r="E15491" t="s">
        <v>2176</v>
      </c>
      <c r="F15491">
        <v>1</v>
      </c>
      <c r="G15491" t="s">
        <v>61</v>
      </c>
      <c r="H15491" t="s">
        <v>41</v>
      </c>
      <c r="I15491" t="s">
        <v>2189</v>
      </c>
      <c r="J15491" s="10">
        <v>1.66</v>
      </c>
      <c r="K15491" t="b">
        <v>1</v>
      </c>
    </row>
    <row r="15492" spans="1:11">
      <c r="A15492" s="12">
        <v>43577</v>
      </c>
      <c r="B15492">
        <v>2019</v>
      </c>
      <c r="C15492">
        <v>4</v>
      </c>
      <c r="D15492" s="11">
        <v>43556</v>
      </c>
      <c r="E15492" t="s">
        <v>2176</v>
      </c>
      <c r="F15492">
        <v>1</v>
      </c>
      <c r="G15492" t="s">
        <v>61</v>
      </c>
      <c r="H15492" t="s">
        <v>42</v>
      </c>
      <c r="I15492" t="s">
        <v>2190</v>
      </c>
      <c r="J15492" s="10">
        <v>4.5</v>
      </c>
      <c r="K15492" t="b">
        <v>1</v>
      </c>
    </row>
    <row r="15493" spans="1:11">
      <c r="A15493" s="12">
        <v>43577</v>
      </c>
      <c r="B15493">
        <v>2019</v>
      </c>
      <c r="C15493">
        <v>4</v>
      </c>
      <c r="D15493" s="11">
        <v>43556</v>
      </c>
      <c r="E15493" t="s">
        <v>2176</v>
      </c>
      <c r="F15493">
        <v>1</v>
      </c>
      <c r="G15493" t="s">
        <v>61</v>
      </c>
      <c r="H15493" t="s">
        <v>43</v>
      </c>
      <c r="I15493" t="s">
        <v>2191</v>
      </c>
      <c r="J15493" s="10">
        <v>51</v>
      </c>
      <c r="K15493" t="b">
        <v>1</v>
      </c>
    </row>
    <row r="15494" spans="1:11">
      <c r="A15494" s="12">
        <v>43577</v>
      </c>
      <c r="B15494">
        <v>2019</v>
      </c>
      <c r="C15494">
        <v>4</v>
      </c>
      <c r="D15494" s="11">
        <v>43556</v>
      </c>
      <c r="E15494" t="s">
        <v>2176</v>
      </c>
      <c r="F15494">
        <v>1</v>
      </c>
      <c r="G15494" t="s">
        <v>61</v>
      </c>
      <c r="H15494" t="s">
        <v>44</v>
      </c>
      <c r="I15494" t="s">
        <v>2192</v>
      </c>
      <c r="J15494" s="10">
        <v>12</v>
      </c>
      <c r="K15494" t="b">
        <v>1</v>
      </c>
    </row>
    <row r="15495" spans="1:11">
      <c r="A15495" s="12">
        <v>43577</v>
      </c>
      <c r="B15495">
        <v>2019</v>
      </c>
      <c r="C15495">
        <v>4</v>
      </c>
      <c r="D15495" s="11">
        <v>43556</v>
      </c>
      <c r="E15495" t="s">
        <v>2176</v>
      </c>
      <c r="F15495">
        <v>1</v>
      </c>
      <c r="G15495" t="s">
        <v>61</v>
      </c>
      <c r="H15495" t="s">
        <v>45</v>
      </c>
      <c r="I15495" t="s">
        <v>2193</v>
      </c>
      <c r="J15495" s="10">
        <v>0</v>
      </c>
      <c r="K15495" t="b">
        <v>1</v>
      </c>
    </row>
    <row r="15496" spans="1:11">
      <c r="A15496" s="12">
        <v>43577</v>
      </c>
      <c r="B15496">
        <v>2019</v>
      </c>
      <c r="C15496">
        <v>4</v>
      </c>
      <c r="D15496" s="11">
        <v>43556</v>
      </c>
      <c r="E15496" t="s">
        <v>2176</v>
      </c>
      <c r="F15496">
        <v>1</v>
      </c>
      <c r="G15496" t="s">
        <v>61</v>
      </c>
      <c r="H15496" t="s">
        <v>46</v>
      </c>
      <c r="I15496" t="s">
        <v>2194</v>
      </c>
      <c r="J15496" s="10">
        <v>31</v>
      </c>
      <c r="K15496" t="b">
        <v>1</v>
      </c>
    </row>
    <row r="15497" spans="1:11">
      <c r="A15497" s="12">
        <v>43577</v>
      </c>
      <c r="B15497">
        <v>2019</v>
      </c>
      <c r="C15497">
        <v>4</v>
      </c>
      <c r="D15497" s="11">
        <v>43556</v>
      </c>
      <c r="E15497" t="s">
        <v>2176</v>
      </c>
      <c r="F15497">
        <v>1</v>
      </c>
      <c r="G15497" t="s">
        <v>61</v>
      </c>
      <c r="H15497" t="s">
        <v>47</v>
      </c>
      <c r="I15497" t="s">
        <v>2195</v>
      </c>
      <c r="J15497" s="10">
        <v>9</v>
      </c>
      <c r="K15497" t="b">
        <v>1</v>
      </c>
    </row>
    <row r="15498" spans="1:11">
      <c r="A15498" s="12">
        <v>43578</v>
      </c>
      <c r="B15498">
        <v>2019</v>
      </c>
      <c r="C15498">
        <v>4</v>
      </c>
      <c r="D15498" s="11">
        <v>43556</v>
      </c>
      <c r="E15498" t="s">
        <v>2176</v>
      </c>
      <c r="F15498">
        <v>2</v>
      </c>
      <c r="G15498" t="s">
        <v>63</v>
      </c>
      <c r="H15498" t="s">
        <v>40</v>
      </c>
      <c r="I15498" t="s">
        <v>2188</v>
      </c>
      <c r="J15498" s="10">
        <v>9</v>
      </c>
      <c r="K15498" t="b">
        <v>1</v>
      </c>
    </row>
    <row r="15499" spans="1:11">
      <c r="A15499" s="12">
        <v>43578</v>
      </c>
      <c r="B15499">
        <v>2019</v>
      </c>
      <c r="C15499">
        <v>4</v>
      </c>
      <c r="D15499" s="11">
        <v>43556</v>
      </c>
      <c r="E15499" t="s">
        <v>2176</v>
      </c>
      <c r="F15499">
        <v>2</v>
      </c>
      <c r="G15499" t="s">
        <v>63</v>
      </c>
      <c r="H15499" t="s">
        <v>41</v>
      </c>
      <c r="I15499" t="s">
        <v>2189</v>
      </c>
      <c r="J15499" s="10">
        <v>0.34</v>
      </c>
      <c r="K15499" t="b">
        <v>1</v>
      </c>
    </row>
    <row r="15500" spans="1:11">
      <c r="A15500" s="12">
        <v>43578</v>
      </c>
      <c r="B15500">
        <v>2019</v>
      </c>
      <c r="C15500">
        <v>4</v>
      </c>
      <c r="D15500" s="11">
        <v>43556</v>
      </c>
      <c r="E15500" t="s">
        <v>2176</v>
      </c>
      <c r="F15500">
        <v>2</v>
      </c>
      <c r="G15500" t="s">
        <v>63</v>
      </c>
      <c r="H15500" t="s">
        <v>42</v>
      </c>
      <c r="I15500" t="s">
        <v>2190</v>
      </c>
      <c r="J15500" s="10">
        <v>6.1</v>
      </c>
      <c r="K15500" t="b">
        <v>1</v>
      </c>
    </row>
    <row r="15501" spans="1:11">
      <c r="A15501" s="12">
        <v>43578</v>
      </c>
      <c r="B15501">
        <v>2019</v>
      </c>
      <c r="C15501">
        <v>4</v>
      </c>
      <c r="D15501" s="11">
        <v>43556</v>
      </c>
      <c r="E15501" t="s">
        <v>2176</v>
      </c>
      <c r="F15501">
        <v>2</v>
      </c>
      <c r="G15501" t="s">
        <v>63</v>
      </c>
      <c r="H15501" t="s">
        <v>43</v>
      </c>
      <c r="I15501" t="s">
        <v>2191</v>
      </c>
      <c r="J15501" s="10">
        <v>18.4</v>
      </c>
      <c r="K15501" t="b">
        <v>1</v>
      </c>
    </row>
    <row r="15502" spans="1:11">
      <c r="A15502" s="12">
        <v>43578</v>
      </c>
      <c r="B15502">
        <v>2019</v>
      </c>
      <c r="C15502">
        <v>4</v>
      </c>
      <c r="D15502" s="11">
        <v>43556</v>
      </c>
      <c r="E15502" t="s">
        <v>2176</v>
      </c>
      <c r="F15502">
        <v>2</v>
      </c>
      <c r="G15502" t="s">
        <v>63</v>
      </c>
      <c r="H15502" t="s">
        <v>44</v>
      </c>
      <c r="I15502" t="s">
        <v>2192</v>
      </c>
      <c r="J15502" s="10">
        <v>6</v>
      </c>
      <c r="K15502" t="b">
        <v>1</v>
      </c>
    </row>
    <row r="15503" spans="1:11">
      <c r="A15503" s="12">
        <v>43578</v>
      </c>
      <c r="B15503">
        <v>2019</v>
      </c>
      <c r="C15503">
        <v>4</v>
      </c>
      <c r="D15503" s="11">
        <v>43556</v>
      </c>
      <c r="E15503" t="s">
        <v>2176</v>
      </c>
      <c r="F15503">
        <v>2</v>
      </c>
      <c r="G15503" t="s">
        <v>63</v>
      </c>
      <c r="H15503" t="s">
        <v>45</v>
      </c>
      <c r="I15503" t="s">
        <v>2193</v>
      </c>
      <c r="J15503" s="10">
        <v>1</v>
      </c>
      <c r="K15503" t="b">
        <v>1</v>
      </c>
    </row>
    <row r="15504" spans="1:11">
      <c r="A15504" s="12">
        <v>43578</v>
      </c>
      <c r="B15504">
        <v>2019</v>
      </c>
      <c r="C15504">
        <v>4</v>
      </c>
      <c r="D15504" s="11">
        <v>43556</v>
      </c>
      <c r="E15504" t="s">
        <v>2176</v>
      </c>
      <c r="F15504">
        <v>2</v>
      </c>
      <c r="G15504" t="s">
        <v>63</v>
      </c>
      <c r="H15504" t="s">
        <v>46</v>
      </c>
      <c r="I15504" t="s">
        <v>2194</v>
      </c>
      <c r="J15504" s="10">
        <v>4</v>
      </c>
      <c r="K15504" t="b">
        <v>1</v>
      </c>
    </row>
    <row r="15505" spans="1:11">
      <c r="A15505" s="12">
        <v>43578</v>
      </c>
      <c r="B15505">
        <v>2019</v>
      </c>
      <c r="C15505">
        <v>4</v>
      </c>
      <c r="D15505" s="11">
        <v>43556</v>
      </c>
      <c r="E15505" t="s">
        <v>2176</v>
      </c>
      <c r="F15505">
        <v>2</v>
      </c>
      <c r="G15505" t="s">
        <v>63</v>
      </c>
      <c r="H15505" t="s">
        <v>47</v>
      </c>
      <c r="I15505" t="s">
        <v>2195</v>
      </c>
      <c r="J15505" s="10">
        <v>2</v>
      </c>
      <c r="K15505" t="b">
        <v>1</v>
      </c>
    </row>
    <row r="15506" spans="1:11">
      <c r="A15506" s="12">
        <v>43579</v>
      </c>
      <c r="B15506">
        <v>2019</v>
      </c>
      <c r="C15506">
        <v>4</v>
      </c>
      <c r="D15506" s="11">
        <v>43556</v>
      </c>
      <c r="E15506" t="s">
        <v>2176</v>
      </c>
      <c r="F15506">
        <v>3</v>
      </c>
      <c r="G15506" t="s">
        <v>65</v>
      </c>
      <c r="H15506" t="s">
        <v>40</v>
      </c>
      <c r="I15506" t="s">
        <v>2188</v>
      </c>
      <c r="J15506" s="10">
        <v>2.34</v>
      </c>
      <c r="K15506" t="b">
        <v>1</v>
      </c>
    </row>
    <row r="15507" spans="1:11">
      <c r="A15507" s="12">
        <v>43579</v>
      </c>
      <c r="B15507">
        <v>2019</v>
      </c>
      <c r="C15507">
        <v>4</v>
      </c>
      <c r="D15507" s="11">
        <v>43556</v>
      </c>
      <c r="E15507" t="s">
        <v>2176</v>
      </c>
      <c r="F15507">
        <v>3</v>
      </c>
      <c r="G15507" t="s">
        <v>65</v>
      </c>
      <c r="H15507" t="s">
        <v>41</v>
      </c>
      <c r="I15507" t="s">
        <v>2189</v>
      </c>
      <c r="J15507" s="10">
        <v>4.747</v>
      </c>
      <c r="K15507" t="b">
        <v>1</v>
      </c>
    </row>
    <row r="15508" spans="1:11">
      <c r="A15508" s="12">
        <v>43579</v>
      </c>
      <c r="B15508">
        <v>2019</v>
      </c>
      <c r="C15508">
        <v>4</v>
      </c>
      <c r="D15508" s="11">
        <v>43556</v>
      </c>
      <c r="E15508" t="s">
        <v>2176</v>
      </c>
      <c r="F15508">
        <v>3</v>
      </c>
      <c r="G15508" t="s">
        <v>65</v>
      </c>
      <c r="H15508" t="s">
        <v>42</v>
      </c>
      <c r="I15508" t="s">
        <v>2190</v>
      </c>
      <c r="J15508" s="10">
        <v>3</v>
      </c>
      <c r="K15508" t="b">
        <v>1</v>
      </c>
    </row>
    <row r="15509" spans="1:11">
      <c r="A15509" s="12">
        <v>43579</v>
      </c>
      <c r="B15509">
        <v>2019</v>
      </c>
      <c r="C15509">
        <v>4</v>
      </c>
      <c r="D15509" s="11">
        <v>43556</v>
      </c>
      <c r="E15509" t="s">
        <v>2176</v>
      </c>
      <c r="F15509">
        <v>3</v>
      </c>
      <c r="G15509" t="s">
        <v>65</v>
      </c>
      <c r="H15509" t="s">
        <v>43</v>
      </c>
      <c r="I15509" t="s">
        <v>2191</v>
      </c>
      <c r="J15509" s="10">
        <v>39.1</v>
      </c>
      <c r="K15509" t="b">
        <v>1</v>
      </c>
    </row>
    <row r="15510" spans="1:11">
      <c r="A15510" s="12">
        <v>43579</v>
      </c>
      <c r="B15510">
        <v>2019</v>
      </c>
      <c r="C15510">
        <v>4</v>
      </c>
      <c r="D15510" s="11">
        <v>43556</v>
      </c>
      <c r="E15510" t="s">
        <v>2176</v>
      </c>
      <c r="F15510">
        <v>3</v>
      </c>
      <c r="G15510" t="s">
        <v>65</v>
      </c>
      <c r="H15510" t="s">
        <v>44</v>
      </c>
      <c r="I15510" t="s">
        <v>2192</v>
      </c>
      <c r="J15510" s="10">
        <v>13</v>
      </c>
      <c r="K15510" t="b">
        <v>1</v>
      </c>
    </row>
    <row r="15511" spans="1:11">
      <c r="A15511" s="12">
        <v>43579</v>
      </c>
      <c r="B15511">
        <v>2019</v>
      </c>
      <c r="C15511">
        <v>4</v>
      </c>
      <c r="D15511" s="11">
        <v>43556</v>
      </c>
      <c r="E15511" t="s">
        <v>2176</v>
      </c>
      <c r="F15511">
        <v>3</v>
      </c>
      <c r="G15511" t="s">
        <v>65</v>
      </c>
      <c r="H15511" t="s">
        <v>45</v>
      </c>
      <c r="I15511" t="s">
        <v>2193</v>
      </c>
      <c r="J15511" s="10">
        <v>3</v>
      </c>
      <c r="K15511" t="b">
        <v>1</v>
      </c>
    </row>
    <row r="15512" spans="1:11">
      <c r="A15512" s="12">
        <v>43579</v>
      </c>
      <c r="B15512">
        <v>2019</v>
      </c>
      <c r="C15512">
        <v>4</v>
      </c>
      <c r="D15512" s="11">
        <v>43556</v>
      </c>
      <c r="E15512" t="s">
        <v>2176</v>
      </c>
      <c r="F15512">
        <v>3</v>
      </c>
      <c r="G15512" t="s">
        <v>65</v>
      </c>
      <c r="H15512" t="s">
        <v>46</v>
      </c>
      <c r="I15512" t="s">
        <v>2194</v>
      </c>
      <c r="J15512" s="10">
        <v>12</v>
      </c>
      <c r="K15512" t="b">
        <v>1</v>
      </c>
    </row>
    <row r="15513" spans="1:11">
      <c r="A15513" s="12">
        <v>43579</v>
      </c>
      <c r="B15513">
        <v>2019</v>
      </c>
      <c r="C15513">
        <v>4</v>
      </c>
      <c r="D15513" s="11">
        <v>43556</v>
      </c>
      <c r="E15513" t="s">
        <v>2176</v>
      </c>
      <c r="F15513">
        <v>3</v>
      </c>
      <c r="G15513" t="s">
        <v>65</v>
      </c>
      <c r="H15513" t="s">
        <v>47</v>
      </c>
      <c r="I15513" t="s">
        <v>2195</v>
      </c>
      <c r="J15513" s="10">
        <v>2</v>
      </c>
      <c r="K15513" t="b">
        <v>1</v>
      </c>
    </row>
    <row r="15514" spans="1:11">
      <c r="A15514" s="12">
        <v>43580</v>
      </c>
      <c r="B15514">
        <v>2019</v>
      </c>
      <c r="C15514">
        <v>4</v>
      </c>
      <c r="D15514" s="11">
        <v>43556</v>
      </c>
      <c r="E15514" t="s">
        <v>2176</v>
      </c>
      <c r="F15514">
        <v>4</v>
      </c>
      <c r="G15514" t="s">
        <v>53</v>
      </c>
      <c r="H15514" t="s">
        <v>40</v>
      </c>
      <c r="I15514" t="s">
        <v>2188</v>
      </c>
      <c r="J15514" s="10">
        <v>14.01</v>
      </c>
      <c r="K15514" t="b">
        <v>1</v>
      </c>
    </row>
    <row r="15515" spans="1:11">
      <c r="A15515" s="12">
        <v>43580</v>
      </c>
      <c r="B15515">
        <v>2019</v>
      </c>
      <c r="C15515">
        <v>4</v>
      </c>
      <c r="D15515" s="11">
        <v>43556</v>
      </c>
      <c r="E15515" t="s">
        <v>2176</v>
      </c>
      <c r="F15515">
        <v>4</v>
      </c>
      <c r="G15515" t="s">
        <v>53</v>
      </c>
      <c r="H15515" t="s">
        <v>41</v>
      </c>
      <c r="I15515" t="s">
        <v>2189</v>
      </c>
      <c r="J15515" s="10">
        <v>3.59</v>
      </c>
      <c r="K15515" t="b">
        <v>1</v>
      </c>
    </row>
    <row r="15516" spans="1:11">
      <c r="A15516" s="12">
        <v>43580</v>
      </c>
      <c r="B15516">
        <v>2019</v>
      </c>
      <c r="C15516">
        <v>4</v>
      </c>
      <c r="D15516" s="11">
        <v>43556</v>
      </c>
      <c r="E15516" t="s">
        <v>2176</v>
      </c>
      <c r="F15516">
        <v>4</v>
      </c>
      <c r="G15516" t="s">
        <v>53</v>
      </c>
      <c r="H15516" t="s">
        <v>42</v>
      </c>
      <c r="I15516" t="s">
        <v>2190</v>
      </c>
      <c r="J15516" s="10">
        <v>2</v>
      </c>
      <c r="K15516" t="b">
        <v>1</v>
      </c>
    </row>
    <row r="15517" spans="1:11">
      <c r="A15517" s="12">
        <v>43580</v>
      </c>
      <c r="B15517">
        <v>2019</v>
      </c>
      <c r="C15517">
        <v>4</v>
      </c>
      <c r="D15517" s="11">
        <v>43556</v>
      </c>
      <c r="E15517" t="s">
        <v>2176</v>
      </c>
      <c r="F15517">
        <v>4</v>
      </c>
      <c r="G15517" t="s">
        <v>53</v>
      </c>
      <c r="H15517" t="s">
        <v>43</v>
      </c>
      <c r="I15517" t="s">
        <v>2191</v>
      </c>
      <c r="J15517" s="10">
        <v>15</v>
      </c>
      <c r="K15517" t="b">
        <v>1</v>
      </c>
    </row>
    <row r="15518" spans="1:11">
      <c r="A15518" s="12">
        <v>43580</v>
      </c>
      <c r="B15518">
        <v>2019</v>
      </c>
      <c r="C15518">
        <v>4</v>
      </c>
      <c r="D15518" s="11">
        <v>43556</v>
      </c>
      <c r="E15518" t="s">
        <v>2176</v>
      </c>
      <c r="F15518">
        <v>4</v>
      </c>
      <c r="G15518" t="s">
        <v>53</v>
      </c>
      <c r="H15518" t="s">
        <v>44</v>
      </c>
      <c r="I15518" t="s">
        <v>2192</v>
      </c>
      <c r="J15518" s="10">
        <v>17</v>
      </c>
      <c r="K15518" t="b">
        <v>1</v>
      </c>
    </row>
    <row r="15519" spans="1:11">
      <c r="A15519" s="12">
        <v>43580</v>
      </c>
      <c r="B15519">
        <v>2019</v>
      </c>
      <c r="C15519">
        <v>4</v>
      </c>
      <c r="D15519" s="11">
        <v>43556</v>
      </c>
      <c r="E15519" t="s">
        <v>2176</v>
      </c>
      <c r="F15519">
        <v>4</v>
      </c>
      <c r="G15519" t="s">
        <v>53</v>
      </c>
      <c r="H15519" t="s">
        <v>45</v>
      </c>
      <c r="I15519" t="s">
        <v>2193</v>
      </c>
      <c r="J15519" s="10">
        <v>1</v>
      </c>
      <c r="K15519" t="b">
        <v>1</v>
      </c>
    </row>
    <row r="15520" spans="1:11">
      <c r="A15520" s="12">
        <v>43580</v>
      </c>
      <c r="B15520">
        <v>2019</v>
      </c>
      <c r="C15520">
        <v>4</v>
      </c>
      <c r="D15520" s="11">
        <v>43556</v>
      </c>
      <c r="E15520" t="s">
        <v>2176</v>
      </c>
      <c r="F15520">
        <v>4</v>
      </c>
      <c r="G15520" t="s">
        <v>53</v>
      </c>
      <c r="H15520" t="s">
        <v>46</v>
      </c>
      <c r="I15520" t="s">
        <v>2194</v>
      </c>
      <c r="J15520" s="10">
        <v>7</v>
      </c>
      <c r="K15520" t="b">
        <v>1</v>
      </c>
    </row>
    <row r="15521" spans="1:11">
      <c r="A15521" s="12">
        <v>43580</v>
      </c>
      <c r="B15521">
        <v>2019</v>
      </c>
      <c r="C15521">
        <v>4</v>
      </c>
      <c r="D15521" s="11">
        <v>43556</v>
      </c>
      <c r="E15521" t="s">
        <v>2176</v>
      </c>
      <c r="F15521">
        <v>4</v>
      </c>
      <c r="G15521" t="s">
        <v>53</v>
      </c>
      <c r="H15521" t="s">
        <v>47</v>
      </c>
      <c r="I15521" t="s">
        <v>2195</v>
      </c>
      <c r="J15521" s="10">
        <v>5.4</v>
      </c>
      <c r="K15521" t="b">
        <v>1</v>
      </c>
    </row>
    <row r="15522" spans="1:11">
      <c r="A15522" s="12">
        <v>43581</v>
      </c>
      <c r="B15522">
        <v>2019</v>
      </c>
      <c r="C15522">
        <v>4</v>
      </c>
      <c r="D15522" s="11">
        <v>43556</v>
      </c>
      <c r="E15522" t="s">
        <v>2176</v>
      </c>
      <c r="F15522">
        <v>5</v>
      </c>
      <c r="G15522" t="s">
        <v>55</v>
      </c>
      <c r="H15522" t="s">
        <v>40</v>
      </c>
      <c r="I15522" t="s">
        <v>2188</v>
      </c>
      <c r="J15522" s="10">
        <v>6.34</v>
      </c>
      <c r="K15522" t="b">
        <v>1</v>
      </c>
    </row>
    <row r="15523" spans="1:11">
      <c r="A15523" s="12">
        <v>43581</v>
      </c>
      <c r="B15523">
        <v>2019</v>
      </c>
      <c r="C15523">
        <v>4</v>
      </c>
      <c r="D15523" s="11">
        <v>43556</v>
      </c>
      <c r="E15523" t="s">
        <v>2176</v>
      </c>
      <c r="F15523">
        <v>5</v>
      </c>
      <c r="G15523" t="s">
        <v>55</v>
      </c>
      <c r="H15523" t="s">
        <v>41</v>
      </c>
      <c r="I15523" t="s">
        <v>2189</v>
      </c>
      <c r="J15523" s="10">
        <v>1.68</v>
      </c>
      <c r="K15523" t="b">
        <v>1</v>
      </c>
    </row>
    <row r="15524" spans="1:11">
      <c r="A15524" s="12">
        <v>43581</v>
      </c>
      <c r="B15524">
        <v>2019</v>
      </c>
      <c r="C15524">
        <v>4</v>
      </c>
      <c r="D15524" s="11">
        <v>43556</v>
      </c>
      <c r="E15524" t="s">
        <v>2176</v>
      </c>
      <c r="F15524">
        <v>5</v>
      </c>
      <c r="G15524" t="s">
        <v>55</v>
      </c>
      <c r="H15524" t="s">
        <v>42</v>
      </c>
      <c r="I15524" t="s">
        <v>2190</v>
      </c>
      <c r="J15524" s="10">
        <v>3.25</v>
      </c>
      <c r="K15524" t="b">
        <v>1</v>
      </c>
    </row>
    <row r="15525" spans="1:11">
      <c r="A15525" s="12">
        <v>43581</v>
      </c>
      <c r="B15525">
        <v>2019</v>
      </c>
      <c r="C15525">
        <v>4</v>
      </c>
      <c r="D15525" s="11">
        <v>43556</v>
      </c>
      <c r="E15525" t="s">
        <v>2176</v>
      </c>
      <c r="F15525">
        <v>5</v>
      </c>
      <c r="G15525" t="s">
        <v>55</v>
      </c>
      <c r="H15525" t="s">
        <v>43</v>
      </c>
      <c r="I15525" t="s">
        <v>2191</v>
      </c>
      <c r="J15525" s="10">
        <v>32.6</v>
      </c>
      <c r="K15525" t="b">
        <v>1</v>
      </c>
    </row>
    <row r="15526" spans="1:11">
      <c r="A15526" s="12">
        <v>43581</v>
      </c>
      <c r="B15526">
        <v>2019</v>
      </c>
      <c r="C15526">
        <v>4</v>
      </c>
      <c r="D15526" s="11">
        <v>43556</v>
      </c>
      <c r="E15526" t="s">
        <v>2176</v>
      </c>
      <c r="F15526">
        <v>5</v>
      </c>
      <c r="G15526" t="s">
        <v>55</v>
      </c>
      <c r="H15526" t="s">
        <v>44</v>
      </c>
      <c r="I15526" t="s">
        <v>2192</v>
      </c>
      <c r="J15526" s="10">
        <v>6</v>
      </c>
      <c r="K15526" t="b">
        <v>1</v>
      </c>
    </row>
    <row r="15527" spans="1:11">
      <c r="A15527" s="12">
        <v>43581</v>
      </c>
      <c r="B15527">
        <v>2019</v>
      </c>
      <c r="C15527">
        <v>4</v>
      </c>
      <c r="D15527" s="11">
        <v>43556</v>
      </c>
      <c r="E15527" t="s">
        <v>2176</v>
      </c>
      <c r="F15527">
        <v>5</v>
      </c>
      <c r="G15527" t="s">
        <v>55</v>
      </c>
      <c r="H15527" t="s">
        <v>45</v>
      </c>
      <c r="I15527" t="s">
        <v>2193</v>
      </c>
      <c r="J15527" s="10">
        <v>0</v>
      </c>
      <c r="K15527" t="b">
        <v>1</v>
      </c>
    </row>
    <row r="15528" spans="1:11">
      <c r="A15528" s="12">
        <v>43581</v>
      </c>
      <c r="B15528">
        <v>2019</v>
      </c>
      <c r="C15528">
        <v>4</v>
      </c>
      <c r="D15528" s="11">
        <v>43556</v>
      </c>
      <c r="E15528" t="s">
        <v>2176</v>
      </c>
      <c r="F15528">
        <v>5</v>
      </c>
      <c r="G15528" t="s">
        <v>55</v>
      </c>
      <c r="H15528" t="s">
        <v>46</v>
      </c>
      <c r="I15528" t="s">
        <v>2194</v>
      </c>
      <c r="J15528" s="10">
        <v>1</v>
      </c>
      <c r="K15528" t="b">
        <v>1</v>
      </c>
    </row>
    <row r="15529" spans="1:11">
      <c r="A15529" s="12">
        <v>43581</v>
      </c>
      <c r="B15529">
        <v>2019</v>
      </c>
      <c r="C15529">
        <v>4</v>
      </c>
      <c r="D15529" s="11">
        <v>43556</v>
      </c>
      <c r="E15529" t="s">
        <v>2176</v>
      </c>
      <c r="F15529">
        <v>5</v>
      </c>
      <c r="G15529" t="s">
        <v>55</v>
      </c>
      <c r="H15529" t="s">
        <v>47</v>
      </c>
      <c r="I15529" t="s">
        <v>2195</v>
      </c>
      <c r="J15529" s="10">
        <v>11</v>
      </c>
      <c r="K15529" t="b">
        <v>1</v>
      </c>
    </row>
    <row r="15530" spans="1:11">
      <c r="A15530" s="12">
        <v>43582</v>
      </c>
      <c r="B15530">
        <v>2019</v>
      </c>
      <c r="C15530">
        <v>4</v>
      </c>
      <c r="D15530" s="11">
        <v>43556</v>
      </c>
      <c r="E15530" t="s">
        <v>2176</v>
      </c>
      <c r="F15530">
        <v>6</v>
      </c>
      <c r="G15530" t="s">
        <v>57</v>
      </c>
      <c r="H15530" t="s">
        <v>40</v>
      </c>
      <c r="I15530" t="s">
        <v>2188</v>
      </c>
      <c r="J15530" s="10">
        <v>17.34</v>
      </c>
      <c r="K15530" t="b">
        <v>1</v>
      </c>
    </row>
    <row r="15531" spans="1:11">
      <c r="A15531" s="12">
        <v>43582</v>
      </c>
      <c r="B15531">
        <v>2019</v>
      </c>
      <c r="C15531">
        <v>4</v>
      </c>
      <c r="D15531" s="11">
        <v>43556</v>
      </c>
      <c r="E15531" t="s">
        <v>2176</v>
      </c>
      <c r="F15531">
        <v>6</v>
      </c>
      <c r="G15531" t="s">
        <v>57</v>
      </c>
      <c r="H15531" t="s">
        <v>41</v>
      </c>
      <c r="I15531" t="s">
        <v>2189</v>
      </c>
      <c r="J15531" s="10">
        <v>2.497</v>
      </c>
      <c r="K15531" t="b">
        <v>1</v>
      </c>
    </row>
    <row r="15532" spans="1:11">
      <c r="A15532" s="12">
        <v>43582</v>
      </c>
      <c r="B15532">
        <v>2019</v>
      </c>
      <c r="C15532">
        <v>4</v>
      </c>
      <c r="D15532" s="11">
        <v>43556</v>
      </c>
      <c r="E15532" t="s">
        <v>2176</v>
      </c>
      <c r="F15532">
        <v>6</v>
      </c>
      <c r="G15532" t="s">
        <v>57</v>
      </c>
      <c r="H15532" t="s">
        <v>42</v>
      </c>
      <c r="I15532" t="s">
        <v>2190</v>
      </c>
      <c r="J15532" s="10">
        <v>3.1</v>
      </c>
      <c r="K15532" t="b">
        <v>1</v>
      </c>
    </row>
    <row r="15533" spans="1:11">
      <c r="A15533" s="12">
        <v>43582</v>
      </c>
      <c r="B15533">
        <v>2019</v>
      </c>
      <c r="C15533">
        <v>4</v>
      </c>
      <c r="D15533" s="11">
        <v>43556</v>
      </c>
      <c r="E15533" t="s">
        <v>2176</v>
      </c>
      <c r="F15533">
        <v>6</v>
      </c>
      <c r="G15533" t="s">
        <v>57</v>
      </c>
      <c r="H15533" t="s">
        <v>43</v>
      </c>
      <c r="I15533" t="s">
        <v>2191</v>
      </c>
      <c r="J15533" s="10">
        <v>25.2</v>
      </c>
      <c r="K15533" t="b">
        <v>1</v>
      </c>
    </row>
    <row r="15534" spans="1:11">
      <c r="A15534" s="12">
        <v>43582</v>
      </c>
      <c r="B15534">
        <v>2019</v>
      </c>
      <c r="C15534">
        <v>4</v>
      </c>
      <c r="D15534" s="11">
        <v>43556</v>
      </c>
      <c r="E15534" t="s">
        <v>2176</v>
      </c>
      <c r="F15534">
        <v>6</v>
      </c>
      <c r="G15534" t="s">
        <v>57</v>
      </c>
      <c r="H15534" t="s">
        <v>44</v>
      </c>
      <c r="I15534" t="s">
        <v>2192</v>
      </c>
      <c r="J15534" s="10">
        <v>13</v>
      </c>
      <c r="K15534" t="b">
        <v>1</v>
      </c>
    </row>
    <row r="15535" spans="1:11">
      <c r="A15535" s="12">
        <v>43582</v>
      </c>
      <c r="B15535">
        <v>2019</v>
      </c>
      <c r="C15535">
        <v>4</v>
      </c>
      <c r="D15535" s="11">
        <v>43556</v>
      </c>
      <c r="E15535" t="s">
        <v>2176</v>
      </c>
      <c r="F15535">
        <v>6</v>
      </c>
      <c r="G15535" t="s">
        <v>57</v>
      </c>
      <c r="H15535" t="s">
        <v>45</v>
      </c>
      <c r="I15535" t="s">
        <v>2193</v>
      </c>
      <c r="J15535" s="10">
        <v>1</v>
      </c>
      <c r="K15535" t="b">
        <v>1</v>
      </c>
    </row>
    <row r="15536" spans="1:11">
      <c r="A15536" s="12">
        <v>43582</v>
      </c>
      <c r="B15536">
        <v>2019</v>
      </c>
      <c r="C15536">
        <v>4</v>
      </c>
      <c r="D15536" s="11">
        <v>43556</v>
      </c>
      <c r="E15536" t="s">
        <v>2176</v>
      </c>
      <c r="F15536">
        <v>6</v>
      </c>
      <c r="G15536" t="s">
        <v>57</v>
      </c>
      <c r="H15536" t="s">
        <v>46</v>
      </c>
      <c r="I15536" t="s">
        <v>2194</v>
      </c>
      <c r="J15536" s="10">
        <v>7</v>
      </c>
      <c r="K15536" t="b">
        <v>1</v>
      </c>
    </row>
    <row r="15537" spans="1:11">
      <c r="A15537" s="12">
        <v>43582</v>
      </c>
      <c r="B15537">
        <v>2019</v>
      </c>
      <c r="C15537">
        <v>4</v>
      </c>
      <c r="D15537" s="11">
        <v>43556</v>
      </c>
      <c r="E15537" t="s">
        <v>2176</v>
      </c>
      <c r="F15537">
        <v>6</v>
      </c>
      <c r="G15537" t="s">
        <v>57</v>
      </c>
      <c r="H15537" t="s">
        <v>47</v>
      </c>
      <c r="I15537" t="s">
        <v>2195</v>
      </c>
      <c r="J15537" s="10">
        <v>7</v>
      </c>
      <c r="K15537" t="b">
        <v>1</v>
      </c>
    </row>
    <row r="15538" spans="1:11">
      <c r="A15538" s="12">
        <v>43583</v>
      </c>
      <c r="B15538">
        <v>2019</v>
      </c>
      <c r="C15538">
        <v>4</v>
      </c>
      <c r="D15538" s="11">
        <v>43556</v>
      </c>
      <c r="E15538" t="s">
        <v>2176</v>
      </c>
      <c r="F15538">
        <v>7</v>
      </c>
      <c r="G15538" t="s">
        <v>59</v>
      </c>
      <c r="H15538" t="s">
        <v>40</v>
      </c>
      <c r="I15538" t="s">
        <v>2188</v>
      </c>
      <c r="J15538" s="10">
        <v>0</v>
      </c>
      <c r="K15538" t="b">
        <v>1</v>
      </c>
    </row>
    <row r="15539" spans="1:11">
      <c r="A15539" s="12">
        <v>43583</v>
      </c>
      <c r="B15539">
        <v>2019</v>
      </c>
      <c r="C15539">
        <v>4</v>
      </c>
      <c r="D15539" s="11">
        <v>43556</v>
      </c>
      <c r="E15539" t="s">
        <v>2176</v>
      </c>
      <c r="F15539">
        <v>7</v>
      </c>
      <c r="G15539" t="s">
        <v>59</v>
      </c>
      <c r="H15539" t="s">
        <v>41</v>
      </c>
      <c r="I15539" t="s">
        <v>2189</v>
      </c>
      <c r="J15539" s="10">
        <v>0</v>
      </c>
      <c r="K15539" t="b">
        <v>1</v>
      </c>
    </row>
    <row r="15540" spans="1:11">
      <c r="A15540" s="12">
        <v>43583</v>
      </c>
      <c r="B15540">
        <v>2019</v>
      </c>
      <c r="C15540">
        <v>4</v>
      </c>
      <c r="D15540" s="11">
        <v>43556</v>
      </c>
      <c r="E15540" t="s">
        <v>2176</v>
      </c>
      <c r="F15540">
        <v>7</v>
      </c>
      <c r="G15540" t="s">
        <v>59</v>
      </c>
      <c r="H15540" t="s">
        <v>42</v>
      </c>
      <c r="I15540" t="s">
        <v>2190</v>
      </c>
      <c r="J15540" s="10">
        <v>0</v>
      </c>
      <c r="K15540" t="b">
        <v>1</v>
      </c>
    </row>
    <row r="15541" spans="1:11">
      <c r="A15541" s="12">
        <v>43583</v>
      </c>
      <c r="B15541">
        <v>2019</v>
      </c>
      <c r="C15541">
        <v>4</v>
      </c>
      <c r="D15541" s="11">
        <v>43556</v>
      </c>
      <c r="E15541" t="s">
        <v>2176</v>
      </c>
      <c r="F15541">
        <v>7</v>
      </c>
      <c r="G15541" t="s">
        <v>59</v>
      </c>
      <c r="H15541" t="s">
        <v>43</v>
      </c>
      <c r="I15541" t="s">
        <v>2191</v>
      </c>
      <c r="J15541" s="10">
        <v>0</v>
      </c>
      <c r="K15541" t="b">
        <v>1</v>
      </c>
    </row>
    <row r="15542" spans="1:11">
      <c r="A15542" s="12">
        <v>43583</v>
      </c>
      <c r="B15542">
        <v>2019</v>
      </c>
      <c r="C15542">
        <v>4</v>
      </c>
      <c r="D15542" s="11">
        <v>43556</v>
      </c>
      <c r="E15542" t="s">
        <v>2176</v>
      </c>
      <c r="F15542">
        <v>7</v>
      </c>
      <c r="G15542" t="s">
        <v>59</v>
      </c>
      <c r="H15542" t="s">
        <v>44</v>
      </c>
      <c r="I15542" t="s">
        <v>2192</v>
      </c>
      <c r="J15542" s="10">
        <v>0</v>
      </c>
      <c r="K15542" t="b">
        <v>1</v>
      </c>
    </row>
    <row r="15543" spans="1:11">
      <c r="A15543" s="12">
        <v>43583</v>
      </c>
      <c r="B15543">
        <v>2019</v>
      </c>
      <c r="C15543">
        <v>4</v>
      </c>
      <c r="D15543" s="11">
        <v>43556</v>
      </c>
      <c r="E15543" t="s">
        <v>2176</v>
      </c>
      <c r="F15543">
        <v>7</v>
      </c>
      <c r="G15543" t="s">
        <v>59</v>
      </c>
      <c r="H15543" t="s">
        <v>45</v>
      </c>
      <c r="I15543" t="s">
        <v>2193</v>
      </c>
      <c r="J15543" s="10">
        <v>0</v>
      </c>
      <c r="K15543" t="b">
        <v>1</v>
      </c>
    </row>
    <row r="15544" spans="1:11">
      <c r="A15544" s="12">
        <v>43583</v>
      </c>
      <c r="B15544">
        <v>2019</v>
      </c>
      <c r="C15544">
        <v>4</v>
      </c>
      <c r="D15544" s="11">
        <v>43556</v>
      </c>
      <c r="E15544" t="s">
        <v>2176</v>
      </c>
      <c r="F15544">
        <v>7</v>
      </c>
      <c r="G15544" t="s">
        <v>59</v>
      </c>
      <c r="H15544" t="s">
        <v>46</v>
      </c>
      <c r="I15544" t="s">
        <v>2194</v>
      </c>
      <c r="J15544" s="10">
        <v>0</v>
      </c>
      <c r="K15544" t="b">
        <v>1</v>
      </c>
    </row>
    <row r="15545" spans="1:11">
      <c r="A15545" s="12">
        <v>43583</v>
      </c>
      <c r="B15545">
        <v>2019</v>
      </c>
      <c r="C15545">
        <v>4</v>
      </c>
      <c r="D15545" s="11">
        <v>43556</v>
      </c>
      <c r="E15545" t="s">
        <v>2176</v>
      </c>
      <c r="F15545">
        <v>7</v>
      </c>
      <c r="G15545" t="s">
        <v>59</v>
      </c>
      <c r="H15545" t="s">
        <v>47</v>
      </c>
      <c r="I15545" t="s">
        <v>2195</v>
      </c>
      <c r="J15545" s="10">
        <v>0</v>
      </c>
      <c r="K15545" t="b">
        <v>1</v>
      </c>
    </row>
    <row r="15546" spans="1:11">
      <c r="A15546" s="12">
        <v>43584</v>
      </c>
      <c r="B15546">
        <v>2019</v>
      </c>
      <c r="C15546">
        <v>4</v>
      </c>
      <c r="D15546" s="11">
        <v>43556</v>
      </c>
      <c r="E15546" t="s">
        <v>2176</v>
      </c>
      <c r="F15546">
        <v>1</v>
      </c>
      <c r="G15546" t="s">
        <v>61</v>
      </c>
      <c r="H15546" t="s">
        <v>40</v>
      </c>
      <c r="I15546" t="s">
        <v>2188</v>
      </c>
      <c r="J15546" s="10">
        <v>5.33</v>
      </c>
      <c r="K15546" t="b">
        <v>1</v>
      </c>
    </row>
    <row r="15547" spans="1:11">
      <c r="A15547" s="12">
        <v>43584</v>
      </c>
      <c r="B15547">
        <v>2019</v>
      </c>
      <c r="C15547">
        <v>4</v>
      </c>
      <c r="D15547" s="11">
        <v>43556</v>
      </c>
      <c r="E15547" t="s">
        <v>2176</v>
      </c>
      <c r="F15547">
        <v>1</v>
      </c>
      <c r="G15547" t="s">
        <v>61</v>
      </c>
      <c r="H15547" t="s">
        <v>41</v>
      </c>
      <c r="I15547" t="s">
        <v>2189</v>
      </c>
      <c r="J15547" s="10">
        <v>6.367</v>
      </c>
      <c r="K15547" t="b">
        <v>1</v>
      </c>
    </row>
    <row r="15548" spans="1:11">
      <c r="A15548" s="12">
        <v>43584</v>
      </c>
      <c r="B15548">
        <v>2019</v>
      </c>
      <c r="C15548">
        <v>4</v>
      </c>
      <c r="D15548" s="11">
        <v>43556</v>
      </c>
      <c r="E15548" t="s">
        <v>2176</v>
      </c>
      <c r="F15548">
        <v>1</v>
      </c>
      <c r="G15548" t="s">
        <v>61</v>
      </c>
      <c r="H15548" t="s">
        <v>42</v>
      </c>
      <c r="I15548" t="s">
        <v>2190</v>
      </c>
      <c r="J15548" s="10">
        <v>2.6</v>
      </c>
      <c r="K15548" t="b">
        <v>1</v>
      </c>
    </row>
    <row r="15549" spans="1:11">
      <c r="A15549" s="12">
        <v>43584</v>
      </c>
      <c r="B15549">
        <v>2019</v>
      </c>
      <c r="C15549">
        <v>4</v>
      </c>
      <c r="D15549" s="11">
        <v>43556</v>
      </c>
      <c r="E15549" t="s">
        <v>2176</v>
      </c>
      <c r="F15549">
        <v>1</v>
      </c>
      <c r="G15549" t="s">
        <v>61</v>
      </c>
      <c r="H15549" t="s">
        <v>43</v>
      </c>
      <c r="I15549" t="s">
        <v>2191</v>
      </c>
      <c r="J15549" s="10">
        <v>27.6</v>
      </c>
      <c r="K15549" t="b">
        <v>1</v>
      </c>
    </row>
    <row r="15550" spans="1:11">
      <c r="A15550" s="12">
        <v>43584</v>
      </c>
      <c r="B15550">
        <v>2019</v>
      </c>
      <c r="C15550">
        <v>4</v>
      </c>
      <c r="D15550" s="11">
        <v>43556</v>
      </c>
      <c r="E15550" t="s">
        <v>2176</v>
      </c>
      <c r="F15550">
        <v>1</v>
      </c>
      <c r="G15550" t="s">
        <v>61</v>
      </c>
      <c r="H15550" t="s">
        <v>44</v>
      </c>
      <c r="I15550" t="s">
        <v>2192</v>
      </c>
      <c r="J15550" s="10">
        <v>5</v>
      </c>
      <c r="K15550" t="b">
        <v>1</v>
      </c>
    </row>
    <row r="15551" spans="1:11">
      <c r="A15551" s="12">
        <v>43584</v>
      </c>
      <c r="B15551">
        <v>2019</v>
      </c>
      <c r="C15551">
        <v>4</v>
      </c>
      <c r="D15551" s="11">
        <v>43556</v>
      </c>
      <c r="E15551" t="s">
        <v>2176</v>
      </c>
      <c r="F15551">
        <v>1</v>
      </c>
      <c r="G15551" t="s">
        <v>61</v>
      </c>
      <c r="H15551" t="s">
        <v>45</v>
      </c>
      <c r="I15551" t="s">
        <v>2193</v>
      </c>
      <c r="J15551" s="10">
        <v>0</v>
      </c>
      <c r="K15551" t="b">
        <v>1</v>
      </c>
    </row>
    <row r="15552" spans="1:11">
      <c r="A15552" s="12">
        <v>43584</v>
      </c>
      <c r="B15552">
        <v>2019</v>
      </c>
      <c r="C15552">
        <v>4</v>
      </c>
      <c r="D15552" s="11">
        <v>43556</v>
      </c>
      <c r="E15552" t="s">
        <v>2176</v>
      </c>
      <c r="F15552">
        <v>1</v>
      </c>
      <c r="G15552" t="s">
        <v>61</v>
      </c>
      <c r="H15552" t="s">
        <v>46</v>
      </c>
      <c r="I15552" t="s">
        <v>2194</v>
      </c>
      <c r="J15552" s="10">
        <v>0</v>
      </c>
      <c r="K15552" t="b">
        <v>1</v>
      </c>
    </row>
    <row r="15553" spans="1:11">
      <c r="A15553" s="12">
        <v>43584</v>
      </c>
      <c r="B15553">
        <v>2019</v>
      </c>
      <c r="C15553">
        <v>4</v>
      </c>
      <c r="D15553" s="11">
        <v>43556</v>
      </c>
      <c r="E15553" t="s">
        <v>2176</v>
      </c>
      <c r="F15553">
        <v>1</v>
      </c>
      <c r="G15553" t="s">
        <v>61</v>
      </c>
      <c r="H15553" t="s">
        <v>47</v>
      </c>
      <c r="I15553" t="s">
        <v>2195</v>
      </c>
      <c r="J15553" s="10">
        <v>3</v>
      </c>
      <c r="K15553" t="b">
        <v>1</v>
      </c>
    </row>
    <row r="15554" spans="1:11">
      <c r="A15554" s="12">
        <v>43585</v>
      </c>
      <c r="B15554">
        <v>2019</v>
      </c>
      <c r="C15554">
        <v>4</v>
      </c>
      <c r="D15554" s="11">
        <v>43556</v>
      </c>
      <c r="E15554" t="s">
        <v>2176</v>
      </c>
      <c r="F15554">
        <v>2</v>
      </c>
      <c r="G15554" t="s">
        <v>63</v>
      </c>
      <c r="H15554" t="s">
        <v>40</v>
      </c>
      <c r="I15554" t="s">
        <v>2188</v>
      </c>
      <c r="J15554" s="10">
        <v>2</v>
      </c>
      <c r="K15554" t="b">
        <v>1</v>
      </c>
    </row>
    <row r="15555" spans="1:11">
      <c r="A15555" s="12">
        <v>43585</v>
      </c>
      <c r="B15555">
        <v>2019</v>
      </c>
      <c r="C15555">
        <v>4</v>
      </c>
      <c r="D15555" s="11">
        <v>43556</v>
      </c>
      <c r="E15555" t="s">
        <v>2176</v>
      </c>
      <c r="F15555">
        <v>2</v>
      </c>
      <c r="G15555" t="s">
        <v>63</v>
      </c>
      <c r="H15555" t="s">
        <v>41</v>
      </c>
      <c r="I15555" t="s">
        <v>2189</v>
      </c>
      <c r="J15555" s="10">
        <v>1.407</v>
      </c>
      <c r="K15555" t="b">
        <v>1</v>
      </c>
    </row>
    <row r="15556" spans="1:11">
      <c r="A15556" s="12">
        <v>43585</v>
      </c>
      <c r="B15556">
        <v>2019</v>
      </c>
      <c r="C15556">
        <v>4</v>
      </c>
      <c r="D15556" s="11">
        <v>43556</v>
      </c>
      <c r="E15556" t="s">
        <v>2176</v>
      </c>
      <c r="F15556">
        <v>2</v>
      </c>
      <c r="G15556" t="s">
        <v>63</v>
      </c>
      <c r="H15556" t="s">
        <v>42</v>
      </c>
      <c r="I15556" t="s">
        <v>2190</v>
      </c>
      <c r="J15556" s="10">
        <v>8</v>
      </c>
      <c r="K15556" t="b">
        <v>1</v>
      </c>
    </row>
    <row r="15557" spans="1:11">
      <c r="A15557" s="12">
        <v>43585</v>
      </c>
      <c r="B15557">
        <v>2019</v>
      </c>
      <c r="C15557">
        <v>4</v>
      </c>
      <c r="D15557" s="11">
        <v>43556</v>
      </c>
      <c r="E15557" t="s">
        <v>2176</v>
      </c>
      <c r="F15557">
        <v>2</v>
      </c>
      <c r="G15557" t="s">
        <v>63</v>
      </c>
      <c r="H15557" t="s">
        <v>43</v>
      </c>
      <c r="I15557" t="s">
        <v>2191</v>
      </c>
      <c r="J15557" s="10">
        <v>22</v>
      </c>
      <c r="K15557" t="b">
        <v>1</v>
      </c>
    </row>
    <row r="15558" spans="1:11">
      <c r="A15558" s="12">
        <v>43585</v>
      </c>
      <c r="B15558">
        <v>2019</v>
      </c>
      <c r="C15558">
        <v>4</v>
      </c>
      <c r="D15558" s="11">
        <v>43556</v>
      </c>
      <c r="E15558" t="s">
        <v>2176</v>
      </c>
      <c r="F15558">
        <v>2</v>
      </c>
      <c r="G15558" t="s">
        <v>63</v>
      </c>
      <c r="H15558" t="s">
        <v>44</v>
      </c>
      <c r="I15558" t="s">
        <v>2192</v>
      </c>
      <c r="J15558" s="10">
        <v>13</v>
      </c>
      <c r="K15558" t="b">
        <v>1</v>
      </c>
    </row>
    <row r="15559" spans="1:11">
      <c r="A15559" s="12">
        <v>43585</v>
      </c>
      <c r="B15559">
        <v>2019</v>
      </c>
      <c r="C15559">
        <v>4</v>
      </c>
      <c r="D15559" s="11">
        <v>43556</v>
      </c>
      <c r="E15559" t="s">
        <v>2176</v>
      </c>
      <c r="F15559">
        <v>2</v>
      </c>
      <c r="G15559" t="s">
        <v>63</v>
      </c>
      <c r="H15559" t="s">
        <v>45</v>
      </c>
      <c r="I15559" t="s">
        <v>2193</v>
      </c>
      <c r="J15559" s="10">
        <v>2</v>
      </c>
      <c r="K15559" t="b">
        <v>1</v>
      </c>
    </row>
    <row r="15560" spans="1:11">
      <c r="A15560" s="12">
        <v>43585</v>
      </c>
      <c r="B15560">
        <v>2019</v>
      </c>
      <c r="C15560">
        <v>4</v>
      </c>
      <c r="D15560" s="11">
        <v>43556</v>
      </c>
      <c r="E15560" t="s">
        <v>2176</v>
      </c>
      <c r="F15560">
        <v>2</v>
      </c>
      <c r="G15560" t="s">
        <v>63</v>
      </c>
      <c r="H15560" t="s">
        <v>46</v>
      </c>
      <c r="I15560" t="s">
        <v>2194</v>
      </c>
      <c r="J15560" s="10">
        <v>28</v>
      </c>
      <c r="K15560" t="b">
        <v>1</v>
      </c>
    </row>
    <row r="15561" spans="1:11">
      <c r="A15561" s="12">
        <v>43585</v>
      </c>
      <c r="B15561">
        <v>2019</v>
      </c>
      <c r="C15561">
        <v>4</v>
      </c>
      <c r="D15561" s="11">
        <v>43556</v>
      </c>
      <c r="E15561" t="s">
        <v>2176</v>
      </c>
      <c r="F15561">
        <v>2</v>
      </c>
      <c r="G15561" t="s">
        <v>63</v>
      </c>
      <c r="H15561" t="s">
        <v>47</v>
      </c>
      <c r="I15561" t="s">
        <v>2195</v>
      </c>
      <c r="J15561" s="10">
        <v>8.4</v>
      </c>
      <c r="K15561" t="b">
        <v>1</v>
      </c>
    </row>
    <row r="15562" spans="1:11">
      <c r="A15562" s="12">
        <v>43586</v>
      </c>
      <c r="B15562">
        <v>2019</v>
      </c>
      <c r="C15562">
        <v>5</v>
      </c>
      <c r="D15562" s="11">
        <v>43586</v>
      </c>
      <c r="E15562" t="s">
        <v>2177</v>
      </c>
      <c r="F15562">
        <v>3</v>
      </c>
      <c r="G15562" t="s">
        <v>65</v>
      </c>
      <c r="H15562" t="s">
        <v>40</v>
      </c>
      <c r="I15562" t="s">
        <v>2188</v>
      </c>
      <c r="J15562" s="10">
        <v>2.34</v>
      </c>
      <c r="K15562" t="b">
        <v>1</v>
      </c>
    </row>
    <row r="15563" spans="1:11">
      <c r="A15563" s="12">
        <v>43586</v>
      </c>
      <c r="B15563">
        <v>2019</v>
      </c>
      <c r="C15563">
        <v>5</v>
      </c>
      <c r="D15563" s="11">
        <v>43586</v>
      </c>
      <c r="E15563" t="s">
        <v>2177</v>
      </c>
      <c r="F15563">
        <v>3</v>
      </c>
      <c r="G15563" t="s">
        <v>65</v>
      </c>
      <c r="H15563" t="s">
        <v>41</v>
      </c>
      <c r="I15563" t="s">
        <v>2189</v>
      </c>
      <c r="J15563" s="10">
        <v>4.02</v>
      </c>
      <c r="K15563" t="b">
        <v>1</v>
      </c>
    </row>
    <row r="15564" spans="1:11">
      <c r="A15564" s="12">
        <v>43586</v>
      </c>
      <c r="B15564">
        <v>2019</v>
      </c>
      <c r="C15564">
        <v>5</v>
      </c>
      <c r="D15564" s="11">
        <v>43586</v>
      </c>
      <c r="E15564" t="s">
        <v>2177</v>
      </c>
      <c r="F15564">
        <v>3</v>
      </c>
      <c r="G15564" t="s">
        <v>65</v>
      </c>
      <c r="H15564" t="s">
        <v>42</v>
      </c>
      <c r="I15564" t="s">
        <v>2190</v>
      </c>
      <c r="J15564" s="10">
        <v>1</v>
      </c>
      <c r="K15564" t="b">
        <v>1</v>
      </c>
    </row>
    <row r="15565" spans="1:11">
      <c r="A15565" s="12">
        <v>43586</v>
      </c>
      <c r="B15565">
        <v>2019</v>
      </c>
      <c r="C15565">
        <v>5</v>
      </c>
      <c r="D15565" s="11">
        <v>43586</v>
      </c>
      <c r="E15565" t="s">
        <v>2177</v>
      </c>
      <c r="F15565">
        <v>3</v>
      </c>
      <c r="G15565" t="s">
        <v>65</v>
      </c>
      <c r="H15565" t="s">
        <v>43</v>
      </c>
      <c r="I15565" t="s">
        <v>2191</v>
      </c>
      <c r="J15565" s="10">
        <v>8</v>
      </c>
      <c r="K15565" t="b">
        <v>1</v>
      </c>
    </row>
    <row r="15566" spans="1:11">
      <c r="A15566" s="12">
        <v>43586</v>
      </c>
      <c r="B15566">
        <v>2019</v>
      </c>
      <c r="C15566">
        <v>5</v>
      </c>
      <c r="D15566" s="11">
        <v>43586</v>
      </c>
      <c r="E15566" t="s">
        <v>2177</v>
      </c>
      <c r="F15566">
        <v>3</v>
      </c>
      <c r="G15566" t="s">
        <v>65</v>
      </c>
      <c r="H15566" t="s">
        <v>44</v>
      </c>
      <c r="I15566" t="s">
        <v>2192</v>
      </c>
      <c r="J15566" s="10">
        <v>1</v>
      </c>
      <c r="K15566" t="b">
        <v>1</v>
      </c>
    </row>
    <row r="15567" spans="1:11">
      <c r="A15567" s="12">
        <v>43586</v>
      </c>
      <c r="B15567">
        <v>2019</v>
      </c>
      <c r="C15567">
        <v>5</v>
      </c>
      <c r="D15567" s="11">
        <v>43586</v>
      </c>
      <c r="E15567" t="s">
        <v>2177</v>
      </c>
      <c r="F15567">
        <v>3</v>
      </c>
      <c r="G15567" t="s">
        <v>65</v>
      </c>
      <c r="H15567" t="s">
        <v>45</v>
      </c>
      <c r="I15567" t="s">
        <v>2193</v>
      </c>
      <c r="J15567" s="10">
        <v>0</v>
      </c>
      <c r="K15567" t="b">
        <v>1</v>
      </c>
    </row>
    <row r="15568" spans="1:11">
      <c r="A15568" s="12">
        <v>43586</v>
      </c>
      <c r="B15568">
        <v>2019</v>
      </c>
      <c r="C15568">
        <v>5</v>
      </c>
      <c r="D15568" s="11">
        <v>43586</v>
      </c>
      <c r="E15568" t="s">
        <v>2177</v>
      </c>
      <c r="F15568">
        <v>3</v>
      </c>
      <c r="G15568" t="s">
        <v>65</v>
      </c>
      <c r="H15568" t="s">
        <v>46</v>
      </c>
      <c r="I15568" t="s">
        <v>2194</v>
      </c>
      <c r="J15568" s="10">
        <v>1</v>
      </c>
      <c r="K15568" t="b">
        <v>1</v>
      </c>
    </row>
    <row r="15569" spans="1:11">
      <c r="A15569" s="12">
        <v>43586</v>
      </c>
      <c r="B15569">
        <v>2019</v>
      </c>
      <c r="C15569">
        <v>5</v>
      </c>
      <c r="D15569" s="11">
        <v>43586</v>
      </c>
      <c r="E15569" t="s">
        <v>2177</v>
      </c>
      <c r="F15569">
        <v>3</v>
      </c>
      <c r="G15569" t="s">
        <v>65</v>
      </c>
      <c r="H15569" t="s">
        <v>47</v>
      </c>
      <c r="I15569" t="s">
        <v>2195</v>
      </c>
      <c r="J15569" s="10">
        <v>3</v>
      </c>
      <c r="K15569" t="b">
        <v>1</v>
      </c>
    </row>
    <row r="15570" spans="1:11">
      <c r="A15570" s="12">
        <v>43587</v>
      </c>
      <c r="B15570">
        <v>2019</v>
      </c>
      <c r="C15570">
        <v>5</v>
      </c>
      <c r="D15570" s="11">
        <v>43586</v>
      </c>
      <c r="E15570" t="s">
        <v>2177</v>
      </c>
      <c r="F15570">
        <v>4</v>
      </c>
      <c r="G15570" t="s">
        <v>53</v>
      </c>
      <c r="H15570" t="s">
        <v>40</v>
      </c>
      <c r="I15570" t="s">
        <v>2188</v>
      </c>
      <c r="J15570" s="10">
        <v>1.68</v>
      </c>
      <c r="K15570" t="b">
        <v>1</v>
      </c>
    </row>
    <row r="15571" spans="1:11">
      <c r="A15571" s="12">
        <v>43587</v>
      </c>
      <c r="B15571">
        <v>2019</v>
      </c>
      <c r="C15571">
        <v>5</v>
      </c>
      <c r="D15571" s="11">
        <v>43586</v>
      </c>
      <c r="E15571" t="s">
        <v>2177</v>
      </c>
      <c r="F15571">
        <v>4</v>
      </c>
      <c r="G15571" t="s">
        <v>53</v>
      </c>
      <c r="H15571" t="s">
        <v>41</v>
      </c>
      <c r="I15571" t="s">
        <v>2189</v>
      </c>
      <c r="J15571" s="10">
        <v>5.429</v>
      </c>
      <c r="K15571" t="b">
        <v>1</v>
      </c>
    </row>
    <row r="15572" spans="1:11">
      <c r="A15572" s="12">
        <v>43587</v>
      </c>
      <c r="B15572">
        <v>2019</v>
      </c>
      <c r="C15572">
        <v>5</v>
      </c>
      <c r="D15572" s="11">
        <v>43586</v>
      </c>
      <c r="E15572" t="s">
        <v>2177</v>
      </c>
      <c r="F15572">
        <v>4</v>
      </c>
      <c r="G15572" t="s">
        <v>53</v>
      </c>
      <c r="H15572" t="s">
        <v>42</v>
      </c>
      <c r="I15572" t="s">
        <v>2190</v>
      </c>
      <c r="J15572" s="10">
        <v>5.5</v>
      </c>
      <c r="K15572" t="b">
        <v>1</v>
      </c>
    </row>
    <row r="15573" spans="1:11">
      <c r="A15573" s="12">
        <v>43587</v>
      </c>
      <c r="B15573">
        <v>2019</v>
      </c>
      <c r="C15573">
        <v>5</v>
      </c>
      <c r="D15573" s="11">
        <v>43586</v>
      </c>
      <c r="E15573" t="s">
        <v>2177</v>
      </c>
      <c r="F15573">
        <v>4</v>
      </c>
      <c r="G15573" t="s">
        <v>53</v>
      </c>
      <c r="H15573" t="s">
        <v>43</v>
      </c>
      <c r="I15573" t="s">
        <v>2191</v>
      </c>
      <c r="J15573" s="10">
        <v>20</v>
      </c>
      <c r="K15573" t="b">
        <v>1</v>
      </c>
    </row>
    <row r="15574" spans="1:11">
      <c r="A15574" s="12">
        <v>43587</v>
      </c>
      <c r="B15574">
        <v>2019</v>
      </c>
      <c r="C15574">
        <v>5</v>
      </c>
      <c r="D15574" s="11">
        <v>43586</v>
      </c>
      <c r="E15574" t="s">
        <v>2177</v>
      </c>
      <c r="F15574">
        <v>4</v>
      </c>
      <c r="G15574" t="s">
        <v>53</v>
      </c>
      <c r="H15574" t="s">
        <v>44</v>
      </c>
      <c r="I15574" t="s">
        <v>2192</v>
      </c>
      <c r="J15574" s="10">
        <v>15</v>
      </c>
      <c r="K15574" t="b">
        <v>1</v>
      </c>
    </row>
    <row r="15575" spans="1:11">
      <c r="A15575" s="12">
        <v>43587</v>
      </c>
      <c r="B15575">
        <v>2019</v>
      </c>
      <c r="C15575">
        <v>5</v>
      </c>
      <c r="D15575" s="11">
        <v>43586</v>
      </c>
      <c r="E15575" t="s">
        <v>2177</v>
      </c>
      <c r="F15575">
        <v>4</v>
      </c>
      <c r="G15575" t="s">
        <v>53</v>
      </c>
      <c r="H15575" t="s">
        <v>45</v>
      </c>
      <c r="I15575" t="s">
        <v>2193</v>
      </c>
      <c r="J15575" s="10">
        <v>1</v>
      </c>
      <c r="K15575" t="b">
        <v>1</v>
      </c>
    </row>
    <row r="15576" spans="1:11">
      <c r="A15576" s="12">
        <v>43587</v>
      </c>
      <c r="B15576">
        <v>2019</v>
      </c>
      <c r="C15576">
        <v>5</v>
      </c>
      <c r="D15576" s="11">
        <v>43586</v>
      </c>
      <c r="E15576" t="s">
        <v>2177</v>
      </c>
      <c r="F15576">
        <v>4</v>
      </c>
      <c r="G15576" t="s">
        <v>53</v>
      </c>
      <c r="H15576" t="s">
        <v>46</v>
      </c>
      <c r="I15576" t="s">
        <v>2194</v>
      </c>
      <c r="J15576" s="10">
        <v>3</v>
      </c>
      <c r="K15576" t="b">
        <v>1</v>
      </c>
    </row>
    <row r="15577" spans="1:11">
      <c r="A15577" s="12">
        <v>43587</v>
      </c>
      <c r="B15577">
        <v>2019</v>
      </c>
      <c r="C15577">
        <v>5</v>
      </c>
      <c r="D15577" s="11">
        <v>43586</v>
      </c>
      <c r="E15577" t="s">
        <v>2177</v>
      </c>
      <c r="F15577">
        <v>4</v>
      </c>
      <c r="G15577" t="s">
        <v>53</v>
      </c>
      <c r="H15577" t="s">
        <v>47</v>
      </c>
      <c r="I15577" t="s">
        <v>2195</v>
      </c>
      <c r="J15577" s="10">
        <v>9</v>
      </c>
      <c r="K15577" t="b">
        <v>1</v>
      </c>
    </row>
    <row r="15578" spans="1:11">
      <c r="A15578" s="12">
        <v>43588</v>
      </c>
      <c r="B15578">
        <v>2019</v>
      </c>
      <c r="C15578">
        <v>5</v>
      </c>
      <c r="D15578" s="11">
        <v>43586</v>
      </c>
      <c r="E15578" t="s">
        <v>2177</v>
      </c>
      <c r="F15578">
        <v>5</v>
      </c>
      <c r="G15578" t="s">
        <v>55</v>
      </c>
      <c r="H15578" t="s">
        <v>40</v>
      </c>
      <c r="I15578" t="s">
        <v>2188</v>
      </c>
      <c r="J15578" s="10">
        <v>4.01</v>
      </c>
      <c r="K15578" t="b">
        <v>1</v>
      </c>
    </row>
    <row r="15579" spans="1:11">
      <c r="A15579" s="12">
        <v>43588</v>
      </c>
      <c r="B15579">
        <v>2019</v>
      </c>
      <c r="C15579">
        <v>5</v>
      </c>
      <c r="D15579" s="11">
        <v>43586</v>
      </c>
      <c r="E15579" t="s">
        <v>2177</v>
      </c>
      <c r="F15579">
        <v>5</v>
      </c>
      <c r="G15579" t="s">
        <v>55</v>
      </c>
      <c r="H15579" t="s">
        <v>41</v>
      </c>
      <c r="I15579" t="s">
        <v>2189</v>
      </c>
      <c r="J15579" s="10">
        <v>2.34</v>
      </c>
      <c r="K15579" t="b">
        <v>1</v>
      </c>
    </row>
    <row r="15580" spans="1:11">
      <c r="A15580" s="12">
        <v>43588</v>
      </c>
      <c r="B15580">
        <v>2019</v>
      </c>
      <c r="C15580">
        <v>5</v>
      </c>
      <c r="D15580" s="11">
        <v>43586</v>
      </c>
      <c r="E15580" t="s">
        <v>2177</v>
      </c>
      <c r="F15580">
        <v>5</v>
      </c>
      <c r="G15580" t="s">
        <v>55</v>
      </c>
      <c r="H15580" t="s">
        <v>42</v>
      </c>
      <c r="I15580" t="s">
        <v>2190</v>
      </c>
      <c r="J15580" s="10">
        <v>3</v>
      </c>
      <c r="K15580" t="b">
        <v>1</v>
      </c>
    </row>
    <row r="15581" spans="1:11">
      <c r="A15581" s="12">
        <v>43588</v>
      </c>
      <c r="B15581">
        <v>2019</v>
      </c>
      <c r="C15581">
        <v>5</v>
      </c>
      <c r="D15581" s="11">
        <v>43586</v>
      </c>
      <c r="E15581" t="s">
        <v>2177</v>
      </c>
      <c r="F15581">
        <v>5</v>
      </c>
      <c r="G15581" t="s">
        <v>55</v>
      </c>
      <c r="H15581" t="s">
        <v>43</v>
      </c>
      <c r="I15581" t="s">
        <v>2191</v>
      </c>
      <c r="J15581" s="10">
        <v>24</v>
      </c>
      <c r="K15581" t="b">
        <v>1</v>
      </c>
    </row>
    <row r="15582" spans="1:11">
      <c r="A15582" s="12">
        <v>43588</v>
      </c>
      <c r="B15582">
        <v>2019</v>
      </c>
      <c r="C15582">
        <v>5</v>
      </c>
      <c r="D15582" s="11">
        <v>43586</v>
      </c>
      <c r="E15582" t="s">
        <v>2177</v>
      </c>
      <c r="F15582">
        <v>5</v>
      </c>
      <c r="G15582" t="s">
        <v>55</v>
      </c>
      <c r="H15582" t="s">
        <v>44</v>
      </c>
      <c r="I15582" t="s">
        <v>2192</v>
      </c>
      <c r="J15582" s="10">
        <v>11</v>
      </c>
      <c r="K15582" t="b">
        <v>1</v>
      </c>
    </row>
    <row r="15583" spans="1:11">
      <c r="A15583" s="12">
        <v>43588</v>
      </c>
      <c r="B15583">
        <v>2019</v>
      </c>
      <c r="C15583">
        <v>5</v>
      </c>
      <c r="D15583" s="11">
        <v>43586</v>
      </c>
      <c r="E15583" t="s">
        <v>2177</v>
      </c>
      <c r="F15583">
        <v>5</v>
      </c>
      <c r="G15583" t="s">
        <v>55</v>
      </c>
      <c r="H15583" t="s">
        <v>45</v>
      </c>
      <c r="I15583" t="s">
        <v>2193</v>
      </c>
      <c r="J15583" s="10">
        <v>3</v>
      </c>
      <c r="K15583" t="b">
        <v>1</v>
      </c>
    </row>
    <row r="15584" spans="1:11">
      <c r="A15584" s="12">
        <v>43588</v>
      </c>
      <c r="B15584">
        <v>2019</v>
      </c>
      <c r="C15584">
        <v>5</v>
      </c>
      <c r="D15584" s="11">
        <v>43586</v>
      </c>
      <c r="E15584" t="s">
        <v>2177</v>
      </c>
      <c r="F15584">
        <v>5</v>
      </c>
      <c r="G15584" t="s">
        <v>55</v>
      </c>
      <c r="H15584" t="s">
        <v>46</v>
      </c>
      <c r="I15584" t="s">
        <v>2194</v>
      </c>
      <c r="J15584" s="10">
        <v>16</v>
      </c>
      <c r="K15584" t="b">
        <v>1</v>
      </c>
    </row>
    <row r="15585" spans="1:11">
      <c r="A15585" s="12">
        <v>43588</v>
      </c>
      <c r="B15585">
        <v>2019</v>
      </c>
      <c r="C15585">
        <v>5</v>
      </c>
      <c r="D15585" s="11">
        <v>43586</v>
      </c>
      <c r="E15585" t="s">
        <v>2177</v>
      </c>
      <c r="F15585">
        <v>5</v>
      </c>
      <c r="G15585" t="s">
        <v>55</v>
      </c>
      <c r="H15585" t="s">
        <v>47</v>
      </c>
      <c r="I15585" t="s">
        <v>2195</v>
      </c>
      <c r="J15585" s="10">
        <v>8</v>
      </c>
      <c r="K15585" t="b">
        <v>1</v>
      </c>
    </row>
    <row r="15586" spans="1:11">
      <c r="A15586" s="12">
        <v>43589</v>
      </c>
      <c r="B15586">
        <v>2019</v>
      </c>
      <c r="C15586">
        <v>5</v>
      </c>
      <c r="D15586" s="11">
        <v>43586</v>
      </c>
      <c r="E15586" t="s">
        <v>2177</v>
      </c>
      <c r="F15586">
        <v>6</v>
      </c>
      <c r="G15586" t="s">
        <v>57</v>
      </c>
      <c r="H15586" t="s">
        <v>40</v>
      </c>
      <c r="I15586" t="s">
        <v>2188</v>
      </c>
      <c r="J15586" s="10">
        <v>9</v>
      </c>
      <c r="K15586" t="b">
        <v>1</v>
      </c>
    </row>
    <row r="15587" spans="1:11">
      <c r="A15587" s="12">
        <v>43589</v>
      </c>
      <c r="B15587">
        <v>2019</v>
      </c>
      <c r="C15587">
        <v>5</v>
      </c>
      <c r="D15587" s="11">
        <v>43586</v>
      </c>
      <c r="E15587" t="s">
        <v>2177</v>
      </c>
      <c r="F15587">
        <v>6</v>
      </c>
      <c r="G15587" t="s">
        <v>57</v>
      </c>
      <c r="H15587" t="s">
        <v>41</v>
      </c>
      <c r="I15587" t="s">
        <v>2189</v>
      </c>
      <c r="J15587" s="10">
        <v>5.43</v>
      </c>
      <c r="K15587" t="b">
        <v>1</v>
      </c>
    </row>
    <row r="15588" spans="1:11">
      <c r="A15588" s="12">
        <v>43589</v>
      </c>
      <c r="B15588">
        <v>2019</v>
      </c>
      <c r="C15588">
        <v>5</v>
      </c>
      <c r="D15588" s="11">
        <v>43586</v>
      </c>
      <c r="E15588" t="s">
        <v>2177</v>
      </c>
      <c r="F15588">
        <v>6</v>
      </c>
      <c r="G15588" t="s">
        <v>57</v>
      </c>
      <c r="H15588" t="s">
        <v>42</v>
      </c>
      <c r="I15588" t="s">
        <v>2190</v>
      </c>
      <c r="J15588" s="10">
        <v>4.25</v>
      </c>
      <c r="K15588" t="b">
        <v>1</v>
      </c>
    </row>
    <row r="15589" spans="1:11">
      <c r="A15589" s="12">
        <v>43589</v>
      </c>
      <c r="B15589">
        <v>2019</v>
      </c>
      <c r="C15589">
        <v>5</v>
      </c>
      <c r="D15589" s="11">
        <v>43586</v>
      </c>
      <c r="E15589" t="s">
        <v>2177</v>
      </c>
      <c r="F15589">
        <v>6</v>
      </c>
      <c r="G15589" t="s">
        <v>57</v>
      </c>
      <c r="H15589" t="s">
        <v>43</v>
      </c>
      <c r="I15589" t="s">
        <v>2191</v>
      </c>
      <c r="J15589" s="10">
        <v>25</v>
      </c>
      <c r="K15589" t="b">
        <v>1</v>
      </c>
    </row>
    <row r="15590" spans="1:11">
      <c r="A15590" s="12">
        <v>43589</v>
      </c>
      <c r="B15590">
        <v>2019</v>
      </c>
      <c r="C15590">
        <v>5</v>
      </c>
      <c r="D15590" s="11">
        <v>43586</v>
      </c>
      <c r="E15590" t="s">
        <v>2177</v>
      </c>
      <c r="F15590">
        <v>6</v>
      </c>
      <c r="G15590" t="s">
        <v>57</v>
      </c>
      <c r="H15590" t="s">
        <v>44</v>
      </c>
      <c r="I15590" t="s">
        <v>2192</v>
      </c>
      <c r="J15590" s="10">
        <v>5</v>
      </c>
      <c r="K15590" t="b">
        <v>1</v>
      </c>
    </row>
    <row r="15591" spans="1:11">
      <c r="A15591" s="12">
        <v>43589</v>
      </c>
      <c r="B15591">
        <v>2019</v>
      </c>
      <c r="C15591">
        <v>5</v>
      </c>
      <c r="D15591" s="11">
        <v>43586</v>
      </c>
      <c r="E15591" t="s">
        <v>2177</v>
      </c>
      <c r="F15591">
        <v>6</v>
      </c>
      <c r="G15591" t="s">
        <v>57</v>
      </c>
      <c r="H15591" t="s">
        <v>45</v>
      </c>
      <c r="I15591" t="s">
        <v>2193</v>
      </c>
      <c r="J15591" s="10">
        <v>1</v>
      </c>
      <c r="K15591" t="b">
        <v>1</v>
      </c>
    </row>
    <row r="15592" spans="1:11">
      <c r="A15592" s="12">
        <v>43589</v>
      </c>
      <c r="B15592">
        <v>2019</v>
      </c>
      <c r="C15592">
        <v>5</v>
      </c>
      <c r="D15592" s="11">
        <v>43586</v>
      </c>
      <c r="E15592" t="s">
        <v>2177</v>
      </c>
      <c r="F15592">
        <v>6</v>
      </c>
      <c r="G15592" t="s">
        <v>57</v>
      </c>
      <c r="H15592" t="s">
        <v>46</v>
      </c>
      <c r="I15592" t="s">
        <v>2194</v>
      </c>
      <c r="J15592" s="10">
        <v>16</v>
      </c>
      <c r="K15592" t="b">
        <v>1</v>
      </c>
    </row>
    <row r="15593" spans="1:11">
      <c r="A15593" s="12">
        <v>43589</v>
      </c>
      <c r="B15593">
        <v>2019</v>
      </c>
      <c r="C15593">
        <v>5</v>
      </c>
      <c r="D15593" s="11">
        <v>43586</v>
      </c>
      <c r="E15593" t="s">
        <v>2177</v>
      </c>
      <c r="F15593">
        <v>6</v>
      </c>
      <c r="G15593" t="s">
        <v>57</v>
      </c>
      <c r="H15593" t="s">
        <v>47</v>
      </c>
      <c r="I15593" t="s">
        <v>2195</v>
      </c>
      <c r="J15593" s="10">
        <v>9</v>
      </c>
      <c r="K15593" t="b">
        <v>1</v>
      </c>
    </row>
    <row r="15594" spans="1:11">
      <c r="A15594" s="12">
        <v>43590</v>
      </c>
      <c r="B15594">
        <v>2019</v>
      </c>
      <c r="C15594">
        <v>5</v>
      </c>
      <c r="D15594" s="11">
        <v>43586</v>
      </c>
      <c r="E15594" t="s">
        <v>2177</v>
      </c>
      <c r="F15594">
        <v>7</v>
      </c>
      <c r="G15594" t="s">
        <v>59</v>
      </c>
      <c r="H15594" t="s">
        <v>40</v>
      </c>
      <c r="I15594" t="s">
        <v>2188</v>
      </c>
      <c r="J15594" s="10">
        <v>7</v>
      </c>
      <c r="K15594" t="b">
        <v>1</v>
      </c>
    </row>
    <row r="15595" spans="1:11">
      <c r="A15595" s="12">
        <v>43590</v>
      </c>
      <c r="B15595">
        <v>2019</v>
      </c>
      <c r="C15595">
        <v>5</v>
      </c>
      <c r="D15595" s="11">
        <v>43586</v>
      </c>
      <c r="E15595" t="s">
        <v>2177</v>
      </c>
      <c r="F15595">
        <v>7</v>
      </c>
      <c r="G15595" t="s">
        <v>59</v>
      </c>
      <c r="H15595" t="s">
        <v>41</v>
      </c>
      <c r="I15595" t="s">
        <v>2189</v>
      </c>
      <c r="J15595" s="10">
        <v>2.42</v>
      </c>
      <c r="K15595" t="b">
        <v>1</v>
      </c>
    </row>
    <row r="15596" spans="1:11">
      <c r="A15596" s="12">
        <v>43590</v>
      </c>
      <c r="B15596">
        <v>2019</v>
      </c>
      <c r="C15596">
        <v>5</v>
      </c>
      <c r="D15596" s="11">
        <v>43586</v>
      </c>
      <c r="E15596" t="s">
        <v>2177</v>
      </c>
      <c r="F15596">
        <v>7</v>
      </c>
      <c r="G15596" t="s">
        <v>59</v>
      </c>
      <c r="H15596" t="s">
        <v>42</v>
      </c>
      <c r="I15596" t="s">
        <v>2190</v>
      </c>
      <c r="J15596" s="10">
        <v>4.2</v>
      </c>
      <c r="K15596" t="b">
        <v>1</v>
      </c>
    </row>
    <row r="15597" spans="1:11">
      <c r="A15597" s="12">
        <v>43590</v>
      </c>
      <c r="B15597">
        <v>2019</v>
      </c>
      <c r="C15597">
        <v>5</v>
      </c>
      <c r="D15597" s="11">
        <v>43586</v>
      </c>
      <c r="E15597" t="s">
        <v>2177</v>
      </c>
      <c r="F15597">
        <v>7</v>
      </c>
      <c r="G15597" t="s">
        <v>59</v>
      </c>
      <c r="H15597" t="s">
        <v>43</v>
      </c>
      <c r="I15597" t="s">
        <v>2191</v>
      </c>
      <c r="J15597" s="10">
        <v>31</v>
      </c>
      <c r="K15597" t="b">
        <v>1</v>
      </c>
    </row>
    <row r="15598" spans="1:11">
      <c r="A15598" s="12">
        <v>43590</v>
      </c>
      <c r="B15598">
        <v>2019</v>
      </c>
      <c r="C15598">
        <v>5</v>
      </c>
      <c r="D15598" s="11">
        <v>43586</v>
      </c>
      <c r="E15598" t="s">
        <v>2177</v>
      </c>
      <c r="F15598">
        <v>7</v>
      </c>
      <c r="G15598" t="s">
        <v>59</v>
      </c>
      <c r="H15598" t="s">
        <v>44</v>
      </c>
      <c r="I15598" t="s">
        <v>2192</v>
      </c>
      <c r="J15598" s="10">
        <v>2</v>
      </c>
      <c r="K15598" t="b">
        <v>1</v>
      </c>
    </row>
    <row r="15599" spans="1:11">
      <c r="A15599" s="12">
        <v>43590</v>
      </c>
      <c r="B15599">
        <v>2019</v>
      </c>
      <c r="C15599">
        <v>5</v>
      </c>
      <c r="D15599" s="11">
        <v>43586</v>
      </c>
      <c r="E15599" t="s">
        <v>2177</v>
      </c>
      <c r="F15599">
        <v>7</v>
      </c>
      <c r="G15599" t="s">
        <v>59</v>
      </c>
      <c r="H15599" t="s">
        <v>45</v>
      </c>
      <c r="I15599" t="s">
        <v>2193</v>
      </c>
      <c r="J15599" s="10">
        <v>0</v>
      </c>
      <c r="K15599" t="b">
        <v>1</v>
      </c>
    </row>
    <row r="15600" spans="1:11">
      <c r="A15600" s="12">
        <v>43590</v>
      </c>
      <c r="B15600">
        <v>2019</v>
      </c>
      <c r="C15600">
        <v>5</v>
      </c>
      <c r="D15600" s="11">
        <v>43586</v>
      </c>
      <c r="E15600" t="s">
        <v>2177</v>
      </c>
      <c r="F15600">
        <v>7</v>
      </c>
      <c r="G15600" t="s">
        <v>59</v>
      </c>
      <c r="H15600" t="s">
        <v>46</v>
      </c>
      <c r="I15600" t="s">
        <v>2194</v>
      </c>
      <c r="J15600" s="10">
        <v>0</v>
      </c>
      <c r="K15600" t="b">
        <v>1</v>
      </c>
    </row>
    <row r="15601" spans="1:11">
      <c r="A15601" s="12">
        <v>43590</v>
      </c>
      <c r="B15601">
        <v>2019</v>
      </c>
      <c r="C15601">
        <v>5</v>
      </c>
      <c r="D15601" s="11">
        <v>43586</v>
      </c>
      <c r="E15601" t="s">
        <v>2177</v>
      </c>
      <c r="F15601">
        <v>7</v>
      </c>
      <c r="G15601" t="s">
        <v>59</v>
      </c>
      <c r="H15601" t="s">
        <v>47</v>
      </c>
      <c r="I15601" t="s">
        <v>2195</v>
      </c>
      <c r="J15601" s="10">
        <v>5</v>
      </c>
      <c r="K15601" t="b">
        <v>1</v>
      </c>
    </row>
    <row r="15602" spans="1:11">
      <c r="A15602" s="12">
        <v>43591</v>
      </c>
      <c r="B15602">
        <v>2019</v>
      </c>
      <c r="C15602">
        <v>5</v>
      </c>
      <c r="D15602" s="11">
        <v>43586</v>
      </c>
      <c r="E15602" t="s">
        <v>2177</v>
      </c>
      <c r="F15602">
        <v>1</v>
      </c>
      <c r="G15602" t="s">
        <v>61</v>
      </c>
      <c r="H15602" t="s">
        <v>40</v>
      </c>
      <c r="I15602" t="s">
        <v>2188</v>
      </c>
      <c r="J15602" s="10">
        <v>4.68</v>
      </c>
      <c r="K15602" t="b">
        <v>1</v>
      </c>
    </row>
    <row r="15603" spans="1:11">
      <c r="A15603" s="12">
        <v>43591</v>
      </c>
      <c r="B15603">
        <v>2019</v>
      </c>
      <c r="C15603">
        <v>5</v>
      </c>
      <c r="D15603" s="11">
        <v>43586</v>
      </c>
      <c r="E15603" t="s">
        <v>2177</v>
      </c>
      <c r="F15603">
        <v>1</v>
      </c>
      <c r="G15603" t="s">
        <v>61</v>
      </c>
      <c r="H15603" t="s">
        <v>41</v>
      </c>
      <c r="I15603" t="s">
        <v>2189</v>
      </c>
      <c r="J15603" s="10">
        <v>0.066</v>
      </c>
      <c r="K15603" t="b">
        <v>1</v>
      </c>
    </row>
    <row r="15604" spans="1:11">
      <c r="A15604" s="12">
        <v>43591</v>
      </c>
      <c r="B15604">
        <v>2019</v>
      </c>
      <c r="C15604">
        <v>5</v>
      </c>
      <c r="D15604" s="11">
        <v>43586</v>
      </c>
      <c r="E15604" t="s">
        <v>2177</v>
      </c>
      <c r="F15604">
        <v>1</v>
      </c>
      <c r="G15604" t="s">
        <v>61</v>
      </c>
      <c r="H15604" t="s">
        <v>42</v>
      </c>
      <c r="I15604" t="s">
        <v>2190</v>
      </c>
      <c r="J15604" s="10">
        <v>2</v>
      </c>
      <c r="K15604" t="b">
        <v>1</v>
      </c>
    </row>
    <row r="15605" spans="1:11">
      <c r="A15605" s="12">
        <v>43591</v>
      </c>
      <c r="B15605">
        <v>2019</v>
      </c>
      <c r="C15605">
        <v>5</v>
      </c>
      <c r="D15605" s="11">
        <v>43586</v>
      </c>
      <c r="E15605" t="s">
        <v>2177</v>
      </c>
      <c r="F15605">
        <v>1</v>
      </c>
      <c r="G15605" t="s">
        <v>61</v>
      </c>
      <c r="H15605" t="s">
        <v>43</v>
      </c>
      <c r="I15605" t="s">
        <v>2191</v>
      </c>
      <c r="J15605" s="10">
        <v>23</v>
      </c>
      <c r="K15605" t="b">
        <v>1</v>
      </c>
    </row>
    <row r="15606" spans="1:11">
      <c r="A15606" s="12">
        <v>43591</v>
      </c>
      <c r="B15606">
        <v>2019</v>
      </c>
      <c r="C15606">
        <v>5</v>
      </c>
      <c r="D15606" s="11">
        <v>43586</v>
      </c>
      <c r="E15606" t="s">
        <v>2177</v>
      </c>
      <c r="F15606">
        <v>1</v>
      </c>
      <c r="G15606" t="s">
        <v>61</v>
      </c>
      <c r="H15606" t="s">
        <v>44</v>
      </c>
      <c r="I15606" t="s">
        <v>2192</v>
      </c>
      <c r="J15606" s="10">
        <v>11</v>
      </c>
      <c r="K15606" t="b">
        <v>1</v>
      </c>
    </row>
    <row r="15607" spans="1:11">
      <c r="A15607" s="12">
        <v>43591</v>
      </c>
      <c r="B15607">
        <v>2019</v>
      </c>
      <c r="C15607">
        <v>5</v>
      </c>
      <c r="D15607" s="11">
        <v>43586</v>
      </c>
      <c r="E15607" t="s">
        <v>2177</v>
      </c>
      <c r="F15607">
        <v>1</v>
      </c>
      <c r="G15607" t="s">
        <v>61</v>
      </c>
      <c r="H15607" t="s">
        <v>45</v>
      </c>
      <c r="I15607" t="s">
        <v>2193</v>
      </c>
      <c r="J15607" s="10">
        <v>2</v>
      </c>
      <c r="K15607" t="b">
        <v>1</v>
      </c>
    </row>
    <row r="15608" spans="1:11">
      <c r="A15608" s="12">
        <v>43591</v>
      </c>
      <c r="B15608">
        <v>2019</v>
      </c>
      <c r="C15608">
        <v>5</v>
      </c>
      <c r="D15608" s="11">
        <v>43586</v>
      </c>
      <c r="E15608" t="s">
        <v>2177</v>
      </c>
      <c r="F15608">
        <v>1</v>
      </c>
      <c r="G15608" t="s">
        <v>61</v>
      </c>
      <c r="H15608" t="s">
        <v>46</v>
      </c>
      <c r="I15608" t="s">
        <v>2194</v>
      </c>
      <c r="J15608" s="10">
        <v>9</v>
      </c>
      <c r="K15608" t="b">
        <v>1</v>
      </c>
    </row>
    <row r="15609" spans="1:11">
      <c r="A15609" s="12">
        <v>43591</v>
      </c>
      <c r="B15609">
        <v>2019</v>
      </c>
      <c r="C15609">
        <v>5</v>
      </c>
      <c r="D15609" s="11">
        <v>43586</v>
      </c>
      <c r="E15609" t="s">
        <v>2177</v>
      </c>
      <c r="F15609">
        <v>1</v>
      </c>
      <c r="G15609" t="s">
        <v>61</v>
      </c>
      <c r="H15609" t="s">
        <v>47</v>
      </c>
      <c r="I15609" t="s">
        <v>2195</v>
      </c>
      <c r="J15609" s="10">
        <v>3</v>
      </c>
      <c r="K15609" t="b">
        <v>1</v>
      </c>
    </row>
    <row r="15610" spans="1:11">
      <c r="A15610" s="12">
        <v>43592</v>
      </c>
      <c r="B15610">
        <v>2019</v>
      </c>
      <c r="C15610">
        <v>5</v>
      </c>
      <c r="D15610" s="11">
        <v>43586</v>
      </c>
      <c r="E15610" t="s">
        <v>2177</v>
      </c>
      <c r="F15610">
        <v>2</v>
      </c>
      <c r="G15610" t="s">
        <v>63</v>
      </c>
      <c r="H15610" t="s">
        <v>40</v>
      </c>
      <c r="I15610" t="s">
        <v>2188</v>
      </c>
      <c r="J15610" s="10">
        <v>2.66</v>
      </c>
      <c r="K15610" t="b">
        <v>1</v>
      </c>
    </row>
    <row r="15611" spans="1:11">
      <c r="A15611" s="12">
        <v>43592</v>
      </c>
      <c r="B15611">
        <v>2019</v>
      </c>
      <c r="C15611">
        <v>5</v>
      </c>
      <c r="D15611" s="11">
        <v>43586</v>
      </c>
      <c r="E15611" t="s">
        <v>2177</v>
      </c>
      <c r="F15611">
        <v>2</v>
      </c>
      <c r="G15611" t="s">
        <v>63</v>
      </c>
      <c r="H15611" t="s">
        <v>41</v>
      </c>
      <c r="I15611" t="s">
        <v>2189</v>
      </c>
      <c r="J15611" s="10">
        <v>5.519</v>
      </c>
      <c r="K15611" t="b">
        <v>1</v>
      </c>
    </row>
    <row r="15612" spans="1:11">
      <c r="A15612" s="12">
        <v>43592</v>
      </c>
      <c r="B15612">
        <v>2019</v>
      </c>
      <c r="C15612">
        <v>5</v>
      </c>
      <c r="D15612" s="11">
        <v>43586</v>
      </c>
      <c r="E15612" t="s">
        <v>2177</v>
      </c>
      <c r="F15612">
        <v>2</v>
      </c>
      <c r="G15612" t="s">
        <v>63</v>
      </c>
      <c r="H15612" t="s">
        <v>42</v>
      </c>
      <c r="I15612" t="s">
        <v>2190</v>
      </c>
      <c r="J15612" s="10">
        <v>1</v>
      </c>
      <c r="K15612" t="b">
        <v>1</v>
      </c>
    </row>
    <row r="15613" spans="1:11">
      <c r="A15613" s="12">
        <v>43592</v>
      </c>
      <c r="B15613">
        <v>2019</v>
      </c>
      <c r="C15613">
        <v>5</v>
      </c>
      <c r="D15613" s="11">
        <v>43586</v>
      </c>
      <c r="E15613" t="s">
        <v>2177</v>
      </c>
      <c r="F15613">
        <v>2</v>
      </c>
      <c r="G15613" t="s">
        <v>63</v>
      </c>
      <c r="H15613" t="s">
        <v>43</v>
      </c>
      <c r="I15613" t="s">
        <v>2191</v>
      </c>
      <c r="J15613" s="10">
        <v>33.4</v>
      </c>
      <c r="K15613" t="b">
        <v>1</v>
      </c>
    </row>
    <row r="15614" spans="1:11">
      <c r="A15614" s="12">
        <v>43592</v>
      </c>
      <c r="B15614">
        <v>2019</v>
      </c>
      <c r="C15614">
        <v>5</v>
      </c>
      <c r="D15614" s="11">
        <v>43586</v>
      </c>
      <c r="E15614" t="s">
        <v>2177</v>
      </c>
      <c r="F15614">
        <v>2</v>
      </c>
      <c r="G15614" t="s">
        <v>63</v>
      </c>
      <c r="H15614" t="s">
        <v>44</v>
      </c>
      <c r="I15614" t="s">
        <v>2192</v>
      </c>
      <c r="J15614" s="10">
        <v>19</v>
      </c>
      <c r="K15614" t="b">
        <v>1</v>
      </c>
    </row>
    <row r="15615" spans="1:11">
      <c r="A15615" s="12">
        <v>43592</v>
      </c>
      <c r="B15615">
        <v>2019</v>
      </c>
      <c r="C15615">
        <v>5</v>
      </c>
      <c r="D15615" s="11">
        <v>43586</v>
      </c>
      <c r="E15615" t="s">
        <v>2177</v>
      </c>
      <c r="F15615">
        <v>2</v>
      </c>
      <c r="G15615" t="s">
        <v>63</v>
      </c>
      <c r="H15615" t="s">
        <v>45</v>
      </c>
      <c r="I15615" t="s">
        <v>2193</v>
      </c>
      <c r="J15615" s="10">
        <v>0</v>
      </c>
      <c r="K15615" t="b">
        <v>1</v>
      </c>
    </row>
    <row r="15616" spans="1:11">
      <c r="A15616" s="12">
        <v>43592</v>
      </c>
      <c r="B15616">
        <v>2019</v>
      </c>
      <c r="C15616">
        <v>5</v>
      </c>
      <c r="D15616" s="11">
        <v>43586</v>
      </c>
      <c r="E15616" t="s">
        <v>2177</v>
      </c>
      <c r="F15616">
        <v>2</v>
      </c>
      <c r="G15616" t="s">
        <v>63</v>
      </c>
      <c r="H15616" t="s">
        <v>46</v>
      </c>
      <c r="I15616" t="s">
        <v>2194</v>
      </c>
      <c r="J15616" s="10">
        <v>6</v>
      </c>
      <c r="K15616" t="b">
        <v>1</v>
      </c>
    </row>
    <row r="15617" spans="1:11">
      <c r="A15617" s="12">
        <v>43592</v>
      </c>
      <c r="B15617">
        <v>2019</v>
      </c>
      <c r="C15617">
        <v>5</v>
      </c>
      <c r="D15617" s="11">
        <v>43586</v>
      </c>
      <c r="E15617" t="s">
        <v>2177</v>
      </c>
      <c r="F15617">
        <v>2</v>
      </c>
      <c r="G15617" t="s">
        <v>63</v>
      </c>
      <c r="H15617" t="s">
        <v>47</v>
      </c>
      <c r="I15617" t="s">
        <v>2195</v>
      </c>
      <c r="J15617" s="10">
        <v>5</v>
      </c>
      <c r="K15617" t="b">
        <v>1</v>
      </c>
    </row>
    <row r="15618" spans="1:11">
      <c r="A15618" s="12">
        <v>43593</v>
      </c>
      <c r="B15618">
        <v>2019</v>
      </c>
      <c r="C15618">
        <v>5</v>
      </c>
      <c r="D15618" s="11">
        <v>43586</v>
      </c>
      <c r="E15618" t="s">
        <v>2177</v>
      </c>
      <c r="F15618">
        <v>3</v>
      </c>
      <c r="G15618" t="s">
        <v>65</v>
      </c>
      <c r="H15618" t="s">
        <v>40</v>
      </c>
      <c r="I15618" t="s">
        <v>2188</v>
      </c>
      <c r="J15618" s="10">
        <v>9</v>
      </c>
      <c r="K15618" t="b">
        <v>1</v>
      </c>
    </row>
    <row r="15619" spans="1:11">
      <c r="A15619" s="12">
        <v>43593</v>
      </c>
      <c r="B15619">
        <v>2019</v>
      </c>
      <c r="C15619">
        <v>5</v>
      </c>
      <c r="D15619" s="11">
        <v>43586</v>
      </c>
      <c r="E15619" t="s">
        <v>2177</v>
      </c>
      <c r="F15619">
        <v>3</v>
      </c>
      <c r="G15619" t="s">
        <v>65</v>
      </c>
      <c r="H15619" t="s">
        <v>41</v>
      </c>
      <c r="I15619" t="s">
        <v>2189</v>
      </c>
      <c r="J15619" s="10">
        <v>4.033</v>
      </c>
      <c r="K15619" t="b">
        <v>1</v>
      </c>
    </row>
    <row r="15620" spans="1:11">
      <c r="A15620" s="12">
        <v>43593</v>
      </c>
      <c r="B15620">
        <v>2019</v>
      </c>
      <c r="C15620">
        <v>5</v>
      </c>
      <c r="D15620" s="11">
        <v>43586</v>
      </c>
      <c r="E15620" t="s">
        <v>2177</v>
      </c>
      <c r="F15620">
        <v>3</v>
      </c>
      <c r="G15620" t="s">
        <v>65</v>
      </c>
      <c r="H15620" t="s">
        <v>42</v>
      </c>
      <c r="I15620" t="s">
        <v>2190</v>
      </c>
      <c r="J15620" s="10">
        <v>3</v>
      </c>
      <c r="K15620" t="b">
        <v>1</v>
      </c>
    </row>
    <row r="15621" spans="1:11">
      <c r="A15621" s="12">
        <v>43593</v>
      </c>
      <c r="B15621">
        <v>2019</v>
      </c>
      <c r="C15621">
        <v>5</v>
      </c>
      <c r="D15621" s="11">
        <v>43586</v>
      </c>
      <c r="E15621" t="s">
        <v>2177</v>
      </c>
      <c r="F15621">
        <v>3</v>
      </c>
      <c r="G15621" t="s">
        <v>65</v>
      </c>
      <c r="H15621" t="s">
        <v>43</v>
      </c>
      <c r="I15621" t="s">
        <v>2191</v>
      </c>
      <c r="J15621" s="10">
        <v>13</v>
      </c>
      <c r="K15621" t="b">
        <v>1</v>
      </c>
    </row>
    <row r="15622" spans="1:11">
      <c r="A15622" s="12">
        <v>43593</v>
      </c>
      <c r="B15622">
        <v>2019</v>
      </c>
      <c r="C15622">
        <v>5</v>
      </c>
      <c r="D15622" s="11">
        <v>43586</v>
      </c>
      <c r="E15622" t="s">
        <v>2177</v>
      </c>
      <c r="F15622">
        <v>3</v>
      </c>
      <c r="G15622" t="s">
        <v>65</v>
      </c>
      <c r="H15622" t="s">
        <v>44</v>
      </c>
      <c r="I15622" t="s">
        <v>2192</v>
      </c>
      <c r="J15622" s="10">
        <v>15</v>
      </c>
      <c r="K15622" t="b">
        <v>1</v>
      </c>
    </row>
    <row r="15623" spans="1:11">
      <c r="A15623" s="12">
        <v>43593</v>
      </c>
      <c r="B15623">
        <v>2019</v>
      </c>
      <c r="C15623">
        <v>5</v>
      </c>
      <c r="D15623" s="11">
        <v>43586</v>
      </c>
      <c r="E15623" t="s">
        <v>2177</v>
      </c>
      <c r="F15623">
        <v>3</v>
      </c>
      <c r="G15623" t="s">
        <v>65</v>
      </c>
      <c r="H15623" t="s">
        <v>45</v>
      </c>
      <c r="I15623" t="s">
        <v>2193</v>
      </c>
      <c r="J15623" s="10">
        <v>2</v>
      </c>
      <c r="K15623" t="b">
        <v>1</v>
      </c>
    </row>
    <row r="15624" spans="1:11">
      <c r="A15624" s="12">
        <v>43593</v>
      </c>
      <c r="B15624">
        <v>2019</v>
      </c>
      <c r="C15624">
        <v>5</v>
      </c>
      <c r="D15624" s="11">
        <v>43586</v>
      </c>
      <c r="E15624" t="s">
        <v>2177</v>
      </c>
      <c r="F15624">
        <v>3</v>
      </c>
      <c r="G15624" t="s">
        <v>65</v>
      </c>
      <c r="H15624" t="s">
        <v>46</v>
      </c>
      <c r="I15624" t="s">
        <v>2194</v>
      </c>
      <c r="J15624" s="10">
        <v>20</v>
      </c>
      <c r="K15624" t="b">
        <v>1</v>
      </c>
    </row>
    <row r="15625" spans="1:11">
      <c r="A15625" s="12">
        <v>43593</v>
      </c>
      <c r="B15625">
        <v>2019</v>
      </c>
      <c r="C15625">
        <v>5</v>
      </c>
      <c r="D15625" s="11">
        <v>43586</v>
      </c>
      <c r="E15625" t="s">
        <v>2177</v>
      </c>
      <c r="F15625">
        <v>3</v>
      </c>
      <c r="G15625" t="s">
        <v>65</v>
      </c>
      <c r="H15625" t="s">
        <v>47</v>
      </c>
      <c r="I15625" t="s">
        <v>2195</v>
      </c>
      <c r="J15625" s="10">
        <v>0</v>
      </c>
      <c r="K15625" t="b">
        <v>1</v>
      </c>
    </row>
    <row r="15626" spans="1:11">
      <c r="A15626" s="12">
        <v>43594</v>
      </c>
      <c r="B15626">
        <v>2019</v>
      </c>
      <c r="C15626">
        <v>5</v>
      </c>
      <c r="D15626" s="11">
        <v>43586</v>
      </c>
      <c r="E15626" t="s">
        <v>2177</v>
      </c>
      <c r="F15626">
        <v>4</v>
      </c>
      <c r="G15626" t="s">
        <v>53</v>
      </c>
      <c r="H15626" t="s">
        <v>40</v>
      </c>
      <c r="I15626" t="s">
        <v>2188</v>
      </c>
      <c r="J15626" s="10">
        <v>5</v>
      </c>
      <c r="K15626" t="b">
        <v>1</v>
      </c>
    </row>
    <row r="15627" spans="1:11">
      <c r="A15627" s="12">
        <v>43594</v>
      </c>
      <c r="B15627">
        <v>2019</v>
      </c>
      <c r="C15627">
        <v>5</v>
      </c>
      <c r="D15627" s="11">
        <v>43586</v>
      </c>
      <c r="E15627" t="s">
        <v>2177</v>
      </c>
      <c r="F15627">
        <v>4</v>
      </c>
      <c r="G15627" t="s">
        <v>53</v>
      </c>
      <c r="H15627" t="s">
        <v>41</v>
      </c>
      <c r="I15627" t="s">
        <v>2189</v>
      </c>
      <c r="J15627" s="10">
        <v>2.33</v>
      </c>
      <c r="K15627" t="b">
        <v>1</v>
      </c>
    </row>
    <row r="15628" spans="1:11">
      <c r="A15628" s="12">
        <v>43594</v>
      </c>
      <c r="B15628">
        <v>2019</v>
      </c>
      <c r="C15628">
        <v>5</v>
      </c>
      <c r="D15628" s="11">
        <v>43586</v>
      </c>
      <c r="E15628" t="s">
        <v>2177</v>
      </c>
      <c r="F15628">
        <v>4</v>
      </c>
      <c r="G15628" t="s">
        <v>53</v>
      </c>
      <c r="H15628" t="s">
        <v>42</v>
      </c>
      <c r="I15628" t="s">
        <v>2190</v>
      </c>
      <c r="J15628" s="10">
        <v>2.1</v>
      </c>
      <c r="K15628" t="b">
        <v>1</v>
      </c>
    </row>
    <row r="15629" spans="1:11">
      <c r="A15629" s="12">
        <v>43594</v>
      </c>
      <c r="B15629">
        <v>2019</v>
      </c>
      <c r="C15629">
        <v>5</v>
      </c>
      <c r="D15629" s="11">
        <v>43586</v>
      </c>
      <c r="E15629" t="s">
        <v>2177</v>
      </c>
      <c r="F15629">
        <v>4</v>
      </c>
      <c r="G15629" t="s">
        <v>53</v>
      </c>
      <c r="H15629" t="s">
        <v>43</v>
      </c>
      <c r="I15629" t="s">
        <v>2191</v>
      </c>
      <c r="J15629" s="10">
        <v>12.5</v>
      </c>
      <c r="K15629" t="b">
        <v>1</v>
      </c>
    </row>
    <row r="15630" spans="1:11">
      <c r="A15630" s="12">
        <v>43594</v>
      </c>
      <c r="B15630">
        <v>2019</v>
      </c>
      <c r="C15630">
        <v>5</v>
      </c>
      <c r="D15630" s="11">
        <v>43586</v>
      </c>
      <c r="E15630" t="s">
        <v>2177</v>
      </c>
      <c r="F15630">
        <v>4</v>
      </c>
      <c r="G15630" t="s">
        <v>53</v>
      </c>
      <c r="H15630" t="s">
        <v>44</v>
      </c>
      <c r="I15630" t="s">
        <v>2192</v>
      </c>
      <c r="J15630" s="10">
        <v>10</v>
      </c>
      <c r="K15630" t="b">
        <v>1</v>
      </c>
    </row>
    <row r="15631" spans="1:11">
      <c r="A15631" s="12">
        <v>43594</v>
      </c>
      <c r="B15631">
        <v>2019</v>
      </c>
      <c r="C15631">
        <v>5</v>
      </c>
      <c r="D15631" s="11">
        <v>43586</v>
      </c>
      <c r="E15631" t="s">
        <v>2177</v>
      </c>
      <c r="F15631">
        <v>4</v>
      </c>
      <c r="G15631" t="s">
        <v>53</v>
      </c>
      <c r="H15631" t="s">
        <v>45</v>
      </c>
      <c r="I15631" t="s">
        <v>2193</v>
      </c>
      <c r="J15631" s="10">
        <v>1</v>
      </c>
      <c r="K15631" t="b">
        <v>1</v>
      </c>
    </row>
    <row r="15632" spans="1:11">
      <c r="A15632" s="12">
        <v>43594</v>
      </c>
      <c r="B15632">
        <v>2019</v>
      </c>
      <c r="C15632">
        <v>5</v>
      </c>
      <c r="D15632" s="11">
        <v>43586</v>
      </c>
      <c r="E15632" t="s">
        <v>2177</v>
      </c>
      <c r="F15632">
        <v>4</v>
      </c>
      <c r="G15632" t="s">
        <v>53</v>
      </c>
      <c r="H15632" t="s">
        <v>46</v>
      </c>
      <c r="I15632" t="s">
        <v>2194</v>
      </c>
      <c r="J15632" s="10">
        <v>31</v>
      </c>
      <c r="K15632" t="b">
        <v>1</v>
      </c>
    </row>
    <row r="15633" spans="1:11">
      <c r="A15633" s="12">
        <v>43594</v>
      </c>
      <c r="B15633">
        <v>2019</v>
      </c>
      <c r="C15633">
        <v>5</v>
      </c>
      <c r="D15633" s="11">
        <v>43586</v>
      </c>
      <c r="E15633" t="s">
        <v>2177</v>
      </c>
      <c r="F15633">
        <v>4</v>
      </c>
      <c r="G15633" t="s">
        <v>53</v>
      </c>
      <c r="H15633" t="s">
        <v>47</v>
      </c>
      <c r="I15633" t="s">
        <v>2195</v>
      </c>
      <c r="J15633" s="10">
        <v>4</v>
      </c>
      <c r="K15633" t="b">
        <v>1</v>
      </c>
    </row>
    <row r="15634" spans="1:11">
      <c r="A15634" s="12">
        <v>43595</v>
      </c>
      <c r="B15634">
        <v>2019</v>
      </c>
      <c r="C15634">
        <v>5</v>
      </c>
      <c r="D15634" s="11">
        <v>43586</v>
      </c>
      <c r="E15634" t="s">
        <v>2177</v>
      </c>
      <c r="F15634">
        <v>5</v>
      </c>
      <c r="G15634" t="s">
        <v>55</v>
      </c>
      <c r="H15634" t="s">
        <v>40</v>
      </c>
      <c r="I15634" t="s">
        <v>2188</v>
      </c>
      <c r="J15634" s="10">
        <v>5</v>
      </c>
      <c r="K15634" t="b">
        <v>1</v>
      </c>
    </row>
    <row r="15635" spans="1:11">
      <c r="A15635" s="12">
        <v>43595</v>
      </c>
      <c r="B15635">
        <v>2019</v>
      </c>
      <c r="C15635">
        <v>5</v>
      </c>
      <c r="D15635" s="11">
        <v>43586</v>
      </c>
      <c r="E15635" t="s">
        <v>2177</v>
      </c>
      <c r="F15635">
        <v>5</v>
      </c>
      <c r="G15635" t="s">
        <v>55</v>
      </c>
      <c r="H15635" t="s">
        <v>41</v>
      </c>
      <c r="I15635" t="s">
        <v>2189</v>
      </c>
      <c r="J15635" s="10">
        <v>1.34</v>
      </c>
      <c r="K15635" t="b">
        <v>1</v>
      </c>
    </row>
    <row r="15636" spans="1:11">
      <c r="A15636" s="12">
        <v>43595</v>
      </c>
      <c r="B15636">
        <v>2019</v>
      </c>
      <c r="C15636">
        <v>5</v>
      </c>
      <c r="D15636" s="11">
        <v>43586</v>
      </c>
      <c r="E15636" t="s">
        <v>2177</v>
      </c>
      <c r="F15636">
        <v>5</v>
      </c>
      <c r="G15636" t="s">
        <v>55</v>
      </c>
      <c r="H15636" t="s">
        <v>42</v>
      </c>
      <c r="I15636" t="s">
        <v>2190</v>
      </c>
      <c r="J15636" s="10">
        <v>5.5</v>
      </c>
      <c r="K15636" t="b">
        <v>1</v>
      </c>
    </row>
    <row r="15637" spans="1:11">
      <c r="A15637" s="12">
        <v>43595</v>
      </c>
      <c r="B15637">
        <v>2019</v>
      </c>
      <c r="C15637">
        <v>5</v>
      </c>
      <c r="D15637" s="11">
        <v>43586</v>
      </c>
      <c r="E15637" t="s">
        <v>2177</v>
      </c>
      <c r="F15637">
        <v>5</v>
      </c>
      <c r="G15637" t="s">
        <v>55</v>
      </c>
      <c r="H15637" t="s">
        <v>43</v>
      </c>
      <c r="I15637" t="s">
        <v>2191</v>
      </c>
      <c r="J15637" s="10">
        <v>11.6</v>
      </c>
      <c r="K15637" t="b">
        <v>1</v>
      </c>
    </row>
    <row r="15638" spans="1:11">
      <c r="A15638" s="12">
        <v>43595</v>
      </c>
      <c r="B15638">
        <v>2019</v>
      </c>
      <c r="C15638">
        <v>5</v>
      </c>
      <c r="D15638" s="11">
        <v>43586</v>
      </c>
      <c r="E15638" t="s">
        <v>2177</v>
      </c>
      <c r="F15638">
        <v>5</v>
      </c>
      <c r="G15638" t="s">
        <v>55</v>
      </c>
      <c r="H15638" t="s">
        <v>44</v>
      </c>
      <c r="I15638" t="s">
        <v>2192</v>
      </c>
      <c r="J15638" s="10">
        <v>13</v>
      </c>
      <c r="K15638" t="b">
        <v>1</v>
      </c>
    </row>
    <row r="15639" spans="1:11">
      <c r="A15639" s="12">
        <v>43595</v>
      </c>
      <c r="B15639">
        <v>2019</v>
      </c>
      <c r="C15639">
        <v>5</v>
      </c>
      <c r="D15639" s="11">
        <v>43586</v>
      </c>
      <c r="E15639" t="s">
        <v>2177</v>
      </c>
      <c r="F15639">
        <v>5</v>
      </c>
      <c r="G15639" t="s">
        <v>55</v>
      </c>
      <c r="H15639" t="s">
        <v>45</v>
      </c>
      <c r="I15639" t="s">
        <v>2193</v>
      </c>
      <c r="J15639" s="10">
        <v>2</v>
      </c>
      <c r="K15639" t="b">
        <v>1</v>
      </c>
    </row>
    <row r="15640" spans="1:11">
      <c r="A15640" s="12">
        <v>43595</v>
      </c>
      <c r="B15640">
        <v>2019</v>
      </c>
      <c r="C15640">
        <v>5</v>
      </c>
      <c r="D15640" s="11">
        <v>43586</v>
      </c>
      <c r="E15640" t="s">
        <v>2177</v>
      </c>
      <c r="F15640">
        <v>5</v>
      </c>
      <c r="G15640" t="s">
        <v>55</v>
      </c>
      <c r="H15640" t="s">
        <v>46</v>
      </c>
      <c r="I15640" t="s">
        <v>2194</v>
      </c>
      <c r="J15640" s="10">
        <v>26</v>
      </c>
      <c r="K15640" t="b">
        <v>1</v>
      </c>
    </row>
    <row r="15641" spans="1:11">
      <c r="A15641" s="12">
        <v>43595</v>
      </c>
      <c r="B15641">
        <v>2019</v>
      </c>
      <c r="C15641">
        <v>5</v>
      </c>
      <c r="D15641" s="11">
        <v>43586</v>
      </c>
      <c r="E15641" t="s">
        <v>2177</v>
      </c>
      <c r="F15641">
        <v>5</v>
      </c>
      <c r="G15641" t="s">
        <v>55</v>
      </c>
      <c r="H15641" t="s">
        <v>47</v>
      </c>
      <c r="I15641" t="s">
        <v>2195</v>
      </c>
      <c r="J15641" s="10">
        <v>2</v>
      </c>
      <c r="K15641" t="b">
        <v>1</v>
      </c>
    </row>
    <row r="15642" spans="1:11">
      <c r="A15642" s="12">
        <v>43596</v>
      </c>
      <c r="B15642">
        <v>2019</v>
      </c>
      <c r="C15642">
        <v>5</v>
      </c>
      <c r="D15642" s="11">
        <v>43586</v>
      </c>
      <c r="E15642" t="s">
        <v>2177</v>
      </c>
      <c r="F15642">
        <v>6</v>
      </c>
      <c r="G15642" t="s">
        <v>57</v>
      </c>
      <c r="H15642" t="s">
        <v>40</v>
      </c>
      <c r="I15642" t="s">
        <v>2188</v>
      </c>
      <c r="J15642" s="10">
        <v>5.34</v>
      </c>
      <c r="K15642" t="b">
        <v>1</v>
      </c>
    </row>
    <row r="15643" spans="1:11">
      <c r="A15643" s="12">
        <v>43596</v>
      </c>
      <c r="B15643">
        <v>2019</v>
      </c>
      <c r="C15643">
        <v>5</v>
      </c>
      <c r="D15643" s="11">
        <v>43586</v>
      </c>
      <c r="E15643" t="s">
        <v>2177</v>
      </c>
      <c r="F15643">
        <v>6</v>
      </c>
      <c r="G15643" t="s">
        <v>57</v>
      </c>
      <c r="H15643" t="s">
        <v>41</v>
      </c>
      <c r="I15643" t="s">
        <v>2189</v>
      </c>
      <c r="J15643" s="10">
        <v>5</v>
      </c>
      <c r="K15643" t="b">
        <v>1</v>
      </c>
    </row>
    <row r="15644" spans="1:11">
      <c r="A15644" s="12">
        <v>43596</v>
      </c>
      <c r="B15644">
        <v>2019</v>
      </c>
      <c r="C15644">
        <v>5</v>
      </c>
      <c r="D15644" s="11">
        <v>43586</v>
      </c>
      <c r="E15644" t="s">
        <v>2177</v>
      </c>
      <c r="F15644">
        <v>6</v>
      </c>
      <c r="G15644" t="s">
        <v>57</v>
      </c>
      <c r="H15644" t="s">
        <v>42</v>
      </c>
      <c r="I15644" t="s">
        <v>2190</v>
      </c>
      <c r="J15644" s="10">
        <v>5.5</v>
      </c>
      <c r="K15644" t="b">
        <v>1</v>
      </c>
    </row>
    <row r="15645" spans="1:11">
      <c r="A15645" s="12">
        <v>43596</v>
      </c>
      <c r="B15645">
        <v>2019</v>
      </c>
      <c r="C15645">
        <v>5</v>
      </c>
      <c r="D15645" s="11">
        <v>43586</v>
      </c>
      <c r="E15645" t="s">
        <v>2177</v>
      </c>
      <c r="F15645">
        <v>6</v>
      </c>
      <c r="G15645" t="s">
        <v>57</v>
      </c>
      <c r="H15645" t="s">
        <v>43</v>
      </c>
      <c r="I15645" t="s">
        <v>2191</v>
      </c>
      <c r="J15645" s="10">
        <v>16.8</v>
      </c>
      <c r="K15645" t="b">
        <v>1</v>
      </c>
    </row>
    <row r="15646" spans="1:11">
      <c r="A15646" s="12">
        <v>43596</v>
      </c>
      <c r="B15646">
        <v>2019</v>
      </c>
      <c r="C15646">
        <v>5</v>
      </c>
      <c r="D15646" s="11">
        <v>43586</v>
      </c>
      <c r="E15646" t="s">
        <v>2177</v>
      </c>
      <c r="F15646">
        <v>6</v>
      </c>
      <c r="G15646" t="s">
        <v>57</v>
      </c>
      <c r="H15646" t="s">
        <v>44</v>
      </c>
      <c r="I15646" t="s">
        <v>2192</v>
      </c>
      <c r="J15646" s="10">
        <v>9</v>
      </c>
      <c r="K15646" t="b">
        <v>1</v>
      </c>
    </row>
    <row r="15647" spans="1:11">
      <c r="A15647" s="12">
        <v>43596</v>
      </c>
      <c r="B15647">
        <v>2019</v>
      </c>
      <c r="C15647">
        <v>5</v>
      </c>
      <c r="D15647" s="11">
        <v>43586</v>
      </c>
      <c r="E15647" t="s">
        <v>2177</v>
      </c>
      <c r="F15647">
        <v>6</v>
      </c>
      <c r="G15647" t="s">
        <v>57</v>
      </c>
      <c r="H15647" t="s">
        <v>45</v>
      </c>
      <c r="I15647" t="s">
        <v>2193</v>
      </c>
      <c r="J15647" s="10">
        <v>0</v>
      </c>
      <c r="K15647" t="b">
        <v>1</v>
      </c>
    </row>
    <row r="15648" spans="1:11">
      <c r="A15648" s="12">
        <v>43596</v>
      </c>
      <c r="B15648">
        <v>2019</v>
      </c>
      <c r="C15648">
        <v>5</v>
      </c>
      <c r="D15648" s="11">
        <v>43586</v>
      </c>
      <c r="E15648" t="s">
        <v>2177</v>
      </c>
      <c r="F15648">
        <v>6</v>
      </c>
      <c r="G15648" t="s">
        <v>57</v>
      </c>
      <c r="H15648" t="s">
        <v>46</v>
      </c>
      <c r="I15648" t="s">
        <v>2194</v>
      </c>
      <c r="J15648" s="10">
        <v>12</v>
      </c>
      <c r="K15648" t="b">
        <v>1</v>
      </c>
    </row>
    <row r="15649" spans="1:11">
      <c r="A15649" s="12">
        <v>43596</v>
      </c>
      <c r="B15649">
        <v>2019</v>
      </c>
      <c r="C15649">
        <v>5</v>
      </c>
      <c r="D15649" s="11">
        <v>43586</v>
      </c>
      <c r="E15649" t="s">
        <v>2177</v>
      </c>
      <c r="F15649">
        <v>6</v>
      </c>
      <c r="G15649" t="s">
        <v>57</v>
      </c>
      <c r="H15649" t="s">
        <v>47</v>
      </c>
      <c r="I15649" t="s">
        <v>2195</v>
      </c>
      <c r="J15649" s="10">
        <v>5</v>
      </c>
      <c r="K15649" t="b">
        <v>1</v>
      </c>
    </row>
    <row r="15650" spans="1:11">
      <c r="A15650" s="12">
        <v>43597</v>
      </c>
      <c r="B15650">
        <v>2019</v>
      </c>
      <c r="C15650">
        <v>5</v>
      </c>
      <c r="D15650" s="11">
        <v>43586</v>
      </c>
      <c r="E15650" t="s">
        <v>2177</v>
      </c>
      <c r="F15650">
        <v>7</v>
      </c>
      <c r="G15650" t="s">
        <v>59</v>
      </c>
      <c r="H15650" t="s">
        <v>40</v>
      </c>
      <c r="I15650" t="s">
        <v>2188</v>
      </c>
      <c r="J15650" s="10">
        <v>4.67</v>
      </c>
      <c r="K15650" t="b">
        <v>1</v>
      </c>
    </row>
    <row r="15651" spans="1:11">
      <c r="A15651" s="12">
        <v>43597</v>
      </c>
      <c r="B15651">
        <v>2019</v>
      </c>
      <c r="C15651">
        <v>5</v>
      </c>
      <c r="D15651" s="11">
        <v>43586</v>
      </c>
      <c r="E15651" t="s">
        <v>2177</v>
      </c>
      <c r="F15651">
        <v>7</v>
      </c>
      <c r="G15651" t="s">
        <v>59</v>
      </c>
      <c r="H15651" t="s">
        <v>41</v>
      </c>
      <c r="I15651" t="s">
        <v>2189</v>
      </c>
      <c r="J15651" s="10">
        <v>1.68</v>
      </c>
      <c r="K15651" t="b">
        <v>1</v>
      </c>
    </row>
    <row r="15652" spans="1:11">
      <c r="A15652" s="12">
        <v>43597</v>
      </c>
      <c r="B15652">
        <v>2019</v>
      </c>
      <c r="C15652">
        <v>5</v>
      </c>
      <c r="D15652" s="11">
        <v>43586</v>
      </c>
      <c r="E15652" t="s">
        <v>2177</v>
      </c>
      <c r="F15652">
        <v>7</v>
      </c>
      <c r="G15652" t="s">
        <v>59</v>
      </c>
      <c r="H15652" t="s">
        <v>42</v>
      </c>
      <c r="I15652" t="s">
        <v>2190</v>
      </c>
      <c r="J15652" s="10">
        <v>3.1</v>
      </c>
      <c r="K15652" t="b">
        <v>1</v>
      </c>
    </row>
    <row r="15653" spans="1:11">
      <c r="A15653" s="12">
        <v>43597</v>
      </c>
      <c r="B15653">
        <v>2019</v>
      </c>
      <c r="C15653">
        <v>5</v>
      </c>
      <c r="D15653" s="11">
        <v>43586</v>
      </c>
      <c r="E15653" t="s">
        <v>2177</v>
      </c>
      <c r="F15653">
        <v>7</v>
      </c>
      <c r="G15653" t="s">
        <v>59</v>
      </c>
      <c r="H15653" t="s">
        <v>43</v>
      </c>
      <c r="I15653" t="s">
        <v>2191</v>
      </c>
      <c r="J15653" s="10">
        <v>38.8</v>
      </c>
      <c r="K15653" t="b">
        <v>1</v>
      </c>
    </row>
    <row r="15654" spans="1:11">
      <c r="A15654" s="12">
        <v>43597</v>
      </c>
      <c r="B15654">
        <v>2019</v>
      </c>
      <c r="C15654">
        <v>5</v>
      </c>
      <c r="D15654" s="11">
        <v>43586</v>
      </c>
      <c r="E15654" t="s">
        <v>2177</v>
      </c>
      <c r="F15654">
        <v>7</v>
      </c>
      <c r="G15654" t="s">
        <v>59</v>
      </c>
      <c r="H15654" t="s">
        <v>44</v>
      </c>
      <c r="I15654" t="s">
        <v>2192</v>
      </c>
      <c r="J15654" s="10">
        <v>2</v>
      </c>
      <c r="K15654" t="b">
        <v>1</v>
      </c>
    </row>
    <row r="15655" spans="1:11">
      <c r="A15655" s="12">
        <v>43597</v>
      </c>
      <c r="B15655">
        <v>2019</v>
      </c>
      <c r="C15655">
        <v>5</v>
      </c>
      <c r="D15655" s="11">
        <v>43586</v>
      </c>
      <c r="E15655" t="s">
        <v>2177</v>
      </c>
      <c r="F15655">
        <v>7</v>
      </c>
      <c r="G15655" t="s">
        <v>59</v>
      </c>
      <c r="H15655" t="s">
        <v>45</v>
      </c>
      <c r="I15655" t="s">
        <v>2193</v>
      </c>
      <c r="J15655" s="10">
        <v>1</v>
      </c>
      <c r="K15655" t="b">
        <v>1</v>
      </c>
    </row>
    <row r="15656" spans="1:11">
      <c r="A15656" s="12">
        <v>43597</v>
      </c>
      <c r="B15656">
        <v>2019</v>
      </c>
      <c r="C15656">
        <v>5</v>
      </c>
      <c r="D15656" s="11">
        <v>43586</v>
      </c>
      <c r="E15656" t="s">
        <v>2177</v>
      </c>
      <c r="F15656">
        <v>7</v>
      </c>
      <c r="G15656" t="s">
        <v>59</v>
      </c>
      <c r="H15656" t="s">
        <v>46</v>
      </c>
      <c r="I15656" t="s">
        <v>2194</v>
      </c>
      <c r="J15656" s="10">
        <v>19</v>
      </c>
      <c r="K15656" t="b">
        <v>1</v>
      </c>
    </row>
    <row r="15657" spans="1:11">
      <c r="A15657" s="12">
        <v>43597</v>
      </c>
      <c r="B15657">
        <v>2019</v>
      </c>
      <c r="C15657">
        <v>5</v>
      </c>
      <c r="D15657" s="11">
        <v>43586</v>
      </c>
      <c r="E15657" t="s">
        <v>2177</v>
      </c>
      <c r="F15657">
        <v>7</v>
      </c>
      <c r="G15657" t="s">
        <v>59</v>
      </c>
      <c r="H15657" t="s">
        <v>47</v>
      </c>
      <c r="I15657" t="s">
        <v>2195</v>
      </c>
      <c r="J15657" s="10">
        <v>5</v>
      </c>
      <c r="K15657" t="b">
        <v>1</v>
      </c>
    </row>
    <row r="15658" spans="1:11">
      <c r="A15658" s="12">
        <v>43598</v>
      </c>
      <c r="B15658">
        <v>2019</v>
      </c>
      <c r="C15658">
        <v>5</v>
      </c>
      <c r="D15658" s="11">
        <v>43586</v>
      </c>
      <c r="E15658" t="s">
        <v>2177</v>
      </c>
      <c r="F15658">
        <v>1</v>
      </c>
      <c r="G15658" t="s">
        <v>61</v>
      </c>
      <c r="H15658" t="s">
        <v>40</v>
      </c>
      <c r="I15658" t="s">
        <v>2188</v>
      </c>
      <c r="J15658" s="10">
        <v>5</v>
      </c>
      <c r="K15658" t="b">
        <v>1</v>
      </c>
    </row>
    <row r="15659" spans="1:11">
      <c r="A15659" s="12">
        <v>43598</v>
      </c>
      <c r="B15659">
        <v>2019</v>
      </c>
      <c r="C15659">
        <v>5</v>
      </c>
      <c r="D15659" s="11">
        <v>43586</v>
      </c>
      <c r="E15659" t="s">
        <v>2177</v>
      </c>
      <c r="F15659">
        <v>1</v>
      </c>
      <c r="G15659" t="s">
        <v>61</v>
      </c>
      <c r="H15659" t="s">
        <v>41</v>
      </c>
      <c r="I15659" t="s">
        <v>2189</v>
      </c>
      <c r="J15659" s="10">
        <v>4.527</v>
      </c>
      <c r="K15659" t="b">
        <v>1</v>
      </c>
    </row>
    <row r="15660" spans="1:11">
      <c r="A15660" s="12">
        <v>43598</v>
      </c>
      <c r="B15660">
        <v>2019</v>
      </c>
      <c r="C15660">
        <v>5</v>
      </c>
      <c r="D15660" s="11">
        <v>43586</v>
      </c>
      <c r="E15660" t="s">
        <v>2177</v>
      </c>
      <c r="F15660">
        <v>1</v>
      </c>
      <c r="G15660" t="s">
        <v>61</v>
      </c>
      <c r="H15660" t="s">
        <v>42</v>
      </c>
      <c r="I15660" t="s">
        <v>2190</v>
      </c>
      <c r="J15660" s="10">
        <v>2</v>
      </c>
      <c r="K15660" t="b">
        <v>1</v>
      </c>
    </row>
    <row r="15661" spans="1:11">
      <c r="A15661" s="12">
        <v>43598</v>
      </c>
      <c r="B15661">
        <v>2019</v>
      </c>
      <c r="C15661">
        <v>5</v>
      </c>
      <c r="D15661" s="11">
        <v>43586</v>
      </c>
      <c r="E15661" t="s">
        <v>2177</v>
      </c>
      <c r="F15661">
        <v>1</v>
      </c>
      <c r="G15661" t="s">
        <v>61</v>
      </c>
      <c r="H15661" t="s">
        <v>43</v>
      </c>
      <c r="I15661" t="s">
        <v>2191</v>
      </c>
      <c r="J15661" s="10">
        <v>26.2</v>
      </c>
      <c r="K15661" t="b">
        <v>1</v>
      </c>
    </row>
    <row r="15662" spans="1:11">
      <c r="A15662" s="12">
        <v>43598</v>
      </c>
      <c r="B15662">
        <v>2019</v>
      </c>
      <c r="C15662">
        <v>5</v>
      </c>
      <c r="D15662" s="11">
        <v>43586</v>
      </c>
      <c r="E15662" t="s">
        <v>2177</v>
      </c>
      <c r="F15662">
        <v>1</v>
      </c>
      <c r="G15662" t="s">
        <v>61</v>
      </c>
      <c r="H15662" t="s">
        <v>44</v>
      </c>
      <c r="I15662" t="s">
        <v>2192</v>
      </c>
      <c r="J15662" s="10">
        <v>11</v>
      </c>
      <c r="K15662" t="b">
        <v>1</v>
      </c>
    </row>
    <row r="15663" spans="1:11">
      <c r="A15663" s="12">
        <v>43598</v>
      </c>
      <c r="B15663">
        <v>2019</v>
      </c>
      <c r="C15663">
        <v>5</v>
      </c>
      <c r="D15663" s="11">
        <v>43586</v>
      </c>
      <c r="E15663" t="s">
        <v>2177</v>
      </c>
      <c r="F15663">
        <v>1</v>
      </c>
      <c r="G15663" t="s">
        <v>61</v>
      </c>
      <c r="H15663" t="s">
        <v>45</v>
      </c>
      <c r="I15663" t="s">
        <v>2193</v>
      </c>
      <c r="J15663" s="10">
        <v>0</v>
      </c>
      <c r="K15663" t="b">
        <v>1</v>
      </c>
    </row>
    <row r="15664" spans="1:11">
      <c r="A15664" s="12">
        <v>43598</v>
      </c>
      <c r="B15664">
        <v>2019</v>
      </c>
      <c r="C15664">
        <v>5</v>
      </c>
      <c r="D15664" s="11">
        <v>43586</v>
      </c>
      <c r="E15664" t="s">
        <v>2177</v>
      </c>
      <c r="F15664">
        <v>1</v>
      </c>
      <c r="G15664" t="s">
        <v>61</v>
      </c>
      <c r="H15664" t="s">
        <v>46</v>
      </c>
      <c r="I15664" t="s">
        <v>2194</v>
      </c>
      <c r="J15664" s="10">
        <v>11</v>
      </c>
      <c r="K15664" t="b">
        <v>1</v>
      </c>
    </row>
    <row r="15665" spans="1:11">
      <c r="A15665" s="12">
        <v>43598</v>
      </c>
      <c r="B15665">
        <v>2019</v>
      </c>
      <c r="C15665">
        <v>5</v>
      </c>
      <c r="D15665" s="11">
        <v>43586</v>
      </c>
      <c r="E15665" t="s">
        <v>2177</v>
      </c>
      <c r="F15665">
        <v>1</v>
      </c>
      <c r="G15665" t="s">
        <v>61</v>
      </c>
      <c r="H15665" t="s">
        <v>47</v>
      </c>
      <c r="I15665" t="s">
        <v>2195</v>
      </c>
      <c r="J15665" s="10">
        <v>3</v>
      </c>
      <c r="K15665" t="b">
        <v>1</v>
      </c>
    </row>
    <row r="15666" spans="1:11">
      <c r="A15666" s="12">
        <v>43599</v>
      </c>
      <c r="B15666">
        <v>2019</v>
      </c>
      <c r="C15666">
        <v>5</v>
      </c>
      <c r="D15666" s="11">
        <v>43586</v>
      </c>
      <c r="E15666" t="s">
        <v>2177</v>
      </c>
      <c r="F15666">
        <v>2</v>
      </c>
      <c r="G15666" t="s">
        <v>63</v>
      </c>
      <c r="H15666" t="s">
        <v>40</v>
      </c>
      <c r="I15666" t="s">
        <v>2188</v>
      </c>
      <c r="J15666" s="10">
        <v>6.67</v>
      </c>
      <c r="K15666" t="b">
        <v>1</v>
      </c>
    </row>
    <row r="15667" spans="1:11">
      <c r="A15667" s="12">
        <v>43599</v>
      </c>
      <c r="B15667">
        <v>2019</v>
      </c>
      <c r="C15667">
        <v>5</v>
      </c>
      <c r="D15667" s="11">
        <v>43586</v>
      </c>
      <c r="E15667" t="s">
        <v>2177</v>
      </c>
      <c r="F15667">
        <v>2</v>
      </c>
      <c r="G15667" t="s">
        <v>63</v>
      </c>
      <c r="H15667" t="s">
        <v>41</v>
      </c>
      <c r="I15667" t="s">
        <v>2189</v>
      </c>
      <c r="J15667" s="10">
        <v>4.363</v>
      </c>
      <c r="K15667" t="b">
        <v>1</v>
      </c>
    </row>
    <row r="15668" spans="1:11">
      <c r="A15668" s="12">
        <v>43599</v>
      </c>
      <c r="B15668">
        <v>2019</v>
      </c>
      <c r="C15668">
        <v>5</v>
      </c>
      <c r="D15668" s="11">
        <v>43586</v>
      </c>
      <c r="E15668" t="s">
        <v>2177</v>
      </c>
      <c r="F15668">
        <v>2</v>
      </c>
      <c r="G15668" t="s">
        <v>63</v>
      </c>
      <c r="H15668" t="s">
        <v>42</v>
      </c>
      <c r="I15668" t="s">
        <v>2190</v>
      </c>
      <c r="J15668" s="10">
        <v>4</v>
      </c>
      <c r="K15668" t="b">
        <v>1</v>
      </c>
    </row>
    <row r="15669" spans="1:11">
      <c r="A15669" s="12">
        <v>43599</v>
      </c>
      <c r="B15669">
        <v>2019</v>
      </c>
      <c r="C15669">
        <v>5</v>
      </c>
      <c r="D15669" s="11">
        <v>43586</v>
      </c>
      <c r="E15669" t="s">
        <v>2177</v>
      </c>
      <c r="F15669">
        <v>2</v>
      </c>
      <c r="G15669" t="s">
        <v>63</v>
      </c>
      <c r="H15669" t="s">
        <v>43</v>
      </c>
      <c r="I15669" t="s">
        <v>2191</v>
      </c>
      <c r="J15669" s="10">
        <v>25</v>
      </c>
      <c r="K15669" t="b">
        <v>1</v>
      </c>
    </row>
    <row r="15670" spans="1:11">
      <c r="A15670" s="12">
        <v>43599</v>
      </c>
      <c r="B15670">
        <v>2019</v>
      </c>
      <c r="C15670">
        <v>5</v>
      </c>
      <c r="D15670" s="11">
        <v>43586</v>
      </c>
      <c r="E15670" t="s">
        <v>2177</v>
      </c>
      <c r="F15670">
        <v>2</v>
      </c>
      <c r="G15670" t="s">
        <v>63</v>
      </c>
      <c r="H15670" t="s">
        <v>44</v>
      </c>
      <c r="I15670" t="s">
        <v>2192</v>
      </c>
      <c r="J15670" s="10">
        <v>5</v>
      </c>
      <c r="K15670" t="b">
        <v>1</v>
      </c>
    </row>
    <row r="15671" spans="1:11">
      <c r="A15671" s="12">
        <v>43599</v>
      </c>
      <c r="B15671">
        <v>2019</v>
      </c>
      <c r="C15671">
        <v>5</v>
      </c>
      <c r="D15671" s="11">
        <v>43586</v>
      </c>
      <c r="E15671" t="s">
        <v>2177</v>
      </c>
      <c r="F15671">
        <v>2</v>
      </c>
      <c r="G15671" t="s">
        <v>63</v>
      </c>
      <c r="H15671" t="s">
        <v>45</v>
      </c>
      <c r="I15671" t="s">
        <v>2193</v>
      </c>
      <c r="J15671" s="10">
        <v>0</v>
      </c>
      <c r="K15671" t="b">
        <v>1</v>
      </c>
    </row>
    <row r="15672" spans="1:11">
      <c r="A15672" s="12">
        <v>43599</v>
      </c>
      <c r="B15672">
        <v>2019</v>
      </c>
      <c r="C15672">
        <v>5</v>
      </c>
      <c r="D15672" s="11">
        <v>43586</v>
      </c>
      <c r="E15672" t="s">
        <v>2177</v>
      </c>
      <c r="F15672">
        <v>2</v>
      </c>
      <c r="G15672" t="s">
        <v>63</v>
      </c>
      <c r="H15672" t="s">
        <v>46</v>
      </c>
      <c r="I15672" t="s">
        <v>2194</v>
      </c>
      <c r="J15672" s="10">
        <v>11</v>
      </c>
      <c r="K15672" t="b">
        <v>1</v>
      </c>
    </row>
    <row r="15673" spans="1:11">
      <c r="A15673" s="12">
        <v>43599</v>
      </c>
      <c r="B15673">
        <v>2019</v>
      </c>
      <c r="C15673">
        <v>5</v>
      </c>
      <c r="D15673" s="11">
        <v>43586</v>
      </c>
      <c r="E15673" t="s">
        <v>2177</v>
      </c>
      <c r="F15673">
        <v>2</v>
      </c>
      <c r="G15673" t="s">
        <v>63</v>
      </c>
      <c r="H15673" t="s">
        <v>47</v>
      </c>
      <c r="I15673" t="s">
        <v>2195</v>
      </c>
      <c r="J15673" s="10">
        <v>3</v>
      </c>
      <c r="K15673" t="b">
        <v>1</v>
      </c>
    </row>
    <row r="15674" spans="1:11">
      <c r="A15674" s="12">
        <v>43600</v>
      </c>
      <c r="B15674">
        <v>2019</v>
      </c>
      <c r="C15674">
        <v>5</v>
      </c>
      <c r="D15674" s="11">
        <v>43586</v>
      </c>
      <c r="E15674" t="s">
        <v>2177</v>
      </c>
      <c r="F15674">
        <v>3</v>
      </c>
      <c r="G15674" t="s">
        <v>65</v>
      </c>
      <c r="H15674" t="s">
        <v>40</v>
      </c>
      <c r="I15674" t="s">
        <v>2188</v>
      </c>
      <c r="J15674" s="10">
        <v>4</v>
      </c>
      <c r="K15674" t="b">
        <v>1</v>
      </c>
    </row>
    <row r="15675" spans="1:11">
      <c r="A15675" s="12">
        <v>43600</v>
      </c>
      <c r="B15675">
        <v>2019</v>
      </c>
      <c r="C15675">
        <v>5</v>
      </c>
      <c r="D15675" s="11">
        <v>43586</v>
      </c>
      <c r="E15675" t="s">
        <v>2177</v>
      </c>
      <c r="F15675">
        <v>3</v>
      </c>
      <c r="G15675" t="s">
        <v>65</v>
      </c>
      <c r="H15675" t="s">
        <v>41</v>
      </c>
      <c r="I15675" t="s">
        <v>2189</v>
      </c>
      <c r="J15675" s="10">
        <v>1.066</v>
      </c>
      <c r="K15675" t="b">
        <v>1</v>
      </c>
    </row>
    <row r="15676" spans="1:11">
      <c r="A15676" s="12">
        <v>43600</v>
      </c>
      <c r="B15676">
        <v>2019</v>
      </c>
      <c r="C15676">
        <v>5</v>
      </c>
      <c r="D15676" s="11">
        <v>43586</v>
      </c>
      <c r="E15676" t="s">
        <v>2177</v>
      </c>
      <c r="F15676">
        <v>3</v>
      </c>
      <c r="G15676" t="s">
        <v>65</v>
      </c>
      <c r="H15676" t="s">
        <v>42</v>
      </c>
      <c r="I15676" t="s">
        <v>2190</v>
      </c>
      <c r="J15676" s="10">
        <v>4.15</v>
      </c>
      <c r="K15676" t="b">
        <v>1</v>
      </c>
    </row>
    <row r="15677" spans="1:11">
      <c r="A15677" s="12">
        <v>43600</v>
      </c>
      <c r="B15677">
        <v>2019</v>
      </c>
      <c r="C15677">
        <v>5</v>
      </c>
      <c r="D15677" s="11">
        <v>43586</v>
      </c>
      <c r="E15677" t="s">
        <v>2177</v>
      </c>
      <c r="F15677">
        <v>3</v>
      </c>
      <c r="G15677" t="s">
        <v>65</v>
      </c>
      <c r="H15677" t="s">
        <v>43</v>
      </c>
      <c r="I15677" t="s">
        <v>2191</v>
      </c>
      <c r="J15677" s="10">
        <v>28.4</v>
      </c>
      <c r="K15677" t="b">
        <v>1</v>
      </c>
    </row>
    <row r="15678" spans="1:11">
      <c r="A15678" s="12">
        <v>43600</v>
      </c>
      <c r="B15678">
        <v>2019</v>
      </c>
      <c r="C15678">
        <v>5</v>
      </c>
      <c r="D15678" s="11">
        <v>43586</v>
      </c>
      <c r="E15678" t="s">
        <v>2177</v>
      </c>
      <c r="F15678">
        <v>3</v>
      </c>
      <c r="G15678" t="s">
        <v>65</v>
      </c>
      <c r="H15678" t="s">
        <v>44</v>
      </c>
      <c r="I15678" t="s">
        <v>2192</v>
      </c>
      <c r="J15678" s="10">
        <v>7</v>
      </c>
      <c r="K15678" t="b">
        <v>1</v>
      </c>
    </row>
    <row r="15679" spans="1:11">
      <c r="A15679" s="12">
        <v>43600</v>
      </c>
      <c r="B15679">
        <v>2019</v>
      </c>
      <c r="C15679">
        <v>5</v>
      </c>
      <c r="D15679" s="11">
        <v>43586</v>
      </c>
      <c r="E15679" t="s">
        <v>2177</v>
      </c>
      <c r="F15679">
        <v>3</v>
      </c>
      <c r="G15679" t="s">
        <v>65</v>
      </c>
      <c r="H15679" t="s">
        <v>45</v>
      </c>
      <c r="I15679" t="s">
        <v>2193</v>
      </c>
      <c r="J15679" s="10">
        <v>0</v>
      </c>
      <c r="K15679" t="b">
        <v>1</v>
      </c>
    </row>
    <row r="15680" spans="1:11">
      <c r="A15680" s="12">
        <v>43600</v>
      </c>
      <c r="B15680">
        <v>2019</v>
      </c>
      <c r="C15680">
        <v>5</v>
      </c>
      <c r="D15680" s="11">
        <v>43586</v>
      </c>
      <c r="E15680" t="s">
        <v>2177</v>
      </c>
      <c r="F15680">
        <v>3</v>
      </c>
      <c r="G15680" t="s">
        <v>65</v>
      </c>
      <c r="H15680" t="s">
        <v>46</v>
      </c>
      <c r="I15680" t="s">
        <v>2194</v>
      </c>
      <c r="J15680" s="10">
        <v>5</v>
      </c>
      <c r="K15680" t="b">
        <v>1</v>
      </c>
    </row>
    <row r="15681" spans="1:11">
      <c r="A15681" s="12">
        <v>43600</v>
      </c>
      <c r="B15681">
        <v>2019</v>
      </c>
      <c r="C15681">
        <v>5</v>
      </c>
      <c r="D15681" s="11">
        <v>43586</v>
      </c>
      <c r="E15681" t="s">
        <v>2177</v>
      </c>
      <c r="F15681">
        <v>3</v>
      </c>
      <c r="G15681" t="s">
        <v>65</v>
      </c>
      <c r="H15681" t="s">
        <v>47</v>
      </c>
      <c r="I15681" t="s">
        <v>2195</v>
      </c>
      <c r="J15681" s="10">
        <v>3</v>
      </c>
      <c r="K15681" t="b">
        <v>1</v>
      </c>
    </row>
    <row r="15682" spans="1:11">
      <c r="A15682" s="12">
        <v>43601</v>
      </c>
      <c r="B15682">
        <v>2019</v>
      </c>
      <c r="C15682">
        <v>5</v>
      </c>
      <c r="D15682" s="11">
        <v>43586</v>
      </c>
      <c r="E15682" t="s">
        <v>2177</v>
      </c>
      <c r="F15682">
        <v>4</v>
      </c>
      <c r="G15682" t="s">
        <v>53</v>
      </c>
      <c r="H15682" t="s">
        <v>40</v>
      </c>
      <c r="I15682" t="s">
        <v>2188</v>
      </c>
      <c r="J15682" s="10">
        <v>5</v>
      </c>
      <c r="K15682" t="b">
        <v>1</v>
      </c>
    </row>
    <row r="15683" spans="1:11">
      <c r="A15683" s="12">
        <v>43601</v>
      </c>
      <c r="B15683">
        <v>2019</v>
      </c>
      <c r="C15683">
        <v>5</v>
      </c>
      <c r="D15683" s="11">
        <v>43586</v>
      </c>
      <c r="E15683" t="s">
        <v>2177</v>
      </c>
      <c r="F15683">
        <v>4</v>
      </c>
      <c r="G15683" t="s">
        <v>53</v>
      </c>
      <c r="H15683" t="s">
        <v>41</v>
      </c>
      <c r="I15683" t="s">
        <v>2189</v>
      </c>
      <c r="J15683" s="10">
        <v>1.067</v>
      </c>
      <c r="K15683" t="b">
        <v>1</v>
      </c>
    </row>
    <row r="15684" spans="1:11">
      <c r="A15684" s="12">
        <v>43601</v>
      </c>
      <c r="B15684">
        <v>2019</v>
      </c>
      <c r="C15684">
        <v>5</v>
      </c>
      <c r="D15684" s="11">
        <v>43586</v>
      </c>
      <c r="E15684" t="s">
        <v>2177</v>
      </c>
      <c r="F15684">
        <v>4</v>
      </c>
      <c r="G15684" t="s">
        <v>53</v>
      </c>
      <c r="H15684" t="s">
        <v>42</v>
      </c>
      <c r="I15684" t="s">
        <v>2190</v>
      </c>
      <c r="J15684" s="10">
        <v>2</v>
      </c>
      <c r="K15684" t="b">
        <v>1</v>
      </c>
    </row>
    <row r="15685" spans="1:11">
      <c r="A15685" s="12">
        <v>43601</v>
      </c>
      <c r="B15685">
        <v>2019</v>
      </c>
      <c r="C15685">
        <v>5</v>
      </c>
      <c r="D15685" s="11">
        <v>43586</v>
      </c>
      <c r="E15685" t="s">
        <v>2177</v>
      </c>
      <c r="F15685">
        <v>4</v>
      </c>
      <c r="G15685" t="s">
        <v>53</v>
      </c>
      <c r="H15685" t="s">
        <v>43</v>
      </c>
      <c r="I15685" t="s">
        <v>2191</v>
      </c>
      <c r="J15685" s="10">
        <v>12</v>
      </c>
      <c r="K15685" t="b">
        <v>1</v>
      </c>
    </row>
    <row r="15686" spans="1:11">
      <c r="A15686" s="12">
        <v>43601</v>
      </c>
      <c r="B15686">
        <v>2019</v>
      </c>
      <c r="C15686">
        <v>5</v>
      </c>
      <c r="D15686" s="11">
        <v>43586</v>
      </c>
      <c r="E15686" t="s">
        <v>2177</v>
      </c>
      <c r="F15686">
        <v>4</v>
      </c>
      <c r="G15686" t="s">
        <v>53</v>
      </c>
      <c r="H15686" t="s">
        <v>44</v>
      </c>
      <c r="I15686" t="s">
        <v>2192</v>
      </c>
      <c r="J15686" s="10">
        <v>9</v>
      </c>
      <c r="K15686" t="b">
        <v>1</v>
      </c>
    </row>
    <row r="15687" spans="1:11">
      <c r="A15687" s="12">
        <v>43601</v>
      </c>
      <c r="B15687">
        <v>2019</v>
      </c>
      <c r="C15687">
        <v>5</v>
      </c>
      <c r="D15687" s="11">
        <v>43586</v>
      </c>
      <c r="E15687" t="s">
        <v>2177</v>
      </c>
      <c r="F15687">
        <v>4</v>
      </c>
      <c r="G15687" t="s">
        <v>53</v>
      </c>
      <c r="H15687" t="s">
        <v>45</v>
      </c>
      <c r="I15687" t="s">
        <v>2193</v>
      </c>
      <c r="J15687" s="10">
        <v>1</v>
      </c>
      <c r="K15687" t="b">
        <v>1</v>
      </c>
    </row>
    <row r="15688" spans="1:11">
      <c r="A15688" s="12">
        <v>43601</v>
      </c>
      <c r="B15688">
        <v>2019</v>
      </c>
      <c r="C15688">
        <v>5</v>
      </c>
      <c r="D15688" s="11">
        <v>43586</v>
      </c>
      <c r="E15688" t="s">
        <v>2177</v>
      </c>
      <c r="F15688">
        <v>4</v>
      </c>
      <c r="G15688" t="s">
        <v>53</v>
      </c>
      <c r="H15688" t="s">
        <v>46</v>
      </c>
      <c r="I15688" t="s">
        <v>2194</v>
      </c>
      <c r="J15688" s="10">
        <v>16.29166667</v>
      </c>
      <c r="K15688" t="b">
        <v>1</v>
      </c>
    </row>
    <row r="15689" spans="1:11">
      <c r="A15689" s="12">
        <v>43601</v>
      </c>
      <c r="B15689">
        <v>2019</v>
      </c>
      <c r="C15689">
        <v>5</v>
      </c>
      <c r="D15689" s="11">
        <v>43586</v>
      </c>
      <c r="E15689" t="s">
        <v>2177</v>
      </c>
      <c r="F15689">
        <v>4</v>
      </c>
      <c r="G15689" t="s">
        <v>53</v>
      </c>
      <c r="H15689" t="s">
        <v>47</v>
      </c>
      <c r="I15689" t="s">
        <v>2195</v>
      </c>
      <c r="J15689" s="10">
        <v>5</v>
      </c>
      <c r="K15689" t="b">
        <v>1</v>
      </c>
    </row>
    <row r="15690" spans="1:11">
      <c r="A15690" s="12">
        <v>43602</v>
      </c>
      <c r="B15690">
        <v>2019</v>
      </c>
      <c r="C15690">
        <v>5</v>
      </c>
      <c r="D15690" s="11">
        <v>43586</v>
      </c>
      <c r="E15690" t="s">
        <v>2177</v>
      </c>
      <c r="F15690">
        <v>5</v>
      </c>
      <c r="G15690" t="s">
        <v>55</v>
      </c>
      <c r="H15690" t="s">
        <v>40</v>
      </c>
      <c r="I15690" t="s">
        <v>2188</v>
      </c>
      <c r="J15690" s="10">
        <v>2.66</v>
      </c>
      <c r="K15690" t="b">
        <v>1</v>
      </c>
    </row>
    <row r="15691" spans="1:11">
      <c r="A15691" s="12">
        <v>43602</v>
      </c>
      <c r="B15691">
        <v>2019</v>
      </c>
      <c r="C15691">
        <v>5</v>
      </c>
      <c r="D15691" s="11">
        <v>43586</v>
      </c>
      <c r="E15691" t="s">
        <v>2177</v>
      </c>
      <c r="F15691">
        <v>5</v>
      </c>
      <c r="G15691" t="s">
        <v>55</v>
      </c>
      <c r="H15691" t="s">
        <v>41</v>
      </c>
      <c r="I15691" t="s">
        <v>2189</v>
      </c>
      <c r="J15691" s="10">
        <v>1.66</v>
      </c>
      <c r="K15691" t="b">
        <v>1</v>
      </c>
    </row>
    <row r="15692" spans="1:11">
      <c r="A15692" s="12">
        <v>43602</v>
      </c>
      <c r="B15692">
        <v>2019</v>
      </c>
      <c r="C15692">
        <v>5</v>
      </c>
      <c r="D15692" s="11">
        <v>43586</v>
      </c>
      <c r="E15692" t="s">
        <v>2177</v>
      </c>
      <c r="F15692">
        <v>5</v>
      </c>
      <c r="G15692" t="s">
        <v>55</v>
      </c>
      <c r="H15692" t="s">
        <v>42</v>
      </c>
      <c r="I15692" t="s">
        <v>2190</v>
      </c>
      <c r="J15692" s="10">
        <v>2.4</v>
      </c>
      <c r="K15692" t="b">
        <v>1</v>
      </c>
    </row>
    <row r="15693" spans="1:11">
      <c r="A15693" s="12">
        <v>43602</v>
      </c>
      <c r="B15693">
        <v>2019</v>
      </c>
      <c r="C15693">
        <v>5</v>
      </c>
      <c r="D15693" s="11">
        <v>43586</v>
      </c>
      <c r="E15693" t="s">
        <v>2177</v>
      </c>
      <c r="F15693">
        <v>5</v>
      </c>
      <c r="G15693" t="s">
        <v>55</v>
      </c>
      <c r="H15693" t="s">
        <v>43</v>
      </c>
      <c r="I15693" t="s">
        <v>2191</v>
      </c>
      <c r="J15693" s="10">
        <v>28</v>
      </c>
      <c r="K15693" t="b">
        <v>1</v>
      </c>
    </row>
    <row r="15694" spans="1:11">
      <c r="A15694" s="12">
        <v>43602</v>
      </c>
      <c r="B15694">
        <v>2019</v>
      </c>
      <c r="C15694">
        <v>5</v>
      </c>
      <c r="D15694" s="11">
        <v>43586</v>
      </c>
      <c r="E15694" t="s">
        <v>2177</v>
      </c>
      <c r="F15694">
        <v>5</v>
      </c>
      <c r="G15694" t="s">
        <v>55</v>
      </c>
      <c r="H15694" t="s">
        <v>44</v>
      </c>
      <c r="I15694" t="s">
        <v>2192</v>
      </c>
      <c r="J15694" s="10">
        <v>18</v>
      </c>
      <c r="K15694" t="b">
        <v>1</v>
      </c>
    </row>
    <row r="15695" spans="1:11">
      <c r="A15695" s="12">
        <v>43602</v>
      </c>
      <c r="B15695">
        <v>2019</v>
      </c>
      <c r="C15695">
        <v>5</v>
      </c>
      <c r="D15695" s="11">
        <v>43586</v>
      </c>
      <c r="E15695" t="s">
        <v>2177</v>
      </c>
      <c r="F15695">
        <v>5</v>
      </c>
      <c r="G15695" t="s">
        <v>55</v>
      </c>
      <c r="H15695" t="s">
        <v>45</v>
      </c>
      <c r="I15695" t="s">
        <v>2193</v>
      </c>
      <c r="J15695" s="10">
        <v>2</v>
      </c>
      <c r="K15695" t="b">
        <v>1</v>
      </c>
    </row>
    <row r="15696" spans="1:11">
      <c r="A15696" s="12">
        <v>43602</v>
      </c>
      <c r="B15696">
        <v>2019</v>
      </c>
      <c r="C15696">
        <v>5</v>
      </c>
      <c r="D15696" s="11">
        <v>43586</v>
      </c>
      <c r="E15696" t="s">
        <v>2177</v>
      </c>
      <c r="F15696">
        <v>5</v>
      </c>
      <c r="G15696" t="s">
        <v>55</v>
      </c>
      <c r="H15696" t="s">
        <v>46</v>
      </c>
      <c r="I15696" t="s">
        <v>2194</v>
      </c>
      <c r="J15696" s="10">
        <v>4</v>
      </c>
      <c r="K15696" t="b">
        <v>1</v>
      </c>
    </row>
    <row r="15697" spans="1:11">
      <c r="A15697" s="12">
        <v>43602</v>
      </c>
      <c r="B15697">
        <v>2019</v>
      </c>
      <c r="C15697">
        <v>5</v>
      </c>
      <c r="D15697" s="11">
        <v>43586</v>
      </c>
      <c r="E15697" t="s">
        <v>2177</v>
      </c>
      <c r="F15697">
        <v>5</v>
      </c>
      <c r="G15697" t="s">
        <v>55</v>
      </c>
      <c r="H15697" t="s">
        <v>47</v>
      </c>
      <c r="I15697" t="s">
        <v>2195</v>
      </c>
      <c r="J15697" s="10">
        <v>2.2</v>
      </c>
      <c r="K15697" t="b">
        <v>1</v>
      </c>
    </row>
    <row r="15698" spans="1:11">
      <c r="A15698" s="12">
        <v>43603</v>
      </c>
      <c r="B15698">
        <v>2019</v>
      </c>
      <c r="C15698">
        <v>5</v>
      </c>
      <c r="D15698" s="11">
        <v>43586</v>
      </c>
      <c r="E15698" t="s">
        <v>2177</v>
      </c>
      <c r="F15698">
        <v>6</v>
      </c>
      <c r="G15698" t="s">
        <v>57</v>
      </c>
      <c r="H15698" t="s">
        <v>40</v>
      </c>
      <c r="I15698" t="s">
        <v>2188</v>
      </c>
      <c r="J15698" s="10">
        <v>10</v>
      </c>
      <c r="K15698" t="b">
        <v>1</v>
      </c>
    </row>
    <row r="15699" spans="1:11">
      <c r="A15699" s="12">
        <v>43603</v>
      </c>
      <c r="B15699">
        <v>2019</v>
      </c>
      <c r="C15699">
        <v>5</v>
      </c>
      <c r="D15699" s="11">
        <v>43586</v>
      </c>
      <c r="E15699" t="s">
        <v>2177</v>
      </c>
      <c r="F15699">
        <v>6</v>
      </c>
      <c r="G15699" t="s">
        <v>57</v>
      </c>
      <c r="H15699" t="s">
        <v>41</v>
      </c>
      <c r="I15699" t="s">
        <v>2189</v>
      </c>
      <c r="J15699" s="10">
        <v>0.34</v>
      </c>
      <c r="K15699" t="b">
        <v>1</v>
      </c>
    </row>
    <row r="15700" spans="1:11">
      <c r="A15700" s="12">
        <v>43603</v>
      </c>
      <c r="B15700">
        <v>2019</v>
      </c>
      <c r="C15700">
        <v>5</v>
      </c>
      <c r="D15700" s="11">
        <v>43586</v>
      </c>
      <c r="E15700" t="s">
        <v>2177</v>
      </c>
      <c r="F15700">
        <v>6</v>
      </c>
      <c r="G15700" t="s">
        <v>57</v>
      </c>
      <c r="H15700" t="s">
        <v>42</v>
      </c>
      <c r="I15700" t="s">
        <v>2190</v>
      </c>
      <c r="J15700" s="10">
        <v>5.1</v>
      </c>
      <c r="K15700" t="b">
        <v>1</v>
      </c>
    </row>
    <row r="15701" spans="1:11">
      <c r="A15701" s="12">
        <v>43603</v>
      </c>
      <c r="B15701">
        <v>2019</v>
      </c>
      <c r="C15701">
        <v>5</v>
      </c>
      <c r="D15701" s="11">
        <v>43586</v>
      </c>
      <c r="E15701" t="s">
        <v>2177</v>
      </c>
      <c r="F15701">
        <v>6</v>
      </c>
      <c r="G15701" t="s">
        <v>57</v>
      </c>
      <c r="H15701" t="s">
        <v>43</v>
      </c>
      <c r="I15701" t="s">
        <v>2191</v>
      </c>
      <c r="J15701" s="10">
        <v>14</v>
      </c>
      <c r="K15701" t="b">
        <v>1</v>
      </c>
    </row>
    <row r="15702" spans="1:11">
      <c r="A15702" s="12">
        <v>43603</v>
      </c>
      <c r="B15702">
        <v>2019</v>
      </c>
      <c r="C15702">
        <v>5</v>
      </c>
      <c r="D15702" s="11">
        <v>43586</v>
      </c>
      <c r="E15702" t="s">
        <v>2177</v>
      </c>
      <c r="F15702">
        <v>6</v>
      </c>
      <c r="G15702" t="s">
        <v>57</v>
      </c>
      <c r="H15702" t="s">
        <v>44</v>
      </c>
      <c r="I15702" t="s">
        <v>2192</v>
      </c>
      <c r="J15702" s="10">
        <v>9</v>
      </c>
      <c r="K15702" t="b">
        <v>1</v>
      </c>
    </row>
    <row r="15703" spans="1:11">
      <c r="A15703" s="12">
        <v>43603</v>
      </c>
      <c r="B15703">
        <v>2019</v>
      </c>
      <c r="C15703">
        <v>5</v>
      </c>
      <c r="D15703" s="11">
        <v>43586</v>
      </c>
      <c r="E15703" t="s">
        <v>2177</v>
      </c>
      <c r="F15703">
        <v>6</v>
      </c>
      <c r="G15703" t="s">
        <v>57</v>
      </c>
      <c r="H15703" t="s">
        <v>45</v>
      </c>
      <c r="I15703" t="s">
        <v>2193</v>
      </c>
      <c r="J15703" s="10">
        <v>2</v>
      </c>
      <c r="K15703" t="b">
        <v>1</v>
      </c>
    </row>
    <row r="15704" spans="1:11">
      <c r="A15704" s="12">
        <v>43603</v>
      </c>
      <c r="B15704">
        <v>2019</v>
      </c>
      <c r="C15704">
        <v>5</v>
      </c>
      <c r="D15704" s="11">
        <v>43586</v>
      </c>
      <c r="E15704" t="s">
        <v>2177</v>
      </c>
      <c r="F15704">
        <v>6</v>
      </c>
      <c r="G15704" t="s">
        <v>57</v>
      </c>
      <c r="H15704" t="s">
        <v>46</v>
      </c>
      <c r="I15704" t="s">
        <v>2194</v>
      </c>
      <c r="J15704" s="10">
        <v>5</v>
      </c>
      <c r="K15704" t="b">
        <v>1</v>
      </c>
    </row>
    <row r="15705" spans="1:11">
      <c r="A15705" s="12">
        <v>43603</v>
      </c>
      <c r="B15705">
        <v>2019</v>
      </c>
      <c r="C15705">
        <v>5</v>
      </c>
      <c r="D15705" s="11">
        <v>43586</v>
      </c>
      <c r="E15705" t="s">
        <v>2177</v>
      </c>
      <c r="F15705">
        <v>6</v>
      </c>
      <c r="G15705" t="s">
        <v>57</v>
      </c>
      <c r="H15705" t="s">
        <v>47</v>
      </c>
      <c r="I15705" t="s">
        <v>2195</v>
      </c>
      <c r="J15705" s="10">
        <v>3</v>
      </c>
      <c r="K15705" t="b">
        <v>1</v>
      </c>
    </row>
    <row r="15706" spans="1:11">
      <c r="A15706" s="12">
        <v>43604</v>
      </c>
      <c r="B15706">
        <v>2019</v>
      </c>
      <c r="C15706">
        <v>5</v>
      </c>
      <c r="D15706" s="11">
        <v>43586</v>
      </c>
      <c r="E15706" t="s">
        <v>2177</v>
      </c>
      <c r="F15706">
        <v>7</v>
      </c>
      <c r="G15706" t="s">
        <v>59</v>
      </c>
      <c r="H15706" t="s">
        <v>40</v>
      </c>
      <c r="I15706" t="s">
        <v>2188</v>
      </c>
      <c r="J15706" s="10">
        <v>6.67</v>
      </c>
      <c r="K15706" t="b">
        <v>1</v>
      </c>
    </row>
    <row r="15707" spans="1:11">
      <c r="A15707" s="12">
        <v>43604</v>
      </c>
      <c r="B15707">
        <v>2019</v>
      </c>
      <c r="C15707">
        <v>5</v>
      </c>
      <c r="D15707" s="11">
        <v>43586</v>
      </c>
      <c r="E15707" t="s">
        <v>2177</v>
      </c>
      <c r="F15707">
        <v>7</v>
      </c>
      <c r="G15707" t="s">
        <v>59</v>
      </c>
      <c r="H15707" t="s">
        <v>41</v>
      </c>
      <c r="I15707" t="s">
        <v>2189</v>
      </c>
      <c r="J15707" s="10">
        <v>5</v>
      </c>
      <c r="K15707" t="b">
        <v>1</v>
      </c>
    </row>
    <row r="15708" spans="1:11">
      <c r="A15708" s="12">
        <v>43604</v>
      </c>
      <c r="B15708">
        <v>2019</v>
      </c>
      <c r="C15708">
        <v>5</v>
      </c>
      <c r="D15708" s="11">
        <v>43586</v>
      </c>
      <c r="E15708" t="s">
        <v>2177</v>
      </c>
      <c r="F15708">
        <v>7</v>
      </c>
      <c r="G15708" t="s">
        <v>59</v>
      </c>
      <c r="H15708" t="s">
        <v>42</v>
      </c>
      <c r="I15708" t="s">
        <v>2190</v>
      </c>
      <c r="J15708" s="10">
        <v>4</v>
      </c>
      <c r="K15708" t="b">
        <v>1</v>
      </c>
    </row>
    <row r="15709" spans="1:11">
      <c r="A15709" s="12">
        <v>43604</v>
      </c>
      <c r="B15709">
        <v>2019</v>
      </c>
      <c r="C15709">
        <v>5</v>
      </c>
      <c r="D15709" s="11">
        <v>43586</v>
      </c>
      <c r="E15709" t="s">
        <v>2177</v>
      </c>
      <c r="F15709">
        <v>7</v>
      </c>
      <c r="G15709" t="s">
        <v>59</v>
      </c>
      <c r="H15709" t="s">
        <v>43</v>
      </c>
      <c r="I15709" t="s">
        <v>2191</v>
      </c>
      <c r="J15709" s="10">
        <v>26.4</v>
      </c>
      <c r="K15709" t="b">
        <v>1</v>
      </c>
    </row>
    <row r="15710" spans="1:11">
      <c r="A15710" s="12">
        <v>43604</v>
      </c>
      <c r="B15710">
        <v>2019</v>
      </c>
      <c r="C15710">
        <v>5</v>
      </c>
      <c r="D15710" s="11">
        <v>43586</v>
      </c>
      <c r="E15710" t="s">
        <v>2177</v>
      </c>
      <c r="F15710">
        <v>7</v>
      </c>
      <c r="G15710" t="s">
        <v>59</v>
      </c>
      <c r="H15710" t="s">
        <v>44</v>
      </c>
      <c r="I15710" t="s">
        <v>2192</v>
      </c>
      <c r="J15710" s="10">
        <v>9</v>
      </c>
      <c r="K15710" t="b">
        <v>1</v>
      </c>
    </row>
    <row r="15711" spans="1:11">
      <c r="A15711" s="12">
        <v>43604</v>
      </c>
      <c r="B15711">
        <v>2019</v>
      </c>
      <c r="C15711">
        <v>5</v>
      </c>
      <c r="D15711" s="11">
        <v>43586</v>
      </c>
      <c r="E15711" t="s">
        <v>2177</v>
      </c>
      <c r="F15711">
        <v>7</v>
      </c>
      <c r="G15711" t="s">
        <v>59</v>
      </c>
      <c r="H15711" t="s">
        <v>45</v>
      </c>
      <c r="I15711" t="s">
        <v>2193</v>
      </c>
      <c r="J15711" s="10">
        <v>0</v>
      </c>
      <c r="K15711" t="b">
        <v>1</v>
      </c>
    </row>
    <row r="15712" spans="1:11">
      <c r="A15712" s="12">
        <v>43604</v>
      </c>
      <c r="B15712">
        <v>2019</v>
      </c>
      <c r="C15712">
        <v>5</v>
      </c>
      <c r="D15712" s="11">
        <v>43586</v>
      </c>
      <c r="E15712" t="s">
        <v>2177</v>
      </c>
      <c r="F15712">
        <v>7</v>
      </c>
      <c r="G15712" t="s">
        <v>59</v>
      </c>
      <c r="H15712" t="s">
        <v>46</v>
      </c>
      <c r="I15712" t="s">
        <v>2194</v>
      </c>
      <c r="J15712" s="10">
        <v>9</v>
      </c>
      <c r="K15712" t="b">
        <v>1</v>
      </c>
    </row>
    <row r="15713" spans="1:11">
      <c r="A15713" s="12">
        <v>43604</v>
      </c>
      <c r="B15713">
        <v>2019</v>
      </c>
      <c r="C15713">
        <v>5</v>
      </c>
      <c r="D15713" s="11">
        <v>43586</v>
      </c>
      <c r="E15713" t="s">
        <v>2177</v>
      </c>
      <c r="F15713">
        <v>7</v>
      </c>
      <c r="G15713" t="s">
        <v>59</v>
      </c>
      <c r="H15713" t="s">
        <v>47</v>
      </c>
      <c r="I15713" t="s">
        <v>2195</v>
      </c>
      <c r="J15713" s="10">
        <v>4.2</v>
      </c>
      <c r="K15713" t="b">
        <v>1</v>
      </c>
    </row>
    <row r="15714" spans="1:11">
      <c r="A15714" s="12">
        <v>43605</v>
      </c>
      <c r="B15714">
        <v>2019</v>
      </c>
      <c r="C15714">
        <v>5</v>
      </c>
      <c r="D15714" s="11">
        <v>43586</v>
      </c>
      <c r="E15714" t="s">
        <v>2177</v>
      </c>
      <c r="F15714">
        <v>1</v>
      </c>
      <c r="G15714" t="s">
        <v>61</v>
      </c>
      <c r="H15714" t="s">
        <v>40</v>
      </c>
      <c r="I15714" t="s">
        <v>2188</v>
      </c>
      <c r="J15714" s="10">
        <v>3.67</v>
      </c>
      <c r="K15714" t="b">
        <v>1</v>
      </c>
    </row>
    <row r="15715" spans="1:11">
      <c r="A15715" s="12">
        <v>43605</v>
      </c>
      <c r="B15715">
        <v>2019</v>
      </c>
      <c r="C15715">
        <v>5</v>
      </c>
      <c r="D15715" s="11">
        <v>43586</v>
      </c>
      <c r="E15715" t="s">
        <v>2177</v>
      </c>
      <c r="F15715">
        <v>1</v>
      </c>
      <c r="G15715" t="s">
        <v>61</v>
      </c>
      <c r="H15715" t="s">
        <v>41</v>
      </c>
      <c r="I15715" t="s">
        <v>2189</v>
      </c>
      <c r="J15715" s="10">
        <v>6.396</v>
      </c>
      <c r="K15715" t="b">
        <v>1</v>
      </c>
    </row>
    <row r="15716" spans="1:11">
      <c r="A15716" s="12">
        <v>43605</v>
      </c>
      <c r="B15716">
        <v>2019</v>
      </c>
      <c r="C15716">
        <v>5</v>
      </c>
      <c r="D15716" s="11">
        <v>43586</v>
      </c>
      <c r="E15716" t="s">
        <v>2177</v>
      </c>
      <c r="F15716">
        <v>1</v>
      </c>
      <c r="G15716" t="s">
        <v>61</v>
      </c>
      <c r="H15716" t="s">
        <v>42</v>
      </c>
      <c r="I15716" t="s">
        <v>2190</v>
      </c>
      <c r="J15716" s="10">
        <v>5</v>
      </c>
      <c r="K15716" t="b">
        <v>1</v>
      </c>
    </row>
    <row r="15717" spans="1:11">
      <c r="A15717" s="12">
        <v>43605</v>
      </c>
      <c r="B15717">
        <v>2019</v>
      </c>
      <c r="C15717">
        <v>5</v>
      </c>
      <c r="D15717" s="11">
        <v>43586</v>
      </c>
      <c r="E15717" t="s">
        <v>2177</v>
      </c>
      <c r="F15717">
        <v>1</v>
      </c>
      <c r="G15717" t="s">
        <v>61</v>
      </c>
      <c r="H15717" t="s">
        <v>43</v>
      </c>
      <c r="I15717" t="s">
        <v>2191</v>
      </c>
      <c r="J15717" s="10">
        <v>21.3</v>
      </c>
      <c r="K15717" t="b">
        <v>1</v>
      </c>
    </row>
    <row r="15718" spans="1:11">
      <c r="A15718" s="12">
        <v>43605</v>
      </c>
      <c r="B15718">
        <v>2019</v>
      </c>
      <c r="C15718">
        <v>5</v>
      </c>
      <c r="D15718" s="11">
        <v>43586</v>
      </c>
      <c r="E15718" t="s">
        <v>2177</v>
      </c>
      <c r="F15718">
        <v>1</v>
      </c>
      <c r="G15718" t="s">
        <v>61</v>
      </c>
      <c r="H15718" t="s">
        <v>44</v>
      </c>
      <c r="I15718" t="s">
        <v>2192</v>
      </c>
      <c r="J15718" s="10">
        <v>11</v>
      </c>
      <c r="K15718" t="b">
        <v>1</v>
      </c>
    </row>
    <row r="15719" spans="1:11">
      <c r="A15719" s="12">
        <v>43605</v>
      </c>
      <c r="B15719">
        <v>2019</v>
      </c>
      <c r="C15719">
        <v>5</v>
      </c>
      <c r="D15719" s="11">
        <v>43586</v>
      </c>
      <c r="E15719" t="s">
        <v>2177</v>
      </c>
      <c r="F15719">
        <v>1</v>
      </c>
      <c r="G15719" t="s">
        <v>61</v>
      </c>
      <c r="H15719" t="s">
        <v>45</v>
      </c>
      <c r="I15719" t="s">
        <v>2193</v>
      </c>
      <c r="J15719" s="10">
        <v>4</v>
      </c>
      <c r="K15719" t="b">
        <v>1</v>
      </c>
    </row>
    <row r="15720" spans="1:11">
      <c r="A15720" s="12">
        <v>43605</v>
      </c>
      <c r="B15720">
        <v>2019</v>
      </c>
      <c r="C15720">
        <v>5</v>
      </c>
      <c r="D15720" s="11">
        <v>43586</v>
      </c>
      <c r="E15720" t="s">
        <v>2177</v>
      </c>
      <c r="F15720">
        <v>1</v>
      </c>
      <c r="G15720" t="s">
        <v>61</v>
      </c>
      <c r="H15720" t="s">
        <v>46</v>
      </c>
      <c r="I15720" t="s">
        <v>2194</v>
      </c>
      <c r="J15720" s="10">
        <v>13</v>
      </c>
      <c r="K15720" t="b">
        <v>1</v>
      </c>
    </row>
    <row r="15721" spans="1:11">
      <c r="A15721" s="12">
        <v>43605</v>
      </c>
      <c r="B15721">
        <v>2019</v>
      </c>
      <c r="C15721">
        <v>5</v>
      </c>
      <c r="D15721" s="11">
        <v>43586</v>
      </c>
      <c r="E15721" t="s">
        <v>2177</v>
      </c>
      <c r="F15721">
        <v>1</v>
      </c>
      <c r="G15721" t="s">
        <v>61</v>
      </c>
      <c r="H15721" t="s">
        <v>47</v>
      </c>
      <c r="I15721" t="s">
        <v>2195</v>
      </c>
      <c r="J15721" s="10">
        <v>5</v>
      </c>
      <c r="K15721" t="b">
        <v>1</v>
      </c>
    </row>
    <row r="15722" spans="1:11">
      <c r="A15722" s="12">
        <v>43606</v>
      </c>
      <c r="B15722">
        <v>2019</v>
      </c>
      <c r="C15722">
        <v>5</v>
      </c>
      <c r="D15722" s="11">
        <v>43586</v>
      </c>
      <c r="E15722" t="s">
        <v>2177</v>
      </c>
      <c r="F15722">
        <v>2</v>
      </c>
      <c r="G15722" t="s">
        <v>63</v>
      </c>
      <c r="H15722" t="s">
        <v>40</v>
      </c>
      <c r="I15722" t="s">
        <v>2188</v>
      </c>
      <c r="J15722" s="10">
        <v>5.34</v>
      </c>
      <c r="K15722" t="b">
        <v>1</v>
      </c>
    </row>
    <row r="15723" spans="1:11">
      <c r="A15723" s="12">
        <v>43606</v>
      </c>
      <c r="B15723">
        <v>2019</v>
      </c>
      <c r="C15723">
        <v>5</v>
      </c>
      <c r="D15723" s="11">
        <v>43586</v>
      </c>
      <c r="E15723" t="s">
        <v>2177</v>
      </c>
      <c r="F15723">
        <v>2</v>
      </c>
      <c r="G15723" t="s">
        <v>63</v>
      </c>
      <c r="H15723" t="s">
        <v>41</v>
      </c>
      <c r="I15723" t="s">
        <v>2189</v>
      </c>
      <c r="J15723" s="10">
        <v>4</v>
      </c>
      <c r="K15723" t="b">
        <v>1</v>
      </c>
    </row>
    <row r="15724" spans="1:11">
      <c r="A15724" s="12">
        <v>43606</v>
      </c>
      <c r="B15724">
        <v>2019</v>
      </c>
      <c r="C15724">
        <v>5</v>
      </c>
      <c r="D15724" s="11">
        <v>43586</v>
      </c>
      <c r="E15724" t="s">
        <v>2177</v>
      </c>
      <c r="F15724">
        <v>2</v>
      </c>
      <c r="G15724" t="s">
        <v>63</v>
      </c>
      <c r="H15724" t="s">
        <v>42</v>
      </c>
      <c r="I15724" t="s">
        <v>2190</v>
      </c>
      <c r="J15724" s="10">
        <v>5.1</v>
      </c>
      <c r="K15724" t="b">
        <v>1</v>
      </c>
    </row>
    <row r="15725" spans="1:11">
      <c r="A15725" s="12">
        <v>43606</v>
      </c>
      <c r="B15725">
        <v>2019</v>
      </c>
      <c r="C15725">
        <v>5</v>
      </c>
      <c r="D15725" s="11">
        <v>43586</v>
      </c>
      <c r="E15725" t="s">
        <v>2177</v>
      </c>
      <c r="F15725">
        <v>2</v>
      </c>
      <c r="G15725" t="s">
        <v>63</v>
      </c>
      <c r="H15725" t="s">
        <v>43</v>
      </c>
      <c r="I15725" t="s">
        <v>2191</v>
      </c>
      <c r="J15725" s="10">
        <v>17.6</v>
      </c>
      <c r="K15725" t="b">
        <v>1</v>
      </c>
    </row>
    <row r="15726" spans="1:11">
      <c r="A15726" s="12">
        <v>43606</v>
      </c>
      <c r="B15726">
        <v>2019</v>
      </c>
      <c r="C15726">
        <v>5</v>
      </c>
      <c r="D15726" s="11">
        <v>43586</v>
      </c>
      <c r="E15726" t="s">
        <v>2177</v>
      </c>
      <c r="F15726">
        <v>2</v>
      </c>
      <c r="G15726" t="s">
        <v>63</v>
      </c>
      <c r="H15726" t="s">
        <v>44</v>
      </c>
      <c r="I15726" t="s">
        <v>2192</v>
      </c>
      <c r="J15726" s="10">
        <v>12.2</v>
      </c>
      <c r="K15726" t="b">
        <v>1</v>
      </c>
    </row>
    <row r="15727" spans="1:11">
      <c r="A15727" s="12">
        <v>43606</v>
      </c>
      <c r="B15727">
        <v>2019</v>
      </c>
      <c r="C15727">
        <v>5</v>
      </c>
      <c r="D15727" s="11">
        <v>43586</v>
      </c>
      <c r="E15727" t="s">
        <v>2177</v>
      </c>
      <c r="F15727">
        <v>2</v>
      </c>
      <c r="G15727" t="s">
        <v>63</v>
      </c>
      <c r="H15727" t="s">
        <v>45</v>
      </c>
      <c r="I15727" t="s">
        <v>2193</v>
      </c>
      <c r="J15727" s="10">
        <v>0</v>
      </c>
      <c r="K15727" t="b">
        <v>1</v>
      </c>
    </row>
    <row r="15728" spans="1:11">
      <c r="A15728" s="12">
        <v>43606</v>
      </c>
      <c r="B15728">
        <v>2019</v>
      </c>
      <c r="C15728">
        <v>5</v>
      </c>
      <c r="D15728" s="11">
        <v>43586</v>
      </c>
      <c r="E15728" t="s">
        <v>2177</v>
      </c>
      <c r="F15728">
        <v>2</v>
      </c>
      <c r="G15728" t="s">
        <v>63</v>
      </c>
      <c r="H15728" t="s">
        <v>46</v>
      </c>
      <c r="I15728" t="s">
        <v>2194</v>
      </c>
      <c r="J15728" s="10">
        <v>1</v>
      </c>
      <c r="K15728" t="b">
        <v>1</v>
      </c>
    </row>
    <row r="15729" spans="1:11">
      <c r="A15729" s="12">
        <v>43606</v>
      </c>
      <c r="B15729">
        <v>2019</v>
      </c>
      <c r="C15729">
        <v>5</v>
      </c>
      <c r="D15729" s="11">
        <v>43586</v>
      </c>
      <c r="E15729" t="s">
        <v>2177</v>
      </c>
      <c r="F15729">
        <v>2</v>
      </c>
      <c r="G15729" t="s">
        <v>63</v>
      </c>
      <c r="H15729" t="s">
        <v>47</v>
      </c>
      <c r="I15729" t="s">
        <v>2195</v>
      </c>
      <c r="J15729" s="10">
        <v>7</v>
      </c>
      <c r="K15729" t="b">
        <v>1</v>
      </c>
    </row>
    <row r="15730" spans="1:11">
      <c r="A15730" s="12">
        <v>43607</v>
      </c>
      <c r="B15730">
        <v>2019</v>
      </c>
      <c r="C15730">
        <v>5</v>
      </c>
      <c r="D15730" s="11">
        <v>43586</v>
      </c>
      <c r="E15730" t="s">
        <v>2177</v>
      </c>
      <c r="F15730">
        <v>3</v>
      </c>
      <c r="G15730" t="s">
        <v>65</v>
      </c>
      <c r="H15730" t="s">
        <v>40</v>
      </c>
      <c r="I15730" t="s">
        <v>2188</v>
      </c>
      <c r="J15730" s="10">
        <v>8.16</v>
      </c>
      <c r="K15730" t="b">
        <v>1</v>
      </c>
    </row>
    <row r="15731" spans="1:11">
      <c r="A15731" s="12">
        <v>43607</v>
      </c>
      <c r="B15731">
        <v>2019</v>
      </c>
      <c r="C15731">
        <v>5</v>
      </c>
      <c r="D15731" s="11">
        <v>43586</v>
      </c>
      <c r="E15731" t="s">
        <v>2177</v>
      </c>
      <c r="F15731">
        <v>3</v>
      </c>
      <c r="G15731" t="s">
        <v>65</v>
      </c>
      <c r="H15731" t="s">
        <v>41</v>
      </c>
      <c r="I15731" t="s">
        <v>2189</v>
      </c>
      <c r="J15731" s="10">
        <v>2.836</v>
      </c>
      <c r="K15731" t="b">
        <v>1</v>
      </c>
    </row>
    <row r="15732" spans="1:11">
      <c r="A15732" s="12">
        <v>43607</v>
      </c>
      <c r="B15732">
        <v>2019</v>
      </c>
      <c r="C15732">
        <v>5</v>
      </c>
      <c r="D15732" s="11">
        <v>43586</v>
      </c>
      <c r="E15732" t="s">
        <v>2177</v>
      </c>
      <c r="F15732">
        <v>3</v>
      </c>
      <c r="G15732" t="s">
        <v>65</v>
      </c>
      <c r="H15732" t="s">
        <v>42</v>
      </c>
      <c r="I15732" t="s">
        <v>2190</v>
      </c>
      <c r="J15732" s="10">
        <v>3.15</v>
      </c>
      <c r="K15732" t="b">
        <v>1</v>
      </c>
    </row>
    <row r="15733" spans="1:11">
      <c r="A15733" s="12">
        <v>43607</v>
      </c>
      <c r="B15733">
        <v>2019</v>
      </c>
      <c r="C15733">
        <v>5</v>
      </c>
      <c r="D15733" s="11">
        <v>43586</v>
      </c>
      <c r="E15733" t="s">
        <v>2177</v>
      </c>
      <c r="F15733">
        <v>3</v>
      </c>
      <c r="G15733" t="s">
        <v>65</v>
      </c>
      <c r="H15733" t="s">
        <v>43</v>
      </c>
      <c r="I15733" t="s">
        <v>2191</v>
      </c>
      <c r="J15733" s="10">
        <v>28.2</v>
      </c>
      <c r="K15733" t="b">
        <v>1</v>
      </c>
    </row>
    <row r="15734" spans="1:11">
      <c r="A15734" s="12">
        <v>43607</v>
      </c>
      <c r="B15734">
        <v>2019</v>
      </c>
      <c r="C15734">
        <v>5</v>
      </c>
      <c r="D15734" s="11">
        <v>43586</v>
      </c>
      <c r="E15734" t="s">
        <v>2177</v>
      </c>
      <c r="F15734">
        <v>3</v>
      </c>
      <c r="G15734" t="s">
        <v>65</v>
      </c>
      <c r="H15734" t="s">
        <v>44</v>
      </c>
      <c r="I15734" t="s">
        <v>2192</v>
      </c>
      <c r="J15734" s="10">
        <v>8</v>
      </c>
      <c r="K15734" t="b">
        <v>1</v>
      </c>
    </row>
    <row r="15735" spans="1:11">
      <c r="A15735" s="12">
        <v>43607</v>
      </c>
      <c r="B15735">
        <v>2019</v>
      </c>
      <c r="C15735">
        <v>5</v>
      </c>
      <c r="D15735" s="11">
        <v>43586</v>
      </c>
      <c r="E15735" t="s">
        <v>2177</v>
      </c>
      <c r="F15735">
        <v>3</v>
      </c>
      <c r="G15735" t="s">
        <v>65</v>
      </c>
      <c r="H15735" t="s">
        <v>45</v>
      </c>
      <c r="I15735" t="s">
        <v>2193</v>
      </c>
      <c r="J15735" s="10">
        <v>0</v>
      </c>
      <c r="K15735" t="b">
        <v>1</v>
      </c>
    </row>
    <row r="15736" spans="1:11">
      <c r="A15736" s="12">
        <v>43607</v>
      </c>
      <c r="B15736">
        <v>2019</v>
      </c>
      <c r="C15736">
        <v>5</v>
      </c>
      <c r="D15736" s="11">
        <v>43586</v>
      </c>
      <c r="E15736" t="s">
        <v>2177</v>
      </c>
      <c r="F15736">
        <v>3</v>
      </c>
      <c r="G15736" t="s">
        <v>65</v>
      </c>
      <c r="H15736" t="s">
        <v>46</v>
      </c>
      <c r="I15736" t="s">
        <v>2194</v>
      </c>
      <c r="J15736" s="10">
        <v>9</v>
      </c>
      <c r="K15736" t="b">
        <v>1</v>
      </c>
    </row>
    <row r="15737" spans="1:11">
      <c r="A15737" s="12">
        <v>43607</v>
      </c>
      <c r="B15737">
        <v>2019</v>
      </c>
      <c r="C15737">
        <v>5</v>
      </c>
      <c r="D15737" s="11">
        <v>43586</v>
      </c>
      <c r="E15737" t="s">
        <v>2177</v>
      </c>
      <c r="F15737">
        <v>3</v>
      </c>
      <c r="G15737" t="s">
        <v>65</v>
      </c>
      <c r="H15737" t="s">
        <v>47</v>
      </c>
      <c r="I15737" t="s">
        <v>2195</v>
      </c>
      <c r="J15737" s="10">
        <v>5</v>
      </c>
      <c r="K15737" t="b">
        <v>1</v>
      </c>
    </row>
    <row r="15738" spans="1:11">
      <c r="A15738" s="12">
        <v>43608</v>
      </c>
      <c r="B15738">
        <v>2019</v>
      </c>
      <c r="C15738">
        <v>5</v>
      </c>
      <c r="D15738" s="11">
        <v>43586</v>
      </c>
      <c r="E15738" t="s">
        <v>2177</v>
      </c>
      <c r="F15738">
        <v>4</v>
      </c>
      <c r="G15738" t="s">
        <v>53</v>
      </c>
      <c r="H15738" t="s">
        <v>40</v>
      </c>
      <c r="I15738" t="s">
        <v>2188</v>
      </c>
      <c r="J15738" s="10">
        <v>2.33</v>
      </c>
      <c r="K15738" t="b">
        <v>1</v>
      </c>
    </row>
    <row r="15739" spans="1:11">
      <c r="A15739" s="12">
        <v>43608</v>
      </c>
      <c r="B15739">
        <v>2019</v>
      </c>
      <c r="C15739">
        <v>5</v>
      </c>
      <c r="D15739" s="11">
        <v>43586</v>
      </c>
      <c r="E15739" t="s">
        <v>2177</v>
      </c>
      <c r="F15739">
        <v>4</v>
      </c>
      <c r="G15739" t="s">
        <v>53</v>
      </c>
      <c r="H15739" t="s">
        <v>41</v>
      </c>
      <c r="I15739" t="s">
        <v>2189</v>
      </c>
      <c r="J15739" s="10">
        <v>3.34</v>
      </c>
      <c r="K15739" t="b">
        <v>1</v>
      </c>
    </row>
    <row r="15740" spans="1:11">
      <c r="A15740" s="12">
        <v>43608</v>
      </c>
      <c r="B15740">
        <v>2019</v>
      </c>
      <c r="C15740">
        <v>5</v>
      </c>
      <c r="D15740" s="11">
        <v>43586</v>
      </c>
      <c r="E15740" t="s">
        <v>2177</v>
      </c>
      <c r="F15740">
        <v>4</v>
      </c>
      <c r="G15740" t="s">
        <v>53</v>
      </c>
      <c r="H15740" t="s">
        <v>42</v>
      </c>
      <c r="I15740" t="s">
        <v>2190</v>
      </c>
      <c r="J15740" s="10">
        <v>2</v>
      </c>
      <c r="K15740" t="b">
        <v>1</v>
      </c>
    </row>
    <row r="15741" spans="1:11">
      <c r="A15741" s="12">
        <v>43608</v>
      </c>
      <c r="B15741">
        <v>2019</v>
      </c>
      <c r="C15741">
        <v>5</v>
      </c>
      <c r="D15741" s="11">
        <v>43586</v>
      </c>
      <c r="E15741" t="s">
        <v>2177</v>
      </c>
      <c r="F15741">
        <v>4</v>
      </c>
      <c r="G15741" t="s">
        <v>53</v>
      </c>
      <c r="H15741" t="s">
        <v>43</v>
      </c>
      <c r="I15741" t="s">
        <v>2191</v>
      </c>
      <c r="J15741" s="10">
        <v>26.1</v>
      </c>
      <c r="K15741" t="b">
        <v>1</v>
      </c>
    </row>
    <row r="15742" spans="1:11">
      <c r="A15742" s="12">
        <v>43608</v>
      </c>
      <c r="B15742">
        <v>2019</v>
      </c>
      <c r="C15742">
        <v>5</v>
      </c>
      <c r="D15742" s="11">
        <v>43586</v>
      </c>
      <c r="E15742" t="s">
        <v>2177</v>
      </c>
      <c r="F15742">
        <v>4</v>
      </c>
      <c r="G15742" t="s">
        <v>53</v>
      </c>
      <c r="H15742" t="s">
        <v>44</v>
      </c>
      <c r="I15742" t="s">
        <v>2192</v>
      </c>
      <c r="J15742" s="10">
        <v>4</v>
      </c>
      <c r="K15742" t="b">
        <v>1</v>
      </c>
    </row>
    <row r="15743" spans="1:11">
      <c r="A15743" s="12">
        <v>43608</v>
      </c>
      <c r="B15743">
        <v>2019</v>
      </c>
      <c r="C15743">
        <v>5</v>
      </c>
      <c r="D15743" s="11">
        <v>43586</v>
      </c>
      <c r="E15743" t="s">
        <v>2177</v>
      </c>
      <c r="F15743">
        <v>4</v>
      </c>
      <c r="G15743" t="s">
        <v>53</v>
      </c>
      <c r="H15743" t="s">
        <v>45</v>
      </c>
      <c r="I15743" t="s">
        <v>2193</v>
      </c>
      <c r="J15743" s="10">
        <v>0</v>
      </c>
      <c r="K15743" t="b">
        <v>1</v>
      </c>
    </row>
    <row r="15744" spans="1:11">
      <c r="A15744" s="12">
        <v>43608</v>
      </c>
      <c r="B15744">
        <v>2019</v>
      </c>
      <c r="C15744">
        <v>5</v>
      </c>
      <c r="D15744" s="11">
        <v>43586</v>
      </c>
      <c r="E15744" t="s">
        <v>2177</v>
      </c>
      <c r="F15744">
        <v>4</v>
      </c>
      <c r="G15744" t="s">
        <v>53</v>
      </c>
      <c r="H15744" t="s">
        <v>46</v>
      </c>
      <c r="I15744" t="s">
        <v>2194</v>
      </c>
      <c r="J15744" s="10">
        <v>10</v>
      </c>
      <c r="K15744" t="b">
        <v>1</v>
      </c>
    </row>
    <row r="15745" spans="1:11">
      <c r="A15745" s="12">
        <v>43608</v>
      </c>
      <c r="B15745">
        <v>2019</v>
      </c>
      <c r="C15745">
        <v>5</v>
      </c>
      <c r="D15745" s="11">
        <v>43586</v>
      </c>
      <c r="E15745" t="s">
        <v>2177</v>
      </c>
      <c r="F15745">
        <v>4</v>
      </c>
      <c r="G15745" t="s">
        <v>53</v>
      </c>
      <c r="H15745" t="s">
        <v>47</v>
      </c>
      <c r="I15745" t="s">
        <v>2195</v>
      </c>
      <c r="J15745" s="10">
        <v>6</v>
      </c>
      <c r="K15745" t="b">
        <v>1</v>
      </c>
    </row>
    <row r="15746" spans="1:11">
      <c r="A15746" s="12">
        <v>43609</v>
      </c>
      <c r="B15746">
        <v>2019</v>
      </c>
      <c r="C15746">
        <v>5</v>
      </c>
      <c r="D15746" s="11">
        <v>43586</v>
      </c>
      <c r="E15746" t="s">
        <v>2177</v>
      </c>
      <c r="F15746">
        <v>5</v>
      </c>
      <c r="G15746" t="s">
        <v>55</v>
      </c>
      <c r="H15746" t="s">
        <v>40</v>
      </c>
      <c r="I15746" t="s">
        <v>2188</v>
      </c>
      <c r="J15746" s="10">
        <v>5.34</v>
      </c>
      <c r="K15746" t="b">
        <v>1</v>
      </c>
    </row>
    <row r="15747" spans="1:11">
      <c r="A15747" s="12">
        <v>43609</v>
      </c>
      <c r="B15747">
        <v>2019</v>
      </c>
      <c r="C15747">
        <v>5</v>
      </c>
      <c r="D15747" s="11">
        <v>43586</v>
      </c>
      <c r="E15747" t="s">
        <v>2177</v>
      </c>
      <c r="F15747">
        <v>5</v>
      </c>
      <c r="G15747" t="s">
        <v>55</v>
      </c>
      <c r="H15747" t="s">
        <v>41</v>
      </c>
      <c r="I15747" t="s">
        <v>2189</v>
      </c>
      <c r="J15747" s="10">
        <v>3.703</v>
      </c>
      <c r="K15747" t="b">
        <v>1</v>
      </c>
    </row>
    <row r="15748" spans="1:11">
      <c r="A15748" s="12">
        <v>43609</v>
      </c>
      <c r="B15748">
        <v>2019</v>
      </c>
      <c r="C15748">
        <v>5</v>
      </c>
      <c r="D15748" s="11">
        <v>43586</v>
      </c>
      <c r="E15748" t="s">
        <v>2177</v>
      </c>
      <c r="F15748">
        <v>5</v>
      </c>
      <c r="G15748" t="s">
        <v>55</v>
      </c>
      <c r="H15748" t="s">
        <v>42</v>
      </c>
      <c r="I15748" t="s">
        <v>2190</v>
      </c>
      <c r="J15748" s="10">
        <v>3</v>
      </c>
      <c r="K15748" t="b">
        <v>1</v>
      </c>
    </row>
    <row r="15749" spans="1:11">
      <c r="A15749" s="12">
        <v>43609</v>
      </c>
      <c r="B15749">
        <v>2019</v>
      </c>
      <c r="C15749">
        <v>5</v>
      </c>
      <c r="D15749" s="11">
        <v>43586</v>
      </c>
      <c r="E15749" t="s">
        <v>2177</v>
      </c>
      <c r="F15749">
        <v>5</v>
      </c>
      <c r="G15749" t="s">
        <v>55</v>
      </c>
      <c r="H15749" t="s">
        <v>43</v>
      </c>
      <c r="I15749" t="s">
        <v>2191</v>
      </c>
      <c r="J15749" s="10">
        <v>36.2</v>
      </c>
      <c r="K15749" t="b">
        <v>1</v>
      </c>
    </row>
    <row r="15750" spans="1:11">
      <c r="A15750" s="12">
        <v>43609</v>
      </c>
      <c r="B15750">
        <v>2019</v>
      </c>
      <c r="C15750">
        <v>5</v>
      </c>
      <c r="D15750" s="11">
        <v>43586</v>
      </c>
      <c r="E15750" t="s">
        <v>2177</v>
      </c>
      <c r="F15750">
        <v>5</v>
      </c>
      <c r="G15750" t="s">
        <v>55</v>
      </c>
      <c r="H15750" t="s">
        <v>44</v>
      </c>
      <c r="I15750" t="s">
        <v>2192</v>
      </c>
      <c r="J15750" s="10">
        <v>8</v>
      </c>
      <c r="K15750" t="b">
        <v>1</v>
      </c>
    </row>
    <row r="15751" spans="1:11">
      <c r="A15751" s="12">
        <v>43609</v>
      </c>
      <c r="B15751">
        <v>2019</v>
      </c>
      <c r="C15751">
        <v>5</v>
      </c>
      <c r="D15751" s="11">
        <v>43586</v>
      </c>
      <c r="E15751" t="s">
        <v>2177</v>
      </c>
      <c r="F15751">
        <v>5</v>
      </c>
      <c r="G15751" t="s">
        <v>55</v>
      </c>
      <c r="H15751" t="s">
        <v>45</v>
      </c>
      <c r="I15751" t="s">
        <v>2193</v>
      </c>
      <c r="J15751" s="10">
        <v>1</v>
      </c>
      <c r="K15751" t="b">
        <v>1</v>
      </c>
    </row>
    <row r="15752" spans="1:11">
      <c r="A15752" s="12">
        <v>43609</v>
      </c>
      <c r="B15752">
        <v>2019</v>
      </c>
      <c r="C15752">
        <v>5</v>
      </c>
      <c r="D15752" s="11">
        <v>43586</v>
      </c>
      <c r="E15752" t="s">
        <v>2177</v>
      </c>
      <c r="F15752">
        <v>5</v>
      </c>
      <c r="G15752" t="s">
        <v>55</v>
      </c>
      <c r="H15752" t="s">
        <v>46</v>
      </c>
      <c r="I15752" t="s">
        <v>2194</v>
      </c>
      <c r="J15752" s="10">
        <v>5</v>
      </c>
      <c r="K15752" t="b">
        <v>1</v>
      </c>
    </row>
    <row r="15753" spans="1:11">
      <c r="A15753" s="12">
        <v>43609</v>
      </c>
      <c r="B15753">
        <v>2019</v>
      </c>
      <c r="C15753">
        <v>5</v>
      </c>
      <c r="D15753" s="11">
        <v>43586</v>
      </c>
      <c r="E15753" t="s">
        <v>2177</v>
      </c>
      <c r="F15753">
        <v>5</v>
      </c>
      <c r="G15753" t="s">
        <v>55</v>
      </c>
      <c r="H15753" t="s">
        <v>47</v>
      </c>
      <c r="I15753" t="s">
        <v>2195</v>
      </c>
      <c r="J15753" s="10">
        <v>3</v>
      </c>
      <c r="K15753" t="b">
        <v>1</v>
      </c>
    </row>
    <row r="15754" spans="1:11">
      <c r="A15754" s="12">
        <v>43610</v>
      </c>
      <c r="B15754">
        <v>2019</v>
      </c>
      <c r="C15754">
        <v>5</v>
      </c>
      <c r="D15754" s="11">
        <v>43586</v>
      </c>
      <c r="E15754" t="s">
        <v>2177</v>
      </c>
      <c r="F15754">
        <v>6</v>
      </c>
      <c r="G15754" t="s">
        <v>57</v>
      </c>
      <c r="H15754" t="s">
        <v>40</v>
      </c>
      <c r="I15754" t="s">
        <v>2188</v>
      </c>
      <c r="J15754" s="10">
        <v>11</v>
      </c>
      <c r="K15754" t="b">
        <v>1</v>
      </c>
    </row>
    <row r="15755" spans="1:11">
      <c r="A15755" s="12">
        <v>43610</v>
      </c>
      <c r="B15755">
        <v>2019</v>
      </c>
      <c r="C15755">
        <v>5</v>
      </c>
      <c r="D15755" s="11">
        <v>43586</v>
      </c>
      <c r="E15755" t="s">
        <v>2177</v>
      </c>
      <c r="F15755">
        <v>6</v>
      </c>
      <c r="G15755" t="s">
        <v>57</v>
      </c>
      <c r="H15755" t="s">
        <v>41</v>
      </c>
      <c r="I15755" t="s">
        <v>2189</v>
      </c>
      <c r="J15755" s="10">
        <v>3.34</v>
      </c>
      <c r="K15755" t="b">
        <v>1</v>
      </c>
    </row>
    <row r="15756" spans="1:11">
      <c r="A15756" s="12">
        <v>43610</v>
      </c>
      <c r="B15756">
        <v>2019</v>
      </c>
      <c r="C15756">
        <v>5</v>
      </c>
      <c r="D15756" s="11">
        <v>43586</v>
      </c>
      <c r="E15756" t="s">
        <v>2177</v>
      </c>
      <c r="F15756">
        <v>6</v>
      </c>
      <c r="G15756" t="s">
        <v>57</v>
      </c>
      <c r="H15756" t="s">
        <v>42</v>
      </c>
      <c r="I15756" t="s">
        <v>2190</v>
      </c>
      <c r="J15756" s="10">
        <v>4.1</v>
      </c>
      <c r="K15756" t="b">
        <v>1</v>
      </c>
    </row>
    <row r="15757" spans="1:11">
      <c r="A15757" s="12">
        <v>43610</v>
      </c>
      <c r="B15757">
        <v>2019</v>
      </c>
      <c r="C15757">
        <v>5</v>
      </c>
      <c r="D15757" s="11">
        <v>43586</v>
      </c>
      <c r="E15757" t="s">
        <v>2177</v>
      </c>
      <c r="F15757">
        <v>6</v>
      </c>
      <c r="G15757" t="s">
        <v>57</v>
      </c>
      <c r="H15757" t="s">
        <v>43</v>
      </c>
      <c r="I15757" t="s">
        <v>2191</v>
      </c>
      <c r="J15757" s="10">
        <v>35</v>
      </c>
      <c r="K15757" t="b">
        <v>1</v>
      </c>
    </row>
    <row r="15758" spans="1:11">
      <c r="A15758" s="12">
        <v>43610</v>
      </c>
      <c r="B15758">
        <v>2019</v>
      </c>
      <c r="C15758">
        <v>5</v>
      </c>
      <c r="D15758" s="11">
        <v>43586</v>
      </c>
      <c r="E15758" t="s">
        <v>2177</v>
      </c>
      <c r="F15758">
        <v>6</v>
      </c>
      <c r="G15758" t="s">
        <v>57</v>
      </c>
      <c r="H15758" t="s">
        <v>44</v>
      </c>
      <c r="I15758" t="s">
        <v>2192</v>
      </c>
      <c r="J15758" s="10">
        <v>4</v>
      </c>
      <c r="K15758" t="b">
        <v>1</v>
      </c>
    </row>
    <row r="15759" spans="1:11">
      <c r="A15759" s="12">
        <v>43610</v>
      </c>
      <c r="B15759">
        <v>2019</v>
      </c>
      <c r="C15759">
        <v>5</v>
      </c>
      <c r="D15759" s="11">
        <v>43586</v>
      </c>
      <c r="E15759" t="s">
        <v>2177</v>
      </c>
      <c r="F15759">
        <v>6</v>
      </c>
      <c r="G15759" t="s">
        <v>57</v>
      </c>
      <c r="H15759" t="s">
        <v>45</v>
      </c>
      <c r="I15759" t="s">
        <v>2193</v>
      </c>
      <c r="J15759" s="10">
        <v>0</v>
      </c>
      <c r="K15759" t="b">
        <v>1</v>
      </c>
    </row>
    <row r="15760" spans="1:11">
      <c r="A15760" s="12">
        <v>43610</v>
      </c>
      <c r="B15760">
        <v>2019</v>
      </c>
      <c r="C15760">
        <v>5</v>
      </c>
      <c r="D15760" s="11">
        <v>43586</v>
      </c>
      <c r="E15760" t="s">
        <v>2177</v>
      </c>
      <c r="F15760">
        <v>6</v>
      </c>
      <c r="G15760" t="s">
        <v>57</v>
      </c>
      <c r="H15760" t="s">
        <v>46</v>
      </c>
      <c r="I15760" t="s">
        <v>2194</v>
      </c>
      <c r="J15760" s="10">
        <v>16</v>
      </c>
      <c r="K15760" t="b">
        <v>1</v>
      </c>
    </row>
    <row r="15761" spans="1:11">
      <c r="A15761" s="12">
        <v>43610</v>
      </c>
      <c r="B15761">
        <v>2019</v>
      </c>
      <c r="C15761">
        <v>5</v>
      </c>
      <c r="D15761" s="11">
        <v>43586</v>
      </c>
      <c r="E15761" t="s">
        <v>2177</v>
      </c>
      <c r="F15761">
        <v>6</v>
      </c>
      <c r="G15761" t="s">
        <v>57</v>
      </c>
      <c r="H15761" t="s">
        <v>47</v>
      </c>
      <c r="I15761" t="s">
        <v>2195</v>
      </c>
      <c r="J15761" s="10">
        <v>2</v>
      </c>
      <c r="K15761" t="b">
        <v>1</v>
      </c>
    </row>
    <row r="15762" spans="1:11">
      <c r="A15762" s="12">
        <v>43611</v>
      </c>
      <c r="B15762">
        <v>2019</v>
      </c>
      <c r="C15762">
        <v>5</v>
      </c>
      <c r="D15762" s="11">
        <v>43586</v>
      </c>
      <c r="E15762" t="s">
        <v>2177</v>
      </c>
      <c r="F15762">
        <v>7</v>
      </c>
      <c r="G15762" t="s">
        <v>59</v>
      </c>
      <c r="H15762" t="s">
        <v>40</v>
      </c>
      <c r="I15762" t="s">
        <v>2188</v>
      </c>
      <c r="J15762" s="10">
        <v>6.33</v>
      </c>
      <c r="K15762" t="b">
        <v>1</v>
      </c>
    </row>
    <row r="15763" spans="1:11">
      <c r="A15763" s="12">
        <v>43611</v>
      </c>
      <c r="B15763">
        <v>2019</v>
      </c>
      <c r="C15763">
        <v>5</v>
      </c>
      <c r="D15763" s="11">
        <v>43586</v>
      </c>
      <c r="E15763" t="s">
        <v>2177</v>
      </c>
      <c r="F15763">
        <v>7</v>
      </c>
      <c r="G15763" t="s">
        <v>59</v>
      </c>
      <c r="H15763" t="s">
        <v>41</v>
      </c>
      <c r="I15763" t="s">
        <v>2189</v>
      </c>
      <c r="J15763" s="10">
        <v>5.31</v>
      </c>
      <c r="K15763" t="b">
        <v>1</v>
      </c>
    </row>
    <row r="15764" spans="1:11">
      <c r="A15764" s="12">
        <v>43611</v>
      </c>
      <c r="B15764">
        <v>2019</v>
      </c>
      <c r="C15764">
        <v>5</v>
      </c>
      <c r="D15764" s="11">
        <v>43586</v>
      </c>
      <c r="E15764" t="s">
        <v>2177</v>
      </c>
      <c r="F15764">
        <v>7</v>
      </c>
      <c r="G15764" t="s">
        <v>59</v>
      </c>
      <c r="H15764" t="s">
        <v>42</v>
      </c>
      <c r="I15764" t="s">
        <v>2190</v>
      </c>
      <c r="J15764" s="10">
        <v>2</v>
      </c>
      <c r="K15764" t="b">
        <v>1</v>
      </c>
    </row>
    <row r="15765" spans="1:11">
      <c r="A15765" s="12">
        <v>43611</v>
      </c>
      <c r="B15765">
        <v>2019</v>
      </c>
      <c r="C15765">
        <v>5</v>
      </c>
      <c r="D15765" s="11">
        <v>43586</v>
      </c>
      <c r="E15765" t="s">
        <v>2177</v>
      </c>
      <c r="F15765">
        <v>7</v>
      </c>
      <c r="G15765" t="s">
        <v>59</v>
      </c>
      <c r="H15765" t="s">
        <v>43</v>
      </c>
      <c r="I15765" t="s">
        <v>2191</v>
      </c>
      <c r="J15765" s="10">
        <v>30</v>
      </c>
      <c r="K15765" t="b">
        <v>1</v>
      </c>
    </row>
    <row r="15766" spans="1:11">
      <c r="A15766" s="12">
        <v>43611</v>
      </c>
      <c r="B15766">
        <v>2019</v>
      </c>
      <c r="C15766">
        <v>5</v>
      </c>
      <c r="D15766" s="11">
        <v>43586</v>
      </c>
      <c r="E15766" t="s">
        <v>2177</v>
      </c>
      <c r="F15766">
        <v>7</v>
      </c>
      <c r="G15766" t="s">
        <v>59</v>
      </c>
      <c r="H15766" t="s">
        <v>44</v>
      </c>
      <c r="I15766" t="s">
        <v>2192</v>
      </c>
      <c r="J15766" s="10">
        <v>2.6</v>
      </c>
      <c r="K15766" t="b">
        <v>1</v>
      </c>
    </row>
    <row r="15767" spans="1:11">
      <c r="A15767" s="12">
        <v>43611</v>
      </c>
      <c r="B15767">
        <v>2019</v>
      </c>
      <c r="C15767">
        <v>5</v>
      </c>
      <c r="D15767" s="11">
        <v>43586</v>
      </c>
      <c r="E15767" t="s">
        <v>2177</v>
      </c>
      <c r="F15767">
        <v>7</v>
      </c>
      <c r="G15767" t="s">
        <v>59</v>
      </c>
      <c r="H15767" t="s">
        <v>45</v>
      </c>
      <c r="I15767" t="s">
        <v>2193</v>
      </c>
      <c r="J15767" s="10">
        <v>0</v>
      </c>
      <c r="K15767" t="b">
        <v>1</v>
      </c>
    </row>
    <row r="15768" spans="1:11">
      <c r="A15768" s="12">
        <v>43611</v>
      </c>
      <c r="B15768">
        <v>2019</v>
      </c>
      <c r="C15768">
        <v>5</v>
      </c>
      <c r="D15768" s="11">
        <v>43586</v>
      </c>
      <c r="E15768" t="s">
        <v>2177</v>
      </c>
      <c r="F15768">
        <v>7</v>
      </c>
      <c r="G15768" t="s">
        <v>59</v>
      </c>
      <c r="H15768" t="s">
        <v>46</v>
      </c>
      <c r="I15768" t="s">
        <v>2194</v>
      </c>
      <c r="J15768" s="10">
        <v>11</v>
      </c>
      <c r="K15768" t="b">
        <v>1</v>
      </c>
    </row>
    <row r="15769" spans="1:11">
      <c r="A15769" s="12">
        <v>43611</v>
      </c>
      <c r="B15769">
        <v>2019</v>
      </c>
      <c r="C15769">
        <v>5</v>
      </c>
      <c r="D15769" s="11">
        <v>43586</v>
      </c>
      <c r="E15769" t="s">
        <v>2177</v>
      </c>
      <c r="F15769">
        <v>7</v>
      </c>
      <c r="G15769" t="s">
        <v>59</v>
      </c>
      <c r="H15769" t="s">
        <v>47</v>
      </c>
      <c r="I15769" t="s">
        <v>2195</v>
      </c>
      <c r="J15769" s="10">
        <v>6</v>
      </c>
      <c r="K15769" t="b">
        <v>1</v>
      </c>
    </row>
    <row r="15770" spans="1:11">
      <c r="A15770" s="12">
        <v>43612</v>
      </c>
      <c r="B15770">
        <v>2019</v>
      </c>
      <c r="C15770">
        <v>5</v>
      </c>
      <c r="D15770" s="11">
        <v>43586</v>
      </c>
      <c r="E15770" t="s">
        <v>2177</v>
      </c>
      <c r="F15770">
        <v>1</v>
      </c>
      <c r="G15770" t="s">
        <v>61</v>
      </c>
      <c r="H15770" t="s">
        <v>40</v>
      </c>
      <c r="I15770" t="s">
        <v>2188</v>
      </c>
      <c r="J15770" s="10">
        <v>4.67</v>
      </c>
      <c r="K15770" t="b">
        <v>1</v>
      </c>
    </row>
    <row r="15771" spans="1:11">
      <c r="A15771" s="12">
        <v>43612</v>
      </c>
      <c r="B15771">
        <v>2019</v>
      </c>
      <c r="C15771">
        <v>5</v>
      </c>
      <c r="D15771" s="11">
        <v>43586</v>
      </c>
      <c r="E15771" t="s">
        <v>2177</v>
      </c>
      <c r="F15771">
        <v>1</v>
      </c>
      <c r="G15771" t="s">
        <v>61</v>
      </c>
      <c r="H15771" t="s">
        <v>41</v>
      </c>
      <c r="I15771" t="s">
        <v>2189</v>
      </c>
      <c r="J15771" s="10">
        <v>0.67</v>
      </c>
      <c r="K15771" t="b">
        <v>1</v>
      </c>
    </row>
    <row r="15772" spans="1:11">
      <c r="A15772" s="12">
        <v>43612</v>
      </c>
      <c r="B15772">
        <v>2019</v>
      </c>
      <c r="C15772">
        <v>5</v>
      </c>
      <c r="D15772" s="11">
        <v>43586</v>
      </c>
      <c r="E15772" t="s">
        <v>2177</v>
      </c>
      <c r="F15772">
        <v>1</v>
      </c>
      <c r="G15772" t="s">
        <v>61</v>
      </c>
      <c r="H15772" t="s">
        <v>42</v>
      </c>
      <c r="I15772" t="s">
        <v>2190</v>
      </c>
      <c r="J15772" s="10">
        <v>1.2</v>
      </c>
      <c r="K15772" t="b">
        <v>1</v>
      </c>
    </row>
    <row r="15773" spans="1:11">
      <c r="A15773" s="12">
        <v>43612</v>
      </c>
      <c r="B15773">
        <v>2019</v>
      </c>
      <c r="C15773">
        <v>5</v>
      </c>
      <c r="D15773" s="11">
        <v>43586</v>
      </c>
      <c r="E15773" t="s">
        <v>2177</v>
      </c>
      <c r="F15773">
        <v>1</v>
      </c>
      <c r="G15773" t="s">
        <v>61</v>
      </c>
      <c r="H15773" t="s">
        <v>43</v>
      </c>
      <c r="I15773" t="s">
        <v>2191</v>
      </c>
      <c r="J15773" s="10">
        <v>19</v>
      </c>
      <c r="K15773" t="b">
        <v>1</v>
      </c>
    </row>
    <row r="15774" spans="1:11">
      <c r="A15774" s="12">
        <v>43612</v>
      </c>
      <c r="B15774">
        <v>2019</v>
      </c>
      <c r="C15774">
        <v>5</v>
      </c>
      <c r="D15774" s="11">
        <v>43586</v>
      </c>
      <c r="E15774" t="s">
        <v>2177</v>
      </c>
      <c r="F15774">
        <v>1</v>
      </c>
      <c r="G15774" t="s">
        <v>61</v>
      </c>
      <c r="H15774" t="s">
        <v>44</v>
      </c>
      <c r="I15774" t="s">
        <v>2192</v>
      </c>
      <c r="J15774" s="10">
        <v>8</v>
      </c>
      <c r="K15774" t="b">
        <v>1</v>
      </c>
    </row>
    <row r="15775" spans="1:11">
      <c r="A15775" s="12">
        <v>43612</v>
      </c>
      <c r="B15775">
        <v>2019</v>
      </c>
      <c r="C15775">
        <v>5</v>
      </c>
      <c r="D15775" s="11">
        <v>43586</v>
      </c>
      <c r="E15775" t="s">
        <v>2177</v>
      </c>
      <c r="F15775">
        <v>1</v>
      </c>
      <c r="G15775" t="s">
        <v>61</v>
      </c>
      <c r="H15775" t="s">
        <v>45</v>
      </c>
      <c r="I15775" t="s">
        <v>2193</v>
      </c>
      <c r="J15775" s="10">
        <v>0</v>
      </c>
      <c r="K15775" t="b">
        <v>1</v>
      </c>
    </row>
    <row r="15776" spans="1:11">
      <c r="A15776" s="12">
        <v>43612</v>
      </c>
      <c r="B15776">
        <v>2019</v>
      </c>
      <c r="C15776">
        <v>5</v>
      </c>
      <c r="D15776" s="11">
        <v>43586</v>
      </c>
      <c r="E15776" t="s">
        <v>2177</v>
      </c>
      <c r="F15776">
        <v>1</v>
      </c>
      <c r="G15776" t="s">
        <v>61</v>
      </c>
      <c r="H15776" t="s">
        <v>46</v>
      </c>
      <c r="I15776" t="s">
        <v>2194</v>
      </c>
      <c r="J15776" s="10">
        <v>0</v>
      </c>
      <c r="K15776" t="b">
        <v>1</v>
      </c>
    </row>
    <row r="15777" spans="1:11">
      <c r="A15777" s="12">
        <v>43612</v>
      </c>
      <c r="B15777">
        <v>2019</v>
      </c>
      <c r="C15777">
        <v>5</v>
      </c>
      <c r="D15777" s="11">
        <v>43586</v>
      </c>
      <c r="E15777" t="s">
        <v>2177</v>
      </c>
      <c r="F15777">
        <v>1</v>
      </c>
      <c r="G15777" t="s">
        <v>61</v>
      </c>
      <c r="H15777" t="s">
        <v>47</v>
      </c>
      <c r="I15777" t="s">
        <v>2195</v>
      </c>
      <c r="J15777" s="10">
        <v>2</v>
      </c>
      <c r="K15777" t="b">
        <v>1</v>
      </c>
    </row>
    <row r="15778" spans="1:11">
      <c r="A15778" s="12">
        <v>43613</v>
      </c>
      <c r="B15778">
        <v>2019</v>
      </c>
      <c r="C15778">
        <v>5</v>
      </c>
      <c r="D15778" s="11">
        <v>43586</v>
      </c>
      <c r="E15778" t="s">
        <v>2177</v>
      </c>
      <c r="F15778">
        <v>2</v>
      </c>
      <c r="G15778" t="s">
        <v>63</v>
      </c>
      <c r="H15778" t="s">
        <v>40</v>
      </c>
      <c r="I15778" t="s">
        <v>2188</v>
      </c>
      <c r="J15778" s="10">
        <v>4.33</v>
      </c>
      <c r="K15778" t="b">
        <v>1</v>
      </c>
    </row>
    <row r="15779" spans="1:11">
      <c r="A15779" s="12">
        <v>43613</v>
      </c>
      <c r="B15779">
        <v>2019</v>
      </c>
      <c r="C15779">
        <v>5</v>
      </c>
      <c r="D15779" s="11">
        <v>43586</v>
      </c>
      <c r="E15779" t="s">
        <v>2177</v>
      </c>
      <c r="F15779">
        <v>2</v>
      </c>
      <c r="G15779" t="s">
        <v>63</v>
      </c>
      <c r="H15779" t="s">
        <v>41</v>
      </c>
      <c r="I15779" t="s">
        <v>2189</v>
      </c>
      <c r="J15779" s="10">
        <v>3.99</v>
      </c>
      <c r="K15779" t="b">
        <v>1</v>
      </c>
    </row>
    <row r="15780" spans="1:11">
      <c r="A15780" s="12">
        <v>43613</v>
      </c>
      <c r="B15780">
        <v>2019</v>
      </c>
      <c r="C15780">
        <v>5</v>
      </c>
      <c r="D15780" s="11">
        <v>43586</v>
      </c>
      <c r="E15780" t="s">
        <v>2177</v>
      </c>
      <c r="F15780">
        <v>2</v>
      </c>
      <c r="G15780" t="s">
        <v>63</v>
      </c>
      <c r="H15780" t="s">
        <v>42</v>
      </c>
      <c r="I15780" t="s">
        <v>2190</v>
      </c>
      <c r="J15780" s="10">
        <v>6.3</v>
      </c>
      <c r="K15780" t="b">
        <v>1</v>
      </c>
    </row>
    <row r="15781" spans="1:11">
      <c r="A15781" s="12">
        <v>43613</v>
      </c>
      <c r="B15781">
        <v>2019</v>
      </c>
      <c r="C15781">
        <v>5</v>
      </c>
      <c r="D15781" s="11">
        <v>43586</v>
      </c>
      <c r="E15781" t="s">
        <v>2177</v>
      </c>
      <c r="F15781">
        <v>2</v>
      </c>
      <c r="G15781" t="s">
        <v>63</v>
      </c>
      <c r="H15781" t="s">
        <v>43</v>
      </c>
      <c r="I15781" t="s">
        <v>2191</v>
      </c>
      <c r="J15781" s="10">
        <v>18.2</v>
      </c>
      <c r="K15781" t="b">
        <v>1</v>
      </c>
    </row>
    <row r="15782" spans="1:11">
      <c r="A15782" s="12">
        <v>43613</v>
      </c>
      <c r="B15782">
        <v>2019</v>
      </c>
      <c r="C15782">
        <v>5</v>
      </c>
      <c r="D15782" s="11">
        <v>43586</v>
      </c>
      <c r="E15782" t="s">
        <v>2177</v>
      </c>
      <c r="F15782">
        <v>2</v>
      </c>
      <c r="G15782" t="s">
        <v>63</v>
      </c>
      <c r="H15782" t="s">
        <v>44</v>
      </c>
      <c r="I15782" t="s">
        <v>2192</v>
      </c>
      <c r="J15782" s="10">
        <v>10</v>
      </c>
      <c r="K15782" t="b">
        <v>1</v>
      </c>
    </row>
    <row r="15783" spans="1:11">
      <c r="A15783" s="12">
        <v>43613</v>
      </c>
      <c r="B15783">
        <v>2019</v>
      </c>
      <c r="C15783">
        <v>5</v>
      </c>
      <c r="D15783" s="11">
        <v>43586</v>
      </c>
      <c r="E15783" t="s">
        <v>2177</v>
      </c>
      <c r="F15783">
        <v>2</v>
      </c>
      <c r="G15783" t="s">
        <v>63</v>
      </c>
      <c r="H15783" t="s">
        <v>45</v>
      </c>
      <c r="I15783" t="s">
        <v>2193</v>
      </c>
      <c r="J15783" s="10">
        <v>2</v>
      </c>
      <c r="K15783" t="b">
        <v>1</v>
      </c>
    </row>
    <row r="15784" spans="1:11">
      <c r="A15784" s="12">
        <v>43613</v>
      </c>
      <c r="B15784">
        <v>2019</v>
      </c>
      <c r="C15784">
        <v>5</v>
      </c>
      <c r="D15784" s="11">
        <v>43586</v>
      </c>
      <c r="E15784" t="s">
        <v>2177</v>
      </c>
      <c r="F15784">
        <v>2</v>
      </c>
      <c r="G15784" t="s">
        <v>63</v>
      </c>
      <c r="H15784" t="s">
        <v>46</v>
      </c>
      <c r="I15784" t="s">
        <v>2194</v>
      </c>
      <c r="J15784" s="10">
        <v>5</v>
      </c>
      <c r="K15784" t="b">
        <v>1</v>
      </c>
    </row>
    <row r="15785" spans="1:11">
      <c r="A15785" s="12">
        <v>43613</v>
      </c>
      <c r="B15785">
        <v>2019</v>
      </c>
      <c r="C15785">
        <v>5</v>
      </c>
      <c r="D15785" s="11">
        <v>43586</v>
      </c>
      <c r="E15785" t="s">
        <v>2177</v>
      </c>
      <c r="F15785">
        <v>2</v>
      </c>
      <c r="G15785" t="s">
        <v>63</v>
      </c>
      <c r="H15785" t="s">
        <v>47</v>
      </c>
      <c r="I15785" t="s">
        <v>2195</v>
      </c>
      <c r="J15785" s="10">
        <v>6</v>
      </c>
      <c r="K15785" t="b">
        <v>1</v>
      </c>
    </row>
    <row r="15786" spans="1:11">
      <c r="A15786" s="12">
        <v>43614</v>
      </c>
      <c r="B15786">
        <v>2019</v>
      </c>
      <c r="C15786">
        <v>5</v>
      </c>
      <c r="D15786" s="11">
        <v>43586</v>
      </c>
      <c r="E15786" t="s">
        <v>2177</v>
      </c>
      <c r="F15786">
        <v>3</v>
      </c>
      <c r="G15786" t="s">
        <v>65</v>
      </c>
      <c r="H15786" t="s">
        <v>40</v>
      </c>
      <c r="I15786" t="s">
        <v>2188</v>
      </c>
      <c r="J15786" s="10">
        <v>5.5</v>
      </c>
      <c r="K15786" t="b">
        <v>1</v>
      </c>
    </row>
    <row r="15787" spans="1:11">
      <c r="A15787" s="12">
        <v>43614</v>
      </c>
      <c r="B15787">
        <v>2019</v>
      </c>
      <c r="C15787">
        <v>5</v>
      </c>
      <c r="D15787" s="11">
        <v>43586</v>
      </c>
      <c r="E15787" t="s">
        <v>2177</v>
      </c>
      <c r="F15787">
        <v>3</v>
      </c>
      <c r="G15787" t="s">
        <v>65</v>
      </c>
      <c r="H15787" t="s">
        <v>41</v>
      </c>
      <c r="I15787" t="s">
        <v>2189</v>
      </c>
      <c r="J15787" s="10">
        <v>2.34</v>
      </c>
      <c r="K15787" t="b">
        <v>1</v>
      </c>
    </row>
    <row r="15788" spans="1:11">
      <c r="A15788" s="12">
        <v>43614</v>
      </c>
      <c r="B15788">
        <v>2019</v>
      </c>
      <c r="C15788">
        <v>5</v>
      </c>
      <c r="D15788" s="11">
        <v>43586</v>
      </c>
      <c r="E15788" t="s">
        <v>2177</v>
      </c>
      <c r="F15788">
        <v>3</v>
      </c>
      <c r="G15788" t="s">
        <v>65</v>
      </c>
      <c r="H15788" t="s">
        <v>42</v>
      </c>
      <c r="I15788" t="s">
        <v>2190</v>
      </c>
      <c r="J15788" s="10">
        <v>4.05</v>
      </c>
      <c r="K15788" t="b">
        <v>1</v>
      </c>
    </row>
    <row r="15789" spans="1:11">
      <c r="A15789" s="12">
        <v>43614</v>
      </c>
      <c r="B15789">
        <v>2019</v>
      </c>
      <c r="C15789">
        <v>5</v>
      </c>
      <c r="D15789" s="11">
        <v>43586</v>
      </c>
      <c r="E15789" t="s">
        <v>2177</v>
      </c>
      <c r="F15789">
        <v>3</v>
      </c>
      <c r="G15789" t="s">
        <v>65</v>
      </c>
      <c r="H15789" t="s">
        <v>43</v>
      </c>
      <c r="I15789" t="s">
        <v>2191</v>
      </c>
      <c r="J15789" s="10">
        <v>15</v>
      </c>
      <c r="K15789" t="b">
        <v>1</v>
      </c>
    </row>
    <row r="15790" spans="1:11">
      <c r="A15790" s="12">
        <v>43614</v>
      </c>
      <c r="B15790">
        <v>2019</v>
      </c>
      <c r="C15790">
        <v>5</v>
      </c>
      <c r="D15790" s="11">
        <v>43586</v>
      </c>
      <c r="E15790" t="s">
        <v>2177</v>
      </c>
      <c r="F15790">
        <v>3</v>
      </c>
      <c r="G15790" t="s">
        <v>65</v>
      </c>
      <c r="H15790" t="s">
        <v>44</v>
      </c>
      <c r="I15790" t="s">
        <v>2192</v>
      </c>
      <c r="J15790" s="10">
        <v>10</v>
      </c>
      <c r="K15790" t="b">
        <v>1</v>
      </c>
    </row>
    <row r="15791" spans="1:11">
      <c r="A15791" s="12">
        <v>43614</v>
      </c>
      <c r="B15791">
        <v>2019</v>
      </c>
      <c r="C15791">
        <v>5</v>
      </c>
      <c r="D15791" s="11">
        <v>43586</v>
      </c>
      <c r="E15791" t="s">
        <v>2177</v>
      </c>
      <c r="F15791">
        <v>3</v>
      </c>
      <c r="G15791" t="s">
        <v>65</v>
      </c>
      <c r="H15791" t="s">
        <v>45</v>
      </c>
      <c r="I15791" t="s">
        <v>2193</v>
      </c>
      <c r="J15791" s="10">
        <v>1</v>
      </c>
      <c r="K15791" t="b">
        <v>1</v>
      </c>
    </row>
    <row r="15792" spans="1:11">
      <c r="A15792" s="12">
        <v>43614</v>
      </c>
      <c r="B15792">
        <v>2019</v>
      </c>
      <c r="C15792">
        <v>5</v>
      </c>
      <c r="D15792" s="11">
        <v>43586</v>
      </c>
      <c r="E15792" t="s">
        <v>2177</v>
      </c>
      <c r="F15792">
        <v>3</v>
      </c>
      <c r="G15792" t="s">
        <v>65</v>
      </c>
      <c r="H15792" t="s">
        <v>46</v>
      </c>
      <c r="I15792" t="s">
        <v>2194</v>
      </c>
      <c r="J15792" s="10">
        <v>0</v>
      </c>
      <c r="K15792" t="b">
        <v>1</v>
      </c>
    </row>
    <row r="15793" spans="1:11">
      <c r="A15793" s="12">
        <v>43614</v>
      </c>
      <c r="B15793">
        <v>2019</v>
      </c>
      <c r="C15793">
        <v>5</v>
      </c>
      <c r="D15793" s="11">
        <v>43586</v>
      </c>
      <c r="E15793" t="s">
        <v>2177</v>
      </c>
      <c r="F15793">
        <v>3</v>
      </c>
      <c r="G15793" t="s">
        <v>65</v>
      </c>
      <c r="H15793" t="s">
        <v>47</v>
      </c>
      <c r="I15793" t="s">
        <v>2195</v>
      </c>
      <c r="J15793" s="10">
        <v>3</v>
      </c>
      <c r="K15793" t="b">
        <v>1</v>
      </c>
    </row>
    <row r="15794" spans="1:11">
      <c r="A15794" s="12">
        <v>43615</v>
      </c>
      <c r="B15794">
        <v>2019</v>
      </c>
      <c r="C15794">
        <v>5</v>
      </c>
      <c r="D15794" s="11">
        <v>43586</v>
      </c>
      <c r="E15794" t="s">
        <v>2177</v>
      </c>
      <c r="F15794">
        <v>4</v>
      </c>
      <c r="G15794" t="s">
        <v>53</v>
      </c>
      <c r="H15794" t="s">
        <v>40</v>
      </c>
      <c r="I15794" t="s">
        <v>2188</v>
      </c>
      <c r="J15794" s="10">
        <v>5</v>
      </c>
      <c r="K15794" t="b">
        <v>1</v>
      </c>
    </row>
    <row r="15795" spans="1:11">
      <c r="A15795" s="12">
        <v>43615</v>
      </c>
      <c r="B15795">
        <v>2019</v>
      </c>
      <c r="C15795">
        <v>5</v>
      </c>
      <c r="D15795" s="11">
        <v>43586</v>
      </c>
      <c r="E15795" t="s">
        <v>2177</v>
      </c>
      <c r="F15795">
        <v>4</v>
      </c>
      <c r="G15795" t="s">
        <v>53</v>
      </c>
      <c r="H15795" t="s">
        <v>41</v>
      </c>
      <c r="I15795" t="s">
        <v>2189</v>
      </c>
      <c r="J15795" s="10">
        <v>0.34</v>
      </c>
      <c r="K15795" t="b">
        <v>1</v>
      </c>
    </row>
    <row r="15796" spans="1:11">
      <c r="A15796" s="12">
        <v>43615</v>
      </c>
      <c r="B15796">
        <v>2019</v>
      </c>
      <c r="C15796">
        <v>5</v>
      </c>
      <c r="D15796" s="11">
        <v>43586</v>
      </c>
      <c r="E15796" t="s">
        <v>2177</v>
      </c>
      <c r="F15796">
        <v>4</v>
      </c>
      <c r="G15796" t="s">
        <v>53</v>
      </c>
      <c r="H15796" t="s">
        <v>42</v>
      </c>
      <c r="I15796" t="s">
        <v>2190</v>
      </c>
      <c r="J15796" s="10">
        <v>3.4</v>
      </c>
      <c r="K15796" t="b">
        <v>1</v>
      </c>
    </row>
    <row r="15797" spans="1:11">
      <c r="A15797" s="12">
        <v>43615</v>
      </c>
      <c r="B15797">
        <v>2019</v>
      </c>
      <c r="C15797">
        <v>5</v>
      </c>
      <c r="D15797" s="11">
        <v>43586</v>
      </c>
      <c r="E15797" t="s">
        <v>2177</v>
      </c>
      <c r="F15797">
        <v>4</v>
      </c>
      <c r="G15797" t="s">
        <v>53</v>
      </c>
      <c r="H15797" t="s">
        <v>43</v>
      </c>
      <c r="I15797" t="s">
        <v>2191</v>
      </c>
      <c r="J15797" s="10">
        <v>17.2</v>
      </c>
      <c r="K15797" t="b">
        <v>1</v>
      </c>
    </row>
    <row r="15798" spans="1:11">
      <c r="A15798" s="12">
        <v>43615</v>
      </c>
      <c r="B15798">
        <v>2019</v>
      </c>
      <c r="C15798">
        <v>5</v>
      </c>
      <c r="D15798" s="11">
        <v>43586</v>
      </c>
      <c r="E15798" t="s">
        <v>2177</v>
      </c>
      <c r="F15798">
        <v>4</v>
      </c>
      <c r="G15798" t="s">
        <v>53</v>
      </c>
      <c r="H15798" t="s">
        <v>44</v>
      </c>
      <c r="I15798" t="s">
        <v>2192</v>
      </c>
      <c r="J15798" s="10">
        <v>5</v>
      </c>
      <c r="K15798" t="b">
        <v>1</v>
      </c>
    </row>
    <row r="15799" spans="1:11">
      <c r="A15799" s="12">
        <v>43615</v>
      </c>
      <c r="B15799">
        <v>2019</v>
      </c>
      <c r="C15799">
        <v>5</v>
      </c>
      <c r="D15799" s="11">
        <v>43586</v>
      </c>
      <c r="E15799" t="s">
        <v>2177</v>
      </c>
      <c r="F15799">
        <v>4</v>
      </c>
      <c r="G15799" t="s">
        <v>53</v>
      </c>
      <c r="H15799" t="s">
        <v>45</v>
      </c>
      <c r="I15799" t="s">
        <v>2193</v>
      </c>
      <c r="J15799" s="10">
        <v>0</v>
      </c>
      <c r="K15799" t="b">
        <v>1</v>
      </c>
    </row>
    <row r="15800" spans="1:11">
      <c r="A15800" s="12">
        <v>43615</v>
      </c>
      <c r="B15800">
        <v>2019</v>
      </c>
      <c r="C15800">
        <v>5</v>
      </c>
      <c r="D15800" s="11">
        <v>43586</v>
      </c>
      <c r="E15800" t="s">
        <v>2177</v>
      </c>
      <c r="F15800">
        <v>4</v>
      </c>
      <c r="G15800" t="s">
        <v>53</v>
      </c>
      <c r="H15800" t="s">
        <v>46</v>
      </c>
      <c r="I15800" t="s">
        <v>2194</v>
      </c>
      <c r="J15800" s="10">
        <v>6</v>
      </c>
      <c r="K15800" t="b">
        <v>1</v>
      </c>
    </row>
    <row r="15801" spans="1:11">
      <c r="A15801" s="12">
        <v>43615</v>
      </c>
      <c r="B15801">
        <v>2019</v>
      </c>
      <c r="C15801">
        <v>5</v>
      </c>
      <c r="D15801" s="11">
        <v>43586</v>
      </c>
      <c r="E15801" t="s">
        <v>2177</v>
      </c>
      <c r="F15801">
        <v>4</v>
      </c>
      <c r="G15801" t="s">
        <v>53</v>
      </c>
      <c r="H15801" t="s">
        <v>47</v>
      </c>
      <c r="I15801" t="s">
        <v>2195</v>
      </c>
      <c r="J15801" s="10">
        <v>4</v>
      </c>
      <c r="K15801" t="b">
        <v>1</v>
      </c>
    </row>
    <row r="15802" spans="1:11">
      <c r="A15802" s="12">
        <v>43616</v>
      </c>
      <c r="B15802">
        <v>2019</v>
      </c>
      <c r="C15802">
        <v>5</v>
      </c>
      <c r="D15802" s="11">
        <v>43586</v>
      </c>
      <c r="E15802" t="s">
        <v>2177</v>
      </c>
      <c r="F15802">
        <v>5</v>
      </c>
      <c r="G15802" t="s">
        <v>55</v>
      </c>
      <c r="H15802" t="s">
        <v>40</v>
      </c>
      <c r="I15802" t="s">
        <v>2188</v>
      </c>
      <c r="J15802" s="10">
        <v>5.99</v>
      </c>
      <c r="K15802" t="b">
        <v>1</v>
      </c>
    </row>
    <row r="15803" spans="1:11">
      <c r="A15803" s="12">
        <v>43616</v>
      </c>
      <c r="B15803">
        <v>2019</v>
      </c>
      <c r="C15803">
        <v>5</v>
      </c>
      <c r="D15803" s="11">
        <v>43586</v>
      </c>
      <c r="E15803" t="s">
        <v>2177</v>
      </c>
      <c r="F15803">
        <v>5</v>
      </c>
      <c r="G15803" t="s">
        <v>55</v>
      </c>
      <c r="H15803" t="s">
        <v>41</v>
      </c>
      <c r="I15803" t="s">
        <v>2189</v>
      </c>
      <c r="J15803" s="10">
        <v>3.363</v>
      </c>
      <c r="K15803" t="b">
        <v>1</v>
      </c>
    </row>
    <row r="15804" spans="1:11">
      <c r="A15804" s="12">
        <v>43616</v>
      </c>
      <c r="B15804">
        <v>2019</v>
      </c>
      <c r="C15804">
        <v>5</v>
      </c>
      <c r="D15804" s="11">
        <v>43586</v>
      </c>
      <c r="E15804" t="s">
        <v>2177</v>
      </c>
      <c r="F15804">
        <v>5</v>
      </c>
      <c r="G15804" t="s">
        <v>55</v>
      </c>
      <c r="H15804" t="s">
        <v>42</v>
      </c>
      <c r="I15804" t="s">
        <v>2190</v>
      </c>
      <c r="J15804" s="10">
        <v>1</v>
      </c>
      <c r="K15804" t="b">
        <v>1</v>
      </c>
    </row>
    <row r="15805" spans="1:11">
      <c r="A15805" s="12">
        <v>43616</v>
      </c>
      <c r="B15805">
        <v>2019</v>
      </c>
      <c r="C15805">
        <v>5</v>
      </c>
      <c r="D15805" s="11">
        <v>43586</v>
      </c>
      <c r="E15805" t="s">
        <v>2177</v>
      </c>
      <c r="F15805">
        <v>5</v>
      </c>
      <c r="G15805" t="s">
        <v>55</v>
      </c>
      <c r="H15805" t="s">
        <v>43</v>
      </c>
      <c r="I15805" t="s">
        <v>2191</v>
      </c>
      <c r="J15805" s="10">
        <v>22.662</v>
      </c>
      <c r="K15805" t="b">
        <v>1</v>
      </c>
    </row>
    <row r="15806" spans="1:11">
      <c r="A15806" s="12">
        <v>43616</v>
      </c>
      <c r="B15806">
        <v>2019</v>
      </c>
      <c r="C15806">
        <v>5</v>
      </c>
      <c r="D15806" s="11">
        <v>43586</v>
      </c>
      <c r="E15806" t="s">
        <v>2177</v>
      </c>
      <c r="F15806">
        <v>5</v>
      </c>
      <c r="G15806" t="s">
        <v>55</v>
      </c>
      <c r="H15806" t="s">
        <v>44</v>
      </c>
      <c r="I15806" t="s">
        <v>2192</v>
      </c>
      <c r="J15806" s="10">
        <v>2</v>
      </c>
      <c r="K15806" t="b">
        <v>1</v>
      </c>
    </row>
    <row r="15807" spans="1:11">
      <c r="A15807" s="12">
        <v>43616</v>
      </c>
      <c r="B15807">
        <v>2019</v>
      </c>
      <c r="C15807">
        <v>5</v>
      </c>
      <c r="D15807" s="11">
        <v>43586</v>
      </c>
      <c r="E15807" t="s">
        <v>2177</v>
      </c>
      <c r="F15807">
        <v>5</v>
      </c>
      <c r="G15807" t="s">
        <v>55</v>
      </c>
      <c r="H15807" t="s">
        <v>45</v>
      </c>
      <c r="I15807" t="s">
        <v>2193</v>
      </c>
      <c r="J15807" s="10">
        <v>0</v>
      </c>
      <c r="K15807" t="b">
        <v>1</v>
      </c>
    </row>
    <row r="15808" spans="1:11">
      <c r="A15808" s="12">
        <v>43616</v>
      </c>
      <c r="B15808">
        <v>2019</v>
      </c>
      <c r="C15808">
        <v>5</v>
      </c>
      <c r="D15808" s="11">
        <v>43586</v>
      </c>
      <c r="E15808" t="s">
        <v>2177</v>
      </c>
      <c r="F15808">
        <v>5</v>
      </c>
      <c r="G15808" t="s">
        <v>55</v>
      </c>
      <c r="H15808" t="s">
        <v>46</v>
      </c>
      <c r="I15808" t="s">
        <v>2194</v>
      </c>
      <c r="J15808" s="10">
        <v>2</v>
      </c>
      <c r="K15808" t="b">
        <v>1</v>
      </c>
    </row>
    <row r="15809" spans="1:11">
      <c r="A15809" s="12">
        <v>43616</v>
      </c>
      <c r="B15809">
        <v>2019</v>
      </c>
      <c r="C15809">
        <v>5</v>
      </c>
      <c r="D15809" s="11">
        <v>43586</v>
      </c>
      <c r="E15809" t="s">
        <v>2177</v>
      </c>
      <c r="F15809">
        <v>5</v>
      </c>
      <c r="G15809" t="s">
        <v>55</v>
      </c>
      <c r="H15809" t="s">
        <v>47</v>
      </c>
      <c r="I15809" t="s">
        <v>2195</v>
      </c>
      <c r="J15809" s="10">
        <v>5</v>
      </c>
      <c r="K15809" t="b">
        <v>1</v>
      </c>
    </row>
    <row r="15810" spans="1:11">
      <c r="A15810" s="12">
        <v>43617</v>
      </c>
      <c r="B15810">
        <v>2019</v>
      </c>
      <c r="C15810">
        <v>6</v>
      </c>
      <c r="D15810" s="11">
        <v>43617</v>
      </c>
      <c r="E15810" t="s">
        <v>2178</v>
      </c>
      <c r="F15810">
        <v>6</v>
      </c>
      <c r="G15810" t="s">
        <v>57</v>
      </c>
      <c r="H15810" t="s">
        <v>40</v>
      </c>
      <c r="I15810" t="s">
        <v>2188</v>
      </c>
      <c r="J15810" s="10">
        <v>3</v>
      </c>
      <c r="K15810" t="b">
        <v>1</v>
      </c>
    </row>
    <row r="15811" spans="1:11">
      <c r="A15811" s="12">
        <v>43617</v>
      </c>
      <c r="B15811">
        <v>2019</v>
      </c>
      <c r="C15811">
        <v>6</v>
      </c>
      <c r="D15811" s="11">
        <v>43617</v>
      </c>
      <c r="E15811" t="s">
        <v>2178</v>
      </c>
      <c r="F15811">
        <v>6</v>
      </c>
      <c r="G15811" t="s">
        <v>57</v>
      </c>
      <c r="H15811" t="s">
        <v>41</v>
      </c>
      <c r="I15811" t="s">
        <v>2189</v>
      </c>
      <c r="J15811" s="10">
        <v>1.34</v>
      </c>
      <c r="K15811" t="b">
        <v>1</v>
      </c>
    </row>
    <row r="15812" spans="1:11">
      <c r="A15812" s="12">
        <v>43617</v>
      </c>
      <c r="B15812">
        <v>2019</v>
      </c>
      <c r="C15812">
        <v>6</v>
      </c>
      <c r="D15812" s="11">
        <v>43617</v>
      </c>
      <c r="E15812" t="s">
        <v>2178</v>
      </c>
      <c r="F15812">
        <v>6</v>
      </c>
      <c r="G15812" t="s">
        <v>57</v>
      </c>
      <c r="H15812" t="s">
        <v>42</v>
      </c>
      <c r="I15812" t="s">
        <v>2190</v>
      </c>
      <c r="J15812" s="10">
        <v>6</v>
      </c>
      <c r="K15812" t="b">
        <v>1</v>
      </c>
    </row>
    <row r="15813" spans="1:11">
      <c r="A15813" s="12">
        <v>43617</v>
      </c>
      <c r="B15813">
        <v>2019</v>
      </c>
      <c r="C15813">
        <v>6</v>
      </c>
      <c r="D15813" s="11">
        <v>43617</v>
      </c>
      <c r="E15813" t="s">
        <v>2178</v>
      </c>
      <c r="F15813">
        <v>6</v>
      </c>
      <c r="G15813" t="s">
        <v>57</v>
      </c>
      <c r="H15813" t="s">
        <v>43</v>
      </c>
      <c r="I15813" t="s">
        <v>2191</v>
      </c>
      <c r="J15813" s="10">
        <v>21.4</v>
      </c>
      <c r="K15813" t="b">
        <v>1</v>
      </c>
    </row>
    <row r="15814" spans="1:11">
      <c r="A15814" s="12">
        <v>43617</v>
      </c>
      <c r="B15814">
        <v>2019</v>
      </c>
      <c r="C15814">
        <v>6</v>
      </c>
      <c r="D15814" s="11">
        <v>43617</v>
      </c>
      <c r="E15814" t="s">
        <v>2178</v>
      </c>
      <c r="F15814">
        <v>6</v>
      </c>
      <c r="G15814" t="s">
        <v>57</v>
      </c>
      <c r="H15814" t="s">
        <v>44</v>
      </c>
      <c r="I15814" t="s">
        <v>2192</v>
      </c>
      <c r="J15814" s="10">
        <v>1</v>
      </c>
      <c r="K15814" t="b">
        <v>1</v>
      </c>
    </row>
    <row r="15815" spans="1:11">
      <c r="A15815" s="12">
        <v>43617</v>
      </c>
      <c r="B15815">
        <v>2019</v>
      </c>
      <c r="C15815">
        <v>6</v>
      </c>
      <c r="D15815" s="11">
        <v>43617</v>
      </c>
      <c r="E15815" t="s">
        <v>2178</v>
      </c>
      <c r="F15815">
        <v>6</v>
      </c>
      <c r="G15815" t="s">
        <v>57</v>
      </c>
      <c r="H15815" t="s">
        <v>45</v>
      </c>
      <c r="I15815" t="s">
        <v>2193</v>
      </c>
      <c r="J15815" s="10">
        <v>0</v>
      </c>
      <c r="K15815" t="b">
        <v>1</v>
      </c>
    </row>
    <row r="15816" spans="1:11">
      <c r="A15816" s="12">
        <v>43617</v>
      </c>
      <c r="B15816">
        <v>2019</v>
      </c>
      <c r="C15816">
        <v>6</v>
      </c>
      <c r="D15816" s="11">
        <v>43617</v>
      </c>
      <c r="E15816" t="s">
        <v>2178</v>
      </c>
      <c r="F15816">
        <v>6</v>
      </c>
      <c r="G15816" t="s">
        <v>57</v>
      </c>
      <c r="H15816" t="s">
        <v>46</v>
      </c>
      <c r="I15816" t="s">
        <v>2194</v>
      </c>
      <c r="J15816" s="10">
        <v>8</v>
      </c>
      <c r="K15816" t="b">
        <v>1</v>
      </c>
    </row>
    <row r="15817" spans="1:11">
      <c r="A15817" s="12">
        <v>43617</v>
      </c>
      <c r="B15817">
        <v>2019</v>
      </c>
      <c r="C15817">
        <v>6</v>
      </c>
      <c r="D15817" s="11">
        <v>43617</v>
      </c>
      <c r="E15817" t="s">
        <v>2178</v>
      </c>
      <c r="F15817">
        <v>6</v>
      </c>
      <c r="G15817" t="s">
        <v>57</v>
      </c>
      <c r="H15817" t="s">
        <v>47</v>
      </c>
      <c r="I15817" t="s">
        <v>2195</v>
      </c>
      <c r="J15817" s="10">
        <v>4</v>
      </c>
      <c r="K15817" t="b">
        <v>1</v>
      </c>
    </row>
    <row r="15818" spans="1:11">
      <c r="A15818" s="12">
        <v>43618</v>
      </c>
      <c r="B15818">
        <v>2019</v>
      </c>
      <c r="C15818">
        <v>6</v>
      </c>
      <c r="D15818" s="11">
        <v>43617</v>
      </c>
      <c r="E15818" t="s">
        <v>2178</v>
      </c>
      <c r="F15818">
        <v>7</v>
      </c>
      <c r="G15818" t="s">
        <v>59</v>
      </c>
      <c r="H15818" t="s">
        <v>40</v>
      </c>
      <c r="I15818" t="s">
        <v>2188</v>
      </c>
      <c r="J15818" s="10">
        <v>4</v>
      </c>
      <c r="K15818" t="b">
        <v>1</v>
      </c>
    </row>
    <row r="15819" spans="1:11">
      <c r="A15819" s="12">
        <v>43618</v>
      </c>
      <c r="B15819">
        <v>2019</v>
      </c>
      <c r="C15819">
        <v>6</v>
      </c>
      <c r="D15819" s="11">
        <v>43617</v>
      </c>
      <c r="E15819" t="s">
        <v>2178</v>
      </c>
      <c r="F15819">
        <v>7</v>
      </c>
      <c r="G15819" t="s">
        <v>59</v>
      </c>
      <c r="H15819" t="s">
        <v>41</v>
      </c>
      <c r="I15819" t="s">
        <v>2189</v>
      </c>
      <c r="J15819" s="10">
        <v>2.66</v>
      </c>
      <c r="K15819" t="b">
        <v>1</v>
      </c>
    </row>
    <row r="15820" spans="1:11">
      <c r="A15820" s="12">
        <v>43618</v>
      </c>
      <c r="B15820">
        <v>2019</v>
      </c>
      <c r="C15820">
        <v>6</v>
      </c>
      <c r="D15820" s="11">
        <v>43617</v>
      </c>
      <c r="E15820" t="s">
        <v>2178</v>
      </c>
      <c r="F15820">
        <v>7</v>
      </c>
      <c r="G15820" t="s">
        <v>59</v>
      </c>
      <c r="H15820" t="s">
        <v>42</v>
      </c>
      <c r="I15820" t="s">
        <v>2190</v>
      </c>
      <c r="J15820" s="10">
        <v>3.05</v>
      </c>
      <c r="K15820" t="b">
        <v>1</v>
      </c>
    </row>
    <row r="15821" spans="1:11">
      <c r="A15821" s="12">
        <v>43618</v>
      </c>
      <c r="B15821">
        <v>2019</v>
      </c>
      <c r="C15821">
        <v>6</v>
      </c>
      <c r="D15821" s="11">
        <v>43617</v>
      </c>
      <c r="E15821" t="s">
        <v>2178</v>
      </c>
      <c r="F15821">
        <v>7</v>
      </c>
      <c r="G15821" t="s">
        <v>59</v>
      </c>
      <c r="H15821" t="s">
        <v>43</v>
      </c>
      <c r="I15821" t="s">
        <v>2191</v>
      </c>
      <c r="J15821" s="10">
        <v>28</v>
      </c>
      <c r="K15821" t="b">
        <v>1</v>
      </c>
    </row>
    <row r="15822" spans="1:11">
      <c r="A15822" s="12">
        <v>43618</v>
      </c>
      <c r="B15822">
        <v>2019</v>
      </c>
      <c r="C15822">
        <v>6</v>
      </c>
      <c r="D15822" s="11">
        <v>43617</v>
      </c>
      <c r="E15822" t="s">
        <v>2178</v>
      </c>
      <c r="F15822">
        <v>7</v>
      </c>
      <c r="G15822" t="s">
        <v>59</v>
      </c>
      <c r="H15822" t="s">
        <v>44</v>
      </c>
      <c r="I15822" t="s">
        <v>2192</v>
      </c>
      <c r="J15822" s="10">
        <v>4</v>
      </c>
      <c r="K15822" t="b">
        <v>1</v>
      </c>
    </row>
    <row r="15823" spans="1:11">
      <c r="A15823" s="12">
        <v>43618</v>
      </c>
      <c r="B15823">
        <v>2019</v>
      </c>
      <c r="C15823">
        <v>6</v>
      </c>
      <c r="D15823" s="11">
        <v>43617</v>
      </c>
      <c r="E15823" t="s">
        <v>2178</v>
      </c>
      <c r="F15823">
        <v>7</v>
      </c>
      <c r="G15823" t="s">
        <v>59</v>
      </c>
      <c r="H15823" t="s">
        <v>45</v>
      </c>
      <c r="I15823" t="s">
        <v>2193</v>
      </c>
      <c r="J15823" s="10">
        <v>1</v>
      </c>
      <c r="K15823" t="b">
        <v>1</v>
      </c>
    </row>
    <row r="15824" spans="1:11">
      <c r="A15824" s="12">
        <v>43618</v>
      </c>
      <c r="B15824">
        <v>2019</v>
      </c>
      <c r="C15824">
        <v>6</v>
      </c>
      <c r="D15824" s="11">
        <v>43617</v>
      </c>
      <c r="E15824" t="s">
        <v>2178</v>
      </c>
      <c r="F15824">
        <v>7</v>
      </c>
      <c r="G15824" t="s">
        <v>59</v>
      </c>
      <c r="H15824" t="s">
        <v>46</v>
      </c>
      <c r="I15824" t="s">
        <v>2194</v>
      </c>
      <c r="J15824" s="10">
        <v>6</v>
      </c>
      <c r="K15824" t="b">
        <v>1</v>
      </c>
    </row>
    <row r="15825" spans="1:11">
      <c r="A15825" s="12">
        <v>43618</v>
      </c>
      <c r="B15825">
        <v>2019</v>
      </c>
      <c r="C15825">
        <v>6</v>
      </c>
      <c r="D15825" s="11">
        <v>43617</v>
      </c>
      <c r="E15825" t="s">
        <v>2178</v>
      </c>
      <c r="F15825">
        <v>7</v>
      </c>
      <c r="G15825" t="s">
        <v>59</v>
      </c>
      <c r="H15825" t="s">
        <v>47</v>
      </c>
      <c r="I15825" t="s">
        <v>2195</v>
      </c>
      <c r="J15825" s="10">
        <v>4</v>
      </c>
      <c r="K15825" t="b">
        <v>1</v>
      </c>
    </row>
    <row r="15826" spans="1:11">
      <c r="A15826" s="12">
        <v>43619</v>
      </c>
      <c r="B15826">
        <v>2019</v>
      </c>
      <c r="C15826">
        <v>6</v>
      </c>
      <c r="D15826" s="11">
        <v>43617</v>
      </c>
      <c r="E15826" t="s">
        <v>2178</v>
      </c>
      <c r="F15826">
        <v>1</v>
      </c>
      <c r="G15826" t="s">
        <v>61</v>
      </c>
      <c r="H15826" t="s">
        <v>40</v>
      </c>
      <c r="I15826" t="s">
        <v>2188</v>
      </c>
      <c r="J15826" s="10">
        <v>0.33</v>
      </c>
      <c r="K15826" t="b">
        <v>1</v>
      </c>
    </row>
    <row r="15827" spans="1:11">
      <c r="A15827" s="12">
        <v>43619</v>
      </c>
      <c r="B15827">
        <v>2019</v>
      </c>
      <c r="C15827">
        <v>6</v>
      </c>
      <c r="D15827" s="11">
        <v>43617</v>
      </c>
      <c r="E15827" t="s">
        <v>2178</v>
      </c>
      <c r="F15827">
        <v>1</v>
      </c>
      <c r="G15827" t="s">
        <v>61</v>
      </c>
      <c r="H15827" t="s">
        <v>41</v>
      </c>
      <c r="I15827" t="s">
        <v>2189</v>
      </c>
      <c r="J15827" s="10">
        <v>2.505</v>
      </c>
      <c r="K15827" t="b">
        <v>1</v>
      </c>
    </row>
    <row r="15828" spans="1:11">
      <c r="A15828" s="12">
        <v>43619</v>
      </c>
      <c r="B15828">
        <v>2019</v>
      </c>
      <c r="C15828">
        <v>6</v>
      </c>
      <c r="D15828" s="11">
        <v>43617</v>
      </c>
      <c r="E15828" t="s">
        <v>2178</v>
      </c>
      <c r="F15828">
        <v>1</v>
      </c>
      <c r="G15828" t="s">
        <v>61</v>
      </c>
      <c r="H15828" t="s">
        <v>42</v>
      </c>
      <c r="I15828" t="s">
        <v>2190</v>
      </c>
      <c r="J15828" s="10">
        <v>4</v>
      </c>
      <c r="K15828" t="b">
        <v>1</v>
      </c>
    </row>
    <row r="15829" spans="1:11">
      <c r="A15829" s="12">
        <v>43619</v>
      </c>
      <c r="B15829">
        <v>2019</v>
      </c>
      <c r="C15829">
        <v>6</v>
      </c>
      <c r="D15829" s="11">
        <v>43617</v>
      </c>
      <c r="E15829" t="s">
        <v>2178</v>
      </c>
      <c r="F15829">
        <v>1</v>
      </c>
      <c r="G15829" t="s">
        <v>61</v>
      </c>
      <c r="H15829" t="s">
        <v>43</v>
      </c>
      <c r="I15829" t="s">
        <v>2191</v>
      </c>
      <c r="J15829" s="10">
        <v>15.4</v>
      </c>
      <c r="K15829" t="b">
        <v>1</v>
      </c>
    </row>
    <row r="15830" spans="1:11">
      <c r="A15830" s="12">
        <v>43619</v>
      </c>
      <c r="B15830">
        <v>2019</v>
      </c>
      <c r="C15830">
        <v>6</v>
      </c>
      <c r="D15830" s="11">
        <v>43617</v>
      </c>
      <c r="E15830" t="s">
        <v>2178</v>
      </c>
      <c r="F15830">
        <v>1</v>
      </c>
      <c r="G15830" t="s">
        <v>61</v>
      </c>
      <c r="H15830" t="s">
        <v>44</v>
      </c>
      <c r="I15830" t="s">
        <v>2192</v>
      </c>
      <c r="J15830" s="10">
        <v>4</v>
      </c>
      <c r="K15830" t="b">
        <v>1</v>
      </c>
    </row>
    <row r="15831" spans="1:11">
      <c r="A15831" s="12">
        <v>43619</v>
      </c>
      <c r="B15831">
        <v>2019</v>
      </c>
      <c r="C15831">
        <v>6</v>
      </c>
      <c r="D15831" s="11">
        <v>43617</v>
      </c>
      <c r="E15831" t="s">
        <v>2178</v>
      </c>
      <c r="F15831">
        <v>1</v>
      </c>
      <c r="G15831" t="s">
        <v>61</v>
      </c>
      <c r="H15831" t="s">
        <v>45</v>
      </c>
      <c r="I15831" t="s">
        <v>2193</v>
      </c>
      <c r="J15831" s="10">
        <v>0</v>
      </c>
      <c r="K15831" t="b">
        <v>1</v>
      </c>
    </row>
    <row r="15832" spans="1:11">
      <c r="A15832" s="12">
        <v>43619</v>
      </c>
      <c r="B15832">
        <v>2019</v>
      </c>
      <c r="C15832">
        <v>6</v>
      </c>
      <c r="D15832" s="11">
        <v>43617</v>
      </c>
      <c r="E15832" t="s">
        <v>2178</v>
      </c>
      <c r="F15832">
        <v>1</v>
      </c>
      <c r="G15832" t="s">
        <v>61</v>
      </c>
      <c r="H15832" t="s">
        <v>46</v>
      </c>
      <c r="I15832" t="s">
        <v>2194</v>
      </c>
      <c r="J15832" s="10">
        <v>5</v>
      </c>
      <c r="K15832" t="b">
        <v>1</v>
      </c>
    </row>
    <row r="15833" spans="1:11">
      <c r="A15833" s="12">
        <v>43619</v>
      </c>
      <c r="B15833">
        <v>2019</v>
      </c>
      <c r="C15833">
        <v>6</v>
      </c>
      <c r="D15833" s="11">
        <v>43617</v>
      </c>
      <c r="E15833" t="s">
        <v>2178</v>
      </c>
      <c r="F15833">
        <v>1</v>
      </c>
      <c r="G15833" t="s">
        <v>61</v>
      </c>
      <c r="H15833" t="s">
        <v>47</v>
      </c>
      <c r="I15833" t="s">
        <v>2195</v>
      </c>
      <c r="J15833" s="10">
        <v>10</v>
      </c>
      <c r="K15833" t="b">
        <v>1</v>
      </c>
    </row>
    <row r="15834" spans="1:11">
      <c r="A15834" s="12">
        <v>43620</v>
      </c>
      <c r="B15834">
        <v>2019</v>
      </c>
      <c r="C15834">
        <v>6</v>
      </c>
      <c r="D15834" s="11">
        <v>43617</v>
      </c>
      <c r="E15834" t="s">
        <v>2178</v>
      </c>
      <c r="F15834">
        <v>2</v>
      </c>
      <c r="G15834" t="s">
        <v>63</v>
      </c>
      <c r="H15834" t="s">
        <v>40</v>
      </c>
      <c r="I15834" t="s">
        <v>2188</v>
      </c>
      <c r="J15834" s="10">
        <v>6.34</v>
      </c>
      <c r="K15834" t="b">
        <v>1</v>
      </c>
    </row>
    <row r="15835" spans="1:11">
      <c r="A15835" s="12">
        <v>43620</v>
      </c>
      <c r="B15835">
        <v>2019</v>
      </c>
      <c r="C15835">
        <v>6</v>
      </c>
      <c r="D15835" s="11">
        <v>43617</v>
      </c>
      <c r="E15835" t="s">
        <v>2178</v>
      </c>
      <c r="F15835">
        <v>2</v>
      </c>
      <c r="G15835" t="s">
        <v>63</v>
      </c>
      <c r="H15835" t="s">
        <v>41</v>
      </c>
      <c r="I15835" t="s">
        <v>2189</v>
      </c>
      <c r="J15835" s="10">
        <v>2.823</v>
      </c>
      <c r="K15835" t="b">
        <v>1</v>
      </c>
    </row>
    <row r="15836" spans="1:11">
      <c r="A15836" s="12">
        <v>43620</v>
      </c>
      <c r="B15836">
        <v>2019</v>
      </c>
      <c r="C15836">
        <v>6</v>
      </c>
      <c r="D15836" s="11">
        <v>43617</v>
      </c>
      <c r="E15836" t="s">
        <v>2178</v>
      </c>
      <c r="F15836">
        <v>2</v>
      </c>
      <c r="G15836" t="s">
        <v>63</v>
      </c>
      <c r="H15836" t="s">
        <v>42</v>
      </c>
      <c r="I15836" t="s">
        <v>2190</v>
      </c>
      <c r="J15836" s="10">
        <v>5.35</v>
      </c>
      <c r="K15836" t="b">
        <v>1</v>
      </c>
    </row>
    <row r="15837" spans="1:11">
      <c r="A15837" s="12">
        <v>43620</v>
      </c>
      <c r="B15837">
        <v>2019</v>
      </c>
      <c r="C15837">
        <v>6</v>
      </c>
      <c r="D15837" s="11">
        <v>43617</v>
      </c>
      <c r="E15837" t="s">
        <v>2178</v>
      </c>
      <c r="F15837">
        <v>2</v>
      </c>
      <c r="G15837" t="s">
        <v>63</v>
      </c>
      <c r="H15837" t="s">
        <v>43</v>
      </c>
      <c r="I15837" t="s">
        <v>2191</v>
      </c>
      <c r="J15837" s="10">
        <v>28.2</v>
      </c>
      <c r="K15837" t="b">
        <v>1</v>
      </c>
    </row>
    <row r="15838" spans="1:11">
      <c r="A15838" s="12">
        <v>43620</v>
      </c>
      <c r="B15838">
        <v>2019</v>
      </c>
      <c r="C15838">
        <v>6</v>
      </c>
      <c r="D15838" s="11">
        <v>43617</v>
      </c>
      <c r="E15838" t="s">
        <v>2178</v>
      </c>
      <c r="F15838">
        <v>2</v>
      </c>
      <c r="G15838" t="s">
        <v>63</v>
      </c>
      <c r="H15838" t="s">
        <v>44</v>
      </c>
      <c r="I15838" t="s">
        <v>2192</v>
      </c>
      <c r="J15838" s="10">
        <v>9</v>
      </c>
      <c r="K15838" t="b">
        <v>1</v>
      </c>
    </row>
    <row r="15839" spans="1:11">
      <c r="A15839" s="12">
        <v>43620</v>
      </c>
      <c r="B15839">
        <v>2019</v>
      </c>
      <c r="C15839">
        <v>6</v>
      </c>
      <c r="D15839" s="11">
        <v>43617</v>
      </c>
      <c r="E15839" t="s">
        <v>2178</v>
      </c>
      <c r="F15839">
        <v>2</v>
      </c>
      <c r="G15839" t="s">
        <v>63</v>
      </c>
      <c r="H15839" t="s">
        <v>45</v>
      </c>
      <c r="I15839" t="s">
        <v>2193</v>
      </c>
      <c r="J15839" s="10">
        <v>1</v>
      </c>
      <c r="K15839" t="b">
        <v>1</v>
      </c>
    </row>
    <row r="15840" spans="1:11">
      <c r="A15840" s="12">
        <v>43620</v>
      </c>
      <c r="B15840">
        <v>2019</v>
      </c>
      <c r="C15840">
        <v>6</v>
      </c>
      <c r="D15840" s="11">
        <v>43617</v>
      </c>
      <c r="E15840" t="s">
        <v>2178</v>
      </c>
      <c r="F15840">
        <v>2</v>
      </c>
      <c r="G15840" t="s">
        <v>63</v>
      </c>
      <c r="H15840" t="s">
        <v>46</v>
      </c>
      <c r="I15840" t="s">
        <v>2194</v>
      </c>
      <c r="J15840" s="10">
        <v>12</v>
      </c>
      <c r="K15840" t="b">
        <v>1</v>
      </c>
    </row>
    <row r="15841" spans="1:11">
      <c r="A15841" s="12">
        <v>43620</v>
      </c>
      <c r="B15841">
        <v>2019</v>
      </c>
      <c r="C15841">
        <v>6</v>
      </c>
      <c r="D15841" s="11">
        <v>43617</v>
      </c>
      <c r="E15841" t="s">
        <v>2178</v>
      </c>
      <c r="F15841">
        <v>2</v>
      </c>
      <c r="G15841" t="s">
        <v>63</v>
      </c>
      <c r="H15841" t="s">
        <v>47</v>
      </c>
      <c r="I15841" t="s">
        <v>2195</v>
      </c>
      <c r="J15841" s="10">
        <v>5</v>
      </c>
      <c r="K15841" t="b">
        <v>1</v>
      </c>
    </row>
    <row r="15842" spans="1:11">
      <c r="A15842" s="12">
        <v>43621</v>
      </c>
      <c r="B15842">
        <v>2019</v>
      </c>
      <c r="C15842">
        <v>6</v>
      </c>
      <c r="D15842" s="11">
        <v>43617</v>
      </c>
      <c r="E15842" t="s">
        <v>2178</v>
      </c>
      <c r="F15842">
        <v>3</v>
      </c>
      <c r="G15842" t="s">
        <v>65</v>
      </c>
      <c r="H15842" t="s">
        <v>40</v>
      </c>
      <c r="I15842" t="s">
        <v>2188</v>
      </c>
      <c r="J15842" s="10">
        <v>5</v>
      </c>
      <c r="K15842" t="b">
        <v>1</v>
      </c>
    </row>
    <row r="15843" spans="1:11">
      <c r="A15843" s="12">
        <v>43621</v>
      </c>
      <c r="B15843">
        <v>2019</v>
      </c>
      <c r="C15843">
        <v>6</v>
      </c>
      <c r="D15843" s="11">
        <v>43617</v>
      </c>
      <c r="E15843" t="s">
        <v>2178</v>
      </c>
      <c r="F15843">
        <v>3</v>
      </c>
      <c r="G15843" t="s">
        <v>65</v>
      </c>
      <c r="H15843" t="s">
        <v>41</v>
      </c>
      <c r="I15843" t="s">
        <v>2189</v>
      </c>
      <c r="J15843" s="10">
        <v>1.77</v>
      </c>
      <c r="K15843" t="b">
        <v>1</v>
      </c>
    </row>
    <row r="15844" spans="1:11">
      <c r="A15844" s="12">
        <v>43621</v>
      </c>
      <c r="B15844">
        <v>2019</v>
      </c>
      <c r="C15844">
        <v>6</v>
      </c>
      <c r="D15844" s="11">
        <v>43617</v>
      </c>
      <c r="E15844" t="s">
        <v>2178</v>
      </c>
      <c r="F15844">
        <v>3</v>
      </c>
      <c r="G15844" t="s">
        <v>65</v>
      </c>
      <c r="H15844" t="s">
        <v>42</v>
      </c>
      <c r="I15844" t="s">
        <v>2190</v>
      </c>
      <c r="J15844" s="10">
        <v>2.1</v>
      </c>
      <c r="K15844" t="b">
        <v>1</v>
      </c>
    </row>
    <row r="15845" spans="1:11">
      <c r="A15845" s="12">
        <v>43621</v>
      </c>
      <c r="B15845">
        <v>2019</v>
      </c>
      <c r="C15845">
        <v>6</v>
      </c>
      <c r="D15845" s="11">
        <v>43617</v>
      </c>
      <c r="E15845" t="s">
        <v>2178</v>
      </c>
      <c r="F15845">
        <v>3</v>
      </c>
      <c r="G15845" t="s">
        <v>65</v>
      </c>
      <c r="H15845" t="s">
        <v>43</v>
      </c>
      <c r="I15845" t="s">
        <v>2191</v>
      </c>
      <c r="J15845" s="10">
        <v>26.1</v>
      </c>
      <c r="K15845" t="b">
        <v>1</v>
      </c>
    </row>
    <row r="15846" spans="1:11">
      <c r="A15846" s="12">
        <v>43621</v>
      </c>
      <c r="B15846">
        <v>2019</v>
      </c>
      <c r="C15846">
        <v>6</v>
      </c>
      <c r="D15846" s="11">
        <v>43617</v>
      </c>
      <c r="E15846" t="s">
        <v>2178</v>
      </c>
      <c r="F15846">
        <v>3</v>
      </c>
      <c r="G15846" t="s">
        <v>65</v>
      </c>
      <c r="H15846" t="s">
        <v>44</v>
      </c>
      <c r="I15846" t="s">
        <v>2192</v>
      </c>
      <c r="J15846" s="10">
        <v>7</v>
      </c>
      <c r="K15846" t="b">
        <v>1</v>
      </c>
    </row>
    <row r="15847" spans="1:11">
      <c r="A15847" s="12">
        <v>43621</v>
      </c>
      <c r="B15847">
        <v>2019</v>
      </c>
      <c r="C15847">
        <v>6</v>
      </c>
      <c r="D15847" s="11">
        <v>43617</v>
      </c>
      <c r="E15847" t="s">
        <v>2178</v>
      </c>
      <c r="F15847">
        <v>3</v>
      </c>
      <c r="G15847" t="s">
        <v>65</v>
      </c>
      <c r="H15847" t="s">
        <v>45</v>
      </c>
      <c r="I15847" t="s">
        <v>2193</v>
      </c>
      <c r="J15847" s="10">
        <v>0</v>
      </c>
      <c r="K15847" t="b">
        <v>1</v>
      </c>
    </row>
    <row r="15848" spans="1:11">
      <c r="A15848" s="12">
        <v>43621</v>
      </c>
      <c r="B15848">
        <v>2019</v>
      </c>
      <c r="C15848">
        <v>6</v>
      </c>
      <c r="D15848" s="11">
        <v>43617</v>
      </c>
      <c r="E15848" t="s">
        <v>2178</v>
      </c>
      <c r="F15848">
        <v>3</v>
      </c>
      <c r="G15848" t="s">
        <v>65</v>
      </c>
      <c r="H15848" t="s">
        <v>46</v>
      </c>
      <c r="I15848" t="s">
        <v>2194</v>
      </c>
      <c r="J15848" s="10">
        <v>1</v>
      </c>
      <c r="K15848" t="b">
        <v>1</v>
      </c>
    </row>
    <row r="15849" spans="1:11">
      <c r="A15849" s="12">
        <v>43621</v>
      </c>
      <c r="B15849">
        <v>2019</v>
      </c>
      <c r="C15849">
        <v>6</v>
      </c>
      <c r="D15849" s="11">
        <v>43617</v>
      </c>
      <c r="E15849" t="s">
        <v>2178</v>
      </c>
      <c r="F15849">
        <v>3</v>
      </c>
      <c r="G15849" t="s">
        <v>65</v>
      </c>
      <c r="H15849" t="s">
        <v>47</v>
      </c>
      <c r="I15849" t="s">
        <v>2195</v>
      </c>
      <c r="J15849" s="10">
        <v>2</v>
      </c>
      <c r="K15849" t="b">
        <v>1</v>
      </c>
    </row>
    <row r="15850" spans="1:11">
      <c r="A15850" s="12">
        <v>43622</v>
      </c>
      <c r="B15850">
        <v>2019</v>
      </c>
      <c r="C15850">
        <v>6</v>
      </c>
      <c r="D15850" s="11">
        <v>43617</v>
      </c>
      <c r="E15850" t="s">
        <v>2178</v>
      </c>
      <c r="F15850">
        <v>4</v>
      </c>
      <c r="G15850" t="s">
        <v>53</v>
      </c>
      <c r="H15850" t="s">
        <v>40</v>
      </c>
      <c r="I15850" t="s">
        <v>2188</v>
      </c>
      <c r="J15850" s="10">
        <v>7.67</v>
      </c>
      <c r="K15850" t="b">
        <v>1</v>
      </c>
    </row>
    <row r="15851" spans="1:11">
      <c r="A15851" s="12">
        <v>43622</v>
      </c>
      <c r="B15851">
        <v>2019</v>
      </c>
      <c r="C15851">
        <v>6</v>
      </c>
      <c r="D15851" s="11">
        <v>43617</v>
      </c>
      <c r="E15851" t="s">
        <v>2178</v>
      </c>
      <c r="F15851">
        <v>4</v>
      </c>
      <c r="G15851" t="s">
        <v>53</v>
      </c>
      <c r="H15851" t="s">
        <v>41</v>
      </c>
      <c r="I15851" t="s">
        <v>2189</v>
      </c>
      <c r="J15851" s="10">
        <v>2.076</v>
      </c>
      <c r="K15851" t="b">
        <v>1</v>
      </c>
    </row>
    <row r="15852" spans="1:11">
      <c r="A15852" s="12">
        <v>43622</v>
      </c>
      <c r="B15852">
        <v>2019</v>
      </c>
      <c r="C15852">
        <v>6</v>
      </c>
      <c r="D15852" s="11">
        <v>43617</v>
      </c>
      <c r="E15852" t="s">
        <v>2178</v>
      </c>
      <c r="F15852">
        <v>4</v>
      </c>
      <c r="G15852" t="s">
        <v>53</v>
      </c>
      <c r="H15852" t="s">
        <v>42</v>
      </c>
      <c r="I15852" t="s">
        <v>2190</v>
      </c>
      <c r="J15852" s="10">
        <v>6.35</v>
      </c>
      <c r="K15852" t="b">
        <v>1</v>
      </c>
    </row>
    <row r="15853" spans="1:11">
      <c r="A15853" s="12">
        <v>43622</v>
      </c>
      <c r="B15853">
        <v>2019</v>
      </c>
      <c r="C15853">
        <v>6</v>
      </c>
      <c r="D15853" s="11">
        <v>43617</v>
      </c>
      <c r="E15853" t="s">
        <v>2178</v>
      </c>
      <c r="F15853">
        <v>4</v>
      </c>
      <c r="G15853" t="s">
        <v>53</v>
      </c>
      <c r="H15853" t="s">
        <v>43</v>
      </c>
      <c r="I15853" t="s">
        <v>2191</v>
      </c>
      <c r="J15853" s="10">
        <v>27</v>
      </c>
      <c r="K15853" t="b">
        <v>1</v>
      </c>
    </row>
    <row r="15854" spans="1:11">
      <c r="A15854" s="12">
        <v>43622</v>
      </c>
      <c r="B15854">
        <v>2019</v>
      </c>
      <c r="C15854">
        <v>6</v>
      </c>
      <c r="D15854" s="11">
        <v>43617</v>
      </c>
      <c r="E15854" t="s">
        <v>2178</v>
      </c>
      <c r="F15854">
        <v>4</v>
      </c>
      <c r="G15854" t="s">
        <v>53</v>
      </c>
      <c r="H15854" t="s">
        <v>44</v>
      </c>
      <c r="I15854" t="s">
        <v>2192</v>
      </c>
      <c r="J15854" s="10">
        <v>7</v>
      </c>
      <c r="K15854" t="b">
        <v>1</v>
      </c>
    </row>
    <row r="15855" spans="1:11">
      <c r="A15855" s="12">
        <v>43622</v>
      </c>
      <c r="B15855">
        <v>2019</v>
      </c>
      <c r="C15855">
        <v>6</v>
      </c>
      <c r="D15855" s="11">
        <v>43617</v>
      </c>
      <c r="E15855" t="s">
        <v>2178</v>
      </c>
      <c r="F15855">
        <v>4</v>
      </c>
      <c r="G15855" t="s">
        <v>53</v>
      </c>
      <c r="H15855" t="s">
        <v>45</v>
      </c>
      <c r="I15855" t="s">
        <v>2193</v>
      </c>
      <c r="J15855" s="10">
        <v>2</v>
      </c>
      <c r="K15855" t="b">
        <v>1</v>
      </c>
    </row>
    <row r="15856" spans="1:11">
      <c r="A15856" s="12">
        <v>43622</v>
      </c>
      <c r="B15856">
        <v>2019</v>
      </c>
      <c r="C15856">
        <v>6</v>
      </c>
      <c r="D15856" s="11">
        <v>43617</v>
      </c>
      <c r="E15856" t="s">
        <v>2178</v>
      </c>
      <c r="F15856">
        <v>4</v>
      </c>
      <c r="G15856" t="s">
        <v>53</v>
      </c>
      <c r="H15856" t="s">
        <v>46</v>
      </c>
      <c r="I15856" t="s">
        <v>2194</v>
      </c>
      <c r="J15856" s="10">
        <v>11</v>
      </c>
      <c r="K15856" t="b">
        <v>1</v>
      </c>
    </row>
    <row r="15857" spans="1:11">
      <c r="A15857" s="12">
        <v>43622</v>
      </c>
      <c r="B15857">
        <v>2019</v>
      </c>
      <c r="C15857">
        <v>6</v>
      </c>
      <c r="D15857" s="11">
        <v>43617</v>
      </c>
      <c r="E15857" t="s">
        <v>2178</v>
      </c>
      <c r="F15857">
        <v>4</v>
      </c>
      <c r="G15857" t="s">
        <v>53</v>
      </c>
      <c r="H15857" t="s">
        <v>47</v>
      </c>
      <c r="I15857" t="s">
        <v>2195</v>
      </c>
      <c r="J15857" s="10">
        <v>4</v>
      </c>
      <c r="K15857" t="b">
        <v>1</v>
      </c>
    </row>
    <row r="15858" spans="1:11">
      <c r="A15858" s="12">
        <v>43623</v>
      </c>
      <c r="B15858">
        <v>2019</v>
      </c>
      <c r="C15858">
        <v>6</v>
      </c>
      <c r="D15858" s="11">
        <v>43617</v>
      </c>
      <c r="E15858" t="s">
        <v>2178</v>
      </c>
      <c r="F15858">
        <v>5</v>
      </c>
      <c r="G15858" t="s">
        <v>55</v>
      </c>
      <c r="H15858" t="s">
        <v>40</v>
      </c>
      <c r="I15858" t="s">
        <v>2188</v>
      </c>
      <c r="J15858" s="10">
        <v>6</v>
      </c>
      <c r="K15858" t="b">
        <v>1</v>
      </c>
    </row>
    <row r="15859" spans="1:11">
      <c r="A15859" s="12">
        <v>43623</v>
      </c>
      <c r="B15859">
        <v>2019</v>
      </c>
      <c r="C15859">
        <v>6</v>
      </c>
      <c r="D15859" s="11">
        <v>43617</v>
      </c>
      <c r="E15859" t="s">
        <v>2178</v>
      </c>
      <c r="F15859">
        <v>5</v>
      </c>
      <c r="G15859" t="s">
        <v>55</v>
      </c>
      <c r="H15859" t="s">
        <v>41</v>
      </c>
      <c r="I15859" t="s">
        <v>2189</v>
      </c>
      <c r="J15859" s="10">
        <v>2.67</v>
      </c>
      <c r="K15859" t="b">
        <v>1</v>
      </c>
    </row>
    <row r="15860" spans="1:11">
      <c r="A15860" s="12">
        <v>43623</v>
      </c>
      <c r="B15860">
        <v>2019</v>
      </c>
      <c r="C15860">
        <v>6</v>
      </c>
      <c r="D15860" s="11">
        <v>43617</v>
      </c>
      <c r="E15860" t="s">
        <v>2178</v>
      </c>
      <c r="F15860">
        <v>5</v>
      </c>
      <c r="G15860" t="s">
        <v>55</v>
      </c>
      <c r="H15860" t="s">
        <v>42</v>
      </c>
      <c r="I15860" t="s">
        <v>2190</v>
      </c>
      <c r="J15860" s="10">
        <v>2</v>
      </c>
      <c r="K15860" t="b">
        <v>1</v>
      </c>
    </row>
    <row r="15861" spans="1:11">
      <c r="A15861" s="12">
        <v>43623</v>
      </c>
      <c r="B15861">
        <v>2019</v>
      </c>
      <c r="C15861">
        <v>6</v>
      </c>
      <c r="D15861" s="11">
        <v>43617</v>
      </c>
      <c r="E15861" t="s">
        <v>2178</v>
      </c>
      <c r="F15861">
        <v>5</v>
      </c>
      <c r="G15861" t="s">
        <v>55</v>
      </c>
      <c r="H15861" t="s">
        <v>43</v>
      </c>
      <c r="I15861" t="s">
        <v>2191</v>
      </c>
      <c r="J15861" s="10">
        <v>22</v>
      </c>
      <c r="K15861" t="b">
        <v>1</v>
      </c>
    </row>
    <row r="15862" spans="1:11">
      <c r="A15862" s="12">
        <v>43623</v>
      </c>
      <c r="B15862">
        <v>2019</v>
      </c>
      <c r="C15862">
        <v>6</v>
      </c>
      <c r="D15862" s="11">
        <v>43617</v>
      </c>
      <c r="E15862" t="s">
        <v>2178</v>
      </c>
      <c r="F15862">
        <v>5</v>
      </c>
      <c r="G15862" t="s">
        <v>55</v>
      </c>
      <c r="H15862" t="s">
        <v>44</v>
      </c>
      <c r="I15862" t="s">
        <v>2192</v>
      </c>
      <c r="J15862" s="10">
        <v>6</v>
      </c>
      <c r="K15862" t="b">
        <v>1</v>
      </c>
    </row>
    <row r="15863" spans="1:11">
      <c r="A15863" s="12">
        <v>43623</v>
      </c>
      <c r="B15863">
        <v>2019</v>
      </c>
      <c r="C15863">
        <v>6</v>
      </c>
      <c r="D15863" s="11">
        <v>43617</v>
      </c>
      <c r="E15863" t="s">
        <v>2178</v>
      </c>
      <c r="F15863">
        <v>5</v>
      </c>
      <c r="G15863" t="s">
        <v>55</v>
      </c>
      <c r="H15863" t="s">
        <v>45</v>
      </c>
      <c r="I15863" t="s">
        <v>2193</v>
      </c>
      <c r="J15863" s="10">
        <v>0</v>
      </c>
      <c r="K15863" t="b">
        <v>1</v>
      </c>
    </row>
    <row r="15864" spans="1:11">
      <c r="A15864" s="12">
        <v>43623</v>
      </c>
      <c r="B15864">
        <v>2019</v>
      </c>
      <c r="C15864">
        <v>6</v>
      </c>
      <c r="D15864" s="11">
        <v>43617</v>
      </c>
      <c r="E15864" t="s">
        <v>2178</v>
      </c>
      <c r="F15864">
        <v>5</v>
      </c>
      <c r="G15864" t="s">
        <v>55</v>
      </c>
      <c r="H15864" t="s">
        <v>46</v>
      </c>
      <c r="I15864" t="s">
        <v>2194</v>
      </c>
      <c r="J15864" s="10">
        <v>16</v>
      </c>
      <c r="K15864" t="b">
        <v>1</v>
      </c>
    </row>
    <row r="15865" spans="1:11">
      <c r="A15865" s="12">
        <v>43623</v>
      </c>
      <c r="B15865">
        <v>2019</v>
      </c>
      <c r="C15865">
        <v>6</v>
      </c>
      <c r="D15865" s="11">
        <v>43617</v>
      </c>
      <c r="E15865" t="s">
        <v>2178</v>
      </c>
      <c r="F15865">
        <v>5</v>
      </c>
      <c r="G15865" t="s">
        <v>55</v>
      </c>
      <c r="H15865" t="s">
        <v>47</v>
      </c>
      <c r="I15865" t="s">
        <v>2195</v>
      </c>
      <c r="J15865" s="10">
        <v>0</v>
      </c>
      <c r="K15865" t="b">
        <v>1</v>
      </c>
    </row>
    <row r="15866" spans="1:11">
      <c r="A15866" s="12">
        <v>43624</v>
      </c>
      <c r="B15866">
        <v>2019</v>
      </c>
      <c r="C15866">
        <v>6</v>
      </c>
      <c r="D15866" s="11">
        <v>43617</v>
      </c>
      <c r="E15866" t="s">
        <v>2178</v>
      </c>
      <c r="F15866">
        <v>6</v>
      </c>
      <c r="G15866" t="s">
        <v>57</v>
      </c>
      <c r="H15866" t="s">
        <v>40</v>
      </c>
      <c r="I15866" t="s">
        <v>2188</v>
      </c>
      <c r="J15866" s="10">
        <v>3</v>
      </c>
      <c r="K15866" t="b">
        <v>1</v>
      </c>
    </row>
    <row r="15867" spans="1:11">
      <c r="A15867" s="12">
        <v>43624</v>
      </c>
      <c r="B15867">
        <v>2019</v>
      </c>
      <c r="C15867">
        <v>6</v>
      </c>
      <c r="D15867" s="11">
        <v>43617</v>
      </c>
      <c r="E15867" t="s">
        <v>2178</v>
      </c>
      <c r="F15867">
        <v>6</v>
      </c>
      <c r="G15867" t="s">
        <v>57</v>
      </c>
      <c r="H15867" t="s">
        <v>41</v>
      </c>
      <c r="I15867" t="s">
        <v>2189</v>
      </c>
      <c r="J15867" s="10">
        <v>3.66</v>
      </c>
      <c r="K15867" t="b">
        <v>1</v>
      </c>
    </row>
    <row r="15868" spans="1:11">
      <c r="A15868" s="12">
        <v>43624</v>
      </c>
      <c r="B15868">
        <v>2019</v>
      </c>
      <c r="C15868">
        <v>6</v>
      </c>
      <c r="D15868" s="11">
        <v>43617</v>
      </c>
      <c r="E15868" t="s">
        <v>2178</v>
      </c>
      <c r="F15868">
        <v>6</v>
      </c>
      <c r="G15868" t="s">
        <v>57</v>
      </c>
      <c r="H15868" t="s">
        <v>42</v>
      </c>
      <c r="I15868" t="s">
        <v>2190</v>
      </c>
      <c r="J15868" s="10">
        <v>1</v>
      </c>
      <c r="K15868" t="b">
        <v>1</v>
      </c>
    </row>
    <row r="15869" spans="1:11">
      <c r="A15869" s="12">
        <v>43624</v>
      </c>
      <c r="B15869">
        <v>2019</v>
      </c>
      <c r="C15869">
        <v>6</v>
      </c>
      <c r="D15869" s="11">
        <v>43617</v>
      </c>
      <c r="E15869" t="s">
        <v>2178</v>
      </c>
      <c r="F15869">
        <v>6</v>
      </c>
      <c r="G15869" t="s">
        <v>57</v>
      </c>
      <c r="H15869" t="s">
        <v>43</v>
      </c>
      <c r="I15869" t="s">
        <v>2191</v>
      </c>
      <c r="J15869" s="10">
        <v>22.4</v>
      </c>
      <c r="K15869" t="b">
        <v>1</v>
      </c>
    </row>
    <row r="15870" spans="1:11">
      <c r="A15870" s="12">
        <v>43624</v>
      </c>
      <c r="B15870">
        <v>2019</v>
      </c>
      <c r="C15870">
        <v>6</v>
      </c>
      <c r="D15870" s="11">
        <v>43617</v>
      </c>
      <c r="E15870" t="s">
        <v>2178</v>
      </c>
      <c r="F15870">
        <v>6</v>
      </c>
      <c r="G15870" t="s">
        <v>57</v>
      </c>
      <c r="H15870" t="s">
        <v>44</v>
      </c>
      <c r="I15870" t="s">
        <v>2192</v>
      </c>
      <c r="J15870" s="10">
        <v>12</v>
      </c>
      <c r="K15870" t="b">
        <v>1</v>
      </c>
    </row>
    <row r="15871" spans="1:11">
      <c r="A15871" s="12">
        <v>43624</v>
      </c>
      <c r="B15871">
        <v>2019</v>
      </c>
      <c r="C15871">
        <v>6</v>
      </c>
      <c r="D15871" s="11">
        <v>43617</v>
      </c>
      <c r="E15871" t="s">
        <v>2178</v>
      </c>
      <c r="F15871">
        <v>6</v>
      </c>
      <c r="G15871" t="s">
        <v>57</v>
      </c>
      <c r="H15871" t="s">
        <v>45</v>
      </c>
      <c r="I15871" t="s">
        <v>2193</v>
      </c>
      <c r="J15871" s="10">
        <v>0</v>
      </c>
      <c r="K15871" t="b">
        <v>1</v>
      </c>
    </row>
    <row r="15872" spans="1:11">
      <c r="A15872" s="12">
        <v>43624</v>
      </c>
      <c r="B15872">
        <v>2019</v>
      </c>
      <c r="C15872">
        <v>6</v>
      </c>
      <c r="D15872" s="11">
        <v>43617</v>
      </c>
      <c r="E15872" t="s">
        <v>2178</v>
      </c>
      <c r="F15872">
        <v>6</v>
      </c>
      <c r="G15872" t="s">
        <v>57</v>
      </c>
      <c r="H15872" t="s">
        <v>46</v>
      </c>
      <c r="I15872" t="s">
        <v>2194</v>
      </c>
      <c r="J15872" s="10">
        <v>0</v>
      </c>
      <c r="K15872" t="b">
        <v>1</v>
      </c>
    </row>
    <row r="15873" spans="1:11">
      <c r="A15873" s="12">
        <v>43624</v>
      </c>
      <c r="B15873">
        <v>2019</v>
      </c>
      <c r="C15873">
        <v>6</v>
      </c>
      <c r="D15873" s="11">
        <v>43617</v>
      </c>
      <c r="E15873" t="s">
        <v>2178</v>
      </c>
      <c r="F15873">
        <v>6</v>
      </c>
      <c r="G15873" t="s">
        <v>57</v>
      </c>
      <c r="H15873" t="s">
        <v>47</v>
      </c>
      <c r="I15873" t="s">
        <v>2195</v>
      </c>
      <c r="J15873" s="10">
        <v>2.1</v>
      </c>
      <c r="K15873" t="b">
        <v>1</v>
      </c>
    </row>
    <row r="15874" spans="1:11">
      <c r="A15874" s="12">
        <v>43625</v>
      </c>
      <c r="B15874">
        <v>2019</v>
      </c>
      <c r="C15874">
        <v>6</v>
      </c>
      <c r="D15874" s="11">
        <v>43617</v>
      </c>
      <c r="E15874" t="s">
        <v>2178</v>
      </c>
      <c r="F15874">
        <v>7</v>
      </c>
      <c r="G15874" t="s">
        <v>59</v>
      </c>
      <c r="H15874" t="s">
        <v>40</v>
      </c>
      <c r="I15874" t="s">
        <v>2188</v>
      </c>
      <c r="J15874" s="10">
        <v>9.33</v>
      </c>
      <c r="K15874" t="b">
        <v>1</v>
      </c>
    </row>
    <row r="15875" spans="1:11">
      <c r="A15875" s="12">
        <v>43625</v>
      </c>
      <c r="B15875">
        <v>2019</v>
      </c>
      <c r="C15875">
        <v>6</v>
      </c>
      <c r="D15875" s="11">
        <v>43617</v>
      </c>
      <c r="E15875" t="s">
        <v>2178</v>
      </c>
      <c r="F15875">
        <v>7</v>
      </c>
      <c r="G15875" t="s">
        <v>59</v>
      </c>
      <c r="H15875" t="s">
        <v>41</v>
      </c>
      <c r="I15875" t="s">
        <v>2189</v>
      </c>
      <c r="J15875" s="10">
        <v>1.033</v>
      </c>
      <c r="K15875" t="b">
        <v>1</v>
      </c>
    </row>
    <row r="15876" spans="1:11">
      <c r="A15876" s="12">
        <v>43625</v>
      </c>
      <c r="B15876">
        <v>2019</v>
      </c>
      <c r="C15876">
        <v>6</v>
      </c>
      <c r="D15876" s="11">
        <v>43617</v>
      </c>
      <c r="E15876" t="s">
        <v>2178</v>
      </c>
      <c r="F15876">
        <v>7</v>
      </c>
      <c r="G15876" t="s">
        <v>59</v>
      </c>
      <c r="H15876" t="s">
        <v>42</v>
      </c>
      <c r="I15876" t="s">
        <v>2190</v>
      </c>
      <c r="J15876" s="10">
        <v>8</v>
      </c>
      <c r="K15876" t="b">
        <v>1</v>
      </c>
    </row>
    <row r="15877" spans="1:11">
      <c r="A15877" s="12">
        <v>43625</v>
      </c>
      <c r="B15877">
        <v>2019</v>
      </c>
      <c r="C15877">
        <v>6</v>
      </c>
      <c r="D15877" s="11">
        <v>43617</v>
      </c>
      <c r="E15877" t="s">
        <v>2178</v>
      </c>
      <c r="F15877">
        <v>7</v>
      </c>
      <c r="G15877" t="s">
        <v>59</v>
      </c>
      <c r="H15877" t="s">
        <v>43</v>
      </c>
      <c r="I15877" t="s">
        <v>2191</v>
      </c>
      <c r="J15877" s="10">
        <v>16.5</v>
      </c>
      <c r="K15877" t="b">
        <v>1</v>
      </c>
    </row>
    <row r="15878" spans="1:11">
      <c r="A15878" s="12">
        <v>43625</v>
      </c>
      <c r="B15878">
        <v>2019</v>
      </c>
      <c r="C15878">
        <v>6</v>
      </c>
      <c r="D15878" s="11">
        <v>43617</v>
      </c>
      <c r="E15878" t="s">
        <v>2178</v>
      </c>
      <c r="F15878">
        <v>7</v>
      </c>
      <c r="G15878" t="s">
        <v>59</v>
      </c>
      <c r="H15878" t="s">
        <v>44</v>
      </c>
      <c r="I15878" t="s">
        <v>2192</v>
      </c>
      <c r="J15878" s="10">
        <v>7</v>
      </c>
      <c r="K15878" t="b">
        <v>1</v>
      </c>
    </row>
    <row r="15879" spans="1:11">
      <c r="A15879" s="12">
        <v>43625</v>
      </c>
      <c r="B15879">
        <v>2019</v>
      </c>
      <c r="C15879">
        <v>6</v>
      </c>
      <c r="D15879" s="11">
        <v>43617</v>
      </c>
      <c r="E15879" t="s">
        <v>2178</v>
      </c>
      <c r="F15879">
        <v>7</v>
      </c>
      <c r="G15879" t="s">
        <v>59</v>
      </c>
      <c r="H15879" t="s">
        <v>45</v>
      </c>
      <c r="I15879" t="s">
        <v>2193</v>
      </c>
      <c r="J15879" s="10">
        <v>4</v>
      </c>
      <c r="K15879" t="b">
        <v>1</v>
      </c>
    </row>
    <row r="15880" spans="1:11">
      <c r="A15880" s="12">
        <v>43625</v>
      </c>
      <c r="B15880">
        <v>2019</v>
      </c>
      <c r="C15880">
        <v>6</v>
      </c>
      <c r="D15880" s="11">
        <v>43617</v>
      </c>
      <c r="E15880" t="s">
        <v>2178</v>
      </c>
      <c r="F15880">
        <v>7</v>
      </c>
      <c r="G15880" t="s">
        <v>59</v>
      </c>
      <c r="H15880" t="s">
        <v>46</v>
      </c>
      <c r="I15880" t="s">
        <v>2194</v>
      </c>
      <c r="J15880" s="10">
        <v>0</v>
      </c>
      <c r="K15880" t="b">
        <v>1</v>
      </c>
    </row>
    <row r="15881" spans="1:11">
      <c r="A15881" s="12">
        <v>43625</v>
      </c>
      <c r="B15881">
        <v>2019</v>
      </c>
      <c r="C15881">
        <v>6</v>
      </c>
      <c r="D15881" s="11">
        <v>43617</v>
      </c>
      <c r="E15881" t="s">
        <v>2178</v>
      </c>
      <c r="F15881">
        <v>7</v>
      </c>
      <c r="G15881" t="s">
        <v>59</v>
      </c>
      <c r="H15881" t="s">
        <v>47</v>
      </c>
      <c r="I15881" t="s">
        <v>2195</v>
      </c>
      <c r="J15881" s="10">
        <v>5</v>
      </c>
      <c r="K15881" t="b">
        <v>1</v>
      </c>
    </row>
    <row r="15882" spans="1:11">
      <c r="A15882" s="12">
        <v>43626</v>
      </c>
      <c r="B15882">
        <v>2019</v>
      </c>
      <c r="C15882">
        <v>6</v>
      </c>
      <c r="D15882" s="11">
        <v>43617</v>
      </c>
      <c r="E15882" t="s">
        <v>2178</v>
      </c>
      <c r="F15882">
        <v>1</v>
      </c>
      <c r="G15882" t="s">
        <v>61</v>
      </c>
      <c r="H15882" t="s">
        <v>40</v>
      </c>
      <c r="I15882" t="s">
        <v>2188</v>
      </c>
      <c r="J15882" s="10">
        <v>3</v>
      </c>
      <c r="K15882" t="b">
        <v>1</v>
      </c>
    </row>
    <row r="15883" spans="1:11">
      <c r="A15883" s="12">
        <v>43626</v>
      </c>
      <c r="B15883">
        <v>2019</v>
      </c>
      <c r="C15883">
        <v>6</v>
      </c>
      <c r="D15883" s="11">
        <v>43617</v>
      </c>
      <c r="E15883" t="s">
        <v>2178</v>
      </c>
      <c r="F15883">
        <v>1</v>
      </c>
      <c r="G15883" t="s">
        <v>61</v>
      </c>
      <c r="H15883" t="s">
        <v>41</v>
      </c>
      <c r="I15883" t="s">
        <v>2189</v>
      </c>
      <c r="J15883" s="10">
        <v>1.34</v>
      </c>
      <c r="K15883" t="b">
        <v>1</v>
      </c>
    </row>
    <row r="15884" spans="1:11">
      <c r="A15884" s="12">
        <v>43626</v>
      </c>
      <c r="B15884">
        <v>2019</v>
      </c>
      <c r="C15884">
        <v>6</v>
      </c>
      <c r="D15884" s="11">
        <v>43617</v>
      </c>
      <c r="E15884" t="s">
        <v>2178</v>
      </c>
      <c r="F15884">
        <v>1</v>
      </c>
      <c r="G15884" t="s">
        <v>61</v>
      </c>
      <c r="H15884" t="s">
        <v>42</v>
      </c>
      <c r="I15884" t="s">
        <v>2190</v>
      </c>
      <c r="J15884" s="10">
        <v>2</v>
      </c>
      <c r="K15884" t="b">
        <v>1</v>
      </c>
    </row>
    <row r="15885" spans="1:11">
      <c r="A15885" s="12">
        <v>43626</v>
      </c>
      <c r="B15885">
        <v>2019</v>
      </c>
      <c r="C15885">
        <v>6</v>
      </c>
      <c r="D15885" s="11">
        <v>43617</v>
      </c>
      <c r="E15885" t="s">
        <v>2178</v>
      </c>
      <c r="F15885">
        <v>1</v>
      </c>
      <c r="G15885" t="s">
        <v>61</v>
      </c>
      <c r="H15885" t="s">
        <v>43</v>
      </c>
      <c r="I15885" t="s">
        <v>2191</v>
      </c>
      <c r="J15885" s="10">
        <v>15</v>
      </c>
      <c r="K15885" t="b">
        <v>1</v>
      </c>
    </row>
    <row r="15886" spans="1:11">
      <c r="A15886" s="12">
        <v>43626</v>
      </c>
      <c r="B15886">
        <v>2019</v>
      </c>
      <c r="C15886">
        <v>6</v>
      </c>
      <c r="D15886" s="11">
        <v>43617</v>
      </c>
      <c r="E15886" t="s">
        <v>2178</v>
      </c>
      <c r="F15886">
        <v>1</v>
      </c>
      <c r="G15886" t="s">
        <v>61</v>
      </c>
      <c r="H15886" t="s">
        <v>44</v>
      </c>
      <c r="I15886" t="s">
        <v>2192</v>
      </c>
      <c r="J15886" s="10">
        <v>7</v>
      </c>
      <c r="K15886" t="b">
        <v>1</v>
      </c>
    </row>
    <row r="15887" spans="1:11">
      <c r="A15887" s="12">
        <v>43626</v>
      </c>
      <c r="B15887">
        <v>2019</v>
      </c>
      <c r="C15887">
        <v>6</v>
      </c>
      <c r="D15887" s="11">
        <v>43617</v>
      </c>
      <c r="E15887" t="s">
        <v>2178</v>
      </c>
      <c r="F15887">
        <v>1</v>
      </c>
      <c r="G15887" t="s">
        <v>61</v>
      </c>
      <c r="H15887" t="s">
        <v>45</v>
      </c>
      <c r="I15887" t="s">
        <v>2193</v>
      </c>
      <c r="J15887" s="10">
        <v>0</v>
      </c>
      <c r="K15887" t="b">
        <v>1</v>
      </c>
    </row>
    <row r="15888" spans="1:11">
      <c r="A15888" s="12">
        <v>43626</v>
      </c>
      <c r="B15888">
        <v>2019</v>
      </c>
      <c r="C15888">
        <v>6</v>
      </c>
      <c r="D15888" s="11">
        <v>43617</v>
      </c>
      <c r="E15888" t="s">
        <v>2178</v>
      </c>
      <c r="F15888">
        <v>1</v>
      </c>
      <c r="G15888" t="s">
        <v>61</v>
      </c>
      <c r="H15888" t="s">
        <v>46</v>
      </c>
      <c r="I15888" t="s">
        <v>2194</v>
      </c>
      <c r="J15888" s="10">
        <v>6</v>
      </c>
      <c r="K15888" t="b">
        <v>1</v>
      </c>
    </row>
    <row r="15889" spans="1:11">
      <c r="A15889" s="12">
        <v>43626</v>
      </c>
      <c r="B15889">
        <v>2019</v>
      </c>
      <c r="C15889">
        <v>6</v>
      </c>
      <c r="D15889" s="11">
        <v>43617</v>
      </c>
      <c r="E15889" t="s">
        <v>2178</v>
      </c>
      <c r="F15889">
        <v>1</v>
      </c>
      <c r="G15889" t="s">
        <v>61</v>
      </c>
      <c r="H15889" t="s">
        <v>47</v>
      </c>
      <c r="I15889" t="s">
        <v>2195</v>
      </c>
      <c r="J15889" s="10">
        <v>12</v>
      </c>
      <c r="K15889" t="b">
        <v>1</v>
      </c>
    </row>
    <row r="15890" spans="1:11">
      <c r="A15890" s="12">
        <v>43627</v>
      </c>
      <c r="B15890">
        <v>2019</v>
      </c>
      <c r="C15890">
        <v>6</v>
      </c>
      <c r="D15890" s="11">
        <v>43617</v>
      </c>
      <c r="E15890" t="s">
        <v>2178</v>
      </c>
      <c r="F15890">
        <v>2</v>
      </c>
      <c r="G15890" t="s">
        <v>63</v>
      </c>
      <c r="H15890" t="s">
        <v>40</v>
      </c>
      <c r="I15890" t="s">
        <v>2188</v>
      </c>
      <c r="J15890" s="10">
        <v>11.34</v>
      </c>
      <c r="K15890" t="b">
        <v>1</v>
      </c>
    </row>
    <row r="15891" spans="1:11">
      <c r="A15891" s="12">
        <v>43627</v>
      </c>
      <c r="B15891">
        <v>2019</v>
      </c>
      <c r="C15891">
        <v>6</v>
      </c>
      <c r="D15891" s="11">
        <v>43617</v>
      </c>
      <c r="E15891" t="s">
        <v>2178</v>
      </c>
      <c r="F15891">
        <v>2</v>
      </c>
      <c r="G15891" t="s">
        <v>63</v>
      </c>
      <c r="H15891" t="s">
        <v>41</v>
      </c>
      <c r="I15891" t="s">
        <v>2189</v>
      </c>
      <c r="J15891" s="10">
        <v>3.33</v>
      </c>
      <c r="K15891" t="b">
        <v>1</v>
      </c>
    </row>
    <row r="15892" spans="1:11">
      <c r="A15892" s="12">
        <v>43627</v>
      </c>
      <c r="B15892">
        <v>2019</v>
      </c>
      <c r="C15892">
        <v>6</v>
      </c>
      <c r="D15892" s="11">
        <v>43617</v>
      </c>
      <c r="E15892" t="s">
        <v>2178</v>
      </c>
      <c r="F15892">
        <v>2</v>
      </c>
      <c r="G15892" t="s">
        <v>63</v>
      </c>
      <c r="H15892" t="s">
        <v>42</v>
      </c>
      <c r="I15892" t="s">
        <v>2190</v>
      </c>
      <c r="J15892" s="10">
        <v>10.5</v>
      </c>
      <c r="K15892" t="b">
        <v>1</v>
      </c>
    </row>
    <row r="15893" spans="1:11">
      <c r="A15893" s="12">
        <v>43627</v>
      </c>
      <c r="B15893">
        <v>2019</v>
      </c>
      <c r="C15893">
        <v>6</v>
      </c>
      <c r="D15893" s="11">
        <v>43617</v>
      </c>
      <c r="E15893" t="s">
        <v>2178</v>
      </c>
      <c r="F15893">
        <v>2</v>
      </c>
      <c r="G15893" t="s">
        <v>63</v>
      </c>
      <c r="H15893" t="s">
        <v>43</v>
      </c>
      <c r="I15893" t="s">
        <v>2191</v>
      </c>
      <c r="J15893" s="10">
        <v>25</v>
      </c>
      <c r="K15893" t="b">
        <v>1</v>
      </c>
    </row>
    <row r="15894" spans="1:11">
      <c r="A15894" s="12">
        <v>43627</v>
      </c>
      <c r="B15894">
        <v>2019</v>
      </c>
      <c r="C15894">
        <v>6</v>
      </c>
      <c r="D15894" s="11">
        <v>43617</v>
      </c>
      <c r="E15894" t="s">
        <v>2178</v>
      </c>
      <c r="F15894">
        <v>2</v>
      </c>
      <c r="G15894" t="s">
        <v>63</v>
      </c>
      <c r="H15894" t="s">
        <v>44</v>
      </c>
      <c r="I15894" t="s">
        <v>2192</v>
      </c>
      <c r="J15894" s="10">
        <v>9</v>
      </c>
      <c r="K15894" t="b">
        <v>1</v>
      </c>
    </row>
    <row r="15895" spans="1:11">
      <c r="A15895" s="12">
        <v>43627</v>
      </c>
      <c r="B15895">
        <v>2019</v>
      </c>
      <c r="C15895">
        <v>6</v>
      </c>
      <c r="D15895" s="11">
        <v>43617</v>
      </c>
      <c r="E15895" t="s">
        <v>2178</v>
      </c>
      <c r="F15895">
        <v>2</v>
      </c>
      <c r="G15895" t="s">
        <v>63</v>
      </c>
      <c r="H15895" t="s">
        <v>45</v>
      </c>
      <c r="I15895" t="s">
        <v>2193</v>
      </c>
      <c r="J15895" s="10">
        <v>0</v>
      </c>
      <c r="K15895" t="b">
        <v>1</v>
      </c>
    </row>
    <row r="15896" spans="1:11">
      <c r="A15896" s="12">
        <v>43627</v>
      </c>
      <c r="B15896">
        <v>2019</v>
      </c>
      <c r="C15896">
        <v>6</v>
      </c>
      <c r="D15896" s="11">
        <v>43617</v>
      </c>
      <c r="E15896" t="s">
        <v>2178</v>
      </c>
      <c r="F15896">
        <v>2</v>
      </c>
      <c r="G15896" t="s">
        <v>63</v>
      </c>
      <c r="H15896" t="s">
        <v>46</v>
      </c>
      <c r="I15896" t="s">
        <v>2194</v>
      </c>
      <c r="J15896" s="10">
        <v>7</v>
      </c>
      <c r="K15896" t="b">
        <v>1</v>
      </c>
    </row>
    <row r="15897" spans="1:11">
      <c r="A15897" s="12">
        <v>43627</v>
      </c>
      <c r="B15897">
        <v>2019</v>
      </c>
      <c r="C15897">
        <v>6</v>
      </c>
      <c r="D15897" s="11">
        <v>43617</v>
      </c>
      <c r="E15897" t="s">
        <v>2178</v>
      </c>
      <c r="F15897">
        <v>2</v>
      </c>
      <c r="G15897" t="s">
        <v>63</v>
      </c>
      <c r="H15897" t="s">
        <v>47</v>
      </c>
      <c r="I15897" t="s">
        <v>2195</v>
      </c>
      <c r="J15897" s="10">
        <v>6</v>
      </c>
      <c r="K15897" t="b">
        <v>1</v>
      </c>
    </row>
    <row r="15898" spans="1:11">
      <c r="A15898" s="12">
        <v>43628</v>
      </c>
      <c r="B15898">
        <v>2019</v>
      </c>
      <c r="C15898">
        <v>6</v>
      </c>
      <c r="D15898" s="11">
        <v>43617</v>
      </c>
      <c r="E15898" t="s">
        <v>2178</v>
      </c>
      <c r="F15898">
        <v>3</v>
      </c>
      <c r="G15898" t="s">
        <v>65</v>
      </c>
      <c r="H15898" t="s">
        <v>40</v>
      </c>
      <c r="I15898" t="s">
        <v>2188</v>
      </c>
      <c r="J15898" s="10">
        <v>8</v>
      </c>
      <c r="K15898" t="b">
        <v>1</v>
      </c>
    </row>
    <row r="15899" spans="1:11">
      <c r="A15899" s="12">
        <v>43628</v>
      </c>
      <c r="B15899">
        <v>2019</v>
      </c>
      <c r="C15899">
        <v>6</v>
      </c>
      <c r="D15899" s="11">
        <v>43617</v>
      </c>
      <c r="E15899" t="s">
        <v>2178</v>
      </c>
      <c r="F15899">
        <v>3</v>
      </c>
      <c r="G15899" t="s">
        <v>65</v>
      </c>
      <c r="H15899" t="s">
        <v>41</v>
      </c>
      <c r="I15899" t="s">
        <v>2189</v>
      </c>
      <c r="J15899" s="10">
        <v>3.406</v>
      </c>
      <c r="K15899" t="b">
        <v>1</v>
      </c>
    </row>
    <row r="15900" spans="1:11">
      <c r="A15900" s="12">
        <v>43628</v>
      </c>
      <c r="B15900">
        <v>2019</v>
      </c>
      <c r="C15900">
        <v>6</v>
      </c>
      <c r="D15900" s="11">
        <v>43617</v>
      </c>
      <c r="E15900" t="s">
        <v>2178</v>
      </c>
      <c r="F15900">
        <v>3</v>
      </c>
      <c r="G15900" t="s">
        <v>65</v>
      </c>
      <c r="H15900" t="s">
        <v>42</v>
      </c>
      <c r="I15900" t="s">
        <v>2190</v>
      </c>
      <c r="J15900" s="10">
        <v>1</v>
      </c>
      <c r="K15900" t="b">
        <v>1</v>
      </c>
    </row>
    <row r="15901" spans="1:11">
      <c r="A15901" s="12">
        <v>43628</v>
      </c>
      <c r="B15901">
        <v>2019</v>
      </c>
      <c r="C15901">
        <v>6</v>
      </c>
      <c r="D15901" s="11">
        <v>43617</v>
      </c>
      <c r="E15901" t="s">
        <v>2178</v>
      </c>
      <c r="F15901">
        <v>3</v>
      </c>
      <c r="G15901" t="s">
        <v>65</v>
      </c>
      <c r="H15901" t="s">
        <v>43</v>
      </c>
      <c r="I15901" t="s">
        <v>2191</v>
      </c>
      <c r="J15901" s="10">
        <v>16.2</v>
      </c>
      <c r="K15901" t="b">
        <v>1</v>
      </c>
    </row>
    <row r="15902" spans="1:11">
      <c r="A15902" s="12">
        <v>43628</v>
      </c>
      <c r="B15902">
        <v>2019</v>
      </c>
      <c r="C15902">
        <v>6</v>
      </c>
      <c r="D15902" s="11">
        <v>43617</v>
      </c>
      <c r="E15902" t="s">
        <v>2178</v>
      </c>
      <c r="F15902">
        <v>3</v>
      </c>
      <c r="G15902" t="s">
        <v>65</v>
      </c>
      <c r="H15902" t="s">
        <v>44</v>
      </c>
      <c r="I15902" t="s">
        <v>2192</v>
      </c>
      <c r="J15902" s="10">
        <v>11</v>
      </c>
      <c r="K15902" t="b">
        <v>1</v>
      </c>
    </row>
    <row r="15903" spans="1:11">
      <c r="A15903" s="12">
        <v>43628</v>
      </c>
      <c r="B15903">
        <v>2019</v>
      </c>
      <c r="C15903">
        <v>6</v>
      </c>
      <c r="D15903" s="11">
        <v>43617</v>
      </c>
      <c r="E15903" t="s">
        <v>2178</v>
      </c>
      <c r="F15903">
        <v>3</v>
      </c>
      <c r="G15903" t="s">
        <v>65</v>
      </c>
      <c r="H15903" t="s">
        <v>45</v>
      </c>
      <c r="I15903" t="s">
        <v>2193</v>
      </c>
      <c r="J15903" s="10">
        <v>0</v>
      </c>
      <c r="K15903" t="b">
        <v>1</v>
      </c>
    </row>
    <row r="15904" spans="1:11">
      <c r="A15904" s="12">
        <v>43628</v>
      </c>
      <c r="B15904">
        <v>2019</v>
      </c>
      <c r="C15904">
        <v>6</v>
      </c>
      <c r="D15904" s="11">
        <v>43617</v>
      </c>
      <c r="E15904" t="s">
        <v>2178</v>
      </c>
      <c r="F15904">
        <v>3</v>
      </c>
      <c r="G15904" t="s">
        <v>65</v>
      </c>
      <c r="H15904" t="s">
        <v>46</v>
      </c>
      <c r="I15904" t="s">
        <v>2194</v>
      </c>
      <c r="J15904" s="10">
        <v>1</v>
      </c>
      <c r="K15904" t="b">
        <v>1</v>
      </c>
    </row>
    <row r="15905" spans="1:11">
      <c r="A15905" s="12">
        <v>43628</v>
      </c>
      <c r="B15905">
        <v>2019</v>
      </c>
      <c r="C15905">
        <v>6</v>
      </c>
      <c r="D15905" s="11">
        <v>43617</v>
      </c>
      <c r="E15905" t="s">
        <v>2178</v>
      </c>
      <c r="F15905">
        <v>3</v>
      </c>
      <c r="G15905" t="s">
        <v>65</v>
      </c>
      <c r="H15905" t="s">
        <v>47</v>
      </c>
      <c r="I15905" t="s">
        <v>2195</v>
      </c>
      <c r="J15905" s="10">
        <v>7</v>
      </c>
      <c r="K15905" t="b">
        <v>1</v>
      </c>
    </row>
    <row r="15906" spans="1:11">
      <c r="A15906" s="12">
        <v>43629</v>
      </c>
      <c r="B15906">
        <v>2019</v>
      </c>
      <c r="C15906">
        <v>6</v>
      </c>
      <c r="D15906" s="11">
        <v>43617</v>
      </c>
      <c r="E15906" t="s">
        <v>2178</v>
      </c>
      <c r="F15906">
        <v>4</v>
      </c>
      <c r="G15906" t="s">
        <v>53</v>
      </c>
      <c r="H15906" t="s">
        <v>40</v>
      </c>
      <c r="I15906" t="s">
        <v>2188</v>
      </c>
      <c r="J15906" s="10">
        <v>0.68</v>
      </c>
      <c r="K15906" t="b">
        <v>1</v>
      </c>
    </row>
    <row r="15907" spans="1:11">
      <c r="A15907" s="12">
        <v>43629</v>
      </c>
      <c r="B15907">
        <v>2019</v>
      </c>
      <c r="C15907">
        <v>6</v>
      </c>
      <c r="D15907" s="11">
        <v>43617</v>
      </c>
      <c r="E15907" t="s">
        <v>2178</v>
      </c>
      <c r="F15907">
        <v>4</v>
      </c>
      <c r="G15907" t="s">
        <v>53</v>
      </c>
      <c r="H15907" t="s">
        <v>41</v>
      </c>
      <c r="I15907" t="s">
        <v>2189</v>
      </c>
      <c r="J15907" s="10">
        <v>3.02</v>
      </c>
      <c r="K15907" t="b">
        <v>1</v>
      </c>
    </row>
    <row r="15908" spans="1:11">
      <c r="A15908" s="12">
        <v>43629</v>
      </c>
      <c r="B15908">
        <v>2019</v>
      </c>
      <c r="C15908">
        <v>6</v>
      </c>
      <c r="D15908" s="11">
        <v>43617</v>
      </c>
      <c r="E15908" t="s">
        <v>2178</v>
      </c>
      <c r="F15908">
        <v>4</v>
      </c>
      <c r="G15908" t="s">
        <v>53</v>
      </c>
      <c r="H15908" t="s">
        <v>42</v>
      </c>
      <c r="I15908" t="s">
        <v>2190</v>
      </c>
      <c r="J15908" s="10">
        <v>0.25</v>
      </c>
      <c r="K15908" t="b">
        <v>1</v>
      </c>
    </row>
    <row r="15909" spans="1:11">
      <c r="A15909" s="12">
        <v>43629</v>
      </c>
      <c r="B15909">
        <v>2019</v>
      </c>
      <c r="C15909">
        <v>6</v>
      </c>
      <c r="D15909" s="11">
        <v>43617</v>
      </c>
      <c r="E15909" t="s">
        <v>2178</v>
      </c>
      <c r="F15909">
        <v>4</v>
      </c>
      <c r="G15909" t="s">
        <v>53</v>
      </c>
      <c r="H15909" t="s">
        <v>43</v>
      </c>
      <c r="I15909" t="s">
        <v>2191</v>
      </c>
      <c r="J15909" s="10">
        <v>19.4</v>
      </c>
      <c r="K15909" t="b">
        <v>1</v>
      </c>
    </row>
    <row r="15910" spans="1:11">
      <c r="A15910" s="12">
        <v>43629</v>
      </c>
      <c r="B15910">
        <v>2019</v>
      </c>
      <c r="C15910">
        <v>6</v>
      </c>
      <c r="D15910" s="11">
        <v>43617</v>
      </c>
      <c r="E15910" t="s">
        <v>2178</v>
      </c>
      <c r="F15910">
        <v>4</v>
      </c>
      <c r="G15910" t="s">
        <v>53</v>
      </c>
      <c r="H15910" t="s">
        <v>44</v>
      </c>
      <c r="I15910" t="s">
        <v>2192</v>
      </c>
      <c r="J15910" s="10">
        <v>2</v>
      </c>
      <c r="K15910" t="b">
        <v>1</v>
      </c>
    </row>
    <row r="15911" spans="1:11">
      <c r="A15911" s="12">
        <v>43629</v>
      </c>
      <c r="B15911">
        <v>2019</v>
      </c>
      <c r="C15911">
        <v>6</v>
      </c>
      <c r="D15911" s="11">
        <v>43617</v>
      </c>
      <c r="E15911" t="s">
        <v>2178</v>
      </c>
      <c r="F15911">
        <v>4</v>
      </c>
      <c r="G15911" t="s">
        <v>53</v>
      </c>
      <c r="H15911" t="s">
        <v>45</v>
      </c>
      <c r="I15911" t="s">
        <v>2193</v>
      </c>
      <c r="J15911" s="10">
        <v>0</v>
      </c>
      <c r="K15911" t="b">
        <v>1</v>
      </c>
    </row>
    <row r="15912" spans="1:11">
      <c r="A15912" s="12">
        <v>43629</v>
      </c>
      <c r="B15912">
        <v>2019</v>
      </c>
      <c r="C15912">
        <v>6</v>
      </c>
      <c r="D15912" s="11">
        <v>43617</v>
      </c>
      <c r="E15912" t="s">
        <v>2178</v>
      </c>
      <c r="F15912">
        <v>4</v>
      </c>
      <c r="G15912" t="s">
        <v>53</v>
      </c>
      <c r="H15912" t="s">
        <v>46</v>
      </c>
      <c r="I15912" t="s">
        <v>2194</v>
      </c>
      <c r="J15912" s="10">
        <v>2</v>
      </c>
      <c r="K15912" t="b">
        <v>1</v>
      </c>
    </row>
    <row r="15913" spans="1:11">
      <c r="A15913" s="12">
        <v>43629</v>
      </c>
      <c r="B15913">
        <v>2019</v>
      </c>
      <c r="C15913">
        <v>6</v>
      </c>
      <c r="D15913" s="11">
        <v>43617</v>
      </c>
      <c r="E15913" t="s">
        <v>2178</v>
      </c>
      <c r="F15913">
        <v>4</v>
      </c>
      <c r="G15913" t="s">
        <v>53</v>
      </c>
      <c r="H15913" t="s">
        <v>47</v>
      </c>
      <c r="I15913" t="s">
        <v>2195</v>
      </c>
      <c r="J15913" s="10">
        <v>9</v>
      </c>
      <c r="K15913" t="b">
        <v>1</v>
      </c>
    </row>
    <row r="15914" spans="1:11">
      <c r="A15914" s="12">
        <v>43630</v>
      </c>
      <c r="B15914">
        <v>2019</v>
      </c>
      <c r="C15914">
        <v>6</v>
      </c>
      <c r="D15914" s="11">
        <v>43617</v>
      </c>
      <c r="E15914" t="s">
        <v>2178</v>
      </c>
      <c r="F15914">
        <v>5</v>
      </c>
      <c r="G15914" t="s">
        <v>55</v>
      </c>
      <c r="H15914" t="s">
        <v>40</v>
      </c>
      <c r="I15914" t="s">
        <v>2188</v>
      </c>
      <c r="J15914" s="10">
        <v>3.18</v>
      </c>
      <c r="K15914" t="b">
        <v>1</v>
      </c>
    </row>
    <row r="15915" spans="1:11">
      <c r="A15915" s="12">
        <v>43630</v>
      </c>
      <c r="B15915">
        <v>2019</v>
      </c>
      <c r="C15915">
        <v>6</v>
      </c>
      <c r="D15915" s="11">
        <v>43617</v>
      </c>
      <c r="E15915" t="s">
        <v>2178</v>
      </c>
      <c r="F15915">
        <v>5</v>
      </c>
      <c r="G15915" t="s">
        <v>55</v>
      </c>
      <c r="H15915" t="s">
        <v>41</v>
      </c>
      <c r="I15915" t="s">
        <v>2189</v>
      </c>
      <c r="J15915" s="10">
        <v>3.35</v>
      </c>
      <c r="K15915" t="b">
        <v>1</v>
      </c>
    </row>
    <row r="15916" spans="1:11">
      <c r="A15916" s="12">
        <v>43630</v>
      </c>
      <c r="B15916">
        <v>2019</v>
      </c>
      <c r="C15916">
        <v>6</v>
      </c>
      <c r="D15916" s="11">
        <v>43617</v>
      </c>
      <c r="E15916" t="s">
        <v>2178</v>
      </c>
      <c r="F15916">
        <v>5</v>
      </c>
      <c r="G15916" t="s">
        <v>55</v>
      </c>
      <c r="H15916" t="s">
        <v>42</v>
      </c>
      <c r="I15916" t="s">
        <v>2190</v>
      </c>
      <c r="J15916" s="10">
        <v>3</v>
      </c>
      <c r="K15916" t="b">
        <v>1</v>
      </c>
    </row>
    <row r="15917" spans="1:11">
      <c r="A15917" s="12">
        <v>43630</v>
      </c>
      <c r="B15917">
        <v>2019</v>
      </c>
      <c r="C15917">
        <v>6</v>
      </c>
      <c r="D15917" s="11">
        <v>43617</v>
      </c>
      <c r="E15917" t="s">
        <v>2178</v>
      </c>
      <c r="F15917">
        <v>5</v>
      </c>
      <c r="G15917" t="s">
        <v>55</v>
      </c>
      <c r="H15917" t="s">
        <v>43</v>
      </c>
      <c r="I15917" t="s">
        <v>2191</v>
      </c>
      <c r="J15917" s="10">
        <v>15</v>
      </c>
      <c r="K15917" t="b">
        <v>1</v>
      </c>
    </row>
    <row r="15918" spans="1:11">
      <c r="A15918" s="12">
        <v>43630</v>
      </c>
      <c r="B15918">
        <v>2019</v>
      </c>
      <c r="C15918">
        <v>6</v>
      </c>
      <c r="D15918" s="11">
        <v>43617</v>
      </c>
      <c r="E15918" t="s">
        <v>2178</v>
      </c>
      <c r="F15918">
        <v>5</v>
      </c>
      <c r="G15918" t="s">
        <v>55</v>
      </c>
      <c r="H15918" t="s">
        <v>44</v>
      </c>
      <c r="I15918" t="s">
        <v>2192</v>
      </c>
      <c r="J15918" s="10">
        <v>2</v>
      </c>
      <c r="K15918" t="b">
        <v>1</v>
      </c>
    </row>
    <row r="15919" spans="1:11">
      <c r="A15919" s="12">
        <v>43630</v>
      </c>
      <c r="B15919">
        <v>2019</v>
      </c>
      <c r="C15919">
        <v>6</v>
      </c>
      <c r="D15919" s="11">
        <v>43617</v>
      </c>
      <c r="E15919" t="s">
        <v>2178</v>
      </c>
      <c r="F15919">
        <v>5</v>
      </c>
      <c r="G15919" t="s">
        <v>55</v>
      </c>
      <c r="H15919" t="s">
        <v>45</v>
      </c>
      <c r="I15919" t="s">
        <v>2193</v>
      </c>
      <c r="J15919" s="10">
        <v>1</v>
      </c>
      <c r="K15919" t="b">
        <v>1</v>
      </c>
    </row>
    <row r="15920" spans="1:11">
      <c r="A15920" s="12">
        <v>43630</v>
      </c>
      <c r="B15920">
        <v>2019</v>
      </c>
      <c r="C15920">
        <v>6</v>
      </c>
      <c r="D15920" s="11">
        <v>43617</v>
      </c>
      <c r="E15920" t="s">
        <v>2178</v>
      </c>
      <c r="F15920">
        <v>5</v>
      </c>
      <c r="G15920" t="s">
        <v>55</v>
      </c>
      <c r="H15920" t="s">
        <v>46</v>
      </c>
      <c r="I15920" t="s">
        <v>2194</v>
      </c>
      <c r="J15920" s="10">
        <v>0</v>
      </c>
      <c r="K15920" t="b">
        <v>1</v>
      </c>
    </row>
    <row r="15921" spans="1:11">
      <c r="A15921" s="12">
        <v>43630</v>
      </c>
      <c r="B15921">
        <v>2019</v>
      </c>
      <c r="C15921">
        <v>6</v>
      </c>
      <c r="D15921" s="11">
        <v>43617</v>
      </c>
      <c r="E15921" t="s">
        <v>2178</v>
      </c>
      <c r="F15921">
        <v>5</v>
      </c>
      <c r="G15921" t="s">
        <v>55</v>
      </c>
      <c r="H15921" t="s">
        <v>47</v>
      </c>
      <c r="I15921" t="s">
        <v>2195</v>
      </c>
      <c r="J15921" s="10">
        <v>6</v>
      </c>
      <c r="K15921" t="b">
        <v>1</v>
      </c>
    </row>
    <row r="15922" spans="1:11">
      <c r="A15922" s="12">
        <v>43631</v>
      </c>
      <c r="B15922">
        <v>2019</v>
      </c>
      <c r="C15922">
        <v>6</v>
      </c>
      <c r="D15922" s="11">
        <v>43617</v>
      </c>
      <c r="E15922" t="s">
        <v>2178</v>
      </c>
      <c r="F15922">
        <v>6</v>
      </c>
      <c r="G15922" t="s">
        <v>57</v>
      </c>
      <c r="H15922" t="s">
        <v>40</v>
      </c>
      <c r="I15922" t="s">
        <v>2188</v>
      </c>
      <c r="J15922" s="10">
        <v>7</v>
      </c>
      <c r="K15922" t="b">
        <v>1</v>
      </c>
    </row>
    <row r="15923" spans="1:11">
      <c r="A15923" s="12">
        <v>43631</v>
      </c>
      <c r="B15923">
        <v>2019</v>
      </c>
      <c r="C15923">
        <v>6</v>
      </c>
      <c r="D15923" s="11">
        <v>43617</v>
      </c>
      <c r="E15923" t="s">
        <v>2178</v>
      </c>
      <c r="F15923">
        <v>6</v>
      </c>
      <c r="G15923" t="s">
        <v>57</v>
      </c>
      <c r="H15923" t="s">
        <v>41</v>
      </c>
      <c r="I15923" t="s">
        <v>2189</v>
      </c>
      <c r="J15923" s="10">
        <v>3.463</v>
      </c>
      <c r="K15923" t="b">
        <v>1</v>
      </c>
    </row>
    <row r="15924" spans="1:11">
      <c r="A15924" s="12">
        <v>43631</v>
      </c>
      <c r="B15924">
        <v>2019</v>
      </c>
      <c r="C15924">
        <v>6</v>
      </c>
      <c r="D15924" s="11">
        <v>43617</v>
      </c>
      <c r="E15924" t="s">
        <v>2178</v>
      </c>
      <c r="F15924">
        <v>6</v>
      </c>
      <c r="G15924" t="s">
        <v>57</v>
      </c>
      <c r="H15924" t="s">
        <v>42</v>
      </c>
      <c r="I15924" t="s">
        <v>2190</v>
      </c>
      <c r="J15924" s="10">
        <v>5</v>
      </c>
      <c r="K15924" t="b">
        <v>1</v>
      </c>
    </row>
    <row r="15925" spans="1:11">
      <c r="A15925" s="12">
        <v>43631</v>
      </c>
      <c r="B15925">
        <v>2019</v>
      </c>
      <c r="C15925">
        <v>6</v>
      </c>
      <c r="D15925" s="11">
        <v>43617</v>
      </c>
      <c r="E15925" t="s">
        <v>2178</v>
      </c>
      <c r="F15925">
        <v>6</v>
      </c>
      <c r="G15925" t="s">
        <v>57</v>
      </c>
      <c r="H15925" t="s">
        <v>43</v>
      </c>
      <c r="I15925" t="s">
        <v>2191</v>
      </c>
      <c r="J15925" s="10">
        <v>15</v>
      </c>
      <c r="K15925" t="b">
        <v>1</v>
      </c>
    </row>
    <row r="15926" spans="1:11">
      <c r="A15926" s="12">
        <v>43631</v>
      </c>
      <c r="B15926">
        <v>2019</v>
      </c>
      <c r="C15926">
        <v>6</v>
      </c>
      <c r="D15926" s="11">
        <v>43617</v>
      </c>
      <c r="E15926" t="s">
        <v>2178</v>
      </c>
      <c r="F15926">
        <v>6</v>
      </c>
      <c r="G15926" t="s">
        <v>57</v>
      </c>
      <c r="H15926" t="s">
        <v>44</v>
      </c>
      <c r="I15926" t="s">
        <v>2192</v>
      </c>
      <c r="J15926" s="10">
        <v>13</v>
      </c>
      <c r="K15926" t="b">
        <v>1</v>
      </c>
    </row>
    <row r="15927" spans="1:11">
      <c r="A15927" s="12">
        <v>43631</v>
      </c>
      <c r="B15927">
        <v>2019</v>
      </c>
      <c r="C15927">
        <v>6</v>
      </c>
      <c r="D15927" s="11">
        <v>43617</v>
      </c>
      <c r="E15927" t="s">
        <v>2178</v>
      </c>
      <c r="F15927">
        <v>6</v>
      </c>
      <c r="G15927" t="s">
        <v>57</v>
      </c>
      <c r="H15927" t="s">
        <v>45</v>
      </c>
      <c r="I15927" t="s">
        <v>2193</v>
      </c>
      <c r="J15927" s="10">
        <v>0</v>
      </c>
      <c r="K15927" t="b">
        <v>1</v>
      </c>
    </row>
    <row r="15928" spans="1:11">
      <c r="A15928" s="12">
        <v>43631</v>
      </c>
      <c r="B15928">
        <v>2019</v>
      </c>
      <c r="C15928">
        <v>6</v>
      </c>
      <c r="D15928" s="11">
        <v>43617</v>
      </c>
      <c r="E15928" t="s">
        <v>2178</v>
      </c>
      <c r="F15928">
        <v>6</v>
      </c>
      <c r="G15928" t="s">
        <v>57</v>
      </c>
      <c r="H15928" t="s">
        <v>46</v>
      </c>
      <c r="I15928" t="s">
        <v>2194</v>
      </c>
      <c r="J15928" s="10">
        <v>7</v>
      </c>
      <c r="K15928" t="b">
        <v>1</v>
      </c>
    </row>
    <row r="15929" spans="1:11">
      <c r="A15929" s="12">
        <v>43631</v>
      </c>
      <c r="B15929">
        <v>2019</v>
      </c>
      <c r="C15929">
        <v>6</v>
      </c>
      <c r="D15929" s="11">
        <v>43617</v>
      </c>
      <c r="E15929" t="s">
        <v>2178</v>
      </c>
      <c r="F15929">
        <v>6</v>
      </c>
      <c r="G15929" t="s">
        <v>57</v>
      </c>
      <c r="H15929" t="s">
        <v>47</v>
      </c>
      <c r="I15929" t="s">
        <v>2195</v>
      </c>
      <c r="J15929" s="10">
        <v>8</v>
      </c>
      <c r="K15929" t="b">
        <v>1</v>
      </c>
    </row>
    <row r="15930" spans="1:11">
      <c r="A15930" s="12">
        <v>43632</v>
      </c>
      <c r="B15930">
        <v>2019</v>
      </c>
      <c r="C15930">
        <v>6</v>
      </c>
      <c r="D15930" s="11">
        <v>43617</v>
      </c>
      <c r="E15930" t="s">
        <v>2178</v>
      </c>
      <c r="F15930">
        <v>7</v>
      </c>
      <c r="G15930" t="s">
        <v>59</v>
      </c>
      <c r="H15930" t="s">
        <v>40</v>
      </c>
      <c r="I15930" t="s">
        <v>2188</v>
      </c>
      <c r="J15930" s="10">
        <v>4</v>
      </c>
      <c r="K15930" t="b">
        <v>1</v>
      </c>
    </row>
    <row r="15931" spans="1:11">
      <c r="A15931" s="12">
        <v>43632</v>
      </c>
      <c r="B15931">
        <v>2019</v>
      </c>
      <c r="C15931">
        <v>6</v>
      </c>
      <c r="D15931" s="11">
        <v>43617</v>
      </c>
      <c r="E15931" t="s">
        <v>2178</v>
      </c>
      <c r="F15931">
        <v>7</v>
      </c>
      <c r="G15931" t="s">
        <v>59</v>
      </c>
      <c r="H15931" t="s">
        <v>41</v>
      </c>
      <c r="I15931" t="s">
        <v>2189</v>
      </c>
      <c r="J15931" s="10">
        <v>5.35</v>
      </c>
      <c r="K15931" t="b">
        <v>1</v>
      </c>
    </row>
    <row r="15932" spans="1:11">
      <c r="A15932" s="12">
        <v>43632</v>
      </c>
      <c r="B15932">
        <v>2019</v>
      </c>
      <c r="C15932">
        <v>6</v>
      </c>
      <c r="D15932" s="11">
        <v>43617</v>
      </c>
      <c r="E15932" t="s">
        <v>2178</v>
      </c>
      <c r="F15932">
        <v>7</v>
      </c>
      <c r="G15932" t="s">
        <v>59</v>
      </c>
      <c r="H15932" t="s">
        <v>42</v>
      </c>
      <c r="I15932" t="s">
        <v>2190</v>
      </c>
      <c r="J15932" s="10">
        <v>3</v>
      </c>
      <c r="K15932" t="b">
        <v>1</v>
      </c>
    </row>
    <row r="15933" spans="1:11">
      <c r="A15933" s="12">
        <v>43632</v>
      </c>
      <c r="B15933">
        <v>2019</v>
      </c>
      <c r="C15933">
        <v>6</v>
      </c>
      <c r="D15933" s="11">
        <v>43617</v>
      </c>
      <c r="E15933" t="s">
        <v>2178</v>
      </c>
      <c r="F15933">
        <v>7</v>
      </c>
      <c r="G15933" t="s">
        <v>59</v>
      </c>
      <c r="H15933" t="s">
        <v>43</v>
      </c>
      <c r="I15933" t="s">
        <v>2191</v>
      </c>
      <c r="J15933" s="10">
        <v>18</v>
      </c>
      <c r="K15933" t="b">
        <v>1</v>
      </c>
    </row>
    <row r="15934" spans="1:11">
      <c r="A15934" s="12">
        <v>43632</v>
      </c>
      <c r="B15934">
        <v>2019</v>
      </c>
      <c r="C15934">
        <v>6</v>
      </c>
      <c r="D15934" s="11">
        <v>43617</v>
      </c>
      <c r="E15934" t="s">
        <v>2178</v>
      </c>
      <c r="F15934">
        <v>7</v>
      </c>
      <c r="G15934" t="s">
        <v>59</v>
      </c>
      <c r="H15934" t="s">
        <v>44</v>
      </c>
      <c r="I15934" t="s">
        <v>2192</v>
      </c>
      <c r="J15934" s="10">
        <v>2</v>
      </c>
      <c r="K15934" t="b">
        <v>1</v>
      </c>
    </row>
    <row r="15935" spans="1:11">
      <c r="A15935" s="12">
        <v>43632</v>
      </c>
      <c r="B15935">
        <v>2019</v>
      </c>
      <c r="C15935">
        <v>6</v>
      </c>
      <c r="D15935" s="11">
        <v>43617</v>
      </c>
      <c r="E15935" t="s">
        <v>2178</v>
      </c>
      <c r="F15935">
        <v>7</v>
      </c>
      <c r="G15935" t="s">
        <v>59</v>
      </c>
      <c r="H15935" t="s">
        <v>45</v>
      </c>
      <c r="I15935" t="s">
        <v>2193</v>
      </c>
      <c r="J15935" s="10">
        <v>0</v>
      </c>
      <c r="K15935" t="b">
        <v>1</v>
      </c>
    </row>
    <row r="15936" spans="1:11">
      <c r="A15936" s="12">
        <v>43632</v>
      </c>
      <c r="B15936">
        <v>2019</v>
      </c>
      <c r="C15936">
        <v>6</v>
      </c>
      <c r="D15936" s="11">
        <v>43617</v>
      </c>
      <c r="E15936" t="s">
        <v>2178</v>
      </c>
      <c r="F15936">
        <v>7</v>
      </c>
      <c r="G15936" t="s">
        <v>59</v>
      </c>
      <c r="H15936" t="s">
        <v>46</v>
      </c>
      <c r="I15936" t="s">
        <v>2194</v>
      </c>
      <c r="J15936" s="10">
        <v>0</v>
      </c>
      <c r="K15936" t="b">
        <v>1</v>
      </c>
    </row>
    <row r="15937" spans="1:11">
      <c r="A15937" s="12">
        <v>43632</v>
      </c>
      <c r="B15937">
        <v>2019</v>
      </c>
      <c r="C15937">
        <v>6</v>
      </c>
      <c r="D15937" s="11">
        <v>43617</v>
      </c>
      <c r="E15937" t="s">
        <v>2178</v>
      </c>
      <c r="F15937">
        <v>7</v>
      </c>
      <c r="G15937" t="s">
        <v>59</v>
      </c>
      <c r="H15937" t="s">
        <v>47</v>
      </c>
      <c r="I15937" t="s">
        <v>2195</v>
      </c>
      <c r="J15937" s="10">
        <v>9</v>
      </c>
      <c r="K15937" t="b">
        <v>1</v>
      </c>
    </row>
    <row r="15938" spans="1:11">
      <c r="A15938" s="12">
        <v>43633</v>
      </c>
      <c r="B15938">
        <v>2019</v>
      </c>
      <c r="C15938">
        <v>6</v>
      </c>
      <c r="D15938" s="11">
        <v>43617</v>
      </c>
      <c r="E15938" t="s">
        <v>2178</v>
      </c>
      <c r="F15938">
        <v>1</v>
      </c>
      <c r="G15938" t="s">
        <v>61</v>
      </c>
      <c r="H15938" t="s">
        <v>40</v>
      </c>
      <c r="I15938" t="s">
        <v>2188</v>
      </c>
      <c r="J15938" s="10">
        <v>6.66</v>
      </c>
      <c r="K15938" t="b">
        <v>1</v>
      </c>
    </row>
    <row r="15939" spans="1:11">
      <c r="A15939" s="12">
        <v>43633</v>
      </c>
      <c r="B15939">
        <v>2019</v>
      </c>
      <c r="C15939">
        <v>6</v>
      </c>
      <c r="D15939" s="11">
        <v>43617</v>
      </c>
      <c r="E15939" t="s">
        <v>2178</v>
      </c>
      <c r="F15939">
        <v>1</v>
      </c>
      <c r="G15939" t="s">
        <v>61</v>
      </c>
      <c r="H15939" t="s">
        <v>41</v>
      </c>
      <c r="I15939" t="s">
        <v>2189</v>
      </c>
      <c r="J15939" s="10">
        <v>4.66</v>
      </c>
      <c r="K15939" t="b">
        <v>1</v>
      </c>
    </row>
    <row r="15940" spans="1:11">
      <c r="A15940" s="12">
        <v>43633</v>
      </c>
      <c r="B15940">
        <v>2019</v>
      </c>
      <c r="C15940">
        <v>6</v>
      </c>
      <c r="D15940" s="11">
        <v>43617</v>
      </c>
      <c r="E15940" t="s">
        <v>2178</v>
      </c>
      <c r="F15940">
        <v>1</v>
      </c>
      <c r="G15940" t="s">
        <v>61</v>
      </c>
      <c r="H15940" t="s">
        <v>42</v>
      </c>
      <c r="I15940" t="s">
        <v>2190</v>
      </c>
      <c r="J15940" s="10">
        <v>3</v>
      </c>
      <c r="K15940" t="b">
        <v>1</v>
      </c>
    </row>
    <row r="15941" spans="1:11">
      <c r="A15941" s="12">
        <v>43633</v>
      </c>
      <c r="B15941">
        <v>2019</v>
      </c>
      <c r="C15941">
        <v>6</v>
      </c>
      <c r="D15941" s="11">
        <v>43617</v>
      </c>
      <c r="E15941" t="s">
        <v>2178</v>
      </c>
      <c r="F15941">
        <v>1</v>
      </c>
      <c r="G15941" t="s">
        <v>61</v>
      </c>
      <c r="H15941" t="s">
        <v>43</v>
      </c>
      <c r="I15941" t="s">
        <v>2191</v>
      </c>
      <c r="J15941" s="10">
        <v>18</v>
      </c>
      <c r="K15941" t="b">
        <v>1</v>
      </c>
    </row>
    <row r="15942" spans="1:11">
      <c r="A15942" s="12">
        <v>43633</v>
      </c>
      <c r="B15942">
        <v>2019</v>
      </c>
      <c r="C15942">
        <v>6</v>
      </c>
      <c r="D15942" s="11">
        <v>43617</v>
      </c>
      <c r="E15942" t="s">
        <v>2178</v>
      </c>
      <c r="F15942">
        <v>1</v>
      </c>
      <c r="G15942" t="s">
        <v>61</v>
      </c>
      <c r="H15942" t="s">
        <v>44</v>
      </c>
      <c r="I15942" t="s">
        <v>2192</v>
      </c>
      <c r="J15942" s="10">
        <v>6</v>
      </c>
      <c r="K15942" t="b">
        <v>1</v>
      </c>
    </row>
    <row r="15943" spans="1:11">
      <c r="A15943" s="12">
        <v>43633</v>
      </c>
      <c r="B15943">
        <v>2019</v>
      </c>
      <c r="C15943">
        <v>6</v>
      </c>
      <c r="D15943" s="11">
        <v>43617</v>
      </c>
      <c r="E15943" t="s">
        <v>2178</v>
      </c>
      <c r="F15943">
        <v>1</v>
      </c>
      <c r="G15943" t="s">
        <v>61</v>
      </c>
      <c r="H15943" t="s">
        <v>45</v>
      </c>
      <c r="I15943" t="s">
        <v>2193</v>
      </c>
      <c r="J15943" s="10">
        <v>0</v>
      </c>
      <c r="K15943" t="b">
        <v>1</v>
      </c>
    </row>
    <row r="15944" spans="1:11">
      <c r="A15944" s="12">
        <v>43633</v>
      </c>
      <c r="B15944">
        <v>2019</v>
      </c>
      <c r="C15944">
        <v>6</v>
      </c>
      <c r="D15944" s="11">
        <v>43617</v>
      </c>
      <c r="E15944" t="s">
        <v>2178</v>
      </c>
      <c r="F15944">
        <v>1</v>
      </c>
      <c r="G15944" t="s">
        <v>61</v>
      </c>
      <c r="H15944" t="s">
        <v>46</v>
      </c>
      <c r="I15944" t="s">
        <v>2194</v>
      </c>
      <c r="J15944" s="10">
        <v>2</v>
      </c>
      <c r="K15944" t="b">
        <v>1</v>
      </c>
    </row>
    <row r="15945" spans="1:11">
      <c r="A15945" s="12">
        <v>43633</v>
      </c>
      <c r="B15945">
        <v>2019</v>
      </c>
      <c r="C15945">
        <v>6</v>
      </c>
      <c r="D15945" s="11">
        <v>43617</v>
      </c>
      <c r="E15945" t="s">
        <v>2178</v>
      </c>
      <c r="F15945">
        <v>1</v>
      </c>
      <c r="G15945" t="s">
        <v>61</v>
      </c>
      <c r="H15945" t="s">
        <v>47</v>
      </c>
      <c r="I15945" t="s">
        <v>2195</v>
      </c>
      <c r="J15945" s="10">
        <v>2.34</v>
      </c>
      <c r="K15945" t="b">
        <v>1</v>
      </c>
    </row>
    <row r="15946" spans="1:11">
      <c r="A15946" s="12">
        <v>43634</v>
      </c>
      <c r="B15946">
        <v>2019</v>
      </c>
      <c r="C15946">
        <v>6</v>
      </c>
      <c r="D15946" s="11">
        <v>43617</v>
      </c>
      <c r="E15946" t="s">
        <v>2178</v>
      </c>
      <c r="F15946">
        <v>2</v>
      </c>
      <c r="G15946" t="s">
        <v>63</v>
      </c>
      <c r="H15946" t="s">
        <v>40</v>
      </c>
      <c r="I15946" t="s">
        <v>2188</v>
      </c>
      <c r="J15946" s="10">
        <v>5</v>
      </c>
      <c r="K15946" t="b">
        <v>1</v>
      </c>
    </row>
    <row r="15947" spans="1:11">
      <c r="A15947" s="12">
        <v>43634</v>
      </c>
      <c r="B15947">
        <v>2019</v>
      </c>
      <c r="C15947">
        <v>6</v>
      </c>
      <c r="D15947" s="11">
        <v>43617</v>
      </c>
      <c r="E15947" t="s">
        <v>2178</v>
      </c>
      <c r="F15947">
        <v>2</v>
      </c>
      <c r="G15947" t="s">
        <v>63</v>
      </c>
      <c r="H15947" t="s">
        <v>41</v>
      </c>
      <c r="I15947" t="s">
        <v>2189</v>
      </c>
      <c r="J15947" s="10">
        <v>4.21</v>
      </c>
      <c r="K15947" t="b">
        <v>1</v>
      </c>
    </row>
    <row r="15948" spans="1:11">
      <c r="A15948" s="12">
        <v>43634</v>
      </c>
      <c r="B15948">
        <v>2019</v>
      </c>
      <c r="C15948">
        <v>6</v>
      </c>
      <c r="D15948" s="11">
        <v>43617</v>
      </c>
      <c r="E15948" t="s">
        <v>2178</v>
      </c>
      <c r="F15948">
        <v>2</v>
      </c>
      <c r="G15948" t="s">
        <v>63</v>
      </c>
      <c r="H15948" t="s">
        <v>42</v>
      </c>
      <c r="I15948" t="s">
        <v>2190</v>
      </c>
      <c r="J15948" s="10">
        <v>3</v>
      </c>
      <c r="K15948" t="b">
        <v>1</v>
      </c>
    </row>
    <row r="15949" spans="1:11">
      <c r="A15949" s="12">
        <v>43634</v>
      </c>
      <c r="B15949">
        <v>2019</v>
      </c>
      <c r="C15949">
        <v>6</v>
      </c>
      <c r="D15949" s="11">
        <v>43617</v>
      </c>
      <c r="E15949" t="s">
        <v>2178</v>
      </c>
      <c r="F15949">
        <v>2</v>
      </c>
      <c r="G15949" t="s">
        <v>63</v>
      </c>
      <c r="H15949" t="s">
        <v>43</v>
      </c>
      <c r="I15949" t="s">
        <v>2191</v>
      </c>
      <c r="J15949" s="10">
        <v>29.5</v>
      </c>
      <c r="K15949" t="b">
        <v>1</v>
      </c>
    </row>
    <row r="15950" spans="1:11">
      <c r="A15950" s="12">
        <v>43634</v>
      </c>
      <c r="B15950">
        <v>2019</v>
      </c>
      <c r="C15950">
        <v>6</v>
      </c>
      <c r="D15950" s="11">
        <v>43617</v>
      </c>
      <c r="E15950" t="s">
        <v>2178</v>
      </c>
      <c r="F15950">
        <v>2</v>
      </c>
      <c r="G15950" t="s">
        <v>63</v>
      </c>
      <c r="H15950" t="s">
        <v>44</v>
      </c>
      <c r="I15950" t="s">
        <v>2192</v>
      </c>
      <c r="J15950" s="10">
        <v>8</v>
      </c>
      <c r="K15950" t="b">
        <v>1</v>
      </c>
    </row>
    <row r="15951" spans="1:11">
      <c r="A15951" s="12">
        <v>43634</v>
      </c>
      <c r="B15951">
        <v>2019</v>
      </c>
      <c r="C15951">
        <v>6</v>
      </c>
      <c r="D15951" s="11">
        <v>43617</v>
      </c>
      <c r="E15951" t="s">
        <v>2178</v>
      </c>
      <c r="F15951">
        <v>2</v>
      </c>
      <c r="G15951" t="s">
        <v>63</v>
      </c>
      <c r="H15951" t="s">
        <v>45</v>
      </c>
      <c r="I15951" t="s">
        <v>2193</v>
      </c>
      <c r="J15951" s="10">
        <v>0</v>
      </c>
      <c r="K15951" t="b">
        <v>1</v>
      </c>
    </row>
    <row r="15952" spans="1:11">
      <c r="A15952" s="12">
        <v>43634</v>
      </c>
      <c r="B15952">
        <v>2019</v>
      </c>
      <c r="C15952">
        <v>6</v>
      </c>
      <c r="D15952" s="11">
        <v>43617</v>
      </c>
      <c r="E15952" t="s">
        <v>2178</v>
      </c>
      <c r="F15952">
        <v>2</v>
      </c>
      <c r="G15952" t="s">
        <v>63</v>
      </c>
      <c r="H15952" t="s">
        <v>46</v>
      </c>
      <c r="I15952" t="s">
        <v>2194</v>
      </c>
      <c r="J15952" s="10">
        <v>2</v>
      </c>
      <c r="K15952" t="b">
        <v>1</v>
      </c>
    </row>
    <row r="15953" spans="1:11">
      <c r="A15953" s="12">
        <v>43634</v>
      </c>
      <c r="B15953">
        <v>2019</v>
      </c>
      <c r="C15953">
        <v>6</v>
      </c>
      <c r="D15953" s="11">
        <v>43617</v>
      </c>
      <c r="E15953" t="s">
        <v>2178</v>
      </c>
      <c r="F15953">
        <v>2</v>
      </c>
      <c r="G15953" t="s">
        <v>63</v>
      </c>
      <c r="H15953" t="s">
        <v>47</v>
      </c>
      <c r="I15953" t="s">
        <v>2195</v>
      </c>
      <c r="J15953" s="10">
        <v>12.1</v>
      </c>
      <c r="K15953" t="b">
        <v>1</v>
      </c>
    </row>
    <row r="15954" spans="1:11">
      <c r="A15954" s="12">
        <v>43635</v>
      </c>
      <c r="B15954">
        <v>2019</v>
      </c>
      <c r="C15954">
        <v>6</v>
      </c>
      <c r="D15954" s="11">
        <v>43617</v>
      </c>
      <c r="E15954" t="s">
        <v>2178</v>
      </c>
      <c r="F15954">
        <v>3</v>
      </c>
      <c r="G15954" t="s">
        <v>65</v>
      </c>
      <c r="H15954" t="s">
        <v>40</v>
      </c>
      <c r="I15954" t="s">
        <v>2188</v>
      </c>
      <c r="J15954" s="10">
        <v>3.67</v>
      </c>
      <c r="K15954" t="b">
        <v>1</v>
      </c>
    </row>
    <row r="15955" spans="1:11">
      <c r="A15955" s="12">
        <v>43635</v>
      </c>
      <c r="B15955">
        <v>2019</v>
      </c>
      <c r="C15955">
        <v>6</v>
      </c>
      <c r="D15955" s="11">
        <v>43617</v>
      </c>
      <c r="E15955" t="s">
        <v>2178</v>
      </c>
      <c r="F15955">
        <v>3</v>
      </c>
      <c r="G15955" t="s">
        <v>65</v>
      </c>
      <c r="H15955" t="s">
        <v>41</v>
      </c>
      <c r="I15955" t="s">
        <v>2189</v>
      </c>
      <c r="J15955" s="10">
        <v>3.033</v>
      </c>
      <c r="K15955" t="b">
        <v>1</v>
      </c>
    </row>
    <row r="15956" spans="1:11">
      <c r="A15956" s="12">
        <v>43635</v>
      </c>
      <c r="B15956">
        <v>2019</v>
      </c>
      <c r="C15956">
        <v>6</v>
      </c>
      <c r="D15956" s="11">
        <v>43617</v>
      </c>
      <c r="E15956" t="s">
        <v>2178</v>
      </c>
      <c r="F15956">
        <v>3</v>
      </c>
      <c r="G15956" t="s">
        <v>65</v>
      </c>
      <c r="H15956" t="s">
        <v>42</v>
      </c>
      <c r="I15956" t="s">
        <v>2190</v>
      </c>
      <c r="J15956" s="10">
        <v>3</v>
      </c>
      <c r="K15956" t="b">
        <v>1</v>
      </c>
    </row>
    <row r="15957" spans="1:11">
      <c r="A15957" s="12">
        <v>43635</v>
      </c>
      <c r="B15957">
        <v>2019</v>
      </c>
      <c r="C15957">
        <v>6</v>
      </c>
      <c r="D15957" s="11">
        <v>43617</v>
      </c>
      <c r="E15957" t="s">
        <v>2178</v>
      </c>
      <c r="F15957">
        <v>3</v>
      </c>
      <c r="G15957" t="s">
        <v>65</v>
      </c>
      <c r="H15957" t="s">
        <v>43</v>
      </c>
      <c r="I15957" t="s">
        <v>2191</v>
      </c>
      <c r="J15957" s="10">
        <v>18</v>
      </c>
      <c r="K15957" t="b">
        <v>1</v>
      </c>
    </row>
    <row r="15958" spans="1:11">
      <c r="A15958" s="12">
        <v>43635</v>
      </c>
      <c r="B15958">
        <v>2019</v>
      </c>
      <c r="C15958">
        <v>6</v>
      </c>
      <c r="D15958" s="11">
        <v>43617</v>
      </c>
      <c r="E15958" t="s">
        <v>2178</v>
      </c>
      <c r="F15958">
        <v>3</v>
      </c>
      <c r="G15958" t="s">
        <v>65</v>
      </c>
      <c r="H15958" t="s">
        <v>44</v>
      </c>
      <c r="I15958" t="s">
        <v>2192</v>
      </c>
      <c r="J15958" s="10">
        <v>6</v>
      </c>
      <c r="K15958" t="b">
        <v>1</v>
      </c>
    </row>
    <row r="15959" spans="1:11">
      <c r="A15959" s="12">
        <v>43635</v>
      </c>
      <c r="B15959">
        <v>2019</v>
      </c>
      <c r="C15959">
        <v>6</v>
      </c>
      <c r="D15959" s="11">
        <v>43617</v>
      </c>
      <c r="E15959" t="s">
        <v>2178</v>
      </c>
      <c r="F15959">
        <v>3</v>
      </c>
      <c r="G15959" t="s">
        <v>65</v>
      </c>
      <c r="H15959" t="s">
        <v>45</v>
      </c>
      <c r="I15959" t="s">
        <v>2193</v>
      </c>
      <c r="J15959" s="10">
        <v>1</v>
      </c>
      <c r="K15959" t="b">
        <v>1</v>
      </c>
    </row>
    <row r="15960" spans="1:11">
      <c r="A15960" s="12">
        <v>43635</v>
      </c>
      <c r="B15960">
        <v>2019</v>
      </c>
      <c r="C15960">
        <v>6</v>
      </c>
      <c r="D15960" s="11">
        <v>43617</v>
      </c>
      <c r="E15960" t="s">
        <v>2178</v>
      </c>
      <c r="F15960">
        <v>3</v>
      </c>
      <c r="G15960" t="s">
        <v>65</v>
      </c>
      <c r="H15960" t="s">
        <v>46</v>
      </c>
      <c r="I15960" t="s">
        <v>2194</v>
      </c>
      <c r="J15960" s="10">
        <v>2</v>
      </c>
      <c r="K15960" t="b">
        <v>1</v>
      </c>
    </row>
    <row r="15961" spans="1:11">
      <c r="A15961" s="12">
        <v>43635</v>
      </c>
      <c r="B15961">
        <v>2019</v>
      </c>
      <c r="C15961">
        <v>6</v>
      </c>
      <c r="D15961" s="11">
        <v>43617</v>
      </c>
      <c r="E15961" t="s">
        <v>2178</v>
      </c>
      <c r="F15961">
        <v>3</v>
      </c>
      <c r="G15961" t="s">
        <v>65</v>
      </c>
      <c r="H15961" t="s">
        <v>47</v>
      </c>
      <c r="I15961" t="s">
        <v>2195</v>
      </c>
      <c r="J15961" s="10">
        <v>5.5</v>
      </c>
      <c r="K15961" t="b">
        <v>1</v>
      </c>
    </row>
    <row r="15962" spans="1:11">
      <c r="A15962" s="12">
        <v>43636</v>
      </c>
      <c r="B15962">
        <v>2019</v>
      </c>
      <c r="C15962">
        <v>6</v>
      </c>
      <c r="D15962" s="11">
        <v>43617</v>
      </c>
      <c r="E15962" t="s">
        <v>2178</v>
      </c>
      <c r="F15962">
        <v>4</v>
      </c>
      <c r="G15962" t="s">
        <v>53</v>
      </c>
      <c r="H15962" t="s">
        <v>40</v>
      </c>
      <c r="I15962" t="s">
        <v>2188</v>
      </c>
      <c r="J15962" s="10">
        <v>5</v>
      </c>
      <c r="K15962" t="b">
        <v>1</v>
      </c>
    </row>
    <row r="15963" spans="1:11">
      <c r="A15963" s="12">
        <v>43636</v>
      </c>
      <c r="B15963">
        <v>2019</v>
      </c>
      <c r="C15963">
        <v>6</v>
      </c>
      <c r="D15963" s="11">
        <v>43617</v>
      </c>
      <c r="E15963" t="s">
        <v>2178</v>
      </c>
      <c r="F15963">
        <v>4</v>
      </c>
      <c r="G15963" t="s">
        <v>53</v>
      </c>
      <c r="H15963" t="s">
        <v>41</v>
      </c>
      <c r="I15963" t="s">
        <v>2189</v>
      </c>
      <c r="J15963" s="10">
        <v>4.363</v>
      </c>
      <c r="K15963" t="b">
        <v>1</v>
      </c>
    </row>
    <row r="15964" spans="1:11">
      <c r="A15964" s="12">
        <v>43636</v>
      </c>
      <c r="B15964">
        <v>2019</v>
      </c>
      <c r="C15964">
        <v>6</v>
      </c>
      <c r="D15964" s="11">
        <v>43617</v>
      </c>
      <c r="E15964" t="s">
        <v>2178</v>
      </c>
      <c r="F15964">
        <v>4</v>
      </c>
      <c r="G15964" t="s">
        <v>53</v>
      </c>
      <c r="H15964" t="s">
        <v>42</v>
      </c>
      <c r="I15964" t="s">
        <v>2190</v>
      </c>
      <c r="J15964" s="10">
        <v>3</v>
      </c>
      <c r="K15964" t="b">
        <v>1</v>
      </c>
    </row>
    <row r="15965" spans="1:11">
      <c r="A15965" s="12">
        <v>43636</v>
      </c>
      <c r="B15965">
        <v>2019</v>
      </c>
      <c r="C15965">
        <v>6</v>
      </c>
      <c r="D15965" s="11">
        <v>43617</v>
      </c>
      <c r="E15965" t="s">
        <v>2178</v>
      </c>
      <c r="F15965">
        <v>4</v>
      </c>
      <c r="G15965" t="s">
        <v>53</v>
      </c>
      <c r="H15965" t="s">
        <v>43</v>
      </c>
      <c r="I15965" t="s">
        <v>2191</v>
      </c>
      <c r="J15965" s="10">
        <v>15</v>
      </c>
      <c r="K15965" t="b">
        <v>1</v>
      </c>
    </row>
    <row r="15966" spans="1:11">
      <c r="A15966" s="12">
        <v>43636</v>
      </c>
      <c r="B15966">
        <v>2019</v>
      </c>
      <c r="C15966">
        <v>6</v>
      </c>
      <c r="D15966" s="11">
        <v>43617</v>
      </c>
      <c r="E15966" t="s">
        <v>2178</v>
      </c>
      <c r="F15966">
        <v>4</v>
      </c>
      <c r="G15966" t="s">
        <v>53</v>
      </c>
      <c r="H15966" t="s">
        <v>44</v>
      </c>
      <c r="I15966" t="s">
        <v>2192</v>
      </c>
      <c r="J15966" s="10">
        <v>9</v>
      </c>
      <c r="K15966" t="b">
        <v>1</v>
      </c>
    </row>
    <row r="15967" spans="1:11">
      <c r="A15967" s="12">
        <v>43636</v>
      </c>
      <c r="B15967">
        <v>2019</v>
      </c>
      <c r="C15967">
        <v>6</v>
      </c>
      <c r="D15967" s="11">
        <v>43617</v>
      </c>
      <c r="E15967" t="s">
        <v>2178</v>
      </c>
      <c r="F15967">
        <v>4</v>
      </c>
      <c r="G15967" t="s">
        <v>53</v>
      </c>
      <c r="H15967" t="s">
        <v>45</v>
      </c>
      <c r="I15967" t="s">
        <v>2193</v>
      </c>
      <c r="J15967" s="10">
        <v>4</v>
      </c>
      <c r="K15967" t="b">
        <v>1</v>
      </c>
    </row>
    <row r="15968" spans="1:11">
      <c r="A15968" s="12">
        <v>43636</v>
      </c>
      <c r="B15968">
        <v>2019</v>
      </c>
      <c r="C15968">
        <v>6</v>
      </c>
      <c r="D15968" s="11">
        <v>43617</v>
      </c>
      <c r="E15968" t="s">
        <v>2178</v>
      </c>
      <c r="F15968">
        <v>4</v>
      </c>
      <c r="G15968" t="s">
        <v>53</v>
      </c>
      <c r="H15968" t="s">
        <v>46</v>
      </c>
      <c r="I15968" t="s">
        <v>2194</v>
      </c>
      <c r="J15968" s="10">
        <v>0</v>
      </c>
      <c r="K15968" t="b">
        <v>1</v>
      </c>
    </row>
    <row r="15969" spans="1:11">
      <c r="A15969" s="12">
        <v>43636</v>
      </c>
      <c r="B15969">
        <v>2019</v>
      </c>
      <c r="C15969">
        <v>6</v>
      </c>
      <c r="D15969" s="11">
        <v>43617</v>
      </c>
      <c r="E15969" t="s">
        <v>2178</v>
      </c>
      <c r="F15969">
        <v>4</v>
      </c>
      <c r="G15969" t="s">
        <v>53</v>
      </c>
      <c r="H15969" t="s">
        <v>47</v>
      </c>
      <c r="I15969" t="s">
        <v>2195</v>
      </c>
      <c r="J15969" s="10">
        <v>4</v>
      </c>
      <c r="K15969" t="b">
        <v>1</v>
      </c>
    </row>
    <row r="15970" spans="1:11">
      <c r="A15970" s="12">
        <v>43637</v>
      </c>
      <c r="B15970">
        <v>2019</v>
      </c>
      <c r="C15970">
        <v>6</v>
      </c>
      <c r="D15970" s="11">
        <v>43617</v>
      </c>
      <c r="E15970" t="s">
        <v>2178</v>
      </c>
      <c r="F15970">
        <v>5</v>
      </c>
      <c r="G15970" t="s">
        <v>55</v>
      </c>
      <c r="H15970" t="s">
        <v>40</v>
      </c>
      <c r="I15970" t="s">
        <v>2188</v>
      </c>
      <c r="J15970" s="10">
        <v>3</v>
      </c>
      <c r="K15970" t="b">
        <v>1</v>
      </c>
    </row>
    <row r="15971" spans="1:11">
      <c r="A15971" s="12">
        <v>43637</v>
      </c>
      <c r="B15971">
        <v>2019</v>
      </c>
      <c r="C15971">
        <v>6</v>
      </c>
      <c r="D15971" s="11">
        <v>43617</v>
      </c>
      <c r="E15971" t="s">
        <v>2178</v>
      </c>
      <c r="F15971">
        <v>5</v>
      </c>
      <c r="G15971" t="s">
        <v>55</v>
      </c>
      <c r="H15971" t="s">
        <v>41</v>
      </c>
      <c r="I15971" t="s">
        <v>2189</v>
      </c>
      <c r="J15971" s="10">
        <v>2.33</v>
      </c>
      <c r="K15971" t="b">
        <v>1</v>
      </c>
    </row>
    <row r="15972" spans="1:11">
      <c r="A15972" s="12">
        <v>43637</v>
      </c>
      <c r="B15972">
        <v>2019</v>
      </c>
      <c r="C15972">
        <v>6</v>
      </c>
      <c r="D15972" s="11">
        <v>43617</v>
      </c>
      <c r="E15972" t="s">
        <v>2178</v>
      </c>
      <c r="F15972">
        <v>5</v>
      </c>
      <c r="G15972" t="s">
        <v>55</v>
      </c>
      <c r="H15972" t="s">
        <v>42</v>
      </c>
      <c r="I15972" t="s">
        <v>2190</v>
      </c>
      <c r="J15972" s="10">
        <v>3</v>
      </c>
      <c r="K15972" t="b">
        <v>1</v>
      </c>
    </row>
    <row r="15973" spans="1:11">
      <c r="A15973" s="12">
        <v>43637</v>
      </c>
      <c r="B15973">
        <v>2019</v>
      </c>
      <c r="C15973">
        <v>6</v>
      </c>
      <c r="D15973" s="11">
        <v>43617</v>
      </c>
      <c r="E15973" t="s">
        <v>2178</v>
      </c>
      <c r="F15973">
        <v>5</v>
      </c>
      <c r="G15973" t="s">
        <v>55</v>
      </c>
      <c r="H15973" t="s">
        <v>43</v>
      </c>
      <c r="I15973" t="s">
        <v>2191</v>
      </c>
      <c r="J15973" s="10">
        <v>24.8</v>
      </c>
      <c r="K15973" t="b">
        <v>1</v>
      </c>
    </row>
    <row r="15974" spans="1:11">
      <c r="A15974" s="12">
        <v>43637</v>
      </c>
      <c r="B15974">
        <v>2019</v>
      </c>
      <c r="C15974">
        <v>6</v>
      </c>
      <c r="D15974" s="11">
        <v>43617</v>
      </c>
      <c r="E15974" t="s">
        <v>2178</v>
      </c>
      <c r="F15974">
        <v>5</v>
      </c>
      <c r="G15974" t="s">
        <v>55</v>
      </c>
      <c r="H15974" t="s">
        <v>44</v>
      </c>
      <c r="I15974" t="s">
        <v>2192</v>
      </c>
      <c r="J15974" s="10">
        <v>8</v>
      </c>
      <c r="K15974" t="b">
        <v>1</v>
      </c>
    </row>
    <row r="15975" spans="1:11">
      <c r="A15975" s="12">
        <v>43637</v>
      </c>
      <c r="B15975">
        <v>2019</v>
      </c>
      <c r="C15975">
        <v>6</v>
      </c>
      <c r="D15975" s="11">
        <v>43617</v>
      </c>
      <c r="E15975" t="s">
        <v>2178</v>
      </c>
      <c r="F15975">
        <v>5</v>
      </c>
      <c r="G15975" t="s">
        <v>55</v>
      </c>
      <c r="H15975" t="s">
        <v>45</v>
      </c>
      <c r="I15975" t="s">
        <v>2193</v>
      </c>
      <c r="J15975" s="10">
        <v>3</v>
      </c>
      <c r="K15975" t="b">
        <v>1</v>
      </c>
    </row>
    <row r="15976" spans="1:11">
      <c r="A15976" s="12">
        <v>43637</v>
      </c>
      <c r="B15976">
        <v>2019</v>
      </c>
      <c r="C15976">
        <v>6</v>
      </c>
      <c r="D15976" s="11">
        <v>43617</v>
      </c>
      <c r="E15976" t="s">
        <v>2178</v>
      </c>
      <c r="F15976">
        <v>5</v>
      </c>
      <c r="G15976" t="s">
        <v>55</v>
      </c>
      <c r="H15976" t="s">
        <v>46</v>
      </c>
      <c r="I15976" t="s">
        <v>2194</v>
      </c>
      <c r="J15976" s="10">
        <v>4</v>
      </c>
      <c r="K15976" t="b">
        <v>1</v>
      </c>
    </row>
    <row r="15977" spans="1:11">
      <c r="A15977" s="12">
        <v>43637</v>
      </c>
      <c r="B15977">
        <v>2019</v>
      </c>
      <c r="C15977">
        <v>6</v>
      </c>
      <c r="D15977" s="11">
        <v>43617</v>
      </c>
      <c r="E15977" t="s">
        <v>2178</v>
      </c>
      <c r="F15977">
        <v>5</v>
      </c>
      <c r="G15977" t="s">
        <v>55</v>
      </c>
      <c r="H15977" t="s">
        <v>47</v>
      </c>
      <c r="I15977" t="s">
        <v>2195</v>
      </c>
      <c r="J15977" s="10">
        <v>6</v>
      </c>
      <c r="K15977" t="b">
        <v>1</v>
      </c>
    </row>
    <row r="15978" spans="1:11">
      <c r="A15978" s="12">
        <v>43638</v>
      </c>
      <c r="B15978">
        <v>2019</v>
      </c>
      <c r="C15978">
        <v>6</v>
      </c>
      <c r="D15978" s="11">
        <v>43617</v>
      </c>
      <c r="E15978" t="s">
        <v>2178</v>
      </c>
      <c r="F15978">
        <v>6</v>
      </c>
      <c r="G15978" t="s">
        <v>57</v>
      </c>
      <c r="H15978" t="s">
        <v>40</v>
      </c>
      <c r="I15978" t="s">
        <v>2188</v>
      </c>
      <c r="J15978" s="10">
        <v>3</v>
      </c>
      <c r="K15978" t="b">
        <v>1</v>
      </c>
    </row>
    <row r="15979" spans="1:11">
      <c r="A15979" s="12">
        <v>43638</v>
      </c>
      <c r="B15979">
        <v>2019</v>
      </c>
      <c r="C15979">
        <v>6</v>
      </c>
      <c r="D15979" s="11">
        <v>43617</v>
      </c>
      <c r="E15979" t="s">
        <v>2178</v>
      </c>
      <c r="F15979">
        <v>6</v>
      </c>
      <c r="G15979" t="s">
        <v>57</v>
      </c>
      <c r="H15979" t="s">
        <v>41</v>
      </c>
      <c r="I15979" t="s">
        <v>2189</v>
      </c>
      <c r="J15979" s="10">
        <v>4</v>
      </c>
      <c r="K15979" t="b">
        <v>1</v>
      </c>
    </row>
    <row r="15980" spans="1:11">
      <c r="A15980" s="12">
        <v>43638</v>
      </c>
      <c r="B15980">
        <v>2019</v>
      </c>
      <c r="C15980">
        <v>6</v>
      </c>
      <c r="D15980" s="11">
        <v>43617</v>
      </c>
      <c r="E15980" t="s">
        <v>2178</v>
      </c>
      <c r="F15980">
        <v>6</v>
      </c>
      <c r="G15980" t="s">
        <v>57</v>
      </c>
      <c r="H15980" t="s">
        <v>42</v>
      </c>
      <c r="I15980" t="s">
        <v>2190</v>
      </c>
      <c r="J15980" s="10">
        <v>0</v>
      </c>
      <c r="K15980" t="b">
        <v>1</v>
      </c>
    </row>
    <row r="15981" spans="1:11">
      <c r="A15981" s="12">
        <v>43638</v>
      </c>
      <c r="B15981">
        <v>2019</v>
      </c>
      <c r="C15981">
        <v>6</v>
      </c>
      <c r="D15981" s="11">
        <v>43617</v>
      </c>
      <c r="E15981" t="s">
        <v>2178</v>
      </c>
      <c r="F15981">
        <v>6</v>
      </c>
      <c r="G15981" t="s">
        <v>57</v>
      </c>
      <c r="H15981" t="s">
        <v>43</v>
      </c>
      <c r="I15981" t="s">
        <v>2191</v>
      </c>
      <c r="J15981" s="10">
        <v>25</v>
      </c>
      <c r="K15981" t="b">
        <v>1</v>
      </c>
    </row>
    <row r="15982" spans="1:11">
      <c r="A15982" s="12">
        <v>43638</v>
      </c>
      <c r="B15982">
        <v>2019</v>
      </c>
      <c r="C15982">
        <v>6</v>
      </c>
      <c r="D15982" s="11">
        <v>43617</v>
      </c>
      <c r="E15982" t="s">
        <v>2178</v>
      </c>
      <c r="F15982">
        <v>6</v>
      </c>
      <c r="G15982" t="s">
        <v>57</v>
      </c>
      <c r="H15982" t="s">
        <v>44</v>
      </c>
      <c r="I15982" t="s">
        <v>2192</v>
      </c>
      <c r="J15982" s="10">
        <v>11</v>
      </c>
      <c r="K15982" t="b">
        <v>1</v>
      </c>
    </row>
    <row r="15983" spans="1:11">
      <c r="A15983" s="12">
        <v>43638</v>
      </c>
      <c r="B15983">
        <v>2019</v>
      </c>
      <c r="C15983">
        <v>6</v>
      </c>
      <c r="D15983" s="11">
        <v>43617</v>
      </c>
      <c r="E15983" t="s">
        <v>2178</v>
      </c>
      <c r="F15983">
        <v>6</v>
      </c>
      <c r="G15983" t="s">
        <v>57</v>
      </c>
      <c r="H15983" t="s">
        <v>45</v>
      </c>
      <c r="I15983" t="s">
        <v>2193</v>
      </c>
      <c r="J15983" s="10">
        <v>2</v>
      </c>
      <c r="K15983" t="b">
        <v>1</v>
      </c>
    </row>
    <row r="15984" spans="1:11">
      <c r="A15984" s="12">
        <v>43638</v>
      </c>
      <c r="B15984">
        <v>2019</v>
      </c>
      <c r="C15984">
        <v>6</v>
      </c>
      <c r="D15984" s="11">
        <v>43617</v>
      </c>
      <c r="E15984" t="s">
        <v>2178</v>
      </c>
      <c r="F15984">
        <v>6</v>
      </c>
      <c r="G15984" t="s">
        <v>57</v>
      </c>
      <c r="H15984" t="s">
        <v>46</v>
      </c>
      <c r="I15984" t="s">
        <v>2194</v>
      </c>
      <c r="J15984" s="10">
        <v>12</v>
      </c>
      <c r="K15984" t="b">
        <v>1</v>
      </c>
    </row>
    <row r="15985" spans="1:11">
      <c r="A15985" s="12">
        <v>43638</v>
      </c>
      <c r="B15985">
        <v>2019</v>
      </c>
      <c r="C15985">
        <v>6</v>
      </c>
      <c r="D15985" s="11">
        <v>43617</v>
      </c>
      <c r="E15985" t="s">
        <v>2178</v>
      </c>
      <c r="F15985">
        <v>6</v>
      </c>
      <c r="G15985" t="s">
        <v>57</v>
      </c>
      <c r="H15985" t="s">
        <v>47</v>
      </c>
      <c r="I15985" t="s">
        <v>2195</v>
      </c>
      <c r="J15985" s="10">
        <v>5</v>
      </c>
      <c r="K15985" t="b">
        <v>1</v>
      </c>
    </row>
    <row r="15986" spans="1:11">
      <c r="A15986" s="12">
        <v>43639</v>
      </c>
      <c r="B15986">
        <v>2019</v>
      </c>
      <c r="C15986">
        <v>6</v>
      </c>
      <c r="D15986" s="11">
        <v>43617</v>
      </c>
      <c r="E15986" t="s">
        <v>2178</v>
      </c>
      <c r="F15986">
        <v>7</v>
      </c>
      <c r="G15986" t="s">
        <v>59</v>
      </c>
      <c r="H15986" t="s">
        <v>40</v>
      </c>
      <c r="I15986" t="s">
        <v>2188</v>
      </c>
      <c r="J15986" s="10">
        <v>9.33</v>
      </c>
      <c r="K15986" t="b">
        <v>1</v>
      </c>
    </row>
    <row r="15987" spans="1:11">
      <c r="A15987" s="12">
        <v>43639</v>
      </c>
      <c r="B15987">
        <v>2019</v>
      </c>
      <c r="C15987">
        <v>6</v>
      </c>
      <c r="D15987" s="11">
        <v>43617</v>
      </c>
      <c r="E15987" t="s">
        <v>2178</v>
      </c>
      <c r="F15987">
        <v>7</v>
      </c>
      <c r="G15987" t="s">
        <v>59</v>
      </c>
      <c r="H15987" t="s">
        <v>41</v>
      </c>
      <c r="I15987" t="s">
        <v>2189</v>
      </c>
      <c r="J15987" s="10">
        <v>4.792</v>
      </c>
      <c r="K15987" t="b">
        <v>1</v>
      </c>
    </row>
    <row r="15988" spans="1:11">
      <c r="A15988" s="12">
        <v>43639</v>
      </c>
      <c r="B15988">
        <v>2019</v>
      </c>
      <c r="C15988">
        <v>6</v>
      </c>
      <c r="D15988" s="11">
        <v>43617</v>
      </c>
      <c r="E15988" t="s">
        <v>2178</v>
      </c>
      <c r="F15988">
        <v>7</v>
      </c>
      <c r="G15988" t="s">
        <v>59</v>
      </c>
      <c r="H15988" t="s">
        <v>42</v>
      </c>
      <c r="I15988" t="s">
        <v>2190</v>
      </c>
      <c r="J15988" s="10">
        <v>5.5</v>
      </c>
      <c r="K15988" t="b">
        <v>1</v>
      </c>
    </row>
    <row r="15989" spans="1:11">
      <c r="A15989" s="12">
        <v>43639</v>
      </c>
      <c r="B15989">
        <v>2019</v>
      </c>
      <c r="C15989">
        <v>6</v>
      </c>
      <c r="D15989" s="11">
        <v>43617</v>
      </c>
      <c r="E15989" t="s">
        <v>2178</v>
      </c>
      <c r="F15989">
        <v>7</v>
      </c>
      <c r="G15989" t="s">
        <v>59</v>
      </c>
      <c r="H15989" t="s">
        <v>43</v>
      </c>
      <c r="I15989" t="s">
        <v>2191</v>
      </c>
      <c r="J15989" s="10">
        <v>18.2</v>
      </c>
      <c r="K15989" t="b">
        <v>1</v>
      </c>
    </row>
    <row r="15990" spans="1:11">
      <c r="A15990" s="12">
        <v>43639</v>
      </c>
      <c r="B15990">
        <v>2019</v>
      </c>
      <c r="C15990">
        <v>6</v>
      </c>
      <c r="D15990" s="11">
        <v>43617</v>
      </c>
      <c r="E15990" t="s">
        <v>2178</v>
      </c>
      <c r="F15990">
        <v>7</v>
      </c>
      <c r="G15990" t="s">
        <v>59</v>
      </c>
      <c r="H15990" t="s">
        <v>44</v>
      </c>
      <c r="I15990" t="s">
        <v>2192</v>
      </c>
      <c r="J15990" s="10">
        <v>1</v>
      </c>
      <c r="K15990" t="b">
        <v>1</v>
      </c>
    </row>
    <row r="15991" spans="1:11">
      <c r="A15991" s="12">
        <v>43639</v>
      </c>
      <c r="B15991">
        <v>2019</v>
      </c>
      <c r="C15991">
        <v>6</v>
      </c>
      <c r="D15991" s="11">
        <v>43617</v>
      </c>
      <c r="E15991" t="s">
        <v>2178</v>
      </c>
      <c r="F15991">
        <v>7</v>
      </c>
      <c r="G15991" t="s">
        <v>59</v>
      </c>
      <c r="H15991" t="s">
        <v>45</v>
      </c>
      <c r="I15991" t="s">
        <v>2193</v>
      </c>
      <c r="J15991" s="10">
        <v>0</v>
      </c>
      <c r="K15991" t="b">
        <v>1</v>
      </c>
    </row>
    <row r="15992" spans="1:11">
      <c r="A15992" s="12">
        <v>43639</v>
      </c>
      <c r="B15992">
        <v>2019</v>
      </c>
      <c r="C15992">
        <v>6</v>
      </c>
      <c r="D15992" s="11">
        <v>43617</v>
      </c>
      <c r="E15992" t="s">
        <v>2178</v>
      </c>
      <c r="F15992">
        <v>7</v>
      </c>
      <c r="G15992" t="s">
        <v>59</v>
      </c>
      <c r="H15992" t="s">
        <v>46</v>
      </c>
      <c r="I15992" t="s">
        <v>2194</v>
      </c>
      <c r="J15992" s="10">
        <v>10</v>
      </c>
      <c r="K15992" t="b">
        <v>1</v>
      </c>
    </row>
    <row r="15993" spans="1:11">
      <c r="A15993" s="12">
        <v>43639</v>
      </c>
      <c r="B15993">
        <v>2019</v>
      </c>
      <c r="C15993">
        <v>6</v>
      </c>
      <c r="D15993" s="11">
        <v>43617</v>
      </c>
      <c r="E15993" t="s">
        <v>2178</v>
      </c>
      <c r="F15993">
        <v>7</v>
      </c>
      <c r="G15993" t="s">
        <v>59</v>
      </c>
      <c r="H15993" t="s">
        <v>47</v>
      </c>
      <c r="I15993" t="s">
        <v>2195</v>
      </c>
      <c r="J15993" s="10">
        <v>1</v>
      </c>
      <c r="K15993" t="b">
        <v>1</v>
      </c>
    </row>
    <row r="15994" spans="1:11">
      <c r="A15994" s="12">
        <v>43640</v>
      </c>
      <c r="B15994">
        <v>2019</v>
      </c>
      <c r="C15994">
        <v>6</v>
      </c>
      <c r="D15994" s="11">
        <v>43617</v>
      </c>
      <c r="E15994" t="s">
        <v>2178</v>
      </c>
      <c r="F15994">
        <v>1</v>
      </c>
      <c r="G15994" t="s">
        <v>61</v>
      </c>
      <c r="H15994" t="s">
        <v>40</v>
      </c>
      <c r="I15994" t="s">
        <v>2188</v>
      </c>
      <c r="J15994" s="10">
        <v>10</v>
      </c>
      <c r="K15994" t="b">
        <v>1</v>
      </c>
    </row>
    <row r="15995" spans="1:11">
      <c r="A15995" s="12">
        <v>43640</v>
      </c>
      <c r="B15995">
        <v>2019</v>
      </c>
      <c r="C15995">
        <v>6</v>
      </c>
      <c r="D15995" s="11">
        <v>43617</v>
      </c>
      <c r="E15995" t="s">
        <v>2178</v>
      </c>
      <c r="F15995">
        <v>1</v>
      </c>
      <c r="G15995" t="s">
        <v>61</v>
      </c>
      <c r="H15995" t="s">
        <v>41</v>
      </c>
      <c r="I15995" t="s">
        <v>2189</v>
      </c>
      <c r="J15995" s="10">
        <v>4.68</v>
      </c>
      <c r="K15995" t="b">
        <v>1</v>
      </c>
    </row>
    <row r="15996" spans="1:11">
      <c r="A15996" s="12">
        <v>43640</v>
      </c>
      <c r="B15996">
        <v>2019</v>
      </c>
      <c r="C15996">
        <v>6</v>
      </c>
      <c r="D15996" s="11">
        <v>43617</v>
      </c>
      <c r="E15996" t="s">
        <v>2178</v>
      </c>
      <c r="F15996">
        <v>1</v>
      </c>
      <c r="G15996" t="s">
        <v>61</v>
      </c>
      <c r="H15996" t="s">
        <v>42</v>
      </c>
      <c r="I15996" t="s">
        <v>2190</v>
      </c>
      <c r="J15996" s="10">
        <v>3.1</v>
      </c>
      <c r="K15996" t="b">
        <v>1</v>
      </c>
    </row>
    <row r="15997" spans="1:11">
      <c r="A15997" s="12">
        <v>43640</v>
      </c>
      <c r="B15997">
        <v>2019</v>
      </c>
      <c r="C15997">
        <v>6</v>
      </c>
      <c r="D15997" s="11">
        <v>43617</v>
      </c>
      <c r="E15997" t="s">
        <v>2178</v>
      </c>
      <c r="F15997">
        <v>1</v>
      </c>
      <c r="G15997" t="s">
        <v>61</v>
      </c>
      <c r="H15997" t="s">
        <v>43</v>
      </c>
      <c r="I15997" t="s">
        <v>2191</v>
      </c>
      <c r="J15997" s="10">
        <v>19</v>
      </c>
      <c r="K15997" t="b">
        <v>1</v>
      </c>
    </row>
    <row r="15998" spans="1:11">
      <c r="A15998" s="12">
        <v>43640</v>
      </c>
      <c r="B15998">
        <v>2019</v>
      </c>
      <c r="C15998">
        <v>6</v>
      </c>
      <c r="D15998" s="11">
        <v>43617</v>
      </c>
      <c r="E15998" t="s">
        <v>2178</v>
      </c>
      <c r="F15998">
        <v>1</v>
      </c>
      <c r="G15998" t="s">
        <v>61</v>
      </c>
      <c r="H15998" t="s">
        <v>44</v>
      </c>
      <c r="I15998" t="s">
        <v>2192</v>
      </c>
      <c r="J15998" s="10">
        <v>9</v>
      </c>
      <c r="K15998" t="b">
        <v>1</v>
      </c>
    </row>
    <row r="15999" spans="1:11">
      <c r="A15999" s="12">
        <v>43640</v>
      </c>
      <c r="B15999">
        <v>2019</v>
      </c>
      <c r="C15999">
        <v>6</v>
      </c>
      <c r="D15999" s="11">
        <v>43617</v>
      </c>
      <c r="E15999" t="s">
        <v>2178</v>
      </c>
      <c r="F15999">
        <v>1</v>
      </c>
      <c r="G15999" t="s">
        <v>61</v>
      </c>
      <c r="H15999" t="s">
        <v>45</v>
      </c>
      <c r="I15999" t="s">
        <v>2193</v>
      </c>
      <c r="J15999" s="10">
        <v>3</v>
      </c>
      <c r="K15999" t="b">
        <v>1</v>
      </c>
    </row>
    <row r="16000" spans="1:11">
      <c r="A16000" s="12">
        <v>43640</v>
      </c>
      <c r="B16000">
        <v>2019</v>
      </c>
      <c r="C16000">
        <v>6</v>
      </c>
      <c r="D16000" s="11">
        <v>43617</v>
      </c>
      <c r="E16000" t="s">
        <v>2178</v>
      </c>
      <c r="F16000">
        <v>1</v>
      </c>
      <c r="G16000" t="s">
        <v>61</v>
      </c>
      <c r="H16000" t="s">
        <v>46</v>
      </c>
      <c r="I16000" t="s">
        <v>2194</v>
      </c>
      <c r="J16000" s="10">
        <v>3</v>
      </c>
      <c r="K16000" t="b">
        <v>1</v>
      </c>
    </row>
    <row r="16001" spans="1:11">
      <c r="A16001" s="12">
        <v>43640</v>
      </c>
      <c r="B16001">
        <v>2019</v>
      </c>
      <c r="C16001">
        <v>6</v>
      </c>
      <c r="D16001" s="11">
        <v>43617</v>
      </c>
      <c r="E16001" t="s">
        <v>2178</v>
      </c>
      <c r="F16001">
        <v>1</v>
      </c>
      <c r="G16001" t="s">
        <v>61</v>
      </c>
      <c r="H16001" t="s">
        <v>47</v>
      </c>
      <c r="I16001" t="s">
        <v>2195</v>
      </c>
      <c r="J16001" s="10">
        <v>7</v>
      </c>
      <c r="K16001" t="b">
        <v>1</v>
      </c>
    </row>
    <row r="16002" spans="1:11">
      <c r="A16002" s="12">
        <v>43641</v>
      </c>
      <c r="B16002">
        <v>2019</v>
      </c>
      <c r="C16002">
        <v>6</v>
      </c>
      <c r="D16002" s="11">
        <v>43617</v>
      </c>
      <c r="E16002" t="s">
        <v>2178</v>
      </c>
      <c r="F16002">
        <v>2</v>
      </c>
      <c r="G16002" t="s">
        <v>63</v>
      </c>
      <c r="H16002" t="s">
        <v>40</v>
      </c>
      <c r="I16002" t="s">
        <v>2188</v>
      </c>
      <c r="J16002" s="10">
        <v>2.34</v>
      </c>
      <c r="K16002" t="b">
        <v>1</v>
      </c>
    </row>
    <row r="16003" spans="1:11">
      <c r="A16003" s="12">
        <v>43641</v>
      </c>
      <c r="B16003">
        <v>2019</v>
      </c>
      <c r="C16003">
        <v>6</v>
      </c>
      <c r="D16003" s="11">
        <v>43617</v>
      </c>
      <c r="E16003" t="s">
        <v>2178</v>
      </c>
      <c r="F16003">
        <v>2</v>
      </c>
      <c r="G16003" t="s">
        <v>63</v>
      </c>
      <c r="H16003" t="s">
        <v>41</v>
      </c>
      <c r="I16003" t="s">
        <v>2189</v>
      </c>
      <c r="J16003" s="10">
        <v>2.638</v>
      </c>
      <c r="K16003" t="b">
        <v>1</v>
      </c>
    </row>
    <row r="16004" spans="1:11">
      <c r="A16004" s="12">
        <v>43641</v>
      </c>
      <c r="B16004">
        <v>2019</v>
      </c>
      <c r="C16004">
        <v>6</v>
      </c>
      <c r="D16004" s="11">
        <v>43617</v>
      </c>
      <c r="E16004" t="s">
        <v>2178</v>
      </c>
      <c r="F16004">
        <v>2</v>
      </c>
      <c r="G16004" t="s">
        <v>63</v>
      </c>
      <c r="H16004" t="s">
        <v>42</v>
      </c>
      <c r="I16004" t="s">
        <v>2190</v>
      </c>
      <c r="J16004" s="10">
        <v>5</v>
      </c>
      <c r="K16004" t="b">
        <v>1</v>
      </c>
    </row>
    <row r="16005" spans="1:11">
      <c r="A16005" s="12">
        <v>43641</v>
      </c>
      <c r="B16005">
        <v>2019</v>
      </c>
      <c r="C16005">
        <v>6</v>
      </c>
      <c r="D16005" s="11">
        <v>43617</v>
      </c>
      <c r="E16005" t="s">
        <v>2178</v>
      </c>
      <c r="F16005">
        <v>2</v>
      </c>
      <c r="G16005" t="s">
        <v>63</v>
      </c>
      <c r="H16005" t="s">
        <v>43</v>
      </c>
      <c r="I16005" t="s">
        <v>2191</v>
      </c>
      <c r="J16005" s="10">
        <v>12</v>
      </c>
      <c r="K16005" t="b">
        <v>1</v>
      </c>
    </row>
    <row r="16006" spans="1:11">
      <c r="A16006" s="12">
        <v>43641</v>
      </c>
      <c r="B16006">
        <v>2019</v>
      </c>
      <c r="C16006">
        <v>6</v>
      </c>
      <c r="D16006" s="11">
        <v>43617</v>
      </c>
      <c r="E16006" t="s">
        <v>2178</v>
      </c>
      <c r="F16006">
        <v>2</v>
      </c>
      <c r="G16006" t="s">
        <v>63</v>
      </c>
      <c r="H16006" t="s">
        <v>44</v>
      </c>
      <c r="I16006" t="s">
        <v>2192</v>
      </c>
      <c r="J16006" s="10">
        <v>10</v>
      </c>
      <c r="K16006" t="b">
        <v>1</v>
      </c>
    </row>
    <row r="16007" spans="1:11">
      <c r="A16007" s="12">
        <v>43641</v>
      </c>
      <c r="B16007">
        <v>2019</v>
      </c>
      <c r="C16007">
        <v>6</v>
      </c>
      <c r="D16007" s="11">
        <v>43617</v>
      </c>
      <c r="E16007" t="s">
        <v>2178</v>
      </c>
      <c r="F16007">
        <v>2</v>
      </c>
      <c r="G16007" t="s">
        <v>63</v>
      </c>
      <c r="H16007" t="s">
        <v>45</v>
      </c>
      <c r="I16007" t="s">
        <v>2193</v>
      </c>
      <c r="J16007" s="10">
        <v>1</v>
      </c>
      <c r="K16007" t="b">
        <v>1</v>
      </c>
    </row>
    <row r="16008" spans="1:11">
      <c r="A16008" s="12">
        <v>43641</v>
      </c>
      <c r="B16008">
        <v>2019</v>
      </c>
      <c r="C16008">
        <v>6</v>
      </c>
      <c r="D16008" s="11">
        <v>43617</v>
      </c>
      <c r="E16008" t="s">
        <v>2178</v>
      </c>
      <c r="F16008">
        <v>2</v>
      </c>
      <c r="G16008" t="s">
        <v>63</v>
      </c>
      <c r="H16008" t="s">
        <v>46</v>
      </c>
      <c r="I16008" t="s">
        <v>2194</v>
      </c>
      <c r="J16008" s="10">
        <v>0</v>
      </c>
      <c r="K16008" t="b">
        <v>1</v>
      </c>
    </row>
    <row r="16009" spans="1:11">
      <c r="A16009" s="12">
        <v>43641</v>
      </c>
      <c r="B16009">
        <v>2019</v>
      </c>
      <c r="C16009">
        <v>6</v>
      </c>
      <c r="D16009" s="11">
        <v>43617</v>
      </c>
      <c r="E16009" t="s">
        <v>2178</v>
      </c>
      <c r="F16009">
        <v>2</v>
      </c>
      <c r="G16009" t="s">
        <v>63</v>
      </c>
      <c r="H16009" t="s">
        <v>47</v>
      </c>
      <c r="I16009" t="s">
        <v>2195</v>
      </c>
      <c r="J16009" s="10">
        <v>3</v>
      </c>
      <c r="K16009" t="b">
        <v>1</v>
      </c>
    </row>
    <row r="16010" spans="1:11">
      <c r="A16010" s="12">
        <v>43642</v>
      </c>
      <c r="B16010">
        <v>2019</v>
      </c>
      <c r="C16010">
        <v>6</v>
      </c>
      <c r="D16010" s="11">
        <v>43617</v>
      </c>
      <c r="E16010" t="s">
        <v>2178</v>
      </c>
      <c r="F16010">
        <v>3</v>
      </c>
      <c r="G16010" t="s">
        <v>65</v>
      </c>
      <c r="H16010" t="s">
        <v>40</v>
      </c>
      <c r="I16010" t="s">
        <v>2188</v>
      </c>
      <c r="J16010" s="10">
        <v>2</v>
      </c>
      <c r="K16010" t="b">
        <v>1</v>
      </c>
    </row>
    <row r="16011" spans="1:11">
      <c r="A16011" s="12">
        <v>43642</v>
      </c>
      <c r="B16011">
        <v>2019</v>
      </c>
      <c r="C16011">
        <v>6</v>
      </c>
      <c r="D16011" s="11">
        <v>43617</v>
      </c>
      <c r="E16011" t="s">
        <v>2178</v>
      </c>
      <c r="F16011">
        <v>3</v>
      </c>
      <c r="G16011" t="s">
        <v>65</v>
      </c>
      <c r="H16011" t="s">
        <v>41</v>
      </c>
      <c r="I16011" t="s">
        <v>2189</v>
      </c>
      <c r="J16011" s="10">
        <v>3.44</v>
      </c>
      <c r="K16011" t="b">
        <v>1</v>
      </c>
    </row>
    <row r="16012" spans="1:11">
      <c r="A16012" s="12">
        <v>43642</v>
      </c>
      <c r="B16012">
        <v>2019</v>
      </c>
      <c r="C16012">
        <v>6</v>
      </c>
      <c r="D16012" s="11">
        <v>43617</v>
      </c>
      <c r="E16012" t="s">
        <v>2178</v>
      </c>
      <c r="F16012">
        <v>3</v>
      </c>
      <c r="G16012" t="s">
        <v>65</v>
      </c>
      <c r="H16012" t="s">
        <v>42</v>
      </c>
      <c r="I16012" t="s">
        <v>2190</v>
      </c>
      <c r="J16012" s="10">
        <v>1</v>
      </c>
      <c r="K16012" t="b">
        <v>1</v>
      </c>
    </row>
    <row r="16013" spans="1:11">
      <c r="A16013" s="12">
        <v>43642</v>
      </c>
      <c r="B16013">
        <v>2019</v>
      </c>
      <c r="C16013">
        <v>6</v>
      </c>
      <c r="D16013" s="11">
        <v>43617</v>
      </c>
      <c r="E16013" t="s">
        <v>2178</v>
      </c>
      <c r="F16013">
        <v>3</v>
      </c>
      <c r="G16013" t="s">
        <v>65</v>
      </c>
      <c r="H16013" t="s">
        <v>43</v>
      </c>
      <c r="I16013" t="s">
        <v>2191</v>
      </c>
      <c r="J16013" s="10">
        <v>11.6</v>
      </c>
      <c r="K16013" t="b">
        <v>1</v>
      </c>
    </row>
    <row r="16014" spans="1:11">
      <c r="A16014" s="12">
        <v>43642</v>
      </c>
      <c r="B16014">
        <v>2019</v>
      </c>
      <c r="C16014">
        <v>6</v>
      </c>
      <c r="D16014" s="11">
        <v>43617</v>
      </c>
      <c r="E16014" t="s">
        <v>2178</v>
      </c>
      <c r="F16014">
        <v>3</v>
      </c>
      <c r="G16014" t="s">
        <v>65</v>
      </c>
      <c r="H16014" t="s">
        <v>44</v>
      </c>
      <c r="I16014" t="s">
        <v>2192</v>
      </c>
      <c r="J16014" s="10">
        <v>5</v>
      </c>
      <c r="K16014" t="b">
        <v>1</v>
      </c>
    </row>
    <row r="16015" spans="1:11">
      <c r="A16015" s="12">
        <v>43642</v>
      </c>
      <c r="B16015">
        <v>2019</v>
      </c>
      <c r="C16015">
        <v>6</v>
      </c>
      <c r="D16015" s="11">
        <v>43617</v>
      </c>
      <c r="E16015" t="s">
        <v>2178</v>
      </c>
      <c r="F16015">
        <v>3</v>
      </c>
      <c r="G16015" t="s">
        <v>65</v>
      </c>
      <c r="H16015" t="s">
        <v>45</v>
      </c>
      <c r="I16015" t="s">
        <v>2193</v>
      </c>
      <c r="J16015" s="10">
        <v>1</v>
      </c>
      <c r="K16015" t="b">
        <v>1</v>
      </c>
    </row>
    <row r="16016" spans="1:11">
      <c r="A16016" s="12">
        <v>43642</v>
      </c>
      <c r="B16016">
        <v>2019</v>
      </c>
      <c r="C16016">
        <v>6</v>
      </c>
      <c r="D16016" s="11">
        <v>43617</v>
      </c>
      <c r="E16016" t="s">
        <v>2178</v>
      </c>
      <c r="F16016">
        <v>3</v>
      </c>
      <c r="G16016" t="s">
        <v>65</v>
      </c>
      <c r="H16016" t="s">
        <v>46</v>
      </c>
      <c r="I16016" t="s">
        <v>2194</v>
      </c>
      <c r="J16016" s="10">
        <v>0</v>
      </c>
      <c r="K16016" t="b">
        <v>1</v>
      </c>
    </row>
    <row r="16017" spans="1:11">
      <c r="A16017" s="12">
        <v>43642</v>
      </c>
      <c r="B16017">
        <v>2019</v>
      </c>
      <c r="C16017">
        <v>6</v>
      </c>
      <c r="D16017" s="11">
        <v>43617</v>
      </c>
      <c r="E16017" t="s">
        <v>2178</v>
      </c>
      <c r="F16017">
        <v>3</v>
      </c>
      <c r="G16017" t="s">
        <v>65</v>
      </c>
      <c r="H16017" t="s">
        <v>47</v>
      </c>
      <c r="I16017" t="s">
        <v>2195</v>
      </c>
      <c r="J16017" s="10">
        <v>5</v>
      </c>
      <c r="K16017" t="b">
        <v>1</v>
      </c>
    </row>
    <row r="16018" spans="1:11">
      <c r="A16018" s="12">
        <v>43643</v>
      </c>
      <c r="B16018">
        <v>2019</v>
      </c>
      <c r="C16018">
        <v>6</v>
      </c>
      <c r="D16018" s="11">
        <v>43617</v>
      </c>
      <c r="E16018" t="s">
        <v>2178</v>
      </c>
      <c r="F16018">
        <v>4</v>
      </c>
      <c r="G16018" t="s">
        <v>53</v>
      </c>
      <c r="H16018" t="s">
        <v>40</v>
      </c>
      <c r="I16018" t="s">
        <v>2188</v>
      </c>
      <c r="J16018" s="10">
        <v>8.16</v>
      </c>
      <c r="K16018" t="b">
        <v>1</v>
      </c>
    </row>
    <row r="16019" spans="1:11">
      <c r="A16019" s="12">
        <v>43643</v>
      </c>
      <c r="B16019">
        <v>2019</v>
      </c>
      <c r="C16019">
        <v>6</v>
      </c>
      <c r="D16019" s="11">
        <v>43617</v>
      </c>
      <c r="E16019" t="s">
        <v>2178</v>
      </c>
      <c r="F16019">
        <v>4</v>
      </c>
      <c r="G16019" t="s">
        <v>53</v>
      </c>
      <c r="H16019" t="s">
        <v>41</v>
      </c>
      <c r="I16019" t="s">
        <v>2189</v>
      </c>
      <c r="J16019" s="10">
        <v>6.33</v>
      </c>
      <c r="K16019" t="b">
        <v>1</v>
      </c>
    </row>
    <row r="16020" spans="1:11">
      <c r="A16020" s="12">
        <v>43643</v>
      </c>
      <c r="B16020">
        <v>2019</v>
      </c>
      <c r="C16020">
        <v>6</v>
      </c>
      <c r="D16020" s="11">
        <v>43617</v>
      </c>
      <c r="E16020" t="s">
        <v>2178</v>
      </c>
      <c r="F16020">
        <v>4</v>
      </c>
      <c r="G16020" t="s">
        <v>53</v>
      </c>
      <c r="H16020" t="s">
        <v>42</v>
      </c>
      <c r="I16020" t="s">
        <v>2190</v>
      </c>
      <c r="J16020" s="10">
        <v>4</v>
      </c>
      <c r="K16020" t="b">
        <v>1</v>
      </c>
    </row>
    <row r="16021" spans="1:11">
      <c r="A16021" s="12">
        <v>43643</v>
      </c>
      <c r="B16021">
        <v>2019</v>
      </c>
      <c r="C16021">
        <v>6</v>
      </c>
      <c r="D16021" s="11">
        <v>43617</v>
      </c>
      <c r="E16021" t="s">
        <v>2178</v>
      </c>
      <c r="F16021">
        <v>4</v>
      </c>
      <c r="G16021" t="s">
        <v>53</v>
      </c>
      <c r="H16021" t="s">
        <v>43</v>
      </c>
      <c r="I16021" t="s">
        <v>2191</v>
      </c>
      <c r="J16021" s="10">
        <v>15</v>
      </c>
      <c r="K16021" t="b">
        <v>1</v>
      </c>
    </row>
    <row r="16022" spans="1:11">
      <c r="A16022" s="12">
        <v>43643</v>
      </c>
      <c r="B16022">
        <v>2019</v>
      </c>
      <c r="C16022">
        <v>6</v>
      </c>
      <c r="D16022" s="11">
        <v>43617</v>
      </c>
      <c r="E16022" t="s">
        <v>2178</v>
      </c>
      <c r="F16022">
        <v>4</v>
      </c>
      <c r="G16022" t="s">
        <v>53</v>
      </c>
      <c r="H16022" t="s">
        <v>44</v>
      </c>
      <c r="I16022" t="s">
        <v>2192</v>
      </c>
      <c r="J16022" s="10">
        <v>5</v>
      </c>
      <c r="K16022" t="b">
        <v>1</v>
      </c>
    </row>
    <row r="16023" spans="1:11">
      <c r="A16023" s="12">
        <v>43643</v>
      </c>
      <c r="B16023">
        <v>2019</v>
      </c>
      <c r="C16023">
        <v>6</v>
      </c>
      <c r="D16023" s="11">
        <v>43617</v>
      </c>
      <c r="E16023" t="s">
        <v>2178</v>
      </c>
      <c r="F16023">
        <v>4</v>
      </c>
      <c r="G16023" t="s">
        <v>53</v>
      </c>
      <c r="H16023" t="s">
        <v>45</v>
      </c>
      <c r="I16023" t="s">
        <v>2193</v>
      </c>
      <c r="J16023" s="10">
        <v>1</v>
      </c>
      <c r="K16023" t="b">
        <v>1</v>
      </c>
    </row>
    <row r="16024" spans="1:11">
      <c r="A16024" s="12">
        <v>43643</v>
      </c>
      <c r="B16024">
        <v>2019</v>
      </c>
      <c r="C16024">
        <v>6</v>
      </c>
      <c r="D16024" s="11">
        <v>43617</v>
      </c>
      <c r="E16024" t="s">
        <v>2178</v>
      </c>
      <c r="F16024">
        <v>4</v>
      </c>
      <c r="G16024" t="s">
        <v>53</v>
      </c>
      <c r="H16024" t="s">
        <v>46</v>
      </c>
      <c r="I16024" t="s">
        <v>2194</v>
      </c>
      <c r="J16024" s="10">
        <v>7</v>
      </c>
      <c r="K16024" t="b">
        <v>1</v>
      </c>
    </row>
    <row r="16025" spans="1:11">
      <c r="A16025" s="12">
        <v>43643</v>
      </c>
      <c r="B16025">
        <v>2019</v>
      </c>
      <c r="C16025">
        <v>6</v>
      </c>
      <c r="D16025" s="11">
        <v>43617</v>
      </c>
      <c r="E16025" t="s">
        <v>2178</v>
      </c>
      <c r="F16025">
        <v>4</v>
      </c>
      <c r="G16025" t="s">
        <v>53</v>
      </c>
      <c r="H16025" t="s">
        <v>47</v>
      </c>
      <c r="I16025" t="s">
        <v>2195</v>
      </c>
      <c r="J16025" s="10">
        <v>2</v>
      </c>
      <c r="K16025" t="b">
        <v>1</v>
      </c>
    </row>
    <row r="16026" spans="1:11">
      <c r="A16026" s="12">
        <v>43644</v>
      </c>
      <c r="B16026">
        <v>2019</v>
      </c>
      <c r="C16026">
        <v>6</v>
      </c>
      <c r="D16026" s="11">
        <v>43617</v>
      </c>
      <c r="E16026" t="s">
        <v>2178</v>
      </c>
      <c r="F16026">
        <v>5</v>
      </c>
      <c r="G16026" t="s">
        <v>55</v>
      </c>
      <c r="H16026" t="s">
        <v>40</v>
      </c>
      <c r="I16026" t="s">
        <v>2188</v>
      </c>
      <c r="J16026" s="10">
        <v>4.33</v>
      </c>
      <c r="K16026" t="b">
        <v>1</v>
      </c>
    </row>
    <row r="16027" spans="1:11">
      <c r="A16027" s="12">
        <v>43644</v>
      </c>
      <c r="B16027">
        <v>2019</v>
      </c>
      <c r="C16027">
        <v>6</v>
      </c>
      <c r="D16027" s="11">
        <v>43617</v>
      </c>
      <c r="E16027" t="s">
        <v>2178</v>
      </c>
      <c r="F16027">
        <v>5</v>
      </c>
      <c r="G16027" t="s">
        <v>55</v>
      </c>
      <c r="H16027" t="s">
        <v>41</v>
      </c>
      <c r="I16027" t="s">
        <v>2189</v>
      </c>
      <c r="J16027" s="10">
        <v>1.496</v>
      </c>
      <c r="K16027" t="b">
        <v>1</v>
      </c>
    </row>
    <row r="16028" spans="1:11">
      <c r="A16028" s="12">
        <v>43644</v>
      </c>
      <c r="B16028">
        <v>2019</v>
      </c>
      <c r="C16028">
        <v>6</v>
      </c>
      <c r="D16028" s="11">
        <v>43617</v>
      </c>
      <c r="E16028" t="s">
        <v>2178</v>
      </c>
      <c r="F16028">
        <v>5</v>
      </c>
      <c r="G16028" t="s">
        <v>55</v>
      </c>
      <c r="H16028" t="s">
        <v>42</v>
      </c>
      <c r="I16028" t="s">
        <v>2190</v>
      </c>
      <c r="J16028" s="10">
        <v>2</v>
      </c>
      <c r="K16028" t="b">
        <v>1</v>
      </c>
    </row>
    <row r="16029" spans="1:11">
      <c r="A16029" s="12">
        <v>43644</v>
      </c>
      <c r="B16029">
        <v>2019</v>
      </c>
      <c r="C16029">
        <v>6</v>
      </c>
      <c r="D16029" s="11">
        <v>43617</v>
      </c>
      <c r="E16029" t="s">
        <v>2178</v>
      </c>
      <c r="F16029">
        <v>5</v>
      </c>
      <c r="G16029" t="s">
        <v>55</v>
      </c>
      <c r="H16029" t="s">
        <v>43</v>
      </c>
      <c r="I16029" t="s">
        <v>2191</v>
      </c>
      <c r="J16029" s="10">
        <v>15</v>
      </c>
      <c r="K16029" t="b">
        <v>1</v>
      </c>
    </row>
    <row r="16030" spans="1:11">
      <c r="A16030" s="12">
        <v>43644</v>
      </c>
      <c r="B16030">
        <v>2019</v>
      </c>
      <c r="C16030">
        <v>6</v>
      </c>
      <c r="D16030" s="11">
        <v>43617</v>
      </c>
      <c r="E16030" t="s">
        <v>2178</v>
      </c>
      <c r="F16030">
        <v>5</v>
      </c>
      <c r="G16030" t="s">
        <v>55</v>
      </c>
      <c r="H16030" t="s">
        <v>44</v>
      </c>
      <c r="I16030" t="s">
        <v>2192</v>
      </c>
      <c r="J16030" s="10">
        <v>5</v>
      </c>
      <c r="K16030" t="b">
        <v>1</v>
      </c>
    </row>
    <row r="16031" spans="1:11">
      <c r="A16031" s="12">
        <v>43644</v>
      </c>
      <c r="B16031">
        <v>2019</v>
      </c>
      <c r="C16031">
        <v>6</v>
      </c>
      <c r="D16031" s="11">
        <v>43617</v>
      </c>
      <c r="E16031" t="s">
        <v>2178</v>
      </c>
      <c r="F16031">
        <v>5</v>
      </c>
      <c r="G16031" t="s">
        <v>55</v>
      </c>
      <c r="H16031" t="s">
        <v>45</v>
      </c>
      <c r="I16031" t="s">
        <v>2193</v>
      </c>
      <c r="J16031" s="10">
        <v>0</v>
      </c>
      <c r="K16031" t="b">
        <v>1</v>
      </c>
    </row>
    <row r="16032" spans="1:11">
      <c r="A16032" s="12">
        <v>43644</v>
      </c>
      <c r="B16032">
        <v>2019</v>
      </c>
      <c r="C16032">
        <v>6</v>
      </c>
      <c r="D16032" s="11">
        <v>43617</v>
      </c>
      <c r="E16032" t="s">
        <v>2178</v>
      </c>
      <c r="F16032">
        <v>5</v>
      </c>
      <c r="G16032" t="s">
        <v>55</v>
      </c>
      <c r="H16032" t="s">
        <v>46</v>
      </c>
      <c r="I16032" t="s">
        <v>2194</v>
      </c>
      <c r="J16032" s="10">
        <v>2</v>
      </c>
      <c r="K16032" t="b">
        <v>1</v>
      </c>
    </row>
    <row r="16033" spans="1:11">
      <c r="A16033" s="12">
        <v>43644</v>
      </c>
      <c r="B16033">
        <v>2019</v>
      </c>
      <c r="C16033">
        <v>6</v>
      </c>
      <c r="D16033" s="11">
        <v>43617</v>
      </c>
      <c r="E16033" t="s">
        <v>2178</v>
      </c>
      <c r="F16033">
        <v>5</v>
      </c>
      <c r="G16033" t="s">
        <v>55</v>
      </c>
      <c r="H16033" t="s">
        <v>47</v>
      </c>
      <c r="I16033" t="s">
        <v>2195</v>
      </c>
      <c r="J16033" s="10">
        <v>3</v>
      </c>
      <c r="K16033" t="b">
        <v>1</v>
      </c>
    </row>
    <row r="16034" spans="1:11">
      <c r="A16034" s="12">
        <v>43645</v>
      </c>
      <c r="B16034">
        <v>2019</v>
      </c>
      <c r="C16034">
        <v>6</v>
      </c>
      <c r="D16034" s="11">
        <v>43617</v>
      </c>
      <c r="E16034" t="s">
        <v>2178</v>
      </c>
      <c r="F16034">
        <v>6</v>
      </c>
      <c r="G16034" t="s">
        <v>57</v>
      </c>
      <c r="H16034" t="s">
        <v>40</v>
      </c>
      <c r="I16034" t="s">
        <v>2188</v>
      </c>
      <c r="J16034" s="10">
        <v>1.18</v>
      </c>
      <c r="K16034" t="b">
        <v>1</v>
      </c>
    </row>
    <row r="16035" spans="1:11">
      <c r="A16035" s="12">
        <v>43645</v>
      </c>
      <c r="B16035">
        <v>2019</v>
      </c>
      <c r="C16035">
        <v>6</v>
      </c>
      <c r="D16035" s="11">
        <v>43617</v>
      </c>
      <c r="E16035" t="s">
        <v>2178</v>
      </c>
      <c r="F16035">
        <v>6</v>
      </c>
      <c r="G16035" t="s">
        <v>57</v>
      </c>
      <c r="H16035" t="s">
        <v>41</v>
      </c>
      <c r="I16035" t="s">
        <v>2189</v>
      </c>
      <c r="J16035" s="10">
        <v>5.7</v>
      </c>
      <c r="K16035" t="b">
        <v>1</v>
      </c>
    </row>
    <row r="16036" spans="1:11">
      <c r="A16036" s="12">
        <v>43645</v>
      </c>
      <c r="B16036">
        <v>2019</v>
      </c>
      <c r="C16036">
        <v>6</v>
      </c>
      <c r="D16036" s="11">
        <v>43617</v>
      </c>
      <c r="E16036" t="s">
        <v>2178</v>
      </c>
      <c r="F16036">
        <v>6</v>
      </c>
      <c r="G16036" t="s">
        <v>57</v>
      </c>
      <c r="H16036" t="s">
        <v>42</v>
      </c>
      <c r="I16036" t="s">
        <v>2190</v>
      </c>
      <c r="J16036" s="10">
        <v>5</v>
      </c>
      <c r="K16036" t="b">
        <v>1</v>
      </c>
    </row>
    <row r="16037" spans="1:11">
      <c r="A16037" s="12">
        <v>43645</v>
      </c>
      <c r="B16037">
        <v>2019</v>
      </c>
      <c r="C16037">
        <v>6</v>
      </c>
      <c r="D16037" s="11">
        <v>43617</v>
      </c>
      <c r="E16037" t="s">
        <v>2178</v>
      </c>
      <c r="F16037">
        <v>6</v>
      </c>
      <c r="G16037" t="s">
        <v>57</v>
      </c>
      <c r="H16037" t="s">
        <v>43</v>
      </c>
      <c r="I16037" t="s">
        <v>2191</v>
      </c>
      <c r="J16037" s="10">
        <v>18.3</v>
      </c>
      <c r="K16037" t="b">
        <v>1</v>
      </c>
    </row>
    <row r="16038" spans="1:11">
      <c r="A16038" s="12">
        <v>43645</v>
      </c>
      <c r="B16038">
        <v>2019</v>
      </c>
      <c r="C16038">
        <v>6</v>
      </c>
      <c r="D16038" s="11">
        <v>43617</v>
      </c>
      <c r="E16038" t="s">
        <v>2178</v>
      </c>
      <c r="F16038">
        <v>6</v>
      </c>
      <c r="G16038" t="s">
        <v>57</v>
      </c>
      <c r="H16038" t="s">
        <v>44</v>
      </c>
      <c r="I16038" t="s">
        <v>2192</v>
      </c>
      <c r="J16038" s="10">
        <v>2</v>
      </c>
      <c r="K16038" t="b">
        <v>1</v>
      </c>
    </row>
    <row r="16039" spans="1:11">
      <c r="A16039" s="12">
        <v>43645</v>
      </c>
      <c r="B16039">
        <v>2019</v>
      </c>
      <c r="C16039">
        <v>6</v>
      </c>
      <c r="D16039" s="11">
        <v>43617</v>
      </c>
      <c r="E16039" t="s">
        <v>2178</v>
      </c>
      <c r="F16039">
        <v>6</v>
      </c>
      <c r="G16039" t="s">
        <v>57</v>
      </c>
      <c r="H16039" t="s">
        <v>45</v>
      </c>
      <c r="I16039" t="s">
        <v>2193</v>
      </c>
      <c r="J16039" s="10">
        <v>0</v>
      </c>
      <c r="K16039" t="b">
        <v>1</v>
      </c>
    </row>
    <row r="16040" spans="1:11">
      <c r="A16040" s="12">
        <v>43645</v>
      </c>
      <c r="B16040">
        <v>2019</v>
      </c>
      <c r="C16040">
        <v>6</v>
      </c>
      <c r="D16040" s="11">
        <v>43617</v>
      </c>
      <c r="E16040" t="s">
        <v>2178</v>
      </c>
      <c r="F16040">
        <v>6</v>
      </c>
      <c r="G16040" t="s">
        <v>57</v>
      </c>
      <c r="H16040" t="s">
        <v>46</v>
      </c>
      <c r="I16040" t="s">
        <v>2194</v>
      </c>
      <c r="J16040" s="10">
        <v>5</v>
      </c>
      <c r="K16040" t="b">
        <v>1</v>
      </c>
    </row>
    <row r="16041" spans="1:11">
      <c r="A16041" s="12">
        <v>43645</v>
      </c>
      <c r="B16041">
        <v>2019</v>
      </c>
      <c r="C16041">
        <v>6</v>
      </c>
      <c r="D16041" s="11">
        <v>43617</v>
      </c>
      <c r="E16041" t="s">
        <v>2178</v>
      </c>
      <c r="F16041">
        <v>6</v>
      </c>
      <c r="G16041" t="s">
        <v>57</v>
      </c>
      <c r="H16041" t="s">
        <v>47</v>
      </c>
      <c r="I16041" t="s">
        <v>2195</v>
      </c>
      <c r="J16041" s="10">
        <v>2</v>
      </c>
      <c r="K16041" t="b">
        <v>1</v>
      </c>
    </row>
    <row r="16042" spans="1:11">
      <c r="A16042" s="12">
        <v>43646</v>
      </c>
      <c r="B16042">
        <v>2019</v>
      </c>
      <c r="C16042">
        <v>6</v>
      </c>
      <c r="D16042" s="11">
        <v>43617</v>
      </c>
      <c r="E16042" t="s">
        <v>2178</v>
      </c>
      <c r="F16042">
        <v>7</v>
      </c>
      <c r="G16042" t="s">
        <v>59</v>
      </c>
      <c r="H16042" t="s">
        <v>40</v>
      </c>
      <c r="I16042" t="s">
        <v>2188</v>
      </c>
      <c r="J16042" s="10">
        <v>6</v>
      </c>
      <c r="K16042" t="b">
        <v>1</v>
      </c>
    </row>
    <row r="16043" spans="1:11">
      <c r="A16043" s="12">
        <v>43646</v>
      </c>
      <c r="B16043">
        <v>2019</v>
      </c>
      <c r="C16043">
        <v>6</v>
      </c>
      <c r="D16043" s="11">
        <v>43617</v>
      </c>
      <c r="E16043" t="s">
        <v>2178</v>
      </c>
      <c r="F16043">
        <v>7</v>
      </c>
      <c r="G16043" t="s">
        <v>59</v>
      </c>
      <c r="H16043" t="s">
        <v>41</v>
      </c>
      <c r="I16043" t="s">
        <v>2189</v>
      </c>
      <c r="J16043" s="10">
        <v>6.159</v>
      </c>
      <c r="K16043" t="b">
        <v>1</v>
      </c>
    </row>
    <row r="16044" spans="1:11">
      <c r="A16044" s="12">
        <v>43646</v>
      </c>
      <c r="B16044">
        <v>2019</v>
      </c>
      <c r="C16044">
        <v>6</v>
      </c>
      <c r="D16044" s="11">
        <v>43617</v>
      </c>
      <c r="E16044" t="s">
        <v>2178</v>
      </c>
      <c r="F16044">
        <v>7</v>
      </c>
      <c r="G16044" t="s">
        <v>59</v>
      </c>
      <c r="H16044" t="s">
        <v>42</v>
      </c>
      <c r="I16044" t="s">
        <v>2190</v>
      </c>
      <c r="J16044" s="10">
        <v>0</v>
      </c>
      <c r="K16044" t="b">
        <v>1</v>
      </c>
    </row>
    <row r="16045" spans="1:11">
      <c r="A16045" s="12">
        <v>43646</v>
      </c>
      <c r="B16045">
        <v>2019</v>
      </c>
      <c r="C16045">
        <v>6</v>
      </c>
      <c r="D16045" s="11">
        <v>43617</v>
      </c>
      <c r="E16045" t="s">
        <v>2178</v>
      </c>
      <c r="F16045">
        <v>7</v>
      </c>
      <c r="G16045" t="s">
        <v>59</v>
      </c>
      <c r="H16045" t="s">
        <v>43</v>
      </c>
      <c r="I16045" t="s">
        <v>2191</v>
      </c>
      <c r="J16045" s="10">
        <v>40</v>
      </c>
      <c r="K16045" t="b">
        <v>1</v>
      </c>
    </row>
    <row r="16046" spans="1:11">
      <c r="A16046" s="12">
        <v>43646</v>
      </c>
      <c r="B16046">
        <v>2019</v>
      </c>
      <c r="C16046">
        <v>6</v>
      </c>
      <c r="D16046" s="11">
        <v>43617</v>
      </c>
      <c r="E16046" t="s">
        <v>2178</v>
      </c>
      <c r="F16046">
        <v>7</v>
      </c>
      <c r="G16046" t="s">
        <v>59</v>
      </c>
      <c r="H16046" t="s">
        <v>44</v>
      </c>
      <c r="I16046" t="s">
        <v>2192</v>
      </c>
      <c r="J16046" s="10">
        <v>5</v>
      </c>
      <c r="K16046" t="b">
        <v>1</v>
      </c>
    </row>
    <row r="16047" spans="1:11">
      <c r="A16047" s="12">
        <v>43646</v>
      </c>
      <c r="B16047">
        <v>2019</v>
      </c>
      <c r="C16047">
        <v>6</v>
      </c>
      <c r="D16047" s="11">
        <v>43617</v>
      </c>
      <c r="E16047" t="s">
        <v>2178</v>
      </c>
      <c r="F16047">
        <v>7</v>
      </c>
      <c r="G16047" t="s">
        <v>59</v>
      </c>
      <c r="H16047" t="s">
        <v>45</v>
      </c>
      <c r="I16047" t="s">
        <v>2193</v>
      </c>
      <c r="J16047" s="10">
        <v>0</v>
      </c>
      <c r="K16047" t="b">
        <v>1</v>
      </c>
    </row>
    <row r="16048" spans="1:11">
      <c r="A16048" s="12">
        <v>43646</v>
      </c>
      <c r="B16048">
        <v>2019</v>
      </c>
      <c r="C16048">
        <v>6</v>
      </c>
      <c r="D16048" s="11">
        <v>43617</v>
      </c>
      <c r="E16048" t="s">
        <v>2178</v>
      </c>
      <c r="F16048">
        <v>7</v>
      </c>
      <c r="G16048" t="s">
        <v>59</v>
      </c>
      <c r="H16048" t="s">
        <v>46</v>
      </c>
      <c r="I16048" t="s">
        <v>2194</v>
      </c>
      <c r="J16048" s="10">
        <v>11</v>
      </c>
      <c r="K16048" t="b">
        <v>1</v>
      </c>
    </row>
    <row r="16049" spans="1:11">
      <c r="A16049" s="12">
        <v>43646</v>
      </c>
      <c r="B16049">
        <v>2019</v>
      </c>
      <c r="C16049">
        <v>6</v>
      </c>
      <c r="D16049" s="11">
        <v>43617</v>
      </c>
      <c r="E16049" t="s">
        <v>2178</v>
      </c>
      <c r="F16049">
        <v>7</v>
      </c>
      <c r="G16049" t="s">
        <v>59</v>
      </c>
      <c r="H16049" t="s">
        <v>47</v>
      </c>
      <c r="I16049" t="s">
        <v>2195</v>
      </c>
      <c r="J16049" s="10">
        <v>5</v>
      </c>
      <c r="K16049" t="b">
        <v>1</v>
      </c>
    </row>
    <row r="16050" spans="1:11">
      <c r="A16050" s="12">
        <v>43647</v>
      </c>
      <c r="B16050">
        <v>2019</v>
      </c>
      <c r="C16050">
        <v>7</v>
      </c>
      <c r="D16050" s="11">
        <v>43647</v>
      </c>
      <c r="E16050" t="s">
        <v>2179</v>
      </c>
      <c r="F16050">
        <v>1</v>
      </c>
      <c r="G16050" t="s">
        <v>61</v>
      </c>
      <c r="H16050" t="s">
        <v>40</v>
      </c>
      <c r="I16050" t="s">
        <v>2188</v>
      </c>
      <c r="J16050" s="10">
        <v>5.33</v>
      </c>
      <c r="K16050" t="b">
        <v>1</v>
      </c>
    </row>
    <row r="16051" spans="1:11">
      <c r="A16051" s="12">
        <v>43647</v>
      </c>
      <c r="B16051">
        <v>2019</v>
      </c>
      <c r="C16051">
        <v>7</v>
      </c>
      <c r="D16051" s="11">
        <v>43647</v>
      </c>
      <c r="E16051" t="s">
        <v>2179</v>
      </c>
      <c r="F16051">
        <v>1</v>
      </c>
      <c r="G16051" t="s">
        <v>61</v>
      </c>
      <c r="H16051" t="s">
        <v>41</v>
      </c>
      <c r="I16051" t="s">
        <v>2189</v>
      </c>
      <c r="J16051" s="10">
        <v>2</v>
      </c>
      <c r="K16051" t="b">
        <v>1</v>
      </c>
    </row>
    <row r="16052" spans="1:11">
      <c r="A16052" s="12">
        <v>43647</v>
      </c>
      <c r="B16052">
        <v>2019</v>
      </c>
      <c r="C16052">
        <v>7</v>
      </c>
      <c r="D16052" s="11">
        <v>43647</v>
      </c>
      <c r="E16052" t="s">
        <v>2179</v>
      </c>
      <c r="F16052">
        <v>1</v>
      </c>
      <c r="G16052" t="s">
        <v>61</v>
      </c>
      <c r="H16052" t="s">
        <v>42</v>
      </c>
      <c r="I16052" t="s">
        <v>2190</v>
      </c>
      <c r="J16052" s="10">
        <v>1</v>
      </c>
      <c r="K16052" t="b">
        <v>1</v>
      </c>
    </row>
    <row r="16053" spans="1:11">
      <c r="A16053" s="12">
        <v>43647</v>
      </c>
      <c r="B16053">
        <v>2019</v>
      </c>
      <c r="C16053">
        <v>7</v>
      </c>
      <c r="D16053" s="11">
        <v>43647</v>
      </c>
      <c r="E16053" t="s">
        <v>2179</v>
      </c>
      <c r="F16053">
        <v>1</v>
      </c>
      <c r="G16053" t="s">
        <v>61</v>
      </c>
      <c r="H16053" t="s">
        <v>43</v>
      </c>
      <c r="I16053" t="s">
        <v>2191</v>
      </c>
      <c r="J16053" s="10">
        <v>14</v>
      </c>
      <c r="K16053" t="b">
        <v>1</v>
      </c>
    </row>
    <row r="16054" spans="1:11">
      <c r="A16054" s="12">
        <v>43647</v>
      </c>
      <c r="B16054">
        <v>2019</v>
      </c>
      <c r="C16054">
        <v>7</v>
      </c>
      <c r="D16054" s="11">
        <v>43647</v>
      </c>
      <c r="E16054" t="s">
        <v>2179</v>
      </c>
      <c r="F16054">
        <v>1</v>
      </c>
      <c r="G16054" t="s">
        <v>61</v>
      </c>
      <c r="H16054" t="s">
        <v>44</v>
      </c>
      <c r="I16054" t="s">
        <v>2192</v>
      </c>
      <c r="J16054" s="10">
        <v>7</v>
      </c>
      <c r="K16054" t="b">
        <v>1</v>
      </c>
    </row>
    <row r="16055" spans="1:11">
      <c r="A16055" s="12">
        <v>43647</v>
      </c>
      <c r="B16055">
        <v>2019</v>
      </c>
      <c r="C16055">
        <v>7</v>
      </c>
      <c r="D16055" s="11">
        <v>43647</v>
      </c>
      <c r="E16055" t="s">
        <v>2179</v>
      </c>
      <c r="F16055">
        <v>1</v>
      </c>
      <c r="G16055" t="s">
        <v>61</v>
      </c>
      <c r="H16055" t="s">
        <v>45</v>
      </c>
      <c r="I16055" t="s">
        <v>2193</v>
      </c>
      <c r="J16055" s="10">
        <v>0</v>
      </c>
      <c r="K16055" t="b">
        <v>1</v>
      </c>
    </row>
    <row r="16056" spans="1:11">
      <c r="A16056" s="12">
        <v>43647</v>
      </c>
      <c r="B16056">
        <v>2019</v>
      </c>
      <c r="C16056">
        <v>7</v>
      </c>
      <c r="D16056" s="11">
        <v>43647</v>
      </c>
      <c r="E16056" t="s">
        <v>2179</v>
      </c>
      <c r="F16056">
        <v>1</v>
      </c>
      <c r="G16056" t="s">
        <v>61</v>
      </c>
      <c r="H16056" t="s">
        <v>46</v>
      </c>
      <c r="I16056" t="s">
        <v>2194</v>
      </c>
      <c r="J16056" s="10">
        <v>8</v>
      </c>
      <c r="K16056" t="b">
        <v>1</v>
      </c>
    </row>
    <row r="16057" spans="1:11">
      <c r="A16057" s="12">
        <v>43647</v>
      </c>
      <c r="B16057">
        <v>2019</v>
      </c>
      <c r="C16057">
        <v>7</v>
      </c>
      <c r="D16057" s="11">
        <v>43647</v>
      </c>
      <c r="E16057" t="s">
        <v>2179</v>
      </c>
      <c r="F16057">
        <v>1</v>
      </c>
      <c r="G16057" t="s">
        <v>61</v>
      </c>
      <c r="H16057" t="s">
        <v>47</v>
      </c>
      <c r="I16057" t="s">
        <v>2195</v>
      </c>
      <c r="J16057" s="10">
        <v>4</v>
      </c>
      <c r="K16057" t="b">
        <v>1</v>
      </c>
    </row>
    <row r="16058" spans="1:11">
      <c r="A16058" s="12">
        <v>43648</v>
      </c>
      <c r="B16058">
        <v>2019</v>
      </c>
      <c r="C16058">
        <v>7</v>
      </c>
      <c r="D16058" s="11">
        <v>43647</v>
      </c>
      <c r="E16058" t="s">
        <v>2179</v>
      </c>
      <c r="F16058">
        <v>2</v>
      </c>
      <c r="G16058" t="s">
        <v>63</v>
      </c>
      <c r="H16058" t="s">
        <v>40</v>
      </c>
      <c r="I16058" t="s">
        <v>2188</v>
      </c>
      <c r="J16058" s="10">
        <v>5.66</v>
      </c>
      <c r="K16058" t="b">
        <v>1</v>
      </c>
    </row>
    <row r="16059" spans="1:11">
      <c r="A16059" s="12">
        <v>43648</v>
      </c>
      <c r="B16059">
        <v>2019</v>
      </c>
      <c r="C16059">
        <v>7</v>
      </c>
      <c r="D16059" s="11">
        <v>43647</v>
      </c>
      <c r="E16059" t="s">
        <v>2179</v>
      </c>
      <c r="F16059">
        <v>2</v>
      </c>
      <c r="G16059" t="s">
        <v>63</v>
      </c>
      <c r="H16059" t="s">
        <v>41</v>
      </c>
      <c r="I16059" t="s">
        <v>2189</v>
      </c>
      <c r="J16059" s="10">
        <v>3.012</v>
      </c>
      <c r="K16059" t="b">
        <v>1</v>
      </c>
    </row>
    <row r="16060" spans="1:11">
      <c r="A16060" s="12">
        <v>43648</v>
      </c>
      <c r="B16060">
        <v>2019</v>
      </c>
      <c r="C16060">
        <v>7</v>
      </c>
      <c r="D16060" s="11">
        <v>43647</v>
      </c>
      <c r="E16060" t="s">
        <v>2179</v>
      </c>
      <c r="F16060">
        <v>2</v>
      </c>
      <c r="G16060" t="s">
        <v>63</v>
      </c>
      <c r="H16060" t="s">
        <v>42</v>
      </c>
      <c r="I16060" t="s">
        <v>2190</v>
      </c>
      <c r="J16060" s="10">
        <v>4</v>
      </c>
      <c r="K16060" t="b">
        <v>1</v>
      </c>
    </row>
    <row r="16061" spans="1:11">
      <c r="A16061" s="12">
        <v>43648</v>
      </c>
      <c r="B16061">
        <v>2019</v>
      </c>
      <c r="C16061">
        <v>7</v>
      </c>
      <c r="D16061" s="11">
        <v>43647</v>
      </c>
      <c r="E16061" t="s">
        <v>2179</v>
      </c>
      <c r="F16061">
        <v>2</v>
      </c>
      <c r="G16061" t="s">
        <v>63</v>
      </c>
      <c r="H16061" t="s">
        <v>43</v>
      </c>
      <c r="I16061" t="s">
        <v>2191</v>
      </c>
      <c r="J16061" s="10">
        <v>14</v>
      </c>
      <c r="K16061" t="b">
        <v>1</v>
      </c>
    </row>
    <row r="16062" spans="1:11">
      <c r="A16062" s="12">
        <v>43648</v>
      </c>
      <c r="B16062">
        <v>2019</v>
      </c>
      <c r="C16062">
        <v>7</v>
      </c>
      <c r="D16062" s="11">
        <v>43647</v>
      </c>
      <c r="E16062" t="s">
        <v>2179</v>
      </c>
      <c r="F16062">
        <v>2</v>
      </c>
      <c r="G16062" t="s">
        <v>63</v>
      </c>
      <c r="H16062" t="s">
        <v>44</v>
      </c>
      <c r="I16062" t="s">
        <v>2192</v>
      </c>
      <c r="J16062" s="10">
        <v>9</v>
      </c>
      <c r="K16062" t="b">
        <v>1</v>
      </c>
    </row>
    <row r="16063" spans="1:11">
      <c r="A16063" s="12">
        <v>43648</v>
      </c>
      <c r="B16063">
        <v>2019</v>
      </c>
      <c r="C16063">
        <v>7</v>
      </c>
      <c r="D16063" s="11">
        <v>43647</v>
      </c>
      <c r="E16063" t="s">
        <v>2179</v>
      </c>
      <c r="F16063">
        <v>2</v>
      </c>
      <c r="G16063" t="s">
        <v>63</v>
      </c>
      <c r="H16063" t="s">
        <v>45</v>
      </c>
      <c r="I16063" t="s">
        <v>2193</v>
      </c>
      <c r="J16063" s="10">
        <v>0</v>
      </c>
      <c r="K16063" t="b">
        <v>1</v>
      </c>
    </row>
    <row r="16064" spans="1:11">
      <c r="A16064" s="12">
        <v>43648</v>
      </c>
      <c r="B16064">
        <v>2019</v>
      </c>
      <c r="C16064">
        <v>7</v>
      </c>
      <c r="D16064" s="11">
        <v>43647</v>
      </c>
      <c r="E16064" t="s">
        <v>2179</v>
      </c>
      <c r="F16064">
        <v>2</v>
      </c>
      <c r="G16064" t="s">
        <v>63</v>
      </c>
      <c r="H16064" t="s">
        <v>46</v>
      </c>
      <c r="I16064" t="s">
        <v>2194</v>
      </c>
      <c r="J16064" s="10">
        <v>1</v>
      </c>
      <c r="K16064" t="b">
        <v>1</v>
      </c>
    </row>
    <row r="16065" spans="1:11">
      <c r="A16065" s="12">
        <v>43648</v>
      </c>
      <c r="B16065">
        <v>2019</v>
      </c>
      <c r="C16065">
        <v>7</v>
      </c>
      <c r="D16065" s="11">
        <v>43647</v>
      </c>
      <c r="E16065" t="s">
        <v>2179</v>
      </c>
      <c r="F16065">
        <v>2</v>
      </c>
      <c r="G16065" t="s">
        <v>63</v>
      </c>
      <c r="H16065" t="s">
        <v>47</v>
      </c>
      <c r="I16065" t="s">
        <v>2195</v>
      </c>
      <c r="J16065" s="10">
        <v>4.3</v>
      </c>
      <c r="K16065" t="b">
        <v>1</v>
      </c>
    </row>
    <row r="16066" spans="1:11">
      <c r="A16066" s="12">
        <v>43649</v>
      </c>
      <c r="B16066">
        <v>2019</v>
      </c>
      <c r="C16066">
        <v>7</v>
      </c>
      <c r="D16066" s="11">
        <v>43647</v>
      </c>
      <c r="E16066" t="s">
        <v>2179</v>
      </c>
      <c r="F16066">
        <v>3</v>
      </c>
      <c r="G16066" t="s">
        <v>65</v>
      </c>
      <c r="H16066" t="s">
        <v>40</v>
      </c>
      <c r="I16066" t="s">
        <v>2188</v>
      </c>
      <c r="J16066" s="10">
        <v>4</v>
      </c>
      <c r="K16066" t="b">
        <v>1</v>
      </c>
    </row>
    <row r="16067" spans="1:11">
      <c r="A16067" s="12">
        <v>43649</v>
      </c>
      <c r="B16067">
        <v>2019</v>
      </c>
      <c r="C16067">
        <v>7</v>
      </c>
      <c r="D16067" s="11">
        <v>43647</v>
      </c>
      <c r="E16067" t="s">
        <v>2179</v>
      </c>
      <c r="F16067">
        <v>3</v>
      </c>
      <c r="G16067" t="s">
        <v>65</v>
      </c>
      <c r="H16067" t="s">
        <v>41</v>
      </c>
      <c r="I16067" t="s">
        <v>2189</v>
      </c>
      <c r="J16067" s="10">
        <v>2.849</v>
      </c>
      <c r="K16067" t="b">
        <v>1</v>
      </c>
    </row>
    <row r="16068" spans="1:11">
      <c r="A16068" s="12">
        <v>43649</v>
      </c>
      <c r="B16068">
        <v>2019</v>
      </c>
      <c r="C16068">
        <v>7</v>
      </c>
      <c r="D16068" s="11">
        <v>43647</v>
      </c>
      <c r="E16068" t="s">
        <v>2179</v>
      </c>
      <c r="F16068">
        <v>3</v>
      </c>
      <c r="G16068" t="s">
        <v>65</v>
      </c>
      <c r="H16068" t="s">
        <v>42</v>
      </c>
      <c r="I16068" t="s">
        <v>2190</v>
      </c>
      <c r="J16068" s="10">
        <v>4</v>
      </c>
      <c r="K16068" t="b">
        <v>1</v>
      </c>
    </row>
    <row r="16069" spans="1:11">
      <c r="A16069" s="12">
        <v>43649</v>
      </c>
      <c r="B16069">
        <v>2019</v>
      </c>
      <c r="C16069">
        <v>7</v>
      </c>
      <c r="D16069" s="11">
        <v>43647</v>
      </c>
      <c r="E16069" t="s">
        <v>2179</v>
      </c>
      <c r="F16069">
        <v>3</v>
      </c>
      <c r="G16069" t="s">
        <v>65</v>
      </c>
      <c r="H16069" t="s">
        <v>43</v>
      </c>
      <c r="I16069" t="s">
        <v>2191</v>
      </c>
      <c r="J16069" s="10">
        <v>30.05</v>
      </c>
      <c r="K16069" t="b">
        <v>1</v>
      </c>
    </row>
    <row r="16070" spans="1:11">
      <c r="A16070" s="12">
        <v>43649</v>
      </c>
      <c r="B16070">
        <v>2019</v>
      </c>
      <c r="C16070">
        <v>7</v>
      </c>
      <c r="D16070" s="11">
        <v>43647</v>
      </c>
      <c r="E16070" t="s">
        <v>2179</v>
      </c>
      <c r="F16070">
        <v>3</v>
      </c>
      <c r="G16070" t="s">
        <v>65</v>
      </c>
      <c r="H16070" t="s">
        <v>44</v>
      </c>
      <c r="I16070" t="s">
        <v>2192</v>
      </c>
      <c r="J16070" s="10">
        <v>9</v>
      </c>
      <c r="K16070" t="b">
        <v>1</v>
      </c>
    </row>
    <row r="16071" spans="1:11">
      <c r="A16071" s="12">
        <v>43649</v>
      </c>
      <c r="B16071">
        <v>2019</v>
      </c>
      <c r="C16071">
        <v>7</v>
      </c>
      <c r="D16071" s="11">
        <v>43647</v>
      </c>
      <c r="E16071" t="s">
        <v>2179</v>
      </c>
      <c r="F16071">
        <v>3</v>
      </c>
      <c r="G16071" t="s">
        <v>65</v>
      </c>
      <c r="H16071" t="s">
        <v>45</v>
      </c>
      <c r="I16071" t="s">
        <v>2193</v>
      </c>
      <c r="J16071" s="10">
        <v>0</v>
      </c>
      <c r="K16071" t="b">
        <v>1</v>
      </c>
    </row>
    <row r="16072" spans="1:11">
      <c r="A16072" s="12">
        <v>43649</v>
      </c>
      <c r="B16072">
        <v>2019</v>
      </c>
      <c r="C16072">
        <v>7</v>
      </c>
      <c r="D16072" s="11">
        <v>43647</v>
      </c>
      <c r="E16072" t="s">
        <v>2179</v>
      </c>
      <c r="F16072">
        <v>3</v>
      </c>
      <c r="G16072" t="s">
        <v>65</v>
      </c>
      <c r="H16072" t="s">
        <v>46</v>
      </c>
      <c r="I16072" t="s">
        <v>2194</v>
      </c>
      <c r="J16072" s="10">
        <v>1</v>
      </c>
      <c r="K16072" t="b">
        <v>1</v>
      </c>
    </row>
    <row r="16073" spans="1:11">
      <c r="A16073" s="12">
        <v>43649</v>
      </c>
      <c r="B16073">
        <v>2019</v>
      </c>
      <c r="C16073">
        <v>7</v>
      </c>
      <c r="D16073" s="11">
        <v>43647</v>
      </c>
      <c r="E16073" t="s">
        <v>2179</v>
      </c>
      <c r="F16073">
        <v>3</v>
      </c>
      <c r="G16073" t="s">
        <v>65</v>
      </c>
      <c r="H16073" t="s">
        <v>47</v>
      </c>
      <c r="I16073" t="s">
        <v>2195</v>
      </c>
      <c r="J16073" s="10">
        <v>4</v>
      </c>
      <c r="K16073" t="b">
        <v>1</v>
      </c>
    </row>
    <row r="16074" spans="1:11">
      <c r="A16074" s="12">
        <v>43650</v>
      </c>
      <c r="B16074">
        <v>2019</v>
      </c>
      <c r="C16074">
        <v>7</v>
      </c>
      <c r="D16074" s="11">
        <v>43647</v>
      </c>
      <c r="E16074" t="s">
        <v>2179</v>
      </c>
      <c r="F16074">
        <v>4</v>
      </c>
      <c r="G16074" t="s">
        <v>53</v>
      </c>
      <c r="H16074" t="s">
        <v>40</v>
      </c>
      <c r="I16074" t="s">
        <v>2188</v>
      </c>
      <c r="J16074" s="10">
        <v>5.33</v>
      </c>
      <c r="K16074" t="b">
        <v>1</v>
      </c>
    </row>
    <row r="16075" spans="1:11">
      <c r="A16075" s="12">
        <v>43650</v>
      </c>
      <c r="B16075">
        <v>2019</v>
      </c>
      <c r="C16075">
        <v>7</v>
      </c>
      <c r="D16075" s="11">
        <v>43647</v>
      </c>
      <c r="E16075" t="s">
        <v>2179</v>
      </c>
      <c r="F16075">
        <v>4</v>
      </c>
      <c r="G16075" t="s">
        <v>53</v>
      </c>
      <c r="H16075" t="s">
        <v>41</v>
      </c>
      <c r="I16075" t="s">
        <v>2189</v>
      </c>
      <c r="J16075" s="10">
        <v>1.67</v>
      </c>
      <c r="K16075" t="b">
        <v>1</v>
      </c>
    </row>
    <row r="16076" spans="1:11">
      <c r="A16076" s="12">
        <v>43650</v>
      </c>
      <c r="B16076">
        <v>2019</v>
      </c>
      <c r="C16076">
        <v>7</v>
      </c>
      <c r="D16076" s="11">
        <v>43647</v>
      </c>
      <c r="E16076" t="s">
        <v>2179</v>
      </c>
      <c r="F16076">
        <v>4</v>
      </c>
      <c r="G16076" t="s">
        <v>53</v>
      </c>
      <c r="H16076" t="s">
        <v>42</v>
      </c>
      <c r="I16076" t="s">
        <v>2190</v>
      </c>
      <c r="J16076" s="10">
        <v>0</v>
      </c>
      <c r="K16076" t="b">
        <v>1</v>
      </c>
    </row>
    <row r="16077" spans="1:11">
      <c r="A16077" s="12">
        <v>43650</v>
      </c>
      <c r="B16077">
        <v>2019</v>
      </c>
      <c r="C16077">
        <v>7</v>
      </c>
      <c r="D16077" s="11">
        <v>43647</v>
      </c>
      <c r="E16077" t="s">
        <v>2179</v>
      </c>
      <c r="F16077">
        <v>4</v>
      </c>
      <c r="G16077" t="s">
        <v>53</v>
      </c>
      <c r="H16077" t="s">
        <v>43</v>
      </c>
      <c r="I16077" t="s">
        <v>2191</v>
      </c>
      <c r="J16077" s="10">
        <v>13</v>
      </c>
      <c r="K16077" t="b">
        <v>1</v>
      </c>
    </row>
    <row r="16078" spans="1:11">
      <c r="A16078" s="12">
        <v>43650</v>
      </c>
      <c r="B16078">
        <v>2019</v>
      </c>
      <c r="C16078">
        <v>7</v>
      </c>
      <c r="D16078" s="11">
        <v>43647</v>
      </c>
      <c r="E16078" t="s">
        <v>2179</v>
      </c>
      <c r="F16078">
        <v>4</v>
      </c>
      <c r="G16078" t="s">
        <v>53</v>
      </c>
      <c r="H16078" t="s">
        <v>44</v>
      </c>
      <c r="I16078" t="s">
        <v>2192</v>
      </c>
      <c r="J16078" s="10">
        <v>7</v>
      </c>
      <c r="K16078" t="b">
        <v>1</v>
      </c>
    </row>
    <row r="16079" spans="1:11">
      <c r="A16079" s="12">
        <v>43650</v>
      </c>
      <c r="B16079">
        <v>2019</v>
      </c>
      <c r="C16079">
        <v>7</v>
      </c>
      <c r="D16079" s="11">
        <v>43647</v>
      </c>
      <c r="E16079" t="s">
        <v>2179</v>
      </c>
      <c r="F16079">
        <v>4</v>
      </c>
      <c r="G16079" t="s">
        <v>53</v>
      </c>
      <c r="H16079" t="s">
        <v>45</v>
      </c>
      <c r="I16079" t="s">
        <v>2193</v>
      </c>
      <c r="J16079" s="10">
        <v>1</v>
      </c>
      <c r="K16079" t="b">
        <v>1</v>
      </c>
    </row>
    <row r="16080" spans="1:11">
      <c r="A16080" s="12">
        <v>43650</v>
      </c>
      <c r="B16080">
        <v>2019</v>
      </c>
      <c r="C16080">
        <v>7</v>
      </c>
      <c r="D16080" s="11">
        <v>43647</v>
      </c>
      <c r="E16080" t="s">
        <v>2179</v>
      </c>
      <c r="F16080">
        <v>4</v>
      </c>
      <c r="G16080" t="s">
        <v>53</v>
      </c>
      <c r="H16080" t="s">
        <v>46</v>
      </c>
      <c r="I16080" t="s">
        <v>2194</v>
      </c>
      <c r="J16080" s="10">
        <v>3</v>
      </c>
      <c r="K16080" t="b">
        <v>1</v>
      </c>
    </row>
    <row r="16081" spans="1:11">
      <c r="A16081" s="12">
        <v>43650</v>
      </c>
      <c r="B16081">
        <v>2019</v>
      </c>
      <c r="C16081">
        <v>7</v>
      </c>
      <c r="D16081" s="11">
        <v>43647</v>
      </c>
      <c r="E16081" t="s">
        <v>2179</v>
      </c>
      <c r="F16081">
        <v>4</v>
      </c>
      <c r="G16081" t="s">
        <v>53</v>
      </c>
      <c r="H16081" t="s">
        <v>47</v>
      </c>
      <c r="I16081" t="s">
        <v>2195</v>
      </c>
      <c r="J16081" s="10">
        <v>6.5</v>
      </c>
      <c r="K16081" t="b">
        <v>1</v>
      </c>
    </row>
    <row r="16082" spans="1:11">
      <c r="A16082" s="12">
        <v>43651</v>
      </c>
      <c r="B16082">
        <v>2019</v>
      </c>
      <c r="C16082">
        <v>7</v>
      </c>
      <c r="D16082" s="11">
        <v>43647</v>
      </c>
      <c r="E16082" t="s">
        <v>2179</v>
      </c>
      <c r="F16082">
        <v>5</v>
      </c>
      <c r="G16082" t="s">
        <v>55</v>
      </c>
      <c r="H16082" t="s">
        <v>40</v>
      </c>
      <c r="I16082" t="s">
        <v>2188</v>
      </c>
      <c r="J16082" s="10">
        <v>4.33</v>
      </c>
      <c r="K16082" t="b">
        <v>1</v>
      </c>
    </row>
    <row r="16083" spans="1:11">
      <c r="A16083" s="12">
        <v>43651</v>
      </c>
      <c r="B16083">
        <v>2019</v>
      </c>
      <c r="C16083">
        <v>7</v>
      </c>
      <c r="D16083" s="11">
        <v>43647</v>
      </c>
      <c r="E16083" t="s">
        <v>2179</v>
      </c>
      <c r="F16083">
        <v>5</v>
      </c>
      <c r="G16083" t="s">
        <v>55</v>
      </c>
      <c r="H16083" t="s">
        <v>41</v>
      </c>
      <c r="I16083" t="s">
        <v>2189</v>
      </c>
      <c r="J16083" s="10">
        <v>3.08</v>
      </c>
      <c r="K16083" t="b">
        <v>1</v>
      </c>
    </row>
    <row r="16084" spans="1:11">
      <c r="A16084" s="12">
        <v>43651</v>
      </c>
      <c r="B16084">
        <v>2019</v>
      </c>
      <c r="C16084">
        <v>7</v>
      </c>
      <c r="D16084" s="11">
        <v>43647</v>
      </c>
      <c r="E16084" t="s">
        <v>2179</v>
      </c>
      <c r="F16084">
        <v>5</v>
      </c>
      <c r="G16084" t="s">
        <v>55</v>
      </c>
      <c r="H16084" t="s">
        <v>42</v>
      </c>
      <c r="I16084" t="s">
        <v>2190</v>
      </c>
      <c r="J16084" s="10">
        <v>4</v>
      </c>
      <c r="K16084" t="b">
        <v>1</v>
      </c>
    </row>
    <row r="16085" spans="1:11">
      <c r="A16085" s="12">
        <v>43651</v>
      </c>
      <c r="B16085">
        <v>2019</v>
      </c>
      <c r="C16085">
        <v>7</v>
      </c>
      <c r="D16085" s="11">
        <v>43647</v>
      </c>
      <c r="E16085" t="s">
        <v>2179</v>
      </c>
      <c r="F16085">
        <v>5</v>
      </c>
      <c r="G16085" t="s">
        <v>55</v>
      </c>
      <c r="H16085" t="s">
        <v>43</v>
      </c>
      <c r="I16085" t="s">
        <v>2191</v>
      </c>
      <c r="J16085" s="10">
        <v>20</v>
      </c>
      <c r="K16085" t="b">
        <v>1</v>
      </c>
    </row>
    <row r="16086" spans="1:11">
      <c r="A16086" s="12">
        <v>43651</v>
      </c>
      <c r="B16086">
        <v>2019</v>
      </c>
      <c r="C16086">
        <v>7</v>
      </c>
      <c r="D16086" s="11">
        <v>43647</v>
      </c>
      <c r="E16086" t="s">
        <v>2179</v>
      </c>
      <c r="F16086">
        <v>5</v>
      </c>
      <c r="G16086" t="s">
        <v>55</v>
      </c>
      <c r="H16086" t="s">
        <v>44</v>
      </c>
      <c r="I16086" t="s">
        <v>2192</v>
      </c>
      <c r="J16086" s="10">
        <v>11</v>
      </c>
      <c r="K16086" t="b">
        <v>1</v>
      </c>
    </row>
    <row r="16087" spans="1:11">
      <c r="A16087" s="12">
        <v>43651</v>
      </c>
      <c r="B16087">
        <v>2019</v>
      </c>
      <c r="C16087">
        <v>7</v>
      </c>
      <c r="D16087" s="11">
        <v>43647</v>
      </c>
      <c r="E16087" t="s">
        <v>2179</v>
      </c>
      <c r="F16087">
        <v>5</v>
      </c>
      <c r="G16087" t="s">
        <v>55</v>
      </c>
      <c r="H16087" t="s">
        <v>45</v>
      </c>
      <c r="I16087" t="s">
        <v>2193</v>
      </c>
      <c r="J16087" s="10">
        <v>0</v>
      </c>
      <c r="K16087" t="b">
        <v>1</v>
      </c>
    </row>
    <row r="16088" spans="1:11">
      <c r="A16088" s="12">
        <v>43651</v>
      </c>
      <c r="B16088">
        <v>2019</v>
      </c>
      <c r="C16088">
        <v>7</v>
      </c>
      <c r="D16088" s="11">
        <v>43647</v>
      </c>
      <c r="E16088" t="s">
        <v>2179</v>
      </c>
      <c r="F16088">
        <v>5</v>
      </c>
      <c r="G16088" t="s">
        <v>55</v>
      </c>
      <c r="H16088" t="s">
        <v>46</v>
      </c>
      <c r="I16088" t="s">
        <v>2194</v>
      </c>
      <c r="J16088" s="10">
        <v>0</v>
      </c>
      <c r="K16088" t="b">
        <v>1</v>
      </c>
    </row>
    <row r="16089" spans="1:11">
      <c r="A16089" s="12">
        <v>43651</v>
      </c>
      <c r="B16089">
        <v>2019</v>
      </c>
      <c r="C16089">
        <v>7</v>
      </c>
      <c r="D16089" s="11">
        <v>43647</v>
      </c>
      <c r="E16089" t="s">
        <v>2179</v>
      </c>
      <c r="F16089">
        <v>5</v>
      </c>
      <c r="G16089" t="s">
        <v>55</v>
      </c>
      <c r="H16089" t="s">
        <v>47</v>
      </c>
      <c r="I16089" t="s">
        <v>2195</v>
      </c>
      <c r="J16089" s="10">
        <v>2</v>
      </c>
      <c r="K16089" t="b">
        <v>1</v>
      </c>
    </row>
    <row r="16090" spans="1:11">
      <c r="A16090" s="12">
        <v>43652</v>
      </c>
      <c r="B16090">
        <v>2019</v>
      </c>
      <c r="C16090">
        <v>7</v>
      </c>
      <c r="D16090" s="11">
        <v>43647</v>
      </c>
      <c r="E16090" t="s">
        <v>2179</v>
      </c>
      <c r="F16090">
        <v>6</v>
      </c>
      <c r="G16090" t="s">
        <v>57</v>
      </c>
      <c r="H16090" t="s">
        <v>40</v>
      </c>
      <c r="I16090" t="s">
        <v>2188</v>
      </c>
      <c r="J16090" s="10">
        <v>4.34</v>
      </c>
      <c r="K16090" t="b">
        <v>1</v>
      </c>
    </row>
    <row r="16091" spans="1:11">
      <c r="A16091" s="12">
        <v>43652</v>
      </c>
      <c r="B16091">
        <v>2019</v>
      </c>
      <c r="C16091">
        <v>7</v>
      </c>
      <c r="D16091" s="11">
        <v>43647</v>
      </c>
      <c r="E16091" t="s">
        <v>2179</v>
      </c>
      <c r="F16091">
        <v>6</v>
      </c>
      <c r="G16091" t="s">
        <v>57</v>
      </c>
      <c r="H16091" t="s">
        <v>41</v>
      </c>
      <c r="I16091" t="s">
        <v>2189</v>
      </c>
      <c r="J16091" s="10">
        <v>1.703</v>
      </c>
      <c r="K16091" t="b">
        <v>1</v>
      </c>
    </row>
    <row r="16092" spans="1:11">
      <c r="A16092" s="12">
        <v>43652</v>
      </c>
      <c r="B16092">
        <v>2019</v>
      </c>
      <c r="C16092">
        <v>7</v>
      </c>
      <c r="D16092" s="11">
        <v>43647</v>
      </c>
      <c r="E16092" t="s">
        <v>2179</v>
      </c>
      <c r="F16092">
        <v>6</v>
      </c>
      <c r="G16092" t="s">
        <v>57</v>
      </c>
      <c r="H16092" t="s">
        <v>42</v>
      </c>
      <c r="I16092" t="s">
        <v>2190</v>
      </c>
      <c r="J16092" s="10">
        <v>3</v>
      </c>
      <c r="K16092" t="b">
        <v>1</v>
      </c>
    </row>
    <row r="16093" spans="1:11">
      <c r="A16093" s="12">
        <v>43652</v>
      </c>
      <c r="B16093">
        <v>2019</v>
      </c>
      <c r="C16093">
        <v>7</v>
      </c>
      <c r="D16093" s="11">
        <v>43647</v>
      </c>
      <c r="E16093" t="s">
        <v>2179</v>
      </c>
      <c r="F16093">
        <v>6</v>
      </c>
      <c r="G16093" t="s">
        <v>57</v>
      </c>
      <c r="H16093" t="s">
        <v>43</v>
      </c>
      <c r="I16093" t="s">
        <v>2191</v>
      </c>
      <c r="J16093" s="10">
        <v>16</v>
      </c>
      <c r="K16093" t="b">
        <v>1</v>
      </c>
    </row>
    <row r="16094" spans="1:11">
      <c r="A16094" s="12">
        <v>43652</v>
      </c>
      <c r="B16094">
        <v>2019</v>
      </c>
      <c r="C16094">
        <v>7</v>
      </c>
      <c r="D16094" s="11">
        <v>43647</v>
      </c>
      <c r="E16094" t="s">
        <v>2179</v>
      </c>
      <c r="F16094">
        <v>6</v>
      </c>
      <c r="G16094" t="s">
        <v>57</v>
      </c>
      <c r="H16094" t="s">
        <v>44</v>
      </c>
      <c r="I16094" t="s">
        <v>2192</v>
      </c>
      <c r="J16094" s="10">
        <v>2</v>
      </c>
      <c r="K16094" t="b">
        <v>1</v>
      </c>
    </row>
    <row r="16095" spans="1:11">
      <c r="A16095" s="12">
        <v>43652</v>
      </c>
      <c r="B16095">
        <v>2019</v>
      </c>
      <c r="C16095">
        <v>7</v>
      </c>
      <c r="D16095" s="11">
        <v>43647</v>
      </c>
      <c r="E16095" t="s">
        <v>2179</v>
      </c>
      <c r="F16095">
        <v>6</v>
      </c>
      <c r="G16095" t="s">
        <v>57</v>
      </c>
      <c r="H16095" t="s">
        <v>45</v>
      </c>
      <c r="I16095" t="s">
        <v>2193</v>
      </c>
      <c r="J16095" s="10">
        <v>0</v>
      </c>
      <c r="K16095" t="b">
        <v>1</v>
      </c>
    </row>
    <row r="16096" spans="1:11">
      <c r="A16096" s="12">
        <v>43652</v>
      </c>
      <c r="B16096">
        <v>2019</v>
      </c>
      <c r="C16096">
        <v>7</v>
      </c>
      <c r="D16096" s="11">
        <v>43647</v>
      </c>
      <c r="E16096" t="s">
        <v>2179</v>
      </c>
      <c r="F16096">
        <v>6</v>
      </c>
      <c r="G16096" t="s">
        <v>57</v>
      </c>
      <c r="H16096" t="s">
        <v>46</v>
      </c>
      <c r="I16096" t="s">
        <v>2194</v>
      </c>
      <c r="J16096" s="10">
        <v>1</v>
      </c>
      <c r="K16096" t="b">
        <v>1</v>
      </c>
    </row>
    <row r="16097" spans="1:11">
      <c r="A16097" s="12">
        <v>43652</v>
      </c>
      <c r="B16097">
        <v>2019</v>
      </c>
      <c r="C16097">
        <v>7</v>
      </c>
      <c r="D16097" s="11">
        <v>43647</v>
      </c>
      <c r="E16097" t="s">
        <v>2179</v>
      </c>
      <c r="F16097">
        <v>6</v>
      </c>
      <c r="G16097" t="s">
        <v>57</v>
      </c>
      <c r="H16097" t="s">
        <v>47</v>
      </c>
      <c r="I16097" t="s">
        <v>2195</v>
      </c>
      <c r="J16097" s="10">
        <v>3</v>
      </c>
      <c r="K16097" t="b">
        <v>1</v>
      </c>
    </row>
    <row r="16098" spans="1:11">
      <c r="A16098" s="12">
        <v>43653</v>
      </c>
      <c r="B16098">
        <v>2019</v>
      </c>
      <c r="C16098">
        <v>7</v>
      </c>
      <c r="D16098" s="11">
        <v>43647</v>
      </c>
      <c r="E16098" t="s">
        <v>2179</v>
      </c>
      <c r="F16098">
        <v>7</v>
      </c>
      <c r="G16098" t="s">
        <v>59</v>
      </c>
      <c r="H16098" t="s">
        <v>40</v>
      </c>
      <c r="I16098" t="s">
        <v>2188</v>
      </c>
      <c r="J16098" s="10">
        <v>5.66</v>
      </c>
      <c r="K16098" t="b">
        <v>1</v>
      </c>
    </row>
    <row r="16099" spans="1:11">
      <c r="A16099" s="12">
        <v>43653</v>
      </c>
      <c r="B16099">
        <v>2019</v>
      </c>
      <c r="C16099">
        <v>7</v>
      </c>
      <c r="D16099" s="11">
        <v>43647</v>
      </c>
      <c r="E16099" t="s">
        <v>2179</v>
      </c>
      <c r="F16099">
        <v>7</v>
      </c>
      <c r="G16099" t="s">
        <v>59</v>
      </c>
      <c r="H16099" t="s">
        <v>41</v>
      </c>
      <c r="I16099" t="s">
        <v>2189</v>
      </c>
      <c r="J16099" s="10">
        <v>6.463</v>
      </c>
      <c r="K16099" t="b">
        <v>1</v>
      </c>
    </row>
    <row r="16100" spans="1:11">
      <c r="A16100" s="12">
        <v>43653</v>
      </c>
      <c r="B16100">
        <v>2019</v>
      </c>
      <c r="C16100">
        <v>7</v>
      </c>
      <c r="D16100" s="11">
        <v>43647</v>
      </c>
      <c r="E16100" t="s">
        <v>2179</v>
      </c>
      <c r="F16100">
        <v>7</v>
      </c>
      <c r="G16100" t="s">
        <v>59</v>
      </c>
      <c r="H16100" t="s">
        <v>42</v>
      </c>
      <c r="I16100" t="s">
        <v>2190</v>
      </c>
      <c r="J16100" s="10">
        <v>3</v>
      </c>
      <c r="K16100" t="b">
        <v>1</v>
      </c>
    </row>
    <row r="16101" spans="1:11">
      <c r="A16101" s="12">
        <v>43653</v>
      </c>
      <c r="B16101">
        <v>2019</v>
      </c>
      <c r="C16101">
        <v>7</v>
      </c>
      <c r="D16101" s="11">
        <v>43647</v>
      </c>
      <c r="E16101" t="s">
        <v>2179</v>
      </c>
      <c r="F16101">
        <v>7</v>
      </c>
      <c r="G16101" t="s">
        <v>59</v>
      </c>
      <c r="H16101" t="s">
        <v>43</v>
      </c>
      <c r="I16101" t="s">
        <v>2191</v>
      </c>
      <c r="J16101" s="10">
        <v>25</v>
      </c>
      <c r="K16101" t="b">
        <v>1</v>
      </c>
    </row>
    <row r="16102" spans="1:11">
      <c r="A16102" s="12">
        <v>43653</v>
      </c>
      <c r="B16102">
        <v>2019</v>
      </c>
      <c r="C16102">
        <v>7</v>
      </c>
      <c r="D16102" s="11">
        <v>43647</v>
      </c>
      <c r="E16102" t="s">
        <v>2179</v>
      </c>
      <c r="F16102">
        <v>7</v>
      </c>
      <c r="G16102" t="s">
        <v>59</v>
      </c>
      <c r="H16102" t="s">
        <v>44</v>
      </c>
      <c r="I16102" t="s">
        <v>2192</v>
      </c>
      <c r="J16102" s="10">
        <v>2</v>
      </c>
      <c r="K16102" t="b">
        <v>1</v>
      </c>
    </row>
    <row r="16103" spans="1:11">
      <c r="A16103" s="12">
        <v>43653</v>
      </c>
      <c r="B16103">
        <v>2019</v>
      </c>
      <c r="C16103">
        <v>7</v>
      </c>
      <c r="D16103" s="11">
        <v>43647</v>
      </c>
      <c r="E16103" t="s">
        <v>2179</v>
      </c>
      <c r="F16103">
        <v>7</v>
      </c>
      <c r="G16103" t="s">
        <v>59</v>
      </c>
      <c r="H16103" t="s">
        <v>45</v>
      </c>
      <c r="I16103" t="s">
        <v>2193</v>
      </c>
      <c r="J16103" s="10">
        <v>0</v>
      </c>
      <c r="K16103" t="b">
        <v>1</v>
      </c>
    </row>
    <row r="16104" spans="1:11">
      <c r="A16104" s="12">
        <v>43653</v>
      </c>
      <c r="B16104">
        <v>2019</v>
      </c>
      <c r="C16104">
        <v>7</v>
      </c>
      <c r="D16104" s="11">
        <v>43647</v>
      </c>
      <c r="E16104" t="s">
        <v>2179</v>
      </c>
      <c r="F16104">
        <v>7</v>
      </c>
      <c r="G16104" t="s">
        <v>59</v>
      </c>
      <c r="H16104" t="s">
        <v>46</v>
      </c>
      <c r="I16104" t="s">
        <v>2194</v>
      </c>
      <c r="J16104" s="10">
        <v>3</v>
      </c>
      <c r="K16104" t="b">
        <v>1</v>
      </c>
    </row>
    <row r="16105" spans="1:11">
      <c r="A16105" s="12">
        <v>43653</v>
      </c>
      <c r="B16105">
        <v>2019</v>
      </c>
      <c r="C16105">
        <v>7</v>
      </c>
      <c r="D16105" s="11">
        <v>43647</v>
      </c>
      <c r="E16105" t="s">
        <v>2179</v>
      </c>
      <c r="F16105">
        <v>7</v>
      </c>
      <c r="G16105" t="s">
        <v>59</v>
      </c>
      <c r="H16105" t="s">
        <v>47</v>
      </c>
      <c r="I16105" t="s">
        <v>2195</v>
      </c>
      <c r="J16105" s="10">
        <v>5</v>
      </c>
      <c r="K16105" t="b">
        <v>1</v>
      </c>
    </row>
    <row r="16106" spans="1:11">
      <c r="A16106" s="12">
        <v>43654</v>
      </c>
      <c r="B16106">
        <v>2019</v>
      </c>
      <c r="C16106">
        <v>7</v>
      </c>
      <c r="D16106" s="11">
        <v>43647</v>
      </c>
      <c r="E16106" t="s">
        <v>2179</v>
      </c>
      <c r="F16106">
        <v>1</v>
      </c>
      <c r="G16106" t="s">
        <v>61</v>
      </c>
      <c r="H16106" t="s">
        <v>40</v>
      </c>
      <c r="I16106" t="s">
        <v>2188</v>
      </c>
      <c r="J16106" s="10">
        <v>6</v>
      </c>
      <c r="K16106" t="b">
        <v>1</v>
      </c>
    </row>
    <row r="16107" spans="1:11">
      <c r="A16107" s="12">
        <v>43654</v>
      </c>
      <c r="B16107">
        <v>2019</v>
      </c>
      <c r="C16107">
        <v>7</v>
      </c>
      <c r="D16107" s="11">
        <v>43647</v>
      </c>
      <c r="E16107" t="s">
        <v>2179</v>
      </c>
      <c r="F16107">
        <v>1</v>
      </c>
      <c r="G16107" t="s">
        <v>61</v>
      </c>
      <c r="H16107" t="s">
        <v>41</v>
      </c>
      <c r="I16107" t="s">
        <v>2189</v>
      </c>
      <c r="J16107" s="10">
        <v>4.373</v>
      </c>
      <c r="K16107" t="b">
        <v>1</v>
      </c>
    </row>
    <row r="16108" spans="1:11">
      <c r="A16108" s="12">
        <v>43654</v>
      </c>
      <c r="B16108">
        <v>2019</v>
      </c>
      <c r="C16108">
        <v>7</v>
      </c>
      <c r="D16108" s="11">
        <v>43647</v>
      </c>
      <c r="E16108" t="s">
        <v>2179</v>
      </c>
      <c r="F16108">
        <v>1</v>
      </c>
      <c r="G16108" t="s">
        <v>61</v>
      </c>
      <c r="H16108" t="s">
        <v>42</v>
      </c>
      <c r="I16108" t="s">
        <v>2190</v>
      </c>
      <c r="J16108" s="10">
        <v>2</v>
      </c>
      <c r="K16108" t="b">
        <v>1</v>
      </c>
    </row>
    <row r="16109" spans="1:11">
      <c r="A16109" s="12">
        <v>43654</v>
      </c>
      <c r="B16109">
        <v>2019</v>
      </c>
      <c r="C16109">
        <v>7</v>
      </c>
      <c r="D16109" s="11">
        <v>43647</v>
      </c>
      <c r="E16109" t="s">
        <v>2179</v>
      </c>
      <c r="F16109">
        <v>1</v>
      </c>
      <c r="G16109" t="s">
        <v>61</v>
      </c>
      <c r="H16109" t="s">
        <v>43</v>
      </c>
      <c r="I16109" t="s">
        <v>2191</v>
      </c>
      <c r="J16109" s="10">
        <v>21.4</v>
      </c>
      <c r="K16109" t="b">
        <v>1</v>
      </c>
    </row>
    <row r="16110" spans="1:11">
      <c r="A16110" s="12">
        <v>43654</v>
      </c>
      <c r="B16110">
        <v>2019</v>
      </c>
      <c r="C16110">
        <v>7</v>
      </c>
      <c r="D16110" s="11">
        <v>43647</v>
      </c>
      <c r="E16110" t="s">
        <v>2179</v>
      </c>
      <c r="F16110">
        <v>1</v>
      </c>
      <c r="G16110" t="s">
        <v>61</v>
      </c>
      <c r="H16110" t="s">
        <v>44</v>
      </c>
      <c r="I16110" t="s">
        <v>2192</v>
      </c>
      <c r="J16110" s="10">
        <v>9.199999999999999</v>
      </c>
      <c r="K16110" t="b">
        <v>1</v>
      </c>
    </row>
    <row r="16111" spans="1:11">
      <c r="A16111" s="12">
        <v>43654</v>
      </c>
      <c r="B16111">
        <v>2019</v>
      </c>
      <c r="C16111">
        <v>7</v>
      </c>
      <c r="D16111" s="11">
        <v>43647</v>
      </c>
      <c r="E16111" t="s">
        <v>2179</v>
      </c>
      <c r="F16111">
        <v>1</v>
      </c>
      <c r="G16111" t="s">
        <v>61</v>
      </c>
      <c r="H16111" t="s">
        <v>45</v>
      </c>
      <c r="I16111" t="s">
        <v>2193</v>
      </c>
      <c r="J16111" s="10">
        <v>1</v>
      </c>
      <c r="K16111" t="b">
        <v>1</v>
      </c>
    </row>
    <row r="16112" spans="1:11">
      <c r="A16112" s="12">
        <v>43654</v>
      </c>
      <c r="B16112">
        <v>2019</v>
      </c>
      <c r="C16112">
        <v>7</v>
      </c>
      <c r="D16112" s="11">
        <v>43647</v>
      </c>
      <c r="E16112" t="s">
        <v>2179</v>
      </c>
      <c r="F16112">
        <v>1</v>
      </c>
      <c r="G16112" t="s">
        <v>61</v>
      </c>
      <c r="H16112" t="s">
        <v>46</v>
      </c>
      <c r="I16112" t="s">
        <v>2194</v>
      </c>
      <c r="J16112" s="10">
        <v>4</v>
      </c>
      <c r="K16112" t="b">
        <v>1</v>
      </c>
    </row>
    <row r="16113" spans="1:11">
      <c r="A16113" s="12">
        <v>43654</v>
      </c>
      <c r="B16113">
        <v>2019</v>
      </c>
      <c r="C16113">
        <v>7</v>
      </c>
      <c r="D16113" s="11">
        <v>43647</v>
      </c>
      <c r="E16113" t="s">
        <v>2179</v>
      </c>
      <c r="F16113">
        <v>1</v>
      </c>
      <c r="G16113" t="s">
        <v>61</v>
      </c>
      <c r="H16113" t="s">
        <v>47</v>
      </c>
      <c r="I16113" t="s">
        <v>2195</v>
      </c>
      <c r="J16113" s="10">
        <v>4</v>
      </c>
      <c r="K16113" t="b">
        <v>1</v>
      </c>
    </row>
    <row r="16114" spans="1:11">
      <c r="A16114" s="12">
        <v>43655</v>
      </c>
      <c r="B16114">
        <v>2019</v>
      </c>
      <c r="C16114">
        <v>7</v>
      </c>
      <c r="D16114" s="11">
        <v>43647</v>
      </c>
      <c r="E16114" t="s">
        <v>2179</v>
      </c>
      <c r="F16114">
        <v>2</v>
      </c>
      <c r="G16114" t="s">
        <v>63</v>
      </c>
      <c r="H16114" t="s">
        <v>40</v>
      </c>
      <c r="I16114" t="s">
        <v>2188</v>
      </c>
      <c r="J16114" s="10">
        <v>2.67</v>
      </c>
      <c r="K16114" t="b">
        <v>1</v>
      </c>
    </row>
    <row r="16115" spans="1:11">
      <c r="A16115" s="12">
        <v>43655</v>
      </c>
      <c r="B16115">
        <v>2019</v>
      </c>
      <c r="C16115">
        <v>7</v>
      </c>
      <c r="D16115" s="11">
        <v>43647</v>
      </c>
      <c r="E16115" t="s">
        <v>2179</v>
      </c>
      <c r="F16115">
        <v>2</v>
      </c>
      <c r="G16115" t="s">
        <v>63</v>
      </c>
      <c r="H16115" t="s">
        <v>41</v>
      </c>
      <c r="I16115" t="s">
        <v>2189</v>
      </c>
      <c r="J16115" s="10">
        <v>2.703</v>
      </c>
      <c r="K16115" t="b">
        <v>1</v>
      </c>
    </row>
    <row r="16116" spans="1:11">
      <c r="A16116" s="12">
        <v>43655</v>
      </c>
      <c r="B16116">
        <v>2019</v>
      </c>
      <c r="C16116">
        <v>7</v>
      </c>
      <c r="D16116" s="11">
        <v>43647</v>
      </c>
      <c r="E16116" t="s">
        <v>2179</v>
      </c>
      <c r="F16116">
        <v>2</v>
      </c>
      <c r="G16116" t="s">
        <v>63</v>
      </c>
      <c r="H16116" t="s">
        <v>42</v>
      </c>
      <c r="I16116" t="s">
        <v>2190</v>
      </c>
      <c r="J16116" s="10">
        <v>8</v>
      </c>
      <c r="K16116" t="b">
        <v>1</v>
      </c>
    </row>
    <row r="16117" spans="1:11">
      <c r="A16117" s="12">
        <v>43655</v>
      </c>
      <c r="B16117">
        <v>2019</v>
      </c>
      <c r="C16117">
        <v>7</v>
      </c>
      <c r="D16117" s="11">
        <v>43647</v>
      </c>
      <c r="E16117" t="s">
        <v>2179</v>
      </c>
      <c r="F16117">
        <v>2</v>
      </c>
      <c r="G16117" t="s">
        <v>63</v>
      </c>
      <c r="H16117" t="s">
        <v>43</v>
      </c>
      <c r="I16117" t="s">
        <v>2191</v>
      </c>
      <c r="J16117" s="10">
        <v>15</v>
      </c>
      <c r="K16117" t="b">
        <v>1</v>
      </c>
    </row>
    <row r="16118" spans="1:11">
      <c r="A16118" s="12">
        <v>43655</v>
      </c>
      <c r="B16118">
        <v>2019</v>
      </c>
      <c r="C16118">
        <v>7</v>
      </c>
      <c r="D16118" s="11">
        <v>43647</v>
      </c>
      <c r="E16118" t="s">
        <v>2179</v>
      </c>
      <c r="F16118">
        <v>2</v>
      </c>
      <c r="G16118" t="s">
        <v>63</v>
      </c>
      <c r="H16118" t="s">
        <v>44</v>
      </c>
      <c r="I16118" t="s">
        <v>2192</v>
      </c>
      <c r="J16118" s="10">
        <v>12</v>
      </c>
      <c r="K16118" t="b">
        <v>1</v>
      </c>
    </row>
    <row r="16119" spans="1:11">
      <c r="A16119" s="12">
        <v>43655</v>
      </c>
      <c r="B16119">
        <v>2019</v>
      </c>
      <c r="C16119">
        <v>7</v>
      </c>
      <c r="D16119" s="11">
        <v>43647</v>
      </c>
      <c r="E16119" t="s">
        <v>2179</v>
      </c>
      <c r="F16119">
        <v>2</v>
      </c>
      <c r="G16119" t="s">
        <v>63</v>
      </c>
      <c r="H16119" t="s">
        <v>45</v>
      </c>
      <c r="I16119" t="s">
        <v>2193</v>
      </c>
      <c r="J16119" s="10">
        <v>4</v>
      </c>
      <c r="K16119" t="b">
        <v>1</v>
      </c>
    </row>
    <row r="16120" spans="1:11">
      <c r="A16120" s="12">
        <v>43655</v>
      </c>
      <c r="B16120">
        <v>2019</v>
      </c>
      <c r="C16120">
        <v>7</v>
      </c>
      <c r="D16120" s="11">
        <v>43647</v>
      </c>
      <c r="E16120" t="s">
        <v>2179</v>
      </c>
      <c r="F16120">
        <v>2</v>
      </c>
      <c r="G16120" t="s">
        <v>63</v>
      </c>
      <c r="H16120" t="s">
        <v>46</v>
      </c>
      <c r="I16120" t="s">
        <v>2194</v>
      </c>
      <c r="J16120" s="10">
        <v>3</v>
      </c>
      <c r="K16120" t="b">
        <v>1</v>
      </c>
    </row>
    <row r="16121" spans="1:11">
      <c r="A16121" s="12">
        <v>43655</v>
      </c>
      <c r="B16121">
        <v>2019</v>
      </c>
      <c r="C16121">
        <v>7</v>
      </c>
      <c r="D16121" s="11">
        <v>43647</v>
      </c>
      <c r="E16121" t="s">
        <v>2179</v>
      </c>
      <c r="F16121">
        <v>2</v>
      </c>
      <c r="G16121" t="s">
        <v>63</v>
      </c>
      <c r="H16121" t="s">
        <v>47</v>
      </c>
      <c r="I16121" t="s">
        <v>2195</v>
      </c>
      <c r="J16121" s="10">
        <v>2</v>
      </c>
      <c r="K16121" t="b">
        <v>1</v>
      </c>
    </row>
    <row r="16122" spans="1:11">
      <c r="A16122" s="12">
        <v>43656</v>
      </c>
      <c r="B16122">
        <v>2019</v>
      </c>
      <c r="C16122">
        <v>7</v>
      </c>
      <c r="D16122" s="11">
        <v>43647</v>
      </c>
      <c r="E16122" t="s">
        <v>2179</v>
      </c>
      <c r="F16122">
        <v>3</v>
      </c>
      <c r="G16122" t="s">
        <v>65</v>
      </c>
      <c r="H16122" t="s">
        <v>40</v>
      </c>
      <c r="I16122" t="s">
        <v>2188</v>
      </c>
      <c r="J16122" s="10">
        <v>10</v>
      </c>
      <c r="K16122" t="b">
        <v>1</v>
      </c>
    </row>
    <row r="16123" spans="1:11">
      <c r="A16123" s="12">
        <v>43656</v>
      </c>
      <c r="B16123">
        <v>2019</v>
      </c>
      <c r="C16123">
        <v>7</v>
      </c>
      <c r="D16123" s="11">
        <v>43647</v>
      </c>
      <c r="E16123" t="s">
        <v>2179</v>
      </c>
      <c r="F16123">
        <v>3</v>
      </c>
      <c r="G16123" t="s">
        <v>65</v>
      </c>
      <c r="H16123" t="s">
        <v>41</v>
      </c>
      <c r="I16123" t="s">
        <v>2189</v>
      </c>
      <c r="J16123" s="10">
        <v>5.67</v>
      </c>
      <c r="K16123" t="b">
        <v>1</v>
      </c>
    </row>
    <row r="16124" spans="1:11">
      <c r="A16124" s="12">
        <v>43656</v>
      </c>
      <c r="B16124">
        <v>2019</v>
      </c>
      <c r="C16124">
        <v>7</v>
      </c>
      <c r="D16124" s="11">
        <v>43647</v>
      </c>
      <c r="E16124" t="s">
        <v>2179</v>
      </c>
      <c r="F16124">
        <v>3</v>
      </c>
      <c r="G16124" t="s">
        <v>65</v>
      </c>
      <c r="H16124" t="s">
        <v>42</v>
      </c>
      <c r="I16124" t="s">
        <v>2190</v>
      </c>
      <c r="J16124" s="10">
        <v>5</v>
      </c>
      <c r="K16124" t="b">
        <v>1</v>
      </c>
    </row>
    <row r="16125" spans="1:11">
      <c r="A16125" s="12">
        <v>43656</v>
      </c>
      <c r="B16125">
        <v>2019</v>
      </c>
      <c r="C16125">
        <v>7</v>
      </c>
      <c r="D16125" s="11">
        <v>43647</v>
      </c>
      <c r="E16125" t="s">
        <v>2179</v>
      </c>
      <c r="F16125">
        <v>3</v>
      </c>
      <c r="G16125" t="s">
        <v>65</v>
      </c>
      <c r="H16125" t="s">
        <v>43</v>
      </c>
      <c r="I16125" t="s">
        <v>2191</v>
      </c>
      <c r="J16125" s="10">
        <v>19.6</v>
      </c>
      <c r="K16125" t="b">
        <v>1</v>
      </c>
    </row>
    <row r="16126" spans="1:11">
      <c r="A16126" s="12">
        <v>43656</v>
      </c>
      <c r="B16126">
        <v>2019</v>
      </c>
      <c r="C16126">
        <v>7</v>
      </c>
      <c r="D16126" s="11">
        <v>43647</v>
      </c>
      <c r="E16126" t="s">
        <v>2179</v>
      </c>
      <c r="F16126">
        <v>3</v>
      </c>
      <c r="G16126" t="s">
        <v>65</v>
      </c>
      <c r="H16126" t="s">
        <v>44</v>
      </c>
      <c r="I16126" t="s">
        <v>2192</v>
      </c>
      <c r="J16126" s="10">
        <v>10.2</v>
      </c>
      <c r="K16126" t="b">
        <v>1</v>
      </c>
    </row>
    <row r="16127" spans="1:11">
      <c r="A16127" s="12">
        <v>43656</v>
      </c>
      <c r="B16127">
        <v>2019</v>
      </c>
      <c r="C16127">
        <v>7</v>
      </c>
      <c r="D16127" s="11">
        <v>43647</v>
      </c>
      <c r="E16127" t="s">
        <v>2179</v>
      </c>
      <c r="F16127">
        <v>3</v>
      </c>
      <c r="G16127" t="s">
        <v>65</v>
      </c>
      <c r="H16127" t="s">
        <v>45</v>
      </c>
      <c r="I16127" t="s">
        <v>2193</v>
      </c>
      <c r="J16127" s="10">
        <v>0</v>
      </c>
      <c r="K16127" t="b">
        <v>1</v>
      </c>
    </row>
    <row r="16128" spans="1:11">
      <c r="A16128" s="12">
        <v>43656</v>
      </c>
      <c r="B16128">
        <v>2019</v>
      </c>
      <c r="C16128">
        <v>7</v>
      </c>
      <c r="D16128" s="11">
        <v>43647</v>
      </c>
      <c r="E16128" t="s">
        <v>2179</v>
      </c>
      <c r="F16128">
        <v>3</v>
      </c>
      <c r="G16128" t="s">
        <v>65</v>
      </c>
      <c r="H16128" t="s">
        <v>46</v>
      </c>
      <c r="I16128" t="s">
        <v>2194</v>
      </c>
      <c r="J16128" s="10">
        <v>1</v>
      </c>
      <c r="K16128" t="b">
        <v>1</v>
      </c>
    </row>
    <row r="16129" spans="1:11">
      <c r="A16129" s="12">
        <v>43656</v>
      </c>
      <c r="B16129">
        <v>2019</v>
      </c>
      <c r="C16129">
        <v>7</v>
      </c>
      <c r="D16129" s="11">
        <v>43647</v>
      </c>
      <c r="E16129" t="s">
        <v>2179</v>
      </c>
      <c r="F16129">
        <v>3</v>
      </c>
      <c r="G16129" t="s">
        <v>65</v>
      </c>
      <c r="H16129" t="s">
        <v>47</v>
      </c>
      <c r="I16129" t="s">
        <v>2195</v>
      </c>
      <c r="J16129" s="10">
        <v>4</v>
      </c>
      <c r="K16129" t="b">
        <v>1</v>
      </c>
    </row>
    <row r="16130" spans="1:11">
      <c r="A16130" s="12">
        <v>43657</v>
      </c>
      <c r="B16130">
        <v>2019</v>
      </c>
      <c r="C16130">
        <v>7</v>
      </c>
      <c r="D16130" s="11">
        <v>43647</v>
      </c>
      <c r="E16130" t="s">
        <v>2179</v>
      </c>
      <c r="F16130">
        <v>4</v>
      </c>
      <c r="G16130" t="s">
        <v>53</v>
      </c>
      <c r="H16130" t="s">
        <v>40</v>
      </c>
      <c r="I16130" t="s">
        <v>2188</v>
      </c>
      <c r="J16130" s="10">
        <v>3.33</v>
      </c>
      <c r="K16130" t="b">
        <v>1</v>
      </c>
    </row>
    <row r="16131" spans="1:11">
      <c r="A16131" s="12">
        <v>43657</v>
      </c>
      <c r="B16131">
        <v>2019</v>
      </c>
      <c r="C16131">
        <v>7</v>
      </c>
      <c r="D16131" s="11">
        <v>43647</v>
      </c>
      <c r="E16131" t="s">
        <v>2179</v>
      </c>
      <c r="F16131">
        <v>4</v>
      </c>
      <c r="G16131" t="s">
        <v>53</v>
      </c>
      <c r="H16131" t="s">
        <v>41</v>
      </c>
      <c r="I16131" t="s">
        <v>2189</v>
      </c>
      <c r="J16131" s="10">
        <v>4.726</v>
      </c>
      <c r="K16131" t="b">
        <v>1</v>
      </c>
    </row>
    <row r="16132" spans="1:11">
      <c r="A16132" s="12">
        <v>43657</v>
      </c>
      <c r="B16132">
        <v>2019</v>
      </c>
      <c r="C16132">
        <v>7</v>
      </c>
      <c r="D16132" s="11">
        <v>43647</v>
      </c>
      <c r="E16132" t="s">
        <v>2179</v>
      </c>
      <c r="F16132">
        <v>4</v>
      </c>
      <c r="G16132" t="s">
        <v>53</v>
      </c>
      <c r="H16132" t="s">
        <v>42</v>
      </c>
      <c r="I16132" t="s">
        <v>2190</v>
      </c>
      <c r="J16132" s="10">
        <v>4</v>
      </c>
      <c r="K16132" t="b">
        <v>1</v>
      </c>
    </row>
    <row r="16133" spans="1:11">
      <c r="A16133" s="12">
        <v>43657</v>
      </c>
      <c r="B16133">
        <v>2019</v>
      </c>
      <c r="C16133">
        <v>7</v>
      </c>
      <c r="D16133" s="11">
        <v>43647</v>
      </c>
      <c r="E16133" t="s">
        <v>2179</v>
      </c>
      <c r="F16133">
        <v>4</v>
      </c>
      <c r="G16133" t="s">
        <v>53</v>
      </c>
      <c r="H16133" t="s">
        <v>43</v>
      </c>
      <c r="I16133" t="s">
        <v>2191</v>
      </c>
      <c r="J16133" s="10">
        <v>19</v>
      </c>
      <c r="K16133" t="b">
        <v>1</v>
      </c>
    </row>
    <row r="16134" spans="1:11">
      <c r="A16134" s="12">
        <v>43657</v>
      </c>
      <c r="B16134">
        <v>2019</v>
      </c>
      <c r="C16134">
        <v>7</v>
      </c>
      <c r="D16134" s="11">
        <v>43647</v>
      </c>
      <c r="E16134" t="s">
        <v>2179</v>
      </c>
      <c r="F16134">
        <v>4</v>
      </c>
      <c r="G16134" t="s">
        <v>53</v>
      </c>
      <c r="H16134" t="s">
        <v>44</v>
      </c>
      <c r="I16134" t="s">
        <v>2192</v>
      </c>
      <c r="J16134" s="10">
        <v>7</v>
      </c>
      <c r="K16134" t="b">
        <v>1</v>
      </c>
    </row>
    <row r="16135" spans="1:11">
      <c r="A16135" s="12">
        <v>43657</v>
      </c>
      <c r="B16135">
        <v>2019</v>
      </c>
      <c r="C16135">
        <v>7</v>
      </c>
      <c r="D16135" s="11">
        <v>43647</v>
      </c>
      <c r="E16135" t="s">
        <v>2179</v>
      </c>
      <c r="F16135">
        <v>4</v>
      </c>
      <c r="G16135" t="s">
        <v>53</v>
      </c>
      <c r="H16135" t="s">
        <v>45</v>
      </c>
      <c r="I16135" t="s">
        <v>2193</v>
      </c>
      <c r="J16135" s="10">
        <v>0</v>
      </c>
      <c r="K16135" t="b">
        <v>1</v>
      </c>
    </row>
    <row r="16136" spans="1:11">
      <c r="A16136" s="12">
        <v>43657</v>
      </c>
      <c r="B16136">
        <v>2019</v>
      </c>
      <c r="C16136">
        <v>7</v>
      </c>
      <c r="D16136" s="11">
        <v>43647</v>
      </c>
      <c r="E16136" t="s">
        <v>2179</v>
      </c>
      <c r="F16136">
        <v>4</v>
      </c>
      <c r="G16136" t="s">
        <v>53</v>
      </c>
      <c r="H16136" t="s">
        <v>46</v>
      </c>
      <c r="I16136" t="s">
        <v>2194</v>
      </c>
      <c r="J16136" s="10">
        <v>0</v>
      </c>
      <c r="K16136" t="b">
        <v>1</v>
      </c>
    </row>
    <row r="16137" spans="1:11">
      <c r="A16137" s="12">
        <v>43657</v>
      </c>
      <c r="B16137">
        <v>2019</v>
      </c>
      <c r="C16137">
        <v>7</v>
      </c>
      <c r="D16137" s="11">
        <v>43647</v>
      </c>
      <c r="E16137" t="s">
        <v>2179</v>
      </c>
      <c r="F16137">
        <v>4</v>
      </c>
      <c r="G16137" t="s">
        <v>53</v>
      </c>
      <c r="H16137" t="s">
        <v>47</v>
      </c>
      <c r="I16137" t="s">
        <v>2195</v>
      </c>
      <c r="J16137" s="10">
        <v>3</v>
      </c>
      <c r="K16137" t="b">
        <v>1</v>
      </c>
    </row>
    <row r="16138" spans="1:11">
      <c r="A16138" s="12">
        <v>43658</v>
      </c>
      <c r="B16138">
        <v>2019</v>
      </c>
      <c r="C16138">
        <v>7</v>
      </c>
      <c r="D16138" s="11">
        <v>43647</v>
      </c>
      <c r="E16138" t="s">
        <v>2179</v>
      </c>
      <c r="F16138">
        <v>5</v>
      </c>
      <c r="G16138" t="s">
        <v>55</v>
      </c>
      <c r="H16138" t="s">
        <v>40</v>
      </c>
      <c r="I16138" t="s">
        <v>2188</v>
      </c>
      <c r="J16138" s="10">
        <v>11</v>
      </c>
      <c r="K16138" t="b">
        <v>1</v>
      </c>
    </row>
    <row r="16139" spans="1:11">
      <c r="A16139" s="12">
        <v>43658</v>
      </c>
      <c r="B16139">
        <v>2019</v>
      </c>
      <c r="C16139">
        <v>7</v>
      </c>
      <c r="D16139" s="11">
        <v>43647</v>
      </c>
      <c r="E16139" t="s">
        <v>2179</v>
      </c>
      <c r="F16139">
        <v>5</v>
      </c>
      <c r="G16139" t="s">
        <v>55</v>
      </c>
      <c r="H16139" t="s">
        <v>41</v>
      </c>
      <c r="I16139" t="s">
        <v>2189</v>
      </c>
      <c r="J16139" s="10">
        <v>5.09</v>
      </c>
      <c r="K16139" t="b">
        <v>1</v>
      </c>
    </row>
    <row r="16140" spans="1:11">
      <c r="A16140" s="12">
        <v>43658</v>
      </c>
      <c r="B16140">
        <v>2019</v>
      </c>
      <c r="C16140">
        <v>7</v>
      </c>
      <c r="D16140" s="11">
        <v>43647</v>
      </c>
      <c r="E16140" t="s">
        <v>2179</v>
      </c>
      <c r="F16140">
        <v>5</v>
      </c>
      <c r="G16140" t="s">
        <v>55</v>
      </c>
      <c r="H16140" t="s">
        <v>42</v>
      </c>
      <c r="I16140" t="s">
        <v>2190</v>
      </c>
      <c r="J16140" s="10">
        <v>4.05</v>
      </c>
      <c r="K16140" t="b">
        <v>1</v>
      </c>
    </row>
    <row r="16141" spans="1:11">
      <c r="A16141" s="12">
        <v>43658</v>
      </c>
      <c r="B16141">
        <v>2019</v>
      </c>
      <c r="C16141">
        <v>7</v>
      </c>
      <c r="D16141" s="11">
        <v>43647</v>
      </c>
      <c r="E16141" t="s">
        <v>2179</v>
      </c>
      <c r="F16141">
        <v>5</v>
      </c>
      <c r="G16141" t="s">
        <v>55</v>
      </c>
      <c r="H16141" t="s">
        <v>43</v>
      </c>
      <c r="I16141" t="s">
        <v>2191</v>
      </c>
      <c r="J16141" s="10">
        <v>34</v>
      </c>
      <c r="K16141" t="b">
        <v>1</v>
      </c>
    </row>
    <row r="16142" spans="1:11">
      <c r="A16142" s="12">
        <v>43658</v>
      </c>
      <c r="B16142">
        <v>2019</v>
      </c>
      <c r="C16142">
        <v>7</v>
      </c>
      <c r="D16142" s="11">
        <v>43647</v>
      </c>
      <c r="E16142" t="s">
        <v>2179</v>
      </c>
      <c r="F16142">
        <v>5</v>
      </c>
      <c r="G16142" t="s">
        <v>55</v>
      </c>
      <c r="H16142" t="s">
        <v>44</v>
      </c>
      <c r="I16142" t="s">
        <v>2192</v>
      </c>
      <c r="J16142" s="10">
        <v>7.2</v>
      </c>
      <c r="K16142" t="b">
        <v>1</v>
      </c>
    </row>
    <row r="16143" spans="1:11">
      <c r="A16143" s="12">
        <v>43658</v>
      </c>
      <c r="B16143">
        <v>2019</v>
      </c>
      <c r="C16143">
        <v>7</v>
      </c>
      <c r="D16143" s="11">
        <v>43647</v>
      </c>
      <c r="E16143" t="s">
        <v>2179</v>
      </c>
      <c r="F16143">
        <v>5</v>
      </c>
      <c r="G16143" t="s">
        <v>55</v>
      </c>
      <c r="H16143" t="s">
        <v>45</v>
      </c>
      <c r="I16143" t="s">
        <v>2193</v>
      </c>
      <c r="J16143" s="10">
        <v>0</v>
      </c>
      <c r="K16143" t="b">
        <v>1</v>
      </c>
    </row>
    <row r="16144" spans="1:11">
      <c r="A16144" s="12">
        <v>43658</v>
      </c>
      <c r="B16144">
        <v>2019</v>
      </c>
      <c r="C16144">
        <v>7</v>
      </c>
      <c r="D16144" s="11">
        <v>43647</v>
      </c>
      <c r="E16144" t="s">
        <v>2179</v>
      </c>
      <c r="F16144">
        <v>5</v>
      </c>
      <c r="G16144" t="s">
        <v>55</v>
      </c>
      <c r="H16144" t="s">
        <v>46</v>
      </c>
      <c r="I16144" t="s">
        <v>2194</v>
      </c>
      <c r="J16144" s="10">
        <v>2</v>
      </c>
      <c r="K16144" t="b">
        <v>1</v>
      </c>
    </row>
    <row r="16145" spans="1:11">
      <c r="A16145" s="12">
        <v>43658</v>
      </c>
      <c r="B16145">
        <v>2019</v>
      </c>
      <c r="C16145">
        <v>7</v>
      </c>
      <c r="D16145" s="11">
        <v>43647</v>
      </c>
      <c r="E16145" t="s">
        <v>2179</v>
      </c>
      <c r="F16145">
        <v>5</v>
      </c>
      <c r="G16145" t="s">
        <v>55</v>
      </c>
      <c r="H16145" t="s">
        <v>47</v>
      </c>
      <c r="I16145" t="s">
        <v>2195</v>
      </c>
      <c r="J16145" s="10">
        <v>2</v>
      </c>
      <c r="K16145" t="b">
        <v>1</v>
      </c>
    </row>
    <row r="16146" spans="1:11">
      <c r="A16146" s="12">
        <v>43659</v>
      </c>
      <c r="B16146">
        <v>2019</v>
      </c>
      <c r="C16146">
        <v>7</v>
      </c>
      <c r="D16146" s="11">
        <v>43647</v>
      </c>
      <c r="E16146" t="s">
        <v>2179</v>
      </c>
      <c r="F16146">
        <v>6</v>
      </c>
      <c r="G16146" t="s">
        <v>57</v>
      </c>
      <c r="H16146" t="s">
        <v>40</v>
      </c>
      <c r="I16146" t="s">
        <v>2188</v>
      </c>
      <c r="J16146" s="10">
        <v>5</v>
      </c>
      <c r="K16146" t="b">
        <v>1</v>
      </c>
    </row>
    <row r="16147" spans="1:11">
      <c r="A16147" s="12">
        <v>43659</v>
      </c>
      <c r="B16147">
        <v>2019</v>
      </c>
      <c r="C16147">
        <v>7</v>
      </c>
      <c r="D16147" s="11">
        <v>43647</v>
      </c>
      <c r="E16147" t="s">
        <v>2179</v>
      </c>
      <c r="F16147">
        <v>6</v>
      </c>
      <c r="G16147" t="s">
        <v>57</v>
      </c>
      <c r="H16147" t="s">
        <v>41</v>
      </c>
      <c r="I16147" t="s">
        <v>2189</v>
      </c>
      <c r="J16147" s="10">
        <v>3.417</v>
      </c>
      <c r="K16147" t="b">
        <v>1</v>
      </c>
    </row>
    <row r="16148" spans="1:11">
      <c r="A16148" s="12">
        <v>43659</v>
      </c>
      <c r="B16148">
        <v>2019</v>
      </c>
      <c r="C16148">
        <v>7</v>
      </c>
      <c r="D16148" s="11">
        <v>43647</v>
      </c>
      <c r="E16148" t="s">
        <v>2179</v>
      </c>
      <c r="F16148">
        <v>6</v>
      </c>
      <c r="G16148" t="s">
        <v>57</v>
      </c>
      <c r="H16148" t="s">
        <v>42</v>
      </c>
      <c r="I16148" t="s">
        <v>2190</v>
      </c>
      <c r="J16148" s="10">
        <v>1</v>
      </c>
      <c r="K16148" t="b">
        <v>1</v>
      </c>
    </row>
    <row r="16149" spans="1:11">
      <c r="A16149" s="12">
        <v>43659</v>
      </c>
      <c r="B16149">
        <v>2019</v>
      </c>
      <c r="C16149">
        <v>7</v>
      </c>
      <c r="D16149" s="11">
        <v>43647</v>
      </c>
      <c r="E16149" t="s">
        <v>2179</v>
      </c>
      <c r="F16149">
        <v>6</v>
      </c>
      <c r="G16149" t="s">
        <v>57</v>
      </c>
      <c r="H16149" t="s">
        <v>43</v>
      </c>
      <c r="I16149" t="s">
        <v>2191</v>
      </c>
      <c r="J16149" s="10">
        <v>17.6</v>
      </c>
      <c r="K16149" t="b">
        <v>1</v>
      </c>
    </row>
    <row r="16150" spans="1:11">
      <c r="A16150" s="12">
        <v>43659</v>
      </c>
      <c r="B16150">
        <v>2019</v>
      </c>
      <c r="C16150">
        <v>7</v>
      </c>
      <c r="D16150" s="11">
        <v>43647</v>
      </c>
      <c r="E16150" t="s">
        <v>2179</v>
      </c>
      <c r="F16150">
        <v>6</v>
      </c>
      <c r="G16150" t="s">
        <v>57</v>
      </c>
      <c r="H16150" t="s">
        <v>44</v>
      </c>
      <c r="I16150" t="s">
        <v>2192</v>
      </c>
      <c r="J16150" s="10">
        <v>5</v>
      </c>
      <c r="K16150" t="b">
        <v>1</v>
      </c>
    </row>
    <row r="16151" spans="1:11">
      <c r="A16151" s="12">
        <v>43659</v>
      </c>
      <c r="B16151">
        <v>2019</v>
      </c>
      <c r="C16151">
        <v>7</v>
      </c>
      <c r="D16151" s="11">
        <v>43647</v>
      </c>
      <c r="E16151" t="s">
        <v>2179</v>
      </c>
      <c r="F16151">
        <v>6</v>
      </c>
      <c r="G16151" t="s">
        <v>57</v>
      </c>
      <c r="H16151" t="s">
        <v>45</v>
      </c>
      <c r="I16151" t="s">
        <v>2193</v>
      </c>
      <c r="J16151" s="10">
        <v>3</v>
      </c>
      <c r="K16151" t="b">
        <v>1</v>
      </c>
    </row>
    <row r="16152" spans="1:11">
      <c r="A16152" s="12">
        <v>43659</v>
      </c>
      <c r="B16152">
        <v>2019</v>
      </c>
      <c r="C16152">
        <v>7</v>
      </c>
      <c r="D16152" s="11">
        <v>43647</v>
      </c>
      <c r="E16152" t="s">
        <v>2179</v>
      </c>
      <c r="F16152">
        <v>6</v>
      </c>
      <c r="G16152" t="s">
        <v>57</v>
      </c>
      <c r="H16152" t="s">
        <v>46</v>
      </c>
      <c r="I16152" t="s">
        <v>2194</v>
      </c>
      <c r="J16152" s="10">
        <v>0</v>
      </c>
      <c r="K16152" t="b">
        <v>1</v>
      </c>
    </row>
    <row r="16153" spans="1:11">
      <c r="A16153" s="12">
        <v>43659</v>
      </c>
      <c r="B16153">
        <v>2019</v>
      </c>
      <c r="C16153">
        <v>7</v>
      </c>
      <c r="D16153" s="11">
        <v>43647</v>
      </c>
      <c r="E16153" t="s">
        <v>2179</v>
      </c>
      <c r="F16153">
        <v>6</v>
      </c>
      <c r="G16153" t="s">
        <v>57</v>
      </c>
      <c r="H16153" t="s">
        <v>47</v>
      </c>
      <c r="I16153" t="s">
        <v>2195</v>
      </c>
      <c r="J16153" s="10">
        <v>5</v>
      </c>
      <c r="K16153" t="b">
        <v>1</v>
      </c>
    </row>
    <row r="16154" spans="1:11">
      <c r="A16154" s="12">
        <v>43660</v>
      </c>
      <c r="B16154">
        <v>2019</v>
      </c>
      <c r="C16154">
        <v>7</v>
      </c>
      <c r="D16154" s="11">
        <v>43647</v>
      </c>
      <c r="E16154" t="s">
        <v>2179</v>
      </c>
      <c r="F16154">
        <v>7</v>
      </c>
      <c r="G16154" t="s">
        <v>59</v>
      </c>
      <c r="H16154" t="s">
        <v>40</v>
      </c>
      <c r="I16154" t="s">
        <v>2188</v>
      </c>
      <c r="J16154" s="10">
        <v>6</v>
      </c>
      <c r="K16154" t="b">
        <v>1</v>
      </c>
    </row>
    <row r="16155" spans="1:11">
      <c r="A16155" s="12">
        <v>43660</v>
      </c>
      <c r="B16155">
        <v>2019</v>
      </c>
      <c r="C16155">
        <v>7</v>
      </c>
      <c r="D16155" s="11">
        <v>43647</v>
      </c>
      <c r="E16155" t="s">
        <v>2179</v>
      </c>
      <c r="F16155">
        <v>7</v>
      </c>
      <c r="G16155" t="s">
        <v>59</v>
      </c>
      <c r="H16155" t="s">
        <v>41</v>
      </c>
      <c r="I16155" t="s">
        <v>2189</v>
      </c>
      <c r="J16155" s="10">
        <v>5.34</v>
      </c>
      <c r="K16155" t="b">
        <v>1</v>
      </c>
    </row>
    <row r="16156" spans="1:11">
      <c r="A16156" s="12">
        <v>43660</v>
      </c>
      <c r="B16156">
        <v>2019</v>
      </c>
      <c r="C16156">
        <v>7</v>
      </c>
      <c r="D16156" s="11">
        <v>43647</v>
      </c>
      <c r="E16156" t="s">
        <v>2179</v>
      </c>
      <c r="F16156">
        <v>7</v>
      </c>
      <c r="G16156" t="s">
        <v>59</v>
      </c>
      <c r="H16156" t="s">
        <v>42</v>
      </c>
      <c r="I16156" t="s">
        <v>2190</v>
      </c>
      <c r="J16156" s="10">
        <v>4</v>
      </c>
      <c r="K16156" t="b">
        <v>1</v>
      </c>
    </row>
    <row r="16157" spans="1:11">
      <c r="A16157" s="12">
        <v>43660</v>
      </c>
      <c r="B16157">
        <v>2019</v>
      </c>
      <c r="C16157">
        <v>7</v>
      </c>
      <c r="D16157" s="11">
        <v>43647</v>
      </c>
      <c r="E16157" t="s">
        <v>2179</v>
      </c>
      <c r="F16157">
        <v>7</v>
      </c>
      <c r="G16157" t="s">
        <v>59</v>
      </c>
      <c r="H16157" t="s">
        <v>43</v>
      </c>
      <c r="I16157" t="s">
        <v>2191</v>
      </c>
      <c r="J16157" s="10">
        <v>23</v>
      </c>
      <c r="K16157" t="b">
        <v>1</v>
      </c>
    </row>
    <row r="16158" spans="1:11">
      <c r="A16158" s="12">
        <v>43660</v>
      </c>
      <c r="B16158">
        <v>2019</v>
      </c>
      <c r="C16158">
        <v>7</v>
      </c>
      <c r="D16158" s="11">
        <v>43647</v>
      </c>
      <c r="E16158" t="s">
        <v>2179</v>
      </c>
      <c r="F16158">
        <v>7</v>
      </c>
      <c r="G16158" t="s">
        <v>59</v>
      </c>
      <c r="H16158" t="s">
        <v>44</v>
      </c>
      <c r="I16158" t="s">
        <v>2192</v>
      </c>
      <c r="J16158" s="10">
        <v>3</v>
      </c>
      <c r="K16158" t="b">
        <v>1</v>
      </c>
    </row>
    <row r="16159" spans="1:11">
      <c r="A16159" s="12">
        <v>43660</v>
      </c>
      <c r="B16159">
        <v>2019</v>
      </c>
      <c r="C16159">
        <v>7</v>
      </c>
      <c r="D16159" s="11">
        <v>43647</v>
      </c>
      <c r="E16159" t="s">
        <v>2179</v>
      </c>
      <c r="F16159">
        <v>7</v>
      </c>
      <c r="G16159" t="s">
        <v>59</v>
      </c>
      <c r="H16159" t="s">
        <v>45</v>
      </c>
      <c r="I16159" t="s">
        <v>2193</v>
      </c>
      <c r="J16159" s="10">
        <v>0</v>
      </c>
      <c r="K16159" t="b">
        <v>1</v>
      </c>
    </row>
    <row r="16160" spans="1:11">
      <c r="A16160" s="12">
        <v>43660</v>
      </c>
      <c r="B16160">
        <v>2019</v>
      </c>
      <c r="C16160">
        <v>7</v>
      </c>
      <c r="D16160" s="11">
        <v>43647</v>
      </c>
      <c r="E16160" t="s">
        <v>2179</v>
      </c>
      <c r="F16160">
        <v>7</v>
      </c>
      <c r="G16160" t="s">
        <v>59</v>
      </c>
      <c r="H16160" t="s">
        <v>46</v>
      </c>
      <c r="I16160" t="s">
        <v>2194</v>
      </c>
      <c r="J16160" s="10">
        <v>5</v>
      </c>
      <c r="K16160" t="b">
        <v>1</v>
      </c>
    </row>
    <row r="16161" spans="1:11">
      <c r="A16161" s="12">
        <v>43660</v>
      </c>
      <c r="B16161">
        <v>2019</v>
      </c>
      <c r="C16161">
        <v>7</v>
      </c>
      <c r="D16161" s="11">
        <v>43647</v>
      </c>
      <c r="E16161" t="s">
        <v>2179</v>
      </c>
      <c r="F16161">
        <v>7</v>
      </c>
      <c r="G16161" t="s">
        <v>59</v>
      </c>
      <c r="H16161" t="s">
        <v>47</v>
      </c>
      <c r="I16161" t="s">
        <v>2195</v>
      </c>
      <c r="J16161" s="10">
        <v>1</v>
      </c>
      <c r="K16161" t="b">
        <v>1</v>
      </c>
    </row>
    <row r="16162" spans="1:11">
      <c r="A16162" s="12">
        <v>43661</v>
      </c>
      <c r="B16162">
        <v>2019</v>
      </c>
      <c r="C16162">
        <v>7</v>
      </c>
      <c r="D16162" s="11">
        <v>43647</v>
      </c>
      <c r="E16162" t="s">
        <v>2179</v>
      </c>
      <c r="F16162">
        <v>1</v>
      </c>
      <c r="G16162" t="s">
        <v>61</v>
      </c>
      <c r="H16162" t="s">
        <v>40</v>
      </c>
      <c r="I16162" t="s">
        <v>2188</v>
      </c>
      <c r="J16162" s="10">
        <v>7.33</v>
      </c>
      <c r="K16162" t="b">
        <v>1</v>
      </c>
    </row>
    <row r="16163" spans="1:11">
      <c r="A16163" s="12">
        <v>43661</v>
      </c>
      <c r="B16163">
        <v>2019</v>
      </c>
      <c r="C16163">
        <v>7</v>
      </c>
      <c r="D16163" s="11">
        <v>43647</v>
      </c>
      <c r="E16163" t="s">
        <v>2179</v>
      </c>
      <c r="F16163">
        <v>1</v>
      </c>
      <c r="G16163" t="s">
        <v>61</v>
      </c>
      <c r="H16163" t="s">
        <v>41</v>
      </c>
      <c r="I16163" t="s">
        <v>2189</v>
      </c>
      <c r="J16163" s="10">
        <v>1.67</v>
      </c>
      <c r="K16163" t="b">
        <v>1</v>
      </c>
    </row>
    <row r="16164" spans="1:11">
      <c r="A16164" s="12">
        <v>43661</v>
      </c>
      <c r="B16164">
        <v>2019</v>
      </c>
      <c r="C16164">
        <v>7</v>
      </c>
      <c r="D16164" s="11">
        <v>43647</v>
      </c>
      <c r="E16164" t="s">
        <v>2179</v>
      </c>
      <c r="F16164">
        <v>1</v>
      </c>
      <c r="G16164" t="s">
        <v>61</v>
      </c>
      <c r="H16164" t="s">
        <v>42</v>
      </c>
      <c r="I16164" t="s">
        <v>2190</v>
      </c>
      <c r="J16164" s="10">
        <v>4.55</v>
      </c>
      <c r="K16164" t="b">
        <v>1</v>
      </c>
    </row>
    <row r="16165" spans="1:11">
      <c r="A16165" s="12">
        <v>43661</v>
      </c>
      <c r="B16165">
        <v>2019</v>
      </c>
      <c r="C16165">
        <v>7</v>
      </c>
      <c r="D16165" s="11">
        <v>43647</v>
      </c>
      <c r="E16165" t="s">
        <v>2179</v>
      </c>
      <c r="F16165">
        <v>1</v>
      </c>
      <c r="G16165" t="s">
        <v>61</v>
      </c>
      <c r="H16165" t="s">
        <v>43</v>
      </c>
      <c r="I16165" t="s">
        <v>2191</v>
      </c>
      <c r="J16165" s="10">
        <v>24</v>
      </c>
      <c r="K16165" t="b">
        <v>1</v>
      </c>
    </row>
    <row r="16166" spans="1:11">
      <c r="A16166" s="12">
        <v>43661</v>
      </c>
      <c r="B16166">
        <v>2019</v>
      </c>
      <c r="C16166">
        <v>7</v>
      </c>
      <c r="D16166" s="11">
        <v>43647</v>
      </c>
      <c r="E16166" t="s">
        <v>2179</v>
      </c>
      <c r="F16166">
        <v>1</v>
      </c>
      <c r="G16166" t="s">
        <v>61</v>
      </c>
      <c r="H16166" t="s">
        <v>44</v>
      </c>
      <c r="I16166" t="s">
        <v>2192</v>
      </c>
      <c r="J16166" s="10">
        <v>6</v>
      </c>
      <c r="K16166" t="b">
        <v>1</v>
      </c>
    </row>
    <row r="16167" spans="1:11">
      <c r="A16167" s="12">
        <v>43661</v>
      </c>
      <c r="B16167">
        <v>2019</v>
      </c>
      <c r="C16167">
        <v>7</v>
      </c>
      <c r="D16167" s="11">
        <v>43647</v>
      </c>
      <c r="E16167" t="s">
        <v>2179</v>
      </c>
      <c r="F16167">
        <v>1</v>
      </c>
      <c r="G16167" t="s">
        <v>61</v>
      </c>
      <c r="H16167" t="s">
        <v>45</v>
      </c>
      <c r="I16167" t="s">
        <v>2193</v>
      </c>
      <c r="J16167" s="10">
        <v>1</v>
      </c>
      <c r="K16167" t="b">
        <v>1</v>
      </c>
    </row>
    <row r="16168" spans="1:11">
      <c r="A16168" s="12">
        <v>43661</v>
      </c>
      <c r="B16168">
        <v>2019</v>
      </c>
      <c r="C16168">
        <v>7</v>
      </c>
      <c r="D16168" s="11">
        <v>43647</v>
      </c>
      <c r="E16168" t="s">
        <v>2179</v>
      </c>
      <c r="F16168">
        <v>1</v>
      </c>
      <c r="G16168" t="s">
        <v>61</v>
      </c>
      <c r="H16168" t="s">
        <v>46</v>
      </c>
      <c r="I16168" t="s">
        <v>2194</v>
      </c>
      <c r="J16168" s="10">
        <v>0</v>
      </c>
      <c r="K16168" t="b">
        <v>1</v>
      </c>
    </row>
    <row r="16169" spans="1:11">
      <c r="A16169" s="12">
        <v>43661</v>
      </c>
      <c r="B16169">
        <v>2019</v>
      </c>
      <c r="C16169">
        <v>7</v>
      </c>
      <c r="D16169" s="11">
        <v>43647</v>
      </c>
      <c r="E16169" t="s">
        <v>2179</v>
      </c>
      <c r="F16169">
        <v>1</v>
      </c>
      <c r="G16169" t="s">
        <v>61</v>
      </c>
      <c r="H16169" t="s">
        <v>47</v>
      </c>
      <c r="I16169" t="s">
        <v>2195</v>
      </c>
      <c r="J16169" s="10">
        <v>7</v>
      </c>
      <c r="K16169" t="b">
        <v>1</v>
      </c>
    </row>
    <row r="16170" spans="1:11">
      <c r="A16170" s="12">
        <v>43662</v>
      </c>
      <c r="B16170">
        <v>2019</v>
      </c>
      <c r="C16170">
        <v>7</v>
      </c>
      <c r="D16170" s="11">
        <v>43647</v>
      </c>
      <c r="E16170" t="s">
        <v>2179</v>
      </c>
      <c r="F16170">
        <v>2</v>
      </c>
      <c r="G16170" t="s">
        <v>63</v>
      </c>
      <c r="H16170" t="s">
        <v>40</v>
      </c>
      <c r="I16170" t="s">
        <v>2188</v>
      </c>
      <c r="J16170" s="10">
        <v>7</v>
      </c>
      <c r="K16170" t="b">
        <v>1</v>
      </c>
    </row>
    <row r="16171" spans="1:11">
      <c r="A16171" s="12">
        <v>43662</v>
      </c>
      <c r="B16171">
        <v>2019</v>
      </c>
      <c r="C16171">
        <v>7</v>
      </c>
      <c r="D16171" s="11">
        <v>43647</v>
      </c>
      <c r="E16171" t="s">
        <v>2179</v>
      </c>
      <c r="F16171">
        <v>2</v>
      </c>
      <c r="G16171" t="s">
        <v>63</v>
      </c>
      <c r="H16171" t="s">
        <v>41</v>
      </c>
      <c r="I16171" t="s">
        <v>2189</v>
      </c>
      <c r="J16171" s="10">
        <v>3.34</v>
      </c>
      <c r="K16171" t="b">
        <v>1</v>
      </c>
    </row>
    <row r="16172" spans="1:11">
      <c r="A16172" s="12">
        <v>43662</v>
      </c>
      <c r="B16172">
        <v>2019</v>
      </c>
      <c r="C16172">
        <v>7</v>
      </c>
      <c r="D16172" s="11">
        <v>43647</v>
      </c>
      <c r="E16172" t="s">
        <v>2179</v>
      </c>
      <c r="F16172">
        <v>2</v>
      </c>
      <c r="G16172" t="s">
        <v>63</v>
      </c>
      <c r="H16172" t="s">
        <v>42</v>
      </c>
      <c r="I16172" t="s">
        <v>2190</v>
      </c>
      <c r="J16172" s="10">
        <v>3</v>
      </c>
      <c r="K16172" t="b">
        <v>1</v>
      </c>
    </row>
    <row r="16173" spans="1:11">
      <c r="A16173" s="12">
        <v>43662</v>
      </c>
      <c r="B16173">
        <v>2019</v>
      </c>
      <c r="C16173">
        <v>7</v>
      </c>
      <c r="D16173" s="11">
        <v>43647</v>
      </c>
      <c r="E16173" t="s">
        <v>2179</v>
      </c>
      <c r="F16173">
        <v>2</v>
      </c>
      <c r="G16173" t="s">
        <v>63</v>
      </c>
      <c r="H16173" t="s">
        <v>43</v>
      </c>
      <c r="I16173" t="s">
        <v>2191</v>
      </c>
      <c r="J16173" s="10">
        <v>14</v>
      </c>
      <c r="K16173" t="b">
        <v>1</v>
      </c>
    </row>
    <row r="16174" spans="1:11">
      <c r="A16174" s="12">
        <v>43662</v>
      </c>
      <c r="B16174">
        <v>2019</v>
      </c>
      <c r="C16174">
        <v>7</v>
      </c>
      <c r="D16174" s="11">
        <v>43647</v>
      </c>
      <c r="E16174" t="s">
        <v>2179</v>
      </c>
      <c r="F16174">
        <v>2</v>
      </c>
      <c r="G16174" t="s">
        <v>63</v>
      </c>
      <c r="H16174" t="s">
        <v>44</v>
      </c>
      <c r="I16174" t="s">
        <v>2192</v>
      </c>
      <c r="J16174" s="10">
        <v>7</v>
      </c>
      <c r="K16174" t="b">
        <v>1</v>
      </c>
    </row>
    <row r="16175" spans="1:11">
      <c r="A16175" s="12">
        <v>43662</v>
      </c>
      <c r="B16175">
        <v>2019</v>
      </c>
      <c r="C16175">
        <v>7</v>
      </c>
      <c r="D16175" s="11">
        <v>43647</v>
      </c>
      <c r="E16175" t="s">
        <v>2179</v>
      </c>
      <c r="F16175">
        <v>2</v>
      </c>
      <c r="G16175" t="s">
        <v>63</v>
      </c>
      <c r="H16175" t="s">
        <v>45</v>
      </c>
      <c r="I16175" t="s">
        <v>2193</v>
      </c>
      <c r="J16175" s="10">
        <v>0</v>
      </c>
      <c r="K16175" t="b">
        <v>1</v>
      </c>
    </row>
    <row r="16176" spans="1:11">
      <c r="A16176" s="12">
        <v>43662</v>
      </c>
      <c r="B16176">
        <v>2019</v>
      </c>
      <c r="C16176">
        <v>7</v>
      </c>
      <c r="D16176" s="11">
        <v>43647</v>
      </c>
      <c r="E16176" t="s">
        <v>2179</v>
      </c>
      <c r="F16176">
        <v>2</v>
      </c>
      <c r="G16176" t="s">
        <v>63</v>
      </c>
      <c r="H16176" t="s">
        <v>46</v>
      </c>
      <c r="I16176" t="s">
        <v>2194</v>
      </c>
      <c r="J16176" s="10">
        <v>2</v>
      </c>
      <c r="K16176" t="b">
        <v>1</v>
      </c>
    </row>
    <row r="16177" spans="1:11">
      <c r="A16177" s="12">
        <v>43662</v>
      </c>
      <c r="B16177">
        <v>2019</v>
      </c>
      <c r="C16177">
        <v>7</v>
      </c>
      <c r="D16177" s="11">
        <v>43647</v>
      </c>
      <c r="E16177" t="s">
        <v>2179</v>
      </c>
      <c r="F16177">
        <v>2</v>
      </c>
      <c r="G16177" t="s">
        <v>63</v>
      </c>
      <c r="H16177" t="s">
        <v>47</v>
      </c>
      <c r="I16177" t="s">
        <v>2195</v>
      </c>
      <c r="J16177" s="10">
        <v>4</v>
      </c>
      <c r="K16177" t="b">
        <v>1</v>
      </c>
    </row>
    <row r="16178" spans="1:11">
      <c r="A16178" s="12">
        <v>43663</v>
      </c>
      <c r="B16178">
        <v>2019</v>
      </c>
      <c r="C16178">
        <v>7</v>
      </c>
      <c r="D16178" s="11">
        <v>43647</v>
      </c>
      <c r="E16178" t="s">
        <v>2179</v>
      </c>
      <c r="F16178">
        <v>3</v>
      </c>
      <c r="G16178" t="s">
        <v>65</v>
      </c>
      <c r="H16178" t="s">
        <v>40</v>
      </c>
      <c r="I16178" t="s">
        <v>2188</v>
      </c>
      <c r="J16178" s="10">
        <v>3.99</v>
      </c>
      <c r="K16178" t="b">
        <v>1</v>
      </c>
    </row>
    <row r="16179" spans="1:11">
      <c r="A16179" s="12">
        <v>43663</v>
      </c>
      <c r="B16179">
        <v>2019</v>
      </c>
      <c r="C16179">
        <v>7</v>
      </c>
      <c r="D16179" s="11">
        <v>43647</v>
      </c>
      <c r="E16179" t="s">
        <v>2179</v>
      </c>
      <c r="F16179">
        <v>3</v>
      </c>
      <c r="G16179" t="s">
        <v>65</v>
      </c>
      <c r="H16179" t="s">
        <v>41</v>
      </c>
      <c r="I16179" t="s">
        <v>2189</v>
      </c>
      <c r="J16179" s="10">
        <v>0.157</v>
      </c>
      <c r="K16179" t="b">
        <v>1</v>
      </c>
    </row>
    <row r="16180" spans="1:11">
      <c r="A16180" s="12">
        <v>43663</v>
      </c>
      <c r="B16180">
        <v>2019</v>
      </c>
      <c r="C16180">
        <v>7</v>
      </c>
      <c r="D16180" s="11">
        <v>43647</v>
      </c>
      <c r="E16180" t="s">
        <v>2179</v>
      </c>
      <c r="F16180">
        <v>3</v>
      </c>
      <c r="G16180" t="s">
        <v>65</v>
      </c>
      <c r="H16180" t="s">
        <v>42</v>
      </c>
      <c r="I16180" t="s">
        <v>2190</v>
      </c>
      <c r="J16180" s="10">
        <v>2.5</v>
      </c>
      <c r="K16180" t="b">
        <v>1</v>
      </c>
    </row>
    <row r="16181" spans="1:11">
      <c r="A16181" s="12">
        <v>43663</v>
      </c>
      <c r="B16181">
        <v>2019</v>
      </c>
      <c r="C16181">
        <v>7</v>
      </c>
      <c r="D16181" s="11">
        <v>43647</v>
      </c>
      <c r="E16181" t="s">
        <v>2179</v>
      </c>
      <c r="F16181">
        <v>3</v>
      </c>
      <c r="G16181" t="s">
        <v>65</v>
      </c>
      <c r="H16181" t="s">
        <v>43</v>
      </c>
      <c r="I16181" t="s">
        <v>2191</v>
      </c>
      <c r="J16181" s="10">
        <v>26</v>
      </c>
      <c r="K16181" t="b">
        <v>1</v>
      </c>
    </row>
    <row r="16182" spans="1:11">
      <c r="A16182" s="12">
        <v>43663</v>
      </c>
      <c r="B16182">
        <v>2019</v>
      </c>
      <c r="C16182">
        <v>7</v>
      </c>
      <c r="D16182" s="11">
        <v>43647</v>
      </c>
      <c r="E16182" t="s">
        <v>2179</v>
      </c>
      <c r="F16182">
        <v>3</v>
      </c>
      <c r="G16182" t="s">
        <v>65</v>
      </c>
      <c r="H16182" t="s">
        <v>44</v>
      </c>
      <c r="I16182" t="s">
        <v>2192</v>
      </c>
      <c r="J16182" s="10">
        <v>7</v>
      </c>
      <c r="K16182" t="b">
        <v>1</v>
      </c>
    </row>
    <row r="16183" spans="1:11">
      <c r="A16183" s="12">
        <v>43663</v>
      </c>
      <c r="B16183">
        <v>2019</v>
      </c>
      <c r="C16183">
        <v>7</v>
      </c>
      <c r="D16183" s="11">
        <v>43647</v>
      </c>
      <c r="E16183" t="s">
        <v>2179</v>
      </c>
      <c r="F16183">
        <v>3</v>
      </c>
      <c r="G16183" t="s">
        <v>65</v>
      </c>
      <c r="H16183" t="s">
        <v>45</v>
      </c>
      <c r="I16183" t="s">
        <v>2193</v>
      </c>
      <c r="J16183" s="10">
        <v>1</v>
      </c>
      <c r="K16183" t="b">
        <v>1</v>
      </c>
    </row>
    <row r="16184" spans="1:11">
      <c r="A16184" s="12">
        <v>43663</v>
      </c>
      <c r="B16184">
        <v>2019</v>
      </c>
      <c r="C16184">
        <v>7</v>
      </c>
      <c r="D16184" s="11">
        <v>43647</v>
      </c>
      <c r="E16184" t="s">
        <v>2179</v>
      </c>
      <c r="F16184">
        <v>3</v>
      </c>
      <c r="G16184" t="s">
        <v>65</v>
      </c>
      <c r="H16184" t="s">
        <v>46</v>
      </c>
      <c r="I16184" t="s">
        <v>2194</v>
      </c>
      <c r="J16184" s="10">
        <v>0</v>
      </c>
      <c r="K16184" t="b">
        <v>1</v>
      </c>
    </row>
    <row r="16185" spans="1:11">
      <c r="A16185" s="12">
        <v>43663</v>
      </c>
      <c r="B16185">
        <v>2019</v>
      </c>
      <c r="C16185">
        <v>7</v>
      </c>
      <c r="D16185" s="11">
        <v>43647</v>
      </c>
      <c r="E16185" t="s">
        <v>2179</v>
      </c>
      <c r="F16185">
        <v>3</v>
      </c>
      <c r="G16185" t="s">
        <v>65</v>
      </c>
      <c r="H16185" t="s">
        <v>47</v>
      </c>
      <c r="I16185" t="s">
        <v>2195</v>
      </c>
      <c r="J16185" s="10">
        <v>2</v>
      </c>
      <c r="K16185" t="b">
        <v>1</v>
      </c>
    </row>
    <row r="16186" spans="1:11">
      <c r="A16186" s="12">
        <v>43664</v>
      </c>
      <c r="B16186">
        <v>2019</v>
      </c>
      <c r="C16186">
        <v>7</v>
      </c>
      <c r="D16186" s="11">
        <v>43647</v>
      </c>
      <c r="E16186" t="s">
        <v>2179</v>
      </c>
      <c r="F16186">
        <v>4</v>
      </c>
      <c r="G16186" t="s">
        <v>53</v>
      </c>
      <c r="H16186" t="s">
        <v>40</v>
      </c>
      <c r="I16186" t="s">
        <v>2188</v>
      </c>
      <c r="J16186" s="10">
        <v>11</v>
      </c>
      <c r="K16186" t="b">
        <v>1</v>
      </c>
    </row>
    <row r="16187" spans="1:11">
      <c r="A16187" s="12">
        <v>43664</v>
      </c>
      <c r="B16187">
        <v>2019</v>
      </c>
      <c r="C16187">
        <v>7</v>
      </c>
      <c r="D16187" s="11">
        <v>43647</v>
      </c>
      <c r="E16187" t="s">
        <v>2179</v>
      </c>
      <c r="F16187">
        <v>4</v>
      </c>
      <c r="G16187" t="s">
        <v>53</v>
      </c>
      <c r="H16187" t="s">
        <v>41</v>
      </c>
      <c r="I16187" t="s">
        <v>2189</v>
      </c>
      <c r="J16187" s="10">
        <v>3.33</v>
      </c>
      <c r="K16187" t="b">
        <v>1</v>
      </c>
    </row>
    <row r="16188" spans="1:11">
      <c r="A16188" s="12">
        <v>43664</v>
      </c>
      <c r="B16188">
        <v>2019</v>
      </c>
      <c r="C16188">
        <v>7</v>
      </c>
      <c r="D16188" s="11">
        <v>43647</v>
      </c>
      <c r="E16188" t="s">
        <v>2179</v>
      </c>
      <c r="F16188">
        <v>4</v>
      </c>
      <c r="G16188" t="s">
        <v>53</v>
      </c>
      <c r="H16188" t="s">
        <v>42</v>
      </c>
      <c r="I16188" t="s">
        <v>2190</v>
      </c>
      <c r="J16188" s="10">
        <v>1.3</v>
      </c>
      <c r="K16188" t="b">
        <v>1</v>
      </c>
    </row>
    <row r="16189" spans="1:11">
      <c r="A16189" s="12">
        <v>43664</v>
      </c>
      <c r="B16189">
        <v>2019</v>
      </c>
      <c r="C16189">
        <v>7</v>
      </c>
      <c r="D16189" s="11">
        <v>43647</v>
      </c>
      <c r="E16189" t="s">
        <v>2179</v>
      </c>
      <c r="F16189">
        <v>4</v>
      </c>
      <c r="G16189" t="s">
        <v>53</v>
      </c>
      <c r="H16189" t="s">
        <v>43</v>
      </c>
      <c r="I16189" t="s">
        <v>2191</v>
      </c>
      <c r="J16189" s="10">
        <v>24</v>
      </c>
      <c r="K16189" t="b">
        <v>1</v>
      </c>
    </row>
    <row r="16190" spans="1:11">
      <c r="A16190" s="12">
        <v>43664</v>
      </c>
      <c r="B16190">
        <v>2019</v>
      </c>
      <c r="C16190">
        <v>7</v>
      </c>
      <c r="D16190" s="11">
        <v>43647</v>
      </c>
      <c r="E16190" t="s">
        <v>2179</v>
      </c>
      <c r="F16190">
        <v>4</v>
      </c>
      <c r="G16190" t="s">
        <v>53</v>
      </c>
      <c r="H16190" t="s">
        <v>44</v>
      </c>
      <c r="I16190" t="s">
        <v>2192</v>
      </c>
      <c r="J16190" s="10">
        <v>11</v>
      </c>
      <c r="K16190" t="b">
        <v>1</v>
      </c>
    </row>
    <row r="16191" spans="1:11">
      <c r="A16191" s="12">
        <v>43664</v>
      </c>
      <c r="B16191">
        <v>2019</v>
      </c>
      <c r="C16191">
        <v>7</v>
      </c>
      <c r="D16191" s="11">
        <v>43647</v>
      </c>
      <c r="E16191" t="s">
        <v>2179</v>
      </c>
      <c r="F16191">
        <v>4</v>
      </c>
      <c r="G16191" t="s">
        <v>53</v>
      </c>
      <c r="H16191" t="s">
        <v>45</v>
      </c>
      <c r="I16191" t="s">
        <v>2193</v>
      </c>
      <c r="J16191" s="10">
        <v>0</v>
      </c>
      <c r="K16191" t="b">
        <v>1</v>
      </c>
    </row>
    <row r="16192" spans="1:11">
      <c r="A16192" s="12">
        <v>43664</v>
      </c>
      <c r="B16192">
        <v>2019</v>
      </c>
      <c r="C16192">
        <v>7</v>
      </c>
      <c r="D16192" s="11">
        <v>43647</v>
      </c>
      <c r="E16192" t="s">
        <v>2179</v>
      </c>
      <c r="F16192">
        <v>4</v>
      </c>
      <c r="G16192" t="s">
        <v>53</v>
      </c>
      <c r="H16192" t="s">
        <v>46</v>
      </c>
      <c r="I16192" t="s">
        <v>2194</v>
      </c>
      <c r="J16192" s="10">
        <v>3</v>
      </c>
      <c r="K16192" t="b">
        <v>1</v>
      </c>
    </row>
    <row r="16193" spans="1:11">
      <c r="A16193" s="12">
        <v>43664</v>
      </c>
      <c r="B16193">
        <v>2019</v>
      </c>
      <c r="C16193">
        <v>7</v>
      </c>
      <c r="D16193" s="11">
        <v>43647</v>
      </c>
      <c r="E16193" t="s">
        <v>2179</v>
      </c>
      <c r="F16193">
        <v>4</v>
      </c>
      <c r="G16193" t="s">
        <v>53</v>
      </c>
      <c r="H16193" t="s">
        <v>47</v>
      </c>
      <c r="I16193" t="s">
        <v>2195</v>
      </c>
      <c r="J16193" s="10">
        <v>3</v>
      </c>
      <c r="K16193" t="b">
        <v>1</v>
      </c>
    </row>
    <row r="16194" spans="1:11">
      <c r="A16194" s="12">
        <v>43665</v>
      </c>
      <c r="B16194">
        <v>2019</v>
      </c>
      <c r="C16194">
        <v>7</v>
      </c>
      <c r="D16194" s="11">
        <v>43647</v>
      </c>
      <c r="E16194" t="s">
        <v>2179</v>
      </c>
      <c r="F16194">
        <v>5</v>
      </c>
      <c r="G16194" t="s">
        <v>55</v>
      </c>
      <c r="H16194" t="s">
        <v>40</v>
      </c>
      <c r="I16194" t="s">
        <v>2188</v>
      </c>
      <c r="J16194" s="10">
        <v>7.33</v>
      </c>
      <c r="K16194" t="b">
        <v>1</v>
      </c>
    </row>
    <row r="16195" spans="1:11">
      <c r="A16195" s="12">
        <v>43665</v>
      </c>
      <c r="B16195">
        <v>2019</v>
      </c>
      <c r="C16195">
        <v>7</v>
      </c>
      <c r="D16195" s="11">
        <v>43647</v>
      </c>
      <c r="E16195" t="s">
        <v>2179</v>
      </c>
      <c r="F16195">
        <v>5</v>
      </c>
      <c r="G16195" t="s">
        <v>55</v>
      </c>
      <c r="H16195" t="s">
        <v>41</v>
      </c>
      <c r="I16195" t="s">
        <v>2189</v>
      </c>
      <c r="J16195" s="10">
        <v>5.34</v>
      </c>
      <c r="K16195" t="b">
        <v>1</v>
      </c>
    </row>
    <row r="16196" spans="1:11">
      <c r="A16196" s="12">
        <v>43665</v>
      </c>
      <c r="B16196">
        <v>2019</v>
      </c>
      <c r="C16196">
        <v>7</v>
      </c>
      <c r="D16196" s="11">
        <v>43647</v>
      </c>
      <c r="E16196" t="s">
        <v>2179</v>
      </c>
      <c r="F16196">
        <v>5</v>
      </c>
      <c r="G16196" t="s">
        <v>55</v>
      </c>
      <c r="H16196" t="s">
        <v>42</v>
      </c>
      <c r="I16196" t="s">
        <v>2190</v>
      </c>
      <c r="J16196" s="10">
        <v>4</v>
      </c>
      <c r="K16196" t="b">
        <v>1</v>
      </c>
    </row>
    <row r="16197" spans="1:11">
      <c r="A16197" s="12">
        <v>43665</v>
      </c>
      <c r="B16197">
        <v>2019</v>
      </c>
      <c r="C16197">
        <v>7</v>
      </c>
      <c r="D16197" s="11">
        <v>43647</v>
      </c>
      <c r="E16197" t="s">
        <v>2179</v>
      </c>
      <c r="F16197">
        <v>5</v>
      </c>
      <c r="G16197" t="s">
        <v>55</v>
      </c>
      <c r="H16197" t="s">
        <v>43</v>
      </c>
      <c r="I16197" t="s">
        <v>2191</v>
      </c>
      <c r="J16197" s="10">
        <v>28</v>
      </c>
      <c r="K16197" t="b">
        <v>1</v>
      </c>
    </row>
    <row r="16198" spans="1:11">
      <c r="A16198" s="12">
        <v>43665</v>
      </c>
      <c r="B16198">
        <v>2019</v>
      </c>
      <c r="C16198">
        <v>7</v>
      </c>
      <c r="D16198" s="11">
        <v>43647</v>
      </c>
      <c r="E16198" t="s">
        <v>2179</v>
      </c>
      <c r="F16198">
        <v>5</v>
      </c>
      <c r="G16198" t="s">
        <v>55</v>
      </c>
      <c r="H16198" t="s">
        <v>44</v>
      </c>
      <c r="I16198" t="s">
        <v>2192</v>
      </c>
      <c r="J16198" s="10">
        <v>15</v>
      </c>
      <c r="K16198" t="b">
        <v>1</v>
      </c>
    </row>
    <row r="16199" spans="1:11">
      <c r="A16199" s="12">
        <v>43665</v>
      </c>
      <c r="B16199">
        <v>2019</v>
      </c>
      <c r="C16199">
        <v>7</v>
      </c>
      <c r="D16199" s="11">
        <v>43647</v>
      </c>
      <c r="E16199" t="s">
        <v>2179</v>
      </c>
      <c r="F16199">
        <v>5</v>
      </c>
      <c r="G16199" t="s">
        <v>55</v>
      </c>
      <c r="H16199" t="s">
        <v>45</v>
      </c>
      <c r="I16199" t="s">
        <v>2193</v>
      </c>
      <c r="J16199" s="10">
        <v>0</v>
      </c>
      <c r="K16199" t="b">
        <v>1</v>
      </c>
    </row>
    <row r="16200" spans="1:11">
      <c r="A16200" s="12">
        <v>43665</v>
      </c>
      <c r="B16200">
        <v>2019</v>
      </c>
      <c r="C16200">
        <v>7</v>
      </c>
      <c r="D16200" s="11">
        <v>43647</v>
      </c>
      <c r="E16200" t="s">
        <v>2179</v>
      </c>
      <c r="F16200">
        <v>5</v>
      </c>
      <c r="G16200" t="s">
        <v>55</v>
      </c>
      <c r="H16200" t="s">
        <v>46</v>
      </c>
      <c r="I16200" t="s">
        <v>2194</v>
      </c>
      <c r="J16200" s="10">
        <v>3</v>
      </c>
      <c r="K16200" t="b">
        <v>1</v>
      </c>
    </row>
    <row r="16201" spans="1:11">
      <c r="A16201" s="12">
        <v>43665</v>
      </c>
      <c r="B16201">
        <v>2019</v>
      </c>
      <c r="C16201">
        <v>7</v>
      </c>
      <c r="D16201" s="11">
        <v>43647</v>
      </c>
      <c r="E16201" t="s">
        <v>2179</v>
      </c>
      <c r="F16201">
        <v>5</v>
      </c>
      <c r="G16201" t="s">
        <v>55</v>
      </c>
      <c r="H16201" t="s">
        <v>47</v>
      </c>
      <c r="I16201" t="s">
        <v>2195</v>
      </c>
      <c r="J16201" s="10">
        <v>7</v>
      </c>
      <c r="K16201" t="b">
        <v>1</v>
      </c>
    </row>
    <row r="16202" spans="1:11">
      <c r="A16202" s="12">
        <v>43666</v>
      </c>
      <c r="B16202">
        <v>2019</v>
      </c>
      <c r="C16202">
        <v>7</v>
      </c>
      <c r="D16202" s="11">
        <v>43647</v>
      </c>
      <c r="E16202" t="s">
        <v>2179</v>
      </c>
      <c r="F16202">
        <v>6</v>
      </c>
      <c r="G16202" t="s">
        <v>57</v>
      </c>
      <c r="H16202" t="s">
        <v>40</v>
      </c>
      <c r="I16202" t="s">
        <v>2188</v>
      </c>
      <c r="J16202" s="10">
        <v>4.34</v>
      </c>
      <c r="K16202" t="b">
        <v>1</v>
      </c>
    </row>
    <row r="16203" spans="1:11">
      <c r="A16203" s="12">
        <v>43666</v>
      </c>
      <c r="B16203">
        <v>2019</v>
      </c>
      <c r="C16203">
        <v>7</v>
      </c>
      <c r="D16203" s="11">
        <v>43647</v>
      </c>
      <c r="E16203" t="s">
        <v>2179</v>
      </c>
      <c r="F16203">
        <v>6</v>
      </c>
      <c r="G16203" t="s">
        <v>57</v>
      </c>
      <c r="H16203" t="s">
        <v>41</v>
      </c>
      <c r="I16203" t="s">
        <v>2189</v>
      </c>
      <c r="J16203" s="10">
        <v>4.449</v>
      </c>
      <c r="K16203" t="b">
        <v>1</v>
      </c>
    </row>
    <row r="16204" spans="1:11">
      <c r="A16204" s="12">
        <v>43666</v>
      </c>
      <c r="B16204">
        <v>2019</v>
      </c>
      <c r="C16204">
        <v>7</v>
      </c>
      <c r="D16204" s="11">
        <v>43647</v>
      </c>
      <c r="E16204" t="s">
        <v>2179</v>
      </c>
      <c r="F16204">
        <v>6</v>
      </c>
      <c r="G16204" t="s">
        <v>57</v>
      </c>
      <c r="H16204" t="s">
        <v>42</v>
      </c>
      <c r="I16204" t="s">
        <v>2190</v>
      </c>
      <c r="J16204" s="10">
        <v>1</v>
      </c>
      <c r="K16204" t="b">
        <v>1</v>
      </c>
    </row>
    <row r="16205" spans="1:11">
      <c r="A16205" s="12">
        <v>43666</v>
      </c>
      <c r="B16205">
        <v>2019</v>
      </c>
      <c r="C16205">
        <v>7</v>
      </c>
      <c r="D16205" s="11">
        <v>43647</v>
      </c>
      <c r="E16205" t="s">
        <v>2179</v>
      </c>
      <c r="F16205">
        <v>6</v>
      </c>
      <c r="G16205" t="s">
        <v>57</v>
      </c>
      <c r="H16205" t="s">
        <v>43</v>
      </c>
      <c r="I16205" t="s">
        <v>2191</v>
      </c>
      <c r="J16205" s="10">
        <v>17.2</v>
      </c>
      <c r="K16205" t="b">
        <v>1</v>
      </c>
    </row>
    <row r="16206" spans="1:11">
      <c r="A16206" s="12">
        <v>43666</v>
      </c>
      <c r="B16206">
        <v>2019</v>
      </c>
      <c r="C16206">
        <v>7</v>
      </c>
      <c r="D16206" s="11">
        <v>43647</v>
      </c>
      <c r="E16206" t="s">
        <v>2179</v>
      </c>
      <c r="F16206">
        <v>6</v>
      </c>
      <c r="G16206" t="s">
        <v>57</v>
      </c>
      <c r="H16206" t="s">
        <v>44</v>
      </c>
      <c r="I16206" t="s">
        <v>2192</v>
      </c>
      <c r="J16206" s="10">
        <v>4</v>
      </c>
      <c r="K16206" t="b">
        <v>1</v>
      </c>
    </row>
    <row r="16207" spans="1:11">
      <c r="A16207" s="12">
        <v>43666</v>
      </c>
      <c r="B16207">
        <v>2019</v>
      </c>
      <c r="C16207">
        <v>7</v>
      </c>
      <c r="D16207" s="11">
        <v>43647</v>
      </c>
      <c r="E16207" t="s">
        <v>2179</v>
      </c>
      <c r="F16207">
        <v>6</v>
      </c>
      <c r="G16207" t="s">
        <v>57</v>
      </c>
      <c r="H16207" t="s">
        <v>45</v>
      </c>
      <c r="I16207" t="s">
        <v>2193</v>
      </c>
      <c r="J16207" s="10">
        <v>0</v>
      </c>
      <c r="K16207" t="b">
        <v>1</v>
      </c>
    </row>
    <row r="16208" spans="1:11">
      <c r="A16208" s="12">
        <v>43666</v>
      </c>
      <c r="B16208">
        <v>2019</v>
      </c>
      <c r="C16208">
        <v>7</v>
      </c>
      <c r="D16208" s="11">
        <v>43647</v>
      </c>
      <c r="E16208" t="s">
        <v>2179</v>
      </c>
      <c r="F16208">
        <v>6</v>
      </c>
      <c r="G16208" t="s">
        <v>57</v>
      </c>
      <c r="H16208" t="s">
        <v>46</v>
      </c>
      <c r="I16208" t="s">
        <v>2194</v>
      </c>
      <c r="J16208" s="10">
        <v>6</v>
      </c>
      <c r="K16208" t="b">
        <v>1</v>
      </c>
    </row>
    <row r="16209" spans="1:11">
      <c r="A16209" s="12">
        <v>43666</v>
      </c>
      <c r="B16209">
        <v>2019</v>
      </c>
      <c r="C16209">
        <v>7</v>
      </c>
      <c r="D16209" s="11">
        <v>43647</v>
      </c>
      <c r="E16209" t="s">
        <v>2179</v>
      </c>
      <c r="F16209">
        <v>6</v>
      </c>
      <c r="G16209" t="s">
        <v>57</v>
      </c>
      <c r="H16209" t="s">
        <v>47</v>
      </c>
      <c r="I16209" t="s">
        <v>2195</v>
      </c>
      <c r="J16209" s="10">
        <v>2</v>
      </c>
      <c r="K16209" t="b">
        <v>1</v>
      </c>
    </row>
    <row r="16210" spans="1:11">
      <c r="A16210" s="12">
        <v>43667</v>
      </c>
      <c r="B16210">
        <v>2019</v>
      </c>
      <c r="C16210">
        <v>7</v>
      </c>
      <c r="D16210" s="11">
        <v>43647</v>
      </c>
      <c r="E16210" t="s">
        <v>2179</v>
      </c>
      <c r="F16210">
        <v>7</v>
      </c>
      <c r="G16210" t="s">
        <v>59</v>
      </c>
      <c r="H16210" t="s">
        <v>40</v>
      </c>
      <c r="I16210" t="s">
        <v>2188</v>
      </c>
      <c r="J16210" s="10">
        <v>6.34</v>
      </c>
      <c r="K16210" t="b">
        <v>1</v>
      </c>
    </row>
    <row r="16211" spans="1:11">
      <c r="A16211" s="12">
        <v>43667</v>
      </c>
      <c r="B16211">
        <v>2019</v>
      </c>
      <c r="C16211">
        <v>7</v>
      </c>
      <c r="D16211" s="11">
        <v>43647</v>
      </c>
      <c r="E16211" t="s">
        <v>2179</v>
      </c>
      <c r="F16211">
        <v>7</v>
      </c>
      <c r="G16211" t="s">
        <v>59</v>
      </c>
      <c r="H16211" t="s">
        <v>41</v>
      </c>
      <c r="I16211" t="s">
        <v>2189</v>
      </c>
      <c r="J16211" s="10">
        <v>0.363</v>
      </c>
      <c r="K16211" t="b">
        <v>1</v>
      </c>
    </row>
    <row r="16212" spans="1:11">
      <c r="A16212" s="12">
        <v>43667</v>
      </c>
      <c r="B16212">
        <v>2019</v>
      </c>
      <c r="C16212">
        <v>7</v>
      </c>
      <c r="D16212" s="11">
        <v>43647</v>
      </c>
      <c r="E16212" t="s">
        <v>2179</v>
      </c>
      <c r="F16212">
        <v>7</v>
      </c>
      <c r="G16212" t="s">
        <v>59</v>
      </c>
      <c r="H16212" t="s">
        <v>42</v>
      </c>
      <c r="I16212" t="s">
        <v>2190</v>
      </c>
      <c r="J16212" s="10">
        <v>1.1</v>
      </c>
      <c r="K16212" t="b">
        <v>1</v>
      </c>
    </row>
    <row r="16213" spans="1:11">
      <c r="A16213" s="12">
        <v>43667</v>
      </c>
      <c r="B16213">
        <v>2019</v>
      </c>
      <c r="C16213">
        <v>7</v>
      </c>
      <c r="D16213" s="11">
        <v>43647</v>
      </c>
      <c r="E16213" t="s">
        <v>2179</v>
      </c>
      <c r="F16213">
        <v>7</v>
      </c>
      <c r="G16213" t="s">
        <v>59</v>
      </c>
      <c r="H16213" t="s">
        <v>43</v>
      </c>
      <c r="I16213" t="s">
        <v>2191</v>
      </c>
      <c r="J16213" s="10">
        <v>16</v>
      </c>
      <c r="K16213" t="b">
        <v>1</v>
      </c>
    </row>
    <row r="16214" spans="1:11">
      <c r="A16214" s="12">
        <v>43667</v>
      </c>
      <c r="B16214">
        <v>2019</v>
      </c>
      <c r="C16214">
        <v>7</v>
      </c>
      <c r="D16214" s="11">
        <v>43647</v>
      </c>
      <c r="E16214" t="s">
        <v>2179</v>
      </c>
      <c r="F16214">
        <v>7</v>
      </c>
      <c r="G16214" t="s">
        <v>59</v>
      </c>
      <c r="H16214" t="s">
        <v>44</v>
      </c>
      <c r="I16214" t="s">
        <v>2192</v>
      </c>
      <c r="J16214" s="10">
        <v>5</v>
      </c>
      <c r="K16214" t="b">
        <v>1</v>
      </c>
    </row>
    <row r="16215" spans="1:11">
      <c r="A16215" s="12">
        <v>43667</v>
      </c>
      <c r="B16215">
        <v>2019</v>
      </c>
      <c r="C16215">
        <v>7</v>
      </c>
      <c r="D16215" s="11">
        <v>43647</v>
      </c>
      <c r="E16215" t="s">
        <v>2179</v>
      </c>
      <c r="F16215">
        <v>7</v>
      </c>
      <c r="G16215" t="s">
        <v>59</v>
      </c>
      <c r="H16215" t="s">
        <v>45</v>
      </c>
      <c r="I16215" t="s">
        <v>2193</v>
      </c>
      <c r="J16215" s="10">
        <v>0</v>
      </c>
      <c r="K16215" t="b">
        <v>1</v>
      </c>
    </row>
    <row r="16216" spans="1:11">
      <c r="A16216" s="12">
        <v>43667</v>
      </c>
      <c r="B16216">
        <v>2019</v>
      </c>
      <c r="C16216">
        <v>7</v>
      </c>
      <c r="D16216" s="11">
        <v>43647</v>
      </c>
      <c r="E16216" t="s">
        <v>2179</v>
      </c>
      <c r="F16216">
        <v>7</v>
      </c>
      <c r="G16216" t="s">
        <v>59</v>
      </c>
      <c r="H16216" t="s">
        <v>46</v>
      </c>
      <c r="I16216" t="s">
        <v>2194</v>
      </c>
      <c r="J16216" s="10">
        <v>1</v>
      </c>
      <c r="K16216" t="b">
        <v>1</v>
      </c>
    </row>
    <row r="16217" spans="1:11">
      <c r="A16217" s="12">
        <v>43667</v>
      </c>
      <c r="B16217">
        <v>2019</v>
      </c>
      <c r="C16217">
        <v>7</v>
      </c>
      <c r="D16217" s="11">
        <v>43647</v>
      </c>
      <c r="E16217" t="s">
        <v>2179</v>
      </c>
      <c r="F16217">
        <v>7</v>
      </c>
      <c r="G16217" t="s">
        <v>59</v>
      </c>
      <c r="H16217" t="s">
        <v>47</v>
      </c>
      <c r="I16217" t="s">
        <v>2195</v>
      </c>
      <c r="J16217" s="10">
        <v>3</v>
      </c>
      <c r="K16217" t="b">
        <v>1</v>
      </c>
    </row>
    <row r="16218" spans="1:11">
      <c r="A16218" s="12">
        <v>43668</v>
      </c>
      <c r="B16218">
        <v>2019</v>
      </c>
      <c r="C16218">
        <v>7</v>
      </c>
      <c r="D16218" s="11">
        <v>43647</v>
      </c>
      <c r="E16218" t="s">
        <v>2179</v>
      </c>
      <c r="F16218">
        <v>1</v>
      </c>
      <c r="G16218" t="s">
        <v>61</v>
      </c>
      <c r="H16218" t="s">
        <v>40</v>
      </c>
      <c r="I16218" t="s">
        <v>2188</v>
      </c>
      <c r="J16218" s="10">
        <v>1</v>
      </c>
      <c r="K16218" t="b">
        <v>1</v>
      </c>
    </row>
    <row r="16219" spans="1:11">
      <c r="A16219" s="12">
        <v>43668</v>
      </c>
      <c r="B16219">
        <v>2019</v>
      </c>
      <c r="C16219">
        <v>7</v>
      </c>
      <c r="D16219" s="11">
        <v>43647</v>
      </c>
      <c r="E16219" t="s">
        <v>2179</v>
      </c>
      <c r="F16219">
        <v>1</v>
      </c>
      <c r="G16219" t="s">
        <v>61</v>
      </c>
      <c r="H16219" t="s">
        <v>41</v>
      </c>
      <c r="I16219" t="s">
        <v>2189</v>
      </c>
      <c r="J16219" s="10">
        <v>2.66</v>
      </c>
      <c r="K16219" t="b">
        <v>1</v>
      </c>
    </row>
    <row r="16220" spans="1:11">
      <c r="A16220" s="12">
        <v>43668</v>
      </c>
      <c r="B16220">
        <v>2019</v>
      </c>
      <c r="C16220">
        <v>7</v>
      </c>
      <c r="D16220" s="11">
        <v>43647</v>
      </c>
      <c r="E16220" t="s">
        <v>2179</v>
      </c>
      <c r="F16220">
        <v>1</v>
      </c>
      <c r="G16220" t="s">
        <v>61</v>
      </c>
      <c r="H16220" t="s">
        <v>42</v>
      </c>
      <c r="I16220" t="s">
        <v>2190</v>
      </c>
      <c r="J16220" s="10">
        <v>2</v>
      </c>
      <c r="K16220" t="b">
        <v>1</v>
      </c>
    </row>
    <row r="16221" spans="1:11">
      <c r="A16221" s="12">
        <v>43668</v>
      </c>
      <c r="B16221">
        <v>2019</v>
      </c>
      <c r="C16221">
        <v>7</v>
      </c>
      <c r="D16221" s="11">
        <v>43647</v>
      </c>
      <c r="E16221" t="s">
        <v>2179</v>
      </c>
      <c r="F16221">
        <v>1</v>
      </c>
      <c r="G16221" t="s">
        <v>61</v>
      </c>
      <c r="H16221" t="s">
        <v>43</v>
      </c>
      <c r="I16221" t="s">
        <v>2191</v>
      </c>
      <c r="J16221" s="10">
        <v>14.25</v>
      </c>
      <c r="K16221" t="b">
        <v>1</v>
      </c>
    </row>
    <row r="16222" spans="1:11">
      <c r="A16222" s="12">
        <v>43668</v>
      </c>
      <c r="B16222">
        <v>2019</v>
      </c>
      <c r="C16222">
        <v>7</v>
      </c>
      <c r="D16222" s="11">
        <v>43647</v>
      </c>
      <c r="E16222" t="s">
        <v>2179</v>
      </c>
      <c r="F16222">
        <v>1</v>
      </c>
      <c r="G16222" t="s">
        <v>61</v>
      </c>
      <c r="H16222" t="s">
        <v>44</v>
      </c>
      <c r="I16222" t="s">
        <v>2192</v>
      </c>
      <c r="J16222" s="10">
        <v>10</v>
      </c>
      <c r="K16222" t="b">
        <v>1</v>
      </c>
    </row>
    <row r="16223" spans="1:11">
      <c r="A16223" s="12">
        <v>43668</v>
      </c>
      <c r="B16223">
        <v>2019</v>
      </c>
      <c r="C16223">
        <v>7</v>
      </c>
      <c r="D16223" s="11">
        <v>43647</v>
      </c>
      <c r="E16223" t="s">
        <v>2179</v>
      </c>
      <c r="F16223">
        <v>1</v>
      </c>
      <c r="G16223" t="s">
        <v>61</v>
      </c>
      <c r="H16223" t="s">
        <v>45</v>
      </c>
      <c r="I16223" t="s">
        <v>2193</v>
      </c>
      <c r="J16223" s="10">
        <v>0</v>
      </c>
      <c r="K16223" t="b">
        <v>1</v>
      </c>
    </row>
    <row r="16224" spans="1:11">
      <c r="A16224" s="12">
        <v>43668</v>
      </c>
      <c r="B16224">
        <v>2019</v>
      </c>
      <c r="C16224">
        <v>7</v>
      </c>
      <c r="D16224" s="11">
        <v>43647</v>
      </c>
      <c r="E16224" t="s">
        <v>2179</v>
      </c>
      <c r="F16224">
        <v>1</v>
      </c>
      <c r="G16224" t="s">
        <v>61</v>
      </c>
      <c r="H16224" t="s">
        <v>46</v>
      </c>
      <c r="I16224" t="s">
        <v>2194</v>
      </c>
      <c r="J16224" s="10">
        <v>0</v>
      </c>
      <c r="K16224" t="b">
        <v>1</v>
      </c>
    </row>
    <row r="16225" spans="1:11">
      <c r="A16225" s="12">
        <v>43668</v>
      </c>
      <c r="B16225">
        <v>2019</v>
      </c>
      <c r="C16225">
        <v>7</v>
      </c>
      <c r="D16225" s="11">
        <v>43647</v>
      </c>
      <c r="E16225" t="s">
        <v>2179</v>
      </c>
      <c r="F16225">
        <v>1</v>
      </c>
      <c r="G16225" t="s">
        <v>61</v>
      </c>
      <c r="H16225" t="s">
        <v>47</v>
      </c>
      <c r="I16225" t="s">
        <v>2195</v>
      </c>
      <c r="J16225" s="10">
        <v>6</v>
      </c>
      <c r="K16225" t="b">
        <v>1</v>
      </c>
    </row>
    <row r="16226" spans="1:11">
      <c r="A16226" s="12">
        <v>43669</v>
      </c>
      <c r="B16226">
        <v>2019</v>
      </c>
      <c r="C16226">
        <v>7</v>
      </c>
      <c r="D16226" s="11">
        <v>43647</v>
      </c>
      <c r="E16226" t="s">
        <v>2179</v>
      </c>
      <c r="F16226">
        <v>2</v>
      </c>
      <c r="G16226" t="s">
        <v>63</v>
      </c>
      <c r="H16226" t="s">
        <v>40</v>
      </c>
      <c r="I16226" t="s">
        <v>2188</v>
      </c>
      <c r="J16226" s="10">
        <v>1.34</v>
      </c>
      <c r="K16226" t="b">
        <v>1</v>
      </c>
    </row>
    <row r="16227" spans="1:11">
      <c r="A16227" s="12">
        <v>43669</v>
      </c>
      <c r="B16227">
        <v>2019</v>
      </c>
      <c r="C16227">
        <v>7</v>
      </c>
      <c r="D16227" s="11">
        <v>43647</v>
      </c>
      <c r="E16227" t="s">
        <v>2179</v>
      </c>
      <c r="F16227">
        <v>2</v>
      </c>
      <c r="G16227" t="s">
        <v>63</v>
      </c>
      <c r="H16227" t="s">
        <v>41</v>
      </c>
      <c r="I16227" t="s">
        <v>2189</v>
      </c>
      <c r="J16227" s="10">
        <v>0.67</v>
      </c>
      <c r="K16227" t="b">
        <v>1</v>
      </c>
    </row>
    <row r="16228" spans="1:11">
      <c r="A16228" s="12">
        <v>43669</v>
      </c>
      <c r="B16228">
        <v>2019</v>
      </c>
      <c r="C16228">
        <v>7</v>
      </c>
      <c r="D16228" s="11">
        <v>43647</v>
      </c>
      <c r="E16228" t="s">
        <v>2179</v>
      </c>
      <c r="F16228">
        <v>2</v>
      </c>
      <c r="G16228" t="s">
        <v>63</v>
      </c>
      <c r="H16228" t="s">
        <v>42</v>
      </c>
      <c r="I16228" t="s">
        <v>2190</v>
      </c>
      <c r="J16228" s="10">
        <v>5.2</v>
      </c>
      <c r="K16228" t="b">
        <v>1</v>
      </c>
    </row>
    <row r="16229" spans="1:11">
      <c r="A16229" s="12">
        <v>43669</v>
      </c>
      <c r="B16229">
        <v>2019</v>
      </c>
      <c r="C16229">
        <v>7</v>
      </c>
      <c r="D16229" s="11">
        <v>43647</v>
      </c>
      <c r="E16229" t="s">
        <v>2179</v>
      </c>
      <c r="F16229">
        <v>2</v>
      </c>
      <c r="G16229" t="s">
        <v>63</v>
      </c>
      <c r="H16229" t="s">
        <v>43</v>
      </c>
      <c r="I16229" t="s">
        <v>2191</v>
      </c>
      <c r="J16229" s="10">
        <v>7.25</v>
      </c>
      <c r="K16229" t="b">
        <v>1</v>
      </c>
    </row>
    <row r="16230" spans="1:11">
      <c r="A16230" s="12">
        <v>43669</v>
      </c>
      <c r="B16230">
        <v>2019</v>
      </c>
      <c r="C16230">
        <v>7</v>
      </c>
      <c r="D16230" s="11">
        <v>43647</v>
      </c>
      <c r="E16230" t="s">
        <v>2179</v>
      </c>
      <c r="F16230">
        <v>2</v>
      </c>
      <c r="G16230" t="s">
        <v>63</v>
      </c>
      <c r="H16230" t="s">
        <v>44</v>
      </c>
      <c r="I16230" t="s">
        <v>2192</v>
      </c>
      <c r="J16230" s="10">
        <v>11</v>
      </c>
      <c r="K16230" t="b">
        <v>1</v>
      </c>
    </row>
    <row r="16231" spans="1:11">
      <c r="A16231" s="12">
        <v>43669</v>
      </c>
      <c r="B16231">
        <v>2019</v>
      </c>
      <c r="C16231">
        <v>7</v>
      </c>
      <c r="D16231" s="11">
        <v>43647</v>
      </c>
      <c r="E16231" t="s">
        <v>2179</v>
      </c>
      <c r="F16231">
        <v>2</v>
      </c>
      <c r="G16231" t="s">
        <v>63</v>
      </c>
      <c r="H16231" t="s">
        <v>45</v>
      </c>
      <c r="I16231" t="s">
        <v>2193</v>
      </c>
      <c r="J16231" s="10">
        <v>0</v>
      </c>
      <c r="K16231" t="b">
        <v>1</v>
      </c>
    </row>
    <row r="16232" spans="1:11">
      <c r="A16232" s="12">
        <v>43669</v>
      </c>
      <c r="B16232">
        <v>2019</v>
      </c>
      <c r="C16232">
        <v>7</v>
      </c>
      <c r="D16232" s="11">
        <v>43647</v>
      </c>
      <c r="E16232" t="s">
        <v>2179</v>
      </c>
      <c r="F16232">
        <v>2</v>
      </c>
      <c r="G16232" t="s">
        <v>63</v>
      </c>
      <c r="H16232" t="s">
        <v>46</v>
      </c>
      <c r="I16232" t="s">
        <v>2194</v>
      </c>
      <c r="J16232" s="10">
        <v>7</v>
      </c>
      <c r="K16232" t="b">
        <v>1</v>
      </c>
    </row>
    <row r="16233" spans="1:11">
      <c r="A16233" s="12">
        <v>43669</v>
      </c>
      <c r="B16233">
        <v>2019</v>
      </c>
      <c r="C16233">
        <v>7</v>
      </c>
      <c r="D16233" s="11">
        <v>43647</v>
      </c>
      <c r="E16233" t="s">
        <v>2179</v>
      </c>
      <c r="F16233">
        <v>2</v>
      </c>
      <c r="G16233" t="s">
        <v>63</v>
      </c>
      <c r="H16233" t="s">
        <v>47</v>
      </c>
      <c r="I16233" t="s">
        <v>2195</v>
      </c>
      <c r="J16233" s="10">
        <v>2.4</v>
      </c>
      <c r="K16233" t="b">
        <v>1</v>
      </c>
    </row>
    <row r="16234" spans="1:11">
      <c r="A16234" s="12">
        <v>43670</v>
      </c>
      <c r="B16234">
        <v>2019</v>
      </c>
      <c r="C16234">
        <v>7</v>
      </c>
      <c r="D16234" s="11">
        <v>43647</v>
      </c>
      <c r="E16234" t="s">
        <v>2179</v>
      </c>
      <c r="F16234">
        <v>3</v>
      </c>
      <c r="G16234" t="s">
        <v>65</v>
      </c>
      <c r="H16234" t="s">
        <v>40</v>
      </c>
      <c r="I16234" t="s">
        <v>2188</v>
      </c>
      <c r="J16234" s="10">
        <v>8</v>
      </c>
      <c r="K16234" t="b">
        <v>1</v>
      </c>
    </row>
    <row r="16235" spans="1:11">
      <c r="A16235" s="12">
        <v>43670</v>
      </c>
      <c r="B16235">
        <v>2019</v>
      </c>
      <c r="C16235">
        <v>7</v>
      </c>
      <c r="D16235" s="11">
        <v>43647</v>
      </c>
      <c r="E16235" t="s">
        <v>2179</v>
      </c>
      <c r="F16235">
        <v>3</v>
      </c>
      <c r="G16235" t="s">
        <v>65</v>
      </c>
      <c r="H16235" t="s">
        <v>41</v>
      </c>
      <c r="I16235" t="s">
        <v>2189</v>
      </c>
      <c r="J16235" s="10">
        <v>3.769</v>
      </c>
      <c r="K16235" t="b">
        <v>1</v>
      </c>
    </row>
    <row r="16236" spans="1:11">
      <c r="A16236" s="12">
        <v>43670</v>
      </c>
      <c r="B16236">
        <v>2019</v>
      </c>
      <c r="C16236">
        <v>7</v>
      </c>
      <c r="D16236" s="11">
        <v>43647</v>
      </c>
      <c r="E16236" t="s">
        <v>2179</v>
      </c>
      <c r="F16236">
        <v>3</v>
      </c>
      <c r="G16236" t="s">
        <v>65</v>
      </c>
      <c r="H16236" t="s">
        <v>42</v>
      </c>
      <c r="I16236" t="s">
        <v>2190</v>
      </c>
      <c r="J16236" s="10">
        <v>2</v>
      </c>
      <c r="K16236" t="b">
        <v>1</v>
      </c>
    </row>
    <row r="16237" spans="1:11">
      <c r="A16237" s="12">
        <v>43670</v>
      </c>
      <c r="B16237">
        <v>2019</v>
      </c>
      <c r="C16237">
        <v>7</v>
      </c>
      <c r="D16237" s="11">
        <v>43647</v>
      </c>
      <c r="E16237" t="s">
        <v>2179</v>
      </c>
      <c r="F16237">
        <v>3</v>
      </c>
      <c r="G16237" t="s">
        <v>65</v>
      </c>
      <c r="H16237" t="s">
        <v>43</v>
      </c>
      <c r="I16237" t="s">
        <v>2191</v>
      </c>
      <c r="J16237" s="10">
        <v>30.875</v>
      </c>
      <c r="K16237" t="b">
        <v>1</v>
      </c>
    </row>
    <row r="16238" spans="1:11">
      <c r="A16238" s="12">
        <v>43670</v>
      </c>
      <c r="B16238">
        <v>2019</v>
      </c>
      <c r="C16238">
        <v>7</v>
      </c>
      <c r="D16238" s="11">
        <v>43647</v>
      </c>
      <c r="E16238" t="s">
        <v>2179</v>
      </c>
      <c r="F16238">
        <v>3</v>
      </c>
      <c r="G16238" t="s">
        <v>65</v>
      </c>
      <c r="H16238" t="s">
        <v>44</v>
      </c>
      <c r="I16238" t="s">
        <v>2192</v>
      </c>
      <c r="J16238" s="10">
        <v>19</v>
      </c>
      <c r="K16238" t="b">
        <v>1</v>
      </c>
    </row>
    <row r="16239" spans="1:11">
      <c r="A16239" s="12">
        <v>43670</v>
      </c>
      <c r="B16239">
        <v>2019</v>
      </c>
      <c r="C16239">
        <v>7</v>
      </c>
      <c r="D16239" s="11">
        <v>43647</v>
      </c>
      <c r="E16239" t="s">
        <v>2179</v>
      </c>
      <c r="F16239">
        <v>3</v>
      </c>
      <c r="G16239" t="s">
        <v>65</v>
      </c>
      <c r="H16239" t="s">
        <v>45</v>
      </c>
      <c r="I16239" t="s">
        <v>2193</v>
      </c>
      <c r="J16239" s="10">
        <v>0</v>
      </c>
      <c r="K16239" t="b">
        <v>1</v>
      </c>
    </row>
    <row r="16240" spans="1:11">
      <c r="A16240" s="12">
        <v>43670</v>
      </c>
      <c r="B16240">
        <v>2019</v>
      </c>
      <c r="C16240">
        <v>7</v>
      </c>
      <c r="D16240" s="11">
        <v>43647</v>
      </c>
      <c r="E16240" t="s">
        <v>2179</v>
      </c>
      <c r="F16240">
        <v>3</v>
      </c>
      <c r="G16240" t="s">
        <v>65</v>
      </c>
      <c r="H16240" t="s">
        <v>46</v>
      </c>
      <c r="I16240" t="s">
        <v>2194</v>
      </c>
      <c r="J16240" s="10">
        <v>2</v>
      </c>
      <c r="K16240" t="b">
        <v>1</v>
      </c>
    </row>
    <row r="16241" spans="1:11">
      <c r="A16241" s="12">
        <v>43670</v>
      </c>
      <c r="B16241">
        <v>2019</v>
      </c>
      <c r="C16241">
        <v>7</v>
      </c>
      <c r="D16241" s="11">
        <v>43647</v>
      </c>
      <c r="E16241" t="s">
        <v>2179</v>
      </c>
      <c r="F16241">
        <v>3</v>
      </c>
      <c r="G16241" t="s">
        <v>65</v>
      </c>
      <c r="H16241" t="s">
        <v>47</v>
      </c>
      <c r="I16241" t="s">
        <v>2195</v>
      </c>
      <c r="J16241" s="10">
        <v>1</v>
      </c>
      <c r="K16241" t="b">
        <v>1</v>
      </c>
    </row>
    <row r="16242" spans="1:11">
      <c r="A16242" s="12">
        <v>43671</v>
      </c>
      <c r="B16242">
        <v>2019</v>
      </c>
      <c r="C16242">
        <v>7</v>
      </c>
      <c r="D16242" s="11">
        <v>43647</v>
      </c>
      <c r="E16242" t="s">
        <v>2179</v>
      </c>
      <c r="F16242">
        <v>4</v>
      </c>
      <c r="G16242" t="s">
        <v>53</v>
      </c>
      <c r="H16242" t="s">
        <v>40</v>
      </c>
      <c r="I16242" t="s">
        <v>2188</v>
      </c>
      <c r="J16242" s="10">
        <v>6</v>
      </c>
      <c r="K16242" t="b">
        <v>1</v>
      </c>
    </row>
    <row r="16243" spans="1:11">
      <c r="A16243" s="12">
        <v>43671</v>
      </c>
      <c r="B16243">
        <v>2019</v>
      </c>
      <c r="C16243">
        <v>7</v>
      </c>
      <c r="D16243" s="11">
        <v>43647</v>
      </c>
      <c r="E16243" t="s">
        <v>2179</v>
      </c>
      <c r="F16243">
        <v>4</v>
      </c>
      <c r="G16243" t="s">
        <v>53</v>
      </c>
      <c r="H16243" t="s">
        <v>41</v>
      </c>
      <c r="I16243" t="s">
        <v>2189</v>
      </c>
      <c r="J16243" s="10">
        <v>7</v>
      </c>
      <c r="K16243" t="b">
        <v>1</v>
      </c>
    </row>
    <row r="16244" spans="1:11">
      <c r="A16244" s="12">
        <v>43671</v>
      </c>
      <c r="B16244">
        <v>2019</v>
      </c>
      <c r="C16244">
        <v>7</v>
      </c>
      <c r="D16244" s="11">
        <v>43647</v>
      </c>
      <c r="E16244" t="s">
        <v>2179</v>
      </c>
      <c r="F16244">
        <v>4</v>
      </c>
      <c r="G16244" t="s">
        <v>53</v>
      </c>
      <c r="H16244" t="s">
        <v>42</v>
      </c>
      <c r="I16244" t="s">
        <v>2190</v>
      </c>
      <c r="J16244" s="10">
        <v>5</v>
      </c>
      <c r="K16244" t="b">
        <v>1</v>
      </c>
    </row>
    <row r="16245" spans="1:11">
      <c r="A16245" s="12">
        <v>43671</v>
      </c>
      <c r="B16245">
        <v>2019</v>
      </c>
      <c r="C16245">
        <v>7</v>
      </c>
      <c r="D16245" s="11">
        <v>43647</v>
      </c>
      <c r="E16245" t="s">
        <v>2179</v>
      </c>
      <c r="F16245">
        <v>4</v>
      </c>
      <c r="G16245" t="s">
        <v>53</v>
      </c>
      <c r="H16245" t="s">
        <v>43</v>
      </c>
      <c r="I16245" t="s">
        <v>2191</v>
      </c>
      <c r="J16245" s="10">
        <v>20</v>
      </c>
      <c r="K16245" t="b">
        <v>1</v>
      </c>
    </row>
    <row r="16246" spans="1:11">
      <c r="A16246" s="12">
        <v>43671</v>
      </c>
      <c r="B16246">
        <v>2019</v>
      </c>
      <c r="C16246">
        <v>7</v>
      </c>
      <c r="D16246" s="11">
        <v>43647</v>
      </c>
      <c r="E16246" t="s">
        <v>2179</v>
      </c>
      <c r="F16246">
        <v>4</v>
      </c>
      <c r="G16246" t="s">
        <v>53</v>
      </c>
      <c r="H16246" t="s">
        <v>44</v>
      </c>
      <c r="I16246" t="s">
        <v>2192</v>
      </c>
      <c r="J16246" s="10">
        <v>9</v>
      </c>
      <c r="K16246" t="b">
        <v>1</v>
      </c>
    </row>
    <row r="16247" spans="1:11">
      <c r="A16247" s="12">
        <v>43671</v>
      </c>
      <c r="B16247">
        <v>2019</v>
      </c>
      <c r="C16247">
        <v>7</v>
      </c>
      <c r="D16247" s="11">
        <v>43647</v>
      </c>
      <c r="E16247" t="s">
        <v>2179</v>
      </c>
      <c r="F16247">
        <v>4</v>
      </c>
      <c r="G16247" t="s">
        <v>53</v>
      </c>
      <c r="H16247" t="s">
        <v>45</v>
      </c>
      <c r="I16247" t="s">
        <v>2193</v>
      </c>
      <c r="J16247" s="10">
        <v>1</v>
      </c>
      <c r="K16247" t="b">
        <v>1</v>
      </c>
    </row>
    <row r="16248" spans="1:11">
      <c r="A16248" s="12">
        <v>43671</v>
      </c>
      <c r="B16248">
        <v>2019</v>
      </c>
      <c r="C16248">
        <v>7</v>
      </c>
      <c r="D16248" s="11">
        <v>43647</v>
      </c>
      <c r="E16248" t="s">
        <v>2179</v>
      </c>
      <c r="F16248">
        <v>4</v>
      </c>
      <c r="G16248" t="s">
        <v>53</v>
      </c>
      <c r="H16248" t="s">
        <v>46</v>
      </c>
      <c r="I16248" t="s">
        <v>2194</v>
      </c>
      <c r="J16248" s="10">
        <v>11</v>
      </c>
      <c r="K16248" t="b">
        <v>1</v>
      </c>
    </row>
    <row r="16249" spans="1:11">
      <c r="A16249" s="12">
        <v>43671</v>
      </c>
      <c r="B16249">
        <v>2019</v>
      </c>
      <c r="C16249">
        <v>7</v>
      </c>
      <c r="D16249" s="11">
        <v>43647</v>
      </c>
      <c r="E16249" t="s">
        <v>2179</v>
      </c>
      <c r="F16249">
        <v>4</v>
      </c>
      <c r="G16249" t="s">
        <v>53</v>
      </c>
      <c r="H16249" t="s">
        <v>47</v>
      </c>
      <c r="I16249" t="s">
        <v>2195</v>
      </c>
      <c r="J16249" s="10">
        <v>2</v>
      </c>
      <c r="K16249" t="b">
        <v>1</v>
      </c>
    </row>
    <row r="16250" spans="1:11">
      <c r="A16250" s="12">
        <v>43672</v>
      </c>
      <c r="B16250">
        <v>2019</v>
      </c>
      <c r="C16250">
        <v>7</v>
      </c>
      <c r="D16250" s="11">
        <v>43647</v>
      </c>
      <c r="E16250" t="s">
        <v>2179</v>
      </c>
      <c r="F16250">
        <v>5</v>
      </c>
      <c r="G16250" t="s">
        <v>55</v>
      </c>
      <c r="H16250" t="s">
        <v>40</v>
      </c>
      <c r="I16250" t="s">
        <v>2188</v>
      </c>
      <c r="J16250" s="10">
        <v>12.5</v>
      </c>
      <c r="K16250" t="b">
        <v>1</v>
      </c>
    </row>
    <row r="16251" spans="1:11">
      <c r="A16251" s="12">
        <v>43672</v>
      </c>
      <c r="B16251">
        <v>2019</v>
      </c>
      <c r="C16251">
        <v>7</v>
      </c>
      <c r="D16251" s="11">
        <v>43647</v>
      </c>
      <c r="E16251" t="s">
        <v>2179</v>
      </c>
      <c r="F16251">
        <v>5</v>
      </c>
      <c r="G16251" t="s">
        <v>55</v>
      </c>
      <c r="H16251" t="s">
        <v>41</v>
      </c>
      <c r="I16251" t="s">
        <v>2189</v>
      </c>
      <c r="J16251" s="10">
        <v>4</v>
      </c>
      <c r="K16251" t="b">
        <v>1</v>
      </c>
    </row>
    <row r="16252" spans="1:11">
      <c r="A16252" s="12">
        <v>43672</v>
      </c>
      <c r="B16252">
        <v>2019</v>
      </c>
      <c r="C16252">
        <v>7</v>
      </c>
      <c r="D16252" s="11">
        <v>43647</v>
      </c>
      <c r="E16252" t="s">
        <v>2179</v>
      </c>
      <c r="F16252">
        <v>5</v>
      </c>
      <c r="G16252" t="s">
        <v>55</v>
      </c>
      <c r="H16252" t="s">
        <v>42</v>
      </c>
      <c r="I16252" t="s">
        <v>2190</v>
      </c>
      <c r="J16252" s="10">
        <v>0.1</v>
      </c>
      <c r="K16252" t="b">
        <v>1</v>
      </c>
    </row>
    <row r="16253" spans="1:11">
      <c r="A16253" s="12">
        <v>43672</v>
      </c>
      <c r="B16253">
        <v>2019</v>
      </c>
      <c r="C16253">
        <v>7</v>
      </c>
      <c r="D16253" s="11">
        <v>43647</v>
      </c>
      <c r="E16253" t="s">
        <v>2179</v>
      </c>
      <c r="F16253">
        <v>5</v>
      </c>
      <c r="G16253" t="s">
        <v>55</v>
      </c>
      <c r="H16253" t="s">
        <v>43</v>
      </c>
      <c r="I16253" t="s">
        <v>2191</v>
      </c>
      <c r="J16253" s="10">
        <v>17</v>
      </c>
      <c r="K16253" t="b">
        <v>1</v>
      </c>
    </row>
    <row r="16254" spans="1:11">
      <c r="A16254" s="12">
        <v>43672</v>
      </c>
      <c r="B16254">
        <v>2019</v>
      </c>
      <c r="C16254">
        <v>7</v>
      </c>
      <c r="D16254" s="11">
        <v>43647</v>
      </c>
      <c r="E16254" t="s">
        <v>2179</v>
      </c>
      <c r="F16254">
        <v>5</v>
      </c>
      <c r="G16254" t="s">
        <v>55</v>
      </c>
      <c r="H16254" t="s">
        <v>44</v>
      </c>
      <c r="I16254" t="s">
        <v>2192</v>
      </c>
      <c r="J16254" s="10">
        <v>12</v>
      </c>
      <c r="K16254" t="b">
        <v>1</v>
      </c>
    </row>
    <row r="16255" spans="1:11">
      <c r="A16255" s="12">
        <v>43672</v>
      </c>
      <c r="B16255">
        <v>2019</v>
      </c>
      <c r="C16255">
        <v>7</v>
      </c>
      <c r="D16255" s="11">
        <v>43647</v>
      </c>
      <c r="E16255" t="s">
        <v>2179</v>
      </c>
      <c r="F16255">
        <v>5</v>
      </c>
      <c r="G16255" t="s">
        <v>55</v>
      </c>
      <c r="H16255" t="s">
        <v>45</v>
      </c>
      <c r="I16255" t="s">
        <v>2193</v>
      </c>
      <c r="J16255" s="10">
        <v>0</v>
      </c>
      <c r="K16255" t="b">
        <v>1</v>
      </c>
    </row>
    <row r="16256" spans="1:11">
      <c r="A16256" s="12">
        <v>43672</v>
      </c>
      <c r="B16256">
        <v>2019</v>
      </c>
      <c r="C16256">
        <v>7</v>
      </c>
      <c r="D16256" s="11">
        <v>43647</v>
      </c>
      <c r="E16256" t="s">
        <v>2179</v>
      </c>
      <c r="F16256">
        <v>5</v>
      </c>
      <c r="G16256" t="s">
        <v>55</v>
      </c>
      <c r="H16256" t="s">
        <v>46</v>
      </c>
      <c r="I16256" t="s">
        <v>2194</v>
      </c>
      <c r="J16256" s="10">
        <v>8</v>
      </c>
      <c r="K16256" t="b">
        <v>1</v>
      </c>
    </row>
    <row r="16257" spans="1:11">
      <c r="A16257" s="12">
        <v>43672</v>
      </c>
      <c r="B16257">
        <v>2019</v>
      </c>
      <c r="C16257">
        <v>7</v>
      </c>
      <c r="D16257" s="11">
        <v>43647</v>
      </c>
      <c r="E16257" t="s">
        <v>2179</v>
      </c>
      <c r="F16257">
        <v>5</v>
      </c>
      <c r="G16257" t="s">
        <v>55</v>
      </c>
      <c r="H16257" t="s">
        <v>47</v>
      </c>
      <c r="I16257" t="s">
        <v>2195</v>
      </c>
      <c r="J16257" s="10">
        <v>3</v>
      </c>
      <c r="K16257" t="b">
        <v>1</v>
      </c>
    </row>
    <row r="16258" spans="1:11">
      <c r="A16258" s="12">
        <v>43673</v>
      </c>
      <c r="B16258">
        <v>2019</v>
      </c>
      <c r="C16258">
        <v>7</v>
      </c>
      <c r="D16258" s="11">
        <v>43647</v>
      </c>
      <c r="E16258" t="s">
        <v>2179</v>
      </c>
      <c r="F16258">
        <v>6</v>
      </c>
      <c r="G16258" t="s">
        <v>57</v>
      </c>
      <c r="H16258" t="s">
        <v>40</v>
      </c>
      <c r="I16258" t="s">
        <v>2188</v>
      </c>
      <c r="J16258" s="10">
        <v>3.34</v>
      </c>
      <c r="K16258" t="b">
        <v>1</v>
      </c>
    </row>
    <row r="16259" spans="1:11">
      <c r="A16259" s="12">
        <v>43673</v>
      </c>
      <c r="B16259">
        <v>2019</v>
      </c>
      <c r="C16259">
        <v>7</v>
      </c>
      <c r="D16259" s="11">
        <v>43647</v>
      </c>
      <c r="E16259" t="s">
        <v>2179</v>
      </c>
      <c r="F16259">
        <v>6</v>
      </c>
      <c r="G16259" t="s">
        <v>57</v>
      </c>
      <c r="H16259" t="s">
        <v>41</v>
      </c>
      <c r="I16259" t="s">
        <v>2189</v>
      </c>
      <c r="J16259" s="10">
        <v>0</v>
      </c>
      <c r="K16259" t="b">
        <v>1</v>
      </c>
    </row>
    <row r="16260" spans="1:11">
      <c r="A16260" s="12">
        <v>43673</v>
      </c>
      <c r="B16260">
        <v>2019</v>
      </c>
      <c r="C16260">
        <v>7</v>
      </c>
      <c r="D16260" s="11">
        <v>43647</v>
      </c>
      <c r="E16260" t="s">
        <v>2179</v>
      </c>
      <c r="F16260">
        <v>6</v>
      </c>
      <c r="G16260" t="s">
        <v>57</v>
      </c>
      <c r="H16260" t="s">
        <v>42</v>
      </c>
      <c r="I16260" t="s">
        <v>2190</v>
      </c>
      <c r="J16260" s="10">
        <v>1</v>
      </c>
      <c r="K16260" t="b">
        <v>1</v>
      </c>
    </row>
    <row r="16261" spans="1:11">
      <c r="A16261" s="12">
        <v>43673</v>
      </c>
      <c r="B16261">
        <v>2019</v>
      </c>
      <c r="C16261">
        <v>7</v>
      </c>
      <c r="D16261" s="11">
        <v>43647</v>
      </c>
      <c r="E16261" t="s">
        <v>2179</v>
      </c>
      <c r="F16261">
        <v>6</v>
      </c>
      <c r="G16261" t="s">
        <v>57</v>
      </c>
      <c r="H16261" t="s">
        <v>43</v>
      </c>
      <c r="I16261" t="s">
        <v>2191</v>
      </c>
      <c r="J16261" s="10">
        <v>22</v>
      </c>
      <c r="K16261" t="b">
        <v>1</v>
      </c>
    </row>
    <row r="16262" spans="1:11">
      <c r="A16262" s="12">
        <v>43673</v>
      </c>
      <c r="B16262">
        <v>2019</v>
      </c>
      <c r="C16262">
        <v>7</v>
      </c>
      <c r="D16262" s="11">
        <v>43647</v>
      </c>
      <c r="E16262" t="s">
        <v>2179</v>
      </c>
      <c r="F16262">
        <v>6</v>
      </c>
      <c r="G16262" t="s">
        <v>57</v>
      </c>
      <c r="H16262" t="s">
        <v>44</v>
      </c>
      <c r="I16262" t="s">
        <v>2192</v>
      </c>
      <c r="J16262" s="10">
        <v>6</v>
      </c>
      <c r="K16262" t="b">
        <v>1</v>
      </c>
    </row>
    <row r="16263" spans="1:11">
      <c r="A16263" s="12">
        <v>43673</v>
      </c>
      <c r="B16263">
        <v>2019</v>
      </c>
      <c r="C16263">
        <v>7</v>
      </c>
      <c r="D16263" s="11">
        <v>43647</v>
      </c>
      <c r="E16263" t="s">
        <v>2179</v>
      </c>
      <c r="F16263">
        <v>6</v>
      </c>
      <c r="G16263" t="s">
        <v>57</v>
      </c>
      <c r="H16263" t="s">
        <v>45</v>
      </c>
      <c r="I16263" t="s">
        <v>2193</v>
      </c>
      <c r="J16263" s="10">
        <v>3</v>
      </c>
      <c r="K16263" t="b">
        <v>1</v>
      </c>
    </row>
    <row r="16264" spans="1:11">
      <c r="A16264" s="12">
        <v>43673</v>
      </c>
      <c r="B16264">
        <v>2019</v>
      </c>
      <c r="C16264">
        <v>7</v>
      </c>
      <c r="D16264" s="11">
        <v>43647</v>
      </c>
      <c r="E16264" t="s">
        <v>2179</v>
      </c>
      <c r="F16264">
        <v>6</v>
      </c>
      <c r="G16264" t="s">
        <v>57</v>
      </c>
      <c r="H16264" t="s">
        <v>46</v>
      </c>
      <c r="I16264" t="s">
        <v>2194</v>
      </c>
      <c r="J16264" s="10">
        <v>2</v>
      </c>
      <c r="K16264" t="b">
        <v>1</v>
      </c>
    </row>
    <row r="16265" spans="1:11">
      <c r="A16265" s="12">
        <v>43673</v>
      </c>
      <c r="B16265">
        <v>2019</v>
      </c>
      <c r="C16265">
        <v>7</v>
      </c>
      <c r="D16265" s="11">
        <v>43647</v>
      </c>
      <c r="E16265" t="s">
        <v>2179</v>
      </c>
      <c r="F16265">
        <v>6</v>
      </c>
      <c r="G16265" t="s">
        <v>57</v>
      </c>
      <c r="H16265" t="s">
        <v>47</v>
      </c>
      <c r="I16265" t="s">
        <v>2195</v>
      </c>
      <c r="J16265" s="10">
        <v>3.4</v>
      </c>
      <c r="K16265" t="b">
        <v>1</v>
      </c>
    </row>
    <row r="16266" spans="1:11">
      <c r="A16266" s="12">
        <v>43674</v>
      </c>
      <c r="B16266">
        <v>2019</v>
      </c>
      <c r="C16266">
        <v>7</v>
      </c>
      <c r="D16266" s="11">
        <v>43647</v>
      </c>
      <c r="E16266" t="s">
        <v>2179</v>
      </c>
      <c r="F16266">
        <v>7</v>
      </c>
      <c r="G16266" t="s">
        <v>59</v>
      </c>
      <c r="H16266" t="s">
        <v>40</v>
      </c>
      <c r="I16266" t="s">
        <v>2188</v>
      </c>
      <c r="J16266" s="10">
        <v>4.34</v>
      </c>
      <c r="K16266" t="b">
        <v>1</v>
      </c>
    </row>
    <row r="16267" spans="1:11">
      <c r="A16267" s="12">
        <v>43674</v>
      </c>
      <c r="B16267">
        <v>2019</v>
      </c>
      <c r="C16267">
        <v>7</v>
      </c>
      <c r="D16267" s="11">
        <v>43647</v>
      </c>
      <c r="E16267" t="s">
        <v>2179</v>
      </c>
      <c r="F16267">
        <v>7</v>
      </c>
      <c r="G16267" t="s">
        <v>59</v>
      </c>
      <c r="H16267" t="s">
        <v>41</v>
      </c>
      <c r="I16267" t="s">
        <v>2189</v>
      </c>
      <c r="J16267" s="10">
        <v>1.34</v>
      </c>
      <c r="K16267" t="b">
        <v>1</v>
      </c>
    </row>
    <row r="16268" spans="1:11">
      <c r="A16268" s="12">
        <v>43674</v>
      </c>
      <c r="B16268">
        <v>2019</v>
      </c>
      <c r="C16268">
        <v>7</v>
      </c>
      <c r="D16268" s="11">
        <v>43647</v>
      </c>
      <c r="E16268" t="s">
        <v>2179</v>
      </c>
      <c r="F16268">
        <v>7</v>
      </c>
      <c r="G16268" t="s">
        <v>59</v>
      </c>
      <c r="H16268" t="s">
        <v>42</v>
      </c>
      <c r="I16268" t="s">
        <v>2190</v>
      </c>
      <c r="J16268" s="10">
        <v>4</v>
      </c>
      <c r="K16268" t="b">
        <v>1</v>
      </c>
    </row>
    <row r="16269" spans="1:11">
      <c r="A16269" s="12">
        <v>43674</v>
      </c>
      <c r="B16269">
        <v>2019</v>
      </c>
      <c r="C16269">
        <v>7</v>
      </c>
      <c r="D16269" s="11">
        <v>43647</v>
      </c>
      <c r="E16269" t="s">
        <v>2179</v>
      </c>
      <c r="F16269">
        <v>7</v>
      </c>
      <c r="G16269" t="s">
        <v>59</v>
      </c>
      <c r="H16269" t="s">
        <v>43</v>
      </c>
      <c r="I16269" t="s">
        <v>2191</v>
      </c>
      <c r="J16269" s="10">
        <v>13</v>
      </c>
      <c r="K16269" t="b">
        <v>1</v>
      </c>
    </row>
    <row r="16270" spans="1:11">
      <c r="A16270" s="12">
        <v>43674</v>
      </c>
      <c r="B16270">
        <v>2019</v>
      </c>
      <c r="C16270">
        <v>7</v>
      </c>
      <c r="D16270" s="11">
        <v>43647</v>
      </c>
      <c r="E16270" t="s">
        <v>2179</v>
      </c>
      <c r="F16270">
        <v>7</v>
      </c>
      <c r="G16270" t="s">
        <v>59</v>
      </c>
      <c r="H16270" t="s">
        <v>44</v>
      </c>
      <c r="I16270" t="s">
        <v>2192</v>
      </c>
      <c r="J16270" s="10">
        <v>3</v>
      </c>
      <c r="K16270" t="b">
        <v>1</v>
      </c>
    </row>
    <row r="16271" spans="1:11">
      <c r="A16271" s="12">
        <v>43674</v>
      </c>
      <c r="B16271">
        <v>2019</v>
      </c>
      <c r="C16271">
        <v>7</v>
      </c>
      <c r="D16271" s="11">
        <v>43647</v>
      </c>
      <c r="E16271" t="s">
        <v>2179</v>
      </c>
      <c r="F16271">
        <v>7</v>
      </c>
      <c r="G16271" t="s">
        <v>59</v>
      </c>
      <c r="H16271" t="s">
        <v>45</v>
      </c>
      <c r="I16271" t="s">
        <v>2193</v>
      </c>
      <c r="J16271" s="10">
        <v>1</v>
      </c>
      <c r="K16271" t="b">
        <v>1</v>
      </c>
    </row>
    <row r="16272" spans="1:11">
      <c r="A16272" s="12">
        <v>43674</v>
      </c>
      <c r="B16272">
        <v>2019</v>
      </c>
      <c r="C16272">
        <v>7</v>
      </c>
      <c r="D16272" s="11">
        <v>43647</v>
      </c>
      <c r="E16272" t="s">
        <v>2179</v>
      </c>
      <c r="F16272">
        <v>7</v>
      </c>
      <c r="G16272" t="s">
        <v>59</v>
      </c>
      <c r="H16272" t="s">
        <v>46</v>
      </c>
      <c r="I16272" t="s">
        <v>2194</v>
      </c>
      <c r="J16272" s="10">
        <v>0</v>
      </c>
      <c r="K16272" t="b">
        <v>1</v>
      </c>
    </row>
    <row r="16273" spans="1:11">
      <c r="A16273" s="12">
        <v>43674</v>
      </c>
      <c r="B16273">
        <v>2019</v>
      </c>
      <c r="C16273">
        <v>7</v>
      </c>
      <c r="D16273" s="11">
        <v>43647</v>
      </c>
      <c r="E16273" t="s">
        <v>2179</v>
      </c>
      <c r="F16273">
        <v>7</v>
      </c>
      <c r="G16273" t="s">
        <v>59</v>
      </c>
      <c r="H16273" t="s">
        <v>47</v>
      </c>
      <c r="I16273" t="s">
        <v>2195</v>
      </c>
      <c r="J16273" s="10">
        <v>0.6</v>
      </c>
      <c r="K16273" t="b">
        <v>1</v>
      </c>
    </row>
    <row r="16274" spans="1:11">
      <c r="A16274" s="12">
        <v>43675</v>
      </c>
      <c r="B16274">
        <v>2019</v>
      </c>
      <c r="C16274">
        <v>7</v>
      </c>
      <c r="D16274" s="11">
        <v>43647</v>
      </c>
      <c r="E16274" t="s">
        <v>2179</v>
      </c>
      <c r="F16274">
        <v>1</v>
      </c>
      <c r="G16274" t="s">
        <v>61</v>
      </c>
      <c r="H16274" t="s">
        <v>40</v>
      </c>
      <c r="I16274" t="s">
        <v>2188</v>
      </c>
      <c r="J16274" s="10">
        <v>9</v>
      </c>
      <c r="K16274" t="b">
        <v>1</v>
      </c>
    </row>
    <row r="16275" spans="1:11">
      <c r="A16275" s="12">
        <v>43675</v>
      </c>
      <c r="B16275">
        <v>2019</v>
      </c>
      <c r="C16275">
        <v>7</v>
      </c>
      <c r="D16275" s="11">
        <v>43647</v>
      </c>
      <c r="E16275" t="s">
        <v>2179</v>
      </c>
      <c r="F16275">
        <v>1</v>
      </c>
      <c r="G16275" t="s">
        <v>61</v>
      </c>
      <c r="H16275" t="s">
        <v>41</v>
      </c>
      <c r="I16275" t="s">
        <v>2189</v>
      </c>
      <c r="J16275" s="10">
        <v>4.33</v>
      </c>
      <c r="K16275" t="b">
        <v>1</v>
      </c>
    </row>
    <row r="16276" spans="1:11">
      <c r="A16276" s="12">
        <v>43675</v>
      </c>
      <c r="B16276">
        <v>2019</v>
      </c>
      <c r="C16276">
        <v>7</v>
      </c>
      <c r="D16276" s="11">
        <v>43647</v>
      </c>
      <c r="E16276" t="s">
        <v>2179</v>
      </c>
      <c r="F16276">
        <v>1</v>
      </c>
      <c r="G16276" t="s">
        <v>61</v>
      </c>
      <c r="H16276" t="s">
        <v>42</v>
      </c>
      <c r="I16276" t="s">
        <v>2190</v>
      </c>
      <c r="J16276" s="10">
        <v>2</v>
      </c>
      <c r="K16276" t="b">
        <v>1</v>
      </c>
    </row>
    <row r="16277" spans="1:11">
      <c r="A16277" s="12">
        <v>43675</v>
      </c>
      <c r="B16277">
        <v>2019</v>
      </c>
      <c r="C16277">
        <v>7</v>
      </c>
      <c r="D16277" s="11">
        <v>43647</v>
      </c>
      <c r="E16277" t="s">
        <v>2179</v>
      </c>
      <c r="F16277">
        <v>1</v>
      </c>
      <c r="G16277" t="s">
        <v>61</v>
      </c>
      <c r="H16277" t="s">
        <v>43</v>
      </c>
      <c r="I16277" t="s">
        <v>2191</v>
      </c>
      <c r="J16277" s="10">
        <v>25.45</v>
      </c>
      <c r="K16277" t="b">
        <v>1</v>
      </c>
    </row>
    <row r="16278" spans="1:11">
      <c r="A16278" s="12">
        <v>43675</v>
      </c>
      <c r="B16278">
        <v>2019</v>
      </c>
      <c r="C16278">
        <v>7</v>
      </c>
      <c r="D16278" s="11">
        <v>43647</v>
      </c>
      <c r="E16278" t="s">
        <v>2179</v>
      </c>
      <c r="F16278">
        <v>1</v>
      </c>
      <c r="G16278" t="s">
        <v>61</v>
      </c>
      <c r="H16278" t="s">
        <v>44</v>
      </c>
      <c r="I16278" t="s">
        <v>2192</v>
      </c>
      <c r="J16278" s="10">
        <v>12</v>
      </c>
      <c r="K16278" t="b">
        <v>1</v>
      </c>
    </row>
    <row r="16279" spans="1:11">
      <c r="A16279" s="12">
        <v>43675</v>
      </c>
      <c r="B16279">
        <v>2019</v>
      </c>
      <c r="C16279">
        <v>7</v>
      </c>
      <c r="D16279" s="11">
        <v>43647</v>
      </c>
      <c r="E16279" t="s">
        <v>2179</v>
      </c>
      <c r="F16279">
        <v>1</v>
      </c>
      <c r="G16279" t="s">
        <v>61</v>
      </c>
      <c r="H16279" t="s">
        <v>45</v>
      </c>
      <c r="I16279" t="s">
        <v>2193</v>
      </c>
      <c r="J16279" s="10">
        <v>0</v>
      </c>
      <c r="K16279" t="b">
        <v>1</v>
      </c>
    </row>
    <row r="16280" spans="1:11">
      <c r="A16280" s="12">
        <v>43675</v>
      </c>
      <c r="B16280">
        <v>2019</v>
      </c>
      <c r="C16280">
        <v>7</v>
      </c>
      <c r="D16280" s="11">
        <v>43647</v>
      </c>
      <c r="E16280" t="s">
        <v>2179</v>
      </c>
      <c r="F16280">
        <v>1</v>
      </c>
      <c r="G16280" t="s">
        <v>61</v>
      </c>
      <c r="H16280" t="s">
        <v>46</v>
      </c>
      <c r="I16280" t="s">
        <v>2194</v>
      </c>
      <c r="J16280" s="10">
        <v>1</v>
      </c>
      <c r="K16280" t="b">
        <v>1</v>
      </c>
    </row>
    <row r="16281" spans="1:11">
      <c r="A16281" s="12">
        <v>43675</v>
      </c>
      <c r="B16281">
        <v>2019</v>
      </c>
      <c r="C16281">
        <v>7</v>
      </c>
      <c r="D16281" s="11">
        <v>43647</v>
      </c>
      <c r="E16281" t="s">
        <v>2179</v>
      </c>
      <c r="F16281">
        <v>1</v>
      </c>
      <c r="G16281" t="s">
        <v>61</v>
      </c>
      <c r="H16281" t="s">
        <v>47</v>
      </c>
      <c r="I16281" t="s">
        <v>2195</v>
      </c>
      <c r="J16281" s="10">
        <v>2</v>
      </c>
      <c r="K16281" t="b">
        <v>1</v>
      </c>
    </row>
    <row r="16282" spans="1:11">
      <c r="A16282" s="12">
        <v>43676</v>
      </c>
      <c r="B16282">
        <v>2019</v>
      </c>
      <c r="C16282">
        <v>7</v>
      </c>
      <c r="D16282" s="11">
        <v>43647</v>
      </c>
      <c r="E16282" t="s">
        <v>2179</v>
      </c>
      <c r="F16282">
        <v>2</v>
      </c>
      <c r="G16282" t="s">
        <v>63</v>
      </c>
      <c r="H16282" t="s">
        <v>40</v>
      </c>
      <c r="I16282" t="s">
        <v>2188</v>
      </c>
      <c r="J16282" s="10">
        <v>9.5</v>
      </c>
      <c r="K16282" t="b">
        <v>1</v>
      </c>
    </row>
    <row r="16283" spans="1:11">
      <c r="A16283" s="12">
        <v>43676</v>
      </c>
      <c r="B16283">
        <v>2019</v>
      </c>
      <c r="C16283">
        <v>7</v>
      </c>
      <c r="D16283" s="11">
        <v>43647</v>
      </c>
      <c r="E16283" t="s">
        <v>2179</v>
      </c>
      <c r="F16283">
        <v>2</v>
      </c>
      <c r="G16283" t="s">
        <v>63</v>
      </c>
      <c r="H16283" t="s">
        <v>41</v>
      </c>
      <c r="I16283" t="s">
        <v>2189</v>
      </c>
      <c r="J16283" s="10">
        <v>6.187</v>
      </c>
      <c r="K16283" t="b">
        <v>1</v>
      </c>
    </row>
    <row r="16284" spans="1:11">
      <c r="A16284" s="12">
        <v>43676</v>
      </c>
      <c r="B16284">
        <v>2019</v>
      </c>
      <c r="C16284">
        <v>7</v>
      </c>
      <c r="D16284" s="11">
        <v>43647</v>
      </c>
      <c r="E16284" t="s">
        <v>2179</v>
      </c>
      <c r="F16284">
        <v>2</v>
      </c>
      <c r="G16284" t="s">
        <v>63</v>
      </c>
      <c r="H16284" t="s">
        <v>42</v>
      </c>
      <c r="I16284" t="s">
        <v>2190</v>
      </c>
      <c r="J16284" s="10">
        <v>5</v>
      </c>
      <c r="K16284" t="b">
        <v>1</v>
      </c>
    </row>
    <row r="16285" spans="1:11">
      <c r="A16285" s="12">
        <v>43676</v>
      </c>
      <c r="B16285">
        <v>2019</v>
      </c>
      <c r="C16285">
        <v>7</v>
      </c>
      <c r="D16285" s="11">
        <v>43647</v>
      </c>
      <c r="E16285" t="s">
        <v>2179</v>
      </c>
      <c r="F16285">
        <v>2</v>
      </c>
      <c r="G16285" t="s">
        <v>63</v>
      </c>
      <c r="H16285" t="s">
        <v>43</v>
      </c>
      <c r="I16285" t="s">
        <v>2191</v>
      </c>
      <c r="J16285" s="10">
        <v>19</v>
      </c>
      <c r="K16285" t="b">
        <v>1</v>
      </c>
    </row>
    <row r="16286" spans="1:11">
      <c r="A16286" s="12">
        <v>43676</v>
      </c>
      <c r="B16286">
        <v>2019</v>
      </c>
      <c r="C16286">
        <v>7</v>
      </c>
      <c r="D16286" s="11">
        <v>43647</v>
      </c>
      <c r="E16286" t="s">
        <v>2179</v>
      </c>
      <c r="F16286">
        <v>2</v>
      </c>
      <c r="G16286" t="s">
        <v>63</v>
      </c>
      <c r="H16286" t="s">
        <v>44</v>
      </c>
      <c r="I16286" t="s">
        <v>2192</v>
      </c>
      <c r="J16286" s="10">
        <v>9</v>
      </c>
      <c r="K16286" t="b">
        <v>1</v>
      </c>
    </row>
    <row r="16287" spans="1:11">
      <c r="A16287" s="12">
        <v>43676</v>
      </c>
      <c r="B16287">
        <v>2019</v>
      </c>
      <c r="C16287">
        <v>7</v>
      </c>
      <c r="D16287" s="11">
        <v>43647</v>
      </c>
      <c r="E16287" t="s">
        <v>2179</v>
      </c>
      <c r="F16287">
        <v>2</v>
      </c>
      <c r="G16287" t="s">
        <v>63</v>
      </c>
      <c r="H16287" t="s">
        <v>45</v>
      </c>
      <c r="I16287" t="s">
        <v>2193</v>
      </c>
      <c r="J16287" s="10">
        <v>4</v>
      </c>
      <c r="K16287" t="b">
        <v>1</v>
      </c>
    </row>
    <row r="16288" spans="1:11">
      <c r="A16288" s="12">
        <v>43676</v>
      </c>
      <c r="B16288">
        <v>2019</v>
      </c>
      <c r="C16288">
        <v>7</v>
      </c>
      <c r="D16288" s="11">
        <v>43647</v>
      </c>
      <c r="E16288" t="s">
        <v>2179</v>
      </c>
      <c r="F16288">
        <v>2</v>
      </c>
      <c r="G16288" t="s">
        <v>63</v>
      </c>
      <c r="H16288" t="s">
        <v>46</v>
      </c>
      <c r="I16288" t="s">
        <v>2194</v>
      </c>
      <c r="J16288" s="10">
        <v>33</v>
      </c>
      <c r="K16288" t="b">
        <v>1</v>
      </c>
    </row>
    <row r="16289" spans="1:11">
      <c r="A16289" s="12">
        <v>43676</v>
      </c>
      <c r="B16289">
        <v>2019</v>
      </c>
      <c r="C16289">
        <v>7</v>
      </c>
      <c r="D16289" s="11">
        <v>43647</v>
      </c>
      <c r="E16289" t="s">
        <v>2179</v>
      </c>
      <c r="F16289">
        <v>2</v>
      </c>
      <c r="G16289" t="s">
        <v>63</v>
      </c>
      <c r="H16289" t="s">
        <v>47</v>
      </c>
      <c r="I16289" t="s">
        <v>2195</v>
      </c>
      <c r="J16289" s="10">
        <v>5</v>
      </c>
      <c r="K16289" t="b">
        <v>1</v>
      </c>
    </row>
    <row r="16290" spans="1:11">
      <c r="A16290" s="12">
        <v>43677</v>
      </c>
      <c r="B16290">
        <v>2019</v>
      </c>
      <c r="C16290">
        <v>7</v>
      </c>
      <c r="D16290" s="11">
        <v>43647</v>
      </c>
      <c r="E16290" t="s">
        <v>2179</v>
      </c>
      <c r="F16290">
        <v>3</v>
      </c>
      <c r="G16290" t="s">
        <v>65</v>
      </c>
      <c r="H16290" t="s">
        <v>40</v>
      </c>
      <c r="I16290" t="s">
        <v>2188</v>
      </c>
      <c r="J16290" s="10">
        <v>0</v>
      </c>
      <c r="K16290" t="b">
        <v>1</v>
      </c>
    </row>
    <row r="16291" spans="1:11">
      <c r="A16291" s="12">
        <v>43677</v>
      </c>
      <c r="B16291">
        <v>2019</v>
      </c>
      <c r="C16291">
        <v>7</v>
      </c>
      <c r="D16291" s="11">
        <v>43647</v>
      </c>
      <c r="E16291" t="s">
        <v>2179</v>
      </c>
      <c r="F16291">
        <v>3</v>
      </c>
      <c r="G16291" t="s">
        <v>65</v>
      </c>
      <c r="H16291" t="s">
        <v>41</v>
      </c>
      <c r="I16291" t="s">
        <v>2189</v>
      </c>
      <c r="J16291" s="10">
        <v>2.84</v>
      </c>
      <c r="K16291" t="b">
        <v>1</v>
      </c>
    </row>
    <row r="16292" spans="1:11">
      <c r="A16292" s="12">
        <v>43677</v>
      </c>
      <c r="B16292">
        <v>2019</v>
      </c>
      <c r="C16292">
        <v>7</v>
      </c>
      <c r="D16292" s="11">
        <v>43647</v>
      </c>
      <c r="E16292" t="s">
        <v>2179</v>
      </c>
      <c r="F16292">
        <v>3</v>
      </c>
      <c r="G16292" t="s">
        <v>65</v>
      </c>
      <c r="H16292" t="s">
        <v>42</v>
      </c>
      <c r="I16292" t="s">
        <v>2190</v>
      </c>
      <c r="J16292" s="10">
        <v>2</v>
      </c>
      <c r="K16292" t="b">
        <v>1</v>
      </c>
    </row>
    <row r="16293" spans="1:11">
      <c r="A16293" s="12">
        <v>43677</v>
      </c>
      <c r="B16293">
        <v>2019</v>
      </c>
      <c r="C16293">
        <v>7</v>
      </c>
      <c r="D16293" s="11">
        <v>43647</v>
      </c>
      <c r="E16293" t="s">
        <v>2179</v>
      </c>
      <c r="F16293">
        <v>3</v>
      </c>
      <c r="G16293" t="s">
        <v>65</v>
      </c>
      <c r="H16293" t="s">
        <v>43</v>
      </c>
      <c r="I16293" t="s">
        <v>2191</v>
      </c>
      <c r="J16293" s="10">
        <v>21</v>
      </c>
      <c r="K16293" t="b">
        <v>1</v>
      </c>
    </row>
    <row r="16294" spans="1:11">
      <c r="A16294" s="12">
        <v>43677</v>
      </c>
      <c r="B16294">
        <v>2019</v>
      </c>
      <c r="C16294">
        <v>7</v>
      </c>
      <c r="D16294" s="11">
        <v>43647</v>
      </c>
      <c r="E16294" t="s">
        <v>2179</v>
      </c>
      <c r="F16294">
        <v>3</v>
      </c>
      <c r="G16294" t="s">
        <v>65</v>
      </c>
      <c r="H16294" t="s">
        <v>44</v>
      </c>
      <c r="I16294" t="s">
        <v>2192</v>
      </c>
      <c r="J16294" s="10">
        <v>4</v>
      </c>
      <c r="K16294" t="b">
        <v>1</v>
      </c>
    </row>
    <row r="16295" spans="1:11">
      <c r="A16295" s="12">
        <v>43677</v>
      </c>
      <c r="B16295">
        <v>2019</v>
      </c>
      <c r="C16295">
        <v>7</v>
      </c>
      <c r="D16295" s="11">
        <v>43647</v>
      </c>
      <c r="E16295" t="s">
        <v>2179</v>
      </c>
      <c r="F16295">
        <v>3</v>
      </c>
      <c r="G16295" t="s">
        <v>65</v>
      </c>
      <c r="H16295" t="s">
        <v>45</v>
      </c>
      <c r="I16295" t="s">
        <v>2193</v>
      </c>
      <c r="J16295" s="10">
        <v>0</v>
      </c>
      <c r="K16295" t="b">
        <v>1</v>
      </c>
    </row>
    <row r="16296" spans="1:11">
      <c r="A16296" s="12">
        <v>43677</v>
      </c>
      <c r="B16296">
        <v>2019</v>
      </c>
      <c r="C16296">
        <v>7</v>
      </c>
      <c r="D16296" s="11">
        <v>43647</v>
      </c>
      <c r="E16296" t="s">
        <v>2179</v>
      </c>
      <c r="F16296">
        <v>3</v>
      </c>
      <c r="G16296" t="s">
        <v>65</v>
      </c>
      <c r="H16296" t="s">
        <v>46</v>
      </c>
      <c r="I16296" t="s">
        <v>2194</v>
      </c>
      <c r="J16296" s="10">
        <v>4</v>
      </c>
      <c r="K16296" t="b">
        <v>1</v>
      </c>
    </row>
    <row r="16297" spans="1:11">
      <c r="A16297" s="12">
        <v>43677</v>
      </c>
      <c r="B16297">
        <v>2019</v>
      </c>
      <c r="C16297">
        <v>7</v>
      </c>
      <c r="D16297" s="11">
        <v>43647</v>
      </c>
      <c r="E16297" t="s">
        <v>2179</v>
      </c>
      <c r="F16297">
        <v>3</v>
      </c>
      <c r="G16297" t="s">
        <v>65</v>
      </c>
      <c r="H16297" t="s">
        <v>47</v>
      </c>
      <c r="I16297" t="s">
        <v>2195</v>
      </c>
      <c r="J16297" s="10">
        <v>2</v>
      </c>
      <c r="K16297" t="b">
        <v>1</v>
      </c>
    </row>
    <row r="16298" spans="1:11">
      <c r="A16298" s="12">
        <v>43678</v>
      </c>
      <c r="B16298">
        <v>2019</v>
      </c>
      <c r="C16298">
        <v>8</v>
      </c>
      <c r="D16298" s="11">
        <v>43678</v>
      </c>
      <c r="E16298" t="s">
        <v>2180</v>
      </c>
      <c r="F16298">
        <v>4</v>
      </c>
      <c r="G16298" t="s">
        <v>53</v>
      </c>
      <c r="H16298" t="s">
        <v>40</v>
      </c>
      <c r="I16298" t="s">
        <v>2188</v>
      </c>
      <c r="J16298" s="10">
        <v>8.67</v>
      </c>
      <c r="K16298" t="b">
        <v>1</v>
      </c>
    </row>
    <row r="16299" spans="1:11">
      <c r="A16299" s="12">
        <v>43678</v>
      </c>
      <c r="B16299">
        <v>2019</v>
      </c>
      <c r="C16299">
        <v>8</v>
      </c>
      <c r="D16299" s="11">
        <v>43678</v>
      </c>
      <c r="E16299" t="s">
        <v>2180</v>
      </c>
      <c r="F16299">
        <v>4</v>
      </c>
      <c r="G16299" t="s">
        <v>53</v>
      </c>
      <c r="H16299" t="s">
        <v>41</v>
      </c>
      <c r="I16299" t="s">
        <v>2189</v>
      </c>
      <c r="J16299" s="10">
        <v>0.913</v>
      </c>
      <c r="K16299" t="b">
        <v>1</v>
      </c>
    </row>
    <row r="16300" spans="1:11">
      <c r="A16300" s="12">
        <v>43678</v>
      </c>
      <c r="B16300">
        <v>2019</v>
      </c>
      <c r="C16300">
        <v>8</v>
      </c>
      <c r="D16300" s="11">
        <v>43678</v>
      </c>
      <c r="E16300" t="s">
        <v>2180</v>
      </c>
      <c r="F16300">
        <v>4</v>
      </c>
      <c r="G16300" t="s">
        <v>53</v>
      </c>
      <c r="H16300" t="s">
        <v>42</v>
      </c>
      <c r="I16300" t="s">
        <v>2190</v>
      </c>
      <c r="J16300" s="10">
        <v>2</v>
      </c>
      <c r="K16300" t="b">
        <v>1</v>
      </c>
    </row>
    <row r="16301" spans="1:11">
      <c r="A16301" s="12">
        <v>43678</v>
      </c>
      <c r="B16301">
        <v>2019</v>
      </c>
      <c r="C16301">
        <v>8</v>
      </c>
      <c r="D16301" s="11">
        <v>43678</v>
      </c>
      <c r="E16301" t="s">
        <v>2180</v>
      </c>
      <c r="F16301">
        <v>4</v>
      </c>
      <c r="G16301" t="s">
        <v>53</v>
      </c>
      <c r="H16301" t="s">
        <v>43</v>
      </c>
      <c r="I16301" t="s">
        <v>2191</v>
      </c>
      <c r="J16301" s="10">
        <v>37</v>
      </c>
      <c r="K16301" t="b">
        <v>1</v>
      </c>
    </row>
    <row r="16302" spans="1:11">
      <c r="A16302" s="12">
        <v>43678</v>
      </c>
      <c r="B16302">
        <v>2019</v>
      </c>
      <c r="C16302">
        <v>8</v>
      </c>
      <c r="D16302" s="11">
        <v>43678</v>
      </c>
      <c r="E16302" t="s">
        <v>2180</v>
      </c>
      <c r="F16302">
        <v>4</v>
      </c>
      <c r="G16302" t="s">
        <v>53</v>
      </c>
      <c r="H16302" t="s">
        <v>44</v>
      </c>
      <c r="I16302" t="s">
        <v>2192</v>
      </c>
      <c r="J16302" s="10">
        <v>6</v>
      </c>
      <c r="K16302" t="b">
        <v>1</v>
      </c>
    </row>
    <row r="16303" spans="1:11">
      <c r="A16303" s="12">
        <v>43678</v>
      </c>
      <c r="B16303">
        <v>2019</v>
      </c>
      <c r="C16303">
        <v>8</v>
      </c>
      <c r="D16303" s="11">
        <v>43678</v>
      </c>
      <c r="E16303" t="s">
        <v>2180</v>
      </c>
      <c r="F16303">
        <v>4</v>
      </c>
      <c r="G16303" t="s">
        <v>53</v>
      </c>
      <c r="H16303" t="s">
        <v>45</v>
      </c>
      <c r="I16303" t="s">
        <v>2193</v>
      </c>
      <c r="J16303" s="10">
        <v>0</v>
      </c>
      <c r="K16303" t="b">
        <v>1</v>
      </c>
    </row>
    <row r="16304" spans="1:11">
      <c r="A16304" s="12">
        <v>43678</v>
      </c>
      <c r="B16304">
        <v>2019</v>
      </c>
      <c r="C16304">
        <v>8</v>
      </c>
      <c r="D16304" s="11">
        <v>43678</v>
      </c>
      <c r="E16304" t="s">
        <v>2180</v>
      </c>
      <c r="F16304">
        <v>4</v>
      </c>
      <c r="G16304" t="s">
        <v>53</v>
      </c>
      <c r="H16304" t="s">
        <v>46</v>
      </c>
      <c r="I16304" t="s">
        <v>2194</v>
      </c>
      <c r="J16304" s="10">
        <v>1</v>
      </c>
      <c r="K16304" t="b">
        <v>1</v>
      </c>
    </row>
    <row r="16305" spans="1:11">
      <c r="A16305" s="12">
        <v>43678</v>
      </c>
      <c r="B16305">
        <v>2019</v>
      </c>
      <c r="C16305">
        <v>8</v>
      </c>
      <c r="D16305" s="11">
        <v>43678</v>
      </c>
      <c r="E16305" t="s">
        <v>2180</v>
      </c>
      <c r="F16305">
        <v>4</v>
      </c>
      <c r="G16305" t="s">
        <v>53</v>
      </c>
      <c r="H16305" t="s">
        <v>47</v>
      </c>
      <c r="I16305" t="s">
        <v>2195</v>
      </c>
      <c r="J16305" s="10">
        <v>2</v>
      </c>
      <c r="K16305" t="b">
        <v>1</v>
      </c>
    </row>
    <row r="16306" spans="1:11">
      <c r="A16306" s="12">
        <v>43679</v>
      </c>
      <c r="B16306">
        <v>2019</v>
      </c>
      <c r="C16306">
        <v>8</v>
      </c>
      <c r="D16306" s="11">
        <v>43678</v>
      </c>
      <c r="E16306" t="s">
        <v>2180</v>
      </c>
      <c r="F16306">
        <v>5</v>
      </c>
      <c r="G16306" t="s">
        <v>55</v>
      </c>
      <c r="H16306" t="s">
        <v>40</v>
      </c>
      <c r="I16306" t="s">
        <v>2188</v>
      </c>
      <c r="J16306" s="10">
        <v>5</v>
      </c>
      <c r="K16306" t="b">
        <v>1</v>
      </c>
    </row>
    <row r="16307" spans="1:11">
      <c r="A16307" s="12">
        <v>43679</v>
      </c>
      <c r="B16307">
        <v>2019</v>
      </c>
      <c r="C16307">
        <v>8</v>
      </c>
      <c r="D16307" s="11">
        <v>43678</v>
      </c>
      <c r="E16307" t="s">
        <v>2180</v>
      </c>
      <c r="F16307">
        <v>5</v>
      </c>
      <c r="G16307" t="s">
        <v>55</v>
      </c>
      <c r="H16307" t="s">
        <v>41</v>
      </c>
      <c r="I16307" t="s">
        <v>2189</v>
      </c>
      <c r="J16307" s="10">
        <v>1.68</v>
      </c>
      <c r="K16307" t="b">
        <v>1</v>
      </c>
    </row>
    <row r="16308" spans="1:11">
      <c r="A16308" s="12">
        <v>43679</v>
      </c>
      <c r="B16308">
        <v>2019</v>
      </c>
      <c r="C16308">
        <v>8</v>
      </c>
      <c r="D16308" s="11">
        <v>43678</v>
      </c>
      <c r="E16308" t="s">
        <v>2180</v>
      </c>
      <c r="F16308">
        <v>5</v>
      </c>
      <c r="G16308" t="s">
        <v>55</v>
      </c>
      <c r="H16308" t="s">
        <v>42</v>
      </c>
      <c r="I16308" t="s">
        <v>2190</v>
      </c>
      <c r="J16308" s="10">
        <v>3</v>
      </c>
      <c r="K16308" t="b">
        <v>1</v>
      </c>
    </row>
    <row r="16309" spans="1:11">
      <c r="A16309" s="12">
        <v>43679</v>
      </c>
      <c r="B16309">
        <v>2019</v>
      </c>
      <c r="C16309">
        <v>8</v>
      </c>
      <c r="D16309" s="11">
        <v>43678</v>
      </c>
      <c r="E16309" t="s">
        <v>2180</v>
      </c>
      <c r="F16309">
        <v>5</v>
      </c>
      <c r="G16309" t="s">
        <v>55</v>
      </c>
      <c r="H16309" t="s">
        <v>43</v>
      </c>
      <c r="I16309" t="s">
        <v>2191</v>
      </c>
      <c r="J16309" s="10">
        <v>18</v>
      </c>
      <c r="K16309" t="b">
        <v>1</v>
      </c>
    </row>
    <row r="16310" spans="1:11">
      <c r="A16310" s="12">
        <v>43679</v>
      </c>
      <c r="B16310">
        <v>2019</v>
      </c>
      <c r="C16310">
        <v>8</v>
      </c>
      <c r="D16310" s="11">
        <v>43678</v>
      </c>
      <c r="E16310" t="s">
        <v>2180</v>
      </c>
      <c r="F16310">
        <v>5</v>
      </c>
      <c r="G16310" t="s">
        <v>55</v>
      </c>
      <c r="H16310" t="s">
        <v>44</v>
      </c>
      <c r="I16310" t="s">
        <v>2192</v>
      </c>
      <c r="J16310" s="10">
        <v>7</v>
      </c>
      <c r="K16310" t="b">
        <v>1</v>
      </c>
    </row>
    <row r="16311" spans="1:11">
      <c r="A16311" s="12">
        <v>43679</v>
      </c>
      <c r="B16311">
        <v>2019</v>
      </c>
      <c r="C16311">
        <v>8</v>
      </c>
      <c r="D16311" s="11">
        <v>43678</v>
      </c>
      <c r="E16311" t="s">
        <v>2180</v>
      </c>
      <c r="F16311">
        <v>5</v>
      </c>
      <c r="G16311" t="s">
        <v>55</v>
      </c>
      <c r="H16311" t="s">
        <v>45</v>
      </c>
      <c r="I16311" t="s">
        <v>2193</v>
      </c>
      <c r="J16311" s="10">
        <v>2</v>
      </c>
      <c r="K16311" t="b">
        <v>1</v>
      </c>
    </row>
    <row r="16312" spans="1:11">
      <c r="A16312" s="12">
        <v>43679</v>
      </c>
      <c r="B16312">
        <v>2019</v>
      </c>
      <c r="C16312">
        <v>8</v>
      </c>
      <c r="D16312" s="11">
        <v>43678</v>
      </c>
      <c r="E16312" t="s">
        <v>2180</v>
      </c>
      <c r="F16312">
        <v>5</v>
      </c>
      <c r="G16312" t="s">
        <v>55</v>
      </c>
      <c r="H16312" t="s">
        <v>46</v>
      </c>
      <c r="I16312" t="s">
        <v>2194</v>
      </c>
      <c r="J16312" s="10">
        <v>6</v>
      </c>
      <c r="K16312" t="b">
        <v>1</v>
      </c>
    </row>
    <row r="16313" spans="1:11">
      <c r="A16313" s="12">
        <v>43679</v>
      </c>
      <c r="B16313">
        <v>2019</v>
      </c>
      <c r="C16313">
        <v>8</v>
      </c>
      <c r="D16313" s="11">
        <v>43678</v>
      </c>
      <c r="E16313" t="s">
        <v>2180</v>
      </c>
      <c r="F16313">
        <v>5</v>
      </c>
      <c r="G16313" t="s">
        <v>55</v>
      </c>
      <c r="H16313" t="s">
        <v>47</v>
      </c>
      <c r="I16313" t="s">
        <v>2195</v>
      </c>
      <c r="J16313" s="10">
        <v>1</v>
      </c>
      <c r="K16313" t="b">
        <v>1</v>
      </c>
    </row>
    <row r="16314" spans="1:11">
      <c r="A16314" s="12">
        <v>43680</v>
      </c>
      <c r="B16314">
        <v>2019</v>
      </c>
      <c r="C16314">
        <v>8</v>
      </c>
      <c r="D16314" s="11">
        <v>43678</v>
      </c>
      <c r="E16314" t="s">
        <v>2180</v>
      </c>
      <c r="F16314">
        <v>6</v>
      </c>
      <c r="G16314" t="s">
        <v>57</v>
      </c>
      <c r="H16314" t="s">
        <v>40</v>
      </c>
      <c r="I16314" t="s">
        <v>2188</v>
      </c>
      <c r="J16314" s="10">
        <v>5.34</v>
      </c>
      <c r="K16314" t="b">
        <v>1</v>
      </c>
    </row>
    <row r="16315" spans="1:11">
      <c r="A16315" s="12">
        <v>43680</v>
      </c>
      <c r="B16315">
        <v>2019</v>
      </c>
      <c r="C16315">
        <v>8</v>
      </c>
      <c r="D16315" s="11">
        <v>43678</v>
      </c>
      <c r="E16315" t="s">
        <v>2180</v>
      </c>
      <c r="F16315">
        <v>6</v>
      </c>
      <c r="G16315" t="s">
        <v>57</v>
      </c>
      <c r="H16315" t="s">
        <v>41</v>
      </c>
      <c r="I16315" t="s">
        <v>2189</v>
      </c>
      <c r="J16315" s="10">
        <v>4.68</v>
      </c>
      <c r="K16315" t="b">
        <v>1</v>
      </c>
    </row>
    <row r="16316" spans="1:11">
      <c r="A16316" s="12">
        <v>43680</v>
      </c>
      <c r="B16316">
        <v>2019</v>
      </c>
      <c r="C16316">
        <v>8</v>
      </c>
      <c r="D16316" s="11">
        <v>43678</v>
      </c>
      <c r="E16316" t="s">
        <v>2180</v>
      </c>
      <c r="F16316">
        <v>6</v>
      </c>
      <c r="G16316" t="s">
        <v>57</v>
      </c>
      <c r="H16316" t="s">
        <v>42</v>
      </c>
      <c r="I16316" t="s">
        <v>2190</v>
      </c>
      <c r="J16316" s="10">
        <v>2.3</v>
      </c>
      <c r="K16316" t="b">
        <v>1</v>
      </c>
    </row>
    <row r="16317" spans="1:11">
      <c r="A16317" s="12">
        <v>43680</v>
      </c>
      <c r="B16317">
        <v>2019</v>
      </c>
      <c r="C16317">
        <v>8</v>
      </c>
      <c r="D16317" s="11">
        <v>43678</v>
      </c>
      <c r="E16317" t="s">
        <v>2180</v>
      </c>
      <c r="F16317">
        <v>6</v>
      </c>
      <c r="G16317" t="s">
        <v>57</v>
      </c>
      <c r="H16317" t="s">
        <v>43</v>
      </c>
      <c r="I16317" t="s">
        <v>2191</v>
      </c>
      <c r="J16317" s="10">
        <v>12</v>
      </c>
      <c r="K16317" t="b">
        <v>1</v>
      </c>
    </row>
    <row r="16318" spans="1:11">
      <c r="A16318" s="12">
        <v>43680</v>
      </c>
      <c r="B16318">
        <v>2019</v>
      </c>
      <c r="C16318">
        <v>8</v>
      </c>
      <c r="D16318" s="11">
        <v>43678</v>
      </c>
      <c r="E16318" t="s">
        <v>2180</v>
      </c>
      <c r="F16318">
        <v>6</v>
      </c>
      <c r="G16318" t="s">
        <v>57</v>
      </c>
      <c r="H16318" t="s">
        <v>44</v>
      </c>
      <c r="I16318" t="s">
        <v>2192</v>
      </c>
      <c r="J16318" s="10">
        <v>6</v>
      </c>
      <c r="K16318" t="b">
        <v>1</v>
      </c>
    </row>
    <row r="16319" spans="1:11">
      <c r="A16319" s="12">
        <v>43680</v>
      </c>
      <c r="B16319">
        <v>2019</v>
      </c>
      <c r="C16319">
        <v>8</v>
      </c>
      <c r="D16319" s="11">
        <v>43678</v>
      </c>
      <c r="E16319" t="s">
        <v>2180</v>
      </c>
      <c r="F16319">
        <v>6</v>
      </c>
      <c r="G16319" t="s">
        <v>57</v>
      </c>
      <c r="H16319" t="s">
        <v>45</v>
      </c>
      <c r="I16319" t="s">
        <v>2193</v>
      </c>
      <c r="J16319" s="10">
        <v>5</v>
      </c>
      <c r="K16319" t="b">
        <v>1</v>
      </c>
    </row>
    <row r="16320" spans="1:11">
      <c r="A16320" s="12">
        <v>43680</v>
      </c>
      <c r="B16320">
        <v>2019</v>
      </c>
      <c r="C16320">
        <v>8</v>
      </c>
      <c r="D16320" s="11">
        <v>43678</v>
      </c>
      <c r="E16320" t="s">
        <v>2180</v>
      </c>
      <c r="F16320">
        <v>6</v>
      </c>
      <c r="G16320" t="s">
        <v>57</v>
      </c>
      <c r="H16320" t="s">
        <v>46</v>
      </c>
      <c r="I16320" t="s">
        <v>2194</v>
      </c>
      <c r="J16320" s="10">
        <v>1</v>
      </c>
      <c r="K16320" t="b">
        <v>1</v>
      </c>
    </row>
    <row r="16321" spans="1:11">
      <c r="A16321" s="12">
        <v>43680</v>
      </c>
      <c r="B16321">
        <v>2019</v>
      </c>
      <c r="C16321">
        <v>8</v>
      </c>
      <c r="D16321" s="11">
        <v>43678</v>
      </c>
      <c r="E16321" t="s">
        <v>2180</v>
      </c>
      <c r="F16321">
        <v>6</v>
      </c>
      <c r="G16321" t="s">
        <v>57</v>
      </c>
      <c r="H16321" t="s">
        <v>47</v>
      </c>
      <c r="I16321" t="s">
        <v>2195</v>
      </c>
      <c r="J16321" s="10">
        <v>3.4</v>
      </c>
      <c r="K16321" t="b">
        <v>1</v>
      </c>
    </row>
    <row r="16322" spans="1:11">
      <c r="A16322" s="12">
        <v>43681</v>
      </c>
      <c r="B16322">
        <v>2019</v>
      </c>
      <c r="C16322">
        <v>8</v>
      </c>
      <c r="D16322" s="11">
        <v>43678</v>
      </c>
      <c r="E16322" t="s">
        <v>2180</v>
      </c>
      <c r="F16322">
        <v>7</v>
      </c>
      <c r="G16322" t="s">
        <v>59</v>
      </c>
      <c r="H16322" t="s">
        <v>40</v>
      </c>
      <c r="I16322" t="s">
        <v>2188</v>
      </c>
      <c r="J16322" s="10">
        <v>6.5</v>
      </c>
      <c r="K16322" t="b">
        <v>1</v>
      </c>
    </row>
    <row r="16323" spans="1:11">
      <c r="A16323" s="12">
        <v>43681</v>
      </c>
      <c r="B16323">
        <v>2019</v>
      </c>
      <c r="C16323">
        <v>8</v>
      </c>
      <c r="D16323" s="11">
        <v>43678</v>
      </c>
      <c r="E16323" t="s">
        <v>2180</v>
      </c>
      <c r="F16323">
        <v>7</v>
      </c>
      <c r="G16323" t="s">
        <v>59</v>
      </c>
      <c r="H16323" t="s">
        <v>41</v>
      </c>
      <c r="I16323" t="s">
        <v>2189</v>
      </c>
      <c r="J16323" s="10">
        <v>2.67</v>
      </c>
      <c r="K16323" t="b">
        <v>1</v>
      </c>
    </row>
    <row r="16324" spans="1:11">
      <c r="A16324" s="12">
        <v>43681</v>
      </c>
      <c r="B16324">
        <v>2019</v>
      </c>
      <c r="C16324">
        <v>8</v>
      </c>
      <c r="D16324" s="11">
        <v>43678</v>
      </c>
      <c r="E16324" t="s">
        <v>2180</v>
      </c>
      <c r="F16324">
        <v>7</v>
      </c>
      <c r="G16324" t="s">
        <v>59</v>
      </c>
      <c r="H16324" t="s">
        <v>42</v>
      </c>
      <c r="I16324" t="s">
        <v>2190</v>
      </c>
      <c r="J16324" s="10">
        <v>5</v>
      </c>
      <c r="K16324" t="b">
        <v>1</v>
      </c>
    </row>
    <row r="16325" spans="1:11">
      <c r="A16325" s="12">
        <v>43681</v>
      </c>
      <c r="B16325">
        <v>2019</v>
      </c>
      <c r="C16325">
        <v>8</v>
      </c>
      <c r="D16325" s="11">
        <v>43678</v>
      </c>
      <c r="E16325" t="s">
        <v>2180</v>
      </c>
      <c r="F16325">
        <v>7</v>
      </c>
      <c r="G16325" t="s">
        <v>59</v>
      </c>
      <c r="H16325" t="s">
        <v>43</v>
      </c>
      <c r="I16325" t="s">
        <v>2191</v>
      </c>
      <c r="J16325" s="10">
        <v>24</v>
      </c>
      <c r="K16325" t="b">
        <v>1</v>
      </c>
    </row>
    <row r="16326" spans="1:11">
      <c r="A16326" s="12">
        <v>43681</v>
      </c>
      <c r="B16326">
        <v>2019</v>
      </c>
      <c r="C16326">
        <v>8</v>
      </c>
      <c r="D16326" s="11">
        <v>43678</v>
      </c>
      <c r="E16326" t="s">
        <v>2180</v>
      </c>
      <c r="F16326">
        <v>7</v>
      </c>
      <c r="G16326" t="s">
        <v>59</v>
      </c>
      <c r="H16326" t="s">
        <v>44</v>
      </c>
      <c r="I16326" t="s">
        <v>2192</v>
      </c>
      <c r="J16326" s="10">
        <v>10</v>
      </c>
      <c r="K16326" t="b">
        <v>1</v>
      </c>
    </row>
    <row r="16327" spans="1:11">
      <c r="A16327" s="12">
        <v>43681</v>
      </c>
      <c r="B16327">
        <v>2019</v>
      </c>
      <c r="C16327">
        <v>8</v>
      </c>
      <c r="D16327" s="11">
        <v>43678</v>
      </c>
      <c r="E16327" t="s">
        <v>2180</v>
      </c>
      <c r="F16327">
        <v>7</v>
      </c>
      <c r="G16327" t="s">
        <v>59</v>
      </c>
      <c r="H16327" t="s">
        <v>45</v>
      </c>
      <c r="I16327" t="s">
        <v>2193</v>
      </c>
      <c r="J16327" s="10">
        <v>0</v>
      </c>
      <c r="K16327" t="b">
        <v>1</v>
      </c>
    </row>
    <row r="16328" spans="1:11">
      <c r="A16328" s="12">
        <v>43681</v>
      </c>
      <c r="B16328">
        <v>2019</v>
      </c>
      <c r="C16328">
        <v>8</v>
      </c>
      <c r="D16328" s="11">
        <v>43678</v>
      </c>
      <c r="E16328" t="s">
        <v>2180</v>
      </c>
      <c r="F16328">
        <v>7</v>
      </c>
      <c r="G16328" t="s">
        <v>59</v>
      </c>
      <c r="H16328" t="s">
        <v>46</v>
      </c>
      <c r="I16328" t="s">
        <v>2194</v>
      </c>
      <c r="J16328" s="10">
        <v>2</v>
      </c>
      <c r="K16328" t="b">
        <v>1</v>
      </c>
    </row>
    <row r="16329" spans="1:11">
      <c r="A16329" s="12">
        <v>43681</v>
      </c>
      <c r="B16329">
        <v>2019</v>
      </c>
      <c r="C16329">
        <v>8</v>
      </c>
      <c r="D16329" s="11">
        <v>43678</v>
      </c>
      <c r="E16329" t="s">
        <v>2180</v>
      </c>
      <c r="F16329">
        <v>7</v>
      </c>
      <c r="G16329" t="s">
        <v>59</v>
      </c>
      <c r="H16329" t="s">
        <v>47</v>
      </c>
      <c r="I16329" t="s">
        <v>2195</v>
      </c>
      <c r="J16329" s="10">
        <v>4.3</v>
      </c>
      <c r="K16329" t="b">
        <v>1</v>
      </c>
    </row>
    <row r="16330" spans="1:11">
      <c r="A16330" s="12">
        <v>43682</v>
      </c>
      <c r="B16330">
        <v>2019</v>
      </c>
      <c r="C16330">
        <v>8</v>
      </c>
      <c r="D16330" s="11">
        <v>43678</v>
      </c>
      <c r="E16330" t="s">
        <v>2180</v>
      </c>
      <c r="F16330">
        <v>1</v>
      </c>
      <c r="G16330" t="s">
        <v>61</v>
      </c>
      <c r="H16330" t="s">
        <v>40</v>
      </c>
      <c r="I16330" t="s">
        <v>2188</v>
      </c>
      <c r="J16330" s="10">
        <v>4</v>
      </c>
      <c r="K16330" t="b">
        <v>1</v>
      </c>
    </row>
    <row r="16331" spans="1:11">
      <c r="A16331" s="12">
        <v>43682</v>
      </c>
      <c r="B16331">
        <v>2019</v>
      </c>
      <c r="C16331">
        <v>8</v>
      </c>
      <c r="D16331" s="11">
        <v>43678</v>
      </c>
      <c r="E16331" t="s">
        <v>2180</v>
      </c>
      <c r="F16331">
        <v>1</v>
      </c>
      <c r="G16331" t="s">
        <v>61</v>
      </c>
      <c r="H16331" t="s">
        <v>41</v>
      </c>
      <c r="I16331" t="s">
        <v>2189</v>
      </c>
      <c r="J16331" s="10">
        <v>1</v>
      </c>
      <c r="K16331" t="b">
        <v>1</v>
      </c>
    </row>
    <row r="16332" spans="1:11">
      <c r="A16332" s="12">
        <v>43682</v>
      </c>
      <c r="B16332">
        <v>2019</v>
      </c>
      <c r="C16332">
        <v>8</v>
      </c>
      <c r="D16332" s="11">
        <v>43678</v>
      </c>
      <c r="E16332" t="s">
        <v>2180</v>
      </c>
      <c r="F16332">
        <v>1</v>
      </c>
      <c r="G16332" t="s">
        <v>61</v>
      </c>
      <c r="H16332" t="s">
        <v>42</v>
      </c>
      <c r="I16332" t="s">
        <v>2190</v>
      </c>
      <c r="J16332" s="10">
        <v>4.3</v>
      </c>
      <c r="K16332" t="b">
        <v>1</v>
      </c>
    </row>
    <row r="16333" spans="1:11">
      <c r="A16333" s="12">
        <v>43682</v>
      </c>
      <c r="B16333">
        <v>2019</v>
      </c>
      <c r="C16333">
        <v>8</v>
      </c>
      <c r="D16333" s="11">
        <v>43678</v>
      </c>
      <c r="E16333" t="s">
        <v>2180</v>
      </c>
      <c r="F16333">
        <v>1</v>
      </c>
      <c r="G16333" t="s">
        <v>61</v>
      </c>
      <c r="H16333" t="s">
        <v>43</v>
      </c>
      <c r="I16333" t="s">
        <v>2191</v>
      </c>
      <c r="J16333" s="10">
        <v>6</v>
      </c>
      <c r="K16333" t="b">
        <v>1</v>
      </c>
    </row>
    <row r="16334" spans="1:11">
      <c r="A16334" s="12">
        <v>43682</v>
      </c>
      <c r="B16334">
        <v>2019</v>
      </c>
      <c r="C16334">
        <v>8</v>
      </c>
      <c r="D16334" s="11">
        <v>43678</v>
      </c>
      <c r="E16334" t="s">
        <v>2180</v>
      </c>
      <c r="F16334">
        <v>1</v>
      </c>
      <c r="G16334" t="s">
        <v>61</v>
      </c>
      <c r="H16334" t="s">
        <v>44</v>
      </c>
      <c r="I16334" t="s">
        <v>2192</v>
      </c>
      <c r="J16334" s="10">
        <v>7</v>
      </c>
      <c r="K16334" t="b">
        <v>1</v>
      </c>
    </row>
    <row r="16335" spans="1:11">
      <c r="A16335" s="12">
        <v>43682</v>
      </c>
      <c r="B16335">
        <v>2019</v>
      </c>
      <c r="C16335">
        <v>8</v>
      </c>
      <c r="D16335" s="11">
        <v>43678</v>
      </c>
      <c r="E16335" t="s">
        <v>2180</v>
      </c>
      <c r="F16335">
        <v>1</v>
      </c>
      <c r="G16335" t="s">
        <v>61</v>
      </c>
      <c r="H16335" t="s">
        <v>45</v>
      </c>
      <c r="I16335" t="s">
        <v>2193</v>
      </c>
      <c r="J16335" s="10">
        <v>1</v>
      </c>
      <c r="K16335" t="b">
        <v>1</v>
      </c>
    </row>
    <row r="16336" spans="1:11">
      <c r="A16336" s="12">
        <v>43682</v>
      </c>
      <c r="B16336">
        <v>2019</v>
      </c>
      <c r="C16336">
        <v>8</v>
      </c>
      <c r="D16336" s="11">
        <v>43678</v>
      </c>
      <c r="E16336" t="s">
        <v>2180</v>
      </c>
      <c r="F16336">
        <v>1</v>
      </c>
      <c r="G16336" t="s">
        <v>61</v>
      </c>
      <c r="H16336" t="s">
        <v>46</v>
      </c>
      <c r="I16336" t="s">
        <v>2194</v>
      </c>
      <c r="J16336" s="10">
        <v>5</v>
      </c>
      <c r="K16336" t="b">
        <v>1</v>
      </c>
    </row>
    <row r="16337" spans="1:11">
      <c r="A16337" s="12">
        <v>43682</v>
      </c>
      <c r="B16337">
        <v>2019</v>
      </c>
      <c r="C16337">
        <v>8</v>
      </c>
      <c r="D16337" s="11">
        <v>43678</v>
      </c>
      <c r="E16337" t="s">
        <v>2180</v>
      </c>
      <c r="F16337">
        <v>1</v>
      </c>
      <c r="G16337" t="s">
        <v>61</v>
      </c>
      <c r="H16337" t="s">
        <v>47</v>
      </c>
      <c r="I16337" t="s">
        <v>2195</v>
      </c>
      <c r="J16337" s="10">
        <v>0</v>
      </c>
      <c r="K16337" t="b">
        <v>1</v>
      </c>
    </row>
    <row r="16338" spans="1:11">
      <c r="A16338" s="12">
        <v>43683</v>
      </c>
      <c r="B16338">
        <v>2019</v>
      </c>
      <c r="C16338">
        <v>8</v>
      </c>
      <c r="D16338" s="11">
        <v>43678</v>
      </c>
      <c r="E16338" t="s">
        <v>2180</v>
      </c>
      <c r="F16338">
        <v>2</v>
      </c>
      <c r="G16338" t="s">
        <v>63</v>
      </c>
      <c r="H16338" t="s">
        <v>40</v>
      </c>
      <c r="I16338" t="s">
        <v>2188</v>
      </c>
      <c r="J16338" s="10">
        <v>10</v>
      </c>
      <c r="K16338" t="b">
        <v>1</v>
      </c>
    </row>
    <row r="16339" spans="1:11">
      <c r="A16339" s="12">
        <v>43683</v>
      </c>
      <c r="B16339">
        <v>2019</v>
      </c>
      <c r="C16339">
        <v>8</v>
      </c>
      <c r="D16339" s="11">
        <v>43678</v>
      </c>
      <c r="E16339" t="s">
        <v>2180</v>
      </c>
      <c r="F16339">
        <v>2</v>
      </c>
      <c r="G16339" t="s">
        <v>63</v>
      </c>
      <c r="H16339" t="s">
        <v>41</v>
      </c>
      <c r="I16339" t="s">
        <v>2189</v>
      </c>
      <c r="J16339" s="10">
        <v>4.67</v>
      </c>
      <c r="K16339" t="b">
        <v>1</v>
      </c>
    </row>
    <row r="16340" spans="1:11">
      <c r="A16340" s="12">
        <v>43683</v>
      </c>
      <c r="B16340">
        <v>2019</v>
      </c>
      <c r="C16340">
        <v>8</v>
      </c>
      <c r="D16340" s="11">
        <v>43678</v>
      </c>
      <c r="E16340" t="s">
        <v>2180</v>
      </c>
      <c r="F16340">
        <v>2</v>
      </c>
      <c r="G16340" t="s">
        <v>63</v>
      </c>
      <c r="H16340" t="s">
        <v>42</v>
      </c>
      <c r="I16340" t="s">
        <v>2190</v>
      </c>
      <c r="J16340" s="10">
        <v>2</v>
      </c>
      <c r="K16340" t="b">
        <v>1</v>
      </c>
    </row>
    <row r="16341" spans="1:11">
      <c r="A16341" s="12">
        <v>43683</v>
      </c>
      <c r="B16341">
        <v>2019</v>
      </c>
      <c r="C16341">
        <v>8</v>
      </c>
      <c r="D16341" s="11">
        <v>43678</v>
      </c>
      <c r="E16341" t="s">
        <v>2180</v>
      </c>
      <c r="F16341">
        <v>2</v>
      </c>
      <c r="G16341" t="s">
        <v>63</v>
      </c>
      <c r="H16341" t="s">
        <v>43</v>
      </c>
      <c r="I16341" t="s">
        <v>2191</v>
      </c>
      <c r="J16341" s="10">
        <v>17.25</v>
      </c>
      <c r="K16341" t="b">
        <v>1</v>
      </c>
    </row>
    <row r="16342" spans="1:11">
      <c r="A16342" s="12">
        <v>43683</v>
      </c>
      <c r="B16342">
        <v>2019</v>
      </c>
      <c r="C16342">
        <v>8</v>
      </c>
      <c r="D16342" s="11">
        <v>43678</v>
      </c>
      <c r="E16342" t="s">
        <v>2180</v>
      </c>
      <c r="F16342">
        <v>2</v>
      </c>
      <c r="G16342" t="s">
        <v>63</v>
      </c>
      <c r="H16342" t="s">
        <v>44</v>
      </c>
      <c r="I16342" t="s">
        <v>2192</v>
      </c>
      <c r="J16342" s="10">
        <v>4</v>
      </c>
      <c r="K16342" t="b">
        <v>1</v>
      </c>
    </row>
    <row r="16343" spans="1:11">
      <c r="A16343" s="12">
        <v>43683</v>
      </c>
      <c r="B16343">
        <v>2019</v>
      </c>
      <c r="C16343">
        <v>8</v>
      </c>
      <c r="D16343" s="11">
        <v>43678</v>
      </c>
      <c r="E16343" t="s">
        <v>2180</v>
      </c>
      <c r="F16343">
        <v>2</v>
      </c>
      <c r="G16343" t="s">
        <v>63</v>
      </c>
      <c r="H16343" t="s">
        <v>45</v>
      </c>
      <c r="I16343" t="s">
        <v>2193</v>
      </c>
      <c r="J16343" s="10">
        <v>0</v>
      </c>
      <c r="K16343" t="b">
        <v>1</v>
      </c>
    </row>
    <row r="16344" spans="1:11">
      <c r="A16344" s="12">
        <v>43683</v>
      </c>
      <c r="B16344">
        <v>2019</v>
      </c>
      <c r="C16344">
        <v>8</v>
      </c>
      <c r="D16344" s="11">
        <v>43678</v>
      </c>
      <c r="E16344" t="s">
        <v>2180</v>
      </c>
      <c r="F16344">
        <v>2</v>
      </c>
      <c r="G16344" t="s">
        <v>63</v>
      </c>
      <c r="H16344" t="s">
        <v>46</v>
      </c>
      <c r="I16344" t="s">
        <v>2194</v>
      </c>
      <c r="J16344" s="10">
        <v>6</v>
      </c>
      <c r="K16344" t="b">
        <v>1</v>
      </c>
    </row>
    <row r="16345" spans="1:11">
      <c r="A16345" s="12">
        <v>43683</v>
      </c>
      <c r="B16345">
        <v>2019</v>
      </c>
      <c r="C16345">
        <v>8</v>
      </c>
      <c r="D16345" s="11">
        <v>43678</v>
      </c>
      <c r="E16345" t="s">
        <v>2180</v>
      </c>
      <c r="F16345">
        <v>2</v>
      </c>
      <c r="G16345" t="s">
        <v>63</v>
      </c>
      <c r="H16345" t="s">
        <v>47</v>
      </c>
      <c r="I16345" t="s">
        <v>2195</v>
      </c>
      <c r="J16345" s="10">
        <v>6</v>
      </c>
      <c r="K16345" t="b">
        <v>1</v>
      </c>
    </row>
    <row r="16346" spans="1:11">
      <c r="A16346" s="12">
        <v>43684</v>
      </c>
      <c r="B16346">
        <v>2019</v>
      </c>
      <c r="C16346">
        <v>8</v>
      </c>
      <c r="D16346" s="11">
        <v>43678</v>
      </c>
      <c r="E16346" t="s">
        <v>2180</v>
      </c>
      <c r="F16346">
        <v>3</v>
      </c>
      <c r="G16346" t="s">
        <v>65</v>
      </c>
      <c r="H16346" t="s">
        <v>40</v>
      </c>
      <c r="I16346" t="s">
        <v>2188</v>
      </c>
      <c r="J16346" s="10">
        <v>6</v>
      </c>
      <c r="K16346" t="b">
        <v>1</v>
      </c>
    </row>
    <row r="16347" spans="1:11">
      <c r="A16347" s="12">
        <v>43684</v>
      </c>
      <c r="B16347">
        <v>2019</v>
      </c>
      <c r="C16347">
        <v>8</v>
      </c>
      <c r="D16347" s="11">
        <v>43678</v>
      </c>
      <c r="E16347" t="s">
        <v>2180</v>
      </c>
      <c r="F16347">
        <v>3</v>
      </c>
      <c r="G16347" t="s">
        <v>65</v>
      </c>
      <c r="H16347" t="s">
        <v>41</v>
      </c>
      <c r="I16347" t="s">
        <v>2189</v>
      </c>
      <c r="J16347" s="10">
        <v>1.759</v>
      </c>
      <c r="K16347" t="b">
        <v>1</v>
      </c>
    </row>
    <row r="16348" spans="1:11">
      <c r="A16348" s="12">
        <v>43684</v>
      </c>
      <c r="B16348">
        <v>2019</v>
      </c>
      <c r="C16348">
        <v>8</v>
      </c>
      <c r="D16348" s="11">
        <v>43678</v>
      </c>
      <c r="E16348" t="s">
        <v>2180</v>
      </c>
      <c r="F16348">
        <v>3</v>
      </c>
      <c r="G16348" t="s">
        <v>65</v>
      </c>
      <c r="H16348" t="s">
        <v>42</v>
      </c>
      <c r="I16348" t="s">
        <v>2190</v>
      </c>
      <c r="J16348" s="10">
        <v>2</v>
      </c>
      <c r="K16348" t="b">
        <v>1</v>
      </c>
    </row>
    <row r="16349" spans="1:11">
      <c r="A16349" s="12">
        <v>43684</v>
      </c>
      <c r="B16349">
        <v>2019</v>
      </c>
      <c r="C16349">
        <v>8</v>
      </c>
      <c r="D16349" s="11">
        <v>43678</v>
      </c>
      <c r="E16349" t="s">
        <v>2180</v>
      </c>
      <c r="F16349">
        <v>3</v>
      </c>
      <c r="G16349" t="s">
        <v>65</v>
      </c>
      <c r="H16349" t="s">
        <v>43</v>
      </c>
      <c r="I16349" t="s">
        <v>2191</v>
      </c>
      <c r="J16349" s="10">
        <v>9</v>
      </c>
      <c r="K16349" t="b">
        <v>1</v>
      </c>
    </row>
    <row r="16350" spans="1:11">
      <c r="A16350" s="12">
        <v>43684</v>
      </c>
      <c r="B16350">
        <v>2019</v>
      </c>
      <c r="C16350">
        <v>8</v>
      </c>
      <c r="D16350" s="11">
        <v>43678</v>
      </c>
      <c r="E16350" t="s">
        <v>2180</v>
      </c>
      <c r="F16350">
        <v>3</v>
      </c>
      <c r="G16350" t="s">
        <v>65</v>
      </c>
      <c r="H16350" t="s">
        <v>44</v>
      </c>
      <c r="I16350" t="s">
        <v>2192</v>
      </c>
      <c r="J16350" s="10">
        <v>7</v>
      </c>
      <c r="K16350" t="b">
        <v>1</v>
      </c>
    </row>
    <row r="16351" spans="1:11">
      <c r="A16351" s="12">
        <v>43684</v>
      </c>
      <c r="B16351">
        <v>2019</v>
      </c>
      <c r="C16351">
        <v>8</v>
      </c>
      <c r="D16351" s="11">
        <v>43678</v>
      </c>
      <c r="E16351" t="s">
        <v>2180</v>
      </c>
      <c r="F16351">
        <v>3</v>
      </c>
      <c r="G16351" t="s">
        <v>65</v>
      </c>
      <c r="H16351" t="s">
        <v>45</v>
      </c>
      <c r="I16351" t="s">
        <v>2193</v>
      </c>
      <c r="J16351" s="10">
        <v>0</v>
      </c>
      <c r="K16351" t="b">
        <v>1</v>
      </c>
    </row>
    <row r="16352" spans="1:11">
      <c r="A16352" s="12">
        <v>43684</v>
      </c>
      <c r="B16352">
        <v>2019</v>
      </c>
      <c r="C16352">
        <v>8</v>
      </c>
      <c r="D16352" s="11">
        <v>43678</v>
      </c>
      <c r="E16352" t="s">
        <v>2180</v>
      </c>
      <c r="F16352">
        <v>3</v>
      </c>
      <c r="G16352" t="s">
        <v>65</v>
      </c>
      <c r="H16352" t="s">
        <v>46</v>
      </c>
      <c r="I16352" t="s">
        <v>2194</v>
      </c>
      <c r="J16352" s="10">
        <v>21</v>
      </c>
      <c r="K16352" t="b">
        <v>1</v>
      </c>
    </row>
    <row r="16353" spans="1:11">
      <c r="A16353" s="12">
        <v>43684</v>
      </c>
      <c r="B16353">
        <v>2019</v>
      </c>
      <c r="C16353">
        <v>8</v>
      </c>
      <c r="D16353" s="11">
        <v>43678</v>
      </c>
      <c r="E16353" t="s">
        <v>2180</v>
      </c>
      <c r="F16353">
        <v>3</v>
      </c>
      <c r="G16353" t="s">
        <v>65</v>
      </c>
      <c r="H16353" t="s">
        <v>47</v>
      </c>
      <c r="I16353" t="s">
        <v>2195</v>
      </c>
      <c r="J16353" s="10">
        <v>3</v>
      </c>
      <c r="K16353" t="b">
        <v>1</v>
      </c>
    </row>
    <row r="16354" spans="1:11">
      <c r="A16354" s="12">
        <v>43685</v>
      </c>
      <c r="B16354">
        <v>2019</v>
      </c>
      <c r="C16354">
        <v>8</v>
      </c>
      <c r="D16354" s="11">
        <v>43678</v>
      </c>
      <c r="E16354" t="s">
        <v>2180</v>
      </c>
      <c r="F16354">
        <v>4</v>
      </c>
      <c r="G16354" t="s">
        <v>53</v>
      </c>
      <c r="H16354" t="s">
        <v>40</v>
      </c>
      <c r="I16354" t="s">
        <v>2188</v>
      </c>
      <c r="J16354" s="10">
        <v>7.66</v>
      </c>
      <c r="K16354" t="b">
        <v>1</v>
      </c>
    </row>
    <row r="16355" spans="1:11">
      <c r="A16355" s="12">
        <v>43685</v>
      </c>
      <c r="B16355">
        <v>2019</v>
      </c>
      <c r="C16355">
        <v>8</v>
      </c>
      <c r="D16355" s="11">
        <v>43678</v>
      </c>
      <c r="E16355" t="s">
        <v>2180</v>
      </c>
      <c r="F16355">
        <v>4</v>
      </c>
      <c r="G16355" t="s">
        <v>53</v>
      </c>
      <c r="H16355" t="s">
        <v>41</v>
      </c>
      <c r="I16355" t="s">
        <v>2189</v>
      </c>
      <c r="J16355" s="10">
        <v>1.01</v>
      </c>
      <c r="K16355" t="b">
        <v>1</v>
      </c>
    </row>
    <row r="16356" spans="1:11">
      <c r="A16356" s="12">
        <v>43685</v>
      </c>
      <c r="B16356">
        <v>2019</v>
      </c>
      <c r="C16356">
        <v>8</v>
      </c>
      <c r="D16356" s="11">
        <v>43678</v>
      </c>
      <c r="E16356" t="s">
        <v>2180</v>
      </c>
      <c r="F16356">
        <v>4</v>
      </c>
      <c r="G16356" t="s">
        <v>53</v>
      </c>
      <c r="H16356" t="s">
        <v>42</v>
      </c>
      <c r="I16356" t="s">
        <v>2190</v>
      </c>
      <c r="J16356" s="10">
        <v>3</v>
      </c>
      <c r="K16356" t="b">
        <v>1</v>
      </c>
    </row>
    <row r="16357" spans="1:11">
      <c r="A16357" s="12">
        <v>43685</v>
      </c>
      <c r="B16357">
        <v>2019</v>
      </c>
      <c r="C16357">
        <v>8</v>
      </c>
      <c r="D16357" s="11">
        <v>43678</v>
      </c>
      <c r="E16357" t="s">
        <v>2180</v>
      </c>
      <c r="F16357">
        <v>4</v>
      </c>
      <c r="G16357" t="s">
        <v>53</v>
      </c>
      <c r="H16357" t="s">
        <v>43</v>
      </c>
      <c r="I16357" t="s">
        <v>2191</v>
      </c>
      <c r="J16357" s="10">
        <v>15</v>
      </c>
      <c r="K16357" t="b">
        <v>1</v>
      </c>
    </row>
    <row r="16358" spans="1:11">
      <c r="A16358" s="12">
        <v>43685</v>
      </c>
      <c r="B16358">
        <v>2019</v>
      </c>
      <c r="C16358">
        <v>8</v>
      </c>
      <c r="D16358" s="11">
        <v>43678</v>
      </c>
      <c r="E16358" t="s">
        <v>2180</v>
      </c>
      <c r="F16358">
        <v>4</v>
      </c>
      <c r="G16358" t="s">
        <v>53</v>
      </c>
      <c r="H16358" t="s">
        <v>44</v>
      </c>
      <c r="I16358" t="s">
        <v>2192</v>
      </c>
      <c r="J16358" s="10">
        <v>10</v>
      </c>
      <c r="K16358" t="b">
        <v>1</v>
      </c>
    </row>
    <row r="16359" spans="1:11">
      <c r="A16359" s="12">
        <v>43685</v>
      </c>
      <c r="B16359">
        <v>2019</v>
      </c>
      <c r="C16359">
        <v>8</v>
      </c>
      <c r="D16359" s="11">
        <v>43678</v>
      </c>
      <c r="E16359" t="s">
        <v>2180</v>
      </c>
      <c r="F16359">
        <v>4</v>
      </c>
      <c r="G16359" t="s">
        <v>53</v>
      </c>
      <c r="H16359" t="s">
        <v>45</v>
      </c>
      <c r="I16359" t="s">
        <v>2193</v>
      </c>
      <c r="J16359" s="10">
        <v>0</v>
      </c>
      <c r="K16359" t="b">
        <v>1</v>
      </c>
    </row>
    <row r="16360" spans="1:11">
      <c r="A16360" s="12">
        <v>43685</v>
      </c>
      <c r="B16360">
        <v>2019</v>
      </c>
      <c r="C16360">
        <v>8</v>
      </c>
      <c r="D16360" s="11">
        <v>43678</v>
      </c>
      <c r="E16360" t="s">
        <v>2180</v>
      </c>
      <c r="F16360">
        <v>4</v>
      </c>
      <c r="G16360" t="s">
        <v>53</v>
      </c>
      <c r="H16360" t="s">
        <v>46</v>
      </c>
      <c r="I16360" t="s">
        <v>2194</v>
      </c>
      <c r="J16360" s="10">
        <v>31</v>
      </c>
      <c r="K16360" t="b">
        <v>1</v>
      </c>
    </row>
    <row r="16361" spans="1:11">
      <c r="A16361" s="12">
        <v>43685</v>
      </c>
      <c r="B16361">
        <v>2019</v>
      </c>
      <c r="C16361">
        <v>8</v>
      </c>
      <c r="D16361" s="11">
        <v>43678</v>
      </c>
      <c r="E16361" t="s">
        <v>2180</v>
      </c>
      <c r="F16361">
        <v>4</v>
      </c>
      <c r="G16361" t="s">
        <v>53</v>
      </c>
      <c r="H16361" t="s">
        <v>47</v>
      </c>
      <c r="I16361" t="s">
        <v>2195</v>
      </c>
      <c r="J16361" s="10">
        <v>3</v>
      </c>
      <c r="K16361" t="b">
        <v>1</v>
      </c>
    </row>
    <row r="16362" spans="1:11">
      <c r="A16362" s="12">
        <v>43686</v>
      </c>
      <c r="B16362">
        <v>2019</v>
      </c>
      <c r="C16362">
        <v>8</v>
      </c>
      <c r="D16362" s="11">
        <v>43678</v>
      </c>
      <c r="E16362" t="s">
        <v>2180</v>
      </c>
      <c r="F16362">
        <v>5</v>
      </c>
      <c r="G16362" t="s">
        <v>55</v>
      </c>
      <c r="H16362" t="s">
        <v>40</v>
      </c>
      <c r="I16362" t="s">
        <v>2188</v>
      </c>
      <c r="J16362" s="10">
        <v>3</v>
      </c>
      <c r="K16362" t="b">
        <v>1</v>
      </c>
    </row>
    <row r="16363" spans="1:11">
      <c r="A16363" s="12">
        <v>43686</v>
      </c>
      <c r="B16363">
        <v>2019</v>
      </c>
      <c r="C16363">
        <v>8</v>
      </c>
      <c r="D16363" s="11">
        <v>43678</v>
      </c>
      <c r="E16363" t="s">
        <v>2180</v>
      </c>
      <c r="F16363">
        <v>5</v>
      </c>
      <c r="G16363" t="s">
        <v>55</v>
      </c>
      <c r="H16363" t="s">
        <v>41</v>
      </c>
      <c r="I16363" t="s">
        <v>2189</v>
      </c>
      <c r="J16363" s="10">
        <v>3.25</v>
      </c>
      <c r="K16363" t="b">
        <v>1</v>
      </c>
    </row>
    <row r="16364" spans="1:11">
      <c r="A16364" s="12">
        <v>43686</v>
      </c>
      <c r="B16364">
        <v>2019</v>
      </c>
      <c r="C16364">
        <v>8</v>
      </c>
      <c r="D16364" s="11">
        <v>43678</v>
      </c>
      <c r="E16364" t="s">
        <v>2180</v>
      </c>
      <c r="F16364">
        <v>5</v>
      </c>
      <c r="G16364" t="s">
        <v>55</v>
      </c>
      <c r="H16364" t="s">
        <v>42</v>
      </c>
      <c r="I16364" t="s">
        <v>2190</v>
      </c>
      <c r="J16364" s="10">
        <v>0</v>
      </c>
      <c r="K16364" t="b">
        <v>1</v>
      </c>
    </row>
    <row r="16365" spans="1:11">
      <c r="A16365" s="12">
        <v>43686</v>
      </c>
      <c r="B16365">
        <v>2019</v>
      </c>
      <c r="C16365">
        <v>8</v>
      </c>
      <c r="D16365" s="11">
        <v>43678</v>
      </c>
      <c r="E16365" t="s">
        <v>2180</v>
      </c>
      <c r="F16365">
        <v>5</v>
      </c>
      <c r="G16365" t="s">
        <v>55</v>
      </c>
      <c r="H16365" t="s">
        <v>43</v>
      </c>
      <c r="I16365" t="s">
        <v>2191</v>
      </c>
      <c r="J16365" s="10">
        <v>8</v>
      </c>
      <c r="K16365" t="b">
        <v>1</v>
      </c>
    </row>
    <row r="16366" spans="1:11">
      <c r="A16366" s="12">
        <v>43686</v>
      </c>
      <c r="B16366">
        <v>2019</v>
      </c>
      <c r="C16366">
        <v>8</v>
      </c>
      <c r="D16366" s="11">
        <v>43678</v>
      </c>
      <c r="E16366" t="s">
        <v>2180</v>
      </c>
      <c r="F16366">
        <v>5</v>
      </c>
      <c r="G16366" t="s">
        <v>55</v>
      </c>
      <c r="H16366" t="s">
        <v>44</v>
      </c>
      <c r="I16366" t="s">
        <v>2192</v>
      </c>
      <c r="J16366" s="10">
        <v>13</v>
      </c>
      <c r="K16366" t="b">
        <v>1</v>
      </c>
    </row>
    <row r="16367" spans="1:11">
      <c r="A16367" s="12">
        <v>43686</v>
      </c>
      <c r="B16367">
        <v>2019</v>
      </c>
      <c r="C16367">
        <v>8</v>
      </c>
      <c r="D16367" s="11">
        <v>43678</v>
      </c>
      <c r="E16367" t="s">
        <v>2180</v>
      </c>
      <c r="F16367">
        <v>5</v>
      </c>
      <c r="G16367" t="s">
        <v>55</v>
      </c>
      <c r="H16367" t="s">
        <v>45</v>
      </c>
      <c r="I16367" t="s">
        <v>2193</v>
      </c>
      <c r="J16367" s="10">
        <v>5</v>
      </c>
      <c r="K16367" t="b">
        <v>1</v>
      </c>
    </row>
    <row r="16368" spans="1:11">
      <c r="A16368" s="12">
        <v>43686</v>
      </c>
      <c r="B16368">
        <v>2019</v>
      </c>
      <c r="C16368">
        <v>8</v>
      </c>
      <c r="D16368" s="11">
        <v>43678</v>
      </c>
      <c r="E16368" t="s">
        <v>2180</v>
      </c>
      <c r="F16368">
        <v>5</v>
      </c>
      <c r="G16368" t="s">
        <v>55</v>
      </c>
      <c r="H16368" t="s">
        <v>46</v>
      </c>
      <c r="I16368" t="s">
        <v>2194</v>
      </c>
      <c r="J16368" s="10">
        <v>1</v>
      </c>
      <c r="K16368" t="b">
        <v>1</v>
      </c>
    </row>
    <row r="16369" spans="1:11">
      <c r="A16369" s="12">
        <v>43686</v>
      </c>
      <c r="B16369">
        <v>2019</v>
      </c>
      <c r="C16369">
        <v>8</v>
      </c>
      <c r="D16369" s="11">
        <v>43678</v>
      </c>
      <c r="E16369" t="s">
        <v>2180</v>
      </c>
      <c r="F16369">
        <v>5</v>
      </c>
      <c r="G16369" t="s">
        <v>55</v>
      </c>
      <c r="H16369" t="s">
        <v>47</v>
      </c>
      <c r="I16369" t="s">
        <v>2195</v>
      </c>
      <c r="J16369" s="10">
        <v>5</v>
      </c>
      <c r="K16369" t="b">
        <v>1</v>
      </c>
    </row>
    <row r="16370" spans="1:11">
      <c r="A16370" s="12">
        <v>43687</v>
      </c>
      <c r="B16370">
        <v>2019</v>
      </c>
      <c r="C16370">
        <v>8</v>
      </c>
      <c r="D16370" s="11">
        <v>43678</v>
      </c>
      <c r="E16370" t="s">
        <v>2180</v>
      </c>
      <c r="F16370">
        <v>6</v>
      </c>
      <c r="G16370" t="s">
        <v>57</v>
      </c>
      <c r="H16370" t="s">
        <v>40</v>
      </c>
      <c r="I16370" t="s">
        <v>2188</v>
      </c>
      <c r="J16370" s="10">
        <v>3.33</v>
      </c>
      <c r="K16370" t="b">
        <v>1</v>
      </c>
    </row>
    <row r="16371" spans="1:11">
      <c r="A16371" s="12">
        <v>43687</v>
      </c>
      <c r="B16371">
        <v>2019</v>
      </c>
      <c r="C16371">
        <v>8</v>
      </c>
      <c r="D16371" s="11">
        <v>43678</v>
      </c>
      <c r="E16371" t="s">
        <v>2180</v>
      </c>
      <c r="F16371">
        <v>6</v>
      </c>
      <c r="G16371" t="s">
        <v>57</v>
      </c>
      <c r="H16371" t="s">
        <v>41</v>
      </c>
      <c r="I16371" t="s">
        <v>2189</v>
      </c>
      <c r="J16371" s="10">
        <v>0.68</v>
      </c>
      <c r="K16371" t="b">
        <v>1</v>
      </c>
    </row>
    <row r="16372" spans="1:11">
      <c r="A16372" s="12">
        <v>43687</v>
      </c>
      <c r="B16372">
        <v>2019</v>
      </c>
      <c r="C16372">
        <v>8</v>
      </c>
      <c r="D16372" s="11">
        <v>43678</v>
      </c>
      <c r="E16372" t="s">
        <v>2180</v>
      </c>
      <c r="F16372">
        <v>6</v>
      </c>
      <c r="G16372" t="s">
        <v>57</v>
      </c>
      <c r="H16372" t="s">
        <v>42</v>
      </c>
      <c r="I16372" t="s">
        <v>2190</v>
      </c>
      <c r="J16372" s="10">
        <v>6</v>
      </c>
      <c r="K16372" t="b">
        <v>1</v>
      </c>
    </row>
    <row r="16373" spans="1:11">
      <c r="A16373" s="12">
        <v>43687</v>
      </c>
      <c r="B16373">
        <v>2019</v>
      </c>
      <c r="C16373">
        <v>8</v>
      </c>
      <c r="D16373" s="11">
        <v>43678</v>
      </c>
      <c r="E16373" t="s">
        <v>2180</v>
      </c>
      <c r="F16373">
        <v>6</v>
      </c>
      <c r="G16373" t="s">
        <v>57</v>
      </c>
      <c r="H16373" t="s">
        <v>43</v>
      </c>
      <c r="I16373" t="s">
        <v>2191</v>
      </c>
      <c r="J16373" s="10">
        <v>15</v>
      </c>
      <c r="K16373" t="b">
        <v>1</v>
      </c>
    </row>
    <row r="16374" spans="1:11">
      <c r="A16374" s="12">
        <v>43687</v>
      </c>
      <c r="B16374">
        <v>2019</v>
      </c>
      <c r="C16374">
        <v>8</v>
      </c>
      <c r="D16374" s="11">
        <v>43678</v>
      </c>
      <c r="E16374" t="s">
        <v>2180</v>
      </c>
      <c r="F16374">
        <v>6</v>
      </c>
      <c r="G16374" t="s">
        <v>57</v>
      </c>
      <c r="H16374" t="s">
        <v>44</v>
      </c>
      <c r="I16374" t="s">
        <v>2192</v>
      </c>
      <c r="J16374" s="10">
        <v>11</v>
      </c>
      <c r="K16374" t="b">
        <v>1</v>
      </c>
    </row>
    <row r="16375" spans="1:11">
      <c r="A16375" s="12">
        <v>43687</v>
      </c>
      <c r="B16375">
        <v>2019</v>
      </c>
      <c r="C16375">
        <v>8</v>
      </c>
      <c r="D16375" s="11">
        <v>43678</v>
      </c>
      <c r="E16375" t="s">
        <v>2180</v>
      </c>
      <c r="F16375">
        <v>6</v>
      </c>
      <c r="G16375" t="s">
        <v>57</v>
      </c>
      <c r="H16375" t="s">
        <v>45</v>
      </c>
      <c r="I16375" t="s">
        <v>2193</v>
      </c>
      <c r="J16375" s="10">
        <v>0</v>
      </c>
      <c r="K16375" t="b">
        <v>1</v>
      </c>
    </row>
    <row r="16376" spans="1:11">
      <c r="A16376" s="12">
        <v>43687</v>
      </c>
      <c r="B16376">
        <v>2019</v>
      </c>
      <c r="C16376">
        <v>8</v>
      </c>
      <c r="D16376" s="11">
        <v>43678</v>
      </c>
      <c r="E16376" t="s">
        <v>2180</v>
      </c>
      <c r="F16376">
        <v>6</v>
      </c>
      <c r="G16376" t="s">
        <v>57</v>
      </c>
      <c r="H16376" t="s">
        <v>46</v>
      </c>
      <c r="I16376" t="s">
        <v>2194</v>
      </c>
      <c r="J16376" s="10">
        <v>0</v>
      </c>
      <c r="K16376" t="b">
        <v>1</v>
      </c>
    </row>
    <row r="16377" spans="1:11">
      <c r="A16377" s="12">
        <v>43687</v>
      </c>
      <c r="B16377">
        <v>2019</v>
      </c>
      <c r="C16377">
        <v>8</v>
      </c>
      <c r="D16377" s="11">
        <v>43678</v>
      </c>
      <c r="E16377" t="s">
        <v>2180</v>
      </c>
      <c r="F16377">
        <v>6</v>
      </c>
      <c r="G16377" t="s">
        <v>57</v>
      </c>
      <c r="H16377" t="s">
        <v>47</v>
      </c>
      <c r="I16377" t="s">
        <v>2195</v>
      </c>
      <c r="J16377" s="10">
        <v>0</v>
      </c>
      <c r="K16377" t="b">
        <v>1</v>
      </c>
    </row>
    <row r="16378" spans="1:11">
      <c r="A16378" s="12">
        <v>43688</v>
      </c>
      <c r="B16378">
        <v>2019</v>
      </c>
      <c r="C16378">
        <v>8</v>
      </c>
      <c r="D16378" s="11">
        <v>43678</v>
      </c>
      <c r="E16378" t="s">
        <v>2180</v>
      </c>
      <c r="F16378">
        <v>7</v>
      </c>
      <c r="G16378" t="s">
        <v>59</v>
      </c>
      <c r="H16378" t="s">
        <v>40</v>
      </c>
      <c r="I16378" t="s">
        <v>2188</v>
      </c>
      <c r="J16378" s="10">
        <v>7</v>
      </c>
      <c r="K16378" t="b">
        <v>1</v>
      </c>
    </row>
    <row r="16379" spans="1:11">
      <c r="A16379" s="12">
        <v>43688</v>
      </c>
      <c r="B16379">
        <v>2019</v>
      </c>
      <c r="C16379">
        <v>8</v>
      </c>
      <c r="D16379" s="11">
        <v>43678</v>
      </c>
      <c r="E16379" t="s">
        <v>2180</v>
      </c>
      <c r="F16379">
        <v>7</v>
      </c>
      <c r="G16379" t="s">
        <v>59</v>
      </c>
      <c r="H16379" t="s">
        <v>41</v>
      </c>
      <c r="I16379" t="s">
        <v>2189</v>
      </c>
      <c r="J16379" s="10">
        <v>6.85</v>
      </c>
      <c r="K16379" t="b">
        <v>1</v>
      </c>
    </row>
    <row r="16380" spans="1:11">
      <c r="A16380" s="12">
        <v>43688</v>
      </c>
      <c r="B16380">
        <v>2019</v>
      </c>
      <c r="C16380">
        <v>8</v>
      </c>
      <c r="D16380" s="11">
        <v>43678</v>
      </c>
      <c r="E16380" t="s">
        <v>2180</v>
      </c>
      <c r="F16380">
        <v>7</v>
      </c>
      <c r="G16380" t="s">
        <v>59</v>
      </c>
      <c r="H16380" t="s">
        <v>42</v>
      </c>
      <c r="I16380" t="s">
        <v>2190</v>
      </c>
      <c r="J16380" s="10">
        <v>4</v>
      </c>
      <c r="K16380" t="b">
        <v>1</v>
      </c>
    </row>
    <row r="16381" spans="1:11">
      <c r="A16381" s="12">
        <v>43688</v>
      </c>
      <c r="B16381">
        <v>2019</v>
      </c>
      <c r="C16381">
        <v>8</v>
      </c>
      <c r="D16381" s="11">
        <v>43678</v>
      </c>
      <c r="E16381" t="s">
        <v>2180</v>
      </c>
      <c r="F16381">
        <v>7</v>
      </c>
      <c r="G16381" t="s">
        <v>59</v>
      </c>
      <c r="H16381" t="s">
        <v>43</v>
      </c>
      <c r="I16381" t="s">
        <v>2191</v>
      </c>
      <c r="J16381" s="10">
        <v>16</v>
      </c>
      <c r="K16381" t="b">
        <v>1</v>
      </c>
    </row>
    <row r="16382" spans="1:11">
      <c r="A16382" s="12">
        <v>43688</v>
      </c>
      <c r="B16382">
        <v>2019</v>
      </c>
      <c r="C16382">
        <v>8</v>
      </c>
      <c r="D16382" s="11">
        <v>43678</v>
      </c>
      <c r="E16382" t="s">
        <v>2180</v>
      </c>
      <c r="F16382">
        <v>7</v>
      </c>
      <c r="G16382" t="s">
        <v>59</v>
      </c>
      <c r="H16382" t="s">
        <v>44</v>
      </c>
      <c r="I16382" t="s">
        <v>2192</v>
      </c>
      <c r="J16382" s="10">
        <v>5</v>
      </c>
      <c r="K16382" t="b">
        <v>1</v>
      </c>
    </row>
    <row r="16383" spans="1:11">
      <c r="A16383" s="12">
        <v>43688</v>
      </c>
      <c r="B16383">
        <v>2019</v>
      </c>
      <c r="C16383">
        <v>8</v>
      </c>
      <c r="D16383" s="11">
        <v>43678</v>
      </c>
      <c r="E16383" t="s">
        <v>2180</v>
      </c>
      <c r="F16383">
        <v>7</v>
      </c>
      <c r="G16383" t="s">
        <v>59</v>
      </c>
      <c r="H16383" t="s">
        <v>45</v>
      </c>
      <c r="I16383" t="s">
        <v>2193</v>
      </c>
      <c r="J16383" s="10">
        <v>2</v>
      </c>
      <c r="K16383" t="b">
        <v>1</v>
      </c>
    </row>
    <row r="16384" spans="1:11">
      <c r="A16384" s="12">
        <v>43688</v>
      </c>
      <c r="B16384">
        <v>2019</v>
      </c>
      <c r="C16384">
        <v>8</v>
      </c>
      <c r="D16384" s="11">
        <v>43678</v>
      </c>
      <c r="E16384" t="s">
        <v>2180</v>
      </c>
      <c r="F16384">
        <v>7</v>
      </c>
      <c r="G16384" t="s">
        <v>59</v>
      </c>
      <c r="H16384" t="s">
        <v>46</v>
      </c>
      <c r="I16384" t="s">
        <v>2194</v>
      </c>
      <c r="J16384" s="10">
        <v>2</v>
      </c>
      <c r="K16384" t="b">
        <v>1</v>
      </c>
    </row>
    <row r="16385" spans="1:11">
      <c r="A16385" s="12">
        <v>43688</v>
      </c>
      <c r="B16385">
        <v>2019</v>
      </c>
      <c r="C16385">
        <v>8</v>
      </c>
      <c r="D16385" s="11">
        <v>43678</v>
      </c>
      <c r="E16385" t="s">
        <v>2180</v>
      </c>
      <c r="F16385">
        <v>7</v>
      </c>
      <c r="G16385" t="s">
        <v>59</v>
      </c>
      <c r="H16385" t="s">
        <v>47</v>
      </c>
      <c r="I16385" t="s">
        <v>2195</v>
      </c>
      <c r="J16385" s="10">
        <v>3</v>
      </c>
      <c r="K16385" t="b">
        <v>1</v>
      </c>
    </row>
    <row r="16386" spans="1:11">
      <c r="A16386" s="12">
        <v>43689</v>
      </c>
      <c r="B16386">
        <v>2019</v>
      </c>
      <c r="C16386">
        <v>8</v>
      </c>
      <c r="D16386" s="11">
        <v>43678</v>
      </c>
      <c r="E16386" t="s">
        <v>2180</v>
      </c>
      <c r="F16386">
        <v>1</v>
      </c>
      <c r="G16386" t="s">
        <v>61</v>
      </c>
      <c r="H16386" t="s">
        <v>40</v>
      </c>
      <c r="I16386" t="s">
        <v>2188</v>
      </c>
      <c r="J16386" s="10">
        <v>8.33</v>
      </c>
      <c r="K16386" t="b">
        <v>1</v>
      </c>
    </row>
    <row r="16387" spans="1:11">
      <c r="A16387" s="12">
        <v>43689</v>
      </c>
      <c r="B16387">
        <v>2019</v>
      </c>
      <c r="C16387">
        <v>8</v>
      </c>
      <c r="D16387" s="11">
        <v>43678</v>
      </c>
      <c r="E16387" t="s">
        <v>2180</v>
      </c>
      <c r="F16387">
        <v>1</v>
      </c>
      <c r="G16387" t="s">
        <v>61</v>
      </c>
      <c r="H16387" t="s">
        <v>41</v>
      </c>
      <c r="I16387" t="s">
        <v>2189</v>
      </c>
      <c r="J16387" s="10">
        <v>4.496</v>
      </c>
      <c r="K16387" t="b">
        <v>1</v>
      </c>
    </row>
    <row r="16388" spans="1:11">
      <c r="A16388" s="12">
        <v>43689</v>
      </c>
      <c r="B16388">
        <v>2019</v>
      </c>
      <c r="C16388">
        <v>8</v>
      </c>
      <c r="D16388" s="11">
        <v>43678</v>
      </c>
      <c r="E16388" t="s">
        <v>2180</v>
      </c>
      <c r="F16388">
        <v>1</v>
      </c>
      <c r="G16388" t="s">
        <v>61</v>
      </c>
      <c r="H16388" t="s">
        <v>42</v>
      </c>
      <c r="I16388" t="s">
        <v>2190</v>
      </c>
      <c r="J16388" s="10">
        <v>1</v>
      </c>
      <c r="K16388" t="b">
        <v>1</v>
      </c>
    </row>
    <row r="16389" spans="1:11">
      <c r="A16389" s="12">
        <v>43689</v>
      </c>
      <c r="B16389">
        <v>2019</v>
      </c>
      <c r="C16389">
        <v>8</v>
      </c>
      <c r="D16389" s="11">
        <v>43678</v>
      </c>
      <c r="E16389" t="s">
        <v>2180</v>
      </c>
      <c r="F16389">
        <v>1</v>
      </c>
      <c r="G16389" t="s">
        <v>61</v>
      </c>
      <c r="H16389" t="s">
        <v>43</v>
      </c>
      <c r="I16389" t="s">
        <v>2191</v>
      </c>
      <c r="J16389" s="10">
        <v>36</v>
      </c>
      <c r="K16389" t="b">
        <v>1</v>
      </c>
    </row>
    <row r="16390" spans="1:11">
      <c r="A16390" s="12">
        <v>43689</v>
      </c>
      <c r="B16390">
        <v>2019</v>
      </c>
      <c r="C16390">
        <v>8</v>
      </c>
      <c r="D16390" s="11">
        <v>43678</v>
      </c>
      <c r="E16390" t="s">
        <v>2180</v>
      </c>
      <c r="F16390">
        <v>1</v>
      </c>
      <c r="G16390" t="s">
        <v>61</v>
      </c>
      <c r="H16390" t="s">
        <v>44</v>
      </c>
      <c r="I16390" t="s">
        <v>2192</v>
      </c>
      <c r="J16390" s="10">
        <v>11</v>
      </c>
      <c r="K16390" t="b">
        <v>1</v>
      </c>
    </row>
    <row r="16391" spans="1:11">
      <c r="A16391" s="12">
        <v>43689</v>
      </c>
      <c r="B16391">
        <v>2019</v>
      </c>
      <c r="C16391">
        <v>8</v>
      </c>
      <c r="D16391" s="11">
        <v>43678</v>
      </c>
      <c r="E16391" t="s">
        <v>2180</v>
      </c>
      <c r="F16391">
        <v>1</v>
      </c>
      <c r="G16391" t="s">
        <v>61</v>
      </c>
      <c r="H16391" t="s">
        <v>45</v>
      </c>
      <c r="I16391" t="s">
        <v>2193</v>
      </c>
      <c r="J16391" s="10">
        <v>1</v>
      </c>
      <c r="K16391" t="b">
        <v>1</v>
      </c>
    </row>
    <row r="16392" spans="1:11">
      <c r="A16392" s="12">
        <v>43689</v>
      </c>
      <c r="B16392">
        <v>2019</v>
      </c>
      <c r="C16392">
        <v>8</v>
      </c>
      <c r="D16392" s="11">
        <v>43678</v>
      </c>
      <c r="E16392" t="s">
        <v>2180</v>
      </c>
      <c r="F16392">
        <v>1</v>
      </c>
      <c r="G16392" t="s">
        <v>61</v>
      </c>
      <c r="H16392" t="s">
        <v>46</v>
      </c>
      <c r="I16392" t="s">
        <v>2194</v>
      </c>
      <c r="J16392" s="10">
        <v>5</v>
      </c>
      <c r="K16392" t="b">
        <v>1</v>
      </c>
    </row>
    <row r="16393" spans="1:11">
      <c r="A16393" s="12">
        <v>43689</v>
      </c>
      <c r="B16393">
        <v>2019</v>
      </c>
      <c r="C16393">
        <v>8</v>
      </c>
      <c r="D16393" s="11">
        <v>43678</v>
      </c>
      <c r="E16393" t="s">
        <v>2180</v>
      </c>
      <c r="F16393">
        <v>1</v>
      </c>
      <c r="G16393" t="s">
        <v>61</v>
      </c>
      <c r="H16393" t="s">
        <v>47</v>
      </c>
      <c r="I16393" t="s">
        <v>2195</v>
      </c>
      <c r="J16393" s="10">
        <v>3.5</v>
      </c>
      <c r="K16393" t="b">
        <v>1</v>
      </c>
    </row>
    <row r="16394" spans="1:11">
      <c r="A16394" s="12">
        <v>43690</v>
      </c>
      <c r="B16394">
        <v>2019</v>
      </c>
      <c r="C16394">
        <v>8</v>
      </c>
      <c r="D16394" s="11">
        <v>43678</v>
      </c>
      <c r="E16394" t="s">
        <v>2180</v>
      </c>
      <c r="F16394">
        <v>2</v>
      </c>
      <c r="G16394" t="s">
        <v>63</v>
      </c>
      <c r="H16394" t="s">
        <v>40</v>
      </c>
      <c r="I16394" t="s">
        <v>2188</v>
      </c>
      <c r="J16394" s="10">
        <v>8</v>
      </c>
      <c r="K16394" t="b">
        <v>1</v>
      </c>
    </row>
    <row r="16395" spans="1:11">
      <c r="A16395" s="12">
        <v>43690</v>
      </c>
      <c r="B16395">
        <v>2019</v>
      </c>
      <c r="C16395">
        <v>8</v>
      </c>
      <c r="D16395" s="11">
        <v>43678</v>
      </c>
      <c r="E16395" t="s">
        <v>2180</v>
      </c>
      <c r="F16395">
        <v>2</v>
      </c>
      <c r="G16395" t="s">
        <v>63</v>
      </c>
      <c r="H16395" t="s">
        <v>41</v>
      </c>
      <c r="I16395" t="s">
        <v>2189</v>
      </c>
      <c r="J16395" s="10">
        <v>1.896</v>
      </c>
      <c r="K16395" t="b">
        <v>1</v>
      </c>
    </row>
    <row r="16396" spans="1:11">
      <c r="A16396" s="12">
        <v>43690</v>
      </c>
      <c r="B16396">
        <v>2019</v>
      </c>
      <c r="C16396">
        <v>8</v>
      </c>
      <c r="D16396" s="11">
        <v>43678</v>
      </c>
      <c r="E16396" t="s">
        <v>2180</v>
      </c>
      <c r="F16396">
        <v>2</v>
      </c>
      <c r="G16396" t="s">
        <v>63</v>
      </c>
      <c r="H16396" t="s">
        <v>42</v>
      </c>
      <c r="I16396" t="s">
        <v>2190</v>
      </c>
      <c r="J16396" s="10">
        <v>2</v>
      </c>
      <c r="K16396" t="b">
        <v>1</v>
      </c>
    </row>
    <row r="16397" spans="1:11">
      <c r="A16397" s="12">
        <v>43690</v>
      </c>
      <c r="B16397">
        <v>2019</v>
      </c>
      <c r="C16397">
        <v>8</v>
      </c>
      <c r="D16397" s="11">
        <v>43678</v>
      </c>
      <c r="E16397" t="s">
        <v>2180</v>
      </c>
      <c r="F16397">
        <v>2</v>
      </c>
      <c r="G16397" t="s">
        <v>63</v>
      </c>
      <c r="H16397" t="s">
        <v>43</v>
      </c>
      <c r="I16397" t="s">
        <v>2191</v>
      </c>
      <c r="J16397" s="10">
        <v>15</v>
      </c>
      <c r="K16397" t="b">
        <v>1</v>
      </c>
    </row>
    <row r="16398" spans="1:11">
      <c r="A16398" s="12">
        <v>43690</v>
      </c>
      <c r="B16398">
        <v>2019</v>
      </c>
      <c r="C16398">
        <v>8</v>
      </c>
      <c r="D16398" s="11">
        <v>43678</v>
      </c>
      <c r="E16398" t="s">
        <v>2180</v>
      </c>
      <c r="F16398">
        <v>2</v>
      </c>
      <c r="G16398" t="s">
        <v>63</v>
      </c>
      <c r="H16398" t="s">
        <v>44</v>
      </c>
      <c r="I16398" t="s">
        <v>2192</v>
      </c>
      <c r="J16398" s="10">
        <v>3</v>
      </c>
      <c r="K16398" t="b">
        <v>1</v>
      </c>
    </row>
    <row r="16399" spans="1:11">
      <c r="A16399" s="12">
        <v>43690</v>
      </c>
      <c r="B16399">
        <v>2019</v>
      </c>
      <c r="C16399">
        <v>8</v>
      </c>
      <c r="D16399" s="11">
        <v>43678</v>
      </c>
      <c r="E16399" t="s">
        <v>2180</v>
      </c>
      <c r="F16399">
        <v>2</v>
      </c>
      <c r="G16399" t="s">
        <v>63</v>
      </c>
      <c r="H16399" t="s">
        <v>45</v>
      </c>
      <c r="I16399" t="s">
        <v>2193</v>
      </c>
      <c r="J16399" s="10">
        <v>0</v>
      </c>
      <c r="K16399" t="b">
        <v>1</v>
      </c>
    </row>
    <row r="16400" spans="1:11">
      <c r="A16400" s="12">
        <v>43690</v>
      </c>
      <c r="B16400">
        <v>2019</v>
      </c>
      <c r="C16400">
        <v>8</v>
      </c>
      <c r="D16400" s="11">
        <v>43678</v>
      </c>
      <c r="E16400" t="s">
        <v>2180</v>
      </c>
      <c r="F16400">
        <v>2</v>
      </c>
      <c r="G16400" t="s">
        <v>63</v>
      </c>
      <c r="H16400" t="s">
        <v>46</v>
      </c>
      <c r="I16400" t="s">
        <v>2194</v>
      </c>
      <c r="J16400" s="10">
        <v>2</v>
      </c>
      <c r="K16400" t="b">
        <v>1</v>
      </c>
    </row>
    <row r="16401" spans="1:11">
      <c r="A16401" s="12">
        <v>43690</v>
      </c>
      <c r="B16401">
        <v>2019</v>
      </c>
      <c r="C16401">
        <v>8</v>
      </c>
      <c r="D16401" s="11">
        <v>43678</v>
      </c>
      <c r="E16401" t="s">
        <v>2180</v>
      </c>
      <c r="F16401">
        <v>2</v>
      </c>
      <c r="G16401" t="s">
        <v>63</v>
      </c>
      <c r="H16401" t="s">
        <v>47</v>
      </c>
      <c r="I16401" t="s">
        <v>2195</v>
      </c>
      <c r="J16401" s="10">
        <v>1</v>
      </c>
      <c r="K16401" t="b">
        <v>1</v>
      </c>
    </row>
    <row r="16402" spans="1:11">
      <c r="A16402" s="12">
        <v>43691</v>
      </c>
      <c r="B16402">
        <v>2019</v>
      </c>
      <c r="C16402">
        <v>8</v>
      </c>
      <c r="D16402" s="11">
        <v>43678</v>
      </c>
      <c r="E16402" t="s">
        <v>2180</v>
      </c>
      <c r="F16402">
        <v>3</v>
      </c>
      <c r="G16402" t="s">
        <v>65</v>
      </c>
      <c r="H16402" t="s">
        <v>40</v>
      </c>
      <c r="I16402" t="s">
        <v>2188</v>
      </c>
      <c r="J16402" s="10">
        <v>4.34</v>
      </c>
      <c r="K16402" t="b">
        <v>1</v>
      </c>
    </row>
    <row r="16403" spans="1:11">
      <c r="A16403" s="12">
        <v>43691</v>
      </c>
      <c r="B16403">
        <v>2019</v>
      </c>
      <c r="C16403">
        <v>8</v>
      </c>
      <c r="D16403" s="11">
        <v>43678</v>
      </c>
      <c r="E16403" t="s">
        <v>2180</v>
      </c>
      <c r="F16403">
        <v>3</v>
      </c>
      <c r="G16403" t="s">
        <v>65</v>
      </c>
      <c r="H16403" t="s">
        <v>41</v>
      </c>
      <c r="I16403" t="s">
        <v>2189</v>
      </c>
      <c r="J16403" s="10">
        <v>0.67</v>
      </c>
      <c r="K16403" t="b">
        <v>1</v>
      </c>
    </row>
    <row r="16404" spans="1:11">
      <c r="A16404" s="12">
        <v>43691</v>
      </c>
      <c r="B16404">
        <v>2019</v>
      </c>
      <c r="C16404">
        <v>8</v>
      </c>
      <c r="D16404" s="11">
        <v>43678</v>
      </c>
      <c r="E16404" t="s">
        <v>2180</v>
      </c>
      <c r="F16404">
        <v>3</v>
      </c>
      <c r="G16404" t="s">
        <v>65</v>
      </c>
      <c r="H16404" t="s">
        <v>42</v>
      </c>
      <c r="I16404" t="s">
        <v>2190</v>
      </c>
      <c r="J16404" s="10">
        <v>3.1</v>
      </c>
      <c r="K16404" t="b">
        <v>1</v>
      </c>
    </row>
    <row r="16405" spans="1:11">
      <c r="A16405" s="12">
        <v>43691</v>
      </c>
      <c r="B16405">
        <v>2019</v>
      </c>
      <c r="C16405">
        <v>8</v>
      </c>
      <c r="D16405" s="11">
        <v>43678</v>
      </c>
      <c r="E16405" t="s">
        <v>2180</v>
      </c>
      <c r="F16405">
        <v>3</v>
      </c>
      <c r="G16405" t="s">
        <v>65</v>
      </c>
      <c r="H16405" t="s">
        <v>43</v>
      </c>
      <c r="I16405" t="s">
        <v>2191</v>
      </c>
      <c r="J16405" s="10">
        <v>20</v>
      </c>
      <c r="K16405" t="b">
        <v>1</v>
      </c>
    </row>
    <row r="16406" spans="1:11">
      <c r="A16406" s="12">
        <v>43691</v>
      </c>
      <c r="B16406">
        <v>2019</v>
      </c>
      <c r="C16406">
        <v>8</v>
      </c>
      <c r="D16406" s="11">
        <v>43678</v>
      </c>
      <c r="E16406" t="s">
        <v>2180</v>
      </c>
      <c r="F16406">
        <v>3</v>
      </c>
      <c r="G16406" t="s">
        <v>65</v>
      </c>
      <c r="H16406" t="s">
        <v>44</v>
      </c>
      <c r="I16406" t="s">
        <v>2192</v>
      </c>
      <c r="J16406" s="10">
        <v>6</v>
      </c>
      <c r="K16406" t="b">
        <v>1</v>
      </c>
    </row>
    <row r="16407" spans="1:11">
      <c r="A16407" s="12">
        <v>43691</v>
      </c>
      <c r="B16407">
        <v>2019</v>
      </c>
      <c r="C16407">
        <v>8</v>
      </c>
      <c r="D16407" s="11">
        <v>43678</v>
      </c>
      <c r="E16407" t="s">
        <v>2180</v>
      </c>
      <c r="F16407">
        <v>3</v>
      </c>
      <c r="G16407" t="s">
        <v>65</v>
      </c>
      <c r="H16407" t="s">
        <v>45</v>
      </c>
      <c r="I16407" t="s">
        <v>2193</v>
      </c>
      <c r="J16407" s="10">
        <v>0</v>
      </c>
      <c r="K16407" t="b">
        <v>1</v>
      </c>
    </row>
    <row r="16408" spans="1:11">
      <c r="A16408" s="12">
        <v>43691</v>
      </c>
      <c r="B16408">
        <v>2019</v>
      </c>
      <c r="C16408">
        <v>8</v>
      </c>
      <c r="D16408" s="11">
        <v>43678</v>
      </c>
      <c r="E16408" t="s">
        <v>2180</v>
      </c>
      <c r="F16408">
        <v>3</v>
      </c>
      <c r="G16408" t="s">
        <v>65</v>
      </c>
      <c r="H16408" t="s">
        <v>46</v>
      </c>
      <c r="I16408" t="s">
        <v>2194</v>
      </c>
      <c r="J16408" s="10">
        <v>0</v>
      </c>
      <c r="K16408" t="b">
        <v>1</v>
      </c>
    </row>
    <row r="16409" spans="1:11">
      <c r="A16409" s="12">
        <v>43691</v>
      </c>
      <c r="B16409">
        <v>2019</v>
      </c>
      <c r="C16409">
        <v>8</v>
      </c>
      <c r="D16409" s="11">
        <v>43678</v>
      </c>
      <c r="E16409" t="s">
        <v>2180</v>
      </c>
      <c r="F16409">
        <v>3</v>
      </c>
      <c r="G16409" t="s">
        <v>65</v>
      </c>
      <c r="H16409" t="s">
        <v>47</v>
      </c>
      <c r="I16409" t="s">
        <v>2195</v>
      </c>
      <c r="J16409" s="10">
        <v>3</v>
      </c>
      <c r="K16409" t="b">
        <v>1</v>
      </c>
    </row>
    <row r="16410" spans="1:11">
      <c r="A16410" s="12">
        <v>43692</v>
      </c>
      <c r="B16410">
        <v>2019</v>
      </c>
      <c r="C16410">
        <v>8</v>
      </c>
      <c r="D16410" s="11">
        <v>43678</v>
      </c>
      <c r="E16410" t="s">
        <v>2180</v>
      </c>
      <c r="F16410">
        <v>4</v>
      </c>
      <c r="G16410" t="s">
        <v>53</v>
      </c>
      <c r="H16410" t="s">
        <v>40</v>
      </c>
      <c r="I16410" t="s">
        <v>2188</v>
      </c>
      <c r="J16410" s="10">
        <v>8.67</v>
      </c>
      <c r="K16410" t="b">
        <v>1</v>
      </c>
    </row>
    <row r="16411" spans="1:11">
      <c r="A16411" s="12">
        <v>43692</v>
      </c>
      <c r="B16411">
        <v>2019</v>
      </c>
      <c r="C16411">
        <v>8</v>
      </c>
      <c r="D16411" s="11">
        <v>43678</v>
      </c>
      <c r="E16411" t="s">
        <v>2180</v>
      </c>
      <c r="F16411">
        <v>4</v>
      </c>
      <c r="G16411" t="s">
        <v>53</v>
      </c>
      <c r="H16411" t="s">
        <v>41</v>
      </c>
      <c r="I16411" t="s">
        <v>2189</v>
      </c>
      <c r="J16411" s="10">
        <v>1.99</v>
      </c>
      <c r="K16411" t="b">
        <v>1</v>
      </c>
    </row>
    <row r="16412" spans="1:11">
      <c r="A16412" s="12">
        <v>43692</v>
      </c>
      <c r="B16412">
        <v>2019</v>
      </c>
      <c r="C16412">
        <v>8</v>
      </c>
      <c r="D16412" s="11">
        <v>43678</v>
      </c>
      <c r="E16412" t="s">
        <v>2180</v>
      </c>
      <c r="F16412">
        <v>4</v>
      </c>
      <c r="G16412" t="s">
        <v>53</v>
      </c>
      <c r="H16412" t="s">
        <v>42</v>
      </c>
      <c r="I16412" t="s">
        <v>2190</v>
      </c>
      <c r="J16412" s="10">
        <v>2</v>
      </c>
      <c r="K16412" t="b">
        <v>1</v>
      </c>
    </row>
    <row r="16413" spans="1:11">
      <c r="A16413" s="12">
        <v>43692</v>
      </c>
      <c r="B16413">
        <v>2019</v>
      </c>
      <c r="C16413">
        <v>8</v>
      </c>
      <c r="D16413" s="11">
        <v>43678</v>
      </c>
      <c r="E16413" t="s">
        <v>2180</v>
      </c>
      <c r="F16413">
        <v>4</v>
      </c>
      <c r="G16413" t="s">
        <v>53</v>
      </c>
      <c r="H16413" t="s">
        <v>43</v>
      </c>
      <c r="I16413" t="s">
        <v>2191</v>
      </c>
      <c r="J16413" s="10">
        <v>12</v>
      </c>
      <c r="K16413" t="b">
        <v>1</v>
      </c>
    </row>
    <row r="16414" spans="1:11">
      <c r="A16414" s="12">
        <v>43692</v>
      </c>
      <c r="B16414">
        <v>2019</v>
      </c>
      <c r="C16414">
        <v>8</v>
      </c>
      <c r="D16414" s="11">
        <v>43678</v>
      </c>
      <c r="E16414" t="s">
        <v>2180</v>
      </c>
      <c r="F16414">
        <v>4</v>
      </c>
      <c r="G16414" t="s">
        <v>53</v>
      </c>
      <c r="H16414" t="s">
        <v>44</v>
      </c>
      <c r="I16414" t="s">
        <v>2192</v>
      </c>
      <c r="J16414" s="10">
        <v>9</v>
      </c>
      <c r="K16414" t="b">
        <v>1</v>
      </c>
    </row>
    <row r="16415" spans="1:11">
      <c r="A16415" s="12">
        <v>43692</v>
      </c>
      <c r="B16415">
        <v>2019</v>
      </c>
      <c r="C16415">
        <v>8</v>
      </c>
      <c r="D16415" s="11">
        <v>43678</v>
      </c>
      <c r="E16415" t="s">
        <v>2180</v>
      </c>
      <c r="F16415">
        <v>4</v>
      </c>
      <c r="G16415" t="s">
        <v>53</v>
      </c>
      <c r="H16415" t="s">
        <v>45</v>
      </c>
      <c r="I16415" t="s">
        <v>2193</v>
      </c>
      <c r="J16415" s="10">
        <v>0</v>
      </c>
      <c r="K16415" t="b">
        <v>1</v>
      </c>
    </row>
    <row r="16416" spans="1:11">
      <c r="A16416" s="12">
        <v>43692</v>
      </c>
      <c r="B16416">
        <v>2019</v>
      </c>
      <c r="C16416">
        <v>8</v>
      </c>
      <c r="D16416" s="11">
        <v>43678</v>
      </c>
      <c r="E16416" t="s">
        <v>2180</v>
      </c>
      <c r="F16416">
        <v>4</v>
      </c>
      <c r="G16416" t="s">
        <v>53</v>
      </c>
      <c r="H16416" t="s">
        <v>46</v>
      </c>
      <c r="I16416" t="s">
        <v>2194</v>
      </c>
      <c r="J16416" s="10">
        <v>11</v>
      </c>
      <c r="K16416" t="b">
        <v>1</v>
      </c>
    </row>
    <row r="16417" spans="1:11">
      <c r="A16417" s="12">
        <v>43692</v>
      </c>
      <c r="B16417">
        <v>2019</v>
      </c>
      <c r="C16417">
        <v>8</v>
      </c>
      <c r="D16417" s="11">
        <v>43678</v>
      </c>
      <c r="E16417" t="s">
        <v>2180</v>
      </c>
      <c r="F16417">
        <v>4</v>
      </c>
      <c r="G16417" t="s">
        <v>53</v>
      </c>
      <c r="H16417" t="s">
        <v>47</v>
      </c>
      <c r="I16417" t="s">
        <v>2195</v>
      </c>
      <c r="J16417" s="10">
        <v>2</v>
      </c>
      <c r="K16417" t="b">
        <v>1</v>
      </c>
    </row>
    <row r="16418" spans="1:11">
      <c r="A16418" s="12">
        <v>43693</v>
      </c>
      <c r="B16418">
        <v>2019</v>
      </c>
      <c r="C16418">
        <v>8</v>
      </c>
      <c r="D16418" s="11">
        <v>43678</v>
      </c>
      <c r="E16418" t="s">
        <v>2180</v>
      </c>
      <c r="F16418">
        <v>5</v>
      </c>
      <c r="G16418" t="s">
        <v>55</v>
      </c>
      <c r="H16418" t="s">
        <v>40</v>
      </c>
      <c r="I16418" t="s">
        <v>2188</v>
      </c>
      <c r="J16418" s="10">
        <v>3.33</v>
      </c>
      <c r="K16418" t="b">
        <v>1</v>
      </c>
    </row>
    <row r="16419" spans="1:11">
      <c r="A16419" s="12">
        <v>43693</v>
      </c>
      <c r="B16419">
        <v>2019</v>
      </c>
      <c r="C16419">
        <v>8</v>
      </c>
      <c r="D16419" s="11">
        <v>43678</v>
      </c>
      <c r="E16419" t="s">
        <v>2180</v>
      </c>
      <c r="F16419">
        <v>5</v>
      </c>
      <c r="G16419" t="s">
        <v>55</v>
      </c>
      <c r="H16419" t="s">
        <v>41</v>
      </c>
      <c r="I16419" t="s">
        <v>2189</v>
      </c>
      <c r="J16419" s="10">
        <v>2.68</v>
      </c>
      <c r="K16419" t="b">
        <v>1</v>
      </c>
    </row>
    <row r="16420" spans="1:11">
      <c r="A16420" s="12">
        <v>43693</v>
      </c>
      <c r="B16420">
        <v>2019</v>
      </c>
      <c r="C16420">
        <v>8</v>
      </c>
      <c r="D16420" s="11">
        <v>43678</v>
      </c>
      <c r="E16420" t="s">
        <v>2180</v>
      </c>
      <c r="F16420">
        <v>5</v>
      </c>
      <c r="G16420" t="s">
        <v>55</v>
      </c>
      <c r="H16420" t="s">
        <v>42</v>
      </c>
      <c r="I16420" t="s">
        <v>2190</v>
      </c>
      <c r="J16420" s="10">
        <v>2</v>
      </c>
      <c r="K16420" t="b">
        <v>1</v>
      </c>
    </row>
    <row r="16421" spans="1:11">
      <c r="A16421" s="12">
        <v>43693</v>
      </c>
      <c r="B16421">
        <v>2019</v>
      </c>
      <c r="C16421">
        <v>8</v>
      </c>
      <c r="D16421" s="11">
        <v>43678</v>
      </c>
      <c r="E16421" t="s">
        <v>2180</v>
      </c>
      <c r="F16421">
        <v>5</v>
      </c>
      <c r="G16421" t="s">
        <v>55</v>
      </c>
      <c r="H16421" t="s">
        <v>43</v>
      </c>
      <c r="I16421" t="s">
        <v>2191</v>
      </c>
      <c r="J16421" s="10">
        <v>13</v>
      </c>
      <c r="K16421" t="b">
        <v>1</v>
      </c>
    </row>
    <row r="16422" spans="1:11">
      <c r="A16422" s="12">
        <v>43693</v>
      </c>
      <c r="B16422">
        <v>2019</v>
      </c>
      <c r="C16422">
        <v>8</v>
      </c>
      <c r="D16422" s="11">
        <v>43678</v>
      </c>
      <c r="E16422" t="s">
        <v>2180</v>
      </c>
      <c r="F16422">
        <v>5</v>
      </c>
      <c r="G16422" t="s">
        <v>55</v>
      </c>
      <c r="H16422" t="s">
        <v>44</v>
      </c>
      <c r="I16422" t="s">
        <v>2192</v>
      </c>
      <c r="J16422" s="10">
        <v>15</v>
      </c>
      <c r="K16422" t="b">
        <v>1</v>
      </c>
    </row>
    <row r="16423" spans="1:11">
      <c r="A16423" s="12">
        <v>43693</v>
      </c>
      <c r="B16423">
        <v>2019</v>
      </c>
      <c r="C16423">
        <v>8</v>
      </c>
      <c r="D16423" s="11">
        <v>43678</v>
      </c>
      <c r="E16423" t="s">
        <v>2180</v>
      </c>
      <c r="F16423">
        <v>5</v>
      </c>
      <c r="G16423" t="s">
        <v>55</v>
      </c>
      <c r="H16423" t="s">
        <v>45</v>
      </c>
      <c r="I16423" t="s">
        <v>2193</v>
      </c>
      <c r="J16423" s="10">
        <v>0</v>
      </c>
      <c r="K16423" t="b">
        <v>1</v>
      </c>
    </row>
    <row r="16424" spans="1:11">
      <c r="A16424" s="12">
        <v>43693</v>
      </c>
      <c r="B16424">
        <v>2019</v>
      </c>
      <c r="C16424">
        <v>8</v>
      </c>
      <c r="D16424" s="11">
        <v>43678</v>
      </c>
      <c r="E16424" t="s">
        <v>2180</v>
      </c>
      <c r="F16424">
        <v>5</v>
      </c>
      <c r="G16424" t="s">
        <v>55</v>
      </c>
      <c r="H16424" t="s">
        <v>46</v>
      </c>
      <c r="I16424" t="s">
        <v>2194</v>
      </c>
      <c r="J16424" s="10">
        <v>10</v>
      </c>
      <c r="K16424" t="b">
        <v>1</v>
      </c>
    </row>
    <row r="16425" spans="1:11">
      <c r="A16425" s="12">
        <v>43693</v>
      </c>
      <c r="B16425">
        <v>2019</v>
      </c>
      <c r="C16425">
        <v>8</v>
      </c>
      <c r="D16425" s="11">
        <v>43678</v>
      </c>
      <c r="E16425" t="s">
        <v>2180</v>
      </c>
      <c r="F16425">
        <v>5</v>
      </c>
      <c r="G16425" t="s">
        <v>55</v>
      </c>
      <c r="H16425" t="s">
        <v>47</v>
      </c>
      <c r="I16425" t="s">
        <v>2195</v>
      </c>
      <c r="J16425" s="10">
        <v>7</v>
      </c>
      <c r="K16425" t="b">
        <v>1</v>
      </c>
    </row>
    <row r="16426" spans="1:11">
      <c r="A16426" s="12">
        <v>43694</v>
      </c>
      <c r="B16426">
        <v>2019</v>
      </c>
      <c r="C16426">
        <v>8</v>
      </c>
      <c r="D16426" s="11">
        <v>43678</v>
      </c>
      <c r="E16426" t="s">
        <v>2180</v>
      </c>
      <c r="F16426">
        <v>6</v>
      </c>
      <c r="G16426" t="s">
        <v>57</v>
      </c>
      <c r="H16426" t="s">
        <v>40</v>
      </c>
      <c r="I16426" t="s">
        <v>2188</v>
      </c>
      <c r="J16426" s="10">
        <v>7.67</v>
      </c>
      <c r="K16426" t="b">
        <v>1</v>
      </c>
    </row>
    <row r="16427" spans="1:11">
      <c r="A16427" s="12">
        <v>43694</v>
      </c>
      <c r="B16427">
        <v>2019</v>
      </c>
      <c r="C16427">
        <v>8</v>
      </c>
      <c r="D16427" s="11">
        <v>43678</v>
      </c>
      <c r="E16427" t="s">
        <v>2180</v>
      </c>
      <c r="F16427">
        <v>6</v>
      </c>
      <c r="G16427" t="s">
        <v>57</v>
      </c>
      <c r="H16427" t="s">
        <v>41</v>
      </c>
      <c r="I16427" t="s">
        <v>2189</v>
      </c>
      <c r="J16427" s="10">
        <v>4.531</v>
      </c>
      <c r="K16427" t="b">
        <v>1</v>
      </c>
    </row>
    <row r="16428" spans="1:11">
      <c r="A16428" s="12">
        <v>43694</v>
      </c>
      <c r="B16428">
        <v>2019</v>
      </c>
      <c r="C16428">
        <v>8</v>
      </c>
      <c r="D16428" s="11">
        <v>43678</v>
      </c>
      <c r="E16428" t="s">
        <v>2180</v>
      </c>
      <c r="F16428">
        <v>6</v>
      </c>
      <c r="G16428" t="s">
        <v>57</v>
      </c>
      <c r="H16428" t="s">
        <v>42</v>
      </c>
      <c r="I16428" t="s">
        <v>2190</v>
      </c>
      <c r="J16428" s="10">
        <v>2.45</v>
      </c>
      <c r="K16428" t="b">
        <v>1</v>
      </c>
    </row>
    <row r="16429" spans="1:11">
      <c r="A16429" s="12">
        <v>43694</v>
      </c>
      <c r="B16429">
        <v>2019</v>
      </c>
      <c r="C16429">
        <v>8</v>
      </c>
      <c r="D16429" s="11">
        <v>43678</v>
      </c>
      <c r="E16429" t="s">
        <v>2180</v>
      </c>
      <c r="F16429">
        <v>6</v>
      </c>
      <c r="G16429" t="s">
        <v>57</v>
      </c>
      <c r="H16429" t="s">
        <v>43</v>
      </c>
      <c r="I16429" t="s">
        <v>2191</v>
      </c>
      <c r="J16429" s="10">
        <v>18</v>
      </c>
      <c r="K16429" t="b">
        <v>1</v>
      </c>
    </row>
    <row r="16430" spans="1:11">
      <c r="A16430" s="12">
        <v>43694</v>
      </c>
      <c r="B16430">
        <v>2019</v>
      </c>
      <c r="C16430">
        <v>8</v>
      </c>
      <c r="D16430" s="11">
        <v>43678</v>
      </c>
      <c r="E16430" t="s">
        <v>2180</v>
      </c>
      <c r="F16430">
        <v>6</v>
      </c>
      <c r="G16430" t="s">
        <v>57</v>
      </c>
      <c r="H16430" t="s">
        <v>44</v>
      </c>
      <c r="I16430" t="s">
        <v>2192</v>
      </c>
      <c r="J16430" s="10">
        <v>5</v>
      </c>
      <c r="K16430" t="b">
        <v>1</v>
      </c>
    </row>
    <row r="16431" spans="1:11">
      <c r="A16431" s="12">
        <v>43694</v>
      </c>
      <c r="B16431">
        <v>2019</v>
      </c>
      <c r="C16431">
        <v>8</v>
      </c>
      <c r="D16431" s="11">
        <v>43678</v>
      </c>
      <c r="E16431" t="s">
        <v>2180</v>
      </c>
      <c r="F16431">
        <v>6</v>
      </c>
      <c r="G16431" t="s">
        <v>57</v>
      </c>
      <c r="H16431" t="s">
        <v>45</v>
      </c>
      <c r="I16431" t="s">
        <v>2193</v>
      </c>
      <c r="J16431" s="10">
        <v>1</v>
      </c>
      <c r="K16431" t="b">
        <v>1</v>
      </c>
    </row>
    <row r="16432" spans="1:11">
      <c r="A16432" s="12">
        <v>43694</v>
      </c>
      <c r="B16432">
        <v>2019</v>
      </c>
      <c r="C16432">
        <v>8</v>
      </c>
      <c r="D16432" s="11">
        <v>43678</v>
      </c>
      <c r="E16432" t="s">
        <v>2180</v>
      </c>
      <c r="F16432">
        <v>6</v>
      </c>
      <c r="G16432" t="s">
        <v>57</v>
      </c>
      <c r="H16432" t="s">
        <v>46</v>
      </c>
      <c r="I16432" t="s">
        <v>2194</v>
      </c>
      <c r="J16432" s="10">
        <v>0</v>
      </c>
      <c r="K16432" t="b">
        <v>1</v>
      </c>
    </row>
    <row r="16433" spans="1:11">
      <c r="A16433" s="12">
        <v>43694</v>
      </c>
      <c r="B16433">
        <v>2019</v>
      </c>
      <c r="C16433">
        <v>8</v>
      </c>
      <c r="D16433" s="11">
        <v>43678</v>
      </c>
      <c r="E16433" t="s">
        <v>2180</v>
      </c>
      <c r="F16433">
        <v>6</v>
      </c>
      <c r="G16433" t="s">
        <v>57</v>
      </c>
      <c r="H16433" t="s">
        <v>47</v>
      </c>
      <c r="I16433" t="s">
        <v>2195</v>
      </c>
      <c r="J16433" s="10">
        <v>2.5</v>
      </c>
      <c r="K16433" t="b">
        <v>1</v>
      </c>
    </row>
    <row r="16434" spans="1:11">
      <c r="A16434" s="12">
        <v>43695</v>
      </c>
      <c r="B16434">
        <v>2019</v>
      </c>
      <c r="C16434">
        <v>8</v>
      </c>
      <c r="D16434" s="11">
        <v>43678</v>
      </c>
      <c r="E16434" t="s">
        <v>2180</v>
      </c>
      <c r="F16434">
        <v>7</v>
      </c>
      <c r="G16434" t="s">
        <v>59</v>
      </c>
      <c r="H16434" t="s">
        <v>40</v>
      </c>
      <c r="I16434" t="s">
        <v>2188</v>
      </c>
      <c r="J16434" s="10">
        <v>4.84</v>
      </c>
      <c r="K16434" t="b">
        <v>1</v>
      </c>
    </row>
    <row r="16435" spans="1:11">
      <c r="A16435" s="12">
        <v>43695</v>
      </c>
      <c r="B16435">
        <v>2019</v>
      </c>
      <c r="C16435">
        <v>8</v>
      </c>
      <c r="D16435" s="11">
        <v>43678</v>
      </c>
      <c r="E16435" t="s">
        <v>2180</v>
      </c>
      <c r="F16435">
        <v>7</v>
      </c>
      <c r="G16435" t="s">
        <v>59</v>
      </c>
      <c r="H16435" t="s">
        <v>41</v>
      </c>
      <c r="I16435" t="s">
        <v>2189</v>
      </c>
      <c r="J16435" s="10">
        <v>2.846</v>
      </c>
      <c r="K16435" t="b">
        <v>1</v>
      </c>
    </row>
    <row r="16436" spans="1:11">
      <c r="A16436" s="12">
        <v>43695</v>
      </c>
      <c r="B16436">
        <v>2019</v>
      </c>
      <c r="C16436">
        <v>8</v>
      </c>
      <c r="D16436" s="11">
        <v>43678</v>
      </c>
      <c r="E16436" t="s">
        <v>2180</v>
      </c>
      <c r="F16436">
        <v>7</v>
      </c>
      <c r="G16436" t="s">
        <v>59</v>
      </c>
      <c r="H16436" t="s">
        <v>42</v>
      </c>
      <c r="I16436" t="s">
        <v>2190</v>
      </c>
      <c r="J16436" s="10">
        <v>1</v>
      </c>
      <c r="K16436" t="b">
        <v>1</v>
      </c>
    </row>
    <row r="16437" spans="1:11">
      <c r="A16437" s="12">
        <v>43695</v>
      </c>
      <c r="B16437">
        <v>2019</v>
      </c>
      <c r="C16437">
        <v>8</v>
      </c>
      <c r="D16437" s="11">
        <v>43678</v>
      </c>
      <c r="E16437" t="s">
        <v>2180</v>
      </c>
      <c r="F16437">
        <v>7</v>
      </c>
      <c r="G16437" t="s">
        <v>59</v>
      </c>
      <c r="H16437" t="s">
        <v>43</v>
      </c>
      <c r="I16437" t="s">
        <v>2191</v>
      </c>
      <c r="J16437" s="10">
        <v>11</v>
      </c>
      <c r="K16437" t="b">
        <v>1</v>
      </c>
    </row>
    <row r="16438" spans="1:11">
      <c r="A16438" s="12">
        <v>43695</v>
      </c>
      <c r="B16438">
        <v>2019</v>
      </c>
      <c r="C16438">
        <v>8</v>
      </c>
      <c r="D16438" s="11">
        <v>43678</v>
      </c>
      <c r="E16438" t="s">
        <v>2180</v>
      </c>
      <c r="F16438">
        <v>7</v>
      </c>
      <c r="G16438" t="s">
        <v>59</v>
      </c>
      <c r="H16438" t="s">
        <v>44</v>
      </c>
      <c r="I16438" t="s">
        <v>2192</v>
      </c>
      <c r="J16438" s="10">
        <v>4</v>
      </c>
      <c r="K16438" t="b">
        <v>1</v>
      </c>
    </row>
    <row r="16439" spans="1:11">
      <c r="A16439" s="12">
        <v>43695</v>
      </c>
      <c r="B16439">
        <v>2019</v>
      </c>
      <c r="C16439">
        <v>8</v>
      </c>
      <c r="D16439" s="11">
        <v>43678</v>
      </c>
      <c r="E16439" t="s">
        <v>2180</v>
      </c>
      <c r="F16439">
        <v>7</v>
      </c>
      <c r="G16439" t="s">
        <v>59</v>
      </c>
      <c r="H16439" t="s">
        <v>45</v>
      </c>
      <c r="I16439" t="s">
        <v>2193</v>
      </c>
      <c r="J16439" s="10">
        <v>0</v>
      </c>
      <c r="K16439" t="b">
        <v>1</v>
      </c>
    </row>
    <row r="16440" spans="1:11">
      <c r="A16440" s="12">
        <v>43695</v>
      </c>
      <c r="B16440">
        <v>2019</v>
      </c>
      <c r="C16440">
        <v>8</v>
      </c>
      <c r="D16440" s="11">
        <v>43678</v>
      </c>
      <c r="E16440" t="s">
        <v>2180</v>
      </c>
      <c r="F16440">
        <v>7</v>
      </c>
      <c r="G16440" t="s">
        <v>59</v>
      </c>
      <c r="H16440" t="s">
        <v>46</v>
      </c>
      <c r="I16440" t="s">
        <v>2194</v>
      </c>
      <c r="J16440" s="10">
        <v>7</v>
      </c>
      <c r="K16440" t="b">
        <v>1</v>
      </c>
    </row>
    <row r="16441" spans="1:11">
      <c r="A16441" s="12">
        <v>43695</v>
      </c>
      <c r="B16441">
        <v>2019</v>
      </c>
      <c r="C16441">
        <v>8</v>
      </c>
      <c r="D16441" s="11">
        <v>43678</v>
      </c>
      <c r="E16441" t="s">
        <v>2180</v>
      </c>
      <c r="F16441">
        <v>7</v>
      </c>
      <c r="G16441" t="s">
        <v>59</v>
      </c>
      <c r="H16441" t="s">
        <v>47</v>
      </c>
      <c r="I16441" t="s">
        <v>2195</v>
      </c>
      <c r="J16441" s="10">
        <v>4</v>
      </c>
      <c r="K16441" t="b">
        <v>1</v>
      </c>
    </row>
    <row r="16442" spans="1:11">
      <c r="A16442" s="12">
        <v>43696</v>
      </c>
      <c r="B16442">
        <v>2019</v>
      </c>
      <c r="C16442">
        <v>8</v>
      </c>
      <c r="D16442" s="11">
        <v>43678</v>
      </c>
      <c r="E16442" t="s">
        <v>2180</v>
      </c>
      <c r="F16442">
        <v>1</v>
      </c>
      <c r="G16442" t="s">
        <v>61</v>
      </c>
      <c r="H16442" t="s">
        <v>40</v>
      </c>
      <c r="I16442" t="s">
        <v>2188</v>
      </c>
      <c r="J16442" s="10">
        <v>3.68</v>
      </c>
      <c r="K16442" t="b">
        <v>1</v>
      </c>
    </row>
    <row r="16443" spans="1:11">
      <c r="A16443" s="12">
        <v>43696</v>
      </c>
      <c r="B16443">
        <v>2019</v>
      </c>
      <c r="C16443">
        <v>8</v>
      </c>
      <c r="D16443" s="11">
        <v>43678</v>
      </c>
      <c r="E16443" t="s">
        <v>2180</v>
      </c>
      <c r="F16443">
        <v>1</v>
      </c>
      <c r="G16443" t="s">
        <v>61</v>
      </c>
      <c r="H16443" t="s">
        <v>41</v>
      </c>
      <c r="I16443" t="s">
        <v>2189</v>
      </c>
      <c r="J16443" s="10">
        <v>3.67</v>
      </c>
      <c r="K16443" t="b">
        <v>1</v>
      </c>
    </row>
    <row r="16444" spans="1:11">
      <c r="A16444" s="12">
        <v>43696</v>
      </c>
      <c r="B16444">
        <v>2019</v>
      </c>
      <c r="C16444">
        <v>8</v>
      </c>
      <c r="D16444" s="11">
        <v>43678</v>
      </c>
      <c r="E16444" t="s">
        <v>2180</v>
      </c>
      <c r="F16444">
        <v>1</v>
      </c>
      <c r="G16444" t="s">
        <v>61</v>
      </c>
      <c r="H16444" t="s">
        <v>42</v>
      </c>
      <c r="I16444" t="s">
        <v>2190</v>
      </c>
      <c r="J16444" s="10">
        <v>4</v>
      </c>
      <c r="K16444" t="b">
        <v>1</v>
      </c>
    </row>
    <row r="16445" spans="1:11">
      <c r="A16445" s="12">
        <v>43696</v>
      </c>
      <c r="B16445">
        <v>2019</v>
      </c>
      <c r="C16445">
        <v>8</v>
      </c>
      <c r="D16445" s="11">
        <v>43678</v>
      </c>
      <c r="E16445" t="s">
        <v>2180</v>
      </c>
      <c r="F16445">
        <v>1</v>
      </c>
      <c r="G16445" t="s">
        <v>61</v>
      </c>
      <c r="H16445" t="s">
        <v>43</v>
      </c>
      <c r="I16445" t="s">
        <v>2191</v>
      </c>
      <c r="J16445" s="10">
        <v>9</v>
      </c>
      <c r="K16445" t="b">
        <v>1</v>
      </c>
    </row>
    <row r="16446" spans="1:11">
      <c r="A16446" s="12">
        <v>43696</v>
      </c>
      <c r="B16446">
        <v>2019</v>
      </c>
      <c r="C16446">
        <v>8</v>
      </c>
      <c r="D16446" s="11">
        <v>43678</v>
      </c>
      <c r="E16446" t="s">
        <v>2180</v>
      </c>
      <c r="F16446">
        <v>1</v>
      </c>
      <c r="G16446" t="s">
        <v>61</v>
      </c>
      <c r="H16446" t="s">
        <v>44</v>
      </c>
      <c r="I16446" t="s">
        <v>2192</v>
      </c>
      <c r="J16446" s="10">
        <v>11</v>
      </c>
      <c r="K16446" t="b">
        <v>1</v>
      </c>
    </row>
    <row r="16447" spans="1:11">
      <c r="A16447" s="12">
        <v>43696</v>
      </c>
      <c r="B16447">
        <v>2019</v>
      </c>
      <c r="C16447">
        <v>8</v>
      </c>
      <c r="D16447" s="11">
        <v>43678</v>
      </c>
      <c r="E16447" t="s">
        <v>2180</v>
      </c>
      <c r="F16447">
        <v>1</v>
      </c>
      <c r="G16447" t="s">
        <v>61</v>
      </c>
      <c r="H16447" t="s">
        <v>45</v>
      </c>
      <c r="I16447" t="s">
        <v>2193</v>
      </c>
      <c r="J16447" s="10">
        <v>2</v>
      </c>
      <c r="K16447" t="b">
        <v>1</v>
      </c>
    </row>
    <row r="16448" spans="1:11">
      <c r="A16448" s="12">
        <v>43696</v>
      </c>
      <c r="B16448">
        <v>2019</v>
      </c>
      <c r="C16448">
        <v>8</v>
      </c>
      <c r="D16448" s="11">
        <v>43678</v>
      </c>
      <c r="E16448" t="s">
        <v>2180</v>
      </c>
      <c r="F16448">
        <v>1</v>
      </c>
      <c r="G16448" t="s">
        <v>61</v>
      </c>
      <c r="H16448" t="s">
        <v>46</v>
      </c>
      <c r="I16448" t="s">
        <v>2194</v>
      </c>
      <c r="J16448" s="10">
        <v>0</v>
      </c>
      <c r="K16448" t="b">
        <v>1</v>
      </c>
    </row>
    <row r="16449" spans="1:11">
      <c r="A16449" s="12">
        <v>43696</v>
      </c>
      <c r="B16449">
        <v>2019</v>
      </c>
      <c r="C16449">
        <v>8</v>
      </c>
      <c r="D16449" s="11">
        <v>43678</v>
      </c>
      <c r="E16449" t="s">
        <v>2180</v>
      </c>
      <c r="F16449">
        <v>1</v>
      </c>
      <c r="G16449" t="s">
        <v>61</v>
      </c>
      <c r="H16449" t="s">
        <v>47</v>
      </c>
      <c r="I16449" t="s">
        <v>2195</v>
      </c>
      <c r="J16449" s="10">
        <v>4</v>
      </c>
      <c r="K16449" t="b">
        <v>1</v>
      </c>
    </row>
    <row r="16450" spans="1:11">
      <c r="A16450" s="12">
        <v>43697</v>
      </c>
      <c r="B16450">
        <v>2019</v>
      </c>
      <c r="C16450">
        <v>8</v>
      </c>
      <c r="D16450" s="11">
        <v>43678</v>
      </c>
      <c r="E16450" t="s">
        <v>2180</v>
      </c>
      <c r="F16450">
        <v>2</v>
      </c>
      <c r="G16450" t="s">
        <v>63</v>
      </c>
      <c r="H16450" t="s">
        <v>40</v>
      </c>
      <c r="I16450" t="s">
        <v>2188</v>
      </c>
      <c r="J16450" s="10">
        <v>2</v>
      </c>
      <c r="K16450" t="b">
        <v>1</v>
      </c>
    </row>
    <row r="16451" spans="1:11">
      <c r="A16451" s="12">
        <v>43697</v>
      </c>
      <c r="B16451">
        <v>2019</v>
      </c>
      <c r="C16451">
        <v>8</v>
      </c>
      <c r="D16451" s="11">
        <v>43678</v>
      </c>
      <c r="E16451" t="s">
        <v>2180</v>
      </c>
      <c r="F16451">
        <v>2</v>
      </c>
      <c r="G16451" t="s">
        <v>63</v>
      </c>
      <c r="H16451" t="s">
        <v>41</v>
      </c>
      <c r="I16451" t="s">
        <v>2189</v>
      </c>
      <c r="J16451" s="10">
        <v>1.32</v>
      </c>
      <c r="K16451" t="b">
        <v>1</v>
      </c>
    </row>
    <row r="16452" spans="1:11">
      <c r="A16452" s="12">
        <v>43697</v>
      </c>
      <c r="B16452">
        <v>2019</v>
      </c>
      <c r="C16452">
        <v>8</v>
      </c>
      <c r="D16452" s="11">
        <v>43678</v>
      </c>
      <c r="E16452" t="s">
        <v>2180</v>
      </c>
      <c r="F16452">
        <v>2</v>
      </c>
      <c r="G16452" t="s">
        <v>63</v>
      </c>
      <c r="H16452" t="s">
        <v>42</v>
      </c>
      <c r="I16452" t="s">
        <v>2190</v>
      </c>
      <c r="J16452" s="10">
        <v>2</v>
      </c>
      <c r="K16452" t="b">
        <v>1</v>
      </c>
    </row>
    <row r="16453" spans="1:11">
      <c r="A16453" s="12">
        <v>43697</v>
      </c>
      <c r="B16453">
        <v>2019</v>
      </c>
      <c r="C16453">
        <v>8</v>
      </c>
      <c r="D16453" s="11">
        <v>43678</v>
      </c>
      <c r="E16453" t="s">
        <v>2180</v>
      </c>
      <c r="F16453">
        <v>2</v>
      </c>
      <c r="G16453" t="s">
        <v>63</v>
      </c>
      <c r="H16453" t="s">
        <v>43</v>
      </c>
      <c r="I16453" t="s">
        <v>2191</v>
      </c>
      <c r="J16453" s="10">
        <v>13.4</v>
      </c>
      <c r="K16453" t="b">
        <v>1</v>
      </c>
    </row>
    <row r="16454" spans="1:11">
      <c r="A16454" s="12">
        <v>43697</v>
      </c>
      <c r="B16454">
        <v>2019</v>
      </c>
      <c r="C16454">
        <v>8</v>
      </c>
      <c r="D16454" s="11">
        <v>43678</v>
      </c>
      <c r="E16454" t="s">
        <v>2180</v>
      </c>
      <c r="F16454">
        <v>2</v>
      </c>
      <c r="G16454" t="s">
        <v>63</v>
      </c>
      <c r="H16454" t="s">
        <v>44</v>
      </c>
      <c r="I16454" t="s">
        <v>2192</v>
      </c>
      <c r="J16454" s="10">
        <v>8</v>
      </c>
      <c r="K16454" t="b">
        <v>1</v>
      </c>
    </row>
    <row r="16455" spans="1:11">
      <c r="A16455" s="12">
        <v>43697</v>
      </c>
      <c r="B16455">
        <v>2019</v>
      </c>
      <c r="C16455">
        <v>8</v>
      </c>
      <c r="D16455" s="11">
        <v>43678</v>
      </c>
      <c r="E16455" t="s">
        <v>2180</v>
      </c>
      <c r="F16455">
        <v>2</v>
      </c>
      <c r="G16455" t="s">
        <v>63</v>
      </c>
      <c r="H16455" t="s">
        <v>45</v>
      </c>
      <c r="I16455" t="s">
        <v>2193</v>
      </c>
      <c r="J16455" s="10">
        <v>0</v>
      </c>
      <c r="K16455" t="b">
        <v>1</v>
      </c>
    </row>
    <row r="16456" spans="1:11">
      <c r="A16456" s="12">
        <v>43697</v>
      </c>
      <c r="B16456">
        <v>2019</v>
      </c>
      <c r="C16456">
        <v>8</v>
      </c>
      <c r="D16456" s="11">
        <v>43678</v>
      </c>
      <c r="E16456" t="s">
        <v>2180</v>
      </c>
      <c r="F16456">
        <v>2</v>
      </c>
      <c r="G16456" t="s">
        <v>63</v>
      </c>
      <c r="H16456" t="s">
        <v>46</v>
      </c>
      <c r="I16456" t="s">
        <v>2194</v>
      </c>
      <c r="J16456" s="10">
        <v>2</v>
      </c>
      <c r="K16456" t="b">
        <v>1</v>
      </c>
    </row>
    <row r="16457" spans="1:11">
      <c r="A16457" s="12">
        <v>43697</v>
      </c>
      <c r="B16457">
        <v>2019</v>
      </c>
      <c r="C16457">
        <v>8</v>
      </c>
      <c r="D16457" s="11">
        <v>43678</v>
      </c>
      <c r="E16457" t="s">
        <v>2180</v>
      </c>
      <c r="F16457">
        <v>2</v>
      </c>
      <c r="G16457" t="s">
        <v>63</v>
      </c>
      <c r="H16457" t="s">
        <v>47</v>
      </c>
      <c r="I16457" t="s">
        <v>2195</v>
      </c>
      <c r="J16457" s="10">
        <v>3</v>
      </c>
      <c r="K16457" t="b">
        <v>1</v>
      </c>
    </row>
    <row r="16458" spans="1:11">
      <c r="A16458" s="12">
        <v>43698</v>
      </c>
      <c r="B16458">
        <v>2019</v>
      </c>
      <c r="C16458">
        <v>8</v>
      </c>
      <c r="D16458" s="11">
        <v>43678</v>
      </c>
      <c r="E16458" t="s">
        <v>2180</v>
      </c>
      <c r="F16458">
        <v>3</v>
      </c>
      <c r="G16458" t="s">
        <v>65</v>
      </c>
      <c r="H16458" t="s">
        <v>40</v>
      </c>
      <c r="I16458" t="s">
        <v>2188</v>
      </c>
      <c r="J16458" s="10">
        <v>4.34</v>
      </c>
      <c r="K16458" t="b">
        <v>1</v>
      </c>
    </row>
    <row r="16459" spans="1:11">
      <c r="A16459" s="12">
        <v>43698</v>
      </c>
      <c r="B16459">
        <v>2019</v>
      </c>
      <c r="C16459">
        <v>8</v>
      </c>
      <c r="D16459" s="11">
        <v>43678</v>
      </c>
      <c r="E16459" t="s">
        <v>2180</v>
      </c>
      <c r="F16459">
        <v>3</v>
      </c>
      <c r="G16459" t="s">
        <v>65</v>
      </c>
      <c r="H16459" t="s">
        <v>41</v>
      </c>
      <c r="I16459" t="s">
        <v>2189</v>
      </c>
      <c r="J16459" s="10">
        <v>4</v>
      </c>
      <c r="K16459" t="b">
        <v>1</v>
      </c>
    </row>
    <row r="16460" spans="1:11">
      <c r="A16460" s="12">
        <v>43698</v>
      </c>
      <c r="B16460">
        <v>2019</v>
      </c>
      <c r="C16460">
        <v>8</v>
      </c>
      <c r="D16460" s="11">
        <v>43678</v>
      </c>
      <c r="E16460" t="s">
        <v>2180</v>
      </c>
      <c r="F16460">
        <v>3</v>
      </c>
      <c r="G16460" t="s">
        <v>65</v>
      </c>
      <c r="H16460" t="s">
        <v>42</v>
      </c>
      <c r="I16460" t="s">
        <v>2190</v>
      </c>
      <c r="J16460" s="10">
        <v>0</v>
      </c>
      <c r="K16460" t="b">
        <v>1</v>
      </c>
    </row>
    <row r="16461" spans="1:11">
      <c r="A16461" s="12">
        <v>43698</v>
      </c>
      <c r="B16461">
        <v>2019</v>
      </c>
      <c r="C16461">
        <v>8</v>
      </c>
      <c r="D16461" s="11">
        <v>43678</v>
      </c>
      <c r="E16461" t="s">
        <v>2180</v>
      </c>
      <c r="F16461">
        <v>3</v>
      </c>
      <c r="G16461" t="s">
        <v>65</v>
      </c>
      <c r="H16461" t="s">
        <v>43</v>
      </c>
      <c r="I16461" t="s">
        <v>2191</v>
      </c>
      <c r="J16461" s="10">
        <v>19.45</v>
      </c>
      <c r="K16461" t="b">
        <v>1</v>
      </c>
    </row>
    <row r="16462" spans="1:11">
      <c r="A16462" s="12">
        <v>43698</v>
      </c>
      <c r="B16462">
        <v>2019</v>
      </c>
      <c r="C16462">
        <v>8</v>
      </c>
      <c r="D16462" s="11">
        <v>43678</v>
      </c>
      <c r="E16462" t="s">
        <v>2180</v>
      </c>
      <c r="F16462">
        <v>3</v>
      </c>
      <c r="G16462" t="s">
        <v>65</v>
      </c>
      <c r="H16462" t="s">
        <v>44</v>
      </c>
      <c r="I16462" t="s">
        <v>2192</v>
      </c>
      <c r="J16462" s="10">
        <v>10</v>
      </c>
      <c r="K16462" t="b">
        <v>1</v>
      </c>
    </row>
    <row r="16463" spans="1:11">
      <c r="A16463" s="12">
        <v>43698</v>
      </c>
      <c r="B16463">
        <v>2019</v>
      </c>
      <c r="C16463">
        <v>8</v>
      </c>
      <c r="D16463" s="11">
        <v>43678</v>
      </c>
      <c r="E16463" t="s">
        <v>2180</v>
      </c>
      <c r="F16463">
        <v>3</v>
      </c>
      <c r="G16463" t="s">
        <v>65</v>
      </c>
      <c r="H16463" t="s">
        <v>45</v>
      </c>
      <c r="I16463" t="s">
        <v>2193</v>
      </c>
      <c r="J16463" s="10">
        <v>0</v>
      </c>
      <c r="K16463" t="b">
        <v>1</v>
      </c>
    </row>
    <row r="16464" spans="1:11">
      <c r="A16464" s="12">
        <v>43698</v>
      </c>
      <c r="B16464">
        <v>2019</v>
      </c>
      <c r="C16464">
        <v>8</v>
      </c>
      <c r="D16464" s="11">
        <v>43678</v>
      </c>
      <c r="E16464" t="s">
        <v>2180</v>
      </c>
      <c r="F16464">
        <v>3</v>
      </c>
      <c r="G16464" t="s">
        <v>65</v>
      </c>
      <c r="H16464" t="s">
        <v>46</v>
      </c>
      <c r="I16464" t="s">
        <v>2194</v>
      </c>
      <c r="J16464" s="10">
        <v>5</v>
      </c>
      <c r="K16464" t="b">
        <v>1</v>
      </c>
    </row>
    <row r="16465" spans="1:11">
      <c r="A16465" s="12">
        <v>43698</v>
      </c>
      <c r="B16465">
        <v>2019</v>
      </c>
      <c r="C16465">
        <v>8</v>
      </c>
      <c r="D16465" s="11">
        <v>43678</v>
      </c>
      <c r="E16465" t="s">
        <v>2180</v>
      </c>
      <c r="F16465">
        <v>3</v>
      </c>
      <c r="G16465" t="s">
        <v>65</v>
      </c>
      <c r="H16465" t="s">
        <v>47</v>
      </c>
      <c r="I16465" t="s">
        <v>2195</v>
      </c>
      <c r="J16465" s="10">
        <v>3</v>
      </c>
      <c r="K16465" t="b">
        <v>1</v>
      </c>
    </row>
    <row r="16466" spans="1:11">
      <c r="A16466" s="12">
        <v>43699</v>
      </c>
      <c r="B16466">
        <v>2019</v>
      </c>
      <c r="C16466">
        <v>8</v>
      </c>
      <c r="D16466" s="11">
        <v>43678</v>
      </c>
      <c r="E16466" t="s">
        <v>2180</v>
      </c>
      <c r="F16466">
        <v>4</v>
      </c>
      <c r="G16466" t="s">
        <v>53</v>
      </c>
      <c r="H16466" t="s">
        <v>40</v>
      </c>
      <c r="I16466" t="s">
        <v>2188</v>
      </c>
      <c r="J16466" s="10">
        <v>5.34</v>
      </c>
      <c r="K16466" t="b">
        <v>1</v>
      </c>
    </row>
    <row r="16467" spans="1:11">
      <c r="A16467" s="12">
        <v>43699</v>
      </c>
      <c r="B16467">
        <v>2019</v>
      </c>
      <c r="C16467">
        <v>8</v>
      </c>
      <c r="D16467" s="11">
        <v>43678</v>
      </c>
      <c r="E16467" t="s">
        <v>2180</v>
      </c>
      <c r="F16467">
        <v>4</v>
      </c>
      <c r="G16467" t="s">
        <v>53</v>
      </c>
      <c r="H16467" t="s">
        <v>41</v>
      </c>
      <c r="I16467" t="s">
        <v>2189</v>
      </c>
      <c r="J16467" s="10">
        <v>4</v>
      </c>
      <c r="K16467" t="b">
        <v>1</v>
      </c>
    </row>
    <row r="16468" spans="1:11">
      <c r="A16468" s="12">
        <v>43699</v>
      </c>
      <c r="B16468">
        <v>2019</v>
      </c>
      <c r="C16468">
        <v>8</v>
      </c>
      <c r="D16468" s="11">
        <v>43678</v>
      </c>
      <c r="E16468" t="s">
        <v>2180</v>
      </c>
      <c r="F16468">
        <v>4</v>
      </c>
      <c r="G16468" t="s">
        <v>53</v>
      </c>
      <c r="H16468" t="s">
        <v>42</v>
      </c>
      <c r="I16468" t="s">
        <v>2190</v>
      </c>
      <c r="J16468" s="10">
        <v>2</v>
      </c>
      <c r="K16468" t="b">
        <v>1</v>
      </c>
    </row>
    <row r="16469" spans="1:11">
      <c r="A16469" s="12">
        <v>43699</v>
      </c>
      <c r="B16469">
        <v>2019</v>
      </c>
      <c r="C16469">
        <v>8</v>
      </c>
      <c r="D16469" s="11">
        <v>43678</v>
      </c>
      <c r="E16469" t="s">
        <v>2180</v>
      </c>
      <c r="F16469">
        <v>4</v>
      </c>
      <c r="G16469" t="s">
        <v>53</v>
      </c>
      <c r="H16469" t="s">
        <v>43</v>
      </c>
      <c r="I16469" t="s">
        <v>2191</v>
      </c>
      <c r="J16469" s="10">
        <v>20</v>
      </c>
      <c r="K16469" t="b">
        <v>1</v>
      </c>
    </row>
    <row r="16470" spans="1:11">
      <c r="A16470" s="12">
        <v>43699</v>
      </c>
      <c r="B16470">
        <v>2019</v>
      </c>
      <c r="C16470">
        <v>8</v>
      </c>
      <c r="D16470" s="11">
        <v>43678</v>
      </c>
      <c r="E16470" t="s">
        <v>2180</v>
      </c>
      <c r="F16470">
        <v>4</v>
      </c>
      <c r="G16470" t="s">
        <v>53</v>
      </c>
      <c r="H16470" t="s">
        <v>44</v>
      </c>
      <c r="I16470" t="s">
        <v>2192</v>
      </c>
      <c r="J16470" s="10">
        <v>8</v>
      </c>
      <c r="K16470" t="b">
        <v>1</v>
      </c>
    </row>
    <row r="16471" spans="1:11">
      <c r="A16471" s="12">
        <v>43699</v>
      </c>
      <c r="B16471">
        <v>2019</v>
      </c>
      <c r="C16471">
        <v>8</v>
      </c>
      <c r="D16471" s="11">
        <v>43678</v>
      </c>
      <c r="E16471" t="s">
        <v>2180</v>
      </c>
      <c r="F16471">
        <v>4</v>
      </c>
      <c r="G16471" t="s">
        <v>53</v>
      </c>
      <c r="H16471" t="s">
        <v>45</v>
      </c>
      <c r="I16471" t="s">
        <v>2193</v>
      </c>
      <c r="J16471" s="10">
        <v>2</v>
      </c>
      <c r="K16471" t="b">
        <v>1</v>
      </c>
    </row>
    <row r="16472" spans="1:11">
      <c r="A16472" s="12">
        <v>43699</v>
      </c>
      <c r="B16472">
        <v>2019</v>
      </c>
      <c r="C16472">
        <v>8</v>
      </c>
      <c r="D16472" s="11">
        <v>43678</v>
      </c>
      <c r="E16472" t="s">
        <v>2180</v>
      </c>
      <c r="F16472">
        <v>4</v>
      </c>
      <c r="G16472" t="s">
        <v>53</v>
      </c>
      <c r="H16472" t="s">
        <v>46</v>
      </c>
      <c r="I16472" t="s">
        <v>2194</v>
      </c>
      <c r="J16472" s="10">
        <v>10</v>
      </c>
      <c r="K16472" t="b">
        <v>1</v>
      </c>
    </row>
    <row r="16473" spans="1:11">
      <c r="A16473" s="12">
        <v>43699</v>
      </c>
      <c r="B16473">
        <v>2019</v>
      </c>
      <c r="C16473">
        <v>8</v>
      </c>
      <c r="D16473" s="11">
        <v>43678</v>
      </c>
      <c r="E16473" t="s">
        <v>2180</v>
      </c>
      <c r="F16473">
        <v>4</v>
      </c>
      <c r="G16473" t="s">
        <v>53</v>
      </c>
      <c r="H16473" t="s">
        <v>47</v>
      </c>
      <c r="I16473" t="s">
        <v>2195</v>
      </c>
      <c r="J16473" s="10">
        <v>3</v>
      </c>
      <c r="K16473" t="b">
        <v>1</v>
      </c>
    </row>
    <row r="16474" spans="1:11">
      <c r="A16474" s="12">
        <v>43700</v>
      </c>
      <c r="B16474">
        <v>2019</v>
      </c>
      <c r="C16474">
        <v>8</v>
      </c>
      <c r="D16474" s="11">
        <v>43678</v>
      </c>
      <c r="E16474" t="s">
        <v>2180</v>
      </c>
      <c r="F16474">
        <v>5</v>
      </c>
      <c r="G16474" t="s">
        <v>55</v>
      </c>
      <c r="H16474" t="s">
        <v>40</v>
      </c>
      <c r="I16474" t="s">
        <v>2188</v>
      </c>
      <c r="J16474" s="10">
        <v>9.67</v>
      </c>
      <c r="K16474" t="b">
        <v>1</v>
      </c>
    </row>
    <row r="16475" spans="1:11">
      <c r="A16475" s="12">
        <v>43700</v>
      </c>
      <c r="B16475">
        <v>2019</v>
      </c>
      <c r="C16475">
        <v>8</v>
      </c>
      <c r="D16475" s="11">
        <v>43678</v>
      </c>
      <c r="E16475" t="s">
        <v>2180</v>
      </c>
      <c r="F16475">
        <v>5</v>
      </c>
      <c r="G16475" t="s">
        <v>55</v>
      </c>
      <c r="H16475" t="s">
        <v>41</v>
      </c>
      <c r="I16475" t="s">
        <v>2189</v>
      </c>
      <c r="J16475" s="10">
        <v>5.156</v>
      </c>
      <c r="K16475" t="b">
        <v>1</v>
      </c>
    </row>
    <row r="16476" spans="1:11">
      <c r="A16476" s="12">
        <v>43700</v>
      </c>
      <c r="B16476">
        <v>2019</v>
      </c>
      <c r="C16476">
        <v>8</v>
      </c>
      <c r="D16476" s="11">
        <v>43678</v>
      </c>
      <c r="E16476" t="s">
        <v>2180</v>
      </c>
      <c r="F16476">
        <v>5</v>
      </c>
      <c r="G16476" t="s">
        <v>55</v>
      </c>
      <c r="H16476" t="s">
        <v>42</v>
      </c>
      <c r="I16476" t="s">
        <v>2190</v>
      </c>
      <c r="J16476" s="10">
        <v>4.05</v>
      </c>
      <c r="K16476" t="b">
        <v>1</v>
      </c>
    </row>
    <row r="16477" spans="1:11">
      <c r="A16477" s="12">
        <v>43700</v>
      </c>
      <c r="B16477">
        <v>2019</v>
      </c>
      <c r="C16477">
        <v>8</v>
      </c>
      <c r="D16477" s="11">
        <v>43678</v>
      </c>
      <c r="E16477" t="s">
        <v>2180</v>
      </c>
      <c r="F16477">
        <v>5</v>
      </c>
      <c r="G16477" t="s">
        <v>55</v>
      </c>
      <c r="H16477" t="s">
        <v>43</v>
      </c>
      <c r="I16477" t="s">
        <v>2191</v>
      </c>
      <c r="J16477" s="10">
        <v>12</v>
      </c>
      <c r="K16477" t="b">
        <v>1</v>
      </c>
    </row>
    <row r="16478" spans="1:11">
      <c r="A16478" s="12">
        <v>43700</v>
      </c>
      <c r="B16478">
        <v>2019</v>
      </c>
      <c r="C16478">
        <v>8</v>
      </c>
      <c r="D16478" s="11">
        <v>43678</v>
      </c>
      <c r="E16478" t="s">
        <v>2180</v>
      </c>
      <c r="F16478">
        <v>5</v>
      </c>
      <c r="G16478" t="s">
        <v>55</v>
      </c>
      <c r="H16478" t="s">
        <v>44</v>
      </c>
      <c r="I16478" t="s">
        <v>2192</v>
      </c>
      <c r="J16478" s="10">
        <v>11</v>
      </c>
      <c r="K16478" t="b">
        <v>1</v>
      </c>
    </row>
    <row r="16479" spans="1:11">
      <c r="A16479" s="12">
        <v>43700</v>
      </c>
      <c r="B16479">
        <v>2019</v>
      </c>
      <c r="C16479">
        <v>8</v>
      </c>
      <c r="D16479" s="11">
        <v>43678</v>
      </c>
      <c r="E16479" t="s">
        <v>2180</v>
      </c>
      <c r="F16479">
        <v>5</v>
      </c>
      <c r="G16479" t="s">
        <v>55</v>
      </c>
      <c r="H16479" t="s">
        <v>45</v>
      </c>
      <c r="I16479" t="s">
        <v>2193</v>
      </c>
      <c r="J16479" s="10">
        <v>2</v>
      </c>
      <c r="K16479" t="b">
        <v>1</v>
      </c>
    </row>
    <row r="16480" spans="1:11">
      <c r="A16480" s="12">
        <v>43700</v>
      </c>
      <c r="B16480">
        <v>2019</v>
      </c>
      <c r="C16480">
        <v>8</v>
      </c>
      <c r="D16480" s="11">
        <v>43678</v>
      </c>
      <c r="E16480" t="s">
        <v>2180</v>
      </c>
      <c r="F16480">
        <v>5</v>
      </c>
      <c r="G16480" t="s">
        <v>55</v>
      </c>
      <c r="H16480" t="s">
        <v>46</v>
      </c>
      <c r="I16480" t="s">
        <v>2194</v>
      </c>
      <c r="J16480" s="10">
        <v>4</v>
      </c>
      <c r="K16480" t="b">
        <v>1</v>
      </c>
    </row>
    <row r="16481" spans="1:11">
      <c r="A16481" s="12">
        <v>43700</v>
      </c>
      <c r="B16481">
        <v>2019</v>
      </c>
      <c r="C16481">
        <v>8</v>
      </c>
      <c r="D16481" s="11">
        <v>43678</v>
      </c>
      <c r="E16481" t="s">
        <v>2180</v>
      </c>
      <c r="F16481">
        <v>5</v>
      </c>
      <c r="G16481" t="s">
        <v>55</v>
      </c>
      <c r="H16481" t="s">
        <v>47</v>
      </c>
      <c r="I16481" t="s">
        <v>2195</v>
      </c>
      <c r="J16481" s="10">
        <v>2</v>
      </c>
      <c r="K16481" t="b">
        <v>1</v>
      </c>
    </row>
    <row r="16482" spans="1:11">
      <c r="A16482" s="12">
        <v>43701</v>
      </c>
      <c r="B16482">
        <v>2019</v>
      </c>
      <c r="C16482">
        <v>8</v>
      </c>
      <c r="D16482" s="11">
        <v>43678</v>
      </c>
      <c r="E16482" t="s">
        <v>2180</v>
      </c>
      <c r="F16482">
        <v>6</v>
      </c>
      <c r="G16482" t="s">
        <v>57</v>
      </c>
      <c r="H16482" t="s">
        <v>40</v>
      </c>
      <c r="I16482" t="s">
        <v>2188</v>
      </c>
      <c r="J16482" s="10">
        <v>13.84</v>
      </c>
      <c r="K16482" t="b">
        <v>1</v>
      </c>
    </row>
    <row r="16483" spans="1:11">
      <c r="A16483" s="12">
        <v>43701</v>
      </c>
      <c r="B16483">
        <v>2019</v>
      </c>
      <c r="C16483">
        <v>8</v>
      </c>
      <c r="D16483" s="11">
        <v>43678</v>
      </c>
      <c r="E16483" t="s">
        <v>2180</v>
      </c>
      <c r="F16483">
        <v>6</v>
      </c>
      <c r="G16483" t="s">
        <v>57</v>
      </c>
      <c r="H16483" t="s">
        <v>41</v>
      </c>
      <c r="I16483" t="s">
        <v>2189</v>
      </c>
      <c r="J16483" s="10">
        <v>6.02</v>
      </c>
      <c r="K16483" t="b">
        <v>1</v>
      </c>
    </row>
    <row r="16484" spans="1:11">
      <c r="A16484" s="12">
        <v>43701</v>
      </c>
      <c r="B16484">
        <v>2019</v>
      </c>
      <c r="C16484">
        <v>8</v>
      </c>
      <c r="D16484" s="11">
        <v>43678</v>
      </c>
      <c r="E16484" t="s">
        <v>2180</v>
      </c>
      <c r="F16484">
        <v>6</v>
      </c>
      <c r="G16484" t="s">
        <v>57</v>
      </c>
      <c r="H16484" t="s">
        <v>42</v>
      </c>
      <c r="I16484" t="s">
        <v>2190</v>
      </c>
      <c r="J16484" s="10">
        <v>3</v>
      </c>
      <c r="K16484" t="b">
        <v>1</v>
      </c>
    </row>
    <row r="16485" spans="1:11">
      <c r="A16485" s="12">
        <v>43701</v>
      </c>
      <c r="B16485">
        <v>2019</v>
      </c>
      <c r="C16485">
        <v>8</v>
      </c>
      <c r="D16485" s="11">
        <v>43678</v>
      </c>
      <c r="E16485" t="s">
        <v>2180</v>
      </c>
      <c r="F16485">
        <v>6</v>
      </c>
      <c r="G16485" t="s">
        <v>57</v>
      </c>
      <c r="H16485" t="s">
        <v>43</v>
      </c>
      <c r="I16485" t="s">
        <v>2191</v>
      </c>
      <c r="J16485" s="10">
        <v>24.6</v>
      </c>
      <c r="K16485" t="b">
        <v>1</v>
      </c>
    </row>
    <row r="16486" spans="1:11">
      <c r="A16486" s="12">
        <v>43701</v>
      </c>
      <c r="B16486">
        <v>2019</v>
      </c>
      <c r="C16486">
        <v>8</v>
      </c>
      <c r="D16486" s="11">
        <v>43678</v>
      </c>
      <c r="E16486" t="s">
        <v>2180</v>
      </c>
      <c r="F16486">
        <v>6</v>
      </c>
      <c r="G16486" t="s">
        <v>57</v>
      </c>
      <c r="H16486" t="s">
        <v>44</v>
      </c>
      <c r="I16486" t="s">
        <v>2192</v>
      </c>
      <c r="J16486" s="10">
        <v>9</v>
      </c>
      <c r="K16486" t="b">
        <v>1</v>
      </c>
    </row>
    <row r="16487" spans="1:11">
      <c r="A16487" s="12">
        <v>43701</v>
      </c>
      <c r="B16487">
        <v>2019</v>
      </c>
      <c r="C16487">
        <v>8</v>
      </c>
      <c r="D16487" s="11">
        <v>43678</v>
      </c>
      <c r="E16487" t="s">
        <v>2180</v>
      </c>
      <c r="F16487">
        <v>6</v>
      </c>
      <c r="G16487" t="s">
        <v>57</v>
      </c>
      <c r="H16487" t="s">
        <v>45</v>
      </c>
      <c r="I16487" t="s">
        <v>2193</v>
      </c>
      <c r="J16487" s="10">
        <v>0</v>
      </c>
      <c r="K16487" t="b">
        <v>1</v>
      </c>
    </row>
    <row r="16488" spans="1:11">
      <c r="A16488" s="12">
        <v>43701</v>
      </c>
      <c r="B16488">
        <v>2019</v>
      </c>
      <c r="C16488">
        <v>8</v>
      </c>
      <c r="D16488" s="11">
        <v>43678</v>
      </c>
      <c r="E16488" t="s">
        <v>2180</v>
      </c>
      <c r="F16488">
        <v>6</v>
      </c>
      <c r="G16488" t="s">
        <v>57</v>
      </c>
      <c r="H16488" t="s">
        <v>46</v>
      </c>
      <c r="I16488" t="s">
        <v>2194</v>
      </c>
      <c r="J16488" s="10">
        <v>0</v>
      </c>
      <c r="K16488" t="b">
        <v>1</v>
      </c>
    </row>
    <row r="16489" spans="1:11">
      <c r="A16489" s="12">
        <v>43701</v>
      </c>
      <c r="B16489">
        <v>2019</v>
      </c>
      <c r="C16489">
        <v>8</v>
      </c>
      <c r="D16489" s="11">
        <v>43678</v>
      </c>
      <c r="E16489" t="s">
        <v>2180</v>
      </c>
      <c r="F16489">
        <v>6</v>
      </c>
      <c r="G16489" t="s">
        <v>57</v>
      </c>
      <c r="H16489" t="s">
        <v>47</v>
      </c>
      <c r="I16489" t="s">
        <v>2195</v>
      </c>
      <c r="J16489" s="10">
        <v>5.5</v>
      </c>
      <c r="K16489" t="b">
        <v>1</v>
      </c>
    </row>
    <row r="16490" spans="1:11">
      <c r="A16490" s="12">
        <v>43702</v>
      </c>
      <c r="B16490">
        <v>2019</v>
      </c>
      <c r="C16490">
        <v>8</v>
      </c>
      <c r="D16490" s="11">
        <v>43678</v>
      </c>
      <c r="E16490" t="s">
        <v>2180</v>
      </c>
      <c r="F16490">
        <v>7</v>
      </c>
      <c r="G16490" t="s">
        <v>59</v>
      </c>
      <c r="H16490" t="s">
        <v>40</v>
      </c>
      <c r="I16490" t="s">
        <v>2188</v>
      </c>
      <c r="J16490" s="10">
        <v>3</v>
      </c>
      <c r="K16490" t="b">
        <v>1</v>
      </c>
    </row>
    <row r="16491" spans="1:11">
      <c r="A16491" s="12">
        <v>43702</v>
      </c>
      <c r="B16491">
        <v>2019</v>
      </c>
      <c r="C16491">
        <v>8</v>
      </c>
      <c r="D16491" s="11">
        <v>43678</v>
      </c>
      <c r="E16491" t="s">
        <v>2180</v>
      </c>
      <c r="F16491">
        <v>7</v>
      </c>
      <c r="G16491" t="s">
        <v>59</v>
      </c>
      <c r="H16491" t="s">
        <v>41</v>
      </c>
      <c r="I16491" t="s">
        <v>2189</v>
      </c>
      <c r="J16491" s="10">
        <v>3.35</v>
      </c>
      <c r="K16491" t="b">
        <v>1</v>
      </c>
    </row>
    <row r="16492" spans="1:11">
      <c r="A16492" s="12">
        <v>43702</v>
      </c>
      <c r="B16492">
        <v>2019</v>
      </c>
      <c r="C16492">
        <v>8</v>
      </c>
      <c r="D16492" s="11">
        <v>43678</v>
      </c>
      <c r="E16492" t="s">
        <v>2180</v>
      </c>
      <c r="F16492">
        <v>7</v>
      </c>
      <c r="G16492" t="s">
        <v>59</v>
      </c>
      <c r="H16492" t="s">
        <v>42</v>
      </c>
      <c r="I16492" t="s">
        <v>2190</v>
      </c>
      <c r="J16492" s="10">
        <v>2</v>
      </c>
      <c r="K16492" t="b">
        <v>1</v>
      </c>
    </row>
    <row r="16493" spans="1:11">
      <c r="A16493" s="12">
        <v>43702</v>
      </c>
      <c r="B16493">
        <v>2019</v>
      </c>
      <c r="C16493">
        <v>8</v>
      </c>
      <c r="D16493" s="11">
        <v>43678</v>
      </c>
      <c r="E16493" t="s">
        <v>2180</v>
      </c>
      <c r="F16493">
        <v>7</v>
      </c>
      <c r="G16493" t="s">
        <v>59</v>
      </c>
      <c r="H16493" t="s">
        <v>43</v>
      </c>
      <c r="I16493" t="s">
        <v>2191</v>
      </c>
      <c r="J16493" s="10">
        <v>17</v>
      </c>
      <c r="K16493" t="b">
        <v>1</v>
      </c>
    </row>
    <row r="16494" spans="1:11">
      <c r="A16494" s="12">
        <v>43702</v>
      </c>
      <c r="B16494">
        <v>2019</v>
      </c>
      <c r="C16494">
        <v>8</v>
      </c>
      <c r="D16494" s="11">
        <v>43678</v>
      </c>
      <c r="E16494" t="s">
        <v>2180</v>
      </c>
      <c r="F16494">
        <v>7</v>
      </c>
      <c r="G16494" t="s">
        <v>59</v>
      </c>
      <c r="H16494" t="s">
        <v>44</v>
      </c>
      <c r="I16494" t="s">
        <v>2192</v>
      </c>
      <c r="J16494" s="10">
        <v>4</v>
      </c>
      <c r="K16494" t="b">
        <v>1</v>
      </c>
    </row>
    <row r="16495" spans="1:11">
      <c r="A16495" s="12">
        <v>43702</v>
      </c>
      <c r="B16495">
        <v>2019</v>
      </c>
      <c r="C16495">
        <v>8</v>
      </c>
      <c r="D16495" s="11">
        <v>43678</v>
      </c>
      <c r="E16495" t="s">
        <v>2180</v>
      </c>
      <c r="F16495">
        <v>7</v>
      </c>
      <c r="G16495" t="s">
        <v>59</v>
      </c>
      <c r="H16495" t="s">
        <v>45</v>
      </c>
      <c r="I16495" t="s">
        <v>2193</v>
      </c>
      <c r="J16495" s="10">
        <v>0</v>
      </c>
      <c r="K16495" t="b">
        <v>1</v>
      </c>
    </row>
    <row r="16496" spans="1:11">
      <c r="A16496" s="12">
        <v>43702</v>
      </c>
      <c r="B16496">
        <v>2019</v>
      </c>
      <c r="C16496">
        <v>8</v>
      </c>
      <c r="D16496" s="11">
        <v>43678</v>
      </c>
      <c r="E16496" t="s">
        <v>2180</v>
      </c>
      <c r="F16496">
        <v>7</v>
      </c>
      <c r="G16496" t="s">
        <v>59</v>
      </c>
      <c r="H16496" t="s">
        <v>46</v>
      </c>
      <c r="I16496" t="s">
        <v>2194</v>
      </c>
      <c r="J16496" s="10">
        <v>3</v>
      </c>
      <c r="K16496" t="b">
        <v>1</v>
      </c>
    </row>
    <row r="16497" spans="1:11">
      <c r="A16497" s="12">
        <v>43702</v>
      </c>
      <c r="B16497">
        <v>2019</v>
      </c>
      <c r="C16497">
        <v>8</v>
      </c>
      <c r="D16497" s="11">
        <v>43678</v>
      </c>
      <c r="E16497" t="s">
        <v>2180</v>
      </c>
      <c r="F16497">
        <v>7</v>
      </c>
      <c r="G16497" t="s">
        <v>59</v>
      </c>
      <c r="H16497" t="s">
        <v>47</v>
      </c>
      <c r="I16497" t="s">
        <v>2195</v>
      </c>
      <c r="J16497" s="10">
        <v>0</v>
      </c>
      <c r="K16497" t="b">
        <v>1</v>
      </c>
    </row>
    <row r="16498" spans="1:11">
      <c r="A16498" s="12">
        <v>43703</v>
      </c>
      <c r="B16498">
        <v>2019</v>
      </c>
      <c r="C16498">
        <v>8</v>
      </c>
      <c r="D16498" s="11">
        <v>43678</v>
      </c>
      <c r="E16498" t="s">
        <v>2180</v>
      </c>
      <c r="F16498">
        <v>1</v>
      </c>
      <c r="G16498" t="s">
        <v>61</v>
      </c>
      <c r="H16498" t="s">
        <v>40</v>
      </c>
      <c r="I16498" t="s">
        <v>2188</v>
      </c>
      <c r="J16498" s="10">
        <v>2.67</v>
      </c>
      <c r="K16498" t="b">
        <v>1</v>
      </c>
    </row>
    <row r="16499" spans="1:11">
      <c r="A16499" s="12">
        <v>43703</v>
      </c>
      <c r="B16499">
        <v>2019</v>
      </c>
      <c r="C16499">
        <v>8</v>
      </c>
      <c r="D16499" s="11">
        <v>43678</v>
      </c>
      <c r="E16499" t="s">
        <v>2180</v>
      </c>
      <c r="F16499">
        <v>1</v>
      </c>
      <c r="G16499" t="s">
        <v>61</v>
      </c>
      <c r="H16499" t="s">
        <v>41</v>
      </c>
      <c r="I16499" t="s">
        <v>2189</v>
      </c>
      <c r="J16499" s="10">
        <v>2.373</v>
      </c>
      <c r="K16499" t="b">
        <v>1</v>
      </c>
    </row>
    <row r="16500" spans="1:11">
      <c r="A16500" s="12">
        <v>43703</v>
      </c>
      <c r="B16500">
        <v>2019</v>
      </c>
      <c r="C16500">
        <v>8</v>
      </c>
      <c r="D16500" s="11">
        <v>43678</v>
      </c>
      <c r="E16500" t="s">
        <v>2180</v>
      </c>
      <c r="F16500">
        <v>1</v>
      </c>
      <c r="G16500" t="s">
        <v>61</v>
      </c>
      <c r="H16500" t="s">
        <v>42</v>
      </c>
      <c r="I16500" t="s">
        <v>2190</v>
      </c>
      <c r="J16500" s="10">
        <v>3</v>
      </c>
      <c r="K16500" t="b">
        <v>1</v>
      </c>
    </row>
    <row r="16501" spans="1:11">
      <c r="A16501" s="12">
        <v>43703</v>
      </c>
      <c r="B16501">
        <v>2019</v>
      </c>
      <c r="C16501">
        <v>8</v>
      </c>
      <c r="D16501" s="11">
        <v>43678</v>
      </c>
      <c r="E16501" t="s">
        <v>2180</v>
      </c>
      <c r="F16501">
        <v>1</v>
      </c>
      <c r="G16501" t="s">
        <v>61</v>
      </c>
      <c r="H16501" t="s">
        <v>43</v>
      </c>
      <c r="I16501" t="s">
        <v>2191</v>
      </c>
      <c r="J16501" s="10">
        <v>18</v>
      </c>
      <c r="K16501" t="b">
        <v>1</v>
      </c>
    </row>
    <row r="16502" spans="1:11">
      <c r="A16502" s="12">
        <v>43703</v>
      </c>
      <c r="B16502">
        <v>2019</v>
      </c>
      <c r="C16502">
        <v>8</v>
      </c>
      <c r="D16502" s="11">
        <v>43678</v>
      </c>
      <c r="E16502" t="s">
        <v>2180</v>
      </c>
      <c r="F16502">
        <v>1</v>
      </c>
      <c r="G16502" t="s">
        <v>61</v>
      </c>
      <c r="H16502" t="s">
        <v>44</v>
      </c>
      <c r="I16502" t="s">
        <v>2192</v>
      </c>
      <c r="J16502" s="10">
        <v>11</v>
      </c>
      <c r="K16502" t="b">
        <v>1</v>
      </c>
    </row>
    <row r="16503" spans="1:11">
      <c r="A16503" s="12">
        <v>43703</v>
      </c>
      <c r="B16503">
        <v>2019</v>
      </c>
      <c r="C16503">
        <v>8</v>
      </c>
      <c r="D16503" s="11">
        <v>43678</v>
      </c>
      <c r="E16503" t="s">
        <v>2180</v>
      </c>
      <c r="F16503">
        <v>1</v>
      </c>
      <c r="G16503" t="s">
        <v>61</v>
      </c>
      <c r="H16503" t="s">
        <v>45</v>
      </c>
      <c r="I16503" t="s">
        <v>2193</v>
      </c>
      <c r="J16503" s="10">
        <v>0</v>
      </c>
      <c r="K16503" t="b">
        <v>1</v>
      </c>
    </row>
    <row r="16504" spans="1:11">
      <c r="A16504" s="12">
        <v>43703</v>
      </c>
      <c r="B16504">
        <v>2019</v>
      </c>
      <c r="C16504">
        <v>8</v>
      </c>
      <c r="D16504" s="11">
        <v>43678</v>
      </c>
      <c r="E16504" t="s">
        <v>2180</v>
      </c>
      <c r="F16504">
        <v>1</v>
      </c>
      <c r="G16504" t="s">
        <v>61</v>
      </c>
      <c r="H16504" t="s">
        <v>46</v>
      </c>
      <c r="I16504" t="s">
        <v>2194</v>
      </c>
      <c r="J16504" s="10">
        <v>3</v>
      </c>
      <c r="K16504" t="b">
        <v>1</v>
      </c>
    </row>
    <row r="16505" spans="1:11">
      <c r="A16505" s="12">
        <v>43703</v>
      </c>
      <c r="B16505">
        <v>2019</v>
      </c>
      <c r="C16505">
        <v>8</v>
      </c>
      <c r="D16505" s="11">
        <v>43678</v>
      </c>
      <c r="E16505" t="s">
        <v>2180</v>
      </c>
      <c r="F16505">
        <v>1</v>
      </c>
      <c r="G16505" t="s">
        <v>61</v>
      </c>
      <c r="H16505" t="s">
        <v>47</v>
      </c>
      <c r="I16505" t="s">
        <v>2195</v>
      </c>
      <c r="J16505" s="10">
        <v>3</v>
      </c>
      <c r="K16505" t="b">
        <v>1</v>
      </c>
    </row>
    <row r="16506" spans="1:11">
      <c r="A16506" s="12">
        <v>43704</v>
      </c>
      <c r="B16506">
        <v>2019</v>
      </c>
      <c r="C16506">
        <v>8</v>
      </c>
      <c r="D16506" s="11">
        <v>43678</v>
      </c>
      <c r="E16506" t="s">
        <v>2180</v>
      </c>
      <c r="F16506">
        <v>2</v>
      </c>
      <c r="G16506" t="s">
        <v>63</v>
      </c>
      <c r="H16506" t="s">
        <v>40</v>
      </c>
      <c r="I16506" t="s">
        <v>2188</v>
      </c>
      <c r="J16506" s="10">
        <v>2.34</v>
      </c>
      <c r="K16506" t="b">
        <v>1</v>
      </c>
    </row>
    <row r="16507" spans="1:11">
      <c r="A16507" s="12">
        <v>43704</v>
      </c>
      <c r="B16507">
        <v>2019</v>
      </c>
      <c r="C16507">
        <v>8</v>
      </c>
      <c r="D16507" s="11">
        <v>43678</v>
      </c>
      <c r="E16507" t="s">
        <v>2180</v>
      </c>
      <c r="F16507">
        <v>2</v>
      </c>
      <c r="G16507" t="s">
        <v>63</v>
      </c>
      <c r="H16507" t="s">
        <v>41</v>
      </c>
      <c r="I16507" t="s">
        <v>2189</v>
      </c>
      <c r="J16507" s="10">
        <v>2.01</v>
      </c>
      <c r="K16507" t="b">
        <v>1</v>
      </c>
    </row>
    <row r="16508" spans="1:11">
      <c r="A16508" s="12">
        <v>43704</v>
      </c>
      <c r="B16508">
        <v>2019</v>
      </c>
      <c r="C16508">
        <v>8</v>
      </c>
      <c r="D16508" s="11">
        <v>43678</v>
      </c>
      <c r="E16508" t="s">
        <v>2180</v>
      </c>
      <c r="F16508">
        <v>2</v>
      </c>
      <c r="G16508" t="s">
        <v>63</v>
      </c>
      <c r="H16508" t="s">
        <v>42</v>
      </c>
      <c r="I16508" t="s">
        <v>2190</v>
      </c>
      <c r="J16508" s="10">
        <v>3</v>
      </c>
      <c r="K16508" t="b">
        <v>1</v>
      </c>
    </row>
    <row r="16509" spans="1:11">
      <c r="A16509" s="12">
        <v>43704</v>
      </c>
      <c r="B16509">
        <v>2019</v>
      </c>
      <c r="C16509">
        <v>8</v>
      </c>
      <c r="D16509" s="11">
        <v>43678</v>
      </c>
      <c r="E16509" t="s">
        <v>2180</v>
      </c>
      <c r="F16509">
        <v>2</v>
      </c>
      <c r="G16509" t="s">
        <v>63</v>
      </c>
      <c r="H16509" t="s">
        <v>43</v>
      </c>
      <c r="I16509" t="s">
        <v>2191</v>
      </c>
      <c r="J16509" s="10">
        <v>21</v>
      </c>
      <c r="K16509" t="b">
        <v>1</v>
      </c>
    </row>
    <row r="16510" spans="1:11">
      <c r="A16510" s="12">
        <v>43704</v>
      </c>
      <c r="B16510">
        <v>2019</v>
      </c>
      <c r="C16510">
        <v>8</v>
      </c>
      <c r="D16510" s="11">
        <v>43678</v>
      </c>
      <c r="E16510" t="s">
        <v>2180</v>
      </c>
      <c r="F16510">
        <v>2</v>
      </c>
      <c r="G16510" t="s">
        <v>63</v>
      </c>
      <c r="H16510" t="s">
        <v>44</v>
      </c>
      <c r="I16510" t="s">
        <v>2192</v>
      </c>
      <c r="J16510" s="10">
        <v>3</v>
      </c>
      <c r="K16510" t="b">
        <v>1</v>
      </c>
    </row>
    <row r="16511" spans="1:11">
      <c r="A16511" s="12">
        <v>43704</v>
      </c>
      <c r="B16511">
        <v>2019</v>
      </c>
      <c r="C16511">
        <v>8</v>
      </c>
      <c r="D16511" s="11">
        <v>43678</v>
      </c>
      <c r="E16511" t="s">
        <v>2180</v>
      </c>
      <c r="F16511">
        <v>2</v>
      </c>
      <c r="G16511" t="s">
        <v>63</v>
      </c>
      <c r="H16511" t="s">
        <v>45</v>
      </c>
      <c r="I16511" t="s">
        <v>2193</v>
      </c>
      <c r="J16511" s="10">
        <v>0</v>
      </c>
      <c r="K16511" t="b">
        <v>1</v>
      </c>
    </row>
    <row r="16512" spans="1:11">
      <c r="A16512" s="12">
        <v>43704</v>
      </c>
      <c r="B16512">
        <v>2019</v>
      </c>
      <c r="C16512">
        <v>8</v>
      </c>
      <c r="D16512" s="11">
        <v>43678</v>
      </c>
      <c r="E16512" t="s">
        <v>2180</v>
      </c>
      <c r="F16512">
        <v>2</v>
      </c>
      <c r="G16512" t="s">
        <v>63</v>
      </c>
      <c r="H16512" t="s">
        <v>46</v>
      </c>
      <c r="I16512" t="s">
        <v>2194</v>
      </c>
      <c r="J16512" s="10">
        <v>0</v>
      </c>
      <c r="K16512" t="b">
        <v>1</v>
      </c>
    </row>
    <row r="16513" spans="1:11">
      <c r="A16513" s="12">
        <v>43704</v>
      </c>
      <c r="B16513">
        <v>2019</v>
      </c>
      <c r="C16513">
        <v>8</v>
      </c>
      <c r="D16513" s="11">
        <v>43678</v>
      </c>
      <c r="E16513" t="s">
        <v>2180</v>
      </c>
      <c r="F16513">
        <v>2</v>
      </c>
      <c r="G16513" t="s">
        <v>63</v>
      </c>
      <c r="H16513" t="s">
        <v>47</v>
      </c>
      <c r="I16513" t="s">
        <v>2195</v>
      </c>
      <c r="J16513" s="10">
        <v>5</v>
      </c>
      <c r="K16513" t="b">
        <v>1</v>
      </c>
    </row>
    <row r="16514" spans="1:11">
      <c r="A16514" s="12">
        <v>43705</v>
      </c>
      <c r="B16514">
        <v>2019</v>
      </c>
      <c r="C16514">
        <v>8</v>
      </c>
      <c r="D16514" s="11">
        <v>43678</v>
      </c>
      <c r="E16514" t="s">
        <v>2180</v>
      </c>
      <c r="F16514">
        <v>3</v>
      </c>
      <c r="G16514" t="s">
        <v>65</v>
      </c>
      <c r="H16514" t="s">
        <v>40</v>
      </c>
      <c r="I16514" t="s">
        <v>2188</v>
      </c>
      <c r="J16514" s="10">
        <v>3.33</v>
      </c>
      <c r="K16514" t="b">
        <v>1</v>
      </c>
    </row>
    <row r="16515" spans="1:11">
      <c r="A16515" s="12">
        <v>43705</v>
      </c>
      <c r="B16515">
        <v>2019</v>
      </c>
      <c r="C16515">
        <v>8</v>
      </c>
      <c r="D16515" s="11">
        <v>43678</v>
      </c>
      <c r="E16515" t="s">
        <v>2180</v>
      </c>
      <c r="F16515">
        <v>3</v>
      </c>
      <c r="G16515" t="s">
        <v>65</v>
      </c>
      <c r="H16515" t="s">
        <v>41</v>
      </c>
      <c r="I16515" t="s">
        <v>2189</v>
      </c>
      <c r="J16515" s="10">
        <v>1.427</v>
      </c>
      <c r="K16515" t="b">
        <v>1</v>
      </c>
    </row>
    <row r="16516" spans="1:11">
      <c r="A16516" s="12">
        <v>43705</v>
      </c>
      <c r="B16516">
        <v>2019</v>
      </c>
      <c r="C16516">
        <v>8</v>
      </c>
      <c r="D16516" s="11">
        <v>43678</v>
      </c>
      <c r="E16516" t="s">
        <v>2180</v>
      </c>
      <c r="F16516">
        <v>3</v>
      </c>
      <c r="G16516" t="s">
        <v>65</v>
      </c>
      <c r="H16516" t="s">
        <v>42</v>
      </c>
      <c r="I16516" t="s">
        <v>2190</v>
      </c>
      <c r="J16516" s="10">
        <v>5</v>
      </c>
      <c r="K16516" t="b">
        <v>1</v>
      </c>
    </row>
    <row r="16517" spans="1:11">
      <c r="A16517" s="12">
        <v>43705</v>
      </c>
      <c r="B16517">
        <v>2019</v>
      </c>
      <c r="C16517">
        <v>8</v>
      </c>
      <c r="D16517" s="11">
        <v>43678</v>
      </c>
      <c r="E16517" t="s">
        <v>2180</v>
      </c>
      <c r="F16517">
        <v>3</v>
      </c>
      <c r="G16517" t="s">
        <v>65</v>
      </c>
      <c r="H16517" t="s">
        <v>43</v>
      </c>
      <c r="I16517" t="s">
        <v>2191</v>
      </c>
      <c r="J16517" s="10">
        <v>10</v>
      </c>
      <c r="K16517" t="b">
        <v>1</v>
      </c>
    </row>
    <row r="16518" spans="1:11">
      <c r="A16518" s="12">
        <v>43705</v>
      </c>
      <c r="B16518">
        <v>2019</v>
      </c>
      <c r="C16518">
        <v>8</v>
      </c>
      <c r="D16518" s="11">
        <v>43678</v>
      </c>
      <c r="E16518" t="s">
        <v>2180</v>
      </c>
      <c r="F16518">
        <v>3</v>
      </c>
      <c r="G16518" t="s">
        <v>65</v>
      </c>
      <c r="H16518" t="s">
        <v>44</v>
      </c>
      <c r="I16518" t="s">
        <v>2192</v>
      </c>
      <c r="J16518" s="10">
        <v>6</v>
      </c>
      <c r="K16518" t="b">
        <v>1</v>
      </c>
    </row>
    <row r="16519" spans="1:11">
      <c r="A16519" s="12">
        <v>43705</v>
      </c>
      <c r="B16519">
        <v>2019</v>
      </c>
      <c r="C16519">
        <v>8</v>
      </c>
      <c r="D16519" s="11">
        <v>43678</v>
      </c>
      <c r="E16519" t="s">
        <v>2180</v>
      </c>
      <c r="F16519">
        <v>3</v>
      </c>
      <c r="G16519" t="s">
        <v>65</v>
      </c>
      <c r="H16519" t="s">
        <v>45</v>
      </c>
      <c r="I16519" t="s">
        <v>2193</v>
      </c>
      <c r="J16519" s="10">
        <v>1</v>
      </c>
      <c r="K16519" t="b">
        <v>1</v>
      </c>
    </row>
    <row r="16520" spans="1:11">
      <c r="A16520" s="12">
        <v>43705</v>
      </c>
      <c r="B16520">
        <v>2019</v>
      </c>
      <c r="C16520">
        <v>8</v>
      </c>
      <c r="D16520" s="11">
        <v>43678</v>
      </c>
      <c r="E16520" t="s">
        <v>2180</v>
      </c>
      <c r="F16520">
        <v>3</v>
      </c>
      <c r="G16520" t="s">
        <v>65</v>
      </c>
      <c r="H16520" t="s">
        <v>46</v>
      </c>
      <c r="I16520" t="s">
        <v>2194</v>
      </c>
      <c r="J16520" s="10">
        <v>0</v>
      </c>
      <c r="K16520" t="b">
        <v>1</v>
      </c>
    </row>
    <row r="16521" spans="1:11">
      <c r="A16521" s="12">
        <v>43705</v>
      </c>
      <c r="B16521">
        <v>2019</v>
      </c>
      <c r="C16521">
        <v>8</v>
      </c>
      <c r="D16521" s="11">
        <v>43678</v>
      </c>
      <c r="E16521" t="s">
        <v>2180</v>
      </c>
      <c r="F16521">
        <v>3</v>
      </c>
      <c r="G16521" t="s">
        <v>65</v>
      </c>
      <c r="H16521" t="s">
        <v>47</v>
      </c>
      <c r="I16521" t="s">
        <v>2195</v>
      </c>
      <c r="J16521" s="10">
        <v>2</v>
      </c>
      <c r="K16521" t="b">
        <v>1</v>
      </c>
    </row>
    <row r="16522" spans="1:11">
      <c r="A16522" s="12">
        <v>43706</v>
      </c>
      <c r="B16522">
        <v>2019</v>
      </c>
      <c r="C16522">
        <v>8</v>
      </c>
      <c r="D16522" s="11">
        <v>43678</v>
      </c>
      <c r="E16522" t="s">
        <v>2180</v>
      </c>
      <c r="F16522">
        <v>4</v>
      </c>
      <c r="G16522" t="s">
        <v>53</v>
      </c>
      <c r="H16522" t="s">
        <v>40</v>
      </c>
      <c r="I16522" t="s">
        <v>2188</v>
      </c>
      <c r="J16522" s="10">
        <v>9</v>
      </c>
      <c r="K16522" t="b">
        <v>1</v>
      </c>
    </row>
    <row r="16523" spans="1:11">
      <c r="A16523" s="12">
        <v>43706</v>
      </c>
      <c r="B16523">
        <v>2019</v>
      </c>
      <c r="C16523">
        <v>8</v>
      </c>
      <c r="D16523" s="11">
        <v>43678</v>
      </c>
      <c r="E16523" t="s">
        <v>2180</v>
      </c>
      <c r="F16523">
        <v>4</v>
      </c>
      <c r="G16523" t="s">
        <v>53</v>
      </c>
      <c r="H16523" t="s">
        <v>41</v>
      </c>
      <c r="I16523" t="s">
        <v>2189</v>
      </c>
      <c r="J16523" s="10">
        <v>1.68</v>
      </c>
      <c r="K16523" t="b">
        <v>1</v>
      </c>
    </row>
    <row r="16524" spans="1:11">
      <c r="A16524" s="12">
        <v>43706</v>
      </c>
      <c r="B16524">
        <v>2019</v>
      </c>
      <c r="C16524">
        <v>8</v>
      </c>
      <c r="D16524" s="11">
        <v>43678</v>
      </c>
      <c r="E16524" t="s">
        <v>2180</v>
      </c>
      <c r="F16524">
        <v>4</v>
      </c>
      <c r="G16524" t="s">
        <v>53</v>
      </c>
      <c r="H16524" t="s">
        <v>42</v>
      </c>
      <c r="I16524" t="s">
        <v>2190</v>
      </c>
      <c r="J16524" s="10">
        <v>5</v>
      </c>
      <c r="K16524" t="b">
        <v>1</v>
      </c>
    </row>
    <row r="16525" spans="1:11">
      <c r="A16525" s="12">
        <v>43706</v>
      </c>
      <c r="B16525">
        <v>2019</v>
      </c>
      <c r="C16525">
        <v>8</v>
      </c>
      <c r="D16525" s="11">
        <v>43678</v>
      </c>
      <c r="E16525" t="s">
        <v>2180</v>
      </c>
      <c r="F16525">
        <v>4</v>
      </c>
      <c r="G16525" t="s">
        <v>53</v>
      </c>
      <c r="H16525" t="s">
        <v>43</v>
      </c>
      <c r="I16525" t="s">
        <v>2191</v>
      </c>
      <c r="J16525" s="10">
        <v>17.4</v>
      </c>
      <c r="K16525" t="b">
        <v>1</v>
      </c>
    </row>
    <row r="16526" spans="1:11">
      <c r="A16526" s="12">
        <v>43706</v>
      </c>
      <c r="B16526">
        <v>2019</v>
      </c>
      <c r="C16526">
        <v>8</v>
      </c>
      <c r="D16526" s="11">
        <v>43678</v>
      </c>
      <c r="E16526" t="s">
        <v>2180</v>
      </c>
      <c r="F16526">
        <v>4</v>
      </c>
      <c r="G16526" t="s">
        <v>53</v>
      </c>
      <c r="H16526" t="s">
        <v>44</v>
      </c>
      <c r="I16526" t="s">
        <v>2192</v>
      </c>
      <c r="J16526" s="10">
        <v>9</v>
      </c>
      <c r="K16526" t="b">
        <v>1</v>
      </c>
    </row>
    <row r="16527" spans="1:11">
      <c r="A16527" s="12">
        <v>43706</v>
      </c>
      <c r="B16527">
        <v>2019</v>
      </c>
      <c r="C16527">
        <v>8</v>
      </c>
      <c r="D16527" s="11">
        <v>43678</v>
      </c>
      <c r="E16527" t="s">
        <v>2180</v>
      </c>
      <c r="F16527">
        <v>4</v>
      </c>
      <c r="G16527" t="s">
        <v>53</v>
      </c>
      <c r="H16527" t="s">
        <v>45</v>
      </c>
      <c r="I16527" t="s">
        <v>2193</v>
      </c>
      <c r="J16527" s="10">
        <v>1</v>
      </c>
      <c r="K16527" t="b">
        <v>1</v>
      </c>
    </row>
    <row r="16528" spans="1:11">
      <c r="A16528" s="12">
        <v>43706</v>
      </c>
      <c r="B16528">
        <v>2019</v>
      </c>
      <c r="C16528">
        <v>8</v>
      </c>
      <c r="D16528" s="11">
        <v>43678</v>
      </c>
      <c r="E16528" t="s">
        <v>2180</v>
      </c>
      <c r="F16528">
        <v>4</v>
      </c>
      <c r="G16528" t="s">
        <v>53</v>
      </c>
      <c r="H16528" t="s">
        <v>46</v>
      </c>
      <c r="I16528" t="s">
        <v>2194</v>
      </c>
      <c r="J16528" s="10">
        <v>1</v>
      </c>
      <c r="K16528" t="b">
        <v>1</v>
      </c>
    </row>
    <row r="16529" spans="1:11">
      <c r="A16529" s="12">
        <v>43706</v>
      </c>
      <c r="B16529">
        <v>2019</v>
      </c>
      <c r="C16529">
        <v>8</v>
      </c>
      <c r="D16529" s="11">
        <v>43678</v>
      </c>
      <c r="E16529" t="s">
        <v>2180</v>
      </c>
      <c r="F16529">
        <v>4</v>
      </c>
      <c r="G16529" t="s">
        <v>53</v>
      </c>
      <c r="H16529" t="s">
        <v>47</v>
      </c>
      <c r="I16529" t="s">
        <v>2195</v>
      </c>
      <c r="J16529" s="10">
        <v>2</v>
      </c>
      <c r="K16529" t="b">
        <v>1</v>
      </c>
    </row>
    <row r="16530" spans="1:11">
      <c r="A16530" s="12">
        <v>43707</v>
      </c>
      <c r="B16530">
        <v>2019</v>
      </c>
      <c r="C16530">
        <v>8</v>
      </c>
      <c r="D16530" s="11">
        <v>43678</v>
      </c>
      <c r="E16530" t="s">
        <v>2180</v>
      </c>
      <c r="F16530">
        <v>5</v>
      </c>
      <c r="G16530" t="s">
        <v>55</v>
      </c>
      <c r="H16530" t="s">
        <v>40</v>
      </c>
      <c r="I16530" t="s">
        <v>2188</v>
      </c>
      <c r="J16530" s="10">
        <v>6.34</v>
      </c>
      <c r="K16530" t="b">
        <v>1</v>
      </c>
    </row>
    <row r="16531" spans="1:11">
      <c r="A16531" s="12">
        <v>43707</v>
      </c>
      <c r="B16531">
        <v>2019</v>
      </c>
      <c r="C16531">
        <v>8</v>
      </c>
      <c r="D16531" s="11">
        <v>43678</v>
      </c>
      <c r="E16531" t="s">
        <v>2180</v>
      </c>
      <c r="F16531">
        <v>5</v>
      </c>
      <c r="G16531" t="s">
        <v>55</v>
      </c>
      <c r="H16531" t="s">
        <v>41</v>
      </c>
      <c r="I16531" t="s">
        <v>2189</v>
      </c>
      <c r="J16531" s="10">
        <v>1.056</v>
      </c>
      <c r="K16531" t="b">
        <v>1</v>
      </c>
    </row>
    <row r="16532" spans="1:11">
      <c r="A16532" s="12">
        <v>43707</v>
      </c>
      <c r="B16532">
        <v>2019</v>
      </c>
      <c r="C16532">
        <v>8</v>
      </c>
      <c r="D16532" s="11">
        <v>43678</v>
      </c>
      <c r="E16532" t="s">
        <v>2180</v>
      </c>
      <c r="F16532">
        <v>5</v>
      </c>
      <c r="G16532" t="s">
        <v>55</v>
      </c>
      <c r="H16532" t="s">
        <v>42</v>
      </c>
      <c r="I16532" t="s">
        <v>2190</v>
      </c>
      <c r="J16532" s="10">
        <v>2</v>
      </c>
      <c r="K16532" t="b">
        <v>1</v>
      </c>
    </row>
    <row r="16533" spans="1:11">
      <c r="A16533" s="12">
        <v>43707</v>
      </c>
      <c r="B16533">
        <v>2019</v>
      </c>
      <c r="C16533">
        <v>8</v>
      </c>
      <c r="D16533" s="11">
        <v>43678</v>
      </c>
      <c r="E16533" t="s">
        <v>2180</v>
      </c>
      <c r="F16533">
        <v>5</v>
      </c>
      <c r="G16533" t="s">
        <v>55</v>
      </c>
      <c r="H16533" t="s">
        <v>43</v>
      </c>
      <c r="I16533" t="s">
        <v>2191</v>
      </c>
      <c r="J16533" s="10">
        <v>19</v>
      </c>
      <c r="K16533" t="b">
        <v>1</v>
      </c>
    </row>
    <row r="16534" spans="1:11">
      <c r="A16534" s="12">
        <v>43707</v>
      </c>
      <c r="B16534">
        <v>2019</v>
      </c>
      <c r="C16534">
        <v>8</v>
      </c>
      <c r="D16534" s="11">
        <v>43678</v>
      </c>
      <c r="E16534" t="s">
        <v>2180</v>
      </c>
      <c r="F16534">
        <v>5</v>
      </c>
      <c r="G16534" t="s">
        <v>55</v>
      </c>
      <c r="H16534" t="s">
        <v>44</v>
      </c>
      <c r="I16534" t="s">
        <v>2192</v>
      </c>
      <c r="J16534" s="10">
        <v>3</v>
      </c>
      <c r="K16534" t="b">
        <v>1</v>
      </c>
    </row>
    <row r="16535" spans="1:11">
      <c r="A16535" s="12">
        <v>43707</v>
      </c>
      <c r="B16535">
        <v>2019</v>
      </c>
      <c r="C16535">
        <v>8</v>
      </c>
      <c r="D16535" s="11">
        <v>43678</v>
      </c>
      <c r="E16535" t="s">
        <v>2180</v>
      </c>
      <c r="F16535">
        <v>5</v>
      </c>
      <c r="G16535" t="s">
        <v>55</v>
      </c>
      <c r="H16535" t="s">
        <v>45</v>
      </c>
      <c r="I16535" t="s">
        <v>2193</v>
      </c>
      <c r="J16535" s="10">
        <v>0</v>
      </c>
      <c r="K16535" t="b">
        <v>1</v>
      </c>
    </row>
    <row r="16536" spans="1:11">
      <c r="A16536" s="12">
        <v>43707</v>
      </c>
      <c r="B16536">
        <v>2019</v>
      </c>
      <c r="C16536">
        <v>8</v>
      </c>
      <c r="D16536" s="11">
        <v>43678</v>
      </c>
      <c r="E16536" t="s">
        <v>2180</v>
      </c>
      <c r="F16536">
        <v>5</v>
      </c>
      <c r="G16536" t="s">
        <v>55</v>
      </c>
      <c r="H16536" t="s">
        <v>46</v>
      </c>
      <c r="I16536" t="s">
        <v>2194</v>
      </c>
      <c r="J16536" s="10">
        <v>2</v>
      </c>
      <c r="K16536" t="b">
        <v>1</v>
      </c>
    </row>
    <row r="16537" spans="1:11">
      <c r="A16537" s="12">
        <v>43707</v>
      </c>
      <c r="B16537">
        <v>2019</v>
      </c>
      <c r="C16537">
        <v>8</v>
      </c>
      <c r="D16537" s="11">
        <v>43678</v>
      </c>
      <c r="E16537" t="s">
        <v>2180</v>
      </c>
      <c r="F16537">
        <v>5</v>
      </c>
      <c r="G16537" t="s">
        <v>55</v>
      </c>
      <c r="H16537" t="s">
        <v>47</v>
      </c>
      <c r="I16537" t="s">
        <v>2195</v>
      </c>
      <c r="J16537" s="10">
        <v>5.1</v>
      </c>
      <c r="K16537" t="b">
        <v>1</v>
      </c>
    </row>
    <row r="16538" spans="1:11">
      <c r="A16538" s="12">
        <v>43708</v>
      </c>
      <c r="B16538">
        <v>2019</v>
      </c>
      <c r="C16538">
        <v>8</v>
      </c>
      <c r="D16538" s="11">
        <v>43678</v>
      </c>
      <c r="E16538" t="s">
        <v>2180</v>
      </c>
      <c r="F16538">
        <v>6</v>
      </c>
      <c r="G16538" t="s">
        <v>57</v>
      </c>
      <c r="H16538" t="s">
        <v>40</v>
      </c>
      <c r="I16538" t="s">
        <v>2188</v>
      </c>
      <c r="J16538" s="10">
        <v>4.68</v>
      </c>
      <c r="K16538" t="b">
        <v>1</v>
      </c>
    </row>
    <row r="16539" spans="1:11">
      <c r="A16539" s="12">
        <v>43708</v>
      </c>
      <c r="B16539">
        <v>2019</v>
      </c>
      <c r="C16539">
        <v>8</v>
      </c>
      <c r="D16539" s="11">
        <v>43678</v>
      </c>
      <c r="E16539" t="s">
        <v>2180</v>
      </c>
      <c r="F16539">
        <v>6</v>
      </c>
      <c r="G16539" t="s">
        <v>57</v>
      </c>
      <c r="H16539" t="s">
        <v>41</v>
      </c>
      <c r="I16539" t="s">
        <v>2189</v>
      </c>
      <c r="J16539" s="10">
        <v>3.936</v>
      </c>
      <c r="K16539" t="b">
        <v>1</v>
      </c>
    </row>
    <row r="16540" spans="1:11">
      <c r="A16540" s="12">
        <v>43708</v>
      </c>
      <c r="B16540">
        <v>2019</v>
      </c>
      <c r="C16540">
        <v>8</v>
      </c>
      <c r="D16540" s="11">
        <v>43678</v>
      </c>
      <c r="E16540" t="s">
        <v>2180</v>
      </c>
      <c r="F16540">
        <v>6</v>
      </c>
      <c r="G16540" t="s">
        <v>57</v>
      </c>
      <c r="H16540" t="s">
        <v>42</v>
      </c>
      <c r="I16540" t="s">
        <v>2190</v>
      </c>
      <c r="J16540" s="10">
        <v>2</v>
      </c>
      <c r="K16540" t="b">
        <v>1</v>
      </c>
    </row>
    <row r="16541" spans="1:11">
      <c r="A16541" s="12">
        <v>43708</v>
      </c>
      <c r="B16541">
        <v>2019</v>
      </c>
      <c r="C16541">
        <v>8</v>
      </c>
      <c r="D16541" s="11">
        <v>43678</v>
      </c>
      <c r="E16541" t="s">
        <v>2180</v>
      </c>
      <c r="F16541">
        <v>6</v>
      </c>
      <c r="G16541" t="s">
        <v>57</v>
      </c>
      <c r="H16541" t="s">
        <v>43</v>
      </c>
      <c r="I16541" t="s">
        <v>2191</v>
      </c>
      <c r="J16541" s="10">
        <v>15</v>
      </c>
      <c r="K16541" t="b">
        <v>1</v>
      </c>
    </row>
    <row r="16542" spans="1:11">
      <c r="A16542" s="12">
        <v>43708</v>
      </c>
      <c r="B16542">
        <v>2019</v>
      </c>
      <c r="C16542">
        <v>8</v>
      </c>
      <c r="D16542" s="11">
        <v>43678</v>
      </c>
      <c r="E16542" t="s">
        <v>2180</v>
      </c>
      <c r="F16542">
        <v>6</v>
      </c>
      <c r="G16542" t="s">
        <v>57</v>
      </c>
      <c r="H16542" t="s">
        <v>44</v>
      </c>
      <c r="I16542" t="s">
        <v>2192</v>
      </c>
      <c r="J16542" s="10">
        <v>5</v>
      </c>
      <c r="K16542" t="b">
        <v>1</v>
      </c>
    </row>
    <row r="16543" spans="1:11">
      <c r="A16543" s="12">
        <v>43708</v>
      </c>
      <c r="B16543">
        <v>2019</v>
      </c>
      <c r="C16543">
        <v>8</v>
      </c>
      <c r="D16543" s="11">
        <v>43678</v>
      </c>
      <c r="E16543" t="s">
        <v>2180</v>
      </c>
      <c r="F16543">
        <v>6</v>
      </c>
      <c r="G16543" t="s">
        <v>57</v>
      </c>
      <c r="H16543" t="s">
        <v>45</v>
      </c>
      <c r="I16543" t="s">
        <v>2193</v>
      </c>
      <c r="J16543" s="10">
        <v>1</v>
      </c>
      <c r="K16543" t="b">
        <v>1</v>
      </c>
    </row>
    <row r="16544" spans="1:11">
      <c r="A16544" s="12">
        <v>43708</v>
      </c>
      <c r="B16544">
        <v>2019</v>
      </c>
      <c r="C16544">
        <v>8</v>
      </c>
      <c r="D16544" s="11">
        <v>43678</v>
      </c>
      <c r="E16544" t="s">
        <v>2180</v>
      </c>
      <c r="F16544">
        <v>6</v>
      </c>
      <c r="G16544" t="s">
        <v>57</v>
      </c>
      <c r="H16544" t="s">
        <v>46</v>
      </c>
      <c r="I16544" t="s">
        <v>2194</v>
      </c>
      <c r="J16544" s="10">
        <v>4</v>
      </c>
      <c r="K16544" t="b">
        <v>1</v>
      </c>
    </row>
    <row r="16545" spans="1:11">
      <c r="A16545" s="12">
        <v>43708</v>
      </c>
      <c r="B16545">
        <v>2019</v>
      </c>
      <c r="C16545">
        <v>8</v>
      </c>
      <c r="D16545" s="11">
        <v>43678</v>
      </c>
      <c r="E16545" t="s">
        <v>2180</v>
      </c>
      <c r="F16545">
        <v>6</v>
      </c>
      <c r="G16545" t="s">
        <v>57</v>
      </c>
      <c r="H16545" t="s">
        <v>47</v>
      </c>
      <c r="I16545" t="s">
        <v>2195</v>
      </c>
      <c r="J16545" s="10">
        <v>6</v>
      </c>
      <c r="K16545" t="b">
        <v>1</v>
      </c>
    </row>
    <row r="16546" spans="1:11">
      <c r="A16546" s="12">
        <v>43709</v>
      </c>
      <c r="B16546">
        <v>2019</v>
      </c>
      <c r="C16546">
        <v>9</v>
      </c>
      <c r="D16546" s="11">
        <v>43709</v>
      </c>
      <c r="E16546" t="s">
        <v>2181</v>
      </c>
      <c r="F16546">
        <v>7</v>
      </c>
      <c r="G16546" t="s">
        <v>59</v>
      </c>
      <c r="H16546" t="s">
        <v>40</v>
      </c>
      <c r="I16546" t="s">
        <v>2188</v>
      </c>
      <c r="J16546" s="10">
        <v>2</v>
      </c>
      <c r="K16546" t="b">
        <v>1</v>
      </c>
    </row>
    <row r="16547" spans="1:11">
      <c r="A16547" s="12">
        <v>43709</v>
      </c>
      <c r="B16547">
        <v>2019</v>
      </c>
      <c r="C16547">
        <v>9</v>
      </c>
      <c r="D16547" s="11">
        <v>43709</v>
      </c>
      <c r="E16547" t="s">
        <v>2181</v>
      </c>
      <c r="F16547">
        <v>7</v>
      </c>
      <c r="G16547" t="s">
        <v>59</v>
      </c>
      <c r="H16547" t="s">
        <v>41</v>
      </c>
      <c r="I16547" t="s">
        <v>2189</v>
      </c>
      <c r="J16547" s="10">
        <v>4.36</v>
      </c>
      <c r="K16547" t="b">
        <v>1</v>
      </c>
    </row>
    <row r="16548" spans="1:11">
      <c r="A16548" s="12">
        <v>43709</v>
      </c>
      <c r="B16548">
        <v>2019</v>
      </c>
      <c r="C16548">
        <v>9</v>
      </c>
      <c r="D16548" s="11">
        <v>43709</v>
      </c>
      <c r="E16548" t="s">
        <v>2181</v>
      </c>
      <c r="F16548">
        <v>7</v>
      </c>
      <c r="G16548" t="s">
        <v>59</v>
      </c>
      <c r="H16548" t="s">
        <v>42</v>
      </c>
      <c r="I16548" t="s">
        <v>2190</v>
      </c>
      <c r="J16548" s="10">
        <v>5</v>
      </c>
      <c r="K16548" t="b">
        <v>1</v>
      </c>
    </row>
    <row r="16549" spans="1:11">
      <c r="A16549" s="12">
        <v>43709</v>
      </c>
      <c r="B16549">
        <v>2019</v>
      </c>
      <c r="C16549">
        <v>9</v>
      </c>
      <c r="D16549" s="11">
        <v>43709</v>
      </c>
      <c r="E16549" t="s">
        <v>2181</v>
      </c>
      <c r="F16549">
        <v>7</v>
      </c>
      <c r="G16549" t="s">
        <v>59</v>
      </c>
      <c r="H16549" t="s">
        <v>43</v>
      </c>
      <c r="I16549" t="s">
        <v>2191</v>
      </c>
      <c r="J16549" s="10">
        <v>17</v>
      </c>
      <c r="K16549" t="b">
        <v>1</v>
      </c>
    </row>
    <row r="16550" spans="1:11">
      <c r="A16550" s="12">
        <v>43709</v>
      </c>
      <c r="B16550">
        <v>2019</v>
      </c>
      <c r="C16550">
        <v>9</v>
      </c>
      <c r="D16550" s="11">
        <v>43709</v>
      </c>
      <c r="E16550" t="s">
        <v>2181</v>
      </c>
      <c r="F16550">
        <v>7</v>
      </c>
      <c r="G16550" t="s">
        <v>59</v>
      </c>
      <c r="H16550" t="s">
        <v>44</v>
      </c>
      <c r="I16550" t="s">
        <v>2192</v>
      </c>
      <c r="J16550" s="10">
        <v>8.199999999999999</v>
      </c>
      <c r="K16550" t="b">
        <v>1</v>
      </c>
    </row>
    <row r="16551" spans="1:11">
      <c r="A16551" s="12">
        <v>43709</v>
      </c>
      <c r="B16551">
        <v>2019</v>
      </c>
      <c r="C16551">
        <v>9</v>
      </c>
      <c r="D16551" s="11">
        <v>43709</v>
      </c>
      <c r="E16551" t="s">
        <v>2181</v>
      </c>
      <c r="F16551">
        <v>7</v>
      </c>
      <c r="G16551" t="s">
        <v>59</v>
      </c>
      <c r="H16551" t="s">
        <v>45</v>
      </c>
      <c r="I16551" t="s">
        <v>2193</v>
      </c>
      <c r="J16551" s="10">
        <v>1</v>
      </c>
      <c r="K16551" t="b">
        <v>1</v>
      </c>
    </row>
    <row r="16552" spans="1:11">
      <c r="A16552" s="12">
        <v>43709</v>
      </c>
      <c r="B16552">
        <v>2019</v>
      </c>
      <c r="C16552">
        <v>9</v>
      </c>
      <c r="D16552" s="11">
        <v>43709</v>
      </c>
      <c r="E16552" t="s">
        <v>2181</v>
      </c>
      <c r="F16552">
        <v>7</v>
      </c>
      <c r="G16552" t="s">
        <v>59</v>
      </c>
      <c r="H16552" t="s">
        <v>46</v>
      </c>
      <c r="I16552" t="s">
        <v>2194</v>
      </c>
      <c r="J16552" s="10">
        <v>5</v>
      </c>
      <c r="K16552" t="b">
        <v>1</v>
      </c>
    </row>
    <row r="16553" spans="1:11">
      <c r="A16553" s="12">
        <v>43709</v>
      </c>
      <c r="B16553">
        <v>2019</v>
      </c>
      <c r="C16553">
        <v>9</v>
      </c>
      <c r="D16553" s="11">
        <v>43709</v>
      </c>
      <c r="E16553" t="s">
        <v>2181</v>
      </c>
      <c r="F16553">
        <v>7</v>
      </c>
      <c r="G16553" t="s">
        <v>59</v>
      </c>
      <c r="H16553" t="s">
        <v>47</v>
      </c>
      <c r="I16553" t="s">
        <v>2195</v>
      </c>
      <c r="J16553" s="10">
        <v>4</v>
      </c>
      <c r="K16553" t="b">
        <v>1</v>
      </c>
    </row>
    <row r="16554" spans="1:11">
      <c r="A16554" s="12">
        <v>43710</v>
      </c>
      <c r="B16554">
        <v>2019</v>
      </c>
      <c r="C16554">
        <v>9</v>
      </c>
      <c r="D16554" s="11">
        <v>43709</v>
      </c>
      <c r="E16554" t="s">
        <v>2181</v>
      </c>
      <c r="F16554">
        <v>1</v>
      </c>
      <c r="G16554" t="s">
        <v>61</v>
      </c>
      <c r="H16554" t="s">
        <v>40</v>
      </c>
      <c r="I16554" t="s">
        <v>2188</v>
      </c>
      <c r="J16554" s="10">
        <v>5.33</v>
      </c>
      <c r="K16554" t="b">
        <v>1</v>
      </c>
    </row>
    <row r="16555" spans="1:11">
      <c r="A16555" s="12">
        <v>43710</v>
      </c>
      <c r="B16555">
        <v>2019</v>
      </c>
      <c r="C16555">
        <v>9</v>
      </c>
      <c r="D16555" s="11">
        <v>43709</v>
      </c>
      <c r="E16555" t="s">
        <v>2181</v>
      </c>
      <c r="F16555">
        <v>1</v>
      </c>
      <c r="G16555" t="s">
        <v>61</v>
      </c>
      <c r="H16555" t="s">
        <v>41</v>
      </c>
      <c r="I16555" t="s">
        <v>2189</v>
      </c>
      <c r="J16555" s="10">
        <v>2.087</v>
      </c>
      <c r="K16555" t="b">
        <v>1</v>
      </c>
    </row>
    <row r="16556" spans="1:11">
      <c r="A16556" s="12">
        <v>43710</v>
      </c>
      <c r="B16556">
        <v>2019</v>
      </c>
      <c r="C16556">
        <v>9</v>
      </c>
      <c r="D16556" s="11">
        <v>43709</v>
      </c>
      <c r="E16556" t="s">
        <v>2181</v>
      </c>
      <c r="F16556">
        <v>1</v>
      </c>
      <c r="G16556" t="s">
        <v>61</v>
      </c>
      <c r="H16556" t="s">
        <v>42</v>
      </c>
      <c r="I16556" t="s">
        <v>2190</v>
      </c>
      <c r="J16556" s="10">
        <v>2.5</v>
      </c>
      <c r="K16556" t="b">
        <v>1</v>
      </c>
    </row>
    <row r="16557" spans="1:11">
      <c r="A16557" s="12">
        <v>43710</v>
      </c>
      <c r="B16557">
        <v>2019</v>
      </c>
      <c r="C16557">
        <v>9</v>
      </c>
      <c r="D16557" s="11">
        <v>43709</v>
      </c>
      <c r="E16557" t="s">
        <v>2181</v>
      </c>
      <c r="F16557">
        <v>1</v>
      </c>
      <c r="G16557" t="s">
        <v>61</v>
      </c>
      <c r="H16557" t="s">
        <v>43</v>
      </c>
      <c r="I16557" t="s">
        <v>2191</v>
      </c>
      <c r="J16557" s="10">
        <v>18</v>
      </c>
      <c r="K16557" t="b">
        <v>1</v>
      </c>
    </row>
    <row r="16558" spans="1:11">
      <c r="A16558" s="12">
        <v>43710</v>
      </c>
      <c r="B16558">
        <v>2019</v>
      </c>
      <c r="C16558">
        <v>9</v>
      </c>
      <c r="D16558" s="11">
        <v>43709</v>
      </c>
      <c r="E16558" t="s">
        <v>2181</v>
      </c>
      <c r="F16558">
        <v>1</v>
      </c>
      <c r="G16558" t="s">
        <v>61</v>
      </c>
      <c r="H16558" t="s">
        <v>44</v>
      </c>
      <c r="I16558" t="s">
        <v>2192</v>
      </c>
      <c r="J16558" s="10">
        <v>7</v>
      </c>
      <c r="K16558" t="b">
        <v>1</v>
      </c>
    </row>
    <row r="16559" spans="1:11">
      <c r="A16559" s="12">
        <v>43710</v>
      </c>
      <c r="B16559">
        <v>2019</v>
      </c>
      <c r="C16559">
        <v>9</v>
      </c>
      <c r="D16559" s="11">
        <v>43709</v>
      </c>
      <c r="E16559" t="s">
        <v>2181</v>
      </c>
      <c r="F16559">
        <v>1</v>
      </c>
      <c r="G16559" t="s">
        <v>61</v>
      </c>
      <c r="H16559" t="s">
        <v>45</v>
      </c>
      <c r="I16559" t="s">
        <v>2193</v>
      </c>
      <c r="J16559" s="10">
        <v>0</v>
      </c>
      <c r="K16559" t="b">
        <v>1</v>
      </c>
    </row>
    <row r="16560" spans="1:11">
      <c r="A16560" s="12">
        <v>43710</v>
      </c>
      <c r="B16560">
        <v>2019</v>
      </c>
      <c r="C16560">
        <v>9</v>
      </c>
      <c r="D16560" s="11">
        <v>43709</v>
      </c>
      <c r="E16560" t="s">
        <v>2181</v>
      </c>
      <c r="F16560">
        <v>1</v>
      </c>
      <c r="G16560" t="s">
        <v>61</v>
      </c>
      <c r="H16560" t="s">
        <v>46</v>
      </c>
      <c r="I16560" t="s">
        <v>2194</v>
      </c>
      <c r="J16560" s="10">
        <v>1</v>
      </c>
      <c r="K16560" t="b">
        <v>1</v>
      </c>
    </row>
    <row r="16561" spans="1:11">
      <c r="A16561" s="12">
        <v>43710</v>
      </c>
      <c r="B16561">
        <v>2019</v>
      </c>
      <c r="C16561">
        <v>9</v>
      </c>
      <c r="D16561" s="11">
        <v>43709</v>
      </c>
      <c r="E16561" t="s">
        <v>2181</v>
      </c>
      <c r="F16561">
        <v>1</v>
      </c>
      <c r="G16561" t="s">
        <v>61</v>
      </c>
      <c r="H16561" t="s">
        <v>47</v>
      </c>
      <c r="I16561" t="s">
        <v>2195</v>
      </c>
      <c r="J16561" s="10">
        <v>9</v>
      </c>
      <c r="K16561" t="b">
        <v>1</v>
      </c>
    </row>
    <row r="16562" spans="1:11">
      <c r="A16562" s="12">
        <v>43711</v>
      </c>
      <c r="B16562">
        <v>2019</v>
      </c>
      <c r="C16562">
        <v>9</v>
      </c>
      <c r="D16562" s="11">
        <v>43709</v>
      </c>
      <c r="E16562" t="s">
        <v>2181</v>
      </c>
      <c r="F16562">
        <v>2</v>
      </c>
      <c r="G16562" t="s">
        <v>63</v>
      </c>
      <c r="H16562" t="s">
        <v>40</v>
      </c>
      <c r="I16562" t="s">
        <v>2188</v>
      </c>
      <c r="J16562" s="10">
        <v>9.359999999999999</v>
      </c>
      <c r="K16562" t="b">
        <v>1</v>
      </c>
    </row>
    <row r="16563" spans="1:11">
      <c r="A16563" s="12">
        <v>43711</v>
      </c>
      <c r="B16563">
        <v>2019</v>
      </c>
      <c r="C16563">
        <v>9</v>
      </c>
      <c r="D16563" s="11">
        <v>43709</v>
      </c>
      <c r="E16563" t="s">
        <v>2181</v>
      </c>
      <c r="F16563">
        <v>2</v>
      </c>
      <c r="G16563" t="s">
        <v>63</v>
      </c>
      <c r="H16563" t="s">
        <v>41</v>
      </c>
      <c r="I16563" t="s">
        <v>2189</v>
      </c>
      <c r="J16563" s="10">
        <v>2.35</v>
      </c>
      <c r="K16563" t="b">
        <v>1</v>
      </c>
    </row>
    <row r="16564" spans="1:11">
      <c r="A16564" s="12">
        <v>43711</v>
      </c>
      <c r="B16564">
        <v>2019</v>
      </c>
      <c r="C16564">
        <v>9</v>
      </c>
      <c r="D16564" s="11">
        <v>43709</v>
      </c>
      <c r="E16564" t="s">
        <v>2181</v>
      </c>
      <c r="F16564">
        <v>2</v>
      </c>
      <c r="G16564" t="s">
        <v>63</v>
      </c>
      <c r="H16564" t="s">
        <v>42</v>
      </c>
      <c r="I16564" t="s">
        <v>2190</v>
      </c>
      <c r="J16564" s="10">
        <v>3.1</v>
      </c>
      <c r="K16564" t="b">
        <v>1</v>
      </c>
    </row>
    <row r="16565" spans="1:11">
      <c r="A16565" s="12">
        <v>43711</v>
      </c>
      <c r="B16565">
        <v>2019</v>
      </c>
      <c r="C16565">
        <v>9</v>
      </c>
      <c r="D16565" s="11">
        <v>43709</v>
      </c>
      <c r="E16565" t="s">
        <v>2181</v>
      </c>
      <c r="F16565">
        <v>2</v>
      </c>
      <c r="G16565" t="s">
        <v>63</v>
      </c>
      <c r="H16565" t="s">
        <v>43</v>
      </c>
      <c r="I16565" t="s">
        <v>2191</v>
      </c>
      <c r="J16565" s="10">
        <v>12.125</v>
      </c>
      <c r="K16565" t="b">
        <v>1</v>
      </c>
    </row>
    <row r="16566" spans="1:11">
      <c r="A16566" s="12">
        <v>43711</v>
      </c>
      <c r="B16566">
        <v>2019</v>
      </c>
      <c r="C16566">
        <v>9</v>
      </c>
      <c r="D16566" s="11">
        <v>43709</v>
      </c>
      <c r="E16566" t="s">
        <v>2181</v>
      </c>
      <c r="F16566">
        <v>2</v>
      </c>
      <c r="G16566" t="s">
        <v>63</v>
      </c>
      <c r="H16566" t="s">
        <v>44</v>
      </c>
      <c r="I16566" t="s">
        <v>2192</v>
      </c>
      <c r="J16566" s="10">
        <v>8</v>
      </c>
      <c r="K16566" t="b">
        <v>1</v>
      </c>
    </row>
    <row r="16567" spans="1:11">
      <c r="A16567" s="12">
        <v>43711</v>
      </c>
      <c r="B16567">
        <v>2019</v>
      </c>
      <c r="C16567">
        <v>9</v>
      </c>
      <c r="D16567" s="11">
        <v>43709</v>
      </c>
      <c r="E16567" t="s">
        <v>2181</v>
      </c>
      <c r="F16567">
        <v>2</v>
      </c>
      <c r="G16567" t="s">
        <v>63</v>
      </c>
      <c r="H16567" t="s">
        <v>45</v>
      </c>
      <c r="I16567" t="s">
        <v>2193</v>
      </c>
      <c r="J16567" s="10">
        <v>3</v>
      </c>
      <c r="K16567" t="b">
        <v>1</v>
      </c>
    </row>
    <row r="16568" spans="1:11">
      <c r="A16568" s="12">
        <v>43711</v>
      </c>
      <c r="B16568">
        <v>2019</v>
      </c>
      <c r="C16568">
        <v>9</v>
      </c>
      <c r="D16568" s="11">
        <v>43709</v>
      </c>
      <c r="E16568" t="s">
        <v>2181</v>
      </c>
      <c r="F16568">
        <v>2</v>
      </c>
      <c r="G16568" t="s">
        <v>63</v>
      </c>
      <c r="H16568" t="s">
        <v>46</v>
      </c>
      <c r="I16568" t="s">
        <v>2194</v>
      </c>
      <c r="J16568" s="10">
        <v>1</v>
      </c>
      <c r="K16568" t="b">
        <v>1</v>
      </c>
    </row>
    <row r="16569" spans="1:11">
      <c r="A16569" s="12">
        <v>43711</v>
      </c>
      <c r="B16569">
        <v>2019</v>
      </c>
      <c r="C16569">
        <v>9</v>
      </c>
      <c r="D16569" s="11">
        <v>43709</v>
      </c>
      <c r="E16569" t="s">
        <v>2181</v>
      </c>
      <c r="F16569">
        <v>2</v>
      </c>
      <c r="G16569" t="s">
        <v>63</v>
      </c>
      <c r="H16569" t="s">
        <v>47</v>
      </c>
      <c r="I16569" t="s">
        <v>2195</v>
      </c>
      <c r="J16569" s="10">
        <v>2</v>
      </c>
      <c r="K16569" t="b">
        <v>1</v>
      </c>
    </row>
    <row r="16570" spans="1:11">
      <c r="A16570" s="12">
        <v>43712</v>
      </c>
      <c r="B16570">
        <v>2019</v>
      </c>
      <c r="C16570">
        <v>9</v>
      </c>
      <c r="D16570" s="11">
        <v>43709</v>
      </c>
      <c r="E16570" t="s">
        <v>2181</v>
      </c>
      <c r="F16570">
        <v>3</v>
      </c>
      <c r="G16570" t="s">
        <v>65</v>
      </c>
      <c r="H16570" t="s">
        <v>40</v>
      </c>
      <c r="I16570" t="s">
        <v>2188</v>
      </c>
      <c r="J16570" s="10">
        <v>2</v>
      </c>
      <c r="K16570" t="b">
        <v>1</v>
      </c>
    </row>
    <row r="16571" spans="1:11">
      <c r="A16571" s="12">
        <v>43712</v>
      </c>
      <c r="B16571">
        <v>2019</v>
      </c>
      <c r="C16571">
        <v>9</v>
      </c>
      <c r="D16571" s="11">
        <v>43709</v>
      </c>
      <c r="E16571" t="s">
        <v>2181</v>
      </c>
      <c r="F16571">
        <v>3</v>
      </c>
      <c r="G16571" t="s">
        <v>65</v>
      </c>
      <c r="H16571" t="s">
        <v>41</v>
      </c>
      <c r="I16571" t="s">
        <v>2189</v>
      </c>
      <c r="J16571" s="10">
        <v>0.373</v>
      </c>
      <c r="K16571" t="b">
        <v>1</v>
      </c>
    </row>
    <row r="16572" spans="1:11">
      <c r="A16572" s="12">
        <v>43712</v>
      </c>
      <c r="B16572">
        <v>2019</v>
      </c>
      <c r="C16572">
        <v>9</v>
      </c>
      <c r="D16572" s="11">
        <v>43709</v>
      </c>
      <c r="E16572" t="s">
        <v>2181</v>
      </c>
      <c r="F16572">
        <v>3</v>
      </c>
      <c r="G16572" t="s">
        <v>65</v>
      </c>
      <c r="H16572" t="s">
        <v>42</v>
      </c>
      <c r="I16572" t="s">
        <v>2190</v>
      </c>
      <c r="J16572" s="10">
        <v>2.15</v>
      </c>
      <c r="K16572" t="b">
        <v>1</v>
      </c>
    </row>
    <row r="16573" spans="1:11">
      <c r="A16573" s="12">
        <v>43712</v>
      </c>
      <c r="B16573">
        <v>2019</v>
      </c>
      <c r="C16573">
        <v>9</v>
      </c>
      <c r="D16573" s="11">
        <v>43709</v>
      </c>
      <c r="E16573" t="s">
        <v>2181</v>
      </c>
      <c r="F16573">
        <v>3</v>
      </c>
      <c r="G16573" t="s">
        <v>65</v>
      </c>
      <c r="H16573" t="s">
        <v>43</v>
      </c>
      <c r="I16573" t="s">
        <v>2191</v>
      </c>
      <c r="J16573" s="10">
        <v>29.23</v>
      </c>
      <c r="K16573" t="b">
        <v>1</v>
      </c>
    </row>
    <row r="16574" spans="1:11">
      <c r="A16574" s="12">
        <v>43712</v>
      </c>
      <c r="B16574">
        <v>2019</v>
      </c>
      <c r="C16574">
        <v>9</v>
      </c>
      <c r="D16574" s="11">
        <v>43709</v>
      </c>
      <c r="E16574" t="s">
        <v>2181</v>
      </c>
      <c r="F16574">
        <v>3</v>
      </c>
      <c r="G16574" t="s">
        <v>65</v>
      </c>
      <c r="H16574" t="s">
        <v>44</v>
      </c>
      <c r="I16574" t="s">
        <v>2192</v>
      </c>
      <c r="J16574" s="10">
        <v>7</v>
      </c>
      <c r="K16574" t="b">
        <v>1</v>
      </c>
    </row>
    <row r="16575" spans="1:11">
      <c r="A16575" s="12">
        <v>43712</v>
      </c>
      <c r="B16575">
        <v>2019</v>
      </c>
      <c r="C16575">
        <v>9</v>
      </c>
      <c r="D16575" s="11">
        <v>43709</v>
      </c>
      <c r="E16575" t="s">
        <v>2181</v>
      </c>
      <c r="F16575">
        <v>3</v>
      </c>
      <c r="G16575" t="s">
        <v>65</v>
      </c>
      <c r="H16575" t="s">
        <v>45</v>
      </c>
      <c r="I16575" t="s">
        <v>2193</v>
      </c>
      <c r="J16575" s="10">
        <v>0</v>
      </c>
      <c r="K16575" t="b">
        <v>1</v>
      </c>
    </row>
    <row r="16576" spans="1:11">
      <c r="A16576" s="12">
        <v>43712</v>
      </c>
      <c r="B16576">
        <v>2019</v>
      </c>
      <c r="C16576">
        <v>9</v>
      </c>
      <c r="D16576" s="11">
        <v>43709</v>
      </c>
      <c r="E16576" t="s">
        <v>2181</v>
      </c>
      <c r="F16576">
        <v>3</v>
      </c>
      <c r="G16576" t="s">
        <v>65</v>
      </c>
      <c r="H16576" t="s">
        <v>46</v>
      </c>
      <c r="I16576" t="s">
        <v>2194</v>
      </c>
      <c r="J16576" s="10">
        <v>3</v>
      </c>
      <c r="K16576" t="b">
        <v>1</v>
      </c>
    </row>
    <row r="16577" spans="1:11">
      <c r="A16577" s="12">
        <v>43712</v>
      </c>
      <c r="B16577">
        <v>2019</v>
      </c>
      <c r="C16577">
        <v>9</v>
      </c>
      <c r="D16577" s="11">
        <v>43709</v>
      </c>
      <c r="E16577" t="s">
        <v>2181</v>
      </c>
      <c r="F16577">
        <v>3</v>
      </c>
      <c r="G16577" t="s">
        <v>65</v>
      </c>
      <c r="H16577" t="s">
        <v>47</v>
      </c>
      <c r="I16577" t="s">
        <v>2195</v>
      </c>
      <c r="J16577" s="10">
        <v>3</v>
      </c>
      <c r="K16577" t="b">
        <v>1</v>
      </c>
    </row>
    <row r="16578" spans="1:11">
      <c r="A16578" s="12">
        <v>43713</v>
      </c>
      <c r="B16578">
        <v>2019</v>
      </c>
      <c r="C16578">
        <v>9</v>
      </c>
      <c r="D16578" s="11">
        <v>43709</v>
      </c>
      <c r="E16578" t="s">
        <v>2181</v>
      </c>
      <c r="F16578">
        <v>4</v>
      </c>
      <c r="G16578" t="s">
        <v>53</v>
      </c>
      <c r="H16578" t="s">
        <v>40</v>
      </c>
      <c r="I16578" t="s">
        <v>2188</v>
      </c>
      <c r="J16578" s="10">
        <v>7</v>
      </c>
      <c r="K16578" t="b">
        <v>1</v>
      </c>
    </row>
    <row r="16579" spans="1:11">
      <c r="A16579" s="12">
        <v>43713</v>
      </c>
      <c r="B16579">
        <v>2019</v>
      </c>
      <c r="C16579">
        <v>9</v>
      </c>
      <c r="D16579" s="11">
        <v>43709</v>
      </c>
      <c r="E16579" t="s">
        <v>2181</v>
      </c>
      <c r="F16579">
        <v>4</v>
      </c>
      <c r="G16579" t="s">
        <v>53</v>
      </c>
      <c r="H16579" t="s">
        <v>41</v>
      </c>
      <c r="I16579" t="s">
        <v>2189</v>
      </c>
      <c r="J16579" s="10">
        <v>9.529999999999999</v>
      </c>
      <c r="K16579" t="b">
        <v>1</v>
      </c>
    </row>
    <row r="16580" spans="1:11">
      <c r="A16580" s="12">
        <v>43713</v>
      </c>
      <c r="B16580">
        <v>2019</v>
      </c>
      <c r="C16580">
        <v>9</v>
      </c>
      <c r="D16580" s="11">
        <v>43709</v>
      </c>
      <c r="E16580" t="s">
        <v>2181</v>
      </c>
      <c r="F16580">
        <v>4</v>
      </c>
      <c r="G16580" t="s">
        <v>53</v>
      </c>
      <c r="H16580" t="s">
        <v>42</v>
      </c>
      <c r="I16580" t="s">
        <v>2190</v>
      </c>
      <c r="J16580" s="10">
        <v>2</v>
      </c>
      <c r="K16580" t="b">
        <v>1</v>
      </c>
    </row>
    <row r="16581" spans="1:11">
      <c r="A16581" s="12">
        <v>43713</v>
      </c>
      <c r="B16581">
        <v>2019</v>
      </c>
      <c r="C16581">
        <v>9</v>
      </c>
      <c r="D16581" s="11">
        <v>43709</v>
      </c>
      <c r="E16581" t="s">
        <v>2181</v>
      </c>
      <c r="F16581">
        <v>4</v>
      </c>
      <c r="G16581" t="s">
        <v>53</v>
      </c>
      <c r="H16581" t="s">
        <v>43</v>
      </c>
      <c r="I16581" t="s">
        <v>2191</v>
      </c>
      <c r="J16581" s="10">
        <v>14</v>
      </c>
      <c r="K16581" t="b">
        <v>1</v>
      </c>
    </row>
    <row r="16582" spans="1:11">
      <c r="A16582" s="12">
        <v>43713</v>
      </c>
      <c r="B16582">
        <v>2019</v>
      </c>
      <c r="C16582">
        <v>9</v>
      </c>
      <c r="D16582" s="11">
        <v>43709</v>
      </c>
      <c r="E16582" t="s">
        <v>2181</v>
      </c>
      <c r="F16582">
        <v>4</v>
      </c>
      <c r="G16582" t="s">
        <v>53</v>
      </c>
      <c r="H16582" t="s">
        <v>44</v>
      </c>
      <c r="I16582" t="s">
        <v>2192</v>
      </c>
      <c r="J16582" s="10">
        <v>1</v>
      </c>
      <c r="K16582" t="b">
        <v>1</v>
      </c>
    </row>
    <row r="16583" spans="1:11">
      <c r="A16583" s="12">
        <v>43713</v>
      </c>
      <c r="B16583">
        <v>2019</v>
      </c>
      <c r="C16583">
        <v>9</v>
      </c>
      <c r="D16583" s="11">
        <v>43709</v>
      </c>
      <c r="E16583" t="s">
        <v>2181</v>
      </c>
      <c r="F16583">
        <v>4</v>
      </c>
      <c r="G16583" t="s">
        <v>53</v>
      </c>
      <c r="H16583" t="s">
        <v>45</v>
      </c>
      <c r="I16583" t="s">
        <v>2193</v>
      </c>
      <c r="J16583" s="10">
        <v>0</v>
      </c>
      <c r="K16583" t="b">
        <v>1</v>
      </c>
    </row>
    <row r="16584" spans="1:11">
      <c r="A16584" s="12">
        <v>43713</v>
      </c>
      <c r="B16584">
        <v>2019</v>
      </c>
      <c r="C16584">
        <v>9</v>
      </c>
      <c r="D16584" s="11">
        <v>43709</v>
      </c>
      <c r="E16584" t="s">
        <v>2181</v>
      </c>
      <c r="F16584">
        <v>4</v>
      </c>
      <c r="G16584" t="s">
        <v>53</v>
      </c>
      <c r="H16584" t="s">
        <v>46</v>
      </c>
      <c r="I16584" t="s">
        <v>2194</v>
      </c>
      <c r="J16584" s="10">
        <v>1</v>
      </c>
      <c r="K16584" t="b">
        <v>1</v>
      </c>
    </row>
    <row r="16585" spans="1:11">
      <c r="A16585" s="12">
        <v>43713</v>
      </c>
      <c r="B16585">
        <v>2019</v>
      </c>
      <c r="C16585">
        <v>9</v>
      </c>
      <c r="D16585" s="11">
        <v>43709</v>
      </c>
      <c r="E16585" t="s">
        <v>2181</v>
      </c>
      <c r="F16585">
        <v>4</v>
      </c>
      <c r="G16585" t="s">
        <v>53</v>
      </c>
      <c r="H16585" t="s">
        <v>47</v>
      </c>
      <c r="I16585" t="s">
        <v>2195</v>
      </c>
      <c r="J16585" s="10">
        <v>8</v>
      </c>
      <c r="K16585" t="b">
        <v>1</v>
      </c>
    </row>
    <row r="16586" spans="1:11">
      <c r="A16586" s="12">
        <v>43714</v>
      </c>
      <c r="B16586">
        <v>2019</v>
      </c>
      <c r="C16586">
        <v>9</v>
      </c>
      <c r="D16586" s="11">
        <v>43709</v>
      </c>
      <c r="E16586" t="s">
        <v>2181</v>
      </c>
      <c r="F16586">
        <v>5</v>
      </c>
      <c r="G16586" t="s">
        <v>55</v>
      </c>
      <c r="H16586" t="s">
        <v>40</v>
      </c>
      <c r="I16586" t="s">
        <v>2188</v>
      </c>
      <c r="J16586" s="10">
        <v>1.68</v>
      </c>
      <c r="K16586" t="b">
        <v>1</v>
      </c>
    </row>
    <row r="16587" spans="1:11">
      <c r="A16587" s="12">
        <v>43714</v>
      </c>
      <c r="B16587">
        <v>2019</v>
      </c>
      <c r="C16587">
        <v>9</v>
      </c>
      <c r="D16587" s="11">
        <v>43709</v>
      </c>
      <c r="E16587" t="s">
        <v>2181</v>
      </c>
      <c r="F16587">
        <v>5</v>
      </c>
      <c r="G16587" t="s">
        <v>55</v>
      </c>
      <c r="H16587" t="s">
        <v>41</v>
      </c>
      <c r="I16587" t="s">
        <v>2189</v>
      </c>
      <c r="J16587" s="10">
        <v>2.67</v>
      </c>
      <c r="K16587" t="b">
        <v>1</v>
      </c>
    </row>
    <row r="16588" spans="1:11">
      <c r="A16588" s="12">
        <v>43714</v>
      </c>
      <c r="B16588">
        <v>2019</v>
      </c>
      <c r="C16588">
        <v>9</v>
      </c>
      <c r="D16588" s="11">
        <v>43709</v>
      </c>
      <c r="E16588" t="s">
        <v>2181</v>
      </c>
      <c r="F16588">
        <v>5</v>
      </c>
      <c r="G16588" t="s">
        <v>55</v>
      </c>
      <c r="H16588" t="s">
        <v>42</v>
      </c>
      <c r="I16588" t="s">
        <v>2190</v>
      </c>
      <c r="J16588" s="10">
        <v>1</v>
      </c>
      <c r="K16588" t="b">
        <v>1</v>
      </c>
    </row>
    <row r="16589" spans="1:11">
      <c r="A16589" s="12">
        <v>43714</v>
      </c>
      <c r="B16589">
        <v>2019</v>
      </c>
      <c r="C16589">
        <v>9</v>
      </c>
      <c r="D16589" s="11">
        <v>43709</v>
      </c>
      <c r="E16589" t="s">
        <v>2181</v>
      </c>
      <c r="F16589">
        <v>5</v>
      </c>
      <c r="G16589" t="s">
        <v>55</v>
      </c>
      <c r="H16589" t="s">
        <v>43</v>
      </c>
      <c r="I16589" t="s">
        <v>2191</v>
      </c>
      <c r="J16589" s="10">
        <v>28.4</v>
      </c>
      <c r="K16589" t="b">
        <v>1</v>
      </c>
    </row>
    <row r="16590" spans="1:11">
      <c r="A16590" s="12">
        <v>43714</v>
      </c>
      <c r="B16590">
        <v>2019</v>
      </c>
      <c r="C16590">
        <v>9</v>
      </c>
      <c r="D16590" s="11">
        <v>43709</v>
      </c>
      <c r="E16590" t="s">
        <v>2181</v>
      </c>
      <c r="F16590">
        <v>5</v>
      </c>
      <c r="G16590" t="s">
        <v>55</v>
      </c>
      <c r="H16590" t="s">
        <v>44</v>
      </c>
      <c r="I16590" t="s">
        <v>2192</v>
      </c>
      <c r="J16590" s="10">
        <v>7</v>
      </c>
      <c r="K16590" t="b">
        <v>1</v>
      </c>
    </row>
    <row r="16591" spans="1:11">
      <c r="A16591" s="12">
        <v>43714</v>
      </c>
      <c r="B16591">
        <v>2019</v>
      </c>
      <c r="C16591">
        <v>9</v>
      </c>
      <c r="D16591" s="11">
        <v>43709</v>
      </c>
      <c r="E16591" t="s">
        <v>2181</v>
      </c>
      <c r="F16591">
        <v>5</v>
      </c>
      <c r="G16591" t="s">
        <v>55</v>
      </c>
      <c r="H16591" t="s">
        <v>45</v>
      </c>
      <c r="I16591" t="s">
        <v>2193</v>
      </c>
      <c r="J16591" s="10">
        <v>0</v>
      </c>
      <c r="K16591" t="b">
        <v>1</v>
      </c>
    </row>
    <row r="16592" spans="1:11">
      <c r="A16592" s="12">
        <v>43714</v>
      </c>
      <c r="B16592">
        <v>2019</v>
      </c>
      <c r="C16592">
        <v>9</v>
      </c>
      <c r="D16592" s="11">
        <v>43709</v>
      </c>
      <c r="E16592" t="s">
        <v>2181</v>
      </c>
      <c r="F16592">
        <v>5</v>
      </c>
      <c r="G16592" t="s">
        <v>55</v>
      </c>
      <c r="H16592" t="s">
        <v>46</v>
      </c>
      <c r="I16592" t="s">
        <v>2194</v>
      </c>
      <c r="J16592" s="10">
        <v>0</v>
      </c>
      <c r="K16592" t="b">
        <v>1</v>
      </c>
    </row>
    <row r="16593" spans="1:11">
      <c r="A16593" s="12">
        <v>43714</v>
      </c>
      <c r="B16593">
        <v>2019</v>
      </c>
      <c r="C16593">
        <v>9</v>
      </c>
      <c r="D16593" s="11">
        <v>43709</v>
      </c>
      <c r="E16593" t="s">
        <v>2181</v>
      </c>
      <c r="F16593">
        <v>5</v>
      </c>
      <c r="G16593" t="s">
        <v>55</v>
      </c>
      <c r="H16593" t="s">
        <v>47</v>
      </c>
      <c r="I16593" t="s">
        <v>2195</v>
      </c>
      <c r="J16593" s="10">
        <v>1.5</v>
      </c>
      <c r="K16593" t="b">
        <v>1</v>
      </c>
    </row>
    <row r="16594" spans="1:11">
      <c r="A16594" s="12">
        <v>43715</v>
      </c>
      <c r="B16594">
        <v>2019</v>
      </c>
      <c r="C16594">
        <v>9</v>
      </c>
      <c r="D16594" s="11">
        <v>43709</v>
      </c>
      <c r="E16594" t="s">
        <v>2181</v>
      </c>
      <c r="F16594">
        <v>6</v>
      </c>
      <c r="G16594" t="s">
        <v>57</v>
      </c>
      <c r="H16594" t="s">
        <v>40</v>
      </c>
      <c r="I16594" t="s">
        <v>2188</v>
      </c>
      <c r="J16594" s="10">
        <v>8.33</v>
      </c>
      <c r="K16594" t="b">
        <v>1</v>
      </c>
    </row>
    <row r="16595" spans="1:11">
      <c r="A16595" s="12">
        <v>43715</v>
      </c>
      <c r="B16595">
        <v>2019</v>
      </c>
      <c r="C16595">
        <v>9</v>
      </c>
      <c r="D16595" s="11">
        <v>43709</v>
      </c>
      <c r="E16595" t="s">
        <v>2181</v>
      </c>
      <c r="F16595">
        <v>6</v>
      </c>
      <c r="G16595" t="s">
        <v>57</v>
      </c>
      <c r="H16595" t="s">
        <v>41</v>
      </c>
      <c r="I16595" t="s">
        <v>2189</v>
      </c>
      <c r="J16595" s="10">
        <v>3.67</v>
      </c>
      <c r="K16595" t="b">
        <v>1</v>
      </c>
    </row>
    <row r="16596" spans="1:11">
      <c r="A16596" s="12">
        <v>43715</v>
      </c>
      <c r="B16596">
        <v>2019</v>
      </c>
      <c r="C16596">
        <v>9</v>
      </c>
      <c r="D16596" s="11">
        <v>43709</v>
      </c>
      <c r="E16596" t="s">
        <v>2181</v>
      </c>
      <c r="F16596">
        <v>6</v>
      </c>
      <c r="G16596" t="s">
        <v>57</v>
      </c>
      <c r="H16596" t="s">
        <v>42</v>
      </c>
      <c r="I16596" t="s">
        <v>2190</v>
      </c>
      <c r="J16596" s="10">
        <v>2</v>
      </c>
      <c r="K16596" t="b">
        <v>1</v>
      </c>
    </row>
    <row r="16597" spans="1:11">
      <c r="A16597" s="12">
        <v>43715</v>
      </c>
      <c r="B16597">
        <v>2019</v>
      </c>
      <c r="C16597">
        <v>9</v>
      </c>
      <c r="D16597" s="11">
        <v>43709</v>
      </c>
      <c r="E16597" t="s">
        <v>2181</v>
      </c>
      <c r="F16597">
        <v>6</v>
      </c>
      <c r="G16597" t="s">
        <v>57</v>
      </c>
      <c r="H16597" t="s">
        <v>43</v>
      </c>
      <c r="I16597" t="s">
        <v>2191</v>
      </c>
      <c r="J16597" s="10">
        <v>27</v>
      </c>
      <c r="K16597" t="b">
        <v>1</v>
      </c>
    </row>
    <row r="16598" spans="1:11">
      <c r="A16598" s="12">
        <v>43715</v>
      </c>
      <c r="B16598">
        <v>2019</v>
      </c>
      <c r="C16598">
        <v>9</v>
      </c>
      <c r="D16598" s="11">
        <v>43709</v>
      </c>
      <c r="E16598" t="s">
        <v>2181</v>
      </c>
      <c r="F16598">
        <v>6</v>
      </c>
      <c r="G16598" t="s">
        <v>57</v>
      </c>
      <c r="H16598" t="s">
        <v>44</v>
      </c>
      <c r="I16598" t="s">
        <v>2192</v>
      </c>
      <c r="J16598" s="10">
        <v>14</v>
      </c>
      <c r="K16598" t="b">
        <v>1</v>
      </c>
    </row>
    <row r="16599" spans="1:11">
      <c r="A16599" s="12">
        <v>43715</v>
      </c>
      <c r="B16599">
        <v>2019</v>
      </c>
      <c r="C16599">
        <v>9</v>
      </c>
      <c r="D16599" s="11">
        <v>43709</v>
      </c>
      <c r="E16599" t="s">
        <v>2181</v>
      </c>
      <c r="F16599">
        <v>6</v>
      </c>
      <c r="G16599" t="s">
        <v>57</v>
      </c>
      <c r="H16599" t="s">
        <v>45</v>
      </c>
      <c r="I16599" t="s">
        <v>2193</v>
      </c>
      <c r="J16599" s="10">
        <v>3</v>
      </c>
      <c r="K16599" t="b">
        <v>1</v>
      </c>
    </row>
    <row r="16600" spans="1:11">
      <c r="A16600" s="12">
        <v>43715</v>
      </c>
      <c r="B16600">
        <v>2019</v>
      </c>
      <c r="C16600">
        <v>9</v>
      </c>
      <c r="D16600" s="11">
        <v>43709</v>
      </c>
      <c r="E16600" t="s">
        <v>2181</v>
      </c>
      <c r="F16600">
        <v>6</v>
      </c>
      <c r="G16600" t="s">
        <v>57</v>
      </c>
      <c r="H16600" t="s">
        <v>46</v>
      </c>
      <c r="I16600" t="s">
        <v>2194</v>
      </c>
      <c r="J16600" s="10">
        <v>6</v>
      </c>
      <c r="K16600" t="b">
        <v>1</v>
      </c>
    </row>
    <row r="16601" spans="1:11">
      <c r="A16601" s="12">
        <v>43715</v>
      </c>
      <c r="B16601">
        <v>2019</v>
      </c>
      <c r="C16601">
        <v>9</v>
      </c>
      <c r="D16601" s="11">
        <v>43709</v>
      </c>
      <c r="E16601" t="s">
        <v>2181</v>
      </c>
      <c r="F16601">
        <v>6</v>
      </c>
      <c r="G16601" t="s">
        <v>57</v>
      </c>
      <c r="H16601" t="s">
        <v>47</v>
      </c>
      <c r="I16601" t="s">
        <v>2195</v>
      </c>
      <c r="J16601" s="10">
        <v>2</v>
      </c>
      <c r="K16601" t="b">
        <v>1</v>
      </c>
    </row>
    <row r="16602" spans="1:11">
      <c r="A16602" s="12">
        <v>43716</v>
      </c>
      <c r="B16602">
        <v>2019</v>
      </c>
      <c r="C16602">
        <v>9</v>
      </c>
      <c r="D16602" s="11">
        <v>43709</v>
      </c>
      <c r="E16602" t="s">
        <v>2181</v>
      </c>
      <c r="F16602">
        <v>7</v>
      </c>
      <c r="G16602" t="s">
        <v>59</v>
      </c>
      <c r="H16602" t="s">
        <v>40</v>
      </c>
      <c r="I16602" t="s">
        <v>2188</v>
      </c>
      <c r="J16602" s="10">
        <v>7.01</v>
      </c>
      <c r="K16602" t="b">
        <v>1</v>
      </c>
    </row>
    <row r="16603" spans="1:11">
      <c r="A16603" s="12">
        <v>43716</v>
      </c>
      <c r="B16603">
        <v>2019</v>
      </c>
      <c r="C16603">
        <v>9</v>
      </c>
      <c r="D16603" s="11">
        <v>43709</v>
      </c>
      <c r="E16603" t="s">
        <v>2181</v>
      </c>
      <c r="F16603">
        <v>7</v>
      </c>
      <c r="G16603" t="s">
        <v>59</v>
      </c>
      <c r="H16603" t="s">
        <v>41</v>
      </c>
      <c r="I16603" t="s">
        <v>2189</v>
      </c>
      <c r="J16603" s="10">
        <v>6.087</v>
      </c>
      <c r="K16603" t="b">
        <v>1</v>
      </c>
    </row>
    <row r="16604" spans="1:11">
      <c r="A16604" s="12">
        <v>43716</v>
      </c>
      <c r="B16604">
        <v>2019</v>
      </c>
      <c r="C16604">
        <v>9</v>
      </c>
      <c r="D16604" s="11">
        <v>43709</v>
      </c>
      <c r="E16604" t="s">
        <v>2181</v>
      </c>
      <c r="F16604">
        <v>7</v>
      </c>
      <c r="G16604" t="s">
        <v>59</v>
      </c>
      <c r="H16604" t="s">
        <v>42</v>
      </c>
      <c r="I16604" t="s">
        <v>2190</v>
      </c>
      <c r="J16604" s="10">
        <v>3</v>
      </c>
      <c r="K16604" t="b">
        <v>1</v>
      </c>
    </row>
    <row r="16605" spans="1:11">
      <c r="A16605" s="12">
        <v>43716</v>
      </c>
      <c r="B16605">
        <v>2019</v>
      </c>
      <c r="C16605">
        <v>9</v>
      </c>
      <c r="D16605" s="11">
        <v>43709</v>
      </c>
      <c r="E16605" t="s">
        <v>2181</v>
      </c>
      <c r="F16605">
        <v>7</v>
      </c>
      <c r="G16605" t="s">
        <v>59</v>
      </c>
      <c r="H16605" t="s">
        <v>43</v>
      </c>
      <c r="I16605" t="s">
        <v>2191</v>
      </c>
      <c r="J16605" s="10">
        <v>26</v>
      </c>
      <c r="K16605" t="b">
        <v>1</v>
      </c>
    </row>
    <row r="16606" spans="1:11">
      <c r="A16606" s="12">
        <v>43716</v>
      </c>
      <c r="B16606">
        <v>2019</v>
      </c>
      <c r="C16606">
        <v>9</v>
      </c>
      <c r="D16606" s="11">
        <v>43709</v>
      </c>
      <c r="E16606" t="s">
        <v>2181</v>
      </c>
      <c r="F16606">
        <v>7</v>
      </c>
      <c r="G16606" t="s">
        <v>59</v>
      </c>
      <c r="H16606" t="s">
        <v>44</v>
      </c>
      <c r="I16606" t="s">
        <v>2192</v>
      </c>
      <c r="J16606" s="10">
        <v>7</v>
      </c>
      <c r="K16606" t="b">
        <v>1</v>
      </c>
    </row>
    <row r="16607" spans="1:11">
      <c r="A16607" s="12">
        <v>43716</v>
      </c>
      <c r="B16607">
        <v>2019</v>
      </c>
      <c r="C16607">
        <v>9</v>
      </c>
      <c r="D16607" s="11">
        <v>43709</v>
      </c>
      <c r="E16607" t="s">
        <v>2181</v>
      </c>
      <c r="F16607">
        <v>7</v>
      </c>
      <c r="G16607" t="s">
        <v>59</v>
      </c>
      <c r="H16607" t="s">
        <v>45</v>
      </c>
      <c r="I16607" t="s">
        <v>2193</v>
      </c>
      <c r="J16607" s="10">
        <v>0</v>
      </c>
      <c r="K16607" t="b">
        <v>1</v>
      </c>
    </row>
    <row r="16608" spans="1:11">
      <c r="A16608" s="12">
        <v>43716</v>
      </c>
      <c r="B16608">
        <v>2019</v>
      </c>
      <c r="C16608">
        <v>9</v>
      </c>
      <c r="D16608" s="11">
        <v>43709</v>
      </c>
      <c r="E16608" t="s">
        <v>2181</v>
      </c>
      <c r="F16608">
        <v>7</v>
      </c>
      <c r="G16608" t="s">
        <v>59</v>
      </c>
      <c r="H16608" t="s">
        <v>46</v>
      </c>
      <c r="I16608" t="s">
        <v>2194</v>
      </c>
      <c r="J16608" s="10">
        <v>3</v>
      </c>
      <c r="K16608" t="b">
        <v>1</v>
      </c>
    </row>
    <row r="16609" spans="1:11">
      <c r="A16609" s="12">
        <v>43716</v>
      </c>
      <c r="B16609">
        <v>2019</v>
      </c>
      <c r="C16609">
        <v>9</v>
      </c>
      <c r="D16609" s="11">
        <v>43709</v>
      </c>
      <c r="E16609" t="s">
        <v>2181</v>
      </c>
      <c r="F16609">
        <v>7</v>
      </c>
      <c r="G16609" t="s">
        <v>59</v>
      </c>
      <c r="H16609" t="s">
        <v>47</v>
      </c>
      <c r="I16609" t="s">
        <v>2195</v>
      </c>
      <c r="J16609" s="10">
        <v>3</v>
      </c>
      <c r="K16609" t="b">
        <v>1</v>
      </c>
    </row>
    <row r="16610" spans="1:11">
      <c r="A16610" s="12">
        <v>43717</v>
      </c>
      <c r="B16610">
        <v>2019</v>
      </c>
      <c r="C16610">
        <v>9</v>
      </c>
      <c r="D16610" s="11">
        <v>43709</v>
      </c>
      <c r="E16610" t="s">
        <v>2181</v>
      </c>
      <c r="F16610">
        <v>1</v>
      </c>
      <c r="G16610" t="s">
        <v>61</v>
      </c>
      <c r="H16610" t="s">
        <v>40</v>
      </c>
      <c r="I16610" t="s">
        <v>2188</v>
      </c>
      <c r="J16610" s="10">
        <v>1.18</v>
      </c>
      <c r="K16610" t="b">
        <v>1</v>
      </c>
    </row>
    <row r="16611" spans="1:11">
      <c r="A16611" s="12">
        <v>43717</v>
      </c>
      <c r="B16611">
        <v>2019</v>
      </c>
      <c r="C16611">
        <v>9</v>
      </c>
      <c r="D16611" s="11">
        <v>43709</v>
      </c>
      <c r="E16611" t="s">
        <v>2181</v>
      </c>
      <c r="F16611">
        <v>1</v>
      </c>
      <c r="G16611" t="s">
        <v>61</v>
      </c>
      <c r="H16611" t="s">
        <v>41</v>
      </c>
      <c r="I16611" t="s">
        <v>2189</v>
      </c>
      <c r="J16611" s="10">
        <v>2.124</v>
      </c>
      <c r="K16611" t="b">
        <v>1</v>
      </c>
    </row>
    <row r="16612" spans="1:11">
      <c r="A16612" s="12">
        <v>43717</v>
      </c>
      <c r="B16612">
        <v>2019</v>
      </c>
      <c r="C16612">
        <v>9</v>
      </c>
      <c r="D16612" s="11">
        <v>43709</v>
      </c>
      <c r="E16612" t="s">
        <v>2181</v>
      </c>
      <c r="F16612">
        <v>1</v>
      </c>
      <c r="G16612" t="s">
        <v>61</v>
      </c>
      <c r="H16612" t="s">
        <v>42</v>
      </c>
      <c r="I16612" t="s">
        <v>2190</v>
      </c>
      <c r="J16612" s="10">
        <v>3</v>
      </c>
      <c r="K16612" t="b">
        <v>1</v>
      </c>
    </row>
    <row r="16613" spans="1:11">
      <c r="A16613" s="12">
        <v>43717</v>
      </c>
      <c r="B16613">
        <v>2019</v>
      </c>
      <c r="C16613">
        <v>9</v>
      </c>
      <c r="D16613" s="11">
        <v>43709</v>
      </c>
      <c r="E16613" t="s">
        <v>2181</v>
      </c>
      <c r="F16613">
        <v>1</v>
      </c>
      <c r="G16613" t="s">
        <v>61</v>
      </c>
      <c r="H16613" t="s">
        <v>43</v>
      </c>
      <c r="I16613" t="s">
        <v>2191</v>
      </c>
      <c r="J16613" s="10">
        <v>26</v>
      </c>
      <c r="K16613" t="b">
        <v>1</v>
      </c>
    </row>
    <row r="16614" spans="1:11">
      <c r="A16614" s="12">
        <v>43717</v>
      </c>
      <c r="B16614">
        <v>2019</v>
      </c>
      <c r="C16614">
        <v>9</v>
      </c>
      <c r="D16614" s="11">
        <v>43709</v>
      </c>
      <c r="E16614" t="s">
        <v>2181</v>
      </c>
      <c r="F16614">
        <v>1</v>
      </c>
      <c r="G16614" t="s">
        <v>61</v>
      </c>
      <c r="H16614" t="s">
        <v>44</v>
      </c>
      <c r="I16614" t="s">
        <v>2192</v>
      </c>
      <c r="J16614" s="10">
        <v>4</v>
      </c>
      <c r="K16614" t="b">
        <v>1</v>
      </c>
    </row>
    <row r="16615" spans="1:11">
      <c r="A16615" s="12">
        <v>43717</v>
      </c>
      <c r="B16615">
        <v>2019</v>
      </c>
      <c r="C16615">
        <v>9</v>
      </c>
      <c r="D16615" s="11">
        <v>43709</v>
      </c>
      <c r="E16615" t="s">
        <v>2181</v>
      </c>
      <c r="F16615">
        <v>1</v>
      </c>
      <c r="G16615" t="s">
        <v>61</v>
      </c>
      <c r="H16615" t="s">
        <v>45</v>
      </c>
      <c r="I16615" t="s">
        <v>2193</v>
      </c>
      <c r="J16615" s="10">
        <v>3</v>
      </c>
      <c r="K16615" t="b">
        <v>1</v>
      </c>
    </row>
    <row r="16616" spans="1:11">
      <c r="A16616" s="12">
        <v>43717</v>
      </c>
      <c r="B16616">
        <v>2019</v>
      </c>
      <c r="C16616">
        <v>9</v>
      </c>
      <c r="D16616" s="11">
        <v>43709</v>
      </c>
      <c r="E16616" t="s">
        <v>2181</v>
      </c>
      <c r="F16616">
        <v>1</v>
      </c>
      <c r="G16616" t="s">
        <v>61</v>
      </c>
      <c r="H16616" t="s">
        <v>46</v>
      </c>
      <c r="I16616" t="s">
        <v>2194</v>
      </c>
      <c r="J16616" s="10">
        <v>5</v>
      </c>
      <c r="K16616" t="b">
        <v>1</v>
      </c>
    </row>
    <row r="16617" spans="1:11">
      <c r="A16617" s="12">
        <v>43717</v>
      </c>
      <c r="B16617">
        <v>2019</v>
      </c>
      <c r="C16617">
        <v>9</v>
      </c>
      <c r="D16617" s="11">
        <v>43709</v>
      </c>
      <c r="E16617" t="s">
        <v>2181</v>
      </c>
      <c r="F16617">
        <v>1</v>
      </c>
      <c r="G16617" t="s">
        <v>61</v>
      </c>
      <c r="H16617" t="s">
        <v>47</v>
      </c>
      <c r="I16617" t="s">
        <v>2195</v>
      </c>
      <c r="J16617" s="10">
        <v>2</v>
      </c>
      <c r="K16617" t="b">
        <v>1</v>
      </c>
    </row>
    <row r="16618" spans="1:11">
      <c r="A16618" s="12">
        <v>43718</v>
      </c>
      <c r="B16618">
        <v>2019</v>
      </c>
      <c r="C16618">
        <v>9</v>
      </c>
      <c r="D16618" s="11">
        <v>43709</v>
      </c>
      <c r="E16618" t="s">
        <v>2181</v>
      </c>
      <c r="F16618">
        <v>2</v>
      </c>
      <c r="G16618" t="s">
        <v>63</v>
      </c>
      <c r="H16618" t="s">
        <v>40</v>
      </c>
      <c r="I16618" t="s">
        <v>2188</v>
      </c>
      <c r="J16618" s="10">
        <v>8.66</v>
      </c>
      <c r="K16618" t="b">
        <v>1</v>
      </c>
    </row>
    <row r="16619" spans="1:11">
      <c r="A16619" s="12">
        <v>43718</v>
      </c>
      <c r="B16619">
        <v>2019</v>
      </c>
      <c r="C16619">
        <v>9</v>
      </c>
      <c r="D16619" s="11">
        <v>43709</v>
      </c>
      <c r="E16619" t="s">
        <v>2181</v>
      </c>
      <c r="F16619">
        <v>2</v>
      </c>
      <c r="G16619" t="s">
        <v>63</v>
      </c>
      <c r="H16619" t="s">
        <v>41</v>
      </c>
      <c r="I16619" t="s">
        <v>2189</v>
      </c>
      <c r="J16619" s="10">
        <v>6.68</v>
      </c>
      <c r="K16619" t="b">
        <v>1</v>
      </c>
    </row>
    <row r="16620" spans="1:11">
      <c r="A16620" s="12">
        <v>43718</v>
      </c>
      <c r="B16620">
        <v>2019</v>
      </c>
      <c r="C16620">
        <v>9</v>
      </c>
      <c r="D16620" s="11">
        <v>43709</v>
      </c>
      <c r="E16620" t="s">
        <v>2181</v>
      </c>
      <c r="F16620">
        <v>2</v>
      </c>
      <c r="G16620" t="s">
        <v>63</v>
      </c>
      <c r="H16620" t="s">
        <v>42</v>
      </c>
      <c r="I16620" t="s">
        <v>2190</v>
      </c>
      <c r="J16620" s="10">
        <v>4.2</v>
      </c>
      <c r="K16620" t="b">
        <v>1</v>
      </c>
    </row>
    <row r="16621" spans="1:11">
      <c r="A16621" s="12">
        <v>43718</v>
      </c>
      <c r="B16621">
        <v>2019</v>
      </c>
      <c r="C16621">
        <v>9</v>
      </c>
      <c r="D16621" s="11">
        <v>43709</v>
      </c>
      <c r="E16621" t="s">
        <v>2181</v>
      </c>
      <c r="F16621">
        <v>2</v>
      </c>
      <c r="G16621" t="s">
        <v>63</v>
      </c>
      <c r="H16621" t="s">
        <v>43</v>
      </c>
      <c r="I16621" t="s">
        <v>2191</v>
      </c>
      <c r="J16621" s="10">
        <v>22</v>
      </c>
      <c r="K16621" t="b">
        <v>1</v>
      </c>
    </row>
    <row r="16622" spans="1:11">
      <c r="A16622" s="12">
        <v>43718</v>
      </c>
      <c r="B16622">
        <v>2019</v>
      </c>
      <c r="C16622">
        <v>9</v>
      </c>
      <c r="D16622" s="11">
        <v>43709</v>
      </c>
      <c r="E16622" t="s">
        <v>2181</v>
      </c>
      <c r="F16622">
        <v>2</v>
      </c>
      <c r="G16622" t="s">
        <v>63</v>
      </c>
      <c r="H16622" t="s">
        <v>44</v>
      </c>
      <c r="I16622" t="s">
        <v>2192</v>
      </c>
      <c r="J16622" s="10">
        <v>17</v>
      </c>
      <c r="K16622" t="b">
        <v>1</v>
      </c>
    </row>
    <row r="16623" spans="1:11">
      <c r="A16623" s="12">
        <v>43718</v>
      </c>
      <c r="B16623">
        <v>2019</v>
      </c>
      <c r="C16623">
        <v>9</v>
      </c>
      <c r="D16623" s="11">
        <v>43709</v>
      </c>
      <c r="E16623" t="s">
        <v>2181</v>
      </c>
      <c r="F16623">
        <v>2</v>
      </c>
      <c r="G16623" t="s">
        <v>63</v>
      </c>
      <c r="H16623" t="s">
        <v>45</v>
      </c>
      <c r="I16623" t="s">
        <v>2193</v>
      </c>
      <c r="J16623" s="10">
        <v>0</v>
      </c>
      <c r="K16623" t="b">
        <v>1</v>
      </c>
    </row>
    <row r="16624" spans="1:11">
      <c r="A16624" s="12">
        <v>43718</v>
      </c>
      <c r="B16624">
        <v>2019</v>
      </c>
      <c r="C16624">
        <v>9</v>
      </c>
      <c r="D16624" s="11">
        <v>43709</v>
      </c>
      <c r="E16624" t="s">
        <v>2181</v>
      </c>
      <c r="F16624">
        <v>2</v>
      </c>
      <c r="G16624" t="s">
        <v>63</v>
      </c>
      <c r="H16624" t="s">
        <v>46</v>
      </c>
      <c r="I16624" t="s">
        <v>2194</v>
      </c>
      <c r="J16624" s="10">
        <v>1</v>
      </c>
      <c r="K16624" t="b">
        <v>1</v>
      </c>
    </row>
    <row r="16625" spans="1:11">
      <c r="A16625" s="12">
        <v>43718</v>
      </c>
      <c r="B16625">
        <v>2019</v>
      </c>
      <c r="C16625">
        <v>9</v>
      </c>
      <c r="D16625" s="11">
        <v>43709</v>
      </c>
      <c r="E16625" t="s">
        <v>2181</v>
      </c>
      <c r="F16625">
        <v>2</v>
      </c>
      <c r="G16625" t="s">
        <v>63</v>
      </c>
      <c r="H16625" t="s">
        <v>47</v>
      </c>
      <c r="I16625" t="s">
        <v>2195</v>
      </c>
      <c r="J16625" s="10">
        <v>1</v>
      </c>
      <c r="K16625" t="b">
        <v>1</v>
      </c>
    </row>
    <row r="16626" spans="1:11">
      <c r="A16626" s="12">
        <v>43719</v>
      </c>
      <c r="B16626">
        <v>2019</v>
      </c>
      <c r="C16626">
        <v>9</v>
      </c>
      <c r="D16626" s="11">
        <v>43709</v>
      </c>
      <c r="E16626" t="s">
        <v>2181</v>
      </c>
      <c r="F16626">
        <v>3</v>
      </c>
      <c r="G16626" t="s">
        <v>65</v>
      </c>
      <c r="H16626" t="s">
        <v>40</v>
      </c>
      <c r="I16626" t="s">
        <v>2188</v>
      </c>
      <c r="J16626" s="10">
        <v>2.67</v>
      </c>
      <c r="K16626" t="b">
        <v>1</v>
      </c>
    </row>
    <row r="16627" spans="1:11">
      <c r="A16627" s="12">
        <v>43719</v>
      </c>
      <c r="B16627">
        <v>2019</v>
      </c>
      <c r="C16627">
        <v>9</v>
      </c>
      <c r="D16627" s="11">
        <v>43709</v>
      </c>
      <c r="E16627" t="s">
        <v>2181</v>
      </c>
      <c r="F16627">
        <v>3</v>
      </c>
      <c r="G16627" t="s">
        <v>65</v>
      </c>
      <c r="H16627" t="s">
        <v>41</v>
      </c>
      <c r="I16627" t="s">
        <v>2189</v>
      </c>
      <c r="J16627" s="10">
        <v>5.076</v>
      </c>
      <c r="K16627" t="b">
        <v>1</v>
      </c>
    </row>
    <row r="16628" spans="1:11">
      <c r="A16628" s="12">
        <v>43719</v>
      </c>
      <c r="B16628">
        <v>2019</v>
      </c>
      <c r="C16628">
        <v>9</v>
      </c>
      <c r="D16628" s="11">
        <v>43709</v>
      </c>
      <c r="E16628" t="s">
        <v>2181</v>
      </c>
      <c r="F16628">
        <v>3</v>
      </c>
      <c r="G16628" t="s">
        <v>65</v>
      </c>
      <c r="H16628" t="s">
        <v>42</v>
      </c>
      <c r="I16628" t="s">
        <v>2190</v>
      </c>
      <c r="J16628" s="10">
        <v>3</v>
      </c>
      <c r="K16628" t="b">
        <v>1</v>
      </c>
    </row>
    <row r="16629" spans="1:11">
      <c r="A16629" s="12">
        <v>43719</v>
      </c>
      <c r="B16629">
        <v>2019</v>
      </c>
      <c r="C16629">
        <v>9</v>
      </c>
      <c r="D16629" s="11">
        <v>43709</v>
      </c>
      <c r="E16629" t="s">
        <v>2181</v>
      </c>
      <c r="F16629">
        <v>3</v>
      </c>
      <c r="G16629" t="s">
        <v>65</v>
      </c>
      <c r="H16629" t="s">
        <v>43</v>
      </c>
      <c r="I16629" t="s">
        <v>2191</v>
      </c>
      <c r="J16629" s="10">
        <v>42</v>
      </c>
      <c r="K16629" t="b">
        <v>1</v>
      </c>
    </row>
    <row r="16630" spans="1:11">
      <c r="A16630" s="12">
        <v>43719</v>
      </c>
      <c r="B16630">
        <v>2019</v>
      </c>
      <c r="C16630">
        <v>9</v>
      </c>
      <c r="D16630" s="11">
        <v>43709</v>
      </c>
      <c r="E16630" t="s">
        <v>2181</v>
      </c>
      <c r="F16630">
        <v>3</v>
      </c>
      <c r="G16630" t="s">
        <v>65</v>
      </c>
      <c r="H16630" t="s">
        <v>44</v>
      </c>
      <c r="I16630" t="s">
        <v>2192</v>
      </c>
      <c r="J16630" s="10">
        <v>5</v>
      </c>
      <c r="K16630" t="b">
        <v>1</v>
      </c>
    </row>
    <row r="16631" spans="1:11">
      <c r="A16631" s="12">
        <v>43719</v>
      </c>
      <c r="B16631">
        <v>2019</v>
      </c>
      <c r="C16631">
        <v>9</v>
      </c>
      <c r="D16631" s="11">
        <v>43709</v>
      </c>
      <c r="E16631" t="s">
        <v>2181</v>
      </c>
      <c r="F16631">
        <v>3</v>
      </c>
      <c r="G16631" t="s">
        <v>65</v>
      </c>
      <c r="H16631" t="s">
        <v>45</v>
      </c>
      <c r="I16631" t="s">
        <v>2193</v>
      </c>
      <c r="J16631" s="10">
        <v>0</v>
      </c>
      <c r="K16631" t="b">
        <v>1</v>
      </c>
    </row>
    <row r="16632" spans="1:11">
      <c r="A16632" s="12">
        <v>43719</v>
      </c>
      <c r="B16632">
        <v>2019</v>
      </c>
      <c r="C16632">
        <v>9</v>
      </c>
      <c r="D16632" s="11">
        <v>43709</v>
      </c>
      <c r="E16632" t="s">
        <v>2181</v>
      </c>
      <c r="F16632">
        <v>3</v>
      </c>
      <c r="G16632" t="s">
        <v>65</v>
      </c>
      <c r="H16632" t="s">
        <v>46</v>
      </c>
      <c r="I16632" t="s">
        <v>2194</v>
      </c>
      <c r="J16632" s="10">
        <v>5</v>
      </c>
      <c r="K16632" t="b">
        <v>1</v>
      </c>
    </row>
    <row r="16633" spans="1:11">
      <c r="A16633" s="12">
        <v>43719</v>
      </c>
      <c r="B16633">
        <v>2019</v>
      </c>
      <c r="C16633">
        <v>9</v>
      </c>
      <c r="D16633" s="11">
        <v>43709</v>
      </c>
      <c r="E16633" t="s">
        <v>2181</v>
      </c>
      <c r="F16633">
        <v>3</v>
      </c>
      <c r="G16633" t="s">
        <v>65</v>
      </c>
      <c r="H16633" t="s">
        <v>47</v>
      </c>
      <c r="I16633" t="s">
        <v>2195</v>
      </c>
      <c r="J16633" s="10">
        <v>2.5</v>
      </c>
      <c r="K16633" t="b">
        <v>1</v>
      </c>
    </row>
    <row r="16634" spans="1:11">
      <c r="A16634" s="12">
        <v>43720</v>
      </c>
      <c r="B16634">
        <v>2019</v>
      </c>
      <c r="C16634">
        <v>9</v>
      </c>
      <c r="D16634" s="11">
        <v>43709</v>
      </c>
      <c r="E16634" t="s">
        <v>2181</v>
      </c>
      <c r="F16634">
        <v>4</v>
      </c>
      <c r="G16634" t="s">
        <v>53</v>
      </c>
      <c r="H16634" t="s">
        <v>40</v>
      </c>
      <c r="I16634" t="s">
        <v>2188</v>
      </c>
      <c r="J16634" s="10">
        <v>2.33</v>
      </c>
      <c r="K16634" t="b">
        <v>1</v>
      </c>
    </row>
    <row r="16635" spans="1:11">
      <c r="A16635" s="12">
        <v>43720</v>
      </c>
      <c r="B16635">
        <v>2019</v>
      </c>
      <c r="C16635">
        <v>9</v>
      </c>
      <c r="D16635" s="11">
        <v>43709</v>
      </c>
      <c r="E16635" t="s">
        <v>2181</v>
      </c>
      <c r="F16635">
        <v>4</v>
      </c>
      <c r="G16635" t="s">
        <v>53</v>
      </c>
      <c r="H16635" t="s">
        <v>41</v>
      </c>
      <c r="I16635" t="s">
        <v>2189</v>
      </c>
      <c r="J16635" s="10">
        <v>1.34</v>
      </c>
      <c r="K16635" t="b">
        <v>1</v>
      </c>
    </row>
    <row r="16636" spans="1:11">
      <c r="A16636" s="12">
        <v>43720</v>
      </c>
      <c r="B16636">
        <v>2019</v>
      </c>
      <c r="C16636">
        <v>9</v>
      </c>
      <c r="D16636" s="11">
        <v>43709</v>
      </c>
      <c r="E16636" t="s">
        <v>2181</v>
      </c>
      <c r="F16636">
        <v>4</v>
      </c>
      <c r="G16636" t="s">
        <v>53</v>
      </c>
      <c r="H16636" t="s">
        <v>42</v>
      </c>
      <c r="I16636" t="s">
        <v>2190</v>
      </c>
      <c r="J16636" s="10">
        <v>2</v>
      </c>
      <c r="K16636" t="b">
        <v>1</v>
      </c>
    </row>
    <row r="16637" spans="1:11">
      <c r="A16637" s="12">
        <v>43720</v>
      </c>
      <c r="B16637">
        <v>2019</v>
      </c>
      <c r="C16637">
        <v>9</v>
      </c>
      <c r="D16637" s="11">
        <v>43709</v>
      </c>
      <c r="E16637" t="s">
        <v>2181</v>
      </c>
      <c r="F16637">
        <v>4</v>
      </c>
      <c r="G16637" t="s">
        <v>53</v>
      </c>
      <c r="H16637" t="s">
        <v>43</v>
      </c>
      <c r="I16637" t="s">
        <v>2191</v>
      </c>
      <c r="J16637" s="10">
        <v>21.975</v>
      </c>
      <c r="K16637" t="b">
        <v>1</v>
      </c>
    </row>
    <row r="16638" spans="1:11">
      <c r="A16638" s="12">
        <v>43720</v>
      </c>
      <c r="B16638">
        <v>2019</v>
      </c>
      <c r="C16638">
        <v>9</v>
      </c>
      <c r="D16638" s="11">
        <v>43709</v>
      </c>
      <c r="E16638" t="s">
        <v>2181</v>
      </c>
      <c r="F16638">
        <v>4</v>
      </c>
      <c r="G16638" t="s">
        <v>53</v>
      </c>
      <c r="H16638" t="s">
        <v>44</v>
      </c>
      <c r="I16638" t="s">
        <v>2192</v>
      </c>
      <c r="J16638" s="10">
        <v>11.2</v>
      </c>
      <c r="K16638" t="b">
        <v>1</v>
      </c>
    </row>
    <row r="16639" spans="1:11">
      <c r="A16639" s="12">
        <v>43720</v>
      </c>
      <c r="B16639">
        <v>2019</v>
      </c>
      <c r="C16639">
        <v>9</v>
      </c>
      <c r="D16639" s="11">
        <v>43709</v>
      </c>
      <c r="E16639" t="s">
        <v>2181</v>
      </c>
      <c r="F16639">
        <v>4</v>
      </c>
      <c r="G16639" t="s">
        <v>53</v>
      </c>
      <c r="H16639" t="s">
        <v>45</v>
      </c>
      <c r="I16639" t="s">
        <v>2193</v>
      </c>
      <c r="J16639" s="10">
        <v>0</v>
      </c>
      <c r="K16639" t="b">
        <v>1</v>
      </c>
    </row>
    <row r="16640" spans="1:11">
      <c r="A16640" s="12">
        <v>43720</v>
      </c>
      <c r="B16640">
        <v>2019</v>
      </c>
      <c r="C16640">
        <v>9</v>
      </c>
      <c r="D16640" s="11">
        <v>43709</v>
      </c>
      <c r="E16640" t="s">
        <v>2181</v>
      </c>
      <c r="F16640">
        <v>4</v>
      </c>
      <c r="G16640" t="s">
        <v>53</v>
      </c>
      <c r="H16640" t="s">
        <v>46</v>
      </c>
      <c r="I16640" t="s">
        <v>2194</v>
      </c>
      <c r="J16640" s="10">
        <v>10</v>
      </c>
      <c r="K16640" t="b">
        <v>1</v>
      </c>
    </row>
    <row r="16641" spans="1:11">
      <c r="A16641" s="12">
        <v>43720</v>
      </c>
      <c r="B16641">
        <v>2019</v>
      </c>
      <c r="C16641">
        <v>9</v>
      </c>
      <c r="D16641" s="11">
        <v>43709</v>
      </c>
      <c r="E16641" t="s">
        <v>2181</v>
      </c>
      <c r="F16641">
        <v>4</v>
      </c>
      <c r="G16641" t="s">
        <v>53</v>
      </c>
      <c r="H16641" t="s">
        <v>47</v>
      </c>
      <c r="I16641" t="s">
        <v>2195</v>
      </c>
      <c r="J16641" s="10">
        <v>4</v>
      </c>
      <c r="K16641" t="b">
        <v>1</v>
      </c>
    </row>
    <row r="16642" spans="1:11">
      <c r="A16642" s="12">
        <v>43721</v>
      </c>
      <c r="B16642">
        <v>2019</v>
      </c>
      <c r="C16642">
        <v>9</v>
      </c>
      <c r="D16642" s="11">
        <v>43709</v>
      </c>
      <c r="E16642" t="s">
        <v>2181</v>
      </c>
      <c r="F16642">
        <v>5</v>
      </c>
      <c r="G16642" t="s">
        <v>55</v>
      </c>
      <c r="H16642" t="s">
        <v>40</v>
      </c>
      <c r="I16642" t="s">
        <v>2188</v>
      </c>
      <c r="J16642" s="10">
        <v>6.34</v>
      </c>
      <c r="K16642" t="b">
        <v>1</v>
      </c>
    </row>
    <row r="16643" spans="1:11">
      <c r="A16643" s="12">
        <v>43721</v>
      </c>
      <c r="B16643">
        <v>2019</v>
      </c>
      <c r="C16643">
        <v>9</v>
      </c>
      <c r="D16643" s="11">
        <v>43709</v>
      </c>
      <c r="E16643" t="s">
        <v>2181</v>
      </c>
      <c r="F16643">
        <v>5</v>
      </c>
      <c r="G16643" t="s">
        <v>55</v>
      </c>
      <c r="H16643" t="s">
        <v>41</v>
      </c>
      <c r="I16643" t="s">
        <v>2189</v>
      </c>
      <c r="J16643" s="10">
        <v>3.35</v>
      </c>
      <c r="K16643" t="b">
        <v>1</v>
      </c>
    </row>
    <row r="16644" spans="1:11">
      <c r="A16644" s="12">
        <v>43721</v>
      </c>
      <c r="B16644">
        <v>2019</v>
      </c>
      <c r="C16644">
        <v>9</v>
      </c>
      <c r="D16644" s="11">
        <v>43709</v>
      </c>
      <c r="E16644" t="s">
        <v>2181</v>
      </c>
      <c r="F16644">
        <v>5</v>
      </c>
      <c r="G16644" t="s">
        <v>55</v>
      </c>
      <c r="H16644" t="s">
        <v>42</v>
      </c>
      <c r="I16644" t="s">
        <v>2190</v>
      </c>
      <c r="J16644" s="10">
        <v>2</v>
      </c>
      <c r="K16644" t="b">
        <v>1</v>
      </c>
    </row>
    <row r="16645" spans="1:11">
      <c r="A16645" s="12">
        <v>43721</v>
      </c>
      <c r="B16645">
        <v>2019</v>
      </c>
      <c r="C16645">
        <v>9</v>
      </c>
      <c r="D16645" s="11">
        <v>43709</v>
      </c>
      <c r="E16645" t="s">
        <v>2181</v>
      </c>
      <c r="F16645">
        <v>5</v>
      </c>
      <c r="G16645" t="s">
        <v>55</v>
      </c>
      <c r="H16645" t="s">
        <v>43</v>
      </c>
      <c r="I16645" t="s">
        <v>2191</v>
      </c>
      <c r="J16645" s="10">
        <v>17</v>
      </c>
      <c r="K16645" t="b">
        <v>1</v>
      </c>
    </row>
    <row r="16646" spans="1:11">
      <c r="A16646" s="12">
        <v>43721</v>
      </c>
      <c r="B16646">
        <v>2019</v>
      </c>
      <c r="C16646">
        <v>9</v>
      </c>
      <c r="D16646" s="11">
        <v>43709</v>
      </c>
      <c r="E16646" t="s">
        <v>2181</v>
      </c>
      <c r="F16646">
        <v>5</v>
      </c>
      <c r="G16646" t="s">
        <v>55</v>
      </c>
      <c r="H16646" t="s">
        <v>44</v>
      </c>
      <c r="I16646" t="s">
        <v>2192</v>
      </c>
      <c r="J16646" s="10">
        <v>12</v>
      </c>
      <c r="K16646" t="b">
        <v>1</v>
      </c>
    </row>
    <row r="16647" spans="1:11">
      <c r="A16647" s="12">
        <v>43721</v>
      </c>
      <c r="B16647">
        <v>2019</v>
      </c>
      <c r="C16647">
        <v>9</v>
      </c>
      <c r="D16647" s="11">
        <v>43709</v>
      </c>
      <c r="E16647" t="s">
        <v>2181</v>
      </c>
      <c r="F16647">
        <v>5</v>
      </c>
      <c r="G16647" t="s">
        <v>55</v>
      </c>
      <c r="H16647" t="s">
        <v>45</v>
      </c>
      <c r="I16647" t="s">
        <v>2193</v>
      </c>
      <c r="J16647" s="10">
        <v>2</v>
      </c>
      <c r="K16647" t="b">
        <v>1</v>
      </c>
    </row>
    <row r="16648" spans="1:11">
      <c r="A16648" s="12">
        <v>43721</v>
      </c>
      <c r="B16648">
        <v>2019</v>
      </c>
      <c r="C16648">
        <v>9</v>
      </c>
      <c r="D16648" s="11">
        <v>43709</v>
      </c>
      <c r="E16648" t="s">
        <v>2181</v>
      </c>
      <c r="F16648">
        <v>5</v>
      </c>
      <c r="G16648" t="s">
        <v>55</v>
      </c>
      <c r="H16648" t="s">
        <v>46</v>
      </c>
      <c r="I16648" t="s">
        <v>2194</v>
      </c>
      <c r="J16648" s="10">
        <v>5</v>
      </c>
      <c r="K16648" t="b">
        <v>1</v>
      </c>
    </row>
    <row r="16649" spans="1:11">
      <c r="A16649" s="12">
        <v>43721</v>
      </c>
      <c r="B16649">
        <v>2019</v>
      </c>
      <c r="C16649">
        <v>9</v>
      </c>
      <c r="D16649" s="11">
        <v>43709</v>
      </c>
      <c r="E16649" t="s">
        <v>2181</v>
      </c>
      <c r="F16649">
        <v>5</v>
      </c>
      <c r="G16649" t="s">
        <v>55</v>
      </c>
      <c r="H16649" t="s">
        <v>47</v>
      </c>
      <c r="I16649" t="s">
        <v>2195</v>
      </c>
      <c r="J16649" s="10">
        <v>5</v>
      </c>
      <c r="K16649" t="b">
        <v>1</v>
      </c>
    </row>
    <row r="16650" spans="1:11">
      <c r="A16650" s="12">
        <v>43722</v>
      </c>
      <c r="B16650">
        <v>2019</v>
      </c>
      <c r="C16650">
        <v>9</v>
      </c>
      <c r="D16650" s="11">
        <v>43709</v>
      </c>
      <c r="E16650" t="s">
        <v>2181</v>
      </c>
      <c r="F16650">
        <v>6</v>
      </c>
      <c r="G16650" t="s">
        <v>57</v>
      </c>
      <c r="H16650" t="s">
        <v>40</v>
      </c>
      <c r="I16650" t="s">
        <v>2188</v>
      </c>
      <c r="J16650" s="10">
        <v>8.99</v>
      </c>
      <c r="K16650" t="b">
        <v>1</v>
      </c>
    </row>
    <row r="16651" spans="1:11">
      <c r="A16651" s="12">
        <v>43722</v>
      </c>
      <c r="B16651">
        <v>2019</v>
      </c>
      <c r="C16651">
        <v>9</v>
      </c>
      <c r="D16651" s="11">
        <v>43709</v>
      </c>
      <c r="E16651" t="s">
        <v>2181</v>
      </c>
      <c r="F16651">
        <v>6</v>
      </c>
      <c r="G16651" t="s">
        <v>57</v>
      </c>
      <c r="H16651" t="s">
        <v>41</v>
      </c>
      <c r="I16651" t="s">
        <v>2189</v>
      </c>
      <c r="J16651" s="10">
        <v>6.397</v>
      </c>
      <c r="K16651" t="b">
        <v>1</v>
      </c>
    </row>
    <row r="16652" spans="1:11">
      <c r="A16652" s="12">
        <v>43722</v>
      </c>
      <c r="B16652">
        <v>2019</v>
      </c>
      <c r="C16652">
        <v>9</v>
      </c>
      <c r="D16652" s="11">
        <v>43709</v>
      </c>
      <c r="E16652" t="s">
        <v>2181</v>
      </c>
      <c r="F16652">
        <v>6</v>
      </c>
      <c r="G16652" t="s">
        <v>57</v>
      </c>
      <c r="H16652" t="s">
        <v>42</v>
      </c>
      <c r="I16652" t="s">
        <v>2190</v>
      </c>
      <c r="J16652" s="10">
        <v>3.45</v>
      </c>
      <c r="K16652" t="b">
        <v>1</v>
      </c>
    </row>
    <row r="16653" spans="1:11">
      <c r="A16653" s="12">
        <v>43722</v>
      </c>
      <c r="B16653">
        <v>2019</v>
      </c>
      <c r="C16653">
        <v>9</v>
      </c>
      <c r="D16653" s="11">
        <v>43709</v>
      </c>
      <c r="E16653" t="s">
        <v>2181</v>
      </c>
      <c r="F16653">
        <v>6</v>
      </c>
      <c r="G16653" t="s">
        <v>57</v>
      </c>
      <c r="H16653" t="s">
        <v>43</v>
      </c>
      <c r="I16653" t="s">
        <v>2191</v>
      </c>
      <c r="J16653" s="10">
        <v>24</v>
      </c>
      <c r="K16653" t="b">
        <v>1</v>
      </c>
    </row>
    <row r="16654" spans="1:11">
      <c r="A16654" s="12">
        <v>43722</v>
      </c>
      <c r="B16654">
        <v>2019</v>
      </c>
      <c r="C16654">
        <v>9</v>
      </c>
      <c r="D16654" s="11">
        <v>43709</v>
      </c>
      <c r="E16654" t="s">
        <v>2181</v>
      </c>
      <c r="F16654">
        <v>6</v>
      </c>
      <c r="G16654" t="s">
        <v>57</v>
      </c>
      <c r="H16654" t="s">
        <v>44</v>
      </c>
      <c r="I16654" t="s">
        <v>2192</v>
      </c>
      <c r="J16654" s="10">
        <v>12</v>
      </c>
      <c r="K16654" t="b">
        <v>1</v>
      </c>
    </row>
    <row r="16655" spans="1:11">
      <c r="A16655" s="12">
        <v>43722</v>
      </c>
      <c r="B16655">
        <v>2019</v>
      </c>
      <c r="C16655">
        <v>9</v>
      </c>
      <c r="D16655" s="11">
        <v>43709</v>
      </c>
      <c r="E16655" t="s">
        <v>2181</v>
      </c>
      <c r="F16655">
        <v>6</v>
      </c>
      <c r="G16655" t="s">
        <v>57</v>
      </c>
      <c r="H16655" t="s">
        <v>45</v>
      </c>
      <c r="I16655" t="s">
        <v>2193</v>
      </c>
      <c r="J16655" s="10">
        <v>0</v>
      </c>
      <c r="K16655" t="b">
        <v>1</v>
      </c>
    </row>
    <row r="16656" spans="1:11">
      <c r="A16656" s="12">
        <v>43722</v>
      </c>
      <c r="B16656">
        <v>2019</v>
      </c>
      <c r="C16656">
        <v>9</v>
      </c>
      <c r="D16656" s="11">
        <v>43709</v>
      </c>
      <c r="E16656" t="s">
        <v>2181</v>
      </c>
      <c r="F16656">
        <v>6</v>
      </c>
      <c r="G16656" t="s">
        <v>57</v>
      </c>
      <c r="H16656" t="s">
        <v>46</v>
      </c>
      <c r="I16656" t="s">
        <v>2194</v>
      </c>
      <c r="J16656" s="10">
        <v>2</v>
      </c>
      <c r="K16656" t="b">
        <v>1</v>
      </c>
    </row>
    <row r="16657" spans="1:11">
      <c r="A16657" s="12">
        <v>43722</v>
      </c>
      <c r="B16657">
        <v>2019</v>
      </c>
      <c r="C16657">
        <v>9</v>
      </c>
      <c r="D16657" s="11">
        <v>43709</v>
      </c>
      <c r="E16657" t="s">
        <v>2181</v>
      </c>
      <c r="F16657">
        <v>6</v>
      </c>
      <c r="G16657" t="s">
        <v>57</v>
      </c>
      <c r="H16657" t="s">
        <v>47</v>
      </c>
      <c r="I16657" t="s">
        <v>2195</v>
      </c>
      <c r="J16657" s="10">
        <v>10</v>
      </c>
      <c r="K16657" t="b">
        <v>1</v>
      </c>
    </row>
    <row r="16658" spans="1:11">
      <c r="A16658" s="12">
        <v>43723</v>
      </c>
      <c r="B16658">
        <v>2019</v>
      </c>
      <c r="C16658">
        <v>9</v>
      </c>
      <c r="D16658" s="11">
        <v>43709</v>
      </c>
      <c r="E16658" t="s">
        <v>2181</v>
      </c>
      <c r="F16658">
        <v>7</v>
      </c>
      <c r="G16658" t="s">
        <v>59</v>
      </c>
      <c r="H16658" t="s">
        <v>40</v>
      </c>
      <c r="I16658" t="s">
        <v>2188</v>
      </c>
      <c r="J16658" s="10">
        <v>5.34</v>
      </c>
      <c r="K16658" t="b">
        <v>1</v>
      </c>
    </row>
    <row r="16659" spans="1:11">
      <c r="A16659" s="12">
        <v>43723</v>
      </c>
      <c r="B16659">
        <v>2019</v>
      </c>
      <c r="C16659">
        <v>9</v>
      </c>
      <c r="D16659" s="11">
        <v>43709</v>
      </c>
      <c r="E16659" t="s">
        <v>2181</v>
      </c>
      <c r="F16659">
        <v>7</v>
      </c>
      <c r="G16659" t="s">
        <v>59</v>
      </c>
      <c r="H16659" t="s">
        <v>41</v>
      </c>
      <c r="I16659" t="s">
        <v>2189</v>
      </c>
      <c r="J16659" s="10">
        <v>6.01</v>
      </c>
      <c r="K16659" t="b">
        <v>1</v>
      </c>
    </row>
    <row r="16660" spans="1:11">
      <c r="A16660" s="12">
        <v>43723</v>
      </c>
      <c r="B16660">
        <v>2019</v>
      </c>
      <c r="C16660">
        <v>9</v>
      </c>
      <c r="D16660" s="11">
        <v>43709</v>
      </c>
      <c r="E16660" t="s">
        <v>2181</v>
      </c>
      <c r="F16660">
        <v>7</v>
      </c>
      <c r="G16660" t="s">
        <v>59</v>
      </c>
      <c r="H16660" t="s">
        <v>42</v>
      </c>
      <c r="I16660" t="s">
        <v>2190</v>
      </c>
      <c r="J16660" s="10">
        <v>2</v>
      </c>
      <c r="K16660" t="b">
        <v>1</v>
      </c>
    </row>
    <row r="16661" spans="1:11">
      <c r="A16661" s="12">
        <v>43723</v>
      </c>
      <c r="B16661">
        <v>2019</v>
      </c>
      <c r="C16661">
        <v>9</v>
      </c>
      <c r="D16661" s="11">
        <v>43709</v>
      </c>
      <c r="E16661" t="s">
        <v>2181</v>
      </c>
      <c r="F16661">
        <v>7</v>
      </c>
      <c r="G16661" t="s">
        <v>59</v>
      </c>
      <c r="H16661" t="s">
        <v>43</v>
      </c>
      <c r="I16661" t="s">
        <v>2191</v>
      </c>
      <c r="J16661" s="10">
        <v>25.4</v>
      </c>
      <c r="K16661" t="b">
        <v>1</v>
      </c>
    </row>
    <row r="16662" spans="1:11">
      <c r="A16662" s="12">
        <v>43723</v>
      </c>
      <c r="B16662">
        <v>2019</v>
      </c>
      <c r="C16662">
        <v>9</v>
      </c>
      <c r="D16662" s="11">
        <v>43709</v>
      </c>
      <c r="E16662" t="s">
        <v>2181</v>
      </c>
      <c r="F16662">
        <v>7</v>
      </c>
      <c r="G16662" t="s">
        <v>59</v>
      </c>
      <c r="H16662" t="s">
        <v>44</v>
      </c>
      <c r="I16662" t="s">
        <v>2192</v>
      </c>
      <c r="J16662" s="10">
        <v>6</v>
      </c>
      <c r="K16662" t="b">
        <v>1</v>
      </c>
    </row>
    <row r="16663" spans="1:11">
      <c r="A16663" s="12">
        <v>43723</v>
      </c>
      <c r="B16663">
        <v>2019</v>
      </c>
      <c r="C16663">
        <v>9</v>
      </c>
      <c r="D16663" s="11">
        <v>43709</v>
      </c>
      <c r="E16663" t="s">
        <v>2181</v>
      </c>
      <c r="F16663">
        <v>7</v>
      </c>
      <c r="G16663" t="s">
        <v>59</v>
      </c>
      <c r="H16663" t="s">
        <v>45</v>
      </c>
      <c r="I16663" t="s">
        <v>2193</v>
      </c>
      <c r="J16663" s="10">
        <v>0</v>
      </c>
      <c r="K16663" t="b">
        <v>1</v>
      </c>
    </row>
    <row r="16664" spans="1:11">
      <c r="A16664" s="12">
        <v>43723</v>
      </c>
      <c r="B16664">
        <v>2019</v>
      </c>
      <c r="C16664">
        <v>9</v>
      </c>
      <c r="D16664" s="11">
        <v>43709</v>
      </c>
      <c r="E16664" t="s">
        <v>2181</v>
      </c>
      <c r="F16664">
        <v>7</v>
      </c>
      <c r="G16664" t="s">
        <v>59</v>
      </c>
      <c r="H16664" t="s">
        <v>46</v>
      </c>
      <c r="I16664" t="s">
        <v>2194</v>
      </c>
      <c r="J16664" s="10">
        <v>2</v>
      </c>
      <c r="K16664" t="b">
        <v>1</v>
      </c>
    </row>
    <row r="16665" spans="1:11">
      <c r="A16665" s="12">
        <v>43723</v>
      </c>
      <c r="B16665">
        <v>2019</v>
      </c>
      <c r="C16665">
        <v>9</v>
      </c>
      <c r="D16665" s="11">
        <v>43709</v>
      </c>
      <c r="E16665" t="s">
        <v>2181</v>
      </c>
      <c r="F16665">
        <v>7</v>
      </c>
      <c r="G16665" t="s">
        <v>59</v>
      </c>
      <c r="H16665" t="s">
        <v>47</v>
      </c>
      <c r="I16665" t="s">
        <v>2195</v>
      </c>
      <c r="J16665" s="10">
        <v>6</v>
      </c>
      <c r="K16665" t="b">
        <v>1</v>
      </c>
    </row>
    <row r="16666" spans="1:11">
      <c r="A16666" s="12">
        <v>43724</v>
      </c>
      <c r="B16666">
        <v>2019</v>
      </c>
      <c r="C16666">
        <v>9</v>
      </c>
      <c r="D16666" s="11">
        <v>43709</v>
      </c>
      <c r="E16666" t="s">
        <v>2181</v>
      </c>
      <c r="F16666">
        <v>1</v>
      </c>
      <c r="G16666" t="s">
        <v>61</v>
      </c>
      <c r="H16666" t="s">
        <v>40</v>
      </c>
      <c r="I16666" t="s">
        <v>2188</v>
      </c>
      <c r="J16666" s="10">
        <v>9.33</v>
      </c>
      <c r="K16666" t="b">
        <v>1</v>
      </c>
    </row>
    <row r="16667" spans="1:11">
      <c r="A16667" s="12">
        <v>43724</v>
      </c>
      <c r="B16667">
        <v>2019</v>
      </c>
      <c r="C16667">
        <v>9</v>
      </c>
      <c r="D16667" s="11">
        <v>43709</v>
      </c>
      <c r="E16667" t="s">
        <v>2181</v>
      </c>
      <c r="F16667">
        <v>1</v>
      </c>
      <c r="G16667" t="s">
        <v>61</v>
      </c>
      <c r="H16667" t="s">
        <v>41</v>
      </c>
      <c r="I16667" t="s">
        <v>2189</v>
      </c>
      <c r="J16667" s="10">
        <v>2.316</v>
      </c>
      <c r="K16667" t="b">
        <v>1</v>
      </c>
    </row>
    <row r="16668" spans="1:11">
      <c r="A16668" s="12">
        <v>43724</v>
      </c>
      <c r="B16668">
        <v>2019</v>
      </c>
      <c r="C16668">
        <v>9</v>
      </c>
      <c r="D16668" s="11">
        <v>43709</v>
      </c>
      <c r="E16668" t="s">
        <v>2181</v>
      </c>
      <c r="F16668">
        <v>1</v>
      </c>
      <c r="G16668" t="s">
        <v>61</v>
      </c>
      <c r="H16668" t="s">
        <v>42</v>
      </c>
      <c r="I16668" t="s">
        <v>2190</v>
      </c>
      <c r="J16668" s="10">
        <v>3</v>
      </c>
      <c r="K16668" t="b">
        <v>1</v>
      </c>
    </row>
    <row r="16669" spans="1:11">
      <c r="A16669" s="12">
        <v>43724</v>
      </c>
      <c r="B16669">
        <v>2019</v>
      </c>
      <c r="C16669">
        <v>9</v>
      </c>
      <c r="D16669" s="11">
        <v>43709</v>
      </c>
      <c r="E16669" t="s">
        <v>2181</v>
      </c>
      <c r="F16669">
        <v>1</v>
      </c>
      <c r="G16669" t="s">
        <v>61</v>
      </c>
      <c r="H16669" t="s">
        <v>43</v>
      </c>
      <c r="I16669" t="s">
        <v>2191</v>
      </c>
      <c r="J16669" s="10">
        <v>22</v>
      </c>
      <c r="K16669" t="b">
        <v>1</v>
      </c>
    </row>
    <row r="16670" spans="1:11">
      <c r="A16670" s="12">
        <v>43724</v>
      </c>
      <c r="B16670">
        <v>2019</v>
      </c>
      <c r="C16670">
        <v>9</v>
      </c>
      <c r="D16670" s="11">
        <v>43709</v>
      </c>
      <c r="E16670" t="s">
        <v>2181</v>
      </c>
      <c r="F16670">
        <v>1</v>
      </c>
      <c r="G16670" t="s">
        <v>61</v>
      </c>
      <c r="H16670" t="s">
        <v>44</v>
      </c>
      <c r="I16670" t="s">
        <v>2192</v>
      </c>
      <c r="J16670" s="10">
        <v>5</v>
      </c>
      <c r="K16670" t="b">
        <v>1</v>
      </c>
    </row>
    <row r="16671" spans="1:11">
      <c r="A16671" s="12">
        <v>43724</v>
      </c>
      <c r="B16671">
        <v>2019</v>
      </c>
      <c r="C16671">
        <v>9</v>
      </c>
      <c r="D16671" s="11">
        <v>43709</v>
      </c>
      <c r="E16671" t="s">
        <v>2181</v>
      </c>
      <c r="F16671">
        <v>1</v>
      </c>
      <c r="G16671" t="s">
        <v>61</v>
      </c>
      <c r="H16671" t="s">
        <v>45</v>
      </c>
      <c r="I16671" t="s">
        <v>2193</v>
      </c>
      <c r="J16671" s="10">
        <v>1</v>
      </c>
      <c r="K16671" t="b">
        <v>1</v>
      </c>
    </row>
    <row r="16672" spans="1:11">
      <c r="A16672" s="12">
        <v>43724</v>
      </c>
      <c r="B16672">
        <v>2019</v>
      </c>
      <c r="C16672">
        <v>9</v>
      </c>
      <c r="D16672" s="11">
        <v>43709</v>
      </c>
      <c r="E16672" t="s">
        <v>2181</v>
      </c>
      <c r="F16672">
        <v>1</v>
      </c>
      <c r="G16672" t="s">
        <v>61</v>
      </c>
      <c r="H16672" t="s">
        <v>46</v>
      </c>
      <c r="I16672" t="s">
        <v>2194</v>
      </c>
      <c r="J16672" s="10">
        <v>0</v>
      </c>
      <c r="K16672" t="b">
        <v>1</v>
      </c>
    </row>
    <row r="16673" spans="1:11">
      <c r="A16673" s="12">
        <v>43724</v>
      </c>
      <c r="B16673">
        <v>2019</v>
      </c>
      <c r="C16673">
        <v>9</v>
      </c>
      <c r="D16673" s="11">
        <v>43709</v>
      </c>
      <c r="E16673" t="s">
        <v>2181</v>
      </c>
      <c r="F16673">
        <v>1</v>
      </c>
      <c r="G16673" t="s">
        <v>61</v>
      </c>
      <c r="H16673" t="s">
        <v>47</v>
      </c>
      <c r="I16673" t="s">
        <v>2195</v>
      </c>
      <c r="J16673" s="10">
        <v>2</v>
      </c>
      <c r="K16673" t="b">
        <v>1</v>
      </c>
    </row>
    <row r="16674" spans="1:11">
      <c r="A16674" s="12">
        <v>43725</v>
      </c>
      <c r="B16674">
        <v>2019</v>
      </c>
      <c r="C16674">
        <v>9</v>
      </c>
      <c r="D16674" s="11">
        <v>43709</v>
      </c>
      <c r="E16674" t="s">
        <v>2181</v>
      </c>
      <c r="F16674">
        <v>2</v>
      </c>
      <c r="G16674" t="s">
        <v>63</v>
      </c>
      <c r="H16674" t="s">
        <v>40</v>
      </c>
      <c r="I16674" t="s">
        <v>2188</v>
      </c>
      <c r="J16674" s="10">
        <v>4.5</v>
      </c>
      <c r="K16674" t="b">
        <v>1</v>
      </c>
    </row>
    <row r="16675" spans="1:11">
      <c r="A16675" s="12">
        <v>43725</v>
      </c>
      <c r="B16675">
        <v>2019</v>
      </c>
      <c r="C16675">
        <v>9</v>
      </c>
      <c r="D16675" s="11">
        <v>43709</v>
      </c>
      <c r="E16675" t="s">
        <v>2181</v>
      </c>
      <c r="F16675">
        <v>2</v>
      </c>
      <c r="G16675" t="s">
        <v>63</v>
      </c>
      <c r="H16675" t="s">
        <v>41</v>
      </c>
      <c r="I16675" t="s">
        <v>2189</v>
      </c>
      <c r="J16675" s="10">
        <v>3.007</v>
      </c>
      <c r="K16675" t="b">
        <v>1</v>
      </c>
    </row>
    <row r="16676" spans="1:11">
      <c r="A16676" s="12">
        <v>43725</v>
      </c>
      <c r="B16676">
        <v>2019</v>
      </c>
      <c r="C16676">
        <v>9</v>
      </c>
      <c r="D16676" s="11">
        <v>43709</v>
      </c>
      <c r="E16676" t="s">
        <v>2181</v>
      </c>
      <c r="F16676">
        <v>2</v>
      </c>
      <c r="G16676" t="s">
        <v>63</v>
      </c>
      <c r="H16676" t="s">
        <v>42</v>
      </c>
      <c r="I16676" t="s">
        <v>2190</v>
      </c>
      <c r="J16676" s="10">
        <v>6.5</v>
      </c>
      <c r="K16676" t="b">
        <v>1</v>
      </c>
    </row>
    <row r="16677" spans="1:11">
      <c r="A16677" s="12">
        <v>43725</v>
      </c>
      <c r="B16677">
        <v>2019</v>
      </c>
      <c r="C16677">
        <v>9</v>
      </c>
      <c r="D16677" s="11">
        <v>43709</v>
      </c>
      <c r="E16677" t="s">
        <v>2181</v>
      </c>
      <c r="F16677">
        <v>2</v>
      </c>
      <c r="G16677" t="s">
        <v>63</v>
      </c>
      <c r="H16677" t="s">
        <v>43</v>
      </c>
      <c r="I16677" t="s">
        <v>2191</v>
      </c>
      <c r="J16677" s="10">
        <v>19.2</v>
      </c>
      <c r="K16677" t="b">
        <v>1</v>
      </c>
    </row>
    <row r="16678" spans="1:11">
      <c r="A16678" s="12">
        <v>43725</v>
      </c>
      <c r="B16678">
        <v>2019</v>
      </c>
      <c r="C16678">
        <v>9</v>
      </c>
      <c r="D16678" s="11">
        <v>43709</v>
      </c>
      <c r="E16678" t="s">
        <v>2181</v>
      </c>
      <c r="F16678">
        <v>2</v>
      </c>
      <c r="G16678" t="s">
        <v>63</v>
      </c>
      <c r="H16678" t="s">
        <v>44</v>
      </c>
      <c r="I16678" t="s">
        <v>2192</v>
      </c>
      <c r="J16678" s="10">
        <v>8.199999999999999</v>
      </c>
      <c r="K16678" t="b">
        <v>1</v>
      </c>
    </row>
    <row r="16679" spans="1:11">
      <c r="A16679" s="12">
        <v>43725</v>
      </c>
      <c r="B16679">
        <v>2019</v>
      </c>
      <c r="C16679">
        <v>9</v>
      </c>
      <c r="D16679" s="11">
        <v>43709</v>
      </c>
      <c r="E16679" t="s">
        <v>2181</v>
      </c>
      <c r="F16679">
        <v>2</v>
      </c>
      <c r="G16679" t="s">
        <v>63</v>
      </c>
      <c r="H16679" t="s">
        <v>45</v>
      </c>
      <c r="I16679" t="s">
        <v>2193</v>
      </c>
      <c r="J16679" s="10">
        <v>0</v>
      </c>
      <c r="K16679" t="b">
        <v>1</v>
      </c>
    </row>
    <row r="16680" spans="1:11">
      <c r="A16680" s="12">
        <v>43725</v>
      </c>
      <c r="B16680">
        <v>2019</v>
      </c>
      <c r="C16680">
        <v>9</v>
      </c>
      <c r="D16680" s="11">
        <v>43709</v>
      </c>
      <c r="E16680" t="s">
        <v>2181</v>
      </c>
      <c r="F16680">
        <v>2</v>
      </c>
      <c r="G16680" t="s">
        <v>63</v>
      </c>
      <c r="H16680" t="s">
        <v>46</v>
      </c>
      <c r="I16680" t="s">
        <v>2194</v>
      </c>
      <c r="J16680" s="10">
        <v>6</v>
      </c>
      <c r="K16680" t="b">
        <v>1</v>
      </c>
    </row>
    <row r="16681" spans="1:11">
      <c r="A16681" s="12">
        <v>43725</v>
      </c>
      <c r="B16681">
        <v>2019</v>
      </c>
      <c r="C16681">
        <v>9</v>
      </c>
      <c r="D16681" s="11">
        <v>43709</v>
      </c>
      <c r="E16681" t="s">
        <v>2181</v>
      </c>
      <c r="F16681">
        <v>2</v>
      </c>
      <c r="G16681" t="s">
        <v>63</v>
      </c>
      <c r="H16681" t="s">
        <v>47</v>
      </c>
      <c r="I16681" t="s">
        <v>2195</v>
      </c>
      <c r="J16681" s="10">
        <v>2</v>
      </c>
      <c r="K16681" t="b">
        <v>1</v>
      </c>
    </row>
    <row r="16682" spans="1:11">
      <c r="A16682" s="12">
        <v>43726</v>
      </c>
      <c r="B16682">
        <v>2019</v>
      </c>
      <c r="C16682">
        <v>9</v>
      </c>
      <c r="D16682" s="11">
        <v>43709</v>
      </c>
      <c r="E16682" t="s">
        <v>2181</v>
      </c>
      <c r="F16682">
        <v>3</v>
      </c>
      <c r="G16682" t="s">
        <v>65</v>
      </c>
      <c r="H16682" t="s">
        <v>40</v>
      </c>
      <c r="I16682" t="s">
        <v>2188</v>
      </c>
      <c r="J16682" s="10">
        <v>6.33</v>
      </c>
      <c r="K16682" t="b">
        <v>1</v>
      </c>
    </row>
    <row r="16683" spans="1:11">
      <c r="A16683" s="12">
        <v>43726</v>
      </c>
      <c r="B16683">
        <v>2019</v>
      </c>
      <c r="C16683">
        <v>9</v>
      </c>
      <c r="D16683" s="11">
        <v>43709</v>
      </c>
      <c r="E16683" t="s">
        <v>2181</v>
      </c>
      <c r="F16683">
        <v>3</v>
      </c>
      <c r="G16683" t="s">
        <v>65</v>
      </c>
      <c r="H16683" t="s">
        <v>41</v>
      </c>
      <c r="I16683" t="s">
        <v>2189</v>
      </c>
      <c r="J16683" s="10">
        <v>4.33</v>
      </c>
      <c r="K16683" t="b">
        <v>1</v>
      </c>
    </row>
    <row r="16684" spans="1:11">
      <c r="A16684" s="12">
        <v>43726</v>
      </c>
      <c r="B16684">
        <v>2019</v>
      </c>
      <c r="C16684">
        <v>9</v>
      </c>
      <c r="D16684" s="11">
        <v>43709</v>
      </c>
      <c r="E16684" t="s">
        <v>2181</v>
      </c>
      <c r="F16684">
        <v>3</v>
      </c>
      <c r="G16684" t="s">
        <v>65</v>
      </c>
      <c r="H16684" t="s">
        <v>42</v>
      </c>
      <c r="I16684" t="s">
        <v>2190</v>
      </c>
      <c r="J16684" s="10">
        <v>7</v>
      </c>
      <c r="K16684" t="b">
        <v>1</v>
      </c>
    </row>
    <row r="16685" spans="1:11">
      <c r="A16685" s="12">
        <v>43726</v>
      </c>
      <c r="B16685">
        <v>2019</v>
      </c>
      <c r="C16685">
        <v>9</v>
      </c>
      <c r="D16685" s="11">
        <v>43709</v>
      </c>
      <c r="E16685" t="s">
        <v>2181</v>
      </c>
      <c r="F16685">
        <v>3</v>
      </c>
      <c r="G16685" t="s">
        <v>65</v>
      </c>
      <c r="H16685" t="s">
        <v>43</v>
      </c>
      <c r="I16685" t="s">
        <v>2191</v>
      </c>
      <c r="J16685" s="10">
        <v>22</v>
      </c>
      <c r="K16685" t="b">
        <v>1</v>
      </c>
    </row>
    <row r="16686" spans="1:11">
      <c r="A16686" s="12">
        <v>43726</v>
      </c>
      <c r="B16686">
        <v>2019</v>
      </c>
      <c r="C16686">
        <v>9</v>
      </c>
      <c r="D16686" s="11">
        <v>43709</v>
      </c>
      <c r="E16686" t="s">
        <v>2181</v>
      </c>
      <c r="F16686">
        <v>3</v>
      </c>
      <c r="G16686" t="s">
        <v>65</v>
      </c>
      <c r="H16686" t="s">
        <v>44</v>
      </c>
      <c r="I16686" t="s">
        <v>2192</v>
      </c>
      <c r="J16686" s="10">
        <v>4</v>
      </c>
      <c r="K16686" t="b">
        <v>1</v>
      </c>
    </row>
    <row r="16687" spans="1:11">
      <c r="A16687" s="12">
        <v>43726</v>
      </c>
      <c r="B16687">
        <v>2019</v>
      </c>
      <c r="C16687">
        <v>9</v>
      </c>
      <c r="D16687" s="11">
        <v>43709</v>
      </c>
      <c r="E16687" t="s">
        <v>2181</v>
      </c>
      <c r="F16687">
        <v>3</v>
      </c>
      <c r="G16687" t="s">
        <v>65</v>
      </c>
      <c r="H16687" t="s">
        <v>45</v>
      </c>
      <c r="I16687" t="s">
        <v>2193</v>
      </c>
      <c r="J16687" s="10">
        <v>0</v>
      </c>
      <c r="K16687" t="b">
        <v>1</v>
      </c>
    </row>
    <row r="16688" spans="1:11">
      <c r="A16688" s="12">
        <v>43726</v>
      </c>
      <c r="B16688">
        <v>2019</v>
      </c>
      <c r="C16688">
        <v>9</v>
      </c>
      <c r="D16688" s="11">
        <v>43709</v>
      </c>
      <c r="E16688" t="s">
        <v>2181</v>
      </c>
      <c r="F16688">
        <v>3</v>
      </c>
      <c r="G16688" t="s">
        <v>65</v>
      </c>
      <c r="H16688" t="s">
        <v>46</v>
      </c>
      <c r="I16688" t="s">
        <v>2194</v>
      </c>
      <c r="J16688" s="10">
        <v>2</v>
      </c>
      <c r="K16688" t="b">
        <v>1</v>
      </c>
    </row>
    <row r="16689" spans="1:11">
      <c r="A16689" s="12">
        <v>43726</v>
      </c>
      <c r="B16689">
        <v>2019</v>
      </c>
      <c r="C16689">
        <v>9</v>
      </c>
      <c r="D16689" s="11">
        <v>43709</v>
      </c>
      <c r="E16689" t="s">
        <v>2181</v>
      </c>
      <c r="F16689">
        <v>3</v>
      </c>
      <c r="G16689" t="s">
        <v>65</v>
      </c>
      <c r="H16689" t="s">
        <v>47</v>
      </c>
      <c r="I16689" t="s">
        <v>2195</v>
      </c>
      <c r="J16689" s="10">
        <v>2</v>
      </c>
      <c r="K16689" t="b">
        <v>1</v>
      </c>
    </row>
    <row r="16690" spans="1:11">
      <c r="A16690" s="12">
        <v>43727</v>
      </c>
      <c r="B16690">
        <v>2019</v>
      </c>
      <c r="C16690">
        <v>9</v>
      </c>
      <c r="D16690" s="11">
        <v>43709</v>
      </c>
      <c r="E16690" t="s">
        <v>2181</v>
      </c>
      <c r="F16690">
        <v>4</v>
      </c>
      <c r="G16690" t="s">
        <v>53</v>
      </c>
      <c r="H16690" t="s">
        <v>40</v>
      </c>
      <c r="I16690" t="s">
        <v>2188</v>
      </c>
      <c r="J16690" s="10">
        <v>7.33</v>
      </c>
      <c r="K16690" t="b">
        <v>1</v>
      </c>
    </row>
    <row r="16691" spans="1:11">
      <c r="A16691" s="12">
        <v>43727</v>
      </c>
      <c r="B16691">
        <v>2019</v>
      </c>
      <c r="C16691">
        <v>9</v>
      </c>
      <c r="D16691" s="11">
        <v>43709</v>
      </c>
      <c r="E16691" t="s">
        <v>2181</v>
      </c>
      <c r="F16691">
        <v>4</v>
      </c>
      <c r="G16691" t="s">
        <v>53</v>
      </c>
      <c r="H16691" t="s">
        <v>41</v>
      </c>
      <c r="I16691" t="s">
        <v>2189</v>
      </c>
      <c r="J16691" s="10">
        <v>3.34</v>
      </c>
      <c r="K16691" t="b">
        <v>1</v>
      </c>
    </row>
    <row r="16692" spans="1:11">
      <c r="A16692" s="12">
        <v>43727</v>
      </c>
      <c r="B16692">
        <v>2019</v>
      </c>
      <c r="C16692">
        <v>9</v>
      </c>
      <c r="D16692" s="11">
        <v>43709</v>
      </c>
      <c r="E16692" t="s">
        <v>2181</v>
      </c>
      <c r="F16692">
        <v>4</v>
      </c>
      <c r="G16692" t="s">
        <v>53</v>
      </c>
      <c r="H16692" t="s">
        <v>42</v>
      </c>
      <c r="I16692" t="s">
        <v>2190</v>
      </c>
      <c r="J16692" s="10">
        <v>3</v>
      </c>
      <c r="K16692" t="b">
        <v>1</v>
      </c>
    </row>
    <row r="16693" spans="1:11">
      <c r="A16693" s="12">
        <v>43727</v>
      </c>
      <c r="B16693">
        <v>2019</v>
      </c>
      <c r="C16693">
        <v>9</v>
      </c>
      <c r="D16693" s="11">
        <v>43709</v>
      </c>
      <c r="E16693" t="s">
        <v>2181</v>
      </c>
      <c r="F16693">
        <v>4</v>
      </c>
      <c r="G16693" t="s">
        <v>53</v>
      </c>
      <c r="H16693" t="s">
        <v>43</v>
      </c>
      <c r="I16693" t="s">
        <v>2191</v>
      </c>
      <c r="J16693" s="10">
        <v>33</v>
      </c>
      <c r="K16693" t="b">
        <v>1</v>
      </c>
    </row>
    <row r="16694" spans="1:11">
      <c r="A16694" s="12">
        <v>43727</v>
      </c>
      <c r="B16694">
        <v>2019</v>
      </c>
      <c r="C16694">
        <v>9</v>
      </c>
      <c r="D16694" s="11">
        <v>43709</v>
      </c>
      <c r="E16694" t="s">
        <v>2181</v>
      </c>
      <c r="F16694">
        <v>4</v>
      </c>
      <c r="G16694" t="s">
        <v>53</v>
      </c>
      <c r="H16694" t="s">
        <v>44</v>
      </c>
      <c r="I16694" t="s">
        <v>2192</v>
      </c>
      <c r="J16694" s="10">
        <v>5</v>
      </c>
      <c r="K16694" t="b">
        <v>1</v>
      </c>
    </row>
    <row r="16695" spans="1:11">
      <c r="A16695" s="12">
        <v>43727</v>
      </c>
      <c r="B16695">
        <v>2019</v>
      </c>
      <c r="C16695">
        <v>9</v>
      </c>
      <c r="D16695" s="11">
        <v>43709</v>
      </c>
      <c r="E16695" t="s">
        <v>2181</v>
      </c>
      <c r="F16695">
        <v>4</v>
      </c>
      <c r="G16695" t="s">
        <v>53</v>
      </c>
      <c r="H16695" t="s">
        <v>45</v>
      </c>
      <c r="I16695" t="s">
        <v>2193</v>
      </c>
      <c r="J16695" s="10">
        <v>2</v>
      </c>
      <c r="K16695" t="b">
        <v>1</v>
      </c>
    </row>
    <row r="16696" spans="1:11">
      <c r="A16696" s="12">
        <v>43727</v>
      </c>
      <c r="B16696">
        <v>2019</v>
      </c>
      <c r="C16696">
        <v>9</v>
      </c>
      <c r="D16696" s="11">
        <v>43709</v>
      </c>
      <c r="E16696" t="s">
        <v>2181</v>
      </c>
      <c r="F16696">
        <v>4</v>
      </c>
      <c r="G16696" t="s">
        <v>53</v>
      </c>
      <c r="H16696" t="s">
        <v>46</v>
      </c>
      <c r="I16696" t="s">
        <v>2194</v>
      </c>
      <c r="J16696" s="10">
        <v>3</v>
      </c>
      <c r="K16696" t="b">
        <v>1</v>
      </c>
    </row>
    <row r="16697" spans="1:11">
      <c r="A16697" s="12">
        <v>43727</v>
      </c>
      <c r="B16697">
        <v>2019</v>
      </c>
      <c r="C16697">
        <v>9</v>
      </c>
      <c r="D16697" s="11">
        <v>43709</v>
      </c>
      <c r="E16697" t="s">
        <v>2181</v>
      </c>
      <c r="F16697">
        <v>4</v>
      </c>
      <c r="G16697" t="s">
        <v>53</v>
      </c>
      <c r="H16697" t="s">
        <v>47</v>
      </c>
      <c r="I16697" t="s">
        <v>2195</v>
      </c>
      <c r="J16697" s="10">
        <v>4</v>
      </c>
      <c r="K16697" t="b">
        <v>1</v>
      </c>
    </row>
    <row r="16698" spans="1:11">
      <c r="A16698" s="12">
        <v>43728</v>
      </c>
      <c r="B16698">
        <v>2019</v>
      </c>
      <c r="C16698">
        <v>9</v>
      </c>
      <c r="D16698" s="11">
        <v>43709</v>
      </c>
      <c r="E16698" t="s">
        <v>2181</v>
      </c>
      <c r="F16698">
        <v>5</v>
      </c>
      <c r="G16698" t="s">
        <v>55</v>
      </c>
      <c r="H16698" t="s">
        <v>40</v>
      </c>
      <c r="I16698" t="s">
        <v>2188</v>
      </c>
      <c r="J16698" s="10">
        <v>5.34</v>
      </c>
      <c r="K16698" t="b">
        <v>1</v>
      </c>
    </row>
    <row r="16699" spans="1:11">
      <c r="A16699" s="12">
        <v>43728</v>
      </c>
      <c r="B16699">
        <v>2019</v>
      </c>
      <c r="C16699">
        <v>9</v>
      </c>
      <c r="D16699" s="11">
        <v>43709</v>
      </c>
      <c r="E16699" t="s">
        <v>2181</v>
      </c>
      <c r="F16699">
        <v>5</v>
      </c>
      <c r="G16699" t="s">
        <v>55</v>
      </c>
      <c r="H16699" t="s">
        <v>41</v>
      </c>
      <c r="I16699" t="s">
        <v>2189</v>
      </c>
      <c r="J16699" s="10">
        <v>3.383</v>
      </c>
      <c r="K16699" t="b">
        <v>1</v>
      </c>
    </row>
    <row r="16700" spans="1:11">
      <c r="A16700" s="12">
        <v>43728</v>
      </c>
      <c r="B16700">
        <v>2019</v>
      </c>
      <c r="C16700">
        <v>9</v>
      </c>
      <c r="D16700" s="11">
        <v>43709</v>
      </c>
      <c r="E16700" t="s">
        <v>2181</v>
      </c>
      <c r="F16700">
        <v>5</v>
      </c>
      <c r="G16700" t="s">
        <v>55</v>
      </c>
      <c r="H16700" t="s">
        <v>42</v>
      </c>
      <c r="I16700" t="s">
        <v>2190</v>
      </c>
      <c r="J16700" s="10">
        <v>2</v>
      </c>
      <c r="K16700" t="b">
        <v>1</v>
      </c>
    </row>
    <row r="16701" spans="1:11">
      <c r="A16701" s="12">
        <v>43728</v>
      </c>
      <c r="B16701">
        <v>2019</v>
      </c>
      <c r="C16701">
        <v>9</v>
      </c>
      <c r="D16701" s="11">
        <v>43709</v>
      </c>
      <c r="E16701" t="s">
        <v>2181</v>
      </c>
      <c r="F16701">
        <v>5</v>
      </c>
      <c r="G16701" t="s">
        <v>55</v>
      </c>
      <c r="H16701" t="s">
        <v>43</v>
      </c>
      <c r="I16701" t="s">
        <v>2191</v>
      </c>
      <c r="J16701" s="10">
        <v>51.3</v>
      </c>
      <c r="K16701" t="b">
        <v>1</v>
      </c>
    </row>
    <row r="16702" spans="1:11">
      <c r="A16702" s="12">
        <v>43728</v>
      </c>
      <c r="B16702">
        <v>2019</v>
      </c>
      <c r="C16702">
        <v>9</v>
      </c>
      <c r="D16702" s="11">
        <v>43709</v>
      </c>
      <c r="E16702" t="s">
        <v>2181</v>
      </c>
      <c r="F16702">
        <v>5</v>
      </c>
      <c r="G16702" t="s">
        <v>55</v>
      </c>
      <c r="H16702" t="s">
        <v>44</v>
      </c>
      <c r="I16702" t="s">
        <v>2192</v>
      </c>
      <c r="J16702" s="10">
        <v>3</v>
      </c>
      <c r="K16702" t="b">
        <v>1</v>
      </c>
    </row>
    <row r="16703" spans="1:11">
      <c r="A16703" s="12">
        <v>43728</v>
      </c>
      <c r="B16703">
        <v>2019</v>
      </c>
      <c r="C16703">
        <v>9</v>
      </c>
      <c r="D16703" s="11">
        <v>43709</v>
      </c>
      <c r="E16703" t="s">
        <v>2181</v>
      </c>
      <c r="F16703">
        <v>5</v>
      </c>
      <c r="G16703" t="s">
        <v>55</v>
      </c>
      <c r="H16703" t="s">
        <v>45</v>
      </c>
      <c r="I16703" t="s">
        <v>2193</v>
      </c>
      <c r="J16703" s="10">
        <v>0</v>
      </c>
      <c r="K16703" t="b">
        <v>1</v>
      </c>
    </row>
    <row r="16704" spans="1:11">
      <c r="A16704" s="12">
        <v>43728</v>
      </c>
      <c r="B16704">
        <v>2019</v>
      </c>
      <c r="C16704">
        <v>9</v>
      </c>
      <c r="D16704" s="11">
        <v>43709</v>
      </c>
      <c r="E16704" t="s">
        <v>2181</v>
      </c>
      <c r="F16704">
        <v>5</v>
      </c>
      <c r="G16704" t="s">
        <v>55</v>
      </c>
      <c r="H16704" t="s">
        <v>46</v>
      </c>
      <c r="I16704" t="s">
        <v>2194</v>
      </c>
      <c r="J16704" s="10">
        <v>1</v>
      </c>
      <c r="K16704" t="b">
        <v>1</v>
      </c>
    </row>
    <row r="16705" spans="1:11">
      <c r="A16705" s="12">
        <v>43728</v>
      </c>
      <c r="B16705">
        <v>2019</v>
      </c>
      <c r="C16705">
        <v>9</v>
      </c>
      <c r="D16705" s="11">
        <v>43709</v>
      </c>
      <c r="E16705" t="s">
        <v>2181</v>
      </c>
      <c r="F16705">
        <v>5</v>
      </c>
      <c r="G16705" t="s">
        <v>55</v>
      </c>
      <c r="H16705" t="s">
        <v>47</v>
      </c>
      <c r="I16705" t="s">
        <v>2195</v>
      </c>
      <c r="J16705" s="10">
        <v>3</v>
      </c>
      <c r="K16705" t="b">
        <v>1</v>
      </c>
    </row>
    <row r="16706" spans="1:11">
      <c r="A16706" s="12">
        <v>43729</v>
      </c>
      <c r="B16706">
        <v>2019</v>
      </c>
      <c r="C16706">
        <v>9</v>
      </c>
      <c r="D16706" s="11">
        <v>43709</v>
      </c>
      <c r="E16706" t="s">
        <v>2181</v>
      </c>
      <c r="F16706">
        <v>6</v>
      </c>
      <c r="G16706" t="s">
        <v>57</v>
      </c>
      <c r="H16706" t="s">
        <v>40</v>
      </c>
      <c r="I16706" t="s">
        <v>2188</v>
      </c>
      <c r="J16706" s="10">
        <v>10.68</v>
      </c>
      <c r="K16706" t="b">
        <v>1</v>
      </c>
    </row>
    <row r="16707" spans="1:11">
      <c r="A16707" s="12">
        <v>43729</v>
      </c>
      <c r="B16707">
        <v>2019</v>
      </c>
      <c r="C16707">
        <v>9</v>
      </c>
      <c r="D16707" s="11">
        <v>43709</v>
      </c>
      <c r="E16707" t="s">
        <v>2181</v>
      </c>
      <c r="F16707">
        <v>6</v>
      </c>
      <c r="G16707" t="s">
        <v>57</v>
      </c>
      <c r="H16707" t="s">
        <v>41</v>
      </c>
      <c r="I16707" t="s">
        <v>2189</v>
      </c>
      <c r="J16707" s="10">
        <v>5.68</v>
      </c>
      <c r="K16707" t="b">
        <v>1</v>
      </c>
    </row>
    <row r="16708" spans="1:11">
      <c r="A16708" s="12">
        <v>43729</v>
      </c>
      <c r="B16708">
        <v>2019</v>
      </c>
      <c r="C16708">
        <v>9</v>
      </c>
      <c r="D16708" s="11">
        <v>43709</v>
      </c>
      <c r="E16708" t="s">
        <v>2181</v>
      </c>
      <c r="F16708">
        <v>6</v>
      </c>
      <c r="G16708" t="s">
        <v>57</v>
      </c>
      <c r="H16708" t="s">
        <v>42</v>
      </c>
      <c r="I16708" t="s">
        <v>2190</v>
      </c>
      <c r="J16708" s="10">
        <v>1</v>
      </c>
      <c r="K16708" t="b">
        <v>1</v>
      </c>
    </row>
    <row r="16709" spans="1:11">
      <c r="A16709" s="12">
        <v>43729</v>
      </c>
      <c r="B16709">
        <v>2019</v>
      </c>
      <c r="C16709">
        <v>9</v>
      </c>
      <c r="D16709" s="11">
        <v>43709</v>
      </c>
      <c r="E16709" t="s">
        <v>2181</v>
      </c>
      <c r="F16709">
        <v>6</v>
      </c>
      <c r="G16709" t="s">
        <v>57</v>
      </c>
      <c r="H16709" t="s">
        <v>43</v>
      </c>
      <c r="I16709" t="s">
        <v>2191</v>
      </c>
      <c r="J16709" s="10">
        <v>44.25</v>
      </c>
      <c r="K16709" t="b">
        <v>1</v>
      </c>
    </row>
    <row r="16710" spans="1:11">
      <c r="A16710" s="12">
        <v>43729</v>
      </c>
      <c r="B16710">
        <v>2019</v>
      </c>
      <c r="C16710">
        <v>9</v>
      </c>
      <c r="D16710" s="11">
        <v>43709</v>
      </c>
      <c r="E16710" t="s">
        <v>2181</v>
      </c>
      <c r="F16710">
        <v>6</v>
      </c>
      <c r="G16710" t="s">
        <v>57</v>
      </c>
      <c r="H16710" t="s">
        <v>44</v>
      </c>
      <c r="I16710" t="s">
        <v>2192</v>
      </c>
      <c r="J16710" s="10">
        <v>3</v>
      </c>
      <c r="K16710" t="b">
        <v>1</v>
      </c>
    </row>
    <row r="16711" spans="1:11">
      <c r="A16711" s="12">
        <v>43729</v>
      </c>
      <c r="B16711">
        <v>2019</v>
      </c>
      <c r="C16711">
        <v>9</v>
      </c>
      <c r="D16711" s="11">
        <v>43709</v>
      </c>
      <c r="E16711" t="s">
        <v>2181</v>
      </c>
      <c r="F16711">
        <v>6</v>
      </c>
      <c r="G16711" t="s">
        <v>57</v>
      </c>
      <c r="H16711" t="s">
        <v>45</v>
      </c>
      <c r="I16711" t="s">
        <v>2193</v>
      </c>
      <c r="J16711" s="10">
        <v>0</v>
      </c>
      <c r="K16711" t="b">
        <v>1</v>
      </c>
    </row>
    <row r="16712" spans="1:11">
      <c r="A16712" s="12">
        <v>43729</v>
      </c>
      <c r="B16712">
        <v>2019</v>
      </c>
      <c r="C16712">
        <v>9</v>
      </c>
      <c r="D16712" s="11">
        <v>43709</v>
      </c>
      <c r="E16712" t="s">
        <v>2181</v>
      </c>
      <c r="F16712">
        <v>6</v>
      </c>
      <c r="G16712" t="s">
        <v>57</v>
      </c>
      <c r="H16712" t="s">
        <v>46</v>
      </c>
      <c r="I16712" t="s">
        <v>2194</v>
      </c>
      <c r="J16712" s="10">
        <v>6</v>
      </c>
      <c r="K16712" t="b">
        <v>1</v>
      </c>
    </row>
    <row r="16713" spans="1:11">
      <c r="A16713" s="12">
        <v>43729</v>
      </c>
      <c r="B16713">
        <v>2019</v>
      </c>
      <c r="C16713">
        <v>9</v>
      </c>
      <c r="D16713" s="11">
        <v>43709</v>
      </c>
      <c r="E16713" t="s">
        <v>2181</v>
      </c>
      <c r="F16713">
        <v>6</v>
      </c>
      <c r="G16713" t="s">
        <v>57</v>
      </c>
      <c r="H16713" t="s">
        <v>47</v>
      </c>
      <c r="I16713" t="s">
        <v>2195</v>
      </c>
      <c r="J16713" s="10">
        <v>4</v>
      </c>
      <c r="K16713" t="b">
        <v>1</v>
      </c>
    </row>
    <row r="16714" spans="1:11">
      <c r="A16714" s="12">
        <v>43730</v>
      </c>
      <c r="B16714">
        <v>2019</v>
      </c>
      <c r="C16714">
        <v>9</v>
      </c>
      <c r="D16714" s="11">
        <v>43709</v>
      </c>
      <c r="E16714" t="s">
        <v>2181</v>
      </c>
      <c r="F16714">
        <v>7</v>
      </c>
      <c r="G16714" t="s">
        <v>59</v>
      </c>
      <c r="H16714" t="s">
        <v>40</v>
      </c>
      <c r="I16714" t="s">
        <v>2188</v>
      </c>
      <c r="J16714" s="10">
        <v>3.33</v>
      </c>
      <c r="K16714" t="b">
        <v>1</v>
      </c>
    </row>
    <row r="16715" spans="1:11">
      <c r="A16715" s="12">
        <v>43730</v>
      </c>
      <c r="B16715">
        <v>2019</v>
      </c>
      <c r="C16715">
        <v>9</v>
      </c>
      <c r="D16715" s="11">
        <v>43709</v>
      </c>
      <c r="E16715" t="s">
        <v>2181</v>
      </c>
      <c r="F16715">
        <v>7</v>
      </c>
      <c r="G16715" t="s">
        <v>59</v>
      </c>
      <c r="H16715" t="s">
        <v>41</v>
      </c>
      <c r="I16715" t="s">
        <v>2189</v>
      </c>
      <c r="J16715" s="10">
        <v>3.34</v>
      </c>
      <c r="K16715" t="b">
        <v>1</v>
      </c>
    </row>
    <row r="16716" spans="1:11">
      <c r="A16716" s="12">
        <v>43730</v>
      </c>
      <c r="B16716">
        <v>2019</v>
      </c>
      <c r="C16716">
        <v>9</v>
      </c>
      <c r="D16716" s="11">
        <v>43709</v>
      </c>
      <c r="E16716" t="s">
        <v>2181</v>
      </c>
      <c r="F16716">
        <v>7</v>
      </c>
      <c r="G16716" t="s">
        <v>59</v>
      </c>
      <c r="H16716" t="s">
        <v>42</v>
      </c>
      <c r="I16716" t="s">
        <v>2190</v>
      </c>
      <c r="J16716" s="10">
        <v>1.9</v>
      </c>
      <c r="K16716" t="b">
        <v>1</v>
      </c>
    </row>
    <row r="16717" spans="1:11">
      <c r="A16717" s="12">
        <v>43730</v>
      </c>
      <c r="B16717">
        <v>2019</v>
      </c>
      <c r="C16717">
        <v>9</v>
      </c>
      <c r="D16717" s="11">
        <v>43709</v>
      </c>
      <c r="E16717" t="s">
        <v>2181</v>
      </c>
      <c r="F16717">
        <v>7</v>
      </c>
      <c r="G16717" t="s">
        <v>59</v>
      </c>
      <c r="H16717" t="s">
        <v>43</v>
      </c>
      <c r="I16717" t="s">
        <v>2191</v>
      </c>
      <c r="J16717" s="10">
        <v>56.5</v>
      </c>
      <c r="K16717" t="b">
        <v>1</v>
      </c>
    </row>
    <row r="16718" spans="1:11">
      <c r="A16718" s="12">
        <v>43730</v>
      </c>
      <c r="B16718">
        <v>2019</v>
      </c>
      <c r="C16718">
        <v>9</v>
      </c>
      <c r="D16718" s="11">
        <v>43709</v>
      </c>
      <c r="E16718" t="s">
        <v>2181</v>
      </c>
      <c r="F16718">
        <v>7</v>
      </c>
      <c r="G16718" t="s">
        <v>59</v>
      </c>
      <c r="H16718" t="s">
        <v>44</v>
      </c>
      <c r="I16718" t="s">
        <v>2192</v>
      </c>
      <c r="J16718" s="10">
        <v>3</v>
      </c>
      <c r="K16718" t="b">
        <v>1</v>
      </c>
    </row>
    <row r="16719" spans="1:11">
      <c r="A16719" s="12">
        <v>43730</v>
      </c>
      <c r="B16719">
        <v>2019</v>
      </c>
      <c r="C16719">
        <v>9</v>
      </c>
      <c r="D16719" s="11">
        <v>43709</v>
      </c>
      <c r="E16719" t="s">
        <v>2181</v>
      </c>
      <c r="F16719">
        <v>7</v>
      </c>
      <c r="G16719" t="s">
        <v>59</v>
      </c>
      <c r="H16719" t="s">
        <v>45</v>
      </c>
      <c r="I16719" t="s">
        <v>2193</v>
      </c>
      <c r="J16719" s="10">
        <v>0</v>
      </c>
      <c r="K16719" t="b">
        <v>1</v>
      </c>
    </row>
    <row r="16720" spans="1:11">
      <c r="A16720" s="12">
        <v>43730</v>
      </c>
      <c r="B16720">
        <v>2019</v>
      </c>
      <c r="C16720">
        <v>9</v>
      </c>
      <c r="D16720" s="11">
        <v>43709</v>
      </c>
      <c r="E16720" t="s">
        <v>2181</v>
      </c>
      <c r="F16720">
        <v>7</v>
      </c>
      <c r="G16720" t="s">
        <v>59</v>
      </c>
      <c r="H16720" t="s">
        <v>46</v>
      </c>
      <c r="I16720" t="s">
        <v>2194</v>
      </c>
      <c r="J16720" s="10">
        <v>8</v>
      </c>
      <c r="K16720" t="b">
        <v>1</v>
      </c>
    </row>
    <row r="16721" spans="1:11">
      <c r="A16721" s="12">
        <v>43730</v>
      </c>
      <c r="B16721">
        <v>2019</v>
      </c>
      <c r="C16721">
        <v>9</v>
      </c>
      <c r="D16721" s="11">
        <v>43709</v>
      </c>
      <c r="E16721" t="s">
        <v>2181</v>
      </c>
      <c r="F16721">
        <v>7</v>
      </c>
      <c r="G16721" t="s">
        <v>59</v>
      </c>
      <c r="H16721" t="s">
        <v>47</v>
      </c>
      <c r="I16721" t="s">
        <v>2195</v>
      </c>
      <c r="J16721" s="10">
        <v>4</v>
      </c>
      <c r="K16721" t="b">
        <v>1</v>
      </c>
    </row>
    <row r="16722" spans="1:11">
      <c r="A16722" s="12">
        <v>43731</v>
      </c>
      <c r="B16722">
        <v>2019</v>
      </c>
      <c r="C16722">
        <v>9</v>
      </c>
      <c r="D16722" s="11">
        <v>43709</v>
      </c>
      <c r="E16722" t="s">
        <v>2181</v>
      </c>
      <c r="F16722">
        <v>1</v>
      </c>
      <c r="G16722" t="s">
        <v>61</v>
      </c>
      <c r="H16722" t="s">
        <v>40</v>
      </c>
      <c r="I16722" t="s">
        <v>2188</v>
      </c>
      <c r="J16722" s="10">
        <v>5.34</v>
      </c>
      <c r="K16722" t="b">
        <v>1</v>
      </c>
    </row>
    <row r="16723" spans="1:11">
      <c r="A16723" s="12">
        <v>43731</v>
      </c>
      <c r="B16723">
        <v>2019</v>
      </c>
      <c r="C16723">
        <v>9</v>
      </c>
      <c r="D16723" s="11">
        <v>43709</v>
      </c>
      <c r="E16723" t="s">
        <v>2181</v>
      </c>
      <c r="F16723">
        <v>1</v>
      </c>
      <c r="G16723" t="s">
        <v>61</v>
      </c>
      <c r="H16723" t="s">
        <v>41</v>
      </c>
      <c r="I16723" t="s">
        <v>2189</v>
      </c>
      <c r="J16723" s="10">
        <v>4.549</v>
      </c>
      <c r="K16723" t="b">
        <v>1</v>
      </c>
    </row>
    <row r="16724" spans="1:11">
      <c r="A16724" s="12">
        <v>43731</v>
      </c>
      <c r="B16724">
        <v>2019</v>
      </c>
      <c r="C16724">
        <v>9</v>
      </c>
      <c r="D16724" s="11">
        <v>43709</v>
      </c>
      <c r="E16724" t="s">
        <v>2181</v>
      </c>
      <c r="F16724">
        <v>1</v>
      </c>
      <c r="G16724" t="s">
        <v>61</v>
      </c>
      <c r="H16724" t="s">
        <v>42</v>
      </c>
      <c r="I16724" t="s">
        <v>2190</v>
      </c>
      <c r="J16724" s="10">
        <v>3.3</v>
      </c>
      <c r="K16724" t="b">
        <v>1</v>
      </c>
    </row>
    <row r="16725" spans="1:11">
      <c r="A16725" s="12">
        <v>43731</v>
      </c>
      <c r="B16725">
        <v>2019</v>
      </c>
      <c r="C16725">
        <v>9</v>
      </c>
      <c r="D16725" s="11">
        <v>43709</v>
      </c>
      <c r="E16725" t="s">
        <v>2181</v>
      </c>
      <c r="F16725">
        <v>1</v>
      </c>
      <c r="G16725" t="s">
        <v>61</v>
      </c>
      <c r="H16725" t="s">
        <v>43</v>
      </c>
      <c r="I16725" t="s">
        <v>2191</v>
      </c>
      <c r="J16725" s="10">
        <v>55</v>
      </c>
      <c r="K16725" t="b">
        <v>1</v>
      </c>
    </row>
    <row r="16726" spans="1:11">
      <c r="A16726" s="12">
        <v>43731</v>
      </c>
      <c r="B16726">
        <v>2019</v>
      </c>
      <c r="C16726">
        <v>9</v>
      </c>
      <c r="D16726" s="11">
        <v>43709</v>
      </c>
      <c r="E16726" t="s">
        <v>2181</v>
      </c>
      <c r="F16726">
        <v>1</v>
      </c>
      <c r="G16726" t="s">
        <v>61</v>
      </c>
      <c r="H16726" t="s">
        <v>44</v>
      </c>
      <c r="I16726" t="s">
        <v>2192</v>
      </c>
      <c r="J16726" s="10">
        <v>6</v>
      </c>
      <c r="K16726" t="b">
        <v>1</v>
      </c>
    </row>
    <row r="16727" spans="1:11">
      <c r="A16727" s="12">
        <v>43731</v>
      </c>
      <c r="B16727">
        <v>2019</v>
      </c>
      <c r="C16727">
        <v>9</v>
      </c>
      <c r="D16727" s="11">
        <v>43709</v>
      </c>
      <c r="E16727" t="s">
        <v>2181</v>
      </c>
      <c r="F16727">
        <v>1</v>
      </c>
      <c r="G16727" t="s">
        <v>61</v>
      </c>
      <c r="H16727" t="s">
        <v>45</v>
      </c>
      <c r="I16727" t="s">
        <v>2193</v>
      </c>
      <c r="J16727" s="10">
        <v>0</v>
      </c>
      <c r="K16727" t="b">
        <v>1</v>
      </c>
    </row>
    <row r="16728" spans="1:11">
      <c r="A16728" s="12">
        <v>43731</v>
      </c>
      <c r="B16728">
        <v>2019</v>
      </c>
      <c r="C16728">
        <v>9</v>
      </c>
      <c r="D16728" s="11">
        <v>43709</v>
      </c>
      <c r="E16728" t="s">
        <v>2181</v>
      </c>
      <c r="F16728">
        <v>1</v>
      </c>
      <c r="G16728" t="s">
        <v>61</v>
      </c>
      <c r="H16728" t="s">
        <v>46</v>
      </c>
      <c r="I16728" t="s">
        <v>2194</v>
      </c>
      <c r="J16728" s="10">
        <v>1</v>
      </c>
      <c r="K16728" t="b">
        <v>1</v>
      </c>
    </row>
    <row r="16729" spans="1:11">
      <c r="A16729" s="12">
        <v>43731</v>
      </c>
      <c r="B16729">
        <v>2019</v>
      </c>
      <c r="C16729">
        <v>9</v>
      </c>
      <c r="D16729" s="11">
        <v>43709</v>
      </c>
      <c r="E16729" t="s">
        <v>2181</v>
      </c>
      <c r="F16729">
        <v>1</v>
      </c>
      <c r="G16729" t="s">
        <v>61</v>
      </c>
      <c r="H16729" t="s">
        <v>47</v>
      </c>
      <c r="I16729" t="s">
        <v>2195</v>
      </c>
      <c r="J16729" s="10">
        <v>4</v>
      </c>
      <c r="K16729" t="b">
        <v>1</v>
      </c>
    </row>
    <row r="16730" spans="1:11">
      <c r="A16730" s="12">
        <v>43732</v>
      </c>
      <c r="B16730">
        <v>2019</v>
      </c>
      <c r="C16730">
        <v>9</v>
      </c>
      <c r="D16730" s="11">
        <v>43709</v>
      </c>
      <c r="E16730" t="s">
        <v>2181</v>
      </c>
      <c r="F16730">
        <v>2</v>
      </c>
      <c r="G16730" t="s">
        <v>63</v>
      </c>
      <c r="H16730" t="s">
        <v>40</v>
      </c>
      <c r="I16730" t="s">
        <v>2188</v>
      </c>
      <c r="J16730" s="10">
        <v>2</v>
      </c>
      <c r="K16730" t="b">
        <v>1</v>
      </c>
    </row>
    <row r="16731" spans="1:11">
      <c r="A16731" s="12">
        <v>43732</v>
      </c>
      <c r="B16731">
        <v>2019</v>
      </c>
      <c r="C16731">
        <v>9</v>
      </c>
      <c r="D16731" s="11">
        <v>43709</v>
      </c>
      <c r="E16731" t="s">
        <v>2181</v>
      </c>
      <c r="F16731">
        <v>2</v>
      </c>
      <c r="G16731" t="s">
        <v>63</v>
      </c>
      <c r="H16731" t="s">
        <v>41</v>
      </c>
      <c r="I16731" t="s">
        <v>2189</v>
      </c>
      <c r="J16731" s="10">
        <v>1.34</v>
      </c>
      <c r="K16731" t="b">
        <v>1</v>
      </c>
    </row>
    <row r="16732" spans="1:11">
      <c r="A16732" s="12">
        <v>43732</v>
      </c>
      <c r="B16732">
        <v>2019</v>
      </c>
      <c r="C16732">
        <v>9</v>
      </c>
      <c r="D16732" s="11">
        <v>43709</v>
      </c>
      <c r="E16732" t="s">
        <v>2181</v>
      </c>
      <c r="F16732">
        <v>2</v>
      </c>
      <c r="G16732" t="s">
        <v>63</v>
      </c>
      <c r="H16732" t="s">
        <v>42</v>
      </c>
      <c r="I16732" t="s">
        <v>2190</v>
      </c>
      <c r="J16732" s="10">
        <v>6</v>
      </c>
      <c r="K16732" t="b">
        <v>1</v>
      </c>
    </row>
    <row r="16733" spans="1:11">
      <c r="A16733" s="12">
        <v>43732</v>
      </c>
      <c r="B16733">
        <v>2019</v>
      </c>
      <c r="C16733">
        <v>9</v>
      </c>
      <c r="D16733" s="11">
        <v>43709</v>
      </c>
      <c r="E16733" t="s">
        <v>2181</v>
      </c>
      <c r="F16733">
        <v>2</v>
      </c>
      <c r="G16733" t="s">
        <v>63</v>
      </c>
      <c r="H16733" t="s">
        <v>43</v>
      </c>
      <c r="I16733" t="s">
        <v>2191</v>
      </c>
      <c r="J16733" s="10">
        <v>61.3</v>
      </c>
      <c r="K16733" t="b">
        <v>1</v>
      </c>
    </row>
    <row r="16734" spans="1:11">
      <c r="A16734" s="12">
        <v>43732</v>
      </c>
      <c r="B16734">
        <v>2019</v>
      </c>
      <c r="C16734">
        <v>9</v>
      </c>
      <c r="D16734" s="11">
        <v>43709</v>
      </c>
      <c r="E16734" t="s">
        <v>2181</v>
      </c>
      <c r="F16734">
        <v>2</v>
      </c>
      <c r="G16734" t="s">
        <v>63</v>
      </c>
      <c r="H16734" t="s">
        <v>44</v>
      </c>
      <c r="I16734" t="s">
        <v>2192</v>
      </c>
      <c r="J16734" s="10">
        <v>12</v>
      </c>
      <c r="K16734" t="b">
        <v>1</v>
      </c>
    </row>
    <row r="16735" spans="1:11">
      <c r="A16735" s="12">
        <v>43732</v>
      </c>
      <c r="B16735">
        <v>2019</v>
      </c>
      <c r="C16735">
        <v>9</v>
      </c>
      <c r="D16735" s="11">
        <v>43709</v>
      </c>
      <c r="E16735" t="s">
        <v>2181</v>
      </c>
      <c r="F16735">
        <v>2</v>
      </c>
      <c r="G16735" t="s">
        <v>63</v>
      </c>
      <c r="H16735" t="s">
        <v>45</v>
      </c>
      <c r="I16735" t="s">
        <v>2193</v>
      </c>
      <c r="J16735" s="10">
        <v>0</v>
      </c>
      <c r="K16735" t="b">
        <v>1</v>
      </c>
    </row>
    <row r="16736" spans="1:11">
      <c r="A16736" s="12">
        <v>43732</v>
      </c>
      <c r="B16736">
        <v>2019</v>
      </c>
      <c r="C16736">
        <v>9</v>
      </c>
      <c r="D16736" s="11">
        <v>43709</v>
      </c>
      <c r="E16736" t="s">
        <v>2181</v>
      </c>
      <c r="F16736">
        <v>2</v>
      </c>
      <c r="G16736" t="s">
        <v>63</v>
      </c>
      <c r="H16736" t="s">
        <v>46</v>
      </c>
      <c r="I16736" t="s">
        <v>2194</v>
      </c>
      <c r="J16736" s="10">
        <v>1</v>
      </c>
      <c r="K16736" t="b">
        <v>1</v>
      </c>
    </row>
    <row r="16737" spans="1:11">
      <c r="A16737" s="12">
        <v>43732</v>
      </c>
      <c r="B16737">
        <v>2019</v>
      </c>
      <c r="C16737">
        <v>9</v>
      </c>
      <c r="D16737" s="11">
        <v>43709</v>
      </c>
      <c r="E16737" t="s">
        <v>2181</v>
      </c>
      <c r="F16737">
        <v>2</v>
      </c>
      <c r="G16737" t="s">
        <v>63</v>
      </c>
      <c r="H16737" t="s">
        <v>47</v>
      </c>
      <c r="I16737" t="s">
        <v>2195</v>
      </c>
      <c r="J16737" s="10">
        <v>6</v>
      </c>
      <c r="K16737" t="b">
        <v>1</v>
      </c>
    </row>
    <row r="16738" spans="1:11">
      <c r="A16738" s="12">
        <v>43733</v>
      </c>
      <c r="B16738">
        <v>2019</v>
      </c>
      <c r="C16738">
        <v>9</v>
      </c>
      <c r="D16738" s="11">
        <v>43709</v>
      </c>
      <c r="E16738" t="s">
        <v>2181</v>
      </c>
      <c r="F16738">
        <v>3</v>
      </c>
      <c r="G16738" t="s">
        <v>65</v>
      </c>
      <c r="H16738" t="s">
        <v>40</v>
      </c>
      <c r="I16738" t="s">
        <v>2188</v>
      </c>
      <c r="J16738" s="10">
        <v>6</v>
      </c>
      <c r="K16738" t="b">
        <v>1</v>
      </c>
    </row>
    <row r="16739" spans="1:11">
      <c r="A16739" s="12">
        <v>43733</v>
      </c>
      <c r="B16739">
        <v>2019</v>
      </c>
      <c r="C16739">
        <v>9</v>
      </c>
      <c r="D16739" s="11">
        <v>43709</v>
      </c>
      <c r="E16739" t="s">
        <v>2181</v>
      </c>
      <c r="F16739">
        <v>3</v>
      </c>
      <c r="G16739" t="s">
        <v>65</v>
      </c>
      <c r="H16739" t="s">
        <v>41</v>
      </c>
      <c r="I16739" t="s">
        <v>2189</v>
      </c>
      <c r="J16739" s="10">
        <v>3.67</v>
      </c>
      <c r="K16739" t="b">
        <v>1</v>
      </c>
    </row>
    <row r="16740" spans="1:11">
      <c r="A16740" s="12">
        <v>43733</v>
      </c>
      <c r="B16740">
        <v>2019</v>
      </c>
      <c r="C16740">
        <v>9</v>
      </c>
      <c r="D16740" s="11">
        <v>43709</v>
      </c>
      <c r="E16740" t="s">
        <v>2181</v>
      </c>
      <c r="F16740">
        <v>3</v>
      </c>
      <c r="G16740" t="s">
        <v>65</v>
      </c>
      <c r="H16740" t="s">
        <v>42</v>
      </c>
      <c r="I16740" t="s">
        <v>2190</v>
      </c>
      <c r="J16740" s="10">
        <v>4.2</v>
      </c>
      <c r="K16740" t="b">
        <v>1</v>
      </c>
    </row>
    <row r="16741" spans="1:11">
      <c r="A16741" s="12">
        <v>43733</v>
      </c>
      <c r="B16741">
        <v>2019</v>
      </c>
      <c r="C16741">
        <v>9</v>
      </c>
      <c r="D16741" s="11">
        <v>43709</v>
      </c>
      <c r="E16741" t="s">
        <v>2181</v>
      </c>
      <c r="F16741">
        <v>3</v>
      </c>
      <c r="G16741" t="s">
        <v>65</v>
      </c>
      <c r="H16741" t="s">
        <v>43</v>
      </c>
      <c r="I16741" t="s">
        <v>2191</v>
      </c>
      <c r="J16741" s="10">
        <v>32.5</v>
      </c>
      <c r="K16741" t="b">
        <v>1</v>
      </c>
    </row>
    <row r="16742" spans="1:11">
      <c r="A16742" s="12">
        <v>43733</v>
      </c>
      <c r="B16742">
        <v>2019</v>
      </c>
      <c r="C16742">
        <v>9</v>
      </c>
      <c r="D16742" s="11">
        <v>43709</v>
      </c>
      <c r="E16742" t="s">
        <v>2181</v>
      </c>
      <c r="F16742">
        <v>3</v>
      </c>
      <c r="G16742" t="s">
        <v>65</v>
      </c>
      <c r="H16742" t="s">
        <v>44</v>
      </c>
      <c r="I16742" t="s">
        <v>2192</v>
      </c>
      <c r="J16742" s="10">
        <v>14</v>
      </c>
      <c r="K16742" t="b">
        <v>1</v>
      </c>
    </row>
    <row r="16743" spans="1:11">
      <c r="A16743" s="12">
        <v>43733</v>
      </c>
      <c r="B16743">
        <v>2019</v>
      </c>
      <c r="C16743">
        <v>9</v>
      </c>
      <c r="D16743" s="11">
        <v>43709</v>
      </c>
      <c r="E16743" t="s">
        <v>2181</v>
      </c>
      <c r="F16743">
        <v>3</v>
      </c>
      <c r="G16743" t="s">
        <v>65</v>
      </c>
      <c r="H16743" t="s">
        <v>45</v>
      </c>
      <c r="I16743" t="s">
        <v>2193</v>
      </c>
      <c r="J16743" s="10">
        <v>1</v>
      </c>
      <c r="K16743" t="b">
        <v>1</v>
      </c>
    </row>
    <row r="16744" spans="1:11">
      <c r="A16744" s="12">
        <v>43733</v>
      </c>
      <c r="B16744">
        <v>2019</v>
      </c>
      <c r="C16744">
        <v>9</v>
      </c>
      <c r="D16744" s="11">
        <v>43709</v>
      </c>
      <c r="E16744" t="s">
        <v>2181</v>
      </c>
      <c r="F16744">
        <v>3</v>
      </c>
      <c r="G16744" t="s">
        <v>65</v>
      </c>
      <c r="H16744" t="s">
        <v>46</v>
      </c>
      <c r="I16744" t="s">
        <v>2194</v>
      </c>
      <c r="J16744" s="10">
        <v>1.416666667</v>
      </c>
      <c r="K16744" t="b">
        <v>1</v>
      </c>
    </row>
    <row r="16745" spans="1:11">
      <c r="A16745" s="12">
        <v>43733</v>
      </c>
      <c r="B16745">
        <v>2019</v>
      </c>
      <c r="C16745">
        <v>9</v>
      </c>
      <c r="D16745" s="11">
        <v>43709</v>
      </c>
      <c r="E16745" t="s">
        <v>2181</v>
      </c>
      <c r="F16745">
        <v>3</v>
      </c>
      <c r="G16745" t="s">
        <v>65</v>
      </c>
      <c r="H16745" t="s">
        <v>47</v>
      </c>
      <c r="I16745" t="s">
        <v>2195</v>
      </c>
      <c r="J16745" s="10">
        <v>4</v>
      </c>
      <c r="K16745" t="b">
        <v>1</v>
      </c>
    </row>
    <row r="16746" spans="1:11">
      <c r="A16746" s="12">
        <v>43734</v>
      </c>
      <c r="B16746">
        <v>2019</v>
      </c>
      <c r="C16746">
        <v>9</v>
      </c>
      <c r="D16746" s="11">
        <v>43709</v>
      </c>
      <c r="E16746" t="s">
        <v>2181</v>
      </c>
      <c r="F16746">
        <v>4</v>
      </c>
      <c r="G16746" t="s">
        <v>53</v>
      </c>
      <c r="H16746" t="s">
        <v>40</v>
      </c>
      <c r="I16746" t="s">
        <v>2188</v>
      </c>
      <c r="J16746" s="10">
        <v>5.5</v>
      </c>
      <c r="K16746" t="b">
        <v>1</v>
      </c>
    </row>
    <row r="16747" spans="1:11">
      <c r="A16747" s="12">
        <v>43734</v>
      </c>
      <c r="B16747">
        <v>2019</v>
      </c>
      <c r="C16747">
        <v>9</v>
      </c>
      <c r="D16747" s="11">
        <v>43709</v>
      </c>
      <c r="E16747" t="s">
        <v>2181</v>
      </c>
      <c r="F16747">
        <v>4</v>
      </c>
      <c r="G16747" t="s">
        <v>53</v>
      </c>
      <c r="H16747" t="s">
        <v>41</v>
      </c>
      <c r="I16747" t="s">
        <v>2189</v>
      </c>
      <c r="J16747" s="10">
        <v>3.033</v>
      </c>
      <c r="K16747" t="b">
        <v>1</v>
      </c>
    </row>
    <row r="16748" spans="1:11">
      <c r="A16748" s="12">
        <v>43734</v>
      </c>
      <c r="B16748">
        <v>2019</v>
      </c>
      <c r="C16748">
        <v>9</v>
      </c>
      <c r="D16748" s="11">
        <v>43709</v>
      </c>
      <c r="E16748" t="s">
        <v>2181</v>
      </c>
      <c r="F16748">
        <v>4</v>
      </c>
      <c r="G16748" t="s">
        <v>53</v>
      </c>
      <c r="H16748" t="s">
        <v>42</v>
      </c>
      <c r="I16748" t="s">
        <v>2190</v>
      </c>
      <c r="J16748" s="10">
        <v>2</v>
      </c>
      <c r="K16748" t="b">
        <v>1</v>
      </c>
    </row>
    <row r="16749" spans="1:11">
      <c r="A16749" s="12">
        <v>43734</v>
      </c>
      <c r="B16749">
        <v>2019</v>
      </c>
      <c r="C16749">
        <v>9</v>
      </c>
      <c r="D16749" s="11">
        <v>43709</v>
      </c>
      <c r="E16749" t="s">
        <v>2181</v>
      </c>
      <c r="F16749">
        <v>4</v>
      </c>
      <c r="G16749" t="s">
        <v>53</v>
      </c>
      <c r="H16749" t="s">
        <v>43</v>
      </c>
      <c r="I16749" t="s">
        <v>2191</v>
      </c>
      <c r="J16749" s="10">
        <v>31</v>
      </c>
      <c r="K16749" t="b">
        <v>1</v>
      </c>
    </row>
    <row r="16750" spans="1:11">
      <c r="A16750" s="12">
        <v>43734</v>
      </c>
      <c r="B16750">
        <v>2019</v>
      </c>
      <c r="C16750">
        <v>9</v>
      </c>
      <c r="D16750" s="11">
        <v>43709</v>
      </c>
      <c r="E16750" t="s">
        <v>2181</v>
      </c>
      <c r="F16750">
        <v>4</v>
      </c>
      <c r="G16750" t="s">
        <v>53</v>
      </c>
      <c r="H16750" t="s">
        <v>44</v>
      </c>
      <c r="I16750" t="s">
        <v>2192</v>
      </c>
      <c r="J16750" s="10">
        <v>13</v>
      </c>
      <c r="K16750" t="b">
        <v>1</v>
      </c>
    </row>
    <row r="16751" spans="1:11">
      <c r="A16751" s="12">
        <v>43734</v>
      </c>
      <c r="B16751">
        <v>2019</v>
      </c>
      <c r="C16751">
        <v>9</v>
      </c>
      <c r="D16751" s="11">
        <v>43709</v>
      </c>
      <c r="E16751" t="s">
        <v>2181</v>
      </c>
      <c r="F16751">
        <v>4</v>
      </c>
      <c r="G16751" t="s">
        <v>53</v>
      </c>
      <c r="H16751" t="s">
        <v>45</v>
      </c>
      <c r="I16751" t="s">
        <v>2193</v>
      </c>
      <c r="J16751" s="10">
        <v>0</v>
      </c>
      <c r="K16751" t="b">
        <v>1</v>
      </c>
    </row>
    <row r="16752" spans="1:11">
      <c r="A16752" s="12">
        <v>43734</v>
      </c>
      <c r="B16752">
        <v>2019</v>
      </c>
      <c r="C16752">
        <v>9</v>
      </c>
      <c r="D16752" s="11">
        <v>43709</v>
      </c>
      <c r="E16752" t="s">
        <v>2181</v>
      </c>
      <c r="F16752">
        <v>4</v>
      </c>
      <c r="G16752" t="s">
        <v>53</v>
      </c>
      <c r="H16752" t="s">
        <v>46</v>
      </c>
      <c r="I16752" t="s">
        <v>2194</v>
      </c>
      <c r="J16752" s="10">
        <v>31</v>
      </c>
      <c r="K16752" t="b">
        <v>1</v>
      </c>
    </row>
    <row r="16753" spans="1:11">
      <c r="A16753" s="12">
        <v>43734</v>
      </c>
      <c r="B16753">
        <v>2019</v>
      </c>
      <c r="C16753">
        <v>9</v>
      </c>
      <c r="D16753" s="11">
        <v>43709</v>
      </c>
      <c r="E16753" t="s">
        <v>2181</v>
      </c>
      <c r="F16753">
        <v>4</v>
      </c>
      <c r="G16753" t="s">
        <v>53</v>
      </c>
      <c r="H16753" t="s">
        <v>47</v>
      </c>
      <c r="I16753" t="s">
        <v>2195</v>
      </c>
      <c r="J16753" s="10">
        <v>0</v>
      </c>
      <c r="K16753" t="b">
        <v>1</v>
      </c>
    </row>
    <row r="16754" spans="1:11">
      <c r="A16754" s="12">
        <v>43735</v>
      </c>
      <c r="B16754">
        <v>2019</v>
      </c>
      <c r="C16754">
        <v>9</v>
      </c>
      <c r="D16754" s="11">
        <v>43709</v>
      </c>
      <c r="E16754" t="s">
        <v>2181</v>
      </c>
      <c r="F16754">
        <v>5</v>
      </c>
      <c r="G16754" t="s">
        <v>55</v>
      </c>
      <c r="H16754" t="s">
        <v>40</v>
      </c>
      <c r="I16754" t="s">
        <v>2188</v>
      </c>
      <c r="J16754" s="10">
        <v>4.66</v>
      </c>
      <c r="K16754" t="b">
        <v>1</v>
      </c>
    </row>
    <row r="16755" spans="1:11">
      <c r="A16755" s="12">
        <v>43735</v>
      </c>
      <c r="B16755">
        <v>2019</v>
      </c>
      <c r="C16755">
        <v>9</v>
      </c>
      <c r="D16755" s="11">
        <v>43709</v>
      </c>
      <c r="E16755" t="s">
        <v>2181</v>
      </c>
      <c r="F16755">
        <v>5</v>
      </c>
      <c r="G16755" t="s">
        <v>55</v>
      </c>
      <c r="H16755" t="s">
        <v>41</v>
      </c>
      <c r="I16755" t="s">
        <v>2189</v>
      </c>
      <c r="J16755" s="10">
        <v>4.359</v>
      </c>
      <c r="K16755" t="b">
        <v>1</v>
      </c>
    </row>
    <row r="16756" spans="1:11">
      <c r="A16756" s="12">
        <v>43735</v>
      </c>
      <c r="B16756">
        <v>2019</v>
      </c>
      <c r="C16756">
        <v>9</v>
      </c>
      <c r="D16756" s="11">
        <v>43709</v>
      </c>
      <c r="E16756" t="s">
        <v>2181</v>
      </c>
      <c r="F16756">
        <v>5</v>
      </c>
      <c r="G16756" t="s">
        <v>55</v>
      </c>
      <c r="H16756" t="s">
        <v>42</v>
      </c>
      <c r="I16756" t="s">
        <v>2190</v>
      </c>
      <c r="J16756" s="10">
        <v>4</v>
      </c>
      <c r="K16756" t="b">
        <v>1</v>
      </c>
    </row>
    <row r="16757" spans="1:11">
      <c r="A16757" s="12">
        <v>43735</v>
      </c>
      <c r="B16757">
        <v>2019</v>
      </c>
      <c r="C16757">
        <v>9</v>
      </c>
      <c r="D16757" s="11">
        <v>43709</v>
      </c>
      <c r="E16757" t="s">
        <v>2181</v>
      </c>
      <c r="F16757">
        <v>5</v>
      </c>
      <c r="G16757" t="s">
        <v>55</v>
      </c>
      <c r="H16757" t="s">
        <v>43</v>
      </c>
      <c r="I16757" t="s">
        <v>2191</v>
      </c>
      <c r="J16757" s="10">
        <v>41.1</v>
      </c>
      <c r="K16757" t="b">
        <v>1</v>
      </c>
    </row>
    <row r="16758" spans="1:11">
      <c r="A16758" s="12">
        <v>43735</v>
      </c>
      <c r="B16758">
        <v>2019</v>
      </c>
      <c r="C16758">
        <v>9</v>
      </c>
      <c r="D16758" s="11">
        <v>43709</v>
      </c>
      <c r="E16758" t="s">
        <v>2181</v>
      </c>
      <c r="F16758">
        <v>5</v>
      </c>
      <c r="G16758" t="s">
        <v>55</v>
      </c>
      <c r="H16758" t="s">
        <v>44</v>
      </c>
      <c r="I16758" t="s">
        <v>2192</v>
      </c>
      <c r="J16758" s="10">
        <v>4</v>
      </c>
      <c r="K16758" t="b">
        <v>1</v>
      </c>
    </row>
    <row r="16759" spans="1:11">
      <c r="A16759" s="12">
        <v>43735</v>
      </c>
      <c r="B16759">
        <v>2019</v>
      </c>
      <c r="C16759">
        <v>9</v>
      </c>
      <c r="D16759" s="11">
        <v>43709</v>
      </c>
      <c r="E16759" t="s">
        <v>2181</v>
      </c>
      <c r="F16759">
        <v>5</v>
      </c>
      <c r="G16759" t="s">
        <v>55</v>
      </c>
      <c r="H16759" t="s">
        <v>45</v>
      </c>
      <c r="I16759" t="s">
        <v>2193</v>
      </c>
      <c r="J16759" s="10">
        <v>0</v>
      </c>
      <c r="K16759" t="b">
        <v>1</v>
      </c>
    </row>
    <row r="16760" spans="1:11">
      <c r="A16760" s="12">
        <v>43735</v>
      </c>
      <c r="B16760">
        <v>2019</v>
      </c>
      <c r="C16760">
        <v>9</v>
      </c>
      <c r="D16760" s="11">
        <v>43709</v>
      </c>
      <c r="E16760" t="s">
        <v>2181</v>
      </c>
      <c r="F16760">
        <v>5</v>
      </c>
      <c r="G16760" t="s">
        <v>55</v>
      </c>
      <c r="H16760" t="s">
        <v>46</v>
      </c>
      <c r="I16760" t="s">
        <v>2194</v>
      </c>
      <c r="J16760" s="10">
        <v>2</v>
      </c>
      <c r="K16760" t="b">
        <v>1</v>
      </c>
    </row>
    <row r="16761" spans="1:11">
      <c r="A16761" s="12">
        <v>43735</v>
      </c>
      <c r="B16761">
        <v>2019</v>
      </c>
      <c r="C16761">
        <v>9</v>
      </c>
      <c r="D16761" s="11">
        <v>43709</v>
      </c>
      <c r="E16761" t="s">
        <v>2181</v>
      </c>
      <c r="F16761">
        <v>5</v>
      </c>
      <c r="G16761" t="s">
        <v>55</v>
      </c>
      <c r="H16761" t="s">
        <v>47</v>
      </c>
      <c r="I16761" t="s">
        <v>2195</v>
      </c>
      <c r="J16761" s="10">
        <v>4</v>
      </c>
      <c r="K16761" t="b">
        <v>1</v>
      </c>
    </row>
    <row r="16762" spans="1:11">
      <c r="A16762" s="12">
        <v>43736</v>
      </c>
      <c r="B16762">
        <v>2019</v>
      </c>
      <c r="C16762">
        <v>9</v>
      </c>
      <c r="D16762" s="11">
        <v>43709</v>
      </c>
      <c r="E16762" t="s">
        <v>2181</v>
      </c>
      <c r="F16762">
        <v>6</v>
      </c>
      <c r="G16762" t="s">
        <v>57</v>
      </c>
      <c r="H16762" t="s">
        <v>40</v>
      </c>
      <c r="I16762" t="s">
        <v>2188</v>
      </c>
      <c r="J16762" s="10">
        <v>7</v>
      </c>
      <c r="K16762" t="b">
        <v>1</v>
      </c>
    </row>
    <row r="16763" spans="1:11">
      <c r="A16763" s="12">
        <v>43736</v>
      </c>
      <c r="B16763">
        <v>2019</v>
      </c>
      <c r="C16763">
        <v>9</v>
      </c>
      <c r="D16763" s="11">
        <v>43709</v>
      </c>
      <c r="E16763" t="s">
        <v>2181</v>
      </c>
      <c r="F16763">
        <v>6</v>
      </c>
      <c r="G16763" t="s">
        <v>57</v>
      </c>
      <c r="H16763" t="s">
        <v>41</v>
      </c>
      <c r="I16763" t="s">
        <v>2189</v>
      </c>
      <c r="J16763" s="10">
        <v>1.68</v>
      </c>
      <c r="K16763" t="b">
        <v>1</v>
      </c>
    </row>
    <row r="16764" spans="1:11">
      <c r="A16764" s="12">
        <v>43736</v>
      </c>
      <c r="B16764">
        <v>2019</v>
      </c>
      <c r="C16764">
        <v>9</v>
      </c>
      <c r="D16764" s="11">
        <v>43709</v>
      </c>
      <c r="E16764" t="s">
        <v>2181</v>
      </c>
      <c r="F16764">
        <v>6</v>
      </c>
      <c r="G16764" t="s">
        <v>57</v>
      </c>
      <c r="H16764" t="s">
        <v>42</v>
      </c>
      <c r="I16764" t="s">
        <v>2190</v>
      </c>
      <c r="J16764" s="10">
        <v>4.1</v>
      </c>
      <c r="K16764" t="b">
        <v>1</v>
      </c>
    </row>
    <row r="16765" spans="1:11">
      <c r="A16765" s="12">
        <v>43736</v>
      </c>
      <c r="B16765">
        <v>2019</v>
      </c>
      <c r="C16765">
        <v>9</v>
      </c>
      <c r="D16765" s="11">
        <v>43709</v>
      </c>
      <c r="E16765" t="s">
        <v>2181</v>
      </c>
      <c r="F16765">
        <v>6</v>
      </c>
      <c r="G16765" t="s">
        <v>57</v>
      </c>
      <c r="H16765" t="s">
        <v>43</v>
      </c>
      <c r="I16765" t="s">
        <v>2191</v>
      </c>
      <c r="J16765" s="10">
        <v>48</v>
      </c>
      <c r="K16765" t="b">
        <v>1</v>
      </c>
    </row>
    <row r="16766" spans="1:11">
      <c r="A16766" s="12">
        <v>43736</v>
      </c>
      <c r="B16766">
        <v>2019</v>
      </c>
      <c r="C16766">
        <v>9</v>
      </c>
      <c r="D16766" s="11">
        <v>43709</v>
      </c>
      <c r="E16766" t="s">
        <v>2181</v>
      </c>
      <c r="F16766">
        <v>6</v>
      </c>
      <c r="G16766" t="s">
        <v>57</v>
      </c>
      <c r="H16766" t="s">
        <v>44</v>
      </c>
      <c r="I16766" t="s">
        <v>2192</v>
      </c>
      <c r="J16766" s="10">
        <v>6.2</v>
      </c>
      <c r="K16766" t="b">
        <v>1</v>
      </c>
    </row>
    <row r="16767" spans="1:11">
      <c r="A16767" s="12">
        <v>43736</v>
      </c>
      <c r="B16767">
        <v>2019</v>
      </c>
      <c r="C16767">
        <v>9</v>
      </c>
      <c r="D16767" s="11">
        <v>43709</v>
      </c>
      <c r="E16767" t="s">
        <v>2181</v>
      </c>
      <c r="F16767">
        <v>6</v>
      </c>
      <c r="G16767" t="s">
        <v>57</v>
      </c>
      <c r="H16767" t="s">
        <v>45</v>
      </c>
      <c r="I16767" t="s">
        <v>2193</v>
      </c>
      <c r="J16767" s="10">
        <v>0</v>
      </c>
      <c r="K16767" t="b">
        <v>1</v>
      </c>
    </row>
    <row r="16768" spans="1:11">
      <c r="A16768" s="12">
        <v>43736</v>
      </c>
      <c r="B16768">
        <v>2019</v>
      </c>
      <c r="C16768">
        <v>9</v>
      </c>
      <c r="D16768" s="11">
        <v>43709</v>
      </c>
      <c r="E16768" t="s">
        <v>2181</v>
      </c>
      <c r="F16768">
        <v>6</v>
      </c>
      <c r="G16768" t="s">
        <v>57</v>
      </c>
      <c r="H16768" t="s">
        <v>46</v>
      </c>
      <c r="I16768" t="s">
        <v>2194</v>
      </c>
      <c r="J16768" s="10">
        <v>1</v>
      </c>
      <c r="K16768" t="b">
        <v>1</v>
      </c>
    </row>
    <row r="16769" spans="1:11">
      <c r="A16769" s="12">
        <v>43736</v>
      </c>
      <c r="B16769">
        <v>2019</v>
      </c>
      <c r="C16769">
        <v>9</v>
      </c>
      <c r="D16769" s="11">
        <v>43709</v>
      </c>
      <c r="E16769" t="s">
        <v>2181</v>
      </c>
      <c r="F16769">
        <v>6</v>
      </c>
      <c r="G16769" t="s">
        <v>57</v>
      </c>
      <c r="H16769" t="s">
        <v>47</v>
      </c>
      <c r="I16769" t="s">
        <v>2195</v>
      </c>
      <c r="J16769" s="10">
        <v>3</v>
      </c>
      <c r="K16769" t="b">
        <v>1</v>
      </c>
    </row>
    <row r="16770" spans="1:11">
      <c r="A16770" s="12">
        <v>43737</v>
      </c>
      <c r="B16770">
        <v>2019</v>
      </c>
      <c r="C16770">
        <v>9</v>
      </c>
      <c r="D16770" s="11">
        <v>43709</v>
      </c>
      <c r="E16770" t="s">
        <v>2181</v>
      </c>
      <c r="F16770">
        <v>7</v>
      </c>
      <c r="G16770" t="s">
        <v>59</v>
      </c>
      <c r="H16770" t="s">
        <v>40</v>
      </c>
      <c r="I16770" t="s">
        <v>2188</v>
      </c>
      <c r="J16770" s="10">
        <v>3.51</v>
      </c>
      <c r="K16770" t="b">
        <v>1</v>
      </c>
    </row>
    <row r="16771" spans="1:11">
      <c r="A16771" s="12">
        <v>43737</v>
      </c>
      <c r="B16771">
        <v>2019</v>
      </c>
      <c r="C16771">
        <v>9</v>
      </c>
      <c r="D16771" s="11">
        <v>43709</v>
      </c>
      <c r="E16771" t="s">
        <v>2181</v>
      </c>
      <c r="F16771">
        <v>7</v>
      </c>
      <c r="G16771" t="s">
        <v>59</v>
      </c>
      <c r="H16771" t="s">
        <v>41</v>
      </c>
      <c r="I16771" t="s">
        <v>2189</v>
      </c>
      <c r="J16771" s="10">
        <v>3.867</v>
      </c>
      <c r="K16771" t="b">
        <v>1</v>
      </c>
    </row>
    <row r="16772" spans="1:11">
      <c r="A16772" s="12">
        <v>43737</v>
      </c>
      <c r="B16772">
        <v>2019</v>
      </c>
      <c r="C16772">
        <v>9</v>
      </c>
      <c r="D16772" s="11">
        <v>43709</v>
      </c>
      <c r="E16772" t="s">
        <v>2181</v>
      </c>
      <c r="F16772">
        <v>7</v>
      </c>
      <c r="G16772" t="s">
        <v>59</v>
      </c>
      <c r="H16772" t="s">
        <v>42</v>
      </c>
      <c r="I16772" t="s">
        <v>2190</v>
      </c>
      <c r="J16772" s="10">
        <v>3</v>
      </c>
      <c r="K16772" t="b">
        <v>1</v>
      </c>
    </row>
    <row r="16773" spans="1:11">
      <c r="A16773" s="12">
        <v>43737</v>
      </c>
      <c r="B16773">
        <v>2019</v>
      </c>
      <c r="C16773">
        <v>9</v>
      </c>
      <c r="D16773" s="11">
        <v>43709</v>
      </c>
      <c r="E16773" t="s">
        <v>2181</v>
      </c>
      <c r="F16773">
        <v>7</v>
      </c>
      <c r="G16773" t="s">
        <v>59</v>
      </c>
      <c r="H16773" t="s">
        <v>43</v>
      </c>
      <c r="I16773" t="s">
        <v>2191</v>
      </c>
      <c r="J16773" s="10">
        <v>67.8</v>
      </c>
      <c r="K16773" t="b">
        <v>1</v>
      </c>
    </row>
    <row r="16774" spans="1:11">
      <c r="A16774" s="12">
        <v>43737</v>
      </c>
      <c r="B16774">
        <v>2019</v>
      </c>
      <c r="C16774">
        <v>9</v>
      </c>
      <c r="D16774" s="11">
        <v>43709</v>
      </c>
      <c r="E16774" t="s">
        <v>2181</v>
      </c>
      <c r="F16774">
        <v>7</v>
      </c>
      <c r="G16774" t="s">
        <v>59</v>
      </c>
      <c r="H16774" t="s">
        <v>44</v>
      </c>
      <c r="I16774" t="s">
        <v>2192</v>
      </c>
      <c r="J16774" s="10">
        <v>6</v>
      </c>
      <c r="K16774" t="b">
        <v>1</v>
      </c>
    </row>
    <row r="16775" spans="1:11">
      <c r="A16775" s="12">
        <v>43737</v>
      </c>
      <c r="B16775">
        <v>2019</v>
      </c>
      <c r="C16775">
        <v>9</v>
      </c>
      <c r="D16775" s="11">
        <v>43709</v>
      </c>
      <c r="E16775" t="s">
        <v>2181</v>
      </c>
      <c r="F16775">
        <v>7</v>
      </c>
      <c r="G16775" t="s">
        <v>59</v>
      </c>
      <c r="H16775" t="s">
        <v>45</v>
      </c>
      <c r="I16775" t="s">
        <v>2193</v>
      </c>
      <c r="J16775" s="10">
        <v>0</v>
      </c>
      <c r="K16775" t="b">
        <v>1</v>
      </c>
    </row>
    <row r="16776" spans="1:11">
      <c r="A16776" s="12">
        <v>43737</v>
      </c>
      <c r="B16776">
        <v>2019</v>
      </c>
      <c r="C16776">
        <v>9</v>
      </c>
      <c r="D16776" s="11">
        <v>43709</v>
      </c>
      <c r="E16776" t="s">
        <v>2181</v>
      </c>
      <c r="F16776">
        <v>7</v>
      </c>
      <c r="G16776" t="s">
        <v>59</v>
      </c>
      <c r="H16776" t="s">
        <v>46</v>
      </c>
      <c r="I16776" t="s">
        <v>2194</v>
      </c>
      <c r="J16776" s="10">
        <v>3</v>
      </c>
      <c r="K16776" t="b">
        <v>1</v>
      </c>
    </row>
    <row r="16777" spans="1:11">
      <c r="A16777" s="12">
        <v>43737</v>
      </c>
      <c r="B16777">
        <v>2019</v>
      </c>
      <c r="C16777">
        <v>9</v>
      </c>
      <c r="D16777" s="11">
        <v>43709</v>
      </c>
      <c r="E16777" t="s">
        <v>2181</v>
      </c>
      <c r="F16777">
        <v>7</v>
      </c>
      <c r="G16777" t="s">
        <v>59</v>
      </c>
      <c r="H16777" t="s">
        <v>47</v>
      </c>
      <c r="I16777" t="s">
        <v>2195</v>
      </c>
      <c r="J16777" s="10">
        <v>2.1</v>
      </c>
      <c r="K16777" t="b">
        <v>1</v>
      </c>
    </row>
    <row r="16778" spans="1:11">
      <c r="A16778" s="12">
        <v>43738</v>
      </c>
      <c r="B16778">
        <v>2019</v>
      </c>
      <c r="C16778">
        <v>9</v>
      </c>
      <c r="D16778" s="11">
        <v>43709</v>
      </c>
      <c r="E16778" t="s">
        <v>2181</v>
      </c>
      <c r="F16778">
        <v>1</v>
      </c>
      <c r="G16778" t="s">
        <v>61</v>
      </c>
      <c r="H16778" t="s">
        <v>40</v>
      </c>
      <c r="I16778" t="s">
        <v>2188</v>
      </c>
      <c r="J16778" s="10">
        <v>2</v>
      </c>
      <c r="K16778" t="b">
        <v>1</v>
      </c>
    </row>
    <row r="16779" spans="1:11">
      <c r="A16779" s="12">
        <v>43738</v>
      </c>
      <c r="B16779">
        <v>2019</v>
      </c>
      <c r="C16779">
        <v>9</v>
      </c>
      <c r="D16779" s="11">
        <v>43709</v>
      </c>
      <c r="E16779" t="s">
        <v>2181</v>
      </c>
      <c r="F16779">
        <v>1</v>
      </c>
      <c r="G16779" t="s">
        <v>61</v>
      </c>
      <c r="H16779" t="s">
        <v>41</v>
      </c>
      <c r="I16779" t="s">
        <v>2189</v>
      </c>
      <c r="J16779" s="10">
        <v>1.439</v>
      </c>
      <c r="K16779" t="b">
        <v>1</v>
      </c>
    </row>
    <row r="16780" spans="1:11">
      <c r="A16780" s="12">
        <v>43738</v>
      </c>
      <c r="B16780">
        <v>2019</v>
      </c>
      <c r="C16780">
        <v>9</v>
      </c>
      <c r="D16780" s="11">
        <v>43709</v>
      </c>
      <c r="E16780" t="s">
        <v>2181</v>
      </c>
      <c r="F16780">
        <v>1</v>
      </c>
      <c r="G16780" t="s">
        <v>61</v>
      </c>
      <c r="H16780" t="s">
        <v>42</v>
      </c>
      <c r="I16780" t="s">
        <v>2190</v>
      </c>
      <c r="J16780" s="10">
        <v>2.1</v>
      </c>
      <c r="K16780" t="b">
        <v>1</v>
      </c>
    </row>
    <row r="16781" spans="1:11">
      <c r="A16781" s="12">
        <v>43738</v>
      </c>
      <c r="B16781">
        <v>2019</v>
      </c>
      <c r="C16781">
        <v>9</v>
      </c>
      <c r="D16781" s="11">
        <v>43709</v>
      </c>
      <c r="E16781" t="s">
        <v>2181</v>
      </c>
      <c r="F16781">
        <v>1</v>
      </c>
      <c r="G16781" t="s">
        <v>61</v>
      </c>
      <c r="H16781" t="s">
        <v>43</v>
      </c>
      <c r="I16781" t="s">
        <v>2191</v>
      </c>
      <c r="J16781" s="10">
        <v>49.4</v>
      </c>
      <c r="K16781" t="b">
        <v>1</v>
      </c>
    </row>
    <row r="16782" spans="1:11">
      <c r="A16782" s="12">
        <v>43738</v>
      </c>
      <c r="B16782">
        <v>2019</v>
      </c>
      <c r="C16782">
        <v>9</v>
      </c>
      <c r="D16782" s="11">
        <v>43709</v>
      </c>
      <c r="E16782" t="s">
        <v>2181</v>
      </c>
      <c r="F16782">
        <v>1</v>
      </c>
      <c r="G16782" t="s">
        <v>61</v>
      </c>
      <c r="H16782" t="s">
        <v>44</v>
      </c>
      <c r="I16782" t="s">
        <v>2192</v>
      </c>
      <c r="J16782" s="10">
        <v>9</v>
      </c>
      <c r="K16782" t="b">
        <v>1</v>
      </c>
    </row>
    <row r="16783" spans="1:11">
      <c r="A16783" s="12">
        <v>43738</v>
      </c>
      <c r="B16783">
        <v>2019</v>
      </c>
      <c r="C16783">
        <v>9</v>
      </c>
      <c r="D16783" s="11">
        <v>43709</v>
      </c>
      <c r="E16783" t="s">
        <v>2181</v>
      </c>
      <c r="F16783">
        <v>1</v>
      </c>
      <c r="G16783" t="s">
        <v>61</v>
      </c>
      <c r="H16783" t="s">
        <v>45</v>
      </c>
      <c r="I16783" t="s">
        <v>2193</v>
      </c>
      <c r="J16783" s="10">
        <v>0</v>
      </c>
      <c r="K16783" t="b">
        <v>1</v>
      </c>
    </row>
    <row r="16784" spans="1:11">
      <c r="A16784" s="12">
        <v>43738</v>
      </c>
      <c r="B16784">
        <v>2019</v>
      </c>
      <c r="C16784">
        <v>9</v>
      </c>
      <c r="D16784" s="11">
        <v>43709</v>
      </c>
      <c r="E16784" t="s">
        <v>2181</v>
      </c>
      <c r="F16784">
        <v>1</v>
      </c>
      <c r="G16784" t="s">
        <v>61</v>
      </c>
      <c r="H16784" t="s">
        <v>46</v>
      </c>
      <c r="I16784" t="s">
        <v>2194</v>
      </c>
      <c r="J16784" s="10">
        <v>5</v>
      </c>
      <c r="K16784" t="b">
        <v>1</v>
      </c>
    </row>
    <row r="16785" spans="1:11">
      <c r="A16785" s="12">
        <v>43738</v>
      </c>
      <c r="B16785">
        <v>2019</v>
      </c>
      <c r="C16785">
        <v>9</v>
      </c>
      <c r="D16785" s="11">
        <v>43709</v>
      </c>
      <c r="E16785" t="s">
        <v>2181</v>
      </c>
      <c r="F16785">
        <v>1</v>
      </c>
      <c r="G16785" t="s">
        <v>61</v>
      </c>
      <c r="H16785" t="s">
        <v>47</v>
      </c>
      <c r="I16785" t="s">
        <v>2195</v>
      </c>
      <c r="J16785" s="10">
        <v>2</v>
      </c>
      <c r="K16785" t="b">
        <v>1</v>
      </c>
    </row>
    <row r="16786" spans="1:11">
      <c r="A16786" s="12">
        <v>43739</v>
      </c>
      <c r="B16786">
        <v>2019</v>
      </c>
      <c r="C16786">
        <v>10</v>
      </c>
      <c r="D16786" s="11">
        <v>43739</v>
      </c>
      <c r="E16786" t="s">
        <v>2182</v>
      </c>
      <c r="F16786">
        <v>2</v>
      </c>
      <c r="G16786" t="s">
        <v>63</v>
      </c>
      <c r="H16786" t="s">
        <v>40</v>
      </c>
      <c r="I16786" t="s">
        <v>2188</v>
      </c>
      <c r="J16786" s="10">
        <v>11.34</v>
      </c>
      <c r="K16786" t="b">
        <v>0</v>
      </c>
    </row>
    <row r="16787" spans="1:11">
      <c r="A16787" s="12">
        <v>43739</v>
      </c>
      <c r="B16787">
        <v>2019</v>
      </c>
      <c r="C16787">
        <v>10</v>
      </c>
      <c r="D16787" s="11">
        <v>43739</v>
      </c>
      <c r="E16787" t="s">
        <v>2182</v>
      </c>
      <c r="F16787">
        <v>2</v>
      </c>
      <c r="G16787" t="s">
        <v>63</v>
      </c>
      <c r="H16787" t="s">
        <v>41</v>
      </c>
      <c r="I16787" t="s">
        <v>2189</v>
      </c>
      <c r="J16787" s="10">
        <v>2.406</v>
      </c>
      <c r="K16787" t="b">
        <v>0</v>
      </c>
    </row>
    <row r="16788" spans="1:11">
      <c r="A16788" s="12">
        <v>43739</v>
      </c>
      <c r="B16788">
        <v>2019</v>
      </c>
      <c r="C16788">
        <v>10</v>
      </c>
      <c r="D16788" s="11">
        <v>43739</v>
      </c>
      <c r="E16788" t="s">
        <v>2182</v>
      </c>
      <c r="F16788">
        <v>2</v>
      </c>
      <c r="G16788" t="s">
        <v>63</v>
      </c>
      <c r="H16788" t="s">
        <v>42</v>
      </c>
      <c r="I16788" t="s">
        <v>2190</v>
      </c>
      <c r="J16788" s="10">
        <v>0.1</v>
      </c>
      <c r="K16788" t="b">
        <v>0</v>
      </c>
    </row>
    <row r="16789" spans="1:11">
      <c r="A16789" s="12">
        <v>43739</v>
      </c>
      <c r="B16789">
        <v>2019</v>
      </c>
      <c r="C16789">
        <v>10</v>
      </c>
      <c r="D16789" s="11">
        <v>43739</v>
      </c>
      <c r="E16789" t="s">
        <v>2182</v>
      </c>
      <c r="F16789">
        <v>2</v>
      </c>
      <c r="G16789" t="s">
        <v>63</v>
      </c>
      <c r="H16789" t="s">
        <v>43</v>
      </c>
      <c r="I16789" t="s">
        <v>2191</v>
      </c>
      <c r="J16789" s="10">
        <v>47</v>
      </c>
      <c r="K16789" t="b">
        <v>0</v>
      </c>
    </row>
    <row r="16790" spans="1:11">
      <c r="A16790" s="12">
        <v>43739</v>
      </c>
      <c r="B16790">
        <v>2019</v>
      </c>
      <c r="C16790">
        <v>10</v>
      </c>
      <c r="D16790" s="11">
        <v>43739</v>
      </c>
      <c r="E16790" t="s">
        <v>2182</v>
      </c>
      <c r="F16790">
        <v>2</v>
      </c>
      <c r="G16790" t="s">
        <v>63</v>
      </c>
      <c r="H16790" t="s">
        <v>44</v>
      </c>
      <c r="I16790" t="s">
        <v>2192</v>
      </c>
      <c r="J16790" s="10">
        <v>15</v>
      </c>
      <c r="K16790" t="b">
        <v>0</v>
      </c>
    </row>
    <row r="16791" spans="1:11">
      <c r="A16791" s="12">
        <v>43739</v>
      </c>
      <c r="B16791">
        <v>2019</v>
      </c>
      <c r="C16791">
        <v>10</v>
      </c>
      <c r="D16791" s="11">
        <v>43739</v>
      </c>
      <c r="E16791" t="s">
        <v>2182</v>
      </c>
      <c r="F16791">
        <v>2</v>
      </c>
      <c r="G16791" t="s">
        <v>63</v>
      </c>
      <c r="H16791" t="s">
        <v>45</v>
      </c>
      <c r="I16791" t="s">
        <v>2193</v>
      </c>
      <c r="J16791" s="10">
        <v>4</v>
      </c>
      <c r="K16791" t="b">
        <v>0</v>
      </c>
    </row>
    <row r="16792" spans="1:11">
      <c r="A16792" s="12">
        <v>43739</v>
      </c>
      <c r="B16792">
        <v>2019</v>
      </c>
      <c r="C16792">
        <v>10</v>
      </c>
      <c r="D16792" s="11">
        <v>43739</v>
      </c>
      <c r="E16792" t="s">
        <v>2182</v>
      </c>
      <c r="F16792">
        <v>2</v>
      </c>
      <c r="G16792" t="s">
        <v>63</v>
      </c>
      <c r="H16792" t="s">
        <v>46</v>
      </c>
      <c r="I16792" t="s">
        <v>2194</v>
      </c>
      <c r="J16792" s="10">
        <v>17</v>
      </c>
      <c r="K16792" t="b">
        <v>0</v>
      </c>
    </row>
    <row r="16793" spans="1:11">
      <c r="A16793" s="12">
        <v>43739</v>
      </c>
      <c r="B16793">
        <v>2019</v>
      </c>
      <c r="C16793">
        <v>10</v>
      </c>
      <c r="D16793" s="11">
        <v>43739</v>
      </c>
      <c r="E16793" t="s">
        <v>2182</v>
      </c>
      <c r="F16793">
        <v>2</v>
      </c>
      <c r="G16793" t="s">
        <v>63</v>
      </c>
      <c r="H16793" t="s">
        <v>47</v>
      </c>
      <c r="I16793" t="s">
        <v>2195</v>
      </c>
      <c r="J16793" s="10">
        <v>1.5</v>
      </c>
      <c r="K16793" t="b">
        <v>0</v>
      </c>
    </row>
    <row r="16794" spans="1:11">
      <c r="A16794" s="12">
        <v>43740</v>
      </c>
      <c r="B16794">
        <v>2019</v>
      </c>
      <c r="C16794">
        <v>10</v>
      </c>
      <c r="D16794" s="11">
        <v>43739</v>
      </c>
      <c r="E16794" t="s">
        <v>2182</v>
      </c>
      <c r="F16794">
        <v>3</v>
      </c>
      <c r="G16794" t="s">
        <v>65</v>
      </c>
      <c r="H16794" t="s">
        <v>40</v>
      </c>
      <c r="I16794" t="s">
        <v>2188</v>
      </c>
      <c r="J16794" s="10">
        <v>5.18</v>
      </c>
      <c r="K16794" t="b">
        <v>0</v>
      </c>
    </row>
    <row r="16795" spans="1:11">
      <c r="A16795" s="12">
        <v>43740</v>
      </c>
      <c r="B16795">
        <v>2019</v>
      </c>
      <c r="C16795">
        <v>10</v>
      </c>
      <c r="D16795" s="11">
        <v>43739</v>
      </c>
      <c r="E16795" t="s">
        <v>2182</v>
      </c>
      <c r="F16795">
        <v>3</v>
      </c>
      <c r="G16795" t="s">
        <v>65</v>
      </c>
      <c r="H16795" t="s">
        <v>41</v>
      </c>
      <c r="I16795" t="s">
        <v>2189</v>
      </c>
      <c r="J16795" s="10">
        <v>3.274</v>
      </c>
      <c r="K16795" t="b">
        <v>0</v>
      </c>
    </row>
    <row r="16796" spans="1:11">
      <c r="A16796" s="12">
        <v>43740</v>
      </c>
      <c r="B16796">
        <v>2019</v>
      </c>
      <c r="C16796">
        <v>10</v>
      </c>
      <c r="D16796" s="11">
        <v>43739</v>
      </c>
      <c r="E16796" t="s">
        <v>2182</v>
      </c>
      <c r="F16796">
        <v>3</v>
      </c>
      <c r="G16796" t="s">
        <v>65</v>
      </c>
      <c r="H16796" t="s">
        <v>42</v>
      </c>
      <c r="I16796" t="s">
        <v>2190</v>
      </c>
      <c r="J16796" s="10">
        <v>2.8</v>
      </c>
      <c r="K16796" t="b">
        <v>0</v>
      </c>
    </row>
    <row r="16797" spans="1:11">
      <c r="A16797" s="12">
        <v>43740</v>
      </c>
      <c r="B16797">
        <v>2019</v>
      </c>
      <c r="C16797">
        <v>10</v>
      </c>
      <c r="D16797" s="11">
        <v>43739</v>
      </c>
      <c r="E16797" t="s">
        <v>2182</v>
      </c>
      <c r="F16797">
        <v>3</v>
      </c>
      <c r="G16797" t="s">
        <v>65</v>
      </c>
      <c r="H16797" t="s">
        <v>43</v>
      </c>
      <c r="I16797" t="s">
        <v>2191</v>
      </c>
      <c r="J16797" s="10">
        <v>30.2</v>
      </c>
      <c r="K16797" t="b">
        <v>0</v>
      </c>
    </row>
    <row r="16798" spans="1:11">
      <c r="A16798" s="12">
        <v>43740</v>
      </c>
      <c r="B16798">
        <v>2019</v>
      </c>
      <c r="C16798">
        <v>10</v>
      </c>
      <c r="D16798" s="11">
        <v>43739</v>
      </c>
      <c r="E16798" t="s">
        <v>2182</v>
      </c>
      <c r="F16798">
        <v>3</v>
      </c>
      <c r="G16798" t="s">
        <v>65</v>
      </c>
      <c r="H16798" t="s">
        <v>44</v>
      </c>
      <c r="I16798" t="s">
        <v>2192</v>
      </c>
      <c r="J16798" s="10">
        <v>9</v>
      </c>
      <c r="K16798" t="b">
        <v>0</v>
      </c>
    </row>
    <row r="16799" spans="1:11">
      <c r="A16799" s="12">
        <v>43740</v>
      </c>
      <c r="B16799">
        <v>2019</v>
      </c>
      <c r="C16799">
        <v>10</v>
      </c>
      <c r="D16799" s="11">
        <v>43739</v>
      </c>
      <c r="E16799" t="s">
        <v>2182</v>
      </c>
      <c r="F16799">
        <v>3</v>
      </c>
      <c r="G16799" t="s">
        <v>65</v>
      </c>
      <c r="H16799" t="s">
        <v>45</v>
      </c>
      <c r="I16799" t="s">
        <v>2193</v>
      </c>
      <c r="J16799" s="10">
        <v>1</v>
      </c>
      <c r="K16799" t="b">
        <v>0</v>
      </c>
    </row>
    <row r="16800" spans="1:11">
      <c r="A16800" s="12">
        <v>43740</v>
      </c>
      <c r="B16800">
        <v>2019</v>
      </c>
      <c r="C16800">
        <v>10</v>
      </c>
      <c r="D16800" s="11">
        <v>43739</v>
      </c>
      <c r="E16800" t="s">
        <v>2182</v>
      </c>
      <c r="F16800">
        <v>3</v>
      </c>
      <c r="G16800" t="s">
        <v>65</v>
      </c>
      <c r="H16800" t="s">
        <v>46</v>
      </c>
      <c r="I16800" t="s">
        <v>2194</v>
      </c>
      <c r="J16800" s="10">
        <v>0</v>
      </c>
      <c r="K16800" t="b">
        <v>0</v>
      </c>
    </row>
    <row r="16801" spans="1:11">
      <c r="A16801" s="12">
        <v>43740</v>
      </c>
      <c r="B16801">
        <v>2019</v>
      </c>
      <c r="C16801">
        <v>10</v>
      </c>
      <c r="D16801" s="11">
        <v>43739</v>
      </c>
      <c r="E16801" t="s">
        <v>2182</v>
      </c>
      <c r="F16801">
        <v>3</v>
      </c>
      <c r="G16801" t="s">
        <v>65</v>
      </c>
      <c r="H16801" t="s">
        <v>47</v>
      </c>
      <c r="I16801" t="s">
        <v>2195</v>
      </c>
      <c r="J16801" s="10">
        <v>1.1</v>
      </c>
      <c r="K16801" t="b">
        <v>0</v>
      </c>
    </row>
    <row r="16802" spans="1:11">
      <c r="A16802" s="12">
        <v>43741</v>
      </c>
      <c r="B16802">
        <v>2019</v>
      </c>
      <c r="C16802">
        <v>10</v>
      </c>
      <c r="D16802" s="11">
        <v>43739</v>
      </c>
      <c r="E16802" t="s">
        <v>2182</v>
      </c>
      <c r="F16802">
        <v>4</v>
      </c>
      <c r="G16802" t="s">
        <v>53</v>
      </c>
      <c r="H16802" t="s">
        <v>40</v>
      </c>
      <c r="I16802" t="s">
        <v>2188</v>
      </c>
      <c r="J16802" s="10">
        <v>5</v>
      </c>
      <c r="K16802" t="b">
        <v>0</v>
      </c>
    </row>
    <row r="16803" spans="1:11">
      <c r="A16803" s="12">
        <v>43741</v>
      </c>
      <c r="B16803">
        <v>2019</v>
      </c>
      <c r="C16803">
        <v>10</v>
      </c>
      <c r="D16803" s="11">
        <v>43739</v>
      </c>
      <c r="E16803" t="s">
        <v>2182</v>
      </c>
      <c r="F16803">
        <v>4</v>
      </c>
      <c r="G16803" t="s">
        <v>53</v>
      </c>
      <c r="H16803" t="s">
        <v>41</v>
      </c>
      <c r="I16803" t="s">
        <v>2189</v>
      </c>
      <c r="J16803" s="10">
        <v>3</v>
      </c>
      <c r="K16803" t="b">
        <v>0</v>
      </c>
    </row>
    <row r="16804" spans="1:11">
      <c r="A16804" s="12">
        <v>43741</v>
      </c>
      <c r="B16804">
        <v>2019</v>
      </c>
      <c r="C16804">
        <v>10</v>
      </c>
      <c r="D16804" s="11">
        <v>43739</v>
      </c>
      <c r="E16804" t="s">
        <v>2182</v>
      </c>
      <c r="F16804">
        <v>4</v>
      </c>
      <c r="G16804" t="s">
        <v>53</v>
      </c>
      <c r="H16804" t="s">
        <v>42</v>
      </c>
      <c r="I16804" t="s">
        <v>2190</v>
      </c>
      <c r="J16804" s="10">
        <v>4</v>
      </c>
      <c r="K16804" t="b">
        <v>0</v>
      </c>
    </row>
    <row r="16805" spans="1:11">
      <c r="A16805" s="12">
        <v>43741</v>
      </c>
      <c r="B16805">
        <v>2019</v>
      </c>
      <c r="C16805">
        <v>10</v>
      </c>
      <c r="D16805" s="11">
        <v>43739</v>
      </c>
      <c r="E16805" t="s">
        <v>2182</v>
      </c>
      <c r="F16805">
        <v>4</v>
      </c>
      <c r="G16805" t="s">
        <v>53</v>
      </c>
      <c r="H16805" t="s">
        <v>43</v>
      </c>
      <c r="I16805" t="s">
        <v>2191</v>
      </c>
      <c r="J16805" s="10">
        <v>40.4</v>
      </c>
      <c r="K16805" t="b">
        <v>0</v>
      </c>
    </row>
    <row r="16806" spans="1:11">
      <c r="A16806" s="12">
        <v>43741</v>
      </c>
      <c r="B16806">
        <v>2019</v>
      </c>
      <c r="C16806">
        <v>10</v>
      </c>
      <c r="D16806" s="11">
        <v>43739</v>
      </c>
      <c r="E16806" t="s">
        <v>2182</v>
      </c>
      <c r="F16806">
        <v>4</v>
      </c>
      <c r="G16806" t="s">
        <v>53</v>
      </c>
      <c r="H16806" t="s">
        <v>44</v>
      </c>
      <c r="I16806" t="s">
        <v>2192</v>
      </c>
      <c r="J16806" s="10">
        <v>10</v>
      </c>
      <c r="K16806" t="b">
        <v>0</v>
      </c>
    </row>
    <row r="16807" spans="1:11">
      <c r="A16807" s="12">
        <v>43741</v>
      </c>
      <c r="B16807">
        <v>2019</v>
      </c>
      <c r="C16807">
        <v>10</v>
      </c>
      <c r="D16807" s="11">
        <v>43739</v>
      </c>
      <c r="E16807" t="s">
        <v>2182</v>
      </c>
      <c r="F16807">
        <v>4</v>
      </c>
      <c r="G16807" t="s">
        <v>53</v>
      </c>
      <c r="H16807" t="s">
        <v>45</v>
      </c>
      <c r="I16807" t="s">
        <v>2193</v>
      </c>
      <c r="J16807" s="10">
        <v>0</v>
      </c>
      <c r="K16807" t="b">
        <v>0</v>
      </c>
    </row>
    <row r="16808" spans="1:11">
      <c r="A16808" s="12">
        <v>43741</v>
      </c>
      <c r="B16808">
        <v>2019</v>
      </c>
      <c r="C16808">
        <v>10</v>
      </c>
      <c r="D16808" s="11">
        <v>43739</v>
      </c>
      <c r="E16808" t="s">
        <v>2182</v>
      </c>
      <c r="F16808">
        <v>4</v>
      </c>
      <c r="G16808" t="s">
        <v>53</v>
      </c>
      <c r="H16808" t="s">
        <v>46</v>
      </c>
      <c r="I16808" t="s">
        <v>2194</v>
      </c>
      <c r="J16808" s="10">
        <v>2</v>
      </c>
      <c r="K16808" t="b">
        <v>0</v>
      </c>
    </row>
    <row r="16809" spans="1:11">
      <c r="A16809" s="12">
        <v>43741</v>
      </c>
      <c r="B16809">
        <v>2019</v>
      </c>
      <c r="C16809">
        <v>10</v>
      </c>
      <c r="D16809" s="11">
        <v>43739</v>
      </c>
      <c r="E16809" t="s">
        <v>2182</v>
      </c>
      <c r="F16809">
        <v>4</v>
      </c>
      <c r="G16809" t="s">
        <v>53</v>
      </c>
      <c r="H16809" t="s">
        <v>47</v>
      </c>
      <c r="I16809" t="s">
        <v>2195</v>
      </c>
      <c r="J16809" s="10">
        <v>2</v>
      </c>
      <c r="K16809" t="b">
        <v>0</v>
      </c>
    </row>
    <row r="16810" spans="1:11">
      <c r="A16810" s="12">
        <v>43742</v>
      </c>
      <c r="B16810">
        <v>2019</v>
      </c>
      <c r="C16810">
        <v>10</v>
      </c>
      <c r="D16810" s="11">
        <v>43739</v>
      </c>
      <c r="E16810" t="s">
        <v>2182</v>
      </c>
      <c r="F16810">
        <v>5</v>
      </c>
      <c r="G16810" t="s">
        <v>55</v>
      </c>
      <c r="H16810" t="s">
        <v>40</v>
      </c>
      <c r="I16810" t="s">
        <v>2188</v>
      </c>
      <c r="J16810" s="10">
        <v>7.34</v>
      </c>
      <c r="K16810" t="b">
        <v>0</v>
      </c>
    </row>
    <row r="16811" spans="1:11">
      <c r="A16811" s="12">
        <v>43742</v>
      </c>
      <c r="B16811">
        <v>2019</v>
      </c>
      <c r="C16811">
        <v>10</v>
      </c>
      <c r="D16811" s="11">
        <v>43739</v>
      </c>
      <c r="E16811" t="s">
        <v>2182</v>
      </c>
      <c r="F16811">
        <v>5</v>
      </c>
      <c r="G16811" t="s">
        <v>55</v>
      </c>
      <c r="H16811" t="s">
        <v>41</v>
      </c>
      <c r="I16811" t="s">
        <v>2189</v>
      </c>
      <c r="J16811" s="10">
        <v>5.683</v>
      </c>
      <c r="K16811" t="b">
        <v>0</v>
      </c>
    </row>
    <row r="16812" spans="1:11">
      <c r="A16812" s="12">
        <v>43742</v>
      </c>
      <c r="B16812">
        <v>2019</v>
      </c>
      <c r="C16812">
        <v>10</v>
      </c>
      <c r="D16812" s="11">
        <v>43739</v>
      </c>
      <c r="E16812" t="s">
        <v>2182</v>
      </c>
      <c r="F16812">
        <v>5</v>
      </c>
      <c r="G16812" t="s">
        <v>55</v>
      </c>
      <c r="H16812" t="s">
        <v>42</v>
      </c>
      <c r="I16812" t="s">
        <v>2190</v>
      </c>
      <c r="J16812" s="10">
        <v>2.25</v>
      </c>
      <c r="K16812" t="b">
        <v>0</v>
      </c>
    </row>
    <row r="16813" spans="1:11">
      <c r="A16813" s="12">
        <v>43742</v>
      </c>
      <c r="B16813">
        <v>2019</v>
      </c>
      <c r="C16813">
        <v>10</v>
      </c>
      <c r="D16813" s="11">
        <v>43739</v>
      </c>
      <c r="E16813" t="s">
        <v>2182</v>
      </c>
      <c r="F16813">
        <v>5</v>
      </c>
      <c r="G16813" t="s">
        <v>55</v>
      </c>
      <c r="H16813" t="s">
        <v>43</v>
      </c>
      <c r="I16813" t="s">
        <v>2191</v>
      </c>
      <c r="J16813" s="10">
        <v>22.45</v>
      </c>
      <c r="K16813" t="b">
        <v>0</v>
      </c>
    </row>
    <row r="16814" spans="1:11">
      <c r="A16814" s="12">
        <v>43742</v>
      </c>
      <c r="B16814">
        <v>2019</v>
      </c>
      <c r="C16814">
        <v>10</v>
      </c>
      <c r="D16814" s="11">
        <v>43739</v>
      </c>
      <c r="E16814" t="s">
        <v>2182</v>
      </c>
      <c r="F16814">
        <v>5</v>
      </c>
      <c r="G16814" t="s">
        <v>55</v>
      </c>
      <c r="H16814" t="s">
        <v>44</v>
      </c>
      <c r="I16814" t="s">
        <v>2192</v>
      </c>
      <c r="J16814" s="10">
        <v>13</v>
      </c>
      <c r="K16814" t="b">
        <v>0</v>
      </c>
    </row>
    <row r="16815" spans="1:11">
      <c r="A16815" s="12">
        <v>43742</v>
      </c>
      <c r="B16815">
        <v>2019</v>
      </c>
      <c r="C16815">
        <v>10</v>
      </c>
      <c r="D16815" s="11">
        <v>43739</v>
      </c>
      <c r="E16815" t="s">
        <v>2182</v>
      </c>
      <c r="F16815">
        <v>5</v>
      </c>
      <c r="G16815" t="s">
        <v>55</v>
      </c>
      <c r="H16815" t="s">
        <v>45</v>
      </c>
      <c r="I16815" t="s">
        <v>2193</v>
      </c>
      <c r="J16815" s="10">
        <v>0</v>
      </c>
      <c r="K16815" t="b">
        <v>0</v>
      </c>
    </row>
    <row r="16816" spans="1:11">
      <c r="A16816" s="12">
        <v>43742</v>
      </c>
      <c r="B16816">
        <v>2019</v>
      </c>
      <c r="C16816">
        <v>10</v>
      </c>
      <c r="D16816" s="11">
        <v>43739</v>
      </c>
      <c r="E16816" t="s">
        <v>2182</v>
      </c>
      <c r="F16816">
        <v>5</v>
      </c>
      <c r="G16816" t="s">
        <v>55</v>
      </c>
      <c r="H16816" t="s">
        <v>46</v>
      </c>
      <c r="I16816" t="s">
        <v>2194</v>
      </c>
      <c r="J16816" s="10">
        <v>1</v>
      </c>
      <c r="K16816" t="b">
        <v>0</v>
      </c>
    </row>
    <row r="16817" spans="1:11">
      <c r="A16817" s="12">
        <v>43742</v>
      </c>
      <c r="B16817">
        <v>2019</v>
      </c>
      <c r="C16817">
        <v>10</v>
      </c>
      <c r="D16817" s="11">
        <v>43739</v>
      </c>
      <c r="E16817" t="s">
        <v>2182</v>
      </c>
      <c r="F16817">
        <v>5</v>
      </c>
      <c r="G16817" t="s">
        <v>55</v>
      </c>
      <c r="H16817" t="s">
        <v>47</v>
      </c>
      <c r="I16817" t="s">
        <v>2195</v>
      </c>
      <c r="J16817" s="10">
        <v>1</v>
      </c>
      <c r="K16817" t="b">
        <v>0</v>
      </c>
    </row>
    <row r="16818" spans="1:11">
      <c r="A16818" s="12">
        <v>43743</v>
      </c>
      <c r="B16818">
        <v>2019</v>
      </c>
      <c r="C16818">
        <v>10</v>
      </c>
      <c r="D16818" s="11">
        <v>43739</v>
      </c>
      <c r="E16818" t="s">
        <v>2182</v>
      </c>
      <c r="F16818">
        <v>6</v>
      </c>
      <c r="G16818" t="s">
        <v>57</v>
      </c>
      <c r="H16818" t="s">
        <v>40</v>
      </c>
      <c r="I16818" t="s">
        <v>2188</v>
      </c>
      <c r="J16818" s="10">
        <v>3.84</v>
      </c>
      <c r="K16818" t="b">
        <v>0</v>
      </c>
    </row>
    <row r="16819" spans="1:11">
      <c r="A16819" s="12">
        <v>43743</v>
      </c>
      <c r="B16819">
        <v>2019</v>
      </c>
      <c r="C16819">
        <v>10</v>
      </c>
      <c r="D16819" s="11">
        <v>43739</v>
      </c>
      <c r="E16819" t="s">
        <v>2182</v>
      </c>
      <c r="F16819">
        <v>6</v>
      </c>
      <c r="G16819" t="s">
        <v>57</v>
      </c>
      <c r="H16819" t="s">
        <v>41</v>
      </c>
      <c r="I16819" t="s">
        <v>2189</v>
      </c>
      <c r="J16819" s="10">
        <v>5.01</v>
      </c>
      <c r="K16819" t="b">
        <v>0</v>
      </c>
    </row>
    <row r="16820" spans="1:11">
      <c r="A16820" s="12">
        <v>43743</v>
      </c>
      <c r="B16820">
        <v>2019</v>
      </c>
      <c r="C16820">
        <v>10</v>
      </c>
      <c r="D16820" s="11">
        <v>43739</v>
      </c>
      <c r="E16820" t="s">
        <v>2182</v>
      </c>
      <c r="F16820">
        <v>6</v>
      </c>
      <c r="G16820" t="s">
        <v>57</v>
      </c>
      <c r="H16820" t="s">
        <v>42</v>
      </c>
      <c r="I16820" t="s">
        <v>2190</v>
      </c>
      <c r="J16820" s="10">
        <v>6</v>
      </c>
      <c r="K16820" t="b">
        <v>0</v>
      </c>
    </row>
    <row r="16821" spans="1:11">
      <c r="A16821" s="12">
        <v>43743</v>
      </c>
      <c r="B16821">
        <v>2019</v>
      </c>
      <c r="C16821">
        <v>10</v>
      </c>
      <c r="D16821" s="11">
        <v>43739</v>
      </c>
      <c r="E16821" t="s">
        <v>2182</v>
      </c>
      <c r="F16821">
        <v>6</v>
      </c>
      <c r="G16821" t="s">
        <v>57</v>
      </c>
      <c r="H16821" t="s">
        <v>43</v>
      </c>
      <c r="I16821" t="s">
        <v>2191</v>
      </c>
      <c r="J16821" s="10">
        <v>25.4</v>
      </c>
      <c r="K16821" t="b">
        <v>0</v>
      </c>
    </row>
    <row r="16822" spans="1:11">
      <c r="A16822" s="12">
        <v>43743</v>
      </c>
      <c r="B16822">
        <v>2019</v>
      </c>
      <c r="C16822">
        <v>10</v>
      </c>
      <c r="D16822" s="11">
        <v>43739</v>
      </c>
      <c r="E16822" t="s">
        <v>2182</v>
      </c>
      <c r="F16822">
        <v>6</v>
      </c>
      <c r="G16822" t="s">
        <v>57</v>
      </c>
      <c r="H16822" t="s">
        <v>44</v>
      </c>
      <c r="I16822" t="s">
        <v>2192</v>
      </c>
      <c r="J16822" s="10">
        <v>7</v>
      </c>
      <c r="K16822" t="b">
        <v>0</v>
      </c>
    </row>
    <row r="16823" spans="1:11">
      <c r="A16823" s="12">
        <v>43743</v>
      </c>
      <c r="B16823">
        <v>2019</v>
      </c>
      <c r="C16823">
        <v>10</v>
      </c>
      <c r="D16823" s="11">
        <v>43739</v>
      </c>
      <c r="E16823" t="s">
        <v>2182</v>
      </c>
      <c r="F16823">
        <v>6</v>
      </c>
      <c r="G16823" t="s">
        <v>57</v>
      </c>
      <c r="H16823" t="s">
        <v>45</v>
      </c>
      <c r="I16823" t="s">
        <v>2193</v>
      </c>
      <c r="J16823" s="10">
        <v>0</v>
      </c>
      <c r="K16823" t="b">
        <v>0</v>
      </c>
    </row>
    <row r="16824" spans="1:11">
      <c r="A16824" s="12">
        <v>43743</v>
      </c>
      <c r="B16824">
        <v>2019</v>
      </c>
      <c r="C16824">
        <v>10</v>
      </c>
      <c r="D16824" s="11">
        <v>43739</v>
      </c>
      <c r="E16824" t="s">
        <v>2182</v>
      </c>
      <c r="F16824">
        <v>6</v>
      </c>
      <c r="G16824" t="s">
        <v>57</v>
      </c>
      <c r="H16824" t="s">
        <v>46</v>
      </c>
      <c r="I16824" t="s">
        <v>2194</v>
      </c>
      <c r="J16824" s="10">
        <v>0</v>
      </c>
      <c r="K16824" t="b">
        <v>0</v>
      </c>
    </row>
    <row r="16825" spans="1:11">
      <c r="A16825" s="12">
        <v>43743</v>
      </c>
      <c r="B16825">
        <v>2019</v>
      </c>
      <c r="C16825">
        <v>10</v>
      </c>
      <c r="D16825" s="11">
        <v>43739</v>
      </c>
      <c r="E16825" t="s">
        <v>2182</v>
      </c>
      <c r="F16825">
        <v>6</v>
      </c>
      <c r="G16825" t="s">
        <v>57</v>
      </c>
      <c r="H16825" t="s">
        <v>47</v>
      </c>
      <c r="I16825" t="s">
        <v>2195</v>
      </c>
      <c r="J16825" s="10">
        <v>0.33</v>
      </c>
      <c r="K16825" t="b">
        <v>0</v>
      </c>
    </row>
    <row r="16826" spans="1:11">
      <c r="A16826" s="12">
        <v>43744</v>
      </c>
      <c r="B16826">
        <v>2019</v>
      </c>
      <c r="C16826">
        <v>10</v>
      </c>
      <c r="D16826" s="11">
        <v>43739</v>
      </c>
      <c r="E16826" t="s">
        <v>2182</v>
      </c>
      <c r="F16826">
        <v>7</v>
      </c>
      <c r="G16826" t="s">
        <v>59</v>
      </c>
      <c r="H16826" t="s">
        <v>40</v>
      </c>
      <c r="I16826" t="s">
        <v>2188</v>
      </c>
      <c r="J16826" s="10">
        <v>4</v>
      </c>
      <c r="K16826" t="b">
        <v>0</v>
      </c>
    </row>
    <row r="16827" spans="1:11">
      <c r="A16827" s="12">
        <v>43744</v>
      </c>
      <c r="B16827">
        <v>2019</v>
      </c>
      <c r="C16827">
        <v>10</v>
      </c>
      <c r="D16827" s="11">
        <v>43739</v>
      </c>
      <c r="E16827" t="s">
        <v>2182</v>
      </c>
      <c r="F16827">
        <v>7</v>
      </c>
      <c r="G16827" t="s">
        <v>59</v>
      </c>
      <c r="H16827" t="s">
        <v>41</v>
      </c>
      <c r="I16827" t="s">
        <v>2189</v>
      </c>
      <c r="J16827" s="10">
        <v>11.69</v>
      </c>
      <c r="K16827" t="b">
        <v>0</v>
      </c>
    </row>
    <row r="16828" spans="1:11">
      <c r="A16828" s="12">
        <v>43744</v>
      </c>
      <c r="B16828">
        <v>2019</v>
      </c>
      <c r="C16828">
        <v>10</v>
      </c>
      <c r="D16828" s="11">
        <v>43739</v>
      </c>
      <c r="E16828" t="s">
        <v>2182</v>
      </c>
      <c r="F16828">
        <v>7</v>
      </c>
      <c r="G16828" t="s">
        <v>59</v>
      </c>
      <c r="H16828" t="s">
        <v>42</v>
      </c>
      <c r="I16828" t="s">
        <v>2190</v>
      </c>
      <c r="J16828" s="10">
        <v>2</v>
      </c>
      <c r="K16828" t="b">
        <v>0</v>
      </c>
    </row>
    <row r="16829" spans="1:11">
      <c r="A16829" s="12">
        <v>43744</v>
      </c>
      <c r="B16829">
        <v>2019</v>
      </c>
      <c r="C16829">
        <v>10</v>
      </c>
      <c r="D16829" s="11">
        <v>43739</v>
      </c>
      <c r="E16829" t="s">
        <v>2182</v>
      </c>
      <c r="F16829">
        <v>7</v>
      </c>
      <c r="G16829" t="s">
        <v>59</v>
      </c>
      <c r="H16829" t="s">
        <v>43</v>
      </c>
      <c r="I16829" t="s">
        <v>2191</v>
      </c>
      <c r="J16829" s="10">
        <v>34.6</v>
      </c>
      <c r="K16829" t="b">
        <v>0</v>
      </c>
    </row>
    <row r="16830" spans="1:11">
      <c r="A16830" s="12">
        <v>43744</v>
      </c>
      <c r="B16830">
        <v>2019</v>
      </c>
      <c r="C16830">
        <v>10</v>
      </c>
      <c r="D16830" s="11">
        <v>43739</v>
      </c>
      <c r="E16830" t="s">
        <v>2182</v>
      </c>
      <c r="F16830">
        <v>7</v>
      </c>
      <c r="G16830" t="s">
        <v>59</v>
      </c>
      <c r="H16830" t="s">
        <v>44</v>
      </c>
      <c r="I16830" t="s">
        <v>2192</v>
      </c>
      <c r="J16830" s="10">
        <v>6</v>
      </c>
      <c r="K16830" t="b">
        <v>0</v>
      </c>
    </row>
    <row r="16831" spans="1:11">
      <c r="A16831" s="12">
        <v>43744</v>
      </c>
      <c r="B16831">
        <v>2019</v>
      </c>
      <c r="C16831">
        <v>10</v>
      </c>
      <c r="D16831" s="11">
        <v>43739</v>
      </c>
      <c r="E16831" t="s">
        <v>2182</v>
      </c>
      <c r="F16831">
        <v>7</v>
      </c>
      <c r="G16831" t="s">
        <v>59</v>
      </c>
      <c r="H16831" t="s">
        <v>45</v>
      </c>
      <c r="I16831" t="s">
        <v>2193</v>
      </c>
      <c r="J16831" s="10">
        <v>0</v>
      </c>
      <c r="K16831" t="b">
        <v>0</v>
      </c>
    </row>
    <row r="16832" spans="1:11">
      <c r="A16832" s="12">
        <v>43744</v>
      </c>
      <c r="B16832">
        <v>2019</v>
      </c>
      <c r="C16832">
        <v>10</v>
      </c>
      <c r="D16832" s="11">
        <v>43739</v>
      </c>
      <c r="E16832" t="s">
        <v>2182</v>
      </c>
      <c r="F16832">
        <v>7</v>
      </c>
      <c r="G16832" t="s">
        <v>59</v>
      </c>
      <c r="H16832" t="s">
        <v>46</v>
      </c>
      <c r="I16832" t="s">
        <v>2194</v>
      </c>
      <c r="J16832" s="10">
        <v>5</v>
      </c>
      <c r="K16832" t="b">
        <v>0</v>
      </c>
    </row>
    <row r="16833" spans="1:11">
      <c r="A16833" s="12">
        <v>43744</v>
      </c>
      <c r="B16833">
        <v>2019</v>
      </c>
      <c r="C16833">
        <v>10</v>
      </c>
      <c r="D16833" s="11">
        <v>43739</v>
      </c>
      <c r="E16833" t="s">
        <v>2182</v>
      </c>
      <c r="F16833">
        <v>7</v>
      </c>
      <c r="G16833" t="s">
        <v>59</v>
      </c>
      <c r="H16833" t="s">
        <v>47</v>
      </c>
      <c r="I16833" t="s">
        <v>2195</v>
      </c>
      <c r="J16833" s="10">
        <v>4.2</v>
      </c>
      <c r="K16833" t="b">
        <v>0</v>
      </c>
    </row>
    <row r="16834" spans="1:11">
      <c r="A16834" s="12">
        <v>43745</v>
      </c>
      <c r="B16834">
        <v>2019</v>
      </c>
      <c r="C16834">
        <v>10</v>
      </c>
      <c r="D16834" s="11">
        <v>43739</v>
      </c>
      <c r="E16834" t="s">
        <v>2182</v>
      </c>
      <c r="F16834">
        <v>1</v>
      </c>
      <c r="G16834" t="s">
        <v>61</v>
      </c>
      <c r="H16834" t="s">
        <v>40</v>
      </c>
      <c r="I16834" t="s">
        <v>2188</v>
      </c>
      <c r="J16834" s="10">
        <v>7.34</v>
      </c>
      <c r="K16834" t="b">
        <v>0</v>
      </c>
    </row>
    <row r="16835" spans="1:11">
      <c r="A16835" s="12">
        <v>43745</v>
      </c>
      <c r="B16835">
        <v>2019</v>
      </c>
      <c r="C16835">
        <v>10</v>
      </c>
      <c r="D16835" s="11">
        <v>43739</v>
      </c>
      <c r="E16835" t="s">
        <v>2182</v>
      </c>
      <c r="F16835">
        <v>1</v>
      </c>
      <c r="G16835" t="s">
        <v>61</v>
      </c>
      <c r="H16835" t="s">
        <v>41</v>
      </c>
      <c r="I16835" t="s">
        <v>2189</v>
      </c>
      <c r="J16835" s="10">
        <v>4.507</v>
      </c>
      <c r="K16835" t="b">
        <v>0</v>
      </c>
    </row>
    <row r="16836" spans="1:11">
      <c r="A16836" s="12">
        <v>43745</v>
      </c>
      <c r="B16836">
        <v>2019</v>
      </c>
      <c r="C16836">
        <v>10</v>
      </c>
      <c r="D16836" s="11">
        <v>43739</v>
      </c>
      <c r="E16836" t="s">
        <v>2182</v>
      </c>
      <c r="F16836">
        <v>1</v>
      </c>
      <c r="G16836" t="s">
        <v>61</v>
      </c>
      <c r="H16836" t="s">
        <v>42</v>
      </c>
      <c r="I16836" t="s">
        <v>2190</v>
      </c>
      <c r="J16836" s="10">
        <v>3</v>
      </c>
      <c r="K16836" t="b">
        <v>0</v>
      </c>
    </row>
    <row r="16837" spans="1:11">
      <c r="A16837" s="12">
        <v>43745</v>
      </c>
      <c r="B16837">
        <v>2019</v>
      </c>
      <c r="C16837">
        <v>10</v>
      </c>
      <c r="D16837" s="11">
        <v>43739</v>
      </c>
      <c r="E16837" t="s">
        <v>2182</v>
      </c>
      <c r="F16837">
        <v>1</v>
      </c>
      <c r="G16837" t="s">
        <v>61</v>
      </c>
      <c r="H16837" t="s">
        <v>43</v>
      </c>
      <c r="I16837" t="s">
        <v>2191</v>
      </c>
      <c r="J16837" s="10">
        <v>50.8</v>
      </c>
      <c r="K16837" t="b">
        <v>0</v>
      </c>
    </row>
    <row r="16838" spans="1:11">
      <c r="A16838" s="12">
        <v>43745</v>
      </c>
      <c r="B16838">
        <v>2019</v>
      </c>
      <c r="C16838">
        <v>10</v>
      </c>
      <c r="D16838" s="11">
        <v>43739</v>
      </c>
      <c r="E16838" t="s">
        <v>2182</v>
      </c>
      <c r="F16838">
        <v>1</v>
      </c>
      <c r="G16838" t="s">
        <v>61</v>
      </c>
      <c r="H16838" t="s">
        <v>44</v>
      </c>
      <c r="I16838" t="s">
        <v>2192</v>
      </c>
      <c r="J16838" s="10">
        <v>6</v>
      </c>
      <c r="K16838" t="b">
        <v>0</v>
      </c>
    </row>
    <row r="16839" spans="1:11">
      <c r="A16839" s="12">
        <v>43745</v>
      </c>
      <c r="B16839">
        <v>2019</v>
      </c>
      <c r="C16839">
        <v>10</v>
      </c>
      <c r="D16839" s="11">
        <v>43739</v>
      </c>
      <c r="E16839" t="s">
        <v>2182</v>
      </c>
      <c r="F16839">
        <v>1</v>
      </c>
      <c r="G16839" t="s">
        <v>61</v>
      </c>
      <c r="H16839" t="s">
        <v>45</v>
      </c>
      <c r="I16839" t="s">
        <v>2193</v>
      </c>
      <c r="J16839" s="10">
        <v>0</v>
      </c>
      <c r="K16839" t="b">
        <v>0</v>
      </c>
    </row>
    <row r="16840" spans="1:11">
      <c r="A16840" s="12">
        <v>43745</v>
      </c>
      <c r="B16840">
        <v>2019</v>
      </c>
      <c r="C16840">
        <v>10</v>
      </c>
      <c r="D16840" s="11">
        <v>43739</v>
      </c>
      <c r="E16840" t="s">
        <v>2182</v>
      </c>
      <c r="F16840">
        <v>1</v>
      </c>
      <c r="G16840" t="s">
        <v>61</v>
      </c>
      <c r="H16840" t="s">
        <v>46</v>
      </c>
      <c r="I16840" t="s">
        <v>2194</v>
      </c>
      <c r="J16840" s="10">
        <v>10</v>
      </c>
      <c r="K16840" t="b">
        <v>0</v>
      </c>
    </row>
    <row r="16841" spans="1:11">
      <c r="A16841" s="12">
        <v>43745</v>
      </c>
      <c r="B16841">
        <v>2019</v>
      </c>
      <c r="C16841">
        <v>10</v>
      </c>
      <c r="D16841" s="11">
        <v>43739</v>
      </c>
      <c r="E16841" t="s">
        <v>2182</v>
      </c>
      <c r="F16841">
        <v>1</v>
      </c>
      <c r="G16841" t="s">
        <v>61</v>
      </c>
      <c r="H16841" t="s">
        <v>47</v>
      </c>
      <c r="I16841" t="s">
        <v>2195</v>
      </c>
      <c r="J16841" s="10">
        <v>1</v>
      </c>
      <c r="K16841" t="b">
        <v>0</v>
      </c>
    </row>
    <row r="16842" spans="1:11">
      <c r="A16842" s="12">
        <v>43746</v>
      </c>
      <c r="B16842">
        <v>2019</v>
      </c>
      <c r="C16842">
        <v>10</v>
      </c>
      <c r="D16842" s="11">
        <v>43739</v>
      </c>
      <c r="E16842" t="s">
        <v>2182</v>
      </c>
      <c r="F16842">
        <v>2</v>
      </c>
      <c r="G16842" t="s">
        <v>63</v>
      </c>
      <c r="H16842" t="s">
        <v>40</v>
      </c>
      <c r="I16842" t="s">
        <v>2188</v>
      </c>
      <c r="J16842" s="10">
        <v>0.33</v>
      </c>
      <c r="K16842" t="b">
        <v>0</v>
      </c>
    </row>
    <row r="16843" spans="1:11">
      <c r="A16843" s="12">
        <v>43746</v>
      </c>
      <c r="B16843">
        <v>2019</v>
      </c>
      <c r="C16843">
        <v>10</v>
      </c>
      <c r="D16843" s="11">
        <v>43739</v>
      </c>
      <c r="E16843" t="s">
        <v>2182</v>
      </c>
      <c r="F16843">
        <v>2</v>
      </c>
      <c r="G16843" t="s">
        <v>63</v>
      </c>
      <c r="H16843" t="s">
        <v>41</v>
      </c>
      <c r="I16843" t="s">
        <v>2189</v>
      </c>
      <c r="J16843" s="10">
        <v>1.73</v>
      </c>
      <c r="K16843" t="b">
        <v>0</v>
      </c>
    </row>
    <row r="16844" spans="1:11">
      <c r="A16844" s="12">
        <v>43746</v>
      </c>
      <c r="B16844">
        <v>2019</v>
      </c>
      <c r="C16844">
        <v>10</v>
      </c>
      <c r="D16844" s="11">
        <v>43739</v>
      </c>
      <c r="E16844" t="s">
        <v>2182</v>
      </c>
      <c r="F16844">
        <v>2</v>
      </c>
      <c r="G16844" t="s">
        <v>63</v>
      </c>
      <c r="H16844" t="s">
        <v>42</v>
      </c>
      <c r="I16844" t="s">
        <v>2190</v>
      </c>
      <c r="J16844" s="10">
        <v>0.5</v>
      </c>
      <c r="K16844" t="b">
        <v>0</v>
      </c>
    </row>
    <row r="16845" spans="1:11">
      <c r="A16845" s="12">
        <v>43746</v>
      </c>
      <c r="B16845">
        <v>2019</v>
      </c>
      <c r="C16845">
        <v>10</v>
      </c>
      <c r="D16845" s="11">
        <v>43739</v>
      </c>
      <c r="E16845" t="s">
        <v>2182</v>
      </c>
      <c r="F16845">
        <v>2</v>
      </c>
      <c r="G16845" t="s">
        <v>63</v>
      </c>
      <c r="H16845" t="s">
        <v>43</v>
      </c>
      <c r="I16845" t="s">
        <v>2191</v>
      </c>
      <c r="J16845" s="10">
        <v>44.3</v>
      </c>
      <c r="K16845" t="b">
        <v>0</v>
      </c>
    </row>
    <row r="16846" spans="1:11">
      <c r="A16846" s="12">
        <v>43746</v>
      </c>
      <c r="B16846">
        <v>2019</v>
      </c>
      <c r="C16846">
        <v>10</v>
      </c>
      <c r="D16846" s="11">
        <v>43739</v>
      </c>
      <c r="E16846" t="s">
        <v>2182</v>
      </c>
      <c r="F16846">
        <v>2</v>
      </c>
      <c r="G16846" t="s">
        <v>63</v>
      </c>
      <c r="H16846" t="s">
        <v>44</v>
      </c>
      <c r="I16846" t="s">
        <v>2192</v>
      </c>
      <c r="J16846" s="10">
        <v>20</v>
      </c>
      <c r="K16846" t="b">
        <v>0</v>
      </c>
    </row>
    <row r="16847" spans="1:11">
      <c r="A16847" s="12">
        <v>43746</v>
      </c>
      <c r="B16847">
        <v>2019</v>
      </c>
      <c r="C16847">
        <v>10</v>
      </c>
      <c r="D16847" s="11">
        <v>43739</v>
      </c>
      <c r="E16847" t="s">
        <v>2182</v>
      </c>
      <c r="F16847">
        <v>2</v>
      </c>
      <c r="G16847" t="s">
        <v>63</v>
      </c>
      <c r="H16847" t="s">
        <v>45</v>
      </c>
      <c r="I16847" t="s">
        <v>2193</v>
      </c>
      <c r="J16847" s="10">
        <v>2</v>
      </c>
      <c r="K16847" t="b">
        <v>0</v>
      </c>
    </row>
    <row r="16848" spans="1:11">
      <c r="A16848" s="12">
        <v>43746</v>
      </c>
      <c r="B16848">
        <v>2019</v>
      </c>
      <c r="C16848">
        <v>10</v>
      </c>
      <c r="D16848" s="11">
        <v>43739</v>
      </c>
      <c r="E16848" t="s">
        <v>2182</v>
      </c>
      <c r="F16848">
        <v>2</v>
      </c>
      <c r="G16848" t="s">
        <v>63</v>
      </c>
      <c r="H16848" t="s">
        <v>46</v>
      </c>
      <c r="I16848" t="s">
        <v>2194</v>
      </c>
      <c r="J16848" s="10">
        <v>2</v>
      </c>
      <c r="K16848" t="b">
        <v>0</v>
      </c>
    </row>
    <row r="16849" spans="1:11">
      <c r="A16849" s="12">
        <v>43746</v>
      </c>
      <c r="B16849">
        <v>2019</v>
      </c>
      <c r="C16849">
        <v>10</v>
      </c>
      <c r="D16849" s="11">
        <v>43739</v>
      </c>
      <c r="E16849" t="s">
        <v>2182</v>
      </c>
      <c r="F16849">
        <v>2</v>
      </c>
      <c r="G16849" t="s">
        <v>63</v>
      </c>
      <c r="H16849" t="s">
        <v>47</v>
      </c>
      <c r="I16849" t="s">
        <v>2195</v>
      </c>
      <c r="J16849" s="10">
        <v>0</v>
      </c>
      <c r="K16849" t="b">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D17"/>
  <sheetViews>
    <sheetView showGridLines="0" workbookViewId="0"/>
  </sheetViews>
  <sheetFormatPr defaultRowHeight="15"/>
  <cols>
    <col min="1" max="1" width="28.7109375" customWidth="1"/>
    <col min="2" max="2" width="20.7109375" customWidth="1"/>
    <col min="3" max="3" width="76.7109375" customWidth="1"/>
    <col min="4" max="4" width="22.7109375" customWidth="1"/>
  </cols>
  <sheetData>
    <row r="1" spans="1:4">
      <c r="A1" s="1" t="s">
        <v>2196</v>
      </c>
      <c r="B1" s="1"/>
      <c r="C1" s="1"/>
      <c r="D1" s="1"/>
    </row>
    <row r="3" spans="1:4">
      <c r="A3" s="13" t="s">
        <v>2197</v>
      </c>
      <c r="B3" s="13" t="s">
        <v>2198</v>
      </c>
      <c r="C3" s="13" t="s">
        <v>2199</v>
      </c>
      <c r="D3" s="13" t="s">
        <v>2200</v>
      </c>
    </row>
    <row r="4" spans="1:4" ht="39.75" customHeight="1">
      <c r="A4" s="9" t="s">
        <v>2201</v>
      </c>
      <c r="B4" s="14">
        <f>SUM(Clean_Daily!J2:J2107)</f>
        <v>127595.50368748402</v>
      </c>
      <c r="C4" s="15" t="s">
        <v>2202</v>
      </c>
      <c r="D4" s="5" t="s">
        <v>2203</v>
      </c>
    </row>
    <row r="5" spans="1:4" ht="39.75" customHeight="1">
      <c r="A5" s="9" t="s">
        <v>2204</v>
      </c>
      <c r="B5" s="14">
        <f>AVERAGE(Clean_Daily!J2:J2107)</f>
        <v>60.58665892093258</v>
      </c>
      <c r="C5" s="15" t="s">
        <v>2205</v>
      </c>
      <c r="D5" s="5" t="s">
        <v>2206</v>
      </c>
    </row>
    <row r="6" spans="1:4" ht="39.75" customHeight="1">
      <c r="A6" s="9" t="s">
        <v>2207</v>
      </c>
      <c r="B6" s="16">
        <f>COUNT(Clean_Daily!A2:A2107)</f>
        <v>2106</v>
      </c>
      <c r="C6" s="15" t="s">
        <v>2208</v>
      </c>
      <c r="D6" s="5" t="s">
        <v>2209</v>
      </c>
    </row>
    <row r="7" spans="1:4" ht="39.75" customHeight="1">
      <c r="A7" s="9" t="s">
        <v>2210</v>
      </c>
      <c r="B7" s="16">
        <f>COUNTIF(Clean_Daily!E2:E2107,"&gt;50")</f>
        <v>227</v>
      </c>
      <c r="C7" s="15" t="s">
        <v>2211</v>
      </c>
      <c r="D7" s="5" t="s">
        <v>2212</v>
      </c>
    </row>
    <row r="8" spans="1:4" ht="39.75" customHeight="1">
      <c r="A8" s="9" t="s">
        <v>2213</v>
      </c>
      <c r="B8" s="14">
        <f>SUM(Clean_Daily!E2:E2107)</f>
        <v>63005.40270834</v>
      </c>
      <c r="C8" s="15" t="s">
        <v>2214</v>
      </c>
      <c r="D8" s="5" t="s">
        <v>2215</v>
      </c>
    </row>
    <row r="9" spans="1:4" ht="39.75" customHeight="1">
      <c r="A9" s="9" t="s">
        <v>2216</v>
      </c>
      <c r="B9" s="16">
        <f>COUNTIF(Clean_Daily!G2:G2107,0)</f>
        <v>1430</v>
      </c>
      <c r="C9" s="15" t="s">
        <v>2217</v>
      </c>
      <c r="D9" s="5" t="s">
        <v>2218</v>
      </c>
    </row>
    <row r="10" spans="1:4" ht="39.75" customHeight="1">
      <c r="A10" s="9" t="s">
        <v>2219</v>
      </c>
      <c r="B10" s="14">
        <f>SUMIFS(Clean_Daily!J2:J2107,Clean_Daily!K2:K2107,2019,Clean_Daily!L2:L2107,1)</f>
        <v>2875.158</v>
      </c>
      <c r="C10" s="15" t="s">
        <v>2220</v>
      </c>
      <c r="D10" s="5" t="s">
        <v>2221</v>
      </c>
    </row>
    <row r="11" spans="1:4" ht="39.75" customHeight="1">
      <c r="A11" s="9" t="s">
        <v>2222</v>
      </c>
      <c r="B11" s="14">
        <f>SUMIFS(Clean_Daily!J2:J2107,Clean_Daily!K2:K2107,2018)</f>
        <v>22884.561</v>
      </c>
      <c r="C11" s="15" t="s">
        <v>2223</v>
      </c>
      <c r="D11" s="5" t="s">
        <v>2224</v>
      </c>
    </row>
    <row r="12" spans="1:4" ht="39.75" customHeight="1">
      <c r="A12" s="9" t="s">
        <v>2225</v>
      </c>
      <c r="B12" s="16">
        <f>COUNTIF(Clean_Daily!P2:P2107,"Saturday")</f>
        <v>301</v>
      </c>
      <c r="C12" s="15" t="s">
        <v>2226</v>
      </c>
      <c r="D12" s="5" t="s">
        <v>2227</v>
      </c>
    </row>
    <row r="13" spans="1:4" ht="39.75" customHeight="1">
      <c r="A13" s="9" t="s">
        <v>2228</v>
      </c>
      <c r="B13" s="14">
        <f>SUMIFS(Clean_Daily!J2:J2107,Clean_Daily!P2:P2107,"Saturday")</f>
        <v>19767.594416663</v>
      </c>
      <c r="C13" s="15" t="s">
        <v>2229</v>
      </c>
      <c r="D13" s="5" t="s">
        <v>2230</v>
      </c>
    </row>
    <row r="16" spans="1:4">
      <c r="A16" s="17" t="s">
        <v>2231</v>
      </c>
      <c r="B16" s="17"/>
      <c r="C16" s="17"/>
      <c r="D16" s="17"/>
    </row>
    <row r="17" spans="1:4">
      <c r="A17" s="17"/>
      <c r="B17" s="17"/>
      <c r="C17" s="17"/>
      <c r="D17" s="17"/>
    </row>
  </sheetData>
  <mergeCells count="2">
    <mergeCell ref="A1:D1"/>
    <mergeCell ref="A16:D1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71"/>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4.7109375" customWidth="1"/>
    <col min="2" max="4" width="13.7109375" customWidth="1"/>
    <col min="5" max="7" width="19.7109375" customWidth="1"/>
    <col min="8" max="11" width="23.7109375" customWidth="1"/>
  </cols>
  <sheetData>
    <row r="1" spans="1:11" ht="35.25" customHeight="1">
      <c r="A1" t="s">
        <v>2168</v>
      </c>
      <c r="B1" t="s">
        <v>48</v>
      </c>
      <c r="C1" t="s">
        <v>2167</v>
      </c>
      <c r="D1" t="s">
        <v>2169</v>
      </c>
      <c r="E1" t="s">
        <v>2232</v>
      </c>
      <c r="F1" t="s">
        <v>2233</v>
      </c>
      <c r="G1" t="s">
        <v>2172</v>
      </c>
      <c r="H1" t="s">
        <v>2166</v>
      </c>
      <c r="I1" t="s">
        <v>2234</v>
      </c>
      <c r="J1" t="s">
        <v>2235</v>
      </c>
      <c r="K1" t="s">
        <v>2236</v>
      </c>
    </row>
    <row r="2" spans="1:11">
      <c r="A2" s="11">
        <v>41640</v>
      </c>
      <c r="B2">
        <v>2014</v>
      </c>
      <c r="C2">
        <v>1</v>
      </c>
      <c r="D2" t="s">
        <v>2173</v>
      </c>
      <c r="E2">
        <v>30</v>
      </c>
      <c r="F2">
        <v>31</v>
      </c>
      <c r="G2" t="b">
        <v>0</v>
      </c>
      <c r="H2" s="14">
        <f>SUMIFS(Clean_Daily!$J$2:$J$2107,Clean_Daily!$M$2:$M$2107,A2)</f>
        <v>1801.11</v>
      </c>
      <c r="I2" s="14">
        <f>H2/E2</f>
        <v>60.037</v>
      </c>
      <c r="J2" s="14"/>
      <c r="K2" s="14"/>
    </row>
    <row r="3" spans="1:11">
      <c r="A3" s="11">
        <v>41671</v>
      </c>
      <c r="B3">
        <v>2014</v>
      </c>
      <c r="C3">
        <v>2</v>
      </c>
      <c r="D3" t="s">
        <v>2174</v>
      </c>
      <c r="E3">
        <v>28</v>
      </c>
      <c r="F3">
        <v>28</v>
      </c>
      <c r="G3" t="b">
        <v>1</v>
      </c>
      <c r="H3" s="14">
        <f>SUMIFS(Clean_Daily!$J$2:$J$2107,Clean_Daily!$M$2:$M$2107,A3)</f>
        <v>1974.47</v>
      </c>
      <c r="I3" s="14">
        <f>H3/E3</f>
        <v>70.51678571428572</v>
      </c>
      <c r="J3" s="14">
        <f>H2</f>
        <v>1801.11</v>
      </c>
      <c r="K3" s="14"/>
    </row>
    <row r="4" spans="1:11">
      <c r="A4" s="11">
        <v>41699</v>
      </c>
      <c r="B4">
        <v>2014</v>
      </c>
      <c r="C4">
        <v>3</v>
      </c>
      <c r="D4" t="s">
        <v>2175</v>
      </c>
      <c r="E4">
        <v>31</v>
      </c>
      <c r="F4">
        <v>31</v>
      </c>
      <c r="G4" t="b">
        <v>1</v>
      </c>
      <c r="H4" s="14">
        <f>SUMIFS(Clean_Daily!$J$2:$J$2107,Clean_Daily!$M$2:$M$2107,A4)</f>
        <v>1606.72</v>
      </c>
      <c r="I4" s="14">
        <f>H4/E4</f>
        <v>51.82967741935484</v>
      </c>
      <c r="J4" s="14">
        <f>H3</f>
        <v>1974.47</v>
      </c>
      <c r="K4" s="14">
        <f>IF(AND(G4=TRUE,G3=TRUE),100*(H4/J4-1),"")</f>
        <v>-18.625251333269176</v>
      </c>
    </row>
    <row r="5" spans="1:11">
      <c r="A5" s="11">
        <v>41730</v>
      </c>
      <c r="B5">
        <v>2014</v>
      </c>
      <c r="C5">
        <v>4</v>
      </c>
      <c r="D5" t="s">
        <v>2176</v>
      </c>
      <c r="E5">
        <v>30</v>
      </c>
      <c r="F5">
        <v>30</v>
      </c>
      <c r="G5" t="b">
        <v>1</v>
      </c>
      <c r="H5" s="14">
        <f>SUMIFS(Clean_Daily!$J$2:$J$2107,Clean_Daily!$M$2:$M$2107,A5)</f>
        <v>1423.925</v>
      </c>
      <c r="I5" s="14">
        <f>H5/E5</f>
        <v>47.464166666666664</v>
      </c>
      <c r="J5" s="14">
        <f>H4</f>
        <v>1606.72</v>
      </c>
      <c r="K5" s="14">
        <f>IF(AND(G5=TRUE,G4=TRUE),100*(H5/J5-1),"")</f>
        <v>-11.376904501095408</v>
      </c>
    </row>
    <row r="6" spans="1:11">
      <c r="A6" s="11">
        <v>41760</v>
      </c>
      <c r="B6">
        <v>2014</v>
      </c>
      <c r="C6">
        <v>5</v>
      </c>
      <c r="D6" t="s">
        <v>2177</v>
      </c>
      <c r="E6">
        <v>31</v>
      </c>
      <c r="F6">
        <v>31</v>
      </c>
      <c r="G6" t="b">
        <v>1</v>
      </c>
      <c r="H6" s="14">
        <f>SUMIFS(Clean_Daily!$J$2:$J$2107,Clean_Daily!$M$2:$M$2107,A6)</f>
        <v>1506.303</v>
      </c>
      <c r="I6" s="14">
        <f>H6/E6</f>
        <v>48.590419354838716</v>
      </c>
      <c r="J6" s="14">
        <f>H5</f>
        <v>1423.925</v>
      </c>
      <c r="K6" s="14">
        <f>IF(AND(G6=TRUE,G5=TRUE),100*(H6/J6-1),"")</f>
        <v>5.785276612181134</v>
      </c>
    </row>
    <row r="7" spans="1:11">
      <c r="A7" s="11">
        <v>41791</v>
      </c>
      <c r="B7">
        <v>2014</v>
      </c>
      <c r="C7">
        <v>6</v>
      </c>
      <c r="D7" t="s">
        <v>2178</v>
      </c>
      <c r="E7">
        <v>30</v>
      </c>
      <c r="F7">
        <v>30</v>
      </c>
      <c r="G7" t="b">
        <v>1</v>
      </c>
      <c r="H7" s="14">
        <f>SUMIFS(Clean_Daily!$J$2:$J$2107,Clean_Daily!$M$2:$M$2107,A7)</f>
        <v>1390.205</v>
      </c>
      <c r="I7" s="14">
        <f>H7/E7</f>
        <v>46.34016666666666</v>
      </c>
      <c r="J7" s="14">
        <f>H6</f>
        <v>1506.303</v>
      </c>
      <c r="K7" s="14">
        <f>IF(AND(G7=TRUE,G6=TRUE),100*(H7/J7-1),"")</f>
        <v>-7.707479836394149</v>
      </c>
    </row>
    <row r="8" spans="1:11">
      <c r="A8" s="11">
        <v>41821</v>
      </c>
      <c r="B8">
        <v>2014</v>
      </c>
      <c r="C8">
        <v>7</v>
      </c>
      <c r="D8" t="s">
        <v>2179</v>
      </c>
      <c r="E8">
        <v>31</v>
      </c>
      <c r="F8">
        <v>31</v>
      </c>
      <c r="G8" t="b">
        <v>1</v>
      </c>
      <c r="H8" s="14">
        <f>SUMIFS(Clean_Daily!$J$2:$J$2107,Clean_Daily!$M$2:$M$2107,A8)</f>
        <v>1332.37</v>
      </c>
      <c r="I8" s="14">
        <f>H8/E8</f>
        <v>42.979677419354836</v>
      </c>
      <c r="J8" s="14">
        <f>H7</f>
        <v>1390.205</v>
      </c>
      <c r="K8" s="14">
        <f>IF(AND(G8=TRUE,G7=TRUE),100*(H8/J8-1),"")</f>
        <v>-4.160177815502031</v>
      </c>
    </row>
    <row r="9" spans="1:11">
      <c r="A9" s="11">
        <v>41852</v>
      </c>
      <c r="B9">
        <v>2014</v>
      </c>
      <c r="C9">
        <v>8</v>
      </c>
      <c r="D9" t="s">
        <v>2180</v>
      </c>
      <c r="E9">
        <v>31</v>
      </c>
      <c r="F9">
        <v>31</v>
      </c>
      <c r="G9" t="b">
        <v>1</v>
      </c>
      <c r="H9" s="14">
        <f>SUMIFS(Clean_Daily!$J$2:$J$2107,Clean_Daily!$M$2:$M$2107,A9)</f>
        <v>1452.52</v>
      </c>
      <c r="I9" s="14">
        <f>H9/E9</f>
        <v>46.85548387096774</v>
      </c>
      <c r="J9" s="14">
        <f>H8</f>
        <v>1332.37</v>
      </c>
      <c r="K9" s="14">
        <f>IF(AND(G9=TRUE,G8=TRUE),100*(H9/J9-1),"")</f>
        <v>9.017765335454865</v>
      </c>
    </row>
    <row r="10" spans="1:11">
      <c r="A10" s="11">
        <v>41883</v>
      </c>
      <c r="B10">
        <v>2014</v>
      </c>
      <c r="C10">
        <v>9</v>
      </c>
      <c r="D10" t="s">
        <v>2181</v>
      </c>
      <c r="E10">
        <v>30</v>
      </c>
      <c r="F10">
        <v>30</v>
      </c>
      <c r="G10" t="b">
        <v>1</v>
      </c>
      <c r="H10" s="14">
        <f>SUMIFS(Clean_Daily!$J$2:$J$2107,Clean_Daily!$M$2:$M$2107,A10)</f>
        <v>1804.594</v>
      </c>
      <c r="I10" s="14">
        <f>H10/E10</f>
        <v>60.15313333333334</v>
      </c>
      <c r="J10" s="14">
        <f>H9</f>
        <v>1452.52</v>
      </c>
      <c r="K10" s="14">
        <f>IF(AND(G10=TRUE,G9=TRUE),100*(H10/J10-1),"")</f>
        <v>24.238840084818115</v>
      </c>
    </row>
    <row r="11" spans="1:11">
      <c r="A11" s="11">
        <v>41913</v>
      </c>
      <c r="B11">
        <v>2014</v>
      </c>
      <c r="C11">
        <v>10</v>
      </c>
      <c r="D11" t="s">
        <v>2182</v>
      </c>
      <c r="E11">
        <v>31</v>
      </c>
      <c r="F11">
        <v>31</v>
      </c>
      <c r="G11" t="b">
        <v>1</v>
      </c>
      <c r="H11" s="14">
        <f>SUMIFS(Clean_Daily!$J$2:$J$2107,Clean_Daily!$M$2:$M$2107,A11)</f>
        <v>2081.9956875000003</v>
      </c>
      <c r="I11" s="14">
        <f>H11/E11</f>
        <v>67.16115120967743</v>
      </c>
      <c r="J11" s="14">
        <f>H10</f>
        <v>1804.594</v>
      </c>
      <c r="K11" s="14">
        <f>IF(AND(G11=TRUE,G10=TRUE),100*(H11/J11-1),"")</f>
        <v>15.371972172134019</v>
      </c>
    </row>
    <row r="12" spans="1:11">
      <c r="A12" s="11">
        <v>41944</v>
      </c>
      <c r="B12">
        <v>2014</v>
      </c>
      <c r="C12">
        <v>11</v>
      </c>
      <c r="D12" t="s">
        <v>2183</v>
      </c>
      <c r="E12">
        <v>30</v>
      </c>
      <c r="F12">
        <v>30</v>
      </c>
      <c r="G12" t="b">
        <v>1</v>
      </c>
      <c r="H12" s="14">
        <f>SUMIFS(Clean_Daily!$J$2:$J$2107,Clean_Daily!$M$2:$M$2107,A12)</f>
        <v>1770.6399999999999</v>
      </c>
      <c r="I12" s="14">
        <f>H12/E12</f>
        <v>59.02133333333333</v>
      </c>
      <c r="J12" s="14">
        <f>H11</f>
        <v>2081.9956875000003</v>
      </c>
      <c r="K12" s="14">
        <f>IF(AND(G12=TRUE,G11=TRUE),100*(H12/J12-1),"")</f>
        <v>-14.954674948143975</v>
      </c>
    </row>
    <row r="13" spans="1:11">
      <c r="A13" s="11">
        <v>41974</v>
      </c>
      <c r="B13">
        <v>2014</v>
      </c>
      <c r="C13">
        <v>12</v>
      </c>
      <c r="D13" t="s">
        <v>2184</v>
      </c>
      <c r="E13">
        <v>31</v>
      </c>
      <c r="F13">
        <v>31</v>
      </c>
      <c r="G13" t="b">
        <v>1</v>
      </c>
      <c r="H13" s="14">
        <f>SUMIFS(Clean_Daily!$J$2:$J$2107,Clean_Daily!$M$2:$M$2107,A13)</f>
        <v>2093.485</v>
      </c>
      <c r="I13" s="14">
        <f>H13/E13</f>
        <v>67.53177419354839</v>
      </c>
      <c r="J13" s="14">
        <f>H12</f>
        <v>1770.6399999999999</v>
      </c>
      <c r="K13" s="14">
        <f>IF(AND(G13=TRUE,G12=TRUE),100*(H13/J13-1),"")</f>
        <v>18.23323769936296</v>
      </c>
    </row>
    <row r="14" spans="1:11">
      <c r="A14" s="11">
        <v>42005</v>
      </c>
      <c r="B14">
        <v>2015</v>
      </c>
      <c r="C14">
        <v>1</v>
      </c>
      <c r="D14" t="s">
        <v>2173</v>
      </c>
      <c r="E14">
        <v>31</v>
      </c>
      <c r="F14">
        <v>31</v>
      </c>
      <c r="G14" t="b">
        <v>1</v>
      </c>
      <c r="H14" s="14">
        <f>SUMIFS(Clean_Daily!$J$2:$J$2107,Clean_Daily!$M$2:$M$2107,A14)</f>
        <v>2157.749</v>
      </c>
      <c r="I14" s="14">
        <f>H14/E14</f>
        <v>69.6048064516129</v>
      </c>
      <c r="J14" s="14">
        <f>H13</f>
        <v>2093.485</v>
      </c>
      <c r="K14" s="14">
        <f>IF(AND(G14=TRUE,G13=TRUE),100*(H14/J14-1),"")</f>
        <v>3.0697138981172323</v>
      </c>
    </row>
    <row r="15" spans="1:11">
      <c r="A15" s="11">
        <v>42036</v>
      </c>
      <c r="B15">
        <v>2015</v>
      </c>
      <c r="C15">
        <v>2</v>
      </c>
      <c r="D15" t="s">
        <v>2174</v>
      </c>
      <c r="E15">
        <v>28</v>
      </c>
      <c r="F15">
        <v>28</v>
      </c>
      <c r="G15" t="b">
        <v>1</v>
      </c>
      <c r="H15" s="14">
        <f>SUMIFS(Clean_Daily!$J$2:$J$2107,Clean_Daily!$M$2:$M$2107,A15)</f>
        <v>1831.5320000000002</v>
      </c>
      <c r="I15" s="14">
        <f>H15/E15</f>
        <v>65.41185714285714</v>
      </c>
      <c r="J15" s="14">
        <f>H14</f>
        <v>2157.749</v>
      </c>
      <c r="K15" s="14">
        <f>IF(AND(G15=TRUE,G14=TRUE),100*(H15/J15-1),"")</f>
        <v>-15.118394215453224</v>
      </c>
    </row>
    <row r="16" spans="1:11">
      <c r="A16" s="11">
        <v>42064</v>
      </c>
      <c r="B16">
        <v>2015</v>
      </c>
      <c r="C16">
        <v>3</v>
      </c>
      <c r="D16" t="s">
        <v>2175</v>
      </c>
      <c r="E16">
        <v>31</v>
      </c>
      <c r="F16">
        <v>31</v>
      </c>
      <c r="G16" t="b">
        <v>1</v>
      </c>
      <c r="H16" s="14">
        <f>SUMIFS(Clean_Daily!$J$2:$J$2107,Clean_Daily!$M$2:$M$2107,A16)</f>
        <v>1949.076</v>
      </c>
      <c r="I16" s="14">
        <f>H16/E16</f>
        <v>62.87341935483871</v>
      </c>
      <c r="J16" s="14">
        <f>H15</f>
        <v>1831.5320000000002</v>
      </c>
      <c r="K16" s="14">
        <f>IF(AND(G16=TRUE,G15=TRUE),100*(H16/J16-1),"")</f>
        <v>6.417796686052979</v>
      </c>
    </row>
    <row r="17" spans="1:11">
      <c r="A17" s="11">
        <v>42095</v>
      </c>
      <c r="B17">
        <v>2015</v>
      </c>
      <c r="C17">
        <v>4</v>
      </c>
      <c r="D17" t="s">
        <v>2176</v>
      </c>
      <c r="E17">
        <v>30</v>
      </c>
      <c r="F17">
        <v>30</v>
      </c>
      <c r="G17" t="b">
        <v>1</v>
      </c>
      <c r="H17" s="14">
        <f>SUMIFS(Clean_Daily!$J$2:$J$2107,Clean_Daily!$M$2:$M$2107,A17)</f>
        <v>1723.885</v>
      </c>
      <c r="I17" s="14">
        <f>H17/E17</f>
        <v>57.462833333333336</v>
      </c>
      <c r="J17" s="14">
        <f>H16</f>
        <v>1949.076</v>
      </c>
      <c r="K17" s="14">
        <f>IF(AND(G17=TRUE,G16=TRUE),100*(H17/J17-1),"")</f>
        <v>-11.553731101301334</v>
      </c>
    </row>
    <row r="18" spans="1:11">
      <c r="A18" s="11">
        <v>42125</v>
      </c>
      <c r="B18">
        <v>2015</v>
      </c>
      <c r="C18">
        <v>5</v>
      </c>
      <c r="D18" t="s">
        <v>2177</v>
      </c>
      <c r="E18">
        <v>31</v>
      </c>
      <c r="F18">
        <v>31</v>
      </c>
      <c r="G18" t="b">
        <v>1</v>
      </c>
      <c r="H18" s="14">
        <f>SUMIFS(Clean_Daily!$J$2:$J$2107,Clean_Daily!$M$2:$M$2107,A18)</f>
        <v>1644.577</v>
      </c>
      <c r="I18" s="14">
        <f>H18/E18</f>
        <v>53.050870967741936</v>
      </c>
      <c r="J18" s="14">
        <f>H17</f>
        <v>1723.885</v>
      </c>
      <c r="K18" s="14">
        <f>IF(AND(G18=TRUE,G17=TRUE),100*(H18/J18-1),"")</f>
        <v>-4.600538899056494</v>
      </c>
    </row>
    <row r="19" spans="1:11">
      <c r="A19" s="11">
        <v>42156</v>
      </c>
      <c r="B19">
        <v>2015</v>
      </c>
      <c r="C19">
        <v>6</v>
      </c>
      <c r="D19" t="s">
        <v>2178</v>
      </c>
      <c r="E19">
        <v>30</v>
      </c>
      <c r="F19">
        <v>30</v>
      </c>
      <c r="G19" t="b">
        <v>1</v>
      </c>
      <c r="H19" s="14">
        <f>SUMIFS(Clean_Daily!$J$2:$J$2107,Clean_Daily!$M$2:$M$2107,A19)</f>
        <v>1674.233</v>
      </c>
      <c r="I19" s="14">
        <f>H19/E19</f>
        <v>55.807766666666666</v>
      </c>
      <c r="J19" s="14">
        <f>H18</f>
        <v>1644.577</v>
      </c>
      <c r="K19" s="14">
        <f>IF(AND(G19=TRUE,G18=TRUE),100*(H19/J19-1),"")</f>
        <v>1.8032600480245131</v>
      </c>
    </row>
    <row r="20" spans="1:11">
      <c r="A20" s="11">
        <v>42186</v>
      </c>
      <c r="B20">
        <v>2015</v>
      </c>
      <c r="C20">
        <v>7</v>
      </c>
      <c r="D20" t="s">
        <v>2179</v>
      </c>
      <c r="E20">
        <v>31</v>
      </c>
      <c r="F20">
        <v>31</v>
      </c>
      <c r="G20" t="b">
        <v>1</v>
      </c>
      <c r="H20" s="14">
        <f>SUMIFS(Clean_Daily!$J$2:$J$2107,Clean_Daily!$M$2:$M$2107,A20)</f>
        <v>1523.048</v>
      </c>
      <c r="I20" s="14">
        <f>H20/E20</f>
        <v>49.13058064516129</v>
      </c>
      <c r="J20" s="14">
        <f>H19</f>
        <v>1674.233</v>
      </c>
      <c r="K20" s="14">
        <f>IF(AND(G20=TRUE,G19=TRUE),100*(H20/J20-1),"")</f>
        <v>-9.030105128736555</v>
      </c>
    </row>
    <row r="21" spans="1:11">
      <c r="A21" s="11">
        <v>42217</v>
      </c>
      <c r="B21">
        <v>2015</v>
      </c>
      <c r="C21">
        <v>8</v>
      </c>
      <c r="D21" t="s">
        <v>2180</v>
      </c>
      <c r="E21">
        <v>31</v>
      </c>
      <c r="F21">
        <v>31</v>
      </c>
      <c r="G21" t="b">
        <v>1</v>
      </c>
      <c r="H21" s="14">
        <f>SUMIFS(Clean_Daily!$J$2:$J$2107,Clean_Daily!$M$2:$M$2107,A21)</f>
        <v>1659.597</v>
      </c>
      <c r="I21" s="14">
        <f>H21/E21</f>
        <v>53.535387096774194</v>
      </c>
      <c r="J21" s="14">
        <f>H20</f>
        <v>1523.048</v>
      </c>
      <c r="K21" s="14">
        <f>IF(AND(G21=TRUE,G20=TRUE),100*(H21/J21-1),"")</f>
        <v>8.96550863794181</v>
      </c>
    </row>
    <row r="22" spans="1:11">
      <c r="A22" s="11">
        <v>42248</v>
      </c>
      <c r="B22">
        <v>2015</v>
      </c>
      <c r="C22">
        <v>9</v>
      </c>
      <c r="D22" t="s">
        <v>2181</v>
      </c>
      <c r="E22">
        <v>30</v>
      </c>
      <c r="F22">
        <v>30</v>
      </c>
      <c r="G22" t="b">
        <v>1</v>
      </c>
      <c r="H22" s="14">
        <f>SUMIFS(Clean_Daily!$J$2:$J$2107,Clean_Daily!$M$2:$M$2107,A22)</f>
        <v>1679.367</v>
      </c>
      <c r="I22" s="14">
        <f>H22/E22</f>
        <v>55.978899999999996</v>
      </c>
      <c r="J22" s="14">
        <f>H21</f>
        <v>1659.597</v>
      </c>
      <c r="K22" s="14">
        <f>IF(AND(G22=TRUE,G21=TRUE),100*(H22/J22-1),"")</f>
        <v>1.1912530572181002</v>
      </c>
    </row>
    <row r="23" spans="1:11">
      <c r="A23" s="11">
        <v>42278</v>
      </c>
      <c r="B23">
        <v>2015</v>
      </c>
      <c r="C23">
        <v>10</v>
      </c>
      <c r="D23" t="s">
        <v>2182</v>
      </c>
      <c r="E23">
        <v>31</v>
      </c>
      <c r="F23">
        <v>31</v>
      </c>
      <c r="G23" t="b">
        <v>1</v>
      </c>
      <c r="H23" s="14">
        <f>SUMIFS(Clean_Daily!$J$2:$J$2107,Clean_Daily!$M$2:$M$2107,A23)</f>
        <v>2529.576</v>
      </c>
      <c r="I23" s="14">
        <f>H23/E23</f>
        <v>81.59922580645161</v>
      </c>
      <c r="J23" s="14">
        <f>H22</f>
        <v>1679.367</v>
      </c>
      <c r="K23" s="14">
        <f>IF(AND(G23=TRUE,G22=TRUE),100*(H23/J23-1),"")</f>
        <v>50.62675400909986</v>
      </c>
    </row>
    <row r="24" spans="1:11">
      <c r="A24" s="11">
        <v>42309</v>
      </c>
      <c r="B24">
        <v>2015</v>
      </c>
      <c r="C24">
        <v>11</v>
      </c>
      <c r="D24" t="s">
        <v>2183</v>
      </c>
      <c r="E24">
        <v>30</v>
      </c>
      <c r="F24">
        <v>30</v>
      </c>
      <c r="G24" t="b">
        <v>1</v>
      </c>
      <c r="H24" s="14">
        <f>SUMIFS(Clean_Daily!$J$2:$J$2107,Clean_Daily!$M$2:$M$2107,A24)</f>
        <v>2106.888</v>
      </c>
      <c r="I24" s="14">
        <f>H24/E24</f>
        <v>70.22959999999999</v>
      </c>
      <c r="J24" s="14">
        <f>H23</f>
        <v>2529.576</v>
      </c>
      <c r="K24" s="14">
        <f>IF(AND(G24=TRUE,G23=TRUE),100*(H24/J24-1),"")</f>
        <v>-16.709835956697884</v>
      </c>
    </row>
    <row r="25" spans="1:11">
      <c r="A25" s="11">
        <v>42339</v>
      </c>
      <c r="B25">
        <v>2015</v>
      </c>
      <c r="C25">
        <v>12</v>
      </c>
      <c r="D25" t="s">
        <v>2184</v>
      </c>
      <c r="E25">
        <v>31</v>
      </c>
      <c r="F25">
        <v>31</v>
      </c>
      <c r="G25" t="b">
        <v>1</v>
      </c>
      <c r="H25" s="14">
        <f>SUMIFS(Clean_Daily!$J$2:$J$2107,Clean_Daily!$M$2:$M$2107,A25)</f>
        <v>2272.83</v>
      </c>
      <c r="I25" s="14">
        <f>H25/E25</f>
        <v>73.31709677419354</v>
      </c>
      <c r="J25" s="14">
        <f>H24</f>
        <v>2106.888</v>
      </c>
      <c r="K25" s="14">
        <f>IF(AND(G25=TRUE,G24=TRUE),100*(H25/J25-1),"")</f>
        <v>7.876166174946175</v>
      </c>
    </row>
    <row r="26" spans="1:11">
      <c r="A26" s="11">
        <v>42370</v>
      </c>
      <c r="B26">
        <v>2016</v>
      </c>
      <c r="C26">
        <v>1</v>
      </c>
      <c r="D26" t="s">
        <v>2173</v>
      </c>
      <c r="E26">
        <v>31</v>
      </c>
      <c r="F26">
        <v>31</v>
      </c>
      <c r="G26" t="b">
        <v>1</v>
      </c>
      <c r="H26" s="14">
        <f>SUMIFS(Clean_Daily!$J$2:$J$2107,Clean_Daily!$M$2:$M$2107,A26)</f>
        <v>2451.376</v>
      </c>
      <c r="I26" s="14">
        <f>H26/E26</f>
        <v>79.07664516129033</v>
      </c>
      <c r="J26" s="14">
        <f>H25</f>
        <v>2272.83</v>
      </c>
      <c r="K26" s="14">
        <f>IF(AND(G26=TRUE,G25=TRUE),100*(H26/J26-1),"")</f>
        <v>7.855668923764658</v>
      </c>
    </row>
    <row r="27" spans="1:11">
      <c r="A27" s="11">
        <v>42401</v>
      </c>
      <c r="B27">
        <v>2016</v>
      </c>
      <c r="C27">
        <v>2</v>
      </c>
      <c r="D27" t="s">
        <v>2174</v>
      </c>
      <c r="E27">
        <v>29</v>
      </c>
      <c r="F27">
        <v>29</v>
      </c>
      <c r="G27" t="b">
        <v>1</v>
      </c>
      <c r="H27" s="14">
        <f>SUMIFS(Clean_Daily!$J$2:$J$2107,Clean_Daily!$M$2:$M$2107,A27)</f>
        <v>2232.4</v>
      </c>
      <c r="I27" s="14">
        <f>H27/E27</f>
        <v>76.9793103448276</v>
      </c>
      <c r="J27" s="14">
        <f>H26</f>
        <v>2451.376</v>
      </c>
      <c r="K27" s="14">
        <f>IF(AND(G27=TRUE,G26=TRUE),100*(H27/J27-1),"")</f>
        <v>-8.932778978010724</v>
      </c>
    </row>
    <row r="28" spans="1:11">
      <c r="A28" s="11">
        <v>42430</v>
      </c>
      <c r="B28">
        <v>2016</v>
      </c>
      <c r="C28">
        <v>3</v>
      </c>
      <c r="D28" t="s">
        <v>2175</v>
      </c>
      <c r="E28">
        <v>31</v>
      </c>
      <c r="F28">
        <v>31</v>
      </c>
      <c r="G28" t="b">
        <v>1</v>
      </c>
      <c r="H28" s="14">
        <f>SUMIFS(Clean_Daily!$J$2:$J$2107,Clean_Daily!$M$2:$M$2107,A28)</f>
        <v>2235.169</v>
      </c>
      <c r="I28" s="14">
        <f>H28/E28</f>
        <v>72.10222580645161</v>
      </c>
      <c r="J28" s="14">
        <f>H27</f>
        <v>2232.4</v>
      </c>
      <c r="K28" s="14">
        <f>IF(AND(G28=TRUE,G27=TRUE),100*(H28/J28-1),"")</f>
        <v>0.12403691094784453</v>
      </c>
    </row>
    <row r="29" spans="1:11">
      <c r="A29" s="11">
        <v>42461</v>
      </c>
      <c r="B29">
        <v>2016</v>
      </c>
      <c r="C29">
        <v>4</v>
      </c>
      <c r="D29" t="s">
        <v>2176</v>
      </c>
      <c r="E29">
        <v>30</v>
      </c>
      <c r="F29">
        <v>30</v>
      </c>
      <c r="G29" t="b">
        <v>1</v>
      </c>
      <c r="H29" s="14">
        <f>SUMIFS(Clean_Daily!$J$2:$J$2107,Clean_Daily!$M$2:$M$2107,A29)</f>
        <v>2147.573</v>
      </c>
      <c r="I29" s="14">
        <f>H29/E29</f>
        <v>71.58576666666666</v>
      </c>
      <c r="J29" s="14">
        <f>H28</f>
        <v>2235.169</v>
      </c>
      <c r="K29" s="14">
        <f>IF(AND(G29=TRUE,G28=TRUE),100*(H29/J29-1),"")</f>
        <v>-3.9189877812371265</v>
      </c>
    </row>
    <row r="30" spans="1:11">
      <c r="A30" s="11">
        <v>42491</v>
      </c>
      <c r="B30">
        <v>2016</v>
      </c>
      <c r="C30">
        <v>5</v>
      </c>
      <c r="D30" t="s">
        <v>2177</v>
      </c>
      <c r="E30">
        <v>31</v>
      </c>
      <c r="F30">
        <v>31</v>
      </c>
      <c r="G30" t="b">
        <v>1</v>
      </c>
      <c r="H30" s="14">
        <f>SUMIFS(Clean_Daily!$J$2:$J$2107,Clean_Daily!$M$2:$M$2107,A30)</f>
        <v>1957.021</v>
      </c>
      <c r="I30" s="14">
        <f>H30/E30</f>
        <v>63.129709677419356</v>
      </c>
      <c r="J30" s="14">
        <f>H29</f>
        <v>2147.573</v>
      </c>
      <c r="K30" s="14">
        <f>IF(AND(G30=TRUE,G29=TRUE),100*(H30/J30-1),"")</f>
        <v>-8.872899780356702</v>
      </c>
    </row>
    <row r="31" spans="1:11">
      <c r="A31" s="11">
        <v>42522</v>
      </c>
      <c r="B31">
        <v>2016</v>
      </c>
      <c r="C31">
        <v>6</v>
      </c>
      <c r="D31" t="s">
        <v>2178</v>
      </c>
      <c r="E31">
        <v>30</v>
      </c>
      <c r="F31">
        <v>30</v>
      </c>
      <c r="G31" t="b">
        <v>1</v>
      </c>
      <c r="H31" s="14">
        <f>SUMIFS(Clean_Daily!$J$2:$J$2107,Clean_Daily!$M$2:$M$2107,A31)</f>
        <v>1724.731</v>
      </c>
      <c r="I31" s="14">
        <f>H31/E31</f>
        <v>57.491033333333334</v>
      </c>
      <c r="J31" s="14">
        <f>H30</f>
        <v>1957.021</v>
      </c>
      <c r="K31" s="14">
        <f>IF(AND(G31=TRUE,G30=TRUE),100*(H31/J31-1),"")</f>
        <v>-11.869571149210966</v>
      </c>
    </row>
    <row r="32" spans="1:11">
      <c r="A32" s="11">
        <v>42552</v>
      </c>
      <c r="B32">
        <v>2016</v>
      </c>
      <c r="C32">
        <v>7</v>
      </c>
      <c r="D32" t="s">
        <v>2179</v>
      </c>
      <c r="E32">
        <v>31</v>
      </c>
      <c r="F32">
        <v>31</v>
      </c>
      <c r="G32" t="b">
        <v>1</v>
      </c>
      <c r="H32" s="14">
        <f>SUMIFS(Clean_Daily!$J$2:$J$2107,Clean_Daily!$M$2:$M$2107,A32)</f>
        <v>1599.639333333</v>
      </c>
      <c r="I32" s="14">
        <f>H32/E32</f>
        <v>51.60126881719355</v>
      </c>
      <c r="J32" s="14">
        <f>H31</f>
        <v>1724.731</v>
      </c>
      <c r="K32" s="14">
        <f>IF(AND(G32=TRUE,G31=TRUE),100*(H32/J32-1),"")</f>
        <v>-7.252821841029123</v>
      </c>
    </row>
    <row r="33" spans="1:11">
      <c r="A33" s="11">
        <v>42583</v>
      </c>
      <c r="B33">
        <v>2016</v>
      </c>
      <c r="C33">
        <v>8</v>
      </c>
      <c r="D33" t="s">
        <v>2180</v>
      </c>
      <c r="E33">
        <v>31</v>
      </c>
      <c r="F33">
        <v>31</v>
      </c>
      <c r="G33" t="b">
        <v>1</v>
      </c>
      <c r="H33" s="14">
        <f>SUMIFS(Clean_Daily!$J$2:$J$2107,Clean_Daily!$M$2:$M$2107,A33)</f>
        <v>1633.38833334</v>
      </c>
      <c r="I33" s="14">
        <f>H33/E33</f>
        <v>52.68994623677419</v>
      </c>
      <c r="J33" s="14">
        <f>H32</f>
        <v>1599.639333333</v>
      </c>
      <c r="K33" s="14">
        <f>IF(AND(G33=TRUE,G32=TRUE),100*(H33/J33-1),"")</f>
        <v>2.109788081834707</v>
      </c>
    </row>
    <row r="34" spans="1:11">
      <c r="A34" s="11">
        <v>42614</v>
      </c>
      <c r="B34">
        <v>2016</v>
      </c>
      <c r="C34">
        <v>9</v>
      </c>
      <c r="D34" t="s">
        <v>2181</v>
      </c>
      <c r="E34">
        <v>30</v>
      </c>
      <c r="F34">
        <v>30</v>
      </c>
      <c r="G34" t="b">
        <v>1</v>
      </c>
      <c r="H34" s="14">
        <f>SUMIFS(Clean_Daily!$J$2:$J$2107,Clean_Daily!$M$2:$M$2107,A34)</f>
        <v>2049.877</v>
      </c>
      <c r="I34" s="14">
        <f>H34/E34</f>
        <v>68.32923333333333</v>
      </c>
      <c r="J34" s="14">
        <f>H33</f>
        <v>1633.38833334</v>
      </c>
      <c r="K34" s="14">
        <f>IF(AND(G34=TRUE,G33=TRUE),100*(H34/J34-1),"")</f>
        <v>25.498447500745392</v>
      </c>
    </row>
    <row r="35" spans="1:11">
      <c r="A35" s="11">
        <v>42644</v>
      </c>
      <c r="B35">
        <v>2016</v>
      </c>
      <c r="C35">
        <v>10</v>
      </c>
      <c r="D35" t="s">
        <v>2182</v>
      </c>
      <c r="E35">
        <v>31</v>
      </c>
      <c r="F35">
        <v>31</v>
      </c>
      <c r="G35" t="b">
        <v>1</v>
      </c>
      <c r="H35" s="14">
        <f>SUMIFS(Clean_Daily!$J$2:$J$2107,Clean_Daily!$M$2:$M$2107,A35)</f>
        <v>2655.391</v>
      </c>
      <c r="I35" s="14">
        <f>H35/E35</f>
        <v>85.65777419354839</v>
      </c>
      <c r="J35" s="14">
        <f>H34</f>
        <v>2049.877</v>
      </c>
      <c r="K35" s="14">
        <f>IF(AND(G35=TRUE,G34=TRUE),100*(H35/J35-1),"")</f>
        <v>29.53904063512105</v>
      </c>
    </row>
    <row r="36" spans="1:11">
      <c r="A36" s="11">
        <v>42675</v>
      </c>
      <c r="B36">
        <v>2016</v>
      </c>
      <c r="C36">
        <v>11</v>
      </c>
      <c r="D36" t="s">
        <v>2183</v>
      </c>
      <c r="E36">
        <v>30</v>
      </c>
      <c r="F36">
        <v>30</v>
      </c>
      <c r="G36" t="b">
        <v>1</v>
      </c>
      <c r="H36" s="14">
        <f>SUMIFS(Clean_Daily!$J$2:$J$2107,Clean_Daily!$M$2:$M$2107,A36)</f>
        <v>1942.599333337</v>
      </c>
      <c r="I36" s="14">
        <f>H36/E36</f>
        <v>64.75331111123333</v>
      </c>
      <c r="J36" s="14">
        <f>H35</f>
        <v>2655.391</v>
      </c>
      <c r="K36" s="14">
        <f>IF(AND(G36=TRUE,G35=TRUE),100*(H36/J36-1),"")</f>
        <v>-26.843190575813512</v>
      </c>
    </row>
    <row r="37" spans="1:11">
      <c r="A37" s="11">
        <v>42705</v>
      </c>
      <c r="B37">
        <v>2016</v>
      </c>
      <c r="C37">
        <v>12</v>
      </c>
      <c r="D37" t="s">
        <v>2184</v>
      </c>
      <c r="E37">
        <v>31</v>
      </c>
      <c r="F37">
        <v>31</v>
      </c>
      <c r="G37" t="b">
        <v>1</v>
      </c>
      <c r="H37" s="14">
        <f>SUMIFS(Clean_Daily!$J$2:$J$2107,Clean_Daily!$M$2:$M$2107,A37)</f>
        <v>2605.760999997</v>
      </c>
      <c r="I37" s="14">
        <f>H37/E37</f>
        <v>84.05680645151612</v>
      </c>
      <c r="J37" s="14">
        <f>H36</f>
        <v>1942.599333337</v>
      </c>
      <c r="K37" s="14">
        <f>IF(AND(G37=TRUE,G36=TRUE),100*(H37/J37-1),"")</f>
        <v>34.137851036982504</v>
      </c>
    </row>
    <row r="38" spans="1:11">
      <c r="A38" s="11">
        <v>42736</v>
      </c>
      <c r="B38">
        <v>2017</v>
      </c>
      <c r="C38">
        <v>1</v>
      </c>
      <c r="D38" t="s">
        <v>2173</v>
      </c>
      <c r="E38">
        <v>31</v>
      </c>
      <c r="F38">
        <v>31</v>
      </c>
      <c r="G38" t="b">
        <v>1</v>
      </c>
      <c r="H38" s="14">
        <f>SUMIFS(Clean_Daily!$J$2:$J$2107,Clean_Daily!$M$2:$M$2107,A38)</f>
        <v>2699.597083319</v>
      </c>
      <c r="I38" s="14">
        <f>H38/E38</f>
        <v>87.08377688125806</v>
      </c>
      <c r="J38" s="14">
        <f>H37</f>
        <v>2605.760999997</v>
      </c>
      <c r="K38" s="14">
        <f>IF(AND(G38=TRUE,G37=TRUE),100*(H38/J38-1),"")</f>
        <v>3.6011009191598164</v>
      </c>
    </row>
    <row r="39" spans="1:11">
      <c r="A39" s="11">
        <v>42767</v>
      </c>
      <c r="B39">
        <v>2017</v>
      </c>
      <c r="C39">
        <v>2</v>
      </c>
      <c r="D39" t="s">
        <v>2174</v>
      </c>
      <c r="E39">
        <v>28</v>
      </c>
      <c r="F39">
        <v>28</v>
      </c>
      <c r="G39" t="b">
        <v>1</v>
      </c>
      <c r="H39" s="14">
        <f>SUMIFS(Clean_Daily!$J$2:$J$2107,Clean_Daily!$M$2:$M$2107,A39)</f>
        <v>1447.471583321</v>
      </c>
      <c r="I39" s="14">
        <f>H39/E39</f>
        <v>51.695413690035714</v>
      </c>
      <c r="J39" s="14">
        <f>H38</f>
        <v>2699.597083319</v>
      </c>
      <c r="K39" s="14">
        <f>IF(AND(G39=TRUE,G38=TRUE),100*(H39/J39-1),"")</f>
        <v>-46.38194002115987</v>
      </c>
    </row>
    <row r="40" spans="1:11">
      <c r="A40" s="11">
        <v>42795</v>
      </c>
      <c r="B40">
        <v>2017</v>
      </c>
      <c r="C40">
        <v>3</v>
      </c>
      <c r="D40" t="s">
        <v>2175</v>
      </c>
      <c r="E40">
        <v>31</v>
      </c>
      <c r="F40">
        <v>31</v>
      </c>
      <c r="G40" t="b">
        <v>1</v>
      </c>
      <c r="H40" s="14">
        <f>SUMIFS(Clean_Daily!$J$2:$J$2107,Clean_Daily!$M$2:$M$2107,A40)</f>
        <v>1376.855</v>
      </c>
      <c r="I40" s="14">
        <f>H40/E40</f>
        <v>44.41467741935484</v>
      </c>
      <c r="J40" s="14">
        <f>H39</f>
        <v>1447.471583321</v>
      </c>
      <c r="K40" s="14">
        <f>IF(AND(G40=TRUE,G39=TRUE),100*(H40/J40-1),"")</f>
        <v>-4.878616211516995</v>
      </c>
    </row>
    <row r="41" spans="1:11">
      <c r="A41" s="11">
        <v>42826</v>
      </c>
      <c r="B41">
        <v>2017</v>
      </c>
      <c r="C41">
        <v>4</v>
      </c>
      <c r="D41" t="s">
        <v>2176</v>
      </c>
      <c r="E41">
        <v>30</v>
      </c>
      <c r="F41">
        <v>30</v>
      </c>
      <c r="G41" t="b">
        <v>1</v>
      </c>
      <c r="H41" s="14">
        <f>SUMIFS(Clean_Daily!$J$2:$J$2107,Clean_Daily!$M$2:$M$2107,A41)</f>
        <v>1341.8</v>
      </c>
      <c r="I41" s="14">
        <f>H41/E41</f>
        <v>44.72666666666667</v>
      </c>
      <c r="J41" s="14">
        <f>H40</f>
        <v>1376.855</v>
      </c>
      <c r="K41" s="14">
        <f>IF(AND(G41=TRUE,G40=TRUE),100*(H41/J41-1),"")</f>
        <v>-2.54601973337788</v>
      </c>
    </row>
    <row r="42" spans="1:11">
      <c r="A42" s="11">
        <v>42856</v>
      </c>
      <c r="B42">
        <v>2017</v>
      </c>
      <c r="C42">
        <v>5</v>
      </c>
      <c r="D42" t="s">
        <v>2177</v>
      </c>
      <c r="E42">
        <v>31</v>
      </c>
      <c r="F42">
        <v>31</v>
      </c>
      <c r="G42" t="b">
        <v>1</v>
      </c>
      <c r="H42" s="14">
        <f>SUMIFS(Clean_Daily!$J$2:$J$2107,Clean_Daily!$M$2:$M$2107,A42)</f>
        <v>1369.485</v>
      </c>
      <c r="I42" s="14">
        <f>H42/E42</f>
        <v>44.17693548387096</v>
      </c>
      <c r="J42" s="14">
        <f>H41</f>
        <v>1341.8</v>
      </c>
      <c r="K42" s="14">
        <f>IF(AND(G42=TRUE,G41=TRUE),100*(H42/J42-1),"")</f>
        <v>2.063273215084216</v>
      </c>
    </row>
    <row r="43" spans="1:11">
      <c r="A43" s="11">
        <v>42887</v>
      </c>
      <c r="B43">
        <v>2017</v>
      </c>
      <c r="C43">
        <v>6</v>
      </c>
      <c r="D43" t="s">
        <v>2178</v>
      </c>
      <c r="E43">
        <v>30</v>
      </c>
      <c r="F43">
        <v>30</v>
      </c>
      <c r="G43" t="b">
        <v>1</v>
      </c>
      <c r="H43" s="14">
        <f>SUMIFS(Clean_Daily!$J$2:$J$2107,Clean_Daily!$M$2:$M$2107,A43)</f>
        <v>1306.936</v>
      </c>
      <c r="I43" s="14">
        <f>H43/E43</f>
        <v>43.56453333333333</v>
      </c>
      <c r="J43" s="14">
        <f>H42</f>
        <v>1369.485</v>
      </c>
      <c r="K43" s="14">
        <f>IF(AND(G43=TRUE,G42=TRUE),100*(H43/J43-1),"")</f>
        <v>-4.567337356743595</v>
      </c>
    </row>
    <row r="44" spans="1:11">
      <c r="A44" s="11">
        <v>42917</v>
      </c>
      <c r="B44">
        <v>2017</v>
      </c>
      <c r="C44">
        <v>7</v>
      </c>
      <c r="D44" t="s">
        <v>2179</v>
      </c>
      <c r="E44">
        <v>31</v>
      </c>
      <c r="F44">
        <v>31</v>
      </c>
      <c r="G44" t="b">
        <v>1</v>
      </c>
      <c r="H44" s="14">
        <f>SUMIFS(Clean_Daily!$J$2:$J$2107,Clean_Daily!$M$2:$M$2107,A44)</f>
        <v>1251.151</v>
      </c>
      <c r="I44" s="14">
        <f>H44/E44</f>
        <v>40.35970967741936</v>
      </c>
      <c r="J44" s="14">
        <f>H43</f>
        <v>1306.936</v>
      </c>
      <c r="K44" s="14">
        <f>IF(AND(G44=TRUE,G43=TRUE),100*(H44/J44-1),"")</f>
        <v>-4.268380395061411</v>
      </c>
    </row>
    <row r="45" spans="1:11">
      <c r="A45" s="11">
        <v>42948</v>
      </c>
      <c r="B45">
        <v>2017</v>
      </c>
      <c r="C45">
        <v>8</v>
      </c>
      <c r="D45" t="s">
        <v>2180</v>
      </c>
      <c r="E45">
        <v>31</v>
      </c>
      <c r="F45">
        <v>31</v>
      </c>
      <c r="G45" t="b">
        <v>1</v>
      </c>
      <c r="H45" s="14">
        <f>SUMIFS(Clean_Daily!$J$2:$J$2107,Clean_Daily!$M$2:$M$2107,A45)</f>
        <v>1302.42</v>
      </c>
      <c r="I45" s="14">
        <f>H45/E45</f>
        <v>42.013548387096776</v>
      </c>
      <c r="J45" s="14">
        <f>H44</f>
        <v>1251.151</v>
      </c>
      <c r="K45" s="14">
        <f>IF(AND(G45=TRUE,G44=TRUE),100*(H45/J45-1),"")</f>
        <v>4.097746794751389</v>
      </c>
    </row>
    <row r="46" spans="1:11">
      <c r="A46" s="11">
        <v>42979</v>
      </c>
      <c r="B46">
        <v>2017</v>
      </c>
      <c r="C46">
        <v>9</v>
      </c>
      <c r="D46" t="s">
        <v>2181</v>
      </c>
      <c r="E46">
        <v>30</v>
      </c>
      <c r="F46">
        <v>30</v>
      </c>
      <c r="G46" t="b">
        <v>1</v>
      </c>
      <c r="H46" s="14">
        <f>SUMIFS(Clean_Daily!$J$2:$J$2107,Clean_Daily!$M$2:$M$2107,A46)</f>
        <v>1660.841</v>
      </c>
      <c r="I46" s="14">
        <f>H46/E46</f>
        <v>55.36136666666666</v>
      </c>
      <c r="J46" s="14">
        <f>H45</f>
        <v>1302.42</v>
      </c>
      <c r="K46" s="14">
        <f>IF(AND(G46=TRUE,G45=TRUE),100*(H46/J46-1),"")</f>
        <v>27.519617327743727</v>
      </c>
    </row>
    <row r="47" spans="1:11">
      <c r="A47" s="11">
        <v>43009</v>
      </c>
      <c r="B47">
        <v>2017</v>
      </c>
      <c r="C47">
        <v>10</v>
      </c>
      <c r="D47" t="s">
        <v>2182</v>
      </c>
      <c r="E47">
        <v>31</v>
      </c>
      <c r="F47">
        <v>31</v>
      </c>
      <c r="G47" t="b">
        <v>1</v>
      </c>
      <c r="H47" s="14">
        <f>SUMIFS(Clean_Daily!$J$2:$J$2107,Clean_Daily!$M$2:$M$2107,A47)</f>
        <v>2050.127</v>
      </c>
      <c r="I47" s="14">
        <f>H47/E47</f>
        <v>66.13312903225807</v>
      </c>
      <c r="J47" s="14">
        <f>H46</f>
        <v>1660.841</v>
      </c>
      <c r="K47" s="14">
        <f>IF(AND(G47=TRUE,G46=TRUE),100*(H47/J47-1),"")</f>
        <v>23.43908899166145</v>
      </c>
    </row>
    <row r="48" spans="1:11">
      <c r="A48" s="11">
        <v>43040</v>
      </c>
      <c r="B48">
        <v>2017</v>
      </c>
      <c r="C48">
        <v>11</v>
      </c>
      <c r="D48" t="s">
        <v>2183</v>
      </c>
      <c r="E48">
        <v>30</v>
      </c>
      <c r="F48">
        <v>30</v>
      </c>
      <c r="G48" t="b">
        <v>1</v>
      </c>
      <c r="H48" s="14">
        <f>SUMIFS(Clean_Daily!$J$2:$J$2107,Clean_Daily!$M$2:$M$2107,A48)</f>
        <v>1705.579</v>
      </c>
      <c r="I48" s="14">
        <f>H48/E48</f>
        <v>56.85263333333333</v>
      </c>
      <c r="J48" s="14">
        <f>H47</f>
        <v>2050.127</v>
      </c>
      <c r="K48" s="14">
        <f>IF(AND(G48=TRUE,G47=TRUE),100*(H48/J48-1),"")</f>
        <v>-16.80617834895106</v>
      </c>
    </row>
    <row r="49" spans="1:11">
      <c r="A49" s="11">
        <v>43070</v>
      </c>
      <c r="B49">
        <v>2017</v>
      </c>
      <c r="C49">
        <v>12</v>
      </c>
      <c r="D49" t="s">
        <v>2184</v>
      </c>
      <c r="E49">
        <v>31</v>
      </c>
      <c r="F49">
        <v>31</v>
      </c>
      <c r="G49" t="b">
        <v>1</v>
      </c>
      <c r="H49" s="14">
        <f>SUMIFS(Clean_Daily!$J$2:$J$2107,Clean_Daily!$M$2:$M$2107,A49)</f>
        <v>1887.103</v>
      </c>
      <c r="I49" s="14">
        <f>H49/E49</f>
        <v>60.87429032258065</v>
      </c>
      <c r="J49" s="14">
        <f>H48</f>
        <v>1705.579</v>
      </c>
      <c r="K49" s="14">
        <f>IF(AND(G49=TRUE,G48=TRUE),100*(H49/J49-1),"")</f>
        <v>10.642954679906369</v>
      </c>
    </row>
    <row r="50" spans="1:11">
      <c r="A50" s="11">
        <v>43101</v>
      </c>
      <c r="B50">
        <v>2018</v>
      </c>
      <c r="C50">
        <v>1</v>
      </c>
      <c r="D50" t="s">
        <v>2173</v>
      </c>
      <c r="E50">
        <v>31</v>
      </c>
      <c r="F50">
        <v>31</v>
      </c>
      <c r="G50" t="b">
        <v>1</v>
      </c>
      <c r="H50" s="14">
        <f>SUMIFS(Clean_Daily!$J$2:$J$2107,Clean_Daily!$M$2:$M$2107,A50)</f>
        <v>1985.701</v>
      </c>
      <c r="I50" s="14">
        <f>H50/E50</f>
        <v>64.05487096774193</v>
      </c>
      <c r="J50" s="14">
        <f>H49</f>
        <v>1887.103</v>
      </c>
      <c r="K50" s="14">
        <f>IF(AND(G50=TRUE,G49=TRUE),100*(H50/J50-1),"")</f>
        <v>5.224834044564597</v>
      </c>
    </row>
    <row r="51" spans="1:11">
      <c r="A51" s="11">
        <v>43132</v>
      </c>
      <c r="B51">
        <v>2018</v>
      </c>
      <c r="C51">
        <v>2</v>
      </c>
      <c r="D51" t="s">
        <v>2174</v>
      </c>
      <c r="E51">
        <v>28</v>
      </c>
      <c r="F51">
        <v>28</v>
      </c>
      <c r="G51" t="b">
        <v>1</v>
      </c>
      <c r="H51" s="14">
        <f>SUMIFS(Clean_Daily!$J$2:$J$2107,Clean_Daily!$M$2:$M$2107,A51)</f>
        <v>2174.498</v>
      </c>
      <c r="I51" s="14">
        <f>H51/E51</f>
        <v>77.66064285714286</v>
      </c>
      <c r="J51" s="14">
        <f>H50</f>
        <v>1985.701</v>
      </c>
      <c r="K51" s="14">
        <f>IF(AND(G51=TRUE,G50=TRUE),100*(H51/J51-1),"")</f>
        <v>9.507826203441505</v>
      </c>
    </row>
    <row r="52" spans="1:11">
      <c r="A52" s="11">
        <v>43160</v>
      </c>
      <c r="B52">
        <v>2018</v>
      </c>
      <c r="C52">
        <v>3</v>
      </c>
      <c r="D52" t="s">
        <v>2175</v>
      </c>
      <c r="E52">
        <v>31</v>
      </c>
      <c r="F52">
        <v>31</v>
      </c>
      <c r="G52" t="b">
        <v>1</v>
      </c>
      <c r="H52" s="14">
        <f>SUMIFS(Clean_Daily!$J$2:$J$2107,Clean_Daily!$M$2:$M$2107,A52)</f>
        <v>2156.847</v>
      </c>
      <c r="I52" s="14">
        <f>H52/E52</f>
        <v>69.57570967741937</v>
      </c>
      <c r="J52" s="14">
        <f>H51</f>
        <v>2174.498</v>
      </c>
      <c r="K52" s="14">
        <f>IF(AND(G52=TRUE,G51=TRUE),100*(H52/J52-1),"")</f>
        <v>-0.8117275803426693</v>
      </c>
    </row>
    <row r="53" spans="1:11">
      <c r="A53" s="11">
        <v>43191</v>
      </c>
      <c r="B53">
        <v>2018</v>
      </c>
      <c r="C53">
        <v>4</v>
      </c>
      <c r="D53" t="s">
        <v>2176</v>
      </c>
      <c r="E53">
        <v>30</v>
      </c>
      <c r="F53">
        <v>30</v>
      </c>
      <c r="G53" t="b">
        <v>1</v>
      </c>
      <c r="H53" s="14">
        <f>SUMIFS(Clean_Daily!$J$2:$J$2107,Clean_Daily!$M$2:$M$2107,A53)</f>
        <v>1894.73</v>
      </c>
      <c r="I53" s="14">
        <f>H53/E53</f>
        <v>63.157666666666664</v>
      </c>
      <c r="J53" s="14">
        <f>H52</f>
        <v>2156.847</v>
      </c>
      <c r="K53" s="14">
        <f>IF(AND(G53=TRUE,G52=TRUE),100*(H53/J53-1),"")</f>
        <v>-12.152785988064995</v>
      </c>
    </row>
    <row r="54" spans="1:11">
      <c r="A54" s="11">
        <v>43221</v>
      </c>
      <c r="B54">
        <v>2018</v>
      </c>
      <c r="C54">
        <v>5</v>
      </c>
      <c r="D54" t="s">
        <v>2177</v>
      </c>
      <c r="E54">
        <v>31</v>
      </c>
      <c r="F54">
        <v>31</v>
      </c>
      <c r="G54" t="b">
        <v>1</v>
      </c>
      <c r="H54" s="14">
        <f>SUMIFS(Clean_Daily!$J$2:$J$2107,Clean_Daily!$M$2:$M$2107,A54)</f>
        <v>1650.13</v>
      </c>
      <c r="I54" s="14">
        <f>H54/E54</f>
        <v>53.230000000000004</v>
      </c>
      <c r="J54" s="14">
        <f>H53</f>
        <v>1894.73</v>
      </c>
      <c r="K54" s="14">
        <f>IF(AND(G54=TRUE,G53=TRUE),100*(H54/J54-1),"")</f>
        <v>-12.909491062051048</v>
      </c>
    </row>
    <row r="55" spans="1:11">
      <c r="A55" s="11">
        <v>43252</v>
      </c>
      <c r="B55">
        <v>2018</v>
      </c>
      <c r="C55">
        <v>6</v>
      </c>
      <c r="D55" t="s">
        <v>2178</v>
      </c>
      <c r="E55">
        <v>30</v>
      </c>
      <c r="F55">
        <v>30</v>
      </c>
      <c r="G55" t="b">
        <v>1</v>
      </c>
      <c r="H55" s="14">
        <f>SUMIFS(Clean_Daily!$J$2:$J$2107,Clean_Daily!$M$2:$M$2107,A55)</f>
        <v>1414.349</v>
      </c>
      <c r="I55" s="14">
        <f>H55/E55</f>
        <v>47.14496666666666</v>
      </c>
      <c r="J55" s="14">
        <f>H54</f>
        <v>1650.13</v>
      </c>
      <c r="K55" s="14">
        <f>IF(AND(G55=TRUE,G54=TRUE),100*(H55/J55-1),"")</f>
        <v>-14.288631804766904</v>
      </c>
    </row>
    <row r="56" spans="1:11">
      <c r="A56" s="11">
        <v>43282</v>
      </c>
      <c r="B56">
        <v>2018</v>
      </c>
      <c r="C56">
        <v>7</v>
      </c>
      <c r="D56" t="s">
        <v>2179</v>
      </c>
      <c r="E56">
        <v>31</v>
      </c>
      <c r="F56">
        <v>31</v>
      </c>
      <c r="G56" t="b">
        <v>1</v>
      </c>
      <c r="H56" s="14">
        <f>SUMIFS(Clean_Daily!$J$2:$J$2107,Clean_Daily!$M$2:$M$2107,A56)</f>
        <v>1563.479</v>
      </c>
      <c r="I56" s="14">
        <f>H56/E56</f>
        <v>50.43480645161291</v>
      </c>
      <c r="J56" s="14">
        <f>H55</f>
        <v>1414.349</v>
      </c>
      <c r="K56" s="14">
        <f>IF(AND(G56=TRUE,G55=TRUE),100*(H56/J56-1),"")</f>
        <v>10.544073633876794</v>
      </c>
    </row>
    <row r="57" spans="1:11">
      <c r="A57" s="11">
        <v>43313</v>
      </c>
      <c r="B57">
        <v>2018</v>
      </c>
      <c r="C57">
        <v>8</v>
      </c>
      <c r="D57" t="s">
        <v>2180</v>
      </c>
      <c r="E57">
        <v>31</v>
      </c>
      <c r="F57">
        <v>31</v>
      </c>
      <c r="G57" t="b">
        <v>1</v>
      </c>
      <c r="H57" s="14">
        <f>SUMIFS(Clean_Daily!$J$2:$J$2107,Clean_Daily!$M$2:$M$2107,A57)</f>
        <v>1611.907</v>
      </c>
      <c r="I57" s="14">
        <f>H57/E57</f>
        <v>51.997</v>
      </c>
      <c r="J57" s="14">
        <f>H56</f>
        <v>1563.479</v>
      </c>
      <c r="K57" s="14">
        <f>IF(AND(G57=TRUE,G56=TRUE),100*(H57/J57-1),"")</f>
        <v>3.0974512609379445</v>
      </c>
    </row>
    <row r="58" spans="1:11">
      <c r="A58" s="11">
        <v>43344</v>
      </c>
      <c r="B58">
        <v>2018</v>
      </c>
      <c r="C58">
        <v>9</v>
      </c>
      <c r="D58" t="s">
        <v>2181</v>
      </c>
      <c r="E58">
        <v>30</v>
      </c>
      <c r="F58">
        <v>30</v>
      </c>
      <c r="G58" t="b">
        <v>1</v>
      </c>
      <c r="H58" s="14">
        <f>SUMIFS(Clean_Daily!$J$2:$J$2107,Clean_Daily!$M$2:$M$2107,A58)</f>
        <v>1981.374</v>
      </c>
      <c r="I58" s="14">
        <f>H58/E58</f>
        <v>66.0458</v>
      </c>
      <c r="J58" s="14">
        <f>H57</f>
        <v>1611.907</v>
      </c>
      <c r="K58" s="14">
        <f>IF(AND(G58=TRUE,G57=TRUE),100*(H58/J58-1),"")</f>
        <v>22.921111453700505</v>
      </c>
    </row>
    <row r="59" spans="1:11">
      <c r="A59" s="11">
        <v>43374</v>
      </c>
      <c r="B59">
        <v>2018</v>
      </c>
      <c r="C59">
        <v>10</v>
      </c>
      <c r="D59" t="s">
        <v>2182</v>
      </c>
      <c r="E59">
        <v>31</v>
      </c>
      <c r="F59">
        <v>31</v>
      </c>
      <c r="G59" t="b">
        <v>1</v>
      </c>
      <c r="H59" s="14">
        <f>SUMIFS(Clean_Daily!$J$2:$J$2107,Clean_Daily!$M$2:$M$2107,A59)</f>
        <v>2195.335</v>
      </c>
      <c r="I59" s="14">
        <f>H59/E59</f>
        <v>70.81725806451612</v>
      </c>
      <c r="J59" s="14">
        <f>H58</f>
        <v>1981.374</v>
      </c>
      <c r="K59" s="14">
        <f>IF(AND(G59=TRUE,G58=TRUE),100*(H59/J59-1),"")</f>
        <v>10.798617525010412</v>
      </c>
    </row>
    <row r="60" spans="1:11">
      <c r="A60" s="11">
        <v>43405</v>
      </c>
      <c r="B60">
        <v>2018</v>
      </c>
      <c r="C60">
        <v>11</v>
      </c>
      <c r="D60" t="s">
        <v>2183</v>
      </c>
      <c r="E60">
        <v>30</v>
      </c>
      <c r="F60">
        <v>30</v>
      </c>
      <c r="G60" t="b">
        <v>1</v>
      </c>
      <c r="H60" s="14">
        <f>SUMIFS(Clean_Daily!$J$2:$J$2107,Clean_Daily!$M$2:$M$2107,A60)</f>
        <v>2008.677</v>
      </c>
      <c r="I60" s="14">
        <f>H60/E60</f>
        <v>66.9559</v>
      </c>
      <c r="J60" s="14">
        <f>H59</f>
        <v>2195.335</v>
      </c>
      <c r="K60" s="14">
        <f>IF(AND(G60=TRUE,G59=TRUE),100*(H60/J60-1),"")</f>
        <v>-8.50248367561216</v>
      </c>
    </row>
    <row r="61" spans="1:11">
      <c r="A61" s="11">
        <v>43435</v>
      </c>
      <c r="B61">
        <v>2018</v>
      </c>
      <c r="C61">
        <v>12</v>
      </c>
      <c r="D61" t="s">
        <v>2184</v>
      </c>
      <c r="E61">
        <v>31</v>
      </c>
      <c r="F61">
        <v>31</v>
      </c>
      <c r="G61" t="b">
        <v>1</v>
      </c>
      <c r="H61" s="14">
        <f>SUMIFS(Clean_Daily!$J$2:$J$2107,Clean_Daily!$M$2:$M$2107,A61)</f>
        <v>2247.534</v>
      </c>
      <c r="I61" s="14">
        <f>H61/E61</f>
        <v>72.50109677419356</v>
      </c>
      <c r="J61" s="14">
        <f>H60</f>
        <v>2008.677</v>
      </c>
      <c r="K61" s="14">
        <f>IF(AND(G61=TRUE,G60=TRUE),100*(H61/J61-1),"")</f>
        <v>11.89125976949008</v>
      </c>
    </row>
    <row r="62" spans="1:11">
      <c r="A62" s="11">
        <v>43466</v>
      </c>
      <c r="B62">
        <v>2019</v>
      </c>
      <c r="C62">
        <v>1</v>
      </c>
      <c r="D62" t="s">
        <v>2173</v>
      </c>
      <c r="E62">
        <v>31</v>
      </c>
      <c r="F62">
        <v>31</v>
      </c>
      <c r="G62" t="b">
        <v>1</v>
      </c>
      <c r="H62" s="14">
        <f>SUMIFS(Clean_Daily!$J$2:$J$2107,Clean_Daily!$M$2:$M$2107,A62)</f>
        <v>2875.158</v>
      </c>
      <c r="I62" s="14">
        <f>H62/E62</f>
        <v>92.74703225806451</v>
      </c>
      <c r="J62" s="14">
        <f>H61</f>
        <v>2247.534</v>
      </c>
      <c r="K62" s="14">
        <f>IF(AND(G62=TRUE,G61=TRUE),100*(H62/J62-1),"")</f>
        <v>27.925005806363767</v>
      </c>
    </row>
    <row r="63" spans="1:11">
      <c r="A63" s="11">
        <v>43497</v>
      </c>
      <c r="B63">
        <v>2019</v>
      </c>
      <c r="C63">
        <v>2</v>
      </c>
      <c r="D63" t="s">
        <v>2174</v>
      </c>
      <c r="E63">
        <v>28</v>
      </c>
      <c r="F63">
        <v>28</v>
      </c>
      <c r="G63" t="b">
        <v>1</v>
      </c>
      <c r="H63" s="14">
        <f>SUMIFS(Clean_Daily!$J$2:$J$2107,Clean_Daily!$M$2:$M$2107,A63)</f>
        <v>1944.1970000000001</v>
      </c>
      <c r="I63" s="14">
        <f>H63/E63</f>
        <v>69.43560714285715</v>
      </c>
      <c r="J63" s="14">
        <f>H62</f>
        <v>2875.158</v>
      </c>
      <c r="K63" s="14">
        <f>IF(AND(G63=TRUE,G62=TRUE),100*(H63/J63-1),"")</f>
        <v>-32.3794727107171</v>
      </c>
    </row>
    <row r="64" spans="1:11">
      <c r="A64" s="11">
        <v>43525</v>
      </c>
      <c r="B64">
        <v>2019</v>
      </c>
      <c r="C64">
        <v>3</v>
      </c>
      <c r="D64" t="s">
        <v>2175</v>
      </c>
      <c r="E64">
        <v>31</v>
      </c>
      <c r="F64">
        <v>31</v>
      </c>
      <c r="G64" t="b">
        <v>1</v>
      </c>
      <c r="H64" s="14">
        <f>SUMIFS(Clean_Daily!$J$2:$J$2107,Clean_Daily!$M$2:$M$2107,A64)</f>
        <v>2038.9379999999999</v>
      </c>
      <c r="I64" s="14">
        <f>H64/E64</f>
        <v>65.7721935483871</v>
      </c>
      <c r="J64" s="14">
        <f>H63</f>
        <v>1944.1970000000001</v>
      </c>
      <c r="K64" s="14">
        <f>IF(AND(G64=TRUE,G63=TRUE),100*(H64/J64-1),"")</f>
        <v>4.873014411605392</v>
      </c>
    </row>
    <row r="65" spans="1:11">
      <c r="A65" s="11">
        <v>43556</v>
      </c>
      <c r="B65">
        <v>2019</v>
      </c>
      <c r="C65">
        <v>4</v>
      </c>
      <c r="D65" t="s">
        <v>2176</v>
      </c>
      <c r="E65">
        <v>30</v>
      </c>
      <c r="F65">
        <v>30</v>
      </c>
      <c r="G65" t="b">
        <v>1</v>
      </c>
      <c r="H65" s="14">
        <f>SUMIFS(Clean_Daily!$J$2:$J$2107,Clean_Daily!$M$2:$M$2107,A65)</f>
        <v>1716.805</v>
      </c>
      <c r="I65" s="14">
        <f>H65/E65</f>
        <v>57.22683333333334</v>
      </c>
      <c r="J65" s="14">
        <f>H64</f>
        <v>2038.9379999999999</v>
      </c>
      <c r="K65" s="14">
        <f>IF(AND(G65=TRUE,G64=TRUE),100*(H65/J65-1),"")</f>
        <v>-15.799058137128242</v>
      </c>
    </row>
    <row r="66" spans="1:11">
      <c r="A66" s="11">
        <v>43586</v>
      </c>
      <c r="B66">
        <v>2019</v>
      </c>
      <c r="C66">
        <v>5</v>
      </c>
      <c r="D66" t="s">
        <v>2177</v>
      </c>
      <c r="E66">
        <v>31</v>
      </c>
      <c r="F66">
        <v>31</v>
      </c>
      <c r="G66" t="b">
        <v>1</v>
      </c>
      <c r="H66" s="14">
        <f>SUMIFS(Clean_Daily!$J$2:$J$2107,Clean_Daily!$M$2:$M$2107,A66)</f>
        <v>1798.4516666700001</v>
      </c>
      <c r="I66" s="14">
        <f>H66/E66</f>
        <v>58.014569892580646</v>
      </c>
      <c r="J66" s="14">
        <f>H65</f>
        <v>1716.805</v>
      </c>
      <c r="K66" s="14">
        <f>IF(AND(G66=TRUE,G65=TRUE),100*(H66/J66-1),"")</f>
        <v>4.755733276056406</v>
      </c>
    </row>
    <row r="67" spans="1:11">
      <c r="A67" s="11">
        <v>43617</v>
      </c>
      <c r="B67">
        <v>2019</v>
      </c>
      <c r="C67">
        <v>6</v>
      </c>
      <c r="D67" t="s">
        <v>2178</v>
      </c>
      <c r="E67">
        <v>30</v>
      </c>
      <c r="F67">
        <v>30</v>
      </c>
      <c r="G67" t="b">
        <v>1</v>
      </c>
      <c r="H67" s="14">
        <f>SUMIFS(Clean_Daily!$J$2:$J$2107,Clean_Daily!$M$2:$M$2107,A67)</f>
        <v>1482.407</v>
      </c>
      <c r="I67" s="14">
        <f>H67/E67</f>
        <v>49.41356666666666</v>
      </c>
      <c r="J67" s="14">
        <f>H66</f>
        <v>1798.4516666700001</v>
      </c>
      <c r="K67" s="14">
        <f>IF(AND(G67=TRUE,G66=TRUE),100*(H67/J67-1),"")</f>
        <v>-17.573153203232096</v>
      </c>
    </row>
    <row r="68" spans="1:11">
      <c r="A68" s="11">
        <v>43647</v>
      </c>
      <c r="B68">
        <v>2019</v>
      </c>
      <c r="C68">
        <v>7</v>
      </c>
      <c r="D68" t="s">
        <v>2179</v>
      </c>
      <c r="E68">
        <v>31</v>
      </c>
      <c r="F68">
        <v>31</v>
      </c>
      <c r="G68" t="b">
        <v>1</v>
      </c>
      <c r="H68" s="14">
        <f>SUMIFS(Clean_Daily!$J$2:$J$2107,Clean_Daily!$M$2:$M$2107,A68)</f>
        <v>1488.816</v>
      </c>
      <c r="I68" s="14">
        <f>H68/E68</f>
        <v>48.026322580645164</v>
      </c>
      <c r="J68" s="14">
        <f>H67</f>
        <v>1482.407</v>
      </c>
      <c r="K68" s="14">
        <f>IF(AND(G68=TRUE,G67=TRUE),100*(H68/J68-1),"")</f>
        <v>0.432337408012784</v>
      </c>
    </row>
    <row r="69" spans="1:11">
      <c r="A69" s="11">
        <v>43678</v>
      </c>
      <c r="B69">
        <v>2019</v>
      </c>
      <c r="C69">
        <v>8</v>
      </c>
      <c r="D69" t="s">
        <v>2180</v>
      </c>
      <c r="E69">
        <v>31</v>
      </c>
      <c r="F69">
        <v>31</v>
      </c>
      <c r="G69" t="b">
        <v>1</v>
      </c>
      <c r="H69" s="14">
        <f>SUMIFS(Clean_Daily!$J$2:$J$2107,Clean_Daily!$M$2:$M$2107,A69)</f>
        <v>1377.779</v>
      </c>
      <c r="I69" s="14">
        <f>H69/E69</f>
        <v>44.444483870967744</v>
      </c>
      <c r="J69" s="14">
        <f>H68</f>
        <v>1488.816</v>
      </c>
      <c r="K69" s="14">
        <f>IF(AND(G69=TRUE,G68=TRUE),100*(H69/J69-1),"")</f>
        <v>-7.458074066909548</v>
      </c>
    </row>
    <row r="70" spans="1:11">
      <c r="A70" s="11">
        <v>43709</v>
      </c>
      <c r="B70">
        <v>2019</v>
      </c>
      <c r="C70">
        <v>9</v>
      </c>
      <c r="D70" t="s">
        <v>2181</v>
      </c>
      <c r="E70">
        <v>30</v>
      </c>
      <c r="F70">
        <v>30</v>
      </c>
      <c r="G70" t="b">
        <v>1</v>
      </c>
      <c r="H70" s="14">
        <f>SUMIFS(Clean_Daily!$J$2:$J$2107,Clean_Daily!$M$2:$M$2107,A70)</f>
        <v>1824.803666667</v>
      </c>
      <c r="I70" s="14">
        <f>H70/E70</f>
        <v>60.8267888889</v>
      </c>
      <c r="J70" s="14">
        <f>H69</f>
        <v>1377.779</v>
      </c>
      <c r="K70" s="14">
        <f>IF(AND(G70=TRUE,G69=TRUE),100*(H70/J70-1),"")</f>
        <v>32.44530992757184</v>
      </c>
    </row>
    <row r="71" spans="1:11">
      <c r="A71" s="11">
        <v>43739</v>
      </c>
      <c r="B71">
        <v>2019</v>
      </c>
      <c r="C71">
        <v>10</v>
      </c>
      <c r="D71" t="s">
        <v>2182</v>
      </c>
      <c r="E71">
        <v>8</v>
      </c>
      <c r="F71">
        <v>31</v>
      </c>
      <c r="G71" t="b">
        <v>0</v>
      </c>
      <c r="H71" s="14">
        <f>SUMIFS(Clean_Daily!$J$2:$J$2107,Clean_Daily!$M$2:$M$2107,A71)</f>
        <v>538.6</v>
      </c>
      <c r="I71" s="14">
        <f>H71/E71</f>
        <v>67.325</v>
      </c>
      <c r="J71" s="14">
        <f>H70</f>
        <v>1824.803666667</v>
      </c>
      <c r="K71" s="14"/>
    </row>
  </sheetData>
  <conditionalFormatting sqref="H2:H71">
    <cfRule type="dataBar" priority="1">
      <dataBar>
        <cfvo type="min" val="0"/>
        <cfvo type="max" val="0"/>
        <color rgb="FF377EB8"/>
      </dataBar>
    </cfRule>
  </conditionalFormatting>
  <conditionalFormatting sqref="K2:K71">
    <cfRule type="colorScale" priority="2">
      <colorScale>
        <cfvo type="min" val="0"/>
        <cfvo type="percentile" val="50"/>
        <cfvo type="max" val="0"/>
        <color rgb="FFF8696B"/>
        <color rgb="FFFFEB84"/>
        <color rgb="FF63BE7B"/>
      </colorScale>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dimension ref="A1:M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0.7109375" customWidth="1"/>
    <col min="2" max="2" width="14.7109375" customWidth="1"/>
    <col min="3" max="3" width="65.7109375" customWidth="1"/>
    <col min="4" max="13" width="21.7109375" customWidth="1"/>
  </cols>
  <sheetData>
    <row r="1" spans="1:13" ht="42" customHeight="1">
      <c r="A1" t="s">
        <v>2237</v>
      </c>
      <c r="B1" t="s">
        <v>2185</v>
      </c>
      <c r="C1" t="s">
        <v>2186</v>
      </c>
      <c r="D1" t="s">
        <v>2166</v>
      </c>
      <c r="E1" t="s">
        <v>2238</v>
      </c>
      <c r="F1" t="s">
        <v>2234</v>
      </c>
      <c r="G1" t="s">
        <v>2239</v>
      </c>
      <c r="H1" t="s">
        <v>2240</v>
      </c>
      <c r="I1" t="s">
        <v>2241</v>
      </c>
      <c r="J1" t="s">
        <v>2242</v>
      </c>
      <c r="K1" t="s">
        <v>2243</v>
      </c>
      <c r="L1" t="s">
        <v>2244</v>
      </c>
      <c r="M1" t="s">
        <v>2245</v>
      </c>
    </row>
    <row r="2" spans="1:13">
      <c r="A2">
        <v>1</v>
      </c>
      <c r="B2" t="s">
        <v>43</v>
      </c>
      <c r="C2" t="s">
        <v>2191</v>
      </c>
      <c r="D2" s="14">
        <f>SUM(Clean_Daily!E2:E2107)</f>
        <v>63005.40270834</v>
      </c>
      <c r="E2" s="14">
        <f>100*D2/SUM($D$2:$D$9)</f>
        <v>49.37901484574043</v>
      </c>
      <c r="F2" s="14">
        <f>AVERAGE(Clean_Daily!E2:E2107)</f>
        <v>29.917095303105413</v>
      </c>
      <c r="G2" s="14">
        <f>MEDIAN(Clean_Daily!E2:E2107)</f>
        <v>26.9</v>
      </c>
      <c r="H2" s="14">
        <f>STDEV.S(Clean_Daily!E2:E2107)</f>
        <v>15.590965539762392</v>
      </c>
      <c r="I2" s="10">
        <v>0.5211390137245056</v>
      </c>
      <c r="J2" s="10">
        <v>59.9375</v>
      </c>
      <c r="K2" s="10">
        <v>161</v>
      </c>
      <c r="L2" s="16">
        <f>COUNTIF(Clean_Daily!E2:E2107,0)</f>
        <v>26</v>
      </c>
      <c r="M2" s="14">
        <f>100*L2/2106</f>
        <v>1.2345679012345678</v>
      </c>
    </row>
    <row r="3" spans="1:13">
      <c r="A3">
        <v>2</v>
      </c>
      <c r="B3" t="s">
        <v>44</v>
      </c>
      <c r="C3" t="s">
        <v>2192</v>
      </c>
      <c r="D3" s="14">
        <f>SUM(Clean_Daily!F2:F2107)</f>
        <v>18645.737499971</v>
      </c>
      <c r="E3" s="14">
        <f>100*D3/SUM($D$2:$D$9)</f>
        <v>14.613161875703295</v>
      </c>
      <c r="F3" s="14">
        <f>AVERAGE(Clean_Daily!F2:F2107)</f>
        <v>8.853626543196107</v>
      </c>
      <c r="G3" s="14">
        <f>MEDIAN(Clean_Daily!F2:F2107)</f>
        <v>8.0</v>
      </c>
      <c r="H3" s="14">
        <f>STDEV.S(Clean_Daily!F2:F2107)</f>
        <v>5.60560474692992</v>
      </c>
      <c r="I3" s="10">
        <v>0.6331422180030568</v>
      </c>
      <c r="J3" s="10">
        <v>19</v>
      </c>
      <c r="K3" s="10">
        <v>54.83333333</v>
      </c>
      <c r="L3" s="16">
        <f>COUNTIF(Clean_Daily!F2:F2107,0)</f>
        <v>43</v>
      </c>
      <c r="M3" s="14">
        <f>100*L3/2106</f>
        <v>2.0417853751187085</v>
      </c>
    </row>
    <row r="4" spans="1:13">
      <c r="A4">
        <v>3</v>
      </c>
      <c r="B4" t="s">
        <v>46</v>
      </c>
      <c r="C4" t="s">
        <v>2194</v>
      </c>
      <c r="D4" s="14">
        <f>SUM(Clean_Daily!H2:H2107)</f>
        <v>11608.822916672001</v>
      </c>
      <c r="E4" s="14">
        <f>100*D4/SUM($D$2:$D$9)</f>
        <v>9.098144198799638</v>
      </c>
      <c r="F4" s="14">
        <f>AVERAGE(Clean_Daily!H2:H2107)</f>
        <v>5.512261593861349</v>
      </c>
      <c r="G4" s="14">
        <f>MEDIAN(Clean_Daily!H2:H2107)</f>
        <v>4.0</v>
      </c>
      <c r="H4" s="14">
        <f>STDEV.S(Clean_Daily!H2:H2107)</f>
        <v>6.428736372389844</v>
      </c>
      <c r="I4" s="10">
        <v>1.166261118584995</v>
      </c>
      <c r="J4" s="10">
        <v>20</v>
      </c>
      <c r="K4" s="10">
        <v>45</v>
      </c>
      <c r="L4" s="16">
        <f>COUNTIF(Clean_Daily!H2:H2107,0)</f>
        <v>484</v>
      </c>
      <c r="M4" s="14">
        <f>100*L4/2106</f>
        <v>22.981956315289647</v>
      </c>
    </row>
    <row r="5" spans="1:13">
      <c r="A5">
        <v>4</v>
      </c>
      <c r="B5" t="s">
        <v>40</v>
      </c>
      <c r="C5" t="s">
        <v>2188</v>
      </c>
      <c r="D5" s="14">
        <f>SUM(Clean_Daily!B2:B2107)</f>
        <v>10600.937083334</v>
      </c>
      <c r="E5" s="14">
        <f>100*D5/SUM($D$2:$D$9)</f>
        <v>8.308237184672723</v>
      </c>
      <c r="F5" s="14">
        <f>AVERAGE(Clean_Daily!B2:B2107)</f>
        <v>5.033683325419753</v>
      </c>
      <c r="G5" s="14">
        <f>MEDIAN(Clean_Daily!B2:B2107)</f>
        <v>4.99</v>
      </c>
      <c r="H5" s="14">
        <f>STDEV.S(Clean_Daily!B2:B2107)</f>
        <v>2.737578507424411</v>
      </c>
      <c r="I5" s="10">
        <v>0.5438519530221197</v>
      </c>
      <c r="J5" s="10">
        <v>10</v>
      </c>
      <c r="K5" s="10">
        <v>17.34</v>
      </c>
      <c r="L5" s="16">
        <f>COUNTIF(Clean_Daily!B2:B2107,0)</f>
        <v>40</v>
      </c>
      <c r="M5" s="14">
        <f>100*L5/2106</f>
        <v>1.899335232668566</v>
      </c>
    </row>
    <row r="6" spans="1:13">
      <c r="A6">
        <v>5</v>
      </c>
      <c r="B6" t="s">
        <v>41</v>
      </c>
      <c r="C6" t="s">
        <v>2189</v>
      </c>
      <c r="D6" s="14">
        <f>SUM(Clean_Daily!C2:C2107)</f>
        <v>8204.618645833</v>
      </c>
      <c r="E6" s="14">
        <f>100*D6/SUM($D$2:$D$9)</f>
        <v>6.430178500590693</v>
      </c>
      <c r="F6" s="14">
        <f>AVERAGE(Clean_Daily!C2:C2107)</f>
        <v>3.8958303161600187</v>
      </c>
      <c r="G6" s="14">
        <f>MEDIAN(Clean_Daily!C2:C2107)</f>
        <v>3.67</v>
      </c>
      <c r="H6" s="14">
        <f>STDEV.S(Clean_Daily!C2:C2107)</f>
        <v>2.133336599242324</v>
      </c>
      <c r="I6" s="10">
        <v>0.5475948452870705</v>
      </c>
      <c r="J6" s="10">
        <v>7.66</v>
      </c>
      <c r="K6" s="10">
        <v>14.463</v>
      </c>
      <c r="L6" s="16">
        <f>COUNTIF(Clean_Daily!C2:C2107,0)</f>
        <v>36</v>
      </c>
      <c r="M6" s="14">
        <f>100*L6/2106</f>
        <v>1.7094017094017095</v>
      </c>
    </row>
    <row r="7" spans="1:13">
      <c r="A7">
        <v>6</v>
      </c>
      <c r="B7" t="s">
        <v>42</v>
      </c>
      <c r="C7" t="s">
        <v>2190</v>
      </c>
      <c r="D7" s="14">
        <f>SUM(Clean_Daily!D2:D2107)</f>
        <v>8172.209000000999</v>
      </c>
      <c r="E7" s="14">
        <f>100*D7/SUM($D$2:$D$9)</f>
        <v>6.404778196586736</v>
      </c>
      <c r="F7" s="14">
        <f>AVERAGE(Clean_Daily!D2:D2107)</f>
        <v>3.880441120608262</v>
      </c>
      <c r="G7" s="14">
        <f>MEDIAN(Clean_Daily!D2:D2107)</f>
        <v>3.5</v>
      </c>
      <c r="H7" s="14">
        <f>STDEV.S(Clean_Daily!D2:D2107)</f>
        <v>2.384010236621129</v>
      </c>
      <c r="I7" s="10">
        <v>0.6143657802099143</v>
      </c>
      <c r="J7" s="10">
        <v>8</v>
      </c>
      <c r="K7" s="10">
        <v>16</v>
      </c>
      <c r="L7" s="16">
        <f>COUNTIF(Clean_Daily!D2:D2107,0)</f>
        <v>78</v>
      </c>
      <c r="M7" s="14">
        <f>100*L7/2106</f>
        <v>3.7037037037037033</v>
      </c>
    </row>
    <row r="8" spans="1:13">
      <c r="A8">
        <v>7</v>
      </c>
      <c r="B8" t="s">
        <v>47</v>
      </c>
      <c r="C8" t="s">
        <v>2195</v>
      </c>
      <c r="D8" s="14">
        <f>SUM(Clean_Daily!I2:I2107)</f>
        <v>6107.8175</v>
      </c>
      <c r="E8" s="14">
        <f>100*D8/SUM($D$2:$D$9)</f>
        <v>4.786859507964875</v>
      </c>
      <c r="F8" s="14">
        <f>AVERAGE(Clean_Daily!I2:I2107)</f>
        <v>2.90019824311491</v>
      </c>
      <c r="G8" s="14">
        <f>MEDIAN(Clean_Daily!I2:I2107)</f>
        <v>2.0</v>
      </c>
      <c r="H8" s="14">
        <f>STDEV.S(Clean_Daily!I2:I2107)</f>
        <v>2.415815904650415</v>
      </c>
      <c r="I8" s="10">
        <v>0.8329830246554966</v>
      </c>
      <c r="J8" s="10">
        <v>8</v>
      </c>
      <c r="K8" s="10">
        <v>15</v>
      </c>
      <c r="L8" s="16">
        <f>COUNTIF(Clean_Daily!I2:I2107,0)</f>
        <v>256</v>
      </c>
      <c r="M8" s="14">
        <f>100*L8/2106</f>
        <v>12.155745489078823</v>
      </c>
    </row>
    <row r="9" spans="1:13">
      <c r="A9">
        <v>8</v>
      </c>
      <c r="B9" t="s">
        <v>45</v>
      </c>
      <c r="C9" t="s">
        <v>2193</v>
      </c>
      <c r="D9" s="14">
        <f>SUM(Clean_Daily!G2:G2107)</f>
        <v>1249.958333333</v>
      </c>
      <c r="E9" s="14">
        <f>100*D9/SUM($D$2:$D$9)</f>
        <v>0.9796256899416198</v>
      </c>
      <c r="F9" s="14">
        <f>AVERAGE(Clean_Daily!G2:G2107)</f>
        <v>0.5935224754667616</v>
      </c>
      <c r="G9" s="14">
        <f>MEDIAN(Clean_Daily!G2:G2107)</f>
        <v>0.0</v>
      </c>
      <c r="H9" s="14">
        <f>STDEV.S(Clean_Daily!G2:G2107)</f>
        <v>1.0929883200525337</v>
      </c>
      <c r="I9" s="10">
        <v>1.841528105895196</v>
      </c>
      <c r="J9" s="10">
        <v>3</v>
      </c>
      <c r="K9" s="10">
        <v>9</v>
      </c>
      <c r="L9" s="16">
        <f>COUNTIF(Clean_Daily!G2:G2107,0)</f>
        <v>1430</v>
      </c>
      <c r="M9" s="14">
        <f>100*L9/2106</f>
        <v>67.90123456790124</v>
      </c>
    </row>
  </sheetData>
  <conditionalFormatting sqref="D2:D9">
    <cfRule type="dataBar" priority="1">
      <dataBar>
        <cfvo type="min" val="0"/>
        <cfvo type="max" val="0"/>
        <color rgb="FF00A6A6"/>
      </dataBar>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dimension ref="A1:E8"/>
  <sheetViews>
    <sheetView showGridLines="0" workbookViewId="0">
      <pane ySplit="1" topLeftCell="A2" activePane="bottomLeft" state="frozen"/>
      <selection pane="bottomLeft"/>
    </sheetView>
  </sheetViews>
  <sheetFormatPr defaultRowHeight="15"/>
  <cols>
    <col min="1" max="1" width="17.7109375" customWidth="1"/>
    <col min="2" max="2" width="18.7109375" customWidth="1"/>
    <col min="3" max="3" width="16.7109375" customWidth="1"/>
    <col min="4" max="4" width="20.7109375" customWidth="1"/>
    <col min="5" max="5" width="25.7109375" customWidth="1"/>
  </cols>
  <sheetData>
    <row r="1" spans="1:5" ht="32.25" customHeight="1">
      <c r="A1" t="s">
        <v>2170</v>
      </c>
      <c r="B1" t="s">
        <v>2171</v>
      </c>
      <c r="C1" t="s">
        <v>2232</v>
      </c>
      <c r="D1" t="s">
        <v>2166</v>
      </c>
      <c r="E1" t="s">
        <v>2234</v>
      </c>
    </row>
    <row r="2" spans="1:5">
      <c r="A2">
        <v>1</v>
      </c>
      <c r="B2" t="s">
        <v>61</v>
      </c>
      <c r="C2">
        <v>301</v>
      </c>
      <c r="D2" s="10">
        <v>18242.816666657</v>
      </c>
      <c r="E2" s="10">
        <v>60.60736434105316</v>
      </c>
    </row>
    <row r="3" spans="1:5">
      <c r="A3">
        <v>2</v>
      </c>
      <c r="B3" t="s">
        <v>63</v>
      </c>
      <c r="C3">
        <v>301</v>
      </c>
      <c r="D3" s="10">
        <v>18065.246999988</v>
      </c>
      <c r="E3" s="10">
        <v>60.01743189364785</v>
      </c>
    </row>
    <row r="4" spans="1:5">
      <c r="A4">
        <v>3</v>
      </c>
      <c r="B4" t="s">
        <v>65</v>
      </c>
      <c r="C4">
        <v>300</v>
      </c>
      <c r="D4" s="10">
        <v>17771.527500001</v>
      </c>
      <c r="E4" s="10">
        <v>59.23842500000333</v>
      </c>
    </row>
    <row r="5" spans="1:5">
      <c r="A5">
        <v>4</v>
      </c>
      <c r="B5" t="s">
        <v>53</v>
      </c>
      <c r="C5">
        <v>301</v>
      </c>
      <c r="D5" s="10">
        <v>17212.389270837</v>
      </c>
      <c r="E5" s="10">
        <v>57.18401751108638</v>
      </c>
    </row>
    <row r="6" spans="1:5">
      <c r="A6">
        <v>5</v>
      </c>
      <c r="B6" t="s">
        <v>55</v>
      </c>
      <c r="C6">
        <v>301</v>
      </c>
      <c r="D6" s="10">
        <v>18134.491583326</v>
      </c>
      <c r="E6" s="10">
        <v>60.24748034327574</v>
      </c>
    </row>
    <row r="7" spans="1:5">
      <c r="A7">
        <v>6</v>
      </c>
      <c r="B7" t="s">
        <v>57</v>
      </c>
      <c r="C7">
        <v>301</v>
      </c>
      <c r="D7" s="10">
        <v>19767.594416663</v>
      </c>
      <c r="E7" s="10">
        <v>65.67307115170432</v>
      </c>
    </row>
    <row r="8" spans="1:5">
      <c r="A8">
        <v>7</v>
      </c>
      <c r="B8" t="s">
        <v>59</v>
      </c>
      <c r="C8">
        <v>301</v>
      </c>
      <c r="D8" s="10">
        <v>18401.437250012</v>
      </c>
      <c r="E8" s="10">
        <v>61.13434302329568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dimension ref="A1:K5"/>
  <sheetViews>
    <sheetView showGridLines="0" workbookViewId="0">
      <pane ySplit="1" topLeftCell="A2" activePane="bottomLeft" state="frozen"/>
      <selection pane="bottomLeft"/>
    </sheetView>
  </sheetViews>
  <sheetFormatPr defaultRowHeight="15"/>
  <cols>
    <col min="1" max="1" width="20.7109375" customWidth="1"/>
    <col min="2" max="3" width="10.7109375" customWidth="1"/>
    <col min="4" max="4" width="15.7109375" customWidth="1"/>
    <col min="5" max="5" width="21.7109375" customWidth="1"/>
    <col min="6" max="6" width="30.7109375" customWidth="1"/>
    <col min="7" max="7" width="15.7109375" customWidth="1"/>
    <col min="8" max="8" width="24.7109375" customWidth="1"/>
    <col min="9" max="10" width="25.7109375" customWidth="1"/>
    <col min="11" max="11" width="100.7109375" customWidth="1"/>
  </cols>
  <sheetData>
    <row r="1" spans="1:11" ht="32.25" customHeight="1">
      <c r="A1" t="s">
        <v>2246</v>
      </c>
      <c r="B1" t="s">
        <v>2247</v>
      </c>
      <c r="C1" t="s">
        <v>2248</v>
      </c>
      <c r="D1" t="s">
        <v>2249</v>
      </c>
      <c r="E1" t="s">
        <v>2250</v>
      </c>
      <c r="F1" t="s">
        <v>2251</v>
      </c>
      <c r="G1" t="s">
        <v>2252</v>
      </c>
      <c r="H1" t="s">
        <v>2253</v>
      </c>
      <c r="I1" t="s">
        <v>2254</v>
      </c>
      <c r="J1" t="s">
        <v>2255</v>
      </c>
      <c r="K1" t="s">
        <v>2256</v>
      </c>
    </row>
    <row r="2" spans="1:11" ht="57.75" customHeight="1">
      <c r="A2" t="s">
        <v>2257</v>
      </c>
      <c r="B2">
        <v>50532</v>
      </c>
      <c r="C2">
        <v>13</v>
      </c>
      <c r="D2">
        <v>0</v>
      </c>
      <c r="E2">
        <v>0</v>
      </c>
      <c r="F2">
        <v>0</v>
      </c>
      <c r="G2">
        <v>0</v>
      </c>
      <c r="H2">
        <v>0</v>
      </c>
      <c r="I2" t="s">
        <v>2258</v>
      </c>
      <c r="J2" t="s">
        <v>2259</v>
      </c>
      <c r="K2" t="s">
        <v>2260</v>
      </c>
    </row>
    <row r="3" spans="1:11" ht="57.75" customHeight="1">
      <c r="A3" t="s">
        <v>2261</v>
      </c>
      <c r="B3">
        <v>2106</v>
      </c>
      <c r="C3">
        <v>13</v>
      </c>
      <c r="D3">
        <v>0</v>
      </c>
      <c r="E3">
        <v>0</v>
      </c>
      <c r="F3">
        <v>0</v>
      </c>
      <c r="G3">
        <v>0</v>
      </c>
      <c r="H3">
        <v>0</v>
      </c>
      <c r="I3" t="s">
        <v>2262</v>
      </c>
      <c r="J3" t="s">
        <v>2263</v>
      </c>
      <c r="K3" t="s">
        <v>2264</v>
      </c>
    </row>
    <row r="4" spans="1:11" ht="57.75" customHeight="1">
      <c r="A4" t="s">
        <v>2265</v>
      </c>
      <c r="B4">
        <v>302</v>
      </c>
      <c r="C4">
        <v>9</v>
      </c>
      <c r="D4">
        <v>0</v>
      </c>
      <c r="E4">
        <v>0</v>
      </c>
      <c r="F4">
        <v>0</v>
      </c>
      <c r="G4">
        <v>0</v>
      </c>
      <c r="H4">
        <v>0</v>
      </c>
      <c r="I4" t="s">
        <v>2266</v>
      </c>
      <c r="J4" t="s">
        <v>2267</v>
      </c>
      <c r="K4" t="s">
        <v>2268</v>
      </c>
    </row>
    <row r="5" spans="1:11" ht="57.75" customHeight="1">
      <c r="A5" t="s">
        <v>2269</v>
      </c>
      <c r="B5">
        <v>70</v>
      </c>
      <c r="C5">
        <v>9</v>
      </c>
      <c r="D5">
        <v>0</v>
      </c>
      <c r="E5">
        <v>0</v>
      </c>
      <c r="F5">
        <v>0</v>
      </c>
      <c r="G5">
        <v>0</v>
      </c>
      <c r="H5">
        <v>0</v>
      </c>
      <c r="I5" t="s">
        <v>2270</v>
      </c>
      <c r="J5" t="s">
        <v>2271</v>
      </c>
      <c r="K5" t="s">
        <v>2272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F71"/>
  <sheetViews>
    <sheetView showGridLines="0" workbookViewId="0">
      <pane ySplit="1" topLeftCell="A2" activePane="bottomLeft" state="frozen"/>
      <selection pane="bottomLeft"/>
    </sheetView>
  </sheetViews>
  <sheetFormatPr defaultRowHeight="15"/>
  <cols>
    <col min="1" max="1" width="16.7109375" customWidth="1"/>
    <col min="2" max="2" width="24.7109375" customWidth="1"/>
    <col min="3" max="3" width="26.7109375" customWidth="1"/>
    <col min="4" max="4" width="33.7109375" customWidth="1"/>
    <col min="5" max="5" width="38.7109375" customWidth="1"/>
    <col min="6" max="6" width="21.7109375" customWidth="1"/>
  </cols>
  <sheetData>
    <row r="1" spans="1:6" ht="32.25" customHeight="1">
      <c r="A1" t="s">
        <v>2168</v>
      </c>
      <c r="B1" t="s">
        <v>2273</v>
      </c>
      <c r="C1" t="s">
        <v>2274</v>
      </c>
      <c r="D1" t="s">
        <v>2275</v>
      </c>
      <c r="E1" t="s">
        <v>2276</v>
      </c>
      <c r="F1" t="s">
        <v>2277</v>
      </c>
    </row>
    <row r="2" spans="1:6">
      <c r="A2" s="11">
        <v>41640</v>
      </c>
      <c r="B2" s="10">
        <v>1821.11</v>
      </c>
      <c r="C2" s="10">
        <v>1801.11</v>
      </c>
      <c r="D2" s="10">
        <v>20.00000000000045</v>
      </c>
      <c r="E2" s="10">
        <v>20</v>
      </c>
      <c r="F2" t="b">
        <v>0</v>
      </c>
    </row>
    <row r="3" spans="1:6">
      <c r="A3" s="11">
        <v>41671</v>
      </c>
      <c r="B3" s="10">
        <v>1974.47</v>
      </c>
      <c r="C3" s="10">
        <v>1974.47</v>
      </c>
      <c r="D3" s="10">
        <v>0</v>
      </c>
      <c r="E3" s="10">
        <v>9.947598300641403E-14</v>
      </c>
      <c r="F3" t="b">
        <v>1</v>
      </c>
    </row>
    <row r="4" spans="1:6">
      <c r="A4" s="11">
        <v>41699</v>
      </c>
      <c r="B4" s="10">
        <v>1606.72</v>
      </c>
      <c r="C4" s="10">
        <v>1606.72</v>
      </c>
      <c r="D4" s="10">
        <v>2.273736754432321E-13</v>
      </c>
      <c r="E4" s="10">
        <v>7.105427357601002E-14</v>
      </c>
      <c r="F4" t="b">
        <v>1</v>
      </c>
    </row>
    <row r="5" spans="1:6">
      <c r="A5" s="11">
        <v>41730</v>
      </c>
      <c r="B5" s="10">
        <v>1429.675</v>
      </c>
      <c r="C5" s="10">
        <v>1423.925</v>
      </c>
      <c r="D5" s="10">
        <v>5.750000000000227</v>
      </c>
      <c r="E5" s="10">
        <v>5.749999999999972</v>
      </c>
      <c r="F5" t="b">
        <v>0</v>
      </c>
    </row>
    <row r="6" spans="1:6">
      <c r="A6" s="11">
        <v>41760</v>
      </c>
      <c r="B6" s="10">
        <v>1506.303</v>
      </c>
      <c r="C6" s="10">
        <v>1506.303</v>
      </c>
      <c r="D6" s="10">
        <v>0</v>
      </c>
      <c r="E6" s="10">
        <v>1.13686837721616E-13</v>
      </c>
      <c r="F6" t="b">
        <v>1</v>
      </c>
    </row>
    <row r="7" spans="1:6">
      <c r="A7" s="11">
        <v>41791</v>
      </c>
      <c r="B7" s="10">
        <v>1390.205</v>
      </c>
      <c r="C7" s="10">
        <v>1390.205</v>
      </c>
      <c r="D7" s="10">
        <v>2.273736754432321E-13</v>
      </c>
      <c r="E7" s="10">
        <v>7.105427357601002E-14</v>
      </c>
      <c r="F7" t="b">
        <v>1</v>
      </c>
    </row>
    <row r="8" spans="1:6">
      <c r="A8" s="11">
        <v>41821</v>
      </c>
      <c r="B8" s="10">
        <v>1332.37</v>
      </c>
      <c r="C8" s="10">
        <v>1332.37</v>
      </c>
      <c r="D8" s="10">
        <v>0</v>
      </c>
      <c r="E8" s="10">
        <v>1.27897692436818E-13</v>
      </c>
      <c r="F8" t="b">
        <v>1</v>
      </c>
    </row>
    <row r="9" spans="1:6">
      <c r="A9" s="11">
        <v>41852</v>
      </c>
      <c r="B9" s="10">
        <v>1499.02</v>
      </c>
      <c r="C9" s="10">
        <v>1452.52</v>
      </c>
      <c r="D9" s="10">
        <v>46.5</v>
      </c>
      <c r="E9" s="10">
        <v>36.49999999999989</v>
      </c>
      <c r="F9" t="b">
        <v>0</v>
      </c>
    </row>
    <row r="10" spans="1:6">
      <c r="A10" s="11">
        <v>41883</v>
      </c>
      <c r="B10" s="10">
        <v>1814.594</v>
      </c>
      <c r="C10" s="10">
        <v>1804.594</v>
      </c>
      <c r="D10" s="10">
        <v>10</v>
      </c>
      <c r="E10" s="10">
        <v>9.999999999999986</v>
      </c>
      <c r="F10" t="b">
        <v>0</v>
      </c>
    </row>
    <row r="11" spans="1:6">
      <c r="A11" s="11">
        <v>41913</v>
      </c>
      <c r="B11" s="10">
        <v>3146.906</v>
      </c>
      <c r="C11" s="10">
        <v>2081.9956875</v>
      </c>
      <c r="D11" s="10">
        <v>1064.9103125</v>
      </c>
      <c r="E11" s="10">
        <v>783.6781249999997</v>
      </c>
      <c r="F11" t="b">
        <v>0</v>
      </c>
    </row>
    <row r="12" spans="1:6">
      <c r="A12" s="11">
        <v>41944</v>
      </c>
      <c r="B12" s="10">
        <v>1770.64</v>
      </c>
      <c r="C12" s="10">
        <v>1770.64</v>
      </c>
      <c r="D12" s="10">
        <v>2.273736754432321E-13</v>
      </c>
      <c r="E12" s="10">
        <v>4.263256414560601E-14</v>
      </c>
      <c r="F12" t="b">
        <v>1</v>
      </c>
    </row>
    <row r="13" spans="1:6">
      <c r="A13" s="11">
        <v>41974</v>
      </c>
      <c r="B13" s="10">
        <v>2093.485</v>
      </c>
      <c r="C13" s="10">
        <v>2093.485</v>
      </c>
      <c r="D13" s="10">
        <v>0</v>
      </c>
      <c r="E13" s="10">
        <v>4.263256414560601E-14</v>
      </c>
      <c r="F13" t="b">
        <v>1</v>
      </c>
    </row>
    <row r="14" spans="1:6">
      <c r="A14" s="11">
        <v>42005</v>
      </c>
      <c r="B14" s="10">
        <v>2157.749</v>
      </c>
      <c r="C14" s="10">
        <v>2157.749</v>
      </c>
      <c r="D14" s="10">
        <v>4.547473508864641E-13</v>
      </c>
      <c r="E14" s="10">
        <v>2.273736754432321E-13</v>
      </c>
      <c r="F14" t="b">
        <v>1</v>
      </c>
    </row>
    <row r="15" spans="1:6">
      <c r="A15" s="11">
        <v>42036</v>
      </c>
      <c r="B15" s="10">
        <v>1831.532</v>
      </c>
      <c r="C15" s="10">
        <v>1831.532</v>
      </c>
      <c r="D15" s="10">
        <v>-2.273736754432321E-13</v>
      </c>
      <c r="E15" s="10">
        <v>1.13686837721616E-13</v>
      </c>
      <c r="F15" t="b">
        <v>1</v>
      </c>
    </row>
    <row r="16" spans="1:6">
      <c r="A16" s="11">
        <v>42064</v>
      </c>
      <c r="B16" s="10">
        <v>1974.076</v>
      </c>
      <c r="C16" s="10">
        <v>1949.076</v>
      </c>
      <c r="D16" s="10">
        <v>25</v>
      </c>
      <c r="E16" s="10">
        <v>25</v>
      </c>
      <c r="F16" t="b">
        <v>0</v>
      </c>
    </row>
    <row r="17" spans="1:6">
      <c r="A17" s="11">
        <v>42095</v>
      </c>
      <c r="B17" s="10">
        <v>1723.885</v>
      </c>
      <c r="C17" s="10">
        <v>1723.885</v>
      </c>
      <c r="D17" s="10">
        <v>0</v>
      </c>
      <c r="E17" s="10">
        <v>1.4210854715202E-14</v>
      </c>
      <c r="F17" t="b">
        <v>1</v>
      </c>
    </row>
    <row r="18" spans="1:6">
      <c r="A18" s="11">
        <v>42125</v>
      </c>
      <c r="B18" s="10">
        <v>1644.577</v>
      </c>
      <c r="C18" s="10">
        <v>1644.577</v>
      </c>
      <c r="D18" s="10">
        <v>2.273736754432321E-13</v>
      </c>
      <c r="E18" s="10">
        <v>1.13686837721616E-13</v>
      </c>
      <c r="F18" t="b">
        <v>1</v>
      </c>
    </row>
    <row r="19" spans="1:6">
      <c r="A19" s="11">
        <v>42156</v>
      </c>
      <c r="B19" s="10">
        <v>1705.608</v>
      </c>
      <c r="C19" s="10">
        <v>1674.233</v>
      </c>
      <c r="D19" s="10">
        <v>31.375</v>
      </c>
      <c r="E19" s="10">
        <v>31.375</v>
      </c>
      <c r="F19" t="b">
        <v>0</v>
      </c>
    </row>
    <row r="20" spans="1:6">
      <c r="A20" s="11">
        <v>42186</v>
      </c>
      <c r="B20" s="10">
        <v>1523.048</v>
      </c>
      <c r="C20" s="10">
        <v>1523.048</v>
      </c>
      <c r="D20" s="10">
        <v>0</v>
      </c>
      <c r="E20" s="10">
        <v>1.13686837721616E-13</v>
      </c>
      <c r="F20" t="b">
        <v>1</v>
      </c>
    </row>
    <row r="21" spans="1:6">
      <c r="A21" s="11">
        <v>42217</v>
      </c>
      <c r="B21" s="10">
        <v>1659.597</v>
      </c>
      <c r="C21" s="10">
        <v>1659.597</v>
      </c>
      <c r="D21" s="10">
        <v>0</v>
      </c>
      <c r="E21" s="10">
        <v>2.842170943040401E-14</v>
      </c>
      <c r="F21" t="b">
        <v>1</v>
      </c>
    </row>
    <row r="22" spans="1:6">
      <c r="A22" s="11">
        <v>42248</v>
      </c>
      <c r="B22" s="10">
        <v>1679.367</v>
      </c>
      <c r="C22" s="10">
        <v>1679.367</v>
      </c>
      <c r="D22" s="10">
        <v>2.273736754432321E-13</v>
      </c>
      <c r="E22" s="10">
        <v>8.526512829121202E-14</v>
      </c>
      <c r="F22" t="b">
        <v>1</v>
      </c>
    </row>
    <row r="23" spans="1:6">
      <c r="A23" s="11">
        <v>42278</v>
      </c>
      <c r="B23" s="10">
        <v>2529.576000000001</v>
      </c>
      <c r="C23" s="10">
        <v>2529.576</v>
      </c>
      <c r="D23" s="10">
        <v>9.094947017729282E-13</v>
      </c>
      <c r="E23" s="10">
        <v>6.821210263296962E-13</v>
      </c>
      <c r="F23" t="b">
        <v>1</v>
      </c>
    </row>
    <row r="24" spans="1:6">
      <c r="A24" s="11">
        <v>42309</v>
      </c>
      <c r="B24" s="10">
        <v>2189.638</v>
      </c>
      <c r="C24" s="10">
        <v>2106.888</v>
      </c>
      <c r="D24" s="10">
        <v>82.75</v>
      </c>
      <c r="E24" s="10">
        <v>42.75</v>
      </c>
      <c r="F24" t="b">
        <v>0</v>
      </c>
    </row>
    <row r="25" spans="1:6">
      <c r="A25" s="11">
        <v>42339</v>
      </c>
      <c r="B25" s="10">
        <v>2272.83</v>
      </c>
      <c r="C25" s="10">
        <v>2272.83</v>
      </c>
      <c r="D25" s="10">
        <v>4.547473508864641E-13</v>
      </c>
      <c r="E25" s="10">
        <v>2.273736754432321E-13</v>
      </c>
      <c r="F25" t="b">
        <v>1</v>
      </c>
    </row>
    <row r="26" spans="1:6">
      <c r="A26" s="11">
        <v>42370</v>
      </c>
      <c r="B26" s="10">
        <v>2451.376</v>
      </c>
      <c r="C26" s="10">
        <v>2451.376</v>
      </c>
      <c r="D26" s="10">
        <v>0</v>
      </c>
      <c r="E26" s="10">
        <v>2.273736754432321E-13</v>
      </c>
      <c r="F26" t="b">
        <v>1</v>
      </c>
    </row>
    <row r="27" spans="1:6">
      <c r="A27" s="11">
        <v>42401</v>
      </c>
      <c r="B27" s="10">
        <v>2232.400000000001</v>
      </c>
      <c r="C27" s="10">
        <v>2232.4</v>
      </c>
      <c r="D27" s="10">
        <v>4.547473508864641E-13</v>
      </c>
      <c r="E27" s="10">
        <v>2.273736754432321E-13</v>
      </c>
      <c r="F27" t="b">
        <v>1</v>
      </c>
    </row>
    <row r="28" spans="1:6">
      <c r="A28" s="11">
        <v>42430</v>
      </c>
      <c r="B28" s="10">
        <v>2250.169000000001</v>
      </c>
      <c r="C28" s="10">
        <v>2235.169</v>
      </c>
      <c r="D28" s="10">
        <v>15.00000000000091</v>
      </c>
      <c r="E28" s="10">
        <v>15.00000000000011</v>
      </c>
      <c r="F28" t="b">
        <v>0</v>
      </c>
    </row>
    <row r="29" spans="1:6">
      <c r="A29" s="11">
        <v>42461</v>
      </c>
      <c r="B29" s="10">
        <v>2173.573000000001</v>
      </c>
      <c r="C29" s="10">
        <v>2147.573</v>
      </c>
      <c r="D29" s="10">
        <v>26.00000000000091</v>
      </c>
      <c r="E29" s="10">
        <v>26</v>
      </c>
      <c r="F29" t="b">
        <v>0</v>
      </c>
    </row>
    <row r="30" spans="1:6">
      <c r="A30" s="11">
        <v>42491</v>
      </c>
      <c r="B30" s="10">
        <v>1977.021</v>
      </c>
      <c r="C30" s="10">
        <v>1957.021</v>
      </c>
      <c r="D30" s="10">
        <v>20.00000000000023</v>
      </c>
      <c r="E30" s="10">
        <v>20</v>
      </c>
      <c r="F30" t="b">
        <v>0</v>
      </c>
    </row>
    <row r="31" spans="1:6">
      <c r="A31" s="11">
        <v>42522</v>
      </c>
      <c r="B31" s="10">
        <v>1755.231</v>
      </c>
      <c r="C31" s="10">
        <v>1724.731</v>
      </c>
      <c r="D31" s="10">
        <v>30.5</v>
      </c>
      <c r="E31" s="10">
        <v>30.5</v>
      </c>
      <c r="F31" t="b">
        <v>0</v>
      </c>
    </row>
    <row r="32" spans="1:6">
      <c r="A32" s="11">
        <v>42552</v>
      </c>
      <c r="B32" s="10">
        <v>1609.081</v>
      </c>
      <c r="C32" s="10">
        <v>1599.639333333</v>
      </c>
      <c r="D32" s="10">
        <v>9.441666666999936</v>
      </c>
      <c r="E32" s="10">
        <v>9.441666667000163</v>
      </c>
      <c r="F32" t="b">
        <v>0</v>
      </c>
    </row>
    <row r="33" spans="1:6">
      <c r="A33" s="11">
        <v>42583</v>
      </c>
      <c r="B33" s="10">
        <v>1700.055</v>
      </c>
      <c r="C33" s="10">
        <v>1633.38833334</v>
      </c>
      <c r="D33" s="10">
        <v>66.66666666000037</v>
      </c>
      <c r="E33" s="10">
        <v>66.66666666000015</v>
      </c>
      <c r="F33" t="b">
        <v>0</v>
      </c>
    </row>
    <row r="34" spans="1:6">
      <c r="A34" s="11">
        <v>42614</v>
      </c>
      <c r="B34" s="10">
        <v>2049.877</v>
      </c>
      <c r="C34" s="10">
        <v>2049.877</v>
      </c>
      <c r="D34" s="10">
        <v>0</v>
      </c>
      <c r="E34" s="10">
        <v>4.263256414560601E-14</v>
      </c>
      <c r="F34" t="b">
        <v>1</v>
      </c>
    </row>
    <row r="35" spans="1:6">
      <c r="A35" s="11">
        <v>42644</v>
      </c>
      <c r="B35" s="10">
        <v>2710.141000000001</v>
      </c>
      <c r="C35" s="10">
        <v>2655.391</v>
      </c>
      <c r="D35" s="10">
        <v>54.75000000000136</v>
      </c>
      <c r="E35" s="10">
        <v>33.5833333300011</v>
      </c>
      <c r="F35" t="b">
        <v>0</v>
      </c>
    </row>
    <row r="36" spans="1:6">
      <c r="A36" s="11">
        <v>42675</v>
      </c>
      <c r="B36" s="10">
        <v>1962.766000000001</v>
      </c>
      <c r="C36" s="10">
        <v>1942.599333337</v>
      </c>
      <c r="D36" s="10">
        <v>20.16666666300057</v>
      </c>
      <c r="E36" s="10">
        <v>11.83333332999999</v>
      </c>
      <c r="F36" t="b">
        <v>0</v>
      </c>
    </row>
    <row r="37" spans="1:6">
      <c r="A37" s="11">
        <v>42705</v>
      </c>
      <c r="B37" s="10">
        <v>2646.011000000001</v>
      </c>
      <c r="C37" s="10">
        <v>2605.760999997</v>
      </c>
      <c r="D37" s="10">
        <v>40.25000000300088</v>
      </c>
      <c r="E37" s="10">
        <v>30.66666667000001</v>
      </c>
      <c r="F37" t="b">
        <v>0</v>
      </c>
    </row>
    <row r="38" spans="1:6">
      <c r="A38" s="11">
        <v>42736</v>
      </c>
      <c r="B38" s="10">
        <v>1</v>
      </c>
      <c r="C38" s="10">
        <v>2699.597083319</v>
      </c>
      <c r="D38" s="10">
        <v>-2698.597083319</v>
      </c>
      <c r="E38" s="10">
        <v>1439.36</v>
      </c>
      <c r="F38" t="b">
        <v>0</v>
      </c>
    </row>
    <row r="39" spans="1:6">
      <c r="A39" s="11">
        <v>42767</v>
      </c>
      <c r="B39" s="10">
        <v>1165.157</v>
      </c>
      <c r="C39" s="10">
        <v>1447.471583321</v>
      </c>
      <c r="D39" s="10">
        <v>-282.3145833209999</v>
      </c>
      <c r="E39" s="10">
        <v>144.5258333299998</v>
      </c>
      <c r="F39" t="b">
        <v>0</v>
      </c>
    </row>
    <row r="40" spans="1:6">
      <c r="A40" s="11">
        <v>42795</v>
      </c>
      <c r="B40" s="10">
        <v>1406.855</v>
      </c>
      <c r="C40" s="10">
        <v>1376.855</v>
      </c>
      <c r="D40" s="10">
        <v>30</v>
      </c>
      <c r="E40" s="10">
        <v>30</v>
      </c>
      <c r="F40" t="b">
        <v>0</v>
      </c>
    </row>
    <row r="41" spans="1:6">
      <c r="A41" s="11">
        <v>42826</v>
      </c>
      <c r="B41" s="10">
        <v>1369.925</v>
      </c>
      <c r="C41" s="10">
        <v>1341.8</v>
      </c>
      <c r="D41" s="10">
        <v>28.125</v>
      </c>
      <c r="E41" s="10">
        <v>28.125</v>
      </c>
      <c r="F41" t="b">
        <v>0</v>
      </c>
    </row>
    <row r="42" spans="1:6">
      <c r="A42" s="11">
        <v>42856</v>
      </c>
      <c r="B42" s="10">
        <v>1369.485</v>
      </c>
      <c r="C42" s="10">
        <v>1369.485</v>
      </c>
      <c r="D42" s="10">
        <v>0</v>
      </c>
      <c r="E42" s="10">
        <v>1.13686837721616E-13</v>
      </c>
      <c r="F42" t="b">
        <v>1</v>
      </c>
    </row>
    <row r="43" spans="1:6">
      <c r="A43" s="11">
        <v>42887</v>
      </c>
      <c r="B43" s="10">
        <v>1326.936</v>
      </c>
      <c r="C43" s="10">
        <v>1306.936</v>
      </c>
      <c r="D43" s="10">
        <v>20.00000000000023</v>
      </c>
      <c r="E43" s="10">
        <v>20</v>
      </c>
      <c r="F43" t="b">
        <v>0</v>
      </c>
    </row>
    <row r="44" spans="1:6">
      <c r="A44" s="11">
        <v>42917</v>
      </c>
      <c r="B44" s="10">
        <v>1260.526</v>
      </c>
      <c r="C44" s="10">
        <v>1251.151</v>
      </c>
      <c r="D44" s="10">
        <v>9.374999999999773</v>
      </c>
      <c r="E44" s="10">
        <v>9.375</v>
      </c>
      <c r="F44" t="b">
        <v>0</v>
      </c>
    </row>
    <row r="45" spans="1:6">
      <c r="A45" s="11">
        <v>42948</v>
      </c>
      <c r="B45" s="10">
        <v>1302.42</v>
      </c>
      <c r="C45" s="10">
        <v>1302.42</v>
      </c>
      <c r="D45" s="10">
        <v>-2.273736754432321E-13</v>
      </c>
      <c r="E45" s="10">
        <v>2.842170943040401E-14</v>
      </c>
      <c r="F45" t="b">
        <v>1</v>
      </c>
    </row>
    <row r="46" spans="1:6">
      <c r="A46" s="11">
        <v>42979</v>
      </c>
      <c r="B46" s="10">
        <v>1660.841</v>
      </c>
      <c r="C46" s="10">
        <v>1660.841</v>
      </c>
      <c r="D46" s="10">
        <v>4.547473508864641E-13</v>
      </c>
      <c r="E46" s="10">
        <v>2.273736754432321E-13</v>
      </c>
      <c r="F46" t="b">
        <v>1</v>
      </c>
    </row>
    <row r="47" spans="1:6">
      <c r="A47" s="11">
        <v>43009</v>
      </c>
      <c r="B47" s="10">
        <v>2050.127</v>
      </c>
      <c r="C47" s="10">
        <v>2050.127</v>
      </c>
      <c r="D47" s="10">
        <v>4.547473508864641E-13</v>
      </c>
      <c r="E47" s="10">
        <v>4.547473508864641E-13</v>
      </c>
      <c r="F47" t="b">
        <v>1</v>
      </c>
    </row>
    <row r="48" spans="1:6">
      <c r="A48" s="11">
        <v>43040</v>
      </c>
      <c r="B48" s="10">
        <v>1705.579</v>
      </c>
      <c r="C48" s="10">
        <v>1705.579</v>
      </c>
      <c r="D48" s="10">
        <v>2.273736754432321E-13</v>
      </c>
      <c r="E48" s="10">
        <v>1.13686837721616E-13</v>
      </c>
      <c r="F48" t="b">
        <v>1</v>
      </c>
    </row>
    <row r="49" spans="1:6">
      <c r="A49" s="11">
        <v>43070</v>
      </c>
      <c r="B49" s="10">
        <v>1887.103</v>
      </c>
      <c r="C49" s="10">
        <v>1887.103</v>
      </c>
      <c r="D49" s="10">
        <v>0</v>
      </c>
      <c r="E49" s="10">
        <v>1.13686837721616E-13</v>
      </c>
      <c r="F49" t="b">
        <v>1</v>
      </c>
    </row>
    <row r="50" spans="1:6">
      <c r="A50" s="11">
        <v>43101</v>
      </c>
      <c r="B50" s="10">
        <v>1985.701</v>
      </c>
      <c r="C50" s="10">
        <v>1985.701</v>
      </c>
      <c r="D50" s="10">
        <v>0</v>
      </c>
      <c r="E50" s="10">
        <v>1.4210854715202E-14</v>
      </c>
      <c r="F50" t="b">
        <v>1</v>
      </c>
    </row>
    <row r="51" spans="1:6">
      <c r="A51" s="11">
        <v>43132</v>
      </c>
      <c r="B51" s="10">
        <v>2203.248000000001</v>
      </c>
      <c r="C51" s="10">
        <v>2174.498</v>
      </c>
      <c r="D51" s="10">
        <v>28.75000000000091</v>
      </c>
      <c r="E51" s="10">
        <v>28.75</v>
      </c>
      <c r="F51" t="b">
        <v>0</v>
      </c>
    </row>
    <row r="52" spans="1:6">
      <c r="A52" s="11">
        <v>43160</v>
      </c>
      <c r="B52" s="10">
        <v>2156.847000000001</v>
      </c>
      <c r="C52" s="10">
        <v>2156.847</v>
      </c>
      <c r="D52" s="10">
        <v>4.547473508864641E-13</v>
      </c>
      <c r="E52" s="10">
        <v>3.410605131648481E-13</v>
      </c>
      <c r="F52" t="b">
        <v>1</v>
      </c>
    </row>
    <row r="53" spans="1:6">
      <c r="A53" s="11">
        <v>43191</v>
      </c>
      <c r="B53" s="10">
        <v>1934.48</v>
      </c>
      <c r="C53" s="10">
        <v>1894.73</v>
      </c>
      <c r="D53" s="10">
        <v>39.75</v>
      </c>
      <c r="E53" s="10">
        <v>32.74999999999989</v>
      </c>
      <c r="F53" t="b">
        <v>0</v>
      </c>
    </row>
    <row r="54" spans="1:6">
      <c r="A54" s="11">
        <v>43221</v>
      </c>
      <c r="B54" s="10">
        <v>1675.13</v>
      </c>
      <c r="C54" s="10">
        <v>1650.13</v>
      </c>
      <c r="D54" s="10">
        <v>25.00000000000023</v>
      </c>
      <c r="E54" s="10">
        <v>25</v>
      </c>
      <c r="F54" t="b">
        <v>0</v>
      </c>
    </row>
    <row r="55" spans="1:6">
      <c r="A55" s="11">
        <v>43252</v>
      </c>
      <c r="B55" s="10">
        <v>1414.349</v>
      </c>
      <c r="C55" s="10">
        <v>1414.349</v>
      </c>
      <c r="D55" s="10">
        <v>0</v>
      </c>
      <c r="E55" s="10">
        <v>4.263256414560601E-14</v>
      </c>
      <c r="F55" t="b">
        <v>1</v>
      </c>
    </row>
    <row r="56" spans="1:6">
      <c r="A56" s="11">
        <v>43282</v>
      </c>
      <c r="B56" s="10">
        <v>1563.479</v>
      </c>
      <c r="C56" s="10">
        <v>1563.479</v>
      </c>
      <c r="D56" s="10">
        <v>0</v>
      </c>
      <c r="E56" s="10">
        <v>1.13686837721616E-13</v>
      </c>
      <c r="F56" t="b">
        <v>1</v>
      </c>
    </row>
    <row r="57" spans="1:6">
      <c r="A57" s="11">
        <v>43313</v>
      </c>
      <c r="B57" s="10">
        <v>1611.907</v>
      </c>
      <c r="C57" s="10">
        <v>1611.907</v>
      </c>
      <c r="D57" s="10">
        <v>0</v>
      </c>
      <c r="E57" s="10">
        <v>4.263256414560601E-14</v>
      </c>
      <c r="F57" t="b">
        <v>1</v>
      </c>
    </row>
    <row r="58" spans="1:6">
      <c r="A58" s="11">
        <v>43344</v>
      </c>
      <c r="B58" s="10">
        <v>1981.374</v>
      </c>
      <c r="C58" s="10">
        <v>1981.374</v>
      </c>
      <c r="D58" s="10">
        <v>2.273736754432321E-13</v>
      </c>
      <c r="E58" s="10">
        <v>2.273736754432321E-13</v>
      </c>
      <c r="F58" t="b">
        <v>1</v>
      </c>
    </row>
    <row r="59" spans="1:6">
      <c r="A59" s="11">
        <v>43374</v>
      </c>
      <c r="B59" s="10">
        <v>2221.335</v>
      </c>
      <c r="C59" s="10">
        <v>2195.335</v>
      </c>
      <c r="D59" s="10">
        <v>26.00000000000045</v>
      </c>
      <c r="E59" s="10">
        <v>26</v>
      </c>
      <c r="F59" t="b">
        <v>0</v>
      </c>
    </row>
    <row r="60" spans="1:6">
      <c r="A60" s="11">
        <v>43405</v>
      </c>
      <c r="B60" s="10">
        <v>2008.677</v>
      </c>
      <c r="C60" s="10">
        <v>2008.677</v>
      </c>
      <c r="D60" s="10">
        <v>4.547473508864641E-13</v>
      </c>
      <c r="E60" s="10">
        <v>5.684341886080801E-14</v>
      </c>
      <c r="F60" t="b">
        <v>1</v>
      </c>
    </row>
    <row r="61" spans="1:6">
      <c r="A61" s="11">
        <v>43435</v>
      </c>
      <c r="B61" s="10">
        <v>2277.534</v>
      </c>
      <c r="C61" s="10">
        <v>2247.534</v>
      </c>
      <c r="D61" s="10">
        <v>30</v>
      </c>
      <c r="E61" s="10">
        <v>30</v>
      </c>
      <c r="F61" t="b">
        <v>0</v>
      </c>
    </row>
    <row r="62" spans="1:6">
      <c r="A62" s="11">
        <v>43466</v>
      </c>
      <c r="B62" s="10">
        <v>2907.863000000002</v>
      </c>
      <c r="C62" s="10">
        <v>2875.158</v>
      </c>
      <c r="D62" s="10">
        <v>32.70500000000175</v>
      </c>
      <c r="E62" s="10">
        <v>32.70500000000018</v>
      </c>
      <c r="F62" t="b">
        <v>0</v>
      </c>
    </row>
    <row r="63" spans="1:6">
      <c r="A63" s="11">
        <v>43497</v>
      </c>
      <c r="B63" s="10">
        <v>1944.197000000001</v>
      </c>
      <c r="C63" s="10">
        <v>1944.197</v>
      </c>
      <c r="D63" s="10">
        <v>4.547473508864641E-13</v>
      </c>
      <c r="E63" s="10">
        <v>4.547473508864641E-13</v>
      </c>
      <c r="F63" t="b">
        <v>1</v>
      </c>
    </row>
    <row r="64" spans="1:6">
      <c r="A64" s="11">
        <v>43525</v>
      </c>
      <c r="B64" s="10">
        <v>2038.938</v>
      </c>
      <c r="C64" s="10">
        <v>2038.938</v>
      </c>
      <c r="D64" s="10">
        <v>2.273736754432321E-13</v>
      </c>
      <c r="E64" s="10">
        <v>1.13686837721616E-13</v>
      </c>
      <c r="F64" t="b">
        <v>1</v>
      </c>
    </row>
    <row r="65" spans="1:6">
      <c r="A65" s="11">
        <v>43556</v>
      </c>
      <c r="B65" s="10">
        <v>1756.805</v>
      </c>
      <c r="C65" s="10">
        <v>1716.805</v>
      </c>
      <c r="D65" s="10">
        <v>40.00000000000023</v>
      </c>
      <c r="E65" s="10">
        <v>40</v>
      </c>
      <c r="F65" t="b">
        <v>0</v>
      </c>
    </row>
    <row r="66" spans="1:6">
      <c r="A66" s="11">
        <v>43586</v>
      </c>
      <c r="B66" s="10">
        <v>1822.16</v>
      </c>
      <c r="C66" s="10">
        <v>1798.45166667</v>
      </c>
      <c r="D66" s="10">
        <v>23.70833333000019</v>
      </c>
      <c r="E66" s="10">
        <v>23.70833333000002</v>
      </c>
      <c r="F66" t="b">
        <v>0</v>
      </c>
    </row>
    <row r="67" spans="1:6">
      <c r="A67" s="11">
        <v>43617</v>
      </c>
      <c r="B67" s="10">
        <v>1482.407</v>
      </c>
      <c r="C67" s="10">
        <v>1482.407</v>
      </c>
      <c r="D67" s="10">
        <v>0</v>
      </c>
      <c r="E67" s="10">
        <v>1.13686837721616E-13</v>
      </c>
      <c r="F67" t="b">
        <v>1</v>
      </c>
    </row>
    <row r="68" spans="1:6">
      <c r="A68" s="11">
        <v>43647</v>
      </c>
      <c r="B68" s="10">
        <v>1517.941</v>
      </c>
      <c r="C68" s="10">
        <v>1488.816</v>
      </c>
      <c r="D68" s="10">
        <v>29.125</v>
      </c>
      <c r="E68" s="10">
        <v>29.125</v>
      </c>
      <c r="F68" t="b">
        <v>0</v>
      </c>
    </row>
    <row r="69" spans="1:6">
      <c r="A69" s="11">
        <v>43678</v>
      </c>
      <c r="B69" s="10">
        <v>1377.779</v>
      </c>
      <c r="C69" s="10">
        <v>1377.779</v>
      </c>
      <c r="D69" s="10">
        <v>0</v>
      </c>
      <c r="E69" s="10">
        <v>1.13686837721616E-13</v>
      </c>
      <c r="F69" t="b">
        <v>1</v>
      </c>
    </row>
    <row r="70" spans="1:6">
      <c r="A70" s="11">
        <v>43709</v>
      </c>
      <c r="B70" s="10">
        <v>1864.387</v>
      </c>
      <c r="C70" s="10">
        <v>1824.803666667</v>
      </c>
      <c r="D70" s="10">
        <v>39.58333333299993</v>
      </c>
      <c r="E70" s="10">
        <v>39.583333333</v>
      </c>
      <c r="F70" t="b">
        <v>0</v>
      </c>
    </row>
    <row r="71" spans="1:6">
      <c r="A71" s="11">
        <v>43739</v>
      </c>
      <c r="B71" s="10">
        <v>538.6</v>
      </c>
      <c r="C71" s="10">
        <v>538.6</v>
      </c>
      <c r="D71" s="10">
        <v>0</v>
      </c>
      <c r="E71" s="10">
        <v>5.684341886080801E-14</v>
      </c>
      <c r="F71" t="b">
        <v>1</v>
      </c>
    </row>
  </sheetData>
  <conditionalFormatting sqref="D2:D71">
    <cfRule type="colorScale" priority="1">
      <colorScale>
        <cfvo type="min" val="0"/>
        <cfvo type="percentile" val="50"/>
        <cfvo type="max" val="0"/>
        <color rgb="FF63BE7B"/>
        <color rgb="FFFFEB84"/>
        <color rgb="FFF8696B"/>
      </colorScale>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t="s">
        <v>2278</v>
      </c>
      <c r="B1" t="s">
        <v>2280</v>
      </c>
    </row>
    <row r="2" spans="1:2">
      <c r="A2" t="s">
        <v>2279</v>
      </c>
      <c r="B2" t="s">
        <v>2279</v>
      </c>
    </row>
    <row r="3" spans="1:2">
      <c r="A3">
        <v>2014</v>
      </c>
      <c r="B3" t="s">
        <v>40</v>
      </c>
    </row>
    <row r="4" spans="1:2">
      <c r="A4">
        <v>2015</v>
      </c>
      <c r="B4" t="s">
        <v>41</v>
      </c>
    </row>
    <row r="5" spans="1:2">
      <c r="A5">
        <v>2016</v>
      </c>
      <c r="B5" t="s">
        <v>42</v>
      </c>
    </row>
    <row r="6" spans="1:2">
      <c r="A6">
        <v>2017</v>
      </c>
      <c r="B6" t="s">
        <v>43</v>
      </c>
    </row>
    <row r="7" spans="1:2">
      <c r="A7">
        <v>2018</v>
      </c>
      <c r="B7" t="s">
        <v>44</v>
      </c>
    </row>
    <row r="8" spans="1:2">
      <c r="A8">
        <v>2019</v>
      </c>
      <c r="B8" t="s">
        <v>45</v>
      </c>
    </row>
    <row r="9" spans="1:2">
      <c r="B9" t="s">
        <v>46</v>
      </c>
    </row>
    <row r="10" spans="1:2">
      <c r="B10" t="s">
        <v>47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71"/>
  <sheetViews>
    <sheetView showGridLines="0" workbookViewId="0"/>
  </sheetViews>
  <sheetFormatPr defaultRowHeight="15"/>
  <cols>
    <col min="1" max="1" width="15.7109375" customWidth="1"/>
    <col min="2" max="3" width="25.7109375" customWidth="1"/>
    <col min="5" max="6" width="23.7109375" customWidth="1"/>
    <col min="8" max="10" width="25.7109375" customWidth="1"/>
  </cols>
  <sheetData>
    <row r="1" spans="1:10">
      <c r="A1" s="13" t="s">
        <v>2168</v>
      </c>
      <c r="B1" s="13" t="s">
        <v>2172</v>
      </c>
      <c r="C1" s="13" t="s">
        <v>2281</v>
      </c>
      <c r="E1" s="13" t="s">
        <v>2185</v>
      </c>
      <c r="F1" s="13" t="s">
        <v>2282</v>
      </c>
      <c r="H1" s="13" t="s">
        <v>2283</v>
      </c>
      <c r="I1" s="13" t="s">
        <v>2284</v>
      </c>
      <c r="J1" s="13" t="s">
        <v>2285</v>
      </c>
    </row>
    <row r="2" spans="1:10">
      <c r="A2" t="s">
        <v>40</v>
      </c>
      <c r="B2" s="14">
        <f>IF(Dashboard!$B$3="All",SUM(Clean_Daily!B2:B2107),SUMIFS(Clean_Daily!B2:B2107,Clean_Daily!$K$2:$K$2107,VALUE(Dashboard!$B$3)))</f>
        <v>10600.937083334</v>
      </c>
      <c r="C2" s="14" t="e">
        <f>IF(AND(B2=TRUE,OR(Dashboard!$B$3="All",YEAR(A2)=VALUE(Dashboard!$B$3))),IF(Dashboard!$E$3="All",SUMIFS(Clean_Daily!$J$2:$J$2107,Clean_Daily!$M$2:$M$2107,A2),SUMIFS(INDEX(Clean_Daily!$B$2:$I$2107,0,MATCH(Dashboard!$E$3,Clean_Daily!$B$1:$I$1,0)),Clean_Daily!$M$2:$M$2107,A2)),NA())</f>
        <v>#N/A</v>
      </c>
      <c r="H2" t="s">
        <v>61</v>
      </c>
      <c r="I2" s="16">
        <f>IF(Dashboard!$B$3="All",COUNTIF(Clean_Daily!$P$2:$P$2107,H2),COUNTIFS(Clean_Daily!$P$2:$P$2107,H2,Clean_Daily!$K$2:$K$2107,VALUE(Dashboard!$B$3)))</f>
        <v>301</v>
      </c>
      <c r="J2" s="14">
        <f>IF(I2=0,0,IF(Dashboard!$E$3="All",IF(Dashboard!$B$3="All",SUMIFS(Clean_Daily!$J$2:$J$2107,Clean_Daily!$P$2:$P$2107,H2),SUMIFS(Clean_Daily!$J$2:$J$2107,Clean_Daily!$P$2:$P$2107,H2,Clean_Daily!$K$2:$K$2107,VALUE(Dashboard!$B$3))),IF(Dashboard!$B$3="All",SUMIFS(INDEX(Clean_Daily!$B$2:$I$2107,0,MATCH(Dashboard!$E$3,Clean_Daily!$B$1:$I$1,0)),Clean_Daily!$P$2:$P$2107,H2),SUMIFS(INDEX(Clean_Daily!$B$2:$I$2107,0,MATCH(Dashboard!$E$3,Clean_Daily!$B$1:$I$1,0)),Clean_Daily!$P$2:$P$2107,H2,Clean_Daily!$K$2:$K$2107,VALUE(Dashboard!$B$3))))/I2)</f>
        <v>60.607364341053156</v>
      </c>
    </row>
    <row r="3" spans="1:10">
      <c r="A3" t="s">
        <v>41</v>
      </c>
      <c r="B3" s="14">
        <f>IF(Dashboard!$B$3="All",SUM(Clean_Daily!C2:C2107),SUMIFS(Clean_Daily!C2:C2107,Clean_Daily!$K$2:$K$2107,VALUE(Dashboard!$B$3)))</f>
        <v>8204.618645833</v>
      </c>
      <c r="C3" s="14">
        <f>IF(AND(B3=TRUE,OR(Dashboard!$B$3="All",YEAR(A3)=VALUE(Dashboard!$B$3))),IF(Dashboard!$E$3="All",SUMIFS(Clean_Daily!$J$2:$J$2107,Clean_Daily!$M$2:$M$2107,A3),SUMIFS(INDEX(Clean_Daily!$B$2:$I$2107,0,MATCH(Dashboard!$E$3,Clean_Daily!$B$1:$I$1,0)),Clean_Daily!$M$2:$M$2107,A3)),NA())</f>
        <v>1974.47</v>
      </c>
      <c r="H3" t="s">
        <v>63</v>
      </c>
      <c r="I3" s="16">
        <f>IF(Dashboard!$B$3="All",COUNTIF(Clean_Daily!$P$2:$P$2107,H3),COUNTIFS(Clean_Daily!$P$2:$P$2107,H3,Clean_Daily!$K$2:$K$2107,VALUE(Dashboard!$B$3)))</f>
        <v>301</v>
      </c>
      <c r="J3" s="14">
        <f>IF(I3=0,0,IF(Dashboard!$E$3="All",IF(Dashboard!$B$3="All",SUMIFS(Clean_Daily!$J$2:$J$2107,Clean_Daily!$P$2:$P$2107,H3),SUMIFS(Clean_Daily!$J$2:$J$2107,Clean_Daily!$P$2:$P$2107,H3,Clean_Daily!$K$2:$K$2107,VALUE(Dashboard!$B$3))),IF(Dashboard!$B$3="All",SUMIFS(INDEX(Clean_Daily!$B$2:$I$2107,0,MATCH(Dashboard!$E$3,Clean_Daily!$B$1:$I$1,0)),Clean_Daily!$P$2:$P$2107,H3),SUMIFS(INDEX(Clean_Daily!$B$2:$I$2107,0,MATCH(Dashboard!$E$3,Clean_Daily!$B$1:$I$1,0)),Clean_Daily!$P$2:$P$2107,H3,Clean_Daily!$K$2:$K$2107,VALUE(Dashboard!$B$3))))/I3)</f>
        <v>60.017431893647846</v>
      </c>
    </row>
    <row r="4" spans="1:10">
      <c r="A4" t="s">
        <v>42</v>
      </c>
      <c r="B4" s="14">
        <f>IF(Dashboard!$B$3="All",SUM(Clean_Daily!D2:D2107),SUMIFS(Clean_Daily!D2:D2107,Clean_Daily!$K$2:$K$2107,VALUE(Dashboard!$B$3)))</f>
        <v>8172.209000000999</v>
      </c>
      <c r="C4" s="14">
        <f>IF(AND(B4=TRUE,OR(Dashboard!$B$3="All",YEAR(A4)=VALUE(Dashboard!$B$3))),IF(Dashboard!$E$3="All",SUMIFS(Clean_Daily!$J$2:$J$2107,Clean_Daily!$M$2:$M$2107,A4),SUMIFS(INDEX(Clean_Daily!$B$2:$I$2107,0,MATCH(Dashboard!$E$3,Clean_Daily!$B$1:$I$1,0)),Clean_Daily!$M$2:$M$2107,A4)),NA())</f>
        <v>1606.72</v>
      </c>
      <c r="H4" t="s">
        <v>65</v>
      </c>
      <c r="I4" s="16">
        <f>IF(Dashboard!$B$3="All",COUNTIF(Clean_Daily!$P$2:$P$2107,H4),COUNTIFS(Clean_Daily!$P$2:$P$2107,H4,Clean_Daily!$K$2:$K$2107,VALUE(Dashboard!$B$3)))</f>
        <v>300</v>
      </c>
      <c r="J4" s="14">
        <f>IF(I4=0,0,IF(Dashboard!$E$3="All",IF(Dashboard!$B$3="All",SUMIFS(Clean_Daily!$J$2:$J$2107,Clean_Daily!$P$2:$P$2107,H4),SUMIFS(Clean_Daily!$J$2:$J$2107,Clean_Daily!$P$2:$P$2107,H4,Clean_Daily!$K$2:$K$2107,VALUE(Dashboard!$B$3))),IF(Dashboard!$B$3="All",SUMIFS(INDEX(Clean_Daily!$B$2:$I$2107,0,MATCH(Dashboard!$E$3,Clean_Daily!$B$1:$I$1,0)),Clean_Daily!$P$2:$P$2107,H4),SUMIFS(INDEX(Clean_Daily!$B$2:$I$2107,0,MATCH(Dashboard!$E$3,Clean_Daily!$B$1:$I$1,0)),Clean_Daily!$P$2:$P$2107,H4,Clean_Daily!$K$2:$K$2107,VALUE(Dashboard!$B$3))))/I4)</f>
        <v>59.23842500000333</v>
      </c>
    </row>
    <row r="5" spans="1:10">
      <c r="A5" t="s">
        <v>43</v>
      </c>
      <c r="B5" s="14">
        <f>IF(Dashboard!$B$3="All",SUM(Clean_Daily!E2:E2107),SUMIFS(Clean_Daily!E2:E2107,Clean_Daily!$K$2:$K$2107,VALUE(Dashboard!$B$3)))</f>
        <v>63005.40270834</v>
      </c>
      <c r="C5" s="14">
        <f>IF(AND(B5=TRUE,OR(Dashboard!$B$3="All",YEAR(A5)=VALUE(Dashboard!$B$3))),IF(Dashboard!$E$3="All",SUMIFS(Clean_Daily!$J$2:$J$2107,Clean_Daily!$M$2:$M$2107,A5),SUMIFS(INDEX(Clean_Daily!$B$2:$I$2107,0,MATCH(Dashboard!$E$3,Clean_Daily!$B$1:$I$1,0)),Clean_Daily!$M$2:$M$2107,A5)),NA())</f>
        <v>1423.925</v>
      </c>
      <c r="H5" t="s">
        <v>53</v>
      </c>
      <c r="I5" s="16">
        <f>IF(Dashboard!$B$3="All",COUNTIF(Clean_Daily!$P$2:$P$2107,H5),COUNTIFS(Clean_Daily!$P$2:$P$2107,H5,Clean_Daily!$K$2:$K$2107,VALUE(Dashboard!$B$3)))</f>
        <v>301</v>
      </c>
      <c r="J5" s="14">
        <f>IF(I5=0,0,IF(Dashboard!$E$3="All",IF(Dashboard!$B$3="All",SUMIFS(Clean_Daily!$J$2:$J$2107,Clean_Daily!$P$2:$P$2107,H5),SUMIFS(Clean_Daily!$J$2:$J$2107,Clean_Daily!$P$2:$P$2107,H5,Clean_Daily!$K$2:$K$2107,VALUE(Dashboard!$B$3))),IF(Dashboard!$B$3="All",SUMIFS(INDEX(Clean_Daily!$B$2:$I$2107,0,MATCH(Dashboard!$E$3,Clean_Daily!$B$1:$I$1,0)),Clean_Daily!$P$2:$P$2107,H5),SUMIFS(INDEX(Clean_Daily!$B$2:$I$2107,0,MATCH(Dashboard!$E$3,Clean_Daily!$B$1:$I$1,0)),Clean_Daily!$P$2:$P$2107,H5,Clean_Daily!$K$2:$K$2107,VALUE(Dashboard!$B$3))))/I5)</f>
        <v>57.18401751108638</v>
      </c>
    </row>
    <row r="6" spans="1:10">
      <c r="A6" t="s">
        <v>44</v>
      </c>
      <c r="B6" s="14">
        <f>IF(Dashboard!$B$3="All",SUM(Clean_Daily!F2:F2107),SUMIFS(Clean_Daily!F2:F2107,Clean_Daily!$K$2:$K$2107,VALUE(Dashboard!$B$3)))</f>
        <v>18645.737499971</v>
      </c>
      <c r="C6" s="14">
        <f>IF(AND(B6=TRUE,OR(Dashboard!$B$3="All",YEAR(A6)=VALUE(Dashboard!$B$3))),IF(Dashboard!$E$3="All",SUMIFS(Clean_Daily!$J$2:$J$2107,Clean_Daily!$M$2:$M$2107,A6),SUMIFS(INDEX(Clean_Daily!$B$2:$I$2107,0,MATCH(Dashboard!$E$3,Clean_Daily!$B$1:$I$1,0)),Clean_Daily!$M$2:$M$2107,A6)),NA())</f>
        <v>1506.303</v>
      </c>
      <c r="H6" t="s">
        <v>55</v>
      </c>
      <c r="I6" s="16">
        <f>IF(Dashboard!$B$3="All",COUNTIF(Clean_Daily!$P$2:$P$2107,H6),COUNTIFS(Clean_Daily!$P$2:$P$2107,H6,Clean_Daily!$K$2:$K$2107,VALUE(Dashboard!$B$3)))</f>
        <v>301</v>
      </c>
      <c r="J6" s="14">
        <f>IF(I6=0,0,IF(Dashboard!$E$3="All",IF(Dashboard!$B$3="All",SUMIFS(Clean_Daily!$J$2:$J$2107,Clean_Daily!$P$2:$P$2107,H6),SUMIFS(Clean_Daily!$J$2:$J$2107,Clean_Daily!$P$2:$P$2107,H6,Clean_Daily!$K$2:$K$2107,VALUE(Dashboard!$B$3))),IF(Dashboard!$B$3="All",SUMIFS(INDEX(Clean_Daily!$B$2:$I$2107,0,MATCH(Dashboard!$E$3,Clean_Daily!$B$1:$I$1,0)),Clean_Daily!$P$2:$P$2107,H6),SUMIFS(INDEX(Clean_Daily!$B$2:$I$2107,0,MATCH(Dashboard!$E$3,Clean_Daily!$B$1:$I$1,0)),Clean_Daily!$P$2:$P$2107,H6,Clean_Daily!$K$2:$K$2107,VALUE(Dashboard!$B$3))))/I6)</f>
        <v>60.24748034327574</v>
      </c>
    </row>
    <row r="7" spans="1:10">
      <c r="A7" t="s">
        <v>45</v>
      </c>
      <c r="B7" s="14">
        <f>IF(Dashboard!$B$3="All",SUM(Clean_Daily!G2:G2107),SUMIFS(Clean_Daily!G2:G2107,Clean_Daily!$K$2:$K$2107,VALUE(Dashboard!$B$3)))</f>
        <v>1249.958333333</v>
      </c>
      <c r="C7" s="14">
        <f>IF(AND(B7=TRUE,OR(Dashboard!$B$3="All",YEAR(A7)=VALUE(Dashboard!$B$3))),IF(Dashboard!$E$3="All",SUMIFS(Clean_Daily!$J$2:$J$2107,Clean_Daily!$M$2:$M$2107,A7),SUMIFS(INDEX(Clean_Daily!$B$2:$I$2107,0,MATCH(Dashboard!$E$3,Clean_Daily!$B$1:$I$1,0)),Clean_Daily!$M$2:$M$2107,A7)),NA())</f>
        <v>1390.205</v>
      </c>
      <c r="H7" t="s">
        <v>57</v>
      </c>
      <c r="I7" s="16">
        <f>IF(Dashboard!$B$3="All",COUNTIF(Clean_Daily!$P$2:$P$2107,H7),COUNTIFS(Clean_Daily!$P$2:$P$2107,H7,Clean_Daily!$K$2:$K$2107,VALUE(Dashboard!$B$3)))</f>
        <v>301</v>
      </c>
      <c r="J7" s="14">
        <f>IF(I7=0,0,IF(Dashboard!$E$3="All",IF(Dashboard!$B$3="All",SUMIFS(Clean_Daily!$J$2:$J$2107,Clean_Daily!$P$2:$P$2107,H7),SUMIFS(Clean_Daily!$J$2:$J$2107,Clean_Daily!$P$2:$P$2107,H7,Clean_Daily!$K$2:$K$2107,VALUE(Dashboard!$B$3))),IF(Dashboard!$B$3="All",SUMIFS(INDEX(Clean_Daily!$B$2:$I$2107,0,MATCH(Dashboard!$E$3,Clean_Daily!$B$1:$I$1,0)),Clean_Daily!$P$2:$P$2107,H7),SUMIFS(INDEX(Clean_Daily!$B$2:$I$2107,0,MATCH(Dashboard!$E$3,Clean_Daily!$B$1:$I$1,0)),Clean_Daily!$P$2:$P$2107,H7,Clean_Daily!$K$2:$K$2107,VALUE(Dashboard!$B$3))))/I7)</f>
        <v>65.67307115170432</v>
      </c>
    </row>
    <row r="8" spans="1:10">
      <c r="A8" t="s">
        <v>46</v>
      </c>
      <c r="B8" s="14">
        <f>IF(Dashboard!$B$3="All",SUM(Clean_Daily!H2:H2107),SUMIFS(Clean_Daily!H2:H2107,Clean_Daily!$K$2:$K$2107,VALUE(Dashboard!$B$3)))</f>
        <v>11608.822916672001</v>
      </c>
      <c r="C8" s="14">
        <f>IF(AND(B8=TRUE,OR(Dashboard!$B$3="All",YEAR(A8)=VALUE(Dashboard!$B$3))),IF(Dashboard!$E$3="All",SUMIFS(Clean_Daily!$J$2:$J$2107,Clean_Daily!$M$2:$M$2107,A8),SUMIFS(INDEX(Clean_Daily!$B$2:$I$2107,0,MATCH(Dashboard!$E$3,Clean_Daily!$B$1:$I$1,0)),Clean_Daily!$M$2:$M$2107,A8)),NA())</f>
        <v>1332.37</v>
      </c>
      <c r="H8" t="s">
        <v>59</v>
      </c>
      <c r="I8" s="16">
        <f>IF(Dashboard!$B$3="All",COUNTIF(Clean_Daily!$P$2:$P$2107,H8),COUNTIFS(Clean_Daily!$P$2:$P$2107,H8,Clean_Daily!$K$2:$K$2107,VALUE(Dashboard!$B$3)))</f>
        <v>301</v>
      </c>
      <c r="J8" s="14">
        <f>IF(I8=0,0,IF(Dashboard!$E$3="All",IF(Dashboard!$B$3="All",SUMIFS(Clean_Daily!$J$2:$J$2107,Clean_Daily!$P$2:$P$2107,H8),SUMIFS(Clean_Daily!$J$2:$J$2107,Clean_Daily!$P$2:$P$2107,H8,Clean_Daily!$K$2:$K$2107,VALUE(Dashboard!$B$3))),IF(Dashboard!$B$3="All",SUMIFS(INDEX(Clean_Daily!$B$2:$I$2107,0,MATCH(Dashboard!$E$3,Clean_Daily!$B$1:$I$1,0)),Clean_Daily!$P$2:$P$2107,H8),SUMIFS(INDEX(Clean_Daily!$B$2:$I$2107,0,MATCH(Dashboard!$E$3,Clean_Daily!$B$1:$I$1,0)),Clean_Daily!$P$2:$P$2107,H8,Clean_Daily!$K$2:$K$2107,VALUE(Dashboard!$B$3))))/I8)</f>
        <v>61.134343023295685</v>
      </c>
    </row>
    <row r="9" spans="1:10">
      <c r="A9" t="s">
        <v>47</v>
      </c>
      <c r="B9" s="14">
        <f>IF(Dashboard!$B$3="All",SUM(Clean_Daily!I2:I2107),SUMIFS(Clean_Daily!I2:I2107,Clean_Daily!$K$2:$K$2107,VALUE(Dashboard!$B$3)))</f>
        <v>6107.8175</v>
      </c>
      <c r="C9" s="14">
        <f>IF(AND(B9=TRUE,OR(Dashboard!$B$3="All",YEAR(A9)=VALUE(Dashboard!$B$3))),IF(Dashboard!$E$3="All",SUMIFS(Clean_Daily!$J$2:$J$2107,Clean_Daily!$M$2:$M$2107,A9),SUMIFS(INDEX(Clean_Daily!$B$2:$I$2107,0,MATCH(Dashboard!$E$3,Clean_Daily!$B$1:$I$1,0)),Clean_Daily!$M$2:$M$2107,A9)),NA())</f>
        <v>1452.52</v>
      </c>
    </row>
    <row r="10" spans="1:10">
      <c r="A10" s="11">
        <v>41883</v>
      </c>
      <c r="B10" t="b">
        <v>1</v>
      </c>
      <c r="C10" s="14">
        <f>IF(AND(B10=TRUE,OR(Dashboard!$B$3="All",YEAR(A10)=VALUE(Dashboard!$B$3))),IF(Dashboard!$E$3="All",SUMIFS(Clean_Daily!$J$2:$J$2107,Clean_Daily!$M$2:$M$2107,A10),SUMIFS(INDEX(Clean_Daily!$B$2:$I$2107,0,MATCH(Dashboard!$E$3,Clean_Daily!$B$1:$I$1,0)),Clean_Daily!$M$2:$M$2107,A10)),NA())</f>
        <v>1804.594</v>
      </c>
    </row>
    <row r="11" spans="1:10">
      <c r="A11" s="11">
        <v>41913</v>
      </c>
      <c r="B11" t="b">
        <v>1</v>
      </c>
      <c r="C11" s="14">
        <f>IF(AND(B11=TRUE,OR(Dashboard!$B$3="All",YEAR(A11)=VALUE(Dashboard!$B$3))),IF(Dashboard!$E$3="All",SUMIFS(Clean_Daily!$J$2:$J$2107,Clean_Daily!$M$2:$M$2107,A11),SUMIFS(INDEX(Clean_Daily!$B$2:$I$2107,0,MATCH(Dashboard!$E$3,Clean_Daily!$B$1:$I$1,0)),Clean_Daily!$M$2:$M$2107,A11)),NA())</f>
        <v>2081.9956875000003</v>
      </c>
    </row>
    <row r="12" spans="1:10">
      <c r="A12" s="11">
        <v>41944</v>
      </c>
      <c r="B12" t="b">
        <v>1</v>
      </c>
      <c r="C12" s="14">
        <f>IF(AND(B12=TRUE,OR(Dashboard!$B$3="All",YEAR(A12)=VALUE(Dashboard!$B$3))),IF(Dashboard!$E$3="All",SUMIFS(Clean_Daily!$J$2:$J$2107,Clean_Daily!$M$2:$M$2107,A12),SUMIFS(INDEX(Clean_Daily!$B$2:$I$2107,0,MATCH(Dashboard!$E$3,Clean_Daily!$B$1:$I$1,0)),Clean_Daily!$M$2:$M$2107,A12)),NA())</f>
        <v>1770.6399999999999</v>
      </c>
    </row>
    <row r="13" spans="1:10">
      <c r="A13" s="11">
        <v>41974</v>
      </c>
      <c r="B13" t="b">
        <v>1</v>
      </c>
      <c r="C13" s="14">
        <f>IF(AND(B13=TRUE,OR(Dashboard!$B$3="All",YEAR(A13)=VALUE(Dashboard!$B$3))),IF(Dashboard!$E$3="All",SUMIFS(Clean_Daily!$J$2:$J$2107,Clean_Daily!$M$2:$M$2107,A13),SUMIFS(INDEX(Clean_Daily!$B$2:$I$2107,0,MATCH(Dashboard!$E$3,Clean_Daily!$B$1:$I$1,0)),Clean_Daily!$M$2:$M$2107,A13)),NA())</f>
        <v>2093.485</v>
      </c>
    </row>
    <row r="14" spans="1:10">
      <c r="A14" s="11">
        <v>42005</v>
      </c>
      <c r="B14" t="b">
        <v>1</v>
      </c>
      <c r="C14" s="14">
        <f>IF(AND(B14=TRUE,OR(Dashboard!$B$3="All",YEAR(A14)=VALUE(Dashboard!$B$3))),IF(Dashboard!$E$3="All",SUMIFS(Clean_Daily!$J$2:$J$2107,Clean_Daily!$M$2:$M$2107,A14),SUMIFS(INDEX(Clean_Daily!$B$2:$I$2107,0,MATCH(Dashboard!$E$3,Clean_Daily!$B$1:$I$1,0)),Clean_Daily!$M$2:$M$2107,A14)),NA())</f>
        <v>2157.749</v>
      </c>
    </row>
    <row r="15" spans="1:10">
      <c r="A15" s="11">
        <v>42036</v>
      </c>
      <c r="B15" t="b">
        <v>1</v>
      </c>
      <c r="C15" s="14">
        <f>IF(AND(B15=TRUE,OR(Dashboard!$B$3="All",YEAR(A15)=VALUE(Dashboard!$B$3))),IF(Dashboard!$E$3="All",SUMIFS(Clean_Daily!$J$2:$J$2107,Clean_Daily!$M$2:$M$2107,A15),SUMIFS(INDEX(Clean_Daily!$B$2:$I$2107,0,MATCH(Dashboard!$E$3,Clean_Daily!$B$1:$I$1,0)),Clean_Daily!$M$2:$M$2107,A15)),NA())</f>
        <v>1831.5320000000002</v>
      </c>
    </row>
    <row r="16" spans="1:10">
      <c r="A16" s="11">
        <v>42064</v>
      </c>
      <c r="B16" t="b">
        <v>1</v>
      </c>
      <c r="C16" s="14">
        <f>IF(AND(B16=TRUE,OR(Dashboard!$B$3="All",YEAR(A16)=VALUE(Dashboard!$B$3))),IF(Dashboard!$E$3="All",SUMIFS(Clean_Daily!$J$2:$J$2107,Clean_Daily!$M$2:$M$2107,A16),SUMIFS(INDEX(Clean_Daily!$B$2:$I$2107,0,MATCH(Dashboard!$E$3,Clean_Daily!$B$1:$I$1,0)),Clean_Daily!$M$2:$M$2107,A16)),NA())</f>
        <v>1949.076</v>
      </c>
    </row>
    <row r="17" spans="1:3">
      <c r="A17" s="11">
        <v>42095</v>
      </c>
      <c r="B17" t="b">
        <v>1</v>
      </c>
      <c r="C17" s="14">
        <f>IF(AND(B17=TRUE,OR(Dashboard!$B$3="All",YEAR(A17)=VALUE(Dashboard!$B$3))),IF(Dashboard!$E$3="All",SUMIFS(Clean_Daily!$J$2:$J$2107,Clean_Daily!$M$2:$M$2107,A17),SUMIFS(INDEX(Clean_Daily!$B$2:$I$2107,0,MATCH(Dashboard!$E$3,Clean_Daily!$B$1:$I$1,0)),Clean_Daily!$M$2:$M$2107,A17)),NA())</f>
        <v>1723.885</v>
      </c>
    </row>
    <row r="18" spans="1:3">
      <c r="A18" s="11">
        <v>42125</v>
      </c>
      <c r="B18" t="b">
        <v>1</v>
      </c>
      <c r="C18" s="14">
        <f>IF(AND(B18=TRUE,OR(Dashboard!$B$3="All",YEAR(A18)=VALUE(Dashboard!$B$3))),IF(Dashboard!$E$3="All",SUMIFS(Clean_Daily!$J$2:$J$2107,Clean_Daily!$M$2:$M$2107,A18),SUMIFS(INDEX(Clean_Daily!$B$2:$I$2107,0,MATCH(Dashboard!$E$3,Clean_Daily!$B$1:$I$1,0)),Clean_Daily!$M$2:$M$2107,A18)),NA())</f>
        <v>1644.577</v>
      </c>
    </row>
    <row r="19" spans="1:3">
      <c r="A19" s="11">
        <v>42156</v>
      </c>
      <c r="B19" t="b">
        <v>1</v>
      </c>
      <c r="C19" s="14">
        <f>IF(AND(B19=TRUE,OR(Dashboard!$B$3="All",YEAR(A19)=VALUE(Dashboard!$B$3))),IF(Dashboard!$E$3="All",SUMIFS(Clean_Daily!$J$2:$J$2107,Clean_Daily!$M$2:$M$2107,A19),SUMIFS(INDEX(Clean_Daily!$B$2:$I$2107,0,MATCH(Dashboard!$E$3,Clean_Daily!$B$1:$I$1,0)),Clean_Daily!$M$2:$M$2107,A19)),NA())</f>
        <v>1674.233</v>
      </c>
    </row>
    <row r="20" spans="1:3">
      <c r="A20" s="11">
        <v>42186</v>
      </c>
      <c r="B20" t="b">
        <v>1</v>
      </c>
      <c r="C20" s="14">
        <f>IF(AND(B20=TRUE,OR(Dashboard!$B$3="All",YEAR(A20)=VALUE(Dashboard!$B$3))),IF(Dashboard!$E$3="All",SUMIFS(Clean_Daily!$J$2:$J$2107,Clean_Daily!$M$2:$M$2107,A20),SUMIFS(INDEX(Clean_Daily!$B$2:$I$2107,0,MATCH(Dashboard!$E$3,Clean_Daily!$B$1:$I$1,0)),Clean_Daily!$M$2:$M$2107,A20)),NA())</f>
        <v>1523.048</v>
      </c>
    </row>
    <row r="21" spans="1:3">
      <c r="A21" s="11">
        <v>42217</v>
      </c>
      <c r="B21" t="b">
        <v>1</v>
      </c>
      <c r="C21" s="14">
        <f>IF(AND(B21=TRUE,OR(Dashboard!$B$3="All",YEAR(A21)=VALUE(Dashboard!$B$3))),IF(Dashboard!$E$3="All",SUMIFS(Clean_Daily!$J$2:$J$2107,Clean_Daily!$M$2:$M$2107,A21),SUMIFS(INDEX(Clean_Daily!$B$2:$I$2107,0,MATCH(Dashboard!$E$3,Clean_Daily!$B$1:$I$1,0)),Clean_Daily!$M$2:$M$2107,A21)),NA())</f>
        <v>1659.597</v>
      </c>
    </row>
    <row r="22" spans="1:3">
      <c r="A22" s="11">
        <v>42248</v>
      </c>
      <c r="B22" t="b">
        <v>1</v>
      </c>
      <c r="C22" s="14">
        <f>IF(AND(B22=TRUE,OR(Dashboard!$B$3="All",YEAR(A22)=VALUE(Dashboard!$B$3))),IF(Dashboard!$E$3="All",SUMIFS(Clean_Daily!$J$2:$J$2107,Clean_Daily!$M$2:$M$2107,A22),SUMIFS(INDEX(Clean_Daily!$B$2:$I$2107,0,MATCH(Dashboard!$E$3,Clean_Daily!$B$1:$I$1,0)),Clean_Daily!$M$2:$M$2107,A22)),NA())</f>
        <v>1679.367</v>
      </c>
    </row>
    <row r="23" spans="1:3">
      <c r="A23" s="11">
        <v>42278</v>
      </c>
      <c r="B23" t="b">
        <v>1</v>
      </c>
      <c r="C23" s="14">
        <f>IF(AND(B23=TRUE,OR(Dashboard!$B$3="All",YEAR(A23)=VALUE(Dashboard!$B$3))),IF(Dashboard!$E$3="All",SUMIFS(Clean_Daily!$J$2:$J$2107,Clean_Daily!$M$2:$M$2107,A23),SUMIFS(INDEX(Clean_Daily!$B$2:$I$2107,0,MATCH(Dashboard!$E$3,Clean_Daily!$B$1:$I$1,0)),Clean_Daily!$M$2:$M$2107,A23)),NA())</f>
        <v>2529.576</v>
      </c>
    </row>
    <row r="24" spans="1:3">
      <c r="A24" s="11">
        <v>42309</v>
      </c>
      <c r="B24" t="b">
        <v>1</v>
      </c>
      <c r="C24" s="14">
        <f>IF(AND(B24=TRUE,OR(Dashboard!$B$3="All",YEAR(A24)=VALUE(Dashboard!$B$3))),IF(Dashboard!$E$3="All",SUMIFS(Clean_Daily!$J$2:$J$2107,Clean_Daily!$M$2:$M$2107,A24),SUMIFS(INDEX(Clean_Daily!$B$2:$I$2107,0,MATCH(Dashboard!$E$3,Clean_Daily!$B$1:$I$1,0)),Clean_Daily!$M$2:$M$2107,A24)),NA())</f>
        <v>2106.888</v>
      </c>
    </row>
    <row r="25" spans="1:3">
      <c r="A25" s="11">
        <v>42339</v>
      </c>
      <c r="B25" t="b">
        <v>1</v>
      </c>
      <c r="C25" s="14">
        <f>IF(AND(B25=TRUE,OR(Dashboard!$B$3="All",YEAR(A25)=VALUE(Dashboard!$B$3))),IF(Dashboard!$E$3="All",SUMIFS(Clean_Daily!$J$2:$J$2107,Clean_Daily!$M$2:$M$2107,A25),SUMIFS(INDEX(Clean_Daily!$B$2:$I$2107,0,MATCH(Dashboard!$E$3,Clean_Daily!$B$1:$I$1,0)),Clean_Daily!$M$2:$M$2107,A25)),NA())</f>
        <v>2272.83</v>
      </c>
    </row>
    <row r="26" spans="1:3">
      <c r="A26" s="11">
        <v>42370</v>
      </c>
      <c r="B26" t="b">
        <v>1</v>
      </c>
      <c r="C26" s="14">
        <f>IF(AND(B26=TRUE,OR(Dashboard!$B$3="All",YEAR(A26)=VALUE(Dashboard!$B$3))),IF(Dashboard!$E$3="All",SUMIFS(Clean_Daily!$J$2:$J$2107,Clean_Daily!$M$2:$M$2107,A26),SUMIFS(INDEX(Clean_Daily!$B$2:$I$2107,0,MATCH(Dashboard!$E$3,Clean_Daily!$B$1:$I$1,0)),Clean_Daily!$M$2:$M$2107,A26)),NA())</f>
        <v>2451.376</v>
      </c>
    </row>
    <row r="27" spans="1:3">
      <c r="A27" s="11">
        <v>42401</v>
      </c>
      <c r="B27" t="b">
        <v>1</v>
      </c>
      <c r="C27" s="14">
        <f>IF(AND(B27=TRUE,OR(Dashboard!$B$3="All",YEAR(A27)=VALUE(Dashboard!$B$3))),IF(Dashboard!$E$3="All",SUMIFS(Clean_Daily!$J$2:$J$2107,Clean_Daily!$M$2:$M$2107,A27),SUMIFS(INDEX(Clean_Daily!$B$2:$I$2107,0,MATCH(Dashboard!$E$3,Clean_Daily!$B$1:$I$1,0)),Clean_Daily!$M$2:$M$2107,A27)),NA())</f>
        <v>2232.4</v>
      </c>
    </row>
    <row r="28" spans="1:3">
      <c r="A28" s="11">
        <v>42430</v>
      </c>
      <c r="B28" t="b">
        <v>1</v>
      </c>
      <c r="C28" s="14">
        <f>IF(AND(B28=TRUE,OR(Dashboard!$B$3="All",YEAR(A28)=VALUE(Dashboard!$B$3))),IF(Dashboard!$E$3="All",SUMIFS(Clean_Daily!$J$2:$J$2107,Clean_Daily!$M$2:$M$2107,A28),SUMIFS(INDEX(Clean_Daily!$B$2:$I$2107,0,MATCH(Dashboard!$E$3,Clean_Daily!$B$1:$I$1,0)),Clean_Daily!$M$2:$M$2107,A28)),NA())</f>
        <v>2235.169</v>
      </c>
    </row>
    <row r="29" spans="1:3">
      <c r="A29" s="11">
        <v>42461</v>
      </c>
      <c r="B29" t="b">
        <v>1</v>
      </c>
      <c r="C29" s="14">
        <f>IF(AND(B29=TRUE,OR(Dashboard!$B$3="All",YEAR(A29)=VALUE(Dashboard!$B$3))),IF(Dashboard!$E$3="All",SUMIFS(Clean_Daily!$J$2:$J$2107,Clean_Daily!$M$2:$M$2107,A29),SUMIFS(INDEX(Clean_Daily!$B$2:$I$2107,0,MATCH(Dashboard!$E$3,Clean_Daily!$B$1:$I$1,0)),Clean_Daily!$M$2:$M$2107,A29)),NA())</f>
        <v>2147.573</v>
      </c>
    </row>
    <row r="30" spans="1:3">
      <c r="A30" s="11">
        <v>42491</v>
      </c>
      <c r="B30" t="b">
        <v>1</v>
      </c>
      <c r="C30" s="14">
        <f>IF(AND(B30=TRUE,OR(Dashboard!$B$3="All",YEAR(A30)=VALUE(Dashboard!$B$3))),IF(Dashboard!$E$3="All",SUMIFS(Clean_Daily!$J$2:$J$2107,Clean_Daily!$M$2:$M$2107,A30),SUMIFS(INDEX(Clean_Daily!$B$2:$I$2107,0,MATCH(Dashboard!$E$3,Clean_Daily!$B$1:$I$1,0)),Clean_Daily!$M$2:$M$2107,A30)),NA())</f>
        <v>1957.021</v>
      </c>
    </row>
    <row r="31" spans="1:3">
      <c r="A31" s="11">
        <v>42522</v>
      </c>
      <c r="B31" t="b">
        <v>1</v>
      </c>
      <c r="C31" s="14">
        <f>IF(AND(B31=TRUE,OR(Dashboard!$B$3="All",YEAR(A31)=VALUE(Dashboard!$B$3))),IF(Dashboard!$E$3="All",SUMIFS(Clean_Daily!$J$2:$J$2107,Clean_Daily!$M$2:$M$2107,A31),SUMIFS(INDEX(Clean_Daily!$B$2:$I$2107,0,MATCH(Dashboard!$E$3,Clean_Daily!$B$1:$I$1,0)),Clean_Daily!$M$2:$M$2107,A31)),NA())</f>
        <v>1724.731</v>
      </c>
    </row>
    <row r="32" spans="1:3">
      <c r="A32" s="11">
        <v>42552</v>
      </c>
      <c r="B32" t="b">
        <v>1</v>
      </c>
      <c r="C32" s="14">
        <f>IF(AND(B32=TRUE,OR(Dashboard!$B$3="All",YEAR(A32)=VALUE(Dashboard!$B$3))),IF(Dashboard!$E$3="All",SUMIFS(Clean_Daily!$J$2:$J$2107,Clean_Daily!$M$2:$M$2107,A32),SUMIFS(INDEX(Clean_Daily!$B$2:$I$2107,0,MATCH(Dashboard!$E$3,Clean_Daily!$B$1:$I$1,0)),Clean_Daily!$M$2:$M$2107,A32)),NA())</f>
        <v>1599.639333333</v>
      </c>
    </row>
    <row r="33" spans="1:3">
      <c r="A33" s="11">
        <v>42583</v>
      </c>
      <c r="B33" t="b">
        <v>1</v>
      </c>
      <c r="C33" s="14">
        <f>IF(AND(B33=TRUE,OR(Dashboard!$B$3="All",YEAR(A33)=VALUE(Dashboard!$B$3))),IF(Dashboard!$E$3="All",SUMIFS(Clean_Daily!$J$2:$J$2107,Clean_Daily!$M$2:$M$2107,A33),SUMIFS(INDEX(Clean_Daily!$B$2:$I$2107,0,MATCH(Dashboard!$E$3,Clean_Daily!$B$1:$I$1,0)),Clean_Daily!$M$2:$M$2107,A33)),NA())</f>
        <v>1633.38833334</v>
      </c>
    </row>
    <row r="34" spans="1:3">
      <c r="A34" s="11">
        <v>42614</v>
      </c>
      <c r="B34" t="b">
        <v>1</v>
      </c>
      <c r="C34" s="14">
        <f>IF(AND(B34=TRUE,OR(Dashboard!$B$3="All",YEAR(A34)=VALUE(Dashboard!$B$3))),IF(Dashboard!$E$3="All",SUMIFS(Clean_Daily!$J$2:$J$2107,Clean_Daily!$M$2:$M$2107,A34),SUMIFS(INDEX(Clean_Daily!$B$2:$I$2107,0,MATCH(Dashboard!$E$3,Clean_Daily!$B$1:$I$1,0)),Clean_Daily!$M$2:$M$2107,A34)),NA())</f>
        <v>2049.877</v>
      </c>
    </row>
    <row r="35" spans="1:3">
      <c r="A35" s="11">
        <v>42644</v>
      </c>
      <c r="B35" t="b">
        <v>1</v>
      </c>
      <c r="C35" s="14">
        <f>IF(AND(B35=TRUE,OR(Dashboard!$B$3="All",YEAR(A35)=VALUE(Dashboard!$B$3))),IF(Dashboard!$E$3="All",SUMIFS(Clean_Daily!$J$2:$J$2107,Clean_Daily!$M$2:$M$2107,A35),SUMIFS(INDEX(Clean_Daily!$B$2:$I$2107,0,MATCH(Dashboard!$E$3,Clean_Daily!$B$1:$I$1,0)),Clean_Daily!$M$2:$M$2107,A35)),NA())</f>
        <v>2655.391</v>
      </c>
    </row>
    <row r="36" spans="1:3">
      <c r="A36" s="11">
        <v>42675</v>
      </c>
      <c r="B36" t="b">
        <v>1</v>
      </c>
      <c r="C36" s="14">
        <f>IF(AND(B36=TRUE,OR(Dashboard!$B$3="All",YEAR(A36)=VALUE(Dashboard!$B$3))),IF(Dashboard!$E$3="All",SUMIFS(Clean_Daily!$J$2:$J$2107,Clean_Daily!$M$2:$M$2107,A36),SUMIFS(INDEX(Clean_Daily!$B$2:$I$2107,0,MATCH(Dashboard!$E$3,Clean_Daily!$B$1:$I$1,0)),Clean_Daily!$M$2:$M$2107,A36)),NA())</f>
        <v>1942.599333337</v>
      </c>
    </row>
    <row r="37" spans="1:3">
      <c r="A37" s="11">
        <v>42705</v>
      </c>
      <c r="B37" t="b">
        <v>1</v>
      </c>
      <c r="C37" s="14">
        <f>IF(AND(B37=TRUE,OR(Dashboard!$B$3="All",YEAR(A37)=VALUE(Dashboard!$B$3))),IF(Dashboard!$E$3="All",SUMIFS(Clean_Daily!$J$2:$J$2107,Clean_Daily!$M$2:$M$2107,A37),SUMIFS(INDEX(Clean_Daily!$B$2:$I$2107,0,MATCH(Dashboard!$E$3,Clean_Daily!$B$1:$I$1,0)),Clean_Daily!$M$2:$M$2107,A37)),NA())</f>
        <v>2605.760999997</v>
      </c>
    </row>
    <row r="38" spans="1:3">
      <c r="A38" s="11">
        <v>42736</v>
      </c>
      <c r="B38" t="b">
        <v>1</v>
      </c>
      <c r="C38" s="14">
        <f>IF(AND(B38=TRUE,OR(Dashboard!$B$3="All",YEAR(A38)=VALUE(Dashboard!$B$3))),IF(Dashboard!$E$3="All",SUMIFS(Clean_Daily!$J$2:$J$2107,Clean_Daily!$M$2:$M$2107,A38),SUMIFS(INDEX(Clean_Daily!$B$2:$I$2107,0,MATCH(Dashboard!$E$3,Clean_Daily!$B$1:$I$1,0)),Clean_Daily!$M$2:$M$2107,A38)),NA())</f>
        <v>2699.597083319</v>
      </c>
    </row>
    <row r="39" spans="1:3">
      <c r="A39" s="11">
        <v>42767</v>
      </c>
      <c r="B39" t="b">
        <v>1</v>
      </c>
      <c r="C39" s="14">
        <f>IF(AND(B39=TRUE,OR(Dashboard!$B$3="All",YEAR(A39)=VALUE(Dashboard!$B$3))),IF(Dashboard!$E$3="All",SUMIFS(Clean_Daily!$J$2:$J$2107,Clean_Daily!$M$2:$M$2107,A39),SUMIFS(INDEX(Clean_Daily!$B$2:$I$2107,0,MATCH(Dashboard!$E$3,Clean_Daily!$B$1:$I$1,0)),Clean_Daily!$M$2:$M$2107,A39)),NA())</f>
        <v>1447.471583321</v>
      </c>
    </row>
    <row r="40" spans="1:3">
      <c r="A40" s="11">
        <v>42795</v>
      </c>
      <c r="B40" t="b">
        <v>1</v>
      </c>
      <c r="C40" s="14">
        <f>IF(AND(B40=TRUE,OR(Dashboard!$B$3="All",YEAR(A40)=VALUE(Dashboard!$B$3))),IF(Dashboard!$E$3="All",SUMIFS(Clean_Daily!$J$2:$J$2107,Clean_Daily!$M$2:$M$2107,A40),SUMIFS(INDEX(Clean_Daily!$B$2:$I$2107,0,MATCH(Dashboard!$E$3,Clean_Daily!$B$1:$I$1,0)),Clean_Daily!$M$2:$M$2107,A40)),NA())</f>
        <v>1376.855</v>
      </c>
    </row>
    <row r="41" spans="1:3">
      <c r="A41" s="11">
        <v>42826</v>
      </c>
      <c r="B41" t="b">
        <v>1</v>
      </c>
      <c r="C41" s="14">
        <f>IF(AND(B41=TRUE,OR(Dashboard!$B$3="All",YEAR(A41)=VALUE(Dashboard!$B$3))),IF(Dashboard!$E$3="All",SUMIFS(Clean_Daily!$J$2:$J$2107,Clean_Daily!$M$2:$M$2107,A41),SUMIFS(INDEX(Clean_Daily!$B$2:$I$2107,0,MATCH(Dashboard!$E$3,Clean_Daily!$B$1:$I$1,0)),Clean_Daily!$M$2:$M$2107,A41)),NA())</f>
        <v>1341.8</v>
      </c>
    </row>
    <row r="42" spans="1:3">
      <c r="A42" s="11">
        <v>42856</v>
      </c>
      <c r="B42" t="b">
        <v>1</v>
      </c>
      <c r="C42" s="14">
        <f>IF(AND(B42=TRUE,OR(Dashboard!$B$3="All",YEAR(A42)=VALUE(Dashboard!$B$3))),IF(Dashboard!$E$3="All",SUMIFS(Clean_Daily!$J$2:$J$2107,Clean_Daily!$M$2:$M$2107,A42),SUMIFS(INDEX(Clean_Daily!$B$2:$I$2107,0,MATCH(Dashboard!$E$3,Clean_Daily!$B$1:$I$1,0)),Clean_Daily!$M$2:$M$2107,A42)),NA())</f>
        <v>1369.485</v>
      </c>
    </row>
    <row r="43" spans="1:3">
      <c r="A43" s="11">
        <v>42887</v>
      </c>
      <c r="B43" t="b">
        <v>1</v>
      </c>
      <c r="C43" s="14">
        <f>IF(AND(B43=TRUE,OR(Dashboard!$B$3="All",YEAR(A43)=VALUE(Dashboard!$B$3))),IF(Dashboard!$E$3="All",SUMIFS(Clean_Daily!$J$2:$J$2107,Clean_Daily!$M$2:$M$2107,A43),SUMIFS(INDEX(Clean_Daily!$B$2:$I$2107,0,MATCH(Dashboard!$E$3,Clean_Daily!$B$1:$I$1,0)),Clean_Daily!$M$2:$M$2107,A43)),NA())</f>
        <v>1306.936</v>
      </c>
    </row>
    <row r="44" spans="1:3">
      <c r="A44" s="11">
        <v>42917</v>
      </c>
      <c r="B44" t="b">
        <v>1</v>
      </c>
      <c r="C44" s="14">
        <f>IF(AND(B44=TRUE,OR(Dashboard!$B$3="All",YEAR(A44)=VALUE(Dashboard!$B$3))),IF(Dashboard!$E$3="All",SUMIFS(Clean_Daily!$J$2:$J$2107,Clean_Daily!$M$2:$M$2107,A44),SUMIFS(INDEX(Clean_Daily!$B$2:$I$2107,0,MATCH(Dashboard!$E$3,Clean_Daily!$B$1:$I$1,0)),Clean_Daily!$M$2:$M$2107,A44)),NA())</f>
        <v>1251.151</v>
      </c>
    </row>
    <row r="45" spans="1:3">
      <c r="A45" s="11">
        <v>42948</v>
      </c>
      <c r="B45" t="b">
        <v>1</v>
      </c>
      <c r="C45" s="14">
        <f>IF(AND(B45=TRUE,OR(Dashboard!$B$3="All",YEAR(A45)=VALUE(Dashboard!$B$3))),IF(Dashboard!$E$3="All",SUMIFS(Clean_Daily!$J$2:$J$2107,Clean_Daily!$M$2:$M$2107,A45),SUMIFS(INDEX(Clean_Daily!$B$2:$I$2107,0,MATCH(Dashboard!$E$3,Clean_Daily!$B$1:$I$1,0)),Clean_Daily!$M$2:$M$2107,A45)),NA())</f>
        <v>1302.42</v>
      </c>
    </row>
    <row r="46" spans="1:3">
      <c r="A46" s="11">
        <v>42979</v>
      </c>
      <c r="B46" t="b">
        <v>1</v>
      </c>
      <c r="C46" s="14">
        <f>IF(AND(B46=TRUE,OR(Dashboard!$B$3="All",YEAR(A46)=VALUE(Dashboard!$B$3))),IF(Dashboard!$E$3="All",SUMIFS(Clean_Daily!$J$2:$J$2107,Clean_Daily!$M$2:$M$2107,A46),SUMIFS(INDEX(Clean_Daily!$B$2:$I$2107,0,MATCH(Dashboard!$E$3,Clean_Daily!$B$1:$I$1,0)),Clean_Daily!$M$2:$M$2107,A46)),NA())</f>
        <v>1660.841</v>
      </c>
    </row>
    <row r="47" spans="1:3">
      <c r="A47" s="11">
        <v>43009</v>
      </c>
      <c r="B47" t="b">
        <v>1</v>
      </c>
      <c r="C47" s="14">
        <f>IF(AND(B47=TRUE,OR(Dashboard!$B$3="All",YEAR(A47)=VALUE(Dashboard!$B$3))),IF(Dashboard!$E$3="All",SUMIFS(Clean_Daily!$J$2:$J$2107,Clean_Daily!$M$2:$M$2107,A47),SUMIFS(INDEX(Clean_Daily!$B$2:$I$2107,0,MATCH(Dashboard!$E$3,Clean_Daily!$B$1:$I$1,0)),Clean_Daily!$M$2:$M$2107,A47)),NA())</f>
        <v>2050.127</v>
      </c>
    </row>
    <row r="48" spans="1:3">
      <c r="A48" s="11">
        <v>43040</v>
      </c>
      <c r="B48" t="b">
        <v>1</v>
      </c>
      <c r="C48" s="14">
        <f>IF(AND(B48=TRUE,OR(Dashboard!$B$3="All",YEAR(A48)=VALUE(Dashboard!$B$3))),IF(Dashboard!$E$3="All",SUMIFS(Clean_Daily!$J$2:$J$2107,Clean_Daily!$M$2:$M$2107,A48),SUMIFS(INDEX(Clean_Daily!$B$2:$I$2107,0,MATCH(Dashboard!$E$3,Clean_Daily!$B$1:$I$1,0)),Clean_Daily!$M$2:$M$2107,A48)),NA())</f>
        <v>1705.579</v>
      </c>
    </row>
    <row r="49" spans="1:3">
      <c r="A49" s="11">
        <v>43070</v>
      </c>
      <c r="B49" t="b">
        <v>1</v>
      </c>
      <c r="C49" s="14">
        <f>IF(AND(B49=TRUE,OR(Dashboard!$B$3="All",YEAR(A49)=VALUE(Dashboard!$B$3))),IF(Dashboard!$E$3="All",SUMIFS(Clean_Daily!$J$2:$J$2107,Clean_Daily!$M$2:$M$2107,A49),SUMIFS(INDEX(Clean_Daily!$B$2:$I$2107,0,MATCH(Dashboard!$E$3,Clean_Daily!$B$1:$I$1,0)),Clean_Daily!$M$2:$M$2107,A49)),NA())</f>
        <v>1887.103</v>
      </c>
    </row>
    <row r="50" spans="1:3">
      <c r="A50" s="11">
        <v>43101</v>
      </c>
      <c r="B50" t="b">
        <v>1</v>
      </c>
      <c r="C50" s="14">
        <f>IF(AND(B50=TRUE,OR(Dashboard!$B$3="All",YEAR(A50)=VALUE(Dashboard!$B$3))),IF(Dashboard!$E$3="All",SUMIFS(Clean_Daily!$J$2:$J$2107,Clean_Daily!$M$2:$M$2107,A50),SUMIFS(INDEX(Clean_Daily!$B$2:$I$2107,0,MATCH(Dashboard!$E$3,Clean_Daily!$B$1:$I$1,0)),Clean_Daily!$M$2:$M$2107,A50)),NA())</f>
        <v>1985.701</v>
      </c>
    </row>
    <row r="51" spans="1:3">
      <c r="A51" s="11">
        <v>43132</v>
      </c>
      <c r="B51" t="b">
        <v>1</v>
      </c>
      <c r="C51" s="14">
        <f>IF(AND(B51=TRUE,OR(Dashboard!$B$3="All",YEAR(A51)=VALUE(Dashboard!$B$3))),IF(Dashboard!$E$3="All",SUMIFS(Clean_Daily!$J$2:$J$2107,Clean_Daily!$M$2:$M$2107,A51),SUMIFS(INDEX(Clean_Daily!$B$2:$I$2107,0,MATCH(Dashboard!$E$3,Clean_Daily!$B$1:$I$1,0)),Clean_Daily!$M$2:$M$2107,A51)),NA())</f>
        <v>2174.498</v>
      </c>
    </row>
    <row r="52" spans="1:3">
      <c r="A52" s="11">
        <v>43160</v>
      </c>
      <c r="B52" t="b">
        <v>1</v>
      </c>
      <c r="C52" s="14">
        <f>IF(AND(B52=TRUE,OR(Dashboard!$B$3="All",YEAR(A52)=VALUE(Dashboard!$B$3))),IF(Dashboard!$E$3="All",SUMIFS(Clean_Daily!$J$2:$J$2107,Clean_Daily!$M$2:$M$2107,A52),SUMIFS(INDEX(Clean_Daily!$B$2:$I$2107,0,MATCH(Dashboard!$E$3,Clean_Daily!$B$1:$I$1,0)),Clean_Daily!$M$2:$M$2107,A52)),NA())</f>
        <v>2156.847</v>
      </c>
    </row>
    <row r="53" spans="1:3">
      <c r="A53" s="11">
        <v>43191</v>
      </c>
      <c r="B53" t="b">
        <v>1</v>
      </c>
      <c r="C53" s="14">
        <f>IF(AND(B53=TRUE,OR(Dashboard!$B$3="All",YEAR(A53)=VALUE(Dashboard!$B$3))),IF(Dashboard!$E$3="All",SUMIFS(Clean_Daily!$J$2:$J$2107,Clean_Daily!$M$2:$M$2107,A53),SUMIFS(INDEX(Clean_Daily!$B$2:$I$2107,0,MATCH(Dashboard!$E$3,Clean_Daily!$B$1:$I$1,0)),Clean_Daily!$M$2:$M$2107,A53)),NA())</f>
        <v>1894.73</v>
      </c>
    </row>
    <row r="54" spans="1:3">
      <c r="A54" s="11">
        <v>43221</v>
      </c>
      <c r="B54" t="b">
        <v>1</v>
      </c>
      <c r="C54" s="14">
        <f>IF(AND(B54=TRUE,OR(Dashboard!$B$3="All",YEAR(A54)=VALUE(Dashboard!$B$3))),IF(Dashboard!$E$3="All",SUMIFS(Clean_Daily!$J$2:$J$2107,Clean_Daily!$M$2:$M$2107,A54),SUMIFS(INDEX(Clean_Daily!$B$2:$I$2107,0,MATCH(Dashboard!$E$3,Clean_Daily!$B$1:$I$1,0)),Clean_Daily!$M$2:$M$2107,A54)),NA())</f>
        <v>1650.13</v>
      </c>
    </row>
    <row r="55" spans="1:3">
      <c r="A55" s="11">
        <v>43252</v>
      </c>
      <c r="B55" t="b">
        <v>1</v>
      </c>
      <c r="C55" s="14">
        <f>IF(AND(B55=TRUE,OR(Dashboard!$B$3="All",YEAR(A55)=VALUE(Dashboard!$B$3))),IF(Dashboard!$E$3="All",SUMIFS(Clean_Daily!$J$2:$J$2107,Clean_Daily!$M$2:$M$2107,A55),SUMIFS(INDEX(Clean_Daily!$B$2:$I$2107,0,MATCH(Dashboard!$E$3,Clean_Daily!$B$1:$I$1,0)),Clean_Daily!$M$2:$M$2107,A55)),NA())</f>
        <v>1414.349</v>
      </c>
    </row>
    <row r="56" spans="1:3">
      <c r="A56" s="11">
        <v>43282</v>
      </c>
      <c r="B56" t="b">
        <v>1</v>
      </c>
      <c r="C56" s="14">
        <f>IF(AND(B56=TRUE,OR(Dashboard!$B$3="All",YEAR(A56)=VALUE(Dashboard!$B$3))),IF(Dashboard!$E$3="All",SUMIFS(Clean_Daily!$J$2:$J$2107,Clean_Daily!$M$2:$M$2107,A56),SUMIFS(INDEX(Clean_Daily!$B$2:$I$2107,0,MATCH(Dashboard!$E$3,Clean_Daily!$B$1:$I$1,0)),Clean_Daily!$M$2:$M$2107,A56)),NA())</f>
        <v>1563.479</v>
      </c>
    </row>
    <row r="57" spans="1:3">
      <c r="A57" s="11">
        <v>43313</v>
      </c>
      <c r="B57" t="b">
        <v>1</v>
      </c>
      <c r="C57" s="14">
        <f>IF(AND(B57=TRUE,OR(Dashboard!$B$3="All",YEAR(A57)=VALUE(Dashboard!$B$3))),IF(Dashboard!$E$3="All",SUMIFS(Clean_Daily!$J$2:$J$2107,Clean_Daily!$M$2:$M$2107,A57),SUMIFS(INDEX(Clean_Daily!$B$2:$I$2107,0,MATCH(Dashboard!$E$3,Clean_Daily!$B$1:$I$1,0)),Clean_Daily!$M$2:$M$2107,A57)),NA())</f>
        <v>1611.907</v>
      </c>
    </row>
    <row r="58" spans="1:3">
      <c r="A58" s="11">
        <v>43344</v>
      </c>
      <c r="B58" t="b">
        <v>1</v>
      </c>
      <c r="C58" s="14">
        <f>IF(AND(B58=TRUE,OR(Dashboard!$B$3="All",YEAR(A58)=VALUE(Dashboard!$B$3))),IF(Dashboard!$E$3="All",SUMIFS(Clean_Daily!$J$2:$J$2107,Clean_Daily!$M$2:$M$2107,A58),SUMIFS(INDEX(Clean_Daily!$B$2:$I$2107,0,MATCH(Dashboard!$E$3,Clean_Daily!$B$1:$I$1,0)),Clean_Daily!$M$2:$M$2107,A58)),NA())</f>
        <v>1981.374</v>
      </c>
    </row>
    <row r="59" spans="1:3">
      <c r="A59" s="11">
        <v>43374</v>
      </c>
      <c r="B59" t="b">
        <v>1</v>
      </c>
      <c r="C59" s="14">
        <f>IF(AND(B59=TRUE,OR(Dashboard!$B$3="All",YEAR(A59)=VALUE(Dashboard!$B$3))),IF(Dashboard!$E$3="All",SUMIFS(Clean_Daily!$J$2:$J$2107,Clean_Daily!$M$2:$M$2107,A59),SUMIFS(INDEX(Clean_Daily!$B$2:$I$2107,0,MATCH(Dashboard!$E$3,Clean_Daily!$B$1:$I$1,0)),Clean_Daily!$M$2:$M$2107,A59)),NA())</f>
        <v>2195.335</v>
      </c>
    </row>
    <row r="60" spans="1:3">
      <c r="A60" s="11">
        <v>43405</v>
      </c>
      <c r="B60" t="b">
        <v>1</v>
      </c>
      <c r="C60" s="14">
        <f>IF(AND(B60=TRUE,OR(Dashboard!$B$3="All",YEAR(A60)=VALUE(Dashboard!$B$3))),IF(Dashboard!$E$3="All",SUMIFS(Clean_Daily!$J$2:$J$2107,Clean_Daily!$M$2:$M$2107,A60),SUMIFS(INDEX(Clean_Daily!$B$2:$I$2107,0,MATCH(Dashboard!$E$3,Clean_Daily!$B$1:$I$1,0)),Clean_Daily!$M$2:$M$2107,A60)),NA())</f>
        <v>2008.677</v>
      </c>
    </row>
    <row r="61" spans="1:3">
      <c r="A61" s="11">
        <v>43435</v>
      </c>
      <c r="B61" t="b">
        <v>1</v>
      </c>
      <c r="C61" s="14">
        <f>IF(AND(B61=TRUE,OR(Dashboard!$B$3="All",YEAR(A61)=VALUE(Dashboard!$B$3))),IF(Dashboard!$E$3="All",SUMIFS(Clean_Daily!$J$2:$J$2107,Clean_Daily!$M$2:$M$2107,A61),SUMIFS(INDEX(Clean_Daily!$B$2:$I$2107,0,MATCH(Dashboard!$E$3,Clean_Daily!$B$1:$I$1,0)),Clean_Daily!$M$2:$M$2107,A61)),NA())</f>
        <v>2247.534</v>
      </c>
    </row>
    <row r="62" spans="1:3">
      <c r="A62" s="11">
        <v>43466</v>
      </c>
      <c r="B62" t="b">
        <v>1</v>
      </c>
      <c r="C62" s="14">
        <f>IF(AND(B62=TRUE,OR(Dashboard!$B$3="All",YEAR(A62)=VALUE(Dashboard!$B$3))),IF(Dashboard!$E$3="All",SUMIFS(Clean_Daily!$J$2:$J$2107,Clean_Daily!$M$2:$M$2107,A62),SUMIFS(INDEX(Clean_Daily!$B$2:$I$2107,0,MATCH(Dashboard!$E$3,Clean_Daily!$B$1:$I$1,0)),Clean_Daily!$M$2:$M$2107,A62)),NA())</f>
        <v>2875.158</v>
      </c>
    </row>
    <row r="63" spans="1:3">
      <c r="A63" s="11">
        <v>43497</v>
      </c>
      <c r="B63" t="b">
        <v>1</v>
      </c>
      <c r="C63" s="14">
        <f>IF(AND(B63=TRUE,OR(Dashboard!$B$3="All",YEAR(A63)=VALUE(Dashboard!$B$3))),IF(Dashboard!$E$3="All",SUMIFS(Clean_Daily!$J$2:$J$2107,Clean_Daily!$M$2:$M$2107,A63),SUMIFS(INDEX(Clean_Daily!$B$2:$I$2107,0,MATCH(Dashboard!$E$3,Clean_Daily!$B$1:$I$1,0)),Clean_Daily!$M$2:$M$2107,A63)),NA())</f>
        <v>1944.1970000000001</v>
      </c>
    </row>
    <row r="64" spans="1:3">
      <c r="A64" s="11">
        <v>43525</v>
      </c>
      <c r="B64" t="b">
        <v>1</v>
      </c>
      <c r="C64" s="14">
        <f>IF(AND(B64=TRUE,OR(Dashboard!$B$3="All",YEAR(A64)=VALUE(Dashboard!$B$3))),IF(Dashboard!$E$3="All",SUMIFS(Clean_Daily!$J$2:$J$2107,Clean_Daily!$M$2:$M$2107,A64),SUMIFS(INDEX(Clean_Daily!$B$2:$I$2107,0,MATCH(Dashboard!$E$3,Clean_Daily!$B$1:$I$1,0)),Clean_Daily!$M$2:$M$2107,A64)),NA())</f>
        <v>2038.9379999999999</v>
      </c>
    </row>
    <row r="65" spans="1:3">
      <c r="A65" s="11">
        <v>43556</v>
      </c>
      <c r="B65" t="b">
        <v>1</v>
      </c>
      <c r="C65" s="14">
        <f>IF(AND(B65=TRUE,OR(Dashboard!$B$3="All",YEAR(A65)=VALUE(Dashboard!$B$3))),IF(Dashboard!$E$3="All",SUMIFS(Clean_Daily!$J$2:$J$2107,Clean_Daily!$M$2:$M$2107,A65),SUMIFS(INDEX(Clean_Daily!$B$2:$I$2107,0,MATCH(Dashboard!$E$3,Clean_Daily!$B$1:$I$1,0)),Clean_Daily!$M$2:$M$2107,A65)),NA())</f>
        <v>1716.805</v>
      </c>
    </row>
    <row r="66" spans="1:3">
      <c r="A66" s="11">
        <v>43586</v>
      </c>
      <c r="B66" t="b">
        <v>1</v>
      </c>
      <c r="C66" s="14">
        <f>IF(AND(B66=TRUE,OR(Dashboard!$B$3="All",YEAR(A66)=VALUE(Dashboard!$B$3))),IF(Dashboard!$E$3="All",SUMIFS(Clean_Daily!$J$2:$J$2107,Clean_Daily!$M$2:$M$2107,A66),SUMIFS(INDEX(Clean_Daily!$B$2:$I$2107,0,MATCH(Dashboard!$E$3,Clean_Daily!$B$1:$I$1,0)),Clean_Daily!$M$2:$M$2107,A66)),NA())</f>
        <v>1798.4516666700001</v>
      </c>
    </row>
    <row r="67" spans="1:3">
      <c r="A67" s="11">
        <v>43617</v>
      </c>
      <c r="B67" t="b">
        <v>1</v>
      </c>
      <c r="C67" s="14">
        <f>IF(AND(B67=TRUE,OR(Dashboard!$B$3="All",YEAR(A67)=VALUE(Dashboard!$B$3))),IF(Dashboard!$E$3="All",SUMIFS(Clean_Daily!$J$2:$J$2107,Clean_Daily!$M$2:$M$2107,A67),SUMIFS(INDEX(Clean_Daily!$B$2:$I$2107,0,MATCH(Dashboard!$E$3,Clean_Daily!$B$1:$I$1,0)),Clean_Daily!$M$2:$M$2107,A67)),NA())</f>
        <v>1482.407</v>
      </c>
    </row>
    <row r="68" spans="1:3">
      <c r="A68" s="11">
        <v>43647</v>
      </c>
      <c r="B68" t="b">
        <v>1</v>
      </c>
      <c r="C68" s="14">
        <f>IF(AND(B68=TRUE,OR(Dashboard!$B$3="All",YEAR(A68)=VALUE(Dashboard!$B$3))),IF(Dashboard!$E$3="All",SUMIFS(Clean_Daily!$J$2:$J$2107,Clean_Daily!$M$2:$M$2107,A68),SUMIFS(INDEX(Clean_Daily!$B$2:$I$2107,0,MATCH(Dashboard!$E$3,Clean_Daily!$B$1:$I$1,0)),Clean_Daily!$M$2:$M$2107,A68)),NA())</f>
        <v>1488.816</v>
      </c>
    </row>
    <row r="69" spans="1:3">
      <c r="A69" s="11">
        <v>43678</v>
      </c>
      <c r="B69" t="b">
        <v>1</v>
      </c>
      <c r="C69" s="14">
        <f>IF(AND(B69=TRUE,OR(Dashboard!$B$3="All",YEAR(A69)=VALUE(Dashboard!$B$3))),IF(Dashboard!$E$3="All",SUMIFS(Clean_Daily!$J$2:$J$2107,Clean_Daily!$M$2:$M$2107,A69),SUMIFS(INDEX(Clean_Daily!$B$2:$I$2107,0,MATCH(Dashboard!$E$3,Clean_Daily!$B$1:$I$1,0)),Clean_Daily!$M$2:$M$2107,A69)),NA())</f>
        <v>1377.779</v>
      </c>
    </row>
    <row r="70" spans="1:3">
      <c r="A70" s="11">
        <v>43709</v>
      </c>
      <c r="B70" t="b">
        <v>1</v>
      </c>
      <c r="C70" s="14">
        <f>IF(AND(B70=TRUE,OR(Dashboard!$B$3="All",YEAR(A70)=VALUE(Dashboard!$B$3))),IF(Dashboard!$E$3="All",SUMIFS(Clean_Daily!$J$2:$J$2107,Clean_Daily!$M$2:$M$2107,A70),SUMIFS(INDEX(Clean_Daily!$B$2:$I$2107,0,MATCH(Dashboard!$E$3,Clean_Daily!$B$1:$I$1,0)),Clean_Daily!$M$2:$M$2107,A70)),NA())</f>
        <v>1824.803666667</v>
      </c>
    </row>
    <row r="71" spans="1:3">
      <c r="A71" s="11">
        <v>43739</v>
      </c>
      <c r="B71" t="b">
        <v>0</v>
      </c>
      <c r="C71" s="14" t="e">
        <f>IF(AND(B71=TRUE,OR(Dashboard!$B$3="All",YEAR(A71)=VALUE(Dashboard!$B$3))),IF(Dashboard!$E$3="All",SUMIFS(Clean_Daily!$J$2:$J$2107,Clean_Daily!$M$2:$M$2107,A71),SUMIFS(INDEX(Clean_Daily!$B$2:$I$2107,0,MATCH(Dashboard!$E$3,Clean_Daily!$B$1:$I$1,0)),Clean_Daily!$M$2:$M$2107,A71)),NA())</f>
        <v>#N/A</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rgb="FFF28E2B"/>
  </sheetPr>
  <dimension ref="A1:P26"/>
  <sheetViews>
    <sheetView showGridLines="0" tabSelected="1" zoomScale="80" zoomScaleNormal="80" workbookViewId="0">
      <pane ySplit="3" topLeftCell="A4" activePane="bottomLeft" state="frozen"/>
      <selection pane="bottomLeft"/>
    </sheetView>
  </sheetViews>
  <sheetFormatPr defaultRowHeight="15"/>
  <cols>
    <col min="1" max="16" width="11.7109375" customWidth="1"/>
  </cols>
  <sheetData>
    <row r="1" spans="1:16" ht="26.25" customHeight="1">
      <c r="A1" s="1" t="s">
        <v>2286</v>
      </c>
      <c r="B1" s="1"/>
      <c r="C1" s="1"/>
      <c r="D1" s="1"/>
      <c r="E1" s="1"/>
      <c r="F1" s="1"/>
      <c r="G1" s="1"/>
      <c r="H1" s="1"/>
      <c r="I1" s="1"/>
      <c r="J1" s="1"/>
      <c r="K1" s="1"/>
      <c r="L1" s="1"/>
      <c r="M1" s="1"/>
      <c r="N1" s="1"/>
      <c r="O1" s="1"/>
      <c r="P1" s="1"/>
    </row>
    <row r="2" spans="1:16" ht="26.25" customHeight="1">
      <c r="A2" s="1"/>
      <c r="B2" s="1"/>
      <c r="C2" s="1"/>
      <c r="D2" s="1"/>
      <c r="E2" s="1"/>
      <c r="F2" s="1"/>
      <c r="G2" s="1"/>
      <c r="H2" s="1"/>
      <c r="I2" s="1"/>
      <c r="J2" s="1"/>
      <c r="K2" s="1"/>
      <c r="L2" s="1"/>
      <c r="M2" s="1"/>
      <c r="N2" s="1"/>
      <c r="O2" s="1"/>
      <c r="P2" s="1"/>
    </row>
    <row r="3" spans="1:16">
      <c r="A3" s="18" t="s">
        <v>2287</v>
      </c>
      <c r="B3" s="19" t="s">
        <v>2279</v>
      </c>
      <c r="D3" s="18" t="s">
        <v>2288</v>
      </c>
      <c r="E3" s="19" t="s">
        <v>2279</v>
      </c>
      <c r="G3" s="17" t="s">
        <v>2289</v>
      </c>
      <c r="H3" s="17"/>
      <c r="I3" s="17"/>
      <c r="J3" s="17"/>
      <c r="K3" s="17"/>
      <c r="L3" s="17"/>
      <c r="M3" s="17"/>
      <c r="N3" s="17"/>
      <c r="O3" s="17"/>
      <c r="P3" s="17"/>
    </row>
    <row r="5" spans="1:16">
      <c r="A5" s="20" t="s">
        <v>2290</v>
      </c>
      <c r="B5" s="20"/>
      <c r="C5" s="20"/>
      <c r="D5" s="20"/>
      <c r="E5" s="20" t="s">
        <v>2291</v>
      </c>
      <c r="F5" s="20"/>
      <c r="G5" s="20"/>
      <c r="H5" s="20"/>
      <c r="I5" s="20" t="s">
        <v>2292</v>
      </c>
      <c r="J5" s="20"/>
      <c r="K5" s="20"/>
      <c r="L5" s="20"/>
      <c r="M5" s="20" t="s">
        <v>2293</v>
      </c>
      <c r="N5" s="20"/>
      <c r="O5" s="20"/>
      <c r="P5" s="20"/>
    </row>
    <row r="6" spans="1:16">
      <c r="A6" s="21">
        <f>IF($E$3="All",IF($B$3="All",SUM(Clean_Daily!$J$2:$J$2107),SUMIFS(Clean_Daily!$J$2:$J$2107,Clean_Daily!$K$2:$K$2107,VALUE($B$3))),IF($B$3="All",SUM(INDEX(Clean_Daily!$B$2:$I$2107,0,MATCH($E$3,Clean_Daily!$B$1:$I$1,0))),SUMIFS(INDEX(Clean_Daily!$B$2:$I$2107,0,MATCH($E$3,Clean_Daily!$B$1:$I$1,0)),Clean_Daily!$K$2:$K$2107,VALUE($B$3))))</f>
        <v>127595.50368748402</v>
      </c>
      <c r="B6" s="21"/>
      <c r="C6" s="21"/>
      <c r="D6" s="21"/>
      <c r="E6" s="21">
        <f>IF($E$3="All",IF($B$3="All",AVERAGE(Clean_Daily!$J$2:$J$2107),AVERAGEIF(Clean_Daily!$K$2:$K$2107,VALUE($B$3),Clean_Daily!$J$2:$J$2107)),IF($B$3="All",AVERAGE(INDEX(Clean_Daily!$B$2:$I$2107,0,MATCH($E$3,Clean_Daily!$B$1:$I$1,0))),AVERAGEIF(Clean_Daily!$K$2:$K$2107,VALUE($B$3),INDEX(Clean_Daily!$B$2:$I$2107,0,MATCH($E$3,Clean_Daily!$B$1:$I$1,0)))))</f>
        <v>60.58665892093258</v>
      </c>
      <c r="F6" s="21"/>
      <c r="G6" s="21"/>
      <c r="H6" s="21"/>
      <c r="I6" s="22">
        <f>IF($B$3="All",COUNT(Clean_Daily!$A$2:$A$2107),COUNTIF(Clean_Daily!$K$2:$K$2107,VALUE($B$3)))</f>
        <v>2106</v>
      </c>
      <c r="J6" s="21"/>
      <c r="K6" s="21"/>
      <c r="L6" s="21"/>
      <c r="M6" s="23" t="s">
        <v>2294</v>
      </c>
      <c r="N6" s="21"/>
      <c r="O6" s="21"/>
      <c r="P6" s="21"/>
    </row>
    <row r="7" spans="1:16">
      <c r="A7" s="21"/>
      <c r="B7" s="21"/>
      <c r="C7" s="21"/>
      <c r="D7" s="21"/>
      <c r="E7" s="21"/>
      <c r="F7" s="21"/>
      <c r="G7" s="21"/>
      <c r="H7" s="21"/>
      <c r="I7" s="21"/>
      <c r="J7" s="21"/>
      <c r="K7" s="21"/>
      <c r="L7" s="21"/>
      <c r="M7" s="21"/>
      <c r="N7" s="21"/>
      <c r="O7" s="21"/>
      <c r="P7" s="21"/>
    </row>
    <row r="8" spans="1:16">
      <c r="A8" s="21"/>
      <c r="B8" s="21"/>
      <c r="C8" s="21"/>
      <c r="D8" s="21"/>
      <c r="E8" s="21"/>
      <c r="F8" s="21"/>
      <c r="G8" s="21"/>
      <c r="H8" s="21"/>
      <c r="I8" s="21"/>
      <c r="J8" s="21"/>
      <c r="K8" s="21"/>
      <c r="L8" s="21"/>
      <c r="M8" s="21"/>
      <c r="N8" s="21"/>
      <c r="O8" s="21"/>
      <c r="P8" s="21"/>
    </row>
    <row r="9" spans="1:16">
      <c r="A9" s="17" t="str">
        <f>"Selection: "&amp;$B$3&amp;" | "&amp;$E$3&amp;"   •   Monthly trend excludes partial Jan 2014 and Oct 2019   •   Quantity is not revenue"</f>
        <v>Selection: All | All   •   Monthly trend excludes partial Jan 2014 and Oct 2019   •   Quantity is not revenue</v>
      </c>
      <c r="B9" s="17"/>
      <c r="C9" s="17"/>
      <c r="D9" s="17"/>
      <c r="E9" s="17"/>
      <c r="F9" s="17"/>
      <c r="G9" s="17"/>
      <c r="H9" s="17"/>
      <c r="I9" s="17"/>
      <c r="J9" s="17"/>
      <c r="K9" s="17"/>
      <c r="L9" s="17"/>
      <c r="M9" s="17"/>
      <c r="N9" s="17"/>
      <c r="O9" s="17"/>
      <c r="P9" s="17"/>
    </row>
    <row r="11" spans="1:16">
      <c r="I11" s="17" t="s">
        <v>2295</v>
      </c>
      <c r="J11" s="17"/>
      <c r="K11" s="17"/>
      <c r="L11" s="17"/>
      <c r="M11" s="17"/>
      <c r="N11" s="17"/>
      <c r="O11" s="17"/>
      <c r="P11" s="17"/>
    </row>
    <row r="12" spans="1:16">
      <c r="I12" s="17"/>
      <c r="J12" s="17"/>
      <c r="K12" s="17"/>
      <c r="L12" s="17"/>
      <c r="M12" s="17"/>
      <c r="N12" s="17"/>
      <c r="O12" s="17"/>
      <c r="P12" s="17"/>
    </row>
    <row r="13" spans="1:16">
      <c r="I13" s="17"/>
      <c r="J13" s="17"/>
      <c r="K13" s="17"/>
      <c r="L13" s="17"/>
      <c r="M13" s="17"/>
      <c r="N13" s="17"/>
      <c r="O13" s="17"/>
      <c r="P13" s="17"/>
    </row>
    <row r="14" spans="1:16">
      <c r="I14" s="17"/>
      <c r="J14" s="17"/>
      <c r="K14" s="17"/>
      <c r="L14" s="17"/>
      <c r="M14" s="17"/>
      <c r="N14" s="17"/>
      <c r="O14" s="17"/>
      <c r="P14" s="17"/>
    </row>
    <row r="15" spans="1:16">
      <c r="I15" s="17"/>
      <c r="J15" s="17"/>
      <c r="K15" s="17"/>
      <c r="L15" s="17"/>
      <c r="M15" s="17"/>
      <c r="N15" s="17"/>
      <c r="O15" s="17"/>
      <c r="P15" s="17"/>
    </row>
    <row r="16" spans="1:16">
      <c r="I16" s="17"/>
      <c r="J16" s="17"/>
      <c r="K16" s="17"/>
      <c r="L16" s="17"/>
      <c r="M16" s="17"/>
      <c r="N16" s="17"/>
      <c r="O16" s="17"/>
      <c r="P16" s="17"/>
    </row>
    <row r="18" spans="9:16">
      <c r="I18" s="7" t="s">
        <v>2296</v>
      </c>
      <c r="J18" s="7"/>
      <c r="K18" s="7"/>
      <c r="L18" s="7"/>
      <c r="M18" s="7"/>
      <c r="N18" s="7"/>
      <c r="O18" s="7"/>
      <c r="P18" s="7"/>
    </row>
    <row r="19" spans="9:16">
      <c r="I19" s="7"/>
      <c r="J19" s="7"/>
      <c r="K19" s="7"/>
      <c r="L19" s="7"/>
      <c r="M19" s="7"/>
      <c r="N19" s="7"/>
      <c r="O19" s="7"/>
      <c r="P19" s="7"/>
    </row>
    <row r="20" spans="9:16">
      <c r="I20" s="7"/>
      <c r="J20" s="7"/>
      <c r="K20" s="7"/>
      <c r="L20" s="7"/>
      <c r="M20" s="7"/>
      <c r="N20" s="7"/>
      <c r="O20" s="7"/>
      <c r="P20" s="7"/>
    </row>
    <row r="21" spans="9:16">
      <c r="I21" s="7"/>
      <c r="J21" s="7"/>
      <c r="K21" s="7"/>
      <c r="L21" s="7"/>
      <c r="M21" s="7"/>
      <c r="N21" s="7"/>
      <c r="O21" s="7"/>
      <c r="P21" s="7"/>
    </row>
    <row r="22" spans="9:16">
      <c r="I22" s="7"/>
      <c r="J22" s="7"/>
      <c r="K22" s="7"/>
      <c r="L22" s="7"/>
      <c r="M22" s="7"/>
      <c r="N22" s="7"/>
      <c r="O22" s="7"/>
      <c r="P22" s="7"/>
    </row>
    <row r="23" spans="9:16">
      <c r="I23" s="7"/>
      <c r="J23" s="7"/>
      <c r="K23" s="7"/>
      <c r="L23" s="7"/>
      <c r="M23" s="7"/>
      <c r="N23" s="7"/>
      <c r="O23" s="7"/>
      <c r="P23" s="7"/>
    </row>
    <row r="24" spans="9:16">
      <c r="I24" s="17" t="s">
        <v>2297</v>
      </c>
      <c r="J24" s="17"/>
      <c r="K24" s="17"/>
      <c r="L24" s="17"/>
      <c r="M24" s="17"/>
      <c r="N24" s="17"/>
      <c r="O24" s="17"/>
      <c r="P24" s="17"/>
    </row>
    <row r="25" spans="9:16">
      <c r="I25" s="17"/>
      <c r="J25" s="17"/>
      <c r="K25" s="17"/>
      <c r="L25" s="17"/>
      <c r="M25" s="17"/>
      <c r="N25" s="17"/>
      <c r="O25" s="17"/>
      <c r="P25" s="17"/>
    </row>
    <row r="26" spans="9:16">
      <c r="I26" s="17"/>
      <c r="J26" s="17"/>
      <c r="K26" s="17"/>
      <c r="L26" s="17"/>
      <c r="M26" s="17"/>
      <c r="N26" s="17"/>
      <c r="O26" s="17"/>
      <c r="P26" s="17"/>
    </row>
  </sheetData>
  <mergeCells count="14">
    <mergeCell ref="A1:P2"/>
    <mergeCell ref="G3:P3"/>
    <mergeCell ref="A5:D5"/>
    <mergeCell ref="E5:H5"/>
    <mergeCell ref="I5:L5"/>
    <mergeCell ref="M5:P5"/>
    <mergeCell ref="A6:D8"/>
    <mergeCell ref="E6:H8"/>
    <mergeCell ref="I6:L8"/>
    <mergeCell ref="M6:P8"/>
    <mergeCell ref="A9:P9"/>
    <mergeCell ref="I11:P16"/>
    <mergeCell ref="I18:P23"/>
    <mergeCell ref="I24:P26"/>
  </mergeCells>
  <dataValidations count="2">
    <dataValidation type="list" allowBlank="1" showInputMessage="1" showErrorMessage="1" promptTitle="Select year" prompt="Choose All or a year from 2014–2019." sqref="B3">
      <formula1>Lists!$A$2:$A$8</formula1>
    </dataValidation>
    <dataValidation type="list" allowBlank="1" showInputMessage="1" showErrorMessage="1" promptTitle="Select ATC category" prompt="Choose All or one ATC code." sqref="E3">
      <formula1>Lists!$B$2:$B$10</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START_HERE</vt:lpstr>
      <vt:lpstr>Raw_Daily</vt:lpstr>
      <vt:lpstr>Clean_Daily</vt:lpstr>
      <vt:lpstr>Long_Daily</vt:lpstr>
      <vt:lpstr>Formula_Examples</vt:lpstr>
      <vt:lpstr>Monthly_Summary</vt:lpstr>
      <vt:lpstr>Category_Summary</vt:lpstr>
      <vt:lpstr>Weekday_Summary</vt:lpstr>
      <vt:lpstr>Data_Quality</vt:lpstr>
      <vt:lpstr>Monthly_Reconciliation</vt:lpstr>
      <vt:lpstr>Lists</vt:lpstr>
      <vt:lpstr>Dashboard_Data</vt:lpstr>
      <vt:lpstr>Dashboard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Pharmaceutical Sales Data Analytics</dc:title>
  <dc:subject>iNeuBytes DAINB10926</dc:subject>
  <dc:creator>Student project — update with your name</dc:creator>
  <dc:description>Generated from the four supplied Kaggle CSV files. Sales values are quantities, not revenue.</dc:description>
  <cp:lastModifiedBy>Student project — update with your name</cp:lastModifiedBy>
  <dcterms:created xsi:type="dcterms:W3CDTF">2026-10-22T13:00:13Z</dcterms:created>
  <dcterms:modified xsi:type="dcterms:W3CDTF">2026-10-22T13:00:13Z</dcterms:modified>
</cp:coreProperties>
</file>